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\Desktop\Jobaaj\Excel\Telecom Churn\Excel\"/>
    </mc:Choice>
  </mc:AlternateContent>
  <xr:revisionPtr revIDLastSave="0" documentId="8_{E37E4EED-0728-4CB2-8C7E-473613CAB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Data_Audit" sheetId="2" r:id="rId2"/>
    <sheet name="Analysis" sheetId="3" r:id="rId3"/>
    <sheet name="Pivot_Table" sheetId="4" r:id="rId4"/>
    <sheet name="Dashboard" sheetId="5" r:id="rId5"/>
  </sheets>
  <calcPr calcId="191029"/>
  <fileRecoveryPr dataExtractLoad="1"/>
</workbook>
</file>

<file path=xl/calcChain.xml><?xml version="1.0" encoding="utf-8"?>
<calcChain xmlns="http://schemas.openxmlformats.org/spreadsheetml/2006/main">
  <c r="H139" i="4" l="1"/>
  <c r="B110" i="4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21" i="2"/>
  <c r="A14" i="2"/>
  <c r="A13" i="2"/>
  <c r="A6" i="2"/>
  <c r="A5" i="2"/>
  <c r="A2" i="2" a="1"/>
  <c r="A19" i="2" s="1"/>
  <c r="AH4251" i="1"/>
  <c r="AG4251" i="1"/>
  <c r="AF4251" i="1"/>
  <c r="AE4251" i="1"/>
  <c r="AD4251" i="1"/>
  <c r="AC4251" i="1"/>
  <c r="AB4251" i="1"/>
  <c r="AA4251" i="1"/>
  <c r="Z4251" i="1"/>
  <c r="Y4251" i="1"/>
  <c r="X4251" i="1"/>
  <c r="W4251" i="1"/>
  <c r="V4251" i="1"/>
  <c r="AH4250" i="1"/>
  <c r="AG4250" i="1"/>
  <c r="AF4250" i="1"/>
  <c r="AE4250" i="1"/>
  <c r="AD4250" i="1"/>
  <c r="AC4250" i="1"/>
  <c r="AB4250" i="1"/>
  <c r="AA4250" i="1"/>
  <c r="Z4250" i="1"/>
  <c r="Y4250" i="1"/>
  <c r="X4250" i="1"/>
  <c r="W4250" i="1"/>
  <c r="V4250" i="1"/>
  <c r="AH4249" i="1"/>
  <c r="AG4249" i="1"/>
  <c r="AF4249" i="1"/>
  <c r="AE4249" i="1"/>
  <c r="AD4249" i="1"/>
  <c r="AC4249" i="1"/>
  <c r="AB4249" i="1"/>
  <c r="AA4249" i="1"/>
  <c r="Z4249" i="1"/>
  <c r="Y4249" i="1"/>
  <c r="X4249" i="1"/>
  <c r="W4249" i="1"/>
  <c r="V4249" i="1"/>
  <c r="AH4248" i="1"/>
  <c r="AG4248" i="1"/>
  <c r="AF4248" i="1"/>
  <c r="AE4248" i="1"/>
  <c r="AD4248" i="1"/>
  <c r="AC4248" i="1"/>
  <c r="AB4248" i="1"/>
  <c r="AA4248" i="1"/>
  <c r="Z4248" i="1"/>
  <c r="Y4248" i="1"/>
  <c r="X4248" i="1"/>
  <c r="W4248" i="1"/>
  <c r="V4248" i="1"/>
  <c r="AH4247" i="1"/>
  <c r="AG4247" i="1"/>
  <c r="AF4247" i="1"/>
  <c r="AE4247" i="1"/>
  <c r="AD4247" i="1"/>
  <c r="AC4247" i="1"/>
  <c r="AB4247" i="1"/>
  <c r="AA4247" i="1"/>
  <c r="Z4247" i="1"/>
  <c r="Y4247" i="1"/>
  <c r="X4247" i="1"/>
  <c r="W4247" i="1"/>
  <c r="V4247" i="1"/>
  <c r="AH4246" i="1"/>
  <c r="AG4246" i="1"/>
  <c r="AF4246" i="1"/>
  <c r="AE4246" i="1"/>
  <c r="AD4246" i="1"/>
  <c r="AC4246" i="1"/>
  <c r="AB4246" i="1"/>
  <c r="AA4246" i="1"/>
  <c r="Z4246" i="1"/>
  <c r="Y4246" i="1"/>
  <c r="X4246" i="1"/>
  <c r="W4246" i="1"/>
  <c r="V4246" i="1"/>
  <c r="AH4245" i="1"/>
  <c r="AG4245" i="1"/>
  <c r="AF4245" i="1"/>
  <c r="AE4245" i="1"/>
  <c r="AD4245" i="1"/>
  <c r="AC4245" i="1"/>
  <c r="AB4245" i="1"/>
  <c r="AA4245" i="1"/>
  <c r="Z4245" i="1"/>
  <c r="Y4245" i="1"/>
  <c r="X4245" i="1"/>
  <c r="W4245" i="1"/>
  <c r="V4245" i="1"/>
  <c r="AH4244" i="1"/>
  <c r="AG4244" i="1"/>
  <c r="AF4244" i="1"/>
  <c r="AE4244" i="1"/>
  <c r="AD4244" i="1"/>
  <c r="AC4244" i="1"/>
  <c r="AB4244" i="1"/>
  <c r="AA4244" i="1"/>
  <c r="Z4244" i="1"/>
  <c r="Y4244" i="1"/>
  <c r="X4244" i="1"/>
  <c r="W4244" i="1"/>
  <c r="V4244" i="1"/>
  <c r="AH4243" i="1"/>
  <c r="AG4243" i="1"/>
  <c r="AF4243" i="1"/>
  <c r="AE4243" i="1"/>
  <c r="AD4243" i="1"/>
  <c r="AC4243" i="1"/>
  <c r="AB4243" i="1"/>
  <c r="AA4243" i="1"/>
  <c r="Z4243" i="1"/>
  <c r="Y4243" i="1"/>
  <c r="X4243" i="1"/>
  <c r="W4243" i="1"/>
  <c r="V4243" i="1"/>
  <c r="AH4242" i="1"/>
  <c r="AG4242" i="1"/>
  <c r="AF4242" i="1"/>
  <c r="AE4242" i="1"/>
  <c r="AD4242" i="1"/>
  <c r="AC4242" i="1"/>
  <c r="AB4242" i="1"/>
  <c r="AA4242" i="1"/>
  <c r="Z4242" i="1"/>
  <c r="Y4242" i="1"/>
  <c r="X4242" i="1"/>
  <c r="W4242" i="1"/>
  <c r="V4242" i="1"/>
  <c r="AH4241" i="1"/>
  <c r="AG4241" i="1"/>
  <c r="AF4241" i="1"/>
  <c r="AE4241" i="1"/>
  <c r="AD4241" i="1"/>
  <c r="AC4241" i="1"/>
  <c r="AB4241" i="1"/>
  <c r="AA4241" i="1"/>
  <c r="Z4241" i="1"/>
  <c r="Y4241" i="1"/>
  <c r="X4241" i="1"/>
  <c r="W4241" i="1"/>
  <c r="V4241" i="1"/>
  <c r="AH4240" i="1"/>
  <c r="AG4240" i="1"/>
  <c r="AF4240" i="1"/>
  <c r="AE4240" i="1"/>
  <c r="AD4240" i="1"/>
  <c r="AC4240" i="1"/>
  <c r="AB4240" i="1"/>
  <c r="AA4240" i="1"/>
  <c r="Z4240" i="1"/>
  <c r="Y4240" i="1"/>
  <c r="X4240" i="1"/>
  <c r="W4240" i="1"/>
  <c r="V4240" i="1"/>
  <c r="AH4239" i="1"/>
  <c r="AG4239" i="1"/>
  <c r="AF4239" i="1"/>
  <c r="AE4239" i="1"/>
  <c r="AD4239" i="1"/>
  <c r="AC4239" i="1"/>
  <c r="AB4239" i="1"/>
  <c r="AA4239" i="1"/>
  <c r="Z4239" i="1"/>
  <c r="Y4239" i="1"/>
  <c r="X4239" i="1"/>
  <c r="W4239" i="1"/>
  <c r="V4239" i="1"/>
  <c r="AH4238" i="1"/>
  <c r="AG4238" i="1"/>
  <c r="AF4238" i="1"/>
  <c r="AE4238" i="1"/>
  <c r="AD4238" i="1"/>
  <c r="AC4238" i="1"/>
  <c r="AB4238" i="1"/>
  <c r="AA4238" i="1"/>
  <c r="Z4238" i="1"/>
  <c r="Y4238" i="1"/>
  <c r="X4238" i="1"/>
  <c r="W4238" i="1"/>
  <c r="V4238" i="1"/>
  <c r="AH4237" i="1"/>
  <c r="AG4237" i="1"/>
  <c r="AF4237" i="1"/>
  <c r="AE4237" i="1"/>
  <c r="AD4237" i="1"/>
  <c r="AC4237" i="1"/>
  <c r="AB4237" i="1"/>
  <c r="AA4237" i="1"/>
  <c r="Z4237" i="1"/>
  <c r="Y4237" i="1"/>
  <c r="X4237" i="1"/>
  <c r="W4237" i="1"/>
  <c r="V4237" i="1"/>
  <c r="AH4236" i="1"/>
  <c r="AG4236" i="1"/>
  <c r="AF4236" i="1"/>
  <c r="AE4236" i="1"/>
  <c r="AD4236" i="1"/>
  <c r="AC4236" i="1"/>
  <c r="AB4236" i="1"/>
  <c r="AA4236" i="1"/>
  <c r="Z4236" i="1"/>
  <c r="Y4236" i="1"/>
  <c r="X4236" i="1"/>
  <c r="W4236" i="1"/>
  <c r="V4236" i="1"/>
  <c r="AH4235" i="1"/>
  <c r="AG4235" i="1"/>
  <c r="AF4235" i="1"/>
  <c r="AE4235" i="1"/>
  <c r="AD4235" i="1"/>
  <c r="AC4235" i="1"/>
  <c r="AB4235" i="1"/>
  <c r="AA4235" i="1"/>
  <c r="Z4235" i="1"/>
  <c r="Y4235" i="1"/>
  <c r="X4235" i="1"/>
  <c r="W4235" i="1"/>
  <c r="V4235" i="1"/>
  <c r="AH4234" i="1"/>
  <c r="AG4234" i="1"/>
  <c r="AF4234" i="1"/>
  <c r="AE4234" i="1"/>
  <c r="AD4234" i="1"/>
  <c r="AC4234" i="1"/>
  <c r="AB4234" i="1"/>
  <c r="AA4234" i="1"/>
  <c r="Z4234" i="1"/>
  <c r="Y4234" i="1"/>
  <c r="X4234" i="1"/>
  <c r="W4234" i="1"/>
  <c r="V4234" i="1"/>
  <c r="AH4233" i="1"/>
  <c r="AG4233" i="1"/>
  <c r="AF4233" i="1"/>
  <c r="AE4233" i="1"/>
  <c r="AD4233" i="1"/>
  <c r="AC4233" i="1"/>
  <c r="AB4233" i="1"/>
  <c r="AA4233" i="1"/>
  <c r="Z4233" i="1"/>
  <c r="Y4233" i="1"/>
  <c r="X4233" i="1"/>
  <c r="W4233" i="1"/>
  <c r="V4233" i="1"/>
  <c r="AH4232" i="1"/>
  <c r="AG4232" i="1"/>
  <c r="AF4232" i="1"/>
  <c r="AE4232" i="1"/>
  <c r="AD4232" i="1"/>
  <c r="AC4232" i="1"/>
  <c r="AB4232" i="1"/>
  <c r="AA4232" i="1"/>
  <c r="Z4232" i="1"/>
  <c r="Y4232" i="1"/>
  <c r="X4232" i="1"/>
  <c r="W4232" i="1"/>
  <c r="V4232" i="1"/>
  <c r="AH4231" i="1"/>
  <c r="AG4231" i="1"/>
  <c r="AF4231" i="1"/>
  <c r="AE4231" i="1"/>
  <c r="AD4231" i="1"/>
  <c r="AC4231" i="1"/>
  <c r="AB4231" i="1"/>
  <c r="AA4231" i="1"/>
  <c r="Z4231" i="1"/>
  <c r="Y4231" i="1"/>
  <c r="X4231" i="1"/>
  <c r="W4231" i="1"/>
  <c r="V4231" i="1"/>
  <c r="AH4230" i="1"/>
  <c r="AG4230" i="1"/>
  <c r="AF4230" i="1"/>
  <c r="AE4230" i="1"/>
  <c r="AD4230" i="1"/>
  <c r="AC4230" i="1"/>
  <c r="AB4230" i="1"/>
  <c r="AA4230" i="1"/>
  <c r="Z4230" i="1"/>
  <c r="Y4230" i="1"/>
  <c r="X4230" i="1"/>
  <c r="W4230" i="1"/>
  <c r="V4230" i="1"/>
  <c r="AH4229" i="1"/>
  <c r="AG4229" i="1"/>
  <c r="AF4229" i="1"/>
  <c r="AE4229" i="1"/>
  <c r="AD4229" i="1"/>
  <c r="AC4229" i="1"/>
  <c r="AB4229" i="1"/>
  <c r="AA4229" i="1"/>
  <c r="Z4229" i="1"/>
  <c r="Y4229" i="1"/>
  <c r="X4229" i="1"/>
  <c r="W4229" i="1"/>
  <c r="V4229" i="1"/>
  <c r="AH4228" i="1"/>
  <c r="AG4228" i="1"/>
  <c r="AF4228" i="1"/>
  <c r="AE4228" i="1"/>
  <c r="AD4228" i="1"/>
  <c r="AC4228" i="1"/>
  <c r="AB4228" i="1"/>
  <c r="AA4228" i="1"/>
  <c r="Z4228" i="1"/>
  <c r="Y4228" i="1"/>
  <c r="X4228" i="1"/>
  <c r="W4228" i="1"/>
  <c r="V4228" i="1"/>
  <c r="AH4227" i="1"/>
  <c r="AG4227" i="1"/>
  <c r="AF4227" i="1"/>
  <c r="AE4227" i="1"/>
  <c r="AD4227" i="1"/>
  <c r="AC4227" i="1"/>
  <c r="AB4227" i="1"/>
  <c r="AA4227" i="1"/>
  <c r="Z4227" i="1"/>
  <c r="Y4227" i="1"/>
  <c r="X4227" i="1"/>
  <c r="W4227" i="1"/>
  <c r="V4227" i="1"/>
  <c r="AH4226" i="1"/>
  <c r="AG4226" i="1"/>
  <c r="AF4226" i="1"/>
  <c r="AE4226" i="1"/>
  <c r="AD4226" i="1"/>
  <c r="AC4226" i="1"/>
  <c r="AB4226" i="1"/>
  <c r="AA4226" i="1"/>
  <c r="Z4226" i="1"/>
  <c r="Y4226" i="1"/>
  <c r="X4226" i="1"/>
  <c r="W4226" i="1"/>
  <c r="V4226" i="1"/>
  <c r="AH4225" i="1"/>
  <c r="AG4225" i="1"/>
  <c r="AF4225" i="1"/>
  <c r="AE4225" i="1"/>
  <c r="AD4225" i="1"/>
  <c r="AC4225" i="1"/>
  <c r="AB4225" i="1"/>
  <c r="AA4225" i="1"/>
  <c r="Z4225" i="1"/>
  <c r="Y4225" i="1"/>
  <c r="X4225" i="1"/>
  <c r="W4225" i="1"/>
  <c r="V4225" i="1"/>
  <c r="AH4224" i="1"/>
  <c r="AG4224" i="1"/>
  <c r="AF4224" i="1"/>
  <c r="AE4224" i="1"/>
  <c r="AD4224" i="1"/>
  <c r="AC4224" i="1"/>
  <c r="AB4224" i="1"/>
  <c r="AA4224" i="1"/>
  <c r="Z4224" i="1"/>
  <c r="Y4224" i="1"/>
  <c r="X4224" i="1"/>
  <c r="W4224" i="1"/>
  <c r="V4224" i="1"/>
  <c r="AH4223" i="1"/>
  <c r="AG4223" i="1"/>
  <c r="AF4223" i="1"/>
  <c r="AE4223" i="1"/>
  <c r="AD4223" i="1"/>
  <c r="AC4223" i="1"/>
  <c r="AB4223" i="1"/>
  <c r="AA4223" i="1"/>
  <c r="Z4223" i="1"/>
  <c r="Y4223" i="1"/>
  <c r="X4223" i="1"/>
  <c r="W4223" i="1"/>
  <c r="V4223" i="1"/>
  <c r="AH4222" i="1"/>
  <c r="AG4222" i="1"/>
  <c r="AF4222" i="1"/>
  <c r="AE4222" i="1"/>
  <c r="AD4222" i="1"/>
  <c r="AC4222" i="1"/>
  <c r="AB4222" i="1"/>
  <c r="AA4222" i="1"/>
  <c r="Z4222" i="1"/>
  <c r="Y4222" i="1"/>
  <c r="X4222" i="1"/>
  <c r="W4222" i="1"/>
  <c r="V4222" i="1"/>
  <c r="AH4221" i="1"/>
  <c r="AG4221" i="1"/>
  <c r="AF4221" i="1"/>
  <c r="AE4221" i="1"/>
  <c r="AD4221" i="1"/>
  <c r="AC4221" i="1"/>
  <c r="AB4221" i="1"/>
  <c r="AA4221" i="1"/>
  <c r="Z4221" i="1"/>
  <c r="Y4221" i="1"/>
  <c r="X4221" i="1"/>
  <c r="W4221" i="1"/>
  <c r="V4221" i="1"/>
  <c r="AH4220" i="1"/>
  <c r="AG4220" i="1"/>
  <c r="AF4220" i="1"/>
  <c r="AE4220" i="1"/>
  <c r="AD4220" i="1"/>
  <c r="AC4220" i="1"/>
  <c r="AB4220" i="1"/>
  <c r="AA4220" i="1"/>
  <c r="Z4220" i="1"/>
  <c r="Y4220" i="1"/>
  <c r="X4220" i="1"/>
  <c r="W4220" i="1"/>
  <c r="V4220" i="1"/>
  <c r="AH4219" i="1"/>
  <c r="AG4219" i="1"/>
  <c r="AF4219" i="1"/>
  <c r="AE4219" i="1"/>
  <c r="AD4219" i="1"/>
  <c r="AC4219" i="1"/>
  <c r="AB4219" i="1"/>
  <c r="AA4219" i="1"/>
  <c r="Z4219" i="1"/>
  <c r="Y4219" i="1"/>
  <c r="X4219" i="1"/>
  <c r="W4219" i="1"/>
  <c r="V4219" i="1"/>
  <c r="AH4218" i="1"/>
  <c r="AG4218" i="1"/>
  <c r="AF4218" i="1"/>
  <c r="AE4218" i="1"/>
  <c r="AD4218" i="1"/>
  <c r="AC4218" i="1"/>
  <c r="AB4218" i="1"/>
  <c r="AA4218" i="1"/>
  <c r="Z4218" i="1"/>
  <c r="Y4218" i="1"/>
  <c r="X4218" i="1"/>
  <c r="W4218" i="1"/>
  <c r="V4218" i="1"/>
  <c r="AH4217" i="1"/>
  <c r="AG4217" i="1"/>
  <c r="AF4217" i="1"/>
  <c r="AE4217" i="1"/>
  <c r="AD4217" i="1"/>
  <c r="AC4217" i="1"/>
  <c r="AB4217" i="1"/>
  <c r="AA4217" i="1"/>
  <c r="Z4217" i="1"/>
  <c r="Y4217" i="1"/>
  <c r="X4217" i="1"/>
  <c r="W4217" i="1"/>
  <c r="V4217" i="1"/>
  <c r="AH4216" i="1"/>
  <c r="AG4216" i="1"/>
  <c r="AF4216" i="1"/>
  <c r="AE4216" i="1"/>
  <c r="AD4216" i="1"/>
  <c r="AC4216" i="1"/>
  <c r="AB4216" i="1"/>
  <c r="AA4216" i="1"/>
  <c r="Z4216" i="1"/>
  <c r="Y4216" i="1"/>
  <c r="X4216" i="1"/>
  <c r="W4216" i="1"/>
  <c r="V4216" i="1"/>
  <c r="AH4215" i="1"/>
  <c r="AG4215" i="1"/>
  <c r="AF4215" i="1"/>
  <c r="AE4215" i="1"/>
  <c r="AD4215" i="1"/>
  <c r="AC4215" i="1"/>
  <c r="AB4215" i="1"/>
  <c r="AA4215" i="1"/>
  <c r="Z4215" i="1"/>
  <c r="Y4215" i="1"/>
  <c r="X4215" i="1"/>
  <c r="W4215" i="1"/>
  <c r="V4215" i="1"/>
  <c r="AH4214" i="1"/>
  <c r="AG4214" i="1"/>
  <c r="AF4214" i="1"/>
  <c r="AE4214" i="1"/>
  <c r="AD4214" i="1"/>
  <c r="AC4214" i="1"/>
  <c r="AB4214" i="1"/>
  <c r="AA4214" i="1"/>
  <c r="Z4214" i="1"/>
  <c r="Y4214" i="1"/>
  <c r="X4214" i="1"/>
  <c r="W4214" i="1"/>
  <c r="V4214" i="1"/>
  <c r="AH4213" i="1"/>
  <c r="AG4213" i="1"/>
  <c r="AF4213" i="1"/>
  <c r="AE4213" i="1"/>
  <c r="AD4213" i="1"/>
  <c r="AC4213" i="1"/>
  <c r="AB4213" i="1"/>
  <c r="AA4213" i="1"/>
  <c r="Z4213" i="1"/>
  <c r="Y4213" i="1"/>
  <c r="X4213" i="1"/>
  <c r="W4213" i="1"/>
  <c r="V4213" i="1"/>
  <c r="AH4212" i="1"/>
  <c r="AG4212" i="1"/>
  <c r="AF4212" i="1"/>
  <c r="AE4212" i="1"/>
  <c r="AD4212" i="1"/>
  <c r="AC4212" i="1"/>
  <c r="AB4212" i="1"/>
  <c r="AA4212" i="1"/>
  <c r="Z4212" i="1"/>
  <c r="Y4212" i="1"/>
  <c r="X4212" i="1"/>
  <c r="W4212" i="1"/>
  <c r="V4212" i="1"/>
  <c r="AH4211" i="1"/>
  <c r="AG4211" i="1"/>
  <c r="AF4211" i="1"/>
  <c r="AE4211" i="1"/>
  <c r="AD4211" i="1"/>
  <c r="AC4211" i="1"/>
  <c r="AB4211" i="1"/>
  <c r="AA4211" i="1"/>
  <c r="Z4211" i="1"/>
  <c r="Y4211" i="1"/>
  <c r="X4211" i="1"/>
  <c r="W4211" i="1"/>
  <c r="V4211" i="1"/>
  <c r="AH4210" i="1"/>
  <c r="AG4210" i="1"/>
  <c r="AF4210" i="1"/>
  <c r="AE4210" i="1"/>
  <c r="AD4210" i="1"/>
  <c r="AC4210" i="1"/>
  <c r="AB4210" i="1"/>
  <c r="AA4210" i="1"/>
  <c r="Z4210" i="1"/>
  <c r="Y4210" i="1"/>
  <c r="X4210" i="1"/>
  <c r="W4210" i="1"/>
  <c r="V4210" i="1"/>
  <c r="AH4209" i="1"/>
  <c r="AG4209" i="1"/>
  <c r="AF4209" i="1"/>
  <c r="AE4209" i="1"/>
  <c r="AD4209" i="1"/>
  <c r="AC4209" i="1"/>
  <c r="AB4209" i="1"/>
  <c r="AA4209" i="1"/>
  <c r="Z4209" i="1"/>
  <c r="Y4209" i="1"/>
  <c r="X4209" i="1"/>
  <c r="W4209" i="1"/>
  <c r="V4209" i="1"/>
  <c r="AH4208" i="1"/>
  <c r="AG4208" i="1"/>
  <c r="AF4208" i="1"/>
  <c r="AE4208" i="1"/>
  <c r="AD4208" i="1"/>
  <c r="AC4208" i="1"/>
  <c r="AB4208" i="1"/>
  <c r="AA4208" i="1"/>
  <c r="Z4208" i="1"/>
  <c r="Y4208" i="1"/>
  <c r="X4208" i="1"/>
  <c r="W4208" i="1"/>
  <c r="V4208" i="1"/>
  <c r="AH4207" i="1"/>
  <c r="AG4207" i="1"/>
  <c r="AF4207" i="1"/>
  <c r="AE4207" i="1"/>
  <c r="AD4207" i="1"/>
  <c r="AC4207" i="1"/>
  <c r="AB4207" i="1"/>
  <c r="AA4207" i="1"/>
  <c r="Z4207" i="1"/>
  <c r="Y4207" i="1"/>
  <c r="X4207" i="1"/>
  <c r="W4207" i="1"/>
  <c r="V4207" i="1"/>
  <c r="AH4206" i="1"/>
  <c r="AG4206" i="1"/>
  <c r="AF4206" i="1"/>
  <c r="AE4206" i="1"/>
  <c r="AD4206" i="1"/>
  <c r="AC4206" i="1"/>
  <c r="AB4206" i="1"/>
  <c r="AA4206" i="1"/>
  <c r="Z4206" i="1"/>
  <c r="Y4206" i="1"/>
  <c r="X4206" i="1"/>
  <c r="W4206" i="1"/>
  <c r="V4206" i="1"/>
  <c r="AH4205" i="1"/>
  <c r="AG4205" i="1"/>
  <c r="AF4205" i="1"/>
  <c r="AE4205" i="1"/>
  <c r="AD4205" i="1"/>
  <c r="AC4205" i="1"/>
  <c r="AB4205" i="1"/>
  <c r="AA4205" i="1"/>
  <c r="Z4205" i="1"/>
  <c r="Y4205" i="1"/>
  <c r="X4205" i="1"/>
  <c r="W4205" i="1"/>
  <c r="V4205" i="1"/>
  <c r="AH4204" i="1"/>
  <c r="AG4204" i="1"/>
  <c r="AF4204" i="1"/>
  <c r="AE4204" i="1"/>
  <c r="AD4204" i="1"/>
  <c r="AC4204" i="1"/>
  <c r="AB4204" i="1"/>
  <c r="AA4204" i="1"/>
  <c r="Z4204" i="1"/>
  <c r="Y4204" i="1"/>
  <c r="X4204" i="1"/>
  <c r="W4204" i="1"/>
  <c r="V4204" i="1"/>
  <c r="AH4203" i="1"/>
  <c r="AG4203" i="1"/>
  <c r="AF4203" i="1"/>
  <c r="AE4203" i="1"/>
  <c r="AD4203" i="1"/>
  <c r="AC4203" i="1"/>
  <c r="AB4203" i="1"/>
  <c r="AA4203" i="1"/>
  <c r="Z4203" i="1"/>
  <c r="Y4203" i="1"/>
  <c r="X4203" i="1"/>
  <c r="W4203" i="1"/>
  <c r="V4203" i="1"/>
  <c r="AH4202" i="1"/>
  <c r="AG4202" i="1"/>
  <c r="AF4202" i="1"/>
  <c r="AE4202" i="1"/>
  <c r="AD4202" i="1"/>
  <c r="AC4202" i="1"/>
  <c r="AB4202" i="1"/>
  <c r="AA4202" i="1"/>
  <c r="Z4202" i="1"/>
  <c r="Y4202" i="1"/>
  <c r="X4202" i="1"/>
  <c r="W4202" i="1"/>
  <c r="V4202" i="1"/>
  <c r="AH4201" i="1"/>
  <c r="AG4201" i="1"/>
  <c r="AF4201" i="1"/>
  <c r="AE4201" i="1"/>
  <c r="AD4201" i="1"/>
  <c r="AC4201" i="1"/>
  <c r="AB4201" i="1"/>
  <c r="AA4201" i="1"/>
  <c r="Z4201" i="1"/>
  <c r="Y4201" i="1"/>
  <c r="X4201" i="1"/>
  <c r="W4201" i="1"/>
  <c r="V4201" i="1"/>
  <c r="AH4200" i="1"/>
  <c r="AG4200" i="1"/>
  <c r="AF4200" i="1"/>
  <c r="AE4200" i="1"/>
  <c r="AD4200" i="1"/>
  <c r="AC4200" i="1"/>
  <c r="AB4200" i="1"/>
  <c r="AA4200" i="1"/>
  <c r="Z4200" i="1"/>
  <c r="Y4200" i="1"/>
  <c r="X4200" i="1"/>
  <c r="W4200" i="1"/>
  <c r="V4200" i="1"/>
  <c r="AH4199" i="1"/>
  <c r="AG4199" i="1"/>
  <c r="AF4199" i="1"/>
  <c r="AE4199" i="1"/>
  <c r="AD4199" i="1"/>
  <c r="AC4199" i="1"/>
  <c r="AB4199" i="1"/>
  <c r="AA4199" i="1"/>
  <c r="Z4199" i="1"/>
  <c r="Y4199" i="1"/>
  <c r="X4199" i="1"/>
  <c r="W4199" i="1"/>
  <c r="V4199" i="1"/>
  <c r="AH4198" i="1"/>
  <c r="AG4198" i="1"/>
  <c r="AF4198" i="1"/>
  <c r="AE4198" i="1"/>
  <c r="AD4198" i="1"/>
  <c r="AC4198" i="1"/>
  <c r="AB4198" i="1"/>
  <c r="AA4198" i="1"/>
  <c r="Z4198" i="1"/>
  <c r="Y4198" i="1"/>
  <c r="X4198" i="1"/>
  <c r="W4198" i="1"/>
  <c r="V4198" i="1"/>
  <c r="AH4197" i="1"/>
  <c r="AG4197" i="1"/>
  <c r="AF4197" i="1"/>
  <c r="AE4197" i="1"/>
  <c r="AD4197" i="1"/>
  <c r="AC4197" i="1"/>
  <c r="AB4197" i="1"/>
  <c r="AA4197" i="1"/>
  <c r="Z4197" i="1"/>
  <c r="Y4197" i="1"/>
  <c r="X4197" i="1"/>
  <c r="W4197" i="1"/>
  <c r="V4197" i="1"/>
  <c r="AH4196" i="1"/>
  <c r="AG4196" i="1"/>
  <c r="AF4196" i="1"/>
  <c r="AE4196" i="1"/>
  <c r="AD4196" i="1"/>
  <c r="AC4196" i="1"/>
  <c r="AB4196" i="1"/>
  <c r="AA4196" i="1"/>
  <c r="Z4196" i="1"/>
  <c r="Y4196" i="1"/>
  <c r="X4196" i="1"/>
  <c r="W4196" i="1"/>
  <c r="V4196" i="1"/>
  <c r="AH4195" i="1"/>
  <c r="AG4195" i="1"/>
  <c r="AF4195" i="1"/>
  <c r="AE4195" i="1"/>
  <c r="AD4195" i="1"/>
  <c r="AC4195" i="1"/>
  <c r="AB4195" i="1"/>
  <c r="AA4195" i="1"/>
  <c r="Z4195" i="1"/>
  <c r="Y4195" i="1"/>
  <c r="X4195" i="1"/>
  <c r="W4195" i="1"/>
  <c r="V4195" i="1"/>
  <c r="AH4194" i="1"/>
  <c r="AG4194" i="1"/>
  <c r="AF4194" i="1"/>
  <c r="AE4194" i="1"/>
  <c r="AD4194" i="1"/>
  <c r="AC4194" i="1"/>
  <c r="AB4194" i="1"/>
  <c r="AA4194" i="1"/>
  <c r="Z4194" i="1"/>
  <c r="Y4194" i="1"/>
  <c r="X4194" i="1"/>
  <c r="W4194" i="1"/>
  <c r="V4194" i="1"/>
  <c r="AH4193" i="1"/>
  <c r="AG4193" i="1"/>
  <c r="AF4193" i="1"/>
  <c r="AE4193" i="1"/>
  <c r="AD4193" i="1"/>
  <c r="AC4193" i="1"/>
  <c r="AB4193" i="1"/>
  <c r="AA4193" i="1"/>
  <c r="Z4193" i="1"/>
  <c r="Y4193" i="1"/>
  <c r="X4193" i="1"/>
  <c r="W4193" i="1"/>
  <c r="V4193" i="1"/>
  <c r="AH4192" i="1"/>
  <c r="AG4192" i="1"/>
  <c r="AF4192" i="1"/>
  <c r="AE4192" i="1"/>
  <c r="AD4192" i="1"/>
  <c r="AC4192" i="1"/>
  <c r="AB4192" i="1"/>
  <c r="AA4192" i="1"/>
  <c r="Z4192" i="1"/>
  <c r="Y4192" i="1"/>
  <c r="X4192" i="1"/>
  <c r="W4192" i="1"/>
  <c r="V4192" i="1"/>
  <c r="AH4191" i="1"/>
  <c r="AG4191" i="1"/>
  <c r="AF4191" i="1"/>
  <c r="AE4191" i="1"/>
  <c r="AD4191" i="1"/>
  <c r="AC4191" i="1"/>
  <c r="AB4191" i="1"/>
  <c r="AA4191" i="1"/>
  <c r="Z4191" i="1"/>
  <c r="Y4191" i="1"/>
  <c r="X4191" i="1"/>
  <c r="W4191" i="1"/>
  <c r="V4191" i="1"/>
  <c r="AH4190" i="1"/>
  <c r="AG4190" i="1"/>
  <c r="AF4190" i="1"/>
  <c r="AE4190" i="1"/>
  <c r="AD4190" i="1"/>
  <c r="AC4190" i="1"/>
  <c r="AB4190" i="1"/>
  <c r="AA4190" i="1"/>
  <c r="Z4190" i="1"/>
  <c r="Y4190" i="1"/>
  <c r="X4190" i="1"/>
  <c r="W4190" i="1"/>
  <c r="V4190" i="1"/>
  <c r="AH4189" i="1"/>
  <c r="AG4189" i="1"/>
  <c r="AF4189" i="1"/>
  <c r="AE4189" i="1"/>
  <c r="AD4189" i="1"/>
  <c r="AC4189" i="1"/>
  <c r="AB4189" i="1"/>
  <c r="AA4189" i="1"/>
  <c r="Z4189" i="1"/>
  <c r="Y4189" i="1"/>
  <c r="X4189" i="1"/>
  <c r="W4189" i="1"/>
  <c r="V4189" i="1"/>
  <c r="AH4188" i="1"/>
  <c r="AG4188" i="1"/>
  <c r="AF4188" i="1"/>
  <c r="AE4188" i="1"/>
  <c r="AD4188" i="1"/>
  <c r="AC4188" i="1"/>
  <c r="AB4188" i="1"/>
  <c r="AA4188" i="1"/>
  <c r="Z4188" i="1"/>
  <c r="Y4188" i="1"/>
  <c r="X4188" i="1"/>
  <c r="W4188" i="1"/>
  <c r="V4188" i="1"/>
  <c r="AH4187" i="1"/>
  <c r="AG4187" i="1"/>
  <c r="AF4187" i="1"/>
  <c r="AE4187" i="1"/>
  <c r="AD4187" i="1"/>
  <c r="AC4187" i="1"/>
  <c r="AB4187" i="1"/>
  <c r="AA4187" i="1"/>
  <c r="Z4187" i="1"/>
  <c r="Y4187" i="1"/>
  <c r="X4187" i="1"/>
  <c r="W4187" i="1"/>
  <c r="V4187" i="1"/>
  <c r="AH4186" i="1"/>
  <c r="AG4186" i="1"/>
  <c r="AF4186" i="1"/>
  <c r="AE4186" i="1"/>
  <c r="AD4186" i="1"/>
  <c r="AC4186" i="1"/>
  <c r="AB4186" i="1"/>
  <c r="AA4186" i="1"/>
  <c r="Z4186" i="1"/>
  <c r="Y4186" i="1"/>
  <c r="X4186" i="1"/>
  <c r="W4186" i="1"/>
  <c r="V4186" i="1"/>
  <c r="AH4185" i="1"/>
  <c r="AG4185" i="1"/>
  <c r="AF4185" i="1"/>
  <c r="AE4185" i="1"/>
  <c r="AD4185" i="1"/>
  <c r="AC4185" i="1"/>
  <c r="AB4185" i="1"/>
  <c r="AA4185" i="1"/>
  <c r="Z4185" i="1"/>
  <c r="Y4185" i="1"/>
  <c r="X4185" i="1"/>
  <c r="W4185" i="1"/>
  <c r="V4185" i="1"/>
  <c r="AH4184" i="1"/>
  <c r="AG4184" i="1"/>
  <c r="AF4184" i="1"/>
  <c r="AE4184" i="1"/>
  <c r="AD4184" i="1"/>
  <c r="AC4184" i="1"/>
  <c r="AB4184" i="1"/>
  <c r="AA4184" i="1"/>
  <c r="Z4184" i="1"/>
  <c r="Y4184" i="1"/>
  <c r="X4184" i="1"/>
  <c r="W4184" i="1"/>
  <c r="V4184" i="1"/>
  <c r="AH4183" i="1"/>
  <c r="AG4183" i="1"/>
  <c r="AF4183" i="1"/>
  <c r="AE4183" i="1"/>
  <c r="AD4183" i="1"/>
  <c r="AC4183" i="1"/>
  <c r="AB4183" i="1"/>
  <c r="AA4183" i="1"/>
  <c r="Z4183" i="1"/>
  <c r="Y4183" i="1"/>
  <c r="X4183" i="1"/>
  <c r="W4183" i="1"/>
  <c r="V4183" i="1"/>
  <c r="AH4182" i="1"/>
  <c r="AG4182" i="1"/>
  <c r="AF4182" i="1"/>
  <c r="AE4182" i="1"/>
  <c r="AD4182" i="1"/>
  <c r="AC4182" i="1"/>
  <c r="AB4182" i="1"/>
  <c r="AA4182" i="1"/>
  <c r="Z4182" i="1"/>
  <c r="Y4182" i="1"/>
  <c r="X4182" i="1"/>
  <c r="W4182" i="1"/>
  <c r="V4182" i="1"/>
  <c r="AH4181" i="1"/>
  <c r="AG4181" i="1"/>
  <c r="AF4181" i="1"/>
  <c r="AE4181" i="1"/>
  <c r="AD4181" i="1"/>
  <c r="AC4181" i="1"/>
  <c r="AB4181" i="1"/>
  <c r="AA4181" i="1"/>
  <c r="Z4181" i="1"/>
  <c r="Y4181" i="1"/>
  <c r="X4181" i="1"/>
  <c r="W4181" i="1"/>
  <c r="V4181" i="1"/>
  <c r="AH4180" i="1"/>
  <c r="AG4180" i="1"/>
  <c r="AF4180" i="1"/>
  <c r="AE4180" i="1"/>
  <c r="AD4180" i="1"/>
  <c r="AC4180" i="1"/>
  <c r="AB4180" i="1"/>
  <c r="AA4180" i="1"/>
  <c r="Z4180" i="1"/>
  <c r="Y4180" i="1"/>
  <c r="X4180" i="1"/>
  <c r="W4180" i="1"/>
  <c r="V4180" i="1"/>
  <c r="AH4179" i="1"/>
  <c r="AG4179" i="1"/>
  <c r="AF4179" i="1"/>
  <c r="AE4179" i="1"/>
  <c r="AD4179" i="1"/>
  <c r="AC4179" i="1"/>
  <c r="AB4179" i="1"/>
  <c r="AA4179" i="1"/>
  <c r="Z4179" i="1"/>
  <c r="Y4179" i="1"/>
  <c r="X4179" i="1"/>
  <c r="W4179" i="1"/>
  <c r="V4179" i="1"/>
  <c r="AH4178" i="1"/>
  <c r="AG4178" i="1"/>
  <c r="AF4178" i="1"/>
  <c r="AE4178" i="1"/>
  <c r="AD4178" i="1"/>
  <c r="AC4178" i="1"/>
  <c r="AB4178" i="1"/>
  <c r="AA4178" i="1"/>
  <c r="Z4178" i="1"/>
  <c r="Y4178" i="1"/>
  <c r="X4178" i="1"/>
  <c r="W4178" i="1"/>
  <c r="V4178" i="1"/>
  <c r="AH4177" i="1"/>
  <c r="AG4177" i="1"/>
  <c r="AF4177" i="1"/>
  <c r="AE4177" i="1"/>
  <c r="AD4177" i="1"/>
  <c r="AC4177" i="1"/>
  <c r="AB4177" i="1"/>
  <c r="AA4177" i="1"/>
  <c r="Z4177" i="1"/>
  <c r="Y4177" i="1"/>
  <c r="X4177" i="1"/>
  <c r="W4177" i="1"/>
  <c r="V4177" i="1"/>
  <c r="AH4176" i="1"/>
  <c r="AG4176" i="1"/>
  <c r="AF4176" i="1"/>
  <c r="AE4176" i="1"/>
  <c r="AD4176" i="1"/>
  <c r="AC4176" i="1"/>
  <c r="AB4176" i="1"/>
  <c r="AA4176" i="1"/>
  <c r="Z4176" i="1"/>
  <c r="Y4176" i="1"/>
  <c r="X4176" i="1"/>
  <c r="W4176" i="1"/>
  <c r="V4176" i="1"/>
  <c r="AH4175" i="1"/>
  <c r="AG4175" i="1"/>
  <c r="AF4175" i="1"/>
  <c r="AE4175" i="1"/>
  <c r="AD4175" i="1"/>
  <c r="AC4175" i="1"/>
  <c r="AB4175" i="1"/>
  <c r="AA4175" i="1"/>
  <c r="Z4175" i="1"/>
  <c r="Y4175" i="1"/>
  <c r="X4175" i="1"/>
  <c r="W4175" i="1"/>
  <c r="V4175" i="1"/>
  <c r="AH4174" i="1"/>
  <c r="AG4174" i="1"/>
  <c r="AF4174" i="1"/>
  <c r="AE4174" i="1"/>
  <c r="AD4174" i="1"/>
  <c r="AC4174" i="1"/>
  <c r="AB4174" i="1"/>
  <c r="AA4174" i="1"/>
  <c r="Z4174" i="1"/>
  <c r="Y4174" i="1"/>
  <c r="X4174" i="1"/>
  <c r="W4174" i="1"/>
  <c r="V4174" i="1"/>
  <c r="AH4173" i="1"/>
  <c r="AG4173" i="1"/>
  <c r="AF4173" i="1"/>
  <c r="AE4173" i="1"/>
  <c r="AD4173" i="1"/>
  <c r="AC4173" i="1"/>
  <c r="AB4173" i="1"/>
  <c r="AA4173" i="1"/>
  <c r="Z4173" i="1"/>
  <c r="Y4173" i="1"/>
  <c r="X4173" i="1"/>
  <c r="W4173" i="1"/>
  <c r="V4173" i="1"/>
  <c r="AH4172" i="1"/>
  <c r="AG4172" i="1"/>
  <c r="AF4172" i="1"/>
  <c r="AE4172" i="1"/>
  <c r="AD4172" i="1"/>
  <c r="AC4172" i="1"/>
  <c r="AB4172" i="1"/>
  <c r="AA4172" i="1"/>
  <c r="Z4172" i="1"/>
  <c r="Y4172" i="1"/>
  <c r="X4172" i="1"/>
  <c r="W4172" i="1"/>
  <c r="V4172" i="1"/>
  <c r="AH4171" i="1"/>
  <c r="AG4171" i="1"/>
  <c r="AF4171" i="1"/>
  <c r="AE4171" i="1"/>
  <c r="AD4171" i="1"/>
  <c r="AC4171" i="1"/>
  <c r="AB4171" i="1"/>
  <c r="AA4171" i="1"/>
  <c r="Z4171" i="1"/>
  <c r="Y4171" i="1"/>
  <c r="X4171" i="1"/>
  <c r="W4171" i="1"/>
  <c r="V4171" i="1"/>
  <c r="AH4170" i="1"/>
  <c r="AG4170" i="1"/>
  <c r="AF4170" i="1"/>
  <c r="AE4170" i="1"/>
  <c r="AD4170" i="1"/>
  <c r="AC4170" i="1"/>
  <c r="AB4170" i="1"/>
  <c r="AA4170" i="1"/>
  <c r="Z4170" i="1"/>
  <c r="Y4170" i="1"/>
  <c r="X4170" i="1"/>
  <c r="W4170" i="1"/>
  <c r="V4170" i="1"/>
  <c r="AH4169" i="1"/>
  <c r="AG4169" i="1"/>
  <c r="AF4169" i="1"/>
  <c r="AE4169" i="1"/>
  <c r="AD4169" i="1"/>
  <c r="AC4169" i="1"/>
  <c r="AB4169" i="1"/>
  <c r="AA4169" i="1"/>
  <c r="Z4169" i="1"/>
  <c r="Y4169" i="1"/>
  <c r="X4169" i="1"/>
  <c r="W4169" i="1"/>
  <c r="V4169" i="1"/>
  <c r="AH4168" i="1"/>
  <c r="AG4168" i="1"/>
  <c r="AF4168" i="1"/>
  <c r="AE4168" i="1"/>
  <c r="AD4168" i="1"/>
  <c r="AC4168" i="1"/>
  <c r="AB4168" i="1"/>
  <c r="AA4168" i="1"/>
  <c r="Z4168" i="1"/>
  <c r="Y4168" i="1"/>
  <c r="X4168" i="1"/>
  <c r="W4168" i="1"/>
  <c r="V4168" i="1"/>
  <c r="AH4167" i="1"/>
  <c r="AG4167" i="1"/>
  <c r="AF4167" i="1"/>
  <c r="AE4167" i="1"/>
  <c r="AD4167" i="1"/>
  <c r="AC4167" i="1"/>
  <c r="AB4167" i="1"/>
  <c r="AA4167" i="1"/>
  <c r="Z4167" i="1"/>
  <c r="Y4167" i="1"/>
  <c r="X4167" i="1"/>
  <c r="W4167" i="1"/>
  <c r="V4167" i="1"/>
  <c r="AH4166" i="1"/>
  <c r="AG4166" i="1"/>
  <c r="AF4166" i="1"/>
  <c r="AE4166" i="1"/>
  <c r="AD4166" i="1"/>
  <c r="AC4166" i="1"/>
  <c r="AB4166" i="1"/>
  <c r="AA4166" i="1"/>
  <c r="Z4166" i="1"/>
  <c r="Y4166" i="1"/>
  <c r="X4166" i="1"/>
  <c r="W4166" i="1"/>
  <c r="V4166" i="1"/>
  <c r="AH4165" i="1"/>
  <c r="AG4165" i="1"/>
  <c r="AF4165" i="1"/>
  <c r="AE4165" i="1"/>
  <c r="AD4165" i="1"/>
  <c r="AC4165" i="1"/>
  <c r="AB4165" i="1"/>
  <c r="AA4165" i="1"/>
  <c r="Z4165" i="1"/>
  <c r="Y4165" i="1"/>
  <c r="X4165" i="1"/>
  <c r="W4165" i="1"/>
  <c r="V4165" i="1"/>
  <c r="AH4164" i="1"/>
  <c r="AG4164" i="1"/>
  <c r="AF4164" i="1"/>
  <c r="AE4164" i="1"/>
  <c r="AD4164" i="1"/>
  <c r="AC4164" i="1"/>
  <c r="AB4164" i="1"/>
  <c r="AA4164" i="1"/>
  <c r="Z4164" i="1"/>
  <c r="Y4164" i="1"/>
  <c r="X4164" i="1"/>
  <c r="W4164" i="1"/>
  <c r="V4164" i="1"/>
  <c r="AH4163" i="1"/>
  <c r="AG4163" i="1"/>
  <c r="AF4163" i="1"/>
  <c r="AE4163" i="1"/>
  <c r="AD4163" i="1"/>
  <c r="AC4163" i="1"/>
  <c r="AB4163" i="1"/>
  <c r="AA4163" i="1"/>
  <c r="Z4163" i="1"/>
  <c r="Y4163" i="1"/>
  <c r="X4163" i="1"/>
  <c r="W4163" i="1"/>
  <c r="V4163" i="1"/>
  <c r="AH4162" i="1"/>
  <c r="AG4162" i="1"/>
  <c r="AF4162" i="1"/>
  <c r="AE4162" i="1"/>
  <c r="AD4162" i="1"/>
  <c r="AC4162" i="1"/>
  <c r="AB4162" i="1"/>
  <c r="AA4162" i="1"/>
  <c r="Z4162" i="1"/>
  <c r="Y4162" i="1"/>
  <c r="X4162" i="1"/>
  <c r="W4162" i="1"/>
  <c r="V4162" i="1"/>
  <c r="AH4161" i="1"/>
  <c r="AG4161" i="1"/>
  <c r="AF4161" i="1"/>
  <c r="AE4161" i="1"/>
  <c r="AD4161" i="1"/>
  <c r="AC4161" i="1"/>
  <c r="AB4161" i="1"/>
  <c r="AA4161" i="1"/>
  <c r="Z4161" i="1"/>
  <c r="Y4161" i="1"/>
  <c r="X4161" i="1"/>
  <c r="W4161" i="1"/>
  <c r="V4161" i="1"/>
  <c r="AH4160" i="1"/>
  <c r="AG4160" i="1"/>
  <c r="AF4160" i="1"/>
  <c r="AE4160" i="1"/>
  <c r="AD4160" i="1"/>
  <c r="AC4160" i="1"/>
  <c r="AB4160" i="1"/>
  <c r="AA4160" i="1"/>
  <c r="Z4160" i="1"/>
  <c r="Y4160" i="1"/>
  <c r="X4160" i="1"/>
  <c r="W4160" i="1"/>
  <c r="V4160" i="1"/>
  <c r="AH4159" i="1"/>
  <c r="AG4159" i="1"/>
  <c r="AF4159" i="1"/>
  <c r="AE4159" i="1"/>
  <c r="AD4159" i="1"/>
  <c r="AC4159" i="1"/>
  <c r="AB4159" i="1"/>
  <c r="AA4159" i="1"/>
  <c r="Z4159" i="1"/>
  <c r="Y4159" i="1"/>
  <c r="X4159" i="1"/>
  <c r="W4159" i="1"/>
  <c r="V4159" i="1"/>
  <c r="AH4158" i="1"/>
  <c r="AG4158" i="1"/>
  <c r="AF4158" i="1"/>
  <c r="AE4158" i="1"/>
  <c r="AD4158" i="1"/>
  <c r="AC4158" i="1"/>
  <c r="AB4158" i="1"/>
  <c r="AA4158" i="1"/>
  <c r="Z4158" i="1"/>
  <c r="Y4158" i="1"/>
  <c r="X4158" i="1"/>
  <c r="W4158" i="1"/>
  <c r="V4158" i="1"/>
  <c r="AH4157" i="1"/>
  <c r="AG4157" i="1"/>
  <c r="AF4157" i="1"/>
  <c r="AE4157" i="1"/>
  <c r="AD4157" i="1"/>
  <c r="AC4157" i="1"/>
  <c r="AB4157" i="1"/>
  <c r="AA4157" i="1"/>
  <c r="Z4157" i="1"/>
  <c r="Y4157" i="1"/>
  <c r="X4157" i="1"/>
  <c r="W4157" i="1"/>
  <c r="V4157" i="1"/>
  <c r="AH4156" i="1"/>
  <c r="AG4156" i="1"/>
  <c r="AF4156" i="1"/>
  <c r="AE4156" i="1"/>
  <c r="AD4156" i="1"/>
  <c r="AC4156" i="1"/>
  <c r="AB4156" i="1"/>
  <c r="AA4156" i="1"/>
  <c r="Z4156" i="1"/>
  <c r="Y4156" i="1"/>
  <c r="X4156" i="1"/>
  <c r="W4156" i="1"/>
  <c r="V4156" i="1"/>
  <c r="AH4155" i="1"/>
  <c r="AG4155" i="1"/>
  <c r="AF4155" i="1"/>
  <c r="AE4155" i="1"/>
  <c r="AD4155" i="1"/>
  <c r="AC4155" i="1"/>
  <c r="AB4155" i="1"/>
  <c r="AA4155" i="1"/>
  <c r="Z4155" i="1"/>
  <c r="Y4155" i="1"/>
  <c r="X4155" i="1"/>
  <c r="W4155" i="1"/>
  <c r="V4155" i="1"/>
  <c r="AH4154" i="1"/>
  <c r="AG4154" i="1"/>
  <c r="AF4154" i="1"/>
  <c r="AE4154" i="1"/>
  <c r="AD4154" i="1"/>
  <c r="AC4154" i="1"/>
  <c r="AB4154" i="1"/>
  <c r="AA4154" i="1"/>
  <c r="Z4154" i="1"/>
  <c r="Y4154" i="1"/>
  <c r="X4154" i="1"/>
  <c r="W4154" i="1"/>
  <c r="V4154" i="1"/>
  <c r="AH4153" i="1"/>
  <c r="AG4153" i="1"/>
  <c r="AF4153" i="1"/>
  <c r="AE4153" i="1"/>
  <c r="AD4153" i="1"/>
  <c r="AC4153" i="1"/>
  <c r="AB4153" i="1"/>
  <c r="AA4153" i="1"/>
  <c r="Z4153" i="1"/>
  <c r="Y4153" i="1"/>
  <c r="X4153" i="1"/>
  <c r="W4153" i="1"/>
  <c r="V4153" i="1"/>
  <c r="AH4152" i="1"/>
  <c r="AG4152" i="1"/>
  <c r="AF4152" i="1"/>
  <c r="AE4152" i="1"/>
  <c r="AD4152" i="1"/>
  <c r="AC4152" i="1"/>
  <c r="AB4152" i="1"/>
  <c r="AA4152" i="1"/>
  <c r="Z4152" i="1"/>
  <c r="Y4152" i="1"/>
  <c r="X4152" i="1"/>
  <c r="W4152" i="1"/>
  <c r="V4152" i="1"/>
  <c r="AH4151" i="1"/>
  <c r="AG4151" i="1"/>
  <c r="AF4151" i="1"/>
  <c r="AE4151" i="1"/>
  <c r="AD4151" i="1"/>
  <c r="AC4151" i="1"/>
  <c r="AB4151" i="1"/>
  <c r="AA4151" i="1"/>
  <c r="Z4151" i="1"/>
  <c r="Y4151" i="1"/>
  <c r="X4151" i="1"/>
  <c r="W4151" i="1"/>
  <c r="V4151" i="1"/>
  <c r="AH4150" i="1"/>
  <c r="AG4150" i="1"/>
  <c r="AF4150" i="1"/>
  <c r="AE4150" i="1"/>
  <c r="AD4150" i="1"/>
  <c r="AC4150" i="1"/>
  <c r="AB4150" i="1"/>
  <c r="AA4150" i="1"/>
  <c r="Z4150" i="1"/>
  <c r="Y4150" i="1"/>
  <c r="X4150" i="1"/>
  <c r="W4150" i="1"/>
  <c r="V4150" i="1"/>
  <c r="AH4149" i="1"/>
  <c r="AG4149" i="1"/>
  <c r="AF4149" i="1"/>
  <c r="AE4149" i="1"/>
  <c r="AD4149" i="1"/>
  <c r="AC4149" i="1"/>
  <c r="AB4149" i="1"/>
  <c r="AA4149" i="1"/>
  <c r="Z4149" i="1"/>
  <c r="Y4149" i="1"/>
  <c r="X4149" i="1"/>
  <c r="W4149" i="1"/>
  <c r="V4149" i="1"/>
  <c r="AH4148" i="1"/>
  <c r="AG4148" i="1"/>
  <c r="AF4148" i="1"/>
  <c r="AE4148" i="1"/>
  <c r="AD4148" i="1"/>
  <c r="AC4148" i="1"/>
  <c r="AB4148" i="1"/>
  <c r="AA4148" i="1"/>
  <c r="Z4148" i="1"/>
  <c r="Y4148" i="1"/>
  <c r="X4148" i="1"/>
  <c r="W4148" i="1"/>
  <c r="V4148" i="1"/>
  <c r="AH4147" i="1"/>
  <c r="AG4147" i="1"/>
  <c r="AF4147" i="1"/>
  <c r="AE4147" i="1"/>
  <c r="AD4147" i="1"/>
  <c r="AC4147" i="1"/>
  <c r="AB4147" i="1"/>
  <c r="AA4147" i="1"/>
  <c r="Z4147" i="1"/>
  <c r="Y4147" i="1"/>
  <c r="X4147" i="1"/>
  <c r="W4147" i="1"/>
  <c r="V4147" i="1"/>
  <c r="AH4146" i="1"/>
  <c r="AG4146" i="1"/>
  <c r="AF4146" i="1"/>
  <c r="AE4146" i="1"/>
  <c r="AD4146" i="1"/>
  <c r="AC4146" i="1"/>
  <c r="AB4146" i="1"/>
  <c r="AA4146" i="1"/>
  <c r="Z4146" i="1"/>
  <c r="Y4146" i="1"/>
  <c r="X4146" i="1"/>
  <c r="W4146" i="1"/>
  <c r="V4146" i="1"/>
  <c r="AH4145" i="1"/>
  <c r="AG4145" i="1"/>
  <c r="AF4145" i="1"/>
  <c r="AE4145" i="1"/>
  <c r="AD4145" i="1"/>
  <c r="AC4145" i="1"/>
  <c r="AB4145" i="1"/>
  <c r="AA4145" i="1"/>
  <c r="Z4145" i="1"/>
  <c r="Y4145" i="1"/>
  <c r="X4145" i="1"/>
  <c r="W4145" i="1"/>
  <c r="V4145" i="1"/>
  <c r="AH4144" i="1"/>
  <c r="AG4144" i="1"/>
  <c r="AF4144" i="1"/>
  <c r="AE4144" i="1"/>
  <c r="AD4144" i="1"/>
  <c r="AC4144" i="1"/>
  <c r="AB4144" i="1"/>
  <c r="AA4144" i="1"/>
  <c r="Z4144" i="1"/>
  <c r="Y4144" i="1"/>
  <c r="X4144" i="1"/>
  <c r="W4144" i="1"/>
  <c r="V4144" i="1"/>
  <c r="AH4143" i="1"/>
  <c r="AG4143" i="1"/>
  <c r="AF4143" i="1"/>
  <c r="AE4143" i="1"/>
  <c r="AD4143" i="1"/>
  <c r="AC4143" i="1"/>
  <c r="AB4143" i="1"/>
  <c r="AA4143" i="1"/>
  <c r="Z4143" i="1"/>
  <c r="Y4143" i="1"/>
  <c r="X4143" i="1"/>
  <c r="W4143" i="1"/>
  <c r="V4143" i="1"/>
  <c r="AH4142" i="1"/>
  <c r="AG4142" i="1"/>
  <c r="AF4142" i="1"/>
  <c r="AE4142" i="1"/>
  <c r="AD4142" i="1"/>
  <c r="AC4142" i="1"/>
  <c r="AB4142" i="1"/>
  <c r="AA4142" i="1"/>
  <c r="Z4142" i="1"/>
  <c r="Y4142" i="1"/>
  <c r="X4142" i="1"/>
  <c r="W4142" i="1"/>
  <c r="V4142" i="1"/>
  <c r="AH4141" i="1"/>
  <c r="AG4141" i="1"/>
  <c r="AF4141" i="1"/>
  <c r="AE4141" i="1"/>
  <c r="AD4141" i="1"/>
  <c r="AC4141" i="1"/>
  <c r="AB4141" i="1"/>
  <c r="AA4141" i="1"/>
  <c r="Z4141" i="1"/>
  <c r="Y4141" i="1"/>
  <c r="X4141" i="1"/>
  <c r="W4141" i="1"/>
  <c r="V4141" i="1"/>
  <c r="AH4140" i="1"/>
  <c r="AG4140" i="1"/>
  <c r="AF4140" i="1"/>
  <c r="AE4140" i="1"/>
  <c r="AD4140" i="1"/>
  <c r="AC4140" i="1"/>
  <c r="AB4140" i="1"/>
  <c r="AA4140" i="1"/>
  <c r="Z4140" i="1"/>
  <c r="Y4140" i="1"/>
  <c r="X4140" i="1"/>
  <c r="W4140" i="1"/>
  <c r="V4140" i="1"/>
  <c r="AH4139" i="1"/>
  <c r="AG4139" i="1"/>
  <c r="AF4139" i="1"/>
  <c r="AE4139" i="1"/>
  <c r="AD4139" i="1"/>
  <c r="AC4139" i="1"/>
  <c r="AB4139" i="1"/>
  <c r="AA4139" i="1"/>
  <c r="Z4139" i="1"/>
  <c r="Y4139" i="1"/>
  <c r="X4139" i="1"/>
  <c r="W4139" i="1"/>
  <c r="V4139" i="1"/>
  <c r="AH4138" i="1"/>
  <c r="AG4138" i="1"/>
  <c r="AF4138" i="1"/>
  <c r="AE4138" i="1"/>
  <c r="AD4138" i="1"/>
  <c r="AC4138" i="1"/>
  <c r="AB4138" i="1"/>
  <c r="AA4138" i="1"/>
  <c r="Z4138" i="1"/>
  <c r="Y4138" i="1"/>
  <c r="X4138" i="1"/>
  <c r="W4138" i="1"/>
  <c r="V4138" i="1"/>
  <c r="AH4137" i="1"/>
  <c r="AG4137" i="1"/>
  <c r="AF4137" i="1"/>
  <c r="AE4137" i="1"/>
  <c r="AD4137" i="1"/>
  <c r="AC4137" i="1"/>
  <c r="AB4137" i="1"/>
  <c r="AA4137" i="1"/>
  <c r="Z4137" i="1"/>
  <c r="Y4137" i="1"/>
  <c r="X4137" i="1"/>
  <c r="W4137" i="1"/>
  <c r="V4137" i="1"/>
  <c r="AH4136" i="1"/>
  <c r="AG4136" i="1"/>
  <c r="AF4136" i="1"/>
  <c r="AE4136" i="1"/>
  <c r="AD4136" i="1"/>
  <c r="AC4136" i="1"/>
  <c r="AB4136" i="1"/>
  <c r="AA4136" i="1"/>
  <c r="Z4136" i="1"/>
  <c r="Y4136" i="1"/>
  <c r="X4136" i="1"/>
  <c r="W4136" i="1"/>
  <c r="V4136" i="1"/>
  <c r="AH4135" i="1"/>
  <c r="AG4135" i="1"/>
  <c r="AF4135" i="1"/>
  <c r="AE4135" i="1"/>
  <c r="AD4135" i="1"/>
  <c r="AC4135" i="1"/>
  <c r="AB4135" i="1"/>
  <c r="AA4135" i="1"/>
  <c r="Z4135" i="1"/>
  <c r="Y4135" i="1"/>
  <c r="X4135" i="1"/>
  <c r="W4135" i="1"/>
  <c r="V4135" i="1"/>
  <c r="AH4134" i="1"/>
  <c r="AG4134" i="1"/>
  <c r="AF4134" i="1"/>
  <c r="AE4134" i="1"/>
  <c r="AD4134" i="1"/>
  <c r="AC4134" i="1"/>
  <c r="AB4134" i="1"/>
  <c r="AA4134" i="1"/>
  <c r="Z4134" i="1"/>
  <c r="Y4134" i="1"/>
  <c r="X4134" i="1"/>
  <c r="W4134" i="1"/>
  <c r="V4134" i="1"/>
  <c r="AH4133" i="1"/>
  <c r="AG4133" i="1"/>
  <c r="AF4133" i="1"/>
  <c r="AE4133" i="1"/>
  <c r="AD4133" i="1"/>
  <c r="AC4133" i="1"/>
  <c r="AB4133" i="1"/>
  <c r="AA4133" i="1"/>
  <c r="Z4133" i="1"/>
  <c r="Y4133" i="1"/>
  <c r="X4133" i="1"/>
  <c r="W4133" i="1"/>
  <c r="V4133" i="1"/>
  <c r="AH4132" i="1"/>
  <c r="AG4132" i="1"/>
  <c r="AF4132" i="1"/>
  <c r="AE4132" i="1"/>
  <c r="AD4132" i="1"/>
  <c r="AC4132" i="1"/>
  <c r="AB4132" i="1"/>
  <c r="AA4132" i="1"/>
  <c r="Z4132" i="1"/>
  <c r="Y4132" i="1"/>
  <c r="X4132" i="1"/>
  <c r="W4132" i="1"/>
  <c r="V4132" i="1"/>
  <c r="AH4131" i="1"/>
  <c r="AG4131" i="1"/>
  <c r="AF4131" i="1"/>
  <c r="AE4131" i="1"/>
  <c r="AD4131" i="1"/>
  <c r="AC4131" i="1"/>
  <c r="AB4131" i="1"/>
  <c r="AA4131" i="1"/>
  <c r="Z4131" i="1"/>
  <c r="Y4131" i="1"/>
  <c r="X4131" i="1"/>
  <c r="W4131" i="1"/>
  <c r="V4131" i="1"/>
  <c r="AH4130" i="1"/>
  <c r="AG4130" i="1"/>
  <c r="AF4130" i="1"/>
  <c r="AE4130" i="1"/>
  <c r="AD4130" i="1"/>
  <c r="AC4130" i="1"/>
  <c r="AB4130" i="1"/>
  <c r="AA4130" i="1"/>
  <c r="Z4130" i="1"/>
  <c r="Y4130" i="1"/>
  <c r="X4130" i="1"/>
  <c r="W4130" i="1"/>
  <c r="V4130" i="1"/>
  <c r="AH4129" i="1"/>
  <c r="AG4129" i="1"/>
  <c r="AF4129" i="1"/>
  <c r="AE4129" i="1"/>
  <c r="AD4129" i="1"/>
  <c r="AC4129" i="1"/>
  <c r="AB4129" i="1"/>
  <c r="AA4129" i="1"/>
  <c r="Z4129" i="1"/>
  <c r="Y4129" i="1"/>
  <c r="X4129" i="1"/>
  <c r="W4129" i="1"/>
  <c r="V4129" i="1"/>
  <c r="AH4128" i="1"/>
  <c r="AG4128" i="1"/>
  <c r="AF4128" i="1"/>
  <c r="AE4128" i="1"/>
  <c r="AD4128" i="1"/>
  <c r="AC4128" i="1"/>
  <c r="AB4128" i="1"/>
  <c r="AA4128" i="1"/>
  <c r="Z4128" i="1"/>
  <c r="Y4128" i="1"/>
  <c r="X4128" i="1"/>
  <c r="W4128" i="1"/>
  <c r="V4128" i="1"/>
  <c r="AH4127" i="1"/>
  <c r="AG4127" i="1"/>
  <c r="AF4127" i="1"/>
  <c r="AE4127" i="1"/>
  <c r="AD4127" i="1"/>
  <c r="AC4127" i="1"/>
  <c r="AB4127" i="1"/>
  <c r="AA4127" i="1"/>
  <c r="Z4127" i="1"/>
  <c r="Y4127" i="1"/>
  <c r="X4127" i="1"/>
  <c r="W4127" i="1"/>
  <c r="V4127" i="1"/>
  <c r="AH4126" i="1"/>
  <c r="AG4126" i="1"/>
  <c r="AF4126" i="1"/>
  <c r="AE4126" i="1"/>
  <c r="AD4126" i="1"/>
  <c r="AC4126" i="1"/>
  <c r="AB4126" i="1"/>
  <c r="AA4126" i="1"/>
  <c r="Z4126" i="1"/>
  <c r="Y4126" i="1"/>
  <c r="X4126" i="1"/>
  <c r="W4126" i="1"/>
  <c r="V4126" i="1"/>
  <c r="AH4125" i="1"/>
  <c r="AG4125" i="1"/>
  <c r="AF4125" i="1"/>
  <c r="AE4125" i="1"/>
  <c r="AD4125" i="1"/>
  <c r="AC4125" i="1"/>
  <c r="AB4125" i="1"/>
  <c r="AA4125" i="1"/>
  <c r="Z4125" i="1"/>
  <c r="Y4125" i="1"/>
  <c r="X4125" i="1"/>
  <c r="W4125" i="1"/>
  <c r="V4125" i="1"/>
  <c r="AH4124" i="1"/>
  <c r="AG4124" i="1"/>
  <c r="AF4124" i="1"/>
  <c r="AE4124" i="1"/>
  <c r="AD4124" i="1"/>
  <c r="AC4124" i="1"/>
  <c r="AB4124" i="1"/>
  <c r="AA4124" i="1"/>
  <c r="Z4124" i="1"/>
  <c r="Y4124" i="1"/>
  <c r="X4124" i="1"/>
  <c r="W4124" i="1"/>
  <c r="V4124" i="1"/>
  <c r="AH4123" i="1"/>
  <c r="AG4123" i="1"/>
  <c r="AF4123" i="1"/>
  <c r="AE4123" i="1"/>
  <c r="AD4123" i="1"/>
  <c r="AC4123" i="1"/>
  <c r="AB4123" i="1"/>
  <c r="AA4123" i="1"/>
  <c r="Z4123" i="1"/>
  <c r="Y4123" i="1"/>
  <c r="X4123" i="1"/>
  <c r="W4123" i="1"/>
  <c r="V4123" i="1"/>
  <c r="AH4122" i="1"/>
  <c r="AG4122" i="1"/>
  <c r="AF4122" i="1"/>
  <c r="AE4122" i="1"/>
  <c r="AD4122" i="1"/>
  <c r="AC4122" i="1"/>
  <c r="AB4122" i="1"/>
  <c r="AA4122" i="1"/>
  <c r="Z4122" i="1"/>
  <c r="Y4122" i="1"/>
  <c r="X4122" i="1"/>
  <c r="W4122" i="1"/>
  <c r="V4122" i="1"/>
  <c r="AH4121" i="1"/>
  <c r="AG4121" i="1"/>
  <c r="AF4121" i="1"/>
  <c r="AE4121" i="1"/>
  <c r="AD4121" i="1"/>
  <c r="AC4121" i="1"/>
  <c r="AB4121" i="1"/>
  <c r="AA4121" i="1"/>
  <c r="Z4121" i="1"/>
  <c r="Y4121" i="1"/>
  <c r="X4121" i="1"/>
  <c r="W4121" i="1"/>
  <c r="V4121" i="1"/>
  <c r="AH4120" i="1"/>
  <c r="AG4120" i="1"/>
  <c r="AF4120" i="1"/>
  <c r="AE4120" i="1"/>
  <c r="AD4120" i="1"/>
  <c r="AC4120" i="1"/>
  <c r="AB4120" i="1"/>
  <c r="AA4120" i="1"/>
  <c r="Z4120" i="1"/>
  <c r="Y4120" i="1"/>
  <c r="X4120" i="1"/>
  <c r="W4120" i="1"/>
  <c r="V4120" i="1"/>
  <c r="AH4119" i="1"/>
  <c r="AG4119" i="1"/>
  <c r="AF4119" i="1"/>
  <c r="AE4119" i="1"/>
  <c r="AD4119" i="1"/>
  <c r="AC4119" i="1"/>
  <c r="AB4119" i="1"/>
  <c r="AA4119" i="1"/>
  <c r="Z4119" i="1"/>
  <c r="Y4119" i="1"/>
  <c r="X4119" i="1"/>
  <c r="W4119" i="1"/>
  <c r="V4119" i="1"/>
  <c r="AH4118" i="1"/>
  <c r="AG4118" i="1"/>
  <c r="AF4118" i="1"/>
  <c r="AE4118" i="1"/>
  <c r="AD4118" i="1"/>
  <c r="AC4118" i="1"/>
  <c r="AB4118" i="1"/>
  <c r="AA4118" i="1"/>
  <c r="Z4118" i="1"/>
  <c r="Y4118" i="1"/>
  <c r="X4118" i="1"/>
  <c r="W4118" i="1"/>
  <c r="V4118" i="1"/>
  <c r="AH4117" i="1"/>
  <c r="AG4117" i="1"/>
  <c r="AF4117" i="1"/>
  <c r="AE4117" i="1"/>
  <c r="AD4117" i="1"/>
  <c r="AC4117" i="1"/>
  <c r="AB4117" i="1"/>
  <c r="AA4117" i="1"/>
  <c r="Z4117" i="1"/>
  <c r="Y4117" i="1"/>
  <c r="X4117" i="1"/>
  <c r="W4117" i="1"/>
  <c r="V4117" i="1"/>
  <c r="AH4116" i="1"/>
  <c r="AG4116" i="1"/>
  <c r="AF4116" i="1"/>
  <c r="AE4116" i="1"/>
  <c r="AD4116" i="1"/>
  <c r="AC4116" i="1"/>
  <c r="AB4116" i="1"/>
  <c r="AA4116" i="1"/>
  <c r="Z4116" i="1"/>
  <c r="Y4116" i="1"/>
  <c r="X4116" i="1"/>
  <c r="W4116" i="1"/>
  <c r="V4116" i="1"/>
  <c r="AH4115" i="1"/>
  <c r="AG4115" i="1"/>
  <c r="AF4115" i="1"/>
  <c r="AE4115" i="1"/>
  <c r="AD4115" i="1"/>
  <c r="AC4115" i="1"/>
  <c r="AB4115" i="1"/>
  <c r="AA4115" i="1"/>
  <c r="Z4115" i="1"/>
  <c r="Y4115" i="1"/>
  <c r="X4115" i="1"/>
  <c r="W4115" i="1"/>
  <c r="V4115" i="1"/>
  <c r="AH4114" i="1"/>
  <c r="AG4114" i="1"/>
  <c r="AF4114" i="1"/>
  <c r="AE4114" i="1"/>
  <c r="AD4114" i="1"/>
  <c r="AC4114" i="1"/>
  <c r="AB4114" i="1"/>
  <c r="AA4114" i="1"/>
  <c r="Z4114" i="1"/>
  <c r="Y4114" i="1"/>
  <c r="X4114" i="1"/>
  <c r="W4114" i="1"/>
  <c r="V4114" i="1"/>
  <c r="AH4113" i="1"/>
  <c r="AG4113" i="1"/>
  <c r="AF4113" i="1"/>
  <c r="AE4113" i="1"/>
  <c r="AD4113" i="1"/>
  <c r="AC4113" i="1"/>
  <c r="AB4113" i="1"/>
  <c r="AA4113" i="1"/>
  <c r="Z4113" i="1"/>
  <c r="Y4113" i="1"/>
  <c r="X4113" i="1"/>
  <c r="W4113" i="1"/>
  <c r="V4113" i="1"/>
  <c r="AH4112" i="1"/>
  <c r="AG4112" i="1"/>
  <c r="AF4112" i="1"/>
  <c r="AE4112" i="1"/>
  <c r="AD4112" i="1"/>
  <c r="AC4112" i="1"/>
  <c r="AB4112" i="1"/>
  <c r="AA4112" i="1"/>
  <c r="Z4112" i="1"/>
  <c r="Y4112" i="1"/>
  <c r="X4112" i="1"/>
  <c r="W4112" i="1"/>
  <c r="V4112" i="1"/>
  <c r="AH4111" i="1"/>
  <c r="AG4111" i="1"/>
  <c r="AF4111" i="1"/>
  <c r="AE4111" i="1"/>
  <c r="AD4111" i="1"/>
  <c r="AC4111" i="1"/>
  <c r="AB4111" i="1"/>
  <c r="AA4111" i="1"/>
  <c r="Z4111" i="1"/>
  <c r="Y4111" i="1"/>
  <c r="X4111" i="1"/>
  <c r="W4111" i="1"/>
  <c r="V4111" i="1"/>
  <c r="AH4110" i="1"/>
  <c r="AG4110" i="1"/>
  <c r="AF4110" i="1"/>
  <c r="AE4110" i="1"/>
  <c r="AD4110" i="1"/>
  <c r="AC4110" i="1"/>
  <c r="AB4110" i="1"/>
  <c r="AA4110" i="1"/>
  <c r="Z4110" i="1"/>
  <c r="Y4110" i="1"/>
  <c r="X4110" i="1"/>
  <c r="W4110" i="1"/>
  <c r="V4110" i="1"/>
  <c r="AH4109" i="1"/>
  <c r="AG4109" i="1"/>
  <c r="AF4109" i="1"/>
  <c r="AE4109" i="1"/>
  <c r="AD4109" i="1"/>
  <c r="AC4109" i="1"/>
  <c r="AB4109" i="1"/>
  <c r="AA4109" i="1"/>
  <c r="Z4109" i="1"/>
  <c r="Y4109" i="1"/>
  <c r="X4109" i="1"/>
  <c r="W4109" i="1"/>
  <c r="V4109" i="1"/>
  <c r="AH4108" i="1"/>
  <c r="AG4108" i="1"/>
  <c r="AF4108" i="1"/>
  <c r="AE4108" i="1"/>
  <c r="AD4108" i="1"/>
  <c r="AC4108" i="1"/>
  <c r="AB4108" i="1"/>
  <c r="AA4108" i="1"/>
  <c r="Z4108" i="1"/>
  <c r="Y4108" i="1"/>
  <c r="X4108" i="1"/>
  <c r="W4108" i="1"/>
  <c r="V4108" i="1"/>
  <c r="AH4107" i="1"/>
  <c r="AG4107" i="1"/>
  <c r="AF4107" i="1"/>
  <c r="AE4107" i="1"/>
  <c r="AD4107" i="1"/>
  <c r="AC4107" i="1"/>
  <c r="AB4107" i="1"/>
  <c r="AA4107" i="1"/>
  <c r="Z4107" i="1"/>
  <c r="Y4107" i="1"/>
  <c r="X4107" i="1"/>
  <c r="W4107" i="1"/>
  <c r="V4107" i="1"/>
  <c r="AH4106" i="1"/>
  <c r="AG4106" i="1"/>
  <c r="AF4106" i="1"/>
  <c r="AE4106" i="1"/>
  <c r="AD4106" i="1"/>
  <c r="AC4106" i="1"/>
  <c r="AB4106" i="1"/>
  <c r="AA4106" i="1"/>
  <c r="Z4106" i="1"/>
  <c r="Y4106" i="1"/>
  <c r="X4106" i="1"/>
  <c r="W4106" i="1"/>
  <c r="V4106" i="1"/>
  <c r="AH4105" i="1"/>
  <c r="AG4105" i="1"/>
  <c r="AF4105" i="1"/>
  <c r="AE4105" i="1"/>
  <c r="AD4105" i="1"/>
  <c r="AC4105" i="1"/>
  <c r="AB4105" i="1"/>
  <c r="AA4105" i="1"/>
  <c r="Z4105" i="1"/>
  <c r="Y4105" i="1"/>
  <c r="X4105" i="1"/>
  <c r="W4105" i="1"/>
  <c r="V4105" i="1"/>
  <c r="AH4104" i="1"/>
  <c r="AG4104" i="1"/>
  <c r="AF4104" i="1"/>
  <c r="AE4104" i="1"/>
  <c r="AD4104" i="1"/>
  <c r="AC4104" i="1"/>
  <c r="AB4104" i="1"/>
  <c r="AA4104" i="1"/>
  <c r="Z4104" i="1"/>
  <c r="Y4104" i="1"/>
  <c r="X4104" i="1"/>
  <c r="W4104" i="1"/>
  <c r="V4104" i="1"/>
  <c r="AH4103" i="1"/>
  <c r="AG4103" i="1"/>
  <c r="AF4103" i="1"/>
  <c r="AE4103" i="1"/>
  <c r="AD4103" i="1"/>
  <c r="AC4103" i="1"/>
  <c r="AB4103" i="1"/>
  <c r="AA4103" i="1"/>
  <c r="Z4103" i="1"/>
  <c r="Y4103" i="1"/>
  <c r="X4103" i="1"/>
  <c r="W4103" i="1"/>
  <c r="V4103" i="1"/>
  <c r="AH4102" i="1"/>
  <c r="AG4102" i="1"/>
  <c r="AF4102" i="1"/>
  <c r="AE4102" i="1"/>
  <c r="AD4102" i="1"/>
  <c r="AC4102" i="1"/>
  <c r="AB4102" i="1"/>
  <c r="AA4102" i="1"/>
  <c r="Z4102" i="1"/>
  <c r="Y4102" i="1"/>
  <c r="X4102" i="1"/>
  <c r="W4102" i="1"/>
  <c r="V4102" i="1"/>
  <c r="AH4101" i="1"/>
  <c r="AG4101" i="1"/>
  <c r="AF4101" i="1"/>
  <c r="AE4101" i="1"/>
  <c r="AD4101" i="1"/>
  <c r="AC4101" i="1"/>
  <c r="AB4101" i="1"/>
  <c r="AA4101" i="1"/>
  <c r="Z4101" i="1"/>
  <c r="Y4101" i="1"/>
  <c r="X4101" i="1"/>
  <c r="W4101" i="1"/>
  <c r="V4101" i="1"/>
  <c r="AH4100" i="1"/>
  <c r="AG4100" i="1"/>
  <c r="AF4100" i="1"/>
  <c r="AE4100" i="1"/>
  <c r="AD4100" i="1"/>
  <c r="AC4100" i="1"/>
  <c r="AB4100" i="1"/>
  <c r="AA4100" i="1"/>
  <c r="Z4100" i="1"/>
  <c r="Y4100" i="1"/>
  <c r="X4100" i="1"/>
  <c r="W4100" i="1"/>
  <c r="V4100" i="1"/>
  <c r="AH4099" i="1"/>
  <c r="AG4099" i="1"/>
  <c r="AF4099" i="1"/>
  <c r="AE4099" i="1"/>
  <c r="AD4099" i="1"/>
  <c r="AC4099" i="1"/>
  <c r="AB4099" i="1"/>
  <c r="AA4099" i="1"/>
  <c r="Z4099" i="1"/>
  <c r="Y4099" i="1"/>
  <c r="X4099" i="1"/>
  <c r="W4099" i="1"/>
  <c r="V4099" i="1"/>
  <c r="AH4098" i="1"/>
  <c r="AG4098" i="1"/>
  <c r="AF4098" i="1"/>
  <c r="AE4098" i="1"/>
  <c r="AD4098" i="1"/>
  <c r="AC4098" i="1"/>
  <c r="AB4098" i="1"/>
  <c r="AA4098" i="1"/>
  <c r="Z4098" i="1"/>
  <c r="Y4098" i="1"/>
  <c r="X4098" i="1"/>
  <c r="W4098" i="1"/>
  <c r="V4098" i="1"/>
  <c r="AH4097" i="1"/>
  <c r="AG4097" i="1"/>
  <c r="AF4097" i="1"/>
  <c r="AE4097" i="1"/>
  <c r="AD4097" i="1"/>
  <c r="AC4097" i="1"/>
  <c r="AB4097" i="1"/>
  <c r="AA4097" i="1"/>
  <c r="Z4097" i="1"/>
  <c r="Y4097" i="1"/>
  <c r="X4097" i="1"/>
  <c r="W4097" i="1"/>
  <c r="V4097" i="1"/>
  <c r="AH4096" i="1"/>
  <c r="AG4096" i="1"/>
  <c r="AF4096" i="1"/>
  <c r="AE4096" i="1"/>
  <c r="AD4096" i="1"/>
  <c r="AC4096" i="1"/>
  <c r="AB4096" i="1"/>
  <c r="AA4096" i="1"/>
  <c r="Z4096" i="1"/>
  <c r="Y4096" i="1"/>
  <c r="X4096" i="1"/>
  <c r="W4096" i="1"/>
  <c r="V4096" i="1"/>
  <c r="AH4095" i="1"/>
  <c r="AG4095" i="1"/>
  <c r="AF4095" i="1"/>
  <c r="AE4095" i="1"/>
  <c r="AD4095" i="1"/>
  <c r="AC4095" i="1"/>
  <c r="AB4095" i="1"/>
  <c r="AA4095" i="1"/>
  <c r="Z4095" i="1"/>
  <c r="Y4095" i="1"/>
  <c r="X4095" i="1"/>
  <c r="W4095" i="1"/>
  <c r="V4095" i="1"/>
  <c r="AH4094" i="1"/>
  <c r="AG4094" i="1"/>
  <c r="AF4094" i="1"/>
  <c r="AE4094" i="1"/>
  <c r="AD4094" i="1"/>
  <c r="AC4094" i="1"/>
  <c r="AB4094" i="1"/>
  <c r="AA4094" i="1"/>
  <c r="Z4094" i="1"/>
  <c r="Y4094" i="1"/>
  <c r="X4094" i="1"/>
  <c r="W4094" i="1"/>
  <c r="V4094" i="1"/>
  <c r="AH4093" i="1"/>
  <c r="AG4093" i="1"/>
  <c r="AF4093" i="1"/>
  <c r="AE4093" i="1"/>
  <c r="AD4093" i="1"/>
  <c r="AC4093" i="1"/>
  <c r="AB4093" i="1"/>
  <c r="AA4093" i="1"/>
  <c r="Z4093" i="1"/>
  <c r="Y4093" i="1"/>
  <c r="X4093" i="1"/>
  <c r="W4093" i="1"/>
  <c r="V4093" i="1"/>
  <c r="AH4092" i="1"/>
  <c r="AG4092" i="1"/>
  <c r="AF4092" i="1"/>
  <c r="AE4092" i="1"/>
  <c r="AD4092" i="1"/>
  <c r="AC4092" i="1"/>
  <c r="AB4092" i="1"/>
  <c r="AA4092" i="1"/>
  <c r="Z4092" i="1"/>
  <c r="Y4092" i="1"/>
  <c r="X4092" i="1"/>
  <c r="W4092" i="1"/>
  <c r="V4092" i="1"/>
  <c r="AH4091" i="1"/>
  <c r="AG4091" i="1"/>
  <c r="AF4091" i="1"/>
  <c r="AE4091" i="1"/>
  <c r="AD4091" i="1"/>
  <c r="AC4091" i="1"/>
  <c r="AB4091" i="1"/>
  <c r="AA4091" i="1"/>
  <c r="Z4091" i="1"/>
  <c r="Y4091" i="1"/>
  <c r="X4091" i="1"/>
  <c r="W4091" i="1"/>
  <c r="V4091" i="1"/>
  <c r="AH4090" i="1"/>
  <c r="AG4090" i="1"/>
  <c r="AF4090" i="1"/>
  <c r="AE4090" i="1"/>
  <c r="AD4090" i="1"/>
  <c r="AC4090" i="1"/>
  <c r="AB4090" i="1"/>
  <c r="AA4090" i="1"/>
  <c r="Z4090" i="1"/>
  <c r="Y4090" i="1"/>
  <c r="X4090" i="1"/>
  <c r="W4090" i="1"/>
  <c r="V4090" i="1"/>
  <c r="AH4089" i="1"/>
  <c r="AG4089" i="1"/>
  <c r="AF4089" i="1"/>
  <c r="AE4089" i="1"/>
  <c r="AD4089" i="1"/>
  <c r="AC4089" i="1"/>
  <c r="AB4089" i="1"/>
  <c r="AA4089" i="1"/>
  <c r="Z4089" i="1"/>
  <c r="Y4089" i="1"/>
  <c r="X4089" i="1"/>
  <c r="W4089" i="1"/>
  <c r="V4089" i="1"/>
  <c r="AH4088" i="1"/>
  <c r="AG4088" i="1"/>
  <c r="AF4088" i="1"/>
  <c r="AE4088" i="1"/>
  <c r="AD4088" i="1"/>
  <c r="AC4088" i="1"/>
  <c r="AB4088" i="1"/>
  <c r="AA4088" i="1"/>
  <c r="Z4088" i="1"/>
  <c r="Y4088" i="1"/>
  <c r="X4088" i="1"/>
  <c r="W4088" i="1"/>
  <c r="V4088" i="1"/>
  <c r="AH4087" i="1"/>
  <c r="AG4087" i="1"/>
  <c r="AF4087" i="1"/>
  <c r="AE4087" i="1"/>
  <c r="AD4087" i="1"/>
  <c r="AC4087" i="1"/>
  <c r="AB4087" i="1"/>
  <c r="AA4087" i="1"/>
  <c r="Z4087" i="1"/>
  <c r="Y4087" i="1"/>
  <c r="X4087" i="1"/>
  <c r="W4087" i="1"/>
  <c r="V4087" i="1"/>
  <c r="AH4086" i="1"/>
  <c r="AG4086" i="1"/>
  <c r="AF4086" i="1"/>
  <c r="AE4086" i="1"/>
  <c r="AD4086" i="1"/>
  <c r="AC4086" i="1"/>
  <c r="AB4086" i="1"/>
  <c r="AA4086" i="1"/>
  <c r="Z4086" i="1"/>
  <c r="Y4086" i="1"/>
  <c r="X4086" i="1"/>
  <c r="W4086" i="1"/>
  <c r="V4086" i="1"/>
  <c r="AH4085" i="1"/>
  <c r="AG4085" i="1"/>
  <c r="AF4085" i="1"/>
  <c r="AE4085" i="1"/>
  <c r="AD4085" i="1"/>
  <c r="AC4085" i="1"/>
  <c r="AB4085" i="1"/>
  <c r="AA4085" i="1"/>
  <c r="Z4085" i="1"/>
  <c r="Y4085" i="1"/>
  <c r="X4085" i="1"/>
  <c r="W4085" i="1"/>
  <c r="V4085" i="1"/>
  <c r="AH4084" i="1"/>
  <c r="AG4084" i="1"/>
  <c r="AF4084" i="1"/>
  <c r="AE4084" i="1"/>
  <c r="AD4084" i="1"/>
  <c r="AC4084" i="1"/>
  <c r="AB4084" i="1"/>
  <c r="AA4084" i="1"/>
  <c r="Z4084" i="1"/>
  <c r="Y4084" i="1"/>
  <c r="X4084" i="1"/>
  <c r="W4084" i="1"/>
  <c r="V4084" i="1"/>
  <c r="AH4083" i="1"/>
  <c r="AG4083" i="1"/>
  <c r="AF4083" i="1"/>
  <c r="AE4083" i="1"/>
  <c r="AD4083" i="1"/>
  <c r="AC4083" i="1"/>
  <c r="AB4083" i="1"/>
  <c r="AA4083" i="1"/>
  <c r="Z4083" i="1"/>
  <c r="Y4083" i="1"/>
  <c r="X4083" i="1"/>
  <c r="W4083" i="1"/>
  <c r="V4083" i="1"/>
  <c r="AH4082" i="1"/>
  <c r="AG4082" i="1"/>
  <c r="AF4082" i="1"/>
  <c r="AE4082" i="1"/>
  <c r="AD4082" i="1"/>
  <c r="AC4082" i="1"/>
  <c r="AB4082" i="1"/>
  <c r="AA4082" i="1"/>
  <c r="Z4082" i="1"/>
  <c r="Y4082" i="1"/>
  <c r="X4082" i="1"/>
  <c r="W4082" i="1"/>
  <c r="V4082" i="1"/>
  <c r="AH4081" i="1"/>
  <c r="AG4081" i="1"/>
  <c r="AF4081" i="1"/>
  <c r="AE4081" i="1"/>
  <c r="AD4081" i="1"/>
  <c r="AC4081" i="1"/>
  <c r="AB4081" i="1"/>
  <c r="AA4081" i="1"/>
  <c r="Z4081" i="1"/>
  <c r="Y4081" i="1"/>
  <c r="X4081" i="1"/>
  <c r="W4081" i="1"/>
  <c r="V4081" i="1"/>
  <c r="AH4080" i="1"/>
  <c r="AG4080" i="1"/>
  <c r="AF4080" i="1"/>
  <c r="AE4080" i="1"/>
  <c r="AD4080" i="1"/>
  <c r="AC4080" i="1"/>
  <c r="AB4080" i="1"/>
  <c r="AA4080" i="1"/>
  <c r="Z4080" i="1"/>
  <c r="Y4080" i="1"/>
  <c r="X4080" i="1"/>
  <c r="W4080" i="1"/>
  <c r="V4080" i="1"/>
  <c r="AH4079" i="1"/>
  <c r="AG4079" i="1"/>
  <c r="AF4079" i="1"/>
  <c r="AE4079" i="1"/>
  <c r="AD4079" i="1"/>
  <c r="AC4079" i="1"/>
  <c r="AB4079" i="1"/>
  <c r="AA4079" i="1"/>
  <c r="Z4079" i="1"/>
  <c r="Y4079" i="1"/>
  <c r="X4079" i="1"/>
  <c r="W4079" i="1"/>
  <c r="V4079" i="1"/>
  <c r="AH4078" i="1"/>
  <c r="AG4078" i="1"/>
  <c r="AF4078" i="1"/>
  <c r="AE4078" i="1"/>
  <c r="AD4078" i="1"/>
  <c r="AC4078" i="1"/>
  <c r="AB4078" i="1"/>
  <c r="AA4078" i="1"/>
  <c r="Z4078" i="1"/>
  <c r="Y4078" i="1"/>
  <c r="X4078" i="1"/>
  <c r="W4078" i="1"/>
  <c r="V4078" i="1"/>
  <c r="AH4077" i="1"/>
  <c r="AG4077" i="1"/>
  <c r="AF4077" i="1"/>
  <c r="AE4077" i="1"/>
  <c r="AD4077" i="1"/>
  <c r="AC4077" i="1"/>
  <c r="AB4077" i="1"/>
  <c r="AA4077" i="1"/>
  <c r="Z4077" i="1"/>
  <c r="Y4077" i="1"/>
  <c r="X4077" i="1"/>
  <c r="W4077" i="1"/>
  <c r="V4077" i="1"/>
  <c r="AH4076" i="1"/>
  <c r="AG4076" i="1"/>
  <c r="AF4076" i="1"/>
  <c r="AE4076" i="1"/>
  <c r="AD4076" i="1"/>
  <c r="AC4076" i="1"/>
  <c r="AB4076" i="1"/>
  <c r="AA4076" i="1"/>
  <c r="Z4076" i="1"/>
  <c r="Y4076" i="1"/>
  <c r="X4076" i="1"/>
  <c r="W4076" i="1"/>
  <c r="V4076" i="1"/>
  <c r="AH4075" i="1"/>
  <c r="AG4075" i="1"/>
  <c r="AF4075" i="1"/>
  <c r="AE4075" i="1"/>
  <c r="AD4075" i="1"/>
  <c r="AC4075" i="1"/>
  <c r="AB4075" i="1"/>
  <c r="AA4075" i="1"/>
  <c r="Z4075" i="1"/>
  <c r="Y4075" i="1"/>
  <c r="X4075" i="1"/>
  <c r="W4075" i="1"/>
  <c r="V4075" i="1"/>
  <c r="AH4074" i="1"/>
  <c r="AG4074" i="1"/>
  <c r="AF4074" i="1"/>
  <c r="AE4074" i="1"/>
  <c r="AD4074" i="1"/>
  <c r="AC4074" i="1"/>
  <c r="AB4074" i="1"/>
  <c r="AA4074" i="1"/>
  <c r="Z4074" i="1"/>
  <c r="Y4074" i="1"/>
  <c r="X4074" i="1"/>
  <c r="W4074" i="1"/>
  <c r="V4074" i="1"/>
  <c r="AH4073" i="1"/>
  <c r="AG4073" i="1"/>
  <c r="AF4073" i="1"/>
  <c r="AE4073" i="1"/>
  <c r="AD4073" i="1"/>
  <c r="AC4073" i="1"/>
  <c r="AB4073" i="1"/>
  <c r="AA4073" i="1"/>
  <c r="Z4073" i="1"/>
  <c r="Y4073" i="1"/>
  <c r="X4073" i="1"/>
  <c r="W4073" i="1"/>
  <c r="V4073" i="1"/>
  <c r="AH4072" i="1"/>
  <c r="AG4072" i="1"/>
  <c r="AF4072" i="1"/>
  <c r="AE4072" i="1"/>
  <c r="AD4072" i="1"/>
  <c r="AC4072" i="1"/>
  <c r="AB4072" i="1"/>
  <c r="AA4072" i="1"/>
  <c r="Z4072" i="1"/>
  <c r="Y4072" i="1"/>
  <c r="X4072" i="1"/>
  <c r="W4072" i="1"/>
  <c r="V4072" i="1"/>
  <c r="AH4071" i="1"/>
  <c r="AG4071" i="1"/>
  <c r="AF4071" i="1"/>
  <c r="AE4071" i="1"/>
  <c r="AD4071" i="1"/>
  <c r="AC4071" i="1"/>
  <c r="AB4071" i="1"/>
  <c r="AA4071" i="1"/>
  <c r="Z4071" i="1"/>
  <c r="Y4071" i="1"/>
  <c r="X4071" i="1"/>
  <c r="W4071" i="1"/>
  <c r="V4071" i="1"/>
  <c r="AH4070" i="1"/>
  <c r="AG4070" i="1"/>
  <c r="AF4070" i="1"/>
  <c r="AE4070" i="1"/>
  <c r="AD4070" i="1"/>
  <c r="AC4070" i="1"/>
  <c r="AB4070" i="1"/>
  <c r="AA4070" i="1"/>
  <c r="Z4070" i="1"/>
  <c r="Y4070" i="1"/>
  <c r="X4070" i="1"/>
  <c r="W4070" i="1"/>
  <c r="V4070" i="1"/>
  <c r="AH4069" i="1"/>
  <c r="AG4069" i="1"/>
  <c r="AF4069" i="1"/>
  <c r="AE4069" i="1"/>
  <c r="AD4069" i="1"/>
  <c r="AC4069" i="1"/>
  <c r="AB4069" i="1"/>
  <c r="AA4069" i="1"/>
  <c r="Z4069" i="1"/>
  <c r="Y4069" i="1"/>
  <c r="X4069" i="1"/>
  <c r="W4069" i="1"/>
  <c r="V4069" i="1"/>
  <c r="AH4068" i="1"/>
  <c r="AG4068" i="1"/>
  <c r="AF4068" i="1"/>
  <c r="AE4068" i="1"/>
  <c r="AD4068" i="1"/>
  <c r="AC4068" i="1"/>
  <c r="AB4068" i="1"/>
  <c r="AA4068" i="1"/>
  <c r="Z4068" i="1"/>
  <c r="Y4068" i="1"/>
  <c r="X4068" i="1"/>
  <c r="W4068" i="1"/>
  <c r="V4068" i="1"/>
  <c r="AH4067" i="1"/>
  <c r="AG4067" i="1"/>
  <c r="AF4067" i="1"/>
  <c r="AE4067" i="1"/>
  <c r="AD4067" i="1"/>
  <c r="AC4067" i="1"/>
  <c r="AB4067" i="1"/>
  <c r="AA4067" i="1"/>
  <c r="Z4067" i="1"/>
  <c r="Y4067" i="1"/>
  <c r="X4067" i="1"/>
  <c r="W4067" i="1"/>
  <c r="V4067" i="1"/>
  <c r="AH4066" i="1"/>
  <c r="AG4066" i="1"/>
  <c r="AF4066" i="1"/>
  <c r="AE4066" i="1"/>
  <c r="AD4066" i="1"/>
  <c r="AC4066" i="1"/>
  <c r="AB4066" i="1"/>
  <c r="AA4066" i="1"/>
  <c r="Z4066" i="1"/>
  <c r="Y4066" i="1"/>
  <c r="X4066" i="1"/>
  <c r="W4066" i="1"/>
  <c r="V4066" i="1"/>
  <c r="AH4065" i="1"/>
  <c r="AG4065" i="1"/>
  <c r="AF4065" i="1"/>
  <c r="AE4065" i="1"/>
  <c r="AD4065" i="1"/>
  <c r="AC4065" i="1"/>
  <c r="AB4065" i="1"/>
  <c r="AA4065" i="1"/>
  <c r="Z4065" i="1"/>
  <c r="Y4065" i="1"/>
  <c r="X4065" i="1"/>
  <c r="W4065" i="1"/>
  <c r="V4065" i="1"/>
  <c r="AH4064" i="1"/>
  <c r="AG4064" i="1"/>
  <c r="AF4064" i="1"/>
  <c r="AE4064" i="1"/>
  <c r="AD4064" i="1"/>
  <c r="AC4064" i="1"/>
  <c r="AB4064" i="1"/>
  <c r="AA4064" i="1"/>
  <c r="Z4064" i="1"/>
  <c r="Y4064" i="1"/>
  <c r="X4064" i="1"/>
  <c r="W4064" i="1"/>
  <c r="V4064" i="1"/>
  <c r="AH4063" i="1"/>
  <c r="AG4063" i="1"/>
  <c r="AF4063" i="1"/>
  <c r="AE4063" i="1"/>
  <c r="AD4063" i="1"/>
  <c r="AC4063" i="1"/>
  <c r="AB4063" i="1"/>
  <c r="AA4063" i="1"/>
  <c r="Z4063" i="1"/>
  <c r="Y4063" i="1"/>
  <c r="X4063" i="1"/>
  <c r="W4063" i="1"/>
  <c r="V4063" i="1"/>
  <c r="AH4062" i="1"/>
  <c r="AG4062" i="1"/>
  <c r="AF4062" i="1"/>
  <c r="AE4062" i="1"/>
  <c r="AD4062" i="1"/>
  <c r="AC4062" i="1"/>
  <c r="AB4062" i="1"/>
  <c r="AA4062" i="1"/>
  <c r="Z4062" i="1"/>
  <c r="Y4062" i="1"/>
  <c r="X4062" i="1"/>
  <c r="W4062" i="1"/>
  <c r="V4062" i="1"/>
  <c r="AH4061" i="1"/>
  <c r="AG4061" i="1"/>
  <c r="AF4061" i="1"/>
  <c r="AE4061" i="1"/>
  <c r="AD4061" i="1"/>
  <c r="AC4061" i="1"/>
  <c r="AB4061" i="1"/>
  <c r="AA4061" i="1"/>
  <c r="Z4061" i="1"/>
  <c r="Y4061" i="1"/>
  <c r="X4061" i="1"/>
  <c r="W4061" i="1"/>
  <c r="V4061" i="1"/>
  <c r="AH4060" i="1"/>
  <c r="AG4060" i="1"/>
  <c r="AF4060" i="1"/>
  <c r="AE4060" i="1"/>
  <c r="AD4060" i="1"/>
  <c r="AC4060" i="1"/>
  <c r="AB4060" i="1"/>
  <c r="AA4060" i="1"/>
  <c r="Z4060" i="1"/>
  <c r="Y4060" i="1"/>
  <c r="X4060" i="1"/>
  <c r="W4060" i="1"/>
  <c r="V4060" i="1"/>
  <c r="AH4059" i="1"/>
  <c r="AG4059" i="1"/>
  <c r="AF4059" i="1"/>
  <c r="AE4059" i="1"/>
  <c r="AD4059" i="1"/>
  <c r="AC4059" i="1"/>
  <c r="AB4059" i="1"/>
  <c r="AA4059" i="1"/>
  <c r="Z4059" i="1"/>
  <c r="Y4059" i="1"/>
  <c r="X4059" i="1"/>
  <c r="W4059" i="1"/>
  <c r="V4059" i="1"/>
  <c r="AH4058" i="1"/>
  <c r="AG4058" i="1"/>
  <c r="AF4058" i="1"/>
  <c r="AE4058" i="1"/>
  <c r="AD4058" i="1"/>
  <c r="AC4058" i="1"/>
  <c r="AB4058" i="1"/>
  <c r="AA4058" i="1"/>
  <c r="Z4058" i="1"/>
  <c r="Y4058" i="1"/>
  <c r="X4058" i="1"/>
  <c r="W4058" i="1"/>
  <c r="V4058" i="1"/>
  <c r="AH4057" i="1"/>
  <c r="AG4057" i="1"/>
  <c r="AF4057" i="1"/>
  <c r="AE4057" i="1"/>
  <c r="AD4057" i="1"/>
  <c r="AC4057" i="1"/>
  <c r="AB4057" i="1"/>
  <c r="AA4057" i="1"/>
  <c r="Z4057" i="1"/>
  <c r="Y4057" i="1"/>
  <c r="X4057" i="1"/>
  <c r="W4057" i="1"/>
  <c r="V4057" i="1"/>
  <c r="AH4056" i="1"/>
  <c r="AG4056" i="1"/>
  <c r="AF4056" i="1"/>
  <c r="AE4056" i="1"/>
  <c r="AD4056" i="1"/>
  <c r="AC4056" i="1"/>
  <c r="AB4056" i="1"/>
  <c r="AA4056" i="1"/>
  <c r="Z4056" i="1"/>
  <c r="Y4056" i="1"/>
  <c r="X4056" i="1"/>
  <c r="W4056" i="1"/>
  <c r="V4056" i="1"/>
  <c r="AH4055" i="1"/>
  <c r="AG4055" i="1"/>
  <c r="AF4055" i="1"/>
  <c r="AE4055" i="1"/>
  <c r="AD4055" i="1"/>
  <c r="AC4055" i="1"/>
  <c r="AB4055" i="1"/>
  <c r="AA4055" i="1"/>
  <c r="Z4055" i="1"/>
  <c r="Y4055" i="1"/>
  <c r="X4055" i="1"/>
  <c r="W4055" i="1"/>
  <c r="V4055" i="1"/>
  <c r="AH4054" i="1"/>
  <c r="AG4054" i="1"/>
  <c r="AF4054" i="1"/>
  <c r="AE4054" i="1"/>
  <c r="AD4054" i="1"/>
  <c r="AC4054" i="1"/>
  <c r="AB4054" i="1"/>
  <c r="AA4054" i="1"/>
  <c r="Z4054" i="1"/>
  <c r="Y4054" i="1"/>
  <c r="X4054" i="1"/>
  <c r="W4054" i="1"/>
  <c r="V4054" i="1"/>
  <c r="AH4053" i="1"/>
  <c r="AG4053" i="1"/>
  <c r="AF4053" i="1"/>
  <c r="AE4053" i="1"/>
  <c r="AD4053" i="1"/>
  <c r="AC4053" i="1"/>
  <c r="AB4053" i="1"/>
  <c r="AA4053" i="1"/>
  <c r="Z4053" i="1"/>
  <c r="Y4053" i="1"/>
  <c r="X4053" i="1"/>
  <c r="W4053" i="1"/>
  <c r="V4053" i="1"/>
  <c r="AH4052" i="1"/>
  <c r="AG4052" i="1"/>
  <c r="AF4052" i="1"/>
  <c r="AE4052" i="1"/>
  <c r="AD4052" i="1"/>
  <c r="AC4052" i="1"/>
  <c r="AB4052" i="1"/>
  <c r="AA4052" i="1"/>
  <c r="Z4052" i="1"/>
  <c r="Y4052" i="1"/>
  <c r="X4052" i="1"/>
  <c r="W4052" i="1"/>
  <c r="V4052" i="1"/>
  <c r="AH4051" i="1"/>
  <c r="AG4051" i="1"/>
  <c r="AF4051" i="1"/>
  <c r="AE4051" i="1"/>
  <c r="AD4051" i="1"/>
  <c r="AC4051" i="1"/>
  <c r="AB4051" i="1"/>
  <c r="AA4051" i="1"/>
  <c r="Z4051" i="1"/>
  <c r="Y4051" i="1"/>
  <c r="X4051" i="1"/>
  <c r="W4051" i="1"/>
  <c r="V4051" i="1"/>
  <c r="AH4050" i="1"/>
  <c r="AG4050" i="1"/>
  <c r="AF4050" i="1"/>
  <c r="AE4050" i="1"/>
  <c r="AD4050" i="1"/>
  <c r="AC4050" i="1"/>
  <c r="AB4050" i="1"/>
  <c r="AA4050" i="1"/>
  <c r="Z4050" i="1"/>
  <c r="Y4050" i="1"/>
  <c r="X4050" i="1"/>
  <c r="W4050" i="1"/>
  <c r="V4050" i="1"/>
  <c r="AH4049" i="1"/>
  <c r="AG4049" i="1"/>
  <c r="AF4049" i="1"/>
  <c r="AE4049" i="1"/>
  <c r="AD4049" i="1"/>
  <c r="AC4049" i="1"/>
  <c r="AB4049" i="1"/>
  <c r="AA4049" i="1"/>
  <c r="Z4049" i="1"/>
  <c r="Y4049" i="1"/>
  <c r="X4049" i="1"/>
  <c r="W4049" i="1"/>
  <c r="V4049" i="1"/>
  <c r="AH4048" i="1"/>
  <c r="AG4048" i="1"/>
  <c r="AF4048" i="1"/>
  <c r="AE4048" i="1"/>
  <c r="AD4048" i="1"/>
  <c r="AC4048" i="1"/>
  <c r="AB4048" i="1"/>
  <c r="AA4048" i="1"/>
  <c r="Z4048" i="1"/>
  <c r="Y4048" i="1"/>
  <c r="X4048" i="1"/>
  <c r="W4048" i="1"/>
  <c r="V4048" i="1"/>
  <c r="AH4047" i="1"/>
  <c r="AG4047" i="1"/>
  <c r="AF4047" i="1"/>
  <c r="AE4047" i="1"/>
  <c r="AD4047" i="1"/>
  <c r="AC4047" i="1"/>
  <c r="AB4047" i="1"/>
  <c r="AA4047" i="1"/>
  <c r="Z4047" i="1"/>
  <c r="Y4047" i="1"/>
  <c r="X4047" i="1"/>
  <c r="W4047" i="1"/>
  <c r="V4047" i="1"/>
  <c r="AH4046" i="1"/>
  <c r="AG4046" i="1"/>
  <c r="AF4046" i="1"/>
  <c r="AE4046" i="1"/>
  <c r="AD4046" i="1"/>
  <c r="AC4046" i="1"/>
  <c r="AB4046" i="1"/>
  <c r="AA4046" i="1"/>
  <c r="Z4046" i="1"/>
  <c r="Y4046" i="1"/>
  <c r="X4046" i="1"/>
  <c r="W4046" i="1"/>
  <c r="V4046" i="1"/>
  <c r="AH4045" i="1"/>
  <c r="AG4045" i="1"/>
  <c r="AF4045" i="1"/>
  <c r="AE4045" i="1"/>
  <c r="AD4045" i="1"/>
  <c r="AC4045" i="1"/>
  <c r="AB4045" i="1"/>
  <c r="AA4045" i="1"/>
  <c r="Z4045" i="1"/>
  <c r="Y4045" i="1"/>
  <c r="X4045" i="1"/>
  <c r="W4045" i="1"/>
  <c r="V4045" i="1"/>
  <c r="AH4044" i="1"/>
  <c r="AG4044" i="1"/>
  <c r="AF4044" i="1"/>
  <c r="AE4044" i="1"/>
  <c r="AD4044" i="1"/>
  <c r="AC4044" i="1"/>
  <c r="AB4044" i="1"/>
  <c r="AA4044" i="1"/>
  <c r="Z4044" i="1"/>
  <c r="Y4044" i="1"/>
  <c r="X4044" i="1"/>
  <c r="W4044" i="1"/>
  <c r="V4044" i="1"/>
  <c r="AH4043" i="1"/>
  <c r="AG4043" i="1"/>
  <c r="AF4043" i="1"/>
  <c r="AE4043" i="1"/>
  <c r="AD4043" i="1"/>
  <c r="AC4043" i="1"/>
  <c r="AB4043" i="1"/>
  <c r="AA4043" i="1"/>
  <c r="Z4043" i="1"/>
  <c r="Y4043" i="1"/>
  <c r="X4043" i="1"/>
  <c r="W4043" i="1"/>
  <c r="V4043" i="1"/>
  <c r="AH4042" i="1"/>
  <c r="AG4042" i="1"/>
  <c r="AF4042" i="1"/>
  <c r="AE4042" i="1"/>
  <c r="AD4042" i="1"/>
  <c r="AC4042" i="1"/>
  <c r="AB4042" i="1"/>
  <c r="AA4042" i="1"/>
  <c r="Z4042" i="1"/>
  <c r="Y4042" i="1"/>
  <c r="X4042" i="1"/>
  <c r="W4042" i="1"/>
  <c r="V4042" i="1"/>
  <c r="AH4041" i="1"/>
  <c r="AG4041" i="1"/>
  <c r="AF4041" i="1"/>
  <c r="AE4041" i="1"/>
  <c r="AD4041" i="1"/>
  <c r="AC4041" i="1"/>
  <c r="AB4041" i="1"/>
  <c r="AA4041" i="1"/>
  <c r="Z4041" i="1"/>
  <c r="Y4041" i="1"/>
  <c r="X4041" i="1"/>
  <c r="W4041" i="1"/>
  <c r="V4041" i="1"/>
  <c r="AH4040" i="1"/>
  <c r="AG4040" i="1"/>
  <c r="AF4040" i="1"/>
  <c r="AE4040" i="1"/>
  <c r="AD4040" i="1"/>
  <c r="AC4040" i="1"/>
  <c r="AB4040" i="1"/>
  <c r="AA4040" i="1"/>
  <c r="Z4040" i="1"/>
  <c r="Y4040" i="1"/>
  <c r="X4040" i="1"/>
  <c r="W4040" i="1"/>
  <c r="V4040" i="1"/>
  <c r="AH4039" i="1"/>
  <c r="AG4039" i="1"/>
  <c r="AF4039" i="1"/>
  <c r="AE4039" i="1"/>
  <c r="AD4039" i="1"/>
  <c r="AC4039" i="1"/>
  <c r="AB4039" i="1"/>
  <c r="AA4039" i="1"/>
  <c r="Z4039" i="1"/>
  <c r="Y4039" i="1"/>
  <c r="X4039" i="1"/>
  <c r="W4039" i="1"/>
  <c r="V4039" i="1"/>
  <c r="AH4038" i="1"/>
  <c r="AG4038" i="1"/>
  <c r="AF4038" i="1"/>
  <c r="AE4038" i="1"/>
  <c r="AD4038" i="1"/>
  <c r="AC4038" i="1"/>
  <c r="AB4038" i="1"/>
  <c r="AA4038" i="1"/>
  <c r="Z4038" i="1"/>
  <c r="Y4038" i="1"/>
  <c r="X4038" i="1"/>
  <c r="W4038" i="1"/>
  <c r="V4038" i="1"/>
  <c r="AH4037" i="1"/>
  <c r="AG4037" i="1"/>
  <c r="AF4037" i="1"/>
  <c r="AE4037" i="1"/>
  <c r="AD4037" i="1"/>
  <c r="AC4037" i="1"/>
  <c r="AB4037" i="1"/>
  <c r="AA4037" i="1"/>
  <c r="Z4037" i="1"/>
  <c r="Y4037" i="1"/>
  <c r="X4037" i="1"/>
  <c r="W4037" i="1"/>
  <c r="V4037" i="1"/>
  <c r="AH4036" i="1"/>
  <c r="AG4036" i="1"/>
  <c r="AF4036" i="1"/>
  <c r="AE4036" i="1"/>
  <c r="AD4036" i="1"/>
  <c r="AC4036" i="1"/>
  <c r="AB4036" i="1"/>
  <c r="AA4036" i="1"/>
  <c r="Z4036" i="1"/>
  <c r="Y4036" i="1"/>
  <c r="X4036" i="1"/>
  <c r="W4036" i="1"/>
  <c r="V4036" i="1"/>
  <c r="AH4035" i="1"/>
  <c r="AG4035" i="1"/>
  <c r="AF4035" i="1"/>
  <c r="AE4035" i="1"/>
  <c r="AD4035" i="1"/>
  <c r="AC4035" i="1"/>
  <c r="AB4035" i="1"/>
  <c r="AA4035" i="1"/>
  <c r="Z4035" i="1"/>
  <c r="Y4035" i="1"/>
  <c r="X4035" i="1"/>
  <c r="W4035" i="1"/>
  <c r="V4035" i="1"/>
  <c r="AH4034" i="1"/>
  <c r="AG4034" i="1"/>
  <c r="AF4034" i="1"/>
  <c r="AE4034" i="1"/>
  <c r="AD4034" i="1"/>
  <c r="AC4034" i="1"/>
  <c r="AB4034" i="1"/>
  <c r="AA4034" i="1"/>
  <c r="Z4034" i="1"/>
  <c r="Y4034" i="1"/>
  <c r="X4034" i="1"/>
  <c r="W4034" i="1"/>
  <c r="V4034" i="1"/>
  <c r="AH4033" i="1"/>
  <c r="AG4033" i="1"/>
  <c r="AF4033" i="1"/>
  <c r="AE4033" i="1"/>
  <c r="AD4033" i="1"/>
  <c r="AC4033" i="1"/>
  <c r="AB4033" i="1"/>
  <c r="AA4033" i="1"/>
  <c r="Z4033" i="1"/>
  <c r="Y4033" i="1"/>
  <c r="X4033" i="1"/>
  <c r="W4033" i="1"/>
  <c r="V4033" i="1"/>
  <c r="AH4032" i="1"/>
  <c r="AG4032" i="1"/>
  <c r="AF4032" i="1"/>
  <c r="AE4032" i="1"/>
  <c r="AD4032" i="1"/>
  <c r="AC4032" i="1"/>
  <c r="AB4032" i="1"/>
  <c r="AA4032" i="1"/>
  <c r="Z4032" i="1"/>
  <c r="Y4032" i="1"/>
  <c r="X4032" i="1"/>
  <c r="W4032" i="1"/>
  <c r="V4032" i="1"/>
  <c r="AH4031" i="1"/>
  <c r="AG4031" i="1"/>
  <c r="AF4031" i="1"/>
  <c r="AE4031" i="1"/>
  <c r="AD4031" i="1"/>
  <c r="AC4031" i="1"/>
  <c r="AB4031" i="1"/>
  <c r="AA4031" i="1"/>
  <c r="Z4031" i="1"/>
  <c r="Y4031" i="1"/>
  <c r="X4031" i="1"/>
  <c r="W4031" i="1"/>
  <c r="V4031" i="1"/>
  <c r="AH4030" i="1"/>
  <c r="AG4030" i="1"/>
  <c r="AF4030" i="1"/>
  <c r="AE4030" i="1"/>
  <c r="AD4030" i="1"/>
  <c r="AC4030" i="1"/>
  <c r="AB4030" i="1"/>
  <c r="AA4030" i="1"/>
  <c r="Z4030" i="1"/>
  <c r="Y4030" i="1"/>
  <c r="X4030" i="1"/>
  <c r="W4030" i="1"/>
  <c r="V4030" i="1"/>
  <c r="AH4029" i="1"/>
  <c r="AG4029" i="1"/>
  <c r="AF4029" i="1"/>
  <c r="AE4029" i="1"/>
  <c r="AD4029" i="1"/>
  <c r="AC4029" i="1"/>
  <c r="AB4029" i="1"/>
  <c r="AA4029" i="1"/>
  <c r="Z4029" i="1"/>
  <c r="Y4029" i="1"/>
  <c r="X4029" i="1"/>
  <c r="W4029" i="1"/>
  <c r="V4029" i="1"/>
  <c r="AH4028" i="1"/>
  <c r="AG4028" i="1"/>
  <c r="AF4028" i="1"/>
  <c r="AE4028" i="1"/>
  <c r="AD4028" i="1"/>
  <c r="AC4028" i="1"/>
  <c r="AB4028" i="1"/>
  <c r="AA4028" i="1"/>
  <c r="Z4028" i="1"/>
  <c r="Y4028" i="1"/>
  <c r="X4028" i="1"/>
  <c r="W4028" i="1"/>
  <c r="V4028" i="1"/>
  <c r="AH4027" i="1"/>
  <c r="AG4027" i="1"/>
  <c r="AF4027" i="1"/>
  <c r="AE4027" i="1"/>
  <c r="AD4027" i="1"/>
  <c r="AC4027" i="1"/>
  <c r="AB4027" i="1"/>
  <c r="AA4027" i="1"/>
  <c r="Z4027" i="1"/>
  <c r="Y4027" i="1"/>
  <c r="X4027" i="1"/>
  <c r="W4027" i="1"/>
  <c r="V4027" i="1"/>
  <c r="AH4026" i="1"/>
  <c r="AG4026" i="1"/>
  <c r="AF4026" i="1"/>
  <c r="AE4026" i="1"/>
  <c r="AD4026" i="1"/>
  <c r="AC4026" i="1"/>
  <c r="AB4026" i="1"/>
  <c r="AA4026" i="1"/>
  <c r="Z4026" i="1"/>
  <c r="Y4026" i="1"/>
  <c r="X4026" i="1"/>
  <c r="W4026" i="1"/>
  <c r="V4026" i="1"/>
  <c r="AH4025" i="1"/>
  <c r="AG4025" i="1"/>
  <c r="AF4025" i="1"/>
  <c r="AE4025" i="1"/>
  <c r="AD4025" i="1"/>
  <c r="AC4025" i="1"/>
  <c r="AB4025" i="1"/>
  <c r="AA4025" i="1"/>
  <c r="Z4025" i="1"/>
  <c r="Y4025" i="1"/>
  <c r="X4025" i="1"/>
  <c r="W4025" i="1"/>
  <c r="V4025" i="1"/>
  <c r="AH4024" i="1"/>
  <c r="AG4024" i="1"/>
  <c r="AF4024" i="1"/>
  <c r="AE4024" i="1"/>
  <c r="AD4024" i="1"/>
  <c r="AC4024" i="1"/>
  <c r="AB4024" i="1"/>
  <c r="AA4024" i="1"/>
  <c r="Z4024" i="1"/>
  <c r="Y4024" i="1"/>
  <c r="X4024" i="1"/>
  <c r="W4024" i="1"/>
  <c r="V4024" i="1"/>
  <c r="AH4023" i="1"/>
  <c r="AG4023" i="1"/>
  <c r="AF4023" i="1"/>
  <c r="AE4023" i="1"/>
  <c r="AD4023" i="1"/>
  <c r="AC4023" i="1"/>
  <c r="AB4023" i="1"/>
  <c r="AA4023" i="1"/>
  <c r="Z4023" i="1"/>
  <c r="Y4023" i="1"/>
  <c r="X4023" i="1"/>
  <c r="W4023" i="1"/>
  <c r="V4023" i="1"/>
  <c r="AH4022" i="1"/>
  <c r="AG4022" i="1"/>
  <c r="AF4022" i="1"/>
  <c r="AE4022" i="1"/>
  <c r="AD4022" i="1"/>
  <c r="AC4022" i="1"/>
  <c r="AB4022" i="1"/>
  <c r="AA4022" i="1"/>
  <c r="Z4022" i="1"/>
  <c r="Y4022" i="1"/>
  <c r="X4022" i="1"/>
  <c r="W4022" i="1"/>
  <c r="V4022" i="1"/>
  <c r="AH4021" i="1"/>
  <c r="AG4021" i="1"/>
  <c r="AF4021" i="1"/>
  <c r="AE4021" i="1"/>
  <c r="AD4021" i="1"/>
  <c r="AC4021" i="1"/>
  <c r="AB4021" i="1"/>
  <c r="AA4021" i="1"/>
  <c r="Z4021" i="1"/>
  <c r="Y4021" i="1"/>
  <c r="X4021" i="1"/>
  <c r="W4021" i="1"/>
  <c r="V4021" i="1"/>
  <c r="AH4020" i="1"/>
  <c r="AG4020" i="1"/>
  <c r="AF4020" i="1"/>
  <c r="AE4020" i="1"/>
  <c r="AD4020" i="1"/>
  <c r="AC4020" i="1"/>
  <c r="AB4020" i="1"/>
  <c r="AA4020" i="1"/>
  <c r="Z4020" i="1"/>
  <c r="Y4020" i="1"/>
  <c r="X4020" i="1"/>
  <c r="W4020" i="1"/>
  <c r="V4020" i="1"/>
  <c r="AH4019" i="1"/>
  <c r="AG4019" i="1"/>
  <c r="AF4019" i="1"/>
  <c r="AE4019" i="1"/>
  <c r="AD4019" i="1"/>
  <c r="AC4019" i="1"/>
  <c r="AB4019" i="1"/>
  <c r="AA4019" i="1"/>
  <c r="Z4019" i="1"/>
  <c r="Y4019" i="1"/>
  <c r="X4019" i="1"/>
  <c r="W4019" i="1"/>
  <c r="V4019" i="1"/>
  <c r="AH4018" i="1"/>
  <c r="AG4018" i="1"/>
  <c r="AF4018" i="1"/>
  <c r="AE4018" i="1"/>
  <c r="AD4018" i="1"/>
  <c r="AC4018" i="1"/>
  <c r="AB4018" i="1"/>
  <c r="AA4018" i="1"/>
  <c r="Z4018" i="1"/>
  <c r="Y4018" i="1"/>
  <c r="X4018" i="1"/>
  <c r="W4018" i="1"/>
  <c r="V4018" i="1"/>
  <c r="AH4017" i="1"/>
  <c r="AG4017" i="1"/>
  <c r="AF4017" i="1"/>
  <c r="AE4017" i="1"/>
  <c r="AD4017" i="1"/>
  <c r="AC4017" i="1"/>
  <c r="AB4017" i="1"/>
  <c r="AA4017" i="1"/>
  <c r="Z4017" i="1"/>
  <c r="Y4017" i="1"/>
  <c r="X4017" i="1"/>
  <c r="W4017" i="1"/>
  <c r="V4017" i="1"/>
  <c r="AH4016" i="1"/>
  <c r="AG4016" i="1"/>
  <c r="AF4016" i="1"/>
  <c r="AE4016" i="1"/>
  <c r="AD4016" i="1"/>
  <c r="AC4016" i="1"/>
  <c r="AB4016" i="1"/>
  <c r="AA4016" i="1"/>
  <c r="Z4016" i="1"/>
  <c r="Y4016" i="1"/>
  <c r="X4016" i="1"/>
  <c r="W4016" i="1"/>
  <c r="V4016" i="1"/>
  <c r="AH4015" i="1"/>
  <c r="AG4015" i="1"/>
  <c r="AF4015" i="1"/>
  <c r="AE4015" i="1"/>
  <c r="AD4015" i="1"/>
  <c r="AC4015" i="1"/>
  <c r="AB4015" i="1"/>
  <c r="AA4015" i="1"/>
  <c r="Z4015" i="1"/>
  <c r="Y4015" i="1"/>
  <c r="X4015" i="1"/>
  <c r="W4015" i="1"/>
  <c r="V4015" i="1"/>
  <c r="AH4014" i="1"/>
  <c r="AG4014" i="1"/>
  <c r="AF4014" i="1"/>
  <c r="AE4014" i="1"/>
  <c r="AD4014" i="1"/>
  <c r="AC4014" i="1"/>
  <c r="AB4014" i="1"/>
  <c r="AA4014" i="1"/>
  <c r="Z4014" i="1"/>
  <c r="Y4014" i="1"/>
  <c r="X4014" i="1"/>
  <c r="W4014" i="1"/>
  <c r="V4014" i="1"/>
  <c r="AH4013" i="1"/>
  <c r="AG4013" i="1"/>
  <c r="AF4013" i="1"/>
  <c r="AE4013" i="1"/>
  <c r="AD4013" i="1"/>
  <c r="AC4013" i="1"/>
  <c r="AB4013" i="1"/>
  <c r="AA4013" i="1"/>
  <c r="Z4013" i="1"/>
  <c r="Y4013" i="1"/>
  <c r="X4013" i="1"/>
  <c r="W4013" i="1"/>
  <c r="V4013" i="1"/>
  <c r="AH4012" i="1"/>
  <c r="AG4012" i="1"/>
  <c r="AF4012" i="1"/>
  <c r="AE4012" i="1"/>
  <c r="AD4012" i="1"/>
  <c r="AC4012" i="1"/>
  <c r="AB4012" i="1"/>
  <c r="AA4012" i="1"/>
  <c r="Z4012" i="1"/>
  <c r="Y4012" i="1"/>
  <c r="X4012" i="1"/>
  <c r="W4012" i="1"/>
  <c r="V4012" i="1"/>
  <c r="AH4011" i="1"/>
  <c r="AG4011" i="1"/>
  <c r="AF4011" i="1"/>
  <c r="AE4011" i="1"/>
  <c r="AD4011" i="1"/>
  <c r="AC4011" i="1"/>
  <c r="AB4011" i="1"/>
  <c r="AA4011" i="1"/>
  <c r="Z4011" i="1"/>
  <c r="Y4011" i="1"/>
  <c r="X4011" i="1"/>
  <c r="W4011" i="1"/>
  <c r="V4011" i="1"/>
  <c r="AH4010" i="1"/>
  <c r="AG4010" i="1"/>
  <c r="AF4010" i="1"/>
  <c r="AE4010" i="1"/>
  <c r="AD4010" i="1"/>
  <c r="AC4010" i="1"/>
  <c r="AB4010" i="1"/>
  <c r="AA4010" i="1"/>
  <c r="Z4010" i="1"/>
  <c r="Y4010" i="1"/>
  <c r="X4010" i="1"/>
  <c r="W4010" i="1"/>
  <c r="V4010" i="1"/>
  <c r="AH4009" i="1"/>
  <c r="AG4009" i="1"/>
  <c r="AF4009" i="1"/>
  <c r="AE4009" i="1"/>
  <c r="AD4009" i="1"/>
  <c r="AC4009" i="1"/>
  <c r="AB4009" i="1"/>
  <c r="AA4009" i="1"/>
  <c r="Z4009" i="1"/>
  <c r="Y4009" i="1"/>
  <c r="X4009" i="1"/>
  <c r="W4009" i="1"/>
  <c r="V4009" i="1"/>
  <c r="AH4008" i="1"/>
  <c r="AG4008" i="1"/>
  <c r="AF4008" i="1"/>
  <c r="AE4008" i="1"/>
  <c r="AD4008" i="1"/>
  <c r="AC4008" i="1"/>
  <c r="AB4008" i="1"/>
  <c r="AA4008" i="1"/>
  <c r="Z4008" i="1"/>
  <c r="Y4008" i="1"/>
  <c r="X4008" i="1"/>
  <c r="W4008" i="1"/>
  <c r="V4008" i="1"/>
  <c r="AH4007" i="1"/>
  <c r="AG4007" i="1"/>
  <c r="AF4007" i="1"/>
  <c r="AE4007" i="1"/>
  <c r="AD4007" i="1"/>
  <c r="AC4007" i="1"/>
  <c r="AB4007" i="1"/>
  <c r="AA4007" i="1"/>
  <c r="Z4007" i="1"/>
  <c r="Y4007" i="1"/>
  <c r="X4007" i="1"/>
  <c r="W4007" i="1"/>
  <c r="V4007" i="1"/>
  <c r="AH4006" i="1"/>
  <c r="AG4006" i="1"/>
  <c r="AF4006" i="1"/>
  <c r="AE4006" i="1"/>
  <c r="AD4006" i="1"/>
  <c r="AC4006" i="1"/>
  <c r="AB4006" i="1"/>
  <c r="AA4006" i="1"/>
  <c r="Z4006" i="1"/>
  <c r="Y4006" i="1"/>
  <c r="X4006" i="1"/>
  <c r="W4006" i="1"/>
  <c r="V4006" i="1"/>
  <c r="AH4005" i="1"/>
  <c r="AG4005" i="1"/>
  <c r="AF4005" i="1"/>
  <c r="AE4005" i="1"/>
  <c r="AD4005" i="1"/>
  <c r="AC4005" i="1"/>
  <c r="AB4005" i="1"/>
  <c r="AA4005" i="1"/>
  <c r="Z4005" i="1"/>
  <c r="Y4005" i="1"/>
  <c r="X4005" i="1"/>
  <c r="W4005" i="1"/>
  <c r="V4005" i="1"/>
  <c r="AH4004" i="1"/>
  <c r="AG4004" i="1"/>
  <c r="AF4004" i="1"/>
  <c r="AE4004" i="1"/>
  <c r="AD4004" i="1"/>
  <c r="AC4004" i="1"/>
  <c r="AB4004" i="1"/>
  <c r="AA4004" i="1"/>
  <c r="Z4004" i="1"/>
  <c r="Y4004" i="1"/>
  <c r="X4004" i="1"/>
  <c r="W4004" i="1"/>
  <c r="V4004" i="1"/>
  <c r="AH4003" i="1"/>
  <c r="AG4003" i="1"/>
  <c r="AF4003" i="1"/>
  <c r="AE4003" i="1"/>
  <c r="AD4003" i="1"/>
  <c r="AC4003" i="1"/>
  <c r="AB4003" i="1"/>
  <c r="AA4003" i="1"/>
  <c r="Z4003" i="1"/>
  <c r="Y4003" i="1"/>
  <c r="X4003" i="1"/>
  <c r="W4003" i="1"/>
  <c r="V4003" i="1"/>
  <c r="AH4002" i="1"/>
  <c r="AG4002" i="1"/>
  <c r="AF4002" i="1"/>
  <c r="AE4002" i="1"/>
  <c r="AD4002" i="1"/>
  <c r="AC4002" i="1"/>
  <c r="AB4002" i="1"/>
  <c r="AA4002" i="1"/>
  <c r="Z4002" i="1"/>
  <c r="Y4002" i="1"/>
  <c r="X4002" i="1"/>
  <c r="W4002" i="1"/>
  <c r="V4002" i="1"/>
  <c r="AH4001" i="1"/>
  <c r="AG4001" i="1"/>
  <c r="AF4001" i="1"/>
  <c r="AE4001" i="1"/>
  <c r="AD4001" i="1"/>
  <c r="AC4001" i="1"/>
  <c r="AB4001" i="1"/>
  <c r="AA4001" i="1"/>
  <c r="Z4001" i="1"/>
  <c r="Y4001" i="1"/>
  <c r="X4001" i="1"/>
  <c r="W4001" i="1"/>
  <c r="V4001" i="1"/>
  <c r="AH4000" i="1"/>
  <c r="AG4000" i="1"/>
  <c r="AF4000" i="1"/>
  <c r="AE4000" i="1"/>
  <c r="AD4000" i="1"/>
  <c r="AC4000" i="1"/>
  <c r="AB4000" i="1"/>
  <c r="AA4000" i="1"/>
  <c r="Z4000" i="1"/>
  <c r="Y4000" i="1"/>
  <c r="X4000" i="1"/>
  <c r="W4000" i="1"/>
  <c r="V4000" i="1"/>
  <c r="AH3999" i="1"/>
  <c r="AG3999" i="1"/>
  <c r="AF3999" i="1"/>
  <c r="AE3999" i="1"/>
  <c r="AD3999" i="1"/>
  <c r="AC3999" i="1"/>
  <c r="AB3999" i="1"/>
  <c r="AA3999" i="1"/>
  <c r="Z3999" i="1"/>
  <c r="Y3999" i="1"/>
  <c r="X3999" i="1"/>
  <c r="W3999" i="1"/>
  <c r="V3999" i="1"/>
  <c r="AH3998" i="1"/>
  <c r="AG3998" i="1"/>
  <c r="AF3998" i="1"/>
  <c r="AE3998" i="1"/>
  <c r="AD3998" i="1"/>
  <c r="AC3998" i="1"/>
  <c r="AB3998" i="1"/>
  <c r="AA3998" i="1"/>
  <c r="Z3998" i="1"/>
  <c r="Y3998" i="1"/>
  <c r="X3998" i="1"/>
  <c r="W3998" i="1"/>
  <c r="V3998" i="1"/>
  <c r="AH3997" i="1"/>
  <c r="AG3997" i="1"/>
  <c r="AF3997" i="1"/>
  <c r="AE3997" i="1"/>
  <c r="AD3997" i="1"/>
  <c r="AC3997" i="1"/>
  <c r="AB3997" i="1"/>
  <c r="AA3997" i="1"/>
  <c r="Z3997" i="1"/>
  <c r="Y3997" i="1"/>
  <c r="X3997" i="1"/>
  <c r="W3997" i="1"/>
  <c r="V3997" i="1"/>
  <c r="AH3996" i="1"/>
  <c r="AG3996" i="1"/>
  <c r="AF3996" i="1"/>
  <c r="AE3996" i="1"/>
  <c r="AD3996" i="1"/>
  <c r="AC3996" i="1"/>
  <c r="AB3996" i="1"/>
  <c r="AA3996" i="1"/>
  <c r="Z3996" i="1"/>
  <c r="Y3996" i="1"/>
  <c r="X3996" i="1"/>
  <c r="W3996" i="1"/>
  <c r="V3996" i="1"/>
  <c r="AH3995" i="1"/>
  <c r="AG3995" i="1"/>
  <c r="AF3995" i="1"/>
  <c r="AE3995" i="1"/>
  <c r="AD3995" i="1"/>
  <c r="AC3995" i="1"/>
  <c r="AB3995" i="1"/>
  <c r="AA3995" i="1"/>
  <c r="Z3995" i="1"/>
  <c r="Y3995" i="1"/>
  <c r="X3995" i="1"/>
  <c r="W3995" i="1"/>
  <c r="V3995" i="1"/>
  <c r="AH3994" i="1"/>
  <c r="AG3994" i="1"/>
  <c r="AF3994" i="1"/>
  <c r="AE3994" i="1"/>
  <c r="AD3994" i="1"/>
  <c r="AC3994" i="1"/>
  <c r="AB3994" i="1"/>
  <c r="AA3994" i="1"/>
  <c r="Z3994" i="1"/>
  <c r="Y3994" i="1"/>
  <c r="X3994" i="1"/>
  <c r="W3994" i="1"/>
  <c r="V3994" i="1"/>
  <c r="AH3993" i="1"/>
  <c r="AG3993" i="1"/>
  <c r="AF3993" i="1"/>
  <c r="AE3993" i="1"/>
  <c r="AD3993" i="1"/>
  <c r="AC3993" i="1"/>
  <c r="AB3993" i="1"/>
  <c r="AA3993" i="1"/>
  <c r="Z3993" i="1"/>
  <c r="Y3993" i="1"/>
  <c r="X3993" i="1"/>
  <c r="W3993" i="1"/>
  <c r="V3993" i="1"/>
  <c r="AH3992" i="1"/>
  <c r="AG3992" i="1"/>
  <c r="AF3992" i="1"/>
  <c r="AE3992" i="1"/>
  <c r="AD3992" i="1"/>
  <c r="AC3992" i="1"/>
  <c r="AB3992" i="1"/>
  <c r="AA3992" i="1"/>
  <c r="Z3992" i="1"/>
  <c r="Y3992" i="1"/>
  <c r="X3992" i="1"/>
  <c r="W3992" i="1"/>
  <c r="V3992" i="1"/>
  <c r="AH3991" i="1"/>
  <c r="AG3991" i="1"/>
  <c r="AF3991" i="1"/>
  <c r="AE3991" i="1"/>
  <c r="AD3991" i="1"/>
  <c r="AC3991" i="1"/>
  <c r="AB3991" i="1"/>
  <c r="AA3991" i="1"/>
  <c r="Z3991" i="1"/>
  <c r="Y3991" i="1"/>
  <c r="X3991" i="1"/>
  <c r="W3991" i="1"/>
  <c r="V3991" i="1"/>
  <c r="AH3990" i="1"/>
  <c r="AG3990" i="1"/>
  <c r="AF3990" i="1"/>
  <c r="AE3990" i="1"/>
  <c r="AD3990" i="1"/>
  <c r="AC3990" i="1"/>
  <c r="AB3990" i="1"/>
  <c r="AA3990" i="1"/>
  <c r="Z3990" i="1"/>
  <c r="Y3990" i="1"/>
  <c r="X3990" i="1"/>
  <c r="W3990" i="1"/>
  <c r="V3990" i="1"/>
  <c r="AH3989" i="1"/>
  <c r="AG3989" i="1"/>
  <c r="AF3989" i="1"/>
  <c r="AE3989" i="1"/>
  <c r="AD3989" i="1"/>
  <c r="AC3989" i="1"/>
  <c r="AB3989" i="1"/>
  <c r="AA3989" i="1"/>
  <c r="Z3989" i="1"/>
  <c r="Y3989" i="1"/>
  <c r="X3989" i="1"/>
  <c r="W3989" i="1"/>
  <c r="V3989" i="1"/>
  <c r="AH3988" i="1"/>
  <c r="AG3988" i="1"/>
  <c r="AF3988" i="1"/>
  <c r="AE3988" i="1"/>
  <c r="AD3988" i="1"/>
  <c r="AC3988" i="1"/>
  <c r="AB3988" i="1"/>
  <c r="AA3988" i="1"/>
  <c r="Z3988" i="1"/>
  <c r="Y3988" i="1"/>
  <c r="X3988" i="1"/>
  <c r="W3988" i="1"/>
  <c r="V3988" i="1"/>
  <c r="AH3987" i="1"/>
  <c r="AG3987" i="1"/>
  <c r="AF3987" i="1"/>
  <c r="AE3987" i="1"/>
  <c r="AD3987" i="1"/>
  <c r="AC3987" i="1"/>
  <c r="AB3987" i="1"/>
  <c r="AA3987" i="1"/>
  <c r="Z3987" i="1"/>
  <c r="Y3987" i="1"/>
  <c r="X3987" i="1"/>
  <c r="W3987" i="1"/>
  <c r="V3987" i="1"/>
  <c r="AH3986" i="1"/>
  <c r="AG3986" i="1"/>
  <c r="AF3986" i="1"/>
  <c r="AE3986" i="1"/>
  <c r="AD3986" i="1"/>
  <c r="AC3986" i="1"/>
  <c r="AB3986" i="1"/>
  <c r="AA3986" i="1"/>
  <c r="Z3986" i="1"/>
  <c r="Y3986" i="1"/>
  <c r="X3986" i="1"/>
  <c r="W3986" i="1"/>
  <c r="V3986" i="1"/>
  <c r="AH3985" i="1"/>
  <c r="AG3985" i="1"/>
  <c r="AF3985" i="1"/>
  <c r="AE3985" i="1"/>
  <c r="AD3985" i="1"/>
  <c r="AC3985" i="1"/>
  <c r="AB3985" i="1"/>
  <c r="AA3985" i="1"/>
  <c r="Z3985" i="1"/>
  <c r="Y3985" i="1"/>
  <c r="X3985" i="1"/>
  <c r="W3985" i="1"/>
  <c r="V3985" i="1"/>
  <c r="AH3984" i="1"/>
  <c r="AG3984" i="1"/>
  <c r="AF3984" i="1"/>
  <c r="AE3984" i="1"/>
  <c r="AD3984" i="1"/>
  <c r="AC3984" i="1"/>
  <c r="AB3984" i="1"/>
  <c r="AA3984" i="1"/>
  <c r="Z3984" i="1"/>
  <c r="Y3984" i="1"/>
  <c r="X3984" i="1"/>
  <c r="W3984" i="1"/>
  <c r="V3984" i="1"/>
  <c r="AH3983" i="1"/>
  <c r="AG3983" i="1"/>
  <c r="AF3983" i="1"/>
  <c r="AE3983" i="1"/>
  <c r="AD3983" i="1"/>
  <c r="AC3983" i="1"/>
  <c r="AB3983" i="1"/>
  <c r="AA3983" i="1"/>
  <c r="Z3983" i="1"/>
  <c r="Y3983" i="1"/>
  <c r="X3983" i="1"/>
  <c r="W3983" i="1"/>
  <c r="V3983" i="1"/>
  <c r="AH3982" i="1"/>
  <c r="AG3982" i="1"/>
  <c r="AF3982" i="1"/>
  <c r="AE3982" i="1"/>
  <c r="AD3982" i="1"/>
  <c r="AC3982" i="1"/>
  <c r="AB3982" i="1"/>
  <c r="AA3982" i="1"/>
  <c r="Z3982" i="1"/>
  <c r="Y3982" i="1"/>
  <c r="X3982" i="1"/>
  <c r="W3982" i="1"/>
  <c r="V3982" i="1"/>
  <c r="AH3981" i="1"/>
  <c r="AG3981" i="1"/>
  <c r="AF3981" i="1"/>
  <c r="AE3981" i="1"/>
  <c r="AD3981" i="1"/>
  <c r="AC3981" i="1"/>
  <c r="AB3981" i="1"/>
  <c r="AA3981" i="1"/>
  <c r="Z3981" i="1"/>
  <c r="Y3981" i="1"/>
  <c r="X3981" i="1"/>
  <c r="W3981" i="1"/>
  <c r="V3981" i="1"/>
  <c r="AH3980" i="1"/>
  <c r="AG3980" i="1"/>
  <c r="AF3980" i="1"/>
  <c r="AE3980" i="1"/>
  <c r="AD3980" i="1"/>
  <c r="AC3980" i="1"/>
  <c r="AB3980" i="1"/>
  <c r="AA3980" i="1"/>
  <c r="Z3980" i="1"/>
  <c r="Y3980" i="1"/>
  <c r="X3980" i="1"/>
  <c r="W3980" i="1"/>
  <c r="V3980" i="1"/>
  <c r="AH3979" i="1"/>
  <c r="AG3979" i="1"/>
  <c r="AF3979" i="1"/>
  <c r="AE3979" i="1"/>
  <c r="AD3979" i="1"/>
  <c r="AC3979" i="1"/>
  <c r="AB3979" i="1"/>
  <c r="AA3979" i="1"/>
  <c r="Z3979" i="1"/>
  <c r="Y3979" i="1"/>
  <c r="X3979" i="1"/>
  <c r="W3979" i="1"/>
  <c r="V3979" i="1"/>
  <c r="AH3978" i="1"/>
  <c r="AG3978" i="1"/>
  <c r="AF3978" i="1"/>
  <c r="AE3978" i="1"/>
  <c r="AD3978" i="1"/>
  <c r="AC3978" i="1"/>
  <c r="AB3978" i="1"/>
  <c r="AA3978" i="1"/>
  <c r="Z3978" i="1"/>
  <c r="Y3978" i="1"/>
  <c r="X3978" i="1"/>
  <c r="W3978" i="1"/>
  <c r="V3978" i="1"/>
  <c r="AH3977" i="1"/>
  <c r="AG3977" i="1"/>
  <c r="AF3977" i="1"/>
  <c r="AE3977" i="1"/>
  <c r="AD3977" i="1"/>
  <c r="AC3977" i="1"/>
  <c r="AB3977" i="1"/>
  <c r="AA3977" i="1"/>
  <c r="Z3977" i="1"/>
  <c r="Y3977" i="1"/>
  <c r="X3977" i="1"/>
  <c r="W3977" i="1"/>
  <c r="V3977" i="1"/>
  <c r="AH3976" i="1"/>
  <c r="AG3976" i="1"/>
  <c r="AF3976" i="1"/>
  <c r="AE3976" i="1"/>
  <c r="AD3976" i="1"/>
  <c r="AC3976" i="1"/>
  <c r="AB3976" i="1"/>
  <c r="AA3976" i="1"/>
  <c r="Z3976" i="1"/>
  <c r="Y3976" i="1"/>
  <c r="X3976" i="1"/>
  <c r="W3976" i="1"/>
  <c r="V3976" i="1"/>
  <c r="AH3975" i="1"/>
  <c r="AG3975" i="1"/>
  <c r="AF3975" i="1"/>
  <c r="AE3975" i="1"/>
  <c r="AD3975" i="1"/>
  <c r="AC3975" i="1"/>
  <c r="AB3975" i="1"/>
  <c r="AA3975" i="1"/>
  <c r="Z3975" i="1"/>
  <c r="Y3975" i="1"/>
  <c r="X3975" i="1"/>
  <c r="W3975" i="1"/>
  <c r="V3975" i="1"/>
  <c r="AH3974" i="1"/>
  <c r="AG3974" i="1"/>
  <c r="AF3974" i="1"/>
  <c r="AE3974" i="1"/>
  <c r="AD3974" i="1"/>
  <c r="AC3974" i="1"/>
  <c r="AB3974" i="1"/>
  <c r="AA3974" i="1"/>
  <c r="Z3974" i="1"/>
  <c r="Y3974" i="1"/>
  <c r="X3974" i="1"/>
  <c r="W3974" i="1"/>
  <c r="V3974" i="1"/>
  <c r="AH3973" i="1"/>
  <c r="AG3973" i="1"/>
  <c r="AF3973" i="1"/>
  <c r="AE3973" i="1"/>
  <c r="AD3973" i="1"/>
  <c r="AC3973" i="1"/>
  <c r="AB3973" i="1"/>
  <c r="AA3973" i="1"/>
  <c r="Z3973" i="1"/>
  <c r="Y3973" i="1"/>
  <c r="X3973" i="1"/>
  <c r="W3973" i="1"/>
  <c r="V3973" i="1"/>
  <c r="AH3972" i="1"/>
  <c r="AG3972" i="1"/>
  <c r="AF3972" i="1"/>
  <c r="AE3972" i="1"/>
  <c r="AD3972" i="1"/>
  <c r="AC3972" i="1"/>
  <c r="AB3972" i="1"/>
  <c r="AA3972" i="1"/>
  <c r="Z3972" i="1"/>
  <c r="Y3972" i="1"/>
  <c r="X3972" i="1"/>
  <c r="W3972" i="1"/>
  <c r="V3972" i="1"/>
  <c r="AH3971" i="1"/>
  <c r="AG3971" i="1"/>
  <c r="AF3971" i="1"/>
  <c r="AE3971" i="1"/>
  <c r="AD3971" i="1"/>
  <c r="AC3971" i="1"/>
  <c r="AB3971" i="1"/>
  <c r="AA3971" i="1"/>
  <c r="Z3971" i="1"/>
  <c r="Y3971" i="1"/>
  <c r="X3971" i="1"/>
  <c r="W3971" i="1"/>
  <c r="V3971" i="1"/>
  <c r="AH3970" i="1"/>
  <c r="AG3970" i="1"/>
  <c r="AF3970" i="1"/>
  <c r="AE3970" i="1"/>
  <c r="AD3970" i="1"/>
  <c r="AC3970" i="1"/>
  <c r="AB3970" i="1"/>
  <c r="AA3970" i="1"/>
  <c r="Z3970" i="1"/>
  <c r="Y3970" i="1"/>
  <c r="X3970" i="1"/>
  <c r="W3970" i="1"/>
  <c r="V3970" i="1"/>
  <c r="AH3969" i="1"/>
  <c r="AG3969" i="1"/>
  <c r="AF3969" i="1"/>
  <c r="AE3969" i="1"/>
  <c r="AD3969" i="1"/>
  <c r="AC3969" i="1"/>
  <c r="AB3969" i="1"/>
  <c r="AA3969" i="1"/>
  <c r="Z3969" i="1"/>
  <c r="Y3969" i="1"/>
  <c r="X3969" i="1"/>
  <c r="W3969" i="1"/>
  <c r="V3969" i="1"/>
  <c r="AH3968" i="1"/>
  <c r="AG3968" i="1"/>
  <c r="AF3968" i="1"/>
  <c r="AE3968" i="1"/>
  <c r="AD3968" i="1"/>
  <c r="AC3968" i="1"/>
  <c r="AB3968" i="1"/>
  <c r="AA3968" i="1"/>
  <c r="Z3968" i="1"/>
  <c r="Y3968" i="1"/>
  <c r="X3968" i="1"/>
  <c r="W3968" i="1"/>
  <c r="V3968" i="1"/>
  <c r="AH3967" i="1"/>
  <c r="AG3967" i="1"/>
  <c r="AF3967" i="1"/>
  <c r="AE3967" i="1"/>
  <c r="AD3967" i="1"/>
  <c r="AC3967" i="1"/>
  <c r="AB3967" i="1"/>
  <c r="AA3967" i="1"/>
  <c r="Z3967" i="1"/>
  <c r="Y3967" i="1"/>
  <c r="X3967" i="1"/>
  <c r="W3967" i="1"/>
  <c r="V3967" i="1"/>
  <c r="AH3966" i="1"/>
  <c r="AG3966" i="1"/>
  <c r="AF3966" i="1"/>
  <c r="AE3966" i="1"/>
  <c r="AD3966" i="1"/>
  <c r="AC3966" i="1"/>
  <c r="AB3966" i="1"/>
  <c r="AA3966" i="1"/>
  <c r="Z3966" i="1"/>
  <c r="Y3966" i="1"/>
  <c r="X3966" i="1"/>
  <c r="W3966" i="1"/>
  <c r="V3966" i="1"/>
  <c r="AH3965" i="1"/>
  <c r="AG3965" i="1"/>
  <c r="AF3965" i="1"/>
  <c r="AE3965" i="1"/>
  <c r="AD3965" i="1"/>
  <c r="AC3965" i="1"/>
  <c r="AB3965" i="1"/>
  <c r="AA3965" i="1"/>
  <c r="Z3965" i="1"/>
  <c r="Y3965" i="1"/>
  <c r="X3965" i="1"/>
  <c r="W3965" i="1"/>
  <c r="V3965" i="1"/>
  <c r="AH3964" i="1"/>
  <c r="AG3964" i="1"/>
  <c r="AF3964" i="1"/>
  <c r="AE3964" i="1"/>
  <c r="AD3964" i="1"/>
  <c r="AC3964" i="1"/>
  <c r="AB3964" i="1"/>
  <c r="AA3964" i="1"/>
  <c r="Z3964" i="1"/>
  <c r="Y3964" i="1"/>
  <c r="X3964" i="1"/>
  <c r="W3964" i="1"/>
  <c r="V3964" i="1"/>
  <c r="AH3963" i="1"/>
  <c r="AG3963" i="1"/>
  <c r="AF3963" i="1"/>
  <c r="AE3963" i="1"/>
  <c r="AD3963" i="1"/>
  <c r="AC3963" i="1"/>
  <c r="AB3963" i="1"/>
  <c r="AA3963" i="1"/>
  <c r="Z3963" i="1"/>
  <c r="Y3963" i="1"/>
  <c r="X3963" i="1"/>
  <c r="W3963" i="1"/>
  <c r="V3963" i="1"/>
  <c r="AH3962" i="1"/>
  <c r="AG3962" i="1"/>
  <c r="AF3962" i="1"/>
  <c r="AE3962" i="1"/>
  <c r="AD3962" i="1"/>
  <c r="AC3962" i="1"/>
  <c r="AB3962" i="1"/>
  <c r="AA3962" i="1"/>
  <c r="Z3962" i="1"/>
  <c r="Y3962" i="1"/>
  <c r="X3962" i="1"/>
  <c r="W3962" i="1"/>
  <c r="V3962" i="1"/>
  <c r="AH3961" i="1"/>
  <c r="AG3961" i="1"/>
  <c r="AF3961" i="1"/>
  <c r="AE3961" i="1"/>
  <c r="AD3961" i="1"/>
  <c r="AC3961" i="1"/>
  <c r="AB3961" i="1"/>
  <c r="AA3961" i="1"/>
  <c r="Z3961" i="1"/>
  <c r="Y3961" i="1"/>
  <c r="X3961" i="1"/>
  <c r="W3961" i="1"/>
  <c r="V3961" i="1"/>
  <c r="AH3960" i="1"/>
  <c r="AG3960" i="1"/>
  <c r="AF3960" i="1"/>
  <c r="AE3960" i="1"/>
  <c r="AD3960" i="1"/>
  <c r="AC3960" i="1"/>
  <c r="AB3960" i="1"/>
  <c r="AA3960" i="1"/>
  <c r="Z3960" i="1"/>
  <c r="Y3960" i="1"/>
  <c r="X3960" i="1"/>
  <c r="W3960" i="1"/>
  <c r="V3960" i="1"/>
  <c r="AH3959" i="1"/>
  <c r="AG3959" i="1"/>
  <c r="AF3959" i="1"/>
  <c r="AE3959" i="1"/>
  <c r="AD3959" i="1"/>
  <c r="AC3959" i="1"/>
  <c r="AB3959" i="1"/>
  <c r="AA3959" i="1"/>
  <c r="Z3959" i="1"/>
  <c r="Y3959" i="1"/>
  <c r="X3959" i="1"/>
  <c r="W3959" i="1"/>
  <c r="V3959" i="1"/>
  <c r="AH3958" i="1"/>
  <c r="AG3958" i="1"/>
  <c r="AF3958" i="1"/>
  <c r="AE3958" i="1"/>
  <c r="AD3958" i="1"/>
  <c r="AC3958" i="1"/>
  <c r="AB3958" i="1"/>
  <c r="AA3958" i="1"/>
  <c r="Z3958" i="1"/>
  <c r="Y3958" i="1"/>
  <c r="X3958" i="1"/>
  <c r="W3958" i="1"/>
  <c r="V3958" i="1"/>
  <c r="AH3957" i="1"/>
  <c r="AG3957" i="1"/>
  <c r="AF3957" i="1"/>
  <c r="AE3957" i="1"/>
  <c r="AD3957" i="1"/>
  <c r="AC3957" i="1"/>
  <c r="AB3957" i="1"/>
  <c r="AA3957" i="1"/>
  <c r="Z3957" i="1"/>
  <c r="Y3957" i="1"/>
  <c r="X3957" i="1"/>
  <c r="W3957" i="1"/>
  <c r="V3957" i="1"/>
  <c r="AH3956" i="1"/>
  <c r="AG3956" i="1"/>
  <c r="AF3956" i="1"/>
  <c r="AE3956" i="1"/>
  <c r="AD3956" i="1"/>
  <c r="AC3956" i="1"/>
  <c r="AB3956" i="1"/>
  <c r="AA3956" i="1"/>
  <c r="Z3956" i="1"/>
  <c r="Y3956" i="1"/>
  <c r="X3956" i="1"/>
  <c r="W3956" i="1"/>
  <c r="V3956" i="1"/>
  <c r="AH3955" i="1"/>
  <c r="AG3955" i="1"/>
  <c r="AF3955" i="1"/>
  <c r="AE3955" i="1"/>
  <c r="AD3955" i="1"/>
  <c r="AC3955" i="1"/>
  <c r="AB3955" i="1"/>
  <c r="AA3955" i="1"/>
  <c r="Z3955" i="1"/>
  <c r="Y3955" i="1"/>
  <c r="X3955" i="1"/>
  <c r="W3955" i="1"/>
  <c r="V3955" i="1"/>
  <c r="AH3954" i="1"/>
  <c r="AG3954" i="1"/>
  <c r="AF3954" i="1"/>
  <c r="AE3954" i="1"/>
  <c r="AD3954" i="1"/>
  <c r="AC3954" i="1"/>
  <c r="AB3954" i="1"/>
  <c r="AA3954" i="1"/>
  <c r="Z3954" i="1"/>
  <c r="Y3954" i="1"/>
  <c r="X3954" i="1"/>
  <c r="W3954" i="1"/>
  <c r="V3954" i="1"/>
  <c r="AH3953" i="1"/>
  <c r="AG3953" i="1"/>
  <c r="AF3953" i="1"/>
  <c r="AE3953" i="1"/>
  <c r="AD3953" i="1"/>
  <c r="AC3953" i="1"/>
  <c r="AB3953" i="1"/>
  <c r="AA3953" i="1"/>
  <c r="Z3953" i="1"/>
  <c r="Y3953" i="1"/>
  <c r="X3953" i="1"/>
  <c r="W3953" i="1"/>
  <c r="V3953" i="1"/>
  <c r="AH3952" i="1"/>
  <c r="AG3952" i="1"/>
  <c r="AF3952" i="1"/>
  <c r="AE3952" i="1"/>
  <c r="AD3952" i="1"/>
  <c r="AC3952" i="1"/>
  <c r="AB3952" i="1"/>
  <c r="AA3952" i="1"/>
  <c r="Z3952" i="1"/>
  <c r="Y3952" i="1"/>
  <c r="X3952" i="1"/>
  <c r="W3952" i="1"/>
  <c r="V3952" i="1"/>
  <c r="AH3951" i="1"/>
  <c r="AG3951" i="1"/>
  <c r="AF3951" i="1"/>
  <c r="AE3951" i="1"/>
  <c r="AD3951" i="1"/>
  <c r="AC3951" i="1"/>
  <c r="AB3951" i="1"/>
  <c r="AA3951" i="1"/>
  <c r="Z3951" i="1"/>
  <c r="Y3951" i="1"/>
  <c r="X3951" i="1"/>
  <c r="W3951" i="1"/>
  <c r="V3951" i="1"/>
  <c r="AH3950" i="1"/>
  <c r="AG3950" i="1"/>
  <c r="AF3950" i="1"/>
  <c r="AE3950" i="1"/>
  <c r="AD3950" i="1"/>
  <c r="AC3950" i="1"/>
  <c r="AB3950" i="1"/>
  <c r="AA3950" i="1"/>
  <c r="Z3950" i="1"/>
  <c r="Y3950" i="1"/>
  <c r="X3950" i="1"/>
  <c r="W3950" i="1"/>
  <c r="V3950" i="1"/>
  <c r="AH3949" i="1"/>
  <c r="AG3949" i="1"/>
  <c r="AF3949" i="1"/>
  <c r="AE3949" i="1"/>
  <c r="AD3949" i="1"/>
  <c r="AC3949" i="1"/>
  <c r="AB3949" i="1"/>
  <c r="AA3949" i="1"/>
  <c r="Z3949" i="1"/>
  <c r="Y3949" i="1"/>
  <c r="X3949" i="1"/>
  <c r="W3949" i="1"/>
  <c r="V3949" i="1"/>
  <c r="AH3948" i="1"/>
  <c r="AG3948" i="1"/>
  <c r="AF3948" i="1"/>
  <c r="AE3948" i="1"/>
  <c r="AD3948" i="1"/>
  <c r="AC3948" i="1"/>
  <c r="AB3948" i="1"/>
  <c r="AA3948" i="1"/>
  <c r="Z3948" i="1"/>
  <c r="Y3948" i="1"/>
  <c r="X3948" i="1"/>
  <c r="W3948" i="1"/>
  <c r="V3948" i="1"/>
  <c r="AH3947" i="1"/>
  <c r="AG3947" i="1"/>
  <c r="AF3947" i="1"/>
  <c r="AE3947" i="1"/>
  <c r="AD3947" i="1"/>
  <c r="AC3947" i="1"/>
  <c r="AB3947" i="1"/>
  <c r="AA3947" i="1"/>
  <c r="Z3947" i="1"/>
  <c r="Y3947" i="1"/>
  <c r="X3947" i="1"/>
  <c r="W3947" i="1"/>
  <c r="V3947" i="1"/>
  <c r="AH3946" i="1"/>
  <c r="AG3946" i="1"/>
  <c r="AF3946" i="1"/>
  <c r="AE3946" i="1"/>
  <c r="AD3946" i="1"/>
  <c r="AC3946" i="1"/>
  <c r="AB3946" i="1"/>
  <c r="AA3946" i="1"/>
  <c r="Z3946" i="1"/>
  <c r="Y3946" i="1"/>
  <c r="X3946" i="1"/>
  <c r="W3946" i="1"/>
  <c r="V3946" i="1"/>
  <c r="AH3945" i="1"/>
  <c r="AG3945" i="1"/>
  <c r="AF3945" i="1"/>
  <c r="AE3945" i="1"/>
  <c r="AD3945" i="1"/>
  <c r="AC3945" i="1"/>
  <c r="AB3945" i="1"/>
  <c r="AA3945" i="1"/>
  <c r="Z3945" i="1"/>
  <c r="Y3945" i="1"/>
  <c r="X3945" i="1"/>
  <c r="W3945" i="1"/>
  <c r="V3945" i="1"/>
  <c r="AH3944" i="1"/>
  <c r="AG3944" i="1"/>
  <c r="AF3944" i="1"/>
  <c r="AE3944" i="1"/>
  <c r="AD3944" i="1"/>
  <c r="AC3944" i="1"/>
  <c r="AB3944" i="1"/>
  <c r="AA3944" i="1"/>
  <c r="Z3944" i="1"/>
  <c r="Y3944" i="1"/>
  <c r="X3944" i="1"/>
  <c r="W3944" i="1"/>
  <c r="V3944" i="1"/>
  <c r="AH3943" i="1"/>
  <c r="AG3943" i="1"/>
  <c r="AF3943" i="1"/>
  <c r="AE3943" i="1"/>
  <c r="AD3943" i="1"/>
  <c r="AC3943" i="1"/>
  <c r="AB3943" i="1"/>
  <c r="AA3943" i="1"/>
  <c r="Z3943" i="1"/>
  <c r="Y3943" i="1"/>
  <c r="X3943" i="1"/>
  <c r="W3943" i="1"/>
  <c r="V3943" i="1"/>
  <c r="AH3942" i="1"/>
  <c r="AG3942" i="1"/>
  <c r="AF3942" i="1"/>
  <c r="AE3942" i="1"/>
  <c r="AD3942" i="1"/>
  <c r="AC3942" i="1"/>
  <c r="AB3942" i="1"/>
  <c r="AA3942" i="1"/>
  <c r="Z3942" i="1"/>
  <c r="Y3942" i="1"/>
  <c r="X3942" i="1"/>
  <c r="W3942" i="1"/>
  <c r="V3942" i="1"/>
  <c r="AH3941" i="1"/>
  <c r="AG3941" i="1"/>
  <c r="AF3941" i="1"/>
  <c r="AE3941" i="1"/>
  <c r="AD3941" i="1"/>
  <c r="AC3941" i="1"/>
  <c r="AB3941" i="1"/>
  <c r="AA3941" i="1"/>
  <c r="Z3941" i="1"/>
  <c r="Y3941" i="1"/>
  <c r="X3941" i="1"/>
  <c r="W3941" i="1"/>
  <c r="V3941" i="1"/>
  <c r="AH3940" i="1"/>
  <c r="AG3940" i="1"/>
  <c r="AF3940" i="1"/>
  <c r="AE3940" i="1"/>
  <c r="AD3940" i="1"/>
  <c r="AC3940" i="1"/>
  <c r="AB3940" i="1"/>
  <c r="AA3940" i="1"/>
  <c r="Z3940" i="1"/>
  <c r="Y3940" i="1"/>
  <c r="X3940" i="1"/>
  <c r="W3940" i="1"/>
  <c r="V3940" i="1"/>
  <c r="AH3939" i="1"/>
  <c r="AG3939" i="1"/>
  <c r="AF3939" i="1"/>
  <c r="AE3939" i="1"/>
  <c r="AD3939" i="1"/>
  <c r="AC3939" i="1"/>
  <c r="AB3939" i="1"/>
  <c r="AA3939" i="1"/>
  <c r="Z3939" i="1"/>
  <c r="Y3939" i="1"/>
  <c r="X3939" i="1"/>
  <c r="W3939" i="1"/>
  <c r="V3939" i="1"/>
  <c r="AH3938" i="1"/>
  <c r="AG3938" i="1"/>
  <c r="AF3938" i="1"/>
  <c r="AE3938" i="1"/>
  <c r="AD3938" i="1"/>
  <c r="AC3938" i="1"/>
  <c r="AB3938" i="1"/>
  <c r="AA3938" i="1"/>
  <c r="Z3938" i="1"/>
  <c r="Y3938" i="1"/>
  <c r="X3938" i="1"/>
  <c r="W3938" i="1"/>
  <c r="V3938" i="1"/>
  <c r="AH3937" i="1"/>
  <c r="AG3937" i="1"/>
  <c r="AF3937" i="1"/>
  <c r="AE3937" i="1"/>
  <c r="AD3937" i="1"/>
  <c r="AC3937" i="1"/>
  <c r="AB3937" i="1"/>
  <c r="AA3937" i="1"/>
  <c r="Z3937" i="1"/>
  <c r="Y3937" i="1"/>
  <c r="X3937" i="1"/>
  <c r="W3937" i="1"/>
  <c r="V3937" i="1"/>
  <c r="AH3936" i="1"/>
  <c r="AG3936" i="1"/>
  <c r="AF3936" i="1"/>
  <c r="AE3936" i="1"/>
  <c r="AD3936" i="1"/>
  <c r="AC3936" i="1"/>
  <c r="AB3936" i="1"/>
  <c r="AA3936" i="1"/>
  <c r="Z3936" i="1"/>
  <c r="Y3936" i="1"/>
  <c r="X3936" i="1"/>
  <c r="W3936" i="1"/>
  <c r="V3936" i="1"/>
  <c r="AH3935" i="1"/>
  <c r="AG3935" i="1"/>
  <c r="AF3935" i="1"/>
  <c r="AE3935" i="1"/>
  <c r="AD3935" i="1"/>
  <c r="AC3935" i="1"/>
  <c r="AB3935" i="1"/>
  <c r="AA3935" i="1"/>
  <c r="Z3935" i="1"/>
  <c r="Y3935" i="1"/>
  <c r="X3935" i="1"/>
  <c r="W3935" i="1"/>
  <c r="V3935" i="1"/>
  <c r="AH3934" i="1"/>
  <c r="AG3934" i="1"/>
  <c r="AF3934" i="1"/>
  <c r="AE3934" i="1"/>
  <c r="AD3934" i="1"/>
  <c r="AC3934" i="1"/>
  <c r="AB3934" i="1"/>
  <c r="AA3934" i="1"/>
  <c r="Z3934" i="1"/>
  <c r="Y3934" i="1"/>
  <c r="X3934" i="1"/>
  <c r="W3934" i="1"/>
  <c r="V3934" i="1"/>
  <c r="AH3933" i="1"/>
  <c r="AG3933" i="1"/>
  <c r="AF3933" i="1"/>
  <c r="AE3933" i="1"/>
  <c r="AD3933" i="1"/>
  <c r="AC3933" i="1"/>
  <c r="AB3933" i="1"/>
  <c r="AA3933" i="1"/>
  <c r="Z3933" i="1"/>
  <c r="Y3933" i="1"/>
  <c r="X3933" i="1"/>
  <c r="W3933" i="1"/>
  <c r="V3933" i="1"/>
  <c r="AH3932" i="1"/>
  <c r="AG3932" i="1"/>
  <c r="AF3932" i="1"/>
  <c r="AE3932" i="1"/>
  <c r="AD3932" i="1"/>
  <c r="AC3932" i="1"/>
  <c r="AB3932" i="1"/>
  <c r="AA3932" i="1"/>
  <c r="Z3932" i="1"/>
  <c r="Y3932" i="1"/>
  <c r="X3932" i="1"/>
  <c r="W3932" i="1"/>
  <c r="V3932" i="1"/>
  <c r="AH3931" i="1"/>
  <c r="AG3931" i="1"/>
  <c r="AF3931" i="1"/>
  <c r="AE3931" i="1"/>
  <c r="AD3931" i="1"/>
  <c r="AC3931" i="1"/>
  <c r="AB3931" i="1"/>
  <c r="AA3931" i="1"/>
  <c r="Z3931" i="1"/>
  <c r="Y3931" i="1"/>
  <c r="X3931" i="1"/>
  <c r="W3931" i="1"/>
  <c r="V3931" i="1"/>
  <c r="AH3930" i="1"/>
  <c r="AG3930" i="1"/>
  <c r="AF3930" i="1"/>
  <c r="AE3930" i="1"/>
  <c r="AD3930" i="1"/>
  <c r="AC3930" i="1"/>
  <c r="AB3930" i="1"/>
  <c r="AA3930" i="1"/>
  <c r="Z3930" i="1"/>
  <c r="Y3930" i="1"/>
  <c r="X3930" i="1"/>
  <c r="W3930" i="1"/>
  <c r="V3930" i="1"/>
  <c r="AH3929" i="1"/>
  <c r="AG3929" i="1"/>
  <c r="AF3929" i="1"/>
  <c r="AE3929" i="1"/>
  <c r="AD3929" i="1"/>
  <c r="AC3929" i="1"/>
  <c r="AB3929" i="1"/>
  <c r="AA3929" i="1"/>
  <c r="Z3929" i="1"/>
  <c r="Y3929" i="1"/>
  <c r="X3929" i="1"/>
  <c r="W3929" i="1"/>
  <c r="V3929" i="1"/>
  <c r="AH3928" i="1"/>
  <c r="AG3928" i="1"/>
  <c r="AF3928" i="1"/>
  <c r="AE3928" i="1"/>
  <c r="AD3928" i="1"/>
  <c r="AC3928" i="1"/>
  <c r="AB3928" i="1"/>
  <c r="AA3928" i="1"/>
  <c r="Z3928" i="1"/>
  <c r="Y3928" i="1"/>
  <c r="X3928" i="1"/>
  <c r="W3928" i="1"/>
  <c r="V3928" i="1"/>
  <c r="AH3927" i="1"/>
  <c r="AG3927" i="1"/>
  <c r="AF3927" i="1"/>
  <c r="AE3927" i="1"/>
  <c r="AD3927" i="1"/>
  <c r="AC3927" i="1"/>
  <c r="AB3927" i="1"/>
  <c r="AA3927" i="1"/>
  <c r="Z3927" i="1"/>
  <c r="Y3927" i="1"/>
  <c r="X3927" i="1"/>
  <c r="W3927" i="1"/>
  <c r="V3927" i="1"/>
  <c r="AH3926" i="1"/>
  <c r="AG3926" i="1"/>
  <c r="AF3926" i="1"/>
  <c r="AE3926" i="1"/>
  <c r="AD3926" i="1"/>
  <c r="AC3926" i="1"/>
  <c r="AB3926" i="1"/>
  <c r="AA3926" i="1"/>
  <c r="Z3926" i="1"/>
  <c r="Y3926" i="1"/>
  <c r="X3926" i="1"/>
  <c r="W3926" i="1"/>
  <c r="V3926" i="1"/>
  <c r="AH3925" i="1"/>
  <c r="AG3925" i="1"/>
  <c r="AF3925" i="1"/>
  <c r="AE3925" i="1"/>
  <c r="AD3925" i="1"/>
  <c r="AC3925" i="1"/>
  <c r="AB3925" i="1"/>
  <c r="AA3925" i="1"/>
  <c r="Z3925" i="1"/>
  <c r="Y3925" i="1"/>
  <c r="X3925" i="1"/>
  <c r="W3925" i="1"/>
  <c r="V3925" i="1"/>
  <c r="AH3924" i="1"/>
  <c r="AG3924" i="1"/>
  <c r="AF3924" i="1"/>
  <c r="AE3924" i="1"/>
  <c r="AD3924" i="1"/>
  <c r="AC3924" i="1"/>
  <c r="AB3924" i="1"/>
  <c r="AA3924" i="1"/>
  <c r="Z3924" i="1"/>
  <c r="Y3924" i="1"/>
  <c r="X3924" i="1"/>
  <c r="W3924" i="1"/>
  <c r="V3924" i="1"/>
  <c r="AH3923" i="1"/>
  <c r="AG3923" i="1"/>
  <c r="AF3923" i="1"/>
  <c r="AE3923" i="1"/>
  <c r="AD3923" i="1"/>
  <c r="AC3923" i="1"/>
  <c r="AB3923" i="1"/>
  <c r="AA3923" i="1"/>
  <c r="Z3923" i="1"/>
  <c r="Y3923" i="1"/>
  <c r="X3923" i="1"/>
  <c r="W3923" i="1"/>
  <c r="V3923" i="1"/>
  <c r="AH3922" i="1"/>
  <c r="AG3922" i="1"/>
  <c r="AF3922" i="1"/>
  <c r="AE3922" i="1"/>
  <c r="AD3922" i="1"/>
  <c r="AC3922" i="1"/>
  <c r="AB3922" i="1"/>
  <c r="AA3922" i="1"/>
  <c r="Z3922" i="1"/>
  <c r="Y3922" i="1"/>
  <c r="X3922" i="1"/>
  <c r="W3922" i="1"/>
  <c r="V3922" i="1"/>
  <c r="AH3921" i="1"/>
  <c r="AG3921" i="1"/>
  <c r="AF3921" i="1"/>
  <c r="AE3921" i="1"/>
  <c r="AD3921" i="1"/>
  <c r="AC3921" i="1"/>
  <c r="AB3921" i="1"/>
  <c r="AA3921" i="1"/>
  <c r="Z3921" i="1"/>
  <c r="Y3921" i="1"/>
  <c r="X3921" i="1"/>
  <c r="W3921" i="1"/>
  <c r="V3921" i="1"/>
  <c r="AH3920" i="1"/>
  <c r="AG3920" i="1"/>
  <c r="AF3920" i="1"/>
  <c r="AE3920" i="1"/>
  <c r="AD3920" i="1"/>
  <c r="AC3920" i="1"/>
  <c r="AB3920" i="1"/>
  <c r="AA3920" i="1"/>
  <c r="Z3920" i="1"/>
  <c r="Y3920" i="1"/>
  <c r="X3920" i="1"/>
  <c r="W3920" i="1"/>
  <c r="V3920" i="1"/>
  <c r="AH3919" i="1"/>
  <c r="AG3919" i="1"/>
  <c r="AF3919" i="1"/>
  <c r="AE3919" i="1"/>
  <c r="AD3919" i="1"/>
  <c r="AC3919" i="1"/>
  <c r="AB3919" i="1"/>
  <c r="AA3919" i="1"/>
  <c r="Z3919" i="1"/>
  <c r="Y3919" i="1"/>
  <c r="X3919" i="1"/>
  <c r="W3919" i="1"/>
  <c r="V3919" i="1"/>
  <c r="AH3918" i="1"/>
  <c r="AG3918" i="1"/>
  <c r="AF3918" i="1"/>
  <c r="AE3918" i="1"/>
  <c r="AD3918" i="1"/>
  <c r="AC3918" i="1"/>
  <c r="AB3918" i="1"/>
  <c r="AA3918" i="1"/>
  <c r="Z3918" i="1"/>
  <c r="Y3918" i="1"/>
  <c r="X3918" i="1"/>
  <c r="W3918" i="1"/>
  <c r="V3918" i="1"/>
  <c r="AH3917" i="1"/>
  <c r="AG3917" i="1"/>
  <c r="AF3917" i="1"/>
  <c r="AE3917" i="1"/>
  <c r="AD3917" i="1"/>
  <c r="AC3917" i="1"/>
  <c r="AB3917" i="1"/>
  <c r="AA3917" i="1"/>
  <c r="Z3917" i="1"/>
  <c r="Y3917" i="1"/>
  <c r="X3917" i="1"/>
  <c r="W3917" i="1"/>
  <c r="V3917" i="1"/>
  <c r="AH3916" i="1"/>
  <c r="AG3916" i="1"/>
  <c r="AF3916" i="1"/>
  <c r="AE3916" i="1"/>
  <c r="AD3916" i="1"/>
  <c r="AC3916" i="1"/>
  <c r="AB3916" i="1"/>
  <c r="AA3916" i="1"/>
  <c r="Z3916" i="1"/>
  <c r="Y3916" i="1"/>
  <c r="X3916" i="1"/>
  <c r="W3916" i="1"/>
  <c r="V3916" i="1"/>
  <c r="AH3915" i="1"/>
  <c r="AG3915" i="1"/>
  <c r="AF3915" i="1"/>
  <c r="AE3915" i="1"/>
  <c r="AD3915" i="1"/>
  <c r="AC3915" i="1"/>
  <c r="AB3915" i="1"/>
  <c r="AA3915" i="1"/>
  <c r="Z3915" i="1"/>
  <c r="Y3915" i="1"/>
  <c r="X3915" i="1"/>
  <c r="W3915" i="1"/>
  <c r="V3915" i="1"/>
  <c r="AH3914" i="1"/>
  <c r="AG3914" i="1"/>
  <c r="AF3914" i="1"/>
  <c r="AE3914" i="1"/>
  <c r="AD3914" i="1"/>
  <c r="AC3914" i="1"/>
  <c r="AB3914" i="1"/>
  <c r="AA3914" i="1"/>
  <c r="Z3914" i="1"/>
  <c r="Y3914" i="1"/>
  <c r="X3914" i="1"/>
  <c r="W3914" i="1"/>
  <c r="V3914" i="1"/>
  <c r="AH3913" i="1"/>
  <c r="AG3913" i="1"/>
  <c r="AF3913" i="1"/>
  <c r="AE3913" i="1"/>
  <c r="AD3913" i="1"/>
  <c r="AC3913" i="1"/>
  <c r="AB3913" i="1"/>
  <c r="AA3913" i="1"/>
  <c r="Z3913" i="1"/>
  <c r="Y3913" i="1"/>
  <c r="X3913" i="1"/>
  <c r="W3913" i="1"/>
  <c r="V3913" i="1"/>
  <c r="AH3912" i="1"/>
  <c r="AG3912" i="1"/>
  <c r="AF3912" i="1"/>
  <c r="AE3912" i="1"/>
  <c r="AD3912" i="1"/>
  <c r="AC3912" i="1"/>
  <c r="AB3912" i="1"/>
  <c r="AA3912" i="1"/>
  <c r="Z3912" i="1"/>
  <c r="Y3912" i="1"/>
  <c r="X3912" i="1"/>
  <c r="W3912" i="1"/>
  <c r="V3912" i="1"/>
  <c r="AH3911" i="1"/>
  <c r="AG3911" i="1"/>
  <c r="AF3911" i="1"/>
  <c r="AE3911" i="1"/>
  <c r="AD3911" i="1"/>
  <c r="AC3911" i="1"/>
  <c r="AB3911" i="1"/>
  <c r="AA3911" i="1"/>
  <c r="Z3911" i="1"/>
  <c r="Y3911" i="1"/>
  <c r="X3911" i="1"/>
  <c r="W3911" i="1"/>
  <c r="V3911" i="1"/>
  <c r="AH3910" i="1"/>
  <c r="AG3910" i="1"/>
  <c r="AF3910" i="1"/>
  <c r="AE3910" i="1"/>
  <c r="AD3910" i="1"/>
  <c r="AC3910" i="1"/>
  <c r="AB3910" i="1"/>
  <c r="AA3910" i="1"/>
  <c r="Z3910" i="1"/>
  <c r="Y3910" i="1"/>
  <c r="X3910" i="1"/>
  <c r="W3910" i="1"/>
  <c r="V3910" i="1"/>
  <c r="AH3909" i="1"/>
  <c r="AG3909" i="1"/>
  <c r="AF3909" i="1"/>
  <c r="AE3909" i="1"/>
  <c r="AD3909" i="1"/>
  <c r="AC3909" i="1"/>
  <c r="AB3909" i="1"/>
  <c r="AA3909" i="1"/>
  <c r="Z3909" i="1"/>
  <c r="Y3909" i="1"/>
  <c r="X3909" i="1"/>
  <c r="W3909" i="1"/>
  <c r="V3909" i="1"/>
  <c r="AH3908" i="1"/>
  <c r="AG3908" i="1"/>
  <c r="AF3908" i="1"/>
  <c r="AE3908" i="1"/>
  <c r="AD3908" i="1"/>
  <c r="AC3908" i="1"/>
  <c r="AB3908" i="1"/>
  <c r="AA3908" i="1"/>
  <c r="Z3908" i="1"/>
  <c r="Y3908" i="1"/>
  <c r="X3908" i="1"/>
  <c r="W3908" i="1"/>
  <c r="V3908" i="1"/>
  <c r="AH3907" i="1"/>
  <c r="AG3907" i="1"/>
  <c r="AF3907" i="1"/>
  <c r="AE3907" i="1"/>
  <c r="AD3907" i="1"/>
  <c r="AC3907" i="1"/>
  <c r="AB3907" i="1"/>
  <c r="AA3907" i="1"/>
  <c r="Z3907" i="1"/>
  <c r="Y3907" i="1"/>
  <c r="X3907" i="1"/>
  <c r="W3907" i="1"/>
  <c r="V3907" i="1"/>
  <c r="AH3906" i="1"/>
  <c r="AG3906" i="1"/>
  <c r="AF3906" i="1"/>
  <c r="AE3906" i="1"/>
  <c r="AD3906" i="1"/>
  <c r="AC3906" i="1"/>
  <c r="AB3906" i="1"/>
  <c r="AA3906" i="1"/>
  <c r="Z3906" i="1"/>
  <c r="Y3906" i="1"/>
  <c r="X3906" i="1"/>
  <c r="W3906" i="1"/>
  <c r="V3906" i="1"/>
  <c r="AH3905" i="1"/>
  <c r="AG3905" i="1"/>
  <c r="AF3905" i="1"/>
  <c r="AE3905" i="1"/>
  <c r="AD3905" i="1"/>
  <c r="AC3905" i="1"/>
  <c r="AB3905" i="1"/>
  <c r="AA3905" i="1"/>
  <c r="Z3905" i="1"/>
  <c r="Y3905" i="1"/>
  <c r="X3905" i="1"/>
  <c r="W3905" i="1"/>
  <c r="V3905" i="1"/>
  <c r="AH3904" i="1"/>
  <c r="AG3904" i="1"/>
  <c r="AF3904" i="1"/>
  <c r="AE3904" i="1"/>
  <c r="AD3904" i="1"/>
  <c r="AC3904" i="1"/>
  <c r="AB3904" i="1"/>
  <c r="AA3904" i="1"/>
  <c r="Z3904" i="1"/>
  <c r="Y3904" i="1"/>
  <c r="X3904" i="1"/>
  <c r="W3904" i="1"/>
  <c r="V3904" i="1"/>
  <c r="AH3903" i="1"/>
  <c r="AG3903" i="1"/>
  <c r="AF3903" i="1"/>
  <c r="AE3903" i="1"/>
  <c r="AD3903" i="1"/>
  <c r="AC3903" i="1"/>
  <c r="AB3903" i="1"/>
  <c r="AA3903" i="1"/>
  <c r="Z3903" i="1"/>
  <c r="Y3903" i="1"/>
  <c r="X3903" i="1"/>
  <c r="W3903" i="1"/>
  <c r="V3903" i="1"/>
  <c r="AH3902" i="1"/>
  <c r="AG3902" i="1"/>
  <c r="AF3902" i="1"/>
  <c r="AE3902" i="1"/>
  <c r="AD3902" i="1"/>
  <c r="AC3902" i="1"/>
  <c r="AB3902" i="1"/>
  <c r="AA3902" i="1"/>
  <c r="Z3902" i="1"/>
  <c r="Y3902" i="1"/>
  <c r="X3902" i="1"/>
  <c r="W3902" i="1"/>
  <c r="V3902" i="1"/>
  <c r="AH3901" i="1"/>
  <c r="AG3901" i="1"/>
  <c r="AF3901" i="1"/>
  <c r="AE3901" i="1"/>
  <c r="AD3901" i="1"/>
  <c r="AC3901" i="1"/>
  <c r="AB3901" i="1"/>
  <c r="AA3901" i="1"/>
  <c r="Z3901" i="1"/>
  <c r="Y3901" i="1"/>
  <c r="X3901" i="1"/>
  <c r="W3901" i="1"/>
  <c r="V3901" i="1"/>
  <c r="AH3900" i="1"/>
  <c r="AG3900" i="1"/>
  <c r="AF3900" i="1"/>
  <c r="AE3900" i="1"/>
  <c r="AD3900" i="1"/>
  <c r="AC3900" i="1"/>
  <c r="AB3900" i="1"/>
  <c r="AA3900" i="1"/>
  <c r="Z3900" i="1"/>
  <c r="Y3900" i="1"/>
  <c r="X3900" i="1"/>
  <c r="W3900" i="1"/>
  <c r="V3900" i="1"/>
  <c r="AH3899" i="1"/>
  <c r="AG3899" i="1"/>
  <c r="AF3899" i="1"/>
  <c r="AE3899" i="1"/>
  <c r="AD3899" i="1"/>
  <c r="AC3899" i="1"/>
  <c r="AB3899" i="1"/>
  <c r="AA3899" i="1"/>
  <c r="Z3899" i="1"/>
  <c r="Y3899" i="1"/>
  <c r="X3899" i="1"/>
  <c r="W3899" i="1"/>
  <c r="V3899" i="1"/>
  <c r="AH3898" i="1"/>
  <c r="AG3898" i="1"/>
  <c r="AF3898" i="1"/>
  <c r="AE3898" i="1"/>
  <c r="AD3898" i="1"/>
  <c r="AC3898" i="1"/>
  <c r="AB3898" i="1"/>
  <c r="AA3898" i="1"/>
  <c r="Z3898" i="1"/>
  <c r="Y3898" i="1"/>
  <c r="X3898" i="1"/>
  <c r="W3898" i="1"/>
  <c r="V3898" i="1"/>
  <c r="AH3897" i="1"/>
  <c r="AG3897" i="1"/>
  <c r="AF3897" i="1"/>
  <c r="AE3897" i="1"/>
  <c r="AD3897" i="1"/>
  <c r="AC3897" i="1"/>
  <c r="AB3897" i="1"/>
  <c r="AA3897" i="1"/>
  <c r="Z3897" i="1"/>
  <c r="Y3897" i="1"/>
  <c r="X3897" i="1"/>
  <c r="W3897" i="1"/>
  <c r="V3897" i="1"/>
  <c r="AH3896" i="1"/>
  <c r="AG3896" i="1"/>
  <c r="AF3896" i="1"/>
  <c r="AE3896" i="1"/>
  <c r="AD3896" i="1"/>
  <c r="AC3896" i="1"/>
  <c r="AB3896" i="1"/>
  <c r="AA3896" i="1"/>
  <c r="Z3896" i="1"/>
  <c r="Y3896" i="1"/>
  <c r="X3896" i="1"/>
  <c r="W3896" i="1"/>
  <c r="V3896" i="1"/>
  <c r="AH3895" i="1"/>
  <c r="AG3895" i="1"/>
  <c r="AF3895" i="1"/>
  <c r="AE3895" i="1"/>
  <c r="AD3895" i="1"/>
  <c r="AC3895" i="1"/>
  <c r="AB3895" i="1"/>
  <c r="AA3895" i="1"/>
  <c r="Z3895" i="1"/>
  <c r="Y3895" i="1"/>
  <c r="X3895" i="1"/>
  <c r="W3895" i="1"/>
  <c r="V3895" i="1"/>
  <c r="AH3894" i="1"/>
  <c r="AG3894" i="1"/>
  <c r="AF3894" i="1"/>
  <c r="AE3894" i="1"/>
  <c r="AD3894" i="1"/>
  <c r="AC3894" i="1"/>
  <c r="AB3894" i="1"/>
  <c r="AA3894" i="1"/>
  <c r="Z3894" i="1"/>
  <c r="Y3894" i="1"/>
  <c r="X3894" i="1"/>
  <c r="W3894" i="1"/>
  <c r="V3894" i="1"/>
  <c r="AH3893" i="1"/>
  <c r="AG3893" i="1"/>
  <c r="AF3893" i="1"/>
  <c r="AE3893" i="1"/>
  <c r="AD3893" i="1"/>
  <c r="AC3893" i="1"/>
  <c r="AB3893" i="1"/>
  <c r="AA3893" i="1"/>
  <c r="Z3893" i="1"/>
  <c r="Y3893" i="1"/>
  <c r="X3893" i="1"/>
  <c r="W3893" i="1"/>
  <c r="V3893" i="1"/>
  <c r="AH3892" i="1"/>
  <c r="AG3892" i="1"/>
  <c r="AF3892" i="1"/>
  <c r="AE3892" i="1"/>
  <c r="AD3892" i="1"/>
  <c r="AC3892" i="1"/>
  <c r="AB3892" i="1"/>
  <c r="AA3892" i="1"/>
  <c r="Z3892" i="1"/>
  <c r="Y3892" i="1"/>
  <c r="X3892" i="1"/>
  <c r="W3892" i="1"/>
  <c r="V3892" i="1"/>
  <c r="AH3891" i="1"/>
  <c r="AG3891" i="1"/>
  <c r="AF3891" i="1"/>
  <c r="AE3891" i="1"/>
  <c r="AD3891" i="1"/>
  <c r="AC3891" i="1"/>
  <c r="AB3891" i="1"/>
  <c r="AA3891" i="1"/>
  <c r="Z3891" i="1"/>
  <c r="Y3891" i="1"/>
  <c r="X3891" i="1"/>
  <c r="W3891" i="1"/>
  <c r="V3891" i="1"/>
  <c r="AH3890" i="1"/>
  <c r="AG3890" i="1"/>
  <c r="AF3890" i="1"/>
  <c r="AE3890" i="1"/>
  <c r="AD3890" i="1"/>
  <c r="AC3890" i="1"/>
  <c r="AB3890" i="1"/>
  <c r="AA3890" i="1"/>
  <c r="Z3890" i="1"/>
  <c r="Y3890" i="1"/>
  <c r="X3890" i="1"/>
  <c r="W3890" i="1"/>
  <c r="V3890" i="1"/>
  <c r="AH3889" i="1"/>
  <c r="AG3889" i="1"/>
  <c r="AF3889" i="1"/>
  <c r="AE3889" i="1"/>
  <c r="AD3889" i="1"/>
  <c r="AC3889" i="1"/>
  <c r="AB3889" i="1"/>
  <c r="AA3889" i="1"/>
  <c r="Z3889" i="1"/>
  <c r="Y3889" i="1"/>
  <c r="X3889" i="1"/>
  <c r="W3889" i="1"/>
  <c r="V3889" i="1"/>
  <c r="AH3888" i="1"/>
  <c r="AG3888" i="1"/>
  <c r="AF3888" i="1"/>
  <c r="AE3888" i="1"/>
  <c r="AD3888" i="1"/>
  <c r="AC3888" i="1"/>
  <c r="AB3888" i="1"/>
  <c r="AA3888" i="1"/>
  <c r="Z3888" i="1"/>
  <c r="Y3888" i="1"/>
  <c r="X3888" i="1"/>
  <c r="W3888" i="1"/>
  <c r="V3888" i="1"/>
  <c r="AH3887" i="1"/>
  <c r="AG3887" i="1"/>
  <c r="AF3887" i="1"/>
  <c r="AE3887" i="1"/>
  <c r="AD3887" i="1"/>
  <c r="AC3887" i="1"/>
  <c r="AB3887" i="1"/>
  <c r="AA3887" i="1"/>
  <c r="Z3887" i="1"/>
  <c r="Y3887" i="1"/>
  <c r="X3887" i="1"/>
  <c r="W3887" i="1"/>
  <c r="V3887" i="1"/>
  <c r="AH3886" i="1"/>
  <c r="AG3886" i="1"/>
  <c r="AF3886" i="1"/>
  <c r="AE3886" i="1"/>
  <c r="AD3886" i="1"/>
  <c r="AC3886" i="1"/>
  <c r="AB3886" i="1"/>
  <c r="AA3886" i="1"/>
  <c r="Z3886" i="1"/>
  <c r="Y3886" i="1"/>
  <c r="X3886" i="1"/>
  <c r="W3886" i="1"/>
  <c r="V3886" i="1"/>
  <c r="AH3885" i="1"/>
  <c r="AG3885" i="1"/>
  <c r="AF3885" i="1"/>
  <c r="AE3885" i="1"/>
  <c r="AD3885" i="1"/>
  <c r="AC3885" i="1"/>
  <c r="AB3885" i="1"/>
  <c r="AA3885" i="1"/>
  <c r="Z3885" i="1"/>
  <c r="Y3885" i="1"/>
  <c r="X3885" i="1"/>
  <c r="W3885" i="1"/>
  <c r="V3885" i="1"/>
  <c r="AH3884" i="1"/>
  <c r="AG3884" i="1"/>
  <c r="AF3884" i="1"/>
  <c r="AE3884" i="1"/>
  <c r="AD3884" i="1"/>
  <c r="AC3884" i="1"/>
  <c r="AB3884" i="1"/>
  <c r="AA3884" i="1"/>
  <c r="Z3884" i="1"/>
  <c r="Y3884" i="1"/>
  <c r="X3884" i="1"/>
  <c r="W3884" i="1"/>
  <c r="V3884" i="1"/>
  <c r="AH3883" i="1"/>
  <c r="AG3883" i="1"/>
  <c r="AF3883" i="1"/>
  <c r="AE3883" i="1"/>
  <c r="AD3883" i="1"/>
  <c r="AC3883" i="1"/>
  <c r="AB3883" i="1"/>
  <c r="AA3883" i="1"/>
  <c r="Z3883" i="1"/>
  <c r="Y3883" i="1"/>
  <c r="X3883" i="1"/>
  <c r="W3883" i="1"/>
  <c r="V3883" i="1"/>
  <c r="AH3882" i="1"/>
  <c r="AG3882" i="1"/>
  <c r="AF3882" i="1"/>
  <c r="AE3882" i="1"/>
  <c r="AD3882" i="1"/>
  <c r="AC3882" i="1"/>
  <c r="AB3882" i="1"/>
  <c r="AA3882" i="1"/>
  <c r="Z3882" i="1"/>
  <c r="Y3882" i="1"/>
  <c r="X3882" i="1"/>
  <c r="W3882" i="1"/>
  <c r="V3882" i="1"/>
  <c r="AH3881" i="1"/>
  <c r="AG3881" i="1"/>
  <c r="AF3881" i="1"/>
  <c r="AE3881" i="1"/>
  <c r="AD3881" i="1"/>
  <c r="AC3881" i="1"/>
  <c r="AB3881" i="1"/>
  <c r="AA3881" i="1"/>
  <c r="Z3881" i="1"/>
  <c r="Y3881" i="1"/>
  <c r="X3881" i="1"/>
  <c r="W3881" i="1"/>
  <c r="V3881" i="1"/>
  <c r="AH3880" i="1"/>
  <c r="AG3880" i="1"/>
  <c r="AF3880" i="1"/>
  <c r="AE3880" i="1"/>
  <c r="AD3880" i="1"/>
  <c r="AC3880" i="1"/>
  <c r="AB3880" i="1"/>
  <c r="AA3880" i="1"/>
  <c r="Z3880" i="1"/>
  <c r="Y3880" i="1"/>
  <c r="X3880" i="1"/>
  <c r="W3880" i="1"/>
  <c r="V3880" i="1"/>
  <c r="AH3879" i="1"/>
  <c r="AG3879" i="1"/>
  <c r="AF3879" i="1"/>
  <c r="AE3879" i="1"/>
  <c r="AD3879" i="1"/>
  <c r="AC3879" i="1"/>
  <c r="AB3879" i="1"/>
  <c r="AA3879" i="1"/>
  <c r="Z3879" i="1"/>
  <c r="Y3879" i="1"/>
  <c r="X3879" i="1"/>
  <c r="W3879" i="1"/>
  <c r="V3879" i="1"/>
  <c r="AH3878" i="1"/>
  <c r="AG3878" i="1"/>
  <c r="AF3878" i="1"/>
  <c r="AE3878" i="1"/>
  <c r="AD3878" i="1"/>
  <c r="AC3878" i="1"/>
  <c r="AB3878" i="1"/>
  <c r="AA3878" i="1"/>
  <c r="Z3878" i="1"/>
  <c r="Y3878" i="1"/>
  <c r="X3878" i="1"/>
  <c r="W3878" i="1"/>
  <c r="V3878" i="1"/>
  <c r="AH3877" i="1"/>
  <c r="AG3877" i="1"/>
  <c r="AF3877" i="1"/>
  <c r="AE3877" i="1"/>
  <c r="AD3877" i="1"/>
  <c r="AC3877" i="1"/>
  <c r="AB3877" i="1"/>
  <c r="AA3877" i="1"/>
  <c r="Z3877" i="1"/>
  <c r="Y3877" i="1"/>
  <c r="X3877" i="1"/>
  <c r="W3877" i="1"/>
  <c r="V3877" i="1"/>
  <c r="AH3876" i="1"/>
  <c r="AG3876" i="1"/>
  <c r="AF3876" i="1"/>
  <c r="AE3876" i="1"/>
  <c r="AD3876" i="1"/>
  <c r="AC3876" i="1"/>
  <c r="AB3876" i="1"/>
  <c r="AA3876" i="1"/>
  <c r="Z3876" i="1"/>
  <c r="Y3876" i="1"/>
  <c r="X3876" i="1"/>
  <c r="W3876" i="1"/>
  <c r="V3876" i="1"/>
  <c r="AH3875" i="1"/>
  <c r="AG3875" i="1"/>
  <c r="AF3875" i="1"/>
  <c r="AE3875" i="1"/>
  <c r="AD3875" i="1"/>
  <c r="AC3875" i="1"/>
  <c r="AB3875" i="1"/>
  <c r="AA3875" i="1"/>
  <c r="Z3875" i="1"/>
  <c r="Y3875" i="1"/>
  <c r="X3875" i="1"/>
  <c r="W3875" i="1"/>
  <c r="V3875" i="1"/>
  <c r="AH3874" i="1"/>
  <c r="AG3874" i="1"/>
  <c r="AF3874" i="1"/>
  <c r="AE3874" i="1"/>
  <c r="AD3874" i="1"/>
  <c r="AC3874" i="1"/>
  <c r="AB3874" i="1"/>
  <c r="AA3874" i="1"/>
  <c r="Z3874" i="1"/>
  <c r="Y3874" i="1"/>
  <c r="X3874" i="1"/>
  <c r="W3874" i="1"/>
  <c r="V3874" i="1"/>
  <c r="AH3873" i="1"/>
  <c r="AG3873" i="1"/>
  <c r="AF3873" i="1"/>
  <c r="AE3873" i="1"/>
  <c r="AD3873" i="1"/>
  <c r="AC3873" i="1"/>
  <c r="AB3873" i="1"/>
  <c r="AA3873" i="1"/>
  <c r="Z3873" i="1"/>
  <c r="Y3873" i="1"/>
  <c r="X3873" i="1"/>
  <c r="W3873" i="1"/>
  <c r="V3873" i="1"/>
  <c r="AH3872" i="1"/>
  <c r="AG3872" i="1"/>
  <c r="AF3872" i="1"/>
  <c r="AE3872" i="1"/>
  <c r="AD3872" i="1"/>
  <c r="AC3872" i="1"/>
  <c r="AB3872" i="1"/>
  <c r="AA3872" i="1"/>
  <c r="Z3872" i="1"/>
  <c r="Y3872" i="1"/>
  <c r="X3872" i="1"/>
  <c r="W3872" i="1"/>
  <c r="V3872" i="1"/>
  <c r="AH3871" i="1"/>
  <c r="AG3871" i="1"/>
  <c r="AF3871" i="1"/>
  <c r="AE3871" i="1"/>
  <c r="AD3871" i="1"/>
  <c r="AC3871" i="1"/>
  <c r="AB3871" i="1"/>
  <c r="AA3871" i="1"/>
  <c r="Z3871" i="1"/>
  <c r="Y3871" i="1"/>
  <c r="X3871" i="1"/>
  <c r="W3871" i="1"/>
  <c r="V3871" i="1"/>
  <c r="AH3870" i="1"/>
  <c r="AG3870" i="1"/>
  <c r="AF3870" i="1"/>
  <c r="AE3870" i="1"/>
  <c r="AD3870" i="1"/>
  <c r="AC3870" i="1"/>
  <c r="AB3870" i="1"/>
  <c r="AA3870" i="1"/>
  <c r="Z3870" i="1"/>
  <c r="Y3870" i="1"/>
  <c r="X3870" i="1"/>
  <c r="W3870" i="1"/>
  <c r="V3870" i="1"/>
  <c r="AH3869" i="1"/>
  <c r="AG3869" i="1"/>
  <c r="AF3869" i="1"/>
  <c r="AE3869" i="1"/>
  <c r="AD3869" i="1"/>
  <c r="AC3869" i="1"/>
  <c r="AB3869" i="1"/>
  <c r="AA3869" i="1"/>
  <c r="Z3869" i="1"/>
  <c r="Y3869" i="1"/>
  <c r="X3869" i="1"/>
  <c r="W3869" i="1"/>
  <c r="V3869" i="1"/>
  <c r="AH3868" i="1"/>
  <c r="AG3868" i="1"/>
  <c r="AF3868" i="1"/>
  <c r="AE3868" i="1"/>
  <c r="AD3868" i="1"/>
  <c r="AC3868" i="1"/>
  <c r="AB3868" i="1"/>
  <c r="AA3868" i="1"/>
  <c r="Z3868" i="1"/>
  <c r="Y3868" i="1"/>
  <c r="X3868" i="1"/>
  <c r="W3868" i="1"/>
  <c r="V3868" i="1"/>
  <c r="AH3867" i="1"/>
  <c r="AG3867" i="1"/>
  <c r="AF3867" i="1"/>
  <c r="AE3867" i="1"/>
  <c r="AD3867" i="1"/>
  <c r="AC3867" i="1"/>
  <c r="AB3867" i="1"/>
  <c r="AA3867" i="1"/>
  <c r="Z3867" i="1"/>
  <c r="Y3867" i="1"/>
  <c r="X3867" i="1"/>
  <c r="W3867" i="1"/>
  <c r="V3867" i="1"/>
  <c r="AH3866" i="1"/>
  <c r="AG3866" i="1"/>
  <c r="AF3866" i="1"/>
  <c r="AE3866" i="1"/>
  <c r="AD3866" i="1"/>
  <c r="AC3866" i="1"/>
  <c r="AB3866" i="1"/>
  <c r="AA3866" i="1"/>
  <c r="Z3866" i="1"/>
  <c r="Y3866" i="1"/>
  <c r="X3866" i="1"/>
  <c r="W3866" i="1"/>
  <c r="V3866" i="1"/>
  <c r="AH3865" i="1"/>
  <c r="AG3865" i="1"/>
  <c r="AF3865" i="1"/>
  <c r="AE3865" i="1"/>
  <c r="AD3865" i="1"/>
  <c r="AC3865" i="1"/>
  <c r="AB3865" i="1"/>
  <c r="AA3865" i="1"/>
  <c r="Z3865" i="1"/>
  <c r="Y3865" i="1"/>
  <c r="X3865" i="1"/>
  <c r="W3865" i="1"/>
  <c r="V3865" i="1"/>
  <c r="AH3864" i="1"/>
  <c r="AG3864" i="1"/>
  <c r="AF3864" i="1"/>
  <c r="AE3864" i="1"/>
  <c r="AD3864" i="1"/>
  <c r="AC3864" i="1"/>
  <c r="AB3864" i="1"/>
  <c r="AA3864" i="1"/>
  <c r="Z3864" i="1"/>
  <c r="Y3864" i="1"/>
  <c r="X3864" i="1"/>
  <c r="W3864" i="1"/>
  <c r="V3864" i="1"/>
  <c r="AH3863" i="1"/>
  <c r="AG3863" i="1"/>
  <c r="AF3863" i="1"/>
  <c r="AE3863" i="1"/>
  <c r="AD3863" i="1"/>
  <c r="AC3863" i="1"/>
  <c r="AB3863" i="1"/>
  <c r="AA3863" i="1"/>
  <c r="Z3863" i="1"/>
  <c r="Y3863" i="1"/>
  <c r="X3863" i="1"/>
  <c r="W3863" i="1"/>
  <c r="V3863" i="1"/>
  <c r="AH3862" i="1"/>
  <c r="AG3862" i="1"/>
  <c r="AF3862" i="1"/>
  <c r="AE3862" i="1"/>
  <c r="AD3862" i="1"/>
  <c r="AC3862" i="1"/>
  <c r="AB3862" i="1"/>
  <c r="AA3862" i="1"/>
  <c r="Z3862" i="1"/>
  <c r="Y3862" i="1"/>
  <c r="X3862" i="1"/>
  <c r="W3862" i="1"/>
  <c r="V3862" i="1"/>
  <c r="AH3861" i="1"/>
  <c r="AG3861" i="1"/>
  <c r="AF3861" i="1"/>
  <c r="AE3861" i="1"/>
  <c r="AD3861" i="1"/>
  <c r="AC3861" i="1"/>
  <c r="AB3861" i="1"/>
  <c r="AA3861" i="1"/>
  <c r="Z3861" i="1"/>
  <c r="Y3861" i="1"/>
  <c r="X3861" i="1"/>
  <c r="W3861" i="1"/>
  <c r="V3861" i="1"/>
  <c r="AH3860" i="1"/>
  <c r="AG3860" i="1"/>
  <c r="AF3860" i="1"/>
  <c r="AE3860" i="1"/>
  <c r="AD3860" i="1"/>
  <c r="AC3860" i="1"/>
  <c r="AB3860" i="1"/>
  <c r="AA3860" i="1"/>
  <c r="Z3860" i="1"/>
  <c r="Y3860" i="1"/>
  <c r="X3860" i="1"/>
  <c r="W3860" i="1"/>
  <c r="V3860" i="1"/>
  <c r="AH3859" i="1"/>
  <c r="AG3859" i="1"/>
  <c r="AF3859" i="1"/>
  <c r="AE3859" i="1"/>
  <c r="AD3859" i="1"/>
  <c r="AC3859" i="1"/>
  <c r="AB3859" i="1"/>
  <c r="AA3859" i="1"/>
  <c r="Z3859" i="1"/>
  <c r="Y3859" i="1"/>
  <c r="X3859" i="1"/>
  <c r="W3859" i="1"/>
  <c r="V3859" i="1"/>
  <c r="AH3858" i="1"/>
  <c r="AG3858" i="1"/>
  <c r="AF3858" i="1"/>
  <c r="AE3858" i="1"/>
  <c r="AD3858" i="1"/>
  <c r="AC3858" i="1"/>
  <c r="AB3858" i="1"/>
  <c r="AA3858" i="1"/>
  <c r="Z3858" i="1"/>
  <c r="Y3858" i="1"/>
  <c r="X3858" i="1"/>
  <c r="W3858" i="1"/>
  <c r="V3858" i="1"/>
  <c r="AH3857" i="1"/>
  <c r="AG3857" i="1"/>
  <c r="AF3857" i="1"/>
  <c r="AE3857" i="1"/>
  <c r="AD3857" i="1"/>
  <c r="AC3857" i="1"/>
  <c r="AB3857" i="1"/>
  <c r="AA3857" i="1"/>
  <c r="Z3857" i="1"/>
  <c r="Y3857" i="1"/>
  <c r="X3857" i="1"/>
  <c r="W3857" i="1"/>
  <c r="V3857" i="1"/>
  <c r="AH3856" i="1"/>
  <c r="AG3856" i="1"/>
  <c r="AF3856" i="1"/>
  <c r="AE3856" i="1"/>
  <c r="AD3856" i="1"/>
  <c r="AC3856" i="1"/>
  <c r="AB3856" i="1"/>
  <c r="AA3856" i="1"/>
  <c r="Z3856" i="1"/>
  <c r="Y3856" i="1"/>
  <c r="X3856" i="1"/>
  <c r="W3856" i="1"/>
  <c r="V3856" i="1"/>
  <c r="AH3855" i="1"/>
  <c r="AG3855" i="1"/>
  <c r="AF3855" i="1"/>
  <c r="AE3855" i="1"/>
  <c r="AD3855" i="1"/>
  <c r="AC3855" i="1"/>
  <c r="AB3855" i="1"/>
  <c r="AA3855" i="1"/>
  <c r="Z3855" i="1"/>
  <c r="Y3855" i="1"/>
  <c r="X3855" i="1"/>
  <c r="W3855" i="1"/>
  <c r="V3855" i="1"/>
  <c r="AH3854" i="1"/>
  <c r="AG3854" i="1"/>
  <c r="AF3854" i="1"/>
  <c r="AE3854" i="1"/>
  <c r="AD3854" i="1"/>
  <c r="AC3854" i="1"/>
  <c r="AB3854" i="1"/>
  <c r="AA3854" i="1"/>
  <c r="Z3854" i="1"/>
  <c r="Y3854" i="1"/>
  <c r="X3854" i="1"/>
  <c r="W3854" i="1"/>
  <c r="V3854" i="1"/>
  <c r="AH3853" i="1"/>
  <c r="AG3853" i="1"/>
  <c r="AF3853" i="1"/>
  <c r="AE3853" i="1"/>
  <c r="AD3853" i="1"/>
  <c r="AC3853" i="1"/>
  <c r="AB3853" i="1"/>
  <c r="AA3853" i="1"/>
  <c r="Z3853" i="1"/>
  <c r="Y3853" i="1"/>
  <c r="X3853" i="1"/>
  <c r="W3853" i="1"/>
  <c r="V3853" i="1"/>
  <c r="AH3852" i="1"/>
  <c r="AG3852" i="1"/>
  <c r="AF3852" i="1"/>
  <c r="AE3852" i="1"/>
  <c r="AD3852" i="1"/>
  <c r="AC3852" i="1"/>
  <c r="AB3852" i="1"/>
  <c r="AA3852" i="1"/>
  <c r="Z3852" i="1"/>
  <c r="Y3852" i="1"/>
  <c r="X3852" i="1"/>
  <c r="W3852" i="1"/>
  <c r="V3852" i="1"/>
  <c r="AH3851" i="1"/>
  <c r="AG3851" i="1"/>
  <c r="AF3851" i="1"/>
  <c r="AE3851" i="1"/>
  <c r="AD3851" i="1"/>
  <c r="AC3851" i="1"/>
  <c r="AB3851" i="1"/>
  <c r="AA3851" i="1"/>
  <c r="Z3851" i="1"/>
  <c r="Y3851" i="1"/>
  <c r="X3851" i="1"/>
  <c r="W3851" i="1"/>
  <c r="V3851" i="1"/>
  <c r="AH3850" i="1"/>
  <c r="AG3850" i="1"/>
  <c r="AF3850" i="1"/>
  <c r="AE3850" i="1"/>
  <c r="AD3850" i="1"/>
  <c r="AC3850" i="1"/>
  <c r="AB3850" i="1"/>
  <c r="AA3850" i="1"/>
  <c r="Z3850" i="1"/>
  <c r="Y3850" i="1"/>
  <c r="X3850" i="1"/>
  <c r="W3850" i="1"/>
  <c r="V3850" i="1"/>
  <c r="AH3849" i="1"/>
  <c r="AG3849" i="1"/>
  <c r="AF3849" i="1"/>
  <c r="AE3849" i="1"/>
  <c r="AD3849" i="1"/>
  <c r="AC3849" i="1"/>
  <c r="AB3849" i="1"/>
  <c r="AA3849" i="1"/>
  <c r="Z3849" i="1"/>
  <c r="Y3849" i="1"/>
  <c r="X3849" i="1"/>
  <c r="W3849" i="1"/>
  <c r="V3849" i="1"/>
  <c r="AH3848" i="1"/>
  <c r="AG3848" i="1"/>
  <c r="AF3848" i="1"/>
  <c r="AE3848" i="1"/>
  <c r="AD3848" i="1"/>
  <c r="AC3848" i="1"/>
  <c r="AB3848" i="1"/>
  <c r="AA3848" i="1"/>
  <c r="Z3848" i="1"/>
  <c r="Y3848" i="1"/>
  <c r="X3848" i="1"/>
  <c r="W3848" i="1"/>
  <c r="V3848" i="1"/>
  <c r="AH3847" i="1"/>
  <c r="AG3847" i="1"/>
  <c r="AF3847" i="1"/>
  <c r="AE3847" i="1"/>
  <c r="AD3847" i="1"/>
  <c r="AC3847" i="1"/>
  <c r="AB3847" i="1"/>
  <c r="AA3847" i="1"/>
  <c r="Z3847" i="1"/>
  <c r="Y3847" i="1"/>
  <c r="X3847" i="1"/>
  <c r="W3847" i="1"/>
  <c r="V3847" i="1"/>
  <c r="AH3846" i="1"/>
  <c r="AG3846" i="1"/>
  <c r="AF3846" i="1"/>
  <c r="AE3846" i="1"/>
  <c r="AD3846" i="1"/>
  <c r="AC3846" i="1"/>
  <c r="AB3846" i="1"/>
  <c r="AA3846" i="1"/>
  <c r="Z3846" i="1"/>
  <c r="Y3846" i="1"/>
  <c r="X3846" i="1"/>
  <c r="W3846" i="1"/>
  <c r="V3846" i="1"/>
  <c r="AH3845" i="1"/>
  <c r="AG3845" i="1"/>
  <c r="AF3845" i="1"/>
  <c r="AE3845" i="1"/>
  <c r="AD3845" i="1"/>
  <c r="AC3845" i="1"/>
  <c r="AB3845" i="1"/>
  <c r="AA3845" i="1"/>
  <c r="Z3845" i="1"/>
  <c r="Y3845" i="1"/>
  <c r="X3845" i="1"/>
  <c r="W3845" i="1"/>
  <c r="V3845" i="1"/>
  <c r="AH3844" i="1"/>
  <c r="AG3844" i="1"/>
  <c r="AF3844" i="1"/>
  <c r="AE3844" i="1"/>
  <c r="AD3844" i="1"/>
  <c r="AC3844" i="1"/>
  <c r="AB3844" i="1"/>
  <c r="AA3844" i="1"/>
  <c r="Z3844" i="1"/>
  <c r="Y3844" i="1"/>
  <c r="X3844" i="1"/>
  <c r="W3844" i="1"/>
  <c r="V3844" i="1"/>
  <c r="AH3843" i="1"/>
  <c r="AG3843" i="1"/>
  <c r="AF3843" i="1"/>
  <c r="AE3843" i="1"/>
  <c r="AD3843" i="1"/>
  <c r="AC3843" i="1"/>
  <c r="AB3843" i="1"/>
  <c r="AA3843" i="1"/>
  <c r="Z3843" i="1"/>
  <c r="Y3843" i="1"/>
  <c r="X3843" i="1"/>
  <c r="W3843" i="1"/>
  <c r="V3843" i="1"/>
  <c r="AH3842" i="1"/>
  <c r="AG3842" i="1"/>
  <c r="AF3842" i="1"/>
  <c r="AE3842" i="1"/>
  <c r="AD3842" i="1"/>
  <c r="AC3842" i="1"/>
  <c r="AB3842" i="1"/>
  <c r="AA3842" i="1"/>
  <c r="Z3842" i="1"/>
  <c r="Y3842" i="1"/>
  <c r="X3842" i="1"/>
  <c r="W3842" i="1"/>
  <c r="V3842" i="1"/>
  <c r="AH3841" i="1"/>
  <c r="AG3841" i="1"/>
  <c r="AF3841" i="1"/>
  <c r="AE3841" i="1"/>
  <c r="AD3841" i="1"/>
  <c r="AC3841" i="1"/>
  <c r="AB3841" i="1"/>
  <c r="AA3841" i="1"/>
  <c r="Z3841" i="1"/>
  <c r="Y3841" i="1"/>
  <c r="X3841" i="1"/>
  <c r="W3841" i="1"/>
  <c r="V3841" i="1"/>
  <c r="AH3840" i="1"/>
  <c r="AG3840" i="1"/>
  <c r="AF3840" i="1"/>
  <c r="AE3840" i="1"/>
  <c r="AD3840" i="1"/>
  <c r="AC3840" i="1"/>
  <c r="AB3840" i="1"/>
  <c r="AA3840" i="1"/>
  <c r="Z3840" i="1"/>
  <c r="Y3840" i="1"/>
  <c r="X3840" i="1"/>
  <c r="W3840" i="1"/>
  <c r="V3840" i="1"/>
  <c r="AH3839" i="1"/>
  <c r="AG3839" i="1"/>
  <c r="AF3839" i="1"/>
  <c r="AE3839" i="1"/>
  <c r="AD3839" i="1"/>
  <c r="AC3839" i="1"/>
  <c r="AB3839" i="1"/>
  <c r="AA3839" i="1"/>
  <c r="Z3839" i="1"/>
  <c r="Y3839" i="1"/>
  <c r="X3839" i="1"/>
  <c r="W3839" i="1"/>
  <c r="V3839" i="1"/>
  <c r="AH3838" i="1"/>
  <c r="AG3838" i="1"/>
  <c r="AF3838" i="1"/>
  <c r="AE3838" i="1"/>
  <c r="AD3838" i="1"/>
  <c r="AC3838" i="1"/>
  <c r="AB3838" i="1"/>
  <c r="AA3838" i="1"/>
  <c r="Z3838" i="1"/>
  <c r="Y3838" i="1"/>
  <c r="X3838" i="1"/>
  <c r="W3838" i="1"/>
  <c r="V3838" i="1"/>
  <c r="AH3837" i="1"/>
  <c r="AG3837" i="1"/>
  <c r="AF3837" i="1"/>
  <c r="AE3837" i="1"/>
  <c r="AD3837" i="1"/>
  <c r="AC3837" i="1"/>
  <c r="AB3837" i="1"/>
  <c r="AA3837" i="1"/>
  <c r="Z3837" i="1"/>
  <c r="Y3837" i="1"/>
  <c r="X3837" i="1"/>
  <c r="W3837" i="1"/>
  <c r="V3837" i="1"/>
  <c r="AH3836" i="1"/>
  <c r="AG3836" i="1"/>
  <c r="AF3836" i="1"/>
  <c r="AE3836" i="1"/>
  <c r="AD3836" i="1"/>
  <c r="AC3836" i="1"/>
  <c r="AB3836" i="1"/>
  <c r="AA3836" i="1"/>
  <c r="Z3836" i="1"/>
  <c r="Y3836" i="1"/>
  <c r="X3836" i="1"/>
  <c r="W3836" i="1"/>
  <c r="V3836" i="1"/>
  <c r="AH3835" i="1"/>
  <c r="AG3835" i="1"/>
  <c r="AF3835" i="1"/>
  <c r="AE3835" i="1"/>
  <c r="AD3835" i="1"/>
  <c r="AC3835" i="1"/>
  <c r="AB3835" i="1"/>
  <c r="AA3835" i="1"/>
  <c r="Z3835" i="1"/>
  <c r="Y3835" i="1"/>
  <c r="X3835" i="1"/>
  <c r="W3835" i="1"/>
  <c r="V3835" i="1"/>
  <c r="AH3834" i="1"/>
  <c r="AG3834" i="1"/>
  <c r="AF3834" i="1"/>
  <c r="AE3834" i="1"/>
  <c r="AD3834" i="1"/>
  <c r="AC3834" i="1"/>
  <c r="AB3834" i="1"/>
  <c r="AA3834" i="1"/>
  <c r="Z3834" i="1"/>
  <c r="Y3834" i="1"/>
  <c r="X3834" i="1"/>
  <c r="W3834" i="1"/>
  <c r="V3834" i="1"/>
  <c r="AH3833" i="1"/>
  <c r="AG3833" i="1"/>
  <c r="AF3833" i="1"/>
  <c r="AE3833" i="1"/>
  <c r="AD3833" i="1"/>
  <c r="AC3833" i="1"/>
  <c r="AB3833" i="1"/>
  <c r="AA3833" i="1"/>
  <c r="Z3833" i="1"/>
  <c r="Y3833" i="1"/>
  <c r="X3833" i="1"/>
  <c r="W3833" i="1"/>
  <c r="V3833" i="1"/>
  <c r="AH3832" i="1"/>
  <c r="AG3832" i="1"/>
  <c r="AF3832" i="1"/>
  <c r="AE3832" i="1"/>
  <c r="AD3832" i="1"/>
  <c r="AC3832" i="1"/>
  <c r="AB3832" i="1"/>
  <c r="AA3832" i="1"/>
  <c r="Z3832" i="1"/>
  <c r="Y3832" i="1"/>
  <c r="X3832" i="1"/>
  <c r="W3832" i="1"/>
  <c r="V3832" i="1"/>
  <c r="AH3831" i="1"/>
  <c r="AG3831" i="1"/>
  <c r="AF3831" i="1"/>
  <c r="AE3831" i="1"/>
  <c r="AD3831" i="1"/>
  <c r="AC3831" i="1"/>
  <c r="AB3831" i="1"/>
  <c r="AA3831" i="1"/>
  <c r="Z3831" i="1"/>
  <c r="Y3831" i="1"/>
  <c r="X3831" i="1"/>
  <c r="W3831" i="1"/>
  <c r="V3831" i="1"/>
  <c r="AH3830" i="1"/>
  <c r="AG3830" i="1"/>
  <c r="AF3830" i="1"/>
  <c r="AE3830" i="1"/>
  <c r="AD3830" i="1"/>
  <c r="AC3830" i="1"/>
  <c r="AB3830" i="1"/>
  <c r="AA3830" i="1"/>
  <c r="Z3830" i="1"/>
  <c r="Y3830" i="1"/>
  <c r="X3830" i="1"/>
  <c r="W3830" i="1"/>
  <c r="V3830" i="1"/>
  <c r="AH3829" i="1"/>
  <c r="AG3829" i="1"/>
  <c r="AF3829" i="1"/>
  <c r="AE3829" i="1"/>
  <c r="AD3829" i="1"/>
  <c r="AC3829" i="1"/>
  <c r="AB3829" i="1"/>
  <c r="AA3829" i="1"/>
  <c r="Z3829" i="1"/>
  <c r="Y3829" i="1"/>
  <c r="X3829" i="1"/>
  <c r="W3829" i="1"/>
  <c r="V3829" i="1"/>
  <c r="AH3828" i="1"/>
  <c r="AG3828" i="1"/>
  <c r="AF3828" i="1"/>
  <c r="AE3828" i="1"/>
  <c r="AD3828" i="1"/>
  <c r="AC3828" i="1"/>
  <c r="AB3828" i="1"/>
  <c r="AA3828" i="1"/>
  <c r="Z3828" i="1"/>
  <c r="Y3828" i="1"/>
  <c r="X3828" i="1"/>
  <c r="W3828" i="1"/>
  <c r="V3828" i="1"/>
  <c r="AH3827" i="1"/>
  <c r="AG3827" i="1"/>
  <c r="AF3827" i="1"/>
  <c r="AE3827" i="1"/>
  <c r="AD3827" i="1"/>
  <c r="AC3827" i="1"/>
  <c r="AB3827" i="1"/>
  <c r="AA3827" i="1"/>
  <c r="Z3827" i="1"/>
  <c r="Y3827" i="1"/>
  <c r="X3827" i="1"/>
  <c r="W3827" i="1"/>
  <c r="V3827" i="1"/>
  <c r="AH3826" i="1"/>
  <c r="AG3826" i="1"/>
  <c r="AF3826" i="1"/>
  <c r="AE3826" i="1"/>
  <c r="AD3826" i="1"/>
  <c r="AC3826" i="1"/>
  <c r="AB3826" i="1"/>
  <c r="AA3826" i="1"/>
  <c r="Z3826" i="1"/>
  <c r="Y3826" i="1"/>
  <c r="X3826" i="1"/>
  <c r="W3826" i="1"/>
  <c r="V3826" i="1"/>
  <c r="AH3825" i="1"/>
  <c r="AG3825" i="1"/>
  <c r="AF3825" i="1"/>
  <c r="AE3825" i="1"/>
  <c r="AD3825" i="1"/>
  <c r="AC3825" i="1"/>
  <c r="AB3825" i="1"/>
  <c r="AA3825" i="1"/>
  <c r="Z3825" i="1"/>
  <c r="Y3825" i="1"/>
  <c r="X3825" i="1"/>
  <c r="W3825" i="1"/>
  <c r="V3825" i="1"/>
  <c r="AH3824" i="1"/>
  <c r="AG3824" i="1"/>
  <c r="AF3824" i="1"/>
  <c r="AE3824" i="1"/>
  <c r="AD3824" i="1"/>
  <c r="AC3824" i="1"/>
  <c r="AB3824" i="1"/>
  <c r="AA3824" i="1"/>
  <c r="Z3824" i="1"/>
  <c r="Y3824" i="1"/>
  <c r="X3824" i="1"/>
  <c r="W3824" i="1"/>
  <c r="V3824" i="1"/>
  <c r="AH3823" i="1"/>
  <c r="AG3823" i="1"/>
  <c r="AF3823" i="1"/>
  <c r="AE3823" i="1"/>
  <c r="AD3823" i="1"/>
  <c r="AC3823" i="1"/>
  <c r="AB3823" i="1"/>
  <c r="AA3823" i="1"/>
  <c r="Z3823" i="1"/>
  <c r="Y3823" i="1"/>
  <c r="X3823" i="1"/>
  <c r="W3823" i="1"/>
  <c r="V3823" i="1"/>
  <c r="AH3822" i="1"/>
  <c r="AG3822" i="1"/>
  <c r="AF3822" i="1"/>
  <c r="AE3822" i="1"/>
  <c r="AD3822" i="1"/>
  <c r="AC3822" i="1"/>
  <c r="AB3822" i="1"/>
  <c r="AA3822" i="1"/>
  <c r="Z3822" i="1"/>
  <c r="Y3822" i="1"/>
  <c r="X3822" i="1"/>
  <c r="W3822" i="1"/>
  <c r="V3822" i="1"/>
  <c r="AH3821" i="1"/>
  <c r="AG3821" i="1"/>
  <c r="AF3821" i="1"/>
  <c r="AE3821" i="1"/>
  <c r="AD3821" i="1"/>
  <c r="AC3821" i="1"/>
  <c r="AB3821" i="1"/>
  <c r="AA3821" i="1"/>
  <c r="Z3821" i="1"/>
  <c r="Y3821" i="1"/>
  <c r="X3821" i="1"/>
  <c r="W3821" i="1"/>
  <c r="V3821" i="1"/>
  <c r="AH3820" i="1"/>
  <c r="AG3820" i="1"/>
  <c r="AF3820" i="1"/>
  <c r="AE3820" i="1"/>
  <c r="AD3820" i="1"/>
  <c r="AC3820" i="1"/>
  <c r="AB3820" i="1"/>
  <c r="AA3820" i="1"/>
  <c r="Z3820" i="1"/>
  <c r="Y3820" i="1"/>
  <c r="X3820" i="1"/>
  <c r="W3820" i="1"/>
  <c r="V3820" i="1"/>
  <c r="AH3819" i="1"/>
  <c r="AG3819" i="1"/>
  <c r="AF3819" i="1"/>
  <c r="AE3819" i="1"/>
  <c r="AD3819" i="1"/>
  <c r="AC3819" i="1"/>
  <c r="AB3819" i="1"/>
  <c r="AA3819" i="1"/>
  <c r="Z3819" i="1"/>
  <c r="Y3819" i="1"/>
  <c r="X3819" i="1"/>
  <c r="W3819" i="1"/>
  <c r="V3819" i="1"/>
  <c r="AH3818" i="1"/>
  <c r="AG3818" i="1"/>
  <c r="AF3818" i="1"/>
  <c r="AE3818" i="1"/>
  <c r="AD3818" i="1"/>
  <c r="AC3818" i="1"/>
  <c r="AB3818" i="1"/>
  <c r="AA3818" i="1"/>
  <c r="Z3818" i="1"/>
  <c r="Y3818" i="1"/>
  <c r="X3818" i="1"/>
  <c r="W3818" i="1"/>
  <c r="V3818" i="1"/>
  <c r="AH3817" i="1"/>
  <c r="AG3817" i="1"/>
  <c r="AF3817" i="1"/>
  <c r="AE3817" i="1"/>
  <c r="AD3817" i="1"/>
  <c r="AC3817" i="1"/>
  <c r="AB3817" i="1"/>
  <c r="AA3817" i="1"/>
  <c r="Z3817" i="1"/>
  <c r="Y3817" i="1"/>
  <c r="X3817" i="1"/>
  <c r="W3817" i="1"/>
  <c r="V3817" i="1"/>
  <c r="AH3816" i="1"/>
  <c r="AG3816" i="1"/>
  <c r="AF3816" i="1"/>
  <c r="AE3816" i="1"/>
  <c r="AD3816" i="1"/>
  <c r="AC3816" i="1"/>
  <c r="AB3816" i="1"/>
  <c r="AA3816" i="1"/>
  <c r="Z3816" i="1"/>
  <c r="Y3816" i="1"/>
  <c r="X3816" i="1"/>
  <c r="W3816" i="1"/>
  <c r="V3816" i="1"/>
  <c r="AH3815" i="1"/>
  <c r="AG3815" i="1"/>
  <c r="AF3815" i="1"/>
  <c r="AE3815" i="1"/>
  <c r="AD3815" i="1"/>
  <c r="AC3815" i="1"/>
  <c r="AB3815" i="1"/>
  <c r="AA3815" i="1"/>
  <c r="Z3815" i="1"/>
  <c r="Y3815" i="1"/>
  <c r="X3815" i="1"/>
  <c r="W3815" i="1"/>
  <c r="V3815" i="1"/>
  <c r="AH3814" i="1"/>
  <c r="AG3814" i="1"/>
  <c r="AF3814" i="1"/>
  <c r="AE3814" i="1"/>
  <c r="AD3814" i="1"/>
  <c r="AC3814" i="1"/>
  <c r="AB3814" i="1"/>
  <c r="AA3814" i="1"/>
  <c r="Z3814" i="1"/>
  <c r="Y3814" i="1"/>
  <c r="X3814" i="1"/>
  <c r="W3814" i="1"/>
  <c r="V3814" i="1"/>
  <c r="AH3813" i="1"/>
  <c r="AG3813" i="1"/>
  <c r="AF3813" i="1"/>
  <c r="AE3813" i="1"/>
  <c r="AD3813" i="1"/>
  <c r="AC3813" i="1"/>
  <c r="AB3813" i="1"/>
  <c r="AA3813" i="1"/>
  <c r="Z3813" i="1"/>
  <c r="Y3813" i="1"/>
  <c r="X3813" i="1"/>
  <c r="W3813" i="1"/>
  <c r="V3813" i="1"/>
  <c r="AH3812" i="1"/>
  <c r="AG3812" i="1"/>
  <c r="AF3812" i="1"/>
  <c r="AE3812" i="1"/>
  <c r="AD3812" i="1"/>
  <c r="AC3812" i="1"/>
  <c r="AB3812" i="1"/>
  <c r="AA3812" i="1"/>
  <c r="Z3812" i="1"/>
  <c r="Y3812" i="1"/>
  <c r="X3812" i="1"/>
  <c r="W3812" i="1"/>
  <c r="V3812" i="1"/>
  <c r="AH3811" i="1"/>
  <c r="AG3811" i="1"/>
  <c r="AF3811" i="1"/>
  <c r="AE3811" i="1"/>
  <c r="AD3811" i="1"/>
  <c r="AC3811" i="1"/>
  <c r="AB3811" i="1"/>
  <c r="AA3811" i="1"/>
  <c r="Z3811" i="1"/>
  <c r="Y3811" i="1"/>
  <c r="X3811" i="1"/>
  <c r="W3811" i="1"/>
  <c r="V3811" i="1"/>
  <c r="AH3810" i="1"/>
  <c r="AG3810" i="1"/>
  <c r="AF3810" i="1"/>
  <c r="AE3810" i="1"/>
  <c r="AD3810" i="1"/>
  <c r="AC3810" i="1"/>
  <c r="AB3810" i="1"/>
  <c r="AA3810" i="1"/>
  <c r="Z3810" i="1"/>
  <c r="Y3810" i="1"/>
  <c r="X3810" i="1"/>
  <c r="W3810" i="1"/>
  <c r="V3810" i="1"/>
  <c r="AH3809" i="1"/>
  <c r="AG3809" i="1"/>
  <c r="AF3809" i="1"/>
  <c r="AE3809" i="1"/>
  <c r="AD3809" i="1"/>
  <c r="AC3809" i="1"/>
  <c r="AB3809" i="1"/>
  <c r="AA3809" i="1"/>
  <c r="Z3809" i="1"/>
  <c r="Y3809" i="1"/>
  <c r="X3809" i="1"/>
  <c r="W3809" i="1"/>
  <c r="V3809" i="1"/>
  <c r="AH3808" i="1"/>
  <c r="AG3808" i="1"/>
  <c r="AF3808" i="1"/>
  <c r="AE3808" i="1"/>
  <c r="AD3808" i="1"/>
  <c r="AC3808" i="1"/>
  <c r="AB3808" i="1"/>
  <c r="AA3808" i="1"/>
  <c r="Z3808" i="1"/>
  <c r="Y3808" i="1"/>
  <c r="X3808" i="1"/>
  <c r="W3808" i="1"/>
  <c r="V3808" i="1"/>
  <c r="AH3807" i="1"/>
  <c r="AG3807" i="1"/>
  <c r="AF3807" i="1"/>
  <c r="AE3807" i="1"/>
  <c r="AD3807" i="1"/>
  <c r="AC3807" i="1"/>
  <c r="AB3807" i="1"/>
  <c r="AA3807" i="1"/>
  <c r="Z3807" i="1"/>
  <c r="Y3807" i="1"/>
  <c r="X3807" i="1"/>
  <c r="W3807" i="1"/>
  <c r="V3807" i="1"/>
  <c r="AH3806" i="1"/>
  <c r="AG3806" i="1"/>
  <c r="AF3806" i="1"/>
  <c r="AE3806" i="1"/>
  <c r="AD3806" i="1"/>
  <c r="AC3806" i="1"/>
  <c r="AB3806" i="1"/>
  <c r="AA3806" i="1"/>
  <c r="Z3806" i="1"/>
  <c r="Y3806" i="1"/>
  <c r="X3806" i="1"/>
  <c r="W3806" i="1"/>
  <c r="V3806" i="1"/>
  <c r="AH3805" i="1"/>
  <c r="AG3805" i="1"/>
  <c r="AF3805" i="1"/>
  <c r="AE3805" i="1"/>
  <c r="AD3805" i="1"/>
  <c r="AC3805" i="1"/>
  <c r="AB3805" i="1"/>
  <c r="AA3805" i="1"/>
  <c r="Z3805" i="1"/>
  <c r="Y3805" i="1"/>
  <c r="X3805" i="1"/>
  <c r="W3805" i="1"/>
  <c r="V3805" i="1"/>
  <c r="AH3804" i="1"/>
  <c r="AG3804" i="1"/>
  <c r="AF3804" i="1"/>
  <c r="AE3804" i="1"/>
  <c r="AD3804" i="1"/>
  <c r="AC3804" i="1"/>
  <c r="AB3804" i="1"/>
  <c r="AA3804" i="1"/>
  <c r="Z3804" i="1"/>
  <c r="Y3804" i="1"/>
  <c r="X3804" i="1"/>
  <c r="W3804" i="1"/>
  <c r="V3804" i="1"/>
  <c r="AH3803" i="1"/>
  <c r="AG3803" i="1"/>
  <c r="AF3803" i="1"/>
  <c r="AE3803" i="1"/>
  <c r="AD3803" i="1"/>
  <c r="AC3803" i="1"/>
  <c r="AB3803" i="1"/>
  <c r="AA3803" i="1"/>
  <c r="Z3803" i="1"/>
  <c r="Y3803" i="1"/>
  <c r="X3803" i="1"/>
  <c r="W3803" i="1"/>
  <c r="V3803" i="1"/>
  <c r="AH3802" i="1"/>
  <c r="AG3802" i="1"/>
  <c r="AF3802" i="1"/>
  <c r="AE3802" i="1"/>
  <c r="AD3802" i="1"/>
  <c r="AC3802" i="1"/>
  <c r="AB3802" i="1"/>
  <c r="AA3802" i="1"/>
  <c r="Z3802" i="1"/>
  <c r="Y3802" i="1"/>
  <c r="X3802" i="1"/>
  <c r="W3802" i="1"/>
  <c r="V3802" i="1"/>
  <c r="AH3801" i="1"/>
  <c r="AG3801" i="1"/>
  <c r="AF3801" i="1"/>
  <c r="AE3801" i="1"/>
  <c r="AD3801" i="1"/>
  <c r="AC3801" i="1"/>
  <c r="AB3801" i="1"/>
  <c r="AA3801" i="1"/>
  <c r="Z3801" i="1"/>
  <c r="Y3801" i="1"/>
  <c r="X3801" i="1"/>
  <c r="W3801" i="1"/>
  <c r="V3801" i="1"/>
  <c r="AH3800" i="1"/>
  <c r="AG3800" i="1"/>
  <c r="AF3800" i="1"/>
  <c r="AE3800" i="1"/>
  <c r="AD3800" i="1"/>
  <c r="AC3800" i="1"/>
  <c r="AB3800" i="1"/>
  <c r="AA3800" i="1"/>
  <c r="Z3800" i="1"/>
  <c r="Y3800" i="1"/>
  <c r="X3800" i="1"/>
  <c r="W3800" i="1"/>
  <c r="V3800" i="1"/>
  <c r="AH3799" i="1"/>
  <c r="AG3799" i="1"/>
  <c r="AF3799" i="1"/>
  <c r="AE3799" i="1"/>
  <c r="AD3799" i="1"/>
  <c r="AC3799" i="1"/>
  <c r="AB3799" i="1"/>
  <c r="AA3799" i="1"/>
  <c r="Z3799" i="1"/>
  <c r="Y3799" i="1"/>
  <c r="X3799" i="1"/>
  <c r="W3799" i="1"/>
  <c r="V3799" i="1"/>
  <c r="AH3798" i="1"/>
  <c r="AG3798" i="1"/>
  <c r="AF3798" i="1"/>
  <c r="AE3798" i="1"/>
  <c r="AD3798" i="1"/>
  <c r="AC3798" i="1"/>
  <c r="AB3798" i="1"/>
  <c r="AA3798" i="1"/>
  <c r="Z3798" i="1"/>
  <c r="Y3798" i="1"/>
  <c r="X3798" i="1"/>
  <c r="W3798" i="1"/>
  <c r="V3798" i="1"/>
  <c r="AH3797" i="1"/>
  <c r="AG3797" i="1"/>
  <c r="AF3797" i="1"/>
  <c r="AE3797" i="1"/>
  <c r="AD3797" i="1"/>
  <c r="AC3797" i="1"/>
  <c r="AB3797" i="1"/>
  <c r="AA3797" i="1"/>
  <c r="Z3797" i="1"/>
  <c r="Y3797" i="1"/>
  <c r="X3797" i="1"/>
  <c r="W3797" i="1"/>
  <c r="V3797" i="1"/>
  <c r="AH3796" i="1"/>
  <c r="AG3796" i="1"/>
  <c r="AF3796" i="1"/>
  <c r="AE3796" i="1"/>
  <c r="AD3796" i="1"/>
  <c r="AC3796" i="1"/>
  <c r="AB3796" i="1"/>
  <c r="AA3796" i="1"/>
  <c r="Z3796" i="1"/>
  <c r="Y3796" i="1"/>
  <c r="X3796" i="1"/>
  <c r="W3796" i="1"/>
  <c r="V3796" i="1"/>
  <c r="AH3795" i="1"/>
  <c r="AG3795" i="1"/>
  <c r="AF3795" i="1"/>
  <c r="AE3795" i="1"/>
  <c r="AD3795" i="1"/>
  <c r="AC3795" i="1"/>
  <c r="AB3795" i="1"/>
  <c r="AA3795" i="1"/>
  <c r="Z3795" i="1"/>
  <c r="Y3795" i="1"/>
  <c r="X3795" i="1"/>
  <c r="W3795" i="1"/>
  <c r="V3795" i="1"/>
  <c r="AH3794" i="1"/>
  <c r="AG3794" i="1"/>
  <c r="AF3794" i="1"/>
  <c r="AE3794" i="1"/>
  <c r="AD3794" i="1"/>
  <c r="AC3794" i="1"/>
  <c r="AB3794" i="1"/>
  <c r="AA3794" i="1"/>
  <c r="Z3794" i="1"/>
  <c r="Y3794" i="1"/>
  <c r="X3794" i="1"/>
  <c r="W3794" i="1"/>
  <c r="V3794" i="1"/>
  <c r="AH3793" i="1"/>
  <c r="AG3793" i="1"/>
  <c r="AF3793" i="1"/>
  <c r="AE3793" i="1"/>
  <c r="AD3793" i="1"/>
  <c r="AC3793" i="1"/>
  <c r="AB3793" i="1"/>
  <c r="AA3793" i="1"/>
  <c r="Z3793" i="1"/>
  <c r="Y3793" i="1"/>
  <c r="X3793" i="1"/>
  <c r="W3793" i="1"/>
  <c r="V3793" i="1"/>
  <c r="AH3792" i="1"/>
  <c r="AG3792" i="1"/>
  <c r="AF3792" i="1"/>
  <c r="AE3792" i="1"/>
  <c r="AD3792" i="1"/>
  <c r="AC3792" i="1"/>
  <c r="AB3792" i="1"/>
  <c r="AA3792" i="1"/>
  <c r="Z3792" i="1"/>
  <c r="Y3792" i="1"/>
  <c r="X3792" i="1"/>
  <c r="W3792" i="1"/>
  <c r="V3792" i="1"/>
  <c r="AH3791" i="1"/>
  <c r="AG3791" i="1"/>
  <c r="AF3791" i="1"/>
  <c r="AE3791" i="1"/>
  <c r="AD3791" i="1"/>
  <c r="AC3791" i="1"/>
  <c r="AB3791" i="1"/>
  <c r="AA3791" i="1"/>
  <c r="Z3791" i="1"/>
  <c r="Y3791" i="1"/>
  <c r="X3791" i="1"/>
  <c r="W3791" i="1"/>
  <c r="V3791" i="1"/>
  <c r="AH3790" i="1"/>
  <c r="AG3790" i="1"/>
  <c r="AF3790" i="1"/>
  <c r="AE3790" i="1"/>
  <c r="AD3790" i="1"/>
  <c r="AC3790" i="1"/>
  <c r="AB3790" i="1"/>
  <c r="AA3790" i="1"/>
  <c r="Z3790" i="1"/>
  <c r="Y3790" i="1"/>
  <c r="X3790" i="1"/>
  <c r="W3790" i="1"/>
  <c r="V3790" i="1"/>
  <c r="AH3789" i="1"/>
  <c r="AG3789" i="1"/>
  <c r="AF3789" i="1"/>
  <c r="AE3789" i="1"/>
  <c r="AD3789" i="1"/>
  <c r="AC3789" i="1"/>
  <c r="AB3789" i="1"/>
  <c r="AA3789" i="1"/>
  <c r="Z3789" i="1"/>
  <c r="Y3789" i="1"/>
  <c r="X3789" i="1"/>
  <c r="W3789" i="1"/>
  <c r="V3789" i="1"/>
  <c r="AH3788" i="1"/>
  <c r="AG3788" i="1"/>
  <c r="AF3788" i="1"/>
  <c r="AE3788" i="1"/>
  <c r="AD3788" i="1"/>
  <c r="AC3788" i="1"/>
  <c r="AB3788" i="1"/>
  <c r="AA3788" i="1"/>
  <c r="Z3788" i="1"/>
  <c r="Y3788" i="1"/>
  <c r="X3788" i="1"/>
  <c r="W3788" i="1"/>
  <c r="V3788" i="1"/>
  <c r="AH3787" i="1"/>
  <c r="AG3787" i="1"/>
  <c r="AF3787" i="1"/>
  <c r="AE3787" i="1"/>
  <c r="AD3787" i="1"/>
  <c r="AC3787" i="1"/>
  <c r="AB3787" i="1"/>
  <c r="AA3787" i="1"/>
  <c r="Z3787" i="1"/>
  <c r="Y3787" i="1"/>
  <c r="X3787" i="1"/>
  <c r="W3787" i="1"/>
  <c r="V3787" i="1"/>
  <c r="AH3786" i="1"/>
  <c r="AG3786" i="1"/>
  <c r="AF3786" i="1"/>
  <c r="AE3786" i="1"/>
  <c r="AD3786" i="1"/>
  <c r="AC3786" i="1"/>
  <c r="AB3786" i="1"/>
  <c r="AA3786" i="1"/>
  <c r="Z3786" i="1"/>
  <c r="Y3786" i="1"/>
  <c r="X3786" i="1"/>
  <c r="W3786" i="1"/>
  <c r="V3786" i="1"/>
  <c r="AH3785" i="1"/>
  <c r="AG3785" i="1"/>
  <c r="AF3785" i="1"/>
  <c r="AE3785" i="1"/>
  <c r="AD3785" i="1"/>
  <c r="AC3785" i="1"/>
  <c r="AB3785" i="1"/>
  <c r="AA3785" i="1"/>
  <c r="Z3785" i="1"/>
  <c r="Y3785" i="1"/>
  <c r="X3785" i="1"/>
  <c r="W3785" i="1"/>
  <c r="V3785" i="1"/>
  <c r="AH3784" i="1"/>
  <c r="AG3784" i="1"/>
  <c r="AF3784" i="1"/>
  <c r="AE3784" i="1"/>
  <c r="AD3784" i="1"/>
  <c r="AC3784" i="1"/>
  <c r="AB3784" i="1"/>
  <c r="AA3784" i="1"/>
  <c r="Z3784" i="1"/>
  <c r="Y3784" i="1"/>
  <c r="X3784" i="1"/>
  <c r="W3784" i="1"/>
  <c r="V3784" i="1"/>
  <c r="AH3783" i="1"/>
  <c r="AG3783" i="1"/>
  <c r="AF3783" i="1"/>
  <c r="AE3783" i="1"/>
  <c r="AD3783" i="1"/>
  <c r="AC3783" i="1"/>
  <c r="AB3783" i="1"/>
  <c r="AA3783" i="1"/>
  <c r="Z3783" i="1"/>
  <c r="Y3783" i="1"/>
  <c r="X3783" i="1"/>
  <c r="W3783" i="1"/>
  <c r="V3783" i="1"/>
  <c r="AH3782" i="1"/>
  <c r="AG3782" i="1"/>
  <c r="AF3782" i="1"/>
  <c r="AE3782" i="1"/>
  <c r="AD3782" i="1"/>
  <c r="AC3782" i="1"/>
  <c r="AB3782" i="1"/>
  <c r="AA3782" i="1"/>
  <c r="Z3782" i="1"/>
  <c r="Y3782" i="1"/>
  <c r="X3782" i="1"/>
  <c r="W3782" i="1"/>
  <c r="V3782" i="1"/>
  <c r="AH3781" i="1"/>
  <c r="AG3781" i="1"/>
  <c r="AF3781" i="1"/>
  <c r="AE3781" i="1"/>
  <c r="AD3781" i="1"/>
  <c r="AC3781" i="1"/>
  <c r="AB3781" i="1"/>
  <c r="AA3781" i="1"/>
  <c r="Z3781" i="1"/>
  <c r="Y3781" i="1"/>
  <c r="X3781" i="1"/>
  <c r="W3781" i="1"/>
  <c r="V3781" i="1"/>
  <c r="AH3780" i="1"/>
  <c r="AG3780" i="1"/>
  <c r="AF3780" i="1"/>
  <c r="AE3780" i="1"/>
  <c r="AD3780" i="1"/>
  <c r="AC3780" i="1"/>
  <c r="AB3780" i="1"/>
  <c r="AA3780" i="1"/>
  <c r="Z3780" i="1"/>
  <c r="Y3780" i="1"/>
  <c r="X3780" i="1"/>
  <c r="W3780" i="1"/>
  <c r="V3780" i="1"/>
  <c r="AH3779" i="1"/>
  <c r="AG3779" i="1"/>
  <c r="AF3779" i="1"/>
  <c r="AE3779" i="1"/>
  <c r="AD3779" i="1"/>
  <c r="AC3779" i="1"/>
  <c r="AB3779" i="1"/>
  <c r="AA3779" i="1"/>
  <c r="Z3779" i="1"/>
  <c r="Y3779" i="1"/>
  <c r="X3779" i="1"/>
  <c r="W3779" i="1"/>
  <c r="V3779" i="1"/>
  <c r="AH3778" i="1"/>
  <c r="AG3778" i="1"/>
  <c r="AF3778" i="1"/>
  <c r="AE3778" i="1"/>
  <c r="AD3778" i="1"/>
  <c r="AC3778" i="1"/>
  <c r="AB3778" i="1"/>
  <c r="AA3778" i="1"/>
  <c r="Z3778" i="1"/>
  <c r="Y3778" i="1"/>
  <c r="X3778" i="1"/>
  <c r="W3778" i="1"/>
  <c r="V3778" i="1"/>
  <c r="AH3777" i="1"/>
  <c r="AG3777" i="1"/>
  <c r="AF3777" i="1"/>
  <c r="AE3777" i="1"/>
  <c r="AD3777" i="1"/>
  <c r="AC3777" i="1"/>
  <c r="AB3777" i="1"/>
  <c r="AA3777" i="1"/>
  <c r="Z3777" i="1"/>
  <c r="Y3777" i="1"/>
  <c r="X3777" i="1"/>
  <c r="W3777" i="1"/>
  <c r="V3777" i="1"/>
  <c r="AH3776" i="1"/>
  <c r="AG3776" i="1"/>
  <c r="AF3776" i="1"/>
  <c r="AE3776" i="1"/>
  <c r="AD3776" i="1"/>
  <c r="AC3776" i="1"/>
  <c r="AB3776" i="1"/>
  <c r="AA3776" i="1"/>
  <c r="Z3776" i="1"/>
  <c r="Y3776" i="1"/>
  <c r="X3776" i="1"/>
  <c r="W3776" i="1"/>
  <c r="V3776" i="1"/>
  <c r="AH3775" i="1"/>
  <c r="AG3775" i="1"/>
  <c r="AF3775" i="1"/>
  <c r="AE3775" i="1"/>
  <c r="AD3775" i="1"/>
  <c r="AC3775" i="1"/>
  <c r="AB3775" i="1"/>
  <c r="AA3775" i="1"/>
  <c r="Z3775" i="1"/>
  <c r="Y3775" i="1"/>
  <c r="X3775" i="1"/>
  <c r="W3775" i="1"/>
  <c r="V3775" i="1"/>
  <c r="AH3774" i="1"/>
  <c r="AG3774" i="1"/>
  <c r="AF3774" i="1"/>
  <c r="AE3774" i="1"/>
  <c r="AD3774" i="1"/>
  <c r="AC3774" i="1"/>
  <c r="AB3774" i="1"/>
  <c r="AA3774" i="1"/>
  <c r="Z3774" i="1"/>
  <c r="Y3774" i="1"/>
  <c r="X3774" i="1"/>
  <c r="W3774" i="1"/>
  <c r="V3774" i="1"/>
  <c r="AH3773" i="1"/>
  <c r="AG3773" i="1"/>
  <c r="AF3773" i="1"/>
  <c r="AE3773" i="1"/>
  <c r="AD3773" i="1"/>
  <c r="AC3773" i="1"/>
  <c r="AB3773" i="1"/>
  <c r="AA3773" i="1"/>
  <c r="Z3773" i="1"/>
  <c r="Y3773" i="1"/>
  <c r="X3773" i="1"/>
  <c r="W3773" i="1"/>
  <c r="V3773" i="1"/>
  <c r="AH3772" i="1"/>
  <c r="AG3772" i="1"/>
  <c r="AF3772" i="1"/>
  <c r="AE3772" i="1"/>
  <c r="AD3772" i="1"/>
  <c r="AC3772" i="1"/>
  <c r="AB3772" i="1"/>
  <c r="AA3772" i="1"/>
  <c r="Z3772" i="1"/>
  <c r="Y3772" i="1"/>
  <c r="X3772" i="1"/>
  <c r="W3772" i="1"/>
  <c r="V3772" i="1"/>
  <c r="AH3771" i="1"/>
  <c r="AG3771" i="1"/>
  <c r="AF3771" i="1"/>
  <c r="AE3771" i="1"/>
  <c r="AD3771" i="1"/>
  <c r="AC3771" i="1"/>
  <c r="AB3771" i="1"/>
  <c r="AA3771" i="1"/>
  <c r="Z3771" i="1"/>
  <c r="Y3771" i="1"/>
  <c r="X3771" i="1"/>
  <c r="W3771" i="1"/>
  <c r="V3771" i="1"/>
  <c r="AH3770" i="1"/>
  <c r="AG3770" i="1"/>
  <c r="AF3770" i="1"/>
  <c r="AE3770" i="1"/>
  <c r="AD3770" i="1"/>
  <c r="AC3770" i="1"/>
  <c r="AB3770" i="1"/>
  <c r="AA3770" i="1"/>
  <c r="Z3770" i="1"/>
  <c r="Y3770" i="1"/>
  <c r="X3770" i="1"/>
  <c r="W3770" i="1"/>
  <c r="V3770" i="1"/>
  <c r="AH3769" i="1"/>
  <c r="AG3769" i="1"/>
  <c r="AF3769" i="1"/>
  <c r="AE3769" i="1"/>
  <c r="AD3769" i="1"/>
  <c r="AC3769" i="1"/>
  <c r="AB3769" i="1"/>
  <c r="AA3769" i="1"/>
  <c r="Z3769" i="1"/>
  <c r="Y3769" i="1"/>
  <c r="X3769" i="1"/>
  <c r="W3769" i="1"/>
  <c r="V3769" i="1"/>
  <c r="AH3768" i="1"/>
  <c r="AG3768" i="1"/>
  <c r="AF3768" i="1"/>
  <c r="AE3768" i="1"/>
  <c r="AD3768" i="1"/>
  <c r="AC3768" i="1"/>
  <c r="AB3768" i="1"/>
  <c r="AA3768" i="1"/>
  <c r="Z3768" i="1"/>
  <c r="Y3768" i="1"/>
  <c r="X3768" i="1"/>
  <c r="W3768" i="1"/>
  <c r="V3768" i="1"/>
  <c r="AH3767" i="1"/>
  <c r="AG3767" i="1"/>
  <c r="AF3767" i="1"/>
  <c r="AE3767" i="1"/>
  <c r="AD3767" i="1"/>
  <c r="AC3767" i="1"/>
  <c r="AB3767" i="1"/>
  <c r="AA3767" i="1"/>
  <c r="Z3767" i="1"/>
  <c r="Y3767" i="1"/>
  <c r="X3767" i="1"/>
  <c r="W3767" i="1"/>
  <c r="V3767" i="1"/>
  <c r="AH3766" i="1"/>
  <c r="AG3766" i="1"/>
  <c r="AF3766" i="1"/>
  <c r="AE3766" i="1"/>
  <c r="AD3766" i="1"/>
  <c r="AC3766" i="1"/>
  <c r="AB3766" i="1"/>
  <c r="AA3766" i="1"/>
  <c r="Z3766" i="1"/>
  <c r="Y3766" i="1"/>
  <c r="X3766" i="1"/>
  <c r="W3766" i="1"/>
  <c r="V3766" i="1"/>
  <c r="AH3765" i="1"/>
  <c r="AG3765" i="1"/>
  <c r="AF3765" i="1"/>
  <c r="AE3765" i="1"/>
  <c r="AD3765" i="1"/>
  <c r="AC3765" i="1"/>
  <c r="AB3765" i="1"/>
  <c r="AA3765" i="1"/>
  <c r="Z3765" i="1"/>
  <c r="Y3765" i="1"/>
  <c r="X3765" i="1"/>
  <c r="W3765" i="1"/>
  <c r="V3765" i="1"/>
  <c r="AH3764" i="1"/>
  <c r="AG3764" i="1"/>
  <c r="AF3764" i="1"/>
  <c r="AE3764" i="1"/>
  <c r="AD3764" i="1"/>
  <c r="AC3764" i="1"/>
  <c r="AB3764" i="1"/>
  <c r="AA3764" i="1"/>
  <c r="Z3764" i="1"/>
  <c r="Y3764" i="1"/>
  <c r="X3764" i="1"/>
  <c r="W3764" i="1"/>
  <c r="V3764" i="1"/>
  <c r="AH3763" i="1"/>
  <c r="AG3763" i="1"/>
  <c r="AF3763" i="1"/>
  <c r="AE3763" i="1"/>
  <c r="AD3763" i="1"/>
  <c r="AC3763" i="1"/>
  <c r="AB3763" i="1"/>
  <c r="AA3763" i="1"/>
  <c r="Z3763" i="1"/>
  <c r="Y3763" i="1"/>
  <c r="X3763" i="1"/>
  <c r="W3763" i="1"/>
  <c r="V3763" i="1"/>
  <c r="AH3762" i="1"/>
  <c r="AG3762" i="1"/>
  <c r="AF3762" i="1"/>
  <c r="AE3762" i="1"/>
  <c r="AD3762" i="1"/>
  <c r="AC3762" i="1"/>
  <c r="AB3762" i="1"/>
  <c r="AA3762" i="1"/>
  <c r="Z3762" i="1"/>
  <c r="Y3762" i="1"/>
  <c r="X3762" i="1"/>
  <c r="W3762" i="1"/>
  <c r="V3762" i="1"/>
  <c r="AH3761" i="1"/>
  <c r="AG3761" i="1"/>
  <c r="AF3761" i="1"/>
  <c r="AE3761" i="1"/>
  <c r="AD3761" i="1"/>
  <c r="AC3761" i="1"/>
  <c r="AB3761" i="1"/>
  <c r="AA3761" i="1"/>
  <c r="Z3761" i="1"/>
  <c r="Y3761" i="1"/>
  <c r="X3761" i="1"/>
  <c r="W3761" i="1"/>
  <c r="V3761" i="1"/>
  <c r="AH3760" i="1"/>
  <c r="AG3760" i="1"/>
  <c r="AF3760" i="1"/>
  <c r="AE3760" i="1"/>
  <c r="AD3760" i="1"/>
  <c r="AC3760" i="1"/>
  <c r="AB3760" i="1"/>
  <c r="AA3760" i="1"/>
  <c r="Z3760" i="1"/>
  <c r="Y3760" i="1"/>
  <c r="X3760" i="1"/>
  <c r="W3760" i="1"/>
  <c r="V3760" i="1"/>
  <c r="AH3759" i="1"/>
  <c r="AG3759" i="1"/>
  <c r="AF3759" i="1"/>
  <c r="AE3759" i="1"/>
  <c r="AD3759" i="1"/>
  <c r="AC3759" i="1"/>
  <c r="AB3759" i="1"/>
  <c r="AA3759" i="1"/>
  <c r="Z3759" i="1"/>
  <c r="Y3759" i="1"/>
  <c r="X3759" i="1"/>
  <c r="W3759" i="1"/>
  <c r="V3759" i="1"/>
  <c r="AH3758" i="1"/>
  <c r="AG3758" i="1"/>
  <c r="AF3758" i="1"/>
  <c r="AE3758" i="1"/>
  <c r="AD3758" i="1"/>
  <c r="AC3758" i="1"/>
  <c r="AB3758" i="1"/>
  <c r="AA3758" i="1"/>
  <c r="Z3758" i="1"/>
  <c r="Y3758" i="1"/>
  <c r="X3758" i="1"/>
  <c r="W3758" i="1"/>
  <c r="V3758" i="1"/>
  <c r="AH3757" i="1"/>
  <c r="AG3757" i="1"/>
  <c r="AF3757" i="1"/>
  <c r="AE3757" i="1"/>
  <c r="AD3757" i="1"/>
  <c r="AC3757" i="1"/>
  <c r="AB3757" i="1"/>
  <c r="AA3757" i="1"/>
  <c r="Z3757" i="1"/>
  <c r="Y3757" i="1"/>
  <c r="X3757" i="1"/>
  <c r="W3757" i="1"/>
  <c r="V3757" i="1"/>
  <c r="AH3756" i="1"/>
  <c r="AG3756" i="1"/>
  <c r="AF3756" i="1"/>
  <c r="AE3756" i="1"/>
  <c r="AD3756" i="1"/>
  <c r="AC3756" i="1"/>
  <c r="AB3756" i="1"/>
  <c r="AA3756" i="1"/>
  <c r="Z3756" i="1"/>
  <c r="Y3756" i="1"/>
  <c r="X3756" i="1"/>
  <c r="W3756" i="1"/>
  <c r="V3756" i="1"/>
  <c r="AH3755" i="1"/>
  <c r="AG3755" i="1"/>
  <c r="AF3755" i="1"/>
  <c r="AE3755" i="1"/>
  <c r="AD3755" i="1"/>
  <c r="AC3755" i="1"/>
  <c r="AB3755" i="1"/>
  <c r="AA3755" i="1"/>
  <c r="Z3755" i="1"/>
  <c r="Y3755" i="1"/>
  <c r="X3755" i="1"/>
  <c r="W3755" i="1"/>
  <c r="V3755" i="1"/>
  <c r="AH3754" i="1"/>
  <c r="AG3754" i="1"/>
  <c r="AF3754" i="1"/>
  <c r="AE3754" i="1"/>
  <c r="AD3754" i="1"/>
  <c r="AC3754" i="1"/>
  <c r="AB3754" i="1"/>
  <c r="AA3754" i="1"/>
  <c r="Z3754" i="1"/>
  <c r="Y3754" i="1"/>
  <c r="X3754" i="1"/>
  <c r="W3754" i="1"/>
  <c r="V3754" i="1"/>
  <c r="AH3753" i="1"/>
  <c r="AG3753" i="1"/>
  <c r="AF3753" i="1"/>
  <c r="AE3753" i="1"/>
  <c r="AD3753" i="1"/>
  <c r="AC3753" i="1"/>
  <c r="AB3753" i="1"/>
  <c r="AA3753" i="1"/>
  <c r="Z3753" i="1"/>
  <c r="Y3753" i="1"/>
  <c r="X3753" i="1"/>
  <c r="W3753" i="1"/>
  <c r="V3753" i="1"/>
  <c r="AH3752" i="1"/>
  <c r="AG3752" i="1"/>
  <c r="AF3752" i="1"/>
  <c r="AE3752" i="1"/>
  <c r="AD3752" i="1"/>
  <c r="AC3752" i="1"/>
  <c r="AB3752" i="1"/>
  <c r="AA3752" i="1"/>
  <c r="Z3752" i="1"/>
  <c r="Y3752" i="1"/>
  <c r="X3752" i="1"/>
  <c r="W3752" i="1"/>
  <c r="V3752" i="1"/>
  <c r="AH3751" i="1"/>
  <c r="AG3751" i="1"/>
  <c r="AF3751" i="1"/>
  <c r="AE3751" i="1"/>
  <c r="AD3751" i="1"/>
  <c r="AC3751" i="1"/>
  <c r="AB3751" i="1"/>
  <c r="AA3751" i="1"/>
  <c r="Z3751" i="1"/>
  <c r="Y3751" i="1"/>
  <c r="X3751" i="1"/>
  <c r="W3751" i="1"/>
  <c r="V3751" i="1"/>
  <c r="AH3750" i="1"/>
  <c r="AG3750" i="1"/>
  <c r="AF3750" i="1"/>
  <c r="AE3750" i="1"/>
  <c r="AD3750" i="1"/>
  <c r="AC3750" i="1"/>
  <c r="AB3750" i="1"/>
  <c r="AA3750" i="1"/>
  <c r="Z3750" i="1"/>
  <c r="Y3750" i="1"/>
  <c r="X3750" i="1"/>
  <c r="W3750" i="1"/>
  <c r="V3750" i="1"/>
  <c r="AH3749" i="1"/>
  <c r="AG3749" i="1"/>
  <c r="AF3749" i="1"/>
  <c r="AE3749" i="1"/>
  <c r="AD3749" i="1"/>
  <c r="AC3749" i="1"/>
  <c r="AB3749" i="1"/>
  <c r="AA3749" i="1"/>
  <c r="Z3749" i="1"/>
  <c r="Y3749" i="1"/>
  <c r="X3749" i="1"/>
  <c r="W3749" i="1"/>
  <c r="V3749" i="1"/>
  <c r="AH3748" i="1"/>
  <c r="AG3748" i="1"/>
  <c r="AF3748" i="1"/>
  <c r="AE3748" i="1"/>
  <c r="AD3748" i="1"/>
  <c r="AC3748" i="1"/>
  <c r="AB3748" i="1"/>
  <c r="AA3748" i="1"/>
  <c r="Z3748" i="1"/>
  <c r="Y3748" i="1"/>
  <c r="X3748" i="1"/>
  <c r="W3748" i="1"/>
  <c r="V3748" i="1"/>
  <c r="AH3747" i="1"/>
  <c r="AG3747" i="1"/>
  <c r="AF3747" i="1"/>
  <c r="AE3747" i="1"/>
  <c r="AD3747" i="1"/>
  <c r="AC3747" i="1"/>
  <c r="AB3747" i="1"/>
  <c r="AA3747" i="1"/>
  <c r="Z3747" i="1"/>
  <c r="Y3747" i="1"/>
  <c r="X3747" i="1"/>
  <c r="W3747" i="1"/>
  <c r="V3747" i="1"/>
  <c r="AH3746" i="1"/>
  <c r="AG3746" i="1"/>
  <c r="AF3746" i="1"/>
  <c r="AE3746" i="1"/>
  <c r="AD3746" i="1"/>
  <c r="AC3746" i="1"/>
  <c r="AB3746" i="1"/>
  <c r="AA3746" i="1"/>
  <c r="Z3746" i="1"/>
  <c r="Y3746" i="1"/>
  <c r="X3746" i="1"/>
  <c r="W3746" i="1"/>
  <c r="V3746" i="1"/>
  <c r="AH3745" i="1"/>
  <c r="AG3745" i="1"/>
  <c r="AF3745" i="1"/>
  <c r="AE3745" i="1"/>
  <c r="AD3745" i="1"/>
  <c r="AC3745" i="1"/>
  <c r="AB3745" i="1"/>
  <c r="AA3745" i="1"/>
  <c r="Z3745" i="1"/>
  <c r="Y3745" i="1"/>
  <c r="X3745" i="1"/>
  <c r="W3745" i="1"/>
  <c r="V3745" i="1"/>
  <c r="AH3744" i="1"/>
  <c r="AG3744" i="1"/>
  <c r="AF3744" i="1"/>
  <c r="AE3744" i="1"/>
  <c r="AD3744" i="1"/>
  <c r="AC3744" i="1"/>
  <c r="AB3744" i="1"/>
  <c r="AA3744" i="1"/>
  <c r="Z3744" i="1"/>
  <c r="Y3744" i="1"/>
  <c r="X3744" i="1"/>
  <c r="W3744" i="1"/>
  <c r="V3744" i="1"/>
  <c r="AH3743" i="1"/>
  <c r="AG3743" i="1"/>
  <c r="AF3743" i="1"/>
  <c r="AE3743" i="1"/>
  <c r="AD3743" i="1"/>
  <c r="AC3743" i="1"/>
  <c r="AB3743" i="1"/>
  <c r="AA3743" i="1"/>
  <c r="Z3743" i="1"/>
  <c r="Y3743" i="1"/>
  <c r="X3743" i="1"/>
  <c r="W3743" i="1"/>
  <c r="V3743" i="1"/>
  <c r="AH3742" i="1"/>
  <c r="AG3742" i="1"/>
  <c r="AF3742" i="1"/>
  <c r="AE3742" i="1"/>
  <c r="AD3742" i="1"/>
  <c r="AC3742" i="1"/>
  <c r="AB3742" i="1"/>
  <c r="AA3742" i="1"/>
  <c r="Z3742" i="1"/>
  <c r="Y3742" i="1"/>
  <c r="X3742" i="1"/>
  <c r="W3742" i="1"/>
  <c r="V3742" i="1"/>
  <c r="AH3741" i="1"/>
  <c r="AG3741" i="1"/>
  <c r="AF3741" i="1"/>
  <c r="AE3741" i="1"/>
  <c r="AD3741" i="1"/>
  <c r="AC3741" i="1"/>
  <c r="AB3741" i="1"/>
  <c r="AA3741" i="1"/>
  <c r="Z3741" i="1"/>
  <c r="Y3741" i="1"/>
  <c r="X3741" i="1"/>
  <c r="W3741" i="1"/>
  <c r="V3741" i="1"/>
  <c r="AH3740" i="1"/>
  <c r="AG3740" i="1"/>
  <c r="AF3740" i="1"/>
  <c r="AE3740" i="1"/>
  <c r="AD3740" i="1"/>
  <c r="AC3740" i="1"/>
  <c r="AB3740" i="1"/>
  <c r="AA3740" i="1"/>
  <c r="Z3740" i="1"/>
  <c r="Y3740" i="1"/>
  <c r="X3740" i="1"/>
  <c r="W3740" i="1"/>
  <c r="V3740" i="1"/>
  <c r="AH3739" i="1"/>
  <c r="AG3739" i="1"/>
  <c r="AF3739" i="1"/>
  <c r="AE3739" i="1"/>
  <c r="AD3739" i="1"/>
  <c r="AC3739" i="1"/>
  <c r="AB3739" i="1"/>
  <c r="AA3739" i="1"/>
  <c r="Z3739" i="1"/>
  <c r="Y3739" i="1"/>
  <c r="X3739" i="1"/>
  <c r="W3739" i="1"/>
  <c r="V3739" i="1"/>
  <c r="AH3738" i="1"/>
  <c r="AG3738" i="1"/>
  <c r="AF3738" i="1"/>
  <c r="AE3738" i="1"/>
  <c r="AD3738" i="1"/>
  <c r="AC3738" i="1"/>
  <c r="AB3738" i="1"/>
  <c r="AA3738" i="1"/>
  <c r="Z3738" i="1"/>
  <c r="Y3738" i="1"/>
  <c r="X3738" i="1"/>
  <c r="W3738" i="1"/>
  <c r="V3738" i="1"/>
  <c r="AH3737" i="1"/>
  <c r="AG3737" i="1"/>
  <c r="AF3737" i="1"/>
  <c r="AE3737" i="1"/>
  <c r="AD3737" i="1"/>
  <c r="AC3737" i="1"/>
  <c r="AB3737" i="1"/>
  <c r="AA3737" i="1"/>
  <c r="Z3737" i="1"/>
  <c r="Y3737" i="1"/>
  <c r="X3737" i="1"/>
  <c r="W3737" i="1"/>
  <c r="V3737" i="1"/>
  <c r="AH3736" i="1"/>
  <c r="AG3736" i="1"/>
  <c r="AF3736" i="1"/>
  <c r="AE3736" i="1"/>
  <c r="AD3736" i="1"/>
  <c r="AC3736" i="1"/>
  <c r="AB3736" i="1"/>
  <c r="AA3736" i="1"/>
  <c r="Z3736" i="1"/>
  <c r="Y3736" i="1"/>
  <c r="X3736" i="1"/>
  <c r="W3736" i="1"/>
  <c r="V3736" i="1"/>
  <c r="AH3735" i="1"/>
  <c r="AG3735" i="1"/>
  <c r="AF3735" i="1"/>
  <c r="AE3735" i="1"/>
  <c r="AD3735" i="1"/>
  <c r="AC3735" i="1"/>
  <c r="AB3735" i="1"/>
  <c r="AA3735" i="1"/>
  <c r="Z3735" i="1"/>
  <c r="Y3735" i="1"/>
  <c r="X3735" i="1"/>
  <c r="W3735" i="1"/>
  <c r="V3735" i="1"/>
  <c r="AH3734" i="1"/>
  <c r="AG3734" i="1"/>
  <c r="AF3734" i="1"/>
  <c r="AE3734" i="1"/>
  <c r="AD3734" i="1"/>
  <c r="AC3734" i="1"/>
  <c r="AB3734" i="1"/>
  <c r="AA3734" i="1"/>
  <c r="Z3734" i="1"/>
  <c r="Y3734" i="1"/>
  <c r="X3734" i="1"/>
  <c r="W3734" i="1"/>
  <c r="V3734" i="1"/>
  <c r="AH3733" i="1"/>
  <c r="AG3733" i="1"/>
  <c r="AF3733" i="1"/>
  <c r="AE3733" i="1"/>
  <c r="AD3733" i="1"/>
  <c r="AC3733" i="1"/>
  <c r="AB3733" i="1"/>
  <c r="AA3733" i="1"/>
  <c r="Z3733" i="1"/>
  <c r="Y3733" i="1"/>
  <c r="X3733" i="1"/>
  <c r="W3733" i="1"/>
  <c r="V3733" i="1"/>
  <c r="AH3732" i="1"/>
  <c r="AG3732" i="1"/>
  <c r="AF3732" i="1"/>
  <c r="AE3732" i="1"/>
  <c r="AD3732" i="1"/>
  <c r="AC3732" i="1"/>
  <c r="AB3732" i="1"/>
  <c r="AA3732" i="1"/>
  <c r="Z3732" i="1"/>
  <c r="Y3732" i="1"/>
  <c r="X3732" i="1"/>
  <c r="W3732" i="1"/>
  <c r="V3732" i="1"/>
  <c r="AH3731" i="1"/>
  <c r="AG3731" i="1"/>
  <c r="AF3731" i="1"/>
  <c r="AE3731" i="1"/>
  <c r="AD3731" i="1"/>
  <c r="AC3731" i="1"/>
  <c r="AB3731" i="1"/>
  <c r="AA3731" i="1"/>
  <c r="Z3731" i="1"/>
  <c r="Y3731" i="1"/>
  <c r="X3731" i="1"/>
  <c r="W3731" i="1"/>
  <c r="V3731" i="1"/>
  <c r="AH3730" i="1"/>
  <c r="AG3730" i="1"/>
  <c r="AF3730" i="1"/>
  <c r="AE3730" i="1"/>
  <c r="AD3730" i="1"/>
  <c r="AC3730" i="1"/>
  <c r="AB3730" i="1"/>
  <c r="AA3730" i="1"/>
  <c r="Z3730" i="1"/>
  <c r="Y3730" i="1"/>
  <c r="X3730" i="1"/>
  <c r="W3730" i="1"/>
  <c r="V3730" i="1"/>
  <c r="AH3729" i="1"/>
  <c r="AG3729" i="1"/>
  <c r="AF3729" i="1"/>
  <c r="AE3729" i="1"/>
  <c r="AD3729" i="1"/>
  <c r="AC3729" i="1"/>
  <c r="AB3729" i="1"/>
  <c r="AA3729" i="1"/>
  <c r="Z3729" i="1"/>
  <c r="Y3729" i="1"/>
  <c r="X3729" i="1"/>
  <c r="W3729" i="1"/>
  <c r="V3729" i="1"/>
  <c r="AH3728" i="1"/>
  <c r="AG3728" i="1"/>
  <c r="AF3728" i="1"/>
  <c r="AE3728" i="1"/>
  <c r="AD3728" i="1"/>
  <c r="AC3728" i="1"/>
  <c r="AB3728" i="1"/>
  <c r="AA3728" i="1"/>
  <c r="Z3728" i="1"/>
  <c r="Y3728" i="1"/>
  <c r="X3728" i="1"/>
  <c r="W3728" i="1"/>
  <c r="V3728" i="1"/>
  <c r="AH3727" i="1"/>
  <c r="AG3727" i="1"/>
  <c r="AF3727" i="1"/>
  <c r="AE3727" i="1"/>
  <c r="AD3727" i="1"/>
  <c r="AC3727" i="1"/>
  <c r="AB3727" i="1"/>
  <c r="AA3727" i="1"/>
  <c r="Z3727" i="1"/>
  <c r="Y3727" i="1"/>
  <c r="X3727" i="1"/>
  <c r="W3727" i="1"/>
  <c r="V3727" i="1"/>
  <c r="AH3726" i="1"/>
  <c r="AG3726" i="1"/>
  <c r="AF3726" i="1"/>
  <c r="AE3726" i="1"/>
  <c r="AD3726" i="1"/>
  <c r="AC3726" i="1"/>
  <c r="AB3726" i="1"/>
  <c r="AA3726" i="1"/>
  <c r="Z3726" i="1"/>
  <c r="Y3726" i="1"/>
  <c r="X3726" i="1"/>
  <c r="W3726" i="1"/>
  <c r="V3726" i="1"/>
  <c r="AH3725" i="1"/>
  <c r="AG3725" i="1"/>
  <c r="AF3725" i="1"/>
  <c r="AE3725" i="1"/>
  <c r="AD3725" i="1"/>
  <c r="AC3725" i="1"/>
  <c r="AB3725" i="1"/>
  <c r="AA3725" i="1"/>
  <c r="Z3725" i="1"/>
  <c r="Y3725" i="1"/>
  <c r="X3725" i="1"/>
  <c r="W3725" i="1"/>
  <c r="V3725" i="1"/>
  <c r="AH3724" i="1"/>
  <c r="AG3724" i="1"/>
  <c r="AF3724" i="1"/>
  <c r="AE3724" i="1"/>
  <c r="AD3724" i="1"/>
  <c r="AC3724" i="1"/>
  <c r="AB3724" i="1"/>
  <c r="AA3724" i="1"/>
  <c r="Z3724" i="1"/>
  <c r="Y3724" i="1"/>
  <c r="X3724" i="1"/>
  <c r="W3724" i="1"/>
  <c r="V3724" i="1"/>
  <c r="AH3723" i="1"/>
  <c r="AG3723" i="1"/>
  <c r="AF3723" i="1"/>
  <c r="AE3723" i="1"/>
  <c r="AD3723" i="1"/>
  <c r="AC3723" i="1"/>
  <c r="AB3723" i="1"/>
  <c r="AA3723" i="1"/>
  <c r="Z3723" i="1"/>
  <c r="Y3723" i="1"/>
  <c r="X3723" i="1"/>
  <c r="W3723" i="1"/>
  <c r="V3723" i="1"/>
  <c r="AH3722" i="1"/>
  <c r="AG3722" i="1"/>
  <c r="AF3722" i="1"/>
  <c r="AE3722" i="1"/>
  <c r="AD3722" i="1"/>
  <c r="AC3722" i="1"/>
  <c r="AB3722" i="1"/>
  <c r="AA3722" i="1"/>
  <c r="Z3722" i="1"/>
  <c r="Y3722" i="1"/>
  <c r="X3722" i="1"/>
  <c r="W3722" i="1"/>
  <c r="V3722" i="1"/>
  <c r="AH3721" i="1"/>
  <c r="AG3721" i="1"/>
  <c r="AF3721" i="1"/>
  <c r="AE3721" i="1"/>
  <c r="AD3721" i="1"/>
  <c r="AC3721" i="1"/>
  <c r="AB3721" i="1"/>
  <c r="AA3721" i="1"/>
  <c r="Z3721" i="1"/>
  <c r="Y3721" i="1"/>
  <c r="X3721" i="1"/>
  <c r="W3721" i="1"/>
  <c r="V3721" i="1"/>
  <c r="AH3720" i="1"/>
  <c r="AG3720" i="1"/>
  <c r="AF3720" i="1"/>
  <c r="AE3720" i="1"/>
  <c r="AD3720" i="1"/>
  <c r="AC3720" i="1"/>
  <c r="AB3720" i="1"/>
  <c r="AA3720" i="1"/>
  <c r="Z3720" i="1"/>
  <c r="Y3720" i="1"/>
  <c r="X3720" i="1"/>
  <c r="W3720" i="1"/>
  <c r="V3720" i="1"/>
  <c r="AH3719" i="1"/>
  <c r="AG3719" i="1"/>
  <c r="AF3719" i="1"/>
  <c r="AE3719" i="1"/>
  <c r="AD3719" i="1"/>
  <c r="AC3719" i="1"/>
  <c r="AB3719" i="1"/>
  <c r="AA3719" i="1"/>
  <c r="Z3719" i="1"/>
  <c r="Y3719" i="1"/>
  <c r="X3719" i="1"/>
  <c r="W3719" i="1"/>
  <c r="V3719" i="1"/>
  <c r="AH3718" i="1"/>
  <c r="AG3718" i="1"/>
  <c r="AF3718" i="1"/>
  <c r="AE3718" i="1"/>
  <c r="AD3718" i="1"/>
  <c r="AC3718" i="1"/>
  <c r="AB3718" i="1"/>
  <c r="AA3718" i="1"/>
  <c r="Z3718" i="1"/>
  <c r="Y3718" i="1"/>
  <c r="X3718" i="1"/>
  <c r="W3718" i="1"/>
  <c r="V3718" i="1"/>
  <c r="AH3717" i="1"/>
  <c r="AG3717" i="1"/>
  <c r="AF3717" i="1"/>
  <c r="AE3717" i="1"/>
  <c r="AD3717" i="1"/>
  <c r="AC3717" i="1"/>
  <c r="AB3717" i="1"/>
  <c r="AA3717" i="1"/>
  <c r="Z3717" i="1"/>
  <c r="Y3717" i="1"/>
  <c r="X3717" i="1"/>
  <c r="W3717" i="1"/>
  <c r="V3717" i="1"/>
  <c r="AH3716" i="1"/>
  <c r="AG3716" i="1"/>
  <c r="AF3716" i="1"/>
  <c r="AE3716" i="1"/>
  <c r="AD3716" i="1"/>
  <c r="AC3716" i="1"/>
  <c r="AB3716" i="1"/>
  <c r="AA3716" i="1"/>
  <c r="Z3716" i="1"/>
  <c r="Y3716" i="1"/>
  <c r="X3716" i="1"/>
  <c r="W3716" i="1"/>
  <c r="V3716" i="1"/>
  <c r="AH3715" i="1"/>
  <c r="AG3715" i="1"/>
  <c r="AF3715" i="1"/>
  <c r="AE3715" i="1"/>
  <c r="AD3715" i="1"/>
  <c r="AC3715" i="1"/>
  <c r="AB3715" i="1"/>
  <c r="AA3715" i="1"/>
  <c r="Z3715" i="1"/>
  <c r="Y3715" i="1"/>
  <c r="X3715" i="1"/>
  <c r="W3715" i="1"/>
  <c r="V3715" i="1"/>
  <c r="AH3714" i="1"/>
  <c r="AG3714" i="1"/>
  <c r="AF3714" i="1"/>
  <c r="AE3714" i="1"/>
  <c r="AD3714" i="1"/>
  <c r="AC3714" i="1"/>
  <c r="AB3714" i="1"/>
  <c r="AA3714" i="1"/>
  <c r="Z3714" i="1"/>
  <c r="Y3714" i="1"/>
  <c r="X3714" i="1"/>
  <c r="W3714" i="1"/>
  <c r="V3714" i="1"/>
  <c r="AH3713" i="1"/>
  <c r="AG3713" i="1"/>
  <c r="AF3713" i="1"/>
  <c r="AE3713" i="1"/>
  <c r="AD3713" i="1"/>
  <c r="AC3713" i="1"/>
  <c r="AB3713" i="1"/>
  <c r="AA3713" i="1"/>
  <c r="Z3713" i="1"/>
  <c r="Y3713" i="1"/>
  <c r="X3713" i="1"/>
  <c r="W3713" i="1"/>
  <c r="V3713" i="1"/>
  <c r="AH3712" i="1"/>
  <c r="AG3712" i="1"/>
  <c r="AF3712" i="1"/>
  <c r="AE3712" i="1"/>
  <c r="AD3712" i="1"/>
  <c r="AC3712" i="1"/>
  <c r="AB3712" i="1"/>
  <c r="AA3712" i="1"/>
  <c r="Z3712" i="1"/>
  <c r="Y3712" i="1"/>
  <c r="X3712" i="1"/>
  <c r="W3712" i="1"/>
  <c r="V3712" i="1"/>
  <c r="AH3711" i="1"/>
  <c r="AG3711" i="1"/>
  <c r="AF3711" i="1"/>
  <c r="AE3711" i="1"/>
  <c r="AD3711" i="1"/>
  <c r="AC3711" i="1"/>
  <c r="AB3711" i="1"/>
  <c r="AA3711" i="1"/>
  <c r="Z3711" i="1"/>
  <c r="Y3711" i="1"/>
  <c r="X3711" i="1"/>
  <c r="W3711" i="1"/>
  <c r="V3711" i="1"/>
  <c r="AH3710" i="1"/>
  <c r="AG3710" i="1"/>
  <c r="AF3710" i="1"/>
  <c r="AE3710" i="1"/>
  <c r="AD3710" i="1"/>
  <c r="AC3710" i="1"/>
  <c r="AB3710" i="1"/>
  <c r="AA3710" i="1"/>
  <c r="Z3710" i="1"/>
  <c r="Y3710" i="1"/>
  <c r="X3710" i="1"/>
  <c r="W3710" i="1"/>
  <c r="V3710" i="1"/>
  <c r="AH3709" i="1"/>
  <c r="AG3709" i="1"/>
  <c r="AF3709" i="1"/>
  <c r="AE3709" i="1"/>
  <c r="AD3709" i="1"/>
  <c r="AC3709" i="1"/>
  <c r="AB3709" i="1"/>
  <c r="AA3709" i="1"/>
  <c r="Z3709" i="1"/>
  <c r="Y3709" i="1"/>
  <c r="X3709" i="1"/>
  <c r="W3709" i="1"/>
  <c r="V3709" i="1"/>
  <c r="AH3708" i="1"/>
  <c r="AG3708" i="1"/>
  <c r="AF3708" i="1"/>
  <c r="AE3708" i="1"/>
  <c r="AD3708" i="1"/>
  <c r="AC3708" i="1"/>
  <c r="AB3708" i="1"/>
  <c r="AA3708" i="1"/>
  <c r="Z3708" i="1"/>
  <c r="Y3708" i="1"/>
  <c r="X3708" i="1"/>
  <c r="W3708" i="1"/>
  <c r="V3708" i="1"/>
  <c r="AH3707" i="1"/>
  <c r="AG3707" i="1"/>
  <c r="AF3707" i="1"/>
  <c r="AE3707" i="1"/>
  <c r="AD3707" i="1"/>
  <c r="AC3707" i="1"/>
  <c r="AB3707" i="1"/>
  <c r="AA3707" i="1"/>
  <c r="Z3707" i="1"/>
  <c r="Y3707" i="1"/>
  <c r="X3707" i="1"/>
  <c r="W3707" i="1"/>
  <c r="V3707" i="1"/>
  <c r="AH3706" i="1"/>
  <c r="AG3706" i="1"/>
  <c r="AF3706" i="1"/>
  <c r="AE3706" i="1"/>
  <c r="AD3706" i="1"/>
  <c r="AC3706" i="1"/>
  <c r="AB3706" i="1"/>
  <c r="AA3706" i="1"/>
  <c r="Z3706" i="1"/>
  <c r="Y3706" i="1"/>
  <c r="X3706" i="1"/>
  <c r="W3706" i="1"/>
  <c r="V3706" i="1"/>
  <c r="AH3705" i="1"/>
  <c r="AG3705" i="1"/>
  <c r="AF3705" i="1"/>
  <c r="AE3705" i="1"/>
  <c r="AD3705" i="1"/>
  <c r="AC3705" i="1"/>
  <c r="AB3705" i="1"/>
  <c r="AA3705" i="1"/>
  <c r="Z3705" i="1"/>
  <c r="Y3705" i="1"/>
  <c r="X3705" i="1"/>
  <c r="W3705" i="1"/>
  <c r="V3705" i="1"/>
  <c r="AH3704" i="1"/>
  <c r="AG3704" i="1"/>
  <c r="AF3704" i="1"/>
  <c r="AE3704" i="1"/>
  <c r="AD3704" i="1"/>
  <c r="AC3704" i="1"/>
  <c r="AB3704" i="1"/>
  <c r="AA3704" i="1"/>
  <c r="Z3704" i="1"/>
  <c r="Y3704" i="1"/>
  <c r="X3704" i="1"/>
  <c r="W3704" i="1"/>
  <c r="V3704" i="1"/>
  <c r="AH3703" i="1"/>
  <c r="AG3703" i="1"/>
  <c r="AF3703" i="1"/>
  <c r="AE3703" i="1"/>
  <c r="AD3703" i="1"/>
  <c r="AC3703" i="1"/>
  <c r="AB3703" i="1"/>
  <c r="AA3703" i="1"/>
  <c r="Z3703" i="1"/>
  <c r="Y3703" i="1"/>
  <c r="X3703" i="1"/>
  <c r="W3703" i="1"/>
  <c r="V3703" i="1"/>
  <c r="AH3702" i="1"/>
  <c r="AG3702" i="1"/>
  <c r="AF3702" i="1"/>
  <c r="AE3702" i="1"/>
  <c r="AD3702" i="1"/>
  <c r="AC3702" i="1"/>
  <c r="AB3702" i="1"/>
  <c r="AA3702" i="1"/>
  <c r="Z3702" i="1"/>
  <c r="Y3702" i="1"/>
  <c r="X3702" i="1"/>
  <c r="W3702" i="1"/>
  <c r="V3702" i="1"/>
  <c r="AH3701" i="1"/>
  <c r="AG3701" i="1"/>
  <c r="AF3701" i="1"/>
  <c r="AE3701" i="1"/>
  <c r="AD3701" i="1"/>
  <c r="AC3701" i="1"/>
  <c r="AB3701" i="1"/>
  <c r="AA3701" i="1"/>
  <c r="Z3701" i="1"/>
  <c r="Y3701" i="1"/>
  <c r="X3701" i="1"/>
  <c r="W3701" i="1"/>
  <c r="V3701" i="1"/>
  <c r="AH3700" i="1"/>
  <c r="AG3700" i="1"/>
  <c r="AF3700" i="1"/>
  <c r="AE3700" i="1"/>
  <c r="AD3700" i="1"/>
  <c r="AC3700" i="1"/>
  <c r="AB3700" i="1"/>
  <c r="AA3700" i="1"/>
  <c r="Z3700" i="1"/>
  <c r="Y3700" i="1"/>
  <c r="X3700" i="1"/>
  <c r="W3700" i="1"/>
  <c r="V3700" i="1"/>
  <c r="AH3699" i="1"/>
  <c r="AG3699" i="1"/>
  <c r="AF3699" i="1"/>
  <c r="AE3699" i="1"/>
  <c r="AD3699" i="1"/>
  <c r="AC3699" i="1"/>
  <c r="AB3699" i="1"/>
  <c r="AA3699" i="1"/>
  <c r="Z3699" i="1"/>
  <c r="Y3699" i="1"/>
  <c r="X3699" i="1"/>
  <c r="W3699" i="1"/>
  <c r="V3699" i="1"/>
  <c r="AH3698" i="1"/>
  <c r="AG3698" i="1"/>
  <c r="AF3698" i="1"/>
  <c r="AE3698" i="1"/>
  <c r="AD3698" i="1"/>
  <c r="AC3698" i="1"/>
  <c r="AB3698" i="1"/>
  <c r="AA3698" i="1"/>
  <c r="Z3698" i="1"/>
  <c r="Y3698" i="1"/>
  <c r="X3698" i="1"/>
  <c r="W3698" i="1"/>
  <c r="V3698" i="1"/>
  <c r="AH3697" i="1"/>
  <c r="AG3697" i="1"/>
  <c r="AF3697" i="1"/>
  <c r="AE3697" i="1"/>
  <c r="AD3697" i="1"/>
  <c r="AC3697" i="1"/>
  <c r="AB3697" i="1"/>
  <c r="AA3697" i="1"/>
  <c r="Z3697" i="1"/>
  <c r="Y3697" i="1"/>
  <c r="X3697" i="1"/>
  <c r="W3697" i="1"/>
  <c r="V3697" i="1"/>
  <c r="AH3696" i="1"/>
  <c r="AG3696" i="1"/>
  <c r="AF3696" i="1"/>
  <c r="AE3696" i="1"/>
  <c r="AD3696" i="1"/>
  <c r="AC3696" i="1"/>
  <c r="AB3696" i="1"/>
  <c r="AA3696" i="1"/>
  <c r="Z3696" i="1"/>
  <c r="Y3696" i="1"/>
  <c r="X3696" i="1"/>
  <c r="W3696" i="1"/>
  <c r="V3696" i="1"/>
  <c r="AH3695" i="1"/>
  <c r="AG3695" i="1"/>
  <c r="AF3695" i="1"/>
  <c r="AE3695" i="1"/>
  <c r="AD3695" i="1"/>
  <c r="AC3695" i="1"/>
  <c r="AB3695" i="1"/>
  <c r="AA3695" i="1"/>
  <c r="Z3695" i="1"/>
  <c r="Y3695" i="1"/>
  <c r="X3695" i="1"/>
  <c r="W3695" i="1"/>
  <c r="V3695" i="1"/>
  <c r="AH3694" i="1"/>
  <c r="AG3694" i="1"/>
  <c r="AF3694" i="1"/>
  <c r="AE3694" i="1"/>
  <c r="AD3694" i="1"/>
  <c r="AC3694" i="1"/>
  <c r="AB3694" i="1"/>
  <c r="AA3694" i="1"/>
  <c r="Z3694" i="1"/>
  <c r="Y3694" i="1"/>
  <c r="X3694" i="1"/>
  <c r="W3694" i="1"/>
  <c r="V3694" i="1"/>
  <c r="AH3693" i="1"/>
  <c r="AG3693" i="1"/>
  <c r="AF3693" i="1"/>
  <c r="AE3693" i="1"/>
  <c r="AD3693" i="1"/>
  <c r="AC3693" i="1"/>
  <c r="AB3693" i="1"/>
  <c r="AA3693" i="1"/>
  <c r="Z3693" i="1"/>
  <c r="Y3693" i="1"/>
  <c r="X3693" i="1"/>
  <c r="W3693" i="1"/>
  <c r="V3693" i="1"/>
  <c r="AH3692" i="1"/>
  <c r="AG3692" i="1"/>
  <c r="AF3692" i="1"/>
  <c r="AE3692" i="1"/>
  <c r="AD3692" i="1"/>
  <c r="AC3692" i="1"/>
  <c r="AB3692" i="1"/>
  <c r="AA3692" i="1"/>
  <c r="Z3692" i="1"/>
  <c r="Y3692" i="1"/>
  <c r="X3692" i="1"/>
  <c r="W3692" i="1"/>
  <c r="V3692" i="1"/>
  <c r="AH3691" i="1"/>
  <c r="AG3691" i="1"/>
  <c r="AF3691" i="1"/>
  <c r="AE3691" i="1"/>
  <c r="AD3691" i="1"/>
  <c r="AC3691" i="1"/>
  <c r="AB3691" i="1"/>
  <c r="AA3691" i="1"/>
  <c r="Z3691" i="1"/>
  <c r="Y3691" i="1"/>
  <c r="X3691" i="1"/>
  <c r="W3691" i="1"/>
  <c r="V3691" i="1"/>
  <c r="AH3690" i="1"/>
  <c r="AG3690" i="1"/>
  <c r="AF3690" i="1"/>
  <c r="AE3690" i="1"/>
  <c r="AD3690" i="1"/>
  <c r="AC3690" i="1"/>
  <c r="AB3690" i="1"/>
  <c r="AA3690" i="1"/>
  <c r="Z3690" i="1"/>
  <c r="Y3690" i="1"/>
  <c r="X3690" i="1"/>
  <c r="W3690" i="1"/>
  <c r="V3690" i="1"/>
  <c r="AH3689" i="1"/>
  <c r="AG3689" i="1"/>
  <c r="AF3689" i="1"/>
  <c r="AE3689" i="1"/>
  <c r="AD3689" i="1"/>
  <c r="AC3689" i="1"/>
  <c r="AB3689" i="1"/>
  <c r="AA3689" i="1"/>
  <c r="Z3689" i="1"/>
  <c r="Y3689" i="1"/>
  <c r="X3689" i="1"/>
  <c r="W3689" i="1"/>
  <c r="V3689" i="1"/>
  <c r="AH3688" i="1"/>
  <c r="AG3688" i="1"/>
  <c r="AF3688" i="1"/>
  <c r="AE3688" i="1"/>
  <c r="AD3688" i="1"/>
  <c r="AC3688" i="1"/>
  <c r="AB3688" i="1"/>
  <c r="AA3688" i="1"/>
  <c r="Z3688" i="1"/>
  <c r="Y3688" i="1"/>
  <c r="X3688" i="1"/>
  <c r="W3688" i="1"/>
  <c r="V3688" i="1"/>
  <c r="AH3687" i="1"/>
  <c r="AG3687" i="1"/>
  <c r="AF3687" i="1"/>
  <c r="AE3687" i="1"/>
  <c r="AD3687" i="1"/>
  <c r="AC3687" i="1"/>
  <c r="AB3687" i="1"/>
  <c r="AA3687" i="1"/>
  <c r="Z3687" i="1"/>
  <c r="Y3687" i="1"/>
  <c r="X3687" i="1"/>
  <c r="W3687" i="1"/>
  <c r="V3687" i="1"/>
  <c r="AH3686" i="1"/>
  <c r="AG3686" i="1"/>
  <c r="AF3686" i="1"/>
  <c r="AE3686" i="1"/>
  <c r="AD3686" i="1"/>
  <c r="AC3686" i="1"/>
  <c r="AB3686" i="1"/>
  <c r="AA3686" i="1"/>
  <c r="Z3686" i="1"/>
  <c r="Y3686" i="1"/>
  <c r="X3686" i="1"/>
  <c r="W3686" i="1"/>
  <c r="V3686" i="1"/>
  <c r="AH3685" i="1"/>
  <c r="AG3685" i="1"/>
  <c r="AF3685" i="1"/>
  <c r="AE3685" i="1"/>
  <c r="AD3685" i="1"/>
  <c r="AC3685" i="1"/>
  <c r="AB3685" i="1"/>
  <c r="AA3685" i="1"/>
  <c r="Z3685" i="1"/>
  <c r="Y3685" i="1"/>
  <c r="X3685" i="1"/>
  <c r="W3685" i="1"/>
  <c r="V3685" i="1"/>
  <c r="AH3684" i="1"/>
  <c r="AG3684" i="1"/>
  <c r="AF3684" i="1"/>
  <c r="AE3684" i="1"/>
  <c r="AD3684" i="1"/>
  <c r="AC3684" i="1"/>
  <c r="AB3684" i="1"/>
  <c r="AA3684" i="1"/>
  <c r="Z3684" i="1"/>
  <c r="Y3684" i="1"/>
  <c r="X3684" i="1"/>
  <c r="W3684" i="1"/>
  <c r="V3684" i="1"/>
  <c r="AH3683" i="1"/>
  <c r="AG3683" i="1"/>
  <c r="AF3683" i="1"/>
  <c r="AE3683" i="1"/>
  <c r="AD3683" i="1"/>
  <c r="AC3683" i="1"/>
  <c r="AB3683" i="1"/>
  <c r="AA3683" i="1"/>
  <c r="Z3683" i="1"/>
  <c r="Y3683" i="1"/>
  <c r="X3683" i="1"/>
  <c r="W3683" i="1"/>
  <c r="V3683" i="1"/>
  <c r="AH3682" i="1"/>
  <c r="AG3682" i="1"/>
  <c r="AF3682" i="1"/>
  <c r="AE3682" i="1"/>
  <c r="AD3682" i="1"/>
  <c r="AC3682" i="1"/>
  <c r="AB3682" i="1"/>
  <c r="AA3682" i="1"/>
  <c r="Z3682" i="1"/>
  <c r="Y3682" i="1"/>
  <c r="X3682" i="1"/>
  <c r="W3682" i="1"/>
  <c r="V3682" i="1"/>
  <c r="AH3681" i="1"/>
  <c r="AG3681" i="1"/>
  <c r="AF3681" i="1"/>
  <c r="AE3681" i="1"/>
  <c r="AD3681" i="1"/>
  <c r="AC3681" i="1"/>
  <c r="AB3681" i="1"/>
  <c r="AA3681" i="1"/>
  <c r="Z3681" i="1"/>
  <c r="Y3681" i="1"/>
  <c r="X3681" i="1"/>
  <c r="W3681" i="1"/>
  <c r="V3681" i="1"/>
  <c r="AH3680" i="1"/>
  <c r="AG3680" i="1"/>
  <c r="AF3680" i="1"/>
  <c r="AE3680" i="1"/>
  <c r="AD3680" i="1"/>
  <c r="AC3680" i="1"/>
  <c r="AB3680" i="1"/>
  <c r="AA3680" i="1"/>
  <c r="Z3680" i="1"/>
  <c r="Y3680" i="1"/>
  <c r="X3680" i="1"/>
  <c r="W3680" i="1"/>
  <c r="V3680" i="1"/>
  <c r="AH3679" i="1"/>
  <c r="AG3679" i="1"/>
  <c r="AF3679" i="1"/>
  <c r="AE3679" i="1"/>
  <c r="AD3679" i="1"/>
  <c r="AC3679" i="1"/>
  <c r="AB3679" i="1"/>
  <c r="AA3679" i="1"/>
  <c r="Z3679" i="1"/>
  <c r="Y3679" i="1"/>
  <c r="X3679" i="1"/>
  <c r="W3679" i="1"/>
  <c r="V3679" i="1"/>
  <c r="AH3678" i="1"/>
  <c r="AG3678" i="1"/>
  <c r="AF3678" i="1"/>
  <c r="AE3678" i="1"/>
  <c r="AD3678" i="1"/>
  <c r="AC3678" i="1"/>
  <c r="AB3678" i="1"/>
  <c r="AA3678" i="1"/>
  <c r="Z3678" i="1"/>
  <c r="Y3678" i="1"/>
  <c r="X3678" i="1"/>
  <c r="W3678" i="1"/>
  <c r="V3678" i="1"/>
  <c r="AH3677" i="1"/>
  <c r="AG3677" i="1"/>
  <c r="AF3677" i="1"/>
  <c r="AE3677" i="1"/>
  <c r="AD3677" i="1"/>
  <c r="AC3677" i="1"/>
  <c r="AB3677" i="1"/>
  <c r="AA3677" i="1"/>
  <c r="Z3677" i="1"/>
  <c r="Y3677" i="1"/>
  <c r="X3677" i="1"/>
  <c r="W3677" i="1"/>
  <c r="V3677" i="1"/>
  <c r="AH3676" i="1"/>
  <c r="AG3676" i="1"/>
  <c r="AF3676" i="1"/>
  <c r="AE3676" i="1"/>
  <c r="AD3676" i="1"/>
  <c r="AC3676" i="1"/>
  <c r="AB3676" i="1"/>
  <c r="AA3676" i="1"/>
  <c r="Z3676" i="1"/>
  <c r="Y3676" i="1"/>
  <c r="X3676" i="1"/>
  <c r="W3676" i="1"/>
  <c r="V3676" i="1"/>
  <c r="AH3675" i="1"/>
  <c r="AG3675" i="1"/>
  <c r="AF3675" i="1"/>
  <c r="AE3675" i="1"/>
  <c r="AD3675" i="1"/>
  <c r="AC3675" i="1"/>
  <c r="AB3675" i="1"/>
  <c r="AA3675" i="1"/>
  <c r="Z3675" i="1"/>
  <c r="Y3675" i="1"/>
  <c r="X3675" i="1"/>
  <c r="W3675" i="1"/>
  <c r="V3675" i="1"/>
  <c r="AH3674" i="1"/>
  <c r="AG3674" i="1"/>
  <c r="AF3674" i="1"/>
  <c r="AE3674" i="1"/>
  <c r="AD3674" i="1"/>
  <c r="AC3674" i="1"/>
  <c r="AB3674" i="1"/>
  <c r="AA3674" i="1"/>
  <c r="Z3674" i="1"/>
  <c r="Y3674" i="1"/>
  <c r="X3674" i="1"/>
  <c r="W3674" i="1"/>
  <c r="V3674" i="1"/>
  <c r="AH3673" i="1"/>
  <c r="AG3673" i="1"/>
  <c r="AF3673" i="1"/>
  <c r="AE3673" i="1"/>
  <c r="AD3673" i="1"/>
  <c r="AC3673" i="1"/>
  <c r="AB3673" i="1"/>
  <c r="AA3673" i="1"/>
  <c r="Z3673" i="1"/>
  <c r="Y3673" i="1"/>
  <c r="X3673" i="1"/>
  <c r="W3673" i="1"/>
  <c r="V3673" i="1"/>
  <c r="AH3672" i="1"/>
  <c r="AG3672" i="1"/>
  <c r="AF3672" i="1"/>
  <c r="AE3672" i="1"/>
  <c r="AD3672" i="1"/>
  <c r="AC3672" i="1"/>
  <c r="AB3672" i="1"/>
  <c r="AA3672" i="1"/>
  <c r="Z3672" i="1"/>
  <c r="Y3672" i="1"/>
  <c r="X3672" i="1"/>
  <c r="W3672" i="1"/>
  <c r="V3672" i="1"/>
  <c r="AH3671" i="1"/>
  <c r="AG3671" i="1"/>
  <c r="AF3671" i="1"/>
  <c r="AE3671" i="1"/>
  <c r="AD3671" i="1"/>
  <c r="AC3671" i="1"/>
  <c r="AB3671" i="1"/>
  <c r="AA3671" i="1"/>
  <c r="Z3671" i="1"/>
  <c r="Y3671" i="1"/>
  <c r="X3671" i="1"/>
  <c r="W3671" i="1"/>
  <c r="V3671" i="1"/>
  <c r="AH3670" i="1"/>
  <c r="AG3670" i="1"/>
  <c r="AF3670" i="1"/>
  <c r="AE3670" i="1"/>
  <c r="AD3670" i="1"/>
  <c r="AC3670" i="1"/>
  <c r="AB3670" i="1"/>
  <c r="AA3670" i="1"/>
  <c r="Z3670" i="1"/>
  <c r="Y3670" i="1"/>
  <c r="X3670" i="1"/>
  <c r="W3670" i="1"/>
  <c r="V3670" i="1"/>
  <c r="AH3669" i="1"/>
  <c r="AG3669" i="1"/>
  <c r="AF3669" i="1"/>
  <c r="AE3669" i="1"/>
  <c r="AD3669" i="1"/>
  <c r="AC3669" i="1"/>
  <c r="AB3669" i="1"/>
  <c r="AA3669" i="1"/>
  <c r="Z3669" i="1"/>
  <c r="Y3669" i="1"/>
  <c r="X3669" i="1"/>
  <c r="W3669" i="1"/>
  <c r="V3669" i="1"/>
  <c r="AH3668" i="1"/>
  <c r="AG3668" i="1"/>
  <c r="AF3668" i="1"/>
  <c r="AE3668" i="1"/>
  <c r="AD3668" i="1"/>
  <c r="AC3668" i="1"/>
  <c r="AB3668" i="1"/>
  <c r="AA3668" i="1"/>
  <c r="Z3668" i="1"/>
  <c r="Y3668" i="1"/>
  <c r="X3668" i="1"/>
  <c r="W3668" i="1"/>
  <c r="V3668" i="1"/>
  <c r="AH3667" i="1"/>
  <c r="AG3667" i="1"/>
  <c r="AF3667" i="1"/>
  <c r="AE3667" i="1"/>
  <c r="AD3667" i="1"/>
  <c r="AC3667" i="1"/>
  <c r="AB3667" i="1"/>
  <c r="AA3667" i="1"/>
  <c r="Z3667" i="1"/>
  <c r="Y3667" i="1"/>
  <c r="X3667" i="1"/>
  <c r="W3667" i="1"/>
  <c r="V3667" i="1"/>
  <c r="AH3666" i="1"/>
  <c r="AG3666" i="1"/>
  <c r="AF3666" i="1"/>
  <c r="AE3666" i="1"/>
  <c r="AD3666" i="1"/>
  <c r="AC3666" i="1"/>
  <c r="AB3666" i="1"/>
  <c r="AA3666" i="1"/>
  <c r="Z3666" i="1"/>
  <c r="Y3666" i="1"/>
  <c r="X3666" i="1"/>
  <c r="W3666" i="1"/>
  <c r="V3666" i="1"/>
  <c r="AH3665" i="1"/>
  <c r="AG3665" i="1"/>
  <c r="AF3665" i="1"/>
  <c r="AE3665" i="1"/>
  <c r="AD3665" i="1"/>
  <c r="AC3665" i="1"/>
  <c r="AB3665" i="1"/>
  <c r="AA3665" i="1"/>
  <c r="Z3665" i="1"/>
  <c r="Y3665" i="1"/>
  <c r="X3665" i="1"/>
  <c r="W3665" i="1"/>
  <c r="V3665" i="1"/>
  <c r="AH3664" i="1"/>
  <c r="AG3664" i="1"/>
  <c r="AF3664" i="1"/>
  <c r="AE3664" i="1"/>
  <c r="AD3664" i="1"/>
  <c r="AC3664" i="1"/>
  <c r="AB3664" i="1"/>
  <c r="AA3664" i="1"/>
  <c r="Z3664" i="1"/>
  <c r="Y3664" i="1"/>
  <c r="X3664" i="1"/>
  <c r="W3664" i="1"/>
  <c r="V3664" i="1"/>
  <c r="AH3663" i="1"/>
  <c r="AG3663" i="1"/>
  <c r="AF3663" i="1"/>
  <c r="AE3663" i="1"/>
  <c r="AD3663" i="1"/>
  <c r="AC3663" i="1"/>
  <c r="AB3663" i="1"/>
  <c r="AA3663" i="1"/>
  <c r="Z3663" i="1"/>
  <c r="Y3663" i="1"/>
  <c r="X3663" i="1"/>
  <c r="W3663" i="1"/>
  <c r="V3663" i="1"/>
  <c r="AH3662" i="1"/>
  <c r="AG3662" i="1"/>
  <c r="AF3662" i="1"/>
  <c r="AE3662" i="1"/>
  <c r="AD3662" i="1"/>
  <c r="AC3662" i="1"/>
  <c r="AB3662" i="1"/>
  <c r="AA3662" i="1"/>
  <c r="Z3662" i="1"/>
  <c r="Y3662" i="1"/>
  <c r="X3662" i="1"/>
  <c r="W3662" i="1"/>
  <c r="V3662" i="1"/>
  <c r="AH3661" i="1"/>
  <c r="AG3661" i="1"/>
  <c r="AF3661" i="1"/>
  <c r="AE3661" i="1"/>
  <c r="AD3661" i="1"/>
  <c r="AC3661" i="1"/>
  <c r="AB3661" i="1"/>
  <c r="AA3661" i="1"/>
  <c r="Z3661" i="1"/>
  <c r="Y3661" i="1"/>
  <c r="X3661" i="1"/>
  <c r="W3661" i="1"/>
  <c r="V3661" i="1"/>
  <c r="AH3660" i="1"/>
  <c r="AG3660" i="1"/>
  <c r="AF3660" i="1"/>
  <c r="AE3660" i="1"/>
  <c r="AD3660" i="1"/>
  <c r="AC3660" i="1"/>
  <c r="AB3660" i="1"/>
  <c r="AA3660" i="1"/>
  <c r="Z3660" i="1"/>
  <c r="Y3660" i="1"/>
  <c r="X3660" i="1"/>
  <c r="W3660" i="1"/>
  <c r="V3660" i="1"/>
  <c r="AH3659" i="1"/>
  <c r="AG3659" i="1"/>
  <c r="AF3659" i="1"/>
  <c r="AE3659" i="1"/>
  <c r="AD3659" i="1"/>
  <c r="AC3659" i="1"/>
  <c r="AB3659" i="1"/>
  <c r="AA3659" i="1"/>
  <c r="Z3659" i="1"/>
  <c r="Y3659" i="1"/>
  <c r="X3659" i="1"/>
  <c r="W3659" i="1"/>
  <c r="V3659" i="1"/>
  <c r="AH3658" i="1"/>
  <c r="AG3658" i="1"/>
  <c r="AF3658" i="1"/>
  <c r="AE3658" i="1"/>
  <c r="AD3658" i="1"/>
  <c r="AC3658" i="1"/>
  <c r="AB3658" i="1"/>
  <c r="AA3658" i="1"/>
  <c r="Z3658" i="1"/>
  <c r="Y3658" i="1"/>
  <c r="X3658" i="1"/>
  <c r="W3658" i="1"/>
  <c r="V3658" i="1"/>
  <c r="AH3657" i="1"/>
  <c r="AG3657" i="1"/>
  <c r="AF3657" i="1"/>
  <c r="AE3657" i="1"/>
  <c r="AD3657" i="1"/>
  <c r="AC3657" i="1"/>
  <c r="AB3657" i="1"/>
  <c r="AA3657" i="1"/>
  <c r="Z3657" i="1"/>
  <c r="Y3657" i="1"/>
  <c r="X3657" i="1"/>
  <c r="W3657" i="1"/>
  <c r="V3657" i="1"/>
  <c r="AH3656" i="1"/>
  <c r="AG3656" i="1"/>
  <c r="AF3656" i="1"/>
  <c r="AE3656" i="1"/>
  <c r="AD3656" i="1"/>
  <c r="AC3656" i="1"/>
  <c r="AB3656" i="1"/>
  <c r="AA3656" i="1"/>
  <c r="Z3656" i="1"/>
  <c r="Y3656" i="1"/>
  <c r="X3656" i="1"/>
  <c r="W3656" i="1"/>
  <c r="V3656" i="1"/>
  <c r="AH3655" i="1"/>
  <c r="AG3655" i="1"/>
  <c r="AF3655" i="1"/>
  <c r="AE3655" i="1"/>
  <c r="AD3655" i="1"/>
  <c r="AC3655" i="1"/>
  <c r="AB3655" i="1"/>
  <c r="AA3655" i="1"/>
  <c r="Z3655" i="1"/>
  <c r="Y3655" i="1"/>
  <c r="X3655" i="1"/>
  <c r="W3655" i="1"/>
  <c r="V3655" i="1"/>
  <c r="AH3654" i="1"/>
  <c r="AG3654" i="1"/>
  <c r="AF3654" i="1"/>
  <c r="AE3654" i="1"/>
  <c r="AD3654" i="1"/>
  <c r="AC3654" i="1"/>
  <c r="AB3654" i="1"/>
  <c r="AA3654" i="1"/>
  <c r="Z3654" i="1"/>
  <c r="Y3654" i="1"/>
  <c r="X3654" i="1"/>
  <c r="W3654" i="1"/>
  <c r="V3654" i="1"/>
  <c r="AH3653" i="1"/>
  <c r="AG3653" i="1"/>
  <c r="AF3653" i="1"/>
  <c r="AE3653" i="1"/>
  <c r="AD3653" i="1"/>
  <c r="AC3653" i="1"/>
  <c r="AB3653" i="1"/>
  <c r="AA3653" i="1"/>
  <c r="Z3653" i="1"/>
  <c r="Y3653" i="1"/>
  <c r="X3653" i="1"/>
  <c r="W3653" i="1"/>
  <c r="V3653" i="1"/>
  <c r="AH3652" i="1"/>
  <c r="AG3652" i="1"/>
  <c r="AF3652" i="1"/>
  <c r="AE3652" i="1"/>
  <c r="AD3652" i="1"/>
  <c r="AC3652" i="1"/>
  <c r="AB3652" i="1"/>
  <c r="AA3652" i="1"/>
  <c r="Z3652" i="1"/>
  <c r="Y3652" i="1"/>
  <c r="X3652" i="1"/>
  <c r="W3652" i="1"/>
  <c r="V3652" i="1"/>
  <c r="AH3651" i="1"/>
  <c r="AG3651" i="1"/>
  <c r="AF3651" i="1"/>
  <c r="AE3651" i="1"/>
  <c r="AD3651" i="1"/>
  <c r="AC3651" i="1"/>
  <c r="AB3651" i="1"/>
  <c r="AA3651" i="1"/>
  <c r="Z3651" i="1"/>
  <c r="Y3651" i="1"/>
  <c r="X3651" i="1"/>
  <c r="W3651" i="1"/>
  <c r="V3651" i="1"/>
  <c r="AH3650" i="1"/>
  <c r="AG3650" i="1"/>
  <c r="AF3650" i="1"/>
  <c r="AE3650" i="1"/>
  <c r="AD3650" i="1"/>
  <c r="AC3650" i="1"/>
  <c r="AB3650" i="1"/>
  <c r="AA3650" i="1"/>
  <c r="Z3650" i="1"/>
  <c r="Y3650" i="1"/>
  <c r="X3650" i="1"/>
  <c r="W3650" i="1"/>
  <c r="V3650" i="1"/>
  <c r="AH3649" i="1"/>
  <c r="AG3649" i="1"/>
  <c r="AF3649" i="1"/>
  <c r="AE3649" i="1"/>
  <c r="AD3649" i="1"/>
  <c r="AC3649" i="1"/>
  <c r="AB3649" i="1"/>
  <c r="AA3649" i="1"/>
  <c r="Z3649" i="1"/>
  <c r="Y3649" i="1"/>
  <c r="X3649" i="1"/>
  <c r="W3649" i="1"/>
  <c r="V3649" i="1"/>
  <c r="AH3648" i="1"/>
  <c r="AG3648" i="1"/>
  <c r="AF3648" i="1"/>
  <c r="AE3648" i="1"/>
  <c r="AD3648" i="1"/>
  <c r="AC3648" i="1"/>
  <c r="AB3648" i="1"/>
  <c r="AA3648" i="1"/>
  <c r="Z3648" i="1"/>
  <c r="Y3648" i="1"/>
  <c r="X3648" i="1"/>
  <c r="W3648" i="1"/>
  <c r="V3648" i="1"/>
  <c r="AH3647" i="1"/>
  <c r="AG3647" i="1"/>
  <c r="AF3647" i="1"/>
  <c r="AE3647" i="1"/>
  <c r="AD3647" i="1"/>
  <c r="AC3647" i="1"/>
  <c r="AB3647" i="1"/>
  <c r="AA3647" i="1"/>
  <c r="Z3647" i="1"/>
  <c r="Y3647" i="1"/>
  <c r="X3647" i="1"/>
  <c r="W3647" i="1"/>
  <c r="V3647" i="1"/>
  <c r="AH3646" i="1"/>
  <c r="AG3646" i="1"/>
  <c r="AF3646" i="1"/>
  <c r="AE3646" i="1"/>
  <c r="AD3646" i="1"/>
  <c r="AC3646" i="1"/>
  <c r="AB3646" i="1"/>
  <c r="AA3646" i="1"/>
  <c r="Z3646" i="1"/>
  <c r="Y3646" i="1"/>
  <c r="X3646" i="1"/>
  <c r="W3646" i="1"/>
  <c r="V3646" i="1"/>
  <c r="AH3645" i="1"/>
  <c r="AG3645" i="1"/>
  <c r="AF3645" i="1"/>
  <c r="AE3645" i="1"/>
  <c r="AD3645" i="1"/>
  <c r="AC3645" i="1"/>
  <c r="AB3645" i="1"/>
  <c r="AA3645" i="1"/>
  <c r="Z3645" i="1"/>
  <c r="Y3645" i="1"/>
  <c r="X3645" i="1"/>
  <c r="W3645" i="1"/>
  <c r="V3645" i="1"/>
  <c r="AH3644" i="1"/>
  <c r="AG3644" i="1"/>
  <c r="AF3644" i="1"/>
  <c r="AE3644" i="1"/>
  <c r="AD3644" i="1"/>
  <c r="AC3644" i="1"/>
  <c r="AB3644" i="1"/>
  <c r="AA3644" i="1"/>
  <c r="Z3644" i="1"/>
  <c r="Y3644" i="1"/>
  <c r="X3644" i="1"/>
  <c r="W3644" i="1"/>
  <c r="V3644" i="1"/>
  <c r="AH3643" i="1"/>
  <c r="AG3643" i="1"/>
  <c r="AF3643" i="1"/>
  <c r="AE3643" i="1"/>
  <c r="AD3643" i="1"/>
  <c r="AC3643" i="1"/>
  <c r="AB3643" i="1"/>
  <c r="AA3643" i="1"/>
  <c r="Z3643" i="1"/>
  <c r="Y3643" i="1"/>
  <c r="X3643" i="1"/>
  <c r="W3643" i="1"/>
  <c r="V3643" i="1"/>
  <c r="AH3642" i="1"/>
  <c r="AG3642" i="1"/>
  <c r="AF3642" i="1"/>
  <c r="AE3642" i="1"/>
  <c r="AD3642" i="1"/>
  <c r="AC3642" i="1"/>
  <c r="AB3642" i="1"/>
  <c r="AA3642" i="1"/>
  <c r="Z3642" i="1"/>
  <c r="Y3642" i="1"/>
  <c r="X3642" i="1"/>
  <c r="W3642" i="1"/>
  <c r="V3642" i="1"/>
  <c r="AH3641" i="1"/>
  <c r="AG3641" i="1"/>
  <c r="AF3641" i="1"/>
  <c r="AE3641" i="1"/>
  <c r="AD3641" i="1"/>
  <c r="AC3641" i="1"/>
  <c r="AB3641" i="1"/>
  <c r="AA3641" i="1"/>
  <c r="Z3641" i="1"/>
  <c r="Y3641" i="1"/>
  <c r="X3641" i="1"/>
  <c r="W3641" i="1"/>
  <c r="V3641" i="1"/>
  <c r="AH3640" i="1"/>
  <c r="AG3640" i="1"/>
  <c r="AF3640" i="1"/>
  <c r="AE3640" i="1"/>
  <c r="AD3640" i="1"/>
  <c r="AC3640" i="1"/>
  <c r="AB3640" i="1"/>
  <c r="AA3640" i="1"/>
  <c r="Z3640" i="1"/>
  <c r="Y3640" i="1"/>
  <c r="X3640" i="1"/>
  <c r="W3640" i="1"/>
  <c r="V3640" i="1"/>
  <c r="AH3639" i="1"/>
  <c r="AG3639" i="1"/>
  <c r="AF3639" i="1"/>
  <c r="AE3639" i="1"/>
  <c r="AD3639" i="1"/>
  <c r="AC3639" i="1"/>
  <c r="AB3639" i="1"/>
  <c r="AA3639" i="1"/>
  <c r="Z3639" i="1"/>
  <c r="Y3639" i="1"/>
  <c r="X3639" i="1"/>
  <c r="W3639" i="1"/>
  <c r="V3639" i="1"/>
  <c r="AH3638" i="1"/>
  <c r="AG3638" i="1"/>
  <c r="AF3638" i="1"/>
  <c r="AE3638" i="1"/>
  <c r="AD3638" i="1"/>
  <c r="AC3638" i="1"/>
  <c r="AB3638" i="1"/>
  <c r="AA3638" i="1"/>
  <c r="Z3638" i="1"/>
  <c r="Y3638" i="1"/>
  <c r="X3638" i="1"/>
  <c r="W3638" i="1"/>
  <c r="V3638" i="1"/>
  <c r="AH3637" i="1"/>
  <c r="AG3637" i="1"/>
  <c r="AF3637" i="1"/>
  <c r="AE3637" i="1"/>
  <c r="AD3637" i="1"/>
  <c r="AC3637" i="1"/>
  <c r="AB3637" i="1"/>
  <c r="AA3637" i="1"/>
  <c r="Z3637" i="1"/>
  <c r="Y3637" i="1"/>
  <c r="X3637" i="1"/>
  <c r="W3637" i="1"/>
  <c r="V3637" i="1"/>
  <c r="AH3636" i="1"/>
  <c r="AG3636" i="1"/>
  <c r="AF3636" i="1"/>
  <c r="AE3636" i="1"/>
  <c r="AD3636" i="1"/>
  <c r="AC3636" i="1"/>
  <c r="AB3636" i="1"/>
  <c r="AA3636" i="1"/>
  <c r="Z3636" i="1"/>
  <c r="Y3636" i="1"/>
  <c r="X3636" i="1"/>
  <c r="W3636" i="1"/>
  <c r="V3636" i="1"/>
  <c r="AH3635" i="1"/>
  <c r="AG3635" i="1"/>
  <c r="AF3635" i="1"/>
  <c r="AE3635" i="1"/>
  <c r="AD3635" i="1"/>
  <c r="AC3635" i="1"/>
  <c r="AB3635" i="1"/>
  <c r="AA3635" i="1"/>
  <c r="Z3635" i="1"/>
  <c r="Y3635" i="1"/>
  <c r="X3635" i="1"/>
  <c r="W3635" i="1"/>
  <c r="V3635" i="1"/>
  <c r="AH3634" i="1"/>
  <c r="AG3634" i="1"/>
  <c r="AF3634" i="1"/>
  <c r="AE3634" i="1"/>
  <c r="AD3634" i="1"/>
  <c r="AC3634" i="1"/>
  <c r="AB3634" i="1"/>
  <c r="AA3634" i="1"/>
  <c r="Z3634" i="1"/>
  <c r="Y3634" i="1"/>
  <c r="X3634" i="1"/>
  <c r="W3634" i="1"/>
  <c r="V3634" i="1"/>
  <c r="AH3633" i="1"/>
  <c r="AG3633" i="1"/>
  <c r="AF3633" i="1"/>
  <c r="AE3633" i="1"/>
  <c r="AD3633" i="1"/>
  <c r="AC3633" i="1"/>
  <c r="AB3633" i="1"/>
  <c r="AA3633" i="1"/>
  <c r="Z3633" i="1"/>
  <c r="Y3633" i="1"/>
  <c r="X3633" i="1"/>
  <c r="W3633" i="1"/>
  <c r="V3633" i="1"/>
  <c r="AH3632" i="1"/>
  <c r="AG3632" i="1"/>
  <c r="AF3632" i="1"/>
  <c r="AE3632" i="1"/>
  <c r="AD3632" i="1"/>
  <c r="AC3632" i="1"/>
  <c r="AB3632" i="1"/>
  <c r="AA3632" i="1"/>
  <c r="Z3632" i="1"/>
  <c r="Y3632" i="1"/>
  <c r="X3632" i="1"/>
  <c r="W3632" i="1"/>
  <c r="V3632" i="1"/>
  <c r="AH3631" i="1"/>
  <c r="AG3631" i="1"/>
  <c r="AF3631" i="1"/>
  <c r="AE3631" i="1"/>
  <c r="AD3631" i="1"/>
  <c r="AC3631" i="1"/>
  <c r="AB3631" i="1"/>
  <c r="AA3631" i="1"/>
  <c r="Z3631" i="1"/>
  <c r="Y3631" i="1"/>
  <c r="X3631" i="1"/>
  <c r="W3631" i="1"/>
  <c r="V3631" i="1"/>
  <c r="AH3630" i="1"/>
  <c r="AG3630" i="1"/>
  <c r="AF3630" i="1"/>
  <c r="AE3630" i="1"/>
  <c r="AD3630" i="1"/>
  <c r="AC3630" i="1"/>
  <c r="AB3630" i="1"/>
  <c r="AA3630" i="1"/>
  <c r="Z3630" i="1"/>
  <c r="Y3630" i="1"/>
  <c r="X3630" i="1"/>
  <c r="W3630" i="1"/>
  <c r="V3630" i="1"/>
  <c r="AH3629" i="1"/>
  <c r="AG3629" i="1"/>
  <c r="AF3629" i="1"/>
  <c r="AE3629" i="1"/>
  <c r="AD3629" i="1"/>
  <c r="AC3629" i="1"/>
  <c r="AB3629" i="1"/>
  <c r="AA3629" i="1"/>
  <c r="Z3629" i="1"/>
  <c r="Y3629" i="1"/>
  <c r="X3629" i="1"/>
  <c r="W3629" i="1"/>
  <c r="V3629" i="1"/>
  <c r="AH3628" i="1"/>
  <c r="AG3628" i="1"/>
  <c r="AF3628" i="1"/>
  <c r="AE3628" i="1"/>
  <c r="AD3628" i="1"/>
  <c r="AC3628" i="1"/>
  <c r="AB3628" i="1"/>
  <c r="AA3628" i="1"/>
  <c r="Z3628" i="1"/>
  <c r="Y3628" i="1"/>
  <c r="X3628" i="1"/>
  <c r="W3628" i="1"/>
  <c r="V3628" i="1"/>
  <c r="AH3627" i="1"/>
  <c r="AG3627" i="1"/>
  <c r="AF3627" i="1"/>
  <c r="AE3627" i="1"/>
  <c r="AD3627" i="1"/>
  <c r="AC3627" i="1"/>
  <c r="AB3627" i="1"/>
  <c r="AA3627" i="1"/>
  <c r="Z3627" i="1"/>
  <c r="Y3627" i="1"/>
  <c r="X3627" i="1"/>
  <c r="W3627" i="1"/>
  <c r="V3627" i="1"/>
  <c r="AH3626" i="1"/>
  <c r="AG3626" i="1"/>
  <c r="AF3626" i="1"/>
  <c r="AE3626" i="1"/>
  <c r="AD3626" i="1"/>
  <c r="AC3626" i="1"/>
  <c r="AB3626" i="1"/>
  <c r="AA3626" i="1"/>
  <c r="Z3626" i="1"/>
  <c r="Y3626" i="1"/>
  <c r="X3626" i="1"/>
  <c r="W3626" i="1"/>
  <c r="V3626" i="1"/>
  <c r="AH3625" i="1"/>
  <c r="AG3625" i="1"/>
  <c r="AF3625" i="1"/>
  <c r="AE3625" i="1"/>
  <c r="AD3625" i="1"/>
  <c r="AC3625" i="1"/>
  <c r="AB3625" i="1"/>
  <c r="AA3625" i="1"/>
  <c r="Z3625" i="1"/>
  <c r="Y3625" i="1"/>
  <c r="X3625" i="1"/>
  <c r="W3625" i="1"/>
  <c r="V3625" i="1"/>
  <c r="AH3624" i="1"/>
  <c r="AG3624" i="1"/>
  <c r="AF3624" i="1"/>
  <c r="AE3624" i="1"/>
  <c r="AD3624" i="1"/>
  <c r="AC3624" i="1"/>
  <c r="AB3624" i="1"/>
  <c r="AA3624" i="1"/>
  <c r="Z3624" i="1"/>
  <c r="Y3624" i="1"/>
  <c r="X3624" i="1"/>
  <c r="W3624" i="1"/>
  <c r="V3624" i="1"/>
  <c r="AH3623" i="1"/>
  <c r="AG3623" i="1"/>
  <c r="AF3623" i="1"/>
  <c r="AE3623" i="1"/>
  <c r="AD3623" i="1"/>
  <c r="AC3623" i="1"/>
  <c r="AB3623" i="1"/>
  <c r="AA3623" i="1"/>
  <c r="Z3623" i="1"/>
  <c r="Y3623" i="1"/>
  <c r="X3623" i="1"/>
  <c r="W3623" i="1"/>
  <c r="V3623" i="1"/>
  <c r="AH3622" i="1"/>
  <c r="AG3622" i="1"/>
  <c r="AF3622" i="1"/>
  <c r="AE3622" i="1"/>
  <c r="AD3622" i="1"/>
  <c r="AC3622" i="1"/>
  <c r="AB3622" i="1"/>
  <c r="AA3622" i="1"/>
  <c r="Z3622" i="1"/>
  <c r="Y3622" i="1"/>
  <c r="X3622" i="1"/>
  <c r="W3622" i="1"/>
  <c r="V3622" i="1"/>
  <c r="AH3621" i="1"/>
  <c r="AG3621" i="1"/>
  <c r="AF3621" i="1"/>
  <c r="AE3621" i="1"/>
  <c r="AD3621" i="1"/>
  <c r="AC3621" i="1"/>
  <c r="AB3621" i="1"/>
  <c r="AA3621" i="1"/>
  <c r="Z3621" i="1"/>
  <c r="Y3621" i="1"/>
  <c r="X3621" i="1"/>
  <c r="W3621" i="1"/>
  <c r="V3621" i="1"/>
  <c r="AH3620" i="1"/>
  <c r="AG3620" i="1"/>
  <c r="AF3620" i="1"/>
  <c r="AE3620" i="1"/>
  <c r="AD3620" i="1"/>
  <c r="AC3620" i="1"/>
  <c r="AB3620" i="1"/>
  <c r="AA3620" i="1"/>
  <c r="Z3620" i="1"/>
  <c r="Y3620" i="1"/>
  <c r="X3620" i="1"/>
  <c r="W3620" i="1"/>
  <c r="V3620" i="1"/>
  <c r="AH3619" i="1"/>
  <c r="AG3619" i="1"/>
  <c r="AF3619" i="1"/>
  <c r="AE3619" i="1"/>
  <c r="AD3619" i="1"/>
  <c r="AC3619" i="1"/>
  <c r="AB3619" i="1"/>
  <c r="AA3619" i="1"/>
  <c r="Z3619" i="1"/>
  <c r="Y3619" i="1"/>
  <c r="X3619" i="1"/>
  <c r="W3619" i="1"/>
  <c r="V3619" i="1"/>
  <c r="AH3618" i="1"/>
  <c r="AG3618" i="1"/>
  <c r="AF3618" i="1"/>
  <c r="AE3618" i="1"/>
  <c r="AD3618" i="1"/>
  <c r="AC3618" i="1"/>
  <c r="AB3618" i="1"/>
  <c r="AA3618" i="1"/>
  <c r="Z3618" i="1"/>
  <c r="Y3618" i="1"/>
  <c r="X3618" i="1"/>
  <c r="W3618" i="1"/>
  <c r="V3618" i="1"/>
  <c r="AH3617" i="1"/>
  <c r="AG3617" i="1"/>
  <c r="AF3617" i="1"/>
  <c r="AE3617" i="1"/>
  <c r="AD3617" i="1"/>
  <c r="AC3617" i="1"/>
  <c r="AB3617" i="1"/>
  <c r="AA3617" i="1"/>
  <c r="Z3617" i="1"/>
  <c r="Y3617" i="1"/>
  <c r="X3617" i="1"/>
  <c r="W3617" i="1"/>
  <c r="V3617" i="1"/>
  <c r="AH3616" i="1"/>
  <c r="AG3616" i="1"/>
  <c r="AF3616" i="1"/>
  <c r="AE3616" i="1"/>
  <c r="AD3616" i="1"/>
  <c r="AC3616" i="1"/>
  <c r="AB3616" i="1"/>
  <c r="AA3616" i="1"/>
  <c r="Z3616" i="1"/>
  <c r="Y3616" i="1"/>
  <c r="X3616" i="1"/>
  <c r="W3616" i="1"/>
  <c r="V3616" i="1"/>
  <c r="AH3615" i="1"/>
  <c r="AG3615" i="1"/>
  <c r="AF3615" i="1"/>
  <c r="AE3615" i="1"/>
  <c r="AD3615" i="1"/>
  <c r="AC3615" i="1"/>
  <c r="AB3615" i="1"/>
  <c r="AA3615" i="1"/>
  <c r="Z3615" i="1"/>
  <c r="Y3615" i="1"/>
  <c r="X3615" i="1"/>
  <c r="W3615" i="1"/>
  <c r="V3615" i="1"/>
  <c r="AH3614" i="1"/>
  <c r="AG3614" i="1"/>
  <c r="AF3614" i="1"/>
  <c r="AE3614" i="1"/>
  <c r="AD3614" i="1"/>
  <c r="AC3614" i="1"/>
  <c r="AB3614" i="1"/>
  <c r="AA3614" i="1"/>
  <c r="Z3614" i="1"/>
  <c r="Y3614" i="1"/>
  <c r="X3614" i="1"/>
  <c r="W3614" i="1"/>
  <c r="V3614" i="1"/>
  <c r="AH3613" i="1"/>
  <c r="AG3613" i="1"/>
  <c r="AF3613" i="1"/>
  <c r="AE3613" i="1"/>
  <c r="AD3613" i="1"/>
  <c r="AC3613" i="1"/>
  <c r="AB3613" i="1"/>
  <c r="AA3613" i="1"/>
  <c r="Z3613" i="1"/>
  <c r="Y3613" i="1"/>
  <c r="X3613" i="1"/>
  <c r="W3613" i="1"/>
  <c r="V3613" i="1"/>
  <c r="AH3612" i="1"/>
  <c r="AG3612" i="1"/>
  <c r="AF3612" i="1"/>
  <c r="AE3612" i="1"/>
  <c r="AD3612" i="1"/>
  <c r="AC3612" i="1"/>
  <c r="AB3612" i="1"/>
  <c r="AA3612" i="1"/>
  <c r="Z3612" i="1"/>
  <c r="Y3612" i="1"/>
  <c r="X3612" i="1"/>
  <c r="W3612" i="1"/>
  <c r="V3612" i="1"/>
  <c r="AH3611" i="1"/>
  <c r="AG3611" i="1"/>
  <c r="AF3611" i="1"/>
  <c r="AE3611" i="1"/>
  <c r="AD3611" i="1"/>
  <c r="AC3611" i="1"/>
  <c r="AB3611" i="1"/>
  <c r="AA3611" i="1"/>
  <c r="Z3611" i="1"/>
  <c r="Y3611" i="1"/>
  <c r="X3611" i="1"/>
  <c r="W3611" i="1"/>
  <c r="V3611" i="1"/>
  <c r="AH3610" i="1"/>
  <c r="AG3610" i="1"/>
  <c r="AF3610" i="1"/>
  <c r="AE3610" i="1"/>
  <c r="AD3610" i="1"/>
  <c r="AC3610" i="1"/>
  <c r="AB3610" i="1"/>
  <c r="AA3610" i="1"/>
  <c r="Z3610" i="1"/>
  <c r="Y3610" i="1"/>
  <c r="X3610" i="1"/>
  <c r="W3610" i="1"/>
  <c r="V3610" i="1"/>
  <c r="AH3609" i="1"/>
  <c r="AG3609" i="1"/>
  <c r="AF3609" i="1"/>
  <c r="AE3609" i="1"/>
  <c r="AD3609" i="1"/>
  <c r="AC3609" i="1"/>
  <c r="AB3609" i="1"/>
  <c r="AA3609" i="1"/>
  <c r="Z3609" i="1"/>
  <c r="Y3609" i="1"/>
  <c r="X3609" i="1"/>
  <c r="W3609" i="1"/>
  <c r="V3609" i="1"/>
  <c r="AH3608" i="1"/>
  <c r="AG3608" i="1"/>
  <c r="AF3608" i="1"/>
  <c r="AE3608" i="1"/>
  <c r="AD3608" i="1"/>
  <c r="AC3608" i="1"/>
  <c r="AB3608" i="1"/>
  <c r="AA3608" i="1"/>
  <c r="Z3608" i="1"/>
  <c r="Y3608" i="1"/>
  <c r="X3608" i="1"/>
  <c r="W3608" i="1"/>
  <c r="V3608" i="1"/>
  <c r="AH3607" i="1"/>
  <c r="AG3607" i="1"/>
  <c r="AF3607" i="1"/>
  <c r="AE3607" i="1"/>
  <c r="AD3607" i="1"/>
  <c r="AC3607" i="1"/>
  <c r="AB3607" i="1"/>
  <c r="AA3607" i="1"/>
  <c r="Z3607" i="1"/>
  <c r="Y3607" i="1"/>
  <c r="X3607" i="1"/>
  <c r="W3607" i="1"/>
  <c r="V3607" i="1"/>
  <c r="AH3606" i="1"/>
  <c r="AG3606" i="1"/>
  <c r="AF3606" i="1"/>
  <c r="AE3606" i="1"/>
  <c r="AD3606" i="1"/>
  <c r="AC3606" i="1"/>
  <c r="AB3606" i="1"/>
  <c r="AA3606" i="1"/>
  <c r="Z3606" i="1"/>
  <c r="Y3606" i="1"/>
  <c r="X3606" i="1"/>
  <c r="W3606" i="1"/>
  <c r="V3606" i="1"/>
  <c r="AH3605" i="1"/>
  <c r="AG3605" i="1"/>
  <c r="AF3605" i="1"/>
  <c r="AE3605" i="1"/>
  <c r="AD3605" i="1"/>
  <c r="AC3605" i="1"/>
  <c r="AB3605" i="1"/>
  <c r="AA3605" i="1"/>
  <c r="Z3605" i="1"/>
  <c r="Y3605" i="1"/>
  <c r="X3605" i="1"/>
  <c r="W3605" i="1"/>
  <c r="V3605" i="1"/>
  <c r="AH3604" i="1"/>
  <c r="AG3604" i="1"/>
  <c r="AF3604" i="1"/>
  <c r="AE3604" i="1"/>
  <c r="AD3604" i="1"/>
  <c r="AC3604" i="1"/>
  <c r="AB3604" i="1"/>
  <c r="AA3604" i="1"/>
  <c r="Z3604" i="1"/>
  <c r="Y3604" i="1"/>
  <c r="X3604" i="1"/>
  <c r="W3604" i="1"/>
  <c r="V3604" i="1"/>
  <c r="AH3603" i="1"/>
  <c r="AG3603" i="1"/>
  <c r="AF3603" i="1"/>
  <c r="AE3603" i="1"/>
  <c r="AD3603" i="1"/>
  <c r="AC3603" i="1"/>
  <c r="AB3603" i="1"/>
  <c r="AA3603" i="1"/>
  <c r="Z3603" i="1"/>
  <c r="Y3603" i="1"/>
  <c r="X3603" i="1"/>
  <c r="W3603" i="1"/>
  <c r="V3603" i="1"/>
  <c r="AH3602" i="1"/>
  <c r="AG3602" i="1"/>
  <c r="AF3602" i="1"/>
  <c r="AE3602" i="1"/>
  <c r="AD3602" i="1"/>
  <c r="AC3602" i="1"/>
  <c r="AB3602" i="1"/>
  <c r="AA3602" i="1"/>
  <c r="Z3602" i="1"/>
  <c r="Y3602" i="1"/>
  <c r="X3602" i="1"/>
  <c r="W3602" i="1"/>
  <c r="V3602" i="1"/>
  <c r="AH3601" i="1"/>
  <c r="AG3601" i="1"/>
  <c r="AF3601" i="1"/>
  <c r="AE3601" i="1"/>
  <c r="AD3601" i="1"/>
  <c r="AC3601" i="1"/>
  <c r="AB3601" i="1"/>
  <c r="AA3601" i="1"/>
  <c r="Z3601" i="1"/>
  <c r="Y3601" i="1"/>
  <c r="X3601" i="1"/>
  <c r="W3601" i="1"/>
  <c r="V3601" i="1"/>
  <c r="AH3600" i="1"/>
  <c r="AG3600" i="1"/>
  <c r="AF3600" i="1"/>
  <c r="AE3600" i="1"/>
  <c r="AD3600" i="1"/>
  <c r="AC3600" i="1"/>
  <c r="AB3600" i="1"/>
  <c r="AA3600" i="1"/>
  <c r="Z3600" i="1"/>
  <c r="Y3600" i="1"/>
  <c r="X3600" i="1"/>
  <c r="W3600" i="1"/>
  <c r="V3600" i="1"/>
  <c r="AH3599" i="1"/>
  <c r="AG3599" i="1"/>
  <c r="AF3599" i="1"/>
  <c r="AE3599" i="1"/>
  <c r="AD3599" i="1"/>
  <c r="AC3599" i="1"/>
  <c r="AB3599" i="1"/>
  <c r="AA3599" i="1"/>
  <c r="Z3599" i="1"/>
  <c r="Y3599" i="1"/>
  <c r="X3599" i="1"/>
  <c r="W3599" i="1"/>
  <c r="V3599" i="1"/>
  <c r="AH3598" i="1"/>
  <c r="AG3598" i="1"/>
  <c r="AF3598" i="1"/>
  <c r="AE3598" i="1"/>
  <c r="AD3598" i="1"/>
  <c r="AC3598" i="1"/>
  <c r="AB3598" i="1"/>
  <c r="AA3598" i="1"/>
  <c r="Z3598" i="1"/>
  <c r="Y3598" i="1"/>
  <c r="X3598" i="1"/>
  <c r="W3598" i="1"/>
  <c r="V3598" i="1"/>
  <c r="AH3597" i="1"/>
  <c r="AG3597" i="1"/>
  <c r="AF3597" i="1"/>
  <c r="AE3597" i="1"/>
  <c r="AD3597" i="1"/>
  <c r="AC3597" i="1"/>
  <c r="AB3597" i="1"/>
  <c r="AA3597" i="1"/>
  <c r="Z3597" i="1"/>
  <c r="Y3597" i="1"/>
  <c r="X3597" i="1"/>
  <c r="W3597" i="1"/>
  <c r="V3597" i="1"/>
  <c r="AH3596" i="1"/>
  <c r="AG3596" i="1"/>
  <c r="AF3596" i="1"/>
  <c r="AE3596" i="1"/>
  <c r="AD3596" i="1"/>
  <c r="AC3596" i="1"/>
  <c r="AB3596" i="1"/>
  <c r="AA3596" i="1"/>
  <c r="Z3596" i="1"/>
  <c r="Y3596" i="1"/>
  <c r="X3596" i="1"/>
  <c r="W3596" i="1"/>
  <c r="V3596" i="1"/>
  <c r="AH3595" i="1"/>
  <c r="AG3595" i="1"/>
  <c r="AF3595" i="1"/>
  <c r="AE3595" i="1"/>
  <c r="AD3595" i="1"/>
  <c r="AC3595" i="1"/>
  <c r="AB3595" i="1"/>
  <c r="AA3595" i="1"/>
  <c r="Z3595" i="1"/>
  <c r="Y3595" i="1"/>
  <c r="X3595" i="1"/>
  <c r="W3595" i="1"/>
  <c r="V3595" i="1"/>
  <c r="AH3594" i="1"/>
  <c r="AG3594" i="1"/>
  <c r="AF3594" i="1"/>
  <c r="AE3594" i="1"/>
  <c r="AD3594" i="1"/>
  <c r="AC3594" i="1"/>
  <c r="AB3594" i="1"/>
  <c r="AA3594" i="1"/>
  <c r="Z3594" i="1"/>
  <c r="Y3594" i="1"/>
  <c r="X3594" i="1"/>
  <c r="W3594" i="1"/>
  <c r="V3594" i="1"/>
  <c r="AH3593" i="1"/>
  <c r="AG3593" i="1"/>
  <c r="AF3593" i="1"/>
  <c r="AE3593" i="1"/>
  <c r="AD3593" i="1"/>
  <c r="AC3593" i="1"/>
  <c r="AB3593" i="1"/>
  <c r="AA3593" i="1"/>
  <c r="Z3593" i="1"/>
  <c r="Y3593" i="1"/>
  <c r="X3593" i="1"/>
  <c r="W3593" i="1"/>
  <c r="V3593" i="1"/>
  <c r="AH3592" i="1"/>
  <c r="AG3592" i="1"/>
  <c r="AF3592" i="1"/>
  <c r="AE3592" i="1"/>
  <c r="AD3592" i="1"/>
  <c r="AC3592" i="1"/>
  <c r="AB3592" i="1"/>
  <c r="AA3592" i="1"/>
  <c r="Z3592" i="1"/>
  <c r="Y3592" i="1"/>
  <c r="X3592" i="1"/>
  <c r="W3592" i="1"/>
  <c r="V3592" i="1"/>
  <c r="AH3591" i="1"/>
  <c r="AG3591" i="1"/>
  <c r="AF3591" i="1"/>
  <c r="AE3591" i="1"/>
  <c r="AD3591" i="1"/>
  <c r="AC3591" i="1"/>
  <c r="AB3591" i="1"/>
  <c r="AA3591" i="1"/>
  <c r="Z3591" i="1"/>
  <c r="Y3591" i="1"/>
  <c r="X3591" i="1"/>
  <c r="W3591" i="1"/>
  <c r="V3591" i="1"/>
  <c r="AH3590" i="1"/>
  <c r="AG3590" i="1"/>
  <c r="AF3590" i="1"/>
  <c r="AE3590" i="1"/>
  <c r="AD3590" i="1"/>
  <c r="AC3590" i="1"/>
  <c r="AB3590" i="1"/>
  <c r="AA3590" i="1"/>
  <c r="Z3590" i="1"/>
  <c r="Y3590" i="1"/>
  <c r="X3590" i="1"/>
  <c r="W3590" i="1"/>
  <c r="V3590" i="1"/>
  <c r="AH3589" i="1"/>
  <c r="AG3589" i="1"/>
  <c r="AF3589" i="1"/>
  <c r="AE3589" i="1"/>
  <c r="AD3589" i="1"/>
  <c r="AC3589" i="1"/>
  <c r="AB3589" i="1"/>
  <c r="AA3589" i="1"/>
  <c r="Z3589" i="1"/>
  <c r="Y3589" i="1"/>
  <c r="X3589" i="1"/>
  <c r="W3589" i="1"/>
  <c r="V3589" i="1"/>
  <c r="AH3588" i="1"/>
  <c r="AG3588" i="1"/>
  <c r="AF3588" i="1"/>
  <c r="AE3588" i="1"/>
  <c r="AD3588" i="1"/>
  <c r="AC3588" i="1"/>
  <c r="AB3588" i="1"/>
  <c r="AA3588" i="1"/>
  <c r="Z3588" i="1"/>
  <c r="Y3588" i="1"/>
  <c r="X3588" i="1"/>
  <c r="W3588" i="1"/>
  <c r="V3588" i="1"/>
  <c r="AH3587" i="1"/>
  <c r="AG3587" i="1"/>
  <c r="AF3587" i="1"/>
  <c r="AE3587" i="1"/>
  <c r="AD3587" i="1"/>
  <c r="AC3587" i="1"/>
  <c r="AB3587" i="1"/>
  <c r="AA3587" i="1"/>
  <c r="Z3587" i="1"/>
  <c r="Y3587" i="1"/>
  <c r="X3587" i="1"/>
  <c r="W3587" i="1"/>
  <c r="V3587" i="1"/>
  <c r="AH3586" i="1"/>
  <c r="AG3586" i="1"/>
  <c r="AF3586" i="1"/>
  <c r="AE3586" i="1"/>
  <c r="AD3586" i="1"/>
  <c r="AC3586" i="1"/>
  <c r="AB3586" i="1"/>
  <c r="AA3586" i="1"/>
  <c r="Z3586" i="1"/>
  <c r="Y3586" i="1"/>
  <c r="X3586" i="1"/>
  <c r="W3586" i="1"/>
  <c r="V3586" i="1"/>
  <c r="AH3585" i="1"/>
  <c r="AG3585" i="1"/>
  <c r="AF3585" i="1"/>
  <c r="AE3585" i="1"/>
  <c r="AD3585" i="1"/>
  <c r="AC3585" i="1"/>
  <c r="AB3585" i="1"/>
  <c r="AA3585" i="1"/>
  <c r="Z3585" i="1"/>
  <c r="Y3585" i="1"/>
  <c r="X3585" i="1"/>
  <c r="W3585" i="1"/>
  <c r="V3585" i="1"/>
  <c r="AH3584" i="1"/>
  <c r="AG3584" i="1"/>
  <c r="AF3584" i="1"/>
  <c r="AE3584" i="1"/>
  <c r="AD3584" i="1"/>
  <c r="AC3584" i="1"/>
  <c r="AB3584" i="1"/>
  <c r="AA3584" i="1"/>
  <c r="Z3584" i="1"/>
  <c r="Y3584" i="1"/>
  <c r="X3584" i="1"/>
  <c r="W3584" i="1"/>
  <c r="V3584" i="1"/>
  <c r="AH3583" i="1"/>
  <c r="AG3583" i="1"/>
  <c r="AF3583" i="1"/>
  <c r="AE3583" i="1"/>
  <c r="AD3583" i="1"/>
  <c r="AC3583" i="1"/>
  <c r="AB3583" i="1"/>
  <c r="AA3583" i="1"/>
  <c r="Z3583" i="1"/>
  <c r="Y3583" i="1"/>
  <c r="X3583" i="1"/>
  <c r="W3583" i="1"/>
  <c r="V3583" i="1"/>
  <c r="AH3582" i="1"/>
  <c r="AG3582" i="1"/>
  <c r="AF3582" i="1"/>
  <c r="AE3582" i="1"/>
  <c r="AD3582" i="1"/>
  <c r="AC3582" i="1"/>
  <c r="AB3582" i="1"/>
  <c r="AA3582" i="1"/>
  <c r="Z3582" i="1"/>
  <c r="Y3582" i="1"/>
  <c r="X3582" i="1"/>
  <c r="W3582" i="1"/>
  <c r="V3582" i="1"/>
  <c r="AH3581" i="1"/>
  <c r="AG3581" i="1"/>
  <c r="AF3581" i="1"/>
  <c r="AE3581" i="1"/>
  <c r="AD3581" i="1"/>
  <c r="AC3581" i="1"/>
  <c r="AB3581" i="1"/>
  <c r="AA3581" i="1"/>
  <c r="Z3581" i="1"/>
  <c r="Y3581" i="1"/>
  <c r="X3581" i="1"/>
  <c r="W3581" i="1"/>
  <c r="V3581" i="1"/>
  <c r="AH3580" i="1"/>
  <c r="AG3580" i="1"/>
  <c r="AF3580" i="1"/>
  <c r="AE3580" i="1"/>
  <c r="AD3580" i="1"/>
  <c r="AC3580" i="1"/>
  <c r="AB3580" i="1"/>
  <c r="AA3580" i="1"/>
  <c r="Z3580" i="1"/>
  <c r="Y3580" i="1"/>
  <c r="X3580" i="1"/>
  <c r="W3580" i="1"/>
  <c r="V3580" i="1"/>
  <c r="AH3579" i="1"/>
  <c r="AG3579" i="1"/>
  <c r="AF3579" i="1"/>
  <c r="AE3579" i="1"/>
  <c r="AD3579" i="1"/>
  <c r="AC3579" i="1"/>
  <c r="AB3579" i="1"/>
  <c r="AA3579" i="1"/>
  <c r="Z3579" i="1"/>
  <c r="Y3579" i="1"/>
  <c r="X3579" i="1"/>
  <c r="W3579" i="1"/>
  <c r="V3579" i="1"/>
  <c r="AH3578" i="1"/>
  <c r="AG3578" i="1"/>
  <c r="AF3578" i="1"/>
  <c r="AE3578" i="1"/>
  <c r="AD3578" i="1"/>
  <c r="AC3578" i="1"/>
  <c r="AB3578" i="1"/>
  <c r="AA3578" i="1"/>
  <c r="Z3578" i="1"/>
  <c r="Y3578" i="1"/>
  <c r="X3578" i="1"/>
  <c r="W3578" i="1"/>
  <c r="V3578" i="1"/>
  <c r="AH3577" i="1"/>
  <c r="AG3577" i="1"/>
  <c r="AF3577" i="1"/>
  <c r="AE3577" i="1"/>
  <c r="AD3577" i="1"/>
  <c r="AC3577" i="1"/>
  <c r="AB3577" i="1"/>
  <c r="AA3577" i="1"/>
  <c r="Z3577" i="1"/>
  <c r="Y3577" i="1"/>
  <c r="X3577" i="1"/>
  <c r="W3577" i="1"/>
  <c r="V3577" i="1"/>
  <c r="AH3576" i="1"/>
  <c r="AG3576" i="1"/>
  <c r="AF3576" i="1"/>
  <c r="AE3576" i="1"/>
  <c r="AD3576" i="1"/>
  <c r="AC3576" i="1"/>
  <c r="AB3576" i="1"/>
  <c r="AA3576" i="1"/>
  <c r="Z3576" i="1"/>
  <c r="Y3576" i="1"/>
  <c r="X3576" i="1"/>
  <c r="W3576" i="1"/>
  <c r="V3576" i="1"/>
  <c r="AH3575" i="1"/>
  <c r="AG3575" i="1"/>
  <c r="AF3575" i="1"/>
  <c r="AE3575" i="1"/>
  <c r="AD3575" i="1"/>
  <c r="AC3575" i="1"/>
  <c r="AB3575" i="1"/>
  <c r="AA3575" i="1"/>
  <c r="Z3575" i="1"/>
  <c r="Y3575" i="1"/>
  <c r="X3575" i="1"/>
  <c r="W3575" i="1"/>
  <c r="V3575" i="1"/>
  <c r="AH3574" i="1"/>
  <c r="AG3574" i="1"/>
  <c r="AF3574" i="1"/>
  <c r="AE3574" i="1"/>
  <c r="AD3574" i="1"/>
  <c r="AC3574" i="1"/>
  <c r="AB3574" i="1"/>
  <c r="AA3574" i="1"/>
  <c r="Z3574" i="1"/>
  <c r="Y3574" i="1"/>
  <c r="X3574" i="1"/>
  <c r="W3574" i="1"/>
  <c r="V3574" i="1"/>
  <c r="AH3573" i="1"/>
  <c r="AG3573" i="1"/>
  <c r="AF3573" i="1"/>
  <c r="AE3573" i="1"/>
  <c r="AD3573" i="1"/>
  <c r="AC3573" i="1"/>
  <c r="AB3573" i="1"/>
  <c r="AA3573" i="1"/>
  <c r="Z3573" i="1"/>
  <c r="Y3573" i="1"/>
  <c r="X3573" i="1"/>
  <c r="W3573" i="1"/>
  <c r="V3573" i="1"/>
  <c r="AH3572" i="1"/>
  <c r="AG3572" i="1"/>
  <c r="AF3572" i="1"/>
  <c r="AE3572" i="1"/>
  <c r="AD3572" i="1"/>
  <c r="AC3572" i="1"/>
  <c r="AB3572" i="1"/>
  <c r="AA3572" i="1"/>
  <c r="Z3572" i="1"/>
  <c r="Y3572" i="1"/>
  <c r="X3572" i="1"/>
  <c r="W3572" i="1"/>
  <c r="V3572" i="1"/>
  <c r="AH3571" i="1"/>
  <c r="AG3571" i="1"/>
  <c r="AF3571" i="1"/>
  <c r="AE3571" i="1"/>
  <c r="AD3571" i="1"/>
  <c r="AC3571" i="1"/>
  <c r="AB3571" i="1"/>
  <c r="AA3571" i="1"/>
  <c r="Z3571" i="1"/>
  <c r="Y3571" i="1"/>
  <c r="X3571" i="1"/>
  <c r="W3571" i="1"/>
  <c r="V3571" i="1"/>
  <c r="AH3570" i="1"/>
  <c r="AG3570" i="1"/>
  <c r="AF3570" i="1"/>
  <c r="AE3570" i="1"/>
  <c r="AD3570" i="1"/>
  <c r="AC3570" i="1"/>
  <c r="AB3570" i="1"/>
  <c r="AA3570" i="1"/>
  <c r="Z3570" i="1"/>
  <c r="Y3570" i="1"/>
  <c r="X3570" i="1"/>
  <c r="W3570" i="1"/>
  <c r="V3570" i="1"/>
  <c r="AH3569" i="1"/>
  <c r="AG3569" i="1"/>
  <c r="AF3569" i="1"/>
  <c r="AE3569" i="1"/>
  <c r="AD3569" i="1"/>
  <c r="AC3569" i="1"/>
  <c r="AB3569" i="1"/>
  <c r="AA3569" i="1"/>
  <c r="Z3569" i="1"/>
  <c r="Y3569" i="1"/>
  <c r="X3569" i="1"/>
  <c r="W3569" i="1"/>
  <c r="V3569" i="1"/>
  <c r="AH3568" i="1"/>
  <c r="AG3568" i="1"/>
  <c r="AF3568" i="1"/>
  <c r="AE3568" i="1"/>
  <c r="AD3568" i="1"/>
  <c r="AC3568" i="1"/>
  <c r="AB3568" i="1"/>
  <c r="AA3568" i="1"/>
  <c r="Z3568" i="1"/>
  <c r="Y3568" i="1"/>
  <c r="X3568" i="1"/>
  <c r="W3568" i="1"/>
  <c r="V3568" i="1"/>
  <c r="AH3567" i="1"/>
  <c r="AG3567" i="1"/>
  <c r="AF3567" i="1"/>
  <c r="AE3567" i="1"/>
  <c r="AD3567" i="1"/>
  <c r="AC3567" i="1"/>
  <c r="AB3567" i="1"/>
  <c r="AA3567" i="1"/>
  <c r="Z3567" i="1"/>
  <c r="Y3567" i="1"/>
  <c r="X3567" i="1"/>
  <c r="W3567" i="1"/>
  <c r="V3567" i="1"/>
  <c r="AH3566" i="1"/>
  <c r="AG3566" i="1"/>
  <c r="AF3566" i="1"/>
  <c r="AE3566" i="1"/>
  <c r="AD3566" i="1"/>
  <c r="AC3566" i="1"/>
  <c r="AB3566" i="1"/>
  <c r="AA3566" i="1"/>
  <c r="Z3566" i="1"/>
  <c r="Y3566" i="1"/>
  <c r="X3566" i="1"/>
  <c r="W3566" i="1"/>
  <c r="V3566" i="1"/>
  <c r="AH3565" i="1"/>
  <c r="AG3565" i="1"/>
  <c r="AF3565" i="1"/>
  <c r="AE3565" i="1"/>
  <c r="AD3565" i="1"/>
  <c r="AC3565" i="1"/>
  <c r="AB3565" i="1"/>
  <c r="AA3565" i="1"/>
  <c r="Z3565" i="1"/>
  <c r="Y3565" i="1"/>
  <c r="X3565" i="1"/>
  <c r="W3565" i="1"/>
  <c r="V3565" i="1"/>
  <c r="AH3564" i="1"/>
  <c r="AG3564" i="1"/>
  <c r="AF3564" i="1"/>
  <c r="AE3564" i="1"/>
  <c r="AD3564" i="1"/>
  <c r="AC3564" i="1"/>
  <c r="AB3564" i="1"/>
  <c r="AA3564" i="1"/>
  <c r="Z3564" i="1"/>
  <c r="Y3564" i="1"/>
  <c r="X3564" i="1"/>
  <c r="W3564" i="1"/>
  <c r="V3564" i="1"/>
  <c r="AH3563" i="1"/>
  <c r="AG3563" i="1"/>
  <c r="AF3563" i="1"/>
  <c r="AE3563" i="1"/>
  <c r="AD3563" i="1"/>
  <c r="AC3563" i="1"/>
  <c r="AB3563" i="1"/>
  <c r="AA3563" i="1"/>
  <c r="Z3563" i="1"/>
  <c r="Y3563" i="1"/>
  <c r="X3563" i="1"/>
  <c r="W3563" i="1"/>
  <c r="V3563" i="1"/>
  <c r="AH3562" i="1"/>
  <c r="AG3562" i="1"/>
  <c r="AF3562" i="1"/>
  <c r="AE3562" i="1"/>
  <c r="AD3562" i="1"/>
  <c r="AC3562" i="1"/>
  <c r="AB3562" i="1"/>
  <c r="AA3562" i="1"/>
  <c r="Z3562" i="1"/>
  <c r="Y3562" i="1"/>
  <c r="X3562" i="1"/>
  <c r="W3562" i="1"/>
  <c r="V3562" i="1"/>
  <c r="AH3561" i="1"/>
  <c r="AG3561" i="1"/>
  <c r="AF3561" i="1"/>
  <c r="AE3561" i="1"/>
  <c r="AD3561" i="1"/>
  <c r="AC3561" i="1"/>
  <c r="AB3561" i="1"/>
  <c r="AA3561" i="1"/>
  <c r="Z3561" i="1"/>
  <c r="Y3561" i="1"/>
  <c r="X3561" i="1"/>
  <c r="W3561" i="1"/>
  <c r="V3561" i="1"/>
  <c r="AH3560" i="1"/>
  <c r="AG3560" i="1"/>
  <c r="AF3560" i="1"/>
  <c r="AE3560" i="1"/>
  <c r="AD3560" i="1"/>
  <c r="AC3560" i="1"/>
  <c r="AB3560" i="1"/>
  <c r="AA3560" i="1"/>
  <c r="Z3560" i="1"/>
  <c r="Y3560" i="1"/>
  <c r="X3560" i="1"/>
  <c r="W3560" i="1"/>
  <c r="V3560" i="1"/>
  <c r="AH3559" i="1"/>
  <c r="AG3559" i="1"/>
  <c r="AF3559" i="1"/>
  <c r="AE3559" i="1"/>
  <c r="AD3559" i="1"/>
  <c r="AC3559" i="1"/>
  <c r="AB3559" i="1"/>
  <c r="AA3559" i="1"/>
  <c r="Z3559" i="1"/>
  <c r="Y3559" i="1"/>
  <c r="X3559" i="1"/>
  <c r="W3559" i="1"/>
  <c r="V3559" i="1"/>
  <c r="AH3558" i="1"/>
  <c r="AG3558" i="1"/>
  <c r="AF3558" i="1"/>
  <c r="AE3558" i="1"/>
  <c r="AD3558" i="1"/>
  <c r="AC3558" i="1"/>
  <c r="AB3558" i="1"/>
  <c r="AA3558" i="1"/>
  <c r="Z3558" i="1"/>
  <c r="Y3558" i="1"/>
  <c r="X3558" i="1"/>
  <c r="W3558" i="1"/>
  <c r="V3558" i="1"/>
  <c r="AH3557" i="1"/>
  <c r="AG3557" i="1"/>
  <c r="AF3557" i="1"/>
  <c r="AE3557" i="1"/>
  <c r="AD3557" i="1"/>
  <c r="AC3557" i="1"/>
  <c r="AB3557" i="1"/>
  <c r="AA3557" i="1"/>
  <c r="Z3557" i="1"/>
  <c r="Y3557" i="1"/>
  <c r="X3557" i="1"/>
  <c r="W3557" i="1"/>
  <c r="V3557" i="1"/>
  <c r="AH3556" i="1"/>
  <c r="AG3556" i="1"/>
  <c r="AF3556" i="1"/>
  <c r="AE3556" i="1"/>
  <c r="AD3556" i="1"/>
  <c r="AC3556" i="1"/>
  <c r="AB3556" i="1"/>
  <c r="AA3556" i="1"/>
  <c r="Z3556" i="1"/>
  <c r="Y3556" i="1"/>
  <c r="X3556" i="1"/>
  <c r="W3556" i="1"/>
  <c r="V3556" i="1"/>
  <c r="AH3555" i="1"/>
  <c r="AG3555" i="1"/>
  <c r="AF3555" i="1"/>
  <c r="AE3555" i="1"/>
  <c r="AD3555" i="1"/>
  <c r="AC3555" i="1"/>
  <c r="AB3555" i="1"/>
  <c r="AA3555" i="1"/>
  <c r="Z3555" i="1"/>
  <c r="Y3555" i="1"/>
  <c r="X3555" i="1"/>
  <c r="W3555" i="1"/>
  <c r="V3555" i="1"/>
  <c r="AH3554" i="1"/>
  <c r="AG3554" i="1"/>
  <c r="AF3554" i="1"/>
  <c r="AE3554" i="1"/>
  <c r="AD3554" i="1"/>
  <c r="AC3554" i="1"/>
  <c r="AB3554" i="1"/>
  <c r="AA3554" i="1"/>
  <c r="Z3554" i="1"/>
  <c r="Y3554" i="1"/>
  <c r="X3554" i="1"/>
  <c r="W3554" i="1"/>
  <c r="V3554" i="1"/>
  <c r="AH3553" i="1"/>
  <c r="AG3553" i="1"/>
  <c r="AF3553" i="1"/>
  <c r="AE3553" i="1"/>
  <c r="AD3553" i="1"/>
  <c r="AC3553" i="1"/>
  <c r="AB3553" i="1"/>
  <c r="AA3553" i="1"/>
  <c r="Z3553" i="1"/>
  <c r="Y3553" i="1"/>
  <c r="X3553" i="1"/>
  <c r="W3553" i="1"/>
  <c r="V3553" i="1"/>
  <c r="AH3552" i="1"/>
  <c r="AG3552" i="1"/>
  <c r="AF3552" i="1"/>
  <c r="AE3552" i="1"/>
  <c r="AD3552" i="1"/>
  <c r="AC3552" i="1"/>
  <c r="AB3552" i="1"/>
  <c r="AA3552" i="1"/>
  <c r="Z3552" i="1"/>
  <c r="Y3552" i="1"/>
  <c r="X3552" i="1"/>
  <c r="W3552" i="1"/>
  <c r="V3552" i="1"/>
  <c r="AH3551" i="1"/>
  <c r="AG3551" i="1"/>
  <c r="AF3551" i="1"/>
  <c r="AE3551" i="1"/>
  <c r="AD3551" i="1"/>
  <c r="AC3551" i="1"/>
  <c r="AB3551" i="1"/>
  <c r="AA3551" i="1"/>
  <c r="Z3551" i="1"/>
  <c r="Y3551" i="1"/>
  <c r="X3551" i="1"/>
  <c r="W3551" i="1"/>
  <c r="V3551" i="1"/>
  <c r="AH3550" i="1"/>
  <c r="AG3550" i="1"/>
  <c r="AF3550" i="1"/>
  <c r="AE3550" i="1"/>
  <c r="AD3550" i="1"/>
  <c r="AC3550" i="1"/>
  <c r="AB3550" i="1"/>
  <c r="AA3550" i="1"/>
  <c r="Z3550" i="1"/>
  <c r="Y3550" i="1"/>
  <c r="X3550" i="1"/>
  <c r="W3550" i="1"/>
  <c r="V3550" i="1"/>
  <c r="AH3549" i="1"/>
  <c r="AG3549" i="1"/>
  <c r="AF3549" i="1"/>
  <c r="AE3549" i="1"/>
  <c r="AD3549" i="1"/>
  <c r="AC3549" i="1"/>
  <c r="AB3549" i="1"/>
  <c r="AA3549" i="1"/>
  <c r="Z3549" i="1"/>
  <c r="Y3549" i="1"/>
  <c r="X3549" i="1"/>
  <c r="W3549" i="1"/>
  <c r="V3549" i="1"/>
  <c r="AH3548" i="1"/>
  <c r="AG3548" i="1"/>
  <c r="AF3548" i="1"/>
  <c r="AE3548" i="1"/>
  <c r="AD3548" i="1"/>
  <c r="AC3548" i="1"/>
  <c r="AB3548" i="1"/>
  <c r="AA3548" i="1"/>
  <c r="Z3548" i="1"/>
  <c r="Y3548" i="1"/>
  <c r="X3548" i="1"/>
  <c r="W3548" i="1"/>
  <c r="V3548" i="1"/>
  <c r="AH3547" i="1"/>
  <c r="AG3547" i="1"/>
  <c r="AF3547" i="1"/>
  <c r="AE3547" i="1"/>
  <c r="AD3547" i="1"/>
  <c r="AC3547" i="1"/>
  <c r="AB3547" i="1"/>
  <c r="AA3547" i="1"/>
  <c r="Z3547" i="1"/>
  <c r="Y3547" i="1"/>
  <c r="X3547" i="1"/>
  <c r="W3547" i="1"/>
  <c r="V3547" i="1"/>
  <c r="AH3546" i="1"/>
  <c r="AG3546" i="1"/>
  <c r="AF3546" i="1"/>
  <c r="AE3546" i="1"/>
  <c r="AD3546" i="1"/>
  <c r="AC3546" i="1"/>
  <c r="AB3546" i="1"/>
  <c r="AA3546" i="1"/>
  <c r="Z3546" i="1"/>
  <c r="Y3546" i="1"/>
  <c r="X3546" i="1"/>
  <c r="W3546" i="1"/>
  <c r="V3546" i="1"/>
  <c r="AH3545" i="1"/>
  <c r="AG3545" i="1"/>
  <c r="AF3545" i="1"/>
  <c r="AE3545" i="1"/>
  <c r="AD3545" i="1"/>
  <c r="AC3545" i="1"/>
  <c r="AB3545" i="1"/>
  <c r="AA3545" i="1"/>
  <c r="Z3545" i="1"/>
  <c r="Y3545" i="1"/>
  <c r="X3545" i="1"/>
  <c r="W3545" i="1"/>
  <c r="V3545" i="1"/>
  <c r="AH3544" i="1"/>
  <c r="AG3544" i="1"/>
  <c r="AF3544" i="1"/>
  <c r="AE3544" i="1"/>
  <c r="AD3544" i="1"/>
  <c r="AC3544" i="1"/>
  <c r="AB3544" i="1"/>
  <c r="AA3544" i="1"/>
  <c r="Z3544" i="1"/>
  <c r="Y3544" i="1"/>
  <c r="X3544" i="1"/>
  <c r="W3544" i="1"/>
  <c r="V3544" i="1"/>
  <c r="AH3543" i="1"/>
  <c r="AG3543" i="1"/>
  <c r="AF3543" i="1"/>
  <c r="AE3543" i="1"/>
  <c r="AD3543" i="1"/>
  <c r="AC3543" i="1"/>
  <c r="AB3543" i="1"/>
  <c r="AA3543" i="1"/>
  <c r="Z3543" i="1"/>
  <c r="Y3543" i="1"/>
  <c r="X3543" i="1"/>
  <c r="W3543" i="1"/>
  <c r="V3543" i="1"/>
  <c r="AH3542" i="1"/>
  <c r="AG3542" i="1"/>
  <c r="AF3542" i="1"/>
  <c r="AE3542" i="1"/>
  <c r="AD3542" i="1"/>
  <c r="AC3542" i="1"/>
  <c r="AB3542" i="1"/>
  <c r="AA3542" i="1"/>
  <c r="Z3542" i="1"/>
  <c r="Y3542" i="1"/>
  <c r="X3542" i="1"/>
  <c r="W3542" i="1"/>
  <c r="V3542" i="1"/>
  <c r="AH3541" i="1"/>
  <c r="AG3541" i="1"/>
  <c r="AF3541" i="1"/>
  <c r="AE3541" i="1"/>
  <c r="AD3541" i="1"/>
  <c r="AC3541" i="1"/>
  <c r="AB3541" i="1"/>
  <c r="AA3541" i="1"/>
  <c r="Z3541" i="1"/>
  <c r="Y3541" i="1"/>
  <c r="X3541" i="1"/>
  <c r="W3541" i="1"/>
  <c r="V3541" i="1"/>
  <c r="AH3540" i="1"/>
  <c r="AG3540" i="1"/>
  <c r="AF3540" i="1"/>
  <c r="AE3540" i="1"/>
  <c r="AD3540" i="1"/>
  <c r="AC3540" i="1"/>
  <c r="AB3540" i="1"/>
  <c r="AA3540" i="1"/>
  <c r="Z3540" i="1"/>
  <c r="Y3540" i="1"/>
  <c r="X3540" i="1"/>
  <c r="W3540" i="1"/>
  <c r="V3540" i="1"/>
  <c r="AH3539" i="1"/>
  <c r="AG3539" i="1"/>
  <c r="AF3539" i="1"/>
  <c r="AE3539" i="1"/>
  <c r="AD3539" i="1"/>
  <c r="AC3539" i="1"/>
  <c r="AB3539" i="1"/>
  <c r="AA3539" i="1"/>
  <c r="Z3539" i="1"/>
  <c r="Y3539" i="1"/>
  <c r="X3539" i="1"/>
  <c r="W3539" i="1"/>
  <c r="V3539" i="1"/>
  <c r="AH3538" i="1"/>
  <c r="AG3538" i="1"/>
  <c r="AF3538" i="1"/>
  <c r="AE3538" i="1"/>
  <c r="AD3538" i="1"/>
  <c r="AC3538" i="1"/>
  <c r="AB3538" i="1"/>
  <c r="AA3538" i="1"/>
  <c r="Z3538" i="1"/>
  <c r="Y3538" i="1"/>
  <c r="X3538" i="1"/>
  <c r="W3538" i="1"/>
  <c r="V3538" i="1"/>
  <c r="AH3537" i="1"/>
  <c r="AG3537" i="1"/>
  <c r="AF3537" i="1"/>
  <c r="AE3537" i="1"/>
  <c r="AD3537" i="1"/>
  <c r="AC3537" i="1"/>
  <c r="AB3537" i="1"/>
  <c r="AA3537" i="1"/>
  <c r="Z3537" i="1"/>
  <c r="Y3537" i="1"/>
  <c r="X3537" i="1"/>
  <c r="W3537" i="1"/>
  <c r="V3537" i="1"/>
  <c r="AH3536" i="1"/>
  <c r="AG3536" i="1"/>
  <c r="AF3536" i="1"/>
  <c r="AE3536" i="1"/>
  <c r="AD3536" i="1"/>
  <c r="AC3536" i="1"/>
  <c r="AB3536" i="1"/>
  <c r="AA3536" i="1"/>
  <c r="Z3536" i="1"/>
  <c r="Y3536" i="1"/>
  <c r="X3536" i="1"/>
  <c r="W3536" i="1"/>
  <c r="V3536" i="1"/>
  <c r="AH3535" i="1"/>
  <c r="AG3535" i="1"/>
  <c r="AF3535" i="1"/>
  <c r="AE3535" i="1"/>
  <c r="AD3535" i="1"/>
  <c r="AC3535" i="1"/>
  <c r="AB3535" i="1"/>
  <c r="AA3535" i="1"/>
  <c r="Z3535" i="1"/>
  <c r="Y3535" i="1"/>
  <c r="X3535" i="1"/>
  <c r="W3535" i="1"/>
  <c r="V3535" i="1"/>
  <c r="AH3534" i="1"/>
  <c r="AG3534" i="1"/>
  <c r="AF3534" i="1"/>
  <c r="AE3534" i="1"/>
  <c r="AD3534" i="1"/>
  <c r="AC3534" i="1"/>
  <c r="AB3534" i="1"/>
  <c r="AA3534" i="1"/>
  <c r="Z3534" i="1"/>
  <c r="Y3534" i="1"/>
  <c r="X3534" i="1"/>
  <c r="W3534" i="1"/>
  <c r="V3534" i="1"/>
  <c r="AH3533" i="1"/>
  <c r="AG3533" i="1"/>
  <c r="AF3533" i="1"/>
  <c r="AE3533" i="1"/>
  <c r="AD3533" i="1"/>
  <c r="AC3533" i="1"/>
  <c r="AB3533" i="1"/>
  <c r="AA3533" i="1"/>
  <c r="Z3533" i="1"/>
  <c r="Y3533" i="1"/>
  <c r="X3533" i="1"/>
  <c r="W3533" i="1"/>
  <c r="V3533" i="1"/>
  <c r="AH3532" i="1"/>
  <c r="AG3532" i="1"/>
  <c r="AF3532" i="1"/>
  <c r="AE3532" i="1"/>
  <c r="AD3532" i="1"/>
  <c r="AC3532" i="1"/>
  <c r="AB3532" i="1"/>
  <c r="AA3532" i="1"/>
  <c r="Z3532" i="1"/>
  <c r="Y3532" i="1"/>
  <c r="X3532" i="1"/>
  <c r="W3532" i="1"/>
  <c r="V3532" i="1"/>
  <c r="AH3531" i="1"/>
  <c r="AG3531" i="1"/>
  <c r="AF3531" i="1"/>
  <c r="AE3531" i="1"/>
  <c r="AD3531" i="1"/>
  <c r="AC3531" i="1"/>
  <c r="AB3531" i="1"/>
  <c r="AA3531" i="1"/>
  <c r="Z3531" i="1"/>
  <c r="Y3531" i="1"/>
  <c r="X3531" i="1"/>
  <c r="W3531" i="1"/>
  <c r="V3531" i="1"/>
  <c r="AH3530" i="1"/>
  <c r="AG3530" i="1"/>
  <c r="AF3530" i="1"/>
  <c r="AE3530" i="1"/>
  <c r="AD3530" i="1"/>
  <c r="AC3530" i="1"/>
  <c r="AB3530" i="1"/>
  <c r="AA3530" i="1"/>
  <c r="Z3530" i="1"/>
  <c r="Y3530" i="1"/>
  <c r="X3530" i="1"/>
  <c r="W3530" i="1"/>
  <c r="V3530" i="1"/>
  <c r="AH3529" i="1"/>
  <c r="AG3529" i="1"/>
  <c r="AF3529" i="1"/>
  <c r="AE3529" i="1"/>
  <c r="AD3529" i="1"/>
  <c r="AC3529" i="1"/>
  <c r="AB3529" i="1"/>
  <c r="AA3529" i="1"/>
  <c r="Z3529" i="1"/>
  <c r="Y3529" i="1"/>
  <c r="X3529" i="1"/>
  <c r="W3529" i="1"/>
  <c r="V3529" i="1"/>
  <c r="AH3528" i="1"/>
  <c r="AG3528" i="1"/>
  <c r="AF3528" i="1"/>
  <c r="AE3528" i="1"/>
  <c r="AD3528" i="1"/>
  <c r="AC3528" i="1"/>
  <c r="AB3528" i="1"/>
  <c r="AA3528" i="1"/>
  <c r="Z3528" i="1"/>
  <c r="Y3528" i="1"/>
  <c r="X3528" i="1"/>
  <c r="W3528" i="1"/>
  <c r="V3528" i="1"/>
  <c r="AH3527" i="1"/>
  <c r="AG3527" i="1"/>
  <c r="AF3527" i="1"/>
  <c r="AE3527" i="1"/>
  <c r="AD3527" i="1"/>
  <c r="AC3527" i="1"/>
  <c r="AB3527" i="1"/>
  <c r="AA3527" i="1"/>
  <c r="Z3527" i="1"/>
  <c r="Y3527" i="1"/>
  <c r="X3527" i="1"/>
  <c r="W3527" i="1"/>
  <c r="V3527" i="1"/>
  <c r="AH3526" i="1"/>
  <c r="AG3526" i="1"/>
  <c r="AF3526" i="1"/>
  <c r="AE3526" i="1"/>
  <c r="AD3526" i="1"/>
  <c r="AC3526" i="1"/>
  <c r="AB3526" i="1"/>
  <c r="AA3526" i="1"/>
  <c r="Z3526" i="1"/>
  <c r="Y3526" i="1"/>
  <c r="X3526" i="1"/>
  <c r="W3526" i="1"/>
  <c r="V3526" i="1"/>
  <c r="AH3525" i="1"/>
  <c r="AG3525" i="1"/>
  <c r="AF3525" i="1"/>
  <c r="AE3525" i="1"/>
  <c r="AD3525" i="1"/>
  <c r="AC3525" i="1"/>
  <c r="AB3525" i="1"/>
  <c r="AA3525" i="1"/>
  <c r="Z3525" i="1"/>
  <c r="Y3525" i="1"/>
  <c r="X3525" i="1"/>
  <c r="W3525" i="1"/>
  <c r="V3525" i="1"/>
  <c r="AH3524" i="1"/>
  <c r="AG3524" i="1"/>
  <c r="AF3524" i="1"/>
  <c r="AE3524" i="1"/>
  <c r="AD3524" i="1"/>
  <c r="AC3524" i="1"/>
  <c r="AB3524" i="1"/>
  <c r="AA3524" i="1"/>
  <c r="Z3524" i="1"/>
  <c r="Y3524" i="1"/>
  <c r="X3524" i="1"/>
  <c r="W3524" i="1"/>
  <c r="V3524" i="1"/>
  <c r="AH3523" i="1"/>
  <c r="AG3523" i="1"/>
  <c r="AF3523" i="1"/>
  <c r="AE3523" i="1"/>
  <c r="AD3523" i="1"/>
  <c r="AC3523" i="1"/>
  <c r="AB3523" i="1"/>
  <c r="AA3523" i="1"/>
  <c r="Z3523" i="1"/>
  <c r="Y3523" i="1"/>
  <c r="X3523" i="1"/>
  <c r="W3523" i="1"/>
  <c r="V3523" i="1"/>
  <c r="AH3522" i="1"/>
  <c r="AG3522" i="1"/>
  <c r="AF3522" i="1"/>
  <c r="AE3522" i="1"/>
  <c r="AD3522" i="1"/>
  <c r="AC3522" i="1"/>
  <c r="AB3522" i="1"/>
  <c r="AA3522" i="1"/>
  <c r="Z3522" i="1"/>
  <c r="Y3522" i="1"/>
  <c r="X3522" i="1"/>
  <c r="W3522" i="1"/>
  <c r="V3522" i="1"/>
  <c r="AH3521" i="1"/>
  <c r="AG3521" i="1"/>
  <c r="AF3521" i="1"/>
  <c r="AE3521" i="1"/>
  <c r="AD3521" i="1"/>
  <c r="AC3521" i="1"/>
  <c r="AB3521" i="1"/>
  <c r="AA3521" i="1"/>
  <c r="Z3521" i="1"/>
  <c r="Y3521" i="1"/>
  <c r="X3521" i="1"/>
  <c r="W3521" i="1"/>
  <c r="V3521" i="1"/>
  <c r="AH3520" i="1"/>
  <c r="AG3520" i="1"/>
  <c r="AF3520" i="1"/>
  <c r="AE3520" i="1"/>
  <c r="AD3520" i="1"/>
  <c r="AC3520" i="1"/>
  <c r="AB3520" i="1"/>
  <c r="AA3520" i="1"/>
  <c r="Z3520" i="1"/>
  <c r="Y3520" i="1"/>
  <c r="X3520" i="1"/>
  <c r="W3520" i="1"/>
  <c r="V3520" i="1"/>
  <c r="AH3519" i="1"/>
  <c r="AG3519" i="1"/>
  <c r="AF3519" i="1"/>
  <c r="AE3519" i="1"/>
  <c r="AD3519" i="1"/>
  <c r="AC3519" i="1"/>
  <c r="AB3519" i="1"/>
  <c r="AA3519" i="1"/>
  <c r="Z3519" i="1"/>
  <c r="Y3519" i="1"/>
  <c r="X3519" i="1"/>
  <c r="W3519" i="1"/>
  <c r="V3519" i="1"/>
  <c r="AH3518" i="1"/>
  <c r="AG3518" i="1"/>
  <c r="AF3518" i="1"/>
  <c r="AE3518" i="1"/>
  <c r="AD3518" i="1"/>
  <c r="AC3518" i="1"/>
  <c r="AB3518" i="1"/>
  <c r="AA3518" i="1"/>
  <c r="Z3518" i="1"/>
  <c r="Y3518" i="1"/>
  <c r="X3518" i="1"/>
  <c r="W3518" i="1"/>
  <c r="V3518" i="1"/>
  <c r="AH3517" i="1"/>
  <c r="AG3517" i="1"/>
  <c r="AF3517" i="1"/>
  <c r="AE3517" i="1"/>
  <c r="AD3517" i="1"/>
  <c r="AC3517" i="1"/>
  <c r="AB3517" i="1"/>
  <c r="AA3517" i="1"/>
  <c r="Z3517" i="1"/>
  <c r="Y3517" i="1"/>
  <c r="X3517" i="1"/>
  <c r="W3517" i="1"/>
  <c r="V3517" i="1"/>
  <c r="AH3516" i="1"/>
  <c r="AG3516" i="1"/>
  <c r="AF3516" i="1"/>
  <c r="AE3516" i="1"/>
  <c r="AD3516" i="1"/>
  <c r="AC3516" i="1"/>
  <c r="AB3516" i="1"/>
  <c r="AA3516" i="1"/>
  <c r="Z3516" i="1"/>
  <c r="Y3516" i="1"/>
  <c r="X3516" i="1"/>
  <c r="W3516" i="1"/>
  <c r="V3516" i="1"/>
  <c r="AH3515" i="1"/>
  <c r="AG3515" i="1"/>
  <c r="AF3515" i="1"/>
  <c r="AE3515" i="1"/>
  <c r="AD3515" i="1"/>
  <c r="AC3515" i="1"/>
  <c r="AB3515" i="1"/>
  <c r="AA3515" i="1"/>
  <c r="Z3515" i="1"/>
  <c r="Y3515" i="1"/>
  <c r="X3515" i="1"/>
  <c r="W3515" i="1"/>
  <c r="V3515" i="1"/>
  <c r="AH3514" i="1"/>
  <c r="AG3514" i="1"/>
  <c r="AF3514" i="1"/>
  <c r="AE3514" i="1"/>
  <c r="AD3514" i="1"/>
  <c r="AC3514" i="1"/>
  <c r="AB3514" i="1"/>
  <c r="AA3514" i="1"/>
  <c r="Z3514" i="1"/>
  <c r="Y3514" i="1"/>
  <c r="X3514" i="1"/>
  <c r="W3514" i="1"/>
  <c r="V3514" i="1"/>
  <c r="AH3513" i="1"/>
  <c r="AG3513" i="1"/>
  <c r="AF3513" i="1"/>
  <c r="AE3513" i="1"/>
  <c r="AD3513" i="1"/>
  <c r="AC3513" i="1"/>
  <c r="AB3513" i="1"/>
  <c r="AA3513" i="1"/>
  <c r="Z3513" i="1"/>
  <c r="Y3513" i="1"/>
  <c r="X3513" i="1"/>
  <c r="W3513" i="1"/>
  <c r="V3513" i="1"/>
  <c r="AH3512" i="1"/>
  <c r="AG3512" i="1"/>
  <c r="AF3512" i="1"/>
  <c r="AE3512" i="1"/>
  <c r="AD3512" i="1"/>
  <c r="AC3512" i="1"/>
  <c r="AB3512" i="1"/>
  <c r="AA3512" i="1"/>
  <c r="Z3512" i="1"/>
  <c r="Y3512" i="1"/>
  <c r="X3512" i="1"/>
  <c r="W3512" i="1"/>
  <c r="V3512" i="1"/>
  <c r="AH3511" i="1"/>
  <c r="AG3511" i="1"/>
  <c r="AF3511" i="1"/>
  <c r="AE3511" i="1"/>
  <c r="AD3511" i="1"/>
  <c r="AC3511" i="1"/>
  <c r="AB3511" i="1"/>
  <c r="AA3511" i="1"/>
  <c r="Z3511" i="1"/>
  <c r="Y3511" i="1"/>
  <c r="X3511" i="1"/>
  <c r="W3511" i="1"/>
  <c r="V3511" i="1"/>
  <c r="AH3510" i="1"/>
  <c r="AG3510" i="1"/>
  <c r="AF3510" i="1"/>
  <c r="AE3510" i="1"/>
  <c r="AD3510" i="1"/>
  <c r="AC3510" i="1"/>
  <c r="AB3510" i="1"/>
  <c r="AA3510" i="1"/>
  <c r="Z3510" i="1"/>
  <c r="Y3510" i="1"/>
  <c r="X3510" i="1"/>
  <c r="W3510" i="1"/>
  <c r="V3510" i="1"/>
  <c r="AH3509" i="1"/>
  <c r="AG3509" i="1"/>
  <c r="AF3509" i="1"/>
  <c r="AE3509" i="1"/>
  <c r="AD3509" i="1"/>
  <c r="AC3509" i="1"/>
  <c r="AB3509" i="1"/>
  <c r="AA3509" i="1"/>
  <c r="Z3509" i="1"/>
  <c r="Y3509" i="1"/>
  <c r="X3509" i="1"/>
  <c r="W3509" i="1"/>
  <c r="V3509" i="1"/>
  <c r="AH3508" i="1"/>
  <c r="AG3508" i="1"/>
  <c r="AF3508" i="1"/>
  <c r="AE3508" i="1"/>
  <c r="AD3508" i="1"/>
  <c r="AC3508" i="1"/>
  <c r="AB3508" i="1"/>
  <c r="AA3508" i="1"/>
  <c r="Z3508" i="1"/>
  <c r="Y3508" i="1"/>
  <c r="X3508" i="1"/>
  <c r="W3508" i="1"/>
  <c r="V3508" i="1"/>
  <c r="AH3507" i="1"/>
  <c r="AG3507" i="1"/>
  <c r="AF3507" i="1"/>
  <c r="AE3507" i="1"/>
  <c r="AD3507" i="1"/>
  <c r="AC3507" i="1"/>
  <c r="AB3507" i="1"/>
  <c r="AA3507" i="1"/>
  <c r="Z3507" i="1"/>
  <c r="Y3507" i="1"/>
  <c r="X3507" i="1"/>
  <c r="W3507" i="1"/>
  <c r="V3507" i="1"/>
  <c r="AH3506" i="1"/>
  <c r="AG3506" i="1"/>
  <c r="AF3506" i="1"/>
  <c r="AE3506" i="1"/>
  <c r="AD3506" i="1"/>
  <c r="AC3506" i="1"/>
  <c r="AB3506" i="1"/>
  <c r="AA3506" i="1"/>
  <c r="Z3506" i="1"/>
  <c r="Y3506" i="1"/>
  <c r="X3506" i="1"/>
  <c r="W3506" i="1"/>
  <c r="V3506" i="1"/>
  <c r="AH3505" i="1"/>
  <c r="AG3505" i="1"/>
  <c r="AF3505" i="1"/>
  <c r="AE3505" i="1"/>
  <c r="AD3505" i="1"/>
  <c r="AC3505" i="1"/>
  <c r="AB3505" i="1"/>
  <c r="AA3505" i="1"/>
  <c r="Z3505" i="1"/>
  <c r="Y3505" i="1"/>
  <c r="X3505" i="1"/>
  <c r="W3505" i="1"/>
  <c r="V3505" i="1"/>
  <c r="AH3504" i="1"/>
  <c r="AG3504" i="1"/>
  <c r="AF3504" i="1"/>
  <c r="AE3504" i="1"/>
  <c r="AD3504" i="1"/>
  <c r="AC3504" i="1"/>
  <c r="AB3504" i="1"/>
  <c r="AA3504" i="1"/>
  <c r="Z3504" i="1"/>
  <c r="Y3504" i="1"/>
  <c r="X3504" i="1"/>
  <c r="W3504" i="1"/>
  <c r="V3504" i="1"/>
  <c r="AH3503" i="1"/>
  <c r="AG3503" i="1"/>
  <c r="AF3503" i="1"/>
  <c r="AE3503" i="1"/>
  <c r="AD3503" i="1"/>
  <c r="AC3503" i="1"/>
  <c r="AB3503" i="1"/>
  <c r="AA3503" i="1"/>
  <c r="Z3503" i="1"/>
  <c r="Y3503" i="1"/>
  <c r="X3503" i="1"/>
  <c r="W3503" i="1"/>
  <c r="V3503" i="1"/>
  <c r="AH3502" i="1"/>
  <c r="AG3502" i="1"/>
  <c r="AF3502" i="1"/>
  <c r="AE3502" i="1"/>
  <c r="AD3502" i="1"/>
  <c r="AC3502" i="1"/>
  <c r="AB3502" i="1"/>
  <c r="AA3502" i="1"/>
  <c r="Z3502" i="1"/>
  <c r="Y3502" i="1"/>
  <c r="X3502" i="1"/>
  <c r="W3502" i="1"/>
  <c r="V3502" i="1"/>
  <c r="AH3501" i="1"/>
  <c r="AG3501" i="1"/>
  <c r="AF3501" i="1"/>
  <c r="AE3501" i="1"/>
  <c r="AD3501" i="1"/>
  <c r="AC3501" i="1"/>
  <c r="AB3501" i="1"/>
  <c r="AA3501" i="1"/>
  <c r="Z3501" i="1"/>
  <c r="Y3501" i="1"/>
  <c r="X3501" i="1"/>
  <c r="W3501" i="1"/>
  <c r="V3501" i="1"/>
  <c r="AH3500" i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G96" i="4"/>
  <c r="D3" i="4"/>
  <c r="G4" i="4"/>
  <c r="E264" i="4"/>
  <c r="G69" i="4"/>
  <c r="C3" i="4"/>
  <c r="D264" i="4"/>
  <c r="G68" i="4"/>
  <c r="G97" i="4"/>
  <c r="E98" i="4"/>
  <c r="G5" i="4"/>
  <c r="E97" i="4"/>
  <c r="G3" i="4"/>
  <c r="G7" i="4" l="1"/>
  <c r="G6" i="4"/>
  <c r="A4" i="2"/>
  <c r="A12" i="2"/>
  <c r="A20" i="2"/>
  <c r="A7" i="2"/>
  <c r="A15" i="2"/>
  <c r="A8" i="2"/>
  <c r="A16" i="2"/>
  <c r="A2" i="2"/>
  <c r="A9" i="2"/>
  <c r="A17" i="2"/>
  <c r="A10" i="2"/>
  <c r="A18" i="2"/>
  <c r="A3" i="2"/>
  <c r="A11" i="2"/>
  <c r="F264" i="4"/>
</calcChain>
</file>

<file path=xl/sharedStrings.xml><?xml version="1.0" encoding="utf-8"?>
<sst xmlns="http://schemas.openxmlformats.org/spreadsheetml/2006/main" count="21796" uniqueCount="257">
  <si>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</si>
  <si>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</si>
  <si>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</si>
  <si>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</si>
  <si>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</si>
  <si>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</si>
  <si>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</si>
  <si>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</si>
  <si>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</si>
  <si>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</si>
  <si>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</si>
  <si>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</si>
  <si>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</si>
  <si>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</si>
  <si>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</si>
  <si>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</si>
  <si>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</si>
  <si>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</si>
  <si>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</si>
  <si>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</si>
  <si>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</si>
  <si>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</si>
  <si>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</si>
  <si>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</si>
  <si>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</si>
  <si>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</si>
  <si>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</si>
  <si>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</si>
  <si>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</si>
  <si>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</si>
  <si>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</si>
  <si>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</si>
  <si>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</si>
  <si>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</si>
  <si>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</si>
  <si>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</si>
  <si>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</si>
  <si>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</si>
  <si>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</si>
  <si>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</si>
  <si>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</si>
  <si>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</si>
  <si>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</si>
  <si>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</si>
  <si>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</si>
  <si>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</si>
  <si>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</si>
  <si>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</si>
  <si>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</si>
  <si>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</si>
  <si>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</si>
  <si>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</si>
  <si>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</si>
  <si>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</si>
  <si>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</si>
  <si>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</si>
  <si>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</si>
  <si>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</si>
  <si>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</si>
  <si>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</si>
  <si>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</si>
  <si>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</si>
  <si>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</si>
  <si>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</si>
  <si>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</si>
  <si>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</si>
  <si>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</si>
  <si>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</si>
  <si>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</si>
  <si>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</si>
  <si>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</si>
  <si>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</si>
  <si>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</si>
  <si>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</si>
  <si>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</si>
  <si>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</si>
  <si>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Column Name</t>
  </si>
  <si>
    <t>Missing Values</t>
  </si>
  <si>
    <t>Check</t>
  </si>
  <si>
    <t>Result</t>
  </si>
  <si>
    <t>No</t>
  </si>
  <si>
    <t>Duplicate Rows</t>
  </si>
  <si>
    <t>Column</t>
  </si>
  <si>
    <t>Data Type</t>
  </si>
  <si>
    <t>Category</t>
  </si>
  <si>
    <t>Description</t>
  </si>
  <si>
    <t>Text</t>
  </si>
  <si>
    <t>Categorical</t>
  </si>
  <si>
    <t>Customer's state</t>
  </si>
  <si>
    <t>Number</t>
  </si>
  <si>
    <t>Numerical</t>
  </si>
  <si>
    <t>Months with company</t>
  </si>
  <si>
    <t>Area code</t>
  </si>
  <si>
    <t>Binary</t>
  </si>
  <si>
    <t>Yes/No</t>
  </si>
  <si>
    <t>Voice mail messages</t>
  </si>
  <si>
    <t>Day usage (minutes)</t>
  </si>
  <si>
    <t>Day calls</t>
  </si>
  <si>
    <t>Day charges</t>
  </si>
  <si>
    <t>Evening usage</t>
  </si>
  <si>
    <t>Evening calls</t>
  </si>
  <si>
    <t>Evening charges</t>
  </si>
  <si>
    <t>Night usage</t>
  </si>
  <si>
    <t>Night calls</t>
  </si>
  <si>
    <t>Night charges</t>
  </si>
  <si>
    <t>International minutes</t>
  </si>
  <si>
    <t>International calls</t>
  </si>
  <si>
    <t>International charges</t>
  </si>
  <si>
    <t>Customer service calls</t>
  </si>
  <si>
    <t>Target Variable</t>
  </si>
  <si>
    <t>Customer left or stayed</t>
  </si>
  <si>
    <t>Grand Total</t>
  </si>
  <si>
    <t>Count of churn</t>
  </si>
  <si>
    <t>Total Customers</t>
  </si>
  <si>
    <t>Churn</t>
  </si>
  <si>
    <t>Retention Rate</t>
  </si>
  <si>
    <t>Churn Rate</t>
  </si>
  <si>
    <t>Churned Customers</t>
  </si>
  <si>
    <t>Active Customers</t>
  </si>
  <si>
    <t>KPIs</t>
  </si>
  <si>
    <t>Values</t>
  </si>
  <si>
    <t>Column Labels</t>
  </si>
  <si>
    <t>State</t>
  </si>
  <si>
    <t>Metric</t>
  </si>
  <si>
    <t>Highest Churn State</t>
  </si>
  <si>
    <t>Highest Churn Rate</t>
  </si>
  <si>
    <t>Lowest Churn State</t>
  </si>
  <si>
    <t>Lowest Churn Rate</t>
  </si>
  <si>
    <t>churn rate</t>
  </si>
  <si>
    <t>Yes</t>
  </si>
  <si>
    <t>Average_customer_service_calls</t>
  </si>
  <si>
    <t>Customer Type</t>
  </si>
  <si>
    <t>Average of account_length</t>
  </si>
  <si>
    <t>Average of total_eve_charge</t>
  </si>
  <si>
    <t>Avg Evening Charge</t>
  </si>
  <si>
    <t>Avd Day Charge</t>
  </si>
  <si>
    <t>Avg Night Charge</t>
  </si>
  <si>
    <t>Average of total_day_minutes</t>
  </si>
  <si>
    <t>Voice Mail Plan</t>
  </si>
  <si>
    <t>Churn rate</t>
  </si>
  <si>
    <t>Avg International_Charges</t>
  </si>
  <si>
    <t>Avg_Internationall_Minutes</t>
  </si>
  <si>
    <t>Churn_Flag</t>
  </si>
  <si>
    <t>correlation between the number of total day calls and churn</t>
  </si>
  <si>
    <t>Area Code</t>
  </si>
  <si>
    <t>Service_Call_Group</t>
  </si>
  <si>
    <t>0-1 Calls</t>
  </si>
  <si>
    <t>2-3 Calls</t>
  </si>
  <si>
    <t>4-5 Calls</t>
  </si>
  <si>
    <t>6+ Calls</t>
  </si>
  <si>
    <t>Service Call Group</t>
  </si>
  <si>
    <t>Account_Tenure_Group</t>
  </si>
  <si>
    <t>correlation between account length and churn.</t>
  </si>
  <si>
    <t>0-50</t>
  </si>
  <si>
    <t>101-150</t>
  </si>
  <si>
    <t>151+</t>
  </si>
  <si>
    <t>51-100</t>
  </si>
  <si>
    <t>Acc Tennure Group</t>
  </si>
  <si>
    <t>Intl_Charge_Group</t>
  </si>
  <si>
    <t>High Charges</t>
  </si>
  <si>
    <t>Low Charges</t>
  </si>
  <si>
    <t>Int Charge Group</t>
  </si>
  <si>
    <t/>
  </si>
  <si>
    <t>Evening_Call_Group</t>
  </si>
  <si>
    <t>Evening_Charge_Group</t>
  </si>
  <si>
    <t>High Calls</t>
  </si>
  <si>
    <t>Low Calls</t>
  </si>
  <si>
    <t>Medium Calls</t>
  </si>
  <si>
    <t>Eve Call group</t>
  </si>
  <si>
    <t>Medium Charges</t>
  </si>
  <si>
    <t>Eve Call Charges</t>
  </si>
  <si>
    <t>Customer_Segment</t>
  </si>
  <si>
    <t>Balanced User</t>
  </si>
  <si>
    <t>Heavy Doemstic User</t>
  </si>
  <si>
    <t>Interntional User</t>
  </si>
  <si>
    <t>Light User</t>
  </si>
  <si>
    <t>Customer Segment</t>
  </si>
  <si>
    <t>VM_Message_Group</t>
  </si>
  <si>
    <t>High Usage</t>
  </si>
  <si>
    <t>Low Usage</t>
  </si>
  <si>
    <t>Medium Usgae</t>
  </si>
  <si>
    <t>No Usage</t>
  </si>
  <si>
    <t>Day_Usage_Group</t>
  </si>
  <si>
    <t>Medium Usage</t>
  </si>
  <si>
    <t>Very High Usage</t>
  </si>
  <si>
    <t>Day Usage Group</t>
  </si>
  <si>
    <t>Avg Day Minutes</t>
  </si>
  <si>
    <t>Intl_Call_Group</t>
  </si>
  <si>
    <t>Int Call Group</t>
  </si>
  <si>
    <t>Ques 10. The dataset does not contain detailed customer service call reason information, therefore a reason-level churn analysis cannot be performed.</t>
  </si>
  <si>
    <t>Variable</t>
  </si>
  <si>
    <t>Impact</t>
  </si>
  <si>
    <t>Customer Service Calls &gt;3</t>
  </si>
  <si>
    <t>Very High</t>
  </si>
  <si>
    <t>International Plan = Yes</t>
  </si>
  <si>
    <t>International Charges High</t>
  </si>
  <si>
    <t>Day Minutes &gt;250</t>
  </si>
  <si>
    <t>Voice Mail Plan = No</t>
  </si>
  <si>
    <t>Moderate</t>
  </si>
  <si>
    <t>Heavy Domestic User</t>
  </si>
  <si>
    <t>Condition</t>
  </si>
  <si>
    <t>Points</t>
  </si>
  <si>
    <t>Customer Service Calls ≥4</t>
  </si>
  <si>
    <t>International Charges = High</t>
  </si>
  <si>
    <t>Assign Risk Points:-</t>
  </si>
  <si>
    <t>Churn_Risk_Score</t>
  </si>
  <si>
    <t>Risk_Category</t>
  </si>
  <si>
    <t>High Risk</t>
  </si>
  <si>
    <t>Low Risk</t>
  </si>
  <si>
    <t>Medium Risk</t>
  </si>
  <si>
    <t>Risk Categry</t>
  </si>
  <si>
    <t>ADV QUES.2: Due to the absence of temporal variables, time series decomposition and seasonality analysis could not be performed.</t>
  </si>
  <si>
    <t>Segment</t>
  </si>
  <si>
    <t>Characteristics</t>
  </si>
  <si>
    <t>Balanced Users</t>
  </si>
  <si>
    <t>Moderate usage across all services</t>
  </si>
  <si>
    <t>International Users</t>
  </si>
  <si>
    <t>High international service usage</t>
  </si>
  <si>
    <t>Light Users</t>
  </si>
  <si>
    <t>Low usage across services</t>
  </si>
  <si>
    <t>Heavy Domestic Users</t>
  </si>
  <si>
    <t>High day and evening usage</t>
  </si>
  <si>
    <t>Customer Segmentation Analysis</t>
  </si>
  <si>
    <t>Customers were segmented into four groups based on their service usage patterns:</t>
  </si>
  <si>
    <t>Strategy</t>
  </si>
  <si>
    <t>Premium plans and discounts</t>
  </si>
  <si>
    <t>Improve international plan value</t>
  </si>
  <si>
    <t>Engagement campaigns</t>
  </si>
  <si>
    <t>Loyalty programs</t>
  </si>
  <si>
    <t>Business Recommendation</t>
  </si>
  <si>
    <t>The company should adopt different retention strategies for each segment:</t>
  </si>
  <si>
    <t>All</t>
  </si>
  <si>
    <t>Daily Usage Group</t>
  </si>
  <si>
    <t>Interaction</t>
  </si>
  <si>
    <t>International Plan × International Charges</t>
  </si>
  <si>
    <t>Very Strong</t>
  </si>
  <si>
    <t>Voice Mail Plan × Voice Mail Usage</t>
  </si>
  <si>
    <t>Day Minutes × Churn</t>
  </si>
  <si>
    <t>International Calls × International Plan</t>
  </si>
  <si>
    <t>Weak</t>
  </si>
  <si>
    <t>Estimated_Monthly_Revenue</t>
  </si>
  <si>
    <t>ARPU</t>
  </si>
  <si>
    <t>Revenue Loss/month</t>
  </si>
  <si>
    <t>CLV</t>
  </si>
  <si>
    <t>Avg of acc_length</t>
  </si>
  <si>
    <t>Total CLV Cost</t>
  </si>
  <si>
    <t>Value</t>
  </si>
  <si>
    <t>Average Revenue Per User (ARPU)</t>
  </si>
  <si>
    <t>₹59.45/month</t>
  </si>
  <si>
    <t>Average Customer Lifetime</t>
  </si>
  <si>
    <t>100.24 months</t>
  </si>
  <si>
    <t>Monthly Revenue Loss</t>
  </si>
  <si>
    <t>Customer Lifetime Value (CLV)</t>
  </si>
  <si>
    <t>₹5,959.37 per customer</t>
  </si>
  <si>
    <t>Total CLV Loss from Churn</t>
  </si>
  <si>
    <t>Plan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</si>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</sst>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0.0%"/>
    <numFmt numFmtId="165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5" xfId="0" applyFont="1" applyFill="1" applyBorder="1"/>
    <xf numFmtId="164" fontId="0" fillId="0" borderId="0" xfId="1" applyNumberFormat="1" applyFont="1"/>
    <xf numFmtId="0" fontId="2" fillId="0" borderId="0" xfId="0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164" fontId="0" fillId="0" borderId="4" xfId="0" applyNumberFormat="1" applyBorder="1" applyAlignment="1">
      <alignment horizontal="right" vertical="center" wrapText="1"/>
    </xf>
    <xf numFmtId="0" fontId="0" fillId="4" borderId="0" xfId="0" applyFill="1"/>
    <xf numFmtId="10" fontId="0" fillId="0" borderId="0" xfId="0" applyNumberFormat="1"/>
    <xf numFmtId="10" fontId="2" fillId="0" borderId="0" xfId="0" applyNumberFormat="1" applyFont="1" applyAlignment="1">
      <alignment horizontal="center" vertical="center" wrapText="1"/>
    </xf>
    <xf numFmtId="10" fontId="0" fillId="0" borderId="4" xfId="1" applyNumberFormat="1" applyFont="1" applyBorder="1" applyAlignment="1">
      <alignment horizontal="right" vertical="center" wrapText="1"/>
    </xf>
    <xf numFmtId="2" fontId="0" fillId="0" borderId="0" xfId="0" applyNumberFormat="1"/>
    <xf numFmtId="2" fontId="0" fillId="0" borderId="0" xfId="0" applyNumberFormat="1" applyAlignment="1">
      <alignment horizontal="right" vertical="center" wrapText="1"/>
    </xf>
    <xf numFmtId="10" fontId="0" fillId="0" borderId="0" xfId="1" applyNumberFormat="1" applyFont="1"/>
    <xf numFmtId="0" fontId="4" fillId="0" borderId="0" xfId="0" applyFont="1"/>
    <xf numFmtId="10" fontId="0" fillId="0" borderId="0" xfId="0" applyNumberForma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10" fontId="2" fillId="0" borderId="4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5" fillId="0" borderId="0" xfId="0" applyFont="1"/>
    <xf numFmtId="10" fontId="0" fillId="0" borderId="4" xfId="0" applyNumberFormat="1" applyBorder="1" applyAlignment="1">
      <alignment horizontal="right" vertical="center" wrapText="1"/>
    </xf>
    <xf numFmtId="0" fontId="0" fillId="0" borderId="4" xfId="0" applyBorder="1" applyAlignment="1">
      <alignment horizontal="left"/>
    </xf>
    <xf numFmtId="2" fontId="0" fillId="0" borderId="0" xfId="0" applyNumberFormat="1" applyAlignment="1">
      <alignment horizontal="center"/>
    </xf>
    <xf numFmtId="0" fontId="2" fillId="3" borderId="5" xfId="0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left"/>
    </xf>
    <xf numFmtId="8" fontId="2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3" borderId="4" xfId="0" applyFont="1" applyFill="1" applyBorder="1"/>
    <xf numFmtId="10" fontId="0" fillId="0" borderId="4" xfId="0" applyNumberFormat="1" applyBorder="1"/>
    <xf numFmtId="10" fontId="0" fillId="0" borderId="4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51"/>
  <sheetViews>
    <sheetView tabSelected="1" workbookViewId="0">
      <selection activeCell="I17" sqref="I17"/>
    </sheetView>
  </sheetViews>
  <sheetFormatPr defaultRowHeight="14.5" x14ac:dyDescent="0.35"/>
  <sheetData>
    <row r="1" spans="1:34" x14ac:dyDescent="0.3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142</v>
      </c>
      <c r="W1" s="1" t="s">
        <v>145</v>
      </c>
      <c r="X1" s="1" t="s">
        <v>151</v>
      </c>
      <c r="Y1" s="1" t="s">
        <v>158</v>
      </c>
      <c r="Z1" s="1" t="s">
        <v>163</v>
      </c>
      <c r="AA1" s="1" t="s">
        <v>164</v>
      </c>
      <c r="AB1" s="1" t="s">
        <v>171</v>
      </c>
      <c r="AC1" s="1" t="s">
        <v>177</v>
      </c>
      <c r="AD1" s="1" t="s">
        <v>182</v>
      </c>
      <c r="AE1" s="1" t="s">
        <v>187</v>
      </c>
      <c r="AF1" s="1" t="s">
        <v>205</v>
      </c>
      <c r="AG1" s="1" t="s">
        <v>206</v>
      </c>
      <c r="AH1" s="1" t="s">
        <v>240</v>
      </c>
    </row>
    <row r="2" spans="1:34" x14ac:dyDescent="0.35">
      <c r="A2">
        <v>1</v>
      </c>
      <c r="B2" t="s">
        <v>20</v>
      </c>
      <c r="C2">
        <v>107</v>
      </c>
      <c r="D2" t="s">
        <v>21</v>
      </c>
      <c r="E2" t="s">
        <v>22</v>
      </c>
      <c r="F2" t="s">
        <v>23</v>
      </c>
      <c r="G2">
        <v>26</v>
      </c>
      <c r="H2">
        <v>161.6</v>
      </c>
      <c r="I2">
        <v>123</v>
      </c>
      <c r="J2">
        <v>27.47</v>
      </c>
      <c r="K2">
        <v>195.5</v>
      </c>
      <c r="L2">
        <v>103</v>
      </c>
      <c r="M2">
        <v>16.62</v>
      </c>
      <c r="N2">
        <v>254.4</v>
      </c>
      <c r="O2">
        <v>103</v>
      </c>
      <c r="P2">
        <v>11.45</v>
      </c>
      <c r="Q2">
        <v>13.7</v>
      </c>
      <c r="R2">
        <v>3</v>
      </c>
      <c r="S2">
        <v>3.7</v>
      </c>
      <c r="T2">
        <v>1</v>
      </c>
      <c r="U2" t="s">
        <v>22</v>
      </c>
      <c r="V2" t="e">
        <f>IF(#REF! = "yes", 1, 0)</f>
        <v>#REF!</v>
      </c>
      <c r="W2" t="e">
        <f>IF(#REF! &lt;= 1, "0-1 Calls", IF(#REF! &lt;= 3, "2-3 Calls", IF(#REF! &lt;=5, "4-5 Calls", "6+ Calls")))</f>
        <v>#REF!</v>
      </c>
      <c r="X2" t="e">
        <f>IF(#REF! &lt;= 50, "0-50", IF(#REF! &lt;=100, "51-100", IF(#REF! &lt;= 150, "101-150", "151+")))</f>
        <v>#REF!</v>
      </c>
      <c r="Y2" t="e">
        <f>IF(#REF! &lt;= 3, "Low Charges", "High Charges")</f>
        <v>#REF!</v>
      </c>
      <c r="Z2" t="e">
        <f>IF(#REF!&lt;=80,"Low Calls",
IF(#REF!&lt;=120,"Medium Calls","High Calls"))</f>
        <v>#REF!</v>
      </c>
      <c r="AA2" t="e">
        <f>IF(#REF!&lt;=15,"Low Charges",
IF(#REF!&lt;=20,"Medium Charges","High Charges"))</f>
        <v>#REF!</v>
      </c>
      <c r="AB2" t="e">
        <f>IF(AND(#REF!&gt;180, #REF!&gt;200), "Heavy Doemstic User", IF(#REF!&gt;10, "Interntional User", IF(AND(#REF!&lt;180, #REF!&lt;200,#REF!&lt;200), "Light User", "Balanced User")))</f>
        <v>#REF!</v>
      </c>
      <c r="AC2" t="e">
        <f>IF(#REF! = 0, "No Usage", IF(#REF! &lt;= 20, "Low Usage", IF(#REF! &lt;= 40, "Medium Usgae", "High Usage")))</f>
        <v>#REF!</v>
      </c>
      <c r="AD2" t="e">
        <f>IF(#REF!&lt;=150,"Low Usage", IF(#REF!&lt;=200,"Medium Usage", IF(#REF!&lt;=250,"High Usage","Very High Usage")))</f>
        <v>#REF!</v>
      </c>
      <c r="AE2" t="e">
        <f>IF(#REF!&lt;=5,"Low Calls", IF(#REF!&lt;=10, "Medium Calls", "High Calls"))</f>
        <v>#REF!</v>
      </c>
      <c r="AF2" t="e">
        <f xml:space="preserve">
IF(#REF!&gt;=4,4,0)+
IF(#REF!="yes",3,0)+
IF(#REF!="High Charges",3,0)+
IF(#REF!&gt;250,4,0)+
IF(#REF!="no",1,0)+
IF(#REF!="Heavy Domestic User",2,0)</f>
        <v>#REF!</v>
      </c>
      <c r="AG2" t="e">
        <f>IF(#REF!&gt;=10,"High Risk", IF(#REF!&gt;=5,"Medium Risk","Low Risk"))</f>
        <v>#REF!</v>
      </c>
      <c r="AH2" t="e">
        <f>#REF! + #REF! + #REF! + #REF!</f>
        <v>#REF!</v>
      </c>
    </row>
    <row r="3" spans="1:34" x14ac:dyDescent="0.35">
      <c r="A3">
        <v>2</v>
      </c>
      <c r="B3" t="s">
        <v>24</v>
      </c>
      <c r="C3">
        <v>137</v>
      </c>
      <c r="D3" t="s">
        <v>21</v>
      </c>
      <c r="E3" t="s">
        <v>22</v>
      </c>
      <c r="F3" t="s">
        <v>22</v>
      </c>
      <c r="G3">
        <v>0</v>
      </c>
      <c r="H3">
        <v>243.4</v>
      </c>
      <c r="I3">
        <v>114</v>
      </c>
      <c r="J3">
        <v>41.38</v>
      </c>
      <c r="K3">
        <v>121.2</v>
      </c>
      <c r="L3">
        <v>110</v>
      </c>
      <c r="M3">
        <v>10.3</v>
      </c>
      <c r="N3">
        <v>162.6</v>
      </c>
      <c r="O3">
        <v>104</v>
      </c>
      <c r="P3">
        <v>7.32</v>
      </c>
      <c r="Q3">
        <v>12.2</v>
      </c>
      <c r="R3">
        <v>5</v>
      </c>
      <c r="S3">
        <v>3.29</v>
      </c>
      <c r="T3">
        <v>0</v>
      </c>
      <c r="U3" t="s">
        <v>22</v>
      </c>
      <c r="V3" t="e">
        <f>IF(#REF! = "yes", 1, 0)</f>
        <v>#REF!</v>
      </c>
      <c r="W3" t="e">
        <f>IF(#REF! &lt;= 1, "0-1 Calls", IF(#REF! &lt;= 3, "2-3 Calls", IF(#REF! &lt;=5, "4-5 Calls", "6+ Calls")))</f>
        <v>#REF!</v>
      </c>
      <c r="X3" t="e">
        <f>IF(#REF! &lt;= 50, "0-50", IF(#REF! &lt;=100, "51-100", IF(#REF! &lt;= 150, "101-150", "151+")))</f>
        <v>#REF!</v>
      </c>
      <c r="Y3" t="e">
        <f>IF(#REF! &lt;= 3, "Low Charges", "High Charges")</f>
        <v>#REF!</v>
      </c>
      <c r="Z3" t="e">
        <f>IF(#REF!&lt;=80,"Low Calls",
IF(#REF!&lt;=120,"Medium Calls","High Calls"))</f>
        <v>#REF!</v>
      </c>
      <c r="AA3" t="e">
        <f>IF(#REF!&lt;=15,"Low Charges",
IF(#REF!&lt;=20,"Medium Charges","High Charges"))</f>
        <v>#REF!</v>
      </c>
      <c r="AB3" t="e">
        <f>IF(AND(#REF!&gt;180, #REF!&gt;200), "Heavy Doemstic User", IF(#REF!&gt;10, "Interntional User", IF(AND(#REF!&lt;180, #REF!&lt;200,#REF!&lt;200), "Light User", "Balanced User")))</f>
        <v>#REF!</v>
      </c>
      <c r="AC3" t="e">
        <f>IF(#REF! = 0, "No Usage", IF(#REF! &lt;= 20, "Low Usage", IF(#REF! &lt;= 40, "Medium Usgae", "High Usage")))</f>
        <v>#REF!</v>
      </c>
      <c r="AD3" t="e">
        <f>IF(#REF!&lt;=150,"Low Usage", IF(#REF!&lt;=200,"Medium Usage", IF(#REF!&lt;=250,"High Usage","Very High Usage")))</f>
        <v>#REF!</v>
      </c>
      <c r="AE3" t="e">
        <f>IF(#REF!&lt;=5,"Low Calls", IF(#REF!&lt;=10, "Medium Calls", "High Calls"))</f>
        <v>#REF!</v>
      </c>
      <c r="AF3" t="e">
        <f xml:space="preserve">
IF(#REF!&gt;=4,4,0)+
IF(#REF!="yes",3,0)+
IF(#REF!="High Charges",3,0)+
IF(#REF!&gt;250,4,0)+
IF(#REF!="no",1,0)+
IF(#REF!="Heavy Domestic User",2,0)</f>
        <v>#REF!</v>
      </c>
      <c r="AG3" t="e">
        <f>IF(#REF!&gt;=10,"High Risk", IF(#REF!&gt;=5,"Medium Risk","Low Risk"))</f>
        <v>#REF!</v>
      </c>
      <c r="AH3" t="e">
        <f>#REF! + #REF! + #REF! + #REF!</f>
        <v>#REF!</v>
      </c>
    </row>
    <row r="4" spans="1:34" x14ac:dyDescent="0.35">
      <c r="A4">
        <v>3</v>
      </c>
      <c r="B4" t="s">
        <v>20</v>
      </c>
      <c r="C4">
        <v>84</v>
      </c>
      <c r="D4" t="s">
        <v>25</v>
      </c>
      <c r="E4" t="s">
        <v>23</v>
      </c>
      <c r="F4" t="s">
        <v>22</v>
      </c>
      <c r="G4">
        <v>0</v>
      </c>
      <c r="H4">
        <v>299.39999999999998</v>
      </c>
      <c r="I4">
        <v>71</v>
      </c>
      <c r="J4">
        <v>50.9</v>
      </c>
      <c r="K4">
        <v>61.9</v>
      </c>
      <c r="L4">
        <v>88</v>
      </c>
      <c r="M4">
        <v>5.26</v>
      </c>
      <c r="N4">
        <v>196.9</v>
      </c>
      <c r="O4">
        <v>89</v>
      </c>
      <c r="P4">
        <v>8.86</v>
      </c>
      <c r="Q4">
        <v>6.6</v>
      </c>
      <c r="R4">
        <v>7</v>
      </c>
      <c r="S4">
        <v>1.78</v>
      </c>
      <c r="T4">
        <v>2</v>
      </c>
      <c r="U4" t="s">
        <v>22</v>
      </c>
      <c r="V4" t="e">
        <f>IF(#REF! = "yes", 1, 0)</f>
        <v>#REF!</v>
      </c>
      <c r="W4" t="e">
        <f>IF(#REF! &lt;= 1, "0-1 Calls", IF(#REF! &lt;= 3, "2-3 Calls", IF(#REF! &lt;=5, "4-5 Calls", "6+ Calls")))</f>
        <v>#REF!</v>
      </c>
      <c r="X4" t="e">
        <f>IF(#REF! &lt;= 50, "0-50", IF(#REF! &lt;=100, "51-100", IF(#REF! &lt;= 150, "101-150", "151+")))</f>
        <v>#REF!</v>
      </c>
      <c r="Y4" t="e">
        <f>IF(#REF! &lt;= 3, "Low Charges", "High Charges")</f>
        <v>#REF!</v>
      </c>
      <c r="Z4" t="e">
        <f>IF(#REF!&lt;=80,"Low Calls",
IF(#REF!&lt;=120,"Medium Calls","High Calls"))</f>
        <v>#REF!</v>
      </c>
      <c r="AA4" t="e">
        <f>IF(#REF!&lt;=15,"Low Charges",
IF(#REF!&lt;=20,"Medium Charges","High Charges"))</f>
        <v>#REF!</v>
      </c>
      <c r="AB4" t="e">
        <f>IF(AND(#REF!&gt;180, #REF!&gt;200), "Heavy Doemstic User", IF(#REF!&gt;10, "Interntional User", IF(AND(#REF!&lt;180, #REF!&lt;200,#REF!&lt;200), "Light User", "Balanced User")))</f>
        <v>#REF!</v>
      </c>
      <c r="AC4" t="e">
        <f>IF(#REF! = 0, "No Usage", IF(#REF! &lt;= 20, "Low Usage", IF(#REF! &lt;= 40, "Medium Usgae", "High Usage")))</f>
        <v>#REF!</v>
      </c>
      <c r="AD4" t="e">
        <f>IF(#REF!&lt;=150,"Low Usage", IF(#REF!&lt;=200,"Medium Usage", IF(#REF!&lt;=250,"High Usage","Very High Usage")))</f>
        <v>#REF!</v>
      </c>
      <c r="AE4" t="e">
        <f>IF(#REF!&lt;=5,"Low Calls", IF(#REF!&lt;=10, "Medium Calls", "High Calls"))</f>
        <v>#REF!</v>
      </c>
      <c r="AF4" t="e">
        <f xml:space="preserve">
IF(#REF!&gt;=4,4,0)+
IF(#REF!="yes",3,0)+
IF(#REF!="High Charges",3,0)+
IF(#REF!&gt;250,4,0)+
IF(#REF!="no",1,0)+
IF(#REF!="Heavy Domestic User",2,0)</f>
        <v>#REF!</v>
      </c>
      <c r="AG4" t="e">
        <f>IF(#REF!&gt;=10,"High Risk", IF(#REF!&gt;=5,"Medium Risk","Low Risk"))</f>
        <v>#REF!</v>
      </c>
      <c r="AH4" t="e">
        <f>#REF! + #REF! + #REF! + #REF!</f>
        <v>#REF!</v>
      </c>
    </row>
    <row r="5" spans="1:34" x14ac:dyDescent="0.35">
      <c r="A5">
        <v>4</v>
      </c>
      <c r="B5" t="s">
        <v>26</v>
      </c>
      <c r="C5">
        <v>75</v>
      </c>
      <c r="D5" t="s">
        <v>21</v>
      </c>
      <c r="E5" t="s">
        <v>23</v>
      </c>
      <c r="F5" t="s">
        <v>22</v>
      </c>
      <c r="G5">
        <v>0</v>
      </c>
      <c r="H5">
        <v>166.7</v>
      </c>
      <c r="I5">
        <v>113</v>
      </c>
      <c r="J5">
        <v>28.34</v>
      </c>
      <c r="K5">
        <v>148.30000000000001</v>
      </c>
      <c r="L5">
        <v>122</v>
      </c>
      <c r="M5">
        <v>12.61</v>
      </c>
      <c r="N5">
        <v>186.9</v>
      </c>
      <c r="O5">
        <v>121</v>
      </c>
      <c r="P5">
        <v>8.41</v>
      </c>
      <c r="Q5">
        <v>10.1</v>
      </c>
      <c r="R5">
        <v>3</v>
      </c>
      <c r="S5">
        <v>2.73</v>
      </c>
      <c r="T5">
        <v>3</v>
      </c>
      <c r="U5" t="s">
        <v>22</v>
      </c>
      <c r="V5" t="e">
        <f>IF(#REF! = "yes", 1, 0)</f>
        <v>#REF!</v>
      </c>
      <c r="W5" t="e">
        <f>IF(#REF! &lt;= 1, "0-1 Calls", IF(#REF! &lt;= 3, "2-3 Calls", IF(#REF! &lt;=5, "4-5 Calls", "6+ Calls")))</f>
        <v>#REF!</v>
      </c>
      <c r="X5" t="e">
        <f>IF(#REF! &lt;= 50, "0-50", IF(#REF! &lt;=100, "51-100", IF(#REF! &lt;= 150, "101-150", "151+")))</f>
        <v>#REF!</v>
      </c>
      <c r="Y5" t="e">
        <f>IF(#REF! &lt;= 3, "Low Charges", "High Charges")</f>
        <v>#REF!</v>
      </c>
      <c r="Z5" t="e">
        <f>IF(#REF!&lt;=80,"Low Calls",
IF(#REF!&lt;=120,"Medium Calls","High Calls"))</f>
        <v>#REF!</v>
      </c>
      <c r="AA5" t="e">
        <f>IF(#REF!&lt;=15,"Low Charges",
IF(#REF!&lt;=20,"Medium Charges","High Charges"))</f>
        <v>#REF!</v>
      </c>
      <c r="AB5" t="e">
        <f>IF(AND(#REF!&gt;180, #REF!&gt;200), "Heavy Doemstic User", IF(#REF!&gt;10, "Interntional User", IF(AND(#REF!&lt;180, #REF!&lt;200,#REF!&lt;200), "Light User", "Balanced User")))</f>
        <v>#REF!</v>
      </c>
      <c r="AC5" t="e">
        <f>IF(#REF! = 0, "No Usage", IF(#REF! &lt;= 20, "Low Usage", IF(#REF! &lt;= 40, "Medium Usgae", "High Usage")))</f>
        <v>#REF!</v>
      </c>
      <c r="AD5" t="e">
        <f>IF(#REF!&lt;=150,"Low Usage", IF(#REF!&lt;=200,"Medium Usage", IF(#REF!&lt;=250,"High Usage","Very High Usage")))</f>
        <v>#REF!</v>
      </c>
      <c r="AE5" t="e">
        <f>IF(#REF!&lt;=5,"Low Calls", IF(#REF!&lt;=10, "Medium Calls", "High Calls"))</f>
        <v>#REF!</v>
      </c>
      <c r="AF5" t="e">
        <f xml:space="preserve">
IF(#REF!&gt;=4,4,0)+
IF(#REF!="yes",3,0)+
IF(#REF!="High Charges",3,0)+
IF(#REF!&gt;250,4,0)+
IF(#REF!="no",1,0)+
IF(#REF!="Heavy Domestic User",2,0)</f>
        <v>#REF!</v>
      </c>
      <c r="AG5" t="e">
        <f>IF(#REF!&gt;=10,"High Risk", IF(#REF!&gt;=5,"Medium Risk","Low Risk"))</f>
        <v>#REF!</v>
      </c>
      <c r="AH5" t="e">
        <f>#REF! + #REF! + #REF! + #REF!</f>
        <v>#REF!</v>
      </c>
    </row>
    <row r="6" spans="1:34" x14ac:dyDescent="0.35">
      <c r="A6">
        <v>5</v>
      </c>
      <c r="B6" t="s">
        <v>27</v>
      </c>
      <c r="C6">
        <v>121</v>
      </c>
      <c r="D6" t="s">
        <v>28</v>
      </c>
      <c r="E6" t="s">
        <v>22</v>
      </c>
      <c r="F6" t="s">
        <v>23</v>
      </c>
      <c r="G6">
        <v>24</v>
      </c>
      <c r="H6">
        <v>218.2</v>
      </c>
      <c r="I6">
        <v>88</v>
      </c>
      <c r="J6">
        <v>37.090000000000003</v>
      </c>
      <c r="K6">
        <v>348.5</v>
      </c>
      <c r="L6">
        <v>108</v>
      </c>
      <c r="M6">
        <v>29.62</v>
      </c>
      <c r="N6">
        <v>212.6</v>
      </c>
      <c r="O6">
        <v>118</v>
      </c>
      <c r="P6">
        <v>9.57</v>
      </c>
      <c r="Q6">
        <v>7.5</v>
      </c>
      <c r="R6">
        <v>7</v>
      </c>
      <c r="S6">
        <v>2.0299999999999998</v>
      </c>
      <c r="T6">
        <v>3</v>
      </c>
      <c r="U6" t="s">
        <v>22</v>
      </c>
      <c r="V6" t="e">
        <f>IF(#REF! = "yes", 1, 0)</f>
        <v>#REF!</v>
      </c>
      <c r="W6" t="e">
        <f>IF(#REF! &lt;= 1, "0-1 Calls", IF(#REF! &lt;= 3, "2-3 Calls", IF(#REF! &lt;=5, "4-5 Calls", "6+ Calls")))</f>
        <v>#REF!</v>
      </c>
      <c r="X6" t="e">
        <f>IF(#REF! &lt;= 50, "0-50", IF(#REF! &lt;=100, "51-100", IF(#REF! &lt;= 150, "101-150", "151+")))</f>
        <v>#REF!</v>
      </c>
      <c r="Y6" t="e">
        <f>IF(#REF! &lt;= 3, "Low Charges", "High Charges")</f>
        <v>#REF!</v>
      </c>
      <c r="Z6" t="e">
        <f>IF(#REF!&lt;=80,"Low Calls",
IF(#REF!&lt;=120,"Medium Calls","High Calls"))</f>
        <v>#REF!</v>
      </c>
      <c r="AA6" t="e">
        <f>IF(#REF!&lt;=15,"Low Charges",
IF(#REF!&lt;=20,"Medium Charges","High Charges"))</f>
        <v>#REF!</v>
      </c>
      <c r="AB6" t="e">
        <f>IF(AND(#REF!&gt;180, #REF!&gt;200), "Heavy Doemstic User", IF(#REF!&gt;10, "Interntional User", IF(AND(#REF!&lt;180, #REF!&lt;200,#REF!&lt;200), "Light User", "Balanced User")))</f>
        <v>#REF!</v>
      </c>
      <c r="AC6" t="e">
        <f>IF(#REF! = 0, "No Usage", IF(#REF! &lt;= 20, "Low Usage", IF(#REF! &lt;= 40, "Medium Usgae", "High Usage")))</f>
        <v>#REF!</v>
      </c>
      <c r="AD6" t="e">
        <f>IF(#REF!&lt;=150,"Low Usage", IF(#REF!&lt;=200,"Medium Usage", IF(#REF!&lt;=250,"High Usage","Very High Usage")))</f>
        <v>#REF!</v>
      </c>
      <c r="AE6" t="e">
        <f>IF(#REF!&lt;=5,"Low Calls", IF(#REF!&lt;=10, "Medium Calls", "High Calls"))</f>
        <v>#REF!</v>
      </c>
      <c r="AF6" t="e">
        <f xml:space="preserve">
IF(#REF!&gt;=4,4,0)+
IF(#REF!="yes",3,0)+
IF(#REF!="High Charges",3,0)+
IF(#REF!&gt;250,4,0)+
IF(#REF!="no",1,0)+
IF(#REF!="Heavy Domestic User",2,0)</f>
        <v>#REF!</v>
      </c>
      <c r="AG6" t="e">
        <f>IF(#REF!&gt;=10,"High Risk", IF(#REF!&gt;=5,"Medium Risk","Low Risk"))</f>
        <v>#REF!</v>
      </c>
      <c r="AH6" t="e">
        <f>#REF! + #REF! + #REF! + #REF!</f>
        <v>#REF!</v>
      </c>
    </row>
    <row r="7" spans="1:34" x14ac:dyDescent="0.35">
      <c r="A7">
        <v>6</v>
      </c>
      <c r="B7" t="s">
        <v>29</v>
      </c>
      <c r="C7">
        <v>147</v>
      </c>
      <c r="D7" t="s">
        <v>21</v>
      </c>
      <c r="E7" t="s">
        <v>23</v>
      </c>
      <c r="F7" t="s">
        <v>22</v>
      </c>
      <c r="G7">
        <v>0</v>
      </c>
      <c r="H7">
        <v>157</v>
      </c>
      <c r="I7">
        <v>79</v>
      </c>
      <c r="J7">
        <v>26.69</v>
      </c>
      <c r="K7">
        <v>103.1</v>
      </c>
      <c r="L7">
        <v>94</v>
      </c>
      <c r="M7">
        <v>8.76</v>
      </c>
      <c r="N7">
        <v>211.8</v>
      </c>
      <c r="O7">
        <v>96</v>
      </c>
      <c r="P7">
        <v>9.5299999999999994</v>
      </c>
      <c r="Q7">
        <v>7.1</v>
      </c>
      <c r="R7">
        <v>6</v>
      </c>
      <c r="S7">
        <v>1.92</v>
      </c>
      <c r="T7">
        <v>0</v>
      </c>
      <c r="U7" t="s">
        <v>22</v>
      </c>
      <c r="V7" t="e">
        <f>IF(#REF! = "yes", 1, 0)</f>
        <v>#REF!</v>
      </c>
      <c r="W7" t="e">
        <f>IF(#REF! &lt;= 1, "0-1 Calls", IF(#REF! &lt;= 3, "2-3 Calls", IF(#REF! &lt;=5, "4-5 Calls", "6+ Calls")))</f>
        <v>#REF!</v>
      </c>
      <c r="X7" t="e">
        <f>IF(#REF! &lt;= 50, "0-50", IF(#REF! &lt;=100, "51-100", IF(#REF! &lt;= 150, "101-150", "151+")))</f>
        <v>#REF!</v>
      </c>
      <c r="Y7" t="e">
        <f>IF(#REF! &lt;= 3, "Low Charges", "High Charges")</f>
        <v>#REF!</v>
      </c>
      <c r="Z7" t="e">
        <f>IF(#REF!&lt;=80,"Low Calls",
IF(#REF!&lt;=120,"Medium Calls","High Calls"))</f>
        <v>#REF!</v>
      </c>
      <c r="AA7" t="e">
        <f>IF(#REF!&lt;=15,"Low Charges",
IF(#REF!&lt;=20,"Medium Charges","High Charges"))</f>
        <v>#REF!</v>
      </c>
      <c r="AB7" t="e">
        <f>IF(AND(#REF!&gt;180, #REF!&gt;200), "Heavy Doemstic User", IF(#REF!&gt;10, "Interntional User", IF(AND(#REF!&lt;180, #REF!&lt;200,#REF!&lt;200), "Light User", "Balanced User")))</f>
        <v>#REF!</v>
      </c>
      <c r="AC7" t="e">
        <f>IF(#REF! = 0, "No Usage", IF(#REF! &lt;= 20, "Low Usage", IF(#REF! &lt;= 40, "Medium Usgae", "High Usage")))</f>
        <v>#REF!</v>
      </c>
      <c r="AD7" t="e">
        <f>IF(#REF!&lt;=150,"Low Usage", IF(#REF!&lt;=200,"Medium Usage", IF(#REF!&lt;=250,"High Usage","Very High Usage")))</f>
        <v>#REF!</v>
      </c>
      <c r="AE7" t="e">
        <f>IF(#REF!&lt;=5,"Low Calls", IF(#REF!&lt;=10, "Medium Calls", "High Calls"))</f>
        <v>#REF!</v>
      </c>
      <c r="AF7" t="e">
        <f xml:space="preserve">
IF(#REF!&gt;=4,4,0)+
IF(#REF!="yes",3,0)+
IF(#REF!="High Charges",3,0)+
IF(#REF!&gt;250,4,0)+
IF(#REF!="no",1,0)+
IF(#REF!="Heavy Domestic User",2,0)</f>
        <v>#REF!</v>
      </c>
      <c r="AG7" t="e">
        <f>IF(#REF!&gt;=10,"High Risk", IF(#REF!&gt;=5,"Medium Risk","Low Risk"))</f>
        <v>#REF!</v>
      </c>
      <c r="AH7" t="e">
        <f>#REF! + #REF! + #REF! + #REF!</f>
        <v>#REF!</v>
      </c>
    </row>
    <row r="8" spans="1:34" x14ac:dyDescent="0.35">
      <c r="A8">
        <v>7</v>
      </c>
      <c r="B8" t="s">
        <v>30</v>
      </c>
      <c r="C8">
        <v>117</v>
      </c>
      <c r="D8" t="s">
        <v>25</v>
      </c>
      <c r="E8" t="s">
        <v>22</v>
      </c>
      <c r="F8" t="s">
        <v>22</v>
      </c>
      <c r="G8">
        <v>0</v>
      </c>
      <c r="H8">
        <v>184.5</v>
      </c>
      <c r="I8">
        <v>97</v>
      </c>
      <c r="J8">
        <v>31.37</v>
      </c>
      <c r="K8">
        <v>351.6</v>
      </c>
      <c r="L8">
        <v>80</v>
      </c>
      <c r="M8">
        <v>29.89</v>
      </c>
      <c r="N8">
        <v>215.8</v>
      </c>
      <c r="O8">
        <v>90</v>
      </c>
      <c r="P8">
        <v>9.7100000000000009</v>
      </c>
      <c r="Q8">
        <v>8.6999999999999993</v>
      </c>
      <c r="R8">
        <v>4</v>
      </c>
      <c r="S8">
        <v>2.35</v>
      </c>
      <c r="T8">
        <v>1</v>
      </c>
      <c r="U8" t="s">
        <v>22</v>
      </c>
      <c r="V8" t="e">
        <f>IF(#REF! = "yes", 1, 0)</f>
        <v>#REF!</v>
      </c>
      <c r="W8" t="e">
        <f>IF(#REF! &lt;= 1, "0-1 Calls", IF(#REF! &lt;= 3, "2-3 Calls", IF(#REF! &lt;=5, "4-5 Calls", "6+ Calls")))</f>
        <v>#REF!</v>
      </c>
      <c r="X8" t="e">
        <f>IF(#REF! &lt;= 50, "0-50", IF(#REF! &lt;=100, "51-100", IF(#REF! &lt;= 150, "101-150", "151+")))</f>
        <v>#REF!</v>
      </c>
      <c r="Y8" t="e">
        <f>IF(#REF! &lt;= 3, "Low Charges", "High Charges")</f>
        <v>#REF!</v>
      </c>
      <c r="Z8" t="e">
        <f>IF(#REF!&lt;=80,"Low Calls",
IF(#REF!&lt;=120,"Medium Calls","High Calls"))</f>
        <v>#REF!</v>
      </c>
      <c r="AA8" t="e">
        <f>IF(#REF!&lt;=15,"Low Charges",
IF(#REF!&lt;=20,"Medium Charges","High Charges"))</f>
        <v>#REF!</v>
      </c>
      <c r="AB8" t="e">
        <f>IF(AND(#REF!&gt;180, #REF!&gt;200), "Heavy Doemstic User", IF(#REF!&gt;10, "Interntional User", IF(AND(#REF!&lt;180, #REF!&lt;200,#REF!&lt;200), "Light User", "Balanced User")))</f>
        <v>#REF!</v>
      </c>
      <c r="AC8" t="e">
        <f>IF(#REF! = 0, "No Usage", IF(#REF! &lt;= 20, "Low Usage", IF(#REF! &lt;= 40, "Medium Usgae", "High Usage")))</f>
        <v>#REF!</v>
      </c>
      <c r="AD8" t="e">
        <f>IF(#REF!&lt;=150,"Low Usage", IF(#REF!&lt;=200,"Medium Usage", IF(#REF!&lt;=250,"High Usage","Very High Usage")))</f>
        <v>#REF!</v>
      </c>
      <c r="AE8" t="e">
        <f>IF(#REF!&lt;=5,"Low Calls", IF(#REF!&lt;=10, "Medium Calls", "High Calls"))</f>
        <v>#REF!</v>
      </c>
      <c r="AF8" t="e">
        <f xml:space="preserve">
IF(#REF!&gt;=4,4,0)+
IF(#REF!="yes",3,0)+
IF(#REF!="High Charges",3,0)+
IF(#REF!&gt;250,4,0)+
IF(#REF!="no",1,0)+
IF(#REF!="Heavy Domestic User",2,0)</f>
        <v>#REF!</v>
      </c>
      <c r="AG8" t="e">
        <f>IF(#REF!&gt;=10,"High Risk", IF(#REF!&gt;=5,"Medium Risk","Low Risk"))</f>
        <v>#REF!</v>
      </c>
      <c r="AH8" t="e">
        <f>#REF! + #REF! + #REF! + #REF!</f>
        <v>#REF!</v>
      </c>
    </row>
    <row r="9" spans="1:34" x14ac:dyDescent="0.35">
      <c r="A9">
        <v>8</v>
      </c>
      <c r="B9" t="s">
        <v>31</v>
      </c>
      <c r="C9">
        <v>141</v>
      </c>
      <c r="D9" t="s">
        <v>21</v>
      </c>
      <c r="E9" t="s">
        <v>23</v>
      </c>
      <c r="F9" t="s">
        <v>23</v>
      </c>
      <c r="G9">
        <v>37</v>
      </c>
      <c r="H9">
        <v>258.60000000000002</v>
      </c>
      <c r="I9">
        <v>84</v>
      </c>
      <c r="J9">
        <v>43.96</v>
      </c>
      <c r="K9">
        <v>222</v>
      </c>
      <c r="L9">
        <v>111</v>
      </c>
      <c r="M9">
        <v>18.87</v>
      </c>
      <c r="N9">
        <v>326.39999999999998</v>
      </c>
      <c r="O9">
        <v>97</v>
      </c>
      <c r="P9">
        <v>14.69</v>
      </c>
      <c r="Q9">
        <v>11.2</v>
      </c>
      <c r="R9">
        <v>5</v>
      </c>
      <c r="S9">
        <v>3.02</v>
      </c>
      <c r="T9">
        <v>0</v>
      </c>
      <c r="U9" t="s">
        <v>22</v>
      </c>
      <c r="V9" t="e">
        <f>IF(#REF! = "yes", 1, 0)</f>
        <v>#REF!</v>
      </c>
      <c r="W9" t="e">
        <f>IF(#REF! &lt;= 1, "0-1 Calls", IF(#REF! &lt;= 3, "2-3 Calls", IF(#REF! &lt;=5, "4-5 Calls", "6+ Calls")))</f>
        <v>#REF!</v>
      </c>
      <c r="X9" t="e">
        <f>IF(#REF! &lt;= 50, "0-50", IF(#REF! &lt;=100, "51-100", IF(#REF! &lt;= 150, "101-150", "151+")))</f>
        <v>#REF!</v>
      </c>
      <c r="Y9" t="e">
        <f>IF(#REF! &lt;= 3, "Low Charges", "High Charges")</f>
        <v>#REF!</v>
      </c>
      <c r="Z9" t="e">
        <f>IF(#REF!&lt;=80,"Low Calls",
IF(#REF!&lt;=120,"Medium Calls","High Calls"))</f>
        <v>#REF!</v>
      </c>
      <c r="AA9" t="e">
        <f>IF(#REF!&lt;=15,"Low Charges",
IF(#REF!&lt;=20,"Medium Charges","High Charges"))</f>
        <v>#REF!</v>
      </c>
      <c r="AB9" t="e">
        <f>IF(AND(#REF!&gt;180, #REF!&gt;200), "Heavy Doemstic User", IF(#REF!&gt;10, "Interntional User", IF(AND(#REF!&lt;180, #REF!&lt;200,#REF!&lt;200), "Light User", "Balanced User")))</f>
        <v>#REF!</v>
      </c>
      <c r="AC9" t="e">
        <f>IF(#REF! = 0, "No Usage", IF(#REF! &lt;= 20, "Low Usage", IF(#REF! &lt;= 40, "Medium Usgae", "High Usage")))</f>
        <v>#REF!</v>
      </c>
      <c r="AD9" t="e">
        <f>IF(#REF!&lt;=150,"Low Usage", IF(#REF!&lt;=200,"Medium Usage", IF(#REF!&lt;=250,"High Usage","Very High Usage")))</f>
        <v>#REF!</v>
      </c>
      <c r="AE9" t="e">
        <f>IF(#REF!&lt;=5,"Low Calls", IF(#REF!&lt;=10, "Medium Calls", "High Calls"))</f>
        <v>#REF!</v>
      </c>
      <c r="AF9" t="e">
        <f xml:space="preserve">
IF(#REF!&gt;=4,4,0)+
IF(#REF!="yes",3,0)+
IF(#REF!="High Charges",3,0)+
IF(#REF!&gt;250,4,0)+
IF(#REF!="no",1,0)+
IF(#REF!="Heavy Domestic User",2,0)</f>
        <v>#REF!</v>
      </c>
      <c r="AG9" t="e">
        <f>IF(#REF!&gt;=10,"High Risk", IF(#REF!&gt;=5,"Medium Risk","Low Risk"))</f>
        <v>#REF!</v>
      </c>
      <c r="AH9" t="e">
        <f>#REF! + #REF! + #REF! + #REF!</f>
        <v>#REF!</v>
      </c>
    </row>
    <row r="10" spans="1:34" x14ac:dyDescent="0.35">
      <c r="A10">
        <v>9</v>
      </c>
      <c r="B10" t="s">
        <v>32</v>
      </c>
      <c r="C10">
        <v>65</v>
      </c>
      <c r="D10" t="s">
        <v>21</v>
      </c>
      <c r="E10" t="s">
        <v>22</v>
      </c>
      <c r="F10" t="s">
        <v>22</v>
      </c>
      <c r="G10">
        <v>0</v>
      </c>
      <c r="H10">
        <v>129.1</v>
      </c>
      <c r="I10">
        <v>137</v>
      </c>
      <c r="J10">
        <v>21.95</v>
      </c>
      <c r="K10">
        <v>228.5</v>
      </c>
      <c r="L10">
        <v>83</v>
      </c>
      <c r="M10">
        <v>19.420000000000002</v>
      </c>
      <c r="N10">
        <v>208.8</v>
      </c>
      <c r="O10">
        <v>111</v>
      </c>
      <c r="P10">
        <v>9.4</v>
      </c>
      <c r="Q10">
        <v>12.7</v>
      </c>
      <c r="R10">
        <v>6</v>
      </c>
      <c r="S10">
        <v>3.43</v>
      </c>
      <c r="T10">
        <v>4</v>
      </c>
      <c r="U10" t="s">
        <v>23</v>
      </c>
      <c r="V10" t="e">
        <f>IF(#REF! = "yes", 1, 0)</f>
        <v>#REF!</v>
      </c>
      <c r="W10" t="e">
        <f>IF(#REF! &lt;= 1, "0-1 Calls", IF(#REF! &lt;= 3, "2-3 Calls", IF(#REF! &lt;=5, "4-5 Calls", "6+ Calls")))</f>
        <v>#REF!</v>
      </c>
      <c r="X10" t="e">
        <f>IF(#REF! &lt;= 50, "0-50", IF(#REF! &lt;=100, "51-100", IF(#REF! &lt;= 150, "101-150", "151+")))</f>
        <v>#REF!</v>
      </c>
      <c r="Y10" t="e">
        <f>IF(#REF! &lt;= 3, "Low Charges", "High Charges")</f>
        <v>#REF!</v>
      </c>
      <c r="Z10" t="e">
        <f>IF(#REF!&lt;=80,"Low Calls",
IF(#REF!&lt;=120,"Medium Calls","High Calls"))</f>
        <v>#REF!</v>
      </c>
      <c r="AA10" t="e">
        <f>IF(#REF!&lt;=15,"Low Charges",
IF(#REF!&lt;=20,"Medium Charges","High Charges"))</f>
        <v>#REF!</v>
      </c>
      <c r="AB10" t="e">
        <f>IF(AND(#REF!&gt;180, #REF!&gt;200), "Heavy Doemstic User", IF(#REF!&gt;10, "Interntional User", IF(AND(#REF!&lt;180, #REF!&lt;200,#REF!&lt;200), "Light User", "Balanced User")))</f>
        <v>#REF!</v>
      </c>
      <c r="AC10" t="e">
        <f>IF(#REF! = 0, "No Usage", IF(#REF! &lt;= 20, "Low Usage", IF(#REF! &lt;= 40, "Medium Usgae", "High Usage")))</f>
        <v>#REF!</v>
      </c>
      <c r="AD10" t="e">
        <f>IF(#REF!&lt;=150,"Low Usage", IF(#REF!&lt;=200,"Medium Usage", IF(#REF!&lt;=250,"High Usage","Very High Usage")))</f>
        <v>#REF!</v>
      </c>
      <c r="AE10" t="e">
        <f>IF(#REF!&lt;=5,"Low Calls", IF(#REF!&lt;=10, "Medium Calls", "High Calls"))</f>
        <v>#REF!</v>
      </c>
      <c r="AF10" t="e">
        <f xml:space="preserve">
IF(#REF!&gt;=4,4,0)+
IF(#REF!="yes",3,0)+
IF(#REF!="High Charges",3,0)+
IF(#REF!&gt;250,4,0)+
IF(#REF!="no",1,0)+
IF(#REF!="Heavy Domestic User",2,0)</f>
        <v>#REF!</v>
      </c>
      <c r="AG10" t="e">
        <f>IF(#REF!&gt;=10,"High Risk", IF(#REF!&gt;=5,"Medium Risk","Low Risk"))</f>
        <v>#REF!</v>
      </c>
      <c r="AH10" t="e">
        <f>#REF! + #REF! + #REF! + #REF!</f>
        <v>#REF!</v>
      </c>
    </row>
    <row r="11" spans="1:34" x14ac:dyDescent="0.35">
      <c r="A11">
        <v>10</v>
      </c>
      <c r="B11" t="s">
        <v>33</v>
      </c>
      <c r="C11">
        <v>74</v>
      </c>
      <c r="D11" t="s">
        <v>21</v>
      </c>
      <c r="E11" t="s">
        <v>22</v>
      </c>
      <c r="F11" t="s">
        <v>22</v>
      </c>
      <c r="G11">
        <v>0</v>
      </c>
      <c r="H11">
        <v>187.7</v>
      </c>
      <c r="I11">
        <v>127</v>
      </c>
      <c r="J11">
        <v>31.91</v>
      </c>
      <c r="K11">
        <v>163.4</v>
      </c>
      <c r="L11">
        <v>148</v>
      </c>
      <c r="M11">
        <v>13.89</v>
      </c>
      <c r="N11">
        <v>196</v>
      </c>
      <c r="O11">
        <v>94</v>
      </c>
      <c r="P11">
        <v>8.82</v>
      </c>
      <c r="Q11">
        <v>9.1</v>
      </c>
      <c r="R11">
        <v>5</v>
      </c>
      <c r="S11">
        <v>2.46</v>
      </c>
      <c r="T11">
        <v>0</v>
      </c>
      <c r="U11" t="s">
        <v>22</v>
      </c>
      <c r="V11" t="e">
        <f>IF(#REF! = "yes", 1, 0)</f>
        <v>#REF!</v>
      </c>
      <c r="W11" t="e">
        <f>IF(#REF! &lt;= 1, "0-1 Calls", IF(#REF! &lt;= 3, "2-3 Calls", IF(#REF! &lt;=5, "4-5 Calls", "6+ Calls")))</f>
        <v>#REF!</v>
      </c>
      <c r="X11" t="e">
        <f>IF(#REF! &lt;= 50, "0-50", IF(#REF! &lt;=100, "51-100", IF(#REF! &lt;= 150, "101-150", "151+")))</f>
        <v>#REF!</v>
      </c>
      <c r="Y11" t="e">
        <f>IF(#REF! &lt;= 3, "Low Charges", "High Charges")</f>
        <v>#REF!</v>
      </c>
      <c r="Z11" t="e">
        <f>IF(#REF!&lt;=80,"Low Calls",
IF(#REF!&lt;=120,"Medium Calls","High Calls"))</f>
        <v>#REF!</v>
      </c>
      <c r="AA11" t="e">
        <f>IF(#REF!&lt;=15,"Low Charges",
IF(#REF!&lt;=20,"Medium Charges","High Charges"))</f>
        <v>#REF!</v>
      </c>
      <c r="AB11" t="e">
        <f>IF(AND(#REF!&gt;180, #REF!&gt;200), "Heavy Doemstic User", IF(#REF!&gt;10, "Interntional User", IF(AND(#REF!&lt;180, #REF!&lt;200,#REF!&lt;200), "Light User", "Balanced User")))</f>
        <v>#REF!</v>
      </c>
      <c r="AC11" t="e">
        <f>IF(#REF! = 0, "No Usage", IF(#REF! &lt;= 20, "Low Usage", IF(#REF! &lt;= 40, "Medium Usgae", "High Usage")))</f>
        <v>#REF!</v>
      </c>
      <c r="AD11" t="e">
        <f>IF(#REF!&lt;=150,"Low Usage", IF(#REF!&lt;=200,"Medium Usage", IF(#REF!&lt;=250,"High Usage","Very High Usage")))</f>
        <v>#REF!</v>
      </c>
      <c r="AE11" t="e">
        <f>IF(#REF!&lt;=5,"Low Calls", IF(#REF!&lt;=10, "Medium Calls", "High Calls"))</f>
        <v>#REF!</v>
      </c>
      <c r="AF11" t="e">
        <f xml:space="preserve">
IF(#REF!&gt;=4,4,0)+
IF(#REF!="yes",3,0)+
IF(#REF!="High Charges",3,0)+
IF(#REF!&gt;250,4,0)+
IF(#REF!="no",1,0)+
IF(#REF!="Heavy Domestic User",2,0)</f>
        <v>#REF!</v>
      </c>
      <c r="AG11" t="e">
        <f>IF(#REF!&gt;=10,"High Risk", IF(#REF!&gt;=5,"Medium Risk","Low Risk"))</f>
        <v>#REF!</v>
      </c>
      <c r="AH11" t="e">
        <f>#REF! + #REF! + #REF! + #REF!</f>
        <v>#REF!</v>
      </c>
    </row>
    <row r="12" spans="1:34" x14ac:dyDescent="0.35">
      <c r="A12">
        <v>11</v>
      </c>
      <c r="B12" t="s">
        <v>34</v>
      </c>
      <c r="C12">
        <v>168</v>
      </c>
      <c r="D12" t="s">
        <v>25</v>
      </c>
      <c r="E12" t="s">
        <v>22</v>
      </c>
      <c r="F12" t="s">
        <v>22</v>
      </c>
      <c r="G12">
        <v>0</v>
      </c>
      <c r="H12">
        <v>128.80000000000001</v>
      </c>
      <c r="I12">
        <v>96</v>
      </c>
      <c r="J12">
        <v>21.9</v>
      </c>
      <c r="K12">
        <v>104.9</v>
      </c>
      <c r="L12">
        <v>71</v>
      </c>
      <c r="M12">
        <v>8.92</v>
      </c>
      <c r="N12">
        <v>141.1</v>
      </c>
      <c r="O12">
        <v>128</v>
      </c>
      <c r="P12">
        <v>6.35</v>
      </c>
      <c r="Q12">
        <v>11.2</v>
      </c>
      <c r="R12">
        <v>2</v>
      </c>
      <c r="S12">
        <v>3.02</v>
      </c>
      <c r="T12">
        <v>1</v>
      </c>
      <c r="U12" t="s">
        <v>22</v>
      </c>
      <c r="V12" t="e">
        <f>IF(#REF! = "yes", 1, 0)</f>
        <v>#REF!</v>
      </c>
      <c r="W12" t="e">
        <f>IF(#REF! &lt;= 1, "0-1 Calls", IF(#REF! &lt;= 3, "2-3 Calls", IF(#REF! &lt;=5, "4-5 Calls", "6+ Calls")))</f>
        <v>#REF!</v>
      </c>
      <c r="X12" t="e">
        <f>IF(#REF! &lt;= 50, "0-50", IF(#REF! &lt;=100, "51-100", IF(#REF! &lt;= 150, "101-150", "151+")))</f>
        <v>#REF!</v>
      </c>
      <c r="Y12" t="e">
        <f>IF(#REF! &lt;= 3, "Low Charges", "High Charges")</f>
        <v>#REF!</v>
      </c>
      <c r="Z12" t="e">
        <f>IF(#REF!&lt;=80,"Low Calls",
IF(#REF!&lt;=120,"Medium Calls","High Calls"))</f>
        <v>#REF!</v>
      </c>
      <c r="AA12" t="e">
        <f>IF(#REF!&lt;=15,"Low Charges",
IF(#REF!&lt;=20,"Medium Charges","High Charges"))</f>
        <v>#REF!</v>
      </c>
      <c r="AB12" t="e">
        <f>IF(AND(#REF!&gt;180, #REF!&gt;200), "Heavy Doemstic User", IF(#REF!&gt;10, "Interntional User", IF(AND(#REF!&lt;180, #REF!&lt;200,#REF!&lt;200), "Light User", "Balanced User")))</f>
        <v>#REF!</v>
      </c>
      <c r="AC12" t="e">
        <f>IF(#REF! = 0, "No Usage", IF(#REF! &lt;= 20, "Low Usage", IF(#REF! &lt;= 40, "Medium Usgae", "High Usage")))</f>
        <v>#REF!</v>
      </c>
      <c r="AD12" t="e">
        <f>IF(#REF!&lt;=150,"Low Usage", IF(#REF!&lt;=200,"Medium Usage", IF(#REF!&lt;=250,"High Usage","Very High Usage")))</f>
        <v>#REF!</v>
      </c>
      <c r="AE12" t="e">
        <f>IF(#REF!&lt;=5,"Low Calls", IF(#REF!&lt;=10, "Medium Calls", "High Calls"))</f>
        <v>#REF!</v>
      </c>
      <c r="AF12" t="e">
        <f xml:space="preserve">
IF(#REF!&gt;=4,4,0)+
IF(#REF!="yes",3,0)+
IF(#REF!="High Charges",3,0)+
IF(#REF!&gt;250,4,0)+
IF(#REF!="no",1,0)+
IF(#REF!="Heavy Domestic User",2,0)</f>
        <v>#REF!</v>
      </c>
      <c r="AG12" t="e">
        <f>IF(#REF!&gt;=10,"High Risk", IF(#REF!&gt;=5,"Medium Risk","Low Risk"))</f>
        <v>#REF!</v>
      </c>
      <c r="AH12" t="e">
        <f>#REF! + #REF! + #REF! + #REF!</f>
        <v>#REF!</v>
      </c>
    </row>
    <row r="13" spans="1:34" x14ac:dyDescent="0.35">
      <c r="A13">
        <v>12</v>
      </c>
      <c r="B13" t="s">
        <v>35</v>
      </c>
      <c r="C13">
        <v>95</v>
      </c>
      <c r="D13" t="s">
        <v>28</v>
      </c>
      <c r="E13" t="s">
        <v>22</v>
      </c>
      <c r="F13" t="s">
        <v>22</v>
      </c>
      <c r="G13">
        <v>0</v>
      </c>
      <c r="H13">
        <v>156.6</v>
      </c>
      <c r="I13">
        <v>88</v>
      </c>
      <c r="J13">
        <v>26.62</v>
      </c>
      <c r="K13">
        <v>247.6</v>
      </c>
      <c r="L13">
        <v>75</v>
      </c>
      <c r="M13">
        <v>21.05</v>
      </c>
      <c r="N13">
        <v>192.3</v>
      </c>
      <c r="O13">
        <v>115</v>
      </c>
      <c r="P13">
        <v>8.65</v>
      </c>
      <c r="Q13">
        <v>12.3</v>
      </c>
      <c r="R13">
        <v>5</v>
      </c>
      <c r="S13">
        <v>3.32</v>
      </c>
      <c r="T13">
        <v>3</v>
      </c>
      <c r="U13" t="s">
        <v>22</v>
      </c>
      <c r="V13" t="e">
        <f>IF(#REF! = "yes", 1, 0)</f>
        <v>#REF!</v>
      </c>
      <c r="W13" t="e">
        <f>IF(#REF! &lt;= 1, "0-1 Calls", IF(#REF! &lt;= 3, "2-3 Calls", IF(#REF! &lt;=5, "4-5 Calls", "6+ Calls")))</f>
        <v>#REF!</v>
      </c>
      <c r="X13" t="e">
        <f>IF(#REF! &lt;= 50, "0-50", IF(#REF! &lt;=100, "51-100", IF(#REF! &lt;= 150, "101-150", "151+")))</f>
        <v>#REF!</v>
      </c>
      <c r="Y13" t="e">
        <f>IF(#REF! &lt;= 3, "Low Charges", "High Charges")</f>
        <v>#REF!</v>
      </c>
      <c r="Z13" t="e">
        <f>IF(#REF!&lt;=80,"Low Calls",
IF(#REF!&lt;=120,"Medium Calls","High Calls"))</f>
        <v>#REF!</v>
      </c>
      <c r="AA13" t="e">
        <f>IF(#REF!&lt;=15,"Low Charges",
IF(#REF!&lt;=20,"Medium Charges","High Charges"))</f>
        <v>#REF!</v>
      </c>
      <c r="AB13" t="e">
        <f>IF(AND(#REF!&gt;180, #REF!&gt;200), "Heavy Doemstic User", IF(#REF!&gt;10, "Interntional User", IF(AND(#REF!&lt;180, #REF!&lt;200,#REF!&lt;200), "Light User", "Balanced User")))</f>
        <v>#REF!</v>
      </c>
      <c r="AC13" t="e">
        <f>IF(#REF! = 0, "No Usage", IF(#REF! &lt;= 20, "Low Usage", IF(#REF! &lt;= 40, "Medium Usgae", "High Usage")))</f>
        <v>#REF!</v>
      </c>
      <c r="AD13" t="e">
        <f>IF(#REF!&lt;=150,"Low Usage", IF(#REF!&lt;=200,"Medium Usage", IF(#REF!&lt;=250,"High Usage","Very High Usage")))</f>
        <v>#REF!</v>
      </c>
      <c r="AE13" t="e">
        <f>IF(#REF!&lt;=5,"Low Calls", IF(#REF!&lt;=10, "Medium Calls", "High Calls"))</f>
        <v>#REF!</v>
      </c>
      <c r="AF13" t="e">
        <f xml:space="preserve">
IF(#REF!&gt;=4,4,0)+
IF(#REF!="yes",3,0)+
IF(#REF!="High Charges",3,0)+
IF(#REF!&gt;250,4,0)+
IF(#REF!="no",1,0)+
IF(#REF!="Heavy Domestic User",2,0)</f>
        <v>#REF!</v>
      </c>
      <c r="AG13" t="e">
        <f>IF(#REF!&gt;=10,"High Risk", IF(#REF!&gt;=5,"Medium Risk","Low Risk"))</f>
        <v>#REF!</v>
      </c>
      <c r="AH13" t="e">
        <f>#REF! + #REF! + #REF! + #REF!</f>
        <v>#REF!</v>
      </c>
    </row>
    <row r="14" spans="1:34" x14ac:dyDescent="0.35">
      <c r="A14">
        <v>13</v>
      </c>
      <c r="B14" t="s">
        <v>36</v>
      </c>
      <c r="C14">
        <v>161</v>
      </c>
      <c r="D14" t="s">
        <v>21</v>
      </c>
      <c r="E14" t="s">
        <v>22</v>
      </c>
      <c r="F14" t="s">
        <v>22</v>
      </c>
      <c r="G14">
        <v>0</v>
      </c>
      <c r="H14">
        <v>332.9</v>
      </c>
      <c r="I14">
        <v>67</v>
      </c>
      <c r="J14">
        <v>56.59</v>
      </c>
      <c r="K14">
        <v>317.8</v>
      </c>
      <c r="L14">
        <v>97</v>
      </c>
      <c r="M14">
        <v>27.01</v>
      </c>
      <c r="N14">
        <v>160.6</v>
      </c>
      <c r="O14">
        <v>128</v>
      </c>
      <c r="P14">
        <v>7.23</v>
      </c>
      <c r="Q14">
        <v>5.4</v>
      </c>
      <c r="R14">
        <v>9</v>
      </c>
      <c r="S14">
        <v>1.46</v>
      </c>
      <c r="T14">
        <v>4</v>
      </c>
      <c r="U14" t="s">
        <v>23</v>
      </c>
      <c r="V14" t="e">
        <f>IF(#REF! = "yes", 1, 0)</f>
        <v>#REF!</v>
      </c>
      <c r="W14" t="e">
        <f>IF(#REF! &lt;= 1, "0-1 Calls", IF(#REF! &lt;= 3, "2-3 Calls", IF(#REF! &lt;=5, "4-5 Calls", "6+ Calls")))</f>
        <v>#REF!</v>
      </c>
      <c r="X14" t="e">
        <f>IF(#REF! &lt;= 50, "0-50", IF(#REF! &lt;=100, "51-100", IF(#REF! &lt;= 150, "101-150", "151+")))</f>
        <v>#REF!</v>
      </c>
      <c r="Y14" t="e">
        <f>IF(#REF! &lt;= 3, "Low Charges", "High Charges")</f>
        <v>#REF!</v>
      </c>
      <c r="Z14" t="e">
        <f>IF(#REF!&lt;=80,"Low Calls",
IF(#REF!&lt;=120,"Medium Calls","High Calls"))</f>
        <v>#REF!</v>
      </c>
      <c r="AA14" t="e">
        <f>IF(#REF!&lt;=15,"Low Charges",
IF(#REF!&lt;=20,"Medium Charges","High Charges"))</f>
        <v>#REF!</v>
      </c>
      <c r="AB14" t="e">
        <f>IF(AND(#REF!&gt;180, #REF!&gt;200), "Heavy Doemstic User", IF(#REF!&gt;10, "Interntional User", IF(AND(#REF!&lt;180, #REF!&lt;200,#REF!&lt;200), "Light User", "Balanced User")))</f>
        <v>#REF!</v>
      </c>
      <c r="AC14" t="e">
        <f>IF(#REF! = 0, "No Usage", IF(#REF! &lt;= 20, "Low Usage", IF(#REF! &lt;= 40, "Medium Usgae", "High Usage")))</f>
        <v>#REF!</v>
      </c>
      <c r="AD14" t="e">
        <f>IF(#REF!&lt;=150,"Low Usage", IF(#REF!&lt;=200,"Medium Usage", IF(#REF!&lt;=250,"High Usage","Very High Usage")))</f>
        <v>#REF!</v>
      </c>
      <c r="AE14" t="e">
        <f>IF(#REF!&lt;=5,"Low Calls", IF(#REF!&lt;=10, "Medium Calls", "High Calls"))</f>
        <v>#REF!</v>
      </c>
      <c r="AF14" t="e">
        <f xml:space="preserve">
IF(#REF!&gt;=4,4,0)+
IF(#REF!="yes",3,0)+
IF(#REF!="High Charges",3,0)+
IF(#REF!&gt;250,4,0)+
IF(#REF!="no",1,0)+
IF(#REF!="Heavy Domestic User",2,0)</f>
        <v>#REF!</v>
      </c>
      <c r="AG14" t="e">
        <f>IF(#REF!&gt;=10,"High Risk", IF(#REF!&gt;=5,"Medium Risk","Low Risk"))</f>
        <v>#REF!</v>
      </c>
      <c r="AH14" t="e">
        <f>#REF! + #REF! + #REF! + #REF!</f>
        <v>#REF!</v>
      </c>
    </row>
    <row r="15" spans="1:34" x14ac:dyDescent="0.35">
      <c r="A15">
        <v>14</v>
      </c>
      <c r="B15" t="s">
        <v>37</v>
      </c>
      <c r="C15">
        <v>85</v>
      </c>
      <c r="D15" t="s">
        <v>25</v>
      </c>
      <c r="E15" t="s">
        <v>22</v>
      </c>
      <c r="F15" t="s">
        <v>23</v>
      </c>
      <c r="G15">
        <v>27</v>
      </c>
      <c r="H15">
        <v>196.4</v>
      </c>
      <c r="I15">
        <v>139</v>
      </c>
      <c r="J15">
        <v>33.39</v>
      </c>
      <c r="K15">
        <v>280.89999999999998</v>
      </c>
      <c r="L15">
        <v>90</v>
      </c>
      <c r="M15">
        <v>23.88</v>
      </c>
      <c r="N15">
        <v>89.3</v>
      </c>
      <c r="O15">
        <v>75</v>
      </c>
      <c r="P15">
        <v>4.0199999999999996</v>
      </c>
      <c r="Q15">
        <v>13.8</v>
      </c>
      <c r="R15">
        <v>4</v>
      </c>
      <c r="S15">
        <v>3.73</v>
      </c>
      <c r="T15">
        <v>1</v>
      </c>
      <c r="U15" t="s">
        <v>22</v>
      </c>
      <c r="V15" t="e">
        <f>IF(#REF! = "yes", 1, 0)</f>
        <v>#REF!</v>
      </c>
      <c r="W15" t="e">
        <f>IF(#REF! &lt;= 1, "0-1 Calls", IF(#REF! &lt;= 3, "2-3 Calls", IF(#REF! &lt;=5, "4-5 Calls", "6+ Calls")))</f>
        <v>#REF!</v>
      </c>
      <c r="X15" t="e">
        <f>IF(#REF! &lt;= 50, "0-50", IF(#REF! &lt;=100, "51-100", IF(#REF! &lt;= 150, "101-150", "151+")))</f>
        <v>#REF!</v>
      </c>
      <c r="Y15" t="e">
        <f>IF(#REF! &lt;= 3, "Low Charges", "High Charges")</f>
        <v>#REF!</v>
      </c>
      <c r="Z15" t="e">
        <f>IF(#REF!&lt;=80,"Low Calls",
IF(#REF!&lt;=120,"Medium Calls","High Calls"))</f>
        <v>#REF!</v>
      </c>
      <c r="AA15" t="e">
        <f>IF(#REF!&lt;=15,"Low Charges",
IF(#REF!&lt;=20,"Medium Charges","High Charges"))</f>
        <v>#REF!</v>
      </c>
      <c r="AB15" t="e">
        <f>IF(AND(#REF!&gt;180, #REF!&gt;200), "Heavy Doemstic User", IF(#REF!&gt;10, "Interntional User", IF(AND(#REF!&lt;180, #REF!&lt;200,#REF!&lt;200), "Light User", "Balanced User")))</f>
        <v>#REF!</v>
      </c>
      <c r="AC15" t="e">
        <f>IF(#REF! = 0, "No Usage", IF(#REF! &lt;= 20, "Low Usage", IF(#REF! &lt;= 40, "Medium Usgae", "High Usage")))</f>
        <v>#REF!</v>
      </c>
      <c r="AD15" t="e">
        <f>IF(#REF!&lt;=150,"Low Usage", IF(#REF!&lt;=200,"Medium Usage", IF(#REF!&lt;=250,"High Usage","Very High Usage")))</f>
        <v>#REF!</v>
      </c>
      <c r="AE15" t="e">
        <f>IF(#REF!&lt;=5,"Low Calls", IF(#REF!&lt;=10, "Medium Calls", "High Calls"))</f>
        <v>#REF!</v>
      </c>
      <c r="AF15" t="e">
        <f xml:space="preserve">
IF(#REF!&gt;=4,4,0)+
IF(#REF!="yes",3,0)+
IF(#REF!="High Charges",3,0)+
IF(#REF!&gt;250,4,0)+
IF(#REF!="no",1,0)+
IF(#REF!="Heavy Domestic User",2,0)</f>
        <v>#REF!</v>
      </c>
      <c r="AG15" t="e">
        <f>IF(#REF!&gt;=10,"High Risk", IF(#REF!&gt;=5,"Medium Risk","Low Risk"))</f>
        <v>#REF!</v>
      </c>
      <c r="AH15" t="e">
        <f>#REF! + #REF! + #REF! + #REF!</f>
        <v>#REF!</v>
      </c>
    </row>
    <row r="16" spans="1:34" x14ac:dyDescent="0.35">
      <c r="A16">
        <v>15</v>
      </c>
      <c r="B16" t="s">
        <v>38</v>
      </c>
      <c r="C16">
        <v>76</v>
      </c>
      <c r="D16" t="s">
        <v>28</v>
      </c>
      <c r="E16" t="s">
        <v>22</v>
      </c>
      <c r="F16" t="s">
        <v>23</v>
      </c>
      <c r="G16">
        <v>33</v>
      </c>
      <c r="H16">
        <v>189.7</v>
      </c>
      <c r="I16">
        <v>66</v>
      </c>
      <c r="J16">
        <v>32.25</v>
      </c>
      <c r="K16">
        <v>212.8</v>
      </c>
      <c r="L16">
        <v>65</v>
      </c>
      <c r="M16">
        <v>18.09</v>
      </c>
      <c r="N16">
        <v>165.7</v>
      </c>
      <c r="O16">
        <v>108</v>
      </c>
      <c r="P16">
        <v>7.46</v>
      </c>
      <c r="Q16">
        <v>10</v>
      </c>
      <c r="R16">
        <v>5</v>
      </c>
      <c r="S16">
        <v>2.7</v>
      </c>
      <c r="T16">
        <v>1</v>
      </c>
      <c r="U16" t="s">
        <v>22</v>
      </c>
      <c r="V16" t="e">
        <f>IF(#REF! = "yes", 1, 0)</f>
        <v>#REF!</v>
      </c>
      <c r="W16" t="e">
        <f>IF(#REF! &lt;= 1, "0-1 Calls", IF(#REF! &lt;= 3, "2-3 Calls", IF(#REF! &lt;=5, "4-5 Calls", "6+ Calls")))</f>
        <v>#REF!</v>
      </c>
      <c r="X16" t="e">
        <f>IF(#REF! &lt;= 50, "0-50", IF(#REF! &lt;=100, "51-100", IF(#REF! &lt;= 150, "101-150", "151+")))</f>
        <v>#REF!</v>
      </c>
      <c r="Y16" t="e">
        <f>IF(#REF! &lt;= 3, "Low Charges", "High Charges")</f>
        <v>#REF!</v>
      </c>
      <c r="Z16" t="e">
        <f>IF(#REF!&lt;=80,"Low Calls",
IF(#REF!&lt;=120,"Medium Calls","High Calls"))</f>
        <v>#REF!</v>
      </c>
      <c r="AA16" t="e">
        <f>IF(#REF!&lt;=15,"Low Charges",
IF(#REF!&lt;=20,"Medium Charges","High Charges"))</f>
        <v>#REF!</v>
      </c>
      <c r="AB16" t="e">
        <f>IF(AND(#REF!&gt;180, #REF!&gt;200), "Heavy Doemstic User", IF(#REF!&gt;10, "Interntional User", IF(AND(#REF!&lt;180, #REF!&lt;200,#REF!&lt;200), "Light User", "Balanced User")))</f>
        <v>#REF!</v>
      </c>
      <c r="AC16" t="e">
        <f>IF(#REF! = 0, "No Usage", IF(#REF! &lt;= 20, "Low Usage", IF(#REF! &lt;= 40, "Medium Usgae", "High Usage")))</f>
        <v>#REF!</v>
      </c>
      <c r="AD16" t="e">
        <f>IF(#REF!&lt;=150,"Low Usage", IF(#REF!&lt;=200,"Medium Usage", IF(#REF!&lt;=250,"High Usage","Very High Usage")))</f>
        <v>#REF!</v>
      </c>
      <c r="AE16" t="e">
        <f>IF(#REF!&lt;=5,"Low Calls", IF(#REF!&lt;=10, "Medium Calls", "High Calls"))</f>
        <v>#REF!</v>
      </c>
      <c r="AF16" t="e">
        <f xml:space="preserve">
IF(#REF!&gt;=4,4,0)+
IF(#REF!="yes",3,0)+
IF(#REF!="High Charges",3,0)+
IF(#REF!&gt;250,4,0)+
IF(#REF!="no",1,0)+
IF(#REF!="Heavy Domestic User",2,0)</f>
        <v>#REF!</v>
      </c>
      <c r="AG16" t="e">
        <f>IF(#REF!&gt;=10,"High Risk", IF(#REF!&gt;=5,"Medium Risk","Low Risk"))</f>
        <v>#REF!</v>
      </c>
      <c r="AH16" t="e">
        <f>#REF! + #REF! + #REF! + #REF!</f>
        <v>#REF!</v>
      </c>
    </row>
    <row r="17" spans="1:34" x14ac:dyDescent="0.35">
      <c r="A17">
        <v>16</v>
      </c>
      <c r="B17" t="s">
        <v>39</v>
      </c>
      <c r="C17">
        <v>73</v>
      </c>
      <c r="D17" t="s">
        <v>21</v>
      </c>
      <c r="E17" t="s">
        <v>22</v>
      </c>
      <c r="F17" t="s">
        <v>22</v>
      </c>
      <c r="G17">
        <v>0</v>
      </c>
      <c r="H17">
        <v>224.4</v>
      </c>
      <c r="I17">
        <v>90</v>
      </c>
      <c r="J17">
        <v>38.15</v>
      </c>
      <c r="K17">
        <v>159.5</v>
      </c>
      <c r="L17">
        <v>88</v>
      </c>
      <c r="M17">
        <v>13.56</v>
      </c>
      <c r="N17">
        <v>192.8</v>
      </c>
      <c r="O17">
        <v>74</v>
      </c>
      <c r="P17">
        <v>8.68</v>
      </c>
      <c r="Q17">
        <v>13</v>
      </c>
      <c r="R17">
        <v>2</v>
      </c>
      <c r="S17">
        <v>3.51</v>
      </c>
      <c r="T17">
        <v>1</v>
      </c>
      <c r="U17" t="s">
        <v>22</v>
      </c>
      <c r="V17" t="e">
        <f>IF(#REF! = "yes", 1, 0)</f>
        <v>#REF!</v>
      </c>
      <c r="W17" t="e">
        <f>IF(#REF! &lt;= 1, "0-1 Calls", IF(#REF! &lt;= 3, "2-3 Calls", IF(#REF! &lt;=5, "4-5 Calls", "6+ Calls")))</f>
        <v>#REF!</v>
      </c>
      <c r="X17" t="e">
        <f>IF(#REF! &lt;= 50, "0-50", IF(#REF! &lt;=100, "51-100", IF(#REF! &lt;= 150, "101-150", "151+")))</f>
        <v>#REF!</v>
      </c>
      <c r="Y17" t="e">
        <f>IF(#REF! &lt;= 3, "Low Charges", "High Charges")</f>
        <v>#REF!</v>
      </c>
      <c r="Z17" t="e">
        <f>IF(#REF!&lt;=80,"Low Calls",
IF(#REF!&lt;=120,"Medium Calls","High Calls"))</f>
        <v>#REF!</v>
      </c>
      <c r="AA17" t="e">
        <f>IF(#REF!&lt;=15,"Low Charges",
IF(#REF!&lt;=20,"Medium Charges","High Charges"))</f>
        <v>#REF!</v>
      </c>
      <c r="AB17" t="e">
        <f>IF(AND(#REF!&gt;180, #REF!&gt;200), "Heavy Doemstic User", IF(#REF!&gt;10, "Interntional User", IF(AND(#REF!&lt;180, #REF!&lt;200,#REF!&lt;200), "Light User", "Balanced User")))</f>
        <v>#REF!</v>
      </c>
      <c r="AC17" t="e">
        <f>IF(#REF! = 0, "No Usage", IF(#REF! &lt;= 20, "Low Usage", IF(#REF! &lt;= 40, "Medium Usgae", "High Usage")))</f>
        <v>#REF!</v>
      </c>
      <c r="AD17" t="e">
        <f>IF(#REF!&lt;=150,"Low Usage", IF(#REF!&lt;=200,"Medium Usage", IF(#REF!&lt;=250,"High Usage","Very High Usage")))</f>
        <v>#REF!</v>
      </c>
      <c r="AE17" t="e">
        <f>IF(#REF!&lt;=5,"Low Calls", IF(#REF!&lt;=10, "Medium Calls", "High Calls"))</f>
        <v>#REF!</v>
      </c>
      <c r="AF17" t="e">
        <f xml:space="preserve">
IF(#REF!&gt;=4,4,0)+
IF(#REF!="yes",3,0)+
IF(#REF!="High Charges",3,0)+
IF(#REF!&gt;250,4,0)+
IF(#REF!="no",1,0)+
IF(#REF!="Heavy Domestic User",2,0)</f>
        <v>#REF!</v>
      </c>
      <c r="AG17" t="e">
        <f>IF(#REF!&gt;=10,"High Risk", IF(#REF!&gt;=5,"Medium Risk","Low Risk"))</f>
        <v>#REF!</v>
      </c>
      <c r="AH17" t="e">
        <f>#REF! + #REF! + #REF! + #REF!</f>
        <v>#REF!</v>
      </c>
    </row>
    <row r="18" spans="1:34" x14ac:dyDescent="0.35">
      <c r="A18">
        <v>17</v>
      </c>
      <c r="B18" t="s">
        <v>40</v>
      </c>
      <c r="C18">
        <v>147</v>
      </c>
      <c r="D18" t="s">
        <v>21</v>
      </c>
      <c r="E18" t="s">
        <v>22</v>
      </c>
      <c r="F18" t="s">
        <v>22</v>
      </c>
      <c r="G18">
        <v>0</v>
      </c>
      <c r="H18">
        <v>155.1</v>
      </c>
      <c r="I18">
        <v>117</v>
      </c>
      <c r="J18">
        <v>26.37</v>
      </c>
      <c r="K18">
        <v>239.7</v>
      </c>
      <c r="L18">
        <v>93</v>
      </c>
      <c r="M18">
        <v>20.37</v>
      </c>
      <c r="N18">
        <v>208.8</v>
      </c>
      <c r="O18">
        <v>133</v>
      </c>
      <c r="P18">
        <v>9.4</v>
      </c>
      <c r="Q18">
        <v>10.6</v>
      </c>
      <c r="R18">
        <v>4</v>
      </c>
      <c r="S18">
        <v>2.86</v>
      </c>
      <c r="T18">
        <v>0</v>
      </c>
      <c r="U18" t="s">
        <v>22</v>
      </c>
      <c r="V18" t="e">
        <f>IF(#REF! = "yes", 1, 0)</f>
        <v>#REF!</v>
      </c>
      <c r="W18" t="e">
        <f>IF(#REF! &lt;= 1, "0-1 Calls", IF(#REF! &lt;= 3, "2-3 Calls", IF(#REF! &lt;=5, "4-5 Calls", "6+ Calls")))</f>
        <v>#REF!</v>
      </c>
      <c r="X18" t="e">
        <f>IF(#REF! &lt;= 50, "0-50", IF(#REF! &lt;=100, "51-100", IF(#REF! &lt;= 150, "101-150", "151+")))</f>
        <v>#REF!</v>
      </c>
      <c r="Y18" t="e">
        <f>IF(#REF! &lt;= 3, "Low Charges", "High Charges")</f>
        <v>#REF!</v>
      </c>
      <c r="Z18" t="e">
        <f>IF(#REF!&lt;=80,"Low Calls",
IF(#REF!&lt;=120,"Medium Calls","High Calls"))</f>
        <v>#REF!</v>
      </c>
      <c r="AA18" t="e">
        <f>IF(#REF!&lt;=15,"Low Charges",
IF(#REF!&lt;=20,"Medium Charges","High Charges"))</f>
        <v>#REF!</v>
      </c>
      <c r="AB18" t="e">
        <f>IF(AND(#REF!&gt;180, #REF!&gt;200), "Heavy Doemstic User", IF(#REF!&gt;10, "Interntional User", IF(AND(#REF!&lt;180, #REF!&lt;200,#REF!&lt;200), "Light User", "Balanced User")))</f>
        <v>#REF!</v>
      </c>
      <c r="AC18" t="e">
        <f>IF(#REF! = 0, "No Usage", IF(#REF! &lt;= 20, "Low Usage", IF(#REF! &lt;= 40, "Medium Usgae", "High Usage")))</f>
        <v>#REF!</v>
      </c>
      <c r="AD18" t="e">
        <f>IF(#REF!&lt;=150,"Low Usage", IF(#REF!&lt;=200,"Medium Usage", IF(#REF!&lt;=250,"High Usage","Very High Usage")))</f>
        <v>#REF!</v>
      </c>
      <c r="AE18" t="e">
        <f>IF(#REF!&lt;=5,"Low Calls", IF(#REF!&lt;=10, "Medium Calls", "High Calls"))</f>
        <v>#REF!</v>
      </c>
      <c r="AF18" t="e">
        <f xml:space="preserve">
IF(#REF!&gt;=4,4,0)+
IF(#REF!="yes",3,0)+
IF(#REF!="High Charges",3,0)+
IF(#REF!&gt;250,4,0)+
IF(#REF!="no",1,0)+
IF(#REF!="Heavy Domestic User",2,0)</f>
        <v>#REF!</v>
      </c>
      <c r="AG18" t="e">
        <f>IF(#REF!&gt;=10,"High Risk", IF(#REF!&gt;=5,"Medium Risk","Low Risk"))</f>
        <v>#REF!</v>
      </c>
      <c r="AH18" t="e">
        <f>#REF! + #REF! + #REF! + #REF!</f>
        <v>#REF!</v>
      </c>
    </row>
    <row r="19" spans="1:34" x14ac:dyDescent="0.35">
      <c r="A19">
        <v>18</v>
      </c>
      <c r="B19" t="s">
        <v>41</v>
      </c>
      <c r="C19">
        <v>77</v>
      </c>
      <c r="D19" t="s">
        <v>25</v>
      </c>
      <c r="E19" t="s">
        <v>22</v>
      </c>
      <c r="F19" t="s">
        <v>22</v>
      </c>
      <c r="G19">
        <v>0</v>
      </c>
      <c r="H19">
        <v>62.4</v>
      </c>
      <c r="I19">
        <v>89</v>
      </c>
      <c r="J19">
        <v>10.61</v>
      </c>
      <c r="K19">
        <v>169.9</v>
      </c>
      <c r="L19">
        <v>121</v>
      </c>
      <c r="M19">
        <v>14.44</v>
      </c>
      <c r="N19">
        <v>209.6</v>
      </c>
      <c r="O19">
        <v>64</v>
      </c>
      <c r="P19">
        <v>9.43</v>
      </c>
      <c r="Q19">
        <v>5.7</v>
      </c>
      <c r="R19">
        <v>6</v>
      </c>
      <c r="S19">
        <v>1.54</v>
      </c>
      <c r="T19">
        <v>5</v>
      </c>
      <c r="U19" t="s">
        <v>23</v>
      </c>
      <c r="V19" t="e">
        <f>IF(#REF! = "yes", 1, 0)</f>
        <v>#REF!</v>
      </c>
      <c r="W19" t="e">
        <f>IF(#REF! &lt;= 1, "0-1 Calls", IF(#REF! &lt;= 3, "2-3 Calls", IF(#REF! &lt;=5, "4-5 Calls", "6+ Calls")))</f>
        <v>#REF!</v>
      </c>
      <c r="X19" t="e">
        <f>IF(#REF! &lt;= 50, "0-50", IF(#REF! &lt;=100, "51-100", IF(#REF! &lt;= 150, "101-150", "151+")))</f>
        <v>#REF!</v>
      </c>
      <c r="Y19" t="e">
        <f>IF(#REF! &lt;= 3, "Low Charges", "High Charges")</f>
        <v>#REF!</v>
      </c>
      <c r="Z19" t="e">
        <f>IF(#REF!&lt;=80,"Low Calls",
IF(#REF!&lt;=120,"Medium Calls","High Calls"))</f>
        <v>#REF!</v>
      </c>
      <c r="AA19" t="e">
        <f>IF(#REF!&lt;=15,"Low Charges",
IF(#REF!&lt;=20,"Medium Charges","High Charges"))</f>
        <v>#REF!</v>
      </c>
      <c r="AB19" t="e">
        <f>IF(AND(#REF!&gt;180, #REF!&gt;200), "Heavy Doemstic User", IF(#REF!&gt;10, "Interntional User", IF(AND(#REF!&lt;180, #REF!&lt;200,#REF!&lt;200), "Light User", "Balanced User")))</f>
        <v>#REF!</v>
      </c>
      <c r="AC19" t="e">
        <f>IF(#REF! = 0, "No Usage", IF(#REF! &lt;= 20, "Low Usage", IF(#REF! &lt;= 40, "Medium Usgae", "High Usage")))</f>
        <v>#REF!</v>
      </c>
      <c r="AD19" t="e">
        <f>IF(#REF!&lt;=150,"Low Usage", IF(#REF!&lt;=200,"Medium Usage", IF(#REF!&lt;=250,"High Usage","Very High Usage")))</f>
        <v>#REF!</v>
      </c>
      <c r="AE19" t="e">
        <f>IF(#REF!&lt;=5,"Low Calls", IF(#REF!&lt;=10, "Medium Calls", "High Calls"))</f>
        <v>#REF!</v>
      </c>
      <c r="AF19" t="e">
        <f xml:space="preserve">
IF(#REF!&gt;=4,4,0)+
IF(#REF!="yes",3,0)+
IF(#REF!="High Charges",3,0)+
IF(#REF!&gt;250,4,0)+
IF(#REF!="no",1,0)+
IF(#REF!="Heavy Domestic User",2,0)</f>
        <v>#REF!</v>
      </c>
      <c r="AG19" t="e">
        <f>IF(#REF!&gt;=10,"High Risk", IF(#REF!&gt;=5,"Medium Risk","Low Risk"))</f>
        <v>#REF!</v>
      </c>
      <c r="AH19" t="e">
        <f>#REF! + #REF! + #REF! + #REF!</f>
        <v>#REF!</v>
      </c>
    </row>
    <row r="20" spans="1:34" x14ac:dyDescent="0.35">
      <c r="A20">
        <v>19</v>
      </c>
      <c r="B20" t="s">
        <v>42</v>
      </c>
      <c r="C20">
        <v>130</v>
      </c>
      <c r="D20" t="s">
        <v>21</v>
      </c>
      <c r="E20" t="s">
        <v>22</v>
      </c>
      <c r="F20" t="s">
        <v>22</v>
      </c>
      <c r="G20">
        <v>0</v>
      </c>
      <c r="H20">
        <v>183</v>
      </c>
      <c r="I20">
        <v>112</v>
      </c>
      <c r="J20">
        <v>31.11</v>
      </c>
      <c r="K20">
        <v>72.900000000000006</v>
      </c>
      <c r="L20">
        <v>99</v>
      </c>
      <c r="M20">
        <v>6.2</v>
      </c>
      <c r="N20">
        <v>181.8</v>
      </c>
      <c r="O20">
        <v>78</v>
      </c>
      <c r="P20">
        <v>8.18</v>
      </c>
      <c r="Q20">
        <v>9.5</v>
      </c>
      <c r="R20">
        <v>19</v>
      </c>
      <c r="S20">
        <v>2.57</v>
      </c>
      <c r="T20">
        <v>0</v>
      </c>
      <c r="U20" t="s">
        <v>22</v>
      </c>
      <c r="V20" t="e">
        <f>IF(#REF! = "yes", 1, 0)</f>
        <v>#REF!</v>
      </c>
      <c r="W20" t="e">
        <f>IF(#REF! &lt;= 1, "0-1 Calls", IF(#REF! &lt;= 3, "2-3 Calls", IF(#REF! &lt;=5, "4-5 Calls", "6+ Calls")))</f>
        <v>#REF!</v>
      </c>
      <c r="X20" t="e">
        <f>IF(#REF! &lt;= 50, "0-50", IF(#REF! &lt;=100, "51-100", IF(#REF! &lt;= 150, "101-150", "151+")))</f>
        <v>#REF!</v>
      </c>
      <c r="Y20" t="e">
        <f>IF(#REF! &lt;= 3, "Low Charges", "High Charges")</f>
        <v>#REF!</v>
      </c>
      <c r="Z20" t="e">
        <f>IF(#REF!&lt;=80,"Low Calls",
IF(#REF!&lt;=120,"Medium Calls","High Calls"))</f>
        <v>#REF!</v>
      </c>
      <c r="AA20" t="e">
        <f>IF(#REF!&lt;=15,"Low Charges",
IF(#REF!&lt;=20,"Medium Charges","High Charges"))</f>
        <v>#REF!</v>
      </c>
      <c r="AB20" t="e">
        <f>IF(AND(#REF!&gt;180, #REF!&gt;200), "Heavy Doemstic User", IF(#REF!&gt;10, "Interntional User", IF(AND(#REF!&lt;180, #REF!&lt;200,#REF!&lt;200), "Light User", "Balanced User")))</f>
        <v>#REF!</v>
      </c>
      <c r="AC20" t="e">
        <f>IF(#REF! = 0, "No Usage", IF(#REF! &lt;= 20, "Low Usage", IF(#REF! &lt;= 40, "Medium Usgae", "High Usage")))</f>
        <v>#REF!</v>
      </c>
      <c r="AD20" t="e">
        <f>IF(#REF!&lt;=150,"Low Usage", IF(#REF!&lt;=200,"Medium Usage", IF(#REF!&lt;=250,"High Usage","Very High Usage")))</f>
        <v>#REF!</v>
      </c>
      <c r="AE20" t="e">
        <f>IF(#REF!&lt;=5,"Low Calls", IF(#REF!&lt;=10, "Medium Calls", "High Calls"))</f>
        <v>#REF!</v>
      </c>
      <c r="AF20" t="e">
        <f xml:space="preserve">
IF(#REF!&gt;=4,4,0)+
IF(#REF!="yes",3,0)+
IF(#REF!="High Charges",3,0)+
IF(#REF!&gt;250,4,0)+
IF(#REF!="no",1,0)+
IF(#REF!="Heavy Domestic User",2,0)</f>
        <v>#REF!</v>
      </c>
      <c r="AG20" t="e">
        <f>IF(#REF!&gt;=10,"High Risk", IF(#REF!&gt;=5,"Medium Risk","Low Risk"))</f>
        <v>#REF!</v>
      </c>
      <c r="AH20" t="e">
        <f>#REF! + #REF! + #REF! + #REF!</f>
        <v>#REF!</v>
      </c>
    </row>
    <row r="21" spans="1:34" x14ac:dyDescent="0.35">
      <c r="A21">
        <v>20</v>
      </c>
      <c r="B21" t="s">
        <v>43</v>
      </c>
      <c r="C21">
        <v>111</v>
      </c>
      <c r="D21" t="s">
        <v>21</v>
      </c>
      <c r="E21" t="s">
        <v>22</v>
      </c>
      <c r="F21" t="s">
        <v>22</v>
      </c>
      <c r="G21">
        <v>0</v>
      </c>
      <c r="H21">
        <v>110.4</v>
      </c>
      <c r="I21">
        <v>103</v>
      </c>
      <c r="J21">
        <v>18.77</v>
      </c>
      <c r="K21">
        <v>137.30000000000001</v>
      </c>
      <c r="L21">
        <v>102</v>
      </c>
      <c r="M21">
        <v>11.67</v>
      </c>
      <c r="N21">
        <v>189.6</v>
      </c>
      <c r="O21">
        <v>105</v>
      </c>
      <c r="P21">
        <v>8.5299999999999994</v>
      </c>
      <c r="Q21">
        <v>7.7</v>
      </c>
      <c r="R21">
        <v>6</v>
      </c>
      <c r="S21">
        <v>2.08</v>
      </c>
      <c r="T21">
        <v>2</v>
      </c>
      <c r="U21" t="s">
        <v>22</v>
      </c>
      <c r="V21" t="e">
        <f>IF(#REF! = "yes", 1, 0)</f>
        <v>#REF!</v>
      </c>
      <c r="W21" t="e">
        <f>IF(#REF! &lt;= 1, "0-1 Calls", IF(#REF! &lt;= 3, "2-3 Calls", IF(#REF! &lt;=5, "4-5 Calls", "6+ Calls")))</f>
        <v>#REF!</v>
      </c>
      <c r="X21" t="e">
        <f>IF(#REF! &lt;= 50, "0-50", IF(#REF! &lt;=100, "51-100", IF(#REF! &lt;= 150, "101-150", "151+")))</f>
        <v>#REF!</v>
      </c>
      <c r="Y21" t="e">
        <f>IF(#REF! &lt;= 3, "Low Charges", "High Charges")</f>
        <v>#REF!</v>
      </c>
      <c r="Z21" t="e">
        <f>IF(#REF!&lt;=80,"Low Calls",
IF(#REF!&lt;=120,"Medium Calls","High Calls"))</f>
        <v>#REF!</v>
      </c>
      <c r="AA21" t="e">
        <f>IF(#REF!&lt;=15,"Low Charges",
IF(#REF!&lt;=20,"Medium Charges","High Charges"))</f>
        <v>#REF!</v>
      </c>
      <c r="AB21" t="e">
        <f>IF(AND(#REF!&gt;180, #REF!&gt;200), "Heavy Doemstic User", IF(#REF!&gt;10, "Interntional User", IF(AND(#REF!&lt;180, #REF!&lt;200,#REF!&lt;200), "Light User", "Balanced User")))</f>
        <v>#REF!</v>
      </c>
      <c r="AC21" t="e">
        <f>IF(#REF! = 0, "No Usage", IF(#REF! &lt;= 20, "Low Usage", IF(#REF! &lt;= 40, "Medium Usgae", "High Usage")))</f>
        <v>#REF!</v>
      </c>
      <c r="AD21" t="e">
        <f>IF(#REF!&lt;=150,"Low Usage", IF(#REF!&lt;=200,"Medium Usage", IF(#REF!&lt;=250,"High Usage","Very High Usage")))</f>
        <v>#REF!</v>
      </c>
      <c r="AE21" t="e">
        <f>IF(#REF!&lt;=5,"Low Calls", IF(#REF!&lt;=10, "Medium Calls", "High Calls"))</f>
        <v>#REF!</v>
      </c>
      <c r="AF21" t="e">
        <f xml:space="preserve">
IF(#REF!&gt;=4,4,0)+
IF(#REF!="yes",3,0)+
IF(#REF!="High Charges",3,0)+
IF(#REF!&gt;250,4,0)+
IF(#REF!="no",1,0)+
IF(#REF!="Heavy Domestic User",2,0)</f>
        <v>#REF!</v>
      </c>
      <c r="AG21" t="e">
        <f>IF(#REF!&gt;=10,"High Risk", IF(#REF!&gt;=5,"Medium Risk","Low Risk"))</f>
        <v>#REF!</v>
      </c>
      <c r="AH21" t="e">
        <f>#REF! + #REF! + #REF! + #REF!</f>
        <v>#REF!</v>
      </c>
    </row>
    <row r="22" spans="1:34" x14ac:dyDescent="0.35">
      <c r="A22">
        <v>21</v>
      </c>
      <c r="B22" t="s">
        <v>38</v>
      </c>
      <c r="C22">
        <v>132</v>
      </c>
      <c r="D22" t="s">
        <v>28</v>
      </c>
      <c r="E22" t="s">
        <v>22</v>
      </c>
      <c r="F22" t="s">
        <v>22</v>
      </c>
      <c r="G22">
        <v>0</v>
      </c>
      <c r="H22">
        <v>81.099999999999994</v>
      </c>
      <c r="I22">
        <v>86</v>
      </c>
      <c r="J22">
        <v>13.79</v>
      </c>
      <c r="K22">
        <v>245.2</v>
      </c>
      <c r="L22">
        <v>72</v>
      </c>
      <c r="M22">
        <v>20.84</v>
      </c>
      <c r="N22">
        <v>237</v>
      </c>
      <c r="O22">
        <v>115</v>
      </c>
      <c r="P22">
        <v>10.67</v>
      </c>
      <c r="Q22">
        <v>10.3</v>
      </c>
      <c r="R22">
        <v>2</v>
      </c>
      <c r="S22">
        <v>2.78</v>
      </c>
      <c r="T22">
        <v>0</v>
      </c>
      <c r="U22" t="s">
        <v>22</v>
      </c>
      <c r="V22" t="e">
        <f>IF(#REF! = "yes", 1, 0)</f>
        <v>#REF!</v>
      </c>
      <c r="W22" t="e">
        <f>IF(#REF! &lt;= 1, "0-1 Calls", IF(#REF! &lt;= 3, "2-3 Calls", IF(#REF! &lt;=5, "4-5 Calls", "6+ Calls")))</f>
        <v>#REF!</v>
      </c>
      <c r="X22" t="e">
        <f>IF(#REF! &lt;= 50, "0-50", IF(#REF! &lt;=100, "51-100", IF(#REF! &lt;= 150, "101-150", "151+")))</f>
        <v>#REF!</v>
      </c>
      <c r="Y22" t="e">
        <f>IF(#REF! &lt;= 3, "Low Charges", "High Charges")</f>
        <v>#REF!</v>
      </c>
      <c r="Z22" t="e">
        <f>IF(#REF!&lt;=80,"Low Calls",
IF(#REF!&lt;=120,"Medium Calls","High Calls"))</f>
        <v>#REF!</v>
      </c>
      <c r="AA22" t="e">
        <f>IF(#REF!&lt;=15,"Low Charges",
IF(#REF!&lt;=20,"Medium Charges","High Charges"))</f>
        <v>#REF!</v>
      </c>
      <c r="AB22" t="e">
        <f>IF(AND(#REF!&gt;180, #REF!&gt;200), "Heavy Doemstic User", IF(#REF!&gt;10, "Interntional User", IF(AND(#REF!&lt;180, #REF!&lt;200,#REF!&lt;200), "Light User", "Balanced User")))</f>
        <v>#REF!</v>
      </c>
      <c r="AC22" t="e">
        <f>IF(#REF! = 0, "No Usage", IF(#REF! &lt;= 20, "Low Usage", IF(#REF! &lt;= 40, "Medium Usgae", "High Usage")))</f>
        <v>#REF!</v>
      </c>
      <c r="AD22" t="e">
        <f>IF(#REF!&lt;=150,"Low Usage", IF(#REF!&lt;=200,"Medium Usage", IF(#REF!&lt;=250,"High Usage","Very High Usage")))</f>
        <v>#REF!</v>
      </c>
      <c r="AE22" t="e">
        <f>IF(#REF!&lt;=5,"Low Calls", IF(#REF!&lt;=10, "Medium Calls", "High Calls"))</f>
        <v>#REF!</v>
      </c>
      <c r="AF22" t="e">
        <f xml:space="preserve">
IF(#REF!&gt;=4,4,0)+
IF(#REF!="yes",3,0)+
IF(#REF!="High Charges",3,0)+
IF(#REF!&gt;250,4,0)+
IF(#REF!="no",1,0)+
IF(#REF!="Heavy Domestic User",2,0)</f>
        <v>#REF!</v>
      </c>
      <c r="AG22" t="e">
        <f>IF(#REF!&gt;=10,"High Risk", IF(#REF!&gt;=5,"Medium Risk","Low Risk"))</f>
        <v>#REF!</v>
      </c>
      <c r="AH22" t="e">
        <f>#REF! + #REF! + #REF! + #REF!</f>
        <v>#REF!</v>
      </c>
    </row>
    <row r="23" spans="1:34" x14ac:dyDescent="0.35">
      <c r="A23">
        <v>22</v>
      </c>
      <c r="B23" t="s">
        <v>44</v>
      </c>
      <c r="C23">
        <v>57</v>
      </c>
      <c r="D23" t="s">
        <v>25</v>
      </c>
      <c r="E23" t="s">
        <v>22</v>
      </c>
      <c r="F23" t="s">
        <v>23</v>
      </c>
      <c r="G23">
        <v>39</v>
      </c>
      <c r="H23">
        <v>213</v>
      </c>
      <c r="I23">
        <v>115</v>
      </c>
      <c r="J23">
        <v>36.21</v>
      </c>
      <c r="K23">
        <v>191.1</v>
      </c>
      <c r="L23">
        <v>112</v>
      </c>
      <c r="M23">
        <v>16.239999999999998</v>
      </c>
      <c r="N23">
        <v>182.7</v>
      </c>
      <c r="O23">
        <v>115</v>
      </c>
      <c r="P23">
        <v>8.2200000000000006</v>
      </c>
      <c r="Q23">
        <v>9.5</v>
      </c>
      <c r="R23">
        <v>3</v>
      </c>
      <c r="S23">
        <v>2.57</v>
      </c>
      <c r="T23">
        <v>0</v>
      </c>
      <c r="U23" t="s">
        <v>22</v>
      </c>
      <c r="V23" t="e">
        <f>IF(#REF! = "yes", 1, 0)</f>
        <v>#REF!</v>
      </c>
      <c r="W23" t="e">
        <f>IF(#REF! &lt;= 1, "0-1 Calls", IF(#REF! &lt;= 3, "2-3 Calls", IF(#REF! &lt;=5, "4-5 Calls", "6+ Calls")))</f>
        <v>#REF!</v>
      </c>
      <c r="X23" t="e">
        <f>IF(#REF! &lt;= 50, "0-50", IF(#REF! &lt;=100, "51-100", IF(#REF! &lt;= 150, "101-150", "151+")))</f>
        <v>#REF!</v>
      </c>
      <c r="Y23" t="e">
        <f>IF(#REF! &lt;= 3, "Low Charges", "High Charges")</f>
        <v>#REF!</v>
      </c>
      <c r="Z23" t="e">
        <f>IF(#REF!&lt;=80,"Low Calls",
IF(#REF!&lt;=120,"Medium Calls","High Calls"))</f>
        <v>#REF!</v>
      </c>
      <c r="AA23" t="e">
        <f>IF(#REF!&lt;=15,"Low Charges",
IF(#REF!&lt;=20,"Medium Charges","High Charges"))</f>
        <v>#REF!</v>
      </c>
      <c r="AB23" t="e">
        <f>IF(AND(#REF!&gt;180, #REF!&gt;200), "Heavy Doemstic User", IF(#REF!&gt;10, "Interntional User", IF(AND(#REF!&lt;180, #REF!&lt;200,#REF!&lt;200), "Light User", "Balanced User")))</f>
        <v>#REF!</v>
      </c>
      <c r="AC23" t="e">
        <f>IF(#REF! = 0, "No Usage", IF(#REF! &lt;= 20, "Low Usage", IF(#REF! &lt;= 40, "Medium Usgae", "High Usage")))</f>
        <v>#REF!</v>
      </c>
      <c r="AD23" t="e">
        <f>IF(#REF!&lt;=150,"Low Usage", IF(#REF!&lt;=200,"Medium Usage", IF(#REF!&lt;=250,"High Usage","Very High Usage")))</f>
        <v>#REF!</v>
      </c>
      <c r="AE23" t="e">
        <f>IF(#REF!&lt;=5,"Low Calls", IF(#REF!&lt;=10, "Medium Calls", "High Calls"))</f>
        <v>#REF!</v>
      </c>
      <c r="AF23" t="e">
        <f xml:space="preserve">
IF(#REF!&gt;=4,4,0)+
IF(#REF!="yes",3,0)+
IF(#REF!="High Charges",3,0)+
IF(#REF!&gt;250,4,0)+
IF(#REF!="no",1,0)+
IF(#REF!="Heavy Domestic User",2,0)</f>
        <v>#REF!</v>
      </c>
      <c r="AG23" t="e">
        <f>IF(#REF!&gt;=10,"High Risk", IF(#REF!&gt;=5,"Medium Risk","Low Risk"))</f>
        <v>#REF!</v>
      </c>
      <c r="AH23" t="e">
        <f>#REF! + #REF! + #REF! + #REF!</f>
        <v>#REF!</v>
      </c>
    </row>
    <row r="24" spans="1:34" x14ac:dyDescent="0.35">
      <c r="A24">
        <v>23</v>
      </c>
      <c r="B24" t="s">
        <v>35</v>
      </c>
      <c r="C24">
        <v>54</v>
      </c>
      <c r="D24" t="s">
        <v>25</v>
      </c>
      <c r="E24" t="s">
        <v>22</v>
      </c>
      <c r="F24" t="s">
        <v>22</v>
      </c>
      <c r="G24">
        <v>0</v>
      </c>
      <c r="H24">
        <v>134.30000000000001</v>
      </c>
      <c r="I24">
        <v>73</v>
      </c>
      <c r="J24">
        <v>22.83</v>
      </c>
      <c r="K24">
        <v>155.5</v>
      </c>
      <c r="L24">
        <v>100</v>
      </c>
      <c r="M24">
        <v>13.22</v>
      </c>
      <c r="N24">
        <v>102.1</v>
      </c>
      <c r="O24">
        <v>68</v>
      </c>
      <c r="P24">
        <v>4.59</v>
      </c>
      <c r="Q24">
        <v>14.7</v>
      </c>
      <c r="R24">
        <v>4</v>
      </c>
      <c r="S24">
        <v>3.97</v>
      </c>
      <c r="T24">
        <v>3</v>
      </c>
      <c r="U24" t="s">
        <v>22</v>
      </c>
      <c r="V24" t="e">
        <f>IF(#REF! = "yes", 1, 0)</f>
        <v>#REF!</v>
      </c>
      <c r="W24" t="e">
        <f>IF(#REF! &lt;= 1, "0-1 Calls", IF(#REF! &lt;= 3, "2-3 Calls", IF(#REF! &lt;=5, "4-5 Calls", "6+ Calls")))</f>
        <v>#REF!</v>
      </c>
      <c r="X24" t="e">
        <f>IF(#REF! &lt;= 50, "0-50", IF(#REF! &lt;=100, "51-100", IF(#REF! &lt;= 150, "101-150", "151+")))</f>
        <v>#REF!</v>
      </c>
      <c r="Y24" t="e">
        <f>IF(#REF! &lt;= 3, "Low Charges", "High Charges")</f>
        <v>#REF!</v>
      </c>
      <c r="Z24" t="e">
        <f>IF(#REF!&lt;=80,"Low Calls",
IF(#REF!&lt;=120,"Medium Calls","High Calls"))</f>
        <v>#REF!</v>
      </c>
      <c r="AA24" t="e">
        <f>IF(#REF!&lt;=15,"Low Charges",
IF(#REF!&lt;=20,"Medium Charges","High Charges"))</f>
        <v>#REF!</v>
      </c>
      <c r="AB24" t="e">
        <f>IF(AND(#REF!&gt;180, #REF!&gt;200), "Heavy Doemstic User", IF(#REF!&gt;10, "Interntional User", IF(AND(#REF!&lt;180, #REF!&lt;200,#REF!&lt;200), "Light User", "Balanced User")))</f>
        <v>#REF!</v>
      </c>
      <c r="AC24" t="e">
        <f>IF(#REF! = 0, "No Usage", IF(#REF! &lt;= 20, "Low Usage", IF(#REF! &lt;= 40, "Medium Usgae", "High Usage")))</f>
        <v>#REF!</v>
      </c>
      <c r="AD24" t="e">
        <f>IF(#REF!&lt;=150,"Low Usage", IF(#REF!&lt;=200,"Medium Usage", IF(#REF!&lt;=250,"High Usage","Very High Usage")))</f>
        <v>#REF!</v>
      </c>
      <c r="AE24" t="e">
        <f>IF(#REF!&lt;=5,"Low Calls", IF(#REF!&lt;=10, "Medium Calls", "High Calls"))</f>
        <v>#REF!</v>
      </c>
      <c r="AF24" t="e">
        <f xml:space="preserve">
IF(#REF!&gt;=4,4,0)+
IF(#REF!="yes",3,0)+
IF(#REF!="High Charges",3,0)+
IF(#REF!&gt;250,4,0)+
IF(#REF!="no",1,0)+
IF(#REF!="Heavy Domestic User",2,0)</f>
        <v>#REF!</v>
      </c>
      <c r="AG24" t="e">
        <f>IF(#REF!&gt;=10,"High Risk", IF(#REF!&gt;=5,"Medium Risk","Low Risk"))</f>
        <v>#REF!</v>
      </c>
      <c r="AH24" t="e">
        <f>#REF! + #REF! + #REF! + #REF!</f>
        <v>#REF!</v>
      </c>
    </row>
    <row r="25" spans="1:34" x14ac:dyDescent="0.35">
      <c r="A25">
        <v>24</v>
      </c>
      <c r="B25" t="s">
        <v>29</v>
      </c>
      <c r="C25">
        <v>20</v>
      </c>
      <c r="D25" t="s">
        <v>21</v>
      </c>
      <c r="E25" t="s">
        <v>22</v>
      </c>
      <c r="F25" t="s">
        <v>22</v>
      </c>
      <c r="G25">
        <v>0</v>
      </c>
      <c r="H25">
        <v>190</v>
      </c>
      <c r="I25">
        <v>109</v>
      </c>
      <c r="J25">
        <v>32.299999999999997</v>
      </c>
      <c r="K25">
        <v>258.2</v>
      </c>
      <c r="L25">
        <v>84</v>
      </c>
      <c r="M25">
        <v>21.95</v>
      </c>
      <c r="N25">
        <v>181.5</v>
      </c>
      <c r="O25">
        <v>102</v>
      </c>
      <c r="P25">
        <v>8.17</v>
      </c>
      <c r="Q25">
        <v>6.3</v>
      </c>
      <c r="R25">
        <v>6</v>
      </c>
      <c r="S25">
        <v>1.7</v>
      </c>
      <c r="T25">
        <v>0</v>
      </c>
      <c r="U25" t="s">
        <v>22</v>
      </c>
      <c r="V25" t="e">
        <f>IF(#REF! = "yes", 1, 0)</f>
        <v>#REF!</v>
      </c>
      <c r="W25" t="e">
        <f>IF(#REF! &lt;= 1, "0-1 Calls", IF(#REF! &lt;= 3, "2-3 Calls", IF(#REF! &lt;=5, "4-5 Calls", "6+ Calls")))</f>
        <v>#REF!</v>
      </c>
      <c r="X25" t="e">
        <f>IF(#REF! &lt;= 50, "0-50", IF(#REF! &lt;=100, "51-100", IF(#REF! &lt;= 150, "101-150", "151+")))</f>
        <v>#REF!</v>
      </c>
      <c r="Y25" t="e">
        <f>IF(#REF! &lt;= 3, "Low Charges", "High Charges")</f>
        <v>#REF!</v>
      </c>
      <c r="Z25" t="e">
        <f>IF(#REF!&lt;=80,"Low Calls",
IF(#REF!&lt;=120,"Medium Calls","High Calls"))</f>
        <v>#REF!</v>
      </c>
      <c r="AA25" t="e">
        <f>IF(#REF!&lt;=15,"Low Charges",
IF(#REF!&lt;=20,"Medium Charges","High Charges"))</f>
        <v>#REF!</v>
      </c>
      <c r="AB25" t="e">
        <f>IF(AND(#REF!&gt;180, #REF!&gt;200), "Heavy Doemstic User", IF(#REF!&gt;10, "Interntional User", IF(AND(#REF!&lt;180, #REF!&lt;200,#REF!&lt;200), "Light User", "Balanced User")))</f>
        <v>#REF!</v>
      </c>
      <c r="AC25" t="e">
        <f>IF(#REF! = 0, "No Usage", IF(#REF! &lt;= 20, "Low Usage", IF(#REF! &lt;= 40, "Medium Usgae", "High Usage")))</f>
        <v>#REF!</v>
      </c>
      <c r="AD25" t="e">
        <f>IF(#REF!&lt;=150,"Low Usage", IF(#REF!&lt;=200,"Medium Usage", IF(#REF!&lt;=250,"High Usage","Very High Usage")))</f>
        <v>#REF!</v>
      </c>
      <c r="AE25" t="e">
        <f>IF(#REF!&lt;=5,"Low Calls", IF(#REF!&lt;=10, "Medium Calls", "High Calls"))</f>
        <v>#REF!</v>
      </c>
      <c r="AF25" t="e">
        <f xml:space="preserve">
IF(#REF!&gt;=4,4,0)+
IF(#REF!="yes",3,0)+
IF(#REF!="High Charges",3,0)+
IF(#REF!&gt;250,4,0)+
IF(#REF!="no",1,0)+
IF(#REF!="Heavy Domestic User",2,0)</f>
        <v>#REF!</v>
      </c>
      <c r="AG25" t="e">
        <f>IF(#REF!&gt;=10,"High Risk", IF(#REF!&gt;=5,"Medium Risk","Low Risk"))</f>
        <v>#REF!</v>
      </c>
      <c r="AH25" t="e">
        <f>#REF! + #REF! + #REF! + #REF!</f>
        <v>#REF!</v>
      </c>
    </row>
    <row r="26" spans="1:34" x14ac:dyDescent="0.35">
      <c r="A26">
        <v>25</v>
      </c>
      <c r="B26" t="s">
        <v>45</v>
      </c>
      <c r="C26">
        <v>49</v>
      </c>
      <c r="D26" t="s">
        <v>28</v>
      </c>
      <c r="E26" t="s">
        <v>22</v>
      </c>
      <c r="F26" t="s">
        <v>22</v>
      </c>
      <c r="G26">
        <v>0</v>
      </c>
      <c r="H26">
        <v>119.3</v>
      </c>
      <c r="I26">
        <v>117</v>
      </c>
      <c r="J26">
        <v>20.28</v>
      </c>
      <c r="K26">
        <v>215.1</v>
      </c>
      <c r="L26">
        <v>109</v>
      </c>
      <c r="M26">
        <v>18.28</v>
      </c>
      <c r="N26">
        <v>178.7</v>
      </c>
      <c r="O26">
        <v>90</v>
      </c>
      <c r="P26">
        <v>8.0399999999999991</v>
      </c>
      <c r="Q26">
        <v>11.1</v>
      </c>
      <c r="R26">
        <v>1</v>
      </c>
      <c r="S26">
        <v>3</v>
      </c>
      <c r="T26">
        <v>1</v>
      </c>
      <c r="U26" t="s">
        <v>22</v>
      </c>
      <c r="V26" t="e">
        <f>IF(#REF! = "yes", 1, 0)</f>
        <v>#REF!</v>
      </c>
      <c r="W26" t="e">
        <f>IF(#REF! &lt;= 1, "0-1 Calls", IF(#REF! &lt;= 3, "2-3 Calls", IF(#REF! &lt;=5, "4-5 Calls", "6+ Calls")))</f>
        <v>#REF!</v>
      </c>
      <c r="X26" t="e">
        <f>IF(#REF! &lt;= 50, "0-50", IF(#REF! &lt;=100, "51-100", IF(#REF! &lt;= 150, "101-150", "151+")))</f>
        <v>#REF!</v>
      </c>
      <c r="Y26" t="e">
        <f>IF(#REF! &lt;= 3, "Low Charges", "High Charges")</f>
        <v>#REF!</v>
      </c>
      <c r="Z26" t="e">
        <f>IF(#REF!&lt;=80,"Low Calls",
IF(#REF!&lt;=120,"Medium Calls","High Calls"))</f>
        <v>#REF!</v>
      </c>
      <c r="AA26" t="e">
        <f>IF(#REF!&lt;=15,"Low Charges",
IF(#REF!&lt;=20,"Medium Charges","High Charges"))</f>
        <v>#REF!</v>
      </c>
      <c r="AB26" t="e">
        <f>IF(AND(#REF!&gt;180, #REF!&gt;200), "Heavy Doemstic User", IF(#REF!&gt;10, "Interntional User", IF(AND(#REF!&lt;180, #REF!&lt;200,#REF!&lt;200), "Light User", "Balanced User")))</f>
        <v>#REF!</v>
      </c>
      <c r="AC26" t="e">
        <f>IF(#REF! = 0, "No Usage", IF(#REF! &lt;= 20, "Low Usage", IF(#REF! &lt;= 40, "Medium Usgae", "High Usage")))</f>
        <v>#REF!</v>
      </c>
      <c r="AD26" t="e">
        <f>IF(#REF!&lt;=150,"Low Usage", IF(#REF!&lt;=200,"Medium Usage", IF(#REF!&lt;=250,"High Usage","Very High Usage")))</f>
        <v>#REF!</v>
      </c>
      <c r="AE26" t="e">
        <f>IF(#REF!&lt;=5,"Low Calls", IF(#REF!&lt;=10, "Medium Calls", "High Calls"))</f>
        <v>#REF!</v>
      </c>
      <c r="AF26" t="e">
        <f xml:space="preserve">
IF(#REF!&gt;=4,4,0)+
IF(#REF!="yes",3,0)+
IF(#REF!="High Charges",3,0)+
IF(#REF!&gt;250,4,0)+
IF(#REF!="no",1,0)+
IF(#REF!="Heavy Domestic User",2,0)</f>
        <v>#REF!</v>
      </c>
      <c r="AG26" t="e">
        <f>IF(#REF!&gt;=10,"High Risk", IF(#REF!&gt;=5,"Medium Risk","Low Risk"))</f>
        <v>#REF!</v>
      </c>
      <c r="AH26" t="e">
        <f>#REF! + #REF! + #REF! + #REF!</f>
        <v>#REF!</v>
      </c>
    </row>
    <row r="27" spans="1:34" x14ac:dyDescent="0.35">
      <c r="A27">
        <v>26</v>
      </c>
      <c r="B27" t="s">
        <v>46</v>
      </c>
      <c r="C27">
        <v>75</v>
      </c>
      <c r="D27" t="s">
        <v>28</v>
      </c>
      <c r="E27" t="s">
        <v>22</v>
      </c>
      <c r="F27" t="s">
        <v>22</v>
      </c>
      <c r="G27">
        <v>0</v>
      </c>
      <c r="H27">
        <v>226.1</v>
      </c>
      <c r="I27">
        <v>105</v>
      </c>
      <c r="J27">
        <v>38.44</v>
      </c>
      <c r="K27">
        <v>201.5</v>
      </c>
      <c r="L27">
        <v>107</v>
      </c>
      <c r="M27">
        <v>17.13</v>
      </c>
      <c r="N27">
        <v>246.2</v>
      </c>
      <c r="O27">
        <v>98</v>
      </c>
      <c r="P27">
        <v>11.08</v>
      </c>
      <c r="Q27">
        <v>10.3</v>
      </c>
      <c r="R27">
        <v>5</v>
      </c>
      <c r="S27">
        <v>2.78</v>
      </c>
      <c r="T27">
        <v>1</v>
      </c>
      <c r="U27" t="s">
        <v>22</v>
      </c>
      <c r="V27" t="e">
        <f>IF(#REF! = "yes", 1, 0)</f>
        <v>#REF!</v>
      </c>
      <c r="W27" t="e">
        <f>IF(#REF! &lt;= 1, "0-1 Calls", IF(#REF! &lt;= 3, "2-3 Calls", IF(#REF! &lt;=5, "4-5 Calls", "6+ Calls")))</f>
        <v>#REF!</v>
      </c>
      <c r="X27" t="e">
        <f>IF(#REF! &lt;= 50, "0-50", IF(#REF! &lt;=100, "51-100", IF(#REF! &lt;= 150, "101-150", "151+")))</f>
        <v>#REF!</v>
      </c>
      <c r="Y27" t="e">
        <f>IF(#REF! &lt;= 3, "Low Charges", "High Charges")</f>
        <v>#REF!</v>
      </c>
      <c r="Z27" t="e">
        <f>IF(#REF!&lt;=80,"Low Calls",
IF(#REF!&lt;=120,"Medium Calls","High Calls"))</f>
        <v>#REF!</v>
      </c>
      <c r="AA27" t="e">
        <f>IF(#REF!&lt;=15,"Low Charges",
IF(#REF!&lt;=20,"Medium Charges","High Charges"))</f>
        <v>#REF!</v>
      </c>
      <c r="AB27" t="e">
        <f>IF(AND(#REF!&gt;180, #REF!&gt;200), "Heavy Doemstic User", IF(#REF!&gt;10, "Interntional User", IF(AND(#REF!&lt;180, #REF!&lt;200,#REF!&lt;200), "Light User", "Balanced User")))</f>
        <v>#REF!</v>
      </c>
      <c r="AC27" t="e">
        <f>IF(#REF! = 0, "No Usage", IF(#REF! &lt;= 20, "Low Usage", IF(#REF! &lt;= 40, "Medium Usgae", "High Usage")))</f>
        <v>#REF!</v>
      </c>
      <c r="AD27" t="e">
        <f>IF(#REF!&lt;=150,"Low Usage", IF(#REF!&lt;=200,"Medium Usage", IF(#REF!&lt;=250,"High Usage","Very High Usage")))</f>
        <v>#REF!</v>
      </c>
      <c r="AE27" t="e">
        <f>IF(#REF!&lt;=5,"Low Calls", IF(#REF!&lt;=10, "Medium Calls", "High Calls"))</f>
        <v>#REF!</v>
      </c>
      <c r="AF27" t="e">
        <f xml:space="preserve">
IF(#REF!&gt;=4,4,0)+
IF(#REF!="yes",3,0)+
IF(#REF!="High Charges",3,0)+
IF(#REF!&gt;250,4,0)+
IF(#REF!="no",1,0)+
IF(#REF!="Heavy Domestic User",2,0)</f>
        <v>#REF!</v>
      </c>
      <c r="AG27" t="e">
        <f>IF(#REF!&gt;=10,"High Risk", IF(#REF!&gt;=5,"Medium Risk","Low Risk"))</f>
        <v>#REF!</v>
      </c>
      <c r="AH27" t="e">
        <f>#REF! + #REF! + #REF! + #REF!</f>
        <v>#REF!</v>
      </c>
    </row>
    <row r="28" spans="1:34" x14ac:dyDescent="0.35">
      <c r="A28">
        <v>27</v>
      </c>
      <c r="B28" t="s">
        <v>42</v>
      </c>
      <c r="C28">
        <v>12</v>
      </c>
      <c r="D28" t="s">
        <v>25</v>
      </c>
      <c r="E28" t="s">
        <v>22</v>
      </c>
      <c r="F28" t="s">
        <v>22</v>
      </c>
      <c r="G28">
        <v>0</v>
      </c>
      <c r="H28">
        <v>249.6</v>
      </c>
      <c r="I28">
        <v>118</v>
      </c>
      <c r="J28">
        <v>42.43</v>
      </c>
      <c r="K28">
        <v>252.4</v>
      </c>
      <c r="L28">
        <v>119</v>
      </c>
      <c r="M28">
        <v>21.45</v>
      </c>
      <c r="N28">
        <v>280.2</v>
      </c>
      <c r="O28">
        <v>90</v>
      </c>
      <c r="P28">
        <v>12.61</v>
      </c>
      <c r="Q28">
        <v>11.8</v>
      </c>
      <c r="R28">
        <v>3</v>
      </c>
      <c r="S28">
        <v>3.19</v>
      </c>
      <c r="T28">
        <v>1</v>
      </c>
      <c r="U28" t="s">
        <v>23</v>
      </c>
      <c r="V28" t="e">
        <f>IF(#REF! = "yes", 1, 0)</f>
        <v>#REF!</v>
      </c>
      <c r="W28" t="e">
        <f>IF(#REF! &lt;= 1, "0-1 Calls", IF(#REF! &lt;= 3, "2-3 Calls", IF(#REF! &lt;=5, "4-5 Calls", "6+ Calls")))</f>
        <v>#REF!</v>
      </c>
      <c r="X28" t="e">
        <f>IF(#REF! &lt;= 50, "0-50", IF(#REF! &lt;=100, "51-100", IF(#REF! &lt;= 150, "101-150", "151+")))</f>
        <v>#REF!</v>
      </c>
      <c r="Y28" t="e">
        <f>IF(#REF! &lt;= 3, "Low Charges", "High Charges")</f>
        <v>#REF!</v>
      </c>
      <c r="Z28" t="e">
        <f>IF(#REF!&lt;=80,"Low Calls",
IF(#REF!&lt;=120,"Medium Calls","High Calls"))</f>
        <v>#REF!</v>
      </c>
      <c r="AA28" t="e">
        <f>IF(#REF!&lt;=15,"Low Charges",
IF(#REF!&lt;=20,"Medium Charges","High Charges"))</f>
        <v>#REF!</v>
      </c>
      <c r="AB28" t="e">
        <f>IF(AND(#REF!&gt;180, #REF!&gt;200), "Heavy Doemstic User", IF(#REF!&gt;10, "Interntional User", IF(AND(#REF!&lt;180, #REF!&lt;200,#REF!&lt;200), "Light User", "Balanced User")))</f>
        <v>#REF!</v>
      </c>
      <c r="AC28" t="e">
        <f>IF(#REF! = 0, "No Usage", IF(#REF! &lt;= 20, "Low Usage", IF(#REF! &lt;= 40, "Medium Usgae", "High Usage")))</f>
        <v>#REF!</v>
      </c>
      <c r="AD28" t="e">
        <f>IF(#REF!&lt;=150,"Low Usage", IF(#REF!&lt;=200,"Medium Usage", IF(#REF!&lt;=250,"High Usage","Very High Usage")))</f>
        <v>#REF!</v>
      </c>
      <c r="AE28" t="e">
        <f>IF(#REF!&lt;=5,"Low Calls", IF(#REF!&lt;=10, "Medium Calls", "High Calls"))</f>
        <v>#REF!</v>
      </c>
      <c r="AF28" t="e">
        <f xml:space="preserve">
IF(#REF!&gt;=4,4,0)+
IF(#REF!="yes",3,0)+
IF(#REF!="High Charges",3,0)+
IF(#REF!&gt;250,4,0)+
IF(#REF!="no",1,0)+
IF(#REF!="Heavy Domestic User",2,0)</f>
        <v>#REF!</v>
      </c>
      <c r="AG28" t="e">
        <f>IF(#REF!&gt;=10,"High Risk", IF(#REF!&gt;=5,"Medium Risk","Low Risk"))</f>
        <v>#REF!</v>
      </c>
      <c r="AH28" t="e">
        <f>#REF! + #REF! + #REF! + #REF!</f>
        <v>#REF!</v>
      </c>
    </row>
    <row r="29" spans="1:34" x14ac:dyDescent="0.35">
      <c r="A29">
        <v>28</v>
      </c>
      <c r="B29" t="s">
        <v>26</v>
      </c>
      <c r="C29">
        <v>57</v>
      </c>
      <c r="D29" t="s">
        <v>25</v>
      </c>
      <c r="E29" t="s">
        <v>22</v>
      </c>
      <c r="F29" t="s">
        <v>23</v>
      </c>
      <c r="G29">
        <v>25</v>
      </c>
      <c r="H29">
        <v>176.8</v>
      </c>
      <c r="I29">
        <v>94</v>
      </c>
      <c r="J29">
        <v>30.06</v>
      </c>
      <c r="K29">
        <v>195</v>
      </c>
      <c r="L29">
        <v>75</v>
      </c>
      <c r="M29">
        <v>16.579999999999998</v>
      </c>
      <c r="N29">
        <v>213.5</v>
      </c>
      <c r="O29">
        <v>116</v>
      </c>
      <c r="P29">
        <v>9.61</v>
      </c>
      <c r="Q29">
        <v>8.3000000000000007</v>
      </c>
      <c r="R29">
        <v>4</v>
      </c>
      <c r="S29">
        <v>2.2400000000000002</v>
      </c>
      <c r="T29">
        <v>0</v>
      </c>
      <c r="U29" t="s">
        <v>22</v>
      </c>
      <c r="V29" t="e">
        <f>IF(#REF! = "yes", 1, 0)</f>
        <v>#REF!</v>
      </c>
      <c r="W29" t="e">
        <f>IF(#REF! &lt;= 1, "0-1 Calls", IF(#REF! &lt;= 3, "2-3 Calls", IF(#REF! &lt;=5, "4-5 Calls", "6+ Calls")))</f>
        <v>#REF!</v>
      </c>
      <c r="X29" t="e">
        <f>IF(#REF! &lt;= 50, "0-50", IF(#REF! &lt;=100, "51-100", IF(#REF! &lt;= 150, "101-150", "151+")))</f>
        <v>#REF!</v>
      </c>
      <c r="Y29" t="e">
        <f>IF(#REF! &lt;= 3, "Low Charges", "High Charges")</f>
        <v>#REF!</v>
      </c>
      <c r="Z29" t="e">
        <f>IF(#REF!&lt;=80,"Low Calls",
IF(#REF!&lt;=120,"Medium Calls","High Calls"))</f>
        <v>#REF!</v>
      </c>
      <c r="AA29" t="e">
        <f>IF(#REF!&lt;=15,"Low Charges",
IF(#REF!&lt;=20,"Medium Charges","High Charges"))</f>
        <v>#REF!</v>
      </c>
      <c r="AB29" t="e">
        <f>IF(AND(#REF!&gt;180, #REF!&gt;200), "Heavy Doemstic User", IF(#REF!&gt;10, "Interntional User", IF(AND(#REF!&lt;180, #REF!&lt;200,#REF!&lt;200), "Light User", "Balanced User")))</f>
        <v>#REF!</v>
      </c>
      <c r="AC29" t="e">
        <f>IF(#REF! = 0, "No Usage", IF(#REF! &lt;= 20, "Low Usage", IF(#REF! &lt;= 40, "Medium Usgae", "High Usage")))</f>
        <v>#REF!</v>
      </c>
      <c r="AD29" t="e">
        <f>IF(#REF!&lt;=150,"Low Usage", IF(#REF!&lt;=200,"Medium Usage", IF(#REF!&lt;=250,"High Usage","Very High Usage")))</f>
        <v>#REF!</v>
      </c>
      <c r="AE29" t="e">
        <f>IF(#REF!&lt;=5,"Low Calls", IF(#REF!&lt;=10, "Medium Calls", "High Calls"))</f>
        <v>#REF!</v>
      </c>
      <c r="AF29" t="e">
        <f xml:space="preserve">
IF(#REF!&gt;=4,4,0)+
IF(#REF!="yes",3,0)+
IF(#REF!="High Charges",3,0)+
IF(#REF!&gt;250,4,0)+
IF(#REF!="no",1,0)+
IF(#REF!="Heavy Domestic User",2,0)</f>
        <v>#REF!</v>
      </c>
      <c r="AG29" t="e">
        <f>IF(#REF!&gt;=10,"High Risk", IF(#REF!&gt;=5,"Medium Risk","Low Risk"))</f>
        <v>#REF!</v>
      </c>
      <c r="AH29" t="e">
        <f>#REF! + #REF! + #REF! + #REF!</f>
        <v>#REF!</v>
      </c>
    </row>
    <row r="30" spans="1:34" x14ac:dyDescent="0.35">
      <c r="A30">
        <v>29</v>
      </c>
      <c r="B30" t="s">
        <v>47</v>
      </c>
      <c r="C30">
        <v>36</v>
      </c>
      <c r="D30" t="s">
        <v>25</v>
      </c>
      <c r="E30" t="s">
        <v>22</v>
      </c>
      <c r="F30" t="s">
        <v>23</v>
      </c>
      <c r="G30">
        <v>30</v>
      </c>
      <c r="H30">
        <v>146.30000000000001</v>
      </c>
      <c r="I30">
        <v>128</v>
      </c>
      <c r="J30">
        <v>24.87</v>
      </c>
      <c r="K30">
        <v>162.5</v>
      </c>
      <c r="L30">
        <v>80</v>
      </c>
      <c r="M30">
        <v>13.81</v>
      </c>
      <c r="N30">
        <v>129.30000000000001</v>
      </c>
      <c r="O30">
        <v>109</v>
      </c>
      <c r="P30">
        <v>5.82</v>
      </c>
      <c r="Q30">
        <v>14.5</v>
      </c>
      <c r="R30">
        <v>6</v>
      </c>
      <c r="S30">
        <v>3.92</v>
      </c>
      <c r="T30">
        <v>0</v>
      </c>
      <c r="U30" t="s">
        <v>22</v>
      </c>
      <c r="V30" t="e">
        <f>IF(#REF! = "yes", 1, 0)</f>
        <v>#REF!</v>
      </c>
      <c r="W30" t="e">
        <f>IF(#REF! &lt;= 1, "0-1 Calls", IF(#REF! &lt;= 3, "2-3 Calls", IF(#REF! &lt;=5, "4-5 Calls", "6+ Calls")))</f>
        <v>#REF!</v>
      </c>
      <c r="X30" t="e">
        <f>IF(#REF! &lt;= 50, "0-50", IF(#REF! &lt;=100, "51-100", IF(#REF! &lt;= 150, "101-150", "151+")))</f>
        <v>#REF!</v>
      </c>
      <c r="Y30" t="e">
        <f>IF(#REF! &lt;= 3, "Low Charges", "High Charges")</f>
        <v>#REF!</v>
      </c>
      <c r="Z30" t="e">
        <f>IF(#REF!&lt;=80,"Low Calls",
IF(#REF!&lt;=120,"Medium Calls","High Calls"))</f>
        <v>#REF!</v>
      </c>
      <c r="AA30" t="e">
        <f>IF(#REF!&lt;=15,"Low Charges",
IF(#REF!&lt;=20,"Medium Charges","High Charges"))</f>
        <v>#REF!</v>
      </c>
      <c r="AB30" t="e">
        <f>IF(AND(#REF!&gt;180, #REF!&gt;200), "Heavy Doemstic User", IF(#REF!&gt;10, "Interntional User", IF(AND(#REF!&lt;180, #REF!&lt;200,#REF!&lt;200), "Light User", "Balanced User")))</f>
        <v>#REF!</v>
      </c>
      <c r="AC30" t="e">
        <f>IF(#REF! = 0, "No Usage", IF(#REF! &lt;= 20, "Low Usage", IF(#REF! &lt;= 40, "Medium Usgae", "High Usage")))</f>
        <v>#REF!</v>
      </c>
      <c r="AD30" t="e">
        <f>IF(#REF!&lt;=150,"Low Usage", IF(#REF!&lt;=200,"Medium Usage", IF(#REF!&lt;=250,"High Usage","Very High Usage")))</f>
        <v>#REF!</v>
      </c>
      <c r="AE30" t="e">
        <f>IF(#REF!&lt;=5,"Low Calls", IF(#REF!&lt;=10, "Medium Calls", "High Calls"))</f>
        <v>#REF!</v>
      </c>
      <c r="AF30" t="e">
        <f xml:space="preserve">
IF(#REF!&gt;=4,4,0)+
IF(#REF!="yes",3,0)+
IF(#REF!="High Charges",3,0)+
IF(#REF!&gt;250,4,0)+
IF(#REF!="no",1,0)+
IF(#REF!="Heavy Domestic User",2,0)</f>
        <v>#REF!</v>
      </c>
      <c r="AG30" t="e">
        <f>IF(#REF!&gt;=10,"High Risk", IF(#REF!&gt;=5,"Medium Risk","Low Risk"))</f>
        <v>#REF!</v>
      </c>
      <c r="AH30" t="e">
        <f>#REF! + #REF! + #REF! + #REF!</f>
        <v>#REF!</v>
      </c>
    </row>
    <row r="31" spans="1:34" x14ac:dyDescent="0.35">
      <c r="A31">
        <v>30</v>
      </c>
      <c r="B31" t="s">
        <v>27</v>
      </c>
      <c r="C31">
        <v>78</v>
      </c>
      <c r="D31" t="s">
        <v>21</v>
      </c>
      <c r="E31" t="s">
        <v>22</v>
      </c>
      <c r="F31" t="s">
        <v>22</v>
      </c>
      <c r="G31">
        <v>0</v>
      </c>
      <c r="H31">
        <v>130.80000000000001</v>
      </c>
      <c r="I31">
        <v>64</v>
      </c>
      <c r="J31">
        <v>22.24</v>
      </c>
      <c r="K31">
        <v>223.7</v>
      </c>
      <c r="L31">
        <v>116</v>
      </c>
      <c r="M31">
        <v>19.010000000000002</v>
      </c>
      <c r="N31">
        <v>227.8</v>
      </c>
      <c r="O31">
        <v>108</v>
      </c>
      <c r="P31">
        <v>10.25</v>
      </c>
      <c r="Q31">
        <v>10</v>
      </c>
      <c r="R31">
        <v>5</v>
      </c>
      <c r="S31">
        <v>2.7</v>
      </c>
      <c r="T31">
        <v>1</v>
      </c>
      <c r="U31" t="s">
        <v>22</v>
      </c>
      <c r="V31" t="e">
        <f>IF(#REF! = "yes", 1, 0)</f>
        <v>#REF!</v>
      </c>
      <c r="W31" t="e">
        <f>IF(#REF! &lt;= 1, "0-1 Calls", IF(#REF! &lt;= 3, "2-3 Calls", IF(#REF! &lt;=5, "4-5 Calls", "6+ Calls")))</f>
        <v>#REF!</v>
      </c>
      <c r="X31" t="e">
        <f>IF(#REF! &lt;= 50, "0-50", IF(#REF! &lt;=100, "51-100", IF(#REF! &lt;= 150, "101-150", "151+")))</f>
        <v>#REF!</v>
      </c>
      <c r="Y31" t="e">
        <f>IF(#REF! &lt;= 3, "Low Charges", "High Charges")</f>
        <v>#REF!</v>
      </c>
      <c r="Z31" t="e">
        <f>IF(#REF!&lt;=80,"Low Calls",
IF(#REF!&lt;=120,"Medium Calls","High Calls"))</f>
        <v>#REF!</v>
      </c>
      <c r="AA31" t="e">
        <f>IF(#REF!&lt;=15,"Low Charges",
IF(#REF!&lt;=20,"Medium Charges","High Charges"))</f>
        <v>#REF!</v>
      </c>
      <c r="AB31" t="e">
        <f>IF(AND(#REF!&gt;180, #REF!&gt;200), "Heavy Doemstic User", IF(#REF!&gt;10, "Interntional User", IF(AND(#REF!&lt;180, #REF!&lt;200,#REF!&lt;200), "Light User", "Balanced User")))</f>
        <v>#REF!</v>
      </c>
      <c r="AC31" t="e">
        <f>IF(#REF! = 0, "No Usage", IF(#REF! &lt;= 20, "Low Usage", IF(#REF! &lt;= 40, "Medium Usgae", "High Usage")))</f>
        <v>#REF!</v>
      </c>
      <c r="AD31" t="e">
        <f>IF(#REF!&lt;=150,"Low Usage", IF(#REF!&lt;=200,"Medium Usage", IF(#REF!&lt;=250,"High Usage","Very High Usage")))</f>
        <v>#REF!</v>
      </c>
      <c r="AE31" t="e">
        <f>IF(#REF!&lt;=5,"Low Calls", IF(#REF!&lt;=10, "Medium Calls", "High Calls"))</f>
        <v>#REF!</v>
      </c>
      <c r="AF31" t="e">
        <f xml:space="preserve">
IF(#REF!&gt;=4,4,0)+
IF(#REF!="yes",3,0)+
IF(#REF!="High Charges",3,0)+
IF(#REF!&gt;250,4,0)+
IF(#REF!="no",1,0)+
IF(#REF!="Heavy Domestic User",2,0)</f>
        <v>#REF!</v>
      </c>
      <c r="AG31" t="e">
        <f>IF(#REF!&gt;=10,"High Risk", IF(#REF!&gt;=5,"Medium Risk","Low Risk"))</f>
        <v>#REF!</v>
      </c>
      <c r="AH31" t="e">
        <f>#REF! + #REF! + #REF! + #REF!</f>
        <v>#REF!</v>
      </c>
    </row>
    <row r="32" spans="1:34" x14ac:dyDescent="0.35">
      <c r="A32">
        <v>31</v>
      </c>
      <c r="B32" t="s">
        <v>47</v>
      </c>
      <c r="C32">
        <v>136</v>
      </c>
      <c r="D32" t="s">
        <v>21</v>
      </c>
      <c r="E32" t="s">
        <v>23</v>
      </c>
      <c r="F32" t="s">
        <v>23</v>
      </c>
      <c r="G32">
        <v>33</v>
      </c>
      <c r="H32">
        <v>203.9</v>
      </c>
      <c r="I32">
        <v>106</v>
      </c>
      <c r="J32">
        <v>34.659999999999997</v>
      </c>
      <c r="K32">
        <v>187.6</v>
      </c>
      <c r="L32">
        <v>99</v>
      </c>
      <c r="M32">
        <v>15.95</v>
      </c>
      <c r="N32">
        <v>101.7</v>
      </c>
      <c r="O32">
        <v>107</v>
      </c>
      <c r="P32">
        <v>4.58</v>
      </c>
      <c r="Q32">
        <v>10.5</v>
      </c>
      <c r="R32">
        <v>6</v>
      </c>
      <c r="S32">
        <v>2.84</v>
      </c>
      <c r="T32">
        <v>3</v>
      </c>
      <c r="U32" t="s">
        <v>22</v>
      </c>
      <c r="V32" t="e">
        <f>IF(#REF! = "yes", 1, 0)</f>
        <v>#REF!</v>
      </c>
      <c r="W32" t="e">
        <f>IF(#REF! &lt;= 1, "0-1 Calls", IF(#REF! &lt;= 3, "2-3 Calls", IF(#REF! &lt;=5, "4-5 Calls", "6+ Calls")))</f>
        <v>#REF!</v>
      </c>
      <c r="X32" t="e">
        <f>IF(#REF! &lt;= 50, "0-50", IF(#REF! &lt;=100, "51-100", IF(#REF! &lt;= 150, "101-150", "151+")))</f>
        <v>#REF!</v>
      </c>
      <c r="Y32" t="e">
        <f>IF(#REF! &lt;= 3, "Low Charges", "High Charges")</f>
        <v>#REF!</v>
      </c>
      <c r="Z32" t="e">
        <f>IF(#REF!&lt;=80,"Low Calls",
IF(#REF!&lt;=120,"Medium Calls","High Calls"))</f>
        <v>#REF!</v>
      </c>
      <c r="AA32" t="e">
        <f>IF(#REF!&lt;=15,"Low Charges",
IF(#REF!&lt;=20,"Medium Charges","High Charges"))</f>
        <v>#REF!</v>
      </c>
      <c r="AB32" t="e">
        <f>IF(AND(#REF!&gt;180, #REF!&gt;200), "Heavy Doemstic User", IF(#REF!&gt;10, "Interntional User", IF(AND(#REF!&lt;180, #REF!&lt;200,#REF!&lt;200), "Light User", "Balanced User")))</f>
        <v>#REF!</v>
      </c>
      <c r="AC32" t="e">
        <f>IF(#REF! = 0, "No Usage", IF(#REF! &lt;= 20, "Low Usage", IF(#REF! &lt;= 40, "Medium Usgae", "High Usage")))</f>
        <v>#REF!</v>
      </c>
      <c r="AD32" t="e">
        <f>IF(#REF!&lt;=150,"Low Usage", IF(#REF!&lt;=200,"Medium Usage", IF(#REF!&lt;=250,"High Usage","Very High Usage")))</f>
        <v>#REF!</v>
      </c>
      <c r="AE32" t="e">
        <f>IF(#REF!&lt;=5,"Low Calls", IF(#REF!&lt;=10, "Medium Calls", "High Calls"))</f>
        <v>#REF!</v>
      </c>
      <c r="AF32" t="e">
        <f xml:space="preserve">
IF(#REF!&gt;=4,4,0)+
IF(#REF!="yes",3,0)+
IF(#REF!="High Charges",3,0)+
IF(#REF!&gt;250,4,0)+
IF(#REF!="no",1,0)+
IF(#REF!="Heavy Domestic User",2,0)</f>
        <v>#REF!</v>
      </c>
      <c r="AG32" t="e">
        <f>IF(#REF!&gt;=10,"High Risk", IF(#REF!&gt;=5,"Medium Risk","Low Risk"))</f>
        <v>#REF!</v>
      </c>
      <c r="AH32" t="e">
        <f>#REF! + #REF! + #REF! + #REF!</f>
        <v>#REF!</v>
      </c>
    </row>
    <row r="33" spans="1:34" x14ac:dyDescent="0.35">
      <c r="A33">
        <v>32</v>
      </c>
      <c r="B33" t="s">
        <v>48</v>
      </c>
      <c r="C33">
        <v>98</v>
      </c>
      <c r="D33" t="s">
        <v>25</v>
      </c>
      <c r="E33" t="s">
        <v>22</v>
      </c>
      <c r="F33" t="s">
        <v>22</v>
      </c>
      <c r="G33">
        <v>0</v>
      </c>
      <c r="H33">
        <v>126.3</v>
      </c>
      <c r="I33">
        <v>102</v>
      </c>
      <c r="J33">
        <v>21.47</v>
      </c>
      <c r="K33">
        <v>166.8</v>
      </c>
      <c r="L33">
        <v>85</v>
      </c>
      <c r="M33">
        <v>14.18</v>
      </c>
      <c r="N33">
        <v>187.8</v>
      </c>
      <c r="O33">
        <v>135</v>
      </c>
      <c r="P33">
        <v>8.4499999999999993</v>
      </c>
      <c r="Q33">
        <v>9.4</v>
      </c>
      <c r="R33">
        <v>2</v>
      </c>
      <c r="S33">
        <v>2.54</v>
      </c>
      <c r="T33">
        <v>3</v>
      </c>
      <c r="U33" t="s">
        <v>22</v>
      </c>
      <c r="V33" t="e">
        <f>IF(#REF! = "yes", 1, 0)</f>
        <v>#REF!</v>
      </c>
      <c r="W33" t="e">
        <f>IF(#REF! &lt;= 1, "0-1 Calls", IF(#REF! &lt;= 3, "2-3 Calls", IF(#REF! &lt;=5, "4-5 Calls", "6+ Calls")))</f>
        <v>#REF!</v>
      </c>
      <c r="X33" t="e">
        <f>IF(#REF! &lt;= 50, "0-50", IF(#REF! &lt;=100, "51-100", IF(#REF! &lt;= 150, "101-150", "151+")))</f>
        <v>#REF!</v>
      </c>
      <c r="Y33" t="e">
        <f>IF(#REF! &lt;= 3, "Low Charges", "High Charges")</f>
        <v>#REF!</v>
      </c>
      <c r="Z33" t="e">
        <f>IF(#REF!&lt;=80,"Low Calls",
IF(#REF!&lt;=120,"Medium Calls","High Calls"))</f>
        <v>#REF!</v>
      </c>
      <c r="AA33" t="e">
        <f>IF(#REF!&lt;=15,"Low Charges",
IF(#REF!&lt;=20,"Medium Charges","High Charges"))</f>
        <v>#REF!</v>
      </c>
      <c r="AB33" t="e">
        <f>IF(AND(#REF!&gt;180, #REF!&gt;200), "Heavy Doemstic User", IF(#REF!&gt;10, "Interntional User", IF(AND(#REF!&lt;180, #REF!&lt;200,#REF!&lt;200), "Light User", "Balanced User")))</f>
        <v>#REF!</v>
      </c>
      <c r="AC33" t="e">
        <f>IF(#REF! = 0, "No Usage", IF(#REF! &lt;= 20, "Low Usage", IF(#REF! &lt;= 40, "Medium Usgae", "High Usage")))</f>
        <v>#REF!</v>
      </c>
      <c r="AD33" t="e">
        <f>IF(#REF!&lt;=150,"Low Usage", IF(#REF!&lt;=200,"Medium Usage", IF(#REF!&lt;=250,"High Usage","Very High Usage")))</f>
        <v>#REF!</v>
      </c>
      <c r="AE33" t="e">
        <f>IF(#REF!&lt;=5,"Low Calls", IF(#REF!&lt;=10, "Medium Calls", "High Calls"))</f>
        <v>#REF!</v>
      </c>
      <c r="AF33" t="e">
        <f xml:space="preserve">
IF(#REF!&gt;=4,4,0)+
IF(#REF!="yes",3,0)+
IF(#REF!="High Charges",3,0)+
IF(#REF!&gt;250,4,0)+
IF(#REF!="no",1,0)+
IF(#REF!="Heavy Domestic User",2,0)</f>
        <v>#REF!</v>
      </c>
      <c r="AG33" t="e">
        <f>IF(#REF!&gt;=10,"High Risk", IF(#REF!&gt;=5,"Medium Risk","Low Risk"))</f>
        <v>#REF!</v>
      </c>
      <c r="AH33" t="e">
        <f>#REF! + #REF! + #REF! + #REF!</f>
        <v>#REF!</v>
      </c>
    </row>
    <row r="34" spans="1:34" x14ac:dyDescent="0.35">
      <c r="A34">
        <v>33</v>
      </c>
      <c r="B34" t="s">
        <v>49</v>
      </c>
      <c r="C34">
        <v>135</v>
      </c>
      <c r="D34" t="s">
        <v>25</v>
      </c>
      <c r="E34" t="s">
        <v>23</v>
      </c>
      <c r="F34" t="s">
        <v>23</v>
      </c>
      <c r="G34">
        <v>41</v>
      </c>
      <c r="H34">
        <v>173.1</v>
      </c>
      <c r="I34">
        <v>85</v>
      </c>
      <c r="J34">
        <v>29.43</v>
      </c>
      <c r="K34">
        <v>203.9</v>
      </c>
      <c r="L34">
        <v>107</v>
      </c>
      <c r="M34">
        <v>17.329999999999998</v>
      </c>
      <c r="N34">
        <v>122.2</v>
      </c>
      <c r="O34">
        <v>78</v>
      </c>
      <c r="P34">
        <v>5.5</v>
      </c>
      <c r="Q34">
        <v>14.6</v>
      </c>
      <c r="R34">
        <v>15</v>
      </c>
      <c r="S34">
        <v>3.94</v>
      </c>
      <c r="T34">
        <v>0</v>
      </c>
      <c r="U34" t="s">
        <v>23</v>
      </c>
      <c r="V34" t="e">
        <f>IF(#REF! = "yes", 1, 0)</f>
        <v>#REF!</v>
      </c>
      <c r="W34" t="e">
        <f>IF(#REF! &lt;= 1, "0-1 Calls", IF(#REF! &lt;= 3, "2-3 Calls", IF(#REF! &lt;=5, "4-5 Calls", "6+ Calls")))</f>
        <v>#REF!</v>
      </c>
      <c r="X34" t="e">
        <f>IF(#REF! &lt;= 50, "0-50", IF(#REF! &lt;=100, "51-100", IF(#REF! &lt;= 150, "101-150", "151+")))</f>
        <v>#REF!</v>
      </c>
      <c r="Y34" t="e">
        <f>IF(#REF! &lt;= 3, "Low Charges", "High Charges")</f>
        <v>#REF!</v>
      </c>
      <c r="Z34" t="e">
        <f>IF(#REF!&lt;=80,"Low Calls",
IF(#REF!&lt;=120,"Medium Calls","High Calls"))</f>
        <v>#REF!</v>
      </c>
      <c r="AA34" t="e">
        <f>IF(#REF!&lt;=15,"Low Charges",
IF(#REF!&lt;=20,"Medium Charges","High Charges"))</f>
        <v>#REF!</v>
      </c>
      <c r="AB34" t="e">
        <f>IF(AND(#REF!&gt;180, #REF!&gt;200), "Heavy Doemstic User", IF(#REF!&gt;10, "Interntional User", IF(AND(#REF!&lt;180, #REF!&lt;200,#REF!&lt;200), "Light User", "Balanced User")))</f>
        <v>#REF!</v>
      </c>
      <c r="AC34" t="e">
        <f>IF(#REF! = 0, "No Usage", IF(#REF! &lt;= 20, "Low Usage", IF(#REF! &lt;= 40, "Medium Usgae", "High Usage")))</f>
        <v>#REF!</v>
      </c>
      <c r="AD34" t="e">
        <f>IF(#REF!&lt;=150,"Low Usage", IF(#REF!&lt;=200,"Medium Usage", IF(#REF!&lt;=250,"High Usage","Very High Usage")))</f>
        <v>#REF!</v>
      </c>
      <c r="AE34" t="e">
        <f>IF(#REF!&lt;=5,"Low Calls", IF(#REF!&lt;=10, "Medium Calls", "High Calls"))</f>
        <v>#REF!</v>
      </c>
      <c r="AF34" t="e">
        <f xml:space="preserve">
IF(#REF!&gt;=4,4,0)+
IF(#REF!="yes",3,0)+
IF(#REF!="High Charges",3,0)+
IF(#REF!&gt;250,4,0)+
IF(#REF!="no",1,0)+
IF(#REF!="Heavy Domestic User",2,0)</f>
        <v>#REF!</v>
      </c>
      <c r="AG34" t="e">
        <f>IF(#REF!&gt;=10,"High Risk", IF(#REF!&gt;=5,"Medium Risk","Low Risk"))</f>
        <v>#REF!</v>
      </c>
      <c r="AH34" t="e">
        <f>#REF! + #REF! + #REF! + #REF!</f>
        <v>#REF!</v>
      </c>
    </row>
    <row r="35" spans="1:34" x14ac:dyDescent="0.35">
      <c r="A35">
        <v>34</v>
      </c>
      <c r="B35" t="s">
        <v>50</v>
      </c>
      <c r="C35">
        <v>34</v>
      </c>
      <c r="D35" t="s">
        <v>28</v>
      </c>
      <c r="E35" t="s">
        <v>22</v>
      </c>
      <c r="F35" t="s">
        <v>22</v>
      </c>
      <c r="G35">
        <v>0</v>
      </c>
      <c r="H35">
        <v>124.8</v>
      </c>
      <c r="I35">
        <v>82</v>
      </c>
      <c r="J35">
        <v>21.22</v>
      </c>
      <c r="K35">
        <v>282.2</v>
      </c>
      <c r="L35">
        <v>98</v>
      </c>
      <c r="M35">
        <v>23.99</v>
      </c>
      <c r="N35">
        <v>311.5</v>
      </c>
      <c r="O35">
        <v>78</v>
      </c>
      <c r="P35">
        <v>14.02</v>
      </c>
      <c r="Q35">
        <v>10</v>
      </c>
      <c r="R35">
        <v>4</v>
      </c>
      <c r="S35">
        <v>2.7</v>
      </c>
      <c r="T35">
        <v>2</v>
      </c>
      <c r="U35" t="s">
        <v>22</v>
      </c>
      <c r="V35" t="e">
        <f>IF(#REF! = "yes", 1, 0)</f>
        <v>#REF!</v>
      </c>
      <c r="W35" t="e">
        <f>IF(#REF! &lt;= 1, "0-1 Calls", IF(#REF! &lt;= 3, "2-3 Calls", IF(#REF! &lt;=5, "4-5 Calls", "6+ Calls")))</f>
        <v>#REF!</v>
      </c>
      <c r="X35" t="e">
        <f>IF(#REF! &lt;= 50, "0-50", IF(#REF! &lt;=100, "51-100", IF(#REF! &lt;= 150, "101-150", "151+")))</f>
        <v>#REF!</v>
      </c>
      <c r="Y35" t="e">
        <f>IF(#REF! &lt;= 3, "Low Charges", "High Charges")</f>
        <v>#REF!</v>
      </c>
      <c r="Z35" t="e">
        <f>IF(#REF!&lt;=80,"Low Calls",
IF(#REF!&lt;=120,"Medium Calls","High Calls"))</f>
        <v>#REF!</v>
      </c>
      <c r="AA35" t="e">
        <f>IF(#REF!&lt;=15,"Low Charges",
IF(#REF!&lt;=20,"Medium Charges","High Charges"))</f>
        <v>#REF!</v>
      </c>
      <c r="AB35" t="e">
        <f>IF(AND(#REF!&gt;180, #REF!&gt;200), "Heavy Doemstic User", IF(#REF!&gt;10, "Interntional User", IF(AND(#REF!&lt;180, #REF!&lt;200,#REF!&lt;200), "Light User", "Balanced User")))</f>
        <v>#REF!</v>
      </c>
      <c r="AC35" t="e">
        <f>IF(#REF! = 0, "No Usage", IF(#REF! &lt;= 20, "Low Usage", IF(#REF! &lt;= 40, "Medium Usgae", "High Usage")))</f>
        <v>#REF!</v>
      </c>
      <c r="AD35" t="e">
        <f>IF(#REF!&lt;=150,"Low Usage", IF(#REF!&lt;=200,"Medium Usage", IF(#REF!&lt;=250,"High Usage","Very High Usage")))</f>
        <v>#REF!</v>
      </c>
      <c r="AE35" t="e">
        <f>IF(#REF!&lt;=5,"Low Calls", IF(#REF!&lt;=10, "Medium Calls", "High Calls"))</f>
        <v>#REF!</v>
      </c>
      <c r="AF35" t="e">
        <f xml:space="preserve">
IF(#REF!&gt;=4,4,0)+
IF(#REF!="yes",3,0)+
IF(#REF!="High Charges",3,0)+
IF(#REF!&gt;250,4,0)+
IF(#REF!="no",1,0)+
IF(#REF!="Heavy Domestic User",2,0)</f>
        <v>#REF!</v>
      </c>
      <c r="AG35" t="e">
        <f>IF(#REF!&gt;=10,"High Risk", IF(#REF!&gt;=5,"Medium Risk","Low Risk"))</f>
        <v>#REF!</v>
      </c>
      <c r="AH35" t="e">
        <f>#REF! + #REF! + #REF! + #REF!</f>
        <v>#REF!</v>
      </c>
    </row>
    <row r="36" spans="1:34" x14ac:dyDescent="0.35">
      <c r="A36">
        <v>35</v>
      </c>
      <c r="B36" t="s">
        <v>37</v>
      </c>
      <c r="C36">
        <v>160</v>
      </c>
      <c r="D36" t="s">
        <v>21</v>
      </c>
      <c r="E36" t="s">
        <v>22</v>
      </c>
      <c r="F36" t="s">
        <v>22</v>
      </c>
      <c r="G36">
        <v>0</v>
      </c>
      <c r="H36">
        <v>85.8</v>
      </c>
      <c r="I36">
        <v>77</v>
      </c>
      <c r="J36">
        <v>14.59</v>
      </c>
      <c r="K36">
        <v>165.3</v>
      </c>
      <c r="L36">
        <v>110</v>
      </c>
      <c r="M36">
        <v>14.05</v>
      </c>
      <c r="N36">
        <v>178.5</v>
      </c>
      <c r="O36">
        <v>92</v>
      </c>
      <c r="P36">
        <v>8.0299999999999994</v>
      </c>
      <c r="Q36">
        <v>9.1999999999999993</v>
      </c>
      <c r="R36">
        <v>4</v>
      </c>
      <c r="S36">
        <v>2.48</v>
      </c>
      <c r="T36">
        <v>3</v>
      </c>
      <c r="U36" t="s">
        <v>22</v>
      </c>
      <c r="V36" t="e">
        <f>IF(#REF! = "yes", 1, 0)</f>
        <v>#REF!</v>
      </c>
      <c r="W36" t="e">
        <f>IF(#REF! &lt;= 1, "0-1 Calls", IF(#REF! &lt;= 3, "2-3 Calls", IF(#REF! &lt;=5, "4-5 Calls", "6+ Calls")))</f>
        <v>#REF!</v>
      </c>
      <c r="X36" t="e">
        <f>IF(#REF! &lt;= 50, "0-50", IF(#REF! &lt;=100, "51-100", IF(#REF! &lt;= 150, "101-150", "151+")))</f>
        <v>#REF!</v>
      </c>
      <c r="Y36" t="e">
        <f>IF(#REF! &lt;= 3, "Low Charges", "High Charges")</f>
        <v>#REF!</v>
      </c>
      <c r="Z36" t="e">
        <f>IF(#REF!&lt;=80,"Low Calls",
IF(#REF!&lt;=120,"Medium Calls","High Calls"))</f>
        <v>#REF!</v>
      </c>
      <c r="AA36" t="e">
        <f>IF(#REF!&lt;=15,"Low Charges",
IF(#REF!&lt;=20,"Medium Charges","High Charges"))</f>
        <v>#REF!</v>
      </c>
      <c r="AB36" t="e">
        <f>IF(AND(#REF!&gt;180, #REF!&gt;200), "Heavy Doemstic User", IF(#REF!&gt;10, "Interntional User", IF(AND(#REF!&lt;180, #REF!&lt;200,#REF!&lt;200), "Light User", "Balanced User")))</f>
        <v>#REF!</v>
      </c>
      <c r="AC36" t="e">
        <f>IF(#REF! = 0, "No Usage", IF(#REF! &lt;= 20, "Low Usage", IF(#REF! &lt;= 40, "Medium Usgae", "High Usage")))</f>
        <v>#REF!</v>
      </c>
      <c r="AD36" t="e">
        <f>IF(#REF!&lt;=150,"Low Usage", IF(#REF!&lt;=200,"Medium Usage", IF(#REF!&lt;=250,"High Usage","Very High Usage")))</f>
        <v>#REF!</v>
      </c>
      <c r="AE36" t="e">
        <f>IF(#REF!&lt;=5,"Low Calls", IF(#REF!&lt;=10, "Medium Calls", "High Calls"))</f>
        <v>#REF!</v>
      </c>
      <c r="AF36" t="e">
        <f xml:space="preserve">
IF(#REF!&gt;=4,4,0)+
IF(#REF!="yes",3,0)+
IF(#REF!="High Charges",3,0)+
IF(#REF!&gt;250,4,0)+
IF(#REF!="no",1,0)+
IF(#REF!="Heavy Domestic User",2,0)</f>
        <v>#REF!</v>
      </c>
      <c r="AG36" t="e">
        <f>IF(#REF!&gt;=10,"High Risk", IF(#REF!&gt;=5,"Medium Risk","Low Risk"))</f>
        <v>#REF!</v>
      </c>
      <c r="AH36" t="e">
        <f>#REF! + #REF! + #REF! + #REF!</f>
        <v>#REF!</v>
      </c>
    </row>
    <row r="37" spans="1:34" x14ac:dyDescent="0.35">
      <c r="A37">
        <v>36</v>
      </c>
      <c r="B37" t="s">
        <v>51</v>
      </c>
      <c r="C37">
        <v>64</v>
      </c>
      <c r="D37" t="s">
        <v>28</v>
      </c>
      <c r="E37" t="s">
        <v>22</v>
      </c>
      <c r="F37" t="s">
        <v>22</v>
      </c>
      <c r="G37">
        <v>0</v>
      </c>
      <c r="H37">
        <v>154</v>
      </c>
      <c r="I37">
        <v>67</v>
      </c>
      <c r="J37">
        <v>26.18</v>
      </c>
      <c r="K37">
        <v>225.8</v>
      </c>
      <c r="L37">
        <v>118</v>
      </c>
      <c r="M37">
        <v>19.190000000000001</v>
      </c>
      <c r="N37">
        <v>265.3</v>
      </c>
      <c r="O37">
        <v>86</v>
      </c>
      <c r="P37">
        <v>11.94</v>
      </c>
      <c r="Q37">
        <v>3.5</v>
      </c>
      <c r="R37">
        <v>3</v>
      </c>
      <c r="S37">
        <v>0.95</v>
      </c>
      <c r="T37">
        <v>1</v>
      </c>
      <c r="U37" t="s">
        <v>22</v>
      </c>
      <c r="V37" t="e">
        <f>IF(#REF! = "yes", 1, 0)</f>
        <v>#REF!</v>
      </c>
      <c r="W37" t="e">
        <f>IF(#REF! &lt;= 1, "0-1 Calls", IF(#REF! &lt;= 3, "2-3 Calls", IF(#REF! &lt;=5, "4-5 Calls", "6+ Calls")))</f>
        <v>#REF!</v>
      </c>
      <c r="X37" t="e">
        <f>IF(#REF! &lt;= 50, "0-50", IF(#REF! &lt;=100, "51-100", IF(#REF! &lt;= 150, "101-150", "151+")))</f>
        <v>#REF!</v>
      </c>
      <c r="Y37" t="e">
        <f>IF(#REF! &lt;= 3, "Low Charges", "High Charges")</f>
        <v>#REF!</v>
      </c>
      <c r="Z37" t="e">
        <f>IF(#REF!&lt;=80,"Low Calls",
IF(#REF!&lt;=120,"Medium Calls","High Calls"))</f>
        <v>#REF!</v>
      </c>
      <c r="AA37" t="e">
        <f>IF(#REF!&lt;=15,"Low Charges",
IF(#REF!&lt;=20,"Medium Charges","High Charges"))</f>
        <v>#REF!</v>
      </c>
      <c r="AB37" t="e">
        <f>IF(AND(#REF!&gt;180, #REF!&gt;200), "Heavy Doemstic User", IF(#REF!&gt;10, "Interntional User", IF(AND(#REF!&lt;180, #REF!&lt;200,#REF!&lt;200), "Light User", "Balanced User")))</f>
        <v>#REF!</v>
      </c>
      <c r="AC37" t="e">
        <f>IF(#REF! = 0, "No Usage", IF(#REF! &lt;= 20, "Low Usage", IF(#REF! &lt;= 40, "Medium Usgae", "High Usage")))</f>
        <v>#REF!</v>
      </c>
      <c r="AD37" t="e">
        <f>IF(#REF!&lt;=150,"Low Usage", IF(#REF!&lt;=200,"Medium Usage", IF(#REF!&lt;=250,"High Usage","Very High Usage")))</f>
        <v>#REF!</v>
      </c>
      <c r="AE37" t="e">
        <f>IF(#REF!&lt;=5,"Low Calls", IF(#REF!&lt;=10, "Medium Calls", "High Calls"))</f>
        <v>#REF!</v>
      </c>
      <c r="AF37" t="e">
        <f xml:space="preserve">
IF(#REF!&gt;=4,4,0)+
IF(#REF!="yes",3,0)+
IF(#REF!="High Charges",3,0)+
IF(#REF!&gt;250,4,0)+
IF(#REF!="no",1,0)+
IF(#REF!="Heavy Domestic User",2,0)</f>
        <v>#REF!</v>
      </c>
      <c r="AG37" t="e">
        <f>IF(#REF!&gt;=10,"High Risk", IF(#REF!&gt;=5,"Medium Risk","Low Risk"))</f>
        <v>#REF!</v>
      </c>
      <c r="AH37" t="e">
        <f>#REF! + #REF! + #REF! + #REF!</f>
        <v>#REF!</v>
      </c>
    </row>
    <row r="38" spans="1:34" x14ac:dyDescent="0.35">
      <c r="A38">
        <v>37</v>
      </c>
      <c r="B38" t="s">
        <v>52</v>
      </c>
      <c r="C38">
        <v>59</v>
      </c>
      <c r="D38" t="s">
        <v>25</v>
      </c>
      <c r="E38" t="s">
        <v>22</v>
      </c>
      <c r="F38" t="s">
        <v>23</v>
      </c>
      <c r="G38">
        <v>28</v>
      </c>
      <c r="H38">
        <v>120.9</v>
      </c>
      <c r="I38">
        <v>97</v>
      </c>
      <c r="J38">
        <v>20.55</v>
      </c>
      <c r="K38">
        <v>213</v>
      </c>
      <c r="L38">
        <v>92</v>
      </c>
      <c r="M38">
        <v>18.11</v>
      </c>
      <c r="N38">
        <v>163.1</v>
      </c>
      <c r="O38">
        <v>116</v>
      </c>
      <c r="P38">
        <v>7.34</v>
      </c>
      <c r="Q38">
        <v>8.5</v>
      </c>
      <c r="R38">
        <v>5</v>
      </c>
      <c r="S38">
        <v>2.2999999999999998</v>
      </c>
      <c r="T38">
        <v>2</v>
      </c>
      <c r="U38" t="s">
        <v>22</v>
      </c>
      <c r="V38" t="e">
        <f>IF(#REF! = "yes", 1, 0)</f>
        <v>#REF!</v>
      </c>
      <c r="W38" t="e">
        <f>IF(#REF! &lt;= 1, "0-1 Calls", IF(#REF! &lt;= 3, "2-3 Calls", IF(#REF! &lt;=5, "4-5 Calls", "6+ Calls")))</f>
        <v>#REF!</v>
      </c>
      <c r="X38" t="e">
        <f>IF(#REF! &lt;= 50, "0-50", IF(#REF! &lt;=100, "51-100", IF(#REF! &lt;= 150, "101-150", "151+")))</f>
        <v>#REF!</v>
      </c>
      <c r="Y38" t="e">
        <f>IF(#REF! &lt;= 3, "Low Charges", "High Charges")</f>
        <v>#REF!</v>
      </c>
      <c r="Z38" t="e">
        <f>IF(#REF!&lt;=80,"Low Calls",
IF(#REF!&lt;=120,"Medium Calls","High Calls"))</f>
        <v>#REF!</v>
      </c>
      <c r="AA38" t="e">
        <f>IF(#REF!&lt;=15,"Low Charges",
IF(#REF!&lt;=20,"Medium Charges","High Charges"))</f>
        <v>#REF!</v>
      </c>
      <c r="AB38" t="e">
        <f>IF(AND(#REF!&gt;180, #REF!&gt;200), "Heavy Doemstic User", IF(#REF!&gt;10, "Interntional User", IF(AND(#REF!&lt;180, #REF!&lt;200,#REF!&lt;200), "Light User", "Balanced User")))</f>
        <v>#REF!</v>
      </c>
      <c r="AC38" t="e">
        <f>IF(#REF! = 0, "No Usage", IF(#REF! &lt;= 20, "Low Usage", IF(#REF! &lt;= 40, "Medium Usgae", "High Usage")))</f>
        <v>#REF!</v>
      </c>
      <c r="AD38" t="e">
        <f>IF(#REF!&lt;=150,"Low Usage", IF(#REF!&lt;=200,"Medium Usage", IF(#REF!&lt;=250,"High Usage","Very High Usage")))</f>
        <v>#REF!</v>
      </c>
      <c r="AE38" t="e">
        <f>IF(#REF!&lt;=5,"Low Calls", IF(#REF!&lt;=10, "Medium Calls", "High Calls"))</f>
        <v>#REF!</v>
      </c>
      <c r="AF38" t="e">
        <f xml:space="preserve">
IF(#REF!&gt;=4,4,0)+
IF(#REF!="yes",3,0)+
IF(#REF!="High Charges",3,0)+
IF(#REF!&gt;250,4,0)+
IF(#REF!="no",1,0)+
IF(#REF!="Heavy Domestic User",2,0)</f>
        <v>#REF!</v>
      </c>
      <c r="AG38" t="e">
        <f>IF(#REF!&gt;=10,"High Risk", IF(#REF!&gt;=5,"Medium Risk","Low Risk"))</f>
        <v>#REF!</v>
      </c>
      <c r="AH38" t="e">
        <f>#REF! + #REF! + #REF! + #REF!</f>
        <v>#REF!</v>
      </c>
    </row>
    <row r="39" spans="1:34" x14ac:dyDescent="0.35">
      <c r="A39">
        <v>38</v>
      </c>
      <c r="B39" t="s">
        <v>53</v>
      </c>
      <c r="C39">
        <v>65</v>
      </c>
      <c r="D39" t="s">
        <v>21</v>
      </c>
      <c r="E39" t="s">
        <v>22</v>
      </c>
      <c r="F39" t="s">
        <v>22</v>
      </c>
      <c r="G39">
        <v>0</v>
      </c>
      <c r="H39">
        <v>211.3</v>
      </c>
      <c r="I39">
        <v>120</v>
      </c>
      <c r="J39">
        <v>35.92</v>
      </c>
      <c r="K39">
        <v>162.6</v>
      </c>
      <c r="L39">
        <v>122</v>
      </c>
      <c r="M39">
        <v>13.82</v>
      </c>
      <c r="N39">
        <v>134.69999999999999</v>
      </c>
      <c r="O39">
        <v>118</v>
      </c>
      <c r="P39">
        <v>6.06</v>
      </c>
      <c r="Q39">
        <v>13.2</v>
      </c>
      <c r="R39">
        <v>5</v>
      </c>
      <c r="S39">
        <v>3.56</v>
      </c>
      <c r="T39">
        <v>3</v>
      </c>
      <c r="U39" t="s">
        <v>22</v>
      </c>
      <c r="V39" t="e">
        <f>IF(#REF! = "yes", 1, 0)</f>
        <v>#REF!</v>
      </c>
      <c r="W39" t="e">
        <f>IF(#REF! &lt;= 1, "0-1 Calls", IF(#REF! &lt;= 3, "2-3 Calls", IF(#REF! &lt;=5, "4-5 Calls", "6+ Calls")))</f>
        <v>#REF!</v>
      </c>
      <c r="X39" t="e">
        <f>IF(#REF! &lt;= 50, "0-50", IF(#REF! &lt;=100, "51-100", IF(#REF! &lt;= 150, "101-150", "151+")))</f>
        <v>#REF!</v>
      </c>
      <c r="Y39" t="e">
        <f>IF(#REF! &lt;= 3, "Low Charges", "High Charges")</f>
        <v>#REF!</v>
      </c>
      <c r="Z39" t="e">
        <f>IF(#REF!&lt;=80,"Low Calls",
IF(#REF!&lt;=120,"Medium Calls","High Calls"))</f>
        <v>#REF!</v>
      </c>
      <c r="AA39" t="e">
        <f>IF(#REF!&lt;=15,"Low Charges",
IF(#REF!&lt;=20,"Medium Charges","High Charges"))</f>
        <v>#REF!</v>
      </c>
      <c r="AB39" t="e">
        <f>IF(AND(#REF!&gt;180, #REF!&gt;200), "Heavy Doemstic User", IF(#REF!&gt;10, "Interntional User", IF(AND(#REF!&lt;180, #REF!&lt;200,#REF!&lt;200), "Light User", "Balanced User")))</f>
        <v>#REF!</v>
      </c>
      <c r="AC39" t="e">
        <f>IF(#REF! = 0, "No Usage", IF(#REF! &lt;= 20, "Low Usage", IF(#REF! &lt;= 40, "Medium Usgae", "High Usage")))</f>
        <v>#REF!</v>
      </c>
      <c r="AD39" t="e">
        <f>IF(#REF!&lt;=150,"Low Usage", IF(#REF!&lt;=200,"Medium Usage", IF(#REF!&lt;=250,"High Usage","Very High Usage")))</f>
        <v>#REF!</v>
      </c>
      <c r="AE39" t="e">
        <f>IF(#REF!&lt;=5,"Low Calls", IF(#REF!&lt;=10, "Medium Calls", "High Calls"))</f>
        <v>#REF!</v>
      </c>
      <c r="AF39" t="e">
        <f xml:space="preserve">
IF(#REF!&gt;=4,4,0)+
IF(#REF!="yes",3,0)+
IF(#REF!="High Charges",3,0)+
IF(#REF!&gt;250,4,0)+
IF(#REF!="no",1,0)+
IF(#REF!="Heavy Domestic User",2,0)</f>
        <v>#REF!</v>
      </c>
      <c r="AG39" t="e">
        <f>IF(#REF!&gt;=10,"High Risk", IF(#REF!&gt;=5,"Medium Risk","Low Risk"))</f>
        <v>#REF!</v>
      </c>
      <c r="AH39" t="e">
        <f>#REF! + #REF! + #REF! + #REF!</f>
        <v>#REF!</v>
      </c>
    </row>
    <row r="40" spans="1:34" x14ac:dyDescent="0.35">
      <c r="A40">
        <v>39</v>
      </c>
      <c r="B40" t="s">
        <v>54</v>
      </c>
      <c r="C40">
        <v>142</v>
      </c>
      <c r="D40" t="s">
        <v>25</v>
      </c>
      <c r="E40" t="s">
        <v>22</v>
      </c>
      <c r="F40" t="s">
        <v>22</v>
      </c>
      <c r="G40">
        <v>0</v>
      </c>
      <c r="H40">
        <v>187</v>
      </c>
      <c r="I40">
        <v>133</v>
      </c>
      <c r="J40">
        <v>31.79</v>
      </c>
      <c r="K40">
        <v>134.6</v>
      </c>
      <c r="L40">
        <v>74</v>
      </c>
      <c r="M40">
        <v>11.44</v>
      </c>
      <c r="N40">
        <v>242.2</v>
      </c>
      <c r="O40">
        <v>127</v>
      </c>
      <c r="P40">
        <v>10.9</v>
      </c>
      <c r="Q40">
        <v>7.4</v>
      </c>
      <c r="R40">
        <v>5</v>
      </c>
      <c r="S40">
        <v>2</v>
      </c>
      <c r="T40">
        <v>2</v>
      </c>
      <c r="U40" t="s">
        <v>22</v>
      </c>
      <c r="V40" t="e">
        <f>IF(#REF! = "yes", 1, 0)</f>
        <v>#REF!</v>
      </c>
      <c r="W40" t="e">
        <f>IF(#REF! &lt;= 1, "0-1 Calls", IF(#REF! &lt;= 3, "2-3 Calls", IF(#REF! &lt;=5, "4-5 Calls", "6+ Calls")))</f>
        <v>#REF!</v>
      </c>
      <c r="X40" t="e">
        <f>IF(#REF! &lt;= 50, "0-50", IF(#REF! &lt;=100, "51-100", IF(#REF! &lt;= 150, "101-150", "151+")))</f>
        <v>#REF!</v>
      </c>
      <c r="Y40" t="e">
        <f>IF(#REF! &lt;= 3, "Low Charges", "High Charges")</f>
        <v>#REF!</v>
      </c>
      <c r="Z40" t="e">
        <f>IF(#REF!&lt;=80,"Low Calls",
IF(#REF!&lt;=120,"Medium Calls","High Calls"))</f>
        <v>#REF!</v>
      </c>
      <c r="AA40" t="e">
        <f>IF(#REF!&lt;=15,"Low Charges",
IF(#REF!&lt;=20,"Medium Charges","High Charges"))</f>
        <v>#REF!</v>
      </c>
      <c r="AB40" t="e">
        <f>IF(AND(#REF!&gt;180, #REF!&gt;200), "Heavy Doemstic User", IF(#REF!&gt;10, "Interntional User", IF(AND(#REF!&lt;180, #REF!&lt;200,#REF!&lt;200), "Light User", "Balanced User")))</f>
        <v>#REF!</v>
      </c>
      <c r="AC40" t="e">
        <f>IF(#REF! = 0, "No Usage", IF(#REF! &lt;= 20, "Low Usage", IF(#REF! &lt;= 40, "Medium Usgae", "High Usage")))</f>
        <v>#REF!</v>
      </c>
      <c r="AD40" t="e">
        <f>IF(#REF!&lt;=150,"Low Usage", IF(#REF!&lt;=200,"Medium Usage", IF(#REF!&lt;=250,"High Usage","Very High Usage")))</f>
        <v>#REF!</v>
      </c>
      <c r="AE40" t="e">
        <f>IF(#REF!&lt;=5,"Low Calls", IF(#REF!&lt;=10, "Medium Calls", "High Calls"))</f>
        <v>#REF!</v>
      </c>
      <c r="AF40" t="e">
        <f xml:space="preserve">
IF(#REF!&gt;=4,4,0)+
IF(#REF!="yes",3,0)+
IF(#REF!="High Charges",3,0)+
IF(#REF!&gt;250,4,0)+
IF(#REF!="no",1,0)+
IF(#REF!="Heavy Domestic User",2,0)</f>
        <v>#REF!</v>
      </c>
      <c r="AG40" t="e">
        <f>IF(#REF!&gt;=10,"High Risk", IF(#REF!&gt;=5,"Medium Risk","Low Risk"))</f>
        <v>#REF!</v>
      </c>
      <c r="AH40" t="e">
        <f>#REF! + #REF! + #REF! + #REF!</f>
        <v>#REF!</v>
      </c>
    </row>
    <row r="41" spans="1:34" x14ac:dyDescent="0.35">
      <c r="A41">
        <v>40</v>
      </c>
      <c r="B41" t="s">
        <v>44</v>
      </c>
      <c r="C41">
        <v>97</v>
      </c>
      <c r="D41" t="s">
        <v>21</v>
      </c>
      <c r="E41" t="s">
        <v>22</v>
      </c>
      <c r="F41" t="s">
        <v>23</v>
      </c>
      <c r="G41">
        <v>24</v>
      </c>
      <c r="H41">
        <v>133.19999999999999</v>
      </c>
      <c r="I41">
        <v>135</v>
      </c>
      <c r="J41">
        <v>22.64</v>
      </c>
      <c r="K41">
        <v>217.2</v>
      </c>
      <c r="L41">
        <v>58</v>
      </c>
      <c r="M41">
        <v>18.46</v>
      </c>
      <c r="N41">
        <v>70.599999999999994</v>
      </c>
      <c r="O41">
        <v>79</v>
      </c>
      <c r="P41">
        <v>3.18</v>
      </c>
      <c r="Q41">
        <v>11</v>
      </c>
      <c r="R41">
        <v>3</v>
      </c>
      <c r="S41">
        <v>2.97</v>
      </c>
      <c r="T41">
        <v>1</v>
      </c>
      <c r="U41" t="s">
        <v>22</v>
      </c>
      <c r="V41" t="e">
        <f>IF(#REF! = "yes", 1, 0)</f>
        <v>#REF!</v>
      </c>
      <c r="W41" t="e">
        <f>IF(#REF! &lt;= 1, "0-1 Calls", IF(#REF! &lt;= 3, "2-3 Calls", IF(#REF! &lt;=5, "4-5 Calls", "6+ Calls")))</f>
        <v>#REF!</v>
      </c>
      <c r="X41" t="e">
        <f>IF(#REF! &lt;= 50, "0-50", IF(#REF! &lt;=100, "51-100", IF(#REF! &lt;= 150, "101-150", "151+")))</f>
        <v>#REF!</v>
      </c>
      <c r="Y41" t="e">
        <f>IF(#REF! &lt;= 3, "Low Charges", "High Charges")</f>
        <v>#REF!</v>
      </c>
      <c r="Z41" t="e">
        <f>IF(#REF!&lt;=80,"Low Calls",
IF(#REF!&lt;=120,"Medium Calls","High Calls"))</f>
        <v>#REF!</v>
      </c>
      <c r="AA41" t="e">
        <f>IF(#REF!&lt;=15,"Low Charges",
IF(#REF!&lt;=20,"Medium Charges","High Charges"))</f>
        <v>#REF!</v>
      </c>
      <c r="AB41" t="e">
        <f>IF(AND(#REF!&gt;180, #REF!&gt;200), "Heavy Doemstic User", IF(#REF!&gt;10, "Interntional User", IF(AND(#REF!&lt;180, #REF!&lt;200,#REF!&lt;200), "Light User", "Balanced User")))</f>
        <v>#REF!</v>
      </c>
      <c r="AC41" t="e">
        <f>IF(#REF! = 0, "No Usage", IF(#REF! &lt;= 20, "Low Usage", IF(#REF! &lt;= 40, "Medium Usgae", "High Usage")))</f>
        <v>#REF!</v>
      </c>
      <c r="AD41" t="e">
        <f>IF(#REF!&lt;=150,"Low Usage", IF(#REF!&lt;=200,"Medium Usage", IF(#REF!&lt;=250,"High Usage","Very High Usage")))</f>
        <v>#REF!</v>
      </c>
      <c r="AE41" t="e">
        <f>IF(#REF!&lt;=5,"Low Calls", IF(#REF!&lt;=10, "Medium Calls", "High Calls"))</f>
        <v>#REF!</v>
      </c>
      <c r="AF41" t="e">
        <f xml:space="preserve">
IF(#REF!&gt;=4,4,0)+
IF(#REF!="yes",3,0)+
IF(#REF!="High Charges",3,0)+
IF(#REF!&gt;250,4,0)+
IF(#REF!="no",1,0)+
IF(#REF!="Heavy Domestic User",2,0)</f>
        <v>#REF!</v>
      </c>
      <c r="AG41" t="e">
        <f>IF(#REF!&gt;=10,"High Risk", IF(#REF!&gt;=5,"Medium Risk","Low Risk"))</f>
        <v>#REF!</v>
      </c>
      <c r="AH41" t="e">
        <f>#REF! + #REF! + #REF! + #REF!</f>
        <v>#REF!</v>
      </c>
    </row>
    <row r="42" spans="1:34" x14ac:dyDescent="0.35">
      <c r="A42">
        <v>41</v>
      </c>
      <c r="B42" t="s">
        <v>34</v>
      </c>
      <c r="C42">
        <v>52</v>
      </c>
      <c r="D42" t="s">
        <v>25</v>
      </c>
      <c r="E42" t="s">
        <v>22</v>
      </c>
      <c r="F42" t="s">
        <v>22</v>
      </c>
      <c r="G42">
        <v>0</v>
      </c>
      <c r="H42">
        <v>191.9</v>
      </c>
      <c r="I42">
        <v>108</v>
      </c>
      <c r="J42">
        <v>32.619999999999997</v>
      </c>
      <c r="K42">
        <v>269.8</v>
      </c>
      <c r="L42">
        <v>96</v>
      </c>
      <c r="M42">
        <v>22.93</v>
      </c>
      <c r="N42">
        <v>236.8</v>
      </c>
      <c r="O42">
        <v>87</v>
      </c>
      <c r="P42">
        <v>10.66</v>
      </c>
      <c r="Q42">
        <v>7.8</v>
      </c>
      <c r="R42">
        <v>5</v>
      </c>
      <c r="S42">
        <v>2.11</v>
      </c>
      <c r="T42">
        <v>3</v>
      </c>
      <c r="U42" t="s">
        <v>22</v>
      </c>
      <c r="V42" t="e">
        <f>IF(#REF! = "yes", 1, 0)</f>
        <v>#REF!</v>
      </c>
      <c r="W42" t="e">
        <f>IF(#REF! &lt;= 1, "0-1 Calls", IF(#REF! &lt;= 3, "2-3 Calls", IF(#REF! &lt;=5, "4-5 Calls", "6+ Calls")))</f>
        <v>#REF!</v>
      </c>
      <c r="X42" t="e">
        <f>IF(#REF! &lt;= 50, "0-50", IF(#REF! &lt;=100, "51-100", IF(#REF! &lt;= 150, "101-150", "151+")))</f>
        <v>#REF!</v>
      </c>
      <c r="Y42" t="e">
        <f>IF(#REF! &lt;= 3, "Low Charges", "High Charges")</f>
        <v>#REF!</v>
      </c>
      <c r="Z42" t="e">
        <f>IF(#REF!&lt;=80,"Low Calls",
IF(#REF!&lt;=120,"Medium Calls","High Calls"))</f>
        <v>#REF!</v>
      </c>
      <c r="AA42" t="e">
        <f>IF(#REF!&lt;=15,"Low Charges",
IF(#REF!&lt;=20,"Medium Charges","High Charges"))</f>
        <v>#REF!</v>
      </c>
      <c r="AB42" t="e">
        <f>IF(AND(#REF!&gt;180, #REF!&gt;200), "Heavy Doemstic User", IF(#REF!&gt;10, "Interntional User", IF(AND(#REF!&lt;180, #REF!&lt;200,#REF!&lt;200), "Light User", "Balanced User")))</f>
        <v>#REF!</v>
      </c>
      <c r="AC42" t="e">
        <f>IF(#REF! = 0, "No Usage", IF(#REF! &lt;= 20, "Low Usage", IF(#REF! &lt;= 40, "Medium Usgae", "High Usage")))</f>
        <v>#REF!</v>
      </c>
      <c r="AD42" t="e">
        <f>IF(#REF!&lt;=150,"Low Usage", IF(#REF!&lt;=200,"Medium Usage", IF(#REF!&lt;=250,"High Usage","Very High Usage")))</f>
        <v>#REF!</v>
      </c>
      <c r="AE42" t="e">
        <f>IF(#REF!&lt;=5,"Low Calls", IF(#REF!&lt;=10, "Medium Calls", "High Calls"))</f>
        <v>#REF!</v>
      </c>
      <c r="AF42" t="e">
        <f xml:space="preserve">
IF(#REF!&gt;=4,4,0)+
IF(#REF!="yes",3,0)+
IF(#REF!="High Charges",3,0)+
IF(#REF!&gt;250,4,0)+
IF(#REF!="no",1,0)+
IF(#REF!="Heavy Domestic User",2,0)</f>
        <v>#REF!</v>
      </c>
      <c r="AG42" t="e">
        <f>IF(#REF!&gt;=10,"High Risk", IF(#REF!&gt;=5,"Medium Risk","Low Risk"))</f>
        <v>#REF!</v>
      </c>
      <c r="AH42" t="e">
        <f>#REF! + #REF! + #REF! + #REF!</f>
        <v>#REF!</v>
      </c>
    </row>
    <row r="43" spans="1:34" x14ac:dyDescent="0.35">
      <c r="A43">
        <v>42</v>
      </c>
      <c r="B43" t="s">
        <v>32</v>
      </c>
      <c r="C43">
        <v>60</v>
      </c>
      <c r="D43" t="s">
        <v>25</v>
      </c>
      <c r="E43" t="s">
        <v>22</v>
      </c>
      <c r="F43" t="s">
        <v>22</v>
      </c>
      <c r="G43">
        <v>0</v>
      </c>
      <c r="H43">
        <v>220.6</v>
      </c>
      <c r="I43">
        <v>57</v>
      </c>
      <c r="J43">
        <v>37.5</v>
      </c>
      <c r="K43">
        <v>211.1</v>
      </c>
      <c r="L43">
        <v>115</v>
      </c>
      <c r="M43">
        <v>17.940000000000001</v>
      </c>
      <c r="N43">
        <v>249</v>
      </c>
      <c r="O43">
        <v>129</v>
      </c>
      <c r="P43">
        <v>11.21</v>
      </c>
      <c r="Q43">
        <v>6.8</v>
      </c>
      <c r="R43">
        <v>3</v>
      </c>
      <c r="S43">
        <v>1.84</v>
      </c>
      <c r="T43">
        <v>1</v>
      </c>
      <c r="U43" t="s">
        <v>22</v>
      </c>
      <c r="V43" t="e">
        <f>IF(#REF! = "yes", 1, 0)</f>
        <v>#REF!</v>
      </c>
      <c r="W43" t="e">
        <f>IF(#REF! &lt;= 1, "0-1 Calls", IF(#REF! &lt;= 3, "2-3 Calls", IF(#REF! &lt;=5, "4-5 Calls", "6+ Calls")))</f>
        <v>#REF!</v>
      </c>
      <c r="X43" t="e">
        <f>IF(#REF! &lt;= 50, "0-50", IF(#REF! &lt;=100, "51-100", IF(#REF! &lt;= 150, "101-150", "151+")))</f>
        <v>#REF!</v>
      </c>
      <c r="Y43" t="e">
        <f>IF(#REF! &lt;= 3, "Low Charges", "High Charges")</f>
        <v>#REF!</v>
      </c>
      <c r="Z43" t="e">
        <f>IF(#REF!&lt;=80,"Low Calls",
IF(#REF!&lt;=120,"Medium Calls","High Calls"))</f>
        <v>#REF!</v>
      </c>
      <c r="AA43" t="e">
        <f>IF(#REF!&lt;=15,"Low Charges",
IF(#REF!&lt;=20,"Medium Charges","High Charges"))</f>
        <v>#REF!</v>
      </c>
      <c r="AB43" t="e">
        <f>IF(AND(#REF!&gt;180, #REF!&gt;200), "Heavy Doemstic User", IF(#REF!&gt;10, "Interntional User", IF(AND(#REF!&lt;180, #REF!&lt;200,#REF!&lt;200), "Light User", "Balanced User")))</f>
        <v>#REF!</v>
      </c>
      <c r="AC43" t="e">
        <f>IF(#REF! = 0, "No Usage", IF(#REF! &lt;= 20, "Low Usage", IF(#REF! &lt;= 40, "Medium Usgae", "High Usage")))</f>
        <v>#REF!</v>
      </c>
      <c r="AD43" t="e">
        <f>IF(#REF!&lt;=150,"Low Usage", IF(#REF!&lt;=200,"Medium Usage", IF(#REF!&lt;=250,"High Usage","Very High Usage")))</f>
        <v>#REF!</v>
      </c>
      <c r="AE43" t="e">
        <f>IF(#REF!&lt;=5,"Low Calls", IF(#REF!&lt;=10, "Medium Calls", "High Calls"))</f>
        <v>#REF!</v>
      </c>
      <c r="AF43" t="e">
        <f xml:space="preserve">
IF(#REF!&gt;=4,4,0)+
IF(#REF!="yes",3,0)+
IF(#REF!="High Charges",3,0)+
IF(#REF!&gt;250,4,0)+
IF(#REF!="no",1,0)+
IF(#REF!="Heavy Domestic User",2,0)</f>
        <v>#REF!</v>
      </c>
      <c r="AG43" t="e">
        <f>IF(#REF!&gt;=10,"High Risk", IF(#REF!&gt;=5,"Medium Risk","Low Risk"))</f>
        <v>#REF!</v>
      </c>
      <c r="AH43" t="e">
        <f>#REF! + #REF! + #REF! + #REF!</f>
        <v>#REF!</v>
      </c>
    </row>
    <row r="44" spans="1:34" x14ac:dyDescent="0.35">
      <c r="A44">
        <v>43</v>
      </c>
      <c r="B44" t="s">
        <v>38</v>
      </c>
      <c r="C44">
        <v>10</v>
      </c>
      <c r="D44" t="s">
        <v>25</v>
      </c>
      <c r="E44" t="s">
        <v>22</v>
      </c>
      <c r="F44" t="s">
        <v>22</v>
      </c>
      <c r="G44">
        <v>0</v>
      </c>
      <c r="H44">
        <v>186.1</v>
      </c>
      <c r="I44">
        <v>112</v>
      </c>
      <c r="J44">
        <v>31.64</v>
      </c>
      <c r="K44">
        <v>190.2</v>
      </c>
      <c r="L44">
        <v>66</v>
      </c>
      <c r="M44">
        <v>16.170000000000002</v>
      </c>
      <c r="N44">
        <v>282.8</v>
      </c>
      <c r="O44">
        <v>57</v>
      </c>
      <c r="P44">
        <v>12.73</v>
      </c>
      <c r="Q44">
        <v>11.4</v>
      </c>
      <c r="R44">
        <v>6</v>
      </c>
      <c r="S44">
        <v>3.08</v>
      </c>
      <c r="T44">
        <v>2</v>
      </c>
      <c r="U44" t="s">
        <v>22</v>
      </c>
      <c r="V44" t="e">
        <f>IF(#REF! = "yes", 1, 0)</f>
        <v>#REF!</v>
      </c>
      <c r="W44" t="e">
        <f>IF(#REF! &lt;= 1, "0-1 Calls", IF(#REF! &lt;= 3, "2-3 Calls", IF(#REF! &lt;=5, "4-5 Calls", "6+ Calls")))</f>
        <v>#REF!</v>
      </c>
      <c r="X44" t="e">
        <f>IF(#REF! &lt;= 50, "0-50", IF(#REF! &lt;=100, "51-100", IF(#REF! &lt;= 150, "101-150", "151+")))</f>
        <v>#REF!</v>
      </c>
      <c r="Y44" t="e">
        <f>IF(#REF! &lt;= 3, "Low Charges", "High Charges")</f>
        <v>#REF!</v>
      </c>
      <c r="Z44" t="e">
        <f>IF(#REF!&lt;=80,"Low Calls",
IF(#REF!&lt;=120,"Medium Calls","High Calls"))</f>
        <v>#REF!</v>
      </c>
      <c r="AA44" t="e">
        <f>IF(#REF!&lt;=15,"Low Charges",
IF(#REF!&lt;=20,"Medium Charges","High Charges"))</f>
        <v>#REF!</v>
      </c>
      <c r="AB44" t="e">
        <f>IF(AND(#REF!&gt;180, #REF!&gt;200), "Heavy Doemstic User", IF(#REF!&gt;10, "Interntional User", IF(AND(#REF!&lt;180, #REF!&lt;200,#REF!&lt;200), "Light User", "Balanced User")))</f>
        <v>#REF!</v>
      </c>
      <c r="AC44" t="e">
        <f>IF(#REF! = 0, "No Usage", IF(#REF! &lt;= 20, "Low Usage", IF(#REF! &lt;= 40, "Medium Usgae", "High Usage")))</f>
        <v>#REF!</v>
      </c>
      <c r="AD44" t="e">
        <f>IF(#REF!&lt;=150,"Low Usage", IF(#REF!&lt;=200,"Medium Usage", IF(#REF!&lt;=250,"High Usage","Very High Usage")))</f>
        <v>#REF!</v>
      </c>
      <c r="AE44" t="e">
        <f>IF(#REF!&lt;=5,"Low Calls", IF(#REF!&lt;=10, "Medium Calls", "High Calls"))</f>
        <v>#REF!</v>
      </c>
      <c r="AF44" t="e">
        <f xml:space="preserve">
IF(#REF!&gt;=4,4,0)+
IF(#REF!="yes",3,0)+
IF(#REF!="High Charges",3,0)+
IF(#REF!&gt;250,4,0)+
IF(#REF!="no",1,0)+
IF(#REF!="Heavy Domestic User",2,0)</f>
        <v>#REF!</v>
      </c>
      <c r="AG44" t="e">
        <f>IF(#REF!&gt;=10,"High Risk", IF(#REF!&gt;=5,"Medium Risk","Low Risk"))</f>
        <v>#REF!</v>
      </c>
      <c r="AH44" t="e">
        <f>#REF! + #REF! + #REF! + #REF!</f>
        <v>#REF!</v>
      </c>
    </row>
    <row r="45" spans="1:34" x14ac:dyDescent="0.35">
      <c r="A45">
        <v>44</v>
      </c>
      <c r="B45" t="s">
        <v>55</v>
      </c>
      <c r="C45">
        <v>96</v>
      </c>
      <c r="D45" t="s">
        <v>21</v>
      </c>
      <c r="E45" t="s">
        <v>22</v>
      </c>
      <c r="F45" t="s">
        <v>22</v>
      </c>
      <c r="G45">
        <v>0</v>
      </c>
      <c r="H45">
        <v>160.19999999999999</v>
      </c>
      <c r="I45">
        <v>117</v>
      </c>
      <c r="J45">
        <v>27.23</v>
      </c>
      <c r="K45">
        <v>267.5</v>
      </c>
      <c r="L45">
        <v>67</v>
      </c>
      <c r="M45">
        <v>22.74</v>
      </c>
      <c r="N45">
        <v>228.5</v>
      </c>
      <c r="O45">
        <v>68</v>
      </c>
      <c r="P45">
        <v>10.28</v>
      </c>
      <c r="Q45">
        <v>9.3000000000000007</v>
      </c>
      <c r="R45">
        <v>5</v>
      </c>
      <c r="S45">
        <v>2.5099999999999998</v>
      </c>
      <c r="T45">
        <v>2</v>
      </c>
      <c r="U45" t="s">
        <v>22</v>
      </c>
      <c r="V45" t="e">
        <f>IF(#REF! = "yes", 1, 0)</f>
        <v>#REF!</v>
      </c>
      <c r="W45" t="e">
        <f>IF(#REF! &lt;= 1, "0-1 Calls", IF(#REF! &lt;= 3, "2-3 Calls", IF(#REF! &lt;=5, "4-5 Calls", "6+ Calls")))</f>
        <v>#REF!</v>
      </c>
      <c r="X45" t="e">
        <f>IF(#REF! &lt;= 50, "0-50", IF(#REF! &lt;=100, "51-100", IF(#REF! &lt;= 150, "101-150", "151+")))</f>
        <v>#REF!</v>
      </c>
      <c r="Y45" t="e">
        <f>IF(#REF! &lt;= 3, "Low Charges", "High Charges")</f>
        <v>#REF!</v>
      </c>
      <c r="Z45" t="e">
        <f>IF(#REF!&lt;=80,"Low Calls",
IF(#REF!&lt;=120,"Medium Calls","High Calls"))</f>
        <v>#REF!</v>
      </c>
      <c r="AA45" t="e">
        <f>IF(#REF!&lt;=15,"Low Charges",
IF(#REF!&lt;=20,"Medium Charges","High Charges"))</f>
        <v>#REF!</v>
      </c>
      <c r="AB45" t="e">
        <f>IF(AND(#REF!&gt;180, #REF!&gt;200), "Heavy Doemstic User", IF(#REF!&gt;10, "Interntional User", IF(AND(#REF!&lt;180, #REF!&lt;200,#REF!&lt;200), "Light User", "Balanced User")))</f>
        <v>#REF!</v>
      </c>
      <c r="AC45" t="e">
        <f>IF(#REF! = 0, "No Usage", IF(#REF! &lt;= 20, "Low Usage", IF(#REF! &lt;= 40, "Medium Usgae", "High Usage")))</f>
        <v>#REF!</v>
      </c>
      <c r="AD45" t="e">
        <f>IF(#REF!&lt;=150,"Low Usage", IF(#REF!&lt;=200,"Medium Usage", IF(#REF!&lt;=250,"High Usage","Very High Usage")))</f>
        <v>#REF!</v>
      </c>
      <c r="AE45" t="e">
        <f>IF(#REF!&lt;=5,"Low Calls", IF(#REF!&lt;=10, "Medium Calls", "High Calls"))</f>
        <v>#REF!</v>
      </c>
      <c r="AF45" t="e">
        <f xml:space="preserve">
IF(#REF!&gt;=4,4,0)+
IF(#REF!="yes",3,0)+
IF(#REF!="High Charges",3,0)+
IF(#REF!&gt;250,4,0)+
IF(#REF!="no",1,0)+
IF(#REF!="Heavy Domestic User",2,0)</f>
        <v>#REF!</v>
      </c>
      <c r="AG45" t="e">
        <f>IF(#REF!&gt;=10,"High Risk", IF(#REF!&gt;=5,"Medium Risk","Low Risk"))</f>
        <v>#REF!</v>
      </c>
      <c r="AH45" t="e">
        <f>#REF! + #REF! + #REF! + #REF!</f>
        <v>#REF!</v>
      </c>
    </row>
    <row r="46" spans="1:34" x14ac:dyDescent="0.35">
      <c r="A46">
        <v>45</v>
      </c>
      <c r="B46" t="s">
        <v>32</v>
      </c>
      <c r="C46">
        <v>81</v>
      </c>
      <c r="D46" t="s">
        <v>25</v>
      </c>
      <c r="E46" t="s">
        <v>22</v>
      </c>
      <c r="F46" t="s">
        <v>22</v>
      </c>
      <c r="G46">
        <v>0</v>
      </c>
      <c r="H46">
        <v>175.5</v>
      </c>
      <c r="I46">
        <v>67</v>
      </c>
      <c r="J46">
        <v>29.84</v>
      </c>
      <c r="K46">
        <v>249.3</v>
      </c>
      <c r="L46">
        <v>85</v>
      </c>
      <c r="M46">
        <v>21.19</v>
      </c>
      <c r="N46">
        <v>270.2</v>
      </c>
      <c r="O46">
        <v>98</v>
      </c>
      <c r="P46">
        <v>12.16</v>
      </c>
      <c r="Q46">
        <v>10.199999999999999</v>
      </c>
      <c r="R46">
        <v>3</v>
      </c>
      <c r="S46">
        <v>2.75</v>
      </c>
      <c r="T46">
        <v>1</v>
      </c>
      <c r="U46" t="s">
        <v>22</v>
      </c>
      <c r="V46" t="e">
        <f>IF(#REF! = "yes", 1, 0)</f>
        <v>#REF!</v>
      </c>
      <c r="W46" t="e">
        <f>IF(#REF! &lt;= 1, "0-1 Calls", IF(#REF! &lt;= 3, "2-3 Calls", IF(#REF! &lt;=5, "4-5 Calls", "6+ Calls")))</f>
        <v>#REF!</v>
      </c>
      <c r="X46" t="e">
        <f>IF(#REF! &lt;= 50, "0-50", IF(#REF! &lt;=100, "51-100", IF(#REF! &lt;= 150, "101-150", "151+")))</f>
        <v>#REF!</v>
      </c>
      <c r="Y46" t="e">
        <f>IF(#REF! &lt;= 3, "Low Charges", "High Charges")</f>
        <v>#REF!</v>
      </c>
      <c r="Z46" t="e">
        <f>IF(#REF!&lt;=80,"Low Calls",
IF(#REF!&lt;=120,"Medium Calls","High Calls"))</f>
        <v>#REF!</v>
      </c>
      <c r="AA46" t="e">
        <f>IF(#REF!&lt;=15,"Low Charges",
IF(#REF!&lt;=20,"Medium Charges","High Charges"))</f>
        <v>#REF!</v>
      </c>
      <c r="AB46" t="e">
        <f>IF(AND(#REF!&gt;180, #REF!&gt;200), "Heavy Doemstic User", IF(#REF!&gt;10, "Interntional User", IF(AND(#REF!&lt;180, #REF!&lt;200,#REF!&lt;200), "Light User", "Balanced User")))</f>
        <v>#REF!</v>
      </c>
      <c r="AC46" t="e">
        <f>IF(#REF! = 0, "No Usage", IF(#REF! &lt;= 20, "Low Usage", IF(#REF! &lt;= 40, "Medium Usgae", "High Usage")))</f>
        <v>#REF!</v>
      </c>
      <c r="AD46" t="e">
        <f>IF(#REF!&lt;=150,"Low Usage", IF(#REF!&lt;=200,"Medium Usage", IF(#REF!&lt;=250,"High Usage","Very High Usage")))</f>
        <v>#REF!</v>
      </c>
      <c r="AE46" t="e">
        <f>IF(#REF!&lt;=5,"Low Calls", IF(#REF!&lt;=10, "Medium Calls", "High Calls"))</f>
        <v>#REF!</v>
      </c>
      <c r="AF46" t="e">
        <f xml:space="preserve">
IF(#REF!&gt;=4,4,0)+
IF(#REF!="yes",3,0)+
IF(#REF!="High Charges",3,0)+
IF(#REF!&gt;250,4,0)+
IF(#REF!="no",1,0)+
IF(#REF!="Heavy Domestic User",2,0)</f>
        <v>#REF!</v>
      </c>
      <c r="AG46" t="e">
        <f>IF(#REF!&gt;=10,"High Risk", IF(#REF!&gt;=5,"Medium Risk","Low Risk"))</f>
        <v>#REF!</v>
      </c>
      <c r="AH46" t="e">
        <f>#REF! + #REF! + #REF! + #REF!</f>
        <v>#REF!</v>
      </c>
    </row>
    <row r="47" spans="1:34" x14ac:dyDescent="0.35">
      <c r="A47">
        <v>46</v>
      </c>
      <c r="B47" t="s">
        <v>41</v>
      </c>
      <c r="C47">
        <v>141</v>
      </c>
      <c r="D47" t="s">
        <v>21</v>
      </c>
      <c r="E47" t="s">
        <v>22</v>
      </c>
      <c r="F47" t="s">
        <v>22</v>
      </c>
      <c r="G47">
        <v>0</v>
      </c>
      <c r="H47">
        <v>126.9</v>
      </c>
      <c r="I47">
        <v>98</v>
      </c>
      <c r="J47">
        <v>21.57</v>
      </c>
      <c r="K47">
        <v>180</v>
      </c>
      <c r="L47">
        <v>62</v>
      </c>
      <c r="M47">
        <v>15.3</v>
      </c>
      <c r="N47">
        <v>140.80000000000001</v>
      </c>
      <c r="O47">
        <v>128</v>
      </c>
      <c r="P47">
        <v>6.34</v>
      </c>
      <c r="Q47">
        <v>8</v>
      </c>
      <c r="R47">
        <v>2</v>
      </c>
      <c r="S47">
        <v>2.16</v>
      </c>
      <c r="T47">
        <v>1</v>
      </c>
      <c r="U47" t="s">
        <v>22</v>
      </c>
      <c r="V47" t="e">
        <f>IF(#REF! = "yes", 1, 0)</f>
        <v>#REF!</v>
      </c>
      <c r="W47" t="e">
        <f>IF(#REF! &lt;= 1, "0-1 Calls", IF(#REF! &lt;= 3, "2-3 Calls", IF(#REF! &lt;=5, "4-5 Calls", "6+ Calls")))</f>
        <v>#REF!</v>
      </c>
      <c r="X47" t="e">
        <f>IF(#REF! &lt;= 50, "0-50", IF(#REF! &lt;=100, "51-100", IF(#REF! &lt;= 150, "101-150", "151+")))</f>
        <v>#REF!</v>
      </c>
      <c r="Y47" t="e">
        <f>IF(#REF! &lt;= 3, "Low Charges", "High Charges")</f>
        <v>#REF!</v>
      </c>
      <c r="Z47" t="e">
        <f>IF(#REF!&lt;=80,"Low Calls",
IF(#REF!&lt;=120,"Medium Calls","High Calls"))</f>
        <v>#REF!</v>
      </c>
      <c r="AA47" t="e">
        <f>IF(#REF!&lt;=15,"Low Charges",
IF(#REF!&lt;=20,"Medium Charges","High Charges"))</f>
        <v>#REF!</v>
      </c>
      <c r="AB47" t="e">
        <f>IF(AND(#REF!&gt;180, #REF!&gt;200), "Heavy Doemstic User", IF(#REF!&gt;10, "Interntional User", IF(AND(#REF!&lt;180, #REF!&lt;200,#REF!&lt;200), "Light User", "Balanced User")))</f>
        <v>#REF!</v>
      </c>
      <c r="AC47" t="e">
        <f>IF(#REF! = 0, "No Usage", IF(#REF! &lt;= 20, "Low Usage", IF(#REF! &lt;= 40, "Medium Usgae", "High Usage")))</f>
        <v>#REF!</v>
      </c>
      <c r="AD47" t="e">
        <f>IF(#REF!&lt;=150,"Low Usage", IF(#REF!&lt;=200,"Medium Usage", IF(#REF!&lt;=250,"High Usage","Very High Usage")))</f>
        <v>#REF!</v>
      </c>
      <c r="AE47" t="e">
        <f>IF(#REF!&lt;=5,"Low Calls", IF(#REF!&lt;=10, "Medium Calls", "High Calls"))</f>
        <v>#REF!</v>
      </c>
      <c r="AF47" t="e">
        <f xml:space="preserve">
IF(#REF!&gt;=4,4,0)+
IF(#REF!="yes",3,0)+
IF(#REF!="High Charges",3,0)+
IF(#REF!&gt;250,4,0)+
IF(#REF!="no",1,0)+
IF(#REF!="Heavy Domestic User",2,0)</f>
        <v>#REF!</v>
      </c>
      <c r="AG47" t="e">
        <f>IF(#REF!&gt;=10,"High Risk", IF(#REF!&gt;=5,"Medium Risk","Low Risk"))</f>
        <v>#REF!</v>
      </c>
      <c r="AH47" t="e">
        <f>#REF! + #REF! + #REF! + #REF!</f>
        <v>#REF!</v>
      </c>
    </row>
    <row r="48" spans="1:34" x14ac:dyDescent="0.35">
      <c r="A48">
        <v>47</v>
      </c>
      <c r="B48" t="s">
        <v>41</v>
      </c>
      <c r="C48">
        <v>121</v>
      </c>
      <c r="D48" t="s">
        <v>25</v>
      </c>
      <c r="E48" t="s">
        <v>22</v>
      </c>
      <c r="F48" t="s">
        <v>23</v>
      </c>
      <c r="G48">
        <v>30</v>
      </c>
      <c r="H48">
        <v>198.4</v>
      </c>
      <c r="I48">
        <v>129</v>
      </c>
      <c r="J48">
        <v>33.729999999999997</v>
      </c>
      <c r="K48">
        <v>75.3</v>
      </c>
      <c r="L48">
        <v>77</v>
      </c>
      <c r="M48">
        <v>6.4</v>
      </c>
      <c r="N48">
        <v>181.2</v>
      </c>
      <c r="O48">
        <v>77</v>
      </c>
      <c r="P48">
        <v>8.15</v>
      </c>
      <c r="Q48">
        <v>5.8</v>
      </c>
      <c r="R48">
        <v>3</v>
      </c>
      <c r="S48">
        <v>1.57</v>
      </c>
      <c r="T48">
        <v>3</v>
      </c>
      <c r="U48" t="s">
        <v>23</v>
      </c>
      <c r="V48" t="e">
        <f>IF(#REF! = "yes", 1, 0)</f>
        <v>#REF!</v>
      </c>
      <c r="W48" t="e">
        <f>IF(#REF! &lt;= 1, "0-1 Calls", IF(#REF! &lt;= 3, "2-3 Calls", IF(#REF! &lt;=5, "4-5 Calls", "6+ Calls")))</f>
        <v>#REF!</v>
      </c>
      <c r="X48" t="e">
        <f>IF(#REF! &lt;= 50, "0-50", IF(#REF! &lt;=100, "51-100", IF(#REF! &lt;= 150, "101-150", "151+")))</f>
        <v>#REF!</v>
      </c>
      <c r="Y48" t="e">
        <f>IF(#REF! &lt;= 3, "Low Charges", "High Charges")</f>
        <v>#REF!</v>
      </c>
      <c r="Z48" t="e">
        <f>IF(#REF!&lt;=80,"Low Calls",
IF(#REF!&lt;=120,"Medium Calls","High Calls"))</f>
        <v>#REF!</v>
      </c>
      <c r="AA48" t="e">
        <f>IF(#REF!&lt;=15,"Low Charges",
IF(#REF!&lt;=20,"Medium Charges","High Charges"))</f>
        <v>#REF!</v>
      </c>
      <c r="AB48" t="e">
        <f>IF(AND(#REF!&gt;180, #REF!&gt;200), "Heavy Doemstic User", IF(#REF!&gt;10, "Interntional User", IF(AND(#REF!&lt;180, #REF!&lt;200,#REF!&lt;200), "Light User", "Balanced User")))</f>
        <v>#REF!</v>
      </c>
      <c r="AC48" t="e">
        <f>IF(#REF! = 0, "No Usage", IF(#REF! &lt;= 20, "Low Usage", IF(#REF! &lt;= 40, "Medium Usgae", "High Usage")))</f>
        <v>#REF!</v>
      </c>
      <c r="AD48" t="e">
        <f>IF(#REF!&lt;=150,"Low Usage", IF(#REF!&lt;=200,"Medium Usage", IF(#REF!&lt;=250,"High Usage","Very High Usage")))</f>
        <v>#REF!</v>
      </c>
      <c r="AE48" t="e">
        <f>IF(#REF!&lt;=5,"Low Calls", IF(#REF!&lt;=10, "Medium Calls", "High Calls"))</f>
        <v>#REF!</v>
      </c>
      <c r="AF48" t="e">
        <f xml:space="preserve">
IF(#REF!&gt;=4,4,0)+
IF(#REF!="yes",3,0)+
IF(#REF!="High Charges",3,0)+
IF(#REF!&gt;250,4,0)+
IF(#REF!="no",1,0)+
IF(#REF!="Heavy Domestic User",2,0)</f>
        <v>#REF!</v>
      </c>
      <c r="AG48" t="e">
        <f>IF(#REF!&gt;=10,"High Risk", IF(#REF!&gt;=5,"Medium Risk","Low Risk"))</f>
        <v>#REF!</v>
      </c>
      <c r="AH48" t="e">
        <f>#REF! + #REF! + #REF! + #REF!</f>
        <v>#REF!</v>
      </c>
    </row>
    <row r="49" spans="1:34" x14ac:dyDescent="0.35">
      <c r="A49">
        <v>48</v>
      </c>
      <c r="B49" t="s">
        <v>26</v>
      </c>
      <c r="C49">
        <v>125</v>
      </c>
      <c r="D49" t="s">
        <v>25</v>
      </c>
      <c r="E49" t="s">
        <v>22</v>
      </c>
      <c r="F49" t="s">
        <v>22</v>
      </c>
      <c r="G49">
        <v>0</v>
      </c>
      <c r="H49">
        <v>229.3</v>
      </c>
      <c r="I49">
        <v>103</v>
      </c>
      <c r="J49">
        <v>38.979999999999997</v>
      </c>
      <c r="K49">
        <v>177.4</v>
      </c>
      <c r="L49">
        <v>126</v>
      </c>
      <c r="M49">
        <v>15.08</v>
      </c>
      <c r="N49">
        <v>189.3</v>
      </c>
      <c r="O49">
        <v>95</v>
      </c>
      <c r="P49">
        <v>8.52</v>
      </c>
      <c r="Q49">
        <v>12</v>
      </c>
      <c r="R49">
        <v>8</v>
      </c>
      <c r="S49">
        <v>3.24</v>
      </c>
      <c r="T49">
        <v>1</v>
      </c>
      <c r="U49" t="s">
        <v>22</v>
      </c>
      <c r="V49" t="e">
        <f>IF(#REF! = "yes", 1, 0)</f>
        <v>#REF!</v>
      </c>
      <c r="W49" t="e">
        <f>IF(#REF! &lt;= 1, "0-1 Calls", IF(#REF! &lt;= 3, "2-3 Calls", IF(#REF! &lt;=5, "4-5 Calls", "6+ Calls")))</f>
        <v>#REF!</v>
      </c>
      <c r="X49" t="e">
        <f>IF(#REF! &lt;= 50, "0-50", IF(#REF! &lt;=100, "51-100", IF(#REF! &lt;= 150, "101-150", "151+")))</f>
        <v>#REF!</v>
      </c>
      <c r="Y49" t="e">
        <f>IF(#REF! &lt;= 3, "Low Charges", "High Charges")</f>
        <v>#REF!</v>
      </c>
      <c r="Z49" t="e">
        <f>IF(#REF!&lt;=80,"Low Calls",
IF(#REF!&lt;=120,"Medium Calls","High Calls"))</f>
        <v>#REF!</v>
      </c>
      <c r="AA49" t="e">
        <f>IF(#REF!&lt;=15,"Low Charges",
IF(#REF!&lt;=20,"Medium Charges","High Charges"))</f>
        <v>#REF!</v>
      </c>
      <c r="AB49" t="e">
        <f>IF(AND(#REF!&gt;180, #REF!&gt;200), "Heavy Doemstic User", IF(#REF!&gt;10, "Interntional User", IF(AND(#REF!&lt;180, #REF!&lt;200,#REF!&lt;200), "Light User", "Balanced User")))</f>
        <v>#REF!</v>
      </c>
      <c r="AC49" t="e">
        <f>IF(#REF! = 0, "No Usage", IF(#REF! &lt;= 20, "Low Usage", IF(#REF! &lt;= 40, "Medium Usgae", "High Usage")))</f>
        <v>#REF!</v>
      </c>
      <c r="AD49" t="e">
        <f>IF(#REF!&lt;=150,"Low Usage", IF(#REF!&lt;=200,"Medium Usage", IF(#REF!&lt;=250,"High Usage","Very High Usage")))</f>
        <v>#REF!</v>
      </c>
      <c r="AE49" t="e">
        <f>IF(#REF!&lt;=5,"Low Calls", IF(#REF!&lt;=10, "Medium Calls", "High Calls"))</f>
        <v>#REF!</v>
      </c>
      <c r="AF49" t="e">
        <f xml:space="preserve">
IF(#REF!&gt;=4,4,0)+
IF(#REF!="yes",3,0)+
IF(#REF!="High Charges",3,0)+
IF(#REF!&gt;250,4,0)+
IF(#REF!="no",1,0)+
IF(#REF!="Heavy Domestic User",2,0)</f>
        <v>#REF!</v>
      </c>
      <c r="AG49" t="e">
        <f>IF(#REF!&gt;=10,"High Risk", IF(#REF!&gt;=5,"Medium Risk","Low Risk"))</f>
        <v>#REF!</v>
      </c>
      <c r="AH49" t="e">
        <f>#REF! + #REF! + #REF! + #REF!</f>
        <v>#REF!</v>
      </c>
    </row>
    <row r="50" spans="1:34" x14ac:dyDescent="0.35">
      <c r="A50">
        <v>49</v>
      </c>
      <c r="B50" t="s">
        <v>37</v>
      </c>
      <c r="C50">
        <v>174</v>
      </c>
      <c r="D50" t="s">
        <v>25</v>
      </c>
      <c r="E50" t="s">
        <v>22</v>
      </c>
      <c r="F50" t="s">
        <v>22</v>
      </c>
      <c r="G50">
        <v>0</v>
      </c>
      <c r="H50">
        <v>192.1</v>
      </c>
      <c r="I50">
        <v>97</v>
      </c>
      <c r="J50">
        <v>32.659999999999997</v>
      </c>
      <c r="K50">
        <v>169.9</v>
      </c>
      <c r="L50">
        <v>94</v>
      </c>
      <c r="M50">
        <v>14.44</v>
      </c>
      <c r="N50">
        <v>166.6</v>
      </c>
      <c r="O50">
        <v>54</v>
      </c>
      <c r="P50">
        <v>7.5</v>
      </c>
      <c r="Q50">
        <v>11.4</v>
      </c>
      <c r="R50">
        <v>4</v>
      </c>
      <c r="S50">
        <v>3.08</v>
      </c>
      <c r="T50">
        <v>1</v>
      </c>
      <c r="U50" t="s">
        <v>22</v>
      </c>
      <c r="V50" t="e">
        <f>IF(#REF! = "yes", 1, 0)</f>
        <v>#REF!</v>
      </c>
      <c r="W50" t="e">
        <f>IF(#REF! &lt;= 1, "0-1 Calls", IF(#REF! &lt;= 3, "2-3 Calls", IF(#REF! &lt;=5, "4-5 Calls", "6+ Calls")))</f>
        <v>#REF!</v>
      </c>
      <c r="X50" t="e">
        <f>IF(#REF! &lt;= 50, "0-50", IF(#REF! &lt;=100, "51-100", IF(#REF! &lt;= 150, "101-150", "151+")))</f>
        <v>#REF!</v>
      </c>
      <c r="Y50" t="e">
        <f>IF(#REF! &lt;= 3, "Low Charges", "High Charges")</f>
        <v>#REF!</v>
      </c>
      <c r="Z50" t="e">
        <f>IF(#REF!&lt;=80,"Low Calls",
IF(#REF!&lt;=120,"Medium Calls","High Calls"))</f>
        <v>#REF!</v>
      </c>
      <c r="AA50" t="e">
        <f>IF(#REF!&lt;=15,"Low Charges",
IF(#REF!&lt;=20,"Medium Charges","High Charges"))</f>
        <v>#REF!</v>
      </c>
      <c r="AB50" t="e">
        <f>IF(AND(#REF!&gt;180, #REF!&gt;200), "Heavy Doemstic User", IF(#REF!&gt;10, "Interntional User", IF(AND(#REF!&lt;180, #REF!&lt;200,#REF!&lt;200), "Light User", "Balanced User")))</f>
        <v>#REF!</v>
      </c>
      <c r="AC50" t="e">
        <f>IF(#REF! = 0, "No Usage", IF(#REF! &lt;= 20, "Low Usage", IF(#REF! &lt;= 40, "Medium Usgae", "High Usage")))</f>
        <v>#REF!</v>
      </c>
      <c r="AD50" t="e">
        <f>IF(#REF!&lt;=150,"Low Usage", IF(#REF!&lt;=200,"Medium Usage", IF(#REF!&lt;=250,"High Usage","Very High Usage")))</f>
        <v>#REF!</v>
      </c>
      <c r="AE50" t="e">
        <f>IF(#REF!&lt;=5,"Low Calls", IF(#REF!&lt;=10, "Medium Calls", "High Calls"))</f>
        <v>#REF!</v>
      </c>
      <c r="AF50" t="e">
        <f xml:space="preserve">
IF(#REF!&gt;=4,4,0)+
IF(#REF!="yes",3,0)+
IF(#REF!="High Charges",3,0)+
IF(#REF!&gt;250,4,0)+
IF(#REF!="no",1,0)+
IF(#REF!="Heavy Domestic User",2,0)</f>
        <v>#REF!</v>
      </c>
      <c r="AG50" t="e">
        <f>IF(#REF!&gt;=10,"High Risk", IF(#REF!&gt;=5,"Medium Risk","Low Risk"))</f>
        <v>#REF!</v>
      </c>
      <c r="AH50" t="e">
        <f>#REF! + #REF! + #REF! + #REF!</f>
        <v>#REF!</v>
      </c>
    </row>
    <row r="51" spans="1:34" x14ac:dyDescent="0.35">
      <c r="A51">
        <v>50</v>
      </c>
      <c r="B51" t="s">
        <v>56</v>
      </c>
      <c r="C51">
        <v>116</v>
      </c>
      <c r="D51" t="s">
        <v>21</v>
      </c>
      <c r="E51" t="s">
        <v>22</v>
      </c>
      <c r="F51" t="s">
        <v>23</v>
      </c>
      <c r="G51">
        <v>34</v>
      </c>
      <c r="H51">
        <v>268.60000000000002</v>
      </c>
      <c r="I51">
        <v>83</v>
      </c>
      <c r="J51">
        <v>45.66</v>
      </c>
      <c r="K51">
        <v>178.2</v>
      </c>
      <c r="L51">
        <v>142</v>
      </c>
      <c r="M51">
        <v>15.15</v>
      </c>
      <c r="N51">
        <v>166.3</v>
      </c>
      <c r="O51">
        <v>106</v>
      </c>
      <c r="P51">
        <v>7.48</v>
      </c>
      <c r="Q51">
        <v>11.6</v>
      </c>
      <c r="R51">
        <v>3</v>
      </c>
      <c r="S51">
        <v>3.13</v>
      </c>
      <c r="T51">
        <v>2</v>
      </c>
      <c r="U51" t="s">
        <v>22</v>
      </c>
      <c r="V51" t="e">
        <f>IF(#REF! = "yes", 1, 0)</f>
        <v>#REF!</v>
      </c>
      <c r="W51" t="e">
        <f>IF(#REF! &lt;= 1, "0-1 Calls", IF(#REF! &lt;= 3, "2-3 Calls", IF(#REF! &lt;=5, "4-5 Calls", "6+ Calls")))</f>
        <v>#REF!</v>
      </c>
      <c r="X51" t="e">
        <f>IF(#REF! &lt;= 50, "0-50", IF(#REF! &lt;=100, "51-100", IF(#REF! &lt;= 150, "101-150", "151+")))</f>
        <v>#REF!</v>
      </c>
      <c r="Y51" t="e">
        <f>IF(#REF! &lt;= 3, "Low Charges", "High Charges")</f>
        <v>#REF!</v>
      </c>
      <c r="Z51" t="e">
        <f>IF(#REF!&lt;=80,"Low Calls",
IF(#REF!&lt;=120,"Medium Calls","High Calls"))</f>
        <v>#REF!</v>
      </c>
      <c r="AA51" t="e">
        <f>IF(#REF!&lt;=15,"Low Charges",
IF(#REF!&lt;=20,"Medium Charges","High Charges"))</f>
        <v>#REF!</v>
      </c>
      <c r="AB51" t="e">
        <f>IF(AND(#REF!&gt;180, #REF!&gt;200), "Heavy Doemstic User", IF(#REF!&gt;10, "Interntional User", IF(AND(#REF!&lt;180, #REF!&lt;200,#REF!&lt;200), "Light User", "Balanced User")))</f>
        <v>#REF!</v>
      </c>
      <c r="AC51" t="e">
        <f>IF(#REF! = 0, "No Usage", IF(#REF! &lt;= 20, "Low Usage", IF(#REF! &lt;= 40, "Medium Usgae", "High Usage")))</f>
        <v>#REF!</v>
      </c>
      <c r="AD51" t="e">
        <f>IF(#REF!&lt;=150,"Low Usage", IF(#REF!&lt;=200,"Medium Usage", IF(#REF!&lt;=250,"High Usage","Very High Usage")))</f>
        <v>#REF!</v>
      </c>
      <c r="AE51" t="e">
        <f>IF(#REF!&lt;=5,"Low Calls", IF(#REF!&lt;=10, "Medium Calls", "High Calls"))</f>
        <v>#REF!</v>
      </c>
      <c r="AF51" t="e">
        <f xml:space="preserve">
IF(#REF!&gt;=4,4,0)+
IF(#REF!="yes",3,0)+
IF(#REF!="High Charges",3,0)+
IF(#REF!&gt;250,4,0)+
IF(#REF!="no",1,0)+
IF(#REF!="Heavy Domestic User",2,0)</f>
        <v>#REF!</v>
      </c>
      <c r="AG51" t="e">
        <f>IF(#REF!&gt;=10,"High Risk", IF(#REF!&gt;=5,"Medium Risk","Low Risk"))</f>
        <v>#REF!</v>
      </c>
      <c r="AH51" t="e">
        <f>#REF! + #REF! + #REF! + #REF!</f>
        <v>#REF!</v>
      </c>
    </row>
    <row r="52" spans="1:34" x14ac:dyDescent="0.35">
      <c r="A52">
        <v>51</v>
      </c>
      <c r="B52" t="s">
        <v>57</v>
      </c>
      <c r="C52">
        <v>149</v>
      </c>
      <c r="D52" t="s">
        <v>25</v>
      </c>
      <c r="E52" t="s">
        <v>22</v>
      </c>
      <c r="F52" t="s">
        <v>23</v>
      </c>
      <c r="G52">
        <v>28</v>
      </c>
      <c r="H52">
        <v>180.7</v>
      </c>
      <c r="I52">
        <v>92</v>
      </c>
      <c r="J52">
        <v>30.72</v>
      </c>
      <c r="K52">
        <v>187.8</v>
      </c>
      <c r="L52">
        <v>64</v>
      </c>
      <c r="M52">
        <v>15.96</v>
      </c>
      <c r="N52">
        <v>265.5</v>
      </c>
      <c r="O52">
        <v>53</v>
      </c>
      <c r="P52">
        <v>11.95</v>
      </c>
      <c r="Q52">
        <v>12.6</v>
      </c>
      <c r="R52">
        <v>3</v>
      </c>
      <c r="S52">
        <v>3.4</v>
      </c>
      <c r="T52">
        <v>3</v>
      </c>
      <c r="U52" t="s">
        <v>22</v>
      </c>
      <c r="V52" t="e">
        <f>IF(#REF! = "yes", 1, 0)</f>
        <v>#REF!</v>
      </c>
      <c r="W52" t="e">
        <f>IF(#REF! &lt;= 1, "0-1 Calls", IF(#REF! &lt;= 3, "2-3 Calls", IF(#REF! &lt;=5, "4-5 Calls", "6+ Calls")))</f>
        <v>#REF!</v>
      </c>
      <c r="X52" t="e">
        <f>IF(#REF! &lt;= 50, "0-50", IF(#REF! &lt;=100, "51-100", IF(#REF! &lt;= 150, "101-150", "151+")))</f>
        <v>#REF!</v>
      </c>
      <c r="Y52" t="e">
        <f>IF(#REF! &lt;= 3, "Low Charges", "High Charges")</f>
        <v>#REF!</v>
      </c>
      <c r="Z52" t="e">
        <f>IF(#REF!&lt;=80,"Low Calls",
IF(#REF!&lt;=120,"Medium Calls","High Calls"))</f>
        <v>#REF!</v>
      </c>
      <c r="AA52" t="e">
        <f>IF(#REF!&lt;=15,"Low Charges",
IF(#REF!&lt;=20,"Medium Charges","High Charges"))</f>
        <v>#REF!</v>
      </c>
      <c r="AB52" t="e">
        <f>IF(AND(#REF!&gt;180, #REF!&gt;200), "Heavy Doemstic User", IF(#REF!&gt;10, "Interntional User", IF(AND(#REF!&lt;180, #REF!&lt;200,#REF!&lt;200), "Light User", "Balanced User")))</f>
        <v>#REF!</v>
      </c>
      <c r="AC52" t="e">
        <f>IF(#REF! = 0, "No Usage", IF(#REF! &lt;= 20, "Low Usage", IF(#REF! &lt;= 40, "Medium Usgae", "High Usage")))</f>
        <v>#REF!</v>
      </c>
      <c r="AD52" t="e">
        <f>IF(#REF!&lt;=150,"Low Usage", IF(#REF!&lt;=200,"Medium Usage", IF(#REF!&lt;=250,"High Usage","Very High Usage")))</f>
        <v>#REF!</v>
      </c>
      <c r="AE52" t="e">
        <f>IF(#REF!&lt;=5,"Low Calls", IF(#REF!&lt;=10, "Medium Calls", "High Calls"))</f>
        <v>#REF!</v>
      </c>
      <c r="AF52" t="e">
        <f xml:space="preserve">
IF(#REF!&gt;=4,4,0)+
IF(#REF!="yes",3,0)+
IF(#REF!="High Charges",3,0)+
IF(#REF!&gt;250,4,0)+
IF(#REF!="no",1,0)+
IF(#REF!="Heavy Domestic User",2,0)</f>
        <v>#REF!</v>
      </c>
      <c r="AG52" t="e">
        <f>IF(#REF!&gt;=10,"High Risk", IF(#REF!&gt;=5,"Medium Risk","Low Risk"))</f>
        <v>#REF!</v>
      </c>
      <c r="AH52" t="e">
        <f>#REF! + #REF! + #REF! + #REF!</f>
        <v>#REF!</v>
      </c>
    </row>
    <row r="53" spans="1:34" x14ac:dyDescent="0.35">
      <c r="A53">
        <v>52</v>
      </c>
      <c r="B53" t="s">
        <v>58</v>
      </c>
      <c r="C53">
        <v>38</v>
      </c>
      <c r="D53" t="s">
        <v>25</v>
      </c>
      <c r="E53" t="s">
        <v>22</v>
      </c>
      <c r="F53" t="s">
        <v>22</v>
      </c>
      <c r="G53">
        <v>0</v>
      </c>
      <c r="H53">
        <v>131.19999999999999</v>
      </c>
      <c r="I53">
        <v>98</v>
      </c>
      <c r="J53">
        <v>22.3</v>
      </c>
      <c r="K53">
        <v>162.9</v>
      </c>
      <c r="L53">
        <v>97</v>
      </c>
      <c r="M53">
        <v>13.85</v>
      </c>
      <c r="N53">
        <v>159</v>
      </c>
      <c r="O53">
        <v>106</v>
      </c>
      <c r="P53">
        <v>7.15</v>
      </c>
      <c r="Q53">
        <v>8.1999999999999993</v>
      </c>
      <c r="R53">
        <v>6</v>
      </c>
      <c r="S53">
        <v>2.21</v>
      </c>
      <c r="T53">
        <v>2</v>
      </c>
      <c r="U53" t="s">
        <v>22</v>
      </c>
      <c r="V53" t="e">
        <f>IF(#REF! = "yes", 1, 0)</f>
        <v>#REF!</v>
      </c>
      <c r="W53" t="e">
        <f>IF(#REF! &lt;= 1, "0-1 Calls", IF(#REF! &lt;= 3, "2-3 Calls", IF(#REF! &lt;=5, "4-5 Calls", "6+ Calls")))</f>
        <v>#REF!</v>
      </c>
      <c r="X53" t="e">
        <f>IF(#REF! &lt;= 50, "0-50", IF(#REF! &lt;=100, "51-100", IF(#REF! &lt;= 150, "101-150", "151+")))</f>
        <v>#REF!</v>
      </c>
      <c r="Y53" t="e">
        <f>IF(#REF! &lt;= 3, "Low Charges", "High Charges")</f>
        <v>#REF!</v>
      </c>
      <c r="Z53" t="e">
        <f>IF(#REF!&lt;=80,"Low Calls",
IF(#REF!&lt;=120,"Medium Calls","High Calls"))</f>
        <v>#REF!</v>
      </c>
      <c r="AA53" t="e">
        <f>IF(#REF!&lt;=15,"Low Charges",
IF(#REF!&lt;=20,"Medium Charges","High Charges"))</f>
        <v>#REF!</v>
      </c>
      <c r="AB53" t="e">
        <f>IF(AND(#REF!&gt;180, #REF!&gt;200), "Heavy Doemstic User", IF(#REF!&gt;10, "Interntional User", IF(AND(#REF!&lt;180, #REF!&lt;200,#REF!&lt;200), "Light User", "Balanced User")))</f>
        <v>#REF!</v>
      </c>
      <c r="AC53" t="e">
        <f>IF(#REF! = 0, "No Usage", IF(#REF! &lt;= 20, "Low Usage", IF(#REF! &lt;= 40, "Medium Usgae", "High Usage")))</f>
        <v>#REF!</v>
      </c>
      <c r="AD53" t="e">
        <f>IF(#REF!&lt;=150,"Low Usage", IF(#REF!&lt;=200,"Medium Usage", IF(#REF!&lt;=250,"High Usage","Very High Usage")))</f>
        <v>#REF!</v>
      </c>
      <c r="AE53" t="e">
        <f>IF(#REF!&lt;=5,"Low Calls", IF(#REF!&lt;=10, "Medium Calls", "High Calls"))</f>
        <v>#REF!</v>
      </c>
      <c r="AF53" t="e">
        <f xml:space="preserve">
IF(#REF!&gt;=4,4,0)+
IF(#REF!="yes",3,0)+
IF(#REF!="High Charges",3,0)+
IF(#REF!&gt;250,4,0)+
IF(#REF!="no",1,0)+
IF(#REF!="Heavy Domestic User",2,0)</f>
        <v>#REF!</v>
      </c>
      <c r="AG53" t="e">
        <f>IF(#REF!&gt;=10,"High Risk", IF(#REF!&gt;=5,"Medium Risk","Low Risk"))</f>
        <v>#REF!</v>
      </c>
      <c r="AH53" t="e">
        <f>#REF! + #REF! + #REF! + #REF!</f>
        <v>#REF!</v>
      </c>
    </row>
    <row r="54" spans="1:34" x14ac:dyDescent="0.35">
      <c r="A54">
        <v>53</v>
      </c>
      <c r="B54" t="s">
        <v>59</v>
      </c>
      <c r="C54">
        <v>40</v>
      </c>
      <c r="D54" t="s">
        <v>21</v>
      </c>
      <c r="E54" t="s">
        <v>22</v>
      </c>
      <c r="F54" t="s">
        <v>23</v>
      </c>
      <c r="G54">
        <v>41</v>
      </c>
      <c r="H54">
        <v>148.1</v>
      </c>
      <c r="I54">
        <v>74</v>
      </c>
      <c r="J54">
        <v>25.18</v>
      </c>
      <c r="K54">
        <v>169.5</v>
      </c>
      <c r="L54">
        <v>88</v>
      </c>
      <c r="M54">
        <v>14.41</v>
      </c>
      <c r="N54">
        <v>214.1</v>
      </c>
      <c r="O54">
        <v>102</v>
      </c>
      <c r="P54">
        <v>9.6300000000000008</v>
      </c>
      <c r="Q54">
        <v>6.2</v>
      </c>
      <c r="R54">
        <v>5</v>
      </c>
      <c r="S54">
        <v>1.67</v>
      </c>
      <c r="T54">
        <v>2</v>
      </c>
      <c r="U54" t="s">
        <v>22</v>
      </c>
      <c r="V54" t="e">
        <f>IF(#REF! = "yes", 1, 0)</f>
        <v>#REF!</v>
      </c>
      <c r="W54" t="e">
        <f>IF(#REF! &lt;= 1, "0-1 Calls", IF(#REF! &lt;= 3, "2-3 Calls", IF(#REF! &lt;=5, "4-5 Calls", "6+ Calls")))</f>
        <v>#REF!</v>
      </c>
      <c r="X54" t="e">
        <f>IF(#REF! &lt;= 50, "0-50", IF(#REF! &lt;=100, "51-100", IF(#REF! &lt;= 150, "101-150", "151+")))</f>
        <v>#REF!</v>
      </c>
      <c r="Y54" t="e">
        <f>IF(#REF! &lt;= 3, "Low Charges", "High Charges")</f>
        <v>#REF!</v>
      </c>
      <c r="Z54" t="e">
        <f>IF(#REF!&lt;=80,"Low Calls",
IF(#REF!&lt;=120,"Medium Calls","High Calls"))</f>
        <v>#REF!</v>
      </c>
      <c r="AA54" t="e">
        <f>IF(#REF!&lt;=15,"Low Charges",
IF(#REF!&lt;=20,"Medium Charges","High Charges"))</f>
        <v>#REF!</v>
      </c>
      <c r="AB54" t="e">
        <f>IF(AND(#REF!&gt;180, #REF!&gt;200), "Heavy Doemstic User", IF(#REF!&gt;10, "Interntional User", IF(AND(#REF!&lt;180, #REF!&lt;200,#REF!&lt;200), "Light User", "Balanced User")))</f>
        <v>#REF!</v>
      </c>
      <c r="AC54" t="e">
        <f>IF(#REF! = 0, "No Usage", IF(#REF! &lt;= 20, "Low Usage", IF(#REF! &lt;= 40, "Medium Usgae", "High Usage")))</f>
        <v>#REF!</v>
      </c>
      <c r="AD54" t="e">
        <f>IF(#REF!&lt;=150,"Low Usage", IF(#REF!&lt;=200,"Medium Usage", IF(#REF!&lt;=250,"High Usage","Very High Usage")))</f>
        <v>#REF!</v>
      </c>
      <c r="AE54" t="e">
        <f>IF(#REF!&lt;=5,"Low Calls", IF(#REF!&lt;=10, "Medium Calls", "High Calls"))</f>
        <v>#REF!</v>
      </c>
      <c r="AF54" t="e">
        <f xml:space="preserve">
IF(#REF!&gt;=4,4,0)+
IF(#REF!="yes",3,0)+
IF(#REF!="High Charges",3,0)+
IF(#REF!&gt;250,4,0)+
IF(#REF!="no",1,0)+
IF(#REF!="Heavy Domestic User",2,0)</f>
        <v>#REF!</v>
      </c>
      <c r="AG54" t="e">
        <f>IF(#REF!&gt;=10,"High Risk", IF(#REF!&gt;=5,"Medium Risk","Low Risk"))</f>
        <v>#REF!</v>
      </c>
      <c r="AH54" t="e">
        <f>#REF! + #REF! + #REF! + #REF!</f>
        <v>#REF!</v>
      </c>
    </row>
    <row r="55" spans="1:34" x14ac:dyDescent="0.35">
      <c r="A55">
        <v>54</v>
      </c>
      <c r="B55" t="s">
        <v>44</v>
      </c>
      <c r="C55">
        <v>43</v>
      </c>
      <c r="D55" t="s">
        <v>21</v>
      </c>
      <c r="E55" t="s">
        <v>23</v>
      </c>
      <c r="F55" t="s">
        <v>22</v>
      </c>
      <c r="G55">
        <v>0</v>
      </c>
      <c r="H55">
        <v>251.5</v>
      </c>
      <c r="I55">
        <v>105</v>
      </c>
      <c r="J55">
        <v>42.76</v>
      </c>
      <c r="K55">
        <v>212.8</v>
      </c>
      <c r="L55">
        <v>104</v>
      </c>
      <c r="M55">
        <v>18.09</v>
      </c>
      <c r="N55">
        <v>157.80000000000001</v>
      </c>
      <c r="O55">
        <v>67</v>
      </c>
      <c r="P55">
        <v>7.1</v>
      </c>
      <c r="Q55">
        <v>9.3000000000000007</v>
      </c>
      <c r="R55">
        <v>4</v>
      </c>
      <c r="S55">
        <v>2.5099999999999998</v>
      </c>
      <c r="T55">
        <v>0</v>
      </c>
      <c r="U55" t="s">
        <v>22</v>
      </c>
      <c r="V55" t="e">
        <f>IF(#REF! = "yes", 1, 0)</f>
        <v>#REF!</v>
      </c>
      <c r="W55" t="e">
        <f>IF(#REF! &lt;= 1, "0-1 Calls", IF(#REF! &lt;= 3, "2-3 Calls", IF(#REF! &lt;=5, "4-5 Calls", "6+ Calls")))</f>
        <v>#REF!</v>
      </c>
      <c r="X55" t="e">
        <f>IF(#REF! &lt;= 50, "0-50", IF(#REF! &lt;=100, "51-100", IF(#REF! &lt;= 150, "101-150", "151+")))</f>
        <v>#REF!</v>
      </c>
      <c r="Y55" t="e">
        <f>IF(#REF! &lt;= 3, "Low Charges", "High Charges")</f>
        <v>#REF!</v>
      </c>
      <c r="Z55" t="e">
        <f>IF(#REF!&lt;=80,"Low Calls",
IF(#REF!&lt;=120,"Medium Calls","High Calls"))</f>
        <v>#REF!</v>
      </c>
      <c r="AA55" t="e">
        <f>IF(#REF!&lt;=15,"Low Charges",
IF(#REF!&lt;=20,"Medium Charges","High Charges"))</f>
        <v>#REF!</v>
      </c>
      <c r="AB55" t="e">
        <f>IF(AND(#REF!&gt;180, #REF!&gt;200), "Heavy Doemstic User", IF(#REF!&gt;10, "Interntional User", IF(AND(#REF!&lt;180, #REF!&lt;200,#REF!&lt;200), "Light User", "Balanced User")))</f>
        <v>#REF!</v>
      </c>
      <c r="AC55" t="e">
        <f>IF(#REF! = 0, "No Usage", IF(#REF! &lt;= 20, "Low Usage", IF(#REF! &lt;= 40, "Medium Usgae", "High Usage")))</f>
        <v>#REF!</v>
      </c>
      <c r="AD55" t="e">
        <f>IF(#REF!&lt;=150,"Low Usage", IF(#REF!&lt;=200,"Medium Usage", IF(#REF!&lt;=250,"High Usage","Very High Usage")))</f>
        <v>#REF!</v>
      </c>
      <c r="AE55" t="e">
        <f>IF(#REF!&lt;=5,"Low Calls", IF(#REF!&lt;=10, "Medium Calls", "High Calls"))</f>
        <v>#REF!</v>
      </c>
      <c r="AF55" t="e">
        <f xml:space="preserve">
IF(#REF!&gt;=4,4,0)+
IF(#REF!="yes",3,0)+
IF(#REF!="High Charges",3,0)+
IF(#REF!&gt;250,4,0)+
IF(#REF!="no",1,0)+
IF(#REF!="Heavy Domestic User",2,0)</f>
        <v>#REF!</v>
      </c>
      <c r="AG55" t="e">
        <f>IF(#REF!&gt;=10,"High Risk", IF(#REF!&gt;=5,"Medium Risk","Low Risk"))</f>
        <v>#REF!</v>
      </c>
      <c r="AH55" t="e">
        <f>#REF! + #REF! + #REF! + #REF!</f>
        <v>#REF!</v>
      </c>
    </row>
    <row r="56" spans="1:34" x14ac:dyDescent="0.35">
      <c r="A56">
        <v>55</v>
      </c>
      <c r="B56" t="s">
        <v>60</v>
      </c>
      <c r="C56">
        <v>113</v>
      </c>
      <c r="D56" t="s">
        <v>25</v>
      </c>
      <c r="E56" t="s">
        <v>23</v>
      </c>
      <c r="F56" t="s">
        <v>22</v>
      </c>
      <c r="G56">
        <v>0</v>
      </c>
      <c r="H56">
        <v>125.2</v>
      </c>
      <c r="I56">
        <v>93</v>
      </c>
      <c r="J56">
        <v>21.28</v>
      </c>
      <c r="K56">
        <v>206.4</v>
      </c>
      <c r="L56">
        <v>119</v>
      </c>
      <c r="M56">
        <v>17.54</v>
      </c>
      <c r="N56">
        <v>129.30000000000001</v>
      </c>
      <c r="O56">
        <v>139</v>
      </c>
      <c r="P56">
        <v>5.82</v>
      </c>
      <c r="Q56">
        <v>8.3000000000000007</v>
      </c>
      <c r="R56">
        <v>8</v>
      </c>
      <c r="S56">
        <v>2.2400000000000002</v>
      </c>
      <c r="T56">
        <v>0</v>
      </c>
      <c r="U56" t="s">
        <v>22</v>
      </c>
      <c r="V56" t="e">
        <f>IF(#REF! = "yes", 1, 0)</f>
        <v>#REF!</v>
      </c>
      <c r="W56" t="e">
        <f>IF(#REF! &lt;= 1, "0-1 Calls", IF(#REF! &lt;= 3, "2-3 Calls", IF(#REF! &lt;=5, "4-5 Calls", "6+ Calls")))</f>
        <v>#REF!</v>
      </c>
      <c r="X56" t="e">
        <f>IF(#REF! &lt;= 50, "0-50", IF(#REF! &lt;=100, "51-100", IF(#REF! &lt;= 150, "101-150", "151+")))</f>
        <v>#REF!</v>
      </c>
      <c r="Y56" t="e">
        <f>IF(#REF! &lt;= 3, "Low Charges", "High Charges")</f>
        <v>#REF!</v>
      </c>
      <c r="Z56" t="e">
        <f>IF(#REF!&lt;=80,"Low Calls",
IF(#REF!&lt;=120,"Medium Calls","High Calls"))</f>
        <v>#REF!</v>
      </c>
      <c r="AA56" t="e">
        <f>IF(#REF!&lt;=15,"Low Charges",
IF(#REF!&lt;=20,"Medium Charges","High Charges"))</f>
        <v>#REF!</v>
      </c>
      <c r="AB56" t="e">
        <f>IF(AND(#REF!&gt;180, #REF!&gt;200), "Heavy Doemstic User", IF(#REF!&gt;10, "Interntional User", IF(AND(#REF!&lt;180, #REF!&lt;200,#REF!&lt;200), "Light User", "Balanced User")))</f>
        <v>#REF!</v>
      </c>
      <c r="AC56" t="e">
        <f>IF(#REF! = 0, "No Usage", IF(#REF! &lt;= 20, "Low Usage", IF(#REF! &lt;= 40, "Medium Usgae", "High Usage")))</f>
        <v>#REF!</v>
      </c>
      <c r="AD56" t="e">
        <f>IF(#REF!&lt;=150,"Low Usage", IF(#REF!&lt;=200,"Medium Usage", IF(#REF!&lt;=250,"High Usage","Very High Usage")))</f>
        <v>#REF!</v>
      </c>
      <c r="AE56" t="e">
        <f>IF(#REF!&lt;=5,"Low Calls", IF(#REF!&lt;=10, "Medium Calls", "High Calls"))</f>
        <v>#REF!</v>
      </c>
      <c r="AF56" t="e">
        <f xml:space="preserve">
IF(#REF!&gt;=4,4,0)+
IF(#REF!="yes",3,0)+
IF(#REF!="High Charges",3,0)+
IF(#REF!&gt;250,4,0)+
IF(#REF!="no",1,0)+
IF(#REF!="Heavy Domestic User",2,0)</f>
        <v>#REF!</v>
      </c>
      <c r="AG56" t="e">
        <f>IF(#REF!&gt;=10,"High Risk", IF(#REF!&gt;=5,"Medium Risk","Low Risk"))</f>
        <v>#REF!</v>
      </c>
      <c r="AH56" t="e">
        <f>#REF! + #REF! + #REF! + #REF!</f>
        <v>#REF!</v>
      </c>
    </row>
    <row r="57" spans="1:34" x14ac:dyDescent="0.35">
      <c r="A57">
        <v>56</v>
      </c>
      <c r="B57" t="s">
        <v>55</v>
      </c>
      <c r="C57">
        <v>126</v>
      </c>
      <c r="D57" t="s">
        <v>25</v>
      </c>
      <c r="E57" t="s">
        <v>22</v>
      </c>
      <c r="F57" t="s">
        <v>22</v>
      </c>
      <c r="G57">
        <v>0</v>
      </c>
      <c r="H57">
        <v>211.6</v>
      </c>
      <c r="I57">
        <v>70</v>
      </c>
      <c r="J57">
        <v>35.97</v>
      </c>
      <c r="K57">
        <v>216.9</v>
      </c>
      <c r="L57">
        <v>80</v>
      </c>
      <c r="M57">
        <v>18.440000000000001</v>
      </c>
      <c r="N57">
        <v>153.5</v>
      </c>
      <c r="O57">
        <v>60</v>
      </c>
      <c r="P57">
        <v>6.91</v>
      </c>
      <c r="Q57">
        <v>7.8</v>
      </c>
      <c r="R57">
        <v>1</v>
      </c>
      <c r="S57">
        <v>2.11</v>
      </c>
      <c r="T57">
        <v>1</v>
      </c>
      <c r="U57" t="s">
        <v>22</v>
      </c>
      <c r="V57" t="e">
        <f>IF(#REF! = "yes", 1, 0)</f>
        <v>#REF!</v>
      </c>
      <c r="W57" t="e">
        <f>IF(#REF! &lt;= 1, "0-1 Calls", IF(#REF! &lt;= 3, "2-3 Calls", IF(#REF! &lt;=5, "4-5 Calls", "6+ Calls")))</f>
        <v>#REF!</v>
      </c>
      <c r="X57" t="e">
        <f>IF(#REF! &lt;= 50, "0-50", IF(#REF! &lt;=100, "51-100", IF(#REF! &lt;= 150, "101-150", "151+")))</f>
        <v>#REF!</v>
      </c>
      <c r="Y57" t="e">
        <f>IF(#REF! &lt;= 3, "Low Charges", "High Charges")</f>
        <v>#REF!</v>
      </c>
      <c r="Z57" t="e">
        <f>IF(#REF!&lt;=80,"Low Calls",
IF(#REF!&lt;=120,"Medium Calls","High Calls"))</f>
        <v>#REF!</v>
      </c>
      <c r="AA57" t="e">
        <f>IF(#REF!&lt;=15,"Low Charges",
IF(#REF!&lt;=20,"Medium Charges","High Charges"))</f>
        <v>#REF!</v>
      </c>
      <c r="AB57" t="e">
        <f>IF(AND(#REF!&gt;180, #REF!&gt;200), "Heavy Doemstic User", IF(#REF!&gt;10, "Interntional User", IF(AND(#REF!&lt;180, #REF!&lt;200,#REF!&lt;200), "Light User", "Balanced User")))</f>
        <v>#REF!</v>
      </c>
      <c r="AC57" t="e">
        <f>IF(#REF! = 0, "No Usage", IF(#REF! &lt;= 20, "Low Usage", IF(#REF! &lt;= 40, "Medium Usgae", "High Usage")))</f>
        <v>#REF!</v>
      </c>
      <c r="AD57" t="e">
        <f>IF(#REF!&lt;=150,"Low Usage", IF(#REF!&lt;=200,"Medium Usage", IF(#REF!&lt;=250,"High Usage","Very High Usage")))</f>
        <v>#REF!</v>
      </c>
      <c r="AE57" t="e">
        <f>IF(#REF!&lt;=5,"Low Calls", IF(#REF!&lt;=10, "Medium Calls", "High Calls"))</f>
        <v>#REF!</v>
      </c>
      <c r="AF57" t="e">
        <f xml:space="preserve">
IF(#REF!&gt;=4,4,0)+
IF(#REF!="yes",3,0)+
IF(#REF!="High Charges",3,0)+
IF(#REF!&gt;250,4,0)+
IF(#REF!="no",1,0)+
IF(#REF!="Heavy Domestic User",2,0)</f>
        <v>#REF!</v>
      </c>
      <c r="AG57" t="e">
        <f>IF(#REF!&gt;=10,"High Risk", IF(#REF!&gt;=5,"Medium Risk","Low Risk"))</f>
        <v>#REF!</v>
      </c>
      <c r="AH57" t="e">
        <f>#REF! + #REF! + #REF! + #REF!</f>
        <v>#REF!</v>
      </c>
    </row>
    <row r="58" spans="1:34" x14ac:dyDescent="0.35">
      <c r="A58">
        <v>57</v>
      </c>
      <c r="B58" t="s">
        <v>39</v>
      </c>
      <c r="C58">
        <v>150</v>
      </c>
      <c r="D58" t="s">
        <v>28</v>
      </c>
      <c r="E58" t="s">
        <v>22</v>
      </c>
      <c r="F58" t="s">
        <v>22</v>
      </c>
      <c r="G58">
        <v>0</v>
      </c>
      <c r="H58">
        <v>178.9</v>
      </c>
      <c r="I58">
        <v>101</v>
      </c>
      <c r="J58">
        <v>30.41</v>
      </c>
      <c r="K58">
        <v>169.1</v>
      </c>
      <c r="L58">
        <v>110</v>
      </c>
      <c r="M58">
        <v>14.37</v>
      </c>
      <c r="N58">
        <v>148.6</v>
      </c>
      <c r="O58">
        <v>100</v>
      </c>
      <c r="P58">
        <v>6.69</v>
      </c>
      <c r="Q58">
        <v>13.8</v>
      </c>
      <c r="R58">
        <v>3</v>
      </c>
      <c r="S58">
        <v>3.73</v>
      </c>
      <c r="T58">
        <v>4</v>
      </c>
      <c r="U58" t="s">
        <v>23</v>
      </c>
      <c r="V58" t="e">
        <f>IF(#REF! = "yes", 1, 0)</f>
        <v>#REF!</v>
      </c>
      <c r="W58" t="e">
        <f>IF(#REF! &lt;= 1, "0-1 Calls", IF(#REF! &lt;= 3, "2-3 Calls", IF(#REF! &lt;=5, "4-5 Calls", "6+ Calls")))</f>
        <v>#REF!</v>
      </c>
      <c r="X58" t="e">
        <f>IF(#REF! &lt;= 50, "0-50", IF(#REF! &lt;=100, "51-100", IF(#REF! &lt;= 150, "101-150", "151+")))</f>
        <v>#REF!</v>
      </c>
      <c r="Y58" t="e">
        <f>IF(#REF! &lt;= 3, "Low Charges", "High Charges")</f>
        <v>#REF!</v>
      </c>
      <c r="Z58" t="e">
        <f>IF(#REF!&lt;=80,"Low Calls",
IF(#REF!&lt;=120,"Medium Calls","High Calls"))</f>
        <v>#REF!</v>
      </c>
      <c r="AA58" t="e">
        <f>IF(#REF!&lt;=15,"Low Charges",
IF(#REF!&lt;=20,"Medium Charges","High Charges"))</f>
        <v>#REF!</v>
      </c>
      <c r="AB58" t="e">
        <f>IF(AND(#REF!&gt;180, #REF!&gt;200), "Heavy Doemstic User", IF(#REF!&gt;10, "Interntional User", IF(AND(#REF!&lt;180, #REF!&lt;200,#REF!&lt;200), "Light User", "Balanced User")))</f>
        <v>#REF!</v>
      </c>
      <c r="AC58" t="e">
        <f>IF(#REF! = 0, "No Usage", IF(#REF! &lt;= 20, "Low Usage", IF(#REF! &lt;= 40, "Medium Usgae", "High Usage")))</f>
        <v>#REF!</v>
      </c>
      <c r="AD58" t="e">
        <f>IF(#REF!&lt;=150,"Low Usage", IF(#REF!&lt;=200,"Medium Usage", IF(#REF!&lt;=250,"High Usage","Very High Usage")))</f>
        <v>#REF!</v>
      </c>
      <c r="AE58" t="e">
        <f>IF(#REF!&lt;=5,"Low Calls", IF(#REF!&lt;=10, "Medium Calls", "High Calls"))</f>
        <v>#REF!</v>
      </c>
      <c r="AF58" t="e">
        <f xml:space="preserve">
IF(#REF!&gt;=4,4,0)+
IF(#REF!="yes",3,0)+
IF(#REF!="High Charges",3,0)+
IF(#REF!&gt;250,4,0)+
IF(#REF!="no",1,0)+
IF(#REF!="Heavy Domestic User",2,0)</f>
        <v>#REF!</v>
      </c>
      <c r="AG58" t="e">
        <f>IF(#REF!&gt;=10,"High Risk", IF(#REF!&gt;=5,"Medium Risk","Low Risk"))</f>
        <v>#REF!</v>
      </c>
      <c r="AH58" t="e">
        <f>#REF! + #REF! + #REF! + #REF!</f>
        <v>#REF!</v>
      </c>
    </row>
    <row r="59" spans="1:34" x14ac:dyDescent="0.35">
      <c r="A59">
        <v>58</v>
      </c>
      <c r="B59" t="s">
        <v>24</v>
      </c>
      <c r="C59">
        <v>138</v>
      </c>
      <c r="D59" t="s">
        <v>25</v>
      </c>
      <c r="E59" t="s">
        <v>22</v>
      </c>
      <c r="F59" t="s">
        <v>22</v>
      </c>
      <c r="G59">
        <v>0</v>
      </c>
      <c r="H59">
        <v>241.8</v>
      </c>
      <c r="I59">
        <v>93</v>
      </c>
      <c r="J59">
        <v>41.11</v>
      </c>
      <c r="K59">
        <v>170.5</v>
      </c>
      <c r="L59">
        <v>83</v>
      </c>
      <c r="M59">
        <v>14.49</v>
      </c>
      <c r="N59">
        <v>295.3</v>
      </c>
      <c r="O59">
        <v>104</v>
      </c>
      <c r="P59">
        <v>13.29</v>
      </c>
      <c r="Q59">
        <v>11.8</v>
      </c>
      <c r="R59">
        <v>7</v>
      </c>
      <c r="S59">
        <v>3.19</v>
      </c>
      <c r="T59">
        <v>3</v>
      </c>
      <c r="U59" t="s">
        <v>22</v>
      </c>
      <c r="V59" t="e">
        <f>IF(#REF! = "yes", 1, 0)</f>
        <v>#REF!</v>
      </c>
      <c r="W59" t="e">
        <f>IF(#REF! &lt;= 1, "0-1 Calls", IF(#REF! &lt;= 3, "2-3 Calls", IF(#REF! &lt;=5, "4-5 Calls", "6+ Calls")))</f>
        <v>#REF!</v>
      </c>
      <c r="X59" t="e">
        <f>IF(#REF! &lt;= 50, "0-50", IF(#REF! &lt;=100, "51-100", IF(#REF! &lt;= 150, "101-150", "151+")))</f>
        <v>#REF!</v>
      </c>
      <c r="Y59" t="e">
        <f>IF(#REF! &lt;= 3, "Low Charges", "High Charges")</f>
        <v>#REF!</v>
      </c>
      <c r="Z59" t="e">
        <f>IF(#REF!&lt;=80,"Low Calls",
IF(#REF!&lt;=120,"Medium Calls","High Calls"))</f>
        <v>#REF!</v>
      </c>
      <c r="AA59" t="e">
        <f>IF(#REF!&lt;=15,"Low Charges",
IF(#REF!&lt;=20,"Medium Charges","High Charges"))</f>
        <v>#REF!</v>
      </c>
      <c r="AB59" t="e">
        <f>IF(AND(#REF!&gt;180, #REF!&gt;200), "Heavy Doemstic User", IF(#REF!&gt;10, "Interntional User", IF(AND(#REF!&lt;180, #REF!&lt;200,#REF!&lt;200), "Light User", "Balanced User")))</f>
        <v>#REF!</v>
      </c>
      <c r="AC59" t="e">
        <f>IF(#REF! = 0, "No Usage", IF(#REF! &lt;= 20, "Low Usage", IF(#REF! &lt;= 40, "Medium Usgae", "High Usage")))</f>
        <v>#REF!</v>
      </c>
      <c r="AD59" t="e">
        <f>IF(#REF!&lt;=150,"Low Usage", IF(#REF!&lt;=200,"Medium Usage", IF(#REF!&lt;=250,"High Usage","Very High Usage")))</f>
        <v>#REF!</v>
      </c>
      <c r="AE59" t="e">
        <f>IF(#REF!&lt;=5,"Low Calls", IF(#REF!&lt;=10, "Medium Calls", "High Calls"))</f>
        <v>#REF!</v>
      </c>
      <c r="AF59" t="e">
        <f xml:space="preserve">
IF(#REF!&gt;=4,4,0)+
IF(#REF!="yes",3,0)+
IF(#REF!="High Charges",3,0)+
IF(#REF!&gt;250,4,0)+
IF(#REF!="no",1,0)+
IF(#REF!="Heavy Domestic User",2,0)</f>
        <v>#REF!</v>
      </c>
      <c r="AG59" t="e">
        <f>IF(#REF!&gt;=10,"High Risk", IF(#REF!&gt;=5,"Medium Risk","Low Risk"))</f>
        <v>#REF!</v>
      </c>
      <c r="AH59" t="e">
        <f>#REF! + #REF! + #REF! + #REF!</f>
        <v>#REF!</v>
      </c>
    </row>
    <row r="60" spans="1:34" x14ac:dyDescent="0.35">
      <c r="A60">
        <v>59</v>
      </c>
      <c r="B60" t="s">
        <v>60</v>
      </c>
      <c r="C60">
        <v>162</v>
      </c>
      <c r="D60" t="s">
        <v>28</v>
      </c>
      <c r="E60" t="s">
        <v>22</v>
      </c>
      <c r="F60" t="s">
        <v>23</v>
      </c>
      <c r="G60">
        <v>46</v>
      </c>
      <c r="H60">
        <v>224.9</v>
      </c>
      <c r="I60">
        <v>97</v>
      </c>
      <c r="J60">
        <v>38.229999999999997</v>
      </c>
      <c r="K60">
        <v>188.2</v>
      </c>
      <c r="L60">
        <v>84</v>
      </c>
      <c r="M60">
        <v>16</v>
      </c>
      <c r="N60">
        <v>254.6</v>
      </c>
      <c r="O60">
        <v>61</v>
      </c>
      <c r="P60">
        <v>11.46</v>
      </c>
      <c r="Q60">
        <v>12.1</v>
      </c>
      <c r="R60">
        <v>2</v>
      </c>
      <c r="S60">
        <v>3.27</v>
      </c>
      <c r="T60">
        <v>0</v>
      </c>
      <c r="U60" t="s">
        <v>22</v>
      </c>
      <c r="V60" t="e">
        <f>IF(#REF! = "yes", 1, 0)</f>
        <v>#REF!</v>
      </c>
      <c r="W60" t="e">
        <f>IF(#REF! &lt;= 1, "0-1 Calls", IF(#REF! &lt;= 3, "2-3 Calls", IF(#REF! &lt;=5, "4-5 Calls", "6+ Calls")))</f>
        <v>#REF!</v>
      </c>
      <c r="X60" t="e">
        <f>IF(#REF! &lt;= 50, "0-50", IF(#REF! &lt;=100, "51-100", IF(#REF! &lt;= 150, "101-150", "151+")))</f>
        <v>#REF!</v>
      </c>
      <c r="Y60" t="e">
        <f>IF(#REF! &lt;= 3, "Low Charges", "High Charges")</f>
        <v>#REF!</v>
      </c>
      <c r="Z60" t="e">
        <f>IF(#REF!&lt;=80,"Low Calls",
IF(#REF!&lt;=120,"Medium Calls","High Calls"))</f>
        <v>#REF!</v>
      </c>
      <c r="AA60" t="e">
        <f>IF(#REF!&lt;=15,"Low Charges",
IF(#REF!&lt;=20,"Medium Charges","High Charges"))</f>
        <v>#REF!</v>
      </c>
      <c r="AB60" t="e">
        <f>IF(AND(#REF!&gt;180, #REF!&gt;200), "Heavy Doemstic User", IF(#REF!&gt;10, "Interntional User", IF(AND(#REF!&lt;180, #REF!&lt;200,#REF!&lt;200), "Light User", "Balanced User")))</f>
        <v>#REF!</v>
      </c>
      <c r="AC60" t="e">
        <f>IF(#REF! = 0, "No Usage", IF(#REF! &lt;= 20, "Low Usage", IF(#REF! &lt;= 40, "Medium Usgae", "High Usage")))</f>
        <v>#REF!</v>
      </c>
      <c r="AD60" t="e">
        <f>IF(#REF!&lt;=150,"Low Usage", IF(#REF!&lt;=200,"Medium Usage", IF(#REF!&lt;=250,"High Usage","Very High Usage")))</f>
        <v>#REF!</v>
      </c>
      <c r="AE60" t="e">
        <f>IF(#REF!&lt;=5,"Low Calls", IF(#REF!&lt;=10, "Medium Calls", "High Calls"))</f>
        <v>#REF!</v>
      </c>
      <c r="AF60" t="e">
        <f xml:space="preserve">
IF(#REF!&gt;=4,4,0)+
IF(#REF!="yes",3,0)+
IF(#REF!="High Charges",3,0)+
IF(#REF!&gt;250,4,0)+
IF(#REF!="no",1,0)+
IF(#REF!="Heavy Domestic User",2,0)</f>
        <v>#REF!</v>
      </c>
      <c r="AG60" t="e">
        <f>IF(#REF!&gt;=10,"High Risk", IF(#REF!&gt;=5,"Medium Risk","Low Risk"))</f>
        <v>#REF!</v>
      </c>
      <c r="AH60" t="e">
        <f>#REF! + #REF! + #REF! + #REF!</f>
        <v>#REF!</v>
      </c>
    </row>
    <row r="61" spans="1:34" x14ac:dyDescent="0.35">
      <c r="A61">
        <v>60</v>
      </c>
      <c r="B61" t="s">
        <v>61</v>
      </c>
      <c r="C61">
        <v>147</v>
      </c>
      <c r="D61" t="s">
        <v>28</v>
      </c>
      <c r="E61" t="s">
        <v>22</v>
      </c>
      <c r="F61" t="s">
        <v>22</v>
      </c>
      <c r="G61">
        <v>0</v>
      </c>
      <c r="H61">
        <v>248.6</v>
      </c>
      <c r="I61">
        <v>83</v>
      </c>
      <c r="J61">
        <v>42.26</v>
      </c>
      <c r="K61">
        <v>148.9</v>
      </c>
      <c r="L61">
        <v>85</v>
      </c>
      <c r="M61">
        <v>12.66</v>
      </c>
      <c r="N61">
        <v>172.5</v>
      </c>
      <c r="O61">
        <v>109</v>
      </c>
      <c r="P61">
        <v>7.76</v>
      </c>
      <c r="Q61">
        <v>8</v>
      </c>
      <c r="R61">
        <v>4</v>
      </c>
      <c r="S61">
        <v>2.16</v>
      </c>
      <c r="T61">
        <v>3</v>
      </c>
      <c r="U61" t="s">
        <v>22</v>
      </c>
      <c r="V61" t="e">
        <f>IF(#REF! = "yes", 1, 0)</f>
        <v>#REF!</v>
      </c>
      <c r="W61" t="e">
        <f>IF(#REF! &lt;= 1, "0-1 Calls", IF(#REF! &lt;= 3, "2-3 Calls", IF(#REF! &lt;=5, "4-5 Calls", "6+ Calls")))</f>
        <v>#REF!</v>
      </c>
      <c r="X61" t="e">
        <f>IF(#REF! &lt;= 50, "0-50", IF(#REF! &lt;=100, "51-100", IF(#REF! &lt;= 150, "101-150", "151+")))</f>
        <v>#REF!</v>
      </c>
      <c r="Y61" t="e">
        <f>IF(#REF! &lt;= 3, "Low Charges", "High Charges")</f>
        <v>#REF!</v>
      </c>
      <c r="Z61" t="e">
        <f>IF(#REF!&lt;=80,"Low Calls",
IF(#REF!&lt;=120,"Medium Calls","High Calls"))</f>
        <v>#REF!</v>
      </c>
      <c r="AA61" t="e">
        <f>IF(#REF!&lt;=15,"Low Charges",
IF(#REF!&lt;=20,"Medium Charges","High Charges"))</f>
        <v>#REF!</v>
      </c>
      <c r="AB61" t="e">
        <f>IF(AND(#REF!&gt;180, #REF!&gt;200), "Heavy Doemstic User", IF(#REF!&gt;10, "Interntional User", IF(AND(#REF!&lt;180, #REF!&lt;200,#REF!&lt;200), "Light User", "Balanced User")))</f>
        <v>#REF!</v>
      </c>
      <c r="AC61" t="e">
        <f>IF(#REF! = 0, "No Usage", IF(#REF! &lt;= 20, "Low Usage", IF(#REF! &lt;= 40, "Medium Usgae", "High Usage")))</f>
        <v>#REF!</v>
      </c>
      <c r="AD61" t="e">
        <f>IF(#REF!&lt;=150,"Low Usage", IF(#REF!&lt;=200,"Medium Usage", IF(#REF!&lt;=250,"High Usage","Very High Usage")))</f>
        <v>#REF!</v>
      </c>
      <c r="AE61" t="e">
        <f>IF(#REF!&lt;=5,"Low Calls", IF(#REF!&lt;=10, "Medium Calls", "High Calls"))</f>
        <v>#REF!</v>
      </c>
      <c r="AF61" t="e">
        <f xml:space="preserve">
IF(#REF!&gt;=4,4,0)+
IF(#REF!="yes",3,0)+
IF(#REF!="High Charges",3,0)+
IF(#REF!&gt;250,4,0)+
IF(#REF!="no",1,0)+
IF(#REF!="Heavy Domestic User",2,0)</f>
        <v>#REF!</v>
      </c>
      <c r="AG61" t="e">
        <f>IF(#REF!&gt;=10,"High Risk", IF(#REF!&gt;=5,"Medium Risk","Low Risk"))</f>
        <v>#REF!</v>
      </c>
      <c r="AH61" t="e">
        <f>#REF! + #REF! + #REF! + #REF!</f>
        <v>#REF!</v>
      </c>
    </row>
    <row r="62" spans="1:34" x14ac:dyDescent="0.35">
      <c r="A62">
        <v>61</v>
      </c>
      <c r="B62" t="s">
        <v>62</v>
      </c>
      <c r="C62">
        <v>90</v>
      </c>
      <c r="D62" t="s">
        <v>21</v>
      </c>
      <c r="E62" t="s">
        <v>22</v>
      </c>
      <c r="F62" t="s">
        <v>22</v>
      </c>
      <c r="G62">
        <v>0</v>
      </c>
      <c r="H62">
        <v>203.4</v>
      </c>
      <c r="I62">
        <v>146</v>
      </c>
      <c r="J62">
        <v>34.58</v>
      </c>
      <c r="K62">
        <v>226.7</v>
      </c>
      <c r="L62">
        <v>117</v>
      </c>
      <c r="M62">
        <v>19.27</v>
      </c>
      <c r="N62">
        <v>152.4</v>
      </c>
      <c r="O62">
        <v>105</v>
      </c>
      <c r="P62">
        <v>6.86</v>
      </c>
      <c r="Q62">
        <v>7.3</v>
      </c>
      <c r="R62">
        <v>4</v>
      </c>
      <c r="S62">
        <v>1.97</v>
      </c>
      <c r="T62">
        <v>1</v>
      </c>
      <c r="U62" t="s">
        <v>22</v>
      </c>
      <c r="V62" t="e">
        <f>IF(#REF! = "yes", 1, 0)</f>
        <v>#REF!</v>
      </c>
      <c r="W62" t="e">
        <f>IF(#REF! &lt;= 1, "0-1 Calls", IF(#REF! &lt;= 3, "2-3 Calls", IF(#REF! &lt;=5, "4-5 Calls", "6+ Calls")))</f>
        <v>#REF!</v>
      </c>
      <c r="X62" t="e">
        <f>IF(#REF! &lt;= 50, "0-50", IF(#REF! &lt;=100, "51-100", IF(#REF! &lt;= 150, "101-150", "151+")))</f>
        <v>#REF!</v>
      </c>
      <c r="Y62" t="e">
        <f>IF(#REF! &lt;= 3, "Low Charges", "High Charges")</f>
        <v>#REF!</v>
      </c>
      <c r="Z62" t="e">
        <f>IF(#REF!&lt;=80,"Low Calls",
IF(#REF!&lt;=120,"Medium Calls","High Calls"))</f>
        <v>#REF!</v>
      </c>
      <c r="AA62" t="e">
        <f>IF(#REF!&lt;=15,"Low Charges",
IF(#REF!&lt;=20,"Medium Charges","High Charges"))</f>
        <v>#REF!</v>
      </c>
      <c r="AB62" t="e">
        <f>IF(AND(#REF!&gt;180, #REF!&gt;200), "Heavy Doemstic User", IF(#REF!&gt;10, "Interntional User", IF(AND(#REF!&lt;180, #REF!&lt;200,#REF!&lt;200), "Light User", "Balanced User")))</f>
        <v>#REF!</v>
      </c>
      <c r="AC62" t="e">
        <f>IF(#REF! = 0, "No Usage", IF(#REF! &lt;= 20, "Low Usage", IF(#REF! &lt;= 40, "Medium Usgae", "High Usage")))</f>
        <v>#REF!</v>
      </c>
      <c r="AD62" t="e">
        <f>IF(#REF!&lt;=150,"Low Usage", IF(#REF!&lt;=200,"Medium Usage", IF(#REF!&lt;=250,"High Usage","Very High Usage")))</f>
        <v>#REF!</v>
      </c>
      <c r="AE62" t="e">
        <f>IF(#REF!&lt;=5,"Low Calls", IF(#REF!&lt;=10, "Medium Calls", "High Calls"))</f>
        <v>#REF!</v>
      </c>
      <c r="AF62" t="e">
        <f xml:space="preserve">
IF(#REF!&gt;=4,4,0)+
IF(#REF!="yes",3,0)+
IF(#REF!="High Charges",3,0)+
IF(#REF!&gt;250,4,0)+
IF(#REF!="no",1,0)+
IF(#REF!="Heavy Domestic User",2,0)</f>
        <v>#REF!</v>
      </c>
      <c r="AG62" t="e">
        <f>IF(#REF!&gt;=10,"High Risk", IF(#REF!&gt;=5,"Medium Risk","Low Risk"))</f>
        <v>#REF!</v>
      </c>
      <c r="AH62" t="e">
        <f>#REF! + #REF! + #REF! + #REF!</f>
        <v>#REF!</v>
      </c>
    </row>
    <row r="63" spans="1:34" x14ac:dyDescent="0.35">
      <c r="A63">
        <v>62</v>
      </c>
      <c r="B63" t="s">
        <v>45</v>
      </c>
      <c r="C63">
        <v>85</v>
      </c>
      <c r="D63" t="s">
        <v>21</v>
      </c>
      <c r="E63" t="s">
        <v>22</v>
      </c>
      <c r="F63" t="s">
        <v>22</v>
      </c>
      <c r="G63">
        <v>0</v>
      </c>
      <c r="H63">
        <v>235.8</v>
      </c>
      <c r="I63">
        <v>109</v>
      </c>
      <c r="J63">
        <v>40.090000000000003</v>
      </c>
      <c r="K63">
        <v>157.19999999999999</v>
      </c>
      <c r="L63">
        <v>94</v>
      </c>
      <c r="M63">
        <v>13.36</v>
      </c>
      <c r="N63">
        <v>188.2</v>
      </c>
      <c r="O63">
        <v>99</v>
      </c>
      <c r="P63">
        <v>8.4700000000000006</v>
      </c>
      <c r="Q63">
        <v>12</v>
      </c>
      <c r="R63">
        <v>3</v>
      </c>
      <c r="S63">
        <v>3.24</v>
      </c>
      <c r="T63">
        <v>0</v>
      </c>
      <c r="U63" t="s">
        <v>22</v>
      </c>
      <c r="V63" t="e">
        <f>IF(#REF! = "yes", 1, 0)</f>
        <v>#REF!</v>
      </c>
      <c r="W63" t="e">
        <f>IF(#REF! &lt;= 1, "0-1 Calls", IF(#REF! &lt;= 3, "2-3 Calls", IF(#REF! &lt;=5, "4-5 Calls", "6+ Calls")))</f>
        <v>#REF!</v>
      </c>
      <c r="X63" t="e">
        <f>IF(#REF! &lt;= 50, "0-50", IF(#REF! &lt;=100, "51-100", IF(#REF! &lt;= 150, "101-150", "151+")))</f>
        <v>#REF!</v>
      </c>
      <c r="Y63" t="e">
        <f>IF(#REF! &lt;= 3, "Low Charges", "High Charges")</f>
        <v>#REF!</v>
      </c>
      <c r="Z63" t="e">
        <f>IF(#REF!&lt;=80,"Low Calls",
IF(#REF!&lt;=120,"Medium Calls","High Calls"))</f>
        <v>#REF!</v>
      </c>
      <c r="AA63" t="e">
        <f>IF(#REF!&lt;=15,"Low Charges",
IF(#REF!&lt;=20,"Medium Charges","High Charges"))</f>
        <v>#REF!</v>
      </c>
      <c r="AB63" t="e">
        <f>IF(AND(#REF!&gt;180, #REF!&gt;200), "Heavy Doemstic User", IF(#REF!&gt;10, "Interntional User", IF(AND(#REF!&lt;180, #REF!&lt;200,#REF!&lt;200), "Light User", "Balanced User")))</f>
        <v>#REF!</v>
      </c>
      <c r="AC63" t="e">
        <f>IF(#REF! = 0, "No Usage", IF(#REF! &lt;= 20, "Low Usage", IF(#REF! &lt;= 40, "Medium Usgae", "High Usage")))</f>
        <v>#REF!</v>
      </c>
      <c r="AD63" t="e">
        <f>IF(#REF!&lt;=150,"Low Usage", IF(#REF!&lt;=200,"Medium Usage", IF(#REF!&lt;=250,"High Usage","Very High Usage")))</f>
        <v>#REF!</v>
      </c>
      <c r="AE63" t="e">
        <f>IF(#REF!&lt;=5,"Low Calls", IF(#REF!&lt;=10, "Medium Calls", "High Calls"))</f>
        <v>#REF!</v>
      </c>
      <c r="AF63" t="e">
        <f xml:space="preserve">
IF(#REF!&gt;=4,4,0)+
IF(#REF!="yes",3,0)+
IF(#REF!="High Charges",3,0)+
IF(#REF!&gt;250,4,0)+
IF(#REF!="no",1,0)+
IF(#REF!="Heavy Domestic User",2,0)</f>
        <v>#REF!</v>
      </c>
      <c r="AG63" t="e">
        <f>IF(#REF!&gt;=10,"High Risk", IF(#REF!&gt;=5,"Medium Risk","Low Risk"))</f>
        <v>#REF!</v>
      </c>
      <c r="AH63" t="e">
        <f>#REF! + #REF! + #REF! + #REF!</f>
        <v>#REF!</v>
      </c>
    </row>
    <row r="64" spans="1:34" x14ac:dyDescent="0.35">
      <c r="A64">
        <v>63</v>
      </c>
      <c r="B64" t="s">
        <v>60</v>
      </c>
      <c r="C64">
        <v>50</v>
      </c>
      <c r="D64" t="s">
        <v>21</v>
      </c>
      <c r="E64" t="s">
        <v>22</v>
      </c>
      <c r="F64" t="s">
        <v>22</v>
      </c>
      <c r="G64">
        <v>0</v>
      </c>
      <c r="H64">
        <v>157.1</v>
      </c>
      <c r="I64">
        <v>90</v>
      </c>
      <c r="J64">
        <v>26.71</v>
      </c>
      <c r="K64">
        <v>223.3</v>
      </c>
      <c r="L64">
        <v>72</v>
      </c>
      <c r="M64">
        <v>18.98</v>
      </c>
      <c r="N64">
        <v>181.4</v>
      </c>
      <c r="O64">
        <v>111</v>
      </c>
      <c r="P64">
        <v>8.16</v>
      </c>
      <c r="Q64">
        <v>6.1</v>
      </c>
      <c r="R64">
        <v>2</v>
      </c>
      <c r="S64">
        <v>1.65</v>
      </c>
      <c r="T64">
        <v>1</v>
      </c>
      <c r="U64" t="s">
        <v>22</v>
      </c>
      <c r="V64" t="e">
        <f>IF(#REF! = "yes", 1, 0)</f>
        <v>#REF!</v>
      </c>
      <c r="W64" t="e">
        <f>IF(#REF! &lt;= 1, "0-1 Calls", IF(#REF! &lt;= 3, "2-3 Calls", IF(#REF! &lt;=5, "4-5 Calls", "6+ Calls")))</f>
        <v>#REF!</v>
      </c>
      <c r="X64" t="e">
        <f>IF(#REF! &lt;= 50, "0-50", IF(#REF! &lt;=100, "51-100", IF(#REF! &lt;= 150, "101-150", "151+")))</f>
        <v>#REF!</v>
      </c>
      <c r="Y64" t="e">
        <f>IF(#REF! &lt;= 3, "Low Charges", "High Charges")</f>
        <v>#REF!</v>
      </c>
      <c r="Z64" t="e">
        <f>IF(#REF!&lt;=80,"Low Calls",
IF(#REF!&lt;=120,"Medium Calls","High Calls"))</f>
        <v>#REF!</v>
      </c>
      <c r="AA64" t="e">
        <f>IF(#REF!&lt;=15,"Low Charges",
IF(#REF!&lt;=20,"Medium Charges","High Charges"))</f>
        <v>#REF!</v>
      </c>
      <c r="AB64" t="e">
        <f>IF(AND(#REF!&gt;180, #REF!&gt;200), "Heavy Doemstic User", IF(#REF!&gt;10, "Interntional User", IF(AND(#REF!&lt;180, #REF!&lt;200,#REF!&lt;200), "Light User", "Balanced User")))</f>
        <v>#REF!</v>
      </c>
      <c r="AC64" t="e">
        <f>IF(#REF! = 0, "No Usage", IF(#REF! &lt;= 20, "Low Usage", IF(#REF! &lt;= 40, "Medium Usgae", "High Usage")))</f>
        <v>#REF!</v>
      </c>
      <c r="AD64" t="e">
        <f>IF(#REF!&lt;=150,"Low Usage", IF(#REF!&lt;=200,"Medium Usage", IF(#REF!&lt;=250,"High Usage","Very High Usage")))</f>
        <v>#REF!</v>
      </c>
      <c r="AE64" t="e">
        <f>IF(#REF!&lt;=5,"Low Calls", IF(#REF!&lt;=10, "Medium Calls", "High Calls"))</f>
        <v>#REF!</v>
      </c>
      <c r="AF64" t="e">
        <f xml:space="preserve">
IF(#REF!&gt;=4,4,0)+
IF(#REF!="yes",3,0)+
IF(#REF!="High Charges",3,0)+
IF(#REF!&gt;250,4,0)+
IF(#REF!="no",1,0)+
IF(#REF!="Heavy Domestic User",2,0)</f>
        <v>#REF!</v>
      </c>
      <c r="AG64" t="e">
        <f>IF(#REF!&gt;=10,"High Risk", IF(#REF!&gt;=5,"Medium Risk","Low Risk"))</f>
        <v>#REF!</v>
      </c>
      <c r="AH64" t="e">
        <f>#REF! + #REF! + #REF! + #REF!</f>
        <v>#REF!</v>
      </c>
    </row>
    <row r="65" spans="1:34" x14ac:dyDescent="0.35">
      <c r="A65">
        <v>64</v>
      </c>
      <c r="B65" t="s">
        <v>63</v>
      </c>
      <c r="C65">
        <v>82</v>
      </c>
      <c r="D65" t="s">
        <v>21</v>
      </c>
      <c r="E65" t="s">
        <v>22</v>
      </c>
      <c r="F65" t="s">
        <v>22</v>
      </c>
      <c r="G65">
        <v>0</v>
      </c>
      <c r="H65">
        <v>300.3</v>
      </c>
      <c r="I65">
        <v>109</v>
      </c>
      <c r="J65">
        <v>51.05</v>
      </c>
      <c r="K65">
        <v>181</v>
      </c>
      <c r="L65">
        <v>100</v>
      </c>
      <c r="M65">
        <v>15.39</v>
      </c>
      <c r="N65">
        <v>270.10000000000002</v>
      </c>
      <c r="O65">
        <v>73</v>
      </c>
      <c r="P65">
        <v>12.15</v>
      </c>
      <c r="Q65">
        <v>11.7</v>
      </c>
      <c r="R65">
        <v>4</v>
      </c>
      <c r="S65">
        <v>3.16</v>
      </c>
      <c r="T65">
        <v>0</v>
      </c>
      <c r="U65" t="s">
        <v>23</v>
      </c>
      <c r="V65" t="e">
        <f>IF(#REF! = "yes", 1, 0)</f>
        <v>#REF!</v>
      </c>
      <c r="W65" t="e">
        <f>IF(#REF! &lt;= 1, "0-1 Calls", IF(#REF! &lt;= 3, "2-3 Calls", IF(#REF! &lt;=5, "4-5 Calls", "6+ Calls")))</f>
        <v>#REF!</v>
      </c>
      <c r="X65" t="e">
        <f>IF(#REF! &lt;= 50, "0-50", IF(#REF! &lt;=100, "51-100", IF(#REF! &lt;= 150, "101-150", "151+")))</f>
        <v>#REF!</v>
      </c>
      <c r="Y65" t="e">
        <f>IF(#REF! &lt;= 3, "Low Charges", "High Charges")</f>
        <v>#REF!</v>
      </c>
      <c r="Z65" t="e">
        <f>IF(#REF!&lt;=80,"Low Calls",
IF(#REF!&lt;=120,"Medium Calls","High Calls"))</f>
        <v>#REF!</v>
      </c>
      <c r="AA65" t="e">
        <f>IF(#REF!&lt;=15,"Low Charges",
IF(#REF!&lt;=20,"Medium Charges","High Charges"))</f>
        <v>#REF!</v>
      </c>
      <c r="AB65" t="e">
        <f>IF(AND(#REF!&gt;180, #REF!&gt;200), "Heavy Doemstic User", IF(#REF!&gt;10, "Interntional User", IF(AND(#REF!&lt;180, #REF!&lt;200,#REF!&lt;200), "Light User", "Balanced User")))</f>
        <v>#REF!</v>
      </c>
      <c r="AC65" t="e">
        <f>IF(#REF! = 0, "No Usage", IF(#REF! &lt;= 20, "Low Usage", IF(#REF! &lt;= 40, "Medium Usgae", "High Usage")))</f>
        <v>#REF!</v>
      </c>
      <c r="AD65" t="e">
        <f>IF(#REF!&lt;=150,"Low Usage", IF(#REF!&lt;=200,"Medium Usage", IF(#REF!&lt;=250,"High Usage","Very High Usage")))</f>
        <v>#REF!</v>
      </c>
      <c r="AE65" t="e">
        <f>IF(#REF!&lt;=5,"Low Calls", IF(#REF!&lt;=10, "Medium Calls", "High Calls"))</f>
        <v>#REF!</v>
      </c>
      <c r="AF65" t="e">
        <f xml:space="preserve">
IF(#REF!&gt;=4,4,0)+
IF(#REF!="yes",3,0)+
IF(#REF!="High Charges",3,0)+
IF(#REF!&gt;250,4,0)+
IF(#REF!="no",1,0)+
IF(#REF!="Heavy Domestic User",2,0)</f>
        <v>#REF!</v>
      </c>
      <c r="AG65" t="e">
        <f>IF(#REF!&gt;=10,"High Risk", IF(#REF!&gt;=5,"Medium Risk","Low Risk"))</f>
        <v>#REF!</v>
      </c>
      <c r="AH65" t="e">
        <f>#REF! + #REF! + #REF! + #REF!</f>
        <v>#REF!</v>
      </c>
    </row>
    <row r="66" spans="1:34" x14ac:dyDescent="0.35">
      <c r="A66">
        <v>65</v>
      </c>
      <c r="B66" t="s">
        <v>36</v>
      </c>
      <c r="C66">
        <v>144</v>
      </c>
      <c r="D66" t="s">
        <v>25</v>
      </c>
      <c r="E66" t="s">
        <v>22</v>
      </c>
      <c r="F66" t="s">
        <v>22</v>
      </c>
      <c r="G66">
        <v>0</v>
      </c>
      <c r="H66">
        <v>61.6</v>
      </c>
      <c r="I66">
        <v>117</v>
      </c>
      <c r="J66">
        <v>10.47</v>
      </c>
      <c r="K66">
        <v>77.099999999999994</v>
      </c>
      <c r="L66">
        <v>85</v>
      </c>
      <c r="M66">
        <v>6.55</v>
      </c>
      <c r="N66">
        <v>173</v>
      </c>
      <c r="O66">
        <v>99</v>
      </c>
      <c r="P66">
        <v>7.79</v>
      </c>
      <c r="Q66">
        <v>8.1999999999999993</v>
      </c>
      <c r="R66">
        <v>7</v>
      </c>
      <c r="S66">
        <v>2.21</v>
      </c>
      <c r="T66">
        <v>4</v>
      </c>
      <c r="U66" t="s">
        <v>23</v>
      </c>
      <c r="V66" t="e">
        <f>IF(#REF! = "yes", 1, 0)</f>
        <v>#REF!</v>
      </c>
      <c r="W66" t="e">
        <f>IF(#REF! &lt;= 1, "0-1 Calls", IF(#REF! &lt;= 3, "2-3 Calls", IF(#REF! &lt;=5, "4-5 Calls", "6+ Calls")))</f>
        <v>#REF!</v>
      </c>
      <c r="X66" t="e">
        <f>IF(#REF! &lt;= 50, "0-50", IF(#REF! &lt;=100, "51-100", IF(#REF! &lt;= 150, "101-150", "151+")))</f>
        <v>#REF!</v>
      </c>
      <c r="Y66" t="e">
        <f>IF(#REF! &lt;= 3, "Low Charges", "High Charges")</f>
        <v>#REF!</v>
      </c>
      <c r="Z66" t="e">
        <f>IF(#REF!&lt;=80,"Low Calls",
IF(#REF!&lt;=120,"Medium Calls","High Calls"))</f>
        <v>#REF!</v>
      </c>
      <c r="AA66" t="e">
        <f>IF(#REF!&lt;=15,"Low Charges",
IF(#REF!&lt;=20,"Medium Charges","High Charges"))</f>
        <v>#REF!</v>
      </c>
      <c r="AB66" t="e">
        <f>IF(AND(#REF!&gt;180, #REF!&gt;200), "Heavy Doemstic User", IF(#REF!&gt;10, "Interntional User", IF(AND(#REF!&lt;180, #REF!&lt;200,#REF!&lt;200), "Light User", "Balanced User")))</f>
        <v>#REF!</v>
      </c>
      <c r="AC66" t="e">
        <f>IF(#REF! = 0, "No Usage", IF(#REF! &lt;= 20, "Low Usage", IF(#REF! &lt;= 40, "Medium Usgae", "High Usage")))</f>
        <v>#REF!</v>
      </c>
      <c r="AD66" t="e">
        <f>IF(#REF!&lt;=150,"Low Usage", IF(#REF!&lt;=200,"Medium Usage", IF(#REF!&lt;=250,"High Usage","Very High Usage")))</f>
        <v>#REF!</v>
      </c>
      <c r="AE66" t="e">
        <f>IF(#REF!&lt;=5,"Low Calls", IF(#REF!&lt;=10, "Medium Calls", "High Calls"))</f>
        <v>#REF!</v>
      </c>
      <c r="AF66" t="e">
        <f xml:space="preserve">
IF(#REF!&gt;=4,4,0)+
IF(#REF!="yes",3,0)+
IF(#REF!="High Charges",3,0)+
IF(#REF!&gt;250,4,0)+
IF(#REF!="no",1,0)+
IF(#REF!="Heavy Domestic User",2,0)</f>
        <v>#REF!</v>
      </c>
      <c r="AG66" t="e">
        <f>IF(#REF!&gt;=10,"High Risk", IF(#REF!&gt;=5,"Medium Risk","Low Risk"))</f>
        <v>#REF!</v>
      </c>
      <c r="AH66" t="e">
        <f>#REF! + #REF! + #REF! + #REF!</f>
        <v>#REF!</v>
      </c>
    </row>
    <row r="67" spans="1:34" x14ac:dyDescent="0.35">
      <c r="A67">
        <v>66</v>
      </c>
      <c r="B67" t="s">
        <v>60</v>
      </c>
      <c r="C67">
        <v>46</v>
      </c>
      <c r="D67" t="s">
        <v>21</v>
      </c>
      <c r="E67" t="s">
        <v>22</v>
      </c>
      <c r="F67" t="s">
        <v>22</v>
      </c>
      <c r="G67">
        <v>0</v>
      </c>
      <c r="H67">
        <v>214.1</v>
      </c>
      <c r="I67">
        <v>72</v>
      </c>
      <c r="J67">
        <v>36.4</v>
      </c>
      <c r="K67">
        <v>164.4</v>
      </c>
      <c r="L67">
        <v>104</v>
      </c>
      <c r="M67">
        <v>13.97</v>
      </c>
      <c r="N67">
        <v>177.5</v>
      </c>
      <c r="O67">
        <v>113</v>
      </c>
      <c r="P67">
        <v>7.99</v>
      </c>
      <c r="Q67">
        <v>8.1999999999999993</v>
      </c>
      <c r="R67">
        <v>3</v>
      </c>
      <c r="S67">
        <v>2.21</v>
      </c>
      <c r="T67">
        <v>2</v>
      </c>
      <c r="U67" t="s">
        <v>22</v>
      </c>
      <c r="V67" t="e">
        <f>IF(#REF! = "yes", 1, 0)</f>
        <v>#REF!</v>
      </c>
      <c r="W67" t="e">
        <f>IF(#REF! &lt;= 1, "0-1 Calls", IF(#REF! &lt;= 3, "2-3 Calls", IF(#REF! &lt;=5, "4-5 Calls", "6+ Calls")))</f>
        <v>#REF!</v>
      </c>
      <c r="X67" t="e">
        <f>IF(#REF! &lt;= 50, "0-50", IF(#REF! &lt;=100, "51-100", IF(#REF! &lt;= 150, "101-150", "151+")))</f>
        <v>#REF!</v>
      </c>
      <c r="Y67" t="e">
        <f>IF(#REF! &lt;= 3, "Low Charges", "High Charges")</f>
        <v>#REF!</v>
      </c>
      <c r="Z67" t="e">
        <f>IF(#REF!&lt;=80,"Low Calls",
IF(#REF!&lt;=120,"Medium Calls","High Calls"))</f>
        <v>#REF!</v>
      </c>
      <c r="AA67" t="e">
        <f>IF(#REF!&lt;=15,"Low Charges",
IF(#REF!&lt;=20,"Medium Charges","High Charges"))</f>
        <v>#REF!</v>
      </c>
      <c r="AB67" t="e">
        <f>IF(AND(#REF!&gt;180, #REF!&gt;200), "Heavy Doemstic User", IF(#REF!&gt;10, "Interntional User", IF(AND(#REF!&lt;180, #REF!&lt;200,#REF!&lt;200), "Light User", "Balanced User")))</f>
        <v>#REF!</v>
      </c>
      <c r="AC67" t="e">
        <f>IF(#REF! = 0, "No Usage", IF(#REF! &lt;= 20, "Low Usage", IF(#REF! &lt;= 40, "Medium Usgae", "High Usage")))</f>
        <v>#REF!</v>
      </c>
      <c r="AD67" t="e">
        <f>IF(#REF!&lt;=150,"Low Usage", IF(#REF!&lt;=200,"Medium Usage", IF(#REF!&lt;=250,"High Usage","Very High Usage")))</f>
        <v>#REF!</v>
      </c>
      <c r="AE67" t="e">
        <f>IF(#REF!&lt;=5,"Low Calls", IF(#REF!&lt;=10, "Medium Calls", "High Calls"))</f>
        <v>#REF!</v>
      </c>
      <c r="AF67" t="e">
        <f xml:space="preserve">
IF(#REF!&gt;=4,4,0)+
IF(#REF!="yes",3,0)+
IF(#REF!="High Charges",3,0)+
IF(#REF!&gt;250,4,0)+
IF(#REF!="no",1,0)+
IF(#REF!="Heavy Domestic User",2,0)</f>
        <v>#REF!</v>
      </c>
      <c r="AG67" t="e">
        <f>IF(#REF!&gt;=10,"High Risk", IF(#REF!&gt;=5,"Medium Risk","Low Risk"))</f>
        <v>#REF!</v>
      </c>
      <c r="AH67" t="e">
        <f>#REF! + #REF! + #REF! + #REF!</f>
        <v>#REF!</v>
      </c>
    </row>
    <row r="68" spans="1:34" x14ac:dyDescent="0.35">
      <c r="A68">
        <v>67</v>
      </c>
      <c r="B68" t="s">
        <v>49</v>
      </c>
      <c r="C68">
        <v>70</v>
      </c>
      <c r="D68" t="s">
        <v>25</v>
      </c>
      <c r="E68" t="s">
        <v>22</v>
      </c>
      <c r="F68" t="s">
        <v>22</v>
      </c>
      <c r="G68">
        <v>0</v>
      </c>
      <c r="H68">
        <v>170.2</v>
      </c>
      <c r="I68">
        <v>98</v>
      </c>
      <c r="J68">
        <v>28.93</v>
      </c>
      <c r="K68">
        <v>155.19999999999999</v>
      </c>
      <c r="L68">
        <v>102</v>
      </c>
      <c r="M68">
        <v>13.19</v>
      </c>
      <c r="N68">
        <v>228.6</v>
      </c>
      <c r="O68">
        <v>76</v>
      </c>
      <c r="P68">
        <v>10.29</v>
      </c>
      <c r="Q68">
        <v>15</v>
      </c>
      <c r="R68">
        <v>2</v>
      </c>
      <c r="S68">
        <v>4.05</v>
      </c>
      <c r="T68">
        <v>1</v>
      </c>
      <c r="U68" t="s">
        <v>22</v>
      </c>
      <c r="V68" t="e">
        <f>IF(#REF! = "yes", 1, 0)</f>
        <v>#REF!</v>
      </c>
      <c r="W68" t="e">
        <f>IF(#REF! &lt;= 1, "0-1 Calls", IF(#REF! &lt;= 3, "2-3 Calls", IF(#REF! &lt;=5, "4-5 Calls", "6+ Calls")))</f>
        <v>#REF!</v>
      </c>
      <c r="X68" t="e">
        <f>IF(#REF! &lt;= 50, "0-50", IF(#REF! &lt;=100, "51-100", IF(#REF! &lt;= 150, "101-150", "151+")))</f>
        <v>#REF!</v>
      </c>
      <c r="Y68" t="e">
        <f>IF(#REF! &lt;= 3, "Low Charges", "High Charges")</f>
        <v>#REF!</v>
      </c>
      <c r="Z68" t="e">
        <f>IF(#REF!&lt;=80,"Low Calls",
IF(#REF!&lt;=120,"Medium Calls","High Calls"))</f>
        <v>#REF!</v>
      </c>
      <c r="AA68" t="e">
        <f>IF(#REF!&lt;=15,"Low Charges",
IF(#REF!&lt;=20,"Medium Charges","High Charges"))</f>
        <v>#REF!</v>
      </c>
      <c r="AB68" t="e">
        <f>IF(AND(#REF!&gt;180, #REF!&gt;200), "Heavy Doemstic User", IF(#REF!&gt;10, "Interntional User", IF(AND(#REF!&lt;180, #REF!&lt;200,#REF!&lt;200), "Light User", "Balanced User")))</f>
        <v>#REF!</v>
      </c>
      <c r="AC68" t="e">
        <f>IF(#REF! = 0, "No Usage", IF(#REF! &lt;= 20, "Low Usage", IF(#REF! &lt;= 40, "Medium Usgae", "High Usage")))</f>
        <v>#REF!</v>
      </c>
      <c r="AD68" t="e">
        <f>IF(#REF!&lt;=150,"Low Usage", IF(#REF!&lt;=200,"Medium Usage", IF(#REF!&lt;=250,"High Usage","Very High Usage")))</f>
        <v>#REF!</v>
      </c>
      <c r="AE68" t="e">
        <f>IF(#REF!&lt;=5,"Low Calls", IF(#REF!&lt;=10, "Medium Calls", "High Calls"))</f>
        <v>#REF!</v>
      </c>
      <c r="AF68" t="e">
        <f xml:space="preserve">
IF(#REF!&gt;=4,4,0)+
IF(#REF!="yes",3,0)+
IF(#REF!="High Charges",3,0)+
IF(#REF!&gt;250,4,0)+
IF(#REF!="no",1,0)+
IF(#REF!="Heavy Domestic User",2,0)</f>
        <v>#REF!</v>
      </c>
      <c r="AG68" t="e">
        <f>IF(#REF!&gt;=10,"High Risk", IF(#REF!&gt;=5,"Medium Risk","Low Risk"))</f>
        <v>#REF!</v>
      </c>
      <c r="AH68" t="e">
        <f>#REF! + #REF! + #REF! + #REF!</f>
        <v>#REF!</v>
      </c>
    </row>
    <row r="69" spans="1:34" x14ac:dyDescent="0.35">
      <c r="A69">
        <v>68</v>
      </c>
      <c r="B69" t="s">
        <v>31</v>
      </c>
      <c r="C69">
        <v>144</v>
      </c>
      <c r="D69" t="s">
        <v>21</v>
      </c>
      <c r="E69" t="s">
        <v>22</v>
      </c>
      <c r="F69" t="s">
        <v>22</v>
      </c>
      <c r="G69">
        <v>0</v>
      </c>
      <c r="H69">
        <v>201.1</v>
      </c>
      <c r="I69">
        <v>99</v>
      </c>
      <c r="J69">
        <v>34.19</v>
      </c>
      <c r="K69">
        <v>303.5</v>
      </c>
      <c r="L69">
        <v>74</v>
      </c>
      <c r="M69">
        <v>25.8</v>
      </c>
      <c r="N69">
        <v>224</v>
      </c>
      <c r="O69">
        <v>119</v>
      </c>
      <c r="P69">
        <v>10.08</v>
      </c>
      <c r="Q69">
        <v>13.2</v>
      </c>
      <c r="R69">
        <v>2</v>
      </c>
      <c r="S69">
        <v>3.56</v>
      </c>
      <c r="T69">
        <v>1</v>
      </c>
      <c r="U69" t="s">
        <v>22</v>
      </c>
      <c r="V69" t="e">
        <f>IF(#REF! = "yes", 1, 0)</f>
        <v>#REF!</v>
      </c>
      <c r="W69" t="e">
        <f>IF(#REF! &lt;= 1, "0-1 Calls", IF(#REF! &lt;= 3, "2-3 Calls", IF(#REF! &lt;=5, "4-5 Calls", "6+ Calls")))</f>
        <v>#REF!</v>
      </c>
      <c r="X69" t="e">
        <f>IF(#REF! &lt;= 50, "0-50", IF(#REF! &lt;=100, "51-100", IF(#REF! &lt;= 150, "101-150", "151+")))</f>
        <v>#REF!</v>
      </c>
      <c r="Y69" t="e">
        <f>IF(#REF! &lt;= 3, "Low Charges", "High Charges")</f>
        <v>#REF!</v>
      </c>
      <c r="Z69" t="e">
        <f>IF(#REF!&lt;=80,"Low Calls",
IF(#REF!&lt;=120,"Medium Calls","High Calls"))</f>
        <v>#REF!</v>
      </c>
      <c r="AA69" t="e">
        <f>IF(#REF!&lt;=15,"Low Charges",
IF(#REF!&lt;=20,"Medium Charges","High Charges"))</f>
        <v>#REF!</v>
      </c>
      <c r="AB69" t="e">
        <f>IF(AND(#REF!&gt;180, #REF!&gt;200), "Heavy Doemstic User", IF(#REF!&gt;10, "Interntional User", IF(AND(#REF!&lt;180, #REF!&lt;200,#REF!&lt;200), "Light User", "Balanced User")))</f>
        <v>#REF!</v>
      </c>
      <c r="AC69" t="e">
        <f>IF(#REF! = 0, "No Usage", IF(#REF! &lt;= 20, "Low Usage", IF(#REF! &lt;= 40, "Medium Usgae", "High Usage")))</f>
        <v>#REF!</v>
      </c>
      <c r="AD69" t="e">
        <f>IF(#REF!&lt;=150,"Low Usage", IF(#REF!&lt;=200,"Medium Usage", IF(#REF!&lt;=250,"High Usage","Very High Usage")))</f>
        <v>#REF!</v>
      </c>
      <c r="AE69" t="e">
        <f>IF(#REF!&lt;=5,"Low Calls", IF(#REF!&lt;=10, "Medium Calls", "High Calls"))</f>
        <v>#REF!</v>
      </c>
      <c r="AF69" t="e">
        <f xml:space="preserve">
IF(#REF!&gt;=4,4,0)+
IF(#REF!="yes",3,0)+
IF(#REF!="High Charges",3,0)+
IF(#REF!&gt;250,4,0)+
IF(#REF!="no",1,0)+
IF(#REF!="Heavy Domestic User",2,0)</f>
        <v>#REF!</v>
      </c>
      <c r="AG69" t="e">
        <f>IF(#REF!&gt;=10,"High Risk", IF(#REF!&gt;=5,"Medium Risk","Low Risk"))</f>
        <v>#REF!</v>
      </c>
      <c r="AH69" t="e">
        <f>#REF! + #REF! + #REF! + #REF!</f>
        <v>#REF!</v>
      </c>
    </row>
    <row r="70" spans="1:34" x14ac:dyDescent="0.35">
      <c r="A70">
        <v>69</v>
      </c>
      <c r="B70" t="s">
        <v>52</v>
      </c>
      <c r="C70">
        <v>116</v>
      </c>
      <c r="D70" t="s">
        <v>21</v>
      </c>
      <c r="E70" t="s">
        <v>23</v>
      </c>
      <c r="F70" t="s">
        <v>22</v>
      </c>
      <c r="G70">
        <v>0</v>
      </c>
      <c r="H70">
        <v>215.4</v>
      </c>
      <c r="I70">
        <v>104</v>
      </c>
      <c r="J70">
        <v>36.619999999999997</v>
      </c>
      <c r="K70">
        <v>204.8</v>
      </c>
      <c r="L70">
        <v>79</v>
      </c>
      <c r="M70">
        <v>17.41</v>
      </c>
      <c r="N70">
        <v>278.5</v>
      </c>
      <c r="O70">
        <v>109</v>
      </c>
      <c r="P70">
        <v>12.53</v>
      </c>
      <c r="Q70">
        <v>12.6</v>
      </c>
      <c r="R70">
        <v>5</v>
      </c>
      <c r="S70">
        <v>3.4</v>
      </c>
      <c r="T70">
        <v>3</v>
      </c>
      <c r="U70" t="s">
        <v>22</v>
      </c>
      <c r="V70" t="e">
        <f>IF(#REF! = "yes", 1, 0)</f>
        <v>#REF!</v>
      </c>
      <c r="W70" t="e">
        <f>IF(#REF! &lt;= 1, "0-1 Calls", IF(#REF! &lt;= 3, "2-3 Calls", IF(#REF! &lt;=5, "4-5 Calls", "6+ Calls")))</f>
        <v>#REF!</v>
      </c>
      <c r="X70" t="e">
        <f>IF(#REF! &lt;= 50, "0-50", IF(#REF! &lt;=100, "51-100", IF(#REF! &lt;= 150, "101-150", "151+")))</f>
        <v>#REF!</v>
      </c>
      <c r="Y70" t="e">
        <f>IF(#REF! &lt;= 3, "Low Charges", "High Charges")</f>
        <v>#REF!</v>
      </c>
      <c r="Z70" t="e">
        <f>IF(#REF!&lt;=80,"Low Calls",
IF(#REF!&lt;=120,"Medium Calls","High Calls"))</f>
        <v>#REF!</v>
      </c>
      <c r="AA70" t="e">
        <f>IF(#REF!&lt;=15,"Low Charges",
IF(#REF!&lt;=20,"Medium Charges","High Charges"))</f>
        <v>#REF!</v>
      </c>
      <c r="AB70" t="e">
        <f>IF(AND(#REF!&gt;180, #REF!&gt;200), "Heavy Doemstic User", IF(#REF!&gt;10, "Interntional User", IF(AND(#REF!&lt;180, #REF!&lt;200,#REF!&lt;200), "Light User", "Balanced User")))</f>
        <v>#REF!</v>
      </c>
      <c r="AC70" t="e">
        <f>IF(#REF! = 0, "No Usage", IF(#REF! &lt;= 20, "Low Usage", IF(#REF! &lt;= 40, "Medium Usgae", "High Usage")))</f>
        <v>#REF!</v>
      </c>
      <c r="AD70" t="e">
        <f>IF(#REF!&lt;=150,"Low Usage", IF(#REF!&lt;=200,"Medium Usage", IF(#REF!&lt;=250,"High Usage","Very High Usage")))</f>
        <v>#REF!</v>
      </c>
      <c r="AE70" t="e">
        <f>IF(#REF!&lt;=5,"Low Calls", IF(#REF!&lt;=10, "Medium Calls", "High Calls"))</f>
        <v>#REF!</v>
      </c>
      <c r="AF70" t="e">
        <f xml:space="preserve">
IF(#REF!&gt;=4,4,0)+
IF(#REF!="yes",3,0)+
IF(#REF!="High Charges",3,0)+
IF(#REF!&gt;250,4,0)+
IF(#REF!="no",1,0)+
IF(#REF!="Heavy Domestic User",2,0)</f>
        <v>#REF!</v>
      </c>
      <c r="AG70" t="e">
        <f>IF(#REF!&gt;=10,"High Risk", IF(#REF!&gt;=5,"Medium Risk","Low Risk"))</f>
        <v>#REF!</v>
      </c>
      <c r="AH70" t="e">
        <f>#REF! + #REF! + #REF! + #REF!</f>
        <v>#REF!</v>
      </c>
    </row>
    <row r="71" spans="1:34" x14ac:dyDescent="0.35">
      <c r="A71">
        <v>70</v>
      </c>
      <c r="B71" t="s">
        <v>48</v>
      </c>
      <c r="C71">
        <v>70</v>
      </c>
      <c r="D71" t="s">
        <v>21</v>
      </c>
      <c r="E71" t="s">
        <v>22</v>
      </c>
      <c r="F71" t="s">
        <v>23</v>
      </c>
      <c r="G71">
        <v>24</v>
      </c>
      <c r="H71">
        <v>249.5</v>
      </c>
      <c r="I71">
        <v>101</v>
      </c>
      <c r="J71">
        <v>42.42</v>
      </c>
      <c r="K71">
        <v>259.7</v>
      </c>
      <c r="L71">
        <v>98</v>
      </c>
      <c r="M71">
        <v>22.07</v>
      </c>
      <c r="N71">
        <v>222.7</v>
      </c>
      <c r="O71">
        <v>68</v>
      </c>
      <c r="P71">
        <v>10.02</v>
      </c>
      <c r="Q71">
        <v>9.8000000000000007</v>
      </c>
      <c r="R71">
        <v>4</v>
      </c>
      <c r="S71">
        <v>2.65</v>
      </c>
      <c r="T71">
        <v>1</v>
      </c>
      <c r="U71" t="s">
        <v>22</v>
      </c>
      <c r="V71" t="e">
        <f>IF(#REF! = "yes", 1, 0)</f>
        <v>#REF!</v>
      </c>
      <c r="W71" t="e">
        <f>IF(#REF! &lt;= 1, "0-1 Calls", IF(#REF! &lt;= 3, "2-3 Calls", IF(#REF! &lt;=5, "4-5 Calls", "6+ Calls")))</f>
        <v>#REF!</v>
      </c>
      <c r="X71" t="e">
        <f>IF(#REF! &lt;= 50, "0-50", IF(#REF! &lt;=100, "51-100", IF(#REF! &lt;= 150, "101-150", "151+")))</f>
        <v>#REF!</v>
      </c>
      <c r="Y71" t="e">
        <f>IF(#REF! &lt;= 3, "Low Charges", "High Charges")</f>
        <v>#REF!</v>
      </c>
      <c r="Z71" t="e">
        <f>IF(#REF!&lt;=80,"Low Calls",
IF(#REF!&lt;=120,"Medium Calls","High Calls"))</f>
        <v>#REF!</v>
      </c>
      <c r="AA71" t="e">
        <f>IF(#REF!&lt;=15,"Low Charges",
IF(#REF!&lt;=20,"Medium Charges","High Charges"))</f>
        <v>#REF!</v>
      </c>
      <c r="AB71" t="e">
        <f>IF(AND(#REF!&gt;180, #REF!&gt;200), "Heavy Doemstic User", IF(#REF!&gt;10, "Interntional User", IF(AND(#REF!&lt;180, #REF!&lt;200,#REF!&lt;200), "Light User", "Balanced User")))</f>
        <v>#REF!</v>
      </c>
      <c r="AC71" t="e">
        <f>IF(#REF! = 0, "No Usage", IF(#REF! &lt;= 20, "Low Usage", IF(#REF! &lt;= 40, "Medium Usgae", "High Usage")))</f>
        <v>#REF!</v>
      </c>
      <c r="AD71" t="e">
        <f>IF(#REF!&lt;=150,"Low Usage", IF(#REF!&lt;=200,"Medium Usage", IF(#REF!&lt;=250,"High Usage","Very High Usage")))</f>
        <v>#REF!</v>
      </c>
      <c r="AE71" t="e">
        <f>IF(#REF!&lt;=5,"Low Calls", IF(#REF!&lt;=10, "Medium Calls", "High Calls"))</f>
        <v>#REF!</v>
      </c>
      <c r="AF71" t="e">
        <f xml:space="preserve">
IF(#REF!&gt;=4,4,0)+
IF(#REF!="yes",3,0)+
IF(#REF!="High Charges",3,0)+
IF(#REF!&gt;250,4,0)+
IF(#REF!="no",1,0)+
IF(#REF!="Heavy Domestic User",2,0)</f>
        <v>#REF!</v>
      </c>
      <c r="AG71" t="e">
        <f>IF(#REF!&gt;=10,"High Risk", IF(#REF!&gt;=5,"Medium Risk","Low Risk"))</f>
        <v>#REF!</v>
      </c>
      <c r="AH71" t="e">
        <f>#REF! + #REF! + #REF! + #REF!</f>
        <v>#REF!</v>
      </c>
    </row>
    <row r="72" spans="1:34" x14ac:dyDescent="0.35">
      <c r="A72">
        <v>71</v>
      </c>
      <c r="B72" t="s">
        <v>64</v>
      </c>
      <c r="C72">
        <v>128</v>
      </c>
      <c r="D72" t="s">
        <v>28</v>
      </c>
      <c r="E72" t="s">
        <v>22</v>
      </c>
      <c r="F72" t="s">
        <v>23</v>
      </c>
      <c r="G72">
        <v>29</v>
      </c>
      <c r="H72">
        <v>179.3</v>
      </c>
      <c r="I72">
        <v>104</v>
      </c>
      <c r="J72">
        <v>30.48</v>
      </c>
      <c r="K72">
        <v>225.9</v>
      </c>
      <c r="L72">
        <v>86</v>
      </c>
      <c r="M72">
        <v>19.2</v>
      </c>
      <c r="N72">
        <v>323</v>
      </c>
      <c r="O72">
        <v>78</v>
      </c>
      <c r="P72">
        <v>14.54</v>
      </c>
      <c r="Q72">
        <v>8.6</v>
      </c>
      <c r="R72">
        <v>7</v>
      </c>
      <c r="S72">
        <v>2.3199999999999998</v>
      </c>
      <c r="T72">
        <v>0</v>
      </c>
      <c r="U72" t="s">
        <v>22</v>
      </c>
      <c r="V72" t="e">
        <f>IF(#REF! = "yes", 1, 0)</f>
        <v>#REF!</v>
      </c>
      <c r="W72" t="e">
        <f>IF(#REF! &lt;= 1, "0-1 Calls", IF(#REF! &lt;= 3, "2-3 Calls", IF(#REF! &lt;=5, "4-5 Calls", "6+ Calls")))</f>
        <v>#REF!</v>
      </c>
      <c r="X72" t="e">
        <f>IF(#REF! &lt;= 50, "0-50", IF(#REF! &lt;=100, "51-100", IF(#REF! &lt;= 150, "101-150", "151+")))</f>
        <v>#REF!</v>
      </c>
      <c r="Y72" t="e">
        <f>IF(#REF! &lt;= 3, "Low Charges", "High Charges")</f>
        <v>#REF!</v>
      </c>
      <c r="Z72" t="e">
        <f>IF(#REF!&lt;=80,"Low Calls",
IF(#REF!&lt;=120,"Medium Calls","High Calls"))</f>
        <v>#REF!</v>
      </c>
      <c r="AA72" t="e">
        <f>IF(#REF!&lt;=15,"Low Charges",
IF(#REF!&lt;=20,"Medium Charges","High Charges"))</f>
        <v>#REF!</v>
      </c>
      <c r="AB72" t="e">
        <f>IF(AND(#REF!&gt;180, #REF!&gt;200), "Heavy Doemstic User", IF(#REF!&gt;10, "Interntional User", IF(AND(#REF!&lt;180, #REF!&lt;200,#REF!&lt;200), "Light User", "Balanced User")))</f>
        <v>#REF!</v>
      </c>
      <c r="AC72" t="e">
        <f>IF(#REF! = 0, "No Usage", IF(#REF! &lt;= 20, "Low Usage", IF(#REF! &lt;= 40, "Medium Usgae", "High Usage")))</f>
        <v>#REF!</v>
      </c>
      <c r="AD72" t="e">
        <f>IF(#REF!&lt;=150,"Low Usage", IF(#REF!&lt;=200,"Medium Usage", IF(#REF!&lt;=250,"High Usage","Very High Usage")))</f>
        <v>#REF!</v>
      </c>
      <c r="AE72" t="e">
        <f>IF(#REF!&lt;=5,"Low Calls", IF(#REF!&lt;=10, "Medium Calls", "High Calls"))</f>
        <v>#REF!</v>
      </c>
      <c r="AF72" t="e">
        <f xml:space="preserve">
IF(#REF!&gt;=4,4,0)+
IF(#REF!="yes",3,0)+
IF(#REF!="High Charges",3,0)+
IF(#REF!&gt;250,4,0)+
IF(#REF!="no",1,0)+
IF(#REF!="Heavy Domestic User",2,0)</f>
        <v>#REF!</v>
      </c>
      <c r="AG72" t="e">
        <f>IF(#REF!&gt;=10,"High Risk", IF(#REF!&gt;=5,"Medium Risk","Low Risk"))</f>
        <v>#REF!</v>
      </c>
      <c r="AH72" t="e">
        <f>#REF! + #REF! + #REF! + #REF!</f>
        <v>#REF!</v>
      </c>
    </row>
    <row r="73" spans="1:34" x14ac:dyDescent="0.35">
      <c r="A73">
        <v>72</v>
      </c>
      <c r="B73" t="s">
        <v>32</v>
      </c>
      <c r="C73">
        <v>94</v>
      </c>
      <c r="D73" t="s">
        <v>25</v>
      </c>
      <c r="E73" t="s">
        <v>22</v>
      </c>
      <c r="F73" t="s">
        <v>22</v>
      </c>
      <c r="G73">
        <v>0</v>
      </c>
      <c r="H73">
        <v>157.9</v>
      </c>
      <c r="I73">
        <v>105</v>
      </c>
      <c r="J73">
        <v>26.84</v>
      </c>
      <c r="K73">
        <v>155</v>
      </c>
      <c r="L73">
        <v>101</v>
      </c>
      <c r="M73">
        <v>13.18</v>
      </c>
      <c r="N73">
        <v>189.6</v>
      </c>
      <c r="O73">
        <v>84</v>
      </c>
      <c r="P73">
        <v>8.5299999999999994</v>
      </c>
      <c r="Q73">
        <v>8</v>
      </c>
      <c r="R73">
        <v>5</v>
      </c>
      <c r="S73">
        <v>2.16</v>
      </c>
      <c r="T73">
        <v>4</v>
      </c>
      <c r="U73" t="s">
        <v>23</v>
      </c>
      <c r="V73" t="e">
        <f>IF(#REF! = "yes", 1, 0)</f>
        <v>#REF!</v>
      </c>
      <c r="W73" t="e">
        <f>IF(#REF! &lt;= 1, "0-1 Calls", IF(#REF! &lt;= 3, "2-3 Calls", IF(#REF! &lt;=5, "4-5 Calls", "6+ Calls")))</f>
        <v>#REF!</v>
      </c>
      <c r="X73" t="e">
        <f>IF(#REF! &lt;= 50, "0-50", IF(#REF! &lt;=100, "51-100", IF(#REF! &lt;= 150, "101-150", "151+")))</f>
        <v>#REF!</v>
      </c>
      <c r="Y73" t="e">
        <f>IF(#REF! &lt;= 3, "Low Charges", "High Charges")</f>
        <v>#REF!</v>
      </c>
      <c r="Z73" t="e">
        <f>IF(#REF!&lt;=80,"Low Calls",
IF(#REF!&lt;=120,"Medium Calls","High Calls"))</f>
        <v>#REF!</v>
      </c>
      <c r="AA73" t="e">
        <f>IF(#REF!&lt;=15,"Low Charges",
IF(#REF!&lt;=20,"Medium Charges","High Charges"))</f>
        <v>#REF!</v>
      </c>
      <c r="AB73" t="e">
        <f>IF(AND(#REF!&gt;180, #REF!&gt;200), "Heavy Doemstic User", IF(#REF!&gt;10, "Interntional User", IF(AND(#REF!&lt;180, #REF!&lt;200,#REF!&lt;200), "Light User", "Balanced User")))</f>
        <v>#REF!</v>
      </c>
      <c r="AC73" t="e">
        <f>IF(#REF! = 0, "No Usage", IF(#REF! &lt;= 20, "Low Usage", IF(#REF! &lt;= 40, "Medium Usgae", "High Usage")))</f>
        <v>#REF!</v>
      </c>
      <c r="AD73" t="e">
        <f>IF(#REF!&lt;=150,"Low Usage", IF(#REF!&lt;=200,"Medium Usage", IF(#REF!&lt;=250,"High Usage","Very High Usage")))</f>
        <v>#REF!</v>
      </c>
      <c r="AE73" t="e">
        <f>IF(#REF!&lt;=5,"Low Calls", IF(#REF!&lt;=10, "Medium Calls", "High Calls"))</f>
        <v>#REF!</v>
      </c>
      <c r="AF73" t="e">
        <f xml:space="preserve">
IF(#REF!&gt;=4,4,0)+
IF(#REF!="yes",3,0)+
IF(#REF!="High Charges",3,0)+
IF(#REF!&gt;250,4,0)+
IF(#REF!="no",1,0)+
IF(#REF!="Heavy Domestic User",2,0)</f>
        <v>#REF!</v>
      </c>
      <c r="AG73" t="e">
        <f>IF(#REF!&gt;=10,"High Risk", IF(#REF!&gt;=5,"Medium Risk","Low Risk"))</f>
        <v>#REF!</v>
      </c>
      <c r="AH73" t="e">
        <f>#REF! + #REF! + #REF! + #REF!</f>
        <v>#REF!</v>
      </c>
    </row>
    <row r="74" spans="1:34" x14ac:dyDescent="0.35">
      <c r="A74">
        <v>73</v>
      </c>
      <c r="B74" t="s">
        <v>31</v>
      </c>
      <c r="C74">
        <v>111</v>
      </c>
      <c r="D74" t="s">
        <v>28</v>
      </c>
      <c r="E74" t="s">
        <v>22</v>
      </c>
      <c r="F74" t="s">
        <v>22</v>
      </c>
      <c r="G74">
        <v>0</v>
      </c>
      <c r="H74">
        <v>214.3</v>
      </c>
      <c r="I74">
        <v>118</v>
      </c>
      <c r="J74">
        <v>36.43</v>
      </c>
      <c r="K74">
        <v>208.5</v>
      </c>
      <c r="L74">
        <v>76</v>
      </c>
      <c r="M74">
        <v>17.72</v>
      </c>
      <c r="N74">
        <v>182.4</v>
      </c>
      <c r="O74">
        <v>98</v>
      </c>
      <c r="P74">
        <v>8.2100000000000009</v>
      </c>
      <c r="Q74">
        <v>12</v>
      </c>
      <c r="R74">
        <v>2</v>
      </c>
      <c r="S74">
        <v>3.24</v>
      </c>
      <c r="T74">
        <v>1</v>
      </c>
      <c r="U74" t="s">
        <v>22</v>
      </c>
      <c r="V74" t="e">
        <f>IF(#REF! = "yes", 1, 0)</f>
        <v>#REF!</v>
      </c>
      <c r="W74" t="e">
        <f>IF(#REF! &lt;= 1, "0-1 Calls", IF(#REF! &lt;= 3, "2-3 Calls", IF(#REF! &lt;=5, "4-5 Calls", "6+ Calls")))</f>
        <v>#REF!</v>
      </c>
      <c r="X74" t="e">
        <f>IF(#REF! &lt;= 50, "0-50", IF(#REF! &lt;=100, "51-100", IF(#REF! &lt;= 150, "101-150", "151+")))</f>
        <v>#REF!</v>
      </c>
      <c r="Y74" t="e">
        <f>IF(#REF! &lt;= 3, "Low Charges", "High Charges")</f>
        <v>#REF!</v>
      </c>
      <c r="Z74" t="e">
        <f>IF(#REF!&lt;=80,"Low Calls",
IF(#REF!&lt;=120,"Medium Calls","High Calls"))</f>
        <v>#REF!</v>
      </c>
      <c r="AA74" t="e">
        <f>IF(#REF!&lt;=15,"Low Charges",
IF(#REF!&lt;=20,"Medium Charges","High Charges"))</f>
        <v>#REF!</v>
      </c>
      <c r="AB74" t="e">
        <f>IF(AND(#REF!&gt;180, #REF!&gt;200), "Heavy Doemstic User", IF(#REF!&gt;10, "Interntional User", IF(AND(#REF!&lt;180, #REF!&lt;200,#REF!&lt;200), "Light User", "Balanced User")))</f>
        <v>#REF!</v>
      </c>
      <c r="AC74" t="e">
        <f>IF(#REF! = 0, "No Usage", IF(#REF! &lt;= 20, "Low Usage", IF(#REF! &lt;= 40, "Medium Usgae", "High Usage")))</f>
        <v>#REF!</v>
      </c>
      <c r="AD74" t="e">
        <f>IF(#REF!&lt;=150,"Low Usage", IF(#REF!&lt;=200,"Medium Usage", IF(#REF!&lt;=250,"High Usage","Very High Usage")))</f>
        <v>#REF!</v>
      </c>
      <c r="AE74" t="e">
        <f>IF(#REF!&lt;=5,"Low Calls", IF(#REF!&lt;=10, "Medium Calls", "High Calls"))</f>
        <v>#REF!</v>
      </c>
      <c r="AF74" t="e">
        <f xml:space="preserve">
IF(#REF!&gt;=4,4,0)+
IF(#REF!="yes",3,0)+
IF(#REF!="High Charges",3,0)+
IF(#REF!&gt;250,4,0)+
IF(#REF!="no",1,0)+
IF(#REF!="Heavy Domestic User",2,0)</f>
        <v>#REF!</v>
      </c>
      <c r="AG74" t="e">
        <f>IF(#REF!&gt;=10,"High Risk", IF(#REF!&gt;=5,"Medium Risk","Low Risk"))</f>
        <v>#REF!</v>
      </c>
      <c r="AH74" t="e">
        <f>#REF! + #REF! + #REF! + #REF!</f>
        <v>#REF!</v>
      </c>
    </row>
    <row r="75" spans="1:34" x14ac:dyDescent="0.35">
      <c r="A75">
        <v>74</v>
      </c>
      <c r="B75" t="s">
        <v>65</v>
      </c>
      <c r="C75">
        <v>74</v>
      </c>
      <c r="D75" t="s">
        <v>21</v>
      </c>
      <c r="E75" t="s">
        <v>22</v>
      </c>
      <c r="F75" t="s">
        <v>23</v>
      </c>
      <c r="G75">
        <v>35</v>
      </c>
      <c r="H75">
        <v>154.1</v>
      </c>
      <c r="I75">
        <v>104</v>
      </c>
      <c r="J75">
        <v>26.2</v>
      </c>
      <c r="K75">
        <v>123.4</v>
      </c>
      <c r="L75">
        <v>84</v>
      </c>
      <c r="M75">
        <v>10.49</v>
      </c>
      <c r="N75">
        <v>202.1</v>
      </c>
      <c r="O75">
        <v>57</v>
      </c>
      <c r="P75">
        <v>9.09</v>
      </c>
      <c r="Q75">
        <v>10.9</v>
      </c>
      <c r="R75">
        <v>9</v>
      </c>
      <c r="S75">
        <v>2.94</v>
      </c>
      <c r="T75">
        <v>2</v>
      </c>
      <c r="U75" t="s">
        <v>22</v>
      </c>
      <c r="V75" t="e">
        <f>IF(#REF! = "yes", 1, 0)</f>
        <v>#REF!</v>
      </c>
      <c r="W75" t="e">
        <f>IF(#REF! &lt;= 1, "0-1 Calls", IF(#REF! &lt;= 3, "2-3 Calls", IF(#REF! &lt;=5, "4-5 Calls", "6+ Calls")))</f>
        <v>#REF!</v>
      </c>
      <c r="X75" t="e">
        <f>IF(#REF! &lt;= 50, "0-50", IF(#REF! &lt;=100, "51-100", IF(#REF! &lt;= 150, "101-150", "151+")))</f>
        <v>#REF!</v>
      </c>
      <c r="Y75" t="e">
        <f>IF(#REF! &lt;= 3, "Low Charges", "High Charges")</f>
        <v>#REF!</v>
      </c>
      <c r="Z75" t="e">
        <f>IF(#REF!&lt;=80,"Low Calls",
IF(#REF!&lt;=120,"Medium Calls","High Calls"))</f>
        <v>#REF!</v>
      </c>
      <c r="AA75" t="e">
        <f>IF(#REF!&lt;=15,"Low Charges",
IF(#REF!&lt;=20,"Medium Charges","High Charges"))</f>
        <v>#REF!</v>
      </c>
      <c r="AB75" t="e">
        <f>IF(AND(#REF!&gt;180, #REF!&gt;200), "Heavy Doemstic User", IF(#REF!&gt;10, "Interntional User", IF(AND(#REF!&lt;180, #REF!&lt;200,#REF!&lt;200), "Light User", "Balanced User")))</f>
        <v>#REF!</v>
      </c>
      <c r="AC75" t="e">
        <f>IF(#REF! = 0, "No Usage", IF(#REF! &lt;= 20, "Low Usage", IF(#REF! &lt;= 40, "Medium Usgae", "High Usage")))</f>
        <v>#REF!</v>
      </c>
      <c r="AD75" t="e">
        <f>IF(#REF!&lt;=150,"Low Usage", IF(#REF!&lt;=200,"Medium Usage", IF(#REF!&lt;=250,"High Usage","Very High Usage")))</f>
        <v>#REF!</v>
      </c>
      <c r="AE75" t="e">
        <f>IF(#REF!&lt;=5,"Low Calls", IF(#REF!&lt;=10, "Medium Calls", "High Calls"))</f>
        <v>#REF!</v>
      </c>
      <c r="AF75" t="e">
        <f xml:space="preserve">
IF(#REF!&gt;=4,4,0)+
IF(#REF!="yes",3,0)+
IF(#REF!="High Charges",3,0)+
IF(#REF!&gt;250,4,0)+
IF(#REF!="no",1,0)+
IF(#REF!="Heavy Domestic User",2,0)</f>
        <v>#REF!</v>
      </c>
      <c r="AG75" t="e">
        <f>IF(#REF!&gt;=10,"High Risk", IF(#REF!&gt;=5,"Medium Risk","Low Risk"))</f>
        <v>#REF!</v>
      </c>
      <c r="AH75" t="e">
        <f>#REF! + #REF! + #REF! + #REF!</f>
        <v>#REF!</v>
      </c>
    </row>
    <row r="76" spans="1:34" x14ac:dyDescent="0.35">
      <c r="A76">
        <v>75</v>
      </c>
      <c r="B76" t="s">
        <v>24</v>
      </c>
      <c r="C76">
        <v>128</v>
      </c>
      <c r="D76" t="s">
        <v>21</v>
      </c>
      <c r="E76" t="s">
        <v>22</v>
      </c>
      <c r="F76" t="s">
        <v>22</v>
      </c>
      <c r="G76">
        <v>0</v>
      </c>
      <c r="H76">
        <v>237.9</v>
      </c>
      <c r="I76">
        <v>125</v>
      </c>
      <c r="J76">
        <v>40.44</v>
      </c>
      <c r="K76">
        <v>247.6</v>
      </c>
      <c r="L76">
        <v>93</v>
      </c>
      <c r="M76">
        <v>21.05</v>
      </c>
      <c r="N76">
        <v>208.9</v>
      </c>
      <c r="O76">
        <v>68</v>
      </c>
      <c r="P76">
        <v>9.4</v>
      </c>
      <c r="Q76">
        <v>13.9</v>
      </c>
      <c r="R76">
        <v>4</v>
      </c>
      <c r="S76">
        <v>3.75</v>
      </c>
      <c r="T76">
        <v>1</v>
      </c>
      <c r="U76" t="s">
        <v>23</v>
      </c>
      <c r="V76" t="e">
        <f>IF(#REF! = "yes", 1, 0)</f>
        <v>#REF!</v>
      </c>
      <c r="W76" t="e">
        <f>IF(#REF! &lt;= 1, "0-1 Calls", IF(#REF! &lt;= 3, "2-3 Calls", IF(#REF! &lt;=5, "4-5 Calls", "6+ Calls")))</f>
        <v>#REF!</v>
      </c>
      <c r="X76" t="e">
        <f>IF(#REF! &lt;= 50, "0-50", IF(#REF! &lt;=100, "51-100", IF(#REF! &lt;= 150, "101-150", "151+")))</f>
        <v>#REF!</v>
      </c>
      <c r="Y76" t="e">
        <f>IF(#REF! &lt;= 3, "Low Charges", "High Charges")</f>
        <v>#REF!</v>
      </c>
      <c r="Z76" t="e">
        <f>IF(#REF!&lt;=80,"Low Calls",
IF(#REF!&lt;=120,"Medium Calls","High Calls"))</f>
        <v>#REF!</v>
      </c>
      <c r="AA76" t="e">
        <f>IF(#REF!&lt;=15,"Low Charges",
IF(#REF!&lt;=20,"Medium Charges","High Charges"))</f>
        <v>#REF!</v>
      </c>
      <c r="AB76" t="e">
        <f>IF(AND(#REF!&gt;180, #REF!&gt;200), "Heavy Doemstic User", IF(#REF!&gt;10, "Interntional User", IF(AND(#REF!&lt;180, #REF!&lt;200,#REF!&lt;200), "Light User", "Balanced User")))</f>
        <v>#REF!</v>
      </c>
      <c r="AC76" t="e">
        <f>IF(#REF! = 0, "No Usage", IF(#REF! &lt;= 20, "Low Usage", IF(#REF! &lt;= 40, "Medium Usgae", "High Usage")))</f>
        <v>#REF!</v>
      </c>
      <c r="AD76" t="e">
        <f>IF(#REF!&lt;=150,"Low Usage", IF(#REF!&lt;=200,"Medium Usage", IF(#REF!&lt;=250,"High Usage","Very High Usage")))</f>
        <v>#REF!</v>
      </c>
      <c r="AE76" t="e">
        <f>IF(#REF!&lt;=5,"Low Calls", IF(#REF!&lt;=10, "Medium Calls", "High Calls"))</f>
        <v>#REF!</v>
      </c>
      <c r="AF76" t="e">
        <f xml:space="preserve">
IF(#REF!&gt;=4,4,0)+
IF(#REF!="yes",3,0)+
IF(#REF!="High Charges",3,0)+
IF(#REF!&gt;250,4,0)+
IF(#REF!="no",1,0)+
IF(#REF!="Heavy Domestic User",2,0)</f>
        <v>#REF!</v>
      </c>
      <c r="AG76" t="e">
        <f>IF(#REF!&gt;=10,"High Risk", IF(#REF!&gt;=5,"Medium Risk","Low Risk"))</f>
        <v>#REF!</v>
      </c>
      <c r="AH76" t="e">
        <f>#REF! + #REF! + #REF! + #REF!</f>
        <v>#REF!</v>
      </c>
    </row>
    <row r="77" spans="1:34" x14ac:dyDescent="0.35">
      <c r="A77">
        <v>76</v>
      </c>
      <c r="B77" t="s">
        <v>63</v>
      </c>
      <c r="C77">
        <v>82</v>
      </c>
      <c r="D77" t="s">
        <v>28</v>
      </c>
      <c r="E77" t="s">
        <v>22</v>
      </c>
      <c r="F77" t="s">
        <v>22</v>
      </c>
      <c r="G77">
        <v>0</v>
      </c>
      <c r="H77">
        <v>143.9</v>
      </c>
      <c r="I77">
        <v>61</v>
      </c>
      <c r="J77">
        <v>24.46</v>
      </c>
      <c r="K77">
        <v>194.9</v>
      </c>
      <c r="L77">
        <v>105</v>
      </c>
      <c r="M77">
        <v>16.57</v>
      </c>
      <c r="N77">
        <v>109.6</v>
      </c>
      <c r="O77">
        <v>94</v>
      </c>
      <c r="P77">
        <v>4.93</v>
      </c>
      <c r="Q77">
        <v>11.1</v>
      </c>
      <c r="R77">
        <v>2</v>
      </c>
      <c r="S77">
        <v>3</v>
      </c>
      <c r="T77">
        <v>1</v>
      </c>
      <c r="U77" t="s">
        <v>22</v>
      </c>
      <c r="V77" t="e">
        <f>IF(#REF! = "yes", 1, 0)</f>
        <v>#REF!</v>
      </c>
      <c r="W77" t="e">
        <f>IF(#REF! &lt;= 1, "0-1 Calls", IF(#REF! &lt;= 3, "2-3 Calls", IF(#REF! &lt;=5, "4-5 Calls", "6+ Calls")))</f>
        <v>#REF!</v>
      </c>
      <c r="X77" t="e">
        <f>IF(#REF! &lt;= 50, "0-50", IF(#REF! &lt;=100, "51-100", IF(#REF! &lt;= 150, "101-150", "151+")))</f>
        <v>#REF!</v>
      </c>
      <c r="Y77" t="e">
        <f>IF(#REF! &lt;= 3, "Low Charges", "High Charges")</f>
        <v>#REF!</v>
      </c>
      <c r="Z77" t="e">
        <f>IF(#REF!&lt;=80,"Low Calls",
IF(#REF!&lt;=120,"Medium Calls","High Calls"))</f>
        <v>#REF!</v>
      </c>
      <c r="AA77" t="e">
        <f>IF(#REF!&lt;=15,"Low Charges",
IF(#REF!&lt;=20,"Medium Charges","High Charges"))</f>
        <v>#REF!</v>
      </c>
      <c r="AB77" t="e">
        <f>IF(AND(#REF!&gt;180, #REF!&gt;200), "Heavy Doemstic User", IF(#REF!&gt;10, "Interntional User", IF(AND(#REF!&lt;180, #REF!&lt;200,#REF!&lt;200), "Light User", "Balanced User")))</f>
        <v>#REF!</v>
      </c>
      <c r="AC77" t="e">
        <f>IF(#REF! = 0, "No Usage", IF(#REF! &lt;= 20, "Low Usage", IF(#REF! &lt;= 40, "Medium Usgae", "High Usage")))</f>
        <v>#REF!</v>
      </c>
      <c r="AD77" t="e">
        <f>IF(#REF!&lt;=150,"Low Usage", IF(#REF!&lt;=200,"Medium Usage", IF(#REF!&lt;=250,"High Usage","Very High Usage")))</f>
        <v>#REF!</v>
      </c>
      <c r="AE77" t="e">
        <f>IF(#REF!&lt;=5,"Low Calls", IF(#REF!&lt;=10, "Medium Calls", "High Calls"))</f>
        <v>#REF!</v>
      </c>
      <c r="AF77" t="e">
        <f xml:space="preserve">
IF(#REF!&gt;=4,4,0)+
IF(#REF!="yes",3,0)+
IF(#REF!="High Charges",3,0)+
IF(#REF!&gt;250,4,0)+
IF(#REF!="no",1,0)+
IF(#REF!="Heavy Domestic User",2,0)</f>
        <v>#REF!</v>
      </c>
      <c r="AG77" t="e">
        <f>IF(#REF!&gt;=10,"High Risk", IF(#REF!&gt;=5,"Medium Risk","Low Risk"))</f>
        <v>#REF!</v>
      </c>
      <c r="AH77" t="e">
        <f>#REF! + #REF! + #REF! + #REF!</f>
        <v>#REF!</v>
      </c>
    </row>
    <row r="78" spans="1:34" x14ac:dyDescent="0.35">
      <c r="A78">
        <v>77</v>
      </c>
      <c r="B78" t="s">
        <v>30</v>
      </c>
      <c r="C78">
        <v>155</v>
      </c>
      <c r="D78" t="s">
        <v>21</v>
      </c>
      <c r="E78" t="s">
        <v>22</v>
      </c>
      <c r="F78" t="s">
        <v>22</v>
      </c>
      <c r="G78">
        <v>0</v>
      </c>
      <c r="H78">
        <v>203.4</v>
      </c>
      <c r="I78">
        <v>100</v>
      </c>
      <c r="J78">
        <v>34.58</v>
      </c>
      <c r="K78">
        <v>190.9</v>
      </c>
      <c r="L78">
        <v>104</v>
      </c>
      <c r="M78">
        <v>16.23</v>
      </c>
      <c r="N78">
        <v>196</v>
      </c>
      <c r="O78">
        <v>119</v>
      </c>
      <c r="P78">
        <v>8.82</v>
      </c>
      <c r="Q78">
        <v>8.9</v>
      </c>
      <c r="R78">
        <v>4</v>
      </c>
      <c r="S78">
        <v>2.4</v>
      </c>
      <c r="T78">
        <v>0</v>
      </c>
      <c r="U78" t="s">
        <v>23</v>
      </c>
      <c r="V78" t="e">
        <f>IF(#REF! = "yes", 1, 0)</f>
        <v>#REF!</v>
      </c>
      <c r="W78" t="e">
        <f>IF(#REF! &lt;= 1, "0-1 Calls", IF(#REF! &lt;= 3, "2-3 Calls", IF(#REF! &lt;=5, "4-5 Calls", "6+ Calls")))</f>
        <v>#REF!</v>
      </c>
      <c r="X78" t="e">
        <f>IF(#REF! &lt;= 50, "0-50", IF(#REF! &lt;=100, "51-100", IF(#REF! &lt;= 150, "101-150", "151+")))</f>
        <v>#REF!</v>
      </c>
      <c r="Y78" t="e">
        <f>IF(#REF! &lt;= 3, "Low Charges", "High Charges")</f>
        <v>#REF!</v>
      </c>
      <c r="Z78" t="e">
        <f>IF(#REF!&lt;=80,"Low Calls",
IF(#REF!&lt;=120,"Medium Calls","High Calls"))</f>
        <v>#REF!</v>
      </c>
      <c r="AA78" t="e">
        <f>IF(#REF!&lt;=15,"Low Charges",
IF(#REF!&lt;=20,"Medium Charges","High Charges"))</f>
        <v>#REF!</v>
      </c>
      <c r="AB78" t="e">
        <f>IF(AND(#REF!&gt;180, #REF!&gt;200), "Heavy Doemstic User", IF(#REF!&gt;10, "Interntional User", IF(AND(#REF!&lt;180, #REF!&lt;200,#REF!&lt;200), "Light User", "Balanced User")))</f>
        <v>#REF!</v>
      </c>
      <c r="AC78" t="e">
        <f>IF(#REF! = 0, "No Usage", IF(#REF! &lt;= 20, "Low Usage", IF(#REF! &lt;= 40, "Medium Usgae", "High Usage")))</f>
        <v>#REF!</v>
      </c>
      <c r="AD78" t="e">
        <f>IF(#REF!&lt;=150,"Low Usage", IF(#REF!&lt;=200,"Medium Usage", IF(#REF!&lt;=250,"High Usage","Very High Usage")))</f>
        <v>#REF!</v>
      </c>
      <c r="AE78" t="e">
        <f>IF(#REF!&lt;=5,"Low Calls", IF(#REF!&lt;=10, "Medium Calls", "High Calls"))</f>
        <v>#REF!</v>
      </c>
      <c r="AF78" t="e">
        <f xml:space="preserve">
IF(#REF!&gt;=4,4,0)+
IF(#REF!="yes",3,0)+
IF(#REF!="High Charges",3,0)+
IF(#REF!&gt;250,4,0)+
IF(#REF!="no",1,0)+
IF(#REF!="Heavy Domestic User",2,0)</f>
        <v>#REF!</v>
      </c>
      <c r="AG78" t="e">
        <f>IF(#REF!&gt;=10,"High Risk", IF(#REF!&gt;=5,"Medium Risk","Low Risk"))</f>
        <v>#REF!</v>
      </c>
      <c r="AH78" t="e">
        <f>#REF! + #REF! + #REF! + #REF!</f>
        <v>#REF!</v>
      </c>
    </row>
    <row r="79" spans="1:34" x14ac:dyDescent="0.35">
      <c r="A79">
        <v>78</v>
      </c>
      <c r="B79" t="s">
        <v>50</v>
      </c>
      <c r="C79">
        <v>80</v>
      </c>
      <c r="D79" t="s">
        <v>21</v>
      </c>
      <c r="E79" t="s">
        <v>22</v>
      </c>
      <c r="F79" t="s">
        <v>22</v>
      </c>
      <c r="G79">
        <v>0</v>
      </c>
      <c r="H79">
        <v>124.3</v>
      </c>
      <c r="I79">
        <v>100</v>
      </c>
      <c r="J79">
        <v>21.13</v>
      </c>
      <c r="K79">
        <v>173</v>
      </c>
      <c r="L79">
        <v>107</v>
      </c>
      <c r="M79">
        <v>14.71</v>
      </c>
      <c r="N79">
        <v>253.2</v>
      </c>
      <c r="O79">
        <v>62</v>
      </c>
      <c r="P79">
        <v>11.39</v>
      </c>
      <c r="Q79">
        <v>7.9</v>
      </c>
      <c r="R79">
        <v>9</v>
      </c>
      <c r="S79">
        <v>2.13</v>
      </c>
      <c r="T79">
        <v>1</v>
      </c>
      <c r="U79" t="s">
        <v>22</v>
      </c>
      <c r="V79" t="e">
        <f>IF(#REF! = "yes", 1, 0)</f>
        <v>#REF!</v>
      </c>
      <c r="W79" t="e">
        <f>IF(#REF! &lt;= 1, "0-1 Calls", IF(#REF! &lt;= 3, "2-3 Calls", IF(#REF! &lt;=5, "4-5 Calls", "6+ Calls")))</f>
        <v>#REF!</v>
      </c>
      <c r="X79" t="e">
        <f>IF(#REF! &lt;= 50, "0-50", IF(#REF! &lt;=100, "51-100", IF(#REF! &lt;= 150, "101-150", "151+")))</f>
        <v>#REF!</v>
      </c>
      <c r="Y79" t="e">
        <f>IF(#REF! &lt;= 3, "Low Charges", "High Charges")</f>
        <v>#REF!</v>
      </c>
      <c r="Z79" t="e">
        <f>IF(#REF!&lt;=80,"Low Calls",
IF(#REF!&lt;=120,"Medium Calls","High Calls"))</f>
        <v>#REF!</v>
      </c>
      <c r="AA79" t="e">
        <f>IF(#REF!&lt;=15,"Low Charges",
IF(#REF!&lt;=20,"Medium Charges","High Charges"))</f>
        <v>#REF!</v>
      </c>
      <c r="AB79" t="e">
        <f>IF(AND(#REF!&gt;180, #REF!&gt;200), "Heavy Doemstic User", IF(#REF!&gt;10, "Interntional User", IF(AND(#REF!&lt;180, #REF!&lt;200,#REF!&lt;200), "Light User", "Balanced User")))</f>
        <v>#REF!</v>
      </c>
      <c r="AC79" t="e">
        <f>IF(#REF! = 0, "No Usage", IF(#REF! &lt;= 20, "Low Usage", IF(#REF! &lt;= 40, "Medium Usgae", "High Usage")))</f>
        <v>#REF!</v>
      </c>
      <c r="AD79" t="e">
        <f>IF(#REF!&lt;=150,"Low Usage", IF(#REF!&lt;=200,"Medium Usage", IF(#REF!&lt;=250,"High Usage","Very High Usage")))</f>
        <v>#REF!</v>
      </c>
      <c r="AE79" t="e">
        <f>IF(#REF!&lt;=5,"Low Calls", IF(#REF!&lt;=10, "Medium Calls", "High Calls"))</f>
        <v>#REF!</v>
      </c>
      <c r="AF79" t="e">
        <f xml:space="preserve">
IF(#REF!&gt;=4,4,0)+
IF(#REF!="yes",3,0)+
IF(#REF!="High Charges",3,0)+
IF(#REF!&gt;250,4,0)+
IF(#REF!="no",1,0)+
IF(#REF!="Heavy Domestic User",2,0)</f>
        <v>#REF!</v>
      </c>
      <c r="AG79" t="e">
        <f>IF(#REF!&gt;=10,"High Risk", IF(#REF!&gt;=5,"Medium Risk","Low Risk"))</f>
        <v>#REF!</v>
      </c>
      <c r="AH79" t="e">
        <f>#REF! + #REF! + #REF! + #REF!</f>
        <v>#REF!</v>
      </c>
    </row>
    <row r="80" spans="1:34" x14ac:dyDescent="0.35">
      <c r="A80">
        <v>79</v>
      </c>
      <c r="B80" t="s">
        <v>66</v>
      </c>
      <c r="C80">
        <v>78</v>
      </c>
      <c r="D80" t="s">
        <v>21</v>
      </c>
      <c r="E80" t="s">
        <v>22</v>
      </c>
      <c r="F80" t="s">
        <v>22</v>
      </c>
      <c r="G80">
        <v>0</v>
      </c>
      <c r="H80">
        <v>252.9</v>
      </c>
      <c r="I80">
        <v>93</v>
      </c>
      <c r="J80">
        <v>42.99</v>
      </c>
      <c r="K80">
        <v>178.4</v>
      </c>
      <c r="L80">
        <v>112</v>
      </c>
      <c r="M80">
        <v>15.16</v>
      </c>
      <c r="N80">
        <v>263.89999999999998</v>
      </c>
      <c r="O80">
        <v>105</v>
      </c>
      <c r="P80">
        <v>11.88</v>
      </c>
      <c r="Q80">
        <v>9.5</v>
      </c>
      <c r="R80">
        <v>7</v>
      </c>
      <c r="S80">
        <v>2.57</v>
      </c>
      <c r="T80">
        <v>3</v>
      </c>
      <c r="U80" t="s">
        <v>22</v>
      </c>
      <c r="V80" t="e">
        <f>IF(#REF! = "yes", 1, 0)</f>
        <v>#REF!</v>
      </c>
      <c r="W80" t="e">
        <f>IF(#REF! &lt;= 1, "0-1 Calls", IF(#REF! &lt;= 3, "2-3 Calls", IF(#REF! &lt;=5, "4-5 Calls", "6+ Calls")))</f>
        <v>#REF!</v>
      </c>
      <c r="X80" t="e">
        <f>IF(#REF! &lt;= 50, "0-50", IF(#REF! &lt;=100, "51-100", IF(#REF! &lt;= 150, "101-150", "151+")))</f>
        <v>#REF!</v>
      </c>
      <c r="Y80" t="e">
        <f>IF(#REF! &lt;= 3, "Low Charges", "High Charges")</f>
        <v>#REF!</v>
      </c>
      <c r="Z80" t="e">
        <f>IF(#REF!&lt;=80,"Low Calls",
IF(#REF!&lt;=120,"Medium Calls","High Calls"))</f>
        <v>#REF!</v>
      </c>
      <c r="AA80" t="e">
        <f>IF(#REF!&lt;=15,"Low Charges",
IF(#REF!&lt;=20,"Medium Charges","High Charges"))</f>
        <v>#REF!</v>
      </c>
      <c r="AB80" t="e">
        <f>IF(AND(#REF!&gt;180, #REF!&gt;200), "Heavy Doemstic User", IF(#REF!&gt;10, "Interntional User", IF(AND(#REF!&lt;180, #REF!&lt;200,#REF!&lt;200), "Light User", "Balanced User")))</f>
        <v>#REF!</v>
      </c>
      <c r="AC80" t="e">
        <f>IF(#REF! = 0, "No Usage", IF(#REF! &lt;= 20, "Low Usage", IF(#REF! &lt;= 40, "Medium Usgae", "High Usage")))</f>
        <v>#REF!</v>
      </c>
      <c r="AD80" t="e">
        <f>IF(#REF!&lt;=150,"Low Usage", IF(#REF!&lt;=200,"Medium Usage", IF(#REF!&lt;=250,"High Usage","Very High Usage")))</f>
        <v>#REF!</v>
      </c>
      <c r="AE80" t="e">
        <f>IF(#REF!&lt;=5,"Low Calls", IF(#REF!&lt;=10, "Medium Calls", "High Calls"))</f>
        <v>#REF!</v>
      </c>
      <c r="AF80" t="e">
        <f xml:space="preserve">
IF(#REF!&gt;=4,4,0)+
IF(#REF!="yes",3,0)+
IF(#REF!="High Charges",3,0)+
IF(#REF!&gt;250,4,0)+
IF(#REF!="no",1,0)+
IF(#REF!="Heavy Domestic User",2,0)</f>
        <v>#REF!</v>
      </c>
      <c r="AG80" t="e">
        <f>IF(#REF!&gt;=10,"High Risk", IF(#REF!&gt;=5,"Medium Risk","Low Risk"))</f>
        <v>#REF!</v>
      </c>
      <c r="AH80" t="e">
        <f>#REF! + #REF! + #REF! + #REF!</f>
        <v>#REF!</v>
      </c>
    </row>
    <row r="81" spans="1:34" x14ac:dyDescent="0.35">
      <c r="A81">
        <v>80</v>
      </c>
      <c r="B81" t="s">
        <v>42</v>
      </c>
      <c r="C81">
        <v>90</v>
      </c>
      <c r="D81" t="s">
        <v>21</v>
      </c>
      <c r="E81" t="s">
        <v>22</v>
      </c>
      <c r="F81" t="s">
        <v>22</v>
      </c>
      <c r="G81">
        <v>0</v>
      </c>
      <c r="H81">
        <v>179.1</v>
      </c>
      <c r="I81">
        <v>71</v>
      </c>
      <c r="J81">
        <v>30.45</v>
      </c>
      <c r="K81">
        <v>190.6</v>
      </c>
      <c r="L81">
        <v>81</v>
      </c>
      <c r="M81">
        <v>16.2</v>
      </c>
      <c r="N81">
        <v>127.7</v>
      </c>
      <c r="O81">
        <v>91</v>
      </c>
      <c r="P81">
        <v>5.75</v>
      </c>
      <c r="Q81">
        <v>10.6</v>
      </c>
      <c r="R81">
        <v>7</v>
      </c>
      <c r="S81">
        <v>2.86</v>
      </c>
      <c r="T81">
        <v>3</v>
      </c>
      <c r="U81" t="s">
        <v>22</v>
      </c>
      <c r="V81" t="e">
        <f>IF(#REF! = "yes", 1, 0)</f>
        <v>#REF!</v>
      </c>
      <c r="W81" t="e">
        <f>IF(#REF! &lt;= 1, "0-1 Calls", IF(#REF! &lt;= 3, "2-3 Calls", IF(#REF! &lt;=5, "4-5 Calls", "6+ Calls")))</f>
        <v>#REF!</v>
      </c>
      <c r="X81" t="e">
        <f>IF(#REF! &lt;= 50, "0-50", IF(#REF! &lt;=100, "51-100", IF(#REF! &lt;= 150, "101-150", "151+")))</f>
        <v>#REF!</v>
      </c>
      <c r="Y81" t="e">
        <f>IF(#REF! &lt;= 3, "Low Charges", "High Charges")</f>
        <v>#REF!</v>
      </c>
      <c r="Z81" t="e">
        <f>IF(#REF!&lt;=80,"Low Calls",
IF(#REF!&lt;=120,"Medium Calls","High Calls"))</f>
        <v>#REF!</v>
      </c>
      <c r="AA81" t="e">
        <f>IF(#REF!&lt;=15,"Low Charges",
IF(#REF!&lt;=20,"Medium Charges","High Charges"))</f>
        <v>#REF!</v>
      </c>
      <c r="AB81" t="e">
        <f>IF(AND(#REF!&gt;180, #REF!&gt;200), "Heavy Doemstic User", IF(#REF!&gt;10, "Interntional User", IF(AND(#REF!&lt;180, #REF!&lt;200,#REF!&lt;200), "Light User", "Balanced User")))</f>
        <v>#REF!</v>
      </c>
      <c r="AC81" t="e">
        <f>IF(#REF! = 0, "No Usage", IF(#REF! &lt;= 20, "Low Usage", IF(#REF! &lt;= 40, "Medium Usgae", "High Usage")))</f>
        <v>#REF!</v>
      </c>
      <c r="AD81" t="e">
        <f>IF(#REF!&lt;=150,"Low Usage", IF(#REF!&lt;=200,"Medium Usage", IF(#REF!&lt;=250,"High Usage","Very High Usage")))</f>
        <v>#REF!</v>
      </c>
      <c r="AE81" t="e">
        <f>IF(#REF!&lt;=5,"Low Calls", IF(#REF!&lt;=10, "Medium Calls", "High Calls"))</f>
        <v>#REF!</v>
      </c>
      <c r="AF81" t="e">
        <f xml:space="preserve">
IF(#REF!&gt;=4,4,0)+
IF(#REF!="yes",3,0)+
IF(#REF!="High Charges",3,0)+
IF(#REF!&gt;250,4,0)+
IF(#REF!="no",1,0)+
IF(#REF!="Heavy Domestic User",2,0)</f>
        <v>#REF!</v>
      </c>
      <c r="AG81" t="e">
        <f>IF(#REF!&gt;=10,"High Risk", IF(#REF!&gt;=5,"Medium Risk","Low Risk"))</f>
        <v>#REF!</v>
      </c>
      <c r="AH81" t="e">
        <f>#REF! + #REF! + #REF! + #REF!</f>
        <v>#REF!</v>
      </c>
    </row>
    <row r="82" spans="1:34" x14ac:dyDescent="0.35">
      <c r="A82">
        <v>81</v>
      </c>
      <c r="B82" t="s">
        <v>35</v>
      </c>
      <c r="C82">
        <v>73</v>
      </c>
      <c r="D82" t="s">
        <v>21</v>
      </c>
      <c r="E82" t="s">
        <v>22</v>
      </c>
      <c r="F82" t="s">
        <v>22</v>
      </c>
      <c r="G82">
        <v>0</v>
      </c>
      <c r="H82">
        <v>160.1</v>
      </c>
      <c r="I82">
        <v>110</v>
      </c>
      <c r="J82">
        <v>27.22</v>
      </c>
      <c r="K82">
        <v>213.3</v>
      </c>
      <c r="L82">
        <v>72</v>
      </c>
      <c r="M82">
        <v>18.13</v>
      </c>
      <c r="N82">
        <v>174.1</v>
      </c>
      <c r="O82">
        <v>72</v>
      </c>
      <c r="P82">
        <v>7.83</v>
      </c>
      <c r="Q82">
        <v>13</v>
      </c>
      <c r="R82">
        <v>4</v>
      </c>
      <c r="S82">
        <v>3.51</v>
      </c>
      <c r="T82">
        <v>0</v>
      </c>
      <c r="U82" t="s">
        <v>22</v>
      </c>
      <c r="V82" t="e">
        <f>IF(#REF! = "yes", 1, 0)</f>
        <v>#REF!</v>
      </c>
      <c r="W82" t="e">
        <f>IF(#REF! &lt;= 1, "0-1 Calls", IF(#REF! &lt;= 3, "2-3 Calls", IF(#REF! &lt;=5, "4-5 Calls", "6+ Calls")))</f>
        <v>#REF!</v>
      </c>
      <c r="X82" t="e">
        <f>IF(#REF! &lt;= 50, "0-50", IF(#REF! &lt;=100, "51-100", IF(#REF! &lt;= 150, "101-150", "151+")))</f>
        <v>#REF!</v>
      </c>
      <c r="Y82" t="e">
        <f>IF(#REF! &lt;= 3, "Low Charges", "High Charges")</f>
        <v>#REF!</v>
      </c>
      <c r="Z82" t="e">
        <f>IF(#REF!&lt;=80,"Low Calls",
IF(#REF!&lt;=120,"Medium Calls","High Calls"))</f>
        <v>#REF!</v>
      </c>
      <c r="AA82" t="e">
        <f>IF(#REF!&lt;=15,"Low Charges",
IF(#REF!&lt;=20,"Medium Charges","High Charges"))</f>
        <v>#REF!</v>
      </c>
      <c r="AB82" t="e">
        <f>IF(AND(#REF!&gt;180, #REF!&gt;200), "Heavy Doemstic User", IF(#REF!&gt;10, "Interntional User", IF(AND(#REF!&lt;180, #REF!&lt;200,#REF!&lt;200), "Light User", "Balanced User")))</f>
        <v>#REF!</v>
      </c>
      <c r="AC82" t="e">
        <f>IF(#REF! = 0, "No Usage", IF(#REF! &lt;= 20, "Low Usage", IF(#REF! &lt;= 40, "Medium Usgae", "High Usage")))</f>
        <v>#REF!</v>
      </c>
      <c r="AD82" t="e">
        <f>IF(#REF!&lt;=150,"Low Usage", IF(#REF!&lt;=200,"Medium Usage", IF(#REF!&lt;=250,"High Usage","Very High Usage")))</f>
        <v>#REF!</v>
      </c>
      <c r="AE82" t="e">
        <f>IF(#REF!&lt;=5,"Low Calls", IF(#REF!&lt;=10, "Medium Calls", "High Calls"))</f>
        <v>#REF!</v>
      </c>
      <c r="AF82" t="e">
        <f xml:space="preserve">
IF(#REF!&gt;=4,4,0)+
IF(#REF!="yes",3,0)+
IF(#REF!="High Charges",3,0)+
IF(#REF!&gt;250,4,0)+
IF(#REF!="no",1,0)+
IF(#REF!="Heavy Domestic User",2,0)</f>
        <v>#REF!</v>
      </c>
      <c r="AG82" t="e">
        <f>IF(#REF!&gt;=10,"High Risk", IF(#REF!&gt;=5,"Medium Risk","Low Risk"))</f>
        <v>#REF!</v>
      </c>
      <c r="AH82" t="e">
        <f>#REF! + #REF! + #REF! + #REF!</f>
        <v>#REF!</v>
      </c>
    </row>
    <row r="83" spans="1:34" x14ac:dyDescent="0.35">
      <c r="A83">
        <v>82</v>
      </c>
      <c r="B83" t="s">
        <v>42</v>
      </c>
      <c r="C83">
        <v>99</v>
      </c>
      <c r="D83" t="s">
        <v>21</v>
      </c>
      <c r="E83" t="s">
        <v>22</v>
      </c>
      <c r="F83" t="s">
        <v>22</v>
      </c>
      <c r="G83">
        <v>0</v>
      </c>
      <c r="H83">
        <v>198.2</v>
      </c>
      <c r="I83">
        <v>87</v>
      </c>
      <c r="J83">
        <v>33.69</v>
      </c>
      <c r="K83">
        <v>207.3</v>
      </c>
      <c r="L83">
        <v>76</v>
      </c>
      <c r="M83">
        <v>17.62</v>
      </c>
      <c r="N83">
        <v>190.9</v>
      </c>
      <c r="O83">
        <v>113</v>
      </c>
      <c r="P83">
        <v>8.59</v>
      </c>
      <c r="Q83">
        <v>8.6999999999999993</v>
      </c>
      <c r="R83">
        <v>3</v>
      </c>
      <c r="S83">
        <v>2.35</v>
      </c>
      <c r="T83">
        <v>4</v>
      </c>
      <c r="U83" t="s">
        <v>22</v>
      </c>
      <c r="V83" t="e">
        <f>IF(#REF! = "yes", 1, 0)</f>
        <v>#REF!</v>
      </c>
      <c r="W83" t="e">
        <f>IF(#REF! &lt;= 1, "0-1 Calls", IF(#REF! &lt;= 3, "2-3 Calls", IF(#REF! &lt;=5, "4-5 Calls", "6+ Calls")))</f>
        <v>#REF!</v>
      </c>
      <c r="X83" t="e">
        <f>IF(#REF! &lt;= 50, "0-50", IF(#REF! &lt;=100, "51-100", IF(#REF! &lt;= 150, "101-150", "151+")))</f>
        <v>#REF!</v>
      </c>
      <c r="Y83" t="e">
        <f>IF(#REF! &lt;= 3, "Low Charges", "High Charges")</f>
        <v>#REF!</v>
      </c>
      <c r="Z83" t="e">
        <f>IF(#REF!&lt;=80,"Low Calls",
IF(#REF!&lt;=120,"Medium Calls","High Calls"))</f>
        <v>#REF!</v>
      </c>
      <c r="AA83" t="e">
        <f>IF(#REF!&lt;=15,"Low Charges",
IF(#REF!&lt;=20,"Medium Charges","High Charges"))</f>
        <v>#REF!</v>
      </c>
      <c r="AB83" t="e">
        <f>IF(AND(#REF!&gt;180, #REF!&gt;200), "Heavy Doemstic User", IF(#REF!&gt;10, "Interntional User", IF(AND(#REF!&lt;180, #REF!&lt;200,#REF!&lt;200), "Light User", "Balanced User")))</f>
        <v>#REF!</v>
      </c>
      <c r="AC83" t="e">
        <f>IF(#REF! = 0, "No Usage", IF(#REF! &lt;= 20, "Low Usage", IF(#REF! &lt;= 40, "Medium Usgae", "High Usage")))</f>
        <v>#REF!</v>
      </c>
      <c r="AD83" t="e">
        <f>IF(#REF!&lt;=150,"Low Usage", IF(#REF!&lt;=200,"Medium Usage", IF(#REF!&lt;=250,"High Usage","Very High Usage")))</f>
        <v>#REF!</v>
      </c>
      <c r="AE83" t="e">
        <f>IF(#REF!&lt;=5,"Low Calls", IF(#REF!&lt;=10, "Medium Calls", "High Calls"))</f>
        <v>#REF!</v>
      </c>
      <c r="AF83" t="e">
        <f xml:space="preserve">
IF(#REF!&gt;=4,4,0)+
IF(#REF!="yes",3,0)+
IF(#REF!="High Charges",3,0)+
IF(#REF!&gt;250,4,0)+
IF(#REF!="no",1,0)+
IF(#REF!="Heavy Domestic User",2,0)</f>
        <v>#REF!</v>
      </c>
      <c r="AG83" t="e">
        <f>IF(#REF!&gt;=10,"High Risk", IF(#REF!&gt;=5,"Medium Risk","Low Risk"))</f>
        <v>#REF!</v>
      </c>
      <c r="AH83" t="e">
        <f>#REF! + #REF! + #REF! + #REF!</f>
        <v>#REF!</v>
      </c>
    </row>
    <row r="84" spans="1:34" x14ac:dyDescent="0.35">
      <c r="A84">
        <v>83</v>
      </c>
      <c r="B84" t="s">
        <v>67</v>
      </c>
      <c r="C84">
        <v>120</v>
      </c>
      <c r="D84" t="s">
        <v>25</v>
      </c>
      <c r="E84" t="s">
        <v>22</v>
      </c>
      <c r="F84" t="s">
        <v>22</v>
      </c>
      <c r="G84">
        <v>0</v>
      </c>
      <c r="H84">
        <v>212.1</v>
      </c>
      <c r="I84">
        <v>131</v>
      </c>
      <c r="J84">
        <v>36.06</v>
      </c>
      <c r="K84">
        <v>209.4</v>
      </c>
      <c r="L84">
        <v>104</v>
      </c>
      <c r="M84">
        <v>17.8</v>
      </c>
      <c r="N84">
        <v>167.2</v>
      </c>
      <c r="O84">
        <v>96</v>
      </c>
      <c r="P84">
        <v>7.52</v>
      </c>
      <c r="Q84">
        <v>5.3</v>
      </c>
      <c r="R84">
        <v>5</v>
      </c>
      <c r="S84">
        <v>1.43</v>
      </c>
      <c r="T84">
        <v>1</v>
      </c>
      <c r="U84" t="s">
        <v>23</v>
      </c>
      <c r="V84" t="e">
        <f>IF(#REF! = "yes", 1, 0)</f>
        <v>#REF!</v>
      </c>
      <c r="W84" t="e">
        <f>IF(#REF! &lt;= 1, "0-1 Calls", IF(#REF! &lt;= 3, "2-3 Calls", IF(#REF! &lt;=5, "4-5 Calls", "6+ Calls")))</f>
        <v>#REF!</v>
      </c>
      <c r="X84" t="e">
        <f>IF(#REF! &lt;= 50, "0-50", IF(#REF! &lt;=100, "51-100", IF(#REF! &lt;= 150, "101-150", "151+")))</f>
        <v>#REF!</v>
      </c>
      <c r="Y84" t="e">
        <f>IF(#REF! &lt;= 3, "Low Charges", "High Charges")</f>
        <v>#REF!</v>
      </c>
      <c r="Z84" t="e">
        <f>IF(#REF!&lt;=80,"Low Calls",
IF(#REF!&lt;=120,"Medium Calls","High Calls"))</f>
        <v>#REF!</v>
      </c>
      <c r="AA84" t="e">
        <f>IF(#REF!&lt;=15,"Low Charges",
IF(#REF!&lt;=20,"Medium Charges","High Charges"))</f>
        <v>#REF!</v>
      </c>
      <c r="AB84" t="e">
        <f>IF(AND(#REF!&gt;180, #REF!&gt;200), "Heavy Doemstic User", IF(#REF!&gt;10, "Interntional User", IF(AND(#REF!&lt;180, #REF!&lt;200,#REF!&lt;200), "Light User", "Balanced User")))</f>
        <v>#REF!</v>
      </c>
      <c r="AC84" t="e">
        <f>IF(#REF! = 0, "No Usage", IF(#REF! &lt;= 20, "Low Usage", IF(#REF! &lt;= 40, "Medium Usgae", "High Usage")))</f>
        <v>#REF!</v>
      </c>
      <c r="AD84" t="e">
        <f>IF(#REF!&lt;=150,"Low Usage", IF(#REF!&lt;=200,"Medium Usage", IF(#REF!&lt;=250,"High Usage","Very High Usage")))</f>
        <v>#REF!</v>
      </c>
      <c r="AE84" t="e">
        <f>IF(#REF!&lt;=5,"Low Calls", IF(#REF!&lt;=10, "Medium Calls", "High Calls"))</f>
        <v>#REF!</v>
      </c>
      <c r="AF84" t="e">
        <f xml:space="preserve">
IF(#REF!&gt;=4,4,0)+
IF(#REF!="yes",3,0)+
IF(#REF!="High Charges",3,0)+
IF(#REF!&gt;250,4,0)+
IF(#REF!="no",1,0)+
IF(#REF!="Heavy Domestic User",2,0)</f>
        <v>#REF!</v>
      </c>
      <c r="AG84" t="e">
        <f>IF(#REF!&gt;=10,"High Risk", IF(#REF!&gt;=5,"Medium Risk","Low Risk"))</f>
        <v>#REF!</v>
      </c>
      <c r="AH84" t="e">
        <f>#REF! + #REF! + #REF! + #REF!</f>
        <v>#REF!</v>
      </c>
    </row>
    <row r="85" spans="1:34" x14ac:dyDescent="0.35">
      <c r="A85">
        <v>84</v>
      </c>
      <c r="B85" t="s">
        <v>37</v>
      </c>
      <c r="C85">
        <v>77</v>
      </c>
      <c r="D85" t="s">
        <v>21</v>
      </c>
      <c r="E85" t="s">
        <v>22</v>
      </c>
      <c r="F85" t="s">
        <v>22</v>
      </c>
      <c r="G85">
        <v>0</v>
      </c>
      <c r="H85">
        <v>251.8</v>
      </c>
      <c r="I85">
        <v>72</v>
      </c>
      <c r="J85">
        <v>42.81</v>
      </c>
      <c r="K85">
        <v>205.7</v>
      </c>
      <c r="L85">
        <v>126</v>
      </c>
      <c r="M85">
        <v>17.48</v>
      </c>
      <c r="N85">
        <v>275.2</v>
      </c>
      <c r="O85">
        <v>109</v>
      </c>
      <c r="P85">
        <v>12.38</v>
      </c>
      <c r="Q85">
        <v>9.8000000000000007</v>
      </c>
      <c r="R85">
        <v>7</v>
      </c>
      <c r="S85">
        <v>2.65</v>
      </c>
      <c r="T85">
        <v>2</v>
      </c>
      <c r="U85" t="s">
        <v>23</v>
      </c>
      <c r="V85" t="e">
        <f>IF(#REF! = "yes", 1, 0)</f>
        <v>#REF!</v>
      </c>
      <c r="W85" t="e">
        <f>IF(#REF! &lt;= 1, "0-1 Calls", IF(#REF! &lt;= 3, "2-3 Calls", IF(#REF! &lt;=5, "4-5 Calls", "6+ Calls")))</f>
        <v>#REF!</v>
      </c>
      <c r="X85" t="e">
        <f>IF(#REF! &lt;= 50, "0-50", IF(#REF! &lt;=100, "51-100", IF(#REF! &lt;= 150, "101-150", "151+")))</f>
        <v>#REF!</v>
      </c>
      <c r="Y85" t="e">
        <f>IF(#REF! &lt;= 3, "Low Charges", "High Charges")</f>
        <v>#REF!</v>
      </c>
      <c r="Z85" t="e">
        <f>IF(#REF!&lt;=80,"Low Calls",
IF(#REF!&lt;=120,"Medium Calls","High Calls"))</f>
        <v>#REF!</v>
      </c>
      <c r="AA85" t="e">
        <f>IF(#REF!&lt;=15,"Low Charges",
IF(#REF!&lt;=20,"Medium Charges","High Charges"))</f>
        <v>#REF!</v>
      </c>
      <c r="AB85" t="e">
        <f>IF(AND(#REF!&gt;180, #REF!&gt;200), "Heavy Doemstic User", IF(#REF!&gt;10, "Interntional User", IF(AND(#REF!&lt;180, #REF!&lt;200,#REF!&lt;200), "Light User", "Balanced User")))</f>
        <v>#REF!</v>
      </c>
      <c r="AC85" t="e">
        <f>IF(#REF! = 0, "No Usage", IF(#REF! &lt;= 20, "Low Usage", IF(#REF! &lt;= 40, "Medium Usgae", "High Usage")))</f>
        <v>#REF!</v>
      </c>
      <c r="AD85" t="e">
        <f>IF(#REF!&lt;=150,"Low Usage", IF(#REF!&lt;=200,"Medium Usage", IF(#REF!&lt;=250,"High Usage","Very High Usage")))</f>
        <v>#REF!</v>
      </c>
      <c r="AE85" t="e">
        <f>IF(#REF!&lt;=5,"Low Calls", IF(#REF!&lt;=10, "Medium Calls", "High Calls"))</f>
        <v>#REF!</v>
      </c>
      <c r="AF85" t="e">
        <f xml:space="preserve">
IF(#REF!&gt;=4,4,0)+
IF(#REF!="yes",3,0)+
IF(#REF!="High Charges",3,0)+
IF(#REF!&gt;250,4,0)+
IF(#REF!="no",1,0)+
IF(#REF!="Heavy Domestic User",2,0)</f>
        <v>#REF!</v>
      </c>
      <c r="AG85" t="e">
        <f>IF(#REF!&gt;=10,"High Risk", IF(#REF!&gt;=5,"Medium Risk","Low Risk"))</f>
        <v>#REF!</v>
      </c>
      <c r="AH85" t="e">
        <f>#REF! + #REF! + #REF! + #REF!</f>
        <v>#REF!</v>
      </c>
    </row>
    <row r="86" spans="1:34" x14ac:dyDescent="0.35">
      <c r="A86">
        <v>85</v>
      </c>
      <c r="B86" t="s">
        <v>34</v>
      </c>
      <c r="C86">
        <v>98</v>
      </c>
      <c r="D86" t="s">
        <v>28</v>
      </c>
      <c r="E86" t="s">
        <v>22</v>
      </c>
      <c r="F86" t="s">
        <v>23</v>
      </c>
      <c r="G86">
        <v>21</v>
      </c>
      <c r="H86">
        <v>161.19999999999999</v>
      </c>
      <c r="I86">
        <v>114</v>
      </c>
      <c r="J86">
        <v>27.4</v>
      </c>
      <c r="K86">
        <v>252.2</v>
      </c>
      <c r="L86">
        <v>83</v>
      </c>
      <c r="M86">
        <v>21.44</v>
      </c>
      <c r="N86">
        <v>160.19999999999999</v>
      </c>
      <c r="O86">
        <v>92</v>
      </c>
      <c r="P86">
        <v>7.21</v>
      </c>
      <c r="Q86">
        <v>4.4000000000000004</v>
      </c>
      <c r="R86">
        <v>8</v>
      </c>
      <c r="S86">
        <v>1.19</v>
      </c>
      <c r="T86">
        <v>4</v>
      </c>
      <c r="U86" t="s">
        <v>22</v>
      </c>
      <c r="V86" t="e">
        <f>IF(#REF! = "yes", 1, 0)</f>
        <v>#REF!</v>
      </c>
      <c r="W86" t="e">
        <f>IF(#REF! &lt;= 1, "0-1 Calls", IF(#REF! &lt;= 3, "2-3 Calls", IF(#REF! &lt;=5, "4-5 Calls", "6+ Calls")))</f>
        <v>#REF!</v>
      </c>
      <c r="X86" t="e">
        <f>IF(#REF! &lt;= 50, "0-50", IF(#REF! &lt;=100, "51-100", IF(#REF! &lt;= 150, "101-150", "151+")))</f>
        <v>#REF!</v>
      </c>
      <c r="Y86" t="e">
        <f>IF(#REF! &lt;= 3, "Low Charges", "High Charges")</f>
        <v>#REF!</v>
      </c>
      <c r="Z86" t="e">
        <f>IF(#REF!&lt;=80,"Low Calls",
IF(#REF!&lt;=120,"Medium Calls","High Calls"))</f>
        <v>#REF!</v>
      </c>
      <c r="AA86" t="e">
        <f>IF(#REF!&lt;=15,"Low Charges",
IF(#REF!&lt;=20,"Medium Charges","High Charges"))</f>
        <v>#REF!</v>
      </c>
      <c r="AB86" t="e">
        <f>IF(AND(#REF!&gt;180, #REF!&gt;200), "Heavy Doemstic User", IF(#REF!&gt;10, "Interntional User", IF(AND(#REF!&lt;180, #REF!&lt;200,#REF!&lt;200), "Light User", "Balanced User")))</f>
        <v>#REF!</v>
      </c>
      <c r="AC86" t="e">
        <f>IF(#REF! = 0, "No Usage", IF(#REF! &lt;= 20, "Low Usage", IF(#REF! &lt;= 40, "Medium Usgae", "High Usage")))</f>
        <v>#REF!</v>
      </c>
      <c r="AD86" t="e">
        <f>IF(#REF!&lt;=150,"Low Usage", IF(#REF!&lt;=200,"Medium Usage", IF(#REF!&lt;=250,"High Usage","Very High Usage")))</f>
        <v>#REF!</v>
      </c>
      <c r="AE86" t="e">
        <f>IF(#REF!&lt;=5,"Low Calls", IF(#REF!&lt;=10, "Medium Calls", "High Calls"))</f>
        <v>#REF!</v>
      </c>
      <c r="AF86" t="e">
        <f xml:space="preserve">
IF(#REF!&gt;=4,4,0)+
IF(#REF!="yes",3,0)+
IF(#REF!="High Charges",3,0)+
IF(#REF!&gt;250,4,0)+
IF(#REF!="no",1,0)+
IF(#REF!="Heavy Domestic User",2,0)</f>
        <v>#REF!</v>
      </c>
      <c r="AG86" t="e">
        <f>IF(#REF!&gt;=10,"High Risk", IF(#REF!&gt;=5,"Medium Risk","Low Risk"))</f>
        <v>#REF!</v>
      </c>
      <c r="AH86" t="e">
        <f>#REF! + #REF! + #REF! + #REF!</f>
        <v>#REF!</v>
      </c>
    </row>
    <row r="87" spans="1:34" x14ac:dyDescent="0.35">
      <c r="A87">
        <v>86</v>
      </c>
      <c r="B87" t="s">
        <v>27</v>
      </c>
      <c r="C87">
        <v>108</v>
      </c>
      <c r="D87" t="s">
        <v>21</v>
      </c>
      <c r="E87" t="s">
        <v>22</v>
      </c>
      <c r="F87" t="s">
        <v>22</v>
      </c>
      <c r="G87">
        <v>0</v>
      </c>
      <c r="H87">
        <v>178.3</v>
      </c>
      <c r="I87">
        <v>137</v>
      </c>
      <c r="J87">
        <v>30.31</v>
      </c>
      <c r="K87">
        <v>189</v>
      </c>
      <c r="L87">
        <v>76</v>
      </c>
      <c r="M87">
        <v>16.07</v>
      </c>
      <c r="N87">
        <v>129.1</v>
      </c>
      <c r="O87">
        <v>102</v>
      </c>
      <c r="P87">
        <v>5.81</v>
      </c>
      <c r="Q87">
        <v>14.6</v>
      </c>
      <c r="R87">
        <v>5</v>
      </c>
      <c r="S87">
        <v>3.94</v>
      </c>
      <c r="T87">
        <v>0</v>
      </c>
      <c r="U87" t="s">
        <v>22</v>
      </c>
      <c r="V87" t="e">
        <f>IF(#REF! = "yes", 1, 0)</f>
        <v>#REF!</v>
      </c>
      <c r="W87" t="e">
        <f>IF(#REF! &lt;= 1, "0-1 Calls", IF(#REF! &lt;= 3, "2-3 Calls", IF(#REF! &lt;=5, "4-5 Calls", "6+ Calls")))</f>
        <v>#REF!</v>
      </c>
      <c r="X87" t="e">
        <f>IF(#REF! &lt;= 50, "0-50", IF(#REF! &lt;=100, "51-100", IF(#REF! &lt;= 150, "101-150", "151+")))</f>
        <v>#REF!</v>
      </c>
      <c r="Y87" t="e">
        <f>IF(#REF! &lt;= 3, "Low Charges", "High Charges")</f>
        <v>#REF!</v>
      </c>
      <c r="Z87" t="e">
        <f>IF(#REF!&lt;=80,"Low Calls",
IF(#REF!&lt;=120,"Medium Calls","High Calls"))</f>
        <v>#REF!</v>
      </c>
      <c r="AA87" t="e">
        <f>IF(#REF!&lt;=15,"Low Charges",
IF(#REF!&lt;=20,"Medium Charges","High Charges"))</f>
        <v>#REF!</v>
      </c>
      <c r="AB87" t="e">
        <f>IF(AND(#REF!&gt;180, #REF!&gt;200), "Heavy Doemstic User", IF(#REF!&gt;10, "Interntional User", IF(AND(#REF!&lt;180, #REF!&lt;200,#REF!&lt;200), "Light User", "Balanced User")))</f>
        <v>#REF!</v>
      </c>
      <c r="AC87" t="e">
        <f>IF(#REF! = 0, "No Usage", IF(#REF! &lt;= 20, "Low Usage", IF(#REF! &lt;= 40, "Medium Usgae", "High Usage")))</f>
        <v>#REF!</v>
      </c>
      <c r="AD87" t="e">
        <f>IF(#REF!&lt;=150,"Low Usage", IF(#REF!&lt;=200,"Medium Usage", IF(#REF!&lt;=250,"High Usage","Very High Usage")))</f>
        <v>#REF!</v>
      </c>
      <c r="AE87" t="e">
        <f>IF(#REF!&lt;=5,"Low Calls", IF(#REF!&lt;=10, "Medium Calls", "High Calls"))</f>
        <v>#REF!</v>
      </c>
      <c r="AF87" t="e">
        <f xml:space="preserve">
IF(#REF!&gt;=4,4,0)+
IF(#REF!="yes",3,0)+
IF(#REF!="High Charges",3,0)+
IF(#REF!&gt;250,4,0)+
IF(#REF!="no",1,0)+
IF(#REF!="Heavy Domestic User",2,0)</f>
        <v>#REF!</v>
      </c>
      <c r="AG87" t="e">
        <f>IF(#REF!&gt;=10,"High Risk", IF(#REF!&gt;=5,"Medium Risk","Low Risk"))</f>
        <v>#REF!</v>
      </c>
      <c r="AH87" t="e">
        <f>#REF! + #REF! + #REF! + #REF!</f>
        <v>#REF!</v>
      </c>
    </row>
    <row r="88" spans="1:34" x14ac:dyDescent="0.35">
      <c r="A88">
        <v>87</v>
      </c>
      <c r="B88" t="s">
        <v>65</v>
      </c>
      <c r="C88">
        <v>95</v>
      </c>
      <c r="D88" t="s">
        <v>25</v>
      </c>
      <c r="E88" t="s">
        <v>22</v>
      </c>
      <c r="F88" t="s">
        <v>22</v>
      </c>
      <c r="G88">
        <v>0</v>
      </c>
      <c r="H88">
        <v>135</v>
      </c>
      <c r="I88">
        <v>99</v>
      </c>
      <c r="J88">
        <v>22.95</v>
      </c>
      <c r="K88">
        <v>183.6</v>
      </c>
      <c r="L88">
        <v>106</v>
      </c>
      <c r="M88">
        <v>15.61</v>
      </c>
      <c r="N88">
        <v>245.3</v>
      </c>
      <c r="O88">
        <v>102</v>
      </c>
      <c r="P88">
        <v>11.04</v>
      </c>
      <c r="Q88">
        <v>12.5</v>
      </c>
      <c r="R88">
        <v>9</v>
      </c>
      <c r="S88">
        <v>3.38</v>
      </c>
      <c r="T88">
        <v>1</v>
      </c>
      <c r="U88" t="s">
        <v>22</v>
      </c>
      <c r="V88" t="e">
        <f>IF(#REF! = "yes", 1, 0)</f>
        <v>#REF!</v>
      </c>
      <c r="W88" t="e">
        <f>IF(#REF! &lt;= 1, "0-1 Calls", IF(#REF! &lt;= 3, "2-3 Calls", IF(#REF! &lt;=5, "4-5 Calls", "6+ Calls")))</f>
        <v>#REF!</v>
      </c>
      <c r="X88" t="e">
        <f>IF(#REF! &lt;= 50, "0-50", IF(#REF! &lt;=100, "51-100", IF(#REF! &lt;= 150, "101-150", "151+")))</f>
        <v>#REF!</v>
      </c>
      <c r="Y88" t="e">
        <f>IF(#REF! &lt;= 3, "Low Charges", "High Charges")</f>
        <v>#REF!</v>
      </c>
      <c r="Z88" t="e">
        <f>IF(#REF!&lt;=80,"Low Calls",
IF(#REF!&lt;=120,"Medium Calls","High Calls"))</f>
        <v>#REF!</v>
      </c>
      <c r="AA88" t="e">
        <f>IF(#REF!&lt;=15,"Low Charges",
IF(#REF!&lt;=20,"Medium Charges","High Charges"))</f>
        <v>#REF!</v>
      </c>
      <c r="AB88" t="e">
        <f>IF(AND(#REF!&gt;180, #REF!&gt;200), "Heavy Doemstic User", IF(#REF!&gt;10, "Interntional User", IF(AND(#REF!&lt;180, #REF!&lt;200,#REF!&lt;200), "Light User", "Balanced User")))</f>
        <v>#REF!</v>
      </c>
      <c r="AC88" t="e">
        <f>IF(#REF! = 0, "No Usage", IF(#REF! &lt;= 20, "Low Usage", IF(#REF! &lt;= 40, "Medium Usgae", "High Usage")))</f>
        <v>#REF!</v>
      </c>
      <c r="AD88" t="e">
        <f>IF(#REF!&lt;=150,"Low Usage", IF(#REF!&lt;=200,"Medium Usage", IF(#REF!&lt;=250,"High Usage","Very High Usage")))</f>
        <v>#REF!</v>
      </c>
      <c r="AE88" t="e">
        <f>IF(#REF!&lt;=5,"Low Calls", IF(#REF!&lt;=10, "Medium Calls", "High Calls"))</f>
        <v>#REF!</v>
      </c>
      <c r="AF88" t="e">
        <f xml:space="preserve">
IF(#REF!&gt;=4,4,0)+
IF(#REF!="yes",3,0)+
IF(#REF!="High Charges",3,0)+
IF(#REF!&gt;250,4,0)+
IF(#REF!="no",1,0)+
IF(#REF!="Heavy Domestic User",2,0)</f>
        <v>#REF!</v>
      </c>
      <c r="AG88" t="e">
        <f>IF(#REF!&gt;=10,"High Risk", IF(#REF!&gt;=5,"Medium Risk","Low Risk"))</f>
        <v>#REF!</v>
      </c>
      <c r="AH88" t="e">
        <f>#REF! + #REF! + #REF! + #REF!</f>
        <v>#REF!</v>
      </c>
    </row>
    <row r="89" spans="1:34" x14ac:dyDescent="0.35">
      <c r="A89">
        <v>88</v>
      </c>
      <c r="B89" t="s">
        <v>32</v>
      </c>
      <c r="C89">
        <v>122</v>
      </c>
      <c r="D89" t="s">
        <v>25</v>
      </c>
      <c r="E89" t="s">
        <v>22</v>
      </c>
      <c r="F89" t="s">
        <v>22</v>
      </c>
      <c r="G89">
        <v>0</v>
      </c>
      <c r="H89">
        <v>170.5</v>
      </c>
      <c r="I89">
        <v>94</v>
      </c>
      <c r="J89">
        <v>28.99</v>
      </c>
      <c r="K89">
        <v>173.7</v>
      </c>
      <c r="L89">
        <v>109</v>
      </c>
      <c r="M89">
        <v>14.76</v>
      </c>
      <c r="N89">
        <v>248.6</v>
      </c>
      <c r="O89">
        <v>75</v>
      </c>
      <c r="P89">
        <v>11.19</v>
      </c>
      <c r="Q89">
        <v>11.3</v>
      </c>
      <c r="R89">
        <v>2</v>
      </c>
      <c r="S89">
        <v>3.05</v>
      </c>
      <c r="T89">
        <v>1</v>
      </c>
      <c r="U89" t="s">
        <v>22</v>
      </c>
      <c r="V89" t="e">
        <f>IF(#REF! = "yes", 1, 0)</f>
        <v>#REF!</v>
      </c>
      <c r="W89" t="e">
        <f>IF(#REF! &lt;= 1, "0-1 Calls", IF(#REF! &lt;= 3, "2-3 Calls", IF(#REF! &lt;=5, "4-5 Calls", "6+ Calls")))</f>
        <v>#REF!</v>
      </c>
      <c r="X89" t="e">
        <f>IF(#REF! &lt;= 50, "0-50", IF(#REF! &lt;=100, "51-100", IF(#REF! &lt;= 150, "101-150", "151+")))</f>
        <v>#REF!</v>
      </c>
      <c r="Y89" t="e">
        <f>IF(#REF! &lt;= 3, "Low Charges", "High Charges")</f>
        <v>#REF!</v>
      </c>
      <c r="Z89" t="e">
        <f>IF(#REF!&lt;=80,"Low Calls",
IF(#REF!&lt;=120,"Medium Calls","High Calls"))</f>
        <v>#REF!</v>
      </c>
      <c r="AA89" t="e">
        <f>IF(#REF!&lt;=15,"Low Charges",
IF(#REF!&lt;=20,"Medium Charges","High Charges"))</f>
        <v>#REF!</v>
      </c>
      <c r="AB89" t="e">
        <f>IF(AND(#REF!&gt;180, #REF!&gt;200), "Heavy Doemstic User", IF(#REF!&gt;10, "Interntional User", IF(AND(#REF!&lt;180, #REF!&lt;200,#REF!&lt;200), "Light User", "Balanced User")))</f>
        <v>#REF!</v>
      </c>
      <c r="AC89" t="e">
        <f>IF(#REF! = 0, "No Usage", IF(#REF! &lt;= 20, "Low Usage", IF(#REF! &lt;= 40, "Medium Usgae", "High Usage")))</f>
        <v>#REF!</v>
      </c>
      <c r="AD89" t="e">
        <f>IF(#REF!&lt;=150,"Low Usage", IF(#REF!&lt;=200,"Medium Usage", IF(#REF!&lt;=250,"High Usage","Very High Usage")))</f>
        <v>#REF!</v>
      </c>
      <c r="AE89" t="e">
        <f>IF(#REF!&lt;=5,"Low Calls", IF(#REF!&lt;=10, "Medium Calls", "High Calls"))</f>
        <v>#REF!</v>
      </c>
      <c r="AF89" t="e">
        <f xml:space="preserve">
IF(#REF!&gt;=4,4,0)+
IF(#REF!="yes",3,0)+
IF(#REF!="High Charges",3,0)+
IF(#REF!&gt;250,4,0)+
IF(#REF!="no",1,0)+
IF(#REF!="Heavy Domestic User",2,0)</f>
        <v>#REF!</v>
      </c>
      <c r="AG89" t="e">
        <f>IF(#REF!&gt;=10,"High Risk", IF(#REF!&gt;=5,"Medium Risk","Low Risk"))</f>
        <v>#REF!</v>
      </c>
      <c r="AH89" t="e">
        <f>#REF! + #REF! + #REF! + #REF!</f>
        <v>#REF!</v>
      </c>
    </row>
    <row r="90" spans="1:34" x14ac:dyDescent="0.35">
      <c r="A90">
        <v>89</v>
      </c>
      <c r="B90" t="s">
        <v>42</v>
      </c>
      <c r="C90">
        <v>95</v>
      </c>
      <c r="D90" t="s">
        <v>25</v>
      </c>
      <c r="E90" t="s">
        <v>22</v>
      </c>
      <c r="F90" t="s">
        <v>22</v>
      </c>
      <c r="G90">
        <v>0</v>
      </c>
      <c r="H90">
        <v>238.1</v>
      </c>
      <c r="I90">
        <v>65</v>
      </c>
      <c r="J90">
        <v>40.479999999999997</v>
      </c>
      <c r="K90">
        <v>187.2</v>
      </c>
      <c r="L90">
        <v>98</v>
      </c>
      <c r="M90">
        <v>15.91</v>
      </c>
      <c r="N90">
        <v>190</v>
      </c>
      <c r="O90">
        <v>115</v>
      </c>
      <c r="P90">
        <v>8.5500000000000007</v>
      </c>
      <c r="Q90">
        <v>11.8</v>
      </c>
      <c r="R90">
        <v>4</v>
      </c>
      <c r="S90">
        <v>3.19</v>
      </c>
      <c r="T90">
        <v>4</v>
      </c>
      <c r="U90" t="s">
        <v>22</v>
      </c>
      <c r="V90" t="e">
        <f>IF(#REF! = "yes", 1, 0)</f>
        <v>#REF!</v>
      </c>
      <c r="W90" t="e">
        <f>IF(#REF! &lt;= 1, "0-1 Calls", IF(#REF! &lt;= 3, "2-3 Calls", IF(#REF! &lt;=5, "4-5 Calls", "6+ Calls")))</f>
        <v>#REF!</v>
      </c>
      <c r="X90" t="e">
        <f>IF(#REF! &lt;= 50, "0-50", IF(#REF! &lt;=100, "51-100", IF(#REF! &lt;= 150, "101-150", "151+")))</f>
        <v>#REF!</v>
      </c>
      <c r="Y90" t="e">
        <f>IF(#REF! &lt;= 3, "Low Charges", "High Charges")</f>
        <v>#REF!</v>
      </c>
      <c r="Z90" t="e">
        <f>IF(#REF!&lt;=80,"Low Calls",
IF(#REF!&lt;=120,"Medium Calls","High Calls"))</f>
        <v>#REF!</v>
      </c>
      <c r="AA90" t="e">
        <f>IF(#REF!&lt;=15,"Low Charges",
IF(#REF!&lt;=20,"Medium Charges","High Charges"))</f>
        <v>#REF!</v>
      </c>
      <c r="AB90" t="e">
        <f>IF(AND(#REF!&gt;180, #REF!&gt;200), "Heavy Doemstic User", IF(#REF!&gt;10, "Interntional User", IF(AND(#REF!&lt;180, #REF!&lt;200,#REF!&lt;200), "Light User", "Balanced User")))</f>
        <v>#REF!</v>
      </c>
      <c r="AC90" t="e">
        <f>IF(#REF! = 0, "No Usage", IF(#REF! &lt;= 20, "Low Usage", IF(#REF! &lt;= 40, "Medium Usgae", "High Usage")))</f>
        <v>#REF!</v>
      </c>
      <c r="AD90" t="e">
        <f>IF(#REF!&lt;=150,"Low Usage", IF(#REF!&lt;=200,"Medium Usage", IF(#REF!&lt;=250,"High Usage","Very High Usage")))</f>
        <v>#REF!</v>
      </c>
      <c r="AE90" t="e">
        <f>IF(#REF!&lt;=5,"Low Calls", IF(#REF!&lt;=10, "Medium Calls", "High Calls"))</f>
        <v>#REF!</v>
      </c>
      <c r="AF90" t="e">
        <f xml:space="preserve">
IF(#REF!&gt;=4,4,0)+
IF(#REF!="yes",3,0)+
IF(#REF!="High Charges",3,0)+
IF(#REF!&gt;250,4,0)+
IF(#REF!="no",1,0)+
IF(#REF!="Heavy Domestic User",2,0)</f>
        <v>#REF!</v>
      </c>
      <c r="AG90" t="e">
        <f>IF(#REF!&gt;=10,"High Risk", IF(#REF!&gt;=5,"Medium Risk","Low Risk"))</f>
        <v>#REF!</v>
      </c>
      <c r="AH90" t="e">
        <f>#REF! + #REF! + #REF! + #REF!</f>
        <v>#REF!</v>
      </c>
    </row>
    <row r="91" spans="1:34" x14ac:dyDescent="0.35">
      <c r="A91">
        <v>90</v>
      </c>
      <c r="B91" t="s">
        <v>53</v>
      </c>
      <c r="C91">
        <v>36</v>
      </c>
      <c r="D91" t="s">
        <v>28</v>
      </c>
      <c r="E91" t="s">
        <v>22</v>
      </c>
      <c r="F91" t="s">
        <v>23</v>
      </c>
      <c r="G91">
        <v>29</v>
      </c>
      <c r="H91">
        <v>281.39999999999998</v>
      </c>
      <c r="I91">
        <v>102</v>
      </c>
      <c r="J91">
        <v>47.84</v>
      </c>
      <c r="K91">
        <v>202.2</v>
      </c>
      <c r="L91">
        <v>76</v>
      </c>
      <c r="M91">
        <v>17.190000000000001</v>
      </c>
      <c r="N91">
        <v>187.2</v>
      </c>
      <c r="O91">
        <v>113</v>
      </c>
      <c r="P91">
        <v>8.42</v>
      </c>
      <c r="Q91">
        <v>9</v>
      </c>
      <c r="R91">
        <v>6</v>
      </c>
      <c r="S91">
        <v>2.4300000000000002</v>
      </c>
      <c r="T91">
        <v>2</v>
      </c>
      <c r="U91" t="s">
        <v>22</v>
      </c>
      <c r="V91" t="e">
        <f>IF(#REF! = "yes", 1, 0)</f>
        <v>#REF!</v>
      </c>
      <c r="W91" t="e">
        <f>IF(#REF! &lt;= 1, "0-1 Calls", IF(#REF! &lt;= 3, "2-3 Calls", IF(#REF! &lt;=5, "4-5 Calls", "6+ Calls")))</f>
        <v>#REF!</v>
      </c>
      <c r="X91" t="e">
        <f>IF(#REF! &lt;= 50, "0-50", IF(#REF! &lt;=100, "51-100", IF(#REF! &lt;= 150, "101-150", "151+")))</f>
        <v>#REF!</v>
      </c>
      <c r="Y91" t="e">
        <f>IF(#REF! &lt;= 3, "Low Charges", "High Charges")</f>
        <v>#REF!</v>
      </c>
      <c r="Z91" t="e">
        <f>IF(#REF!&lt;=80,"Low Calls",
IF(#REF!&lt;=120,"Medium Calls","High Calls"))</f>
        <v>#REF!</v>
      </c>
      <c r="AA91" t="e">
        <f>IF(#REF!&lt;=15,"Low Charges",
IF(#REF!&lt;=20,"Medium Charges","High Charges"))</f>
        <v>#REF!</v>
      </c>
      <c r="AB91" t="e">
        <f>IF(AND(#REF!&gt;180, #REF!&gt;200), "Heavy Doemstic User", IF(#REF!&gt;10, "Interntional User", IF(AND(#REF!&lt;180, #REF!&lt;200,#REF!&lt;200), "Light User", "Balanced User")))</f>
        <v>#REF!</v>
      </c>
      <c r="AC91" t="e">
        <f>IF(#REF! = 0, "No Usage", IF(#REF! &lt;= 20, "Low Usage", IF(#REF! &lt;= 40, "Medium Usgae", "High Usage")))</f>
        <v>#REF!</v>
      </c>
      <c r="AD91" t="e">
        <f>IF(#REF!&lt;=150,"Low Usage", IF(#REF!&lt;=200,"Medium Usage", IF(#REF!&lt;=250,"High Usage","Very High Usage")))</f>
        <v>#REF!</v>
      </c>
      <c r="AE91" t="e">
        <f>IF(#REF!&lt;=5,"Low Calls", IF(#REF!&lt;=10, "Medium Calls", "High Calls"))</f>
        <v>#REF!</v>
      </c>
      <c r="AF91" t="e">
        <f xml:space="preserve">
IF(#REF!&gt;=4,4,0)+
IF(#REF!="yes",3,0)+
IF(#REF!="High Charges",3,0)+
IF(#REF!&gt;250,4,0)+
IF(#REF!="no",1,0)+
IF(#REF!="Heavy Domestic User",2,0)</f>
        <v>#REF!</v>
      </c>
      <c r="AG91" t="e">
        <f>IF(#REF!&gt;=10,"High Risk", IF(#REF!&gt;=5,"Medium Risk","Low Risk"))</f>
        <v>#REF!</v>
      </c>
      <c r="AH91" t="e">
        <f>#REF! + #REF! + #REF! + #REF!</f>
        <v>#REF!</v>
      </c>
    </row>
    <row r="92" spans="1:34" x14ac:dyDescent="0.35">
      <c r="A92">
        <v>91</v>
      </c>
      <c r="B92" t="s">
        <v>61</v>
      </c>
      <c r="C92">
        <v>93</v>
      </c>
      <c r="D92" t="s">
        <v>28</v>
      </c>
      <c r="E92" t="s">
        <v>22</v>
      </c>
      <c r="F92" t="s">
        <v>23</v>
      </c>
      <c r="G92">
        <v>21</v>
      </c>
      <c r="H92">
        <v>117.9</v>
      </c>
      <c r="I92">
        <v>131</v>
      </c>
      <c r="J92">
        <v>20.04</v>
      </c>
      <c r="K92">
        <v>164.5</v>
      </c>
      <c r="L92">
        <v>115</v>
      </c>
      <c r="M92">
        <v>13.98</v>
      </c>
      <c r="N92">
        <v>217</v>
      </c>
      <c r="O92">
        <v>86</v>
      </c>
      <c r="P92">
        <v>9.76</v>
      </c>
      <c r="Q92">
        <v>9.8000000000000007</v>
      </c>
      <c r="R92">
        <v>3</v>
      </c>
      <c r="S92">
        <v>2.65</v>
      </c>
      <c r="T92">
        <v>1</v>
      </c>
      <c r="U92" t="s">
        <v>22</v>
      </c>
      <c r="V92" t="e">
        <f>IF(#REF! = "yes", 1, 0)</f>
        <v>#REF!</v>
      </c>
      <c r="W92" t="e">
        <f>IF(#REF! &lt;= 1, "0-1 Calls", IF(#REF! &lt;= 3, "2-3 Calls", IF(#REF! &lt;=5, "4-5 Calls", "6+ Calls")))</f>
        <v>#REF!</v>
      </c>
      <c r="X92" t="e">
        <f>IF(#REF! &lt;= 50, "0-50", IF(#REF! &lt;=100, "51-100", IF(#REF! &lt;= 150, "101-150", "151+")))</f>
        <v>#REF!</v>
      </c>
      <c r="Y92" t="e">
        <f>IF(#REF! &lt;= 3, "Low Charges", "High Charges")</f>
        <v>#REF!</v>
      </c>
      <c r="Z92" t="e">
        <f>IF(#REF!&lt;=80,"Low Calls",
IF(#REF!&lt;=120,"Medium Calls","High Calls"))</f>
        <v>#REF!</v>
      </c>
      <c r="AA92" t="e">
        <f>IF(#REF!&lt;=15,"Low Charges",
IF(#REF!&lt;=20,"Medium Charges","High Charges"))</f>
        <v>#REF!</v>
      </c>
      <c r="AB92" t="e">
        <f>IF(AND(#REF!&gt;180, #REF!&gt;200), "Heavy Doemstic User", IF(#REF!&gt;10, "Interntional User", IF(AND(#REF!&lt;180, #REF!&lt;200,#REF!&lt;200), "Light User", "Balanced User")))</f>
        <v>#REF!</v>
      </c>
      <c r="AC92" t="e">
        <f>IF(#REF! = 0, "No Usage", IF(#REF! &lt;= 20, "Low Usage", IF(#REF! &lt;= 40, "Medium Usgae", "High Usage")))</f>
        <v>#REF!</v>
      </c>
      <c r="AD92" t="e">
        <f>IF(#REF!&lt;=150,"Low Usage", IF(#REF!&lt;=200,"Medium Usage", IF(#REF!&lt;=250,"High Usage","Very High Usage")))</f>
        <v>#REF!</v>
      </c>
      <c r="AE92" t="e">
        <f>IF(#REF!&lt;=5,"Low Calls", IF(#REF!&lt;=10, "Medium Calls", "High Calls"))</f>
        <v>#REF!</v>
      </c>
      <c r="AF92" t="e">
        <f xml:space="preserve">
IF(#REF!&gt;=4,4,0)+
IF(#REF!="yes",3,0)+
IF(#REF!="High Charges",3,0)+
IF(#REF!&gt;250,4,0)+
IF(#REF!="no",1,0)+
IF(#REF!="Heavy Domestic User",2,0)</f>
        <v>#REF!</v>
      </c>
      <c r="AG92" t="e">
        <f>IF(#REF!&gt;=10,"High Risk", IF(#REF!&gt;=5,"Medium Risk","Low Risk"))</f>
        <v>#REF!</v>
      </c>
      <c r="AH92" t="e">
        <f>#REF! + #REF! + #REF! + #REF!</f>
        <v>#REF!</v>
      </c>
    </row>
    <row r="93" spans="1:34" x14ac:dyDescent="0.35">
      <c r="A93">
        <v>92</v>
      </c>
      <c r="B93" t="s">
        <v>55</v>
      </c>
      <c r="C93">
        <v>157</v>
      </c>
      <c r="D93" t="s">
        <v>25</v>
      </c>
      <c r="E93" t="s">
        <v>22</v>
      </c>
      <c r="F93" t="s">
        <v>22</v>
      </c>
      <c r="G93">
        <v>0</v>
      </c>
      <c r="H93">
        <v>229.8</v>
      </c>
      <c r="I93">
        <v>90</v>
      </c>
      <c r="J93">
        <v>39.07</v>
      </c>
      <c r="K93">
        <v>147.9</v>
      </c>
      <c r="L93">
        <v>121</v>
      </c>
      <c r="M93">
        <v>12.57</v>
      </c>
      <c r="N93">
        <v>241.4</v>
      </c>
      <c r="O93">
        <v>108</v>
      </c>
      <c r="P93">
        <v>10.86</v>
      </c>
      <c r="Q93">
        <v>9.6</v>
      </c>
      <c r="R93">
        <v>7</v>
      </c>
      <c r="S93">
        <v>2.59</v>
      </c>
      <c r="T93">
        <v>3</v>
      </c>
      <c r="U93" t="s">
        <v>22</v>
      </c>
      <c r="V93" t="e">
        <f>IF(#REF! = "yes", 1, 0)</f>
        <v>#REF!</v>
      </c>
      <c r="W93" t="e">
        <f>IF(#REF! &lt;= 1, "0-1 Calls", IF(#REF! &lt;= 3, "2-3 Calls", IF(#REF! &lt;=5, "4-5 Calls", "6+ Calls")))</f>
        <v>#REF!</v>
      </c>
      <c r="X93" t="e">
        <f>IF(#REF! &lt;= 50, "0-50", IF(#REF! &lt;=100, "51-100", IF(#REF! &lt;= 150, "101-150", "151+")))</f>
        <v>#REF!</v>
      </c>
      <c r="Y93" t="e">
        <f>IF(#REF! &lt;= 3, "Low Charges", "High Charges")</f>
        <v>#REF!</v>
      </c>
      <c r="Z93" t="e">
        <f>IF(#REF!&lt;=80,"Low Calls",
IF(#REF!&lt;=120,"Medium Calls","High Calls"))</f>
        <v>#REF!</v>
      </c>
      <c r="AA93" t="e">
        <f>IF(#REF!&lt;=15,"Low Charges",
IF(#REF!&lt;=20,"Medium Charges","High Charges"))</f>
        <v>#REF!</v>
      </c>
      <c r="AB93" t="e">
        <f>IF(AND(#REF!&gt;180, #REF!&gt;200), "Heavy Doemstic User", IF(#REF!&gt;10, "Interntional User", IF(AND(#REF!&lt;180, #REF!&lt;200,#REF!&lt;200), "Light User", "Balanced User")))</f>
        <v>#REF!</v>
      </c>
      <c r="AC93" t="e">
        <f>IF(#REF! = 0, "No Usage", IF(#REF! &lt;= 20, "Low Usage", IF(#REF! &lt;= 40, "Medium Usgae", "High Usage")))</f>
        <v>#REF!</v>
      </c>
      <c r="AD93" t="e">
        <f>IF(#REF!&lt;=150,"Low Usage", IF(#REF!&lt;=200,"Medium Usage", IF(#REF!&lt;=250,"High Usage","Very High Usage")))</f>
        <v>#REF!</v>
      </c>
      <c r="AE93" t="e">
        <f>IF(#REF!&lt;=5,"Low Calls", IF(#REF!&lt;=10, "Medium Calls", "High Calls"))</f>
        <v>#REF!</v>
      </c>
      <c r="AF93" t="e">
        <f xml:space="preserve">
IF(#REF!&gt;=4,4,0)+
IF(#REF!="yes",3,0)+
IF(#REF!="High Charges",3,0)+
IF(#REF!&gt;250,4,0)+
IF(#REF!="no",1,0)+
IF(#REF!="Heavy Domestic User",2,0)</f>
        <v>#REF!</v>
      </c>
      <c r="AG93" t="e">
        <f>IF(#REF!&gt;=10,"High Risk", IF(#REF!&gt;=5,"Medium Risk","Low Risk"))</f>
        <v>#REF!</v>
      </c>
      <c r="AH93" t="e">
        <f>#REF! + #REF! + #REF! + #REF!</f>
        <v>#REF!</v>
      </c>
    </row>
    <row r="94" spans="1:34" x14ac:dyDescent="0.35">
      <c r="A94">
        <v>93</v>
      </c>
      <c r="B94" t="s">
        <v>53</v>
      </c>
      <c r="C94">
        <v>120</v>
      </c>
      <c r="D94" t="s">
        <v>25</v>
      </c>
      <c r="E94" t="s">
        <v>22</v>
      </c>
      <c r="F94" t="s">
        <v>22</v>
      </c>
      <c r="G94">
        <v>0</v>
      </c>
      <c r="H94">
        <v>165</v>
      </c>
      <c r="I94">
        <v>100</v>
      </c>
      <c r="J94">
        <v>28.05</v>
      </c>
      <c r="K94">
        <v>317.2</v>
      </c>
      <c r="L94">
        <v>83</v>
      </c>
      <c r="M94">
        <v>26.96</v>
      </c>
      <c r="N94">
        <v>119.2</v>
      </c>
      <c r="O94">
        <v>86</v>
      </c>
      <c r="P94">
        <v>5.36</v>
      </c>
      <c r="Q94">
        <v>8.3000000000000007</v>
      </c>
      <c r="R94">
        <v>8</v>
      </c>
      <c r="S94">
        <v>2.2400000000000002</v>
      </c>
      <c r="T94">
        <v>1</v>
      </c>
      <c r="U94" t="s">
        <v>22</v>
      </c>
      <c r="V94" t="e">
        <f>IF(#REF! = "yes", 1, 0)</f>
        <v>#REF!</v>
      </c>
      <c r="W94" t="e">
        <f>IF(#REF! &lt;= 1, "0-1 Calls", IF(#REF! &lt;= 3, "2-3 Calls", IF(#REF! &lt;=5, "4-5 Calls", "6+ Calls")))</f>
        <v>#REF!</v>
      </c>
      <c r="X94" t="e">
        <f>IF(#REF! &lt;= 50, "0-50", IF(#REF! &lt;=100, "51-100", IF(#REF! &lt;= 150, "101-150", "151+")))</f>
        <v>#REF!</v>
      </c>
      <c r="Y94" t="e">
        <f>IF(#REF! &lt;= 3, "Low Charges", "High Charges")</f>
        <v>#REF!</v>
      </c>
      <c r="Z94" t="e">
        <f>IF(#REF!&lt;=80,"Low Calls",
IF(#REF!&lt;=120,"Medium Calls","High Calls"))</f>
        <v>#REF!</v>
      </c>
      <c r="AA94" t="e">
        <f>IF(#REF!&lt;=15,"Low Charges",
IF(#REF!&lt;=20,"Medium Charges","High Charges"))</f>
        <v>#REF!</v>
      </c>
      <c r="AB94" t="e">
        <f>IF(AND(#REF!&gt;180, #REF!&gt;200), "Heavy Doemstic User", IF(#REF!&gt;10, "Interntional User", IF(AND(#REF!&lt;180, #REF!&lt;200,#REF!&lt;200), "Light User", "Balanced User")))</f>
        <v>#REF!</v>
      </c>
      <c r="AC94" t="e">
        <f>IF(#REF! = 0, "No Usage", IF(#REF! &lt;= 20, "Low Usage", IF(#REF! &lt;= 40, "Medium Usgae", "High Usage")))</f>
        <v>#REF!</v>
      </c>
      <c r="AD94" t="e">
        <f>IF(#REF!&lt;=150,"Low Usage", IF(#REF!&lt;=200,"Medium Usage", IF(#REF!&lt;=250,"High Usage","Very High Usage")))</f>
        <v>#REF!</v>
      </c>
      <c r="AE94" t="e">
        <f>IF(#REF!&lt;=5,"Low Calls", IF(#REF!&lt;=10, "Medium Calls", "High Calls"))</f>
        <v>#REF!</v>
      </c>
      <c r="AF94" t="e">
        <f xml:space="preserve">
IF(#REF!&gt;=4,4,0)+
IF(#REF!="yes",3,0)+
IF(#REF!="High Charges",3,0)+
IF(#REF!&gt;250,4,0)+
IF(#REF!="no",1,0)+
IF(#REF!="Heavy Domestic User",2,0)</f>
        <v>#REF!</v>
      </c>
      <c r="AG94" t="e">
        <f>IF(#REF!&gt;=10,"High Risk", IF(#REF!&gt;=5,"Medium Risk","Low Risk"))</f>
        <v>#REF!</v>
      </c>
      <c r="AH94" t="e">
        <f>#REF! + #REF! + #REF! + #REF!</f>
        <v>#REF!</v>
      </c>
    </row>
    <row r="95" spans="1:34" x14ac:dyDescent="0.35">
      <c r="A95">
        <v>94</v>
      </c>
      <c r="B95" t="s">
        <v>68</v>
      </c>
      <c r="C95">
        <v>98</v>
      </c>
      <c r="D95" t="s">
        <v>25</v>
      </c>
      <c r="E95" t="s">
        <v>22</v>
      </c>
      <c r="F95" t="s">
        <v>22</v>
      </c>
      <c r="G95">
        <v>0</v>
      </c>
      <c r="H95">
        <v>161</v>
      </c>
      <c r="I95">
        <v>117</v>
      </c>
      <c r="J95">
        <v>27.37</v>
      </c>
      <c r="K95">
        <v>190.9</v>
      </c>
      <c r="L95">
        <v>113</v>
      </c>
      <c r="M95">
        <v>16.23</v>
      </c>
      <c r="N95">
        <v>227.7</v>
      </c>
      <c r="O95">
        <v>113</v>
      </c>
      <c r="P95">
        <v>10.25</v>
      </c>
      <c r="Q95">
        <v>12.1</v>
      </c>
      <c r="R95">
        <v>4</v>
      </c>
      <c r="S95">
        <v>3.27</v>
      </c>
      <c r="T95">
        <v>4</v>
      </c>
      <c r="U95" t="s">
        <v>22</v>
      </c>
      <c r="V95" t="e">
        <f>IF(#REF! = "yes", 1, 0)</f>
        <v>#REF!</v>
      </c>
      <c r="W95" t="e">
        <f>IF(#REF! &lt;= 1, "0-1 Calls", IF(#REF! &lt;= 3, "2-3 Calls", IF(#REF! &lt;=5, "4-5 Calls", "6+ Calls")))</f>
        <v>#REF!</v>
      </c>
      <c r="X95" t="e">
        <f>IF(#REF! &lt;= 50, "0-50", IF(#REF! &lt;=100, "51-100", IF(#REF! &lt;= 150, "101-150", "151+")))</f>
        <v>#REF!</v>
      </c>
      <c r="Y95" t="e">
        <f>IF(#REF! &lt;= 3, "Low Charges", "High Charges")</f>
        <v>#REF!</v>
      </c>
      <c r="Z95" t="e">
        <f>IF(#REF!&lt;=80,"Low Calls",
IF(#REF!&lt;=120,"Medium Calls","High Calls"))</f>
        <v>#REF!</v>
      </c>
      <c r="AA95" t="e">
        <f>IF(#REF!&lt;=15,"Low Charges",
IF(#REF!&lt;=20,"Medium Charges","High Charges"))</f>
        <v>#REF!</v>
      </c>
      <c r="AB95" t="e">
        <f>IF(AND(#REF!&gt;180, #REF!&gt;200), "Heavy Doemstic User", IF(#REF!&gt;10, "Interntional User", IF(AND(#REF!&lt;180, #REF!&lt;200,#REF!&lt;200), "Light User", "Balanced User")))</f>
        <v>#REF!</v>
      </c>
      <c r="AC95" t="e">
        <f>IF(#REF! = 0, "No Usage", IF(#REF! &lt;= 20, "Low Usage", IF(#REF! &lt;= 40, "Medium Usgae", "High Usage")))</f>
        <v>#REF!</v>
      </c>
      <c r="AD95" t="e">
        <f>IF(#REF!&lt;=150,"Low Usage", IF(#REF!&lt;=200,"Medium Usage", IF(#REF!&lt;=250,"High Usage","Very High Usage")))</f>
        <v>#REF!</v>
      </c>
      <c r="AE95" t="e">
        <f>IF(#REF!&lt;=5,"Low Calls", IF(#REF!&lt;=10, "Medium Calls", "High Calls"))</f>
        <v>#REF!</v>
      </c>
      <c r="AF95" t="e">
        <f xml:space="preserve">
IF(#REF!&gt;=4,4,0)+
IF(#REF!="yes",3,0)+
IF(#REF!="High Charges",3,0)+
IF(#REF!&gt;250,4,0)+
IF(#REF!="no",1,0)+
IF(#REF!="Heavy Domestic User",2,0)</f>
        <v>#REF!</v>
      </c>
      <c r="AG95" t="e">
        <f>IF(#REF!&gt;=10,"High Risk", IF(#REF!&gt;=5,"Medium Risk","Low Risk"))</f>
        <v>#REF!</v>
      </c>
      <c r="AH95" t="e">
        <f>#REF! + #REF! + #REF! + #REF!</f>
        <v>#REF!</v>
      </c>
    </row>
    <row r="96" spans="1:34" x14ac:dyDescent="0.35">
      <c r="A96">
        <v>95</v>
      </c>
      <c r="B96" t="s">
        <v>54</v>
      </c>
      <c r="C96">
        <v>125</v>
      </c>
      <c r="D96" t="s">
        <v>25</v>
      </c>
      <c r="E96" t="s">
        <v>22</v>
      </c>
      <c r="F96" t="s">
        <v>22</v>
      </c>
      <c r="G96">
        <v>0</v>
      </c>
      <c r="H96">
        <v>126.7</v>
      </c>
      <c r="I96">
        <v>108</v>
      </c>
      <c r="J96">
        <v>21.54</v>
      </c>
      <c r="K96">
        <v>206</v>
      </c>
      <c r="L96">
        <v>90</v>
      </c>
      <c r="M96">
        <v>17.510000000000002</v>
      </c>
      <c r="N96">
        <v>247.8</v>
      </c>
      <c r="O96">
        <v>114</v>
      </c>
      <c r="P96">
        <v>11.15</v>
      </c>
      <c r="Q96">
        <v>13.3</v>
      </c>
      <c r="R96">
        <v>7</v>
      </c>
      <c r="S96">
        <v>3.59</v>
      </c>
      <c r="T96">
        <v>1</v>
      </c>
      <c r="U96" t="s">
        <v>22</v>
      </c>
      <c r="V96" t="e">
        <f>IF(#REF! = "yes", 1, 0)</f>
        <v>#REF!</v>
      </c>
      <c r="W96" t="e">
        <f>IF(#REF! &lt;= 1, "0-1 Calls", IF(#REF! &lt;= 3, "2-3 Calls", IF(#REF! &lt;=5, "4-5 Calls", "6+ Calls")))</f>
        <v>#REF!</v>
      </c>
      <c r="X96" t="e">
        <f>IF(#REF! &lt;= 50, "0-50", IF(#REF! &lt;=100, "51-100", IF(#REF! &lt;= 150, "101-150", "151+")))</f>
        <v>#REF!</v>
      </c>
      <c r="Y96" t="e">
        <f>IF(#REF! &lt;= 3, "Low Charges", "High Charges")</f>
        <v>#REF!</v>
      </c>
      <c r="Z96" t="e">
        <f>IF(#REF!&lt;=80,"Low Calls",
IF(#REF!&lt;=120,"Medium Calls","High Calls"))</f>
        <v>#REF!</v>
      </c>
      <c r="AA96" t="e">
        <f>IF(#REF!&lt;=15,"Low Charges",
IF(#REF!&lt;=20,"Medium Charges","High Charges"))</f>
        <v>#REF!</v>
      </c>
      <c r="AB96" t="e">
        <f>IF(AND(#REF!&gt;180, #REF!&gt;200), "Heavy Doemstic User", IF(#REF!&gt;10, "Interntional User", IF(AND(#REF!&lt;180, #REF!&lt;200,#REF!&lt;200), "Light User", "Balanced User")))</f>
        <v>#REF!</v>
      </c>
      <c r="AC96" t="e">
        <f>IF(#REF! = 0, "No Usage", IF(#REF! &lt;= 20, "Low Usage", IF(#REF! &lt;= 40, "Medium Usgae", "High Usage")))</f>
        <v>#REF!</v>
      </c>
      <c r="AD96" t="e">
        <f>IF(#REF!&lt;=150,"Low Usage", IF(#REF!&lt;=200,"Medium Usage", IF(#REF!&lt;=250,"High Usage","Very High Usage")))</f>
        <v>#REF!</v>
      </c>
      <c r="AE96" t="e">
        <f>IF(#REF!&lt;=5,"Low Calls", IF(#REF!&lt;=10, "Medium Calls", "High Calls"))</f>
        <v>#REF!</v>
      </c>
      <c r="AF96" t="e">
        <f xml:space="preserve">
IF(#REF!&gt;=4,4,0)+
IF(#REF!="yes",3,0)+
IF(#REF!="High Charges",3,0)+
IF(#REF!&gt;250,4,0)+
IF(#REF!="no",1,0)+
IF(#REF!="Heavy Domestic User",2,0)</f>
        <v>#REF!</v>
      </c>
      <c r="AG96" t="e">
        <f>IF(#REF!&gt;=10,"High Risk", IF(#REF!&gt;=5,"Medium Risk","Low Risk"))</f>
        <v>#REF!</v>
      </c>
      <c r="AH96" t="e">
        <f>#REF! + #REF! + #REF! + #REF!</f>
        <v>#REF!</v>
      </c>
    </row>
    <row r="97" spans="1:34" x14ac:dyDescent="0.35">
      <c r="A97">
        <v>96</v>
      </c>
      <c r="B97" t="s">
        <v>42</v>
      </c>
      <c r="C97">
        <v>63</v>
      </c>
      <c r="D97" t="s">
        <v>21</v>
      </c>
      <c r="E97" t="s">
        <v>22</v>
      </c>
      <c r="F97" t="s">
        <v>22</v>
      </c>
      <c r="G97">
        <v>0</v>
      </c>
      <c r="H97">
        <v>58.9</v>
      </c>
      <c r="I97">
        <v>125</v>
      </c>
      <c r="J97">
        <v>10.01</v>
      </c>
      <c r="K97">
        <v>169.6</v>
      </c>
      <c r="L97">
        <v>59</v>
      </c>
      <c r="M97">
        <v>14.42</v>
      </c>
      <c r="N97">
        <v>211.4</v>
      </c>
      <c r="O97">
        <v>88</v>
      </c>
      <c r="P97">
        <v>9.51</v>
      </c>
      <c r="Q97">
        <v>9.4</v>
      </c>
      <c r="R97">
        <v>3</v>
      </c>
      <c r="S97">
        <v>2.54</v>
      </c>
      <c r="T97">
        <v>1</v>
      </c>
      <c r="U97" t="s">
        <v>22</v>
      </c>
      <c r="V97" t="e">
        <f>IF(#REF! = "yes", 1, 0)</f>
        <v>#REF!</v>
      </c>
      <c r="W97" t="e">
        <f>IF(#REF! &lt;= 1, "0-1 Calls", IF(#REF! &lt;= 3, "2-3 Calls", IF(#REF! &lt;=5, "4-5 Calls", "6+ Calls")))</f>
        <v>#REF!</v>
      </c>
      <c r="X97" t="e">
        <f>IF(#REF! &lt;= 50, "0-50", IF(#REF! &lt;=100, "51-100", IF(#REF! &lt;= 150, "101-150", "151+")))</f>
        <v>#REF!</v>
      </c>
      <c r="Y97" t="e">
        <f>IF(#REF! &lt;= 3, "Low Charges", "High Charges")</f>
        <v>#REF!</v>
      </c>
      <c r="Z97" t="e">
        <f>IF(#REF!&lt;=80,"Low Calls",
IF(#REF!&lt;=120,"Medium Calls","High Calls"))</f>
        <v>#REF!</v>
      </c>
      <c r="AA97" t="e">
        <f>IF(#REF!&lt;=15,"Low Charges",
IF(#REF!&lt;=20,"Medium Charges","High Charges"))</f>
        <v>#REF!</v>
      </c>
      <c r="AB97" t="e">
        <f>IF(AND(#REF!&gt;180, #REF!&gt;200), "Heavy Doemstic User", IF(#REF!&gt;10, "Interntional User", IF(AND(#REF!&lt;180, #REF!&lt;200,#REF!&lt;200), "Light User", "Balanced User")))</f>
        <v>#REF!</v>
      </c>
      <c r="AC97" t="e">
        <f>IF(#REF! = 0, "No Usage", IF(#REF! &lt;= 20, "Low Usage", IF(#REF! &lt;= 40, "Medium Usgae", "High Usage")))</f>
        <v>#REF!</v>
      </c>
      <c r="AD97" t="e">
        <f>IF(#REF!&lt;=150,"Low Usage", IF(#REF!&lt;=200,"Medium Usage", IF(#REF!&lt;=250,"High Usage","Very High Usage")))</f>
        <v>#REF!</v>
      </c>
      <c r="AE97" t="e">
        <f>IF(#REF!&lt;=5,"Low Calls", IF(#REF!&lt;=10, "Medium Calls", "High Calls"))</f>
        <v>#REF!</v>
      </c>
      <c r="AF97" t="e">
        <f xml:space="preserve">
IF(#REF!&gt;=4,4,0)+
IF(#REF!="yes",3,0)+
IF(#REF!="High Charges",3,0)+
IF(#REF!&gt;250,4,0)+
IF(#REF!="no",1,0)+
IF(#REF!="Heavy Domestic User",2,0)</f>
        <v>#REF!</v>
      </c>
      <c r="AG97" t="e">
        <f>IF(#REF!&gt;=10,"High Risk", IF(#REF!&gt;=5,"Medium Risk","Low Risk"))</f>
        <v>#REF!</v>
      </c>
      <c r="AH97" t="e">
        <f>#REF! + #REF! + #REF! + #REF!</f>
        <v>#REF!</v>
      </c>
    </row>
    <row r="98" spans="1:34" x14ac:dyDescent="0.35">
      <c r="A98">
        <v>97</v>
      </c>
      <c r="B98" t="s">
        <v>66</v>
      </c>
      <c r="C98">
        <v>36</v>
      </c>
      <c r="D98" t="s">
        <v>28</v>
      </c>
      <c r="E98" t="s">
        <v>23</v>
      </c>
      <c r="F98" t="s">
        <v>23</v>
      </c>
      <c r="G98">
        <v>42</v>
      </c>
      <c r="H98">
        <v>196.8</v>
      </c>
      <c r="I98">
        <v>89</v>
      </c>
      <c r="J98">
        <v>33.46</v>
      </c>
      <c r="K98">
        <v>254.9</v>
      </c>
      <c r="L98">
        <v>122</v>
      </c>
      <c r="M98">
        <v>21.67</v>
      </c>
      <c r="N98">
        <v>138.30000000000001</v>
      </c>
      <c r="O98">
        <v>126</v>
      </c>
      <c r="P98">
        <v>6.22</v>
      </c>
      <c r="Q98">
        <v>20</v>
      </c>
      <c r="R98">
        <v>6</v>
      </c>
      <c r="S98">
        <v>5.4</v>
      </c>
      <c r="T98">
        <v>0</v>
      </c>
      <c r="U98" t="s">
        <v>23</v>
      </c>
      <c r="V98" t="e">
        <f>IF(#REF! = "yes", 1, 0)</f>
        <v>#REF!</v>
      </c>
      <c r="W98" t="e">
        <f>IF(#REF! &lt;= 1, "0-1 Calls", IF(#REF! &lt;= 3, "2-3 Calls", IF(#REF! &lt;=5, "4-5 Calls", "6+ Calls")))</f>
        <v>#REF!</v>
      </c>
      <c r="X98" t="e">
        <f>IF(#REF! &lt;= 50, "0-50", IF(#REF! &lt;=100, "51-100", IF(#REF! &lt;= 150, "101-150", "151+")))</f>
        <v>#REF!</v>
      </c>
      <c r="Y98" t="e">
        <f>IF(#REF! &lt;= 3, "Low Charges", "High Charges")</f>
        <v>#REF!</v>
      </c>
      <c r="Z98" t="e">
        <f>IF(#REF!&lt;=80,"Low Calls",
IF(#REF!&lt;=120,"Medium Calls","High Calls"))</f>
        <v>#REF!</v>
      </c>
      <c r="AA98" t="e">
        <f>IF(#REF!&lt;=15,"Low Charges",
IF(#REF!&lt;=20,"Medium Charges","High Charges"))</f>
        <v>#REF!</v>
      </c>
      <c r="AB98" t="e">
        <f>IF(AND(#REF!&gt;180, #REF!&gt;200), "Heavy Doemstic User", IF(#REF!&gt;10, "Interntional User", IF(AND(#REF!&lt;180, #REF!&lt;200,#REF!&lt;200), "Light User", "Balanced User")))</f>
        <v>#REF!</v>
      </c>
      <c r="AC98" t="e">
        <f>IF(#REF! = 0, "No Usage", IF(#REF! &lt;= 20, "Low Usage", IF(#REF! &lt;= 40, "Medium Usgae", "High Usage")))</f>
        <v>#REF!</v>
      </c>
      <c r="AD98" t="e">
        <f>IF(#REF!&lt;=150,"Low Usage", IF(#REF!&lt;=200,"Medium Usage", IF(#REF!&lt;=250,"High Usage","Very High Usage")))</f>
        <v>#REF!</v>
      </c>
      <c r="AE98" t="e">
        <f>IF(#REF!&lt;=5,"Low Calls", IF(#REF!&lt;=10, "Medium Calls", "High Calls"))</f>
        <v>#REF!</v>
      </c>
      <c r="AF98" t="e">
        <f xml:space="preserve">
IF(#REF!&gt;=4,4,0)+
IF(#REF!="yes",3,0)+
IF(#REF!="High Charges",3,0)+
IF(#REF!&gt;250,4,0)+
IF(#REF!="no",1,0)+
IF(#REF!="Heavy Domestic User",2,0)</f>
        <v>#REF!</v>
      </c>
      <c r="AG98" t="e">
        <f>IF(#REF!&gt;=10,"High Risk", IF(#REF!&gt;=5,"Medium Risk","Low Risk"))</f>
        <v>#REF!</v>
      </c>
      <c r="AH98" t="e">
        <f>#REF! + #REF! + #REF! + #REF!</f>
        <v>#REF!</v>
      </c>
    </row>
    <row r="99" spans="1:34" x14ac:dyDescent="0.35">
      <c r="A99">
        <v>98</v>
      </c>
      <c r="B99" t="s">
        <v>24</v>
      </c>
      <c r="C99">
        <v>64</v>
      </c>
      <c r="D99" t="s">
        <v>28</v>
      </c>
      <c r="E99" t="s">
        <v>22</v>
      </c>
      <c r="F99" t="s">
        <v>22</v>
      </c>
      <c r="G99">
        <v>0</v>
      </c>
      <c r="H99">
        <v>162.6</v>
      </c>
      <c r="I99">
        <v>83</v>
      </c>
      <c r="J99">
        <v>27.64</v>
      </c>
      <c r="K99">
        <v>152.30000000000001</v>
      </c>
      <c r="L99">
        <v>109</v>
      </c>
      <c r="M99">
        <v>12.95</v>
      </c>
      <c r="N99">
        <v>57.5</v>
      </c>
      <c r="O99">
        <v>122</v>
      </c>
      <c r="P99">
        <v>2.59</v>
      </c>
      <c r="Q99">
        <v>14.2</v>
      </c>
      <c r="R99">
        <v>3</v>
      </c>
      <c r="S99">
        <v>3.83</v>
      </c>
      <c r="T99">
        <v>1</v>
      </c>
      <c r="U99" t="s">
        <v>22</v>
      </c>
      <c r="V99" t="e">
        <f>IF(#REF! = "yes", 1, 0)</f>
        <v>#REF!</v>
      </c>
      <c r="W99" t="e">
        <f>IF(#REF! &lt;= 1, "0-1 Calls", IF(#REF! &lt;= 3, "2-3 Calls", IF(#REF! &lt;=5, "4-5 Calls", "6+ Calls")))</f>
        <v>#REF!</v>
      </c>
      <c r="X99" t="e">
        <f>IF(#REF! &lt;= 50, "0-50", IF(#REF! &lt;=100, "51-100", IF(#REF! &lt;= 150, "101-150", "151+")))</f>
        <v>#REF!</v>
      </c>
      <c r="Y99" t="e">
        <f>IF(#REF! &lt;= 3, "Low Charges", "High Charges")</f>
        <v>#REF!</v>
      </c>
      <c r="Z99" t="e">
        <f>IF(#REF!&lt;=80,"Low Calls",
IF(#REF!&lt;=120,"Medium Calls","High Calls"))</f>
        <v>#REF!</v>
      </c>
      <c r="AA99" t="e">
        <f>IF(#REF!&lt;=15,"Low Charges",
IF(#REF!&lt;=20,"Medium Charges","High Charges"))</f>
        <v>#REF!</v>
      </c>
      <c r="AB99" t="e">
        <f>IF(AND(#REF!&gt;180, #REF!&gt;200), "Heavy Doemstic User", IF(#REF!&gt;10, "Interntional User", IF(AND(#REF!&lt;180, #REF!&lt;200,#REF!&lt;200), "Light User", "Balanced User")))</f>
        <v>#REF!</v>
      </c>
      <c r="AC99" t="e">
        <f>IF(#REF! = 0, "No Usage", IF(#REF! &lt;= 20, "Low Usage", IF(#REF! &lt;= 40, "Medium Usgae", "High Usage")))</f>
        <v>#REF!</v>
      </c>
      <c r="AD99" t="e">
        <f>IF(#REF!&lt;=150,"Low Usage", IF(#REF!&lt;=200,"Medium Usage", IF(#REF!&lt;=250,"High Usage","Very High Usage")))</f>
        <v>#REF!</v>
      </c>
      <c r="AE99" t="e">
        <f>IF(#REF!&lt;=5,"Low Calls", IF(#REF!&lt;=10, "Medium Calls", "High Calls"))</f>
        <v>#REF!</v>
      </c>
      <c r="AF99" t="e">
        <f xml:space="preserve">
IF(#REF!&gt;=4,4,0)+
IF(#REF!="yes",3,0)+
IF(#REF!="High Charges",3,0)+
IF(#REF!&gt;250,4,0)+
IF(#REF!="no",1,0)+
IF(#REF!="Heavy Domestic User",2,0)</f>
        <v>#REF!</v>
      </c>
      <c r="AG99" t="e">
        <f>IF(#REF!&gt;=10,"High Risk", IF(#REF!&gt;=5,"Medium Risk","Low Risk"))</f>
        <v>#REF!</v>
      </c>
      <c r="AH99" t="e">
        <f>#REF! + #REF! + #REF! + #REF!</f>
        <v>#REF!</v>
      </c>
    </row>
    <row r="100" spans="1:34" x14ac:dyDescent="0.35">
      <c r="A100">
        <v>99</v>
      </c>
      <c r="B100" t="s">
        <v>62</v>
      </c>
      <c r="C100">
        <v>74</v>
      </c>
      <c r="D100" t="s">
        <v>21</v>
      </c>
      <c r="E100" t="s">
        <v>22</v>
      </c>
      <c r="F100" t="s">
        <v>22</v>
      </c>
      <c r="G100">
        <v>0</v>
      </c>
      <c r="H100">
        <v>282.5</v>
      </c>
      <c r="I100">
        <v>114</v>
      </c>
      <c r="J100">
        <v>48.03</v>
      </c>
      <c r="K100">
        <v>219.9</v>
      </c>
      <c r="L100">
        <v>48</v>
      </c>
      <c r="M100">
        <v>18.690000000000001</v>
      </c>
      <c r="N100">
        <v>170</v>
      </c>
      <c r="O100">
        <v>115</v>
      </c>
      <c r="P100">
        <v>7.65</v>
      </c>
      <c r="Q100">
        <v>9.4</v>
      </c>
      <c r="R100">
        <v>4</v>
      </c>
      <c r="S100">
        <v>2.54</v>
      </c>
      <c r="T100">
        <v>1</v>
      </c>
      <c r="U100" t="s">
        <v>23</v>
      </c>
      <c r="V100" t="e">
        <f>IF(#REF! = "yes", 1, 0)</f>
        <v>#REF!</v>
      </c>
      <c r="W100" t="e">
        <f>IF(#REF! &lt;= 1, "0-1 Calls", IF(#REF! &lt;= 3, "2-3 Calls", IF(#REF! &lt;=5, "4-5 Calls", "6+ Calls")))</f>
        <v>#REF!</v>
      </c>
      <c r="X100" t="e">
        <f>IF(#REF! &lt;= 50, "0-50", IF(#REF! &lt;=100, "51-100", IF(#REF! &lt;= 150, "101-150", "151+")))</f>
        <v>#REF!</v>
      </c>
      <c r="Y100" t="e">
        <f>IF(#REF! &lt;= 3, "Low Charges", "High Charges")</f>
        <v>#REF!</v>
      </c>
      <c r="Z100" t="e">
        <f>IF(#REF!&lt;=80,"Low Calls",
IF(#REF!&lt;=120,"Medium Calls","High Calls"))</f>
        <v>#REF!</v>
      </c>
      <c r="AA100" t="e">
        <f>IF(#REF!&lt;=15,"Low Charges",
IF(#REF!&lt;=20,"Medium Charges","High Charges"))</f>
        <v>#REF!</v>
      </c>
      <c r="AB100" t="e">
        <f>IF(AND(#REF!&gt;180, #REF!&gt;200), "Heavy Doemstic User", IF(#REF!&gt;10, "Interntional User", IF(AND(#REF!&lt;180, #REF!&lt;200,#REF!&lt;200), "Light User", "Balanced User")))</f>
        <v>#REF!</v>
      </c>
      <c r="AC100" t="e">
        <f>IF(#REF! = 0, "No Usage", IF(#REF! &lt;= 20, "Low Usage", IF(#REF! &lt;= 40, "Medium Usgae", "High Usage")))</f>
        <v>#REF!</v>
      </c>
      <c r="AD100" t="e">
        <f>IF(#REF!&lt;=150,"Low Usage", IF(#REF!&lt;=200,"Medium Usage", IF(#REF!&lt;=250,"High Usage","Very High Usage")))</f>
        <v>#REF!</v>
      </c>
      <c r="AE100" t="e">
        <f>IF(#REF!&lt;=5,"Low Calls", IF(#REF!&lt;=10, "Medium Calls", "High Calls"))</f>
        <v>#REF!</v>
      </c>
      <c r="AF100" t="e">
        <f xml:space="preserve">
IF(#REF!&gt;=4,4,0)+
IF(#REF!="yes",3,0)+
IF(#REF!="High Charges",3,0)+
IF(#REF!&gt;250,4,0)+
IF(#REF!="no",1,0)+
IF(#REF!="Heavy Domestic User",2,0)</f>
        <v>#REF!</v>
      </c>
      <c r="AG100" t="e">
        <f>IF(#REF!&gt;=10,"High Risk", IF(#REF!&gt;=5,"Medium Risk","Low Risk"))</f>
        <v>#REF!</v>
      </c>
      <c r="AH100" t="e">
        <f>#REF! + #REF! + #REF! + #REF!</f>
        <v>#REF!</v>
      </c>
    </row>
    <row r="101" spans="1:34" x14ac:dyDescent="0.35">
      <c r="A101">
        <v>100</v>
      </c>
      <c r="B101" t="s">
        <v>69</v>
      </c>
      <c r="C101">
        <v>46</v>
      </c>
      <c r="D101" t="s">
        <v>25</v>
      </c>
      <c r="E101" t="s">
        <v>22</v>
      </c>
      <c r="F101" t="s">
        <v>22</v>
      </c>
      <c r="G101">
        <v>0</v>
      </c>
      <c r="H101">
        <v>210.2</v>
      </c>
      <c r="I101">
        <v>92</v>
      </c>
      <c r="J101">
        <v>35.729999999999997</v>
      </c>
      <c r="K101">
        <v>227.3</v>
      </c>
      <c r="L101">
        <v>77</v>
      </c>
      <c r="M101">
        <v>19.32</v>
      </c>
      <c r="N101">
        <v>200.1</v>
      </c>
      <c r="O101">
        <v>116</v>
      </c>
      <c r="P101">
        <v>9</v>
      </c>
      <c r="Q101">
        <v>13.1</v>
      </c>
      <c r="R101">
        <v>7</v>
      </c>
      <c r="S101">
        <v>3.54</v>
      </c>
      <c r="T101">
        <v>1</v>
      </c>
      <c r="U101" t="s">
        <v>22</v>
      </c>
      <c r="V101" t="e">
        <f>IF(#REF! = "yes", 1, 0)</f>
        <v>#REF!</v>
      </c>
      <c r="W101" t="e">
        <f>IF(#REF! &lt;= 1, "0-1 Calls", IF(#REF! &lt;= 3, "2-3 Calls", IF(#REF! &lt;=5, "4-5 Calls", "6+ Calls")))</f>
        <v>#REF!</v>
      </c>
      <c r="X101" t="e">
        <f>IF(#REF! &lt;= 50, "0-50", IF(#REF! &lt;=100, "51-100", IF(#REF! &lt;= 150, "101-150", "151+")))</f>
        <v>#REF!</v>
      </c>
      <c r="Y101" t="e">
        <f>IF(#REF! &lt;= 3, "Low Charges", "High Charges")</f>
        <v>#REF!</v>
      </c>
      <c r="Z101" t="e">
        <f>IF(#REF!&lt;=80,"Low Calls",
IF(#REF!&lt;=120,"Medium Calls","High Calls"))</f>
        <v>#REF!</v>
      </c>
      <c r="AA101" t="e">
        <f>IF(#REF!&lt;=15,"Low Charges",
IF(#REF!&lt;=20,"Medium Charges","High Charges"))</f>
        <v>#REF!</v>
      </c>
      <c r="AB101" t="e">
        <f>IF(AND(#REF!&gt;180, #REF!&gt;200), "Heavy Doemstic User", IF(#REF!&gt;10, "Interntional User", IF(AND(#REF!&lt;180, #REF!&lt;200,#REF!&lt;200), "Light User", "Balanced User")))</f>
        <v>#REF!</v>
      </c>
      <c r="AC101" t="e">
        <f>IF(#REF! = 0, "No Usage", IF(#REF! &lt;= 20, "Low Usage", IF(#REF! &lt;= 40, "Medium Usgae", "High Usage")))</f>
        <v>#REF!</v>
      </c>
      <c r="AD101" t="e">
        <f>IF(#REF!&lt;=150,"Low Usage", IF(#REF!&lt;=200,"Medium Usage", IF(#REF!&lt;=250,"High Usage","Very High Usage")))</f>
        <v>#REF!</v>
      </c>
      <c r="AE101" t="e">
        <f>IF(#REF!&lt;=5,"Low Calls", IF(#REF!&lt;=10, "Medium Calls", "High Calls"))</f>
        <v>#REF!</v>
      </c>
      <c r="AF101" t="e">
        <f xml:space="preserve">
IF(#REF!&gt;=4,4,0)+
IF(#REF!="yes",3,0)+
IF(#REF!="High Charges",3,0)+
IF(#REF!&gt;250,4,0)+
IF(#REF!="no",1,0)+
IF(#REF!="Heavy Domestic User",2,0)</f>
        <v>#REF!</v>
      </c>
      <c r="AG101" t="e">
        <f>IF(#REF!&gt;=10,"High Risk", IF(#REF!&gt;=5,"Medium Risk","Low Risk"))</f>
        <v>#REF!</v>
      </c>
      <c r="AH101" t="e">
        <f>#REF! + #REF! + #REF! + #REF!</f>
        <v>#REF!</v>
      </c>
    </row>
    <row r="102" spans="1:34" x14ac:dyDescent="0.35">
      <c r="A102">
        <v>101</v>
      </c>
      <c r="B102" t="s">
        <v>39</v>
      </c>
      <c r="C102">
        <v>41</v>
      </c>
      <c r="D102" t="s">
        <v>25</v>
      </c>
      <c r="E102" t="s">
        <v>22</v>
      </c>
      <c r="F102" t="s">
        <v>23</v>
      </c>
      <c r="G102">
        <v>22</v>
      </c>
      <c r="H102">
        <v>213.8</v>
      </c>
      <c r="I102">
        <v>102</v>
      </c>
      <c r="J102">
        <v>36.35</v>
      </c>
      <c r="K102">
        <v>141.80000000000001</v>
      </c>
      <c r="L102">
        <v>86</v>
      </c>
      <c r="M102">
        <v>12.05</v>
      </c>
      <c r="N102">
        <v>142.19999999999999</v>
      </c>
      <c r="O102">
        <v>123</v>
      </c>
      <c r="P102">
        <v>6.4</v>
      </c>
      <c r="Q102">
        <v>7.2</v>
      </c>
      <c r="R102">
        <v>3</v>
      </c>
      <c r="S102">
        <v>1.94</v>
      </c>
      <c r="T102">
        <v>0</v>
      </c>
      <c r="U102" t="s">
        <v>22</v>
      </c>
      <c r="V102" t="e">
        <f>IF(#REF! = "yes", 1, 0)</f>
        <v>#REF!</v>
      </c>
      <c r="W102" t="e">
        <f>IF(#REF! &lt;= 1, "0-1 Calls", IF(#REF! &lt;= 3, "2-3 Calls", IF(#REF! &lt;=5, "4-5 Calls", "6+ Calls")))</f>
        <v>#REF!</v>
      </c>
      <c r="X102" t="e">
        <f>IF(#REF! &lt;= 50, "0-50", IF(#REF! &lt;=100, "51-100", IF(#REF! &lt;= 150, "101-150", "151+")))</f>
        <v>#REF!</v>
      </c>
      <c r="Y102" t="e">
        <f>IF(#REF! &lt;= 3, "Low Charges", "High Charges")</f>
        <v>#REF!</v>
      </c>
      <c r="Z102" t="e">
        <f>IF(#REF!&lt;=80,"Low Calls",
IF(#REF!&lt;=120,"Medium Calls","High Calls"))</f>
        <v>#REF!</v>
      </c>
      <c r="AA102" t="e">
        <f>IF(#REF!&lt;=15,"Low Charges",
IF(#REF!&lt;=20,"Medium Charges","High Charges"))</f>
        <v>#REF!</v>
      </c>
      <c r="AB102" t="e">
        <f>IF(AND(#REF!&gt;180, #REF!&gt;200), "Heavy Doemstic User", IF(#REF!&gt;10, "Interntional User", IF(AND(#REF!&lt;180, #REF!&lt;200,#REF!&lt;200), "Light User", "Balanced User")))</f>
        <v>#REF!</v>
      </c>
      <c r="AC102" t="e">
        <f>IF(#REF! = 0, "No Usage", IF(#REF! &lt;= 20, "Low Usage", IF(#REF! &lt;= 40, "Medium Usgae", "High Usage")))</f>
        <v>#REF!</v>
      </c>
      <c r="AD102" t="e">
        <f>IF(#REF!&lt;=150,"Low Usage", IF(#REF!&lt;=200,"Medium Usage", IF(#REF!&lt;=250,"High Usage","Very High Usage")))</f>
        <v>#REF!</v>
      </c>
      <c r="AE102" t="e">
        <f>IF(#REF!&lt;=5,"Low Calls", IF(#REF!&lt;=10, "Medium Calls", "High Calls"))</f>
        <v>#REF!</v>
      </c>
      <c r="AF102" t="e">
        <f xml:space="preserve">
IF(#REF!&gt;=4,4,0)+
IF(#REF!="yes",3,0)+
IF(#REF!="High Charges",3,0)+
IF(#REF!&gt;250,4,0)+
IF(#REF!="no",1,0)+
IF(#REF!="Heavy Domestic User",2,0)</f>
        <v>#REF!</v>
      </c>
      <c r="AG102" t="e">
        <f>IF(#REF!&gt;=10,"High Risk", IF(#REF!&gt;=5,"Medium Risk","Low Risk"))</f>
        <v>#REF!</v>
      </c>
      <c r="AH102" t="e">
        <f>#REF! + #REF! + #REF! + #REF!</f>
        <v>#REF!</v>
      </c>
    </row>
    <row r="103" spans="1:34" x14ac:dyDescent="0.35">
      <c r="A103">
        <v>102</v>
      </c>
      <c r="B103" t="s">
        <v>49</v>
      </c>
      <c r="C103">
        <v>121</v>
      </c>
      <c r="D103" t="s">
        <v>28</v>
      </c>
      <c r="E103" t="s">
        <v>22</v>
      </c>
      <c r="F103" t="s">
        <v>22</v>
      </c>
      <c r="G103">
        <v>0</v>
      </c>
      <c r="H103">
        <v>190.7</v>
      </c>
      <c r="I103">
        <v>103</v>
      </c>
      <c r="J103">
        <v>32.42</v>
      </c>
      <c r="K103">
        <v>183.5</v>
      </c>
      <c r="L103">
        <v>117</v>
      </c>
      <c r="M103">
        <v>15.6</v>
      </c>
      <c r="N103">
        <v>220.8</v>
      </c>
      <c r="O103">
        <v>103</v>
      </c>
      <c r="P103">
        <v>9.94</v>
      </c>
      <c r="Q103">
        <v>9.8000000000000007</v>
      </c>
      <c r="R103">
        <v>4</v>
      </c>
      <c r="S103">
        <v>2.65</v>
      </c>
      <c r="T103">
        <v>3</v>
      </c>
      <c r="U103" t="s">
        <v>22</v>
      </c>
      <c r="V103" t="e">
        <f>IF(#REF! = "yes", 1, 0)</f>
        <v>#REF!</v>
      </c>
      <c r="W103" t="e">
        <f>IF(#REF! &lt;= 1, "0-1 Calls", IF(#REF! &lt;= 3, "2-3 Calls", IF(#REF! &lt;=5, "4-5 Calls", "6+ Calls")))</f>
        <v>#REF!</v>
      </c>
      <c r="X103" t="e">
        <f>IF(#REF! &lt;= 50, "0-50", IF(#REF! &lt;=100, "51-100", IF(#REF! &lt;= 150, "101-150", "151+")))</f>
        <v>#REF!</v>
      </c>
      <c r="Y103" t="e">
        <f>IF(#REF! &lt;= 3, "Low Charges", "High Charges")</f>
        <v>#REF!</v>
      </c>
      <c r="Z103" t="e">
        <f>IF(#REF!&lt;=80,"Low Calls",
IF(#REF!&lt;=120,"Medium Calls","High Calls"))</f>
        <v>#REF!</v>
      </c>
      <c r="AA103" t="e">
        <f>IF(#REF!&lt;=15,"Low Charges",
IF(#REF!&lt;=20,"Medium Charges","High Charges"))</f>
        <v>#REF!</v>
      </c>
      <c r="AB103" t="e">
        <f>IF(AND(#REF!&gt;180, #REF!&gt;200), "Heavy Doemstic User", IF(#REF!&gt;10, "Interntional User", IF(AND(#REF!&lt;180, #REF!&lt;200,#REF!&lt;200), "Light User", "Balanced User")))</f>
        <v>#REF!</v>
      </c>
      <c r="AC103" t="e">
        <f>IF(#REF! = 0, "No Usage", IF(#REF! &lt;= 20, "Low Usage", IF(#REF! &lt;= 40, "Medium Usgae", "High Usage")))</f>
        <v>#REF!</v>
      </c>
      <c r="AD103" t="e">
        <f>IF(#REF!&lt;=150,"Low Usage", IF(#REF!&lt;=200,"Medium Usage", IF(#REF!&lt;=250,"High Usage","Very High Usage")))</f>
        <v>#REF!</v>
      </c>
      <c r="AE103" t="e">
        <f>IF(#REF!&lt;=5,"Low Calls", IF(#REF!&lt;=10, "Medium Calls", "High Calls"))</f>
        <v>#REF!</v>
      </c>
      <c r="AF103" t="e">
        <f xml:space="preserve">
IF(#REF!&gt;=4,4,0)+
IF(#REF!="yes",3,0)+
IF(#REF!="High Charges",3,0)+
IF(#REF!&gt;250,4,0)+
IF(#REF!="no",1,0)+
IF(#REF!="Heavy Domestic User",2,0)</f>
        <v>#REF!</v>
      </c>
      <c r="AG103" t="e">
        <f>IF(#REF!&gt;=10,"High Risk", IF(#REF!&gt;=5,"Medium Risk","Low Risk"))</f>
        <v>#REF!</v>
      </c>
      <c r="AH103" t="e">
        <f>#REF! + #REF! + #REF! + #REF!</f>
        <v>#REF!</v>
      </c>
    </row>
    <row r="104" spans="1:34" x14ac:dyDescent="0.35">
      <c r="A104">
        <v>103</v>
      </c>
      <c r="B104" t="s">
        <v>67</v>
      </c>
      <c r="C104">
        <v>193</v>
      </c>
      <c r="D104" t="s">
        <v>21</v>
      </c>
      <c r="E104" t="s">
        <v>22</v>
      </c>
      <c r="F104" t="s">
        <v>22</v>
      </c>
      <c r="G104">
        <v>0</v>
      </c>
      <c r="H104">
        <v>170.9</v>
      </c>
      <c r="I104">
        <v>124</v>
      </c>
      <c r="J104">
        <v>29.05</v>
      </c>
      <c r="K104">
        <v>132.30000000000001</v>
      </c>
      <c r="L104">
        <v>95</v>
      </c>
      <c r="M104">
        <v>11.25</v>
      </c>
      <c r="N104">
        <v>112.9</v>
      </c>
      <c r="O104">
        <v>89</v>
      </c>
      <c r="P104">
        <v>5.08</v>
      </c>
      <c r="Q104">
        <v>11.6</v>
      </c>
      <c r="R104">
        <v>3</v>
      </c>
      <c r="S104">
        <v>3.13</v>
      </c>
      <c r="T104">
        <v>1</v>
      </c>
      <c r="U104" t="s">
        <v>22</v>
      </c>
      <c r="V104" t="e">
        <f>IF(#REF! = "yes", 1, 0)</f>
        <v>#REF!</v>
      </c>
      <c r="W104" t="e">
        <f>IF(#REF! &lt;= 1, "0-1 Calls", IF(#REF! &lt;= 3, "2-3 Calls", IF(#REF! &lt;=5, "4-5 Calls", "6+ Calls")))</f>
        <v>#REF!</v>
      </c>
      <c r="X104" t="e">
        <f>IF(#REF! &lt;= 50, "0-50", IF(#REF! &lt;=100, "51-100", IF(#REF! &lt;= 150, "101-150", "151+")))</f>
        <v>#REF!</v>
      </c>
      <c r="Y104" t="e">
        <f>IF(#REF! &lt;= 3, "Low Charges", "High Charges")</f>
        <v>#REF!</v>
      </c>
      <c r="Z104" t="e">
        <f>IF(#REF!&lt;=80,"Low Calls",
IF(#REF!&lt;=120,"Medium Calls","High Calls"))</f>
        <v>#REF!</v>
      </c>
      <c r="AA104" t="e">
        <f>IF(#REF!&lt;=15,"Low Charges",
IF(#REF!&lt;=20,"Medium Charges","High Charges"))</f>
        <v>#REF!</v>
      </c>
      <c r="AB104" t="e">
        <f>IF(AND(#REF!&gt;180, #REF!&gt;200), "Heavy Doemstic User", IF(#REF!&gt;10, "Interntional User", IF(AND(#REF!&lt;180, #REF!&lt;200,#REF!&lt;200), "Light User", "Balanced User")))</f>
        <v>#REF!</v>
      </c>
      <c r="AC104" t="e">
        <f>IF(#REF! = 0, "No Usage", IF(#REF! &lt;= 20, "Low Usage", IF(#REF! &lt;= 40, "Medium Usgae", "High Usage")))</f>
        <v>#REF!</v>
      </c>
      <c r="AD104" t="e">
        <f>IF(#REF!&lt;=150,"Low Usage", IF(#REF!&lt;=200,"Medium Usage", IF(#REF!&lt;=250,"High Usage","Very High Usage")))</f>
        <v>#REF!</v>
      </c>
      <c r="AE104" t="e">
        <f>IF(#REF!&lt;=5,"Low Calls", IF(#REF!&lt;=10, "Medium Calls", "High Calls"))</f>
        <v>#REF!</v>
      </c>
      <c r="AF104" t="e">
        <f xml:space="preserve">
IF(#REF!&gt;=4,4,0)+
IF(#REF!="yes",3,0)+
IF(#REF!="High Charges",3,0)+
IF(#REF!&gt;250,4,0)+
IF(#REF!="no",1,0)+
IF(#REF!="Heavy Domestic User",2,0)</f>
        <v>#REF!</v>
      </c>
      <c r="AG104" t="e">
        <f>IF(#REF!&gt;=10,"High Risk", IF(#REF!&gt;=5,"Medium Risk","Low Risk"))</f>
        <v>#REF!</v>
      </c>
      <c r="AH104" t="e">
        <f>#REF! + #REF! + #REF! + #REF!</f>
        <v>#REF!</v>
      </c>
    </row>
    <row r="105" spans="1:34" x14ac:dyDescent="0.35">
      <c r="A105">
        <v>104</v>
      </c>
      <c r="B105" t="s">
        <v>62</v>
      </c>
      <c r="C105">
        <v>130</v>
      </c>
      <c r="D105" t="s">
        <v>28</v>
      </c>
      <c r="E105" t="s">
        <v>22</v>
      </c>
      <c r="F105" t="s">
        <v>22</v>
      </c>
      <c r="G105">
        <v>0</v>
      </c>
      <c r="H105">
        <v>154.19999999999999</v>
      </c>
      <c r="I105">
        <v>119</v>
      </c>
      <c r="J105">
        <v>26.21</v>
      </c>
      <c r="K105">
        <v>110.2</v>
      </c>
      <c r="L105">
        <v>98</v>
      </c>
      <c r="M105">
        <v>9.3699999999999992</v>
      </c>
      <c r="N105">
        <v>227.4</v>
      </c>
      <c r="O105">
        <v>117</v>
      </c>
      <c r="P105">
        <v>10.23</v>
      </c>
      <c r="Q105">
        <v>9.1999999999999993</v>
      </c>
      <c r="R105">
        <v>5</v>
      </c>
      <c r="S105">
        <v>2.48</v>
      </c>
      <c r="T105">
        <v>2</v>
      </c>
      <c r="U105" t="s">
        <v>22</v>
      </c>
      <c r="V105" t="e">
        <f>IF(#REF! = "yes", 1, 0)</f>
        <v>#REF!</v>
      </c>
      <c r="W105" t="e">
        <f>IF(#REF! &lt;= 1, "0-1 Calls", IF(#REF! &lt;= 3, "2-3 Calls", IF(#REF! &lt;=5, "4-5 Calls", "6+ Calls")))</f>
        <v>#REF!</v>
      </c>
      <c r="X105" t="e">
        <f>IF(#REF! &lt;= 50, "0-50", IF(#REF! &lt;=100, "51-100", IF(#REF! &lt;= 150, "101-150", "151+")))</f>
        <v>#REF!</v>
      </c>
      <c r="Y105" t="e">
        <f>IF(#REF! &lt;= 3, "Low Charges", "High Charges")</f>
        <v>#REF!</v>
      </c>
      <c r="Z105" t="e">
        <f>IF(#REF!&lt;=80,"Low Calls",
IF(#REF!&lt;=120,"Medium Calls","High Calls"))</f>
        <v>#REF!</v>
      </c>
      <c r="AA105" t="e">
        <f>IF(#REF!&lt;=15,"Low Charges",
IF(#REF!&lt;=20,"Medium Charges","High Charges"))</f>
        <v>#REF!</v>
      </c>
      <c r="AB105" t="e">
        <f>IF(AND(#REF!&gt;180, #REF!&gt;200), "Heavy Doemstic User", IF(#REF!&gt;10, "Interntional User", IF(AND(#REF!&lt;180, #REF!&lt;200,#REF!&lt;200), "Light User", "Balanced User")))</f>
        <v>#REF!</v>
      </c>
      <c r="AC105" t="e">
        <f>IF(#REF! = 0, "No Usage", IF(#REF! &lt;= 20, "Low Usage", IF(#REF! &lt;= 40, "Medium Usgae", "High Usage")))</f>
        <v>#REF!</v>
      </c>
      <c r="AD105" t="e">
        <f>IF(#REF!&lt;=150,"Low Usage", IF(#REF!&lt;=200,"Medium Usage", IF(#REF!&lt;=250,"High Usage","Very High Usage")))</f>
        <v>#REF!</v>
      </c>
      <c r="AE105" t="e">
        <f>IF(#REF!&lt;=5,"Low Calls", IF(#REF!&lt;=10, "Medium Calls", "High Calls"))</f>
        <v>#REF!</v>
      </c>
      <c r="AF105" t="e">
        <f xml:space="preserve">
IF(#REF!&gt;=4,4,0)+
IF(#REF!="yes",3,0)+
IF(#REF!="High Charges",3,0)+
IF(#REF!&gt;250,4,0)+
IF(#REF!="no",1,0)+
IF(#REF!="Heavy Domestic User",2,0)</f>
        <v>#REF!</v>
      </c>
      <c r="AG105" t="e">
        <f>IF(#REF!&gt;=10,"High Risk", IF(#REF!&gt;=5,"Medium Risk","Low Risk"))</f>
        <v>#REF!</v>
      </c>
      <c r="AH105" t="e">
        <f>#REF! + #REF! + #REF! + #REF!</f>
        <v>#REF!</v>
      </c>
    </row>
    <row r="106" spans="1:34" x14ac:dyDescent="0.35">
      <c r="A106">
        <v>105</v>
      </c>
      <c r="B106" t="s">
        <v>42</v>
      </c>
      <c r="C106">
        <v>85</v>
      </c>
      <c r="D106" t="s">
        <v>25</v>
      </c>
      <c r="E106" t="s">
        <v>22</v>
      </c>
      <c r="F106" t="s">
        <v>22</v>
      </c>
      <c r="G106">
        <v>0</v>
      </c>
      <c r="H106">
        <v>201.4</v>
      </c>
      <c r="I106">
        <v>52</v>
      </c>
      <c r="J106">
        <v>34.24</v>
      </c>
      <c r="K106">
        <v>229.4</v>
      </c>
      <c r="L106">
        <v>104</v>
      </c>
      <c r="M106">
        <v>19.5</v>
      </c>
      <c r="N106">
        <v>252.5</v>
      </c>
      <c r="O106">
        <v>106</v>
      </c>
      <c r="P106">
        <v>11.36</v>
      </c>
      <c r="Q106">
        <v>12</v>
      </c>
      <c r="R106">
        <v>3</v>
      </c>
      <c r="S106">
        <v>3.24</v>
      </c>
      <c r="T106">
        <v>1</v>
      </c>
      <c r="U106" t="s">
        <v>22</v>
      </c>
      <c r="V106" t="e">
        <f>IF(#REF! = "yes", 1, 0)</f>
        <v>#REF!</v>
      </c>
      <c r="W106" t="e">
        <f>IF(#REF! &lt;= 1, "0-1 Calls", IF(#REF! &lt;= 3, "2-3 Calls", IF(#REF! &lt;=5, "4-5 Calls", "6+ Calls")))</f>
        <v>#REF!</v>
      </c>
      <c r="X106" t="e">
        <f>IF(#REF! &lt;= 50, "0-50", IF(#REF! &lt;=100, "51-100", IF(#REF! &lt;= 150, "101-150", "151+")))</f>
        <v>#REF!</v>
      </c>
      <c r="Y106" t="e">
        <f>IF(#REF! &lt;= 3, "Low Charges", "High Charges")</f>
        <v>#REF!</v>
      </c>
      <c r="Z106" t="e">
        <f>IF(#REF!&lt;=80,"Low Calls",
IF(#REF!&lt;=120,"Medium Calls","High Calls"))</f>
        <v>#REF!</v>
      </c>
      <c r="AA106" t="e">
        <f>IF(#REF!&lt;=15,"Low Charges",
IF(#REF!&lt;=20,"Medium Charges","High Charges"))</f>
        <v>#REF!</v>
      </c>
      <c r="AB106" t="e">
        <f>IF(AND(#REF!&gt;180, #REF!&gt;200), "Heavy Doemstic User", IF(#REF!&gt;10, "Interntional User", IF(AND(#REF!&lt;180, #REF!&lt;200,#REF!&lt;200), "Light User", "Balanced User")))</f>
        <v>#REF!</v>
      </c>
      <c r="AC106" t="e">
        <f>IF(#REF! = 0, "No Usage", IF(#REF! &lt;= 20, "Low Usage", IF(#REF! &lt;= 40, "Medium Usgae", "High Usage")))</f>
        <v>#REF!</v>
      </c>
      <c r="AD106" t="e">
        <f>IF(#REF!&lt;=150,"Low Usage", IF(#REF!&lt;=200,"Medium Usage", IF(#REF!&lt;=250,"High Usage","Very High Usage")))</f>
        <v>#REF!</v>
      </c>
      <c r="AE106" t="e">
        <f>IF(#REF!&lt;=5,"Low Calls", IF(#REF!&lt;=10, "Medium Calls", "High Calls"))</f>
        <v>#REF!</v>
      </c>
      <c r="AF106" t="e">
        <f xml:space="preserve">
IF(#REF!&gt;=4,4,0)+
IF(#REF!="yes",3,0)+
IF(#REF!="High Charges",3,0)+
IF(#REF!&gt;250,4,0)+
IF(#REF!="no",1,0)+
IF(#REF!="Heavy Domestic User",2,0)</f>
        <v>#REF!</v>
      </c>
      <c r="AG106" t="e">
        <f>IF(#REF!&gt;=10,"High Risk", IF(#REF!&gt;=5,"Medium Risk","Low Risk"))</f>
        <v>#REF!</v>
      </c>
      <c r="AH106" t="e">
        <f>#REF! + #REF! + #REF! + #REF!</f>
        <v>#REF!</v>
      </c>
    </row>
    <row r="107" spans="1:34" x14ac:dyDescent="0.35">
      <c r="A107">
        <v>106</v>
      </c>
      <c r="B107" t="s">
        <v>67</v>
      </c>
      <c r="C107">
        <v>162</v>
      </c>
      <c r="D107" t="s">
        <v>21</v>
      </c>
      <c r="E107" t="s">
        <v>22</v>
      </c>
      <c r="F107" t="s">
        <v>22</v>
      </c>
      <c r="G107">
        <v>0</v>
      </c>
      <c r="H107">
        <v>70.7</v>
      </c>
      <c r="I107">
        <v>108</v>
      </c>
      <c r="J107">
        <v>12.02</v>
      </c>
      <c r="K107">
        <v>157.5</v>
      </c>
      <c r="L107">
        <v>87</v>
      </c>
      <c r="M107">
        <v>13.39</v>
      </c>
      <c r="N107">
        <v>154.80000000000001</v>
      </c>
      <c r="O107">
        <v>82</v>
      </c>
      <c r="P107">
        <v>6.97</v>
      </c>
      <c r="Q107">
        <v>9.1</v>
      </c>
      <c r="R107">
        <v>3</v>
      </c>
      <c r="S107">
        <v>2.46</v>
      </c>
      <c r="T107">
        <v>4</v>
      </c>
      <c r="U107" t="s">
        <v>23</v>
      </c>
      <c r="V107" t="e">
        <f>IF(#REF! = "yes", 1, 0)</f>
        <v>#REF!</v>
      </c>
      <c r="W107" t="e">
        <f>IF(#REF! &lt;= 1, "0-1 Calls", IF(#REF! &lt;= 3, "2-3 Calls", IF(#REF! &lt;=5, "4-5 Calls", "6+ Calls")))</f>
        <v>#REF!</v>
      </c>
      <c r="X107" t="e">
        <f>IF(#REF! &lt;= 50, "0-50", IF(#REF! &lt;=100, "51-100", IF(#REF! &lt;= 150, "101-150", "151+")))</f>
        <v>#REF!</v>
      </c>
      <c r="Y107" t="e">
        <f>IF(#REF! &lt;= 3, "Low Charges", "High Charges")</f>
        <v>#REF!</v>
      </c>
      <c r="Z107" t="e">
        <f>IF(#REF!&lt;=80,"Low Calls",
IF(#REF!&lt;=120,"Medium Calls","High Calls"))</f>
        <v>#REF!</v>
      </c>
      <c r="AA107" t="e">
        <f>IF(#REF!&lt;=15,"Low Charges",
IF(#REF!&lt;=20,"Medium Charges","High Charges"))</f>
        <v>#REF!</v>
      </c>
      <c r="AB107" t="e">
        <f>IF(AND(#REF!&gt;180, #REF!&gt;200), "Heavy Doemstic User", IF(#REF!&gt;10, "Interntional User", IF(AND(#REF!&lt;180, #REF!&lt;200,#REF!&lt;200), "Light User", "Balanced User")))</f>
        <v>#REF!</v>
      </c>
      <c r="AC107" t="e">
        <f>IF(#REF! = 0, "No Usage", IF(#REF! &lt;= 20, "Low Usage", IF(#REF! &lt;= 40, "Medium Usgae", "High Usage")))</f>
        <v>#REF!</v>
      </c>
      <c r="AD107" t="e">
        <f>IF(#REF!&lt;=150,"Low Usage", IF(#REF!&lt;=200,"Medium Usage", IF(#REF!&lt;=250,"High Usage","Very High Usage")))</f>
        <v>#REF!</v>
      </c>
      <c r="AE107" t="e">
        <f>IF(#REF!&lt;=5,"Low Calls", IF(#REF!&lt;=10, "Medium Calls", "High Calls"))</f>
        <v>#REF!</v>
      </c>
      <c r="AF107" t="e">
        <f xml:space="preserve">
IF(#REF!&gt;=4,4,0)+
IF(#REF!="yes",3,0)+
IF(#REF!="High Charges",3,0)+
IF(#REF!&gt;250,4,0)+
IF(#REF!="no",1,0)+
IF(#REF!="Heavy Domestic User",2,0)</f>
        <v>#REF!</v>
      </c>
      <c r="AG107" t="e">
        <f>IF(#REF!&gt;=10,"High Risk", IF(#REF!&gt;=5,"Medium Risk","Low Risk"))</f>
        <v>#REF!</v>
      </c>
      <c r="AH107" t="e">
        <f>#REF! + #REF! + #REF! + #REF!</f>
        <v>#REF!</v>
      </c>
    </row>
    <row r="108" spans="1:34" x14ac:dyDescent="0.35">
      <c r="A108">
        <v>107</v>
      </c>
      <c r="B108" t="s">
        <v>67</v>
      </c>
      <c r="C108">
        <v>61</v>
      </c>
      <c r="D108" t="s">
        <v>28</v>
      </c>
      <c r="E108" t="s">
        <v>22</v>
      </c>
      <c r="F108" t="s">
        <v>23</v>
      </c>
      <c r="G108">
        <v>27</v>
      </c>
      <c r="H108">
        <v>187.5</v>
      </c>
      <c r="I108">
        <v>124</v>
      </c>
      <c r="J108">
        <v>31.88</v>
      </c>
      <c r="K108">
        <v>146.6</v>
      </c>
      <c r="L108">
        <v>103</v>
      </c>
      <c r="M108">
        <v>12.46</v>
      </c>
      <c r="N108">
        <v>225.7</v>
      </c>
      <c r="O108">
        <v>129</v>
      </c>
      <c r="P108">
        <v>10.16</v>
      </c>
      <c r="Q108">
        <v>6.4</v>
      </c>
      <c r="R108">
        <v>6</v>
      </c>
      <c r="S108">
        <v>1.73</v>
      </c>
      <c r="T108">
        <v>4</v>
      </c>
      <c r="U108" t="s">
        <v>23</v>
      </c>
      <c r="V108" t="e">
        <f>IF(#REF! = "yes", 1, 0)</f>
        <v>#REF!</v>
      </c>
      <c r="W108" t="e">
        <f>IF(#REF! &lt;= 1, "0-1 Calls", IF(#REF! &lt;= 3, "2-3 Calls", IF(#REF! &lt;=5, "4-5 Calls", "6+ Calls")))</f>
        <v>#REF!</v>
      </c>
      <c r="X108" t="e">
        <f>IF(#REF! &lt;= 50, "0-50", IF(#REF! &lt;=100, "51-100", IF(#REF! &lt;= 150, "101-150", "151+")))</f>
        <v>#REF!</v>
      </c>
      <c r="Y108" t="e">
        <f>IF(#REF! &lt;= 3, "Low Charges", "High Charges")</f>
        <v>#REF!</v>
      </c>
      <c r="Z108" t="e">
        <f>IF(#REF!&lt;=80,"Low Calls",
IF(#REF!&lt;=120,"Medium Calls","High Calls"))</f>
        <v>#REF!</v>
      </c>
      <c r="AA108" t="e">
        <f>IF(#REF!&lt;=15,"Low Charges",
IF(#REF!&lt;=20,"Medium Charges","High Charges"))</f>
        <v>#REF!</v>
      </c>
      <c r="AB108" t="e">
        <f>IF(AND(#REF!&gt;180, #REF!&gt;200), "Heavy Doemstic User", IF(#REF!&gt;10, "Interntional User", IF(AND(#REF!&lt;180, #REF!&lt;200,#REF!&lt;200), "Light User", "Balanced User")))</f>
        <v>#REF!</v>
      </c>
      <c r="AC108" t="e">
        <f>IF(#REF! = 0, "No Usage", IF(#REF! &lt;= 20, "Low Usage", IF(#REF! &lt;= 40, "Medium Usgae", "High Usage")))</f>
        <v>#REF!</v>
      </c>
      <c r="AD108" t="e">
        <f>IF(#REF!&lt;=150,"Low Usage", IF(#REF!&lt;=200,"Medium Usage", IF(#REF!&lt;=250,"High Usage","Very High Usage")))</f>
        <v>#REF!</v>
      </c>
      <c r="AE108" t="e">
        <f>IF(#REF!&lt;=5,"Low Calls", IF(#REF!&lt;=10, "Medium Calls", "High Calls"))</f>
        <v>#REF!</v>
      </c>
      <c r="AF108" t="e">
        <f xml:space="preserve">
IF(#REF!&gt;=4,4,0)+
IF(#REF!="yes",3,0)+
IF(#REF!="High Charges",3,0)+
IF(#REF!&gt;250,4,0)+
IF(#REF!="no",1,0)+
IF(#REF!="Heavy Domestic User",2,0)</f>
        <v>#REF!</v>
      </c>
      <c r="AG108" t="e">
        <f>IF(#REF!&gt;=10,"High Risk", IF(#REF!&gt;=5,"Medium Risk","Low Risk"))</f>
        <v>#REF!</v>
      </c>
      <c r="AH108" t="e">
        <f>#REF! + #REF! + #REF! + #REF!</f>
        <v>#REF!</v>
      </c>
    </row>
    <row r="109" spans="1:34" x14ac:dyDescent="0.35">
      <c r="A109">
        <v>108</v>
      </c>
      <c r="B109" t="s">
        <v>39</v>
      </c>
      <c r="C109">
        <v>92</v>
      </c>
      <c r="D109" t="s">
        <v>25</v>
      </c>
      <c r="E109" t="s">
        <v>22</v>
      </c>
      <c r="F109" t="s">
        <v>22</v>
      </c>
      <c r="G109">
        <v>0</v>
      </c>
      <c r="H109">
        <v>91.7</v>
      </c>
      <c r="I109">
        <v>90</v>
      </c>
      <c r="J109">
        <v>15.59</v>
      </c>
      <c r="K109">
        <v>193.7</v>
      </c>
      <c r="L109">
        <v>123</v>
      </c>
      <c r="M109">
        <v>16.46</v>
      </c>
      <c r="N109">
        <v>175</v>
      </c>
      <c r="O109">
        <v>86</v>
      </c>
      <c r="P109">
        <v>7.88</v>
      </c>
      <c r="Q109">
        <v>9.1999999999999993</v>
      </c>
      <c r="R109">
        <v>4</v>
      </c>
      <c r="S109">
        <v>2.48</v>
      </c>
      <c r="T109">
        <v>2</v>
      </c>
      <c r="U109" t="s">
        <v>22</v>
      </c>
      <c r="V109" t="e">
        <f>IF(#REF! = "yes", 1, 0)</f>
        <v>#REF!</v>
      </c>
      <c r="W109" t="e">
        <f>IF(#REF! &lt;= 1, "0-1 Calls", IF(#REF! &lt;= 3, "2-3 Calls", IF(#REF! &lt;=5, "4-5 Calls", "6+ Calls")))</f>
        <v>#REF!</v>
      </c>
      <c r="X109" t="e">
        <f>IF(#REF! &lt;= 50, "0-50", IF(#REF! &lt;=100, "51-100", IF(#REF! &lt;= 150, "101-150", "151+")))</f>
        <v>#REF!</v>
      </c>
      <c r="Y109" t="e">
        <f>IF(#REF! &lt;= 3, "Low Charges", "High Charges")</f>
        <v>#REF!</v>
      </c>
      <c r="Z109" t="e">
        <f>IF(#REF!&lt;=80,"Low Calls",
IF(#REF!&lt;=120,"Medium Calls","High Calls"))</f>
        <v>#REF!</v>
      </c>
      <c r="AA109" t="e">
        <f>IF(#REF!&lt;=15,"Low Charges",
IF(#REF!&lt;=20,"Medium Charges","High Charges"))</f>
        <v>#REF!</v>
      </c>
      <c r="AB109" t="e">
        <f>IF(AND(#REF!&gt;180, #REF!&gt;200), "Heavy Doemstic User", IF(#REF!&gt;10, "Interntional User", IF(AND(#REF!&lt;180, #REF!&lt;200,#REF!&lt;200), "Light User", "Balanced User")))</f>
        <v>#REF!</v>
      </c>
      <c r="AC109" t="e">
        <f>IF(#REF! = 0, "No Usage", IF(#REF! &lt;= 20, "Low Usage", IF(#REF! &lt;= 40, "Medium Usgae", "High Usage")))</f>
        <v>#REF!</v>
      </c>
      <c r="AD109" t="e">
        <f>IF(#REF!&lt;=150,"Low Usage", IF(#REF!&lt;=200,"Medium Usage", IF(#REF!&lt;=250,"High Usage","Very High Usage")))</f>
        <v>#REF!</v>
      </c>
      <c r="AE109" t="e">
        <f>IF(#REF!&lt;=5,"Low Calls", IF(#REF!&lt;=10, "Medium Calls", "High Calls"))</f>
        <v>#REF!</v>
      </c>
      <c r="AF109" t="e">
        <f xml:space="preserve">
IF(#REF!&gt;=4,4,0)+
IF(#REF!="yes",3,0)+
IF(#REF!="High Charges",3,0)+
IF(#REF!&gt;250,4,0)+
IF(#REF!="no",1,0)+
IF(#REF!="Heavy Domestic User",2,0)</f>
        <v>#REF!</v>
      </c>
      <c r="AG109" t="e">
        <f>IF(#REF!&gt;=10,"High Risk", IF(#REF!&gt;=5,"Medium Risk","Low Risk"))</f>
        <v>#REF!</v>
      </c>
      <c r="AH109" t="e">
        <f>#REF! + #REF! + #REF! + #REF!</f>
        <v>#REF!</v>
      </c>
    </row>
    <row r="110" spans="1:34" x14ac:dyDescent="0.35">
      <c r="A110">
        <v>109</v>
      </c>
      <c r="B110" t="s">
        <v>69</v>
      </c>
      <c r="C110">
        <v>90</v>
      </c>
      <c r="D110" t="s">
        <v>21</v>
      </c>
      <c r="E110" t="s">
        <v>22</v>
      </c>
      <c r="F110" t="s">
        <v>22</v>
      </c>
      <c r="G110">
        <v>0</v>
      </c>
      <c r="H110">
        <v>145.5</v>
      </c>
      <c r="I110">
        <v>92</v>
      </c>
      <c r="J110">
        <v>24.74</v>
      </c>
      <c r="K110">
        <v>217.7</v>
      </c>
      <c r="L110">
        <v>114</v>
      </c>
      <c r="M110">
        <v>18.5</v>
      </c>
      <c r="N110">
        <v>146.9</v>
      </c>
      <c r="O110">
        <v>123</v>
      </c>
      <c r="P110">
        <v>6.61</v>
      </c>
      <c r="Q110">
        <v>10.9</v>
      </c>
      <c r="R110">
        <v>2</v>
      </c>
      <c r="S110">
        <v>2.94</v>
      </c>
      <c r="T110">
        <v>3</v>
      </c>
      <c r="U110" t="s">
        <v>22</v>
      </c>
      <c r="V110" t="e">
        <f>IF(#REF! = "yes", 1, 0)</f>
        <v>#REF!</v>
      </c>
      <c r="W110" t="e">
        <f>IF(#REF! &lt;= 1, "0-1 Calls", IF(#REF! &lt;= 3, "2-3 Calls", IF(#REF! &lt;=5, "4-5 Calls", "6+ Calls")))</f>
        <v>#REF!</v>
      </c>
      <c r="X110" t="e">
        <f>IF(#REF! &lt;= 50, "0-50", IF(#REF! &lt;=100, "51-100", IF(#REF! &lt;= 150, "101-150", "151+")))</f>
        <v>#REF!</v>
      </c>
      <c r="Y110" t="e">
        <f>IF(#REF! &lt;= 3, "Low Charges", "High Charges")</f>
        <v>#REF!</v>
      </c>
      <c r="Z110" t="e">
        <f>IF(#REF!&lt;=80,"Low Calls",
IF(#REF!&lt;=120,"Medium Calls","High Calls"))</f>
        <v>#REF!</v>
      </c>
      <c r="AA110" t="e">
        <f>IF(#REF!&lt;=15,"Low Charges",
IF(#REF!&lt;=20,"Medium Charges","High Charges"))</f>
        <v>#REF!</v>
      </c>
      <c r="AB110" t="e">
        <f>IF(AND(#REF!&gt;180, #REF!&gt;200), "Heavy Doemstic User", IF(#REF!&gt;10, "Interntional User", IF(AND(#REF!&lt;180, #REF!&lt;200,#REF!&lt;200), "Light User", "Balanced User")))</f>
        <v>#REF!</v>
      </c>
      <c r="AC110" t="e">
        <f>IF(#REF! = 0, "No Usage", IF(#REF! &lt;= 20, "Low Usage", IF(#REF! &lt;= 40, "Medium Usgae", "High Usage")))</f>
        <v>#REF!</v>
      </c>
      <c r="AD110" t="e">
        <f>IF(#REF!&lt;=150,"Low Usage", IF(#REF!&lt;=200,"Medium Usage", IF(#REF!&lt;=250,"High Usage","Very High Usage")))</f>
        <v>#REF!</v>
      </c>
      <c r="AE110" t="e">
        <f>IF(#REF!&lt;=5,"Low Calls", IF(#REF!&lt;=10, "Medium Calls", "High Calls"))</f>
        <v>#REF!</v>
      </c>
      <c r="AF110" t="e">
        <f xml:space="preserve">
IF(#REF!&gt;=4,4,0)+
IF(#REF!="yes",3,0)+
IF(#REF!="High Charges",3,0)+
IF(#REF!&gt;250,4,0)+
IF(#REF!="no",1,0)+
IF(#REF!="Heavy Domestic User",2,0)</f>
        <v>#REF!</v>
      </c>
      <c r="AG110" t="e">
        <f>IF(#REF!&gt;=10,"High Risk", IF(#REF!&gt;=5,"Medium Risk","Low Risk"))</f>
        <v>#REF!</v>
      </c>
      <c r="AH110" t="e">
        <f>#REF! + #REF! + #REF! + #REF!</f>
        <v>#REF!</v>
      </c>
    </row>
    <row r="111" spans="1:34" x14ac:dyDescent="0.35">
      <c r="A111">
        <v>110</v>
      </c>
      <c r="B111" t="s">
        <v>56</v>
      </c>
      <c r="C111">
        <v>75</v>
      </c>
      <c r="D111" t="s">
        <v>25</v>
      </c>
      <c r="E111" t="s">
        <v>22</v>
      </c>
      <c r="F111" t="s">
        <v>22</v>
      </c>
      <c r="G111">
        <v>0</v>
      </c>
      <c r="H111">
        <v>166.3</v>
      </c>
      <c r="I111">
        <v>125</v>
      </c>
      <c r="J111">
        <v>28.27</v>
      </c>
      <c r="K111">
        <v>158.19999999999999</v>
      </c>
      <c r="L111">
        <v>86</v>
      </c>
      <c r="M111">
        <v>13.45</v>
      </c>
      <c r="N111">
        <v>256.7</v>
      </c>
      <c r="O111">
        <v>80</v>
      </c>
      <c r="P111">
        <v>11.55</v>
      </c>
      <c r="Q111">
        <v>6.1</v>
      </c>
      <c r="R111">
        <v>5</v>
      </c>
      <c r="S111">
        <v>1.65</v>
      </c>
      <c r="T111">
        <v>1</v>
      </c>
      <c r="U111" t="s">
        <v>22</v>
      </c>
      <c r="V111" t="e">
        <f>IF(#REF! = "yes", 1, 0)</f>
        <v>#REF!</v>
      </c>
      <c r="W111" t="e">
        <f>IF(#REF! &lt;= 1, "0-1 Calls", IF(#REF! &lt;= 3, "2-3 Calls", IF(#REF! &lt;=5, "4-5 Calls", "6+ Calls")))</f>
        <v>#REF!</v>
      </c>
      <c r="X111" t="e">
        <f>IF(#REF! &lt;= 50, "0-50", IF(#REF! &lt;=100, "51-100", IF(#REF! &lt;= 150, "101-150", "151+")))</f>
        <v>#REF!</v>
      </c>
      <c r="Y111" t="e">
        <f>IF(#REF! &lt;= 3, "Low Charges", "High Charges")</f>
        <v>#REF!</v>
      </c>
      <c r="Z111" t="e">
        <f>IF(#REF!&lt;=80,"Low Calls",
IF(#REF!&lt;=120,"Medium Calls","High Calls"))</f>
        <v>#REF!</v>
      </c>
      <c r="AA111" t="e">
        <f>IF(#REF!&lt;=15,"Low Charges",
IF(#REF!&lt;=20,"Medium Charges","High Charges"))</f>
        <v>#REF!</v>
      </c>
      <c r="AB111" t="e">
        <f>IF(AND(#REF!&gt;180, #REF!&gt;200), "Heavy Doemstic User", IF(#REF!&gt;10, "Interntional User", IF(AND(#REF!&lt;180, #REF!&lt;200,#REF!&lt;200), "Light User", "Balanced User")))</f>
        <v>#REF!</v>
      </c>
      <c r="AC111" t="e">
        <f>IF(#REF! = 0, "No Usage", IF(#REF! &lt;= 20, "Low Usage", IF(#REF! &lt;= 40, "Medium Usgae", "High Usage")))</f>
        <v>#REF!</v>
      </c>
      <c r="AD111" t="e">
        <f>IF(#REF!&lt;=150,"Low Usage", IF(#REF!&lt;=200,"Medium Usage", IF(#REF!&lt;=250,"High Usage","Very High Usage")))</f>
        <v>#REF!</v>
      </c>
      <c r="AE111" t="e">
        <f>IF(#REF!&lt;=5,"Low Calls", IF(#REF!&lt;=10, "Medium Calls", "High Calls"))</f>
        <v>#REF!</v>
      </c>
      <c r="AF111" t="e">
        <f xml:space="preserve">
IF(#REF!&gt;=4,4,0)+
IF(#REF!="yes",3,0)+
IF(#REF!="High Charges",3,0)+
IF(#REF!&gt;250,4,0)+
IF(#REF!="no",1,0)+
IF(#REF!="Heavy Domestic User",2,0)</f>
        <v>#REF!</v>
      </c>
      <c r="AG111" t="e">
        <f>IF(#REF!&gt;=10,"High Risk", IF(#REF!&gt;=5,"Medium Risk","Low Risk"))</f>
        <v>#REF!</v>
      </c>
      <c r="AH111" t="e">
        <f>#REF! + #REF! + #REF! + #REF!</f>
        <v>#REF!</v>
      </c>
    </row>
    <row r="112" spans="1:34" x14ac:dyDescent="0.35">
      <c r="A112">
        <v>111</v>
      </c>
      <c r="B112" t="s">
        <v>24</v>
      </c>
      <c r="C112">
        <v>78</v>
      </c>
      <c r="D112" t="s">
        <v>21</v>
      </c>
      <c r="E112" t="s">
        <v>22</v>
      </c>
      <c r="F112" t="s">
        <v>22</v>
      </c>
      <c r="G112">
        <v>0</v>
      </c>
      <c r="H112">
        <v>231</v>
      </c>
      <c r="I112">
        <v>115</v>
      </c>
      <c r="J112">
        <v>39.270000000000003</v>
      </c>
      <c r="K112">
        <v>230.4</v>
      </c>
      <c r="L112">
        <v>140</v>
      </c>
      <c r="M112">
        <v>19.579999999999998</v>
      </c>
      <c r="N112">
        <v>261.39999999999998</v>
      </c>
      <c r="O112">
        <v>120</v>
      </c>
      <c r="P112">
        <v>11.76</v>
      </c>
      <c r="Q112">
        <v>9.5</v>
      </c>
      <c r="R112">
        <v>3</v>
      </c>
      <c r="S112">
        <v>2.57</v>
      </c>
      <c r="T112">
        <v>1</v>
      </c>
      <c r="U112" t="s">
        <v>22</v>
      </c>
      <c r="V112" t="e">
        <f>IF(#REF! = "yes", 1, 0)</f>
        <v>#REF!</v>
      </c>
      <c r="W112" t="e">
        <f>IF(#REF! &lt;= 1, "0-1 Calls", IF(#REF! &lt;= 3, "2-3 Calls", IF(#REF! &lt;=5, "4-5 Calls", "6+ Calls")))</f>
        <v>#REF!</v>
      </c>
      <c r="X112" t="e">
        <f>IF(#REF! &lt;= 50, "0-50", IF(#REF! &lt;=100, "51-100", IF(#REF! &lt;= 150, "101-150", "151+")))</f>
        <v>#REF!</v>
      </c>
      <c r="Y112" t="e">
        <f>IF(#REF! &lt;= 3, "Low Charges", "High Charges")</f>
        <v>#REF!</v>
      </c>
      <c r="Z112" t="e">
        <f>IF(#REF!&lt;=80,"Low Calls",
IF(#REF!&lt;=120,"Medium Calls","High Calls"))</f>
        <v>#REF!</v>
      </c>
      <c r="AA112" t="e">
        <f>IF(#REF!&lt;=15,"Low Charges",
IF(#REF!&lt;=20,"Medium Charges","High Charges"))</f>
        <v>#REF!</v>
      </c>
      <c r="AB112" t="e">
        <f>IF(AND(#REF!&gt;180, #REF!&gt;200), "Heavy Doemstic User", IF(#REF!&gt;10, "Interntional User", IF(AND(#REF!&lt;180, #REF!&lt;200,#REF!&lt;200), "Light User", "Balanced User")))</f>
        <v>#REF!</v>
      </c>
      <c r="AC112" t="e">
        <f>IF(#REF! = 0, "No Usage", IF(#REF! &lt;= 20, "Low Usage", IF(#REF! &lt;= 40, "Medium Usgae", "High Usage")))</f>
        <v>#REF!</v>
      </c>
      <c r="AD112" t="e">
        <f>IF(#REF!&lt;=150,"Low Usage", IF(#REF!&lt;=200,"Medium Usage", IF(#REF!&lt;=250,"High Usage","Very High Usage")))</f>
        <v>#REF!</v>
      </c>
      <c r="AE112" t="e">
        <f>IF(#REF!&lt;=5,"Low Calls", IF(#REF!&lt;=10, "Medium Calls", "High Calls"))</f>
        <v>#REF!</v>
      </c>
      <c r="AF112" t="e">
        <f xml:space="preserve">
IF(#REF!&gt;=4,4,0)+
IF(#REF!="yes",3,0)+
IF(#REF!="High Charges",3,0)+
IF(#REF!&gt;250,4,0)+
IF(#REF!="no",1,0)+
IF(#REF!="Heavy Domestic User",2,0)</f>
        <v>#REF!</v>
      </c>
      <c r="AG112" t="e">
        <f>IF(#REF!&gt;=10,"High Risk", IF(#REF!&gt;=5,"Medium Risk","Low Risk"))</f>
        <v>#REF!</v>
      </c>
      <c r="AH112" t="e">
        <f>#REF! + #REF! + #REF! + #REF!</f>
        <v>#REF!</v>
      </c>
    </row>
    <row r="113" spans="1:34" x14ac:dyDescent="0.35">
      <c r="A113">
        <v>112</v>
      </c>
      <c r="B113" t="s">
        <v>39</v>
      </c>
      <c r="C113">
        <v>82</v>
      </c>
      <c r="D113" t="s">
        <v>25</v>
      </c>
      <c r="E113" t="s">
        <v>22</v>
      </c>
      <c r="F113" t="s">
        <v>22</v>
      </c>
      <c r="G113">
        <v>0</v>
      </c>
      <c r="H113">
        <v>200.3</v>
      </c>
      <c r="I113">
        <v>96</v>
      </c>
      <c r="J113">
        <v>34.049999999999997</v>
      </c>
      <c r="K113">
        <v>201.2</v>
      </c>
      <c r="L113">
        <v>102</v>
      </c>
      <c r="M113">
        <v>17.100000000000001</v>
      </c>
      <c r="N113">
        <v>206.1</v>
      </c>
      <c r="O113">
        <v>60</v>
      </c>
      <c r="P113">
        <v>9.27</v>
      </c>
      <c r="Q113">
        <v>7.1</v>
      </c>
      <c r="R113">
        <v>1</v>
      </c>
      <c r="S113">
        <v>1.92</v>
      </c>
      <c r="T113">
        <v>4</v>
      </c>
      <c r="U113" t="s">
        <v>22</v>
      </c>
      <c r="V113" t="e">
        <f>IF(#REF! = "yes", 1, 0)</f>
        <v>#REF!</v>
      </c>
      <c r="W113" t="e">
        <f>IF(#REF! &lt;= 1, "0-1 Calls", IF(#REF! &lt;= 3, "2-3 Calls", IF(#REF! &lt;=5, "4-5 Calls", "6+ Calls")))</f>
        <v>#REF!</v>
      </c>
      <c r="X113" t="e">
        <f>IF(#REF! &lt;= 50, "0-50", IF(#REF! &lt;=100, "51-100", IF(#REF! &lt;= 150, "101-150", "151+")))</f>
        <v>#REF!</v>
      </c>
      <c r="Y113" t="e">
        <f>IF(#REF! &lt;= 3, "Low Charges", "High Charges")</f>
        <v>#REF!</v>
      </c>
      <c r="Z113" t="e">
        <f>IF(#REF!&lt;=80,"Low Calls",
IF(#REF!&lt;=120,"Medium Calls","High Calls"))</f>
        <v>#REF!</v>
      </c>
      <c r="AA113" t="e">
        <f>IF(#REF!&lt;=15,"Low Charges",
IF(#REF!&lt;=20,"Medium Charges","High Charges"))</f>
        <v>#REF!</v>
      </c>
      <c r="AB113" t="e">
        <f>IF(AND(#REF!&gt;180, #REF!&gt;200), "Heavy Doemstic User", IF(#REF!&gt;10, "Interntional User", IF(AND(#REF!&lt;180, #REF!&lt;200,#REF!&lt;200), "Light User", "Balanced User")))</f>
        <v>#REF!</v>
      </c>
      <c r="AC113" t="e">
        <f>IF(#REF! = 0, "No Usage", IF(#REF! &lt;= 20, "Low Usage", IF(#REF! &lt;= 40, "Medium Usgae", "High Usage")))</f>
        <v>#REF!</v>
      </c>
      <c r="AD113" t="e">
        <f>IF(#REF!&lt;=150,"Low Usage", IF(#REF!&lt;=200,"Medium Usage", IF(#REF!&lt;=250,"High Usage","Very High Usage")))</f>
        <v>#REF!</v>
      </c>
      <c r="AE113" t="e">
        <f>IF(#REF!&lt;=5,"Low Calls", IF(#REF!&lt;=10, "Medium Calls", "High Calls"))</f>
        <v>#REF!</v>
      </c>
      <c r="AF113" t="e">
        <f xml:space="preserve">
IF(#REF!&gt;=4,4,0)+
IF(#REF!="yes",3,0)+
IF(#REF!="High Charges",3,0)+
IF(#REF!&gt;250,4,0)+
IF(#REF!="no",1,0)+
IF(#REF!="Heavy Domestic User",2,0)</f>
        <v>#REF!</v>
      </c>
      <c r="AG113" t="e">
        <f>IF(#REF!&gt;=10,"High Risk", IF(#REF!&gt;=5,"Medium Risk","Low Risk"))</f>
        <v>#REF!</v>
      </c>
      <c r="AH113" t="e">
        <f>#REF! + #REF! + #REF! + #REF!</f>
        <v>#REF!</v>
      </c>
    </row>
    <row r="114" spans="1:34" x14ac:dyDescent="0.35">
      <c r="A114">
        <v>113</v>
      </c>
      <c r="B114" t="s">
        <v>50</v>
      </c>
      <c r="C114">
        <v>163</v>
      </c>
      <c r="D114" t="s">
        <v>25</v>
      </c>
      <c r="E114" t="s">
        <v>22</v>
      </c>
      <c r="F114" t="s">
        <v>22</v>
      </c>
      <c r="G114">
        <v>0</v>
      </c>
      <c r="H114">
        <v>197</v>
      </c>
      <c r="I114">
        <v>109</v>
      </c>
      <c r="J114">
        <v>33.49</v>
      </c>
      <c r="K114">
        <v>202.6</v>
      </c>
      <c r="L114">
        <v>128</v>
      </c>
      <c r="M114">
        <v>17.22</v>
      </c>
      <c r="N114">
        <v>206.4</v>
      </c>
      <c r="O114">
        <v>80</v>
      </c>
      <c r="P114">
        <v>9.2899999999999991</v>
      </c>
      <c r="Q114">
        <v>9.1</v>
      </c>
      <c r="R114">
        <v>10</v>
      </c>
      <c r="S114">
        <v>2.46</v>
      </c>
      <c r="T114">
        <v>1</v>
      </c>
      <c r="U114" t="s">
        <v>22</v>
      </c>
      <c r="V114" t="e">
        <f>IF(#REF! = "yes", 1, 0)</f>
        <v>#REF!</v>
      </c>
      <c r="W114" t="e">
        <f>IF(#REF! &lt;= 1, "0-1 Calls", IF(#REF! &lt;= 3, "2-3 Calls", IF(#REF! &lt;=5, "4-5 Calls", "6+ Calls")))</f>
        <v>#REF!</v>
      </c>
      <c r="X114" t="e">
        <f>IF(#REF! &lt;= 50, "0-50", IF(#REF! &lt;=100, "51-100", IF(#REF! &lt;= 150, "101-150", "151+")))</f>
        <v>#REF!</v>
      </c>
      <c r="Y114" t="e">
        <f>IF(#REF! &lt;= 3, "Low Charges", "High Charges")</f>
        <v>#REF!</v>
      </c>
      <c r="Z114" t="e">
        <f>IF(#REF!&lt;=80,"Low Calls",
IF(#REF!&lt;=120,"Medium Calls","High Calls"))</f>
        <v>#REF!</v>
      </c>
      <c r="AA114" t="e">
        <f>IF(#REF!&lt;=15,"Low Charges",
IF(#REF!&lt;=20,"Medium Charges","High Charges"))</f>
        <v>#REF!</v>
      </c>
      <c r="AB114" t="e">
        <f>IF(AND(#REF!&gt;180, #REF!&gt;200), "Heavy Doemstic User", IF(#REF!&gt;10, "Interntional User", IF(AND(#REF!&lt;180, #REF!&lt;200,#REF!&lt;200), "Light User", "Balanced User")))</f>
        <v>#REF!</v>
      </c>
      <c r="AC114" t="e">
        <f>IF(#REF! = 0, "No Usage", IF(#REF! &lt;= 20, "Low Usage", IF(#REF! &lt;= 40, "Medium Usgae", "High Usage")))</f>
        <v>#REF!</v>
      </c>
      <c r="AD114" t="e">
        <f>IF(#REF!&lt;=150,"Low Usage", IF(#REF!&lt;=200,"Medium Usage", IF(#REF!&lt;=250,"High Usage","Very High Usage")))</f>
        <v>#REF!</v>
      </c>
      <c r="AE114" t="e">
        <f>IF(#REF!&lt;=5,"Low Calls", IF(#REF!&lt;=10, "Medium Calls", "High Calls"))</f>
        <v>#REF!</v>
      </c>
      <c r="AF114" t="e">
        <f xml:space="preserve">
IF(#REF!&gt;=4,4,0)+
IF(#REF!="yes",3,0)+
IF(#REF!="High Charges",3,0)+
IF(#REF!&gt;250,4,0)+
IF(#REF!="no",1,0)+
IF(#REF!="Heavy Domestic User",2,0)</f>
        <v>#REF!</v>
      </c>
      <c r="AG114" t="e">
        <f>IF(#REF!&gt;=10,"High Risk", IF(#REF!&gt;=5,"Medium Risk","Low Risk"))</f>
        <v>#REF!</v>
      </c>
      <c r="AH114" t="e">
        <f>#REF! + #REF! + #REF! + #REF!</f>
        <v>#REF!</v>
      </c>
    </row>
    <row r="115" spans="1:34" x14ac:dyDescent="0.35">
      <c r="A115">
        <v>114</v>
      </c>
      <c r="B115" t="s">
        <v>68</v>
      </c>
      <c r="C115">
        <v>91</v>
      </c>
      <c r="D115" t="s">
        <v>28</v>
      </c>
      <c r="E115" t="s">
        <v>23</v>
      </c>
      <c r="F115" t="s">
        <v>22</v>
      </c>
      <c r="G115">
        <v>0</v>
      </c>
      <c r="H115">
        <v>129.9</v>
      </c>
      <c r="I115">
        <v>112</v>
      </c>
      <c r="J115">
        <v>22.08</v>
      </c>
      <c r="K115">
        <v>173.3</v>
      </c>
      <c r="L115">
        <v>83</v>
      </c>
      <c r="M115">
        <v>14.73</v>
      </c>
      <c r="N115">
        <v>247.2</v>
      </c>
      <c r="O115">
        <v>130</v>
      </c>
      <c r="P115">
        <v>11.12</v>
      </c>
      <c r="Q115">
        <v>11.2</v>
      </c>
      <c r="R115">
        <v>3</v>
      </c>
      <c r="S115">
        <v>3.02</v>
      </c>
      <c r="T115">
        <v>3</v>
      </c>
      <c r="U115" t="s">
        <v>22</v>
      </c>
      <c r="V115" t="e">
        <f>IF(#REF! = "yes", 1, 0)</f>
        <v>#REF!</v>
      </c>
      <c r="W115" t="e">
        <f>IF(#REF! &lt;= 1, "0-1 Calls", IF(#REF! &lt;= 3, "2-3 Calls", IF(#REF! &lt;=5, "4-5 Calls", "6+ Calls")))</f>
        <v>#REF!</v>
      </c>
      <c r="X115" t="e">
        <f>IF(#REF! &lt;= 50, "0-50", IF(#REF! &lt;=100, "51-100", IF(#REF! &lt;= 150, "101-150", "151+")))</f>
        <v>#REF!</v>
      </c>
      <c r="Y115" t="e">
        <f>IF(#REF! &lt;= 3, "Low Charges", "High Charges")</f>
        <v>#REF!</v>
      </c>
      <c r="Z115" t="e">
        <f>IF(#REF!&lt;=80,"Low Calls",
IF(#REF!&lt;=120,"Medium Calls","High Calls"))</f>
        <v>#REF!</v>
      </c>
      <c r="AA115" t="e">
        <f>IF(#REF!&lt;=15,"Low Charges",
IF(#REF!&lt;=20,"Medium Charges","High Charges"))</f>
        <v>#REF!</v>
      </c>
      <c r="AB115" t="e">
        <f>IF(AND(#REF!&gt;180, #REF!&gt;200), "Heavy Doemstic User", IF(#REF!&gt;10, "Interntional User", IF(AND(#REF!&lt;180, #REF!&lt;200,#REF!&lt;200), "Light User", "Balanced User")))</f>
        <v>#REF!</v>
      </c>
      <c r="AC115" t="e">
        <f>IF(#REF! = 0, "No Usage", IF(#REF! &lt;= 20, "Low Usage", IF(#REF! &lt;= 40, "Medium Usgae", "High Usage")))</f>
        <v>#REF!</v>
      </c>
      <c r="AD115" t="e">
        <f>IF(#REF!&lt;=150,"Low Usage", IF(#REF!&lt;=200,"Medium Usage", IF(#REF!&lt;=250,"High Usage","Very High Usage")))</f>
        <v>#REF!</v>
      </c>
      <c r="AE115" t="e">
        <f>IF(#REF!&lt;=5,"Low Calls", IF(#REF!&lt;=10, "Medium Calls", "High Calls"))</f>
        <v>#REF!</v>
      </c>
      <c r="AF115" t="e">
        <f xml:space="preserve">
IF(#REF!&gt;=4,4,0)+
IF(#REF!="yes",3,0)+
IF(#REF!="High Charges",3,0)+
IF(#REF!&gt;250,4,0)+
IF(#REF!="no",1,0)+
IF(#REF!="Heavy Domestic User",2,0)</f>
        <v>#REF!</v>
      </c>
      <c r="AG115" t="e">
        <f>IF(#REF!&gt;=10,"High Risk", IF(#REF!&gt;=5,"Medium Risk","Low Risk"))</f>
        <v>#REF!</v>
      </c>
      <c r="AH115" t="e">
        <f>#REF! + #REF! + #REF! + #REF!</f>
        <v>#REF!</v>
      </c>
    </row>
    <row r="116" spans="1:34" x14ac:dyDescent="0.35">
      <c r="A116">
        <v>115</v>
      </c>
      <c r="B116" t="s">
        <v>47</v>
      </c>
      <c r="C116">
        <v>127</v>
      </c>
      <c r="D116" t="s">
        <v>28</v>
      </c>
      <c r="E116" t="s">
        <v>22</v>
      </c>
      <c r="F116" t="s">
        <v>23</v>
      </c>
      <c r="G116">
        <v>36</v>
      </c>
      <c r="H116">
        <v>183.2</v>
      </c>
      <c r="I116">
        <v>117</v>
      </c>
      <c r="J116">
        <v>31.14</v>
      </c>
      <c r="K116">
        <v>126.8</v>
      </c>
      <c r="L116">
        <v>76</v>
      </c>
      <c r="M116">
        <v>10.78</v>
      </c>
      <c r="N116">
        <v>263.3</v>
      </c>
      <c r="O116">
        <v>71</v>
      </c>
      <c r="P116">
        <v>11.85</v>
      </c>
      <c r="Q116">
        <v>11.2</v>
      </c>
      <c r="R116">
        <v>8</v>
      </c>
      <c r="S116">
        <v>3.02</v>
      </c>
      <c r="T116">
        <v>1</v>
      </c>
      <c r="U116" t="s">
        <v>22</v>
      </c>
      <c r="V116" t="e">
        <f>IF(#REF! = "yes", 1, 0)</f>
        <v>#REF!</v>
      </c>
      <c r="W116" t="e">
        <f>IF(#REF! &lt;= 1, "0-1 Calls", IF(#REF! &lt;= 3, "2-3 Calls", IF(#REF! &lt;=5, "4-5 Calls", "6+ Calls")))</f>
        <v>#REF!</v>
      </c>
      <c r="X116" t="e">
        <f>IF(#REF! &lt;= 50, "0-50", IF(#REF! &lt;=100, "51-100", IF(#REF! &lt;= 150, "101-150", "151+")))</f>
        <v>#REF!</v>
      </c>
      <c r="Y116" t="e">
        <f>IF(#REF! &lt;= 3, "Low Charges", "High Charges")</f>
        <v>#REF!</v>
      </c>
      <c r="Z116" t="e">
        <f>IF(#REF!&lt;=80,"Low Calls",
IF(#REF!&lt;=120,"Medium Calls","High Calls"))</f>
        <v>#REF!</v>
      </c>
      <c r="AA116" t="e">
        <f>IF(#REF!&lt;=15,"Low Charges",
IF(#REF!&lt;=20,"Medium Charges","High Charges"))</f>
        <v>#REF!</v>
      </c>
      <c r="AB116" t="e">
        <f>IF(AND(#REF!&gt;180, #REF!&gt;200), "Heavy Doemstic User", IF(#REF!&gt;10, "Interntional User", IF(AND(#REF!&lt;180, #REF!&lt;200,#REF!&lt;200), "Light User", "Balanced User")))</f>
        <v>#REF!</v>
      </c>
      <c r="AC116" t="e">
        <f>IF(#REF! = 0, "No Usage", IF(#REF! &lt;= 20, "Low Usage", IF(#REF! &lt;= 40, "Medium Usgae", "High Usage")))</f>
        <v>#REF!</v>
      </c>
      <c r="AD116" t="e">
        <f>IF(#REF!&lt;=150,"Low Usage", IF(#REF!&lt;=200,"Medium Usage", IF(#REF!&lt;=250,"High Usage","Very High Usage")))</f>
        <v>#REF!</v>
      </c>
      <c r="AE116" t="e">
        <f>IF(#REF!&lt;=5,"Low Calls", IF(#REF!&lt;=10, "Medium Calls", "High Calls"))</f>
        <v>#REF!</v>
      </c>
      <c r="AF116" t="e">
        <f xml:space="preserve">
IF(#REF!&gt;=4,4,0)+
IF(#REF!="yes",3,0)+
IF(#REF!="High Charges",3,0)+
IF(#REF!&gt;250,4,0)+
IF(#REF!="no",1,0)+
IF(#REF!="Heavy Domestic User",2,0)</f>
        <v>#REF!</v>
      </c>
      <c r="AG116" t="e">
        <f>IF(#REF!&gt;=10,"High Risk", IF(#REF!&gt;=5,"Medium Risk","Low Risk"))</f>
        <v>#REF!</v>
      </c>
      <c r="AH116" t="e">
        <f>#REF! + #REF! + #REF! + #REF!</f>
        <v>#REF!</v>
      </c>
    </row>
    <row r="117" spans="1:34" x14ac:dyDescent="0.35">
      <c r="A117">
        <v>116</v>
      </c>
      <c r="B117" t="s">
        <v>62</v>
      </c>
      <c r="C117">
        <v>113</v>
      </c>
      <c r="D117" t="s">
        <v>21</v>
      </c>
      <c r="E117" t="s">
        <v>22</v>
      </c>
      <c r="F117" t="s">
        <v>23</v>
      </c>
      <c r="G117">
        <v>23</v>
      </c>
      <c r="H117">
        <v>205</v>
      </c>
      <c r="I117">
        <v>101</v>
      </c>
      <c r="J117">
        <v>34.85</v>
      </c>
      <c r="K117">
        <v>152</v>
      </c>
      <c r="L117">
        <v>60</v>
      </c>
      <c r="M117">
        <v>12.92</v>
      </c>
      <c r="N117">
        <v>158.6</v>
      </c>
      <c r="O117">
        <v>59</v>
      </c>
      <c r="P117">
        <v>7.14</v>
      </c>
      <c r="Q117">
        <v>10.199999999999999</v>
      </c>
      <c r="R117">
        <v>5</v>
      </c>
      <c r="S117">
        <v>2.75</v>
      </c>
      <c r="T117">
        <v>2</v>
      </c>
      <c r="U117" t="s">
        <v>22</v>
      </c>
      <c r="V117" t="e">
        <f>IF(#REF! = "yes", 1, 0)</f>
        <v>#REF!</v>
      </c>
      <c r="W117" t="e">
        <f>IF(#REF! &lt;= 1, "0-1 Calls", IF(#REF! &lt;= 3, "2-3 Calls", IF(#REF! &lt;=5, "4-5 Calls", "6+ Calls")))</f>
        <v>#REF!</v>
      </c>
      <c r="X117" t="e">
        <f>IF(#REF! &lt;= 50, "0-50", IF(#REF! &lt;=100, "51-100", IF(#REF! &lt;= 150, "101-150", "151+")))</f>
        <v>#REF!</v>
      </c>
      <c r="Y117" t="e">
        <f>IF(#REF! &lt;= 3, "Low Charges", "High Charges")</f>
        <v>#REF!</v>
      </c>
      <c r="Z117" t="e">
        <f>IF(#REF!&lt;=80,"Low Calls",
IF(#REF!&lt;=120,"Medium Calls","High Calls"))</f>
        <v>#REF!</v>
      </c>
      <c r="AA117" t="e">
        <f>IF(#REF!&lt;=15,"Low Charges",
IF(#REF!&lt;=20,"Medium Charges","High Charges"))</f>
        <v>#REF!</v>
      </c>
      <c r="AB117" t="e">
        <f>IF(AND(#REF!&gt;180, #REF!&gt;200), "Heavy Doemstic User", IF(#REF!&gt;10, "Interntional User", IF(AND(#REF!&lt;180, #REF!&lt;200,#REF!&lt;200), "Light User", "Balanced User")))</f>
        <v>#REF!</v>
      </c>
      <c r="AC117" t="e">
        <f>IF(#REF! = 0, "No Usage", IF(#REF! &lt;= 20, "Low Usage", IF(#REF! &lt;= 40, "Medium Usgae", "High Usage")))</f>
        <v>#REF!</v>
      </c>
      <c r="AD117" t="e">
        <f>IF(#REF!&lt;=150,"Low Usage", IF(#REF!&lt;=200,"Medium Usage", IF(#REF!&lt;=250,"High Usage","Very High Usage")))</f>
        <v>#REF!</v>
      </c>
      <c r="AE117" t="e">
        <f>IF(#REF!&lt;=5,"Low Calls", IF(#REF!&lt;=10, "Medium Calls", "High Calls"))</f>
        <v>#REF!</v>
      </c>
      <c r="AF117" t="e">
        <f xml:space="preserve">
IF(#REF!&gt;=4,4,0)+
IF(#REF!="yes",3,0)+
IF(#REF!="High Charges",3,0)+
IF(#REF!&gt;250,4,0)+
IF(#REF!="no",1,0)+
IF(#REF!="Heavy Domestic User",2,0)</f>
        <v>#REF!</v>
      </c>
      <c r="AG117" t="e">
        <f>IF(#REF!&gt;=10,"High Risk", IF(#REF!&gt;=5,"Medium Risk","Low Risk"))</f>
        <v>#REF!</v>
      </c>
      <c r="AH117" t="e">
        <f>#REF! + #REF! + #REF! + #REF!</f>
        <v>#REF!</v>
      </c>
    </row>
    <row r="118" spans="1:34" x14ac:dyDescent="0.35">
      <c r="A118">
        <v>117</v>
      </c>
      <c r="B118" t="s">
        <v>54</v>
      </c>
      <c r="C118">
        <v>110</v>
      </c>
      <c r="D118" t="s">
        <v>28</v>
      </c>
      <c r="E118" t="s">
        <v>22</v>
      </c>
      <c r="F118" t="s">
        <v>22</v>
      </c>
      <c r="G118">
        <v>0</v>
      </c>
      <c r="H118">
        <v>148.5</v>
      </c>
      <c r="I118">
        <v>115</v>
      </c>
      <c r="J118">
        <v>25.25</v>
      </c>
      <c r="K118">
        <v>276.39999999999998</v>
      </c>
      <c r="L118">
        <v>84</v>
      </c>
      <c r="M118">
        <v>23.49</v>
      </c>
      <c r="N118">
        <v>193.6</v>
      </c>
      <c r="O118">
        <v>112</v>
      </c>
      <c r="P118">
        <v>8.7100000000000009</v>
      </c>
      <c r="Q118">
        <v>12.4</v>
      </c>
      <c r="R118">
        <v>3</v>
      </c>
      <c r="S118">
        <v>3.35</v>
      </c>
      <c r="T118">
        <v>1</v>
      </c>
      <c r="U118" t="s">
        <v>22</v>
      </c>
      <c r="V118" t="e">
        <f>IF(#REF! = "yes", 1, 0)</f>
        <v>#REF!</v>
      </c>
      <c r="W118" t="e">
        <f>IF(#REF! &lt;= 1, "0-1 Calls", IF(#REF! &lt;= 3, "2-3 Calls", IF(#REF! &lt;=5, "4-5 Calls", "6+ Calls")))</f>
        <v>#REF!</v>
      </c>
      <c r="X118" t="e">
        <f>IF(#REF! &lt;= 50, "0-50", IF(#REF! &lt;=100, "51-100", IF(#REF! &lt;= 150, "101-150", "151+")))</f>
        <v>#REF!</v>
      </c>
      <c r="Y118" t="e">
        <f>IF(#REF! &lt;= 3, "Low Charges", "High Charges")</f>
        <v>#REF!</v>
      </c>
      <c r="Z118" t="e">
        <f>IF(#REF!&lt;=80,"Low Calls",
IF(#REF!&lt;=120,"Medium Calls","High Calls"))</f>
        <v>#REF!</v>
      </c>
      <c r="AA118" t="e">
        <f>IF(#REF!&lt;=15,"Low Charges",
IF(#REF!&lt;=20,"Medium Charges","High Charges"))</f>
        <v>#REF!</v>
      </c>
      <c r="AB118" t="e">
        <f>IF(AND(#REF!&gt;180, #REF!&gt;200), "Heavy Doemstic User", IF(#REF!&gt;10, "Interntional User", IF(AND(#REF!&lt;180, #REF!&lt;200,#REF!&lt;200), "Light User", "Balanced User")))</f>
        <v>#REF!</v>
      </c>
      <c r="AC118" t="e">
        <f>IF(#REF! = 0, "No Usage", IF(#REF! &lt;= 20, "Low Usage", IF(#REF! &lt;= 40, "Medium Usgae", "High Usage")))</f>
        <v>#REF!</v>
      </c>
      <c r="AD118" t="e">
        <f>IF(#REF!&lt;=150,"Low Usage", IF(#REF!&lt;=200,"Medium Usage", IF(#REF!&lt;=250,"High Usage","Very High Usage")))</f>
        <v>#REF!</v>
      </c>
      <c r="AE118" t="e">
        <f>IF(#REF!&lt;=5,"Low Calls", IF(#REF!&lt;=10, "Medium Calls", "High Calls"))</f>
        <v>#REF!</v>
      </c>
      <c r="AF118" t="e">
        <f xml:space="preserve">
IF(#REF!&gt;=4,4,0)+
IF(#REF!="yes",3,0)+
IF(#REF!="High Charges",3,0)+
IF(#REF!&gt;250,4,0)+
IF(#REF!="no",1,0)+
IF(#REF!="Heavy Domestic User",2,0)</f>
        <v>#REF!</v>
      </c>
      <c r="AG118" t="e">
        <f>IF(#REF!&gt;=10,"High Risk", IF(#REF!&gt;=5,"Medium Risk","Low Risk"))</f>
        <v>#REF!</v>
      </c>
      <c r="AH118" t="e">
        <f>#REF! + #REF! + #REF! + #REF!</f>
        <v>#REF!</v>
      </c>
    </row>
    <row r="119" spans="1:34" x14ac:dyDescent="0.35">
      <c r="A119">
        <v>118</v>
      </c>
      <c r="B119" t="s">
        <v>49</v>
      </c>
      <c r="C119">
        <v>120</v>
      </c>
      <c r="D119" t="s">
        <v>21</v>
      </c>
      <c r="E119" t="s">
        <v>22</v>
      </c>
      <c r="F119" t="s">
        <v>23</v>
      </c>
      <c r="G119">
        <v>39</v>
      </c>
      <c r="H119">
        <v>200.3</v>
      </c>
      <c r="I119">
        <v>68</v>
      </c>
      <c r="J119">
        <v>34.049999999999997</v>
      </c>
      <c r="K119">
        <v>220.4</v>
      </c>
      <c r="L119">
        <v>97</v>
      </c>
      <c r="M119">
        <v>18.73</v>
      </c>
      <c r="N119">
        <v>253.8</v>
      </c>
      <c r="O119">
        <v>116</v>
      </c>
      <c r="P119">
        <v>11.42</v>
      </c>
      <c r="Q119">
        <v>10.5</v>
      </c>
      <c r="R119">
        <v>4</v>
      </c>
      <c r="S119">
        <v>2.84</v>
      </c>
      <c r="T119">
        <v>0</v>
      </c>
      <c r="U119" t="s">
        <v>22</v>
      </c>
      <c r="V119" t="e">
        <f>IF(#REF! = "yes", 1, 0)</f>
        <v>#REF!</v>
      </c>
      <c r="W119" t="e">
        <f>IF(#REF! &lt;= 1, "0-1 Calls", IF(#REF! &lt;= 3, "2-3 Calls", IF(#REF! &lt;=5, "4-5 Calls", "6+ Calls")))</f>
        <v>#REF!</v>
      </c>
      <c r="X119" t="e">
        <f>IF(#REF! &lt;= 50, "0-50", IF(#REF! &lt;=100, "51-100", IF(#REF! &lt;= 150, "101-150", "151+")))</f>
        <v>#REF!</v>
      </c>
      <c r="Y119" t="e">
        <f>IF(#REF! &lt;= 3, "Low Charges", "High Charges")</f>
        <v>#REF!</v>
      </c>
      <c r="Z119" t="e">
        <f>IF(#REF!&lt;=80,"Low Calls",
IF(#REF!&lt;=120,"Medium Calls","High Calls"))</f>
        <v>#REF!</v>
      </c>
      <c r="AA119" t="e">
        <f>IF(#REF!&lt;=15,"Low Charges",
IF(#REF!&lt;=20,"Medium Charges","High Charges"))</f>
        <v>#REF!</v>
      </c>
      <c r="AB119" t="e">
        <f>IF(AND(#REF!&gt;180, #REF!&gt;200), "Heavy Doemstic User", IF(#REF!&gt;10, "Interntional User", IF(AND(#REF!&lt;180, #REF!&lt;200,#REF!&lt;200), "Light User", "Balanced User")))</f>
        <v>#REF!</v>
      </c>
      <c r="AC119" t="e">
        <f>IF(#REF! = 0, "No Usage", IF(#REF! &lt;= 20, "Low Usage", IF(#REF! &lt;= 40, "Medium Usgae", "High Usage")))</f>
        <v>#REF!</v>
      </c>
      <c r="AD119" t="e">
        <f>IF(#REF!&lt;=150,"Low Usage", IF(#REF!&lt;=200,"Medium Usage", IF(#REF!&lt;=250,"High Usage","Very High Usage")))</f>
        <v>#REF!</v>
      </c>
      <c r="AE119" t="e">
        <f>IF(#REF!&lt;=5,"Low Calls", IF(#REF!&lt;=10, "Medium Calls", "High Calls"))</f>
        <v>#REF!</v>
      </c>
      <c r="AF119" t="e">
        <f xml:space="preserve">
IF(#REF!&gt;=4,4,0)+
IF(#REF!="yes",3,0)+
IF(#REF!="High Charges",3,0)+
IF(#REF!&gt;250,4,0)+
IF(#REF!="no",1,0)+
IF(#REF!="Heavy Domestic User",2,0)</f>
        <v>#REF!</v>
      </c>
      <c r="AG119" t="e">
        <f>IF(#REF!&gt;=10,"High Risk", IF(#REF!&gt;=5,"Medium Risk","Low Risk"))</f>
        <v>#REF!</v>
      </c>
      <c r="AH119" t="e">
        <f>#REF! + #REF! + #REF! + #REF!</f>
        <v>#REF!</v>
      </c>
    </row>
    <row r="120" spans="1:34" x14ac:dyDescent="0.35">
      <c r="A120">
        <v>119</v>
      </c>
      <c r="B120" t="s">
        <v>53</v>
      </c>
      <c r="C120">
        <v>157</v>
      </c>
      <c r="D120" t="s">
        <v>21</v>
      </c>
      <c r="E120" t="s">
        <v>22</v>
      </c>
      <c r="F120" t="s">
        <v>23</v>
      </c>
      <c r="G120">
        <v>28</v>
      </c>
      <c r="H120">
        <v>192.6</v>
      </c>
      <c r="I120">
        <v>107</v>
      </c>
      <c r="J120">
        <v>32.74</v>
      </c>
      <c r="K120">
        <v>195.5</v>
      </c>
      <c r="L120">
        <v>74</v>
      </c>
      <c r="M120">
        <v>16.62</v>
      </c>
      <c r="N120">
        <v>109.7</v>
      </c>
      <c r="O120">
        <v>139</v>
      </c>
      <c r="P120">
        <v>4.9400000000000004</v>
      </c>
      <c r="Q120">
        <v>6.8</v>
      </c>
      <c r="R120">
        <v>5</v>
      </c>
      <c r="S120">
        <v>1.84</v>
      </c>
      <c r="T120">
        <v>3</v>
      </c>
      <c r="U120" t="s">
        <v>22</v>
      </c>
      <c r="V120" t="e">
        <f>IF(#REF! = "yes", 1, 0)</f>
        <v>#REF!</v>
      </c>
      <c r="W120" t="e">
        <f>IF(#REF! &lt;= 1, "0-1 Calls", IF(#REF! &lt;= 3, "2-3 Calls", IF(#REF! &lt;=5, "4-5 Calls", "6+ Calls")))</f>
        <v>#REF!</v>
      </c>
      <c r="X120" t="e">
        <f>IF(#REF! &lt;= 50, "0-50", IF(#REF! &lt;=100, "51-100", IF(#REF! &lt;= 150, "101-150", "151+")))</f>
        <v>#REF!</v>
      </c>
      <c r="Y120" t="e">
        <f>IF(#REF! &lt;= 3, "Low Charges", "High Charges")</f>
        <v>#REF!</v>
      </c>
      <c r="Z120" t="e">
        <f>IF(#REF!&lt;=80,"Low Calls",
IF(#REF!&lt;=120,"Medium Calls","High Calls"))</f>
        <v>#REF!</v>
      </c>
      <c r="AA120" t="e">
        <f>IF(#REF!&lt;=15,"Low Charges",
IF(#REF!&lt;=20,"Medium Charges","High Charges"))</f>
        <v>#REF!</v>
      </c>
      <c r="AB120" t="e">
        <f>IF(AND(#REF!&gt;180, #REF!&gt;200), "Heavy Doemstic User", IF(#REF!&gt;10, "Interntional User", IF(AND(#REF!&lt;180, #REF!&lt;200,#REF!&lt;200), "Light User", "Balanced User")))</f>
        <v>#REF!</v>
      </c>
      <c r="AC120" t="e">
        <f>IF(#REF! = 0, "No Usage", IF(#REF! &lt;= 20, "Low Usage", IF(#REF! &lt;= 40, "Medium Usgae", "High Usage")))</f>
        <v>#REF!</v>
      </c>
      <c r="AD120" t="e">
        <f>IF(#REF!&lt;=150,"Low Usage", IF(#REF!&lt;=200,"Medium Usage", IF(#REF!&lt;=250,"High Usage","Very High Usage")))</f>
        <v>#REF!</v>
      </c>
      <c r="AE120" t="e">
        <f>IF(#REF!&lt;=5,"Low Calls", IF(#REF!&lt;=10, "Medium Calls", "High Calls"))</f>
        <v>#REF!</v>
      </c>
      <c r="AF120" t="e">
        <f xml:space="preserve">
IF(#REF!&gt;=4,4,0)+
IF(#REF!="yes",3,0)+
IF(#REF!="High Charges",3,0)+
IF(#REF!&gt;250,4,0)+
IF(#REF!="no",1,0)+
IF(#REF!="Heavy Domestic User",2,0)</f>
        <v>#REF!</v>
      </c>
      <c r="AG120" t="e">
        <f>IF(#REF!&gt;=10,"High Risk", IF(#REF!&gt;=5,"Medium Risk","Low Risk"))</f>
        <v>#REF!</v>
      </c>
      <c r="AH120" t="e">
        <f>#REF! + #REF! + #REF! + #REF!</f>
        <v>#REF!</v>
      </c>
    </row>
    <row r="121" spans="1:34" x14ac:dyDescent="0.35">
      <c r="A121">
        <v>120</v>
      </c>
      <c r="B121" t="s">
        <v>64</v>
      </c>
      <c r="C121">
        <v>103</v>
      </c>
      <c r="D121" t="s">
        <v>28</v>
      </c>
      <c r="E121" t="s">
        <v>22</v>
      </c>
      <c r="F121" t="s">
        <v>22</v>
      </c>
      <c r="G121">
        <v>0</v>
      </c>
      <c r="H121">
        <v>246.5</v>
      </c>
      <c r="I121">
        <v>47</v>
      </c>
      <c r="J121">
        <v>41.91</v>
      </c>
      <c r="K121">
        <v>195.5</v>
      </c>
      <c r="L121">
        <v>84</v>
      </c>
      <c r="M121">
        <v>16.62</v>
      </c>
      <c r="N121">
        <v>200.5</v>
      </c>
      <c r="O121">
        <v>96</v>
      </c>
      <c r="P121">
        <v>9.02</v>
      </c>
      <c r="Q121">
        <v>11.7</v>
      </c>
      <c r="R121">
        <v>4</v>
      </c>
      <c r="S121">
        <v>3.16</v>
      </c>
      <c r="T121">
        <v>1</v>
      </c>
      <c r="U121" t="s">
        <v>22</v>
      </c>
      <c r="V121" t="e">
        <f>IF(#REF! = "yes", 1, 0)</f>
        <v>#REF!</v>
      </c>
      <c r="W121" t="e">
        <f>IF(#REF! &lt;= 1, "0-1 Calls", IF(#REF! &lt;= 3, "2-3 Calls", IF(#REF! &lt;=5, "4-5 Calls", "6+ Calls")))</f>
        <v>#REF!</v>
      </c>
      <c r="X121" t="e">
        <f>IF(#REF! &lt;= 50, "0-50", IF(#REF! &lt;=100, "51-100", IF(#REF! &lt;= 150, "101-150", "151+")))</f>
        <v>#REF!</v>
      </c>
      <c r="Y121" t="e">
        <f>IF(#REF! &lt;= 3, "Low Charges", "High Charges")</f>
        <v>#REF!</v>
      </c>
      <c r="Z121" t="e">
        <f>IF(#REF!&lt;=80,"Low Calls",
IF(#REF!&lt;=120,"Medium Calls","High Calls"))</f>
        <v>#REF!</v>
      </c>
      <c r="AA121" t="e">
        <f>IF(#REF!&lt;=15,"Low Charges",
IF(#REF!&lt;=20,"Medium Charges","High Charges"))</f>
        <v>#REF!</v>
      </c>
      <c r="AB121" t="e">
        <f>IF(AND(#REF!&gt;180, #REF!&gt;200), "Heavy Doemstic User", IF(#REF!&gt;10, "Interntional User", IF(AND(#REF!&lt;180, #REF!&lt;200,#REF!&lt;200), "Light User", "Balanced User")))</f>
        <v>#REF!</v>
      </c>
      <c r="AC121" t="e">
        <f>IF(#REF! = 0, "No Usage", IF(#REF! &lt;= 20, "Low Usage", IF(#REF! &lt;= 40, "Medium Usgae", "High Usage")))</f>
        <v>#REF!</v>
      </c>
      <c r="AD121" t="e">
        <f>IF(#REF!&lt;=150,"Low Usage", IF(#REF!&lt;=200,"Medium Usage", IF(#REF!&lt;=250,"High Usage","Very High Usage")))</f>
        <v>#REF!</v>
      </c>
      <c r="AE121" t="e">
        <f>IF(#REF!&lt;=5,"Low Calls", IF(#REF!&lt;=10, "Medium Calls", "High Calls"))</f>
        <v>#REF!</v>
      </c>
      <c r="AF121" t="e">
        <f xml:space="preserve">
IF(#REF!&gt;=4,4,0)+
IF(#REF!="yes",3,0)+
IF(#REF!="High Charges",3,0)+
IF(#REF!&gt;250,4,0)+
IF(#REF!="no",1,0)+
IF(#REF!="Heavy Domestic User",2,0)</f>
        <v>#REF!</v>
      </c>
      <c r="AG121" t="e">
        <f>IF(#REF!&gt;=10,"High Risk", IF(#REF!&gt;=5,"Medium Risk","Low Risk"))</f>
        <v>#REF!</v>
      </c>
      <c r="AH121" t="e">
        <f>#REF! + #REF! + #REF! + #REF!</f>
        <v>#REF!</v>
      </c>
    </row>
    <row r="122" spans="1:34" x14ac:dyDescent="0.35">
      <c r="A122">
        <v>121</v>
      </c>
      <c r="B122" t="s">
        <v>64</v>
      </c>
      <c r="C122">
        <v>117</v>
      </c>
      <c r="D122" t="s">
        <v>25</v>
      </c>
      <c r="E122" t="s">
        <v>23</v>
      </c>
      <c r="F122" t="s">
        <v>22</v>
      </c>
      <c r="G122">
        <v>0</v>
      </c>
      <c r="H122">
        <v>167.1</v>
      </c>
      <c r="I122">
        <v>86</v>
      </c>
      <c r="J122">
        <v>28.41</v>
      </c>
      <c r="K122">
        <v>177.5</v>
      </c>
      <c r="L122">
        <v>87</v>
      </c>
      <c r="M122">
        <v>15.09</v>
      </c>
      <c r="N122">
        <v>249.4</v>
      </c>
      <c r="O122">
        <v>132</v>
      </c>
      <c r="P122">
        <v>11.22</v>
      </c>
      <c r="Q122">
        <v>14.1</v>
      </c>
      <c r="R122">
        <v>7</v>
      </c>
      <c r="S122">
        <v>3.81</v>
      </c>
      <c r="T122">
        <v>2</v>
      </c>
      <c r="U122" t="s">
        <v>23</v>
      </c>
      <c r="V122" t="e">
        <f>IF(#REF! = "yes", 1, 0)</f>
        <v>#REF!</v>
      </c>
      <c r="W122" t="e">
        <f>IF(#REF! &lt;= 1, "0-1 Calls", IF(#REF! &lt;= 3, "2-3 Calls", IF(#REF! &lt;=5, "4-5 Calls", "6+ Calls")))</f>
        <v>#REF!</v>
      </c>
      <c r="X122" t="e">
        <f>IF(#REF! &lt;= 50, "0-50", IF(#REF! &lt;=100, "51-100", IF(#REF! &lt;= 150, "101-150", "151+")))</f>
        <v>#REF!</v>
      </c>
      <c r="Y122" t="e">
        <f>IF(#REF! &lt;= 3, "Low Charges", "High Charges")</f>
        <v>#REF!</v>
      </c>
      <c r="Z122" t="e">
        <f>IF(#REF!&lt;=80,"Low Calls",
IF(#REF!&lt;=120,"Medium Calls","High Calls"))</f>
        <v>#REF!</v>
      </c>
      <c r="AA122" t="e">
        <f>IF(#REF!&lt;=15,"Low Charges",
IF(#REF!&lt;=20,"Medium Charges","High Charges"))</f>
        <v>#REF!</v>
      </c>
      <c r="AB122" t="e">
        <f>IF(AND(#REF!&gt;180, #REF!&gt;200), "Heavy Doemstic User", IF(#REF!&gt;10, "Interntional User", IF(AND(#REF!&lt;180, #REF!&lt;200,#REF!&lt;200), "Light User", "Balanced User")))</f>
        <v>#REF!</v>
      </c>
      <c r="AC122" t="e">
        <f>IF(#REF! = 0, "No Usage", IF(#REF! &lt;= 20, "Low Usage", IF(#REF! &lt;= 40, "Medium Usgae", "High Usage")))</f>
        <v>#REF!</v>
      </c>
      <c r="AD122" t="e">
        <f>IF(#REF!&lt;=150,"Low Usage", IF(#REF!&lt;=200,"Medium Usage", IF(#REF!&lt;=250,"High Usage","Very High Usage")))</f>
        <v>#REF!</v>
      </c>
      <c r="AE122" t="e">
        <f>IF(#REF!&lt;=5,"Low Calls", IF(#REF!&lt;=10, "Medium Calls", "High Calls"))</f>
        <v>#REF!</v>
      </c>
      <c r="AF122" t="e">
        <f xml:space="preserve">
IF(#REF!&gt;=4,4,0)+
IF(#REF!="yes",3,0)+
IF(#REF!="High Charges",3,0)+
IF(#REF!&gt;250,4,0)+
IF(#REF!="no",1,0)+
IF(#REF!="Heavy Domestic User",2,0)</f>
        <v>#REF!</v>
      </c>
      <c r="AG122" t="e">
        <f>IF(#REF!&gt;=10,"High Risk", IF(#REF!&gt;=5,"Medium Risk","Low Risk"))</f>
        <v>#REF!</v>
      </c>
      <c r="AH122" t="e">
        <f>#REF! + #REF! + #REF! + #REF!</f>
        <v>#REF!</v>
      </c>
    </row>
    <row r="123" spans="1:34" x14ac:dyDescent="0.35">
      <c r="A123">
        <v>122</v>
      </c>
      <c r="B123" t="s">
        <v>30</v>
      </c>
      <c r="C123">
        <v>121</v>
      </c>
      <c r="D123" t="s">
        <v>25</v>
      </c>
      <c r="E123" t="s">
        <v>22</v>
      </c>
      <c r="F123" t="s">
        <v>22</v>
      </c>
      <c r="G123">
        <v>0</v>
      </c>
      <c r="H123">
        <v>181.5</v>
      </c>
      <c r="I123">
        <v>121</v>
      </c>
      <c r="J123">
        <v>30.86</v>
      </c>
      <c r="K123">
        <v>218.4</v>
      </c>
      <c r="L123">
        <v>98</v>
      </c>
      <c r="M123">
        <v>18.559999999999999</v>
      </c>
      <c r="N123">
        <v>161.6</v>
      </c>
      <c r="O123">
        <v>103</v>
      </c>
      <c r="P123">
        <v>7.27</v>
      </c>
      <c r="Q123">
        <v>8.5</v>
      </c>
      <c r="R123">
        <v>5</v>
      </c>
      <c r="S123">
        <v>2.2999999999999998</v>
      </c>
      <c r="T123">
        <v>1</v>
      </c>
      <c r="U123" t="s">
        <v>22</v>
      </c>
      <c r="V123" t="e">
        <f>IF(#REF! = "yes", 1, 0)</f>
        <v>#REF!</v>
      </c>
      <c r="W123" t="e">
        <f>IF(#REF! &lt;= 1, "0-1 Calls", IF(#REF! &lt;= 3, "2-3 Calls", IF(#REF! &lt;=5, "4-5 Calls", "6+ Calls")))</f>
        <v>#REF!</v>
      </c>
      <c r="X123" t="e">
        <f>IF(#REF! &lt;= 50, "0-50", IF(#REF! &lt;=100, "51-100", IF(#REF! &lt;= 150, "101-150", "151+")))</f>
        <v>#REF!</v>
      </c>
      <c r="Y123" t="e">
        <f>IF(#REF! &lt;= 3, "Low Charges", "High Charges")</f>
        <v>#REF!</v>
      </c>
      <c r="Z123" t="e">
        <f>IF(#REF!&lt;=80,"Low Calls",
IF(#REF!&lt;=120,"Medium Calls","High Calls"))</f>
        <v>#REF!</v>
      </c>
      <c r="AA123" t="e">
        <f>IF(#REF!&lt;=15,"Low Charges",
IF(#REF!&lt;=20,"Medium Charges","High Charges"))</f>
        <v>#REF!</v>
      </c>
      <c r="AB123" t="e">
        <f>IF(AND(#REF!&gt;180, #REF!&gt;200), "Heavy Doemstic User", IF(#REF!&gt;10, "Interntional User", IF(AND(#REF!&lt;180, #REF!&lt;200,#REF!&lt;200), "Light User", "Balanced User")))</f>
        <v>#REF!</v>
      </c>
      <c r="AC123" t="e">
        <f>IF(#REF! = 0, "No Usage", IF(#REF! &lt;= 20, "Low Usage", IF(#REF! &lt;= 40, "Medium Usgae", "High Usage")))</f>
        <v>#REF!</v>
      </c>
      <c r="AD123" t="e">
        <f>IF(#REF!&lt;=150,"Low Usage", IF(#REF!&lt;=200,"Medium Usage", IF(#REF!&lt;=250,"High Usage","Very High Usage")))</f>
        <v>#REF!</v>
      </c>
      <c r="AE123" t="e">
        <f>IF(#REF!&lt;=5,"Low Calls", IF(#REF!&lt;=10, "Medium Calls", "High Calls"))</f>
        <v>#REF!</v>
      </c>
      <c r="AF123" t="e">
        <f xml:space="preserve">
IF(#REF!&gt;=4,4,0)+
IF(#REF!="yes",3,0)+
IF(#REF!="High Charges",3,0)+
IF(#REF!&gt;250,4,0)+
IF(#REF!="no",1,0)+
IF(#REF!="Heavy Domestic User",2,0)</f>
        <v>#REF!</v>
      </c>
      <c r="AG123" t="e">
        <f>IF(#REF!&gt;=10,"High Risk", IF(#REF!&gt;=5,"Medium Risk","Low Risk"))</f>
        <v>#REF!</v>
      </c>
      <c r="AH123" t="e">
        <f>#REF! + #REF! + #REF! + #REF!</f>
        <v>#REF!</v>
      </c>
    </row>
    <row r="124" spans="1:34" x14ac:dyDescent="0.35">
      <c r="A124">
        <v>123</v>
      </c>
      <c r="B124" t="s">
        <v>33</v>
      </c>
      <c r="C124">
        <v>145</v>
      </c>
      <c r="D124" t="s">
        <v>25</v>
      </c>
      <c r="E124" t="s">
        <v>22</v>
      </c>
      <c r="F124" t="s">
        <v>23</v>
      </c>
      <c r="G124">
        <v>43</v>
      </c>
      <c r="H124">
        <v>257.7</v>
      </c>
      <c r="I124">
        <v>97</v>
      </c>
      <c r="J124">
        <v>43.81</v>
      </c>
      <c r="K124">
        <v>162.1</v>
      </c>
      <c r="L124">
        <v>95</v>
      </c>
      <c r="M124">
        <v>13.78</v>
      </c>
      <c r="N124">
        <v>286.89999999999998</v>
      </c>
      <c r="O124">
        <v>86</v>
      </c>
      <c r="P124">
        <v>12.91</v>
      </c>
      <c r="Q124">
        <v>11.1</v>
      </c>
      <c r="R124">
        <v>4</v>
      </c>
      <c r="S124">
        <v>3</v>
      </c>
      <c r="T124">
        <v>2</v>
      </c>
      <c r="U124" t="s">
        <v>22</v>
      </c>
      <c r="V124" t="e">
        <f>IF(#REF! = "yes", 1, 0)</f>
        <v>#REF!</v>
      </c>
      <c r="W124" t="e">
        <f>IF(#REF! &lt;= 1, "0-1 Calls", IF(#REF! &lt;= 3, "2-3 Calls", IF(#REF! &lt;=5, "4-5 Calls", "6+ Calls")))</f>
        <v>#REF!</v>
      </c>
      <c r="X124" t="e">
        <f>IF(#REF! &lt;= 50, "0-50", IF(#REF! &lt;=100, "51-100", IF(#REF! &lt;= 150, "101-150", "151+")))</f>
        <v>#REF!</v>
      </c>
      <c r="Y124" t="e">
        <f>IF(#REF! &lt;= 3, "Low Charges", "High Charges")</f>
        <v>#REF!</v>
      </c>
      <c r="Z124" t="e">
        <f>IF(#REF!&lt;=80,"Low Calls",
IF(#REF!&lt;=120,"Medium Calls","High Calls"))</f>
        <v>#REF!</v>
      </c>
      <c r="AA124" t="e">
        <f>IF(#REF!&lt;=15,"Low Charges",
IF(#REF!&lt;=20,"Medium Charges","High Charges"))</f>
        <v>#REF!</v>
      </c>
      <c r="AB124" t="e">
        <f>IF(AND(#REF!&gt;180, #REF!&gt;200), "Heavy Doemstic User", IF(#REF!&gt;10, "Interntional User", IF(AND(#REF!&lt;180, #REF!&lt;200,#REF!&lt;200), "Light User", "Balanced User")))</f>
        <v>#REF!</v>
      </c>
      <c r="AC124" t="e">
        <f>IF(#REF! = 0, "No Usage", IF(#REF! &lt;= 20, "Low Usage", IF(#REF! &lt;= 40, "Medium Usgae", "High Usage")))</f>
        <v>#REF!</v>
      </c>
      <c r="AD124" t="e">
        <f>IF(#REF!&lt;=150,"Low Usage", IF(#REF!&lt;=200,"Medium Usage", IF(#REF!&lt;=250,"High Usage","Very High Usage")))</f>
        <v>#REF!</v>
      </c>
      <c r="AE124" t="e">
        <f>IF(#REF!&lt;=5,"Low Calls", IF(#REF!&lt;=10, "Medium Calls", "High Calls"))</f>
        <v>#REF!</v>
      </c>
      <c r="AF124" t="e">
        <f xml:space="preserve">
IF(#REF!&gt;=4,4,0)+
IF(#REF!="yes",3,0)+
IF(#REF!="High Charges",3,0)+
IF(#REF!&gt;250,4,0)+
IF(#REF!="no",1,0)+
IF(#REF!="Heavy Domestic User",2,0)</f>
        <v>#REF!</v>
      </c>
      <c r="AG124" t="e">
        <f>IF(#REF!&gt;=10,"High Risk", IF(#REF!&gt;=5,"Medium Risk","Low Risk"))</f>
        <v>#REF!</v>
      </c>
      <c r="AH124" t="e">
        <f>#REF! + #REF! + #REF! + #REF!</f>
        <v>#REF!</v>
      </c>
    </row>
    <row r="125" spans="1:34" x14ac:dyDescent="0.35">
      <c r="A125">
        <v>124</v>
      </c>
      <c r="B125" t="s">
        <v>34</v>
      </c>
      <c r="C125">
        <v>113</v>
      </c>
      <c r="D125" t="s">
        <v>25</v>
      </c>
      <c r="E125" t="s">
        <v>22</v>
      </c>
      <c r="F125" t="s">
        <v>22</v>
      </c>
      <c r="G125">
        <v>0</v>
      </c>
      <c r="H125">
        <v>193.8</v>
      </c>
      <c r="I125">
        <v>99</v>
      </c>
      <c r="J125">
        <v>32.950000000000003</v>
      </c>
      <c r="K125">
        <v>221.4</v>
      </c>
      <c r="L125">
        <v>125</v>
      </c>
      <c r="M125">
        <v>18.82</v>
      </c>
      <c r="N125">
        <v>172.3</v>
      </c>
      <c r="O125">
        <v>67</v>
      </c>
      <c r="P125">
        <v>7.75</v>
      </c>
      <c r="Q125">
        <v>10.6</v>
      </c>
      <c r="R125">
        <v>6</v>
      </c>
      <c r="S125">
        <v>2.86</v>
      </c>
      <c r="T125">
        <v>1</v>
      </c>
      <c r="U125" t="s">
        <v>22</v>
      </c>
      <c r="V125" t="e">
        <f>IF(#REF! = "yes", 1, 0)</f>
        <v>#REF!</v>
      </c>
      <c r="W125" t="e">
        <f>IF(#REF! &lt;= 1, "0-1 Calls", IF(#REF! &lt;= 3, "2-3 Calls", IF(#REF! &lt;=5, "4-5 Calls", "6+ Calls")))</f>
        <v>#REF!</v>
      </c>
      <c r="X125" t="e">
        <f>IF(#REF! &lt;= 50, "0-50", IF(#REF! &lt;=100, "51-100", IF(#REF! &lt;= 150, "101-150", "151+")))</f>
        <v>#REF!</v>
      </c>
      <c r="Y125" t="e">
        <f>IF(#REF! &lt;= 3, "Low Charges", "High Charges")</f>
        <v>#REF!</v>
      </c>
      <c r="Z125" t="e">
        <f>IF(#REF!&lt;=80,"Low Calls",
IF(#REF!&lt;=120,"Medium Calls","High Calls"))</f>
        <v>#REF!</v>
      </c>
      <c r="AA125" t="e">
        <f>IF(#REF!&lt;=15,"Low Charges",
IF(#REF!&lt;=20,"Medium Charges","High Charges"))</f>
        <v>#REF!</v>
      </c>
      <c r="AB125" t="e">
        <f>IF(AND(#REF!&gt;180, #REF!&gt;200), "Heavy Doemstic User", IF(#REF!&gt;10, "Interntional User", IF(AND(#REF!&lt;180, #REF!&lt;200,#REF!&lt;200), "Light User", "Balanced User")))</f>
        <v>#REF!</v>
      </c>
      <c r="AC125" t="e">
        <f>IF(#REF! = 0, "No Usage", IF(#REF! &lt;= 20, "Low Usage", IF(#REF! &lt;= 40, "Medium Usgae", "High Usage")))</f>
        <v>#REF!</v>
      </c>
      <c r="AD125" t="e">
        <f>IF(#REF!&lt;=150,"Low Usage", IF(#REF!&lt;=200,"Medium Usage", IF(#REF!&lt;=250,"High Usage","Very High Usage")))</f>
        <v>#REF!</v>
      </c>
      <c r="AE125" t="e">
        <f>IF(#REF!&lt;=5,"Low Calls", IF(#REF!&lt;=10, "Medium Calls", "High Calls"))</f>
        <v>#REF!</v>
      </c>
      <c r="AF125" t="e">
        <f xml:space="preserve">
IF(#REF!&gt;=4,4,0)+
IF(#REF!="yes",3,0)+
IF(#REF!="High Charges",3,0)+
IF(#REF!&gt;250,4,0)+
IF(#REF!="no",1,0)+
IF(#REF!="Heavy Domestic User",2,0)</f>
        <v>#REF!</v>
      </c>
      <c r="AG125" t="e">
        <f>IF(#REF!&gt;=10,"High Risk", IF(#REF!&gt;=5,"Medium Risk","Low Risk"))</f>
        <v>#REF!</v>
      </c>
      <c r="AH125" t="e">
        <f>#REF! + #REF! + #REF! + #REF!</f>
        <v>#REF!</v>
      </c>
    </row>
    <row r="126" spans="1:34" x14ac:dyDescent="0.35">
      <c r="A126">
        <v>125</v>
      </c>
      <c r="B126" t="s">
        <v>69</v>
      </c>
      <c r="C126">
        <v>117</v>
      </c>
      <c r="D126" t="s">
        <v>21</v>
      </c>
      <c r="E126" t="s">
        <v>22</v>
      </c>
      <c r="F126" t="s">
        <v>22</v>
      </c>
      <c r="G126">
        <v>0</v>
      </c>
      <c r="H126">
        <v>102.8</v>
      </c>
      <c r="I126">
        <v>119</v>
      </c>
      <c r="J126">
        <v>17.48</v>
      </c>
      <c r="K126">
        <v>206.7</v>
      </c>
      <c r="L126">
        <v>91</v>
      </c>
      <c r="M126">
        <v>17.57</v>
      </c>
      <c r="N126">
        <v>299</v>
      </c>
      <c r="O126">
        <v>105</v>
      </c>
      <c r="P126">
        <v>13.46</v>
      </c>
      <c r="Q126">
        <v>10.1</v>
      </c>
      <c r="R126">
        <v>7</v>
      </c>
      <c r="S126">
        <v>2.73</v>
      </c>
      <c r="T126">
        <v>1</v>
      </c>
      <c r="U126" t="s">
        <v>22</v>
      </c>
      <c r="V126" t="e">
        <f>IF(#REF! = "yes", 1, 0)</f>
        <v>#REF!</v>
      </c>
      <c r="W126" t="e">
        <f>IF(#REF! &lt;= 1, "0-1 Calls", IF(#REF! &lt;= 3, "2-3 Calls", IF(#REF! &lt;=5, "4-5 Calls", "6+ Calls")))</f>
        <v>#REF!</v>
      </c>
      <c r="X126" t="e">
        <f>IF(#REF! &lt;= 50, "0-50", IF(#REF! &lt;=100, "51-100", IF(#REF! &lt;= 150, "101-150", "151+")))</f>
        <v>#REF!</v>
      </c>
      <c r="Y126" t="e">
        <f>IF(#REF! &lt;= 3, "Low Charges", "High Charges")</f>
        <v>#REF!</v>
      </c>
      <c r="Z126" t="e">
        <f>IF(#REF!&lt;=80,"Low Calls",
IF(#REF!&lt;=120,"Medium Calls","High Calls"))</f>
        <v>#REF!</v>
      </c>
      <c r="AA126" t="e">
        <f>IF(#REF!&lt;=15,"Low Charges",
IF(#REF!&lt;=20,"Medium Charges","High Charges"))</f>
        <v>#REF!</v>
      </c>
      <c r="AB126" t="e">
        <f>IF(AND(#REF!&gt;180, #REF!&gt;200), "Heavy Doemstic User", IF(#REF!&gt;10, "Interntional User", IF(AND(#REF!&lt;180, #REF!&lt;200,#REF!&lt;200), "Light User", "Balanced User")))</f>
        <v>#REF!</v>
      </c>
      <c r="AC126" t="e">
        <f>IF(#REF! = 0, "No Usage", IF(#REF! &lt;= 20, "Low Usage", IF(#REF! &lt;= 40, "Medium Usgae", "High Usage")))</f>
        <v>#REF!</v>
      </c>
      <c r="AD126" t="e">
        <f>IF(#REF!&lt;=150,"Low Usage", IF(#REF!&lt;=200,"Medium Usage", IF(#REF!&lt;=250,"High Usage","Very High Usage")))</f>
        <v>#REF!</v>
      </c>
      <c r="AE126" t="e">
        <f>IF(#REF!&lt;=5,"Low Calls", IF(#REF!&lt;=10, "Medium Calls", "High Calls"))</f>
        <v>#REF!</v>
      </c>
      <c r="AF126" t="e">
        <f xml:space="preserve">
IF(#REF!&gt;=4,4,0)+
IF(#REF!="yes",3,0)+
IF(#REF!="High Charges",3,0)+
IF(#REF!&gt;250,4,0)+
IF(#REF!="no",1,0)+
IF(#REF!="Heavy Domestic User",2,0)</f>
        <v>#REF!</v>
      </c>
      <c r="AG126" t="e">
        <f>IF(#REF!&gt;=10,"High Risk", IF(#REF!&gt;=5,"Medium Risk","Low Risk"))</f>
        <v>#REF!</v>
      </c>
      <c r="AH126" t="e">
        <f>#REF! + #REF! + #REF! + #REF!</f>
        <v>#REF!</v>
      </c>
    </row>
    <row r="127" spans="1:34" x14ac:dyDescent="0.35">
      <c r="A127">
        <v>126</v>
      </c>
      <c r="B127" t="s">
        <v>20</v>
      </c>
      <c r="C127">
        <v>65</v>
      </c>
      <c r="D127" t="s">
        <v>25</v>
      </c>
      <c r="E127" t="s">
        <v>22</v>
      </c>
      <c r="F127" t="s">
        <v>22</v>
      </c>
      <c r="G127">
        <v>0</v>
      </c>
      <c r="H127">
        <v>187.9</v>
      </c>
      <c r="I127">
        <v>116</v>
      </c>
      <c r="J127">
        <v>31.94</v>
      </c>
      <c r="K127">
        <v>157.6</v>
      </c>
      <c r="L127">
        <v>117</v>
      </c>
      <c r="M127">
        <v>13.4</v>
      </c>
      <c r="N127">
        <v>227.3</v>
      </c>
      <c r="O127">
        <v>86</v>
      </c>
      <c r="P127">
        <v>10.23</v>
      </c>
      <c r="Q127">
        <v>7.5</v>
      </c>
      <c r="R127">
        <v>6</v>
      </c>
      <c r="S127">
        <v>2.0299999999999998</v>
      </c>
      <c r="T127">
        <v>1</v>
      </c>
      <c r="U127" t="s">
        <v>22</v>
      </c>
      <c r="V127" t="e">
        <f>IF(#REF! = "yes", 1, 0)</f>
        <v>#REF!</v>
      </c>
      <c r="W127" t="e">
        <f>IF(#REF! &lt;= 1, "0-1 Calls", IF(#REF! &lt;= 3, "2-3 Calls", IF(#REF! &lt;=5, "4-5 Calls", "6+ Calls")))</f>
        <v>#REF!</v>
      </c>
      <c r="X127" t="e">
        <f>IF(#REF! &lt;= 50, "0-50", IF(#REF! &lt;=100, "51-100", IF(#REF! &lt;= 150, "101-150", "151+")))</f>
        <v>#REF!</v>
      </c>
      <c r="Y127" t="e">
        <f>IF(#REF! &lt;= 3, "Low Charges", "High Charges")</f>
        <v>#REF!</v>
      </c>
      <c r="Z127" t="e">
        <f>IF(#REF!&lt;=80,"Low Calls",
IF(#REF!&lt;=120,"Medium Calls","High Calls"))</f>
        <v>#REF!</v>
      </c>
      <c r="AA127" t="e">
        <f>IF(#REF!&lt;=15,"Low Charges",
IF(#REF!&lt;=20,"Medium Charges","High Charges"))</f>
        <v>#REF!</v>
      </c>
      <c r="AB127" t="e">
        <f>IF(AND(#REF!&gt;180, #REF!&gt;200), "Heavy Doemstic User", IF(#REF!&gt;10, "Interntional User", IF(AND(#REF!&lt;180, #REF!&lt;200,#REF!&lt;200), "Light User", "Balanced User")))</f>
        <v>#REF!</v>
      </c>
      <c r="AC127" t="e">
        <f>IF(#REF! = 0, "No Usage", IF(#REF! &lt;= 20, "Low Usage", IF(#REF! &lt;= 40, "Medium Usgae", "High Usage")))</f>
        <v>#REF!</v>
      </c>
      <c r="AD127" t="e">
        <f>IF(#REF!&lt;=150,"Low Usage", IF(#REF!&lt;=200,"Medium Usage", IF(#REF!&lt;=250,"High Usage","Very High Usage")))</f>
        <v>#REF!</v>
      </c>
      <c r="AE127" t="e">
        <f>IF(#REF!&lt;=5,"Low Calls", IF(#REF!&lt;=10, "Medium Calls", "High Calls"))</f>
        <v>#REF!</v>
      </c>
      <c r="AF127" t="e">
        <f xml:space="preserve">
IF(#REF!&gt;=4,4,0)+
IF(#REF!="yes",3,0)+
IF(#REF!="High Charges",3,0)+
IF(#REF!&gt;250,4,0)+
IF(#REF!="no",1,0)+
IF(#REF!="Heavy Domestic User",2,0)</f>
        <v>#REF!</v>
      </c>
      <c r="AG127" t="e">
        <f>IF(#REF!&gt;=10,"High Risk", IF(#REF!&gt;=5,"Medium Risk","Low Risk"))</f>
        <v>#REF!</v>
      </c>
      <c r="AH127" t="e">
        <f>#REF! + #REF! + #REF! + #REF!</f>
        <v>#REF!</v>
      </c>
    </row>
    <row r="128" spans="1:34" x14ac:dyDescent="0.35">
      <c r="A128">
        <v>127</v>
      </c>
      <c r="B128" t="s">
        <v>33</v>
      </c>
      <c r="C128">
        <v>56</v>
      </c>
      <c r="D128" t="s">
        <v>21</v>
      </c>
      <c r="E128" t="s">
        <v>22</v>
      </c>
      <c r="F128" t="s">
        <v>22</v>
      </c>
      <c r="G128">
        <v>0</v>
      </c>
      <c r="H128">
        <v>226</v>
      </c>
      <c r="I128">
        <v>112</v>
      </c>
      <c r="J128">
        <v>38.42</v>
      </c>
      <c r="K128">
        <v>248.5</v>
      </c>
      <c r="L128">
        <v>118</v>
      </c>
      <c r="M128">
        <v>21.12</v>
      </c>
      <c r="N128">
        <v>140.5</v>
      </c>
      <c r="O128">
        <v>142</v>
      </c>
      <c r="P128">
        <v>6.32</v>
      </c>
      <c r="Q128">
        <v>6.9</v>
      </c>
      <c r="R128">
        <v>11</v>
      </c>
      <c r="S128">
        <v>1.86</v>
      </c>
      <c r="T128">
        <v>1</v>
      </c>
      <c r="U128" t="s">
        <v>22</v>
      </c>
      <c r="V128" t="e">
        <f>IF(#REF! = "yes", 1, 0)</f>
        <v>#REF!</v>
      </c>
      <c r="W128" t="e">
        <f>IF(#REF! &lt;= 1, "0-1 Calls", IF(#REF! &lt;= 3, "2-3 Calls", IF(#REF! &lt;=5, "4-5 Calls", "6+ Calls")))</f>
        <v>#REF!</v>
      </c>
      <c r="X128" t="e">
        <f>IF(#REF! &lt;= 50, "0-50", IF(#REF! &lt;=100, "51-100", IF(#REF! &lt;= 150, "101-150", "151+")))</f>
        <v>#REF!</v>
      </c>
      <c r="Y128" t="e">
        <f>IF(#REF! &lt;= 3, "Low Charges", "High Charges")</f>
        <v>#REF!</v>
      </c>
      <c r="Z128" t="e">
        <f>IF(#REF!&lt;=80,"Low Calls",
IF(#REF!&lt;=120,"Medium Calls","High Calls"))</f>
        <v>#REF!</v>
      </c>
      <c r="AA128" t="e">
        <f>IF(#REF!&lt;=15,"Low Charges",
IF(#REF!&lt;=20,"Medium Charges","High Charges"))</f>
        <v>#REF!</v>
      </c>
      <c r="AB128" t="e">
        <f>IF(AND(#REF!&gt;180, #REF!&gt;200), "Heavy Doemstic User", IF(#REF!&gt;10, "Interntional User", IF(AND(#REF!&lt;180, #REF!&lt;200,#REF!&lt;200), "Light User", "Balanced User")))</f>
        <v>#REF!</v>
      </c>
      <c r="AC128" t="e">
        <f>IF(#REF! = 0, "No Usage", IF(#REF! &lt;= 20, "Low Usage", IF(#REF! &lt;= 40, "Medium Usgae", "High Usage")))</f>
        <v>#REF!</v>
      </c>
      <c r="AD128" t="e">
        <f>IF(#REF!&lt;=150,"Low Usage", IF(#REF!&lt;=200,"Medium Usage", IF(#REF!&lt;=250,"High Usage","Very High Usage")))</f>
        <v>#REF!</v>
      </c>
      <c r="AE128" t="e">
        <f>IF(#REF!&lt;=5,"Low Calls", IF(#REF!&lt;=10, "Medium Calls", "High Calls"))</f>
        <v>#REF!</v>
      </c>
      <c r="AF128" t="e">
        <f xml:space="preserve">
IF(#REF!&gt;=4,4,0)+
IF(#REF!="yes",3,0)+
IF(#REF!="High Charges",3,0)+
IF(#REF!&gt;250,4,0)+
IF(#REF!="no",1,0)+
IF(#REF!="Heavy Domestic User",2,0)</f>
        <v>#REF!</v>
      </c>
      <c r="AG128" t="e">
        <f>IF(#REF!&gt;=10,"High Risk", IF(#REF!&gt;=5,"Medium Risk","Low Risk"))</f>
        <v>#REF!</v>
      </c>
      <c r="AH128" t="e">
        <f>#REF! + #REF! + #REF! + #REF!</f>
        <v>#REF!</v>
      </c>
    </row>
    <row r="129" spans="1:34" x14ac:dyDescent="0.35">
      <c r="A129">
        <v>128</v>
      </c>
      <c r="B129" t="s">
        <v>26</v>
      </c>
      <c r="C129">
        <v>96</v>
      </c>
      <c r="D129" t="s">
        <v>21</v>
      </c>
      <c r="E129" t="s">
        <v>22</v>
      </c>
      <c r="F129" t="s">
        <v>22</v>
      </c>
      <c r="G129">
        <v>0</v>
      </c>
      <c r="H129">
        <v>260.39999999999998</v>
      </c>
      <c r="I129">
        <v>115</v>
      </c>
      <c r="J129">
        <v>44.27</v>
      </c>
      <c r="K129">
        <v>146</v>
      </c>
      <c r="L129">
        <v>46</v>
      </c>
      <c r="M129">
        <v>12.41</v>
      </c>
      <c r="N129">
        <v>269.5</v>
      </c>
      <c r="O129">
        <v>87</v>
      </c>
      <c r="P129">
        <v>12.13</v>
      </c>
      <c r="Q129">
        <v>11.5</v>
      </c>
      <c r="R129">
        <v>4</v>
      </c>
      <c r="S129">
        <v>3.11</v>
      </c>
      <c r="T129">
        <v>5</v>
      </c>
      <c r="U129" t="s">
        <v>22</v>
      </c>
      <c r="V129" t="e">
        <f>IF(#REF! = "yes", 1, 0)</f>
        <v>#REF!</v>
      </c>
      <c r="W129" t="e">
        <f>IF(#REF! &lt;= 1, "0-1 Calls", IF(#REF! &lt;= 3, "2-3 Calls", IF(#REF! &lt;=5, "4-5 Calls", "6+ Calls")))</f>
        <v>#REF!</v>
      </c>
      <c r="X129" t="e">
        <f>IF(#REF! &lt;= 50, "0-50", IF(#REF! &lt;=100, "51-100", IF(#REF! &lt;= 150, "101-150", "151+")))</f>
        <v>#REF!</v>
      </c>
      <c r="Y129" t="e">
        <f>IF(#REF! &lt;= 3, "Low Charges", "High Charges")</f>
        <v>#REF!</v>
      </c>
      <c r="Z129" t="e">
        <f>IF(#REF!&lt;=80,"Low Calls",
IF(#REF!&lt;=120,"Medium Calls","High Calls"))</f>
        <v>#REF!</v>
      </c>
      <c r="AA129" t="e">
        <f>IF(#REF!&lt;=15,"Low Charges",
IF(#REF!&lt;=20,"Medium Charges","High Charges"))</f>
        <v>#REF!</v>
      </c>
      <c r="AB129" t="e">
        <f>IF(AND(#REF!&gt;180, #REF!&gt;200), "Heavy Doemstic User", IF(#REF!&gt;10, "Interntional User", IF(AND(#REF!&lt;180, #REF!&lt;200,#REF!&lt;200), "Light User", "Balanced User")))</f>
        <v>#REF!</v>
      </c>
      <c r="AC129" t="e">
        <f>IF(#REF! = 0, "No Usage", IF(#REF! &lt;= 20, "Low Usage", IF(#REF! &lt;= 40, "Medium Usgae", "High Usage")))</f>
        <v>#REF!</v>
      </c>
      <c r="AD129" t="e">
        <f>IF(#REF!&lt;=150,"Low Usage", IF(#REF!&lt;=200,"Medium Usage", IF(#REF!&lt;=250,"High Usage","Very High Usage")))</f>
        <v>#REF!</v>
      </c>
      <c r="AE129" t="e">
        <f>IF(#REF!&lt;=5,"Low Calls", IF(#REF!&lt;=10, "Medium Calls", "High Calls"))</f>
        <v>#REF!</v>
      </c>
      <c r="AF129" t="e">
        <f xml:space="preserve">
IF(#REF!&gt;=4,4,0)+
IF(#REF!="yes",3,0)+
IF(#REF!="High Charges",3,0)+
IF(#REF!&gt;250,4,0)+
IF(#REF!="no",1,0)+
IF(#REF!="Heavy Domestic User",2,0)</f>
        <v>#REF!</v>
      </c>
      <c r="AG129" t="e">
        <f>IF(#REF!&gt;=10,"High Risk", IF(#REF!&gt;=5,"Medium Risk","Low Risk"))</f>
        <v>#REF!</v>
      </c>
      <c r="AH129" t="e">
        <f>#REF! + #REF! + #REF! + #REF!</f>
        <v>#REF!</v>
      </c>
    </row>
    <row r="130" spans="1:34" x14ac:dyDescent="0.35">
      <c r="A130">
        <v>129</v>
      </c>
      <c r="B130" t="s">
        <v>30</v>
      </c>
      <c r="C130">
        <v>151</v>
      </c>
      <c r="D130" t="s">
        <v>25</v>
      </c>
      <c r="E130" t="s">
        <v>22</v>
      </c>
      <c r="F130" t="s">
        <v>22</v>
      </c>
      <c r="G130">
        <v>0</v>
      </c>
      <c r="H130">
        <v>178.7</v>
      </c>
      <c r="I130">
        <v>116</v>
      </c>
      <c r="J130">
        <v>30.38</v>
      </c>
      <c r="K130">
        <v>292.10000000000002</v>
      </c>
      <c r="L130">
        <v>138</v>
      </c>
      <c r="M130">
        <v>24.83</v>
      </c>
      <c r="N130">
        <v>265.89999999999998</v>
      </c>
      <c r="O130">
        <v>101</v>
      </c>
      <c r="P130">
        <v>11.97</v>
      </c>
      <c r="Q130">
        <v>9.8000000000000007</v>
      </c>
      <c r="R130">
        <v>4</v>
      </c>
      <c r="S130">
        <v>2.65</v>
      </c>
      <c r="T130">
        <v>0</v>
      </c>
      <c r="U130" t="s">
        <v>22</v>
      </c>
      <c r="V130" t="e">
        <f>IF(#REF! = "yes", 1, 0)</f>
        <v>#REF!</v>
      </c>
      <c r="W130" t="e">
        <f>IF(#REF! &lt;= 1, "0-1 Calls", IF(#REF! &lt;= 3, "2-3 Calls", IF(#REF! &lt;=5, "4-5 Calls", "6+ Calls")))</f>
        <v>#REF!</v>
      </c>
      <c r="X130" t="e">
        <f>IF(#REF! &lt;= 50, "0-50", IF(#REF! &lt;=100, "51-100", IF(#REF! &lt;= 150, "101-150", "151+")))</f>
        <v>#REF!</v>
      </c>
      <c r="Y130" t="e">
        <f>IF(#REF! &lt;= 3, "Low Charges", "High Charges")</f>
        <v>#REF!</v>
      </c>
      <c r="Z130" t="e">
        <f>IF(#REF!&lt;=80,"Low Calls",
IF(#REF!&lt;=120,"Medium Calls","High Calls"))</f>
        <v>#REF!</v>
      </c>
      <c r="AA130" t="e">
        <f>IF(#REF!&lt;=15,"Low Charges",
IF(#REF!&lt;=20,"Medium Charges","High Charges"))</f>
        <v>#REF!</v>
      </c>
      <c r="AB130" t="e">
        <f>IF(AND(#REF!&gt;180, #REF!&gt;200), "Heavy Doemstic User", IF(#REF!&gt;10, "Interntional User", IF(AND(#REF!&lt;180, #REF!&lt;200,#REF!&lt;200), "Light User", "Balanced User")))</f>
        <v>#REF!</v>
      </c>
      <c r="AC130" t="e">
        <f>IF(#REF! = 0, "No Usage", IF(#REF! &lt;= 20, "Low Usage", IF(#REF! &lt;= 40, "Medium Usgae", "High Usage")))</f>
        <v>#REF!</v>
      </c>
      <c r="AD130" t="e">
        <f>IF(#REF!&lt;=150,"Low Usage", IF(#REF!&lt;=200,"Medium Usage", IF(#REF!&lt;=250,"High Usage","Very High Usage")))</f>
        <v>#REF!</v>
      </c>
      <c r="AE130" t="e">
        <f>IF(#REF!&lt;=5,"Low Calls", IF(#REF!&lt;=10, "Medium Calls", "High Calls"))</f>
        <v>#REF!</v>
      </c>
      <c r="AF130" t="e">
        <f xml:space="preserve">
IF(#REF!&gt;=4,4,0)+
IF(#REF!="yes",3,0)+
IF(#REF!="High Charges",3,0)+
IF(#REF!&gt;250,4,0)+
IF(#REF!="no",1,0)+
IF(#REF!="Heavy Domestic User",2,0)</f>
        <v>#REF!</v>
      </c>
      <c r="AG130" t="e">
        <f>IF(#REF!&gt;=10,"High Risk", IF(#REF!&gt;=5,"Medium Risk","Low Risk"))</f>
        <v>#REF!</v>
      </c>
      <c r="AH130" t="e">
        <f>#REF! + #REF! + #REF! + #REF!</f>
        <v>#REF!</v>
      </c>
    </row>
    <row r="131" spans="1:34" x14ac:dyDescent="0.35">
      <c r="A131">
        <v>130</v>
      </c>
      <c r="B131" t="s">
        <v>20</v>
      </c>
      <c r="C131">
        <v>83</v>
      </c>
      <c r="D131" t="s">
        <v>21</v>
      </c>
      <c r="E131" t="s">
        <v>22</v>
      </c>
      <c r="F131" t="s">
        <v>22</v>
      </c>
      <c r="G131">
        <v>0</v>
      </c>
      <c r="H131">
        <v>337.4</v>
      </c>
      <c r="I131">
        <v>120</v>
      </c>
      <c r="J131">
        <v>57.36</v>
      </c>
      <c r="K131">
        <v>227.4</v>
      </c>
      <c r="L131">
        <v>116</v>
      </c>
      <c r="M131">
        <v>19.329999999999998</v>
      </c>
      <c r="N131">
        <v>153.9</v>
      </c>
      <c r="O131">
        <v>114</v>
      </c>
      <c r="P131">
        <v>6.93</v>
      </c>
      <c r="Q131">
        <v>15.8</v>
      </c>
      <c r="R131">
        <v>7</v>
      </c>
      <c r="S131">
        <v>4.2699999999999996</v>
      </c>
      <c r="T131">
        <v>0</v>
      </c>
      <c r="U131" t="s">
        <v>23</v>
      </c>
      <c r="V131" t="e">
        <f>IF(#REF! = "yes", 1, 0)</f>
        <v>#REF!</v>
      </c>
      <c r="W131" t="e">
        <f>IF(#REF! &lt;= 1, "0-1 Calls", IF(#REF! &lt;= 3, "2-3 Calls", IF(#REF! &lt;=5, "4-5 Calls", "6+ Calls")))</f>
        <v>#REF!</v>
      </c>
      <c r="X131" t="e">
        <f>IF(#REF! &lt;= 50, "0-50", IF(#REF! &lt;=100, "51-100", IF(#REF! &lt;= 150, "101-150", "151+")))</f>
        <v>#REF!</v>
      </c>
      <c r="Y131" t="e">
        <f>IF(#REF! &lt;= 3, "Low Charges", "High Charges")</f>
        <v>#REF!</v>
      </c>
      <c r="Z131" t="e">
        <f>IF(#REF!&lt;=80,"Low Calls",
IF(#REF!&lt;=120,"Medium Calls","High Calls"))</f>
        <v>#REF!</v>
      </c>
      <c r="AA131" t="e">
        <f>IF(#REF!&lt;=15,"Low Charges",
IF(#REF!&lt;=20,"Medium Charges","High Charges"))</f>
        <v>#REF!</v>
      </c>
      <c r="AB131" t="e">
        <f>IF(AND(#REF!&gt;180, #REF!&gt;200), "Heavy Doemstic User", IF(#REF!&gt;10, "Interntional User", IF(AND(#REF!&lt;180, #REF!&lt;200,#REF!&lt;200), "Light User", "Balanced User")))</f>
        <v>#REF!</v>
      </c>
      <c r="AC131" t="e">
        <f>IF(#REF! = 0, "No Usage", IF(#REF! &lt;= 20, "Low Usage", IF(#REF! &lt;= 40, "Medium Usgae", "High Usage")))</f>
        <v>#REF!</v>
      </c>
      <c r="AD131" t="e">
        <f>IF(#REF!&lt;=150,"Low Usage", IF(#REF!&lt;=200,"Medium Usage", IF(#REF!&lt;=250,"High Usage","Very High Usage")))</f>
        <v>#REF!</v>
      </c>
      <c r="AE131" t="e">
        <f>IF(#REF!&lt;=5,"Low Calls", IF(#REF!&lt;=10, "Medium Calls", "High Calls"))</f>
        <v>#REF!</v>
      </c>
      <c r="AF131" t="e">
        <f xml:space="preserve">
IF(#REF!&gt;=4,4,0)+
IF(#REF!="yes",3,0)+
IF(#REF!="High Charges",3,0)+
IF(#REF!&gt;250,4,0)+
IF(#REF!="no",1,0)+
IF(#REF!="Heavy Domestic User",2,0)</f>
        <v>#REF!</v>
      </c>
      <c r="AG131" t="e">
        <f>IF(#REF!&gt;=10,"High Risk", IF(#REF!&gt;=5,"Medium Risk","Low Risk"))</f>
        <v>#REF!</v>
      </c>
      <c r="AH131" t="e">
        <f>#REF! + #REF! + #REF! + #REF!</f>
        <v>#REF!</v>
      </c>
    </row>
    <row r="132" spans="1:34" x14ac:dyDescent="0.35">
      <c r="A132">
        <v>131</v>
      </c>
      <c r="B132" t="s">
        <v>38</v>
      </c>
      <c r="C132">
        <v>139</v>
      </c>
      <c r="D132" t="s">
        <v>28</v>
      </c>
      <c r="E132" t="s">
        <v>22</v>
      </c>
      <c r="F132" t="s">
        <v>23</v>
      </c>
      <c r="G132">
        <v>23</v>
      </c>
      <c r="H132">
        <v>157.6</v>
      </c>
      <c r="I132">
        <v>129</v>
      </c>
      <c r="J132">
        <v>26.79</v>
      </c>
      <c r="K132">
        <v>247</v>
      </c>
      <c r="L132">
        <v>96</v>
      </c>
      <c r="M132">
        <v>21</v>
      </c>
      <c r="N132">
        <v>259.2</v>
      </c>
      <c r="O132">
        <v>112</v>
      </c>
      <c r="P132">
        <v>11.66</v>
      </c>
      <c r="Q132">
        <v>13.7</v>
      </c>
      <c r="R132">
        <v>2</v>
      </c>
      <c r="S132">
        <v>3.7</v>
      </c>
      <c r="T132">
        <v>0</v>
      </c>
      <c r="U132" t="s">
        <v>22</v>
      </c>
      <c r="V132" t="e">
        <f>IF(#REF! = "yes", 1, 0)</f>
        <v>#REF!</v>
      </c>
      <c r="W132" t="e">
        <f>IF(#REF! &lt;= 1, "0-1 Calls", IF(#REF! &lt;= 3, "2-3 Calls", IF(#REF! &lt;=5, "4-5 Calls", "6+ Calls")))</f>
        <v>#REF!</v>
      </c>
      <c r="X132" t="e">
        <f>IF(#REF! &lt;= 50, "0-50", IF(#REF! &lt;=100, "51-100", IF(#REF! &lt;= 150, "101-150", "151+")))</f>
        <v>#REF!</v>
      </c>
      <c r="Y132" t="e">
        <f>IF(#REF! &lt;= 3, "Low Charges", "High Charges")</f>
        <v>#REF!</v>
      </c>
      <c r="Z132" t="e">
        <f>IF(#REF!&lt;=80,"Low Calls",
IF(#REF!&lt;=120,"Medium Calls","High Calls"))</f>
        <v>#REF!</v>
      </c>
      <c r="AA132" t="e">
        <f>IF(#REF!&lt;=15,"Low Charges",
IF(#REF!&lt;=20,"Medium Charges","High Charges"))</f>
        <v>#REF!</v>
      </c>
      <c r="AB132" t="e">
        <f>IF(AND(#REF!&gt;180, #REF!&gt;200), "Heavy Doemstic User", IF(#REF!&gt;10, "Interntional User", IF(AND(#REF!&lt;180, #REF!&lt;200,#REF!&lt;200), "Light User", "Balanced User")))</f>
        <v>#REF!</v>
      </c>
      <c r="AC132" t="e">
        <f>IF(#REF! = 0, "No Usage", IF(#REF! &lt;= 20, "Low Usage", IF(#REF! &lt;= 40, "Medium Usgae", "High Usage")))</f>
        <v>#REF!</v>
      </c>
      <c r="AD132" t="e">
        <f>IF(#REF!&lt;=150,"Low Usage", IF(#REF!&lt;=200,"Medium Usage", IF(#REF!&lt;=250,"High Usage","Very High Usage")))</f>
        <v>#REF!</v>
      </c>
      <c r="AE132" t="e">
        <f>IF(#REF!&lt;=5,"Low Calls", IF(#REF!&lt;=10, "Medium Calls", "High Calls"))</f>
        <v>#REF!</v>
      </c>
      <c r="AF132" t="e">
        <f xml:space="preserve">
IF(#REF!&gt;=4,4,0)+
IF(#REF!="yes",3,0)+
IF(#REF!="High Charges",3,0)+
IF(#REF!&gt;250,4,0)+
IF(#REF!="no",1,0)+
IF(#REF!="Heavy Domestic User",2,0)</f>
        <v>#REF!</v>
      </c>
      <c r="AG132" t="e">
        <f>IF(#REF!&gt;=10,"High Risk", IF(#REF!&gt;=5,"Medium Risk","Low Risk"))</f>
        <v>#REF!</v>
      </c>
      <c r="AH132" t="e">
        <f>#REF! + #REF! + #REF! + #REF!</f>
        <v>#REF!</v>
      </c>
    </row>
    <row r="133" spans="1:34" x14ac:dyDescent="0.35">
      <c r="A133">
        <v>132</v>
      </c>
      <c r="B133" t="s">
        <v>29</v>
      </c>
      <c r="C133">
        <v>6</v>
      </c>
      <c r="D133" t="s">
        <v>28</v>
      </c>
      <c r="E133" t="s">
        <v>22</v>
      </c>
      <c r="F133" t="s">
        <v>22</v>
      </c>
      <c r="G133">
        <v>0</v>
      </c>
      <c r="H133">
        <v>183.6</v>
      </c>
      <c r="I133">
        <v>117</v>
      </c>
      <c r="J133">
        <v>31.21</v>
      </c>
      <c r="K133">
        <v>256.7</v>
      </c>
      <c r="L133">
        <v>72</v>
      </c>
      <c r="M133">
        <v>21.82</v>
      </c>
      <c r="N133">
        <v>178.6</v>
      </c>
      <c r="O133">
        <v>79</v>
      </c>
      <c r="P133">
        <v>8.0399999999999991</v>
      </c>
      <c r="Q133">
        <v>10.199999999999999</v>
      </c>
      <c r="R133">
        <v>2</v>
      </c>
      <c r="S133">
        <v>2.75</v>
      </c>
      <c r="T133">
        <v>1</v>
      </c>
      <c r="U133" t="s">
        <v>22</v>
      </c>
      <c r="V133" t="e">
        <f>IF(#REF! = "yes", 1, 0)</f>
        <v>#REF!</v>
      </c>
      <c r="W133" t="e">
        <f>IF(#REF! &lt;= 1, "0-1 Calls", IF(#REF! &lt;= 3, "2-3 Calls", IF(#REF! &lt;=5, "4-5 Calls", "6+ Calls")))</f>
        <v>#REF!</v>
      </c>
      <c r="X133" t="e">
        <f>IF(#REF! &lt;= 50, "0-50", IF(#REF! &lt;=100, "51-100", IF(#REF! &lt;= 150, "101-150", "151+")))</f>
        <v>#REF!</v>
      </c>
      <c r="Y133" t="e">
        <f>IF(#REF! &lt;= 3, "Low Charges", "High Charges")</f>
        <v>#REF!</v>
      </c>
      <c r="Z133" t="e">
        <f>IF(#REF!&lt;=80,"Low Calls",
IF(#REF!&lt;=120,"Medium Calls","High Calls"))</f>
        <v>#REF!</v>
      </c>
      <c r="AA133" t="e">
        <f>IF(#REF!&lt;=15,"Low Charges",
IF(#REF!&lt;=20,"Medium Charges","High Charges"))</f>
        <v>#REF!</v>
      </c>
      <c r="AB133" t="e">
        <f>IF(AND(#REF!&gt;180, #REF!&gt;200), "Heavy Doemstic User", IF(#REF!&gt;10, "Interntional User", IF(AND(#REF!&lt;180, #REF!&lt;200,#REF!&lt;200), "Light User", "Balanced User")))</f>
        <v>#REF!</v>
      </c>
      <c r="AC133" t="e">
        <f>IF(#REF! = 0, "No Usage", IF(#REF! &lt;= 20, "Low Usage", IF(#REF! &lt;= 40, "Medium Usgae", "High Usage")))</f>
        <v>#REF!</v>
      </c>
      <c r="AD133" t="e">
        <f>IF(#REF!&lt;=150,"Low Usage", IF(#REF!&lt;=200,"Medium Usage", IF(#REF!&lt;=250,"High Usage","Very High Usage")))</f>
        <v>#REF!</v>
      </c>
      <c r="AE133" t="e">
        <f>IF(#REF!&lt;=5,"Low Calls", IF(#REF!&lt;=10, "Medium Calls", "High Calls"))</f>
        <v>#REF!</v>
      </c>
      <c r="AF133" t="e">
        <f xml:space="preserve">
IF(#REF!&gt;=4,4,0)+
IF(#REF!="yes",3,0)+
IF(#REF!="High Charges",3,0)+
IF(#REF!&gt;250,4,0)+
IF(#REF!="no",1,0)+
IF(#REF!="Heavy Domestic User",2,0)</f>
        <v>#REF!</v>
      </c>
      <c r="AG133" t="e">
        <f>IF(#REF!&gt;=10,"High Risk", IF(#REF!&gt;=5,"Medium Risk","Low Risk"))</f>
        <v>#REF!</v>
      </c>
      <c r="AH133" t="e">
        <f>#REF! + #REF! + #REF! + #REF!</f>
        <v>#REF!</v>
      </c>
    </row>
    <row r="134" spans="1:34" x14ac:dyDescent="0.35">
      <c r="A134">
        <v>133</v>
      </c>
      <c r="B134" t="s">
        <v>40</v>
      </c>
      <c r="C134">
        <v>115</v>
      </c>
      <c r="D134" t="s">
        <v>28</v>
      </c>
      <c r="E134" t="s">
        <v>22</v>
      </c>
      <c r="F134" t="s">
        <v>23</v>
      </c>
      <c r="G134">
        <v>24</v>
      </c>
      <c r="H134">
        <v>142.1</v>
      </c>
      <c r="I134">
        <v>124</v>
      </c>
      <c r="J134">
        <v>24.16</v>
      </c>
      <c r="K134">
        <v>183.4</v>
      </c>
      <c r="L134">
        <v>129</v>
      </c>
      <c r="M134">
        <v>15.59</v>
      </c>
      <c r="N134">
        <v>164.8</v>
      </c>
      <c r="O134">
        <v>114</v>
      </c>
      <c r="P134">
        <v>7.42</v>
      </c>
      <c r="Q134">
        <v>9.6</v>
      </c>
      <c r="R134">
        <v>4</v>
      </c>
      <c r="S134">
        <v>2.59</v>
      </c>
      <c r="T134">
        <v>1</v>
      </c>
      <c r="U134" t="s">
        <v>22</v>
      </c>
      <c r="V134" t="e">
        <f>IF(#REF! = "yes", 1, 0)</f>
        <v>#REF!</v>
      </c>
      <c r="W134" t="e">
        <f>IF(#REF! &lt;= 1, "0-1 Calls", IF(#REF! &lt;= 3, "2-3 Calls", IF(#REF! &lt;=5, "4-5 Calls", "6+ Calls")))</f>
        <v>#REF!</v>
      </c>
      <c r="X134" t="e">
        <f>IF(#REF! &lt;= 50, "0-50", IF(#REF! &lt;=100, "51-100", IF(#REF! &lt;= 150, "101-150", "151+")))</f>
        <v>#REF!</v>
      </c>
      <c r="Y134" t="e">
        <f>IF(#REF! &lt;= 3, "Low Charges", "High Charges")</f>
        <v>#REF!</v>
      </c>
      <c r="Z134" t="e">
        <f>IF(#REF!&lt;=80,"Low Calls",
IF(#REF!&lt;=120,"Medium Calls","High Calls"))</f>
        <v>#REF!</v>
      </c>
      <c r="AA134" t="e">
        <f>IF(#REF!&lt;=15,"Low Charges",
IF(#REF!&lt;=20,"Medium Charges","High Charges"))</f>
        <v>#REF!</v>
      </c>
      <c r="AB134" t="e">
        <f>IF(AND(#REF!&gt;180, #REF!&gt;200), "Heavy Doemstic User", IF(#REF!&gt;10, "Interntional User", IF(AND(#REF!&lt;180, #REF!&lt;200,#REF!&lt;200), "Light User", "Balanced User")))</f>
        <v>#REF!</v>
      </c>
      <c r="AC134" t="e">
        <f>IF(#REF! = 0, "No Usage", IF(#REF! &lt;= 20, "Low Usage", IF(#REF! &lt;= 40, "Medium Usgae", "High Usage")))</f>
        <v>#REF!</v>
      </c>
      <c r="AD134" t="e">
        <f>IF(#REF!&lt;=150,"Low Usage", IF(#REF!&lt;=200,"Medium Usage", IF(#REF!&lt;=250,"High Usage","Very High Usage")))</f>
        <v>#REF!</v>
      </c>
      <c r="AE134" t="e">
        <f>IF(#REF!&lt;=5,"Low Calls", IF(#REF!&lt;=10, "Medium Calls", "High Calls"))</f>
        <v>#REF!</v>
      </c>
      <c r="AF134" t="e">
        <f xml:space="preserve">
IF(#REF!&gt;=4,4,0)+
IF(#REF!="yes",3,0)+
IF(#REF!="High Charges",3,0)+
IF(#REF!&gt;250,4,0)+
IF(#REF!="no",1,0)+
IF(#REF!="Heavy Domestic User",2,0)</f>
        <v>#REF!</v>
      </c>
      <c r="AG134" t="e">
        <f>IF(#REF!&gt;=10,"High Risk", IF(#REF!&gt;=5,"Medium Risk","Low Risk"))</f>
        <v>#REF!</v>
      </c>
      <c r="AH134" t="e">
        <f>#REF! + #REF! + #REF! + #REF!</f>
        <v>#REF!</v>
      </c>
    </row>
    <row r="135" spans="1:34" x14ac:dyDescent="0.35">
      <c r="A135">
        <v>134</v>
      </c>
      <c r="B135" t="s">
        <v>38</v>
      </c>
      <c r="C135">
        <v>141</v>
      </c>
      <c r="D135" t="s">
        <v>21</v>
      </c>
      <c r="E135" t="s">
        <v>22</v>
      </c>
      <c r="F135" t="s">
        <v>22</v>
      </c>
      <c r="G135">
        <v>0</v>
      </c>
      <c r="H135">
        <v>217.1</v>
      </c>
      <c r="I135">
        <v>110</v>
      </c>
      <c r="J135">
        <v>36.909999999999997</v>
      </c>
      <c r="K135">
        <v>241.5</v>
      </c>
      <c r="L135">
        <v>111</v>
      </c>
      <c r="M135">
        <v>20.53</v>
      </c>
      <c r="N135">
        <v>253.5</v>
      </c>
      <c r="O135">
        <v>103</v>
      </c>
      <c r="P135">
        <v>11.41</v>
      </c>
      <c r="Q135">
        <v>12</v>
      </c>
      <c r="R135">
        <v>6</v>
      </c>
      <c r="S135">
        <v>3.24</v>
      </c>
      <c r="T135">
        <v>0</v>
      </c>
      <c r="U135" t="s">
        <v>22</v>
      </c>
      <c r="V135" t="e">
        <f>IF(#REF! = "yes", 1, 0)</f>
        <v>#REF!</v>
      </c>
      <c r="W135" t="e">
        <f>IF(#REF! &lt;= 1, "0-1 Calls", IF(#REF! &lt;= 3, "2-3 Calls", IF(#REF! &lt;=5, "4-5 Calls", "6+ Calls")))</f>
        <v>#REF!</v>
      </c>
      <c r="X135" t="e">
        <f>IF(#REF! &lt;= 50, "0-50", IF(#REF! &lt;=100, "51-100", IF(#REF! &lt;= 150, "101-150", "151+")))</f>
        <v>#REF!</v>
      </c>
      <c r="Y135" t="e">
        <f>IF(#REF! &lt;= 3, "Low Charges", "High Charges")</f>
        <v>#REF!</v>
      </c>
      <c r="Z135" t="e">
        <f>IF(#REF!&lt;=80,"Low Calls",
IF(#REF!&lt;=120,"Medium Calls","High Calls"))</f>
        <v>#REF!</v>
      </c>
      <c r="AA135" t="e">
        <f>IF(#REF!&lt;=15,"Low Charges",
IF(#REF!&lt;=20,"Medium Charges","High Charges"))</f>
        <v>#REF!</v>
      </c>
      <c r="AB135" t="e">
        <f>IF(AND(#REF!&gt;180, #REF!&gt;200), "Heavy Doemstic User", IF(#REF!&gt;10, "Interntional User", IF(AND(#REF!&lt;180, #REF!&lt;200,#REF!&lt;200), "Light User", "Balanced User")))</f>
        <v>#REF!</v>
      </c>
      <c r="AC135" t="e">
        <f>IF(#REF! = 0, "No Usage", IF(#REF! &lt;= 20, "Low Usage", IF(#REF! &lt;= 40, "Medium Usgae", "High Usage")))</f>
        <v>#REF!</v>
      </c>
      <c r="AD135" t="e">
        <f>IF(#REF!&lt;=150,"Low Usage", IF(#REF!&lt;=200,"Medium Usage", IF(#REF!&lt;=250,"High Usage","Very High Usage")))</f>
        <v>#REF!</v>
      </c>
      <c r="AE135" t="e">
        <f>IF(#REF!&lt;=5,"Low Calls", IF(#REF!&lt;=10, "Medium Calls", "High Calls"))</f>
        <v>#REF!</v>
      </c>
      <c r="AF135" t="e">
        <f xml:space="preserve">
IF(#REF!&gt;=4,4,0)+
IF(#REF!="yes",3,0)+
IF(#REF!="High Charges",3,0)+
IF(#REF!&gt;250,4,0)+
IF(#REF!="no",1,0)+
IF(#REF!="Heavy Domestic User",2,0)</f>
        <v>#REF!</v>
      </c>
      <c r="AG135" t="e">
        <f>IF(#REF!&gt;=10,"High Risk", IF(#REF!&gt;=5,"Medium Risk","Low Risk"))</f>
        <v>#REF!</v>
      </c>
      <c r="AH135" t="e">
        <f>#REF! + #REF! + #REF! + #REF!</f>
        <v>#REF!</v>
      </c>
    </row>
    <row r="136" spans="1:34" x14ac:dyDescent="0.35">
      <c r="A136">
        <v>135</v>
      </c>
      <c r="B136" t="s">
        <v>53</v>
      </c>
      <c r="C136">
        <v>62</v>
      </c>
      <c r="D136" t="s">
        <v>21</v>
      </c>
      <c r="E136" t="s">
        <v>22</v>
      </c>
      <c r="F136" t="s">
        <v>22</v>
      </c>
      <c r="G136">
        <v>0</v>
      </c>
      <c r="H136">
        <v>98.9</v>
      </c>
      <c r="I136">
        <v>103</v>
      </c>
      <c r="J136">
        <v>16.809999999999999</v>
      </c>
      <c r="K136">
        <v>135.4</v>
      </c>
      <c r="L136">
        <v>122</v>
      </c>
      <c r="M136">
        <v>11.51</v>
      </c>
      <c r="N136">
        <v>236.6</v>
      </c>
      <c r="O136">
        <v>82</v>
      </c>
      <c r="P136">
        <v>10.65</v>
      </c>
      <c r="Q136">
        <v>12.2</v>
      </c>
      <c r="R136">
        <v>1</v>
      </c>
      <c r="S136">
        <v>3.29</v>
      </c>
      <c r="T136">
        <v>1</v>
      </c>
      <c r="U136" t="s">
        <v>22</v>
      </c>
      <c r="V136" t="e">
        <f>IF(#REF! = "yes", 1, 0)</f>
        <v>#REF!</v>
      </c>
      <c r="W136" t="e">
        <f>IF(#REF! &lt;= 1, "0-1 Calls", IF(#REF! &lt;= 3, "2-3 Calls", IF(#REF! &lt;=5, "4-5 Calls", "6+ Calls")))</f>
        <v>#REF!</v>
      </c>
      <c r="X136" t="e">
        <f>IF(#REF! &lt;= 50, "0-50", IF(#REF! &lt;=100, "51-100", IF(#REF! &lt;= 150, "101-150", "151+")))</f>
        <v>#REF!</v>
      </c>
      <c r="Y136" t="e">
        <f>IF(#REF! &lt;= 3, "Low Charges", "High Charges")</f>
        <v>#REF!</v>
      </c>
      <c r="Z136" t="e">
        <f>IF(#REF!&lt;=80,"Low Calls",
IF(#REF!&lt;=120,"Medium Calls","High Calls"))</f>
        <v>#REF!</v>
      </c>
      <c r="AA136" t="e">
        <f>IF(#REF!&lt;=15,"Low Charges",
IF(#REF!&lt;=20,"Medium Charges","High Charges"))</f>
        <v>#REF!</v>
      </c>
      <c r="AB136" t="e">
        <f>IF(AND(#REF!&gt;180, #REF!&gt;200), "Heavy Doemstic User", IF(#REF!&gt;10, "Interntional User", IF(AND(#REF!&lt;180, #REF!&lt;200,#REF!&lt;200), "Light User", "Balanced User")))</f>
        <v>#REF!</v>
      </c>
      <c r="AC136" t="e">
        <f>IF(#REF! = 0, "No Usage", IF(#REF! &lt;= 20, "Low Usage", IF(#REF! &lt;= 40, "Medium Usgae", "High Usage")))</f>
        <v>#REF!</v>
      </c>
      <c r="AD136" t="e">
        <f>IF(#REF!&lt;=150,"Low Usage", IF(#REF!&lt;=200,"Medium Usage", IF(#REF!&lt;=250,"High Usage","Very High Usage")))</f>
        <v>#REF!</v>
      </c>
      <c r="AE136" t="e">
        <f>IF(#REF!&lt;=5,"Low Calls", IF(#REF!&lt;=10, "Medium Calls", "High Calls"))</f>
        <v>#REF!</v>
      </c>
      <c r="AF136" t="e">
        <f xml:space="preserve">
IF(#REF!&gt;=4,4,0)+
IF(#REF!="yes",3,0)+
IF(#REF!="High Charges",3,0)+
IF(#REF!&gt;250,4,0)+
IF(#REF!="no",1,0)+
IF(#REF!="Heavy Domestic User",2,0)</f>
        <v>#REF!</v>
      </c>
      <c r="AG136" t="e">
        <f>IF(#REF!&gt;=10,"High Risk", IF(#REF!&gt;=5,"Medium Risk","Low Risk"))</f>
        <v>#REF!</v>
      </c>
      <c r="AH136" t="e">
        <f>#REF! + #REF! + #REF! + #REF!</f>
        <v>#REF!</v>
      </c>
    </row>
    <row r="137" spans="1:34" x14ac:dyDescent="0.35">
      <c r="A137">
        <v>136</v>
      </c>
      <c r="B137" t="s">
        <v>48</v>
      </c>
      <c r="C137">
        <v>185</v>
      </c>
      <c r="D137" t="s">
        <v>28</v>
      </c>
      <c r="E137" t="s">
        <v>22</v>
      </c>
      <c r="F137" t="s">
        <v>23</v>
      </c>
      <c r="G137">
        <v>31</v>
      </c>
      <c r="H137">
        <v>189.8</v>
      </c>
      <c r="I137">
        <v>126</v>
      </c>
      <c r="J137">
        <v>32.270000000000003</v>
      </c>
      <c r="K137">
        <v>163.30000000000001</v>
      </c>
      <c r="L137">
        <v>133</v>
      </c>
      <c r="M137">
        <v>13.88</v>
      </c>
      <c r="N137">
        <v>264.8</v>
      </c>
      <c r="O137">
        <v>126</v>
      </c>
      <c r="P137">
        <v>11.92</v>
      </c>
      <c r="Q137">
        <v>7.5</v>
      </c>
      <c r="R137">
        <v>3</v>
      </c>
      <c r="S137">
        <v>2.0299999999999998</v>
      </c>
      <c r="T137">
        <v>1</v>
      </c>
      <c r="U137" t="s">
        <v>22</v>
      </c>
      <c r="V137" t="e">
        <f>IF(#REF! = "yes", 1, 0)</f>
        <v>#REF!</v>
      </c>
      <c r="W137" t="e">
        <f>IF(#REF! &lt;= 1, "0-1 Calls", IF(#REF! &lt;= 3, "2-3 Calls", IF(#REF! &lt;=5, "4-5 Calls", "6+ Calls")))</f>
        <v>#REF!</v>
      </c>
      <c r="X137" t="e">
        <f>IF(#REF! &lt;= 50, "0-50", IF(#REF! &lt;=100, "51-100", IF(#REF! &lt;= 150, "101-150", "151+")))</f>
        <v>#REF!</v>
      </c>
      <c r="Y137" t="e">
        <f>IF(#REF! &lt;= 3, "Low Charges", "High Charges")</f>
        <v>#REF!</v>
      </c>
      <c r="Z137" t="e">
        <f>IF(#REF!&lt;=80,"Low Calls",
IF(#REF!&lt;=120,"Medium Calls","High Calls"))</f>
        <v>#REF!</v>
      </c>
      <c r="AA137" t="e">
        <f>IF(#REF!&lt;=15,"Low Charges",
IF(#REF!&lt;=20,"Medium Charges","High Charges"))</f>
        <v>#REF!</v>
      </c>
      <c r="AB137" t="e">
        <f>IF(AND(#REF!&gt;180, #REF!&gt;200), "Heavy Doemstic User", IF(#REF!&gt;10, "Interntional User", IF(AND(#REF!&lt;180, #REF!&lt;200,#REF!&lt;200), "Light User", "Balanced User")))</f>
        <v>#REF!</v>
      </c>
      <c r="AC137" t="e">
        <f>IF(#REF! = 0, "No Usage", IF(#REF! &lt;= 20, "Low Usage", IF(#REF! &lt;= 40, "Medium Usgae", "High Usage")))</f>
        <v>#REF!</v>
      </c>
      <c r="AD137" t="e">
        <f>IF(#REF!&lt;=150,"Low Usage", IF(#REF!&lt;=200,"Medium Usage", IF(#REF!&lt;=250,"High Usage","Very High Usage")))</f>
        <v>#REF!</v>
      </c>
      <c r="AE137" t="e">
        <f>IF(#REF!&lt;=5,"Low Calls", IF(#REF!&lt;=10, "Medium Calls", "High Calls"))</f>
        <v>#REF!</v>
      </c>
      <c r="AF137" t="e">
        <f xml:space="preserve">
IF(#REF!&gt;=4,4,0)+
IF(#REF!="yes",3,0)+
IF(#REF!="High Charges",3,0)+
IF(#REF!&gt;250,4,0)+
IF(#REF!="no",1,0)+
IF(#REF!="Heavy Domestic User",2,0)</f>
        <v>#REF!</v>
      </c>
      <c r="AG137" t="e">
        <f>IF(#REF!&gt;=10,"High Risk", IF(#REF!&gt;=5,"Medium Risk","Low Risk"))</f>
        <v>#REF!</v>
      </c>
      <c r="AH137" t="e">
        <f>#REF! + #REF! + #REF! + #REF!</f>
        <v>#REF!</v>
      </c>
    </row>
    <row r="138" spans="1:34" x14ac:dyDescent="0.35">
      <c r="A138">
        <v>137</v>
      </c>
      <c r="B138" t="s">
        <v>63</v>
      </c>
      <c r="C138">
        <v>148</v>
      </c>
      <c r="D138" t="s">
        <v>21</v>
      </c>
      <c r="E138" t="s">
        <v>22</v>
      </c>
      <c r="F138" t="s">
        <v>22</v>
      </c>
      <c r="G138">
        <v>0</v>
      </c>
      <c r="H138">
        <v>202</v>
      </c>
      <c r="I138">
        <v>102</v>
      </c>
      <c r="J138">
        <v>34.340000000000003</v>
      </c>
      <c r="K138">
        <v>243.2</v>
      </c>
      <c r="L138">
        <v>128</v>
      </c>
      <c r="M138">
        <v>20.67</v>
      </c>
      <c r="N138">
        <v>261.3</v>
      </c>
      <c r="O138">
        <v>90</v>
      </c>
      <c r="P138">
        <v>11.76</v>
      </c>
      <c r="Q138">
        <v>10.9</v>
      </c>
      <c r="R138">
        <v>3</v>
      </c>
      <c r="S138">
        <v>2.94</v>
      </c>
      <c r="T138">
        <v>1</v>
      </c>
      <c r="U138" t="s">
        <v>22</v>
      </c>
      <c r="V138" t="e">
        <f>IF(#REF! = "yes", 1, 0)</f>
        <v>#REF!</v>
      </c>
      <c r="W138" t="e">
        <f>IF(#REF! &lt;= 1, "0-1 Calls", IF(#REF! &lt;= 3, "2-3 Calls", IF(#REF! &lt;=5, "4-5 Calls", "6+ Calls")))</f>
        <v>#REF!</v>
      </c>
      <c r="X138" t="e">
        <f>IF(#REF! &lt;= 50, "0-50", IF(#REF! &lt;=100, "51-100", IF(#REF! &lt;= 150, "101-150", "151+")))</f>
        <v>#REF!</v>
      </c>
      <c r="Y138" t="e">
        <f>IF(#REF! &lt;= 3, "Low Charges", "High Charges")</f>
        <v>#REF!</v>
      </c>
      <c r="Z138" t="e">
        <f>IF(#REF!&lt;=80,"Low Calls",
IF(#REF!&lt;=120,"Medium Calls","High Calls"))</f>
        <v>#REF!</v>
      </c>
      <c r="AA138" t="e">
        <f>IF(#REF!&lt;=15,"Low Charges",
IF(#REF!&lt;=20,"Medium Charges","High Charges"))</f>
        <v>#REF!</v>
      </c>
      <c r="AB138" t="e">
        <f>IF(AND(#REF!&gt;180, #REF!&gt;200), "Heavy Doemstic User", IF(#REF!&gt;10, "Interntional User", IF(AND(#REF!&lt;180, #REF!&lt;200,#REF!&lt;200), "Light User", "Balanced User")))</f>
        <v>#REF!</v>
      </c>
      <c r="AC138" t="e">
        <f>IF(#REF! = 0, "No Usage", IF(#REF! &lt;= 20, "Low Usage", IF(#REF! &lt;= 40, "Medium Usgae", "High Usage")))</f>
        <v>#REF!</v>
      </c>
      <c r="AD138" t="e">
        <f>IF(#REF!&lt;=150,"Low Usage", IF(#REF!&lt;=200,"Medium Usage", IF(#REF!&lt;=250,"High Usage","Very High Usage")))</f>
        <v>#REF!</v>
      </c>
      <c r="AE138" t="e">
        <f>IF(#REF!&lt;=5,"Low Calls", IF(#REF!&lt;=10, "Medium Calls", "High Calls"))</f>
        <v>#REF!</v>
      </c>
      <c r="AF138" t="e">
        <f xml:space="preserve">
IF(#REF!&gt;=4,4,0)+
IF(#REF!="yes",3,0)+
IF(#REF!="High Charges",3,0)+
IF(#REF!&gt;250,4,0)+
IF(#REF!="no",1,0)+
IF(#REF!="Heavy Domestic User",2,0)</f>
        <v>#REF!</v>
      </c>
      <c r="AG138" t="e">
        <f>IF(#REF!&gt;=10,"High Risk", IF(#REF!&gt;=5,"Medium Risk","Low Risk"))</f>
        <v>#REF!</v>
      </c>
      <c r="AH138" t="e">
        <f>#REF! + #REF! + #REF! + #REF!</f>
        <v>#REF!</v>
      </c>
    </row>
    <row r="139" spans="1:34" x14ac:dyDescent="0.35">
      <c r="A139">
        <v>138</v>
      </c>
      <c r="B139" t="s">
        <v>42</v>
      </c>
      <c r="C139">
        <v>94</v>
      </c>
      <c r="D139" t="s">
        <v>25</v>
      </c>
      <c r="E139" t="s">
        <v>22</v>
      </c>
      <c r="F139" t="s">
        <v>23</v>
      </c>
      <c r="G139">
        <v>38</v>
      </c>
      <c r="H139">
        <v>170.1</v>
      </c>
      <c r="I139">
        <v>124</v>
      </c>
      <c r="J139">
        <v>28.92</v>
      </c>
      <c r="K139">
        <v>193.3</v>
      </c>
      <c r="L139">
        <v>116</v>
      </c>
      <c r="M139">
        <v>16.43</v>
      </c>
      <c r="N139">
        <v>105.9</v>
      </c>
      <c r="O139">
        <v>73</v>
      </c>
      <c r="P139">
        <v>4.7699999999999996</v>
      </c>
      <c r="Q139">
        <v>12.8</v>
      </c>
      <c r="R139">
        <v>4</v>
      </c>
      <c r="S139">
        <v>3.46</v>
      </c>
      <c r="T139">
        <v>1</v>
      </c>
      <c r="U139" t="s">
        <v>22</v>
      </c>
      <c r="V139" t="e">
        <f>IF(#REF! = "yes", 1, 0)</f>
        <v>#REF!</v>
      </c>
      <c r="W139" t="e">
        <f>IF(#REF! &lt;= 1, "0-1 Calls", IF(#REF! &lt;= 3, "2-3 Calls", IF(#REF! &lt;=5, "4-5 Calls", "6+ Calls")))</f>
        <v>#REF!</v>
      </c>
      <c r="X139" t="e">
        <f>IF(#REF! &lt;= 50, "0-50", IF(#REF! &lt;=100, "51-100", IF(#REF! &lt;= 150, "101-150", "151+")))</f>
        <v>#REF!</v>
      </c>
      <c r="Y139" t="e">
        <f>IF(#REF! &lt;= 3, "Low Charges", "High Charges")</f>
        <v>#REF!</v>
      </c>
      <c r="Z139" t="e">
        <f>IF(#REF!&lt;=80,"Low Calls",
IF(#REF!&lt;=120,"Medium Calls","High Calls"))</f>
        <v>#REF!</v>
      </c>
      <c r="AA139" t="e">
        <f>IF(#REF!&lt;=15,"Low Charges",
IF(#REF!&lt;=20,"Medium Charges","High Charges"))</f>
        <v>#REF!</v>
      </c>
      <c r="AB139" t="e">
        <f>IF(AND(#REF!&gt;180, #REF!&gt;200), "Heavy Doemstic User", IF(#REF!&gt;10, "Interntional User", IF(AND(#REF!&lt;180, #REF!&lt;200,#REF!&lt;200), "Light User", "Balanced User")))</f>
        <v>#REF!</v>
      </c>
      <c r="AC139" t="e">
        <f>IF(#REF! = 0, "No Usage", IF(#REF! &lt;= 20, "Low Usage", IF(#REF! &lt;= 40, "Medium Usgae", "High Usage")))</f>
        <v>#REF!</v>
      </c>
      <c r="AD139" t="e">
        <f>IF(#REF!&lt;=150,"Low Usage", IF(#REF!&lt;=200,"Medium Usage", IF(#REF!&lt;=250,"High Usage","Very High Usage")))</f>
        <v>#REF!</v>
      </c>
      <c r="AE139" t="e">
        <f>IF(#REF!&lt;=5,"Low Calls", IF(#REF!&lt;=10, "Medium Calls", "High Calls"))</f>
        <v>#REF!</v>
      </c>
      <c r="AF139" t="e">
        <f xml:space="preserve">
IF(#REF!&gt;=4,4,0)+
IF(#REF!="yes",3,0)+
IF(#REF!="High Charges",3,0)+
IF(#REF!&gt;250,4,0)+
IF(#REF!="no",1,0)+
IF(#REF!="Heavy Domestic User",2,0)</f>
        <v>#REF!</v>
      </c>
      <c r="AG139" t="e">
        <f>IF(#REF!&gt;=10,"High Risk", IF(#REF!&gt;=5,"Medium Risk","Low Risk"))</f>
        <v>#REF!</v>
      </c>
      <c r="AH139" t="e">
        <f>#REF! + #REF! + #REF! + #REF!</f>
        <v>#REF!</v>
      </c>
    </row>
    <row r="140" spans="1:34" x14ac:dyDescent="0.35">
      <c r="A140">
        <v>139</v>
      </c>
      <c r="B140" t="s">
        <v>68</v>
      </c>
      <c r="C140">
        <v>32</v>
      </c>
      <c r="D140" t="s">
        <v>28</v>
      </c>
      <c r="E140" t="s">
        <v>22</v>
      </c>
      <c r="F140" t="s">
        <v>22</v>
      </c>
      <c r="G140">
        <v>0</v>
      </c>
      <c r="H140">
        <v>230.9</v>
      </c>
      <c r="I140">
        <v>87</v>
      </c>
      <c r="J140">
        <v>39.25</v>
      </c>
      <c r="K140">
        <v>187.4</v>
      </c>
      <c r="L140">
        <v>90</v>
      </c>
      <c r="M140">
        <v>15.93</v>
      </c>
      <c r="N140">
        <v>154</v>
      </c>
      <c r="O140">
        <v>53</v>
      </c>
      <c r="P140">
        <v>6.93</v>
      </c>
      <c r="Q140">
        <v>6.3</v>
      </c>
      <c r="R140">
        <v>2</v>
      </c>
      <c r="S140">
        <v>1.7</v>
      </c>
      <c r="T140">
        <v>0</v>
      </c>
      <c r="U140" t="s">
        <v>22</v>
      </c>
      <c r="V140" t="e">
        <f>IF(#REF! = "yes", 1, 0)</f>
        <v>#REF!</v>
      </c>
      <c r="W140" t="e">
        <f>IF(#REF! &lt;= 1, "0-1 Calls", IF(#REF! &lt;= 3, "2-3 Calls", IF(#REF! &lt;=5, "4-5 Calls", "6+ Calls")))</f>
        <v>#REF!</v>
      </c>
      <c r="X140" t="e">
        <f>IF(#REF! &lt;= 50, "0-50", IF(#REF! &lt;=100, "51-100", IF(#REF! &lt;= 150, "101-150", "151+")))</f>
        <v>#REF!</v>
      </c>
      <c r="Y140" t="e">
        <f>IF(#REF! &lt;= 3, "Low Charges", "High Charges")</f>
        <v>#REF!</v>
      </c>
      <c r="Z140" t="e">
        <f>IF(#REF!&lt;=80,"Low Calls",
IF(#REF!&lt;=120,"Medium Calls","High Calls"))</f>
        <v>#REF!</v>
      </c>
      <c r="AA140" t="e">
        <f>IF(#REF!&lt;=15,"Low Charges",
IF(#REF!&lt;=20,"Medium Charges","High Charges"))</f>
        <v>#REF!</v>
      </c>
      <c r="AB140" t="e">
        <f>IF(AND(#REF!&gt;180, #REF!&gt;200), "Heavy Doemstic User", IF(#REF!&gt;10, "Interntional User", IF(AND(#REF!&lt;180, #REF!&lt;200,#REF!&lt;200), "Light User", "Balanced User")))</f>
        <v>#REF!</v>
      </c>
      <c r="AC140" t="e">
        <f>IF(#REF! = 0, "No Usage", IF(#REF! &lt;= 20, "Low Usage", IF(#REF! &lt;= 40, "Medium Usgae", "High Usage")))</f>
        <v>#REF!</v>
      </c>
      <c r="AD140" t="e">
        <f>IF(#REF!&lt;=150,"Low Usage", IF(#REF!&lt;=200,"Medium Usage", IF(#REF!&lt;=250,"High Usage","Very High Usage")))</f>
        <v>#REF!</v>
      </c>
      <c r="AE140" t="e">
        <f>IF(#REF!&lt;=5,"Low Calls", IF(#REF!&lt;=10, "Medium Calls", "High Calls"))</f>
        <v>#REF!</v>
      </c>
      <c r="AF140" t="e">
        <f xml:space="preserve">
IF(#REF!&gt;=4,4,0)+
IF(#REF!="yes",3,0)+
IF(#REF!="High Charges",3,0)+
IF(#REF!&gt;250,4,0)+
IF(#REF!="no",1,0)+
IF(#REF!="Heavy Domestic User",2,0)</f>
        <v>#REF!</v>
      </c>
      <c r="AG140" t="e">
        <f>IF(#REF!&gt;=10,"High Risk", IF(#REF!&gt;=5,"Medium Risk","Low Risk"))</f>
        <v>#REF!</v>
      </c>
      <c r="AH140" t="e">
        <f>#REF! + #REF! + #REF! + #REF!</f>
        <v>#REF!</v>
      </c>
    </row>
    <row r="141" spans="1:34" x14ac:dyDescent="0.35">
      <c r="A141">
        <v>140</v>
      </c>
      <c r="B141" t="s">
        <v>41</v>
      </c>
      <c r="C141">
        <v>68</v>
      </c>
      <c r="D141" t="s">
        <v>25</v>
      </c>
      <c r="E141" t="s">
        <v>22</v>
      </c>
      <c r="F141" t="s">
        <v>22</v>
      </c>
      <c r="G141">
        <v>0</v>
      </c>
      <c r="H141">
        <v>237.1</v>
      </c>
      <c r="I141">
        <v>105</v>
      </c>
      <c r="J141">
        <v>40.31</v>
      </c>
      <c r="K141">
        <v>223.5</v>
      </c>
      <c r="L141">
        <v>105</v>
      </c>
      <c r="M141">
        <v>19</v>
      </c>
      <c r="N141">
        <v>97.4</v>
      </c>
      <c r="O141">
        <v>79</v>
      </c>
      <c r="P141">
        <v>4.38</v>
      </c>
      <c r="Q141">
        <v>13.2</v>
      </c>
      <c r="R141">
        <v>2</v>
      </c>
      <c r="S141">
        <v>3.56</v>
      </c>
      <c r="T141">
        <v>1</v>
      </c>
      <c r="U141" t="s">
        <v>22</v>
      </c>
      <c r="V141" t="e">
        <f>IF(#REF! = "yes", 1, 0)</f>
        <v>#REF!</v>
      </c>
      <c r="W141" t="e">
        <f>IF(#REF! &lt;= 1, "0-1 Calls", IF(#REF! &lt;= 3, "2-3 Calls", IF(#REF! &lt;=5, "4-5 Calls", "6+ Calls")))</f>
        <v>#REF!</v>
      </c>
      <c r="X141" t="e">
        <f>IF(#REF! &lt;= 50, "0-50", IF(#REF! &lt;=100, "51-100", IF(#REF! &lt;= 150, "101-150", "151+")))</f>
        <v>#REF!</v>
      </c>
      <c r="Y141" t="e">
        <f>IF(#REF! &lt;= 3, "Low Charges", "High Charges")</f>
        <v>#REF!</v>
      </c>
      <c r="Z141" t="e">
        <f>IF(#REF!&lt;=80,"Low Calls",
IF(#REF!&lt;=120,"Medium Calls","High Calls"))</f>
        <v>#REF!</v>
      </c>
      <c r="AA141" t="e">
        <f>IF(#REF!&lt;=15,"Low Charges",
IF(#REF!&lt;=20,"Medium Charges","High Charges"))</f>
        <v>#REF!</v>
      </c>
      <c r="AB141" t="e">
        <f>IF(AND(#REF!&gt;180, #REF!&gt;200), "Heavy Doemstic User", IF(#REF!&gt;10, "Interntional User", IF(AND(#REF!&lt;180, #REF!&lt;200,#REF!&lt;200), "Light User", "Balanced User")))</f>
        <v>#REF!</v>
      </c>
      <c r="AC141" t="e">
        <f>IF(#REF! = 0, "No Usage", IF(#REF! &lt;= 20, "Low Usage", IF(#REF! &lt;= 40, "Medium Usgae", "High Usage")))</f>
        <v>#REF!</v>
      </c>
      <c r="AD141" t="e">
        <f>IF(#REF!&lt;=150,"Low Usage", IF(#REF!&lt;=200,"Medium Usage", IF(#REF!&lt;=250,"High Usage","Very High Usage")))</f>
        <v>#REF!</v>
      </c>
      <c r="AE141" t="e">
        <f>IF(#REF!&lt;=5,"Low Calls", IF(#REF!&lt;=10, "Medium Calls", "High Calls"))</f>
        <v>#REF!</v>
      </c>
      <c r="AF141" t="e">
        <f xml:space="preserve">
IF(#REF!&gt;=4,4,0)+
IF(#REF!="yes",3,0)+
IF(#REF!="High Charges",3,0)+
IF(#REF!&gt;250,4,0)+
IF(#REF!="no",1,0)+
IF(#REF!="Heavy Domestic User",2,0)</f>
        <v>#REF!</v>
      </c>
      <c r="AG141" t="e">
        <f>IF(#REF!&gt;=10,"High Risk", IF(#REF!&gt;=5,"Medium Risk","Low Risk"))</f>
        <v>#REF!</v>
      </c>
      <c r="AH141" t="e">
        <f>#REF! + #REF! + #REF! + #REF!</f>
        <v>#REF!</v>
      </c>
    </row>
    <row r="142" spans="1:34" x14ac:dyDescent="0.35">
      <c r="A142">
        <v>141</v>
      </c>
      <c r="B142" t="s">
        <v>61</v>
      </c>
      <c r="C142">
        <v>25</v>
      </c>
      <c r="D142" t="s">
        <v>21</v>
      </c>
      <c r="E142" t="s">
        <v>22</v>
      </c>
      <c r="F142" t="s">
        <v>22</v>
      </c>
      <c r="G142">
        <v>0</v>
      </c>
      <c r="H142">
        <v>119.3</v>
      </c>
      <c r="I142">
        <v>87</v>
      </c>
      <c r="J142">
        <v>20.28</v>
      </c>
      <c r="K142">
        <v>211.5</v>
      </c>
      <c r="L142">
        <v>101</v>
      </c>
      <c r="M142">
        <v>17.98</v>
      </c>
      <c r="N142">
        <v>268.89999999999998</v>
      </c>
      <c r="O142">
        <v>86</v>
      </c>
      <c r="P142">
        <v>12.1</v>
      </c>
      <c r="Q142">
        <v>10.5</v>
      </c>
      <c r="R142">
        <v>4</v>
      </c>
      <c r="S142">
        <v>2.84</v>
      </c>
      <c r="T142">
        <v>3</v>
      </c>
      <c r="U142" t="s">
        <v>22</v>
      </c>
      <c r="V142" t="e">
        <f>IF(#REF! = "yes", 1, 0)</f>
        <v>#REF!</v>
      </c>
      <c r="W142" t="e">
        <f>IF(#REF! &lt;= 1, "0-1 Calls", IF(#REF! &lt;= 3, "2-3 Calls", IF(#REF! &lt;=5, "4-5 Calls", "6+ Calls")))</f>
        <v>#REF!</v>
      </c>
      <c r="X142" t="e">
        <f>IF(#REF! &lt;= 50, "0-50", IF(#REF! &lt;=100, "51-100", IF(#REF! &lt;= 150, "101-150", "151+")))</f>
        <v>#REF!</v>
      </c>
      <c r="Y142" t="e">
        <f>IF(#REF! &lt;= 3, "Low Charges", "High Charges")</f>
        <v>#REF!</v>
      </c>
      <c r="Z142" t="e">
        <f>IF(#REF!&lt;=80,"Low Calls",
IF(#REF!&lt;=120,"Medium Calls","High Calls"))</f>
        <v>#REF!</v>
      </c>
      <c r="AA142" t="e">
        <f>IF(#REF!&lt;=15,"Low Charges",
IF(#REF!&lt;=20,"Medium Charges","High Charges"))</f>
        <v>#REF!</v>
      </c>
      <c r="AB142" t="e">
        <f>IF(AND(#REF!&gt;180, #REF!&gt;200), "Heavy Doemstic User", IF(#REF!&gt;10, "Interntional User", IF(AND(#REF!&lt;180, #REF!&lt;200,#REF!&lt;200), "Light User", "Balanced User")))</f>
        <v>#REF!</v>
      </c>
      <c r="AC142" t="e">
        <f>IF(#REF! = 0, "No Usage", IF(#REF! &lt;= 20, "Low Usage", IF(#REF! &lt;= 40, "Medium Usgae", "High Usage")))</f>
        <v>#REF!</v>
      </c>
      <c r="AD142" t="e">
        <f>IF(#REF!&lt;=150,"Low Usage", IF(#REF!&lt;=200,"Medium Usage", IF(#REF!&lt;=250,"High Usage","Very High Usage")))</f>
        <v>#REF!</v>
      </c>
      <c r="AE142" t="e">
        <f>IF(#REF!&lt;=5,"Low Calls", IF(#REF!&lt;=10, "Medium Calls", "High Calls"))</f>
        <v>#REF!</v>
      </c>
      <c r="AF142" t="e">
        <f xml:space="preserve">
IF(#REF!&gt;=4,4,0)+
IF(#REF!="yes",3,0)+
IF(#REF!="High Charges",3,0)+
IF(#REF!&gt;250,4,0)+
IF(#REF!="no",1,0)+
IF(#REF!="Heavy Domestic User",2,0)</f>
        <v>#REF!</v>
      </c>
      <c r="AG142" t="e">
        <f>IF(#REF!&gt;=10,"High Risk", IF(#REF!&gt;=5,"Medium Risk","Low Risk"))</f>
        <v>#REF!</v>
      </c>
      <c r="AH142" t="e">
        <f>#REF! + #REF! + #REF! + #REF!</f>
        <v>#REF!</v>
      </c>
    </row>
    <row r="143" spans="1:34" x14ac:dyDescent="0.35">
      <c r="A143">
        <v>142</v>
      </c>
      <c r="B143" t="s">
        <v>52</v>
      </c>
      <c r="C143">
        <v>65</v>
      </c>
      <c r="D143" t="s">
        <v>21</v>
      </c>
      <c r="E143" t="s">
        <v>22</v>
      </c>
      <c r="F143" t="s">
        <v>22</v>
      </c>
      <c r="G143">
        <v>0</v>
      </c>
      <c r="H143">
        <v>116.8</v>
      </c>
      <c r="I143">
        <v>87</v>
      </c>
      <c r="J143">
        <v>19.86</v>
      </c>
      <c r="K143">
        <v>178.9</v>
      </c>
      <c r="L143">
        <v>93</v>
      </c>
      <c r="M143">
        <v>15.21</v>
      </c>
      <c r="N143">
        <v>182.4</v>
      </c>
      <c r="O143">
        <v>150</v>
      </c>
      <c r="P143">
        <v>8.2100000000000009</v>
      </c>
      <c r="Q143">
        <v>14.1</v>
      </c>
      <c r="R143">
        <v>2</v>
      </c>
      <c r="S143">
        <v>3.81</v>
      </c>
      <c r="T143">
        <v>1</v>
      </c>
      <c r="U143" t="s">
        <v>22</v>
      </c>
      <c r="V143" t="e">
        <f>IF(#REF! = "yes", 1, 0)</f>
        <v>#REF!</v>
      </c>
      <c r="W143" t="e">
        <f>IF(#REF! &lt;= 1, "0-1 Calls", IF(#REF! &lt;= 3, "2-3 Calls", IF(#REF! &lt;=5, "4-5 Calls", "6+ Calls")))</f>
        <v>#REF!</v>
      </c>
      <c r="X143" t="e">
        <f>IF(#REF! &lt;= 50, "0-50", IF(#REF! &lt;=100, "51-100", IF(#REF! &lt;= 150, "101-150", "151+")))</f>
        <v>#REF!</v>
      </c>
      <c r="Y143" t="e">
        <f>IF(#REF! &lt;= 3, "Low Charges", "High Charges")</f>
        <v>#REF!</v>
      </c>
      <c r="Z143" t="e">
        <f>IF(#REF!&lt;=80,"Low Calls",
IF(#REF!&lt;=120,"Medium Calls","High Calls"))</f>
        <v>#REF!</v>
      </c>
      <c r="AA143" t="e">
        <f>IF(#REF!&lt;=15,"Low Charges",
IF(#REF!&lt;=20,"Medium Charges","High Charges"))</f>
        <v>#REF!</v>
      </c>
      <c r="AB143" t="e">
        <f>IF(AND(#REF!&gt;180, #REF!&gt;200), "Heavy Doemstic User", IF(#REF!&gt;10, "Interntional User", IF(AND(#REF!&lt;180, #REF!&lt;200,#REF!&lt;200), "Light User", "Balanced User")))</f>
        <v>#REF!</v>
      </c>
      <c r="AC143" t="e">
        <f>IF(#REF! = 0, "No Usage", IF(#REF! &lt;= 20, "Low Usage", IF(#REF! &lt;= 40, "Medium Usgae", "High Usage")))</f>
        <v>#REF!</v>
      </c>
      <c r="AD143" t="e">
        <f>IF(#REF!&lt;=150,"Low Usage", IF(#REF!&lt;=200,"Medium Usage", IF(#REF!&lt;=250,"High Usage","Very High Usage")))</f>
        <v>#REF!</v>
      </c>
      <c r="AE143" t="e">
        <f>IF(#REF!&lt;=5,"Low Calls", IF(#REF!&lt;=10, "Medium Calls", "High Calls"))</f>
        <v>#REF!</v>
      </c>
      <c r="AF143" t="e">
        <f xml:space="preserve">
IF(#REF!&gt;=4,4,0)+
IF(#REF!="yes",3,0)+
IF(#REF!="High Charges",3,0)+
IF(#REF!&gt;250,4,0)+
IF(#REF!="no",1,0)+
IF(#REF!="Heavy Domestic User",2,0)</f>
        <v>#REF!</v>
      </c>
      <c r="AG143" t="e">
        <f>IF(#REF!&gt;=10,"High Risk", IF(#REF!&gt;=5,"Medium Risk","Low Risk"))</f>
        <v>#REF!</v>
      </c>
      <c r="AH143" t="e">
        <f>#REF! + #REF! + #REF! + #REF!</f>
        <v>#REF!</v>
      </c>
    </row>
    <row r="144" spans="1:34" x14ac:dyDescent="0.35">
      <c r="A144">
        <v>143</v>
      </c>
      <c r="B144" t="s">
        <v>30</v>
      </c>
      <c r="C144">
        <v>179</v>
      </c>
      <c r="D144" t="s">
        <v>25</v>
      </c>
      <c r="E144" t="s">
        <v>22</v>
      </c>
      <c r="F144" t="s">
        <v>22</v>
      </c>
      <c r="G144">
        <v>0</v>
      </c>
      <c r="H144">
        <v>219.2</v>
      </c>
      <c r="I144">
        <v>92</v>
      </c>
      <c r="J144">
        <v>37.26</v>
      </c>
      <c r="K144">
        <v>149.4</v>
      </c>
      <c r="L144">
        <v>125</v>
      </c>
      <c r="M144">
        <v>12.7</v>
      </c>
      <c r="N144">
        <v>244.7</v>
      </c>
      <c r="O144">
        <v>104</v>
      </c>
      <c r="P144">
        <v>11.01</v>
      </c>
      <c r="Q144">
        <v>6.1</v>
      </c>
      <c r="R144">
        <v>5</v>
      </c>
      <c r="S144">
        <v>1.65</v>
      </c>
      <c r="T144">
        <v>0</v>
      </c>
      <c r="U144" t="s">
        <v>22</v>
      </c>
      <c r="V144" t="e">
        <f>IF(#REF! = "yes", 1, 0)</f>
        <v>#REF!</v>
      </c>
      <c r="W144" t="e">
        <f>IF(#REF! &lt;= 1, "0-1 Calls", IF(#REF! &lt;= 3, "2-3 Calls", IF(#REF! &lt;=5, "4-5 Calls", "6+ Calls")))</f>
        <v>#REF!</v>
      </c>
      <c r="X144" t="e">
        <f>IF(#REF! &lt;= 50, "0-50", IF(#REF! &lt;=100, "51-100", IF(#REF! &lt;= 150, "101-150", "151+")))</f>
        <v>#REF!</v>
      </c>
      <c r="Y144" t="e">
        <f>IF(#REF! &lt;= 3, "Low Charges", "High Charges")</f>
        <v>#REF!</v>
      </c>
      <c r="Z144" t="e">
        <f>IF(#REF!&lt;=80,"Low Calls",
IF(#REF!&lt;=120,"Medium Calls","High Calls"))</f>
        <v>#REF!</v>
      </c>
      <c r="AA144" t="e">
        <f>IF(#REF!&lt;=15,"Low Charges",
IF(#REF!&lt;=20,"Medium Charges","High Charges"))</f>
        <v>#REF!</v>
      </c>
      <c r="AB144" t="e">
        <f>IF(AND(#REF!&gt;180, #REF!&gt;200), "Heavy Doemstic User", IF(#REF!&gt;10, "Interntional User", IF(AND(#REF!&lt;180, #REF!&lt;200,#REF!&lt;200), "Light User", "Balanced User")))</f>
        <v>#REF!</v>
      </c>
      <c r="AC144" t="e">
        <f>IF(#REF! = 0, "No Usage", IF(#REF! &lt;= 20, "Low Usage", IF(#REF! &lt;= 40, "Medium Usgae", "High Usage")))</f>
        <v>#REF!</v>
      </c>
      <c r="AD144" t="e">
        <f>IF(#REF!&lt;=150,"Low Usage", IF(#REF!&lt;=200,"Medium Usage", IF(#REF!&lt;=250,"High Usage","Very High Usage")))</f>
        <v>#REF!</v>
      </c>
      <c r="AE144" t="e">
        <f>IF(#REF!&lt;=5,"Low Calls", IF(#REF!&lt;=10, "Medium Calls", "High Calls"))</f>
        <v>#REF!</v>
      </c>
      <c r="AF144" t="e">
        <f xml:space="preserve">
IF(#REF!&gt;=4,4,0)+
IF(#REF!="yes",3,0)+
IF(#REF!="High Charges",3,0)+
IF(#REF!&gt;250,4,0)+
IF(#REF!="no",1,0)+
IF(#REF!="Heavy Domestic User",2,0)</f>
        <v>#REF!</v>
      </c>
      <c r="AG144" t="e">
        <f>IF(#REF!&gt;=10,"High Risk", IF(#REF!&gt;=5,"Medium Risk","Low Risk"))</f>
        <v>#REF!</v>
      </c>
      <c r="AH144" t="e">
        <f>#REF! + #REF! + #REF! + #REF!</f>
        <v>#REF!</v>
      </c>
    </row>
    <row r="145" spans="1:34" x14ac:dyDescent="0.35">
      <c r="A145">
        <v>144</v>
      </c>
      <c r="B145" t="s">
        <v>69</v>
      </c>
      <c r="C145">
        <v>94</v>
      </c>
      <c r="D145" t="s">
        <v>21</v>
      </c>
      <c r="E145" t="s">
        <v>22</v>
      </c>
      <c r="F145" t="s">
        <v>22</v>
      </c>
      <c r="G145">
        <v>0</v>
      </c>
      <c r="H145">
        <v>252.6</v>
      </c>
      <c r="I145">
        <v>104</v>
      </c>
      <c r="J145">
        <v>42.94</v>
      </c>
      <c r="K145">
        <v>169</v>
      </c>
      <c r="L145">
        <v>125</v>
      </c>
      <c r="M145">
        <v>14.37</v>
      </c>
      <c r="N145">
        <v>170.9</v>
      </c>
      <c r="O145">
        <v>106</v>
      </c>
      <c r="P145">
        <v>7.69</v>
      </c>
      <c r="Q145">
        <v>11.1</v>
      </c>
      <c r="R145">
        <v>7</v>
      </c>
      <c r="S145">
        <v>3</v>
      </c>
      <c r="T145">
        <v>2</v>
      </c>
      <c r="U145" t="s">
        <v>22</v>
      </c>
      <c r="V145" t="e">
        <f>IF(#REF! = "yes", 1, 0)</f>
        <v>#REF!</v>
      </c>
      <c r="W145" t="e">
        <f>IF(#REF! &lt;= 1, "0-1 Calls", IF(#REF! &lt;= 3, "2-3 Calls", IF(#REF! &lt;=5, "4-5 Calls", "6+ Calls")))</f>
        <v>#REF!</v>
      </c>
      <c r="X145" t="e">
        <f>IF(#REF! &lt;= 50, "0-50", IF(#REF! &lt;=100, "51-100", IF(#REF! &lt;= 150, "101-150", "151+")))</f>
        <v>#REF!</v>
      </c>
      <c r="Y145" t="e">
        <f>IF(#REF! &lt;= 3, "Low Charges", "High Charges")</f>
        <v>#REF!</v>
      </c>
      <c r="Z145" t="e">
        <f>IF(#REF!&lt;=80,"Low Calls",
IF(#REF!&lt;=120,"Medium Calls","High Calls"))</f>
        <v>#REF!</v>
      </c>
      <c r="AA145" t="e">
        <f>IF(#REF!&lt;=15,"Low Charges",
IF(#REF!&lt;=20,"Medium Charges","High Charges"))</f>
        <v>#REF!</v>
      </c>
      <c r="AB145" t="e">
        <f>IF(AND(#REF!&gt;180, #REF!&gt;200), "Heavy Doemstic User", IF(#REF!&gt;10, "Interntional User", IF(AND(#REF!&lt;180, #REF!&lt;200,#REF!&lt;200), "Light User", "Balanced User")))</f>
        <v>#REF!</v>
      </c>
      <c r="AC145" t="e">
        <f>IF(#REF! = 0, "No Usage", IF(#REF! &lt;= 20, "Low Usage", IF(#REF! &lt;= 40, "Medium Usgae", "High Usage")))</f>
        <v>#REF!</v>
      </c>
      <c r="AD145" t="e">
        <f>IF(#REF!&lt;=150,"Low Usage", IF(#REF!&lt;=200,"Medium Usage", IF(#REF!&lt;=250,"High Usage","Very High Usage")))</f>
        <v>#REF!</v>
      </c>
      <c r="AE145" t="e">
        <f>IF(#REF!&lt;=5,"Low Calls", IF(#REF!&lt;=10, "Medium Calls", "High Calls"))</f>
        <v>#REF!</v>
      </c>
      <c r="AF145" t="e">
        <f xml:space="preserve">
IF(#REF!&gt;=4,4,0)+
IF(#REF!="yes",3,0)+
IF(#REF!="High Charges",3,0)+
IF(#REF!&gt;250,4,0)+
IF(#REF!="no",1,0)+
IF(#REF!="Heavy Domestic User",2,0)</f>
        <v>#REF!</v>
      </c>
      <c r="AG145" t="e">
        <f>IF(#REF!&gt;=10,"High Risk", IF(#REF!&gt;=5,"Medium Risk","Low Risk"))</f>
        <v>#REF!</v>
      </c>
      <c r="AH145" t="e">
        <f>#REF! + #REF! + #REF! + #REF!</f>
        <v>#REF!</v>
      </c>
    </row>
    <row r="146" spans="1:34" x14ac:dyDescent="0.35">
      <c r="A146">
        <v>145</v>
      </c>
      <c r="B146" t="s">
        <v>60</v>
      </c>
      <c r="C146">
        <v>62</v>
      </c>
      <c r="D146" t="s">
        <v>21</v>
      </c>
      <c r="E146" t="s">
        <v>22</v>
      </c>
      <c r="F146" t="s">
        <v>22</v>
      </c>
      <c r="G146">
        <v>0</v>
      </c>
      <c r="H146">
        <v>147.1</v>
      </c>
      <c r="I146">
        <v>91</v>
      </c>
      <c r="J146">
        <v>25.01</v>
      </c>
      <c r="K146">
        <v>190.4</v>
      </c>
      <c r="L146">
        <v>107</v>
      </c>
      <c r="M146">
        <v>16.18</v>
      </c>
      <c r="N146">
        <v>195.2</v>
      </c>
      <c r="O146">
        <v>115</v>
      </c>
      <c r="P146">
        <v>8.7799999999999994</v>
      </c>
      <c r="Q146">
        <v>12.2</v>
      </c>
      <c r="R146">
        <v>3</v>
      </c>
      <c r="S146">
        <v>3.29</v>
      </c>
      <c r="T146">
        <v>0</v>
      </c>
      <c r="U146" t="s">
        <v>22</v>
      </c>
      <c r="V146" t="e">
        <f>IF(#REF! = "yes", 1, 0)</f>
        <v>#REF!</v>
      </c>
      <c r="W146" t="e">
        <f>IF(#REF! &lt;= 1, "0-1 Calls", IF(#REF! &lt;= 3, "2-3 Calls", IF(#REF! &lt;=5, "4-5 Calls", "6+ Calls")))</f>
        <v>#REF!</v>
      </c>
      <c r="X146" t="e">
        <f>IF(#REF! &lt;= 50, "0-50", IF(#REF! &lt;=100, "51-100", IF(#REF! &lt;= 150, "101-150", "151+")))</f>
        <v>#REF!</v>
      </c>
      <c r="Y146" t="e">
        <f>IF(#REF! &lt;= 3, "Low Charges", "High Charges")</f>
        <v>#REF!</v>
      </c>
      <c r="Z146" t="e">
        <f>IF(#REF!&lt;=80,"Low Calls",
IF(#REF!&lt;=120,"Medium Calls","High Calls"))</f>
        <v>#REF!</v>
      </c>
      <c r="AA146" t="e">
        <f>IF(#REF!&lt;=15,"Low Charges",
IF(#REF!&lt;=20,"Medium Charges","High Charges"))</f>
        <v>#REF!</v>
      </c>
      <c r="AB146" t="e">
        <f>IF(AND(#REF!&gt;180, #REF!&gt;200), "Heavy Doemstic User", IF(#REF!&gt;10, "Interntional User", IF(AND(#REF!&lt;180, #REF!&lt;200,#REF!&lt;200), "Light User", "Balanced User")))</f>
        <v>#REF!</v>
      </c>
      <c r="AC146" t="e">
        <f>IF(#REF! = 0, "No Usage", IF(#REF! &lt;= 20, "Low Usage", IF(#REF! &lt;= 40, "Medium Usgae", "High Usage")))</f>
        <v>#REF!</v>
      </c>
      <c r="AD146" t="e">
        <f>IF(#REF!&lt;=150,"Low Usage", IF(#REF!&lt;=200,"Medium Usage", IF(#REF!&lt;=250,"High Usage","Very High Usage")))</f>
        <v>#REF!</v>
      </c>
      <c r="AE146" t="e">
        <f>IF(#REF!&lt;=5,"Low Calls", IF(#REF!&lt;=10, "Medium Calls", "High Calls"))</f>
        <v>#REF!</v>
      </c>
      <c r="AF146" t="e">
        <f xml:space="preserve">
IF(#REF!&gt;=4,4,0)+
IF(#REF!="yes",3,0)+
IF(#REF!="High Charges",3,0)+
IF(#REF!&gt;250,4,0)+
IF(#REF!="no",1,0)+
IF(#REF!="Heavy Domestic User",2,0)</f>
        <v>#REF!</v>
      </c>
      <c r="AG146" t="e">
        <f>IF(#REF!&gt;=10,"High Risk", IF(#REF!&gt;=5,"Medium Risk","Low Risk"))</f>
        <v>#REF!</v>
      </c>
      <c r="AH146" t="e">
        <f>#REF! + #REF! + #REF! + #REF!</f>
        <v>#REF!</v>
      </c>
    </row>
    <row r="147" spans="1:34" x14ac:dyDescent="0.35">
      <c r="A147">
        <v>146</v>
      </c>
      <c r="B147" t="s">
        <v>50</v>
      </c>
      <c r="C147">
        <v>116</v>
      </c>
      <c r="D147" t="s">
        <v>25</v>
      </c>
      <c r="E147" t="s">
        <v>22</v>
      </c>
      <c r="F147" t="s">
        <v>22</v>
      </c>
      <c r="G147">
        <v>0</v>
      </c>
      <c r="H147">
        <v>173.5</v>
      </c>
      <c r="I147">
        <v>93</v>
      </c>
      <c r="J147">
        <v>29.5</v>
      </c>
      <c r="K147">
        <v>194.1</v>
      </c>
      <c r="L147">
        <v>76</v>
      </c>
      <c r="M147">
        <v>16.5</v>
      </c>
      <c r="N147">
        <v>208</v>
      </c>
      <c r="O147">
        <v>112</v>
      </c>
      <c r="P147">
        <v>9.36</v>
      </c>
      <c r="Q147">
        <v>16.2</v>
      </c>
      <c r="R147">
        <v>10</v>
      </c>
      <c r="S147">
        <v>4.37</v>
      </c>
      <c r="T147">
        <v>3</v>
      </c>
      <c r="U147" t="s">
        <v>22</v>
      </c>
      <c r="V147" t="e">
        <f>IF(#REF! = "yes", 1, 0)</f>
        <v>#REF!</v>
      </c>
      <c r="W147" t="e">
        <f>IF(#REF! &lt;= 1, "0-1 Calls", IF(#REF! &lt;= 3, "2-3 Calls", IF(#REF! &lt;=5, "4-5 Calls", "6+ Calls")))</f>
        <v>#REF!</v>
      </c>
      <c r="X147" t="e">
        <f>IF(#REF! &lt;= 50, "0-50", IF(#REF! &lt;=100, "51-100", IF(#REF! &lt;= 150, "101-150", "151+")))</f>
        <v>#REF!</v>
      </c>
      <c r="Y147" t="e">
        <f>IF(#REF! &lt;= 3, "Low Charges", "High Charges")</f>
        <v>#REF!</v>
      </c>
      <c r="Z147" t="e">
        <f>IF(#REF!&lt;=80,"Low Calls",
IF(#REF!&lt;=120,"Medium Calls","High Calls"))</f>
        <v>#REF!</v>
      </c>
      <c r="AA147" t="e">
        <f>IF(#REF!&lt;=15,"Low Charges",
IF(#REF!&lt;=20,"Medium Charges","High Charges"))</f>
        <v>#REF!</v>
      </c>
      <c r="AB147" t="e">
        <f>IF(AND(#REF!&gt;180, #REF!&gt;200), "Heavy Doemstic User", IF(#REF!&gt;10, "Interntional User", IF(AND(#REF!&lt;180, #REF!&lt;200,#REF!&lt;200), "Light User", "Balanced User")))</f>
        <v>#REF!</v>
      </c>
      <c r="AC147" t="e">
        <f>IF(#REF! = 0, "No Usage", IF(#REF! &lt;= 20, "Low Usage", IF(#REF! &lt;= 40, "Medium Usgae", "High Usage")))</f>
        <v>#REF!</v>
      </c>
      <c r="AD147" t="e">
        <f>IF(#REF!&lt;=150,"Low Usage", IF(#REF!&lt;=200,"Medium Usage", IF(#REF!&lt;=250,"High Usage","Very High Usage")))</f>
        <v>#REF!</v>
      </c>
      <c r="AE147" t="e">
        <f>IF(#REF!&lt;=5,"Low Calls", IF(#REF!&lt;=10, "Medium Calls", "High Calls"))</f>
        <v>#REF!</v>
      </c>
      <c r="AF147" t="e">
        <f xml:space="preserve">
IF(#REF!&gt;=4,4,0)+
IF(#REF!="yes",3,0)+
IF(#REF!="High Charges",3,0)+
IF(#REF!&gt;250,4,0)+
IF(#REF!="no",1,0)+
IF(#REF!="Heavy Domestic User",2,0)</f>
        <v>#REF!</v>
      </c>
      <c r="AG147" t="e">
        <f>IF(#REF!&gt;=10,"High Risk", IF(#REF!&gt;=5,"Medium Risk","Low Risk"))</f>
        <v>#REF!</v>
      </c>
      <c r="AH147" t="e">
        <f>#REF! + #REF! + #REF! + #REF!</f>
        <v>#REF!</v>
      </c>
    </row>
    <row r="148" spans="1:34" x14ac:dyDescent="0.35">
      <c r="A148">
        <v>147</v>
      </c>
      <c r="B148" t="s">
        <v>70</v>
      </c>
      <c r="C148">
        <v>70</v>
      </c>
      <c r="D148" t="s">
        <v>25</v>
      </c>
      <c r="E148" t="s">
        <v>22</v>
      </c>
      <c r="F148" t="s">
        <v>22</v>
      </c>
      <c r="G148">
        <v>0</v>
      </c>
      <c r="H148">
        <v>232.1</v>
      </c>
      <c r="I148">
        <v>122</v>
      </c>
      <c r="J148">
        <v>39.46</v>
      </c>
      <c r="K148">
        <v>292.3</v>
      </c>
      <c r="L148">
        <v>112</v>
      </c>
      <c r="M148">
        <v>24.85</v>
      </c>
      <c r="N148">
        <v>201.2</v>
      </c>
      <c r="O148">
        <v>112</v>
      </c>
      <c r="P148">
        <v>9.0500000000000007</v>
      </c>
      <c r="Q148">
        <v>0</v>
      </c>
      <c r="R148">
        <v>0</v>
      </c>
      <c r="S148">
        <v>0</v>
      </c>
      <c r="T148">
        <v>3</v>
      </c>
      <c r="U148" t="s">
        <v>22</v>
      </c>
      <c r="V148" t="e">
        <f>IF(#REF! = "yes", 1, 0)</f>
        <v>#REF!</v>
      </c>
      <c r="W148" t="e">
        <f>IF(#REF! &lt;= 1, "0-1 Calls", IF(#REF! &lt;= 3, "2-3 Calls", IF(#REF! &lt;=5, "4-5 Calls", "6+ Calls")))</f>
        <v>#REF!</v>
      </c>
      <c r="X148" t="e">
        <f>IF(#REF! &lt;= 50, "0-50", IF(#REF! &lt;=100, "51-100", IF(#REF! &lt;= 150, "101-150", "151+")))</f>
        <v>#REF!</v>
      </c>
      <c r="Y148" t="e">
        <f>IF(#REF! &lt;= 3, "Low Charges", "High Charges")</f>
        <v>#REF!</v>
      </c>
      <c r="Z148" t="e">
        <f>IF(#REF!&lt;=80,"Low Calls",
IF(#REF!&lt;=120,"Medium Calls","High Calls"))</f>
        <v>#REF!</v>
      </c>
      <c r="AA148" t="e">
        <f>IF(#REF!&lt;=15,"Low Charges",
IF(#REF!&lt;=20,"Medium Charges","High Charges"))</f>
        <v>#REF!</v>
      </c>
      <c r="AB148" t="e">
        <f>IF(AND(#REF!&gt;180, #REF!&gt;200), "Heavy Doemstic User", IF(#REF!&gt;10, "Interntional User", IF(AND(#REF!&lt;180, #REF!&lt;200,#REF!&lt;200), "Light User", "Balanced User")))</f>
        <v>#REF!</v>
      </c>
      <c r="AC148" t="e">
        <f>IF(#REF! = 0, "No Usage", IF(#REF! &lt;= 20, "Low Usage", IF(#REF! &lt;= 40, "Medium Usgae", "High Usage")))</f>
        <v>#REF!</v>
      </c>
      <c r="AD148" t="e">
        <f>IF(#REF!&lt;=150,"Low Usage", IF(#REF!&lt;=200,"Medium Usage", IF(#REF!&lt;=250,"High Usage","Very High Usage")))</f>
        <v>#REF!</v>
      </c>
      <c r="AE148" t="e">
        <f>IF(#REF!&lt;=5,"Low Calls", IF(#REF!&lt;=10, "Medium Calls", "High Calls"))</f>
        <v>#REF!</v>
      </c>
      <c r="AF148" t="e">
        <f xml:space="preserve">
IF(#REF!&gt;=4,4,0)+
IF(#REF!="yes",3,0)+
IF(#REF!="High Charges",3,0)+
IF(#REF!&gt;250,4,0)+
IF(#REF!="no",1,0)+
IF(#REF!="Heavy Domestic User",2,0)</f>
        <v>#REF!</v>
      </c>
      <c r="AG148" t="e">
        <f>IF(#REF!&gt;=10,"High Risk", IF(#REF!&gt;=5,"Medium Risk","Low Risk"))</f>
        <v>#REF!</v>
      </c>
      <c r="AH148" t="e">
        <f>#REF! + #REF! + #REF! + #REF!</f>
        <v>#REF!</v>
      </c>
    </row>
    <row r="149" spans="1:34" x14ac:dyDescent="0.35">
      <c r="A149">
        <v>148</v>
      </c>
      <c r="B149" t="s">
        <v>31</v>
      </c>
      <c r="C149">
        <v>94</v>
      </c>
      <c r="D149" t="s">
        <v>28</v>
      </c>
      <c r="E149" t="s">
        <v>23</v>
      </c>
      <c r="F149" t="s">
        <v>23</v>
      </c>
      <c r="G149">
        <v>23</v>
      </c>
      <c r="H149">
        <v>197.1</v>
      </c>
      <c r="I149">
        <v>125</v>
      </c>
      <c r="J149">
        <v>33.51</v>
      </c>
      <c r="K149">
        <v>214.5</v>
      </c>
      <c r="L149">
        <v>136</v>
      </c>
      <c r="M149">
        <v>18.23</v>
      </c>
      <c r="N149">
        <v>282.2</v>
      </c>
      <c r="O149">
        <v>103</v>
      </c>
      <c r="P149">
        <v>12.7</v>
      </c>
      <c r="Q149">
        <v>9.5</v>
      </c>
      <c r="R149">
        <v>5</v>
      </c>
      <c r="S149">
        <v>2.57</v>
      </c>
      <c r="T149">
        <v>4</v>
      </c>
      <c r="U149" t="s">
        <v>22</v>
      </c>
      <c r="V149" t="e">
        <f>IF(#REF! = "yes", 1, 0)</f>
        <v>#REF!</v>
      </c>
      <c r="W149" t="e">
        <f>IF(#REF! &lt;= 1, "0-1 Calls", IF(#REF! &lt;= 3, "2-3 Calls", IF(#REF! &lt;=5, "4-5 Calls", "6+ Calls")))</f>
        <v>#REF!</v>
      </c>
      <c r="X149" t="e">
        <f>IF(#REF! &lt;= 50, "0-50", IF(#REF! &lt;=100, "51-100", IF(#REF! &lt;= 150, "101-150", "151+")))</f>
        <v>#REF!</v>
      </c>
      <c r="Y149" t="e">
        <f>IF(#REF! &lt;= 3, "Low Charges", "High Charges")</f>
        <v>#REF!</v>
      </c>
      <c r="Z149" t="e">
        <f>IF(#REF!&lt;=80,"Low Calls",
IF(#REF!&lt;=120,"Medium Calls","High Calls"))</f>
        <v>#REF!</v>
      </c>
      <c r="AA149" t="e">
        <f>IF(#REF!&lt;=15,"Low Charges",
IF(#REF!&lt;=20,"Medium Charges","High Charges"))</f>
        <v>#REF!</v>
      </c>
      <c r="AB149" t="e">
        <f>IF(AND(#REF!&gt;180, #REF!&gt;200), "Heavy Doemstic User", IF(#REF!&gt;10, "Interntional User", IF(AND(#REF!&lt;180, #REF!&lt;200,#REF!&lt;200), "Light User", "Balanced User")))</f>
        <v>#REF!</v>
      </c>
      <c r="AC149" t="e">
        <f>IF(#REF! = 0, "No Usage", IF(#REF! &lt;= 20, "Low Usage", IF(#REF! &lt;= 40, "Medium Usgae", "High Usage")))</f>
        <v>#REF!</v>
      </c>
      <c r="AD149" t="e">
        <f>IF(#REF!&lt;=150,"Low Usage", IF(#REF!&lt;=200,"Medium Usage", IF(#REF!&lt;=250,"High Usage","Very High Usage")))</f>
        <v>#REF!</v>
      </c>
      <c r="AE149" t="e">
        <f>IF(#REF!&lt;=5,"Low Calls", IF(#REF!&lt;=10, "Medium Calls", "High Calls"))</f>
        <v>#REF!</v>
      </c>
      <c r="AF149" t="e">
        <f xml:space="preserve">
IF(#REF!&gt;=4,4,0)+
IF(#REF!="yes",3,0)+
IF(#REF!="High Charges",3,0)+
IF(#REF!&gt;250,4,0)+
IF(#REF!="no",1,0)+
IF(#REF!="Heavy Domestic User",2,0)</f>
        <v>#REF!</v>
      </c>
      <c r="AG149" t="e">
        <f>IF(#REF!&gt;=10,"High Risk", IF(#REF!&gt;=5,"Medium Risk","Low Risk"))</f>
        <v>#REF!</v>
      </c>
      <c r="AH149" t="e">
        <f>#REF! + #REF! + #REF! + #REF!</f>
        <v>#REF!</v>
      </c>
    </row>
    <row r="150" spans="1:34" x14ac:dyDescent="0.35">
      <c r="A150">
        <v>149</v>
      </c>
      <c r="B150" t="s">
        <v>47</v>
      </c>
      <c r="C150">
        <v>126</v>
      </c>
      <c r="D150" t="s">
        <v>21</v>
      </c>
      <c r="E150" t="s">
        <v>22</v>
      </c>
      <c r="F150" t="s">
        <v>22</v>
      </c>
      <c r="G150">
        <v>0</v>
      </c>
      <c r="H150">
        <v>58.2</v>
      </c>
      <c r="I150">
        <v>94</v>
      </c>
      <c r="J150">
        <v>9.89</v>
      </c>
      <c r="K150">
        <v>138.69999999999999</v>
      </c>
      <c r="L150">
        <v>118</v>
      </c>
      <c r="M150">
        <v>11.79</v>
      </c>
      <c r="N150">
        <v>136.80000000000001</v>
      </c>
      <c r="O150">
        <v>91</v>
      </c>
      <c r="P150">
        <v>6.16</v>
      </c>
      <c r="Q150">
        <v>11.9</v>
      </c>
      <c r="R150">
        <v>1</v>
      </c>
      <c r="S150">
        <v>3.21</v>
      </c>
      <c r="T150">
        <v>5</v>
      </c>
      <c r="U150" t="s">
        <v>23</v>
      </c>
      <c r="V150" t="e">
        <f>IF(#REF! = "yes", 1, 0)</f>
        <v>#REF!</v>
      </c>
      <c r="W150" t="e">
        <f>IF(#REF! &lt;= 1, "0-1 Calls", IF(#REF! &lt;= 3, "2-3 Calls", IF(#REF! &lt;=5, "4-5 Calls", "6+ Calls")))</f>
        <v>#REF!</v>
      </c>
      <c r="X150" t="e">
        <f>IF(#REF! &lt;= 50, "0-50", IF(#REF! &lt;=100, "51-100", IF(#REF! &lt;= 150, "101-150", "151+")))</f>
        <v>#REF!</v>
      </c>
      <c r="Y150" t="e">
        <f>IF(#REF! &lt;= 3, "Low Charges", "High Charges")</f>
        <v>#REF!</v>
      </c>
      <c r="Z150" t="e">
        <f>IF(#REF!&lt;=80,"Low Calls",
IF(#REF!&lt;=120,"Medium Calls","High Calls"))</f>
        <v>#REF!</v>
      </c>
      <c r="AA150" t="e">
        <f>IF(#REF!&lt;=15,"Low Charges",
IF(#REF!&lt;=20,"Medium Charges","High Charges"))</f>
        <v>#REF!</v>
      </c>
      <c r="AB150" t="e">
        <f>IF(AND(#REF!&gt;180, #REF!&gt;200), "Heavy Doemstic User", IF(#REF!&gt;10, "Interntional User", IF(AND(#REF!&lt;180, #REF!&lt;200,#REF!&lt;200), "Light User", "Balanced User")))</f>
        <v>#REF!</v>
      </c>
      <c r="AC150" t="e">
        <f>IF(#REF! = 0, "No Usage", IF(#REF! &lt;= 20, "Low Usage", IF(#REF! &lt;= 40, "Medium Usgae", "High Usage")))</f>
        <v>#REF!</v>
      </c>
      <c r="AD150" t="e">
        <f>IF(#REF!&lt;=150,"Low Usage", IF(#REF!&lt;=200,"Medium Usage", IF(#REF!&lt;=250,"High Usage","Very High Usage")))</f>
        <v>#REF!</v>
      </c>
      <c r="AE150" t="e">
        <f>IF(#REF!&lt;=5,"Low Calls", IF(#REF!&lt;=10, "Medium Calls", "High Calls"))</f>
        <v>#REF!</v>
      </c>
      <c r="AF150" t="e">
        <f xml:space="preserve">
IF(#REF!&gt;=4,4,0)+
IF(#REF!="yes",3,0)+
IF(#REF!="High Charges",3,0)+
IF(#REF!&gt;250,4,0)+
IF(#REF!="no",1,0)+
IF(#REF!="Heavy Domestic User",2,0)</f>
        <v>#REF!</v>
      </c>
      <c r="AG150" t="e">
        <f>IF(#REF!&gt;=10,"High Risk", IF(#REF!&gt;=5,"Medium Risk","Low Risk"))</f>
        <v>#REF!</v>
      </c>
      <c r="AH150" t="e">
        <f>#REF! + #REF! + #REF! + #REF!</f>
        <v>#REF!</v>
      </c>
    </row>
    <row r="151" spans="1:34" x14ac:dyDescent="0.35">
      <c r="A151">
        <v>150</v>
      </c>
      <c r="B151" t="s">
        <v>36</v>
      </c>
      <c r="C151">
        <v>67</v>
      </c>
      <c r="D151" t="s">
        <v>25</v>
      </c>
      <c r="E151" t="s">
        <v>22</v>
      </c>
      <c r="F151" t="s">
        <v>23</v>
      </c>
      <c r="G151">
        <v>36</v>
      </c>
      <c r="H151">
        <v>115.6</v>
      </c>
      <c r="I151">
        <v>111</v>
      </c>
      <c r="J151">
        <v>19.649999999999999</v>
      </c>
      <c r="K151">
        <v>237.7</v>
      </c>
      <c r="L151">
        <v>94</v>
      </c>
      <c r="M151">
        <v>20.2</v>
      </c>
      <c r="N151">
        <v>169.9</v>
      </c>
      <c r="O151">
        <v>103</v>
      </c>
      <c r="P151">
        <v>7.65</v>
      </c>
      <c r="Q151">
        <v>9.9</v>
      </c>
      <c r="R151">
        <v>12</v>
      </c>
      <c r="S151">
        <v>2.67</v>
      </c>
      <c r="T151">
        <v>2</v>
      </c>
      <c r="U151" t="s">
        <v>22</v>
      </c>
      <c r="V151" t="e">
        <f>IF(#REF! = "yes", 1, 0)</f>
        <v>#REF!</v>
      </c>
      <c r="W151" t="e">
        <f>IF(#REF! &lt;= 1, "0-1 Calls", IF(#REF! &lt;= 3, "2-3 Calls", IF(#REF! &lt;=5, "4-5 Calls", "6+ Calls")))</f>
        <v>#REF!</v>
      </c>
      <c r="X151" t="e">
        <f>IF(#REF! &lt;= 50, "0-50", IF(#REF! &lt;=100, "51-100", IF(#REF! &lt;= 150, "101-150", "151+")))</f>
        <v>#REF!</v>
      </c>
      <c r="Y151" t="e">
        <f>IF(#REF! &lt;= 3, "Low Charges", "High Charges")</f>
        <v>#REF!</v>
      </c>
      <c r="Z151" t="e">
        <f>IF(#REF!&lt;=80,"Low Calls",
IF(#REF!&lt;=120,"Medium Calls","High Calls"))</f>
        <v>#REF!</v>
      </c>
      <c r="AA151" t="e">
        <f>IF(#REF!&lt;=15,"Low Charges",
IF(#REF!&lt;=20,"Medium Charges","High Charges"))</f>
        <v>#REF!</v>
      </c>
      <c r="AB151" t="e">
        <f>IF(AND(#REF!&gt;180, #REF!&gt;200), "Heavy Doemstic User", IF(#REF!&gt;10, "Interntional User", IF(AND(#REF!&lt;180, #REF!&lt;200,#REF!&lt;200), "Light User", "Balanced User")))</f>
        <v>#REF!</v>
      </c>
      <c r="AC151" t="e">
        <f>IF(#REF! = 0, "No Usage", IF(#REF! &lt;= 20, "Low Usage", IF(#REF! &lt;= 40, "Medium Usgae", "High Usage")))</f>
        <v>#REF!</v>
      </c>
      <c r="AD151" t="e">
        <f>IF(#REF!&lt;=150,"Low Usage", IF(#REF!&lt;=200,"Medium Usage", IF(#REF!&lt;=250,"High Usage","Very High Usage")))</f>
        <v>#REF!</v>
      </c>
      <c r="AE151" t="e">
        <f>IF(#REF!&lt;=5,"Low Calls", IF(#REF!&lt;=10, "Medium Calls", "High Calls"))</f>
        <v>#REF!</v>
      </c>
      <c r="AF151" t="e">
        <f xml:space="preserve">
IF(#REF!&gt;=4,4,0)+
IF(#REF!="yes",3,0)+
IF(#REF!="High Charges",3,0)+
IF(#REF!&gt;250,4,0)+
IF(#REF!="no",1,0)+
IF(#REF!="Heavy Domestic User",2,0)</f>
        <v>#REF!</v>
      </c>
      <c r="AG151" t="e">
        <f>IF(#REF!&gt;=10,"High Risk", IF(#REF!&gt;=5,"Medium Risk","Low Risk"))</f>
        <v>#REF!</v>
      </c>
      <c r="AH151" t="e">
        <f>#REF! + #REF! + #REF! + #REF!</f>
        <v>#REF!</v>
      </c>
    </row>
    <row r="152" spans="1:34" x14ac:dyDescent="0.35">
      <c r="A152">
        <v>151</v>
      </c>
      <c r="B152" t="s">
        <v>46</v>
      </c>
      <c r="C152">
        <v>19</v>
      </c>
      <c r="D152" t="s">
        <v>25</v>
      </c>
      <c r="E152" t="s">
        <v>22</v>
      </c>
      <c r="F152" t="s">
        <v>22</v>
      </c>
      <c r="G152">
        <v>0</v>
      </c>
      <c r="H152">
        <v>186.1</v>
      </c>
      <c r="I152">
        <v>98</v>
      </c>
      <c r="J152">
        <v>31.64</v>
      </c>
      <c r="K152">
        <v>254.3</v>
      </c>
      <c r="L152">
        <v>57</v>
      </c>
      <c r="M152">
        <v>21.62</v>
      </c>
      <c r="N152">
        <v>214</v>
      </c>
      <c r="O152">
        <v>127</v>
      </c>
      <c r="P152">
        <v>9.6300000000000008</v>
      </c>
      <c r="Q152">
        <v>14.6</v>
      </c>
      <c r="R152">
        <v>7</v>
      </c>
      <c r="S152">
        <v>3.94</v>
      </c>
      <c r="T152">
        <v>2</v>
      </c>
      <c r="U152" t="s">
        <v>22</v>
      </c>
      <c r="V152" t="e">
        <f>IF(#REF! = "yes", 1, 0)</f>
        <v>#REF!</v>
      </c>
      <c r="W152" t="e">
        <f>IF(#REF! &lt;= 1, "0-1 Calls", IF(#REF! &lt;= 3, "2-3 Calls", IF(#REF! &lt;=5, "4-5 Calls", "6+ Calls")))</f>
        <v>#REF!</v>
      </c>
      <c r="X152" t="e">
        <f>IF(#REF! &lt;= 50, "0-50", IF(#REF! &lt;=100, "51-100", IF(#REF! &lt;= 150, "101-150", "151+")))</f>
        <v>#REF!</v>
      </c>
      <c r="Y152" t="e">
        <f>IF(#REF! &lt;= 3, "Low Charges", "High Charges")</f>
        <v>#REF!</v>
      </c>
      <c r="Z152" t="e">
        <f>IF(#REF!&lt;=80,"Low Calls",
IF(#REF!&lt;=120,"Medium Calls","High Calls"))</f>
        <v>#REF!</v>
      </c>
      <c r="AA152" t="e">
        <f>IF(#REF!&lt;=15,"Low Charges",
IF(#REF!&lt;=20,"Medium Charges","High Charges"))</f>
        <v>#REF!</v>
      </c>
      <c r="AB152" t="e">
        <f>IF(AND(#REF!&gt;180, #REF!&gt;200), "Heavy Doemstic User", IF(#REF!&gt;10, "Interntional User", IF(AND(#REF!&lt;180, #REF!&lt;200,#REF!&lt;200), "Light User", "Balanced User")))</f>
        <v>#REF!</v>
      </c>
      <c r="AC152" t="e">
        <f>IF(#REF! = 0, "No Usage", IF(#REF! &lt;= 20, "Low Usage", IF(#REF! &lt;= 40, "Medium Usgae", "High Usage")))</f>
        <v>#REF!</v>
      </c>
      <c r="AD152" t="e">
        <f>IF(#REF!&lt;=150,"Low Usage", IF(#REF!&lt;=200,"Medium Usage", IF(#REF!&lt;=250,"High Usage","Very High Usage")))</f>
        <v>#REF!</v>
      </c>
      <c r="AE152" t="e">
        <f>IF(#REF!&lt;=5,"Low Calls", IF(#REF!&lt;=10, "Medium Calls", "High Calls"))</f>
        <v>#REF!</v>
      </c>
      <c r="AF152" t="e">
        <f xml:space="preserve">
IF(#REF!&gt;=4,4,0)+
IF(#REF!="yes",3,0)+
IF(#REF!="High Charges",3,0)+
IF(#REF!&gt;250,4,0)+
IF(#REF!="no",1,0)+
IF(#REF!="Heavy Domestic User",2,0)</f>
        <v>#REF!</v>
      </c>
      <c r="AG152" t="e">
        <f>IF(#REF!&gt;=10,"High Risk", IF(#REF!&gt;=5,"Medium Risk","Low Risk"))</f>
        <v>#REF!</v>
      </c>
      <c r="AH152" t="e">
        <f>#REF! + #REF! + #REF! + #REF!</f>
        <v>#REF!</v>
      </c>
    </row>
    <row r="153" spans="1:34" x14ac:dyDescent="0.35">
      <c r="A153">
        <v>152</v>
      </c>
      <c r="B153" t="s">
        <v>38</v>
      </c>
      <c r="C153">
        <v>170</v>
      </c>
      <c r="D153" t="s">
        <v>28</v>
      </c>
      <c r="E153" t="s">
        <v>23</v>
      </c>
      <c r="F153" t="s">
        <v>22</v>
      </c>
      <c r="G153">
        <v>0</v>
      </c>
      <c r="H153">
        <v>259.89999999999998</v>
      </c>
      <c r="I153">
        <v>68</v>
      </c>
      <c r="J153">
        <v>44.18</v>
      </c>
      <c r="K153">
        <v>245</v>
      </c>
      <c r="L153">
        <v>122</v>
      </c>
      <c r="M153">
        <v>20.83</v>
      </c>
      <c r="N153">
        <v>134.4</v>
      </c>
      <c r="O153">
        <v>121</v>
      </c>
      <c r="P153">
        <v>6.05</v>
      </c>
      <c r="Q153">
        <v>8.4</v>
      </c>
      <c r="R153">
        <v>3</v>
      </c>
      <c r="S153">
        <v>2.27</v>
      </c>
      <c r="T153">
        <v>3</v>
      </c>
      <c r="U153" t="s">
        <v>22</v>
      </c>
      <c r="V153" t="e">
        <f>IF(#REF! = "yes", 1, 0)</f>
        <v>#REF!</v>
      </c>
      <c r="W153" t="e">
        <f>IF(#REF! &lt;= 1, "0-1 Calls", IF(#REF! &lt;= 3, "2-3 Calls", IF(#REF! &lt;=5, "4-5 Calls", "6+ Calls")))</f>
        <v>#REF!</v>
      </c>
      <c r="X153" t="e">
        <f>IF(#REF! &lt;= 50, "0-50", IF(#REF! &lt;=100, "51-100", IF(#REF! &lt;= 150, "101-150", "151+")))</f>
        <v>#REF!</v>
      </c>
      <c r="Y153" t="e">
        <f>IF(#REF! &lt;= 3, "Low Charges", "High Charges")</f>
        <v>#REF!</v>
      </c>
      <c r="Z153" t="e">
        <f>IF(#REF!&lt;=80,"Low Calls",
IF(#REF!&lt;=120,"Medium Calls","High Calls"))</f>
        <v>#REF!</v>
      </c>
      <c r="AA153" t="e">
        <f>IF(#REF!&lt;=15,"Low Charges",
IF(#REF!&lt;=20,"Medium Charges","High Charges"))</f>
        <v>#REF!</v>
      </c>
      <c r="AB153" t="e">
        <f>IF(AND(#REF!&gt;180, #REF!&gt;200), "Heavy Doemstic User", IF(#REF!&gt;10, "Interntional User", IF(AND(#REF!&lt;180, #REF!&lt;200,#REF!&lt;200), "Light User", "Balanced User")))</f>
        <v>#REF!</v>
      </c>
      <c r="AC153" t="e">
        <f>IF(#REF! = 0, "No Usage", IF(#REF! &lt;= 20, "Low Usage", IF(#REF! &lt;= 40, "Medium Usgae", "High Usage")))</f>
        <v>#REF!</v>
      </c>
      <c r="AD153" t="e">
        <f>IF(#REF!&lt;=150,"Low Usage", IF(#REF!&lt;=200,"Medium Usage", IF(#REF!&lt;=250,"High Usage","Very High Usage")))</f>
        <v>#REF!</v>
      </c>
      <c r="AE153" t="e">
        <f>IF(#REF!&lt;=5,"Low Calls", IF(#REF!&lt;=10, "Medium Calls", "High Calls"))</f>
        <v>#REF!</v>
      </c>
      <c r="AF153" t="e">
        <f xml:space="preserve">
IF(#REF!&gt;=4,4,0)+
IF(#REF!="yes",3,0)+
IF(#REF!="High Charges",3,0)+
IF(#REF!&gt;250,4,0)+
IF(#REF!="no",1,0)+
IF(#REF!="Heavy Domestic User",2,0)</f>
        <v>#REF!</v>
      </c>
      <c r="AG153" t="e">
        <f>IF(#REF!&gt;=10,"High Risk", IF(#REF!&gt;=5,"Medium Risk","Low Risk"))</f>
        <v>#REF!</v>
      </c>
      <c r="AH153" t="e">
        <f>#REF! + #REF! + #REF! + #REF!</f>
        <v>#REF!</v>
      </c>
    </row>
    <row r="154" spans="1:34" x14ac:dyDescent="0.35">
      <c r="A154">
        <v>153</v>
      </c>
      <c r="B154" t="s">
        <v>61</v>
      </c>
      <c r="C154">
        <v>73</v>
      </c>
      <c r="D154" t="s">
        <v>21</v>
      </c>
      <c r="E154" t="s">
        <v>22</v>
      </c>
      <c r="F154" t="s">
        <v>22</v>
      </c>
      <c r="G154">
        <v>0</v>
      </c>
      <c r="H154">
        <v>214.3</v>
      </c>
      <c r="I154">
        <v>145</v>
      </c>
      <c r="J154">
        <v>36.43</v>
      </c>
      <c r="K154">
        <v>268.5</v>
      </c>
      <c r="L154">
        <v>135</v>
      </c>
      <c r="M154">
        <v>22.82</v>
      </c>
      <c r="N154">
        <v>241.2</v>
      </c>
      <c r="O154">
        <v>92</v>
      </c>
      <c r="P154">
        <v>10.85</v>
      </c>
      <c r="Q154">
        <v>10.8</v>
      </c>
      <c r="R154">
        <v>13</v>
      </c>
      <c r="S154">
        <v>2.92</v>
      </c>
      <c r="T154">
        <v>1</v>
      </c>
      <c r="U154" t="s">
        <v>22</v>
      </c>
      <c r="V154" t="e">
        <f>IF(#REF! = "yes", 1, 0)</f>
        <v>#REF!</v>
      </c>
      <c r="W154" t="e">
        <f>IF(#REF! &lt;= 1, "0-1 Calls", IF(#REF! &lt;= 3, "2-3 Calls", IF(#REF! &lt;=5, "4-5 Calls", "6+ Calls")))</f>
        <v>#REF!</v>
      </c>
      <c r="X154" t="e">
        <f>IF(#REF! &lt;= 50, "0-50", IF(#REF! &lt;=100, "51-100", IF(#REF! &lt;= 150, "101-150", "151+")))</f>
        <v>#REF!</v>
      </c>
      <c r="Y154" t="e">
        <f>IF(#REF! &lt;= 3, "Low Charges", "High Charges")</f>
        <v>#REF!</v>
      </c>
      <c r="Z154" t="e">
        <f>IF(#REF!&lt;=80,"Low Calls",
IF(#REF!&lt;=120,"Medium Calls","High Calls"))</f>
        <v>#REF!</v>
      </c>
      <c r="AA154" t="e">
        <f>IF(#REF!&lt;=15,"Low Charges",
IF(#REF!&lt;=20,"Medium Charges","High Charges"))</f>
        <v>#REF!</v>
      </c>
      <c r="AB154" t="e">
        <f>IF(AND(#REF!&gt;180, #REF!&gt;200), "Heavy Doemstic User", IF(#REF!&gt;10, "Interntional User", IF(AND(#REF!&lt;180, #REF!&lt;200,#REF!&lt;200), "Light User", "Balanced User")))</f>
        <v>#REF!</v>
      </c>
      <c r="AC154" t="e">
        <f>IF(#REF! = 0, "No Usage", IF(#REF! &lt;= 20, "Low Usage", IF(#REF! &lt;= 40, "Medium Usgae", "High Usage")))</f>
        <v>#REF!</v>
      </c>
      <c r="AD154" t="e">
        <f>IF(#REF!&lt;=150,"Low Usage", IF(#REF!&lt;=200,"Medium Usage", IF(#REF!&lt;=250,"High Usage","Very High Usage")))</f>
        <v>#REF!</v>
      </c>
      <c r="AE154" t="e">
        <f>IF(#REF!&lt;=5,"Low Calls", IF(#REF!&lt;=10, "Medium Calls", "High Calls"))</f>
        <v>#REF!</v>
      </c>
      <c r="AF154" t="e">
        <f xml:space="preserve">
IF(#REF!&gt;=4,4,0)+
IF(#REF!="yes",3,0)+
IF(#REF!="High Charges",3,0)+
IF(#REF!&gt;250,4,0)+
IF(#REF!="no",1,0)+
IF(#REF!="Heavy Domestic User",2,0)</f>
        <v>#REF!</v>
      </c>
      <c r="AG154" t="e">
        <f>IF(#REF!&gt;=10,"High Risk", IF(#REF!&gt;=5,"Medium Risk","Low Risk"))</f>
        <v>#REF!</v>
      </c>
      <c r="AH154" t="e">
        <f>#REF! + #REF! + #REF! + #REF!</f>
        <v>#REF!</v>
      </c>
    </row>
    <row r="155" spans="1:34" x14ac:dyDescent="0.35">
      <c r="A155">
        <v>154</v>
      </c>
      <c r="B155" t="s">
        <v>36</v>
      </c>
      <c r="C155">
        <v>106</v>
      </c>
      <c r="D155" t="s">
        <v>25</v>
      </c>
      <c r="E155" t="s">
        <v>22</v>
      </c>
      <c r="F155" t="s">
        <v>22</v>
      </c>
      <c r="G155">
        <v>0</v>
      </c>
      <c r="H155">
        <v>158.69999999999999</v>
      </c>
      <c r="I155">
        <v>74</v>
      </c>
      <c r="J155">
        <v>26.98</v>
      </c>
      <c r="K155">
        <v>64.3</v>
      </c>
      <c r="L155">
        <v>139</v>
      </c>
      <c r="M155">
        <v>5.47</v>
      </c>
      <c r="N155">
        <v>198.5</v>
      </c>
      <c r="O155">
        <v>103</v>
      </c>
      <c r="P155">
        <v>8.93</v>
      </c>
      <c r="Q155">
        <v>10.199999999999999</v>
      </c>
      <c r="R155">
        <v>4</v>
      </c>
      <c r="S155">
        <v>2.75</v>
      </c>
      <c r="T155">
        <v>1</v>
      </c>
      <c r="U155" t="s">
        <v>22</v>
      </c>
      <c r="V155" t="e">
        <f>IF(#REF! = "yes", 1, 0)</f>
        <v>#REF!</v>
      </c>
      <c r="W155" t="e">
        <f>IF(#REF! &lt;= 1, "0-1 Calls", IF(#REF! &lt;= 3, "2-3 Calls", IF(#REF! &lt;=5, "4-5 Calls", "6+ Calls")))</f>
        <v>#REF!</v>
      </c>
      <c r="X155" t="e">
        <f>IF(#REF! &lt;= 50, "0-50", IF(#REF! &lt;=100, "51-100", IF(#REF! &lt;= 150, "101-150", "151+")))</f>
        <v>#REF!</v>
      </c>
      <c r="Y155" t="e">
        <f>IF(#REF! &lt;= 3, "Low Charges", "High Charges")</f>
        <v>#REF!</v>
      </c>
      <c r="Z155" t="e">
        <f>IF(#REF!&lt;=80,"Low Calls",
IF(#REF!&lt;=120,"Medium Calls","High Calls"))</f>
        <v>#REF!</v>
      </c>
      <c r="AA155" t="e">
        <f>IF(#REF!&lt;=15,"Low Charges",
IF(#REF!&lt;=20,"Medium Charges","High Charges"))</f>
        <v>#REF!</v>
      </c>
      <c r="AB155" t="e">
        <f>IF(AND(#REF!&gt;180, #REF!&gt;200), "Heavy Doemstic User", IF(#REF!&gt;10, "Interntional User", IF(AND(#REF!&lt;180, #REF!&lt;200,#REF!&lt;200), "Light User", "Balanced User")))</f>
        <v>#REF!</v>
      </c>
      <c r="AC155" t="e">
        <f>IF(#REF! = 0, "No Usage", IF(#REF! &lt;= 20, "Low Usage", IF(#REF! &lt;= 40, "Medium Usgae", "High Usage")))</f>
        <v>#REF!</v>
      </c>
      <c r="AD155" t="e">
        <f>IF(#REF!&lt;=150,"Low Usage", IF(#REF!&lt;=200,"Medium Usage", IF(#REF!&lt;=250,"High Usage","Very High Usage")))</f>
        <v>#REF!</v>
      </c>
      <c r="AE155" t="e">
        <f>IF(#REF!&lt;=5,"Low Calls", IF(#REF!&lt;=10, "Medium Calls", "High Calls"))</f>
        <v>#REF!</v>
      </c>
      <c r="AF155" t="e">
        <f xml:space="preserve">
IF(#REF!&gt;=4,4,0)+
IF(#REF!="yes",3,0)+
IF(#REF!="High Charges",3,0)+
IF(#REF!&gt;250,4,0)+
IF(#REF!="no",1,0)+
IF(#REF!="Heavy Domestic User",2,0)</f>
        <v>#REF!</v>
      </c>
      <c r="AG155" t="e">
        <f>IF(#REF!&gt;=10,"High Risk", IF(#REF!&gt;=5,"Medium Risk","Low Risk"))</f>
        <v>#REF!</v>
      </c>
      <c r="AH155" t="e">
        <f>#REF! + #REF! + #REF! + #REF!</f>
        <v>#REF!</v>
      </c>
    </row>
    <row r="156" spans="1:34" x14ac:dyDescent="0.35">
      <c r="A156">
        <v>155</v>
      </c>
      <c r="B156" t="s">
        <v>42</v>
      </c>
      <c r="C156">
        <v>93</v>
      </c>
      <c r="D156" t="s">
        <v>21</v>
      </c>
      <c r="E156" t="s">
        <v>22</v>
      </c>
      <c r="F156" t="s">
        <v>22</v>
      </c>
      <c r="G156">
        <v>0</v>
      </c>
      <c r="H156">
        <v>271.60000000000002</v>
      </c>
      <c r="I156">
        <v>71</v>
      </c>
      <c r="J156">
        <v>46.17</v>
      </c>
      <c r="K156">
        <v>229.4</v>
      </c>
      <c r="L156">
        <v>108</v>
      </c>
      <c r="M156">
        <v>19.5</v>
      </c>
      <c r="N156">
        <v>77.3</v>
      </c>
      <c r="O156">
        <v>121</v>
      </c>
      <c r="P156">
        <v>3.48</v>
      </c>
      <c r="Q156">
        <v>10.9</v>
      </c>
      <c r="R156">
        <v>3</v>
      </c>
      <c r="S156">
        <v>2.94</v>
      </c>
      <c r="T156">
        <v>2</v>
      </c>
      <c r="U156" t="s">
        <v>22</v>
      </c>
      <c r="V156" t="e">
        <f>IF(#REF! = "yes", 1, 0)</f>
        <v>#REF!</v>
      </c>
      <c r="W156" t="e">
        <f>IF(#REF! &lt;= 1, "0-1 Calls", IF(#REF! &lt;= 3, "2-3 Calls", IF(#REF! &lt;=5, "4-5 Calls", "6+ Calls")))</f>
        <v>#REF!</v>
      </c>
      <c r="X156" t="e">
        <f>IF(#REF! &lt;= 50, "0-50", IF(#REF! &lt;=100, "51-100", IF(#REF! &lt;= 150, "101-150", "151+")))</f>
        <v>#REF!</v>
      </c>
      <c r="Y156" t="e">
        <f>IF(#REF! &lt;= 3, "Low Charges", "High Charges")</f>
        <v>#REF!</v>
      </c>
      <c r="Z156" t="e">
        <f>IF(#REF!&lt;=80,"Low Calls",
IF(#REF!&lt;=120,"Medium Calls","High Calls"))</f>
        <v>#REF!</v>
      </c>
      <c r="AA156" t="e">
        <f>IF(#REF!&lt;=15,"Low Charges",
IF(#REF!&lt;=20,"Medium Charges","High Charges"))</f>
        <v>#REF!</v>
      </c>
      <c r="AB156" t="e">
        <f>IF(AND(#REF!&gt;180, #REF!&gt;200), "Heavy Doemstic User", IF(#REF!&gt;10, "Interntional User", IF(AND(#REF!&lt;180, #REF!&lt;200,#REF!&lt;200), "Light User", "Balanced User")))</f>
        <v>#REF!</v>
      </c>
      <c r="AC156" t="e">
        <f>IF(#REF! = 0, "No Usage", IF(#REF! &lt;= 20, "Low Usage", IF(#REF! &lt;= 40, "Medium Usgae", "High Usage")))</f>
        <v>#REF!</v>
      </c>
      <c r="AD156" t="e">
        <f>IF(#REF!&lt;=150,"Low Usage", IF(#REF!&lt;=200,"Medium Usage", IF(#REF!&lt;=250,"High Usage","Very High Usage")))</f>
        <v>#REF!</v>
      </c>
      <c r="AE156" t="e">
        <f>IF(#REF!&lt;=5,"Low Calls", IF(#REF!&lt;=10, "Medium Calls", "High Calls"))</f>
        <v>#REF!</v>
      </c>
      <c r="AF156" t="e">
        <f xml:space="preserve">
IF(#REF!&gt;=4,4,0)+
IF(#REF!="yes",3,0)+
IF(#REF!="High Charges",3,0)+
IF(#REF!&gt;250,4,0)+
IF(#REF!="no",1,0)+
IF(#REF!="Heavy Domestic User",2,0)</f>
        <v>#REF!</v>
      </c>
      <c r="AG156" t="e">
        <f>IF(#REF!&gt;=10,"High Risk", IF(#REF!&gt;=5,"Medium Risk","Low Risk"))</f>
        <v>#REF!</v>
      </c>
      <c r="AH156" t="e">
        <f>#REF! + #REF! + #REF! + #REF!</f>
        <v>#REF!</v>
      </c>
    </row>
    <row r="157" spans="1:34" x14ac:dyDescent="0.35">
      <c r="A157">
        <v>156</v>
      </c>
      <c r="B157" t="s">
        <v>59</v>
      </c>
      <c r="C157">
        <v>51</v>
      </c>
      <c r="D157" t="s">
        <v>25</v>
      </c>
      <c r="E157" t="s">
        <v>22</v>
      </c>
      <c r="F157" t="s">
        <v>22</v>
      </c>
      <c r="G157">
        <v>0</v>
      </c>
      <c r="H157">
        <v>232.4</v>
      </c>
      <c r="I157">
        <v>109</v>
      </c>
      <c r="J157">
        <v>39.51</v>
      </c>
      <c r="K157">
        <v>187.4</v>
      </c>
      <c r="L157">
        <v>95</v>
      </c>
      <c r="M157">
        <v>15.93</v>
      </c>
      <c r="N157">
        <v>231.2</v>
      </c>
      <c r="O157">
        <v>107</v>
      </c>
      <c r="P157">
        <v>10.4</v>
      </c>
      <c r="Q157">
        <v>9.1</v>
      </c>
      <c r="R157">
        <v>3</v>
      </c>
      <c r="S157">
        <v>2.46</v>
      </c>
      <c r="T157">
        <v>1</v>
      </c>
      <c r="U157" t="s">
        <v>22</v>
      </c>
      <c r="V157" t="e">
        <f>IF(#REF! = "yes", 1, 0)</f>
        <v>#REF!</v>
      </c>
      <c r="W157" t="e">
        <f>IF(#REF! &lt;= 1, "0-1 Calls", IF(#REF! &lt;= 3, "2-3 Calls", IF(#REF! &lt;=5, "4-5 Calls", "6+ Calls")))</f>
        <v>#REF!</v>
      </c>
      <c r="X157" t="e">
        <f>IF(#REF! &lt;= 50, "0-50", IF(#REF! &lt;=100, "51-100", IF(#REF! &lt;= 150, "101-150", "151+")))</f>
        <v>#REF!</v>
      </c>
      <c r="Y157" t="e">
        <f>IF(#REF! &lt;= 3, "Low Charges", "High Charges")</f>
        <v>#REF!</v>
      </c>
      <c r="Z157" t="e">
        <f>IF(#REF!&lt;=80,"Low Calls",
IF(#REF!&lt;=120,"Medium Calls","High Calls"))</f>
        <v>#REF!</v>
      </c>
      <c r="AA157" t="e">
        <f>IF(#REF!&lt;=15,"Low Charges",
IF(#REF!&lt;=20,"Medium Charges","High Charges"))</f>
        <v>#REF!</v>
      </c>
      <c r="AB157" t="e">
        <f>IF(AND(#REF!&gt;180, #REF!&gt;200), "Heavy Doemstic User", IF(#REF!&gt;10, "Interntional User", IF(AND(#REF!&lt;180, #REF!&lt;200,#REF!&lt;200), "Light User", "Balanced User")))</f>
        <v>#REF!</v>
      </c>
      <c r="AC157" t="e">
        <f>IF(#REF! = 0, "No Usage", IF(#REF! &lt;= 20, "Low Usage", IF(#REF! &lt;= 40, "Medium Usgae", "High Usage")))</f>
        <v>#REF!</v>
      </c>
      <c r="AD157" t="e">
        <f>IF(#REF!&lt;=150,"Low Usage", IF(#REF!&lt;=200,"Medium Usage", IF(#REF!&lt;=250,"High Usage","Very High Usage")))</f>
        <v>#REF!</v>
      </c>
      <c r="AE157" t="e">
        <f>IF(#REF!&lt;=5,"Low Calls", IF(#REF!&lt;=10, "Medium Calls", "High Calls"))</f>
        <v>#REF!</v>
      </c>
      <c r="AF157" t="e">
        <f xml:space="preserve">
IF(#REF!&gt;=4,4,0)+
IF(#REF!="yes",3,0)+
IF(#REF!="High Charges",3,0)+
IF(#REF!&gt;250,4,0)+
IF(#REF!="no",1,0)+
IF(#REF!="Heavy Domestic User",2,0)</f>
        <v>#REF!</v>
      </c>
      <c r="AG157" t="e">
        <f>IF(#REF!&gt;=10,"High Risk", IF(#REF!&gt;=5,"Medium Risk","Low Risk"))</f>
        <v>#REF!</v>
      </c>
      <c r="AH157" t="e">
        <f>#REF! + #REF! + #REF! + #REF!</f>
        <v>#REF!</v>
      </c>
    </row>
    <row r="158" spans="1:34" x14ac:dyDescent="0.35">
      <c r="A158">
        <v>157</v>
      </c>
      <c r="B158" t="s">
        <v>39</v>
      </c>
      <c r="C158">
        <v>130</v>
      </c>
      <c r="D158" t="s">
        <v>21</v>
      </c>
      <c r="E158" t="s">
        <v>22</v>
      </c>
      <c r="F158" t="s">
        <v>22</v>
      </c>
      <c r="G158">
        <v>0</v>
      </c>
      <c r="H158">
        <v>176.9</v>
      </c>
      <c r="I158">
        <v>109</v>
      </c>
      <c r="J158">
        <v>30.07</v>
      </c>
      <c r="K158">
        <v>90.7</v>
      </c>
      <c r="L158">
        <v>104</v>
      </c>
      <c r="M158">
        <v>7.71</v>
      </c>
      <c r="N158">
        <v>238</v>
      </c>
      <c r="O158">
        <v>69</v>
      </c>
      <c r="P158">
        <v>10.71</v>
      </c>
      <c r="Q158">
        <v>9.5</v>
      </c>
      <c r="R158">
        <v>2</v>
      </c>
      <c r="S158">
        <v>2.57</v>
      </c>
      <c r="T158">
        <v>1</v>
      </c>
      <c r="U158" t="s">
        <v>22</v>
      </c>
      <c r="V158" t="e">
        <f>IF(#REF! = "yes", 1, 0)</f>
        <v>#REF!</v>
      </c>
      <c r="W158" t="e">
        <f>IF(#REF! &lt;= 1, "0-1 Calls", IF(#REF! &lt;= 3, "2-3 Calls", IF(#REF! &lt;=5, "4-5 Calls", "6+ Calls")))</f>
        <v>#REF!</v>
      </c>
      <c r="X158" t="e">
        <f>IF(#REF! &lt;= 50, "0-50", IF(#REF! &lt;=100, "51-100", IF(#REF! &lt;= 150, "101-150", "151+")))</f>
        <v>#REF!</v>
      </c>
      <c r="Y158" t="e">
        <f>IF(#REF! &lt;= 3, "Low Charges", "High Charges")</f>
        <v>#REF!</v>
      </c>
      <c r="Z158" t="e">
        <f>IF(#REF!&lt;=80,"Low Calls",
IF(#REF!&lt;=120,"Medium Calls","High Calls"))</f>
        <v>#REF!</v>
      </c>
      <c r="AA158" t="e">
        <f>IF(#REF!&lt;=15,"Low Charges",
IF(#REF!&lt;=20,"Medium Charges","High Charges"))</f>
        <v>#REF!</v>
      </c>
      <c r="AB158" t="e">
        <f>IF(AND(#REF!&gt;180, #REF!&gt;200), "Heavy Doemstic User", IF(#REF!&gt;10, "Interntional User", IF(AND(#REF!&lt;180, #REF!&lt;200,#REF!&lt;200), "Light User", "Balanced User")))</f>
        <v>#REF!</v>
      </c>
      <c r="AC158" t="e">
        <f>IF(#REF! = 0, "No Usage", IF(#REF! &lt;= 20, "Low Usage", IF(#REF! &lt;= 40, "Medium Usgae", "High Usage")))</f>
        <v>#REF!</v>
      </c>
      <c r="AD158" t="e">
        <f>IF(#REF!&lt;=150,"Low Usage", IF(#REF!&lt;=200,"Medium Usage", IF(#REF!&lt;=250,"High Usage","Very High Usage")))</f>
        <v>#REF!</v>
      </c>
      <c r="AE158" t="e">
        <f>IF(#REF!&lt;=5,"Low Calls", IF(#REF!&lt;=10, "Medium Calls", "High Calls"))</f>
        <v>#REF!</v>
      </c>
      <c r="AF158" t="e">
        <f xml:space="preserve">
IF(#REF!&gt;=4,4,0)+
IF(#REF!="yes",3,0)+
IF(#REF!="High Charges",3,0)+
IF(#REF!&gt;250,4,0)+
IF(#REF!="no",1,0)+
IF(#REF!="Heavy Domestic User",2,0)</f>
        <v>#REF!</v>
      </c>
      <c r="AG158" t="e">
        <f>IF(#REF!&gt;=10,"High Risk", IF(#REF!&gt;=5,"Medium Risk","Low Risk"))</f>
        <v>#REF!</v>
      </c>
      <c r="AH158" t="e">
        <f>#REF! + #REF! + #REF! + #REF!</f>
        <v>#REF!</v>
      </c>
    </row>
    <row r="159" spans="1:34" x14ac:dyDescent="0.35">
      <c r="A159">
        <v>158</v>
      </c>
      <c r="B159" t="s">
        <v>65</v>
      </c>
      <c r="C159">
        <v>80</v>
      </c>
      <c r="D159" t="s">
        <v>25</v>
      </c>
      <c r="E159" t="s">
        <v>22</v>
      </c>
      <c r="F159" t="s">
        <v>22</v>
      </c>
      <c r="G159">
        <v>0</v>
      </c>
      <c r="H159">
        <v>209.9</v>
      </c>
      <c r="I159">
        <v>74</v>
      </c>
      <c r="J159">
        <v>35.68</v>
      </c>
      <c r="K159">
        <v>195.1</v>
      </c>
      <c r="L159">
        <v>77</v>
      </c>
      <c r="M159">
        <v>16.579999999999998</v>
      </c>
      <c r="N159">
        <v>208.2</v>
      </c>
      <c r="O159">
        <v>119</v>
      </c>
      <c r="P159">
        <v>9.3699999999999992</v>
      </c>
      <c r="Q159">
        <v>8.8000000000000007</v>
      </c>
      <c r="R159">
        <v>4</v>
      </c>
      <c r="S159">
        <v>2.38</v>
      </c>
      <c r="T159">
        <v>2</v>
      </c>
      <c r="U159" t="s">
        <v>22</v>
      </c>
      <c r="V159" t="e">
        <f>IF(#REF! = "yes", 1, 0)</f>
        <v>#REF!</v>
      </c>
      <c r="W159" t="e">
        <f>IF(#REF! &lt;= 1, "0-1 Calls", IF(#REF! &lt;= 3, "2-3 Calls", IF(#REF! &lt;=5, "4-5 Calls", "6+ Calls")))</f>
        <v>#REF!</v>
      </c>
      <c r="X159" t="e">
        <f>IF(#REF! &lt;= 50, "0-50", IF(#REF! &lt;=100, "51-100", IF(#REF! &lt;= 150, "101-150", "151+")))</f>
        <v>#REF!</v>
      </c>
      <c r="Y159" t="e">
        <f>IF(#REF! &lt;= 3, "Low Charges", "High Charges")</f>
        <v>#REF!</v>
      </c>
      <c r="Z159" t="e">
        <f>IF(#REF!&lt;=80,"Low Calls",
IF(#REF!&lt;=120,"Medium Calls","High Calls"))</f>
        <v>#REF!</v>
      </c>
      <c r="AA159" t="e">
        <f>IF(#REF!&lt;=15,"Low Charges",
IF(#REF!&lt;=20,"Medium Charges","High Charges"))</f>
        <v>#REF!</v>
      </c>
      <c r="AB159" t="e">
        <f>IF(AND(#REF!&gt;180, #REF!&gt;200), "Heavy Doemstic User", IF(#REF!&gt;10, "Interntional User", IF(AND(#REF!&lt;180, #REF!&lt;200,#REF!&lt;200), "Light User", "Balanced User")))</f>
        <v>#REF!</v>
      </c>
      <c r="AC159" t="e">
        <f>IF(#REF! = 0, "No Usage", IF(#REF! &lt;= 20, "Low Usage", IF(#REF! &lt;= 40, "Medium Usgae", "High Usage")))</f>
        <v>#REF!</v>
      </c>
      <c r="AD159" t="e">
        <f>IF(#REF!&lt;=150,"Low Usage", IF(#REF!&lt;=200,"Medium Usage", IF(#REF!&lt;=250,"High Usage","Very High Usage")))</f>
        <v>#REF!</v>
      </c>
      <c r="AE159" t="e">
        <f>IF(#REF!&lt;=5,"Low Calls", IF(#REF!&lt;=10, "Medium Calls", "High Calls"))</f>
        <v>#REF!</v>
      </c>
      <c r="AF159" t="e">
        <f xml:space="preserve">
IF(#REF!&gt;=4,4,0)+
IF(#REF!="yes",3,0)+
IF(#REF!="High Charges",3,0)+
IF(#REF!&gt;250,4,0)+
IF(#REF!="no",1,0)+
IF(#REF!="Heavy Domestic User",2,0)</f>
        <v>#REF!</v>
      </c>
      <c r="AG159" t="e">
        <f>IF(#REF!&gt;=10,"High Risk", IF(#REF!&gt;=5,"Medium Risk","Low Risk"))</f>
        <v>#REF!</v>
      </c>
      <c r="AH159" t="e">
        <f>#REF! + #REF! + #REF! + #REF!</f>
        <v>#REF!</v>
      </c>
    </row>
    <row r="160" spans="1:34" x14ac:dyDescent="0.35">
      <c r="A160">
        <v>159</v>
      </c>
      <c r="B160" t="s">
        <v>35</v>
      </c>
      <c r="C160">
        <v>94</v>
      </c>
      <c r="D160" t="s">
        <v>21</v>
      </c>
      <c r="E160" t="s">
        <v>22</v>
      </c>
      <c r="F160" t="s">
        <v>22</v>
      </c>
      <c r="G160">
        <v>0</v>
      </c>
      <c r="H160">
        <v>137.5</v>
      </c>
      <c r="I160">
        <v>118</v>
      </c>
      <c r="J160">
        <v>23.38</v>
      </c>
      <c r="K160">
        <v>203.2</v>
      </c>
      <c r="L160">
        <v>88</v>
      </c>
      <c r="M160">
        <v>17.27</v>
      </c>
      <c r="N160">
        <v>150</v>
      </c>
      <c r="O160">
        <v>131</v>
      </c>
      <c r="P160">
        <v>6.75</v>
      </c>
      <c r="Q160">
        <v>13.4</v>
      </c>
      <c r="R160">
        <v>2</v>
      </c>
      <c r="S160">
        <v>3.62</v>
      </c>
      <c r="T160">
        <v>0</v>
      </c>
      <c r="U160" t="s">
        <v>22</v>
      </c>
      <c r="V160" t="e">
        <f>IF(#REF! = "yes", 1, 0)</f>
        <v>#REF!</v>
      </c>
      <c r="W160" t="e">
        <f>IF(#REF! &lt;= 1, "0-1 Calls", IF(#REF! &lt;= 3, "2-3 Calls", IF(#REF! &lt;=5, "4-5 Calls", "6+ Calls")))</f>
        <v>#REF!</v>
      </c>
      <c r="X160" t="e">
        <f>IF(#REF! &lt;= 50, "0-50", IF(#REF! &lt;=100, "51-100", IF(#REF! &lt;= 150, "101-150", "151+")))</f>
        <v>#REF!</v>
      </c>
      <c r="Y160" t="e">
        <f>IF(#REF! &lt;= 3, "Low Charges", "High Charges")</f>
        <v>#REF!</v>
      </c>
      <c r="Z160" t="e">
        <f>IF(#REF!&lt;=80,"Low Calls",
IF(#REF!&lt;=120,"Medium Calls","High Calls"))</f>
        <v>#REF!</v>
      </c>
      <c r="AA160" t="e">
        <f>IF(#REF!&lt;=15,"Low Charges",
IF(#REF!&lt;=20,"Medium Charges","High Charges"))</f>
        <v>#REF!</v>
      </c>
      <c r="AB160" t="e">
        <f>IF(AND(#REF!&gt;180, #REF!&gt;200), "Heavy Doemstic User", IF(#REF!&gt;10, "Interntional User", IF(AND(#REF!&lt;180, #REF!&lt;200,#REF!&lt;200), "Light User", "Balanced User")))</f>
        <v>#REF!</v>
      </c>
      <c r="AC160" t="e">
        <f>IF(#REF! = 0, "No Usage", IF(#REF! &lt;= 20, "Low Usage", IF(#REF! &lt;= 40, "Medium Usgae", "High Usage")))</f>
        <v>#REF!</v>
      </c>
      <c r="AD160" t="e">
        <f>IF(#REF!&lt;=150,"Low Usage", IF(#REF!&lt;=200,"Medium Usage", IF(#REF!&lt;=250,"High Usage","Very High Usage")))</f>
        <v>#REF!</v>
      </c>
      <c r="AE160" t="e">
        <f>IF(#REF!&lt;=5,"Low Calls", IF(#REF!&lt;=10, "Medium Calls", "High Calls"))</f>
        <v>#REF!</v>
      </c>
      <c r="AF160" t="e">
        <f xml:space="preserve">
IF(#REF!&gt;=4,4,0)+
IF(#REF!="yes",3,0)+
IF(#REF!="High Charges",3,0)+
IF(#REF!&gt;250,4,0)+
IF(#REF!="no",1,0)+
IF(#REF!="Heavy Domestic User",2,0)</f>
        <v>#REF!</v>
      </c>
      <c r="AG160" t="e">
        <f>IF(#REF!&gt;=10,"High Risk", IF(#REF!&gt;=5,"Medium Risk","Low Risk"))</f>
        <v>#REF!</v>
      </c>
      <c r="AH160" t="e">
        <f>#REF! + #REF! + #REF! + #REF!</f>
        <v>#REF!</v>
      </c>
    </row>
    <row r="161" spans="1:34" x14ac:dyDescent="0.35">
      <c r="A161">
        <v>160</v>
      </c>
      <c r="B161" t="s">
        <v>26</v>
      </c>
      <c r="C161">
        <v>118</v>
      </c>
      <c r="D161" t="s">
        <v>25</v>
      </c>
      <c r="E161" t="s">
        <v>22</v>
      </c>
      <c r="F161" t="s">
        <v>23</v>
      </c>
      <c r="G161">
        <v>23</v>
      </c>
      <c r="H161">
        <v>289.5</v>
      </c>
      <c r="I161">
        <v>52</v>
      </c>
      <c r="J161">
        <v>49.22</v>
      </c>
      <c r="K161">
        <v>166.6</v>
      </c>
      <c r="L161">
        <v>111</v>
      </c>
      <c r="M161">
        <v>14.16</v>
      </c>
      <c r="N161">
        <v>119.1</v>
      </c>
      <c r="O161">
        <v>88</v>
      </c>
      <c r="P161">
        <v>5.36</v>
      </c>
      <c r="Q161">
        <v>9.5</v>
      </c>
      <c r="R161">
        <v>4</v>
      </c>
      <c r="S161">
        <v>2.57</v>
      </c>
      <c r="T161">
        <v>1</v>
      </c>
      <c r="U161" t="s">
        <v>22</v>
      </c>
      <c r="V161" t="e">
        <f>IF(#REF! = "yes", 1, 0)</f>
        <v>#REF!</v>
      </c>
      <c r="W161" t="e">
        <f>IF(#REF! &lt;= 1, "0-1 Calls", IF(#REF! &lt;= 3, "2-3 Calls", IF(#REF! &lt;=5, "4-5 Calls", "6+ Calls")))</f>
        <v>#REF!</v>
      </c>
      <c r="X161" t="e">
        <f>IF(#REF! &lt;= 50, "0-50", IF(#REF! &lt;=100, "51-100", IF(#REF! &lt;= 150, "101-150", "151+")))</f>
        <v>#REF!</v>
      </c>
      <c r="Y161" t="e">
        <f>IF(#REF! &lt;= 3, "Low Charges", "High Charges")</f>
        <v>#REF!</v>
      </c>
      <c r="Z161" t="e">
        <f>IF(#REF!&lt;=80,"Low Calls",
IF(#REF!&lt;=120,"Medium Calls","High Calls"))</f>
        <v>#REF!</v>
      </c>
      <c r="AA161" t="e">
        <f>IF(#REF!&lt;=15,"Low Charges",
IF(#REF!&lt;=20,"Medium Charges","High Charges"))</f>
        <v>#REF!</v>
      </c>
      <c r="AB161" t="e">
        <f>IF(AND(#REF!&gt;180, #REF!&gt;200), "Heavy Doemstic User", IF(#REF!&gt;10, "Interntional User", IF(AND(#REF!&lt;180, #REF!&lt;200,#REF!&lt;200), "Light User", "Balanced User")))</f>
        <v>#REF!</v>
      </c>
      <c r="AC161" t="e">
        <f>IF(#REF! = 0, "No Usage", IF(#REF! &lt;= 20, "Low Usage", IF(#REF! &lt;= 40, "Medium Usgae", "High Usage")))</f>
        <v>#REF!</v>
      </c>
      <c r="AD161" t="e">
        <f>IF(#REF!&lt;=150,"Low Usage", IF(#REF!&lt;=200,"Medium Usage", IF(#REF!&lt;=250,"High Usage","Very High Usage")))</f>
        <v>#REF!</v>
      </c>
      <c r="AE161" t="e">
        <f>IF(#REF!&lt;=5,"Low Calls", IF(#REF!&lt;=10, "Medium Calls", "High Calls"))</f>
        <v>#REF!</v>
      </c>
      <c r="AF161" t="e">
        <f xml:space="preserve">
IF(#REF!&gt;=4,4,0)+
IF(#REF!="yes",3,0)+
IF(#REF!="High Charges",3,0)+
IF(#REF!&gt;250,4,0)+
IF(#REF!="no",1,0)+
IF(#REF!="Heavy Domestic User",2,0)</f>
        <v>#REF!</v>
      </c>
      <c r="AG161" t="e">
        <f>IF(#REF!&gt;=10,"High Risk", IF(#REF!&gt;=5,"Medium Risk","Low Risk"))</f>
        <v>#REF!</v>
      </c>
      <c r="AH161" t="e">
        <f>#REF! + #REF! + #REF! + #REF!</f>
        <v>#REF!</v>
      </c>
    </row>
    <row r="162" spans="1:34" x14ac:dyDescent="0.35">
      <c r="A162">
        <v>161</v>
      </c>
      <c r="B162" t="s">
        <v>49</v>
      </c>
      <c r="C162">
        <v>117</v>
      </c>
      <c r="D162" t="s">
        <v>21</v>
      </c>
      <c r="E162" t="s">
        <v>22</v>
      </c>
      <c r="F162" t="s">
        <v>23</v>
      </c>
      <c r="G162">
        <v>23</v>
      </c>
      <c r="H162">
        <v>198.1</v>
      </c>
      <c r="I162">
        <v>86</v>
      </c>
      <c r="J162">
        <v>33.68</v>
      </c>
      <c r="K162">
        <v>177</v>
      </c>
      <c r="L162">
        <v>86</v>
      </c>
      <c r="M162">
        <v>15.05</v>
      </c>
      <c r="N162">
        <v>180.5</v>
      </c>
      <c r="O162">
        <v>92</v>
      </c>
      <c r="P162">
        <v>8.1199999999999992</v>
      </c>
      <c r="Q162">
        <v>6.8</v>
      </c>
      <c r="R162">
        <v>6</v>
      </c>
      <c r="S162">
        <v>1.84</v>
      </c>
      <c r="T162">
        <v>1</v>
      </c>
      <c r="U162" t="s">
        <v>22</v>
      </c>
      <c r="V162" t="e">
        <f>IF(#REF! = "yes", 1, 0)</f>
        <v>#REF!</v>
      </c>
      <c r="W162" t="e">
        <f>IF(#REF! &lt;= 1, "0-1 Calls", IF(#REF! &lt;= 3, "2-3 Calls", IF(#REF! &lt;=5, "4-5 Calls", "6+ Calls")))</f>
        <v>#REF!</v>
      </c>
      <c r="X162" t="e">
        <f>IF(#REF! &lt;= 50, "0-50", IF(#REF! &lt;=100, "51-100", IF(#REF! &lt;= 150, "101-150", "151+")))</f>
        <v>#REF!</v>
      </c>
      <c r="Y162" t="e">
        <f>IF(#REF! &lt;= 3, "Low Charges", "High Charges")</f>
        <v>#REF!</v>
      </c>
      <c r="Z162" t="e">
        <f>IF(#REF!&lt;=80,"Low Calls",
IF(#REF!&lt;=120,"Medium Calls","High Calls"))</f>
        <v>#REF!</v>
      </c>
      <c r="AA162" t="e">
        <f>IF(#REF!&lt;=15,"Low Charges",
IF(#REF!&lt;=20,"Medium Charges","High Charges"))</f>
        <v>#REF!</v>
      </c>
      <c r="AB162" t="e">
        <f>IF(AND(#REF!&gt;180, #REF!&gt;200), "Heavy Doemstic User", IF(#REF!&gt;10, "Interntional User", IF(AND(#REF!&lt;180, #REF!&lt;200,#REF!&lt;200), "Light User", "Balanced User")))</f>
        <v>#REF!</v>
      </c>
      <c r="AC162" t="e">
        <f>IF(#REF! = 0, "No Usage", IF(#REF! &lt;= 20, "Low Usage", IF(#REF! &lt;= 40, "Medium Usgae", "High Usage")))</f>
        <v>#REF!</v>
      </c>
      <c r="AD162" t="e">
        <f>IF(#REF!&lt;=150,"Low Usage", IF(#REF!&lt;=200,"Medium Usage", IF(#REF!&lt;=250,"High Usage","Very High Usage")))</f>
        <v>#REF!</v>
      </c>
      <c r="AE162" t="e">
        <f>IF(#REF!&lt;=5,"Low Calls", IF(#REF!&lt;=10, "Medium Calls", "High Calls"))</f>
        <v>#REF!</v>
      </c>
      <c r="AF162" t="e">
        <f xml:space="preserve">
IF(#REF!&gt;=4,4,0)+
IF(#REF!="yes",3,0)+
IF(#REF!="High Charges",3,0)+
IF(#REF!&gt;250,4,0)+
IF(#REF!="no",1,0)+
IF(#REF!="Heavy Domestic User",2,0)</f>
        <v>#REF!</v>
      </c>
      <c r="AG162" t="e">
        <f>IF(#REF!&gt;=10,"High Risk", IF(#REF!&gt;=5,"Medium Risk","Low Risk"))</f>
        <v>#REF!</v>
      </c>
      <c r="AH162" t="e">
        <f>#REF! + #REF! + #REF! + #REF!</f>
        <v>#REF!</v>
      </c>
    </row>
    <row r="163" spans="1:34" x14ac:dyDescent="0.35">
      <c r="A163">
        <v>162</v>
      </c>
      <c r="B163" t="s">
        <v>71</v>
      </c>
      <c r="C163">
        <v>78</v>
      </c>
      <c r="D163" t="s">
        <v>21</v>
      </c>
      <c r="E163" t="s">
        <v>22</v>
      </c>
      <c r="F163" t="s">
        <v>22</v>
      </c>
      <c r="G163">
        <v>0</v>
      </c>
      <c r="H163">
        <v>149.69999999999999</v>
      </c>
      <c r="I163">
        <v>119</v>
      </c>
      <c r="J163">
        <v>25.45</v>
      </c>
      <c r="K163">
        <v>182.2</v>
      </c>
      <c r="L163">
        <v>115</v>
      </c>
      <c r="M163">
        <v>15.49</v>
      </c>
      <c r="N163">
        <v>261.5</v>
      </c>
      <c r="O163">
        <v>126</v>
      </c>
      <c r="P163">
        <v>11.77</v>
      </c>
      <c r="Q163">
        <v>9.6999999999999993</v>
      </c>
      <c r="R163">
        <v>8</v>
      </c>
      <c r="S163">
        <v>2.62</v>
      </c>
      <c r="T163">
        <v>0</v>
      </c>
      <c r="U163" t="s">
        <v>22</v>
      </c>
      <c r="V163" t="e">
        <f>IF(#REF! = "yes", 1, 0)</f>
        <v>#REF!</v>
      </c>
      <c r="W163" t="e">
        <f>IF(#REF! &lt;= 1, "0-1 Calls", IF(#REF! &lt;= 3, "2-3 Calls", IF(#REF! &lt;=5, "4-5 Calls", "6+ Calls")))</f>
        <v>#REF!</v>
      </c>
      <c r="X163" t="e">
        <f>IF(#REF! &lt;= 50, "0-50", IF(#REF! &lt;=100, "51-100", IF(#REF! &lt;= 150, "101-150", "151+")))</f>
        <v>#REF!</v>
      </c>
      <c r="Y163" t="e">
        <f>IF(#REF! &lt;= 3, "Low Charges", "High Charges")</f>
        <v>#REF!</v>
      </c>
      <c r="Z163" t="e">
        <f>IF(#REF!&lt;=80,"Low Calls",
IF(#REF!&lt;=120,"Medium Calls","High Calls"))</f>
        <v>#REF!</v>
      </c>
      <c r="AA163" t="e">
        <f>IF(#REF!&lt;=15,"Low Charges",
IF(#REF!&lt;=20,"Medium Charges","High Charges"))</f>
        <v>#REF!</v>
      </c>
      <c r="AB163" t="e">
        <f>IF(AND(#REF!&gt;180, #REF!&gt;200), "Heavy Doemstic User", IF(#REF!&gt;10, "Interntional User", IF(AND(#REF!&lt;180, #REF!&lt;200,#REF!&lt;200), "Light User", "Balanced User")))</f>
        <v>#REF!</v>
      </c>
      <c r="AC163" t="e">
        <f>IF(#REF! = 0, "No Usage", IF(#REF! &lt;= 20, "Low Usage", IF(#REF! &lt;= 40, "Medium Usgae", "High Usage")))</f>
        <v>#REF!</v>
      </c>
      <c r="AD163" t="e">
        <f>IF(#REF!&lt;=150,"Low Usage", IF(#REF!&lt;=200,"Medium Usage", IF(#REF!&lt;=250,"High Usage","Very High Usage")))</f>
        <v>#REF!</v>
      </c>
      <c r="AE163" t="e">
        <f>IF(#REF!&lt;=5,"Low Calls", IF(#REF!&lt;=10, "Medium Calls", "High Calls"))</f>
        <v>#REF!</v>
      </c>
      <c r="AF163" t="e">
        <f xml:space="preserve">
IF(#REF!&gt;=4,4,0)+
IF(#REF!="yes",3,0)+
IF(#REF!="High Charges",3,0)+
IF(#REF!&gt;250,4,0)+
IF(#REF!="no",1,0)+
IF(#REF!="Heavy Domestic User",2,0)</f>
        <v>#REF!</v>
      </c>
      <c r="AG163" t="e">
        <f>IF(#REF!&gt;=10,"High Risk", IF(#REF!&gt;=5,"Medium Risk","Low Risk"))</f>
        <v>#REF!</v>
      </c>
      <c r="AH163" t="e">
        <f>#REF! + #REF! + #REF! + #REF!</f>
        <v>#REF!</v>
      </c>
    </row>
    <row r="164" spans="1:34" x14ac:dyDescent="0.35">
      <c r="A164">
        <v>163</v>
      </c>
      <c r="B164" t="s">
        <v>39</v>
      </c>
      <c r="C164">
        <v>208</v>
      </c>
      <c r="D164" t="s">
        <v>28</v>
      </c>
      <c r="E164" t="s">
        <v>22</v>
      </c>
      <c r="F164" t="s">
        <v>22</v>
      </c>
      <c r="G164">
        <v>0</v>
      </c>
      <c r="H164">
        <v>326.5</v>
      </c>
      <c r="I164">
        <v>67</v>
      </c>
      <c r="J164">
        <v>55.51</v>
      </c>
      <c r="K164">
        <v>176.3</v>
      </c>
      <c r="L164">
        <v>113</v>
      </c>
      <c r="M164">
        <v>14.99</v>
      </c>
      <c r="N164">
        <v>181.7</v>
      </c>
      <c r="O164">
        <v>102</v>
      </c>
      <c r="P164">
        <v>8.18</v>
      </c>
      <c r="Q164">
        <v>10.7</v>
      </c>
      <c r="R164">
        <v>6</v>
      </c>
      <c r="S164">
        <v>2.89</v>
      </c>
      <c r="T164">
        <v>2</v>
      </c>
      <c r="U164" t="s">
        <v>23</v>
      </c>
      <c r="V164" t="e">
        <f>IF(#REF! = "yes", 1, 0)</f>
        <v>#REF!</v>
      </c>
      <c r="W164" t="e">
        <f>IF(#REF! &lt;= 1, "0-1 Calls", IF(#REF! &lt;= 3, "2-3 Calls", IF(#REF! &lt;=5, "4-5 Calls", "6+ Calls")))</f>
        <v>#REF!</v>
      </c>
      <c r="X164" t="e">
        <f>IF(#REF! &lt;= 50, "0-50", IF(#REF! &lt;=100, "51-100", IF(#REF! &lt;= 150, "101-150", "151+")))</f>
        <v>#REF!</v>
      </c>
      <c r="Y164" t="e">
        <f>IF(#REF! &lt;= 3, "Low Charges", "High Charges")</f>
        <v>#REF!</v>
      </c>
      <c r="Z164" t="e">
        <f>IF(#REF!&lt;=80,"Low Calls",
IF(#REF!&lt;=120,"Medium Calls","High Calls"))</f>
        <v>#REF!</v>
      </c>
      <c r="AA164" t="e">
        <f>IF(#REF!&lt;=15,"Low Charges",
IF(#REF!&lt;=20,"Medium Charges","High Charges"))</f>
        <v>#REF!</v>
      </c>
      <c r="AB164" t="e">
        <f>IF(AND(#REF!&gt;180, #REF!&gt;200), "Heavy Doemstic User", IF(#REF!&gt;10, "Interntional User", IF(AND(#REF!&lt;180, #REF!&lt;200,#REF!&lt;200), "Light User", "Balanced User")))</f>
        <v>#REF!</v>
      </c>
      <c r="AC164" t="e">
        <f>IF(#REF! = 0, "No Usage", IF(#REF! &lt;= 20, "Low Usage", IF(#REF! &lt;= 40, "Medium Usgae", "High Usage")))</f>
        <v>#REF!</v>
      </c>
      <c r="AD164" t="e">
        <f>IF(#REF!&lt;=150,"Low Usage", IF(#REF!&lt;=200,"Medium Usage", IF(#REF!&lt;=250,"High Usage","Very High Usage")))</f>
        <v>#REF!</v>
      </c>
      <c r="AE164" t="e">
        <f>IF(#REF!&lt;=5,"Low Calls", IF(#REF!&lt;=10, "Medium Calls", "High Calls"))</f>
        <v>#REF!</v>
      </c>
      <c r="AF164" t="e">
        <f xml:space="preserve">
IF(#REF!&gt;=4,4,0)+
IF(#REF!="yes",3,0)+
IF(#REF!="High Charges",3,0)+
IF(#REF!&gt;250,4,0)+
IF(#REF!="no",1,0)+
IF(#REF!="Heavy Domestic User",2,0)</f>
        <v>#REF!</v>
      </c>
      <c r="AG164" t="e">
        <f>IF(#REF!&gt;=10,"High Risk", IF(#REF!&gt;=5,"Medium Risk","Low Risk"))</f>
        <v>#REF!</v>
      </c>
      <c r="AH164" t="e">
        <f>#REF! + #REF! + #REF! + #REF!</f>
        <v>#REF!</v>
      </c>
    </row>
    <row r="165" spans="1:34" x14ac:dyDescent="0.35">
      <c r="A165">
        <v>164</v>
      </c>
      <c r="B165" t="s">
        <v>66</v>
      </c>
      <c r="C165">
        <v>131</v>
      </c>
      <c r="D165" t="s">
        <v>28</v>
      </c>
      <c r="E165" t="s">
        <v>23</v>
      </c>
      <c r="F165" t="s">
        <v>23</v>
      </c>
      <c r="G165">
        <v>26</v>
      </c>
      <c r="H165">
        <v>292.89999999999998</v>
      </c>
      <c r="I165">
        <v>101</v>
      </c>
      <c r="J165">
        <v>49.79</v>
      </c>
      <c r="K165">
        <v>199.7</v>
      </c>
      <c r="L165">
        <v>97</v>
      </c>
      <c r="M165">
        <v>16.97</v>
      </c>
      <c r="N165">
        <v>255.3</v>
      </c>
      <c r="O165">
        <v>127</v>
      </c>
      <c r="P165">
        <v>11.49</v>
      </c>
      <c r="Q165">
        <v>13.8</v>
      </c>
      <c r="R165">
        <v>7</v>
      </c>
      <c r="S165">
        <v>3.73</v>
      </c>
      <c r="T165">
        <v>4</v>
      </c>
      <c r="U165" t="s">
        <v>23</v>
      </c>
      <c r="V165" t="e">
        <f>IF(#REF! = "yes", 1, 0)</f>
        <v>#REF!</v>
      </c>
      <c r="W165" t="e">
        <f>IF(#REF! &lt;= 1, "0-1 Calls", IF(#REF! &lt;= 3, "2-3 Calls", IF(#REF! &lt;=5, "4-5 Calls", "6+ Calls")))</f>
        <v>#REF!</v>
      </c>
      <c r="X165" t="e">
        <f>IF(#REF! &lt;= 50, "0-50", IF(#REF! &lt;=100, "51-100", IF(#REF! &lt;= 150, "101-150", "151+")))</f>
        <v>#REF!</v>
      </c>
      <c r="Y165" t="e">
        <f>IF(#REF! &lt;= 3, "Low Charges", "High Charges")</f>
        <v>#REF!</v>
      </c>
      <c r="Z165" t="e">
        <f>IF(#REF!&lt;=80,"Low Calls",
IF(#REF!&lt;=120,"Medium Calls","High Calls"))</f>
        <v>#REF!</v>
      </c>
      <c r="AA165" t="e">
        <f>IF(#REF!&lt;=15,"Low Charges",
IF(#REF!&lt;=20,"Medium Charges","High Charges"))</f>
        <v>#REF!</v>
      </c>
      <c r="AB165" t="e">
        <f>IF(AND(#REF!&gt;180, #REF!&gt;200), "Heavy Doemstic User", IF(#REF!&gt;10, "Interntional User", IF(AND(#REF!&lt;180, #REF!&lt;200,#REF!&lt;200), "Light User", "Balanced User")))</f>
        <v>#REF!</v>
      </c>
      <c r="AC165" t="e">
        <f>IF(#REF! = 0, "No Usage", IF(#REF! &lt;= 20, "Low Usage", IF(#REF! &lt;= 40, "Medium Usgae", "High Usage")))</f>
        <v>#REF!</v>
      </c>
      <c r="AD165" t="e">
        <f>IF(#REF!&lt;=150,"Low Usage", IF(#REF!&lt;=200,"Medium Usage", IF(#REF!&lt;=250,"High Usage","Very High Usage")))</f>
        <v>#REF!</v>
      </c>
      <c r="AE165" t="e">
        <f>IF(#REF!&lt;=5,"Low Calls", IF(#REF!&lt;=10, "Medium Calls", "High Calls"))</f>
        <v>#REF!</v>
      </c>
      <c r="AF165" t="e">
        <f xml:space="preserve">
IF(#REF!&gt;=4,4,0)+
IF(#REF!="yes",3,0)+
IF(#REF!="High Charges",3,0)+
IF(#REF!&gt;250,4,0)+
IF(#REF!="no",1,0)+
IF(#REF!="Heavy Domestic User",2,0)</f>
        <v>#REF!</v>
      </c>
      <c r="AG165" t="e">
        <f>IF(#REF!&gt;=10,"High Risk", IF(#REF!&gt;=5,"Medium Risk","Low Risk"))</f>
        <v>#REF!</v>
      </c>
      <c r="AH165" t="e">
        <f>#REF! + #REF! + #REF! + #REF!</f>
        <v>#REF!</v>
      </c>
    </row>
    <row r="166" spans="1:34" x14ac:dyDescent="0.35">
      <c r="A166">
        <v>165</v>
      </c>
      <c r="B166" t="s">
        <v>63</v>
      </c>
      <c r="C166">
        <v>63</v>
      </c>
      <c r="D166" t="s">
        <v>25</v>
      </c>
      <c r="E166" t="s">
        <v>22</v>
      </c>
      <c r="F166" t="s">
        <v>22</v>
      </c>
      <c r="G166">
        <v>0</v>
      </c>
      <c r="H166">
        <v>83</v>
      </c>
      <c r="I166">
        <v>64</v>
      </c>
      <c r="J166">
        <v>14.11</v>
      </c>
      <c r="K166">
        <v>177</v>
      </c>
      <c r="L166">
        <v>106</v>
      </c>
      <c r="M166">
        <v>15.05</v>
      </c>
      <c r="N166">
        <v>245.7</v>
      </c>
      <c r="O166">
        <v>89</v>
      </c>
      <c r="P166">
        <v>11.06</v>
      </c>
      <c r="Q166">
        <v>13</v>
      </c>
      <c r="R166">
        <v>3</v>
      </c>
      <c r="S166">
        <v>3.51</v>
      </c>
      <c r="T166">
        <v>0</v>
      </c>
      <c r="U166" t="s">
        <v>22</v>
      </c>
      <c r="V166" t="e">
        <f>IF(#REF! = "yes", 1, 0)</f>
        <v>#REF!</v>
      </c>
      <c r="W166" t="e">
        <f>IF(#REF! &lt;= 1, "0-1 Calls", IF(#REF! &lt;= 3, "2-3 Calls", IF(#REF! &lt;=5, "4-5 Calls", "6+ Calls")))</f>
        <v>#REF!</v>
      </c>
      <c r="X166" t="e">
        <f>IF(#REF! &lt;= 50, "0-50", IF(#REF! &lt;=100, "51-100", IF(#REF! &lt;= 150, "101-150", "151+")))</f>
        <v>#REF!</v>
      </c>
      <c r="Y166" t="e">
        <f>IF(#REF! &lt;= 3, "Low Charges", "High Charges")</f>
        <v>#REF!</v>
      </c>
      <c r="Z166" t="e">
        <f>IF(#REF!&lt;=80,"Low Calls",
IF(#REF!&lt;=120,"Medium Calls","High Calls"))</f>
        <v>#REF!</v>
      </c>
      <c r="AA166" t="e">
        <f>IF(#REF!&lt;=15,"Low Charges",
IF(#REF!&lt;=20,"Medium Charges","High Charges"))</f>
        <v>#REF!</v>
      </c>
      <c r="AB166" t="e">
        <f>IF(AND(#REF!&gt;180, #REF!&gt;200), "Heavy Doemstic User", IF(#REF!&gt;10, "Interntional User", IF(AND(#REF!&lt;180, #REF!&lt;200,#REF!&lt;200), "Light User", "Balanced User")))</f>
        <v>#REF!</v>
      </c>
      <c r="AC166" t="e">
        <f>IF(#REF! = 0, "No Usage", IF(#REF! &lt;= 20, "Low Usage", IF(#REF! &lt;= 40, "Medium Usgae", "High Usage")))</f>
        <v>#REF!</v>
      </c>
      <c r="AD166" t="e">
        <f>IF(#REF!&lt;=150,"Low Usage", IF(#REF!&lt;=200,"Medium Usage", IF(#REF!&lt;=250,"High Usage","Very High Usage")))</f>
        <v>#REF!</v>
      </c>
      <c r="AE166" t="e">
        <f>IF(#REF!&lt;=5,"Low Calls", IF(#REF!&lt;=10, "Medium Calls", "High Calls"))</f>
        <v>#REF!</v>
      </c>
      <c r="AF166" t="e">
        <f xml:space="preserve">
IF(#REF!&gt;=4,4,0)+
IF(#REF!="yes",3,0)+
IF(#REF!="High Charges",3,0)+
IF(#REF!&gt;250,4,0)+
IF(#REF!="no",1,0)+
IF(#REF!="Heavy Domestic User",2,0)</f>
        <v>#REF!</v>
      </c>
      <c r="AG166" t="e">
        <f>IF(#REF!&gt;=10,"High Risk", IF(#REF!&gt;=5,"Medium Risk","Low Risk"))</f>
        <v>#REF!</v>
      </c>
      <c r="AH166" t="e">
        <f>#REF! + #REF! + #REF! + #REF!</f>
        <v>#REF!</v>
      </c>
    </row>
    <row r="167" spans="1:34" x14ac:dyDescent="0.35">
      <c r="A167">
        <v>166</v>
      </c>
      <c r="B167" t="s">
        <v>60</v>
      </c>
      <c r="C167">
        <v>53</v>
      </c>
      <c r="D167" t="s">
        <v>21</v>
      </c>
      <c r="E167" t="s">
        <v>22</v>
      </c>
      <c r="F167" t="s">
        <v>23</v>
      </c>
      <c r="G167">
        <v>24</v>
      </c>
      <c r="H167">
        <v>145.69999999999999</v>
      </c>
      <c r="I167">
        <v>146</v>
      </c>
      <c r="J167">
        <v>24.77</v>
      </c>
      <c r="K167">
        <v>220.5</v>
      </c>
      <c r="L167">
        <v>136</v>
      </c>
      <c r="M167">
        <v>18.739999999999998</v>
      </c>
      <c r="N167">
        <v>249.9</v>
      </c>
      <c r="O167">
        <v>96</v>
      </c>
      <c r="P167">
        <v>11.25</v>
      </c>
      <c r="Q167">
        <v>13.1</v>
      </c>
      <c r="R167">
        <v>5</v>
      </c>
      <c r="S167">
        <v>3.54</v>
      </c>
      <c r="T167">
        <v>3</v>
      </c>
      <c r="U167" t="s">
        <v>22</v>
      </c>
      <c r="V167" t="e">
        <f>IF(#REF! = "yes", 1, 0)</f>
        <v>#REF!</v>
      </c>
      <c r="W167" t="e">
        <f>IF(#REF! &lt;= 1, "0-1 Calls", IF(#REF! &lt;= 3, "2-3 Calls", IF(#REF! &lt;=5, "4-5 Calls", "6+ Calls")))</f>
        <v>#REF!</v>
      </c>
      <c r="X167" t="e">
        <f>IF(#REF! &lt;= 50, "0-50", IF(#REF! &lt;=100, "51-100", IF(#REF! &lt;= 150, "101-150", "151+")))</f>
        <v>#REF!</v>
      </c>
      <c r="Y167" t="e">
        <f>IF(#REF! &lt;= 3, "Low Charges", "High Charges")</f>
        <v>#REF!</v>
      </c>
      <c r="Z167" t="e">
        <f>IF(#REF!&lt;=80,"Low Calls",
IF(#REF!&lt;=120,"Medium Calls","High Calls"))</f>
        <v>#REF!</v>
      </c>
      <c r="AA167" t="e">
        <f>IF(#REF!&lt;=15,"Low Charges",
IF(#REF!&lt;=20,"Medium Charges","High Charges"))</f>
        <v>#REF!</v>
      </c>
      <c r="AB167" t="e">
        <f>IF(AND(#REF!&gt;180, #REF!&gt;200), "Heavy Doemstic User", IF(#REF!&gt;10, "Interntional User", IF(AND(#REF!&lt;180, #REF!&lt;200,#REF!&lt;200), "Light User", "Balanced User")))</f>
        <v>#REF!</v>
      </c>
      <c r="AC167" t="e">
        <f>IF(#REF! = 0, "No Usage", IF(#REF! &lt;= 20, "Low Usage", IF(#REF! &lt;= 40, "Medium Usgae", "High Usage")))</f>
        <v>#REF!</v>
      </c>
      <c r="AD167" t="e">
        <f>IF(#REF!&lt;=150,"Low Usage", IF(#REF!&lt;=200,"Medium Usage", IF(#REF!&lt;=250,"High Usage","Very High Usage")))</f>
        <v>#REF!</v>
      </c>
      <c r="AE167" t="e">
        <f>IF(#REF!&lt;=5,"Low Calls", IF(#REF!&lt;=10, "Medium Calls", "High Calls"))</f>
        <v>#REF!</v>
      </c>
      <c r="AF167" t="e">
        <f xml:space="preserve">
IF(#REF!&gt;=4,4,0)+
IF(#REF!="yes",3,0)+
IF(#REF!="High Charges",3,0)+
IF(#REF!&gt;250,4,0)+
IF(#REF!="no",1,0)+
IF(#REF!="Heavy Domestic User",2,0)</f>
        <v>#REF!</v>
      </c>
      <c r="AG167" t="e">
        <f>IF(#REF!&gt;=10,"High Risk", IF(#REF!&gt;=5,"Medium Risk","Low Risk"))</f>
        <v>#REF!</v>
      </c>
      <c r="AH167" t="e">
        <f>#REF! + #REF! + #REF! + #REF!</f>
        <v>#REF!</v>
      </c>
    </row>
    <row r="168" spans="1:34" x14ac:dyDescent="0.35">
      <c r="A168">
        <v>167</v>
      </c>
      <c r="B168" t="s">
        <v>54</v>
      </c>
      <c r="C168">
        <v>62</v>
      </c>
      <c r="D168" t="s">
        <v>25</v>
      </c>
      <c r="E168" t="s">
        <v>22</v>
      </c>
      <c r="F168" t="s">
        <v>22</v>
      </c>
      <c r="G168">
        <v>0</v>
      </c>
      <c r="H168">
        <v>182.3</v>
      </c>
      <c r="I168">
        <v>101</v>
      </c>
      <c r="J168">
        <v>30.99</v>
      </c>
      <c r="K168">
        <v>328.2</v>
      </c>
      <c r="L168">
        <v>93</v>
      </c>
      <c r="M168">
        <v>27.9</v>
      </c>
      <c r="N168">
        <v>245</v>
      </c>
      <c r="O168">
        <v>131</v>
      </c>
      <c r="P168">
        <v>11.03</v>
      </c>
      <c r="Q168">
        <v>11.2</v>
      </c>
      <c r="R168">
        <v>1</v>
      </c>
      <c r="S168">
        <v>3.02</v>
      </c>
      <c r="T168">
        <v>2</v>
      </c>
      <c r="U168" t="s">
        <v>22</v>
      </c>
      <c r="V168" t="e">
        <f>IF(#REF! = "yes", 1, 0)</f>
        <v>#REF!</v>
      </c>
      <c r="W168" t="e">
        <f>IF(#REF! &lt;= 1, "0-1 Calls", IF(#REF! &lt;= 3, "2-3 Calls", IF(#REF! &lt;=5, "4-5 Calls", "6+ Calls")))</f>
        <v>#REF!</v>
      </c>
      <c r="X168" t="e">
        <f>IF(#REF! &lt;= 50, "0-50", IF(#REF! &lt;=100, "51-100", IF(#REF! &lt;= 150, "101-150", "151+")))</f>
        <v>#REF!</v>
      </c>
      <c r="Y168" t="e">
        <f>IF(#REF! &lt;= 3, "Low Charges", "High Charges")</f>
        <v>#REF!</v>
      </c>
      <c r="Z168" t="e">
        <f>IF(#REF!&lt;=80,"Low Calls",
IF(#REF!&lt;=120,"Medium Calls","High Calls"))</f>
        <v>#REF!</v>
      </c>
      <c r="AA168" t="e">
        <f>IF(#REF!&lt;=15,"Low Charges",
IF(#REF!&lt;=20,"Medium Charges","High Charges"))</f>
        <v>#REF!</v>
      </c>
      <c r="AB168" t="e">
        <f>IF(AND(#REF!&gt;180, #REF!&gt;200), "Heavy Doemstic User", IF(#REF!&gt;10, "Interntional User", IF(AND(#REF!&lt;180, #REF!&lt;200,#REF!&lt;200), "Light User", "Balanced User")))</f>
        <v>#REF!</v>
      </c>
      <c r="AC168" t="e">
        <f>IF(#REF! = 0, "No Usage", IF(#REF! &lt;= 20, "Low Usage", IF(#REF! &lt;= 40, "Medium Usgae", "High Usage")))</f>
        <v>#REF!</v>
      </c>
      <c r="AD168" t="e">
        <f>IF(#REF!&lt;=150,"Low Usage", IF(#REF!&lt;=200,"Medium Usage", IF(#REF!&lt;=250,"High Usage","Very High Usage")))</f>
        <v>#REF!</v>
      </c>
      <c r="AE168" t="e">
        <f>IF(#REF!&lt;=5,"Low Calls", IF(#REF!&lt;=10, "Medium Calls", "High Calls"))</f>
        <v>#REF!</v>
      </c>
      <c r="AF168" t="e">
        <f xml:space="preserve">
IF(#REF!&gt;=4,4,0)+
IF(#REF!="yes",3,0)+
IF(#REF!="High Charges",3,0)+
IF(#REF!&gt;250,4,0)+
IF(#REF!="no",1,0)+
IF(#REF!="Heavy Domestic User",2,0)</f>
        <v>#REF!</v>
      </c>
      <c r="AG168" t="e">
        <f>IF(#REF!&gt;=10,"High Risk", IF(#REF!&gt;=5,"Medium Risk","Low Risk"))</f>
        <v>#REF!</v>
      </c>
      <c r="AH168" t="e">
        <f>#REF! + #REF! + #REF! + #REF!</f>
        <v>#REF!</v>
      </c>
    </row>
    <row r="169" spans="1:34" x14ac:dyDescent="0.35">
      <c r="A169">
        <v>168</v>
      </c>
      <c r="B169" t="s">
        <v>49</v>
      </c>
      <c r="C169">
        <v>97</v>
      </c>
      <c r="D169" t="s">
        <v>21</v>
      </c>
      <c r="E169" t="s">
        <v>22</v>
      </c>
      <c r="F169" t="s">
        <v>22</v>
      </c>
      <c r="G169">
        <v>0</v>
      </c>
      <c r="H169">
        <v>218</v>
      </c>
      <c r="I169">
        <v>86</v>
      </c>
      <c r="J169">
        <v>37.06</v>
      </c>
      <c r="K169">
        <v>184</v>
      </c>
      <c r="L169">
        <v>94</v>
      </c>
      <c r="M169">
        <v>15.64</v>
      </c>
      <c r="N169">
        <v>240.5</v>
      </c>
      <c r="O169">
        <v>110</v>
      </c>
      <c r="P169">
        <v>10.82</v>
      </c>
      <c r="Q169">
        <v>6.4</v>
      </c>
      <c r="R169">
        <v>8</v>
      </c>
      <c r="S169">
        <v>1.73</v>
      </c>
      <c r="T169">
        <v>3</v>
      </c>
      <c r="U169" t="s">
        <v>22</v>
      </c>
      <c r="V169" t="e">
        <f>IF(#REF! = "yes", 1, 0)</f>
        <v>#REF!</v>
      </c>
      <c r="W169" t="e">
        <f>IF(#REF! &lt;= 1, "0-1 Calls", IF(#REF! &lt;= 3, "2-3 Calls", IF(#REF! &lt;=5, "4-5 Calls", "6+ Calls")))</f>
        <v>#REF!</v>
      </c>
      <c r="X169" t="e">
        <f>IF(#REF! &lt;= 50, "0-50", IF(#REF! &lt;=100, "51-100", IF(#REF! &lt;= 150, "101-150", "151+")))</f>
        <v>#REF!</v>
      </c>
      <c r="Y169" t="e">
        <f>IF(#REF! &lt;= 3, "Low Charges", "High Charges")</f>
        <v>#REF!</v>
      </c>
      <c r="Z169" t="e">
        <f>IF(#REF!&lt;=80,"Low Calls",
IF(#REF!&lt;=120,"Medium Calls","High Calls"))</f>
        <v>#REF!</v>
      </c>
      <c r="AA169" t="e">
        <f>IF(#REF!&lt;=15,"Low Charges",
IF(#REF!&lt;=20,"Medium Charges","High Charges"))</f>
        <v>#REF!</v>
      </c>
      <c r="AB169" t="e">
        <f>IF(AND(#REF!&gt;180, #REF!&gt;200), "Heavy Doemstic User", IF(#REF!&gt;10, "Interntional User", IF(AND(#REF!&lt;180, #REF!&lt;200,#REF!&lt;200), "Light User", "Balanced User")))</f>
        <v>#REF!</v>
      </c>
      <c r="AC169" t="e">
        <f>IF(#REF! = 0, "No Usage", IF(#REF! &lt;= 20, "Low Usage", IF(#REF! &lt;= 40, "Medium Usgae", "High Usage")))</f>
        <v>#REF!</v>
      </c>
      <c r="AD169" t="e">
        <f>IF(#REF!&lt;=150,"Low Usage", IF(#REF!&lt;=200,"Medium Usage", IF(#REF!&lt;=250,"High Usage","Very High Usage")))</f>
        <v>#REF!</v>
      </c>
      <c r="AE169" t="e">
        <f>IF(#REF!&lt;=5,"Low Calls", IF(#REF!&lt;=10, "Medium Calls", "High Calls"))</f>
        <v>#REF!</v>
      </c>
      <c r="AF169" t="e">
        <f xml:space="preserve">
IF(#REF!&gt;=4,4,0)+
IF(#REF!="yes",3,0)+
IF(#REF!="High Charges",3,0)+
IF(#REF!&gt;250,4,0)+
IF(#REF!="no",1,0)+
IF(#REF!="Heavy Domestic User",2,0)</f>
        <v>#REF!</v>
      </c>
      <c r="AG169" t="e">
        <f>IF(#REF!&gt;=10,"High Risk", IF(#REF!&gt;=5,"Medium Risk","Low Risk"))</f>
        <v>#REF!</v>
      </c>
      <c r="AH169" t="e">
        <f>#REF! + #REF! + #REF! + #REF!</f>
        <v>#REF!</v>
      </c>
    </row>
    <row r="170" spans="1:34" x14ac:dyDescent="0.35">
      <c r="A170">
        <v>169</v>
      </c>
      <c r="B170" t="s">
        <v>53</v>
      </c>
      <c r="C170">
        <v>105</v>
      </c>
      <c r="D170" t="s">
        <v>28</v>
      </c>
      <c r="E170" t="s">
        <v>22</v>
      </c>
      <c r="F170" t="s">
        <v>22</v>
      </c>
      <c r="G170">
        <v>0</v>
      </c>
      <c r="H170">
        <v>140.6</v>
      </c>
      <c r="I170">
        <v>109</v>
      </c>
      <c r="J170">
        <v>23.9</v>
      </c>
      <c r="K170">
        <v>178.6</v>
      </c>
      <c r="L170">
        <v>51</v>
      </c>
      <c r="M170">
        <v>15.18</v>
      </c>
      <c r="N170">
        <v>217</v>
      </c>
      <c r="O170">
        <v>83</v>
      </c>
      <c r="P170">
        <v>9.76</v>
      </c>
      <c r="Q170">
        <v>6.8</v>
      </c>
      <c r="R170">
        <v>3</v>
      </c>
      <c r="S170">
        <v>1.84</v>
      </c>
      <c r="T170">
        <v>2</v>
      </c>
      <c r="U170" t="s">
        <v>22</v>
      </c>
      <c r="V170" t="e">
        <f>IF(#REF! = "yes", 1, 0)</f>
        <v>#REF!</v>
      </c>
      <c r="W170" t="e">
        <f>IF(#REF! &lt;= 1, "0-1 Calls", IF(#REF! &lt;= 3, "2-3 Calls", IF(#REF! &lt;=5, "4-5 Calls", "6+ Calls")))</f>
        <v>#REF!</v>
      </c>
      <c r="X170" t="e">
        <f>IF(#REF! &lt;= 50, "0-50", IF(#REF! &lt;=100, "51-100", IF(#REF! &lt;= 150, "101-150", "151+")))</f>
        <v>#REF!</v>
      </c>
      <c r="Y170" t="e">
        <f>IF(#REF! &lt;= 3, "Low Charges", "High Charges")</f>
        <v>#REF!</v>
      </c>
      <c r="Z170" t="e">
        <f>IF(#REF!&lt;=80,"Low Calls",
IF(#REF!&lt;=120,"Medium Calls","High Calls"))</f>
        <v>#REF!</v>
      </c>
      <c r="AA170" t="e">
        <f>IF(#REF!&lt;=15,"Low Charges",
IF(#REF!&lt;=20,"Medium Charges","High Charges"))</f>
        <v>#REF!</v>
      </c>
      <c r="AB170" t="e">
        <f>IF(AND(#REF!&gt;180, #REF!&gt;200), "Heavy Doemstic User", IF(#REF!&gt;10, "Interntional User", IF(AND(#REF!&lt;180, #REF!&lt;200,#REF!&lt;200), "Light User", "Balanced User")))</f>
        <v>#REF!</v>
      </c>
      <c r="AC170" t="e">
        <f>IF(#REF! = 0, "No Usage", IF(#REF! &lt;= 20, "Low Usage", IF(#REF! &lt;= 40, "Medium Usgae", "High Usage")))</f>
        <v>#REF!</v>
      </c>
      <c r="AD170" t="e">
        <f>IF(#REF!&lt;=150,"Low Usage", IF(#REF!&lt;=200,"Medium Usage", IF(#REF!&lt;=250,"High Usage","Very High Usage")))</f>
        <v>#REF!</v>
      </c>
      <c r="AE170" t="e">
        <f>IF(#REF!&lt;=5,"Low Calls", IF(#REF!&lt;=10, "Medium Calls", "High Calls"))</f>
        <v>#REF!</v>
      </c>
      <c r="AF170" t="e">
        <f xml:space="preserve">
IF(#REF!&gt;=4,4,0)+
IF(#REF!="yes",3,0)+
IF(#REF!="High Charges",3,0)+
IF(#REF!&gt;250,4,0)+
IF(#REF!="no",1,0)+
IF(#REF!="Heavy Domestic User",2,0)</f>
        <v>#REF!</v>
      </c>
      <c r="AG170" t="e">
        <f>IF(#REF!&gt;=10,"High Risk", IF(#REF!&gt;=5,"Medium Risk","Low Risk"))</f>
        <v>#REF!</v>
      </c>
      <c r="AH170" t="e">
        <f>#REF! + #REF! + #REF! + #REF!</f>
        <v>#REF!</v>
      </c>
    </row>
    <row r="171" spans="1:34" x14ac:dyDescent="0.35">
      <c r="A171">
        <v>170</v>
      </c>
      <c r="B171" t="s">
        <v>59</v>
      </c>
      <c r="C171">
        <v>157</v>
      </c>
      <c r="D171" t="s">
        <v>21</v>
      </c>
      <c r="E171" t="s">
        <v>22</v>
      </c>
      <c r="F171" t="s">
        <v>22</v>
      </c>
      <c r="G171">
        <v>0</v>
      </c>
      <c r="H171">
        <v>152.69999999999999</v>
      </c>
      <c r="I171">
        <v>105</v>
      </c>
      <c r="J171">
        <v>25.96</v>
      </c>
      <c r="K171">
        <v>257.5</v>
      </c>
      <c r="L171">
        <v>80</v>
      </c>
      <c r="M171">
        <v>21.89</v>
      </c>
      <c r="N171">
        <v>198.1</v>
      </c>
      <c r="O171">
        <v>93</v>
      </c>
      <c r="P171">
        <v>8.91</v>
      </c>
      <c r="Q171">
        <v>9.4</v>
      </c>
      <c r="R171">
        <v>4</v>
      </c>
      <c r="S171">
        <v>2.54</v>
      </c>
      <c r="T171">
        <v>1</v>
      </c>
      <c r="U171" t="s">
        <v>22</v>
      </c>
      <c r="V171" t="e">
        <f>IF(#REF! = "yes", 1, 0)</f>
        <v>#REF!</v>
      </c>
      <c r="W171" t="e">
        <f>IF(#REF! &lt;= 1, "0-1 Calls", IF(#REF! &lt;= 3, "2-3 Calls", IF(#REF! &lt;=5, "4-5 Calls", "6+ Calls")))</f>
        <v>#REF!</v>
      </c>
      <c r="X171" t="e">
        <f>IF(#REF! &lt;= 50, "0-50", IF(#REF! &lt;=100, "51-100", IF(#REF! &lt;= 150, "101-150", "151+")))</f>
        <v>#REF!</v>
      </c>
      <c r="Y171" t="e">
        <f>IF(#REF! &lt;= 3, "Low Charges", "High Charges")</f>
        <v>#REF!</v>
      </c>
      <c r="Z171" t="e">
        <f>IF(#REF!&lt;=80,"Low Calls",
IF(#REF!&lt;=120,"Medium Calls","High Calls"))</f>
        <v>#REF!</v>
      </c>
      <c r="AA171" t="e">
        <f>IF(#REF!&lt;=15,"Low Charges",
IF(#REF!&lt;=20,"Medium Charges","High Charges"))</f>
        <v>#REF!</v>
      </c>
      <c r="AB171" t="e">
        <f>IF(AND(#REF!&gt;180, #REF!&gt;200), "Heavy Doemstic User", IF(#REF!&gt;10, "Interntional User", IF(AND(#REF!&lt;180, #REF!&lt;200,#REF!&lt;200), "Light User", "Balanced User")))</f>
        <v>#REF!</v>
      </c>
      <c r="AC171" t="e">
        <f>IF(#REF! = 0, "No Usage", IF(#REF! &lt;= 20, "Low Usage", IF(#REF! &lt;= 40, "Medium Usgae", "High Usage")))</f>
        <v>#REF!</v>
      </c>
      <c r="AD171" t="e">
        <f>IF(#REF!&lt;=150,"Low Usage", IF(#REF!&lt;=200,"Medium Usage", IF(#REF!&lt;=250,"High Usage","Very High Usage")))</f>
        <v>#REF!</v>
      </c>
      <c r="AE171" t="e">
        <f>IF(#REF!&lt;=5,"Low Calls", IF(#REF!&lt;=10, "Medium Calls", "High Calls"))</f>
        <v>#REF!</v>
      </c>
      <c r="AF171" t="e">
        <f xml:space="preserve">
IF(#REF!&gt;=4,4,0)+
IF(#REF!="yes",3,0)+
IF(#REF!="High Charges",3,0)+
IF(#REF!&gt;250,4,0)+
IF(#REF!="no",1,0)+
IF(#REF!="Heavy Domestic User",2,0)</f>
        <v>#REF!</v>
      </c>
      <c r="AG171" t="e">
        <f>IF(#REF!&gt;=10,"High Risk", IF(#REF!&gt;=5,"Medium Risk","Low Risk"))</f>
        <v>#REF!</v>
      </c>
      <c r="AH171" t="e">
        <f>#REF! + #REF! + #REF! + #REF!</f>
        <v>#REF!</v>
      </c>
    </row>
    <row r="172" spans="1:34" x14ac:dyDescent="0.35">
      <c r="A172">
        <v>171</v>
      </c>
      <c r="B172" t="s">
        <v>29</v>
      </c>
      <c r="C172">
        <v>66</v>
      </c>
      <c r="D172" t="s">
        <v>21</v>
      </c>
      <c r="E172" t="s">
        <v>22</v>
      </c>
      <c r="F172" t="s">
        <v>23</v>
      </c>
      <c r="G172">
        <v>36</v>
      </c>
      <c r="H172">
        <v>106.7</v>
      </c>
      <c r="I172">
        <v>76</v>
      </c>
      <c r="J172">
        <v>18.14</v>
      </c>
      <c r="K172">
        <v>209.8</v>
      </c>
      <c r="L172">
        <v>77</v>
      </c>
      <c r="M172">
        <v>17.829999999999998</v>
      </c>
      <c r="N172">
        <v>190.4</v>
      </c>
      <c r="O172">
        <v>117</v>
      </c>
      <c r="P172">
        <v>8.57</v>
      </c>
      <c r="Q172">
        <v>12.1</v>
      </c>
      <c r="R172">
        <v>2</v>
      </c>
      <c r="S172">
        <v>3.27</v>
      </c>
      <c r="T172">
        <v>1</v>
      </c>
      <c r="U172" t="s">
        <v>22</v>
      </c>
      <c r="V172" t="e">
        <f>IF(#REF! = "yes", 1, 0)</f>
        <v>#REF!</v>
      </c>
      <c r="W172" t="e">
        <f>IF(#REF! &lt;= 1, "0-1 Calls", IF(#REF! &lt;= 3, "2-3 Calls", IF(#REF! &lt;=5, "4-5 Calls", "6+ Calls")))</f>
        <v>#REF!</v>
      </c>
      <c r="X172" t="e">
        <f>IF(#REF! &lt;= 50, "0-50", IF(#REF! &lt;=100, "51-100", IF(#REF! &lt;= 150, "101-150", "151+")))</f>
        <v>#REF!</v>
      </c>
      <c r="Y172" t="e">
        <f>IF(#REF! &lt;= 3, "Low Charges", "High Charges")</f>
        <v>#REF!</v>
      </c>
      <c r="Z172" t="e">
        <f>IF(#REF!&lt;=80,"Low Calls",
IF(#REF!&lt;=120,"Medium Calls","High Calls"))</f>
        <v>#REF!</v>
      </c>
      <c r="AA172" t="e">
        <f>IF(#REF!&lt;=15,"Low Charges",
IF(#REF!&lt;=20,"Medium Charges","High Charges"))</f>
        <v>#REF!</v>
      </c>
      <c r="AB172" t="e">
        <f>IF(AND(#REF!&gt;180, #REF!&gt;200), "Heavy Doemstic User", IF(#REF!&gt;10, "Interntional User", IF(AND(#REF!&lt;180, #REF!&lt;200,#REF!&lt;200), "Light User", "Balanced User")))</f>
        <v>#REF!</v>
      </c>
      <c r="AC172" t="e">
        <f>IF(#REF! = 0, "No Usage", IF(#REF! &lt;= 20, "Low Usage", IF(#REF! &lt;= 40, "Medium Usgae", "High Usage")))</f>
        <v>#REF!</v>
      </c>
      <c r="AD172" t="e">
        <f>IF(#REF!&lt;=150,"Low Usage", IF(#REF!&lt;=200,"Medium Usage", IF(#REF!&lt;=250,"High Usage","Very High Usage")))</f>
        <v>#REF!</v>
      </c>
      <c r="AE172" t="e">
        <f>IF(#REF!&lt;=5,"Low Calls", IF(#REF!&lt;=10, "Medium Calls", "High Calls"))</f>
        <v>#REF!</v>
      </c>
      <c r="AF172" t="e">
        <f xml:space="preserve">
IF(#REF!&gt;=4,4,0)+
IF(#REF!="yes",3,0)+
IF(#REF!="High Charges",3,0)+
IF(#REF!&gt;250,4,0)+
IF(#REF!="no",1,0)+
IF(#REF!="Heavy Domestic User",2,0)</f>
        <v>#REF!</v>
      </c>
      <c r="AG172" t="e">
        <f>IF(#REF!&gt;=10,"High Risk", IF(#REF!&gt;=5,"Medium Risk","Low Risk"))</f>
        <v>#REF!</v>
      </c>
      <c r="AH172" t="e">
        <f>#REF! + #REF! + #REF! + #REF!</f>
        <v>#REF!</v>
      </c>
    </row>
    <row r="173" spans="1:34" x14ac:dyDescent="0.35">
      <c r="A173">
        <v>172</v>
      </c>
      <c r="B173" t="s">
        <v>32</v>
      </c>
      <c r="C173">
        <v>122</v>
      </c>
      <c r="D173" t="s">
        <v>21</v>
      </c>
      <c r="E173" t="s">
        <v>22</v>
      </c>
      <c r="F173" t="s">
        <v>22</v>
      </c>
      <c r="G173">
        <v>0</v>
      </c>
      <c r="H173">
        <v>243.8</v>
      </c>
      <c r="I173">
        <v>98</v>
      </c>
      <c r="J173">
        <v>41.45</v>
      </c>
      <c r="K173">
        <v>83.9</v>
      </c>
      <c r="L173">
        <v>72</v>
      </c>
      <c r="M173">
        <v>7.13</v>
      </c>
      <c r="N173">
        <v>179.8</v>
      </c>
      <c r="O173">
        <v>84</v>
      </c>
      <c r="P173">
        <v>8.09</v>
      </c>
      <c r="Q173">
        <v>13.7</v>
      </c>
      <c r="R173">
        <v>8</v>
      </c>
      <c r="S173">
        <v>3.7</v>
      </c>
      <c r="T173">
        <v>2</v>
      </c>
      <c r="U173" t="s">
        <v>22</v>
      </c>
      <c r="V173" t="e">
        <f>IF(#REF! = "yes", 1, 0)</f>
        <v>#REF!</v>
      </c>
      <c r="W173" t="e">
        <f>IF(#REF! &lt;= 1, "0-1 Calls", IF(#REF! &lt;= 3, "2-3 Calls", IF(#REF! &lt;=5, "4-5 Calls", "6+ Calls")))</f>
        <v>#REF!</v>
      </c>
      <c r="X173" t="e">
        <f>IF(#REF! &lt;= 50, "0-50", IF(#REF! &lt;=100, "51-100", IF(#REF! &lt;= 150, "101-150", "151+")))</f>
        <v>#REF!</v>
      </c>
      <c r="Y173" t="e">
        <f>IF(#REF! &lt;= 3, "Low Charges", "High Charges")</f>
        <v>#REF!</v>
      </c>
      <c r="Z173" t="e">
        <f>IF(#REF!&lt;=80,"Low Calls",
IF(#REF!&lt;=120,"Medium Calls","High Calls"))</f>
        <v>#REF!</v>
      </c>
      <c r="AA173" t="e">
        <f>IF(#REF!&lt;=15,"Low Charges",
IF(#REF!&lt;=20,"Medium Charges","High Charges"))</f>
        <v>#REF!</v>
      </c>
      <c r="AB173" t="e">
        <f>IF(AND(#REF!&gt;180, #REF!&gt;200), "Heavy Doemstic User", IF(#REF!&gt;10, "Interntional User", IF(AND(#REF!&lt;180, #REF!&lt;200,#REF!&lt;200), "Light User", "Balanced User")))</f>
        <v>#REF!</v>
      </c>
      <c r="AC173" t="e">
        <f>IF(#REF! = 0, "No Usage", IF(#REF! &lt;= 20, "Low Usage", IF(#REF! &lt;= 40, "Medium Usgae", "High Usage")))</f>
        <v>#REF!</v>
      </c>
      <c r="AD173" t="e">
        <f>IF(#REF!&lt;=150,"Low Usage", IF(#REF!&lt;=200,"Medium Usage", IF(#REF!&lt;=250,"High Usage","Very High Usage")))</f>
        <v>#REF!</v>
      </c>
      <c r="AE173" t="e">
        <f>IF(#REF!&lt;=5,"Low Calls", IF(#REF!&lt;=10, "Medium Calls", "High Calls"))</f>
        <v>#REF!</v>
      </c>
      <c r="AF173" t="e">
        <f xml:space="preserve">
IF(#REF!&gt;=4,4,0)+
IF(#REF!="yes",3,0)+
IF(#REF!="High Charges",3,0)+
IF(#REF!&gt;250,4,0)+
IF(#REF!="no",1,0)+
IF(#REF!="Heavy Domestic User",2,0)</f>
        <v>#REF!</v>
      </c>
      <c r="AG173" t="e">
        <f>IF(#REF!&gt;=10,"High Risk", IF(#REF!&gt;=5,"Medium Risk","Low Risk"))</f>
        <v>#REF!</v>
      </c>
      <c r="AH173" t="e">
        <f>#REF! + #REF! + #REF! + #REF!</f>
        <v>#REF!</v>
      </c>
    </row>
    <row r="174" spans="1:34" x14ac:dyDescent="0.35">
      <c r="A174">
        <v>173</v>
      </c>
      <c r="B174" t="s">
        <v>52</v>
      </c>
      <c r="C174">
        <v>38</v>
      </c>
      <c r="D174" t="s">
        <v>21</v>
      </c>
      <c r="E174" t="s">
        <v>22</v>
      </c>
      <c r="F174" t="s">
        <v>22</v>
      </c>
      <c r="G174">
        <v>0</v>
      </c>
      <c r="H174">
        <v>194.4</v>
      </c>
      <c r="I174">
        <v>94</v>
      </c>
      <c r="J174">
        <v>33.049999999999997</v>
      </c>
      <c r="K174">
        <v>186.7</v>
      </c>
      <c r="L174">
        <v>95</v>
      </c>
      <c r="M174">
        <v>15.87</v>
      </c>
      <c r="N174">
        <v>223.3</v>
      </c>
      <c r="O174">
        <v>90</v>
      </c>
      <c r="P174">
        <v>10.050000000000001</v>
      </c>
      <c r="Q174">
        <v>10.8</v>
      </c>
      <c r="R174">
        <v>5</v>
      </c>
      <c r="S174">
        <v>2.92</v>
      </c>
      <c r="T174">
        <v>3</v>
      </c>
      <c r="U174" t="s">
        <v>22</v>
      </c>
      <c r="V174" t="e">
        <f>IF(#REF! = "yes", 1, 0)</f>
        <v>#REF!</v>
      </c>
      <c r="W174" t="e">
        <f>IF(#REF! &lt;= 1, "0-1 Calls", IF(#REF! &lt;= 3, "2-3 Calls", IF(#REF! &lt;=5, "4-5 Calls", "6+ Calls")))</f>
        <v>#REF!</v>
      </c>
      <c r="X174" t="e">
        <f>IF(#REF! &lt;= 50, "0-50", IF(#REF! &lt;=100, "51-100", IF(#REF! &lt;= 150, "101-150", "151+")))</f>
        <v>#REF!</v>
      </c>
      <c r="Y174" t="e">
        <f>IF(#REF! &lt;= 3, "Low Charges", "High Charges")</f>
        <v>#REF!</v>
      </c>
      <c r="Z174" t="e">
        <f>IF(#REF!&lt;=80,"Low Calls",
IF(#REF!&lt;=120,"Medium Calls","High Calls"))</f>
        <v>#REF!</v>
      </c>
      <c r="AA174" t="e">
        <f>IF(#REF!&lt;=15,"Low Charges",
IF(#REF!&lt;=20,"Medium Charges","High Charges"))</f>
        <v>#REF!</v>
      </c>
      <c r="AB174" t="e">
        <f>IF(AND(#REF!&gt;180, #REF!&gt;200), "Heavy Doemstic User", IF(#REF!&gt;10, "Interntional User", IF(AND(#REF!&lt;180, #REF!&lt;200,#REF!&lt;200), "Light User", "Balanced User")))</f>
        <v>#REF!</v>
      </c>
      <c r="AC174" t="e">
        <f>IF(#REF! = 0, "No Usage", IF(#REF! &lt;= 20, "Low Usage", IF(#REF! &lt;= 40, "Medium Usgae", "High Usage")))</f>
        <v>#REF!</v>
      </c>
      <c r="AD174" t="e">
        <f>IF(#REF!&lt;=150,"Low Usage", IF(#REF!&lt;=200,"Medium Usage", IF(#REF!&lt;=250,"High Usage","Very High Usage")))</f>
        <v>#REF!</v>
      </c>
      <c r="AE174" t="e">
        <f>IF(#REF!&lt;=5,"Low Calls", IF(#REF!&lt;=10, "Medium Calls", "High Calls"))</f>
        <v>#REF!</v>
      </c>
      <c r="AF174" t="e">
        <f xml:space="preserve">
IF(#REF!&gt;=4,4,0)+
IF(#REF!="yes",3,0)+
IF(#REF!="High Charges",3,0)+
IF(#REF!&gt;250,4,0)+
IF(#REF!="no",1,0)+
IF(#REF!="Heavy Domestic User",2,0)</f>
        <v>#REF!</v>
      </c>
      <c r="AG174" t="e">
        <f>IF(#REF!&gt;=10,"High Risk", IF(#REF!&gt;=5,"Medium Risk","Low Risk"))</f>
        <v>#REF!</v>
      </c>
      <c r="AH174" t="e">
        <f>#REF! + #REF! + #REF! + #REF!</f>
        <v>#REF!</v>
      </c>
    </row>
    <row r="175" spans="1:34" x14ac:dyDescent="0.35">
      <c r="A175">
        <v>174</v>
      </c>
      <c r="B175" t="s">
        <v>49</v>
      </c>
      <c r="C175">
        <v>106</v>
      </c>
      <c r="D175" t="s">
        <v>28</v>
      </c>
      <c r="E175" t="s">
        <v>22</v>
      </c>
      <c r="F175" t="s">
        <v>22</v>
      </c>
      <c r="G175">
        <v>0</v>
      </c>
      <c r="H175">
        <v>213.9</v>
      </c>
      <c r="I175">
        <v>95</v>
      </c>
      <c r="J175">
        <v>36.36</v>
      </c>
      <c r="K175">
        <v>151.9</v>
      </c>
      <c r="L175">
        <v>70</v>
      </c>
      <c r="M175">
        <v>12.91</v>
      </c>
      <c r="N175">
        <v>260.10000000000002</v>
      </c>
      <c r="O175">
        <v>124</v>
      </c>
      <c r="P175">
        <v>11.7</v>
      </c>
      <c r="Q175">
        <v>12.2</v>
      </c>
      <c r="R175">
        <v>5</v>
      </c>
      <c r="S175">
        <v>3.29</v>
      </c>
      <c r="T175">
        <v>3</v>
      </c>
      <c r="U175" t="s">
        <v>22</v>
      </c>
      <c r="V175" t="e">
        <f>IF(#REF! = "yes", 1, 0)</f>
        <v>#REF!</v>
      </c>
      <c r="W175" t="e">
        <f>IF(#REF! &lt;= 1, "0-1 Calls", IF(#REF! &lt;= 3, "2-3 Calls", IF(#REF! &lt;=5, "4-5 Calls", "6+ Calls")))</f>
        <v>#REF!</v>
      </c>
      <c r="X175" t="e">
        <f>IF(#REF! &lt;= 50, "0-50", IF(#REF! &lt;=100, "51-100", IF(#REF! &lt;= 150, "101-150", "151+")))</f>
        <v>#REF!</v>
      </c>
      <c r="Y175" t="e">
        <f>IF(#REF! &lt;= 3, "Low Charges", "High Charges")</f>
        <v>#REF!</v>
      </c>
      <c r="Z175" t="e">
        <f>IF(#REF!&lt;=80,"Low Calls",
IF(#REF!&lt;=120,"Medium Calls","High Calls"))</f>
        <v>#REF!</v>
      </c>
      <c r="AA175" t="e">
        <f>IF(#REF!&lt;=15,"Low Charges",
IF(#REF!&lt;=20,"Medium Charges","High Charges"))</f>
        <v>#REF!</v>
      </c>
      <c r="AB175" t="e">
        <f>IF(AND(#REF!&gt;180, #REF!&gt;200), "Heavy Doemstic User", IF(#REF!&gt;10, "Interntional User", IF(AND(#REF!&lt;180, #REF!&lt;200,#REF!&lt;200), "Light User", "Balanced User")))</f>
        <v>#REF!</v>
      </c>
      <c r="AC175" t="e">
        <f>IF(#REF! = 0, "No Usage", IF(#REF! &lt;= 20, "Low Usage", IF(#REF! &lt;= 40, "Medium Usgae", "High Usage")))</f>
        <v>#REF!</v>
      </c>
      <c r="AD175" t="e">
        <f>IF(#REF!&lt;=150,"Low Usage", IF(#REF!&lt;=200,"Medium Usage", IF(#REF!&lt;=250,"High Usage","Very High Usage")))</f>
        <v>#REF!</v>
      </c>
      <c r="AE175" t="e">
        <f>IF(#REF!&lt;=5,"Low Calls", IF(#REF!&lt;=10, "Medium Calls", "High Calls"))</f>
        <v>#REF!</v>
      </c>
      <c r="AF175" t="e">
        <f xml:space="preserve">
IF(#REF!&gt;=4,4,0)+
IF(#REF!="yes",3,0)+
IF(#REF!="High Charges",3,0)+
IF(#REF!&gt;250,4,0)+
IF(#REF!="no",1,0)+
IF(#REF!="Heavy Domestic User",2,0)</f>
        <v>#REF!</v>
      </c>
      <c r="AG175" t="e">
        <f>IF(#REF!&gt;=10,"High Risk", IF(#REF!&gt;=5,"Medium Risk","Low Risk"))</f>
        <v>#REF!</v>
      </c>
      <c r="AH175" t="e">
        <f>#REF! + #REF! + #REF! + #REF!</f>
        <v>#REF!</v>
      </c>
    </row>
    <row r="176" spans="1:34" x14ac:dyDescent="0.35">
      <c r="A176">
        <v>175</v>
      </c>
      <c r="B176" t="s">
        <v>33</v>
      </c>
      <c r="C176">
        <v>99</v>
      </c>
      <c r="D176" t="s">
        <v>28</v>
      </c>
      <c r="E176" t="s">
        <v>22</v>
      </c>
      <c r="F176" t="s">
        <v>22</v>
      </c>
      <c r="G176">
        <v>0</v>
      </c>
      <c r="H176">
        <v>217.2</v>
      </c>
      <c r="I176">
        <v>112</v>
      </c>
      <c r="J176">
        <v>36.92</v>
      </c>
      <c r="K176">
        <v>246.7</v>
      </c>
      <c r="L176">
        <v>89</v>
      </c>
      <c r="M176">
        <v>20.97</v>
      </c>
      <c r="N176">
        <v>226.1</v>
      </c>
      <c r="O176">
        <v>89</v>
      </c>
      <c r="P176">
        <v>10.17</v>
      </c>
      <c r="Q176">
        <v>15.8</v>
      </c>
      <c r="R176">
        <v>7</v>
      </c>
      <c r="S176">
        <v>4.2699999999999996</v>
      </c>
      <c r="T176">
        <v>3</v>
      </c>
      <c r="U176" t="s">
        <v>22</v>
      </c>
      <c r="V176" t="e">
        <f>IF(#REF! = "yes", 1, 0)</f>
        <v>#REF!</v>
      </c>
      <c r="W176" t="e">
        <f>IF(#REF! &lt;= 1, "0-1 Calls", IF(#REF! &lt;= 3, "2-3 Calls", IF(#REF! &lt;=5, "4-5 Calls", "6+ Calls")))</f>
        <v>#REF!</v>
      </c>
      <c r="X176" t="e">
        <f>IF(#REF! &lt;= 50, "0-50", IF(#REF! &lt;=100, "51-100", IF(#REF! &lt;= 150, "101-150", "151+")))</f>
        <v>#REF!</v>
      </c>
      <c r="Y176" t="e">
        <f>IF(#REF! &lt;= 3, "Low Charges", "High Charges")</f>
        <v>#REF!</v>
      </c>
      <c r="Z176" t="e">
        <f>IF(#REF!&lt;=80,"Low Calls",
IF(#REF!&lt;=120,"Medium Calls","High Calls"))</f>
        <v>#REF!</v>
      </c>
      <c r="AA176" t="e">
        <f>IF(#REF!&lt;=15,"Low Charges",
IF(#REF!&lt;=20,"Medium Charges","High Charges"))</f>
        <v>#REF!</v>
      </c>
      <c r="AB176" t="e">
        <f>IF(AND(#REF!&gt;180, #REF!&gt;200), "Heavy Doemstic User", IF(#REF!&gt;10, "Interntional User", IF(AND(#REF!&lt;180, #REF!&lt;200,#REF!&lt;200), "Light User", "Balanced User")))</f>
        <v>#REF!</v>
      </c>
      <c r="AC176" t="e">
        <f>IF(#REF! = 0, "No Usage", IF(#REF! &lt;= 20, "Low Usage", IF(#REF! &lt;= 40, "Medium Usgae", "High Usage")))</f>
        <v>#REF!</v>
      </c>
      <c r="AD176" t="e">
        <f>IF(#REF!&lt;=150,"Low Usage", IF(#REF!&lt;=200,"Medium Usage", IF(#REF!&lt;=250,"High Usage","Very High Usage")))</f>
        <v>#REF!</v>
      </c>
      <c r="AE176" t="e">
        <f>IF(#REF!&lt;=5,"Low Calls", IF(#REF!&lt;=10, "Medium Calls", "High Calls"))</f>
        <v>#REF!</v>
      </c>
      <c r="AF176" t="e">
        <f xml:space="preserve">
IF(#REF!&gt;=4,4,0)+
IF(#REF!="yes",3,0)+
IF(#REF!="High Charges",3,0)+
IF(#REF!&gt;250,4,0)+
IF(#REF!="no",1,0)+
IF(#REF!="Heavy Domestic User",2,0)</f>
        <v>#REF!</v>
      </c>
      <c r="AG176" t="e">
        <f>IF(#REF!&gt;=10,"High Risk", IF(#REF!&gt;=5,"Medium Risk","Low Risk"))</f>
        <v>#REF!</v>
      </c>
      <c r="AH176" t="e">
        <f>#REF! + #REF! + #REF! + #REF!</f>
        <v>#REF!</v>
      </c>
    </row>
    <row r="177" spans="1:34" x14ac:dyDescent="0.35">
      <c r="A177">
        <v>176</v>
      </c>
      <c r="B177" t="s">
        <v>30</v>
      </c>
      <c r="C177">
        <v>99</v>
      </c>
      <c r="D177" t="s">
        <v>21</v>
      </c>
      <c r="E177" t="s">
        <v>22</v>
      </c>
      <c r="F177" t="s">
        <v>22</v>
      </c>
      <c r="G177">
        <v>0</v>
      </c>
      <c r="H177">
        <v>241.1</v>
      </c>
      <c r="I177">
        <v>72</v>
      </c>
      <c r="J177">
        <v>40.99</v>
      </c>
      <c r="K177">
        <v>155.6</v>
      </c>
      <c r="L177">
        <v>98</v>
      </c>
      <c r="M177">
        <v>13.23</v>
      </c>
      <c r="N177">
        <v>188.2</v>
      </c>
      <c r="O177">
        <v>109</v>
      </c>
      <c r="P177">
        <v>8.4700000000000006</v>
      </c>
      <c r="Q177">
        <v>11.6</v>
      </c>
      <c r="R177">
        <v>10</v>
      </c>
      <c r="S177">
        <v>3.13</v>
      </c>
      <c r="T177">
        <v>1</v>
      </c>
      <c r="U177" t="s">
        <v>22</v>
      </c>
      <c r="V177" t="e">
        <f>IF(#REF! = "yes", 1, 0)</f>
        <v>#REF!</v>
      </c>
      <c r="W177" t="e">
        <f>IF(#REF! &lt;= 1, "0-1 Calls", IF(#REF! &lt;= 3, "2-3 Calls", IF(#REF! &lt;=5, "4-5 Calls", "6+ Calls")))</f>
        <v>#REF!</v>
      </c>
      <c r="X177" t="e">
        <f>IF(#REF! &lt;= 50, "0-50", IF(#REF! &lt;=100, "51-100", IF(#REF! &lt;= 150, "101-150", "151+")))</f>
        <v>#REF!</v>
      </c>
      <c r="Y177" t="e">
        <f>IF(#REF! &lt;= 3, "Low Charges", "High Charges")</f>
        <v>#REF!</v>
      </c>
      <c r="Z177" t="e">
        <f>IF(#REF!&lt;=80,"Low Calls",
IF(#REF!&lt;=120,"Medium Calls","High Calls"))</f>
        <v>#REF!</v>
      </c>
      <c r="AA177" t="e">
        <f>IF(#REF!&lt;=15,"Low Charges",
IF(#REF!&lt;=20,"Medium Charges","High Charges"))</f>
        <v>#REF!</v>
      </c>
      <c r="AB177" t="e">
        <f>IF(AND(#REF!&gt;180, #REF!&gt;200), "Heavy Doemstic User", IF(#REF!&gt;10, "Interntional User", IF(AND(#REF!&lt;180, #REF!&lt;200,#REF!&lt;200), "Light User", "Balanced User")))</f>
        <v>#REF!</v>
      </c>
      <c r="AC177" t="e">
        <f>IF(#REF! = 0, "No Usage", IF(#REF! &lt;= 20, "Low Usage", IF(#REF! &lt;= 40, "Medium Usgae", "High Usage")))</f>
        <v>#REF!</v>
      </c>
      <c r="AD177" t="e">
        <f>IF(#REF!&lt;=150,"Low Usage", IF(#REF!&lt;=200,"Medium Usage", IF(#REF!&lt;=250,"High Usage","Very High Usage")))</f>
        <v>#REF!</v>
      </c>
      <c r="AE177" t="e">
        <f>IF(#REF!&lt;=5,"Low Calls", IF(#REF!&lt;=10, "Medium Calls", "High Calls"))</f>
        <v>#REF!</v>
      </c>
      <c r="AF177" t="e">
        <f xml:space="preserve">
IF(#REF!&gt;=4,4,0)+
IF(#REF!="yes",3,0)+
IF(#REF!="High Charges",3,0)+
IF(#REF!&gt;250,4,0)+
IF(#REF!="no",1,0)+
IF(#REF!="Heavy Domestic User",2,0)</f>
        <v>#REF!</v>
      </c>
      <c r="AG177" t="e">
        <f>IF(#REF!&gt;=10,"High Risk", IF(#REF!&gt;=5,"Medium Risk","Low Risk"))</f>
        <v>#REF!</v>
      </c>
      <c r="AH177" t="e">
        <f>#REF! + #REF! + #REF! + #REF!</f>
        <v>#REF!</v>
      </c>
    </row>
    <row r="178" spans="1:34" x14ac:dyDescent="0.35">
      <c r="A178">
        <v>177</v>
      </c>
      <c r="B178" t="s">
        <v>42</v>
      </c>
      <c r="C178">
        <v>144</v>
      </c>
      <c r="D178" t="s">
        <v>28</v>
      </c>
      <c r="E178" t="s">
        <v>23</v>
      </c>
      <c r="F178" t="s">
        <v>22</v>
      </c>
      <c r="G178">
        <v>0</v>
      </c>
      <c r="H178">
        <v>203.5</v>
      </c>
      <c r="I178">
        <v>100</v>
      </c>
      <c r="J178">
        <v>34.6</v>
      </c>
      <c r="K178">
        <v>247.6</v>
      </c>
      <c r="L178">
        <v>103</v>
      </c>
      <c r="M178">
        <v>21.05</v>
      </c>
      <c r="N178">
        <v>194.3</v>
      </c>
      <c r="O178">
        <v>94</v>
      </c>
      <c r="P178">
        <v>8.74</v>
      </c>
      <c r="Q178">
        <v>11.9</v>
      </c>
      <c r="R178">
        <v>11</v>
      </c>
      <c r="S178">
        <v>3.21</v>
      </c>
      <c r="T178">
        <v>0</v>
      </c>
      <c r="U178" t="s">
        <v>22</v>
      </c>
      <c r="V178" t="e">
        <f>IF(#REF! = "yes", 1, 0)</f>
        <v>#REF!</v>
      </c>
      <c r="W178" t="e">
        <f>IF(#REF! &lt;= 1, "0-1 Calls", IF(#REF! &lt;= 3, "2-3 Calls", IF(#REF! &lt;=5, "4-5 Calls", "6+ Calls")))</f>
        <v>#REF!</v>
      </c>
      <c r="X178" t="e">
        <f>IF(#REF! &lt;= 50, "0-50", IF(#REF! &lt;=100, "51-100", IF(#REF! &lt;= 150, "101-150", "151+")))</f>
        <v>#REF!</v>
      </c>
      <c r="Y178" t="e">
        <f>IF(#REF! &lt;= 3, "Low Charges", "High Charges")</f>
        <v>#REF!</v>
      </c>
      <c r="Z178" t="e">
        <f>IF(#REF!&lt;=80,"Low Calls",
IF(#REF!&lt;=120,"Medium Calls","High Calls"))</f>
        <v>#REF!</v>
      </c>
      <c r="AA178" t="e">
        <f>IF(#REF!&lt;=15,"Low Charges",
IF(#REF!&lt;=20,"Medium Charges","High Charges"))</f>
        <v>#REF!</v>
      </c>
      <c r="AB178" t="e">
        <f>IF(AND(#REF!&gt;180, #REF!&gt;200), "Heavy Doemstic User", IF(#REF!&gt;10, "Interntional User", IF(AND(#REF!&lt;180, #REF!&lt;200,#REF!&lt;200), "Light User", "Balanced User")))</f>
        <v>#REF!</v>
      </c>
      <c r="AC178" t="e">
        <f>IF(#REF! = 0, "No Usage", IF(#REF! &lt;= 20, "Low Usage", IF(#REF! &lt;= 40, "Medium Usgae", "High Usage")))</f>
        <v>#REF!</v>
      </c>
      <c r="AD178" t="e">
        <f>IF(#REF!&lt;=150,"Low Usage", IF(#REF!&lt;=200,"Medium Usage", IF(#REF!&lt;=250,"High Usage","Very High Usage")))</f>
        <v>#REF!</v>
      </c>
      <c r="AE178" t="e">
        <f>IF(#REF!&lt;=5,"Low Calls", IF(#REF!&lt;=10, "Medium Calls", "High Calls"))</f>
        <v>#REF!</v>
      </c>
      <c r="AF178" t="e">
        <f xml:space="preserve">
IF(#REF!&gt;=4,4,0)+
IF(#REF!="yes",3,0)+
IF(#REF!="High Charges",3,0)+
IF(#REF!&gt;250,4,0)+
IF(#REF!="no",1,0)+
IF(#REF!="Heavy Domestic User",2,0)</f>
        <v>#REF!</v>
      </c>
      <c r="AG178" t="e">
        <f>IF(#REF!&gt;=10,"High Risk", IF(#REF!&gt;=5,"Medium Risk","Low Risk"))</f>
        <v>#REF!</v>
      </c>
      <c r="AH178" t="e">
        <f>#REF! + #REF! + #REF! + #REF!</f>
        <v>#REF!</v>
      </c>
    </row>
    <row r="179" spans="1:34" x14ac:dyDescent="0.35">
      <c r="A179">
        <v>178</v>
      </c>
      <c r="B179" t="s">
        <v>30</v>
      </c>
      <c r="C179">
        <v>93</v>
      </c>
      <c r="D179" t="s">
        <v>21</v>
      </c>
      <c r="E179" t="s">
        <v>22</v>
      </c>
      <c r="F179" t="s">
        <v>22</v>
      </c>
      <c r="G179">
        <v>0</v>
      </c>
      <c r="H179">
        <v>179.3</v>
      </c>
      <c r="I179">
        <v>93</v>
      </c>
      <c r="J179">
        <v>30.48</v>
      </c>
      <c r="K179">
        <v>178.6</v>
      </c>
      <c r="L179">
        <v>98</v>
      </c>
      <c r="M179">
        <v>15.18</v>
      </c>
      <c r="N179">
        <v>225.2</v>
      </c>
      <c r="O179">
        <v>131</v>
      </c>
      <c r="P179">
        <v>10.130000000000001</v>
      </c>
      <c r="Q179">
        <v>11.5</v>
      </c>
      <c r="R179">
        <v>6</v>
      </c>
      <c r="S179">
        <v>3.11</v>
      </c>
      <c r="T179">
        <v>3</v>
      </c>
      <c r="U179" t="s">
        <v>22</v>
      </c>
      <c r="V179" t="e">
        <f>IF(#REF! = "yes", 1, 0)</f>
        <v>#REF!</v>
      </c>
      <c r="W179" t="e">
        <f>IF(#REF! &lt;= 1, "0-1 Calls", IF(#REF! &lt;= 3, "2-3 Calls", IF(#REF! &lt;=5, "4-5 Calls", "6+ Calls")))</f>
        <v>#REF!</v>
      </c>
      <c r="X179" t="e">
        <f>IF(#REF! &lt;= 50, "0-50", IF(#REF! &lt;=100, "51-100", IF(#REF! &lt;= 150, "101-150", "151+")))</f>
        <v>#REF!</v>
      </c>
      <c r="Y179" t="e">
        <f>IF(#REF! &lt;= 3, "Low Charges", "High Charges")</f>
        <v>#REF!</v>
      </c>
      <c r="Z179" t="e">
        <f>IF(#REF!&lt;=80,"Low Calls",
IF(#REF!&lt;=120,"Medium Calls","High Calls"))</f>
        <v>#REF!</v>
      </c>
      <c r="AA179" t="e">
        <f>IF(#REF!&lt;=15,"Low Charges",
IF(#REF!&lt;=20,"Medium Charges","High Charges"))</f>
        <v>#REF!</v>
      </c>
      <c r="AB179" t="e">
        <f>IF(AND(#REF!&gt;180, #REF!&gt;200), "Heavy Doemstic User", IF(#REF!&gt;10, "Interntional User", IF(AND(#REF!&lt;180, #REF!&lt;200,#REF!&lt;200), "Light User", "Balanced User")))</f>
        <v>#REF!</v>
      </c>
      <c r="AC179" t="e">
        <f>IF(#REF! = 0, "No Usage", IF(#REF! &lt;= 20, "Low Usage", IF(#REF! &lt;= 40, "Medium Usgae", "High Usage")))</f>
        <v>#REF!</v>
      </c>
      <c r="AD179" t="e">
        <f>IF(#REF!&lt;=150,"Low Usage", IF(#REF!&lt;=200,"Medium Usage", IF(#REF!&lt;=250,"High Usage","Very High Usage")))</f>
        <v>#REF!</v>
      </c>
      <c r="AE179" t="e">
        <f>IF(#REF!&lt;=5,"Low Calls", IF(#REF!&lt;=10, "Medium Calls", "High Calls"))</f>
        <v>#REF!</v>
      </c>
      <c r="AF179" t="e">
        <f xml:space="preserve">
IF(#REF!&gt;=4,4,0)+
IF(#REF!="yes",3,0)+
IF(#REF!="High Charges",3,0)+
IF(#REF!&gt;250,4,0)+
IF(#REF!="no",1,0)+
IF(#REF!="Heavy Domestic User",2,0)</f>
        <v>#REF!</v>
      </c>
      <c r="AG179" t="e">
        <f>IF(#REF!&gt;=10,"High Risk", IF(#REF!&gt;=5,"Medium Risk","Low Risk"))</f>
        <v>#REF!</v>
      </c>
      <c r="AH179" t="e">
        <f>#REF! + #REF! + #REF! + #REF!</f>
        <v>#REF!</v>
      </c>
    </row>
    <row r="180" spans="1:34" x14ac:dyDescent="0.35">
      <c r="A180">
        <v>179</v>
      </c>
      <c r="B180" t="s">
        <v>40</v>
      </c>
      <c r="C180">
        <v>120</v>
      </c>
      <c r="D180" t="s">
        <v>21</v>
      </c>
      <c r="E180" t="s">
        <v>22</v>
      </c>
      <c r="F180" t="s">
        <v>22</v>
      </c>
      <c r="G180">
        <v>0</v>
      </c>
      <c r="H180">
        <v>180</v>
      </c>
      <c r="I180">
        <v>80</v>
      </c>
      <c r="J180">
        <v>30.6</v>
      </c>
      <c r="K180">
        <v>224.2</v>
      </c>
      <c r="L180">
        <v>82</v>
      </c>
      <c r="M180">
        <v>19.059999999999999</v>
      </c>
      <c r="N180">
        <v>265.39999999999998</v>
      </c>
      <c r="O180">
        <v>91</v>
      </c>
      <c r="P180">
        <v>11.94</v>
      </c>
      <c r="Q180">
        <v>4.7</v>
      </c>
      <c r="R180">
        <v>7</v>
      </c>
      <c r="S180">
        <v>1.27</v>
      </c>
      <c r="T180">
        <v>3</v>
      </c>
      <c r="U180" t="s">
        <v>22</v>
      </c>
      <c r="V180" t="e">
        <f>IF(#REF! = "yes", 1, 0)</f>
        <v>#REF!</v>
      </c>
      <c r="W180" t="e">
        <f>IF(#REF! &lt;= 1, "0-1 Calls", IF(#REF! &lt;= 3, "2-3 Calls", IF(#REF! &lt;=5, "4-5 Calls", "6+ Calls")))</f>
        <v>#REF!</v>
      </c>
      <c r="X180" t="e">
        <f>IF(#REF! &lt;= 50, "0-50", IF(#REF! &lt;=100, "51-100", IF(#REF! &lt;= 150, "101-150", "151+")))</f>
        <v>#REF!</v>
      </c>
      <c r="Y180" t="e">
        <f>IF(#REF! &lt;= 3, "Low Charges", "High Charges")</f>
        <v>#REF!</v>
      </c>
      <c r="Z180" t="e">
        <f>IF(#REF!&lt;=80,"Low Calls",
IF(#REF!&lt;=120,"Medium Calls","High Calls"))</f>
        <v>#REF!</v>
      </c>
      <c r="AA180" t="e">
        <f>IF(#REF!&lt;=15,"Low Charges",
IF(#REF!&lt;=20,"Medium Charges","High Charges"))</f>
        <v>#REF!</v>
      </c>
      <c r="AB180" t="e">
        <f>IF(AND(#REF!&gt;180, #REF!&gt;200), "Heavy Doemstic User", IF(#REF!&gt;10, "Interntional User", IF(AND(#REF!&lt;180, #REF!&lt;200,#REF!&lt;200), "Light User", "Balanced User")))</f>
        <v>#REF!</v>
      </c>
      <c r="AC180" t="e">
        <f>IF(#REF! = 0, "No Usage", IF(#REF! &lt;= 20, "Low Usage", IF(#REF! &lt;= 40, "Medium Usgae", "High Usage")))</f>
        <v>#REF!</v>
      </c>
      <c r="AD180" t="e">
        <f>IF(#REF!&lt;=150,"Low Usage", IF(#REF!&lt;=200,"Medium Usage", IF(#REF!&lt;=250,"High Usage","Very High Usage")))</f>
        <v>#REF!</v>
      </c>
      <c r="AE180" t="e">
        <f>IF(#REF!&lt;=5,"Low Calls", IF(#REF!&lt;=10, "Medium Calls", "High Calls"))</f>
        <v>#REF!</v>
      </c>
      <c r="AF180" t="e">
        <f xml:space="preserve">
IF(#REF!&gt;=4,4,0)+
IF(#REF!="yes",3,0)+
IF(#REF!="High Charges",3,0)+
IF(#REF!&gt;250,4,0)+
IF(#REF!="no",1,0)+
IF(#REF!="Heavy Domestic User",2,0)</f>
        <v>#REF!</v>
      </c>
      <c r="AG180" t="e">
        <f>IF(#REF!&gt;=10,"High Risk", IF(#REF!&gt;=5,"Medium Risk","Low Risk"))</f>
        <v>#REF!</v>
      </c>
      <c r="AH180" t="e">
        <f>#REF! + #REF! + #REF! + #REF!</f>
        <v>#REF!</v>
      </c>
    </row>
    <row r="181" spans="1:34" x14ac:dyDescent="0.35">
      <c r="A181">
        <v>180</v>
      </c>
      <c r="B181" t="s">
        <v>68</v>
      </c>
      <c r="C181">
        <v>106</v>
      </c>
      <c r="D181" t="s">
        <v>21</v>
      </c>
      <c r="E181" t="s">
        <v>22</v>
      </c>
      <c r="F181" t="s">
        <v>22</v>
      </c>
      <c r="G181">
        <v>0</v>
      </c>
      <c r="H181">
        <v>223</v>
      </c>
      <c r="I181">
        <v>121</v>
      </c>
      <c r="J181">
        <v>37.909999999999997</v>
      </c>
      <c r="K181">
        <v>110.1</v>
      </c>
      <c r="L181">
        <v>98</v>
      </c>
      <c r="M181">
        <v>9.36</v>
      </c>
      <c r="N181">
        <v>188.7</v>
      </c>
      <c r="O181">
        <v>107</v>
      </c>
      <c r="P181">
        <v>8.49</v>
      </c>
      <c r="Q181">
        <v>7.1</v>
      </c>
      <c r="R181">
        <v>12</v>
      </c>
      <c r="S181">
        <v>1.92</v>
      </c>
      <c r="T181">
        <v>0</v>
      </c>
      <c r="U181" t="s">
        <v>22</v>
      </c>
      <c r="V181" t="e">
        <f>IF(#REF! = "yes", 1, 0)</f>
        <v>#REF!</v>
      </c>
      <c r="W181" t="e">
        <f>IF(#REF! &lt;= 1, "0-1 Calls", IF(#REF! &lt;= 3, "2-3 Calls", IF(#REF! &lt;=5, "4-5 Calls", "6+ Calls")))</f>
        <v>#REF!</v>
      </c>
      <c r="X181" t="e">
        <f>IF(#REF! &lt;= 50, "0-50", IF(#REF! &lt;=100, "51-100", IF(#REF! &lt;= 150, "101-150", "151+")))</f>
        <v>#REF!</v>
      </c>
      <c r="Y181" t="e">
        <f>IF(#REF! &lt;= 3, "Low Charges", "High Charges")</f>
        <v>#REF!</v>
      </c>
      <c r="Z181" t="e">
        <f>IF(#REF!&lt;=80,"Low Calls",
IF(#REF!&lt;=120,"Medium Calls","High Calls"))</f>
        <v>#REF!</v>
      </c>
      <c r="AA181" t="e">
        <f>IF(#REF!&lt;=15,"Low Charges",
IF(#REF!&lt;=20,"Medium Charges","High Charges"))</f>
        <v>#REF!</v>
      </c>
      <c r="AB181" t="e">
        <f>IF(AND(#REF!&gt;180, #REF!&gt;200), "Heavy Doemstic User", IF(#REF!&gt;10, "Interntional User", IF(AND(#REF!&lt;180, #REF!&lt;200,#REF!&lt;200), "Light User", "Balanced User")))</f>
        <v>#REF!</v>
      </c>
      <c r="AC181" t="e">
        <f>IF(#REF! = 0, "No Usage", IF(#REF! &lt;= 20, "Low Usage", IF(#REF! &lt;= 40, "Medium Usgae", "High Usage")))</f>
        <v>#REF!</v>
      </c>
      <c r="AD181" t="e">
        <f>IF(#REF!&lt;=150,"Low Usage", IF(#REF!&lt;=200,"Medium Usage", IF(#REF!&lt;=250,"High Usage","Very High Usage")))</f>
        <v>#REF!</v>
      </c>
      <c r="AE181" t="e">
        <f>IF(#REF!&lt;=5,"Low Calls", IF(#REF!&lt;=10, "Medium Calls", "High Calls"))</f>
        <v>#REF!</v>
      </c>
      <c r="AF181" t="e">
        <f xml:space="preserve">
IF(#REF!&gt;=4,4,0)+
IF(#REF!="yes",3,0)+
IF(#REF!="High Charges",3,0)+
IF(#REF!&gt;250,4,0)+
IF(#REF!="no",1,0)+
IF(#REF!="Heavy Domestic User",2,0)</f>
        <v>#REF!</v>
      </c>
      <c r="AG181" t="e">
        <f>IF(#REF!&gt;=10,"High Risk", IF(#REF!&gt;=5,"Medium Risk","Low Risk"))</f>
        <v>#REF!</v>
      </c>
      <c r="AH181" t="e">
        <f>#REF! + #REF! + #REF! + #REF!</f>
        <v>#REF!</v>
      </c>
    </row>
    <row r="182" spans="1:34" x14ac:dyDescent="0.35">
      <c r="A182">
        <v>181</v>
      </c>
      <c r="B182" t="s">
        <v>59</v>
      </c>
      <c r="C182">
        <v>81</v>
      </c>
      <c r="D182" t="s">
        <v>21</v>
      </c>
      <c r="E182" t="s">
        <v>22</v>
      </c>
      <c r="F182" t="s">
        <v>22</v>
      </c>
      <c r="G182">
        <v>0</v>
      </c>
      <c r="H182">
        <v>183.6</v>
      </c>
      <c r="I182">
        <v>116</v>
      </c>
      <c r="J182">
        <v>31.21</v>
      </c>
      <c r="K182">
        <v>152.6</v>
      </c>
      <c r="L182">
        <v>98</v>
      </c>
      <c r="M182">
        <v>12.97</v>
      </c>
      <c r="N182">
        <v>212.2</v>
      </c>
      <c r="O182">
        <v>99</v>
      </c>
      <c r="P182">
        <v>9.5500000000000007</v>
      </c>
      <c r="Q182">
        <v>12.2</v>
      </c>
      <c r="R182">
        <v>6</v>
      </c>
      <c r="S182">
        <v>3.29</v>
      </c>
      <c r="T182">
        <v>3</v>
      </c>
      <c r="U182" t="s">
        <v>22</v>
      </c>
      <c r="V182" t="e">
        <f>IF(#REF! = "yes", 1, 0)</f>
        <v>#REF!</v>
      </c>
      <c r="W182" t="e">
        <f>IF(#REF! &lt;= 1, "0-1 Calls", IF(#REF! &lt;= 3, "2-3 Calls", IF(#REF! &lt;=5, "4-5 Calls", "6+ Calls")))</f>
        <v>#REF!</v>
      </c>
      <c r="X182" t="e">
        <f>IF(#REF! &lt;= 50, "0-50", IF(#REF! &lt;=100, "51-100", IF(#REF! &lt;= 150, "101-150", "151+")))</f>
        <v>#REF!</v>
      </c>
      <c r="Y182" t="e">
        <f>IF(#REF! &lt;= 3, "Low Charges", "High Charges")</f>
        <v>#REF!</v>
      </c>
      <c r="Z182" t="e">
        <f>IF(#REF!&lt;=80,"Low Calls",
IF(#REF!&lt;=120,"Medium Calls","High Calls"))</f>
        <v>#REF!</v>
      </c>
      <c r="AA182" t="e">
        <f>IF(#REF!&lt;=15,"Low Charges",
IF(#REF!&lt;=20,"Medium Charges","High Charges"))</f>
        <v>#REF!</v>
      </c>
      <c r="AB182" t="e">
        <f>IF(AND(#REF!&gt;180, #REF!&gt;200), "Heavy Doemstic User", IF(#REF!&gt;10, "Interntional User", IF(AND(#REF!&lt;180, #REF!&lt;200,#REF!&lt;200), "Light User", "Balanced User")))</f>
        <v>#REF!</v>
      </c>
      <c r="AC182" t="e">
        <f>IF(#REF! = 0, "No Usage", IF(#REF! &lt;= 20, "Low Usage", IF(#REF! &lt;= 40, "Medium Usgae", "High Usage")))</f>
        <v>#REF!</v>
      </c>
      <c r="AD182" t="e">
        <f>IF(#REF!&lt;=150,"Low Usage", IF(#REF!&lt;=200,"Medium Usage", IF(#REF!&lt;=250,"High Usage","Very High Usage")))</f>
        <v>#REF!</v>
      </c>
      <c r="AE182" t="e">
        <f>IF(#REF!&lt;=5,"Low Calls", IF(#REF!&lt;=10, "Medium Calls", "High Calls"))</f>
        <v>#REF!</v>
      </c>
      <c r="AF182" t="e">
        <f xml:space="preserve">
IF(#REF!&gt;=4,4,0)+
IF(#REF!="yes",3,0)+
IF(#REF!="High Charges",3,0)+
IF(#REF!&gt;250,4,0)+
IF(#REF!="no",1,0)+
IF(#REF!="Heavy Domestic User",2,0)</f>
        <v>#REF!</v>
      </c>
      <c r="AG182" t="e">
        <f>IF(#REF!&gt;=10,"High Risk", IF(#REF!&gt;=5,"Medium Risk","Low Risk"))</f>
        <v>#REF!</v>
      </c>
      <c r="AH182" t="e">
        <f>#REF! + #REF! + #REF! + #REF!</f>
        <v>#REF!</v>
      </c>
    </row>
    <row r="183" spans="1:34" x14ac:dyDescent="0.35">
      <c r="A183">
        <v>182</v>
      </c>
      <c r="B183" t="s">
        <v>71</v>
      </c>
      <c r="C183">
        <v>127</v>
      </c>
      <c r="D183" t="s">
        <v>25</v>
      </c>
      <c r="E183" t="s">
        <v>22</v>
      </c>
      <c r="F183" t="s">
        <v>23</v>
      </c>
      <c r="G183">
        <v>22</v>
      </c>
      <c r="H183">
        <v>166</v>
      </c>
      <c r="I183">
        <v>114</v>
      </c>
      <c r="J183">
        <v>28.22</v>
      </c>
      <c r="K183">
        <v>174.5</v>
      </c>
      <c r="L183">
        <v>103</v>
      </c>
      <c r="M183">
        <v>14.83</v>
      </c>
      <c r="N183">
        <v>244.9</v>
      </c>
      <c r="O183">
        <v>68</v>
      </c>
      <c r="P183">
        <v>11.02</v>
      </c>
      <c r="Q183">
        <v>10.199999999999999</v>
      </c>
      <c r="R183">
        <v>6</v>
      </c>
      <c r="S183">
        <v>2.75</v>
      </c>
      <c r="T183">
        <v>1</v>
      </c>
      <c r="U183" t="s">
        <v>22</v>
      </c>
      <c r="V183" t="e">
        <f>IF(#REF! = "yes", 1, 0)</f>
        <v>#REF!</v>
      </c>
      <c r="W183" t="e">
        <f>IF(#REF! &lt;= 1, "0-1 Calls", IF(#REF! &lt;= 3, "2-3 Calls", IF(#REF! &lt;=5, "4-5 Calls", "6+ Calls")))</f>
        <v>#REF!</v>
      </c>
      <c r="X183" t="e">
        <f>IF(#REF! &lt;= 50, "0-50", IF(#REF! &lt;=100, "51-100", IF(#REF! &lt;= 150, "101-150", "151+")))</f>
        <v>#REF!</v>
      </c>
      <c r="Y183" t="e">
        <f>IF(#REF! &lt;= 3, "Low Charges", "High Charges")</f>
        <v>#REF!</v>
      </c>
      <c r="Z183" t="e">
        <f>IF(#REF!&lt;=80,"Low Calls",
IF(#REF!&lt;=120,"Medium Calls","High Calls"))</f>
        <v>#REF!</v>
      </c>
      <c r="AA183" t="e">
        <f>IF(#REF!&lt;=15,"Low Charges",
IF(#REF!&lt;=20,"Medium Charges","High Charges"))</f>
        <v>#REF!</v>
      </c>
      <c r="AB183" t="e">
        <f>IF(AND(#REF!&gt;180, #REF!&gt;200), "Heavy Doemstic User", IF(#REF!&gt;10, "Interntional User", IF(AND(#REF!&lt;180, #REF!&lt;200,#REF!&lt;200), "Light User", "Balanced User")))</f>
        <v>#REF!</v>
      </c>
      <c r="AC183" t="e">
        <f>IF(#REF! = 0, "No Usage", IF(#REF! &lt;= 20, "Low Usage", IF(#REF! &lt;= 40, "Medium Usgae", "High Usage")))</f>
        <v>#REF!</v>
      </c>
      <c r="AD183" t="e">
        <f>IF(#REF!&lt;=150,"Low Usage", IF(#REF!&lt;=200,"Medium Usage", IF(#REF!&lt;=250,"High Usage","Very High Usage")))</f>
        <v>#REF!</v>
      </c>
      <c r="AE183" t="e">
        <f>IF(#REF!&lt;=5,"Low Calls", IF(#REF!&lt;=10, "Medium Calls", "High Calls"))</f>
        <v>#REF!</v>
      </c>
      <c r="AF183" t="e">
        <f xml:space="preserve">
IF(#REF!&gt;=4,4,0)+
IF(#REF!="yes",3,0)+
IF(#REF!="High Charges",3,0)+
IF(#REF!&gt;250,4,0)+
IF(#REF!="no",1,0)+
IF(#REF!="Heavy Domestic User",2,0)</f>
        <v>#REF!</v>
      </c>
      <c r="AG183" t="e">
        <f>IF(#REF!&gt;=10,"High Risk", IF(#REF!&gt;=5,"Medium Risk","Low Risk"))</f>
        <v>#REF!</v>
      </c>
      <c r="AH183" t="e">
        <f>#REF! + #REF! + #REF! + #REF!</f>
        <v>#REF!</v>
      </c>
    </row>
    <row r="184" spans="1:34" x14ac:dyDescent="0.35">
      <c r="A184">
        <v>183</v>
      </c>
      <c r="B184" t="s">
        <v>67</v>
      </c>
      <c r="C184">
        <v>65</v>
      </c>
      <c r="D184" t="s">
        <v>21</v>
      </c>
      <c r="E184" t="s">
        <v>22</v>
      </c>
      <c r="F184" t="s">
        <v>22</v>
      </c>
      <c r="G184">
        <v>0</v>
      </c>
      <c r="H184">
        <v>136.1</v>
      </c>
      <c r="I184">
        <v>112</v>
      </c>
      <c r="J184">
        <v>23.14</v>
      </c>
      <c r="K184">
        <v>272.89999999999998</v>
      </c>
      <c r="L184">
        <v>96</v>
      </c>
      <c r="M184">
        <v>23.2</v>
      </c>
      <c r="N184">
        <v>220.2</v>
      </c>
      <c r="O184">
        <v>104</v>
      </c>
      <c r="P184">
        <v>9.91</v>
      </c>
      <c r="Q184">
        <v>4.4000000000000004</v>
      </c>
      <c r="R184">
        <v>2</v>
      </c>
      <c r="S184">
        <v>1.19</v>
      </c>
      <c r="T184">
        <v>1</v>
      </c>
      <c r="U184" t="s">
        <v>22</v>
      </c>
      <c r="V184" t="e">
        <f>IF(#REF! = "yes", 1, 0)</f>
        <v>#REF!</v>
      </c>
      <c r="W184" t="e">
        <f>IF(#REF! &lt;= 1, "0-1 Calls", IF(#REF! &lt;= 3, "2-3 Calls", IF(#REF! &lt;=5, "4-5 Calls", "6+ Calls")))</f>
        <v>#REF!</v>
      </c>
      <c r="X184" t="e">
        <f>IF(#REF! &lt;= 50, "0-50", IF(#REF! &lt;=100, "51-100", IF(#REF! &lt;= 150, "101-150", "151+")))</f>
        <v>#REF!</v>
      </c>
      <c r="Y184" t="e">
        <f>IF(#REF! &lt;= 3, "Low Charges", "High Charges")</f>
        <v>#REF!</v>
      </c>
      <c r="Z184" t="e">
        <f>IF(#REF!&lt;=80,"Low Calls",
IF(#REF!&lt;=120,"Medium Calls","High Calls"))</f>
        <v>#REF!</v>
      </c>
      <c r="AA184" t="e">
        <f>IF(#REF!&lt;=15,"Low Charges",
IF(#REF!&lt;=20,"Medium Charges","High Charges"))</f>
        <v>#REF!</v>
      </c>
      <c r="AB184" t="e">
        <f>IF(AND(#REF!&gt;180, #REF!&gt;200), "Heavy Doemstic User", IF(#REF!&gt;10, "Interntional User", IF(AND(#REF!&lt;180, #REF!&lt;200,#REF!&lt;200), "Light User", "Balanced User")))</f>
        <v>#REF!</v>
      </c>
      <c r="AC184" t="e">
        <f>IF(#REF! = 0, "No Usage", IF(#REF! &lt;= 20, "Low Usage", IF(#REF! &lt;= 40, "Medium Usgae", "High Usage")))</f>
        <v>#REF!</v>
      </c>
      <c r="AD184" t="e">
        <f>IF(#REF!&lt;=150,"Low Usage", IF(#REF!&lt;=200,"Medium Usage", IF(#REF!&lt;=250,"High Usage","Very High Usage")))</f>
        <v>#REF!</v>
      </c>
      <c r="AE184" t="e">
        <f>IF(#REF!&lt;=5,"Low Calls", IF(#REF!&lt;=10, "Medium Calls", "High Calls"))</f>
        <v>#REF!</v>
      </c>
      <c r="AF184" t="e">
        <f xml:space="preserve">
IF(#REF!&gt;=4,4,0)+
IF(#REF!="yes",3,0)+
IF(#REF!="High Charges",3,0)+
IF(#REF!&gt;250,4,0)+
IF(#REF!="no",1,0)+
IF(#REF!="Heavy Domestic User",2,0)</f>
        <v>#REF!</v>
      </c>
      <c r="AG184" t="e">
        <f>IF(#REF!&gt;=10,"High Risk", IF(#REF!&gt;=5,"Medium Risk","Low Risk"))</f>
        <v>#REF!</v>
      </c>
      <c r="AH184" t="e">
        <f>#REF! + #REF! + #REF! + #REF!</f>
        <v>#REF!</v>
      </c>
    </row>
    <row r="185" spans="1:34" x14ac:dyDescent="0.35">
      <c r="A185">
        <v>184</v>
      </c>
      <c r="B185" t="s">
        <v>66</v>
      </c>
      <c r="C185">
        <v>35</v>
      </c>
      <c r="D185" t="s">
        <v>25</v>
      </c>
      <c r="E185" t="s">
        <v>22</v>
      </c>
      <c r="F185" t="s">
        <v>22</v>
      </c>
      <c r="G185">
        <v>0</v>
      </c>
      <c r="H185">
        <v>149.30000000000001</v>
      </c>
      <c r="I185">
        <v>113</v>
      </c>
      <c r="J185">
        <v>25.38</v>
      </c>
      <c r="K185">
        <v>242.2</v>
      </c>
      <c r="L185">
        <v>122</v>
      </c>
      <c r="M185">
        <v>20.59</v>
      </c>
      <c r="N185">
        <v>174.3</v>
      </c>
      <c r="O185">
        <v>104</v>
      </c>
      <c r="P185">
        <v>7.84</v>
      </c>
      <c r="Q185">
        <v>8.9</v>
      </c>
      <c r="R185">
        <v>6</v>
      </c>
      <c r="S185">
        <v>2.4</v>
      </c>
      <c r="T185">
        <v>2</v>
      </c>
      <c r="U185" t="s">
        <v>22</v>
      </c>
      <c r="V185" t="e">
        <f>IF(#REF! = "yes", 1, 0)</f>
        <v>#REF!</v>
      </c>
      <c r="W185" t="e">
        <f>IF(#REF! &lt;= 1, "0-1 Calls", IF(#REF! &lt;= 3, "2-3 Calls", IF(#REF! &lt;=5, "4-5 Calls", "6+ Calls")))</f>
        <v>#REF!</v>
      </c>
      <c r="X185" t="e">
        <f>IF(#REF! &lt;= 50, "0-50", IF(#REF! &lt;=100, "51-100", IF(#REF! &lt;= 150, "101-150", "151+")))</f>
        <v>#REF!</v>
      </c>
      <c r="Y185" t="e">
        <f>IF(#REF! &lt;= 3, "Low Charges", "High Charges")</f>
        <v>#REF!</v>
      </c>
      <c r="Z185" t="e">
        <f>IF(#REF!&lt;=80,"Low Calls",
IF(#REF!&lt;=120,"Medium Calls","High Calls"))</f>
        <v>#REF!</v>
      </c>
      <c r="AA185" t="e">
        <f>IF(#REF!&lt;=15,"Low Charges",
IF(#REF!&lt;=20,"Medium Charges","High Charges"))</f>
        <v>#REF!</v>
      </c>
      <c r="AB185" t="e">
        <f>IF(AND(#REF!&gt;180, #REF!&gt;200), "Heavy Doemstic User", IF(#REF!&gt;10, "Interntional User", IF(AND(#REF!&lt;180, #REF!&lt;200,#REF!&lt;200), "Light User", "Balanced User")))</f>
        <v>#REF!</v>
      </c>
      <c r="AC185" t="e">
        <f>IF(#REF! = 0, "No Usage", IF(#REF! &lt;= 20, "Low Usage", IF(#REF! &lt;= 40, "Medium Usgae", "High Usage")))</f>
        <v>#REF!</v>
      </c>
      <c r="AD185" t="e">
        <f>IF(#REF!&lt;=150,"Low Usage", IF(#REF!&lt;=200,"Medium Usage", IF(#REF!&lt;=250,"High Usage","Very High Usage")))</f>
        <v>#REF!</v>
      </c>
      <c r="AE185" t="e">
        <f>IF(#REF!&lt;=5,"Low Calls", IF(#REF!&lt;=10, "Medium Calls", "High Calls"))</f>
        <v>#REF!</v>
      </c>
      <c r="AF185" t="e">
        <f xml:space="preserve">
IF(#REF!&gt;=4,4,0)+
IF(#REF!="yes",3,0)+
IF(#REF!="High Charges",3,0)+
IF(#REF!&gt;250,4,0)+
IF(#REF!="no",1,0)+
IF(#REF!="Heavy Domestic User",2,0)</f>
        <v>#REF!</v>
      </c>
      <c r="AG185" t="e">
        <f>IF(#REF!&gt;=10,"High Risk", IF(#REF!&gt;=5,"Medium Risk","Low Risk"))</f>
        <v>#REF!</v>
      </c>
      <c r="AH185" t="e">
        <f>#REF! + #REF! + #REF! + #REF!</f>
        <v>#REF!</v>
      </c>
    </row>
    <row r="186" spans="1:34" x14ac:dyDescent="0.35">
      <c r="A186">
        <v>185</v>
      </c>
      <c r="B186" t="s">
        <v>26</v>
      </c>
      <c r="C186">
        <v>88</v>
      </c>
      <c r="D186" t="s">
        <v>25</v>
      </c>
      <c r="E186" t="s">
        <v>22</v>
      </c>
      <c r="F186" t="s">
        <v>22</v>
      </c>
      <c r="G186">
        <v>0</v>
      </c>
      <c r="H186">
        <v>65.400000000000006</v>
      </c>
      <c r="I186">
        <v>97</v>
      </c>
      <c r="J186">
        <v>11.12</v>
      </c>
      <c r="K186">
        <v>168.2</v>
      </c>
      <c r="L186">
        <v>76</v>
      </c>
      <c r="M186">
        <v>14.3</v>
      </c>
      <c r="N186">
        <v>236</v>
      </c>
      <c r="O186">
        <v>113</v>
      </c>
      <c r="P186">
        <v>10.62</v>
      </c>
      <c r="Q186">
        <v>13.8</v>
      </c>
      <c r="R186">
        <v>1</v>
      </c>
      <c r="S186">
        <v>3.73</v>
      </c>
      <c r="T186">
        <v>2</v>
      </c>
      <c r="U186" t="s">
        <v>22</v>
      </c>
      <c r="V186" t="e">
        <f>IF(#REF! = "yes", 1, 0)</f>
        <v>#REF!</v>
      </c>
      <c r="W186" t="e">
        <f>IF(#REF! &lt;= 1, "0-1 Calls", IF(#REF! &lt;= 3, "2-3 Calls", IF(#REF! &lt;=5, "4-5 Calls", "6+ Calls")))</f>
        <v>#REF!</v>
      </c>
      <c r="X186" t="e">
        <f>IF(#REF! &lt;= 50, "0-50", IF(#REF! &lt;=100, "51-100", IF(#REF! &lt;= 150, "101-150", "151+")))</f>
        <v>#REF!</v>
      </c>
      <c r="Y186" t="e">
        <f>IF(#REF! &lt;= 3, "Low Charges", "High Charges")</f>
        <v>#REF!</v>
      </c>
      <c r="Z186" t="e">
        <f>IF(#REF!&lt;=80,"Low Calls",
IF(#REF!&lt;=120,"Medium Calls","High Calls"))</f>
        <v>#REF!</v>
      </c>
      <c r="AA186" t="e">
        <f>IF(#REF!&lt;=15,"Low Charges",
IF(#REF!&lt;=20,"Medium Charges","High Charges"))</f>
        <v>#REF!</v>
      </c>
      <c r="AB186" t="e">
        <f>IF(AND(#REF!&gt;180, #REF!&gt;200), "Heavy Doemstic User", IF(#REF!&gt;10, "Interntional User", IF(AND(#REF!&lt;180, #REF!&lt;200,#REF!&lt;200), "Light User", "Balanced User")))</f>
        <v>#REF!</v>
      </c>
      <c r="AC186" t="e">
        <f>IF(#REF! = 0, "No Usage", IF(#REF! &lt;= 20, "Low Usage", IF(#REF! &lt;= 40, "Medium Usgae", "High Usage")))</f>
        <v>#REF!</v>
      </c>
      <c r="AD186" t="e">
        <f>IF(#REF!&lt;=150,"Low Usage", IF(#REF!&lt;=200,"Medium Usage", IF(#REF!&lt;=250,"High Usage","Very High Usage")))</f>
        <v>#REF!</v>
      </c>
      <c r="AE186" t="e">
        <f>IF(#REF!&lt;=5,"Low Calls", IF(#REF!&lt;=10, "Medium Calls", "High Calls"))</f>
        <v>#REF!</v>
      </c>
      <c r="AF186" t="e">
        <f xml:space="preserve">
IF(#REF!&gt;=4,4,0)+
IF(#REF!="yes",3,0)+
IF(#REF!="High Charges",3,0)+
IF(#REF!&gt;250,4,0)+
IF(#REF!="no",1,0)+
IF(#REF!="Heavy Domestic User",2,0)</f>
        <v>#REF!</v>
      </c>
      <c r="AG186" t="e">
        <f>IF(#REF!&gt;=10,"High Risk", IF(#REF!&gt;=5,"Medium Risk","Low Risk"))</f>
        <v>#REF!</v>
      </c>
      <c r="AH186" t="e">
        <f>#REF! + #REF! + #REF! + #REF!</f>
        <v>#REF!</v>
      </c>
    </row>
    <row r="187" spans="1:34" x14ac:dyDescent="0.35">
      <c r="A187">
        <v>186</v>
      </c>
      <c r="B187" t="s">
        <v>32</v>
      </c>
      <c r="C187">
        <v>65</v>
      </c>
      <c r="D187" t="s">
        <v>21</v>
      </c>
      <c r="E187" t="s">
        <v>22</v>
      </c>
      <c r="F187" t="s">
        <v>22</v>
      </c>
      <c r="G187">
        <v>0</v>
      </c>
      <c r="H187">
        <v>213.4</v>
      </c>
      <c r="I187">
        <v>111</v>
      </c>
      <c r="J187">
        <v>36.28</v>
      </c>
      <c r="K187">
        <v>234.5</v>
      </c>
      <c r="L187">
        <v>94</v>
      </c>
      <c r="M187">
        <v>19.93</v>
      </c>
      <c r="N187">
        <v>250.1</v>
      </c>
      <c r="O187">
        <v>123</v>
      </c>
      <c r="P187">
        <v>11.25</v>
      </c>
      <c r="Q187">
        <v>2.7</v>
      </c>
      <c r="R187">
        <v>4</v>
      </c>
      <c r="S187">
        <v>0.73</v>
      </c>
      <c r="T187">
        <v>1</v>
      </c>
      <c r="U187" t="s">
        <v>22</v>
      </c>
      <c r="V187" t="e">
        <f>IF(#REF! = "yes", 1, 0)</f>
        <v>#REF!</v>
      </c>
      <c r="W187" t="e">
        <f>IF(#REF! &lt;= 1, "0-1 Calls", IF(#REF! &lt;= 3, "2-3 Calls", IF(#REF! &lt;=5, "4-5 Calls", "6+ Calls")))</f>
        <v>#REF!</v>
      </c>
      <c r="X187" t="e">
        <f>IF(#REF! &lt;= 50, "0-50", IF(#REF! &lt;=100, "51-100", IF(#REF! &lt;= 150, "101-150", "151+")))</f>
        <v>#REF!</v>
      </c>
      <c r="Y187" t="e">
        <f>IF(#REF! &lt;= 3, "Low Charges", "High Charges")</f>
        <v>#REF!</v>
      </c>
      <c r="Z187" t="e">
        <f>IF(#REF!&lt;=80,"Low Calls",
IF(#REF!&lt;=120,"Medium Calls","High Calls"))</f>
        <v>#REF!</v>
      </c>
      <c r="AA187" t="e">
        <f>IF(#REF!&lt;=15,"Low Charges",
IF(#REF!&lt;=20,"Medium Charges","High Charges"))</f>
        <v>#REF!</v>
      </c>
      <c r="AB187" t="e">
        <f>IF(AND(#REF!&gt;180, #REF!&gt;200), "Heavy Doemstic User", IF(#REF!&gt;10, "Interntional User", IF(AND(#REF!&lt;180, #REF!&lt;200,#REF!&lt;200), "Light User", "Balanced User")))</f>
        <v>#REF!</v>
      </c>
      <c r="AC187" t="e">
        <f>IF(#REF! = 0, "No Usage", IF(#REF! &lt;= 20, "Low Usage", IF(#REF! &lt;= 40, "Medium Usgae", "High Usage")))</f>
        <v>#REF!</v>
      </c>
      <c r="AD187" t="e">
        <f>IF(#REF!&lt;=150,"Low Usage", IF(#REF!&lt;=200,"Medium Usage", IF(#REF!&lt;=250,"High Usage","Very High Usage")))</f>
        <v>#REF!</v>
      </c>
      <c r="AE187" t="e">
        <f>IF(#REF!&lt;=5,"Low Calls", IF(#REF!&lt;=10, "Medium Calls", "High Calls"))</f>
        <v>#REF!</v>
      </c>
      <c r="AF187" t="e">
        <f xml:space="preserve">
IF(#REF!&gt;=4,4,0)+
IF(#REF!="yes",3,0)+
IF(#REF!="High Charges",3,0)+
IF(#REF!&gt;250,4,0)+
IF(#REF!="no",1,0)+
IF(#REF!="Heavy Domestic User",2,0)</f>
        <v>#REF!</v>
      </c>
      <c r="AG187" t="e">
        <f>IF(#REF!&gt;=10,"High Risk", IF(#REF!&gt;=5,"Medium Risk","Low Risk"))</f>
        <v>#REF!</v>
      </c>
      <c r="AH187" t="e">
        <f>#REF! + #REF! + #REF! + #REF!</f>
        <v>#REF!</v>
      </c>
    </row>
    <row r="188" spans="1:34" x14ac:dyDescent="0.35">
      <c r="A188">
        <v>187</v>
      </c>
      <c r="B188" t="s">
        <v>29</v>
      </c>
      <c r="C188">
        <v>123</v>
      </c>
      <c r="D188" t="s">
        <v>21</v>
      </c>
      <c r="E188" t="s">
        <v>22</v>
      </c>
      <c r="F188" t="s">
        <v>22</v>
      </c>
      <c r="G188">
        <v>0</v>
      </c>
      <c r="H188">
        <v>206.9</v>
      </c>
      <c r="I188">
        <v>85</v>
      </c>
      <c r="J188">
        <v>35.17</v>
      </c>
      <c r="K188">
        <v>244.7</v>
      </c>
      <c r="L188">
        <v>78</v>
      </c>
      <c r="M188">
        <v>20.8</v>
      </c>
      <c r="N188">
        <v>221.5</v>
      </c>
      <c r="O188">
        <v>136</v>
      </c>
      <c r="P188">
        <v>9.9700000000000006</v>
      </c>
      <c r="Q188">
        <v>7.7</v>
      </c>
      <c r="R188">
        <v>2</v>
      </c>
      <c r="S188">
        <v>2.08</v>
      </c>
      <c r="T188">
        <v>3</v>
      </c>
      <c r="U188" t="s">
        <v>22</v>
      </c>
      <c r="V188" t="e">
        <f>IF(#REF! = "yes", 1, 0)</f>
        <v>#REF!</v>
      </c>
      <c r="W188" t="e">
        <f>IF(#REF! &lt;= 1, "0-1 Calls", IF(#REF! &lt;= 3, "2-3 Calls", IF(#REF! &lt;=5, "4-5 Calls", "6+ Calls")))</f>
        <v>#REF!</v>
      </c>
      <c r="X188" t="e">
        <f>IF(#REF! &lt;= 50, "0-50", IF(#REF! &lt;=100, "51-100", IF(#REF! &lt;= 150, "101-150", "151+")))</f>
        <v>#REF!</v>
      </c>
      <c r="Y188" t="e">
        <f>IF(#REF! &lt;= 3, "Low Charges", "High Charges")</f>
        <v>#REF!</v>
      </c>
      <c r="Z188" t="e">
        <f>IF(#REF!&lt;=80,"Low Calls",
IF(#REF!&lt;=120,"Medium Calls","High Calls"))</f>
        <v>#REF!</v>
      </c>
      <c r="AA188" t="e">
        <f>IF(#REF!&lt;=15,"Low Charges",
IF(#REF!&lt;=20,"Medium Charges","High Charges"))</f>
        <v>#REF!</v>
      </c>
      <c r="AB188" t="e">
        <f>IF(AND(#REF!&gt;180, #REF!&gt;200), "Heavy Doemstic User", IF(#REF!&gt;10, "Interntional User", IF(AND(#REF!&lt;180, #REF!&lt;200,#REF!&lt;200), "Light User", "Balanced User")))</f>
        <v>#REF!</v>
      </c>
      <c r="AC188" t="e">
        <f>IF(#REF! = 0, "No Usage", IF(#REF! &lt;= 20, "Low Usage", IF(#REF! &lt;= 40, "Medium Usgae", "High Usage")))</f>
        <v>#REF!</v>
      </c>
      <c r="AD188" t="e">
        <f>IF(#REF!&lt;=150,"Low Usage", IF(#REF!&lt;=200,"Medium Usage", IF(#REF!&lt;=250,"High Usage","Very High Usage")))</f>
        <v>#REF!</v>
      </c>
      <c r="AE188" t="e">
        <f>IF(#REF!&lt;=5,"Low Calls", IF(#REF!&lt;=10, "Medium Calls", "High Calls"))</f>
        <v>#REF!</v>
      </c>
      <c r="AF188" t="e">
        <f xml:space="preserve">
IF(#REF!&gt;=4,4,0)+
IF(#REF!="yes",3,0)+
IF(#REF!="High Charges",3,0)+
IF(#REF!&gt;250,4,0)+
IF(#REF!="no",1,0)+
IF(#REF!="Heavy Domestic User",2,0)</f>
        <v>#REF!</v>
      </c>
      <c r="AG188" t="e">
        <f>IF(#REF!&gt;=10,"High Risk", IF(#REF!&gt;=5,"Medium Risk","Low Risk"))</f>
        <v>#REF!</v>
      </c>
      <c r="AH188" t="e">
        <f>#REF! + #REF! + #REF! + #REF!</f>
        <v>#REF!</v>
      </c>
    </row>
    <row r="189" spans="1:34" x14ac:dyDescent="0.35">
      <c r="A189">
        <v>188</v>
      </c>
      <c r="B189" t="s">
        <v>34</v>
      </c>
      <c r="C189">
        <v>126</v>
      </c>
      <c r="D189" t="s">
        <v>25</v>
      </c>
      <c r="E189" t="s">
        <v>22</v>
      </c>
      <c r="F189" t="s">
        <v>23</v>
      </c>
      <c r="G189">
        <v>27</v>
      </c>
      <c r="H189">
        <v>186.2</v>
      </c>
      <c r="I189">
        <v>78</v>
      </c>
      <c r="J189">
        <v>31.65</v>
      </c>
      <c r="K189">
        <v>189.6</v>
      </c>
      <c r="L189">
        <v>83</v>
      </c>
      <c r="M189">
        <v>16.12</v>
      </c>
      <c r="N189">
        <v>76.5</v>
      </c>
      <c r="O189">
        <v>139</v>
      </c>
      <c r="P189">
        <v>3.44</v>
      </c>
      <c r="Q189">
        <v>9.6</v>
      </c>
      <c r="R189">
        <v>3</v>
      </c>
      <c r="S189">
        <v>2.59</v>
      </c>
      <c r="T189">
        <v>2</v>
      </c>
      <c r="U189" t="s">
        <v>22</v>
      </c>
      <c r="V189" t="e">
        <f>IF(#REF! = "yes", 1, 0)</f>
        <v>#REF!</v>
      </c>
      <c r="W189" t="e">
        <f>IF(#REF! &lt;= 1, "0-1 Calls", IF(#REF! &lt;= 3, "2-3 Calls", IF(#REF! &lt;=5, "4-5 Calls", "6+ Calls")))</f>
        <v>#REF!</v>
      </c>
      <c r="X189" t="e">
        <f>IF(#REF! &lt;= 50, "0-50", IF(#REF! &lt;=100, "51-100", IF(#REF! &lt;= 150, "101-150", "151+")))</f>
        <v>#REF!</v>
      </c>
      <c r="Y189" t="e">
        <f>IF(#REF! &lt;= 3, "Low Charges", "High Charges")</f>
        <v>#REF!</v>
      </c>
      <c r="Z189" t="e">
        <f>IF(#REF!&lt;=80,"Low Calls",
IF(#REF!&lt;=120,"Medium Calls","High Calls"))</f>
        <v>#REF!</v>
      </c>
      <c r="AA189" t="e">
        <f>IF(#REF!&lt;=15,"Low Charges",
IF(#REF!&lt;=20,"Medium Charges","High Charges"))</f>
        <v>#REF!</v>
      </c>
      <c r="AB189" t="e">
        <f>IF(AND(#REF!&gt;180, #REF!&gt;200), "Heavy Doemstic User", IF(#REF!&gt;10, "Interntional User", IF(AND(#REF!&lt;180, #REF!&lt;200,#REF!&lt;200), "Light User", "Balanced User")))</f>
        <v>#REF!</v>
      </c>
      <c r="AC189" t="e">
        <f>IF(#REF! = 0, "No Usage", IF(#REF! &lt;= 20, "Low Usage", IF(#REF! &lt;= 40, "Medium Usgae", "High Usage")))</f>
        <v>#REF!</v>
      </c>
      <c r="AD189" t="e">
        <f>IF(#REF!&lt;=150,"Low Usage", IF(#REF!&lt;=200,"Medium Usage", IF(#REF!&lt;=250,"High Usage","Very High Usage")))</f>
        <v>#REF!</v>
      </c>
      <c r="AE189" t="e">
        <f>IF(#REF!&lt;=5,"Low Calls", IF(#REF!&lt;=10, "Medium Calls", "High Calls"))</f>
        <v>#REF!</v>
      </c>
      <c r="AF189" t="e">
        <f xml:space="preserve">
IF(#REF!&gt;=4,4,0)+
IF(#REF!="yes",3,0)+
IF(#REF!="High Charges",3,0)+
IF(#REF!&gt;250,4,0)+
IF(#REF!="no",1,0)+
IF(#REF!="Heavy Domestic User",2,0)</f>
        <v>#REF!</v>
      </c>
      <c r="AG189" t="e">
        <f>IF(#REF!&gt;=10,"High Risk", IF(#REF!&gt;=5,"Medium Risk","Low Risk"))</f>
        <v>#REF!</v>
      </c>
      <c r="AH189" t="e">
        <f>#REF! + #REF! + #REF! + #REF!</f>
        <v>#REF!</v>
      </c>
    </row>
    <row r="190" spans="1:34" x14ac:dyDescent="0.35">
      <c r="A190">
        <v>189</v>
      </c>
      <c r="B190" t="s">
        <v>65</v>
      </c>
      <c r="C190">
        <v>45</v>
      </c>
      <c r="D190" t="s">
        <v>21</v>
      </c>
      <c r="E190" t="s">
        <v>22</v>
      </c>
      <c r="F190" t="s">
        <v>23</v>
      </c>
      <c r="G190">
        <v>22</v>
      </c>
      <c r="H190">
        <v>196.6</v>
      </c>
      <c r="I190">
        <v>84</v>
      </c>
      <c r="J190">
        <v>33.42</v>
      </c>
      <c r="K190">
        <v>313.2</v>
      </c>
      <c r="L190">
        <v>92</v>
      </c>
      <c r="M190">
        <v>26.62</v>
      </c>
      <c r="N190">
        <v>163.30000000000001</v>
      </c>
      <c r="O190">
        <v>108</v>
      </c>
      <c r="P190">
        <v>7.35</v>
      </c>
      <c r="Q190">
        <v>11.9</v>
      </c>
      <c r="R190">
        <v>3</v>
      </c>
      <c r="S190">
        <v>3.21</v>
      </c>
      <c r="T190">
        <v>0</v>
      </c>
      <c r="U190" t="s">
        <v>22</v>
      </c>
      <c r="V190" t="e">
        <f>IF(#REF! = "yes", 1, 0)</f>
        <v>#REF!</v>
      </c>
      <c r="W190" t="e">
        <f>IF(#REF! &lt;= 1, "0-1 Calls", IF(#REF! &lt;= 3, "2-3 Calls", IF(#REF! &lt;=5, "4-5 Calls", "6+ Calls")))</f>
        <v>#REF!</v>
      </c>
      <c r="X190" t="e">
        <f>IF(#REF! &lt;= 50, "0-50", IF(#REF! &lt;=100, "51-100", IF(#REF! &lt;= 150, "101-150", "151+")))</f>
        <v>#REF!</v>
      </c>
      <c r="Y190" t="e">
        <f>IF(#REF! &lt;= 3, "Low Charges", "High Charges")</f>
        <v>#REF!</v>
      </c>
      <c r="Z190" t="e">
        <f>IF(#REF!&lt;=80,"Low Calls",
IF(#REF!&lt;=120,"Medium Calls","High Calls"))</f>
        <v>#REF!</v>
      </c>
      <c r="AA190" t="e">
        <f>IF(#REF!&lt;=15,"Low Charges",
IF(#REF!&lt;=20,"Medium Charges","High Charges"))</f>
        <v>#REF!</v>
      </c>
      <c r="AB190" t="e">
        <f>IF(AND(#REF!&gt;180, #REF!&gt;200), "Heavy Doemstic User", IF(#REF!&gt;10, "Interntional User", IF(AND(#REF!&lt;180, #REF!&lt;200,#REF!&lt;200), "Light User", "Balanced User")))</f>
        <v>#REF!</v>
      </c>
      <c r="AC190" t="e">
        <f>IF(#REF! = 0, "No Usage", IF(#REF! &lt;= 20, "Low Usage", IF(#REF! &lt;= 40, "Medium Usgae", "High Usage")))</f>
        <v>#REF!</v>
      </c>
      <c r="AD190" t="e">
        <f>IF(#REF!&lt;=150,"Low Usage", IF(#REF!&lt;=200,"Medium Usage", IF(#REF!&lt;=250,"High Usage","Very High Usage")))</f>
        <v>#REF!</v>
      </c>
      <c r="AE190" t="e">
        <f>IF(#REF!&lt;=5,"Low Calls", IF(#REF!&lt;=10, "Medium Calls", "High Calls"))</f>
        <v>#REF!</v>
      </c>
      <c r="AF190" t="e">
        <f xml:space="preserve">
IF(#REF!&gt;=4,4,0)+
IF(#REF!="yes",3,0)+
IF(#REF!="High Charges",3,0)+
IF(#REF!&gt;250,4,0)+
IF(#REF!="no",1,0)+
IF(#REF!="Heavy Domestic User",2,0)</f>
        <v>#REF!</v>
      </c>
      <c r="AG190" t="e">
        <f>IF(#REF!&gt;=10,"High Risk", IF(#REF!&gt;=5,"Medium Risk","Low Risk"))</f>
        <v>#REF!</v>
      </c>
      <c r="AH190" t="e">
        <f>#REF! + #REF! + #REF! + #REF!</f>
        <v>#REF!</v>
      </c>
    </row>
    <row r="191" spans="1:34" x14ac:dyDescent="0.35">
      <c r="A191">
        <v>190</v>
      </c>
      <c r="B191" t="s">
        <v>49</v>
      </c>
      <c r="C191">
        <v>93</v>
      </c>
      <c r="D191" t="s">
        <v>25</v>
      </c>
      <c r="E191" t="s">
        <v>23</v>
      </c>
      <c r="F191" t="s">
        <v>22</v>
      </c>
      <c r="G191">
        <v>0</v>
      </c>
      <c r="H191">
        <v>312</v>
      </c>
      <c r="I191">
        <v>109</v>
      </c>
      <c r="J191">
        <v>53.04</v>
      </c>
      <c r="K191">
        <v>129.4</v>
      </c>
      <c r="L191">
        <v>100</v>
      </c>
      <c r="M191">
        <v>11</v>
      </c>
      <c r="N191">
        <v>217.6</v>
      </c>
      <c r="O191">
        <v>74</v>
      </c>
      <c r="P191">
        <v>9.7899999999999991</v>
      </c>
      <c r="Q191">
        <v>10.5</v>
      </c>
      <c r="R191">
        <v>2</v>
      </c>
      <c r="S191">
        <v>2.84</v>
      </c>
      <c r="T191">
        <v>0</v>
      </c>
      <c r="U191" t="s">
        <v>23</v>
      </c>
      <c r="V191" t="e">
        <f>IF(#REF! = "yes", 1, 0)</f>
        <v>#REF!</v>
      </c>
      <c r="W191" t="e">
        <f>IF(#REF! &lt;= 1, "0-1 Calls", IF(#REF! &lt;= 3, "2-3 Calls", IF(#REF! &lt;=5, "4-5 Calls", "6+ Calls")))</f>
        <v>#REF!</v>
      </c>
      <c r="X191" t="e">
        <f>IF(#REF! &lt;= 50, "0-50", IF(#REF! &lt;=100, "51-100", IF(#REF! &lt;= 150, "101-150", "151+")))</f>
        <v>#REF!</v>
      </c>
      <c r="Y191" t="e">
        <f>IF(#REF! &lt;= 3, "Low Charges", "High Charges")</f>
        <v>#REF!</v>
      </c>
      <c r="Z191" t="e">
        <f>IF(#REF!&lt;=80,"Low Calls",
IF(#REF!&lt;=120,"Medium Calls","High Calls"))</f>
        <v>#REF!</v>
      </c>
      <c r="AA191" t="e">
        <f>IF(#REF!&lt;=15,"Low Charges",
IF(#REF!&lt;=20,"Medium Charges","High Charges"))</f>
        <v>#REF!</v>
      </c>
      <c r="AB191" t="e">
        <f>IF(AND(#REF!&gt;180, #REF!&gt;200), "Heavy Doemstic User", IF(#REF!&gt;10, "Interntional User", IF(AND(#REF!&lt;180, #REF!&lt;200,#REF!&lt;200), "Light User", "Balanced User")))</f>
        <v>#REF!</v>
      </c>
      <c r="AC191" t="e">
        <f>IF(#REF! = 0, "No Usage", IF(#REF! &lt;= 20, "Low Usage", IF(#REF! &lt;= 40, "Medium Usgae", "High Usage")))</f>
        <v>#REF!</v>
      </c>
      <c r="AD191" t="e">
        <f>IF(#REF!&lt;=150,"Low Usage", IF(#REF!&lt;=200,"Medium Usage", IF(#REF!&lt;=250,"High Usage","Very High Usage")))</f>
        <v>#REF!</v>
      </c>
      <c r="AE191" t="e">
        <f>IF(#REF!&lt;=5,"Low Calls", IF(#REF!&lt;=10, "Medium Calls", "High Calls"))</f>
        <v>#REF!</v>
      </c>
      <c r="AF191" t="e">
        <f xml:space="preserve">
IF(#REF!&gt;=4,4,0)+
IF(#REF!="yes",3,0)+
IF(#REF!="High Charges",3,0)+
IF(#REF!&gt;250,4,0)+
IF(#REF!="no",1,0)+
IF(#REF!="Heavy Domestic User",2,0)</f>
        <v>#REF!</v>
      </c>
      <c r="AG191" t="e">
        <f>IF(#REF!&gt;=10,"High Risk", IF(#REF!&gt;=5,"Medium Risk","Low Risk"))</f>
        <v>#REF!</v>
      </c>
      <c r="AH191" t="e">
        <f>#REF! + #REF! + #REF! + #REF!</f>
        <v>#REF!</v>
      </c>
    </row>
    <row r="192" spans="1:34" x14ac:dyDescent="0.35">
      <c r="A192">
        <v>191</v>
      </c>
      <c r="B192" t="s">
        <v>20</v>
      </c>
      <c r="C192">
        <v>63</v>
      </c>
      <c r="D192" t="s">
        <v>21</v>
      </c>
      <c r="E192" t="s">
        <v>23</v>
      </c>
      <c r="F192" t="s">
        <v>23</v>
      </c>
      <c r="G192">
        <v>36</v>
      </c>
      <c r="H192">
        <v>199</v>
      </c>
      <c r="I192">
        <v>110</v>
      </c>
      <c r="J192">
        <v>33.83</v>
      </c>
      <c r="K192">
        <v>291.3</v>
      </c>
      <c r="L192">
        <v>111</v>
      </c>
      <c r="M192">
        <v>24.76</v>
      </c>
      <c r="N192">
        <v>197.6</v>
      </c>
      <c r="O192">
        <v>92</v>
      </c>
      <c r="P192">
        <v>8.89</v>
      </c>
      <c r="Q192">
        <v>11</v>
      </c>
      <c r="R192">
        <v>6</v>
      </c>
      <c r="S192">
        <v>2.97</v>
      </c>
      <c r="T192">
        <v>1</v>
      </c>
      <c r="U192" t="s">
        <v>22</v>
      </c>
      <c r="V192" t="e">
        <f>IF(#REF! = "yes", 1, 0)</f>
        <v>#REF!</v>
      </c>
      <c r="W192" t="e">
        <f>IF(#REF! &lt;= 1, "0-1 Calls", IF(#REF! &lt;= 3, "2-3 Calls", IF(#REF! &lt;=5, "4-5 Calls", "6+ Calls")))</f>
        <v>#REF!</v>
      </c>
      <c r="X192" t="e">
        <f>IF(#REF! &lt;= 50, "0-50", IF(#REF! &lt;=100, "51-100", IF(#REF! &lt;= 150, "101-150", "151+")))</f>
        <v>#REF!</v>
      </c>
      <c r="Y192" t="e">
        <f>IF(#REF! &lt;= 3, "Low Charges", "High Charges")</f>
        <v>#REF!</v>
      </c>
      <c r="Z192" t="e">
        <f>IF(#REF!&lt;=80,"Low Calls",
IF(#REF!&lt;=120,"Medium Calls","High Calls"))</f>
        <v>#REF!</v>
      </c>
      <c r="AA192" t="e">
        <f>IF(#REF!&lt;=15,"Low Charges",
IF(#REF!&lt;=20,"Medium Charges","High Charges"))</f>
        <v>#REF!</v>
      </c>
      <c r="AB192" t="e">
        <f>IF(AND(#REF!&gt;180, #REF!&gt;200), "Heavy Doemstic User", IF(#REF!&gt;10, "Interntional User", IF(AND(#REF!&lt;180, #REF!&lt;200,#REF!&lt;200), "Light User", "Balanced User")))</f>
        <v>#REF!</v>
      </c>
      <c r="AC192" t="e">
        <f>IF(#REF! = 0, "No Usage", IF(#REF! &lt;= 20, "Low Usage", IF(#REF! &lt;= 40, "Medium Usgae", "High Usage")))</f>
        <v>#REF!</v>
      </c>
      <c r="AD192" t="e">
        <f>IF(#REF!&lt;=150,"Low Usage", IF(#REF!&lt;=200,"Medium Usage", IF(#REF!&lt;=250,"High Usage","Very High Usage")))</f>
        <v>#REF!</v>
      </c>
      <c r="AE192" t="e">
        <f>IF(#REF!&lt;=5,"Low Calls", IF(#REF!&lt;=10, "Medium Calls", "High Calls"))</f>
        <v>#REF!</v>
      </c>
      <c r="AF192" t="e">
        <f xml:space="preserve">
IF(#REF!&gt;=4,4,0)+
IF(#REF!="yes",3,0)+
IF(#REF!="High Charges",3,0)+
IF(#REF!&gt;250,4,0)+
IF(#REF!="no",1,0)+
IF(#REF!="Heavy Domestic User",2,0)</f>
        <v>#REF!</v>
      </c>
      <c r="AG192" t="e">
        <f>IF(#REF!&gt;=10,"High Risk", IF(#REF!&gt;=5,"Medium Risk","Low Risk"))</f>
        <v>#REF!</v>
      </c>
      <c r="AH192" t="e">
        <f>#REF! + #REF! + #REF! + #REF!</f>
        <v>#REF!</v>
      </c>
    </row>
    <row r="193" spans="1:34" x14ac:dyDescent="0.35">
      <c r="A193">
        <v>192</v>
      </c>
      <c r="B193" t="s">
        <v>26</v>
      </c>
      <c r="C193">
        <v>100</v>
      </c>
      <c r="D193" t="s">
        <v>21</v>
      </c>
      <c r="E193" t="s">
        <v>22</v>
      </c>
      <c r="F193" t="s">
        <v>22</v>
      </c>
      <c r="G193">
        <v>0</v>
      </c>
      <c r="H193">
        <v>203.1</v>
      </c>
      <c r="I193">
        <v>96</v>
      </c>
      <c r="J193">
        <v>34.53</v>
      </c>
      <c r="K193">
        <v>217</v>
      </c>
      <c r="L193">
        <v>126</v>
      </c>
      <c r="M193">
        <v>18.45</v>
      </c>
      <c r="N193">
        <v>180.9</v>
      </c>
      <c r="O193">
        <v>122</v>
      </c>
      <c r="P193">
        <v>8.14</v>
      </c>
      <c r="Q193">
        <v>13.5</v>
      </c>
      <c r="R193">
        <v>2</v>
      </c>
      <c r="S193">
        <v>3.65</v>
      </c>
      <c r="T193">
        <v>3</v>
      </c>
      <c r="U193" t="s">
        <v>22</v>
      </c>
      <c r="V193" t="e">
        <f>IF(#REF! = "yes", 1, 0)</f>
        <v>#REF!</v>
      </c>
      <c r="W193" t="e">
        <f>IF(#REF! &lt;= 1, "0-1 Calls", IF(#REF! &lt;= 3, "2-3 Calls", IF(#REF! &lt;=5, "4-5 Calls", "6+ Calls")))</f>
        <v>#REF!</v>
      </c>
      <c r="X193" t="e">
        <f>IF(#REF! &lt;= 50, "0-50", IF(#REF! &lt;=100, "51-100", IF(#REF! &lt;= 150, "101-150", "151+")))</f>
        <v>#REF!</v>
      </c>
      <c r="Y193" t="e">
        <f>IF(#REF! &lt;= 3, "Low Charges", "High Charges")</f>
        <v>#REF!</v>
      </c>
      <c r="Z193" t="e">
        <f>IF(#REF!&lt;=80,"Low Calls",
IF(#REF!&lt;=120,"Medium Calls","High Calls"))</f>
        <v>#REF!</v>
      </c>
      <c r="AA193" t="e">
        <f>IF(#REF!&lt;=15,"Low Charges",
IF(#REF!&lt;=20,"Medium Charges","High Charges"))</f>
        <v>#REF!</v>
      </c>
      <c r="AB193" t="e">
        <f>IF(AND(#REF!&gt;180, #REF!&gt;200), "Heavy Doemstic User", IF(#REF!&gt;10, "Interntional User", IF(AND(#REF!&lt;180, #REF!&lt;200,#REF!&lt;200), "Light User", "Balanced User")))</f>
        <v>#REF!</v>
      </c>
      <c r="AC193" t="e">
        <f>IF(#REF! = 0, "No Usage", IF(#REF! &lt;= 20, "Low Usage", IF(#REF! &lt;= 40, "Medium Usgae", "High Usage")))</f>
        <v>#REF!</v>
      </c>
      <c r="AD193" t="e">
        <f>IF(#REF!&lt;=150,"Low Usage", IF(#REF!&lt;=200,"Medium Usage", IF(#REF!&lt;=250,"High Usage","Very High Usage")))</f>
        <v>#REF!</v>
      </c>
      <c r="AE193" t="e">
        <f>IF(#REF!&lt;=5,"Low Calls", IF(#REF!&lt;=10, "Medium Calls", "High Calls"))</f>
        <v>#REF!</v>
      </c>
      <c r="AF193" t="e">
        <f xml:space="preserve">
IF(#REF!&gt;=4,4,0)+
IF(#REF!="yes",3,0)+
IF(#REF!="High Charges",3,0)+
IF(#REF!&gt;250,4,0)+
IF(#REF!="no",1,0)+
IF(#REF!="Heavy Domestic User",2,0)</f>
        <v>#REF!</v>
      </c>
      <c r="AG193" t="e">
        <f>IF(#REF!&gt;=10,"High Risk", IF(#REF!&gt;=5,"Medium Risk","Low Risk"))</f>
        <v>#REF!</v>
      </c>
      <c r="AH193" t="e">
        <f>#REF! + #REF! + #REF! + #REF!</f>
        <v>#REF!</v>
      </c>
    </row>
    <row r="194" spans="1:34" x14ac:dyDescent="0.35">
      <c r="A194">
        <v>193</v>
      </c>
      <c r="B194" t="s">
        <v>62</v>
      </c>
      <c r="C194">
        <v>53</v>
      </c>
      <c r="D194" t="s">
        <v>21</v>
      </c>
      <c r="E194" t="s">
        <v>22</v>
      </c>
      <c r="F194" t="s">
        <v>22</v>
      </c>
      <c r="G194">
        <v>0</v>
      </c>
      <c r="H194">
        <v>168.8</v>
      </c>
      <c r="I194">
        <v>97</v>
      </c>
      <c r="J194">
        <v>28.7</v>
      </c>
      <c r="K194">
        <v>220.3</v>
      </c>
      <c r="L194">
        <v>87</v>
      </c>
      <c r="M194">
        <v>18.73</v>
      </c>
      <c r="N194">
        <v>154.30000000000001</v>
      </c>
      <c r="O194">
        <v>113</v>
      </c>
      <c r="P194">
        <v>6.94</v>
      </c>
      <c r="Q194">
        <v>10.9</v>
      </c>
      <c r="R194">
        <v>2</v>
      </c>
      <c r="S194">
        <v>2.94</v>
      </c>
      <c r="T194">
        <v>0</v>
      </c>
      <c r="U194" t="s">
        <v>22</v>
      </c>
      <c r="V194" t="e">
        <f>IF(#REF! = "yes", 1, 0)</f>
        <v>#REF!</v>
      </c>
      <c r="W194" t="e">
        <f>IF(#REF! &lt;= 1, "0-1 Calls", IF(#REF! &lt;= 3, "2-3 Calls", IF(#REF! &lt;=5, "4-5 Calls", "6+ Calls")))</f>
        <v>#REF!</v>
      </c>
      <c r="X194" t="e">
        <f>IF(#REF! &lt;= 50, "0-50", IF(#REF! &lt;=100, "51-100", IF(#REF! &lt;= 150, "101-150", "151+")))</f>
        <v>#REF!</v>
      </c>
      <c r="Y194" t="e">
        <f>IF(#REF! &lt;= 3, "Low Charges", "High Charges")</f>
        <v>#REF!</v>
      </c>
      <c r="Z194" t="e">
        <f>IF(#REF!&lt;=80,"Low Calls",
IF(#REF!&lt;=120,"Medium Calls","High Calls"))</f>
        <v>#REF!</v>
      </c>
      <c r="AA194" t="e">
        <f>IF(#REF!&lt;=15,"Low Charges",
IF(#REF!&lt;=20,"Medium Charges","High Charges"))</f>
        <v>#REF!</v>
      </c>
      <c r="AB194" t="e">
        <f>IF(AND(#REF!&gt;180, #REF!&gt;200), "Heavy Doemstic User", IF(#REF!&gt;10, "Interntional User", IF(AND(#REF!&lt;180, #REF!&lt;200,#REF!&lt;200), "Light User", "Balanced User")))</f>
        <v>#REF!</v>
      </c>
      <c r="AC194" t="e">
        <f>IF(#REF! = 0, "No Usage", IF(#REF! &lt;= 20, "Low Usage", IF(#REF! &lt;= 40, "Medium Usgae", "High Usage")))</f>
        <v>#REF!</v>
      </c>
      <c r="AD194" t="e">
        <f>IF(#REF!&lt;=150,"Low Usage", IF(#REF!&lt;=200,"Medium Usage", IF(#REF!&lt;=250,"High Usage","Very High Usage")))</f>
        <v>#REF!</v>
      </c>
      <c r="AE194" t="e">
        <f>IF(#REF!&lt;=5,"Low Calls", IF(#REF!&lt;=10, "Medium Calls", "High Calls"))</f>
        <v>#REF!</v>
      </c>
      <c r="AF194" t="e">
        <f xml:space="preserve">
IF(#REF!&gt;=4,4,0)+
IF(#REF!="yes",3,0)+
IF(#REF!="High Charges",3,0)+
IF(#REF!&gt;250,4,0)+
IF(#REF!="no",1,0)+
IF(#REF!="Heavy Domestic User",2,0)</f>
        <v>#REF!</v>
      </c>
      <c r="AG194" t="e">
        <f>IF(#REF!&gt;=10,"High Risk", IF(#REF!&gt;=5,"Medium Risk","Low Risk"))</f>
        <v>#REF!</v>
      </c>
      <c r="AH194" t="e">
        <f>#REF! + #REF! + #REF! + #REF!</f>
        <v>#REF!</v>
      </c>
    </row>
    <row r="195" spans="1:34" x14ac:dyDescent="0.35">
      <c r="A195">
        <v>194</v>
      </c>
      <c r="B195" t="s">
        <v>37</v>
      </c>
      <c r="C195">
        <v>92</v>
      </c>
      <c r="D195" t="s">
        <v>21</v>
      </c>
      <c r="E195" t="s">
        <v>23</v>
      </c>
      <c r="F195" t="s">
        <v>22</v>
      </c>
      <c r="G195">
        <v>0</v>
      </c>
      <c r="H195">
        <v>173.1</v>
      </c>
      <c r="I195">
        <v>140</v>
      </c>
      <c r="J195">
        <v>29.43</v>
      </c>
      <c r="K195">
        <v>240.3</v>
      </c>
      <c r="L195">
        <v>105</v>
      </c>
      <c r="M195">
        <v>20.43</v>
      </c>
      <c r="N195">
        <v>233.2</v>
      </c>
      <c r="O195">
        <v>117</v>
      </c>
      <c r="P195">
        <v>10.49</v>
      </c>
      <c r="Q195">
        <v>9</v>
      </c>
      <c r="R195">
        <v>5</v>
      </c>
      <c r="S195">
        <v>2.4300000000000002</v>
      </c>
      <c r="T195">
        <v>1</v>
      </c>
      <c r="U195" t="s">
        <v>22</v>
      </c>
      <c r="V195" t="e">
        <f>IF(#REF! = "yes", 1, 0)</f>
        <v>#REF!</v>
      </c>
      <c r="W195" t="e">
        <f>IF(#REF! &lt;= 1, "0-1 Calls", IF(#REF! &lt;= 3, "2-3 Calls", IF(#REF! &lt;=5, "4-5 Calls", "6+ Calls")))</f>
        <v>#REF!</v>
      </c>
      <c r="X195" t="e">
        <f>IF(#REF! &lt;= 50, "0-50", IF(#REF! &lt;=100, "51-100", IF(#REF! &lt;= 150, "101-150", "151+")))</f>
        <v>#REF!</v>
      </c>
      <c r="Y195" t="e">
        <f>IF(#REF! &lt;= 3, "Low Charges", "High Charges")</f>
        <v>#REF!</v>
      </c>
      <c r="Z195" t="e">
        <f>IF(#REF!&lt;=80,"Low Calls",
IF(#REF!&lt;=120,"Medium Calls","High Calls"))</f>
        <v>#REF!</v>
      </c>
      <c r="AA195" t="e">
        <f>IF(#REF!&lt;=15,"Low Charges",
IF(#REF!&lt;=20,"Medium Charges","High Charges"))</f>
        <v>#REF!</v>
      </c>
      <c r="AB195" t="e">
        <f>IF(AND(#REF!&gt;180, #REF!&gt;200), "Heavy Doemstic User", IF(#REF!&gt;10, "Interntional User", IF(AND(#REF!&lt;180, #REF!&lt;200,#REF!&lt;200), "Light User", "Balanced User")))</f>
        <v>#REF!</v>
      </c>
      <c r="AC195" t="e">
        <f>IF(#REF! = 0, "No Usage", IF(#REF! &lt;= 20, "Low Usage", IF(#REF! &lt;= 40, "Medium Usgae", "High Usage")))</f>
        <v>#REF!</v>
      </c>
      <c r="AD195" t="e">
        <f>IF(#REF!&lt;=150,"Low Usage", IF(#REF!&lt;=200,"Medium Usage", IF(#REF!&lt;=250,"High Usage","Very High Usage")))</f>
        <v>#REF!</v>
      </c>
      <c r="AE195" t="e">
        <f>IF(#REF!&lt;=5,"Low Calls", IF(#REF!&lt;=10, "Medium Calls", "High Calls"))</f>
        <v>#REF!</v>
      </c>
      <c r="AF195" t="e">
        <f xml:space="preserve">
IF(#REF!&gt;=4,4,0)+
IF(#REF!="yes",3,0)+
IF(#REF!="High Charges",3,0)+
IF(#REF!&gt;250,4,0)+
IF(#REF!="no",1,0)+
IF(#REF!="Heavy Domestic User",2,0)</f>
        <v>#REF!</v>
      </c>
      <c r="AG195" t="e">
        <f>IF(#REF!&gt;=10,"High Risk", IF(#REF!&gt;=5,"Medium Risk","Low Risk"))</f>
        <v>#REF!</v>
      </c>
      <c r="AH195" t="e">
        <f>#REF! + #REF! + #REF! + #REF!</f>
        <v>#REF!</v>
      </c>
    </row>
    <row r="196" spans="1:34" x14ac:dyDescent="0.35">
      <c r="A196">
        <v>195</v>
      </c>
      <c r="B196" t="s">
        <v>60</v>
      </c>
      <c r="C196">
        <v>139</v>
      </c>
      <c r="D196" t="s">
        <v>28</v>
      </c>
      <c r="E196" t="s">
        <v>22</v>
      </c>
      <c r="F196" t="s">
        <v>22</v>
      </c>
      <c r="G196">
        <v>0</v>
      </c>
      <c r="H196">
        <v>134.4</v>
      </c>
      <c r="I196">
        <v>106</v>
      </c>
      <c r="J196">
        <v>22.85</v>
      </c>
      <c r="K196">
        <v>211.3</v>
      </c>
      <c r="L196">
        <v>98</v>
      </c>
      <c r="M196">
        <v>17.96</v>
      </c>
      <c r="N196">
        <v>193.6</v>
      </c>
      <c r="O196">
        <v>125</v>
      </c>
      <c r="P196">
        <v>8.7100000000000009</v>
      </c>
      <c r="Q196">
        <v>10.199999999999999</v>
      </c>
      <c r="R196">
        <v>2</v>
      </c>
      <c r="S196">
        <v>2.75</v>
      </c>
      <c r="T196">
        <v>5</v>
      </c>
      <c r="U196" t="s">
        <v>23</v>
      </c>
      <c r="V196" t="e">
        <f>IF(#REF! = "yes", 1, 0)</f>
        <v>#REF!</v>
      </c>
      <c r="W196" t="e">
        <f>IF(#REF! &lt;= 1, "0-1 Calls", IF(#REF! &lt;= 3, "2-3 Calls", IF(#REF! &lt;=5, "4-5 Calls", "6+ Calls")))</f>
        <v>#REF!</v>
      </c>
      <c r="X196" t="e">
        <f>IF(#REF! &lt;= 50, "0-50", IF(#REF! &lt;=100, "51-100", IF(#REF! &lt;= 150, "101-150", "151+")))</f>
        <v>#REF!</v>
      </c>
      <c r="Y196" t="e">
        <f>IF(#REF! &lt;= 3, "Low Charges", "High Charges")</f>
        <v>#REF!</v>
      </c>
      <c r="Z196" t="e">
        <f>IF(#REF!&lt;=80,"Low Calls",
IF(#REF!&lt;=120,"Medium Calls","High Calls"))</f>
        <v>#REF!</v>
      </c>
      <c r="AA196" t="e">
        <f>IF(#REF!&lt;=15,"Low Charges",
IF(#REF!&lt;=20,"Medium Charges","High Charges"))</f>
        <v>#REF!</v>
      </c>
      <c r="AB196" t="e">
        <f>IF(AND(#REF!&gt;180, #REF!&gt;200), "Heavy Doemstic User", IF(#REF!&gt;10, "Interntional User", IF(AND(#REF!&lt;180, #REF!&lt;200,#REF!&lt;200), "Light User", "Balanced User")))</f>
        <v>#REF!</v>
      </c>
      <c r="AC196" t="e">
        <f>IF(#REF! = 0, "No Usage", IF(#REF! &lt;= 20, "Low Usage", IF(#REF! &lt;= 40, "Medium Usgae", "High Usage")))</f>
        <v>#REF!</v>
      </c>
      <c r="AD196" t="e">
        <f>IF(#REF!&lt;=150,"Low Usage", IF(#REF!&lt;=200,"Medium Usage", IF(#REF!&lt;=250,"High Usage","Very High Usage")))</f>
        <v>#REF!</v>
      </c>
      <c r="AE196" t="e">
        <f>IF(#REF!&lt;=5,"Low Calls", IF(#REF!&lt;=10, "Medium Calls", "High Calls"))</f>
        <v>#REF!</v>
      </c>
      <c r="AF196" t="e">
        <f xml:space="preserve">
IF(#REF!&gt;=4,4,0)+
IF(#REF!="yes",3,0)+
IF(#REF!="High Charges",3,0)+
IF(#REF!&gt;250,4,0)+
IF(#REF!="no",1,0)+
IF(#REF!="Heavy Domestic User",2,0)</f>
        <v>#REF!</v>
      </c>
      <c r="AG196" t="e">
        <f>IF(#REF!&gt;=10,"High Risk", IF(#REF!&gt;=5,"Medium Risk","Low Risk"))</f>
        <v>#REF!</v>
      </c>
      <c r="AH196" t="e">
        <f>#REF! + #REF! + #REF! + #REF!</f>
        <v>#REF!</v>
      </c>
    </row>
    <row r="197" spans="1:34" x14ac:dyDescent="0.35">
      <c r="A197">
        <v>196</v>
      </c>
      <c r="B197" t="s">
        <v>57</v>
      </c>
      <c r="C197">
        <v>110</v>
      </c>
      <c r="D197" t="s">
        <v>25</v>
      </c>
      <c r="E197" t="s">
        <v>22</v>
      </c>
      <c r="F197" t="s">
        <v>23</v>
      </c>
      <c r="G197">
        <v>40</v>
      </c>
      <c r="H197">
        <v>202.6</v>
      </c>
      <c r="I197">
        <v>103</v>
      </c>
      <c r="J197">
        <v>34.44</v>
      </c>
      <c r="K197">
        <v>118.8</v>
      </c>
      <c r="L197">
        <v>128</v>
      </c>
      <c r="M197">
        <v>10.1</v>
      </c>
      <c r="N197">
        <v>234.9</v>
      </c>
      <c r="O197">
        <v>98</v>
      </c>
      <c r="P197">
        <v>10.57</v>
      </c>
      <c r="Q197">
        <v>9</v>
      </c>
      <c r="R197">
        <v>9</v>
      </c>
      <c r="S197">
        <v>2.4300000000000002</v>
      </c>
      <c r="T197">
        <v>2</v>
      </c>
      <c r="U197" t="s">
        <v>22</v>
      </c>
      <c r="V197" t="e">
        <f>IF(#REF! = "yes", 1, 0)</f>
        <v>#REF!</v>
      </c>
      <c r="W197" t="e">
        <f>IF(#REF! &lt;= 1, "0-1 Calls", IF(#REF! &lt;= 3, "2-3 Calls", IF(#REF! &lt;=5, "4-5 Calls", "6+ Calls")))</f>
        <v>#REF!</v>
      </c>
      <c r="X197" t="e">
        <f>IF(#REF! &lt;= 50, "0-50", IF(#REF! &lt;=100, "51-100", IF(#REF! &lt;= 150, "101-150", "151+")))</f>
        <v>#REF!</v>
      </c>
      <c r="Y197" t="e">
        <f>IF(#REF! &lt;= 3, "Low Charges", "High Charges")</f>
        <v>#REF!</v>
      </c>
      <c r="Z197" t="e">
        <f>IF(#REF!&lt;=80,"Low Calls",
IF(#REF!&lt;=120,"Medium Calls","High Calls"))</f>
        <v>#REF!</v>
      </c>
      <c r="AA197" t="e">
        <f>IF(#REF!&lt;=15,"Low Charges",
IF(#REF!&lt;=20,"Medium Charges","High Charges"))</f>
        <v>#REF!</v>
      </c>
      <c r="AB197" t="e">
        <f>IF(AND(#REF!&gt;180, #REF!&gt;200), "Heavy Doemstic User", IF(#REF!&gt;10, "Interntional User", IF(AND(#REF!&lt;180, #REF!&lt;200,#REF!&lt;200), "Light User", "Balanced User")))</f>
        <v>#REF!</v>
      </c>
      <c r="AC197" t="e">
        <f>IF(#REF! = 0, "No Usage", IF(#REF! &lt;= 20, "Low Usage", IF(#REF! &lt;= 40, "Medium Usgae", "High Usage")))</f>
        <v>#REF!</v>
      </c>
      <c r="AD197" t="e">
        <f>IF(#REF!&lt;=150,"Low Usage", IF(#REF!&lt;=200,"Medium Usage", IF(#REF!&lt;=250,"High Usage","Very High Usage")))</f>
        <v>#REF!</v>
      </c>
      <c r="AE197" t="e">
        <f>IF(#REF!&lt;=5,"Low Calls", IF(#REF!&lt;=10, "Medium Calls", "High Calls"))</f>
        <v>#REF!</v>
      </c>
      <c r="AF197" t="e">
        <f xml:space="preserve">
IF(#REF!&gt;=4,4,0)+
IF(#REF!="yes",3,0)+
IF(#REF!="High Charges",3,0)+
IF(#REF!&gt;250,4,0)+
IF(#REF!="no",1,0)+
IF(#REF!="Heavy Domestic User",2,0)</f>
        <v>#REF!</v>
      </c>
      <c r="AG197" t="e">
        <f>IF(#REF!&gt;=10,"High Risk", IF(#REF!&gt;=5,"Medium Risk","Low Risk"))</f>
        <v>#REF!</v>
      </c>
      <c r="AH197" t="e">
        <f>#REF! + #REF! + #REF! + #REF!</f>
        <v>#REF!</v>
      </c>
    </row>
    <row r="198" spans="1:34" x14ac:dyDescent="0.35">
      <c r="A198">
        <v>197</v>
      </c>
      <c r="B198" t="s">
        <v>72</v>
      </c>
      <c r="C198">
        <v>110</v>
      </c>
      <c r="D198" t="s">
        <v>25</v>
      </c>
      <c r="E198" t="s">
        <v>22</v>
      </c>
      <c r="F198" t="s">
        <v>22</v>
      </c>
      <c r="G198">
        <v>0</v>
      </c>
      <c r="H198">
        <v>74.5</v>
      </c>
      <c r="I198">
        <v>117</v>
      </c>
      <c r="J198">
        <v>12.67</v>
      </c>
      <c r="K198">
        <v>200.8</v>
      </c>
      <c r="L198">
        <v>98</v>
      </c>
      <c r="M198">
        <v>17.07</v>
      </c>
      <c r="N198">
        <v>192.2</v>
      </c>
      <c r="O198">
        <v>101</v>
      </c>
      <c r="P198">
        <v>8.65</v>
      </c>
      <c r="Q198">
        <v>9.8000000000000007</v>
      </c>
      <c r="R198">
        <v>7</v>
      </c>
      <c r="S198">
        <v>2.65</v>
      </c>
      <c r="T198">
        <v>3</v>
      </c>
      <c r="U198" t="s">
        <v>22</v>
      </c>
      <c r="V198" t="e">
        <f>IF(#REF! = "yes", 1, 0)</f>
        <v>#REF!</v>
      </c>
      <c r="W198" t="e">
        <f>IF(#REF! &lt;= 1, "0-1 Calls", IF(#REF! &lt;= 3, "2-3 Calls", IF(#REF! &lt;=5, "4-5 Calls", "6+ Calls")))</f>
        <v>#REF!</v>
      </c>
      <c r="X198" t="e">
        <f>IF(#REF! &lt;= 50, "0-50", IF(#REF! &lt;=100, "51-100", IF(#REF! &lt;= 150, "101-150", "151+")))</f>
        <v>#REF!</v>
      </c>
      <c r="Y198" t="e">
        <f>IF(#REF! &lt;= 3, "Low Charges", "High Charges")</f>
        <v>#REF!</v>
      </c>
      <c r="Z198" t="e">
        <f>IF(#REF!&lt;=80,"Low Calls",
IF(#REF!&lt;=120,"Medium Calls","High Calls"))</f>
        <v>#REF!</v>
      </c>
      <c r="AA198" t="e">
        <f>IF(#REF!&lt;=15,"Low Charges",
IF(#REF!&lt;=20,"Medium Charges","High Charges"))</f>
        <v>#REF!</v>
      </c>
      <c r="AB198" t="e">
        <f>IF(AND(#REF!&gt;180, #REF!&gt;200), "Heavy Doemstic User", IF(#REF!&gt;10, "Interntional User", IF(AND(#REF!&lt;180, #REF!&lt;200,#REF!&lt;200), "Light User", "Balanced User")))</f>
        <v>#REF!</v>
      </c>
      <c r="AC198" t="e">
        <f>IF(#REF! = 0, "No Usage", IF(#REF! &lt;= 20, "Low Usage", IF(#REF! &lt;= 40, "Medium Usgae", "High Usage")))</f>
        <v>#REF!</v>
      </c>
      <c r="AD198" t="e">
        <f>IF(#REF!&lt;=150,"Low Usage", IF(#REF!&lt;=200,"Medium Usage", IF(#REF!&lt;=250,"High Usage","Very High Usage")))</f>
        <v>#REF!</v>
      </c>
      <c r="AE198" t="e">
        <f>IF(#REF!&lt;=5,"Low Calls", IF(#REF!&lt;=10, "Medium Calls", "High Calls"))</f>
        <v>#REF!</v>
      </c>
      <c r="AF198" t="e">
        <f xml:space="preserve">
IF(#REF!&gt;=4,4,0)+
IF(#REF!="yes",3,0)+
IF(#REF!="High Charges",3,0)+
IF(#REF!&gt;250,4,0)+
IF(#REF!="no",1,0)+
IF(#REF!="Heavy Domestic User",2,0)</f>
        <v>#REF!</v>
      </c>
      <c r="AG198" t="e">
        <f>IF(#REF!&gt;=10,"High Risk", IF(#REF!&gt;=5,"Medium Risk","Low Risk"))</f>
        <v>#REF!</v>
      </c>
      <c r="AH198" t="e">
        <f>#REF! + #REF! + #REF! + #REF!</f>
        <v>#REF!</v>
      </c>
    </row>
    <row r="199" spans="1:34" x14ac:dyDescent="0.35">
      <c r="A199">
        <v>198</v>
      </c>
      <c r="B199" t="s">
        <v>44</v>
      </c>
      <c r="C199">
        <v>215</v>
      </c>
      <c r="D199" t="s">
        <v>28</v>
      </c>
      <c r="E199" t="s">
        <v>22</v>
      </c>
      <c r="F199" t="s">
        <v>22</v>
      </c>
      <c r="G199">
        <v>0</v>
      </c>
      <c r="H199">
        <v>83.6</v>
      </c>
      <c r="I199">
        <v>148</v>
      </c>
      <c r="J199">
        <v>14.21</v>
      </c>
      <c r="K199">
        <v>120.9</v>
      </c>
      <c r="L199">
        <v>91</v>
      </c>
      <c r="M199">
        <v>10.28</v>
      </c>
      <c r="N199">
        <v>226.6</v>
      </c>
      <c r="O199">
        <v>110</v>
      </c>
      <c r="P199">
        <v>10.199999999999999</v>
      </c>
      <c r="Q199">
        <v>10.7</v>
      </c>
      <c r="R199">
        <v>9</v>
      </c>
      <c r="S199">
        <v>2.89</v>
      </c>
      <c r="T199">
        <v>0</v>
      </c>
      <c r="U199" t="s">
        <v>22</v>
      </c>
      <c r="V199" t="e">
        <f>IF(#REF! = "yes", 1, 0)</f>
        <v>#REF!</v>
      </c>
      <c r="W199" t="e">
        <f>IF(#REF! &lt;= 1, "0-1 Calls", IF(#REF! &lt;= 3, "2-3 Calls", IF(#REF! &lt;=5, "4-5 Calls", "6+ Calls")))</f>
        <v>#REF!</v>
      </c>
      <c r="X199" t="e">
        <f>IF(#REF! &lt;= 50, "0-50", IF(#REF! &lt;=100, "51-100", IF(#REF! &lt;= 150, "101-150", "151+")))</f>
        <v>#REF!</v>
      </c>
      <c r="Y199" t="e">
        <f>IF(#REF! &lt;= 3, "Low Charges", "High Charges")</f>
        <v>#REF!</v>
      </c>
      <c r="Z199" t="e">
        <f>IF(#REF!&lt;=80,"Low Calls",
IF(#REF!&lt;=120,"Medium Calls","High Calls"))</f>
        <v>#REF!</v>
      </c>
      <c r="AA199" t="e">
        <f>IF(#REF!&lt;=15,"Low Charges",
IF(#REF!&lt;=20,"Medium Charges","High Charges"))</f>
        <v>#REF!</v>
      </c>
      <c r="AB199" t="e">
        <f>IF(AND(#REF!&gt;180, #REF!&gt;200), "Heavy Doemstic User", IF(#REF!&gt;10, "Interntional User", IF(AND(#REF!&lt;180, #REF!&lt;200,#REF!&lt;200), "Light User", "Balanced User")))</f>
        <v>#REF!</v>
      </c>
      <c r="AC199" t="e">
        <f>IF(#REF! = 0, "No Usage", IF(#REF! &lt;= 20, "Low Usage", IF(#REF! &lt;= 40, "Medium Usgae", "High Usage")))</f>
        <v>#REF!</v>
      </c>
      <c r="AD199" t="e">
        <f>IF(#REF!&lt;=150,"Low Usage", IF(#REF!&lt;=200,"Medium Usage", IF(#REF!&lt;=250,"High Usage","Very High Usage")))</f>
        <v>#REF!</v>
      </c>
      <c r="AE199" t="e">
        <f>IF(#REF!&lt;=5,"Low Calls", IF(#REF!&lt;=10, "Medium Calls", "High Calls"))</f>
        <v>#REF!</v>
      </c>
      <c r="AF199" t="e">
        <f xml:space="preserve">
IF(#REF!&gt;=4,4,0)+
IF(#REF!="yes",3,0)+
IF(#REF!="High Charges",3,0)+
IF(#REF!&gt;250,4,0)+
IF(#REF!="no",1,0)+
IF(#REF!="Heavy Domestic User",2,0)</f>
        <v>#REF!</v>
      </c>
      <c r="AG199" t="e">
        <f>IF(#REF!&gt;=10,"High Risk", IF(#REF!&gt;=5,"Medium Risk","Low Risk"))</f>
        <v>#REF!</v>
      </c>
      <c r="AH199" t="e">
        <f>#REF! + #REF! + #REF! + #REF!</f>
        <v>#REF!</v>
      </c>
    </row>
    <row r="200" spans="1:34" x14ac:dyDescent="0.35">
      <c r="A200">
        <v>199</v>
      </c>
      <c r="B200" t="s">
        <v>24</v>
      </c>
      <c r="C200">
        <v>138</v>
      </c>
      <c r="D200" t="s">
        <v>28</v>
      </c>
      <c r="E200" t="s">
        <v>22</v>
      </c>
      <c r="F200" t="s">
        <v>22</v>
      </c>
      <c r="G200">
        <v>0</v>
      </c>
      <c r="H200">
        <v>220.2</v>
      </c>
      <c r="I200">
        <v>89</v>
      </c>
      <c r="J200">
        <v>37.43</v>
      </c>
      <c r="K200">
        <v>88.3</v>
      </c>
      <c r="L200">
        <v>125</v>
      </c>
      <c r="M200">
        <v>7.51</v>
      </c>
      <c r="N200">
        <v>195.3</v>
      </c>
      <c r="O200">
        <v>79</v>
      </c>
      <c r="P200">
        <v>8.7899999999999991</v>
      </c>
      <c r="Q200">
        <v>12.9</v>
      </c>
      <c r="R200">
        <v>5</v>
      </c>
      <c r="S200">
        <v>3.48</v>
      </c>
      <c r="T200">
        <v>0</v>
      </c>
      <c r="U200" t="s">
        <v>22</v>
      </c>
      <c r="V200" t="e">
        <f>IF(#REF! = "yes", 1, 0)</f>
        <v>#REF!</v>
      </c>
      <c r="W200" t="e">
        <f>IF(#REF! &lt;= 1, "0-1 Calls", IF(#REF! &lt;= 3, "2-3 Calls", IF(#REF! &lt;=5, "4-5 Calls", "6+ Calls")))</f>
        <v>#REF!</v>
      </c>
      <c r="X200" t="e">
        <f>IF(#REF! &lt;= 50, "0-50", IF(#REF! &lt;=100, "51-100", IF(#REF! &lt;= 150, "101-150", "151+")))</f>
        <v>#REF!</v>
      </c>
      <c r="Y200" t="e">
        <f>IF(#REF! &lt;= 3, "Low Charges", "High Charges")</f>
        <v>#REF!</v>
      </c>
      <c r="Z200" t="e">
        <f>IF(#REF!&lt;=80,"Low Calls",
IF(#REF!&lt;=120,"Medium Calls","High Calls"))</f>
        <v>#REF!</v>
      </c>
      <c r="AA200" t="e">
        <f>IF(#REF!&lt;=15,"Low Charges",
IF(#REF!&lt;=20,"Medium Charges","High Charges"))</f>
        <v>#REF!</v>
      </c>
      <c r="AB200" t="e">
        <f>IF(AND(#REF!&gt;180, #REF!&gt;200), "Heavy Doemstic User", IF(#REF!&gt;10, "Interntional User", IF(AND(#REF!&lt;180, #REF!&lt;200,#REF!&lt;200), "Light User", "Balanced User")))</f>
        <v>#REF!</v>
      </c>
      <c r="AC200" t="e">
        <f>IF(#REF! = 0, "No Usage", IF(#REF! &lt;= 20, "Low Usage", IF(#REF! &lt;= 40, "Medium Usgae", "High Usage")))</f>
        <v>#REF!</v>
      </c>
      <c r="AD200" t="e">
        <f>IF(#REF!&lt;=150,"Low Usage", IF(#REF!&lt;=200,"Medium Usage", IF(#REF!&lt;=250,"High Usage","Very High Usage")))</f>
        <v>#REF!</v>
      </c>
      <c r="AE200" t="e">
        <f>IF(#REF!&lt;=5,"Low Calls", IF(#REF!&lt;=10, "Medium Calls", "High Calls"))</f>
        <v>#REF!</v>
      </c>
      <c r="AF200" t="e">
        <f xml:space="preserve">
IF(#REF!&gt;=4,4,0)+
IF(#REF!="yes",3,0)+
IF(#REF!="High Charges",3,0)+
IF(#REF!&gt;250,4,0)+
IF(#REF!="no",1,0)+
IF(#REF!="Heavy Domestic User",2,0)</f>
        <v>#REF!</v>
      </c>
      <c r="AG200" t="e">
        <f>IF(#REF!&gt;=10,"High Risk", IF(#REF!&gt;=5,"Medium Risk","Low Risk"))</f>
        <v>#REF!</v>
      </c>
      <c r="AH200" t="e">
        <f>#REF! + #REF! + #REF! + #REF!</f>
        <v>#REF!</v>
      </c>
    </row>
    <row r="201" spans="1:34" x14ac:dyDescent="0.35">
      <c r="A201">
        <v>200</v>
      </c>
      <c r="B201" t="s">
        <v>62</v>
      </c>
      <c r="C201">
        <v>137</v>
      </c>
      <c r="D201" t="s">
        <v>21</v>
      </c>
      <c r="E201" t="s">
        <v>23</v>
      </c>
      <c r="F201" t="s">
        <v>22</v>
      </c>
      <c r="G201">
        <v>0</v>
      </c>
      <c r="H201">
        <v>135.1</v>
      </c>
      <c r="I201">
        <v>95</v>
      </c>
      <c r="J201">
        <v>22.97</v>
      </c>
      <c r="K201">
        <v>134.1</v>
      </c>
      <c r="L201">
        <v>102</v>
      </c>
      <c r="M201">
        <v>11.4</v>
      </c>
      <c r="N201">
        <v>223.1</v>
      </c>
      <c r="O201">
        <v>81</v>
      </c>
      <c r="P201">
        <v>10.039999999999999</v>
      </c>
      <c r="Q201">
        <v>12.3</v>
      </c>
      <c r="R201">
        <v>2</v>
      </c>
      <c r="S201">
        <v>3.32</v>
      </c>
      <c r="T201">
        <v>2</v>
      </c>
      <c r="U201" t="s">
        <v>23</v>
      </c>
      <c r="V201" t="e">
        <f>IF(#REF! = "yes", 1, 0)</f>
        <v>#REF!</v>
      </c>
      <c r="W201" t="e">
        <f>IF(#REF! &lt;= 1, "0-1 Calls", IF(#REF! &lt;= 3, "2-3 Calls", IF(#REF! &lt;=5, "4-5 Calls", "6+ Calls")))</f>
        <v>#REF!</v>
      </c>
      <c r="X201" t="e">
        <f>IF(#REF! &lt;= 50, "0-50", IF(#REF! &lt;=100, "51-100", IF(#REF! &lt;= 150, "101-150", "151+")))</f>
        <v>#REF!</v>
      </c>
      <c r="Y201" t="e">
        <f>IF(#REF! &lt;= 3, "Low Charges", "High Charges")</f>
        <v>#REF!</v>
      </c>
      <c r="Z201" t="e">
        <f>IF(#REF!&lt;=80,"Low Calls",
IF(#REF!&lt;=120,"Medium Calls","High Calls"))</f>
        <v>#REF!</v>
      </c>
      <c r="AA201" t="e">
        <f>IF(#REF!&lt;=15,"Low Charges",
IF(#REF!&lt;=20,"Medium Charges","High Charges"))</f>
        <v>#REF!</v>
      </c>
      <c r="AB201" t="e">
        <f>IF(AND(#REF!&gt;180, #REF!&gt;200), "Heavy Doemstic User", IF(#REF!&gt;10, "Interntional User", IF(AND(#REF!&lt;180, #REF!&lt;200,#REF!&lt;200), "Light User", "Balanced User")))</f>
        <v>#REF!</v>
      </c>
      <c r="AC201" t="e">
        <f>IF(#REF! = 0, "No Usage", IF(#REF! &lt;= 20, "Low Usage", IF(#REF! &lt;= 40, "Medium Usgae", "High Usage")))</f>
        <v>#REF!</v>
      </c>
      <c r="AD201" t="e">
        <f>IF(#REF!&lt;=150,"Low Usage", IF(#REF!&lt;=200,"Medium Usage", IF(#REF!&lt;=250,"High Usage","Very High Usage")))</f>
        <v>#REF!</v>
      </c>
      <c r="AE201" t="e">
        <f>IF(#REF!&lt;=5,"Low Calls", IF(#REF!&lt;=10, "Medium Calls", "High Calls"))</f>
        <v>#REF!</v>
      </c>
      <c r="AF201" t="e">
        <f xml:space="preserve">
IF(#REF!&gt;=4,4,0)+
IF(#REF!="yes",3,0)+
IF(#REF!="High Charges",3,0)+
IF(#REF!&gt;250,4,0)+
IF(#REF!="no",1,0)+
IF(#REF!="Heavy Domestic User",2,0)</f>
        <v>#REF!</v>
      </c>
      <c r="AG201" t="e">
        <f>IF(#REF!&gt;=10,"High Risk", IF(#REF!&gt;=5,"Medium Risk","Low Risk"))</f>
        <v>#REF!</v>
      </c>
      <c r="AH201" t="e">
        <f>#REF! + #REF! + #REF! + #REF!</f>
        <v>#REF!</v>
      </c>
    </row>
    <row r="202" spans="1:34" x14ac:dyDescent="0.35">
      <c r="A202">
        <v>201</v>
      </c>
      <c r="B202" t="s">
        <v>31</v>
      </c>
      <c r="C202">
        <v>85</v>
      </c>
      <c r="D202" t="s">
        <v>25</v>
      </c>
      <c r="E202" t="s">
        <v>22</v>
      </c>
      <c r="F202" t="s">
        <v>22</v>
      </c>
      <c r="G202">
        <v>0</v>
      </c>
      <c r="H202">
        <v>225</v>
      </c>
      <c r="I202">
        <v>81</v>
      </c>
      <c r="J202">
        <v>38.25</v>
      </c>
      <c r="K202">
        <v>176.9</v>
      </c>
      <c r="L202">
        <v>63</v>
      </c>
      <c r="M202">
        <v>15.04</v>
      </c>
      <c r="N202">
        <v>194.3</v>
      </c>
      <c r="O202">
        <v>110</v>
      </c>
      <c r="P202">
        <v>8.74</v>
      </c>
      <c r="Q202">
        <v>7.1</v>
      </c>
      <c r="R202">
        <v>2</v>
      </c>
      <c r="S202">
        <v>1.92</v>
      </c>
      <c r="T202">
        <v>3</v>
      </c>
      <c r="U202" t="s">
        <v>22</v>
      </c>
      <c r="V202" t="e">
        <f>IF(#REF! = "yes", 1, 0)</f>
        <v>#REF!</v>
      </c>
      <c r="W202" t="e">
        <f>IF(#REF! &lt;= 1, "0-1 Calls", IF(#REF! &lt;= 3, "2-3 Calls", IF(#REF! &lt;=5, "4-5 Calls", "6+ Calls")))</f>
        <v>#REF!</v>
      </c>
      <c r="X202" t="e">
        <f>IF(#REF! &lt;= 50, "0-50", IF(#REF! &lt;=100, "51-100", IF(#REF! &lt;= 150, "101-150", "151+")))</f>
        <v>#REF!</v>
      </c>
      <c r="Y202" t="e">
        <f>IF(#REF! &lt;= 3, "Low Charges", "High Charges")</f>
        <v>#REF!</v>
      </c>
      <c r="Z202" t="e">
        <f>IF(#REF!&lt;=80,"Low Calls",
IF(#REF!&lt;=120,"Medium Calls","High Calls"))</f>
        <v>#REF!</v>
      </c>
      <c r="AA202" t="e">
        <f>IF(#REF!&lt;=15,"Low Charges",
IF(#REF!&lt;=20,"Medium Charges","High Charges"))</f>
        <v>#REF!</v>
      </c>
      <c r="AB202" t="e">
        <f>IF(AND(#REF!&gt;180, #REF!&gt;200), "Heavy Doemstic User", IF(#REF!&gt;10, "Interntional User", IF(AND(#REF!&lt;180, #REF!&lt;200,#REF!&lt;200), "Light User", "Balanced User")))</f>
        <v>#REF!</v>
      </c>
      <c r="AC202" t="e">
        <f>IF(#REF! = 0, "No Usage", IF(#REF! &lt;= 20, "Low Usage", IF(#REF! &lt;= 40, "Medium Usgae", "High Usage")))</f>
        <v>#REF!</v>
      </c>
      <c r="AD202" t="e">
        <f>IF(#REF!&lt;=150,"Low Usage", IF(#REF!&lt;=200,"Medium Usage", IF(#REF!&lt;=250,"High Usage","Very High Usage")))</f>
        <v>#REF!</v>
      </c>
      <c r="AE202" t="e">
        <f>IF(#REF!&lt;=5,"Low Calls", IF(#REF!&lt;=10, "Medium Calls", "High Calls"))</f>
        <v>#REF!</v>
      </c>
      <c r="AF202" t="e">
        <f xml:space="preserve">
IF(#REF!&gt;=4,4,0)+
IF(#REF!="yes",3,0)+
IF(#REF!="High Charges",3,0)+
IF(#REF!&gt;250,4,0)+
IF(#REF!="no",1,0)+
IF(#REF!="Heavy Domestic User",2,0)</f>
        <v>#REF!</v>
      </c>
      <c r="AG202" t="e">
        <f>IF(#REF!&gt;=10,"High Risk", IF(#REF!&gt;=5,"Medium Risk","Low Risk"))</f>
        <v>#REF!</v>
      </c>
      <c r="AH202" t="e">
        <f>#REF! + #REF! + #REF! + #REF!</f>
        <v>#REF!</v>
      </c>
    </row>
    <row r="203" spans="1:34" x14ac:dyDescent="0.35">
      <c r="A203">
        <v>202</v>
      </c>
      <c r="B203" t="s">
        <v>43</v>
      </c>
      <c r="C203">
        <v>22</v>
      </c>
      <c r="D203" t="s">
        <v>25</v>
      </c>
      <c r="E203" t="s">
        <v>22</v>
      </c>
      <c r="F203" t="s">
        <v>22</v>
      </c>
      <c r="G203">
        <v>0</v>
      </c>
      <c r="H203">
        <v>110.3</v>
      </c>
      <c r="I203">
        <v>107</v>
      </c>
      <c r="J203">
        <v>18.75</v>
      </c>
      <c r="K203">
        <v>166.5</v>
      </c>
      <c r="L203">
        <v>93</v>
      </c>
      <c r="M203">
        <v>14.15</v>
      </c>
      <c r="N203">
        <v>202.3</v>
      </c>
      <c r="O203">
        <v>96</v>
      </c>
      <c r="P203">
        <v>9.1</v>
      </c>
      <c r="Q203">
        <v>9.5</v>
      </c>
      <c r="R203">
        <v>5</v>
      </c>
      <c r="S203">
        <v>2.57</v>
      </c>
      <c r="T203">
        <v>0</v>
      </c>
      <c r="U203" t="s">
        <v>22</v>
      </c>
      <c r="V203" t="e">
        <f>IF(#REF! = "yes", 1, 0)</f>
        <v>#REF!</v>
      </c>
      <c r="W203" t="e">
        <f>IF(#REF! &lt;= 1, "0-1 Calls", IF(#REF! &lt;= 3, "2-3 Calls", IF(#REF! &lt;=5, "4-5 Calls", "6+ Calls")))</f>
        <v>#REF!</v>
      </c>
      <c r="X203" t="e">
        <f>IF(#REF! &lt;= 50, "0-50", IF(#REF! &lt;=100, "51-100", IF(#REF! &lt;= 150, "101-150", "151+")))</f>
        <v>#REF!</v>
      </c>
      <c r="Y203" t="e">
        <f>IF(#REF! &lt;= 3, "Low Charges", "High Charges")</f>
        <v>#REF!</v>
      </c>
      <c r="Z203" t="e">
        <f>IF(#REF!&lt;=80,"Low Calls",
IF(#REF!&lt;=120,"Medium Calls","High Calls"))</f>
        <v>#REF!</v>
      </c>
      <c r="AA203" t="e">
        <f>IF(#REF!&lt;=15,"Low Charges",
IF(#REF!&lt;=20,"Medium Charges","High Charges"))</f>
        <v>#REF!</v>
      </c>
      <c r="AB203" t="e">
        <f>IF(AND(#REF!&gt;180, #REF!&gt;200), "Heavy Doemstic User", IF(#REF!&gt;10, "Interntional User", IF(AND(#REF!&lt;180, #REF!&lt;200,#REF!&lt;200), "Light User", "Balanced User")))</f>
        <v>#REF!</v>
      </c>
      <c r="AC203" t="e">
        <f>IF(#REF! = 0, "No Usage", IF(#REF! &lt;= 20, "Low Usage", IF(#REF! &lt;= 40, "Medium Usgae", "High Usage")))</f>
        <v>#REF!</v>
      </c>
      <c r="AD203" t="e">
        <f>IF(#REF!&lt;=150,"Low Usage", IF(#REF!&lt;=200,"Medium Usage", IF(#REF!&lt;=250,"High Usage","Very High Usage")))</f>
        <v>#REF!</v>
      </c>
      <c r="AE203" t="e">
        <f>IF(#REF!&lt;=5,"Low Calls", IF(#REF!&lt;=10, "Medium Calls", "High Calls"))</f>
        <v>#REF!</v>
      </c>
      <c r="AF203" t="e">
        <f xml:space="preserve">
IF(#REF!&gt;=4,4,0)+
IF(#REF!="yes",3,0)+
IF(#REF!="High Charges",3,0)+
IF(#REF!&gt;250,4,0)+
IF(#REF!="no",1,0)+
IF(#REF!="Heavy Domestic User",2,0)</f>
        <v>#REF!</v>
      </c>
      <c r="AG203" t="e">
        <f>IF(#REF!&gt;=10,"High Risk", IF(#REF!&gt;=5,"Medium Risk","Low Risk"))</f>
        <v>#REF!</v>
      </c>
      <c r="AH203" t="e">
        <f>#REF! + #REF! + #REF! + #REF!</f>
        <v>#REF!</v>
      </c>
    </row>
    <row r="204" spans="1:34" x14ac:dyDescent="0.35">
      <c r="A204">
        <v>203</v>
      </c>
      <c r="B204" t="s">
        <v>33</v>
      </c>
      <c r="C204">
        <v>107</v>
      </c>
      <c r="D204" t="s">
        <v>21</v>
      </c>
      <c r="E204" t="s">
        <v>22</v>
      </c>
      <c r="F204" t="s">
        <v>23</v>
      </c>
      <c r="G204">
        <v>37</v>
      </c>
      <c r="H204">
        <v>60</v>
      </c>
      <c r="I204">
        <v>102</v>
      </c>
      <c r="J204">
        <v>10.199999999999999</v>
      </c>
      <c r="K204">
        <v>102.2</v>
      </c>
      <c r="L204">
        <v>80</v>
      </c>
      <c r="M204">
        <v>8.69</v>
      </c>
      <c r="N204">
        <v>261.8</v>
      </c>
      <c r="O204">
        <v>106</v>
      </c>
      <c r="P204">
        <v>11.78</v>
      </c>
      <c r="Q204">
        <v>11.1</v>
      </c>
      <c r="R204">
        <v>3</v>
      </c>
      <c r="S204">
        <v>3</v>
      </c>
      <c r="T204">
        <v>0</v>
      </c>
      <c r="U204" t="s">
        <v>22</v>
      </c>
      <c r="V204" t="e">
        <f>IF(#REF! = "yes", 1, 0)</f>
        <v>#REF!</v>
      </c>
      <c r="W204" t="e">
        <f>IF(#REF! &lt;= 1, "0-1 Calls", IF(#REF! &lt;= 3, "2-3 Calls", IF(#REF! &lt;=5, "4-5 Calls", "6+ Calls")))</f>
        <v>#REF!</v>
      </c>
      <c r="X204" t="e">
        <f>IF(#REF! &lt;= 50, "0-50", IF(#REF! &lt;=100, "51-100", IF(#REF! &lt;= 150, "101-150", "151+")))</f>
        <v>#REF!</v>
      </c>
      <c r="Y204" t="e">
        <f>IF(#REF! &lt;= 3, "Low Charges", "High Charges")</f>
        <v>#REF!</v>
      </c>
      <c r="Z204" t="e">
        <f>IF(#REF!&lt;=80,"Low Calls",
IF(#REF!&lt;=120,"Medium Calls","High Calls"))</f>
        <v>#REF!</v>
      </c>
      <c r="AA204" t="e">
        <f>IF(#REF!&lt;=15,"Low Charges",
IF(#REF!&lt;=20,"Medium Charges","High Charges"))</f>
        <v>#REF!</v>
      </c>
      <c r="AB204" t="e">
        <f>IF(AND(#REF!&gt;180, #REF!&gt;200), "Heavy Doemstic User", IF(#REF!&gt;10, "Interntional User", IF(AND(#REF!&lt;180, #REF!&lt;200,#REF!&lt;200), "Light User", "Balanced User")))</f>
        <v>#REF!</v>
      </c>
      <c r="AC204" t="e">
        <f>IF(#REF! = 0, "No Usage", IF(#REF! &lt;= 20, "Low Usage", IF(#REF! &lt;= 40, "Medium Usgae", "High Usage")))</f>
        <v>#REF!</v>
      </c>
      <c r="AD204" t="e">
        <f>IF(#REF!&lt;=150,"Low Usage", IF(#REF!&lt;=200,"Medium Usage", IF(#REF!&lt;=250,"High Usage","Very High Usage")))</f>
        <v>#REF!</v>
      </c>
      <c r="AE204" t="e">
        <f>IF(#REF!&lt;=5,"Low Calls", IF(#REF!&lt;=10, "Medium Calls", "High Calls"))</f>
        <v>#REF!</v>
      </c>
      <c r="AF204" t="e">
        <f xml:space="preserve">
IF(#REF!&gt;=4,4,0)+
IF(#REF!="yes",3,0)+
IF(#REF!="High Charges",3,0)+
IF(#REF!&gt;250,4,0)+
IF(#REF!="no",1,0)+
IF(#REF!="Heavy Domestic User",2,0)</f>
        <v>#REF!</v>
      </c>
      <c r="AG204" t="e">
        <f>IF(#REF!&gt;=10,"High Risk", IF(#REF!&gt;=5,"Medium Risk","Low Risk"))</f>
        <v>#REF!</v>
      </c>
      <c r="AH204" t="e">
        <f>#REF! + #REF! + #REF! + #REF!</f>
        <v>#REF!</v>
      </c>
    </row>
    <row r="205" spans="1:34" x14ac:dyDescent="0.35">
      <c r="A205">
        <v>204</v>
      </c>
      <c r="B205" t="s">
        <v>32</v>
      </c>
      <c r="C205">
        <v>51</v>
      </c>
      <c r="D205" t="s">
        <v>28</v>
      </c>
      <c r="E205" t="s">
        <v>22</v>
      </c>
      <c r="F205" t="s">
        <v>22</v>
      </c>
      <c r="G205">
        <v>0</v>
      </c>
      <c r="H205">
        <v>214.8</v>
      </c>
      <c r="I205">
        <v>94</v>
      </c>
      <c r="J205">
        <v>36.520000000000003</v>
      </c>
      <c r="K205">
        <v>149.69999999999999</v>
      </c>
      <c r="L205">
        <v>58</v>
      </c>
      <c r="M205">
        <v>12.72</v>
      </c>
      <c r="N205">
        <v>283.39999999999998</v>
      </c>
      <c r="O205">
        <v>66</v>
      </c>
      <c r="P205">
        <v>12.75</v>
      </c>
      <c r="Q205">
        <v>10.199999999999999</v>
      </c>
      <c r="R205">
        <v>5</v>
      </c>
      <c r="S205">
        <v>2.75</v>
      </c>
      <c r="T205">
        <v>0</v>
      </c>
      <c r="U205" t="s">
        <v>22</v>
      </c>
      <c r="V205" t="e">
        <f>IF(#REF! = "yes", 1, 0)</f>
        <v>#REF!</v>
      </c>
      <c r="W205" t="e">
        <f>IF(#REF! &lt;= 1, "0-1 Calls", IF(#REF! &lt;= 3, "2-3 Calls", IF(#REF! &lt;=5, "4-5 Calls", "6+ Calls")))</f>
        <v>#REF!</v>
      </c>
      <c r="X205" t="e">
        <f>IF(#REF! &lt;= 50, "0-50", IF(#REF! &lt;=100, "51-100", IF(#REF! &lt;= 150, "101-150", "151+")))</f>
        <v>#REF!</v>
      </c>
      <c r="Y205" t="e">
        <f>IF(#REF! &lt;= 3, "Low Charges", "High Charges")</f>
        <v>#REF!</v>
      </c>
      <c r="Z205" t="e">
        <f>IF(#REF!&lt;=80,"Low Calls",
IF(#REF!&lt;=120,"Medium Calls","High Calls"))</f>
        <v>#REF!</v>
      </c>
      <c r="AA205" t="e">
        <f>IF(#REF!&lt;=15,"Low Charges",
IF(#REF!&lt;=20,"Medium Charges","High Charges"))</f>
        <v>#REF!</v>
      </c>
      <c r="AB205" t="e">
        <f>IF(AND(#REF!&gt;180, #REF!&gt;200), "Heavy Doemstic User", IF(#REF!&gt;10, "Interntional User", IF(AND(#REF!&lt;180, #REF!&lt;200,#REF!&lt;200), "Light User", "Balanced User")))</f>
        <v>#REF!</v>
      </c>
      <c r="AC205" t="e">
        <f>IF(#REF! = 0, "No Usage", IF(#REF! &lt;= 20, "Low Usage", IF(#REF! &lt;= 40, "Medium Usgae", "High Usage")))</f>
        <v>#REF!</v>
      </c>
      <c r="AD205" t="e">
        <f>IF(#REF!&lt;=150,"Low Usage", IF(#REF!&lt;=200,"Medium Usage", IF(#REF!&lt;=250,"High Usage","Very High Usage")))</f>
        <v>#REF!</v>
      </c>
      <c r="AE205" t="e">
        <f>IF(#REF!&lt;=5,"Low Calls", IF(#REF!&lt;=10, "Medium Calls", "High Calls"))</f>
        <v>#REF!</v>
      </c>
      <c r="AF205" t="e">
        <f xml:space="preserve">
IF(#REF!&gt;=4,4,0)+
IF(#REF!="yes",3,0)+
IF(#REF!="High Charges",3,0)+
IF(#REF!&gt;250,4,0)+
IF(#REF!="no",1,0)+
IF(#REF!="Heavy Domestic User",2,0)</f>
        <v>#REF!</v>
      </c>
      <c r="AG205" t="e">
        <f>IF(#REF!&gt;=10,"High Risk", IF(#REF!&gt;=5,"Medium Risk","Low Risk"))</f>
        <v>#REF!</v>
      </c>
      <c r="AH205" t="e">
        <f>#REF! + #REF! + #REF! + #REF!</f>
        <v>#REF!</v>
      </c>
    </row>
    <row r="206" spans="1:34" x14ac:dyDescent="0.35">
      <c r="A206">
        <v>205</v>
      </c>
      <c r="B206" t="s">
        <v>42</v>
      </c>
      <c r="C206">
        <v>94</v>
      </c>
      <c r="D206" t="s">
        <v>25</v>
      </c>
      <c r="E206" t="s">
        <v>22</v>
      </c>
      <c r="F206" t="s">
        <v>22</v>
      </c>
      <c r="G206">
        <v>0</v>
      </c>
      <c r="H206">
        <v>181.8</v>
      </c>
      <c r="I206">
        <v>85</v>
      </c>
      <c r="J206">
        <v>30.91</v>
      </c>
      <c r="K206">
        <v>202.4</v>
      </c>
      <c r="L206">
        <v>98</v>
      </c>
      <c r="M206">
        <v>17.2</v>
      </c>
      <c r="N206">
        <v>245.9</v>
      </c>
      <c r="O206">
        <v>97</v>
      </c>
      <c r="P206">
        <v>11.07</v>
      </c>
      <c r="Q206">
        <v>9.1999999999999993</v>
      </c>
      <c r="R206">
        <v>2</v>
      </c>
      <c r="S206">
        <v>2.48</v>
      </c>
      <c r="T206">
        <v>4</v>
      </c>
      <c r="U206" t="s">
        <v>22</v>
      </c>
      <c r="V206" t="e">
        <f>IF(#REF! = "yes", 1, 0)</f>
        <v>#REF!</v>
      </c>
      <c r="W206" t="e">
        <f>IF(#REF! &lt;= 1, "0-1 Calls", IF(#REF! &lt;= 3, "2-3 Calls", IF(#REF! &lt;=5, "4-5 Calls", "6+ Calls")))</f>
        <v>#REF!</v>
      </c>
      <c r="X206" t="e">
        <f>IF(#REF! &lt;= 50, "0-50", IF(#REF! &lt;=100, "51-100", IF(#REF! &lt;= 150, "101-150", "151+")))</f>
        <v>#REF!</v>
      </c>
      <c r="Y206" t="e">
        <f>IF(#REF! &lt;= 3, "Low Charges", "High Charges")</f>
        <v>#REF!</v>
      </c>
      <c r="Z206" t="e">
        <f>IF(#REF!&lt;=80,"Low Calls",
IF(#REF!&lt;=120,"Medium Calls","High Calls"))</f>
        <v>#REF!</v>
      </c>
      <c r="AA206" t="e">
        <f>IF(#REF!&lt;=15,"Low Charges",
IF(#REF!&lt;=20,"Medium Charges","High Charges"))</f>
        <v>#REF!</v>
      </c>
      <c r="AB206" t="e">
        <f>IF(AND(#REF!&gt;180, #REF!&gt;200), "Heavy Doemstic User", IF(#REF!&gt;10, "Interntional User", IF(AND(#REF!&lt;180, #REF!&lt;200,#REF!&lt;200), "Light User", "Balanced User")))</f>
        <v>#REF!</v>
      </c>
      <c r="AC206" t="e">
        <f>IF(#REF! = 0, "No Usage", IF(#REF! &lt;= 20, "Low Usage", IF(#REF! &lt;= 40, "Medium Usgae", "High Usage")))</f>
        <v>#REF!</v>
      </c>
      <c r="AD206" t="e">
        <f>IF(#REF!&lt;=150,"Low Usage", IF(#REF!&lt;=200,"Medium Usage", IF(#REF!&lt;=250,"High Usage","Very High Usage")))</f>
        <v>#REF!</v>
      </c>
      <c r="AE206" t="e">
        <f>IF(#REF!&lt;=5,"Low Calls", IF(#REF!&lt;=10, "Medium Calls", "High Calls"))</f>
        <v>#REF!</v>
      </c>
      <c r="AF206" t="e">
        <f xml:space="preserve">
IF(#REF!&gt;=4,4,0)+
IF(#REF!="yes",3,0)+
IF(#REF!="High Charges",3,0)+
IF(#REF!&gt;250,4,0)+
IF(#REF!="no",1,0)+
IF(#REF!="Heavy Domestic User",2,0)</f>
        <v>#REF!</v>
      </c>
      <c r="AG206" t="e">
        <f>IF(#REF!&gt;=10,"High Risk", IF(#REF!&gt;=5,"Medium Risk","Low Risk"))</f>
        <v>#REF!</v>
      </c>
      <c r="AH206" t="e">
        <f>#REF! + #REF! + #REF! + #REF!</f>
        <v>#REF!</v>
      </c>
    </row>
    <row r="207" spans="1:34" x14ac:dyDescent="0.35">
      <c r="A207">
        <v>206</v>
      </c>
      <c r="B207" t="s">
        <v>52</v>
      </c>
      <c r="C207">
        <v>33</v>
      </c>
      <c r="D207" t="s">
        <v>21</v>
      </c>
      <c r="E207" t="s">
        <v>22</v>
      </c>
      <c r="F207" t="s">
        <v>23</v>
      </c>
      <c r="G207">
        <v>29</v>
      </c>
      <c r="H207">
        <v>157.4</v>
      </c>
      <c r="I207">
        <v>99</v>
      </c>
      <c r="J207">
        <v>26.76</v>
      </c>
      <c r="K207">
        <v>117.9</v>
      </c>
      <c r="L207">
        <v>80</v>
      </c>
      <c r="M207">
        <v>10.02</v>
      </c>
      <c r="N207">
        <v>279.2</v>
      </c>
      <c r="O207">
        <v>79</v>
      </c>
      <c r="P207">
        <v>12.56</v>
      </c>
      <c r="Q207">
        <v>13.9</v>
      </c>
      <c r="R207">
        <v>11</v>
      </c>
      <c r="S207">
        <v>3.75</v>
      </c>
      <c r="T207">
        <v>4</v>
      </c>
      <c r="U207" t="s">
        <v>23</v>
      </c>
      <c r="V207" t="e">
        <f>IF(#REF! = "yes", 1, 0)</f>
        <v>#REF!</v>
      </c>
      <c r="W207" t="e">
        <f>IF(#REF! &lt;= 1, "0-1 Calls", IF(#REF! &lt;= 3, "2-3 Calls", IF(#REF! &lt;=5, "4-5 Calls", "6+ Calls")))</f>
        <v>#REF!</v>
      </c>
      <c r="X207" t="e">
        <f>IF(#REF! &lt;= 50, "0-50", IF(#REF! &lt;=100, "51-100", IF(#REF! &lt;= 150, "101-150", "151+")))</f>
        <v>#REF!</v>
      </c>
      <c r="Y207" t="e">
        <f>IF(#REF! &lt;= 3, "Low Charges", "High Charges")</f>
        <v>#REF!</v>
      </c>
      <c r="Z207" t="e">
        <f>IF(#REF!&lt;=80,"Low Calls",
IF(#REF!&lt;=120,"Medium Calls","High Calls"))</f>
        <v>#REF!</v>
      </c>
      <c r="AA207" t="e">
        <f>IF(#REF!&lt;=15,"Low Charges",
IF(#REF!&lt;=20,"Medium Charges","High Charges"))</f>
        <v>#REF!</v>
      </c>
      <c r="AB207" t="e">
        <f>IF(AND(#REF!&gt;180, #REF!&gt;200), "Heavy Doemstic User", IF(#REF!&gt;10, "Interntional User", IF(AND(#REF!&lt;180, #REF!&lt;200,#REF!&lt;200), "Light User", "Balanced User")))</f>
        <v>#REF!</v>
      </c>
      <c r="AC207" t="e">
        <f>IF(#REF! = 0, "No Usage", IF(#REF! &lt;= 20, "Low Usage", IF(#REF! &lt;= 40, "Medium Usgae", "High Usage")))</f>
        <v>#REF!</v>
      </c>
      <c r="AD207" t="e">
        <f>IF(#REF!&lt;=150,"Low Usage", IF(#REF!&lt;=200,"Medium Usage", IF(#REF!&lt;=250,"High Usage","Very High Usage")))</f>
        <v>#REF!</v>
      </c>
      <c r="AE207" t="e">
        <f>IF(#REF!&lt;=5,"Low Calls", IF(#REF!&lt;=10, "Medium Calls", "High Calls"))</f>
        <v>#REF!</v>
      </c>
      <c r="AF207" t="e">
        <f xml:space="preserve">
IF(#REF!&gt;=4,4,0)+
IF(#REF!="yes",3,0)+
IF(#REF!="High Charges",3,0)+
IF(#REF!&gt;250,4,0)+
IF(#REF!="no",1,0)+
IF(#REF!="Heavy Domestic User",2,0)</f>
        <v>#REF!</v>
      </c>
      <c r="AG207" t="e">
        <f>IF(#REF!&gt;=10,"High Risk", IF(#REF!&gt;=5,"Medium Risk","Low Risk"))</f>
        <v>#REF!</v>
      </c>
      <c r="AH207" t="e">
        <f>#REF! + #REF! + #REF! + #REF!</f>
        <v>#REF!</v>
      </c>
    </row>
    <row r="208" spans="1:34" x14ac:dyDescent="0.35">
      <c r="A208">
        <v>207</v>
      </c>
      <c r="B208" t="s">
        <v>24</v>
      </c>
      <c r="C208">
        <v>106</v>
      </c>
      <c r="D208" t="s">
        <v>21</v>
      </c>
      <c r="E208" t="s">
        <v>22</v>
      </c>
      <c r="F208" t="s">
        <v>22</v>
      </c>
      <c r="G208">
        <v>0</v>
      </c>
      <c r="H208">
        <v>207.9</v>
      </c>
      <c r="I208">
        <v>91</v>
      </c>
      <c r="J208">
        <v>35.340000000000003</v>
      </c>
      <c r="K208">
        <v>172</v>
      </c>
      <c r="L208">
        <v>109</v>
      </c>
      <c r="M208">
        <v>14.62</v>
      </c>
      <c r="N208">
        <v>191.8</v>
      </c>
      <c r="O208">
        <v>143</v>
      </c>
      <c r="P208">
        <v>8.6300000000000008</v>
      </c>
      <c r="Q208">
        <v>14.4</v>
      </c>
      <c r="R208">
        <v>7</v>
      </c>
      <c r="S208">
        <v>3.89</v>
      </c>
      <c r="T208">
        <v>4</v>
      </c>
      <c r="U208" t="s">
        <v>22</v>
      </c>
      <c r="V208" t="e">
        <f>IF(#REF! = "yes", 1, 0)</f>
        <v>#REF!</v>
      </c>
      <c r="W208" t="e">
        <f>IF(#REF! &lt;= 1, "0-1 Calls", IF(#REF! &lt;= 3, "2-3 Calls", IF(#REF! &lt;=5, "4-5 Calls", "6+ Calls")))</f>
        <v>#REF!</v>
      </c>
      <c r="X208" t="e">
        <f>IF(#REF! &lt;= 50, "0-50", IF(#REF! &lt;=100, "51-100", IF(#REF! &lt;= 150, "101-150", "151+")))</f>
        <v>#REF!</v>
      </c>
      <c r="Y208" t="e">
        <f>IF(#REF! &lt;= 3, "Low Charges", "High Charges")</f>
        <v>#REF!</v>
      </c>
      <c r="Z208" t="e">
        <f>IF(#REF!&lt;=80,"Low Calls",
IF(#REF!&lt;=120,"Medium Calls","High Calls"))</f>
        <v>#REF!</v>
      </c>
      <c r="AA208" t="e">
        <f>IF(#REF!&lt;=15,"Low Charges",
IF(#REF!&lt;=20,"Medium Charges","High Charges"))</f>
        <v>#REF!</v>
      </c>
      <c r="AB208" t="e">
        <f>IF(AND(#REF!&gt;180, #REF!&gt;200), "Heavy Doemstic User", IF(#REF!&gt;10, "Interntional User", IF(AND(#REF!&lt;180, #REF!&lt;200,#REF!&lt;200), "Light User", "Balanced User")))</f>
        <v>#REF!</v>
      </c>
      <c r="AC208" t="e">
        <f>IF(#REF! = 0, "No Usage", IF(#REF! &lt;= 20, "Low Usage", IF(#REF! &lt;= 40, "Medium Usgae", "High Usage")))</f>
        <v>#REF!</v>
      </c>
      <c r="AD208" t="e">
        <f>IF(#REF!&lt;=150,"Low Usage", IF(#REF!&lt;=200,"Medium Usage", IF(#REF!&lt;=250,"High Usage","Very High Usage")))</f>
        <v>#REF!</v>
      </c>
      <c r="AE208" t="e">
        <f>IF(#REF!&lt;=5,"Low Calls", IF(#REF!&lt;=10, "Medium Calls", "High Calls"))</f>
        <v>#REF!</v>
      </c>
      <c r="AF208" t="e">
        <f xml:space="preserve">
IF(#REF!&gt;=4,4,0)+
IF(#REF!="yes",3,0)+
IF(#REF!="High Charges",3,0)+
IF(#REF!&gt;250,4,0)+
IF(#REF!="no",1,0)+
IF(#REF!="Heavy Domestic User",2,0)</f>
        <v>#REF!</v>
      </c>
      <c r="AG208" t="e">
        <f>IF(#REF!&gt;=10,"High Risk", IF(#REF!&gt;=5,"Medium Risk","Low Risk"))</f>
        <v>#REF!</v>
      </c>
      <c r="AH208" t="e">
        <f>#REF! + #REF! + #REF! + #REF!</f>
        <v>#REF!</v>
      </c>
    </row>
    <row r="209" spans="1:34" x14ac:dyDescent="0.35">
      <c r="A209">
        <v>208</v>
      </c>
      <c r="B209" t="s">
        <v>53</v>
      </c>
      <c r="C209">
        <v>86</v>
      </c>
      <c r="D209" t="s">
        <v>28</v>
      </c>
      <c r="E209" t="s">
        <v>22</v>
      </c>
      <c r="F209" t="s">
        <v>23</v>
      </c>
      <c r="G209">
        <v>41</v>
      </c>
      <c r="H209">
        <v>119</v>
      </c>
      <c r="I209">
        <v>101</v>
      </c>
      <c r="J209">
        <v>20.23</v>
      </c>
      <c r="K209">
        <v>230</v>
      </c>
      <c r="L209">
        <v>134</v>
      </c>
      <c r="M209">
        <v>19.55</v>
      </c>
      <c r="N209">
        <v>236.9</v>
      </c>
      <c r="O209">
        <v>58</v>
      </c>
      <c r="P209">
        <v>10.66</v>
      </c>
      <c r="Q209">
        <v>9.5</v>
      </c>
      <c r="R209">
        <v>3</v>
      </c>
      <c r="S209">
        <v>2.57</v>
      </c>
      <c r="T209">
        <v>0</v>
      </c>
      <c r="U209" t="s">
        <v>22</v>
      </c>
      <c r="V209" t="e">
        <f>IF(#REF! = "yes", 1, 0)</f>
        <v>#REF!</v>
      </c>
      <c r="W209" t="e">
        <f>IF(#REF! &lt;= 1, "0-1 Calls", IF(#REF! &lt;= 3, "2-3 Calls", IF(#REF! &lt;=5, "4-5 Calls", "6+ Calls")))</f>
        <v>#REF!</v>
      </c>
      <c r="X209" t="e">
        <f>IF(#REF! &lt;= 50, "0-50", IF(#REF! &lt;=100, "51-100", IF(#REF! &lt;= 150, "101-150", "151+")))</f>
        <v>#REF!</v>
      </c>
      <c r="Y209" t="e">
        <f>IF(#REF! &lt;= 3, "Low Charges", "High Charges")</f>
        <v>#REF!</v>
      </c>
      <c r="Z209" t="e">
        <f>IF(#REF!&lt;=80,"Low Calls",
IF(#REF!&lt;=120,"Medium Calls","High Calls"))</f>
        <v>#REF!</v>
      </c>
      <c r="AA209" t="e">
        <f>IF(#REF!&lt;=15,"Low Charges",
IF(#REF!&lt;=20,"Medium Charges","High Charges"))</f>
        <v>#REF!</v>
      </c>
      <c r="AB209" t="e">
        <f>IF(AND(#REF!&gt;180, #REF!&gt;200), "Heavy Doemstic User", IF(#REF!&gt;10, "Interntional User", IF(AND(#REF!&lt;180, #REF!&lt;200,#REF!&lt;200), "Light User", "Balanced User")))</f>
        <v>#REF!</v>
      </c>
      <c r="AC209" t="e">
        <f>IF(#REF! = 0, "No Usage", IF(#REF! &lt;= 20, "Low Usage", IF(#REF! &lt;= 40, "Medium Usgae", "High Usage")))</f>
        <v>#REF!</v>
      </c>
      <c r="AD209" t="e">
        <f>IF(#REF!&lt;=150,"Low Usage", IF(#REF!&lt;=200,"Medium Usage", IF(#REF!&lt;=250,"High Usage","Very High Usage")))</f>
        <v>#REF!</v>
      </c>
      <c r="AE209" t="e">
        <f>IF(#REF!&lt;=5,"Low Calls", IF(#REF!&lt;=10, "Medium Calls", "High Calls"))</f>
        <v>#REF!</v>
      </c>
      <c r="AF209" t="e">
        <f xml:space="preserve">
IF(#REF!&gt;=4,4,0)+
IF(#REF!="yes",3,0)+
IF(#REF!="High Charges",3,0)+
IF(#REF!&gt;250,4,0)+
IF(#REF!="no",1,0)+
IF(#REF!="Heavy Domestic User",2,0)</f>
        <v>#REF!</v>
      </c>
      <c r="AG209" t="e">
        <f>IF(#REF!&gt;=10,"High Risk", IF(#REF!&gt;=5,"Medium Risk","Low Risk"))</f>
        <v>#REF!</v>
      </c>
      <c r="AH209" t="e">
        <f>#REF! + #REF! + #REF! + #REF!</f>
        <v>#REF!</v>
      </c>
    </row>
    <row r="210" spans="1:34" x14ac:dyDescent="0.35">
      <c r="A210">
        <v>209</v>
      </c>
      <c r="B210" t="s">
        <v>39</v>
      </c>
      <c r="C210">
        <v>97</v>
      </c>
      <c r="D210" t="s">
        <v>21</v>
      </c>
      <c r="E210" t="s">
        <v>23</v>
      </c>
      <c r="F210" t="s">
        <v>22</v>
      </c>
      <c r="G210">
        <v>0</v>
      </c>
      <c r="H210">
        <v>143.69999999999999</v>
      </c>
      <c r="I210">
        <v>117</v>
      </c>
      <c r="J210">
        <v>24.43</v>
      </c>
      <c r="K210">
        <v>273</v>
      </c>
      <c r="L210">
        <v>82</v>
      </c>
      <c r="M210">
        <v>23.21</v>
      </c>
      <c r="N210">
        <v>178.3</v>
      </c>
      <c r="O210">
        <v>81</v>
      </c>
      <c r="P210">
        <v>8.02</v>
      </c>
      <c r="Q210">
        <v>10.9</v>
      </c>
      <c r="R210">
        <v>3</v>
      </c>
      <c r="S210">
        <v>2.94</v>
      </c>
      <c r="T210">
        <v>0</v>
      </c>
      <c r="U210" t="s">
        <v>22</v>
      </c>
      <c r="V210" t="e">
        <f>IF(#REF! = "yes", 1, 0)</f>
        <v>#REF!</v>
      </c>
      <c r="W210" t="e">
        <f>IF(#REF! &lt;= 1, "0-1 Calls", IF(#REF! &lt;= 3, "2-3 Calls", IF(#REF! &lt;=5, "4-5 Calls", "6+ Calls")))</f>
        <v>#REF!</v>
      </c>
      <c r="X210" t="e">
        <f>IF(#REF! &lt;= 50, "0-50", IF(#REF! &lt;=100, "51-100", IF(#REF! &lt;= 150, "101-150", "151+")))</f>
        <v>#REF!</v>
      </c>
      <c r="Y210" t="e">
        <f>IF(#REF! &lt;= 3, "Low Charges", "High Charges")</f>
        <v>#REF!</v>
      </c>
      <c r="Z210" t="e">
        <f>IF(#REF!&lt;=80,"Low Calls",
IF(#REF!&lt;=120,"Medium Calls","High Calls"))</f>
        <v>#REF!</v>
      </c>
      <c r="AA210" t="e">
        <f>IF(#REF!&lt;=15,"Low Charges",
IF(#REF!&lt;=20,"Medium Charges","High Charges"))</f>
        <v>#REF!</v>
      </c>
      <c r="AB210" t="e">
        <f>IF(AND(#REF!&gt;180, #REF!&gt;200), "Heavy Doemstic User", IF(#REF!&gt;10, "Interntional User", IF(AND(#REF!&lt;180, #REF!&lt;200,#REF!&lt;200), "Light User", "Balanced User")))</f>
        <v>#REF!</v>
      </c>
      <c r="AC210" t="e">
        <f>IF(#REF! = 0, "No Usage", IF(#REF! &lt;= 20, "Low Usage", IF(#REF! &lt;= 40, "Medium Usgae", "High Usage")))</f>
        <v>#REF!</v>
      </c>
      <c r="AD210" t="e">
        <f>IF(#REF!&lt;=150,"Low Usage", IF(#REF!&lt;=200,"Medium Usage", IF(#REF!&lt;=250,"High Usage","Very High Usage")))</f>
        <v>#REF!</v>
      </c>
      <c r="AE210" t="e">
        <f>IF(#REF!&lt;=5,"Low Calls", IF(#REF!&lt;=10, "Medium Calls", "High Calls"))</f>
        <v>#REF!</v>
      </c>
      <c r="AF210" t="e">
        <f xml:space="preserve">
IF(#REF!&gt;=4,4,0)+
IF(#REF!="yes",3,0)+
IF(#REF!="High Charges",3,0)+
IF(#REF!&gt;250,4,0)+
IF(#REF!="no",1,0)+
IF(#REF!="Heavy Domestic User",2,0)</f>
        <v>#REF!</v>
      </c>
      <c r="AG210" t="e">
        <f>IF(#REF!&gt;=10,"High Risk", IF(#REF!&gt;=5,"Medium Risk","Low Risk"))</f>
        <v>#REF!</v>
      </c>
      <c r="AH210" t="e">
        <f>#REF! + #REF! + #REF! + #REF!</f>
        <v>#REF!</v>
      </c>
    </row>
    <row r="211" spans="1:34" x14ac:dyDescent="0.35">
      <c r="A211">
        <v>210</v>
      </c>
      <c r="B211" t="s">
        <v>40</v>
      </c>
      <c r="C211">
        <v>106</v>
      </c>
      <c r="D211" t="s">
        <v>25</v>
      </c>
      <c r="E211" t="s">
        <v>22</v>
      </c>
      <c r="F211" t="s">
        <v>23</v>
      </c>
      <c r="G211">
        <v>32</v>
      </c>
      <c r="H211">
        <v>165.9</v>
      </c>
      <c r="I211">
        <v>126</v>
      </c>
      <c r="J211">
        <v>28.2</v>
      </c>
      <c r="K211">
        <v>216.5</v>
      </c>
      <c r="L211">
        <v>93</v>
      </c>
      <c r="M211">
        <v>18.399999999999999</v>
      </c>
      <c r="N211">
        <v>173.1</v>
      </c>
      <c r="O211">
        <v>86</v>
      </c>
      <c r="P211">
        <v>7.79</v>
      </c>
      <c r="Q211">
        <v>14.1</v>
      </c>
      <c r="R211">
        <v>8</v>
      </c>
      <c r="S211">
        <v>3.81</v>
      </c>
      <c r="T211">
        <v>4</v>
      </c>
      <c r="U211" t="s">
        <v>22</v>
      </c>
      <c r="V211" t="e">
        <f>IF(#REF! = "yes", 1, 0)</f>
        <v>#REF!</v>
      </c>
      <c r="W211" t="e">
        <f>IF(#REF! &lt;= 1, "0-1 Calls", IF(#REF! &lt;= 3, "2-3 Calls", IF(#REF! &lt;=5, "4-5 Calls", "6+ Calls")))</f>
        <v>#REF!</v>
      </c>
      <c r="X211" t="e">
        <f>IF(#REF! &lt;= 50, "0-50", IF(#REF! &lt;=100, "51-100", IF(#REF! &lt;= 150, "101-150", "151+")))</f>
        <v>#REF!</v>
      </c>
      <c r="Y211" t="e">
        <f>IF(#REF! &lt;= 3, "Low Charges", "High Charges")</f>
        <v>#REF!</v>
      </c>
      <c r="Z211" t="e">
        <f>IF(#REF!&lt;=80,"Low Calls",
IF(#REF!&lt;=120,"Medium Calls","High Calls"))</f>
        <v>#REF!</v>
      </c>
      <c r="AA211" t="e">
        <f>IF(#REF!&lt;=15,"Low Charges",
IF(#REF!&lt;=20,"Medium Charges","High Charges"))</f>
        <v>#REF!</v>
      </c>
      <c r="AB211" t="e">
        <f>IF(AND(#REF!&gt;180, #REF!&gt;200), "Heavy Doemstic User", IF(#REF!&gt;10, "Interntional User", IF(AND(#REF!&lt;180, #REF!&lt;200,#REF!&lt;200), "Light User", "Balanced User")))</f>
        <v>#REF!</v>
      </c>
      <c r="AC211" t="e">
        <f>IF(#REF! = 0, "No Usage", IF(#REF! &lt;= 20, "Low Usage", IF(#REF! &lt;= 40, "Medium Usgae", "High Usage")))</f>
        <v>#REF!</v>
      </c>
      <c r="AD211" t="e">
        <f>IF(#REF!&lt;=150,"Low Usage", IF(#REF!&lt;=200,"Medium Usage", IF(#REF!&lt;=250,"High Usage","Very High Usage")))</f>
        <v>#REF!</v>
      </c>
      <c r="AE211" t="e">
        <f>IF(#REF!&lt;=5,"Low Calls", IF(#REF!&lt;=10, "Medium Calls", "High Calls"))</f>
        <v>#REF!</v>
      </c>
      <c r="AF211" t="e">
        <f xml:space="preserve">
IF(#REF!&gt;=4,4,0)+
IF(#REF!="yes",3,0)+
IF(#REF!="High Charges",3,0)+
IF(#REF!&gt;250,4,0)+
IF(#REF!="no",1,0)+
IF(#REF!="Heavy Domestic User",2,0)</f>
        <v>#REF!</v>
      </c>
      <c r="AG211" t="e">
        <f>IF(#REF!&gt;=10,"High Risk", IF(#REF!&gt;=5,"Medium Risk","Low Risk"))</f>
        <v>#REF!</v>
      </c>
      <c r="AH211" t="e">
        <f>#REF! + #REF! + #REF! + #REF!</f>
        <v>#REF!</v>
      </c>
    </row>
    <row r="212" spans="1:34" x14ac:dyDescent="0.35">
      <c r="A212">
        <v>211</v>
      </c>
      <c r="B212" t="s">
        <v>63</v>
      </c>
      <c r="C212">
        <v>108</v>
      </c>
      <c r="D212" t="s">
        <v>28</v>
      </c>
      <c r="E212" t="s">
        <v>22</v>
      </c>
      <c r="F212" t="s">
        <v>22</v>
      </c>
      <c r="G212">
        <v>0</v>
      </c>
      <c r="H212">
        <v>138.6</v>
      </c>
      <c r="I212">
        <v>122</v>
      </c>
      <c r="J212">
        <v>23.56</v>
      </c>
      <c r="K212">
        <v>172.3</v>
      </c>
      <c r="L212">
        <v>117</v>
      </c>
      <c r="M212">
        <v>14.65</v>
      </c>
      <c r="N212">
        <v>231.6</v>
      </c>
      <c r="O212">
        <v>92</v>
      </c>
      <c r="P212">
        <v>10.42</v>
      </c>
      <c r="Q212">
        <v>9.8000000000000007</v>
      </c>
      <c r="R212">
        <v>3</v>
      </c>
      <c r="S212">
        <v>2.65</v>
      </c>
      <c r="T212">
        <v>1</v>
      </c>
      <c r="U212" t="s">
        <v>22</v>
      </c>
      <c r="V212" t="e">
        <f>IF(#REF! = "yes", 1, 0)</f>
        <v>#REF!</v>
      </c>
      <c r="W212" t="e">
        <f>IF(#REF! &lt;= 1, "0-1 Calls", IF(#REF! &lt;= 3, "2-3 Calls", IF(#REF! &lt;=5, "4-5 Calls", "6+ Calls")))</f>
        <v>#REF!</v>
      </c>
      <c r="X212" t="e">
        <f>IF(#REF! &lt;= 50, "0-50", IF(#REF! &lt;=100, "51-100", IF(#REF! &lt;= 150, "101-150", "151+")))</f>
        <v>#REF!</v>
      </c>
      <c r="Y212" t="e">
        <f>IF(#REF! &lt;= 3, "Low Charges", "High Charges")</f>
        <v>#REF!</v>
      </c>
      <c r="Z212" t="e">
        <f>IF(#REF!&lt;=80,"Low Calls",
IF(#REF!&lt;=120,"Medium Calls","High Calls"))</f>
        <v>#REF!</v>
      </c>
      <c r="AA212" t="e">
        <f>IF(#REF!&lt;=15,"Low Charges",
IF(#REF!&lt;=20,"Medium Charges","High Charges"))</f>
        <v>#REF!</v>
      </c>
      <c r="AB212" t="e">
        <f>IF(AND(#REF!&gt;180, #REF!&gt;200), "Heavy Doemstic User", IF(#REF!&gt;10, "Interntional User", IF(AND(#REF!&lt;180, #REF!&lt;200,#REF!&lt;200), "Light User", "Balanced User")))</f>
        <v>#REF!</v>
      </c>
      <c r="AC212" t="e">
        <f>IF(#REF! = 0, "No Usage", IF(#REF! &lt;= 20, "Low Usage", IF(#REF! &lt;= 40, "Medium Usgae", "High Usage")))</f>
        <v>#REF!</v>
      </c>
      <c r="AD212" t="e">
        <f>IF(#REF!&lt;=150,"Low Usage", IF(#REF!&lt;=200,"Medium Usage", IF(#REF!&lt;=250,"High Usage","Very High Usage")))</f>
        <v>#REF!</v>
      </c>
      <c r="AE212" t="e">
        <f>IF(#REF!&lt;=5,"Low Calls", IF(#REF!&lt;=10, "Medium Calls", "High Calls"))</f>
        <v>#REF!</v>
      </c>
      <c r="AF212" t="e">
        <f xml:space="preserve">
IF(#REF!&gt;=4,4,0)+
IF(#REF!="yes",3,0)+
IF(#REF!="High Charges",3,0)+
IF(#REF!&gt;250,4,0)+
IF(#REF!="no",1,0)+
IF(#REF!="Heavy Domestic User",2,0)</f>
        <v>#REF!</v>
      </c>
      <c r="AG212" t="e">
        <f>IF(#REF!&gt;=10,"High Risk", IF(#REF!&gt;=5,"Medium Risk","Low Risk"))</f>
        <v>#REF!</v>
      </c>
      <c r="AH212" t="e">
        <f>#REF! + #REF! + #REF! + #REF!</f>
        <v>#REF!</v>
      </c>
    </row>
    <row r="213" spans="1:34" x14ac:dyDescent="0.35">
      <c r="A213">
        <v>212</v>
      </c>
      <c r="B213" t="s">
        <v>39</v>
      </c>
      <c r="C213">
        <v>114</v>
      </c>
      <c r="D213" t="s">
        <v>21</v>
      </c>
      <c r="E213" t="s">
        <v>22</v>
      </c>
      <c r="F213" t="s">
        <v>22</v>
      </c>
      <c r="G213">
        <v>0</v>
      </c>
      <c r="H213">
        <v>84.7</v>
      </c>
      <c r="I213">
        <v>118</v>
      </c>
      <c r="J213">
        <v>14.4</v>
      </c>
      <c r="K213">
        <v>249.9</v>
      </c>
      <c r="L213">
        <v>86</v>
      </c>
      <c r="M213">
        <v>21.24</v>
      </c>
      <c r="N213">
        <v>193.4</v>
      </c>
      <c r="O213">
        <v>95</v>
      </c>
      <c r="P213">
        <v>8.6999999999999993</v>
      </c>
      <c r="Q213">
        <v>14.5</v>
      </c>
      <c r="R213">
        <v>8</v>
      </c>
      <c r="S213">
        <v>3.92</v>
      </c>
      <c r="T213">
        <v>1</v>
      </c>
      <c r="U213" t="s">
        <v>22</v>
      </c>
      <c r="V213" t="e">
        <f>IF(#REF! = "yes", 1, 0)</f>
        <v>#REF!</v>
      </c>
      <c r="W213" t="e">
        <f>IF(#REF! &lt;= 1, "0-1 Calls", IF(#REF! &lt;= 3, "2-3 Calls", IF(#REF! &lt;=5, "4-5 Calls", "6+ Calls")))</f>
        <v>#REF!</v>
      </c>
      <c r="X213" t="e">
        <f>IF(#REF! &lt;= 50, "0-50", IF(#REF! &lt;=100, "51-100", IF(#REF! &lt;= 150, "101-150", "151+")))</f>
        <v>#REF!</v>
      </c>
      <c r="Y213" t="e">
        <f>IF(#REF! &lt;= 3, "Low Charges", "High Charges")</f>
        <v>#REF!</v>
      </c>
      <c r="Z213" t="e">
        <f>IF(#REF!&lt;=80,"Low Calls",
IF(#REF!&lt;=120,"Medium Calls","High Calls"))</f>
        <v>#REF!</v>
      </c>
      <c r="AA213" t="e">
        <f>IF(#REF!&lt;=15,"Low Charges",
IF(#REF!&lt;=20,"Medium Charges","High Charges"))</f>
        <v>#REF!</v>
      </c>
      <c r="AB213" t="e">
        <f>IF(AND(#REF!&gt;180, #REF!&gt;200), "Heavy Doemstic User", IF(#REF!&gt;10, "Interntional User", IF(AND(#REF!&lt;180, #REF!&lt;200,#REF!&lt;200), "Light User", "Balanced User")))</f>
        <v>#REF!</v>
      </c>
      <c r="AC213" t="e">
        <f>IF(#REF! = 0, "No Usage", IF(#REF! &lt;= 20, "Low Usage", IF(#REF! &lt;= 40, "Medium Usgae", "High Usage")))</f>
        <v>#REF!</v>
      </c>
      <c r="AD213" t="e">
        <f>IF(#REF!&lt;=150,"Low Usage", IF(#REF!&lt;=200,"Medium Usage", IF(#REF!&lt;=250,"High Usage","Very High Usage")))</f>
        <v>#REF!</v>
      </c>
      <c r="AE213" t="e">
        <f>IF(#REF!&lt;=5,"Low Calls", IF(#REF!&lt;=10, "Medium Calls", "High Calls"))</f>
        <v>#REF!</v>
      </c>
      <c r="AF213" t="e">
        <f xml:space="preserve">
IF(#REF!&gt;=4,4,0)+
IF(#REF!="yes",3,0)+
IF(#REF!="High Charges",3,0)+
IF(#REF!&gt;250,4,0)+
IF(#REF!="no",1,0)+
IF(#REF!="Heavy Domestic User",2,0)</f>
        <v>#REF!</v>
      </c>
      <c r="AG213" t="e">
        <f>IF(#REF!&gt;=10,"High Risk", IF(#REF!&gt;=5,"Medium Risk","Low Risk"))</f>
        <v>#REF!</v>
      </c>
      <c r="AH213" t="e">
        <f>#REF! + #REF! + #REF! + #REF!</f>
        <v>#REF!</v>
      </c>
    </row>
    <row r="214" spans="1:34" x14ac:dyDescent="0.35">
      <c r="A214">
        <v>213</v>
      </c>
      <c r="B214" t="s">
        <v>70</v>
      </c>
      <c r="C214">
        <v>92</v>
      </c>
      <c r="D214" t="s">
        <v>25</v>
      </c>
      <c r="E214" t="s">
        <v>23</v>
      </c>
      <c r="F214" t="s">
        <v>22</v>
      </c>
      <c r="G214">
        <v>0</v>
      </c>
      <c r="H214">
        <v>62.6</v>
      </c>
      <c r="I214">
        <v>111</v>
      </c>
      <c r="J214">
        <v>10.64</v>
      </c>
      <c r="K214">
        <v>180.6</v>
      </c>
      <c r="L214">
        <v>126</v>
      </c>
      <c r="M214">
        <v>15.35</v>
      </c>
      <c r="N214">
        <v>221.7</v>
      </c>
      <c r="O214">
        <v>80</v>
      </c>
      <c r="P214">
        <v>9.98</v>
      </c>
      <c r="Q214">
        <v>10.4</v>
      </c>
      <c r="R214">
        <v>2</v>
      </c>
      <c r="S214">
        <v>2.81</v>
      </c>
      <c r="T214">
        <v>1</v>
      </c>
      <c r="U214" t="s">
        <v>23</v>
      </c>
      <c r="V214" t="e">
        <f>IF(#REF! = "yes", 1, 0)</f>
        <v>#REF!</v>
      </c>
      <c r="W214" t="e">
        <f>IF(#REF! &lt;= 1, "0-1 Calls", IF(#REF! &lt;= 3, "2-3 Calls", IF(#REF! &lt;=5, "4-5 Calls", "6+ Calls")))</f>
        <v>#REF!</v>
      </c>
      <c r="X214" t="e">
        <f>IF(#REF! &lt;= 50, "0-50", IF(#REF! &lt;=100, "51-100", IF(#REF! &lt;= 150, "101-150", "151+")))</f>
        <v>#REF!</v>
      </c>
      <c r="Y214" t="e">
        <f>IF(#REF! &lt;= 3, "Low Charges", "High Charges")</f>
        <v>#REF!</v>
      </c>
      <c r="Z214" t="e">
        <f>IF(#REF!&lt;=80,"Low Calls",
IF(#REF!&lt;=120,"Medium Calls","High Calls"))</f>
        <v>#REF!</v>
      </c>
      <c r="AA214" t="e">
        <f>IF(#REF!&lt;=15,"Low Charges",
IF(#REF!&lt;=20,"Medium Charges","High Charges"))</f>
        <v>#REF!</v>
      </c>
      <c r="AB214" t="e">
        <f>IF(AND(#REF!&gt;180, #REF!&gt;200), "Heavy Doemstic User", IF(#REF!&gt;10, "Interntional User", IF(AND(#REF!&lt;180, #REF!&lt;200,#REF!&lt;200), "Light User", "Balanced User")))</f>
        <v>#REF!</v>
      </c>
      <c r="AC214" t="e">
        <f>IF(#REF! = 0, "No Usage", IF(#REF! &lt;= 20, "Low Usage", IF(#REF! &lt;= 40, "Medium Usgae", "High Usage")))</f>
        <v>#REF!</v>
      </c>
      <c r="AD214" t="e">
        <f>IF(#REF!&lt;=150,"Low Usage", IF(#REF!&lt;=200,"Medium Usage", IF(#REF!&lt;=250,"High Usage","Very High Usage")))</f>
        <v>#REF!</v>
      </c>
      <c r="AE214" t="e">
        <f>IF(#REF!&lt;=5,"Low Calls", IF(#REF!&lt;=10, "Medium Calls", "High Calls"))</f>
        <v>#REF!</v>
      </c>
      <c r="AF214" t="e">
        <f xml:space="preserve">
IF(#REF!&gt;=4,4,0)+
IF(#REF!="yes",3,0)+
IF(#REF!="High Charges",3,0)+
IF(#REF!&gt;250,4,0)+
IF(#REF!="no",1,0)+
IF(#REF!="Heavy Domestic User",2,0)</f>
        <v>#REF!</v>
      </c>
      <c r="AG214" t="e">
        <f>IF(#REF!&gt;=10,"High Risk", IF(#REF!&gt;=5,"Medium Risk","Low Risk"))</f>
        <v>#REF!</v>
      </c>
      <c r="AH214" t="e">
        <f>#REF! + #REF! + #REF! + #REF!</f>
        <v>#REF!</v>
      </c>
    </row>
    <row r="215" spans="1:34" x14ac:dyDescent="0.35">
      <c r="A215">
        <v>214</v>
      </c>
      <c r="B215" t="s">
        <v>55</v>
      </c>
      <c r="C215">
        <v>59</v>
      </c>
      <c r="D215" t="s">
        <v>28</v>
      </c>
      <c r="E215" t="s">
        <v>22</v>
      </c>
      <c r="F215" t="s">
        <v>22</v>
      </c>
      <c r="G215">
        <v>0</v>
      </c>
      <c r="H215">
        <v>155.19999999999999</v>
      </c>
      <c r="I215">
        <v>79</v>
      </c>
      <c r="J215">
        <v>26.38</v>
      </c>
      <c r="K215">
        <v>235.3</v>
      </c>
      <c r="L215">
        <v>123</v>
      </c>
      <c r="M215">
        <v>20</v>
      </c>
      <c r="N215">
        <v>169.4</v>
      </c>
      <c r="O215">
        <v>80</v>
      </c>
      <c r="P215">
        <v>7.62</v>
      </c>
      <c r="Q215">
        <v>8.6999999999999993</v>
      </c>
      <c r="R215">
        <v>4</v>
      </c>
      <c r="S215">
        <v>2.35</v>
      </c>
      <c r="T215">
        <v>1</v>
      </c>
      <c r="U215" t="s">
        <v>22</v>
      </c>
      <c r="V215" t="e">
        <f>IF(#REF! = "yes", 1, 0)</f>
        <v>#REF!</v>
      </c>
      <c r="W215" t="e">
        <f>IF(#REF! &lt;= 1, "0-1 Calls", IF(#REF! &lt;= 3, "2-3 Calls", IF(#REF! &lt;=5, "4-5 Calls", "6+ Calls")))</f>
        <v>#REF!</v>
      </c>
      <c r="X215" t="e">
        <f>IF(#REF! &lt;= 50, "0-50", IF(#REF! &lt;=100, "51-100", IF(#REF! &lt;= 150, "101-150", "151+")))</f>
        <v>#REF!</v>
      </c>
      <c r="Y215" t="e">
        <f>IF(#REF! &lt;= 3, "Low Charges", "High Charges")</f>
        <v>#REF!</v>
      </c>
      <c r="Z215" t="e">
        <f>IF(#REF!&lt;=80,"Low Calls",
IF(#REF!&lt;=120,"Medium Calls","High Calls"))</f>
        <v>#REF!</v>
      </c>
      <c r="AA215" t="e">
        <f>IF(#REF!&lt;=15,"Low Charges",
IF(#REF!&lt;=20,"Medium Charges","High Charges"))</f>
        <v>#REF!</v>
      </c>
      <c r="AB215" t="e">
        <f>IF(AND(#REF!&gt;180, #REF!&gt;200), "Heavy Doemstic User", IF(#REF!&gt;10, "Interntional User", IF(AND(#REF!&lt;180, #REF!&lt;200,#REF!&lt;200), "Light User", "Balanced User")))</f>
        <v>#REF!</v>
      </c>
      <c r="AC215" t="e">
        <f>IF(#REF! = 0, "No Usage", IF(#REF! &lt;= 20, "Low Usage", IF(#REF! &lt;= 40, "Medium Usgae", "High Usage")))</f>
        <v>#REF!</v>
      </c>
      <c r="AD215" t="e">
        <f>IF(#REF!&lt;=150,"Low Usage", IF(#REF!&lt;=200,"Medium Usage", IF(#REF!&lt;=250,"High Usage","Very High Usage")))</f>
        <v>#REF!</v>
      </c>
      <c r="AE215" t="e">
        <f>IF(#REF!&lt;=5,"Low Calls", IF(#REF!&lt;=10, "Medium Calls", "High Calls"))</f>
        <v>#REF!</v>
      </c>
      <c r="AF215" t="e">
        <f xml:space="preserve">
IF(#REF!&gt;=4,4,0)+
IF(#REF!="yes",3,0)+
IF(#REF!="High Charges",3,0)+
IF(#REF!&gt;250,4,0)+
IF(#REF!="no",1,0)+
IF(#REF!="Heavy Domestic User",2,0)</f>
        <v>#REF!</v>
      </c>
      <c r="AG215" t="e">
        <f>IF(#REF!&gt;=10,"High Risk", IF(#REF!&gt;=5,"Medium Risk","Low Risk"))</f>
        <v>#REF!</v>
      </c>
      <c r="AH215" t="e">
        <f>#REF! + #REF! + #REF! + #REF!</f>
        <v>#REF!</v>
      </c>
    </row>
    <row r="216" spans="1:34" x14ac:dyDescent="0.35">
      <c r="A216">
        <v>215</v>
      </c>
      <c r="B216" t="s">
        <v>60</v>
      </c>
      <c r="C216">
        <v>24</v>
      </c>
      <c r="D216" t="s">
        <v>28</v>
      </c>
      <c r="E216" t="s">
        <v>22</v>
      </c>
      <c r="F216" t="s">
        <v>23</v>
      </c>
      <c r="G216">
        <v>25</v>
      </c>
      <c r="H216">
        <v>164.9</v>
      </c>
      <c r="I216">
        <v>110</v>
      </c>
      <c r="J216">
        <v>28.03</v>
      </c>
      <c r="K216">
        <v>209.3</v>
      </c>
      <c r="L216">
        <v>105</v>
      </c>
      <c r="M216">
        <v>17.79</v>
      </c>
      <c r="N216">
        <v>231.2</v>
      </c>
      <c r="O216">
        <v>55</v>
      </c>
      <c r="P216">
        <v>10.4</v>
      </c>
      <c r="Q216">
        <v>6.7</v>
      </c>
      <c r="R216">
        <v>9</v>
      </c>
      <c r="S216">
        <v>1.81</v>
      </c>
      <c r="T216">
        <v>1</v>
      </c>
      <c r="U216" t="s">
        <v>22</v>
      </c>
      <c r="V216" t="e">
        <f>IF(#REF! = "yes", 1, 0)</f>
        <v>#REF!</v>
      </c>
      <c r="W216" t="e">
        <f>IF(#REF! &lt;= 1, "0-1 Calls", IF(#REF! &lt;= 3, "2-3 Calls", IF(#REF! &lt;=5, "4-5 Calls", "6+ Calls")))</f>
        <v>#REF!</v>
      </c>
      <c r="X216" t="e">
        <f>IF(#REF! &lt;= 50, "0-50", IF(#REF! &lt;=100, "51-100", IF(#REF! &lt;= 150, "101-150", "151+")))</f>
        <v>#REF!</v>
      </c>
      <c r="Y216" t="e">
        <f>IF(#REF! &lt;= 3, "Low Charges", "High Charges")</f>
        <v>#REF!</v>
      </c>
      <c r="Z216" t="e">
        <f>IF(#REF!&lt;=80,"Low Calls",
IF(#REF!&lt;=120,"Medium Calls","High Calls"))</f>
        <v>#REF!</v>
      </c>
      <c r="AA216" t="e">
        <f>IF(#REF!&lt;=15,"Low Charges",
IF(#REF!&lt;=20,"Medium Charges","High Charges"))</f>
        <v>#REF!</v>
      </c>
      <c r="AB216" t="e">
        <f>IF(AND(#REF!&gt;180, #REF!&gt;200), "Heavy Doemstic User", IF(#REF!&gt;10, "Interntional User", IF(AND(#REF!&lt;180, #REF!&lt;200,#REF!&lt;200), "Light User", "Balanced User")))</f>
        <v>#REF!</v>
      </c>
      <c r="AC216" t="e">
        <f>IF(#REF! = 0, "No Usage", IF(#REF! &lt;= 20, "Low Usage", IF(#REF! &lt;= 40, "Medium Usgae", "High Usage")))</f>
        <v>#REF!</v>
      </c>
      <c r="AD216" t="e">
        <f>IF(#REF!&lt;=150,"Low Usage", IF(#REF!&lt;=200,"Medium Usage", IF(#REF!&lt;=250,"High Usage","Very High Usage")))</f>
        <v>#REF!</v>
      </c>
      <c r="AE216" t="e">
        <f>IF(#REF!&lt;=5,"Low Calls", IF(#REF!&lt;=10, "Medium Calls", "High Calls"))</f>
        <v>#REF!</v>
      </c>
      <c r="AF216" t="e">
        <f xml:space="preserve">
IF(#REF!&gt;=4,4,0)+
IF(#REF!="yes",3,0)+
IF(#REF!="High Charges",3,0)+
IF(#REF!&gt;250,4,0)+
IF(#REF!="no",1,0)+
IF(#REF!="Heavy Domestic User",2,0)</f>
        <v>#REF!</v>
      </c>
      <c r="AG216" t="e">
        <f>IF(#REF!&gt;=10,"High Risk", IF(#REF!&gt;=5,"Medium Risk","Low Risk"))</f>
        <v>#REF!</v>
      </c>
      <c r="AH216" t="e">
        <f>#REF! + #REF! + #REF! + #REF!</f>
        <v>#REF!</v>
      </c>
    </row>
    <row r="217" spans="1:34" x14ac:dyDescent="0.35">
      <c r="A217">
        <v>216</v>
      </c>
      <c r="B217" t="s">
        <v>72</v>
      </c>
      <c r="C217">
        <v>151</v>
      </c>
      <c r="D217" t="s">
        <v>25</v>
      </c>
      <c r="E217" t="s">
        <v>22</v>
      </c>
      <c r="F217" t="s">
        <v>22</v>
      </c>
      <c r="G217">
        <v>0</v>
      </c>
      <c r="H217">
        <v>134.5</v>
      </c>
      <c r="I217">
        <v>88</v>
      </c>
      <c r="J217">
        <v>22.87</v>
      </c>
      <c r="K217">
        <v>143.1</v>
      </c>
      <c r="L217">
        <v>112</v>
      </c>
      <c r="M217">
        <v>12.16</v>
      </c>
      <c r="N217">
        <v>223.9</v>
      </c>
      <c r="O217">
        <v>61</v>
      </c>
      <c r="P217">
        <v>10.08</v>
      </c>
      <c r="Q217">
        <v>15.4</v>
      </c>
      <c r="R217">
        <v>1</v>
      </c>
      <c r="S217">
        <v>4.16</v>
      </c>
      <c r="T217">
        <v>1</v>
      </c>
      <c r="U217" t="s">
        <v>22</v>
      </c>
      <c r="V217" t="e">
        <f>IF(#REF! = "yes", 1, 0)</f>
        <v>#REF!</v>
      </c>
      <c r="W217" t="e">
        <f>IF(#REF! &lt;= 1, "0-1 Calls", IF(#REF! &lt;= 3, "2-3 Calls", IF(#REF! &lt;=5, "4-5 Calls", "6+ Calls")))</f>
        <v>#REF!</v>
      </c>
      <c r="X217" t="e">
        <f>IF(#REF! &lt;= 50, "0-50", IF(#REF! &lt;=100, "51-100", IF(#REF! &lt;= 150, "101-150", "151+")))</f>
        <v>#REF!</v>
      </c>
      <c r="Y217" t="e">
        <f>IF(#REF! &lt;= 3, "Low Charges", "High Charges")</f>
        <v>#REF!</v>
      </c>
      <c r="Z217" t="e">
        <f>IF(#REF!&lt;=80,"Low Calls",
IF(#REF!&lt;=120,"Medium Calls","High Calls"))</f>
        <v>#REF!</v>
      </c>
      <c r="AA217" t="e">
        <f>IF(#REF!&lt;=15,"Low Charges",
IF(#REF!&lt;=20,"Medium Charges","High Charges"))</f>
        <v>#REF!</v>
      </c>
      <c r="AB217" t="e">
        <f>IF(AND(#REF!&gt;180, #REF!&gt;200), "Heavy Doemstic User", IF(#REF!&gt;10, "Interntional User", IF(AND(#REF!&lt;180, #REF!&lt;200,#REF!&lt;200), "Light User", "Balanced User")))</f>
        <v>#REF!</v>
      </c>
      <c r="AC217" t="e">
        <f>IF(#REF! = 0, "No Usage", IF(#REF! &lt;= 20, "Low Usage", IF(#REF! &lt;= 40, "Medium Usgae", "High Usage")))</f>
        <v>#REF!</v>
      </c>
      <c r="AD217" t="e">
        <f>IF(#REF!&lt;=150,"Low Usage", IF(#REF!&lt;=200,"Medium Usage", IF(#REF!&lt;=250,"High Usage","Very High Usage")))</f>
        <v>#REF!</v>
      </c>
      <c r="AE217" t="e">
        <f>IF(#REF!&lt;=5,"Low Calls", IF(#REF!&lt;=10, "Medium Calls", "High Calls"))</f>
        <v>#REF!</v>
      </c>
      <c r="AF217" t="e">
        <f xml:space="preserve">
IF(#REF!&gt;=4,4,0)+
IF(#REF!="yes",3,0)+
IF(#REF!="High Charges",3,0)+
IF(#REF!&gt;250,4,0)+
IF(#REF!="no",1,0)+
IF(#REF!="Heavy Domestic User",2,0)</f>
        <v>#REF!</v>
      </c>
      <c r="AG217" t="e">
        <f>IF(#REF!&gt;=10,"High Risk", IF(#REF!&gt;=5,"Medium Risk","Low Risk"))</f>
        <v>#REF!</v>
      </c>
      <c r="AH217" t="e">
        <f>#REF! + #REF! + #REF! + #REF!</f>
        <v>#REF!</v>
      </c>
    </row>
    <row r="218" spans="1:34" x14ac:dyDescent="0.35">
      <c r="A218">
        <v>217</v>
      </c>
      <c r="B218" t="s">
        <v>61</v>
      </c>
      <c r="C218">
        <v>117</v>
      </c>
      <c r="D218" t="s">
        <v>21</v>
      </c>
      <c r="E218" t="s">
        <v>22</v>
      </c>
      <c r="F218" t="s">
        <v>22</v>
      </c>
      <c r="G218">
        <v>0</v>
      </c>
      <c r="H218">
        <v>143.30000000000001</v>
      </c>
      <c r="I218">
        <v>103</v>
      </c>
      <c r="J218">
        <v>24.36</v>
      </c>
      <c r="K218">
        <v>211.3</v>
      </c>
      <c r="L218">
        <v>108</v>
      </c>
      <c r="M218">
        <v>17.96</v>
      </c>
      <c r="N218">
        <v>185.2</v>
      </c>
      <c r="O218">
        <v>96</v>
      </c>
      <c r="P218">
        <v>8.33</v>
      </c>
      <c r="Q218">
        <v>11.5</v>
      </c>
      <c r="R218">
        <v>3</v>
      </c>
      <c r="S218">
        <v>3.11</v>
      </c>
      <c r="T218">
        <v>1</v>
      </c>
      <c r="U218" t="s">
        <v>22</v>
      </c>
      <c r="V218" t="e">
        <f>IF(#REF! = "yes", 1, 0)</f>
        <v>#REF!</v>
      </c>
      <c r="W218" t="e">
        <f>IF(#REF! &lt;= 1, "0-1 Calls", IF(#REF! &lt;= 3, "2-3 Calls", IF(#REF! &lt;=5, "4-5 Calls", "6+ Calls")))</f>
        <v>#REF!</v>
      </c>
      <c r="X218" t="e">
        <f>IF(#REF! &lt;= 50, "0-50", IF(#REF! &lt;=100, "51-100", IF(#REF! &lt;= 150, "101-150", "151+")))</f>
        <v>#REF!</v>
      </c>
      <c r="Y218" t="e">
        <f>IF(#REF! &lt;= 3, "Low Charges", "High Charges")</f>
        <v>#REF!</v>
      </c>
      <c r="Z218" t="e">
        <f>IF(#REF!&lt;=80,"Low Calls",
IF(#REF!&lt;=120,"Medium Calls","High Calls"))</f>
        <v>#REF!</v>
      </c>
      <c r="AA218" t="e">
        <f>IF(#REF!&lt;=15,"Low Charges",
IF(#REF!&lt;=20,"Medium Charges","High Charges"))</f>
        <v>#REF!</v>
      </c>
      <c r="AB218" t="e">
        <f>IF(AND(#REF!&gt;180, #REF!&gt;200), "Heavy Doemstic User", IF(#REF!&gt;10, "Interntional User", IF(AND(#REF!&lt;180, #REF!&lt;200,#REF!&lt;200), "Light User", "Balanced User")))</f>
        <v>#REF!</v>
      </c>
      <c r="AC218" t="e">
        <f>IF(#REF! = 0, "No Usage", IF(#REF! &lt;= 20, "Low Usage", IF(#REF! &lt;= 40, "Medium Usgae", "High Usage")))</f>
        <v>#REF!</v>
      </c>
      <c r="AD218" t="e">
        <f>IF(#REF!&lt;=150,"Low Usage", IF(#REF!&lt;=200,"Medium Usage", IF(#REF!&lt;=250,"High Usage","Very High Usage")))</f>
        <v>#REF!</v>
      </c>
      <c r="AE218" t="e">
        <f>IF(#REF!&lt;=5,"Low Calls", IF(#REF!&lt;=10, "Medium Calls", "High Calls"))</f>
        <v>#REF!</v>
      </c>
      <c r="AF218" t="e">
        <f xml:space="preserve">
IF(#REF!&gt;=4,4,0)+
IF(#REF!="yes",3,0)+
IF(#REF!="High Charges",3,0)+
IF(#REF!&gt;250,4,0)+
IF(#REF!="no",1,0)+
IF(#REF!="Heavy Domestic User",2,0)</f>
        <v>#REF!</v>
      </c>
      <c r="AG218" t="e">
        <f>IF(#REF!&gt;=10,"High Risk", IF(#REF!&gt;=5,"Medium Risk","Low Risk"))</f>
        <v>#REF!</v>
      </c>
      <c r="AH218" t="e">
        <f>#REF! + #REF! + #REF! + #REF!</f>
        <v>#REF!</v>
      </c>
    </row>
    <row r="219" spans="1:34" x14ac:dyDescent="0.35">
      <c r="A219">
        <v>218</v>
      </c>
      <c r="B219" t="s">
        <v>43</v>
      </c>
      <c r="C219">
        <v>78</v>
      </c>
      <c r="D219" t="s">
        <v>28</v>
      </c>
      <c r="E219" t="s">
        <v>22</v>
      </c>
      <c r="F219" t="s">
        <v>22</v>
      </c>
      <c r="G219">
        <v>0</v>
      </c>
      <c r="H219">
        <v>168.3</v>
      </c>
      <c r="I219">
        <v>110</v>
      </c>
      <c r="J219">
        <v>28.61</v>
      </c>
      <c r="K219">
        <v>221.2</v>
      </c>
      <c r="L219">
        <v>73</v>
      </c>
      <c r="M219">
        <v>18.8</v>
      </c>
      <c r="N219">
        <v>241</v>
      </c>
      <c r="O219">
        <v>136</v>
      </c>
      <c r="P219">
        <v>10.85</v>
      </c>
      <c r="Q219">
        <v>12.5</v>
      </c>
      <c r="R219">
        <v>1</v>
      </c>
      <c r="S219">
        <v>3.38</v>
      </c>
      <c r="T219">
        <v>1</v>
      </c>
      <c r="U219" t="s">
        <v>22</v>
      </c>
      <c r="V219" t="e">
        <f>IF(#REF! = "yes", 1, 0)</f>
        <v>#REF!</v>
      </c>
      <c r="W219" t="e">
        <f>IF(#REF! &lt;= 1, "0-1 Calls", IF(#REF! &lt;= 3, "2-3 Calls", IF(#REF! &lt;=5, "4-5 Calls", "6+ Calls")))</f>
        <v>#REF!</v>
      </c>
      <c r="X219" t="e">
        <f>IF(#REF! &lt;= 50, "0-50", IF(#REF! &lt;=100, "51-100", IF(#REF! &lt;= 150, "101-150", "151+")))</f>
        <v>#REF!</v>
      </c>
      <c r="Y219" t="e">
        <f>IF(#REF! &lt;= 3, "Low Charges", "High Charges")</f>
        <v>#REF!</v>
      </c>
      <c r="Z219" t="e">
        <f>IF(#REF!&lt;=80,"Low Calls",
IF(#REF!&lt;=120,"Medium Calls","High Calls"))</f>
        <v>#REF!</v>
      </c>
      <c r="AA219" t="e">
        <f>IF(#REF!&lt;=15,"Low Charges",
IF(#REF!&lt;=20,"Medium Charges","High Charges"))</f>
        <v>#REF!</v>
      </c>
      <c r="AB219" t="e">
        <f>IF(AND(#REF!&gt;180, #REF!&gt;200), "Heavy Doemstic User", IF(#REF!&gt;10, "Interntional User", IF(AND(#REF!&lt;180, #REF!&lt;200,#REF!&lt;200), "Light User", "Balanced User")))</f>
        <v>#REF!</v>
      </c>
      <c r="AC219" t="e">
        <f>IF(#REF! = 0, "No Usage", IF(#REF! &lt;= 20, "Low Usage", IF(#REF! &lt;= 40, "Medium Usgae", "High Usage")))</f>
        <v>#REF!</v>
      </c>
      <c r="AD219" t="e">
        <f>IF(#REF!&lt;=150,"Low Usage", IF(#REF!&lt;=200,"Medium Usage", IF(#REF!&lt;=250,"High Usage","Very High Usage")))</f>
        <v>#REF!</v>
      </c>
      <c r="AE219" t="e">
        <f>IF(#REF!&lt;=5,"Low Calls", IF(#REF!&lt;=10, "Medium Calls", "High Calls"))</f>
        <v>#REF!</v>
      </c>
      <c r="AF219" t="e">
        <f xml:space="preserve">
IF(#REF!&gt;=4,4,0)+
IF(#REF!="yes",3,0)+
IF(#REF!="High Charges",3,0)+
IF(#REF!&gt;250,4,0)+
IF(#REF!="no",1,0)+
IF(#REF!="Heavy Domestic User",2,0)</f>
        <v>#REF!</v>
      </c>
      <c r="AG219" t="e">
        <f>IF(#REF!&gt;=10,"High Risk", IF(#REF!&gt;=5,"Medium Risk","Low Risk"))</f>
        <v>#REF!</v>
      </c>
      <c r="AH219" t="e">
        <f>#REF! + #REF! + #REF! + #REF!</f>
        <v>#REF!</v>
      </c>
    </row>
    <row r="220" spans="1:34" x14ac:dyDescent="0.35">
      <c r="A220">
        <v>219</v>
      </c>
      <c r="B220" t="s">
        <v>58</v>
      </c>
      <c r="C220">
        <v>155</v>
      </c>
      <c r="D220" t="s">
        <v>25</v>
      </c>
      <c r="E220" t="s">
        <v>22</v>
      </c>
      <c r="F220" t="s">
        <v>22</v>
      </c>
      <c r="G220">
        <v>0</v>
      </c>
      <c r="H220">
        <v>262.39999999999998</v>
      </c>
      <c r="I220">
        <v>55</v>
      </c>
      <c r="J220">
        <v>44.61</v>
      </c>
      <c r="K220">
        <v>194.6</v>
      </c>
      <c r="L220">
        <v>113</v>
      </c>
      <c r="M220">
        <v>16.54</v>
      </c>
      <c r="N220">
        <v>146.5</v>
      </c>
      <c r="O220">
        <v>85</v>
      </c>
      <c r="P220">
        <v>6.59</v>
      </c>
      <c r="Q220">
        <v>8.3000000000000007</v>
      </c>
      <c r="R220">
        <v>6</v>
      </c>
      <c r="S220">
        <v>2.2400000000000002</v>
      </c>
      <c r="T220">
        <v>2</v>
      </c>
      <c r="U220" t="s">
        <v>22</v>
      </c>
      <c r="V220" t="e">
        <f>IF(#REF! = "yes", 1, 0)</f>
        <v>#REF!</v>
      </c>
      <c r="W220" t="e">
        <f>IF(#REF! &lt;= 1, "0-1 Calls", IF(#REF! &lt;= 3, "2-3 Calls", IF(#REF! &lt;=5, "4-5 Calls", "6+ Calls")))</f>
        <v>#REF!</v>
      </c>
      <c r="X220" t="e">
        <f>IF(#REF! &lt;= 50, "0-50", IF(#REF! &lt;=100, "51-100", IF(#REF! &lt;= 150, "101-150", "151+")))</f>
        <v>#REF!</v>
      </c>
      <c r="Y220" t="e">
        <f>IF(#REF! &lt;= 3, "Low Charges", "High Charges")</f>
        <v>#REF!</v>
      </c>
      <c r="Z220" t="e">
        <f>IF(#REF!&lt;=80,"Low Calls",
IF(#REF!&lt;=120,"Medium Calls","High Calls"))</f>
        <v>#REF!</v>
      </c>
      <c r="AA220" t="e">
        <f>IF(#REF!&lt;=15,"Low Charges",
IF(#REF!&lt;=20,"Medium Charges","High Charges"))</f>
        <v>#REF!</v>
      </c>
      <c r="AB220" t="e">
        <f>IF(AND(#REF!&gt;180, #REF!&gt;200), "Heavy Doemstic User", IF(#REF!&gt;10, "Interntional User", IF(AND(#REF!&lt;180, #REF!&lt;200,#REF!&lt;200), "Light User", "Balanced User")))</f>
        <v>#REF!</v>
      </c>
      <c r="AC220" t="e">
        <f>IF(#REF! = 0, "No Usage", IF(#REF! &lt;= 20, "Low Usage", IF(#REF! &lt;= 40, "Medium Usgae", "High Usage")))</f>
        <v>#REF!</v>
      </c>
      <c r="AD220" t="e">
        <f>IF(#REF!&lt;=150,"Low Usage", IF(#REF!&lt;=200,"Medium Usage", IF(#REF!&lt;=250,"High Usage","Very High Usage")))</f>
        <v>#REF!</v>
      </c>
      <c r="AE220" t="e">
        <f>IF(#REF!&lt;=5,"Low Calls", IF(#REF!&lt;=10, "Medium Calls", "High Calls"))</f>
        <v>#REF!</v>
      </c>
      <c r="AF220" t="e">
        <f xml:space="preserve">
IF(#REF!&gt;=4,4,0)+
IF(#REF!="yes",3,0)+
IF(#REF!="High Charges",3,0)+
IF(#REF!&gt;250,4,0)+
IF(#REF!="no",1,0)+
IF(#REF!="Heavy Domestic User",2,0)</f>
        <v>#REF!</v>
      </c>
      <c r="AG220" t="e">
        <f>IF(#REF!&gt;=10,"High Risk", IF(#REF!&gt;=5,"Medium Risk","Low Risk"))</f>
        <v>#REF!</v>
      </c>
      <c r="AH220" t="e">
        <f>#REF! + #REF! + #REF! + #REF!</f>
        <v>#REF!</v>
      </c>
    </row>
    <row r="221" spans="1:34" x14ac:dyDescent="0.35">
      <c r="A221">
        <v>220</v>
      </c>
      <c r="B221" t="s">
        <v>31</v>
      </c>
      <c r="C221">
        <v>114</v>
      </c>
      <c r="D221" t="s">
        <v>28</v>
      </c>
      <c r="E221" t="s">
        <v>22</v>
      </c>
      <c r="F221" t="s">
        <v>23</v>
      </c>
      <c r="G221">
        <v>30</v>
      </c>
      <c r="H221">
        <v>206.2</v>
      </c>
      <c r="I221">
        <v>79</v>
      </c>
      <c r="J221">
        <v>35.049999999999997</v>
      </c>
      <c r="K221">
        <v>260</v>
      </c>
      <c r="L221">
        <v>91</v>
      </c>
      <c r="M221">
        <v>22.1</v>
      </c>
      <c r="N221">
        <v>291.60000000000002</v>
      </c>
      <c r="O221">
        <v>83</v>
      </c>
      <c r="P221">
        <v>13.12</v>
      </c>
      <c r="Q221">
        <v>11.4</v>
      </c>
      <c r="R221">
        <v>6</v>
      </c>
      <c r="S221">
        <v>3.08</v>
      </c>
      <c r="T221">
        <v>1</v>
      </c>
      <c r="U221" t="s">
        <v>22</v>
      </c>
      <c r="V221" t="e">
        <f>IF(#REF! = "yes", 1, 0)</f>
        <v>#REF!</v>
      </c>
      <c r="W221" t="e">
        <f>IF(#REF! &lt;= 1, "0-1 Calls", IF(#REF! &lt;= 3, "2-3 Calls", IF(#REF! &lt;=5, "4-5 Calls", "6+ Calls")))</f>
        <v>#REF!</v>
      </c>
      <c r="X221" t="e">
        <f>IF(#REF! &lt;= 50, "0-50", IF(#REF! &lt;=100, "51-100", IF(#REF! &lt;= 150, "101-150", "151+")))</f>
        <v>#REF!</v>
      </c>
      <c r="Y221" t="e">
        <f>IF(#REF! &lt;= 3, "Low Charges", "High Charges")</f>
        <v>#REF!</v>
      </c>
      <c r="Z221" t="e">
        <f>IF(#REF!&lt;=80,"Low Calls",
IF(#REF!&lt;=120,"Medium Calls","High Calls"))</f>
        <v>#REF!</v>
      </c>
      <c r="AA221" t="e">
        <f>IF(#REF!&lt;=15,"Low Charges",
IF(#REF!&lt;=20,"Medium Charges","High Charges"))</f>
        <v>#REF!</v>
      </c>
      <c r="AB221" t="e">
        <f>IF(AND(#REF!&gt;180, #REF!&gt;200), "Heavy Doemstic User", IF(#REF!&gt;10, "Interntional User", IF(AND(#REF!&lt;180, #REF!&lt;200,#REF!&lt;200), "Light User", "Balanced User")))</f>
        <v>#REF!</v>
      </c>
      <c r="AC221" t="e">
        <f>IF(#REF! = 0, "No Usage", IF(#REF! &lt;= 20, "Low Usage", IF(#REF! &lt;= 40, "Medium Usgae", "High Usage")))</f>
        <v>#REF!</v>
      </c>
      <c r="AD221" t="e">
        <f>IF(#REF!&lt;=150,"Low Usage", IF(#REF!&lt;=200,"Medium Usage", IF(#REF!&lt;=250,"High Usage","Very High Usage")))</f>
        <v>#REF!</v>
      </c>
      <c r="AE221" t="e">
        <f>IF(#REF!&lt;=5,"Low Calls", IF(#REF!&lt;=10, "Medium Calls", "High Calls"))</f>
        <v>#REF!</v>
      </c>
      <c r="AF221" t="e">
        <f xml:space="preserve">
IF(#REF!&gt;=4,4,0)+
IF(#REF!="yes",3,0)+
IF(#REF!="High Charges",3,0)+
IF(#REF!&gt;250,4,0)+
IF(#REF!="no",1,0)+
IF(#REF!="Heavy Domestic User",2,0)</f>
        <v>#REF!</v>
      </c>
      <c r="AG221" t="e">
        <f>IF(#REF!&gt;=10,"High Risk", IF(#REF!&gt;=5,"Medium Risk","Low Risk"))</f>
        <v>#REF!</v>
      </c>
      <c r="AH221" t="e">
        <f>#REF! + #REF! + #REF! + #REF!</f>
        <v>#REF!</v>
      </c>
    </row>
    <row r="222" spans="1:34" x14ac:dyDescent="0.35">
      <c r="A222">
        <v>221</v>
      </c>
      <c r="B222" t="s">
        <v>33</v>
      </c>
      <c r="C222">
        <v>114</v>
      </c>
      <c r="D222" t="s">
        <v>28</v>
      </c>
      <c r="E222" t="s">
        <v>22</v>
      </c>
      <c r="F222" t="s">
        <v>23</v>
      </c>
      <c r="G222">
        <v>28</v>
      </c>
      <c r="H222">
        <v>225.8</v>
      </c>
      <c r="I222">
        <v>94</v>
      </c>
      <c r="J222">
        <v>38.39</v>
      </c>
      <c r="K222">
        <v>193</v>
      </c>
      <c r="L222">
        <v>117</v>
      </c>
      <c r="M222">
        <v>16.41</v>
      </c>
      <c r="N222">
        <v>232.4</v>
      </c>
      <c r="O222">
        <v>100</v>
      </c>
      <c r="P222">
        <v>10.46</v>
      </c>
      <c r="Q222">
        <v>8.4</v>
      </c>
      <c r="R222">
        <v>9</v>
      </c>
      <c r="S222">
        <v>2.27</v>
      </c>
      <c r="T222">
        <v>4</v>
      </c>
      <c r="U222" t="s">
        <v>22</v>
      </c>
      <c r="V222" t="e">
        <f>IF(#REF! = "yes", 1, 0)</f>
        <v>#REF!</v>
      </c>
      <c r="W222" t="e">
        <f>IF(#REF! &lt;= 1, "0-1 Calls", IF(#REF! &lt;= 3, "2-3 Calls", IF(#REF! &lt;=5, "4-5 Calls", "6+ Calls")))</f>
        <v>#REF!</v>
      </c>
      <c r="X222" t="e">
        <f>IF(#REF! &lt;= 50, "0-50", IF(#REF! &lt;=100, "51-100", IF(#REF! &lt;= 150, "101-150", "151+")))</f>
        <v>#REF!</v>
      </c>
      <c r="Y222" t="e">
        <f>IF(#REF! &lt;= 3, "Low Charges", "High Charges")</f>
        <v>#REF!</v>
      </c>
      <c r="Z222" t="e">
        <f>IF(#REF!&lt;=80,"Low Calls",
IF(#REF!&lt;=120,"Medium Calls","High Calls"))</f>
        <v>#REF!</v>
      </c>
      <c r="AA222" t="e">
        <f>IF(#REF!&lt;=15,"Low Charges",
IF(#REF!&lt;=20,"Medium Charges","High Charges"))</f>
        <v>#REF!</v>
      </c>
      <c r="AB222" t="e">
        <f>IF(AND(#REF!&gt;180, #REF!&gt;200), "Heavy Doemstic User", IF(#REF!&gt;10, "Interntional User", IF(AND(#REF!&lt;180, #REF!&lt;200,#REF!&lt;200), "Light User", "Balanced User")))</f>
        <v>#REF!</v>
      </c>
      <c r="AC222" t="e">
        <f>IF(#REF! = 0, "No Usage", IF(#REF! &lt;= 20, "Low Usage", IF(#REF! &lt;= 40, "Medium Usgae", "High Usage")))</f>
        <v>#REF!</v>
      </c>
      <c r="AD222" t="e">
        <f>IF(#REF!&lt;=150,"Low Usage", IF(#REF!&lt;=200,"Medium Usage", IF(#REF!&lt;=250,"High Usage","Very High Usage")))</f>
        <v>#REF!</v>
      </c>
      <c r="AE222" t="e">
        <f>IF(#REF!&lt;=5,"Low Calls", IF(#REF!&lt;=10, "Medium Calls", "High Calls"))</f>
        <v>#REF!</v>
      </c>
      <c r="AF222" t="e">
        <f xml:space="preserve">
IF(#REF!&gt;=4,4,0)+
IF(#REF!="yes",3,0)+
IF(#REF!="High Charges",3,0)+
IF(#REF!&gt;250,4,0)+
IF(#REF!="no",1,0)+
IF(#REF!="Heavy Domestic User",2,0)</f>
        <v>#REF!</v>
      </c>
      <c r="AG222" t="e">
        <f>IF(#REF!&gt;=10,"High Risk", IF(#REF!&gt;=5,"Medium Risk","Low Risk"))</f>
        <v>#REF!</v>
      </c>
      <c r="AH222" t="e">
        <f>#REF! + #REF! + #REF! + #REF!</f>
        <v>#REF!</v>
      </c>
    </row>
    <row r="223" spans="1:34" x14ac:dyDescent="0.35">
      <c r="A223">
        <v>222</v>
      </c>
      <c r="B223" t="s">
        <v>46</v>
      </c>
      <c r="C223">
        <v>119</v>
      </c>
      <c r="D223" t="s">
        <v>25</v>
      </c>
      <c r="E223" t="s">
        <v>22</v>
      </c>
      <c r="F223" t="s">
        <v>22</v>
      </c>
      <c r="G223">
        <v>0</v>
      </c>
      <c r="H223">
        <v>138.30000000000001</v>
      </c>
      <c r="I223">
        <v>89</v>
      </c>
      <c r="J223">
        <v>23.51</v>
      </c>
      <c r="K223">
        <v>170.5</v>
      </c>
      <c r="L223">
        <v>78</v>
      </c>
      <c r="M223">
        <v>14.49</v>
      </c>
      <c r="N223">
        <v>263.89999999999998</v>
      </c>
      <c r="O223">
        <v>98</v>
      </c>
      <c r="P223">
        <v>11.88</v>
      </c>
      <c r="Q223">
        <v>13.5</v>
      </c>
      <c r="R223">
        <v>6</v>
      </c>
      <c r="S223">
        <v>3.65</v>
      </c>
      <c r="T223">
        <v>3</v>
      </c>
      <c r="U223" t="s">
        <v>22</v>
      </c>
      <c r="V223" t="e">
        <f>IF(#REF! = "yes", 1, 0)</f>
        <v>#REF!</v>
      </c>
      <c r="W223" t="e">
        <f>IF(#REF! &lt;= 1, "0-1 Calls", IF(#REF! &lt;= 3, "2-3 Calls", IF(#REF! &lt;=5, "4-5 Calls", "6+ Calls")))</f>
        <v>#REF!</v>
      </c>
      <c r="X223" t="e">
        <f>IF(#REF! &lt;= 50, "0-50", IF(#REF! &lt;=100, "51-100", IF(#REF! &lt;= 150, "101-150", "151+")))</f>
        <v>#REF!</v>
      </c>
      <c r="Y223" t="e">
        <f>IF(#REF! &lt;= 3, "Low Charges", "High Charges")</f>
        <v>#REF!</v>
      </c>
      <c r="Z223" t="e">
        <f>IF(#REF!&lt;=80,"Low Calls",
IF(#REF!&lt;=120,"Medium Calls","High Calls"))</f>
        <v>#REF!</v>
      </c>
      <c r="AA223" t="e">
        <f>IF(#REF!&lt;=15,"Low Charges",
IF(#REF!&lt;=20,"Medium Charges","High Charges"))</f>
        <v>#REF!</v>
      </c>
      <c r="AB223" t="e">
        <f>IF(AND(#REF!&gt;180, #REF!&gt;200), "Heavy Doemstic User", IF(#REF!&gt;10, "Interntional User", IF(AND(#REF!&lt;180, #REF!&lt;200,#REF!&lt;200), "Light User", "Balanced User")))</f>
        <v>#REF!</v>
      </c>
      <c r="AC223" t="e">
        <f>IF(#REF! = 0, "No Usage", IF(#REF! &lt;= 20, "Low Usage", IF(#REF! &lt;= 40, "Medium Usgae", "High Usage")))</f>
        <v>#REF!</v>
      </c>
      <c r="AD223" t="e">
        <f>IF(#REF!&lt;=150,"Low Usage", IF(#REF!&lt;=200,"Medium Usage", IF(#REF!&lt;=250,"High Usage","Very High Usage")))</f>
        <v>#REF!</v>
      </c>
      <c r="AE223" t="e">
        <f>IF(#REF!&lt;=5,"Low Calls", IF(#REF!&lt;=10, "Medium Calls", "High Calls"))</f>
        <v>#REF!</v>
      </c>
      <c r="AF223" t="e">
        <f xml:space="preserve">
IF(#REF!&gt;=4,4,0)+
IF(#REF!="yes",3,0)+
IF(#REF!="High Charges",3,0)+
IF(#REF!&gt;250,4,0)+
IF(#REF!="no",1,0)+
IF(#REF!="Heavy Domestic User",2,0)</f>
        <v>#REF!</v>
      </c>
      <c r="AG223" t="e">
        <f>IF(#REF!&gt;=10,"High Risk", IF(#REF!&gt;=5,"Medium Risk","Low Risk"))</f>
        <v>#REF!</v>
      </c>
      <c r="AH223" t="e">
        <f>#REF! + #REF! + #REF! + #REF!</f>
        <v>#REF!</v>
      </c>
    </row>
    <row r="224" spans="1:34" x14ac:dyDescent="0.35">
      <c r="A224">
        <v>223</v>
      </c>
      <c r="B224" t="s">
        <v>27</v>
      </c>
      <c r="C224">
        <v>118</v>
      </c>
      <c r="D224" t="s">
        <v>25</v>
      </c>
      <c r="E224" t="s">
        <v>23</v>
      </c>
      <c r="F224" t="s">
        <v>22</v>
      </c>
      <c r="G224">
        <v>0</v>
      </c>
      <c r="H224">
        <v>160</v>
      </c>
      <c r="I224">
        <v>123</v>
      </c>
      <c r="J224">
        <v>27.2</v>
      </c>
      <c r="K224">
        <v>175.4</v>
      </c>
      <c r="L224">
        <v>96</v>
      </c>
      <c r="M224">
        <v>14.91</v>
      </c>
      <c r="N224">
        <v>184.8</v>
      </c>
      <c r="O224">
        <v>99</v>
      </c>
      <c r="P224">
        <v>8.32</v>
      </c>
      <c r="Q224">
        <v>9.9</v>
      </c>
      <c r="R224">
        <v>3</v>
      </c>
      <c r="S224">
        <v>2.67</v>
      </c>
      <c r="T224">
        <v>2</v>
      </c>
      <c r="U224" t="s">
        <v>22</v>
      </c>
      <c r="V224" t="e">
        <f>IF(#REF! = "yes", 1, 0)</f>
        <v>#REF!</v>
      </c>
      <c r="W224" t="e">
        <f>IF(#REF! &lt;= 1, "0-1 Calls", IF(#REF! &lt;= 3, "2-3 Calls", IF(#REF! &lt;=5, "4-5 Calls", "6+ Calls")))</f>
        <v>#REF!</v>
      </c>
      <c r="X224" t="e">
        <f>IF(#REF! &lt;= 50, "0-50", IF(#REF! &lt;=100, "51-100", IF(#REF! &lt;= 150, "101-150", "151+")))</f>
        <v>#REF!</v>
      </c>
      <c r="Y224" t="e">
        <f>IF(#REF! &lt;= 3, "Low Charges", "High Charges")</f>
        <v>#REF!</v>
      </c>
      <c r="Z224" t="e">
        <f>IF(#REF!&lt;=80,"Low Calls",
IF(#REF!&lt;=120,"Medium Calls","High Calls"))</f>
        <v>#REF!</v>
      </c>
      <c r="AA224" t="e">
        <f>IF(#REF!&lt;=15,"Low Charges",
IF(#REF!&lt;=20,"Medium Charges","High Charges"))</f>
        <v>#REF!</v>
      </c>
      <c r="AB224" t="e">
        <f>IF(AND(#REF!&gt;180, #REF!&gt;200), "Heavy Doemstic User", IF(#REF!&gt;10, "Interntional User", IF(AND(#REF!&lt;180, #REF!&lt;200,#REF!&lt;200), "Light User", "Balanced User")))</f>
        <v>#REF!</v>
      </c>
      <c r="AC224" t="e">
        <f>IF(#REF! = 0, "No Usage", IF(#REF! &lt;= 20, "Low Usage", IF(#REF! &lt;= 40, "Medium Usgae", "High Usage")))</f>
        <v>#REF!</v>
      </c>
      <c r="AD224" t="e">
        <f>IF(#REF!&lt;=150,"Low Usage", IF(#REF!&lt;=200,"Medium Usage", IF(#REF!&lt;=250,"High Usage","Very High Usage")))</f>
        <v>#REF!</v>
      </c>
      <c r="AE224" t="e">
        <f>IF(#REF!&lt;=5,"Low Calls", IF(#REF!&lt;=10, "Medium Calls", "High Calls"))</f>
        <v>#REF!</v>
      </c>
      <c r="AF224" t="e">
        <f xml:space="preserve">
IF(#REF!&gt;=4,4,0)+
IF(#REF!="yes",3,0)+
IF(#REF!="High Charges",3,0)+
IF(#REF!&gt;250,4,0)+
IF(#REF!="no",1,0)+
IF(#REF!="Heavy Domestic User",2,0)</f>
        <v>#REF!</v>
      </c>
      <c r="AG224" t="e">
        <f>IF(#REF!&gt;=10,"High Risk", IF(#REF!&gt;=5,"Medium Risk","Low Risk"))</f>
        <v>#REF!</v>
      </c>
      <c r="AH224" t="e">
        <f>#REF! + #REF! + #REF! + #REF!</f>
        <v>#REF!</v>
      </c>
    </row>
    <row r="225" spans="1:34" x14ac:dyDescent="0.35">
      <c r="A225">
        <v>224</v>
      </c>
      <c r="B225" t="s">
        <v>73</v>
      </c>
      <c r="C225">
        <v>101</v>
      </c>
      <c r="D225" t="s">
        <v>21</v>
      </c>
      <c r="E225" t="s">
        <v>22</v>
      </c>
      <c r="F225" t="s">
        <v>22</v>
      </c>
      <c r="G225">
        <v>0</v>
      </c>
      <c r="H225">
        <v>206.6</v>
      </c>
      <c r="I225">
        <v>105</v>
      </c>
      <c r="J225">
        <v>35.119999999999997</v>
      </c>
      <c r="K225">
        <v>224.9</v>
      </c>
      <c r="L225">
        <v>117</v>
      </c>
      <c r="M225">
        <v>19.12</v>
      </c>
      <c r="N225">
        <v>249.9</v>
      </c>
      <c r="O225">
        <v>100</v>
      </c>
      <c r="P225">
        <v>11.25</v>
      </c>
      <c r="Q225">
        <v>14.6</v>
      </c>
      <c r="R225">
        <v>3</v>
      </c>
      <c r="S225">
        <v>3.94</v>
      </c>
      <c r="T225">
        <v>0</v>
      </c>
      <c r="U225" t="s">
        <v>22</v>
      </c>
      <c r="V225" t="e">
        <f>IF(#REF! = "yes", 1, 0)</f>
        <v>#REF!</v>
      </c>
      <c r="W225" t="e">
        <f>IF(#REF! &lt;= 1, "0-1 Calls", IF(#REF! &lt;= 3, "2-3 Calls", IF(#REF! &lt;=5, "4-5 Calls", "6+ Calls")))</f>
        <v>#REF!</v>
      </c>
      <c r="X225" t="e">
        <f>IF(#REF! &lt;= 50, "0-50", IF(#REF! &lt;=100, "51-100", IF(#REF! &lt;= 150, "101-150", "151+")))</f>
        <v>#REF!</v>
      </c>
      <c r="Y225" t="e">
        <f>IF(#REF! &lt;= 3, "Low Charges", "High Charges")</f>
        <v>#REF!</v>
      </c>
      <c r="Z225" t="e">
        <f>IF(#REF!&lt;=80,"Low Calls",
IF(#REF!&lt;=120,"Medium Calls","High Calls"))</f>
        <v>#REF!</v>
      </c>
      <c r="AA225" t="e">
        <f>IF(#REF!&lt;=15,"Low Charges",
IF(#REF!&lt;=20,"Medium Charges","High Charges"))</f>
        <v>#REF!</v>
      </c>
      <c r="AB225" t="e">
        <f>IF(AND(#REF!&gt;180, #REF!&gt;200), "Heavy Doemstic User", IF(#REF!&gt;10, "Interntional User", IF(AND(#REF!&lt;180, #REF!&lt;200,#REF!&lt;200), "Light User", "Balanced User")))</f>
        <v>#REF!</v>
      </c>
      <c r="AC225" t="e">
        <f>IF(#REF! = 0, "No Usage", IF(#REF! &lt;= 20, "Low Usage", IF(#REF! &lt;= 40, "Medium Usgae", "High Usage")))</f>
        <v>#REF!</v>
      </c>
      <c r="AD225" t="e">
        <f>IF(#REF!&lt;=150,"Low Usage", IF(#REF!&lt;=200,"Medium Usage", IF(#REF!&lt;=250,"High Usage","Very High Usage")))</f>
        <v>#REF!</v>
      </c>
      <c r="AE225" t="e">
        <f>IF(#REF!&lt;=5,"Low Calls", IF(#REF!&lt;=10, "Medium Calls", "High Calls"))</f>
        <v>#REF!</v>
      </c>
      <c r="AF225" t="e">
        <f xml:space="preserve">
IF(#REF!&gt;=4,4,0)+
IF(#REF!="yes",3,0)+
IF(#REF!="High Charges",3,0)+
IF(#REF!&gt;250,4,0)+
IF(#REF!="no",1,0)+
IF(#REF!="Heavy Domestic User",2,0)</f>
        <v>#REF!</v>
      </c>
      <c r="AG225" t="e">
        <f>IF(#REF!&gt;=10,"High Risk", IF(#REF!&gt;=5,"Medium Risk","Low Risk"))</f>
        <v>#REF!</v>
      </c>
      <c r="AH225" t="e">
        <f>#REF! + #REF! + #REF! + #REF!</f>
        <v>#REF!</v>
      </c>
    </row>
    <row r="226" spans="1:34" x14ac:dyDescent="0.35">
      <c r="A226">
        <v>225</v>
      </c>
      <c r="B226" t="s">
        <v>26</v>
      </c>
      <c r="C226">
        <v>117</v>
      </c>
      <c r="D226" t="s">
        <v>21</v>
      </c>
      <c r="E226" t="s">
        <v>22</v>
      </c>
      <c r="F226" t="s">
        <v>22</v>
      </c>
      <c r="G226">
        <v>0</v>
      </c>
      <c r="H226">
        <v>134.69999999999999</v>
      </c>
      <c r="I226">
        <v>121</v>
      </c>
      <c r="J226">
        <v>22.9</v>
      </c>
      <c r="K226">
        <v>180</v>
      </c>
      <c r="L226">
        <v>83</v>
      </c>
      <c r="M226">
        <v>15.3</v>
      </c>
      <c r="N226">
        <v>200.9</v>
      </c>
      <c r="O226">
        <v>104</v>
      </c>
      <c r="P226">
        <v>9.0399999999999991</v>
      </c>
      <c r="Q226">
        <v>7.7</v>
      </c>
      <c r="R226">
        <v>3</v>
      </c>
      <c r="S226">
        <v>2.08</v>
      </c>
      <c r="T226">
        <v>1</v>
      </c>
      <c r="U226" t="s">
        <v>22</v>
      </c>
      <c r="V226" t="e">
        <f>IF(#REF! = "yes", 1, 0)</f>
        <v>#REF!</v>
      </c>
      <c r="W226" t="e">
        <f>IF(#REF! &lt;= 1, "0-1 Calls", IF(#REF! &lt;= 3, "2-3 Calls", IF(#REF! &lt;=5, "4-5 Calls", "6+ Calls")))</f>
        <v>#REF!</v>
      </c>
      <c r="X226" t="e">
        <f>IF(#REF! &lt;= 50, "0-50", IF(#REF! &lt;=100, "51-100", IF(#REF! &lt;= 150, "101-150", "151+")))</f>
        <v>#REF!</v>
      </c>
      <c r="Y226" t="e">
        <f>IF(#REF! &lt;= 3, "Low Charges", "High Charges")</f>
        <v>#REF!</v>
      </c>
      <c r="Z226" t="e">
        <f>IF(#REF!&lt;=80,"Low Calls",
IF(#REF!&lt;=120,"Medium Calls","High Calls"))</f>
        <v>#REF!</v>
      </c>
      <c r="AA226" t="e">
        <f>IF(#REF!&lt;=15,"Low Charges",
IF(#REF!&lt;=20,"Medium Charges","High Charges"))</f>
        <v>#REF!</v>
      </c>
      <c r="AB226" t="e">
        <f>IF(AND(#REF!&gt;180, #REF!&gt;200), "Heavy Doemstic User", IF(#REF!&gt;10, "Interntional User", IF(AND(#REF!&lt;180, #REF!&lt;200,#REF!&lt;200), "Light User", "Balanced User")))</f>
        <v>#REF!</v>
      </c>
      <c r="AC226" t="e">
        <f>IF(#REF! = 0, "No Usage", IF(#REF! &lt;= 20, "Low Usage", IF(#REF! &lt;= 40, "Medium Usgae", "High Usage")))</f>
        <v>#REF!</v>
      </c>
      <c r="AD226" t="e">
        <f>IF(#REF!&lt;=150,"Low Usage", IF(#REF!&lt;=200,"Medium Usage", IF(#REF!&lt;=250,"High Usage","Very High Usage")))</f>
        <v>#REF!</v>
      </c>
      <c r="AE226" t="e">
        <f>IF(#REF!&lt;=5,"Low Calls", IF(#REF!&lt;=10, "Medium Calls", "High Calls"))</f>
        <v>#REF!</v>
      </c>
      <c r="AF226" t="e">
        <f xml:space="preserve">
IF(#REF!&gt;=4,4,0)+
IF(#REF!="yes",3,0)+
IF(#REF!="High Charges",3,0)+
IF(#REF!&gt;250,4,0)+
IF(#REF!="no",1,0)+
IF(#REF!="Heavy Domestic User",2,0)</f>
        <v>#REF!</v>
      </c>
      <c r="AG226" t="e">
        <f>IF(#REF!&gt;=10,"High Risk", IF(#REF!&gt;=5,"Medium Risk","Low Risk"))</f>
        <v>#REF!</v>
      </c>
      <c r="AH226" t="e">
        <f>#REF! + #REF! + #REF! + #REF!</f>
        <v>#REF!</v>
      </c>
    </row>
    <row r="227" spans="1:34" x14ac:dyDescent="0.35">
      <c r="A227">
        <v>226</v>
      </c>
      <c r="B227" t="s">
        <v>68</v>
      </c>
      <c r="C227">
        <v>49</v>
      </c>
      <c r="D227" t="s">
        <v>21</v>
      </c>
      <c r="E227" t="s">
        <v>22</v>
      </c>
      <c r="F227" t="s">
        <v>23</v>
      </c>
      <c r="G227">
        <v>28</v>
      </c>
      <c r="H227">
        <v>214.4</v>
      </c>
      <c r="I227">
        <v>78</v>
      </c>
      <c r="J227">
        <v>36.450000000000003</v>
      </c>
      <c r="K227">
        <v>235.2</v>
      </c>
      <c r="L227">
        <v>100</v>
      </c>
      <c r="M227">
        <v>19.989999999999998</v>
      </c>
      <c r="N227">
        <v>206.2</v>
      </c>
      <c r="O227">
        <v>107</v>
      </c>
      <c r="P227">
        <v>9.2799999999999994</v>
      </c>
      <c r="Q227">
        <v>8</v>
      </c>
      <c r="R227">
        <v>13</v>
      </c>
      <c r="S227">
        <v>2.16</v>
      </c>
      <c r="T227">
        <v>3</v>
      </c>
      <c r="U227" t="s">
        <v>22</v>
      </c>
      <c r="V227" t="e">
        <f>IF(#REF! = "yes", 1, 0)</f>
        <v>#REF!</v>
      </c>
      <c r="W227" t="e">
        <f>IF(#REF! &lt;= 1, "0-1 Calls", IF(#REF! &lt;= 3, "2-3 Calls", IF(#REF! &lt;=5, "4-5 Calls", "6+ Calls")))</f>
        <v>#REF!</v>
      </c>
      <c r="X227" t="e">
        <f>IF(#REF! &lt;= 50, "0-50", IF(#REF! &lt;=100, "51-100", IF(#REF! &lt;= 150, "101-150", "151+")))</f>
        <v>#REF!</v>
      </c>
      <c r="Y227" t="e">
        <f>IF(#REF! &lt;= 3, "Low Charges", "High Charges")</f>
        <v>#REF!</v>
      </c>
      <c r="Z227" t="e">
        <f>IF(#REF!&lt;=80,"Low Calls",
IF(#REF!&lt;=120,"Medium Calls","High Calls"))</f>
        <v>#REF!</v>
      </c>
      <c r="AA227" t="e">
        <f>IF(#REF!&lt;=15,"Low Charges",
IF(#REF!&lt;=20,"Medium Charges","High Charges"))</f>
        <v>#REF!</v>
      </c>
      <c r="AB227" t="e">
        <f>IF(AND(#REF!&gt;180, #REF!&gt;200), "Heavy Doemstic User", IF(#REF!&gt;10, "Interntional User", IF(AND(#REF!&lt;180, #REF!&lt;200,#REF!&lt;200), "Light User", "Balanced User")))</f>
        <v>#REF!</v>
      </c>
      <c r="AC227" t="e">
        <f>IF(#REF! = 0, "No Usage", IF(#REF! &lt;= 20, "Low Usage", IF(#REF! &lt;= 40, "Medium Usgae", "High Usage")))</f>
        <v>#REF!</v>
      </c>
      <c r="AD227" t="e">
        <f>IF(#REF!&lt;=150,"Low Usage", IF(#REF!&lt;=200,"Medium Usage", IF(#REF!&lt;=250,"High Usage","Very High Usage")))</f>
        <v>#REF!</v>
      </c>
      <c r="AE227" t="e">
        <f>IF(#REF!&lt;=5,"Low Calls", IF(#REF!&lt;=10, "Medium Calls", "High Calls"))</f>
        <v>#REF!</v>
      </c>
      <c r="AF227" t="e">
        <f xml:space="preserve">
IF(#REF!&gt;=4,4,0)+
IF(#REF!="yes",3,0)+
IF(#REF!="High Charges",3,0)+
IF(#REF!&gt;250,4,0)+
IF(#REF!="no",1,0)+
IF(#REF!="Heavy Domestic User",2,0)</f>
        <v>#REF!</v>
      </c>
      <c r="AG227" t="e">
        <f>IF(#REF!&gt;=10,"High Risk", IF(#REF!&gt;=5,"Medium Risk","Low Risk"))</f>
        <v>#REF!</v>
      </c>
      <c r="AH227" t="e">
        <f>#REF! + #REF! + #REF! + #REF!</f>
        <v>#REF!</v>
      </c>
    </row>
    <row r="228" spans="1:34" x14ac:dyDescent="0.35">
      <c r="A228">
        <v>227</v>
      </c>
      <c r="B228" t="s">
        <v>44</v>
      </c>
      <c r="C228">
        <v>139</v>
      </c>
      <c r="D228" t="s">
        <v>21</v>
      </c>
      <c r="E228" t="s">
        <v>22</v>
      </c>
      <c r="F228" t="s">
        <v>22</v>
      </c>
      <c r="G228">
        <v>0</v>
      </c>
      <c r="H228">
        <v>192.8</v>
      </c>
      <c r="I228">
        <v>104</v>
      </c>
      <c r="J228">
        <v>32.78</v>
      </c>
      <c r="K228">
        <v>234.4</v>
      </c>
      <c r="L228">
        <v>96</v>
      </c>
      <c r="M228">
        <v>19.920000000000002</v>
      </c>
      <c r="N228">
        <v>203.2</v>
      </c>
      <c r="O228">
        <v>101</v>
      </c>
      <c r="P228">
        <v>9.14</v>
      </c>
      <c r="Q228">
        <v>13</v>
      </c>
      <c r="R228">
        <v>3</v>
      </c>
      <c r="S228">
        <v>3.51</v>
      </c>
      <c r="T228">
        <v>3</v>
      </c>
      <c r="U228" t="s">
        <v>22</v>
      </c>
      <c r="V228" t="e">
        <f>IF(#REF! = "yes", 1, 0)</f>
        <v>#REF!</v>
      </c>
      <c r="W228" t="e">
        <f>IF(#REF! &lt;= 1, "0-1 Calls", IF(#REF! &lt;= 3, "2-3 Calls", IF(#REF! &lt;=5, "4-5 Calls", "6+ Calls")))</f>
        <v>#REF!</v>
      </c>
      <c r="X228" t="e">
        <f>IF(#REF! &lt;= 50, "0-50", IF(#REF! &lt;=100, "51-100", IF(#REF! &lt;= 150, "101-150", "151+")))</f>
        <v>#REF!</v>
      </c>
      <c r="Y228" t="e">
        <f>IF(#REF! &lt;= 3, "Low Charges", "High Charges")</f>
        <v>#REF!</v>
      </c>
      <c r="Z228" t="e">
        <f>IF(#REF!&lt;=80,"Low Calls",
IF(#REF!&lt;=120,"Medium Calls","High Calls"))</f>
        <v>#REF!</v>
      </c>
      <c r="AA228" t="e">
        <f>IF(#REF!&lt;=15,"Low Charges",
IF(#REF!&lt;=20,"Medium Charges","High Charges"))</f>
        <v>#REF!</v>
      </c>
      <c r="AB228" t="e">
        <f>IF(AND(#REF!&gt;180, #REF!&gt;200), "Heavy Doemstic User", IF(#REF!&gt;10, "Interntional User", IF(AND(#REF!&lt;180, #REF!&lt;200,#REF!&lt;200), "Light User", "Balanced User")))</f>
        <v>#REF!</v>
      </c>
      <c r="AC228" t="e">
        <f>IF(#REF! = 0, "No Usage", IF(#REF! &lt;= 20, "Low Usage", IF(#REF! &lt;= 40, "Medium Usgae", "High Usage")))</f>
        <v>#REF!</v>
      </c>
      <c r="AD228" t="e">
        <f>IF(#REF!&lt;=150,"Low Usage", IF(#REF!&lt;=200,"Medium Usage", IF(#REF!&lt;=250,"High Usage","Very High Usage")))</f>
        <v>#REF!</v>
      </c>
      <c r="AE228" t="e">
        <f>IF(#REF!&lt;=5,"Low Calls", IF(#REF!&lt;=10, "Medium Calls", "High Calls"))</f>
        <v>#REF!</v>
      </c>
      <c r="AF228" t="e">
        <f xml:space="preserve">
IF(#REF!&gt;=4,4,0)+
IF(#REF!="yes",3,0)+
IF(#REF!="High Charges",3,0)+
IF(#REF!&gt;250,4,0)+
IF(#REF!="no",1,0)+
IF(#REF!="Heavy Domestic User",2,0)</f>
        <v>#REF!</v>
      </c>
      <c r="AG228" t="e">
        <f>IF(#REF!&gt;=10,"High Risk", IF(#REF!&gt;=5,"Medium Risk","Low Risk"))</f>
        <v>#REF!</v>
      </c>
      <c r="AH228" t="e">
        <f>#REF! + #REF! + #REF! + #REF!</f>
        <v>#REF!</v>
      </c>
    </row>
    <row r="229" spans="1:34" x14ac:dyDescent="0.35">
      <c r="A229">
        <v>228</v>
      </c>
      <c r="B229" t="s">
        <v>73</v>
      </c>
      <c r="C229">
        <v>92</v>
      </c>
      <c r="D229" t="s">
        <v>25</v>
      </c>
      <c r="E229" t="s">
        <v>22</v>
      </c>
      <c r="F229" t="s">
        <v>23</v>
      </c>
      <c r="G229">
        <v>28</v>
      </c>
      <c r="H229">
        <v>151.1</v>
      </c>
      <c r="I229">
        <v>90</v>
      </c>
      <c r="J229">
        <v>25.69</v>
      </c>
      <c r="K229">
        <v>194.8</v>
      </c>
      <c r="L229">
        <v>79</v>
      </c>
      <c r="M229">
        <v>16.559999999999999</v>
      </c>
      <c r="N229">
        <v>239.2</v>
      </c>
      <c r="O229">
        <v>114</v>
      </c>
      <c r="P229">
        <v>10.76</v>
      </c>
      <c r="Q229">
        <v>10</v>
      </c>
      <c r="R229">
        <v>3</v>
      </c>
      <c r="S229">
        <v>2.7</v>
      </c>
      <c r="T229">
        <v>1</v>
      </c>
      <c r="U229" t="s">
        <v>22</v>
      </c>
      <c r="V229" t="e">
        <f>IF(#REF! = "yes", 1, 0)</f>
        <v>#REF!</v>
      </c>
      <c r="W229" t="e">
        <f>IF(#REF! &lt;= 1, "0-1 Calls", IF(#REF! &lt;= 3, "2-3 Calls", IF(#REF! &lt;=5, "4-5 Calls", "6+ Calls")))</f>
        <v>#REF!</v>
      </c>
      <c r="X229" t="e">
        <f>IF(#REF! &lt;= 50, "0-50", IF(#REF! &lt;=100, "51-100", IF(#REF! &lt;= 150, "101-150", "151+")))</f>
        <v>#REF!</v>
      </c>
      <c r="Y229" t="e">
        <f>IF(#REF! &lt;= 3, "Low Charges", "High Charges")</f>
        <v>#REF!</v>
      </c>
      <c r="Z229" t="e">
        <f>IF(#REF!&lt;=80,"Low Calls",
IF(#REF!&lt;=120,"Medium Calls","High Calls"))</f>
        <v>#REF!</v>
      </c>
      <c r="AA229" t="e">
        <f>IF(#REF!&lt;=15,"Low Charges",
IF(#REF!&lt;=20,"Medium Charges","High Charges"))</f>
        <v>#REF!</v>
      </c>
      <c r="AB229" t="e">
        <f>IF(AND(#REF!&gt;180, #REF!&gt;200), "Heavy Doemstic User", IF(#REF!&gt;10, "Interntional User", IF(AND(#REF!&lt;180, #REF!&lt;200,#REF!&lt;200), "Light User", "Balanced User")))</f>
        <v>#REF!</v>
      </c>
      <c r="AC229" t="e">
        <f>IF(#REF! = 0, "No Usage", IF(#REF! &lt;= 20, "Low Usage", IF(#REF! &lt;= 40, "Medium Usgae", "High Usage")))</f>
        <v>#REF!</v>
      </c>
      <c r="AD229" t="e">
        <f>IF(#REF!&lt;=150,"Low Usage", IF(#REF!&lt;=200,"Medium Usage", IF(#REF!&lt;=250,"High Usage","Very High Usage")))</f>
        <v>#REF!</v>
      </c>
      <c r="AE229" t="e">
        <f>IF(#REF!&lt;=5,"Low Calls", IF(#REF!&lt;=10, "Medium Calls", "High Calls"))</f>
        <v>#REF!</v>
      </c>
      <c r="AF229" t="e">
        <f xml:space="preserve">
IF(#REF!&gt;=4,4,0)+
IF(#REF!="yes",3,0)+
IF(#REF!="High Charges",3,0)+
IF(#REF!&gt;250,4,0)+
IF(#REF!="no",1,0)+
IF(#REF!="Heavy Domestic User",2,0)</f>
        <v>#REF!</v>
      </c>
      <c r="AG229" t="e">
        <f>IF(#REF!&gt;=10,"High Risk", IF(#REF!&gt;=5,"Medium Risk","Low Risk"))</f>
        <v>#REF!</v>
      </c>
      <c r="AH229" t="e">
        <f>#REF! + #REF! + #REF! + #REF!</f>
        <v>#REF!</v>
      </c>
    </row>
    <row r="230" spans="1:34" x14ac:dyDescent="0.35">
      <c r="A230">
        <v>229</v>
      </c>
      <c r="B230" t="s">
        <v>45</v>
      </c>
      <c r="C230">
        <v>148</v>
      </c>
      <c r="D230" t="s">
        <v>28</v>
      </c>
      <c r="E230" t="s">
        <v>23</v>
      </c>
      <c r="F230" t="s">
        <v>22</v>
      </c>
      <c r="G230">
        <v>0</v>
      </c>
      <c r="H230">
        <v>218.9</v>
      </c>
      <c r="I230">
        <v>88</v>
      </c>
      <c r="J230">
        <v>37.21</v>
      </c>
      <c r="K230">
        <v>208</v>
      </c>
      <c r="L230">
        <v>85</v>
      </c>
      <c r="M230">
        <v>17.68</v>
      </c>
      <c r="N230">
        <v>203.3</v>
      </c>
      <c r="O230">
        <v>99</v>
      </c>
      <c r="P230">
        <v>9.15</v>
      </c>
      <c r="Q230">
        <v>11.1</v>
      </c>
      <c r="R230">
        <v>4</v>
      </c>
      <c r="S230">
        <v>3</v>
      </c>
      <c r="T230">
        <v>0</v>
      </c>
      <c r="U230" t="s">
        <v>22</v>
      </c>
      <c r="V230" t="e">
        <f>IF(#REF! = "yes", 1, 0)</f>
        <v>#REF!</v>
      </c>
      <c r="W230" t="e">
        <f>IF(#REF! &lt;= 1, "0-1 Calls", IF(#REF! &lt;= 3, "2-3 Calls", IF(#REF! &lt;=5, "4-5 Calls", "6+ Calls")))</f>
        <v>#REF!</v>
      </c>
      <c r="X230" t="e">
        <f>IF(#REF! &lt;= 50, "0-50", IF(#REF! &lt;=100, "51-100", IF(#REF! &lt;= 150, "101-150", "151+")))</f>
        <v>#REF!</v>
      </c>
      <c r="Y230" t="e">
        <f>IF(#REF! &lt;= 3, "Low Charges", "High Charges")</f>
        <v>#REF!</v>
      </c>
      <c r="Z230" t="e">
        <f>IF(#REF!&lt;=80,"Low Calls",
IF(#REF!&lt;=120,"Medium Calls","High Calls"))</f>
        <v>#REF!</v>
      </c>
      <c r="AA230" t="e">
        <f>IF(#REF!&lt;=15,"Low Charges",
IF(#REF!&lt;=20,"Medium Charges","High Charges"))</f>
        <v>#REF!</v>
      </c>
      <c r="AB230" t="e">
        <f>IF(AND(#REF!&gt;180, #REF!&gt;200), "Heavy Doemstic User", IF(#REF!&gt;10, "Interntional User", IF(AND(#REF!&lt;180, #REF!&lt;200,#REF!&lt;200), "Light User", "Balanced User")))</f>
        <v>#REF!</v>
      </c>
      <c r="AC230" t="e">
        <f>IF(#REF! = 0, "No Usage", IF(#REF! &lt;= 20, "Low Usage", IF(#REF! &lt;= 40, "Medium Usgae", "High Usage")))</f>
        <v>#REF!</v>
      </c>
      <c r="AD230" t="e">
        <f>IF(#REF!&lt;=150,"Low Usage", IF(#REF!&lt;=200,"Medium Usage", IF(#REF!&lt;=250,"High Usage","Very High Usage")))</f>
        <v>#REF!</v>
      </c>
      <c r="AE230" t="e">
        <f>IF(#REF!&lt;=5,"Low Calls", IF(#REF!&lt;=10, "Medium Calls", "High Calls"))</f>
        <v>#REF!</v>
      </c>
      <c r="AF230" t="e">
        <f xml:space="preserve">
IF(#REF!&gt;=4,4,0)+
IF(#REF!="yes",3,0)+
IF(#REF!="High Charges",3,0)+
IF(#REF!&gt;250,4,0)+
IF(#REF!="no",1,0)+
IF(#REF!="Heavy Domestic User",2,0)</f>
        <v>#REF!</v>
      </c>
      <c r="AG230" t="e">
        <f>IF(#REF!&gt;=10,"High Risk", IF(#REF!&gt;=5,"Medium Risk","Low Risk"))</f>
        <v>#REF!</v>
      </c>
      <c r="AH230" t="e">
        <f>#REF! + #REF! + #REF! + #REF!</f>
        <v>#REF!</v>
      </c>
    </row>
    <row r="231" spans="1:34" x14ac:dyDescent="0.35">
      <c r="A231">
        <v>230</v>
      </c>
      <c r="B231" t="s">
        <v>57</v>
      </c>
      <c r="C231">
        <v>144</v>
      </c>
      <c r="D231" t="s">
        <v>25</v>
      </c>
      <c r="E231" t="s">
        <v>22</v>
      </c>
      <c r="F231" t="s">
        <v>23</v>
      </c>
      <c r="G231">
        <v>48</v>
      </c>
      <c r="H231">
        <v>189.8</v>
      </c>
      <c r="I231">
        <v>96</v>
      </c>
      <c r="J231">
        <v>32.270000000000003</v>
      </c>
      <c r="K231">
        <v>123.4</v>
      </c>
      <c r="L231">
        <v>67</v>
      </c>
      <c r="M231">
        <v>10.49</v>
      </c>
      <c r="N231">
        <v>214.2</v>
      </c>
      <c r="O231">
        <v>106</v>
      </c>
      <c r="P231">
        <v>9.64</v>
      </c>
      <c r="Q231">
        <v>6.5</v>
      </c>
      <c r="R231">
        <v>2</v>
      </c>
      <c r="S231">
        <v>1.76</v>
      </c>
      <c r="T231">
        <v>2</v>
      </c>
      <c r="U231" t="s">
        <v>23</v>
      </c>
      <c r="V231" t="e">
        <f>IF(#REF! = "yes", 1, 0)</f>
        <v>#REF!</v>
      </c>
      <c r="W231" t="e">
        <f>IF(#REF! &lt;= 1, "0-1 Calls", IF(#REF! &lt;= 3, "2-3 Calls", IF(#REF! &lt;=5, "4-5 Calls", "6+ Calls")))</f>
        <v>#REF!</v>
      </c>
      <c r="X231" t="e">
        <f>IF(#REF! &lt;= 50, "0-50", IF(#REF! &lt;=100, "51-100", IF(#REF! &lt;= 150, "101-150", "151+")))</f>
        <v>#REF!</v>
      </c>
      <c r="Y231" t="e">
        <f>IF(#REF! &lt;= 3, "Low Charges", "High Charges")</f>
        <v>#REF!</v>
      </c>
      <c r="Z231" t="e">
        <f>IF(#REF!&lt;=80,"Low Calls",
IF(#REF!&lt;=120,"Medium Calls","High Calls"))</f>
        <v>#REF!</v>
      </c>
      <c r="AA231" t="e">
        <f>IF(#REF!&lt;=15,"Low Charges",
IF(#REF!&lt;=20,"Medium Charges","High Charges"))</f>
        <v>#REF!</v>
      </c>
      <c r="AB231" t="e">
        <f>IF(AND(#REF!&gt;180, #REF!&gt;200), "Heavy Doemstic User", IF(#REF!&gt;10, "Interntional User", IF(AND(#REF!&lt;180, #REF!&lt;200,#REF!&lt;200), "Light User", "Balanced User")))</f>
        <v>#REF!</v>
      </c>
      <c r="AC231" t="e">
        <f>IF(#REF! = 0, "No Usage", IF(#REF! &lt;= 20, "Low Usage", IF(#REF! &lt;= 40, "Medium Usgae", "High Usage")))</f>
        <v>#REF!</v>
      </c>
      <c r="AD231" t="e">
        <f>IF(#REF!&lt;=150,"Low Usage", IF(#REF!&lt;=200,"Medium Usage", IF(#REF!&lt;=250,"High Usage","Very High Usage")))</f>
        <v>#REF!</v>
      </c>
      <c r="AE231" t="e">
        <f>IF(#REF!&lt;=5,"Low Calls", IF(#REF!&lt;=10, "Medium Calls", "High Calls"))</f>
        <v>#REF!</v>
      </c>
      <c r="AF231" t="e">
        <f xml:space="preserve">
IF(#REF!&gt;=4,4,0)+
IF(#REF!="yes",3,0)+
IF(#REF!="High Charges",3,0)+
IF(#REF!&gt;250,4,0)+
IF(#REF!="no",1,0)+
IF(#REF!="Heavy Domestic User",2,0)</f>
        <v>#REF!</v>
      </c>
      <c r="AG231" t="e">
        <f>IF(#REF!&gt;=10,"High Risk", IF(#REF!&gt;=5,"Medium Risk","Low Risk"))</f>
        <v>#REF!</v>
      </c>
      <c r="AH231" t="e">
        <f>#REF! + #REF! + #REF! + #REF!</f>
        <v>#REF!</v>
      </c>
    </row>
    <row r="232" spans="1:34" x14ac:dyDescent="0.35">
      <c r="A232">
        <v>231</v>
      </c>
      <c r="B232" t="s">
        <v>68</v>
      </c>
      <c r="C232">
        <v>131</v>
      </c>
      <c r="D232" t="s">
        <v>21</v>
      </c>
      <c r="E232" t="s">
        <v>22</v>
      </c>
      <c r="F232" t="s">
        <v>23</v>
      </c>
      <c r="G232">
        <v>25</v>
      </c>
      <c r="H232">
        <v>192.7</v>
      </c>
      <c r="I232">
        <v>85</v>
      </c>
      <c r="J232">
        <v>32.76</v>
      </c>
      <c r="K232">
        <v>225.9</v>
      </c>
      <c r="L232">
        <v>105</v>
      </c>
      <c r="M232">
        <v>19.2</v>
      </c>
      <c r="N232">
        <v>254.2</v>
      </c>
      <c r="O232">
        <v>59</v>
      </c>
      <c r="P232">
        <v>11.44</v>
      </c>
      <c r="Q232">
        <v>10.9</v>
      </c>
      <c r="R232">
        <v>6</v>
      </c>
      <c r="S232">
        <v>2.94</v>
      </c>
      <c r="T232">
        <v>2</v>
      </c>
      <c r="U232" t="s">
        <v>22</v>
      </c>
      <c r="V232" t="e">
        <f>IF(#REF! = "yes", 1, 0)</f>
        <v>#REF!</v>
      </c>
      <c r="W232" t="e">
        <f>IF(#REF! &lt;= 1, "0-1 Calls", IF(#REF! &lt;= 3, "2-3 Calls", IF(#REF! &lt;=5, "4-5 Calls", "6+ Calls")))</f>
        <v>#REF!</v>
      </c>
      <c r="X232" t="e">
        <f>IF(#REF! &lt;= 50, "0-50", IF(#REF! &lt;=100, "51-100", IF(#REF! &lt;= 150, "101-150", "151+")))</f>
        <v>#REF!</v>
      </c>
      <c r="Y232" t="e">
        <f>IF(#REF! &lt;= 3, "Low Charges", "High Charges")</f>
        <v>#REF!</v>
      </c>
      <c r="Z232" t="e">
        <f>IF(#REF!&lt;=80,"Low Calls",
IF(#REF!&lt;=120,"Medium Calls","High Calls"))</f>
        <v>#REF!</v>
      </c>
      <c r="AA232" t="e">
        <f>IF(#REF!&lt;=15,"Low Charges",
IF(#REF!&lt;=20,"Medium Charges","High Charges"))</f>
        <v>#REF!</v>
      </c>
      <c r="AB232" t="e">
        <f>IF(AND(#REF!&gt;180, #REF!&gt;200), "Heavy Doemstic User", IF(#REF!&gt;10, "Interntional User", IF(AND(#REF!&lt;180, #REF!&lt;200,#REF!&lt;200), "Light User", "Balanced User")))</f>
        <v>#REF!</v>
      </c>
      <c r="AC232" t="e">
        <f>IF(#REF! = 0, "No Usage", IF(#REF! &lt;= 20, "Low Usage", IF(#REF! &lt;= 40, "Medium Usgae", "High Usage")))</f>
        <v>#REF!</v>
      </c>
      <c r="AD232" t="e">
        <f>IF(#REF!&lt;=150,"Low Usage", IF(#REF!&lt;=200,"Medium Usage", IF(#REF!&lt;=250,"High Usage","Very High Usage")))</f>
        <v>#REF!</v>
      </c>
      <c r="AE232" t="e">
        <f>IF(#REF!&lt;=5,"Low Calls", IF(#REF!&lt;=10, "Medium Calls", "High Calls"))</f>
        <v>#REF!</v>
      </c>
      <c r="AF232" t="e">
        <f xml:space="preserve">
IF(#REF!&gt;=4,4,0)+
IF(#REF!="yes",3,0)+
IF(#REF!="High Charges",3,0)+
IF(#REF!&gt;250,4,0)+
IF(#REF!="no",1,0)+
IF(#REF!="Heavy Domestic User",2,0)</f>
        <v>#REF!</v>
      </c>
      <c r="AG232" t="e">
        <f>IF(#REF!&gt;=10,"High Risk", IF(#REF!&gt;=5,"Medium Risk","Low Risk"))</f>
        <v>#REF!</v>
      </c>
      <c r="AH232" t="e">
        <f>#REF! + #REF! + #REF! + #REF!</f>
        <v>#REF!</v>
      </c>
    </row>
    <row r="233" spans="1:34" x14ac:dyDescent="0.35">
      <c r="A233">
        <v>232</v>
      </c>
      <c r="B233" t="s">
        <v>64</v>
      </c>
      <c r="C233">
        <v>146</v>
      </c>
      <c r="D233" t="s">
        <v>28</v>
      </c>
      <c r="E233" t="s">
        <v>23</v>
      </c>
      <c r="F233" t="s">
        <v>22</v>
      </c>
      <c r="G233">
        <v>0</v>
      </c>
      <c r="H233">
        <v>204.4</v>
      </c>
      <c r="I233">
        <v>135</v>
      </c>
      <c r="J233">
        <v>34.75</v>
      </c>
      <c r="K233">
        <v>219.1</v>
      </c>
      <c r="L233">
        <v>90</v>
      </c>
      <c r="M233">
        <v>18.62</v>
      </c>
      <c r="N233">
        <v>222.7</v>
      </c>
      <c r="O233">
        <v>114</v>
      </c>
      <c r="P233">
        <v>10.02</v>
      </c>
      <c r="Q233">
        <v>10.5</v>
      </c>
      <c r="R233">
        <v>6</v>
      </c>
      <c r="S233">
        <v>2.84</v>
      </c>
      <c r="T233">
        <v>3</v>
      </c>
      <c r="U233" t="s">
        <v>22</v>
      </c>
      <c r="V233" t="e">
        <f>IF(#REF! = "yes", 1, 0)</f>
        <v>#REF!</v>
      </c>
      <c r="W233" t="e">
        <f>IF(#REF! &lt;= 1, "0-1 Calls", IF(#REF! &lt;= 3, "2-3 Calls", IF(#REF! &lt;=5, "4-5 Calls", "6+ Calls")))</f>
        <v>#REF!</v>
      </c>
      <c r="X233" t="e">
        <f>IF(#REF! &lt;= 50, "0-50", IF(#REF! &lt;=100, "51-100", IF(#REF! &lt;= 150, "101-150", "151+")))</f>
        <v>#REF!</v>
      </c>
      <c r="Y233" t="e">
        <f>IF(#REF! &lt;= 3, "Low Charges", "High Charges")</f>
        <v>#REF!</v>
      </c>
      <c r="Z233" t="e">
        <f>IF(#REF!&lt;=80,"Low Calls",
IF(#REF!&lt;=120,"Medium Calls","High Calls"))</f>
        <v>#REF!</v>
      </c>
      <c r="AA233" t="e">
        <f>IF(#REF!&lt;=15,"Low Charges",
IF(#REF!&lt;=20,"Medium Charges","High Charges"))</f>
        <v>#REF!</v>
      </c>
      <c r="AB233" t="e">
        <f>IF(AND(#REF!&gt;180, #REF!&gt;200), "Heavy Doemstic User", IF(#REF!&gt;10, "Interntional User", IF(AND(#REF!&lt;180, #REF!&lt;200,#REF!&lt;200), "Light User", "Balanced User")))</f>
        <v>#REF!</v>
      </c>
      <c r="AC233" t="e">
        <f>IF(#REF! = 0, "No Usage", IF(#REF! &lt;= 20, "Low Usage", IF(#REF! &lt;= 40, "Medium Usgae", "High Usage")))</f>
        <v>#REF!</v>
      </c>
      <c r="AD233" t="e">
        <f>IF(#REF!&lt;=150,"Low Usage", IF(#REF!&lt;=200,"Medium Usage", IF(#REF!&lt;=250,"High Usage","Very High Usage")))</f>
        <v>#REF!</v>
      </c>
      <c r="AE233" t="e">
        <f>IF(#REF!&lt;=5,"Low Calls", IF(#REF!&lt;=10, "Medium Calls", "High Calls"))</f>
        <v>#REF!</v>
      </c>
      <c r="AF233" t="e">
        <f xml:space="preserve">
IF(#REF!&gt;=4,4,0)+
IF(#REF!="yes",3,0)+
IF(#REF!="High Charges",3,0)+
IF(#REF!&gt;250,4,0)+
IF(#REF!="no",1,0)+
IF(#REF!="Heavy Domestic User",2,0)</f>
        <v>#REF!</v>
      </c>
      <c r="AG233" t="e">
        <f>IF(#REF!&gt;=10,"High Risk", IF(#REF!&gt;=5,"Medium Risk","Low Risk"))</f>
        <v>#REF!</v>
      </c>
      <c r="AH233" t="e">
        <f>#REF! + #REF! + #REF! + #REF!</f>
        <v>#REF!</v>
      </c>
    </row>
    <row r="234" spans="1:34" x14ac:dyDescent="0.35">
      <c r="A234">
        <v>233</v>
      </c>
      <c r="B234" t="s">
        <v>35</v>
      </c>
      <c r="C234">
        <v>143</v>
      </c>
      <c r="D234" t="s">
        <v>21</v>
      </c>
      <c r="E234" t="s">
        <v>22</v>
      </c>
      <c r="F234" t="s">
        <v>22</v>
      </c>
      <c r="G234">
        <v>0</v>
      </c>
      <c r="H234">
        <v>172.3</v>
      </c>
      <c r="I234">
        <v>97</v>
      </c>
      <c r="J234">
        <v>29.29</v>
      </c>
      <c r="K234">
        <v>174</v>
      </c>
      <c r="L234">
        <v>108</v>
      </c>
      <c r="M234">
        <v>14.79</v>
      </c>
      <c r="N234">
        <v>188.2</v>
      </c>
      <c r="O234">
        <v>119</v>
      </c>
      <c r="P234">
        <v>8.4700000000000006</v>
      </c>
      <c r="Q234">
        <v>13</v>
      </c>
      <c r="R234">
        <v>4</v>
      </c>
      <c r="S234">
        <v>3.51</v>
      </c>
      <c r="T234">
        <v>2</v>
      </c>
      <c r="U234" t="s">
        <v>22</v>
      </c>
      <c r="V234" t="e">
        <f>IF(#REF! = "yes", 1, 0)</f>
        <v>#REF!</v>
      </c>
      <c r="W234" t="e">
        <f>IF(#REF! &lt;= 1, "0-1 Calls", IF(#REF! &lt;= 3, "2-3 Calls", IF(#REF! &lt;=5, "4-5 Calls", "6+ Calls")))</f>
        <v>#REF!</v>
      </c>
      <c r="X234" t="e">
        <f>IF(#REF! &lt;= 50, "0-50", IF(#REF! &lt;=100, "51-100", IF(#REF! &lt;= 150, "101-150", "151+")))</f>
        <v>#REF!</v>
      </c>
      <c r="Y234" t="e">
        <f>IF(#REF! &lt;= 3, "Low Charges", "High Charges")</f>
        <v>#REF!</v>
      </c>
      <c r="Z234" t="e">
        <f>IF(#REF!&lt;=80,"Low Calls",
IF(#REF!&lt;=120,"Medium Calls","High Calls"))</f>
        <v>#REF!</v>
      </c>
      <c r="AA234" t="e">
        <f>IF(#REF!&lt;=15,"Low Charges",
IF(#REF!&lt;=20,"Medium Charges","High Charges"))</f>
        <v>#REF!</v>
      </c>
      <c r="AB234" t="e">
        <f>IF(AND(#REF!&gt;180, #REF!&gt;200), "Heavy Doemstic User", IF(#REF!&gt;10, "Interntional User", IF(AND(#REF!&lt;180, #REF!&lt;200,#REF!&lt;200), "Light User", "Balanced User")))</f>
        <v>#REF!</v>
      </c>
      <c r="AC234" t="e">
        <f>IF(#REF! = 0, "No Usage", IF(#REF! &lt;= 20, "Low Usage", IF(#REF! &lt;= 40, "Medium Usgae", "High Usage")))</f>
        <v>#REF!</v>
      </c>
      <c r="AD234" t="e">
        <f>IF(#REF!&lt;=150,"Low Usage", IF(#REF!&lt;=200,"Medium Usage", IF(#REF!&lt;=250,"High Usage","Very High Usage")))</f>
        <v>#REF!</v>
      </c>
      <c r="AE234" t="e">
        <f>IF(#REF!&lt;=5,"Low Calls", IF(#REF!&lt;=10, "Medium Calls", "High Calls"))</f>
        <v>#REF!</v>
      </c>
      <c r="AF234" t="e">
        <f xml:space="preserve">
IF(#REF!&gt;=4,4,0)+
IF(#REF!="yes",3,0)+
IF(#REF!="High Charges",3,0)+
IF(#REF!&gt;250,4,0)+
IF(#REF!="no",1,0)+
IF(#REF!="Heavy Domestic User",2,0)</f>
        <v>#REF!</v>
      </c>
      <c r="AG234" t="e">
        <f>IF(#REF!&gt;=10,"High Risk", IF(#REF!&gt;=5,"Medium Risk","Low Risk"))</f>
        <v>#REF!</v>
      </c>
      <c r="AH234" t="e">
        <f>#REF! + #REF! + #REF! + #REF!</f>
        <v>#REF!</v>
      </c>
    </row>
    <row r="235" spans="1:34" x14ac:dyDescent="0.35">
      <c r="A235">
        <v>234</v>
      </c>
      <c r="B235" t="s">
        <v>60</v>
      </c>
      <c r="C235">
        <v>81</v>
      </c>
      <c r="D235" t="s">
        <v>21</v>
      </c>
      <c r="E235" t="s">
        <v>22</v>
      </c>
      <c r="F235" t="s">
        <v>22</v>
      </c>
      <c r="G235">
        <v>0</v>
      </c>
      <c r="H235">
        <v>198.4</v>
      </c>
      <c r="I235">
        <v>93</v>
      </c>
      <c r="J235">
        <v>33.729999999999997</v>
      </c>
      <c r="K235">
        <v>210.9</v>
      </c>
      <c r="L235">
        <v>108</v>
      </c>
      <c r="M235">
        <v>17.93</v>
      </c>
      <c r="N235">
        <v>193.3</v>
      </c>
      <c r="O235">
        <v>71</v>
      </c>
      <c r="P235">
        <v>8.6999999999999993</v>
      </c>
      <c r="Q235">
        <v>10.4</v>
      </c>
      <c r="R235">
        <v>6</v>
      </c>
      <c r="S235">
        <v>2.81</v>
      </c>
      <c r="T235">
        <v>2</v>
      </c>
      <c r="U235" t="s">
        <v>22</v>
      </c>
      <c r="V235" t="e">
        <f>IF(#REF! = "yes", 1, 0)</f>
        <v>#REF!</v>
      </c>
      <c r="W235" t="e">
        <f>IF(#REF! &lt;= 1, "0-1 Calls", IF(#REF! &lt;= 3, "2-3 Calls", IF(#REF! &lt;=5, "4-5 Calls", "6+ Calls")))</f>
        <v>#REF!</v>
      </c>
      <c r="X235" t="e">
        <f>IF(#REF! &lt;= 50, "0-50", IF(#REF! &lt;=100, "51-100", IF(#REF! &lt;= 150, "101-150", "151+")))</f>
        <v>#REF!</v>
      </c>
      <c r="Y235" t="e">
        <f>IF(#REF! &lt;= 3, "Low Charges", "High Charges")</f>
        <v>#REF!</v>
      </c>
      <c r="Z235" t="e">
        <f>IF(#REF!&lt;=80,"Low Calls",
IF(#REF!&lt;=120,"Medium Calls","High Calls"))</f>
        <v>#REF!</v>
      </c>
      <c r="AA235" t="e">
        <f>IF(#REF!&lt;=15,"Low Charges",
IF(#REF!&lt;=20,"Medium Charges","High Charges"))</f>
        <v>#REF!</v>
      </c>
      <c r="AB235" t="e">
        <f>IF(AND(#REF!&gt;180, #REF!&gt;200), "Heavy Doemstic User", IF(#REF!&gt;10, "Interntional User", IF(AND(#REF!&lt;180, #REF!&lt;200,#REF!&lt;200), "Light User", "Balanced User")))</f>
        <v>#REF!</v>
      </c>
      <c r="AC235" t="e">
        <f>IF(#REF! = 0, "No Usage", IF(#REF! &lt;= 20, "Low Usage", IF(#REF! &lt;= 40, "Medium Usgae", "High Usage")))</f>
        <v>#REF!</v>
      </c>
      <c r="AD235" t="e">
        <f>IF(#REF!&lt;=150,"Low Usage", IF(#REF!&lt;=200,"Medium Usage", IF(#REF!&lt;=250,"High Usage","Very High Usage")))</f>
        <v>#REF!</v>
      </c>
      <c r="AE235" t="e">
        <f>IF(#REF!&lt;=5,"Low Calls", IF(#REF!&lt;=10, "Medium Calls", "High Calls"))</f>
        <v>#REF!</v>
      </c>
      <c r="AF235" t="e">
        <f xml:space="preserve">
IF(#REF!&gt;=4,4,0)+
IF(#REF!="yes",3,0)+
IF(#REF!="High Charges",3,0)+
IF(#REF!&gt;250,4,0)+
IF(#REF!="no",1,0)+
IF(#REF!="Heavy Domestic User",2,0)</f>
        <v>#REF!</v>
      </c>
      <c r="AG235" t="e">
        <f>IF(#REF!&gt;=10,"High Risk", IF(#REF!&gt;=5,"Medium Risk","Low Risk"))</f>
        <v>#REF!</v>
      </c>
      <c r="AH235" t="e">
        <f>#REF! + #REF! + #REF! + #REF!</f>
        <v>#REF!</v>
      </c>
    </row>
    <row r="236" spans="1:34" x14ac:dyDescent="0.35">
      <c r="A236">
        <v>235</v>
      </c>
      <c r="B236" t="s">
        <v>47</v>
      </c>
      <c r="C236">
        <v>48</v>
      </c>
      <c r="D236" t="s">
        <v>21</v>
      </c>
      <c r="E236" t="s">
        <v>22</v>
      </c>
      <c r="F236" t="s">
        <v>23</v>
      </c>
      <c r="G236">
        <v>37</v>
      </c>
      <c r="H236">
        <v>211.7</v>
      </c>
      <c r="I236">
        <v>115</v>
      </c>
      <c r="J236">
        <v>35.99</v>
      </c>
      <c r="K236">
        <v>159.9</v>
      </c>
      <c r="L236">
        <v>84</v>
      </c>
      <c r="M236">
        <v>13.59</v>
      </c>
      <c r="N236">
        <v>144.1</v>
      </c>
      <c r="O236">
        <v>80</v>
      </c>
      <c r="P236">
        <v>6.48</v>
      </c>
      <c r="Q236">
        <v>12.2</v>
      </c>
      <c r="R236">
        <v>1</v>
      </c>
      <c r="S236">
        <v>3.29</v>
      </c>
      <c r="T236">
        <v>1</v>
      </c>
      <c r="U236" t="s">
        <v>22</v>
      </c>
      <c r="V236" t="e">
        <f>IF(#REF! = "yes", 1, 0)</f>
        <v>#REF!</v>
      </c>
      <c r="W236" t="e">
        <f>IF(#REF! &lt;= 1, "0-1 Calls", IF(#REF! &lt;= 3, "2-3 Calls", IF(#REF! &lt;=5, "4-5 Calls", "6+ Calls")))</f>
        <v>#REF!</v>
      </c>
      <c r="X236" t="e">
        <f>IF(#REF! &lt;= 50, "0-50", IF(#REF! &lt;=100, "51-100", IF(#REF! &lt;= 150, "101-150", "151+")))</f>
        <v>#REF!</v>
      </c>
      <c r="Y236" t="e">
        <f>IF(#REF! &lt;= 3, "Low Charges", "High Charges")</f>
        <v>#REF!</v>
      </c>
      <c r="Z236" t="e">
        <f>IF(#REF!&lt;=80,"Low Calls",
IF(#REF!&lt;=120,"Medium Calls","High Calls"))</f>
        <v>#REF!</v>
      </c>
      <c r="AA236" t="e">
        <f>IF(#REF!&lt;=15,"Low Charges",
IF(#REF!&lt;=20,"Medium Charges","High Charges"))</f>
        <v>#REF!</v>
      </c>
      <c r="AB236" t="e">
        <f>IF(AND(#REF!&gt;180, #REF!&gt;200), "Heavy Doemstic User", IF(#REF!&gt;10, "Interntional User", IF(AND(#REF!&lt;180, #REF!&lt;200,#REF!&lt;200), "Light User", "Balanced User")))</f>
        <v>#REF!</v>
      </c>
      <c r="AC236" t="e">
        <f>IF(#REF! = 0, "No Usage", IF(#REF! &lt;= 20, "Low Usage", IF(#REF! &lt;= 40, "Medium Usgae", "High Usage")))</f>
        <v>#REF!</v>
      </c>
      <c r="AD236" t="e">
        <f>IF(#REF!&lt;=150,"Low Usage", IF(#REF!&lt;=200,"Medium Usage", IF(#REF!&lt;=250,"High Usage","Very High Usage")))</f>
        <v>#REF!</v>
      </c>
      <c r="AE236" t="e">
        <f>IF(#REF!&lt;=5,"Low Calls", IF(#REF!&lt;=10, "Medium Calls", "High Calls"))</f>
        <v>#REF!</v>
      </c>
      <c r="AF236" t="e">
        <f xml:space="preserve">
IF(#REF!&gt;=4,4,0)+
IF(#REF!="yes",3,0)+
IF(#REF!="High Charges",3,0)+
IF(#REF!&gt;250,4,0)+
IF(#REF!="no",1,0)+
IF(#REF!="Heavy Domestic User",2,0)</f>
        <v>#REF!</v>
      </c>
      <c r="AG236" t="e">
        <f>IF(#REF!&gt;=10,"High Risk", IF(#REF!&gt;=5,"Medium Risk","Low Risk"))</f>
        <v>#REF!</v>
      </c>
      <c r="AH236" t="e">
        <f>#REF! + #REF! + #REF! + #REF!</f>
        <v>#REF!</v>
      </c>
    </row>
    <row r="237" spans="1:34" x14ac:dyDescent="0.35">
      <c r="A237">
        <v>236</v>
      </c>
      <c r="B237" t="s">
        <v>57</v>
      </c>
      <c r="C237">
        <v>145</v>
      </c>
      <c r="D237" t="s">
        <v>25</v>
      </c>
      <c r="E237" t="s">
        <v>22</v>
      </c>
      <c r="F237" t="s">
        <v>23</v>
      </c>
      <c r="G237">
        <v>24</v>
      </c>
      <c r="H237">
        <v>147.5</v>
      </c>
      <c r="I237">
        <v>90</v>
      </c>
      <c r="J237">
        <v>25.08</v>
      </c>
      <c r="K237">
        <v>175.7</v>
      </c>
      <c r="L237">
        <v>108</v>
      </c>
      <c r="M237">
        <v>14.93</v>
      </c>
      <c r="N237">
        <v>252.1</v>
      </c>
      <c r="O237">
        <v>102</v>
      </c>
      <c r="P237">
        <v>11.34</v>
      </c>
      <c r="Q237">
        <v>15.6</v>
      </c>
      <c r="R237">
        <v>3</v>
      </c>
      <c r="S237">
        <v>4.21</v>
      </c>
      <c r="T237">
        <v>2</v>
      </c>
      <c r="U237" t="s">
        <v>22</v>
      </c>
      <c r="V237" t="e">
        <f>IF(#REF! = "yes", 1, 0)</f>
        <v>#REF!</v>
      </c>
      <c r="W237" t="e">
        <f>IF(#REF! &lt;= 1, "0-1 Calls", IF(#REF! &lt;= 3, "2-3 Calls", IF(#REF! &lt;=5, "4-5 Calls", "6+ Calls")))</f>
        <v>#REF!</v>
      </c>
      <c r="X237" t="e">
        <f>IF(#REF! &lt;= 50, "0-50", IF(#REF! &lt;=100, "51-100", IF(#REF! &lt;= 150, "101-150", "151+")))</f>
        <v>#REF!</v>
      </c>
      <c r="Y237" t="e">
        <f>IF(#REF! &lt;= 3, "Low Charges", "High Charges")</f>
        <v>#REF!</v>
      </c>
      <c r="Z237" t="e">
        <f>IF(#REF!&lt;=80,"Low Calls",
IF(#REF!&lt;=120,"Medium Calls","High Calls"))</f>
        <v>#REF!</v>
      </c>
      <c r="AA237" t="e">
        <f>IF(#REF!&lt;=15,"Low Charges",
IF(#REF!&lt;=20,"Medium Charges","High Charges"))</f>
        <v>#REF!</v>
      </c>
      <c r="AB237" t="e">
        <f>IF(AND(#REF!&gt;180, #REF!&gt;200), "Heavy Doemstic User", IF(#REF!&gt;10, "Interntional User", IF(AND(#REF!&lt;180, #REF!&lt;200,#REF!&lt;200), "Light User", "Balanced User")))</f>
        <v>#REF!</v>
      </c>
      <c r="AC237" t="e">
        <f>IF(#REF! = 0, "No Usage", IF(#REF! &lt;= 20, "Low Usage", IF(#REF! &lt;= 40, "Medium Usgae", "High Usage")))</f>
        <v>#REF!</v>
      </c>
      <c r="AD237" t="e">
        <f>IF(#REF!&lt;=150,"Low Usage", IF(#REF!&lt;=200,"Medium Usage", IF(#REF!&lt;=250,"High Usage","Very High Usage")))</f>
        <v>#REF!</v>
      </c>
      <c r="AE237" t="e">
        <f>IF(#REF!&lt;=5,"Low Calls", IF(#REF!&lt;=10, "Medium Calls", "High Calls"))</f>
        <v>#REF!</v>
      </c>
      <c r="AF237" t="e">
        <f xml:space="preserve">
IF(#REF!&gt;=4,4,0)+
IF(#REF!="yes",3,0)+
IF(#REF!="High Charges",3,0)+
IF(#REF!&gt;250,4,0)+
IF(#REF!="no",1,0)+
IF(#REF!="Heavy Domestic User",2,0)</f>
        <v>#REF!</v>
      </c>
      <c r="AG237" t="e">
        <f>IF(#REF!&gt;=10,"High Risk", IF(#REF!&gt;=5,"Medium Risk","Low Risk"))</f>
        <v>#REF!</v>
      </c>
      <c r="AH237" t="e">
        <f>#REF! + #REF! + #REF! + #REF!</f>
        <v>#REF!</v>
      </c>
    </row>
    <row r="238" spans="1:34" x14ac:dyDescent="0.35">
      <c r="A238">
        <v>237</v>
      </c>
      <c r="B238" t="s">
        <v>53</v>
      </c>
      <c r="C238">
        <v>137</v>
      </c>
      <c r="D238" t="s">
        <v>28</v>
      </c>
      <c r="E238" t="s">
        <v>22</v>
      </c>
      <c r="F238" t="s">
        <v>22</v>
      </c>
      <c r="G238">
        <v>0</v>
      </c>
      <c r="H238">
        <v>206.4</v>
      </c>
      <c r="I238">
        <v>122</v>
      </c>
      <c r="J238">
        <v>35.090000000000003</v>
      </c>
      <c r="K238">
        <v>128</v>
      </c>
      <c r="L238">
        <v>102</v>
      </c>
      <c r="M238">
        <v>10.88</v>
      </c>
      <c r="N238">
        <v>194.5</v>
      </c>
      <c r="O238">
        <v>84</v>
      </c>
      <c r="P238">
        <v>8.75</v>
      </c>
      <c r="Q238">
        <v>8.8000000000000007</v>
      </c>
      <c r="R238">
        <v>5</v>
      </c>
      <c r="S238">
        <v>2.38</v>
      </c>
      <c r="T238">
        <v>2</v>
      </c>
      <c r="U238" t="s">
        <v>22</v>
      </c>
      <c r="V238" t="e">
        <f>IF(#REF! = "yes", 1, 0)</f>
        <v>#REF!</v>
      </c>
      <c r="W238" t="e">
        <f>IF(#REF! &lt;= 1, "0-1 Calls", IF(#REF! &lt;= 3, "2-3 Calls", IF(#REF! &lt;=5, "4-5 Calls", "6+ Calls")))</f>
        <v>#REF!</v>
      </c>
      <c r="X238" t="e">
        <f>IF(#REF! &lt;= 50, "0-50", IF(#REF! &lt;=100, "51-100", IF(#REF! &lt;= 150, "101-150", "151+")))</f>
        <v>#REF!</v>
      </c>
      <c r="Y238" t="e">
        <f>IF(#REF! &lt;= 3, "Low Charges", "High Charges")</f>
        <v>#REF!</v>
      </c>
      <c r="Z238" t="e">
        <f>IF(#REF!&lt;=80,"Low Calls",
IF(#REF!&lt;=120,"Medium Calls","High Calls"))</f>
        <v>#REF!</v>
      </c>
      <c r="AA238" t="e">
        <f>IF(#REF!&lt;=15,"Low Charges",
IF(#REF!&lt;=20,"Medium Charges","High Charges"))</f>
        <v>#REF!</v>
      </c>
      <c r="AB238" t="e">
        <f>IF(AND(#REF!&gt;180, #REF!&gt;200), "Heavy Doemstic User", IF(#REF!&gt;10, "Interntional User", IF(AND(#REF!&lt;180, #REF!&lt;200,#REF!&lt;200), "Light User", "Balanced User")))</f>
        <v>#REF!</v>
      </c>
      <c r="AC238" t="e">
        <f>IF(#REF! = 0, "No Usage", IF(#REF! &lt;= 20, "Low Usage", IF(#REF! &lt;= 40, "Medium Usgae", "High Usage")))</f>
        <v>#REF!</v>
      </c>
      <c r="AD238" t="e">
        <f>IF(#REF!&lt;=150,"Low Usage", IF(#REF!&lt;=200,"Medium Usage", IF(#REF!&lt;=250,"High Usage","Very High Usage")))</f>
        <v>#REF!</v>
      </c>
      <c r="AE238" t="e">
        <f>IF(#REF!&lt;=5,"Low Calls", IF(#REF!&lt;=10, "Medium Calls", "High Calls"))</f>
        <v>#REF!</v>
      </c>
      <c r="AF238" t="e">
        <f xml:space="preserve">
IF(#REF!&gt;=4,4,0)+
IF(#REF!="yes",3,0)+
IF(#REF!="High Charges",3,0)+
IF(#REF!&gt;250,4,0)+
IF(#REF!="no",1,0)+
IF(#REF!="Heavy Domestic User",2,0)</f>
        <v>#REF!</v>
      </c>
      <c r="AG238" t="e">
        <f>IF(#REF!&gt;=10,"High Risk", IF(#REF!&gt;=5,"Medium Risk","Low Risk"))</f>
        <v>#REF!</v>
      </c>
      <c r="AH238" t="e">
        <f>#REF! + #REF! + #REF! + #REF!</f>
        <v>#REF!</v>
      </c>
    </row>
    <row r="239" spans="1:34" x14ac:dyDescent="0.35">
      <c r="A239">
        <v>238</v>
      </c>
      <c r="B239" t="s">
        <v>70</v>
      </c>
      <c r="C239">
        <v>137</v>
      </c>
      <c r="D239" t="s">
        <v>25</v>
      </c>
      <c r="E239" t="s">
        <v>22</v>
      </c>
      <c r="F239" t="s">
        <v>22</v>
      </c>
      <c r="G239">
        <v>0</v>
      </c>
      <c r="H239">
        <v>205.9</v>
      </c>
      <c r="I239">
        <v>88</v>
      </c>
      <c r="J239">
        <v>35</v>
      </c>
      <c r="K239">
        <v>209.3</v>
      </c>
      <c r="L239">
        <v>86</v>
      </c>
      <c r="M239">
        <v>17.79</v>
      </c>
      <c r="N239">
        <v>289.89999999999998</v>
      </c>
      <c r="O239">
        <v>84</v>
      </c>
      <c r="P239">
        <v>13.05</v>
      </c>
      <c r="Q239">
        <v>14.5</v>
      </c>
      <c r="R239">
        <v>4</v>
      </c>
      <c r="S239">
        <v>3.92</v>
      </c>
      <c r="T239">
        <v>2</v>
      </c>
      <c r="U239" t="s">
        <v>22</v>
      </c>
      <c r="V239" t="e">
        <f>IF(#REF! = "yes", 1, 0)</f>
        <v>#REF!</v>
      </c>
      <c r="W239" t="e">
        <f>IF(#REF! &lt;= 1, "0-1 Calls", IF(#REF! &lt;= 3, "2-3 Calls", IF(#REF! &lt;=5, "4-5 Calls", "6+ Calls")))</f>
        <v>#REF!</v>
      </c>
      <c r="X239" t="e">
        <f>IF(#REF! &lt;= 50, "0-50", IF(#REF! &lt;=100, "51-100", IF(#REF! &lt;= 150, "101-150", "151+")))</f>
        <v>#REF!</v>
      </c>
      <c r="Y239" t="e">
        <f>IF(#REF! &lt;= 3, "Low Charges", "High Charges")</f>
        <v>#REF!</v>
      </c>
      <c r="Z239" t="e">
        <f>IF(#REF!&lt;=80,"Low Calls",
IF(#REF!&lt;=120,"Medium Calls","High Calls"))</f>
        <v>#REF!</v>
      </c>
      <c r="AA239" t="e">
        <f>IF(#REF!&lt;=15,"Low Charges",
IF(#REF!&lt;=20,"Medium Charges","High Charges"))</f>
        <v>#REF!</v>
      </c>
      <c r="AB239" t="e">
        <f>IF(AND(#REF!&gt;180, #REF!&gt;200), "Heavy Doemstic User", IF(#REF!&gt;10, "Interntional User", IF(AND(#REF!&lt;180, #REF!&lt;200,#REF!&lt;200), "Light User", "Balanced User")))</f>
        <v>#REF!</v>
      </c>
      <c r="AC239" t="e">
        <f>IF(#REF! = 0, "No Usage", IF(#REF! &lt;= 20, "Low Usage", IF(#REF! &lt;= 40, "Medium Usgae", "High Usage")))</f>
        <v>#REF!</v>
      </c>
      <c r="AD239" t="e">
        <f>IF(#REF!&lt;=150,"Low Usage", IF(#REF!&lt;=200,"Medium Usage", IF(#REF!&lt;=250,"High Usage","Very High Usage")))</f>
        <v>#REF!</v>
      </c>
      <c r="AE239" t="e">
        <f>IF(#REF!&lt;=5,"Low Calls", IF(#REF!&lt;=10, "Medium Calls", "High Calls"))</f>
        <v>#REF!</v>
      </c>
      <c r="AF239" t="e">
        <f xml:space="preserve">
IF(#REF!&gt;=4,4,0)+
IF(#REF!="yes",3,0)+
IF(#REF!="High Charges",3,0)+
IF(#REF!&gt;250,4,0)+
IF(#REF!="no",1,0)+
IF(#REF!="Heavy Domestic User",2,0)</f>
        <v>#REF!</v>
      </c>
      <c r="AG239" t="e">
        <f>IF(#REF!&gt;=10,"High Risk", IF(#REF!&gt;=5,"Medium Risk","Low Risk"))</f>
        <v>#REF!</v>
      </c>
      <c r="AH239" t="e">
        <f>#REF! + #REF! + #REF! + #REF!</f>
        <v>#REF!</v>
      </c>
    </row>
    <row r="240" spans="1:34" x14ac:dyDescent="0.35">
      <c r="A240">
        <v>239</v>
      </c>
      <c r="B240" t="s">
        <v>68</v>
      </c>
      <c r="C240">
        <v>167</v>
      </c>
      <c r="D240" t="s">
        <v>28</v>
      </c>
      <c r="E240" t="s">
        <v>22</v>
      </c>
      <c r="F240" t="s">
        <v>22</v>
      </c>
      <c r="G240">
        <v>0</v>
      </c>
      <c r="H240">
        <v>207.6</v>
      </c>
      <c r="I240">
        <v>88</v>
      </c>
      <c r="J240">
        <v>35.29</v>
      </c>
      <c r="K240">
        <v>132.4</v>
      </c>
      <c r="L240">
        <v>63</v>
      </c>
      <c r="M240">
        <v>11.25</v>
      </c>
      <c r="N240">
        <v>255.2</v>
      </c>
      <c r="O240">
        <v>98</v>
      </c>
      <c r="P240">
        <v>11.48</v>
      </c>
      <c r="Q240">
        <v>14.1</v>
      </c>
      <c r="R240">
        <v>5</v>
      </c>
      <c r="S240">
        <v>3.81</v>
      </c>
      <c r="T240">
        <v>0</v>
      </c>
      <c r="U240" t="s">
        <v>22</v>
      </c>
      <c r="V240" t="e">
        <f>IF(#REF! = "yes", 1, 0)</f>
        <v>#REF!</v>
      </c>
      <c r="W240" t="e">
        <f>IF(#REF! &lt;= 1, "0-1 Calls", IF(#REF! &lt;= 3, "2-3 Calls", IF(#REF! &lt;=5, "4-5 Calls", "6+ Calls")))</f>
        <v>#REF!</v>
      </c>
      <c r="X240" t="e">
        <f>IF(#REF! &lt;= 50, "0-50", IF(#REF! &lt;=100, "51-100", IF(#REF! &lt;= 150, "101-150", "151+")))</f>
        <v>#REF!</v>
      </c>
      <c r="Y240" t="e">
        <f>IF(#REF! &lt;= 3, "Low Charges", "High Charges")</f>
        <v>#REF!</v>
      </c>
      <c r="Z240" t="e">
        <f>IF(#REF!&lt;=80,"Low Calls",
IF(#REF!&lt;=120,"Medium Calls","High Calls"))</f>
        <v>#REF!</v>
      </c>
      <c r="AA240" t="e">
        <f>IF(#REF!&lt;=15,"Low Charges",
IF(#REF!&lt;=20,"Medium Charges","High Charges"))</f>
        <v>#REF!</v>
      </c>
      <c r="AB240" t="e">
        <f>IF(AND(#REF!&gt;180, #REF!&gt;200), "Heavy Doemstic User", IF(#REF!&gt;10, "Interntional User", IF(AND(#REF!&lt;180, #REF!&lt;200,#REF!&lt;200), "Light User", "Balanced User")))</f>
        <v>#REF!</v>
      </c>
      <c r="AC240" t="e">
        <f>IF(#REF! = 0, "No Usage", IF(#REF! &lt;= 20, "Low Usage", IF(#REF! &lt;= 40, "Medium Usgae", "High Usage")))</f>
        <v>#REF!</v>
      </c>
      <c r="AD240" t="e">
        <f>IF(#REF!&lt;=150,"Low Usage", IF(#REF!&lt;=200,"Medium Usage", IF(#REF!&lt;=250,"High Usage","Very High Usage")))</f>
        <v>#REF!</v>
      </c>
      <c r="AE240" t="e">
        <f>IF(#REF!&lt;=5,"Low Calls", IF(#REF!&lt;=10, "Medium Calls", "High Calls"))</f>
        <v>#REF!</v>
      </c>
      <c r="AF240" t="e">
        <f xml:space="preserve">
IF(#REF!&gt;=4,4,0)+
IF(#REF!="yes",3,0)+
IF(#REF!="High Charges",3,0)+
IF(#REF!&gt;250,4,0)+
IF(#REF!="no",1,0)+
IF(#REF!="Heavy Domestic User",2,0)</f>
        <v>#REF!</v>
      </c>
      <c r="AG240" t="e">
        <f>IF(#REF!&gt;=10,"High Risk", IF(#REF!&gt;=5,"Medium Risk","Low Risk"))</f>
        <v>#REF!</v>
      </c>
      <c r="AH240" t="e">
        <f>#REF! + #REF! + #REF! + #REF!</f>
        <v>#REF!</v>
      </c>
    </row>
    <row r="241" spans="1:34" x14ac:dyDescent="0.35">
      <c r="A241">
        <v>240</v>
      </c>
      <c r="B241" t="s">
        <v>26</v>
      </c>
      <c r="C241">
        <v>89</v>
      </c>
      <c r="D241" t="s">
        <v>28</v>
      </c>
      <c r="E241" t="s">
        <v>22</v>
      </c>
      <c r="F241" t="s">
        <v>22</v>
      </c>
      <c r="G241">
        <v>0</v>
      </c>
      <c r="H241">
        <v>303.89999999999998</v>
      </c>
      <c r="I241">
        <v>95</v>
      </c>
      <c r="J241">
        <v>51.66</v>
      </c>
      <c r="K241">
        <v>260.89999999999998</v>
      </c>
      <c r="L241">
        <v>114</v>
      </c>
      <c r="M241">
        <v>22.18</v>
      </c>
      <c r="N241">
        <v>312.10000000000002</v>
      </c>
      <c r="O241">
        <v>89</v>
      </c>
      <c r="P241">
        <v>14.04</v>
      </c>
      <c r="Q241">
        <v>5.3</v>
      </c>
      <c r="R241">
        <v>3</v>
      </c>
      <c r="S241">
        <v>1.43</v>
      </c>
      <c r="T241">
        <v>1</v>
      </c>
      <c r="U241" t="s">
        <v>23</v>
      </c>
      <c r="V241" t="e">
        <f>IF(#REF! = "yes", 1, 0)</f>
        <v>#REF!</v>
      </c>
      <c r="W241" t="e">
        <f>IF(#REF! &lt;= 1, "0-1 Calls", IF(#REF! &lt;= 3, "2-3 Calls", IF(#REF! &lt;=5, "4-5 Calls", "6+ Calls")))</f>
        <v>#REF!</v>
      </c>
      <c r="X241" t="e">
        <f>IF(#REF! &lt;= 50, "0-50", IF(#REF! &lt;=100, "51-100", IF(#REF! &lt;= 150, "101-150", "151+")))</f>
        <v>#REF!</v>
      </c>
      <c r="Y241" t="e">
        <f>IF(#REF! &lt;= 3, "Low Charges", "High Charges")</f>
        <v>#REF!</v>
      </c>
      <c r="Z241" t="e">
        <f>IF(#REF!&lt;=80,"Low Calls",
IF(#REF!&lt;=120,"Medium Calls","High Calls"))</f>
        <v>#REF!</v>
      </c>
      <c r="AA241" t="e">
        <f>IF(#REF!&lt;=15,"Low Charges",
IF(#REF!&lt;=20,"Medium Charges","High Charges"))</f>
        <v>#REF!</v>
      </c>
      <c r="AB241" t="e">
        <f>IF(AND(#REF!&gt;180, #REF!&gt;200), "Heavy Doemstic User", IF(#REF!&gt;10, "Interntional User", IF(AND(#REF!&lt;180, #REF!&lt;200,#REF!&lt;200), "Light User", "Balanced User")))</f>
        <v>#REF!</v>
      </c>
      <c r="AC241" t="e">
        <f>IF(#REF! = 0, "No Usage", IF(#REF! &lt;= 20, "Low Usage", IF(#REF! &lt;= 40, "Medium Usgae", "High Usage")))</f>
        <v>#REF!</v>
      </c>
      <c r="AD241" t="e">
        <f>IF(#REF!&lt;=150,"Low Usage", IF(#REF!&lt;=200,"Medium Usage", IF(#REF!&lt;=250,"High Usage","Very High Usage")))</f>
        <v>#REF!</v>
      </c>
      <c r="AE241" t="e">
        <f>IF(#REF!&lt;=5,"Low Calls", IF(#REF!&lt;=10, "Medium Calls", "High Calls"))</f>
        <v>#REF!</v>
      </c>
      <c r="AF241" t="e">
        <f xml:space="preserve">
IF(#REF!&gt;=4,4,0)+
IF(#REF!="yes",3,0)+
IF(#REF!="High Charges",3,0)+
IF(#REF!&gt;250,4,0)+
IF(#REF!="no",1,0)+
IF(#REF!="Heavy Domestic User",2,0)</f>
        <v>#REF!</v>
      </c>
      <c r="AG241" t="e">
        <f>IF(#REF!&gt;=10,"High Risk", IF(#REF!&gt;=5,"Medium Risk","Low Risk"))</f>
        <v>#REF!</v>
      </c>
      <c r="AH241" t="e">
        <f>#REF! + #REF! + #REF! + #REF!</f>
        <v>#REF!</v>
      </c>
    </row>
    <row r="242" spans="1:34" x14ac:dyDescent="0.35">
      <c r="A242">
        <v>241</v>
      </c>
      <c r="B242" t="s">
        <v>74</v>
      </c>
      <c r="C242">
        <v>199</v>
      </c>
      <c r="D242" t="s">
        <v>21</v>
      </c>
      <c r="E242" t="s">
        <v>22</v>
      </c>
      <c r="F242" t="s">
        <v>23</v>
      </c>
      <c r="G242">
        <v>34</v>
      </c>
      <c r="H242">
        <v>230.6</v>
      </c>
      <c r="I242">
        <v>121</v>
      </c>
      <c r="J242">
        <v>39.200000000000003</v>
      </c>
      <c r="K242">
        <v>219.4</v>
      </c>
      <c r="L242">
        <v>99</v>
      </c>
      <c r="M242">
        <v>18.649999999999999</v>
      </c>
      <c r="N242">
        <v>299.3</v>
      </c>
      <c r="O242">
        <v>94</v>
      </c>
      <c r="P242">
        <v>13.47</v>
      </c>
      <c r="Q242">
        <v>8</v>
      </c>
      <c r="R242">
        <v>2</v>
      </c>
      <c r="S242">
        <v>2.16</v>
      </c>
      <c r="T242">
        <v>0</v>
      </c>
      <c r="U242" t="s">
        <v>22</v>
      </c>
      <c r="V242" t="e">
        <f>IF(#REF! = "yes", 1, 0)</f>
        <v>#REF!</v>
      </c>
      <c r="W242" t="e">
        <f>IF(#REF! &lt;= 1, "0-1 Calls", IF(#REF! &lt;= 3, "2-3 Calls", IF(#REF! &lt;=5, "4-5 Calls", "6+ Calls")))</f>
        <v>#REF!</v>
      </c>
      <c r="X242" t="e">
        <f>IF(#REF! &lt;= 50, "0-50", IF(#REF! &lt;=100, "51-100", IF(#REF! &lt;= 150, "101-150", "151+")))</f>
        <v>#REF!</v>
      </c>
      <c r="Y242" t="e">
        <f>IF(#REF! &lt;= 3, "Low Charges", "High Charges")</f>
        <v>#REF!</v>
      </c>
      <c r="Z242" t="e">
        <f>IF(#REF!&lt;=80,"Low Calls",
IF(#REF!&lt;=120,"Medium Calls","High Calls"))</f>
        <v>#REF!</v>
      </c>
      <c r="AA242" t="e">
        <f>IF(#REF!&lt;=15,"Low Charges",
IF(#REF!&lt;=20,"Medium Charges","High Charges"))</f>
        <v>#REF!</v>
      </c>
      <c r="AB242" t="e">
        <f>IF(AND(#REF!&gt;180, #REF!&gt;200), "Heavy Doemstic User", IF(#REF!&gt;10, "Interntional User", IF(AND(#REF!&lt;180, #REF!&lt;200,#REF!&lt;200), "Light User", "Balanced User")))</f>
        <v>#REF!</v>
      </c>
      <c r="AC242" t="e">
        <f>IF(#REF! = 0, "No Usage", IF(#REF! &lt;= 20, "Low Usage", IF(#REF! &lt;= 40, "Medium Usgae", "High Usage")))</f>
        <v>#REF!</v>
      </c>
      <c r="AD242" t="e">
        <f>IF(#REF!&lt;=150,"Low Usage", IF(#REF!&lt;=200,"Medium Usage", IF(#REF!&lt;=250,"High Usage","Very High Usage")))</f>
        <v>#REF!</v>
      </c>
      <c r="AE242" t="e">
        <f>IF(#REF!&lt;=5,"Low Calls", IF(#REF!&lt;=10, "Medium Calls", "High Calls"))</f>
        <v>#REF!</v>
      </c>
      <c r="AF242" t="e">
        <f xml:space="preserve">
IF(#REF!&gt;=4,4,0)+
IF(#REF!="yes",3,0)+
IF(#REF!="High Charges",3,0)+
IF(#REF!&gt;250,4,0)+
IF(#REF!="no",1,0)+
IF(#REF!="Heavy Domestic User",2,0)</f>
        <v>#REF!</v>
      </c>
      <c r="AG242" t="e">
        <f>IF(#REF!&gt;=10,"High Risk", IF(#REF!&gt;=5,"Medium Risk","Low Risk"))</f>
        <v>#REF!</v>
      </c>
      <c r="AH242" t="e">
        <f>#REF! + #REF! + #REF! + #REF!</f>
        <v>#REF!</v>
      </c>
    </row>
    <row r="243" spans="1:34" x14ac:dyDescent="0.35">
      <c r="A243">
        <v>242</v>
      </c>
      <c r="B243" t="s">
        <v>69</v>
      </c>
      <c r="C243">
        <v>132</v>
      </c>
      <c r="D243" t="s">
        <v>28</v>
      </c>
      <c r="E243" t="s">
        <v>22</v>
      </c>
      <c r="F243" t="s">
        <v>22</v>
      </c>
      <c r="G243">
        <v>0</v>
      </c>
      <c r="H243">
        <v>99.5</v>
      </c>
      <c r="I243">
        <v>110</v>
      </c>
      <c r="J243">
        <v>16.920000000000002</v>
      </c>
      <c r="K243">
        <v>129.1</v>
      </c>
      <c r="L243">
        <v>80</v>
      </c>
      <c r="M243">
        <v>10.97</v>
      </c>
      <c r="N243">
        <v>125.1</v>
      </c>
      <c r="O243">
        <v>124</v>
      </c>
      <c r="P243">
        <v>5.63</v>
      </c>
      <c r="Q243">
        <v>9.6999999999999993</v>
      </c>
      <c r="R243">
        <v>3</v>
      </c>
      <c r="S243">
        <v>2.62</v>
      </c>
      <c r="T243">
        <v>0</v>
      </c>
      <c r="U243" t="s">
        <v>22</v>
      </c>
      <c r="V243" t="e">
        <f>IF(#REF! = "yes", 1, 0)</f>
        <v>#REF!</v>
      </c>
      <c r="W243" t="e">
        <f>IF(#REF! &lt;= 1, "0-1 Calls", IF(#REF! &lt;= 3, "2-3 Calls", IF(#REF! &lt;=5, "4-5 Calls", "6+ Calls")))</f>
        <v>#REF!</v>
      </c>
      <c r="X243" t="e">
        <f>IF(#REF! &lt;= 50, "0-50", IF(#REF! &lt;=100, "51-100", IF(#REF! &lt;= 150, "101-150", "151+")))</f>
        <v>#REF!</v>
      </c>
      <c r="Y243" t="e">
        <f>IF(#REF! &lt;= 3, "Low Charges", "High Charges")</f>
        <v>#REF!</v>
      </c>
      <c r="Z243" t="e">
        <f>IF(#REF!&lt;=80,"Low Calls",
IF(#REF!&lt;=120,"Medium Calls","High Calls"))</f>
        <v>#REF!</v>
      </c>
      <c r="AA243" t="e">
        <f>IF(#REF!&lt;=15,"Low Charges",
IF(#REF!&lt;=20,"Medium Charges","High Charges"))</f>
        <v>#REF!</v>
      </c>
      <c r="AB243" t="e">
        <f>IF(AND(#REF!&gt;180, #REF!&gt;200), "Heavy Doemstic User", IF(#REF!&gt;10, "Interntional User", IF(AND(#REF!&lt;180, #REF!&lt;200,#REF!&lt;200), "Light User", "Balanced User")))</f>
        <v>#REF!</v>
      </c>
      <c r="AC243" t="e">
        <f>IF(#REF! = 0, "No Usage", IF(#REF! &lt;= 20, "Low Usage", IF(#REF! &lt;= 40, "Medium Usgae", "High Usage")))</f>
        <v>#REF!</v>
      </c>
      <c r="AD243" t="e">
        <f>IF(#REF!&lt;=150,"Low Usage", IF(#REF!&lt;=200,"Medium Usage", IF(#REF!&lt;=250,"High Usage","Very High Usage")))</f>
        <v>#REF!</v>
      </c>
      <c r="AE243" t="e">
        <f>IF(#REF!&lt;=5,"Low Calls", IF(#REF!&lt;=10, "Medium Calls", "High Calls"))</f>
        <v>#REF!</v>
      </c>
      <c r="AF243" t="e">
        <f xml:space="preserve">
IF(#REF!&gt;=4,4,0)+
IF(#REF!="yes",3,0)+
IF(#REF!="High Charges",3,0)+
IF(#REF!&gt;250,4,0)+
IF(#REF!="no",1,0)+
IF(#REF!="Heavy Domestic User",2,0)</f>
        <v>#REF!</v>
      </c>
      <c r="AG243" t="e">
        <f>IF(#REF!&gt;=10,"High Risk", IF(#REF!&gt;=5,"Medium Risk","Low Risk"))</f>
        <v>#REF!</v>
      </c>
      <c r="AH243" t="e">
        <f>#REF! + #REF! + #REF! + #REF!</f>
        <v>#REF!</v>
      </c>
    </row>
    <row r="244" spans="1:34" x14ac:dyDescent="0.35">
      <c r="A244">
        <v>243</v>
      </c>
      <c r="B244" t="s">
        <v>51</v>
      </c>
      <c r="C244">
        <v>94</v>
      </c>
      <c r="D244" t="s">
        <v>28</v>
      </c>
      <c r="E244" t="s">
        <v>22</v>
      </c>
      <c r="F244" t="s">
        <v>22</v>
      </c>
      <c r="G244">
        <v>0</v>
      </c>
      <c r="H244">
        <v>177.1</v>
      </c>
      <c r="I244">
        <v>112</v>
      </c>
      <c r="J244">
        <v>30.11</v>
      </c>
      <c r="K244">
        <v>194</v>
      </c>
      <c r="L244">
        <v>112</v>
      </c>
      <c r="M244">
        <v>16.489999999999998</v>
      </c>
      <c r="N244">
        <v>146.69999999999999</v>
      </c>
      <c r="O244">
        <v>108</v>
      </c>
      <c r="P244">
        <v>6.6</v>
      </c>
      <c r="Q244">
        <v>5.9</v>
      </c>
      <c r="R244">
        <v>4</v>
      </c>
      <c r="S244">
        <v>1.59</v>
      </c>
      <c r="T244">
        <v>1</v>
      </c>
      <c r="U244" t="s">
        <v>22</v>
      </c>
      <c r="V244" t="e">
        <f>IF(#REF! = "yes", 1, 0)</f>
        <v>#REF!</v>
      </c>
      <c r="W244" t="e">
        <f>IF(#REF! &lt;= 1, "0-1 Calls", IF(#REF! &lt;= 3, "2-3 Calls", IF(#REF! &lt;=5, "4-5 Calls", "6+ Calls")))</f>
        <v>#REF!</v>
      </c>
      <c r="X244" t="e">
        <f>IF(#REF! &lt;= 50, "0-50", IF(#REF! &lt;=100, "51-100", IF(#REF! &lt;= 150, "101-150", "151+")))</f>
        <v>#REF!</v>
      </c>
      <c r="Y244" t="e">
        <f>IF(#REF! &lt;= 3, "Low Charges", "High Charges")</f>
        <v>#REF!</v>
      </c>
      <c r="Z244" t="e">
        <f>IF(#REF!&lt;=80,"Low Calls",
IF(#REF!&lt;=120,"Medium Calls","High Calls"))</f>
        <v>#REF!</v>
      </c>
      <c r="AA244" t="e">
        <f>IF(#REF!&lt;=15,"Low Charges",
IF(#REF!&lt;=20,"Medium Charges","High Charges"))</f>
        <v>#REF!</v>
      </c>
      <c r="AB244" t="e">
        <f>IF(AND(#REF!&gt;180, #REF!&gt;200), "Heavy Doemstic User", IF(#REF!&gt;10, "Interntional User", IF(AND(#REF!&lt;180, #REF!&lt;200,#REF!&lt;200), "Light User", "Balanced User")))</f>
        <v>#REF!</v>
      </c>
      <c r="AC244" t="e">
        <f>IF(#REF! = 0, "No Usage", IF(#REF! &lt;= 20, "Low Usage", IF(#REF! &lt;= 40, "Medium Usgae", "High Usage")))</f>
        <v>#REF!</v>
      </c>
      <c r="AD244" t="e">
        <f>IF(#REF!&lt;=150,"Low Usage", IF(#REF!&lt;=200,"Medium Usage", IF(#REF!&lt;=250,"High Usage","Very High Usage")))</f>
        <v>#REF!</v>
      </c>
      <c r="AE244" t="e">
        <f>IF(#REF!&lt;=5,"Low Calls", IF(#REF!&lt;=10, "Medium Calls", "High Calls"))</f>
        <v>#REF!</v>
      </c>
      <c r="AF244" t="e">
        <f xml:space="preserve">
IF(#REF!&gt;=4,4,0)+
IF(#REF!="yes",3,0)+
IF(#REF!="High Charges",3,0)+
IF(#REF!&gt;250,4,0)+
IF(#REF!="no",1,0)+
IF(#REF!="Heavy Domestic User",2,0)</f>
        <v>#REF!</v>
      </c>
      <c r="AG244" t="e">
        <f>IF(#REF!&gt;=10,"High Risk", IF(#REF!&gt;=5,"Medium Risk","Low Risk"))</f>
        <v>#REF!</v>
      </c>
      <c r="AH244" t="e">
        <f>#REF! + #REF! + #REF! + #REF!</f>
        <v>#REF!</v>
      </c>
    </row>
    <row r="245" spans="1:34" x14ac:dyDescent="0.35">
      <c r="A245">
        <v>244</v>
      </c>
      <c r="B245" t="s">
        <v>51</v>
      </c>
      <c r="C245">
        <v>96</v>
      </c>
      <c r="D245" t="s">
        <v>28</v>
      </c>
      <c r="E245" t="s">
        <v>22</v>
      </c>
      <c r="F245" t="s">
        <v>23</v>
      </c>
      <c r="G245">
        <v>18</v>
      </c>
      <c r="H245">
        <v>172.7</v>
      </c>
      <c r="I245">
        <v>86</v>
      </c>
      <c r="J245">
        <v>29.36</v>
      </c>
      <c r="K245">
        <v>133.4</v>
      </c>
      <c r="L245">
        <v>113</v>
      </c>
      <c r="M245">
        <v>11.34</v>
      </c>
      <c r="N245">
        <v>259.5</v>
      </c>
      <c r="O245">
        <v>70</v>
      </c>
      <c r="P245">
        <v>11.68</v>
      </c>
      <c r="Q245">
        <v>9.8000000000000007</v>
      </c>
      <c r="R245">
        <v>3</v>
      </c>
      <c r="S245">
        <v>2.65</v>
      </c>
      <c r="T245">
        <v>1</v>
      </c>
      <c r="U245" t="s">
        <v>22</v>
      </c>
      <c r="V245" t="e">
        <f>IF(#REF! = "yes", 1, 0)</f>
        <v>#REF!</v>
      </c>
      <c r="W245" t="e">
        <f>IF(#REF! &lt;= 1, "0-1 Calls", IF(#REF! &lt;= 3, "2-3 Calls", IF(#REF! &lt;=5, "4-5 Calls", "6+ Calls")))</f>
        <v>#REF!</v>
      </c>
      <c r="X245" t="e">
        <f>IF(#REF! &lt;= 50, "0-50", IF(#REF! &lt;=100, "51-100", IF(#REF! &lt;= 150, "101-150", "151+")))</f>
        <v>#REF!</v>
      </c>
      <c r="Y245" t="e">
        <f>IF(#REF! &lt;= 3, "Low Charges", "High Charges")</f>
        <v>#REF!</v>
      </c>
      <c r="Z245" t="e">
        <f>IF(#REF!&lt;=80,"Low Calls",
IF(#REF!&lt;=120,"Medium Calls","High Calls"))</f>
        <v>#REF!</v>
      </c>
      <c r="AA245" t="e">
        <f>IF(#REF!&lt;=15,"Low Charges",
IF(#REF!&lt;=20,"Medium Charges","High Charges"))</f>
        <v>#REF!</v>
      </c>
      <c r="AB245" t="e">
        <f>IF(AND(#REF!&gt;180, #REF!&gt;200), "Heavy Doemstic User", IF(#REF!&gt;10, "Interntional User", IF(AND(#REF!&lt;180, #REF!&lt;200,#REF!&lt;200), "Light User", "Balanced User")))</f>
        <v>#REF!</v>
      </c>
      <c r="AC245" t="e">
        <f>IF(#REF! = 0, "No Usage", IF(#REF! &lt;= 20, "Low Usage", IF(#REF! &lt;= 40, "Medium Usgae", "High Usage")))</f>
        <v>#REF!</v>
      </c>
      <c r="AD245" t="e">
        <f>IF(#REF!&lt;=150,"Low Usage", IF(#REF!&lt;=200,"Medium Usage", IF(#REF!&lt;=250,"High Usage","Very High Usage")))</f>
        <v>#REF!</v>
      </c>
      <c r="AE245" t="e">
        <f>IF(#REF!&lt;=5,"Low Calls", IF(#REF!&lt;=10, "Medium Calls", "High Calls"))</f>
        <v>#REF!</v>
      </c>
      <c r="AF245" t="e">
        <f xml:space="preserve">
IF(#REF!&gt;=4,4,0)+
IF(#REF!="yes",3,0)+
IF(#REF!="High Charges",3,0)+
IF(#REF!&gt;250,4,0)+
IF(#REF!="no",1,0)+
IF(#REF!="Heavy Domestic User",2,0)</f>
        <v>#REF!</v>
      </c>
      <c r="AG245" t="e">
        <f>IF(#REF!&gt;=10,"High Risk", IF(#REF!&gt;=5,"Medium Risk","Low Risk"))</f>
        <v>#REF!</v>
      </c>
      <c r="AH245" t="e">
        <f>#REF! + #REF! + #REF! + #REF!</f>
        <v>#REF!</v>
      </c>
    </row>
    <row r="246" spans="1:34" x14ac:dyDescent="0.35">
      <c r="A246">
        <v>245</v>
      </c>
      <c r="B246" t="s">
        <v>32</v>
      </c>
      <c r="C246">
        <v>166</v>
      </c>
      <c r="D246" t="s">
        <v>28</v>
      </c>
      <c r="E246" t="s">
        <v>22</v>
      </c>
      <c r="F246" t="s">
        <v>22</v>
      </c>
      <c r="G246">
        <v>0</v>
      </c>
      <c r="H246">
        <v>204.2</v>
      </c>
      <c r="I246">
        <v>115</v>
      </c>
      <c r="J246">
        <v>34.71</v>
      </c>
      <c r="K246">
        <v>179.9</v>
      </c>
      <c r="L246">
        <v>152</v>
      </c>
      <c r="M246">
        <v>15.29</v>
      </c>
      <c r="N246">
        <v>216.8</v>
      </c>
      <c r="O246">
        <v>109</v>
      </c>
      <c r="P246">
        <v>9.76</v>
      </c>
      <c r="Q246">
        <v>9.5</v>
      </c>
      <c r="R246">
        <v>5</v>
      </c>
      <c r="S246">
        <v>2.57</v>
      </c>
      <c r="T246">
        <v>1</v>
      </c>
      <c r="U246" t="s">
        <v>22</v>
      </c>
      <c r="V246" t="e">
        <f>IF(#REF! = "yes", 1, 0)</f>
        <v>#REF!</v>
      </c>
      <c r="W246" t="e">
        <f>IF(#REF! &lt;= 1, "0-1 Calls", IF(#REF! &lt;= 3, "2-3 Calls", IF(#REF! &lt;=5, "4-5 Calls", "6+ Calls")))</f>
        <v>#REF!</v>
      </c>
      <c r="X246" t="e">
        <f>IF(#REF! &lt;= 50, "0-50", IF(#REF! &lt;=100, "51-100", IF(#REF! &lt;= 150, "101-150", "151+")))</f>
        <v>#REF!</v>
      </c>
      <c r="Y246" t="e">
        <f>IF(#REF! &lt;= 3, "Low Charges", "High Charges")</f>
        <v>#REF!</v>
      </c>
      <c r="Z246" t="e">
        <f>IF(#REF!&lt;=80,"Low Calls",
IF(#REF!&lt;=120,"Medium Calls","High Calls"))</f>
        <v>#REF!</v>
      </c>
      <c r="AA246" t="e">
        <f>IF(#REF!&lt;=15,"Low Charges",
IF(#REF!&lt;=20,"Medium Charges","High Charges"))</f>
        <v>#REF!</v>
      </c>
      <c r="AB246" t="e">
        <f>IF(AND(#REF!&gt;180, #REF!&gt;200), "Heavy Doemstic User", IF(#REF!&gt;10, "Interntional User", IF(AND(#REF!&lt;180, #REF!&lt;200,#REF!&lt;200), "Light User", "Balanced User")))</f>
        <v>#REF!</v>
      </c>
      <c r="AC246" t="e">
        <f>IF(#REF! = 0, "No Usage", IF(#REF! &lt;= 20, "Low Usage", IF(#REF! &lt;= 40, "Medium Usgae", "High Usage")))</f>
        <v>#REF!</v>
      </c>
      <c r="AD246" t="e">
        <f>IF(#REF!&lt;=150,"Low Usage", IF(#REF!&lt;=200,"Medium Usage", IF(#REF!&lt;=250,"High Usage","Very High Usage")))</f>
        <v>#REF!</v>
      </c>
      <c r="AE246" t="e">
        <f>IF(#REF!&lt;=5,"Low Calls", IF(#REF!&lt;=10, "Medium Calls", "High Calls"))</f>
        <v>#REF!</v>
      </c>
      <c r="AF246" t="e">
        <f xml:space="preserve">
IF(#REF!&gt;=4,4,0)+
IF(#REF!="yes",3,0)+
IF(#REF!="High Charges",3,0)+
IF(#REF!&gt;250,4,0)+
IF(#REF!="no",1,0)+
IF(#REF!="Heavy Domestic User",2,0)</f>
        <v>#REF!</v>
      </c>
      <c r="AG246" t="e">
        <f>IF(#REF!&gt;=10,"High Risk", IF(#REF!&gt;=5,"Medium Risk","Low Risk"))</f>
        <v>#REF!</v>
      </c>
      <c r="AH246" t="e">
        <f>#REF! + #REF! + #REF! + #REF!</f>
        <v>#REF!</v>
      </c>
    </row>
    <row r="247" spans="1:34" x14ac:dyDescent="0.35">
      <c r="A247">
        <v>246</v>
      </c>
      <c r="B247" t="s">
        <v>63</v>
      </c>
      <c r="C247">
        <v>74</v>
      </c>
      <c r="D247" t="s">
        <v>21</v>
      </c>
      <c r="E247" t="s">
        <v>22</v>
      </c>
      <c r="F247" t="s">
        <v>22</v>
      </c>
      <c r="G247">
        <v>0</v>
      </c>
      <c r="H247">
        <v>85.7</v>
      </c>
      <c r="I247">
        <v>83</v>
      </c>
      <c r="J247">
        <v>14.57</v>
      </c>
      <c r="K247">
        <v>247.7</v>
      </c>
      <c r="L247">
        <v>67</v>
      </c>
      <c r="M247">
        <v>21.05</v>
      </c>
      <c r="N247">
        <v>142.4</v>
      </c>
      <c r="O247">
        <v>85</v>
      </c>
      <c r="P247">
        <v>6.41</v>
      </c>
      <c r="Q247">
        <v>10.1</v>
      </c>
      <c r="R247">
        <v>5</v>
      </c>
      <c r="S247">
        <v>2.73</v>
      </c>
      <c r="T247">
        <v>2</v>
      </c>
      <c r="U247" t="s">
        <v>22</v>
      </c>
      <c r="V247" t="e">
        <f>IF(#REF! = "yes", 1, 0)</f>
        <v>#REF!</v>
      </c>
      <c r="W247" t="e">
        <f>IF(#REF! &lt;= 1, "0-1 Calls", IF(#REF! &lt;= 3, "2-3 Calls", IF(#REF! &lt;=5, "4-5 Calls", "6+ Calls")))</f>
        <v>#REF!</v>
      </c>
      <c r="X247" t="e">
        <f>IF(#REF! &lt;= 50, "0-50", IF(#REF! &lt;=100, "51-100", IF(#REF! &lt;= 150, "101-150", "151+")))</f>
        <v>#REF!</v>
      </c>
      <c r="Y247" t="e">
        <f>IF(#REF! &lt;= 3, "Low Charges", "High Charges")</f>
        <v>#REF!</v>
      </c>
      <c r="Z247" t="e">
        <f>IF(#REF!&lt;=80,"Low Calls",
IF(#REF!&lt;=120,"Medium Calls","High Calls"))</f>
        <v>#REF!</v>
      </c>
      <c r="AA247" t="e">
        <f>IF(#REF!&lt;=15,"Low Charges",
IF(#REF!&lt;=20,"Medium Charges","High Charges"))</f>
        <v>#REF!</v>
      </c>
      <c r="AB247" t="e">
        <f>IF(AND(#REF!&gt;180, #REF!&gt;200), "Heavy Doemstic User", IF(#REF!&gt;10, "Interntional User", IF(AND(#REF!&lt;180, #REF!&lt;200,#REF!&lt;200), "Light User", "Balanced User")))</f>
        <v>#REF!</v>
      </c>
      <c r="AC247" t="e">
        <f>IF(#REF! = 0, "No Usage", IF(#REF! &lt;= 20, "Low Usage", IF(#REF! &lt;= 40, "Medium Usgae", "High Usage")))</f>
        <v>#REF!</v>
      </c>
      <c r="AD247" t="e">
        <f>IF(#REF!&lt;=150,"Low Usage", IF(#REF!&lt;=200,"Medium Usage", IF(#REF!&lt;=250,"High Usage","Very High Usage")))</f>
        <v>#REF!</v>
      </c>
      <c r="AE247" t="e">
        <f>IF(#REF!&lt;=5,"Low Calls", IF(#REF!&lt;=10, "Medium Calls", "High Calls"))</f>
        <v>#REF!</v>
      </c>
      <c r="AF247" t="e">
        <f xml:space="preserve">
IF(#REF!&gt;=4,4,0)+
IF(#REF!="yes",3,0)+
IF(#REF!="High Charges",3,0)+
IF(#REF!&gt;250,4,0)+
IF(#REF!="no",1,0)+
IF(#REF!="Heavy Domestic User",2,0)</f>
        <v>#REF!</v>
      </c>
      <c r="AG247" t="e">
        <f>IF(#REF!&gt;=10,"High Risk", IF(#REF!&gt;=5,"Medium Risk","Low Risk"))</f>
        <v>#REF!</v>
      </c>
      <c r="AH247" t="e">
        <f>#REF! + #REF! + #REF! + #REF!</f>
        <v>#REF!</v>
      </c>
    </row>
    <row r="248" spans="1:34" x14ac:dyDescent="0.35">
      <c r="A248">
        <v>247</v>
      </c>
      <c r="B248" t="s">
        <v>50</v>
      </c>
      <c r="C248">
        <v>36</v>
      </c>
      <c r="D248" t="s">
        <v>21</v>
      </c>
      <c r="E248" t="s">
        <v>22</v>
      </c>
      <c r="F248" t="s">
        <v>22</v>
      </c>
      <c r="G248">
        <v>0</v>
      </c>
      <c r="H248">
        <v>157.6</v>
      </c>
      <c r="I248">
        <v>117</v>
      </c>
      <c r="J248">
        <v>26.79</v>
      </c>
      <c r="K248">
        <v>184.3</v>
      </c>
      <c r="L248">
        <v>58</v>
      </c>
      <c r="M248">
        <v>15.67</v>
      </c>
      <c r="N248">
        <v>240.4</v>
      </c>
      <c r="O248">
        <v>99</v>
      </c>
      <c r="P248">
        <v>10.82</v>
      </c>
      <c r="Q248">
        <v>11.9</v>
      </c>
      <c r="R248">
        <v>1</v>
      </c>
      <c r="S248">
        <v>3.21</v>
      </c>
      <c r="T248">
        <v>0</v>
      </c>
      <c r="U248" t="s">
        <v>22</v>
      </c>
      <c r="V248" t="e">
        <f>IF(#REF! = "yes", 1, 0)</f>
        <v>#REF!</v>
      </c>
      <c r="W248" t="e">
        <f>IF(#REF! &lt;= 1, "0-1 Calls", IF(#REF! &lt;= 3, "2-3 Calls", IF(#REF! &lt;=5, "4-5 Calls", "6+ Calls")))</f>
        <v>#REF!</v>
      </c>
      <c r="X248" t="e">
        <f>IF(#REF! &lt;= 50, "0-50", IF(#REF! &lt;=100, "51-100", IF(#REF! &lt;= 150, "101-150", "151+")))</f>
        <v>#REF!</v>
      </c>
      <c r="Y248" t="e">
        <f>IF(#REF! &lt;= 3, "Low Charges", "High Charges")</f>
        <v>#REF!</v>
      </c>
      <c r="Z248" t="e">
        <f>IF(#REF!&lt;=80,"Low Calls",
IF(#REF!&lt;=120,"Medium Calls","High Calls"))</f>
        <v>#REF!</v>
      </c>
      <c r="AA248" t="e">
        <f>IF(#REF!&lt;=15,"Low Charges",
IF(#REF!&lt;=20,"Medium Charges","High Charges"))</f>
        <v>#REF!</v>
      </c>
      <c r="AB248" t="e">
        <f>IF(AND(#REF!&gt;180, #REF!&gt;200), "Heavy Doemstic User", IF(#REF!&gt;10, "Interntional User", IF(AND(#REF!&lt;180, #REF!&lt;200,#REF!&lt;200), "Light User", "Balanced User")))</f>
        <v>#REF!</v>
      </c>
      <c r="AC248" t="e">
        <f>IF(#REF! = 0, "No Usage", IF(#REF! &lt;= 20, "Low Usage", IF(#REF! &lt;= 40, "Medium Usgae", "High Usage")))</f>
        <v>#REF!</v>
      </c>
      <c r="AD248" t="e">
        <f>IF(#REF!&lt;=150,"Low Usage", IF(#REF!&lt;=200,"Medium Usage", IF(#REF!&lt;=250,"High Usage","Very High Usage")))</f>
        <v>#REF!</v>
      </c>
      <c r="AE248" t="e">
        <f>IF(#REF!&lt;=5,"Low Calls", IF(#REF!&lt;=10, "Medium Calls", "High Calls"))</f>
        <v>#REF!</v>
      </c>
      <c r="AF248" t="e">
        <f xml:space="preserve">
IF(#REF!&gt;=4,4,0)+
IF(#REF!="yes",3,0)+
IF(#REF!="High Charges",3,0)+
IF(#REF!&gt;250,4,0)+
IF(#REF!="no",1,0)+
IF(#REF!="Heavy Domestic User",2,0)</f>
        <v>#REF!</v>
      </c>
      <c r="AG248" t="e">
        <f>IF(#REF!&gt;=10,"High Risk", IF(#REF!&gt;=5,"Medium Risk","Low Risk"))</f>
        <v>#REF!</v>
      </c>
      <c r="AH248" t="e">
        <f>#REF! + #REF! + #REF! + #REF!</f>
        <v>#REF!</v>
      </c>
    </row>
    <row r="249" spans="1:34" x14ac:dyDescent="0.35">
      <c r="A249">
        <v>248</v>
      </c>
      <c r="B249" t="s">
        <v>66</v>
      </c>
      <c r="C249">
        <v>113</v>
      </c>
      <c r="D249" t="s">
        <v>21</v>
      </c>
      <c r="E249" t="s">
        <v>22</v>
      </c>
      <c r="F249" t="s">
        <v>22</v>
      </c>
      <c r="G249">
        <v>0</v>
      </c>
      <c r="H249">
        <v>215.5</v>
      </c>
      <c r="I249">
        <v>129</v>
      </c>
      <c r="J249">
        <v>36.64</v>
      </c>
      <c r="K249">
        <v>218.7</v>
      </c>
      <c r="L249">
        <v>117</v>
      </c>
      <c r="M249">
        <v>18.59</v>
      </c>
      <c r="N249">
        <v>207.1</v>
      </c>
      <c r="O249">
        <v>91</v>
      </c>
      <c r="P249">
        <v>9.32</v>
      </c>
      <c r="Q249">
        <v>6.6</v>
      </c>
      <c r="R249">
        <v>9</v>
      </c>
      <c r="S249">
        <v>1.78</v>
      </c>
      <c r="T249">
        <v>4</v>
      </c>
      <c r="U249" t="s">
        <v>22</v>
      </c>
      <c r="V249" t="e">
        <f>IF(#REF! = "yes", 1, 0)</f>
        <v>#REF!</v>
      </c>
      <c r="W249" t="e">
        <f>IF(#REF! &lt;= 1, "0-1 Calls", IF(#REF! &lt;= 3, "2-3 Calls", IF(#REF! &lt;=5, "4-5 Calls", "6+ Calls")))</f>
        <v>#REF!</v>
      </c>
      <c r="X249" t="e">
        <f>IF(#REF! &lt;= 50, "0-50", IF(#REF! &lt;=100, "51-100", IF(#REF! &lt;= 150, "101-150", "151+")))</f>
        <v>#REF!</v>
      </c>
      <c r="Y249" t="e">
        <f>IF(#REF! &lt;= 3, "Low Charges", "High Charges")</f>
        <v>#REF!</v>
      </c>
      <c r="Z249" t="e">
        <f>IF(#REF!&lt;=80,"Low Calls",
IF(#REF!&lt;=120,"Medium Calls","High Calls"))</f>
        <v>#REF!</v>
      </c>
      <c r="AA249" t="e">
        <f>IF(#REF!&lt;=15,"Low Charges",
IF(#REF!&lt;=20,"Medium Charges","High Charges"))</f>
        <v>#REF!</v>
      </c>
      <c r="AB249" t="e">
        <f>IF(AND(#REF!&gt;180, #REF!&gt;200), "Heavy Doemstic User", IF(#REF!&gt;10, "Interntional User", IF(AND(#REF!&lt;180, #REF!&lt;200,#REF!&lt;200), "Light User", "Balanced User")))</f>
        <v>#REF!</v>
      </c>
      <c r="AC249" t="e">
        <f>IF(#REF! = 0, "No Usage", IF(#REF! &lt;= 20, "Low Usage", IF(#REF! &lt;= 40, "Medium Usgae", "High Usage")))</f>
        <v>#REF!</v>
      </c>
      <c r="AD249" t="e">
        <f>IF(#REF!&lt;=150,"Low Usage", IF(#REF!&lt;=200,"Medium Usage", IF(#REF!&lt;=250,"High Usage","Very High Usage")))</f>
        <v>#REF!</v>
      </c>
      <c r="AE249" t="e">
        <f>IF(#REF!&lt;=5,"Low Calls", IF(#REF!&lt;=10, "Medium Calls", "High Calls"))</f>
        <v>#REF!</v>
      </c>
      <c r="AF249" t="e">
        <f xml:space="preserve">
IF(#REF!&gt;=4,4,0)+
IF(#REF!="yes",3,0)+
IF(#REF!="High Charges",3,0)+
IF(#REF!&gt;250,4,0)+
IF(#REF!="no",1,0)+
IF(#REF!="Heavy Domestic User",2,0)</f>
        <v>#REF!</v>
      </c>
      <c r="AG249" t="e">
        <f>IF(#REF!&gt;=10,"High Risk", IF(#REF!&gt;=5,"Medium Risk","Low Risk"))</f>
        <v>#REF!</v>
      </c>
      <c r="AH249" t="e">
        <f>#REF! + #REF! + #REF! + #REF!</f>
        <v>#REF!</v>
      </c>
    </row>
    <row r="250" spans="1:34" x14ac:dyDescent="0.35">
      <c r="A250">
        <v>249</v>
      </c>
      <c r="B250" t="s">
        <v>49</v>
      </c>
      <c r="C250">
        <v>67</v>
      </c>
      <c r="D250" t="s">
        <v>21</v>
      </c>
      <c r="E250" t="s">
        <v>22</v>
      </c>
      <c r="F250" t="s">
        <v>22</v>
      </c>
      <c r="G250">
        <v>0</v>
      </c>
      <c r="H250">
        <v>171.7</v>
      </c>
      <c r="I250">
        <v>80</v>
      </c>
      <c r="J250">
        <v>29.19</v>
      </c>
      <c r="K250">
        <v>110.4</v>
      </c>
      <c r="L250">
        <v>81</v>
      </c>
      <c r="M250">
        <v>9.3800000000000008</v>
      </c>
      <c r="N250">
        <v>195.4</v>
      </c>
      <c r="O250">
        <v>111</v>
      </c>
      <c r="P250">
        <v>8.7899999999999991</v>
      </c>
      <c r="Q250">
        <v>11.9</v>
      </c>
      <c r="R250">
        <v>4</v>
      </c>
      <c r="S250">
        <v>3.21</v>
      </c>
      <c r="T250">
        <v>2</v>
      </c>
      <c r="U250" t="s">
        <v>22</v>
      </c>
      <c r="V250" t="e">
        <f>IF(#REF! = "yes", 1, 0)</f>
        <v>#REF!</v>
      </c>
      <c r="W250" t="e">
        <f>IF(#REF! &lt;= 1, "0-1 Calls", IF(#REF! &lt;= 3, "2-3 Calls", IF(#REF! &lt;=5, "4-5 Calls", "6+ Calls")))</f>
        <v>#REF!</v>
      </c>
      <c r="X250" t="e">
        <f>IF(#REF! &lt;= 50, "0-50", IF(#REF! &lt;=100, "51-100", IF(#REF! &lt;= 150, "101-150", "151+")))</f>
        <v>#REF!</v>
      </c>
      <c r="Y250" t="e">
        <f>IF(#REF! &lt;= 3, "Low Charges", "High Charges")</f>
        <v>#REF!</v>
      </c>
      <c r="Z250" t="e">
        <f>IF(#REF!&lt;=80,"Low Calls",
IF(#REF!&lt;=120,"Medium Calls","High Calls"))</f>
        <v>#REF!</v>
      </c>
      <c r="AA250" t="e">
        <f>IF(#REF!&lt;=15,"Low Charges",
IF(#REF!&lt;=20,"Medium Charges","High Charges"))</f>
        <v>#REF!</v>
      </c>
      <c r="AB250" t="e">
        <f>IF(AND(#REF!&gt;180, #REF!&gt;200), "Heavy Doemstic User", IF(#REF!&gt;10, "Interntional User", IF(AND(#REF!&lt;180, #REF!&lt;200,#REF!&lt;200), "Light User", "Balanced User")))</f>
        <v>#REF!</v>
      </c>
      <c r="AC250" t="e">
        <f>IF(#REF! = 0, "No Usage", IF(#REF! &lt;= 20, "Low Usage", IF(#REF! &lt;= 40, "Medium Usgae", "High Usage")))</f>
        <v>#REF!</v>
      </c>
      <c r="AD250" t="e">
        <f>IF(#REF!&lt;=150,"Low Usage", IF(#REF!&lt;=200,"Medium Usage", IF(#REF!&lt;=250,"High Usage","Very High Usage")))</f>
        <v>#REF!</v>
      </c>
      <c r="AE250" t="e">
        <f>IF(#REF!&lt;=5,"Low Calls", IF(#REF!&lt;=10, "Medium Calls", "High Calls"))</f>
        <v>#REF!</v>
      </c>
      <c r="AF250" t="e">
        <f xml:space="preserve">
IF(#REF!&gt;=4,4,0)+
IF(#REF!="yes",3,0)+
IF(#REF!="High Charges",3,0)+
IF(#REF!&gt;250,4,0)+
IF(#REF!="no",1,0)+
IF(#REF!="Heavy Domestic User",2,0)</f>
        <v>#REF!</v>
      </c>
      <c r="AG250" t="e">
        <f>IF(#REF!&gt;=10,"High Risk", IF(#REF!&gt;=5,"Medium Risk","Low Risk"))</f>
        <v>#REF!</v>
      </c>
      <c r="AH250" t="e">
        <f>#REF! + #REF! + #REF! + #REF!</f>
        <v>#REF!</v>
      </c>
    </row>
    <row r="251" spans="1:34" x14ac:dyDescent="0.35">
      <c r="A251">
        <v>250</v>
      </c>
      <c r="B251" t="s">
        <v>40</v>
      </c>
      <c r="C251">
        <v>127</v>
      </c>
      <c r="D251" t="s">
        <v>21</v>
      </c>
      <c r="E251" t="s">
        <v>22</v>
      </c>
      <c r="F251" t="s">
        <v>22</v>
      </c>
      <c r="G251">
        <v>0</v>
      </c>
      <c r="H251">
        <v>266.60000000000002</v>
      </c>
      <c r="I251">
        <v>106</v>
      </c>
      <c r="J251">
        <v>45.32</v>
      </c>
      <c r="K251">
        <v>264.8</v>
      </c>
      <c r="L251">
        <v>168</v>
      </c>
      <c r="M251">
        <v>22.51</v>
      </c>
      <c r="N251">
        <v>207.2</v>
      </c>
      <c r="O251">
        <v>119</v>
      </c>
      <c r="P251">
        <v>9.32</v>
      </c>
      <c r="Q251">
        <v>5.9</v>
      </c>
      <c r="R251">
        <v>2</v>
      </c>
      <c r="S251">
        <v>1.59</v>
      </c>
      <c r="T251">
        <v>1</v>
      </c>
      <c r="U251" t="s">
        <v>23</v>
      </c>
      <c r="V251" t="e">
        <f>IF(#REF! = "yes", 1, 0)</f>
        <v>#REF!</v>
      </c>
      <c r="W251" t="e">
        <f>IF(#REF! &lt;= 1, "0-1 Calls", IF(#REF! &lt;= 3, "2-3 Calls", IF(#REF! &lt;=5, "4-5 Calls", "6+ Calls")))</f>
        <v>#REF!</v>
      </c>
      <c r="X251" t="e">
        <f>IF(#REF! &lt;= 50, "0-50", IF(#REF! &lt;=100, "51-100", IF(#REF! &lt;= 150, "101-150", "151+")))</f>
        <v>#REF!</v>
      </c>
      <c r="Y251" t="e">
        <f>IF(#REF! &lt;= 3, "Low Charges", "High Charges")</f>
        <v>#REF!</v>
      </c>
      <c r="Z251" t="e">
        <f>IF(#REF!&lt;=80,"Low Calls",
IF(#REF!&lt;=120,"Medium Calls","High Calls"))</f>
        <v>#REF!</v>
      </c>
      <c r="AA251" t="e">
        <f>IF(#REF!&lt;=15,"Low Charges",
IF(#REF!&lt;=20,"Medium Charges","High Charges"))</f>
        <v>#REF!</v>
      </c>
      <c r="AB251" t="e">
        <f>IF(AND(#REF!&gt;180, #REF!&gt;200), "Heavy Doemstic User", IF(#REF!&gt;10, "Interntional User", IF(AND(#REF!&lt;180, #REF!&lt;200,#REF!&lt;200), "Light User", "Balanced User")))</f>
        <v>#REF!</v>
      </c>
      <c r="AC251" t="e">
        <f>IF(#REF! = 0, "No Usage", IF(#REF! &lt;= 20, "Low Usage", IF(#REF! &lt;= 40, "Medium Usgae", "High Usage")))</f>
        <v>#REF!</v>
      </c>
      <c r="AD251" t="e">
        <f>IF(#REF!&lt;=150,"Low Usage", IF(#REF!&lt;=200,"Medium Usage", IF(#REF!&lt;=250,"High Usage","Very High Usage")))</f>
        <v>#REF!</v>
      </c>
      <c r="AE251" t="e">
        <f>IF(#REF!&lt;=5,"Low Calls", IF(#REF!&lt;=10, "Medium Calls", "High Calls"))</f>
        <v>#REF!</v>
      </c>
      <c r="AF251" t="e">
        <f xml:space="preserve">
IF(#REF!&gt;=4,4,0)+
IF(#REF!="yes",3,0)+
IF(#REF!="High Charges",3,0)+
IF(#REF!&gt;250,4,0)+
IF(#REF!="no",1,0)+
IF(#REF!="Heavy Domestic User",2,0)</f>
        <v>#REF!</v>
      </c>
      <c r="AG251" t="e">
        <f>IF(#REF!&gt;=10,"High Risk", IF(#REF!&gt;=5,"Medium Risk","Low Risk"))</f>
        <v>#REF!</v>
      </c>
      <c r="AH251" t="e">
        <f>#REF! + #REF! + #REF! + #REF!</f>
        <v>#REF!</v>
      </c>
    </row>
    <row r="252" spans="1:34" x14ac:dyDescent="0.35">
      <c r="A252">
        <v>251</v>
      </c>
      <c r="B252" t="s">
        <v>34</v>
      </c>
      <c r="C252">
        <v>158</v>
      </c>
      <c r="D252" t="s">
        <v>21</v>
      </c>
      <c r="E252" t="s">
        <v>22</v>
      </c>
      <c r="F252" t="s">
        <v>22</v>
      </c>
      <c r="G252">
        <v>0</v>
      </c>
      <c r="H252">
        <v>158</v>
      </c>
      <c r="I252">
        <v>106</v>
      </c>
      <c r="J252">
        <v>26.86</v>
      </c>
      <c r="K252">
        <v>292.5</v>
      </c>
      <c r="L252">
        <v>114</v>
      </c>
      <c r="M252">
        <v>24.86</v>
      </c>
      <c r="N252">
        <v>241.1</v>
      </c>
      <c r="O252">
        <v>89</v>
      </c>
      <c r="P252">
        <v>10.85</v>
      </c>
      <c r="Q252">
        <v>9.1</v>
      </c>
      <c r="R252">
        <v>4</v>
      </c>
      <c r="S252">
        <v>2.46</v>
      </c>
      <c r="T252">
        <v>1</v>
      </c>
      <c r="U252" t="s">
        <v>22</v>
      </c>
      <c r="V252" t="e">
        <f>IF(#REF! = "yes", 1, 0)</f>
        <v>#REF!</v>
      </c>
      <c r="W252" t="e">
        <f>IF(#REF! &lt;= 1, "0-1 Calls", IF(#REF! &lt;= 3, "2-3 Calls", IF(#REF! &lt;=5, "4-5 Calls", "6+ Calls")))</f>
        <v>#REF!</v>
      </c>
      <c r="X252" t="e">
        <f>IF(#REF! &lt;= 50, "0-50", IF(#REF! &lt;=100, "51-100", IF(#REF! &lt;= 150, "101-150", "151+")))</f>
        <v>#REF!</v>
      </c>
      <c r="Y252" t="e">
        <f>IF(#REF! &lt;= 3, "Low Charges", "High Charges")</f>
        <v>#REF!</v>
      </c>
      <c r="Z252" t="e">
        <f>IF(#REF!&lt;=80,"Low Calls",
IF(#REF!&lt;=120,"Medium Calls","High Calls"))</f>
        <v>#REF!</v>
      </c>
      <c r="AA252" t="e">
        <f>IF(#REF!&lt;=15,"Low Charges",
IF(#REF!&lt;=20,"Medium Charges","High Charges"))</f>
        <v>#REF!</v>
      </c>
      <c r="AB252" t="e">
        <f>IF(AND(#REF!&gt;180, #REF!&gt;200), "Heavy Doemstic User", IF(#REF!&gt;10, "Interntional User", IF(AND(#REF!&lt;180, #REF!&lt;200,#REF!&lt;200), "Light User", "Balanced User")))</f>
        <v>#REF!</v>
      </c>
      <c r="AC252" t="e">
        <f>IF(#REF! = 0, "No Usage", IF(#REF! &lt;= 20, "Low Usage", IF(#REF! &lt;= 40, "Medium Usgae", "High Usage")))</f>
        <v>#REF!</v>
      </c>
      <c r="AD252" t="e">
        <f>IF(#REF!&lt;=150,"Low Usage", IF(#REF!&lt;=200,"Medium Usage", IF(#REF!&lt;=250,"High Usage","Very High Usage")))</f>
        <v>#REF!</v>
      </c>
      <c r="AE252" t="e">
        <f>IF(#REF!&lt;=5,"Low Calls", IF(#REF!&lt;=10, "Medium Calls", "High Calls"))</f>
        <v>#REF!</v>
      </c>
      <c r="AF252" t="e">
        <f xml:space="preserve">
IF(#REF!&gt;=4,4,0)+
IF(#REF!="yes",3,0)+
IF(#REF!="High Charges",3,0)+
IF(#REF!&gt;250,4,0)+
IF(#REF!="no",1,0)+
IF(#REF!="Heavy Domestic User",2,0)</f>
        <v>#REF!</v>
      </c>
      <c r="AG252" t="e">
        <f>IF(#REF!&gt;=10,"High Risk", IF(#REF!&gt;=5,"Medium Risk","Low Risk"))</f>
        <v>#REF!</v>
      </c>
      <c r="AH252" t="e">
        <f>#REF! + #REF! + #REF! + #REF!</f>
        <v>#REF!</v>
      </c>
    </row>
    <row r="253" spans="1:34" x14ac:dyDescent="0.35">
      <c r="A253">
        <v>252</v>
      </c>
      <c r="B253" t="s">
        <v>42</v>
      </c>
      <c r="C253">
        <v>136</v>
      </c>
      <c r="D253" t="s">
        <v>28</v>
      </c>
      <c r="E253" t="s">
        <v>22</v>
      </c>
      <c r="F253" t="s">
        <v>22</v>
      </c>
      <c r="G253">
        <v>0</v>
      </c>
      <c r="H253">
        <v>92</v>
      </c>
      <c r="I253">
        <v>117</v>
      </c>
      <c r="J253">
        <v>15.64</v>
      </c>
      <c r="K253">
        <v>253.6</v>
      </c>
      <c r="L253">
        <v>77</v>
      </c>
      <c r="M253">
        <v>21.56</v>
      </c>
      <c r="N253">
        <v>214.1</v>
      </c>
      <c r="O253">
        <v>90</v>
      </c>
      <c r="P253">
        <v>9.6300000000000008</v>
      </c>
      <c r="Q253">
        <v>10.3</v>
      </c>
      <c r="R253">
        <v>10</v>
      </c>
      <c r="S253">
        <v>2.78</v>
      </c>
      <c r="T253">
        <v>1</v>
      </c>
      <c r="U253" t="s">
        <v>22</v>
      </c>
      <c r="V253" t="e">
        <f>IF(#REF! = "yes", 1, 0)</f>
        <v>#REF!</v>
      </c>
      <c r="W253" t="e">
        <f>IF(#REF! &lt;= 1, "0-1 Calls", IF(#REF! &lt;= 3, "2-3 Calls", IF(#REF! &lt;=5, "4-5 Calls", "6+ Calls")))</f>
        <v>#REF!</v>
      </c>
      <c r="X253" t="e">
        <f>IF(#REF! &lt;= 50, "0-50", IF(#REF! &lt;=100, "51-100", IF(#REF! &lt;= 150, "101-150", "151+")))</f>
        <v>#REF!</v>
      </c>
      <c r="Y253" t="e">
        <f>IF(#REF! &lt;= 3, "Low Charges", "High Charges")</f>
        <v>#REF!</v>
      </c>
      <c r="Z253" t="e">
        <f>IF(#REF!&lt;=80,"Low Calls",
IF(#REF!&lt;=120,"Medium Calls","High Calls"))</f>
        <v>#REF!</v>
      </c>
      <c r="AA253" t="e">
        <f>IF(#REF!&lt;=15,"Low Charges",
IF(#REF!&lt;=20,"Medium Charges","High Charges"))</f>
        <v>#REF!</v>
      </c>
      <c r="AB253" t="e">
        <f>IF(AND(#REF!&gt;180, #REF!&gt;200), "Heavy Doemstic User", IF(#REF!&gt;10, "Interntional User", IF(AND(#REF!&lt;180, #REF!&lt;200,#REF!&lt;200), "Light User", "Balanced User")))</f>
        <v>#REF!</v>
      </c>
      <c r="AC253" t="e">
        <f>IF(#REF! = 0, "No Usage", IF(#REF! &lt;= 20, "Low Usage", IF(#REF! &lt;= 40, "Medium Usgae", "High Usage")))</f>
        <v>#REF!</v>
      </c>
      <c r="AD253" t="e">
        <f>IF(#REF!&lt;=150,"Low Usage", IF(#REF!&lt;=200,"Medium Usage", IF(#REF!&lt;=250,"High Usage","Very High Usage")))</f>
        <v>#REF!</v>
      </c>
      <c r="AE253" t="e">
        <f>IF(#REF!&lt;=5,"Low Calls", IF(#REF!&lt;=10, "Medium Calls", "High Calls"))</f>
        <v>#REF!</v>
      </c>
      <c r="AF253" t="e">
        <f xml:space="preserve">
IF(#REF!&gt;=4,4,0)+
IF(#REF!="yes",3,0)+
IF(#REF!="High Charges",3,0)+
IF(#REF!&gt;250,4,0)+
IF(#REF!="no",1,0)+
IF(#REF!="Heavy Domestic User",2,0)</f>
        <v>#REF!</v>
      </c>
      <c r="AG253" t="e">
        <f>IF(#REF!&gt;=10,"High Risk", IF(#REF!&gt;=5,"Medium Risk","Low Risk"))</f>
        <v>#REF!</v>
      </c>
      <c r="AH253" t="e">
        <f>#REF! + #REF! + #REF! + #REF!</f>
        <v>#REF!</v>
      </c>
    </row>
    <row r="254" spans="1:34" x14ac:dyDescent="0.35">
      <c r="A254">
        <v>253</v>
      </c>
      <c r="B254" t="s">
        <v>29</v>
      </c>
      <c r="C254">
        <v>196</v>
      </c>
      <c r="D254" t="s">
        <v>21</v>
      </c>
      <c r="E254" t="s">
        <v>22</v>
      </c>
      <c r="F254" t="s">
        <v>22</v>
      </c>
      <c r="G254">
        <v>0</v>
      </c>
      <c r="H254">
        <v>234</v>
      </c>
      <c r="I254">
        <v>109</v>
      </c>
      <c r="J254">
        <v>39.78</v>
      </c>
      <c r="K254">
        <v>249.5</v>
      </c>
      <c r="L254">
        <v>114</v>
      </c>
      <c r="M254">
        <v>21.21</v>
      </c>
      <c r="N254">
        <v>173.1</v>
      </c>
      <c r="O254">
        <v>70</v>
      </c>
      <c r="P254">
        <v>7.79</v>
      </c>
      <c r="Q254">
        <v>9.1</v>
      </c>
      <c r="R254">
        <v>5</v>
      </c>
      <c r="S254">
        <v>2.46</v>
      </c>
      <c r="T254">
        <v>2</v>
      </c>
      <c r="U254" t="s">
        <v>22</v>
      </c>
      <c r="V254" t="e">
        <f>IF(#REF! = "yes", 1, 0)</f>
        <v>#REF!</v>
      </c>
      <c r="W254" t="e">
        <f>IF(#REF! &lt;= 1, "0-1 Calls", IF(#REF! &lt;= 3, "2-3 Calls", IF(#REF! &lt;=5, "4-5 Calls", "6+ Calls")))</f>
        <v>#REF!</v>
      </c>
      <c r="X254" t="e">
        <f>IF(#REF! &lt;= 50, "0-50", IF(#REF! &lt;=100, "51-100", IF(#REF! &lt;= 150, "101-150", "151+")))</f>
        <v>#REF!</v>
      </c>
      <c r="Y254" t="e">
        <f>IF(#REF! &lt;= 3, "Low Charges", "High Charges")</f>
        <v>#REF!</v>
      </c>
      <c r="Z254" t="e">
        <f>IF(#REF!&lt;=80,"Low Calls",
IF(#REF!&lt;=120,"Medium Calls","High Calls"))</f>
        <v>#REF!</v>
      </c>
      <c r="AA254" t="e">
        <f>IF(#REF!&lt;=15,"Low Charges",
IF(#REF!&lt;=20,"Medium Charges","High Charges"))</f>
        <v>#REF!</v>
      </c>
      <c r="AB254" t="e">
        <f>IF(AND(#REF!&gt;180, #REF!&gt;200), "Heavy Doemstic User", IF(#REF!&gt;10, "Interntional User", IF(AND(#REF!&lt;180, #REF!&lt;200,#REF!&lt;200), "Light User", "Balanced User")))</f>
        <v>#REF!</v>
      </c>
      <c r="AC254" t="e">
        <f>IF(#REF! = 0, "No Usage", IF(#REF! &lt;= 20, "Low Usage", IF(#REF! &lt;= 40, "Medium Usgae", "High Usage")))</f>
        <v>#REF!</v>
      </c>
      <c r="AD254" t="e">
        <f>IF(#REF!&lt;=150,"Low Usage", IF(#REF!&lt;=200,"Medium Usage", IF(#REF!&lt;=250,"High Usage","Very High Usage")))</f>
        <v>#REF!</v>
      </c>
      <c r="AE254" t="e">
        <f>IF(#REF!&lt;=5,"Low Calls", IF(#REF!&lt;=10, "Medium Calls", "High Calls"))</f>
        <v>#REF!</v>
      </c>
      <c r="AF254" t="e">
        <f xml:space="preserve">
IF(#REF!&gt;=4,4,0)+
IF(#REF!="yes",3,0)+
IF(#REF!="High Charges",3,0)+
IF(#REF!&gt;250,4,0)+
IF(#REF!="no",1,0)+
IF(#REF!="Heavy Domestic User",2,0)</f>
        <v>#REF!</v>
      </c>
      <c r="AG254" t="e">
        <f>IF(#REF!&gt;=10,"High Risk", IF(#REF!&gt;=5,"Medium Risk","Low Risk"))</f>
        <v>#REF!</v>
      </c>
      <c r="AH254" t="e">
        <f>#REF! + #REF! + #REF! + #REF!</f>
        <v>#REF!</v>
      </c>
    </row>
    <row r="255" spans="1:34" x14ac:dyDescent="0.35">
      <c r="A255">
        <v>254</v>
      </c>
      <c r="B255" t="s">
        <v>64</v>
      </c>
      <c r="C255">
        <v>113</v>
      </c>
      <c r="D255" t="s">
        <v>21</v>
      </c>
      <c r="E255" t="s">
        <v>22</v>
      </c>
      <c r="F255" t="s">
        <v>22</v>
      </c>
      <c r="G255">
        <v>0</v>
      </c>
      <c r="H255">
        <v>272.10000000000002</v>
      </c>
      <c r="I255">
        <v>111</v>
      </c>
      <c r="J255">
        <v>46.26</v>
      </c>
      <c r="K255">
        <v>268.5</v>
      </c>
      <c r="L255">
        <v>118</v>
      </c>
      <c r="M255">
        <v>22.82</v>
      </c>
      <c r="N255">
        <v>213.8</v>
      </c>
      <c r="O255">
        <v>105</v>
      </c>
      <c r="P255">
        <v>9.6199999999999992</v>
      </c>
      <c r="Q255">
        <v>8.5</v>
      </c>
      <c r="R255">
        <v>10</v>
      </c>
      <c r="S255">
        <v>2.2999999999999998</v>
      </c>
      <c r="T255">
        <v>1</v>
      </c>
      <c r="U255" t="s">
        <v>23</v>
      </c>
      <c r="V255" t="e">
        <f>IF(#REF! = "yes", 1, 0)</f>
        <v>#REF!</v>
      </c>
      <c r="W255" t="e">
        <f>IF(#REF! &lt;= 1, "0-1 Calls", IF(#REF! &lt;= 3, "2-3 Calls", IF(#REF! &lt;=5, "4-5 Calls", "6+ Calls")))</f>
        <v>#REF!</v>
      </c>
      <c r="X255" t="e">
        <f>IF(#REF! &lt;= 50, "0-50", IF(#REF! &lt;=100, "51-100", IF(#REF! &lt;= 150, "101-150", "151+")))</f>
        <v>#REF!</v>
      </c>
      <c r="Y255" t="e">
        <f>IF(#REF! &lt;= 3, "Low Charges", "High Charges")</f>
        <v>#REF!</v>
      </c>
      <c r="Z255" t="e">
        <f>IF(#REF!&lt;=80,"Low Calls",
IF(#REF!&lt;=120,"Medium Calls","High Calls"))</f>
        <v>#REF!</v>
      </c>
      <c r="AA255" t="e">
        <f>IF(#REF!&lt;=15,"Low Charges",
IF(#REF!&lt;=20,"Medium Charges","High Charges"))</f>
        <v>#REF!</v>
      </c>
      <c r="AB255" t="e">
        <f>IF(AND(#REF!&gt;180, #REF!&gt;200), "Heavy Doemstic User", IF(#REF!&gt;10, "Interntional User", IF(AND(#REF!&lt;180, #REF!&lt;200,#REF!&lt;200), "Light User", "Balanced User")))</f>
        <v>#REF!</v>
      </c>
      <c r="AC255" t="e">
        <f>IF(#REF! = 0, "No Usage", IF(#REF! &lt;= 20, "Low Usage", IF(#REF! &lt;= 40, "Medium Usgae", "High Usage")))</f>
        <v>#REF!</v>
      </c>
      <c r="AD255" t="e">
        <f>IF(#REF!&lt;=150,"Low Usage", IF(#REF!&lt;=200,"Medium Usage", IF(#REF!&lt;=250,"High Usage","Very High Usage")))</f>
        <v>#REF!</v>
      </c>
      <c r="AE255" t="e">
        <f>IF(#REF!&lt;=5,"Low Calls", IF(#REF!&lt;=10, "Medium Calls", "High Calls"))</f>
        <v>#REF!</v>
      </c>
      <c r="AF255" t="e">
        <f xml:space="preserve">
IF(#REF!&gt;=4,4,0)+
IF(#REF!="yes",3,0)+
IF(#REF!="High Charges",3,0)+
IF(#REF!&gt;250,4,0)+
IF(#REF!="no",1,0)+
IF(#REF!="Heavy Domestic User",2,0)</f>
        <v>#REF!</v>
      </c>
      <c r="AG255" t="e">
        <f>IF(#REF!&gt;=10,"High Risk", IF(#REF!&gt;=5,"Medium Risk","Low Risk"))</f>
        <v>#REF!</v>
      </c>
      <c r="AH255" t="e">
        <f>#REF! + #REF! + #REF! + #REF!</f>
        <v>#REF!</v>
      </c>
    </row>
    <row r="256" spans="1:34" x14ac:dyDescent="0.35">
      <c r="A256">
        <v>255</v>
      </c>
      <c r="B256" t="s">
        <v>32</v>
      </c>
      <c r="C256">
        <v>122</v>
      </c>
      <c r="D256" t="s">
        <v>25</v>
      </c>
      <c r="E256" t="s">
        <v>22</v>
      </c>
      <c r="F256" t="s">
        <v>22</v>
      </c>
      <c r="G256">
        <v>0</v>
      </c>
      <c r="H256">
        <v>296.39999999999998</v>
      </c>
      <c r="I256">
        <v>99</v>
      </c>
      <c r="J256">
        <v>50.39</v>
      </c>
      <c r="K256">
        <v>214.8</v>
      </c>
      <c r="L256">
        <v>89</v>
      </c>
      <c r="M256">
        <v>18.260000000000002</v>
      </c>
      <c r="N256">
        <v>133.9</v>
      </c>
      <c r="O256">
        <v>107</v>
      </c>
      <c r="P256">
        <v>6.03</v>
      </c>
      <c r="Q256">
        <v>11.4</v>
      </c>
      <c r="R256">
        <v>3</v>
      </c>
      <c r="S256">
        <v>3.08</v>
      </c>
      <c r="T256">
        <v>4</v>
      </c>
      <c r="U256" t="s">
        <v>23</v>
      </c>
      <c r="V256" t="e">
        <f>IF(#REF! = "yes", 1, 0)</f>
        <v>#REF!</v>
      </c>
      <c r="W256" t="e">
        <f>IF(#REF! &lt;= 1, "0-1 Calls", IF(#REF! &lt;= 3, "2-3 Calls", IF(#REF! &lt;=5, "4-5 Calls", "6+ Calls")))</f>
        <v>#REF!</v>
      </c>
      <c r="X256" t="e">
        <f>IF(#REF! &lt;= 50, "0-50", IF(#REF! &lt;=100, "51-100", IF(#REF! &lt;= 150, "101-150", "151+")))</f>
        <v>#REF!</v>
      </c>
      <c r="Y256" t="e">
        <f>IF(#REF! &lt;= 3, "Low Charges", "High Charges")</f>
        <v>#REF!</v>
      </c>
      <c r="Z256" t="e">
        <f>IF(#REF!&lt;=80,"Low Calls",
IF(#REF!&lt;=120,"Medium Calls","High Calls"))</f>
        <v>#REF!</v>
      </c>
      <c r="AA256" t="e">
        <f>IF(#REF!&lt;=15,"Low Charges",
IF(#REF!&lt;=20,"Medium Charges","High Charges"))</f>
        <v>#REF!</v>
      </c>
      <c r="AB256" t="e">
        <f>IF(AND(#REF!&gt;180, #REF!&gt;200), "Heavy Doemstic User", IF(#REF!&gt;10, "Interntional User", IF(AND(#REF!&lt;180, #REF!&lt;200,#REF!&lt;200), "Light User", "Balanced User")))</f>
        <v>#REF!</v>
      </c>
      <c r="AC256" t="e">
        <f>IF(#REF! = 0, "No Usage", IF(#REF! &lt;= 20, "Low Usage", IF(#REF! &lt;= 40, "Medium Usgae", "High Usage")))</f>
        <v>#REF!</v>
      </c>
      <c r="AD256" t="e">
        <f>IF(#REF!&lt;=150,"Low Usage", IF(#REF!&lt;=200,"Medium Usage", IF(#REF!&lt;=250,"High Usage","Very High Usage")))</f>
        <v>#REF!</v>
      </c>
      <c r="AE256" t="e">
        <f>IF(#REF!&lt;=5,"Low Calls", IF(#REF!&lt;=10, "Medium Calls", "High Calls"))</f>
        <v>#REF!</v>
      </c>
      <c r="AF256" t="e">
        <f xml:space="preserve">
IF(#REF!&gt;=4,4,0)+
IF(#REF!="yes",3,0)+
IF(#REF!="High Charges",3,0)+
IF(#REF!&gt;250,4,0)+
IF(#REF!="no",1,0)+
IF(#REF!="Heavy Domestic User",2,0)</f>
        <v>#REF!</v>
      </c>
      <c r="AG256" t="e">
        <f>IF(#REF!&gt;=10,"High Risk", IF(#REF!&gt;=5,"Medium Risk","Low Risk"))</f>
        <v>#REF!</v>
      </c>
      <c r="AH256" t="e">
        <f>#REF! + #REF! + #REF! + #REF!</f>
        <v>#REF!</v>
      </c>
    </row>
    <row r="257" spans="1:34" x14ac:dyDescent="0.35">
      <c r="A257">
        <v>256</v>
      </c>
      <c r="B257" t="s">
        <v>33</v>
      </c>
      <c r="C257">
        <v>112</v>
      </c>
      <c r="D257" t="s">
        <v>28</v>
      </c>
      <c r="E257" t="s">
        <v>22</v>
      </c>
      <c r="F257" t="s">
        <v>22</v>
      </c>
      <c r="G257">
        <v>0</v>
      </c>
      <c r="H257">
        <v>194.4</v>
      </c>
      <c r="I257">
        <v>101</v>
      </c>
      <c r="J257">
        <v>33.049999999999997</v>
      </c>
      <c r="K257">
        <v>190.3</v>
      </c>
      <c r="L257">
        <v>82</v>
      </c>
      <c r="M257">
        <v>16.18</v>
      </c>
      <c r="N257">
        <v>183.4</v>
      </c>
      <c r="O257">
        <v>107</v>
      </c>
      <c r="P257">
        <v>8.25</v>
      </c>
      <c r="Q257">
        <v>11.4</v>
      </c>
      <c r="R257">
        <v>2</v>
      </c>
      <c r="S257">
        <v>3.08</v>
      </c>
      <c r="T257">
        <v>0</v>
      </c>
      <c r="U257" t="s">
        <v>22</v>
      </c>
      <c r="V257" t="e">
        <f>IF(#REF! = "yes", 1, 0)</f>
        <v>#REF!</v>
      </c>
      <c r="W257" t="e">
        <f>IF(#REF! &lt;= 1, "0-1 Calls", IF(#REF! &lt;= 3, "2-3 Calls", IF(#REF! &lt;=5, "4-5 Calls", "6+ Calls")))</f>
        <v>#REF!</v>
      </c>
      <c r="X257" t="e">
        <f>IF(#REF! &lt;= 50, "0-50", IF(#REF! &lt;=100, "51-100", IF(#REF! &lt;= 150, "101-150", "151+")))</f>
        <v>#REF!</v>
      </c>
      <c r="Y257" t="e">
        <f>IF(#REF! &lt;= 3, "Low Charges", "High Charges")</f>
        <v>#REF!</v>
      </c>
      <c r="Z257" t="e">
        <f>IF(#REF!&lt;=80,"Low Calls",
IF(#REF!&lt;=120,"Medium Calls","High Calls"))</f>
        <v>#REF!</v>
      </c>
      <c r="AA257" t="e">
        <f>IF(#REF!&lt;=15,"Low Charges",
IF(#REF!&lt;=20,"Medium Charges","High Charges"))</f>
        <v>#REF!</v>
      </c>
      <c r="AB257" t="e">
        <f>IF(AND(#REF!&gt;180, #REF!&gt;200), "Heavy Doemstic User", IF(#REF!&gt;10, "Interntional User", IF(AND(#REF!&lt;180, #REF!&lt;200,#REF!&lt;200), "Light User", "Balanced User")))</f>
        <v>#REF!</v>
      </c>
      <c r="AC257" t="e">
        <f>IF(#REF! = 0, "No Usage", IF(#REF! &lt;= 20, "Low Usage", IF(#REF! &lt;= 40, "Medium Usgae", "High Usage")))</f>
        <v>#REF!</v>
      </c>
      <c r="AD257" t="e">
        <f>IF(#REF!&lt;=150,"Low Usage", IF(#REF!&lt;=200,"Medium Usage", IF(#REF!&lt;=250,"High Usage","Very High Usage")))</f>
        <v>#REF!</v>
      </c>
      <c r="AE257" t="e">
        <f>IF(#REF!&lt;=5,"Low Calls", IF(#REF!&lt;=10, "Medium Calls", "High Calls"))</f>
        <v>#REF!</v>
      </c>
      <c r="AF257" t="e">
        <f xml:space="preserve">
IF(#REF!&gt;=4,4,0)+
IF(#REF!="yes",3,0)+
IF(#REF!="High Charges",3,0)+
IF(#REF!&gt;250,4,0)+
IF(#REF!="no",1,0)+
IF(#REF!="Heavy Domestic User",2,0)</f>
        <v>#REF!</v>
      </c>
      <c r="AG257" t="e">
        <f>IF(#REF!&gt;=10,"High Risk", IF(#REF!&gt;=5,"Medium Risk","Low Risk"))</f>
        <v>#REF!</v>
      </c>
      <c r="AH257" t="e">
        <f>#REF! + #REF! + #REF! + #REF!</f>
        <v>#REF!</v>
      </c>
    </row>
    <row r="258" spans="1:34" x14ac:dyDescent="0.35">
      <c r="A258">
        <v>257</v>
      </c>
      <c r="B258" t="s">
        <v>57</v>
      </c>
      <c r="C258">
        <v>209</v>
      </c>
      <c r="D258" t="s">
        <v>21</v>
      </c>
      <c r="E258" t="s">
        <v>22</v>
      </c>
      <c r="F258" t="s">
        <v>22</v>
      </c>
      <c r="G258">
        <v>0</v>
      </c>
      <c r="H258">
        <v>227.2</v>
      </c>
      <c r="I258">
        <v>128</v>
      </c>
      <c r="J258">
        <v>38.619999999999997</v>
      </c>
      <c r="K258">
        <v>258.39999999999998</v>
      </c>
      <c r="L258">
        <v>92</v>
      </c>
      <c r="M258">
        <v>21.96</v>
      </c>
      <c r="N258">
        <v>183.5</v>
      </c>
      <c r="O258">
        <v>74</v>
      </c>
      <c r="P258">
        <v>8.26</v>
      </c>
      <c r="Q258">
        <v>8.9</v>
      </c>
      <c r="R258">
        <v>4</v>
      </c>
      <c r="S258">
        <v>2.4</v>
      </c>
      <c r="T258">
        <v>3</v>
      </c>
      <c r="U258" t="s">
        <v>22</v>
      </c>
      <c r="V258" t="e">
        <f>IF(#REF! = "yes", 1, 0)</f>
        <v>#REF!</v>
      </c>
      <c r="W258" t="e">
        <f>IF(#REF! &lt;= 1, "0-1 Calls", IF(#REF! &lt;= 3, "2-3 Calls", IF(#REF! &lt;=5, "4-5 Calls", "6+ Calls")))</f>
        <v>#REF!</v>
      </c>
      <c r="X258" t="e">
        <f>IF(#REF! &lt;= 50, "0-50", IF(#REF! &lt;=100, "51-100", IF(#REF! &lt;= 150, "101-150", "151+")))</f>
        <v>#REF!</v>
      </c>
      <c r="Y258" t="e">
        <f>IF(#REF! &lt;= 3, "Low Charges", "High Charges")</f>
        <v>#REF!</v>
      </c>
      <c r="Z258" t="e">
        <f>IF(#REF!&lt;=80,"Low Calls",
IF(#REF!&lt;=120,"Medium Calls","High Calls"))</f>
        <v>#REF!</v>
      </c>
      <c r="AA258" t="e">
        <f>IF(#REF!&lt;=15,"Low Charges",
IF(#REF!&lt;=20,"Medium Charges","High Charges"))</f>
        <v>#REF!</v>
      </c>
      <c r="AB258" t="e">
        <f>IF(AND(#REF!&gt;180, #REF!&gt;200), "Heavy Doemstic User", IF(#REF!&gt;10, "Interntional User", IF(AND(#REF!&lt;180, #REF!&lt;200,#REF!&lt;200), "Light User", "Balanced User")))</f>
        <v>#REF!</v>
      </c>
      <c r="AC258" t="e">
        <f>IF(#REF! = 0, "No Usage", IF(#REF! &lt;= 20, "Low Usage", IF(#REF! &lt;= 40, "Medium Usgae", "High Usage")))</f>
        <v>#REF!</v>
      </c>
      <c r="AD258" t="e">
        <f>IF(#REF!&lt;=150,"Low Usage", IF(#REF!&lt;=200,"Medium Usage", IF(#REF!&lt;=250,"High Usage","Very High Usage")))</f>
        <v>#REF!</v>
      </c>
      <c r="AE258" t="e">
        <f>IF(#REF!&lt;=5,"Low Calls", IF(#REF!&lt;=10, "Medium Calls", "High Calls"))</f>
        <v>#REF!</v>
      </c>
      <c r="AF258" t="e">
        <f xml:space="preserve">
IF(#REF!&gt;=4,4,0)+
IF(#REF!="yes",3,0)+
IF(#REF!="High Charges",3,0)+
IF(#REF!&gt;250,4,0)+
IF(#REF!="no",1,0)+
IF(#REF!="Heavy Domestic User",2,0)</f>
        <v>#REF!</v>
      </c>
      <c r="AG258" t="e">
        <f>IF(#REF!&gt;=10,"High Risk", IF(#REF!&gt;=5,"Medium Risk","Low Risk"))</f>
        <v>#REF!</v>
      </c>
      <c r="AH258" t="e">
        <f>#REF! + #REF! + #REF! + #REF!</f>
        <v>#REF!</v>
      </c>
    </row>
    <row r="259" spans="1:34" x14ac:dyDescent="0.35">
      <c r="A259">
        <v>258</v>
      </c>
      <c r="B259" t="s">
        <v>60</v>
      </c>
      <c r="C259">
        <v>62</v>
      </c>
      <c r="D259" t="s">
        <v>21</v>
      </c>
      <c r="E259" t="s">
        <v>22</v>
      </c>
      <c r="F259" t="s">
        <v>22</v>
      </c>
      <c r="G259">
        <v>0</v>
      </c>
      <c r="H259">
        <v>248.7</v>
      </c>
      <c r="I259">
        <v>109</v>
      </c>
      <c r="J259">
        <v>42.28</v>
      </c>
      <c r="K259">
        <v>220</v>
      </c>
      <c r="L259">
        <v>118</v>
      </c>
      <c r="M259">
        <v>18.7</v>
      </c>
      <c r="N259">
        <v>265.7</v>
      </c>
      <c r="O259">
        <v>78</v>
      </c>
      <c r="P259">
        <v>11.96</v>
      </c>
      <c r="Q259">
        <v>13.2</v>
      </c>
      <c r="R259">
        <v>2</v>
      </c>
      <c r="S259">
        <v>3.56</v>
      </c>
      <c r="T259">
        <v>1</v>
      </c>
      <c r="U259" t="s">
        <v>23</v>
      </c>
      <c r="V259" t="e">
        <f>IF(#REF! = "yes", 1, 0)</f>
        <v>#REF!</v>
      </c>
      <c r="W259" t="e">
        <f>IF(#REF! &lt;= 1, "0-1 Calls", IF(#REF! &lt;= 3, "2-3 Calls", IF(#REF! &lt;=5, "4-5 Calls", "6+ Calls")))</f>
        <v>#REF!</v>
      </c>
      <c r="X259" t="e">
        <f>IF(#REF! &lt;= 50, "0-50", IF(#REF! &lt;=100, "51-100", IF(#REF! &lt;= 150, "101-150", "151+")))</f>
        <v>#REF!</v>
      </c>
      <c r="Y259" t="e">
        <f>IF(#REF! &lt;= 3, "Low Charges", "High Charges")</f>
        <v>#REF!</v>
      </c>
      <c r="Z259" t="e">
        <f>IF(#REF!&lt;=80,"Low Calls",
IF(#REF!&lt;=120,"Medium Calls","High Calls"))</f>
        <v>#REF!</v>
      </c>
      <c r="AA259" t="e">
        <f>IF(#REF!&lt;=15,"Low Charges",
IF(#REF!&lt;=20,"Medium Charges","High Charges"))</f>
        <v>#REF!</v>
      </c>
      <c r="AB259" t="e">
        <f>IF(AND(#REF!&gt;180, #REF!&gt;200), "Heavy Doemstic User", IF(#REF!&gt;10, "Interntional User", IF(AND(#REF!&lt;180, #REF!&lt;200,#REF!&lt;200), "Light User", "Balanced User")))</f>
        <v>#REF!</v>
      </c>
      <c r="AC259" t="e">
        <f>IF(#REF! = 0, "No Usage", IF(#REF! &lt;= 20, "Low Usage", IF(#REF! &lt;= 40, "Medium Usgae", "High Usage")))</f>
        <v>#REF!</v>
      </c>
      <c r="AD259" t="e">
        <f>IF(#REF!&lt;=150,"Low Usage", IF(#REF!&lt;=200,"Medium Usage", IF(#REF!&lt;=250,"High Usage","Very High Usage")))</f>
        <v>#REF!</v>
      </c>
      <c r="AE259" t="e">
        <f>IF(#REF!&lt;=5,"Low Calls", IF(#REF!&lt;=10, "Medium Calls", "High Calls"))</f>
        <v>#REF!</v>
      </c>
      <c r="AF259" t="e">
        <f xml:space="preserve">
IF(#REF!&gt;=4,4,0)+
IF(#REF!="yes",3,0)+
IF(#REF!="High Charges",3,0)+
IF(#REF!&gt;250,4,0)+
IF(#REF!="no",1,0)+
IF(#REF!="Heavy Domestic User",2,0)</f>
        <v>#REF!</v>
      </c>
      <c r="AG259" t="e">
        <f>IF(#REF!&gt;=10,"High Risk", IF(#REF!&gt;=5,"Medium Risk","Low Risk"))</f>
        <v>#REF!</v>
      </c>
      <c r="AH259" t="e">
        <f>#REF! + #REF! + #REF! + #REF!</f>
        <v>#REF!</v>
      </c>
    </row>
    <row r="260" spans="1:34" x14ac:dyDescent="0.35">
      <c r="A260">
        <v>259</v>
      </c>
      <c r="B260" t="s">
        <v>39</v>
      </c>
      <c r="C260">
        <v>110</v>
      </c>
      <c r="D260" t="s">
        <v>21</v>
      </c>
      <c r="E260" t="s">
        <v>22</v>
      </c>
      <c r="F260" t="s">
        <v>23</v>
      </c>
      <c r="G260">
        <v>38</v>
      </c>
      <c r="H260">
        <v>236.3</v>
      </c>
      <c r="I260">
        <v>102</v>
      </c>
      <c r="J260">
        <v>40.17</v>
      </c>
      <c r="K260">
        <v>195.9</v>
      </c>
      <c r="L260">
        <v>112</v>
      </c>
      <c r="M260">
        <v>16.649999999999999</v>
      </c>
      <c r="N260">
        <v>183.5</v>
      </c>
      <c r="O260">
        <v>82</v>
      </c>
      <c r="P260">
        <v>8.26</v>
      </c>
      <c r="Q260">
        <v>9.6999999999999993</v>
      </c>
      <c r="R260">
        <v>6</v>
      </c>
      <c r="S260">
        <v>2.62</v>
      </c>
      <c r="T260">
        <v>1</v>
      </c>
      <c r="U260" t="s">
        <v>22</v>
      </c>
      <c r="V260" t="e">
        <f>IF(#REF! = "yes", 1, 0)</f>
        <v>#REF!</v>
      </c>
      <c r="W260" t="e">
        <f>IF(#REF! &lt;= 1, "0-1 Calls", IF(#REF! &lt;= 3, "2-3 Calls", IF(#REF! &lt;=5, "4-5 Calls", "6+ Calls")))</f>
        <v>#REF!</v>
      </c>
      <c r="X260" t="e">
        <f>IF(#REF! &lt;= 50, "0-50", IF(#REF! &lt;=100, "51-100", IF(#REF! &lt;= 150, "101-150", "151+")))</f>
        <v>#REF!</v>
      </c>
      <c r="Y260" t="e">
        <f>IF(#REF! &lt;= 3, "Low Charges", "High Charges")</f>
        <v>#REF!</v>
      </c>
      <c r="Z260" t="e">
        <f>IF(#REF!&lt;=80,"Low Calls",
IF(#REF!&lt;=120,"Medium Calls","High Calls"))</f>
        <v>#REF!</v>
      </c>
      <c r="AA260" t="e">
        <f>IF(#REF!&lt;=15,"Low Charges",
IF(#REF!&lt;=20,"Medium Charges","High Charges"))</f>
        <v>#REF!</v>
      </c>
      <c r="AB260" t="e">
        <f>IF(AND(#REF!&gt;180, #REF!&gt;200), "Heavy Doemstic User", IF(#REF!&gt;10, "Interntional User", IF(AND(#REF!&lt;180, #REF!&lt;200,#REF!&lt;200), "Light User", "Balanced User")))</f>
        <v>#REF!</v>
      </c>
      <c r="AC260" t="e">
        <f>IF(#REF! = 0, "No Usage", IF(#REF! &lt;= 20, "Low Usage", IF(#REF! &lt;= 40, "Medium Usgae", "High Usage")))</f>
        <v>#REF!</v>
      </c>
      <c r="AD260" t="e">
        <f>IF(#REF!&lt;=150,"Low Usage", IF(#REF!&lt;=200,"Medium Usage", IF(#REF!&lt;=250,"High Usage","Very High Usage")))</f>
        <v>#REF!</v>
      </c>
      <c r="AE260" t="e">
        <f>IF(#REF!&lt;=5,"Low Calls", IF(#REF!&lt;=10, "Medium Calls", "High Calls"))</f>
        <v>#REF!</v>
      </c>
      <c r="AF260" t="e">
        <f xml:space="preserve">
IF(#REF!&gt;=4,4,0)+
IF(#REF!="yes",3,0)+
IF(#REF!="High Charges",3,0)+
IF(#REF!&gt;250,4,0)+
IF(#REF!="no",1,0)+
IF(#REF!="Heavy Domestic User",2,0)</f>
        <v>#REF!</v>
      </c>
      <c r="AG260" t="e">
        <f>IF(#REF!&gt;=10,"High Risk", IF(#REF!&gt;=5,"Medium Risk","Low Risk"))</f>
        <v>#REF!</v>
      </c>
      <c r="AH260" t="e">
        <f>#REF! + #REF! + #REF! + #REF!</f>
        <v>#REF!</v>
      </c>
    </row>
    <row r="261" spans="1:34" x14ac:dyDescent="0.35">
      <c r="A261">
        <v>260</v>
      </c>
      <c r="B261" t="s">
        <v>38</v>
      </c>
      <c r="C261">
        <v>16</v>
      </c>
      <c r="D261" t="s">
        <v>28</v>
      </c>
      <c r="E261" t="s">
        <v>22</v>
      </c>
      <c r="F261" t="s">
        <v>22</v>
      </c>
      <c r="G261">
        <v>0</v>
      </c>
      <c r="H261">
        <v>205.6</v>
      </c>
      <c r="I261">
        <v>69</v>
      </c>
      <c r="J261">
        <v>34.950000000000003</v>
      </c>
      <c r="K261">
        <v>169.5</v>
      </c>
      <c r="L261">
        <v>93</v>
      </c>
      <c r="M261">
        <v>14.41</v>
      </c>
      <c r="N261">
        <v>220.1</v>
      </c>
      <c r="O261">
        <v>64</v>
      </c>
      <c r="P261">
        <v>9.9</v>
      </c>
      <c r="Q261">
        <v>10.9</v>
      </c>
      <c r="R261">
        <v>3</v>
      </c>
      <c r="S261">
        <v>2.94</v>
      </c>
      <c r="T261">
        <v>0</v>
      </c>
      <c r="U261" t="s">
        <v>22</v>
      </c>
      <c r="V261" t="e">
        <f>IF(#REF! = "yes", 1, 0)</f>
        <v>#REF!</v>
      </c>
      <c r="W261" t="e">
        <f>IF(#REF! &lt;= 1, "0-1 Calls", IF(#REF! &lt;= 3, "2-3 Calls", IF(#REF! &lt;=5, "4-5 Calls", "6+ Calls")))</f>
        <v>#REF!</v>
      </c>
      <c r="X261" t="e">
        <f>IF(#REF! &lt;= 50, "0-50", IF(#REF! &lt;=100, "51-100", IF(#REF! &lt;= 150, "101-150", "151+")))</f>
        <v>#REF!</v>
      </c>
      <c r="Y261" t="e">
        <f>IF(#REF! &lt;= 3, "Low Charges", "High Charges")</f>
        <v>#REF!</v>
      </c>
      <c r="Z261" t="e">
        <f>IF(#REF!&lt;=80,"Low Calls",
IF(#REF!&lt;=120,"Medium Calls","High Calls"))</f>
        <v>#REF!</v>
      </c>
      <c r="AA261" t="e">
        <f>IF(#REF!&lt;=15,"Low Charges",
IF(#REF!&lt;=20,"Medium Charges","High Charges"))</f>
        <v>#REF!</v>
      </c>
      <c r="AB261" t="e">
        <f>IF(AND(#REF!&gt;180, #REF!&gt;200), "Heavy Doemstic User", IF(#REF!&gt;10, "Interntional User", IF(AND(#REF!&lt;180, #REF!&lt;200,#REF!&lt;200), "Light User", "Balanced User")))</f>
        <v>#REF!</v>
      </c>
      <c r="AC261" t="e">
        <f>IF(#REF! = 0, "No Usage", IF(#REF! &lt;= 20, "Low Usage", IF(#REF! &lt;= 40, "Medium Usgae", "High Usage")))</f>
        <v>#REF!</v>
      </c>
      <c r="AD261" t="e">
        <f>IF(#REF!&lt;=150,"Low Usage", IF(#REF!&lt;=200,"Medium Usage", IF(#REF!&lt;=250,"High Usage","Very High Usage")))</f>
        <v>#REF!</v>
      </c>
      <c r="AE261" t="e">
        <f>IF(#REF!&lt;=5,"Low Calls", IF(#REF!&lt;=10, "Medium Calls", "High Calls"))</f>
        <v>#REF!</v>
      </c>
      <c r="AF261" t="e">
        <f xml:space="preserve">
IF(#REF!&gt;=4,4,0)+
IF(#REF!="yes",3,0)+
IF(#REF!="High Charges",3,0)+
IF(#REF!&gt;250,4,0)+
IF(#REF!="no",1,0)+
IF(#REF!="Heavy Domestic User",2,0)</f>
        <v>#REF!</v>
      </c>
      <c r="AG261" t="e">
        <f>IF(#REF!&gt;=10,"High Risk", IF(#REF!&gt;=5,"Medium Risk","Low Risk"))</f>
        <v>#REF!</v>
      </c>
      <c r="AH261" t="e">
        <f>#REF! + #REF! + #REF! + #REF!</f>
        <v>#REF!</v>
      </c>
    </row>
    <row r="262" spans="1:34" x14ac:dyDescent="0.35">
      <c r="A262">
        <v>261</v>
      </c>
      <c r="B262" t="s">
        <v>27</v>
      </c>
      <c r="C262">
        <v>73</v>
      </c>
      <c r="D262" t="s">
        <v>25</v>
      </c>
      <c r="E262" t="s">
        <v>22</v>
      </c>
      <c r="F262" t="s">
        <v>22</v>
      </c>
      <c r="G262">
        <v>0</v>
      </c>
      <c r="H262">
        <v>94.1</v>
      </c>
      <c r="I262">
        <v>136</v>
      </c>
      <c r="J262">
        <v>16</v>
      </c>
      <c r="K262">
        <v>280.3</v>
      </c>
      <c r="L262">
        <v>122</v>
      </c>
      <c r="M262">
        <v>23.83</v>
      </c>
      <c r="N262">
        <v>205</v>
      </c>
      <c r="O262">
        <v>77</v>
      </c>
      <c r="P262">
        <v>9.23</v>
      </c>
      <c r="Q262">
        <v>9.8000000000000007</v>
      </c>
      <c r="R262">
        <v>4</v>
      </c>
      <c r="S262">
        <v>2.65</v>
      </c>
      <c r="T262">
        <v>0</v>
      </c>
      <c r="U262" t="s">
        <v>22</v>
      </c>
      <c r="V262" t="e">
        <f>IF(#REF! = "yes", 1, 0)</f>
        <v>#REF!</v>
      </c>
      <c r="W262" t="e">
        <f>IF(#REF! &lt;= 1, "0-1 Calls", IF(#REF! &lt;= 3, "2-3 Calls", IF(#REF! &lt;=5, "4-5 Calls", "6+ Calls")))</f>
        <v>#REF!</v>
      </c>
      <c r="X262" t="e">
        <f>IF(#REF! &lt;= 50, "0-50", IF(#REF! &lt;=100, "51-100", IF(#REF! &lt;= 150, "101-150", "151+")))</f>
        <v>#REF!</v>
      </c>
      <c r="Y262" t="e">
        <f>IF(#REF! &lt;= 3, "Low Charges", "High Charges")</f>
        <v>#REF!</v>
      </c>
      <c r="Z262" t="e">
        <f>IF(#REF!&lt;=80,"Low Calls",
IF(#REF!&lt;=120,"Medium Calls","High Calls"))</f>
        <v>#REF!</v>
      </c>
      <c r="AA262" t="e">
        <f>IF(#REF!&lt;=15,"Low Charges",
IF(#REF!&lt;=20,"Medium Charges","High Charges"))</f>
        <v>#REF!</v>
      </c>
      <c r="AB262" t="e">
        <f>IF(AND(#REF!&gt;180, #REF!&gt;200), "Heavy Doemstic User", IF(#REF!&gt;10, "Interntional User", IF(AND(#REF!&lt;180, #REF!&lt;200,#REF!&lt;200), "Light User", "Balanced User")))</f>
        <v>#REF!</v>
      </c>
      <c r="AC262" t="e">
        <f>IF(#REF! = 0, "No Usage", IF(#REF! &lt;= 20, "Low Usage", IF(#REF! &lt;= 40, "Medium Usgae", "High Usage")))</f>
        <v>#REF!</v>
      </c>
      <c r="AD262" t="e">
        <f>IF(#REF!&lt;=150,"Low Usage", IF(#REF!&lt;=200,"Medium Usage", IF(#REF!&lt;=250,"High Usage","Very High Usage")))</f>
        <v>#REF!</v>
      </c>
      <c r="AE262" t="e">
        <f>IF(#REF!&lt;=5,"Low Calls", IF(#REF!&lt;=10, "Medium Calls", "High Calls"))</f>
        <v>#REF!</v>
      </c>
      <c r="AF262" t="e">
        <f xml:space="preserve">
IF(#REF!&gt;=4,4,0)+
IF(#REF!="yes",3,0)+
IF(#REF!="High Charges",3,0)+
IF(#REF!&gt;250,4,0)+
IF(#REF!="no",1,0)+
IF(#REF!="Heavy Domestic User",2,0)</f>
        <v>#REF!</v>
      </c>
      <c r="AG262" t="e">
        <f>IF(#REF!&gt;=10,"High Risk", IF(#REF!&gt;=5,"Medium Risk","Low Risk"))</f>
        <v>#REF!</v>
      </c>
      <c r="AH262" t="e">
        <f>#REF! + #REF! + #REF! + #REF!</f>
        <v>#REF!</v>
      </c>
    </row>
    <row r="263" spans="1:34" x14ac:dyDescent="0.35">
      <c r="A263">
        <v>262</v>
      </c>
      <c r="B263" t="s">
        <v>37</v>
      </c>
      <c r="C263">
        <v>128</v>
      </c>
      <c r="D263" t="s">
        <v>25</v>
      </c>
      <c r="E263" t="s">
        <v>22</v>
      </c>
      <c r="F263" t="s">
        <v>22</v>
      </c>
      <c r="G263">
        <v>0</v>
      </c>
      <c r="H263">
        <v>125.2</v>
      </c>
      <c r="I263">
        <v>99</v>
      </c>
      <c r="J263">
        <v>21.28</v>
      </c>
      <c r="K263">
        <v>205.4</v>
      </c>
      <c r="L263">
        <v>107</v>
      </c>
      <c r="M263">
        <v>17.46</v>
      </c>
      <c r="N263">
        <v>254.4</v>
      </c>
      <c r="O263">
        <v>111</v>
      </c>
      <c r="P263">
        <v>11.45</v>
      </c>
      <c r="Q263">
        <v>18.899999999999999</v>
      </c>
      <c r="R263">
        <v>2</v>
      </c>
      <c r="S263">
        <v>5.0999999999999996</v>
      </c>
      <c r="T263">
        <v>0</v>
      </c>
      <c r="U263" t="s">
        <v>22</v>
      </c>
      <c r="V263" t="e">
        <f>IF(#REF! = "yes", 1, 0)</f>
        <v>#REF!</v>
      </c>
      <c r="W263" t="e">
        <f>IF(#REF! &lt;= 1, "0-1 Calls", IF(#REF! &lt;= 3, "2-3 Calls", IF(#REF! &lt;=5, "4-5 Calls", "6+ Calls")))</f>
        <v>#REF!</v>
      </c>
      <c r="X263" t="e">
        <f>IF(#REF! &lt;= 50, "0-50", IF(#REF! &lt;=100, "51-100", IF(#REF! &lt;= 150, "101-150", "151+")))</f>
        <v>#REF!</v>
      </c>
      <c r="Y263" t="e">
        <f>IF(#REF! &lt;= 3, "Low Charges", "High Charges")</f>
        <v>#REF!</v>
      </c>
      <c r="Z263" t="e">
        <f>IF(#REF!&lt;=80,"Low Calls",
IF(#REF!&lt;=120,"Medium Calls","High Calls"))</f>
        <v>#REF!</v>
      </c>
      <c r="AA263" t="e">
        <f>IF(#REF!&lt;=15,"Low Charges",
IF(#REF!&lt;=20,"Medium Charges","High Charges"))</f>
        <v>#REF!</v>
      </c>
      <c r="AB263" t="e">
        <f>IF(AND(#REF!&gt;180, #REF!&gt;200), "Heavy Doemstic User", IF(#REF!&gt;10, "Interntional User", IF(AND(#REF!&lt;180, #REF!&lt;200,#REF!&lt;200), "Light User", "Balanced User")))</f>
        <v>#REF!</v>
      </c>
      <c r="AC263" t="e">
        <f>IF(#REF! = 0, "No Usage", IF(#REF! &lt;= 20, "Low Usage", IF(#REF! &lt;= 40, "Medium Usgae", "High Usage")))</f>
        <v>#REF!</v>
      </c>
      <c r="AD263" t="e">
        <f>IF(#REF!&lt;=150,"Low Usage", IF(#REF!&lt;=200,"Medium Usage", IF(#REF!&lt;=250,"High Usage","Very High Usage")))</f>
        <v>#REF!</v>
      </c>
      <c r="AE263" t="e">
        <f>IF(#REF!&lt;=5,"Low Calls", IF(#REF!&lt;=10, "Medium Calls", "High Calls"))</f>
        <v>#REF!</v>
      </c>
      <c r="AF263" t="e">
        <f xml:space="preserve">
IF(#REF!&gt;=4,4,0)+
IF(#REF!="yes",3,0)+
IF(#REF!="High Charges",3,0)+
IF(#REF!&gt;250,4,0)+
IF(#REF!="no",1,0)+
IF(#REF!="Heavy Domestic User",2,0)</f>
        <v>#REF!</v>
      </c>
      <c r="AG263" t="e">
        <f>IF(#REF!&gt;=10,"High Risk", IF(#REF!&gt;=5,"Medium Risk","Low Risk"))</f>
        <v>#REF!</v>
      </c>
      <c r="AH263" t="e">
        <f>#REF! + #REF! + #REF! + #REF!</f>
        <v>#REF!</v>
      </c>
    </row>
    <row r="264" spans="1:34" x14ac:dyDescent="0.35">
      <c r="A264">
        <v>263</v>
      </c>
      <c r="B264" t="s">
        <v>27</v>
      </c>
      <c r="C264">
        <v>39</v>
      </c>
      <c r="D264" t="s">
        <v>25</v>
      </c>
      <c r="E264" t="s">
        <v>22</v>
      </c>
      <c r="F264" t="s">
        <v>22</v>
      </c>
      <c r="G264">
        <v>0</v>
      </c>
      <c r="H264">
        <v>60.4</v>
      </c>
      <c r="I264">
        <v>158</v>
      </c>
      <c r="J264">
        <v>10.27</v>
      </c>
      <c r="K264">
        <v>306.2</v>
      </c>
      <c r="L264">
        <v>120</v>
      </c>
      <c r="M264">
        <v>26.03</v>
      </c>
      <c r="N264">
        <v>123.9</v>
      </c>
      <c r="O264">
        <v>46</v>
      </c>
      <c r="P264">
        <v>5.58</v>
      </c>
      <c r="Q264">
        <v>12.4</v>
      </c>
      <c r="R264">
        <v>3</v>
      </c>
      <c r="S264">
        <v>3.35</v>
      </c>
      <c r="T264">
        <v>1</v>
      </c>
      <c r="U264" t="s">
        <v>22</v>
      </c>
      <c r="V264" t="e">
        <f>IF(#REF! = "yes", 1, 0)</f>
        <v>#REF!</v>
      </c>
      <c r="W264" t="e">
        <f>IF(#REF! &lt;= 1, "0-1 Calls", IF(#REF! &lt;= 3, "2-3 Calls", IF(#REF! &lt;=5, "4-5 Calls", "6+ Calls")))</f>
        <v>#REF!</v>
      </c>
      <c r="X264" t="e">
        <f>IF(#REF! &lt;= 50, "0-50", IF(#REF! &lt;=100, "51-100", IF(#REF! &lt;= 150, "101-150", "151+")))</f>
        <v>#REF!</v>
      </c>
      <c r="Y264" t="e">
        <f>IF(#REF! &lt;= 3, "Low Charges", "High Charges")</f>
        <v>#REF!</v>
      </c>
      <c r="Z264" t="e">
        <f>IF(#REF!&lt;=80,"Low Calls",
IF(#REF!&lt;=120,"Medium Calls","High Calls"))</f>
        <v>#REF!</v>
      </c>
      <c r="AA264" t="e">
        <f>IF(#REF!&lt;=15,"Low Charges",
IF(#REF!&lt;=20,"Medium Charges","High Charges"))</f>
        <v>#REF!</v>
      </c>
      <c r="AB264" t="e">
        <f>IF(AND(#REF!&gt;180, #REF!&gt;200), "Heavy Doemstic User", IF(#REF!&gt;10, "Interntional User", IF(AND(#REF!&lt;180, #REF!&lt;200,#REF!&lt;200), "Light User", "Balanced User")))</f>
        <v>#REF!</v>
      </c>
      <c r="AC264" t="e">
        <f>IF(#REF! = 0, "No Usage", IF(#REF! &lt;= 20, "Low Usage", IF(#REF! &lt;= 40, "Medium Usgae", "High Usage")))</f>
        <v>#REF!</v>
      </c>
      <c r="AD264" t="e">
        <f>IF(#REF!&lt;=150,"Low Usage", IF(#REF!&lt;=200,"Medium Usage", IF(#REF!&lt;=250,"High Usage","Very High Usage")))</f>
        <v>#REF!</v>
      </c>
      <c r="AE264" t="e">
        <f>IF(#REF!&lt;=5,"Low Calls", IF(#REF!&lt;=10, "Medium Calls", "High Calls"))</f>
        <v>#REF!</v>
      </c>
      <c r="AF264" t="e">
        <f xml:space="preserve">
IF(#REF!&gt;=4,4,0)+
IF(#REF!="yes",3,0)+
IF(#REF!="High Charges",3,0)+
IF(#REF!&gt;250,4,0)+
IF(#REF!="no",1,0)+
IF(#REF!="Heavy Domestic User",2,0)</f>
        <v>#REF!</v>
      </c>
      <c r="AG264" t="e">
        <f>IF(#REF!&gt;=10,"High Risk", IF(#REF!&gt;=5,"Medium Risk","Low Risk"))</f>
        <v>#REF!</v>
      </c>
      <c r="AH264" t="e">
        <f>#REF! + #REF! + #REF! + #REF!</f>
        <v>#REF!</v>
      </c>
    </row>
    <row r="265" spans="1:34" x14ac:dyDescent="0.35">
      <c r="A265">
        <v>264</v>
      </c>
      <c r="B265" t="s">
        <v>48</v>
      </c>
      <c r="C265">
        <v>103</v>
      </c>
      <c r="D265" t="s">
        <v>21</v>
      </c>
      <c r="E265" t="s">
        <v>22</v>
      </c>
      <c r="F265" t="s">
        <v>23</v>
      </c>
      <c r="G265">
        <v>28</v>
      </c>
      <c r="H265">
        <v>121</v>
      </c>
      <c r="I265">
        <v>105</v>
      </c>
      <c r="J265">
        <v>20.57</v>
      </c>
      <c r="K265">
        <v>270.39999999999998</v>
      </c>
      <c r="L265">
        <v>100</v>
      </c>
      <c r="M265">
        <v>22.98</v>
      </c>
      <c r="N265">
        <v>160.5</v>
      </c>
      <c r="O265">
        <v>76</v>
      </c>
      <c r="P265">
        <v>7.22</v>
      </c>
      <c r="Q265">
        <v>7.7</v>
      </c>
      <c r="R265">
        <v>4</v>
      </c>
      <c r="S265">
        <v>2.08</v>
      </c>
      <c r="T265">
        <v>2</v>
      </c>
      <c r="U265" t="s">
        <v>22</v>
      </c>
      <c r="V265" t="e">
        <f>IF(#REF! = "yes", 1, 0)</f>
        <v>#REF!</v>
      </c>
      <c r="W265" t="e">
        <f>IF(#REF! &lt;= 1, "0-1 Calls", IF(#REF! &lt;= 3, "2-3 Calls", IF(#REF! &lt;=5, "4-5 Calls", "6+ Calls")))</f>
        <v>#REF!</v>
      </c>
      <c r="X265" t="e">
        <f>IF(#REF! &lt;= 50, "0-50", IF(#REF! &lt;=100, "51-100", IF(#REF! &lt;= 150, "101-150", "151+")))</f>
        <v>#REF!</v>
      </c>
      <c r="Y265" t="e">
        <f>IF(#REF! &lt;= 3, "Low Charges", "High Charges")</f>
        <v>#REF!</v>
      </c>
      <c r="Z265" t="e">
        <f>IF(#REF!&lt;=80,"Low Calls",
IF(#REF!&lt;=120,"Medium Calls","High Calls"))</f>
        <v>#REF!</v>
      </c>
      <c r="AA265" t="e">
        <f>IF(#REF!&lt;=15,"Low Charges",
IF(#REF!&lt;=20,"Medium Charges","High Charges"))</f>
        <v>#REF!</v>
      </c>
      <c r="AB265" t="e">
        <f>IF(AND(#REF!&gt;180, #REF!&gt;200), "Heavy Doemstic User", IF(#REF!&gt;10, "Interntional User", IF(AND(#REF!&lt;180, #REF!&lt;200,#REF!&lt;200), "Light User", "Balanced User")))</f>
        <v>#REF!</v>
      </c>
      <c r="AC265" t="e">
        <f>IF(#REF! = 0, "No Usage", IF(#REF! &lt;= 20, "Low Usage", IF(#REF! &lt;= 40, "Medium Usgae", "High Usage")))</f>
        <v>#REF!</v>
      </c>
      <c r="AD265" t="e">
        <f>IF(#REF!&lt;=150,"Low Usage", IF(#REF!&lt;=200,"Medium Usage", IF(#REF!&lt;=250,"High Usage","Very High Usage")))</f>
        <v>#REF!</v>
      </c>
      <c r="AE265" t="e">
        <f>IF(#REF!&lt;=5,"Low Calls", IF(#REF!&lt;=10, "Medium Calls", "High Calls"))</f>
        <v>#REF!</v>
      </c>
      <c r="AF265" t="e">
        <f xml:space="preserve">
IF(#REF!&gt;=4,4,0)+
IF(#REF!="yes",3,0)+
IF(#REF!="High Charges",3,0)+
IF(#REF!&gt;250,4,0)+
IF(#REF!="no",1,0)+
IF(#REF!="Heavy Domestic User",2,0)</f>
        <v>#REF!</v>
      </c>
      <c r="AG265" t="e">
        <f>IF(#REF!&gt;=10,"High Risk", IF(#REF!&gt;=5,"Medium Risk","Low Risk"))</f>
        <v>#REF!</v>
      </c>
      <c r="AH265" t="e">
        <f>#REF! + #REF! + #REF! + #REF!</f>
        <v>#REF!</v>
      </c>
    </row>
    <row r="266" spans="1:34" x14ac:dyDescent="0.35">
      <c r="A266">
        <v>265</v>
      </c>
      <c r="B266" t="s">
        <v>33</v>
      </c>
      <c r="C266">
        <v>119</v>
      </c>
      <c r="D266" t="s">
        <v>21</v>
      </c>
      <c r="E266" t="s">
        <v>22</v>
      </c>
      <c r="F266" t="s">
        <v>23</v>
      </c>
      <c r="G266">
        <v>29</v>
      </c>
      <c r="H266">
        <v>117.8</v>
      </c>
      <c r="I266">
        <v>66</v>
      </c>
      <c r="J266">
        <v>20.03</v>
      </c>
      <c r="K266">
        <v>256.8</v>
      </c>
      <c r="L266">
        <v>114</v>
      </c>
      <c r="M266">
        <v>21.83</v>
      </c>
      <c r="N266">
        <v>147.6</v>
      </c>
      <c r="O266">
        <v>76</v>
      </c>
      <c r="P266">
        <v>6.64</v>
      </c>
      <c r="Q266">
        <v>7.6</v>
      </c>
      <c r="R266">
        <v>3</v>
      </c>
      <c r="S266">
        <v>2.0499999999999998</v>
      </c>
      <c r="T266">
        <v>3</v>
      </c>
      <c r="U266" t="s">
        <v>22</v>
      </c>
      <c r="V266" t="e">
        <f>IF(#REF! = "yes", 1, 0)</f>
        <v>#REF!</v>
      </c>
      <c r="W266" t="e">
        <f>IF(#REF! &lt;= 1, "0-1 Calls", IF(#REF! &lt;= 3, "2-3 Calls", IF(#REF! &lt;=5, "4-5 Calls", "6+ Calls")))</f>
        <v>#REF!</v>
      </c>
      <c r="X266" t="e">
        <f>IF(#REF! &lt;= 50, "0-50", IF(#REF! &lt;=100, "51-100", IF(#REF! &lt;= 150, "101-150", "151+")))</f>
        <v>#REF!</v>
      </c>
      <c r="Y266" t="e">
        <f>IF(#REF! &lt;= 3, "Low Charges", "High Charges")</f>
        <v>#REF!</v>
      </c>
      <c r="Z266" t="e">
        <f>IF(#REF!&lt;=80,"Low Calls",
IF(#REF!&lt;=120,"Medium Calls","High Calls"))</f>
        <v>#REF!</v>
      </c>
      <c r="AA266" t="e">
        <f>IF(#REF!&lt;=15,"Low Charges",
IF(#REF!&lt;=20,"Medium Charges","High Charges"))</f>
        <v>#REF!</v>
      </c>
      <c r="AB266" t="e">
        <f>IF(AND(#REF!&gt;180, #REF!&gt;200), "Heavy Doemstic User", IF(#REF!&gt;10, "Interntional User", IF(AND(#REF!&lt;180, #REF!&lt;200,#REF!&lt;200), "Light User", "Balanced User")))</f>
        <v>#REF!</v>
      </c>
      <c r="AC266" t="e">
        <f>IF(#REF! = 0, "No Usage", IF(#REF! &lt;= 20, "Low Usage", IF(#REF! &lt;= 40, "Medium Usgae", "High Usage")))</f>
        <v>#REF!</v>
      </c>
      <c r="AD266" t="e">
        <f>IF(#REF!&lt;=150,"Low Usage", IF(#REF!&lt;=200,"Medium Usage", IF(#REF!&lt;=250,"High Usage","Very High Usage")))</f>
        <v>#REF!</v>
      </c>
      <c r="AE266" t="e">
        <f>IF(#REF!&lt;=5,"Low Calls", IF(#REF!&lt;=10, "Medium Calls", "High Calls"))</f>
        <v>#REF!</v>
      </c>
      <c r="AF266" t="e">
        <f xml:space="preserve">
IF(#REF!&gt;=4,4,0)+
IF(#REF!="yes",3,0)+
IF(#REF!="High Charges",3,0)+
IF(#REF!&gt;250,4,0)+
IF(#REF!="no",1,0)+
IF(#REF!="Heavy Domestic User",2,0)</f>
        <v>#REF!</v>
      </c>
      <c r="AG266" t="e">
        <f>IF(#REF!&gt;=10,"High Risk", IF(#REF!&gt;=5,"Medium Risk","Low Risk"))</f>
        <v>#REF!</v>
      </c>
      <c r="AH266" t="e">
        <f>#REF! + #REF! + #REF! + #REF!</f>
        <v>#REF!</v>
      </c>
    </row>
    <row r="267" spans="1:34" x14ac:dyDescent="0.35">
      <c r="A267">
        <v>266</v>
      </c>
      <c r="B267" t="s">
        <v>27</v>
      </c>
      <c r="C267">
        <v>86</v>
      </c>
      <c r="D267" t="s">
        <v>28</v>
      </c>
      <c r="E267" t="s">
        <v>22</v>
      </c>
      <c r="F267" t="s">
        <v>22</v>
      </c>
      <c r="G267">
        <v>0</v>
      </c>
      <c r="H267">
        <v>176.3</v>
      </c>
      <c r="I267">
        <v>79</v>
      </c>
      <c r="J267">
        <v>29.97</v>
      </c>
      <c r="K267">
        <v>259.2</v>
      </c>
      <c r="L267">
        <v>97</v>
      </c>
      <c r="M267">
        <v>22.03</v>
      </c>
      <c r="N267">
        <v>287.39999999999998</v>
      </c>
      <c r="O267">
        <v>78</v>
      </c>
      <c r="P267">
        <v>12.93</v>
      </c>
      <c r="Q267">
        <v>6.2</v>
      </c>
      <c r="R267">
        <v>3</v>
      </c>
      <c r="S267">
        <v>1.67</v>
      </c>
      <c r="T267">
        <v>0</v>
      </c>
      <c r="U267" t="s">
        <v>22</v>
      </c>
      <c r="V267" t="e">
        <f>IF(#REF! = "yes", 1, 0)</f>
        <v>#REF!</v>
      </c>
      <c r="W267" t="e">
        <f>IF(#REF! &lt;= 1, "0-1 Calls", IF(#REF! &lt;= 3, "2-3 Calls", IF(#REF! &lt;=5, "4-5 Calls", "6+ Calls")))</f>
        <v>#REF!</v>
      </c>
      <c r="X267" t="e">
        <f>IF(#REF! &lt;= 50, "0-50", IF(#REF! &lt;=100, "51-100", IF(#REF! &lt;= 150, "101-150", "151+")))</f>
        <v>#REF!</v>
      </c>
      <c r="Y267" t="e">
        <f>IF(#REF! &lt;= 3, "Low Charges", "High Charges")</f>
        <v>#REF!</v>
      </c>
      <c r="Z267" t="e">
        <f>IF(#REF!&lt;=80,"Low Calls",
IF(#REF!&lt;=120,"Medium Calls","High Calls"))</f>
        <v>#REF!</v>
      </c>
      <c r="AA267" t="e">
        <f>IF(#REF!&lt;=15,"Low Charges",
IF(#REF!&lt;=20,"Medium Charges","High Charges"))</f>
        <v>#REF!</v>
      </c>
      <c r="AB267" t="e">
        <f>IF(AND(#REF!&gt;180, #REF!&gt;200), "Heavy Doemstic User", IF(#REF!&gt;10, "Interntional User", IF(AND(#REF!&lt;180, #REF!&lt;200,#REF!&lt;200), "Light User", "Balanced User")))</f>
        <v>#REF!</v>
      </c>
      <c r="AC267" t="e">
        <f>IF(#REF! = 0, "No Usage", IF(#REF! &lt;= 20, "Low Usage", IF(#REF! &lt;= 40, "Medium Usgae", "High Usage")))</f>
        <v>#REF!</v>
      </c>
      <c r="AD267" t="e">
        <f>IF(#REF!&lt;=150,"Low Usage", IF(#REF!&lt;=200,"Medium Usage", IF(#REF!&lt;=250,"High Usage","Very High Usage")))</f>
        <v>#REF!</v>
      </c>
      <c r="AE267" t="e">
        <f>IF(#REF!&lt;=5,"Low Calls", IF(#REF!&lt;=10, "Medium Calls", "High Calls"))</f>
        <v>#REF!</v>
      </c>
      <c r="AF267" t="e">
        <f xml:space="preserve">
IF(#REF!&gt;=4,4,0)+
IF(#REF!="yes",3,0)+
IF(#REF!="High Charges",3,0)+
IF(#REF!&gt;250,4,0)+
IF(#REF!="no",1,0)+
IF(#REF!="Heavy Domestic User",2,0)</f>
        <v>#REF!</v>
      </c>
      <c r="AG267" t="e">
        <f>IF(#REF!&gt;=10,"High Risk", IF(#REF!&gt;=5,"Medium Risk","Low Risk"))</f>
        <v>#REF!</v>
      </c>
      <c r="AH267" t="e">
        <f>#REF! + #REF! + #REF! + #REF!</f>
        <v>#REF!</v>
      </c>
    </row>
    <row r="268" spans="1:34" x14ac:dyDescent="0.35">
      <c r="A268">
        <v>267</v>
      </c>
      <c r="B268" t="s">
        <v>44</v>
      </c>
      <c r="C268">
        <v>114</v>
      </c>
      <c r="D268" t="s">
        <v>21</v>
      </c>
      <c r="E268" t="s">
        <v>22</v>
      </c>
      <c r="F268" t="s">
        <v>23</v>
      </c>
      <c r="G268">
        <v>32</v>
      </c>
      <c r="H268">
        <v>125.2</v>
      </c>
      <c r="I268">
        <v>79</v>
      </c>
      <c r="J268">
        <v>21.28</v>
      </c>
      <c r="K268">
        <v>177.8</v>
      </c>
      <c r="L268">
        <v>105</v>
      </c>
      <c r="M268">
        <v>15.11</v>
      </c>
      <c r="N268">
        <v>232.4</v>
      </c>
      <c r="O268">
        <v>89</v>
      </c>
      <c r="P268">
        <v>10.46</v>
      </c>
      <c r="Q268">
        <v>12.9</v>
      </c>
      <c r="R268">
        <v>3</v>
      </c>
      <c r="S268">
        <v>3.48</v>
      </c>
      <c r="T268">
        <v>1</v>
      </c>
      <c r="U268" t="s">
        <v>22</v>
      </c>
      <c r="V268" t="e">
        <f>IF(#REF! = "yes", 1, 0)</f>
        <v>#REF!</v>
      </c>
      <c r="W268" t="e">
        <f>IF(#REF! &lt;= 1, "0-1 Calls", IF(#REF! &lt;= 3, "2-3 Calls", IF(#REF! &lt;=5, "4-5 Calls", "6+ Calls")))</f>
        <v>#REF!</v>
      </c>
      <c r="X268" t="e">
        <f>IF(#REF! &lt;= 50, "0-50", IF(#REF! &lt;=100, "51-100", IF(#REF! &lt;= 150, "101-150", "151+")))</f>
        <v>#REF!</v>
      </c>
      <c r="Y268" t="e">
        <f>IF(#REF! &lt;= 3, "Low Charges", "High Charges")</f>
        <v>#REF!</v>
      </c>
      <c r="Z268" t="e">
        <f>IF(#REF!&lt;=80,"Low Calls",
IF(#REF!&lt;=120,"Medium Calls","High Calls"))</f>
        <v>#REF!</v>
      </c>
      <c r="AA268" t="e">
        <f>IF(#REF!&lt;=15,"Low Charges",
IF(#REF!&lt;=20,"Medium Charges","High Charges"))</f>
        <v>#REF!</v>
      </c>
      <c r="AB268" t="e">
        <f>IF(AND(#REF!&gt;180, #REF!&gt;200), "Heavy Doemstic User", IF(#REF!&gt;10, "Interntional User", IF(AND(#REF!&lt;180, #REF!&lt;200,#REF!&lt;200), "Light User", "Balanced User")))</f>
        <v>#REF!</v>
      </c>
      <c r="AC268" t="e">
        <f>IF(#REF! = 0, "No Usage", IF(#REF! &lt;= 20, "Low Usage", IF(#REF! &lt;= 40, "Medium Usgae", "High Usage")))</f>
        <v>#REF!</v>
      </c>
      <c r="AD268" t="e">
        <f>IF(#REF!&lt;=150,"Low Usage", IF(#REF!&lt;=200,"Medium Usage", IF(#REF!&lt;=250,"High Usage","Very High Usage")))</f>
        <v>#REF!</v>
      </c>
      <c r="AE268" t="e">
        <f>IF(#REF!&lt;=5,"Low Calls", IF(#REF!&lt;=10, "Medium Calls", "High Calls"))</f>
        <v>#REF!</v>
      </c>
      <c r="AF268" t="e">
        <f xml:space="preserve">
IF(#REF!&gt;=4,4,0)+
IF(#REF!="yes",3,0)+
IF(#REF!="High Charges",3,0)+
IF(#REF!&gt;250,4,0)+
IF(#REF!="no",1,0)+
IF(#REF!="Heavy Domestic User",2,0)</f>
        <v>#REF!</v>
      </c>
      <c r="AG268" t="e">
        <f>IF(#REF!&gt;=10,"High Risk", IF(#REF!&gt;=5,"Medium Risk","Low Risk"))</f>
        <v>#REF!</v>
      </c>
      <c r="AH268" t="e">
        <f>#REF! + #REF! + #REF! + #REF!</f>
        <v>#REF!</v>
      </c>
    </row>
    <row r="269" spans="1:34" x14ac:dyDescent="0.35">
      <c r="A269">
        <v>268</v>
      </c>
      <c r="B269" t="s">
        <v>38</v>
      </c>
      <c r="C269">
        <v>104</v>
      </c>
      <c r="D269" t="s">
        <v>25</v>
      </c>
      <c r="E269" t="s">
        <v>22</v>
      </c>
      <c r="F269" t="s">
        <v>22</v>
      </c>
      <c r="G269">
        <v>0</v>
      </c>
      <c r="H269">
        <v>138.69999999999999</v>
      </c>
      <c r="I269">
        <v>107</v>
      </c>
      <c r="J269">
        <v>23.58</v>
      </c>
      <c r="K269">
        <v>256.89999999999998</v>
      </c>
      <c r="L269">
        <v>113</v>
      </c>
      <c r="M269">
        <v>21.84</v>
      </c>
      <c r="N269">
        <v>234.9</v>
      </c>
      <c r="O269">
        <v>74</v>
      </c>
      <c r="P269">
        <v>10.57</v>
      </c>
      <c r="Q269">
        <v>10</v>
      </c>
      <c r="R269">
        <v>3</v>
      </c>
      <c r="S269">
        <v>2.7</v>
      </c>
      <c r="T269">
        <v>0</v>
      </c>
      <c r="U269" t="s">
        <v>22</v>
      </c>
      <c r="V269" t="e">
        <f>IF(#REF! = "yes", 1, 0)</f>
        <v>#REF!</v>
      </c>
      <c r="W269" t="e">
        <f>IF(#REF! &lt;= 1, "0-1 Calls", IF(#REF! &lt;= 3, "2-3 Calls", IF(#REF! &lt;=5, "4-5 Calls", "6+ Calls")))</f>
        <v>#REF!</v>
      </c>
      <c r="X269" t="e">
        <f>IF(#REF! &lt;= 50, "0-50", IF(#REF! &lt;=100, "51-100", IF(#REF! &lt;= 150, "101-150", "151+")))</f>
        <v>#REF!</v>
      </c>
      <c r="Y269" t="e">
        <f>IF(#REF! &lt;= 3, "Low Charges", "High Charges")</f>
        <v>#REF!</v>
      </c>
      <c r="Z269" t="e">
        <f>IF(#REF!&lt;=80,"Low Calls",
IF(#REF!&lt;=120,"Medium Calls","High Calls"))</f>
        <v>#REF!</v>
      </c>
      <c r="AA269" t="e">
        <f>IF(#REF!&lt;=15,"Low Charges",
IF(#REF!&lt;=20,"Medium Charges","High Charges"))</f>
        <v>#REF!</v>
      </c>
      <c r="AB269" t="e">
        <f>IF(AND(#REF!&gt;180, #REF!&gt;200), "Heavy Doemstic User", IF(#REF!&gt;10, "Interntional User", IF(AND(#REF!&lt;180, #REF!&lt;200,#REF!&lt;200), "Light User", "Balanced User")))</f>
        <v>#REF!</v>
      </c>
      <c r="AC269" t="e">
        <f>IF(#REF! = 0, "No Usage", IF(#REF! &lt;= 20, "Low Usage", IF(#REF! &lt;= 40, "Medium Usgae", "High Usage")))</f>
        <v>#REF!</v>
      </c>
      <c r="AD269" t="e">
        <f>IF(#REF!&lt;=150,"Low Usage", IF(#REF!&lt;=200,"Medium Usage", IF(#REF!&lt;=250,"High Usage","Very High Usage")))</f>
        <v>#REF!</v>
      </c>
      <c r="AE269" t="e">
        <f>IF(#REF!&lt;=5,"Low Calls", IF(#REF!&lt;=10, "Medium Calls", "High Calls"))</f>
        <v>#REF!</v>
      </c>
      <c r="AF269" t="e">
        <f xml:space="preserve">
IF(#REF!&gt;=4,4,0)+
IF(#REF!="yes",3,0)+
IF(#REF!="High Charges",3,0)+
IF(#REF!&gt;250,4,0)+
IF(#REF!="no",1,0)+
IF(#REF!="Heavy Domestic User",2,0)</f>
        <v>#REF!</v>
      </c>
      <c r="AG269" t="e">
        <f>IF(#REF!&gt;=10,"High Risk", IF(#REF!&gt;=5,"Medium Risk","Low Risk"))</f>
        <v>#REF!</v>
      </c>
      <c r="AH269" t="e">
        <f>#REF! + #REF! + #REF! + #REF!</f>
        <v>#REF!</v>
      </c>
    </row>
    <row r="270" spans="1:34" x14ac:dyDescent="0.35">
      <c r="A270">
        <v>269</v>
      </c>
      <c r="B270" t="s">
        <v>52</v>
      </c>
      <c r="C270">
        <v>148</v>
      </c>
      <c r="D270" t="s">
        <v>21</v>
      </c>
      <c r="E270" t="s">
        <v>22</v>
      </c>
      <c r="F270" t="s">
        <v>22</v>
      </c>
      <c r="G270">
        <v>0</v>
      </c>
      <c r="H270">
        <v>86.3</v>
      </c>
      <c r="I270">
        <v>134</v>
      </c>
      <c r="J270">
        <v>14.67</v>
      </c>
      <c r="K270">
        <v>246.6</v>
      </c>
      <c r="L270">
        <v>92</v>
      </c>
      <c r="M270">
        <v>20.96</v>
      </c>
      <c r="N270">
        <v>251.6</v>
      </c>
      <c r="O270">
        <v>91</v>
      </c>
      <c r="P270">
        <v>11.32</v>
      </c>
      <c r="Q270">
        <v>11.3</v>
      </c>
      <c r="R270">
        <v>4</v>
      </c>
      <c r="S270">
        <v>3.05</v>
      </c>
      <c r="T270">
        <v>1</v>
      </c>
      <c r="U270" t="s">
        <v>22</v>
      </c>
      <c r="V270" t="e">
        <f>IF(#REF! = "yes", 1, 0)</f>
        <v>#REF!</v>
      </c>
      <c r="W270" t="e">
        <f>IF(#REF! &lt;= 1, "0-1 Calls", IF(#REF! &lt;= 3, "2-3 Calls", IF(#REF! &lt;=5, "4-5 Calls", "6+ Calls")))</f>
        <v>#REF!</v>
      </c>
      <c r="X270" t="e">
        <f>IF(#REF! &lt;= 50, "0-50", IF(#REF! &lt;=100, "51-100", IF(#REF! &lt;= 150, "101-150", "151+")))</f>
        <v>#REF!</v>
      </c>
      <c r="Y270" t="e">
        <f>IF(#REF! &lt;= 3, "Low Charges", "High Charges")</f>
        <v>#REF!</v>
      </c>
      <c r="Z270" t="e">
        <f>IF(#REF!&lt;=80,"Low Calls",
IF(#REF!&lt;=120,"Medium Calls","High Calls"))</f>
        <v>#REF!</v>
      </c>
      <c r="AA270" t="e">
        <f>IF(#REF!&lt;=15,"Low Charges",
IF(#REF!&lt;=20,"Medium Charges","High Charges"))</f>
        <v>#REF!</v>
      </c>
      <c r="AB270" t="e">
        <f>IF(AND(#REF!&gt;180, #REF!&gt;200), "Heavy Doemstic User", IF(#REF!&gt;10, "Interntional User", IF(AND(#REF!&lt;180, #REF!&lt;200,#REF!&lt;200), "Light User", "Balanced User")))</f>
        <v>#REF!</v>
      </c>
      <c r="AC270" t="e">
        <f>IF(#REF! = 0, "No Usage", IF(#REF! &lt;= 20, "Low Usage", IF(#REF! &lt;= 40, "Medium Usgae", "High Usage")))</f>
        <v>#REF!</v>
      </c>
      <c r="AD270" t="e">
        <f>IF(#REF!&lt;=150,"Low Usage", IF(#REF!&lt;=200,"Medium Usage", IF(#REF!&lt;=250,"High Usage","Very High Usage")))</f>
        <v>#REF!</v>
      </c>
      <c r="AE270" t="e">
        <f>IF(#REF!&lt;=5,"Low Calls", IF(#REF!&lt;=10, "Medium Calls", "High Calls"))</f>
        <v>#REF!</v>
      </c>
      <c r="AF270" t="e">
        <f xml:space="preserve">
IF(#REF!&gt;=4,4,0)+
IF(#REF!="yes",3,0)+
IF(#REF!="High Charges",3,0)+
IF(#REF!&gt;250,4,0)+
IF(#REF!="no",1,0)+
IF(#REF!="Heavy Domestic User",2,0)</f>
        <v>#REF!</v>
      </c>
      <c r="AG270" t="e">
        <f>IF(#REF!&gt;=10,"High Risk", IF(#REF!&gt;=5,"Medium Risk","Low Risk"))</f>
        <v>#REF!</v>
      </c>
      <c r="AH270" t="e">
        <f>#REF! + #REF! + #REF! + #REF!</f>
        <v>#REF!</v>
      </c>
    </row>
    <row r="271" spans="1:34" x14ac:dyDescent="0.35">
      <c r="A271">
        <v>270</v>
      </c>
      <c r="B271" t="s">
        <v>38</v>
      </c>
      <c r="C271">
        <v>129</v>
      </c>
      <c r="D271" t="s">
        <v>25</v>
      </c>
      <c r="E271" t="s">
        <v>22</v>
      </c>
      <c r="F271" t="s">
        <v>22</v>
      </c>
      <c r="G271">
        <v>0</v>
      </c>
      <c r="H271">
        <v>207</v>
      </c>
      <c r="I271">
        <v>91</v>
      </c>
      <c r="J271">
        <v>35.19</v>
      </c>
      <c r="K271">
        <v>154.9</v>
      </c>
      <c r="L271">
        <v>121</v>
      </c>
      <c r="M271">
        <v>13.17</v>
      </c>
      <c r="N271">
        <v>245.1</v>
      </c>
      <c r="O271">
        <v>112</v>
      </c>
      <c r="P271">
        <v>11.03</v>
      </c>
      <c r="Q271">
        <v>13.4</v>
      </c>
      <c r="R271">
        <v>5</v>
      </c>
      <c r="S271">
        <v>3.62</v>
      </c>
      <c r="T271">
        <v>3</v>
      </c>
      <c r="U271" t="s">
        <v>22</v>
      </c>
      <c r="V271" t="e">
        <f>IF(#REF! = "yes", 1, 0)</f>
        <v>#REF!</v>
      </c>
      <c r="W271" t="e">
        <f>IF(#REF! &lt;= 1, "0-1 Calls", IF(#REF! &lt;= 3, "2-3 Calls", IF(#REF! &lt;=5, "4-5 Calls", "6+ Calls")))</f>
        <v>#REF!</v>
      </c>
      <c r="X271" t="e">
        <f>IF(#REF! &lt;= 50, "0-50", IF(#REF! &lt;=100, "51-100", IF(#REF! &lt;= 150, "101-150", "151+")))</f>
        <v>#REF!</v>
      </c>
      <c r="Y271" t="e">
        <f>IF(#REF! &lt;= 3, "Low Charges", "High Charges")</f>
        <v>#REF!</v>
      </c>
      <c r="Z271" t="e">
        <f>IF(#REF!&lt;=80,"Low Calls",
IF(#REF!&lt;=120,"Medium Calls","High Calls"))</f>
        <v>#REF!</v>
      </c>
      <c r="AA271" t="e">
        <f>IF(#REF!&lt;=15,"Low Charges",
IF(#REF!&lt;=20,"Medium Charges","High Charges"))</f>
        <v>#REF!</v>
      </c>
      <c r="AB271" t="e">
        <f>IF(AND(#REF!&gt;180, #REF!&gt;200), "Heavy Doemstic User", IF(#REF!&gt;10, "Interntional User", IF(AND(#REF!&lt;180, #REF!&lt;200,#REF!&lt;200), "Light User", "Balanced User")))</f>
        <v>#REF!</v>
      </c>
      <c r="AC271" t="e">
        <f>IF(#REF! = 0, "No Usage", IF(#REF! &lt;= 20, "Low Usage", IF(#REF! &lt;= 40, "Medium Usgae", "High Usage")))</f>
        <v>#REF!</v>
      </c>
      <c r="AD271" t="e">
        <f>IF(#REF!&lt;=150,"Low Usage", IF(#REF!&lt;=200,"Medium Usage", IF(#REF!&lt;=250,"High Usage","Very High Usage")))</f>
        <v>#REF!</v>
      </c>
      <c r="AE271" t="e">
        <f>IF(#REF!&lt;=5,"Low Calls", IF(#REF!&lt;=10, "Medium Calls", "High Calls"))</f>
        <v>#REF!</v>
      </c>
      <c r="AF271" t="e">
        <f xml:space="preserve">
IF(#REF!&gt;=4,4,0)+
IF(#REF!="yes",3,0)+
IF(#REF!="High Charges",3,0)+
IF(#REF!&gt;250,4,0)+
IF(#REF!="no",1,0)+
IF(#REF!="Heavy Domestic User",2,0)</f>
        <v>#REF!</v>
      </c>
      <c r="AG271" t="e">
        <f>IF(#REF!&gt;=10,"High Risk", IF(#REF!&gt;=5,"Medium Risk","Low Risk"))</f>
        <v>#REF!</v>
      </c>
      <c r="AH271" t="e">
        <f>#REF! + #REF! + #REF! + #REF!</f>
        <v>#REF!</v>
      </c>
    </row>
    <row r="272" spans="1:34" x14ac:dyDescent="0.35">
      <c r="A272">
        <v>271</v>
      </c>
      <c r="B272" t="s">
        <v>66</v>
      </c>
      <c r="C272">
        <v>100</v>
      </c>
      <c r="D272" t="s">
        <v>28</v>
      </c>
      <c r="E272" t="s">
        <v>22</v>
      </c>
      <c r="F272" t="s">
        <v>23</v>
      </c>
      <c r="G272">
        <v>30</v>
      </c>
      <c r="H272">
        <v>58.8</v>
      </c>
      <c r="I272">
        <v>104</v>
      </c>
      <c r="J272">
        <v>10</v>
      </c>
      <c r="K272">
        <v>219.5</v>
      </c>
      <c r="L272">
        <v>107</v>
      </c>
      <c r="M272">
        <v>18.66</v>
      </c>
      <c r="N272">
        <v>152.30000000000001</v>
      </c>
      <c r="O272">
        <v>118</v>
      </c>
      <c r="P272">
        <v>6.85</v>
      </c>
      <c r="Q272">
        <v>7.1</v>
      </c>
      <c r="R272">
        <v>3</v>
      </c>
      <c r="S272">
        <v>1.92</v>
      </c>
      <c r="T272">
        <v>0</v>
      </c>
      <c r="U272" t="s">
        <v>22</v>
      </c>
      <c r="V272" t="e">
        <f>IF(#REF! = "yes", 1, 0)</f>
        <v>#REF!</v>
      </c>
      <c r="W272" t="e">
        <f>IF(#REF! &lt;= 1, "0-1 Calls", IF(#REF! &lt;= 3, "2-3 Calls", IF(#REF! &lt;=5, "4-5 Calls", "6+ Calls")))</f>
        <v>#REF!</v>
      </c>
      <c r="X272" t="e">
        <f>IF(#REF! &lt;= 50, "0-50", IF(#REF! &lt;=100, "51-100", IF(#REF! &lt;= 150, "101-150", "151+")))</f>
        <v>#REF!</v>
      </c>
      <c r="Y272" t="e">
        <f>IF(#REF! &lt;= 3, "Low Charges", "High Charges")</f>
        <v>#REF!</v>
      </c>
      <c r="Z272" t="e">
        <f>IF(#REF!&lt;=80,"Low Calls",
IF(#REF!&lt;=120,"Medium Calls","High Calls"))</f>
        <v>#REF!</v>
      </c>
      <c r="AA272" t="e">
        <f>IF(#REF!&lt;=15,"Low Charges",
IF(#REF!&lt;=20,"Medium Charges","High Charges"))</f>
        <v>#REF!</v>
      </c>
      <c r="AB272" t="e">
        <f>IF(AND(#REF!&gt;180, #REF!&gt;200), "Heavy Doemstic User", IF(#REF!&gt;10, "Interntional User", IF(AND(#REF!&lt;180, #REF!&lt;200,#REF!&lt;200), "Light User", "Balanced User")))</f>
        <v>#REF!</v>
      </c>
      <c r="AC272" t="e">
        <f>IF(#REF! = 0, "No Usage", IF(#REF! &lt;= 20, "Low Usage", IF(#REF! &lt;= 40, "Medium Usgae", "High Usage")))</f>
        <v>#REF!</v>
      </c>
      <c r="AD272" t="e">
        <f>IF(#REF!&lt;=150,"Low Usage", IF(#REF!&lt;=200,"Medium Usage", IF(#REF!&lt;=250,"High Usage","Very High Usage")))</f>
        <v>#REF!</v>
      </c>
      <c r="AE272" t="e">
        <f>IF(#REF!&lt;=5,"Low Calls", IF(#REF!&lt;=10, "Medium Calls", "High Calls"))</f>
        <v>#REF!</v>
      </c>
      <c r="AF272" t="e">
        <f xml:space="preserve">
IF(#REF!&gt;=4,4,0)+
IF(#REF!="yes",3,0)+
IF(#REF!="High Charges",3,0)+
IF(#REF!&gt;250,4,0)+
IF(#REF!="no",1,0)+
IF(#REF!="Heavy Domestic User",2,0)</f>
        <v>#REF!</v>
      </c>
      <c r="AG272" t="e">
        <f>IF(#REF!&gt;=10,"High Risk", IF(#REF!&gt;=5,"Medium Risk","Low Risk"))</f>
        <v>#REF!</v>
      </c>
      <c r="AH272" t="e">
        <f>#REF! + #REF! + #REF! + #REF!</f>
        <v>#REF!</v>
      </c>
    </row>
    <row r="273" spans="1:34" x14ac:dyDescent="0.35">
      <c r="A273">
        <v>272</v>
      </c>
      <c r="B273" t="s">
        <v>68</v>
      </c>
      <c r="C273">
        <v>121</v>
      </c>
      <c r="D273" t="s">
        <v>25</v>
      </c>
      <c r="E273" t="s">
        <v>22</v>
      </c>
      <c r="F273" t="s">
        <v>23</v>
      </c>
      <c r="G273">
        <v>35</v>
      </c>
      <c r="H273">
        <v>68.7</v>
      </c>
      <c r="I273">
        <v>95</v>
      </c>
      <c r="J273">
        <v>11.68</v>
      </c>
      <c r="K273">
        <v>209.2</v>
      </c>
      <c r="L273">
        <v>69</v>
      </c>
      <c r="M273">
        <v>17.78</v>
      </c>
      <c r="N273">
        <v>197.4</v>
      </c>
      <c r="O273">
        <v>42</v>
      </c>
      <c r="P273">
        <v>8.8800000000000008</v>
      </c>
      <c r="Q273">
        <v>11.4</v>
      </c>
      <c r="R273">
        <v>4</v>
      </c>
      <c r="S273">
        <v>3.08</v>
      </c>
      <c r="T273">
        <v>1</v>
      </c>
      <c r="U273" t="s">
        <v>22</v>
      </c>
      <c r="V273" t="e">
        <f>IF(#REF! = "yes", 1, 0)</f>
        <v>#REF!</v>
      </c>
      <c r="W273" t="e">
        <f>IF(#REF! &lt;= 1, "0-1 Calls", IF(#REF! &lt;= 3, "2-3 Calls", IF(#REF! &lt;=5, "4-5 Calls", "6+ Calls")))</f>
        <v>#REF!</v>
      </c>
      <c r="X273" t="e">
        <f>IF(#REF! &lt;= 50, "0-50", IF(#REF! &lt;=100, "51-100", IF(#REF! &lt;= 150, "101-150", "151+")))</f>
        <v>#REF!</v>
      </c>
      <c r="Y273" t="e">
        <f>IF(#REF! &lt;= 3, "Low Charges", "High Charges")</f>
        <v>#REF!</v>
      </c>
      <c r="Z273" t="e">
        <f>IF(#REF!&lt;=80,"Low Calls",
IF(#REF!&lt;=120,"Medium Calls","High Calls"))</f>
        <v>#REF!</v>
      </c>
      <c r="AA273" t="e">
        <f>IF(#REF!&lt;=15,"Low Charges",
IF(#REF!&lt;=20,"Medium Charges","High Charges"))</f>
        <v>#REF!</v>
      </c>
      <c r="AB273" t="e">
        <f>IF(AND(#REF!&gt;180, #REF!&gt;200), "Heavy Doemstic User", IF(#REF!&gt;10, "Interntional User", IF(AND(#REF!&lt;180, #REF!&lt;200,#REF!&lt;200), "Light User", "Balanced User")))</f>
        <v>#REF!</v>
      </c>
      <c r="AC273" t="e">
        <f>IF(#REF! = 0, "No Usage", IF(#REF! &lt;= 20, "Low Usage", IF(#REF! &lt;= 40, "Medium Usgae", "High Usage")))</f>
        <v>#REF!</v>
      </c>
      <c r="AD273" t="e">
        <f>IF(#REF!&lt;=150,"Low Usage", IF(#REF!&lt;=200,"Medium Usage", IF(#REF!&lt;=250,"High Usage","Very High Usage")))</f>
        <v>#REF!</v>
      </c>
      <c r="AE273" t="e">
        <f>IF(#REF!&lt;=5,"Low Calls", IF(#REF!&lt;=10, "Medium Calls", "High Calls"))</f>
        <v>#REF!</v>
      </c>
      <c r="AF273" t="e">
        <f xml:space="preserve">
IF(#REF!&gt;=4,4,0)+
IF(#REF!="yes",3,0)+
IF(#REF!="High Charges",3,0)+
IF(#REF!&gt;250,4,0)+
IF(#REF!="no",1,0)+
IF(#REF!="Heavy Domestic User",2,0)</f>
        <v>#REF!</v>
      </c>
      <c r="AG273" t="e">
        <f>IF(#REF!&gt;=10,"High Risk", IF(#REF!&gt;=5,"Medium Risk","Low Risk"))</f>
        <v>#REF!</v>
      </c>
      <c r="AH273" t="e">
        <f>#REF! + #REF! + #REF! + #REF!</f>
        <v>#REF!</v>
      </c>
    </row>
    <row r="274" spans="1:34" x14ac:dyDescent="0.35">
      <c r="A274">
        <v>273</v>
      </c>
      <c r="B274" t="s">
        <v>48</v>
      </c>
      <c r="C274">
        <v>143</v>
      </c>
      <c r="D274" t="s">
        <v>25</v>
      </c>
      <c r="E274" t="s">
        <v>22</v>
      </c>
      <c r="F274" t="s">
        <v>23</v>
      </c>
      <c r="G274">
        <v>33</v>
      </c>
      <c r="H274">
        <v>239.2</v>
      </c>
      <c r="I274">
        <v>109</v>
      </c>
      <c r="J274">
        <v>40.659999999999997</v>
      </c>
      <c r="K274">
        <v>235.5</v>
      </c>
      <c r="L274">
        <v>112</v>
      </c>
      <c r="M274">
        <v>20.02</v>
      </c>
      <c r="N274">
        <v>156.30000000000001</v>
      </c>
      <c r="O274">
        <v>95</v>
      </c>
      <c r="P274">
        <v>7.03</v>
      </c>
      <c r="Q274">
        <v>9.5</v>
      </c>
      <c r="R274">
        <v>4</v>
      </c>
      <c r="S274">
        <v>2.57</v>
      </c>
      <c r="T274">
        <v>1</v>
      </c>
      <c r="U274" t="s">
        <v>22</v>
      </c>
      <c r="V274" t="e">
        <f>IF(#REF! = "yes", 1, 0)</f>
        <v>#REF!</v>
      </c>
      <c r="W274" t="e">
        <f>IF(#REF! &lt;= 1, "0-1 Calls", IF(#REF! &lt;= 3, "2-3 Calls", IF(#REF! &lt;=5, "4-5 Calls", "6+ Calls")))</f>
        <v>#REF!</v>
      </c>
      <c r="X274" t="e">
        <f>IF(#REF! &lt;= 50, "0-50", IF(#REF! &lt;=100, "51-100", IF(#REF! &lt;= 150, "101-150", "151+")))</f>
        <v>#REF!</v>
      </c>
      <c r="Y274" t="e">
        <f>IF(#REF! &lt;= 3, "Low Charges", "High Charges")</f>
        <v>#REF!</v>
      </c>
      <c r="Z274" t="e">
        <f>IF(#REF!&lt;=80,"Low Calls",
IF(#REF!&lt;=120,"Medium Calls","High Calls"))</f>
        <v>#REF!</v>
      </c>
      <c r="AA274" t="e">
        <f>IF(#REF!&lt;=15,"Low Charges",
IF(#REF!&lt;=20,"Medium Charges","High Charges"))</f>
        <v>#REF!</v>
      </c>
      <c r="AB274" t="e">
        <f>IF(AND(#REF!&gt;180, #REF!&gt;200), "Heavy Doemstic User", IF(#REF!&gt;10, "Interntional User", IF(AND(#REF!&lt;180, #REF!&lt;200,#REF!&lt;200), "Light User", "Balanced User")))</f>
        <v>#REF!</v>
      </c>
      <c r="AC274" t="e">
        <f>IF(#REF! = 0, "No Usage", IF(#REF! &lt;= 20, "Low Usage", IF(#REF! &lt;= 40, "Medium Usgae", "High Usage")))</f>
        <v>#REF!</v>
      </c>
      <c r="AD274" t="e">
        <f>IF(#REF!&lt;=150,"Low Usage", IF(#REF!&lt;=200,"Medium Usage", IF(#REF!&lt;=250,"High Usage","Very High Usage")))</f>
        <v>#REF!</v>
      </c>
      <c r="AE274" t="e">
        <f>IF(#REF!&lt;=5,"Low Calls", IF(#REF!&lt;=10, "Medium Calls", "High Calls"))</f>
        <v>#REF!</v>
      </c>
      <c r="AF274" t="e">
        <f xml:space="preserve">
IF(#REF!&gt;=4,4,0)+
IF(#REF!="yes",3,0)+
IF(#REF!="High Charges",3,0)+
IF(#REF!&gt;250,4,0)+
IF(#REF!="no",1,0)+
IF(#REF!="Heavy Domestic User",2,0)</f>
        <v>#REF!</v>
      </c>
      <c r="AG274" t="e">
        <f>IF(#REF!&gt;=10,"High Risk", IF(#REF!&gt;=5,"Medium Risk","Low Risk"))</f>
        <v>#REF!</v>
      </c>
      <c r="AH274" t="e">
        <f>#REF! + #REF! + #REF! + #REF!</f>
        <v>#REF!</v>
      </c>
    </row>
    <row r="275" spans="1:34" x14ac:dyDescent="0.35">
      <c r="A275">
        <v>274</v>
      </c>
      <c r="B275" t="s">
        <v>34</v>
      </c>
      <c r="C275">
        <v>76</v>
      </c>
      <c r="D275" t="s">
        <v>28</v>
      </c>
      <c r="E275" t="s">
        <v>22</v>
      </c>
      <c r="F275" t="s">
        <v>22</v>
      </c>
      <c r="G275">
        <v>0</v>
      </c>
      <c r="H275">
        <v>198.3</v>
      </c>
      <c r="I275">
        <v>130</v>
      </c>
      <c r="J275">
        <v>33.71</v>
      </c>
      <c r="K275">
        <v>217.1</v>
      </c>
      <c r="L275">
        <v>86</v>
      </c>
      <c r="M275">
        <v>18.45</v>
      </c>
      <c r="N275">
        <v>188.4</v>
      </c>
      <c r="O275">
        <v>96</v>
      </c>
      <c r="P275">
        <v>8.48</v>
      </c>
      <c r="Q275">
        <v>12.5</v>
      </c>
      <c r="R275">
        <v>3</v>
      </c>
      <c r="S275">
        <v>3.38</v>
      </c>
      <c r="T275">
        <v>0</v>
      </c>
      <c r="U275" t="s">
        <v>22</v>
      </c>
      <c r="V275" t="e">
        <f>IF(#REF! = "yes", 1, 0)</f>
        <v>#REF!</v>
      </c>
      <c r="W275" t="e">
        <f>IF(#REF! &lt;= 1, "0-1 Calls", IF(#REF! &lt;= 3, "2-3 Calls", IF(#REF! &lt;=5, "4-5 Calls", "6+ Calls")))</f>
        <v>#REF!</v>
      </c>
      <c r="X275" t="e">
        <f>IF(#REF! &lt;= 50, "0-50", IF(#REF! &lt;=100, "51-100", IF(#REF! &lt;= 150, "101-150", "151+")))</f>
        <v>#REF!</v>
      </c>
      <c r="Y275" t="e">
        <f>IF(#REF! &lt;= 3, "Low Charges", "High Charges")</f>
        <v>#REF!</v>
      </c>
      <c r="Z275" t="e">
        <f>IF(#REF!&lt;=80,"Low Calls",
IF(#REF!&lt;=120,"Medium Calls","High Calls"))</f>
        <v>#REF!</v>
      </c>
      <c r="AA275" t="e">
        <f>IF(#REF!&lt;=15,"Low Charges",
IF(#REF!&lt;=20,"Medium Charges","High Charges"))</f>
        <v>#REF!</v>
      </c>
      <c r="AB275" t="e">
        <f>IF(AND(#REF!&gt;180, #REF!&gt;200), "Heavy Doemstic User", IF(#REF!&gt;10, "Interntional User", IF(AND(#REF!&lt;180, #REF!&lt;200,#REF!&lt;200), "Light User", "Balanced User")))</f>
        <v>#REF!</v>
      </c>
      <c r="AC275" t="e">
        <f>IF(#REF! = 0, "No Usage", IF(#REF! &lt;= 20, "Low Usage", IF(#REF! &lt;= 40, "Medium Usgae", "High Usage")))</f>
        <v>#REF!</v>
      </c>
      <c r="AD275" t="e">
        <f>IF(#REF!&lt;=150,"Low Usage", IF(#REF!&lt;=200,"Medium Usage", IF(#REF!&lt;=250,"High Usage","Very High Usage")))</f>
        <v>#REF!</v>
      </c>
      <c r="AE275" t="e">
        <f>IF(#REF!&lt;=5,"Low Calls", IF(#REF!&lt;=10, "Medium Calls", "High Calls"))</f>
        <v>#REF!</v>
      </c>
      <c r="AF275" t="e">
        <f xml:space="preserve">
IF(#REF!&gt;=4,4,0)+
IF(#REF!="yes",3,0)+
IF(#REF!="High Charges",3,0)+
IF(#REF!&gt;250,4,0)+
IF(#REF!="no",1,0)+
IF(#REF!="Heavy Domestic User",2,0)</f>
        <v>#REF!</v>
      </c>
      <c r="AG275" t="e">
        <f>IF(#REF!&gt;=10,"High Risk", IF(#REF!&gt;=5,"Medium Risk","Low Risk"))</f>
        <v>#REF!</v>
      </c>
      <c r="AH275" t="e">
        <f>#REF! + #REF! + #REF! + #REF!</f>
        <v>#REF!</v>
      </c>
    </row>
    <row r="276" spans="1:34" x14ac:dyDescent="0.35">
      <c r="A276">
        <v>275</v>
      </c>
      <c r="B276" t="s">
        <v>42</v>
      </c>
      <c r="C276">
        <v>158</v>
      </c>
      <c r="D276" t="s">
        <v>28</v>
      </c>
      <c r="E276" t="s">
        <v>22</v>
      </c>
      <c r="F276" t="s">
        <v>22</v>
      </c>
      <c r="G276">
        <v>0</v>
      </c>
      <c r="H276">
        <v>205.2</v>
      </c>
      <c r="I276">
        <v>97</v>
      </c>
      <c r="J276">
        <v>34.880000000000003</v>
      </c>
      <c r="K276">
        <v>240.6</v>
      </c>
      <c r="L276">
        <v>77</v>
      </c>
      <c r="M276">
        <v>20.45</v>
      </c>
      <c r="N276">
        <v>79.7</v>
      </c>
      <c r="O276">
        <v>108</v>
      </c>
      <c r="P276">
        <v>3.59</v>
      </c>
      <c r="Q276">
        <v>14.4</v>
      </c>
      <c r="R276">
        <v>12</v>
      </c>
      <c r="S276">
        <v>3.89</v>
      </c>
      <c r="T276">
        <v>0</v>
      </c>
      <c r="U276" t="s">
        <v>22</v>
      </c>
      <c r="V276" t="e">
        <f>IF(#REF! = "yes", 1, 0)</f>
        <v>#REF!</v>
      </c>
      <c r="W276" t="e">
        <f>IF(#REF! &lt;= 1, "0-1 Calls", IF(#REF! &lt;= 3, "2-3 Calls", IF(#REF! &lt;=5, "4-5 Calls", "6+ Calls")))</f>
        <v>#REF!</v>
      </c>
      <c r="X276" t="e">
        <f>IF(#REF! &lt;= 50, "0-50", IF(#REF! &lt;=100, "51-100", IF(#REF! &lt;= 150, "101-150", "151+")))</f>
        <v>#REF!</v>
      </c>
      <c r="Y276" t="e">
        <f>IF(#REF! &lt;= 3, "Low Charges", "High Charges")</f>
        <v>#REF!</v>
      </c>
      <c r="Z276" t="e">
        <f>IF(#REF!&lt;=80,"Low Calls",
IF(#REF!&lt;=120,"Medium Calls","High Calls"))</f>
        <v>#REF!</v>
      </c>
      <c r="AA276" t="e">
        <f>IF(#REF!&lt;=15,"Low Charges",
IF(#REF!&lt;=20,"Medium Charges","High Charges"))</f>
        <v>#REF!</v>
      </c>
      <c r="AB276" t="e">
        <f>IF(AND(#REF!&gt;180, #REF!&gt;200), "Heavy Doemstic User", IF(#REF!&gt;10, "Interntional User", IF(AND(#REF!&lt;180, #REF!&lt;200,#REF!&lt;200), "Light User", "Balanced User")))</f>
        <v>#REF!</v>
      </c>
      <c r="AC276" t="e">
        <f>IF(#REF! = 0, "No Usage", IF(#REF! &lt;= 20, "Low Usage", IF(#REF! &lt;= 40, "Medium Usgae", "High Usage")))</f>
        <v>#REF!</v>
      </c>
      <c r="AD276" t="e">
        <f>IF(#REF!&lt;=150,"Low Usage", IF(#REF!&lt;=200,"Medium Usage", IF(#REF!&lt;=250,"High Usage","Very High Usage")))</f>
        <v>#REF!</v>
      </c>
      <c r="AE276" t="e">
        <f>IF(#REF!&lt;=5,"Low Calls", IF(#REF!&lt;=10, "Medium Calls", "High Calls"))</f>
        <v>#REF!</v>
      </c>
      <c r="AF276" t="e">
        <f xml:space="preserve">
IF(#REF!&gt;=4,4,0)+
IF(#REF!="yes",3,0)+
IF(#REF!="High Charges",3,0)+
IF(#REF!&gt;250,4,0)+
IF(#REF!="no",1,0)+
IF(#REF!="Heavy Domestic User",2,0)</f>
        <v>#REF!</v>
      </c>
      <c r="AG276" t="e">
        <f>IF(#REF!&gt;=10,"High Risk", IF(#REF!&gt;=5,"Medium Risk","Low Risk"))</f>
        <v>#REF!</v>
      </c>
      <c r="AH276" t="e">
        <f>#REF! + #REF! + #REF! + #REF!</f>
        <v>#REF!</v>
      </c>
    </row>
    <row r="277" spans="1:34" x14ac:dyDescent="0.35">
      <c r="A277">
        <v>276</v>
      </c>
      <c r="B277" t="s">
        <v>40</v>
      </c>
      <c r="C277">
        <v>116</v>
      </c>
      <c r="D277" t="s">
        <v>28</v>
      </c>
      <c r="E277" t="s">
        <v>22</v>
      </c>
      <c r="F277" t="s">
        <v>22</v>
      </c>
      <c r="G277">
        <v>0</v>
      </c>
      <c r="H277">
        <v>192.1</v>
      </c>
      <c r="I277">
        <v>98</v>
      </c>
      <c r="J277">
        <v>32.659999999999997</v>
      </c>
      <c r="K277">
        <v>312.89999999999998</v>
      </c>
      <c r="L277">
        <v>135</v>
      </c>
      <c r="M277">
        <v>26.6</v>
      </c>
      <c r="N277">
        <v>130.19999999999999</v>
      </c>
      <c r="O277">
        <v>94</v>
      </c>
      <c r="P277">
        <v>5.86</v>
      </c>
      <c r="Q277">
        <v>7.9</v>
      </c>
      <c r="R277">
        <v>2</v>
      </c>
      <c r="S277">
        <v>2.13</v>
      </c>
      <c r="T277">
        <v>3</v>
      </c>
      <c r="U277" t="s">
        <v>22</v>
      </c>
      <c r="V277" t="e">
        <f>IF(#REF! = "yes", 1, 0)</f>
        <v>#REF!</v>
      </c>
      <c r="W277" t="e">
        <f>IF(#REF! &lt;= 1, "0-1 Calls", IF(#REF! &lt;= 3, "2-3 Calls", IF(#REF! &lt;=5, "4-5 Calls", "6+ Calls")))</f>
        <v>#REF!</v>
      </c>
      <c r="X277" t="e">
        <f>IF(#REF! &lt;= 50, "0-50", IF(#REF! &lt;=100, "51-100", IF(#REF! &lt;= 150, "101-150", "151+")))</f>
        <v>#REF!</v>
      </c>
      <c r="Y277" t="e">
        <f>IF(#REF! &lt;= 3, "Low Charges", "High Charges")</f>
        <v>#REF!</v>
      </c>
      <c r="Z277" t="e">
        <f>IF(#REF!&lt;=80,"Low Calls",
IF(#REF!&lt;=120,"Medium Calls","High Calls"))</f>
        <v>#REF!</v>
      </c>
      <c r="AA277" t="e">
        <f>IF(#REF!&lt;=15,"Low Charges",
IF(#REF!&lt;=20,"Medium Charges","High Charges"))</f>
        <v>#REF!</v>
      </c>
      <c r="AB277" t="e">
        <f>IF(AND(#REF!&gt;180, #REF!&gt;200), "Heavy Doemstic User", IF(#REF!&gt;10, "Interntional User", IF(AND(#REF!&lt;180, #REF!&lt;200,#REF!&lt;200), "Light User", "Balanced User")))</f>
        <v>#REF!</v>
      </c>
      <c r="AC277" t="e">
        <f>IF(#REF! = 0, "No Usage", IF(#REF! &lt;= 20, "Low Usage", IF(#REF! &lt;= 40, "Medium Usgae", "High Usage")))</f>
        <v>#REF!</v>
      </c>
      <c r="AD277" t="e">
        <f>IF(#REF!&lt;=150,"Low Usage", IF(#REF!&lt;=200,"Medium Usage", IF(#REF!&lt;=250,"High Usage","Very High Usage")))</f>
        <v>#REF!</v>
      </c>
      <c r="AE277" t="e">
        <f>IF(#REF!&lt;=5,"Low Calls", IF(#REF!&lt;=10, "Medium Calls", "High Calls"))</f>
        <v>#REF!</v>
      </c>
      <c r="AF277" t="e">
        <f xml:space="preserve">
IF(#REF!&gt;=4,4,0)+
IF(#REF!="yes",3,0)+
IF(#REF!="High Charges",3,0)+
IF(#REF!&gt;250,4,0)+
IF(#REF!="no",1,0)+
IF(#REF!="Heavy Domestic User",2,0)</f>
        <v>#REF!</v>
      </c>
      <c r="AG277" t="e">
        <f>IF(#REF!&gt;=10,"High Risk", IF(#REF!&gt;=5,"Medium Risk","Low Risk"))</f>
        <v>#REF!</v>
      </c>
      <c r="AH277" t="e">
        <f>#REF! + #REF! + #REF! + #REF!</f>
        <v>#REF!</v>
      </c>
    </row>
    <row r="278" spans="1:34" x14ac:dyDescent="0.35">
      <c r="A278">
        <v>277</v>
      </c>
      <c r="B278" t="s">
        <v>35</v>
      </c>
      <c r="C278">
        <v>54</v>
      </c>
      <c r="D278" t="s">
        <v>21</v>
      </c>
      <c r="E278" t="s">
        <v>22</v>
      </c>
      <c r="F278" t="s">
        <v>22</v>
      </c>
      <c r="G278">
        <v>0</v>
      </c>
      <c r="H278">
        <v>272.60000000000002</v>
      </c>
      <c r="I278">
        <v>83</v>
      </c>
      <c r="J278">
        <v>46.34</v>
      </c>
      <c r="K278">
        <v>248.7</v>
      </c>
      <c r="L278">
        <v>74</v>
      </c>
      <c r="M278">
        <v>21.14</v>
      </c>
      <c r="N278">
        <v>197.4</v>
      </c>
      <c r="O278">
        <v>111</v>
      </c>
      <c r="P278">
        <v>8.8800000000000008</v>
      </c>
      <c r="Q278">
        <v>9.5</v>
      </c>
      <c r="R278">
        <v>2</v>
      </c>
      <c r="S278">
        <v>2.57</v>
      </c>
      <c r="T278">
        <v>1</v>
      </c>
      <c r="U278" t="s">
        <v>23</v>
      </c>
      <c r="V278" t="e">
        <f>IF(#REF! = "yes", 1, 0)</f>
        <v>#REF!</v>
      </c>
      <c r="W278" t="e">
        <f>IF(#REF! &lt;= 1, "0-1 Calls", IF(#REF! &lt;= 3, "2-3 Calls", IF(#REF! &lt;=5, "4-5 Calls", "6+ Calls")))</f>
        <v>#REF!</v>
      </c>
      <c r="X278" t="e">
        <f>IF(#REF! &lt;= 50, "0-50", IF(#REF! &lt;=100, "51-100", IF(#REF! &lt;= 150, "101-150", "151+")))</f>
        <v>#REF!</v>
      </c>
      <c r="Y278" t="e">
        <f>IF(#REF! &lt;= 3, "Low Charges", "High Charges")</f>
        <v>#REF!</v>
      </c>
      <c r="Z278" t="e">
        <f>IF(#REF!&lt;=80,"Low Calls",
IF(#REF!&lt;=120,"Medium Calls","High Calls"))</f>
        <v>#REF!</v>
      </c>
      <c r="AA278" t="e">
        <f>IF(#REF!&lt;=15,"Low Charges",
IF(#REF!&lt;=20,"Medium Charges","High Charges"))</f>
        <v>#REF!</v>
      </c>
      <c r="AB278" t="e">
        <f>IF(AND(#REF!&gt;180, #REF!&gt;200), "Heavy Doemstic User", IF(#REF!&gt;10, "Interntional User", IF(AND(#REF!&lt;180, #REF!&lt;200,#REF!&lt;200), "Light User", "Balanced User")))</f>
        <v>#REF!</v>
      </c>
      <c r="AC278" t="e">
        <f>IF(#REF! = 0, "No Usage", IF(#REF! &lt;= 20, "Low Usage", IF(#REF! &lt;= 40, "Medium Usgae", "High Usage")))</f>
        <v>#REF!</v>
      </c>
      <c r="AD278" t="e">
        <f>IF(#REF!&lt;=150,"Low Usage", IF(#REF!&lt;=200,"Medium Usage", IF(#REF!&lt;=250,"High Usage","Very High Usage")))</f>
        <v>#REF!</v>
      </c>
      <c r="AE278" t="e">
        <f>IF(#REF!&lt;=5,"Low Calls", IF(#REF!&lt;=10, "Medium Calls", "High Calls"))</f>
        <v>#REF!</v>
      </c>
      <c r="AF278" t="e">
        <f xml:space="preserve">
IF(#REF!&gt;=4,4,0)+
IF(#REF!="yes",3,0)+
IF(#REF!="High Charges",3,0)+
IF(#REF!&gt;250,4,0)+
IF(#REF!="no",1,0)+
IF(#REF!="Heavy Domestic User",2,0)</f>
        <v>#REF!</v>
      </c>
      <c r="AG278" t="e">
        <f>IF(#REF!&gt;=10,"High Risk", IF(#REF!&gt;=5,"Medium Risk","Low Risk"))</f>
        <v>#REF!</v>
      </c>
      <c r="AH278" t="e">
        <f>#REF! + #REF! + #REF! + #REF!</f>
        <v>#REF!</v>
      </c>
    </row>
    <row r="279" spans="1:34" x14ac:dyDescent="0.35">
      <c r="A279">
        <v>278</v>
      </c>
      <c r="B279" t="s">
        <v>68</v>
      </c>
      <c r="C279">
        <v>86</v>
      </c>
      <c r="D279" t="s">
        <v>21</v>
      </c>
      <c r="E279" t="s">
        <v>22</v>
      </c>
      <c r="F279" t="s">
        <v>22</v>
      </c>
      <c r="G279">
        <v>0</v>
      </c>
      <c r="H279">
        <v>128.30000000000001</v>
      </c>
      <c r="I279">
        <v>121</v>
      </c>
      <c r="J279">
        <v>21.81</v>
      </c>
      <c r="K279">
        <v>197.1</v>
      </c>
      <c r="L279">
        <v>93</v>
      </c>
      <c r="M279">
        <v>16.75</v>
      </c>
      <c r="N279">
        <v>138.4</v>
      </c>
      <c r="O279">
        <v>152</v>
      </c>
      <c r="P279">
        <v>6.23</v>
      </c>
      <c r="Q279">
        <v>12.2</v>
      </c>
      <c r="R279">
        <v>5</v>
      </c>
      <c r="S279">
        <v>3.29</v>
      </c>
      <c r="T279">
        <v>7</v>
      </c>
      <c r="U279" t="s">
        <v>23</v>
      </c>
      <c r="V279" t="e">
        <f>IF(#REF! = "yes", 1, 0)</f>
        <v>#REF!</v>
      </c>
      <c r="W279" t="e">
        <f>IF(#REF! &lt;= 1, "0-1 Calls", IF(#REF! &lt;= 3, "2-3 Calls", IF(#REF! &lt;=5, "4-5 Calls", "6+ Calls")))</f>
        <v>#REF!</v>
      </c>
      <c r="X279" t="e">
        <f>IF(#REF! &lt;= 50, "0-50", IF(#REF! &lt;=100, "51-100", IF(#REF! &lt;= 150, "101-150", "151+")))</f>
        <v>#REF!</v>
      </c>
      <c r="Y279" t="e">
        <f>IF(#REF! &lt;= 3, "Low Charges", "High Charges")</f>
        <v>#REF!</v>
      </c>
      <c r="Z279" t="e">
        <f>IF(#REF!&lt;=80,"Low Calls",
IF(#REF!&lt;=120,"Medium Calls","High Calls"))</f>
        <v>#REF!</v>
      </c>
      <c r="AA279" t="e">
        <f>IF(#REF!&lt;=15,"Low Charges",
IF(#REF!&lt;=20,"Medium Charges","High Charges"))</f>
        <v>#REF!</v>
      </c>
      <c r="AB279" t="e">
        <f>IF(AND(#REF!&gt;180, #REF!&gt;200), "Heavy Doemstic User", IF(#REF!&gt;10, "Interntional User", IF(AND(#REF!&lt;180, #REF!&lt;200,#REF!&lt;200), "Light User", "Balanced User")))</f>
        <v>#REF!</v>
      </c>
      <c r="AC279" t="e">
        <f>IF(#REF! = 0, "No Usage", IF(#REF! &lt;= 20, "Low Usage", IF(#REF! &lt;= 40, "Medium Usgae", "High Usage")))</f>
        <v>#REF!</v>
      </c>
      <c r="AD279" t="e">
        <f>IF(#REF!&lt;=150,"Low Usage", IF(#REF!&lt;=200,"Medium Usage", IF(#REF!&lt;=250,"High Usage","Very High Usage")))</f>
        <v>#REF!</v>
      </c>
      <c r="AE279" t="e">
        <f>IF(#REF!&lt;=5,"Low Calls", IF(#REF!&lt;=10, "Medium Calls", "High Calls"))</f>
        <v>#REF!</v>
      </c>
      <c r="AF279" t="e">
        <f xml:space="preserve">
IF(#REF!&gt;=4,4,0)+
IF(#REF!="yes",3,0)+
IF(#REF!="High Charges",3,0)+
IF(#REF!&gt;250,4,0)+
IF(#REF!="no",1,0)+
IF(#REF!="Heavy Domestic User",2,0)</f>
        <v>#REF!</v>
      </c>
      <c r="AG279" t="e">
        <f>IF(#REF!&gt;=10,"High Risk", IF(#REF!&gt;=5,"Medium Risk","Low Risk"))</f>
        <v>#REF!</v>
      </c>
      <c r="AH279" t="e">
        <f>#REF! + #REF! + #REF! + #REF!</f>
        <v>#REF!</v>
      </c>
    </row>
    <row r="280" spans="1:34" x14ac:dyDescent="0.35">
      <c r="A280">
        <v>279</v>
      </c>
      <c r="B280" t="s">
        <v>54</v>
      </c>
      <c r="C280">
        <v>108</v>
      </c>
      <c r="D280" t="s">
        <v>28</v>
      </c>
      <c r="E280" t="s">
        <v>22</v>
      </c>
      <c r="F280" t="s">
        <v>22</v>
      </c>
      <c r="G280">
        <v>0</v>
      </c>
      <c r="H280">
        <v>169.6</v>
      </c>
      <c r="I280">
        <v>99</v>
      </c>
      <c r="J280">
        <v>28.83</v>
      </c>
      <c r="K280">
        <v>264.10000000000002</v>
      </c>
      <c r="L280">
        <v>87</v>
      </c>
      <c r="M280">
        <v>22.45</v>
      </c>
      <c r="N280">
        <v>206.3</v>
      </c>
      <c r="O280">
        <v>78</v>
      </c>
      <c r="P280">
        <v>9.2799999999999994</v>
      </c>
      <c r="Q280">
        <v>9.3000000000000007</v>
      </c>
      <c r="R280">
        <v>4</v>
      </c>
      <c r="S280">
        <v>2.5099999999999998</v>
      </c>
      <c r="T280">
        <v>0</v>
      </c>
      <c r="U280" t="s">
        <v>22</v>
      </c>
      <c r="V280" t="e">
        <f>IF(#REF! = "yes", 1, 0)</f>
        <v>#REF!</v>
      </c>
      <c r="W280" t="e">
        <f>IF(#REF! &lt;= 1, "0-1 Calls", IF(#REF! &lt;= 3, "2-3 Calls", IF(#REF! &lt;=5, "4-5 Calls", "6+ Calls")))</f>
        <v>#REF!</v>
      </c>
      <c r="X280" t="e">
        <f>IF(#REF! &lt;= 50, "0-50", IF(#REF! &lt;=100, "51-100", IF(#REF! &lt;= 150, "101-150", "151+")))</f>
        <v>#REF!</v>
      </c>
      <c r="Y280" t="e">
        <f>IF(#REF! &lt;= 3, "Low Charges", "High Charges")</f>
        <v>#REF!</v>
      </c>
      <c r="Z280" t="e">
        <f>IF(#REF!&lt;=80,"Low Calls",
IF(#REF!&lt;=120,"Medium Calls","High Calls"))</f>
        <v>#REF!</v>
      </c>
      <c r="AA280" t="e">
        <f>IF(#REF!&lt;=15,"Low Charges",
IF(#REF!&lt;=20,"Medium Charges","High Charges"))</f>
        <v>#REF!</v>
      </c>
      <c r="AB280" t="e">
        <f>IF(AND(#REF!&gt;180, #REF!&gt;200), "Heavy Doemstic User", IF(#REF!&gt;10, "Interntional User", IF(AND(#REF!&lt;180, #REF!&lt;200,#REF!&lt;200), "Light User", "Balanced User")))</f>
        <v>#REF!</v>
      </c>
      <c r="AC280" t="e">
        <f>IF(#REF! = 0, "No Usage", IF(#REF! &lt;= 20, "Low Usage", IF(#REF! &lt;= 40, "Medium Usgae", "High Usage")))</f>
        <v>#REF!</v>
      </c>
      <c r="AD280" t="e">
        <f>IF(#REF!&lt;=150,"Low Usage", IF(#REF!&lt;=200,"Medium Usage", IF(#REF!&lt;=250,"High Usage","Very High Usage")))</f>
        <v>#REF!</v>
      </c>
      <c r="AE280" t="e">
        <f>IF(#REF!&lt;=5,"Low Calls", IF(#REF!&lt;=10, "Medium Calls", "High Calls"))</f>
        <v>#REF!</v>
      </c>
      <c r="AF280" t="e">
        <f xml:space="preserve">
IF(#REF!&gt;=4,4,0)+
IF(#REF!="yes",3,0)+
IF(#REF!="High Charges",3,0)+
IF(#REF!&gt;250,4,0)+
IF(#REF!="no",1,0)+
IF(#REF!="Heavy Domestic User",2,0)</f>
        <v>#REF!</v>
      </c>
      <c r="AG280" t="e">
        <f>IF(#REF!&gt;=10,"High Risk", IF(#REF!&gt;=5,"Medium Risk","Low Risk"))</f>
        <v>#REF!</v>
      </c>
      <c r="AH280" t="e">
        <f>#REF! + #REF! + #REF! + #REF!</f>
        <v>#REF!</v>
      </c>
    </row>
    <row r="281" spans="1:34" x14ac:dyDescent="0.35">
      <c r="A281">
        <v>280</v>
      </c>
      <c r="B281" t="s">
        <v>65</v>
      </c>
      <c r="C281">
        <v>151</v>
      </c>
      <c r="D281" t="s">
        <v>25</v>
      </c>
      <c r="E281" t="s">
        <v>22</v>
      </c>
      <c r="F281" t="s">
        <v>23</v>
      </c>
      <c r="G281">
        <v>17</v>
      </c>
      <c r="H281">
        <v>214.7</v>
      </c>
      <c r="I281">
        <v>97</v>
      </c>
      <c r="J281">
        <v>36.5</v>
      </c>
      <c r="K281">
        <v>138.5</v>
      </c>
      <c r="L281">
        <v>90</v>
      </c>
      <c r="M281">
        <v>11.77</v>
      </c>
      <c r="N281">
        <v>169.1</v>
      </c>
      <c r="O281">
        <v>44</v>
      </c>
      <c r="P281">
        <v>7.61</v>
      </c>
      <c r="Q281">
        <v>8.6</v>
      </c>
      <c r="R281">
        <v>4</v>
      </c>
      <c r="S281">
        <v>2.3199999999999998</v>
      </c>
      <c r="T281">
        <v>1</v>
      </c>
      <c r="U281" t="s">
        <v>22</v>
      </c>
      <c r="V281" t="e">
        <f>IF(#REF! = "yes", 1, 0)</f>
        <v>#REF!</v>
      </c>
      <c r="W281" t="e">
        <f>IF(#REF! &lt;= 1, "0-1 Calls", IF(#REF! &lt;= 3, "2-3 Calls", IF(#REF! &lt;=5, "4-5 Calls", "6+ Calls")))</f>
        <v>#REF!</v>
      </c>
      <c r="X281" t="e">
        <f>IF(#REF! &lt;= 50, "0-50", IF(#REF! &lt;=100, "51-100", IF(#REF! &lt;= 150, "101-150", "151+")))</f>
        <v>#REF!</v>
      </c>
      <c r="Y281" t="e">
        <f>IF(#REF! &lt;= 3, "Low Charges", "High Charges")</f>
        <v>#REF!</v>
      </c>
      <c r="Z281" t="e">
        <f>IF(#REF!&lt;=80,"Low Calls",
IF(#REF!&lt;=120,"Medium Calls","High Calls"))</f>
        <v>#REF!</v>
      </c>
      <c r="AA281" t="e">
        <f>IF(#REF!&lt;=15,"Low Charges",
IF(#REF!&lt;=20,"Medium Charges","High Charges"))</f>
        <v>#REF!</v>
      </c>
      <c r="AB281" t="e">
        <f>IF(AND(#REF!&gt;180, #REF!&gt;200), "Heavy Doemstic User", IF(#REF!&gt;10, "Interntional User", IF(AND(#REF!&lt;180, #REF!&lt;200,#REF!&lt;200), "Light User", "Balanced User")))</f>
        <v>#REF!</v>
      </c>
      <c r="AC281" t="e">
        <f>IF(#REF! = 0, "No Usage", IF(#REF! &lt;= 20, "Low Usage", IF(#REF! &lt;= 40, "Medium Usgae", "High Usage")))</f>
        <v>#REF!</v>
      </c>
      <c r="AD281" t="e">
        <f>IF(#REF!&lt;=150,"Low Usage", IF(#REF!&lt;=200,"Medium Usage", IF(#REF!&lt;=250,"High Usage","Very High Usage")))</f>
        <v>#REF!</v>
      </c>
      <c r="AE281" t="e">
        <f>IF(#REF!&lt;=5,"Low Calls", IF(#REF!&lt;=10, "Medium Calls", "High Calls"))</f>
        <v>#REF!</v>
      </c>
      <c r="AF281" t="e">
        <f xml:space="preserve">
IF(#REF!&gt;=4,4,0)+
IF(#REF!="yes",3,0)+
IF(#REF!="High Charges",3,0)+
IF(#REF!&gt;250,4,0)+
IF(#REF!="no",1,0)+
IF(#REF!="Heavy Domestic User",2,0)</f>
        <v>#REF!</v>
      </c>
      <c r="AG281" t="e">
        <f>IF(#REF!&gt;=10,"High Risk", IF(#REF!&gt;=5,"Medium Risk","Low Risk"))</f>
        <v>#REF!</v>
      </c>
      <c r="AH281" t="e">
        <f>#REF! + #REF! + #REF! + #REF!</f>
        <v>#REF!</v>
      </c>
    </row>
    <row r="282" spans="1:34" x14ac:dyDescent="0.35">
      <c r="A282">
        <v>281</v>
      </c>
      <c r="B282" t="s">
        <v>43</v>
      </c>
      <c r="C282">
        <v>99</v>
      </c>
      <c r="D282" t="s">
        <v>28</v>
      </c>
      <c r="E282" t="s">
        <v>22</v>
      </c>
      <c r="F282" t="s">
        <v>22</v>
      </c>
      <c r="G282">
        <v>0</v>
      </c>
      <c r="H282">
        <v>169.2</v>
      </c>
      <c r="I282">
        <v>70</v>
      </c>
      <c r="J282">
        <v>28.76</v>
      </c>
      <c r="K282">
        <v>271.5</v>
      </c>
      <c r="L282">
        <v>77</v>
      </c>
      <c r="M282">
        <v>23.08</v>
      </c>
      <c r="N282">
        <v>170.2</v>
      </c>
      <c r="O282">
        <v>104</v>
      </c>
      <c r="P282">
        <v>7.66</v>
      </c>
      <c r="Q282">
        <v>10.6</v>
      </c>
      <c r="R282">
        <v>2</v>
      </c>
      <c r="S282">
        <v>2.86</v>
      </c>
      <c r="T282">
        <v>0</v>
      </c>
      <c r="U282" t="s">
        <v>22</v>
      </c>
      <c r="V282" t="e">
        <f>IF(#REF! = "yes", 1, 0)</f>
        <v>#REF!</v>
      </c>
      <c r="W282" t="e">
        <f>IF(#REF! &lt;= 1, "0-1 Calls", IF(#REF! &lt;= 3, "2-3 Calls", IF(#REF! &lt;=5, "4-5 Calls", "6+ Calls")))</f>
        <v>#REF!</v>
      </c>
      <c r="X282" t="e">
        <f>IF(#REF! &lt;= 50, "0-50", IF(#REF! &lt;=100, "51-100", IF(#REF! &lt;= 150, "101-150", "151+")))</f>
        <v>#REF!</v>
      </c>
      <c r="Y282" t="e">
        <f>IF(#REF! &lt;= 3, "Low Charges", "High Charges")</f>
        <v>#REF!</v>
      </c>
      <c r="Z282" t="e">
        <f>IF(#REF!&lt;=80,"Low Calls",
IF(#REF!&lt;=120,"Medium Calls","High Calls"))</f>
        <v>#REF!</v>
      </c>
      <c r="AA282" t="e">
        <f>IF(#REF!&lt;=15,"Low Charges",
IF(#REF!&lt;=20,"Medium Charges","High Charges"))</f>
        <v>#REF!</v>
      </c>
      <c r="AB282" t="e">
        <f>IF(AND(#REF!&gt;180, #REF!&gt;200), "Heavy Doemstic User", IF(#REF!&gt;10, "Interntional User", IF(AND(#REF!&lt;180, #REF!&lt;200,#REF!&lt;200), "Light User", "Balanced User")))</f>
        <v>#REF!</v>
      </c>
      <c r="AC282" t="e">
        <f>IF(#REF! = 0, "No Usage", IF(#REF! &lt;= 20, "Low Usage", IF(#REF! &lt;= 40, "Medium Usgae", "High Usage")))</f>
        <v>#REF!</v>
      </c>
      <c r="AD282" t="e">
        <f>IF(#REF!&lt;=150,"Low Usage", IF(#REF!&lt;=200,"Medium Usage", IF(#REF!&lt;=250,"High Usage","Very High Usage")))</f>
        <v>#REF!</v>
      </c>
      <c r="AE282" t="e">
        <f>IF(#REF!&lt;=5,"Low Calls", IF(#REF!&lt;=10, "Medium Calls", "High Calls"))</f>
        <v>#REF!</v>
      </c>
      <c r="AF282" t="e">
        <f xml:space="preserve">
IF(#REF!&gt;=4,4,0)+
IF(#REF!="yes",3,0)+
IF(#REF!="High Charges",3,0)+
IF(#REF!&gt;250,4,0)+
IF(#REF!="no",1,0)+
IF(#REF!="Heavy Domestic User",2,0)</f>
        <v>#REF!</v>
      </c>
      <c r="AG282" t="e">
        <f>IF(#REF!&gt;=10,"High Risk", IF(#REF!&gt;=5,"Medium Risk","Low Risk"))</f>
        <v>#REF!</v>
      </c>
      <c r="AH282" t="e">
        <f>#REF! + #REF! + #REF! + #REF!</f>
        <v>#REF!</v>
      </c>
    </row>
    <row r="283" spans="1:34" x14ac:dyDescent="0.35">
      <c r="A283">
        <v>282</v>
      </c>
      <c r="B283" t="s">
        <v>59</v>
      </c>
      <c r="C283">
        <v>55</v>
      </c>
      <c r="D283" t="s">
        <v>21</v>
      </c>
      <c r="E283" t="s">
        <v>22</v>
      </c>
      <c r="F283" t="s">
        <v>22</v>
      </c>
      <c r="G283">
        <v>0</v>
      </c>
      <c r="H283">
        <v>194.1</v>
      </c>
      <c r="I283">
        <v>121</v>
      </c>
      <c r="J283">
        <v>33</v>
      </c>
      <c r="K283">
        <v>176.6</v>
      </c>
      <c r="L283">
        <v>110</v>
      </c>
      <c r="M283">
        <v>15.01</v>
      </c>
      <c r="N283">
        <v>302.8</v>
      </c>
      <c r="O283">
        <v>136</v>
      </c>
      <c r="P283">
        <v>13.63</v>
      </c>
      <c r="Q283">
        <v>7</v>
      </c>
      <c r="R283">
        <v>7</v>
      </c>
      <c r="S283">
        <v>1.89</v>
      </c>
      <c r="T283">
        <v>2</v>
      </c>
      <c r="U283" t="s">
        <v>22</v>
      </c>
      <c r="V283" t="e">
        <f>IF(#REF! = "yes", 1, 0)</f>
        <v>#REF!</v>
      </c>
      <c r="W283" t="e">
        <f>IF(#REF! &lt;= 1, "0-1 Calls", IF(#REF! &lt;= 3, "2-3 Calls", IF(#REF! &lt;=5, "4-5 Calls", "6+ Calls")))</f>
        <v>#REF!</v>
      </c>
      <c r="X283" t="e">
        <f>IF(#REF! &lt;= 50, "0-50", IF(#REF! &lt;=100, "51-100", IF(#REF! &lt;= 150, "101-150", "151+")))</f>
        <v>#REF!</v>
      </c>
      <c r="Y283" t="e">
        <f>IF(#REF! &lt;= 3, "Low Charges", "High Charges")</f>
        <v>#REF!</v>
      </c>
      <c r="Z283" t="e">
        <f>IF(#REF!&lt;=80,"Low Calls",
IF(#REF!&lt;=120,"Medium Calls","High Calls"))</f>
        <v>#REF!</v>
      </c>
      <c r="AA283" t="e">
        <f>IF(#REF!&lt;=15,"Low Charges",
IF(#REF!&lt;=20,"Medium Charges","High Charges"))</f>
        <v>#REF!</v>
      </c>
      <c r="AB283" t="e">
        <f>IF(AND(#REF!&gt;180, #REF!&gt;200), "Heavy Doemstic User", IF(#REF!&gt;10, "Interntional User", IF(AND(#REF!&lt;180, #REF!&lt;200,#REF!&lt;200), "Light User", "Balanced User")))</f>
        <v>#REF!</v>
      </c>
      <c r="AC283" t="e">
        <f>IF(#REF! = 0, "No Usage", IF(#REF! &lt;= 20, "Low Usage", IF(#REF! &lt;= 40, "Medium Usgae", "High Usage")))</f>
        <v>#REF!</v>
      </c>
      <c r="AD283" t="e">
        <f>IF(#REF!&lt;=150,"Low Usage", IF(#REF!&lt;=200,"Medium Usage", IF(#REF!&lt;=250,"High Usage","Very High Usage")))</f>
        <v>#REF!</v>
      </c>
      <c r="AE283" t="e">
        <f>IF(#REF!&lt;=5,"Low Calls", IF(#REF!&lt;=10, "Medium Calls", "High Calls"))</f>
        <v>#REF!</v>
      </c>
      <c r="AF283" t="e">
        <f xml:space="preserve">
IF(#REF!&gt;=4,4,0)+
IF(#REF!="yes",3,0)+
IF(#REF!="High Charges",3,0)+
IF(#REF!&gt;250,4,0)+
IF(#REF!="no",1,0)+
IF(#REF!="Heavy Domestic User",2,0)</f>
        <v>#REF!</v>
      </c>
      <c r="AG283" t="e">
        <f>IF(#REF!&gt;=10,"High Risk", IF(#REF!&gt;=5,"Medium Risk","Low Risk"))</f>
        <v>#REF!</v>
      </c>
      <c r="AH283" t="e">
        <f>#REF! + #REF! + #REF! + #REF!</f>
        <v>#REF!</v>
      </c>
    </row>
    <row r="284" spans="1:34" x14ac:dyDescent="0.35">
      <c r="A284">
        <v>283</v>
      </c>
      <c r="B284" t="s">
        <v>47</v>
      </c>
      <c r="C284">
        <v>78</v>
      </c>
      <c r="D284" t="s">
        <v>25</v>
      </c>
      <c r="E284" t="s">
        <v>22</v>
      </c>
      <c r="F284" t="s">
        <v>22</v>
      </c>
      <c r="G284">
        <v>0</v>
      </c>
      <c r="H284">
        <v>225.1</v>
      </c>
      <c r="I284">
        <v>67</v>
      </c>
      <c r="J284">
        <v>38.270000000000003</v>
      </c>
      <c r="K284">
        <v>199.2</v>
      </c>
      <c r="L284">
        <v>127</v>
      </c>
      <c r="M284">
        <v>16.93</v>
      </c>
      <c r="N284">
        <v>175.5</v>
      </c>
      <c r="O284">
        <v>102</v>
      </c>
      <c r="P284">
        <v>7.9</v>
      </c>
      <c r="Q284">
        <v>14.6</v>
      </c>
      <c r="R284">
        <v>2</v>
      </c>
      <c r="S284">
        <v>3.94</v>
      </c>
      <c r="T284">
        <v>0</v>
      </c>
      <c r="U284" t="s">
        <v>22</v>
      </c>
      <c r="V284" t="e">
        <f>IF(#REF! = "yes", 1, 0)</f>
        <v>#REF!</v>
      </c>
      <c r="W284" t="e">
        <f>IF(#REF! &lt;= 1, "0-1 Calls", IF(#REF! &lt;= 3, "2-3 Calls", IF(#REF! &lt;=5, "4-5 Calls", "6+ Calls")))</f>
        <v>#REF!</v>
      </c>
      <c r="X284" t="e">
        <f>IF(#REF! &lt;= 50, "0-50", IF(#REF! &lt;=100, "51-100", IF(#REF! &lt;= 150, "101-150", "151+")))</f>
        <v>#REF!</v>
      </c>
      <c r="Y284" t="e">
        <f>IF(#REF! &lt;= 3, "Low Charges", "High Charges")</f>
        <v>#REF!</v>
      </c>
      <c r="Z284" t="e">
        <f>IF(#REF!&lt;=80,"Low Calls",
IF(#REF!&lt;=120,"Medium Calls","High Calls"))</f>
        <v>#REF!</v>
      </c>
      <c r="AA284" t="e">
        <f>IF(#REF!&lt;=15,"Low Charges",
IF(#REF!&lt;=20,"Medium Charges","High Charges"))</f>
        <v>#REF!</v>
      </c>
      <c r="AB284" t="e">
        <f>IF(AND(#REF!&gt;180, #REF!&gt;200), "Heavy Doemstic User", IF(#REF!&gt;10, "Interntional User", IF(AND(#REF!&lt;180, #REF!&lt;200,#REF!&lt;200), "Light User", "Balanced User")))</f>
        <v>#REF!</v>
      </c>
      <c r="AC284" t="e">
        <f>IF(#REF! = 0, "No Usage", IF(#REF! &lt;= 20, "Low Usage", IF(#REF! &lt;= 40, "Medium Usgae", "High Usage")))</f>
        <v>#REF!</v>
      </c>
      <c r="AD284" t="e">
        <f>IF(#REF!&lt;=150,"Low Usage", IF(#REF!&lt;=200,"Medium Usage", IF(#REF!&lt;=250,"High Usage","Very High Usage")))</f>
        <v>#REF!</v>
      </c>
      <c r="AE284" t="e">
        <f>IF(#REF!&lt;=5,"Low Calls", IF(#REF!&lt;=10, "Medium Calls", "High Calls"))</f>
        <v>#REF!</v>
      </c>
      <c r="AF284" t="e">
        <f xml:space="preserve">
IF(#REF!&gt;=4,4,0)+
IF(#REF!="yes",3,0)+
IF(#REF!="High Charges",3,0)+
IF(#REF!&gt;250,4,0)+
IF(#REF!="no",1,0)+
IF(#REF!="Heavy Domestic User",2,0)</f>
        <v>#REF!</v>
      </c>
      <c r="AG284" t="e">
        <f>IF(#REF!&gt;=10,"High Risk", IF(#REF!&gt;=5,"Medium Risk","Low Risk"))</f>
        <v>#REF!</v>
      </c>
      <c r="AH284" t="e">
        <f>#REF! + #REF! + #REF! + #REF!</f>
        <v>#REF!</v>
      </c>
    </row>
    <row r="285" spans="1:34" x14ac:dyDescent="0.35">
      <c r="A285">
        <v>284</v>
      </c>
      <c r="B285" t="s">
        <v>48</v>
      </c>
      <c r="C285">
        <v>89</v>
      </c>
      <c r="D285" t="s">
        <v>21</v>
      </c>
      <c r="E285" t="s">
        <v>22</v>
      </c>
      <c r="F285" t="s">
        <v>22</v>
      </c>
      <c r="G285">
        <v>0</v>
      </c>
      <c r="H285">
        <v>213</v>
      </c>
      <c r="I285">
        <v>63</v>
      </c>
      <c r="J285">
        <v>36.21</v>
      </c>
      <c r="K285">
        <v>176.6</v>
      </c>
      <c r="L285">
        <v>71</v>
      </c>
      <c r="M285">
        <v>15.01</v>
      </c>
      <c r="N285">
        <v>262.60000000000002</v>
      </c>
      <c r="O285">
        <v>126</v>
      </c>
      <c r="P285">
        <v>11.82</v>
      </c>
      <c r="Q285">
        <v>9.1</v>
      </c>
      <c r="R285">
        <v>1</v>
      </c>
      <c r="S285">
        <v>2.46</v>
      </c>
      <c r="T285">
        <v>1</v>
      </c>
      <c r="U285" t="s">
        <v>23</v>
      </c>
      <c r="V285" t="e">
        <f>IF(#REF! = "yes", 1, 0)</f>
        <v>#REF!</v>
      </c>
      <c r="W285" t="e">
        <f>IF(#REF! &lt;= 1, "0-1 Calls", IF(#REF! &lt;= 3, "2-3 Calls", IF(#REF! &lt;=5, "4-5 Calls", "6+ Calls")))</f>
        <v>#REF!</v>
      </c>
      <c r="X285" t="e">
        <f>IF(#REF! &lt;= 50, "0-50", IF(#REF! &lt;=100, "51-100", IF(#REF! &lt;= 150, "101-150", "151+")))</f>
        <v>#REF!</v>
      </c>
      <c r="Y285" t="e">
        <f>IF(#REF! &lt;= 3, "Low Charges", "High Charges")</f>
        <v>#REF!</v>
      </c>
      <c r="Z285" t="e">
        <f>IF(#REF!&lt;=80,"Low Calls",
IF(#REF!&lt;=120,"Medium Calls","High Calls"))</f>
        <v>#REF!</v>
      </c>
      <c r="AA285" t="e">
        <f>IF(#REF!&lt;=15,"Low Charges",
IF(#REF!&lt;=20,"Medium Charges","High Charges"))</f>
        <v>#REF!</v>
      </c>
      <c r="AB285" t="e">
        <f>IF(AND(#REF!&gt;180, #REF!&gt;200), "Heavy Doemstic User", IF(#REF!&gt;10, "Interntional User", IF(AND(#REF!&lt;180, #REF!&lt;200,#REF!&lt;200), "Light User", "Balanced User")))</f>
        <v>#REF!</v>
      </c>
      <c r="AC285" t="e">
        <f>IF(#REF! = 0, "No Usage", IF(#REF! &lt;= 20, "Low Usage", IF(#REF! &lt;= 40, "Medium Usgae", "High Usage")))</f>
        <v>#REF!</v>
      </c>
      <c r="AD285" t="e">
        <f>IF(#REF!&lt;=150,"Low Usage", IF(#REF!&lt;=200,"Medium Usage", IF(#REF!&lt;=250,"High Usage","Very High Usage")))</f>
        <v>#REF!</v>
      </c>
      <c r="AE285" t="e">
        <f>IF(#REF!&lt;=5,"Low Calls", IF(#REF!&lt;=10, "Medium Calls", "High Calls"))</f>
        <v>#REF!</v>
      </c>
      <c r="AF285" t="e">
        <f xml:space="preserve">
IF(#REF!&gt;=4,4,0)+
IF(#REF!="yes",3,0)+
IF(#REF!="High Charges",3,0)+
IF(#REF!&gt;250,4,0)+
IF(#REF!="no",1,0)+
IF(#REF!="Heavy Domestic User",2,0)</f>
        <v>#REF!</v>
      </c>
      <c r="AG285" t="e">
        <f>IF(#REF!&gt;=10,"High Risk", IF(#REF!&gt;=5,"Medium Risk","Low Risk"))</f>
        <v>#REF!</v>
      </c>
      <c r="AH285" t="e">
        <f>#REF! + #REF! + #REF! + #REF!</f>
        <v>#REF!</v>
      </c>
    </row>
    <row r="286" spans="1:34" x14ac:dyDescent="0.35">
      <c r="A286">
        <v>285</v>
      </c>
      <c r="B286" t="s">
        <v>72</v>
      </c>
      <c r="C286">
        <v>44</v>
      </c>
      <c r="D286" t="s">
        <v>21</v>
      </c>
      <c r="E286" t="s">
        <v>22</v>
      </c>
      <c r="F286" t="s">
        <v>23</v>
      </c>
      <c r="G286">
        <v>34</v>
      </c>
      <c r="H286">
        <v>221.8</v>
      </c>
      <c r="I286">
        <v>105</v>
      </c>
      <c r="J286">
        <v>37.71</v>
      </c>
      <c r="K286">
        <v>161.69999999999999</v>
      </c>
      <c r="L286">
        <v>85</v>
      </c>
      <c r="M286">
        <v>13.74</v>
      </c>
      <c r="N286">
        <v>227.7</v>
      </c>
      <c r="O286">
        <v>62</v>
      </c>
      <c r="P286">
        <v>10.25</v>
      </c>
      <c r="Q286">
        <v>14</v>
      </c>
      <c r="R286">
        <v>7</v>
      </c>
      <c r="S286">
        <v>3.78</v>
      </c>
      <c r="T286">
        <v>0</v>
      </c>
      <c r="U286" t="s">
        <v>22</v>
      </c>
      <c r="V286" t="e">
        <f>IF(#REF! = "yes", 1, 0)</f>
        <v>#REF!</v>
      </c>
      <c r="W286" t="e">
        <f>IF(#REF! &lt;= 1, "0-1 Calls", IF(#REF! &lt;= 3, "2-3 Calls", IF(#REF! &lt;=5, "4-5 Calls", "6+ Calls")))</f>
        <v>#REF!</v>
      </c>
      <c r="X286" t="e">
        <f>IF(#REF! &lt;= 50, "0-50", IF(#REF! &lt;=100, "51-100", IF(#REF! &lt;= 150, "101-150", "151+")))</f>
        <v>#REF!</v>
      </c>
      <c r="Y286" t="e">
        <f>IF(#REF! &lt;= 3, "Low Charges", "High Charges")</f>
        <v>#REF!</v>
      </c>
      <c r="Z286" t="e">
        <f>IF(#REF!&lt;=80,"Low Calls",
IF(#REF!&lt;=120,"Medium Calls","High Calls"))</f>
        <v>#REF!</v>
      </c>
      <c r="AA286" t="e">
        <f>IF(#REF!&lt;=15,"Low Charges",
IF(#REF!&lt;=20,"Medium Charges","High Charges"))</f>
        <v>#REF!</v>
      </c>
      <c r="AB286" t="e">
        <f>IF(AND(#REF!&gt;180, #REF!&gt;200), "Heavy Doemstic User", IF(#REF!&gt;10, "Interntional User", IF(AND(#REF!&lt;180, #REF!&lt;200,#REF!&lt;200), "Light User", "Balanced User")))</f>
        <v>#REF!</v>
      </c>
      <c r="AC286" t="e">
        <f>IF(#REF! = 0, "No Usage", IF(#REF! &lt;= 20, "Low Usage", IF(#REF! &lt;= 40, "Medium Usgae", "High Usage")))</f>
        <v>#REF!</v>
      </c>
      <c r="AD286" t="e">
        <f>IF(#REF!&lt;=150,"Low Usage", IF(#REF!&lt;=200,"Medium Usage", IF(#REF!&lt;=250,"High Usage","Very High Usage")))</f>
        <v>#REF!</v>
      </c>
      <c r="AE286" t="e">
        <f>IF(#REF!&lt;=5,"Low Calls", IF(#REF!&lt;=10, "Medium Calls", "High Calls"))</f>
        <v>#REF!</v>
      </c>
      <c r="AF286" t="e">
        <f xml:space="preserve">
IF(#REF!&gt;=4,4,0)+
IF(#REF!="yes",3,0)+
IF(#REF!="High Charges",3,0)+
IF(#REF!&gt;250,4,0)+
IF(#REF!="no",1,0)+
IF(#REF!="Heavy Domestic User",2,0)</f>
        <v>#REF!</v>
      </c>
      <c r="AG286" t="e">
        <f>IF(#REF!&gt;=10,"High Risk", IF(#REF!&gt;=5,"Medium Risk","Low Risk"))</f>
        <v>#REF!</v>
      </c>
      <c r="AH286" t="e">
        <f>#REF! + #REF! + #REF! + #REF!</f>
        <v>#REF!</v>
      </c>
    </row>
    <row r="287" spans="1:34" x14ac:dyDescent="0.35">
      <c r="A287">
        <v>286</v>
      </c>
      <c r="B287" t="s">
        <v>32</v>
      </c>
      <c r="C287">
        <v>98</v>
      </c>
      <c r="D287" t="s">
        <v>25</v>
      </c>
      <c r="E287" t="s">
        <v>22</v>
      </c>
      <c r="F287" t="s">
        <v>23</v>
      </c>
      <c r="G287">
        <v>21</v>
      </c>
      <c r="H287">
        <v>64.599999999999994</v>
      </c>
      <c r="I287">
        <v>98</v>
      </c>
      <c r="J287">
        <v>10.98</v>
      </c>
      <c r="K287">
        <v>176.1</v>
      </c>
      <c r="L287">
        <v>86</v>
      </c>
      <c r="M287">
        <v>14.97</v>
      </c>
      <c r="N287">
        <v>244.8</v>
      </c>
      <c r="O287">
        <v>84</v>
      </c>
      <c r="P287">
        <v>11.02</v>
      </c>
      <c r="Q287">
        <v>0</v>
      </c>
      <c r="R287">
        <v>0</v>
      </c>
      <c r="S287">
        <v>0</v>
      </c>
      <c r="T287">
        <v>2</v>
      </c>
      <c r="U287" t="s">
        <v>22</v>
      </c>
      <c r="V287" t="e">
        <f>IF(#REF! = "yes", 1, 0)</f>
        <v>#REF!</v>
      </c>
      <c r="W287" t="e">
        <f>IF(#REF! &lt;= 1, "0-1 Calls", IF(#REF! &lt;= 3, "2-3 Calls", IF(#REF! &lt;=5, "4-5 Calls", "6+ Calls")))</f>
        <v>#REF!</v>
      </c>
      <c r="X287" t="e">
        <f>IF(#REF! &lt;= 50, "0-50", IF(#REF! &lt;=100, "51-100", IF(#REF! &lt;= 150, "101-150", "151+")))</f>
        <v>#REF!</v>
      </c>
      <c r="Y287" t="e">
        <f>IF(#REF! &lt;= 3, "Low Charges", "High Charges")</f>
        <v>#REF!</v>
      </c>
      <c r="Z287" t="e">
        <f>IF(#REF!&lt;=80,"Low Calls",
IF(#REF!&lt;=120,"Medium Calls","High Calls"))</f>
        <v>#REF!</v>
      </c>
      <c r="AA287" t="e">
        <f>IF(#REF!&lt;=15,"Low Charges",
IF(#REF!&lt;=20,"Medium Charges","High Charges"))</f>
        <v>#REF!</v>
      </c>
      <c r="AB287" t="e">
        <f>IF(AND(#REF!&gt;180, #REF!&gt;200), "Heavy Doemstic User", IF(#REF!&gt;10, "Interntional User", IF(AND(#REF!&lt;180, #REF!&lt;200,#REF!&lt;200), "Light User", "Balanced User")))</f>
        <v>#REF!</v>
      </c>
      <c r="AC287" t="e">
        <f>IF(#REF! = 0, "No Usage", IF(#REF! &lt;= 20, "Low Usage", IF(#REF! &lt;= 40, "Medium Usgae", "High Usage")))</f>
        <v>#REF!</v>
      </c>
      <c r="AD287" t="e">
        <f>IF(#REF!&lt;=150,"Low Usage", IF(#REF!&lt;=200,"Medium Usage", IF(#REF!&lt;=250,"High Usage","Very High Usage")))</f>
        <v>#REF!</v>
      </c>
      <c r="AE287" t="e">
        <f>IF(#REF!&lt;=5,"Low Calls", IF(#REF!&lt;=10, "Medium Calls", "High Calls"))</f>
        <v>#REF!</v>
      </c>
      <c r="AF287" t="e">
        <f xml:space="preserve">
IF(#REF!&gt;=4,4,0)+
IF(#REF!="yes",3,0)+
IF(#REF!="High Charges",3,0)+
IF(#REF!&gt;250,4,0)+
IF(#REF!="no",1,0)+
IF(#REF!="Heavy Domestic User",2,0)</f>
        <v>#REF!</v>
      </c>
      <c r="AG287" t="e">
        <f>IF(#REF!&gt;=10,"High Risk", IF(#REF!&gt;=5,"Medium Risk","Low Risk"))</f>
        <v>#REF!</v>
      </c>
      <c r="AH287" t="e">
        <f>#REF! + #REF! + #REF! + #REF!</f>
        <v>#REF!</v>
      </c>
    </row>
    <row r="288" spans="1:34" x14ac:dyDescent="0.35">
      <c r="A288">
        <v>287</v>
      </c>
      <c r="B288" t="s">
        <v>43</v>
      </c>
      <c r="C288">
        <v>64</v>
      </c>
      <c r="D288" t="s">
        <v>28</v>
      </c>
      <c r="E288" t="s">
        <v>22</v>
      </c>
      <c r="F288" t="s">
        <v>23</v>
      </c>
      <c r="G288">
        <v>37</v>
      </c>
      <c r="H288">
        <v>154.6</v>
      </c>
      <c r="I288">
        <v>92</v>
      </c>
      <c r="J288">
        <v>26.28</v>
      </c>
      <c r="K288">
        <v>83.4</v>
      </c>
      <c r="L288">
        <v>103</v>
      </c>
      <c r="M288">
        <v>7.09</v>
      </c>
      <c r="N288">
        <v>165.9</v>
      </c>
      <c r="O288">
        <v>99</v>
      </c>
      <c r="P288">
        <v>7.47</v>
      </c>
      <c r="Q288">
        <v>13.3</v>
      </c>
      <c r="R288">
        <v>3</v>
      </c>
      <c r="S288">
        <v>3.59</v>
      </c>
      <c r="T288">
        <v>1</v>
      </c>
      <c r="U288" t="s">
        <v>22</v>
      </c>
      <c r="V288" t="e">
        <f>IF(#REF! = "yes", 1, 0)</f>
        <v>#REF!</v>
      </c>
      <c r="W288" t="e">
        <f>IF(#REF! &lt;= 1, "0-1 Calls", IF(#REF! &lt;= 3, "2-3 Calls", IF(#REF! &lt;=5, "4-5 Calls", "6+ Calls")))</f>
        <v>#REF!</v>
      </c>
      <c r="X288" t="e">
        <f>IF(#REF! &lt;= 50, "0-50", IF(#REF! &lt;=100, "51-100", IF(#REF! &lt;= 150, "101-150", "151+")))</f>
        <v>#REF!</v>
      </c>
      <c r="Y288" t="e">
        <f>IF(#REF! &lt;= 3, "Low Charges", "High Charges")</f>
        <v>#REF!</v>
      </c>
      <c r="Z288" t="e">
        <f>IF(#REF!&lt;=80,"Low Calls",
IF(#REF!&lt;=120,"Medium Calls","High Calls"))</f>
        <v>#REF!</v>
      </c>
      <c r="AA288" t="e">
        <f>IF(#REF!&lt;=15,"Low Charges",
IF(#REF!&lt;=20,"Medium Charges","High Charges"))</f>
        <v>#REF!</v>
      </c>
      <c r="AB288" t="e">
        <f>IF(AND(#REF!&gt;180, #REF!&gt;200), "Heavy Doemstic User", IF(#REF!&gt;10, "Interntional User", IF(AND(#REF!&lt;180, #REF!&lt;200,#REF!&lt;200), "Light User", "Balanced User")))</f>
        <v>#REF!</v>
      </c>
      <c r="AC288" t="e">
        <f>IF(#REF! = 0, "No Usage", IF(#REF! &lt;= 20, "Low Usage", IF(#REF! &lt;= 40, "Medium Usgae", "High Usage")))</f>
        <v>#REF!</v>
      </c>
      <c r="AD288" t="e">
        <f>IF(#REF!&lt;=150,"Low Usage", IF(#REF!&lt;=200,"Medium Usage", IF(#REF!&lt;=250,"High Usage","Very High Usage")))</f>
        <v>#REF!</v>
      </c>
      <c r="AE288" t="e">
        <f>IF(#REF!&lt;=5,"Low Calls", IF(#REF!&lt;=10, "Medium Calls", "High Calls"))</f>
        <v>#REF!</v>
      </c>
      <c r="AF288" t="e">
        <f xml:space="preserve">
IF(#REF!&gt;=4,4,0)+
IF(#REF!="yes",3,0)+
IF(#REF!="High Charges",3,0)+
IF(#REF!&gt;250,4,0)+
IF(#REF!="no",1,0)+
IF(#REF!="Heavy Domestic User",2,0)</f>
        <v>#REF!</v>
      </c>
      <c r="AG288" t="e">
        <f>IF(#REF!&gt;=10,"High Risk", IF(#REF!&gt;=5,"Medium Risk","Low Risk"))</f>
        <v>#REF!</v>
      </c>
      <c r="AH288" t="e">
        <f>#REF! + #REF! + #REF! + #REF!</f>
        <v>#REF!</v>
      </c>
    </row>
    <row r="289" spans="1:34" x14ac:dyDescent="0.35">
      <c r="A289">
        <v>288</v>
      </c>
      <c r="B289" t="s">
        <v>38</v>
      </c>
      <c r="C289">
        <v>141</v>
      </c>
      <c r="D289" t="s">
        <v>21</v>
      </c>
      <c r="E289" t="s">
        <v>22</v>
      </c>
      <c r="F289" t="s">
        <v>22</v>
      </c>
      <c r="G289">
        <v>0</v>
      </c>
      <c r="H289">
        <v>260.2</v>
      </c>
      <c r="I289">
        <v>131</v>
      </c>
      <c r="J289">
        <v>44.23</v>
      </c>
      <c r="K289">
        <v>179.2</v>
      </c>
      <c r="L289">
        <v>120</v>
      </c>
      <c r="M289">
        <v>15.23</v>
      </c>
      <c r="N289">
        <v>135</v>
      </c>
      <c r="O289">
        <v>119</v>
      </c>
      <c r="P289">
        <v>6.08</v>
      </c>
      <c r="Q289">
        <v>7.2</v>
      </c>
      <c r="R289">
        <v>8</v>
      </c>
      <c r="S289">
        <v>1.94</v>
      </c>
      <c r="T289">
        <v>3</v>
      </c>
      <c r="U289" t="s">
        <v>22</v>
      </c>
      <c r="V289" t="e">
        <f>IF(#REF! = "yes", 1, 0)</f>
        <v>#REF!</v>
      </c>
      <c r="W289" t="e">
        <f>IF(#REF! &lt;= 1, "0-1 Calls", IF(#REF! &lt;= 3, "2-3 Calls", IF(#REF! &lt;=5, "4-5 Calls", "6+ Calls")))</f>
        <v>#REF!</v>
      </c>
      <c r="X289" t="e">
        <f>IF(#REF! &lt;= 50, "0-50", IF(#REF! &lt;=100, "51-100", IF(#REF! &lt;= 150, "101-150", "151+")))</f>
        <v>#REF!</v>
      </c>
      <c r="Y289" t="e">
        <f>IF(#REF! &lt;= 3, "Low Charges", "High Charges")</f>
        <v>#REF!</v>
      </c>
      <c r="Z289" t="e">
        <f>IF(#REF!&lt;=80,"Low Calls",
IF(#REF!&lt;=120,"Medium Calls","High Calls"))</f>
        <v>#REF!</v>
      </c>
      <c r="AA289" t="e">
        <f>IF(#REF!&lt;=15,"Low Charges",
IF(#REF!&lt;=20,"Medium Charges","High Charges"))</f>
        <v>#REF!</v>
      </c>
      <c r="AB289" t="e">
        <f>IF(AND(#REF!&gt;180, #REF!&gt;200), "Heavy Doemstic User", IF(#REF!&gt;10, "Interntional User", IF(AND(#REF!&lt;180, #REF!&lt;200,#REF!&lt;200), "Light User", "Balanced User")))</f>
        <v>#REF!</v>
      </c>
      <c r="AC289" t="e">
        <f>IF(#REF! = 0, "No Usage", IF(#REF! &lt;= 20, "Low Usage", IF(#REF! &lt;= 40, "Medium Usgae", "High Usage")))</f>
        <v>#REF!</v>
      </c>
      <c r="AD289" t="e">
        <f>IF(#REF!&lt;=150,"Low Usage", IF(#REF!&lt;=200,"Medium Usage", IF(#REF!&lt;=250,"High Usage","Very High Usage")))</f>
        <v>#REF!</v>
      </c>
      <c r="AE289" t="e">
        <f>IF(#REF!&lt;=5,"Low Calls", IF(#REF!&lt;=10, "Medium Calls", "High Calls"))</f>
        <v>#REF!</v>
      </c>
      <c r="AF289" t="e">
        <f xml:space="preserve">
IF(#REF!&gt;=4,4,0)+
IF(#REF!="yes",3,0)+
IF(#REF!="High Charges",3,0)+
IF(#REF!&gt;250,4,0)+
IF(#REF!="no",1,0)+
IF(#REF!="Heavy Domestic User",2,0)</f>
        <v>#REF!</v>
      </c>
      <c r="AG289" t="e">
        <f>IF(#REF!&gt;=10,"High Risk", IF(#REF!&gt;=5,"Medium Risk","Low Risk"))</f>
        <v>#REF!</v>
      </c>
      <c r="AH289" t="e">
        <f>#REF! + #REF! + #REF! + #REF!</f>
        <v>#REF!</v>
      </c>
    </row>
    <row r="290" spans="1:34" x14ac:dyDescent="0.35">
      <c r="A290">
        <v>289</v>
      </c>
      <c r="B290" t="s">
        <v>51</v>
      </c>
      <c r="C290">
        <v>81</v>
      </c>
      <c r="D290" t="s">
        <v>21</v>
      </c>
      <c r="E290" t="s">
        <v>22</v>
      </c>
      <c r="F290" t="s">
        <v>23</v>
      </c>
      <c r="G290">
        <v>33</v>
      </c>
      <c r="H290">
        <v>161.6</v>
      </c>
      <c r="I290">
        <v>117</v>
      </c>
      <c r="J290">
        <v>27.47</v>
      </c>
      <c r="K290">
        <v>123</v>
      </c>
      <c r="L290">
        <v>90</v>
      </c>
      <c r="M290">
        <v>10.46</v>
      </c>
      <c r="N290">
        <v>261.3</v>
      </c>
      <c r="O290">
        <v>101</v>
      </c>
      <c r="P290">
        <v>11.76</v>
      </c>
      <c r="Q290">
        <v>12.2</v>
      </c>
      <c r="R290">
        <v>5</v>
      </c>
      <c r="S290">
        <v>3.29</v>
      </c>
      <c r="T290">
        <v>1</v>
      </c>
      <c r="U290" t="s">
        <v>22</v>
      </c>
      <c r="V290" t="e">
        <f>IF(#REF! = "yes", 1, 0)</f>
        <v>#REF!</v>
      </c>
      <c r="W290" t="e">
        <f>IF(#REF! &lt;= 1, "0-1 Calls", IF(#REF! &lt;= 3, "2-3 Calls", IF(#REF! &lt;=5, "4-5 Calls", "6+ Calls")))</f>
        <v>#REF!</v>
      </c>
      <c r="X290" t="e">
        <f>IF(#REF! &lt;= 50, "0-50", IF(#REF! &lt;=100, "51-100", IF(#REF! &lt;= 150, "101-150", "151+")))</f>
        <v>#REF!</v>
      </c>
      <c r="Y290" t="e">
        <f>IF(#REF! &lt;= 3, "Low Charges", "High Charges")</f>
        <v>#REF!</v>
      </c>
      <c r="Z290" t="e">
        <f>IF(#REF!&lt;=80,"Low Calls",
IF(#REF!&lt;=120,"Medium Calls","High Calls"))</f>
        <v>#REF!</v>
      </c>
      <c r="AA290" t="e">
        <f>IF(#REF!&lt;=15,"Low Charges",
IF(#REF!&lt;=20,"Medium Charges","High Charges"))</f>
        <v>#REF!</v>
      </c>
      <c r="AB290" t="e">
        <f>IF(AND(#REF!&gt;180, #REF!&gt;200), "Heavy Doemstic User", IF(#REF!&gt;10, "Interntional User", IF(AND(#REF!&lt;180, #REF!&lt;200,#REF!&lt;200), "Light User", "Balanced User")))</f>
        <v>#REF!</v>
      </c>
      <c r="AC290" t="e">
        <f>IF(#REF! = 0, "No Usage", IF(#REF! &lt;= 20, "Low Usage", IF(#REF! &lt;= 40, "Medium Usgae", "High Usage")))</f>
        <v>#REF!</v>
      </c>
      <c r="AD290" t="e">
        <f>IF(#REF!&lt;=150,"Low Usage", IF(#REF!&lt;=200,"Medium Usage", IF(#REF!&lt;=250,"High Usage","Very High Usage")))</f>
        <v>#REF!</v>
      </c>
      <c r="AE290" t="e">
        <f>IF(#REF!&lt;=5,"Low Calls", IF(#REF!&lt;=10, "Medium Calls", "High Calls"))</f>
        <v>#REF!</v>
      </c>
      <c r="AF290" t="e">
        <f xml:space="preserve">
IF(#REF!&gt;=4,4,0)+
IF(#REF!="yes",3,0)+
IF(#REF!="High Charges",3,0)+
IF(#REF!&gt;250,4,0)+
IF(#REF!="no",1,0)+
IF(#REF!="Heavy Domestic User",2,0)</f>
        <v>#REF!</v>
      </c>
      <c r="AG290" t="e">
        <f>IF(#REF!&gt;=10,"High Risk", IF(#REF!&gt;=5,"Medium Risk","Low Risk"))</f>
        <v>#REF!</v>
      </c>
      <c r="AH290" t="e">
        <f>#REF! + #REF! + #REF! + #REF!</f>
        <v>#REF!</v>
      </c>
    </row>
    <row r="291" spans="1:34" x14ac:dyDescent="0.35">
      <c r="A291">
        <v>290</v>
      </c>
      <c r="B291" t="s">
        <v>64</v>
      </c>
      <c r="C291">
        <v>162</v>
      </c>
      <c r="D291" t="s">
        <v>28</v>
      </c>
      <c r="E291" t="s">
        <v>22</v>
      </c>
      <c r="F291" t="s">
        <v>22</v>
      </c>
      <c r="G291">
        <v>0</v>
      </c>
      <c r="H291">
        <v>220.6</v>
      </c>
      <c r="I291">
        <v>117</v>
      </c>
      <c r="J291">
        <v>37.5</v>
      </c>
      <c r="K291">
        <v>155.19999999999999</v>
      </c>
      <c r="L291">
        <v>121</v>
      </c>
      <c r="M291">
        <v>13.19</v>
      </c>
      <c r="N291">
        <v>186.7</v>
      </c>
      <c r="O291">
        <v>89</v>
      </c>
      <c r="P291">
        <v>8.4</v>
      </c>
      <c r="Q291">
        <v>10.5</v>
      </c>
      <c r="R291">
        <v>11</v>
      </c>
      <c r="S291">
        <v>2.84</v>
      </c>
      <c r="T291">
        <v>1</v>
      </c>
      <c r="U291" t="s">
        <v>22</v>
      </c>
      <c r="V291" t="e">
        <f>IF(#REF! = "yes", 1, 0)</f>
        <v>#REF!</v>
      </c>
      <c r="W291" t="e">
        <f>IF(#REF! &lt;= 1, "0-1 Calls", IF(#REF! &lt;= 3, "2-3 Calls", IF(#REF! &lt;=5, "4-5 Calls", "6+ Calls")))</f>
        <v>#REF!</v>
      </c>
      <c r="X291" t="e">
        <f>IF(#REF! &lt;= 50, "0-50", IF(#REF! &lt;=100, "51-100", IF(#REF! &lt;= 150, "101-150", "151+")))</f>
        <v>#REF!</v>
      </c>
      <c r="Y291" t="e">
        <f>IF(#REF! &lt;= 3, "Low Charges", "High Charges")</f>
        <v>#REF!</v>
      </c>
      <c r="Z291" t="e">
        <f>IF(#REF!&lt;=80,"Low Calls",
IF(#REF!&lt;=120,"Medium Calls","High Calls"))</f>
        <v>#REF!</v>
      </c>
      <c r="AA291" t="e">
        <f>IF(#REF!&lt;=15,"Low Charges",
IF(#REF!&lt;=20,"Medium Charges","High Charges"))</f>
        <v>#REF!</v>
      </c>
      <c r="AB291" t="e">
        <f>IF(AND(#REF!&gt;180, #REF!&gt;200), "Heavy Doemstic User", IF(#REF!&gt;10, "Interntional User", IF(AND(#REF!&lt;180, #REF!&lt;200,#REF!&lt;200), "Light User", "Balanced User")))</f>
        <v>#REF!</v>
      </c>
      <c r="AC291" t="e">
        <f>IF(#REF! = 0, "No Usage", IF(#REF! &lt;= 20, "Low Usage", IF(#REF! &lt;= 40, "Medium Usgae", "High Usage")))</f>
        <v>#REF!</v>
      </c>
      <c r="AD291" t="e">
        <f>IF(#REF!&lt;=150,"Low Usage", IF(#REF!&lt;=200,"Medium Usage", IF(#REF!&lt;=250,"High Usage","Very High Usage")))</f>
        <v>#REF!</v>
      </c>
      <c r="AE291" t="e">
        <f>IF(#REF!&lt;=5,"Low Calls", IF(#REF!&lt;=10, "Medium Calls", "High Calls"))</f>
        <v>#REF!</v>
      </c>
      <c r="AF291" t="e">
        <f xml:space="preserve">
IF(#REF!&gt;=4,4,0)+
IF(#REF!="yes",3,0)+
IF(#REF!="High Charges",3,0)+
IF(#REF!&gt;250,4,0)+
IF(#REF!="no",1,0)+
IF(#REF!="Heavy Domestic User",2,0)</f>
        <v>#REF!</v>
      </c>
      <c r="AG291" t="e">
        <f>IF(#REF!&gt;=10,"High Risk", IF(#REF!&gt;=5,"Medium Risk","Low Risk"))</f>
        <v>#REF!</v>
      </c>
      <c r="AH291" t="e">
        <f>#REF! + #REF! + #REF! + #REF!</f>
        <v>#REF!</v>
      </c>
    </row>
    <row r="292" spans="1:34" x14ac:dyDescent="0.35">
      <c r="A292">
        <v>291</v>
      </c>
      <c r="B292" t="s">
        <v>42</v>
      </c>
      <c r="C292">
        <v>83</v>
      </c>
      <c r="D292" t="s">
        <v>21</v>
      </c>
      <c r="E292" t="s">
        <v>22</v>
      </c>
      <c r="F292" t="s">
        <v>23</v>
      </c>
      <c r="G292">
        <v>41</v>
      </c>
      <c r="H292">
        <v>155.9</v>
      </c>
      <c r="I292">
        <v>122</v>
      </c>
      <c r="J292">
        <v>26.5</v>
      </c>
      <c r="K292">
        <v>162.30000000000001</v>
      </c>
      <c r="L292">
        <v>107</v>
      </c>
      <c r="M292">
        <v>13.8</v>
      </c>
      <c r="N292">
        <v>127.6</v>
      </c>
      <c r="O292">
        <v>105</v>
      </c>
      <c r="P292">
        <v>5.74</v>
      </c>
      <c r="Q292">
        <v>13.1</v>
      </c>
      <c r="R292">
        <v>5</v>
      </c>
      <c r="S292">
        <v>3.54</v>
      </c>
      <c r="T292">
        <v>3</v>
      </c>
      <c r="U292" t="s">
        <v>22</v>
      </c>
      <c r="V292" t="e">
        <f>IF(#REF! = "yes", 1, 0)</f>
        <v>#REF!</v>
      </c>
      <c r="W292" t="e">
        <f>IF(#REF! &lt;= 1, "0-1 Calls", IF(#REF! &lt;= 3, "2-3 Calls", IF(#REF! &lt;=5, "4-5 Calls", "6+ Calls")))</f>
        <v>#REF!</v>
      </c>
      <c r="X292" t="e">
        <f>IF(#REF! &lt;= 50, "0-50", IF(#REF! &lt;=100, "51-100", IF(#REF! &lt;= 150, "101-150", "151+")))</f>
        <v>#REF!</v>
      </c>
      <c r="Y292" t="e">
        <f>IF(#REF! &lt;= 3, "Low Charges", "High Charges")</f>
        <v>#REF!</v>
      </c>
      <c r="Z292" t="e">
        <f>IF(#REF!&lt;=80,"Low Calls",
IF(#REF!&lt;=120,"Medium Calls","High Calls"))</f>
        <v>#REF!</v>
      </c>
      <c r="AA292" t="e">
        <f>IF(#REF!&lt;=15,"Low Charges",
IF(#REF!&lt;=20,"Medium Charges","High Charges"))</f>
        <v>#REF!</v>
      </c>
      <c r="AB292" t="e">
        <f>IF(AND(#REF!&gt;180, #REF!&gt;200), "Heavy Doemstic User", IF(#REF!&gt;10, "Interntional User", IF(AND(#REF!&lt;180, #REF!&lt;200,#REF!&lt;200), "Light User", "Balanced User")))</f>
        <v>#REF!</v>
      </c>
      <c r="AC292" t="e">
        <f>IF(#REF! = 0, "No Usage", IF(#REF! &lt;= 20, "Low Usage", IF(#REF! &lt;= 40, "Medium Usgae", "High Usage")))</f>
        <v>#REF!</v>
      </c>
      <c r="AD292" t="e">
        <f>IF(#REF!&lt;=150,"Low Usage", IF(#REF!&lt;=200,"Medium Usage", IF(#REF!&lt;=250,"High Usage","Very High Usage")))</f>
        <v>#REF!</v>
      </c>
      <c r="AE292" t="e">
        <f>IF(#REF!&lt;=5,"Low Calls", IF(#REF!&lt;=10, "Medium Calls", "High Calls"))</f>
        <v>#REF!</v>
      </c>
      <c r="AF292" t="e">
        <f xml:space="preserve">
IF(#REF!&gt;=4,4,0)+
IF(#REF!="yes",3,0)+
IF(#REF!="High Charges",3,0)+
IF(#REF!&gt;250,4,0)+
IF(#REF!="no",1,0)+
IF(#REF!="Heavy Domestic User",2,0)</f>
        <v>#REF!</v>
      </c>
      <c r="AG292" t="e">
        <f>IF(#REF!&gt;=10,"High Risk", IF(#REF!&gt;=5,"Medium Risk","Low Risk"))</f>
        <v>#REF!</v>
      </c>
      <c r="AH292" t="e">
        <f>#REF! + #REF! + #REF! + #REF!</f>
        <v>#REF!</v>
      </c>
    </row>
    <row r="293" spans="1:34" x14ac:dyDescent="0.35">
      <c r="A293">
        <v>292</v>
      </c>
      <c r="B293" t="s">
        <v>47</v>
      </c>
      <c r="C293">
        <v>59</v>
      </c>
      <c r="D293" t="s">
        <v>28</v>
      </c>
      <c r="E293" t="s">
        <v>22</v>
      </c>
      <c r="F293" t="s">
        <v>22</v>
      </c>
      <c r="G293">
        <v>0</v>
      </c>
      <c r="H293">
        <v>182.5</v>
      </c>
      <c r="I293">
        <v>104</v>
      </c>
      <c r="J293">
        <v>31.03</v>
      </c>
      <c r="K293">
        <v>204.7</v>
      </c>
      <c r="L293">
        <v>95</v>
      </c>
      <c r="M293">
        <v>17.399999999999999</v>
      </c>
      <c r="N293">
        <v>229.9</v>
      </c>
      <c r="O293">
        <v>100</v>
      </c>
      <c r="P293">
        <v>10.35</v>
      </c>
      <c r="Q293">
        <v>11.3</v>
      </c>
      <c r="R293">
        <v>8</v>
      </c>
      <c r="S293">
        <v>3.05</v>
      </c>
      <c r="T293">
        <v>4</v>
      </c>
      <c r="U293" t="s">
        <v>22</v>
      </c>
      <c r="V293" t="e">
        <f>IF(#REF! = "yes", 1, 0)</f>
        <v>#REF!</v>
      </c>
      <c r="W293" t="e">
        <f>IF(#REF! &lt;= 1, "0-1 Calls", IF(#REF! &lt;= 3, "2-3 Calls", IF(#REF! &lt;=5, "4-5 Calls", "6+ Calls")))</f>
        <v>#REF!</v>
      </c>
      <c r="X293" t="e">
        <f>IF(#REF! &lt;= 50, "0-50", IF(#REF! &lt;=100, "51-100", IF(#REF! &lt;= 150, "101-150", "151+")))</f>
        <v>#REF!</v>
      </c>
      <c r="Y293" t="e">
        <f>IF(#REF! &lt;= 3, "Low Charges", "High Charges")</f>
        <v>#REF!</v>
      </c>
      <c r="Z293" t="e">
        <f>IF(#REF!&lt;=80,"Low Calls",
IF(#REF!&lt;=120,"Medium Calls","High Calls"))</f>
        <v>#REF!</v>
      </c>
      <c r="AA293" t="e">
        <f>IF(#REF!&lt;=15,"Low Charges",
IF(#REF!&lt;=20,"Medium Charges","High Charges"))</f>
        <v>#REF!</v>
      </c>
      <c r="AB293" t="e">
        <f>IF(AND(#REF!&gt;180, #REF!&gt;200), "Heavy Doemstic User", IF(#REF!&gt;10, "Interntional User", IF(AND(#REF!&lt;180, #REF!&lt;200,#REF!&lt;200), "Light User", "Balanced User")))</f>
        <v>#REF!</v>
      </c>
      <c r="AC293" t="e">
        <f>IF(#REF! = 0, "No Usage", IF(#REF! &lt;= 20, "Low Usage", IF(#REF! &lt;= 40, "Medium Usgae", "High Usage")))</f>
        <v>#REF!</v>
      </c>
      <c r="AD293" t="e">
        <f>IF(#REF!&lt;=150,"Low Usage", IF(#REF!&lt;=200,"Medium Usage", IF(#REF!&lt;=250,"High Usage","Very High Usage")))</f>
        <v>#REF!</v>
      </c>
      <c r="AE293" t="e">
        <f>IF(#REF!&lt;=5,"Low Calls", IF(#REF!&lt;=10, "Medium Calls", "High Calls"))</f>
        <v>#REF!</v>
      </c>
      <c r="AF293" t="e">
        <f xml:space="preserve">
IF(#REF!&gt;=4,4,0)+
IF(#REF!="yes",3,0)+
IF(#REF!="High Charges",3,0)+
IF(#REF!&gt;250,4,0)+
IF(#REF!="no",1,0)+
IF(#REF!="Heavy Domestic User",2,0)</f>
        <v>#REF!</v>
      </c>
      <c r="AG293" t="e">
        <f>IF(#REF!&gt;=10,"High Risk", IF(#REF!&gt;=5,"Medium Risk","Low Risk"))</f>
        <v>#REF!</v>
      </c>
      <c r="AH293" t="e">
        <f>#REF! + #REF! + #REF! + #REF!</f>
        <v>#REF!</v>
      </c>
    </row>
    <row r="294" spans="1:34" x14ac:dyDescent="0.35">
      <c r="A294">
        <v>293</v>
      </c>
      <c r="B294" t="s">
        <v>50</v>
      </c>
      <c r="C294">
        <v>179</v>
      </c>
      <c r="D294" t="s">
        <v>21</v>
      </c>
      <c r="E294" t="s">
        <v>23</v>
      </c>
      <c r="F294" t="s">
        <v>23</v>
      </c>
      <c r="G294">
        <v>38</v>
      </c>
      <c r="H294">
        <v>220.1</v>
      </c>
      <c r="I294">
        <v>78</v>
      </c>
      <c r="J294">
        <v>37.42</v>
      </c>
      <c r="K294">
        <v>234.3</v>
      </c>
      <c r="L294">
        <v>71</v>
      </c>
      <c r="M294">
        <v>19.920000000000002</v>
      </c>
      <c r="N294">
        <v>237.3</v>
      </c>
      <c r="O294">
        <v>85</v>
      </c>
      <c r="P294">
        <v>10.68</v>
      </c>
      <c r="Q294">
        <v>10.1</v>
      </c>
      <c r="R294">
        <v>4</v>
      </c>
      <c r="S294">
        <v>2.73</v>
      </c>
      <c r="T294">
        <v>4</v>
      </c>
      <c r="U294" t="s">
        <v>22</v>
      </c>
      <c r="V294" t="e">
        <f>IF(#REF! = "yes", 1, 0)</f>
        <v>#REF!</v>
      </c>
      <c r="W294" t="e">
        <f>IF(#REF! &lt;= 1, "0-1 Calls", IF(#REF! &lt;= 3, "2-3 Calls", IF(#REF! &lt;=5, "4-5 Calls", "6+ Calls")))</f>
        <v>#REF!</v>
      </c>
      <c r="X294" t="e">
        <f>IF(#REF! &lt;= 50, "0-50", IF(#REF! &lt;=100, "51-100", IF(#REF! &lt;= 150, "101-150", "151+")))</f>
        <v>#REF!</v>
      </c>
      <c r="Y294" t="e">
        <f>IF(#REF! &lt;= 3, "Low Charges", "High Charges")</f>
        <v>#REF!</v>
      </c>
      <c r="Z294" t="e">
        <f>IF(#REF!&lt;=80,"Low Calls",
IF(#REF!&lt;=120,"Medium Calls","High Calls"))</f>
        <v>#REF!</v>
      </c>
      <c r="AA294" t="e">
        <f>IF(#REF!&lt;=15,"Low Charges",
IF(#REF!&lt;=20,"Medium Charges","High Charges"))</f>
        <v>#REF!</v>
      </c>
      <c r="AB294" t="e">
        <f>IF(AND(#REF!&gt;180, #REF!&gt;200), "Heavy Doemstic User", IF(#REF!&gt;10, "Interntional User", IF(AND(#REF!&lt;180, #REF!&lt;200,#REF!&lt;200), "Light User", "Balanced User")))</f>
        <v>#REF!</v>
      </c>
      <c r="AC294" t="e">
        <f>IF(#REF! = 0, "No Usage", IF(#REF! &lt;= 20, "Low Usage", IF(#REF! &lt;= 40, "Medium Usgae", "High Usage")))</f>
        <v>#REF!</v>
      </c>
      <c r="AD294" t="e">
        <f>IF(#REF!&lt;=150,"Low Usage", IF(#REF!&lt;=200,"Medium Usage", IF(#REF!&lt;=250,"High Usage","Very High Usage")))</f>
        <v>#REF!</v>
      </c>
      <c r="AE294" t="e">
        <f>IF(#REF!&lt;=5,"Low Calls", IF(#REF!&lt;=10, "Medium Calls", "High Calls"))</f>
        <v>#REF!</v>
      </c>
      <c r="AF294" t="e">
        <f xml:space="preserve">
IF(#REF!&gt;=4,4,0)+
IF(#REF!="yes",3,0)+
IF(#REF!="High Charges",3,0)+
IF(#REF!&gt;250,4,0)+
IF(#REF!="no",1,0)+
IF(#REF!="Heavy Domestic User",2,0)</f>
        <v>#REF!</v>
      </c>
      <c r="AG294" t="e">
        <f>IF(#REF!&gt;=10,"High Risk", IF(#REF!&gt;=5,"Medium Risk","Low Risk"))</f>
        <v>#REF!</v>
      </c>
      <c r="AH294" t="e">
        <f>#REF! + #REF! + #REF! + #REF!</f>
        <v>#REF!</v>
      </c>
    </row>
    <row r="295" spans="1:34" x14ac:dyDescent="0.35">
      <c r="A295">
        <v>294</v>
      </c>
      <c r="B295" t="s">
        <v>50</v>
      </c>
      <c r="C295">
        <v>79</v>
      </c>
      <c r="D295" t="s">
        <v>25</v>
      </c>
      <c r="E295" t="s">
        <v>22</v>
      </c>
      <c r="F295" t="s">
        <v>22</v>
      </c>
      <c r="G295">
        <v>0</v>
      </c>
      <c r="H295">
        <v>152.19999999999999</v>
      </c>
      <c r="I295">
        <v>112</v>
      </c>
      <c r="J295">
        <v>25.87</v>
      </c>
      <c r="K295">
        <v>177.2</v>
      </c>
      <c r="L295">
        <v>132</v>
      </c>
      <c r="M295">
        <v>15.06</v>
      </c>
      <c r="N295">
        <v>96.4</v>
      </c>
      <c r="O295">
        <v>87</v>
      </c>
      <c r="P295">
        <v>4.34</v>
      </c>
      <c r="Q295">
        <v>5.3</v>
      </c>
      <c r="R295">
        <v>3</v>
      </c>
      <c r="S295">
        <v>1.43</v>
      </c>
      <c r="T295">
        <v>1</v>
      </c>
      <c r="U295" t="s">
        <v>22</v>
      </c>
      <c r="V295" t="e">
        <f>IF(#REF! = "yes", 1, 0)</f>
        <v>#REF!</v>
      </c>
      <c r="W295" t="e">
        <f>IF(#REF! &lt;= 1, "0-1 Calls", IF(#REF! &lt;= 3, "2-3 Calls", IF(#REF! &lt;=5, "4-5 Calls", "6+ Calls")))</f>
        <v>#REF!</v>
      </c>
      <c r="X295" t="e">
        <f>IF(#REF! &lt;= 50, "0-50", IF(#REF! &lt;=100, "51-100", IF(#REF! &lt;= 150, "101-150", "151+")))</f>
        <v>#REF!</v>
      </c>
      <c r="Y295" t="e">
        <f>IF(#REF! &lt;= 3, "Low Charges", "High Charges")</f>
        <v>#REF!</v>
      </c>
      <c r="Z295" t="e">
        <f>IF(#REF!&lt;=80,"Low Calls",
IF(#REF!&lt;=120,"Medium Calls","High Calls"))</f>
        <v>#REF!</v>
      </c>
      <c r="AA295" t="e">
        <f>IF(#REF!&lt;=15,"Low Charges",
IF(#REF!&lt;=20,"Medium Charges","High Charges"))</f>
        <v>#REF!</v>
      </c>
      <c r="AB295" t="e">
        <f>IF(AND(#REF!&gt;180, #REF!&gt;200), "Heavy Doemstic User", IF(#REF!&gt;10, "Interntional User", IF(AND(#REF!&lt;180, #REF!&lt;200,#REF!&lt;200), "Light User", "Balanced User")))</f>
        <v>#REF!</v>
      </c>
      <c r="AC295" t="e">
        <f>IF(#REF! = 0, "No Usage", IF(#REF! &lt;= 20, "Low Usage", IF(#REF! &lt;= 40, "Medium Usgae", "High Usage")))</f>
        <v>#REF!</v>
      </c>
      <c r="AD295" t="e">
        <f>IF(#REF!&lt;=150,"Low Usage", IF(#REF!&lt;=200,"Medium Usage", IF(#REF!&lt;=250,"High Usage","Very High Usage")))</f>
        <v>#REF!</v>
      </c>
      <c r="AE295" t="e">
        <f>IF(#REF!&lt;=5,"Low Calls", IF(#REF!&lt;=10, "Medium Calls", "High Calls"))</f>
        <v>#REF!</v>
      </c>
      <c r="AF295" t="e">
        <f xml:space="preserve">
IF(#REF!&gt;=4,4,0)+
IF(#REF!="yes",3,0)+
IF(#REF!="High Charges",3,0)+
IF(#REF!&gt;250,4,0)+
IF(#REF!="no",1,0)+
IF(#REF!="Heavy Domestic User",2,0)</f>
        <v>#REF!</v>
      </c>
      <c r="AG295" t="e">
        <f>IF(#REF!&gt;=10,"High Risk", IF(#REF!&gt;=5,"Medium Risk","Low Risk"))</f>
        <v>#REF!</v>
      </c>
      <c r="AH295" t="e">
        <f>#REF! + #REF! + #REF! + #REF!</f>
        <v>#REF!</v>
      </c>
    </row>
    <row r="296" spans="1:34" x14ac:dyDescent="0.35">
      <c r="A296">
        <v>295</v>
      </c>
      <c r="B296" t="s">
        <v>47</v>
      </c>
      <c r="C296">
        <v>117</v>
      </c>
      <c r="D296" t="s">
        <v>21</v>
      </c>
      <c r="E296" t="s">
        <v>22</v>
      </c>
      <c r="F296" t="s">
        <v>22</v>
      </c>
      <c r="G296">
        <v>0</v>
      </c>
      <c r="H296">
        <v>181.5</v>
      </c>
      <c r="I296">
        <v>95</v>
      </c>
      <c r="J296">
        <v>30.86</v>
      </c>
      <c r="K296">
        <v>205.1</v>
      </c>
      <c r="L296">
        <v>88</v>
      </c>
      <c r="M296">
        <v>17.43</v>
      </c>
      <c r="N296">
        <v>204</v>
      </c>
      <c r="O296">
        <v>82</v>
      </c>
      <c r="P296">
        <v>9.18</v>
      </c>
      <c r="Q296">
        <v>14.7</v>
      </c>
      <c r="R296">
        <v>9</v>
      </c>
      <c r="S296">
        <v>3.97</v>
      </c>
      <c r="T296">
        <v>2</v>
      </c>
      <c r="U296" t="s">
        <v>22</v>
      </c>
      <c r="V296" t="e">
        <f>IF(#REF! = "yes", 1, 0)</f>
        <v>#REF!</v>
      </c>
      <c r="W296" t="e">
        <f>IF(#REF! &lt;= 1, "0-1 Calls", IF(#REF! &lt;= 3, "2-3 Calls", IF(#REF! &lt;=5, "4-5 Calls", "6+ Calls")))</f>
        <v>#REF!</v>
      </c>
      <c r="X296" t="e">
        <f>IF(#REF! &lt;= 50, "0-50", IF(#REF! &lt;=100, "51-100", IF(#REF! &lt;= 150, "101-150", "151+")))</f>
        <v>#REF!</v>
      </c>
      <c r="Y296" t="e">
        <f>IF(#REF! &lt;= 3, "Low Charges", "High Charges")</f>
        <v>#REF!</v>
      </c>
      <c r="Z296" t="e">
        <f>IF(#REF!&lt;=80,"Low Calls",
IF(#REF!&lt;=120,"Medium Calls","High Calls"))</f>
        <v>#REF!</v>
      </c>
      <c r="AA296" t="e">
        <f>IF(#REF!&lt;=15,"Low Charges",
IF(#REF!&lt;=20,"Medium Charges","High Charges"))</f>
        <v>#REF!</v>
      </c>
      <c r="AB296" t="e">
        <f>IF(AND(#REF!&gt;180, #REF!&gt;200), "Heavy Doemstic User", IF(#REF!&gt;10, "Interntional User", IF(AND(#REF!&lt;180, #REF!&lt;200,#REF!&lt;200), "Light User", "Balanced User")))</f>
        <v>#REF!</v>
      </c>
      <c r="AC296" t="e">
        <f>IF(#REF! = 0, "No Usage", IF(#REF! &lt;= 20, "Low Usage", IF(#REF! &lt;= 40, "Medium Usgae", "High Usage")))</f>
        <v>#REF!</v>
      </c>
      <c r="AD296" t="e">
        <f>IF(#REF!&lt;=150,"Low Usage", IF(#REF!&lt;=200,"Medium Usage", IF(#REF!&lt;=250,"High Usage","Very High Usage")))</f>
        <v>#REF!</v>
      </c>
      <c r="AE296" t="e">
        <f>IF(#REF!&lt;=5,"Low Calls", IF(#REF!&lt;=10, "Medium Calls", "High Calls"))</f>
        <v>#REF!</v>
      </c>
      <c r="AF296" t="e">
        <f xml:space="preserve">
IF(#REF!&gt;=4,4,0)+
IF(#REF!="yes",3,0)+
IF(#REF!="High Charges",3,0)+
IF(#REF!&gt;250,4,0)+
IF(#REF!="no",1,0)+
IF(#REF!="Heavy Domestic User",2,0)</f>
        <v>#REF!</v>
      </c>
      <c r="AG296" t="e">
        <f>IF(#REF!&gt;=10,"High Risk", IF(#REF!&gt;=5,"Medium Risk","Low Risk"))</f>
        <v>#REF!</v>
      </c>
      <c r="AH296" t="e">
        <f>#REF! + #REF! + #REF! + #REF!</f>
        <v>#REF!</v>
      </c>
    </row>
    <row r="297" spans="1:34" x14ac:dyDescent="0.35">
      <c r="A297">
        <v>296</v>
      </c>
      <c r="B297" t="s">
        <v>67</v>
      </c>
      <c r="C297">
        <v>64</v>
      </c>
      <c r="D297" t="s">
        <v>25</v>
      </c>
      <c r="E297" t="s">
        <v>23</v>
      </c>
      <c r="F297" t="s">
        <v>22</v>
      </c>
      <c r="G297">
        <v>0</v>
      </c>
      <c r="H297">
        <v>236.2</v>
      </c>
      <c r="I297">
        <v>77</v>
      </c>
      <c r="J297">
        <v>40.15</v>
      </c>
      <c r="K297">
        <v>218.6</v>
      </c>
      <c r="L297">
        <v>85</v>
      </c>
      <c r="M297">
        <v>18.579999999999998</v>
      </c>
      <c r="N297">
        <v>194.1</v>
      </c>
      <c r="O297">
        <v>97</v>
      </c>
      <c r="P297">
        <v>8.73</v>
      </c>
      <c r="Q297">
        <v>13.2</v>
      </c>
      <c r="R297">
        <v>2</v>
      </c>
      <c r="S297">
        <v>3.56</v>
      </c>
      <c r="T297">
        <v>2</v>
      </c>
      <c r="U297" t="s">
        <v>23</v>
      </c>
      <c r="V297" t="e">
        <f>IF(#REF! = "yes", 1, 0)</f>
        <v>#REF!</v>
      </c>
      <c r="W297" t="e">
        <f>IF(#REF! &lt;= 1, "0-1 Calls", IF(#REF! &lt;= 3, "2-3 Calls", IF(#REF! &lt;=5, "4-5 Calls", "6+ Calls")))</f>
        <v>#REF!</v>
      </c>
      <c r="X297" t="e">
        <f>IF(#REF! &lt;= 50, "0-50", IF(#REF! &lt;=100, "51-100", IF(#REF! &lt;= 150, "101-150", "151+")))</f>
        <v>#REF!</v>
      </c>
      <c r="Y297" t="e">
        <f>IF(#REF! &lt;= 3, "Low Charges", "High Charges")</f>
        <v>#REF!</v>
      </c>
      <c r="Z297" t="e">
        <f>IF(#REF!&lt;=80,"Low Calls",
IF(#REF!&lt;=120,"Medium Calls","High Calls"))</f>
        <v>#REF!</v>
      </c>
      <c r="AA297" t="e">
        <f>IF(#REF!&lt;=15,"Low Charges",
IF(#REF!&lt;=20,"Medium Charges","High Charges"))</f>
        <v>#REF!</v>
      </c>
      <c r="AB297" t="e">
        <f>IF(AND(#REF!&gt;180, #REF!&gt;200), "Heavy Doemstic User", IF(#REF!&gt;10, "Interntional User", IF(AND(#REF!&lt;180, #REF!&lt;200,#REF!&lt;200), "Light User", "Balanced User")))</f>
        <v>#REF!</v>
      </c>
      <c r="AC297" t="e">
        <f>IF(#REF! = 0, "No Usage", IF(#REF! &lt;= 20, "Low Usage", IF(#REF! &lt;= 40, "Medium Usgae", "High Usage")))</f>
        <v>#REF!</v>
      </c>
      <c r="AD297" t="e">
        <f>IF(#REF!&lt;=150,"Low Usage", IF(#REF!&lt;=200,"Medium Usage", IF(#REF!&lt;=250,"High Usage","Very High Usage")))</f>
        <v>#REF!</v>
      </c>
      <c r="AE297" t="e">
        <f>IF(#REF!&lt;=5,"Low Calls", IF(#REF!&lt;=10, "Medium Calls", "High Calls"))</f>
        <v>#REF!</v>
      </c>
      <c r="AF297" t="e">
        <f xml:space="preserve">
IF(#REF!&gt;=4,4,0)+
IF(#REF!="yes",3,0)+
IF(#REF!="High Charges",3,0)+
IF(#REF!&gt;250,4,0)+
IF(#REF!="no",1,0)+
IF(#REF!="Heavy Domestic User",2,0)</f>
        <v>#REF!</v>
      </c>
      <c r="AG297" t="e">
        <f>IF(#REF!&gt;=10,"High Risk", IF(#REF!&gt;=5,"Medium Risk","Low Risk"))</f>
        <v>#REF!</v>
      </c>
      <c r="AH297" t="e">
        <f>#REF! + #REF! + #REF! + #REF!</f>
        <v>#REF!</v>
      </c>
    </row>
    <row r="298" spans="1:34" x14ac:dyDescent="0.35">
      <c r="A298">
        <v>297</v>
      </c>
      <c r="B298" t="s">
        <v>61</v>
      </c>
      <c r="C298">
        <v>122</v>
      </c>
      <c r="D298" t="s">
        <v>25</v>
      </c>
      <c r="E298" t="s">
        <v>22</v>
      </c>
      <c r="F298" t="s">
        <v>23</v>
      </c>
      <c r="G298">
        <v>23</v>
      </c>
      <c r="H298">
        <v>134.19999999999999</v>
      </c>
      <c r="I298">
        <v>85</v>
      </c>
      <c r="J298">
        <v>22.81</v>
      </c>
      <c r="K298">
        <v>227.3</v>
      </c>
      <c r="L298">
        <v>132</v>
      </c>
      <c r="M298">
        <v>19.32</v>
      </c>
      <c r="N298">
        <v>122.4</v>
      </c>
      <c r="O298">
        <v>96</v>
      </c>
      <c r="P298">
        <v>5.51</v>
      </c>
      <c r="Q298">
        <v>8.5</v>
      </c>
      <c r="R298">
        <v>2</v>
      </c>
      <c r="S298">
        <v>2.2999999999999998</v>
      </c>
      <c r="T298">
        <v>2</v>
      </c>
      <c r="U298" t="s">
        <v>22</v>
      </c>
      <c r="V298" t="e">
        <f>IF(#REF! = "yes", 1, 0)</f>
        <v>#REF!</v>
      </c>
      <c r="W298" t="e">
        <f>IF(#REF! &lt;= 1, "0-1 Calls", IF(#REF! &lt;= 3, "2-3 Calls", IF(#REF! &lt;=5, "4-5 Calls", "6+ Calls")))</f>
        <v>#REF!</v>
      </c>
      <c r="X298" t="e">
        <f>IF(#REF! &lt;= 50, "0-50", IF(#REF! &lt;=100, "51-100", IF(#REF! &lt;= 150, "101-150", "151+")))</f>
        <v>#REF!</v>
      </c>
      <c r="Y298" t="e">
        <f>IF(#REF! &lt;= 3, "Low Charges", "High Charges")</f>
        <v>#REF!</v>
      </c>
      <c r="Z298" t="e">
        <f>IF(#REF!&lt;=80,"Low Calls",
IF(#REF!&lt;=120,"Medium Calls","High Calls"))</f>
        <v>#REF!</v>
      </c>
      <c r="AA298" t="e">
        <f>IF(#REF!&lt;=15,"Low Charges",
IF(#REF!&lt;=20,"Medium Charges","High Charges"))</f>
        <v>#REF!</v>
      </c>
      <c r="AB298" t="e">
        <f>IF(AND(#REF!&gt;180, #REF!&gt;200), "Heavy Doemstic User", IF(#REF!&gt;10, "Interntional User", IF(AND(#REF!&lt;180, #REF!&lt;200,#REF!&lt;200), "Light User", "Balanced User")))</f>
        <v>#REF!</v>
      </c>
      <c r="AC298" t="e">
        <f>IF(#REF! = 0, "No Usage", IF(#REF! &lt;= 20, "Low Usage", IF(#REF! &lt;= 40, "Medium Usgae", "High Usage")))</f>
        <v>#REF!</v>
      </c>
      <c r="AD298" t="e">
        <f>IF(#REF!&lt;=150,"Low Usage", IF(#REF!&lt;=200,"Medium Usage", IF(#REF!&lt;=250,"High Usage","Very High Usage")))</f>
        <v>#REF!</v>
      </c>
      <c r="AE298" t="e">
        <f>IF(#REF!&lt;=5,"Low Calls", IF(#REF!&lt;=10, "Medium Calls", "High Calls"))</f>
        <v>#REF!</v>
      </c>
      <c r="AF298" t="e">
        <f xml:space="preserve">
IF(#REF!&gt;=4,4,0)+
IF(#REF!="yes",3,0)+
IF(#REF!="High Charges",3,0)+
IF(#REF!&gt;250,4,0)+
IF(#REF!="no",1,0)+
IF(#REF!="Heavy Domestic User",2,0)</f>
        <v>#REF!</v>
      </c>
      <c r="AG298" t="e">
        <f>IF(#REF!&gt;=10,"High Risk", IF(#REF!&gt;=5,"Medium Risk","Low Risk"))</f>
        <v>#REF!</v>
      </c>
      <c r="AH298" t="e">
        <f>#REF! + #REF! + #REF! + #REF!</f>
        <v>#REF!</v>
      </c>
    </row>
    <row r="299" spans="1:34" x14ac:dyDescent="0.35">
      <c r="A299">
        <v>298</v>
      </c>
      <c r="B299" t="s">
        <v>43</v>
      </c>
      <c r="C299">
        <v>90</v>
      </c>
      <c r="D299" t="s">
        <v>25</v>
      </c>
      <c r="E299" t="s">
        <v>22</v>
      </c>
      <c r="F299" t="s">
        <v>23</v>
      </c>
      <c r="G299">
        <v>29</v>
      </c>
      <c r="H299">
        <v>150.1</v>
      </c>
      <c r="I299">
        <v>109</v>
      </c>
      <c r="J299">
        <v>25.52</v>
      </c>
      <c r="K299">
        <v>264.7</v>
      </c>
      <c r="L299">
        <v>103</v>
      </c>
      <c r="M299">
        <v>22.5</v>
      </c>
      <c r="N299">
        <v>178.4</v>
      </c>
      <c r="O299">
        <v>97</v>
      </c>
      <c r="P299">
        <v>8.0299999999999994</v>
      </c>
      <c r="Q299">
        <v>5.8</v>
      </c>
      <c r="R299">
        <v>4</v>
      </c>
      <c r="S299">
        <v>1.57</v>
      </c>
      <c r="T299">
        <v>1</v>
      </c>
      <c r="U299" t="s">
        <v>22</v>
      </c>
      <c r="V299" t="e">
        <f>IF(#REF! = "yes", 1, 0)</f>
        <v>#REF!</v>
      </c>
      <c r="W299" t="e">
        <f>IF(#REF! &lt;= 1, "0-1 Calls", IF(#REF! &lt;= 3, "2-3 Calls", IF(#REF! &lt;=5, "4-5 Calls", "6+ Calls")))</f>
        <v>#REF!</v>
      </c>
      <c r="X299" t="e">
        <f>IF(#REF! &lt;= 50, "0-50", IF(#REF! &lt;=100, "51-100", IF(#REF! &lt;= 150, "101-150", "151+")))</f>
        <v>#REF!</v>
      </c>
      <c r="Y299" t="e">
        <f>IF(#REF! &lt;= 3, "Low Charges", "High Charges")</f>
        <v>#REF!</v>
      </c>
      <c r="Z299" t="e">
        <f>IF(#REF!&lt;=80,"Low Calls",
IF(#REF!&lt;=120,"Medium Calls","High Calls"))</f>
        <v>#REF!</v>
      </c>
      <c r="AA299" t="e">
        <f>IF(#REF!&lt;=15,"Low Charges",
IF(#REF!&lt;=20,"Medium Charges","High Charges"))</f>
        <v>#REF!</v>
      </c>
      <c r="AB299" t="e">
        <f>IF(AND(#REF!&gt;180, #REF!&gt;200), "Heavy Doemstic User", IF(#REF!&gt;10, "Interntional User", IF(AND(#REF!&lt;180, #REF!&lt;200,#REF!&lt;200), "Light User", "Balanced User")))</f>
        <v>#REF!</v>
      </c>
      <c r="AC299" t="e">
        <f>IF(#REF! = 0, "No Usage", IF(#REF! &lt;= 20, "Low Usage", IF(#REF! &lt;= 40, "Medium Usgae", "High Usage")))</f>
        <v>#REF!</v>
      </c>
      <c r="AD299" t="e">
        <f>IF(#REF!&lt;=150,"Low Usage", IF(#REF!&lt;=200,"Medium Usage", IF(#REF!&lt;=250,"High Usage","Very High Usage")))</f>
        <v>#REF!</v>
      </c>
      <c r="AE299" t="e">
        <f>IF(#REF!&lt;=5,"Low Calls", IF(#REF!&lt;=10, "Medium Calls", "High Calls"))</f>
        <v>#REF!</v>
      </c>
      <c r="AF299" t="e">
        <f xml:space="preserve">
IF(#REF!&gt;=4,4,0)+
IF(#REF!="yes",3,0)+
IF(#REF!="High Charges",3,0)+
IF(#REF!&gt;250,4,0)+
IF(#REF!="no",1,0)+
IF(#REF!="Heavy Domestic User",2,0)</f>
        <v>#REF!</v>
      </c>
      <c r="AG299" t="e">
        <f>IF(#REF!&gt;=10,"High Risk", IF(#REF!&gt;=5,"Medium Risk","Low Risk"))</f>
        <v>#REF!</v>
      </c>
      <c r="AH299" t="e">
        <f>#REF! + #REF! + #REF! + #REF!</f>
        <v>#REF!</v>
      </c>
    </row>
    <row r="300" spans="1:34" x14ac:dyDescent="0.35">
      <c r="A300">
        <v>299</v>
      </c>
      <c r="B300" t="s">
        <v>41</v>
      </c>
      <c r="C300">
        <v>159</v>
      </c>
      <c r="D300" t="s">
        <v>25</v>
      </c>
      <c r="E300" t="s">
        <v>23</v>
      </c>
      <c r="F300" t="s">
        <v>22</v>
      </c>
      <c r="G300">
        <v>0</v>
      </c>
      <c r="H300">
        <v>257.10000000000002</v>
      </c>
      <c r="I300">
        <v>53</v>
      </c>
      <c r="J300">
        <v>43.71</v>
      </c>
      <c r="K300">
        <v>312.2</v>
      </c>
      <c r="L300">
        <v>127</v>
      </c>
      <c r="M300">
        <v>26.54</v>
      </c>
      <c r="N300">
        <v>183</v>
      </c>
      <c r="O300">
        <v>82</v>
      </c>
      <c r="P300">
        <v>8.24</v>
      </c>
      <c r="Q300">
        <v>8.8000000000000007</v>
      </c>
      <c r="R300">
        <v>6</v>
      </c>
      <c r="S300">
        <v>2.38</v>
      </c>
      <c r="T300">
        <v>1</v>
      </c>
      <c r="U300" t="s">
        <v>23</v>
      </c>
      <c r="V300" t="e">
        <f>IF(#REF! = "yes", 1, 0)</f>
        <v>#REF!</v>
      </c>
      <c r="W300" t="e">
        <f>IF(#REF! &lt;= 1, "0-1 Calls", IF(#REF! &lt;= 3, "2-3 Calls", IF(#REF! &lt;=5, "4-5 Calls", "6+ Calls")))</f>
        <v>#REF!</v>
      </c>
      <c r="X300" t="e">
        <f>IF(#REF! &lt;= 50, "0-50", IF(#REF! &lt;=100, "51-100", IF(#REF! &lt;= 150, "101-150", "151+")))</f>
        <v>#REF!</v>
      </c>
      <c r="Y300" t="e">
        <f>IF(#REF! &lt;= 3, "Low Charges", "High Charges")</f>
        <v>#REF!</v>
      </c>
      <c r="Z300" t="e">
        <f>IF(#REF!&lt;=80,"Low Calls",
IF(#REF!&lt;=120,"Medium Calls","High Calls"))</f>
        <v>#REF!</v>
      </c>
      <c r="AA300" t="e">
        <f>IF(#REF!&lt;=15,"Low Charges",
IF(#REF!&lt;=20,"Medium Charges","High Charges"))</f>
        <v>#REF!</v>
      </c>
      <c r="AB300" t="e">
        <f>IF(AND(#REF!&gt;180, #REF!&gt;200), "Heavy Doemstic User", IF(#REF!&gt;10, "Interntional User", IF(AND(#REF!&lt;180, #REF!&lt;200,#REF!&lt;200), "Light User", "Balanced User")))</f>
        <v>#REF!</v>
      </c>
      <c r="AC300" t="e">
        <f>IF(#REF! = 0, "No Usage", IF(#REF! &lt;= 20, "Low Usage", IF(#REF! &lt;= 40, "Medium Usgae", "High Usage")))</f>
        <v>#REF!</v>
      </c>
      <c r="AD300" t="e">
        <f>IF(#REF!&lt;=150,"Low Usage", IF(#REF!&lt;=200,"Medium Usage", IF(#REF!&lt;=250,"High Usage","Very High Usage")))</f>
        <v>#REF!</v>
      </c>
      <c r="AE300" t="e">
        <f>IF(#REF!&lt;=5,"Low Calls", IF(#REF!&lt;=10, "Medium Calls", "High Calls"))</f>
        <v>#REF!</v>
      </c>
      <c r="AF300" t="e">
        <f xml:space="preserve">
IF(#REF!&gt;=4,4,0)+
IF(#REF!="yes",3,0)+
IF(#REF!="High Charges",3,0)+
IF(#REF!&gt;250,4,0)+
IF(#REF!="no",1,0)+
IF(#REF!="Heavy Domestic User",2,0)</f>
        <v>#REF!</v>
      </c>
      <c r="AG300" t="e">
        <f>IF(#REF!&gt;=10,"High Risk", IF(#REF!&gt;=5,"Medium Risk","Low Risk"))</f>
        <v>#REF!</v>
      </c>
      <c r="AH300" t="e">
        <f>#REF! + #REF! + #REF! + #REF!</f>
        <v>#REF!</v>
      </c>
    </row>
    <row r="301" spans="1:34" x14ac:dyDescent="0.35">
      <c r="A301">
        <v>300</v>
      </c>
      <c r="B301" t="s">
        <v>54</v>
      </c>
      <c r="C301">
        <v>148</v>
      </c>
      <c r="D301" t="s">
        <v>21</v>
      </c>
      <c r="E301" t="s">
        <v>22</v>
      </c>
      <c r="F301" t="s">
        <v>22</v>
      </c>
      <c r="G301">
        <v>0</v>
      </c>
      <c r="H301">
        <v>124.4</v>
      </c>
      <c r="I301">
        <v>83</v>
      </c>
      <c r="J301">
        <v>21.15</v>
      </c>
      <c r="K301">
        <v>179.7</v>
      </c>
      <c r="L301">
        <v>81</v>
      </c>
      <c r="M301">
        <v>15.27</v>
      </c>
      <c r="N301">
        <v>253</v>
      </c>
      <c r="O301">
        <v>99</v>
      </c>
      <c r="P301">
        <v>11.39</v>
      </c>
      <c r="Q301">
        <v>11.3</v>
      </c>
      <c r="R301">
        <v>6</v>
      </c>
      <c r="S301">
        <v>3.05</v>
      </c>
      <c r="T301">
        <v>0</v>
      </c>
      <c r="U301" t="s">
        <v>22</v>
      </c>
      <c r="V301" t="e">
        <f>IF(#REF! = "yes", 1, 0)</f>
        <v>#REF!</v>
      </c>
      <c r="W301" t="e">
        <f>IF(#REF! &lt;= 1, "0-1 Calls", IF(#REF! &lt;= 3, "2-3 Calls", IF(#REF! &lt;=5, "4-5 Calls", "6+ Calls")))</f>
        <v>#REF!</v>
      </c>
      <c r="X301" t="e">
        <f>IF(#REF! &lt;= 50, "0-50", IF(#REF! &lt;=100, "51-100", IF(#REF! &lt;= 150, "101-150", "151+")))</f>
        <v>#REF!</v>
      </c>
      <c r="Y301" t="e">
        <f>IF(#REF! &lt;= 3, "Low Charges", "High Charges")</f>
        <v>#REF!</v>
      </c>
      <c r="Z301" t="e">
        <f>IF(#REF!&lt;=80,"Low Calls",
IF(#REF!&lt;=120,"Medium Calls","High Calls"))</f>
        <v>#REF!</v>
      </c>
      <c r="AA301" t="e">
        <f>IF(#REF!&lt;=15,"Low Charges",
IF(#REF!&lt;=20,"Medium Charges","High Charges"))</f>
        <v>#REF!</v>
      </c>
      <c r="AB301" t="e">
        <f>IF(AND(#REF!&gt;180, #REF!&gt;200), "Heavy Doemstic User", IF(#REF!&gt;10, "Interntional User", IF(AND(#REF!&lt;180, #REF!&lt;200,#REF!&lt;200), "Light User", "Balanced User")))</f>
        <v>#REF!</v>
      </c>
      <c r="AC301" t="e">
        <f>IF(#REF! = 0, "No Usage", IF(#REF! &lt;= 20, "Low Usage", IF(#REF! &lt;= 40, "Medium Usgae", "High Usage")))</f>
        <v>#REF!</v>
      </c>
      <c r="AD301" t="e">
        <f>IF(#REF!&lt;=150,"Low Usage", IF(#REF!&lt;=200,"Medium Usage", IF(#REF!&lt;=250,"High Usage","Very High Usage")))</f>
        <v>#REF!</v>
      </c>
      <c r="AE301" t="e">
        <f>IF(#REF!&lt;=5,"Low Calls", IF(#REF!&lt;=10, "Medium Calls", "High Calls"))</f>
        <v>#REF!</v>
      </c>
      <c r="AF301" t="e">
        <f xml:space="preserve">
IF(#REF!&gt;=4,4,0)+
IF(#REF!="yes",3,0)+
IF(#REF!="High Charges",3,0)+
IF(#REF!&gt;250,4,0)+
IF(#REF!="no",1,0)+
IF(#REF!="Heavy Domestic User",2,0)</f>
        <v>#REF!</v>
      </c>
      <c r="AG301" t="e">
        <f>IF(#REF!&gt;=10,"High Risk", IF(#REF!&gt;=5,"Medium Risk","Low Risk"))</f>
        <v>#REF!</v>
      </c>
      <c r="AH301" t="e">
        <f>#REF! + #REF! + #REF! + #REF!</f>
        <v>#REF!</v>
      </c>
    </row>
    <row r="302" spans="1:34" x14ac:dyDescent="0.35">
      <c r="A302">
        <v>301</v>
      </c>
      <c r="B302" t="s">
        <v>20</v>
      </c>
      <c r="C302">
        <v>39</v>
      </c>
      <c r="D302" t="s">
        <v>21</v>
      </c>
      <c r="E302" t="s">
        <v>22</v>
      </c>
      <c r="F302" t="s">
        <v>23</v>
      </c>
      <c r="G302">
        <v>36</v>
      </c>
      <c r="H302">
        <v>141.69999999999999</v>
      </c>
      <c r="I302">
        <v>121</v>
      </c>
      <c r="J302">
        <v>24.09</v>
      </c>
      <c r="K302">
        <v>232.3</v>
      </c>
      <c r="L302">
        <v>113</v>
      </c>
      <c r="M302">
        <v>19.75</v>
      </c>
      <c r="N302">
        <v>222.1</v>
      </c>
      <c r="O302">
        <v>131</v>
      </c>
      <c r="P302">
        <v>9.99</v>
      </c>
      <c r="Q302">
        <v>12</v>
      </c>
      <c r="R302">
        <v>5</v>
      </c>
      <c r="S302">
        <v>3.24</v>
      </c>
      <c r="T302">
        <v>1</v>
      </c>
      <c r="U302" t="s">
        <v>22</v>
      </c>
      <c r="V302" t="e">
        <f>IF(#REF! = "yes", 1, 0)</f>
        <v>#REF!</v>
      </c>
      <c r="W302" t="e">
        <f>IF(#REF! &lt;= 1, "0-1 Calls", IF(#REF! &lt;= 3, "2-3 Calls", IF(#REF! &lt;=5, "4-5 Calls", "6+ Calls")))</f>
        <v>#REF!</v>
      </c>
      <c r="X302" t="e">
        <f>IF(#REF! &lt;= 50, "0-50", IF(#REF! &lt;=100, "51-100", IF(#REF! &lt;= 150, "101-150", "151+")))</f>
        <v>#REF!</v>
      </c>
      <c r="Y302" t="e">
        <f>IF(#REF! &lt;= 3, "Low Charges", "High Charges")</f>
        <v>#REF!</v>
      </c>
      <c r="Z302" t="e">
        <f>IF(#REF!&lt;=80,"Low Calls",
IF(#REF!&lt;=120,"Medium Calls","High Calls"))</f>
        <v>#REF!</v>
      </c>
      <c r="AA302" t="e">
        <f>IF(#REF!&lt;=15,"Low Charges",
IF(#REF!&lt;=20,"Medium Charges","High Charges"))</f>
        <v>#REF!</v>
      </c>
      <c r="AB302" t="e">
        <f>IF(AND(#REF!&gt;180, #REF!&gt;200), "Heavy Doemstic User", IF(#REF!&gt;10, "Interntional User", IF(AND(#REF!&lt;180, #REF!&lt;200,#REF!&lt;200), "Light User", "Balanced User")))</f>
        <v>#REF!</v>
      </c>
      <c r="AC302" t="e">
        <f>IF(#REF! = 0, "No Usage", IF(#REF! &lt;= 20, "Low Usage", IF(#REF! &lt;= 40, "Medium Usgae", "High Usage")))</f>
        <v>#REF!</v>
      </c>
      <c r="AD302" t="e">
        <f>IF(#REF!&lt;=150,"Low Usage", IF(#REF!&lt;=200,"Medium Usage", IF(#REF!&lt;=250,"High Usage","Very High Usage")))</f>
        <v>#REF!</v>
      </c>
      <c r="AE302" t="e">
        <f>IF(#REF!&lt;=5,"Low Calls", IF(#REF!&lt;=10, "Medium Calls", "High Calls"))</f>
        <v>#REF!</v>
      </c>
      <c r="AF302" t="e">
        <f xml:space="preserve">
IF(#REF!&gt;=4,4,0)+
IF(#REF!="yes",3,0)+
IF(#REF!="High Charges",3,0)+
IF(#REF!&gt;250,4,0)+
IF(#REF!="no",1,0)+
IF(#REF!="Heavy Domestic User",2,0)</f>
        <v>#REF!</v>
      </c>
      <c r="AG302" t="e">
        <f>IF(#REF!&gt;=10,"High Risk", IF(#REF!&gt;=5,"Medium Risk","Low Risk"))</f>
        <v>#REF!</v>
      </c>
      <c r="AH302" t="e">
        <f>#REF! + #REF! + #REF! + #REF!</f>
        <v>#REF!</v>
      </c>
    </row>
    <row r="303" spans="1:34" x14ac:dyDescent="0.35">
      <c r="A303">
        <v>302</v>
      </c>
      <c r="B303" t="s">
        <v>67</v>
      </c>
      <c r="C303">
        <v>77</v>
      </c>
      <c r="D303" t="s">
        <v>25</v>
      </c>
      <c r="E303" t="s">
        <v>22</v>
      </c>
      <c r="F303" t="s">
        <v>22</v>
      </c>
      <c r="G303">
        <v>0</v>
      </c>
      <c r="H303">
        <v>230</v>
      </c>
      <c r="I303">
        <v>87</v>
      </c>
      <c r="J303">
        <v>39.1</v>
      </c>
      <c r="K303">
        <v>103.2</v>
      </c>
      <c r="L303">
        <v>138</v>
      </c>
      <c r="M303">
        <v>8.77</v>
      </c>
      <c r="N303">
        <v>309.60000000000002</v>
      </c>
      <c r="O303">
        <v>136</v>
      </c>
      <c r="P303">
        <v>13.93</v>
      </c>
      <c r="Q303">
        <v>11.3</v>
      </c>
      <c r="R303">
        <v>3</v>
      </c>
      <c r="S303">
        <v>3.05</v>
      </c>
      <c r="T303">
        <v>2</v>
      </c>
      <c r="U303" t="s">
        <v>22</v>
      </c>
      <c r="V303" t="e">
        <f>IF(#REF! = "yes", 1, 0)</f>
        <v>#REF!</v>
      </c>
      <c r="W303" t="e">
        <f>IF(#REF! &lt;= 1, "0-1 Calls", IF(#REF! &lt;= 3, "2-3 Calls", IF(#REF! &lt;=5, "4-5 Calls", "6+ Calls")))</f>
        <v>#REF!</v>
      </c>
      <c r="X303" t="e">
        <f>IF(#REF! &lt;= 50, "0-50", IF(#REF! &lt;=100, "51-100", IF(#REF! &lt;= 150, "101-150", "151+")))</f>
        <v>#REF!</v>
      </c>
      <c r="Y303" t="e">
        <f>IF(#REF! &lt;= 3, "Low Charges", "High Charges")</f>
        <v>#REF!</v>
      </c>
      <c r="Z303" t="e">
        <f>IF(#REF!&lt;=80,"Low Calls",
IF(#REF!&lt;=120,"Medium Calls","High Calls"))</f>
        <v>#REF!</v>
      </c>
      <c r="AA303" t="e">
        <f>IF(#REF!&lt;=15,"Low Charges",
IF(#REF!&lt;=20,"Medium Charges","High Charges"))</f>
        <v>#REF!</v>
      </c>
      <c r="AB303" t="e">
        <f>IF(AND(#REF!&gt;180, #REF!&gt;200), "Heavy Doemstic User", IF(#REF!&gt;10, "Interntional User", IF(AND(#REF!&lt;180, #REF!&lt;200,#REF!&lt;200), "Light User", "Balanced User")))</f>
        <v>#REF!</v>
      </c>
      <c r="AC303" t="e">
        <f>IF(#REF! = 0, "No Usage", IF(#REF! &lt;= 20, "Low Usage", IF(#REF! &lt;= 40, "Medium Usgae", "High Usage")))</f>
        <v>#REF!</v>
      </c>
      <c r="AD303" t="e">
        <f>IF(#REF!&lt;=150,"Low Usage", IF(#REF!&lt;=200,"Medium Usage", IF(#REF!&lt;=250,"High Usage","Very High Usage")))</f>
        <v>#REF!</v>
      </c>
      <c r="AE303" t="e">
        <f>IF(#REF!&lt;=5,"Low Calls", IF(#REF!&lt;=10, "Medium Calls", "High Calls"))</f>
        <v>#REF!</v>
      </c>
      <c r="AF303" t="e">
        <f xml:space="preserve">
IF(#REF!&gt;=4,4,0)+
IF(#REF!="yes",3,0)+
IF(#REF!="High Charges",3,0)+
IF(#REF!&gt;250,4,0)+
IF(#REF!="no",1,0)+
IF(#REF!="Heavy Domestic User",2,0)</f>
        <v>#REF!</v>
      </c>
      <c r="AG303" t="e">
        <f>IF(#REF!&gt;=10,"High Risk", IF(#REF!&gt;=5,"Medium Risk","Low Risk"))</f>
        <v>#REF!</v>
      </c>
      <c r="AH303" t="e">
        <f>#REF! + #REF! + #REF! + #REF!</f>
        <v>#REF!</v>
      </c>
    </row>
    <row r="304" spans="1:34" x14ac:dyDescent="0.35">
      <c r="A304">
        <v>303</v>
      </c>
      <c r="B304" t="s">
        <v>26</v>
      </c>
      <c r="C304">
        <v>194</v>
      </c>
      <c r="D304" t="s">
        <v>25</v>
      </c>
      <c r="E304" t="s">
        <v>22</v>
      </c>
      <c r="F304" t="s">
        <v>22</v>
      </c>
      <c r="G304">
        <v>0</v>
      </c>
      <c r="H304">
        <v>162.30000000000001</v>
      </c>
      <c r="I304">
        <v>88</v>
      </c>
      <c r="J304">
        <v>27.59</v>
      </c>
      <c r="K304">
        <v>213.7</v>
      </c>
      <c r="L304">
        <v>118</v>
      </c>
      <c r="M304">
        <v>18.16</v>
      </c>
      <c r="N304">
        <v>192.1</v>
      </c>
      <c r="O304">
        <v>81</v>
      </c>
      <c r="P304">
        <v>8.64</v>
      </c>
      <c r="Q304">
        <v>10.9</v>
      </c>
      <c r="R304">
        <v>2</v>
      </c>
      <c r="S304">
        <v>2.94</v>
      </c>
      <c r="T304">
        <v>0</v>
      </c>
      <c r="U304" t="s">
        <v>22</v>
      </c>
      <c r="V304" t="e">
        <f>IF(#REF! = "yes", 1, 0)</f>
        <v>#REF!</v>
      </c>
      <c r="W304" t="e">
        <f>IF(#REF! &lt;= 1, "0-1 Calls", IF(#REF! &lt;= 3, "2-3 Calls", IF(#REF! &lt;=5, "4-5 Calls", "6+ Calls")))</f>
        <v>#REF!</v>
      </c>
      <c r="X304" t="e">
        <f>IF(#REF! &lt;= 50, "0-50", IF(#REF! &lt;=100, "51-100", IF(#REF! &lt;= 150, "101-150", "151+")))</f>
        <v>#REF!</v>
      </c>
      <c r="Y304" t="e">
        <f>IF(#REF! &lt;= 3, "Low Charges", "High Charges")</f>
        <v>#REF!</v>
      </c>
      <c r="Z304" t="e">
        <f>IF(#REF!&lt;=80,"Low Calls",
IF(#REF!&lt;=120,"Medium Calls","High Calls"))</f>
        <v>#REF!</v>
      </c>
      <c r="AA304" t="e">
        <f>IF(#REF!&lt;=15,"Low Charges",
IF(#REF!&lt;=20,"Medium Charges","High Charges"))</f>
        <v>#REF!</v>
      </c>
      <c r="AB304" t="e">
        <f>IF(AND(#REF!&gt;180, #REF!&gt;200), "Heavy Doemstic User", IF(#REF!&gt;10, "Interntional User", IF(AND(#REF!&lt;180, #REF!&lt;200,#REF!&lt;200), "Light User", "Balanced User")))</f>
        <v>#REF!</v>
      </c>
      <c r="AC304" t="e">
        <f>IF(#REF! = 0, "No Usage", IF(#REF! &lt;= 20, "Low Usage", IF(#REF! &lt;= 40, "Medium Usgae", "High Usage")))</f>
        <v>#REF!</v>
      </c>
      <c r="AD304" t="e">
        <f>IF(#REF!&lt;=150,"Low Usage", IF(#REF!&lt;=200,"Medium Usage", IF(#REF!&lt;=250,"High Usage","Very High Usage")))</f>
        <v>#REF!</v>
      </c>
      <c r="AE304" t="e">
        <f>IF(#REF!&lt;=5,"Low Calls", IF(#REF!&lt;=10, "Medium Calls", "High Calls"))</f>
        <v>#REF!</v>
      </c>
      <c r="AF304" t="e">
        <f xml:space="preserve">
IF(#REF!&gt;=4,4,0)+
IF(#REF!="yes",3,0)+
IF(#REF!="High Charges",3,0)+
IF(#REF!&gt;250,4,0)+
IF(#REF!="no",1,0)+
IF(#REF!="Heavy Domestic User",2,0)</f>
        <v>#REF!</v>
      </c>
      <c r="AG304" t="e">
        <f>IF(#REF!&gt;=10,"High Risk", IF(#REF!&gt;=5,"Medium Risk","Low Risk"))</f>
        <v>#REF!</v>
      </c>
      <c r="AH304" t="e">
        <f>#REF! + #REF! + #REF! + #REF!</f>
        <v>#REF!</v>
      </c>
    </row>
    <row r="305" spans="1:34" x14ac:dyDescent="0.35">
      <c r="A305">
        <v>304</v>
      </c>
      <c r="B305" t="s">
        <v>58</v>
      </c>
      <c r="C305">
        <v>112</v>
      </c>
      <c r="D305" t="s">
        <v>21</v>
      </c>
      <c r="E305" t="s">
        <v>22</v>
      </c>
      <c r="F305" t="s">
        <v>22</v>
      </c>
      <c r="G305">
        <v>0</v>
      </c>
      <c r="H305">
        <v>193.3</v>
      </c>
      <c r="I305">
        <v>96</v>
      </c>
      <c r="J305">
        <v>32.86</v>
      </c>
      <c r="K305">
        <v>264.10000000000002</v>
      </c>
      <c r="L305">
        <v>123</v>
      </c>
      <c r="M305">
        <v>22.45</v>
      </c>
      <c r="N305">
        <v>128.6</v>
      </c>
      <c r="O305">
        <v>115</v>
      </c>
      <c r="P305">
        <v>5.79</v>
      </c>
      <c r="Q305">
        <v>9.1</v>
      </c>
      <c r="R305">
        <v>3</v>
      </c>
      <c r="S305">
        <v>2.46</v>
      </c>
      <c r="T305">
        <v>4</v>
      </c>
      <c r="U305" t="s">
        <v>22</v>
      </c>
      <c r="V305" t="e">
        <f>IF(#REF! = "yes", 1, 0)</f>
        <v>#REF!</v>
      </c>
      <c r="W305" t="e">
        <f>IF(#REF! &lt;= 1, "0-1 Calls", IF(#REF! &lt;= 3, "2-3 Calls", IF(#REF! &lt;=5, "4-5 Calls", "6+ Calls")))</f>
        <v>#REF!</v>
      </c>
      <c r="X305" t="e">
        <f>IF(#REF! &lt;= 50, "0-50", IF(#REF! &lt;=100, "51-100", IF(#REF! &lt;= 150, "101-150", "151+")))</f>
        <v>#REF!</v>
      </c>
      <c r="Y305" t="e">
        <f>IF(#REF! &lt;= 3, "Low Charges", "High Charges")</f>
        <v>#REF!</v>
      </c>
      <c r="Z305" t="e">
        <f>IF(#REF!&lt;=80,"Low Calls",
IF(#REF!&lt;=120,"Medium Calls","High Calls"))</f>
        <v>#REF!</v>
      </c>
      <c r="AA305" t="e">
        <f>IF(#REF!&lt;=15,"Low Charges",
IF(#REF!&lt;=20,"Medium Charges","High Charges"))</f>
        <v>#REF!</v>
      </c>
      <c r="AB305" t="e">
        <f>IF(AND(#REF!&gt;180, #REF!&gt;200), "Heavy Doemstic User", IF(#REF!&gt;10, "Interntional User", IF(AND(#REF!&lt;180, #REF!&lt;200,#REF!&lt;200), "Light User", "Balanced User")))</f>
        <v>#REF!</v>
      </c>
      <c r="AC305" t="e">
        <f>IF(#REF! = 0, "No Usage", IF(#REF! &lt;= 20, "Low Usage", IF(#REF! &lt;= 40, "Medium Usgae", "High Usage")))</f>
        <v>#REF!</v>
      </c>
      <c r="AD305" t="e">
        <f>IF(#REF!&lt;=150,"Low Usage", IF(#REF!&lt;=200,"Medium Usage", IF(#REF!&lt;=250,"High Usage","Very High Usage")))</f>
        <v>#REF!</v>
      </c>
      <c r="AE305" t="e">
        <f>IF(#REF!&lt;=5,"Low Calls", IF(#REF!&lt;=10, "Medium Calls", "High Calls"))</f>
        <v>#REF!</v>
      </c>
      <c r="AF305" t="e">
        <f xml:space="preserve">
IF(#REF!&gt;=4,4,0)+
IF(#REF!="yes",3,0)+
IF(#REF!="High Charges",3,0)+
IF(#REF!&gt;250,4,0)+
IF(#REF!="no",1,0)+
IF(#REF!="Heavy Domestic User",2,0)</f>
        <v>#REF!</v>
      </c>
      <c r="AG305" t="e">
        <f>IF(#REF!&gt;=10,"High Risk", IF(#REF!&gt;=5,"Medium Risk","Low Risk"))</f>
        <v>#REF!</v>
      </c>
      <c r="AH305" t="e">
        <f>#REF! + #REF! + #REF! + #REF!</f>
        <v>#REF!</v>
      </c>
    </row>
    <row r="306" spans="1:34" x14ac:dyDescent="0.35">
      <c r="A306">
        <v>305</v>
      </c>
      <c r="B306" t="s">
        <v>49</v>
      </c>
      <c r="C306">
        <v>45</v>
      </c>
      <c r="D306" t="s">
        <v>21</v>
      </c>
      <c r="E306" t="s">
        <v>22</v>
      </c>
      <c r="F306" t="s">
        <v>22</v>
      </c>
      <c r="G306">
        <v>0</v>
      </c>
      <c r="H306">
        <v>78.2</v>
      </c>
      <c r="I306">
        <v>127</v>
      </c>
      <c r="J306">
        <v>13.29</v>
      </c>
      <c r="K306">
        <v>253.4</v>
      </c>
      <c r="L306">
        <v>108</v>
      </c>
      <c r="M306">
        <v>21.54</v>
      </c>
      <c r="N306">
        <v>255</v>
      </c>
      <c r="O306">
        <v>100</v>
      </c>
      <c r="P306">
        <v>11.48</v>
      </c>
      <c r="Q306">
        <v>18</v>
      </c>
      <c r="R306">
        <v>3</v>
      </c>
      <c r="S306">
        <v>4.8600000000000003</v>
      </c>
      <c r="T306">
        <v>1</v>
      </c>
      <c r="U306" t="s">
        <v>22</v>
      </c>
      <c r="V306" t="e">
        <f>IF(#REF! = "yes", 1, 0)</f>
        <v>#REF!</v>
      </c>
      <c r="W306" t="e">
        <f>IF(#REF! &lt;= 1, "0-1 Calls", IF(#REF! &lt;= 3, "2-3 Calls", IF(#REF! &lt;=5, "4-5 Calls", "6+ Calls")))</f>
        <v>#REF!</v>
      </c>
      <c r="X306" t="e">
        <f>IF(#REF! &lt;= 50, "0-50", IF(#REF! &lt;=100, "51-100", IF(#REF! &lt;= 150, "101-150", "151+")))</f>
        <v>#REF!</v>
      </c>
      <c r="Y306" t="e">
        <f>IF(#REF! &lt;= 3, "Low Charges", "High Charges")</f>
        <v>#REF!</v>
      </c>
      <c r="Z306" t="e">
        <f>IF(#REF!&lt;=80,"Low Calls",
IF(#REF!&lt;=120,"Medium Calls","High Calls"))</f>
        <v>#REF!</v>
      </c>
      <c r="AA306" t="e">
        <f>IF(#REF!&lt;=15,"Low Charges",
IF(#REF!&lt;=20,"Medium Charges","High Charges"))</f>
        <v>#REF!</v>
      </c>
      <c r="AB306" t="e">
        <f>IF(AND(#REF!&gt;180, #REF!&gt;200), "Heavy Doemstic User", IF(#REF!&gt;10, "Interntional User", IF(AND(#REF!&lt;180, #REF!&lt;200,#REF!&lt;200), "Light User", "Balanced User")))</f>
        <v>#REF!</v>
      </c>
      <c r="AC306" t="e">
        <f>IF(#REF! = 0, "No Usage", IF(#REF! &lt;= 20, "Low Usage", IF(#REF! &lt;= 40, "Medium Usgae", "High Usage")))</f>
        <v>#REF!</v>
      </c>
      <c r="AD306" t="e">
        <f>IF(#REF!&lt;=150,"Low Usage", IF(#REF!&lt;=200,"Medium Usage", IF(#REF!&lt;=250,"High Usage","Very High Usage")))</f>
        <v>#REF!</v>
      </c>
      <c r="AE306" t="e">
        <f>IF(#REF!&lt;=5,"Low Calls", IF(#REF!&lt;=10, "Medium Calls", "High Calls"))</f>
        <v>#REF!</v>
      </c>
      <c r="AF306" t="e">
        <f xml:space="preserve">
IF(#REF!&gt;=4,4,0)+
IF(#REF!="yes",3,0)+
IF(#REF!="High Charges",3,0)+
IF(#REF!&gt;250,4,0)+
IF(#REF!="no",1,0)+
IF(#REF!="Heavy Domestic User",2,0)</f>
        <v>#REF!</v>
      </c>
      <c r="AG306" t="e">
        <f>IF(#REF!&gt;=10,"High Risk", IF(#REF!&gt;=5,"Medium Risk","Low Risk"))</f>
        <v>#REF!</v>
      </c>
      <c r="AH306" t="e">
        <f>#REF! + #REF! + #REF! + #REF!</f>
        <v>#REF!</v>
      </c>
    </row>
    <row r="307" spans="1:34" x14ac:dyDescent="0.35">
      <c r="A307">
        <v>306</v>
      </c>
      <c r="B307" t="s">
        <v>70</v>
      </c>
      <c r="C307">
        <v>132</v>
      </c>
      <c r="D307" t="s">
        <v>21</v>
      </c>
      <c r="E307" t="s">
        <v>22</v>
      </c>
      <c r="F307" t="s">
        <v>22</v>
      </c>
      <c r="G307">
        <v>0</v>
      </c>
      <c r="H307">
        <v>83.4</v>
      </c>
      <c r="I307">
        <v>110</v>
      </c>
      <c r="J307">
        <v>14.18</v>
      </c>
      <c r="K307">
        <v>232.2</v>
      </c>
      <c r="L307">
        <v>137</v>
      </c>
      <c r="M307">
        <v>19.739999999999998</v>
      </c>
      <c r="N307">
        <v>146.69999999999999</v>
      </c>
      <c r="O307">
        <v>114</v>
      </c>
      <c r="P307">
        <v>6.6</v>
      </c>
      <c r="Q307">
        <v>7.6</v>
      </c>
      <c r="R307">
        <v>5</v>
      </c>
      <c r="S307">
        <v>2.0499999999999998</v>
      </c>
      <c r="T307">
        <v>1</v>
      </c>
      <c r="U307" t="s">
        <v>22</v>
      </c>
      <c r="V307" t="e">
        <f>IF(#REF! = "yes", 1, 0)</f>
        <v>#REF!</v>
      </c>
      <c r="W307" t="e">
        <f>IF(#REF! &lt;= 1, "0-1 Calls", IF(#REF! &lt;= 3, "2-3 Calls", IF(#REF! &lt;=5, "4-5 Calls", "6+ Calls")))</f>
        <v>#REF!</v>
      </c>
      <c r="X307" t="e">
        <f>IF(#REF! &lt;= 50, "0-50", IF(#REF! &lt;=100, "51-100", IF(#REF! &lt;= 150, "101-150", "151+")))</f>
        <v>#REF!</v>
      </c>
      <c r="Y307" t="e">
        <f>IF(#REF! &lt;= 3, "Low Charges", "High Charges")</f>
        <v>#REF!</v>
      </c>
      <c r="Z307" t="e">
        <f>IF(#REF!&lt;=80,"Low Calls",
IF(#REF!&lt;=120,"Medium Calls","High Calls"))</f>
        <v>#REF!</v>
      </c>
      <c r="AA307" t="e">
        <f>IF(#REF!&lt;=15,"Low Charges",
IF(#REF!&lt;=20,"Medium Charges","High Charges"))</f>
        <v>#REF!</v>
      </c>
      <c r="AB307" t="e">
        <f>IF(AND(#REF!&gt;180, #REF!&gt;200), "Heavy Doemstic User", IF(#REF!&gt;10, "Interntional User", IF(AND(#REF!&lt;180, #REF!&lt;200,#REF!&lt;200), "Light User", "Balanced User")))</f>
        <v>#REF!</v>
      </c>
      <c r="AC307" t="e">
        <f>IF(#REF! = 0, "No Usage", IF(#REF! &lt;= 20, "Low Usage", IF(#REF! &lt;= 40, "Medium Usgae", "High Usage")))</f>
        <v>#REF!</v>
      </c>
      <c r="AD307" t="e">
        <f>IF(#REF!&lt;=150,"Low Usage", IF(#REF!&lt;=200,"Medium Usage", IF(#REF!&lt;=250,"High Usage","Very High Usage")))</f>
        <v>#REF!</v>
      </c>
      <c r="AE307" t="e">
        <f>IF(#REF!&lt;=5,"Low Calls", IF(#REF!&lt;=10, "Medium Calls", "High Calls"))</f>
        <v>#REF!</v>
      </c>
      <c r="AF307" t="e">
        <f xml:space="preserve">
IF(#REF!&gt;=4,4,0)+
IF(#REF!="yes",3,0)+
IF(#REF!="High Charges",3,0)+
IF(#REF!&gt;250,4,0)+
IF(#REF!="no",1,0)+
IF(#REF!="Heavy Domestic User",2,0)</f>
        <v>#REF!</v>
      </c>
      <c r="AG307" t="e">
        <f>IF(#REF!&gt;=10,"High Risk", IF(#REF!&gt;=5,"Medium Risk","Low Risk"))</f>
        <v>#REF!</v>
      </c>
      <c r="AH307" t="e">
        <f>#REF! + #REF! + #REF! + #REF!</f>
        <v>#REF!</v>
      </c>
    </row>
    <row r="308" spans="1:34" x14ac:dyDescent="0.35">
      <c r="A308">
        <v>307</v>
      </c>
      <c r="B308" t="s">
        <v>58</v>
      </c>
      <c r="C308">
        <v>135</v>
      </c>
      <c r="D308" t="s">
        <v>21</v>
      </c>
      <c r="E308" t="s">
        <v>22</v>
      </c>
      <c r="F308" t="s">
        <v>22</v>
      </c>
      <c r="G308">
        <v>0</v>
      </c>
      <c r="H308">
        <v>201.8</v>
      </c>
      <c r="I308">
        <v>81</v>
      </c>
      <c r="J308">
        <v>34.31</v>
      </c>
      <c r="K308">
        <v>225</v>
      </c>
      <c r="L308">
        <v>114</v>
      </c>
      <c r="M308">
        <v>19.13</v>
      </c>
      <c r="N308">
        <v>204.4</v>
      </c>
      <c r="O308">
        <v>82</v>
      </c>
      <c r="P308">
        <v>9.1999999999999993</v>
      </c>
      <c r="Q308">
        <v>10.3</v>
      </c>
      <c r="R308">
        <v>6</v>
      </c>
      <c r="S308">
        <v>2.78</v>
      </c>
      <c r="T308">
        <v>1</v>
      </c>
      <c r="U308" t="s">
        <v>22</v>
      </c>
      <c r="V308" t="e">
        <f>IF(#REF! = "yes", 1, 0)</f>
        <v>#REF!</v>
      </c>
      <c r="W308" t="e">
        <f>IF(#REF! &lt;= 1, "0-1 Calls", IF(#REF! &lt;= 3, "2-3 Calls", IF(#REF! &lt;=5, "4-5 Calls", "6+ Calls")))</f>
        <v>#REF!</v>
      </c>
      <c r="X308" t="e">
        <f>IF(#REF! &lt;= 50, "0-50", IF(#REF! &lt;=100, "51-100", IF(#REF! &lt;= 150, "101-150", "151+")))</f>
        <v>#REF!</v>
      </c>
      <c r="Y308" t="e">
        <f>IF(#REF! &lt;= 3, "Low Charges", "High Charges")</f>
        <v>#REF!</v>
      </c>
      <c r="Z308" t="e">
        <f>IF(#REF!&lt;=80,"Low Calls",
IF(#REF!&lt;=120,"Medium Calls","High Calls"))</f>
        <v>#REF!</v>
      </c>
      <c r="AA308" t="e">
        <f>IF(#REF!&lt;=15,"Low Charges",
IF(#REF!&lt;=20,"Medium Charges","High Charges"))</f>
        <v>#REF!</v>
      </c>
      <c r="AB308" t="e">
        <f>IF(AND(#REF!&gt;180, #REF!&gt;200), "Heavy Doemstic User", IF(#REF!&gt;10, "Interntional User", IF(AND(#REF!&lt;180, #REF!&lt;200,#REF!&lt;200), "Light User", "Balanced User")))</f>
        <v>#REF!</v>
      </c>
      <c r="AC308" t="e">
        <f>IF(#REF! = 0, "No Usage", IF(#REF! &lt;= 20, "Low Usage", IF(#REF! &lt;= 40, "Medium Usgae", "High Usage")))</f>
        <v>#REF!</v>
      </c>
      <c r="AD308" t="e">
        <f>IF(#REF!&lt;=150,"Low Usage", IF(#REF!&lt;=200,"Medium Usage", IF(#REF!&lt;=250,"High Usage","Very High Usage")))</f>
        <v>#REF!</v>
      </c>
      <c r="AE308" t="e">
        <f>IF(#REF!&lt;=5,"Low Calls", IF(#REF!&lt;=10, "Medium Calls", "High Calls"))</f>
        <v>#REF!</v>
      </c>
      <c r="AF308" t="e">
        <f xml:space="preserve">
IF(#REF!&gt;=4,4,0)+
IF(#REF!="yes",3,0)+
IF(#REF!="High Charges",3,0)+
IF(#REF!&gt;250,4,0)+
IF(#REF!="no",1,0)+
IF(#REF!="Heavy Domestic User",2,0)</f>
        <v>#REF!</v>
      </c>
      <c r="AG308" t="e">
        <f>IF(#REF!&gt;=10,"High Risk", IF(#REF!&gt;=5,"Medium Risk","Low Risk"))</f>
        <v>#REF!</v>
      </c>
      <c r="AH308" t="e">
        <f>#REF! + #REF! + #REF! + #REF!</f>
        <v>#REF!</v>
      </c>
    </row>
    <row r="309" spans="1:34" x14ac:dyDescent="0.35">
      <c r="A309">
        <v>308</v>
      </c>
      <c r="B309" t="s">
        <v>61</v>
      </c>
      <c r="C309">
        <v>56</v>
      </c>
      <c r="D309" t="s">
        <v>25</v>
      </c>
      <c r="E309" t="s">
        <v>22</v>
      </c>
      <c r="F309" t="s">
        <v>22</v>
      </c>
      <c r="G309">
        <v>0</v>
      </c>
      <c r="H309">
        <v>197</v>
      </c>
      <c r="I309">
        <v>110</v>
      </c>
      <c r="J309">
        <v>33.49</v>
      </c>
      <c r="K309">
        <v>222.8</v>
      </c>
      <c r="L309">
        <v>102</v>
      </c>
      <c r="M309">
        <v>18.940000000000001</v>
      </c>
      <c r="N309">
        <v>225.3</v>
      </c>
      <c r="O309">
        <v>91</v>
      </c>
      <c r="P309">
        <v>10.14</v>
      </c>
      <c r="Q309">
        <v>10.6</v>
      </c>
      <c r="R309">
        <v>6</v>
      </c>
      <c r="S309">
        <v>2.86</v>
      </c>
      <c r="T309">
        <v>2</v>
      </c>
      <c r="U309" t="s">
        <v>22</v>
      </c>
      <c r="V309" t="e">
        <f>IF(#REF! = "yes", 1, 0)</f>
        <v>#REF!</v>
      </c>
      <c r="W309" t="e">
        <f>IF(#REF! &lt;= 1, "0-1 Calls", IF(#REF! &lt;= 3, "2-3 Calls", IF(#REF! &lt;=5, "4-5 Calls", "6+ Calls")))</f>
        <v>#REF!</v>
      </c>
      <c r="X309" t="e">
        <f>IF(#REF! &lt;= 50, "0-50", IF(#REF! &lt;=100, "51-100", IF(#REF! &lt;= 150, "101-150", "151+")))</f>
        <v>#REF!</v>
      </c>
      <c r="Y309" t="e">
        <f>IF(#REF! &lt;= 3, "Low Charges", "High Charges")</f>
        <v>#REF!</v>
      </c>
      <c r="Z309" t="e">
        <f>IF(#REF!&lt;=80,"Low Calls",
IF(#REF!&lt;=120,"Medium Calls","High Calls"))</f>
        <v>#REF!</v>
      </c>
      <c r="AA309" t="e">
        <f>IF(#REF!&lt;=15,"Low Charges",
IF(#REF!&lt;=20,"Medium Charges","High Charges"))</f>
        <v>#REF!</v>
      </c>
      <c r="AB309" t="e">
        <f>IF(AND(#REF!&gt;180, #REF!&gt;200), "Heavy Doemstic User", IF(#REF!&gt;10, "Interntional User", IF(AND(#REF!&lt;180, #REF!&lt;200,#REF!&lt;200), "Light User", "Balanced User")))</f>
        <v>#REF!</v>
      </c>
      <c r="AC309" t="e">
        <f>IF(#REF! = 0, "No Usage", IF(#REF! &lt;= 20, "Low Usage", IF(#REF! &lt;= 40, "Medium Usgae", "High Usage")))</f>
        <v>#REF!</v>
      </c>
      <c r="AD309" t="e">
        <f>IF(#REF!&lt;=150,"Low Usage", IF(#REF!&lt;=200,"Medium Usage", IF(#REF!&lt;=250,"High Usage","Very High Usage")))</f>
        <v>#REF!</v>
      </c>
      <c r="AE309" t="e">
        <f>IF(#REF!&lt;=5,"Low Calls", IF(#REF!&lt;=10, "Medium Calls", "High Calls"))</f>
        <v>#REF!</v>
      </c>
      <c r="AF309" t="e">
        <f xml:space="preserve">
IF(#REF!&gt;=4,4,0)+
IF(#REF!="yes",3,0)+
IF(#REF!="High Charges",3,0)+
IF(#REF!&gt;250,4,0)+
IF(#REF!="no",1,0)+
IF(#REF!="Heavy Domestic User",2,0)</f>
        <v>#REF!</v>
      </c>
      <c r="AG309" t="e">
        <f>IF(#REF!&gt;=10,"High Risk", IF(#REF!&gt;=5,"Medium Risk","Low Risk"))</f>
        <v>#REF!</v>
      </c>
      <c r="AH309" t="e">
        <f>#REF! + #REF! + #REF! + #REF!</f>
        <v>#REF!</v>
      </c>
    </row>
    <row r="310" spans="1:34" x14ac:dyDescent="0.35">
      <c r="A310">
        <v>309</v>
      </c>
      <c r="B310" t="s">
        <v>56</v>
      </c>
      <c r="C310">
        <v>151</v>
      </c>
      <c r="D310" t="s">
        <v>21</v>
      </c>
      <c r="E310" t="s">
        <v>23</v>
      </c>
      <c r="F310" t="s">
        <v>22</v>
      </c>
      <c r="G310">
        <v>0</v>
      </c>
      <c r="H310">
        <v>218</v>
      </c>
      <c r="I310">
        <v>57</v>
      </c>
      <c r="J310">
        <v>37.06</v>
      </c>
      <c r="K310">
        <v>114.4</v>
      </c>
      <c r="L310">
        <v>88</v>
      </c>
      <c r="M310">
        <v>9.7200000000000006</v>
      </c>
      <c r="N310">
        <v>269.2</v>
      </c>
      <c r="O310">
        <v>95</v>
      </c>
      <c r="P310">
        <v>12.11</v>
      </c>
      <c r="Q310">
        <v>12.4</v>
      </c>
      <c r="R310">
        <v>1</v>
      </c>
      <c r="S310">
        <v>3.35</v>
      </c>
      <c r="T310">
        <v>0</v>
      </c>
      <c r="U310" t="s">
        <v>23</v>
      </c>
      <c r="V310" t="e">
        <f>IF(#REF! = "yes", 1, 0)</f>
        <v>#REF!</v>
      </c>
      <c r="W310" t="e">
        <f>IF(#REF! &lt;= 1, "0-1 Calls", IF(#REF! &lt;= 3, "2-3 Calls", IF(#REF! &lt;=5, "4-5 Calls", "6+ Calls")))</f>
        <v>#REF!</v>
      </c>
      <c r="X310" t="e">
        <f>IF(#REF! &lt;= 50, "0-50", IF(#REF! &lt;=100, "51-100", IF(#REF! &lt;= 150, "101-150", "151+")))</f>
        <v>#REF!</v>
      </c>
      <c r="Y310" t="e">
        <f>IF(#REF! &lt;= 3, "Low Charges", "High Charges")</f>
        <v>#REF!</v>
      </c>
      <c r="Z310" t="e">
        <f>IF(#REF!&lt;=80,"Low Calls",
IF(#REF!&lt;=120,"Medium Calls","High Calls"))</f>
        <v>#REF!</v>
      </c>
      <c r="AA310" t="e">
        <f>IF(#REF!&lt;=15,"Low Charges",
IF(#REF!&lt;=20,"Medium Charges","High Charges"))</f>
        <v>#REF!</v>
      </c>
      <c r="AB310" t="e">
        <f>IF(AND(#REF!&gt;180, #REF!&gt;200), "Heavy Doemstic User", IF(#REF!&gt;10, "Interntional User", IF(AND(#REF!&lt;180, #REF!&lt;200,#REF!&lt;200), "Light User", "Balanced User")))</f>
        <v>#REF!</v>
      </c>
      <c r="AC310" t="e">
        <f>IF(#REF! = 0, "No Usage", IF(#REF! &lt;= 20, "Low Usage", IF(#REF! &lt;= 40, "Medium Usgae", "High Usage")))</f>
        <v>#REF!</v>
      </c>
      <c r="AD310" t="e">
        <f>IF(#REF!&lt;=150,"Low Usage", IF(#REF!&lt;=200,"Medium Usage", IF(#REF!&lt;=250,"High Usage","Very High Usage")))</f>
        <v>#REF!</v>
      </c>
      <c r="AE310" t="e">
        <f>IF(#REF!&lt;=5,"Low Calls", IF(#REF!&lt;=10, "Medium Calls", "High Calls"))</f>
        <v>#REF!</v>
      </c>
      <c r="AF310" t="e">
        <f xml:space="preserve">
IF(#REF!&gt;=4,4,0)+
IF(#REF!="yes",3,0)+
IF(#REF!="High Charges",3,0)+
IF(#REF!&gt;250,4,0)+
IF(#REF!="no",1,0)+
IF(#REF!="Heavy Domestic User",2,0)</f>
        <v>#REF!</v>
      </c>
      <c r="AG310" t="e">
        <f>IF(#REF!&gt;=10,"High Risk", IF(#REF!&gt;=5,"Medium Risk","Low Risk"))</f>
        <v>#REF!</v>
      </c>
      <c r="AH310" t="e">
        <f>#REF! + #REF! + #REF! + #REF!</f>
        <v>#REF!</v>
      </c>
    </row>
    <row r="311" spans="1:34" x14ac:dyDescent="0.35">
      <c r="A311">
        <v>310</v>
      </c>
      <c r="B311" t="s">
        <v>36</v>
      </c>
      <c r="C311">
        <v>32</v>
      </c>
      <c r="D311" t="s">
        <v>21</v>
      </c>
      <c r="E311" t="s">
        <v>22</v>
      </c>
      <c r="F311" t="s">
        <v>22</v>
      </c>
      <c r="G311">
        <v>0</v>
      </c>
      <c r="H311">
        <v>164.8</v>
      </c>
      <c r="I311">
        <v>98</v>
      </c>
      <c r="J311">
        <v>28.02</v>
      </c>
      <c r="K311">
        <v>229.9</v>
      </c>
      <c r="L311">
        <v>96</v>
      </c>
      <c r="M311">
        <v>19.54</v>
      </c>
      <c r="N311">
        <v>167.3</v>
      </c>
      <c r="O311">
        <v>108</v>
      </c>
      <c r="P311">
        <v>7.53</v>
      </c>
      <c r="Q311">
        <v>14.8</v>
      </c>
      <c r="R311">
        <v>2</v>
      </c>
      <c r="S311">
        <v>4</v>
      </c>
      <c r="T311">
        <v>2</v>
      </c>
      <c r="U311" t="s">
        <v>22</v>
      </c>
      <c r="V311" t="e">
        <f>IF(#REF! = "yes", 1, 0)</f>
        <v>#REF!</v>
      </c>
      <c r="W311" t="e">
        <f>IF(#REF! &lt;= 1, "0-1 Calls", IF(#REF! &lt;= 3, "2-3 Calls", IF(#REF! &lt;=5, "4-5 Calls", "6+ Calls")))</f>
        <v>#REF!</v>
      </c>
      <c r="X311" t="e">
        <f>IF(#REF! &lt;= 50, "0-50", IF(#REF! &lt;=100, "51-100", IF(#REF! &lt;= 150, "101-150", "151+")))</f>
        <v>#REF!</v>
      </c>
      <c r="Y311" t="e">
        <f>IF(#REF! &lt;= 3, "Low Charges", "High Charges")</f>
        <v>#REF!</v>
      </c>
      <c r="Z311" t="e">
        <f>IF(#REF!&lt;=80,"Low Calls",
IF(#REF!&lt;=120,"Medium Calls","High Calls"))</f>
        <v>#REF!</v>
      </c>
      <c r="AA311" t="e">
        <f>IF(#REF!&lt;=15,"Low Charges",
IF(#REF!&lt;=20,"Medium Charges","High Charges"))</f>
        <v>#REF!</v>
      </c>
      <c r="AB311" t="e">
        <f>IF(AND(#REF!&gt;180, #REF!&gt;200), "Heavy Doemstic User", IF(#REF!&gt;10, "Interntional User", IF(AND(#REF!&lt;180, #REF!&lt;200,#REF!&lt;200), "Light User", "Balanced User")))</f>
        <v>#REF!</v>
      </c>
      <c r="AC311" t="e">
        <f>IF(#REF! = 0, "No Usage", IF(#REF! &lt;= 20, "Low Usage", IF(#REF! &lt;= 40, "Medium Usgae", "High Usage")))</f>
        <v>#REF!</v>
      </c>
      <c r="AD311" t="e">
        <f>IF(#REF!&lt;=150,"Low Usage", IF(#REF!&lt;=200,"Medium Usage", IF(#REF!&lt;=250,"High Usage","Very High Usage")))</f>
        <v>#REF!</v>
      </c>
      <c r="AE311" t="e">
        <f>IF(#REF!&lt;=5,"Low Calls", IF(#REF!&lt;=10, "Medium Calls", "High Calls"))</f>
        <v>#REF!</v>
      </c>
      <c r="AF311" t="e">
        <f xml:space="preserve">
IF(#REF!&gt;=4,4,0)+
IF(#REF!="yes",3,0)+
IF(#REF!="High Charges",3,0)+
IF(#REF!&gt;250,4,0)+
IF(#REF!="no",1,0)+
IF(#REF!="Heavy Domestic User",2,0)</f>
        <v>#REF!</v>
      </c>
      <c r="AG311" t="e">
        <f>IF(#REF!&gt;=10,"High Risk", IF(#REF!&gt;=5,"Medium Risk","Low Risk"))</f>
        <v>#REF!</v>
      </c>
      <c r="AH311" t="e">
        <f>#REF! + #REF! + #REF! + #REF!</f>
        <v>#REF!</v>
      </c>
    </row>
    <row r="312" spans="1:34" x14ac:dyDescent="0.35">
      <c r="A312">
        <v>311</v>
      </c>
      <c r="B312" t="s">
        <v>57</v>
      </c>
      <c r="C312">
        <v>87</v>
      </c>
      <c r="D312" t="s">
        <v>21</v>
      </c>
      <c r="E312" t="s">
        <v>22</v>
      </c>
      <c r="F312" t="s">
        <v>23</v>
      </c>
      <c r="G312">
        <v>21</v>
      </c>
      <c r="H312">
        <v>214</v>
      </c>
      <c r="I312">
        <v>113</v>
      </c>
      <c r="J312">
        <v>36.380000000000003</v>
      </c>
      <c r="K312">
        <v>180</v>
      </c>
      <c r="L312">
        <v>114</v>
      </c>
      <c r="M312">
        <v>15.3</v>
      </c>
      <c r="N312">
        <v>134.5</v>
      </c>
      <c r="O312">
        <v>82</v>
      </c>
      <c r="P312">
        <v>6.05</v>
      </c>
      <c r="Q312">
        <v>10.6</v>
      </c>
      <c r="R312">
        <v>5</v>
      </c>
      <c r="S312">
        <v>2.86</v>
      </c>
      <c r="T312">
        <v>0</v>
      </c>
      <c r="U312" t="s">
        <v>22</v>
      </c>
      <c r="V312" t="e">
        <f>IF(#REF! = "yes", 1, 0)</f>
        <v>#REF!</v>
      </c>
      <c r="W312" t="e">
        <f>IF(#REF! &lt;= 1, "0-1 Calls", IF(#REF! &lt;= 3, "2-3 Calls", IF(#REF! &lt;=5, "4-5 Calls", "6+ Calls")))</f>
        <v>#REF!</v>
      </c>
      <c r="X312" t="e">
        <f>IF(#REF! &lt;= 50, "0-50", IF(#REF! &lt;=100, "51-100", IF(#REF! &lt;= 150, "101-150", "151+")))</f>
        <v>#REF!</v>
      </c>
      <c r="Y312" t="e">
        <f>IF(#REF! &lt;= 3, "Low Charges", "High Charges")</f>
        <v>#REF!</v>
      </c>
      <c r="Z312" t="e">
        <f>IF(#REF!&lt;=80,"Low Calls",
IF(#REF!&lt;=120,"Medium Calls","High Calls"))</f>
        <v>#REF!</v>
      </c>
      <c r="AA312" t="e">
        <f>IF(#REF!&lt;=15,"Low Charges",
IF(#REF!&lt;=20,"Medium Charges","High Charges"))</f>
        <v>#REF!</v>
      </c>
      <c r="AB312" t="e">
        <f>IF(AND(#REF!&gt;180, #REF!&gt;200), "Heavy Doemstic User", IF(#REF!&gt;10, "Interntional User", IF(AND(#REF!&lt;180, #REF!&lt;200,#REF!&lt;200), "Light User", "Balanced User")))</f>
        <v>#REF!</v>
      </c>
      <c r="AC312" t="e">
        <f>IF(#REF! = 0, "No Usage", IF(#REF! &lt;= 20, "Low Usage", IF(#REF! &lt;= 40, "Medium Usgae", "High Usage")))</f>
        <v>#REF!</v>
      </c>
      <c r="AD312" t="e">
        <f>IF(#REF!&lt;=150,"Low Usage", IF(#REF!&lt;=200,"Medium Usage", IF(#REF!&lt;=250,"High Usage","Very High Usage")))</f>
        <v>#REF!</v>
      </c>
      <c r="AE312" t="e">
        <f>IF(#REF!&lt;=5,"Low Calls", IF(#REF!&lt;=10, "Medium Calls", "High Calls"))</f>
        <v>#REF!</v>
      </c>
      <c r="AF312" t="e">
        <f xml:space="preserve">
IF(#REF!&gt;=4,4,0)+
IF(#REF!="yes",3,0)+
IF(#REF!="High Charges",3,0)+
IF(#REF!&gt;250,4,0)+
IF(#REF!="no",1,0)+
IF(#REF!="Heavy Domestic User",2,0)</f>
        <v>#REF!</v>
      </c>
      <c r="AG312" t="e">
        <f>IF(#REF!&gt;=10,"High Risk", IF(#REF!&gt;=5,"Medium Risk","Low Risk"))</f>
        <v>#REF!</v>
      </c>
      <c r="AH312" t="e">
        <f>#REF! + #REF! + #REF! + #REF!</f>
        <v>#REF!</v>
      </c>
    </row>
    <row r="313" spans="1:34" x14ac:dyDescent="0.35">
      <c r="A313">
        <v>312</v>
      </c>
      <c r="B313" t="s">
        <v>63</v>
      </c>
      <c r="C313">
        <v>138</v>
      </c>
      <c r="D313" t="s">
        <v>21</v>
      </c>
      <c r="E313" t="s">
        <v>22</v>
      </c>
      <c r="F313" t="s">
        <v>22</v>
      </c>
      <c r="G313">
        <v>0</v>
      </c>
      <c r="H313">
        <v>170.5</v>
      </c>
      <c r="I313">
        <v>87</v>
      </c>
      <c r="J313">
        <v>28.99</v>
      </c>
      <c r="K313">
        <v>118.2</v>
      </c>
      <c r="L313">
        <v>116</v>
      </c>
      <c r="M313">
        <v>10.050000000000001</v>
      </c>
      <c r="N313">
        <v>187.9</v>
      </c>
      <c r="O313">
        <v>111</v>
      </c>
      <c r="P313">
        <v>8.4600000000000009</v>
      </c>
      <c r="Q313">
        <v>11.2</v>
      </c>
      <c r="R313">
        <v>7</v>
      </c>
      <c r="S313">
        <v>3.02</v>
      </c>
      <c r="T313">
        <v>2</v>
      </c>
      <c r="U313" t="s">
        <v>22</v>
      </c>
      <c r="V313" t="e">
        <f>IF(#REF! = "yes", 1, 0)</f>
        <v>#REF!</v>
      </c>
      <c r="W313" t="e">
        <f>IF(#REF! &lt;= 1, "0-1 Calls", IF(#REF! &lt;= 3, "2-3 Calls", IF(#REF! &lt;=5, "4-5 Calls", "6+ Calls")))</f>
        <v>#REF!</v>
      </c>
      <c r="X313" t="e">
        <f>IF(#REF! &lt;= 50, "0-50", IF(#REF! &lt;=100, "51-100", IF(#REF! &lt;= 150, "101-150", "151+")))</f>
        <v>#REF!</v>
      </c>
      <c r="Y313" t="e">
        <f>IF(#REF! &lt;= 3, "Low Charges", "High Charges")</f>
        <v>#REF!</v>
      </c>
      <c r="Z313" t="e">
        <f>IF(#REF!&lt;=80,"Low Calls",
IF(#REF!&lt;=120,"Medium Calls","High Calls"))</f>
        <v>#REF!</v>
      </c>
      <c r="AA313" t="e">
        <f>IF(#REF!&lt;=15,"Low Charges",
IF(#REF!&lt;=20,"Medium Charges","High Charges"))</f>
        <v>#REF!</v>
      </c>
      <c r="AB313" t="e">
        <f>IF(AND(#REF!&gt;180, #REF!&gt;200), "Heavy Doemstic User", IF(#REF!&gt;10, "Interntional User", IF(AND(#REF!&lt;180, #REF!&lt;200,#REF!&lt;200), "Light User", "Balanced User")))</f>
        <v>#REF!</v>
      </c>
      <c r="AC313" t="e">
        <f>IF(#REF! = 0, "No Usage", IF(#REF! &lt;= 20, "Low Usage", IF(#REF! &lt;= 40, "Medium Usgae", "High Usage")))</f>
        <v>#REF!</v>
      </c>
      <c r="AD313" t="e">
        <f>IF(#REF!&lt;=150,"Low Usage", IF(#REF!&lt;=200,"Medium Usage", IF(#REF!&lt;=250,"High Usage","Very High Usage")))</f>
        <v>#REF!</v>
      </c>
      <c r="AE313" t="e">
        <f>IF(#REF!&lt;=5,"Low Calls", IF(#REF!&lt;=10, "Medium Calls", "High Calls"))</f>
        <v>#REF!</v>
      </c>
      <c r="AF313" t="e">
        <f xml:space="preserve">
IF(#REF!&gt;=4,4,0)+
IF(#REF!="yes",3,0)+
IF(#REF!="High Charges",3,0)+
IF(#REF!&gt;250,4,0)+
IF(#REF!="no",1,0)+
IF(#REF!="Heavy Domestic User",2,0)</f>
        <v>#REF!</v>
      </c>
      <c r="AG313" t="e">
        <f>IF(#REF!&gt;=10,"High Risk", IF(#REF!&gt;=5,"Medium Risk","Low Risk"))</f>
        <v>#REF!</v>
      </c>
      <c r="AH313" t="e">
        <f>#REF! + #REF! + #REF! + #REF!</f>
        <v>#REF!</v>
      </c>
    </row>
    <row r="314" spans="1:34" x14ac:dyDescent="0.35">
      <c r="A314">
        <v>313</v>
      </c>
      <c r="B314" t="s">
        <v>75</v>
      </c>
      <c r="C314">
        <v>79</v>
      </c>
      <c r="D314" t="s">
        <v>25</v>
      </c>
      <c r="E314" t="s">
        <v>22</v>
      </c>
      <c r="F314" t="s">
        <v>22</v>
      </c>
      <c r="G314">
        <v>0</v>
      </c>
      <c r="H314">
        <v>205.7</v>
      </c>
      <c r="I314">
        <v>123</v>
      </c>
      <c r="J314">
        <v>34.97</v>
      </c>
      <c r="K314">
        <v>214.5</v>
      </c>
      <c r="L314">
        <v>108</v>
      </c>
      <c r="M314">
        <v>18.23</v>
      </c>
      <c r="N314">
        <v>226.1</v>
      </c>
      <c r="O314">
        <v>106</v>
      </c>
      <c r="P314">
        <v>10.17</v>
      </c>
      <c r="Q314">
        <v>6.7</v>
      </c>
      <c r="R314">
        <v>18</v>
      </c>
      <c r="S314">
        <v>1.81</v>
      </c>
      <c r="T314">
        <v>1</v>
      </c>
      <c r="U314" t="s">
        <v>22</v>
      </c>
      <c r="V314" t="e">
        <f>IF(#REF! = "yes", 1, 0)</f>
        <v>#REF!</v>
      </c>
      <c r="W314" t="e">
        <f>IF(#REF! &lt;= 1, "0-1 Calls", IF(#REF! &lt;= 3, "2-3 Calls", IF(#REF! &lt;=5, "4-5 Calls", "6+ Calls")))</f>
        <v>#REF!</v>
      </c>
      <c r="X314" t="e">
        <f>IF(#REF! &lt;= 50, "0-50", IF(#REF! &lt;=100, "51-100", IF(#REF! &lt;= 150, "101-150", "151+")))</f>
        <v>#REF!</v>
      </c>
      <c r="Y314" t="e">
        <f>IF(#REF! &lt;= 3, "Low Charges", "High Charges")</f>
        <v>#REF!</v>
      </c>
      <c r="Z314" t="e">
        <f>IF(#REF!&lt;=80,"Low Calls",
IF(#REF!&lt;=120,"Medium Calls","High Calls"))</f>
        <v>#REF!</v>
      </c>
      <c r="AA314" t="e">
        <f>IF(#REF!&lt;=15,"Low Charges",
IF(#REF!&lt;=20,"Medium Charges","High Charges"))</f>
        <v>#REF!</v>
      </c>
      <c r="AB314" t="e">
        <f>IF(AND(#REF!&gt;180, #REF!&gt;200), "Heavy Doemstic User", IF(#REF!&gt;10, "Interntional User", IF(AND(#REF!&lt;180, #REF!&lt;200,#REF!&lt;200), "Light User", "Balanced User")))</f>
        <v>#REF!</v>
      </c>
      <c r="AC314" t="e">
        <f>IF(#REF! = 0, "No Usage", IF(#REF! &lt;= 20, "Low Usage", IF(#REF! &lt;= 40, "Medium Usgae", "High Usage")))</f>
        <v>#REF!</v>
      </c>
      <c r="AD314" t="e">
        <f>IF(#REF!&lt;=150,"Low Usage", IF(#REF!&lt;=200,"Medium Usage", IF(#REF!&lt;=250,"High Usage","Very High Usage")))</f>
        <v>#REF!</v>
      </c>
      <c r="AE314" t="e">
        <f>IF(#REF!&lt;=5,"Low Calls", IF(#REF!&lt;=10, "Medium Calls", "High Calls"))</f>
        <v>#REF!</v>
      </c>
      <c r="AF314" t="e">
        <f xml:space="preserve">
IF(#REF!&gt;=4,4,0)+
IF(#REF!="yes",3,0)+
IF(#REF!="High Charges",3,0)+
IF(#REF!&gt;250,4,0)+
IF(#REF!="no",1,0)+
IF(#REF!="Heavy Domestic User",2,0)</f>
        <v>#REF!</v>
      </c>
      <c r="AG314" t="e">
        <f>IF(#REF!&gt;=10,"High Risk", IF(#REF!&gt;=5,"Medium Risk","Low Risk"))</f>
        <v>#REF!</v>
      </c>
      <c r="AH314" t="e">
        <f>#REF! + #REF! + #REF! + #REF!</f>
        <v>#REF!</v>
      </c>
    </row>
    <row r="315" spans="1:34" x14ac:dyDescent="0.35">
      <c r="A315">
        <v>314</v>
      </c>
      <c r="B315" t="s">
        <v>29</v>
      </c>
      <c r="C315">
        <v>95</v>
      </c>
      <c r="D315" t="s">
        <v>21</v>
      </c>
      <c r="E315" t="s">
        <v>23</v>
      </c>
      <c r="F315" t="s">
        <v>22</v>
      </c>
      <c r="G315">
        <v>0</v>
      </c>
      <c r="H315">
        <v>165.5</v>
      </c>
      <c r="I315">
        <v>84</v>
      </c>
      <c r="J315">
        <v>28.14</v>
      </c>
      <c r="K315">
        <v>286.2</v>
      </c>
      <c r="L315">
        <v>112</v>
      </c>
      <c r="M315">
        <v>24.33</v>
      </c>
      <c r="N315">
        <v>198.9</v>
      </c>
      <c r="O315">
        <v>89</v>
      </c>
      <c r="P315">
        <v>8.9499999999999993</v>
      </c>
      <c r="Q315">
        <v>11.5</v>
      </c>
      <c r="R315">
        <v>2</v>
      </c>
      <c r="S315">
        <v>3.11</v>
      </c>
      <c r="T315">
        <v>1</v>
      </c>
      <c r="U315" t="s">
        <v>23</v>
      </c>
      <c r="V315" t="e">
        <f>IF(#REF! = "yes", 1, 0)</f>
        <v>#REF!</v>
      </c>
      <c r="W315" t="e">
        <f>IF(#REF! &lt;= 1, "0-1 Calls", IF(#REF! &lt;= 3, "2-3 Calls", IF(#REF! &lt;=5, "4-5 Calls", "6+ Calls")))</f>
        <v>#REF!</v>
      </c>
      <c r="X315" t="e">
        <f>IF(#REF! &lt;= 50, "0-50", IF(#REF! &lt;=100, "51-100", IF(#REF! &lt;= 150, "101-150", "151+")))</f>
        <v>#REF!</v>
      </c>
      <c r="Y315" t="e">
        <f>IF(#REF! &lt;= 3, "Low Charges", "High Charges")</f>
        <v>#REF!</v>
      </c>
      <c r="Z315" t="e">
        <f>IF(#REF!&lt;=80,"Low Calls",
IF(#REF!&lt;=120,"Medium Calls","High Calls"))</f>
        <v>#REF!</v>
      </c>
      <c r="AA315" t="e">
        <f>IF(#REF!&lt;=15,"Low Charges",
IF(#REF!&lt;=20,"Medium Charges","High Charges"))</f>
        <v>#REF!</v>
      </c>
      <c r="AB315" t="e">
        <f>IF(AND(#REF!&gt;180, #REF!&gt;200), "Heavy Doemstic User", IF(#REF!&gt;10, "Interntional User", IF(AND(#REF!&lt;180, #REF!&lt;200,#REF!&lt;200), "Light User", "Balanced User")))</f>
        <v>#REF!</v>
      </c>
      <c r="AC315" t="e">
        <f>IF(#REF! = 0, "No Usage", IF(#REF! &lt;= 20, "Low Usage", IF(#REF! &lt;= 40, "Medium Usgae", "High Usage")))</f>
        <v>#REF!</v>
      </c>
      <c r="AD315" t="e">
        <f>IF(#REF!&lt;=150,"Low Usage", IF(#REF!&lt;=200,"Medium Usage", IF(#REF!&lt;=250,"High Usage","Very High Usage")))</f>
        <v>#REF!</v>
      </c>
      <c r="AE315" t="e">
        <f>IF(#REF!&lt;=5,"Low Calls", IF(#REF!&lt;=10, "Medium Calls", "High Calls"))</f>
        <v>#REF!</v>
      </c>
      <c r="AF315" t="e">
        <f xml:space="preserve">
IF(#REF!&gt;=4,4,0)+
IF(#REF!="yes",3,0)+
IF(#REF!="High Charges",3,0)+
IF(#REF!&gt;250,4,0)+
IF(#REF!="no",1,0)+
IF(#REF!="Heavy Domestic User",2,0)</f>
        <v>#REF!</v>
      </c>
      <c r="AG315" t="e">
        <f>IF(#REF!&gt;=10,"High Risk", IF(#REF!&gt;=5,"Medium Risk","Low Risk"))</f>
        <v>#REF!</v>
      </c>
      <c r="AH315" t="e">
        <f>#REF! + #REF! + #REF! + #REF!</f>
        <v>#REF!</v>
      </c>
    </row>
    <row r="316" spans="1:34" x14ac:dyDescent="0.35">
      <c r="A316">
        <v>315</v>
      </c>
      <c r="B316" t="s">
        <v>70</v>
      </c>
      <c r="C316">
        <v>127</v>
      </c>
      <c r="D316" t="s">
        <v>21</v>
      </c>
      <c r="E316" t="s">
        <v>22</v>
      </c>
      <c r="F316" t="s">
        <v>22</v>
      </c>
      <c r="G316">
        <v>0</v>
      </c>
      <c r="H316">
        <v>221</v>
      </c>
      <c r="I316">
        <v>100</v>
      </c>
      <c r="J316">
        <v>37.57</v>
      </c>
      <c r="K316">
        <v>160.69999999999999</v>
      </c>
      <c r="L316">
        <v>113</v>
      </c>
      <c r="M316">
        <v>13.66</v>
      </c>
      <c r="N316">
        <v>233.1</v>
      </c>
      <c r="O316">
        <v>96</v>
      </c>
      <c r="P316">
        <v>10.49</v>
      </c>
      <c r="Q316">
        <v>6.8</v>
      </c>
      <c r="R316">
        <v>4</v>
      </c>
      <c r="S316">
        <v>1.84</v>
      </c>
      <c r="T316">
        <v>2</v>
      </c>
      <c r="U316" t="s">
        <v>22</v>
      </c>
      <c r="V316" t="e">
        <f>IF(#REF! = "yes", 1, 0)</f>
        <v>#REF!</v>
      </c>
      <c r="W316" t="e">
        <f>IF(#REF! &lt;= 1, "0-1 Calls", IF(#REF! &lt;= 3, "2-3 Calls", IF(#REF! &lt;=5, "4-5 Calls", "6+ Calls")))</f>
        <v>#REF!</v>
      </c>
      <c r="X316" t="e">
        <f>IF(#REF! &lt;= 50, "0-50", IF(#REF! &lt;=100, "51-100", IF(#REF! &lt;= 150, "101-150", "151+")))</f>
        <v>#REF!</v>
      </c>
      <c r="Y316" t="e">
        <f>IF(#REF! &lt;= 3, "Low Charges", "High Charges")</f>
        <v>#REF!</v>
      </c>
      <c r="Z316" t="e">
        <f>IF(#REF!&lt;=80,"Low Calls",
IF(#REF!&lt;=120,"Medium Calls","High Calls"))</f>
        <v>#REF!</v>
      </c>
      <c r="AA316" t="e">
        <f>IF(#REF!&lt;=15,"Low Charges",
IF(#REF!&lt;=20,"Medium Charges","High Charges"))</f>
        <v>#REF!</v>
      </c>
      <c r="AB316" t="e">
        <f>IF(AND(#REF!&gt;180, #REF!&gt;200), "Heavy Doemstic User", IF(#REF!&gt;10, "Interntional User", IF(AND(#REF!&lt;180, #REF!&lt;200,#REF!&lt;200), "Light User", "Balanced User")))</f>
        <v>#REF!</v>
      </c>
      <c r="AC316" t="e">
        <f>IF(#REF! = 0, "No Usage", IF(#REF! &lt;= 20, "Low Usage", IF(#REF! &lt;= 40, "Medium Usgae", "High Usage")))</f>
        <v>#REF!</v>
      </c>
      <c r="AD316" t="e">
        <f>IF(#REF!&lt;=150,"Low Usage", IF(#REF!&lt;=200,"Medium Usage", IF(#REF!&lt;=250,"High Usage","Very High Usage")))</f>
        <v>#REF!</v>
      </c>
      <c r="AE316" t="e">
        <f>IF(#REF!&lt;=5,"Low Calls", IF(#REF!&lt;=10, "Medium Calls", "High Calls"))</f>
        <v>#REF!</v>
      </c>
      <c r="AF316" t="e">
        <f xml:space="preserve">
IF(#REF!&gt;=4,4,0)+
IF(#REF!="yes",3,0)+
IF(#REF!="High Charges",3,0)+
IF(#REF!&gt;250,4,0)+
IF(#REF!="no",1,0)+
IF(#REF!="Heavy Domestic User",2,0)</f>
        <v>#REF!</v>
      </c>
      <c r="AG316" t="e">
        <f>IF(#REF!&gt;=10,"High Risk", IF(#REF!&gt;=5,"Medium Risk","Low Risk"))</f>
        <v>#REF!</v>
      </c>
      <c r="AH316" t="e">
        <f>#REF! + #REF! + #REF! + #REF!</f>
        <v>#REF!</v>
      </c>
    </row>
    <row r="317" spans="1:34" x14ac:dyDescent="0.35">
      <c r="A317">
        <v>316</v>
      </c>
      <c r="B317" t="s">
        <v>57</v>
      </c>
      <c r="C317">
        <v>137</v>
      </c>
      <c r="D317" t="s">
        <v>28</v>
      </c>
      <c r="E317" t="s">
        <v>22</v>
      </c>
      <c r="F317" t="s">
        <v>22</v>
      </c>
      <c r="G317">
        <v>0</v>
      </c>
      <c r="H317">
        <v>242.1</v>
      </c>
      <c r="I317">
        <v>118</v>
      </c>
      <c r="J317">
        <v>41.16</v>
      </c>
      <c r="K317">
        <v>191</v>
      </c>
      <c r="L317">
        <v>93</v>
      </c>
      <c r="M317">
        <v>16.239999999999998</v>
      </c>
      <c r="N317">
        <v>218.6</v>
      </c>
      <c r="O317">
        <v>50</v>
      </c>
      <c r="P317">
        <v>9.84</v>
      </c>
      <c r="Q317">
        <v>14.7</v>
      </c>
      <c r="R317">
        <v>2</v>
      </c>
      <c r="S317">
        <v>3.97</v>
      </c>
      <c r="T317">
        <v>3</v>
      </c>
      <c r="U317" t="s">
        <v>22</v>
      </c>
      <c r="V317" t="e">
        <f>IF(#REF! = "yes", 1, 0)</f>
        <v>#REF!</v>
      </c>
      <c r="W317" t="e">
        <f>IF(#REF! &lt;= 1, "0-1 Calls", IF(#REF! &lt;= 3, "2-3 Calls", IF(#REF! &lt;=5, "4-5 Calls", "6+ Calls")))</f>
        <v>#REF!</v>
      </c>
      <c r="X317" t="e">
        <f>IF(#REF! &lt;= 50, "0-50", IF(#REF! &lt;=100, "51-100", IF(#REF! &lt;= 150, "101-150", "151+")))</f>
        <v>#REF!</v>
      </c>
      <c r="Y317" t="e">
        <f>IF(#REF! &lt;= 3, "Low Charges", "High Charges")</f>
        <v>#REF!</v>
      </c>
      <c r="Z317" t="e">
        <f>IF(#REF!&lt;=80,"Low Calls",
IF(#REF!&lt;=120,"Medium Calls","High Calls"))</f>
        <v>#REF!</v>
      </c>
      <c r="AA317" t="e">
        <f>IF(#REF!&lt;=15,"Low Charges",
IF(#REF!&lt;=20,"Medium Charges","High Charges"))</f>
        <v>#REF!</v>
      </c>
      <c r="AB317" t="e">
        <f>IF(AND(#REF!&gt;180, #REF!&gt;200), "Heavy Doemstic User", IF(#REF!&gt;10, "Interntional User", IF(AND(#REF!&lt;180, #REF!&lt;200,#REF!&lt;200), "Light User", "Balanced User")))</f>
        <v>#REF!</v>
      </c>
      <c r="AC317" t="e">
        <f>IF(#REF! = 0, "No Usage", IF(#REF! &lt;= 20, "Low Usage", IF(#REF! &lt;= 40, "Medium Usgae", "High Usage")))</f>
        <v>#REF!</v>
      </c>
      <c r="AD317" t="e">
        <f>IF(#REF!&lt;=150,"Low Usage", IF(#REF!&lt;=200,"Medium Usage", IF(#REF!&lt;=250,"High Usage","Very High Usage")))</f>
        <v>#REF!</v>
      </c>
      <c r="AE317" t="e">
        <f>IF(#REF!&lt;=5,"Low Calls", IF(#REF!&lt;=10, "Medium Calls", "High Calls"))</f>
        <v>#REF!</v>
      </c>
      <c r="AF317" t="e">
        <f xml:space="preserve">
IF(#REF!&gt;=4,4,0)+
IF(#REF!="yes",3,0)+
IF(#REF!="High Charges",3,0)+
IF(#REF!&gt;250,4,0)+
IF(#REF!="no",1,0)+
IF(#REF!="Heavy Domestic User",2,0)</f>
        <v>#REF!</v>
      </c>
      <c r="AG317" t="e">
        <f>IF(#REF!&gt;=10,"High Risk", IF(#REF!&gt;=5,"Medium Risk","Low Risk"))</f>
        <v>#REF!</v>
      </c>
      <c r="AH317" t="e">
        <f>#REF! + #REF! + #REF! + #REF!</f>
        <v>#REF!</v>
      </c>
    </row>
    <row r="318" spans="1:34" x14ac:dyDescent="0.35">
      <c r="A318">
        <v>317</v>
      </c>
      <c r="B318" t="s">
        <v>26</v>
      </c>
      <c r="C318">
        <v>97</v>
      </c>
      <c r="D318" t="s">
        <v>21</v>
      </c>
      <c r="E318" t="s">
        <v>22</v>
      </c>
      <c r="F318" t="s">
        <v>22</v>
      </c>
      <c r="G318">
        <v>0</v>
      </c>
      <c r="H318">
        <v>151.6</v>
      </c>
      <c r="I318">
        <v>107</v>
      </c>
      <c r="J318">
        <v>25.77</v>
      </c>
      <c r="K318">
        <v>155.4</v>
      </c>
      <c r="L318">
        <v>96</v>
      </c>
      <c r="M318">
        <v>13.21</v>
      </c>
      <c r="N318">
        <v>240</v>
      </c>
      <c r="O318">
        <v>112</v>
      </c>
      <c r="P318">
        <v>10.8</v>
      </c>
      <c r="Q318">
        <v>14.7</v>
      </c>
      <c r="R318">
        <v>4</v>
      </c>
      <c r="S318">
        <v>3.97</v>
      </c>
      <c r="T318">
        <v>1</v>
      </c>
      <c r="U318" t="s">
        <v>22</v>
      </c>
      <c r="V318" t="e">
        <f>IF(#REF! = "yes", 1, 0)</f>
        <v>#REF!</v>
      </c>
      <c r="W318" t="e">
        <f>IF(#REF! &lt;= 1, "0-1 Calls", IF(#REF! &lt;= 3, "2-3 Calls", IF(#REF! &lt;=5, "4-5 Calls", "6+ Calls")))</f>
        <v>#REF!</v>
      </c>
      <c r="X318" t="e">
        <f>IF(#REF! &lt;= 50, "0-50", IF(#REF! &lt;=100, "51-100", IF(#REF! &lt;= 150, "101-150", "151+")))</f>
        <v>#REF!</v>
      </c>
      <c r="Y318" t="e">
        <f>IF(#REF! &lt;= 3, "Low Charges", "High Charges")</f>
        <v>#REF!</v>
      </c>
      <c r="Z318" t="e">
        <f>IF(#REF!&lt;=80,"Low Calls",
IF(#REF!&lt;=120,"Medium Calls","High Calls"))</f>
        <v>#REF!</v>
      </c>
      <c r="AA318" t="e">
        <f>IF(#REF!&lt;=15,"Low Charges",
IF(#REF!&lt;=20,"Medium Charges","High Charges"))</f>
        <v>#REF!</v>
      </c>
      <c r="AB318" t="e">
        <f>IF(AND(#REF!&gt;180, #REF!&gt;200), "Heavy Doemstic User", IF(#REF!&gt;10, "Interntional User", IF(AND(#REF!&lt;180, #REF!&lt;200,#REF!&lt;200), "Light User", "Balanced User")))</f>
        <v>#REF!</v>
      </c>
      <c r="AC318" t="e">
        <f>IF(#REF! = 0, "No Usage", IF(#REF! &lt;= 20, "Low Usage", IF(#REF! &lt;= 40, "Medium Usgae", "High Usage")))</f>
        <v>#REF!</v>
      </c>
      <c r="AD318" t="e">
        <f>IF(#REF!&lt;=150,"Low Usage", IF(#REF!&lt;=200,"Medium Usage", IF(#REF!&lt;=250,"High Usage","Very High Usage")))</f>
        <v>#REF!</v>
      </c>
      <c r="AE318" t="e">
        <f>IF(#REF!&lt;=5,"Low Calls", IF(#REF!&lt;=10, "Medium Calls", "High Calls"))</f>
        <v>#REF!</v>
      </c>
      <c r="AF318" t="e">
        <f xml:space="preserve">
IF(#REF!&gt;=4,4,0)+
IF(#REF!="yes",3,0)+
IF(#REF!="High Charges",3,0)+
IF(#REF!&gt;250,4,0)+
IF(#REF!="no",1,0)+
IF(#REF!="Heavy Domestic User",2,0)</f>
        <v>#REF!</v>
      </c>
      <c r="AG318" t="e">
        <f>IF(#REF!&gt;=10,"High Risk", IF(#REF!&gt;=5,"Medium Risk","Low Risk"))</f>
        <v>#REF!</v>
      </c>
      <c r="AH318" t="e">
        <f>#REF! + #REF! + #REF! + #REF!</f>
        <v>#REF!</v>
      </c>
    </row>
    <row r="319" spans="1:34" x14ac:dyDescent="0.35">
      <c r="A319">
        <v>318</v>
      </c>
      <c r="B319" t="s">
        <v>52</v>
      </c>
      <c r="C319">
        <v>149</v>
      </c>
      <c r="D319" t="s">
        <v>21</v>
      </c>
      <c r="E319" t="s">
        <v>23</v>
      </c>
      <c r="F319" t="s">
        <v>22</v>
      </c>
      <c r="G319">
        <v>0</v>
      </c>
      <c r="H319">
        <v>176.2</v>
      </c>
      <c r="I319">
        <v>87</v>
      </c>
      <c r="J319">
        <v>29.95</v>
      </c>
      <c r="K319">
        <v>145</v>
      </c>
      <c r="L319">
        <v>81</v>
      </c>
      <c r="M319">
        <v>12.33</v>
      </c>
      <c r="N319">
        <v>249.5</v>
      </c>
      <c r="O319">
        <v>92</v>
      </c>
      <c r="P319">
        <v>11.23</v>
      </c>
      <c r="Q319">
        <v>5.7</v>
      </c>
      <c r="R319">
        <v>4</v>
      </c>
      <c r="S319">
        <v>1.54</v>
      </c>
      <c r="T319">
        <v>0</v>
      </c>
      <c r="U319" t="s">
        <v>22</v>
      </c>
      <c r="V319" t="e">
        <f>IF(#REF! = "yes", 1, 0)</f>
        <v>#REF!</v>
      </c>
      <c r="W319" t="e">
        <f>IF(#REF! &lt;= 1, "0-1 Calls", IF(#REF! &lt;= 3, "2-3 Calls", IF(#REF! &lt;=5, "4-5 Calls", "6+ Calls")))</f>
        <v>#REF!</v>
      </c>
      <c r="X319" t="e">
        <f>IF(#REF! &lt;= 50, "0-50", IF(#REF! &lt;=100, "51-100", IF(#REF! &lt;= 150, "101-150", "151+")))</f>
        <v>#REF!</v>
      </c>
      <c r="Y319" t="e">
        <f>IF(#REF! &lt;= 3, "Low Charges", "High Charges")</f>
        <v>#REF!</v>
      </c>
      <c r="Z319" t="e">
        <f>IF(#REF!&lt;=80,"Low Calls",
IF(#REF!&lt;=120,"Medium Calls","High Calls"))</f>
        <v>#REF!</v>
      </c>
      <c r="AA319" t="e">
        <f>IF(#REF!&lt;=15,"Low Charges",
IF(#REF!&lt;=20,"Medium Charges","High Charges"))</f>
        <v>#REF!</v>
      </c>
      <c r="AB319" t="e">
        <f>IF(AND(#REF!&gt;180, #REF!&gt;200), "Heavy Doemstic User", IF(#REF!&gt;10, "Interntional User", IF(AND(#REF!&lt;180, #REF!&lt;200,#REF!&lt;200), "Light User", "Balanced User")))</f>
        <v>#REF!</v>
      </c>
      <c r="AC319" t="e">
        <f>IF(#REF! = 0, "No Usage", IF(#REF! &lt;= 20, "Low Usage", IF(#REF! &lt;= 40, "Medium Usgae", "High Usage")))</f>
        <v>#REF!</v>
      </c>
      <c r="AD319" t="e">
        <f>IF(#REF!&lt;=150,"Low Usage", IF(#REF!&lt;=200,"Medium Usage", IF(#REF!&lt;=250,"High Usage","Very High Usage")))</f>
        <v>#REF!</v>
      </c>
      <c r="AE319" t="e">
        <f>IF(#REF!&lt;=5,"Low Calls", IF(#REF!&lt;=10, "Medium Calls", "High Calls"))</f>
        <v>#REF!</v>
      </c>
      <c r="AF319" t="e">
        <f xml:space="preserve">
IF(#REF!&gt;=4,4,0)+
IF(#REF!="yes",3,0)+
IF(#REF!="High Charges",3,0)+
IF(#REF!&gt;250,4,0)+
IF(#REF!="no",1,0)+
IF(#REF!="Heavy Domestic User",2,0)</f>
        <v>#REF!</v>
      </c>
      <c r="AG319" t="e">
        <f>IF(#REF!&gt;=10,"High Risk", IF(#REF!&gt;=5,"Medium Risk","Low Risk"))</f>
        <v>#REF!</v>
      </c>
      <c r="AH319" t="e">
        <f>#REF! + #REF! + #REF! + #REF!</f>
        <v>#REF!</v>
      </c>
    </row>
    <row r="320" spans="1:34" x14ac:dyDescent="0.35">
      <c r="A320">
        <v>319</v>
      </c>
      <c r="B320" t="s">
        <v>32</v>
      </c>
      <c r="C320">
        <v>117</v>
      </c>
      <c r="D320" t="s">
        <v>21</v>
      </c>
      <c r="E320" t="s">
        <v>23</v>
      </c>
      <c r="F320" t="s">
        <v>23</v>
      </c>
      <c r="G320">
        <v>22</v>
      </c>
      <c r="H320">
        <v>196</v>
      </c>
      <c r="I320">
        <v>82</v>
      </c>
      <c r="J320">
        <v>33.32</v>
      </c>
      <c r="K320">
        <v>322.7</v>
      </c>
      <c r="L320">
        <v>82</v>
      </c>
      <c r="M320">
        <v>27.43</v>
      </c>
      <c r="N320">
        <v>225.6</v>
      </c>
      <c r="O320">
        <v>120</v>
      </c>
      <c r="P320">
        <v>10.15</v>
      </c>
      <c r="Q320">
        <v>3.7</v>
      </c>
      <c r="R320">
        <v>5</v>
      </c>
      <c r="S320">
        <v>1</v>
      </c>
      <c r="T320">
        <v>1</v>
      </c>
      <c r="U320" t="s">
        <v>22</v>
      </c>
      <c r="V320" t="e">
        <f>IF(#REF! = "yes", 1, 0)</f>
        <v>#REF!</v>
      </c>
      <c r="W320" t="e">
        <f>IF(#REF! &lt;= 1, "0-1 Calls", IF(#REF! &lt;= 3, "2-3 Calls", IF(#REF! &lt;=5, "4-5 Calls", "6+ Calls")))</f>
        <v>#REF!</v>
      </c>
      <c r="X320" t="e">
        <f>IF(#REF! &lt;= 50, "0-50", IF(#REF! &lt;=100, "51-100", IF(#REF! &lt;= 150, "101-150", "151+")))</f>
        <v>#REF!</v>
      </c>
      <c r="Y320" t="e">
        <f>IF(#REF! &lt;= 3, "Low Charges", "High Charges")</f>
        <v>#REF!</v>
      </c>
      <c r="Z320" t="e">
        <f>IF(#REF!&lt;=80,"Low Calls",
IF(#REF!&lt;=120,"Medium Calls","High Calls"))</f>
        <v>#REF!</v>
      </c>
      <c r="AA320" t="e">
        <f>IF(#REF!&lt;=15,"Low Charges",
IF(#REF!&lt;=20,"Medium Charges","High Charges"))</f>
        <v>#REF!</v>
      </c>
      <c r="AB320" t="e">
        <f>IF(AND(#REF!&gt;180, #REF!&gt;200), "Heavy Doemstic User", IF(#REF!&gt;10, "Interntional User", IF(AND(#REF!&lt;180, #REF!&lt;200,#REF!&lt;200), "Light User", "Balanced User")))</f>
        <v>#REF!</v>
      </c>
      <c r="AC320" t="e">
        <f>IF(#REF! = 0, "No Usage", IF(#REF! &lt;= 20, "Low Usage", IF(#REF! &lt;= 40, "Medium Usgae", "High Usage")))</f>
        <v>#REF!</v>
      </c>
      <c r="AD320" t="e">
        <f>IF(#REF!&lt;=150,"Low Usage", IF(#REF!&lt;=200,"Medium Usage", IF(#REF!&lt;=250,"High Usage","Very High Usage")))</f>
        <v>#REF!</v>
      </c>
      <c r="AE320" t="e">
        <f>IF(#REF!&lt;=5,"Low Calls", IF(#REF!&lt;=10, "Medium Calls", "High Calls"))</f>
        <v>#REF!</v>
      </c>
      <c r="AF320" t="e">
        <f xml:space="preserve">
IF(#REF!&gt;=4,4,0)+
IF(#REF!="yes",3,0)+
IF(#REF!="High Charges",3,0)+
IF(#REF!&gt;250,4,0)+
IF(#REF!="no",1,0)+
IF(#REF!="Heavy Domestic User",2,0)</f>
        <v>#REF!</v>
      </c>
      <c r="AG320" t="e">
        <f>IF(#REF!&gt;=10,"High Risk", IF(#REF!&gt;=5,"Medium Risk","Low Risk"))</f>
        <v>#REF!</v>
      </c>
      <c r="AH320" t="e">
        <f>#REF! + #REF! + #REF! + #REF!</f>
        <v>#REF!</v>
      </c>
    </row>
    <row r="321" spans="1:34" x14ac:dyDescent="0.35">
      <c r="A321">
        <v>320</v>
      </c>
      <c r="B321" t="s">
        <v>20</v>
      </c>
      <c r="C321">
        <v>84</v>
      </c>
      <c r="D321" t="s">
        <v>25</v>
      </c>
      <c r="E321" t="s">
        <v>22</v>
      </c>
      <c r="F321" t="s">
        <v>22</v>
      </c>
      <c r="G321">
        <v>0</v>
      </c>
      <c r="H321">
        <v>159.5</v>
      </c>
      <c r="I321">
        <v>125</v>
      </c>
      <c r="J321">
        <v>27.12</v>
      </c>
      <c r="K321">
        <v>247.1</v>
      </c>
      <c r="L321">
        <v>90</v>
      </c>
      <c r="M321">
        <v>21</v>
      </c>
      <c r="N321">
        <v>187.9</v>
      </c>
      <c r="O321">
        <v>82</v>
      </c>
      <c r="P321">
        <v>8.4600000000000009</v>
      </c>
      <c r="Q321">
        <v>7.2</v>
      </c>
      <c r="R321">
        <v>4</v>
      </c>
      <c r="S321">
        <v>1.94</v>
      </c>
      <c r="T321">
        <v>2</v>
      </c>
      <c r="U321" t="s">
        <v>22</v>
      </c>
      <c r="V321" t="e">
        <f>IF(#REF! = "yes", 1, 0)</f>
        <v>#REF!</v>
      </c>
      <c r="W321" t="e">
        <f>IF(#REF! &lt;= 1, "0-1 Calls", IF(#REF! &lt;= 3, "2-3 Calls", IF(#REF! &lt;=5, "4-5 Calls", "6+ Calls")))</f>
        <v>#REF!</v>
      </c>
      <c r="X321" t="e">
        <f>IF(#REF! &lt;= 50, "0-50", IF(#REF! &lt;=100, "51-100", IF(#REF! &lt;= 150, "101-150", "151+")))</f>
        <v>#REF!</v>
      </c>
      <c r="Y321" t="e">
        <f>IF(#REF! &lt;= 3, "Low Charges", "High Charges")</f>
        <v>#REF!</v>
      </c>
      <c r="Z321" t="e">
        <f>IF(#REF!&lt;=80,"Low Calls",
IF(#REF!&lt;=120,"Medium Calls","High Calls"))</f>
        <v>#REF!</v>
      </c>
      <c r="AA321" t="e">
        <f>IF(#REF!&lt;=15,"Low Charges",
IF(#REF!&lt;=20,"Medium Charges","High Charges"))</f>
        <v>#REF!</v>
      </c>
      <c r="AB321" t="e">
        <f>IF(AND(#REF!&gt;180, #REF!&gt;200), "Heavy Doemstic User", IF(#REF!&gt;10, "Interntional User", IF(AND(#REF!&lt;180, #REF!&lt;200,#REF!&lt;200), "Light User", "Balanced User")))</f>
        <v>#REF!</v>
      </c>
      <c r="AC321" t="e">
        <f>IF(#REF! = 0, "No Usage", IF(#REF! &lt;= 20, "Low Usage", IF(#REF! &lt;= 40, "Medium Usgae", "High Usage")))</f>
        <v>#REF!</v>
      </c>
      <c r="AD321" t="e">
        <f>IF(#REF!&lt;=150,"Low Usage", IF(#REF!&lt;=200,"Medium Usage", IF(#REF!&lt;=250,"High Usage","Very High Usage")))</f>
        <v>#REF!</v>
      </c>
      <c r="AE321" t="e">
        <f>IF(#REF!&lt;=5,"Low Calls", IF(#REF!&lt;=10, "Medium Calls", "High Calls"))</f>
        <v>#REF!</v>
      </c>
      <c r="AF321" t="e">
        <f xml:space="preserve">
IF(#REF!&gt;=4,4,0)+
IF(#REF!="yes",3,0)+
IF(#REF!="High Charges",3,0)+
IF(#REF!&gt;250,4,0)+
IF(#REF!="no",1,0)+
IF(#REF!="Heavy Domestic User",2,0)</f>
        <v>#REF!</v>
      </c>
      <c r="AG321" t="e">
        <f>IF(#REF!&gt;=10,"High Risk", IF(#REF!&gt;=5,"Medium Risk","Low Risk"))</f>
        <v>#REF!</v>
      </c>
      <c r="AH321" t="e">
        <f>#REF! + #REF! + #REF! + #REF!</f>
        <v>#REF!</v>
      </c>
    </row>
    <row r="322" spans="1:34" x14ac:dyDescent="0.35">
      <c r="A322">
        <v>321</v>
      </c>
      <c r="B322" t="s">
        <v>70</v>
      </c>
      <c r="C322">
        <v>137</v>
      </c>
      <c r="D322" t="s">
        <v>21</v>
      </c>
      <c r="E322" t="s">
        <v>22</v>
      </c>
      <c r="F322" t="s">
        <v>22</v>
      </c>
      <c r="G322">
        <v>0</v>
      </c>
      <c r="H322">
        <v>230.2</v>
      </c>
      <c r="I322">
        <v>113</v>
      </c>
      <c r="J322">
        <v>39.130000000000003</v>
      </c>
      <c r="K322">
        <v>220.4</v>
      </c>
      <c r="L322">
        <v>79</v>
      </c>
      <c r="M322">
        <v>18.73</v>
      </c>
      <c r="N322">
        <v>204.7</v>
      </c>
      <c r="O322">
        <v>111</v>
      </c>
      <c r="P322">
        <v>9.2100000000000009</v>
      </c>
      <c r="Q322">
        <v>10.7</v>
      </c>
      <c r="R322">
        <v>7</v>
      </c>
      <c r="S322">
        <v>2.89</v>
      </c>
      <c r="T322">
        <v>4</v>
      </c>
      <c r="U322" t="s">
        <v>22</v>
      </c>
      <c r="V322" t="e">
        <f>IF(#REF! = "yes", 1, 0)</f>
        <v>#REF!</v>
      </c>
      <c r="W322" t="e">
        <f>IF(#REF! &lt;= 1, "0-1 Calls", IF(#REF! &lt;= 3, "2-3 Calls", IF(#REF! &lt;=5, "4-5 Calls", "6+ Calls")))</f>
        <v>#REF!</v>
      </c>
      <c r="X322" t="e">
        <f>IF(#REF! &lt;= 50, "0-50", IF(#REF! &lt;=100, "51-100", IF(#REF! &lt;= 150, "101-150", "151+")))</f>
        <v>#REF!</v>
      </c>
      <c r="Y322" t="e">
        <f>IF(#REF! &lt;= 3, "Low Charges", "High Charges")</f>
        <v>#REF!</v>
      </c>
      <c r="Z322" t="e">
        <f>IF(#REF!&lt;=80,"Low Calls",
IF(#REF!&lt;=120,"Medium Calls","High Calls"))</f>
        <v>#REF!</v>
      </c>
      <c r="AA322" t="e">
        <f>IF(#REF!&lt;=15,"Low Charges",
IF(#REF!&lt;=20,"Medium Charges","High Charges"))</f>
        <v>#REF!</v>
      </c>
      <c r="AB322" t="e">
        <f>IF(AND(#REF!&gt;180, #REF!&gt;200), "Heavy Doemstic User", IF(#REF!&gt;10, "Interntional User", IF(AND(#REF!&lt;180, #REF!&lt;200,#REF!&lt;200), "Light User", "Balanced User")))</f>
        <v>#REF!</v>
      </c>
      <c r="AC322" t="e">
        <f>IF(#REF! = 0, "No Usage", IF(#REF! &lt;= 20, "Low Usage", IF(#REF! &lt;= 40, "Medium Usgae", "High Usage")))</f>
        <v>#REF!</v>
      </c>
      <c r="AD322" t="e">
        <f>IF(#REF!&lt;=150,"Low Usage", IF(#REF!&lt;=200,"Medium Usage", IF(#REF!&lt;=250,"High Usage","Very High Usage")))</f>
        <v>#REF!</v>
      </c>
      <c r="AE322" t="e">
        <f>IF(#REF!&lt;=5,"Low Calls", IF(#REF!&lt;=10, "Medium Calls", "High Calls"))</f>
        <v>#REF!</v>
      </c>
      <c r="AF322" t="e">
        <f xml:space="preserve">
IF(#REF!&gt;=4,4,0)+
IF(#REF!="yes",3,0)+
IF(#REF!="High Charges",3,0)+
IF(#REF!&gt;250,4,0)+
IF(#REF!="no",1,0)+
IF(#REF!="Heavy Domestic User",2,0)</f>
        <v>#REF!</v>
      </c>
      <c r="AG322" t="e">
        <f>IF(#REF!&gt;=10,"High Risk", IF(#REF!&gt;=5,"Medium Risk","Low Risk"))</f>
        <v>#REF!</v>
      </c>
      <c r="AH322" t="e">
        <f>#REF! + #REF! + #REF! + #REF!</f>
        <v>#REF!</v>
      </c>
    </row>
    <row r="323" spans="1:34" x14ac:dyDescent="0.35">
      <c r="A323">
        <v>322</v>
      </c>
      <c r="B323" t="s">
        <v>46</v>
      </c>
      <c r="C323">
        <v>54</v>
      </c>
      <c r="D323" t="s">
        <v>28</v>
      </c>
      <c r="E323" t="s">
        <v>22</v>
      </c>
      <c r="F323" t="s">
        <v>22</v>
      </c>
      <c r="G323">
        <v>0</v>
      </c>
      <c r="H323">
        <v>210.5</v>
      </c>
      <c r="I323">
        <v>102</v>
      </c>
      <c r="J323">
        <v>35.79</v>
      </c>
      <c r="K323">
        <v>204.5</v>
      </c>
      <c r="L323">
        <v>83</v>
      </c>
      <c r="M323">
        <v>17.38</v>
      </c>
      <c r="N323">
        <v>127.8</v>
      </c>
      <c r="O323">
        <v>53</v>
      </c>
      <c r="P323">
        <v>5.75</v>
      </c>
      <c r="Q323">
        <v>8.5</v>
      </c>
      <c r="R323">
        <v>5</v>
      </c>
      <c r="S323">
        <v>2.2999999999999998</v>
      </c>
      <c r="T323">
        <v>1</v>
      </c>
      <c r="U323" t="s">
        <v>22</v>
      </c>
      <c r="V323" t="e">
        <f>IF(#REF! = "yes", 1, 0)</f>
        <v>#REF!</v>
      </c>
      <c r="W323" t="e">
        <f>IF(#REF! &lt;= 1, "0-1 Calls", IF(#REF! &lt;= 3, "2-3 Calls", IF(#REF! &lt;=5, "4-5 Calls", "6+ Calls")))</f>
        <v>#REF!</v>
      </c>
      <c r="X323" t="e">
        <f>IF(#REF! &lt;= 50, "0-50", IF(#REF! &lt;=100, "51-100", IF(#REF! &lt;= 150, "101-150", "151+")))</f>
        <v>#REF!</v>
      </c>
      <c r="Y323" t="e">
        <f>IF(#REF! &lt;= 3, "Low Charges", "High Charges")</f>
        <v>#REF!</v>
      </c>
      <c r="Z323" t="e">
        <f>IF(#REF!&lt;=80,"Low Calls",
IF(#REF!&lt;=120,"Medium Calls","High Calls"))</f>
        <v>#REF!</v>
      </c>
      <c r="AA323" t="e">
        <f>IF(#REF!&lt;=15,"Low Charges",
IF(#REF!&lt;=20,"Medium Charges","High Charges"))</f>
        <v>#REF!</v>
      </c>
      <c r="AB323" t="e">
        <f>IF(AND(#REF!&gt;180, #REF!&gt;200), "Heavy Doemstic User", IF(#REF!&gt;10, "Interntional User", IF(AND(#REF!&lt;180, #REF!&lt;200,#REF!&lt;200), "Light User", "Balanced User")))</f>
        <v>#REF!</v>
      </c>
      <c r="AC323" t="e">
        <f>IF(#REF! = 0, "No Usage", IF(#REF! &lt;= 20, "Low Usage", IF(#REF! &lt;= 40, "Medium Usgae", "High Usage")))</f>
        <v>#REF!</v>
      </c>
      <c r="AD323" t="e">
        <f>IF(#REF!&lt;=150,"Low Usage", IF(#REF!&lt;=200,"Medium Usage", IF(#REF!&lt;=250,"High Usage","Very High Usage")))</f>
        <v>#REF!</v>
      </c>
      <c r="AE323" t="e">
        <f>IF(#REF!&lt;=5,"Low Calls", IF(#REF!&lt;=10, "Medium Calls", "High Calls"))</f>
        <v>#REF!</v>
      </c>
      <c r="AF323" t="e">
        <f xml:space="preserve">
IF(#REF!&gt;=4,4,0)+
IF(#REF!="yes",3,0)+
IF(#REF!="High Charges",3,0)+
IF(#REF!&gt;250,4,0)+
IF(#REF!="no",1,0)+
IF(#REF!="Heavy Domestic User",2,0)</f>
        <v>#REF!</v>
      </c>
      <c r="AG323" t="e">
        <f>IF(#REF!&gt;=10,"High Risk", IF(#REF!&gt;=5,"Medium Risk","Low Risk"))</f>
        <v>#REF!</v>
      </c>
      <c r="AH323" t="e">
        <f>#REF! + #REF! + #REF! + #REF!</f>
        <v>#REF!</v>
      </c>
    </row>
    <row r="324" spans="1:34" x14ac:dyDescent="0.35">
      <c r="A324">
        <v>323</v>
      </c>
      <c r="B324" t="s">
        <v>51</v>
      </c>
      <c r="C324">
        <v>85</v>
      </c>
      <c r="D324" t="s">
        <v>21</v>
      </c>
      <c r="E324" t="s">
        <v>22</v>
      </c>
      <c r="F324" t="s">
        <v>22</v>
      </c>
      <c r="G324">
        <v>0</v>
      </c>
      <c r="H324">
        <v>102</v>
      </c>
      <c r="I324">
        <v>95</v>
      </c>
      <c r="J324">
        <v>17.34</v>
      </c>
      <c r="K324">
        <v>270.2</v>
      </c>
      <c r="L324">
        <v>139</v>
      </c>
      <c r="M324">
        <v>22.97</v>
      </c>
      <c r="N324">
        <v>148.19999999999999</v>
      </c>
      <c r="O324">
        <v>105</v>
      </c>
      <c r="P324">
        <v>6.67</v>
      </c>
      <c r="Q324">
        <v>10.7</v>
      </c>
      <c r="R324">
        <v>3</v>
      </c>
      <c r="S324">
        <v>2.89</v>
      </c>
      <c r="T324">
        <v>1</v>
      </c>
      <c r="U324" t="s">
        <v>22</v>
      </c>
      <c r="V324" t="e">
        <f>IF(#REF! = "yes", 1, 0)</f>
        <v>#REF!</v>
      </c>
      <c r="W324" t="e">
        <f>IF(#REF! &lt;= 1, "0-1 Calls", IF(#REF! &lt;= 3, "2-3 Calls", IF(#REF! &lt;=5, "4-5 Calls", "6+ Calls")))</f>
        <v>#REF!</v>
      </c>
      <c r="X324" t="e">
        <f>IF(#REF! &lt;= 50, "0-50", IF(#REF! &lt;=100, "51-100", IF(#REF! &lt;= 150, "101-150", "151+")))</f>
        <v>#REF!</v>
      </c>
      <c r="Y324" t="e">
        <f>IF(#REF! &lt;= 3, "Low Charges", "High Charges")</f>
        <v>#REF!</v>
      </c>
      <c r="Z324" t="e">
        <f>IF(#REF!&lt;=80,"Low Calls",
IF(#REF!&lt;=120,"Medium Calls","High Calls"))</f>
        <v>#REF!</v>
      </c>
      <c r="AA324" t="e">
        <f>IF(#REF!&lt;=15,"Low Charges",
IF(#REF!&lt;=20,"Medium Charges","High Charges"))</f>
        <v>#REF!</v>
      </c>
      <c r="AB324" t="e">
        <f>IF(AND(#REF!&gt;180, #REF!&gt;200), "Heavy Doemstic User", IF(#REF!&gt;10, "Interntional User", IF(AND(#REF!&lt;180, #REF!&lt;200,#REF!&lt;200), "Light User", "Balanced User")))</f>
        <v>#REF!</v>
      </c>
      <c r="AC324" t="e">
        <f>IF(#REF! = 0, "No Usage", IF(#REF! &lt;= 20, "Low Usage", IF(#REF! &lt;= 40, "Medium Usgae", "High Usage")))</f>
        <v>#REF!</v>
      </c>
      <c r="AD324" t="e">
        <f>IF(#REF!&lt;=150,"Low Usage", IF(#REF!&lt;=200,"Medium Usage", IF(#REF!&lt;=250,"High Usage","Very High Usage")))</f>
        <v>#REF!</v>
      </c>
      <c r="AE324" t="e">
        <f>IF(#REF!&lt;=5,"Low Calls", IF(#REF!&lt;=10, "Medium Calls", "High Calls"))</f>
        <v>#REF!</v>
      </c>
      <c r="AF324" t="e">
        <f xml:space="preserve">
IF(#REF!&gt;=4,4,0)+
IF(#REF!="yes",3,0)+
IF(#REF!="High Charges",3,0)+
IF(#REF!&gt;250,4,0)+
IF(#REF!="no",1,0)+
IF(#REF!="Heavy Domestic User",2,0)</f>
        <v>#REF!</v>
      </c>
      <c r="AG324" t="e">
        <f>IF(#REF!&gt;=10,"High Risk", IF(#REF!&gt;=5,"Medium Risk","Low Risk"))</f>
        <v>#REF!</v>
      </c>
      <c r="AH324" t="e">
        <f>#REF! + #REF! + #REF! + #REF!</f>
        <v>#REF!</v>
      </c>
    </row>
    <row r="325" spans="1:34" x14ac:dyDescent="0.35">
      <c r="A325">
        <v>324</v>
      </c>
      <c r="B325" t="s">
        <v>31</v>
      </c>
      <c r="C325">
        <v>43</v>
      </c>
      <c r="D325" t="s">
        <v>21</v>
      </c>
      <c r="E325" t="s">
        <v>22</v>
      </c>
      <c r="F325" t="s">
        <v>22</v>
      </c>
      <c r="G325">
        <v>0</v>
      </c>
      <c r="H325">
        <v>168.4</v>
      </c>
      <c r="I325">
        <v>125</v>
      </c>
      <c r="J325">
        <v>28.63</v>
      </c>
      <c r="K325">
        <v>243.8</v>
      </c>
      <c r="L325">
        <v>89</v>
      </c>
      <c r="M325">
        <v>20.72</v>
      </c>
      <c r="N325">
        <v>214.7</v>
      </c>
      <c r="O325">
        <v>102</v>
      </c>
      <c r="P325">
        <v>9.66</v>
      </c>
      <c r="Q325">
        <v>11.1</v>
      </c>
      <c r="R325">
        <v>2</v>
      </c>
      <c r="S325">
        <v>3</v>
      </c>
      <c r="T325">
        <v>1</v>
      </c>
      <c r="U325" t="s">
        <v>22</v>
      </c>
      <c r="V325" t="e">
        <f>IF(#REF! = "yes", 1, 0)</f>
        <v>#REF!</v>
      </c>
      <c r="W325" t="e">
        <f>IF(#REF! &lt;= 1, "0-1 Calls", IF(#REF! &lt;= 3, "2-3 Calls", IF(#REF! &lt;=5, "4-5 Calls", "6+ Calls")))</f>
        <v>#REF!</v>
      </c>
      <c r="X325" t="e">
        <f>IF(#REF! &lt;= 50, "0-50", IF(#REF! &lt;=100, "51-100", IF(#REF! &lt;= 150, "101-150", "151+")))</f>
        <v>#REF!</v>
      </c>
      <c r="Y325" t="e">
        <f>IF(#REF! &lt;= 3, "Low Charges", "High Charges")</f>
        <v>#REF!</v>
      </c>
      <c r="Z325" t="e">
        <f>IF(#REF!&lt;=80,"Low Calls",
IF(#REF!&lt;=120,"Medium Calls","High Calls"))</f>
        <v>#REF!</v>
      </c>
      <c r="AA325" t="e">
        <f>IF(#REF!&lt;=15,"Low Charges",
IF(#REF!&lt;=20,"Medium Charges","High Charges"))</f>
        <v>#REF!</v>
      </c>
      <c r="AB325" t="e">
        <f>IF(AND(#REF!&gt;180, #REF!&gt;200), "Heavy Doemstic User", IF(#REF!&gt;10, "Interntional User", IF(AND(#REF!&lt;180, #REF!&lt;200,#REF!&lt;200), "Light User", "Balanced User")))</f>
        <v>#REF!</v>
      </c>
      <c r="AC325" t="e">
        <f>IF(#REF! = 0, "No Usage", IF(#REF! &lt;= 20, "Low Usage", IF(#REF! &lt;= 40, "Medium Usgae", "High Usage")))</f>
        <v>#REF!</v>
      </c>
      <c r="AD325" t="e">
        <f>IF(#REF!&lt;=150,"Low Usage", IF(#REF!&lt;=200,"Medium Usage", IF(#REF!&lt;=250,"High Usage","Very High Usage")))</f>
        <v>#REF!</v>
      </c>
      <c r="AE325" t="e">
        <f>IF(#REF!&lt;=5,"Low Calls", IF(#REF!&lt;=10, "Medium Calls", "High Calls"))</f>
        <v>#REF!</v>
      </c>
      <c r="AF325" t="e">
        <f xml:space="preserve">
IF(#REF!&gt;=4,4,0)+
IF(#REF!="yes",3,0)+
IF(#REF!="High Charges",3,0)+
IF(#REF!&gt;250,4,0)+
IF(#REF!="no",1,0)+
IF(#REF!="Heavy Domestic User",2,0)</f>
        <v>#REF!</v>
      </c>
      <c r="AG325" t="e">
        <f>IF(#REF!&gt;=10,"High Risk", IF(#REF!&gt;=5,"Medium Risk","Low Risk"))</f>
        <v>#REF!</v>
      </c>
      <c r="AH325" t="e">
        <f>#REF! + #REF! + #REF! + #REF!</f>
        <v>#REF!</v>
      </c>
    </row>
    <row r="326" spans="1:34" x14ac:dyDescent="0.35">
      <c r="A326">
        <v>325</v>
      </c>
      <c r="B326" t="s">
        <v>27</v>
      </c>
      <c r="C326">
        <v>35</v>
      </c>
      <c r="D326" t="s">
        <v>21</v>
      </c>
      <c r="E326" t="s">
        <v>22</v>
      </c>
      <c r="F326" t="s">
        <v>22</v>
      </c>
      <c r="G326">
        <v>0</v>
      </c>
      <c r="H326">
        <v>105.6</v>
      </c>
      <c r="I326">
        <v>129</v>
      </c>
      <c r="J326">
        <v>17.95</v>
      </c>
      <c r="K326">
        <v>258.2</v>
      </c>
      <c r="L326">
        <v>129</v>
      </c>
      <c r="M326">
        <v>21.95</v>
      </c>
      <c r="N326">
        <v>213.1</v>
      </c>
      <c r="O326">
        <v>77</v>
      </c>
      <c r="P326">
        <v>9.59</v>
      </c>
      <c r="Q326">
        <v>8.6999999999999993</v>
      </c>
      <c r="R326">
        <v>3</v>
      </c>
      <c r="S326">
        <v>2.35</v>
      </c>
      <c r="T326">
        <v>0</v>
      </c>
      <c r="U326" t="s">
        <v>22</v>
      </c>
      <c r="V326" t="e">
        <f>IF(#REF! = "yes", 1, 0)</f>
        <v>#REF!</v>
      </c>
      <c r="W326" t="e">
        <f>IF(#REF! &lt;= 1, "0-1 Calls", IF(#REF! &lt;= 3, "2-3 Calls", IF(#REF! &lt;=5, "4-5 Calls", "6+ Calls")))</f>
        <v>#REF!</v>
      </c>
      <c r="X326" t="e">
        <f>IF(#REF! &lt;= 50, "0-50", IF(#REF! &lt;=100, "51-100", IF(#REF! &lt;= 150, "101-150", "151+")))</f>
        <v>#REF!</v>
      </c>
      <c r="Y326" t="e">
        <f>IF(#REF! &lt;= 3, "Low Charges", "High Charges")</f>
        <v>#REF!</v>
      </c>
      <c r="Z326" t="e">
        <f>IF(#REF!&lt;=80,"Low Calls",
IF(#REF!&lt;=120,"Medium Calls","High Calls"))</f>
        <v>#REF!</v>
      </c>
      <c r="AA326" t="e">
        <f>IF(#REF!&lt;=15,"Low Charges",
IF(#REF!&lt;=20,"Medium Charges","High Charges"))</f>
        <v>#REF!</v>
      </c>
      <c r="AB326" t="e">
        <f>IF(AND(#REF!&gt;180, #REF!&gt;200), "Heavy Doemstic User", IF(#REF!&gt;10, "Interntional User", IF(AND(#REF!&lt;180, #REF!&lt;200,#REF!&lt;200), "Light User", "Balanced User")))</f>
        <v>#REF!</v>
      </c>
      <c r="AC326" t="e">
        <f>IF(#REF! = 0, "No Usage", IF(#REF! &lt;= 20, "Low Usage", IF(#REF! &lt;= 40, "Medium Usgae", "High Usage")))</f>
        <v>#REF!</v>
      </c>
      <c r="AD326" t="e">
        <f>IF(#REF!&lt;=150,"Low Usage", IF(#REF!&lt;=200,"Medium Usage", IF(#REF!&lt;=250,"High Usage","Very High Usage")))</f>
        <v>#REF!</v>
      </c>
      <c r="AE326" t="e">
        <f>IF(#REF!&lt;=5,"Low Calls", IF(#REF!&lt;=10, "Medium Calls", "High Calls"))</f>
        <v>#REF!</v>
      </c>
      <c r="AF326" t="e">
        <f xml:space="preserve">
IF(#REF!&gt;=4,4,0)+
IF(#REF!="yes",3,0)+
IF(#REF!="High Charges",3,0)+
IF(#REF!&gt;250,4,0)+
IF(#REF!="no",1,0)+
IF(#REF!="Heavy Domestic User",2,0)</f>
        <v>#REF!</v>
      </c>
      <c r="AG326" t="e">
        <f>IF(#REF!&gt;=10,"High Risk", IF(#REF!&gt;=5,"Medium Risk","Low Risk"))</f>
        <v>#REF!</v>
      </c>
      <c r="AH326" t="e">
        <f>#REF! + #REF! + #REF! + #REF!</f>
        <v>#REF!</v>
      </c>
    </row>
    <row r="327" spans="1:34" x14ac:dyDescent="0.35">
      <c r="A327">
        <v>326</v>
      </c>
      <c r="B327" t="s">
        <v>49</v>
      </c>
      <c r="C327">
        <v>98</v>
      </c>
      <c r="D327" t="s">
        <v>21</v>
      </c>
      <c r="E327" t="s">
        <v>22</v>
      </c>
      <c r="F327" t="s">
        <v>22</v>
      </c>
      <c r="G327">
        <v>0</v>
      </c>
      <c r="H327">
        <v>206.5</v>
      </c>
      <c r="I327">
        <v>92</v>
      </c>
      <c r="J327">
        <v>35.11</v>
      </c>
      <c r="K327">
        <v>176.2</v>
      </c>
      <c r="L327">
        <v>152</v>
      </c>
      <c r="M327">
        <v>14.98</v>
      </c>
      <c r="N327">
        <v>232.8</v>
      </c>
      <c r="O327">
        <v>115</v>
      </c>
      <c r="P327">
        <v>10.48</v>
      </c>
      <c r="Q327">
        <v>12.4</v>
      </c>
      <c r="R327">
        <v>5</v>
      </c>
      <c r="S327">
        <v>3.35</v>
      </c>
      <c r="T327">
        <v>5</v>
      </c>
      <c r="U327" t="s">
        <v>22</v>
      </c>
      <c r="V327" t="e">
        <f>IF(#REF! = "yes", 1, 0)</f>
        <v>#REF!</v>
      </c>
      <c r="W327" t="e">
        <f>IF(#REF! &lt;= 1, "0-1 Calls", IF(#REF! &lt;= 3, "2-3 Calls", IF(#REF! &lt;=5, "4-5 Calls", "6+ Calls")))</f>
        <v>#REF!</v>
      </c>
      <c r="X327" t="e">
        <f>IF(#REF! &lt;= 50, "0-50", IF(#REF! &lt;=100, "51-100", IF(#REF! &lt;= 150, "101-150", "151+")))</f>
        <v>#REF!</v>
      </c>
      <c r="Y327" t="e">
        <f>IF(#REF! &lt;= 3, "Low Charges", "High Charges")</f>
        <v>#REF!</v>
      </c>
      <c r="Z327" t="e">
        <f>IF(#REF!&lt;=80,"Low Calls",
IF(#REF!&lt;=120,"Medium Calls","High Calls"))</f>
        <v>#REF!</v>
      </c>
      <c r="AA327" t="e">
        <f>IF(#REF!&lt;=15,"Low Charges",
IF(#REF!&lt;=20,"Medium Charges","High Charges"))</f>
        <v>#REF!</v>
      </c>
      <c r="AB327" t="e">
        <f>IF(AND(#REF!&gt;180, #REF!&gt;200), "Heavy Doemstic User", IF(#REF!&gt;10, "Interntional User", IF(AND(#REF!&lt;180, #REF!&lt;200,#REF!&lt;200), "Light User", "Balanced User")))</f>
        <v>#REF!</v>
      </c>
      <c r="AC327" t="e">
        <f>IF(#REF! = 0, "No Usage", IF(#REF! &lt;= 20, "Low Usage", IF(#REF! &lt;= 40, "Medium Usgae", "High Usage")))</f>
        <v>#REF!</v>
      </c>
      <c r="AD327" t="e">
        <f>IF(#REF!&lt;=150,"Low Usage", IF(#REF!&lt;=200,"Medium Usage", IF(#REF!&lt;=250,"High Usage","Very High Usage")))</f>
        <v>#REF!</v>
      </c>
      <c r="AE327" t="e">
        <f>IF(#REF!&lt;=5,"Low Calls", IF(#REF!&lt;=10, "Medium Calls", "High Calls"))</f>
        <v>#REF!</v>
      </c>
      <c r="AF327" t="e">
        <f xml:space="preserve">
IF(#REF!&gt;=4,4,0)+
IF(#REF!="yes",3,0)+
IF(#REF!="High Charges",3,0)+
IF(#REF!&gt;250,4,0)+
IF(#REF!="no",1,0)+
IF(#REF!="Heavy Domestic User",2,0)</f>
        <v>#REF!</v>
      </c>
      <c r="AG327" t="e">
        <f>IF(#REF!&gt;=10,"High Risk", IF(#REF!&gt;=5,"Medium Risk","Low Risk"))</f>
        <v>#REF!</v>
      </c>
      <c r="AH327" t="e">
        <f>#REF! + #REF! + #REF! + #REF!</f>
        <v>#REF!</v>
      </c>
    </row>
    <row r="328" spans="1:34" x14ac:dyDescent="0.35">
      <c r="A328">
        <v>327</v>
      </c>
      <c r="B328" t="s">
        <v>73</v>
      </c>
      <c r="C328">
        <v>112</v>
      </c>
      <c r="D328" t="s">
        <v>28</v>
      </c>
      <c r="E328" t="s">
        <v>22</v>
      </c>
      <c r="F328" t="s">
        <v>22</v>
      </c>
      <c r="G328">
        <v>0</v>
      </c>
      <c r="H328">
        <v>217.1</v>
      </c>
      <c r="I328">
        <v>76</v>
      </c>
      <c r="J328">
        <v>36.909999999999997</v>
      </c>
      <c r="K328">
        <v>205.2</v>
      </c>
      <c r="L328">
        <v>100</v>
      </c>
      <c r="M328">
        <v>17.440000000000001</v>
      </c>
      <c r="N328">
        <v>185.7</v>
      </c>
      <c r="O328">
        <v>91</v>
      </c>
      <c r="P328">
        <v>8.36</v>
      </c>
      <c r="Q328">
        <v>9.4</v>
      </c>
      <c r="R328">
        <v>3</v>
      </c>
      <c r="S328">
        <v>2.54</v>
      </c>
      <c r="T328">
        <v>2</v>
      </c>
      <c r="U328" t="s">
        <v>22</v>
      </c>
      <c r="V328" t="e">
        <f>IF(#REF! = "yes", 1, 0)</f>
        <v>#REF!</v>
      </c>
      <c r="W328" t="e">
        <f>IF(#REF! &lt;= 1, "0-1 Calls", IF(#REF! &lt;= 3, "2-3 Calls", IF(#REF! &lt;=5, "4-5 Calls", "6+ Calls")))</f>
        <v>#REF!</v>
      </c>
      <c r="X328" t="e">
        <f>IF(#REF! &lt;= 50, "0-50", IF(#REF! &lt;=100, "51-100", IF(#REF! &lt;= 150, "101-150", "151+")))</f>
        <v>#REF!</v>
      </c>
      <c r="Y328" t="e">
        <f>IF(#REF! &lt;= 3, "Low Charges", "High Charges")</f>
        <v>#REF!</v>
      </c>
      <c r="Z328" t="e">
        <f>IF(#REF!&lt;=80,"Low Calls",
IF(#REF!&lt;=120,"Medium Calls","High Calls"))</f>
        <v>#REF!</v>
      </c>
      <c r="AA328" t="e">
        <f>IF(#REF!&lt;=15,"Low Charges",
IF(#REF!&lt;=20,"Medium Charges","High Charges"))</f>
        <v>#REF!</v>
      </c>
      <c r="AB328" t="e">
        <f>IF(AND(#REF!&gt;180, #REF!&gt;200), "Heavy Doemstic User", IF(#REF!&gt;10, "Interntional User", IF(AND(#REF!&lt;180, #REF!&lt;200,#REF!&lt;200), "Light User", "Balanced User")))</f>
        <v>#REF!</v>
      </c>
      <c r="AC328" t="e">
        <f>IF(#REF! = 0, "No Usage", IF(#REF! &lt;= 20, "Low Usage", IF(#REF! &lt;= 40, "Medium Usgae", "High Usage")))</f>
        <v>#REF!</v>
      </c>
      <c r="AD328" t="e">
        <f>IF(#REF!&lt;=150,"Low Usage", IF(#REF!&lt;=200,"Medium Usage", IF(#REF!&lt;=250,"High Usage","Very High Usage")))</f>
        <v>#REF!</v>
      </c>
      <c r="AE328" t="e">
        <f>IF(#REF!&lt;=5,"Low Calls", IF(#REF!&lt;=10, "Medium Calls", "High Calls"))</f>
        <v>#REF!</v>
      </c>
      <c r="AF328" t="e">
        <f xml:space="preserve">
IF(#REF!&gt;=4,4,0)+
IF(#REF!="yes",3,0)+
IF(#REF!="High Charges",3,0)+
IF(#REF!&gt;250,4,0)+
IF(#REF!="no",1,0)+
IF(#REF!="Heavy Domestic User",2,0)</f>
        <v>#REF!</v>
      </c>
      <c r="AG328" t="e">
        <f>IF(#REF!&gt;=10,"High Risk", IF(#REF!&gt;=5,"Medium Risk","Low Risk"))</f>
        <v>#REF!</v>
      </c>
      <c r="AH328" t="e">
        <f>#REF! + #REF! + #REF! + #REF!</f>
        <v>#REF!</v>
      </c>
    </row>
    <row r="329" spans="1:34" x14ac:dyDescent="0.35">
      <c r="A329">
        <v>328</v>
      </c>
      <c r="B329" t="s">
        <v>51</v>
      </c>
      <c r="C329">
        <v>16</v>
      </c>
      <c r="D329" t="s">
        <v>28</v>
      </c>
      <c r="E329" t="s">
        <v>22</v>
      </c>
      <c r="F329" t="s">
        <v>22</v>
      </c>
      <c r="G329">
        <v>0</v>
      </c>
      <c r="H329">
        <v>229.6</v>
      </c>
      <c r="I329">
        <v>78</v>
      </c>
      <c r="J329">
        <v>39.03</v>
      </c>
      <c r="K329">
        <v>205.7</v>
      </c>
      <c r="L329">
        <v>108</v>
      </c>
      <c r="M329">
        <v>17.48</v>
      </c>
      <c r="N329">
        <v>166.2</v>
      </c>
      <c r="O329">
        <v>91</v>
      </c>
      <c r="P329">
        <v>7.48</v>
      </c>
      <c r="Q329">
        <v>10.8</v>
      </c>
      <c r="R329">
        <v>2</v>
      </c>
      <c r="S329">
        <v>2.92</v>
      </c>
      <c r="T329">
        <v>0</v>
      </c>
      <c r="U329" t="s">
        <v>23</v>
      </c>
      <c r="V329" t="e">
        <f>IF(#REF! = "yes", 1, 0)</f>
        <v>#REF!</v>
      </c>
      <c r="W329" t="e">
        <f>IF(#REF! &lt;= 1, "0-1 Calls", IF(#REF! &lt;= 3, "2-3 Calls", IF(#REF! &lt;=5, "4-5 Calls", "6+ Calls")))</f>
        <v>#REF!</v>
      </c>
      <c r="X329" t="e">
        <f>IF(#REF! &lt;= 50, "0-50", IF(#REF! &lt;=100, "51-100", IF(#REF! &lt;= 150, "101-150", "151+")))</f>
        <v>#REF!</v>
      </c>
      <c r="Y329" t="e">
        <f>IF(#REF! &lt;= 3, "Low Charges", "High Charges")</f>
        <v>#REF!</v>
      </c>
      <c r="Z329" t="e">
        <f>IF(#REF!&lt;=80,"Low Calls",
IF(#REF!&lt;=120,"Medium Calls","High Calls"))</f>
        <v>#REF!</v>
      </c>
      <c r="AA329" t="e">
        <f>IF(#REF!&lt;=15,"Low Charges",
IF(#REF!&lt;=20,"Medium Charges","High Charges"))</f>
        <v>#REF!</v>
      </c>
      <c r="AB329" t="e">
        <f>IF(AND(#REF!&gt;180, #REF!&gt;200), "Heavy Doemstic User", IF(#REF!&gt;10, "Interntional User", IF(AND(#REF!&lt;180, #REF!&lt;200,#REF!&lt;200), "Light User", "Balanced User")))</f>
        <v>#REF!</v>
      </c>
      <c r="AC329" t="e">
        <f>IF(#REF! = 0, "No Usage", IF(#REF! &lt;= 20, "Low Usage", IF(#REF! &lt;= 40, "Medium Usgae", "High Usage")))</f>
        <v>#REF!</v>
      </c>
      <c r="AD329" t="e">
        <f>IF(#REF!&lt;=150,"Low Usage", IF(#REF!&lt;=200,"Medium Usage", IF(#REF!&lt;=250,"High Usage","Very High Usage")))</f>
        <v>#REF!</v>
      </c>
      <c r="AE329" t="e">
        <f>IF(#REF!&lt;=5,"Low Calls", IF(#REF!&lt;=10, "Medium Calls", "High Calls"))</f>
        <v>#REF!</v>
      </c>
      <c r="AF329" t="e">
        <f xml:space="preserve">
IF(#REF!&gt;=4,4,0)+
IF(#REF!="yes",3,0)+
IF(#REF!="High Charges",3,0)+
IF(#REF!&gt;250,4,0)+
IF(#REF!="no",1,0)+
IF(#REF!="Heavy Domestic User",2,0)</f>
        <v>#REF!</v>
      </c>
      <c r="AG329" t="e">
        <f>IF(#REF!&gt;=10,"High Risk", IF(#REF!&gt;=5,"Medium Risk","Low Risk"))</f>
        <v>#REF!</v>
      </c>
      <c r="AH329" t="e">
        <f>#REF! + #REF! + #REF! + #REF!</f>
        <v>#REF!</v>
      </c>
    </row>
    <row r="330" spans="1:34" x14ac:dyDescent="0.35">
      <c r="A330">
        <v>329</v>
      </c>
      <c r="B330" t="s">
        <v>71</v>
      </c>
      <c r="C330">
        <v>98</v>
      </c>
      <c r="D330" t="s">
        <v>21</v>
      </c>
      <c r="E330" t="s">
        <v>22</v>
      </c>
      <c r="F330" t="s">
        <v>23</v>
      </c>
      <c r="G330">
        <v>22</v>
      </c>
      <c r="H330">
        <v>278.3</v>
      </c>
      <c r="I330">
        <v>89</v>
      </c>
      <c r="J330">
        <v>47.31</v>
      </c>
      <c r="K330">
        <v>93.4</v>
      </c>
      <c r="L330">
        <v>143</v>
      </c>
      <c r="M330">
        <v>7.94</v>
      </c>
      <c r="N330">
        <v>107.6</v>
      </c>
      <c r="O330">
        <v>42</v>
      </c>
      <c r="P330">
        <v>4.84</v>
      </c>
      <c r="Q330">
        <v>9.6999999999999993</v>
      </c>
      <c r="R330">
        <v>5</v>
      </c>
      <c r="S330">
        <v>2.62</v>
      </c>
      <c r="T330">
        <v>0</v>
      </c>
      <c r="U330" t="s">
        <v>22</v>
      </c>
      <c r="V330" t="e">
        <f>IF(#REF! = "yes", 1, 0)</f>
        <v>#REF!</v>
      </c>
      <c r="W330" t="e">
        <f>IF(#REF! &lt;= 1, "0-1 Calls", IF(#REF! &lt;= 3, "2-3 Calls", IF(#REF! &lt;=5, "4-5 Calls", "6+ Calls")))</f>
        <v>#REF!</v>
      </c>
      <c r="X330" t="e">
        <f>IF(#REF! &lt;= 50, "0-50", IF(#REF! &lt;=100, "51-100", IF(#REF! &lt;= 150, "101-150", "151+")))</f>
        <v>#REF!</v>
      </c>
      <c r="Y330" t="e">
        <f>IF(#REF! &lt;= 3, "Low Charges", "High Charges")</f>
        <v>#REF!</v>
      </c>
      <c r="Z330" t="e">
        <f>IF(#REF!&lt;=80,"Low Calls",
IF(#REF!&lt;=120,"Medium Calls","High Calls"))</f>
        <v>#REF!</v>
      </c>
      <c r="AA330" t="e">
        <f>IF(#REF!&lt;=15,"Low Charges",
IF(#REF!&lt;=20,"Medium Charges","High Charges"))</f>
        <v>#REF!</v>
      </c>
      <c r="AB330" t="e">
        <f>IF(AND(#REF!&gt;180, #REF!&gt;200), "Heavy Doemstic User", IF(#REF!&gt;10, "Interntional User", IF(AND(#REF!&lt;180, #REF!&lt;200,#REF!&lt;200), "Light User", "Balanced User")))</f>
        <v>#REF!</v>
      </c>
      <c r="AC330" t="e">
        <f>IF(#REF! = 0, "No Usage", IF(#REF! &lt;= 20, "Low Usage", IF(#REF! &lt;= 40, "Medium Usgae", "High Usage")))</f>
        <v>#REF!</v>
      </c>
      <c r="AD330" t="e">
        <f>IF(#REF!&lt;=150,"Low Usage", IF(#REF!&lt;=200,"Medium Usage", IF(#REF!&lt;=250,"High Usage","Very High Usage")))</f>
        <v>#REF!</v>
      </c>
      <c r="AE330" t="e">
        <f>IF(#REF!&lt;=5,"Low Calls", IF(#REF!&lt;=10, "Medium Calls", "High Calls"))</f>
        <v>#REF!</v>
      </c>
      <c r="AF330" t="e">
        <f xml:space="preserve">
IF(#REF!&gt;=4,4,0)+
IF(#REF!="yes",3,0)+
IF(#REF!="High Charges",3,0)+
IF(#REF!&gt;250,4,0)+
IF(#REF!="no",1,0)+
IF(#REF!="Heavy Domestic User",2,0)</f>
        <v>#REF!</v>
      </c>
      <c r="AG330" t="e">
        <f>IF(#REF!&gt;=10,"High Risk", IF(#REF!&gt;=5,"Medium Risk","Low Risk"))</f>
        <v>#REF!</v>
      </c>
      <c r="AH330" t="e">
        <f>#REF! + #REF! + #REF! + #REF!</f>
        <v>#REF!</v>
      </c>
    </row>
    <row r="331" spans="1:34" x14ac:dyDescent="0.35">
      <c r="A331">
        <v>330</v>
      </c>
      <c r="B331" t="s">
        <v>72</v>
      </c>
      <c r="C331">
        <v>84</v>
      </c>
      <c r="D331" t="s">
        <v>28</v>
      </c>
      <c r="E331" t="s">
        <v>22</v>
      </c>
      <c r="F331" t="s">
        <v>22</v>
      </c>
      <c r="G331">
        <v>0</v>
      </c>
      <c r="H331">
        <v>181.5</v>
      </c>
      <c r="I331">
        <v>129</v>
      </c>
      <c r="J331">
        <v>30.86</v>
      </c>
      <c r="K331">
        <v>130.69999999999999</v>
      </c>
      <c r="L331">
        <v>112</v>
      </c>
      <c r="M331">
        <v>11.11</v>
      </c>
      <c r="N331">
        <v>186.5</v>
      </c>
      <c r="O331">
        <v>118</v>
      </c>
      <c r="P331">
        <v>8.39</v>
      </c>
      <c r="Q331">
        <v>8.5</v>
      </c>
      <c r="R331">
        <v>4</v>
      </c>
      <c r="S331">
        <v>2.2999999999999998</v>
      </c>
      <c r="T331">
        <v>1</v>
      </c>
      <c r="U331" t="s">
        <v>22</v>
      </c>
      <c r="V331" t="e">
        <f>IF(#REF! = "yes", 1, 0)</f>
        <v>#REF!</v>
      </c>
      <c r="W331" t="e">
        <f>IF(#REF! &lt;= 1, "0-1 Calls", IF(#REF! &lt;= 3, "2-3 Calls", IF(#REF! &lt;=5, "4-5 Calls", "6+ Calls")))</f>
        <v>#REF!</v>
      </c>
      <c r="X331" t="e">
        <f>IF(#REF! &lt;= 50, "0-50", IF(#REF! &lt;=100, "51-100", IF(#REF! &lt;= 150, "101-150", "151+")))</f>
        <v>#REF!</v>
      </c>
      <c r="Y331" t="e">
        <f>IF(#REF! &lt;= 3, "Low Charges", "High Charges")</f>
        <v>#REF!</v>
      </c>
      <c r="Z331" t="e">
        <f>IF(#REF!&lt;=80,"Low Calls",
IF(#REF!&lt;=120,"Medium Calls","High Calls"))</f>
        <v>#REF!</v>
      </c>
      <c r="AA331" t="e">
        <f>IF(#REF!&lt;=15,"Low Charges",
IF(#REF!&lt;=20,"Medium Charges","High Charges"))</f>
        <v>#REF!</v>
      </c>
      <c r="AB331" t="e">
        <f>IF(AND(#REF!&gt;180, #REF!&gt;200), "Heavy Doemstic User", IF(#REF!&gt;10, "Interntional User", IF(AND(#REF!&lt;180, #REF!&lt;200,#REF!&lt;200), "Light User", "Balanced User")))</f>
        <v>#REF!</v>
      </c>
      <c r="AC331" t="e">
        <f>IF(#REF! = 0, "No Usage", IF(#REF! &lt;= 20, "Low Usage", IF(#REF! &lt;= 40, "Medium Usgae", "High Usage")))</f>
        <v>#REF!</v>
      </c>
      <c r="AD331" t="e">
        <f>IF(#REF!&lt;=150,"Low Usage", IF(#REF!&lt;=200,"Medium Usage", IF(#REF!&lt;=250,"High Usage","Very High Usage")))</f>
        <v>#REF!</v>
      </c>
      <c r="AE331" t="e">
        <f>IF(#REF!&lt;=5,"Low Calls", IF(#REF!&lt;=10, "Medium Calls", "High Calls"))</f>
        <v>#REF!</v>
      </c>
      <c r="AF331" t="e">
        <f xml:space="preserve">
IF(#REF!&gt;=4,4,0)+
IF(#REF!="yes",3,0)+
IF(#REF!="High Charges",3,0)+
IF(#REF!&gt;250,4,0)+
IF(#REF!="no",1,0)+
IF(#REF!="Heavy Domestic User",2,0)</f>
        <v>#REF!</v>
      </c>
      <c r="AG331" t="e">
        <f>IF(#REF!&gt;=10,"High Risk", IF(#REF!&gt;=5,"Medium Risk","Low Risk"))</f>
        <v>#REF!</v>
      </c>
      <c r="AH331" t="e">
        <f>#REF! + #REF! + #REF! + #REF!</f>
        <v>#REF!</v>
      </c>
    </row>
    <row r="332" spans="1:34" x14ac:dyDescent="0.35">
      <c r="A332">
        <v>331</v>
      </c>
      <c r="B332" t="s">
        <v>63</v>
      </c>
      <c r="C332">
        <v>66</v>
      </c>
      <c r="D332" t="s">
        <v>21</v>
      </c>
      <c r="E332" t="s">
        <v>22</v>
      </c>
      <c r="F332" t="s">
        <v>22</v>
      </c>
      <c r="G332">
        <v>0</v>
      </c>
      <c r="H332">
        <v>167.3</v>
      </c>
      <c r="I332">
        <v>91</v>
      </c>
      <c r="J332">
        <v>28.44</v>
      </c>
      <c r="K332">
        <v>230</v>
      </c>
      <c r="L332">
        <v>68</v>
      </c>
      <c r="M332">
        <v>19.55</v>
      </c>
      <c r="N332">
        <v>191.7</v>
      </c>
      <c r="O332">
        <v>118</v>
      </c>
      <c r="P332">
        <v>8.6300000000000008</v>
      </c>
      <c r="Q332">
        <v>10.6</v>
      </c>
      <c r="R332">
        <v>5</v>
      </c>
      <c r="S332">
        <v>2.86</v>
      </c>
      <c r="T332">
        <v>1</v>
      </c>
      <c r="U332" t="s">
        <v>23</v>
      </c>
      <c r="V332" t="e">
        <f>IF(#REF! = "yes", 1, 0)</f>
        <v>#REF!</v>
      </c>
      <c r="W332" t="e">
        <f>IF(#REF! &lt;= 1, "0-1 Calls", IF(#REF! &lt;= 3, "2-3 Calls", IF(#REF! &lt;=5, "4-5 Calls", "6+ Calls")))</f>
        <v>#REF!</v>
      </c>
      <c r="X332" t="e">
        <f>IF(#REF! &lt;= 50, "0-50", IF(#REF! &lt;=100, "51-100", IF(#REF! &lt;= 150, "101-150", "151+")))</f>
        <v>#REF!</v>
      </c>
      <c r="Y332" t="e">
        <f>IF(#REF! &lt;= 3, "Low Charges", "High Charges")</f>
        <v>#REF!</v>
      </c>
      <c r="Z332" t="e">
        <f>IF(#REF!&lt;=80,"Low Calls",
IF(#REF!&lt;=120,"Medium Calls","High Calls"))</f>
        <v>#REF!</v>
      </c>
      <c r="AA332" t="e">
        <f>IF(#REF!&lt;=15,"Low Charges",
IF(#REF!&lt;=20,"Medium Charges","High Charges"))</f>
        <v>#REF!</v>
      </c>
      <c r="AB332" t="e">
        <f>IF(AND(#REF!&gt;180, #REF!&gt;200), "Heavy Doemstic User", IF(#REF!&gt;10, "Interntional User", IF(AND(#REF!&lt;180, #REF!&lt;200,#REF!&lt;200), "Light User", "Balanced User")))</f>
        <v>#REF!</v>
      </c>
      <c r="AC332" t="e">
        <f>IF(#REF! = 0, "No Usage", IF(#REF! &lt;= 20, "Low Usage", IF(#REF! &lt;= 40, "Medium Usgae", "High Usage")))</f>
        <v>#REF!</v>
      </c>
      <c r="AD332" t="e">
        <f>IF(#REF!&lt;=150,"Low Usage", IF(#REF!&lt;=200,"Medium Usage", IF(#REF!&lt;=250,"High Usage","Very High Usage")))</f>
        <v>#REF!</v>
      </c>
      <c r="AE332" t="e">
        <f>IF(#REF!&lt;=5,"Low Calls", IF(#REF!&lt;=10, "Medium Calls", "High Calls"))</f>
        <v>#REF!</v>
      </c>
      <c r="AF332" t="e">
        <f xml:space="preserve">
IF(#REF!&gt;=4,4,0)+
IF(#REF!="yes",3,0)+
IF(#REF!="High Charges",3,0)+
IF(#REF!&gt;250,4,0)+
IF(#REF!="no",1,0)+
IF(#REF!="Heavy Domestic User",2,0)</f>
        <v>#REF!</v>
      </c>
      <c r="AG332" t="e">
        <f>IF(#REF!&gt;=10,"High Risk", IF(#REF!&gt;=5,"Medium Risk","Low Risk"))</f>
        <v>#REF!</v>
      </c>
      <c r="AH332" t="e">
        <f>#REF! + #REF! + #REF! + #REF!</f>
        <v>#REF!</v>
      </c>
    </row>
    <row r="333" spans="1:34" x14ac:dyDescent="0.35">
      <c r="A333">
        <v>332</v>
      </c>
      <c r="B333" t="s">
        <v>37</v>
      </c>
      <c r="C333">
        <v>74</v>
      </c>
      <c r="D333" t="s">
        <v>21</v>
      </c>
      <c r="E333" t="s">
        <v>22</v>
      </c>
      <c r="F333" t="s">
        <v>22</v>
      </c>
      <c r="G333">
        <v>0</v>
      </c>
      <c r="H333">
        <v>221.1</v>
      </c>
      <c r="I333">
        <v>124</v>
      </c>
      <c r="J333">
        <v>37.590000000000003</v>
      </c>
      <c r="K333">
        <v>110.8</v>
      </c>
      <c r="L333">
        <v>94</v>
      </c>
      <c r="M333">
        <v>9.42</v>
      </c>
      <c r="N333">
        <v>240.1</v>
      </c>
      <c r="O333">
        <v>112</v>
      </c>
      <c r="P333">
        <v>10.8</v>
      </c>
      <c r="Q333">
        <v>10.6</v>
      </c>
      <c r="R333">
        <v>3</v>
      </c>
      <c r="S333">
        <v>2.86</v>
      </c>
      <c r="T333">
        <v>0</v>
      </c>
      <c r="U333" t="s">
        <v>22</v>
      </c>
      <c r="V333" t="e">
        <f>IF(#REF! = "yes", 1, 0)</f>
        <v>#REF!</v>
      </c>
      <c r="W333" t="e">
        <f>IF(#REF! &lt;= 1, "0-1 Calls", IF(#REF! &lt;= 3, "2-3 Calls", IF(#REF! &lt;=5, "4-5 Calls", "6+ Calls")))</f>
        <v>#REF!</v>
      </c>
      <c r="X333" t="e">
        <f>IF(#REF! &lt;= 50, "0-50", IF(#REF! &lt;=100, "51-100", IF(#REF! &lt;= 150, "101-150", "151+")))</f>
        <v>#REF!</v>
      </c>
      <c r="Y333" t="e">
        <f>IF(#REF! &lt;= 3, "Low Charges", "High Charges")</f>
        <v>#REF!</v>
      </c>
      <c r="Z333" t="e">
        <f>IF(#REF!&lt;=80,"Low Calls",
IF(#REF!&lt;=120,"Medium Calls","High Calls"))</f>
        <v>#REF!</v>
      </c>
      <c r="AA333" t="e">
        <f>IF(#REF!&lt;=15,"Low Charges",
IF(#REF!&lt;=20,"Medium Charges","High Charges"))</f>
        <v>#REF!</v>
      </c>
      <c r="AB333" t="e">
        <f>IF(AND(#REF!&gt;180, #REF!&gt;200), "Heavy Doemstic User", IF(#REF!&gt;10, "Interntional User", IF(AND(#REF!&lt;180, #REF!&lt;200,#REF!&lt;200), "Light User", "Balanced User")))</f>
        <v>#REF!</v>
      </c>
      <c r="AC333" t="e">
        <f>IF(#REF! = 0, "No Usage", IF(#REF! &lt;= 20, "Low Usage", IF(#REF! &lt;= 40, "Medium Usgae", "High Usage")))</f>
        <v>#REF!</v>
      </c>
      <c r="AD333" t="e">
        <f>IF(#REF!&lt;=150,"Low Usage", IF(#REF!&lt;=200,"Medium Usage", IF(#REF!&lt;=250,"High Usage","Very High Usage")))</f>
        <v>#REF!</v>
      </c>
      <c r="AE333" t="e">
        <f>IF(#REF!&lt;=5,"Low Calls", IF(#REF!&lt;=10, "Medium Calls", "High Calls"))</f>
        <v>#REF!</v>
      </c>
      <c r="AF333" t="e">
        <f xml:space="preserve">
IF(#REF!&gt;=4,4,0)+
IF(#REF!="yes",3,0)+
IF(#REF!="High Charges",3,0)+
IF(#REF!&gt;250,4,0)+
IF(#REF!="no",1,0)+
IF(#REF!="Heavy Domestic User",2,0)</f>
        <v>#REF!</v>
      </c>
      <c r="AG333" t="e">
        <f>IF(#REF!&gt;=10,"High Risk", IF(#REF!&gt;=5,"Medium Risk","Low Risk"))</f>
        <v>#REF!</v>
      </c>
      <c r="AH333" t="e">
        <f>#REF! + #REF! + #REF! + #REF!</f>
        <v>#REF!</v>
      </c>
    </row>
    <row r="334" spans="1:34" x14ac:dyDescent="0.35">
      <c r="A334">
        <v>333</v>
      </c>
      <c r="B334" t="s">
        <v>55</v>
      </c>
      <c r="C334">
        <v>96</v>
      </c>
      <c r="D334" t="s">
        <v>25</v>
      </c>
      <c r="E334" t="s">
        <v>22</v>
      </c>
      <c r="F334" t="s">
        <v>23</v>
      </c>
      <c r="G334">
        <v>26</v>
      </c>
      <c r="H334">
        <v>145.80000000000001</v>
      </c>
      <c r="I334">
        <v>108</v>
      </c>
      <c r="J334">
        <v>24.79</v>
      </c>
      <c r="K334">
        <v>192.2</v>
      </c>
      <c r="L334">
        <v>89</v>
      </c>
      <c r="M334">
        <v>16.34</v>
      </c>
      <c r="N334">
        <v>165.1</v>
      </c>
      <c r="O334">
        <v>96</v>
      </c>
      <c r="P334">
        <v>7.43</v>
      </c>
      <c r="Q334">
        <v>9.9</v>
      </c>
      <c r="R334">
        <v>2</v>
      </c>
      <c r="S334">
        <v>2.67</v>
      </c>
      <c r="T334">
        <v>1</v>
      </c>
      <c r="U334" t="s">
        <v>22</v>
      </c>
      <c r="V334" t="e">
        <f>IF(#REF! = "yes", 1, 0)</f>
        <v>#REF!</v>
      </c>
      <c r="W334" t="e">
        <f>IF(#REF! &lt;= 1, "0-1 Calls", IF(#REF! &lt;= 3, "2-3 Calls", IF(#REF! &lt;=5, "4-5 Calls", "6+ Calls")))</f>
        <v>#REF!</v>
      </c>
      <c r="X334" t="e">
        <f>IF(#REF! &lt;= 50, "0-50", IF(#REF! &lt;=100, "51-100", IF(#REF! &lt;= 150, "101-150", "151+")))</f>
        <v>#REF!</v>
      </c>
      <c r="Y334" t="e">
        <f>IF(#REF! &lt;= 3, "Low Charges", "High Charges")</f>
        <v>#REF!</v>
      </c>
      <c r="Z334" t="e">
        <f>IF(#REF!&lt;=80,"Low Calls",
IF(#REF!&lt;=120,"Medium Calls","High Calls"))</f>
        <v>#REF!</v>
      </c>
      <c r="AA334" t="e">
        <f>IF(#REF!&lt;=15,"Low Charges",
IF(#REF!&lt;=20,"Medium Charges","High Charges"))</f>
        <v>#REF!</v>
      </c>
      <c r="AB334" t="e">
        <f>IF(AND(#REF!&gt;180, #REF!&gt;200), "Heavy Doemstic User", IF(#REF!&gt;10, "Interntional User", IF(AND(#REF!&lt;180, #REF!&lt;200,#REF!&lt;200), "Light User", "Balanced User")))</f>
        <v>#REF!</v>
      </c>
      <c r="AC334" t="e">
        <f>IF(#REF! = 0, "No Usage", IF(#REF! &lt;= 20, "Low Usage", IF(#REF! &lt;= 40, "Medium Usgae", "High Usage")))</f>
        <v>#REF!</v>
      </c>
      <c r="AD334" t="e">
        <f>IF(#REF!&lt;=150,"Low Usage", IF(#REF!&lt;=200,"Medium Usage", IF(#REF!&lt;=250,"High Usage","Very High Usage")))</f>
        <v>#REF!</v>
      </c>
      <c r="AE334" t="e">
        <f>IF(#REF!&lt;=5,"Low Calls", IF(#REF!&lt;=10, "Medium Calls", "High Calls"))</f>
        <v>#REF!</v>
      </c>
      <c r="AF334" t="e">
        <f xml:space="preserve">
IF(#REF!&gt;=4,4,0)+
IF(#REF!="yes",3,0)+
IF(#REF!="High Charges",3,0)+
IF(#REF!&gt;250,4,0)+
IF(#REF!="no",1,0)+
IF(#REF!="Heavy Domestic User",2,0)</f>
        <v>#REF!</v>
      </c>
      <c r="AG334" t="e">
        <f>IF(#REF!&gt;=10,"High Risk", IF(#REF!&gt;=5,"Medium Risk","Low Risk"))</f>
        <v>#REF!</v>
      </c>
      <c r="AH334" t="e">
        <f>#REF! + #REF! + #REF! + #REF!</f>
        <v>#REF!</v>
      </c>
    </row>
    <row r="335" spans="1:34" x14ac:dyDescent="0.35">
      <c r="A335">
        <v>334</v>
      </c>
      <c r="B335" t="s">
        <v>65</v>
      </c>
      <c r="C335">
        <v>119</v>
      </c>
      <c r="D335" t="s">
        <v>28</v>
      </c>
      <c r="E335" t="s">
        <v>22</v>
      </c>
      <c r="F335" t="s">
        <v>22</v>
      </c>
      <c r="G335">
        <v>0</v>
      </c>
      <c r="H335">
        <v>222.8</v>
      </c>
      <c r="I335">
        <v>122</v>
      </c>
      <c r="J335">
        <v>37.880000000000003</v>
      </c>
      <c r="K335">
        <v>163.19999999999999</v>
      </c>
      <c r="L335">
        <v>107</v>
      </c>
      <c r="M335">
        <v>13.87</v>
      </c>
      <c r="N335">
        <v>160.6</v>
      </c>
      <c r="O335">
        <v>112</v>
      </c>
      <c r="P335">
        <v>7.23</v>
      </c>
      <c r="Q335">
        <v>11.2</v>
      </c>
      <c r="R335">
        <v>6</v>
      </c>
      <c r="S335">
        <v>3.02</v>
      </c>
      <c r="T335">
        <v>1</v>
      </c>
      <c r="U335" t="s">
        <v>22</v>
      </c>
      <c r="V335" t="e">
        <f>IF(#REF! = "yes", 1, 0)</f>
        <v>#REF!</v>
      </c>
      <c r="W335" t="e">
        <f>IF(#REF! &lt;= 1, "0-1 Calls", IF(#REF! &lt;= 3, "2-3 Calls", IF(#REF! &lt;=5, "4-5 Calls", "6+ Calls")))</f>
        <v>#REF!</v>
      </c>
      <c r="X335" t="e">
        <f>IF(#REF! &lt;= 50, "0-50", IF(#REF! &lt;=100, "51-100", IF(#REF! &lt;= 150, "101-150", "151+")))</f>
        <v>#REF!</v>
      </c>
      <c r="Y335" t="e">
        <f>IF(#REF! &lt;= 3, "Low Charges", "High Charges")</f>
        <v>#REF!</v>
      </c>
      <c r="Z335" t="e">
        <f>IF(#REF!&lt;=80,"Low Calls",
IF(#REF!&lt;=120,"Medium Calls","High Calls"))</f>
        <v>#REF!</v>
      </c>
      <c r="AA335" t="e">
        <f>IF(#REF!&lt;=15,"Low Charges",
IF(#REF!&lt;=20,"Medium Charges","High Charges"))</f>
        <v>#REF!</v>
      </c>
      <c r="AB335" t="e">
        <f>IF(AND(#REF!&gt;180, #REF!&gt;200), "Heavy Doemstic User", IF(#REF!&gt;10, "Interntional User", IF(AND(#REF!&lt;180, #REF!&lt;200,#REF!&lt;200), "Light User", "Balanced User")))</f>
        <v>#REF!</v>
      </c>
      <c r="AC335" t="e">
        <f>IF(#REF! = 0, "No Usage", IF(#REF! &lt;= 20, "Low Usage", IF(#REF! &lt;= 40, "Medium Usgae", "High Usage")))</f>
        <v>#REF!</v>
      </c>
      <c r="AD335" t="e">
        <f>IF(#REF!&lt;=150,"Low Usage", IF(#REF!&lt;=200,"Medium Usage", IF(#REF!&lt;=250,"High Usage","Very High Usage")))</f>
        <v>#REF!</v>
      </c>
      <c r="AE335" t="e">
        <f>IF(#REF!&lt;=5,"Low Calls", IF(#REF!&lt;=10, "Medium Calls", "High Calls"))</f>
        <v>#REF!</v>
      </c>
      <c r="AF335" t="e">
        <f xml:space="preserve">
IF(#REF!&gt;=4,4,0)+
IF(#REF!="yes",3,0)+
IF(#REF!="High Charges",3,0)+
IF(#REF!&gt;250,4,0)+
IF(#REF!="no",1,0)+
IF(#REF!="Heavy Domestic User",2,0)</f>
        <v>#REF!</v>
      </c>
      <c r="AG335" t="e">
        <f>IF(#REF!&gt;=10,"High Risk", IF(#REF!&gt;=5,"Medium Risk","Low Risk"))</f>
        <v>#REF!</v>
      </c>
      <c r="AH335" t="e">
        <f>#REF! + #REF! + #REF! + #REF!</f>
        <v>#REF!</v>
      </c>
    </row>
    <row r="336" spans="1:34" x14ac:dyDescent="0.35">
      <c r="A336">
        <v>335</v>
      </c>
      <c r="B336" t="s">
        <v>51</v>
      </c>
      <c r="C336">
        <v>92</v>
      </c>
      <c r="D336" t="s">
        <v>21</v>
      </c>
      <c r="E336" t="s">
        <v>23</v>
      </c>
      <c r="F336" t="s">
        <v>22</v>
      </c>
      <c r="G336">
        <v>0</v>
      </c>
      <c r="H336">
        <v>264.3</v>
      </c>
      <c r="I336">
        <v>91</v>
      </c>
      <c r="J336">
        <v>44.93</v>
      </c>
      <c r="K336">
        <v>160.9</v>
      </c>
      <c r="L336">
        <v>115</v>
      </c>
      <c r="M336">
        <v>13.68</v>
      </c>
      <c r="N336">
        <v>198.6</v>
      </c>
      <c r="O336">
        <v>73</v>
      </c>
      <c r="P336">
        <v>8.94</v>
      </c>
      <c r="Q336">
        <v>9.3000000000000007</v>
      </c>
      <c r="R336">
        <v>5</v>
      </c>
      <c r="S336">
        <v>2.5099999999999998</v>
      </c>
      <c r="T336">
        <v>0</v>
      </c>
      <c r="U336" t="s">
        <v>22</v>
      </c>
      <c r="V336" t="e">
        <f>IF(#REF! = "yes", 1, 0)</f>
        <v>#REF!</v>
      </c>
      <c r="W336" t="e">
        <f>IF(#REF! &lt;= 1, "0-1 Calls", IF(#REF! &lt;= 3, "2-3 Calls", IF(#REF! &lt;=5, "4-5 Calls", "6+ Calls")))</f>
        <v>#REF!</v>
      </c>
      <c r="X336" t="e">
        <f>IF(#REF! &lt;= 50, "0-50", IF(#REF! &lt;=100, "51-100", IF(#REF! &lt;= 150, "101-150", "151+")))</f>
        <v>#REF!</v>
      </c>
      <c r="Y336" t="e">
        <f>IF(#REF! &lt;= 3, "Low Charges", "High Charges")</f>
        <v>#REF!</v>
      </c>
      <c r="Z336" t="e">
        <f>IF(#REF!&lt;=80,"Low Calls",
IF(#REF!&lt;=120,"Medium Calls","High Calls"))</f>
        <v>#REF!</v>
      </c>
      <c r="AA336" t="e">
        <f>IF(#REF!&lt;=15,"Low Charges",
IF(#REF!&lt;=20,"Medium Charges","High Charges"))</f>
        <v>#REF!</v>
      </c>
      <c r="AB336" t="e">
        <f>IF(AND(#REF!&gt;180, #REF!&gt;200), "Heavy Doemstic User", IF(#REF!&gt;10, "Interntional User", IF(AND(#REF!&lt;180, #REF!&lt;200,#REF!&lt;200), "Light User", "Balanced User")))</f>
        <v>#REF!</v>
      </c>
      <c r="AC336" t="e">
        <f>IF(#REF! = 0, "No Usage", IF(#REF! &lt;= 20, "Low Usage", IF(#REF! &lt;= 40, "Medium Usgae", "High Usage")))</f>
        <v>#REF!</v>
      </c>
      <c r="AD336" t="e">
        <f>IF(#REF!&lt;=150,"Low Usage", IF(#REF!&lt;=200,"Medium Usage", IF(#REF!&lt;=250,"High Usage","Very High Usage")))</f>
        <v>#REF!</v>
      </c>
      <c r="AE336" t="e">
        <f>IF(#REF!&lt;=5,"Low Calls", IF(#REF!&lt;=10, "Medium Calls", "High Calls"))</f>
        <v>#REF!</v>
      </c>
      <c r="AF336" t="e">
        <f xml:space="preserve">
IF(#REF!&gt;=4,4,0)+
IF(#REF!="yes",3,0)+
IF(#REF!="High Charges",3,0)+
IF(#REF!&gt;250,4,0)+
IF(#REF!="no",1,0)+
IF(#REF!="Heavy Domestic User",2,0)</f>
        <v>#REF!</v>
      </c>
      <c r="AG336" t="e">
        <f>IF(#REF!&gt;=10,"High Risk", IF(#REF!&gt;=5,"Medium Risk","Low Risk"))</f>
        <v>#REF!</v>
      </c>
      <c r="AH336" t="e">
        <f>#REF! + #REF! + #REF! + #REF!</f>
        <v>#REF!</v>
      </c>
    </row>
    <row r="337" spans="1:34" x14ac:dyDescent="0.35">
      <c r="A337">
        <v>336</v>
      </c>
      <c r="B337" t="s">
        <v>72</v>
      </c>
      <c r="C337">
        <v>21</v>
      </c>
      <c r="D337" t="s">
        <v>21</v>
      </c>
      <c r="E337" t="s">
        <v>22</v>
      </c>
      <c r="F337" t="s">
        <v>22</v>
      </c>
      <c r="G337">
        <v>0</v>
      </c>
      <c r="H337">
        <v>146</v>
      </c>
      <c r="I337">
        <v>78</v>
      </c>
      <c r="J337">
        <v>24.82</v>
      </c>
      <c r="K337">
        <v>109.7</v>
      </c>
      <c r="L337">
        <v>79</v>
      </c>
      <c r="M337">
        <v>9.32</v>
      </c>
      <c r="N337">
        <v>247.4</v>
      </c>
      <c r="O337">
        <v>108</v>
      </c>
      <c r="P337">
        <v>11.13</v>
      </c>
      <c r="Q337">
        <v>6.8</v>
      </c>
      <c r="R337">
        <v>7</v>
      </c>
      <c r="S337">
        <v>1.84</v>
      </c>
      <c r="T337">
        <v>0</v>
      </c>
      <c r="U337" t="s">
        <v>22</v>
      </c>
      <c r="V337" t="e">
        <f>IF(#REF! = "yes", 1, 0)</f>
        <v>#REF!</v>
      </c>
      <c r="W337" t="e">
        <f>IF(#REF! &lt;= 1, "0-1 Calls", IF(#REF! &lt;= 3, "2-3 Calls", IF(#REF! &lt;=5, "4-5 Calls", "6+ Calls")))</f>
        <v>#REF!</v>
      </c>
      <c r="X337" t="e">
        <f>IF(#REF! &lt;= 50, "0-50", IF(#REF! &lt;=100, "51-100", IF(#REF! &lt;= 150, "101-150", "151+")))</f>
        <v>#REF!</v>
      </c>
      <c r="Y337" t="e">
        <f>IF(#REF! &lt;= 3, "Low Charges", "High Charges")</f>
        <v>#REF!</v>
      </c>
      <c r="Z337" t="e">
        <f>IF(#REF!&lt;=80,"Low Calls",
IF(#REF!&lt;=120,"Medium Calls","High Calls"))</f>
        <v>#REF!</v>
      </c>
      <c r="AA337" t="e">
        <f>IF(#REF!&lt;=15,"Low Charges",
IF(#REF!&lt;=20,"Medium Charges","High Charges"))</f>
        <v>#REF!</v>
      </c>
      <c r="AB337" t="e">
        <f>IF(AND(#REF!&gt;180, #REF!&gt;200), "Heavy Doemstic User", IF(#REF!&gt;10, "Interntional User", IF(AND(#REF!&lt;180, #REF!&lt;200,#REF!&lt;200), "Light User", "Balanced User")))</f>
        <v>#REF!</v>
      </c>
      <c r="AC337" t="e">
        <f>IF(#REF! = 0, "No Usage", IF(#REF! &lt;= 20, "Low Usage", IF(#REF! &lt;= 40, "Medium Usgae", "High Usage")))</f>
        <v>#REF!</v>
      </c>
      <c r="AD337" t="e">
        <f>IF(#REF!&lt;=150,"Low Usage", IF(#REF!&lt;=200,"Medium Usage", IF(#REF!&lt;=250,"High Usage","Very High Usage")))</f>
        <v>#REF!</v>
      </c>
      <c r="AE337" t="e">
        <f>IF(#REF!&lt;=5,"Low Calls", IF(#REF!&lt;=10, "Medium Calls", "High Calls"))</f>
        <v>#REF!</v>
      </c>
      <c r="AF337" t="e">
        <f xml:space="preserve">
IF(#REF!&gt;=4,4,0)+
IF(#REF!="yes",3,0)+
IF(#REF!="High Charges",3,0)+
IF(#REF!&gt;250,4,0)+
IF(#REF!="no",1,0)+
IF(#REF!="Heavy Domestic User",2,0)</f>
        <v>#REF!</v>
      </c>
      <c r="AG337" t="e">
        <f>IF(#REF!&gt;=10,"High Risk", IF(#REF!&gt;=5,"Medium Risk","Low Risk"))</f>
        <v>#REF!</v>
      </c>
      <c r="AH337" t="e">
        <f>#REF! + #REF! + #REF! + #REF!</f>
        <v>#REF!</v>
      </c>
    </row>
    <row r="338" spans="1:34" x14ac:dyDescent="0.35">
      <c r="A338">
        <v>337</v>
      </c>
      <c r="B338" t="s">
        <v>54</v>
      </c>
      <c r="C338">
        <v>122</v>
      </c>
      <c r="D338" t="s">
        <v>28</v>
      </c>
      <c r="E338" t="s">
        <v>22</v>
      </c>
      <c r="F338" t="s">
        <v>22</v>
      </c>
      <c r="G338">
        <v>0</v>
      </c>
      <c r="H338">
        <v>157.1</v>
      </c>
      <c r="I338">
        <v>134</v>
      </c>
      <c r="J338">
        <v>26.71</v>
      </c>
      <c r="K338">
        <v>184.9</v>
      </c>
      <c r="L338">
        <v>122</v>
      </c>
      <c r="M338">
        <v>15.72</v>
      </c>
      <c r="N338">
        <v>197.2</v>
      </c>
      <c r="O338">
        <v>59</v>
      </c>
      <c r="P338">
        <v>8.8699999999999992</v>
      </c>
      <c r="Q338">
        <v>8.5</v>
      </c>
      <c r="R338">
        <v>5</v>
      </c>
      <c r="S338">
        <v>2.2999999999999998</v>
      </c>
      <c r="T338">
        <v>4</v>
      </c>
      <c r="U338" t="s">
        <v>23</v>
      </c>
      <c r="V338" t="e">
        <f>IF(#REF! = "yes", 1, 0)</f>
        <v>#REF!</v>
      </c>
      <c r="W338" t="e">
        <f>IF(#REF! &lt;= 1, "0-1 Calls", IF(#REF! &lt;= 3, "2-3 Calls", IF(#REF! &lt;=5, "4-5 Calls", "6+ Calls")))</f>
        <v>#REF!</v>
      </c>
      <c r="X338" t="e">
        <f>IF(#REF! &lt;= 50, "0-50", IF(#REF! &lt;=100, "51-100", IF(#REF! &lt;= 150, "101-150", "151+")))</f>
        <v>#REF!</v>
      </c>
      <c r="Y338" t="e">
        <f>IF(#REF! &lt;= 3, "Low Charges", "High Charges")</f>
        <v>#REF!</v>
      </c>
      <c r="Z338" t="e">
        <f>IF(#REF!&lt;=80,"Low Calls",
IF(#REF!&lt;=120,"Medium Calls","High Calls"))</f>
        <v>#REF!</v>
      </c>
      <c r="AA338" t="e">
        <f>IF(#REF!&lt;=15,"Low Charges",
IF(#REF!&lt;=20,"Medium Charges","High Charges"))</f>
        <v>#REF!</v>
      </c>
      <c r="AB338" t="e">
        <f>IF(AND(#REF!&gt;180, #REF!&gt;200), "Heavy Doemstic User", IF(#REF!&gt;10, "Interntional User", IF(AND(#REF!&lt;180, #REF!&lt;200,#REF!&lt;200), "Light User", "Balanced User")))</f>
        <v>#REF!</v>
      </c>
      <c r="AC338" t="e">
        <f>IF(#REF! = 0, "No Usage", IF(#REF! &lt;= 20, "Low Usage", IF(#REF! &lt;= 40, "Medium Usgae", "High Usage")))</f>
        <v>#REF!</v>
      </c>
      <c r="AD338" t="e">
        <f>IF(#REF!&lt;=150,"Low Usage", IF(#REF!&lt;=200,"Medium Usage", IF(#REF!&lt;=250,"High Usage","Very High Usage")))</f>
        <v>#REF!</v>
      </c>
      <c r="AE338" t="e">
        <f>IF(#REF!&lt;=5,"Low Calls", IF(#REF!&lt;=10, "Medium Calls", "High Calls"))</f>
        <v>#REF!</v>
      </c>
      <c r="AF338" t="e">
        <f xml:space="preserve">
IF(#REF!&gt;=4,4,0)+
IF(#REF!="yes",3,0)+
IF(#REF!="High Charges",3,0)+
IF(#REF!&gt;250,4,0)+
IF(#REF!="no",1,0)+
IF(#REF!="Heavy Domestic User",2,0)</f>
        <v>#REF!</v>
      </c>
      <c r="AG338" t="e">
        <f>IF(#REF!&gt;=10,"High Risk", IF(#REF!&gt;=5,"Medium Risk","Low Risk"))</f>
        <v>#REF!</v>
      </c>
      <c r="AH338" t="e">
        <f>#REF! + #REF! + #REF! + #REF!</f>
        <v>#REF!</v>
      </c>
    </row>
    <row r="339" spans="1:34" x14ac:dyDescent="0.35">
      <c r="A339">
        <v>338</v>
      </c>
      <c r="B339" t="s">
        <v>33</v>
      </c>
      <c r="C339">
        <v>133</v>
      </c>
      <c r="D339" t="s">
        <v>28</v>
      </c>
      <c r="E339" t="s">
        <v>23</v>
      </c>
      <c r="F339" t="s">
        <v>22</v>
      </c>
      <c r="G339">
        <v>0</v>
      </c>
      <c r="H339">
        <v>127.3</v>
      </c>
      <c r="I339">
        <v>108</v>
      </c>
      <c r="J339">
        <v>21.64</v>
      </c>
      <c r="K339">
        <v>251.3</v>
      </c>
      <c r="L339">
        <v>81</v>
      </c>
      <c r="M339">
        <v>21.36</v>
      </c>
      <c r="N339">
        <v>135</v>
      </c>
      <c r="O339">
        <v>88</v>
      </c>
      <c r="P339">
        <v>6.08</v>
      </c>
      <c r="Q339">
        <v>10.3</v>
      </c>
      <c r="R339">
        <v>3</v>
      </c>
      <c r="S339">
        <v>2.78</v>
      </c>
      <c r="T339">
        <v>1</v>
      </c>
      <c r="U339" t="s">
        <v>22</v>
      </c>
      <c r="V339" t="e">
        <f>IF(#REF! = "yes", 1, 0)</f>
        <v>#REF!</v>
      </c>
      <c r="W339" t="e">
        <f>IF(#REF! &lt;= 1, "0-1 Calls", IF(#REF! &lt;= 3, "2-3 Calls", IF(#REF! &lt;=5, "4-5 Calls", "6+ Calls")))</f>
        <v>#REF!</v>
      </c>
      <c r="X339" t="e">
        <f>IF(#REF! &lt;= 50, "0-50", IF(#REF! &lt;=100, "51-100", IF(#REF! &lt;= 150, "101-150", "151+")))</f>
        <v>#REF!</v>
      </c>
      <c r="Y339" t="e">
        <f>IF(#REF! &lt;= 3, "Low Charges", "High Charges")</f>
        <v>#REF!</v>
      </c>
      <c r="Z339" t="e">
        <f>IF(#REF!&lt;=80,"Low Calls",
IF(#REF!&lt;=120,"Medium Calls","High Calls"))</f>
        <v>#REF!</v>
      </c>
      <c r="AA339" t="e">
        <f>IF(#REF!&lt;=15,"Low Charges",
IF(#REF!&lt;=20,"Medium Charges","High Charges"))</f>
        <v>#REF!</v>
      </c>
      <c r="AB339" t="e">
        <f>IF(AND(#REF!&gt;180, #REF!&gt;200), "Heavy Doemstic User", IF(#REF!&gt;10, "Interntional User", IF(AND(#REF!&lt;180, #REF!&lt;200,#REF!&lt;200), "Light User", "Balanced User")))</f>
        <v>#REF!</v>
      </c>
      <c r="AC339" t="e">
        <f>IF(#REF! = 0, "No Usage", IF(#REF! &lt;= 20, "Low Usage", IF(#REF! &lt;= 40, "Medium Usgae", "High Usage")))</f>
        <v>#REF!</v>
      </c>
      <c r="AD339" t="e">
        <f>IF(#REF!&lt;=150,"Low Usage", IF(#REF!&lt;=200,"Medium Usage", IF(#REF!&lt;=250,"High Usage","Very High Usage")))</f>
        <v>#REF!</v>
      </c>
      <c r="AE339" t="e">
        <f>IF(#REF!&lt;=5,"Low Calls", IF(#REF!&lt;=10, "Medium Calls", "High Calls"))</f>
        <v>#REF!</v>
      </c>
      <c r="AF339" t="e">
        <f xml:space="preserve">
IF(#REF!&gt;=4,4,0)+
IF(#REF!="yes",3,0)+
IF(#REF!="High Charges",3,0)+
IF(#REF!&gt;250,4,0)+
IF(#REF!="no",1,0)+
IF(#REF!="Heavy Domestic User",2,0)</f>
        <v>#REF!</v>
      </c>
      <c r="AG339" t="e">
        <f>IF(#REF!&gt;=10,"High Risk", IF(#REF!&gt;=5,"Medium Risk","Low Risk"))</f>
        <v>#REF!</v>
      </c>
      <c r="AH339" t="e">
        <f>#REF! + #REF! + #REF! + #REF!</f>
        <v>#REF!</v>
      </c>
    </row>
    <row r="340" spans="1:34" x14ac:dyDescent="0.35">
      <c r="A340">
        <v>339</v>
      </c>
      <c r="B340" t="s">
        <v>39</v>
      </c>
      <c r="C340">
        <v>145</v>
      </c>
      <c r="D340" t="s">
        <v>21</v>
      </c>
      <c r="E340" t="s">
        <v>22</v>
      </c>
      <c r="F340" t="s">
        <v>22</v>
      </c>
      <c r="G340">
        <v>0</v>
      </c>
      <c r="H340">
        <v>187.9</v>
      </c>
      <c r="I340">
        <v>110</v>
      </c>
      <c r="J340">
        <v>31.94</v>
      </c>
      <c r="K340">
        <v>197</v>
      </c>
      <c r="L340">
        <v>117</v>
      </c>
      <c r="M340">
        <v>16.75</v>
      </c>
      <c r="N340">
        <v>167</v>
      </c>
      <c r="O340">
        <v>108</v>
      </c>
      <c r="P340">
        <v>7.52</v>
      </c>
      <c r="Q340">
        <v>4.8</v>
      </c>
      <c r="R340">
        <v>4</v>
      </c>
      <c r="S340">
        <v>1.3</v>
      </c>
      <c r="T340">
        <v>2</v>
      </c>
      <c r="U340" t="s">
        <v>22</v>
      </c>
      <c r="V340" t="e">
        <f>IF(#REF! = "yes", 1, 0)</f>
        <v>#REF!</v>
      </c>
      <c r="W340" t="e">
        <f>IF(#REF! &lt;= 1, "0-1 Calls", IF(#REF! &lt;= 3, "2-3 Calls", IF(#REF! &lt;=5, "4-5 Calls", "6+ Calls")))</f>
        <v>#REF!</v>
      </c>
      <c r="X340" t="e">
        <f>IF(#REF! &lt;= 50, "0-50", IF(#REF! &lt;=100, "51-100", IF(#REF! &lt;= 150, "101-150", "151+")))</f>
        <v>#REF!</v>
      </c>
      <c r="Y340" t="e">
        <f>IF(#REF! &lt;= 3, "Low Charges", "High Charges")</f>
        <v>#REF!</v>
      </c>
      <c r="Z340" t="e">
        <f>IF(#REF!&lt;=80,"Low Calls",
IF(#REF!&lt;=120,"Medium Calls","High Calls"))</f>
        <v>#REF!</v>
      </c>
      <c r="AA340" t="e">
        <f>IF(#REF!&lt;=15,"Low Charges",
IF(#REF!&lt;=20,"Medium Charges","High Charges"))</f>
        <v>#REF!</v>
      </c>
      <c r="AB340" t="e">
        <f>IF(AND(#REF!&gt;180, #REF!&gt;200), "Heavy Doemstic User", IF(#REF!&gt;10, "Interntional User", IF(AND(#REF!&lt;180, #REF!&lt;200,#REF!&lt;200), "Light User", "Balanced User")))</f>
        <v>#REF!</v>
      </c>
      <c r="AC340" t="e">
        <f>IF(#REF! = 0, "No Usage", IF(#REF! &lt;= 20, "Low Usage", IF(#REF! &lt;= 40, "Medium Usgae", "High Usage")))</f>
        <v>#REF!</v>
      </c>
      <c r="AD340" t="e">
        <f>IF(#REF!&lt;=150,"Low Usage", IF(#REF!&lt;=200,"Medium Usage", IF(#REF!&lt;=250,"High Usage","Very High Usage")))</f>
        <v>#REF!</v>
      </c>
      <c r="AE340" t="e">
        <f>IF(#REF!&lt;=5,"Low Calls", IF(#REF!&lt;=10, "Medium Calls", "High Calls"))</f>
        <v>#REF!</v>
      </c>
      <c r="AF340" t="e">
        <f xml:space="preserve">
IF(#REF!&gt;=4,4,0)+
IF(#REF!="yes",3,0)+
IF(#REF!="High Charges",3,0)+
IF(#REF!&gt;250,4,0)+
IF(#REF!="no",1,0)+
IF(#REF!="Heavy Domestic User",2,0)</f>
        <v>#REF!</v>
      </c>
      <c r="AG340" t="e">
        <f>IF(#REF!&gt;=10,"High Risk", IF(#REF!&gt;=5,"Medium Risk","Low Risk"))</f>
        <v>#REF!</v>
      </c>
      <c r="AH340" t="e">
        <f>#REF! + #REF! + #REF! + #REF!</f>
        <v>#REF!</v>
      </c>
    </row>
    <row r="341" spans="1:34" x14ac:dyDescent="0.35">
      <c r="A341">
        <v>340</v>
      </c>
      <c r="B341" t="s">
        <v>52</v>
      </c>
      <c r="C341">
        <v>25</v>
      </c>
      <c r="D341" t="s">
        <v>25</v>
      </c>
      <c r="E341" t="s">
        <v>22</v>
      </c>
      <c r="F341" t="s">
        <v>22</v>
      </c>
      <c r="G341">
        <v>0</v>
      </c>
      <c r="H341">
        <v>178.8</v>
      </c>
      <c r="I341">
        <v>90</v>
      </c>
      <c r="J341">
        <v>30.4</v>
      </c>
      <c r="K341">
        <v>141.19999999999999</v>
      </c>
      <c r="L341">
        <v>72</v>
      </c>
      <c r="M341">
        <v>12</v>
      </c>
      <c r="N341">
        <v>203</v>
      </c>
      <c r="O341">
        <v>99</v>
      </c>
      <c r="P341">
        <v>9.14</v>
      </c>
      <c r="Q341">
        <v>8.4</v>
      </c>
      <c r="R341">
        <v>5</v>
      </c>
      <c r="S341">
        <v>2.27</v>
      </c>
      <c r="T341">
        <v>2</v>
      </c>
      <c r="U341" t="s">
        <v>22</v>
      </c>
      <c r="V341" t="e">
        <f>IF(#REF! = "yes", 1, 0)</f>
        <v>#REF!</v>
      </c>
      <c r="W341" t="e">
        <f>IF(#REF! &lt;= 1, "0-1 Calls", IF(#REF! &lt;= 3, "2-3 Calls", IF(#REF! &lt;=5, "4-5 Calls", "6+ Calls")))</f>
        <v>#REF!</v>
      </c>
      <c r="X341" t="e">
        <f>IF(#REF! &lt;= 50, "0-50", IF(#REF! &lt;=100, "51-100", IF(#REF! &lt;= 150, "101-150", "151+")))</f>
        <v>#REF!</v>
      </c>
      <c r="Y341" t="e">
        <f>IF(#REF! &lt;= 3, "Low Charges", "High Charges")</f>
        <v>#REF!</v>
      </c>
      <c r="Z341" t="e">
        <f>IF(#REF!&lt;=80,"Low Calls",
IF(#REF!&lt;=120,"Medium Calls","High Calls"))</f>
        <v>#REF!</v>
      </c>
      <c r="AA341" t="e">
        <f>IF(#REF!&lt;=15,"Low Charges",
IF(#REF!&lt;=20,"Medium Charges","High Charges"))</f>
        <v>#REF!</v>
      </c>
      <c r="AB341" t="e">
        <f>IF(AND(#REF!&gt;180, #REF!&gt;200), "Heavy Doemstic User", IF(#REF!&gt;10, "Interntional User", IF(AND(#REF!&lt;180, #REF!&lt;200,#REF!&lt;200), "Light User", "Balanced User")))</f>
        <v>#REF!</v>
      </c>
      <c r="AC341" t="e">
        <f>IF(#REF! = 0, "No Usage", IF(#REF! &lt;= 20, "Low Usage", IF(#REF! &lt;= 40, "Medium Usgae", "High Usage")))</f>
        <v>#REF!</v>
      </c>
      <c r="AD341" t="e">
        <f>IF(#REF!&lt;=150,"Low Usage", IF(#REF!&lt;=200,"Medium Usage", IF(#REF!&lt;=250,"High Usage","Very High Usage")))</f>
        <v>#REF!</v>
      </c>
      <c r="AE341" t="e">
        <f>IF(#REF!&lt;=5,"Low Calls", IF(#REF!&lt;=10, "Medium Calls", "High Calls"))</f>
        <v>#REF!</v>
      </c>
      <c r="AF341" t="e">
        <f xml:space="preserve">
IF(#REF!&gt;=4,4,0)+
IF(#REF!="yes",3,0)+
IF(#REF!="High Charges",3,0)+
IF(#REF!&gt;250,4,0)+
IF(#REF!="no",1,0)+
IF(#REF!="Heavy Domestic User",2,0)</f>
        <v>#REF!</v>
      </c>
      <c r="AG341" t="e">
        <f>IF(#REF!&gt;=10,"High Risk", IF(#REF!&gt;=5,"Medium Risk","Low Risk"))</f>
        <v>#REF!</v>
      </c>
      <c r="AH341" t="e">
        <f>#REF! + #REF! + #REF! + #REF!</f>
        <v>#REF!</v>
      </c>
    </row>
    <row r="342" spans="1:34" x14ac:dyDescent="0.35">
      <c r="A342">
        <v>341</v>
      </c>
      <c r="B342" t="s">
        <v>62</v>
      </c>
      <c r="C342">
        <v>64</v>
      </c>
      <c r="D342" t="s">
        <v>21</v>
      </c>
      <c r="E342" t="s">
        <v>22</v>
      </c>
      <c r="F342" t="s">
        <v>22</v>
      </c>
      <c r="G342">
        <v>0</v>
      </c>
      <c r="H342">
        <v>97.2</v>
      </c>
      <c r="I342">
        <v>80</v>
      </c>
      <c r="J342">
        <v>16.52</v>
      </c>
      <c r="K342">
        <v>186.2</v>
      </c>
      <c r="L342">
        <v>90</v>
      </c>
      <c r="M342">
        <v>15.83</v>
      </c>
      <c r="N342">
        <v>189</v>
      </c>
      <c r="O342">
        <v>92</v>
      </c>
      <c r="P342">
        <v>8.5</v>
      </c>
      <c r="Q342">
        <v>10.4</v>
      </c>
      <c r="R342">
        <v>6</v>
      </c>
      <c r="S342">
        <v>2.81</v>
      </c>
      <c r="T342">
        <v>2</v>
      </c>
      <c r="U342" t="s">
        <v>22</v>
      </c>
      <c r="V342" t="e">
        <f>IF(#REF! = "yes", 1, 0)</f>
        <v>#REF!</v>
      </c>
      <c r="W342" t="e">
        <f>IF(#REF! &lt;= 1, "0-1 Calls", IF(#REF! &lt;= 3, "2-3 Calls", IF(#REF! &lt;=5, "4-5 Calls", "6+ Calls")))</f>
        <v>#REF!</v>
      </c>
      <c r="X342" t="e">
        <f>IF(#REF! &lt;= 50, "0-50", IF(#REF! &lt;=100, "51-100", IF(#REF! &lt;= 150, "101-150", "151+")))</f>
        <v>#REF!</v>
      </c>
      <c r="Y342" t="e">
        <f>IF(#REF! &lt;= 3, "Low Charges", "High Charges")</f>
        <v>#REF!</v>
      </c>
      <c r="Z342" t="e">
        <f>IF(#REF!&lt;=80,"Low Calls",
IF(#REF!&lt;=120,"Medium Calls","High Calls"))</f>
        <v>#REF!</v>
      </c>
      <c r="AA342" t="e">
        <f>IF(#REF!&lt;=15,"Low Charges",
IF(#REF!&lt;=20,"Medium Charges","High Charges"))</f>
        <v>#REF!</v>
      </c>
      <c r="AB342" t="e">
        <f>IF(AND(#REF!&gt;180, #REF!&gt;200), "Heavy Doemstic User", IF(#REF!&gt;10, "Interntional User", IF(AND(#REF!&lt;180, #REF!&lt;200,#REF!&lt;200), "Light User", "Balanced User")))</f>
        <v>#REF!</v>
      </c>
      <c r="AC342" t="e">
        <f>IF(#REF! = 0, "No Usage", IF(#REF! &lt;= 20, "Low Usage", IF(#REF! &lt;= 40, "Medium Usgae", "High Usage")))</f>
        <v>#REF!</v>
      </c>
      <c r="AD342" t="e">
        <f>IF(#REF!&lt;=150,"Low Usage", IF(#REF!&lt;=200,"Medium Usage", IF(#REF!&lt;=250,"High Usage","Very High Usage")))</f>
        <v>#REF!</v>
      </c>
      <c r="AE342" t="e">
        <f>IF(#REF!&lt;=5,"Low Calls", IF(#REF!&lt;=10, "Medium Calls", "High Calls"))</f>
        <v>#REF!</v>
      </c>
      <c r="AF342" t="e">
        <f xml:space="preserve">
IF(#REF!&gt;=4,4,0)+
IF(#REF!="yes",3,0)+
IF(#REF!="High Charges",3,0)+
IF(#REF!&gt;250,4,0)+
IF(#REF!="no",1,0)+
IF(#REF!="Heavy Domestic User",2,0)</f>
        <v>#REF!</v>
      </c>
      <c r="AG342" t="e">
        <f>IF(#REF!&gt;=10,"High Risk", IF(#REF!&gt;=5,"Medium Risk","Low Risk"))</f>
        <v>#REF!</v>
      </c>
      <c r="AH342" t="e">
        <f>#REF! + #REF! + #REF! + #REF!</f>
        <v>#REF!</v>
      </c>
    </row>
    <row r="343" spans="1:34" x14ac:dyDescent="0.35">
      <c r="A343">
        <v>342</v>
      </c>
      <c r="B343" t="s">
        <v>69</v>
      </c>
      <c r="C343">
        <v>85</v>
      </c>
      <c r="D343" t="s">
        <v>21</v>
      </c>
      <c r="E343" t="s">
        <v>22</v>
      </c>
      <c r="F343" t="s">
        <v>22</v>
      </c>
      <c r="G343">
        <v>0</v>
      </c>
      <c r="H343">
        <v>259.8</v>
      </c>
      <c r="I343">
        <v>85</v>
      </c>
      <c r="J343">
        <v>44.17</v>
      </c>
      <c r="K343">
        <v>242.3</v>
      </c>
      <c r="L343">
        <v>117</v>
      </c>
      <c r="M343">
        <v>20.6</v>
      </c>
      <c r="N343">
        <v>168.8</v>
      </c>
      <c r="O343">
        <v>72</v>
      </c>
      <c r="P343">
        <v>7.6</v>
      </c>
      <c r="Q343">
        <v>5.4</v>
      </c>
      <c r="R343">
        <v>1</v>
      </c>
      <c r="S343">
        <v>1.46</v>
      </c>
      <c r="T343">
        <v>0</v>
      </c>
      <c r="U343" t="s">
        <v>22</v>
      </c>
      <c r="V343" t="e">
        <f>IF(#REF! = "yes", 1, 0)</f>
        <v>#REF!</v>
      </c>
      <c r="W343" t="e">
        <f>IF(#REF! &lt;= 1, "0-1 Calls", IF(#REF! &lt;= 3, "2-3 Calls", IF(#REF! &lt;=5, "4-5 Calls", "6+ Calls")))</f>
        <v>#REF!</v>
      </c>
      <c r="X343" t="e">
        <f>IF(#REF! &lt;= 50, "0-50", IF(#REF! &lt;=100, "51-100", IF(#REF! &lt;= 150, "101-150", "151+")))</f>
        <v>#REF!</v>
      </c>
      <c r="Y343" t="e">
        <f>IF(#REF! &lt;= 3, "Low Charges", "High Charges")</f>
        <v>#REF!</v>
      </c>
      <c r="Z343" t="e">
        <f>IF(#REF!&lt;=80,"Low Calls",
IF(#REF!&lt;=120,"Medium Calls","High Calls"))</f>
        <v>#REF!</v>
      </c>
      <c r="AA343" t="e">
        <f>IF(#REF!&lt;=15,"Low Charges",
IF(#REF!&lt;=20,"Medium Charges","High Charges"))</f>
        <v>#REF!</v>
      </c>
      <c r="AB343" t="e">
        <f>IF(AND(#REF!&gt;180, #REF!&gt;200), "Heavy Doemstic User", IF(#REF!&gt;10, "Interntional User", IF(AND(#REF!&lt;180, #REF!&lt;200,#REF!&lt;200), "Light User", "Balanced User")))</f>
        <v>#REF!</v>
      </c>
      <c r="AC343" t="e">
        <f>IF(#REF! = 0, "No Usage", IF(#REF! &lt;= 20, "Low Usage", IF(#REF! &lt;= 40, "Medium Usgae", "High Usage")))</f>
        <v>#REF!</v>
      </c>
      <c r="AD343" t="e">
        <f>IF(#REF!&lt;=150,"Low Usage", IF(#REF!&lt;=200,"Medium Usage", IF(#REF!&lt;=250,"High Usage","Very High Usage")))</f>
        <v>#REF!</v>
      </c>
      <c r="AE343" t="e">
        <f>IF(#REF!&lt;=5,"Low Calls", IF(#REF!&lt;=10, "Medium Calls", "High Calls"))</f>
        <v>#REF!</v>
      </c>
      <c r="AF343" t="e">
        <f xml:space="preserve">
IF(#REF!&gt;=4,4,0)+
IF(#REF!="yes",3,0)+
IF(#REF!="High Charges",3,0)+
IF(#REF!&gt;250,4,0)+
IF(#REF!="no",1,0)+
IF(#REF!="Heavy Domestic User",2,0)</f>
        <v>#REF!</v>
      </c>
      <c r="AG343" t="e">
        <f>IF(#REF!&gt;=10,"High Risk", IF(#REF!&gt;=5,"Medium Risk","Low Risk"))</f>
        <v>#REF!</v>
      </c>
      <c r="AH343" t="e">
        <f>#REF! + #REF! + #REF! + #REF!</f>
        <v>#REF!</v>
      </c>
    </row>
    <row r="344" spans="1:34" x14ac:dyDescent="0.35">
      <c r="A344">
        <v>343</v>
      </c>
      <c r="B344" t="s">
        <v>52</v>
      </c>
      <c r="C344">
        <v>76</v>
      </c>
      <c r="D344" t="s">
        <v>21</v>
      </c>
      <c r="E344" t="s">
        <v>22</v>
      </c>
      <c r="F344" t="s">
        <v>22</v>
      </c>
      <c r="G344">
        <v>0</v>
      </c>
      <c r="H344">
        <v>169.5</v>
      </c>
      <c r="I344">
        <v>77</v>
      </c>
      <c r="J344">
        <v>28.82</v>
      </c>
      <c r="K344">
        <v>124</v>
      </c>
      <c r="L344">
        <v>87</v>
      </c>
      <c r="M344">
        <v>10.54</v>
      </c>
      <c r="N344">
        <v>219.4</v>
      </c>
      <c r="O344">
        <v>92</v>
      </c>
      <c r="P344">
        <v>9.8699999999999992</v>
      </c>
      <c r="Q344">
        <v>10</v>
      </c>
      <c r="R344">
        <v>3</v>
      </c>
      <c r="S344">
        <v>2.7</v>
      </c>
      <c r="T344">
        <v>0</v>
      </c>
      <c r="U344" t="s">
        <v>22</v>
      </c>
      <c r="V344" t="e">
        <f>IF(#REF! = "yes", 1, 0)</f>
        <v>#REF!</v>
      </c>
      <c r="W344" t="e">
        <f>IF(#REF! &lt;= 1, "0-1 Calls", IF(#REF! &lt;= 3, "2-3 Calls", IF(#REF! &lt;=5, "4-5 Calls", "6+ Calls")))</f>
        <v>#REF!</v>
      </c>
      <c r="X344" t="e">
        <f>IF(#REF! &lt;= 50, "0-50", IF(#REF! &lt;=100, "51-100", IF(#REF! &lt;= 150, "101-150", "151+")))</f>
        <v>#REF!</v>
      </c>
      <c r="Y344" t="e">
        <f>IF(#REF! &lt;= 3, "Low Charges", "High Charges")</f>
        <v>#REF!</v>
      </c>
      <c r="Z344" t="e">
        <f>IF(#REF!&lt;=80,"Low Calls",
IF(#REF!&lt;=120,"Medium Calls","High Calls"))</f>
        <v>#REF!</v>
      </c>
      <c r="AA344" t="e">
        <f>IF(#REF!&lt;=15,"Low Charges",
IF(#REF!&lt;=20,"Medium Charges","High Charges"))</f>
        <v>#REF!</v>
      </c>
      <c r="AB344" t="e">
        <f>IF(AND(#REF!&gt;180, #REF!&gt;200), "Heavy Doemstic User", IF(#REF!&gt;10, "Interntional User", IF(AND(#REF!&lt;180, #REF!&lt;200,#REF!&lt;200), "Light User", "Balanced User")))</f>
        <v>#REF!</v>
      </c>
      <c r="AC344" t="e">
        <f>IF(#REF! = 0, "No Usage", IF(#REF! &lt;= 20, "Low Usage", IF(#REF! &lt;= 40, "Medium Usgae", "High Usage")))</f>
        <v>#REF!</v>
      </c>
      <c r="AD344" t="e">
        <f>IF(#REF!&lt;=150,"Low Usage", IF(#REF!&lt;=200,"Medium Usage", IF(#REF!&lt;=250,"High Usage","Very High Usage")))</f>
        <v>#REF!</v>
      </c>
      <c r="AE344" t="e">
        <f>IF(#REF!&lt;=5,"Low Calls", IF(#REF!&lt;=10, "Medium Calls", "High Calls"))</f>
        <v>#REF!</v>
      </c>
      <c r="AF344" t="e">
        <f xml:space="preserve">
IF(#REF!&gt;=4,4,0)+
IF(#REF!="yes",3,0)+
IF(#REF!="High Charges",3,0)+
IF(#REF!&gt;250,4,0)+
IF(#REF!="no",1,0)+
IF(#REF!="Heavy Domestic User",2,0)</f>
        <v>#REF!</v>
      </c>
      <c r="AG344" t="e">
        <f>IF(#REF!&gt;=10,"High Risk", IF(#REF!&gt;=5,"Medium Risk","Low Risk"))</f>
        <v>#REF!</v>
      </c>
      <c r="AH344" t="e">
        <f>#REF! + #REF! + #REF! + #REF!</f>
        <v>#REF!</v>
      </c>
    </row>
    <row r="345" spans="1:34" x14ac:dyDescent="0.35">
      <c r="A345">
        <v>344</v>
      </c>
      <c r="B345" t="s">
        <v>54</v>
      </c>
      <c r="C345">
        <v>224</v>
      </c>
      <c r="D345" t="s">
        <v>28</v>
      </c>
      <c r="E345" t="s">
        <v>23</v>
      </c>
      <c r="F345" t="s">
        <v>22</v>
      </c>
      <c r="G345">
        <v>0</v>
      </c>
      <c r="H345">
        <v>171.5</v>
      </c>
      <c r="I345">
        <v>99</v>
      </c>
      <c r="J345">
        <v>29.16</v>
      </c>
      <c r="K345">
        <v>160</v>
      </c>
      <c r="L345">
        <v>103</v>
      </c>
      <c r="M345">
        <v>13.6</v>
      </c>
      <c r="N345">
        <v>212.4</v>
      </c>
      <c r="O345">
        <v>102</v>
      </c>
      <c r="P345">
        <v>9.56</v>
      </c>
      <c r="Q345">
        <v>5</v>
      </c>
      <c r="R345">
        <v>2</v>
      </c>
      <c r="S345">
        <v>1.35</v>
      </c>
      <c r="T345">
        <v>1</v>
      </c>
      <c r="U345" t="s">
        <v>23</v>
      </c>
      <c r="V345" t="e">
        <f>IF(#REF! = "yes", 1, 0)</f>
        <v>#REF!</v>
      </c>
      <c r="W345" t="e">
        <f>IF(#REF! &lt;= 1, "0-1 Calls", IF(#REF! &lt;= 3, "2-3 Calls", IF(#REF! &lt;=5, "4-5 Calls", "6+ Calls")))</f>
        <v>#REF!</v>
      </c>
      <c r="X345" t="e">
        <f>IF(#REF! &lt;= 50, "0-50", IF(#REF! &lt;=100, "51-100", IF(#REF! &lt;= 150, "101-150", "151+")))</f>
        <v>#REF!</v>
      </c>
      <c r="Y345" t="e">
        <f>IF(#REF! &lt;= 3, "Low Charges", "High Charges")</f>
        <v>#REF!</v>
      </c>
      <c r="Z345" t="e">
        <f>IF(#REF!&lt;=80,"Low Calls",
IF(#REF!&lt;=120,"Medium Calls","High Calls"))</f>
        <v>#REF!</v>
      </c>
      <c r="AA345" t="e">
        <f>IF(#REF!&lt;=15,"Low Charges",
IF(#REF!&lt;=20,"Medium Charges","High Charges"))</f>
        <v>#REF!</v>
      </c>
      <c r="AB345" t="e">
        <f>IF(AND(#REF!&gt;180, #REF!&gt;200), "Heavy Doemstic User", IF(#REF!&gt;10, "Interntional User", IF(AND(#REF!&lt;180, #REF!&lt;200,#REF!&lt;200), "Light User", "Balanced User")))</f>
        <v>#REF!</v>
      </c>
      <c r="AC345" t="e">
        <f>IF(#REF! = 0, "No Usage", IF(#REF! &lt;= 20, "Low Usage", IF(#REF! &lt;= 40, "Medium Usgae", "High Usage")))</f>
        <v>#REF!</v>
      </c>
      <c r="AD345" t="e">
        <f>IF(#REF!&lt;=150,"Low Usage", IF(#REF!&lt;=200,"Medium Usage", IF(#REF!&lt;=250,"High Usage","Very High Usage")))</f>
        <v>#REF!</v>
      </c>
      <c r="AE345" t="e">
        <f>IF(#REF!&lt;=5,"Low Calls", IF(#REF!&lt;=10, "Medium Calls", "High Calls"))</f>
        <v>#REF!</v>
      </c>
      <c r="AF345" t="e">
        <f xml:space="preserve">
IF(#REF!&gt;=4,4,0)+
IF(#REF!="yes",3,0)+
IF(#REF!="High Charges",3,0)+
IF(#REF!&gt;250,4,0)+
IF(#REF!="no",1,0)+
IF(#REF!="Heavy Domestic User",2,0)</f>
        <v>#REF!</v>
      </c>
      <c r="AG345" t="e">
        <f>IF(#REF!&gt;=10,"High Risk", IF(#REF!&gt;=5,"Medium Risk","Low Risk"))</f>
        <v>#REF!</v>
      </c>
      <c r="AH345" t="e">
        <f>#REF! + #REF! + #REF! + #REF!</f>
        <v>#REF!</v>
      </c>
    </row>
    <row r="346" spans="1:34" x14ac:dyDescent="0.35">
      <c r="A346">
        <v>345</v>
      </c>
      <c r="B346" t="s">
        <v>42</v>
      </c>
      <c r="C346">
        <v>117</v>
      </c>
      <c r="D346" t="s">
        <v>25</v>
      </c>
      <c r="E346" t="s">
        <v>22</v>
      </c>
      <c r="F346" t="s">
        <v>22</v>
      </c>
      <c r="G346">
        <v>0</v>
      </c>
      <c r="H346">
        <v>239.9</v>
      </c>
      <c r="I346">
        <v>84</v>
      </c>
      <c r="J346">
        <v>40.78</v>
      </c>
      <c r="K346">
        <v>174.8</v>
      </c>
      <c r="L346">
        <v>106</v>
      </c>
      <c r="M346">
        <v>14.86</v>
      </c>
      <c r="N346">
        <v>209.5</v>
      </c>
      <c r="O346">
        <v>93</v>
      </c>
      <c r="P346">
        <v>9.43</v>
      </c>
      <c r="Q346">
        <v>9.8000000000000007</v>
      </c>
      <c r="R346">
        <v>2</v>
      </c>
      <c r="S346">
        <v>2.65</v>
      </c>
      <c r="T346">
        <v>0</v>
      </c>
      <c r="U346" t="s">
        <v>22</v>
      </c>
      <c r="V346" t="e">
        <f>IF(#REF! = "yes", 1, 0)</f>
        <v>#REF!</v>
      </c>
      <c r="W346" t="e">
        <f>IF(#REF! &lt;= 1, "0-1 Calls", IF(#REF! &lt;= 3, "2-3 Calls", IF(#REF! &lt;=5, "4-5 Calls", "6+ Calls")))</f>
        <v>#REF!</v>
      </c>
      <c r="X346" t="e">
        <f>IF(#REF! &lt;= 50, "0-50", IF(#REF! &lt;=100, "51-100", IF(#REF! &lt;= 150, "101-150", "151+")))</f>
        <v>#REF!</v>
      </c>
      <c r="Y346" t="e">
        <f>IF(#REF! &lt;= 3, "Low Charges", "High Charges")</f>
        <v>#REF!</v>
      </c>
      <c r="Z346" t="e">
        <f>IF(#REF!&lt;=80,"Low Calls",
IF(#REF!&lt;=120,"Medium Calls","High Calls"))</f>
        <v>#REF!</v>
      </c>
      <c r="AA346" t="e">
        <f>IF(#REF!&lt;=15,"Low Charges",
IF(#REF!&lt;=20,"Medium Charges","High Charges"))</f>
        <v>#REF!</v>
      </c>
      <c r="AB346" t="e">
        <f>IF(AND(#REF!&gt;180, #REF!&gt;200), "Heavy Doemstic User", IF(#REF!&gt;10, "Interntional User", IF(AND(#REF!&lt;180, #REF!&lt;200,#REF!&lt;200), "Light User", "Balanced User")))</f>
        <v>#REF!</v>
      </c>
      <c r="AC346" t="e">
        <f>IF(#REF! = 0, "No Usage", IF(#REF! &lt;= 20, "Low Usage", IF(#REF! &lt;= 40, "Medium Usgae", "High Usage")))</f>
        <v>#REF!</v>
      </c>
      <c r="AD346" t="e">
        <f>IF(#REF!&lt;=150,"Low Usage", IF(#REF!&lt;=200,"Medium Usage", IF(#REF!&lt;=250,"High Usage","Very High Usage")))</f>
        <v>#REF!</v>
      </c>
      <c r="AE346" t="e">
        <f>IF(#REF!&lt;=5,"Low Calls", IF(#REF!&lt;=10, "Medium Calls", "High Calls"))</f>
        <v>#REF!</v>
      </c>
      <c r="AF346" t="e">
        <f xml:space="preserve">
IF(#REF!&gt;=4,4,0)+
IF(#REF!="yes",3,0)+
IF(#REF!="High Charges",3,0)+
IF(#REF!&gt;250,4,0)+
IF(#REF!="no",1,0)+
IF(#REF!="Heavy Domestic User",2,0)</f>
        <v>#REF!</v>
      </c>
      <c r="AG346" t="e">
        <f>IF(#REF!&gt;=10,"High Risk", IF(#REF!&gt;=5,"Medium Risk","Low Risk"))</f>
        <v>#REF!</v>
      </c>
      <c r="AH346" t="e">
        <f>#REF! + #REF! + #REF! + #REF!</f>
        <v>#REF!</v>
      </c>
    </row>
    <row r="347" spans="1:34" x14ac:dyDescent="0.35">
      <c r="A347">
        <v>346</v>
      </c>
      <c r="B347" t="s">
        <v>57</v>
      </c>
      <c r="C347">
        <v>128</v>
      </c>
      <c r="D347" t="s">
        <v>25</v>
      </c>
      <c r="E347" t="s">
        <v>22</v>
      </c>
      <c r="F347" t="s">
        <v>23</v>
      </c>
      <c r="G347">
        <v>34</v>
      </c>
      <c r="H347">
        <v>142.30000000000001</v>
      </c>
      <c r="I347">
        <v>73</v>
      </c>
      <c r="J347">
        <v>24.19</v>
      </c>
      <c r="K347">
        <v>194.8</v>
      </c>
      <c r="L347">
        <v>79</v>
      </c>
      <c r="M347">
        <v>16.559999999999999</v>
      </c>
      <c r="N347">
        <v>239.3</v>
      </c>
      <c r="O347">
        <v>81</v>
      </c>
      <c r="P347">
        <v>10.77</v>
      </c>
      <c r="Q347">
        <v>16</v>
      </c>
      <c r="R347">
        <v>6</v>
      </c>
      <c r="S347">
        <v>4.32</v>
      </c>
      <c r="T347">
        <v>1</v>
      </c>
      <c r="U347" t="s">
        <v>22</v>
      </c>
      <c r="V347" t="e">
        <f>IF(#REF! = "yes", 1, 0)</f>
        <v>#REF!</v>
      </c>
      <c r="W347" t="e">
        <f>IF(#REF! &lt;= 1, "0-1 Calls", IF(#REF! &lt;= 3, "2-3 Calls", IF(#REF! &lt;=5, "4-5 Calls", "6+ Calls")))</f>
        <v>#REF!</v>
      </c>
      <c r="X347" t="e">
        <f>IF(#REF! &lt;= 50, "0-50", IF(#REF! &lt;=100, "51-100", IF(#REF! &lt;= 150, "101-150", "151+")))</f>
        <v>#REF!</v>
      </c>
      <c r="Y347" t="e">
        <f>IF(#REF! &lt;= 3, "Low Charges", "High Charges")</f>
        <v>#REF!</v>
      </c>
      <c r="Z347" t="e">
        <f>IF(#REF!&lt;=80,"Low Calls",
IF(#REF!&lt;=120,"Medium Calls","High Calls"))</f>
        <v>#REF!</v>
      </c>
      <c r="AA347" t="e">
        <f>IF(#REF!&lt;=15,"Low Charges",
IF(#REF!&lt;=20,"Medium Charges","High Charges"))</f>
        <v>#REF!</v>
      </c>
      <c r="AB347" t="e">
        <f>IF(AND(#REF!&gt;180, #REF!&gt;200), "Heavy Doemstic User", IF(#REF!&gt;10, "Interntional User", IF(AND(#REF!&lt;180, #REF!&lt;200,#REF!&lt;200), "Light User", "Balanced User")))</f>
        <v>#REF!</v>
      </c>
      <c r="AC347" t="e">
        <f>IF(#REF! = 0, "No Usage", IF(#REF! &lt;= 20, "Low Usage", IF(#REF! &lt;= 40, "Medium Usgae", "High Usage")))</f>
        <v>#REF!</v>
      </c>
      <c r="AD347" t="e">
        <f>IF(#REF!&lt;=150,"Low Usage", IF(#REF!&lt;=200,"Medium Usage", IF(#REF!&lt;=250,"High Usage","Very High Usage")))</f>
        <v>#REF!</v>
      </c>
      <c r="AE347" t="e">
        <f>IF(#REF!&lt;=5,"Low Calls", IF(#REF!&lt;=10, "Medium Calls", "High Calls"))</f>
        <v>#REF!</v>
      </c>
      <c r="AF347" t="e">
        <f xml:space="preserve">
IF(#REF!&gt;=4,4,0)+
IF(#REF!="yes",3,0)+
IF(#REF!="High Charges",3,0)+
IF(#REF!&gt;250,4,0)+
IF(#REF!="no",1,0)+
IF(#REF!="Heavy Domestic User",2,0)</f>
        <v>#REF!</v>
      </c>
      <c r="AG347" t="e">
        <f>IF(#REF!&gt;=10,"High Risk", IF(#REF!&gt;=5,"Medium Risk","Low Risk"))</f>
        <v>#REF!</v>
      </c>
      <c r="AH347" t="e">
        <f>#REF! + #REF! + #REF! + #REF!</f>
        <v>#REF!</v>
      </c>
    </row>
    <row r="348" spans="1:34" x14ac:dyDescent="0.35">
      <c r="A348">
        <v>347</v>
      </c>
      <c r="B348" t="s">
        <v>62</v>
      </c>
      <c r="C348">
        <v>115</v>
      </c>
      <c r="D348" t="s">
        <v>21</v>
      </c>
      <c r="E348" t="s">
        <v>22</v>
      </c>
      <c r="F348" t="s">
        <v>22</v>
      </c>
      <c r="G348">
        <v>0</v>
      </c>
      <c r="H348">
        <v>184.1</v>
      </c>
      <c r="I348">
        <v>98</v>
      </c>
      <c r="J348">
        <v>31.3</v>
      </c>
      <c r="K348">
        <v>327</v>
      </c>
      <c r="L348">
        <v>73</v>
      </c>
      <c r="M348">
        <v>27.8</v>
      </c>
      <c r="N348">
        <v>212.5</v>
      </c>
      <c r="O348">
        <v>106</v>
      </c>
      <c r="P348">
        <v>9.56</v>
      </c>
      <c r="Q348">
        <v>7.5</v>
      </c>
      <c r="R348">
        <v>6</v>
      </c>
      <c r="S348">
        <v>2.0299999999999998</v>
      </c>
      <c r="T348">
        <v>2</v>
      </c>
      <c r="U348" t="s">
        <v>22</v>
      </c>
      <c r="V348" t="e">
        <f>IF(#REF! = "yes", 1, 0)</f>
        <v>#REF!</v>
      </c>
      <c r="W348" t="e">
        <f>IF(#REF! &lt;= 1, "0-1 Calls", IF(#REF! &lt;= 3, "2-3 Calls", IF(#REF! &lt;=5, "4-5 Calls", "6+ Calls")))</f>
        <v>#REF!</v>
      </c>
      <c r="X348" t="e">
        <f>IF(#REF! &lt;= 50, "0-50", IF(#REF! &lt;=100, "51-100", IF(#REF! &lt;= 150, "101-150", "151+")))</f>
        <v>#REF!</v>
      </c>
      <c r="Y348" t="e">
        <f>IF(#REF! &lt;= 3, "Low Charges", "High Charges")</f>
        <v>#REF!</v>
      </c>
      <c r="Z348" t="e">
        <f>IF(#REF!&lt;=80,"Low Calls",
IF(#REF!&lt;=120,"Medium Calls","High Calls"))</f>
        <v>#REF!</v>
      </c>
      <c r="AA348" t="e">
        <f>IF(#REF!&lt;=15,"Low Charges",
IF(#REF!&lt;=20,"Medium Charges","High Charges"))</f>
        <v>#REF!</v>
      </c>
      <c r="AB348" t="e">
        <f>IF(AND(#REF!&gt;180, #REF!&gt;200), "Heavy Doemstic User", IF(#REF!&gt;10, "Interntional User", IF(AND(#REF!&lt;180, #REF!&lt;200,#REF!&lt;200), "Light User", "Balanced User")))</f>
        <v>#REF!</v>
      </c>
      <c r="AC348" t="e">
        <f>IF(#REF! = 0, "No Usage", IF(#REF! &lt;= 20, "Low Usage", IF(#REF! &lt;= 40, "Medium Usgae", "High Usage")))</f>
        <v>#REF!</v>
      </c>
      <c r="AD348" t="e">
        <f>IF(#REF!&lt;=150,"Low Usage", IF(#REF!&lt;=200,"Medium Usage", IF(#REF!&lt;=250,"High Usage","Very High Usage")))</f>
        <v>#REF!</v>
      </c>
      <c r="AE348" t="e">
        <f>IF(#REF!&lt;=5,"Low Calls", IF(#REF!&lt;=10, "Medium Calls", "High Calls"))</f>
        <v>#REF!</v>
      </c>
      <c r="AF348" t="e">
        <f xml:space="preserve">
IF(#REF!&gt;=4,4,0)+
IF(#REF!="yes",3,0)+
IF(#REF!="High Charges",3,0)+
IF(#REF!&gt;250,4,0)+
IF(#REF!="no",1,0)+
IF(#REF!="Heavy Domestic User",2,0)</f>
        <v>#REF!</v>
      </c>
      <c r="AG348" t="e">
        <f>IF(#REF!&gt;=10,"High Risk", IF(#REF!&gt;=5,"Medium Risk","Low Risk"))</f>
        <v>#REF!</v>
      </c>
      <c r="AH348" t="e">
        <f>#REF! + #REF! + #REF! + #REF!</f>
        <v>#REF!</v>
      </c>
    </row>
    <row r="349" spans="1:34" x14ac:dyDescent="0.35">
      <c r="A349">
        <v>348</v>
      </c>
      <c r="B349" t="s">
        <v>61</v>
      </c>
      <c r="C349">
        <v>141</v>
      </c>
      <c r="D349" t="s">
        <v>21</v>
      </c>
      <c r="E349" t="s">
        <v>22</v>
      </c>
      <c r="F349" t="s">
        <v>23</v>
      </c>
      <c r="G349">
        <v>28</v>
      </c>
      <c r="H349">
        <v>206.9</v>
      </c>
      <c r="I349">
        <v>126</v>
      </c>
      <c r="J349">
        <v>35.17</v>
      </c>
      <c r="K349">
        <v>264.39999999999998</v>
      </c>
      <c r="L349">
        <v>126</v>
      </c>
      <c r="M349">
        <v>22.47</v>
      </c>
      <c r="N349">
        <v>171.8</v>
      </c>
      <c r="O349">
        <v>124</v>
      </c>
      <c r="P349">
        <v>7.73</v>
      </c>
      <c r="Q349">
        <v>9.3000000000000007</v>
      </c>
      <c r="R349">
        <v>11</v>
      </c>
      <c r="S349">
        <v>2.5099999999999998</v>
      </c>
      <c r="T349">
        <v>2</v>
      </c>
      <c r="U349" t="s">
        <v>22</v>
      </c>
      <c r="V349" t="e">
        <f>IF(#REF! = "yes", 1, 0)</f>
        <v>#REF!</v>
      </c>
      <c r="W349" t="e">
        <f>IF(#REF! &lt;= 1, "0-1 Calls", IF(#REF! &lt;= 3, "2-3 Calls", IF(#REF! &lt;=5, "4-5 Calls", "6+ Calls")))</f>
        <v>#REF!</v>
      </c>
      <c r="X349" t="e">
        <f>IF(#REF! &lt;= 50, "0-50", IF(#REF! &lt;=100, "51-100", IF(#REF! &lt;= 150, "101-150", "151+")))</f>
        <v>#REF!</v>
      </c>
      <c r="Y349" t="e">
        <f>IF(#REF! &lt;= 3, "Low Charges", "High Charges")</f>
        <v>#REF!</v>
      </c>
      <c r="Z349" t="e">
        <f>IF(#REF!&lt;=80,"Low Calls",
IF(#REF!&lt;=120,"Medium Calls","High Calls"))</f>
        <v>#REF!</v>
      </c>
      <c r="AA349" t="e">
        <f>IF(#REF!&lt;=15,"Low Charges",
IF(#REF!&lt;=20,"Medium Charges","High Charges"))</f>
        <v>#REF!</v>
      </c>
      <c r="AB349" t="e">
        <f>IF(AND(#REF!&gt;180, #REF!&gt;200), "Heavy Doemstic User", IF(#REF!&gt;10, "Interntional User", IF(AND(#REF!&lt;180, #REF!&lt;200,#REF!&lt;200), "Light User", "Balanced User")))</f>
        <v>#REF!</v>
      </c>
      <c r="AC349" t="e">
        <f>IF(#REF! = 0, "No Usage", IF(#REF! &lt;= 20, "Low Usage", IF(#REF! &lt;= 40, "Medium Usgae", "High Usage")))</f>
        <v>#REF!</v>
      </c>
      <c r="AD349" t="e">
        <f>IF(#REF!&lt;=150,"Low Usage", IF(#REF!&lt;=200,"Medium Usage", IF(#REF!&lt;=250,"High Usage","Very High Usage")))</f>
        <v>#REF!</v>
      </c>
      <c r="AE349" t="e">
        <f>IF(#REF!&lt;=5,"Low Calls", IF(#REF!&lt;=10, "Medium Calls", "High Calls"))</f>
        <v>#REF!</v>
      </c>
      <c r="AF349" t="e">
        <f xml:space="preserve">
IF(#REF!&gt;=4,4,0)+
IF(#REF!="yes",3,0)+
IF(#REF!="High Charges",3,0)+
IF(#REF!&gt;250,4,0)+
IF(#REF!="no",1,0)+
IF(#REF!="Heavy Domestic User",2,0)</f>
        <v>#REF!</v>
      </c>
      <c r="AG349" t="e">
        <f>IF(#REF!&gt;=10,"High Risk", IF(#REF!&gt;=5,"Medium Risk","Low Risk"))</f>
        <v>#REF!</v>
      </c>
      <c r="AH349" t="e">
        <f>#REF! + #REF! + #REF! + #REF!</f>
        <v>#REF!</v>
      </c>
    </row>
    <row r="350" spans="1:34" x14ac:dyDescent="0.35">
      <c r="A350">
        <v>349</v>
      </c>
      <c r="B350" t="s">
        <v>60</v>
      </c>
      <c r="C350">
        <v>51</v>
      </c>
      <c r="D350" t="s">
        <v>28</v>
      </c>
      <c r="E350" t="s">
        <v>22</v>
      </c>
      <c r="F350" t="s">
        <v>22</v>
      </c>
      <c r="G350">
        <v>0</v>
      </c>
      <c r="H350">
        <v>259.89999999999998</v>
      </c>
      <c r="I350">
        <v>114</v>
      </c>
      <c r="J350">
        <v>44.18</v>
      </c>
      <c r="K350">
        <v>176.2</v>
      </c>
      <c r="L350">
        <v>94</v>
      </c>
      <c r="M350">
        <v>14.98</v>
      </c>
      <c r="N350">
        <v>77.2</v>
      </c>
      <c r="O350">
        <v>112</v>
      </c>
      <c r="P350">
        <v>3.47</v>
      </c>
      <c r="Q350">
        <v>15.3</v>
      </c>
      <c r="R350">
        <v>1</v>
      </c>
      <c r="S350">
        <v>4.13</v>
      </c>
      <c r="T350">
        <v>1</v>
      </c>
      <c r="U350" t="s">
        <v>22</v>
      </c>
      <c r="V350" t="e">
        <f>IF(#REF! = "yes", 1, 0)</f>
        <v>#REF!</v>
      </c>
      <c r="W350" t="e">
        <f>IF(#REF! &lt;= 1, "0-1 Calls", IF(#REF! &lt;= 3, "2-3 Calls", IF(#REF! &lt;=5, "4-5 Calls", "6+ Calls")))</f>
        <v>#REF!</v>
      </c>
      <c r="X350" t="e">
        <f>IF(#REF! &lt;= 50, "0-50", IF(#REF! &lt;=100, "51-100", IF(#REF! &lt;= 150, "101-150", "151+")))</f>
        <v>#REF!</v>
      </c>
      <c r="Y350" t="e">
        <f>IF(#REF! &lt;= 3, "Low Charges", "High Charges")</f>
        <v>#REF!</v>
      </c>
      <c r="Z350" t="e">
        <f>IF(#REF!&lt;=80,"Low Calls",
IF(#REF!&lt;=120,"Medium Calls","High Calls"))</f>
        <v>#REF!</v>
      </c>
      <c r="AA350" t="e">
        <f>IF(#REF!&lt;=15,"Low Charges",
IF(#REF!&lt;=20,"Medium Charges","High Charges"))</f>
        <v>#REF!</v>
      </c>
      <c r="AB350" t="e">
        <f>IF(AND(#REF!&gt;180, #REF!&gt;200), "Heavy Doemstic User", IF(#REF!&gt;10, "Interntional User", IF(AND(#REF!&lt;180, #REF!&lt;200,#REF!&lt;200), "Light User", "Balanced User")))</f>
        <v>#REF!</v>
      </c>
      <c r="AC350" t="e">
        <f>IF(#REF! = 0, "No Usage", IF(#REF! &lt;= 20, "Low Usage", IF(#REF! &lt;= 40, "Medium Usgae", "High Usage")))</f>
        <v>#REF!</v>
      </c>
      <c r="AD350" t="e">
        <f>IF(#REF!&lt;=150,"Low Usage", IF(#REF!&lt;=200,"Medium Usage", IF(#REF!&lt;=250,"High Usage","Very High Usage")))</f>
        <v>#REF!</v>
      </c>
      <c r="AE350" t="e">
        <f>IF(#REF!&lt;=5,"Low Calls", IF(#REF!&lt;=10, "Medium Calls", "High Calls"))</f>
        <v>#REF!</v>
      </c>
      <c r="AF350" t="e">
        <f xml:space="preserve">
IF(#REF!&gt;=4,4,0)+
IF(#REF!="yes",3,0)+
IF(#REF!="High Charges",3,0)+
IF(#REF!&gt;250,4,0)+
IF(#REF!="no",1,0)+
IF(#REF!="Heavy Domestic User",2,0)</f>
        <v>#REF!</v>
      </c>
      <c r="AG350" t="e">
        <f>IF(#REF!&gt;=10,"High Risk", IF(#REF!&gt;=5,"Medium Risk","Low Risk"))</f>
        <v>#REF!</v>
      </c>
      <c r="AH350" t="e">
        <f>#REF! + #REF! + #REF! + #REF!</f>
        <v>#REF!</v>
      </c>
    </row>
    <row r="351" spans="1:34" x14ac:dyDescent="0.35">
      <c r="A351">
        <v>350</v>
      </c>
      <c r="B351" t="s">
        <v>24</v>
      </c>
      <c r="C351">
        <v>100</v>
      </c>
      <c r="D351" t="s">
        <v>21</v>
      </c>
      <c r="E351" t="s">
        <v>22</v>
      </c>
      <c r="F351" t="s">
        <v>22</v>
      </c>
      <c r="G351">
        <v>0</v>
      </c>
      <c r="H351">
        <v>203.8</v>
      </c>
      <c r="I351">
        <v>122</v>
      </c>
      <c r="J351">
        <v>34.65</v>
      </c>
      <c r="K351">
        <v>283.10000000000002</v>
      </c>
      <c r="L351">
        <v>76</v>
      </c>
      <c r="M351">
        <v>24.06</v>
      </c>
      <c r="N351">
        <v>197.3</v>
      </c>
      <c r="O351">
        <v>83</v>
      </c>
      <c r="P351">
        <v>8.8800000000000008</v>
      </c>
      <c r="Q351">
        <v>12.5</v>
      </c>
      <c r="R351">
        <v>3</v>
      </c>
      <c r="S351">
        <v>3.38</v>
      </c>
      <c r="T351">
        <v>0</v>
      </c>
      <c r="U351" t="s">
        <v>22</v>
      </c>
      <c r="V351" t="e">
        <f>IF(#REF! = "yes", 1, 0)</f>
        <v>#REF!</v>
      </c>
      <c r="W351" t="e">
        <f>IF(#REF! &lt;= 1, "0-1 Calls", IF(#REF! &lt;= 3, "2-3 Calls", IF(#REF! &lt;=5, "4-5 Calls", "6+ Calls")))</f>
        <v>#REF!</v>
      </c>
      <c r="X351" t="e">
        <f>IF(#REF! &lt;= 50, "0-50", IF(#REF! &lt;=100, "51-100", IF(#REF! &lt;= 150, "101-150", "151+")))</f>
        <v>#REF!</v>
      </c>
      <c r="Y351" t="e">
        <f>IF(#REF! &lt;= 3, "Low Charges", "High Charges")</f>
        <v>#REF!</v>
      </c>
      <c r="Z351" t="e">
        <f>IF(#REF!&lt;=80,"Low Calls",
IF(#REF!&lt;=120,"Medium Calls","High Calls"))</f>
        <v>#REF!</v>
      </c>
      <c r="AA351" t="e">
        <f>IF(#REF!&lt;=15,"Low Charges",
IF(#REF!&lt;=20,"Medium Charges","High Charges"))</f>
        <v>#REF!</v>
      </c>
      <c r="AB351" t="e">
        <f>IF(AND(#REF!&gt;180, #REF!&gt;200), "Heavy Doemstic User", IF(#REF!&gt;10, "Interntional User", IF(AND(#REF!&lt;180, #REF!&lt;200,#REF!&lt;200), "Light User", "Balanced User")))</f>
        <v>#REF!</v>
      </c>
      <c r="AC351" t="e">
        <f>IF(#REF! = 0, "No Usage", IF(#REF! &lt;= 20, "Low Usage", IF(#REF! &lt;= 40, "Medium Usgae", "High Usage")))</f>
        <v>#REF!</v>
      </c>
      <c r="AD351" t="e">
        <f>IF(#REF!&lt;=150,"Low Usage", IF(#REF!&lt;=200,"Medium Usage", IF(#REF!&lt;=250,"High Usage","Very High Usage")))</f>
        <v>#REF!</v>
      </c>
      <c r="AE351" t="e">
        <f>IF(#REF!&lt;=5,"Low Calls", IF(#REF!&lt;=10, "Medium Calls", "High Calls"))</f>
        <v>#REF!</v>
      </c>
      <c r="AF351" t="e">
        <f xml:space="preserve">
IF(#REF!&gt;=4,4,0)+
IF(#REF!="yes",3,0)+
IF(#REF!="High Charges",3,0)+
IF(#REF!&gt;250,4,0)+
IF(#REF!="no",1,0)+
IF(#REF!="Heavy Domestic User",2,0)</f>
        <v>#REF!</v>
      </c>
      <c r="AG351" t="e">
        <f>IF(#REF!&gt;=10,"High Risk", IF(#REF!&gt;=5,"Medium Risk","Low Risk"))</f>
        <v>#REF!</v>
      </c>
      <c r="AH351" t="e">
        <f>#REF! + #REF! + #REF! + #REF!</f>
        <v>#REF!</v>
      </c>
    </row>
    <row r="352" spans="1:34" x14ac:dyDescent="0.35">
      <c r="A352">
        <v>351</v>
      </c>
      <c r="B352" t="s">
        <v>32</v>
      </c>
      <c r="C352">
        <v>96</v>
      </c>
      <c r="D352" t="s">
        <v>21</v>
      </c>
      <c r="E352" t="s">
        <v>22</v>
      </c>
      <c r="F352" t="s">
        <v>23</v>
      </c>
      <c r="G352">
        <v>45</v>
      </c>
      <c r="H352">
        <v>248.8</v>
      </c>
      <c r="I352">
        <v>124</v>
      </c>
      <c r="J352">
        <v>42.3</v>
      </c>
      <c r="K352">
        <v>140.30000000000001</v>
      </c>
      <c r="L352">
        <v>77</v>
      </c>
      <c r="M352">
        <v>11.93</v>
      </c>
      <c r="N352">
        <v>263.60000000000002</v>
      </c>
      <c r="O352">
        <v>102</v>
      </c>
      <c r="P352">
        <v>11.86</v>
      </c>
      <c r="Q352">
        <v>10.3</v>
      </c>
      <c r="R352">
        <v>2</v>
      </c>
      <c r="S352">
        <v>2.78</v>
      </c>
      <c r="T352">
        <v>3</v>
      </c>
      <c r="U352" t="s">
        <v>22</v>
      </c>
      <c r="V352" t="e">
        <f>IF(#REF! = "yes", 1, 0)</f>
        <v>#REF!</v>
      </c>
      <c r="W352" t="e">
        <f>IF(#REF! &lt;= 1, "0-1 Calls", IF(#REF! &lt;= 3, "2-3 Calls", IF(#REF! &lt;=5, "4-5 Calls", "6+ Calls")))</f>
        <v>#REF!</v>
      </c>
      <c r="X352" t="e">
        <f>IF(#REF! &lt;= 50, "0-50", IF(#REF! &lt;=100, "51-100", IF(#REF! &lt;= 150, "101-150", "151+")))</f>
        <v>#REF!</v>
      </c>
      <c r="Y352" t="e">
        <f>IF(#REF! &lt;= 3, "Low Charges", "High Charges")</f>
        <v>#REF!</v>
      </c>
      <c r="Z352" t="e">
        <f>IF(#REF!&lt;=80,"Low Calls",
IF(#REF!&lt;=120,"Medium Calls","High Calls"))</f>
        <v>#REF!</v>
      </c>
      <c r="AA352" t="e">
        <f>IF(#REF!&lt;=15,"Low Charges",
IF(#REF!&lt;=20,"Medium Charges","High Charges"))</f>
        <v>#REF!</v>
      </c>
      <c r="AB352" t="e">
        <f>IF(AND(#REF!&gt;180, #REF!&gt;200), "Heavy Doemstic User", IF(#REF!&gt;10, "Interntional User", IF(AND(#REF!&lt;180, #REF!&lt;200,#REF!&lt;200), "Light User", "Balanced User")))</f>
        <v>#REF!</v>
      </c>
      <c r="AC352" t="e">
        <f>IF(#REF! = 0, "No Usage", IF(#REF! &lt;= 20, "Low Usage", IF(#REF! &lt;= 40, "Medium Usgae", "High Usage")))</f>
        <v>#REF!</v>
      </c>
      <c r="AD352" t="e">
        <f>IF(#REF!&lt;=150,"Low Usage", IF(#REF!&lt;=200,"Medium Usage", IF(#REF!&lt;=250,"High Usage","Very High Usage")))</f>
        <v>#REF!</v>
      </c>
      <c r="AE352" t="e">
        <f>IF(#REF!&lt;=5,"Low Calls", IF(#REF!&lt;=10, "Medium Calls", "High Calls"))</f>
        <v>#REF!</v>
      </c>
      <c r="AF352" t="e">
        <f xml:space="preserve">
IF(#REF!&gt;=4,4,0)+
IF(#REF!="yes",3,0)+
IF(#REF!="High Charges",3,0)+
IF(#REF!&gt;250,4,0)+
IF(#REF!="no",1,0)+
IF(#REF!="Heavy Domestic User",2,0)</f>
        <v>#REF!</v>
      </c>
      <c r="AG352" t="e">
        <f>IF(#REF!&gt;=10,"High Risk", IF(#REF!&gt;=5,"Medium Risk","Low Risk"))</f>
        <v>#REF!</v>
      </c>
      <c r="AH352" t="e">
        <f>#REF! + #REF! + #REF! + #REF!</f>
        <v>#REF!</v>
      </c>
    </row>
    <row r="353" spans="1:34" x14ac:dyDescent="0.35">
      <c r="A353">
        <v>352</v>
      </c>
      <c r="B353" t="s">
        <v>63</v>
      </c>
      <c r="C353">
        <v>112</v>
      </c>
      <c r="D353" t="s">
        <v>21</v>
      </c>
      <c r="E353" t="s">
        <v>22</v>
      </c>
      <c r="F353" t="s">
        <v>23</v>
      </c>
      <c r="G353">
        <v>16</v>
      </c>
      <c r="H353">
        <v>221.6</v>
      </c>
      <c r="I353">
        <v>110</v>
      </c>
      <c r="J353">
        <v>37.67</v>
      </c>
      <c r="K353">
        <v>130.19999999999999</v>
      </c>
      <c r="L353">
        <v>123</v>
      </c>
      <c r="M353">
        <v>11.07</v>
      </c>
      <c r="N353">
        <v>200</v>
      </c>
      <c r="O353">
        <v>108</v>
      </c>
      <c r="P353">
        <v>9</v>
      </c>
      <c r="Q353">
        <v>11.3</v>
      </c>
      <c r="R353">
        <v>3</v>
      </c>
      <c r="S353">
        <v>3.05</v>
      </c>
      <c r="T353">
        <v>1</v>
      </c>
      <c r="U353" t="s">
        <v>22</v>
      </c>
      <c r="V353" t="e">
        <f>IF(#REF! = "yes", 1, 0)</f>
        <v>#REF!</v>
      </c>
      <c r="W353" t="e">
        <f>IF(#REF! &lt;= 1, "0-1 Calls", IF(#REF! &lt;= 3, "2-3 Calls", IF(#REF! &lt;=5, "4-5 Calls", "6+ Calls")))</f>
        <v>#REF!</v>
      </c>
      <c r="X353" t="e">
        <f>IF(#REF! &lt;= 50, "0-50", IF(#REF! &lt;=100, "51-100", IF(#REF! &lt;= 150, "101-150", "151+")))</f>
        <v>#REF!</v>
      </c>
      <c r="Y353" t="e">
        <f>IF(#REF! &lt;= 3, "Low Charges", "High Charges")</f>
        <v>#REF!</v>
      </c>
      <c r="Z353" t="e">
        <f>IF(#REF!&lt;=80,"Low Calls",
IF(#REF!&lt;=120,"Medium Calls","High Calls"))</f>
        <v>#REF!</v>
      </c>
      <c r="AA353" t="e">
        <f>IF(#REF!&lt;=15,"Low Charges",
IF(#REF!&lt;=20,"Medium Charges","High Charges"))</f>
        <v>#REF!</v>
      </c>
      <c r="AB353" t="e">
        <f>IF(AND(#REF!&gt;180, #REF!&gt;200), "Heavy Doemstic User", IF(#REF!&gt;10, "Interntional User", IF(AND(#REF!&lt;180, #REF!&lt;200,#REF!&lt;200), "Light User", "Balanced User")))</f>
        <v>#REF!</v>
      </c>
      <c r="AC353" t="e">
        <f>IF(#REF! = 0, "No Usage", IF(#REF! &lt;= 20, "Low Usage", IF(#REF! &lt;= 40, "Medium Usgae", "High Usage")))</f>
        <v>#REF!</v>
      </c>
      <c r="AD353" t="e">
        <f>IF(#REF!&lt;=150,"Low Usage", IF(#REF!&lt;=200,"Medium Usage", IF(#REF!&lt;=250,"High Usage","Very High Usage")))</f>
        <v>#REF!</v>
      </c>
      <c r="AE353" t="e">
        <f>IF(#REF!&lt;=5,"Low Calls", IF(#REF!&lt;=10, "Medium Calls", "High Calls"))</f>
        <v>#REF!</v>
      </c>
      <c r="AF353" t="e">
        <f xml:space="preserve">
IF(#REF!&gt;=4,4,0)+
IF(#REF!="yes",3,0)+
IF(#REF!="High Charges",3,0)+
IF(#REF!&gt;250,4,0)+
IF(#REF!="no",1,0)+
IF(#REF!="Heavy Domestic User",2,0)</f>
        <v>#REF!</v>
      </c>
      <c r="AG353" t="e">
        <f>IF(#REF!&gt;=10,"High Risk", IF(#REF!&gt;=5,"Medium Risk","Low Risk"))</f>
        <v>#REF!</v>
      </c>
      <c r="AH353" t="e">
        <f>#REF! + #REF! + #REF! + #REF!</f>
        <v>#REF!</v>
      </c>
    </row>
    <row r="354" spans="1:34" x14ac:dyDescent="0.35">
      <c r="A354">
        <v>353</v>
      </c>
      <c r="B354" t="s">
        <v>27</v>
      </c>
      <c r="C354">
        <v>129</v>
      </c>
      <c r="D354" t="s">
        <v>28</v>
      </c>
      <c r="E354" t="s">
        <v>23</v>
      </c>
      <c r="F354" t="s">
        <v>22</v>
      </c>
      <c r="G354">
        <v>0</v>
      </c>
      <c r="H354">
        <v>192.9</v>
      </c>
      <c r="I354">
        <v>131</v>
      </c>
      <c r="J354">
        <v>32.79</v>
      </c>
      <c r="K354">
        <v>185.5</v>
      </c>
      <c r="L354">
        <v>101</v>
      </c>
      <c r="M354">
        <v>15.77</v>
      </c>
      <c r="N354">
        <v>205.2</v>
      </c>
      <c r="O354">
        <v>130</v>
      </c>
      <c r="P354">
        <v>9.23</v>
      </c>
      <c r="Q354">
        <v>10.9</v>
      </c>
      <c r="R354">
        <v>4</v>
      </c>
      <c r="S354">
        <v>2.94</v>
      </c>
      <c r="T354">
        <v>1</v>
      </c>
      <c r="U354" t="s">
        <v>22</v>
      </c>
      <c r="V354" t="e">
        <f>IF(#REF! = "yes", 1, 0)</f>
        <v>#REF!</v>
      </c>
      <c r="W354" t="e">
        <f>IF(#REF! &lt;= 1, "0-1 Calls", IF(#REF! &lt;= 3, "2-3 Calls", IF(#REF! &lt;=5, "4-5 Calls", "6+ Calls")))</f>
        <v>#REF!</v>
      </c>
      <c r="X354" t="e">
        <f>IF(#REF! &lt;= 50, "0-50", IF(#REF! &lt;=100, "51-100", IF(#REF! &lt;= 150, "101-150", "151+")))</f>
        <v>#REF!</v>
      </c>
      <c r="Y354" t="e">
        <f>IF(#REF! &lt;= 3, "Low Charges", "High Charges")</f>
        <v>#REF!</v>
      </c>
      <c r="Z354" t="e">
        <f>IF(#REF!&lt;=80,"Low Calls",
IF(#REF!&lt;=120,"Medium Calls","High Calls"))</f>
        <v>#REF!</v>
      </c>
      <c r="AA354" t="e">
        <f>IF(#REF!&lt;=15,"Low Charges",
IF(#REF!&lt;=20,"Medium Charges","High Charges"))</f>
        <v>#REF!</v>
      </c>
      <c r="AB354" t="e">
        <f>IF(AND(#REF!&gt;180, #REF!&gt;200), "Heavy Doemstic User", IF(#REF!&gt;10, "Interntional User", IF(AND(#REF!&lt;180, #REF!&lt;200,#REF!&lt;200), "Light User", "Balanced User")))</f>
        <v>#REF!</v>
      </c>
      <c r="AC354" t="e">
        <f>IF(#REF! = 0, "No Usage", IF(#REF! &lt;= 20, "Low Usage", IF(#REF! &lt;= 40, "Medium Usgae", "High Usage")))</f>
        <v>#REF!</v>
      </c>
      <c r="AD354" t="e">
        <f>IF(#REF!&lt;=150,"Low Usage", IF(#REF!&lt;=200,"Medium Usage", IF(#REF!&lt;=250,"High Usage","Very High Usage")))</f>
        <v>#REF!</v>
      </c>
      <c r="AE354" t="e">
        <f>IF(#REF!&lt;=5,"Low Calls", IF(#REF!&lt;=10, "Medium Calls", "High Calls"))</f>
        <v>#REF!</v>
      </c>
      <c r="AF354" t="e">
        <f xml:space="preserve">
IF(#REF!&gt;=4,4,0)+
IF(#REF!="yes",3,0)+
IF(#REF!="High Charges",3,0)+
IF(#REF!&gt;250,4,0)+
IF(#REF!="no",1,0)+
IF(#REF!="Heavy Domestic User",2,0)</f>
        <v>#REF!</v>
      </c>
      <c r="AG354" t="e">
        <f>IF(#REF!&gt;=10,"High Risk", IF(#REF!&gt;=5,"Medium Risk","Low Risk"))</f>
        <v>#REF!</v>
      </c>
      <c r="AH354" t="e">
        <f>#REF! + #REF! + #REF! + #REF!</f>
        <v>#REF!</v>
      </c>
    </row>
    <row r="355" spans="1:34" x14ac:dyDescent="0.35">
      <c r="A355">
        <v>354</v>
      </c>
      <c r="B355" t="s">
        <v>66</v>
      </c>
      <c r="C355">
        <v>163</v>
      </c>
      <c r="D355" t="s">
        <v>21</v>
      </c>
      <c r="E355" t="s">
        <v>22</v>
      </c>
      <c r="F355" t="s">
        <v>22</v>
      </c>
      <c r="G355">
        <v>0</v>
      </c>
      <c r="H355">
        <v>122.4</v>
      </c>
      <c r="I355">
        <v>129</v>
      </c>
      <c r="J355">
        <v>20.81</v>
      </c>
      <c r="K355">
        <v>113.4</v>
      </c>
      <c r="L355">
        <v>108</v>
      </c>
      <c r="M355">
        <v>9.64</v>
      </c>
      <c r="N355">
        <v>180.2</v>
      </c>
      <c r="O355">
        <v>97</v>
      </c>
      <c r="P355">
        <v>8.11</v>
      </c>
      <c r="Q355">
        <v>12.5</v>
      </c>
      <c r="R355">
        <v>7</v>
      </c>
      <c r="S355">
        <v>3.38</v>
      </c>
      <c r="T355">
        <v>1</v>
      </c>
      <c r="U355" t="s">
        <v>22</v>
      </c>
      <c r="V355" t="e">
        <f>IF(#REF! = "yes", 1, 0)</f>
        <v>#REF!</v>
      </c>
      <c r="W355" t="e">
        <f>IF(#REF! &lt;= 1, "0-1 Calls", IF(#REF! &lt;= 3, "2-3 Calls", IF(#REF! &lt;=5, "4-5 Calls", "6+ Calls")))</f>
        <v>#REF!</v>
      </c>
      <c r="X355" t="e">
        <f>IF(#REF! &lt;= 50, "0-50", IF(#REF! &lt;=100, "51-100", IF(#REF! &lt;= 150, "101-150", "151+")))</f>
        <v>#REF!</v>
      </c>
      <c r="Y355" t="e">
        <f>IF(#REF! &lt;= 3, "Low Charges", "High Charges")</f>
        <v>#REF!</v>
      </c>
      <c r="Z355" t="e">
        <f>IF(#REF!&lt;=80,"Low Calls",
IF(#REF!&lt;=120,"Medium Calls","High Calls"))</f>
        <v>#REF!</v>
      </c>
      <c r="AA355" t="e">
        <f>IF(#REF!&lt;=15,"Low Charges",
IF(#REF!&lt;=20,"Medium Charges","High Charges"))</f>
        <v>#REF!</v>
      </c>
      <c r="AB355" t="e">
        <f>IF(AND(#REF!&gt;180, #REF!&gt;200), "Heavy Doemstic User", IF(#REF!&gt;10, "Interntional User", IF(AND(#REF!&lt;180, #REF!&lt;200,#REF!&lt;200), "Light User", "Balanced User")))</f>
        <v>#REF!</v>
      </c>
      <c r="AC355" t="e">
        <f>IF(#REF! = 0, "No Usage", IF(#REF! &lt;= 20, "Low Usage", IF(#REF! &lt;= 40, "Medium Usgae", "High Usage")))</f>
        <v>#REF!</v>
      </c>
      <c r="AD355" t="e">
        <f>IF(#REF!&lt;=150,"Low Usage", IF(#REF!&lt;=200,"Medium Usage", IF(#REF!&lt;=250,"High Usage","Very High Usage")))</f>
        <v>#REF!</v>
      </c>
      <c r="AE355" t="e">
        <f>IF(#REF!&lt;=5,"Low Calls", IF(#REF!&lt;=10, "Medium Calls", "High Calls"))</f>
        <v>#REF!</v>
      </c>
      <c r="AF355" t="e">
        <f xml:space="preserve">
IF(#REF!&gt;=4,4,0)+
IF(#REF!="yes",3,0)+
IF(#REF!="High Charges",3,0)+
IF(#REF!&gt;250,4,0)+
IF(#REF!="no",1,0)+
IF(#REF!="Heavy Domestic User",2,0)</f>
        <v>#REF!</v>
      </c>
      <c r="AG355" t="e">
        <f>IF(#REF!&gt;=10,"High Risk", IF(#REF!&gt;=5,"Medium Risk","Low Risk"))</f>
        <v>#REF!</v>
      </c>
      <c r="AH355" t="e">
        <f>#REF! + #REF! + #REF! + #REF!</f>
        <v>#REF!</v>
      </c>
    </row>
    <row r="356" spans="1:34" x14ac:dyDescent="0.35">
      <c r="A356">
        <v>355</v>
      </c>
      <c r="B356" t="s">
        <v>46</v>
      </c>
      <c r="C356">
        <v>67</v>
      </c>
      <c r="D356" t="s">
        <v>21</v>
      </c>
      <c r="E356" t="s">
        <v>22</v>
      </c>
      <c r="F356" t="s">
        <v>23</v>
      </c>
      <c r="G356">
        <v>40</v>
      </c>
      <c r="H356">
        <v>104.9</v>
      </c>
      <c r="I356">
        <v>65</v>
      </c>
      <c r="J356">
        <v>17.829999999999998</v>
      </c>
      <c r="K356">
        <v>216.3</v>
      </c>
      <c r="L356">
        <v>93</v>
      </c>
      <c r="M356">
        <v>18.39</v>
      </c>
      <c r="N356">
        <v>217.4</v>
      </c>
      <c r="O356">
        <v>128</v>
      </c>
      <c r="P356">
        <v>9.7799999999999994</v>
      </c>
      <c r="Q356">
        <v>9.6</v>
      </c>
      <c r="R356">
        <v>9</v>
      </c>
      <c r="S356">
        <v>2.59</v>
      </c>
      <c r="T356">
        <v>1</v>
      </c>
      <c r="U356" t="s">
        <v>22</v>
      </c>
      <c r="V356" t="e">
        <f>IF(#REF! = "yes", 1, 0)</f>
        <v>#REF!</v>
      </c>
      <c r="W356" t="e">
        <f>IF(#REF! &lt;= 1, "0-1 Calls", IF(#REF! &lt;= 3, "2-3 Calls", IF(#REF! &lt;=5, "4-5 Calls", "6+ Calls")))</f>
        <v>#REF!</v>
      </c>
      <c r="X356" t="e">
        <f>IF(#REF! &lt;= 50, "0-50", IF(#REF! &lt;=100, "51-100", IF(#REF! &lt;= 150, "101-150", "151+")))</f>
        <v>#REF!</v>
      </c>
      <c r="Y356" t="e">
        <f>IF(#REF! &lt;= 3, "Low Charges", "High Charges")</f>
        <v>#REF!</v>
      </c>
      <c r="Z356" t="e">
        <f>IF(#REF!&lt;=80,"Low Calls",
IF(#REF!&lt;=120,"Medium Calls","High Calls"))</f>
        <v>#REF!</v>
      </c>
      <c r="AA356" t="e">
        <f>IF(#REF!&lt;=15,"Low Charges",
IF(#REF!&lt;=20,"Medium Charges","High Charges"))</f>
        <v>#REF!</v>
      </c>
      <c r="AB356" t="e">
        <f>IF(AND(#REF!&gt;180, #REF!&gt;200), "Heavy Doemstic User", IF(#REF!&gt;10, "Interntional User", IF(AND(#REF!&lt;180, #REF!&lt;200,#REF!&lt;200), "Light User", "Balanced User")))</f>
        <v>#REF!</v>
      </c>
      <c r="AC356" t="e">
        <f>IF(#REF! = 0, "No Usage", IF(#REF! &lt;= 20, "Low Usage", IF(#REF! &lt;= 40, "Medium Usgae", "High Usage")))</f>
        <v>#REF!</v>
      </c>
      <c r="AD356" t="e">
        <f>IF(#REF!&lt;=150,"Low Usage", IF(#REF!&lt;=200,"Medium Usage", IF(#REF!&lt;=250,"High Usage","Very High Usage")))</f>
        <v>#REF!</v>
      </c>
      <c r="AE356" t="e">
        <f>IF(#REF!&lt;=5,"Low Calls", IF(#REF!&lt;=10, "Medium Calls", "High Calls"))</f>
        <v>#REF!</v>
      </c>
      <c r="AF356" t="e">
        <f xml:space="preserve">
IF(#REF!&gt;=4,4,0)+
IF(#REF!="yes",3,0)+
IF(#REF!="High Charges",3,0)+
IF(#REF!&gt;250,4,0)+
IF(#REF!="no",1,0)+
IF(#REF!="Heavy Domestic User",2,0)</f>
        <v>#REF!</v>
      </c>
      <c r="AG356" t="e">
        <f>IF(#REF!&gt;=10,"High Risk", IF(#REF!&gt;=5,"Medium Risk","Low Risk"))</f>
        <v>#REF!</v>
      </c>
      <c r="AH356" t="e">
        <f>#REF! + #REF! + #REF! + #REF!</f>
        <v>#REF!</v>
      </c>
    </row>
    <row r="357" spans="1:34" x14ac:dyDescent="0.35">
      <c r="A357">
        <v>356</v>
      </c>
      <c r="B357" t="s">
        <v>42</v>
      </c>
      <c r="C357">
        <v>140</v>
      </c>
      <c r="D357" t="s">
        <v>25</v>
      </c>
      <c r="E357" t="s">
        <v>22</v>
      </c>
      <c r="F357" t="s">
        <v>22</v>
      </c>
      <c r="G357">
        <v>0</v>
      </c>
      <c r="H357">
        <v>173.2</v>
      </c>
      <c r="I357">
        <v>91</v>
      </c>
      <c r="J357">
        <v>29.44</v>
      </c>
      <c r="K357">
        <v>196.8</v>
      </c>
      <c r="L357">
        <v>106</v>
      </c>
      <c r="M357">
        <v>16.73</v>
      </c>
      <c r="N357">
        <v>209.3</v>
      </c>
      <c r="O357">
        <v>128</v>
      </c>
      <c r="P357">
        <v>9.42</v>
      </c>
      <c r="Q357">
        <v>11.2</v>
      </c>
      <c r="R357">
        <v>5</v>
      </c>
      <c r="S357">
        <v>3.02</v>
      </c>
      <c r="T357">
        <v>3</v>
      </c>
      <c r="U357" t="s">
        <v>22</v>
      </c>
      <c r="V357" t="e">
        <f>IF(#REF! = "yes", 1, 0)</f>
        <v>#REF!</v>
      </c>
      <c r="W357" t="e">
        <f>IF(#REF! &lt;= 1, "0-1 Calls", IF(#REF! &lt;= 3, "2-3 Calls", IF(#REF! &lt;=5, "4-5 Calls", "6+ Calls")))</f>
        <v>#REF!</v>
      </c>
      <c r="X357" t="e">
        <f>IF(#REF! &lt;= 50, "0-50", IF(#REF! &lt;=100, "51-100", IF(#REF! &lt;= 150, "101-150", "151+")))</f>
        <v>#REF!</v>
      </c>
      <c r="Y357" t="e">
        <f>IF(#REF! &lt;= 3, "Low Charges", "High Charges")</f>
        <v>#REF!</v>
      </c>
      <c r="Z357" t="e">
        <f>IF(#REF!&lt;=80,"Low Calls",
IF(#REF!&lt;=120,"Medium Calls","High Calls"))</f>
        <v>#REF!</v>
      </c>
      <c r="AA357" t="e">
        <f>IF(#REF!&lt;=15,"Low Charges",
IF(#REF!&lt;=20,"Medium Charges","High Charges"))</f>
        <v>#REF!</v>
      </c>
      <c r="AB357" t="e">
        <f>IF(AND(#REF!&gt;180, #REF!&gt;200), "Heavy Doemstic User", IF(#REF!&gt;10, "Interntional User", IF(AND(#REF!&lt;180, #REF!&lt;200,#REF!&lt;200), "Light User", "Balanced User")))</f>
        <v>#REF!</v>
      </c>
      <c r="AC357" t="e">
        <f>IF(#REF! = 0, "No Usage", IF(#REF! &lt;= 20, "Low Usage", IF(#REF! &lt;= 40, "Medium Usgae", "High Usage")))</f>
        <v>#REF!</v>
      </c>
      <c r="AD357" t="e">
        <f>IF(#REF!&lt;=150,"Low Usage", IF(#REF!&lt;=200,"Medium Usage", IF(#REF!&lt;=250,"High Usage","Very High Usage")))</f>
        <v>#REF!</v>
      </c>
      <c r="AE357" t="e">
        <f>IF(#REF!&lt;=5,"Low Calls", IF(#REF!&lt;=10, "Medium Calls", "High Calls"))</f>
        <v>#REF!</v>
      </c>
      <c r="AF357" t="e">
        <f xml:space="preserve">
IF(#REF!&gt;=4,4,0)+
IF(#REF!="yes",3,0)+
IF(#REF!="High Charges",3,0)+
IF(#REF!&gt;250,4,0)+
IF(#REF!="no",1,0)+
IF(#REF!="Heavy Domestic User",2,0)</f>
        <v>#REF!</v>
      </c>
      <c r="AG357" t="e">
        <f>IF(#REF!&gt;=10,"High Risk", IF(#REF!&gt;=5,"Medium Risk","Low Risk"))</f>
        <v>#REF!</v>
      </c>
      <c r="AH357" t="e">
        <f>#REF! + #REF! + #REF! + #REF!</f>
        <v>#REF!</v>
      </c>
    </row>
    <row r="358" spans="1:34" x14ac:dyDescent="0.35">
      <c r="A358">
        <v>357</v>
      </c>
      <c r="B358" t="s">
        <v>52</v>
      </c>
      <c r="C358">
        <v>49</v>
      </c>
      <c r="D358" t="s">
        <v>28</v>
      </c>
      <c r="E358" t="s">
        <v>22</v>
      </c>
      <c r="F358" t="s">
        <v>22</v>
      </c>
      <c r="G358">
        <v>0</v>
      </c>
      <c r="H358">
        <v>119.4</v>
      </c>
      <c r="I358">
        <v>69</v>
      </c>
      <c r="J358">
        <v>20.3</v>
      </c>
      <c r="K358">
        <v>273.3</v>
      </c>
      <c r="L358">
        <v>92</v>
      </c>
      <c r="M358">
        <v>23.23</v>
      </c>
      <c r="N358">
        <v>214.4</v>
      </c>
      <c r="O358">
        <v>153</v>
      </c>
      <c r="P358">
        <v>9.65</v>
      </c>
      <c r="Q358">
        <v>12.4</v>
      </c>
      <c r="R358">
        <v>7</v>
      </c>
      <c r="S358">
        <v>3.35</v>
      </c>
      <c r="T358">
        <v>2</v>
      </c>
      <c r="U358" t="s">
        <v>22</v>
      </c>
      <c r="V358" t="e">
        <f>IF(#REF! = "yes", 1, 0)</f>
        <v>#REF!</v>
      </c>
      <c r="W358" t="e">
        <f>IF(#REF! &lt;= 1, "0-1 Calls", IF(#REF! &lt;= 3, "2-3 Calls", IF(#REF! &lt;=5, "4-5 Calls", "6+ Calls")))</f>
        <v>#REF!</v>
      </c>
      <c r="X358" t="e">
        <f>IF(#REF! &lt;= 50, "0-50", IF(#REF! &lt;=100, "51-100", IF(#REF! &lt;= 150, "101-150", "151+")))</f>
        <v>#REF!</v>
      </c>
      <c r="Y358" t="e">
        <f>IF(#REF! &lt;= 3, "Low Charges", "High Charges")</f>
        <v>#REF!</v>
      </c>
      <c r="Z358" t="e">
        <f>IF(#REF!&lt;=80,"Low Calls",
IF(#REF!&lt;=120,"Medium Calls","High Calls"))</f>
        <v>#REF!</v>
      </c>
      <c r="AA358" t="e">
        <f>IF(#REF!&lt;=15,"Low Charges",
IF(#REF!&lt;=20,"Medium Charges","High Charges"))</f>
        <v>#REF!</v>
      </c>
      <c r="AB358" t="e">
        <f>IF(AND(#REF!&gt;180, #REF!&gt;200), "Heavy Doemstic User", IF(#REF!&gt;10, "Interntional User", IF(AND(#REF!&lt;180, #REF!&lt;200,#REF!&lt;200), "Light User", "Balanced User")))</f>
        <v>#REF!</v>
      </c>
      <c r="AC358" t="e">
        <f>IF(#REF! = 0, "No Usage", IF(#REF! &lt;= 20, "Low Usage", IF(#REF! &lt;= 40, "Medium Usgae", "High Usage")))</f>
        <v>#REF!</v>
      </c>
      <c r="AD358" t="e">
        <f>IF(#REF!&lt;=150,"Low Usage", IF(#REF!&lt;=200,"Medium Usage", IF(#REF!&lt;=250,"High Usage","Very High Usage")))</f>
        <v>#REF!</v>
      </c>
      <c r="AE358" t="e">
        <f>IF(#REF!&lt;=5,"Low Calls", IF(#REF!&lt;=10, "Medium Calls", "High Calls"))</f>
        <v>#REF!</v>
      </c>
      <c r="AF358" t="e">
        <f xml:space="preserve">
IF(#REF!&gt;=4,4,0)+
IF(#REF!="yes",3,0)+
IF(#REF!="High Charges",3,0)+
IF(#REF!&gt;250,4,0)+
IF(#REF!="no",1,0)+
IF(#REF!="Heavy Domestic User",2,0)</f>
        <v>#REF!</v>
      </c>
      <c r="AG358" t="e">
        <f>IF(#REF!&gt;=10,"High Risk", IF(#REF!&gt;=5,"Medium Risk","Low Risk"))</f>
        <v>#REF!</v>
      </c>
      <c r="AH358" t="e">
        <f>#REF! + #REF! + #REF! + #REF!</f>
        <v>#REF!</v>
      </c>
    </row>
    <row r="359" spans="1:34" x14ac:dyDescent="0.35">
      <c r="A359">
        <v>358</v>
      </c>
      <c r="B359" t="s">
        <v>70</v>
      </c>
      <c r="C359">
        <v>46</v>
      </c>
      <c r="D359" t="s">
        <v>28</v>
      </c>
      <c r="E359" t="s">
        <v>22</v>
      </c>
      <c r="F359" t="s">
        <v>22</v>
      </c>
      <c r="G359">
        <v>0</v>
      </c>
      <c r="H359">
        <v>250.3</v>
      </c>
      <c r="I359">
        <v>100</v>
      </c>
      <c r="J359">
        <v>42.55</v>
      </c>
      <c r="K359">
        <v>260.60000000000002</v>
      </c>
      <c r="L359">
        <v>90</v>
      </c>
      <c r="M359">
        <v>22.15</v>
      </c>
      <c r="N359">
        <v>195</v>
      </c>
      <c r="O359">
        <v>104</v>
      </c>
      <c r="P359">
        <v>8.7799999999999994</v>
      </c>
      <c r="Q359">
        <v>13.3</v>
      </c>
      <c r="R359">
        <v>2</v>
      </c>
      <c r="S359">
        <v>3.59</v>
      </c>
      <c r="T359">
        <v>2</v>
      </c>
      <c r="U359" t="s">
        <v>23</v>
      </c>
      <c r="V359" t="e">
        <f>IF(#REF! = "yes", 1, 0)</f>
        <v>#REF!</v>
      </c>
      <c r="W359" t="e">
        <f>IF(#REF! &lt;= 1, "0-1 Calls", IF(#REF! &lt;= 3, "2-3 Calls", IF(#REF! &lt;=5, "4-5 Calls", "6+ Calls")))</f>
        <v>#REF!</v>
      </c>
      <c r="X359" t="e">
        <f>IF(#REF! &lt;= 50, "0-50", IF(#REF! &lt;=100, "51-100", IF(#REF! &lt;= 150, "101-150", "151+")))</f>
        <v>#REF!</v>
      </c>
      <c r="Y359" t="e">
        <f>IF(#REF! &lt;= 3, "Low Charges", "High Charges")</f>
        <v>#REF!</v>
      </c>
      <c r="Z359" t="e">
        <f>IF(#REF!&lt;=80,"Low Calls",
IF(#REF!&lt;=120,"Medium Calls","High Calls"))</f>
        <v>#REF!</v>
      </c>
      <c r="AA359" t="e">
        <f>IF(#REF!&lt;=15,"Low Charges",
IF(#REF!&lt;=20,"Medium Charges","High Charges"))</f>
        <v>#REF!</v>
      </c>
      <c r="AB359" t="e">
        <f>IF(AND(#REF!&gt;180, #REF!&gt;200), "Heavy Doemstic User", IF(#REF!&gt;10, "Interntional User", IF(AND(#REF!&lt;180, #REF!&lt;200,#REF!&lt;200), "Light User", "Balanced User")))</f>
        <v>#REF!</v>
      </c>
      <c r="AC359" t="e">
        <f>IF(#REF! = 0, "No Usage", IF(#REF! &lt;= 20, "Low Usage", IF(#REF! &lt;= 40, "Medium Usgae", "High Usage")))</f>
        <v>#REF!</v>
      </c>
      <c r="AD359" t="e">
        <f>IF(#REF!&lt;=150,"Low Usage", IF(#REF!&lt;=200,"Medium Usage", IF(#REF!&lt;=250,"High Usage","Very High Usage")))</f>
        <v>#REF!</v>
      </c>
      <c r="AE359" t="e">
        <f>IF(#REF!&lt;=5,"Low Calls", IF(#REF!&lt;=10, "Medium Calls", "High Calls"))</f>
        <v>#REF!</v>
      </c>
      <c r="AF359" t="e">
        <f xml:space="preserve">
IF(#REF!&gt;=4,4,0)+
IF(#REF!="yes",3,0)+
IF(#REF!="High Charges",3,0)+
IF(#REF!&gt;250,4,0)+
IF(#REF!="no",1,0)+
IF(#REF!="Heavy Domestic User",2,0)</f>
        <v>#REF!</v>
      </c>
      <c r="AG359" t="e">
        <f>IF(#REF!&gt;=10,"High Risk", IF(#REF!&gt;=5,"Medium Risk","Low Risk"))</f>
        <v>#REF!</v>
      </c>
      <c r="AH359" t="e">
        <f>#REF! + #REF! + #REF! + #REF!</f>
        <v>#REF!</v>
      </c>
    </row>
    <row r="360" spans="1:34" x14ac:dyDescent="0.35">
      <c r="A360">
        <v>359</v>
      </c>
      <c r="B360" t="s">
        <v>69</v>
      </c>
      <c r="C360">
        <v>148</v>
      </c>
      <c r="D360" t="s">
        <v>21</v>
      </c>
      <c r="E360" t="s">
        <v>22</v>
      </c>
      <c r="F360" t="s">
        <v>22</v>
      </c>
      <c r="G360">
        <v>0</v>
      </c>
      <c r="H360">
        <v>178.3</v>
      </c>
      <c r="I360">
        <v>98</v>
      </c>
      <c r="J360">
        <v>30.31</v>
      </c>
      <c r="K360">
        <v>282.60000000000002</v>
      </c>
      <c r="L360">
        <v>110</v>
      </c>
      <c r="M360">
        <v>24.02</v>
      </c>
      <c r="N360">
        <v>181</v>
      </c>
      <c r="O360">
        <v>98</v>
      </c>
      <c r="P360">
        <v>8.15</v>
      </c>
      <c r="Q360">
        <v>11.4</v>
      </c>
      <c r="R360">
        <v>4</v>
      </c>
      <c r="S360">
        <v>3.08</v>
      </c>
      <c r="T360">
        <v>1</v>
      </c>
      <c r="U360" t="s">
        <v>22</v>
      </c>
      <c r="V360" t="e">
        <f>IF(#REF! = "yes", 1, 0)</f>
        <v>#REF!</v>
      </c>
      <c r="W360" t="e">
        <f>IF(#REF! &lt;= 1, "0-1 Calls", IF(#REF! &lt;= 3, "2-3 Calls", IF(#REF! &lt;=5, "4-5 Calls", "6+ Calls")))</f>
        <v>#REF!</v>
      </c>
      <c r="X360" t="e">
        <f>IF(#REF! &lt;= 50, "0-50", IF(#REF! &lt;=100, "51-100", IF(#REF! &lt;= 150, "101-150", "151+")))</f>
        <v>#REF!</v>
      </c>
      <c r="Y360" t="e">
        <f>IF(#REF! &lt;= 3, "Low Charges", "High Charges")</f>
        <v>#REF!</v>
      </c>
      <c r="Z360" t="e">
        <f>IF(#REF!&lt;=80,"Low Calls",
IF(#REF!&lt;=120,"Medium Calls","High Calls"))</f>
        <v>#REF!</v>
      </c>
      <c r="AA360" t="e">
        <f>IF(#REF!&lt;=15,"Low Charges",
IF(#REF!&lt;=20,"Medium Charges","High Charges"))</f>
        <v>#REF!</v>
      </c>
      <c r="AB360" t="e">
        <f>IF(AND(#REF!&gt;180, #REF!&gt;200), "Heavy Doemstic User", IF(#REF!&gt;10, "Interntional User", IF(AND(#REF!&lt;180, #REF!&lt;200,#REF!&lt;200), "Light User", "Balanced User")))</f>
        <v>#REF!</v>
      </c>
      <c r="AC360" t="e">
        <f>IF(#REF! = 0, "No Usage", IF(#REF! &lt;= 20, "Low Usage", IF(#REF! &lt;= 40, "Medium Usgae", "High Usage")))</f>
        <v>#REF!</v>
      </c>
      <c r="AD360" t="e">
        <f>IF(#REF!&lt;=150,"Low Usage", IF(#REF!&lt;=200,"Medium Usage", IF(#REF!&lt;=250,"High Usage","Very High Usage")))</f>
        <v>#REF!</v>
      </c>
      <c r="AE360" t="e">
        <f>IF(#REF!&lt;=5,"Low Calls", IF(#REF!&lt;=10, "Medium Calls", "High Calls"))</f>
        <v>#REF!</v>
      </c>
      <c r="AF360" t="e">
        <f xml:space="preserve">
IF(#REF!&gt;=4,4,0)+
IF(#REF!="yes",3,0)+
IF(#REF!="High Charges",3,0)+
IF(#REF!&gt;250,4,0)+
IF(#REF!="no",1,0)+
IF(#REF!="Heavy Domestic User",2,0)</f>
        <v>#REF!</v>
      </c>
      <c r="AG360" t="e">
        <f>IF(#REF!&gt;=10,"High Risk", IF(#REF!&gt;=5,"Medium Risk","Low Risk"))</f>
        <v>#REF!</v>
      </c>
      <c r="AH360" t="e">
        <f>#REF! + #REF! + #REF! + #REF!</f>
        <v>#REF!</v>
      </c>
    </row>
    <row r="361" spans="1:34" x14ac:dyDescent="0.35">
      <c r="A361">
        <v>360</v>
      </c>
      <c r="B361" t="s">
        <v>53</v>
      </c>
      <c r="C361">
        <v>112</v>
      </c>
      <c r="D361" t="s">
        <v>28</v>
      </c>
      <c r="E361" t="s">
        <v>22</v>
      </c>
      <c r="F361" t="s">
        <v>22</v>
      </c>
      <c r="G361">
        <v>0</v>
      </c>
      <c r="H361">
        <v>243.4</v>
      </c>
      <c r="I361">
        <v>77</v>
      </c>
      <c r="J361">
        <v>41.38</v>
      </c>
      <c r="K361">
        <v>182.1</v>
      </c>
      <c r="L361">
        <v>97</v>
      </c>
      <c r="M361">
        <v>15.48</v>
      </c>
      <c r="N361">
        <v>259.2</v>
      </c>
      <c r="O361">
        <v>94</v>
      </c>
      <c r="P361">
        <v>11.66</v>
      </c>
      <c r="Q361">
        <v>12.8</v>
      </c>
      <c r="R361">
        <v>2</v>
      </c>
      <c r="S361">
        <v>3.46</v>
      </c>
      <c r="T361">
        <v>1</v>
      </c>
      <c r="U361" t="s">
        <v>22</v>
      </c>
      <c r="V361" t="e">
        <f>IF(#REF! = "yes", 1, 0)</f>
        <v>#REF!</v>
      </c>
      <c r="W361" t="e">
        <f>IF(#REF! &lt;= 1, "0-1 Calls", IF(#REF! &lt;= 3, "2-3 Calls", IF(#REF! &lt;=5, "4-5 Calls", "6+ Calls")))</f>
        <v>#REF!</v>
      </c>
      <c r="X361" t="e">
        <f>IF(#REF! &lt;= 50, "0-50", IF(#REF! &lt;=100, "51-100", IF(#REF! &lt;= 150, "101-150", "151+")))</f>
        <v>#REF!</v>
      </c>
      <c r="Y361" t="e">
        <f>IF(#REF! &lt;= 3, "Low Charges", "High Charges")</f>
        <v>#REF!</v>
      </c>
      <c r="Z361" t="e">
        <f>IF(#REF!&lt;=80,"Low Calls",
IF(#REF!&lt;=120,"Medium Calls","High Calls"))</f>
        <v>#REF!</v>
      </c>
      <c r="AA361" t="e">
        <f>IF(#REF!&lt;=15,"Low Charges",
IF(#REF!&lt;=20,"Medium Charges","High Charges"))</f>
        <v>#REF!</v>
      </c>
      <c r="AB361" t="e">
        <f>IF(AND(#REF!&gt;180, #REF!&gt;200), "Heavy Doemstic User", IF(#REF!&gt;10, "Interntional User", IF(AND(#REF!&lt;180, #REF!&lt;200,#REF!&lt;200), "Light User", "Balanced User")))</f>
        <v>#REF!</v>
      </c>
      <c r="AC361" t="e">
        <f>IF(#REF! = 0, "No Usage", IF(#REF! &lt;= 20, "Low Usage", IF(#REF! &lt;= 40, "Medium Usgae", "High Usage")))</f>
        <v>#REF!</v>
      </c>
      <c r="AD361" t="e">
        <f>IF(#REF!&lt;=150,"Low Usage", IF(#REF!&lt;=200,"Medium Usage", IF(#REF!&lt;=250,"High Usage","Very High Usage")))</f>
        <v>#REF!</v>
      </c>
      <c r="AE361" t="e">
        <f>IF(#REF!&lt;=5,"Low Calls", IF(#REF!&lt;=10, "Medium Calls", "High Calls"))</f>
        <v>#REF!</v>
      </c>
      <c r="AF361" t="e">
        <f xml:space="preserve">
IF(#REF!&gt;=4,4,0)+
IF(#REF!="yes",3,0)+
IF(#REF!="High Charges",3,0)+
IF(#REF!&gt;250,4,0)+
IF(#REF!="no",1,0)+
IF(#REF!="Heavy Domestic User",2,0)</f>
        <v>#REF!</v>
      </c>
      <c r="AG361" t="e">
        <f>IF(#REF!&gt;=10,"High Risk", IF(#REF!&gt;=5,"Medium Risk","Low Risk"))</f>
        <v>#REF!</v>
      </c>
      <c r="AH361" t="e">
        <f>#REF! + #REF! + #REF! + #REF!</f>
        <v>#REF!</v>
      </c>
    </row>
    <row r="362" spans="1:34" x14ac:dyDescent="0.35">
      <c r="A362">
        <v>361</v>
      </c>
      <c r="B362" t="s">
        <v>43</v>
      </c>
      <c r="C362">
        <v>78</v>
      </c>
      <c r="D362" t="s">
        <v>21</v>
      </c>
      <c r="E362" t="s">
        <v>22</v>
      </c>
      <c r="F362" t="s">
        <v>22</v>
      </c>
      <c r="G362">
        <v>0</v>
      </c>
      <c r="H362">
        <v>155</v>
      </c>
      <c r="I362">
        <v>106</v>
      </c>
      <c r="J362">
        <v>26.35</v>
      </c>
      <c r="K362">
        <v>175.3</v>
      </c>
      <c r="L362">
        <v>101</v>
      </c>
      <c r="M362">
        <v>14.9</v>
      </c>
      <c r="N362">
        <v>155.6</v>
      </c>
      <c r="O362">
        <v>125</v>
      </c>
      <c r="P362">
        <v>7</v>
      </c>
      <c r="Q362">
        <v>11.8</v>
      </c>
      <c r="R362">
        <v>5</v>
      </c>
      <c r="S362">
        <v>3.19</v>
      </c>
      <c r="T362">
        <v>2</v>
      </c>
      <c r="U362" t="s">
        <v>22</v>
      </c>
      <c r="V362" t="e">
        <f>IF(#REF! = "yes", 1, 0)</f>
        <v>#REF!</v>
      </c>
      <c r="W362" t="e">
        <f>IF(#REF! &lt;= 1, "0-1 Calls", IF(#REF! &lt;= 3, "2-3 Calls", IF(#REF! &lt;=5, "4-5 Calls", "6+ Calls")))</f>
        <v>#REF!</v>
      </c>
      <c r="X362" t="e">
        <f>IF(#REF! &lt;= 50, "0-50", IF(#REF! &lt;=100, "51-100", IF(#REF! &lt;= 150, "101-150", "151+")))</f>
        <v>#REF!</v>
      </c>
      <c r="Y362" t="e">
        <f>IF(#REF! &lt;= 3, "Low Charges", "High Charges")</f>
        <v>#REF!</v>
      </c>
      <c r="Z362" t="e">
        <f>IF(#REF!&lt;=80,"Low Calls",
IF(#REF!&lt;=120,"Medium Calls","High Calls"))</f>
        <v>#REF!</v>
      </c>
      <c r="AA362" t="e">
        <f>IF(#REF!&lt;=15,"Low Charges",
IF(#REF!&lt;=20,"Medium Charges","High Charges"))</f>
        <v>#REF!</v>
      </c>
      <c r="AB362" t="e">
        <f>IF(AND(#REF!&gt;180, #REF!&gt;200), "Heavy Doemstic User", IF(#REF!&gt;10, "Interntional User", IF(AND(#REF!&lt;180, #REF!&lt;200,#REF!&lt;200), "Light User", "Balanced User")))</f>
        <v>#REF!</v>
      </c>
      <c r="AC362" t="e">
        <f>IF(#REF! = 0, "No Usage", IF(#REF! &lt;= 20, "Low Usage", IF(#REF! &lt;= 40, "Medium Usgae", "High Usage")))</f>
        <v>#REF!</v>
      </c>
      <c r="AD362" t="e">
        <f>IF(#REF!&lt;=150,"Low Usage", IF(#REF!&lt;=200,"Medium Usage", IF(#REF!&lt;=250,"High Usage","Very High Usage")))</f>
        <v>#REF!</v>
      </c>
      <c r="AE362" t="e">
        <f>IF(#REF!&lt;=5,"Low Calls", IF(#REF!&lt;=10, "Medium Calls", "High Calls"))</f>
        <v>#REF!</v>
      </c>
      <c r="AF362" t="e">
        <f xml:space="preserve">
IF(#REF!&gt;=4,4,0)+
IF(#REF!="yes",3,0)+
IF(#REF!="High Charges",3,0)+
IF(#REF!&gt;250,4,0)+
IF(#REF!="no",1,0)+
IF(#REF!="Heavy Domestic User",2,0)</f>
        <v>#REF!</v>
      </c>
      <c r="AG362" t="e">
        <f>IF(#REF!&gt;=10,"High Risk", IF(#REF!&gt;=5,"Medium Risk","Low Risk"))</f>
        <v>#REF!</v>
      </c>
      <c r="AH362" t="e">
        <f>#REF! + #REF! + #REF! + #REF!</f>
        <v>#REF!</v>
      </c>
    </row>
    <row r="363" spans="1:34" x14ac:dyDescent="0.35">
      <c r="A363">
        <v>362</v>
      </c>
      <c r="B363" t="s">
        <v>73</v>
      </c>
      <c r="C363">
        <v>61</v>
      </c>
      <c r="D363" t="s">
        <v>25</v>
      </c>
      <c r="E363" t="s">
        <v>22</v>
      </c>
      <c r="F363" t="s">
        <v>23</v>
      </c>
      <c r="G363">
        <v>31</v>
      </c>
      <c r="H363">
        <v>288.7</v>
      </c>
      <c r="I363">
        <v>101</v>
      </c>
      <c r="J363">
        <v>49.08</v>
      </c>
      <c r="K363">
        <v>203.8</v>
      </c>
      <c r="L363">
        <v>102</v>
      </c>
      <c r="M363">
        <v>17.32</v>
      </c>
      <c r="N363">
        <v>203.2</v>
      </c>
      <c r="O363">
        <v>49</v>
      </c>
      <c r="P363">
        <v>9.14</v>
      </c>
      <c r="Q363">
        <v>8.6</v>
      </c>
      <c r="R363">
        <v>3</v>
      </c>
      <c r="S363">
        <v>2.3199999999999998</v>
      </c>
      <c r="T363">
        <v>0</v>
      </c>
      <c r="U363" t="s">
        <v>22</v>
      </c>
      <c r="V363" t="e">
        <f>IF(#REF! = "yes", 1, 0)</f>
        <v>#REF!</v>
      </c>
      <c r="W363" t="e">
        <f>IF(#REF! &lt;= 1, "0-1 Calls", IF(#REF! &lt;= 3, "2-3 Calls", IF(#REF! &lt;=5, "4-5 Calls", "6+ Calls")))</f>
        <v>#REF!</v>
      </c>
      <c r="X363" t="e">
        <f>IF(#REF! &lt;= 50, "0-50", IF(#REF! &lt;=100, "51-100", IF(#REF! &lt;= 150, "101-150", "151+")))</f>
        <v>#REF!</v>
      </c>
      <c r="Y363" t="e">
        <f>IF(#REF! &lt;= 3, "Low Charges", "High Charges")</f>
        <v>#REF!</v>
      </c>
      <c r="Z363" t="e">
        <f>IF(#REF!&lt;=80,"Low Calls",
IF(#REF!&lt;=120,"Medium Calls","High Calls"))</f>
        <v>#REF!</v>
      </c>
      <c r="AA363" t="e">
        <f>IF(#REF!&lt;=15,"Low Charges",
IF(#REF!&lt;=20,"Medium Charges","High Charges"))</f>
        <v>#REF!</v>
      </c>
      <c r="AB363" t="e">
        <f>IF(AND(#REF!&gt;180, #REF!&gt;200), "Heavy Doemstic User", IF(#REF!&gt;10, "Interntional User", IF(AND(#REF!&lt;180, #REF!&lt;200,#REF!&lt;200), "Light User", "Balanced User")))</f>
        <v>#REF!</v>
      </c>
      <c r="AC363" t="e">
        <f>IF(#REF! = 0, "No Usage", IF(#REF! &lt;= 20, "Low Usage", IF(#REF! &lt;= 40, "Medium Usgae", "High Usage")))</f>
        <v>#REF!</v>
      </c>
      <c r="AD363" t="e">
        <f>IF(#REF!&lt;=150,"Low Usage", IF(#REF!&lt;=200,"Medium Usage", IF(#REF!&lt;=250,"High Usage","Very High Usage")))</f>
        <v>#REF!</v>
      </c>
      <c r="AE363" t="e">
        <f>IF(#REF!&lt;=5,"Low Calls", IF(#REF!&lt;=10, "Medium Calls", "High Calls"))</f>
        <v>#REF!</v>
      </c>
      <c r="AF363" t="e">
        <f xml:space="preserve">
IF(#REF!&gt;=4,4,0)+
IF(#REF!="yes",3,0)+
IF(#REF!="High Charges",3,0)+
IF(#REF!&gt;250,4,0)+
IF(#REF!="no",1,0)+
IF(#REF!="Heavy Domestic User",2,0)</f>
        <v>#REF!</v>
      </c>
      <c r="AG363" t="e">
        <f>IF(#REF!&gt;=10,"High Risk", IF(#REF!&gt;=5,"Medium Risk","Low Risk"))</f>
        <v>#REF!</v>
      </c>
      <c r="AH363" t="e">
        <f>#REF! + #REF! + #REF! + #REF!</f>
        <v>#REF!</v>
      </c>
    </row>
    <row r="364" spans="1:34" x14ac:dyDescent="0.35">
      <c r="A364">
        <v>363</v>
      </c>
      <c r="B364" t="s">
        <v>35</v>
      </c>
      <c r="C364">
        <v>58</v>
      </c>
      <c r="D364" t="s">
        <v>28</v>
      </c>
      <c r="E364" t="s">
        <v>22</v>
      </c>
      <c r="F364" t="s">
        <v>23</v>
      </c>
      <c r="G364">
        <v>29</v>
      </c>
      <c r="H364">
        <v>240.4</v>
      </c>
      <c r="I364">
        <v>80</v>
      </c>
      <c r="J364">
        <v>40.869999999999997</v>
      </c>
      <c r="K364">
        <v>118.9</v>
      </c>
      <c r="L364">
        <v>91</v>
      </c>
      <c r="M364">
        <v>10.11</v>
      </c>
      <c r="N364">
        <v>164.2</v>
      </c>
      <c r="O364">
        <v>108</v>
      </c>
      <c r="P364">
        <v>7.39</v>
      </c>
      <c r="Q364">
        <v>11.2</v>
      </c>
      <c r="R364">
        <v>3</v>
      </c>
      <c r="S364">
        <v>3.02</v>
      </c>
      <c r="T364">
        <v>1</v>
      </c>
      <c r="U364" t="s">
        <v>22</v>
      </c>
      <c r="V364" t="e">
        <f>IF(#REF! = "yes", 1, 0)</f>
        <v>#REF!</v>
      </c>
      <c r="W364" t="e">
        <f>IF(#REF! &lt;= 1, "0-1 Calls", IF(#REF! &lt;= 3, "2-3 Calls", IF(#REF! &lt;=5, "4-5 Calls", "6+ Calls")))</f>
        <v>#REF!</v>
      </c>
      <c r="X364" t="e">
        <f>IF(#REF! &lt;= 50, "0-50", IF(#REF! &lt;=100, "51-100", IF(#REF! &lt;= 150, "101-150", "151+")))</f>
        <v>#REF!</v>
      </c>
      <c r="Y364" t="e">
        <f>IF(#REF! &lt;= 3, "Low Charges", "High Charges")</f>
        <v>#REF!</v>
      </c>
      <c r="Z364" t="e">
        <f>IF(#REF!&lt;=80,"Low Calls",
IF(#REF!&lt;=120,"Medium Calls","High Calls"))</f>
        <v>#REF!</v>
      </c>
      <c r="AA364" t="e">
        <f>IF(#REF!&lt;=15,"Low Charges",
IF(#REF!&lt;=20,"Medium Charges","High Charges"))</f>
        <v>#REF!</v>
      </c>
      <c r="AB364" t="e">
        <f>IF(AND(#REF!&gt;180, #REF!&gt;200), "Heavy Doemstic User", IF(#REF!&gt;10, "Interntional User", IF(AND(#REF!&lt;180, #REF!&lt;200,#REF!&lt;200), "Light User", "Balanced User")))</f>
        <v>#REF!</v>
      </c>
      <c r="AC364" t="e">
        <f>IF(#REF! = 0, "No Usage", IF(#REF! &lt;= 20, "Low Usage", IF(#REF! &lt;= 40, "Medium Usgae", "High Usage")))</f>
        <v>#REF!</v>
      </c>
      <c r="AD364" t="e">
        <f>IF(#REF!&lt;=150,"Low Usage", IF(#REF!&lt;=200,"Medium Usage", IF(#REF!&lt;=250,"High Usage","Very High Usage")))</f>
        <v>#REF!</v>
      </c>
      <c r="AE364" t="e">
        <f>IF(#REF!&lt;=5,"Low Calls", IF(#REF!&lt;=10, "Medium Calls", "High Calls"))</f>
        <v>#REF!</v>
      </c>
      <c r="AF364" t="e">
        <f xml:space="preserve">
IF(#REF!&gt;=4,4,0)+
IF(#REF!="yes",3,0)+
IF(#REF!="High Charges",3,0)+
IF(#REF!&gt;250,4,0)+
IF(#REF!="no",1,0)+
IF(#REF!="Heavy Domestic User",2,0)</f>
        <v>#REF!</v>
      </c>
      <c r="AG364" t="e">
        <f>IF(#REF!&gt;=10,"High Risk", IF(#REF!&gt;=5,"Medium Risk","Low Risk"))</f>
        <v>#REF!</v>
      </c>
      <c r="AH364" t="e">
        <f>#REF! + #REF! + #REF! + #REF!</f>
        <v>#REF!</v>
      </c>
    </row>
    <row r="365" spans="1:34" x14ac:dyDescent="0.35">
      <c r="A365">
        <v>364</v>
      </c>
      <c r="B365" t="s">
        <v>20</v>
      </c>
      <c r="C365">
        <v>100</v>
      </c>
      <c r="D365" t="s">
        <v>28</v>
      </c>
      <c r="E365" t="s">
        <v>22</v>
      </c>
      <c r="F365" t="s">
        <v>22</v>
      </c>
      <c r="G365">
        <v>0</v>
      </c>
      <c r="H365">
        <v>278</v>
      </c>
      <c r="I365">
        <v>76</v>
      </c>
      <c r="J365">
        <v>47.26</v>
      </c>
      <c r="K365">
        <v>176.7</v>
      </c>
      <c r="L365">
        <v>74</v>
      </c>
      <c r="M365">
        <v>15.02</v>
      </c>
      <c r="N365">
        <v>219.5</v>
      </c>
      <c r="O365">
        <v>126</v>
      </c>
      <c r="P365">
        <v>9.8800000000000008</v>
      </c>
      <c r="Q365">
        <v>8.3000000000000007</v>
      </c>
      <c r="R365">
        <v>4</v>
      </c>
      <c r="S365">
        <v>2.2400000000000002</v>
      </c>
      <c r="T365">
        <v>0</v>
      </c>
      <c r="U365" t="s">
        <v>23</v>
      </c>
      <c r="V365" t="e">
        <f>IF(#REF! = "yes", 1, 0)</f>
        <v>#REF!</v>
      </c>
      <c r="W365" t="e">
        <f>IF(#REF! &lt;= 1, "0-1 Calls", IF(#REF! &lt;= 3, "2-3 Calls", IF(#REF! &lt;=5, "4-5 Calls", "6+ Calls")))</f>
        <v>#REF!</v>
      </c>
      <c r="X365" t="e">
        <f>IF(#REF! &lt;= 50, "0-50", IF(#REF! &lt;=100, "51-100", IF(#REF! &lt;= 150, "101-150", "151+")))</f>
        <v>#REF!</v>
      </c>
      <c r="Y365" t="e">
        <f>IF(#REF! &lt;= 3, "Low Charges", "High Charges")</f>
        <v>#REF!</v>
      </c>
      <c r="Z365" t="e">
        <f>IF(#REF!&lt;=80,"Low Calls",
IF(#REF!&lt;=120,"Medium Calls","High Calls"))</f>
        <v>#REF!</v>
      </c>
      <c r="AA365" t="e">
        <f>IF(#REF!&lt;=15,"Low Charges",
IF(#REF!&lt;=20,"Medium Charges","High Charges"))</f>
        <v>#REF!</v>
      </c>
      <c r="AB365" t="e">
        <f>IF(AND(#REF!&gt;180, #REF!&gt;200), "Heavy Doemstic User", IF(#REF!&gt;10, "Interntional User", IF(AND(#REF!&lt;180, #REF!&lt;200,#REF!&lt;200), "Light User", "Balanced User")))</f>
        <v>#REF!</v>
      </c>
      <c r="AC365" t="e">
        <f>IF(#REF! = 0, "No Usage", IF(#REF! &lt;= 20, "Low Usage", IF(#REF! &lt;= 40, "Medium Usgae", "High Usage")))</f>
        <v>#REF!</v>
      </c>
      <c r="AD365" t="e">
        <f>IF(#REF!&lt;=150,"Low Usage", IF(#REF!&lt;=200,"Medium Usage", IF(#REF!&lt;=250,"High Usage","Very High Usage")))</f>
        <v>#REF!</v>
      </c>
      <c r="AE365" t="e">
        <f>IF(#REF!&lt;=5,"Low Calls", IF(#REF!&lt;=10, "Medium Calls", "High Calls"))</f>
        <v>#REF!</v>
      </c>
      <c r="AF365" t="e">
        <f xml:space="preserve">
IF(#REF!&gt;=4,4,0)+
IF(#REF!="yes",3,0)+
IF(#REF!="High Charges",3,0)+
IF(#REF!&gt;250,4,0)+
IF(#REF!="no",1,0)+
IF(#REF!="Heavy Domestic User",2,0)</f>
        <v>#REF!</v>
      </c>
      <c r="AG365" t="e">
        <f>IF(#REF!&gt;=10,"High Risk", IF(#REF!&gt;=5,"Medium Risk","Low Risk"))</f>
        <v>#REF!</v>
      </c>
      <c r="AH365" t="e">
        <f>#REF! + #REF! + #REF! + #REF!</f>
        <v>#REF!</v>
      </c>
    </row>
    <row r="366" spans="1:34" x14ac:dyDescent="0.35">
      <c r="A366">
        <v>365</v>
      </c>
      <c r="B366" t="s">
        <v>44</v>
      </c>
      <c r="C366">
        <v>113</v>
      </c>
      <c r="D366" t="s">
        <v>28</v>
      </c>
      <c r="E366" t="s">
        <v>22</v>
      </c>
      <c r="F366" t="s">
        <v>22</v>
      </c>
      <c r="G366">
        <v>0</v>
      </c>
      <c r="H366">
        <v>155</v>
      </c>
      <c r="I366">
        <v>93</v>
      </c>
      <c r="J366">
        <v>26.35</v>
      </c>
      <c r="K366">
        <v>330.6</v>
      </c>
      <c r="L366">
        <v>106</v>
      </c>
      <c r="M366">
        <v>28.1</v>
      </c>
      <c r="N366">
        <v>189.4</v>
      </c>
      <c r="O366">
        <v>123</v>
      </c>
      <c r="P366">
        <v>8.52</v>
      </c>
      <c r="Q366">
        <v>13.5</v>
      </c>
      <c r="R366">
        <v>3</v>
      </c>
      <c r="S366">
        <v>3.65</v>
      </c>
      <c r="T366">
        <v>1</v>
      </c>
      <c r="U366" t="s">
        <v>22</v>
      </c>
      <c r="V366" t="e">
        <f>IF(#REF! = "yes", 1, 0)</f>
        <v>#REF!</v>
      </c>
      <c r="W366" t="e">
        <f>IF(#REF! &lt;= 1, "0-1 Calls", IF(#REF! &lt;= 3, "2-3 Calls", IF(#REF! &lt;=5, "4-5 Calls", "6+ Calls")))</f>
        <v>#REF!</v>
      </c>
      <c r="X366" t="e">
        <f>IF(#REF! &lt;= 50, "0-50", IF(#REF! &lt;=100, "51-100", IF(#REF! &lt;= 150, "101-150", "151+")))</f>
        <v>#REF!</v>
      </c>
      <c r="Y366" t="e">
        <f>IF(#REF! &lt;= 3, "Low Charges", "High Charges")</f>
        <v>#REF!</v>
      </c>
      <c r="Z366" t="e">
        <f>IF(#REF!&lt;=80,"Low Calls",
IF(#REF!&lt;=120,"Medium Calls","High Calls"))</f>
        <v>#REF!</v>
      </c>
      <c r="AA366" t="e">
        <f>IF(#REF!&lt;=15,"Low Charges",
IF(#REF!&lt;=20,"Medium Charges","High Charges"))</f>
        <v>#REF!</v>
      </c>
      <c r="AB366" t="e">
        <f>IF(AND(#REF!&gt;180, #REF!&gt;200), "Heavy Doemstic User", IF(#REF!&gt;10, "Interntional User", IF(AND(#REF!&lt;180, #REF!&lt;200,#REF!&lt;200), "Light User", "Balanced User")))</f>
        <v>#REF!</v>
      </c>
      <c r="AC366" t="e">
        <f>IF(#REF! = 0, "No Usage", IF(#REF! &lt;= 20, "Low Usage", IF(#REF! &lt;= 40, "Medium Usgae", "High Usage")))</f>
        <v>#REF!</v>
      </c>
      <c r="AD366" t="e">
        <f>IF(#REF!&lt;=150,"Low Usage", IF(#REF!&lt;=200,"Medium Usage", IF(#REF!&lt;=250,"High Usage","Very High Usage")))</f>
        <v>#REF!</v>
      </c>
      <c r="AE366" t="e">
        <f>IF(#REF!&lt;=5,"Low Calls", IF(#REF!&lt;=10, "Medium Calls", "High Calls"))</f>
        <v>#REF!</v>
      </c>
      <c r="AF366" t="e">
        <f xml:space="preserve">
IF(#REF!&gt;=4,4,0)+
IF(#REF!="yes",3,0)+
IF(#REF!="High Charges",3,0)+
IF(#REF!&gt;250,4,0)+
IF(#REF!="no",1,0)+
IF(#REF!="Heavy Domestic User",2,0)</f>
        <v>#REF!</v>
      </c>
      <c r="AG366" t="e">
        <f>IF(#REF!&gt;=10,"High Risk", IF(#REF!&gt;=5,"Medium Risk","Low Risk"))</f>
        <v>#REF!</v>
      </c>
      <c r="AH366" t="e">
        <f>#REF! + #REF! + #REF! + #REF!</f>
        <v>#REF!</v>
      </c>
    </row>
    <row r="367" spans="1:34" x14ac:dyDescent="0.35">
      <c r="A367">
        <v>366</v>
      </c>
      <c r="B367" t="s">
        <v>53</v>
      </c>
      <c r="C367">
        <v>81</v>
      </c>
      <c r="D367" t="s">
        <v>21</v>
      </c>
      <c r="E367" t="s">
        <v>22</v>
      </c>
      <c r="F367" t="s">
        <v>22</v>
      </c>
      <c r="G367">
        <v>0</v>
      </c>
      <c r="H367">
        <v>153.5</v>
      </c>
      <c r="I367">
        <v>99</v>
      </c>
      <c r="J367">
        <v>26.1</v>
      </c>
      <c r="K367">
        <v>197.6</v>
      </c>
      <c r="L367">
        <v>102</v>
      </c>
      <c r="M367">
        <v>16.8</v>
      </c>
      <c r="N367">
        <v>198.5</v>
      </c>
      <c r="O367">
        <v>86</v>
      </c>
      <c r="P367">
        <v>8.93</v>
      </c>
      <c r="Q367">
        <v>6.3</v>
      </c>
      <c r="R367">
        <v>2</v>
      </c>
      <c r="S367">
        <v>1.7</v>
      </c>
      <c r="T367">
        <v>2</v>
      </c>
      <c r="U367" t="s">
        <v>22</v>
      </c>
      <c r="V367" t="e">
        <f>IF(#REF! = "yes", 1, 0)</f>
        <v>#REF!</v>
      </c>
      <c r="W367" t="e">
        <f>IF(#REF! &lt;= 1, "0-1 Calls", IF(#REF! &lt;= 3, "2-3 Calls", IF(#REF! &lt;=5, "4-5 Calls", "6+ Calls")))</f>
        <v>#REF!</v>
      </c>
      <c r="X367" t="e">
        <f>IF(#REF! &lt;= 50, "0-50", IF(#REF! &lt;=100, "51-100", IF(#REF! &lt;= 150, "101-150", "151+")))</f>
        <v>#REF!</v>
      </c>
      <c r="Y367" t="e">
        <f>IF(#REF! &lt;= 3, "Low Charges", "High Charges")</f>
        <v>#REF!</v>
      </c>
      <c r="Z367" t="e">
        <f>IF(#REF!&lt;=80,"Low Calls",
IF(#REF!&lt;=120,"Medium Calls","High Calls"))</f>
        <v>#REF!</v>
      </c>
      <c r="AA367" t="e">
        <f>IF(#REF!&lt;=15,"Low Charges",
IF(#REF!&lt;=20,"Medium Charges","High Charges"))</f>
        <v>#REF!</v>
      </c>
      <c r="AB367" t="e">
        <f>IF(AND(#REF!&gt;180, #REF!&gt;200), "Heavy Doemstic User", IF(#REF!&gt;10, "Interntional User", IF(AND(#REF!&lt;180, #REF!&lt;200,#REF!&lt;200), "Light User", "Balanced User")))</f>
        <v>#REF!</v>
      </c>
      <c r="AC367" t="e">
        <f>IF(#REF! = 0, "No Usage", IF(#REF! &lt;= 20, "Low Usage", IF(#REF! &lt;= 40, "Medium Usgae", "High Usage")))</f>
        <v>#REF!</v>
      </c>
      <c r="AD367" t="e">
        <f>IF(#REF!&lt;=150,"Low Usage", IF(#REF!&lt;=200,"Medium Usage", IF(#REF!&lt;=250,"High Usage","Very High Usage")))</f>
        <v>#REF!</v>
      </c>
      <c r="AE367" t="e">
        <f>IF(#REF!&lt;=5,"Low Calls", IF(#REF!&lt;=10, "Medium Calls", "High Calls"))</f>
        <v>#REF!</v>
      </c>
      <c r="AF367" t="e">
        <f xml:space="preserve">
IF(#REF!&gt;=4,4,0)+
IF(#REF!="yes",3,0)+
IF(#REF!="High Charges",3,0)+
IF(#REF!&gt;250,4,0)+
IF(#REF!="no",1,0)+
IF(#REF!="Heavy Domestic User",2,0)</f>
        <v>#REF!</v>
      </c>
      <c r="AG367" t="e">
        <f>IF(#REF!&gt;=10,"High Risk", IF(#REF!&gt;=5,"Medium Risk","Low Risk"))</f>
        <v>#REF!</v>
      </c>
      <c r="AH367" t="e">
        <f>#REF! + #REF! + #REF! + #REF!</f>
        <v>#REF!</v>
      </c>
    </row>
    <row r="368" spans="1:34" x14ac:dyDescent="0.35">
      <c r="A368">
        <v>367</v>
      </c>
      <c r="B368" t="s">
        <v>50</v>
      </c>
      <c r="C368">
        <v>135</v>
      </c>
      <c r="D368" t="s">
        <v>28</v>
      </c>
      <c r="E368" t="s">
        <v>22</v>
      </c>
      <c r="F368" t="s">
        <v>23</v>
      </c>
      <c r="G368">
        <v>27</v>
      </c>
      <c r="H368">
        <v>273.39999999999998</v>
      </c>
      <c r="I368">
        <v>141</v>
      </c>
      <c r="J368">
        <v>46.48</v>
      </c>
      <c r="K368">
        <v>154</v>
      </c>
      <c r="L368">
        <v>99</v>
      </c>
      <c r="M368">
        <v>13.09</v>
      </c>
      <c r="N368">
        <v>245.8</v>
      </c>
      <c r="O368">
        <v>112</v>
      </c>
      <c r="P368">
        <v>11.06</v>
      </c>
      <c r="Q368">
        <v>12.3</v>
      </c>
      <c r="R368">
        <v>6</v>
      </c>
      <c r="S368">
        <v>3.32</v>
      </c>
      <c r="T368">
        <v>1</v>
      </c>
      <c r="U368" t="s">
        <v>22</v>
      </c>
      <c r="V368" t="e">
        <f>IF(#REF! = "yes", 1, 0)</f>
        <v>#REF!</v>
      </c>
      <c r="W368" t="e">
        <f>IF(#REF! &lt;= 1, "0-1 Calls", IF(#REF! &lt;= 3, "2-3 Calls", IF(#REF! &lt;=5, "4-5 Calls", "6+ Calls")))</f>
        <v>#REF!</v>
      </c>
      <c r="X368" t="e">
        <f>IF(#REF! &lt;= 50, "0-50", IF(#REF! &lt;=100, "51-100", IF(#REF! &lt;= 150, "101-150", "151+")))</f>
        <v>#REF!</v>
      </c>
      <c r="Y368" t="e">
        <f>IF(#REF! &lt;= 3, "Low Charges", "High Charges")</f>
        <v>#REF!</v>
      </c>
      <c r="Z368" t="e">
        <f>IF(#REF!&lt;=80,"Low Calls",
IF(#REF!&lt;=120,"Medium Calls","High Calls"))</f>
        <v>#REF!</v>
      </c>
      <c r="AA368" t="e">
        <f>IF(#REF!&lt;=15,"Low Charges",
IF(#REF!&lt;=20,"Medium Charges","High Charges"))</f>
        <v>#REF!</v>
      </c>
      <c r="AB368" t="e">
        <f>IF(AND(#REF!&gt;180, #REF!&gt;200), "Heavy Doemstic User", IF(#REF!&gt;10, "Interntional User", IF(AND(#REF!&lt;180, #REF!&lt;200,#REF!&lt;200), "Light User", "Balanced User")))</f>
        <v>#REF!</v>
      </c>
      <c r="AC368" t="e">
        <f>IF(#REF! = 0, "No Usage", IF(#REF! &lt;= 20, "Low Usage", IF(#REF! &lt;= 40, "Medium Usgae", "High Usage")))</f>
        <v>#REF!</v>
      </c>
      <c r="AD368" t="e">
        <f>IF(#REF!&lt;=150,"Low Usage", IF(#REF!&lt;=200,"Medium Usage", IF(#REF!&lt;=250,"High Usage","Very High Usage")))</f>
        <v>#REF!</v>
      </c>
      <c r="AE368" t="e">
        <f>IF(#REF!&lt;=5,"Low Calls", IF(#REF!&lt;=10, "Medium Calls", "High Calls"))</f>
        <v>#REF!</v>
      </c>
      <c r="AF368" t="e">
        <f xml:space="preserve">
IF(#REF!&gt;=4,4,0)+
IF(#REF!="yes",3,0)+
IF(#REF!="High Charges",3,0)+
IF(#REF!&gt;250,4,0)+
IF(#REF!="no",1,0)+
IF(#REF!="Heavy Domestic User",2,0)</f>
        <v>#REF!</v>
      </c>
      <c r="AG368" t="e">
        <f>IF(#REF!&gt;=10,"High Risk", IF(#REF!&gt;=5,"Medium Risk","Low Risk"))</f>
        <v>#REF!</v>
      </c>
      <c r="AH368" t="e">
        <f>#REF! + #REF! + #REF! + #REF!</f>
        <v>#REF!</v>
      </c>
    </row>
    <row r="369" spans="1:34" x14ac:dyDescent="0.35">
      <c r="A369">
        <v>368</v>
      </c>
      <c r="B369" t="s">
        <v>40</v>
      </c>
      <c r="C369">
        <v>99</v>
      </c>
      <c r="D369" t="s">
        <v>25</v>
      </c>
      <c r="E369" t="s">
        <v>22</v>
      </c>
      <c r="F369" t="s">
        <v>22</v>
      </c>
      <c r="G369">
        <v>0</v>
      </c>
      <c r="H369">
        <v>155.30000000000001</v>
      </c>
      <c r="I369">
        <v>93</v>
      </c>
      <c r="J369">
        <v>26.4</v>
      </c>
      <c r="K369">
        <v>265.7</v>
      </c>
      <c r="L369">
        <v>95</v>
      </c>
      <c r="M369">
        <v>22.58</v>
      </c>
      <c r="N369">
        <v>145.69999999999999</v>
      </c>
      <c r="O369">
        <v>67</v>
      </c>
      <c r="P369">
        <v>6.56</v>
      </c>
      <c r="Q369">
        <v>12.4</v>
      </c>
      <c r="R369">
        <v>4</v>
      </c>
      <c r="S369">
        <v>3.35</v>
      </c>
      <c r="T369">
        <v>0</v>
      </c>
      <c r="U369" t="s">
        <v>22</v>
      </c>
      <c r="V369" t="e">
        <f>IF(#REF! = "yes", 1, 0)</f>
        <v>#REF!</v>
      </c>
      <c r="W369" t="e">
        <f>IF(#REF! &lt;= 1, "0-1 Calls", IF(#REF! &lt;= 3, "2-3 Calls", IF(#REF! &lt;=5, "4-5 Calls", "6+ Calls")))</f>
        <v>#REF!</v>
      </c>
      <c r="X369" t="e">
        <f>IF(#REF! &lt;= 50, "0-50", IF(#REF! &lt;=100, "51-100", IF(#REF! &lt;= 150, "101-150", "151+")))</f>
        <v>#REF!</v>
      </c>
      <c r="Y369" t="e">
        <f>IF(#REF! &lt;= 3, "Low Charges", "High Charges")</f>
        <v>#REF!</v>
      </c>
      <c r="Z369" t="e">
        <f>IF(#REF!&lt;=80,"Low Calls",
IF(#REF!&lt;=120,"Medium Calls","High Calls"))</f>
        <v>#REF!</v>
      </c>
      <c r="AA369" t="e">
        <f>IF(#REF!&lt;=15,"Low Charges",
IF(#REF!&lt;=20,"Medium Charges","High Charges"))</f>
        <v>#REF!</v>
      </c>
      <c r="AB369" t="e">
        <f>IF(AND(#REF!&gt;180, #REF!&gt;200), "Heavy Doemstic User", IF(#REF!&gt;10, "Interntional User", IF(AND(#REF!&lt;180, #REF!&lt;200,#REF!&lt;200), "Light User", "Balanced User")))</f>
        <v>#REF!</v>
      </c>
      <c r="AC369" t="e">
        <f>IF(#REF! = 0, "No Usage", IF(#REF! &lt;= 20, "Low Usage", IF(#REF! &lt;= 40, "Medium Usgae", "High Usage")))</f>
        <v>#REF!</v>
      </c>
      <c r="AD369" t="e">
        <f>IF(#REF!&lt;=150,"Low Usage", IF(#REF!&lt;=200,"Medium Usage", IF(#REF!&lt;=250,"High Usage","Very High Usage")))</f>
        <v>#REF!</v>
      </c>
      <c r="AE369" t="e">
        <f>IF(#REF!&lt;=5,"Low Calls", IF(#REF!&lt;=10, "Medium Calls", "High Calls"))</f>
        <v>#REF!</v>
      </c>
      <c r="AF369" t="e">
        <f xml:space="preserve">
IF(#REF!&gt;=4,4,0)+
IF(#REF!="yes",3,0)+
IF(#REF!="High Charges",3,0)+
IF(#REF!&gt;250,4,0)+
IF(#REF!="no",1,0)+
IF(#REF!="Heavy Domestic User",2,0)</f>
        <v>#REF!</v>
      </c>
      <c r="AG369" t="e">
        <f>IF(#REF!&gt;=10,"High Risk", IF(#REF!&gt;=5,"Medium Risk","Low Risk"))</f>
        <v>#REF!</v>
      </c>
      <c r="AH369" t="e">
        <f>#REF! + #REF! + #REF! + #REF!</f>
        <v>#REF!</v>
      </c>
    </row>
    <row r="370" spans="1:34" x14ac:dyDescent="0.35">
      <c r="A370">
        <v>369</v>
      </c>
      <c r="B370" t="s">
        <v>29</v>
      </c>
      <c r="C370">
        <v>135</v>
      </c>
      <c r="D370" t="s">
        <v>28</v>
      </c>
      <c r="E370" t="s">
        <v>22</v>
      </c>
      <c r="F370" t="s">
        <v>22</v>
      </c>
      <c r="G370">
        <v>0</v>
      </c>
      <c r="H370">
        <v>246.8</v>
      </c>
      <c r="I370">
        <v>129</v>
      </c>
      <c r="J370">
        <v>41.96</v>
      </c>
      <c r="K370">
        <v>187.8</v>
      </c>
      <c r="L370">
        <v>121</v>
      </c>
      <c r="M370">
        <v>15.96</v>
      </c>
      <c r="N370">
        <v>154.5</v>
      </c>
      <c r="O370">
        <v>109</v>
      </c>
      <c r="P370">
        <v>6.95</v>
      </c>
      <c r="Q370">
        <v>12.6</v>
      </c>
      <c r="R370">
        <v>5</v>
      </c>
      <c r="S370">
        <v>3.4</v>
      </c>
      <c r="T370">
        <v>1</v>
      </c>
      <c r="U370" t="s">
        <v>22</v>
      </c>
      <c r="V370" t="e">
        <f>IF(#REF! = "yes", 1, 0)</f>
        <v>#REF!</v>
      </c>
      <c r="W370" t="e">
        <f>IF(#REF! &lt;= 1, "0-1 Calls", IF(#REF! &lt;= 3, "2-3 Calls", IF(#REF! &lt;=5, "4-5 Calls", "6+ Calls")))</f>
        <v>#REF!</v>
      </c>
      <c r="X370" t="e">
        <f>IF(#REF! &lt;= 50, "0-50", IF(#REF! &lt;=100, "51-100", IF(#REF! &lt;= 150, "101-150", "151+")))</f>
        <v>#REF!</v>
      </c>
      <c r="Y370" t="e">
        <f>IF(#REF! &lt;= 3, "Low Charges", "High Charges")</f>
        <v>#REF!</v>
      </c>
      <c r="Z370" t="e">
        <f>IF(#REF!&lt;=80,"Low Calls",
IF(#REF!&lt;=120,"Medium Calls","High Calls"))</f>
        <v>#REF!</v>
      </c>
      <c r="AA370" t="e">
        <f>IF(#REF!&lt;=15,"Low Charges",
IF(#REF!&lt;=20,"Medium Charges","High Charges"))</f>
        <v>#REF!</v>
      </c>
      <c r="AB370" t="e">
        <f>IF(AND(#REF!&gt;180, #REF!&gt;200), "Heavy Doemstic User", IF(#REF!&gt;10, "Interntional User", IF(AND(#REF!&lt;180, #REF!&lt;200,#REF!&lt;200), "Light User", "Balanced User")))</f>
        <v>#REF!</v>
      </c>
      <c r="AC370" t="e">
        <f>IF(#REF! = 0, "No Usage", IF(#REF! &lt;= 20, "Low Usage", IF(#REF! &lt;= 40, "Medium Usgae", "High Usage")))</f>
        <v>#REF!</v>
      </c>
      <c r="AD370" t="e">
        <f>IF(#REF!&lt;=150,"Low Usage", IF(#REF!&lt;=200,"Medium Usage", IF(#REF!&lt;=250,"High Usage","Very High Usage")))</f>
        <v>#REF!</v>
      </c>
      <c r="AE370" t="e">
        <f>IF(#REF!&lt;=5,"Low Calls", IF(#REF!&lt;=10, "Medium Calls", "High Calls"))</f>
        <v>#REF!</v>
      </c>
      <c r="AF370" t="e">
        <f xml:space="preserve">
IF(#REF!&gt;=4,4,0)+
IF(#REF!="yes",3,0)+
IF(#REF!="High Charges",3,0)+
IF(#REF!&gt;250,4,0)+
IF(#REF!="no",1,0)+
IF(#REF!="Heavy Domestic User",2,0)</f>
        <v>#REF!</v>
      </c>
      <c r="AG370" t="e">
        <f>IF(#REF!&gt;=10,"High Risk", IF(#REF!&gt;=5,"Medium Risk","Low Risk"))</f>
        <v>#REF!</v>
      </c>
      <c r="AH370" t="e">
        <f>#REF! + #REF! + #REF! + #REF!</f>
        <v>#REF!</v>
      </c>
    </row>
    <row r="371" spans="1:34" x14ac:dyDescent="0.35">
      <c r="A371">
        <v>370</v>
      </c>
      <c r="B371" t="s">
        <v>51</v>
      </c>
      <c r="C371">
        <v>85</v>
      </c>
      <c r="D371" t="s">
        <v>25</v>
      </c>
      <c r="E371" t="s">
        <v>23</v>
      </c>
      <c r="F371" t="s">
        <v>22</v>
      </c>
      <c r="G371">
        <v>0</v>
      </c>
      <c r="H371">
        <v>165.4</v>
      </c>
      <c r="I371">
        <v>107</v>
      </c>
      <c r="J371">
        <v>28.12</v>
      </c>
      <c r="K371">
        <v>196</v>
      </c>
      <c r="L371">
        <v>126</v>
      </c>
      <c r="M371">
        <v>16.66</v>
      </c>
      <c r="N371">
        <v>349.2</v>
      </c>
      <c r="O371">
        <v>110</v>
      </c>
      <c r="P371">
        <v>15.71</v>
      </c>
      <c r="Q371">
        <v>9.6</v>
      </c>
      <c r="R371">
        <v>7</v>
      </c>
      <c r="S371">
        <v>2.59</v>
      </c>
      <c r="T371">
        <v>2</v>
      </c>
      <c r="U371" t="s">
        <v>22</v>
      </c>
      <c r="V371" t="e">
        <f>IF(#REF! = "yes", 1, 0)</f>
        <v>#REF!</v>
      </c>
      <c r="W371" t="e">
        <f>IF(#REF! &lt;= 1, "0-1 Calls", IF(#REF! &lt;= 3, "2-3 Calls", IF(#REF! &lt;=5, "4-5 Calls", "6+ Calls")))</f>
        <v>#REF!</v>
      </c>
      <c r="X371" t="e">
        <f>IF(#REF! &lt;= 50, "0-50", IF(#REF! &lt;=100, "51-100", IF(#REF! &lt;= 150, "101-150", "151+")))</f>
        <v>#REF!</v>
      </c>
      <c r="Y371" t="e">
        <f>IF(#REF! &lt;= 3, "Low Charges", "High Charges")</f>
        <v>#REF!</v>
      </c>
      <c r="Z371" t="e">
        <f>IF(#REF!&lt;=80,"Low Calls",
IF(#REF!&lt;=120,"Medium Calls","High Calls"))</f>
        <v>#REF!</v>
      </c>
      <c r="AA371" t="e">
        <f>IF(#REF!&lt;=15,"Low Charges",
IF(#REF!&lt;=20,"Medium Charges","High Charges"))</f>
        <v>#REF!</v>
      </c>
      <c r="AB371" t="e">
        <f>IF(AND(#REF!&gt;180, #REF!&gt;200), "Heavy Doemstic User", IF(#REF!&gt;10, "Interntional User", IF(AND(#REF!&lt;180, #REF!&lt;200,#REF!&lt;200), "Light User", "Balanced User")))</f>
        <v>#REF!</v>
      </c>
      <c r="AC371" t="e">
        <f>IF(#REF! = 0, "No Usage", IF(#REF! &lt;= 20, "Low Usage", IF(#REF! &lt;= 40, "Medium Usgae", "High Usage")))</f>
        <v>#REF!</v>
      </c>
      <c r="AD371" t="e">
        <f>IF(#REF!&lt;=150,"Low Usage", IF(#REF!&lt;=200,"Medium Usage", IF(#REF!&lt;=250,"High Usage","Very High Usage")))</f>
        <v>#REF!</v>
      </c>
      <c r="AE371" t="e">
        <f>IF(#REF!&lt;=5,"Low Calls", IF(#REF!&lt;=10, "Medium Calls", "High Calls"))</f>
        <v>#REF!</v>
      </c>
      <c r="AF371" t="e">
        <f xml:space="preserve">
IF(#REF!&gt;=4,4,0)+
IF(#REF!="yes",3,0)+
IF(#REF!="High Charges",3,0)+
IF(#REF!&gt;250,4,0)+
IF(#REF!="no",1,0)+
IF(#REF!="Heavy Domestic User",2,0)</f>
        <v>#REF!</v>
      </c>
      <c r="AG371" t="e">
        <f>IF(#REF!&gt;=10,"High Risk", IF(#REF!&gt;=5,"Medium Risk","Low Risk"))</f>
        <v>#REF!</v>
      </c>
      <c r="AH371" t="e">
        <f>#REF! + #REF! + #REF! + #REF!</f>
        <v>#REF!</v>
      </c>
    </row>
    <row r="372" spans="1:34" x14ac:dyDescent="0.35">
      <c r="A372">
        <v>371</v>
      </c>
      <c r="B372" t="s">
        <v>39</v>
      </c>
      <c r="C372">
        <v>88</v>
      </c>
      <c r="D372" t="s">
        <v>28</v>
      </c>
      <c r="E372" t="s">
        <v>22</v>
      </c>
      <c r="F372" t="s">
        <v>22</v>
      </c>
      <c r="G372">
        <v>0</v>
      </c>
      <c r="H372">
        <v>138.30000000000001</v>
      </c>
      <c r="I372">
        <v>116</v>
      </c>
      <c r="J372">
        <v>23.51</v>
      </c>
      <c r="K372">
        <v>236</v>
      </c>
      <c r="L372">
        <v>138</v>
      </c>
      <c r="M372">
        <v>20.059999999999999</v>
      </c>
      <c r="N372">
        <v>179.1</v>
      </c>
      <c r="O372">
        <v>110</v>
      </c>
      <c r="P372">
        <v>8.06</v>
      </c>
      <c r="Q372">
        <v>9.6</v>
      </c>
      <c r="R372">
        <v>4</v>
      </c>
      <c r="S372">
        <v>2.59</v>
      </c>
      <c r="T372">
        <v>3</v>
      </c>
      <c r="U372" t="s">
        <v>22</v>
      </c>
      <c r="V372" t="e">
        <f>IF(#REF! = "yes", 1, 0)</f>
        <v>#REF!</v>
      </c>
      <c r="W372" t="e">
        <f>IF(#REF! &lt;= 1, "0-1 Calls", IF(#REF! &lt;= 3, "2-3 Calls", IF(#REF! &lt;=5, "4-5 Calls", "6+ Calls")))</f>
        <v>#REF!</v>
      </c>
      <c r="X372" t="e">
        <f>IF(#REF! &lt;= 50, "0-50", IF(#REF! &lt;=100, "51-100", IF(#REF! &lt;= 150, "101-150", "151+")))</f>
        <v>#REF!</v>
      </c>
      <c r="Y372" t="e">
        <f>IF(#REF! &lt;= 3, "Low Charges", "High Charges")</f>
        <v>#REF!</v>
      </c>
      <c r="Z372" t="e">
        <f>IF(#REF!&lt;=80,"Low Calls",
IF(#REF!&lt;=120,"Medium Calls","High Calls"))</f>
        <v>#REF!</v>
      </c>
      <c r="AA372" t="e">
        <f>IF(#REF!&lt;=15,"Low Charges",
IF(#REF!&lt;=20,"Medium Charges","High Charges"))</f>
        <v>#REF!</v>
      </c>
      <c r="AB372" t="e">
        <f>IF(AND(#REF!&gt;180, #REF!&gt;200), "Heavy Doemstic User", IF(#REF!&gt;10, "Interntional User", IF(AND(#REF!&lt;180, #REF!&lt;200,#REF!&lt;200), "Light User", "Balanced User")))</f>
        <v>#REF!</v>
      </c>
      <c r="AC372" t="e">
        <f>IF(#REF! = 0, "No Usage", IF(#REF! &lt;= 20, "Low Usage", IF(#REF! &lt;= 40, "Medium Usgae", "High Usage")))</f>
        <v>#REF!</v>
      </c>
      <c r="AD372" t="e">
        <f>IF(#REF!&lt;=150,"Low Usage", IF(#REF!&lt;=200,"Medium Usage", IF(#REF!&lt;=250,"High Usage","Very High Usage")))</f>
        <v>#REF!</v>
      </c>
      <c r="AE372" t="e">
        <f>IF(#REF!&lt;=5,"Low Calls", IF(#REF!&lt;=10, "Medium Calls", "High Calls"))</f>
        <v>#REF!</v>
      </c>
      <c r="AF372" t="e">
        <f xml:space="preserve">
IF(#REF!&gt;=4,4,0)+
IF(#REF!="yes",3,0)+
IF(#REF!="High Charges",3,0)+
IF(#REF!&gt;250,4,0)+
IF(#REF!="no",1,0)+
IF(#REF!="Heavy Domestic User",2,0)</f>
        <v>#REF!</v>
      </c>
      <c r="AG372" t="e">
        <f>IF(#REF!&gt;=10,"High Risk", IF(#REF!&gt;=5,"Medium Risk","Low Risk"))</f>
        <v>#REF!</v>
      </c>
      <c r="AH372" t="e">
        <f>#REF! + #REF! + #REF! + #REF!</f>
        <v>#REF!</v>
      </c>
    </row>
    <row r="373" spans="1:34" x14ac:dyDescent="0.35">
      <c r="A373">
        <v>372</v>
      </c>
      <c r="B373" t="s">
        <v>61</v>
      </c>
      <c r="C373">
        <v>55</v>
      </c>
      <c r="D373" t="s">
        <v>28</v>
      </c>
      <c r="E373" t="s">
        <v>22</v>
      </c>
      <c r="F373" t="s">
        <v>22</v>
      </c>
      <c r="G373">
        <v>0</v>
      </c>
      <c r="H373">
        <v>286.7</v>
      </c>
      <c r="I373">
        <v>100</v>
      </c>
      <c r="J373">
        <v>48.74</v>
      </c>
      <c r="K373">
        <v>134.4</v>
      </c>
      <c r="L373">
        <v>121</v>
      </c>
      <c r="M373">
        <v>11.42</v>
      </c>
      <c r="N373">
        <v>192.9</v>
      </c>
      <c r="O373">
        <v>122</v>
      </c>
      <c r="P373">
        <v>8.68</v>
      </c>
      <c r="Q373">
        <v>6.9</v>
      </c>
      <c r="R373">
        <v>5</v>
      </c>
      <c r="S373">
        <v>1.86</v>
      </c>
      <c r="T373">
        <v>2</v>
      </c>
      <c r="U373" t="s">
        <v>22</v>
      </c>
      <c r="V373" t="e">
        <f>IF(#REF! = "yes", 1, 0)</f>
        <v>#REF!</v>
      </c>
      <c r="W373" t="e">
        <f>IF(#REF! &lt;= 1, "0-1 Calls", IF(#REF! &lt;= 3, "2-3 Calls", IF(#REF! &lt;=5, "4-5 Calls", "6+ Calls")))</f>
        <v>#REF!</v>
      </c>
      <c r="X373" t="e">
        <f>IF(#REF! &lt;= 50, "0-50", IF(#REF! &lt;=100, "51-100", IF(#REF! &lt;= 150, "101-150", "151+")))</f>
        <v>#REF!</v>
      </c>
      <c r="Y373" t="e">
        <f>IF(#REF! &lt;= 3, "Low Charges", "High Charges")</f>
        <v>#REF!</v>
      </c>
      <c r="Z373" t="e">
        <f>IF(#REF!&lt;=80,"Low Calls",
IF(#REF!&lt;=120,"Medium Calls","High Calls"))</f>
        <v>#REF!</v>
      </c>
      <c r="AA373" t="e">
        <f>IF(#REF!&lt;=15,"Low Charges",
IF(#REF!&lt;=20,"Medium Charges","High Charges"))</f>
        <v>#REF!</v>
      </c>
      <c r="AB373" t="e">
        <f>IF(AND(#REF!&gt;180, #REF!&gt;200), "Heavy Doemstic User", IF(#REF!&gt;10, "Interntional User", IF(AND(#REF!&lt;180, #REF!&lt;200,#REF!&lt;200), "Light User", "Balanced User")))</f>
        <v>#REF!</v>
      </c>
      <c r="AC373" t="e">
        <f>IF(#REF! = 0, "No Usage", IF(#REF! &lt;= 20, "Low Usage", IF(#REF! &lt;= 40, "Medium Usgae", "High Usage")))</f>
        <v>#REF!</v>
      </c>
      <c r="AD373" t="e">
        <f>IF(#REF!&lt;=150,"Low Usage", IF(#REF!&lt;=200,"Medium Usage", IF(#REF!&lt;=250,"High Usage","Very High Usage")))</f>
        <v>#REF!</v>
      </c>
      <c r="AE373" t="e">
        <f>IF(#REF!&lt;=5,"Low Calls", IF(#REF!&lt;=10, "Medium Calls", "High Calls"))</f>
        <v>#REF!</v>
      </c>
      <c r="AF373" t="e">
        <f xml:space="preserve">
IF(#REF!&gt;=4,4,0)+
IF(#REF!="yes",3,0)+
IF(#REF!="High Charges",3,0)+
IF(#REF!&gt;250,4,0)+
IF(#REF!="no",1,0)+
IF(#REF!="Heavy Domestic User",2,0)</f>
        <v>#REF!</v>
      </c>
      <c r="AG373" t="e">
        <f>IF(#REF!&gt;=10,"High Risk", IF(#REF!&gt;=5,"Medium Risk","Low Risk"))</f>
        <v>#REF!</v>
      </c>
      <c r="AH373" t="e">
        <f>#REF! + #REF! + #REF! + #REF!</f>
        <v>#REF!</v>
      </c>
    </row>
    <row r="374" spans="1:34" x14ac:dyDescent="0.35">
      <c r="A374">
        <v>373</v>
      </c>
      <c r="B374" t="s">
        <v>37</v>
      </c>
      <c r="C374">
        <v>79</v>
      </c>
      <c r="D374" t="s">
        <v>28</v>
      </c>
      <c r="E374" t="s">
        <v>22</v>
      </c>
      <c r="F374" t="s">
        <v>23</v>
      </c>
      <c r="G374">
        <v>21</v>
      </c>
      <c r="H374">
        <v>264.3</v>
      </c>
      <c r="I374">
        <v>79</v>
      </c>
      <c r="J374">
        <v>44.93</v>
      </c>
      <c r="K374">
        <v>202.8</v>
      </c>
      <c r="L374">
        <v>118</v>
      </c>
      <c r="M374">
        <v>17.239999999999998</v>
      </c>
      <c r="N374">
        <v>173.4</v>
      </c>
      <c r="O374">
        <v>92</v>
      </c>
      <c r="P374">
        <v>7.8</v>
      </c>
      <c r="Q374">
        <v>6.3</v>
      </c>
      <c r="R374">
        <v>3</v>
      </c>
      <c r="S374">
        <v>1.7</v>
      </c>
      <c r="T374">
        <v>4</v>
      </c>
      <c r="U374" t="s">
        <v>22</v>
      </c>
      <c r="V374" t="e">
        <f>IF(#REF! = "yes", 1, 0)</f>
        <v>#REF!</v>
      </c>
      <c r="W374" t="e">
        <f>IF(#REF! &lt;= 1, "0-1 Calls", IF(#REF! &lt;= 3, "2-3 Calls", IF(#REF! &lt;=5, "4-5 Calls", "6+ Calls")))</f>
        <v>#REF!</v>
      </c>
      <c r="X374" t="e">
        <f>IF(#REF! &lt;= 50, "0-50", IF(#REF! &lt;=100, "51-100", IF(#REF! &lt;= 150, "101-150", "151+")))</f>
        <v>#REF!</v>
      </c>
      <c r="Y374" t="e">
        <f>IF(#REF! &lt;= 3, "Low Charges", "High Charges")</f>
        <v>#REF!</v>
      </c>
      <c r="Z374" t="e">
        <f>IF(#REF!&lt;=80,"Low Calls",
IF(#REF!&lt;=120,"Medium Calls","High Calls"))</f>
        <v>#REF!</v>
      </c>
      <c r="AA374" t="e">
        <f>IF(#REF!&lt;=15,"Low Charges",
IF(#REF!&lt;=20,"Medium Charges","High Charges"))</f>
        <v>#REF!</v>
      </c>
      <c r="AB374" t="e">
        <f>IF(AND(#REF!&gt;180, #REF!&gt;200), "Heavy Doemstic User", IF(#REF!&gt;10, "Interntional User", IF(AND(#REF!&lt;180, #REF!&lt;200,#REF!&lt;200), "Light User", "Balanced User")))</f>
        <v>#REF!</v>
      </c>
      <c r="AC374" t="e">
        <f>IF(#REF! = 0, "No Usage", IF(#REF! &lt;= 20, "Low Usage", IF(#REF! &lt;= 40, "Medium Usgae", "High Usage")))</f>
        <v>#REF!</v>
      </c>
      <c r="AD374" t="e">
        <f>IF(#REF!&lt;=150,"Low Usage", IF(#REF!&lt;=200,"Medium Usage", IF(#REF!&lt;=250,"High Usage","Very High Usage")))</f>
        <v>#REF!</v>
      </c>
      <c r="AE374" t="e">
        <f>IF(#REF!&lt;=5,"Low Calls", IF(#REF!&lt;=10, "Medium Calls", "High Calls"))</f>
        <v>#REF!</v>
      </c>
      <c r="AF374" t="e">
        <f xml:space="preserve">
IF(#REF!&gt;=4,4,0)+
IF(#REF!="yes",3,0)+
IF(#REF!="High Charges",3,0)+
IF(#REF!&gt;250,4,0)+
IF(#REF!="no",1,0)+
IF(#REF!="Heavy Domestic User",2,0)</f>
        <v>#REF!</v>
      </c>
      <c r="AG374" t="e">
        <f>IF(#REF!&gt;=10,"High Risk", IF(#REF!&gt;=5,"Medium Risk","Low Risk"))</f>
        <v>#REF!</v>
      </c>
      <c r="AH374" t="e">
        <f>#REF! + #REF! + #REF! + #REF!</f>
        <v>#REF!</v>
      </c>
    </row>
    <row r="375" spans="1:34" x14ac:dyDescent="0.35">
      <c r="A375">
        <v>374</v>
      </c>
      <c r="B375" t="s">
        <v>68</v>
      </c>
      <c r="C375">
        <v>85</v>
      </c>
      <c r="D375" t="s">
        <v>25</v>
      </c>
      <c r="E375" t="s">
        <v>22</v>
      </c>
      <c r="F375" t="s">
        <v>22</v>
      </c>
      <c r="G375">
        <v>0</v>
      </c>
      <c r="H375">
        <v>127.9</v>
      </c>
      <c r="I375">
        <v>107</v>
      </c>
      <c r="J375">
        <v>21.74</v>
      </c>
      <c r="K375">
        <v>271.2</v>
      </c>
      <c r="L375">
        <v>124</v>
      </c>
      <c r="M375">
        <v>23.05</v>
      </c>
      <c r="N375">
        <v>202.2</v>
      </c>
      <c r="O375">
        <v>76</v>
      </c>
      <c r="P375">
        <v>9.1</v>
      </c>
      <c r="Q375">
        <v>12.5</v>
      </c>
      <c r="R375">
        <v>5</v>
      </c>
      <c r="S375">
        <v>3.38</v>
      </c>
      <c r="T375">
        <v>0</v>
      </c>
      <c r="U375" t="s">
        <v>22</v>
      </c>
      <c r="V375" t="e">
        <f>IF(#REF! = "yes", 1, 0)</f>
        <v>#REF!</v>
      </c>
      <c r="W375" t="e">
        <f>IF(#REF! &lt;= 1, "0-1 Calls", IF(#REF! &lt;= 3, "2-3 Calls", IF(#REF! &lt;=5, "4-5 Calls", "6+ Calls")))</f>
        <v>#REF!</v>
      </c>
      <c r="X375" t="e">
        <f>IF(#REF! &lt;= 50, "0-50", IF(#REF! &lt;=100, "51-100", IF(#REF! &lt;= 150, "101-150", "151+")))</f>
        <v>#REF!</v>
      </c>
      <c r="Y375" t="e">
        <f>IF(#REF! &lt;= 3, "Low Charges", "High Charges")</f>
        <v>#REF!</v>
      </c>
      <c r="Z375" t="e">
        <f>IF(#REF!&lt;=80,"Low Calls",
IF(#REF!&lt;=120,"Medium Calls","High Calls"))</f>
        <v>#REF!</v>
      </c>
      <c r="AA375" t="e">
        <f>IF(#REF!&lt;=15,"Low Charges",
IF(#REF!&lt;=20,"Medium Charges","High Charges"))</f>
        <v>#REF!</v>
      </c>
      <c r="AB375" t="e">
        <f>IF(AND(#REF!&gt;180, #REF!&gt;200), "Heavy Doemstic User", IF(#REF!&gt;10, "Interntional User", IF(AND(#REF!&lt;180, #REF!&lt;200,#REF!&lt;200), "Light User", "Balanced User")))</f>
        <v>#REF!</v>
      </c>
      <c r="AC375" t="e">
        <f>IF(#REF! = 0, "No Usage", IF(#REF! &lt;= 20, "Low Usage", IF(#REF! &lt;= 40, "Medium Usgae", "High Usage")))</f>
        <v>#REF!</v>
      </c>
      <c r="AD375" t="e">
        <f>IF(#REF!&lt;=150,"Low Usage", IF(#REF!&lt;=200,"Medium Usage", IF(#REF!&lt;=250,"High Usage","Very High Usage")))</f>
        <v>#REF!</v>
      </c>
      <c r="AE375" t="e">
        <f>IF(#REF!&lt;=5,"Low Calls", IF(#REF!&lt;=10, "Medium Calls", "High Calls"))</f>
        <v>#REF!</v>
      </c>
      <c r="AF375" t="e">
        <f xml:space="preserve">
IF(#REF!&gt;=4,4,0)+
IF(#REF!="yes",3,0)+
IF(#REF!="High Charges",3,0)+
IF(#REF!&gt;250,4,0)+
IF(#REF!="no",1,0)+
IF(#REF!="Heavy Domestic User",2,0)</f>
        <v>#REF!</v>
      </c>
      <c r="AG375" t="e">
        <f>IF(#REF!&gt;=10,"High Risk", IF(#REF!&gt;=5,"Medium Risk","Low Risk"))</f>
        <v>#REF!</v>
      </c>
      <c r="AH375" t="e">
        <f>#REF! + #REF! + #REF! + #REF!</f>
        <v>#REF!</v>
      </c>
    </row>
    <row r="376" spans="1:34" x14ac:dyDescent="0.35">
      <c r="A376">
        <v>375</v>
      </c>
      <c r="B376" t="s">
        <v>70</v>
      </c>
      <c r="C376">
        <v>86</v>
      </c>
      <c r="D376" t="s">
        <v>25</v>
      </c>
      <c r="E376" t="s">
        <v>22</v>
      </c>
      <c r="F376" t="s">
        <v>23</v>
      </c>
      <c r="G376">
        <v>23</v>
      </c>
      <c r="H376">
        <v>225.5</v>
      </c>
      <c r="I376">
        <v>107</v>
      </c>
      <c r="J376">
        <v>38.340000000000003</v>
      </c>
      <c r="K376">
        <v>246.3</v>
      </c>
      <c r="L376">
        <v>105</v>
      </c>
      <c r="M376">
        <v>20.94</v>
      </c>
      <c r="N376">
        <v>245.7</v>
      </c>
      <c r="O376">
        <v>81</v>
      </c>
      <c r="P376">
        <v>11.06</v>
      </c>
      <c r="Q376">
        <v>9.8000000000000007</v>
      </c>
      <c r="R376">
        <v>2</v>
      </c>
      <c r="S376">
        <v>2.65</v>
      </c>
      <c r="T376">
        <v>0</v>
      </c>
      <c r="U376" t="s">
        <v>22</v>
      </c>
      <c r="V376" t="e">
        <f>IF(#REF! = "yes", 1, 0)</f>
        <v>#REF!</v>
      </c>
      <c r="W376" t="e">
        <f>IF(#REF! &lt;= 1, "0-1 Calls", IF(#REF! &lt;= 3, "2-3 Calls", IF(#REF! &lt;=5, "4-5 Calls", "6+ Calls")))</f>
        <v>#REF!</v>
      </c>
      <c r="X376" t="e">
        <f>IF(#REF! &lt;= 50, "0-50", IF(#REF! &lt;=100, "51-100", IF(#REF! &lt;= 150, "101-150", "151+")))</f>
        <v>#REF!</v>
      </c>
      <c r="Y376" t="e">
        <f>IF(#REF! &lt;= 3, "Low Charges", "High Charges")</f>
        <v>#REF!</v>
      </c>
      <c r="Z376" t="e">
        <f>IF(#REF!&lt;=80,"Low Calls",
IF(#REF!&lt;=120,"Medium Calls","High Calls"))</f>
        <v>#REF!</v>
      </c>
      <c r="AA376" t="e">
        <f>IF(#REF!&lt;=15,"Low Charges",
IF(#REF!&lt;=20,"Medium Charges","High Charges"))</f>
        <v>#REF!</v>
      </c>
      <c r="AB376" t="e">
        <f>IF(AND(#REF!&gt;180, #REF!&gt;200), "Heavy Doemstic User", IF(#REF!&gt;10, "Interntional User", IF(AND(#REF!&lt;180, #REF!&lt;200,#REF!&lt;200), "Light User", "Balanced User")))</f>
        <v>#REF!</v>
      </c>
      <c r="AC376" t="e">
        <f>IF(#REF! = 0, "No Usage", IF(#REF! &lt;= 20, "Low Usage", IF(#REF! &lt;= 40, "Medium Usgae", "High Usage")))</f>
        <v>#REF!</v>
      </c>
      <c r="AD376" t="e">
        <f>IF(#REF!&lt;=150,"Low Usage", IF(#REF!&lt;=200,"Medium Usage", IF(#REF!&lt;=250,"High Usage","Very High Usage")))</f>
        <v>#REF!</v>
      </c>
      <c r="AE376" t="e">
        <f>IF(#REF!&lt;=5,"Low Calls", IF(#REF!&lt;=10, "Medium Calls", "High Calls"))</f>
        <v>#REF!</v>
      </c>
      <c r="AF376" t="e">
        <f xml:space="preserve">
IF(#REF!&gt;=4,4,0)+
IF(#REF!="yes",3,0)+
IF(#REF!="High Charges",3,0)+
IF(#REF!&gt;250,4,0)+
IF(#REF!="no",1,0)+
IF(#REF!="Heavy Domestic User",2,0)</f>
        <v>#REF!</v>
      </c>
      <c r="AG376" t="e">
        <f>IF(#REF!&gt;=10,"High Risk", IF(#REF!&gt;=5,"Medium Risk","Low Risk"))</f>
        <v>#REF!</v>
      </c>
      <c r="AH376" t="e">
        <f>#REF! + #REF! + #REF! + #REF!</f>
        <v>#REF!</v>
      </c>
    </row>
    <row r="377" spans="1:34" x14ac:dyDescent="0.35">
      <c r="A377">
        <v>376</v>
      </c>
      <c r="B377" t="s">
        <v>57</v>
      </c>
      <c r="C377">
        <v>91</v>
      </c>
      <c r="D377" t="s">
        <v>28</v>
      </c>
      <c r="E377" t="s">
        <v>22</v>
      </c>
      <c r="F377" t="s">
        <v>22</v>
      </c>
      <c r="G377">
        <v>0</v>
      </c>
      <c r="H377">
        <v>149</v>
      </c>
      <c r="I377">
        <v>115</v>
      </c>
      <c r="J377">
        <v>25.33</v>
      </c>
      <c r="K377">
        <v>245.3</v>
      </c>
      <c r="L377">
        <v>105</v>
      </c>
      <c r="M377">
        <v>20.85</v>
      </c>
      <c r="N377">
        <v>260</v>
      </c>
      <c r="O377">
        <v>94</v>
      </c>
      <c r="P377">
        <v>11.7</v>
      </c>
      <c r="Q377">
        <v>8.3000000000000007</v>
      </c>
      <c r="R377">
        <v>3</v>
      </c>
      <c r="S377">
        <v>2.2400000000000002</v>
      </c>
      <c r="T377">
        <v>0</v>
      </c>
      <c r="U377" t="s">
        <v>22</v>
      </c>
      <c r="V377" t="e">
        <f>IF(#REF! = "yes", 1, 0)</f>
        <v>#REF!</v>
      </c>
      <c r="W377" t="e">
        <f>IF(#REF! &lt;= 1, "0-1 Calls", IF(#REF! &lt;= 3, "2-3 Calls", IF(#REF! &lt;=5, "4-5 Calls", "6+ Calls")))</f>
        <v>#REF!</v>
      </c>
      <c r="X377" t="e">
        <f>IF(#REF! &lt;= 50, "0-50", IF(#REF! &lt;=100, "51-100", IF(#REF! &lt;= 150, "101-150", "151+")))</f>
        <v>#REF!</v>
      </c>
      <c r="Y377" t="e">
        <f>IF(#REF! &lt;= 3, "Low Charges", "High Charges")</f>
        <v>#REF!</v>
      </c>
      <c r="Z377" t="e">
        <f>IF(#REF!&lt;=80,"Low Calls",
IF(#REF!&lt;=120,"Medium Calls","High Calls"))</f>
        <v>#REF!</v>
      </c>
      <c r="AA377" t="e">
        <f>IF(#REF!&lt;=15,"Low Charges",
IF(#REF!&lt;=20,"Medium Charges","High Charges"))</f>
        <v>#REF!</v>
      </c>
      <c r="AB377" t="e">
        <f>IF(AND(#REF!&gt;180, #REF!&gt;200), "Heavy Doemstic User", IF(#REF!&gt;10, "Interntional User", IF(AND(#REF!&lt;180, #REF!&lt;200,#REF!&lt;200), "Light User", "Balanced User")))</f>
        <v>#REF!</v>
      </c>
      <c r="AC377" t="e">
        <f>IF(#REF! = 0, "No Usage", IF(#REF! &lt;= 20, "Low Usage", IF(#REF! &lt;= 40, "Medium Usgae", "High Usage")))</f>
        <v>#REF!</v>
      </c>
      <c r="AD377" t="e">
        <f>IF(#REF!&lt;=150,"Low Usage", IF(#REF!&lt;=200,"Medium Usage", IF(#REF!&lt;=250,"High Usage","Very High Usage")))</f>
        <v>#REF!</v>
      </c>
      <c r="AE377" t="e">
        <f>IF(#REF!&lt;=5,"Low Calls", IF(#REF!&lt;=10, "Medium Calls", "High Calls"))</f>
        <v>#REF!</v>
      </c>
      <c r="AF377" t="e">
        <f xml:space="preserve">
IF(#REF!&gt;=4,4,0)+
IF(#REF!="yes",3,0)+
IF(#REF!="High Charges",3,0)+
IF(#REF!&gt;250,4,0)+
IF(#REF!="no",1,0)+
IF(#REF!="Heavy Domestic User",2,0)</f>
        <v>#REF!</v>
      </c>
      <c r="AG377" t="e">
        <f>IF(#REF!&gt;=10,"High Risk", IF(#REF!&gt;=5,"Medium Risk","Low Risk"))</f>
        <v>#REF!</v>
      </c>
      <c r="AH377" t="e">
        <f>#REF! + #REF! + #REF! + #REF!</f>
        <v>#REF!</v>
      </c>
    </row>
    <row r="378" spans="1:34" x14ac:dyDescent="0.35">
      <c r="A378">
        <v>377</v>
      </c>
      <c r="B378" t="s">
        <v>30</v>
      </c>
      <c r="C378">
        <v>149</v>
      </c>
      <c r="D378" t="s">
        <v>21</v>
      </c>
      <c r="E378" t="s">
        <v>22</v>
      </c>
      <c r="F378" t="s">
        <v>23</v>
      </c>
      <c r="G378">
        <v>20</v>
      </c>
      <c r="H378">
        <v>198.9</v>
      </c>
      <c r="I378">
        <v>77</v>
      </c>
      <c r="J378">
        <v>33.81</v>
      </c>
      <c r="K378">
        <v>274</v>
      </c>
      <c r="L378">
        <v>88</v>
      </c>
      <c r="M378">
        <v>23.29</v>
      </c>
      <c r="N378">
        <v>190.7</v>
      </c>
      <c r="O378">
        <v>76</v>
      </c>
      <c r="P378">
        <v>8.58</v>
      </c>
      <c r="Q378">
        <v>14.3</v>
      </c>
      <c r="R378">
        <v>9</v>
      </c>
      <c r="S378">
        <v>3.86</v>
      </c>
      <c r="T378">
        <v>1</v>
      </c>
      <c r="U378" t="s">
        <v>22</v>
      </c>
      <c r="V378" t="e">
        <f>IF(#REF! = "yes", 1, 0)</f>
        <v>#REF!</v>
      </c>
      <c r="W378" t="e">
        <f>IF(#REF! &lt;= 1, "0-1 Calls", IF(#REF! &lt;= 3, "2-3 Calls", IF(#REF! &lt;=5, "4-5 Calls", "6+ Calls")))</f>
        <v>#REF!</v>
      </c>
      <c r="X378" t="e">
        <f>IF(#REF! &lt;= 50, "0-50", IF(#REF! &lt;=100, "51-100", IF(#REF! &lt;= 150, "101-150", "151+")))</f>
        <v>#REF!</v>
      </c>
      <c r="Y378" t="e">
        <f>IF(#REF! &lt;= 3, "Low Charges", "High Charges")</f>
        <v>#REF!</v>
      </c>
      <c r="Z378" t="e">
        <f>IF(#REF!&lt;=80,"Low Calls",
IF(#REF!&lt;=120,"Medium Calls","High Calls"))</f>
        <v>#REF!</v>
      </c>
      <c r="AA378" t="e">
        <f>IF(#REF!&lt;=15,"Low Charges",
IF(#REF!&lt;=20,"Medium Charges","High Charges"))</f>
        <v>#REF!</v>
      </c>
      <c r="AB378" t="e">
        <f>IF(AND(#REF!&gt;180, #REF!&gt;200), "Heavy Doemstic User", IF(#REF!&gt;10, "Interntional User", IF(AND(#REF!&lt;180, #REF!&lt;200,#REF!&lt;200), "Light User", "Balanced User")))</f>
        <v>#REF!</v>
      </c>
      <c r="AC378" t="e">
        <f>IF(#REF! = 0, "No Usage", IF(#REF! &lt;= 20, "Low Usage", IF(#REF! &lt;= 40, "Medium Usgae", "High Usage")))</f>
        <v>#REF!</v>
      </c>
      <c r="AD378" t="e">
        <f>IF(#REF!&lt;=150,"Low Usage", IF(#REF!&lt;=200,"Medium Usage", IF(#REF!&lt;=250,"High Usage","Very High Usage")))</f>
        <v>#REF!</v>
      </c>
      <c r="AE378" t="e">
        <f>IF(#REF!&lt;=5,"Low Calls", IF(#REF!&lt;=10, "Medium Calls", "High Calls"))</f>
        <v>#REF!</v>
      </c>
      <c r="AF378" t="e">
        <f xml:space="preserve">
IF(#REF!&gt;=4,4,0)+
IF(#REF!="yes",3,0)+
IF(#REF!="High Charges",3,0)+
IF(#REF!&gt;250,4,0)+
IF(#REF!="no",1,0)+
IF(#REF!="Heavy Domestic User",2,0)</f>
        <v>#REF!</v>
      </c>
      <c r="AG378" t="e">
        <f>IF(#REF!&gt;=10,"High Risk", IF(#REF!&gt;=5,"Medium Risk","Low Risk"))</f>
        <v>#REF!</v>
      </c>
      <c r="AH378" t="e">
        <f>#REF! + #REF! + #REF! + #REF!</f>
        <v>#REF!</v>
      </c>
    </row>
    <row r="379" spans="1:34" x14ac:dyDescent="0.35">
      <c r="A379">
        <v>378</v>
      </c>
      <c r="B379" t="s">
        <v>20</v>
      </c>
      <c r="C379">
        <v>97</v>
      </c>
      <c r="D379" t="s">
        <v>25</v>
      </c>
      <c r="E379" t="s">
        <v>22</v>
      </c>
      <c r="F379" t="s">
        <v>22</v>
      </c>
      <c r="G379">
        <v>0</v>
      </c>
      <c r="H379">
        <v>256.39999999999998</v>
      </c>
      <c r="I379">
        <v>125</v>
      </c>
      <c r="J379">
        <v>43.59</v>
      </c>
      <c r="K379">
        <v>273.89999999999998</v>
      </c>
      <c r="L379">
        <v>100</v>
      </c>
      <c r="M379">
        <v>23.28</v>
      </c>
      <c r="N379">
        <v>222.7</v>
      </c>
      <c r="O379">
        <v>101</v>
      </c>
      <c r="P379">
        <v>10.02</v>
      </c>
      <c r="Q379">
        <v>11.1</v>
      </c>
      <c r="R379">
        <v>1</v>
      </c>
      <c r="S379">
        <v>3</v>
      </c>
      <c r="T379">
        <v>1</v>
      </c>
      <c r="U379" t="s">
        <v>23</v>
      </c>
      <c r="V379" t="e">
        <f>IF(#REF! = "yes", 1, 0)</f>
        <v>#REF!</v>
      </c>
      <c r="W379" t="e">
        <f>IF(#REF! &lt;= 1, "0-1 Calls", IF(#REF! &lt;= 3, "2-3 Calls", IF(#REF! &lt;=5, "4-5 Calls", "6+ Calls")))</f>
        <v>#REF!</v>
      </c>
      <c r="X379" t="e">
        <f>IF(#REF! &lt;= 50, "0-50", IF(#REF! &lt;=100, "51-100", IF(#REF! &lt;= 150, "101-150", "151+")))</f>
        <v>#REF!</v>
      </c>
      <c r="Y379" t="e">
        <f>IF(#REF! &lt;= 3, "Low Charges", "High Charges")</f>
        <v>#REF!</v>
      </c>
      <c r="Z379" t="e">
        <f>IF(#REF!&lt;=80,"Low Calls",
IF(#REF!&lt;=120,"Medium Calls","High Calls"))</f>
        <v>#REF!</v>
      </c>
      <c r="AA379" t="e">
        <f>IF(#REF!&lt;=15,"Low Charges",
IF(#REF!&lt;=20,"Medium Charges","High Charges"))</f>
        <v>#REF!</v>
      </c>
      <c r="AB379" t="e">
        <f>IF(AND(#REF!&gt;180, #REF!&gt;200), "Heavy Doemstic User", IF(#REF!&gt;10, "Interntional User", IF(AND(#REF!&lt;180, #REF!&lt;200,#REF!&lt;200), "Light User", "Balanced User")))</f>
        <v>#REF!</v>
      </c>
      <c r="AC379" t="e">
        <f>IF(#REF! = 0, "No Usage", IF(#REF! &lt;= 20, "Low Usage", IF(#REF! &lt;= 40, "Medium Usgae", "High Usage")))</f>
        <v>#REF!</v>
      </c>
      <c r="AD379" t="e">
        <f>IF(#REF!&lt;=150,"Low Usage", IF(#REF!&lt;=200,"Medium Usage", IF(#REF!&lt;=250,"High Usage","Very High Usage")))</f>
        <v>#REF!</v>
      </c>
      <c r="AE379" t="e">
        <f>IF(#REF!&lt;=5,"Low Calls", IF(#REF!&lt;=10, "Medium Calls", "High Calls"))</f>
        <v>#REF!</v>
      </c>
      <c r="AF379" t="e">
        <f xml:space="preserve">
IF(#REF!&gt;=4,4,0)+
IF(#REF!="yes",3,0)+
IF(#REF!="High Charges",3,0)+
IF(#REF!&gt;250,4,0)+
IF(#REF!="no",1,0)+
IF(#REF!="Heavy Domestic User",2,0)</f>
        <v>#REF!</v>
      </c>
      <c r="AG379" t="e">
        <f>IF(#REF!&gt;=10,"High Risk", IF(#REF!&gt;=5,"Medium Risk","Low Risk"))</f>
        <v>#REF!</v>
      </c>
      <c r="AH379" t="e">
        <f>#REF! + #REF! + #REF! + #REF!</f>
        <v>#REF!</v>
      </c>
    </row>
    <row r="380" spans="1:34" x14ac:dyDescent="0.35">
      <c r="A380">
        <v>379</v>
      </c>
      <c r="B380" t="s">
        <v>27</v>
      </c>
      <c r="C380">
        <v>88</v>
      </c>
      <c r="D380" t="s">
        <v>21</v>
      </c>
      <c r="E380" t="s">
        <v>22</v>
      </c>
      <c r="F380" t="s">
        <v>22</v>
      </c>
      <c r="G380">
        <v>0</v>
      </c>
      <c r="H380">
        <v>264.8</v>
      </c>
      <c r="I380">
        <v>124</v>
      </c>
      <c r="J380">
        <v>45.02</v>
      </c>
      <c r="K380">
        <v>245.4</v>
      </c>
      <c r="L380">
        <v>112</v>
      </c>
      <c r="M380">
        <v>20.86</v>
      </c>
      <c r="N380">
        <v>160.5</v>
      </c>
      <c r="O380">
        <v>115</v>
      </c>
      <c r="P380">
        <v>7.22</v>
      </c>
      <c r="Q380">
        <v>14.8</v>
      </c>
      <c r="R380">
        <v>2</v>
      </c>
      <c r="S380">
        <v>4</v>
      </c>
      <c r="T380">
        <v>1</v>
      </c>
      <c r="U380" t="s">
        <v>23</v>
      </c>
      <c r="V380" t="e">
        <f>IF(#REF! = "yes", 1, 0)</f>
        <v>#REF!</v>
      </c>
      <c r="W380" t="e">
        <f>IF(#REF! &lt;= 1, "0-1 Calls", IF(#REF! &lt;= 3, "2-3 Calls", IF(#REF! &lt;=5, "4-5 Calls", "6+ Calls")))</f>
        <v>#REF!</v>
      </c>
      <c r="X380" t="e">
        <f>IF(#REF! &lt;= 50, "0-50", IF(#REF! &lt;=100, "51-100", IF(#REF! &lt;= 150, "101-150", "151+")))</f>
        <v>#REF!</v>
      </c>
      <c r="Y380" t="e">
        <f>IF(#REF! &lt;= 3, "Low Charges", "High Charges")</f>
        <v>#REF!</v>
      </c>
      <c r="Z380" t="e">
        <f>IF(#REF!&lt;=80,"Low Calls",
IF(#REF!&lt;=120,"Medium Calls","High Calls"))</f>
        <v>#REF!</v>
      </c>
      <c r="AA380" t="e">
        <f>IF(#REF!&lt;=15,"Low Charges",
IF(#REF!&lt;=20,"Medium Charges","High Charges"))</f>
        <v>#REF!</v>
      </c>
      <c r="AB380" t="e">
        <f>IF(AND(#REF!&gt;180, #REF!&gt;200), "Heavy Doemstic User", IF(#REF!&gt;10, "Interntional User", IF(AND(#REF!&lt;180, #REF!&lt;200,#REF!&lt;200), "Light User", "Balanced User")))</f>
        <v>#REF!</v>
      </c>
      <c r="AC380" t="e">
        <f>IF(#REF! = 0, "No Usage", IF(#REF! &lt;= 20, "Low Usage", IF(#REF! &lt;= 40, "Medium Usgae", "High Usage")))</f>
        <v>#REF!</v>
      </c>
      <c r="AD380" t="e">
        <f>IF(#REF!&lt;=150,"Low Usage", IF(#REF!&lt;=200,"Medium Usage", IF(#REF!&lt;=250,"High Usage","Very High Usage")))</f>
        <v>#REF!</v>
      </c>
      <c r="AE380" t="e">
        <f>IF(#REF!&lt;=5,"Low Calls", IF(#REF!&lt;=10, "Medium Calls", "High Calls"))</f>
        <v>#REF!</v>
      </c>
      <c r="AF380" t="e">
        <f xml:space="preserve">
IF(#REF!&gt;=4,4,0)+
IF(#REF!="yes",3,0)+
IF(#REF!="High Charges",3,0)+
IF(#REF!&gt;250,4,0)+
IF(#REF!="no",1,0)+
IF(#REF!="Heavy Domestic User",2,0)</f>
        <v>#REF!</v>
      </c>
      <c r="AG380" t="e">
        <f>IF(#REF!&gt;=10,"High Risk", IF(#REF!&gt;=5,"Medium Risk","Low Risk"))</f>
        <v>#REF!</v>
      </c>
      <c r="AH380" t="e">
        <f>#REF! + #REF! + #REF! + #REF!</f>
        <v>#REF!</v>
      </c>
    </row>
    <row r="381" spans="1:34" x14ac:dyDescent="0.35">
      <c r="A381">
        <v>380</v>
      </c>
      <c r="B381" t="s">
        <v>42</v>
      </c>
      <c r="C381">
        <v>60</v>
      </c>
      <c r="D381" t="s">
        <v>21</v>
      </c>
      <c r="E381" t="s">
        <v>22</v>
      </c>
      <c r="F381" t="s">
        <v>22</v>
      </c>
      <c r="G381">
        <v>0</v>
      </c>
      <c r="H381">
        <v>98.2</v>
      </c>
      <c r="I381">
        <v>88</v>
      </c>
      <c r="J381">
        <v>16.690000000000001</v>
      </c>
      <c r="K381">
        <v>180.5</v>
      </c>
      <c r="L381">
        <v>69</v>
      </c>
      <c r="M381">
        <v>15.34</v>
      </c>
      <c r="N381">
        <v>223.6</v>
      </c>
      <c r="O381">
        <v>69</v>
      </c>
      <c r="P381">
        <v>10.06</v>
      </c>
      <c r="Q381">
        <v>9.3000000000000007</v>
      </c>
      <c r="R381">
        <v>2</v>
      </c>
      <c r="S381">
        <v>2.5099999999999998</v>
      </c>
      <c r="T381">
        <v>2</v>
      </c>
      <c r="U381" t="s">
        <v>22</v>
      </c>
      <c r="V381" t="e">
        <f>IF(#REF! = "yes", 1, 0)</f>
        <v>#REF!</v>
      </c>
      <c r="W381" t="e">
        <f>IF(#REF! &lt;= 1, "0-1 Calls", IF(#REF! &lt;= 3, "2-3 Calls", IF(#REF! &lt;=5, "4-5 Calls", "6+ Calls")))</f>
        <v>#REF!</v>
      </c>
      <c r="X381" t="e">
        <f>IF(#REF! &lt;= 50, "0-50", IF(#REF! &lt;=100, "51-100", IF(#REF! &lt;= 150, "101-150", "151+")))</f>
        <v>#REF!</v>
      </c>
      <c r="Y381" t="e">
        <f>IF(#REF! &lt;= 3, "Low Charges", "High Charges")</f>
        <v>#REF!</v>
      </c>
      <c r="Z381" t="e">
        <f>IF(#REF!&lt;=80,"Low Calls",
IF(#REF!&lt;=120,"Medium Calls","High Calls"))</f>
        <v>#REF!</v>
      </c>
      <c r="AA381" t="e">
        <f>IF(#REF!&lt;=15,"Low Charges",
IF(#REF!&lt;=20,"Medium Charges","High Charges"))</f>
        <v>#REF!</v>
      </c>
      <c r="AB381" t="e">
        <f>IF(AND(#REF!&gt;180, #REF!&gt;200), "Heavy Doemstic User", IF(#REF!&gt;10, "Interntional User", IF(AND(#REF!&lt;180, #REF!&lt;200,#REF!&lt;200), "Light User", "Balanced User")))</f>
        <v>#REF!</v>
      </c>
      <c r="AC381" t="e">
        <f>IF(#REF! = 0, "No Usage", IF(#REF! &lt;= 20, "Low Usage", IF(#REF! &lt;= 40, "Medium Usgae", "High Usage")))</f>
        <v>#REF!</v>
      </c>
      <c r="AD381" t="e">
        <f>IF(#REF!&lt;=150,"Low Usage", IF(#REF!&lt;=200,"Medium Usage", IF(#REF!&lt;=250,"High Usage","Very High Usage")))</f>
        <v>#REF!</v>
      </c>
      <c r="AE381" t="e">
        <f>IF(#REF!&lt;=5,"Low Calls", IF(#REF!&lt;=10, "Medium Calls", "High Calls"))</f>
        <v>#REF!</v>
      </c>
      <c r="AF381" t="e">
        <f xml:space="preserve">
IF(#REF!&gt;=4,4,0)+
IF(#REF!="yes",3,0)+
IF(#REF!="High Charges",3,0)+
IF(#REF!&gt;250,4,0)+
IF(#REF!="no",1,0)+
IF(#REF!="Heavy Domestic User",2,0)</f>
        <v>#REF!</v>
      </c>
      <c r="AG381" t="e">
        <f>IF(#REF!&gt;=10,"High Risk", IF(#REF!&gt;=5,"Medium Risk","Low Risk"))</f>
        <v>#REF!</v>
      </c>
      <c r="AH381" t="e">
        <f>#REF! + #REF! + #REF! + #REF!</f>
        <v>#REF!</v>
      </c>
    </row>
    <row r="382" spans="1:34" x14ac:dyDescent="0.35">
      <c r="A382">
        <v>381</v>
      </c>
      <c r="B382" t="s">
        <v>65</v>
      </c>
      <c r="C382">
        <v>54</v>
      </c>
      <c r="D382" t="s">
        <v>25</v>
      </c>
      <c r="E382" t="s">
        <v>22</v>
      </c>
      <c r="F382" t="s">
        <v>22</v>
      </c>
      <c r="G382">
        <v>0</v>
      </c>
      <c r="H382">
        <v>159.80000000000001</v>
      </c>
      <c r="I382">
        <v>99</v>
      </c>
      <c r="J382">
        <v>27.17</v>
      </c>
      <c r="K382">
        <v>264</v>
      </c>
      <c r="L382">
        <v>64</v>
      </c>
      <c r="M382">
        <v>22.44</v>
      </c>
      <c r="N382">
        <v>115.7</v>
      </c>
      <c r="O382">
        <v>70</v>
      </c>
      <c r="P382">
        <v>5.21</v>
      </c>
      <c r="Q382">
        <v>9.6999999999999993</v>
      </c>
      <c r="R382">
        <v>7</v>
      </c>
      <c r="S382">
        <v>2.62</v>
      </c>
      <c r="T382">
        <v>2</v>
      </c>
      <c r="U382" t="s">
        <v>22</v>
      </c>
      <c r="V382" t="e">
        <f>IF(#REF! = "yes", 1, 0)</f>
        <v>#REF!</v>
      </c>
      <c r="W382" t="e">
        <f>IF(#REF! &lt;= 1, "0-1 Calls", IF(#REF! &lt;= 3, "2-3 Calls", IF(#REF! &lt;=5, "4-5 Calls", "6+ Calls")))</f>
        <v>#REF!</v>
      </c>
      <c r="X382" t="e">
        <f>IF(#REF! &lt;= 50, "0-50", IF(#REF! &lt;=100, "51-100", IF(#REF! &lt;= 150, "101-150", "151+")))</f>
        <v>#REF!</v>
      </c>
      <c r="Y382" t="e">
        <f>IF(#REF! &lt;= 3, "Low Charges", "High Charges")</f>
        <v>#REF!</v>
      </c>
      <c r="Z382" t="e">
        <f>IF(#REF!&lt;=80,"Low Calls",
IF(#REF!&lt;=120,"Medium Calls","High Calls"))</f>
        <v>#REF!</v>
      </c>
      <c r="AA382" t="e">
        <f>IF(#REF!&lt;=15,"Low Charges",
IF(#REF!&lt;=20,"Medium Charges","High Charges"))</f>
        <v>#REF!</v>
      </c>
      <c r="AB382" t="e">
        <f>IF(AND(#REF!&gt;180, #REF!&gt;200), "Heavy Doemstic User", IF(#REF!&gt;10, "Interntional User", IF(AND(#REF!&lt;180, #REF!&lt;200,#REF!&lt;200), "Light User", "Balanced User")))</f>
        <v>#REF!</v>
      </c>
      <c r="AC382" t="e">
        <f>IF(#REF! = 0, "No Usage", IF(#REF! &lt;= 20, "Low Usage", IF(#REF! &lt;= 40, "Medium Usgae", "High Usage")))</f>
        <v>#REF!</v>
      </c>
      <c r="AD382" t="e">
        <f>IF(#REF!&lt;=150,"Low Usage", IF(#REF!&lt;=200,"Medium Usage", IF(#REF!&lt;=250,"High Usage","Very High Usage")))</f>
        <v>#REF!</v>
      </c>
      <c r="AE382" t="e">
        <f>IF(#REF!&lt;=5,"Low Calls", IF(#REF!&lt;=10, "Medium Calls", "High Calls"))</f>
        <v>#REF!</v>
      </c>
      <c r="AF382" t="e">
        <f xml:space="preserve">
IF(#REF!&gt;=4,4,0)+
IF(#REF!="yes",3,0)+
IF(#REF!="High Charges",3,0)+
IF(#REF!&gt;250,4,0)+
IF(#REF!="no",1,0)+
IF(#REF!="Heavy Domestic User",2,0)</f>
        <v>#REF!</v>
      </c>
      <c r="AG382" t="e">
        <f>IF(#REF!&gt;=10,"High Risk", IF(#REF!&gt;=5,"Medium Risk","Low Risk"))</f>
        <v>#REF!</v>
      </c>
      <c r="AH382" t="e">
        <f>#REF! + #REF! + #REF! + #REF!</f>
        <v>#REF!</v>
      </c>
    </row>
    <row r="383" spans="1:34" x14ac:dyDescent="0.35">
      <c r="A383">
        <v>382</v>
      </c>
      <c r="B383" t="s">
        <v>59</v>
      </c>
      <c r="C383">
        <v>109</v>
      </c>
      <c r="D383" t="s">
        <v>21</v>
      </c>
      <c r="E383" t="s">
        <v>22</v>
      </c>
      <c r="F383" t="s">
        <v>22</v>
      </c>
      <c r="G383">
        <v>0</v>
      </c>
      <c r="H383">
        <v>184</v>
      </c>
      <c r="I383">
        <v>120</v>
      </c>
      <c r="J383">
        <v>31.28</v>
      </c>
      <c r="K383">
        <v>120.4</v>
      </c>
      <c r="L383">
        <v>119</v>
      </c>
      <c r="M383">
        <v>10.23</v>
      </c>
      <c r="N383">
        <v>153.69999999999999</v>
      </c>
      <c r="O383">
        <v>86</v>
      </c>
      <c r="P383">
        <v>6.92</v>
      </c>
      <c r="Q383">
        <v>11</v>
      </c>
      <c r="R383">
        <v>3</v>
      </c>
      <c r="S383">
        <v>2.97</v>
      </c>
      <c r="T383">
        <v>0</v>
      </c>
      <c r="U383" t="s">
        <v>22</v>
      </c>
      <c r="V383" t="e">
        <f>IF(#REF! = "yes", 1, 0)</f>
        <v>#REF!</v>
      </c>
      <c r="W383" t="e">
        <f>IF(#REF! &lt;= 1, "0-1 Calls", IF(#REF! &lt;= 3, "2-3 Calls", IF(#REF! &lt;=5, "4-5 Calls", "6+ Calls")))</f>
        <v>#REF!</v>
      </c>
      <c r="X383" t="e">
        <f>IF(#REF! &lt;= 50, "0-50", IF(#REF! &lt;=100, "51-100", IF(#REF! &lt;= 150, "101-150", "151+")))</f>
        <v>#REF!</v>
      </c>
      <c r="Y383" t="e">
        <f>IF(#REF! &lt;= 3, "Low Charges", "High Charges")</f>
        <v>#REF!</v>
      </c>
      <c r="Z383" t="e">
        <f>IF(#REF!&lt;=80,"Low Calls",
IF(#REF!&lt;=120,"Medium Calls","High Calls"))</f>
        <v>#REF!</v>
      </c>
      <c r="AA383" t="e">
        <f>IF(#REF!&lt;=15,"Low Charges",
IF(#REF!&lt;=20,"Medium Charges","High Charges"))</f>
        <v>#REF!</v>
      </c>
      <c r="AB383" t="e">
        <f>IF(AND(#REF!&gt;180, #REF!&gt;200), "Heavy Doemstic User", IF(#REF!&gt;10, "Interntional User", IF(AND(#REF!&lt;180, #REF!&lt;200,#REF!&lt;200), "Light User", "Balanced User")))</f>
        <v>#REF!</v>
      </c>
      <c r="AC383" t="e">
        <f>IF(#REF! = 0, "No Usage", IF(#REF! &lt;= 20, "Low Usage", IF(#REF! &lt;= 40, "Medium Usgae", "High Usage")))</f>
        <v>#REF!</v>
      </c>
      <c r="AD383" t="e">
        <f>IF(#REF!&lt;=150,"Low Usage", IF(#REF!&lt;=200,"Medium Usage", IF(#REF!&lt;=250,"High Usage","Very High Usage")))</f>
        <v>#REF!</v>
      </c>
      <c r="AE383" t="e">
        <f>IF(#REF!&lt;=5,"Low Calls", IF(#REF!&lt;=10, "Medium Calls", "High Calls"))</f>
        <v>#REF!</v>
      </c>
      <c r="AF383" t="e">
        <f xml:space="preserve">
IF(#REF!&gt;=4,4,0)+
IF(#REF!="yes",3,0)+
IF(#REF!="High Charges",3,0)+
IF(#REF!&gt;250,4,0)+
IF(#REF!="no",1,0)+
IF(#REF!="Heavy Domestic User",2,0)</f>
        <v>#REF!</v>
      </c>
      <c r="AG383" t="e">
        <f>IF(#REF!&gt;=10,"High Risk", IF(#REF!&gt;=5,"Medium Risk","Low Risk"))</f>
        <v>#REF!</v>
      </c>
      <c r="AH383" t="e">
        <f>#REF! + #REF! + #REF! + #REF!</f>
        <v>#REF!</v>
      </c>
    </row>
    <row r="384" spans="1:34" x14ac:dyDescent="0.35">
      <c r="A384">
        <v>383</v>
      </c>
      <c r="B384" t="s">
        <v>55</v>
      </c>
      <c r="C384">
        <v>90</v>
      </c>
      <c r="D384" t="s">
        <v>21</v>
      </c>
      <c r="E384" t="s">
        <v>22</v>
      </c>
      <c r="F384" t="s">
        <v>22</v>
      </c>
      <c r="G384">
        <v>0</v>
      </c>
      <c r="H384">
        <v>261.8</v>
      </c>
      <c r="I384">
        <v>128</v>
      </c>
      <c r="J384">
        <v>44.51</v>
      </c>
      <c r="K384">
        <v>220.6</v>
      </c>
      <c r="L384">
        <v>104</v>
      </c>
      <c r="M384">
        <v>18.75</v>
      </c>
      <c r="N384">
        <v>136.6</v>
      </c>
      <c r="O384">
        <v>91</v>
      </c>
      <c r="P384">
        <v>6.15</v>
      </c>
      <c r="Q384">
        <v>9.6</v>
      </c>
      <c r="R384">
        <v>5</v>
      </c>
      <c r="S384">
        <v>2.59</v>
      </c>
      <c r="T384">
        <v>1</v>
      </c>
      <c r="U384" t="s">
        <v>22</v>
      </c>
      <c r="V384" t="e">
        <f>IF(#REF! = "yes", 1, 0)</f>
        <v>#REF!</v>
      </c>
      <c r="W384" t="e">
        <f>IF(#REF! &lt;= 1, "0-1 Calls", IF(#REF! &lt;= 3, "2-3 Calls", IF(#REF! &lt;=5, "4-5 Calls", "6+ Calls")))</f>
        <v>#REF!</v>
      </c>
      <c r="X384" t="e">
        <f>IF(#REF! &lt;= 50, "0-50", IF(#REF! &lt;=100, "51-100", IF(#REF! &lt;= 150, "101-150", "151+")))</f>
        <v>#REF!</v>
      </c>
      <c r="Y384" t="e">
        <f>IF(#REF! &lt;= 3, "Low Charges", "High Charges")</f>
        <v>#REF!</v>
      </c>
      <c r="Z384" t="e">
        <f>IF(#REF!&lt;=80,"Low Calls",
IF(#REF!&lt;=120,"Medium Calls","High Calls"))</f>
        <v>#REF!</v>
      </c>
      <c r="AA384" t="e">
        <f>IF(#REF!&lt;=15,"Low Charges",
IF(#REF!&lt;=20,"Medium Charges","High Charges"))</f>
        <v>#REF!</v>
      </c>
      <c r="AB384" t="e">
        <f>IF(AND(#REF!&gt;180, #REF!&gt;200), "Heavy Doemstic User", IF(#REF!&gt;10, "Interntional User", IF(AND(#REF!&lt;180, #REF!&lt;200,#REF!&lt;200), "Light User", "Balanced User")))</f>
        <v>#REF!</v>
      </c>
      <c r="AC384" t="e">
        <f>IF(#REF! = 0, "No Usage", IF(#REF! &lt;= 20, "Low Usage", IF(#REF! &lt;= 40, "Medium Usgae", "High Usage")))</f>
        <v>#REF!</v>
      </c>
      <c r="AD384" t="e">
        <f>IF(#REF!&lt;=150,"Low Usage", IF(#REF!&lt;=200,"Medium Usage", IF(#REF!&lt;=250,"High Usage","Very High Usage")))</f>
        <v>#REF!</v>
      </c>
      <c r="AE384" t="e">
        <f>IF(#REF!&lt;=5,"Low Calls", IF(#REF!&lt;=10, "Medium Calls", "High Calls"))</f>
        <v>#REF!</v>
      </c>
      <c r="AF384" t="e">
        <f xml:space="preserve">
IF(#REF!&gt;=4,4,0)+
IF(#REF!="yes",3,0)+
IF(#REF!="High Charges",3,0)+
IF(#REF!&gt;250,4,0)+
IF(#REF!="no",1,0)+
IF(#REF!="Heavy Domestic User",2,0)</f>
        <v>#REF!</v>
      </c>
      <c r="AG384" t="e">
        <f>IF(#REF!&gt;=10,"High Risk", IF(#REF!&gt;=5,"Medium Risk","Low Risk"))</f>
        <v>#REF!</v>
      </c>
      <c r="AH384" t="e">
        <f>#REF! + #REF! + #REF! + #REF!</f>
        <v>#REF!</v>
      </c>
    </row>
    <row r="385" spans="1:34" x14ac:dyDescent="0.35">
      <c r="A385">
        <v>384</v>
      </c>
      <c r="B385" t="s">
        <v>33</v>
      </c>
      <c r="C385">
        <v>115</v>
      </c>
      <c r="D385" t="s">
        <v>25</v>
      </c>
      <c r="E385" t="s">
        <v>22</v>
      </c>
      <c r="F385" t="s">
        <v>22</v>
      </c>
      <c r="G385">
        <v>0</v>
      </c>
      <c r="H385">
        <v>147.9</v>
      </c>
      <c r="I385">
        <v>109</v>
      </c>
      <c r="J385">
        <v>25.14</v>
      </c>
      <c r="K385">
        <v>228.4</v>
      </c>
      <c r="L385">
        <v>117</v>
      </c>
      <c r="M385">
        <v>19.41</v>
      </c>
      <c r="N385">
        <v>299.7</v>
      </c>
      <c r="O385">
        <v>90</v>
      </c>
      <c r="P385">
        <v>13.49</v>
      </c>
      <c r="Q385">
        <v>9.6</v>
      </c>
      <c r="R385">
        <v>9</v>
      </c>
      <c r="S385">
        <v>2.59</v>
      </c>
      <c r="T385">
        <v>3</v>
      </c>
      <c r="U385" t="s">
        <v>22</v>
      </c>
      <c r="V385" t="e">
        <f>IF(#REF! = "yes", 1, 0)</f>
        <v>#REF!</v>
      </c>
      <c r="W385" t="e">
        <f>IF(#REF! &lt;= 1, "0-1 Calls", IF(#REF! &lt;= 3, "2-3 Calls", IF(#REF! &lt;=5, "4-5 Calls", "6+ Calls")))</f>
        <v>#REF!</v>
      </c>
      <c r="X385" t="e">
        <f>IF(#REF! &lt;= 50, "0-50", IF(#REF! &lt;=100, "51-100", IF(#REF! &lt;= 150, "101-150", "151+")))</f>
        <v>#REF!</v>
      </c>
      <c r="Y385" t="e">
        <f>IF(#REF! &lt;= 3, "Low Charges", "High Charges")</f>
        <v>#REF!</v>
      </c>
      <c r="Z385" t="e">
        <f>IF(#REF!&lt;=80,"Low Calls",
IF(#REF!&lt;=120,"Medium Calls","High Calls"))</f>
        <v>#REF!</v>
      </c>
      <c r="AA385" t="e">
        <f>IF(#REF!&lt;=15,"Low Charges",
IF(#REF!&lt;=20,"Medium Charges","High Charges"))</f>
        <v>#REF!</v>
      </c>
      <c r="AB385" t="e">
        <f>IF(AND(#REF!&gt;180, #REF!&gt;200), "Heavy Doemstic User", IF(#REF!&gt;10, "Interntional User", IF(AND(#REF!&lt;180, #REF!&lt;200,#REF!&lt;200), "Light User", "Balanced User")))</f>
        <v>#REF!</v>
      </c>
      <c r="AC385" t="e">
        <f>IF(#REF! = 0, "No Usage", IF(#REF! &lt;= 20, "Low Usage", IF(#REF! &lt;= 40, "Medium Usgae", "High Usage")))</f>
        <v>#REF!</v>
      </c>
      <c r="AD385" t="e">
        <f>IF(#REF!&lt;=150,"Low Usage", IF(#REF!&lt;=200,"Medium Usage", IF(#REF!&lt;=250,"High Usage","Very High Usage")))</f>
        <v>#REF!</v>
      </c>
      <c r="AE385" t="e">
        <f>IF(#REF!&lt;=5,"Low Calls", IF(#REF!&lt;=10, "Medium Calls", "High Calls"))</f>
        <v>#REF!</v>
      </c>
      <c r="AF385" t="e">
        <f xml:space="preserve">
IF(#REF!&gt;=4,4,0)+
IF(#REF!="yes",3,0)+
IF(#REF!="High Charges",3,0)+
IF(#REF!&gt;250,4,0)+
IF(#REF!="no",1,0)+
IF(#REF!="Heavy Domestic User",2,0)</f>
        <v>#REF!</v>
      </c>
      <c r="AG385" t="e">
        <f>IF(#REF!&gt;=10,"High Risk", IF(#REF!&gt;=5,"Medium Risk","Low Risk"))</f>
        <v>#REF!</v>
      </c>
      <c r="AH385" t="e">
        <f>#REF! + #REF! + #REF! + #REF!</f>
        <v>#REF!</v>
      </c>
    </row>
    <row r="386" spans="1:34" x14ac:dyDescent="0.35">
      <c r="A386">
        <v>385</v>
      </c>
      <c r="B386" t="s">
        <v>20</v>
      </c>
      <c r="C386">
        <v>144</v>
      </c>
      <c r="D386" t="s">
        <v>21</v>
      </c>
      <c r="E386" t="s">
        <v>22</v>
      </c>
      <c r="F386" t="s">
        <v>23</v>
      </c>
      <c r="G386">
        <v>18</v>
      </c>
      <c r="H386">
        <v>106.4</v>
      </c>
      <c r="I386">
        <v>109</v>
      </c>
      <c r="J386">
        <v>18.09</v>
      </c>
      <c r="K386">
        <v>108.1</v>
      </c>
      <c r="L386">
        <v>113</v>
      </c>
      <c r="M386">
        <v>9.19</v>
      </c>
      <c r="N386">
        <v>208.4</v>
      </c>
      <c r="O386">
        <v>111</v>
      </c>
      <c r="P386">
        <v>9.3800000000000008</v>
      </c>
      <c r="Q386">
        <v>10.1</v>
      </c>
      <c r="R386">
        <v>5</v>
      </c>
      <c r="S386">
        <v>2.73</v>
      </c>
      <c r="T386">
        <v>1</v>
      </c>
      <c r="U386" t="s">
        <v>22</v>
      </c>
      <c r="V386" t="e">
        <f>IF(#REF! = "yes", 1, 0)</f>
        <v>#REF!</v>
      </c>
      <c r="W386" t="e">
        <f>IF(#REF! &lt;= 1, "0-1 Calls", IF(#REF! &lt;= 3, "2-3 Calls", IF(#REF! &lt;=5, "4-5 Calls", "6+ Calls")))</f>
        <v>#REF!</v>
      </c>
      <c r="X386" t="e">
        <f>IF(#REF! &lt;= 50, "0-50", IF(#REF! &lt;=100, "51-100", IF(#REF! &lt;= 150, "101-150", "151+")))</f>
        <v>#REF!</v>
      </c>
      <c r="Y386" t="e">
        <f>IF(#REF! &lt;= 3, "Low Charges", "High Charges")</f>
        <v>#REF!</v>
      </c>
      <c r="Z386" t="e">
        <f>IF(#REF!&lt;=80,"Low Calls",
IF(#REF!&lt;=120,"Medium Calls","High Calls"))</f>
        <v>#REF!</v>
      </c>
      <c r="AA386" t="e">
        <f>IF(#REF!&lt;=15,"Low Charges",
IF(#REF!&lt;=20,"Medium Charges","High Charges"))</f>
        <v>#REF!</v>
      </c>
      <c r="AB386" t="e">
        <f>IF(AND(#REF!&gt;180, #REF!&gt;200), "Heavy Doemstic User", IF(#REF!&gt;10, "Interntional User", IF(AND(#REF!&lt;180, #REF!&lt;200,#REF!&lt;200), "Light User", "Balanced User")))</f>
        <v>#REF!</v>
      </c>
      <c r="AC386" t="e">
        <f>IF(#REF! = 0, "No Usage", IF(#REF! &lt;= 20, "Low Usage", IF(#REF! &lt;= 40, "Medium Usgae", "High Usage")))</f>
        <v>#REF!</v>
      </c>
      <c r="AD386" t="e">
        <f>IF(#REF!&lt;=150,"Low Usage", IF(#REF!&lt;=200,"Medium Usage", IF(#REF!&lt;=250,"High Usage","Very High Usage")))</f>
        <v>#REF!</v>
      </c>
      <c r="AE386" t="e">
        <f>IF(#REF!&lt;=5,"Low Calls", IF(#REF!&lt;=10, "Medium Calls", "High Calls"))</f>
        <v>#REF!</v>
      </c>
      <c r="AF386" t="e">
        <f xml:space="preserve">
IF(#REF!&gt;=4,4,0)+
IF(#REF!="yes",3,0)+
IF(#REF!="High Charges",3,0)+
IF(#REF!&gt;250,4,0)+
IF(#REF!="no",1,0)+
IF(#REF!="Heavy Domestic User",2,0)</f>
        <v>#REF!</v>
      </c>
      <c r="AG386" t="e">
        <f>IF(#REF!&gt;=10,"High Risk", IF(#REF!&gt;=5,"Medium Risk","Low Risk"))</f>
        <v>#REF!</v>
      </c>
      <c r="AH386" t="e">
        <f>#REF! + #REF! + #REF! + #REF!</f>
        <v>#REF!</v>
      </c>
    </row>
    <row r="387" spans="1:34" x14ac:dyDescent="0.35">
      <c r="A387">
        <v>386</v>
      </c>
      <c r="B387" t="s">
        <v>62</v>
      </c>
      <c r="C387">
        <v>91</v>
      </c>
      <c r="D387" t="s">
        <v>25</v>
      </c>
      <c r="E387" t="s">
        <v>22</v>
      </c>
      <c r="F387" t="s">
        <v>22</v>
      </c>
      <c r="G387">
        <v>0</v>
      </c>
      <c r="H387">
        <v>133.69999999999999</v>
      </c>
      <c r="I387">
        <v>75</v>
      </c>
      <c r="J387">
        <v>22.73</v>
      </c>
      <c r="K387">
        <v>195.3</v>
      </c>
      <c r="L387">
        <v>87</v>
      </c>
      <c r="M387">
        <v>16.600000000000001</v>
      </c>
      <c r="N387">
        <v>280.5</v>
      </c>
      <c r="O387">
        <v>89</v>
      </c>
      <c r="P387">
        <v>12.62</v>
      </c>
      <c r="Q387">
        <v>5.9</v>
      </c>
      <c r="R387">
        <v>2</v>
      </c>
      <c r="S387">
        <v>1.59</v>
      </c>
      <c r="T387">
        <v>0</v>
      </c>
      <c r="U387" t="s">
        <v>22</v>
      </c>
      <c r="V387" t="e">
        <f>IF(#REF! = "yes", 1, 0)</f>
        <v>#REF!</v>
      </c>
      <c r="W387" t="e">
        <f>IF(#REF! &lt;= 1, "0-1 Calls", IF(#REF! &lt;= 3, "2-3 Calls", IF(#REF! &lt;=5, "4-5 Calls", "6+ Calls")))</f>
        <v>#REF!</v>
      </c>
      <c r="X387" t="e">
        <f>IF(#REF! &lt;= 50, "0-50", IF(#REF! &lt;=100, "51-100", IF(#REF! &lt;= 150, "101-150", "151+")))</f>
        <v>#REF!</v>
      </c>
      <c r="Y387" t="e">
        <f>IF(#REF! &lt;= 3, "Low Charges", "High Charges")</f>
        <v>#REF!</v>
      </c>
      <c r="Z387" t="e">
        <f>IF(#REF!&lt;=80,"Low Calls",
IF(#REF!&lt;=120,"Medium Calls","High Calls"))</f>
        <v>#REF!</v>
      </c>
      <c r="AA387" t="e">
        <f>IF(#REF!&lt;=15,"Low Charges",
IF(#REF!&lt;=20,"Medium Charges","High Charges"))</f>
        <v>#REF!</v>
      </c>
      <c r="AB387" t="e">
        <f>IF(AND(#REF!&gt;180, #REF!&gt;200), "Heavy Doemstic User", IF(#REF!&gt;10, "Interntional User", IF(AND(#REF!&lt;180, #REF!&lt;200,#REF!&lt;200), "Light User", "Balanced User")))</f>
        <v>#REF!</v>
      </c>
      <c r="AC387" t="e">
        <f>IF(#REF! = 0, "No Usage", IF(#REF! &lt;= 20, "Low Usage", IF(#REF! &lt;= 40, "Medium Usgae", "High Usage")))</f>
        <v>#REF!</v>
      </c>
      <c r="AD387" t="e">
        <f>IF(#REF!&lt;=150,"Low Usage", IF(#REF!&lt;=200,"Medium Usage", IF(#REF!&lt;=250,"High Usage","Very High Usage")))</f>
        <v>#REF!</v>
      </c>
      <c r="AE387" t="e">
        <f>IF(#REF!&lt;=5,"Low Calls", IF(#REF!&lt;=10, "Medium Calls", "High Calls"))</f>
        <v>#REF!</v>
      </c>
      <c r="AF387" t="e">
        <f xml:space="preserve">
IF(#REF!&gt;=4,4,0)+
IF(#REF!="yes",3,0)+
IF(#REF!="High Charges",3,0)+
IF(#REF!&gt;250,4,0)+
IF(#REF!="no",1,0)+
IF(#REF!="Heavy Domestic User",2,0)</f>
        <v>#REF!</v>
      </c>
      <c r="AG387" t="e">
        <f>IF(#REF!&gt;=10,"High Risk", IF(#REF!&gt;=5,"Medium Risk","Low Risk"))</f>
        <v>#REF!</v>
      </c>
      <c r="AH387" t="e">
        <f>#REF! + #REF! + #REF! + #REF!</f>
        <v>#REF!</v>
      </c>
    </row>
    <row r="388" spans="1:34" x14ac:dyDescent="0.35">
      <c r="A388">
        <v>387</v>
      </c>
      <c r="B388" t="s">
        <v>62</v>
      </c>
      <c r="C388">
        <v>71</v>
      </c>
      <c r="D388" t="s">
        <v>21</v>
      </c>
      <c r="E388" t="s">
        <v>23</v>
      </c>
      <c r="F388" t="s">
        <v>22</v>
      </c>
      <c r="G388">
        <v>0</v>
      </c>
      <c r="H388">
        <v>178.2</v>
      </c>
      <c r="I388">
        <v>113</v>
      </c>
      <c r="J388">
        <v>30.29</v>
      </c>
      <c r="K388">
        <v>167.8</v>
      </c>
      <c r="L388">
        <v>94</v>
      </c>
      <c r="M388">
        <v>14.26</v>
      </c>
      <c r="N388">
        <v>182.1</v>
      </c>
      <c r="O388">
        <v>111</v>
      </c>
      <c r="P388">
        <v>8.19</v>
      </c>
      <c r="Q388">
        <v>13.6</v>
      </c>
      <c r="R388">
        <v>3</v>
      </c>
      <c r="S388">
        <v>3.67</v>
      </c>
      <c r="T388">
        <v>3</v>
      </c>
      <c r="U388" t="s">
        <v>23</v>
      </c>
      <c r="V388" t="e">
        <f>IF(#REF! = "yes", 1, 0)</f>
        <v>#REF!</v>
      </c>
      <c r="W388" t="e">
        <f>IF(#REF! &lt;= 1, "0-1 Calls", IF(#REF! &lt;= 3, "2-3 Calls", IF(#REF! &lt;=5, "4-5 Calls", "6+ Calls")))</f>
        <v>#REF!</v>
      </c>
      <c r="X388" t="e">
        <f>IF(#REF! &lt;= 50, "0-50", IF(#REF! &lt;=100, "51-100", IF(#REF! &lt;= 150, "101-150", "151+")))</f>
        <v>#REF!</v>
      </c>
      <c r="Y388" t="e">
        <f>IF(#REF! &lt;= 3, "Low Charges", "High Charges")</f>
        <v>#REF!</v>
      </c>
      <c r="Z388" t="e">
        <f>IF(#REF!&lt;=80,"Low Calls",
IF(#REF!&lt;=120,"Medium Calls","High Calls"))</f>
        <v>#REF!</v>
      </c>
      <c r="AA388" t="e">
        <f>IF(#REF!&lt;=15,"Low Charges",
IF(#REF!&lt;=20,"Medium Charges","High Charges"))</f>
        <v>#REF!</v>
      </c>
      <c r="AB388" t="e">
        <f>IF(AND(#REF!&gt;180, #REF!&gt;200), "Heavy Doemstic User", IF(#REF!&gt;10, "Interntional User", IF(AND(#REF!&lt;180, #REF!&lt;200,#REF!&lt;200), "Light User", "Balanced User")))</f>
        <v>#REF!</v>
      </c>
      <c r="AC388" t="e">
        <f>IF(#REF! = 0, "No Usage", IF(#REF! &lt;= 20, "Low Usage", IF(#REF! &lt;= 40, "Medium Usgae", "High Usage")))</f>
        <v>#REF!</v>
      </c>
      <c r="AD388" t="e">
        <f>IF(#REF!&lt;=150,"Low Usage", IF(#REF!&lt;=200,"Medium Usage", IF(#REF!&lt;=250,"High Usage","Very High Usage")))</f>
        <v>#REF!</v>
      </c>
      <c r="AE388" t="e">
        <f>IF(#REF!&lt;=5,"Low Calls", IF(#REF!&lt;=10, "Medium Calls", "High Calls"))</f>
        <v>#REF!</v>
      </c>
      <c r="AF388" t="e">
        <f xml:space="preserve">
IF(#REF!&gt;=4,4,0)+
IF(#REF!="yes",3,0)+
IF(#REF!="High Charges",3,0)+
IF(#REF!&gt;250,4,0)+
IF(#REF!="no",1,0)+
IF(#REF!="Heavy Domestic User",2,0)</f>
        <v>#REF!</v>
      </c>
      <c r="AG388" t="e">
        <f>IF(#REF!&gt;=10,"High Risk", IF(#REF!&gt;=5,"Medium Risk","Low Risk"))</f>
        <v>#REF!</v>
      </c>
      <c r="AH388" t="e">
        <f>#REF! + #REF! + #REF! + #REF!</f>
        <v>#REF!</v>
      </c>
    </row>
    <row r="389" spans="1:34" x14ac:dyDescent="0.35">
      <c r="A389">
        <v>388</v>
      </c>
      <c r="B389" t="s">
        <v>40</v>
      </c>
      <c r="C389">
        <v>132</v>
      </c>
      <c r="D389" t="s">
        <v>28</v>
      </c>
      <c r="E389" t="s">
        <v>22</v>
      </c>
      <c r="F389" t="s">
        <v>23</v>
      </c>
      <c r="G389">
        <v>36</v>
      </c>
      <c r="H389">
        <v>226.2</v>
      </c>
      <c r="I389">
        <v>103</v>
      </c>
      <c r="J389">
        <v>38.450000000000003</v>
      </c>
      <c r="K389">
        <v>181.6</v>
      </c>
      <c r="L389">
        <v>125</v>
      </c>
      <c r="M389">
        <v>15.44</v>
      </c>
      <c r="N389">
        <v>258.8</v>
      </c>
      <c r="O389">
        <v>102</v>
      </c>
      <c r="P389">
        <v>11.65</v>
      </c>
      <c r="Q389">
        <v>10.5</v>
      </c>
      <c r="R389">
        <v>5</v>
      </c>
      <c r="S389">
        <v>2.84</v>
      </c>
      <c r="T389">
        <v>3</v>
      </c>
      <c r="U389" t="s">
        <v>23</v>
      </c>
      <c r="V389" t="e">
        <f>IF(#REF! = "yes", 1, 0)</f>
        <v>#REF!</v>
      </c>
      <c r="W389" t="e">
        <f>IF(#REF! &lt;= 1, "0-1 Calls", IF(#REF! &lt;= 3, "2-3 Calls", IF(#REF! &lt;=5, "4-5 Calls", "6+ Calls")))</f>
        <v>#REF!</v>
      </c>
      <c r="X389" t="e">
        <f>IF(#REF! &lt;= 50, "0-50", IF(#REF! &lt;=100, "51-100", IF(#REF! &lt;= 150, "101-150", "151+")))</f>
        <v>#REF!</v>
      </c>
      <c r="Y389" t="e">
        <f>IF(#REF! &lt;= 3, "Low Charges", "High Charges")</f>
        <v>#REF!</v>
      </c>
      <c r="Z389" t="e">
        <f>IF(#REF!&lt;=80,"Low Calls",
IF(#REF!&lt;=120,"Medium Calls","High Calls"))</f>
        <v>#REF!</v>
      </c>
      <c r="AA389" t="e">
        <f>IF(#REF!&lt;=15,"Low Charges",
IF(#REF!&lt;=20,"Medium Charges","High Charges"))</f>
        <v>#REF!</v>
      </c>
      <c r="AB389" t="e">
        <f>IF(AND(#REF!&gt;180, #REF!&gt;200), "Heavy Doemstic User", IF(#REF!&gt;10, "Interntional User", IF(AND(#REF!&lt;180, #REF!&lt;200,#REF!&lt;200), "Light User", "Balanced User")))</f>
        <v>#REF!</v>
      </c>
      <c r="AC389" t="e">
        <f>IF(#REF! = 0, "No Usage", IF(#REF! &lt;= 20, "Low Usage", IF(#REF! &lt;= 40, "Medium Usgae", "High Usage")))</f>
        <v>#REF!</v>
      </c>
      <c r="AD389" t="e">
        <f>IF(#REF!&lt;=150,"Low Usage", IF(#REF!&lt;=200,"Medium Usage", IF(#REF!&lt;=250,"High Usage","Very High Usage")))</f>
        <v>#REF!</v>
      </c>
      <c r="AE389" t="e">
        <f>IF(#REF!&lt;=5,"Low Calls", IF(#REF!&lt;=10, "Medium Calls", "High Calls"))</f>
        <v>#REF!</v>
      </c>
      <c r="AF389" t="e">
        <f xml:space="preserve">
IF(#REF!&gt;=4,4,0)+
IF(#REF!="yes",3,0)+
IF(#REF!="High Charges",3,0)+
IF(#REF!&gt;250,4,0)+
IF(#REF!="no",1,0)+
IF(#REF!="Heavy Domestic User",2,0)</f>
        <v>#REF!</v>
      </c>
      <c r="AG389" t="e">
        <f>IF(#REF!&gt;=10,"High Risk", IF(#REF!&gt;=5,"Medium Risk","Low Risk"))</f>
        <v>#REF!</v>
      </c>
      <c r="AH389" t="e">
        <f>#REF! + #REF! + #REF! + #REF!</f>
        <v>#REF!</v>
      </c>
    </row>
    <row r="390" spans="1:34" x14ac:dyDescent="0.35">
      <c r="A390">
        <v>389</v>
      </c>
      <c r="B390" t="s">
        <v>68</v>
      </c>
      <c r="C390">
        <v>41</v>
      </c>
      <c r="D390" t="s">
        <v>28</v>
      </c>
      <c r="E390" t="s">
        <v>22</v>
      </c>
      <c r="F390" t="s">
        <v>23</v>
      </c>
      <c r="G390">
        <v>34</v>
      </c>
      <c r="H390">
        <v>194.4</v>
      </c>
      <c r="I390">
        <v>63</v>
      </c>
      <c r="J390">
        <v>33.049999999999997</v>
      </c>
      <c r="K390">
        <v>254.9</v>
      </c>
      <c r="L390">
        <v>110</v>
      </c>
      <c r="M390">
        <v>21.67</v>
      </c>
      <c r="N390">
        <v>160.19999999999999</v>
      </c>
      <c r="O390">
        <v>115</v>
      </c>
      <c r="P390">
        <v>7.21</v>
      </c>
      <c r="Q390">
        <v>17.2</v>
      </c>
      <c r="R390">
        <v>9</v>
      </c>
      <c r="S390">
        <v>4.6399999999999997</v>
      </c>
      <c r="T390">
        <v>2</v>
      </c>
      <c r="U390" t="s">
        <v>22</v>
      </c>
      <c r="V390" t="e">
        <f>IF(#REF! = "yes", 1, 0)</f>
        <v>#REF!</v>
      </c>
      <c r="W390" t="e">
        <f>IF(#REF! &lt;= 1, "0-1 Calls", IF(#REF! &lt;= 3, "2-3 Calls", IF(#REF! &lt;=5, "4-5 Calls", "6+ Calls")))</f>
        <v>#REF!</v>
      </c>
      <c r="X390" t="e">
        <f>IF(#REF! &lt;= 50, "0-50", IF(#REF! &lt;=100, "51-100", IF(#REF! &lt;= 150, "101-150", "151+")))</f>
        <v>#REF!</v>
      </c>
      <c r="Y390" t="e">
        <f>IF(#REF! &lt;= 3, "Low Charges", "High Charges")</f>
        <v>#REF!</v>
      </c>
      <c r="Z390" t="e">
        <f>IF(#REF!&lt;=80,"Low Calls",
IF(#REF!&lt;=120,"Medium Calls","High Calls"))</f>
        <v>#REF!</v>
      </c>
      <c r="AA390" t="e">
        <f>IF(#REF!&lt;=15,"Low Charges",
IF(#REF!&lt;=20,"Medium Charges","High Charges"))</f>
        <v>#REF!</v>
      </c>
      <c r="AB390" t="e">
        <f>IF(AND(#REF!&gt;180, #REF!&gt;200), "Heavy Doemstic User", IF(#REF!&gt;10, "Interntional User", IF(AND(#REF!&lt;180, #REF!&lt;200,#REF!&lt;200), "Light User", "Balanced User")))</f>
        <v>#REF!</v>
      </c>
      <c r="AC390" t="e">
        <f>IF(#REF! = 0, "No Usage", IF(#REF! &lt;= 20, "Low Usage", IF(#REF! &lt;= 40, "Medium Usgae", "High Usage")))</f>
        <v>#REF!</v>
      </c>
      <c r="AD390" t="e">
        <f>IF(#REF!&lt;=150,"Low Usage", IF(#REF!&lt;=200,"Medium Usage", IF(#REF!&lt;=250,"High Usage","Very High Usage")))</f>
        <v>#REF!</v>
      </c>
      <c r="AE390" t="e">
        <f>IF(#REF!&lt;=5,"Low Calls", IF(#REF!&lt;=10, "Medium Calls", "High Calls"))</f>
        <v>#REF!</v>
      </c>
      <c r="AF390" t="e">
        <f xml:space="preserve">
IF(#REF!&gt;=4,4,0)+
IF(#REF!="yes",3,0)+
IF(#REF!="High Charges",3,0)+
IF(#REF!&gt;250,4,0)+
IF(#REF!="no",1,0)+
IF(#REF!="Heavy Domestic User",2,0)</f>
        <v>#REF!</v>
      </c>
      <c r="AG390" t="e">
        <f>IF(#REF!&gt;=10,"High Risk", IF(#REF!&gt;=5,"Medium Risk","Low Risk"))</f>
        <v>#REF!</v>
      </c>
      <c r="AH390" t="e">
        <f>#REF! + #REF! + #REF! + #REF!</f>
        <v>#REF!</v>
      </c>
    </row>
    <row r="391" spans="1:34" x14ac:dyDescent="0.35">
      <c r="A391">
        <v>390</v>
      </c>
      <c r="B391" t="s">
        <v>69</v>
      </c>
      <c r="C391">
        <v>44</v>
      </c>
      <c r="D391" t="s">
        <v>21</v>
      </c>
      <c r="E391" t="s">
        <v>22</v>
      </c>
      <c r="F391" t="s">
        <v>22</v>
      </c>
      <c r="G391">
        <v>0</v>
      </c>
      <c r="H391">
        <v>240.3</v>
      </c>
      <c r="I391">
        <v>146</v>
      </c>
      <c r="J391">
        <v>40.85</v>
      </c>
      <c r="K391">
        <v>164.6</v>
      </c>
      <c r="L391">
        <v>83</v>
      </c>
      <c r="M391">
        <v>13.99</v>
      </c>
      <c r="N391">
        <v>240.7</v>
      </c>
      <c r="O391">
        <v>106</v>
      </c>
      <c r="P391">
        <v>10.83</v>
      </c>
      <c r="Q391">
        <v>10.6</v>
      </c>
      <c r="R391">
        <v>2</v>
      </c>
      <c r="S391">
        <v>2.86</v>
      </c>
      <c r="T391">
        <v>1</v>
      </c>
      <c r="U391" t="s">
        <v>22</v>
      </c>
      <c r="V391" t="e">
        <f>IF(#REF! = "yes", 1, 0)</f>
        <v>#REF!</v>
      </c>
      <c r="W391" t="e">
        <f>IF(#REF! &lt;= 1, "0-1 Calls", IF(#REF! &lt;= 3, "2-3 Calls", IF(#REF! &lt;=5, "4-5 Calls", "6+ Calls")))</f>
        <v>#REF!</v>
      </c>
      <c r="X391" t="e">
        <f>IF(#REF! &lt;= 50, "0-50", IF(#REF! &lt;=100, "51-100", IF(#REF! &lt;= 150, "101-150", "151+")))</f>
        <v>#REF!</v>
      </c>
      <c r="Y391" t="e">
        <f>IF(#REF! &lt;= 3, "Low Charges", "High Charges")</f>
        <v>#REF!</v>
      </c>
      <c r="Z391" t="e">
        <f>IF(#REF!&lt;=80,"Low Calls",
IF(#REF!&lt;=120,"Medium Calls","High Calls"))</f>
        <v>#REF!</v>
      </c>
      <c r="AA391" t="e">
        <f>IF(#REF!&lt;=15,"Low Charges",
IF(#REF!&lt;=20,"Medium Charges","High Charges"))</f>
        <v>#REF!</v>
      </c>
      <c r="AB391" t="e">
        <f>IF(AND(#REF!&gt;180, #REF!&gt;200), "Heavy Doemstic User", IF(#REF!&gt;10, "Interntional User", IF(AND(#REF!&lt;180, #REF!&lt;200,#REF!&lt;200), "Light User", "Balanced User")))</f>
        <v>#REF!</v>
      </c>
      <c r="AC391" t="e">
        <f>IF(#REF! = 0, "No Usage", IF(#REF! &lt;= 20, "Low Usage", IF(#REF! &lt;= 40, "Medium Usgae", "High Usage")))</f>
        <v>#REF!</v>
      </c>
      <c r="AD391" t="e">
        <f>IF(#REF!&lt;=150,"Low Usage", IF(#REF!&lt;=200,"Medium Usage", IF(#REF!&lt;=250,"High Usage","Very High Usage")))</f>
        <v>#REF!</v>
      </c>
      <c r="AE391" t="e">
        <f>IF(#REF!&lt;=5,"Low Calls", IF(#REF!&lt;=10, "Medium Calls", "High Calls"))</f>
        <v>#REF!</v>
      </c>
      <c r="AF391" t="e">
        <f xml:space="preserve">
IF(#REF!&gt;=4,4,0)+
IF(#REF!="yes",3,0)+
IF(#REF!="High Charges",3,0)+
IF(#REF!&gt;250,4,0)+
IF(#REF!="no",1,0)+
IF(#REF!="Heavy Domestic User",2,0)</f>
        <v>#REF!</v>
      </c>
      <c r="AG391" t="e">
        <f>IF(#REF!&gt;=10,"High Risk", IF(#REF!&gt;=5,"Medium Risk","Low Risk"))</f>
        <v>#REF!</v>
      </c>
      <c r="AH391" t="e">
        <f>#REF! + #REF! + #REF! + #REF!</f>
        <v>#REF!</v>
      </c>
    </row>
    <row r="392" spans="1:34" x14ac:dyDescent="0.35">
      <c r="A392">
        <v>391</v>
      </c>
      <c r="B392" t="s">
        <v>62</v>
      </c>
      <c r="C392">
        <v>78</v>
      </c>
      <c r="D392" t="s">
        <v>25</v>
      </c>
      <c r="E392" t="s">
        <v>22</v>
      </c>
      <c r="F392" t="s">
        <v>22</v>
      </c>
      <c r="G392">
        <v>0</v>
      </c>
      <c r="H392">
        <v>75</v>
      </c>
      <c r="I392">
        <v>116</v>
      </c>
      <c r="J392">
        <v>12.75</v>
      </c>
      <c r="K392">
        <v>248.7</v>
      </c>
      <c r="L392">
        <v>87</v>
      </c>
      <c r="M392">
        <v>21.14</v>
      </c>
      <c r="N392">
        <v>176</v>
      </c>
      <c r="O392">
        <v>83</v>
      </c>
      <c r="P392">
        <v>7.92</v>
      </c>
      <c r="Q392">
        <v>9.5</v>
      </c>
      <c r="R392">
        <v>6</v>
      </c>
      <c r="S392">
        <v>2.57</v>
      </c>
      <c r="T392">
        <v>3</v>
      </c>
      <c r="U392" t="s">
        <v>22</v>
      </c>
      <c r="V392" t="e">
        <f>IF(#REF! = "yes", 1, 0)</f>
        <v>#REF!</v>
      </c>
      <c r="W392" t="e">
        <f>IF(#REF! &lt;= 1, "0-1 Calls", IF(#REF! &lt;= 3, "2-3 Calls", IF(#REF! &lt;=5, "4-5 Calls", "6+ Calls")))</f>
        <v>#REF!</v>
      </c>
      <c r="X392" t="e">
        <f>IF(#REF! &lt;= 50, "0-50", IF(#REF! &lt;=100, "51-100", IF(#REF! &lt;= 150, "101-150", "151+")))</f>
        <v>#REF!</v>
      </c>
      <c r="Y392" t="e">
        <f>IF(#REF! &lt;= 3, "Low Charges", "High Charges")</f>
        <v>#REF!</v>
      </c>
      <c r="Z392" t="e">
        <f>IF(#REF!&lt;=80,"Low Calls",
IF(#REF!&lt;=120,"Medium Calls","High Calls"))</f>
        <v>#REF!</v>
      </c>
      <c r="AA392" t="e">
        <f>IF(#REF!&lt;=15,"Low Charges",
IF(#REF!&lt;=20,"Medium Charges","High Charges"))</f>
        <v>#REF!</v>
      </c>
      <c r="AB392" t="e">
        <f>IF(AND(#REF!&gt;180, #REF!&gt;200), "Heavy Doemstic User", IF(#REF!&gt;10, "Interntional User", IF(AND(#REF!&lt;180, #REF!&lt;200,#REF!&lt;200), "Light User", "Balanced User")))</f>
        <v>#REF!</v>
      </c>
      <c r="AC392" t="e">
        <f>IF(#REF! = 0, "No Usage", IF(#REF! &lt;= 20, "Low Usage", IF(#REF! &lt;= 40, "Medium Usgae", "High Usage")))</f>
        <v>#REF!</v>
      </c>
      <c r="AD392" t="e">
        <f>IF(#REF!&lt;=150,"Low Usage", IF(#REF!&lt;=200,"Medium Usage", IF(#REF!&lt;=250,"High Usage","Very High Usage")))</f>
        <v>#REF!</v>
      </c>
      <c r="AE392" t="e">
        <f>IF(#REF!&lt;=5,"Low Calls", IF(#REF!&lt;=10, "Medium Calls", "High Calls"))</f>
        <v>#REF!</v>
      </c>
      <c r="AF392" t="e">
        <f xml:space="preserve">
IF(#REF!&gt;=4,4,0)+
IF(#REF!="yes",3,0)+
IF(#REF!="High Charges",3,0)+
IF(#REF!&gt;250,4,0)+
IF(#REF!="no",1,0)+
IF(#REF!="Heavy Domestic User",2,0)</f>
        <v>#REF!</v>
      </c>
      <c r="AG392" t="e">
        <f>IF(#REF!&gt;=10,"High Risk", IF(#REF!&gt;=5,"Medium Risk","Low Risk"))</f>
        <v>#REF!</v>
      </c>
      <c r="AH392" t="e">
        <f>#REF! + #REF! + #REF! + #REF!</f>
        <v>#REF!</v>
      </c>
    </row>
    <row r="393" spans="1:34" x14ac:dyDescent="0.35">
      <c r="A393">
        <v>392</v>
      </c>
      <c r="B393" t="s">
        <v>72</v>
      </c>
      <c r="C393">
        <v>149</v>
      </c>
      <c r="D393" t="s">
        <v>25</v>
      </c>
      <c r="E393" t="s">
        <v>22</v>
      </c>
      <c r="F393" t="s">
        <v>22</v>
      </c>
      <c r="G393">
        <v>0</v>
      </c>
      <c r="H393">
        <v>69.099999999999994</v>
      </c>
      <c r="I393">
        <v>117</v>
      </c>
      <c r="J393">
        <v>11.75</v>
      </c>
      <c r="K393">
        <v>136.30000000000001</v>
      </c>
      <c r="L393">
        <v>100</v>
      </c>
      <c r="M393">
        <v>11.59</v>
      </c>
      <c r="N393">
        <v>181.7</v>
      </c>
      <c r="O393">
        <v>53</v>
      </c>
      <c r="P393">
        <v>8.18</v>
      </c>
      <c r="Q393">
        <v>6.3</v>
      </c>
      <c r="R393">
        <v>3</v>
      </c>
      <c r="S393">
        <v>1.7</v>
      </c>
      <c r="T393">
        <v>1</v>
      </c>
      <c r="U393" t="s">
        <v>22</v>
      </c>
      <c r="V393" t="e">
        <f>IF(#REF! = "yes", 1, 0)</f>
        <v>#REF!</v>
      </c>
      <c r="W393" t="e">
        <f>IF(#REF! &lt;= 1, "0-1 Calls", IF(#REF! &lt;= 3, "2-3 Calls", IF(#REF! &lt;=5, "4-5 Calls", "6+ Calls")))</f>
        <v>#REF!</v>
      </c>
      <c r="X393" t="e">
        <f>IF(#REF! &lt;= 50, "0-50", IF(#REF! &lt;=100, "51-100", IF(#REF! &lt;= 150, "101-150", "151+")))</f>
        <v>#REF!</v>
      </c>
      <c r="Y393" t="e">
        <f>IF(#REF! &lt;= 3, "Low Charges", "High Charges")</f>
        <v>#REF!</v>
      </c>
      <c r="Z393" t="e">
        <f>IF(#REF!&lt;=80,"Low Calls",
IF(#REF!&lt;=120,"Medium Calls","High Calls"))</f>
        <v>#REF!</v>
      </c>
      <c r="AA393" t="e">
        <f>IF(#REF!&lt;=15,"Low Charges",
IF(#REF!&lt;=20,"Medium Charges","High Charges"))</f>
        <v>#REF!</v>
      </c>
      <c r="AB393" t="e">
        <f>IF(AND(#REF!&gt;180, #REF!&gt;200), "Heavy Doemstic User", IF(#REF!&gt;10, "Interntional User", IF(AND(#REF!&lt;180, #REF!&lt;200,#REF!&lt;200), "Light User", "Balanced User")))</f>
        <v>#REF!</v>
      </c>
      <c r="AC393" t="e">
        <f>IF(#REF! = 0, "No Usage", IF(#REF! &lt;= 20, "Low Usage", IF(#REF! &lt;= 40, "Medium Usgae", "High Usage")))</f>
        <v>#REF!</v>
      </c>
      <c r="AD393" t="e">
        <f>IF(#REF!&lt;=150,"Low Usage", IF(#REF!&lt;=200,"Medium Usage", IF(#REF!&lt;=250,"High Usage","Very High Usage")))</f>
        <v>#REF!</v>
      </c>
      <c r="AE393" t="e">
        <f>IF(#REF!&lt;=5,"Low Calls", IF(#REF!&lt;=10, "Medium Calls", "High Calls"))</f>
        <v>#REF!</v>
      </c>
      <c r="AF393" t="e">
        <f xml:space="preserve">
IF(#REF!&gt;=4,4,0)+
IF(#REF!="yes",3,0)+
IF(#REF!="High Charges",3,0)+
IF(#REF!&gt;250,4,0)+
IF(#REF!="no",1,0)+
IF(#REF!="Heavy Domestic User",2,0)</f>
        <v>#REF!</v>
      </c>
      <c r="AG393" t="e">
        <f>IF(#REF!&gt;=10,"High Risk", IF(#REF!&gt;=5,"Medium Risk","Low Risk"))</f>
        <v>#REF!</v>
      </c>
      <c r="AH393" t="e">
        <f>#REF! + #REF! + #REF! + #REF!</f>
        <v>#REF!</v>
      </c>
    </row>
    <row r="394" spans="1:34" x14ac:dyDescent="0.35">
      <c r="A394">
        <v>393</v>
      </c>
      <c r="B394" t="s">
        <v>31</v>
      </c>
      <c r="C394">
        <v>72</v>
      </c>
      <c r="D394" t="s">
        <v>28</v>
      </c>
      <c r="E394" t="s">
        <v>22</v>
      </c>
      <c r="F394" t="s">
        <v>23</v>
      </c>
      <c r="G394">
        <v>33</v>
      </c>
      <c r="H394">
        <v>96.6</v>
      </c>
      <c r="I394">
        <v>59</v>
      </c>
      <c r="J394">
        <v>16.420000000000002</v>
      </c>
      <c r="K394">
        <v>315.39999999999998</v>
      </c>
      <c r="L394">
        <v>98</v>
      </c>
      <c r="M394">
        <v>26.81</v>
      </c>
      <c r="N394">
        <v>163.30000000000001</v>
      </c>
      <c r="O394">
        <v>117</v>
      </c>
      <c r="P394">
        <v>7.35</v>
      </c>
      <c r="Q394">
        <v>6.2</v>
      </c>
      <c r="R394">
        <v>4</v>
      </c>
      <c r="S394">
        <v>1.67</v>
      </c>
      <c r="T394">
        <v>4</v>
      </c>
      <c r="U394" t="s">
        <v>23</v>
      </c>
      <c r="V394" t="e">
        <f>IF(#REF! = "yes", 1, 0)</f>
        <v>#REF!</v>
      </c>
      <c r="W394" t="e">
        <f>IF(#REF! &lt;= 1, "0-1 Calls", IF(#REF! &lt;= 3, "2-3 Calls", IF(#REF! &lt;=5, "4-5 Calls", "6+ Calls")))</f>
        <v>#REF!</v>
      </c>
      <c r="X394" t="e">
        <f>IF(#REF! &lt;= 50, "0-50", IF(#REF! &lt;=100, "51-100", IF(#REF! &lt;= 150, "101-150", "151+")))</f>
        <v>#REF!</v>
      </c>
      <c r="Y394" t="e">
        <f>IF(#REF! &lt;= 3, "Low Charges", "High Charges")</f>
        <v>#REF!</v>
      </c>
      <c r="Z394" t="e">
        <f>IF(#REF!&lt;=80,"Low Calls",
IF(#REF!&lt;=120,"Medium Calls","High Calls"))</f>
        <v>#REF!</v>
      </c>
      <c r="AA394" t="e">
        <f>IF(#REF!&lt;=15,"Low Charges",
IF(#REF!&lt;=20,"Medium Charges","High Charges"))</f>
        <v>#REF!</v>
      </c>
      <c r="AB394" t="e">
        <f>IF(AND(#REF!&gt;180, #REF!&gt;200), "Heavy Doemstic User", IF(#REF!&gt;10, "Interntional User", IF(AND(#REF!&lt;180, #REF!&lt;200,#REF!&lt;200), "Light User", "Balanced User")))</f>
        <v>#REF!</v>
      </c>
      <c r="AC394" t="e">
        <f>IF(#REF! = 0, "No Usage", IF(#REF! &lt;= 20, "Low Usage", IF(#REF! &lt;= 40, "Medium Usgae", "High Usage")))</f>
        <v>#REF!</v>
      </c>
      <c r="AD394" t="e">
        <f>IF(#REF!&lt;=150,"Low Usage", IF(#REF!&lt;=200,"Medium Usage", IF(#REF!&lt;=250,"High Usage","Very High Usage")))</f>
        <v>#REF!</v>
      </c>
      <c r="AE394" t="e">
        <f>IF(#REF!&lt;=5,"Low Calls", IF(#REF!&lt;=10, "Medium Calls", "High Calls"))</f>
        <v>#REF!</v>
      </c>
      <c r="AF394" t="e">
        <f xml:space="preserve">
IF(#REF!&gt;=4,4,0)+
IF(#REF!="yes",3,0)+
IF(#REF!="High Charges",3,0)+
IF(#REF!&gt;250,4,0)+
IF(#REF!="no",1,0)+
IF(#REF!="Heavy Domestic User",2,0)</f>
        <v>#REF!</v>
      </c>
      <c r="AG394" t="e">
        <f>IF(#REF!&gt;=10,"High Risk", IF(#REF!&gt;=5,"Medium Risk","Low Risk"))</f>
        <v>#REF!</v>
      </c>
      <c r="AH394" t="e">
        <f>#REF! + #REF! + #REF! + #REF!</f>
        <v>#REF!</v>
      </c>
    </row>
    <row r="395" spans="1:34" x14ac:dyDescent="0.35">
      <c r="A395">
        <v>394</v>
      </c>
      <c r="B395" t="s">
        <v>53</v>
      </c>
      <c r="C395">
        <v>139</v>
      </c>
      <c r="D395" t="s">
        <v>21</v>
      </c>
      <c r="E395" t="s">
        <v>22</v>
      </c>
      <c r="F395" t="s">
        <v>23</v>
      </c>
      <c r="G395">
        <v>20</v>
      </c>
      <c r="H395">
        <v>214.6</v>
      </c>
      <c r="I395">
        <v>101</v>
      </c>
      <c r="J395">
        <v>36.479999999999997</v>
      </c>
      <c r="K395">
        <v>235.1</v>
      </c>
      <c r="L395">
        <v>132</v>
      </c>
      <c r="M395">
        <v>19.98</v>
      </c>
      <c r="N395">
        <v>162.80000000000001</v>
      </c>
      <c r="O395">
        <v>132</v>
      </c>
      <c r="P395">
        <v>7.33</v>
      </c>
      <c r="Q395">
        <v>14.8</v>
      </c>
      <c r="R395">
        <v>12</v>
      </c>
      <c r="S395">
        <v>4</v>
      </c>
      <c r="T395">
        <v>0</v>
      </c>
      <c r="U395" t="s">
        <v>22</v>
      </c>
      <c r="V395" t="e">
        <f>IF(#REF! = "yes", 1, 0)</f>
        <v>#REF!</v>
      </c>
      <c r="W395" t="e">
        <f>IF(#REF! &lt;= 1, "0-1 Calls", IF(#REF! &lt;= 3, "2-3 Calls", IF(#REF! &lt;=5, "4-5 Calls", "6+ Calls")))</f>
        <v>#REF!</v>
      </c>
      <c r="X395" t="e">
        <f>IF(#REF! &lt;= 50, "0-50", IF(#REF! &lt;=100, "51-100", IF(#REF! &lt;= 150, "101-150", "151+")))</f>
        <v>#REF!</v>
      </c>
      <c r="Y395" t="e">
        <f>IF(#REF! &lt;= 3, "Low Charges", "High Charges")</f>
        <v>#REF!</v>
      </c>
      <c r="Z395" t="e">
        <f>IF(#REF!&lt;=80,"Low Calls",
IF(#REF!&lt;=120,"Medium Calls","High Calls"))</f>
        <v>#REF!</v>
      </c>
      <c r="AA395" t="e">
        <f>IF(#REF!&lt;=15,"Low Charges",
IF(#REF!&lt;=20,"Medium Charges","High Charges"))</f>
        <v>#REF!</v>
      </c>
      <c r="AB395" t="e">
        <f>IF(AND(#REF!&gt;180, #REF!&gt;200), "Heavy Doemstic User", IF(#REF!&gt;10, "Interntional User", IF(AND(#REF!&lt;180, #REF!&lt;200,#REF!&lt;200), "Light User", "Balanced User")))</f>
        <v>#REF!</v>
      </c>
      <c r="AC395" t="e">
        <f>IF(#REF! = 0, "No Usage", IF(#REF! &lt;= 20, "Low Usage", IF(#REF! &lt;= 40, "Medium Usgae", "High Usage")))</f>
        <v>#REF!</v>
      </c>
      <c r="AD395" t="e">
        <f>IF(#REF!&lt;=150,"Low Usage", IF(#REF!&lt;=200,"Medium Usage", IF(#REF!&lt;=250,"High Usage","Very High Usage")))</f>
        <v>#REF!</v>
      </c>
      <c r="AE395" t="e">
        <f>IF(#REF!&lt;=5,"Low Calls", IF(#REF!&lt;=10, "Medium Calls", "High Calls"))</f>
        <v>#REF!</v>
      </c>
      <c r="AF395" t="e">
        <f xml:space="preserve">
IF(#REF!&gt;=4,4,0)+
IF(#REF!="yes",3,0)+
IF(#REF!="High Charges",3,0)+
IF(#REF!&gt;250,4,0)+
IF(#REF!="no",1,0)+
IF(#REF!="Heavy Domestic User",2,0)</f>
        <v>#REF!</v>
      </c>
      <c r="AG395" t="e">
        <f>IF(#REF!&gt;=10,"High Risk", IF(#REF!&gt;=5,"Medium Risk","Low Risk"))</f>
        <v>#REF!</v>
      </c>
      <c r="AH395" t="e">
        <f>#REF! + #REF! + #REF! + #REF!</f>
        <v>#REF!</v>
      </c>
    </row>
    <row r="396" spans="1:34" x14ac:dyDescent="0.35">
      <c r="A396">
        <v>395</v>
      </c>
      <c r="B396" t="s">
        <v>48</v>
      </c>
      <c r="C396">
        <v>141</v>
      </c>
      <c r="D396" t="s">
        <v>28</v>
      </c>
      <c r="E396" t="s">
        <v>22</v>
      </c>
      <c r="F396" t="s">
        <v>23</v>
      </c>
      <c r="G396">
        <v>23</v>
      </c>
      <c r="H396">
        <v>149.69999999999999</v>
      </c>
      <c r="I396">
        <v>112</v>
      </c>
      <c r="J396">
        <v>25.45</v>
      </c>
      <c r="K396">
        <v>162.5</v>
      </c>
      <c r="L396">
        <v>118</v>
      </c>
      <c r="M396">
        <v>13.81</v>
      </c>
      <c r="N396">
        <v>220.3</v>
      </c>
      <c r="O396">
        <v>115</v>
      </c>
      <c r="P396">
        <v>9.91</v>
      </c>
      <c r="Q396">
        <v>7.6</v>
      </c>
      <c r="R396">
        <v>2</v>
      </c>
      <c r="S396">
        <v>2.0499999999999998</v>
      </c>
      <c r="T396">
        <v>3</v>
      </c>
      <c r="U396" t="s">
        <v>22</v>
      </c>
      <c r="V396" t="e">
        <f>IF(#REF! = "yes", 1, 0)</f>
        <v>#REF!</v>
      </c>
      <c r="W396" t="e">
        <f>IF(#REF! &lt;= 1, "0-1 Calls", IF(#REF! &lt;= 3, "2-3 Calls", IF(#REF! &lt;=5, "4-5 Calls", "6+ Calls")))</f>
        <v>#REF!</v>
      </c>
      <c r="X396" t="e">
        <f>IF(#REF! &lt;= 50, "0-50", IF(#REF! &lt;=100, "51-100", IF(#REF! &lt;= 150, "101-150", "151+")))</f>
        <v>#REF!</v>
      </c>
      <c r="Y396" t="e">
        <f>IF(#REF! &lt;= 3, "Low Charges", "High Charges")</f>
        <v>#REF!</v>
      </c>
      <c r="Z396" t="e">
        <f>IF(#REF!&lt;=80,"Low Calls",
IF(#REF!&lt;=120,"Medium Calls","High Calls"))</f>
        <v>#REF!</v>
      </c>
      <c r="AA396" t="e">
        <f>IF(#REF!&lt;=15,"Low Charges",
IF(#REF!&lt;=20,"Medium Charges","High Charges"))</f>
        <v>#REF!</v>
      </c>
      <c r="AB396" t="e">
        <f>IF(AND(#REF!&gt;180, #REF!&gt;200), "Heavy Doemstic User", IF(#REF!&gt;10, "Interntional User", IF(AND(#REF!&lt;180, #REF!&lt;200,#REF!&lt;200), "Light User", "Balanced User")))</f>
        <v>#REF!</v>
      </c>
      <c r="AC396" t="e">
        <f>IF(#REF! = 0, "No Usage", IF(#REF! &lt;= 20, "Low Usage", IF(#REF! &lt;= 40, "Medium Usgae", "High Usage")))</f>
        <v>#REF!</v>
      </c>
      <c r="AD396" t="e">
        <f>IF(#REF!&lt;=150,"Low Usage", IF(#REF!&lt;=200,"Medium Usage", IF(#REF!&lt;=250,"High Usage","Very High Usage")))</f>
        <v>#REF!</v>
      </c>
      <c r="AE396" t="e">
        <f>IF(#REF!&lt;=5,"Low Calls", IF(#REF!&lt;=10, "Medium Calls", "High Calls"))</f>
        <v>#REF!</v>
      </c>
      <c r="AF396" t="e">
        <f xml:space="preserve">
IF(#REF!&gt;=4,4,0)+
IF(#REF!="yes",3,0)+
IF(#REF!="High Charges",3,0)+
IF(#REF!&gt;250,4,0)+
IF(#REF!="no",1,0)+
IF(#REF!="Heavy Domestic User",2,0)</f>
        <v>#REF!</v>
      </c>
      <c r="AG396" t="e">
        <f>IF(#REF!&gt;=10,"High Risk", IF(#REF!&gt;=5,"Medium Risk","Low Risk"))</f>
        <v>#REF!</v>
      </c>
      <c r="AH396" t="e">
        <f>#REF! + #REF! + #REF! + #REF!</f>
        <v>#REF!</v>
      </c>
    </row>
    <row r="397" spans="1:34" x14ac:dyDescent="0.35">
      <c r="A397">
        <v>396</v>
      </c>
      <c r="B397" t="s">
        <v>42</v>
      </c>
      <c r="C397">
        <v>140</v>
      </c>
      <c r="D397" t="s">
        <v>25</v>
      </c>
      <c r="E397" t="s">
        <v>22</v>
      </c>
      <c r="F397" t="s">
        <v>22</v>
      </c>
      <c r="G397">
        <v>0</v>
      </c>
      <c r="H397">
        <v>149.80000000000001</v>
      </c>
      <c r="I397">
        <v>134</v>
      </c>
      <c r="J397">
        <v>25.47</v>
      </c>
      <c r="K397">
        <v>164.4</v>
      </c>
      <c r="L397">
        <v>98</v>
      </c>
      <c r="M397">
        <v>13.97</v>
      </c>
      <c r="N397">
        <v>294.7</v>
      </c>
      <c r="O397">
        <v>124</v>
      </c>
      <c r="P397">
        <v>13.26</v>
      </c>
      <c r="Q397">
        <v>8.1</v>
      </c>
      <c r="R397">
        <v>2</v>
      </c>
      <c r="S397">
        <v>2.19</v>
      </c>
      <c r="T397">
        <v>1</v>
      </c>
      <c r="U397" t="s">
        <v>22</v>
      </c>
      <c r="V397" t="e">
        <f>IF(#REF! = "yes", 1, 0)</f>
        <v>#REF!</v>
      </c>
      <c r="W397" t="e">
        <f>IF(#REF! &lt;= 1, "0-1 Calls", IF(#REF! &lt;= 3, "2-3 Calls", IF(#REF! &lt;=5, "4-5 Calls", "6+ Calls")))</f>
        <v>#REF!</v>
      </c>
      <c r="X397" t="e">
        <f>IF(#REF! &lt;= 50, "0-50", IF(#REF! &lt;=100, "51-100", IF(#REF! &lt;= 150, "101-150", "151+")))</f>
        <v>#REF!</v>
      </c>
      <c r="Y397" t="e">
        <f>IF(#REF! &lt;= 3, "Low Charges", "High Charges")</f>
        <v>#REF!</v>
      </c>
      <c r="Z397" t="e">
        <f>IF(#REF!&lt;=80,"Low Calls",
IF(#REF!&lt;=120,"Medium Calls","High Calls"))</f>
        <v>#REF!</v>
      </c>
      <c r="AA397" t="e">
        <f>IF(#REF!&lt;=15,"Low Charges",
IF(#REF!&lt;=20,"Medium Charges","High Charges"))</f>
        <v>#REF!</v>
      </c>
      <c r="AB397" t="e">
        <f>IF(AND(#REF!&gt;180, #REF!&gt;200), "Heavy Doemstic User", IF(#REF!&gt;10, "Interntional User", IF(AND(#REF!&lt;180, #REF!&lt;200,#REF!&lt;200), "Light User", "Balanced User")))</f>
        <v>#REF!</v>
      </c>
      <c r="AC397" t="e">
        <f>IF(#REF! = 0, "No Usage", IF(#REF! &lt;= 20, "Low Usage", IF(#REF! &lt;= 40, "Medium Usgae", "High Usage")))</f>
        <v>#REF!</v>
      </c>
      <c r="AD397" t="e">
        <f>IF(#REF!&lt;=150,"Low Usage", IF(#REF!&lt;=200,"Medium Usage", IF(#REF!&lt;=250,"High Usage","Very High Usage")))</f>
        <v>#REF!</v>
      </c>
      <c r="AE397" t="e">
        <f>IF(#REF!&lt;=5,"Low Calls", IF(#REF!&lt;=10, "Medium Calls", "High Calls"))</f>
        <v>#REF!</v>
      </c>
      <c r="AF397" t="e">
        <f xml:space="preserve">
IF(#REF!&gt;=4,4,0)+
IF(#REF!="yes",3,0)+
IF(#REF!="High Charges",3,0)+
IF(#REF!&gt;250,4,0)+
IF(#REF!="no",1,0)+
IF(#REF!="Heavy Domestic User",2,0)</f>
        <v>#REF!</v>
      </c>
      <c r="AG397" t="e">
        <f>IF(#REF!&gt;=10,"High Risk", IF(#REF!&gt;=5,"Medium Risk","Low Risk"))</f>
        <v>#REF!</v>
      </c>
      <c r="AH397" t="e">
        <f>#REF! + #REF! + #REF! + #REF!</f>
        <v>#REF!</v>
      </c>
    </row>
    <row r="398" spans="1:34" x14ac:dyDescent="0.35">
      <c r="A398">
        <v>397</v>
      </c>
      <c r="B398" t="s">
        <v>37</v>
      </c>
      <c r="C398">
        <v>99</v>
      </c>
      <c r="D398" t="s">
        <v>25</v>
      </c>
      <c r="E398" t="s">
        <v>22</v>
      </c>
      <c r="F398" t="s">
        <v>22</v>
      </c>
      <c r="G398">
        <v>0</v>
      </c>
      <c r="H398">
        <v>190.4</v>
      </c>
      <c r="I398">
        <v>102</v>
      </c>
      <c r="J398">
        <v>32.369999999999997</v>
      </c>
      <c r="K398">
        <v>158.1</v>
      </c>
      <c r="L398">
        <v>107</v>
      </c>
      <c r="M398">
        <v>13.44</v>
      </c>
      <c r="N398">
        <v>271.5</v>
      </c>
      <c r="O398">
        <v>92</v>
      </c>
      <c r="P398">
        <v>12.22</v>
      </c>
      <c r="Q398">
        <v>11.2</v>
      </c>
      <c r="R398">
        <v>4</v>
      </c>
      <c r="S398">
        <v>3.02</v>
      </c>
      <c r="T398">
        <v>2</v>
      </c>
      <c r="U398" t="s">
        <v>22</v>
      </c>
      <c r="V398" t="e">
        <f>IF(#REF! = "yes", 1, 0)</f>
        <v>#REF!</v>
      </c>
      <c r="W398" t="e">
        <f>IF(#REF! &lt;= 1, "0-1 Calls", IF(#REF! &lt;= 3, "2-3 Calls", IF(#REF! &lt;=5, "4-5 Calls", "6+ Calls")))</f>
        <v>#REF!</v>
      </c>
      <c r="X398" t="e">
        <f>IF(#REF! &lt;= 50, "0-50", IF(#REF! &lt;=100, "51-100", IF(#REF! &lt;= 150, "101-150", "151+")))</f>
        <v>#REF!</v>
      </c>
      <c r="Y398" t="e">
        <f>IF(#REF! &lt;= 3, "Low Charges", "High Charges")</f>
        <v>#REF!</v>
      </c>
      <c r="Z398" t="e">
        <f>IF(#REF!&lt;=80,"Low Calls",
IF(#REF!&lt;=120,"Medium Calls","High Calls"))</f>
        <v>#REF!</v>
      </c>
      <c r="AA398" t="e">
        <f>IF(#REF!&lt;=15,"Low Charges",
IF(#REF!&lt;=20,"Medium Charges","High Charges"))</f>
        <v>#REF!</v>
      </c>
      <c r="AB398" t="e">
        <f>IF(AND(#REF!&gt;180, #REF!&gt;200), "Heavy Doemstic User", IF(#REF!&gt;10, "Interntional User", IF(AND(#REF!&lt;180, #REF!&lt;200,#REF!&lt;200), "Light User", "Balanced User")))</f>
        <v>#REF!</v>
      </c>
      <c r="AC398" t="e">
        <f>IF(#REF! = 0, "No Usage", IF(#REF! &lt;= 20, "Low Usage", IF(#REF! &lt;= 40, "Medium Usgae", "High Usage")))</f>
        <v>#REF!</v>
      </c>
      <c r="AD398" t="e">
        <f>IF(#REF!&lt;=150,"Low Usage", IF(#REF!&lt;=200,"Medium Usage", IF(#REF!&lt;=250,"High Usage","Very High Usage")))</f>
        <v>#REF!</v>
      </c>
      <c r="AE398" t="e">
        <f>IF(#REF!&lt;=5,"Low Calls", IF(#REF!&lt;=10, "Medium Calls", "High Calls"))</f>
        <v>#REF!</v>
      </c>
      <c r="AF398" t="e">
        <f xml:space="preserve">
IF(#REF!&gt;=4,4,0)+
IF(#REF!="yes",3,0)+
IF(#REF!="High Charges",3,0)+
IF(#REF!&gt;250,4,0)+
IF(#REF!="no",1,0)+
IF(#REF!="Heavy Domestic User",2,0)</f>
        <v>#REF!</v>
      </c>
      <c r="AG398" t="e">
        <f>IF(#REF!&gt;=10,"High Risk", IF(#REF!&gt;=5,"Medium Risk","Low Risk"))</f>
        <v>#REF!</v>
      </c>
      <c r="AH398" t="e">
        <f>#REF! + #REF! + #REF! + #REF!</f>
        <v>#REF!</v>
      </c>
    </row>
    <row r="399" spans="1:34" x14ac:dyDescent="0.35">
      <c r="A399">
        <v>398</v>
      </c>
      <c r="B399" t="s">
        <v>45</v>
      </c>
      <c r="C399">
        <v>166</v>
      </c>
      <c r="D399" t="s">
        <v>25</v>
      </c>
      <c r="E399" t="s">
        <v>22</v>
      </c>
      <c r="F399" t="s">
        <v>22</v>
      </c>
      <c r="G399">
        <v>0</v>
      </c>
      <c r="H399">
        <v>181.4</v>
      </c>
      <c r="I399">
        <v>108</v>
      </c>
      <c r="J399">
        <v>30.84</v>
      </c>
      <c r="K399">
        <v>253.8</v>
      </c>
      <c r="L399">
        <v>54</v>
      </c>
      <c r="M399">
        <v>21.57</v>
      </c>
      <c r="N399">
        <v>112.3</v>
      </c>
      <c r="O399">
        <v>94</v>
      </c>
      <c r="P399">
        <v>5.05</v>
      </c>
      <c r="Q399">
        <v>11.6</v>
      </c>
      <c r="R399">
        <v>6</v>
      </c>
      <c r="S399">
        <v>3.13</v>
      </c>
      <c r="T399">
        <v>1</v>
      </c>
      <c r="U399" t="s">
        <v>22</v>
      </c>
      <c r="V399" t="e">
        <f>IF(#REF! = "yes", 1, 0)</f>
        <v>#REF!</v>
      </c>
      <c r="W399" t="e">
        <f>IF(#REF! &lt;= 1, "0-1 Calls", IF(#REF! &lt;= 3, "2-3 Calls", IF(#REF! &lt;=5, "4-5 Calls", "6+ Calls")))</f>
        <v>#REF!</v>
      </c>
      <c r="X399" t="e">
        <f>IF(#REF! &lt;= 50, "0-50", IF(#REF! &lt;=100, "51-100", IF(#REF! &lt;= 150, "101-150", "151+")))</f>
        <v>#REF!</v>
      </c>
      <c r="Y399" t="e">
        <f>IF(#REF! &lt;= 3, "Low Charges", "High Charges")</f>
        <v>#REF!</v>
      </c>
      <c r="Z399" t="e">
        <f>IF(#REF!&lt;=80,"Low Calls",
IF(#REF!&lt;=120,"Medium Calls","High Calls"))</f>
        <v>#REF!</v>
      </c>
      <c r="AA399" t="e">
        <f>IF(#REF!&lt;=15,"Low Charges",
IF(#REF!&lt;=20,"Medium Charges","High Charges"))</f>
        <v>#REF!</v>
      </c>
      <c r="AB399" t="e">
        <f>IF(AND(#REF!&gt;180, #REF!&gt;200), "Heavy Doemstic User", IF(#REF!&gt;10, "Interntional User", IF(AND(#REF!&lt;180, #REF!&lt;200,#REF!&lt;200), "Light User", "Balanced User")))</f>
        <v>#REF!</v>
      </c>
      <c r="AC399" t="e">
        <f>IF(#REF! = 0, "No Usage", IF(#REF! &lt;= 20, "Low Usage", IF(#REF! &lt;= 40, "Medium Usgae", "High Usage")))</f>
        <v>#REF!</v>
      </c>
      <c r="AD399" t="e">
        <f>IF(#REF!&lt;=150,"Low Usage", IF(#REF!&lt;=200,"Medium Usage", IF(#REF!&lt;=250,"High Usage","Very High Usage")))</f>
        <v>#REF!</v>
      </c>
      <c r="AE399" t="e">
        <f>IF(#REF!&lt;=5,"Low Calls", IF(#REF!&lt;=10, "Medium Calls", "High Calls"))</f>
        <v>#REF!</v>
      </c>
      <c r="AF399" t="e">
        <f xml:space="preserve">
IF(#REF!&gt;=4,4,0)+
IF(#REF!="yes",3,0)+
IF(#REF!="High Charges",3,0)+
IF(#REF!&gt;250,4,0)+
IF(#REF!="no",1,0)+
IF(#REF!="Heavy Domestic User",2,0)</f>
        <v>#REF!</v>
      </c>
      <c r="AG399" t="e">
        <f>IF(#REF!&gt;=10,"High Risk", IF(#REF!&gt;=5,"Medium Risk","Low Risk"))</f>
        <v>#REF!</v>
      </c>
      <c r="AH399" t="e">
        <f>#REF! + #REF! + #REF! + #REF!</f>
        <v>#REF!</v>
      </c>
    </row>
    <row r="400" spans="1:34" x14ac:dyDescent="0.35">
      <c r="A400">
        <v>399</v>
      </c>
      <c r="B400" t="s">
        <v>62</v>
      </c>
      <c r="C400">
        <v>124</v>
      </c>
      <c r="D400" t="s">
        <v>25</v>
      </c>
      <c r="E400" t="s">
        <v>22</v>
      </c>
      <c r="F400" t="s">
        <v>22</v>
      </c>
      <c r="G400">
        <v>0</v>
      </c>
      <c r="H400">
        <v>151.1</v>
      </c>
      <c r="I400">
        <v>123</v>
      </c>
      <c r="J400">
        <v>25.69</v>
      </c>
      <c r="K400">
        <v>187.4</v>
      </c>
      <c r="L400">
        <v>104</v>
      </c>
      <c r="M400">
        <v>15.93</v>
      </c>
      <c r="N400">
        <v>255.4</v>
      </c>
      <c r="O400">
        <v>93</v>
      </c>
      <c r="P400">
        <v>11.49</v>
      </c>
      <c r="Q400">
        <v>5.3</v>
      </c>
      <c r="R400">
        <v>3</v>
      </c>
      <c r="S400">
        <v>1.43</v>
      </c>
      <c r="T400">
        <v>1</v>
      </c>
      <c r="U400" t="s">
        <v>22</v>
      </c>
      <c r="V400" t="e">
        <f>IF(#REF! = "yes", 1, 0)</f>
        <v>#REF!</v>
      </c>
      <c r="W400" t="e">
        <f>IF(#REF! &lt;= 1, "0-1 Calls", IF(#REF! &lt;= 3, "2-3 Calls", IF(#REF! &lt;=5, "4-5 Calls", "6+ Calls")))</f>
        <v>#REF!</v>
      </c>
      <c r="X400" t="e">
        <f>IF(#REF! &lt;= 50, "0-50", IF(#REF! &lt;=100, "51-100", IF(#REF! &lt;= 150, "101-150", "151+")))</f>
        <v>#REF!</v>
      </c>
      <c r="Y400" t="e">
        <f>IF(#REF! &lt;= 3, "Low Charges", "High Charges")</f>
        <v>#REF!</v>
      </c>
      <c r="Z400" t="e">
        <f>IF(#REF!&lt;=80,"Low Calls",
IF(#REF!&lt;=120,"Medium Calls","High Calls"))</f>
        <v>#REF!</v>
      </c>
      <c r="AA400" t="e">
        <f>IF(#REF!&lt;=15,"Low Charges",
IF(#REF!&lt;=20,"Medium Charges","High Charges"))</f>
        <v>#REF!</v>
      </c>
      <c r="AB400" t="e">
        <f>IF(AND(#REF!&gt;180, #REF!&gt;200), "Heavy Doemstic User", IF(#REF!&gt;10, "Interntional User", IF(AND(#REF!&lt;180, #REF!&lt;200,#REF!&lt;200), "Light User", "Balanced User")))</f>
        <v>#REF!</v>
      </c>
      <c r="AC400" t="e">
        <f>IF(#REF! = 0, "No Usage", IF(#REF! &lt;= 20, "Low Usage", IF(#REF! &lt;= 40, "Medium Usgae", "High Usage")))</f>
        <v>#REF!</v>
      </c>
      <c r="AD400" t="e">
        <f>IF(#REF!&lt;=150,"Low Usage", IF(#REF!&lt;=200,"Medium Usage", IF(#REF!&lt;=250,"High Usage","Very High Usage")))</f>
        <v>#REF!</v>
      </c>
      <c r="AE400" t="e">
        <f>IF(#REF!&lt;=5,"Low Calls", IF(#REF!&lt;=10, "Medium Calls", "High Calls"))</f>
        <v>#REF!</v>
      </c>
      <c r="AF400" t="e">
        <f xml:space="preserve">
IF(#REF!&gt;=4,4,0)+
IF(#REF!="yes",3,0)+
IF(#REF!="High Charges",3,0)+
IF(#REF!&gt;250,4,0)+
IF(#REF!="no",1,0)+
IF(#REF!="Heavy Domestic User",2,0)</f>
        <v>#REF!</v>
      </c>
      <c r="AG400" t="e">
        <f>IF(#REF!&gt;=10,"High Risk", IF(#REF!&gt;=5,"Medium Risk","Low Risk"))</f>
        <v>#REF!</v>
      </c>
      <c r="AH400" t="e">
        <f>#REF! + #REF! + #REF! + #REF!</f>
        <v>#REF!</v>
      </c>
    </row>
    <row r="401" spans="1:34" x14ac:dyDescent="0.35">
      <c r="A401">
        <v>400</v>
      </c>
      <c r="B401" t="s">
        <v>49</v>
      </c>
      <c r="C401">
        <v>74</v>
      </c>
      <c r="D401" t="s">
        <v>21</v>
      </c>
      <c r="E401" t="s">
        <v>22</v>
      </c>
      <c r="F401" t="s">
        <v>22</v>
      </c>
      <c r="G401">
        <v>0</v>
      </c>
      <c r="H401">
        <v>155.69999999999999</v>
      </c>
      <c r="I401">
        <v>116</v>
      </c>
      <c r="J401">
        <v>26.47</v>
      </c>
      <c r="K401">
        <v>173.7</v>
      </c>
      <c r="L401">
        <v>63</v>
      </c>
      <c r="M401">
        <v>14.76</v>
      </c>
      <c r="N401">
        <v>257.39999999999998</v>
      </c>
      <c r="O401">
        <v>97</v>
      </c>
      <c r="P401">
        <v>11.58</v>
      </c>
      <c r="Q401">
        <v>8.1</v>
      </c>
      <c r="R401">
        <v>4</v>
      </c>
      <c r="S401">
        <v>2.19</v>
      </c>
      <c r="T401">
        <v>0</v>
      </c>
      <c r="U401" t="s">
        <v>22</v>
      </c>
      <c r="V401" t="e">
        <f>IF(#REF! = "yes", 1, 0)</f>
        <v>#REF!</v>
      </c>
      <c r="W401" t="e">
        <f>IF(#REF! &lt;= 1, "0-1 Calls", IF(#REF! &lt;= 3, "2-3 Calls", IF(#REF! &lt;=5, "4-5 Calls", "6+ Calls")))</f>
        <v>#REF!</v>
      </c>
      <c r="X401" t="e">
        <f>IF(#REF! &lt;= 50, "0-50", IF(#REF! &lt;=100, "51-100", IF(#REF! &lt;= 150, "101-150", "151+")))</f>
        <v>#REF!</v>
      </c>
      <c r="Y401" t="e">
        <f>IF(#REF! &lt;= 3, "Low Charges", "High Charges")</f>
        <v>#REF!</v>
      </c>
      <c r="Z401" t="e">
        <f>IF(#REF!&lt;=80,"Low Calls",
IF(#REF!&lt;=120,"Medium Calls","High Calls"))</f>
        <v>#REF!</v>
      </c>
      <c r="AA401" t="e">
        <f>IF(#REF!&lt;=15,"Low Charges",
IF(#REF!&lt;=20,"Medium Charges","High Charges"))</f>
        <v>#REF!</v>
      </c>
      <c r="AB401" t="e">
        <f>IF(AND(#REF!&gt;180, #REF!&gt;200), "Heavy Doemstic User", IF(#REF!&gt;10, "Interntional User", IF(AND(#REF!&lt;180, #REF!&lt;200,#REF!&lt;200), "Light User", "Balanced User")))</f>
        <v>#REF!</v>
      </c>
      <c r="AC401" t="e">
        <f>IF(#REF! = 0, "No Usage", IF(#REF! &lt;= 20, "Low Usage", IF(#REF! &lt;= 40, "Medium Usgae", "High Usage")))</f>
        <v>#REF!</v>
      </c>
      <c r="AD401" t="e">
        <f>IF(#REF!&lt;=150,"Low Usage", IF(#REF!&lt;=200,"Medium Usage", IF(#REF!&lt;=250,"High Usage","Very High Usage")))</f>
        <v>#REF!</v>
      </c>
      <c r="AE401" t="e">
        <f>IF(#REF!&lt;=5,"Low Calls", IF(#REF!&lt;=10, "Medium Calls", "High Calls"))</f>
        <v>#REF!</v>
      </c>
      <c r="AF401" t="e">
        <f xml:space="preserve">
IF(#REF!&gt;=4,4,0)+
IF(#REF!="yes",3,0)+
IF(#REF!="High Charges",3,0)+
IF(#REF!&gt;250,4,0)+
IF(#REF!="no",1,0)+
IF(#REF!="Heavy Domestic User",2,0)</f>
        <v>#REF!</v>
      </c>
      <c r="AG401" t="e">
        <f>IF(#REF!&gt;=10,"High Risk", IF(#REF!&gt;=5,"Medium Risk","Low Risk"))</f>
        <v>#REF!</v>
      </c>
      <c r="AH401" t="e">
        <f>#REF! + #REF! + #REF! + #REF!</f>
        <v>#REF!</v>
      </c>
    </row>
    <row r="402" spans="1:34" x14ac:dyDescent="0.35">
      <c r="A402">
        <v>401</v>
      </c>
      <c r="B402" t="s">
        <v>48</v>
      </c>
      <c r="C402">
        <v>117</v>
      </c>
      <c r="D402" t="s">
        <v>28</v>
      </c>
      <c r="E402" t="s">
        <v>22</v>
      </c>
      <c r="F402" t="s">
        <v>22</v>
      </c>
      <c r="G402">
        <v>0</v>
      </c>
      <c r="H402">
        <v>149.9</v>
      </c>
      <c r="I402">
        <v>95</v>
      </c>
      <c r="J402">
        <v>25.48</v>
      </c>
      <c r="K402">
        <v>256.10000000000002</v>
      </c>
      <c r="L402">
        <v>110</v>
      </c>
      <c r="M402">
        <v>21.77</v>
      </c>
      <c r="N402">
        <v>212.7</v>
      </c>
      <c r="O402">
        <v>92</v>
      </c>
      <c r="P402">
        <v>9.57</v>
      </c>
      <c r="Q402">
        <v>13.3</v>
      </c>
      <c r="R402">
        <v>13</v>
      </c>
      <c r="S402">
        <v>3.59</v>
      </c>
      <c r="T402">
        <v>2</v>
      </c>
      <c r="U402" t="s">
        <v>22</v>
      </c>
      <c r="V402" t="e">
        <f>IF(#REF! = "yes", 1, 0)</f>
        <v>#REF!</v>
      </c>
      <c r="W402" t="e">
        <f>IF(#REF! &lt;= 1, "0-1 Calls", IF(#REF! &lt;= 3, "2-3 Calls", IF(#REF! &lt;=5, "4-5 Calls", "6+ Calls")))</f>
        <v>#REF!</v>
      </c>
      <c r="X402" t="e">
        <f>IF(#REF! &lt;= 50, "0-50", IF(#REF! &lt;=100, "51-100", IF(#REF! &lt;= 150, "101-150", "151+")))</f>
        <v>#REF!</v>
      </c>
      <c r="Y402" t="e">
        <f>IF(#REF! &lt;= 3, "Low Charges", "High Charges")</f>
        <v>#REF!</v>
      </c>
      <c r="Z402" t="e">
        <f>IF(#REF!&lt;=80,"Low Calls",
IF(#REF!&lt;=120,"Medium Calls","High Calls"))</f>
        <v>#REF!</v>
      </c>
      <c r="AA402" t="e">
        <f>IF(#REF!&lt;=15,"Low Charges",
IF(#REF!&lt;=20,"Medium Charges","High Charges"))</f>
        <v>#REF!</v>
      </c>
      <c r="AB402" t="e">
        <f>IF(AND(#REF!&gt;180, #REF!&gt;200), "Heavy Doemstic User", IF(#REF!&gt;10, "Interntional User", IF(AND(#REF!&lt;180, #REF!&lt;200,#REF!&lt;200), "Light User", "Balanced User")))</f>
        <v>#REF!</v>
      </c>
      <c r="AC402" t="e">
        <f>IF(#REF! = 0, "No Usage", IF(#REF! &lt;= 20, "Low Usage", IF(#REF! &lt;= 40, "Medium Usgae", "High Usage")))</f>
        <v>#REF!</v>
      </c>
      <c r="AD402" t="e">
        <f>IF(#REF!&lt;=150,"Low Usage", IF(#REF!&lt;=200,"Medium Usage", IF(#REF!&lt;=250,"High Usage","Very High Usage")))</f>
        <v>#REF!</v>
      </c>
      <c r="AE402" t="e">
        <f>IF(#REF!&lt;=5,"Low Calls", IF(#REF!&lt;=10, "Medium Calls", "High Calls"))</f>
        <v>#REF!</v>
      </c>
      <c r="AF402" t="e">
        <f xml:space="preserve">
IF(#REF!&gt;=4,4,0)+
IF(#REF!="yes",3,0)+
IF(#REF!="High Charges",3,0)+
IF(#REF!&gt;250,4,0)+
IF(#REF!="no",1,0)+
IF(#REF!="Heavy Domestic User",2,0)</f>
        <v>#REF!</v>
      </c>
      <c r="AG402" t="e">
        <f>IF(#REF!&gt;=10,"High Risk", IF(#REF!&gt;=5,"Medium Risk","Low Risk"))</f>
        <v>#REF!</v>
      </c>
      <c r="AH402" t="e">
        <f>#REF! + #REF! + #REF! + #REF!</f>
        <v>#REF!</v>
      </c>
    </row>
    <row r="403" spans="1:34" x14ac:dyDescent="0.35">
      <c r="A403">
        <v>402</v>
      </c>
      <c r="B403" t="s">
        <v>48</v>
      </c>
      <c r="C403">
        <v>85</v>
      </c>
      <c r="D403" t="s">
        <v>28</v>
      </c>
      <c r="E403" t="s">
        <v>22</v>
      </c>
      <c r="F403" t="s">
        <v>22</v>
      </c>
      <c r="G403">
        <v>0</v>
      </c>
      <c r="H403">
        <v>222.3</v>
      </c>
      <c r="I403">
        <v>132</v>
      </c>
      <c r="J403">
        <v>37.79</v>
      </c>
      <c r="K403">
        <v>231.5</v>
      </c>
      <c r="L403">
        <v>101</v>
      </c>
      <c r="M403">
        <v>19.68</v>
      </c>
      <c r="N403">
        <v>223.5</v>
      </c>
      <c r="O403">
        <v>75</v>
      </c>
      <c r="P403">
        <v>10.06</v>
      </c>
      <c r="Q403">
        <v>11</v>
      </c>
      <c r="R403">
        <v>2</v>
      </c>
      <c r="S403">
        <v>2.97</v>
      </c>
      <c r="T403">
        <v>3</v>
      </c>
      <c r="U403" t="s">
        <v>22</v>
      </c>
      <c r="V403" t="e">
        <f>IF(#REF! = "yes", 1, 0)</f>
        <v>#REF!</v>
      </c>
      <c r="W403" t="e">
        <f>IF(#REF! &lt;= 1, "0-1 Calls", IF(#REF! &lt;= 3, "2-3 Calls", IF(#REF! &lt;=5, "4-5 Calls", "6+ Calls")))</f>
        <v>#REF!</v>
      </c>
      <c r="X403" t="e">
        <f>IF(#REF! &lt;= 50, "0-50", IF(#REF! &lt;=100, "51-100", IF(#REF! &lt;= 150, "101-150", "151+")))</f>
        <v>#REF!</v>
      </c>
      <c r="Y403" t="e">
        <f>IF(#REF! &lt;= 3, "Low Charges", "High Charges")</f>
        <v>#REF!</v>
      </c>
      <c r="Z403" t="e">
        <f>IF(#REF!&lt;=80,"Low Calls",
IF(#REF!&lt;=120,"Medium Calls","High Calls"))</f>
        <v>#REF!</v>
      </c>
      <c r="AA403" t="e">
        <f>IF(#REF!&lt;=15,"Low Charges",
IF(#REF!&lt;=20,"Medium Charges","High Charges"))</f>
        <v>#REF!</v>
      </c>
      <c r="AB403" t="e">
        <f>IF(AND(#REF!&gt;180, #REF!&gt;200), "Heavy Doemstic User", IF(#REF!&gt;10, "Interntional User", IF(AND(#REF!&lt;180, #REF!&lt;200,#REF!&lt;200), "Light User", "Balanced User")))</f>
        <v>#REF!</v>
      </c>
      <c r="AC403" t="e">
        <f>IF(#REF! = 0, "No Usage", IF(#REF! &lt;= 20, "Low Usage", IF(#REF! &lt;= 40, "Medium Usgae", "High Usage")))</f>
        <v>#REF!</v>
      </c>
      <c r="AD403" t="e">
        <f>IF(#REF!&lt;=150,"Low Usage", IF(#REF!&lt;=200,"Medium Usage", IF(#REF!&lt;=250,"High Usage","Very High Usage")))</f>
        <v>#REF!</v>
      </c>
      <c r="AE403" t="e">
        <f>IF(#REF!&lt;=5,"Low Calls", IF(#REF!&lt;=10, "Medium Calls", "High Calls"))</f>
        <v>#REF!</v>
      </c>
      <c r="AF403" t="e">
        <f xml:space="preserve">
IF(#REF!&gt;=4,4,0)+
IF(#REF!="yes",3,0)+
IF(#REF!="High Charges",3,0)+
IF(#REF!&gt;250,4,0)+
IF(#REF!="no",1,0)+
IF(#REF!="Heavy Domestic User",2,0)</f>
        <v>#REF!</v>
      </c>
      <c r="AG403" t="e">
        <f>IF(#REF!&gt;=10,"High Risk", IF(#REF!&gt;=5,"Medium Risk","Low Risk"))</f>
        <v>#REF!</v>
      </c>
      <c r="AH403" t="e">
        <f>#REF! + #REF! + #REF! + #REF!</f>
        <v>#REF!</v>
      </c>
    </row>
    <row r="404" spans="1:34" x14ac:dyDescent="0.35">
      <c r="A404">
        <v>403</v>
      </c>
      <c r="B404" t="s">
        <v>55</v>
      </c>
      <c r="C404">
        <v>36</v>
      </c>
      <c r="D404" t="s">
        <v>21</v>
      </c>
      <c r="E404" t="s">
        <v>22</v>
      </c>
      <c r="F404" t="s">
        <v>23</v>
      </c>
      <c r="G404">
        <v>16</v>
      </c>
      <c r="H404">
        <v>149.4</v>
      </c>
      <c r="I404">
        <v>111</v>
      </c>
      <c r="J404">
        <v>25.4</v>
      </c>
      <c r="K404">
        <v>131.80000000000001</v>
      </c>
      <c r="L404">
        <v>113</v>
      </c>
      <c r="M404">
        <v>11.2</v>
      </c>
      <c r="N404">
        <v>132.69999999999999</v>
      </c>
      <c r="O404">
        <v>87</v>
      </c>
      <c r="P404">
        <v>5.97</v>
      </c>
      <c r="Q404">
        <v>6.7</v>
      </c>
      <c r="R404">
        <v>2</v>
      </c>
      <c r="S404">
        <v>1.81</v>
      </c>
      <c r="T404">
        <v>0</v>
      </c>
      <c r="U404" t="s">
        <v>22</v>
      </c>
      <c r="V404" t="e">
        <f>IF(#REF! = "yes", 1, 0)</f>
        <v>#REF!</v>
      </c>
      <c r="W404" t="e">
        <f>IF(#REF! &lt;= 1, "0-1 Calls", IF(#REF! &lt;= 3, "2-3 Calls", IF(#REF! &lt;=5, "4-5 Calls", "6+ Calls")))</f>
        <v>#REF!</v>
      </c>
      <c r="X404" t="e">
        <f>IF(#REF! &lt;= 50, "0-50", IF(#REF! &lt;=100, "51-100", IF(#REF! &lt;= 150, "101-150", "151+")))</f>
        <v>#REF!</v>
      </c>
      <c r="Y404" t="e">
        <f>IF(#REF! &lt;= 3, "Low Charges", "High Charges")</f>
        <v>#REF!</v>
      </c>
      <c r="Z404" t="e">
        <f>IF(#REF!&lt;=80,"Low Calls",
IF(#REF!&lt;=120,"Medium Calls","High Calls"))</f>
        <v>#REF!</v>
      </c>
      <c r="AA404" t="e">
        <f>IF(#REF!&lt;=15,"Low Charges",
IF(#REF!&lt;=20,"Medium Charges","High Charges"))</f>
        <v>#REF!</v>
      </c>
      <c r="AB404" t="e">
        <f>IF(AND(#REF!&gt;180, #REF!&gt;200), "Heavy Doemstic User", IF(#REF!&gt;10, "Interntional User", IF(AND(#REF!&lt;180, #REF!&lt;200,#REF!&lt;200), "Light User", "Balanced User")))</f>
        <v>#REF!</v>
      </c>
      <c r="AC404" t="e">
        <f>IF(#REF! = 0, "No Usage", IF(#REF! &lt;= 20, "Low Usage", IF(#REF! &lt;= 40, "Medium Usgae", "High Usage")))</f>
        <v>#REF!</v>
      </c>
      <c r="AD404" t="e">
        <f>IF(#REF!&lt;=150,"Low Usage", IF(#REF!&lt;=200,"Medium Usage", IF(#REF!&lt;=250,"High Usage","Very High Usage")))</f>
        <v>#REF!</v>
      </c>
      <c r="AE404" t="e">
        <f>IF(#REF!&lt;=5,"Low Calls", IF(#REF!&lt;=10, "Medium Calls", "High Calls"))</f>
        <v>#REF!</v>
      </c>
      <c r="AF404" t="e">
        <f xml:space="preserve">
IF(#REF!&gt;=4,4,0)+
IF(#REF!="yes",3,0)+
IF(#REF!="High Charges",3,0)+
IF(#REF!&gt;250,4,0)+
IF(#REF!="no",1,0)+
IF(#REF!="Heavy Domestic User",2,0)</f>
        <v>#REF!</v>
      </c>
      <c r="AG404" t="e">
        <f>IF(#REF!&gt;=10,"High Risk", IF(#REF!&gt;=5,"Medium Risk","Low Risk"))</f>
        <v>#REF!</v>
      </c>
      <c r="AH404" t="e">
        <f>#REF! + #REF! + #REF! + #REF!</f>
        <v>#REF!</v>
      </c>
    </row>
    <row r="405" spans="1:34" x14ac:dyDescent="0.35">
      <c r="A405">
        <v>404</v>
      </c>
      <c r="B405" t="s">
        <v>27</v>
      </c>
      <c r="C405">
        <v>102</v>
      </c>
      <c r="D405" t="s">
        <v>28</v>
      </c>
      <c r="E405" t="s">
        <v>23</v>
      </c>
      <c r="F405" t="s">
        <v>22</v>
      </c>
      <c r="G405">
        <v>0</v>
      </c>
      <c r="H405">
        <v>233.8</v>
      </c>
      <c r="I405">
        <v>103</v>
      </c>
      <c r="J405">
        <v>39.75</v>
      </c>
      <c r="K405">
        <v>221.6</v>
      </c>
      <c r="L405">
        <v>131</v>
      </c>
      <c r="M405">
        <v>18.84</v>
      </c>
      <c r="N405">
        <v>146.9</v>
      </c>
      <c r="O405">
        <v>106</v>
      </c>
      <c r="P405">
        <v>6.61</v>
      </c>
      <c r="Q405">
        <v>12.8</v>
      </c>
      <c r="R405">
        <v>3</v>
      </c>
      <c r="S405">
        <v>3.46</v>
      </c>
      <c r="T405">
        <v>0</v>
      </c>
      <c r="U405" t="s">
        <v>22</v>
      </c>
      <c r="V405" t="e">
        <f>IF(#REF! = "yes", 1, 0)</f>
        <v>#REF!</v>
      </c>
      <c r="W405" t="e">
        <f>IF(#REF! &lt;= 1, "0-1 Calls", IF(#REF! &lt;= 3, "2-3 Calls", IF(#REF! &lt;=5, "4-5 Calls", "6+ Calls")))</f>
        <v>#REF!</v>
      </c>
      <c r="X405" t="e">
        <f>IF(#REF! &lt;= 50, "0-50", IF(#REF! &lt;=100, "51-100", IF(#REF! &lt;= 150, "101-150", "151+")))</f>
        <v>#REF!</v>
      </c>
      <c r="Y405" t="e">
        <f>IF(#REF! &lt;= 3, "Low Charges", "High Charges")</f>
        <v>#REF!</v>
      </c>
      <c r="Z405" t="e">
        <f>IF(#REF!&lt;=80,"Low Calls",
IF(#REF!&lt;=120,"Medium Calls","High Calls"))</f>
        <v>#REF!</v>
      </c>
      <c r="AA405" t="e">
        <f>IF(#REF!&lt;=15,"Low Charges",
IF(#REF!&lt;=20,"Medium Charges","High Charges"))</f>
        <v>#REF!</v>
      </c>
      <c r="AB405" t="e">
        <f>IF(AND(#REF!&gt;180, #REF!&gt;200), "Heavy Doemstic User", IF(#REF!&gt;10, "Interntional User", IF(AND(#REF!&lt;180, #REF!&lt;200,#REF!&lt;200), "Light User", "Balanced User")))</f>
        <v>#REF!</v>
      </c>
      <c r="AC405" t="e">
        <f>IF(#REF! = 0, "No Usage", IF(#REF! &lt;= 20, "Low Usage", IF(#REF! &lt;= 40, "Medium Usgae", "High Usage")))</f>
        <v>#REF!</v>
      </c>
      <c r="AD405" t="e">
        <f>IF(#REF!&lt;=150,"Low Usage", IF(#REF!&lt;=200,"Medium Usage", IF(#REF!&lt;=250,"High Usage","Very High Usage")))</f>
        <v>#REF!</v>
      </c>
      <c r="AE405" t="e">
        <f>IF(#REF!&lt;=5,"Low Calls", IF(#REF!&lt;=10, "Medium Calls", "High Calls"))</f>
        <v>#REF!</v>
      </c>
      <c r="AF405" t="e">
        <f xml:space="preserve">
IF(#REF!&gt;=4,4,0)+
IF(#REF!="yes",3,0)+
IF(#REF!="High Charges",3,0)+
IF(#REF!&gt;250,4,0)+
IF(#REF!="no",1,0)+
IF(#REF!="Heavy Domestic User",2,0)</f>
        <v>#REF!</v>
      </c>
      <c r="AG405" t="e">
        <f>IF(#REF!&gt;=10,"High Risk", IF(#REF!&gt;=5,"Medium Risk","Low Risk"))</f>
        <v>#REF!</v>
      </c>
      <c r="AH405" t="e">
        <f>#REF! + #REF! + #REF! + #REF!</f>
        <v>#REF!</v>
      </c>
    </row>
    <row r="406" spans="1:34" x14ac:dyDescent="0.35">
      <c r="A406">
        <v>405</v>
      </c>
      <c r="B406" t="s">
        <v>32</v>
      </c>
      <c r="C406">
        <v>76</v>
      </c>
      <c r="D406" t="s">
        <v>21</v>
      </c>
      <c r="E406" t="s">
        <v>22</v>
      </c>
      <c r="F406" t="s">
        <v>22</v>
      </c>
      <c r="G406">
        <v>0</v>
      </c>
      <c r="H406">
        <v>204.2</v>
      </c>
      <c r="I406">
        <v>100</v>
      </c>
      <c r="J406">
        <v>34.71</v>
      </c>
      <c r="K406">
        <v>292.60000000000002</v>
      </c>
      <c r="L406">
        <v>139</v>
      </c>
      <c r="M406">
        <v>24.87</v>
      </c>
      <c r="N406">
        <v>244.3</v>
      </c>
      <c r="O406">
        <v>105</v>
      </c>
      <c r="P406">
        <v>10.99</v>
      </c>
      <c r="Q406">
        <v>10.5</v>
      </c>
      <c r="R406">
        <v>2</v>
      </c>
      <c r="S406">
        <v>2.84</v>
      </c>
      <c r="T406">
        <v>0</v>
      </c>
      <c r="U406" t="s">
        <v>22</v>
      </c>
      <c r="V406" t="e">
        <f>IF(#REF! = "yes", 1, 0)</f>
        <v>#REF!</v>
      </c>
      <c r="W406" t="e">
        <f>IF(#REF! &lt;= 1, "0-1 Calls", IF(#REF! &lt;= 3, "2-3 Calls", IF(#REF! &lt;=5, "4-5 Calls", "6+ Calls")))</f>
        <v>#REF!</v>
      </c>
      <c r="X406" t="e">
        <f>IF(#REF! &lt;= 50, "0-50", IF(#REF! &lt;=100, "51-100", IF(#REF! &lt;= 150, "101-150", "151+")))</f>
        <v>#REF!</v>
      </c>
      <c r="Y406" t="e">
        <f>IF(#REF! &lt;= 3, "Low Charges", "High Charges")</f>
        <v>#REF!</v>
      </c>
      <c r="Z406" t="e">
        <f>IF(#REF!&lt;=80,"Low Calls",
IF(#REF!&lt;=120,"Medium Calls","High Calls"))</f>
        <v>#REF!</v>
      </c>
      <c r="AA406" t="e">
        <f>IF(#REF!&lt;=15,"Low Charges",
IF(#REF!&lt;=20,"Medium Charges","High Charges"))</f>
        <v>#REF!</v>
      </c>
      <c r="AB406" t="e">
        <f>IF(AND(#REF!&gt;180, #REF!&gt;200), "Heavy Doemstic User", IF(#REF!&gt;10, "Interntional User", IF(AND(#REF!&lt;180, #REF!&lt;200,#REF!&lt;200), "Light User", "Balanced User")))</f>
        <v>#REF!</v>
      </c>
      <c r="AC406" t="e">
        <f>IF(#REF! = 0, "No Usage", IF(#REF! &lt;= 20, "Low Usage", IF(#REF! &lt;= 40, "Medium Usgae", "High Usage")))</f>
        <v>#REF!</v>
      </c>
      <c r="AD406" t="e">
        <f>IF(#REF!&lt;=150,"Low Usage", IF(#REF!&lt;=200,"Medium Usage", IF(#REF!&lt;=250,"High Usage","Very High Usage")))</f>
        <v>#REF!</v>
      </c>
      <c r="AE406" t="e">
        <f>IF(#REF!&lt;=5,"Low Calls", IF(#REF!&lt;=10, "Medium Calls", "High Calls"))</f>
        <v>#REF!</v>
      </c>
      <c r="AF406" t="e">
        <f xml:space="preserve">
IF(#REF!&gt;=4,4,0)+
IF(#REF!="yes",3,0)+
IF(#REF!="High Charges",3,0)+
IF(#REF!&gt;250,4,0)+
IF(#REF!="no",1,0)+
IF(#REF!="Heavy Domestic User",2,0)</f>
        <v>#REF!</v>
      </c>
      <c r="AG406" t="e">
        <f>IF(#REF!&gt;=10,"High Risk", IF(#REF!&gt;=5,"Medium Risk","Low Risk"))</f>
        <v>#REF!</v>
      </c>
      <c r="AH406" t="e">
        <f>#REF! + #REF! + #REF! + #REF!</f>
        <v>#REF!</v>
      </c>
    </row>
    <row r="407" spans="1:34" x14ac:dyDescent="0.35">
      <c r="A407">
        <v>406</v>
      </c>
      <c r="B407" t="s">
        <v>64</v>
      </c>
      <c r="C407">
        <v>165</v>
      </c>
      <c r="D407" t="s">
        <v>28</v>
      </c>
      <c r="E407" t="s">
        <v>22</v>
      </c>
      <c r="F407" t="s">
        <v>22</v>
      </c>
      <c r="G407">
        <v>0</v>
      </c>
      <c r="H407">
        <v>242.9</v>
      </c>
      <c r="I407">
        <v>126</v>
      </c>
      <c r="J407">
        <v>41.29</v>
      </c>
      <c r="K407">
        <v>209.8</v>
      </c>
      <c r="L407">
        <v>65</v>
      </c>
      <c r="M407">
        <v>17.829999999999998</v>
      </c>
      <c r="N407">
        <v>228.4</v>
      </c>
      <c r="O407">
        <v>126</v>
      </c>
      <c r="P407">
        <v>10.28</v>
      </c>
      <c r="Q407">
        <v>0</v>
      </c>
      <c r="R407">
        <v>0</v>
      </c>
      <c r="S407">
        <v>0</v>
      </c>
      <c r="T407">
        <v>1</v>
      </c>
      <c r="U407" t="s">
        <v>22</v>
      </c>
      <c r="V407" t="e">
        <f>IF(#REF! = "yes", 1, 0)</f>
        <v>#REF!</v>
      </c>
      <c r="W407" t="e">
        <f>IF(#REF! &lt;= 1, "0-1 Calls", IF(#REF! &lt;= 3, "2-3 Calls", IF(#REF! &lt;=5, "4-5 Calls", "6+ Calls")))</f>
        <v>#REF!</v>
      </c>
      <c r="X407" t="e">
        <f>IF(#REF! &lt;= 50, "0-50", IF(#REF! &lt;=100, "51-100", IF(#REF! &lt;= 150, "101-150", "151+")))</f>
        <v>#REF!</v>
      </c>
      <c r="Y407" t="e">
        <f>IF(#REF! &lt;= 3, "Low Charges", "High Charges")</f>
        <v>#REF!</v>
      </c>
      <c r="Z407" t="e">
        <f>IF(#REF!&lt;=80,"Low Calls",
IF(#REF!&lt;=120,"Medium Calls","High Calls"))</f>
        <v>#REF!</v>
      </c>
      <c r="AA407" t="e">
        <f>IF(#REF!&lt;=15,"Low Charges",
IF(#REF!&lt;=20,"Medium Charges","High Charges"))</f>
        <v>#REF!</v>
      </c>
      <c r="AB407" t="e">
        <f>IF(AND(#REF!&gt;180, #REF!&gt;200), "Heavy Doemstic User", IF(#REF!&gt;10, "Interntional User", IF(AND(#REF!&lt;180, #REF!&lt;200,#REF!&lt;200), "Light User", "Balanced User")))</f>
        <v>#REF!</v>
      </c>
      <c r="AC407" t="e">
        <f>IF(#REF! = 0, "No Usage", IF(#REF! &lt;= 20, "Low Usage", IF(#REF! &lt;= 40, "Medium Usgae", "High Usage")))</f>
        <v>#REF!</v>
      </c>
      <c r="AD407" t="e">
        <f>IF(#REF!&lt;=150,"Low Usage", IF(#REF!&lt;=200,"Medium Usage", IF(#REF!&lt;=250,"High Usage","Very High Usage")))</f>
        <v>#REF!</v>
      </c>
      <c r="AE407" t="e">
        <f>IF(#REF!&lt;=5,"Low Calls", IF(#REF!&lt;=10, "Medium Calls", "High Calls"))</f>
        <v>#REF!</v>
      </c>
      <c r="AF407" t="e">
        <f xml:space="preserve">
IF(#REF!&gt;=4,4,0)+
IF(#REF!="yes",3,0)+
IF(#REF!="High Charges",3,0)+
IF(#REF!&gt;250,4,0)+
IF(#REF!="no",1,0)+
IF(#REF!="Heavy Domestic User",2,0)</f>
        <v>#REF!</v>
      </c>
      <c r="AG407" t="e">
        <f>IF(#REF!&gt;=10,"High Risk", IF(#REF!&gt;=5,"Medium Risk","Low Risk"))</f>
        <v>#REF!</v>
      </c>
      <c r="AH407" t="e">
        <f>#REF! + #REF! + #REF! + #REF!</f>
        <v>#REF!</v>
      </c>
    </row>
    <row r="408" spans="1:34" x14ac:dyDescent="0.35">
      <c r="A408">
        <v>407</v>
      </c>
      <c r="B408" t="s">
        <v>34</v>
      </c>
      <c r="C408">
        <v>130</v>
      </c>
      <c r="D408" t="s">
        <v>21</v>
      </c>
      <c r="E408" t="s">
        <v>22</v>
      </c>
      <c r="F408" t="s">
        <v>22</v>
      </c>
      <c r="G408">
        <v>0</v>
      </c>
      <c r="H408">
        <v>150.4</v>
      </c>
      <c r="I408">
        <v>119</v>
      </c>
      <c r="J408">
        <v>25.57</v>
      </c>
      <c r="K408">
        <v>230.5</v>
      </c>
      <c r="L408">
        <v>99</v>
      </c>
      <c r="M408">
        <v>19.59</v>
      </c>
      <c r="N408">
        <v>186.3</v>
      </c>
      <c r="O408">
        <v>76</v>
      </c>
      <c r="P408">
        <v>8.3800000000000008</v>
      </c>
      <c r="Q408">
        <v>12.3</v>
      </c>
      <c r="R408">
        <v>4</v>
      </c>
      <c r="S408">
        <v>3.32</v>
      </c>
      <c r="T408">
        <v>1</v>
      </c>
      <c r="U408" t="s">
        <v>22</v>
      </c>
      <c r="V408" t="e">
        <f>IF(#REF! = "yes", 1, 0)</f>
        <v>#REF!</v>
      </c>
      <c r="W408" t="e">
        <f>IF(#REF! &lt;= 1, "0-1 Calls", IF(#REF! &lt;= 3, "2-3 Calls", IF(#REF! &lt;=5, "4-5 Calls", "6+ Calls")))</f>
        <v>#REF!</v>
      </c>
      <c r="X408" t="e">
        <f>IF(#REF! &lt;= 50, "0-50", IF(#REF! &lt;=100, "51-100", IF(#REF! &lt;= 150, "101-150", "151+")))</f>
        <v>#REF!</v>
      </c>
      <c r="Y408" t="e">
        <f>IF(#REF! &lt;= 3, "Low Charges", "High Charges")</f>
        <v>#REF!</v>
      </c>
      <c r="Z408" t="e">
        <f>IF(#REF!&lt;=80,"Low Calls",
IF(#REF!&lt;=120,"Medium Calls","High Calls"))</f>
        <v>#REF!</v>
      </c>
      <c r="AA408" t="e">
        <f>IF(#REF!&lt;=15,"Low Charges",
IF(#REF!&lt;=20,"Medium Charges","High Charges"))</f>
        <v>#REF!</v>
      </c>
      <c r="AB408" t="e">
        <f>IF(AND(#REF!&gt;180, #REF!&gt;200), "Heavy Doemstic User", IF(#REF!&gt;10, "Interntional User", IF(AND(#REF!&lt;180, #REF!&lt;200,#REF!&lt;200), "Light User", "Balanced User")))</f>
        <v>#REF!</v>
      </c>
      <c r="AC408" t="e">
        <f>IF(#REF! = 0, "No Usage", IF(#REF! &lt;= 20, "Low Usage", IF(#REF! &lt;= 40, "Medium Usgae", "High Usage")))</f>
        <v>#REF!</v>
      </c>
      <c r="AD408" t="e">
        <f>IF(#REF!&lt;=150,"Low Usage", IF(#REF!&lt;=200,"Medium Usage", IF(#REF!&lt;=250,"High Usage","Very High Usage")))</f>
        <v>#REF!</v>
      </c>
      <c r="AE408" t="e">
        <f>IF(#REF!&lt;=5,"Low Calls", IF(#REF!&lt;=10, "Medium Calls", "High Calls"))</f>
        <v>#REF!</v>
      </c>
      <c r="AF408" t="e">
        <f xml:space="preserve">
IF(#REF!&gt;=4,4,0)+
IF(#REF!="yes",3,0)+
IF(#REF!="High Charges",3,0)+
IF(#REF!&gt;250,4,0)+
IF(#REF!="no",1,0)+
IF(#REF!="Heavy Domestic User",2,0)</f>
        <v>#REF!</v>
      </c>
      <c r="AG408" t="e">
        <f>IF(#REF!&gt;=10,"High Risk", IF(#REF!&gt;=5,"Medium Risk","Low Risk"))</f>
        <v>#REF!</v>
      </c>
      <c r="AH408" t="e">
        <f>#REF! + #REF! + #REF! + #REF!</f>
        <v>#REF!</v>
      </c>
    </row>
    <row r="409" spans="1:34" x14ac:dyDescent="0.35">
      <c r="A409">
        <v>408</v>
      </c>
      <c r="B409" t="s">
        <v>68</v>
      </c>
      <c r="C409">
        <v>55</v>
      </c>
      <c r="D409" t="s">
        <v>21</v>
      </c>
      <c r="E409" t="s">
        <v>23</v>
      </c>
      <c r="F409" t="s">
        <v>22</v>
      </c>
      <c r="G409">
        <v>0</v>
      </c>
      <c r="H409">
        <v>191.9</v>
      </c>
      <c r="I409">
        <v>91</v>
      </c>
      <c r="J409">
        <v>32.619999999999997</v>
      </c>
      <c r="K409">
        <v>256.10000000000002</v>
      </c>
      <c r="L409">
        <v>110</v>
      </c>
      <c r="M409">
        <v>21.77</v>
      </c>
      <c r="N409">
        <v>203.7</v>
      </c>
      <c r="O409">
        <v>101</v>
      </c>
      <c r="P409">
        <v>9.17</v>
      </c>
      <c r="Q409">
        <v>14.3</v>
      </c>
      <c r="R409">
        <v>6</v>
      </c>
      <c r="S409">
        <v>3.86</v>
      </c>
      <c r="T409">
        <v>1</v>
      </c>
      <c r="U409" t="s">
        <v>23</v>
      </c>
      <c r="V409" t="e">
        <f>IF(#REF! = "yes", 1, 0)</f>
        <v>#REF!</v>
      </c>
      <c r="W409" t="e">
        <f>IF(#REF! &lt;= 1, "0-1 Calls", IF(#REF! &lt;= 3, "2-3 Calls", IF(#REF! &lt;=5, "4-5 Calls", "6+ Calls")))</f>
        <v>#REF!</v>
      </c>
      <c r="X409" t="e">
        <f>IF(#REF! &lt;= 50, "0-50", IF(#REF! &lt;=100, "51-100", IF(#REF! &lt;= 150, "101-150", "151+")))</f>
        <v>#REF!</v>
      </c>
      <c r="Y409" t="e">
        <f>IF(#REF! &lt;= 3, "Low Charges", "High Charges")</f>
        <v>#REF!</v>
      </c>
      <c r="Z409" t="e">
        <f>IF(#REF!&lt;=80,"Low Calls",
IF(#REF!&lt;=120,"Medium Calls","High Calls"))</f>
        <v>#REF!</v>
      </c>
      <c r="AA409" t="e">
        <f>IF(#REF!&lt;=15,"Low Charges",
IF(#REF!&lt;=20,"Medium Charges","High Charges"))</f>
        <v>#REF!</v>
      </c>
      <c r="AB409" t="e">
        <f>IF(AND(#REF!&gt;180, #REF!&gt;200), "Heavy Doemstic User", IF(#REF!&gt;10, "Interntional User", IF(AND(#REF!&lt;180, #REF!&lt;200,#REF!&lt;200), "Light User", "Balanced User")))</f>
        <v>#REF!</v>
      </c>
      <c r="AC409" t="e">
        <f>IF(#REF! = 0, "No Usage", IF(#REF! &lt;= 20, "Low Usage", IF(#REF! &lt;= 40, "Medium Usgae", "High Usage")))</f>
        <v>#REF!</v>
      </c>
      <c r="AD409" t="e">
        <f>IF(#REF!&lt;=150,"Low Usage", IF(#REF!&lt;=200,"Medium Usage", IF(#REF!&lt;=250,"High Usage","Very High Usage")))</f>
        <v>#REF!</v>
      </c>
      <c r="AE409" t="e">
        <f>IF(#REF!&lt;=5,"Low Calls", IF(#REF!&lt;=10, "Medium Calls", "High Calls"))</f>
        <v>#REF!</v>
      </c>
      <c r="AF409" t="e">
        <f xml:space="preserve">
IF(#REF!&gt;=4,4,0)+
IF(#REF!="yes",3,0)+
IF(#REF!="High Charges",3,0)+
IF(#REF!&gt;250,4,0)+
IF(#REF!="no",1,0)+
IF(#REF!="Heavy Domestic User",2,0)</f>
        <v>#REF!</v>
      </c>
      <c r="AG409" t="e">
        <f>IF(#REF!&gt;=10,"High Risk", IF(#REF!&gt;=5,"Medium Risk","Low Risk"))</f>
        <v>#REF!</v>
      </c>
      <c r="AH409" t="e">
        <f>#REF! + #REF! + #REF! + #REF!</f>
        <v>#REF!</v>
      </c>
    </row>
    <row r="410" spans="1:34" x14ac:dyDescent="0.35">
      <c r="A410">
        <v>409</v>
      </c>
      <c r="B410" t="s">
        <v>66</v>
      </c>
      <c r="C410">
        <v>92</v>
      </c>
      <c r="D410" t="s">
        <v>21</v>
      </c>
      <c r="E410" t="s">
        <v>23</v>
      </c>
      <c r="F410" t="s">
        <v>22</v>
      </c>
      <c r="G410">
        <v>0</v>
      </c>
      <c r="H410">
        <v>130.69999999999999</v>
      </c>
      <c r="I410">
        <v>113</v>
      </c>
      <c r="J410">
        <v>22.22</v>
      </c>
      <c r="K410">
        <v>260.60000000000002</v>
      </c>
      <c r="L410">
        <v>122</v>
      </c>
      <c r="M410">
        <v>22.15</v>
      </c>
      <c r="N410">
        <v>244.2</v>
      </c>
      <c r="O410">
        <v>98</v>
      </c>
      <c r="P410">
        <v>10.99</v>
      </c>
      <c r="Q410">
        <v>9.4</v>
      </c>
      <c r="R410">
        <v>2</v>
      </c>
      <c r="S410">
        <v>2.54</v>
      </c>
      <c r="T410">
        <v>2</v>
      </c>
      <c r="U410" t="s">
        <v>23</v>
      </c>
      <c r="V410" t="e">
        <f>IF(#REF! = "yes", 1, 0)</f>
        <v>#REF!</v>
      </c>
      <c r="W410" t="e">
        <f>IF(#REF! &lt;= 1, "0-1 Calls", IF(#REF! &lt;= 3, "2-3 Calls", IF(#REF! &lt;=5, "4-5 Calls", "6+ Calls")))</f>
        <v>#REF!</v>
      </c>
      <c r="X410" t="e">
        <f>IF(#REF! &lt;= 50, "0-50", IF(#REF! &lt;=100, "51-100", IF(#REF! &lt;= 150, "101-150", "151+")))</f>
        <v>#REF!</v>
      </c>
      <c r="Y410" t="e">
        <f>IF(#REF! &lt;= 3, "Low Charges", "High Charges")</f>
        <v>#REF!</v>
      </c>
      <c r="Z410" t="e">
        <f>IF(#REF!&lt;=80,"Low Calls",
IF(#REF!&lt;=120,"Medium Calls","High Calls"))</f>
        <v>#REF!</v>
      </c>
      <c r="AA410" t="e">
        <f>IF(#REF!&lt;=15,"Low Charges",
IF(#REF!&lt;=20,"Medium Charges","High Charges"))</f>
        <v>#REF!</v>
      </c>
      <c r="AB410" t="e">
        <f>IF(AND(#REF!&gt;180, #REF!&gt;200), "Heavy Doemstic User", IF(#REF!&gt;10, "Interntional User", IF(AND(#REF!&lt;180, #REF!&lt;200,#REF!&lt;200), "Light User", "Balanced User")))</f>
        <v>#REF!</v>
      </c>
      <c r="AC410" t="e">
        <f>IF(#REF! = 0, "No Usage", IF(#REF! &lt;= 20, "Low Usage", IF(#REF! &lt;= 40, "Medium Usgae", "High Usage")))</f>
        <v>#REF!</v>
      </c>
      <c r="AD410" t="e">
        <f>IF(#REF!&lt;=150,"Low Usage", IF(#REF!&lt;=200,"Medium Usage", IF(#REF!&lt;=250,"High Usage","Very High Usage")))</f>
        <v>#REF!</v>
      </c>
      <c r="AE410" t="e">
        <f>IF(#REF!&lt;=5,"Low Calls", IF(#REF!&lt;=10, "Medium Calls", "High Calls"))</f>
        <v>#REF!</v>
      </c>
      <c r="AF410" t="e">
        <f xml:space="preserve">
IF(#REF!&gt;=4,4,0)+
IF(#REF!="yes",3,0)+
IF(#REF!="High Charges",3,0)+
IF(#REF!&gt;250,4,0)+
IF(#REF!="no",1,0)+
IF(#REF!="Heavy Domestic User",2,0)</f>
        <v>#REF!</v>
      </c>
      <c r="AG410" t="e">
        <f>IF(#REF!&gt;=10,"High Risk", IF(#REF!&gt;=5,"Medium Risk","Low Risk"))</f>
        <v>#REF!</v>
      </c>
      <c r="AH410" t="e">
        <f>#REF! + #REF! + #REF! + #REF!</f>
        <v>#REF!</v>
      </c>
    </row>
    <row r="411" spans="1:34" x14ac:dyDescent="0.35">
      <c r="A411">
        <v>410</v>
      </c>
      <c r="B411" t="s">
        <v>33</v>
      </c>
      <c r="C411">
        <v>129</v>
      </c>
      <c r="D411" t="s">
        <v>21</v>
      </c>
      <c r="E411" t="s">
        <v>22</v>
      </c>
      <c r="F411" t="s">
        <v>23</v>
      </c>
      <c r="G411">
        <v>33</v>
      </c>
      <c r="H411">
        <v>119.6</v>
      </c>
      <c r="I411">
        <v>104</v>
      </c>
      <c r="J411">
        <v>20.329999999999998</v>
      </c>
      <c r="K411">
        <v>278.7</v>
      </c>
      <c r="L411">
        <v>88</v>
      </c>
      <c r="M411">
        <v>23.69</v>
      </c>
      <c r="N411">
        <v>263.39999999999998</v>
      </c>
      <c r="O411">
        <v>175</v>
      </c>
      <c r="P411">
        <v>11.85</v>
      </c>
      <c r="Q411">
        <v>5.9</v>
      </c>
      <c r="R411">
        <v>2</v>
      </c>
      <c r="S411">
        <v>1.59</v>
      </c>
      <c r="T411">
        <v>2</v>
      </c>
      <c r="U411" t="s">
        <v>22</v>
      </c>
      <c r="V411" t="e">
        <f>IF(#REF! = "yes", 1, 0)</f>
        <v>#REF!</v>
      </c>
      <c r="W411" t="e">
        <f>IF(#REF! &lt;= 1, "0-1 Calls", IF(#REF! &lt;= 3, "2-3 Calls", IF(#REF! &lt;=5, "4-5 Calls", "6+ Calls")))</f>
        <v>#REF!</v>
      </c>
      <c r="X411" t="e">
        <f>IF(#REF! &lt;= 50, "0-50", IF(#REF! &lt;=100, "51-100", IF(#REF! &lt;= 150, "101-150", "151+")))</f>
        <v>#REF!</v>
      </c>
      <c r="Y411" t="e">
        <f>IF(#REF! &lt;= 3, "Low Charges", "High Charges")</f>
        <v>#REF!</v>
      </c>
      <c r="Z411" t="e">
        <f>IF(#REF!&lt;=80,"Low Calls",
IF(#REF!&lt;=120,"Medium Calls","High Calls"))</f>
        <v>#REF!</v>
      </c>
      <c r="AA411" t="e">
        <f>IF(#REF!&lt;=15,"Low Charges",
IF(#REF!&lt;=20,"Medium Charges","High Charges"))</f>
        <v>#REF!</v>
      </c>
      <c r="AB411" t="e">
        <f>IF(AND(#REF!&gt;180, #REF!&gt;200), "Heavy Doemstic User", IF(#REF!&gt;10, "Interntional User", IF(AND(#REF!&lt;180, #REF!&lt;200,#REF!&lt;200), "Light User", "Balanced User")))</f>
        <v>#REF!</v>
      </c>
      <c r="AC411" t="e">
        <f>IF(#REF! = 0, "No Usage", IF(#REF! &lt;= 20, "Low Usage", IF(#REF! &lt;= 40, "Medium Usgae", "High Usage")))</f>
        <v>#REF!</v>
      </c>
      <c r="AD411" t="e">
        <f>IF(#REF!&lt;=150,"Low Usage", IF(#REF!&lt;=200,"Medium Usage", IF(#REF!&lt;=250,"High Usage","Very High Usage")))</f>
        <v>#REF!</v>
      </c>
      <c r="AE411" t="e">
        <f>IF(#REF!&lt;=5,"Low Calls", IF(#REF!&lt;=10, "Medium Calls", "High Calls"))</f>
        <v>#REF!</v>
      </c>
      <c r="AF411" t="e">
        <f xml:space="preserve">
IF(#REF!&gt;=4,4,0)+
IF(#REF!="yes",3,0)+
IF(#REF!="High Charges",3,0)+
IF(#REF!&gt;250,4,0)+
IF(#REF!="no",1,0)+
IF(#REF!="Heavy Domestic User",2,0)</f>
        <v>#REF!</v>
      </c>
      <c r="AG411" t="e">
        <f>IF(#REF!&gt;=10,"High Risk", IF(#REF!&gt;=5,"Medium Risk","Low Risk"))</f>
        <v>#REF!</v>
      </c>
      <c r="AH411" t="e">
        <f>#REF! + #REF! + #REF! + #REF!</f>
        <v>#REF!</v>
      </c>
    </row>
    <row r="412" spans="1:34" x14ac:dyDescent="0.35">
      <c r="A412">
        <v>411</v>
      </c>
      <c r="B412" t="s">
        <v>49</v>
      </c>
      <c r="C412">
        <v>18</v>
      </c>
      <c r="D412" t="s">
        <v>25</v>
      </c>
      <c r="E412" t="s">
        <v>22</v>
      </c>
      <c r="F412" t="s">
        <v>22</v>
      </c>
      <c r="G412">
        <v>0</v>
      </c>
      <c r="H412">
        <v>273.60000000000002</v>
      </c>
      <c r="I412">
        <v>93</v>
      </c>
      <c r="J412">
        <v>46.51</v>
      </c>
      <c r="K412">
        <v>114.6</v>
      </c>
      <c r="L412">
        <v>116</v>
      </c>
      <c r="M412">
        <v>9.74</v>
      </c>
      <c r="N412">
        <v>250.6</v>
      </c>
      <c r="O412">
        <v>120</v>
      </c>
      <c r="P412">
        <v>11.28</v>
      </c>
      <c r="Q412">
        <v>8.1999999999999993</v>
      </c>
      <c r="R412">
        <v>4</v>
      </c>
      <c r="S412">
        <v>2.21</v>
      </c>
      <c r="T412">
        <v>1</v>
      </c>
      <c r="U412" t="s">
        <v>22</v>
      </c>
      <c r="V412" t="e">
        <f>IF(#REF! = "yes", 1, 0)</f>
        <v>#REF!</v>
      </c>
      <c r="W412" t="e">
        <f>IF(#REF! &lt;= 1, "0-1 Calls", IF(#REF! &lt;= 3, "2-3 Calls", IF(#REF! &lt;=5, "4-5 Calls", "6+ Calls")))</f>
        <v>#REF!</v>
      </c>
      <c r="X412" t="e">
        <f>IF(#REF! &lt;= 50, "0-50", IF(#REF! &lt;=100, "51-100", IF(#REF! &lt;= 150, "101-150", "151+")))</f>
        <v>#REF!</v>
      </c>
      <c r="Y412" t="e">
        <f>IF(#REF! &lt;= 3, "Low Charges", "High Charges")</f>
        <v>#REF!</v>
      </c>
      <c r="Z412" t="e">
        <f>IF(#REF!&lt;=80,"Low Calls",
IF(#REF!&lt;=120,"Medium Calls","High Calls"))</f>
        <v>#REF!</v>
      </c>
      <c r="AA412" t="e">
        <f>IF(#REF!&lt;=15,"Low Charges",
IF(#REF!&lt;=20,"Medium Charges","High Charges"))</f>
        <v>#REF!</v>
      </c>
      <c r="AB412" t="e">
        <f>IF(AND(#REF!&gt;180, #REF!&gt;200), "Heavy Doemstic User", IF(#REF!&gt;10, "Interntional User", IF(AND(#REF!&lt;180, #REF!&lt;200,#REF!&lt;200), "Light User", "Balanced User")))</f>
        <v>#REF!</v>
      </c>
      <c r="AC412" t="e">
        <f>IF(#REF! = 0, "No Usage", IF(#REF! &lt;= 20, "Low Usage", IF(#REF! &lt;= 40, "Medium Usgae", "High Usage")))</f>
        <v>#REF!</v>
      </c>
      <c r="AD412" t="e">
        <f>IF(#REF!&lt;=150,"Low Usage", IF(#REF!&lt;=200,"Medium Usage", IF(#REF!&lt;=250,"High Usage","Very High Usage")))</f>
        <v>#REF!</v>
      </c>
      <c r="AE412" t="e">
        <f>IF(#REF!&lt;=5,"Low Calls", IF(#REF!&lt;=10, "Medium Calls", "High Calls"))</f>
        <v>#REF!</v>
      </c>
      <c r="AF412" t="e">
        <f xml:space="preserve">
IF(#REF!&gt;=4,4,0)+
IF(#REF!="yes",3,0)+
IF(#REF!="High Charges",3,0)+
IF(#REF!&gt;250,4,0)+
IF(#REF!="no",1,0)+
IF(#REF!="Heavy Domestic User",2,0)</f>
        <v>#REF!</v>
      </c>
      <c r="AG412" t="e">
        <f>IF(#REF!&gt;=10,"High Risk", IF(#REF!&gt;=5,"Medium Risk","Low Risk"))</f>
        <v>#REF!</v>
      </c>
      <c r="AH412" t="e">
        <f>#REF! + #REF! + #REF! + #REF!</f>
        <v>#REF!</v>
      </c>
    </row>
    <row r="413" spans="1:34" x14ac:dyDescent="0.35">
      <c r="A413">
        <v>412</v>
      </c>
      <c r="B413" t="s">
        <v>40</v>
      </c>
      <c r="C413">
        <v>161</v>
      </c>
      <c r="D413" t="s">
        <v>21</v>
      </c>
      <c r="E413" t="s">
        <v>23</v>
      </c>
      <c r="F413" t="s">
        <v>22</v>
      </c>
      <c r="G413">
        <v>0</v>
      </c>
      <c r="H413">
        <v>156.1</v>
      </c>
      <c r="I413">
        <v>114</v>
      </c>
      <c r="J413">
        <v>26.54</v>
      </c>
      <c r="K413">
        <v>180.3</v>
      </c>
      <c r="L413">
        <v>63</v>
      </c>
      <c r="M413">
        <v>15.33</v>
      </c>
      <c r="N413">
        <v>179.6</v>
      </c>
      <c r="O413">
        <v>115</v>
      </c>
      <c r="P413">
        <v>8.08</v>
      </c>
      <c r="Q413">
        <v>11.1</v>
      </c>
      <c r="R413">
        <v>9</v>
      </c>
      <c r="S413">
        <v>3</v>
      </c>
      <c r="T413">
        <v>2</v>
      </c>
      <c r="U413" t="s">
        <v>22</v>
      </c>
      <c r="V413" t="e">
        <f>IF(#REF! = "yes", 1, 0)</f>
        <v>#REF!</v>
      </c>
      <c r="W413" t="e">
        <f>IF(#REF! &lt;= 1, "0-1 Calls", IF(#REF! &lt;= 3, "2-3 Calls", IF(#REF! &lt;=5, "4-5 Calls", "6+ Calls")))</f>
        <v>#REF!</v>
      </c>
      <c r="X413" t="e">
        <f>IF(#REF! &lt;= 50, "0-50", IF(#REF! &lt;=100, "51-100", IF(#REF! &lt;= 150, "101-150", "151+")))</f>
        <v>#REF!</v>
      </c>
      <c r="Y413" t="e">
        <f>IF(#REF! &lt;= 3, "Low Charges", "High Charges")</f>
        <v>#REF!</v>
      </c>
      <c r="Z413" t="e">
        <f>IF(#REF!&lt;=80,"Low Calls",
IF(#REF!&lt;=120,"Medium Calls","High Calls"))</f>
        <v>#REF!</v>
      </c>
      <c r="AA413" t="e">
        <f>IF(#REF!&lt;=15,"Low Charges",
IF(#REF!&lt;=20,"Medium Charges","High Charges"))</f>
        <v>#REF!</v>
      </c>
      <c r="AB413" t="e">
        <f>IF(AND(#REF!&gt;180, #REF!&gt;200), "Heavy Doemstic User", IF(#REF!&gt;10, "Interntional User", IF(AND(#REF!&lt;180, #REF!&lt;200,#REF!&lt;200), "Light User", "Balanced User")))</f>
        <v>#REF!</v>
      </c>
      <c r="AC413" t="e">
        <f>IF(#REF! = 0, "No Usage", IF(#REF! &lt;= 20, "Low Usage", IF(#REF! &lt;= 40, "Medium Usgae", "High Usage")))</f>
        <v>#REF!</v>
      </c>
      <c r="AD413" t="e">
        <f>IF(#REF!&lt;=150,"Low Usage", IF(#REF!&lt;=200,"Medium Usage", IF(#REF!&lt;=250,"High Usage","Very High Usage")))</f>
        <v>#REF!</v>
      </c>
      <c r="AE413" t="e">
        <f>IF(#REF!&lt;=5,"Low Calls", IF(#REF!&lt;=10, "Medium Calls", "High Calls"))</f>
        <v>#REF!</v>
      </c>
      <c r="AF413" t="e">
        <f xml:space="preserve">
IF(#REF!&gt;=4,4,0)+
IF(#REF!="yes",3,0)+
IF(#REF!="High Charges",3,0)+
IF(#REF!&gt;250,4,0)+
IF(#REF!="no",1,0)+
IF(#REF!="Heavy Domestic User",2,0)</f>
        <v>#REF!</v>
      </c>
      <c r="AG413" t="e">
        <f>IF(#REF!&gt;=10,"High Risk", IF(#REF!&gt;=5,"Medium Risk","Low Risk"))</f>
        <v>#REF!</v>
      </c>
      <c r="AH413" t="e">
        <f>#REF! + #REF! + #REF! + #REF!</f>
        <v>#REF!</v>
      </c>
    </row>
    <row r="414" spans="1:34" x14ac:dyDescent="0.35">
      <c r="A414">
        <v>413</v>
      </c>
      <c r="B414" t="s">
        <v>66</v>
      </c>
      <c r="C414">
        <v>75</v>
      </c>
      <c r="D414" t="s">
        <v>25</v>
      </c>
      <c r="E414" t="s">
        <v>23</v>
      </c>
      <c r="F414" t="s">
        <v>22</v>
      </c>
      <c r="G414">
        <v>0</v>
      </c>
      <c r="H414">
        <v>211.3</v>
      </c>
      <c r="I414">
        <v>61</v>
      </c>
      <c r="J414">
        <v>35.92</v>
      </c>
      <c r="K414">
        <v>105.6</v>
      </c>
      <c r="L414">
        <v>119</v>
      </c>
      <c r="M414">
        <v>8.98</v>
      </c>
      <c r="N414">
        <v>175.9</v>
      </c>
      <c r="O414">
        <v>63</v>
      </c>
      <c r="P414">
        <v>7.92</v>
      </c>
      <c r="Q414">
        <v>9.6999999999999993</v>
      </c>
      <c r="R414">
        <v>4</v>
      </c>
      <c r="S414">
        <v>2.62</v>
      </c>
      <c r="T414">
        <v>4</v>
      </c>
      <c r="U414" t="s">
        <v>23</v>
      </c>
      <c r="V414" t="e">
        <f>IF(#REF! = "yes", 1, 0)</f>
        <v>#REF!</v>
      </c>
      <c r="W414" t="e">
        <f>IF(#REF! &lt;= 1, "0-1 Calls", IF(#REF! &lt;= 3, "2-3 Calls", IF(#REF! &lt;=5, "4-5 Calls", "6+ Calls")))</f>
        <v>#REF!</v>
      </c>
      <c r="X414" t="e">
        <f>IF(#REF! &lt;= 50, "0-50", IF(#REF! &lt;=100, "51-100", IF(#REF! &lt;= 150, "101-150", "151+")))</f>
        <v>#REF!</v>
      </c>
      <c r="Y414" t="e">
        <f>IF(#REF! &lt;= 3, "Low Charges", "High Charges")</f>
        <v>#REF!</v>
      </c>
      <c r="Z414" t="e">
        <f>IF(#REF!&lt;=80,"Low Calls",
IF(#REF!&lt;=120,"Medium Calls","High Calls"))</f>
        <v>#REF!</v>
      </c>
      <c r="AA414" t="e">
        <f>IF(#REF!&lt;=15,"Low Charges",
IF(#REF!&lt;=20,"Medium Charges","High Charges"))</f>
        <v>#REF!</v>
      </c>
      <c r="AB414" t="e">
        <f>IF(AND(#REF!&gt;180, #REF!&gt;200), "Heavy Doemstic User", IF(#REF!&gt;10, "Interntional User", IF(AND(#REF!&lt;180, #REF!&lt;200,#REF!&lt;200), "Light User", "Balanced User")))</f>
        <v>#REF!</v>
      </c>
      <c r="AC414" t="e">
        <f>IF(#REF! = 0, "No Usage", IF(#REF! &lt;= 20, "Low Usage", IF(#REF! &lt;= 40, "Medium Usgae", "High Usage")))</f>
        <v>#REF!</v>
      </c>
      <c r="AD414" t="e">
        <f>IF(#REF!&lt;=150,"Low Usage", IF(#REF!&lt;=200,"Medium Usage", IF(#REF!&lt;=250,"High Usage","Very High Usage")))</f>
        <v>#REF!</v>
      </c>
      <c r="AE414" t="e">
        <f>IF(#REF!&lt;=5,"Low Calls", IF(#REF!&lt;=10, "Medium Calls", "High Calls"))</f>
        <v>#REF!</v>
      </c>
      <c r="AF414" t="e">
        <f xml:space="preserve">
IF(#REF!&gt;=4,4,0)+
IF(#REF!="yes",3,0)+
IF(#REF!="High Charges",3,0)+
IF(#REF!&gt;250,4,0)+
IF(#REF!="no",1,0)+
IF(#REF!="Heavy Domestic User",2,0)</f>
        <v>#REF!</v>
      </c>
      <c r="AG414" t="e">
        <f>IF(#REF!&gt;=10,"High Risk", IF(#REF!&gt;=5,"Medium Risk","Low Risk"))</f>
        <v>#REF!</v>
      </c>
      <c r="AH414" t="e">
        <f>#REF! + #REF! + #REF! + #REF!</f>
        <v>#REF!</v>
      </c>
    </row>
    <row r="415" spans="1:34" x14ac:dyDescent="0.35">
      <c r="A415">
        <v>414</v>
      </c>
      <c r="B415" t="s">
        <v>57</v>
      </c>
      <c r="C415">
        <v>126</v>
      </c>
      <c r="D415" t="s">
        <v>21</v>
      </c>
      <c r="E415" t="s">
        <v>22</v>
      </c>
      <c r="F415" t="s">
        <v>23</v>
      </c>
      <c r="G415">
        <v>23</v>
      </c>
      <c r="H415">
        <v>114.3</v>
      </c>
      <c r="I415">
        <v>102</v>
      </c>
      <c r="J415">
        <v>19.43</v>
      </c>
      <c r="K415">
        <v>190.3</v>
      </c>
      <c r="L415">
        <v>103</v>
      </c>
      <c r="M415">
        <v>16.18</v>
      </c>
      <c r="N415">
        <v>240.4</v>
      </c>
      <c r="O415">
        <v>111</v>
      </c>
      <c r="P415">
        <v>10.82</v>
      </c>
      <c r="Q415">
        <v>12.6</v>
      </c>
      <c r="R415">
        <v>7</v>
      </c>
      <c r="S415">
        <v>3.4</v>
      </c>
      <c r="T415">
        <v>3</v>
      </c>
      <c r="U415" t="s">
        <v>22</v>
      </c>
      <c r="V415" t="e">
        <f>IF(#REF! = "yes", 1, 0)</f>
        <v>#REF!</v>
      </c>
      <c r="W415" t="e">
        <f>IF(#REF! &lt;= 1, "0-1 Calls", IF(#REF! &lt;= 3, "2-3 Calls", IF(#REF! &lt;=5, "4-5 Calls", "6+ Calls")))</f>
        <v>#REF!</v>
      </c>
      <c r="X415" t="e">
        <f>IF(#REF! &lt;= 50, "0-50", IF(#REF! &lt;=100, "51-100", IF(#REF! &lt;= 150, "101-150", "151+")))</f>
        <v>#REF!</v>
      </c>
      <c r="Y415" t="e">
        <f>IF(#REF! &lt;= 3, "Low Charges", "High Charges")</f>
        <v>#REF!</v>
      </c>
      <c r="Z415" t="e">
        <f>IF(#REF!&lt;=80,"Low Calls",
IF(#REF!&lt;=120,"Medium Calls","High Calls"))</f>
        <v>#REF!</v>
      </c>
      <c r="AA415" t="e">
        <f>IF(#REF!&lt;=15,"Low Charges",
IF(#REF!&lt;=20,"Medium Charges","High Charges"))</f>
        <v>#REF!</v>
      </c>
      <c r="AB415" t="e">
        <f>IF(AND(#REF!&gt;180, #REF!&gt;200), "Heavy Doemstic User", IF(#REF!&gt;10, "Interntional User", IF(AND(#REF!&lt;180, #REF!&lt;200,#REF!&lt;200), "Light User", "Balanced User")))</f>
        <v>#REF!</v>
      </c>
      <c r="AC415" t="e">
        <f>IF(#REF! = 0, "No Usage", IF(#REF! &lt;= 20, "Low Usage", IF(#REF! &lt;= 40, "Medium Usgae", "High Usage")))</f>
        <v>#REF!</v>
      </c>
      <c r="AD415" t="e">
        <f>IF(#REF!&lt;=150,"Low Usage", IF(#REF!&lt;=200,"Medium Usage", IF(#REF!&lt;=250,"High Usage","Very High Usage")))</f>
        <v>#REF!</v>
      </c>
      <c r="AE415" t="e">
        <f>IF(#REF!&lt;=5,"Low Calls", IF(#REF!&lt;=10, "Medium Calls", "High Calls"))</f>
        <v>#REF!</v>
      </c>
      <c r="AF415" t="e">
        <f xml:space="preserve">
IF(#REF!&gt;=4,4,0)+
IF(#REF!="yes",3,0)+
IF(#REF!="High Charges",3,0)+
IF(#REF!&gt;250,4,0)+
IF(#REF!="no",1,0)+
IF(#REF!="Heavy Domestic User",2,0)</f>
        <v>#REF!</v>
      </c>
      <c r="AG415" t="e">
        <f>IF(#REF!&gt;=10,"High Risk", IF(#REF!&gt;=5,"Medium Risk","Low Risk"))</f>
        <v>#REF!</v>
      </c>
      <c r="AH415" t="e">
        <f>#REF! + #REF! + #REF! + #REF!</f>
        <v>#REF!</v>
      </c>
    </row>
    <row r="416" spans="1:34" x14ac:dyDescent="0.35">
      <c r="A416">
        <v>415</v>
      </c>
      <c r="B416" t="s">
        <v>53</v>
      </c>
      <c r="C416">
        <v>93</v>
      </c>
      <c r="D416" t="s">
        <v>21</v>
      </c>
      <c r="E416" t="s">
        <v>23</v>
      </c>
      <c r="F416" t="s">
        <v>22</v>
      </c>
      <c r="G416">
        <v>0</v>
      </c>
      <c r="H416">
        <v>216.9</v>
      </c>
      <c r="I416">
        <v>61</v>
      </c>
      <c r="J416">
        <v>36.869999999999997</v>
      </c>
      <c r="K416">
        <v>207.4</v>
      </c>
      <c r="L416">
        <v>120</v>
      </c>
      <c r="M416">
        <v>17.63</v>
      </c>
      <c r="N416">
        <v>221.7</v>
      </c>
      <c r="O416">
        <v>110</v>
      </c>
      <c r="P416">
        <v>9.98</v>
      </c>
      <c r="Q416">
        <v>17.5</v>
      </c>
      <c r="R416">
        <v>5</v>
      </c>
      <c r="S416">
        <v>4.7300000000000004</v>
      </c>
      <c r="T416">
        <v>1</v>
      </c>
      <c r="U416" t="s">
        <v>23</v>
      </c>
      <c r="V416" t="e">
        <f>IF(#REF! = "yes", 1, 0)</f>
        <v>#REF!</v>
      </c>
      <c r="W416" t="e">
        <f>IF(#REF! &lt;= 1, "0-1 Calls", IF(#REF! &lt;= 3, "2-3 Calls", IF(#REF! &lt;=5, "4-5 Calls", "6+ Calls")))</f>
        <v>#REF!</v>
      </c>
      <c r="X416" t="e">
        <f>IF(#REF! &lt;= 50, "0-50", IF(#REF! &lt;=100, "51-100", IF(#REF! &lt;= 150, "101-150", "151+")))</f>
        <v>#REF!</v>
      </c>
      <c r="Y416" t="e">
        <f>IF(#REF! &lt;= 3, "Low Charges", "High Charges")</f>
        <v>#REF!</v>
      </c>
      <c r="Z416" t="e">
        <f>IF(#REF!&lt;=80,"Low Calls",
IF(#REF!&lt;=120,"Medium Calls","High Calls"))</f>
        <v>#REF!</v>
      </c>
      <c r="AA416" t="e">
        <f>IF(#REF!&lt;=15,"Low Charges",
IF(#REF!&lt;=20,"Medium Charges","High Charges"))</f>
        <v>#REF!</v>
      </c>
      <c r="AB416" t="e">
        <f>IF(AND(#REF!&gt;180, #REF!&gt;200), "Heavy Doemstic User", IF(#REF!&gt;10, "Interntional User", IF(AND(#REF!&lt;180, #REF!&lt;200,#REF!&lt;200), "Light User", "Balanced User")))</f>
        <v>#REF!</v>
      </c>
      <c r="AC416" t="e">
        <f>IF(#REF! = 0, "No Usage", IF(#REF! &lt;= 20, "Low Usage", IF(#REF! &lt;= 40, "Medium Usgae", "High Usage")))</f>
        <v>#REF!</v>
      </c>
      <c r="AD416" t="e">
        <f>IF(#REF!&lt;=150,"Low Usage", IF(#REF!&lt;=200,"Medium Usage", IF(#REF!&lt;=250,"High Usage","Very High Usage")))</f>
        <v>#REF!</v>
      </c>
      <c r="AE416" t="e">
        <f>IF(#REF!&lt;=5,"Low Calls", IF(#REF!&lt;=10, "Medium Calls", "High Calls"))</f>
        <v>#REF!</v>
      </c>
      <c r="AF416" t="e">
        <f xml:space="preserve">
IF(#REF!&gt;=4,4,0)+
IF(#REF!="yes",3,0)+
IF(#REF!="High Charges",3,0)+
IF(#REF!&gt;250,4,0)+
IF(#REF!="no",1,0)+
IF(#REF!="Heavy Domestic User",2,0)</f>
        <v>#REF!</v>
      </c>
      <c r="AG416" t="e">
        <f>IF(#REF!&gt;=10,"High Risk", IF(#REF!&gt;=5,"Medium Risk","Low Risk"))</f>
        <v>#REF!</v>
      </c>
      <c r="AH416" t="e">
        <f>#REF! + #REF! + #REF! + #REF!</f>
        <v>#REF!</v>
      </c>
    </row>
    <row r="417" spans="1:34" x14ac:dyDescent="0.35">
      <c r="A417">
        <v>416</v>
      </c>
      <c r="B417" t="s">
        <v>53</v>
      </c>
      <c r="C417">
        <v>109</v>
      </c>
      <c r="D417" t="s">
        <v>21</v>
      </c>
      <c r="E417" t="s">
        <v>23</v>
      </c>
      <c r="F417" t="s">
        <v>23</v>
      </c>
      <c r="G417">
        <v>26</v>
      </c>
      <c r="H417">
        <v>217.2</v>
      </c>
      <c r="I417">
        <v>138</v>
      </c>
      <c r="J417">
        <v>36.92</v>
      </c>
      <c r="K417">
        <v>145.5</v>
      </c>
      <c r="L417">
        <v>111</v>
      </c>
      <c r="M417">
        <v>12.37</v>
      </c>
      <c r="N417">
        <v>280.7</v>
      </c>
      <c r="O417">
        <v>76</v>
      </c>
      <c r="P417">
        <v>12.63</v>
      </c>
      <c r="Q417">
        <v>9.3000000000000007</v>
      </c>
      <c r="R417">
        <v>3</v>
      </c>
      <c r="S417">
        <v>2.5099999999999998</v>
      </c>
      <c r="T417">
        <v>0</v>
      </c>
      <c r="U417" t="s">
        <v>22</v>
      </c>
      <c r="V417" t="e">
        <f>IF(#REF! = "yes", 1, 0)</f>
        <v>#REF!</v>
      </c>
      <c r="W417" t="e">
        <f>IF(#REF! &lt;= 1, "0-1 Calls", IF(#REF! &lt;= 3, "2-3 Calls", IF(#REF! &lt;=5, "4-5 Calls", "6+ Calls")))</f>
        <v>#REF!</v>
      </c>
      <c r="X417" t="e">
        <f>IF(#REF! &lt;= 50, "0-50", IF(#REF! &lt;=100, "51-100", IF(#REF! &lt;= 150, "101-150", "151+")))</f>
        <v>#REF!</v>
      </c>
      <c r="Y417" t="e">
        <f>IF(#REF! &lt;= 3, "Low Charges", "High Charges")</f>
        <v>#REF!</v>
      </c>
      <c r="Z417" t="e">
        <f>IF(#REF!&lt;=80,"Low Calls",
IF(#REF!&lt;=120,"Medium Calls","High Calls"))</f>
        <v>#REF!</v>
      </c>
      <c r="AA417" t="e">
        <f>IF(#REF!&lt;=15,"Low Charges",
IF(#REF!&lt;=20,"Medium Charges","High Charges"))</f>
        <v>#REF!</v>
      </c>
      <c r="AB417" t="e">
        <f>IF(AND(#REF!&gt;180, #REF!&gt;200), "Heavy Doemstic User", IF(#REF!&gt;10, "Interntional User", IF(AND(#REF!&lt;180, #REF!&lt;200,#REF!&lt;200), "Light User", "Balanced User")))</f>
        <v>#REF!</v>
      </c>
      <c r="AC417" t="e">
        <f>IF(#REF! = 0, "No Usage", IF(#REF! &lt;= 20, "Low Usage", IF(#REF! &lt;= 40, "Medium Usgae", "High Usage")))</f>
        <v>#REF!</v>
      </c>
      <c r="AD417" t="e">
        <f>IF(#REF!&lt;=150,"Low Usage", IF(#REF!&lt;=200,"Medium Usage", IF(#REF!&lt;=250,"High Usage","Very High Usage")))</f>
        <v>#REF!</v>
      </c>
      <c r="AE417" t="e">
        <f>IF(#REF!&lt;=5,"Low Calls", IF(#REF!&lt;=10, "Medium Calls", "High Calls"))</f>
        <v>#REF!</v>
      </c>
      <c r="AF417" t="e">
        <f xml:space="preserve">
IF(#REF!&gt;=4,4,0)+
IF(#REF!="yes",3,0)+
IF(#REF!="High Charges",3,0)+
IF(#REF!&gt;250,4,0)+
IF(#REF!="no",1,0)+
IF(#REF!="Heavy Domestic User",2,0)</f>
        <v>#REF!</v>
      </c>
      <c r="AG417" t="e">
        <f>IF(#REF!&gt;=10,"High Risk", IF(#REF!&gt;=5,"Medium Risk","Low Risk"))</f>
        <v>#REF!</v>
      </c>
      <c r="AH417" t="e">
        <f>#REF! + #REF! + #REF! + #REF!</f>
        <v>#REF!</v>
      </c>
    </row>
    <row r="418" spans="1:34" x14ac:dyDescent="0.35">
      <c r="A418">
        <v>417</v>
      </c>
      <c r="B418" t="s">
        <v>61</v>
      </c>
      <c r="C418">
        <v>80</v>
      </c>
      <c r="D418" t="s">
        <v>28</v>
      </c>
      <c r="E418" t="s">
        <v>22</v>
      </c>
      <c r="F418" t="s">
        <v>22</v>
      </c>
      <c r="G418">
        <v>0</v>
      </c>
      <c r="H418">
        <v>206.3</v>
      </c>
      <c r="I418">
        <v>97</v>
      </c>
      <c r="J418">
        <v>35.07</v>
      </c>
      <c r="K418">
        <v>154.9</v>
      </c>
      <c r="L418">
        <v>98</v>
      </c>
      <c r="M418">
        <v>13.17</v>
      </c>
      <c r="N418">
        <v>263.60000000000002</v>
      </c>
      <c r="O418">
        <v>82</v>
      </c>
      <c r="P418">
        <v>11.86</v>
      </c>
      <c r="Q418">
        <v>12.4</v>
      </c>
      <c r="R418">
        <v>12</v>
      </c>
      <c r="S418">
        <v>3.35</v>
      </c>
      <c r="T418">
        <v>0</v>
      </c>
      <c r="U418" t="s">
        <v>22</v>
      </c>
      <c r="V418" t="e">
        <f>IF(#REF! = "yes", 1, 0)</f>
        <v>#REF!</v>
      </c>
      <c r="W418" t="e">
        <f>IF(#REF! &lt;= 1, "0-1 Calls", IF(#REF! &lt;= 3, "2-3 Calls", IF(#REF! &lt;=5, "4-5 Calls", "6+ Calls")))</f>
        <v>#REF!</v>
      </c>
      <c r="X418" t="e">
        <f>IF(#REF! &lt;= 50, "0-50", IF(#REF! &lt;=100, "51-100", IF(#REF! &lt;= 150, "101-150", "151+")))</f>
        <v>#REF!</v>
      </c>
      <c r="Y418" t="e">
        <f>IF(#REF! &lt;= 3, "Low Charges", "High Charges")</f>
        <v>#REF!</v>
      </c>
      <c r="Z418" t="e">
        <f>IF(#REF!&lt;=80,"Low Calls",
IF(#REF!&lt;=120,"Medium Calls","High Calls"))</f>
        <v>#REF!</v>
      </c>
      <c r="AA418" t="e">
        <f>IF(#REF!&lt;=15,"Low Charges",
IF(#REF!&lt;=20,"Medium Charges","High Charges"))</f>
        <v>#REF!</v>
      </c>
      <c r="AB418" t="e">
        <f>IF(AND(#REF!&gt;180, #REF!&gt;200), "Heavy Doemstic User", IF(#REF!&gt;10, "Interntional User", IF(AND(#REF!&lt;180, #REF!&lt;200,#REF!&lt;200), "Light User", "Balanced User")))</f>
        <v>#REF!</v>
      </c>
      <c r="AC418" t="e">
        <f>IF(#REF! = 0, "No Usage", IF(#REF! &lt;= 20, "Low Usage", IF(#REF! &lt;= 40, "Medium Usgae", "High Usage")))</f>
        <v>#REF!</v>
      </c>
      <c r="AD418" t="e">
        <f>IF(#REF!&lt;=150,"Low Usage", IF(#REF!&lt;=200,"Medium Usage", IF(#REF!&lt;=250,"High Usage","Very High Usage")))</f>
        <v>#REF!</v>
      </c>
      <c r="AE418" t="e">
        <f>IF(#REF!&lt;=5,"Low Calls", IF(#REF!&lt;=10, "Medium Calls", "High Calls"))</f>
        <v>#REF!</v>
      </c>
      <c r="AF418" t="e">
        <f xml:space="preserve">
IF(#REF!&gt;=4,4,0)+
IF(#REF!="yes",3,0)+
IF(#REF!="High Charges",3,0)+
IF(#REF!&gt;250,4,0)+
IF(#REF!="no",1,0)+
IF(#REF!="Heavy Domestic User",2,0)</f>
        <v>#REF!</v>
      </c>
      <c r="AG418" t="e">
        <f>IF(#REF!&gt;=10,"High Risk", IF(#REF!&gt;=5,"Medium Risk","Low Risk"))</f>
        <v>#REF!</v>
      </c>
      <c r="AH418" t="e">
        <f>#REF! + #REF! + #REF! + #REF!</f>
        <v>#REF!</v>
      </c>
    </row>
    <row r="419" spans="1:34" x14ac:dyDescent="0.35">
      <c r="A419">
        <v>418</v>
      </c>
      <c r="B419" t="s">
        <v>47</v>
      </c>
      <c r="C419">
        <v>41</v>
      </c>
      <c r="D419" t="s">
        <v>21</v>
      </c>
      <c r="E419" t="s">
        <v>22</v>
      </c>
      <c r="F419" t="s">
        <v>22</v>
      </c>
      <c r="G419">
        <v>0</v>
      </c>
      <c r="H419">
        <v>159.30000000000001</v>
      </c>
      <c r="I419">
        <v>66</v>
      </c>
      <c r="J419">
        <v>27.08</v>
      </c>
      <c r="K419">
        <v>125.9</v>
      </c>
      <c r="L419">
        <v>75</v>
      </c>
      <c r="M419">
        <v>10.7</v>
      </c>
      <c r="N419">
        <v>261.89999999999998</v>
      </c>
      <c r="O419">
        <v>76</v>
      </c>
      <c r="P419">
        <v>11.79</v>
      </c>
      <c r="Q419">
        <v>11.1</v>
      </c>
      <c r="R419">
        <v>5</v>
      </c>
      <c r="S419">
        <v>3</v>
      </c>
      <c r="T419">
        <v>1</v>
      </c>
      <c r="U419" t="s">
        <v>22</v>
      </c>
      <c r="V419" t="e">
        <f>IF(#REF! = "yes", 1, 0)</f>
        <v>#REF!</v>
      </c>
      <c r="W419" t="e">
        <f>IF(#REF! &lt;= 1, "0-1 Calls", IF(#REF! &lt;= 3, "2-3 Calls", IF(#REF! &lt;=5, "4-5 Calls", "6+ Calls")))</f>
        <v>#REF!</v>
      </c>
      <c r="X419" t="e">
        <f>IF(#REF! &lt;= 50, "0-50", IF(#REF! &lt;=100, "51-100", IF(#REF! &lt;= 150, "101-150", "151+")))</f>
        <v>#REF!</v>
      </c>
      <c r="Y419" t="e">
        <f>IF(#REF! &lt;= 3, "Low Charges", "High Charges")</f>
        <v>#REF!</v>
      </c>
      <c r="Z419" t="e">
        <f>IF(#REF!&lt;=80,"Low Calls",
IF(#REF!&lt;=120,"Medium Calls","High Calls"))</f>
        <v>#REF!</v>
      </c>
      <c r="AA419" t="e">
        <f>IF(#REF!&lt;=15,"Low Charges",
IF(#REF!&lt;=20,"Medium Charges","High Charges"))</f>
        <v>#REF!</v>
      </c>
      <c r="AB419" t="e">
        <f>IF(AND(#REF!&gt;180, #REF!&gt;200), "Heavy Doemstic User", IF(#REF!&gt;10, "Interntional User", IF(AND(#REF!&lt;180, #REF!&lt;200,#REF!&lt;200), "Light User", "Balanced User")))</f>
        <v>#REF!</v>
      </c>
      <c r="AC419" t="e">
        <f>IF(#REF! = 0, "No Usage", IF(#REF! &lt;= 20, "Low Usage", IF(#REF! &lt;= 40, "Medium Usgae", "High Usage")))</f>
        <v>#REF!</v>
      </c>
      <c r="AD419" t="e">
        <f>IF(#REF!&lt;=150,"Low Usage", IF(#REF!&lt;=200,"Medium Usage", IF(#REF!&lt;=250,"High Usage","Very High Usage")))</f>
        <v>#REF!</v>
      </c>
      <c r="AE419" t="e">
        <f>IF(#REF!&lt;=5,"Low Calls", IF(#REF!&lt;=10, "Medium Calls", "High Calls"))</f>
        <v>#REF!</v>
      </c>
      <c r="AF419" t="e">
        <f xml:space="preserve">
IF(#REF!&gt;=4,4,0)+
IF(#REF!="yes",3,0)+
IF(#REF!="High Charges",3,0)+
IF(#REF!&gt;250,4,0)+
IF(#REF!="no",1,0)+
IF(#REF!="Heavy Domestic User",2,0)</f>
        <v>#REF!</v>
      </c>
      <c r="AG419" t="e">
        <f>IF(#REF!&gt;=10,"High Risk", IF(#REF!&gt;=5,"Medium Risk","Low Risk"))</f>
        <v>#REF!</v>
      </c>
      <c r="AH419" t="e">
        <f>#REF! + #REF! + #REF! + #REF!</f>
        <v>#REF!</v>
      </c>
    </row>
    <row r="420" spans="1:34" x14ac:dyDescent="0.35">
      <c r="A420">
        <v>419</v>
      </c>
      <c r="B420" t="s">
        <v>20</v>
      </c>
      <c r="C420">
        <v>136</v>
      </c>
      <c r="D420" t="s">
        <v>21</v>
      </c>
      <c r="E420" t="s">
        <v>22</v>
      </c>
      <c r="F420" t="s">
        <v>23</v>
      </c>
      <c r="G420">
        <v>31</v>
      </c>
      <c r="H420">
        <v>143.1</v>
      </c>
      <c r="I420">
        <v>88</v>
      </c>
      <c r="J420">
        <v>24.33</v>
      </c>
      <c r="K420">
        <v>236.6</v>
      </c>
      <c r="L420">
        <v>65</v>
      </c>
      <c r="M420">
        <v>20.11</v>
      </c>
      <c r="N420">
        <v>227.8</v>
      </c>
      <c r="O420">
        <v>120</v>
      </c>
      <c r="P420">
        <v>10.25</v>
      </c>
      <c r="Q420">
        <v>11.4</v>
      </c>
      <c r="R420">
        <v>5</v>
      </c>
      <c r="S420">
        <v>3.08</v>
      </c>
      <c r="T420">
        <v>2</v>
      </c>
      <c r="U420" t="s">
        <v>22</v>
      </c>
      <c r="V420" t="e">
        <f>IF(#REF! = "yes", 1, 0)</f>
        <v>#REF!</v>
      </c>
      <c r="W420" t="e">
        <f>IF(#REF! &lt;= 1, "0-1 Calls", IF(#REF! &lt;= 3, "2-3 Calls", IF(#REF! &lt;=5, "4-5 Calls", "6+ Calls")))</f>
        <v>#REF!</v>
      </c>
      <c r="X420" t="e">
        <f>IF(#REF! &lt;= 50, "0-50", IF(#REF! &lt;=100, "51-100", IF(#REF! &lt;= 150, "101-150", "151+")))</f>
        <v>#REF!</v>
      </c>
      <c r="Y420" t="e">
        <f>IF(#REF! &lt;= 3, "Low Charges", "High Charges")</f>
        <v>#REF!</v>
      </c>
      <c r="Z420" t="e">
        <f>IF(#REF!&lt;=80,"Low Calls",
IF(#REF!&lt;=120,"Medium Calls","High Calls"))</f>
        <v>#REF!</v>
      </c>
      <c r="AA420" t="e">
        <f>IF(#REF!&lt;=15,"Low Charges",
IF(#REF!&lt;=20,"Medium Charges","High Charges"))</f>
        <v>#REF!</v>
      </c>
      <c r="AB420" t="e">
        <f>IF(AND(#REF!&gt;180, #REF!&gt;200), "Heavy Doemstic User", IF(#REF!&gt;10, "Interntional User", IF(AND(#REF!&lt;180, #REF!&lt;200,#REF!&lt;200), "Light User", "Balanced User")))</f>
        <v>#REF!</v>
      </c>
      <c r="AC420" t="e">
        <f>IF(#REF! = 0, "No Usage", IF(#REF! &lt;= 20, "Low Usage", IF(#REF! &lt;= 40, "Medium Usgae", "High Usage")))</f>
        <v>#REF!</v>
      </c>
      <c r="AD420" t="e">
        <f>IF(#REF!&lt;=150,"Low Usage", IF(#REF!&lt;=200,"Medium Usage", IF(#REF!&lt;=250,"High Usage","Very High Usage")))</f>
        <v>#REF!</v>
      </c>
      <c r="AE420" t="e">
        <f>IF(#REF!&lt;=5,"Low Calls", IF(#REF!&lt;=10, "Medium Calls", "High Calls"))</f>
        <v>#REF!</v>
      </c>
      <c r="AF420" t="e">
        <f xml:space="preserve">
IF(#REF!&gt;=4,4,0)+
IF(#REF!="yes",3,0)+
IF(#REF!="High Charges",3,0)+
IF(#REF!&gt;250,4,0)+
IF(#REF!="no",1,0)+
IF(#REF!="Heavy Domestic User",2,0)</f>
        <v>#REF!</v>
      </c>
      <c r="AG420" t="e">
        <f>IF(#REF!&gt;=10,"High Risk", IF(#REF!&gt;=5,"Medium Risk","Low Risk"))</f>
        <v>#REF!</v>
      </c>
      <c r="AH420" t="e">
        <f>#REF! + #REF! + #REF! + #REF!</f>
        <v>#REF!</v>
      </c>
    </row>
    <row r="421" spans="1:34" x14ac:dyDescent="0.35">
      <c r="A421">
        <v>420</v>
      </c>
      <c r="B421" t="s">
        <v>29</v>
      </c>
      <c r="C421">
        <v>92</v>
      </c>
      <c r="D421" t="s">
        <v>21</v>
      </c>
      <c r="E421" t="s">
        <v>22</v>
      </c>
      <c r="F421" t="s">
        <v>22</v>
      </c>
      <c r="G421">
        <v>0</v>
      </c>
      <c r="H421">
        <v>154</v>
      </c>
      <c r="I421">
        <v>122</v>
      </c>
      <c r="J421">
        <v>26.18</v>
      </c>
      <c r="K421">
        <v>329.8</v>
      </c>
      <c r="L421">
        <v>88</v>
      </c>
      <c r="M421">
        <v>28.03</v>
      </c>
      <c r="N421">
        <v>288</v>
      </c>
      <c r="O421">
        <v>117</v>
      </c>
      <c r="P421">
        <v>12.96</v>
      </c>
      <c r="Q421">
        <v>5.6</v>
      </c>
      <c r="R421">
        <v>2</v>
      </c>
      <c r="S421">
        <v>1.51</v>
      </c>
      <c r="T421">
        <v>3</v>
      </c>
      <c r="U421" t="s">
        <v>23</v>
      </c>
      <c r="V421" t="e">
        <f>IF(#REF! = "yes", 1, 0)</f>
        <v>#REF!</v>
      </c>
      <c r="W421" t="e">
        <f>IF(#REF! &lt;= 1, "0-1 Calls", IF(#REF! &lt;= 3, "2-3 Calls", IF(#REF! &lt;=5, "4-5 Calls", "6+ Calls")))</f>
        <v>#REF!</v>
      </c>
      <c r="X421" t="e">
        <f>IF(#REF! &lt;= 50, "0-50", IF(#REF! &lt;=100, "51-100", IF(#REF! &lt;= 150, "101-150", "151+")))</f>
        <v>#REF!</v>
      </c>
      <c r="Y421" t="e">
        <f>IF(#REF! &lt;= 3, "Low Charges", "High Charges")</f>
        <v>#REF!</v>
      </c>
      <c r="Z421" t="e">
        <f>IF(#REF!&lt;=80,"Low Calls",
IF(#REF!&lt;=120,"Medium Calls","High Calls"))</f>
        <v>#REF!</v>
      </c>
      <c r="AA421" t="e">
        <f>IF(#REF!&lt;=15,"Low Charges",
IF(#REF!&lt;=20,"Medium Charges","High Charges"))</f>
        <v>#REF!</v>
      </c>
      <c r="AB421" t="e">
        <f>IF(AND(#REF!&gt;180, #REF!&gt;200), "Heavy Doemstic User", IF(#REF!&gt;10, "Interntional User", IF(AND(#REF!&lt;180, #REF!&lt;200,#REF!&lt;200), "Light User", "Balanced User")))</f>
        <v>#REF!</v>
      </c>
      <c r="AC421" t="e">
        <f>IF(#REF! = 0, "No Usage", IF(#REF! &lt;= 20, "Low Usage", IF(#REF! &lt;= 40, "Medium Usgae", "High Usage")))</f>
        <v>#REF!</v>
      </c>
      <c r="AD421" t="e">
        <f>IF(#REF!&lt;=150,"Low Usage", IF(#REF!&lt;=200,"Medium Usage", IF(#REF!&lt;=250,"High Usage","Very High Usage")))</f>
        <v>#REF!</v>
      </c>
      <c r="AE421" t="e">
        <f>IF(#REF!&lt;=5,"Low Calls", IF(#REF!&lt;=10, "Medium Calls", "High Calls"))</f>
        <v>#REF!</v>
      </c>
      <c r="AF421" t="e">
        <f xml:space="preserve">
IF(#REF!&gt;=4,4,0)+
IF(#REF!="yes",3,0)+
IF(#REF!="High Charges",3,0)+
IF(#REF!&gt;250,4,0)+
IF(#REF!="no",1,0)+
IF(#REF!="Heavy Domestic User",2,0)</f>
        <v>#REF!</v>
      </c>
      <c r="AG421" t="e">
        <f>IF(#REF!&gt;=10,"High Risk", IF(#REF!&gt;=5,"Medium Risk","Low Risk"))</f>
        <v>#REF!</v>
      </c>
      <c r="AH421" t="e">
        <f>#REF! + #REF! + #REF! + #REF!</f>
        <v>#REF!</v>
      </c>
    </row>
    <row r="422" spans="1:34" x14ac:dyDescent="0.35">
      <c r="A422">
        <v>421</v>
      </c>
      <c r="B422" t="s">
        <v>70</v>
      </c>
      <c r="C422">
        <v>143</v>
      </c>
      <c r="D422" t="s">
        <v>25</v>
      </c>
      <c r="E422" t="s">
        <v>22</v>
      </c>
      <c r="F422" t="s">
        <v>23</v>
      </c>
      <c r="G422">
        <v>24</v>
      </c>
      <c r="H422">
        <v>186.6</v>
      </c>
      <c r="I422">
        <v>69</v>
      </c>
      <c r="J422">
        <v>31.72</v>
      </c>
      <c r="K422">
        <v>222</v>
      </c>
      <c r="L422">
        <v>116</v>
      </c>
      <c r="M422">
        <v>18.87</v>
      </c>
      <c r="N422">
        <v>234.9</v>
      </c>
      <c r="O422">
        <v>138</v>
      </c>
      <c r="P422">
        <v>10.57</v>
      </c>
      <c r="Q422">
        <v>11.6</v>
      </c>
      <c r="R422">
        <v>5</v>
      </c>
      <c r="S422">
        <v>3.13</v>
      </c>
      <c r="T422">
        <v>1</v>
      </c>
      <c r="U422" t="s">
        <v>22</v>
      </c>
      <c r="V422" t="e">
        <f>IF(#REF! = "yes", 1, 0)</f>
        <v>#REF!</v>
      </c>
      <c r="W422" t="e">
        <f>IF(#REF! &lt;= 1, "0-1 Calls", IF(#REF! &lt;= 3, "2-3 Calls", IF(#REF! &lt;=5, "4-5 Calls", "6+ Calls")))</f>
        <v>#REF!</v>
      </c>
      <c r="X422" t="e">
        <f>IF(#REF! &lt;= 50, "0-50", IF(#REF! &lt;=100, "51-100", IF(#REF! &lt;= 150, "101-150", "151+")))</f>
        <v>#REF!</v>
      </c>
      <c r="Y422" t="e">
        <f>IF(#REF! &lt;= 3, "Low Charges", "High Charges")</f>
        <v>#REF!</v>
      </c>
      <c r="Z422" t="e">
        <f>IF(#REF!&lt;=80,"Low Calls",
IF(#REF!&lt;=120,"Medium Calls","High Calls"))</f>
        <v>#REF!</v>
      </c>
      <c r="AA422" t="e">
        <f>IF(#REF!&lt;=15,"Low Charges",
IF(#REF!&lt;=20,"Medium Charges","High Charges"))</f>
        <v>#REF!</v>
      </c>
      <c r="AB422" t="e">
        <f>IF(AND(#REF!&gt;180, #REF!&gt;200), "Heavy Doemstic User", IF(#REF!&gt;10, "Interntional User", IF(AND(#REF!&lt;180, #REF!&lt;200,#REF!&lt;200), "Light User", "Balanced User")))</f>
        <v>#REF!</v>
      </c>
      <c r="AC422" t="e">
        <f>IF(#REF! = 0, "No Usage", IF(#REF! &lt;= 20, "Low Usage", IF(#REF! &lt;= 40, "Medium Usgae", "High Usage")))</f>
        <v>#REF!</v>
      </c>
      <c r="AD422" t="e">
        <f>IF(#REF!&lt;=150,"Low Usage", IF(#REF!&lt;=200,"Medium Usage", IF(#REF!&lt;=250,"High Usage","Very High Usage")))</f>
        <v>#REF!</v>
      </c>
      <c r="AE422" t="e">
        <f>IF(#REF!&lt;=5,"Low Calls", IF(#REF!&lt;=10, "Medium Calls", "High Calls"))</f>
        <v>#REF!</v>
      </c>
      <c r="AF422" t="e">
        <f xml:space="preserve">
IF(#REF!&gt;=4,4,0)+
IF(#REF!="yes",3,0)+
IF(#REF!="High Charges",3,0)+
IF(#REF!&gt;250,4,0)+
IF(#REF!="no",1,0)+
IF(#REF!="Heavy Domestic User",2,0)</f>
        <v>#REF!</v>
      </c>
      <c r="AG422" t="e">
        <f>IF(#REF!&gt;=10,"High Risk", IF(#REF!&gt;=5,"Medium Risk","Low Risk"))</f>
        <v>#REF!</v>
      </c>
      <c r="AH422" t="e">
        <f>#REF! + #REF! + #REF! + #REF!</f>
        <v>#REF!</v>
      </c>
    </row>
    <row r="423" spans="1:34" x14ac:dyDescent="0.35">
      <c r="A423">
        <v>422</v>
      </c>
      <c r="B423" t="s">
        <v>67</v>
      </c>
      <c r="C423">
        <v>118</v>
      </c>
      <c r="D423" t="s">
        <v>21</v>
      </c>
      <c r="E423" t="s">
        <v>22</v>
      </c>
      <c r="F423" t="s">
        <v>23</v>
      </c>
      <c r="G423">
        <v>26</v>
      </c>
      <c r="H423">
        <v>170.8</v>
      </c>
      <c r="I423">
        <v>114</v>
      </c>
      <c r="J423">
        <v>29.04</v>
      </c>
      <c r="K423">
        <v>199.5</v>
      </c>
      <c r="L423">
        <v>125</v>
      </c>
      <c r="M423">
        <v>16.96</v>
      </c>
      <c r="N423">
        <v>169.7</v>
      </c>
      <c r="O423">
        <v>98</v>
      </c>
      <c r="P423">
        <v>7.64</v>
      </c>
      <c r="Q423">
        <v>9.6</v>
      </c>
      <c r="R423">
        <v>5</v>
      </c>
      <c r="S423">
        <v>2.59</v>
      </c>
      <c r="T423">
        <v>5</v>
      </c>
      <c r="U423" t="s">
        <v>23</v>
      </c>
      <c r="V423" t="e">
        <f>IF(#REF! = "yes", 1, 0)</f>
        <v>#REF!</v>
      </c>
      <c r="W423" t="e">
        <f>IF(#REF! &lt;= 1, "0-1 Calls", IF(#REF! &lt;= 3, "2-3 Calls", IF(#REF! &lt;=5, "4-5 Calls", "6+ Calls")))</f>
        <v>#REF!</v>
      </c>
      <c r="X423" t="e">
        <f>IF(#REF! &lt;= 50, "0-50", IF(#REF! &lt;=100, "51-100", IF(#REF! &lt;= 150, "101-150", "151+")))</f>
        <v>#REF!</v>
      </c>
      <c r="Y423" t="e">
        <f>IF(#REF! &lt;= 3, "Low Charges", "High Charges")</f>
        <v>#REF!</v>
      </c>
      <c r="Z423" t="e">
        <f>IF(#REF!&lt;=80,"Low Calls",
IF(#REF!&lt;=120,"Medium Calls","High Calls"))</f>
        <v>#REF!</v>
      </c>
      <c r="AA423" t="e">
        <f>IF(#REF!&lt;=15,"Low Charges",
IF(#REF!&lt;=20,"Medium Charges","High Charges"))</f>
        <v>#REF!</v>
      </c>
      <c r="AB423" t="e">
        <f>IF(AND(#REF!&gt;180, #REF!&gt;200), "Heavy Doemstic User", IF(#REF!&gt;10, "Interntional User", IF(AND(#REF!&lt;180, #REF!&lt;200,#REF!&lt;200), "Light User", "Balanced User")))</f>
        <v>#REF!</v>
      </c>
      <c r="AC423" t="e">
        <f>IF(#REF! = 0, "No Usage", IF(#REF! &lt;= 20, "Low Usage", IF(#REF! &lt;= 40, "Medium Usgae", "High Usage")))</f>
        <v>#REF!</v>
      </c>
      <c r="AD423" t="e">
        <f>IF(#REF!&lt;=150,"Low Usage", IF(#REF!&lt;=200,"Medium Usage", IF(#REF!&lt;=250,"High Usage","Very High Usage")))</f>
        <v>#REF!</v>
      </c>
      <c r="AE423" t="e">
        <f>IF(#REF!&lt;=5,"Low Calls", IF(#REF!&lt;=10, "Medium Calls", "High Calls"))</f>
        <v>#REF!</v>
      </c>
      <c r="AF423" t="e">
        <f xml:space="preserve">
IF(#REF!&gt;=4,4,0)+
IF(#REF!="yes",3,0)+
IF(#REF!="High Charges",3,0)+
IF(#REF!&gt;250,4,0)+
IF(#REF!="no",1,0)+
IF(#REF!="Heavy Domestic User",2,0)</f>
        <v>#REF!</v>
      </c>
      <c r="AG423" t="e">
        <f>IF(#REF!&gt;=10,"High Risk", IF(#REF!&gt;=5,"Medium Risk","Low Risk"))</f>
        <v>#REF!</v>
      </c>
      <c r="AH423" t="e">
        <f>#REF! + #REF! + #REF! + #REF!</f>
        <v>#REF!</v>
      </c>
    </row>
    <row r="424" spans="1:34" x14ac:dyDescent="0.35">
      <c r="A424">
        <v>423</v>
      </c>
      <c r="B424" t="s">
        <v>64</v>
      </c>
      <c r="C424">
        <v>193</v>
      </c>
      <c r="D424" t="s">
        <v>25</v>
      </c>
      <c r="E424" t="s">
        <v>22</v>
      </c>
      <c r="F424" t="s">
        <v>23</v>
      </c>
      <c r="G424">
        <v>17</v>
      </c>
      <c r="H424">
        <v>124</v>
      </c>
      <c r="I424">
        <v>102</v>
      </c>
      <c r="J424">
        <v>21.08</v>
      </c>
      <c r="K424">
        <v>202.9</v>
      </c>
      <c r="L424">
        <v>81</v>
      </c>
      <c r="M424">
        <v>17.25</v>
      </c>
      <c r="N424">
        <v>205.1</v>
      </c>
      <c r="O424">
        <v>129</v>
      </c>
      <c r="P424">
        <v>9.23</v>
      </c>
      <c r="Q424">
        <v>12.3</v>
      </c>
      <c r="R424">
        <v>3</v>
      </c>
      <c r="S424">
        <v>3.32</v>
      </c>
      <c r="T424">
        <v>1</v>
      </c>
      <c r="U424" t="s">
        <v>22</v>
      </c>
      <c r="V424" t="e">
        <f>IF(#REF! = "yes", 1, 0)</f>
        <v>#REF!</v>
      </c>
      <c r="W424" t="e">
        <f>IF(#REF! &lt;= 1, "0-1 Calls", IF(#REF! &lt;= 3, "2-3 Calls", IF(#REF! &lt;=5, "4-5 Calls", "6+ Calls")))</f>
        <v>#REF!</v>
      </c>
      <c r="X424" t="e">
        <f>IF(#REF! &lt;= 50, "0-50", IF(#REF! &lt;=100, "51-100", IF(#REF! &lt;= 150, "101-150", "151+")))</f>
        <v>#REF!</v>
      </c>
      <c r="Y424" t="e">
        <f>IF(#REF! &lt;= 3, "Low Charges", "High Charges")</f>
        <v>#REF!</v>
      </c>
      <c r="Z424" t="e">
        <f>IF(#REF!&lt;=80,"Low Calls",
IF(#REF!&lt;=120,"Medium Calls","High Calls"))</f>
        <v>#REF!</v>
      </c>
      <c r="AA424" t="e">
        <f>IF(#REF!&lt;=15,"Low Charges",
IF(#REF!&lt;=20,"Medium Charges","High Charges"))</f>
        <v>#REF!</v>
      </c>
      <c r="AB424" t="e">
        <f>IF(AND(#REF!&gt;180, #REF!&gt;200), "Heavy Doemstic User", IF(#REF!&gt;10, "Interntional User", IF(AND(#REF!&lt;180, #REF!&lt;200,#REF!&lt;200), "Light User", "Balanced User")))</f>
        <v>#REF!</v>
      </c>
      <c r="AC424" t="e">
        <f>IF(#REF! = 0, "No Usage", IF(#REF! &lt;= 20, "Low Usage", IF(#REF! &lt;= 40, "Medium Usgae", "High Usage")))</f>
        <v>#REF!</v>
      </c>
      <c r="AD424" t="e">
        <f>IF(#REF!&lt;=150,"Low Usage", IF(#REF!&lt;=200,"Medium Usage", IF(#REF!&lt;=250,"High Usage","Very High Usage")))</f>
        <v>#REF!</v>
      </c>
      <c r="AE424" t="e">
        <f>IF(#REF!&lt;=5,"Low Calls", IF(#REF!&lt;=10, "Medium Calls", "High Calls"))</f>
        <v>#REF!</v>
      </c>
      <c r="AF424" t="e">
        <f xml:space="preserve">
IF(#REF!&gt;=4,4,0)+
IF(#REF!="yes",3,0)+
IF(#REF!="High Charges",3,0)+
IF(#REF!&gt;250,4,0)+
IF(#REF!="no",1,0)+
IF(#REF!="Heavy Domestic User",2,0)</f>
        <v>#REF!</v>
      </c>
      <c r="AG424" t="e">
        <f>IF(#REF!&gt;=10,"High Risk", IF(#REF!&gt;=5,"Medium Risk","Low Risk"))</f>
        <v>#REF!</v>
      </c>
      <c r="AH424" t="e">
        <f>#REF! + #REF! + #REF! + #REF!</f>
        <v>#REF!</v>
      </c>
    </row>
    <row r="425" spans="1:34" x14ac:dyDescent="0.35">
      <c r="A425">
        <v>424</v>
      </c>
      <c r="B425" t="s">
        <v>69</v>
      </c>
      <c r="C425">
        <v>73</v>
      </c>
      <c r="D425" t="s">
        <v>21</v>
      </c>
      <c r="E425" t="s">
        <v>22</v>
      </c>
      <c r="F425" t="s">
        <v>22</v>
      </c>
      <c r="G425">
        <v>0</v>
      </c>
      <c r="H425">
        <v>198.3</v>
      </c>
      <c r="I425">
        <v>94</v>
      </c>
      <c r="J425">
        <v>33.71</v>
      </c>
      <c r="K425">
        <v>279.3</v>
      </c>
      <c r="L425">
        <v>101</v>
      </c>
      <c r="M425">
        <v>23.74</v>
      </c>
      <c r="N425">
        <v>146.19999999999999</v>
      </c>
      <c r="O425">
        <v>87</v>
      </c>
      <c r="P425">
        <v>6.58</v>
      </c>
      <c r="Q425">
        <v>14.8</v>
      </c>
      <c r="R425">
        <v>8</v>
      </c>
      <c r="S425">
        <v>4</v>
      </c>
      <c r="T425">
        <v>3</v>
      </c>
      <c r="U425" t="s">
        <v>22</v>
      </c>
      <c r="V425" t="e">
        <f>IF(#REF! = "yes", 1, 0)</f>
        <v>#REF!</v>
      </c>
      <c r="W425" t="e">
        <f>IF(#REF! &lt;= 1, "0-1 Calls", IF(#REF! &lt;= 3, "2-3 Calls", IF(#REF! &lt;=5, "4-5 Calls", "6+ Calls")))</f>
        <v>#REF!</v>
      </c>
      <c r="X425" t="e">
        <f>IF(#REF! &lt;= 50, "0-50", IF(#REF! &lt;=100, "51-100", IF(#REF! &lt;= 150, "101-150", "151+")))</f>
        <v>#REF!</v>
      </c>
      <c r="Y425" t="e">
        <f>IF(#REF! &lt;= 3, "Low Charges", "High Charges")</f>
        <v>#REF!</v>
      </c>
      <c r="Z425" t="e">
        <f>IF(#REF!&lt;=80,"Low Calls",
IF(#REF!&lt;=120,"Medium Calls","High Calls"))</f>
        <v>#REF!</v>
      </c>
      <c r="AA425" t="e">
        <f>IF(#REF!&lt;=15,"Low Charges",
IF(#REF!&lt;=20,"Medium Charges","High Charges"))</f>
        <v>#REF!</v>
      </c>
      <c r="AB425" t="e">
        <f>IF(AND(#REF!&gt;180, #REF!&gt;200), "Heavy Doemstic User", IF(#REF!&gt;10, "Interntional User", IF(AND(#REF!&lt;180, #REF!&lt;200,#REF!&lt;200), "Light User", "Balanced User")))</f>
        <v>#REF!</v>
      </c>
      <c r="AC425" t="e">
        <f>IF(#REF! = 0, "No Usage", IF(#REF! &lt;= 20, "Low Usage", IF(#REF! &lt;= 40, "Medium Usgae", "High Usage")))</f>
        <v>#REF!</v>
      </c>
      <c r="AD425" t="e">
        <f>IF(#REF!&lt;=150,"Low Usage", IF(#REF!&lt;=200,"Medium Usage", IF(#REF!&lt;=250,"High Usage","Very High Usage")))</f>
        <v>#REF!</v>
      </c>
      <c r="AE425" t="e">
        <f>IF(#REF!&lt;=5,"Low Calls", IF(#REF!&lt;=10, "Medium Calls", "High Calls"))</f>
        <v>#REF!</v>
      </c>
      <c r="AF425" t="e">
        <f xml:space="preserve">
IF(#REF!&gt;=4,4,0)+
IF(#REF!="yes",3,0)+
IF(#REF!="High Charges",3,0)+
IF(#REF!&gt;250,4,0)+
IF(#REF!="no",1,0)+
IF(#REF!="Heavy Domestic User",2,0)</f>
        <v>#REF!</v>
      </c>
      <c r="AG425" t="e">
        <f>IF(#REF!&gt;=10,"High Risk", IF(#REF!&gt;=5,"Medium Risk","Low Risk"))</f>
        <v>#REF!</v>
      </c>
      <c r="AH425" t="e">
        <f>#REF! + #REF! + #REF! + #REF!</f>
        <v>#REF!</v>
      </c>
    </row>
    <row r="426" spans="1:34" x14ac:dyDescent="0.35">
      <c r="A426">
        <v>425</v>
      </c>
      <c r="B426" t="s">
        <v>38</v>
      </c>
      <c r="C426">
        <v>62</v>
      </c>
      <c r="D426" t="s">
        <v>25</v>
      </c>
      <c r="E426" t="s">
        <v>22</v>
      </c>
      <c r="F426" t="s">
        <v>22</v>
      </c>
      <c r="G426">
        <v>0</v>
      </c>
      <c r="H426">
        <v>172.8</v>
      </c>
      <c r="I426">
        <v>101</v>
      </c>
      <c r="J426">
        <v>29.38</v>
      </c>
      <c r="K426">
        <v>204.8</v>
      </c>
      <c r="L426">
        <v>97</v>
      </c>
      <c r="M426">
        <v>17.41</v>
      </c>
      <c r="N426">
        <v>240.8</v>
      </c>
      <c r="O426">
        <v>90</v>
      </c>
      <c r="P426">
        <v>10.84</v>
      </c>
      <c r="Q426">
        <v>9.1</v>
      </c>
      <c r="R426">
        <v>8</v>
      </c>
      <c r="S426">
        <v>2.46</v>
      </c>
      <c r="T426">
        <v>2</v>
      </c>
      <c r="U426" t="s">
        <v>22</v>
      </c>
      <c r="V426" t="e">
        <f>IF(#REF! = "yes", 1, 0)</f>
        <v>#REF!</v>
      </c>
      <c r="W426" t="e">
        <f>IF(#REF! &lt;= 1, "0-1 Calls", IF(#REF! &lt;= 3, "2-3 Calls", IF(#REF! &lt;=5, "4-5 Calls", "6+ Calls")))</f>
        <v>#REF!</v>
      </c>
      <c r="X426" t="e">
        <f>IF(#REF! &lt;= 50, "0-50", IF(#REF! &lt;=100, "51-100", IF(#REF! &lt;= 150, "101-150", "151+")))</f>
        <v>#REF!</v>
      </c>
      <c r="Y426" t="e">
        <f>IF(#REF! &lt;= 3, "Low Charges", "High Charges")</f>
        <v>#REF!</v>
      </c>
      <c r="Z426" t="e">
        <f>IF(#REF!&lt;=80,"Low Calls",
IF(#REF!&lt;=120,"Medium Calls","High Calls"))</f>
        <v>#REF!</v>
      </c>
      <c r="AA426" t="e">
        <f>IF(#REF!&lt;=15,"Low Charges",
IF(#REF!&lt;=20,"Medium Charges","High Charges"))</f>
        <v>#REF!</v>
      </c>
      <c r="AB426" t="e">
        <f>IF(AND(#REF!&gt;180, #REF!&gt;200), "Heavy Doemstic User", IF(#REF!&gt;10, "Interntional User", IF(AND(#REF!&lt;180, #REF!&lt;200,#REF!&lt;200), "Light User", "Balanced User")))</f>
        <v>#REF!</v>
      </c>
      <c r="AC426" t="e">
        <f>IF(#REF! = 0, "No Usage", IF(#REF! &lt;= 20, "Low Usage", IF(#REF! &lt;= 40, "Medium Usgae", "High Usage")))</f>
        <v>#REF!</v>
      </c>
      <c r="AD426" t="e">
        <f>IF(#REF!&lt;=150,"Low Usage", IF(#REF!&lt;=200,"Medium Usage", IF(#REF!&lt;=250,"High Usage","Very High Usage")))</f>
        <v>#REF!</v>
      </c>
      <c r="AE426" t="e">
        <f>IF(#REF!&lt;=5,"Low Calls", IF(#REF!&lt;=10, "Medium Calls", "High Calls"))</f>
        <v>#REF!</v>
      </c>
      <c r="AF426" t="e">
        <f xml:space="preserve">
IF(#REF!&gt;=4,4,0)+
IF(#REF!="yes",3,0)+
IF(#REF!="High Charges",3,0)+
IF(#REF!&gt;250,4,0)+
IF(#REF!="no",1,0)+
IF(#REF!="Heavy Domestic User",2,0)</f>
        <v>#REF!</v>
      </c>
      <c r="AG426" t="e">
        <f>IF(#REF!&gt;=10,"High Risk", IF(#REF!&gt;=5,"Medium Risk","Low Risk"))</f>
        <v>#REF!</v>
      </c>
      <c r="AH426" t="e">
        <f>#REF! + #REF! + #REF! + #REF!</f>
        <v>#REF!</v>
      </c>
    </row>
    <row r="427" spans="1:34" x14ac:dyDescent="0.35">
      <c r="A427">
        <v>426</v>
      </c>
      <c r="B427" t="s">
        <v>54</v>
      </c>
      <c r="C427">
        <v>30</v>
      </c>
      <c r="D427" t="s">
        <v>21</v>
      </c>
      <c r="E427" t="s">
        <v>22</v>
      </c>
      <c r="F427" t="s">
        <v>23</v>
      </c>
      <c r="G427">
        <v>30</v>
      </c>
      <c r="H427">
        <v>217.4</v>
      </c>
      <c r="I427">
        <v>74</v>
      </c>
      <c r="J427">
        <v>36.96</v>
      </c>
      <c r="K427">
        <v>213.8</v>
      </c>
      <c r="L427">
        <v>86</v>
      </c>
      <c r="M427">
        <v>18.170000000000002</v>
      </c>
      <c r="N427">
        <v>227.2</v>
      </c>
      <c r="O427">
        <v>104</v>
      </c>
      <c r="P427">
        <v>10.220000000000001</v>
      </c>
      <c r="Q427">
        <v>6.6</v>
      </c>
      <c r="R427">
        <v>3</v>
      </c>
      <c r="S427">
        <v>1.78</v>
      </c>
      <c r="T427">
        <v>0</v>
      </c>
      <c r="U427" t="s">
        <v>22</v>
      </c>
      <c r="V427" t="e">
        <f>IF(#REF! = "yes", 1, 0)</f>
        <v>#REF!</v>
      </c>
      <c r="W427" t="e">
        <f>IF(#REF! &lt;= 1, "0-1 Calls", IF(#REF! &lt;= 3, "2-3 Calls", IF(#REF! &lt;=5, "4-5 Calls", "6+ Calls")))</f>
        <v>#REF!</v>
      </c>
      <c r="X427" t="e">
        <f>IF(#REF! &lt;= 50, "0-50", IF(#REF! &lt;=100, "51-100", IF(#REF! &lt;= 150, "101-150", "151+")))</f>
        <v>#REF!</v>
      </c>
      <c r="Y427" t="e">
        <f>IF(#REF! &lt;= 3, "Low Charges", "High Charges")</f>
        <v>#REF!</v>
      </c>
      <c r="Z427" t="e">
        <f>IF(#REF!&lt;=80,"Low Calls",
IF(#REF!&lt;=120,"Medium Calls","High Calls"))</f>
        <v>#REF!</v>
      </c>
      <c r="AA427" t="e">
        <f>IF(#REF!&lt;=15,"Low Charges",
IF(#REF!&lt;=20,"Medium Charges","High Charges"))</f>
        <v>#REF!</v>
      </c>
      <c r="AB427" t="e">
        <f>IF(AND(#REF!&gt;180, #REF!&gt;200), "Heavy Doemstic User", IF(#REF!&gt;10, "Interntional User", IF(AND(#REF!&lt;180, #REF!&lt;200,#REF!&lt;200), "Light User", "Balanced User")))</f>
        <v>#REF!</v>
      </c>
      <c r="AC427" t="e">
        <f>IF(#REF! = 0, "No Usage", IF(#REF! &lt;= 20, "Low Usage", IF(#REF! &lt;= 40, "Medium Usgae", "High Usage")))</f>
        <v>#REF!</v>
      </c>
      <c r="AD427" t="e">
        <f>IF(#REF!&lt;=150,"Low Usage", IF(#REF!&lt;=200,"Medium Usage", IF(#REF!&lt;=250,"High Usage","Very High Usage")))</f>
        <v>#REF!</v>
      </c>
      <c r="AE427" t="e">
        <f>IF(#REF!&lt;=5,"Low Calls", IF(#REF!&lt;=10, "Medium Calls", "High Calls"))</f>
        <v>#REF!</v>
      </c>
      <c r="AF427" t="e">
        <f xml:space="preserve">
IF(#REF!&gt;=4,4,0)+
IF(#REF!="yes",3,0)+
IF(#REF!="High Charges",3,0)+
IF(#REF!&gt;250,4,0)+
IF(#REF!="no",1,0)+
IF(#REF!="Heavy Domestic User",2,0)</f>
        <v>#REF!</v>
      </c>
      <c r="AG427" t="e">
        <f>IF(#REF!&gt;=10,"High Risk", IF(#REF!&gt;=5,"Medium Risk","Low Risk"))</f>
        <v>#REF!</v>
      </c>
      <c r="AH427" t="e">
        <f>#REF! + #REF! + #REF! + #REF!</f>
        <v>#REF!</v>
      </c>
    </row>
    <row r="428" spans="1:34" x14ac:dyDescent="0.35">
      <c r="A428">
        <v>427</v>
      </c>
      <c r="B428" t="s">
        <v>68</v>
      </c>
      <c r="C428">
        <v>60</v>
      </c>
      <c r="D428" t="s">
        <v>25</v>
      </c>
      <c r="E428" t="s">
        <v>23</v>
      </c>
      <c r="F428" t="s">
        <v>23</v>
      </c>
      <c r="G428">
        <v>29</v>
      </c>
      <c r="H428">
        <v>265.89999999999998</v>
      </c>
      <c r="I428">
        <v>113</v>
      </c>
      <c r="J428">
        <v>45.2</v>
      </c>
      <c r="K428">
        <v>215.8</v>
      </c>
      <c r="L428">
        <v>94</v>
      </c>
      <c r="M428">
        <v>18.34</v>
      </c>
      <c r="N428">
        <v>108.1</v>
      </c>
      <c r="O428">
        <v>82</v>
      </c>
      <c r="P428">
        <v>4.8600000000000003</v>
      </c>
      <c r="Q428">
        <v>14</v>
      </c>
      <c r="R428">
        <v>12</v>
      </c>
      <c r="S428">
        <v>3.78</v>
      </c>
      <c r="T428">
        <v>0</v>
      </c>
      <c r="U428" t="s">
        <v>23</v>
      </c>
      <c r="V428" t="e">
        <f>IF(#REF! = "yes", 1, 0)</f>
        <v>#REF!</v>
      </c>
      <c r="W428" t="e">
        <f>IF(#REF! &lt;= 1, "0-1 Calls", IF(#REF! &lt;= 3, "2-3 Calls", IF(#REF! &lt;=5, "4-5 Calls", "6+ Calls")))</f>
        <v>#REF!</v>
      </c>
      <c r="X428" t="e">
        <f>IF(#REF! &lt;= 50, "0-50", IF(#REF! &lt;=100, "51-100", IF(#REF! &lt;= 150, "101-150", "151+")))</f>
        <v>#REF!</v>
      </c>
      <c r="Y428" t="e">
        <f>IF(#REF! &lt;= 3, "Low Charges", "High Charges")</f>
        <v>#REF!</v>
      </c>
      <c r="Z428" t="e">
        <f>IF(#REF!&lt;=80,"Low Calls",
IF(#REF!&lt;=120,"Medium Calls","High Calls"))</f>
        <v>#REF!</v>
      </c>
      <c r="AA428" t="e">
        <f>IF(#REF!&lt;=15,"Low Charges",
IF(#REF!&lt;=20,"Medium Charges","High Charges"))</f>
        <v>#REF!</v>
      </c>
      <c r="AB428" t="e">
        <f>IF(AND(#REF!&gt;180, #REF!&gt;200), "Heavy Doemstic User", IF(#REF!&gt;10, "Interntional User", IF(AND(#REF!&lt;180, #REF!&lt;200,#REF!&lt;200), "Light User", "Balanced User")))</f>
        <v>#REF!</v>
      </c>
      <c r="AC428" t="e">
        <f>IF(#REF! = 0, "No Usage", IF(#REF! &lt;= 20, "Low Usage", IF(#REF! &lt;= 40, "Medium Usgae", "High Usage")))</f>
        <v>#REF!</v>
      </c>
      <c r="AD428" t="e">
        <f>IF(#REF!&lt;=150,"Low Usage", IF(#REF!&lt;=200,"Medium Usage", IF(#REF!&lt;=250,"High Usage","Very High Usage")))</f>
        <v>#REF!</v>
      </c>
      <c r="AE428" t="e">
        <f>IF(#REF!&lt;=5,"Low Calls", IF(#REF!&lt;=10, "Medium Calls", "High Calls"))</f>
        <v>#REF!</v>
      </c>
      <c r="AF428" t="e">
        <f xml:space="preserve">
IF(#REF!&gt;=4,4,0)+
IF(#REF!="yes",3,0)+
IF(#REF!="High Charges",3,0)+
IF(#REF!&gt;250,4,0)+
IF(#REF!="no",1,0)+
IF(#REF!="Heavy Domestic User",2,0)</f>
        <v>#REF!</v>
      </c>
      <c r="AG428" t="e">
        <f>IF(#REF!&gt;=10,"High Risk", IF(#REF!&gt;=5,"Medium Risk","Low Risk"))</f>
        <v>#REF!</v>
      </c>
      <c r="AH428" t="e">
        <f>#REF! + #REF! + #REF! + #REF!</f>
        <v>#REF!</v>
      </c>
    </row>
    <row r="429" spans="1:34" x14ac:dyDescent="0.35">
      <c r="A429">
        <v>428</v>
      </c>
      <c r="B429" t="s">
        <v>67</v>
      </c>
      <c r="C429">
        <v>96</v>
      </c>
      <c r="D429" t="s">
        <v>28</v>
      </c>
      <c r="E429" t="s">
        <v>22</v>
      </c>
      <c r="F429" t="s">
        <v>22</v>
      </c>
      <c r="G429">
        <v>0</v>
      </c>
      <c r="H429">
        <v>98.2</v>
      </c>
      <c r="I429">
        <v>100</v>
      </c>
      <c r="J429">
        <v>16.690000000000001</v>
      </c>
      <c r="K429">
        <v>307.2</v>
      </c>
      <c r="L429">
        <v>88</v>
      </c>
      <c r="M429">
        <v>26.11</v>
      </c>
      <c r="N429">
        <v>182.5</v>
      </c>
      <c r="O429">
        <v>120</v>
      </c>
      <c r="P429">
        <v>8.2100000000000009</v>
      </c>
      <c r="Q429">
        <v>7.6</v>
      </c>
      <c r="R429">
        <v>1</v>
      </c>
      <c r="S429">
        <v>2.0499999999999998</v>
      </c>
      <c r="T429">
        <v>2</v>
      </c>
      <c r="U429" t="s">
        <v>22</v>
      </c>
      <c r="V429" t="e">
        <f>IF(#REF! = "yes", 1, 0)</f>
        <v>#REF!</v>
      </c>
      <c r="W429" t="e">
        <f>IF(#REF! &lt;= 1, "0-1 Calls", IF(#REF! &lt;= 3, "2-3 Calls", IF(#REF! &lt;=5, "4-5 Calls", "6+ Calls")))</f>
        <v>#REF!</v>
      </c>
      <c r="X429" t="e">
        <f>IF(#REF! &lt;= 50, "0-50", IF(#REF! &lt;=100, "51-100", IF(#REF! &lt;= 150, "101-150", "151+")))</f>
        <v>#REF!</v>
      </c>
      <c r="Y429" t="e">
        <f>IF(#REF! &lt;= 3, "Low Charges", "High Charges")</f>
        <v>#REF!</v>
      </c>
      <c r="Z429" t="e">
        <f>IF(#REF!&lt;=80,"Low Calls",
IF(#REF!&lt;=120,"Medium Calls","High Calls"))</f>
        <v>#REF!</v>
      </c>
      <c r="AA429" t="e">
        <f>IF(#REF!&lt;=15,"Low Charges",
IF(#REF!&lt;=20,"Medium Charges","High Charges"))</f>
        <v>#REF!</v>
      </c>
      <c r="AB429" t="e">
        <f>IF(AND(#REF!&gt;180, #REF!&gt;200), "Heavy Doemstic User", IF(#REF!&gt;10, "Interntional User", IF(AND(#REF!&lt;180, #REF!&lt;200,#REF!&lt;200), "Light User", "Balanced User")))</f>
        <v>#REF!</v>
      </c>
      <c r="AC429" t="e">
        <f>IF(#REF! = 0, "No Usage", IF(#REF! &lt;= 20, "Low Usage", IF(#REF! &lt;= 40, "Medium Usgae", "High Usage")))</f>
        <v>#REF!</v>
      </c>
      <c r="AD429" t="e">
        <f>IF(#REF!&lt;=150,"Low Usage", IF(#REF!&lt;=200,"Medium Usage", IF(#REF!&lt;=250,"High Usage","Very High Usage")))</f>
        <v>#REF!</v>
      </c>
      <c r="AE429" t="e">
        <f>IF(#REF!&lt;=5,"Low Calls", IF(#REF!&lt;=10, "Medium Calls", "High Calls"))</f>
        <v>#REF!</v>
      </c>
      <c r="AF429" t="e">
        <f xml:space="preserve">
IF(#REF!&gt;=4,4,0)+
IF(#REF!="yes",3,0)+
IF(#REF!="High Charges",3,0)+
IF(#REF!&gt;250,4,0)+
IF(#REF!="no",1,0)+
IF(#REF!="Heavy Domestic User",2,0)</f>
        <v>#REF!</v>
      </c>
      <c r="AG429" t="e">
        <f>IF(#REF!&gt;=10,"High Risk", IF(#REF!&gt;=5,"Medium Risk","Low Risk"))</f>
        <v>#REF!</v>
      </c>
      <c r="AH429" t="e">
        <f>#REF! + #REF! + #REF! + #REF!</f>
        <v>#REF!</v>
      </c>
    </row>
    <row r="430" spans="1:34" x14ac:dyDescent="0.35">
      <c r="A430">
        <v>429</v>
      </c>
      <c r="B430" t="s">
        <v>26</v>
      </c>
      <c r="C430">
        <v>52</v>
      </c>
      <c r="D430" t="s">
        <v>25</v>
      </c>
      <c r="E430" t="s">
        <v>22</v>
      </c>
      <c r="F430" t="s">
        <v>22</v>
      </c>
      <c r="G430">
        <v>0</v>
      </c>
      <c r="H430">
        <v>214.7</v>
      </c>
      <c r="I430">
        <v>68</v>
      </c>
      <c r="J430">
        <v>36.5</v>
      </c>
      <c r="K430">
        <v>158.6</v>
      </c>
      <c r="L430">
        <v>138</v>
      </c>
      <c r="M430">
        <v>13.48</v>
      </c>
      <c r="N430">
        <v>123.4</v>
      </c>
      <c r="O430">
        <v>114</v>
      </c>
      <c r="P430">
        <v>5.55</v>
      </c>
      <c r="Q430">
        <v>9.4</v>
      </c>
      <c r="R430">
        <v>4</v>
      </c>
      <c r="S430">
        <v>2.54</v>
      </c>
      <c r="T430">
        <v>2</v>
      </c>
      <c r="U430" t="s">
        <v>22</v>
      </c>
      <c r="V430" t="e">
        <f>IF(#REF! = "yes", 1, 0)</f>
        <v>#REF!</v>
      </c>
      <c r="W430" t="e">
        <f>IF(#REF! &lt;= 1, "0-1 Calls", IF(#REF! &lt;= 3, "2-3 Calls", IF(#REF! &lt;=5, "4-5 Calls", "6+ Calls")))</f>
        <v>#REF!</v>
      </c>
      <c r="X430" t="e">
        <f>IF(#REF! &lt;= 50, "0-50", IF(#REF! &lt;=100, "51-100", IF(#REF! &lt;= 150, "101-150", "151+")))</f>
        <v>#REF!</v>
      </c>
      <c r="Y430" t="e">
        <f>IF(#REF! &lt;= 3, "Low Charges", "High Charges")</f>
        <v>#REF!</v>
      </c>
      <c r="Z430" t="e">
        <f>IF(#REF!&lt;=80,"Low Calls",
IF(#REF!&lt;=120,"Medium Calls","High Calls"))</f>
        <v>#REF!</v>
      </c>
      <c r="AA430" t="e">
        <f>IF(#REF!&lt;=15,"Low Charges",
IF(#REF!&lt;=20,"Medium Charges","High Charges"))</f>
        <v>#REF!</v>
      </c>
      <c r="AB430" t="e">
        <f>IF(AND(#REF!&gt;180, #REF!&gt;200), "Heavy Doemstic User", IF(#REF!&gt;10, "Interntional User", IF(AND(#REF!&lt;180, #REF!&lt;200,#REF!&lt;200), "Light User", "Balanced User")))</f>
        <v>#REF!</v>
      </c>
      <c r="AC430" t="e">
        <f>IF(#REF! = 0, "No Usage", IF(#REF! &lt;= 20, "Low Usage", IF(#REF! &lt;= 40, "Medium Usgae", "High Usage")))</f>
        <v>#REF!</v>
      </c>
      <c r="AD430" t="e">
        <f>IF(#REF!&lt;=150,"Low Usage", IF(#REF!&lt;=200,"Medium Usage", IF(#REF!&lt;=250,"High Usage","Very High Usage")))</f>
        <v>#REF!</v>
      </c>
      <c r="AE430" t="e">
        <f>IF(#REF!&lt;=5,"Low Calls", IF(#REF!&lt;=10, "Medium Calls", "High Calls"))</f>
        <v>#REF!</v>
      </c>
      <c r="AF430" t="e">
        <f xml:space="preserve">
IF(#REF!&gt;=4,4,0)+
IF(#REF!="yes",3,0)+
IF(#REF!="High Charges",3,0)+
IF(#REF!&gt;250,4,0)+
IF(#REF!="no",1,0)+
IF(#REF!="Heavy Domestic User",2,0)</f>
        <v>#REF!</v>
      </c>
      <c r="AG430" t="e">
        <f>IF(#REF!&gt;=10,"High Risk", IF(#REF!&gt;=5,"Medium Risk","Low Risk"))</f>
        <v>#REF!</v>
      </c>
      <c r="AH430" t="e">
        <f>#REF! + #REF! + #REF! + #REF!</f>
        <v>#REF!</v>
      </c>
    </row>
    <row r="431" spans="1:34" x14ac:dyDescent="0.35">
      <c r="A431">
        <v>430</v>
      </c>
      <c r="B431" t="s">
        <v>61</v>
      </c>
      <c r="C431">
        <v>87</v>
      </c>
      <c r="D431" t="s">
        <v>21</v>
      </c>
      <c r="E431" t="s">
        <v>22</v>
      </c>
      <c r="F431" t="s">
        <v>22</v>
      </c>
      <c r="G431">
        <v>0</v>
      </c>
      <c r="H431">
        <v>168.2</v>
      </c>
      <c r="I431">
        <v>92</v>
      </c>
      <c r="J431">
        <v>28.59</v>
      </c>
      <c r="K431">
        <v>224.7</v>
      </c>
      <c r="L431">
        <v>100</v>
      </c>
      <c r="M431">
        <v>19.100000000000001</v>
      </c>
      <c r="N431">
        <v>169.5</v>
      </c>
      <c r="O431">
        <v>99</v>
      </c>
      <c r="P431">
        <v>7.63</v>
      </c>
      <c r="Q431">
        <v>12.9</v>
      </c>
      <c r="R431">
        <v>3</v>
      </c>
      <c r="S431">
        <v>3.48</v>
      </c>
      <c r="T431">
        <v>1</v>
      </c>
      <c r="U431" t="s">
        <v>22</v>
      </c>
      <c r="V431" t="e">
        <f>IF(#REF! = "yes", 1, 0)</f>
        <v>#REF!</v>
      </c>
      <c r="W431" t="e">
        <f>IF(#REF! &lt;= 1, "0-1 Calls", IF(#REF! &lt;= 3, "2-3 Calls", IF(#REF! &lt;=5, "4-5 Calls", "6+ Calls")))</f>
        <v>#REF!</v>
      </c>
      <c r="X431" t="e">
        <f>IF(#REF! &lt;= 50, "0-50", IF(#REF! &lt;=100, "51-100", IF(#REF! &lt;= 150, "101-150", "151+")))</f>
        <v>#REF!</v>
      </c>
      <c r="Y431" t="e">
        <f>IF(#REF! &lt;= 3, "Low Charges", "High Charges")</f>
        <v>#REF!</v>
      </c>
      <c r="Z431" t="e">
        <f>IF(#REF!&lt;=80,"Low Calls",
IF(#REF!&lt;=120,"Medium Calls","High Calls"))</f>
        <v>#REF!</v>
      </c>
      <c r="AA431" t="e">
        <f>IF(#REF!&lt;=15,"Low Charges",
IF(#REF!&lt;=20,"Medium Charges","High Charges"))</f>
        <v>#REF!</v>
      </c>
      <c r="AB431" t="e">
        <f>IF(AND(#REF!&gt;180, #REF!&gt;200), "Heavy Doemstic User", IF(#REF!&gt;10, "Interntional User", IF(AND(#REF!&lt;180, #REF!&lt;200,#REF!&lt;200), "Light User", "Balanced User")))</f>
        <v>#REF!</v>
      </c>
      <c r="AC431" t="e">
        <f>IF(#REF! = 0, "No Usage", IF(#REF! &lt;= 20, "Low Usage", IF(#REF! &lt;= 40, "Medium Usgae", "High Usage")))</f>
        <v>#REF!</v>
      </c>
      <c r="AD431" t="e">
        <f>IF(#REF!&lt;=150,"Low Usage", IF(#REF!&lt;=200,"Medium Usage", IF(#REF!&lt;=250,"High Usage","Very High Usage")))</f>
        <v>#REF!</v>
      </c>
      <c r="AE431" t="e">
        <f>IF(#REF!&lt;=5,"Low Calls", IF(#REF!&lt;=10, "Medium Calls", "High Calls"))</f>
        <v>#REF!</v>
      </c>
      <c r="AF431" t="e">
        <f xml:space="preserve">
IF(#REF!&gt;=4,4,0)+
IF(#REF!="yes",3,0)+
IF(#REF!="High Charges",3,0)+
IF(#REF!&gt;250,4,0)+
IF(#REF!="no",1,0)+
IF(#REF!="Heavy Domestic User",2,0)</f>
        <v>#REF!</v>
      </c>
      <c r="AG431" t="e">
        <f>IF(#REF!&gt;=10,"High Risk", IF(#REF!&gt;=5,"Medium Risk","Low Risk"))</f>
        <v>#REF!</v>
      </c>
      <c r="AH431" t="e">
        <f>#REF! + #REF! + #REF! + #REF!</f>
        <v>#REF!</v>
      </c>
    </row>
    <row r="432" spans="1:34" x14ac:dyDescent="0.35">
      <c r="A432">
        <v>431</v>
      </c>
      <c r="B432" t="s">
        <v>51</v>
      </c>
      <c r="C432">
        <v>41</v>
      </c>
      <c r="D432" t="s">
        <v>25</v>
      </c>
      <c r="E432" t="s">
        <v>22</v>
      </c>
      <c r="F432" t="s">
        <v>22</v>
      </c>
      <c r="G432">
        <v>0</v>
      </c>
      <c r="H432">
        <v>202.9</v>
      </c>
      <c r="I432">
        <v>97</v>
      </c>
      <c r="J432">
        <v>34.49</v>
      </c>
      <c r="K432">
        <v>153.80000000000001</v>
      </c>
      <c r="L432">
        <v>104</v>
      </c>
      <c r="M432">
        <v>13.07</v>
      </c>
      <c r="N432">
        <v>113.5</v>
      </c>
      <c r="O432">
        <v>92</v>
      </c>
      <c r="P432">
        <v>5.1100000000000003</v>
      </c>
      <c r="Q432">
        <v>9</v>
      </c>
      <c r="R432">
        <v>3</v>
      </c>
      <c r="S432">
        <v>2.4300000000000002</v>
      </c>
      <c r="T432">
        <v>3</v>
      </c>
      <c r="U432" t="s">
        <v>22</v>
      </c>
      <c r="V432" t="e">
        <f>IF(#REF! = "yes", 1, 0)</f>
        <v>#REF!</v>
      </c>
      <c r="W432" t="e">
        <f>IF(#REF! &lt;= 1, "0-1 Calls", IF(#REF! &lt;= 3, "2-3 Calls", IF(#REF! &lt;=5, "4-5 Calls", "6+ Calls")))</f>
        <v>#REF!</v>
      </c>
      <c r="X432" t="e">
        <f>IF(#REF! &lt;= 50, "0-50", IF(#REF! &lt;=100, "51-100", IF(#REF! &lt;= 150, "101-150", "151+")))</f>
        <v>#REF!</v>
      </c>
      <c r="Y432" t="e">
        <f>IF(#REF! &lt;= 3, "Low Charges", "High Charges")</f>
        <v>#REF!</v>
      </c>
      <c r="Z432" t="e">
        <f>IF(#REF!&lt;=80,"Low Calls",
IF(#REF!&lt;=120,"Medium Calls","High Calls"))</f>
        <v>#REF!</v>
      </c>
      <c r="AA432" t="e">
        <f>IF(#REF!&lt;=15,"Low Charges",
IF(#REF!&lt;=20,"Medium Charges","High Charges"))</f>
        <v>#REF!</v>
      </c>
      <c r="AB432" t="e">
        <f>IF(AND(#REF!&gt;180, #REF!&gt;200), "Heavy Doemstic User", IF(#REF!&gt;10, "Interntional User", IF(AND(#REF!&lt;180, #REF!&lt;200,#REF!&lt;200), "Light User", "Balanced User")))</f>
        <v>#REF!</v>
      </c>
      <c r="AC432" t="e">
        <f>IF(#REF! = 0, "No Usage", IF(#REF! &lt;= 20, "Low Usage", IF(#REF! &lt;= 40, "Medium Usgae", "High Usage")))</f>
        <v>#REF!</v>
      </c>
      <c r="AD432" t="e">
        <f>IF(#REF!&lt;=150,"Low Usage", IF(#REF!&lt;=200,"Medium Usage", IF(#REF!&lt;=250,"High Usage","Very High Usage")))</f>
        <v>#REF!</v>
      </c>
      <c r="AE432" t="e">
        <f>IF(#REF!&lt;=5,"Low Calls", IF(#REF!&lt;=10, "Medium Calls", "High Calls"))</f>
        <v>#REF!</v>
      </c>
      <c r="AF432" t="e">
        <f xml:space="preserve">
IF(#REF!&gt;=4,4,0)+
IF(#REF!="yes",3,0)+
IF(#REF!="High Charges",3,0)+
IF(#REF!&gt;250,4,0)+
IF(#REF!="no",1,0)+
IF(#REF!="Heavy Domestic User",2,0)</f>
        <v>#REF!</v>
      </c>
      <c r="AG432" t="e">
        <f>IF(#REF!&gt;=10,"High Risk", IF(#REF!&gt;=5,"Medium Risk","Low Risk"))</f>
        <v>#REF!</v>
      </c>
      <c r="AH432" t="e">
        <f>#REF! + #REF! + #REF! + #REF!</f>
        <v>#REF!</v>
      </c>
    </row>
    <row r="433" spans="1:34" x14ac:dyDescent="0.35">
      <c r="A433">
        <v>432</v>
      </c>
      <c r="B433" t="s">
        <v>31</v>
      </c>
      <c r="C433">
        <v>112</v>
      </c>
      <c r="D433" t="s">
        <v>21</v>
      </c>
      <c r="E433" t="s">
        <v>22</v>
      </c>
      <c r="F433" t="s">
        <v>22</v>
      </c>
      <c r="G433">
        <v>0</v>
      </c>
      <c r="H433">
        <v>261.39999999999998</v>
      </c>
      <c r="I433">
        <v>108</v>
      </c>
      <c r="J433">
        <v>44.44</v>
      </c>
      <c r="K433">
        <v>154.5</v>
      </c>
      <c r="L433">
        <v>102</v>
      </c>
      <c r="M433">
        <v>13.13</v>
      </c>
      <c r="N433">
        <v>130.9</v>
      </c>
      <c r="O433">
        <v>90</v>
      </c>
      <c r="P433">
        <v>5.89</v>
      </c>
      <c r="Q433">
        <v>11.6</v>
      </c>
      <c r="R433">
        <v>2</v>
      </c>
      <c r="S433">
        <v>3.13</v>
      </c>
      <c r="T433">
        <v>1</v>
      </c>
      <c r="U433" t="s">
        <v>22</v>
      </c>
      <c r="V433" t="e">
        <f>IF(#REF! = "yes", 1, 0)</f>
        <v>#REF!</v>
      </c>
      <c r="W433" t="e">
        <f>IF(#REF! &lt;= 1, "0-1 Calls", IF(#REF! &lt;= 3, "2-3 Calls", IF(#REF! &lt;=5, "4-5 Calls", "6+ Calls")))</f>
        <v>#REF!</v>
      </c>
      <c r="X433" t="e">
        <f>IF(#REF! &lt;= 50, "0-50", IF(#REF! &lt;=100, "51-100", IF(#REF! &lt;= 150, "101-150", "151+")))</f>
        <v>#REF!</v>
      </c>
      <c r="Y433" t="e">
        <f>IF(#REF! &lt;= 3, "Low Charges", "High Charges")</f>
        <v>#REF!</v>
      </c>
      <c r="Z433" t="e">
        <f>IF(#REF!&lt;=80,"Low Calls",
IF(#REF!&lt;=120,"Medium Calls","High Calls"))</f>
        <v>#REF!</v>
      </c>
      <c r="AA433" t="e">
        <f>IF(#REF!&lt;=15,"Low Charges",
IF(#REF!&lt;=20,"Medium Charges","High Charges"))</f>
        <v>#REF!</v>
      </c>
      <c r="AB433" t="e">
        <f>IF(AND(#REF!&gt;180, #REF!&gt;200), "Heavy Doemstic User", IF(#REF!&gt;10, "Interntional User", IF(AND(#REF!&lt;180, #REF!&lt;200,#REF!&lt;200), "Light User", "Balanced User")))</f>
        <v>#REF!</v>
      </c>
      <c r="AC433" t="e">
        <f>IF(#REF! = 0, "No Usage", IF(#REF! &lt;= 20, "Low Usage", IF(#REF! &lt;= 40, "Medium Usgae", "High Usage")))</f>
        <v>#REF!</v>
      </c>
      <c r="AD433" t="e">
        <f>IF(#REF!&lt;=150,"Low Usage", IF(#REF!&lt;=200,"Medium Usage", IF(#REF!&lt;=250,"High Usage","Very High Usage")))</f>
        <v>#REF!</v>
      </c>
      <c r="AE433" t="e">
        <f>IF(#REF!&lt;=5,"Low Calls", IF(#REF!&lt;=10, "Medium Calls", "High Calls"))</f>
        <v>#REF!</v>
      </c>
      <c r="AF433" t="e">
        <f xml:space="preserve">
IF(#REF!&gt;=4,4,0)+
IF(#REF!="yes",3,0)+
IF(#REF!="High Charges",3,0)+
IF(#REF!&gt;250,4,0)+
IF(#REF!="no",1,0)+
IF(#REF!="Heavy Domestic User",2,0)</f>
        <v>#REF!</v>
      </c>
      <c r="AG433" t="e">
        <f>IF(#REF!&gt;=10,"High Risk", IF(#REF!&gt;=5,"Medium Risk","Low Risk"))</f>
        <v>#REF!</v>
      </c>
      <c r="AH433" t="e">
        <f>#REF! + #REF! + #REF! + #REF!</f>
        <v>#REF!</v>
      </c>
    </row>
    <row r="434" spans="1:34" x14ac:dyDescent="0.35">
      <c r="A434">
        <v>433</v>
      </c>
      <c r="B434" t="s">
        <v>43</v>
      </c>
      <c r="C434">
        <v>88</v>
      </c>
      <c r="D434" t="s">
        <v>28</v>
      </c>
      <c r="E434" t="s">
        <v>22</v>
      </c>
      <c r="F434" t="s">
        <v>22</v>
      </c>
      <c r="G434">
        <v>0</v>
      </c>
      <c r="H434">
        <v>73.3</v>
      </c>
      <c r="I434">
        <v>86</v>
      </c>
      <c r="J434">
        <v>12.46</v>
      </c>
      <c r="K434">
        <v>161.4</v>
      </c>
      <c r="L434">
        <v>82</v>
      </c>
      <c r="M434">
        <v>13.72</v>
      </c>
      <c r="N434">
        <v>239.6</v>
      </c>
      <c r="O434">
        <v>76</v>
      </c>
      <c r="P434">
        <v>10.78</v>
      </c>
      <c r="Q434">
        <v>8.1999999999999993</v>
      </c>
      <c r="R434">
        <v>3</v>
      </c>
      <c r="S434">
        <v>2.21</v>
      </c>
      <c r="T434">
        <v>4</v>
      </c>
      <c r="U434" t="s">
        <v>23</v>
      </c>
      <c r="V434" t="e">
        <f>IF(#REF! = "yes", 1, 0)</f>
        <v>#REF!</v>
      </c>
      <c r="W434" t="e">
        <f>IF(#REF! &lt;= 1, "0-1 Calls", IF(#REF! &lt;= 3, "2-3 Calls", IF(#REF! &lt;=5, "4-5 Calls", "6+ Calls")))</f>
        <v>#REF!</v>
      </c>
      <c r="X434" t="e">
        <f>IF(#REF! &lt;= 50, "0-50", IF(#REF! &lt;=100, "51-100", IF(#REF! &lt;= 150, "101-150", "151+")))</f>
        <v>#REF!</v>
      </c>
      <c r="Y434" t="e">
        <f>IF(#REF! &lt;= 3, "Low Charges", "High Charges")</f>
        <v>#REF!</v>
      </c>
      <c r="Z434" t="e">
        <f>IF(#REF!&lt;=80,"Low Calls",
IF(#REF!&lt;=120,"Medium Calls","High Calls"))</f>
        <v>#REF!</v>
      </c>
      <c r="AA434" t="e">
        <f>IF(#REF!&lt;=15,"Low Charges",
IF(#REF!&lt;=20,"Medium Charges","High Charges"))</f>
        <v>#REF!</v>
      </c>
      <c r="AB434" t="e">
        <f>IF(AND(#REF!&gt;180, #REF!&gt;200), "Heavy Doemstic User", IF(#REF!&gt;10, "Interntional User", IF(AND(#REF!&lt;180, #REF!&lt;200,#REF!&lt;200), "Light User", "Balanced User")))</f>
        <v>#REF!</v>
      </c>
      <c r="AC434" t="e">
        <f>IF(#REF! = 0, "No Usage", IF(#REF! &lt;= 20, "Low Usage", IF(#REF! &lt;= 40, "Medium Usgae", "High Usage")))</f>
        <v>#REF!</v>
      </c>
      <c r="AD434" t="e">
        <f>IF(#REF!&lt;=150,"Low Usage", IF(#REF!&lt;=200,"Medium Usage", IF(#REF!&lt;=250,"High Usage","Very High Usage")))</f>
        <v>#REF!</v>
      </c>
      <c r="AE434" t="e">
        <f>IF(#REF!&lt;=5,"Low Calls", IF(#REF!&lt;=10, "Medium Calls", "High Calls"))</f>
        <v>#REF!</v>
      </c>
      <c r="AF434" t="e">
        <f xml:space="preserve">
IF(#REF!&gt;=4,4,0)+
IF(#REF!="yes",3,0)+
IF(#REF!="High Charges",3,0)+
IF(#REF!&gt;250,4,0)+
IF(#REF!="no",1,0)+
IF(#REF!="Heavy Domestic User",2,0)</f>
        <v>#REF!</v>
      </c>
      <c r="AG434" t="e">
        <f>IF(#REF!&gt;=10,"High Risk", IF(#REF!&gt;=5,"Medium Risk","Low Risk"))</f>
        <v>#REF!</v>
      </c>
      <c r="AH434" t="e">
        <f>#REF! + #REF! + #REF! + #REF!</f>
        <v>#REF!</v>
      </c>
    </row>
    <row r="435" spans="1:34" x14ac:dyDescent="0.35">
      <c r="A435">
        <v>434</v>
      </c>
      <c r="B435" t="s">
        <v>65</v>
      </c>
      <c r="C435">
        <v>122</v>
      </c>
      <c r="D435" t="s">
        <v>25</v>
      </c>
      <c r="E435" t="s">
        <v>22</v>
      </c>
      <c r="F435" t="s">
        <v>23</v>
      </c>
      <c r="G435">
        <v>27</v>
      </c>
      <c r="H435">
        <v>253.7</v>
      </c>
      <c r="I435">
        <v>84</v>
      </c>
      <c r="J435">
        <v>43.13</v>
      </c>
      <c r="K435">
        <v>229.2</v>
      </c>
      <c r="L435">
        <v>109</v>
      </c>
      <c r="M435">
        <v>19.48</v>
      </c>
      <c r="N435">
        <v>190.5</v>
      </c>
      <c r="O435">
        <v>123</v>
      </c>
      <c r="P435">
        <v>8.57</v>
      </c>
      <c r="Q435">
        <v>9.1999999999999993</v>
      </c>
      <c r="R435">
        <v>5</v>
      </c>
      <c r="S435">
        <v>2.48</v>
      </c>
      <c r="T435">
        <v>7</v>
      </c>
      <c r="U435" t="s">
        <v>22</v>
      </c>
      <c r="V435" t="e">
        <f>IF(#REF! = "yes", 1, 0)</f>
        <v>#REF!</v>
      </c>
      <c r="W435" t="e">
        <f>IF(#REF! &lt;= 1, "0-1 Calls", IF(#REF! &lt;= 3, "2-3 Calls", IF(#REF! &lt;=5, "4-5 Calls", "6+ Calls")))</f>
        <v>#REF!</v>
      </c>
      <c r="X435" t="e">
        <f>IF(#REF! &lt;= 50, "0-50", IF(#REF! &lt;=100, "51-100", IF(#REF! &lt;= 150, "101-150", "151+")))</f>
        <v>#REF!</v>
      </c>
      <c r="Y435" t="e">
        <f>IF(#REF! &lt;= 3, "Low Charges", "High Charges")</f>
        <v>#REF!</v>
      </c>
      <c r="Z435" t="e">
        <f>IF(#REF!&lt;=80,"Low Calls",
IF(#REF!&lt;=120,"Medium Calls","High Calls"))</f>
        <v>#REF!</v>
      </c>
      <c r="AA435" t="e">
        <f>IF(#REF!&lt;=15,"Low Charges",
IF(#REF!&lt;=20,"Medium Charges","High Charges"))</f>
        <v>#REF!</v>
      </c>
      <c r="AB435" t="e">
        <f>IF(AND(#REF!&gt;180, #REF!&gt;200), "Heavy Doemstic User", IF(#REF!&gt;10, "Interntional User", IF(AND(#REF!&lt;180, #REF!&lt;200,#REF!&lt;200), "Light User", "Balanced User")))</f>
        <v>#REF!</v>
      </c>
      <c r="AC435" t="e">
        <f>IF(#REF! = 0, "No Usage", IF(#REF! &lt;= 20, "Low Usage", IF(#REF! &lt;= 40, "Medium Usgae", "High Usage")))</f>
        <v>#REF!</v>
      </c>
      <c r="AD435" t="e">
        <f>IF(#REF!&lt;=150,"Low Usage", IF(#REF!&lt;=200,"Medium Usage", IF(#REF!&lt;=250,"High Usage","Very High Usage")))</f>
        <v>#REF!</v>
      </c>
      <c r="AE435" t="e">
        <f>IF(#REF!&lt;=5,"Low Calls", IF(#REF!&lt;=10, "Medium Calls", "High Calls"))</f>
        <v>#REF!</v>
      </c>
      <c r="AF435" t="e">
        <f xml:space="preserve">
IF(#REF!&gt;=4,4,0)+
IF(#REF!="yes",3,0)+
IF(#REF!="High Charges",3,0)+
IF(#REF!&gt;250,4,0)+
IF(#REF!="no",1,0)+
IF(#REF!="Heavy Domestic User",2,0)</f>
        <v>#REF!</v>
      </c>
      <c r="AG435" t="e">
        <f>IF(#REF!&gt;=10,"High Risk", IF(#REF!&gt;=5,"Medium Risk","Low Risk"))</f>
        <v>#REF!</v>
      </c>
      <c r="AH435" t="e">
        <f>#REF! + #REF! + #REF! + #REF!</f>
        <v>#REF!</v>
      </c>
    </row>
    <row r="436" spans="1:34" x14ac:dyDescent="0.35">
      <c r="A436">
        <v>435</v>
      </c>
      <c r="B436" t="s">
        <v>29</v>
      </c>
      <c r="C436">
        <v>61</v>
      </c>
      <c r="D436" t="s">
        <v>25</v>
      </c>
      <c r="E436" t="s">
        <v>22</v>
      </c>
      <c r="F436" t="s">
        <v>22</v>
      </c>
      <c r="G436">
        <v>0</v>
      </c>
      <c r="H436">
        <v>45</v>
      </c>
      <c r="I436">
        <v>108</v>
      </c>
      <c r="J436">
        <v>7.65</v>
      </c>
      <c r="K436">
        <v>151.30000000000001</v>
      </c>
      <c r="L436">
        <v>74</v>
      </c>
      <c r="M436">
        <v>12.86</v>
      </c>
      <c r="N436">
        <v>152.9</v>
      </c>
      <c r="O436">
        <v>94</v>
      </c>
      <c r="P436">
        <v>6.88</v>
      </c>
      <c r="Q436">
        <v>9.8000000000000007</v>
      </c>
      <c r="R436">
        <v>6</v>
      </c>
      <c r="S436">
        <v>2.65</v>
      </c>
      <c r="T436">
        <v>2</v>
      </c>
      <c r="U436" t="s">
        <v>22</v>
      </c>
      <c r="V436" t="e">
        <f>IF(#REF! = "yes", 1, 0)</f>
        <v>#REF!</v>
      </c>
      <c r="W436" t="e">
        <f>IF(#REF! &lt;= 1, "0-1 Calls", IF(#REF! &lt;= 3, "2-3 Calls", IF(#REF! &lt;=5, "4-5 Calls", "6+ Calls")))</f>
        <v>#REF!</v>
      </c>
      <c r="X436" t="e">
        <f>IF(#REF! &lt;= 50, "0-50", IF(#REF! &lt;=100, "51-100", IF(#REF! &lt;= 150, "101-150", "151+")))</f>
        <v>#REF!</v>
      </c>
      <c r="Y436" t="e">
        <f>IF(#REF! &lt;= 3, "Low Charges", "High Charges")</f>
        <v>#REF!</v>
      </c>
      <c r="Z436" t="e">
        <f>IF(#REF!&lt;=80,"Low Calls",
IF(#REF!&lt;=120,"Medium Calls","High Calls"))</f>
        <v>#REF!</v>
      </c>
      <c r="AA436" t="e">
        <f>IF(#REF!&lt;=15,"Low Charges",
IF(#REF!&lt;=20,"Medium Charges","High Charges"))</f>
        <v>#REF!</v>
      </c>
      <c r="AB436" t="e">
        <f>IF(AND(#REF!&gt;180, #REF!&gt;200), "Heavy Doemstic User", IF(#REF!&gt;10, "Interntional User", IF(AND(#REF!&lt;180, #REF!&lt;200,#REF!&lt;200), "Light User", "Balanced User")))</f>
        <v>#REF!</v>
      </c>
      <c r="AC436" t="e">
        <f>IF(#REF! = 0, "No Usage", IF(#REF! &lt;= 20, "Low Usage", IF(#REF! &lt;= 40, "Medium Usgae", "High Usage")))</f>
        <v>#REF!</v>
      </c>
      <c r="AD436" t="e">
        <f>IF(#REF!&lt;=150,"Low Usage", IF(#REF!&lt;=200,"Medium Usage", IF(#REF!&lt;=250,"High Usage","Very High Usage")))</f>
        <v>#REF!</v>
      </c>
      <c r="AE436" t="e">
        <f>IF(#REF!&lt;=5,"Low Calls", IF(#REF!&lt;=10, "Medium Calls", "High Calls"))</f>
        <v>#REF!</v>
      </c>
      <c r="AF436" t="e">
        <f xml:space="preserve">
IF(#REF!&gt;=4,4,0)+
IF(#REF!="yes",3,0)+
IF(#REF!="High Charges",3,0)+
IF(#REF!&gt;250,4,0)+
IF(#REF!="no",1,0)+
IF(#REF!="Heavy Domestic User",2,0)</f>
        <v>#REF!</v>
      </c>
      <c r="AG436" t="e">
        <f>IF(#REF!&gt;=10,"High Risk", IF(#REF!&gt;=5,"Medium Risk","Low Risk"))</f>
        <v>#REF!</v>
      </c>
      <c r="AH436" t="e">
        <f>#REF! + #REF! + #REF! + #REF!</f>
        <v>#REF!</v>
      </c>
    </row>
    <row r="437" spans="1:34" x14ac:dyDescent="0.35">
      <c r="A437">
        <v>436</v>
      </c>
      <c r="B437" t="s">
        <v>72</v>
      </c>
      <c r="C437">
        <v>87</v>
      </c>
      <c r="D437" t="s">
        <v>28</v>
      </c>
      <c r="E437" t="s">
        <v>22</v>
      </c>
      <c r="F437" t="s">
        <v>22</v>
      </c>
      <c r="G437">
        <v>0</v>
      </c>
      <c r="H437">
        <v>231.3</v>
      </c>
      <c r="I437">
        <v>105</v>
      </c>
      <c r="J437">
        <v>39.32</v>
      </c>
      <c r="K437">
        <v>171.7</v>
      </c>
      <c r="L437">
        <v>108</v>
      </c>
      <c r="M437">
        <v>14.59</v>
      </c>
      <c r="N437">
        <v>67.7</v>
      </c>
      <c r="O437">
        <v>136</v>
      </c>
      <c r="P437">
        <v>3.05</v>
      </c>
      <c r="Q437">
        <v>13</v>
      </c>
      <c r="R437">
        <v>6</v>
      </c>
      <c r="S437">
        <v>3.51</v>
      </c>
      <c r="T437">
        <v>1</v>
      </c>
      <c r="U437" t="s">
        <v>22</v>
      </c>
      <c r="V437" t="e">
        <f>IF(#REF! = "yes", 1, 0)</f>
        <v>#REF!</v>
      </c>
      <c r="W437" t="e">
        <f>IF(#REF! &lt;= 1, "0-1 Calls", IF(#REF! &lt;= 3, "2-3 Calls", IF(#REF! &lt;=5, "4-5 Calls", "6+ Calls")))</f>
        <v>#REF!</v>
      </c>
      <c r="X437" t="e">
        <f>IF(#REF! &lt;= 50, "0-50", IF(#REF! &lt;=100, "51-100", IF(#REF! &lt;= 150, "101-150", "151+")))</f>
        <v>#REF!</v>
      </c>
      <c r="Y437" t="e">
        <f>IF(#REF! &lt;= 3, "Low Charges", "High Charges")</f>
        <v>#REF!</v>
      </c>
      <c r="Z437" t="e">
        <f>IF(#REF!&lt;=80,"Low Calls",
IF(#REF!&lt;=120,"Medium Calls","High Calls"))</f>
        <v>#REF!</v>
      </c>
      <c r="AA437" t="e">
        <f>IF(#REF!&lt;=15,"Low Charges",
IF(#REF!&lt;=20,"Medium Charges","High Charges"))</f>
        <v>#REF!</v>
      </c>
      <c r="AB437" t="e">
        <f>IF(AND(#REF!&gt;180, #REF!&gt;200), "Heavy Doemstic User", IF(#REF!&gt;10, "Interntional User", IF(AND(#REF!&lt;180, #REF!&lt;200,#REF!&lt;200), "Light User", "Balanced User")))</f>
        <v>#REF!</v>
      </c>
      <c r="AC437" t="e">
        <f>IF(#REF! = 0, "No Usage", IF(#REF! &lt;= 20, "Low Usage", IF(#REF! &lt;= 40, "Medium Usgae", "High Usage")))</f>
        <v>#REF!</v>
      </c>
      <c r="AD437" t="e">
        <f>IF(#REF!&lt;=150,"Low Usage", IF(#REF!&lt;=200,"Medium Usage", IF(#REF!&lt;=250,"High Usage","Very High Usage")))</f>
        <v>#REF!</v>
      </c>
      <c r="AE437" t="e">
        <f>IF(#REF!&lt;=5,"Low Calls", IF(#REF!&lt;=10, "Medium Calls", "High Calls"))</f>
        <v>#REF!</v>
      </c>
      <c r="AF437" t="e">
        <f xml:space="preserve">
IF(#REF!&gt;=4,4,0)+
IF(#REF!="yes",3,0)+
IF(#REF!="High Charges",3,0)+
IF(#REF!&gt;250,4,0)+
IF(#REF!="no",1,0)+
IF(#REF!="Heavy Domestic User",2,0)</f>
        <v>#REF!</v>
      </c>
      <c r="AG437" t="e">
        <f>IF(#REF!&gt;=10,"High Risk", IF(#REF!&gt;=5,"Medium Risk","Low Risk"))</f>
        <v>#REF!</v>
      </c>
      <c r="AH437" t="e">
        <f>#REF! + #REF! + #REF! + #REF!</f>
        <v>#REF!</v>
      </c>
    </row>
    <row r="438" spans="1:34" x14ac:dyDescent="0.35">
      <c r="A438">
        <v>437</v>
      </c>
      <c r="B438" t="s">
        <v>53</v>
      </c>
      <c r="C438">
        <v>30</v>
      </c>
      <c r="D438" t="s">
        <v>28</v>
      </c>
      <c r="E438" t="s">
        <v>22</v>
      </c>
      <c r="F438" t="s">
        <v>22</v>
      </c>
      <c r="G438">
        <v>0</v>
      </c>
      <c r="H438">
        <v>227.4</v>
      </c>
      <c r="I438">
        <v>88</v>
      </c>
      <c r="J438">
        <v>38.659999999999997</v>
      </c>
      <c r="K438">
        <v>182.5</v>
      </c>
      <c r="L438">
        <v>100</v>
      </c>
      <c r="M438">
        <v>15.51</v>
      </c>
      <c r="N438">
        <v>191.7</v>
      </c>
      <c r="O438">
        <v>134</v>
      </c>
      <c r="P438">
        <v>8.6300000000000008</v>
      </c>
      <c r="Q438">
        <v>12.5</v>
      </c>
      <c r="R438">
        <v>3</v>
      </c>
      <c r="S438">
        <v>3.38</v>
      </c>
      <c r="T438">
        <v>0</v>
      </c>
      <c r="U438" t="s">
        <v>22</v>
      </c>
      <c r="V438" t="e">
        <f>IF(#REF! = "yes", 1, 0)</f>
        <v>#REF!</v>
      </c>
      <c r="W438" t="e">
        <f>IF(#REF! &lt;= 1, "0-1 Calls", IF(#REF! &lt;= 3, "2-3 Calls", IF(#REF! &lt;=5, "4-5 Calls", "6+ Calls")))</f>
        <v>#REF!</v>
      </c>
      <c r="X438" t="e">
        <f>IF(#REF! &lt;= 50, "0-50", IF(#REF! &lt;=100, "51-100", IF(#REF! &lt;= 150, "101-150", "151+")))</f>
        <v>#REF!</v>
      </c>
      <c r="Y438" t="e">
        <f>IF(#REF! &lt;= 3, "Low Charges", "High Charges")</f>
        <v>#REF!</v>
      </c>
      <c r="Z438" t="e">
        <f>IF(#REF!&lt;=80,"Low Calls",
IF(#REF!&lt;=120,"Medium Calls","High Calls"))</f>
        <v>#REF!</v>
      </c>
      <c r="AA438" t="e">
        <f>IF(#REF!&lt;=15,"Low Charges",
IF(#REF!&lt;=20,"Medium Charges","High Charges"))</f>
        <v>#REF!</v>
      </c>
      <c r="AB438" t="e">
        <f>IF(AND(#REF!&gt;180, #REF!&gt;200), "Heavy Doemstic User", IF(#REF!&gt;10, "Interntional User", IF(AND(#REF!&lt;180, #REF!&lt;200,#REF!&lt;200), "Light User", "Balanced User")))</f>
        <v>#REF!</v>
      </c>
      <c r="AC438" t="e">
        <f>IF(#REF! = 0, "No Usage", IF(#REF! &lt;= 20, "Low Usage", IF(#REF! &lt;= 40, "Medium Usgae", "High Usage")))</f>
        <v>#REF!</v>
      </c>
      <c r="AD438" t="e">
        <f>IF(#REF!&lt;=150,"Low Usage", IF(#REF!&lt;=200,"Medium Usage", IF(#REF!&lt;=250,"High Usage","Very High Usage")))</f>
        <v>#REF!</v>
      </c>
      <c r="AE438" t="e">
        <f>IF(#REF!&lt;=5,"Low Calls", IF(#REF!&lt;=10, "Medium Calls", "High Calls"))</f>
        <v>#REF!</v>
      </c>
      <c r="AF438" t="e">
        <f xml:space="preserve">
IF(#REF!&gt;=4,4,0)+
IF(#REF!="yes",3,0)+
IF(#REF!="High Charges",3,0)+
IF(#REF!&gt;250,4,0)+
IF(#REF!="no",1,0)+
IF(#REF!="Heavy Domestic User",2,0)</f>
        <v>#REF!</v>
      </c>
      <c r="AG438" t="e">
        <f>IF(#REF!&gt;=10,"High Risk", IF(#REF!&gt;=5,"Medium Risk","Low Risk"))</f>
        <v>#REF!</v>
      </c>
      <c r="AH438" t="e">
        <f>#REF! + #REF! + #REF! + #REF!</f>
        <v>#REF!</v>
      </c>
    </row>
    <row r="439" spans="1:34" x14ac:dyDescent="0.35">
      <c r="A439">
        <v>438</v>
      </c>
      <c r="B439" t="s">
        <v>24</v>
      </c>
      <c r="C439">
        <v>95</v>
      </c>
      <c r="D439" t="s">
        <v>21</v>
      </c>
      <c r="E439" t="s">
        <v>22</v>
      </c>
      <c r="F439" t="s">
        <v>23</v>
      </c>
      <c r="G439">
        <v>22</v>
      </c>
      <c r="H439">
        <v>40.9</v>
      </c>
      <c r="I439">
        <v>126</v>
      </c>
      <c r="J439">
        <v>6.95</v>
      </c>
      <c r="K439">
        <v>133.4</v>
      </c>
      <c r="L439">
        <v>90</v>
      </c>
      <c r="M439">
        <v>11.34</v>
      </c>
      <c r="N439">
        <v>264.2</v>
      </c>
      <c r="O439">
        <v>91</v>
      </c>
      <c r="P439">
        <v>11.89</v>
      </c>
      <c r="Q439">
        <v>11.9</v>
      </c>
      <c r="R439">
        <v>7</v>
      </c>
      <c r="S439">
        <v>3.21</v>
      </c>
      <c r="T439">
        <v>0</v>
      </c>
      <c r="U439" t="s">
        <v>22</v>
      </c>
      <c r="V439" t="e">
        <f>IF(#REF! = "yes", 1, 0)</f>
        <v>#REF!</v>
      </c>
      <c r="W439" t="e">
        <f>IF(#REF! &lt;= 1, "0-1 Calls", IF(#REF! &lt;= 3, "2-3 Calls", IF(#REF! &lt;=5, "4-5 Calls", "6+ Calls")))</f>
        <v>#REF!</v>
      </c>
      <c r="X439" t="e">
        <f>IF(#REF! &lt;= 50, "0-50", IF(#REF! &lt;=100, "51-100", IF(#REF! &lt;= 150, "101-150", "151+")))</f>
        <v>#REF!</v>
      </c>
      <c r="Y439" t="e">
        <f>IF(#REF! &lt;= 3, "Low Charges", "High Charges")</f>
        <v>#REF!</v>
      </c>
      <c r="Z439" t="e">
        <f>IF(#REF!&lt;=80,"Low Calls",
IF(#REF!&lt;=120,"Medium Calls","High Calls"))</f>
        <v>#REF!</v>
      </c>
      <c r="AA439" t="e">
        <f>IF(#REF!&lt;=15,"Low Charges",
IF(#REF!&lt;=20,"Medium Charges","High Charges"))</f>
        <v>#REF!</v>
      </c>
      <c r="AB439" t="e">
        <f>IF(AND(#REF!&gt;180, #REF!&gt;200), "Heavy Doemstic User", IF(#REF!&gt;10, "Interntional User", IF(AND(#REF!&lt;180, #REF!&lt;200,#REF!&lt;200), "Light User", "Balanced User")))</f>
        <v>#REF!</v>
      </c>
      <c r="AC439" t="e">
        <f>IF(#REF! = 0, "No Usage", IF(#REF! &lt;= 20, "Low Usage", IF(#REF! &lt;= 40, "Medium Usgae", "High Usage")))</f>
        <v>#REF!</v>
      </c>
      <c r="AD439" t="e">
        <f>IF(#REF!&lt;=150,"Low Usage", IF(#REF!&lt;=200,"Medium Usage", IF(#REF!&lt;=250,"High Usage","Very High Usage")))</f>
        <v>#REF!</v>
      </c>
      <c r="AE439" t="e">
        <f>IF(#REF!&lt;=5,"Low Calls", IF(#REF!&lt;=10, "Medium Calls", "High Calls"))</f>
        <v>#REF!</v>
      </c>
      <c r="AF439" t="e">
        <f xml:space="preserve">
IF(#REF!&gt;=4,4,0)+
IF(#REF!="yes",3,0)+
IF(#REF!="High Charges",3,0)+
IF(#REF!&gt;250,4,0)+
IF(#REF!="no",1,0)+
IF(#REF!="Heavy Domestic User",2,0)</f>
        <v>#REF!</v>
      </c>
      <c r="AG439" t="e">
        <f>IF(#REF!&gt;=10,"High Risk", IF(#REF!&gt;=5,"Medium Risk","Low Risk"))</f>
        <v>#REF!</v>
      </c>
      <c r="AH439" t="e">
        <f>#REF! + #REF! + #REF! + #REF!</f>
        <v>#REF!</v>
      </c>
    </row>
    <row r="440" spans="1:34" x14ac:dyDescent="0.35">
      <c r="A440">
        <v>439</v>
      </c>
      <c r="B440" t="s">
        <v>37</v>
      </c>
      <c r="C440">
        <v>46</v>
      </c>
      <c r="D440" t="s">
        <v>21</v>
      </c>
      <c r="E440" t="s">
        <v>22</v>
      </c>
      <c r="F440" t="s">
        <v>22</v>
      </c>
      <c r="G440">
        <v>0</v>
      </c>
      <c r="H440">
        <v>124.8</v>
      </c>
      <c r="I440">
        <v>133</v>
      </c>
      <c r="J440">
        <v>21.22</v>
      </c>
      <c r="K440">
        <v>157.30000000000001</v>
      </c>
      <c r="L440">
        <v>143</v>
      </c>
      <c r="M440">
        <v>13.37</v>
      </c>
      <c r="N440">
        <v>199.3</v>
      </c>
      <c r="O440">
        <v>72</v>
      </c>
      <c r="P440">
        <v>8.9700000000000006</v>
      </c>
      <c r="Q440">
        <v>8.6</v>
      </c>
      <c r="R440">
        <v>4</v>
      </c>
      <c r="S440">
        <v>2.3199999999999998</v>
      </c>
      <c r="T440">
        <v>2</v>
      </c>
      <c r="U440" t="s">
        <v>22</v>
      </c>
      <c r="V440" t="e">
        <f>IF(#REF! = "yes", 1, 0)</f>
        <v>#REF!</v>
      </c>
      <c r="W440" t="e">
        <f>IF(#REF! &lt;= 1, "0-1 Calls", IF(#REF! &lt;= 3, "2-3 Calls", IF(#REF! &lt;=5, "4-5 Calls", "6+ Calls")))</f>
        <v>#REF!</v>
      </c>
      <c r="X440" t="e">
        <f>IF(#REF! &lt;= 50, "0-50", IF(#REF! &lt;=100, "51-100", IF(#REF! &lt;= 150, "101-150", "151+")))</f>
        <v>#REF!</v>
      </c>
      <c r="Y440" t="e">
        <f>IF(#REF! &lt;= 3, "Low Charges", "High Charges")</f>
        <v>#REF!</v>
      </c>
      <c r="Z440" t="e">
        <f>IF(#REF!&lt;=80,"Low Calls",
IF(#REF!&lt;=120,"Medium Calls","High Calls"))</f>
        <v>#REF!</v>
      </c>
      <c r="AA440" t="e">
        <f>IF(#REF!&lt;=15,"Low Charges",
IF(#REF!&lt;=20,"Medium Charges","High Charges"))</f>
        <v>#REF!</v>
      </c>
      <c r="AB440" t="e">
        <f>IF(AND(#REF!&gt;180, #REF!&gt;200), "Heavy Doemstic User", IF(#REF!&gt;10, "Interntional User", IF(AND(#REF!&lt;180, #REF!&lt;200,#REF!&lt;200), "Light User", "Balanced User")))</f>
        <v>#REF!</v>
      </c>
      <c r="AC440" t="e">
        <f>IF(#REF! = 0, "No Usage", IF(#REF! &lt;= 20, "Low Usage", IF(#REF! &lt;= 40, "Medium Usgae", "High Usage")))</f>
        <v>#REF!</v>
      </c>
      <c r="AD440" t="e">
        <f>IF(#REF!&lt;=150,"Low Usage", IF(#REF!&lt;=200,"Medium Usage", IF(#REF!&lt;=250,"High Usage","Very High Usage")))</f>
        <v>#REF!</v>
      </c>
      <c r="AE440" t="e">
        <f>IF(#REF!&lt;=5,"Low Calls", IF(#REF!&lt;=10, "Medium Calls", "High Calls"))</f>
        <v>#REF!</v>
      </c>
      <c r="AF440" t="e">
        <f xml:space="preserve">
IF(#REF!&gt;=4,4,0)+
IF(#REF!="yes",3,0)+
IF(#REF!="High Charges",3,0)+
IF(#REF!&gt;250,4,0)+
IF(#REF!="no",1,0)+
IF(#REF!="Heavy Domestic User",2,0)</f>
        <v>#REF!</v>
      </c>
      <c r="AG440" t="e">
        <f>IF(#REF!&gt;=10,"High Risk", IF(#REF!&gt;=5,"Medium Risk","Low Risk"))</f>
        <v>#REF!</v>
      </c>
      <c r="AH440" t="e">
        <f>#REF! + #REF! + #REF! + #REF!</f>
        <v>#REF!</v>
      </c>
    </row>
    <row r="441" spans="1:34" x14ac:dyDescent="0.35">
      <c r="A441">
        <v>440</v>
      </c>
      <c r="B441" t="s">
        <v>63</v>
      </c>
      <c r="C441">
        <v>100</v>
      </c>
      <c r="D441" t="s">
        <v>28</v>
      </c>
      <c r="E441" t="s">
        <v>23</v>
      </c>
      <c r="F441" t="s">
        <v>22</v>
      </c>
      <c r="G441">
        <v>0</v>
      </c>
      <c r="H441">
        <v>68.5</v>
      </c>
      <c r="I441">
        <v>110</v>
      </c>
      <c r="J441">
        <v>11.65</v>
      </c>
      <c r="K441">
        <v>337.1</v>
      </c>
      <c r="L441">
        <v>115</v>
      </c>
      <c r="M441">
        <v>28.65</v>
      </c>
      <c r="N441">
        <v>205.2</v>
      </c>
      <c r="O441">
        <v>99</v>
      </c>
      <c r="P441">
        <v>9.23</v>
      </c>
      <c r="Q441">
        <v>12.1</v>
      </c>
      <c r="R441">
        <v>9</v>
      </c>
      <c r="S441">
        <v>3.27</v>
      </c>
      <c r="T441">
        <v>0</v>
      </c>
      <c r="U441" t="s">
        <v>22</v>
      </c>
      <c r="V441" t="e">
        <f>IF(#REF! = "yes", 1, 0)</f>
        <v>#REF!</v>
      </c>
      <c r="W441" t="e">
        <f>IF(#REF! &lt;= 1, "0-1 Calls", IF(#REF! &lt;= 3, "2-3 Calls", IF(#REF! &lt;=5, "4-5 Calls", "6+ Calls")))</f>
        <v>#REF!</v>
      </c>
      <c r="X441" t="e">
        <f>IF(#REF! &lt;= 50, "0-50", IF(#REF! &lt;=100, "51-100", IF(#REF! &lt;= 150, "101-150", "151+")))</f>
        <v>#REF!</v>
      </c>
      <c r="Y441" t="e">
        <f>IF(#REF! &lt;= 3, "Low Charges", "High Charges")</f>
        <v>#REF!</v>
      </c>
      <c r="Z441" t="e">
        <f>IF(#REF!&lt;=80,"Low Calls",
IF(#REF!&lt;=120,"Medium Calls","High Calls"))</f>
        <v>#REF!</v>
      </c>
      <c r="AA441" t="e">
        <f>IF(#REF!&lt;=15,"Low Charges",
IF(#REF!&lt;=20,"Medium Charges","High Charges"))</f>
        <v>#REF!</v>
      </c>
      <c r="AB441" t="e">
        <f>IF(AND(#REF!&gt;180, #REF!&gt;200), "Heavy Doemstic User", IF(#REF!&gt;10, "Interntional User", IF(AND(#REF!&lt;180, #REF!&lt;200,#REF!&lt;200), "Light User", "Balanced User")))</f>
        <v>#REF!</v>
      </c>
      <c r="AC441" t="e">
        <f>IF(#REF! = 0, "No Usage", IF(#REF! &lt;= 20, "Low Usage", IF(#REF! &lt;= 40, "Medium Usgae", "High Usage")))</f>
        <v>#REF!</v>
      </c>
      <c r="AD441" t="e">
        <f>IF(#REF!&lt;=150,"Low Usage", IF(#REF!&lt;=200,"Medium Usage", IF(#REF!&lt;=250,"High Usage","Very High Usage")))</f>
        <v>#REF!</v>
      </c>
      <c r="AE441" t="e">
        <f>IF(#REF!&lt;=5,"Low Calls", IF(#REF!&lt;=10, "Medium Calls", "High Calls"))</f>
        <v>#REF!</v>
      </c>
      <c r="AF441" t="e">
        <f xml:space="preserve">
IF(#REF!&gt;=4,4,0)+
IF(#REF!="yes",3,0)+
IF(#REF!="High Charges",3,0)+
IF(#REF!&gt;250,4,0)+
IF(#REF!="no",1,0)+
IF(#REF!="Heavy Domestic User",2,0)</f>
        <v>#REF!</v>
      </c>
      <c r="AG441" t="e">
        <f>IF(#REF!&gt;=10,"High Risk", IF(#REF!&gt;=5,"Medium Risk","Low Risk"))</f>
        <v>#REF!</v>
      </c>
      <c r="AH441" t="e">
        <f>#REF! + #REF! + #REF! + #REF!</f>
        <v>#REF!</v>
      </c>
    </row>
    <row r="442" spans="1:34" x14ac:dyDescent="0.35">
      <c r="A442">
        <v>441</v>
      </c>
      <c r="B442" t="s">
        <v>68</v>
      </c>
      <c r="C442">
        <v>77</v>
      </c>
      <c r="D442" t="s">
        <v>21</v>
      </c>
      <c r="E442" t="s">
        <v>22</v>
      </c>
      <c r="F442" t="s">
        <v>22</v>
      </c>
      <c r="G442">
        <v>0</v>
      </c>
      <c r="H442">
        <v>163</v>
      </c>
      <c r="I442">
        <v>112</v>
      </c>
      <c r="J442">
        <v>27.71</v>
      </c>
      <c r="K442">
        <v>219.1</v>
      </c>
      <c r="L442">
        <v>89</v>
      </c>
      <c r="M442">
        <v>18.62</v>
      </c>
      <c r="N442">
        <v>233.4</v>
      </c>
      <c r="O442">
        <v>66</v>
      </c>
      <c r="P442">
        <v>10.5</v>
      </c>
      <c r="Q442">
        <v>6.7</v>
      </c>
      <c r="R442">
        <v>3</v>
      </c>
      <c r="S442">
        <v>1.81</v>
      </c>
      <c r="T442">
        <v>2</v>
      </c>
      <c r="U442" t="s">
        <v>22</v>
      </c>
      <c r="V442" t="e">
        <f>IF(#REF! = "yes", 1, 0)</f>
        <v>#REF!</v>
      </c>
      <c r="W442" t="e">
        <f>IF(#REF! &lt;= 1, "0-1 Calls", IF(#REF! &lt;= 3, "2-3 Calls", IF(#REF! &lt;=5, "4-5 Calls", "6+ Calls")))</f>
        <v>#REF!</v>
      </c>
      <c r="X442" t="e">
        <f>IF(#REF! &lt;= 50, "0-50", IF(#REF! &lt;=100, "51-100", IF(#REF! &lt;= 150, "101-150", "151+")))</f>
        <v>#REF!</v>
      </c>
      <c r="Y442" t="e">
        <f>IF(#REF! &lt;= 3, "Low Charges", "High Charges")</f>
        <v>#REF!</v>
      </c>
      <c r="Z442" t="e">
        <f>IF(#REF!&lt;=80,"Low Calls",
IF(#REF!&lt;=120,"Medium Calls","High Calls"))</f>
        <v>#REF!</v>
      </c>
      <c r="AA442" t="e">
        <f>IF(#REF!&lt;=15,"Low Charges",
IF(#REF!&lt;=20,"Medium Charges","High Charges"))</f>
        <v>#REF!</v>
      </c>
      <c r="AB442" t="e">
        <f>IF(AND(#REF!&gt;180, #REF!&gt;200), "Heavy Doemstic User", IF(#REF!&gt;10, "Interntional User", IF(AND(#REF!&lt;180, #REF!&lt;200,#REF!&lt;200), "Light User", "Balanced User")))</f>
        <v>#REF!</v>
      </c>
      <c r="AC442" t="e">
        <f>IF(#REF! = 0, "No Usage", IF(#REF! &lt;= 20, "Low Usage", IF(#REF! &lt;= 40, "Medium Usgae", "High Usage")))</f>
        <v>#REF!</v>
      </c>
      <c r="AD442" t="e">
        <f>IF(#REF!&lt;=150,"Low Usage", IF(#REF!&lt;=200,"Medium Usage", IF(#REF!&lt;=250,"High Usage","Very High Usage")))</f>
        <v>#REF!</v>
      </c>
      <c r="AE442" t="e">
        <f>IF(#REF!&lt;=5,"Low Calls", IF(#REF!&lt;=10, "Medium Calls", "High Calls"))</f>
        <v>#REF!</v>
      </c>
      <c r="AF442" t="e">
        <f xml:space="preserve">
IF(#REF!&gt;=4,4,0)+
IF(#REF!="yes",3,0)+
IF(#REF!="High Charges",3,0)+
IF(#REF!&gt;250,4,0)+
IF(#REF!="no",1,0)+
IF(#REF!="Heavy Domestic User",2,0)</f>
        <v>#REF!</v>
      </c>
      <c r="AG442" t="e">
        <f>IF(#REF!&gt;=10,"High Risk", IF(#REF!&gt;=5,"Medium Risk","Low Risk"))</f>
        <v>#REF!</v>
      </c>
      <c r="AH442" t="e">
        <f>#REF! + #REF! + #REF! + #REF!</f>
        <v>#REF!</v>
      </c>
    </row>
    <row r="443" spans="1:34" x14ac:dyDescent="0.35">
      <c r="A443">
        <v>442</v>
      </c>
      <c r="B443" t="s">
        <v>52</v>
      </c>
      <c r="C443">
        <v>98</v>
      </c>
      <c r="D443" t="s">
        <v>21</v>
      </c>
      <c r="E443" t="s">
        <v>22</v>
      </c>
      <c r="F443" t="s">
        <v>23</v>
      </c>
      <c r="G443">
        <v>38</v>
      </c>
      <c r="H443">
        <v>213.7</v>
      </c>
      <c r="I443">
        <v>61</v>
      </c>
      <c r="J443">
        <v>36.33</v>
      </c>
      <c r="K443">
        <v>253</v>
      </c>
      <c r="L443">
        <v>104</v>
      </c>
      <c r="M443">
        <v>21.51</v>
      </c>
      <c r="N443">
        <v>207.7</v>
      </c>
      <c r="O443">
        <v>73</v>
      </c>
      <c r="P443">
        <v>9.35</v>
      </c>
      <c r="Q443">
        <v>10.7</v>
      </c>
      <c r="R443">
        <v>5</v>
      </c>
      <c r="S443">
        <v>2.89</v>
      </c>
      <c r="T443">
        <v>2</v>
      </c>
      <c r="U443" t="s">
        <v>22</v>
      </c>
      <c r="V443" t="e">
        <f>IF(#REF! = "yes", 1, 0)</f>
        <v>#REF!</v>
      </c>
      <c r="W443" t="e">
        <f>IF(#REF! &lt;= 1, "0-1 Calls", IF(#REF! &lt;= 3, "2-3 Calls", IF(#REF! &lt;=5, "4-5 Calls", "6+ Calls")))</f>
        <v>#REF!</v>
      </c>
      <c r="X443" t="e">
        <f>IF(#REF! &lt;= 50, "0-50", IF(#REF! &lt;=100, "51-100", IF(#REF! &lt;= 150, "101-150", "151+")))</f>
        <v>#REF!</v>
      </c>
      <c r="Y443" t="e">
        <f>IF(#REF! &lt;= 3, "Low Charges", "High Charges")</f>
        <v>#REF!</v>
      </c>
      <c r="Z443" t="e">
        <f>IF(#REF!&lt;=80,"Low Calls",
IF(#REF!&lt;=120,"Medium Calls","High Calls"))</f>
        <v>#REF!</v>
      </c>
      <c r="AA443" t="e">
        <f>IF(#REF!&lt;=15,"Low Charges",
IF(#REF!&lt;=20,"Medium Charges","High Charges"))</f>
        <v>#REF!</v>
      </c>
      <c r="AB443" t="e">
        <f>IF(AND(#REF!&gt;180, #REF!&gt;200), "Heavy Doemstic User", IF(#REF!&gt;10, "Interntional User", IF(AND(#REF!&lt;180, #REF!&lt;200,#REF!&lt;200), "Light User", "Balanced User")))</f>
        <v>#REF!</v>
      </c>
      <c r="AC443" t="e">
        <f>IF(#REF! = 0, "No Usage", IF(#REF! &lt;= 20, "Low Usage", IF(#REF! &lt;= 40, "Medium Usgae", "High Usage")))</f>
        <v>#REF!</v>
      </c>
      <c r="AD443" t="e">
        <f>IF(#REF!&lt;=150,"Low Usage", IF(#REF!&lt;=200,"Medium Usage", IF(#REF!&lt;=250,"High Usage","Very High Usage")))</f>
        <v>#REF!</v>
      </c>
      <c r="AE443" t="e">
        <f>IF(#REF!&lt;=5,"Low Calls", IF(#REF!&lt;=10, "Medium Calls", "High Calls"))</f>
        <v>#REF!</v>
      </c>
      <c r="AF443" t="e">
        <f xml:space="preserve">
IF(#REF!&gt;=4,4,0)+
IF(#REF!="yes",3,0)+
IF(#REF!="High Charges",3,0)+
IF(#REF!&gt;250,4,0)+
IF(#REF!="no",1,0)+
IF(#REF!="Heavy Domestic User",2,0)</f>
        <v>#REF!</v>
      </c>
      <c r="AG443" t="e">
        <f>IF(#REF!&gt;=10,"High Risk", IF(#REF!&gt;=5,"Medium Risk","Low Risk"))</f>
        <v>#REF!</v>
      </c>
      <c r="AH443" t="e">
        <f>#REF! + #REF! + #REF! + #REF!</f>
        <v>#REF!</v>
      </c>
    </row>
    <row r="444" spans="1:34" x14ac:dyDescent="0.35">
      <c r="A444">
        <v>443</v>
      </c>
      <c r="B444" t="s">
        <v>26</v>
      </c>
      <c r="C444">
        <v>125</v>
      </c>
      <c r="D444" t="s">
        <v>21</v>
      </c>
      <c r="E444" t="s">
        <v>22</v>
      </c>
      <c r="F444" t="s">
        <v>23</v>
      </c>
      <c r="G444">
        <v>36</v>
      </c>
      <c r="H444">
        <v>201.3</v>
      </c>
      <c r="I444">
        <v>117</v>
      </c>
      <c r="J444">
        <v>34.22</v>
      </c>
      <c r="K444">
        <v>42.2</v>
      </c>
      <c r="L444">
        <v>78</v>
      </c>
      <c r="M444">
        <v>3.59</v>
      </c>
      <c r="N444">
        <v>125.7</v>
      </c>
      <c r="O444">
        <v>104</v>
      </c>
      <c r="P444">
        <v>5.66</v>
      </c>
      <c r="Q444">
        <v>5.4</v>
      </c>
      <c r="R444">
        <v>3</v>
      </c>
      <c r="S444">
        <v>1.46</v>
      </c>
      <c r="T444">
        <v>1</v>
      </c>
      <c r="U444" t="s">
        <v>22</v>
      </c>
      <c r="V444" t="e">
        <f>IF(#REF! = "yes", 1, 0)</f>
        <v>#REF!</v>
      </c>
      <c r="W444" t="e">
        <f>IF(#REF! &lt;= 1, "0-1 Calls", IF(#REF! &lt;= 3, "2-3 Calls", IF(#REF! &lt;=5, "4-5 Calls", "6+ Calls")))</f>
        <v>#REF!</v>
      </c>
      <c r="X444" t="e">
        <f>IF(#REF! &lt;= 50, "0-50", IF(#REF! &lt;=100, "51-100", IF(#REF! &lt;= 150, "101-150", "151+")))</f>
        <v>#REF!</v>
      </c>
      <c r="Y444" t="e">
        <f>IF(#REF! &lt;= 3, "Low Charges", "High Charges")</f>
        <v>#REF!</v>
      </c>
      <c r="Z444" t="e">
        <f>IF(#REF!&lt;=80,"Low Calls",
IF(#REF!&lt;=120,"Medium Calls","High Calls"))</f>
        <v>#REF!</v>
      </c>
      <c r="AA444" t="e">
        <f>IF(#REF!&lt;=15,"Low Charges",
IF(#REF!&lt;=20,"Medium Charges","High Charges"))</f>
        <v>#REF!</v>
      </c>
      <c r="AB444" t="e">
        <f>IF(AND(#REF!&gt;180, #REF!&gt;200), "Heavy Doemstic User", IF(#REF!&gt;10, "Interntional User", IF(AND(#REF!&lt;180, #REF!&lt;200,#REF!&lt;200), "Light User", "Balanced User")))</f>
        <v>#REF!</v>
      </c>
      <c r="AC444" t="e">
        <f>IF(#REF! = 0, "No Usage", IF(#REF! &lt;= 20, "Low Usage", IF(#REF! &lt;= 40, "Medium Usgae", "High Usage")))</f>
        <v>#REF!</v>
      </c>
      <c r="AD444" t="e">
        <f>IF(#REF!&lt;=150,"Low Usage", IF(#REF!&lt;=200,"Medium Usage", IF(#REF!&lt;=250,"High Usage","Very High Usage")))</f>
        <v>#REF!</v>
      </c>
      <c r="AE444" t="e">
        <f>IF(#REF!&lt;=5,"Low Calls", IF(#REF!&lt;=10, "Medium Calls", "High Calls"))</f>
        <v>#REF!</v>
      </c>
      <c r="AF444" t="e">
        <f xml:space="preserve">
IF(#REF!&gt;=4,4,0)+
IF(#REF!="yes",3,0)+
IF(#REF!="High Charges",3,0)+
IF(#REF!&gt;250,4,0)+
IF(#REF!="no",1,0)+
IF(#REF!="Heavy Domestic User",2,0)</f>
        <v>#REF!</v>
      </c>
      <c r="AG444" t="e">
        <f>IF(#REF!&gt;=10,"High Risk", IF(#REF!&gt;=5,"Medium Risk","Low Risk"))</f>
        <v>#REF!</v>
      </c>
      <c r="AH444" t="e">
        <f>#REF! + #REF! + #REF! + #REF!</f>
        <v>#REF!</v>
      </c>
    </row>
    <row r="445" spans="1:34" x14ac:dyDescent="0.35">
      <c r="A445">
        <v>444</v>
      </c>
      <c r="B445" t="s">
        <v>69</v>
      </c>
      <c r="C445">
        <v>194</v>
      </c>
      <c r="D445" t="s">
        <v>25</v>
      </c>
      <c r="E445" t="s">
        <v>22</v>
      </c>
      <c r="F445" t="s">
        <v>22</v>
      </c>
      <c r="G445">
        <v>0</v>
      </c>
      <c r="H445">
        <v>48.4</v>
      </c>
      <c r="I445">
        <v>101</v>
      </c>
      <c r="J445">
        <v>8.23</v>
      </c>
      <c r="K445">
        <v>281.10000000000002</v>
      </c>
      <c r="L445">
        <v>138</v>
      </c>
      <c r="M445">
        <v>23.89</v>
      </c>
      <c r="N445">
        <v>218.5</v>
      </c>
      <c r="O445">
        <v>87</v>
      </c>
      <c r="P445">
        <v>9.83</v>
      </c>
      <c r="Q445">
        <v>18.2</v>
      </c>
      <c r="R445">
        <v>1</v>
      </c>
      <c r="S445">
        <v>4.91</v>
      </c>
      <c r="T445">
        <v>1</v>
      </c>
      <c r="U445" t="s">
        <v>22</v>
      </c>
      <c r="V445" t="e">
        <f>IF(#REF! = "yes", 1, 0)</f>
        <v>#REF!</v>
      </c>
      <c r="W445" t="e">
        <f>IF(#REF! &lt;= 1, "0-1 Calls", IF(#REF! &lt;= 3, "2-3 Calls", IF(#REF! &lt;=5, "4-5 Calls", "6+ Calls")))</f>
        <v>#REF!</v>
      </c>
      <c r="X445" t="e">
        <f>IF(#REF! &lt;= 50, "0-50", IF(#REF! &lt;=100, "51-100", IF(#REF! &lt;= 150, "101-150", "151+")))</f>
        <v>#REF!</v>
      </c>
      <c r="Y445" t="e">
        <f>IF(#REF! &lt;= 3, "Low Charges", "High Charges")</f>
        <v>#REF!</v>
      </c>
      <c r="Z445" t="e">
        <f>IF(#REF!&lt;=80,"Low Calls",
IF(#REF!&lt;=120,"Medium Calls","High Calls"))</f>
        <v>#REF!</v>
      </c>
      <c r="AA445" t="e">
        <f>IF(#REF!&lt;=15,"Low Charges",
IF(#REF!&lt;=20,"Medium Charges","High Charges"))</f>
        <v>#REF!</v>
      </c>
      <c r="AB445" t="e">
        <f>IF(AND(#REF!&gt;180, #REF!&gt;200), "Heavy Doemstic User", IF(#REF!&gt;10, "Interntional User", IF(AND(#REF!&lt;180, #REF!&lt;200,#REF!&lt;200), "Light User", "Balanced User")))</f>
        <v>#REF!</v>
      </c>
      <c r="AC445" t="e">
        <f>IF(#REF! = 0, "No Usage", IF(#REF! &lt;= 20, "Low Usage", IF(#REF! &lt;= 40, "Medium Usgae", "High Usage")))</f>
        <v>#REF!</v>
      </c>
      <c r="AD445" t="e">
        <f>IF(#REF!&lt;=150,"Low Usage", IF(#REF!&lt;=200,"Medium Usage", IF(#REF!&lt;=250,"High Usage","Very High Usage")))</f>
        <v>#REF!</v>
      </c>
      <c r="AE445" t="e">
        <f>IF(#REF!&lt;=5,"Low Calls", IF(#REF!&lt;=10, "Medium Calls", "High Calls"))</f>
        <v>#REF!</v>
      </c>
      <c r="AF445" t="e">
        <f xml:space="preserve">
IF(#REF!&gt;=4,4,0)+
IF(#REF!="yes",3,0)+
IF(#REF!="High Charges",3,0)+
IF(#REF!&gt;250,4,0)+
IF(#REF!="no",1,0)+
IF(#REF!="Heavy Domestic User",2,0)</f>
        <v>#REF!</v>
      </c>
      <c r="AG445" t="e">
        <f>IF(#REF!&gt;=10,"High Risk", IF(#REF!&gt;=5,"Medium Risk","Low Risk"))</f>
        <v>#REF!</v>
      </c>
      <c r="AH445" t="e">
        <f>#REF! + #REF! + #REF! + #REF!</f>
        <v>#REF!</v>
      </c>
    </row>
    <row r="446" spans="1:34" x14ac:dyDescent="0.35">
      <c r="A446">
        <v>445</v>
      </c>
      <c r="B446" t="s">
        <v>55</v>
      </c>
      <c r="C446">
        <v>190</v>
      </c>
      <c r="D446" t="s">
        <v>21</v>
      </c>
      <c r="E446" t="s">
        <v>22</v>
      </c>
      <c r="F446" t="s">
        <v>23</v>
      </c>
      <c r="G446">
        <v>22</v>
      </c>
      <c r="H446">
        <v>166.5</v>
      </c>
      <c r="I446">
        <v>93</v>
      </c>
      <c r="J446">
        <v>28.31</v>
      </c>
      <c r="K446">
        <v>183</v>
      </c>
      <c r="L446">
        <v>92</v>
      </c>
      <c r="M446">
        <v>15.56</v>
      </c>
      <c r="N446">
        <v>121</v>
      </c>
      <c r="O446">
        <v>102</v>
      </c>
      <c r="P446">
        <v>5.44</v>
      </c>
      <c r="Q446">
        <v>8.5</v>
      </c>
      <c r="R446">
        <v>3</v>
      </c>
      <c r="S446">
        <v>2.2999999999999998</v>
      </c>
      <c r="T446">
        <v>0</v>
      </c>
      <c r="U446" t="s">
        <v>22</v>
      </c>
      <c r="V446" t="e">
        <f>IF(#REF! = "yes", 1, 0)</f>
        <v>#REF!</v>
      </c>
      <c r="W446" t="e">
        <f>IF(#REF! &lt;= 1, "0-1 Calls", IF(#REF! &lt;= 3, "2-3 Calls", IF(#REF! &lt;=5, "4-5 Calls", "6+ Calls")))</f>
        <v>#REF!</v>
      </c>
      <c r="X446" t="e">
        <f>IF(#REF! &lt;= 50, "0-50", IF(#REF! &lt;=100, "51-100", IF(#REF! &lt;= 150, "101-150", "151+")))</f>
        <v>#REF!</v>
      </c>
      <c r="Y446" t="e">
        <f>IF(#REF! &lt;= 3, "Low Charges", "High Charges")</f>
        <v>#REF!</v>
      </c>
      <c r="Z446" t="e">
        <f>IF(#REF!&lt;=80,"Low Calls",
IF(#REF!&lt;=120,"Medium Calls","High Calls"))</f>
        <v>#REF!</v>
      </c>
      <c r="AA446" t="e">
        <f>IF(#REF!&lt;=15,"Low Charges",
IF(#REF!&lt;=20,"Medium Charges","High Charges"))</f>
        <v>#REF!</v>
      </c>
      <c r="AB446" t="e">
        <f>IF(AND(#REF!&gt;180, #REF!&gt;200), "Heavy Doemstic User", IF(#REF!&gt;10, "Interntional User", IF(AND(#REF!&lt;180, #REF!&lt;200,#REF!&lt;200), "Light User", "Balanced User")))</f>
        <v>#REF!</v>
      </c>
      <c r="AC446" t="e">
        <f>IF(#REF! = 0, "No Usage", IF(#REF! &lt;= 20, "Low Usage", IF(#REF! &lt;= 40, "Medium Usgae", "High Usage")))</f>
        <v>#REF!</v>
      </c>
      <c r="AD446" t="e">
        <f>IF(#REF!&lt;=150,"Low Usage", IF(#REF!&lt;=200,"Medium Usage", IF(#REF!&lt;=250,"High Usage","Very High Usage")))</f>
        <v>#REF!</v>
      </c>
      <c r="AE446" t="e">
        <f>IF(#REF!&lt;=5,"Low Calls", IF(#REF!&lt;=10, "Medium Calls", "High Calls"))</f>
        <v>#REF!</v>
      </c>
      <c r="AF446" t="e">
        <f xml:space="preserve">
IF(#REF!&gt;=4,4,0)+
IF(#REF!="yes",3,0)+
IF(#REF!="High Charges",3,0)+
IF(#REF!&gt;250,4,0)+
IF(#REF!="no",1,0)+
IF(#REF!="Heavy Domestic User",2,0)</f>
        <v>#REF!</v>
      </c>
      <c r="AG446" t="e">
        <f>IF(#REF!&gt;=10,"High Risk", IF(#REF!&gt;=5,"Medium Risk","Low Risk"))</f>
        <v>#REF!</v>
      </c>
      <c r="AH446" t="e">
        <f>#REF! + #REF! + #REF! + #REF!</f>
        <v>#REF!</v>
      </c>
    </row>
    <row r="447" spans="1:34" x14ac:dyDescent="0.35">
      <c r="A447">
        <v>446</v>
      </c>
      <c r="B447" t="s">
        <v>52</v>
      </c>
      <c r="C447">
        <v>165</v>
      </c>
      <c r="D447" t="s">
        <v>21</v>
      </c>
      <c r="E447" t="s">
        <v>22</v>
      </c>
      <c r="F447" t="s">
        <v>22</v>
      </c>
      <c r="G447">
        <v>0</v>
      </c>
      <c r="H447">
        <v>216.6</v>
      </c>
      <c r="I447">
        <v>126</v>
      </c>
      <c r="J447">
        <v>36.82</v>
      </c>
      <c r="K447">
        <v>190.8</v>
      </c>
      <c r="L447">
        <v>104</v>
      </c>
      <c r="M447">
        <v>16.22</v>
      </c>
      <c r="N447">
        <v>224.7</v>
      </c>
      <c r="O447">
        <v>123</v>
      </c>
      <c r="P447">
        <v>10.11</v>
      </c>
      <c r="Q447">
        <v>12.4</v>
      </c>
      <c r="R447">
        <v>8</v>
      </c>
      <c r="S447">
        <v>3.35</v>
      </c>
      <c r="T447">
        <v>0</v>
      </c>
      <c r="U447" t="s">
        <v>22</v>
      </c>
      <c r="V447" t="e">
        <f>IF(#REF! = "yes", 1, 0)</f>
        <v>#REF!</v>
      </c>
      <c r="W447" t="e">
        <f>IF(#REF! &lt;= 1, "0-1 Calls", IF(#REF! &lt;= 3, "2-3 Calls", IF(#REF! &lt;=5, "4-5 Calls", "6+ Calls")))</f>
        <v>#REF!</v>
      </c>
      <c r="X447" t="e">
        <f>IF(#REF! &lt;= 50, "0-50", IF(#REF! &lt;=100, "51-100", IF(#REF! &lt;= 150, "101-150", "151+")))</f>
        <v>#REF!</v>
      </c>
      <c r="Y447" t="e">
        <f>IF(#REF! &lt;= 3, "Low Charges", "High Charges")</f>
        <v>#REF!</v>
      </c>
      <c r="Z447" t="e">
        <f>IF(#REF!&lt;=80,"Low Calls",
IF(#REF!&lt;=120,"Medium Calls","High Calls"))</f>
        <v>#REF!</v>
      </c>
      <c r="AA447" t="e">
        <f>IF(#REF!&lt;=15,"Low Charges",
IF(#REF!&lt;=20,"Medium Charges","High Charges"))</f>
        <v>#REF!</v>
      </c>
      <c r="AB447" t="e">
        <f>IF(AND(#REF!&gt;180, #REF!&gt;200), "Heavy Doemstic User", IF(#REF!&gt;10, "Interntional User", IF(AND(#REF!&lt;180, #REF!&lt;200,#REF!&lt;200), "Light User", "Balanced User")))</f>
        <v>#REF!</v>
      </c>
      <c r="AC447" t="e">
        <f>IF(#REF! = 0, "No Usage", IF(#REF! &lt;= 20, "Low Usage", IF(#REF! &lt;= 40, "Medium Usgae", "High Usage")))</f>
        <v>#REF!</v>
      </c>
      <c r="AD447" t="e">
        <f>IF(#REF!&lt;=150,"Low Usage", IF(#REF!&lt;=200,"Medium Usage", IF(#REF!&lt;=250,"High Usage","Very High Usage")))</f>
        <v>#REF!</v>
      </c>
      <c r="AE447" t="e">
        <f>IF(#REF!&lt;=5,"Low Calls", IF(#REF!&lt;=10, "Medium Calls", "High Calls"))</f>
        <v>#REF!</v>
      </c>
      <c r="AF447" t="e">
        <f xml:space="preserve">
IF(#REF!&gt;=4,4,0)+
IF(#REF!="yes",3,0)+
IF(#REF!="High Charges",3,0)+
IF(#REF!&gt;250,4,0)+
IF(#REF!="no",1,0)+
IF(#REF!="Heavy Domestic User",2,0)</f>
        <v>#REF!</v>
      </c>
      <c r="AG447" t="e">
        <f>IF(#REF!&gt;=10,"High Risk", IF(#REF!&gt;=5,"Medium Risk","Low Risk"))</f>
        <v>#REF!</v>
      </c>
      <c r="AH447" t="e">
        <f>#REF! + #REF! + #REF! + #REF!</f>
        <v>#REF!</v>
      </c>
    </row>
    <row r="448" spans="1:34" x14ac:dyDescent="0.35">
      <c r="A448">
        <v>447</v>
      </c>
      <c r="B448" t="s">
        <v>36</v>
      </c>
      <c r="C448">
        <v>59</v>
      </c>
      <c r="D448" t="s">
        <v>25</v>
      </c>
      <c r="E448" t="s">
        <v>22</v>
      </c>
      <c r="F448" t="s">
        <v>22</v>
      </c>
      <c r="G448">
        <v>0</v>
      </c>
      <c r="H448">
        <v>107.8</v>
      </c>
      <c r="I448">
        <v>113</v>
      </c>
      <c r="J448">
        <v>18.329999999999998</v>
      </c>
      <c r="K448">
        <v>216.6</v>
      </c>
      <c r="L448">
        <v>125</v>
      </c>
      <c r="M448">
        <v>18.41</v>
      </c>
      <c r="N448">
        <v>217.5</v>
      </c>
      <c r="O448">
        <v>92</v>
      </c>
      <c r="P448">
        <v>9.7899999999999991</v>
      </c>
      <c r="Q448">
        <v>9.9</v>
      </c>
      <c r="R448">
        <v>3</v>
      </c>
      <c r="S448">
        <v>2.67</v>
      </c>
      <c r="T448">
        <v>2</v>
      </c>
      <c r="U448" t="s">
        <v>22</v>
      </c>
      <c r="V448" t="e">
        <f>IF(#REF! = "yes", 1, 0)</f>
        <v>#REF!</v>
      </c>
      <c r="W448" t="e">
        <f>IF(#REF! &lt;= 1, "0-1 Calls", IF(#REF! &lt;= 3, "2-3 Calls", IF(#REF! &lt;=5, "4-5 Calls", "6+ Calls")))</f>
        <v>#REF!</v>
      </c>
      <c r="X448" t="e">
        <f>IF(#REF! &lt;= 50, "0-50", IF(#REF! &lt;=100, "51-100", IF(#REF! &lt;= 150, "101-150", "151+")))</f>
        <v>#REF!</v>
      </c>
      <c r="Y448" t="e">
        <f>IF(#REF! &lt;= 3, "Low Charges", "High Charges")</f>
        <v>#REF!</v>
      </c>
      <c r="Z448" t="e">
        <f>IF(#REF!&lt;=80,"Low Calls",
IF(#REF!&lt;=120,"Medium Calls","High Calls"))</f>
        <v>#REF!</v>
      </c>
      <c r="AA448" t="e">
        <f>IF(#REF!&lt;=15,"Low Charges",
IF(#REF!&lt;=20,"Medium Charges","High Charges"))</f>
        <v>#REF!</v>
      </c>
      <c r="AB448" t="e">
        <f>IF(AND(#REF!&gt;180, #REF!&gt;200), "Heavy Doemstic User", IF(#REF!&gt;10, "Interntional User", IF(AND(#REF!&lt;180, #REF!&lt;200,#REF!&lt;200), "Light User", "Balanced User")))</f>
        <v>#REF!</v>
      </c>
      <c r="AC448" t="e">
        <f>IF(#REF! = 0, "No Usage", IF(#REF! &lt;= 20, "Low Usage", IF(#REF! &lt;= 40, "Medium Usgae", "High Usage")))</f>
        <v>#REF!</v>
      </c>
      <c r="AD448" t="e">
        <f>IF(#REF!&lt;=150,"Low Usage", IF(#REF!&lt;=200,"Medium Usage", IF(#REF!&lt;=250,"High Usage","Very High Usage")))</f>
        <v>#REF!</v>
      </c>
      <c r="AE448" t="e">
        <f>IF(#REF!&lt;=5,"Low Calls", IF(#REF!&lt;=10, "Medium Calls", "High Calls"))</f>
        <v>#REF!</v>
      </c>
      <c r="AF448" t="e">
        <f xml:space="preserve">
IF(#REF!&gt;=4,4,0)+
IF(#REF!="yes",3,0)+
IF(#REF!="High Charges",3,0)+
IF(#REF!&gt;250,4,0)+
IF(#REF!="no",1,0)+
IF(#REF!="Heavy Domestic User",2,0)</f>
        <v>#REF!</v>
      </c>
      <c r="AG448" t="e">
        <f>IF(#REF!&gt;=10,"High Risk", IF(#REF!&gt;=5,"Medium Risk","Low Risk"))</f>
        <v>#REF!</v>
      </c>
      <c r="AH448" t="e">
        <f>#REF! + #REF! + #REF! + #REF!</f>
        <v>#REF!</v>
      </c>
    </row>
    <row r="449" spans="1:34" x14ac:dyDescent="0.35">
      <c r="A449">
        <v>448</v>
      </c>
      <c r="B449" t="s">
        <v>68</v>
      </c>
      <c r="C449">
        <v>47</v>
      </c>
      <c r="D449" t="s">
        <v>25</v>
      </c>
      <c r="E449" t="s">
        <v>22</v>
      </c>
      <c r="F449" t="s">
        <v>23</v>
      </c>
      <c r="G449">
        <v>28</v>
      </c>
      <c r="H449">
        <v>141.30000000000001</v>
      </c>
      <c r="I449">
        <v>94</v>
      </c>
      <c r="J449">
        <v>24.02</v>
      </c>
      <c r="K449">
        <v>168</v>
      </c>
      <c r="L449">
        <v>108</v>
      </c>
      <c r="M449">
        <v>14.28</v>
      </c>
      <c r="N449">
        <v>113.5</v>
      </c>
      <c r="O449">
        <v>84</v>
      </c>
      <c r="P449">
        <v>5.1100000000000003</v>
      </c>
      <c r="Q449">
        <v>7.8</v>
      </c>
      <c r="R449">
        <v>2</v>
      </c>
      <c r="S449">
        <v>2.11</v>
      </c>
      <c r="T449">
        <v>1</v>
      </c>
      <c r="U449" t="s">
        <v>22</v>
      </c>
      <c r="V449" t="e">
        <f>IF(#REF! = "yes", 1, 0)</f>
        <v>#REF!</v>
      </c>
      <c r="W449" t="e">
        <f>IF(#REF! &lt;= 1, "0-1 Calls", IF(#REF! &lt;= 3, "2-3 Calls", IF(#REF! &lt;=5, "4-5 Calls", "6+ Calls")))</f>
        <v>#REF!</v>
      </c>
      <c r="X449" t="e">
        <f>IF(#REF! &lt;= 50, "0-50", IF(#REF! &lt;=100, "51-100", IF(#REF! &lt;= 150, "101-150", "151+")))</f>
        <v>#REF!</v>
      </c>
      <c r="Y449" t="e">
        <f>IF(#REF! &lt;= 3, "Low Charges", "High Charges")</f>
        <v>#REF!</v>
      </c>
      <c r="Z449" t="e">
        <f>IF(#REF!&lt;=80,"Low Calls",
IF(#REF!&lt;=120,"Medium Calls","High Calls"))</f>
        <v>#REF!</v>
      </c>
      <c r="AA449" t="e">
        <f>IF(#REF!&lt;=15,"Low Charges",
IF(#REF!&lt;=20,"Medium Charges","High Charges"))</f>
        <v>#REF!</v>
      </c>
      <c r="AB449" t="e">
        <f>IF(AND(#REF!&gt;180, #REF!&gt;200), "Heavy Doemstic User", IF(#REF!&gt;10, "Interntional User", IF(AND(#REF!&lt;180, #REF!&lt;200,#REF!&lt;200), "Light User", "Balanced User")))</f>
        <v>#REF!</v>
      </c>
      <c r="AC449" t="e">
        <f>IF(#REF! = 0, "No Usage", IF(#REF! &lt;= 20, "Low Usage", IF(#REF! &lt;= 40, "Medium Usgae", "High Usage")))</f>
        <v>#REF!</v>
      </c>
      <c r="AD449" t="e">
        <f>IF(#REF!&lt;=150,"Low Usage", IF(#REF!&lt;=200,"Medium Usage", IF(#REF!&lt;=250,"High Usage","Very High Usage")))</f>
        <v>#REF!</v>
      </c>
      <c r="AE449" t="e">
        <f>IF(#REF!&lt;=5,"Low Calls", IF(#REF!&lt;=10, "Medium Calls", "High Calls"))</f>
        <v>#REF!</v>
      </c>
      <c r="AF449" t="e">
        <f xml:space="preserve">
IF(#REF!&gt;=4,4,0)+
IF(#REF!="yes",3,0)+
IF(#REF!="High Charges",3,0)+
IF(#REF!&gt;250,4,0)+
IF(#REF!="no",1,0)+
IF(#REF!="Heavy Domestic User",2,0)</f>
        <v>#REF!</v>
      </c>
      <c r="AG449" t="e">
        <f>IF(#REF!&gt;=10,"High Risk", IF(#REF!&gt;=5,"Medium Risk","Low Risk"))</f>
        <v>#REF!</v>
      </c>
      <c r="AH449" t="e">
        <f>#REF! + #REF! + #REF! + #REF!</f>
        <v>#REF!</v>
      </c>
    </row>
    <row r="450" spans="1:34" x14ac:dyDescent="0.35">
      <c r="A450">
        <v>449</v>
      </c>
      <c r="B450" t="s">
        <v>33</v>
      </c>
      <c r="C450">
        <v>150</v>
      </c>
      <c r="D450" t="s">
        <v>21</v>
      </c>
      <c r="E450" t="s">
        <v>22</v>
      </c>
      <c r="F450" t="s">
        <v>23</v>
      </c>
      <c r="G450">
        <v>29</v>
      </c>
      <c r="H450">
        <v>209.9</v>
      </c>
      <c r="I450">
        <v>77</v>
      </c>
      <c r="J450">
        <v>35.68</v>
      </c>
      <c r="K450">
        <v>158</v>
      </c>
      <c r="L450">
        <v>52</v>
      </c>
      <c r="M450">
        <v>13.43</v>
      </c>
      <c r="N450">
        <v>141.9</v>
      </c>
      <c r="O450">
        <v>113</v>
      </c>
      <c r="P450">
        <v>6.39</v>
      </c>
      <c r="Q450">
        <v>6.6</v>
      </c>
      <c r="R450">
        <v>1</v>
      </c>
      <c r="S450">
        <v>1.78</v>
      </c>
      <c r="T450">
        <v>0</v>
      </c>
      <c r="U450" t="s">
        <v>22</v>
      </c>
      <c r="V450" t="e">
        <f>IF(#REF! = "yes", 1, 0)</f>
        <v>#REF!</v>
      </c>
      <c r="W450" t="e">
        <f>IF(#REF! &lt;= 1, "0-1 Calls", IF(#REF! &lt;= 3, "2-3 Calls", IF(#REF! &lt;=5, "4-5 Calls", "6+ Calls")))</f>
        <v>#REF!</v>
      </c>
      <c r="X450" t="e">
        <f>IF(#REF! &lt;= 50, "0-50", IF(#REF! &lt;=100, "51-100", IF(#REF! &lt;= 150, "101-150", "151+")))</f>
        <v>#REF!</v>
      </c>
      <c r="Y450" t="e">
        <f>IF(#REF! &lt;= 3, "Low Charges", "High Charges")</f>
        <v>#REF!</v>
      </c>
      <c r="Z450" t="e">
        <f>IF(#REF!&lt;=80,"Low Calls",
IF(#REF!&lt;=120,"Medium Calls","High Calls"))</f>
        <v>#REF!</v>
      </c>
      <c r="AA450" t="e">
        <f>IF(#REF!&lt;=15,"Low Charges",
IF(#REF!&lt;=20,"Medium Charges","High Charges"))</f>
        <v>#REF!</v>
      </c>
      <c r="AB450" t="e">
        <f>IF(AND(#REF!&gt;180, #REF!&gt;200), "Heavy Doemstic User", IF(#REF!&gt;10, "Interntional User", IF(AND(#REF!&lt;180, #REF!&lt;200,#REF!&lt;200), "Light User", "Balanced User")))</f>
        <v>#REF!</v>
      </c>
      <c r="AC450" t="e">
        <f>IF(#REF! = 0, "No Usage", IF(#REF! &lt;= 20, "Low Usage", IF(#REF! &lt;= 40, "Medium Usgae", "High Usage")))</f>
        <v>#REF!</v>
      </c>
      <c r="AD450" t="e">
        <f>IF(#REF!&lt;=150,"Low Usage", IF(#REF!&lt;=200,"Medium Usage", IF(#REF!&lt;=250,"High Usage","Very High Usage")))</f>
        <v>#REF!</v>
      </c>
      <c r="AE450" t="e">
        <f>IF(#REF!&lt;=5,"Low Calls", IF(#REF!&lt;=10, "Medium Calls", "High Calls"))</f>
        <v>#REF!</v>
      </c>
      <c r="AF450" t="e">
        <f xml:space="preserve">
IF(#REF!&gt;=4,4,0)+
IF(#REF!="yes",3,0)+
IF(#REF!="High Charges",3,0)+
IF(#REF!&gt;250,4,0)+
IF(#REF!="no",1,0)+
IF(#REF!="Heavy Domestic User",2,0)</f>
        <v>#REF!</v>
      </c>
      <c r="AG450" t="e">
        <f>IF(#REF!&gt;=10,"High Risk", IF(#REF!&gt;=5,"Medium Risk","Low Risk"))</f>
        <v>#REF!</v>
      </c>
      <c r="AH450" t="e">
        <f>#REF! + #REF! + #REF! + #REF!</f>
        <v>#REF!</v>
      </c>
    </row>
    <row r="451" spans="1:34" x14ac:dyDescent="0.35">
      <c r="A451">
        <v>450</v>
      </c>
      <c r="B451" t="s">
        <v>60</v>
      </c>
      <c r="C451">
        <v>152</v>
      </c>
      <c r="D451" t="s">
        <v>21</v>
      </c>
      <c r="E451" t="s">
        <v>23</v>
      </c>
      <c r="F451" t="s">
        <v>23</v>
      </c>
      <c r="G451">
        <v>20</v>
      </c>
      <c r="H451">
        <v>237.5</v>
      </c>
      <c r="I451">
        <v>120</v>
      </c>
      <c r="J451">
        <v>40.380000000000003</v>
      </c>
      <c r="K451">
        <v>253.4</v>
      </c>
      <c r="L451">
        <v>94</v>
      </c>
      <c r="M451">
        <v>21.54</v>
      </c>
      <c r="N451">
        <v>265.2</v>
      </c>
      <c r="O451">
        <v>80</v>
      </c>
      <c r="P451">
        <v>11.93</v>
      </c>
      <c r="Q451">
        <v>14.2</v>
      </c>
      <c r="R451">
        <v>3</v>
      </c>
      <c r="S451">
        <v>3.83</v>
      </c>
      <c r="T451">
        <v>9</v>
      </c>
      <c r="U451" t="s">
        <v>23</v>
      </c>
      <c r="V451" t="e">
        <f>IF(#REF! = "yes", 1, 0)</f>
        <v>#REF!</v>
      </c>
      <c r="W451" t="e">
        <f>IF(#REF! &lt;= 1, "0-1 Calls", IF(#REF! &lt;= 3, "2-3 Calls", IF(#REF! &lt;=5, "4-5 Calls", "6+ Calls")))</f>
        <v>#REF!</v>
      </c>
      <c r="X451" t="e">
        <f>IF(#REF! &lt;= 50, "0-50", IF(#REF! &lt;=100, "51-100", IF(#REF! &lt;= 150, "101-150", "151+")))</f>
        <v>#REF!</v>
      </c>
      <c r="Y451" t="e">
        <f>IF(#REF! &lt;= 3, "Low Charges", "High Charges")</f>
        <v>#REF!</v>
      </c>
      <c r="Z451" t="e">
        <f>IF(#REF!&lt;=80,"Low Calls",
IF(#REF!&lt;=120,"Medium Calls","High Calls"))</f>
        <v>#REF!</v>
      </c>
      <c r="AA451" t="e">
        <f>IF(#REF!&lt;=15,"Low Charges",
IF(#REF!&lt;=20,"Medium Charges","High Charges"))</f>
        <v>#REF!</v>
      </c>
      <c r="AB451" t="e">
        <f>IF(AND(#REF!&gt;180, #REF!&gt;200), "Heavy Doemstic User", IF(#REF!&gt;10, "Interntional User", IF(AND(#REF!&lt;180, #REF!&lt;200,#REF!&lt;200), "Light User", "Balanced User")))</f>
        <v>#REF!</v>
      </c>
      <c r="AC451" t="e">
        <f>IF(#REF! = 0, "No Usage", IF(#REF! &lt;= 20, "Low Usage", IF(#REF! &lt;= 40, "Medium Usgae", "High Usage")))</f>
        <v>#REF!</v>
      </c>
      <c r="AD451" t="e">
        <f>IF(#REF!&lt;=150,"Low Usage", IF(#REF!&lt;=200,"Medium Usage", IF(#REF!&lt;=250,"High Usage","Very High Usage")))</f>
        <v>#REF!</v>
      </c>
      <c r="AE451" t="e">
        <f>IF(#REF!&lt;=5,"Low Calls", IF(#REF!&lt;=10, "Medium Calls", "High Calls"))</f>
        <v>#REF!</v>
      </c>
      <c r="AF451" t="e">
        <f xml:space="preserve">
IF(#REF!&gt;=4,4,0)+
IF(#REF!="yes",3,0)+
IF(#REF!="High Charges",3,0)+
IF(#REF!&gt;250,4,0)+
IF(#REF!="no",1,0)+
IF(#REF!="Heavy Domestic User",2,0)</f>
        <v>#REF!</v>
      </c>
      <c r="AG451" t="e">
        <f>IF(#REF!&gt;=10,"High Risk", IF(#REF!&gt;=5,"Medium Risk","Low Risk"))</f>
        <v>#REF!</v>
      </c>
      <c r="AH451" t="e">
        <f>#REF! + #REF! + #REF! + #REF!</f>
        <v>#REF!</v>
      </c>
    </row>
    <row r="452" spans="1:34" x14ac:dyDescent="0.35">
      <c r="A452">
        <v>451</v>
      </c>
      <c r="B452" t="s">
        <v>58</v>
      </c>
      <c r="C452">
        <v>26</v>
      </c>
      <c r="D452" t="s">
        <v>21</v>
      </c>
      <c r="E452" t="s">
        <v>22</v>
      </c>
      <c r="F452" t="s">
        <v>22</v>
      </c>
      <c r="G452">
        <v>0</v>
      </c>
      <c r="H452">
        <v>234.5</v>
      </c>
      <c r="I452">
        <v>109</v>
      </c>
      <c r="J452">
        <v>39.869999999999997</v>
      </c>
      <c r="K452">
        <v>216.5</v>
      </c>
      <c r="L452">
        <v>129</v>
      </c>
      <c r="M452">
        <v>18.399999999999999</v>
      </c>
      <c r="N452">
        <v>191.6</v>
      </c>
      <c r="O452">
        <v>94</v>
      </c>
      <c r="P452">
        <v>8.6199999999999992</v>
      </c>
      <c r="Q452">
        <v>3.5</v>
      </c>
      <c r="R452">
        <v>6</v>
      </c>
      <c r="S452">
        <v>0.95</v>
      </c>
      <c r="T452">
        <v>3</v>
      </c>
      <c r="U452" t="s">
        <v>22</v>
      </c>
      <c r="V452" t="e">
        <f>IF(#REF! = "yes", 1, 0)</f>
        <v>#REF!</v>
      </c>
      <c r="W452" t="e">
        <f>IF(#REF! &lt;= 1, "0-1 Calls", IF(#REF! &lt;= 3, "2-3 Calls", IF(#REF! &lt;=5, "4-5 Calls", "6+ Calls")))</f>
        <v>#REF!</v>
      </c>
      <c r="X452" t="e">
        <f>IF(#REF! &lt;= 50, "0-50", IF(#REF! &lt;=100, "51-100", IF(#REF! &lt;= 150, "101-150", "151+")))</f>
        <v>#REF!</v>
      </c>
      <c r="Y452" t="e">
        <f>IF(#REF! &lt;= 3, "Low Charges", "High Charges")</f>
        <v>#REF!</v>
      </c>
      <c r="Z452" t="e">
        <f>IF(#REF!&lt;=80,"Low Calls",
IF(#REF!&lt;=120,"Medium Calls","High Calls"))</f>
        <v>#REF!</v>
      </c>
      <c r="AA452" t="e">
        <f>IF(#REF!&lt;=15,"Low Charges",
IF(#REF!&lt;=20,"Medium Charges","High Charges"))</f>
        <v>#REF!</v>
      </c>
      <c r="AB452" t="e">
        <f>IF(AND(#REF!&gt;180, #REF!&gt;200), "Heavy Doemstic User", IF(#REF!&gt;10, "Interntional User", IF(AND(#REF!&lt;180, #REF!&lt;200,#REF!&lt;200), "Light User", "Balanced User")))</f>
        <v>#REF!</v>
      </c>
      <c r="AC452" t="e">
        <f>IF(#REF! = 0, "No Usage", IF(#REF! &lt;= 20, "Low Usage", IF(#REF! &lt;= 40, "Medium Usgae", "High Usage")))</f>
        <v>#REF!</v>
      </c>
      <c r="AD452" t="e">
        <f>IF(#REF!&lt;=150,"Low Usage", IF(#REF!&lt;=200,"Medium Usage", IF(#REF!&lt;=250,"High Usage","Very High Usage")))</f>
        <v>#REF!</v>
      </c>
      <c r="AE452" t="e">
        <f>IF(#REF!&lt;=5,"Low Calls", IF(#REF!&lt;=10, "Medium Calls", "High Calls"))</f>
        <v>#REF!</v>
      </c>
      <c r="AF452" t="e">
        <f xml:space="preserve">
IF(#REF!&gt;=4,4,0)+
IF(#REF!="yes",3,0)+
IF(#REF!="High Charges",3,0)+
IF(#REF!&gt;250,4,0)+
IF(#REF!="no",1,0)+
IF(#REF!="Heavy Domestic User",2,0)</f>
        <v>#REF!</v>
      </c>
      <c r="AG452" t="e">
        <f>IF(#REF!&gt;=10,"High Risk", IF(#REF!&gt;=5,"Medium Risk","Low Risk"))</f>
        <v>#REF!</v>
      </c>
      <c r="AH452" t="e">
        <f>#REF! + #REF! + #REF! + #REF!</f>
        <v>#REF!</v>
      </c>
    </row>
    <row r="453" spans="1:34" x14ac:dyDescent="0.35">
      <c r="A453">
        <v>452</v>
      </c>
      <c r="B453" t="s">
        <v>49</v>
      </c>
      <c r="C453">
        <v>79</v>
      </c>
      <c r="D453" t="s">
        <v>28</v>
      </c>
      <c r="E453" t="s">
        <v>22</v>
      </c>
      <c r="F453" t="s">
        <v>23</v>
      </c>
      <c r="G453">
        <v>31</v>
      </c>
      <c r="H453">
        <v>103.1</v>
      </c>
      <c r="I453">
        <v>90</v>
      </c>
      <c r="J453">
        <v>17.53</v>
      </c>
      <c r="K453">
        <v>243</v>
      </c>
      <c r="L453">
        <v>135</v>
      </c>
      <c r="M453">
        <v>20.66</v>
      </c>
      <c r="N453">
        <v>76.400000000000006</v>
      </c>
      <c r="O453">
        <v>92</v>
      </c>
      <c r="P453">
        <v>3.44</v>
      </c>
      <c r="Q453">
        <v>12.2</v>
      </c>
      <c r="R453">
        <v>8</v>
      </c>
      <c r="S453">
        <v>3.29</v>
      </c>
      <c r="T453">
        <v>3</v>
      </c>
      <c r="U453" t="s">
        <v>22</v>
      </c>
      <c r="V453" t="e">
        <f>IF(#REF! = "yes", 1, 0)</f>
        <v>#REF!</v>
      </c>
      <c r="W453" t="e">
        <f>IF(#REF! &lt;= 1, "0-1 Calls", IF(#REF! &lt;= 3, "2-3 Calls", IF(#REF! &lt;=5, "4-5 Calls", "6+ Calls")))</f>
        <v>#REF!</v>
      </c>
      <c r="X453" t="e">
        <f>IF(#REF! &lt;= 50, "0-50", IF(#REF! &lt;=100, "51-100", IF(#REF! &lt;= 150, "101-150", "151+")))</f>
        <v>#REF!</v>
      </c>
      <c r="Y453" t="e">
        <f>IF(#REF! &lt;= 3, "Low Charges", "High Charges")</f>
        <v>#REF!</v>
      </c>
      <c r="Z453" t="e">
        <f>IF(#REF!&lt;=80,"Low Calls",
IF(#REF!&lt;=120,"Medium Calls","High Calls"))</f>
        <v>#REF!</v>
      </c>
      <c r="AA453" t="e">
        <f>IF(#REF!&lt;=15,"Low Charges",
IF(#REF!&lt;=20,"Medium Charges","High Charges"))</f>
        <v>#REF!</v>
      </c>
      <c r="AB453" t="e">
        <f>IF(AND(#REF!&gt;180, #REF!&gt;200), "Heavy Doemstic User", IF(#REF!&gt;10, "Interntional User", IF(AND(#REF!&lt;180, #REF!&lt;200,#REF!&lt;200), "Light User", "Balanced User")))</f>
        <v>#REF!</v>
      </c>
      <c r="AC453" t="e">
        <f>IF(#REF! = 0, "No Usage", IF(#REF! &lt;= 20, "Low Usage", IF(#REF! &lt;= 40, "Medium Usgae", "High Usage")))</f>
        <v>#REF!</v>
      </c>
      <c r="AD453" t="e">
        <f>IF(#REF!&lt;=150,"Low Usage", IF(#REF!&lt;=200,"Medium Usage", IF(#REF!&lt;=250,"High Usage","Very High Usage")))</f>
        <v>#REF!</v>
      </c>
      <c r="AE453" t="e">
        <f>IF(#REF!&lt;=5,"Low Calls", IF(#REF!&lt;=10, "Medium Calls", "High Calls"))</f>
        <v>#REF!</v>
      </c>
      <c r="AF453" t="e">
        <f xml:space="preserve">
IF(#REF!&gt;=4,4,0)+
IF(#REF!="yes",3,0)+
IF(#REF!="High Charges",3,0)+
IF(#REF!&gt;250,4,0)+
IF(#REF!="no",1,0)+
IF(#REF!="Heavy Domestic User",2,0)</f>
        <v>#REF!</v>
      </c>
      <c r="AG453" t="e">
        <f>IF(#REF!&gt;=10,"High Risk", IF(#REF!&gt;=5,"Medium Risk","Low Risk"))</f>
        <v>#REF!</v>
      </c>
      <c r="AH453" t="e">
        <f>#REF! + #REF! + #REF! + #REF!</f>
        <v>#REF!</v>
      </c>
    </row>
    <row r="454" spans="1:34" x14ac:dyDescent="0.35">
      <c r="A454">
        <v>453</v>
      </c>
      <c r="B454" t="s">
        <v>33</v>
      </c>
      <c r="C454">
        <v>95</v>
      </c>
      <c r="D454" t="s">
        <v>28</v>
      </c>
      <c r="E454" t="s">
        <v>22</v>
      </c>
      <c r="F454" t="s">
        <v>23</v>
      </c>
      <c r="G454">
        <v>27</v>
      </c>
      <c r="H454">
        <v>129.5</v>
      </c>
      <c r="I454">
        <v>106</v>
      </c>
      <c r="J454">
        <v>22.02</v>
      </c>
      <c r="K454">
        <v>248.9</v>
      </c>
      <c r="L454">
        <v>90</v>
      </c>
      <c r="M454">
        <v>21.16</v>
      </c>
      <c r="N454">
        <v>268</v>
      </c>
      <c r="O454">
        <v>115</v>
      </c>
      <c r="P454">
        <v>12.06</v>
      </c>
      <c r="Q454">
        <v>11.9</v>
      </c>
      <c r="R454">
        <v>3</v>
      </c>
      <c r="S454">
        <v>3.21</v>
      </c>
      <c r="T454">
        <v>1</v>
      </c>
      <c r="U454" t="s">
        <v>22</v>
      </c>
      <c r="V454" t="e">
        <f>IF(#REF! = "yes", 1, 0)</f>
        <v>#REF!</v>
      </c>
      <c r="W454" t="e">
        <f>IF(#REF! &lt;= 1, "0-1 Calls", IF(#REF! &lt;= 3, "2-3 Calls", IF(#REF! &lt;=5, "4-5 Calls", "6+ Calls")))</f>
        <v>#REF!</v>
      </c>
      <c r="X454" t="e">
        <f>IF(#REF! &lt;= 50, "0-50", IF(#REF! &lt;=100, "51-100", IF(#REF! &lt;= 150, "101-150", "151+")))</f>
        <v>#REF!</v>
      </c>
      <c r="Y454" t="e">
        <f>IF(#REF! &lt;= 3, "Low Charges", "High Charges")</f>
        <v>#REF!</v>
      </c>
      <c r="Z454" t="e">
        <f>IF(#REF!&lt;=80,"Low Calls",
IF(#REF!&lt;=120,"Medium Calls","High Calls"))</f>
        <v>#REF!</v>
      </c>
      <c r="AA454" t="e">
        <f>IF(#REF!&lt;=15,"Low Charges",
IF(#REF!&lt;=20,"Medium Charges","High Charges"))</f>
        <v>#REF!</v>
      </c>
      <c r="AB454" t="e">
        <f>IF(AND(#REF!&gt;180, #REF!&gt;200), "Heavy Doemstic User", IF(#REF!&gt;10, "Interntional User", IF(AND(#REF!&lt;180, #REF!&lt;200,#REF!&lt;200), "Light User", "Balanced User")))</f>
        <v>#REF!</v>
      </c>
      <c r="AC454" t="e">
        <f>IF(#REF! = 0, "No Usage", IF(#REF! &lt;= 20, "Low Usage", IF(#REF! &lt;= 40, "Medium Usgae", "High Usage")))</f>
        <v>#REF!</v>
      </c>
      <c r="AD454" t="e">
        <f>IF(#REF!&lt;=150,"Low Usage", IF(#REF!&lt;=200,"Medium Usage", IF(#REF!&lt;=250,"High Usage","Very High Usage")))</f>
        <v>#REF!</v>
      </c>
      <c r="AE454" t="e">
        <f>IF(#REF!&lt;=5,"Low Calls", IF(#REF!&lt;=10, "Medium Calls", "High Calls"))</f>
        <v>#REF!</v>
      </c>
      <c r="AF454" t="e">
        <f xml:space="preserve">
IF(#REF!&gt;=4,4,0)+
IF(#REF!="yes",3,0)+
IF(#REF!="High Charges",3,0)+
IF(#REF!&gt;250,4,0)+
IF(#REF!="no",1,0)+
IF(#REF!="Heavy Domestic User",2,0)</f>
        <v>#REF!</v>
      </c>
      <c r="AG454" t="e">
        <f>IF(#REF!&gt;=10,"High Risk", IF(#REF!&gt;=5,"Medium Risk","Low Risk"))</f>
        <v>#REF!</v>
      </c>
      <c r="AH454" t="e">
        <f>#REF! + #REF! + #REF! + #REF!</f>
        <v>#REF!</v>
      </c>
    </row>
    <row r="455" spans="1:34" x14ac:dyDescent="0.35">
      <c r="A455">
        <v>454</v>
      </c>
      <c r="B455" t="s">
        <v>51</v>
      </c>
      <c r="C455">
        <v>69</v>
      </c>
      <c r="D455" t="s">
        <v>28</v>
      </c>
      <c r="E455" t="s">
        <v>23</v>
      </c>
      <c r="F455" t="s">
        <v>22</v>
      </c>
      <c r="G455">
        <v>0</v>
      </c>
      <c r="H455">
        <v>279.8</v>
      </c>
      <c r="I455">
        <v>90</v>
      </c>
      <c r="J455">
        <v>47.57</v>
      </c>
      <c r="K455">
        <v>248.7</v>
      </c>
      <c r="L455">
        <v>91</v>
      </c>
      <c r="M455">
        <v>21.14</v>
      </c>
      <c r="N455">
        <v>171</v>
      </c>
      <c r="O455">
        <v>118</v>
      </c>
      <c r="P455">
        <v>7.69</v>
      </c>
      <c r="Q455">
        <v>8.4</v>
      </c>
      <c r="R455">
        <v>10</v>
      </c>
      <c r="S455">
        <v>2.27</v>
      </c>
      <c r="T455">
        <v>2</v>
      </c>
      <c r="U455" t="s">
        <v>23</v>
      </c>
      <c r="V455" t="e">
        <f>IF(#REF! = "yes", 1, 0)</f>
        <v>#REF!</v>
      </c>
      <c r="W455" t="e">
        <f>IF(#REF! &lt;= 1, "0-1 Calls", IF(#REF! &lt;= 3, "2-3 Calls", IF(#REF! &lt;=5, "4-5 Calls", "6+ Calls")))</f>
        <v>#REF!</v>
      </c>
      <c r="X455" t="e">
        <f>IF(#REF! &lt;= 50, "0-50", IF(#REF! &lt;=100, "51-100", IF(#REF! &lt;= 150, "101-150", "151+")))</f>
        <v>#REF!</v>
      </c>
      <c r="Y455" t="e">
        <f>IF(#REF! &lt;= 3, "Low Charges", "High Charges")</f>
        <v>#REF!</v>
      </c>
      <c r="Z455" t="e">
        <f>IF(#REF!&lt;=80,"Low Calls",
IF(#REF!&lt;=120,"Medium Calls","High Calls"))</f>
        <v>#REF!</v>
      </c>
      <c r="AA455" t="e">
        <f>IF(#REF!&lt;=15,"Low Charges",
IF(#REF!&lt;=20,"Medium Charges","High Charges"))</f>
        <v>#REF!</v>
      </c>
      <c r="AB455" t="e">
        <f>IF(AND(#REF!&gt;180, #REF!&gt;200), "Heavy Doemstic User", IF(#REF!&gt;10, "Interntional User", IF(AND(#REF!&lt;180, #REF!&lt;200,#REF!&lt;200), "Light User", "Balanced User")))</f>
        <v>#REF!</v>
      </c>
      <c r="AC455" t="e">
        <f>IF(#REF! = 0, "No Usage", IF(#REF! &lt;= 20, "Low Usage", IF(#REF! &lt;= 40, "Medium Usgae", "High Usage")))</f>
        <v>#REF!</v>
      </c>
      <c r="AD455" t="e">
        <f>IF(#REF!&lt;=150,"Low Usage", IF(#REF!&lt;=200,"Medium Usage", IF(#REF!&lt;=250,"High Usage","Very High Usage")))</f>
        <v>#REF!</v>
      </c>
      <c r="AE455" t="e">
        <f>IF(#REF!&lt;=5,"Low Calls", IF(#REF!&lt;=10, "Medium Calls", "High Calls"))</f>
        <v>#REF!</v>
      </c>
      <c r="AF455" t="e">
        <f xml:space="preserve">
IF(#REF!&gt;=4,4,0)+
IF(#REF!="yes",3,0)+
IF(#REF!="High Charges",3,0)+
IF(#REF!&gt;250,4,0)+
IF(#REF!="no",1,0)+
IF(#REF!="Heavy Domestic User",2,0)</f>
        <v>#REF!</v>
      </c>
      <c r="AG455" t="e">
        <f>IF(#REF!&gt;=10,"High Risk", IF(#REF!&gt;=5,"Medium Risk","Low Risk"))</f>
        <v>#REF!</v>
      </c>
      <c r="AH455" t="e">
        <f>#REF! + #REF! + #REF! + #REF!</f>
        <v>#REF!</v>
      </c>
    </row>
    <row r="456" spans="1:34" x14ac:dyDescent="0.35">
      <c r="A456">
        <v>455</v>
      </c>
      <c r="B456" t="s">
        <v>64</v>
      </c>
      <c r="C456">
        <v>95</v>
      </c>
      <c r="D456" t="s">
        <v>28</v>
      </c>
      <c r="E456" t="s">
        <v>23</v>
      </c>
      <c r="F456" t="s">
        <v>23</v>
      </c>
      <c r="G456">
        <v>41</v>
      </c>
      <c r="H456">
        <v>136.80000000000001</v>
      </c>
      <c r="I456">
        <v>91</v>
      </c>
      <c r="J456">
        <v>23.26</v>
      </c>
      <c r="K456">
        <v>200.8</v>
      </c>
      <c r="L456">
        <v>61</v>
      </c>
      <c r="M456">
        <v>17.07</v>
      </c>
      <c r="N456">
        <v>133.69999999999999</v>
      </c>
      <c r="O456">
        <v>67</v>
      </c>
      <c r="P456">
        <v>6.02</v>
      </c>
      <c r="Q456">
        <v>10.3</v>
      </c>
      <c r="R456">
        <v>9</v>
      </c>
      <c r="S456">
        <v>2.78</v>
      </c>
      <c r="T456">
        <v>5</v>
      </c>
      <c r="U456" t="s">
        <v>23</v>
      </c>
      <c r="V456" t="e">
        <f>IF(#REF! = "yes", 1, 0)</f>
        <v>#REF!</v>
      </c>
      <c r="W456" t="e">
        <f>IF(#REF! &lt;= 1, "0-1 Calls", IF(#REF! &lt;= 3, "2-3 Calls", IF(#REF! &lt;=5, "4-5 Calls", "6+ Calls")))</f>
        <v>#REF!</v>
      </c>
      <c r="X456" t="e">
        <f>IF(#REF! &lt;= 50, "0-50", IF(#REF! &lt;=100, "51-100", IF(#REF! &lt;= 150, "101-150", "151+")))</f>
        <v>#REF!</v>
      </c>
      <c r="Y456" t="e">
        <f>IF(#REF! &lt;= 3, "Low Charges", "High Charges")</f>
        <v>#REF!</v>
      </c>
      <c r="Z456" t="e">
        <f>IF(#REF!&lt;=80,"Low Calls",
IF(#REF!&lt;=120,"Medium Calls","High Calls"))</f>
        <v>#REF!</v>
      </c>
      <c r="AA456" t="e">
        <f>IF(#REF!&lt;=15,"Low Charges",
IF(#REF!&lt;=20,"Medium Charges","High Charges"))</f>
        <v>#REF!</v>
      </c>
      <c r="AB456" t="e">
        <f>IF(AND(#REF!&gt;180, #REF!&gt;200), "Heavy Doemstic User", IF(#REF!&gt;10, "Interntional User", IF(AND(#REF!&lt;180, #REF!&lt;200,#REF!&lt;200), "Light User", "Balanced User")))</f>
        <v>#REF!</v>
      </c>
      <c r="AC456" t="e">
        <f>IF(#REF! = 0, "No Usage", IF(#REF! &lt;= 20, "Low Usage", IF(#REF! &lt;= 40, "Medium Usgae", "High Usage")))</f>
        <v>#REF!</v>
      </c>
      <c r="AD456" t="e">
        <f>IF(#REF!&lt;=150,"Low Usage", IF(#REF!&lt;=200,"Medium Usage", IF(#REF!&lt;=250,"High Usage","Very High Usage")))</f>
        <v>#REF!</v>
      </c>
      <c r="AE456" t="e">
        <f>IF(#REF!&lt;=5,"Low Calls", IF(#REF!&lt;=10, "Medium Calls", "High Calls"))</f>
        <v>#REF!</v>
      </c>
      <c r="AF456" t="e">
        <f xml:space="preserve">
IF(#REF!&gt;=4,4,0)+
IF(#REF!="yes",3,0)+
IF(#REF!="High Charges",3,0)+
IF(#REF!&gt;250,4,0)+
IF(#REF!="no",1,0)+
IF(#REF!="Heavy Domestic User",2,0)</f>
        <v>#REF!</v>
      </c>
      <c r="AG456" t="e">
        <f>IF(#REF!&gt;=10,"High Risk", IF(#REF!&gt;=5,"Medium Risk","Low Risk"))</f>
        <v>#REF!</v>
      </c>
      <c r="AH456" t="e">
        <f>#REF! + #REF! + #REF! + #REF!</f>
        <v>#REF!</v>
      </c>
    </row>
    <row r="457" spans="1:34" x14ac:dyDescent="0.35">
      <c r="A457">
        <v>456</v>
      </c>
      <c r="B457" t="s">
        <v>74</v>
      </c>
      <c r="C457">
        <v>31</v>
      </c>
      <c r="D457" t="s">
        <v>21</v>
      </c>
      <c r="E457" t="s">
        <v>22</v>
      </c>
      <c r="F457" t="s">
        <v>23</v>
      </c>
      <c r="G457">
        <v>31</v>
      </c>
      <c r="H457">
        <v>100.1</v>
      </c>
      <c r="I457">
        <v>54</v>
      </c>
      <c r="J457">
        <v>17.02</v>
      </c>
      <c r="K457">
        <v>246.3</v>
      </c>
      <c r="L457">
        <v>97</v>
      </c>
      <c r="M457">
        <v>20.94</v>
      </c>
      <c r="N457">
        <v>255</v>
      </c>
      <c r="O457">
        <v>131</v>
      </c>
      <c r="P457">
        <v>11.48</v>
      </c>
      <c r="Q457">
        <v>5.9</v>
      </c>
      <c r="R457">
        <v>3</v>
      </c>
      <c r="S457">
        <v>1.59</v>
      </c>
      <c r="T457">
        <v>0</v>
      </c>
      <c r="U457" t="s">
        <v>22</v>
      </c>
      <c r="V457" t="e">
        <f>IF(#REF! = "yes", 1, 0)</f>
        <v>#REF!</v>
      </c>
      <c r="W457" t="e">
        <f>IF(#REF! &lt;= 1, "0-1 Calls", IF(#REF! &lt;= 3, "2-3 Calls", IF(#REF! &lt;=5, "4-5 Calls", "6+ Calls")))</f>
        <v>#REF!</v>
      </c>
      <c r="X457" t="e">
        <f>IF(#REF! &lt;= 50, "0-50", IF(#REF! &lt;=100, "51-100", IF(#REF! &lt;= 150, "101-150", "151+")))</f>
        <v>#REF!</v>
      </c>
      <c r="Y457" t="e">
        <f>IF(#REF! &lt;= 3, "Low Charges", "High Charges")</f>
        <v>#REF!</v>
      </c>
      <c r="Z457" t="e">
        <f>IF(#REF!&lt;=80,"Low Calls",
IF(#REF!&lt;=120,"Medium Calls","High Calls"))</f>
        <v>#REF!</v>
      </c>
      <c r="AA457" t="e">
        <f>IF(#REF!&lt;=15,"Low Charges",
IF(#REF!&lt;=20,"Medium Charges","High Charges"))</f>
        <v>#REF!</v>
      </c>
      <c r="AB457" t="e">
        <f>IF(AND(#REF!&gt;180, #REF!&gt;200), "Heavy Doemstic User", IF(#REF!&gt;10, "Interntional User", IF(AND(#REF!&lt;180, #REF!&lt;200,#REF!&lt;200), "Light User", "Balanced User")))</f>
        <v>#REF!</v>
      </c>
      <c r="AC457" t="e">
        <f>IF(#REF! = 0, "No Usage", IF(#REF! &lt;= 20, "Low Usage", IF(#REF! &lt;= 40, "Medium Usgae", "High Usage")))</f>
        <v>#REF!</v>
      </c>
      <c r="AD457" t="e">
        <f>IF(#REF!&lt;=150,"Low Usage", IF(#REF!&lt;=200,"Medium Usage", IF(#REF!&lt;=250,"High Usage","Very High Usage")))</f>
        <v>#REF!</v>
      </c>
      <c r="AE457" t="e">
        <f>IF(#REF!&lt;=5,"Low Calls", IF(#REF!&lt;=10, "Medium Calls", "High Calls"))</f>
        <v>#REF!</v>
      </c>
      <c r="AF457" t="e">
        <f xml:space="preserve">
IF(#REF!&gt;=4,4,0)+
IF(#REF!="yes",3,0)+
IF(#REF!="High Charges",3,0)+
IF(#REF!&gt;250,4,0)+
IF(#REF!="no",1,0)+
IF(#REF!="Heavy Domestic User",2,0)</f>
        <v>#REF!</v>
      </c>
      <c r="AG457" t="e">
        <f>IF(#REF!&gt;=10,"High Risk", IF(#REF!&gt;=5,"Medium Risk","Low Risk"))</f>
        <v>#REF!</v>
      </c>
      <c r="AH457" t="e">
        <f>#REF! + #REF! + #REF! + #REF!</f>
        <v>#REF!</v>
      </c>
    </row>
    <row r="458" spans="1:34" x14ac:dyDescent="0.35">
      <c r="A458">
        <v>457</v>
      </c>
      <c r="B458" t="s">
        <v>26</v>
      </c>
      <c r="C458">
        <v>121</v>
      </c>
      <c r="D458" t="s">
        <v>25</v>
      </c>
      <c r="E458" t="s">
        <v>22</v>
      </c>
      <c r="F458" t="s">
        <v>23</v>
      </c>
      <c r="G458">
        <v>31</v>
      </c>
      <c r="H458">
        <v>237.1</v>
      </c>
      <c r="I458">
        <v>63</v>
      </c>
      <c r="J458">
        <v>40.31</v>
      </c>
      <c r="K458">
        <v>205.6</v>
      </c>
      <c r="L458">
        <v>117</v>
      </c>
      <c r="M458">
        <v>17.48</v>
      </c>
      <c r="N458">
        <v>196.7</v>
      </c>
      <c r="O458">
        <v>85</v>
      </c>
      <c r="P458">
        <v>8.85</v>
      </c>
      <c r="Q458">
        <v>10.1</v>
      </c>
      <c r="R458">
        <v>5</v>
      </c>
      <c r="S458">
        <v>2.73</v>
      </c>
      <c r="T458">
        <v>4</v>
      </c>
      <c r="U458" t="s">
        <v>22</v>
      </c>
      <c r="V458" t="e">
        <f>IF(#REF! = "yes", 1, 0)</f>
        <v>#REF!</v>
      </c>
      <c r="W458" t="e">
        <f>IF(#REF! &lt;= 1, "0-1 Calls", IF(#REF! &lt;= 3, "2-3 Calls", IF(#REF! &lt;=5, "4-5 Calls", "6+ Calls")))</f>
        <v>#REF!</v>
      </c>
      <c r="X458" t="e">
        <f>IF(#REF! &lt;= 50, "0-50", IF(#REF! &lt;=100, "51-100", IF(#REF! &lt;= 150, "101-150", "151+")))</f>
        <v>#REF!</v>
      </c>
      <c r="Y458" t="e">
        <f>IF(#REF! &lt;= 3, "Low Charges", "High Charges")</f>
        <v>#REF!</v>
      </c>
      <c r="Z458" t="e">
        <f>IF(#REF!&lt;=80,"Low Calls",
IF(#REF!&lt;=120,"Medium Calls","High Calls"))</f>
        <v>#REF!</v>
      </c>
      <c r="AA458" t="e">
        <f>IF(#REF!&lt;=15,"Low Charges",
IF(#REF!&lt;=20,"Medium Charges","High Charges"))</f>
        <v>#REF!</v>
      </c>
      <c r="AB458" t="e">
        <f>IF(AND(#REF!&gt;180, #REF!&gt;200), "Heavy Doemstic User", IF(#REF!&gt;10, "Interntional User", IF(AND(#REF!&lt;180, #REF!&lt;200,#REF!&lt;200), "Light User", "Balanced User")))</f>
        <v>#REF!</v>
      </c>
      <c r="AC458" t="e">
        <f>IF(#REF! = 0, "No Usage", IF(#REF! &lt;= 20, "Low Usage", IF(#REF! &lt;= 40, "Medium Usgae", "High Usage")))</f>
        <v>#REF!</v>
      </c>
      <c r="AD458" t="e">
        <f>IF(#REF!&lt;=150,"Low Usage", IF(#REF!&lt;=200,"Medium Usage", IF(#REF!&lt;=250,"High Usage","Very High Usage")))</f>
        <v>#REF!</v>
      </c>
      <c r="AE458" t="e">
        <f>IF(#REF!&lt;=5,"Low Calls", IF(#REF!&lt;=10, "Medium Calls", "High Calls"))</f>
        <v>#REF!</v>
      </c>
      <c r="AF458" t="e">
        <f xml:space="preserve">
IF(#REF!&gt;=4,4,0)+
IF(#REF!="yes",3,0)+
IF(#REF!="High Charges",3,0)+
IF(#REF!&gt;250,4,0)+
IF(#REF!="no",1,0)+
IF(#REF!="Heavy Domestic User",2,0)</f>
        <v>#REF!</v>
      </c>
      <c r="AG458" t="e">
        <f>IF(#REF!&gt;=10,"High Risk", IF(#REF!&gt;=5,"Medium Risk","Low Risk"))</f>
        <v>#REF!</v>
      </c>
      <c r="AH458" t="e">
        <f>#REF! + #REF! + #REF! + #REF!</f>
        <v>#REF!</v>
      </c>
    </row>
    <row r="459" spans="1:34" x14ac:dyDescent="0.35">
      <c r="A459">
        <v>458</v>
      </c>
      <c r="B459" t="s">
        <v>48</v>
      </c>
      <c r="C459">
        <v>44</v>
      </c>
      <c r="D459" t="s">
        <v>28</v>
      </c>
      <c r="E459" t="s">
        <v>22</v>
      </c>
      <c r="F459" t="s">
        <v>22</v>
      </c>
      <c r="G459">
        <v>0</v>
      </c>
      <c r="H459">
        <v>288.10000000000002</v>
      </c>
      <c r="I459">
        <v>112</v>
      </c>
      <c r="J459">
        <v>48.98</v>
      </c>
      <c r="K459">
        <v>258</v>
      </c>
      <c r="L459">
        <v>92</v>
      </c>
      <c r="M459">
        <v>21.93</v>
      </c>
      <c r="N459">
        <v>192.4</v>
      </c>
      <c r="O459">
        <v>90</v>
      </c>
      <c r="P459">
        <v>8.66</v>
      </c>
      <c r="Q459">
        <v>10.199999999999999</v>
      </c>
      <c r="R459">
        <v>4</v>
      </c>
      <c r="S459">
        <v>2.75</v>
      </c>
      <c r="T459">
        <v>3</v>
      </c>
      <c r="U459" t="s">
        <v>23</v>
      </c>
      <c r="V459" t="e">
        <f>IF(#REF! = "yes", 1, 0)</f>
        <v>#REF!</v>
      </c>
      <c r="W459" t="e">
        <f>IF(#REF! &lt;= 1, "0-1 Calls", IF(#REF! &lt;= 3, "2-3 Calls", IF(#REF! &lt;=5, "4-5 Calls", "6+ Calls")))</f>
        <v>#REF!</v>
      </c>
      <c r="X459" t="e">
        <f>IF(#REF! &lt;= 50, "0-50", IF(#REF! &lt;=100, "51-100", IF(#REF! &lt;= 150, "101-150", "151+")))</f>
        <v>#REF!</v>
      </c>
      <c r="Y459" t="e">
        <f>IF(#REF! &lt;= 3, "Low Charges", "High Charges")</f>
        <v>#REF!</v>
      </c>
      <c r="Z459" t="e">
        <f>IF(#REF!&lt;=80,"Low Calls",
IF(#REF!&lt;=120,"Medium Calls","High Calls"))</f>
        <v>#REF!</v>
      </c>
      <c r="AA459" t="e">
        <f>IF(#REF!&lt;=15,"Low Charges",
IF(#REF!&lt;=20,"Medium Charges","High Charges"))</f>
        <v>#REF!</v>
      </c>
      <c r="AB459" t="e">
        <f>IF(AND(#REF!&gt;180, #REF!&gt;200), "Heavy Doemstic User", IF(#REF!&gt;10, "Interntional User", IF(AND(#REF!&lt;180, #REF!&lt;200,#REF!&lt;200), "Light User", "Balanced User")))</f>
        <v>#REF!</v>
      </c>
      <c r="AC459" t="e">
        <f>IF(#REF! = 0, "No Usage", IF(#REF! &lt;= 20, "Low Usage", IF(#REF! &lt;= 40, "Medium Usgae", "High Usage")))</f>
        <v>#REF!</v>
      </c>
      <c r="AD459" t="e">
        <f>IF(#REF!&lt;=150,"Low Usage", IF(#REF!&lt;=200,"Medium Usage", IF(#REF!&lt;=250,"High Usage","Very High Usage")))</f>
        <v>#REF!</v>
      </c>
      <c r="AE459" t="e">
        <f>IF(#REF!&lt;=5,"Low Calls", IF(#REF!&lt;=10, "Medium Calls", "High Calls"))</f>
        <v>#REF!</v>
      </c>
      <c r="AF459" t="e">
        <f xml:space="preserve">
IF(#REF!&gt;=4,4,0)+
IF(#REF!="yes",3,0)+
IF(#REF!="High Charges",3,0)+
IF(#REF!&gt;250,4,0)+
IF(#REF!="no",1,0)+
IF(#REF!="Heavy Domestic User",2,0)</f>
        <v>#REF!</v>
      </c>
      <c r="AG459" t="e">
        <f>IF(#REF!&gt;=10,"High Risk", IF(#REF!&gt;=5,"Medium Risk","Low Risk"))</f>
        <v>#REF!</v>
      </c>
      <c r="AH459" t="e">
        <f>#REF! + #REF! + #REF! + #REF!</f>
        <v>#REF!</v>
      </c>
    </row>
    <row r="460" spans="1:34" x14ac:dyDescent="0.35">
      <c r="A460">
        <v>459</v>
      </c>
      <c r="B460" t="s">
        <v>69</v>
      </c>
      <c r="C460">
        <v>74</v>
      </c>
      <c r="D460" t="s">
        <v>21</v>
      </c>
      <c r="E460" t="s">
        <v>22</v>
      </c>
      <c r="F460" t="s">
        <v>23</v>
      </c>
      <c r="G460">
        <v>25</v>
      </c>
      <c r="H460">
        <v>194.6</v>
      </c>
      <c r="I460">
        <v>84</v>
      </c>
      <c r="J460">
        <v>33.08</v>
      </c>
      <c r="K460">
        <v>119.9</v>
      </c>
      <c r="L460">
        <v>103</v>
      </c>
      <c r="M460">
        <v>10.19</v>
      </c>
      <c r="N460">
        <v>175.5</v>
      </c>
      <c r="O460">
        <v>75</v>
      </c>
      <c r="P460">
        <v>7.9</v>
      </c>
      <c r="Q460">
        <v>13.1</v>
      </c>
      <c r="R460">
        <v>2</v>
      </c>
      <c r="S460">
        <v>3.54</v>
      </c>
      <c r="T460">
        <v>2</v>
      </c>
      <c r="U460" t="s">
        <v>22</v>
      </c>
      <c r="V460" t="e">
        <f>IF(#REF! = "yes", 1, 0)</f>
        <v>#REF!</v>
      </c>
      <c r="W460" t="e">
        <f>IF(#REF! &lt;= 1, "0-1 Calls", IF(#REF! &lt;= 3, "2-3 Calls", IF(#REF! &lt;=5, "4-5 Calls", "6+ Calls")))</f>
        <v>#REF!</v>
      </c>
      <c r="X460" t="e">
        <f>IF(#REF! &lt;= 50, "0-50", IF(#REF! &lt;=100, "51-100", IF(#REF! &lt;= 150, "101-150", "151+")))</f>
        <v>#REF!</v>
      </c>
      <c r="Y460" t="e">
        <f>IF(#REF! &lt;= 3, "Low Charges", "High Charges")</f>
        <v>#REF!</v>
      </c>
      <c r="Z460" t="e">
        <f>IF(#REF!&lt;=80,"Low Calls",
IF(#REF!&lt;=120,"Medium Calls","High Calls"))</f>
        <v>#REF!</v>
      </c>
      <c r="AA460" t="e">
        <f>IF(#REF!&lt;=15,"Low Charges",
IF(#REF!&lt;=20,"Medium Charges","High Charges"))</f>
        <v>#REF!</v>
      </c>
      <c r="AB460" t="e">
        <f>IF(AND(#REF!&gt;180, #REF!&gt;200), "Heavy Doemstic User", IF(#REF!&gt;10, "Interntional User", IF(AND(#REF!&lt;180, #REF!&lt;200,#REF!&lt;200), "Light User", "Balanced User")))</f>
        <v>#REF!</v>
      </c>
      <c r="AC460" t="e">
        <f>IF(#REF! = 0, "No Usage", IF(#REF! &lt;= 20, "Low Usage", IF(#REF! &lt;= 40, "Medium Usgae", "High Usage")))</f>
        <v>#REF!</v>
      </c>
      <c r="AD460" t="e">
        <f>IF(#REF!&lt;=150,"Low Usage", IF(#REF!&lt;=200,"Medium Usage", IF(#REF!&lt;=250,"High Usage","Very High Usage")))</f>
        <v>#REF!</v>
      </c>
      <c r="AE460" t="e">
        <f>IF(#REF!&lt;=5,"Low Calls", IF(#REF!&lt;=10, "Medium Calls", "High Calls"))</f>
        <v>#REF!</v>
      </c>
      <c r="AF460" t="e">
        <f xml:space="preserve">
IF(#REF!&gt;=4,4,0)+
IF(#REF!="yes",3,0)+
IF(#REF!="High Charges",3,0)+
IF(#REF!&gt;250,4,0)+
IF(#REF!="no",1,0)+
IF(#REF!="Heavy Domestic User",2,0)</f>
        <v>#REF!</v>
      </c>
      <c r="AG460" t="e">
        <f>IF(#REF!&gt;=10,"High Risk", IF(#REF!&gt;=5,"Medium Risk","Low Risk"))</f>
        <v>#REF!</v>
      </c>
      <c r="AH460" t="e">
        <f>#REF! + #REF! + #REF! + #REF!</f>
        <v>#REF!</v>
      </c>
    </row>
    <row r="461" spans="1:34" x14ac:dyDescent="0.35">
      <c r="A461">
        <v>460</v>
      </c>
      <c r="B461" t="s">
        <v>39</v>
      </c>
      <c r="C461">
        <v>58</v>
      </c>
      <c r="D461" t="s">
        <v>25</v>
      </c>
      <c r="E461" t="s">
        <v>22</v>
      </c>
      <c r="F461" t="s">
        <v>23</v>
      </c>
      <c r="G461">
        <v>20</v>
      </c>
      <c r="H461">
        <v>194.5</v>
      </c>
      <c r="I461">
        <v>110</v>
      </c>
      <c r="J461">
        <v>33.07</v>
      </c>
      <c r="K461">
        <v>213.7</v>
      </c>
      <c r="L461">
        <v>89</v>
      </c>
      <c r="M461">
        <v>18.16</v>
      </c>
      <c r="N461">
        <v>236.6</v>
      </c>
      <c r="O461">
        <v>92</v>
      </c>
      <c r="P461">
        <v>10.65</v>
      </c>
      <c r="Q461">
        <v>9.5</v>
      </c>
      <c r="R461">
        <v>2</v>
      </c>
      <c r="S461">
        <v>2.57</v>
      </c>
      <c r="T461">
        <v>1</v>
      </c>
      <c r="U461" t="s">
        <v>22</v>
      </c>
      <c r="V461" t="e">
        <f>IF(#REF! = "yes", 1, 0)</f>
        <v>#REF!</v>
      </c>
      <c r="W461" t="e">
        <f>IF(#REF! &lt;= 1, "0-1 Calls", IF(#REF! &lt;= 3, "2-3 Calls", IF(#REF! &lt;=5, "4-5 Calls", "6+ Calls")))</f>
        <v>#REF!</v>
      </c>
      <c r="X461" t="e">
        <f>IF(#REF! &lt;= 50, "0-50", IF(#REF! &lt;=100, "51-100", IF(#REF! &lt;= 150, "101-150", "151+")))</f>
        <v>#REF!</v>
      </c>
      <c r="Y461" t="e">
        <f>IF(#REF! &lt;= 3, "Low Charges", "High Charges")</f>
        <v>#REF!</v>
      </c>
      <c r="Z461" t="e">
        <f>IF(#REF!&lt;=80,"Low Calls",
IF(#REF!&lt;=120,"Medium Calls","High Calls"))</f>
        <v>#REF!</v>
      </c>
      <c r="AA461" t="e">
        <f>IF(#REF!&lt;=15,"Low Charges",
IF(#REF!&lt;=20,"Medium Charges","High Charges"))</f>
        <v>#REF!</v>
      </c>
      <c r="AB461" t="e">
        <f>IF(AND(#REF!&gt;180, #REF!&gt;200), "Heavy Doemstic User", IF(#REF!&gt;10, "Interntional User", IF(AND(#REF!&lt;180, #REF!&lt;200,#REF!&lt;200), "Light User", "Balanced User")))</f>
        <v>#REF!</v>
      </c>
      <c r="AC461" t="e">
        <f>IF(#REF! = 0, "No Usage", IF(#REF! &lt;= 20, "Low Usage", IF(#REF! &lt;= 40, "Medium Usgae", "High Usage")))</f>
        <v>#REF!</v>
      </c>
      <c r="AD461" t="e">
        <f>IF(#REF!&lt;=150,"Low Usage", IF(#REF!&lt;=200,"Medium Usage", IF(#REF!&lt;=250,"High Usage","Very High Usage")))</f>
        <v>#REF!</v>
      </c>
      <c r="AE461" t="e">
        <f>IF(#REF!&lt;=5,"Low Calls", IF(#REF!&lt;=10, "Medium Calls", "High Calls"))</f>
        <v>#REF!</v>
      </c>
      <c r="AF461" t="e">
        <f xml:space="preserve">
IF(#REF!&gt;=4,4,0)+
IF(#REF!="yes",3,0)+
IF(#REF!="High Charges",3,0)+
IF(#REF!&gt;250,4,0)+
IF(#REF!="no",1,0)+
IF(#REF!="Heavy Domestic User",2,0)</f>
        <v>#REF!</v>
      </c>
      <c r="AG461" t="e">
        <f>IF(#REF!&gt;=10,"High Risk", IF(#REF!&gt;=5,"Medium Risk","Low Risk"))</f>
        <v>#REF!</v>
      </c>
      <c r="AH461" t="e">
        <f>#REF! + #REF! + #REF! + #REF!</f>
        <v>#REF!</v>
      </c>
    </row>
    <row r="462" spans="1:34" x14ac:dyDescent="0.35">
      <c r="A462">
        <v>461</v>
      </c>
      <c r="B462" t="s">
        <v>35</v>
      </c>
      <c r="C462">
        <v>74</v>
      </c>
      <c r="D462" t="s">
        <v>25</v>
      </c>
      <c r="E462" t="s">
        <v>22</v>
      </c>
      <c r="F462" t="s">
        <v>22</v>
      </c>
      <c r="G462">
        <v>0</v>
      </c>
      <c r="H462">
        <v>174.1</v>
      </c>
      <c r="I462">
        <v>96</v>
      </c>
      <c r="J462">
        <v>29.6</v>
      </c>
      <c r="K462">
        <v>251.1</v>
      </c>
      <c r="L462">
        <v>94</v>
      </c>
      <c r="M462">
        <v>21.34</v>
      </c>
      <c r="N462">
        <v>257.60000000000002</v>
      </c>
      <c r="O462">
        <v>123</v>
      </c>
      <c r="P462">
        <v>11.59</v>
      </c>
      <c r="Q462">
        <v>8.3000000000000007</v>
      </c>
      <c r="R462">
        <v>5</v>
      </c>
      <c r="S462">
        <v>2.2400000000000002</v>
      </c>
      <c r="T462">
        <v>2</v>
      </c>
      <c r="U462" t="s">
        <v>23</v>
      </c>
      <c r="V462" t="e">
        <f>IF(#REF! = "yes", 1, 0)</f>
        <v>#REF!</v>
      </c>
      <c r="W462" t="e">
        <f>IF(#REF! &lt;= 1, "0-1 Calls", IF(#REF! &lt;= 3, "2-3 Calls", IF(#REF! &lt;=5, "4-5 Calls", "6+ Calls")))</f>
        <v>#REF!</v>
      </c>
      <c r="X462" t="e">
        <f>IF(#REF! &lt;= 50, "0-50", IF(#REF! &lt;=100, "51-100", IF(#REF! &lt;= 150, "101-150", "151+")))</f>
        <v>#REF!</v>
      </c>
      <c r="Y462" t="e">
        <f>IF(#REF! &lt;= 3, "Low Charges", "High Charges")</f>
        <v>#REF!</v>
      </c>
      <c r="Z462" t="e">
        <f>IF(#REF!&lt;=80,"Low Calls",
IF(#REF!&lt;=120,"Medium Calls","High Calls"))</f>
        <v>#REF!</v>
      </c>
      <c r="AA462" t="e">
        <f>IF(#REF!&lt;=15,"Low Charges",
IF(#REF!&lt;=20,"Medium Charges","High Charges"))</f>
        <v>#REF!</v>
      </c>
      <c r="AB462" t="e">
        <f>IF(AND(#REF!&gt;180, #REF!&gt;200), "Heavy Doemstic User", IF(#REF!&gt;10, "Interntional User", IF(AND(#REF!&lt;180, #REF!&lt;200,#REF!&lt;200), "Light User", "Balanced User")))</f>
        <v>#REF!</v>
      </c>
      <c r="AC462" t="e">
        <f>IF(#REF! = 0, "No Usage", IF(#REF! &lt;= 20, "Low Usage", IF(#REF! &lt;= 40, "Medium Usgae", "High Usage")))</f>
        <v>#REF!</v>
      </c>
      <c r="AD462" t="e">
        <f>IF(#REF!&lt;=150,"Low Usage", IF(#REF!&lt;=200,"Medium Usage", IF(#REF!&lt;=250,"High Usage","Very High Usage")))</f>
        <v>#REF!</v>
      </c>
      <c r="AE462" t="e">
        <f>IF(#REF!&lt;=5,"Low Calls", IF(#REF!&lt;=10, "Medium Calls", "High Calls"))</f>
        <v>#REF!</v>
      </c>
      <c r="AF462" t="e">
        <f xml:space="preserve">
IF(#REF!&gt;=4,4,0)+
IF(#REF!="yes",3,0)+
IF(#REF!="High Charges",3,0)+
IF(#REF!&gt;250,4,0)+
IF(#REF!="no",1,0)+
IF(#REF!="Heavy Domestic User",2,0)</f>
        <v>#REF!</v>
      </c>
      <c r="AG462" t="e">
        <f>IF(#REF!&gt;=10,"High Risk", IF(#REF!&gt;=5,"Medium Risk","Low Risk"))</f>
        <v>#REF!</v>
      </c>
      <c r="AH462" t="e">
        <f>#REF! + #REF! + #REF! + #REF!</f>
        <v>#REF!</v>
      </c>
    </row>
    <row r="463" spans="1:34" x14ac:dyDescent="0.35">
      <c r="A463">
        <v>462</v>
      </c>
      <c r="B463" t="s">
        <v>41</v>
      </c>
      <c r="C463">
        <v>125</v>
      </c>
      <c r="D463" t="s">
        <v>21</v>
      </c>
      <c r="E463" t="s">
        <v>22</v>
      </c>
      <c r="F463" t="s">
        <v>22</v>
      </c>
      <c r="G463">
        <v>0</v>
      </c>
      <c r="H463">
        <v>131.80000000000001</v>
      </c>
      <c r="I463">
        <v>97</v>
      </c>
      <c r="J463">
        <v>22.41</v>
      </c>
      <c r="K463">
        <v>136.69999999999999</v>
      </c>
      <c r="L463">
        <v>100</v>
      </c>
      <c r="M463">
        <v>11.62</v>
      </c>
      <c r="N463">
        <v>308.2</v>
      </c>
      <c r="O463">
        <v>119</v>
      </c>
      <c r="P463">
        <v>13.87</v>
      </c>
      <c r="Q463">
        <v>7.7</v>
      </c>
      <c r="R463">
        <v>6</v>
      </c>
      <c r="S463">
        <v>2.08</v>
      </c>
      <c r="T463">
        <v>2</v>
      </c>
      <c r="U463" t="s">
        <v>22</v>
      </c>
      <c r="V463" t="e">
        <f>IF(#REF! = "yes", 1, 0)</f>
        <v>#REF!</v>
      </c>
      <c r="W463" t="e">
        <f>IF(#REF! &lt;= 1, "0-1 Calls", IF(#REF! &lt;= 3, "2-3 Calls", IF(#REF! &lt;=5, "4-5 Calls", "6+ Calls")))</f>
        <v>#REF!</v>
      </c>
      <c r="X463" t="e">
        <f>IF(#REF! &lt;= 50, "0-50", IF(#REF! &lt;=100, "51-100", IF(#REF! &lt;= 150, "101-150", "151+")))</f>
        <v>#REF!</v>
      </c>
      <c r="Y463" t="e">
        <f>IF(#REF! &lt;= 3, "Low Charges", "High Charges")</f>
        <v>#REF!</v>
      </c>
      <c r="Z463" t="e">
        <f>IF(#REF!&lt;=80,"Low Calls",
IF(#REF!&lt;=120,"Medium Calls","High Calls"))</f>
        <v>#REF!</v>
      </c>
      <c r="AA463" t="e">
        <f>IF(#REF!&lt;=15,"Low Charges",
IF(#REF!&lt;=20,"Medium Charges","High Charges"))</f>
        <v>#REF!</v>
      </c>
      <c r="AB463" t="e">
        <f>IF(AND(#REF!&gt;180, #REF!&gt;200), "Heavy Doemstic User", IF(#REF!&gt;10, "Interntional User", IF(AND(#REF!&lt;180, #REF!&lt;200,#REF!&lt;200), "Light User", "Balanced User")))</f>
        <v>#REF!</v>
      </c>
      <c r="AC463" t="e">
        <f>IF(#REF! = 0, "No Usage", IF(#REF! &lt;= 20, "Low Usage", IF(#REF! &lt;= 40, "Medium Usgae", "High Usage")))</f>
        <v>#REF!</v>
      </c>
      <c r="AD463" t="e">
        <f>IF(#REF!&lt;=150,"Low Usage", IF(#REF!&lt;=200,"Medium Usage", IF(#REF!&lt;=250,"High Usage","Very High Usage")))</f>
        <v>#REF!</v>
      </c>
      <c r="AE463" t="e">
        <f>IF(#REF!&lt;=5,"Low Calls", IF(#REF!&lt;=10, "Medium Calls", "High Calls"))</f>
        <v>#REF!</v>
      </c>
      <c r="AF463" t="e">
        <f xml:space="preserve">
IF(#REF!&gt;=4,4,0)+
IF(#REF!="yes",3,0)+
IF(#REF!="High Charges",3,0)+
IF(#REF!&gt;250,4,0)+
IF(#REF!="no",1,0)+
IF(#REF!="Heavy Domestic User",2,0)</f>
        <v>#REF!</v>
      </c>
      <c r="AG463" t="e">
        <f>IF(#REF!&gt;=10,"High Risk", IF(#REF!&gt;=5,"Medium Risk","Low Risk"))</f>
        <v>#REF!</v>
      </c>
      <c r="AH463" t="e">
        <f>#REF! + #REF! + #REF! + #REF!</f>
        <v>#REF!</v>
      </c>
    </row>
    <row r="464" spans="1:34" x14ac:dyDescent="0.35">
      <c r="A464">
        <v>463</v>
      </c>
      <c r="B464" t="s">
        <v>64</v>
      </c>
      <c r="C464">
        <v>80</v>
      </c>
      <c r="D464" t="s">
        <v>21</v>
      </c>
      <c r="E464" t="s">
        <v>22</v>
      </c>
      <c r="F464" t="s">
        <v>22</v>
      </c>
      <c r="G464">
        <v>0</v>
      </c>
      <c r="H464">
        <v>160.6</v>
      </c>
      <c r="I464">
        <v>103</v>
      </c>
      <c r="J464">
        <v>27.3</v>
      </c>
      <c r="K464">
        <v>237</v>
      </c>
      <c r="L464">
        <v>109</v>
      </c>
      <c r="M464">
        <v>20.149999999999999</v>
      </c>
      <c r="N464">
        <v>245.1</v>
      </c>
      <c r="O464">
        <v>88</v>
      </c>
      <c r="P464">
        <v>11.03</v>
      </c>
      <c r="Q464">
        <v>10.7</v>
      </c>
      <c r="R464">
        <v>1</v>
      </c>
      <c r="S464">
        <v>2.89</v>
      </c>
      <c r="T464">
        <v>1</v>
      </c>
      <c r="U464" t="s">
        <v>22</v>
      </c>
      <c r="V464" t="e">
        <f>IF(#REF! = "yes", 1, 0)</f>
        <v>#REF!</v>
      </c>
      <c r="W464" t="e">
        <f>IF(#REF! &lt;= 1, "0-1 Calls", IF(#REF! &lt;= 3, "2-3 Calls", IF(#REF! &lt;=5, "4-5 Calls", "6+ Calls")))</f>
        <v>#REF!</v>
      </c>
      <c r="X464" t="e">
        <f>IF(#REF! &lt;= 50, "0-50", IF(#REF! &lt;=100, "51-100", IF(#REF! &lt;= 150, "101-150", "151+")))</f>
        <v>#REF!</v>
      </c>
      <c r="Y464" t="e">
        <f>IF(#REF! &lt;= 3, "Low Charges", "High Charges")</f>
        <v>#REF!</v>
      </c>
      <c r="Z464" t="e">
        <f>IF(#REF!&lt;=80,"Low Calls",
IF(#REF!&lt;=120,"Medium Calls","High Calls"))</f>
        <v>#REF!</v>
      </c>
      <c r="AA464" t="e">
        <f>IF(#REF!&lt;=15,"Low Charges",
IF(#REF!&lt;=20,"Medium Charges","High Charges"))</f>
        <v>#REF!</v>
      </c>
      <c r="AB464" t="e">
        <f>IF(AND(#REF!&gt;180, #REF!&gt;200), "Heavy Doemstic User", IF(#REF!&gt;10, "Interntional User", IF(AND(#REF!&lt;180, #REF!&lt;200,#REF!&lt;200), "Light User", "Balanced User")))</f>
        <v>#REF!</v>
      </c>
      <c r="AC464" t="e">
        <f>IF(#REF! = 0, "No Usage", IF(#REF! &lt;= 20, "Low Usage", IF(#REF! &lt;= 40, "Medium Usgae", "High Usage")))</f>
        <v>#REF!</v>
      </c>
      <c r="AD464" t="e">
        <f>IF(#REF!&lt;=150,"Low Usage", IF(#REF!&lt;=200,"Medium Usage", IF(#REF!&lt;=250,"High Usage","Very High Usage")))</f>
        <v>#REF!</v>
      </c>
      <c r="AE464" t="e">
        <f>IF(#REF!&lt;=5,"Low Calls", IF(#REF!&lt;=10, "Medium Calls", "High Calls"))</f>
        <v>#REF!</v>
      </c>
      <c r="AF464" t="e">
        <f xml:space="preserve">
IF(#REF!&gt;=4,4,0)+
IF(#REF!="yes",3,0)+
IF(#REF!="High Charges",3,0)+
IF(#REF!&gt;250,4,0)+
IF(#REF!="no",1,0)+
IF(#REF!="Heavy Domestic User",2,0)</f>
        <v>#REF!</v>
      </c>
      <c r="AG464" t="e">
        <f>IF(#REF!&gt;=10,"High Risk", IF(#REF!&gt;=5,"Medium Risk","Low Risk"))</f>
        <v>#REF!</v>
      </c>
      <c r="AH464" t="e">
        <f>#REF! + #REF! + #REF! + #REF!</f>
        <v>#REF!</v>
      </c>
    </row>
    <row r="465" spans="1:34" x14ac:dyDescent="0.35">
      <c r="A465">
        <v>464</v>
      </c>
      <c r="B465" t="s">
        <v>44</v>
      </c>
      <c r="C465">
        <v>99</v>
      </c>
      <c r="D465" t="s">
        <v>25</v>
      </c>
      <c r="E465" t="s">
        <v>22</v>
      </c>
      <c r="F465" t="s">
        <v>23</v>
      </c>
      <c r="G465">
        <v>28</v>
      </c>
      <c r="H465">
        <v>200.7</v>
      </c>
      <c r="I465">
        <v>88</v>
      </c>
      <c r="J465">
        <v>34.119999999999997</v>
      </c>
      <c r="K465">
        <v>264.2</v>
      </c>
      <c r="L465">
        <v>116</v>
      </c>
      <c r="M465">
        <v>22.46</v>
      </c>
      <c r="N465">
        <v>172.7</v>
      </c>
      <c r="O465">
        <v>102</v>
      </c>
      <c r="P465">
        <v>7.77</v>
      </c>
      <c r="Q465">
        <v>9.1</v>
      </c>
      <c r="R465">
        <v>5</v>
      </c>
      <c r="S465">
        <v>2.46</v>
      </c>
      <c r="T465">
        <v>1</v>
      </c>
      <c r="U465" t="s">
        <v>22</v>
      </c>
      <c r="V465" t="e">
        <f>IF(#REF! = "yes", 1, 0)</f>
        <v>#REF!</v>
      </c>
      <c r="W465" t="e">
        <f>IF(#REF! &lt;= 1, "0-1 Calls", IF(#REF! &lt;= 3, "2-3 Calls", IF(#REF! &lt;=5, "4-5 Calls", "6+ Calls")))</f>
        <v>#REF!</v>
      </c>
      <c r="X465" t="e">
        <f>IF(#REF! &lt;= 50, "0-50", IF(#REF! &lt;=100, "51-100", IF(#REF! &lt;= 150, "101-150", "151+")))</f>
        <v>#REF!</v>
      </c>
      <c r="Y465" t="e">
        <f>IF(#REF! &lt;= 3, "Low Charges", "High Charges")</f>
        <v>#REF!</v>
      </c>
      <c r="Z465" t="e">
        <f>IF(#REF!&lt;=80,"Low Calls",
IF(#REF!&lt;=120,"Medium Calls","High Calls"))</f>
        <v>#REF!</v>
      </c>
      <c r="AA465" t="e">
        <f>IF(#REF!&lt;=15,"Low Charges",
IF(#REF!&lt;=20,"Medium Charges","High Charges"))</f>
        <v>#REF!</v>
      </c>
      <c r="AB465" t="e">
        <f>IF(AND(#REF!&gt;180, #REF!&gt;200), "Heavy Doemstic User", IF(#REF!&gt;10, "Interntional User", IF(AND(#REF!&lt;180, #REF!&lt;200,#REF!&lt;200), "Light User", "Balanced User")))</f>
        <v>#REF!</v>
      </c>
      <c r="AC465" t="e">
        <f>IF(#REF! = 0, "No Usage", IF(#REF! &lt;= 20, "Low Usage", IF(#REF! &lt;= 40, "Medium Usgae", "High Usage")))</f>
        <v>#REF!</v>
      </c>
      <c r="AD465" t="e">
        <f>IF(#REF!&lt;=150,"Low Usage", IF(#REF!&lt;=200,"Medium Usage", IF(#REF!&lt;=250,"High Usage","Very High Usage")))</f>
        <v>#REF!</v>
      </c>
      <c r="AE465" t="e">
        <f>IF(#REF!&lt;=5,"Low Calls", IF(#REF!&lt;=10, "Medium Calls", "High Calls"))</f>
        <v>#REF!</v>
      </c>
      <c r="AF465" t="e">
        <f xml:space="preserve">
IF(#REF!&gt;=4,4,0)+
IF(#REF!="yes",3,0)+
IF(#REF!="High Charges",3,0)+
IF(#REF!&gt;250,4,0)+
IF(#REF!="no",1,0)+
IF(#REF!="Heavy Domestic User",2,0)</f>
        <v>#REF!</v>
      </c>
      <c r="AG465" t="e">
        <f>IF(#REF!&gt;=10,"High Risk", IF(#REF!&gt;=5,"Medium Risk","Low Risk"))</f>
        <v>#REF!</v>
      </c>
      <c r="AH465" t="e">
        <f>#REF! + #REF! + #REF! + #REF!</f>
        <v>#REF!</v>
      </c>
    </row>
    <row r="466" spans="1:34" x14ac:dyDescent="0.35">
      <c r="A466">
        <v>465</v>
      </c>
      <c r="B466" t="s">
        <v>37</v>
      </c>
      <c r="C466">
        <v>99</v>
      </c>
      <c r="D466" t="s">
        <v>21</v>
      </c>
      <c r="E466" t="s">
        <v>22</v>
      </c>
      <c r="F466" t="s">
        <v>22</v>
      </c>
      <c r="G466">
        <v>0</v>
      </c>
      <c r="H466">
        <v>145.6</v>
      </c>
      <c r="I466">
        <v>106</v>
      </c>
      <c r="J466">
        <v>24.75</v>
      </c>
      <c r="K466">
        <v>98.3</v>
      </c>
      <c r="L466">
        <v>106</v>
      </c>
      <c r="M466">
        <v>8.36</v>
      </c>
      <c r="N466">
        <v>230.8</v>
      </c>
      <c r="O466">
        <v>83</v>
      </c>
      <c r="P466">
        <v>10.39</v>
      </c>
      <c r="Q466">
        <v>10.9</v>
      </c>
      <c r="R466">
        <v>5</v>
      </c>
      <c r="S466">
        <v>2.94</v>
      </c>
      <c r="T466">
        <v>1</v>
      </c>
      <c r="U466" t="s">
        <v>22</v>
      </c>
      <c r="V466" t="e">
        <f>IF(#REF! = "yes", 1, 0)</f>
        <v>#REF!</v>
      </c>
      <c r="W466" t="e">
        <f>IF(#REF! &lt;= 1, "0-1 Calls", IF(#REF! &lt;= 3, "2-3 Calls", IF(#REF! &lt;=5, "4-5 Calls", "6+ Calls")))</f>
        <v>#REF!</v>
      </c>
      <c r="X466" t="e">
        <f>IF(#REF! &lt;= 50, "0-50", IF(#REF! &lt;=100, "51-100", IF(#REF! &lt;= 150, "101-150", "151+")))</f>
        <v>#REF!</v>
      </c>
      <c r="Y466" t="e">
        <f>IF(#REF! &lt;= 3, "Low Charges", "High Charges")</f>
        <v>#REF!</v>
      </c>
      <c r="Z466" t="e">
        <f>IF(#REF!&lt;=80,"Low Calls",
IF(#REF!&lt;=120,"Medium Calls","High Calls"))</f>
        <v>#REF!</v>
      </c>
      <c r="AA466" t="e">
        <f>IF(#REF!&lt;=15,"Low Charges",
IF(#REF!&lt;=20,"Medium Charges","High Charges"))</f>
        <v>#REF!</v>
      </c>
      <c r="AB466" t="e">
        <f>IF(AND(#REF!&gt;180, #REF!&gt;200), "Heavy Doemstic User", IF(#REF!&gt;10, "Interntional User", IF(AND(#REF!&lt;180, #REF!&lt;200,#REF!&lt;200), "Light User", "Balanced User")))</f>
        <v>#REF!</v>
      </c>
      <c r="AC466" t="e">
        <f>IF(#REF! = 0, "No Usage", IF(#REF! &lt;= 20, "Low Usage", IF(#REF! &lt;= 40, "Medium Usgae", "High Usage")))</f>
        <v>#REF!</v>
      </c>
      <c r="AD466" t="e">
        <f>IF(#REF!&lt;=150,"Low Usage", IF(#REF!&lt;=200,"Medium Usage", IF(#REF!&lt;=250,"High Usage","Very High Usage")))</f>
        <v>#REF!</v>
      </c>
      <c r="AE466" t="e">
        <f>IF(#REF!&lt;=5,"Low Calls", IF(#REF!&lt;=10, "Medium Calls", "High Calls"))</f>
        <v>#REF!</v>
      </c>
      <c r="AF466" t="e">
        <f xml:space="preserve">
IF(#REF!&gt;=4,4,0)+
IF(#REF!="yes",3,0)+
IF(#REF!="High Charges",3,0)+
IF(#REF!&gt;250,4,0)+
IF(#REF!="no",1,0)+
IF(#REF!="Heavy Domestic User",2,0)</f>
        <v>#REF!</v>
      </c>
      <c r="AG466" t="e">
        <f>IF(#REF!&gt;=10,"High Risk", IF(#REF!&gt;=5,"Medium Risk","Low Risk"))</f>
        <v>#REF!</v>
      </c>
      <c r="AH466" t="e">
        <f>#REF! + #REF! + #REF! + #REF!</f>
        <v>#REF!</v>
      </c>
    </row>
    <row r="467" spans="1:34" x14ac:dyDescent="0.35">
      <c r="A467">
        <v>466</v>
      </c>
      <c r="B467" t="s">
        <v>74</v>
      </c>
      <c r="C467">
        <v>66</v>
      </c>
      <c r="D467" t="s">
        <v>21</v>
      </c>
      <c r="E467" t="s">
        <v>22</v>
      </c>
      <c r="F467" t="s">
        <v>23</v>
      </c>
      <c r="G467">
        <v>29</v>
      </c>
      <c r="H467">
        <v>229.4</v>
      </c>
      <c r="I467">
        <v>104</v>
      </c>
      <c r="J467">
        <v>39</v>
      </c>
      <c r="K467">
        <v>257.39999999999998</v>
      </c>
      <c r="L467">
        <v>84</v>
      </c>
      <c r="M467">
        <v>21.88</v>
      </c>
      <c r="N467">
        <v>231.5</v>
      </c>
      <c r="O467">
        <v>119</v>
      </c>
      <c r="P467">
        <v>10.42</v>
      </c>
      <c r="Q467">
        <v>8</v>
      </c>
      <c r="R467">
        <v>1</v>
      </c>
      <c r="S467">
        <v>2.16</v>
      </c>
      <c r="T467">
        <v>2</v>
      </c>
      <c r="U467" t="s">
        <v>22</v>
      </c>
      <c r="V467" t="e">
        <f>IF(#REF! = "yes", 1, 0)</f>
        <v>#REF!</v>
      </c>
      <c r="W467" t="e">
        <f>IF(#REF! &lt;= 1, "0-1 Calls", IF(#REF! &lt;= 3, "2-3 Calls", IF(#REF! &lt;=5, "4-5 Calls", "6+ Calls")))</f>
        <v>#REF!</v>
      </c>
      <c r="X467" t="e">
        <f>IF(#REF! &lt;= 50, "0-50", IF(#REF! &lt;=100, "51-100", IF(#REF! &lt;= 150, "101-150", "151+")))</f>
        <v>#REF!</v>
      </c>
      <c r="Y467" t="e">
        <f>IF(#REF! &lt;= 3, "Low Charges", "High Charges")</f>
        <v>#REF!</v>
      </c>
      <c r="Z467" t="e">
        <f>IF(#REF!&lt;=80,"Low Calls",
IF(#REF!&lt;=120,"Medium Calls","High Calls"))</f>
        <v>#REF!</v>
      </c>
      <c r="AA467" t="e">
        <f>IF(#REF!&lt;=15,"Low Charges",
IF(#REF!&lt;=20,"Medium Charges","High Charges"))</f>
        <v>#REF!</v>
      </c>
      <c r="AB467" t="e">
        <f>IF(AND(#REF!&gt;180, #REF!&gt;200), "Heavy Doemstic User", IF(#REF!&gt;10, "Interntional User", IF(AND(#REF!&lt;180, #REF!&lt;200,#REF!&lt;200), "Light User", "Balanced User")))</f>
        <v>#REF!</v>
      </c>
      <c r="AC467" t="e">
        <f>IF(#REF! = 0, "No Usage", IF(#REF! &lt;= 20, "Low Usage", IF(#REF! &lt;= 40, "Medium Usgae", "High Usage")))</f>
        <v>#REF!</v>
      </c>
      <c r="AD467" t="e">
        <f>IF(#REF!&lt;=150,"Low Usage", IF(#REF!&lt;=200,"Medium Usage", IF(#REF!&lt;=250,"High Usage","Very High Usage")))</f>
        <v>#REF!</v>
      </c>
      <c r="AE467" t="e">
        <f>IF(#REF!&lt;=5,"Low Calls", IF(#REF!&lt;=10, "Medium Calls", "High Calls"))</f>
        <v>#REF!</v>
      </c>
      <c r="AF467" t="e">
        <f xml:space="preserve">
IF(#REF!&gt;=4,4,0)+
IF(#REF!="yes",3,0)+
IF(#REF!="High Charges",3,0)+
IF(#REF!&gt;250,4,0)+
IF(#REF!="no",1,0)+
IF(#REF!="Heavy Domestic User",2,0)</f>
        <v>#REF!</v>
      </c>
      <c r="AG467" t="e">
        <f>IF(#REF!&gt;=10,"High Risk", IF(#REF!&gt;=5,"Medium Risk","Low Risk"))</f>
        <v>#REF!</v>
      </c>
      <c r="AH467" t="e">
        <f>#REF! + #REF! + #REF! + #REF!</f>
        <v>#REF!</v>
      </c>
    </row>
    <row r="468" spans="1:34" x14ac:dyDescent="0.35">
      <c r="A468">
        <v>467</v>
      </c>
      <c r="B468" t="s">
        <v>66</v>
      </c>
      <c r="C468">
        <v>97</v>
      </c>
      <c r="D468" t="s">
        <v>28</v>
      </c>
      <c r="E468" t="s">
        <v>22</v>
      </c>
      <c r="F468" t="s">
        <v>22</v>
      </c>
      <c r="G468">
        <v>0</v>
      </c>
      <c r="H468">
        <v>211</v>
      </c>
      <c r="I468">
        <v>76</v>
      </c>
      <c r="J468">
        <v>35.869999999999997</v>
      </c>
      <c r="K468">
        <v>189</v>
      </c>
      <c r="L468">
        <v>100</v>
      </c>
      <c r="M468">
        <v>16.07</v>
      </c>
      <c r="N468">
        <v>123</v>
      </c>
      <c r="O468">
        <v>102</v>
      </c>
      <c r="P468">
        <v>5.54</v>
      </c>
      <c r="Q468">
        <v>4.7</v>
      </c>
      <c r="R468">
        <v>4</v>
      </c>
      <c r="S468">
        <v>1.27</v>
      </c>
      <c r="T468">
        <v>3</v>
      </c>
      <c r="U468" t="s">
        <v>22</v>
      </c>
      <c r="V468" t="e">
        <f>IF(#REF! = "yes", 1, 0)</f>
        <v>#REF!</v>
      </c>
      <c r="W468" t="e">
        <f>IF(#REF! &lt;= 1, "0-1 Calls", IF(#REF! &lt;= 3, "2-3 Calls", IF(#REF! &lt;=5, "4-5 Calls", "6+ Calls")))</f>
        <v>#REF!</v>
      </c>
      <c r="X468" t="e">
        <f>IF(#REF! &lt;= 50, "0-50", IF(#REF! &lt;=100, "51-100", IF(#REF! &lt;= 150, "101-150", "151+")))</f>
        <v>#REF!</v>
      </c>
      <c r="Y468" t="e">
        <f>IF(#REF! &lt;= 3, "Low Charges", "High Charges")</f>
        <v>#REF!</v>
      </c>
      <c r="Z468" t="e">
        <f>IF(#REF!&lt;=80,"Low Calls",
IF(#REF!&lt;=120,"Medium Calls","High Calls"))</f>
        <v>#REF!</v>
      </c>
      <c r="AA468" t="e">
        <f>IF(#REF!&lt;=15,"Low Charges",
IF(#REF!&lt;=20,"Medium Charges","High Charges"))</f>
        <v>#REF!</v>
      </c>
      <c r="AB468" t="e">
        <f>IF(AND(#REF!&gt;180, #REF!&gt;200), "Heavy Doemstic User", IF(#REF!&gt;10, "Interntional User", IF(AND(#REF!&lt;180, #REF!&lt;200,#REF!&lt;200), "Light User", "Balanced User")))</f>
        <v>#REF!</v>
      </c>
      <c r="AC468" t="e">
        <f>IF(#REF! = 0, "No Usage", IF(#REF! &lt;= 20, "Low Usage", IF(#REF! &lt;= 40, "Medium Usgae", "High Usage")))</f>
        <v>#REF!</v>
      </c>
      <c r="AD468" t="e">
        <f>IF(#REF!&lt;=150,"Low Usage", IF(#REF!&lt;=200,"Medium Usage", IF(#REF!&lt;=250,"High Usage","Very High Usage")))</f>
        <v>#REF!</v>
      </c>
      <c r="AE468" t="e">
        <f>IF(#REF!&lt;=5,"Low Calls", IF(#REF!&lt;=10, "Medium Calls", "High Calls"))</f>
        <v>#REF!</v>
      </c>
      <c r="AF468" t="e">
        <f xml:space="preserve">
IF(#REF!&gt;=4,4,0)+
IF(#REF!="yes",3,0)+
IF(#REF!="High Charges",3,0)+
IF(#REF!&gt;250,4,0)+
IF(#REF!="no",1,0)+
IF(#REF!="Heavy Domestic User",2,0)</f>
        <v>#REF!</v>
      </c>
      <c r="AG468" t="e">
        <f>IF(#REF!&gt;=10,"High Risk", IF(#REF!&gt;=5,"Medium Risk","Low Risk"))</f>
        <v>#REF!</v>
      </c>
      <c r="AH468" t="e">
        <f>#REF! + #REF! + #REF! + #REF!</f>
        <v>#REF!</v>
      </c>
    </row>
    <row r="469" spans="1:34" x14ac:dyDescent="0.35">
      <c r="A469">
        <v>468</v>
      </c>
      <c r="B469" t="s">
        <v>42</v>
      </c>
      <c r="C469">
        <v>75</v>
      </c>
      <c r="D469" t="s">
        <v>28</v>
      </c>
      <c r="E469" t="s">
        <v>22</v>
      </c>
      <c r="F469" t="s">
        <v>23</v>
      </c>
      <c r="G469">
        <v>37</v>
      </c>
      <c r="H469">
        <v>121.5</v>
      </c>
      <c r="I469">
        <v>97</v>
      </c>
      <c r="J469">
        <v>20.66</v>
      </c>
      <c r="K469">
        <v>271.39999999999998</v>
      </c>
      <c r="L469">
        <v>110</v>
      </c>
      <c r="M469">
        <v>23.07</v>
      </c>
      <c r="N469">
        <v>248.7</v>
      </c>
      <c r="O469">
        <v>97</v>
      </c>
      <c r="P469">
        <v>11.19</v>
      </c>
      <c r="Q469">
        <v>11.3</v>
      </c>
      <c r="R469">
        <v>5</v>
      </c>
      <c r="S469">
        <v>3.05</v>
      </c>
      <c r="T469">
        <v>2</v>
      </c>
      <c r="U469" t="s">
        <v>22</v>
      </c>
      <c r="V469" t="e">
        <f>IF(#REF! = "yes", 1, 0)</f>
        <v>#REF!</v>
      </c>
      <c r="W469" t="e">
        <f>IF(#REF! &lt;= 1, "0-1 Calls", IF(#REF! &lt;= 3, "2-3 Calls", IF(#REF! &lt;=5, "4-5 Calls", "6+ Calls")))</f>
        <v>#REF!</v>
      </c>
      <c r="X469" t="e">
        <f>IF(#REF! &lt;= 50, "0-50", IF(#REF! &lt;=100, "51-100", IF(#REF! &lt;= 150, "101-150", "151+")))</f>
        <v>#REF!</v>
      </c>
      <c r="Y469" t="e">
        <f>IF(#REF! &lt;= 3, "Low Charges", "High Charges")</f>
        <v>#REF!</v>
      </c>
      <c r="Z469" t="e">
        <f>IF(#REF!&lt;=80,"Low Calls",
IF(#REF!&lt;=120,"Medium Calls","High Calls"))</f>
        <v>#REF!</v>
      </c>
      <c r="AA469" t="e">
        <f>IF(#REF!&lt;=15,"Low Charges",
IF(#REF!&lt;=20,"Medium Charges","High Charges"))</f>
        <v>#REF!</v>
      </c>
      <c r="AB469" t="e">
        <f>IF(AND(#REF!&gt;180, #REF!&gt;200), "Heavy Doemstic User", IF(#REF!&gt;10, "Interntional User", IF(AND(#REF!&lt;180, #REF!&lt;200,#REF!&lt;200), "Light User", "Balanced User")))</f>
        <v>#REF!</v>
      </c>
      <c r="AC469" t="e">
        <f>IF(#REF! = 0, "No Usage", IF(#REF! &lt;= 20, "Low Usage", IF(#REF! &lt;= 40, "Medium Usgae", "High Usage")))</f>
        <v>#REF!</v>
      </c>
      <c r="AD469" t="e">
        <f>IF(#REF!&lt;=150,"Low Usage", IF(#REF!&lt;=200,"Medium Usage", IF(#REF!&lt;=250,"High Usage","Very High Usage")))</f>
        <v>#REF!</v>
      </c>
      <c r="AE469" t="e">
        <f>IF(#REF!&lt;=5,"Low Calls", IF(#REF!&lt;=10, "Medium Calls", "High Calls"))</f>
        <v>#REF!</v>
      </c>
      <c r="AF469" t="e">
        <f xml:space="preserve">
IF(#REF!&gt;=4,4,0)+
IF(#REF!="yes",3,0)+
IF(#REF!="High Charges",3,0)+
IF(#REF!&gt;250,4,0)+
IF(#REF!="no",1,0)+
IF(#REF!="Heavy Domestic User",2,0)</f>
        <v>#REF!</v>
      </c>
      <c r="AG469" t="e">
        <f>IF(#REF!&gt;=10,"High Risk", IF(#REF!&gt;=5,"Medium Risk","Low Risk"))</f>
        <v>#REF!</v>
      </c>
      <c r="AH469" t="e">
        <f>#REF! + #REF! + #REF! + #REF!</f>
        <v>#REF!</v>
      </c>
    </row>
    <row r="470" spans="1:34" x14ac:dyDescent="0.35">
      <c r="A470">
        <v>469</v>
      </c>
      <c r="B470" t="s">
        <v>49</v>
      </c>
      <c r="C470">
        <v>85</v>
      </c>
      <c r="D470" t="s">
        <v>28</v>
      </c>
      <c r="E470" t="s">
        <v>23</v>
      </c>
      <c r="F470" t="s">
        <v>22</v>
      </c>
      <c r="G470">
        <v>0</v>
      </c>
      <c r="H470">
        <v>216</v>
      </c>
      <c r="I470">
        <v>73</v>
      </c>
      <c r="J470">
        <v>36.72</v>
      </c>
      <c r="K470">
        <v>188.2</v>
      </c>
      <c r="L470">
        <v>117</v>
      </c>
      <c r="M470">
        <v>16</v>
      </c>
      <c r="N470">
        <v>147.1</v>
      </c>
      <c r="O470">
        <v>98</v>
      </c>
      <c r="P470">
        <v>6.62</v>
      </c>
      <c r="Q470">
        <v>3.6</v>
      </c>
      <c r="R470">
        <v>7</v>
      </c>
      <c r="S470">
        <v>0.97</v>
      </c>
      <c r="T470">
        <v>2</v>
      </c>
      <c r="U470" t="s">
        <v>22</v>
      </c>
      <c r="V470" t="e">
        <f>IF(#REF! = "yes", 1, 0)</f>
        <v>#REF!</v>
      </c>
      <c r="W470" t="e">
        <f>IF(#REF! &lt;= 1, "0-1 Calls", IF(#REF! &lt;= 3, "2-3 Calls", IF(#REF! &lt;=5, "4-5 Calls", "6+ Calls")))</f>
        <v>#REF!</v>
      </c>
      <c r="X470" t="e">
        <f>IF(#REF! &lt;= 50, "0-50", IF(#REF! &lt;=100, "51-100", IF(#REF! &lt;= 150, "101-150", "151+")))</f>
        <v>#REF!</v>
      </c>
      <c r="Y470" t="e">
        <f>IF(#REF! &lt;= 3, "Low Charges", "High Charges")</f>
        <v>#REF!</v>
      </c>
      <c r="Z470" t="e">
        <f>IF(#REF!&lt;=80,"Low Calls",
IF(#REF!&lt;=120,"Medium Calls","High Calls"))</f>
        <v>#REF!</v>
      </c>
      <c r="AA470" t="e">
        <f>IF(#REF!&lt;=15,"Low Charges",
IF(#REF!&lt;=20,"Medium Charges","High Charges"))</f>
        <v>#REF!</v>
      </c>
      <c r="AB470" t="e">
        <f>IF(AND(#REF!&gt;180, #REF!&gt;200), "Heavy Doemstic User", IF(#REF!&gt;10, "Interntional User", IF(AND(#REF!&lt;180, #REF!&lt;200,#REF!&lt;200), "Light User", "Balanced User")))</f>
        <v>#REF!</v>
      </c>
      <c r="AC470" t="e">
        <f>IF(#REF! = 0, "No Usage", IF(#REF! &lt;= 20, "Low Usage", IF(#REF! &lt;= 40, "Medium Usgae", "High Usage")))</f>
        <v>#REF!</v>
      </c>
      <c r="AD470" t="e">
        <f>IF(#REF!&lt;=150,"Low Usage", IF(#REF!&lt;=200,"Medium Usage", IF(#REF!&lt;=250,"High Usage","Very High Usage")))</f>
        <v>#REF!</v>
      </c>
      <c r="AE470" t="e">
        <f>IF(#REF!&lt;=5,"Low Calls", IF(#REF!&lt;=10, "Medium Calls", "High Calls"))</f>
        <v>#REF!</v>
      </c>
      <c r="AF470" t="e">
        <f xml:space="preserve">
IF(#REF!&gt;=4,4,0)+
IF(#REF!="yes",3,0)+
IF(#REF!="High Charges",3,0)+
IF(#REF!&gt;250,4,0)+
IF(#REF!="no",1,0)+
IF(#REF!="Heavy Domestic User",2,0)</f>
        <v>#REF!</v>
      </c>
      <c r="AG470" t="e">
        <f>IF(#REF!&gt;=10,"High Risk", IF(#REF!&gt;=5,"Medium Risk","Low Risk"))</f>
        <v>#REF!</v>
      </c>
      <c r="AH470" t="e">
        <f>#REF! + #REF! + #REF! + #REF!</f>
        <v>#REF!</v>
      </c>
    </row>
    <row r="471" spans="1:34" x14ac:dyDescent="0.35">
      <c r="A471">
        <v>470</v>
      </c>
      <c r="B471" t="s">
        <v>32</v>
      </c>
      <c r="C471">
        <v>108</v>
      </c>
      <c r="D471" t="s">
        <v>28</v>
      </c>
      <c r="E471" t="s">
        <v>22</v>
      </c>
      <c r="F471" t="s">
        <v>22</v>
      </c>
      <c r="G471">
        <v>0</v>
      </c>
      <c r="H471">
        <v>293</v>
      </c>
      <c r="I471">
        <v>88</v>
      </c>
      <c r="J471">
        <v>49.81</v>
      </c>
      <c r="K471">
        <v>160.6</v>
      </c>
      <c r="L471">
        <v>101</v>
      </c>
      <c r="M471">
        <v>13.65</v>
      </c>
      <c r="N471">
        <v>143.9</v>
      </c>
      <c r="O471">
        <v>87</v>
      </c>
      <c r="P471">
        <v>6.48</v>
      </c>
      <c r="Q471">
        <v>10</v>
      </c>
      <c r="R471">
        <v>6</v>
      </c>
      <c r="S471">
        <v>2.7</v>
      </c>
      <c r="T471">
        <v>2</v>
      </c>
      <c r="U471" t="s">
        <v>22</v>
      </c>
      <c r="V471" t="e">
        <f>IF(#REF! = "yes", 1, 0)</f>
        <v>#REF!</v>
      </c>
      <c r="W471" t="e">
        <f>IF(#REF! &lt;= 1, "0-1 Calls", IF(#REF! &lt;= 3, "2-3 Calls", IF(#REF! &lt;=5, "4-5 Calls", "6+ Calls")))</f>
        <v>#REF!</v>
      </c>
      <c r="X471" t="e">
        <f>IF(#REF! &lt;= 50, "0-50", IF(#REF! &lt;=100, "51-100", IF(#REF! &lt;= 150, "101-150", "151+")))</f>
        <v>#REF!</v>
      </c>
      <c r="Y471" t="e">
        <f>IF(#REF! &lt;= 3, "Low Charges", "High Charges")</f>
        <v>#REF!</v>
      </c>
      <c r="Z471" t="e">
        <f>IF(#REF!&lt;=80,"Low Calls",
IF(#REF!&lt;=120,"Medium Calls","High Calls"))</f>
        <v>#REF!</v>
      </c>
      <c r="AA471" t="e">
        <f>IF(#REF!&lt;=15,"Low Charges",
IF(#REF!&lt;=20,"Medium Charges","High Charges"))</f>
        <v>#REF!</v>
      </c>
      <c r="AB471" t="e">
        <f>IF(AND(#REF!&gt;180, #REF!&gt;200), "Heavy Doemstic User", IF(#REF!&gt;10, "Interntional User", IF(AND(#REF!&lt;180, #REF!&lt;200,#REF!&lt;200), "Light User", "Balanced User")))</f>
        <v>#REF!</v>
      </c>
      <c r="AC471" t="e">
        <f>IF(#REF! = 0, "No Usage", IF(#REF! &lt;= 20, "Low Usage", IF(#REF! &lt;= 40, "Medium Usgae", "High Usage")))</f>
        <v>#REF!</v>
      </c>
      <c r="AD471" t="e">
        <f>IF(#REF!&lt;=150,"Low Usage", IF(#REF!&lt;=200,"Medium Usage", IF(#REF!&lt;=250,"High Usage","Very High Usage")))</f>
        <v>#REF!</v>
      </c>
      <c r="AE471" t="e">
        <f>IF(#REF!&lt;=5,"Low Calls", IF(#REF!&lt;=10, "Medium Calls", "High Calls"))</f>
        <v>#REF!</v>
      </c>
      <c r="AF471" t="e">
        <f xml:space="preserve">
IF(#REF!&gt;=4,4,0)+
IF(#REF!="yes",3,0)+
IF(#REF!="High Charges",3,0)+
IF(#REF!&gt;250,4,0)+
IF(#REF!="no",1,0)+
IF(#REF!="Heavy Domestic User",2,0)</f>
        <v>#REF!</v>
      </c>
      <c r="AG471" t="e">
        <f>IF(#REF!&gt;=10,"High Risk", IF(#REF!&gt;=5,"Medium Risk","Low Risk"))</f>
        <v>#REF!</v>
      </c>
      <c r="AH471" t="e">
        <f>#REF! + #REF! + #REF! + #REF!</f>
        <v>#REF!</v>
      </c>
    </row>
    <row r="472" spans="1:34" x14ac:dyDescent="0.35">
      <c r="A472">
        <v>471</v>
      </c>
      <c r="B472" t="s">
        <v>54</v>
      </c>
      <c r="C472">
        <v>51</v>
      </c>
      <c r="D472" t="s">
        <v>28</v>
      </c>
      <c r="E472" t="s">
        <v>22</v>
      </c>
      <c r="F472" t="s">
        <v>22</v>
      </c>
      <c r="G472">
        <v>0</v>
      </c>
      <c r="H472">
        <v>181.5</v>
      </c>
      <c r="I472">
        <v>108</v>
      </c>
      <c r="J472">
        <v>30.86</v>
      </c>
      <c r="K472">
        <v>196.9</v>
      </c>
      <c r="L472">
        <v>87</v>
      </c>
      <c r="M472">
        <v>16.739999999999998</v>
      </c>
      <c r="N472">
        <v>187.2</v>
      </c>
      <c r="O472">
        <v>119</v>
      </c>
      <c r="P472">
        <v>8.42</v>
      </c>
      <c r="Q472">
        <v>10.3</v>
      </c>
      <c r="R472">
        <v>2</v>
      </c>
      <c r="S472">
        <v>2.78</v>
      </c>
      <c r="T472">
        <v>1</v>
      </c>
      <c r="U472" t="s">
        <v>22</v>
      </c>
      <c r="V472" t="e">
        <f>IF(#REF! = "yes", 1, 0)</f>
        <v>#REF!</v>
      </c>
      <c r="W472" t="e">
        <f>IF(#REF! &lt;= 1, "0-1 Calls", IF(#REF! &lt;= 3, "2-3 Calls", IF(#REF! &lt;=5, "4-5 Calls", "6+ Calls")))</f>
        <v>#REF!</v>
      </c>
      <c r="X472" t="e">
        <f>IF(#REF! &lt;= 50, "0-50", IF(#REF! &lt;=100, "51-100", IF(#REF! &lt;= 150, "101-150", "151+")))</f>
        <v>#REF!</v>
      </c>
      <c r="Y472" t="e">
        <f>IF(#REF! &lt;= 3, "Low Charges", "High Charges")</f>
        <v>#REF!</v>
      </c>
      <c r="Z472" t="e">
        <f>IF(#REF!&lt;=80,"Low Calls",
IF(#REF!&lt;=120,"Medium Calls","High Calls"))</f>
        <v>#REF!</v>
      </c>
      <c r="AA472" t="e">
        <f>IF(#REF!&lt;=15,"Low Charges",
IF(#REF!&lt;=20,"Medium Charges","High Charges"))</f>
        <v>#REF!</v>
      </c>
      <c r="AB472" t="e">
        <f>IF(AND(#REF!&gt;180, #REF!&gt;200), "Heavy Doemstic User", IF(#REF!&gt;10, "Interntional User", IF(AND(#REF!&lt;180, #REF!&lt;200,#REF!&lt;200), "Light User", "Balanced User")))</f>
        <v>#REF!</v>
      </c>
      <c r="AC472" t="e">
        <f>IF(#REF! = 0, "No Usage", IF(#REF! &lt;= 20, "Low Usage", IF(#REF! &lt;= 40, "Medium Usgae", "High Usage")))</f>
        <v>#REF!</v>
      </c>
      <c r="AD472" t="e">
        <f>IF(#REF!&lt;=150,"Low Usage", IF(#REF!&lt;=200,"Medium Usage", IF(#REF!&lt;=250,"High Usage","Very High Usage")))</f>
        <v>#REF!</v>
      </c>
      <c r="AE472" t="e">
        <f>IF(#REF!&lt;=5,"Low Calls", IF(#REF!&lt;=10, "Medium Calls", "High Calls"))</f>
        <v>#REF!</v>
      </c>
      <c r="AF472" t="e">
        <f xml:space="preserve">
IF(#REF!&gt;=4,4,0)+
IF(#REF!="yes",3,0)+
IF(#REF!="High Charges",3,0)+
IF(#REF!&gt;250,4,0)+
IF(#REF!="no",1,0)+
IF(#REF!="Heavy Domestic User",2,0)</f>
        <v>#REF!</v>
      </c>
      <c r="AG472" t="e">
        <f>IF(#REF!&gt;=10,"High Risk", IF(#REF!&gt;=5,"Medium Risk","Low Risk"))</f>
        <v>#REF!</v>
      </c>
      <c r="AH472" t="e">
        <f>#REF! + #REF! + #REF! + #REF!</f>
        <v>#REF!</v>
      </c>
    </row>
    <row r="473" spans="1:34" x14ac:dyDescent="0.35">
      <c r="A473">
        <v>472</v>
      </c>
      <c r="B473" t="s">
        <v>60</v>
      </c>
      <c r="C473">
        <v>186</v>
      </c>
      <c r="D473" t="s">
        <v>21</v>
      </c>
      <c r="E473" t="s">
        <v>22</v>
      </c>
      <c r="F473" t="s">
        <v>23</v>
      </c>
      <c r="G473">
        <v>26</v>
      </c>
      <c r="H473">
        <v>74.3</v>
      </c>
      <c r="I473">
        <v>107</v>
      </c>
      <c r="J473">
        <v>12.63</v>
      </c>
      <c r="K473">
        <v>177.3</v>
      </c>
      <c r="L473">
        <v>116</v>
      </c>
      <c r="M473">
        <v>15.07</v>
      </c>
      <c r="N473">
        <v>296.3</v>
      </c>
      <c r="O473">
        <v>90</v>
      </c>
      <c r="P473">
        <v>13.33</v>
      </c>
      <c r="Q473">
        <v>14.5</v>
      </c>
      <c r="R473">
        <v>3</v>
      </c>
      <c r="S473">
        <v>3.92</v>
      </c>
      <c r="T473">
        <v>2</v>
      </c>
      <c r="U473" t="s">
        <v>22</v>
      </c>
      <c r="V473" t="e">
        <f>IF(#REF! = "yes", 1, 0)</f>
        <v>#REF!</v>
      </c>
      <c r="W473" t="e">
        <f>IF(#REF! &lt;= 1, "0-1 Calls", IF(#REF! &lt;= 3, "2-3 Calls", IF(#REF! &lt;=5, "4-5 Calls", "6+ Calls")))</f>
        <v>#REF!</v>
      </c>
      <c r="X473" t="e">
        <f>IF(#REF! &lt;= 50, "0-50", IF(#REF! &lt;=100, "51-100", IF(#REF! &lt;= 150, "101-150", "151+")))</f>
        <v>#REF!</v>
      </c>
      <c r="Y473" t="e">
        <f>IF(#REF! &lt;= 3, "Low Charges", "High Charges")</f>
        <v>#REF!</v>
      </c>
      <c r="Z473" t="e">
        <f>IF(#REF!&lt;=80,"Low Calls",
IF(#REF!&lt;=120,"Medium Calls","High Calls"))</f>
        <v>#REF!</v>
      </c>
      <c r="AA473" t="e">
        <f>IF(#REF!&lt;=15,"Low Charges",
IF(#REF!&lt;=20,"Medium Charges","High Charges"))</f>
        <v>#REF!</v>
      </c>
      <c r="AB473" t="e">
        <f>IF(AND(#REF!&gt;180, #REF!&gt;200), "Heavy Doemstic User", IF(#REF!&gt;10, "Interntional User", IF(AND(#REF!&lt;180, #REF!&lt;200,#REF!&lt;200), "Light User", "Balanced User")))</f>
        <v>#REF!</v>
      </c>
      <c r="AC473" t="e">
        <f>IF(#REF! = 0, "No Usage", IF(#REF! &lt;= 20, "Low Usage", IF(#REF! &lt;= 40, "Medium Usgae", "High Usage")))</f>
        <v>#REF!</v>
      </c>
      <c r="AD473" t="e">
        <f>IF(#REF!&lt;=150,"Low Usage", IF(#REF!&lt;=200,"Medium Usage", IF(#REF!&lt;=250,"High Usage","Very High Usage")))</f>
        <v>#REF!</v>
      </c>
      <c r="AE473" t="e">
        <f>IF(#REF!&lt;=5,"Low Calls", IF(#REF!&lt;=10, "Medium Calls", "High Calls"))</f>
        <v>#REF!</v>
      </c>
      <c r="AF473" t="e">
        <f xml:space="preserve">
IF(#REF!&gt;=4,4,0)+
IF(#REF!="yes",3,0)+
IF(#REF!="High Charges",3,0)+
IF(#REF!&gt;250,4,0)+
IF(#REF!="no",1,0)+
IF(#REF!="Heavy Domestic User",2,0)</f>
        <v>#REF!</v>
      </c>
      <c r="AG473" t="e">
        <f>IF(#REF!&gt;=10,"High Risk", IF(#REF!&gt;=5,"Medium Risk","Low Risk"))</f>
        <v>#REF!</v>
      </c>
      <c r="AH473" t="e">
        <f>#REF! + #REF! + #REF! + #REF!</f>
        <v>#REF!</v>
      </c>
    </row>
    <row r="474" spans="1:34" x14ac:dyDescent="0.35">
      <c r="A474">
        <v>473</v>
      </c>
      <c r="B474" t="s">
        <v>51</v>
      </c>
      <c r="C474">
        <v>44</v>
      </c>
      <c r="D474" t="s">
        <v>21</v>
      </c>
      <c r="E474" t="s">
        <v>23</v>
      </c>
      <c r="F474" t="s">
        <v>22</v>
      </c>
      <c r="G474">
        <v>0</v>
      </c>
      <c r="H474">
        <v>62.3</v>
      </c>
      <c r="I474">
        <v>92</v>
      </c>
      <c r="J474">
        <v>10.59</v>
      </c>
      <c r="K474">
        <v>275</v>
      </c>
      <c r="L474">
        <v>82</v>
      </c>
      <c r="M474">
        <v>23.38</v>
      </c>
      <c r="N474">
        <v>138.69999999999999</v>
      </c>
      <c r="O474">
        <v>108</v>
      </c>
      <c r="P474">
        <v>6.24</v>
      </c>
      <c r="Q474">
        <v>10.8</v>
      </c>
      <c r="R474">
        <v>3</v>
      </c>
      <c r="S474">
        <v>2.92</v>
      </c>
      <c r="T474">
        <v>1</v>
      </c>
      <c r="U474" t="s">
        <v>22</v>
      </c>
      <c r="V474" t="e">
        <f>IF(#REF! = "yes", 1, 0)</f>
        <v>#REF!</v>
      </c>
      <c r="W474" t="e">
        <f>IF(#REF! &lt;= 1, "0-1 Calls", IF(#REF! &lt;= 3, "2-3 Calls", IF(#REF! &lt;=5, "4-5 Calls", "6+ Calls")))</f>
        <v>#REF!</v>
      </c>
      <c r="X474" t="e">
        <f>IF(#REF! &lt;= 50, "0-50", IF(#REF! &lt;=100, "51-100", IF(#REF! &lt;= 150, "101-150", "151+")))</f>
        <v>#REF!</v>
      </c>
      <c r="Y474" t="e">
        <f>IF(#REF! &lt;= 3, "Low Charges", "High Charges")</f>
        <v>#REF!</v>
      </c>
      <c r="Z474" t="e">
        <f>IF(#REF!&lt;=80,"Low Calls",
IF(#REF!&lt;=120,"Medium Calls","High Calls"))</f>
        <v>#REF!</v>
      </c>
      <c r="AA474" t="e">
        <f>IF(#REF!&lt;=15,"Low Charges",
IF(#REF!&lt;=20,"Medium Charges","High Charges"))</f>
        <v>#REF!</v>
      </c>
      <c r="AB474" t="e">
        <f>IF(AND(#REF!&gt;180, #REF!&gt;200), "Heavy Doemstic User", IF(#REF!&gt;10, "Interntional User", IF(AND(#REF!&lt;180, #REF!&lt;200,#REF!&lt;200), "Light User", "Balanced User")))</f>
        <v>#REF!</v>
      </c>
      <c r="AC474" t="e">
        <f>IF(#REF! = 0, "No Usage", IF(#REF! &lt;= 20, "Low Usage", IF(#REF! &lt;= 40, "Medium Usgae", "High Usage")))</f>
        <v>#REF!</v>
      </c>
      <c r="AD474" t="e">
        <f>IF(#REF!&lt;=150,"Low Usage", IF(#REF!&lt;=200,"Medium Usage", IF(#REF!&lt;=250,"High Usage","Very High Usage")))</f>
        <v>#REF!</v>
      </c>
      <c r="AE474" t="e">
        <f>IF(#REF!&lt;=5,"Low Calls", IF(#REF!&lt;=10, "Medium Calls", "High Calls"))</f>
        <v>#REF!</v>
      </c>
      <c r="AF474" t="e">
        <f xml:space="preserve">
IF(#REF!&gt;=4,4,0)+
IF(#REF!="yes",3,0)+
IF(#REF!="High Charges",3,0)+
IF(#REF!&gt;250,4,0)+
IF(#REF!="no",1,0)+
IF(#REF!="Heavy Domestic User",2,0)</f>
        <v>#REF!</v>
      </c>
      <c r="AG474" t="e">
        <f>IF(#REF!&gt;=10,"High Risk", IF(#REF!&gt;=5,"Medium Risk","Low Risk"))</f>
        <v>#REF!</v>
      </c>
      <c r="AH474" t="e">
        <f>#REF! + #REF! + #REF! + #REF!</f>
        <v>#REF!</v>
      </c>
    </row>
    <row r="475" spans="1:34" x14ac:dyDescent="0.35">
      <c r="A475">
        <v>474</v>
      </c>
      <c r="B475" t="s">
        <v>40</v>
      </c>
      <c r="C475">
        <v>64</v>
      </c>
      <c r="D475" t="s">
        <v>25</v>
      </c>
      <c r="E475" t="s">
        <v>22</v>
      </c>
      <c r="F475" t="s">
        <v>23</v>
      </c>
      <c r="G475">
        <v>31</v>
      </c>
      <c r="H475">
        <v>228.6</v>
      </c>
      <c r="I475">
        <v>88</v>
      </c>
      <c r="J475">
        <v>38.86</v>
      </c>
      <c r="K475">
        <v>248.5</v>
      </c>
      <c r="L475">
        <v>109</v>
      </c>
      <c r="M475">
        <v>21.12</v>
      </c>
      <c r="N475">
        <v>167.1</v>
      </c>
      <c r="O475">
        <v>124</v>
      </c>
      <c r="P475">
        <v>7.52</v>
      </c>
      <c r="Q475">
        <v>9</v>
      </c>
      <c r="R475">
        <v>1</v>
      </c>
      <c r="S475">
        <v>2.4300000000000002</v>
      </c>
      <c r="T475">
        <v>3</v>
      </c>
      <c r="U475" t="s">
        <v>22</v>
      </c>
      <c r="V475" t="e">
        <f>IF(#REF! = "yes", 1, 0)</f>
        <v>#REF!</v>
      </c>
      <c r="W475" t="e">
        <f>IF(#REF! &lt;= 1, "0-1 Calls", IF(#REF! &lt;= 3, "2-3 Calls", IF(#REF! &lt;=5, "4-5 Calls", "6+ Calls")))</f>
        <v>#REF!</v>
      </c>
      <c r="X475" t="e">
        <f>IF(#REF! &lt;= 50, "0-50", IF(#REF! &lt;=100, "51-100", IF(#REF! &lt;= 150, "101-150", "151+")))</f>
        <v>#REF!</v>
      </c>
      <c r="Y475" t="e">
        <f>IF(#REF! &lt;= 3, "Low Charges", "High Charges")</f>
        <v>#REF!</v>
      </c>
      <c r="Z475" t="e">
        <f>IF(#REF!&lt;=80,"Low Calls",
IF(#REF!&lt;=120,"Medium Calls","High Calls"))</f>
        <v>#REF!</v>
      </c>
      <c r="AA475" t="e">
        <f>IF(#REF!&lt;=15,"Low Charges",
IF(#REF!&lt;=20,"Medium Charges","High Charges"))</f>
        <v>#REF!</v>
      </c>
      <c r="AB475" t="e">
        <f>IF(AND(#REF!&gt;180, #REF!&gt;200), "Heavy Doemstic User", IF(#REF!&gt;10, "Interntional User", IF(AND(#REF!&lt;180, #REF!&lt;200,#REF!&lt;200), "Light User", "Balanced User")))</f>
        <v>#REF!</v>
      </c>
      <c r="AC475" t="e">
        <f>IF(#REF! = 0, "No Usage", IF(#REF! &lt;= 20, "Low Usage", IF(#REF! &lt;= 40, "Medium Usgae", "High Usage")))</f>
        <v>#REF!</v>
      </c>
      <c r="AD475" t="e">
        <f>IF(#REF!&lt;=150,"Low Usage", IF(#REF!&lt;=200,"Medium Usage", IF(#REF!&lt;=250,"High Usage","Very High Usage")))</f>
        <v>#REF!</v>
      </c>
      <c r="AE475" t="e">
        <f>IF(#REF!&lt;=5,"Low Calls", IF(#REF!&lt;=10, "Medium Calls", "High Calls"))</f>
        <v>#REF!</v>
      </c>
      <c r="AF475" t="e">
        <f xml:space="preserve">
IF(#REF!&gt;=4,4,0)+
IF(#REF!="yes",3,0)+
IF(#REF!="High Charges",3,0)+
IF(#REF!&gt;250,4,0)+
IF(#REF!="no",1,0)+
IF(#REF!="Heavy Domestic User",2,0)</f>
        <v>#REF!</v>
      </c>
      <c r="AG475" t="e">
        <f>IF(#REF!&gt;=10,"High Risk", IF(#REF!&gt;=5,"Medium Risk","Low Risk"))</f>
        <v>#REF!</v>
      </c>
      <c r="AH475" t="e">
        <f>#REF! + #REF! + #REF! + #REF!</f>
        <v>#REF!</v>
      </c>
    </row>
    <row r="476" spans="1:34" x14ac:dyDescent="0.35">
      <c r="A476">
        <v>475</v>
      </c>
      <c r="B476" t="s">
        <v>31</v>
      </c>
      <c r="C476">
        <v>44</v>
      </c>
      <c r="D476" t="s">
        <v>28</v>
      </c>
      <c r="E476" t="s">
        <v>22</v>
      </c>
      <c r="F476" t="s">
        <v>22</v>
      </c>
      <c r="G476">
        <v>0</v>
      </c>
      <c r="H476">
        <v>228.1</v>
      </c>
      <c r="I476">
        <v>121</v>
      </c>
      <c r="J476">
        <v>38.78</v>
      </c>
      <c r="K476">
        <v>276.5</v>
      </c>
      <c r="L476">
        <v>79</v>
      </c>
      <c r="M476">
        <v>23.5</v>
      </c>
      <c r="N476">
        <v>279.8</v>
      </c>
      <c r="O476">
        <v>77</v>
      </c>
      <c r="P476">
        <v>12.59</v>
      </c>
      <c r="Q476">
        <v>9.9</v>
      </c>
      <c r="R476">
        <v>5</v>
      </c>
      <c r="S476">
        <v>2.67</v>
      </c>
      <c r="T476">
        <v>2</v>
      </c>
      <c r="U476" t="s">
        <v>23</v>
      </c>
      <c r="V476" t="e">
        <f>IF(#REF! = "yes", 1, 0)</f>
        <v>#REF!</v>
      </c>
      <c r="W476" t="e">
        <f>IF(#REF! &lt;= 1, "0-1 Calls", IF(#REF! &lt;= 3, "2-3 Calls", IF(#REF! &lt;=5, "4-5 Calls", "6+ Calls")))</f>
        <v>#REF!</v>
      </c>
      <c r="X476" t="e">
        <f>IF(#REF! &lt;= 50, "0-50", IF(#REF! &lt;=100, "51-100", IF(#REF! &lt;= 150, "101-150", "151+")))</f>
        <v>#REF!</v>
      </c>
      <c r="Y476" t="e">
        <f>IF(#REF! &lt;= 3, "Low Charges", "High Charges")</f>
        <v>#REF!</v>
      </c>
      <c r="Z476" t="e">
        <f>IF(#REF!&lt;=80,"Low Calls",
IF(#REF!&lt;=120,"Medium Calls","High Calls"))</f>
        <v>#REF!</v>
      </c>
      <c r="AA476" t="e">
        <f>IF(#REF!&lt;=15,"Low Charges",
IF(#REF!&lt;=20,"Medium Charges","High Charges"))</f>
        <v>#REF!</v>
      </c>
      <c r="AB476" t="e">
        <f>IF(AND(#REF!&gt;180, #REF!&gt;200), "Heavy Doemstic User", IF(#REF!&gt;10, "Interntional User", IF(AND(#REF!&lt;180, #REF!&lt;200,#REF!&lt;200), "Light User", "Balanced User")))</f>
        <v>#REF!</v>
      </c>
      <c r="AC476" t="e">
        <f>IF(#REF! = 0, "No Usage", IF(#REF! &lt;= 20, "Low Usage", IF(#REF! &lt;= 40, "Medium Usgae", "High Usage")))</f>
        <v>#REF!</v>
      </c>
      <c r="AD476" t="e">
        <f>IF(#REF!&lt;=150,"Low Usage", IF(#REF!&lt;=200,"Medium Usage", IF(#REF!&lt;=250,"High Usage","Very High Usage")))</f>
        <v>#REF!</v>
      </c>
      <c r="AE476" t="e">
        <f>IF(#REF!&lt;=5,"Low Calls", IF(#REF!&lt;=10, "Medium Calls", "High Calls"))</f>
        <v>#REF!</v>
      </c>
      <c r="AF476" t="e">
        <f xml:space="preserve">
IF(#REF!&gt;=4,4,0)+
IF(#REF!="yes",3,0)+
IF(#REF!="High Charges",3,0)+
IF(#REF!&gt;250,4,0)+
IF(#REF!="no",1,0)+
IF(#REF!="Heavy Domestic User",2,0)</f>
        <v>#REF!</v>
      </c>
      <c r="AG476" t="e">
        <f>IF(#REF!&gt;=10,"High Risk", IF(#REF!&gt;=5,"Medium Risk","Low Risk"))</f>
        <v>#REF!</v>
      </c>
      <c r="AH476" t="e">
        <f>#REF! + #REF! + #REF! + #REF!</f>
        <v>#REF!</v>
      </c>
    </row>
    <row r="477" spans="1:34" x14ac:dyDescent="0.35">
      <c r="A477">
        <v>476</v>
      </c>
      <c r="B477" t="s">
        <v>57</v>
      </c>
      <c r="C477">
        <v>114</v>
      </c>
      <c r="D477" t="s">
        <v>21</v>
      </c>
      <c r="E477" t="s">
        <v>22</v>
      </c>
      <c r="F477" t="s">
        <v>23</v>
      </c>
      <c r="G477">
        <v>36</v>
      </c>
      <c r="H477">
        <v>309.89999999999998</v>
      </c>
      <c r="I477">
        <v>90</v>
      </c>
      <c r="J477">
        <v>52.68</v>
      </c>
      <c r="K477">
        <v>200.3</v>
      </c>
      <c r="L477">
        <v>89</v>
      </c>
      <c r="M477">
        <v>17.03</v>
      </c>
      <c r="N477">
        <v>183.5</v>
      </c>
      <c r="O477">
        <v>105</v>
      </c>
      <c r="P477">
        <v>8.26</v>
      </c>
      <c r="Q477">
        <v>14.2</v>
      </c>
      <c r="R477">
        <v>2</v>
      </c>
      <c r="S477">
        <v>3.83</v>
      </c>
      <c r="T477">
        <v>1</v>
      </c>
      <c r="U477" t="s">
        <v>22</v>
      </c>
      <c r="V477" t="e">
        <f>IF(#REF! = "yes", 1, 0)</f>
        <v>#REF!</v>
      </c>
      <c r="W477" t="e">
        <f>IF(#REF! &lt;= 1, "0-1 Calls", IF(#REF! &lt;= 3, "2-3 Calls", IF(#REF! &lt;=5, "4-5 Calls", "6+ Calls")))</f>
        <v>#REF!</v>
      </c>
      <c r="X477" t="e">
        <f>IF(#REF! &lt;= 50, "0-50", IF(#REF! &lt;=100, "51-100", IF(#REF! &lt;= 150, "101-150", "151+")))</f>
        <v>#REF!</v>
      </c>
      <c r="Y477" t="e">
        <f>IF(#REF! &lt;= 3, "Low Charges", "High Charges")</f>
        <v>#REF!</v>
      </c>
      <c r="Z477" t="e">
        <f>IF(#REF!&lt;=80,"Low Calls",
IF(#REF!&lt;=120,"Medium Calls","High Calls"))</f>
        <v>#REF!</v>
      </c>
      <c r="AA477" t="e">
        <f>IF(#REF!&lt;=15,"Low Charges",
IF(#REF!&lt;=20,"Medium Charges","High Charges"))</f>
        <v>#REF!</v>
      </c>
      <c r="AB477" t="e">
        <f>IF(AND(#REF!&gt;180, #REF!&gt;200), "Heavy Doemstic User", IF(#REF!&gt;10, "Interntional User", IF(AND(#REF!&lt;180, #REF!&lt;200,#REF!&lt;200), "Light User", "Balanced User")))</f>
        <v>#REF!</v>
      </c>
      <c r="AC477" t="e">
        <f>IF(#REF! = 0, "No Usage", IF(#REF! &lt;= 20, "Low Usage", IF(#REF! &lt;= 40, "Medium Usgae", "High Usage")))</f>
        <v>#REF!</v>
      </c>
      <c r="AD477" t="e">
        <f>IF(#REF!&lt;=150,"Low Usage", IF(#REF!&lt;=200,"Medium Usage", IF(#REF!&lt;=250,"High Usage","Very High Usage")))</f>
        <v>#REF!</v>
      </c>
      <c r="AE477" t="e">
        <f>IF(#REF!&lt;=5,"Low Calls", IF(#REF!&lt;=10, "Medium Calls", "High Calls"))</f>
        <v>#REF!</v>
      </c>
      <c r="AF477" t="e">
        <f xml:space="preserve">
IF(#REF!&gt;=4,4,0)+
IF(#REF!="yes",3,0)+
IF(#REF!="High Charges",3,0)+
IF(#REF!&gt;250,4,0)+
IF(#REF!="no",1,0)+
IF(#REF!="Heavy Domestic User",2,0)</f>
        <v>#REF!</v>
      </c>
      <c r="AG477" t="e">
        <f>IF(#REF!&gt;=10,"High Risk", IF(#REF!&gt;=5,"Medium Risk","Low Risk"))</f>
        <v>#REF!</v>
      </c>
      <c r="AH477" t="e">
        <f>#REF! + #REF! + #REF! + #REF!</f>
        <v>#REF!</v>
      </c>
    </row>
    <row r="478" spans="1:34" x14ac:dyDescent="0.35">
      <c r="A478">
        <v>477</v>
      </c>
      <c r="B478" t="s">
        <v>52</v>
      </c>
      <c r="C478">
        <v>110</v>
      </c>
      <c r="D478" t="s">
        <v>25</v>
      </c>
      <c r="E478" t="s">
        <v>22</v>
      </c>
      <c r="F478" t="s">
        <v>22</v>
      </c>
      <c r="G478">
        <v>0</v>
      </c>
      <c r="H478">
        <v>149.80000000000001</v>
      </c>
      <c r="I478">
        <v>112</v>
      </c>
      <c r="J478">
        <v>25.47</v>
      </c>
      <c r="K478">
        <v>180</v>
      </c>
      <c r="L478">
        <v>93</v>
      </c>
      <c r="M478">
        <v>15.3</v>
      </c>
      <c r="N478">
        <v>140</v>
      </c>
      <c r="O478">
        <v>119</v>
      </c>
      <c r="P478">
        <v>6.3</v>
      </c>
      <c r="Q478">
        <v>11.7</v>
      </c>
      <c r="R478">
        <v>4</v>
      </c>
      <c r="S478">
        <v>3.16</v>
      </c>
      <c r="T478">
        <v>2</v>
      </c>
      <c r="U478" t="s">
        <v>22</v>
      </c>
      <c r="V478" t="e">
        <f>IF(#REF! = "yes", 1, 0)</f>
        <v>#REF!</v>
      </c>
      <c r="W478" t="e">
        <f>IF(#REF! &lt;= 1, "0-1 Calls", IF(#REF! &lt;= 3, "2-3 Calls", IF(#REF! &lt;=5, "4-5 Calls", "6+ Calls")))</f>
        <v>#REF!</v>
      </c>
      <c r="X478" t="e">
        <f>IF(#REF! &lt;= 50, "0-50", IF(#REF! &lt;=100, "51-100", IF(#REF! &lt;= 150, "101-150", "151+")))</f>
        <v>#REF!</v>
      </c>
      <c r="Y478" t="e">
        <f>IF(#REF! &lt;= 3, "Low Charges", "High Charges")</f>
        <v>#REF!</v>
      </c>
      <c r="Z478" t="e">
        <f>IF(#REF!&lt;=80,"Low Calls",
IF(#REF!&lt;=120,"Medium Calls","High Calls"))</f>
        <v>#REF!</v>
      </c>
      <c r="AA478" t="e">
        <f>IF(#REF!&lt;=15,"Low Charges",
IF(#REF!&lt;=20,"Medium Charges","High Charges"))</f>
        <v>#REF!</v>
      </c>
      <c r="AB478" t="e">
        <f>IF(AND(#REF!&gt;180, #REF!&gt;200), "Heavy Doemstic User", IF(#REF!&gt;10, "Interntional User", IF(AND(#REF!&lt;180, #REF!&lt;200,#REF!&lt;200), "Light User", "Balanced User")))</f>
        <v>#REF!</v>
      </c>
      <c r="AC478" t="e">
        <f>IF(#REF! = 0, "No Usage", IF(#REF! &lt;= 20, "Low Usage", IF(#REF! &lt;= 40, "Medium Usgae", "High Usage")))</f>
        <v>#REF!</v>
      </c>
      <c r="AD478" t="e">
        <f>IF(#REF!&lt;=150,"Low Usage", IF(#REF!&lt;=200,"Medium Usage", IF(#REF!&lt;=250,"High Usage","Very High Usage")))</f>
        <v>#REF!</v>
      </c>
      <c r="AE478" t="e">
        <f>IF(#REF!&lt;=5,"Low Calls", IF(#REF!&lt;=10, "Medium Calls", "High Calls"))</f>
        <v>#REF!</v>
      </c>
      <c r="AF478" t="e">
        <f xml:space="preserve">
IF(#REF!&gt;=4,4,0)+
IF(#REF!="yes",3,0)+
IF(#REF!="High Charges",3,0)+
IF(#REF!&gt;250,4,0)+
IF(#REF!="no",1,0)+
IF(#REF!="Heavy Domestic User",2,0)</f>
        <v>#REF!</v>
      </c>
      <c r="AG478" t="e">
        <f>IF(#REF!&gt;=10,"High Risk", IF(#REF!&gt;=5,"Medium Risk","Low Risk"))</f>
        <v>#REF!</v>
      </c>
      <c r="AH478" t="e">
        <f>#REF! + #REF! + #REF! + #REF!</f>
        <v>#REF!</v>
      </c>
    </row>
    <row r="479" spans="1:34" x14ac:dyDescent="0.35">
      <c r="A479">
        <v>478</v>
      </c>
      <c r="B479" t="s">
        <v>41</v>
      </c>
      <c r="C479">
        <v>90</v>
      </c>
      <c r="D479" t="s">
        <v>25</v>
      </c>
      <c r="E479" t="s">
        <v>22</v>
      </c>
      <c r="F479" t="s">
        <v>23</v>
      </c>
      <c r="G479">
        <v>30</v>
      </c>
      <c r="H479">
        <v>183.8</v>
      </c>
      <c r="I479">
        <v>76</v>
      </c>
      <c r="J479">
        <v>31.25</v>
      </c>
      <c r="K479">
        <v>229.7</v>
      </c>
      <c r="L479">
        <v>95</v>
      </c>
      <c r="M479">
        <v>19.52</v>
      </c>
      <c r="N479">
        <v>144.1</v>
      </c>
      <c r="O479">
        <v>124</v>
      </c>
      <c r="P479">
        <v>6.48</v>
      </c>
      <c r="Q479">
        <v>7.7</v>
      </c>
      <c r="R479">
        <v>3</v>
      </c>
      <c r="S479">
        <v>2.08</v>
      </c>
      <c r="T479">
        <v>1</v>
      </c>
      <c r="U479" t="s">
        <v>22</v>
      </c>
      <c r="V479" t="e">
        <f>IF(#REF! = "yes", 1, 0)</f>
        <v>#REF!</v>
      </c>
      <c r="W479" t="e">
        <f>IF(#REF! &lt;= 1, "0-1 Calls", IF(#REF! &lt;= 3, "2-3 Calls", IF(#REF! &lt;=5, "4-5 Calls", "6+ Calls")))</f>
        <v>#REF!</v>
      </c>
      <c r="X479" t="e">
        <f>IF(#REF! &lt;= 50, "0-50", IF(#REF! &lt;=100, "51-100", IF(#REF! &lt;= 150, "101-150", "151+")))</f>
        <v>#REF!</v>
      </c>
      <c r="Y479" t="e">
        <f>IF(#REF! &lt;= 3, "Low Charges", "High Charges")</f>
        <v>#REF!</v>
      </c>
      <c r="Z479" t="e">
        <f>IF(#REF!&lt;=80,"Low Calls",
IF(#REF!&lt;=120,"Medium Calls","High Calls"))</f>
        <v>#REF!</v>
      </c>
      <c r="AA479" t="e">
        <f>IF(#REF!&lt;=15,"Low Charges",
IF(#REF!&lt;=20,"Medium Charges","High Charges"))</f>
        <v>#REF!</v>
      </c>
      <c r="AB479" t="e">
        <f>IF(AND(#REF!&gt;180, #REF!&gt;200), "Heavy Doemstic User", IF(#REF!&gt;10, "Interntional User", IF(AND(#REF!&lt;180, #REF!&lt;200,#REF!&lt;200), "Light User", "Balanced User")))</f>
        <v>#REF!</v>
      </c>
      <c r="AC479" t="e">
        <f>IF(#REF! = 0, "No Usage", IF(#REF! &lt;= 20, "Low Usage", IF(#REF! &lt;= 40, "Medium Usgae", "High Usage")))</f>
        <v>#REF!</v>
      </c>
      <c r="AD479" t="e">
        <f>IF(#REF!&lt;=150,"Low Usage", IF(#REF!&lt;=200,"Medium Usage", IF(#REF!&lt;=250,"High Usage","Very High Usage")))</f>
        <v>#REF!</v>
      </c>
      <c r="AE479" t="e">
        <f>IF(#REF!&lt;=5,"Low Calls", IF(#REF!&lt;=10, "Medium Calls", "High Calls"))</f>
        <v>#REF!</v>
      </c>
      <c r="AF479" t="e">
        <f xml:space="preserve">
IF(#REF!&gt;=4,4,0)+
IF(#REF!="yes",3,0)+
IF(#REF!="High Charges",3,0)+
IF(#REF!&gt;250,4,0)+
IF(#REF!="no",1,0)+
IF(#REF!="Heavy Domestic User",2,0)</f>
        <v>#REF!</v>
      </c>
      <c r="AG479" t="e">
        <f>IF(#REF!&gt;=10,"High Risk", IF(#REF!&gt;=5,"Medium Risk","Low Risk"))</f>
        <v>#REF!</v>
      </c>
      <c r="AH479" t="e">
        <f>#REF! + #REF! + #REF! + #REF!</f>
        <v>#REF!</v>
      </c>
    </row>
    <row r="480" spans="1:34" x14ac:dyDescent="0.35">
      <c r="A480">
        <v>479</v>
      </c>
      <c r="B480" t="s">
        <v>74</v>
      </c>
      <c r="C480">
        <v>72</v>
      </c>
      <c r="D480" t="s">
        <v>25</v>
      </c>
      <c r="E480" t="s">
        <v>22</v>
      </c>
      <c r="F480" t="s">
        <v>23</v>
      </c>
      <c r="G480">
        <v>21</v>
      </c>
      <c r="H480">
        <v>186.7</v>
      </c>
      <c r="I480">
        <v>108</v>
      </c>
      <c r="J480">
        <v>31.74</v>
      </c>
      <c r="K480">
        <v>335</v>
      </c>
      <c r="L480">
        <v>86</v>
      </c>
      <c r="M480">
        <v>28.48</v>
      </c>
      <c r="N480">
        <v>187.2</v>
      </c>
      <c r="O480">
        <v>119</v>
      </c>
      <c r="P480">
        <v>8.42</v>
      </c>
      <c r="Q480">
        <v>16.5</v>
      </c>
      <c r="R480">
        <v>4</v>
      </c>
      <c r="S480">
        <v>4.46</v>
      </c>
      <c r="T480">
        <v>1</v>
      </c>
      <c r="U480" t="s">
        <v>22</v>
      </c>
      <c r="V480" t="e">
        <f>IF(#REF! = "yes", 1, 0)</f>
        <v>#REF!</v>
      </c>
      <c r="W480" t="e">
        <f>IF(#REF! &lt;= 1, "0-1 Calls", IF(#REF! &lt;= 3, "2-3 Calls", IF(#REF! &lt;=5, "4-5 Calls", "6+ Calls")))</f>
        <v>#REF!</v>
      </c>
      <c r="X480" t="e">
        <f>IF(#REF! &lt;= 50, "0-50", IF(#REF! &lt;=100, "51-100", IF(#REF! &lt;= 150, "101-150", "151+")))</f>
        <v>#REF!</v>
      </c>
      <c r="Y480" t="e">
        <f>IF(#REF! &lt;= 3, "Low Charges", "High Charges")</f>
        <v>#REF!</v>
      </c>
      <c r="Z480" t="e">
        <f>IF(#REF!&lt;=80,"Low Calls",
IF(#REF!&lt;=120,"Medium Calls","High Calls"))</f>
        <v>#REF!</v>
      </c>
      <c r="AA480" t="e">
        <f>IF(#REF!&lt;=15,"Low Charges",
IF(#REF!&lt;=20,"Medium Charges","High Charges"))</f>
        <v>#REF!</v>
      </c>
      <c r="AB480" t="e">
        <f>IF(AND(#REF!&gt;180, #REF!&gt;200), "Heavy Doemstic User", IF(#REF!&gt;10, "Interntional User", IF(AND(#REF!&lt;180, #REF!&lt;200,#REF!&lt;200), "Light User", "Balanced User")))</f>
        <v>#REF!</v>
      </c>
      <c r="AC480" t="e">
        <f>IF(#REF! = 0, "No Usage", IF(#REF! &lt;= 20, "Low Usage", IF(#REF! &lt;= 40, "Medium Usgae", "High Usage")))</f>
        <v>#REF!</v>
      </c>
      <c r="AD480" t="e">
        <f>IF(#REF!&lt;=150,"Low Usage", IF(#REF!&lt;=200,"Medium Usage", IF(#REF!&lt;=250,"High Usage","Very High Usage")))</f>
        <v>#REF!</v>
      </c>
      <c r="AE480" t="e">
        <f>IF(#REF!&lt;=5,"Low Calls", IF(#REF!&lt;=10, "Medium Calls", "High Calls"))</f>
        <v>#REF!</v>
      </c>
      <c r="AF480" t="e">
        <f xml:space="preserve">
IF(#REF!&gt;=4,4,0)+
IF(#REF!="yes",3,0)+
IF(#REF!="High Charges",3,0)+
IF(#REF!&gt;250,4,0)+
IF(#REF!="no",1,0)+
IF(#REF!="Heavy Domestic User",2,0)</f>
        <v>#REF!</v>
      </c>
      <c r="AG480" t="e">
        <f>IF(#REF!&gt;=10,"High Risk", IF(#REF!&gt;=5,"Medium Risk","Low Risk"))</f>
        <v>#REF!</v>
      </c>
      <c r="AH480" t="e">
        <f>#REF! + #REF! + #REF! + #REF!</f>
        <v>#REF!</v>
      </c>
    </row>
    <row r="481" spans="1:34" x14ac:dyDescent="0.35">
      <c r="A481">
        <v>480</v>
      </c>
      <c r="B481" t="s">
        <v>32</v>
      </c>
      <c r="C481">
        <v>113</v>
      </c>
      <c r="D481" t="s">
        <v>21</v>
      </c>
      <c r="E481" t="s">
        <v>22</v>
      </c>
      <c r="F481" t="s">
        <v>22</v>
      </c>
      <c r="G481">
        <v>0</v>
      </c>
      <c r="H481">
        <v>209.4</v>
      </c>
      <c r="I481">
        <v>151</v>
      </c>
      <c r="J481">
        <v>35.6</v>
      </c>
      <c r="K481">
        <v>347.3</v>
      </c>
      <c r="L481">
        <v>113</v>
      </c>
      <c r="M481">
        <v>29.52</v>
      </c>
      <c r="N481">
        <v>246</v>
      </c>
      <c r="O481">
        <v>116</v>
      </c>
      <c r="P481">
        <v>11.07</v>
      </c>
      <c r="Q481">
        <v>7.4</v>
      </c>
      <c r="R481">
        <v>2</v>
      </c>
      <c r="S481">
        <v>2</v>
      </c>
      <c r="T481">
        <v>1</v>
      </c>
      <c r="U481" t="s">
        <v>23</v>
      </c>
      <c r="V481" t="e">
        <f>IF(#REF! = "yes", 1, 0)</f>
        <v>#REF!</v>
      </c>
      <c r="W481" t="e">
        <f>IF(#REF! &lt;= 1, "0-1 Calls", IF(#REF! &lt;= 3, "2-3 Calls", IF(#REF! &lt;=5, "4-5 Calls", "6+ Calls")))</f>
        <v>#REF!</v>
      </c>
      <c r="X481" t="e">
        <f>IF(#REF! &lt;= 50, "0-50", IF(#REF! &lt;=100, "51-100", IF(#REF! &lt;= 150, "101-150", "151+")))</f>
        <v>#REF!</v>
      </c>
      <c r="Y481" t="e">
        <f>IF(#REF! &lt;= 3, "Low Charges", "High Charges")</f>
        <v>#REF!</v>
      </c>
      <c r="Z481" t="e">
        <f>IF(#REF!&lt;=80,"Low Calls",
IF(#REF!&lt;=120,"Medium Calls","High Calls"))</f>
        <v>#REF!</v>
      </c>
      <c r="AA481" t="e">
        <f>IF(#REF!&lt;=15,"Low Charges",
IF(#REF!&lt;=20,"Medium Charges","High Charges"))</f>
        <v>#REF!</v>
      </c>
      <c r="AB481" t="e">
        <f>IF(AND(#REF!&gt;180, #REF!&gt;200), "Heavy Doemstic User", IF(#REF!&gt;10, "Interntional User", IF(AND(#REF!&lt;180, #REF!&lt;200,#REF!&lt;200), "Light User", "Balanced User")))</f>
        <v>#REF!</v>
      </c>
      <c r="AC481" t="e">
        <f>IF(#REF! = 0, "No Usage", IF(#REF! &lt;= 20, "Low Usage", IF(#REF! &lt;= 40, "Medium Usgae", "High Usage")))</f>
        <v>#REF!</v>
      </c>
      <c r="AD481" t="e">
        <f>IF(#REF!&lt;=150,"Low Usage", IF(#REF!&lt;=200,"Medium Usage", IF(#REF!&lt;=250,"High Usage","Very High Usage")))</f>
        <v>#REF!</v>
      </c>
      <c r="AE481" t="e">
        <f>IF(#REF!&lt;=5,"Low Calls", IF(#REF!&lt;=10, "Medium Calls", "High Calls"))</f>
        <v>#REF!</v>
      </c>
      <c r="AF481" t="e">
        <f xml:space="preserve">
IF(#REF!&gt;=4,4,0)+
IF(#REF!="yes",3,0)+
IF(#REF!="High Charges",3,0)+
IF(#REF!&gt;250,4,0)+
IF(#REF!="no",1,0)+
IF(#REF!="Heavy Domestic User",2,0)</f>
        <v>#REF!</v>
      </c>
      <c r="AG481" t="e">
        <f>IF(#REF!&gt;=10,"High Risk", IF(#REF!&gt;=5,"Medium Risk","Low Risk"))</f>
        <v>#REF!</v>
      </c>
      <c r="AH481" t="e">
        <f>#REF! + #REF! + #REF! + #REF!</f>
        <v>#REF!</v>
      </c>
    </row>
    <row r="482" spans="1:34" x14ac:dyDescent="0.35">
      <c r="A482">
        <v>481</v>
      </c>
      <c r="B482" t="s">
        <v>73</v>
      </c>
      <c r="C482">
        <v>171</v>
      </c>
      <c r="D482" t="s">
        <v>21</v>
      </c>
      <c r="E482" t="s">
        <v>22</v>
      </c>
      <c r="F482" t="s">
        <v>23</v>
      </c>
      <c r="G482">
        <v>25</v>
      </c>
      <c r="H482">
        <v>223.2</v>
      </c>
      <c r="I482">
        <v>77</v>
      </c>
      <c r="J482">
        <v>37.94</v>
      </c>
      <c r="K482">
        <v>183.2</v>
      </c>
      <c r="L482">
        <v>118</v>
      </c>
      <c r="M482">
        <v>15.57</v>
      </c>
      <c r="N482">
        <v>150.80000000000001</v>
      </c>
      <c r="O482">
        <v>90</v>
      </c>
      <c r="P482">
        <v>6.79</v>
      </c>
      <c r="Q482">
        <v>10.199999999999999</v>
      </c>
      <c r="R482">
        <v>3</v>
      </c>
      <c r="S482">
        <v>2.75</v>
      </c>
      <c r="T482">
        <v>3</v>
      </c>
      <c r="U482" t="s">
        <v>22</v>
      </c>
      <c r="V482" t="e">
        <f>IF(#REF! = "yes", 1, 0)</f>
        <v>#REF!</v>
      </c>
      <c r="W482" t="e">
        <f>IF(#REF! &lt;= 1, "0-1 Calls", IF(#REF! &lt;= 3, "2-3 Calls", IF(#REF! &lt;=5, "4-5 Calls", "6+ Calls")))</f>
        <v>#REF!</v>
      </c>
      <c r="X482" t="e">
        <f>IF(#REF! &lt;= 50, "0-50", IF(#REF! &lt;=100, "51-100", IF(#REF! &lt;= 150, "101-150", "151+")))</f>
        <v>#REF!</v>
      </c>
      <c r="Y482" t="e">
        <f>IF(#REF! &lt;= 3, "Low Charges", "High Charges")</f>
        <v>#REF!</v>
      </c>
      <c r="Z482" t="e">
        <f>IF(#REF!&lt;=80,"Low Calls",
IF(#REF!&lt;=120,"Medium Calls","High Calls"))</f>
        <v>#REF!</v>
      </c>
      <c r="AA482" t="e">
        <f>IF(#REF!&lt;=15,"Low Charges",
IF(#REF!&lt;=20,"Medium Charges","High Charges"))</f>
        <v>#REF!</v>
      </c>
      <c r="AB482" t="e">
        <f>IF(AND(#REF!&gt;180, #REF!&gt;200), "Heavy Doemstic User", IF(#REF!&gt;10, "Interntional User", IF(AND(#REF!&lt;180, #REF!&lt;200,#REF!&lt;200), "Light User", "Balanced User")))</f>
        <v>#REF!</v>
      </c>
      <c r="AC482" t="e">
        <f>IF(#REF! = 0, "No Usage", IF(#REF! &lt;= 20, "Low Usage", IF(#REF! &lt;= 40, "Medium Usgae", "High Usage")))</f>
        <v>#REF!</v>
      </c>
      <c r="AD482" t="e">
        <f>IF(#REF!&lt;=150,"Low Usage", IF(#REF!&lt;=200,"Medium Usage", IF(#REF!&lt;=250,"High Usage","Very High Usage")))</f>
        <v>#REF!</v>
      </c>
      <c r="AE482" t="e">
        <f>IF(#REF!&lt;=5,"Low Calls", IF(#REF!&lt;=10, "Medium Calls", "High Calls"))</f>
        <v>#REF!</v>
      </c>
      <c r="AF482" t="e">
        <f xml:space="preserve">
IF(#REF!&gt;=4,4,0)+
IF(#REF!="yes",3,0)+
IF(#REF!="High Charges",3,0)+
IF(#REF!&gt;250,4,0)+
IF(#REF!="no",1,0)+
IF(#REF!="Heavy Domestic User",2,0)</f>
        <v>#REF!</v>
      </c>
      <c r="AG482" t="e">
        <f>IF(#REF!&gt;=10,"High Risk", IF(#REF!&gt;=5,"Medium Risk","Low Risk"))</f>
        <v>#REF!</v>
      </c>
      <c r="AH482" t="e">
        <f>#REF! + #REF! + #REF! + #REF!</f>
        <v>#REF!</v>
      </c>
    </row>
    <row r="483" spans="1:34" x14ac:dyDescent="0.35">
      <c r="A483">
        <v>482</v>
      </c>
      <c r="B483" t="s">
        <v>61</v>
      </c>
      <c r="C483">
        <v>104</v>
      </c>
      <c r="D483" t="s">
        <v>21</v>
      </c>
      <c r="E483" t="s">
        <v>22</v>
      </c>
      <c r="F483" t="s">
        <v>22</v>
      </c>
      <c r="G483">
        <v>0</v>
      </c>
      <c r="H483">
        <v>164.2</v>
      </c>
      <c r="I483">
        <v>109</v>
      </c>
      <c r="J483">
        <v>27.91</v>
      </c>
      <c r="K483">
        <v>155.4</v>
      </c>
      <c r="L483">
        <v>90</v>
      </c>
      <c r="M483">
        <v>13.21</v>
      </c>
      <c r="N483">
        <v>168.9</v>
      </c>
      <c r="O483">
        <v>117</v>
      </c>
      <c r="P483">
        <v>7.6</v>
      </c>
      <c r="Q483">
        <v>10.7</v>
      </c>
      <c r="R483">
        <v>8</v>
      </c>
      <c r="S483">
        <v>2.89</v>
      </c>
      <c r="T483">
        <v>1</v>
      </c>
      <c r="U483" t="s">
        <v>22</v>
      </c>
      <c r="V483" t="e">
        <f>IF(#REF! = "yes", 1, 0)</f>
        <v>#REF!</v>
      </c>
      <c r="W483" t="e">
        <f>IF(#REF! &lt;= 1, "0-1 Calls", IF(#REF! &lt;= 3, "2-3 Calls", IF(#REF! &lt;=5, "4-5 Calls", "6+ Calls")))</f>
        <v>#REF!</v>
      </c>
      <c r="X483" t="e">
        <f>IF(#REF! &lt;= 50, "0-50", IF(#REF! &lt;=100, "51-100", IF(#REF! &lt;= 150, "101-150", "151+")))</f>
        <v>#REF!</v>
      </c>
      <c r="Y483" t="e">
        <f>IF(#REF! &lt;= 3, "Low Charges", "High Charges")</f>
        <v>#REF!</v>
      </c>
      <c r="Z483" t="e">
        <f>IF(#REF!&lt;=80,"Low Calls",
IF(#REF!&lt;=120,"Medium Calls","High Calls"))</f>
        <v>#REF!</v>
      </c>
      <c r="AA483" t="e">
        <f>IF(#REF!&lt;=15,"Low Charges",
IF(#REF!&lt;=20,"Medium Charges","High Charges"))</f>
        <v>#REF!</v>
      </c>
      <c r="AB483" t="e">
        <f>IF(AND(#REF!&gt;180, #REF!&gt;200), "Heavy Doemstic User", IF(#REF!&gt;10, "Interntional User", IF(AND(#REF!&lt;180, #REF!&lt;200,#REF!&lt;200), "Light User", "Balanced User")))</f>
        <v>#REF!</v>
      </c>
      <c r="AC483" t="e">
        <f>IF(#REF! = 0, "No Usage", IF(#REF! &lt;= 20, "Low Usage", IF(#REF! &lt;= 40, "Medium Usgae", "High Usage")))</f>
        <v>#REF!</v>
      </c>
      <c r="AD483" t="e">
        <f>IF(#REF!&lt;=150,"Low Usage", IF(#REF!&lt;=200,"Medium Usage", IF(#REF!&lt;=250,"High Usage","Very High Usage")))</f>
        <v>#REF!</v>
      </c>
      <c r="AE483" t="e">
        <f>IF(#REF!&lt;=5,"Low Calls", IF(#REF!&lt;=10, "Medium Calls", "High Calls"))</f>
        <v>#REF!</v>
      </c>
      <c r="AF483" t="e">
        <f xml:space="preserve">
IF(#REF!&gt;=4,4,0)+
IF(#REF!="yes",3,0)+
IF(#REF!="High Charges",3,0)+
IF(#REF!&gt;250,4,0)+
IF(#REF!="no",1,0)+
IF(#REF!="Heavy Domestic User",2,0)</f>
        <v>#REF!</v>
      </c>
      <c r="AG483" t="e">
        <f>IF(#REF!&gt;=10,"High Risk", IF(#REF!&gt;=5,"Medium Risk","Low Risk"))</f>
        <v>#REF!</v>
      </c>
      <c r="AH483" t="e">
        <f>#REF! + #REF! + #REF! + #REF!</f>
        <v>#REF!</v>
      </c>
    </row>
    <row r="484" spans="1:34" x14ac:dyDescent="0.35">
      <c r="A484">
        <v>483</v>
      </c>
      <c r="B484" t="s">
        <v>66</v>
      </c>
      <c r="C484">
        <v>165</v>
      </c>
      <c r="D484" t="s">
        <v>25</v>
      </c>
      <c r="E484" t="s">
        <v>22</v>
      </c>
      <c r="F484" t="s">
        <v>22</v>
      </c>
      <c r="G484">
        <v>0</v>
      </c>
      <c r="H484">
        <v>150.5</v>
      </c>
      <c r="I484">
        <v>75</v>
      </c>
      <c r="J484">
        <v>25.59</v>
      </c>
      <c r="K484">
        <v>193.1</v>
      </c>
      <c r="L484">
        <v>93</v>
      </c>
      <c r="M484">
        <v>16.41</v>
      </c>
      <c r="N484">
        <v>311.60000000000002</v>
      </c>
      <c r="O484">
        <v>93</v>
      </c>
      <c r="P484">
        <v>14.02</v>
      </c>
      <c r="Q484">
        <v>10.3</v>
      </c>
      <c r="R484">
        <v>2</v>
      </c>
      <c r="S484">
        <v>2.78</v>
      </c>
      <c r="T484">
        <v>1</v>
      </c>
      <c r="U484" t="s">
        <v>22</v>
      </c>
      <c r="V484" t="e">
        <f>IF(#REF! = "yes", 1, 0)</f>
        <v>#REF!</v>
      </c>
      <c r="W484" t="e">
        <f>IF(#REF! &lt;= 1, "0-1 Calls", IF(#REF! &lt;= 3, "2-3 Calls", IF(#REF! &lt;=5, "4-5 Calls", "6+ Calls")))</f>
        <v>#REF!</v>
      </c>
      <c r="X484" t="e">
        <f>IF(#REF! &lt;= 50, "0-50", IF(#REF! &lt;=100, "51-100", IF(#REF! &lt;= 150, "101-150", "151+")))</f>
        <v>#REF!</v>
      </c>
      <c r="Y484" t="e">
        <f>IF(#REF! &lt;= 3, "Low Charges", "High Charges")</f>
        <v>#REF!</v>
      </c>
      <c r="Z484" t="e">
        <f>IF(#REF!&lt;=80,"Low Calls",
IF(#REF!&lt;=120,"Medium Calls","High Calls"))</f>
        <v>#REF!</v>
      </c>
      <c r="AA484" t="e">
        <f>IF(#REF!&lt;=15,"Low Charges",
IF(#REF!&lt;=20,"Medium Charges","High Charges"))</f>
        <v>#REF!</v>
      </c>
      <c r="AB484" t="e">
        <f>IF(AND(#REF!&gt;180, #REF!&gt;200), "Heavy Doemstic User", IF(#REF!&gt;10, "Interntional User", IF(AND(#REF!&lt;180, #REF!&lt;200,#REF!&lt;200), "Light User", "Balanced User")))</f>
        <v>#REF!</v>
      </c>
      <c r="AC484" t="e">
        <f>IF(#REF! = 0, "No Usage", IF(#REF! &lt;= 20, "Low Usage", IF(#REF! &lt;= 40, "Medium Usgae", "High Usage")))</f>
        <v>#REF!</v>
      </c>
      <c r="AD484" t="e">
        <f>IF(#REF!&lt;=150,"Low Usage", IF(#REF!&lt;=200,"Medium Usage", IF(#REF!&lt;=250,"High Usage","Very High Usage")))</f>
        <v>#REF!</v>
      </c>
      <c r="AE484" t="e">
        <f>IF(#REF!&lt;=5,"Low Calls", IF(#REF!&lt;=10, "Medium Calls", "High Calls"))</f>
        <v>#REF!</v>
      </c>
      <c r="AF484" t="e">
        <f xml:space="preserve">
IF(#REF!&gt;=4,4,0)+
IF(#REF!="yes",3,0)+
IF(#REF!="High Charges",3,0)+
IF(#REF!&gt;250,4,0)+
IF(#REF!="no",1,0)+
IF(#REF!="Heavy Domestic User",2,0)</f>
        <v>#REF!</v>
      </c>
      <c r="AG484" t="e">
        <f>IF(#REF!&gt;=10,"High Risk", IF(#REF!&gt;=5,"Medium Risk","Low Risk"))</f>
        <v>#REF!</v>
      </c>
      <c r="AH484" t="e">
        <f>#REF! + #REF! + #REF! + #REF!</f>
        <v>#REF!</v>
      </c>
    </row>
    <row r="485" spans="1:34" x14ac:dyDescent="0.35">
      <c r="A485">
        <v>484</v>
      </c>
      <c r="B485" t="s">
        <v>57</v>
      </c>
      <c r="C485">
        <v>104</v>
      </c>
      <c r="D485" t="s">
        <v>28</v>
      </c>
      <c r="E485" t="s">
        <v>22</v>
      </c>
      <c r="F485" t="s">
        <v>22</v>
      </c>
      <c r="G485">
        <v>0</v>
      </c>
      <c r="H485">
        <v>234.2</v>
      </c>
      <c r="I485">
        <v>128</v>
      </c>
      <c r="J485">
        <v>39.81</v>
      </c>
      <c r="K485">
        <v>293.10000000000002</v>
      </c>
      <c r="L485">
        <v>92</v>
      </c>
      <c r="M485">
        <v>24.91</v>
      </c>
      <c r="N485">
        <v>183.9</v>
      </c>
      <c r="O485">
        <v>79</v>
      </c>
      <c r="P485">
        <v>8.2799999999999994</v>
      </c>
      <c r="Q485">
        <v>9.8000000000000007</v>
      </c>
      <c r="R485">
        <v>6</v>
      </c>
      <c r="S485">
        <v>2.65</v>
      </c>
      <c r="T485">
        <v>0</v>
      </c>
      <c r="U485" t="s">
        <v>23</v>
      </c>
      <c r="V485" t="e">
        <f>IF(#REF! = "yes", 1, 0)</f>
        <v>#REF!</v>
      </c>
      <c r="W485" t="e">
        <f>IF(#REF! &lt;= 1, "0-1 Calls", IF(#REF! &lt;= 3, "2-3 Calls", IF(#REF! &lt;=5, "4-5 Calls", "6+ Calls")))</f>
        <v>#REF!</v>
      </c>
      <c r="X485" t="e">
        <f>IF(#REF! &lt;= 50, "0-50", IF(#REF! &lt;=100, "51-100", IF(#REF! &lt;= 150, "101-150", "151+")))</f>
        <v>#REF!</v>
      </c>
      <c r="Y485" t="e">
        <f>IF(#REF! &lt;= 3, "Low Charges", "High Charges")</f>
        <v>#REF!</v>
      </c>
      <c r="Z485" t="e">
        <f>IF(#REF!&lt;=80,"Low Calls",
IF(#REF!&lt;=120,"Medium Calls","High Calls"))</f>
        <v>#REF!</v>
      </c>
      <c r="AA485" t="e">
        <f>IF(#REF!&lt;=15,"Low Charges",
IF(#REF!&lt;=20,"Medium Charges","High Charges"))</f>
        <v>#REF!</v>
      </c>
      <c r="AB485" t="e">
        <f>IF(AND(#REF!&gt;180, #REF!&gt;200), "Heavy Doemstic User", IF(#REF!&gt;10, "Interntional User", IF(AND(#REF!&lt;180, #REF!&lt;200,#REF!&lt;200), "Light User", "Balanced User")))</f>
        <v>#REF!</v>
      </c>
      <c r="AC485" t="e">
        <f>IF(#REF! = 0, "No Usage", IF(#REF! &lt;= 20, "Low Usage", IF(#REF! &lt;= 40, "Medium Usgae", "High Usage")))</f>
        <v>#REF!</v>
      </c>
      <c r="AD485" t="e">
        <f>IF(#REF!&lt;=150,"Low Usage", IF(#REF!&lt;=200,"Medium Usage", IF(#REF!&lt;=250,"High Usage","Very High Usage")))</f>
        <v>#REF!</v>
      </c>
      <c r="AE485" t="e">
        <f>IF(#REF!&lt;=5,"Low Calls", IF(#REF!&lt;=10, "Medium Calls", "High Calls"))</f>
        <v>#REF!</v>
      </c>
      <c r="AF485" t="e">
        <f xml:space="preserve">
IF(#REF!&gt;=4,4,0)+
IF(#REF!="yes",3,0)+
IF(#REF!="High Charges",3,0)+
IF(#REF!&gt;250,4,0)+
IF(#REF!="no",1,0)+
IF(#REF!="Heavy Domestic User",2,0)</f>
        <v>#REF!</v>
      </c>
      <c r="AG485" t="e">
        <f>IF(#REF!&gt;=10,"High Risk", IF(#REF!&gt;=5,"Medium Risk","Low Risk"))</f>
        <v>#REF!</v>
      </c>
      <c r="AH485" t="e">
        <f>#REF! + #REF! + #REF! + #REF!</f>
        <v>#REF!</v>
      </c>
    </row>
    <row r="486" spans="1:34" x14ac:dyDescent="0.35">
      <c r="A486">
        <v>485</v>
      </c>
      <c r="B486" t="s">
        <v>50</v>
      </c>
      <c r="C486">
        <v>110</v>
      </c>
      <c r="D486" t="s">
        <v>25</v>
      </c>
      <c r="E486" t="s">
        <v>22</v>
      </c>
      <c r="F486" t="s">
        <v>22</v>
      </c>
      <c r="G486">
        <v>0</v>
      </c>
      <c r="H486">
        <v>55.3</v>
      </c>
      <c r="I486">
        <v>102</v>
      </c>
      <c r="J486">
        <v>9.4</v>
      </c>
      <c r="K486">
        <v>164.7</v>
      </c>
      <c r="L486">
        <v>124</v>
      </c>
      <c r="M486">
        <v>14</v>
      </c>
      <c r="N486">
        <v>200.7</v>
      </c>
      <c r="O486">
        <v>108</v>
      </c>
      <c r="P486">
        <v>9.0299999999999994</v>
      </c>
      <c r="Q486">
        <v>10.199999999999999</v>
      </c>
      <c r="R486">
        <v>5</v>
      </c>
      <c r="S486">
        <v>2.75</v>
      </c>
      <c r="T486">
        <v>1</v>
      </c>
      <c r="U486" t="s">
        <v>22</v>
      </c>
      <c r="V486" t="e">
        <f>IF(#REF! = "yes", 1, 0)</f>
        <v>#REF!</v>
      </c>
      <c r="W486" t="e">
        <f>IF(#REF! &lt;= 1, "0-1 Calls", IF(#REF! &lt;= 3, "2-3 Calls", IF(#REF! &lt;=5, "4-5 Calls", "6+ Calls")))</f>
        <v>#REF!</v>
      </c>
      <c r="X486" t="e">
        <f>IF(#REF! &lt;= 50, "0-50", IF(#REF! &lt;=100, "51-100", IF(#REF! &lt;= 150, "101-150", "151+")))</f>
        <v>#REF!</v>
      </c>
      <c r="Y486" t="e">
        <f>IF(#REF! &lt;= 3, "Low Charges", "High Charges")</f>
        <v>#REF!</v>
      </c>
      <c r="Z486" t="e">
        <f>IF(#REF!&lt;=80,"Low Calls",
IF(#REF!&lt;=120,"Medium Calls","High Calls"))</f>
        <v>#REF!</v>
      </c>
      <c r="AA486" t="e">
        <f>IF(#REF!&lt;=15,"Low Charges",
IF(#REF!&lt;=20,"Medium Charges","High Charges"))</f>
        <v>#REF!</v>
      </c>
      <c r="AB486" t="e">
        <f>IF(AND(#REF!&gt;180, #REF!&gt;200), "Heavy Doemstic User", IF(#REF!&gt;10, "Interntional User", IF(AND(#REF!&lt;180, #REF!&lt;200,#REF!&lt;200), "Light User", "Balanced User")))</f>
        <v>#REF!</v>
      </c>
      <c r="AC486" t="e">
        <f>IF(#REF! = 0, "No Usage", IF(#REF! &lt;= 20, "Low Usage", IF(#REF! &lt;= 40, "Medium Usgae", "High Usage")))</f>
        <v>#REF!</v>
      </c>
      <c r="AD486" t="e">
        <f>IF(#REF!&lt;=150,"Low Usage", IF(#REF!&lt;=200,"Medium Usage", IF(#REF!&lt;=250,"High Usage","Very High Usage")))</f>
        <v>#REF!</v>
      </c>
      <c r="AE486" t="e">
        <f>IF(#REF!&lt;=5,"Low Calls", IF(#REF!&lt;=10, "Medium Calls", "High Calls"))</f>
        <v>#REF!</v>
      </c>
      <c r="AF486" t="e">
        <f xml:space="preserve">
IF(#REF!&gt;=4,4,0)+
IF(#REF!="yes",3,0)+
IF(#REF!="High Charges",3,0)+
IF(#REF!&gt;250,4,0)+
IF(#REF!="no",1,0)+
IF(#REF!="Heavy Domestic User",2,0)</f>
        <v>#REF!</v>
      </c>
      <c r="AG486" t="e">
        <f>IF(#REF!&gt;=10,"High Risk", IF(#REF!&gt;=5,"Medium Risk","Low Risk"))</f>
        <v>#REF!</v>
      </c>
      <c r="AH486" t="e">
        <f>#REF! + #REF! + #REF! + #REF!</f>
        <v>#REF!</v>
      </c>
    </row>
    <row r="487" spans="1:34" x14ac:dyDescent="0.35">
      <c r="A487">
        <v>486</v>
      </c>
      <c r="B487" t="s">
        <v>39</v>
      </c>
      <c r="C487">
        <v>90</v>
      </c>
      <c r="D487" t="s">
        <v>25</v>
      </c>
      <c r="E487" t="s">
        <v>23</v>
      </c>
      <c r="F487" t="s">
        <v>22</v>
      </c>
      <c r="G487">
        <v>0</v>
      </c>
      <c r="H487">
        <v>221.8</v>
      </c>
      <c r="I487">
        <v>97</v>
      </c>
      <c r="J487">
        <v>37.71</v>
      </c>
      <c r="K487">
        <v>203.8</v>
      </c>
      <c r="L487">
        <v>134</v>
      </c>
      <c r="M487">
        <v>17.32</v>
      </c>
      <c r="N487">
        <v>215.8</v>
      </c>
      <c r="O487">
        <v>154</v>
      </c>
      <c r="P487">
        <v>9.7100000000000009</v>
      </c>
      <c r="Q487">
        <v>8.4</v>
      </c>
      <c r="R487">
        <v>4</v>
      </c>
      <c r="S487">
        <v>2.27</v>
      </c>
      <c r="T487">
        <v>1</v>
      </c>
      <c r="U487" t="s">
        <v>22</v>
      </c>
      <c r="V487" t="e">
        <f>IF(#REF! = "yes", 1, 0)</f>
        <v>#REF!</v>
      </c>
      <c r="W487" t="e">
        <f>IF(#REF! &lt;= 1, "0-1 Calls", IF(#REF! &lt;= 3, "2-3 Calls", IF(#REF! &lt;=5, "4-5 Calls", "6+ Calls")))</f>
        <v>#REF!</v>
      </c>
      <c r="X487" t="e">
        <f>IF(#REF! &lt;= 50, "0-50", IF(#REF! &lt;=100, "51-100", IF(#REF! &lt;= 150, "101-150", "151+")))</f>
        <v>#REF!</v>
      </c>
      <c r="Y487" t="e">
        <f>IF(#REF! &lt;= 3, "Low Charges", "High Charges")</f>
        <v>#REF!</v>
      </c>
      <c r="Z487" t="e">
        <f>IF(#REF!&lt;=80,"Low Calls",
IF(#REF!&lt;=120,"Medium Calls","High Calls"))</f>
        <v>#REF!</v>
      </c>
      <c r="AA487" t="e">
        <f>IF(#REF!&lt;=15,"Low Charges",
IF(#REF!&lt;=20,"Medium Charges","High Charges"))</f>
        <v>#REF!</v>
      </c>
      <c r="AB487" t="e">
        <f>IF(AND(#REF!&gt;180, #REF!&gt;200), "Heavy Doemstic User", IF(#REF!&gt;10, "Interntional User", IF(AND(#REF!&lt;180, #REF!&lt;200,#REF!&lt;200), "Light User", "Balanced User")))</f>
        <v>#REF!</v>
      </c>
      <c r="AC487" t="e">
        <f>IF(#REF! = 0, "No Usage", IF(#REF! &lt;= 20, "Low Usage", IF(#REF! &lt;= 40, "Medium Usgae", "High Usage")))</f>
        <v>#REF!</v>
      </c>
      <c r="AD487" t="e">
        <f>IF(#REF!&lt;=150,"Low Usage", IF(#REF!&lt;=200,"Medium Usage", IF(#REF!&lt;=250,"High Usage","Very High Usage")))</f>
        <v>#REF!</v>
      </c>
      <c r="AE487" t="e">
        <f>IF(#REF!&lt;=5,"Low Calls", IF(#REF!&lt;=10, "Medium Calls", "High Calls"))</f>
        <v>#REF!</v>
      </c>
      <c r="AF487" t="e">
        <f xml:space="preserve">
IF(#REF!&gt;=4,4,0)+
IF(#REF!="yes",3,0)+
IF(#REF!="High Charges",3,0)+
IF(#REF!&gt;250,4,0)+
IF(#REF!="no",1,0)+
IF(#REF!="Heavy Domestic User",2,0)</f>
        <v>#REF!</v>
      </c>
      <c r="AG487" t="e">
        <f>IF(#REF!&gt;=10,"High Risk", IF(#REF!&gt;=5,"Medium Risk","Low Risk"))</f>
        <v>#REF!</v>
      </c>
      <c r="AH487" t="e">
        <f>#REF! + #REF! + #REF! + #REF!</f>
        <v>#REF!</v>
      </c>
    </row>
    <row r="488" spans="1:34" x14ac:dyDescent="0.35">
      <c r="A488">
        <v>487</v>
      </c>
      <c r="B488" t="s">
        <v>46</v>
      </c>
      <c r="C488">
        <v>114</v>
      </c>
      <c r="D488" t="s">
        <v>21</v>
      </c>
      <c r="E488" t="s">
        <v>22</v>
      </c>
      <c r="F488" t="s">
        <v>22</v>
      </c>
      <c r="G488">
        <v>0</v>
      </c>
      <c r="H488">
        <v>169.6</v>
      </c>
      <c r="I488">
        <v>85</v>
      </c>
      <c r="J488">
        <v>28.83</v>
      </c>
      <c r="K488">
        <v>58.9</v>
      </c>
      <c r="L488">
        <v>86</v>
      </c>
      <c r="M488">
        <v>5.01</v>
      </c>
      <c r="N488">
        <v>179.3</v>
      </c>
      <c r="O488">
        <v>124</v>
      </c>
      <c r="P488">
        <v>8.07</v>
      </c>
      <c r="Q488">
        <v>7.4</v>
      </c>
      <c r="R488">
        <v>8</v>
      </c>
      <c r="S488">
        <v>2</v>
      </c>
      <c r="T488">
        <v>1</v>
      </c>
      <c r="U488" t="s">
        <v>22</v>
      </c>
      <c r="V488" t="e">
        <f>IF(#REF! = "yes", 1, 0)</f>
        <v>#REF!</v>
      </c>
      <c r="W488" t="e">
        <f>IF(#REF! &lt;= 1, "0-1 Calls", IF(#REF! &lt;= 3, "2-3 Calls", IF(#REF! &lt;=5, "4-5 Calls", "6+ Calls")))</f>
        <v>#REF!</v>
      </c>
      <c r="X488" t="e">
        <f>IF(#REF! &lt;= 50, "0-50", IF(#REF! &lt;=100, "51-100", IF(#REF! &lt;= 150, "101-150", "151+")))</f>
        <v>#REF!</v>
      </c>
      <c r="Y488" t="e">
        <f>IF(#REF! &lt;= 3, "Low Charges", "High Charges")</f>
        <v>#REF!</v>
      </c>
      <c r="Z488" t="e">
        <f>IF(#REF!&lt;=80,"Low Calls",
IF(#REF!&lt;=120,"Medium Calls","High Calls"))</f>
        <v>#REF!</v>
      </c>
      <c r="AA488" t="e">
        <f>IF(#REF!&lt;=15,"Low Charges",
IF(#REF!&lt;=20,"Medium Charges","High Charges"))</f>
        <v>#REF!</v>
      </c>
      <c r="AB488" t="e">
        <f>IF(AND(#REF!&gt;180, #REF!&gt;200), "Heavy Doemstic User", IF(#REF!&gt;10, "Interntional User", IF(AND(#REF!&lt;180, #REF!&lt;200,#REF!&lt;200), "Light User", "Balanced User")))</f>
        <v>#REF!</v>
      </c>
      <c r="AC488" t="e">
        <f>IF(#REF! = 0, "No Usage", IF(#REF! &lt;= 20, "Low Usage", IF(#REF! &lt;= 40, "Medium Usgae", "High Usage")))</f>
        <v>#REF!</v>
      </c>
      <c r="AD488" t="e">
        <f>IF(#REF!&lt;=150,"Low Usage", IF(#REF!&lt;=200,"Medium Usage", IF(#REF!&lt;=250,"High Usage","Very High Usage")))</f>
        <v>#REF!</v>
      </c>
      <c r="AE488" t="e">
        <f>IF(#REF!&lt;=5,"Low Calls", IF(#REF!&lt;=10, "Medium Calls", "High Calls"))</f>
        <v>#REF!</v>
      </c>
      <c r="AF488" t="e">
        <f xml:space="preserve">
IF(#REF!&gt;=4,4,0)+
IF(#REF!="yes",3,0)+
IF(#REF!="High Charges",3,0)+
IF(#REF!&gt;250,4,0)+
IF(#REF!="no",1,0)+
IF(#REF!="Heavy Domestic User",2,0)</f>
        <v>#REF!</v>
      </c>
      <c r="AG488" t="e">
        <f>IF(#REF!&gt;=10,"High Risk", IF(#REF!&gt;=5,"Medium Risk","Low Risk"))</f>
        <v>#REF!</v>
      </c>
      <c r="AH488" t="e">
        <f>#REF! + #REF! + #REF! + #REF!</f>
        <v>#REF!</v>
      </c>
    </row>
    <row r="489" spans="1:34" x14ac:dyDescent="0.35">
      <c r="A489">
        <v>488</v>
      </c>
      <c r="B489" t="s">
        <v>26</v>
      </c>
      <c r="C489">
        <v>101</v>
      </c>
      <c r="D489" t="s">
        <v>25</v>
      </c>
      <c r="E489" t="s">
        <v>22</v>
      </c>
      <c r="F489" t="s">
        <v>22</v>
      </c>
      <c r="G489">
        <v>0</v>
      </c>
      <c r="H489">
        <v>89.7</v>
      </c>
      <c r="I489">
        <v>118</v>
      </c>
      <c r="J489">
        <v>15.25</v>
      </c>
      <c r="K489">
        <v>260.10000000000002</v>
      </c>
      <c r="L489">
        <v>79</v>
      </c>
      <c r="M489">
        <v>22.11</v>
      </c>
      <c r="N489">
        <v>170.1</v>
      </c>
      <c r="O489">
        <v>93</v>
      </c>
      <c r="P489">
        <v>7.65</v>
      </c>
      <c r="Q489">
        <v>13.5</v>
      </c>
      <c r="R489">
        <v>11</v>
      </c>
      <c r="S489">
        <v>3.65</v>
      </c>
      <c r="T489">
        <v>5</v>
      </c>
      <c r="U489" t="s">
        <v>23</v>
      </c>
      <c r="V489" t="e">
        <f>IF(#REF! = "yes", 1, 0)</f>
        <v>#REF!</v>
      </c>
      <c r="W489" t="e">
        <f>IF(#REF! &lt;= 1, "0-1 Calls", IF(#REF! &lt;= 3, "2-3 Calls", IF(#REF! &lt;=5, "4-5 Calls", "6+ Calls")))</f>
        <v>#REF!</v>
      </c>
      <c r="X489" t="e">
        <f>IF(#REF! &lt;= 50, "0-50", IF(#REF! &lt;=100, "51-100", IF(#REF! &lt;= 150, "101-150", "151+")))</f>
        <v>#REF!</v>
      </c>
      <c r="Y489" t="e">
        <f>IF(#REF! &lt;= 3, "Low Charges", "High Charges")</f>
        <v>#REF!</v>
      </c>
      <c r="Z489" t="e">
        <f>IF(#REF!&lt;=80,"Low Calls",
IF(#REF!&lt;=120,"Medium Calls","High Calls"))</f>
        <v>#REF!</v>
      </c>
      <c r="AA489" t="e">
        <f>IF(#REF!&lt;=15,"Low Charges",
IF(#REF!&lt;=20,"Medium Charges","High Charges"))</f>
        <v>#REF!</v>
      </c>
      <c r="AB489" t="e">
        <f>IF(AND(#REF!&gt;180, #REF!&gt;200), "Heavy Doemstic User", IF(#REF!&gt;10, "Interntional User", IF(AND(#REF!&lt;180, #REF!&lt;200,#REF!&lt;200), "Light User", "Balanced User")))</f>
        <v>#REF!</v>
      </c>
      <c r="AC489" t="e">
        <f>IF(#REF! = 0, "No Usage", IF(#REF! &lt;= 20, "Low Usage", IF(#REF! &lt;= 40, "Medium Usgae", "High Usage")))</f>
        <v>#REF!</v>
      </c>
      <c r="AD489" t="e">
        <f>IF(#REF!&lt;=150,"Low Usage", IF(#REF!&lt;=200,"Medium Usage", IF(#REF!&lt;=250,"High Usage","Very High Usage")))</f>
        <v>#REF!</v>
      </c>
      <c r="AE489" t="e">
        <f>IF(#REF!&lt;=5,"Low Calls", IF(#REF!&lt;=10, "Medium Calls", "High Calls"))</f>
        <v>#REF!</v>
      </c>
      <c r="AF489" t="e">
        <f xml:space="preserve">
IF(#REF!&gt;=4,4,0)+
IF(#REF!="yes",3,0)+
IF(#REF!="High Charges",3,0)+
IF(#REF!&gt;250,4,0)+
IF(#REF!="no",1,0)+
IF(#REF!="Heavy Domestic User",2,0)</f>
        <v>#REF!</v>
      </c>
      <c r="AG489" t="e">
        <f>IF(#REF!&gt;=10,"High Risk", IF(#REF!&gt;=5,"Medium Risk","Low Risk"))</f>
        <v>#REF!</v>
      </c>
      <c r="AH489" t="e">
        <f>#REF! + #REF! + #REF! + #REF!</f>
        <v>#REF!</v>
      </c>
    </row>
    <row r="490" spans="1:34" x14ac:dyDescent="0.35">
      <c r="A490">
        <v>489</v>
      </c>
      <c r="B490" t="s">
        <v>51</v>
      </c>
      <c r="C490">
        <v>117</v>
      </c>
      <c r="D490" t="s">
        <v>25</v>
      </c>
      <c r="E490" t="s">
        <v>22</v>
      </c>
      <c r="F490" t="s">
        <v>23</v>
      </c>
      <c r="G490">
        <v>14</v>
      </c>
      <c r="H490">
        <v>80.2</v>
      </c>
      <c r="I490">
        <v>81</v>
      </c>
      <c r="J490">
        <v>13.63</v>
      </c>
      <c r="K490">
        <v>219</v>
      </c>
      <c r="L490">
        <v>103</v>
      </c>
      <c r="M490">
        <v>18.62</v>
      </c>
      <c r="N490">
        <v>122.6</v>
      </c>
      <c r="O490">
        <v>102</v>
      </c>
      <c r="P490">
        <v>5.52</v>
      </c>
      <c r="Q490">
        <v>8.6</v>
      </c>
      <c r="R490">
        <v>2</v>
      </c>
      <c r="S490">
        <v>2.3199999999999998</v>
      </c>
      <c r="T490">
        <v>1</v>
      </c>
      <c r="U490" t="s">
        <v>22</v>
      </c>
      <c r="V490" t="e">
        <f>IF(#REF! = "yes", 1, 0)</f>
        <v>#REF!</v>
      </c>
      <c r="W490" t="e">
        <f>IF(#REF! &lt;= 1, "0-1 Calls", IF(#REF! &lt;= 3, "2-3 Calls", IF(#REF! &lt;=5, "4-5 Calls", "6+ Calls")))</f>
        <v>#REF!</v>
      </c>
      <c r="X490" t="e">
        <f>IF(#REF! &lt;= 50, "0-50", IF(#REF! &lt;=100, "51-100", IF(#REF! &lt;= 150, "101-150", "151+")))</f>
        <v>#REF!</v>
      </c>
      <c r="Y490" t="e">
        <f>IF(#REF! &lt;= 3, "Low Charges", "High Charges")</f>
        <v>#REF!</v>
      </c>
      <c r="Z490" t="e">
        <f>IF(#REF!&lt;=80,"Low Calls",
IF(#REF!&lt;=120,"Medium Calls","High Calls"))</f>
        <v>#REF!</v>
      </c>
      <c r="AA490" t="e">
        <f>IF(#REF!&lt;=15,"Low Charges",
IF(#REF!&lt;=20,"Medium Charges","High Charges"))</f>
        <v>#REF!</v>
      </c>
      <c r="AB490" t="e">
        <f>IF(AND(#REF!&gt;180, #REF!&gt;200), "Heavy Doemstic User", IF(#REF!&gt;10, "Interntional User", IF(AND(#REF!&lt;180, #REF!&lt;200,#REF!&lt;200), "Light User", "Balanced User")))</f>
        <v>#REF!</v>
      </c>
      <c r="AC490" t="e">
        <f>IF(#REF! = 0, "No Usage", IF(#REF! &lt;= 20, "Low Usage", IF(#REF! &lt;= 40, "Medium Usgae", "High Usage")))</f>
        <v>#REF!</v>
      </c>
      <c r="AD490" t="e">
        <f>IF(#REF!&lt;=150,"Low Usage", IF(#REF!&lt;=200,"Medium Usage", IF(#REF!&lt;=250,"High Usage","Very High Usage")))</f>
        <v>#REF!</v>
      </c>
      <c r="AE490" t="e">
        <f>IF(#REF!&lt;=5,"Low Calls", IF(#REF!&lt;=10, "Medium Calls", "High Calls"))</f>
        <v>#REF!</v>
      </c>
      <c r="AF490" t="e">
        <f xml:space="preserve">
IF(#REF!&gt;=4,4,0)+
IF(#REF!="yes",3,0)+
IF(#REF!="High Charges",3,0)+
IF(#REF!&gt;250,4,0)+
IF(#REF!="no",1,0)+
IF(#REF!="Heavy Domestic User",2,0)</f>
        <v>#REF!</v>
      </c>
      <c r="AG490" t="e">
        <f>IF(#REF!&gt;=10,"High Risk", IF(#REF!&gt;=5,"Medium Risk","Low Risk"))</f>
        <v>#REF!</v>
      </c>
      <c r="AH490" t="e">
        <f>#REF! + #REF! + #REF! + #REF!</f>
        <v>#REF!</v>
      </c>
    </row>
    <row r="491" spans="1:34" x14ac:dyDescent="0.35">
      <c r="A491">
        <v>490</v>
      </c>
      <c r="B491" t="s">
        <v>73</v>
      </c>
      <c r="C491">
        <v>82</v>
      </c>
      <c r="D491" t="s">
        <v>25</v>
      </c>
      <c r="E491" t="s">
        <v>22</v>
      </c>
      <c r="F491" t="s">
        <v>22</v>
      </c>
      <c r="G491">
        <v>0</v>
      </c>
      <c r="H491">
        <v>125.7</v>
      </c>
      <c r="I491">
        <v>96</v>
      </c>
      <c r="J491">
        <v>21.37</v>
      </c>
      <c r="K491">
        <v>207.6</v>
      </c>
      <c r="L491">
        <v>137</v>
      </c>
      <c r="M491">
        <v>17.649999999999999</v>
      </c>
      <c r="N491">
        <v>183.1</v>
      </c>
      <c r="O491">
        <v>103</v>
      </c>
      <c r="P491">
        <v>8.24</v>
      </c>
      <c r="Q491">
        <v>12.9</v>
      </c>
      <c r="R491">
        <v>2</v>
      </c>
      <c r="S491">
        <v>3.48</v>
      </c>
      <c r="T491">
        <v>1</v>
      </c>
      <c r="U491" t="s">
        <v>22</v>
      </c>
      <c r="V491" t="e">
        <f>IF(#REF! = "yes", 1, 0)</f>
        <v>#REF!</v>
      </c>
      <c r="W491" t="e">
        <f>IF(#REF! &lt;= 1, "0-1 Calls", IF(#REF! &lt;= 3, "2-3 Calls", IF(#REF! &lt;=5, "4-5 Calls", "6+ Calls")))</f>
        <v>#REF!</v>
      </c>
      <c r="X491" t="e">
        <f>IF(#REF! &lt;= 50, "0-50", IF(#REF! &lt;=100, "51-100", IF(#REF! &lt;= 150, "101-150", "151+")))</f>
        <v>#REF!</v>
      </c>
      <c r="Y491" t="e">
        <f>IF(#REF! &lt;= 3, "Low Charges", "High Charges")</f>
        <v>#REF!</v>
      </c>
      <c r="Z491" t="e">
        <f>IF(#REF!&lt;=80,"Low Calls",
IF(#REF!&lt;=120,"Medium Calls","High Calls"))</f>
        <v>#REF!</v>
      </c>
      <c r="AA491" t="e">
        <f>IF(#REF!&lt;=15,"Low Charges",
IF(#REF!&lt;=20,"Medium Charges","High Charges"))</f>
        <v>#REF!</v>
      </c>
      <c r="AB491" t="e">
        <f>IF(AND(#REF!&gt;180, #REF!&gt;200), "Heavy Doemstic User", IF(#REF!&gt;10, "Interntional User", IF(AND(#REF!&lt;180, #REF!&lt;200,#REF!&lt;200), "Light User", "Balanced User")))</f>
        <v>#REF!</v>
      </c>
      <c r="AC491" t="e">
        <f>IF(#REF! = 0, "No Usage", IF(#REF! &lt;= 20, "Low Usage", IF(#REF! &lt;= 40, "Medium Usgae", "High Usage")))</f>
        <v>#REF!</v>
      </c>
      <c r="AD491" t="e">
        <f>IF(#REF!&lt;=150,"Low Usage", IF(#REF!&lt;=200,"Medium Usage", IF(#REF!&lt;=250,"High Usage","Very High Usage")))</f>
        <v>#REF!</v>
      </c>
      <c r="AE491" t="e">
        <f>IF(#REF!&lt;=5,"Low Calls", IF(#REF!&lt;=10, "Medium Calls", "High Calls"))</f>
        <v>#REF!</v>
      </c>
      <c r="AF491" t="e">
        <f xml:space="preserve">
IF(#REF!&gt;=4,4,0)+
IF(#REF!="yes",3,0)+
IF(#REF!="High Charges",3,0)+
IF(#REF!&gt;250,4,0)+
IF(#REF!="no",1,0)+
IF(#REF!="Heavy Domestic User",2,0)</f>
        <v>#REF!</v>
      </c>
      <c r="AG491" t="e">
        <f>IF(#REF!&gt;=10,"High Risk", IF(#REF!&gt;=5,"Medium Risk","Low Risk"))</f>
        <v>#REF!</v>
      </c>
      <c r="AH491" t="e">
        <f>#REF! + #REF! + #REF! + #REF!</f>
        <v>#REF!</v>
      </c>
    </row>
    <row r="492" spans="1:34" x14ac:dyDescent="0.35">
      <c r="A492">
        <v>491</v>
      </c>
      <c r="B492" t="s">
        <v>26</v>
      </c>
      <c r="C492">
        <v>92</v>
      </c>
      <c r="D492" t="s">
        <v>28</v>
      </c>
      <c r="E492" t="s">
        <v>22</v>
      </c>
      <c r="F492" t="s">
        <v>22</v>
      </c>
      <c r="G492">
        <v>0</v>
      </c>
      <c r="H492">
        <v>176.3</v>
      </c>
      <c r="I492">
        <v>85</v>
      </c>
      <c r="J492">
        <v>29.97</v>
      </c>
      <c r="K492">
        <v>93.4</v>
      </c>
      <c r="L492">
        <v>125</v>
      </c>
      <c r="M492">
        <v>7.94</v>
      </c>
      <c r="N492">
        <v>207.2</v>
      </c>
      <c r="O492">
        <v>107</v>
      </c>
      <c r="P492">
        <v>9.32</v>
      </c>
      <c r="Q492">
        <v>9.6</v>
      </c>
      <c r="R492">
        <v>1</v>
      </c>
      <c r="S492">
        <v>2.59</v>
      </c>
      <c r="T492">
        <v>2</v>
      </c>
      <c r="U492" t="s">
        <v>22</v>
      </c>
      <c r="V492" t="e">
        <f>IF(#REF! = "yes", 1, 0)</f>
        <v>#REF!</v>
      </c>
      <c r="W492" t="e">
        <f>IF(#REF! &lt;= 1, "0-1 Calls", IF(#REF! &lt;= 3, "2-3 Calls", IF(#REF! &lt;=5, "4-5 Calls", "6+ Calls")))</f>
        <v>#REF!</v>
      </c>
      <c r="X492" t="e">
        <f>IF(#REF! &lt;= 50, "0-50", IF(#REF! &lt;=100, "51-100", IF(#REF! &lt;= 150, "101-150", "151+")))</f>
        <v>#REF!</v>
      </c>
      <c r="Y492" t="e">
        <f>IF(#REF! &lt;= 3, "Low Charges", "High Charges")</f>
        <v>#REF!</v>
      </c>
      <c r="Z492" t="e">
        <f>IF(#REF!&lt;=80,"Low Calls",
IF(#REF!&lt;=120,"Medium Calls","High Calls"))</f>
        <v>#REF!</v>
      </c>
      <c r="AA492" t="e">
        <f>IF(#REF!&lt;=15,"Low Charges",
IF(#REF!&lt;=20,"Medium Charges","High Charges"))</f>
        <v>#REF!</v>
      </c>
      <c r="AB492" t="e">
        <f>IF(AND(#REF!&gt;180, #REF!&gt;200), "Heavy Doemstic User", IF(#REF!&gt;10, "Interntional User", IF(AND(#REF!&lt;180, #REF!&lt;200,#REF!&lt;200), "Light User", "Balanced User")))</f>
        <v>#REF!</v>
      </c>
      <c r="AC492" t="e">
        <f>IF(#REF! = 0, "No Usage", IF(#REF! &lt;= 20, "Low Usage", IF(#REF! &lt;= 40, "Medium Usgae", "High Usage")))</f>
        <v>#REF!</v>
      </c>
      <c r="AD492" t="e">
        <f>IF(#REF!&lt;=150,"Low Usage", IF(#REF!&lt;=200,"Medium Usage", IF(#REF!&lt;=250,"High Usage","Very High Usage")))</f>
        <v>#REF!</v>
      </c>
      <c r="AE492" t="e">
        <f>IF(#REF!&lt;=5,"Low Calls", IF(#REF!&lt;=10, "Medium Calls", "High Calls"))</f>
        <v>#REF!</v>
      </c>
      <c r="AF492" t="e">
        <f xml:space="preserve">
IF(#REF!&gt;=4,4,0)+
IF(#REF!="yes",3,0)+
IF(#REF!="High Charges",3,0)+
IF(#REF!&gt;250,4,0)+
IF(#REF!="no",1,0)+
IF(#REF!="Heavy Domestic User",2,0)</f>
        <v>#REF!</v>
      </c>
      <c r="AG492" t="e">
        <f>IF(#REF!&gt;=10,"High Risk", IF(#REF!&gt;=5,"Medium Risk","Low Risk"))</f>
        <v>#REF!</v>
      </c>
      <c r="AH492" t="e">
        <f>#REF! + #REF! + #REF! + #REF!</f>
        <v>#REF!</v>
      </c>
    </row>
    <row r="493" spans="1:34" x14ac:dyDescent="0.35">
      <c r="A493">
        <v>492</v>
      </c>
      <c r="B493" t="s">
        <v>66</v>
      </c>
      <c r="C493">
        <v>82</v>
      </c>
      <c r="D493" t="s">
        <v>28</v>
      </c>
      <c r="E493" t="s">
        <v>22</v>
      </c>
      <c r="F493" t="s">
        <v>23</v>
      </c>
      <c r="G493">
        <v>29</v>
      </c>
      <c r="H493">
        <v>207.2</v>
      </c>
      <c r="I493">
        <v>111</v>
      </c>
      <c r="J493">
        <v>35.22</v>
      </c>
      <c r="K493">
        <v>254.1</v>
      </c>
      <c r="L493">
        <v>137</v>
      </c>
      <c r="M493">
        <v>21.6</v>
      </c>
      <c r="N493">
        <v>169.3</v>
      </c>
      <c r="O493">
        <v>92</v>
      </c>
      <c r="P493">
        <v>7.62</v>
      </c>
      <c r="Q493">
        <v>9.5</v>
      </c>
      <c r="R493">
        <v>5</v>
      </c>
      <c r="S493">
        <v>2.57</v>
      </c>
      <c r="T493">
        <v>2</v>
      </c>
      <c r="U493" t="s">
        <v>22</v>
      </c>
      <c r="V493" t="e">
        <f>IF(#REF! = "yes", 1, 0)</f>
        <v>#REF!</v>
      </c>
      <c r="W493" t="e">
        <f>IF(#REF! &lt;= 1, "0-1 Calls", IF(#REF! &lt;= 3, "2-3 Calls", IF(#REF! &lt;=5, "4-5 Calls", "6+ Calls")))</f>
        <v>#REF!</v>
      </c>
      <c r="X493" t="e">
        <f>IF(#REF! &lt;= 50, "0-50", IF(#REF! &lt;=100, "51-100", IF(#REF! &lt;= 150, "101-150", "151+")))</f>
        <v>#REF!</v>
      </c>
      <c r="Y493" t="e">
        <f>IF(#REF! &lt;= 3, "Low Charges", "High Charges")</f>
        <v>#REF!</v>
      </c>
      <c r="Z493" t="e">
        <f>IF(#REF!&lt;=80,"Low Calls",
IF(#REF!&lt;=120,"Medium Calls","High Calls"))</f>
        <v>#REF!</v>
      </c>
      <c r="AA493" t="e">
        <f>IF(#REF!&lt;=15,"Low Charges",
IF(#REF!&lt;=20,"Medium Charges","High Charges"))</f>
        <v>#REF!</v>
      </c>
      <c r="AB493" t="e">
        <f>IF(AND(#REF!&gt;180, #REF!&gt;200), "Heavy Doemstic User", IF(#REF!&gt;10, "Interntional User", IF(AND(#REF!&lt;180, #REF!&lt;200,#REF!&lt;200), "Light User", "Balanced User")))</f>
        <v>#REF!</v>
      </c>
      <c r="AC493" t="e">
        <f>IF(#REF! = 0, "No Usage", IF(#REF! &lt;= 20, "Low Usage", IF(#REF! &lt;= 40, "Medium Usgae", "High Usage")))</f>
        <v>#REF!</v>
      </c>
      <c r="AD493" t="e">
        <f>IF(#REF!&lt;=150,"Low Usage", IF(#REF!&lt;=200,"Medium Usage", IF(#REF!&lt;=250,"High Usage","Very High Usage")))</f>
        <v>#REF!</v>
      </c>
      <c r="AE493" t="e">
        <f>IF(#REF!&lt;=5,"Low Calls", IF(#REF!&lt;=10, "Medium Calls", "High Calls"))</f>
        <v>#REF!</v>
      </c>
      <c r="AF493" t="e">
        <f xml:space="preserve">
IF(#REF!&gt;=4,4,0)+
IF(#REF!="yes",3,0)+
IF(#REF!="High Charges",3,0)+
IF(#REF!&gt;250,4,0)+
IF(#REF!="no",1,0)+
IF(#REF!="Heavy Domestic User",2,0)</f>
        <v>#REF!</v>
      </c>
      <c r="AG493" t="e">
        <f>IF(#REF!&gt;=10,"High Risk", IF(#REF!&gt;=5,"Medium Risk","Low Risk"))</f>
        <v>#REF!</v>
      </c>
      <c r="AH493" t="e">
        <f>#REF! + #REF! + #REF! + #REF!</f>
        <v>#REF!</v>
      </c>
    </row>
    <row r="494" spans="1:34" x14ac:dyDescent="0.35">
      <c r="A494">
        <v>493</v>
      </c>
      <c r="B494" t="s">
        <v>31</v>
      </c>
      <c r="C494">
        <v>90</v>
      </c>
      <c r="D494" t="s">
        <v>21</v>
      </c>
      <c r="E494" t="s">
        <v>22</v>
      </c>
      <c r="F494" t="s">
        <v>22</v>
      </c>
      <c r="G494">
        <v>0</v>
      </c>
      <c r="H494">
        <v>205.7</v>
      </c>
      <c r="I494">
        <v>138</v>
      </c>
      <c r="J494">
        <v>34.97</v>
      </c>
      <c r="K494">
        <v>161.9</v>
      </c>
      <c r="L494">
        <v>83</v>
      </c>
      <c r="M494">
        <v>13.76</v>
      </c>
      <c r="N494">
        <v>269.7</v>
      </c>
      <c r="O494">
        <v>104</v>
      </c>
      <c r="P494">
        <v>12.14</v>
      </c>
      <c r="Q494">
        <v>12.5</v>
      </c>
      <c r="R494">
        <v>6</v>
      </c>
      <c r="S494">
        <v>3.38</v>
      </c>
      <c r="T494">
        <v>2</v>
      </c>
      <c r="U494" t="s">
        <v>22</v>
      </c>
      <c r="V494" t="e">
        <f>IF(#REF! = "yes", 1, 0)</f>
        <v>#REF!</v>
      </c>
      <c r="W494" t="e">
        <f>IF(#REF! &lt;= 1, "0-1 Calls", IF(#REF! &lt;= 3, "2-3 Calls", IF(#REF! &lt;=5, "4-5 Calls", "6+ Calls")))</f>
        <v>#REF!</v>
      </c>
      <c r="X494" t="e">
        <f>IF(#REF! &lt;= 50, "0-50", IF(#REF! &lt;=100, "51-100", IF(#REF! &lt;= 150, "101-150", "151+")))</f>
        <v>#REF!</v>
      </c>
      <c r="Y494" t="e">
        <f>IF(#REF! &lt;= 3, "Low Charges", "High Charges")</f>
        <v>#REF!</v>
      </c>
      <c r="Z494" t="e">
        <f>IF(#REF!&lt;=80,"Low Calls",
IF(#REF!&lt;=120,"Medium Calls","High Calls"))</f>
        <v>#REF!</v>
      </c>
      <c r="AA494" t="e">
        <f>IF(#REF!&lt;=15,"Low Charges",
IF(#REF!&lt;=20,"Medium Charges","High Charges"))</f>
        <v>#REF!</v>
      </c>
      <c r="AB494" t="e">
        <f>IF(AND(#REF!&gt;180, #REF!&gt;200), "Heavy Doemstic User", IF(#REF!&gt;10, "Interntional User", IF(AND(#REF!&lt;180, #REF!&lt;200,#REF!&lt;200), "Light User", "Balanced User")))</f>
        <v>#REF!</v>
      </c>
      <c r="AC494" t="e">
        <f>IF(#REF! = 0, "No Usage", IF(#REF! &lt;= 20, "Low Usage", IF(#REF! &lt;= 40, "Medium Usgae", "High Usage")))</f>
        <v>#REF!</v>
      </c>
      <c r="AD494" t="e">
        <f>IF(#REF!&lt;=150,"Low Usage", IF(#REF!&lt;=200,"Medium Usage", IF(#REF!&lt;=250,"High Usage","Very High Usage")))</f>
        <v>#REF!</v>
      </c>
      <c r="AE494" t="e">
        <f>IF(#REF!&lt;=5,"Low Calls", IF(#REF!&lt;=10, "Medium Calls", "High Calls"))</f>
        <v>#REF!</v>
      </c>
      <c r="AF494" t="e">
        <f xml:space="preserve">
IF(#REF!&gt;=4,4,0)+
IF(#REF!="yes",3,0)+
IF(#REF!="High Charges",3,0)+
IF(#REF!&gt;250,4,0)+
IF(#REF!="no",1,0)+
IF(#REF!="Heavy Domestic User",2,0)</f>
        <v>#REF!</v>
      </c>
      <c r="AG494" t="e">
        <f>IF(#REF!&gt;=10,"High Risk", IF(#REF!&gt;=5,"Medium Risk","Low Risk"))</f>
        <v>#REF!</v>
      </c>
      <c r="AH494" t="e">
        <f>#REF! + #REF! + #REF! + #REF!</f>
        <v>#REF!</v>
      </c>
    </row>
    <row r="495" spans="1:34" x14ac:dyDescent="0.35">
      <c r="A495">
        <v>494</v>
      </c>
      <c r="B495" t="s">
        <v>60</v>
      </c>
      <c r="C495">
        <v>124</v>
      </c>
      <c r="D495" t="s">
        <v>28</v>
      </c>
      <c r="E495" t="s">
        <v>22</v>
      </c>
      <c r="F495" t="s">
        <v>22</v>
      </c>
      <c r="G495">
        <v>0</v>
      </c>
      <c r="H495">
        <v>157.5</v>
      </c>
      <c r="I495">
        <v>70</v>
      </c>
      <c r="J495">
        <v>26.78</v>
      </c>
      <c r="K495">
        <v>130.69999999999999</v>
      </c>
      <c r="L495">
        <v>79</v>
      </c>
      <c r="M495">
        <v>11.11</v>
      </c>
      <c r="N495">
        <v>193.4</v>
      </c>
      <c r="O495">
        <v>98</v>
      </c>
      <c r="P495">
        <v>8.6999999999999993</v>
      </c>
      <c r="Q495">
        <v>9.6</v>
      </c>
      <c r="R495">
        <v>4</v>
      </c>
      <c r="S495">
        <v>2.59</v>
      </c>
      <c r="T495">
        <v>3</v>
      </c>
      <c r="U495" t="s">
        <v>22</v>
      </c>
      <c r="V495" t="e">
        <f>IF(#REF! = "yes", 1, 0)</f>
        <v>#REF!</v>
      </c>
      <c r="W495" t="e">
        <f>IF(#REF! &lt;= 1, "0-1 Calls", IF(#REF! &lt;= 3, "2-3 Calls", IF(#REF! &lt;=5, "4-5 Calls", "6+ Calls")))</f>
        <v>#REF!</v>
      </c>
      <c r="X495" t="e">
        <f>IF(#REF! &lt;= 50, "0-50", IF(#REF! &lt;=100, "51-100", IF(#REF! &lt;= 150, "101-150", "151+")))</f>
        <v>#REF!</v>
      </c>
      <c r="Y495" t="e">
        <f>IF(#REF! &lt;= 3, "Low Charges", "High Charges")</f>
        <v>#REF!</v>
      </c>
      <c r="Z495" t="e">
        <f>IF(#REF!&lt;=80,"Low Calls",
IF(#REF!&lt;=120,"Medium Calls","High Calls"))</f>
        <v>#REF!</v>
      </c>
      <c r="AA495" t="e">
        <f>IF(#REF!&lt;=15,"Low Charges",
IF(#REF!&lt;=20,"Medium Charges","High Charges"))</f>
        <v>#REF!</v>
      </c>
      <c r="AB495" t="e">
        <f>IF(AND(#REF!&gt;180, #REF!&gt;200), "Heavy Doemstic User", IF(#REF!&gt;10, "Interntional User", IF(AND(#REF!&lt;180, #REF!&lt;200,#REF!&lt;200), "Light User", "Balanced User")))</f>
        <v>#REF!</v>
      </c>
      <c r="AC495" t="e">
        <f>IF(#REF! = 0, "No Usage", IF(#REF! &lt;= 20, "Low Usage", IF(#REF! &lt;= 40, "Medium Usgae", "High Usage")))</f>
        <v>#REF!</v>
      </c>
      <c r="AD495" t="e">
        <f>IF(#REF!&lt;=150,"Low Usage", IF(#REF!&lt;=200,"Medium Usage", IF(#REF!&lt;=250,"High Usage","Very High Usage")))</f>
        <v>#REF!</v>
      </c>
      <c r="AE495" t="e">
        <f>IF(#REF!&lt;=5,"Low Calls", IF(#REF!&lt;=10, "Medium Calls", "High Calls"))</f>
        <v>#REF!</v>
      </c>
      <c r="AF495" t="e">
        <f xml:space="preserve">
IF(#REF!&gt;=4,4,0)+
IF(#REF!="yes",3,0)+
IF(#REF!="High Charges",3,0)+
IF(#REF!&gt;250,4,0)+
IF(#REF!="no",1,0)+
IF(#REF!="Heavy Domestic User",2,0)</f>
        <v>#REF!</v>
      </c>
      <c r="AG495" t="e">
        <f>IF(#REF!&gt;=10,"High Risk", IF(#REF!&gt;=5,"Medium Risk","Low Risk"))</f>
        <v>#REF!</v>
      </c>
      <c r="AH495" t="e">
        <f>#REF! + #REF! + #REF! + #REF!</f>
        <v>#REF!</v>
      </c>
    </row>
    <row r="496" spans="1:34" x14ac:dyDescent="0.35">
      <c r="A496">
        <v>495</v>
      </c>
      <c r="B496" t="s">
        <v>36</v>
      </c>
      <c r="C496">
        <v>39</v>
      </c>
      <c r="D496" t="s">
        <v>25</v>
      </c>
      <c r="E496" t="s">
        <v>22</v>
      </c>
      <c r="F496" t="s">
        <v>22</v>
      </c>
      <c r="G496">
        <v>0</v>
      </c>
      <c r="H496">
        <v>160.4</v>
      </c>
      <c r="I496">
        <v>68</v>
      </c>
      <c r="J496">
        <v>27.27</v>
      </c>
      <c r="K496">
        <v>102.6</v>
      </c>
      <c r="L496">
        <v>103</v>
      </c>
      <c r="M496">
        <v>8.7200000000000006</v>
      </c>
      <c r="N496">
        <v>235.3</v>
      </c>
      <c r="O496">
        <v>106</v>
      </c>
      <c r="P496">
        <v>10.59</v>
      </c>
      <c r="Q496">
        <v>9.1</v>
      </c>
      <c r="R496">
        <v>5</v>
      </c>
      <c r="S496">
        <v>2.46</v>
      </c>
      <c r="T496">
        <v>2</v>
      </c>
      <c r="U496" t="s">
        <v>22</v>
      </c>
      <c r="V496" t="e">
        <f>IF(#REF! = "yes", 1, 0)</f>
        <v>#REF!</v>
      </c>
      <c r="W496" t="e">
        <f>IF(#REF! &lt;= 1, "0-1 Calls", IF(#REF! &lt;= 3, "2-3 Calls", IF(#REF! &lt;=5, "4-5 Calls", "6+ Calls")))</f>
        <v>#REF!</v>
      </c>
      <c r="X496" t="e">
        <f>IF(#REF! &lt;= 50, "0-50", IF(#REF! &lt;=100, "51-100", IF(#REF! &lt;= 150, "101-150", "151+")))</f>
        <v>#REF!</v>
      </c>
      <c r="Y496" t="e">
        <f>IF(#REF! &lt;= 3, "Low Charges", "High Charges")</f>
        <v>#REF!</v>
      </c>
      <c r="Z496" t="e">
        <f>IF(#REF!&lt;=80,"Low Calls",
IF(#REF!&lt;=120,"Medium Calls","High Calls"))</f>
        <v>#REF!</v>
      </c>
      <c r="AA496" t="e">
        <f>IF(#REF!&lt;=15,"Low Charges",
IF(#REF!&lt;=20,"Medium Charges","High Charges"))</f>
        <v>#REF!</v>
      </c>
      <c r="AB496" t="e">
        <f>IF(AND(#REF!&gt;180, #REF!&gt;200), "Heavy Doemstic User", IF(#REF!&gt;10, "Interntional User", IF(AND(#REF!&lt;180, #REF!&lt;200,#REF!&lt;200), "Light User", "Balanced User")))</f>
        <v>#REF!</v>
      </c>
      <c r="AC496" t="e">
        <f>IF(#REF! = 0, "No Usage", IF(#REF! &lt;= 20, "Low Usage", IF(#REF! &lt;= 40, "Medium Usgae", "High Usage")))</f>
        <v>#REF!</v>
      </c>
      <c r="AD496" t="e">
        <f>IF(#REF!&lt;=150,"Low Usage", IF(#REF!&lt;=200,"Medium Usage", IF(#REF!&lt;=250,"High Usage","Very High Usage")))</f>
        <v>#REF!</v>
      </c>
      <c r="AE496" t="e">
        <f>IF(#REF!&lt;=5,"Low Calls", IF(#REF!&lt;=10, "Medium Calls", "High Calls"))</f>
        <v>#REF!</v>
      </c>
      <c r="AF496" t="e">
        <f xml:space="preserve">
IF(#REF!&gt;=4,4,0)+
IF(#REF!="yes",3,0)+
IF(#REF!="High Charges",3,0)+
IF(#REF!&gt;250,4,0)+
IF(#REF!="no",1,0)+
IF(#REF!="Heavy Domestic User",2,0)</f>
        <v>#REF!</v>
      </c>
      <c r="AG496" t="e">
        <f>IF(#REF!&gt;=10,"High Risk", IF(#REF!&gt;=5,"Medium Risk","Low Risk"))</f>
        <v>#REF!</v>
      </c>
      <c r="AH496" t="e">
        <f>#REF! + #REF! + #REF! + #REF!</f>
        <v>#REF!</v>
      </c>
    </row>
    <row r="497" spans="1:34" x14ac:dyDescent="0.35">
      <c r="A497">
        <v>496</v>
      </c>
      <c r="B497" t="s">
        <v>20</v>
      </c>
      <c r="C497">
        <v>75</v>
      </c>
      <c r="D497" t="s">
        <v>28</v>
      </c>
      <c r="E497" t="s">
        <v>22</v>
      </c>
      <c r="F497" t="s">
        <v>23</v>
      </c>
      <c r="G497">
        <v>46</v>
      </c>
      <c r="H497">
        <v>214.1</v>
      </c>
      <c r="I497">
        <v>62</v>
      </c>
      <c r="J497">
        <v>36.4</v>
      </c>
      <c r="K497">
        <v>200.9</v>
      </c>
      <c r="L497">
        <v>111</v>
      </c>
      <c r="M497">
        <v>17.079999999999998</v>
      </c>
      <c r="N497">
        <v>246.8</v>
      </c>
      <c r="O497">
        <v>126</v>
      </c>
      <c r="P497">
        <v>11.11</v>
      </c>
      <c r="Q497">
        <v>9.1999999999999993</v>
      </c>
      <c r="R497">
        <v>6</v>
      </c>
      <c r="S497">
        <v>2.48</v>
      </c>
      <c r="T497">
        <v>0</v>
      </c>
      <c r="U497" t="s">
        <v>22</v>
      </c>
      <c r="V497" t="e">
        <f>IF(#REF! = "yes", 1, 0)</f>
        <v>#REF!</v>
      </c>
      <c r="W497" t="e">
        <f>IF(#REF! &lt;= 1, "0-1 Calls", IF(#REF! &lt;= 3, "2-3 Calls", IF(#REF! &lt;=5, "4-5 Calls", "6+ Calls")))</f>
        <v>#REF!</v>
      </c>
      <c r="X497" t="e">
        <f>IF(#REF! &lt;= 50, "0-50", IF(#REF! &lt;=100, "51-100", IF(#REF! &lt;= 150, "101-150", "151+")))</f>
        <v>#REF!</v>
      </c>
      <c r="Y497" t="e">
        <f>IF(#REF! &lt;= 3, "Low Charges", "High Charges")</f>
        <v>#REF!</v>
      </c>
      <c r="Z497" t="e">
        <f>IF(#REF!&lt;=80,"Low Calls",
IF(#REF!&lt;=120,"Medium Calls","High Calls"))</f>
        <v>#REF!</v>
      </c>
      <c r="AA497" t="e">
        <f>IF(#REF!&lt;=15,"Low Charges",
IF(#REF!&lt;=20,"Medium Charges","High Charges"))</f>
        <v>#REF!</v>
      </c>
      <c r="AB497" t="e">
        <f>IF(AND(#REF!&gt;180, #REF!&gt;200), "Heavy Doemstic User", IF(#REF!&gt;10, "Interntional User", IF(AND(#REF!&lt;180, #REF!&lt;200,#REF!&lt;200), "Light User", "Balanced User")))</f>
        <v>#REF!</v>
      </c>
      <c r="AC497" t="e">
        <f>IF(#REF! = 0, "No Usage", IF(#REF! &lt;= 20, "Low Usage", IF(#REF! &lt;= 40, "Medium Usgae", "High Usage")))</f>
        <v>#REF!</v>
      </c>
      <c r="AD497" t="e">
        <f>IF(#REF!&lt;=150,"Low Usage", IF(#REF!&lt;=200,"Medium Usage", IF(#REF!&lt;=250,"High Usage","Very High Usage")))</f>
        <v>#REF!</v>
      </c>
      <c r="AE497" t="e">
        <f>IF(#REF!&lt;=5,"Low Calls", IF(#REF!&lt;=10, "Medium Calls", "High Calls"))</f>
        <v>#REF!</v>
      </c>
      <c r="AF497" t="e">
        <f xml:space="preserve">
IF(#REF!&gt;=4,4,0)+
IF(#REF!="yes",3,0)+
IF(#REF!="High Charges",3,0)+
IF(#REF!&gt;250,4,0)+
IF(#REF!="no",1,0)+
IF(#REF!="Heavy Domestic User",2,0)</f>
        <v>#REF!</v>
      </c>
      <c r="AG497" t="e">
        <f>IF(#REF!&gt;=10,"High Risk", IF(#REF!&gt;=5,"Medium Risk","Low Risk"))</f>
        <v>#REF!</v>
      </c>
      <c r="AH497" t="e">
        <f>#REF! + #REF! + #REF! + #REF!</f>
        <v>#REF!</v>
      </c>
    </row>
    <row r="498" spans="1:34" x14ac:dyDescent="0.35">
      <c r="A498">
        <v>497</v>
      </c>
      <c r="B498" t="s">
        <v>53</v>
      </c>
      <c r="C498">
        <v>102</v>
      </c>
      <c r="D498" t="s">
        <v>28</v>
      </c>
      <c r="E498" t="s">
        <v>22</v>
      </c>
      <c r="F498" t="s">
        <v>22</v>
      </c>
      <c r="G498">
        <v>0</v>
      </c>
      <c r="H498">
        <v>102.6</v>
      </c>
      <c r="I498">
        <v>89</v>
      </c>
      <c r="J498">
        <v>17.440000000000001</v>
      </c>
      <c r="K498">
        <v>246</v>
      </c>
      <c r="L498">
        <v>77</v>
      </c>
      <c r="M498">
        <v>20.91</v>
      </c>
      <c r="N498">
        <v>170.5</v>
      </c>
      <c r="O498">
        <v>140</v>
      </c>
      <c r="P498">
        <v>7.67</v>
      </c>
      <c r="Q498">
        <v>9.1</v>
      </c>
      <c r="R498">
        <v>4</v>
      </c>
      <c r="S498">
        <v>2.46</v>
      </c>
      <c r="T498">
        <v>2</v>
      </c>
      <c r="U498" t="s">
        <v>22</v>
      </c>
      <c r="V498" t="e">
        <f>IF(#REF! = "yes", 1, 0)</f>
        <v>#REF!</v>
      </c>
      <c r="W498" t="e">
        <f>IF(#REF! &lt;= 1, "0-1 Calls", IF(#REF! &lt;= 3, "2-3 Calls", IF(#REF! &lt;=5, "4-5 Calls", "6+ Calls")))</f>
        <v>#REF!</v>
      </c>
      <c r="X498" t="e">
        <f>IF(#REF! &lt;= 50, "0-50", IF(#REF! &lt;=100, "51-100", IF(#REF! &lt;= 150, "101-150", "151+")))</f>
        <v>#REF!</v>
      </c>
      <c r="Y498" t="e">
        <f>IF(#REF! &lt;= 3, "Low Charges", "High Charges")</f>
        <v>#REF!</v>
      </c>
      <c r="Z498" t="e">
        <f>IF(#REF!&lt;=80,"Low Calls",
IF(#REF!&lt;=120,"Medium Calls","High Calls"))</f>
        <v>#REF!</v>
      </c>
      <c r="AA498" t="e">
        <f>IF(#REF!&lt;=15,"Low Charges",
IF(#REF!&lt;=20,"Medium Charges","High Charges"))</f>
        <v>#REF!</v>
      </c>
      <c r="AB498" t="e">
        <f>IF(AND(#REF!&gt;180, #REF!&gt;200), "Heavy Doemstic User", IF(#REF!&gt;10, "Interntional User", IF(AND(#REF!&lt;180, #REF!&lt;200,#REF!&lt;200), "Light User", "Balanced User")))</f>
        <v>#REF!</v>
      </c>
      <c r="AC498" t="e">
        <f>IF(#REF! = 0, "No Usage", IF(#REF! &lt;= 20, "Low Usage", IF(#REF! &lt;= 40, "Medium Usgae", "High Usage")))</f>
        <v>#REF!</v>
      </c>
      <c r="AD498" t="e">
        <f>IF(#REF!&lt;=150,"Low Usage", IF(#REF!&lt;=200,"Medium Usage", IF(#REF!&lt;=250,"High Usage","Very High Usage")))</f>
        <v>#REF!</v>
      </c>
      <c r="AE498" t="e">
        <f>IF(#REF!&lt;=5,"Low Calls", IF(#REF!&lt;=10, "Medium Calls", "High Calls"))</f>
        <v>#REF!</v>
      </c>
      <c r="AF498" t="e">
        <f xml:space="preserve">
IF(#REF!&gt;=4,4,0)+
IF(#REF!="yes",3,0)+
IF(#REF!="High Charges",3,0)+
IF(#REF!&gt;250,4,0)+
IF(#REF!="no",1,0)+
IF(#REF!="Heavy Domestic User",2,0)</f>
        <v>#REF!</v>
      </c>
      <c r="AG498" t="e">
        <f>IF(#REF!&gt;=10,"High Risk", IF(#REF!&gt;=5,"Medium Risk","Low Risk"))</f>
        <v>#REF!</v>
      </c>
      <c r="AH498" t="e">
        <f>#REF! + #REF! + #REF! + #REF!</f>
        <v>#REF!</v>
      </c>
    </row>
    <row r="499" spans="1:34" x14ac:dyDescent="0.35">
      <c r="A499">
        <v>498</v>
      </c>
      <c r="B499" t="s">
        <v>31</v>
      </c>
      <c r="C499">
        <v>143</v>
      </c>
      <c r="D499" t="s">
        <v>28</v>
      </c>
      <c r="E499" t="s">
        <v>22</v>
      </c>
      <c r="F499" t="s">
        <v>22</v>
      </c>
      <c r="G499">
        <v>0</v>
      </c>
      <c r="H499">
        <v>202.8</v>
      </c>
      <c r="I499">
        <v>109</v>
      </c>
      <c r="J499">
        <v>34.479999999999997</v>
      </c>
      <c r="K499">
        <v>165.8</v>
      </c>
      <c r="L499">
        <v>104</v>
      </c>
      <c r="M499">
        <v>14.09</v>
      </c>
      <c r="N499">
        <v>143.9</v>
      </c>
      <c r="O499">
        <v>71</v>
      </c>
      <c r="P499">
        <v>6.48</v>
      </c>
      <c r="Q499">
        <v>4.5999999999999996</v>
      </c>
      <c r="R499">
        <v>4</v>
      </c>
      <c r="S499">
        <v>1.24</v>
      </c>
      <c r="T499">
        <v>1</v>
      </c>
      <c r="U499" t="s">
        <v>22</v>
      </c>
      <c r="V499" t="e">
        <f>IF(#REF! = "yes", 1, 0)</f>
        <v>#REF!</v>
      </c>
      <c r="W499" t="e">
        <f>IF(#REF! &lt;= 1, "0-1 Calls", IF(#REF! &lt;= 3, "2-3 Calls", IF(#REF! &lt;=5, "4-5 Calls", "6+ Calls")))</f>
        <v>#REF!</v>
      </c>
      <c r="X499" t="e">
        <f>IF(#REF! &lt;= 50, "0-50", IF(#REF! &lt;=100, "51-100", IF(#REF! &lt;= 150, "101-150", "151+")))</f>
        <v>#REF!</v>
      </c>
      <c r="Y499" t="e">
        <f>IF(#REF! &lt;= 3, "Low Charges", "High Charges")</f>
        <v>#REF!</v>
      </c>
      <c r="Z499" t="e">
        <f>IF(#REF!&lt;=80,"Low Calls",
IF(#REF!&lt;=120,"Medium Calls","High Calls"))</f>
        <v>#REF!</v>
      </c>
      <c r="AA499" t="e">
        <f>IF(#REF!&lt;=15,"Low Charges",
IF(#REF!&lt;=20,"Medium Charges","High Charges"))</f>
        <v>#REF!</v>
      </c>
      <c r="AB499" t="e">
        <f>IF(AND(#REF!&gt;180, #REF!&gt;200), "Heavy Doemstic User", IF(#REF!&gt;10, "Interntional User", IF(AND(#REF!&lt;180, #REF!&lt;200,#REF!&lt;200), "Light User", "Balanced User")))</f>
        <v>#REF!</v>
      </c>
      <c r="AC499" t="e">
        <f>IF(#REF! = 0, "No Usage", IF(#REF! &lt;= 20, "Low Usage", IF(#REF! &lt;= 40, "Medium Usgae", "High Usage")))</f>
        <v>#REF!</v>
      </c>
      <c r="AD499" t="e">
        <f>IF(#REF!&lt;=150,"Low Usage", IF(#REF!&lt;=200,"Medium Usage", IF(#REF!&lt;=250,"High Usage","Very High Usage")))</f>
        <v>#REF!</v>
      </c>
      <c r="AE499" t="e">
        <f>IF(#REF!&lt;=5,"Low Calls", IF(#REF!&lt;=10, "Medium Calls", "High Calls"))</f>
        <v>#REF!</v>
      </c>
      <c r="AF499" t="e">
        <f xml:space="preserve">
IF(#REF!&gt;=4,4,0)+
IF(#REF!="yes",3,0)+
IF(#REF!="High Charges",3,0)+
IF(#REF!&gt;250,4,0)+
IF(#REF!="no",1,0)+
IF(#REF!="Heavy Domestic User",2,0)</f>
        <v>#REF!</v>
      </c>
      <c r="AG499" t="e">
        <f>IF(#REF!&gt;=10,"High Risk", IF(#REF!&gt;=5,"Medium Risk","Low Risk"))</f>
        <v>#REF!</v>
      </c>
      <c r="AH499" t="e">
        <f>#REF! + #REF! + #REF! + #REF!</f>
        <v>#REF!</v>
      </c>
    </row>
    <row r="500" spans="1:34" x14ac:dyDescent="0.35">
      <c r="A500">
        <v>499</v>
      </c>
      <c r="B500" t="s">
        <v>53</v>
      </c>
      <c r="C500">
        <v>53</v>
      </c>
      <c r="D500" t="s">
        <v>21</v>
      </c>
      <c r="E500" t="s">
        <v>22</v>
      </c>
      <c r="F500" t="s">
        <v>22</v>
      </c>
      <c r="G500">
        <v>0</v>
      </c>
      <c r="H500">
        <v>57.5</v>
      </c>
      <c r="I500">
        <v>95</v>
      </c>
      <c r="J500">
        <v>9.7799999999999994</v>
      </c>
      <c r="K500">
        <v>265.5</v>
      </c>
      <c r="L500">
        <v>131</v>
      </c>
      <c r="M500">
        <v>22.57</v>
      </c>
      <c r="N500">
        <v>244.3</v>
      </c>
      <c r="O500">
        <v>128</v>
      </c>
      <c r="P500">
        <v>10.99</v>
      </c>
      <c r="Q500">
        <v>11.6</v>
      </c>
      <c r="R500">
        <v>6</v>
      </c>
      <c r="S500">
        <v>3.13</v>
      </c>
      <c r="T500">
        <v>3</v>
      </c>
      <c r="U500" t="s">
        <v>22</v>
      </c>
      <c r="V500" t="e">
        <f>IF(#REF! = "yes", 1, 0)</f>
        <v>#REF!</v>
      </c>
      <c r="W500" t="e">
        <f>IF(#REF! &lt;= 1, "0-1 Calls", IF(#REF! &lt;= 3, "2-3 Calls", IF(#REF! &lt;=5, "4-5 Calls", "6+ Calls")))</f>
        <v>#REF!</v>
      </c>
      <c r="X500" t="e">
        <f>IF(#REF! &lt;= 50, "0-50", IF(#REF! &lt;=100, "51-100", IF(#REF! &lt;= 150, "101-150", "151+")))</f>
        <v>#REF!</v>
      </c>
      <c r="Y500" t="e">
        <f>IF(#REF! &lt;= 3, "Low Charges", "High Charges")</f>
        <v>#REF!</v>
      </c>
      <c r="Z500" t="e">
        <f>IF(#REF!&lt;=80,"Low Calls",
IF(#REF!&lt;=120,"Medium Calls","High Calls"))</f>
        <v>#REF!</v>
      </c>
      <c r="AA500" t="e">
        <f>IF(#REF!&lt;=15,"Low Charges",
IF(#REF!&lt;=20,"Medium Charges","High Charges"))</f>
        <v>#REF!</v>
      </c>
      <c r="AB500" t="e">
        <f>IF(AND(#REF!&gt;180, #REF!&gt;200), "Heavy Doemstic User", IF(#REF!&gt;10, "Interntional User", IF(AND(#REF!&lt;180, #REF!&lt;200,#REF!&lt;200), "Light User", "Balanced User")))</f>
        <v>#REF!</v>
      </c>
      <c r="AC500" t="e">
        <f>IF(#REF! = 0, "No Usage", IF(#REF! &lt;= 20, "Low Usage", IF(#REF! &lt;= 40, "Medium Usgae", "High Usage")))</f>
        <v>#REF!</v>
      </c>
      <c r="AD500" t="e">
        <f>IF(#REF!&lt;=150,"Low Usage", IF(#REF!&lt;=200,"Medium Usage", IF(#REF!&lt;=250,"High Usage","Very High Usage")))</f>
        <v>#REF!</v>
      </c>
      <c r="AE500" t="e">
        <f>IF(#REF!&lt;=5,"Low Calls", IF(#REF!&lt;=10, "Medium Calls", "High Calls"))</f>
        <v>#REF!</v>
      </c>
      <c r="AF500" t="e">
        <f xml:space="preserve">
IF(#REF!&gt;=4,4,0)+
IF(#REF!="yes",3,0)+
IF(#REF!="High Charges",3,0)+
IF(#REF!&gt;250,4,0)+
IF(#REF!="no",1,0)+
IF(#REF!="Heavy Domestic User",2,0)</f>
        <v>#REF!</v>
      </c>
      <c r="AG500" t="e">
        <f>IF(#REF!&gt;=10,"High Risk", IF(#REF!&gt;=5,"Medium Risk","Low Risk"))</f>
        <v>#REF!</v>
      </c>
      <c r="AH500" t="e">
        <f>#REF! + #REF! + #REF! + #REF!</f>
        <v>#REF!</v>
      </c>
    </row>
    <row r="501" spans="1:34" x14ac:dyDescent="0.35">
      <c r="A501">
        <v>500</v>
      </c>
      <c r="B501" t="s">
        <v>61</v>
      </c>
      <c r="C501">
        <v>30</v>
      </c>
      <c r="D501" t="s">
        <v>21</v>
      </c>
      <c r="E501" t="s">
        <v>22</v>
      </c>
      <c r="F501" t="s">
        <v>22</v>
      </c>
      <c r="G501">
        <v>0</v>
      </c>
      <c r="H501">
        <v>169.9</v>
      </c>
      <c r="I501">
        <v>144</v>
      </c>
      <c r="J501">
        <v>28.88</v>
      </c>
      <c r="K501">
        <v>225.2</v>
      </c>
      <c r="L501">
        <v>118</v>
      </c>
      <c r="M501">
        <v>19.14</v>
      </c>
      <c r="N501">
        <v>169.7</v>
      </c>
      <c r="O501">
        <v>93</v>
      </c>
      <c r="P501">
        <v>7.64</v>
      </c>
      <c r="Q501">
        <v>11.4</v>
      </c>
      <c r="R501">
        <v>7</v>
      </c>
      <c r="S501">
        <v>3.08</v>
      </c>
      <c r="T501">
        <v>1</v>
      </c>
      <c r="U501" t="s">
        <v>22</v>
      </c>
      <c r="V501" t="e">
        <f>IF(#REF! = "yes", 1, 0)</f>
        <v>#REF!</v>
      </c>
      <c r="W501" t="e">
        <f>IF(#REF! &lt;= 1, "0-1 Calls", IF(#REF! &lt;= 3, "2-3 Calls", IF(#REF! &lt;=5, "4-5 Calls", "6+ Calls")))</f>
        <v>#REF!</v>
      </c>
      <c r="X501" t="e">
        <f>IF(#REF! &lt;= 50, "0-50", IF(#REF! &lt;=100, "51-100", IF(#REF! &lt;= 150, "101-150", "151+")))</f>
        <v>#REF!</v>
      </c>
      <c r="Y501" t="e">
        <f>IF(#REF! &lt;= 3, "Low Charges", "High Charges")</f>
        <v>#REF!</v>
      </c>
      <c r="Z501" t="e">
        <f>IF(#REF!&lt;=80,"Low Calls",
IF(#REF!&lt;=120,"Medium Calls","High Calls"))</f>
        <v>#REF!</v>
      </c>
      <c r="AA501" t="e">
        <f>IF(#REF!&lt;=15,"Low Charges",
IF(#REF!&lt;=20,"Medium Charges","High Charges"))</f>
        <v>#REF!</v>
      </c>
      <c r="AB501" t="e">
        <f>IF(AND(#REF!&gt;180, #REF!&gt;200), "Heavy Doemstic User", IF(#REF!&gt;10, "Interntional User", IF(AND(#REF!&lt;180, #REF!&lt;200,#REF!&lt;200), "Light User", "Balanced User")))</f>
        <v>#REF!</v>
      </c>
      <c r="AC501" t="e">
        <f>IF(#REF! = 0, "No Usage", IF(#REF! &lt;= 20, "Low Usage", IF(#REF! &lt;= 40, "Medium Usgae", "High Usage")))</f>
        <v>#REF!</v>
      </c>
      <c r="AD501" t="e">
        <f>IF(#REF!&lt;=150,"Low Usage", IF(#REF!&lt;=200,"Medium Usage", IF(#REF!&lt;=250,"High Usage","Very High Usage")))</f>
        <v>#REF!</v>
      </c>
      <c r="AE501" t="e">
        <f>IF(#REF!&lt;=5,"Low Calls", IF(#REF!&lt;=10, "Medium Calls", "High Calls"))</f>
        <v>#REF!</v>
      </c>
      <c r="AF501" t="e">
        <f xml:space="preserve">
IF(#REF!&gt;=4,4,0)+
IF(#REF!="yes",3,0)+
IF(#REF!="High Charges",3,0)+
IF(#REF!&gt;250,4,0)+
IF(#REF!="no",1,0)+
IF(#REF!="Heavy Domestic User",2,0)</f>
        <v>#REF!</v>
      </c>
      <c r="AG501" t="e">
        <f>IF(#REF!&gt;=10,"High Risk", IF(#REF!&gt;=5,"Medium Risk","Low Risk"))</f>
        <v>#REF!</v>
      </c>
      <c r="AH501" t="e">
        <f>#REF! + #REF! + #REF! + #REF!</f>
        <v>#REF!</v>
      </c>
    </row>
    <row r="502" spans="1:34" x14ac:dyDescent="0.35">
      <c r="A502">
        <v>501</v>
      </c>
      <c r="B502" t="s">
        <v>29</v>
      </c>
      <c r="C502">
        <v>112</v>
      </c>
      <c r="D502" t="s">
        <v>21</v>
      </c>
      <c r="E502" t="s">
        <v>22</v>
      </c>
      <c r="F502" t="s">
        <v>22</v>
      </c>
      <c r="G502">
        <v>0</v>
      </c>
      <c r="H502">
        <v>335.5</v>
      </c>
      <c r="I502">
        <v>77</v>
      </c>
      <c r="J502">
        <v>57.04</v>
      </c>
      <c r="K502">
        <v>212.5</v>
      </c>
      <c r="L502">
        <v>109</v>
      </c>
      <c r="M502">
        <v>18.059999999999999</v>
      </c>
      <c r="N502">
        <v>265</v>
      </c>
      <c r="O502">
        <v>132</v>
      </c>
      <c r="P502">
        <v>11.93</v>
      </c>
      <c r="Q502">
        <v>12.7</v>
      </c>
      <c r="R502">
        <v>8</v>
      </c>
      <c r="S502">
        <v>3.43</v>
      </c>
      <c r="T502">
        <v>2</v>
      </c>
      <c r="U502" t="s">
        <v>23</v>
      </c>
      <c r="V502" t="e">
        <f>IF(#REF! = "yes", 1, 0)</f>
        <v>#REF!</v>
      </c>
      <c r="W502" t="e">
        <f>IF(#REF! &lt;= 1, "0-1 Calls", IF(#REF! &lt;= 3, "2-3 Calls", IF(#REF! &lt;=5, "4-5 Calls", "6+ Calls")))</f>
        <v>#REF!</v>
      </c>
      <c r="X502" t="e">
        <f>IF(#REF! &lt;= 50, "0-50", IF(#REF! &lt;=100, "51-100", IF(#REF! &lt;= 150, "101-150", "151+")))</f>
        <v>#REF!</v>
      </c>
      <c r="Y502" t="e">
        <f>IF(#REF! &lt;= 3, "Low Charges", "High Charges")</f>
        <v>#REF!</v>
      </c>
      <c r="Z502" t="e">
        <f>IF(#REF!&lt;=80,"Low Calls",
IF(#REF!&lt;=120,"Medium Calls","High Calls"))</f>
        <v>#REF!</v>
      </c>
      <c r="AA502" t="e">
        <f>IF(#REF!&lt;=15,"Low Charges",
IF(#REF!&lt;=20,"Medium Charges","High Charges"))</f>
        <v>#REF!</v>
      </c>
      <c r="AB502" t="e">
        <f>IF(AND(#REF!&gt;180, #REF!&gt;200), "Heavy Doemstic User", IF(#REF!&gt;10, "Interntional User", IF(AND(#REF!&lt;180, #REF!&lt;200,#REF!&lt;200), "Light User", "Balanced User")))</f>
        <v>#REF!</v>
      </c>
      <c r="AC502" t="e">
        <f>IF(#REF! = 0, "No Usage", IF(#REF! &lt;= 20, "Low Usage", IF(#REF! &lt;= 40, "Medium Usgae", "High Usage")))</f>
        <v>#REF!</v>
      </c>
      <c r="AD502" t="e">
        <f>IF(#REF!&lt;=150,"Low Usage", IF(#REF!&lt;=200,"Medium Usage", IF(#REF!&lt;=250,"High Usage","Very High Usage")))</f>
        <v>#REF!</v>
      </c>
      <c r="AE502" t="e">
        <f>IF(#REF!&lt;=5,"Low Calls", IF(#REF!&lt;=10, "Medium Calls", "High Calls"))</f>
        <v>#REF!</v>
      </c>
      <c r="AF502" t="e">
        <f xml:space="preserve">
IF(#REF!&gt;=4,4,0)+
IF(#REF!="yes",3,0)+
IF(#REF!="High Charges",3,0)+
IF(#REF!&gt;250,4,0)+
IF(#REF!="no",1,0)+
IF(#REF!="Heavy Domestic User",2,0)</f>
        <v>#REF!</v>
      </c>
      <c r="AG502" t="e">
        <f>IF(#REF!&gt;=10,"High Risk", IF(#REF!&gt;=5,"Medium Risk","Low Risk"))</f>
        <v>#REF!</v>
      </c>
      <c r="AH502" t="e">
        <f>#REF! + #REF! + #REF! + #REF!</f>
        <v>#REF!</v>
      </c>
    </row>
    <row r="503" spans="1:34" x14ac:dyDescent="0.35">
      <c r="A503">
        <v>502</v>
      </c>
      <c r="B503" t="s">
        <v>33</v>
      </c>
      <c r="C503">
        <v>129</v>
      </c>
      <c r="D503" t="s">
        <v>21</v>
      </c>
      <c r="E503" t="s">
        <v>22</v>
      </c>
      <c r="F503" t="s">
        <v>22</v>
      </c>
      <c r="G503">
        <v>0</v>
      </c>
      <c r="H503">
        <v>139.5</v>
      </c>
      <c r="I503">
        <v>119</v>
      </c>
      <c r="J503">
        <v>23.72</v>
      </c>
      <c r="K503">
        <v>289.3</v>
      </c>
      <c r="L503">
        <v>105</v>
      </c>
      <c r="M503">
        <v>24.59</v>
      </c>
      <c r="N503">
        <v>129.4</v>
      </c>
      <c r="O503">
        <v>97</v>
      </c>
      <c r="P503">
        <v>5.82</v>
      </c>
      <c r="Q503">
        <v>13.1</v>
      </c>
      <c r="R503">
        <v>8</v>
      </c>
      <c r="S503">
        <v>3.54</v>
      </c>
      <c r="T503">
        <v>0</v>
      </c>
      <c r="U503" t="s">
        <v>22</v>
      </c>
      <c r="V503" t="e">
        <f>IF(#REF! = "yes", 1, 0)</f>
        <v>#REF!</v>
      </c>
      <c r="W503" t="e">
        <f>IF(#REF! &lt;= 1, "0-1 Calls", IF(#REF! &lt;= 3, "2-3 Calls", IF(#REF! &lt;=5, "4-5 Calls", "6+ Calls")))</f>
        <v>#REF!</v>
      </c>
      <c r="X503" t="e">
        <f>IF(#REF! &lt;= 50, "0-50", IF(#REF! &lt;=100, "51-100", IF(#REF! &lt;= 150, "101-150", "151+")))</f>
        <v>#REF!</v>
      </c>
      <c r="Y503" t="e">
        <f>IF(#REF! &lt;= 3, "Low Charges", "High Charges")</f>
        <v>#REF!</v>
      </c>
      <c r="Z503" t="e">
        <f>IF(#REF!&lt;=80,"Low Calls",
IF(#REF!&lt;=120,"Medium Calls","High Calls"))</f>
        <v>#REF!</v>
      </c>
      <c r="AA503" t="e">
        <f>IF(#REF!&lt;=15,"Low Charges",
IF(#REF!&lt;=20,"Medium Charges","High Charges"))</f>
        <v>#REF!</v>
      </c>
      <c r="AB503" t="e">
        <f>IF(AND(#REF!&gt;180, #REF!&gt;200), "Heavy Doemstic User", IF(#REF!&gt;10, "Interntional User", IF(AND(#REF!&lt;180, #REF!&lt;200,#REF!&lt;200), "Light User", "Balanced User")))</f>
        <v>#REF!</v>
      </c>
      <c r="AC503" t="e">
        <f>IF(#REF! = 0, "No Usage", IF(#REF! &lt;= 20, "Low Usage", IF(#REF! &lt;= 40, "Medium Usgae", "High Usage")))</f>
        <v>#REF!</v>
      </c>
      <c r="AD503" t="e">
        <f>IF(#REF!&lt;=150,"Low Usage", IF(#REF!&lt;=200,"Medium Usage", IF(#REF!&lt;=250,"High Usage","Very High Usage")))</f>
        <v>#REF!</v>
      </c>
      <c r="AE503" t="e">
        <f>IF(#REF!&lt;=5,"Low Calls", IF(#REF!&lt;=10, "Medium Calls", "High Calls"))</f>
        <v>#REF!</v>
      </c>
      <c r="AF503" t="e">
        <f xml:space="preserve">
IF(#REF!&gt;=4,4,0)+
IF(#REF!="yes",3,0)+
IF(#REF!="High Charges",3,0)+
IF(#REF!&gt;250,4,0)+
IF(#REF!="no",1,0)+
IF(#REF!="Heavy Domestic User",2,0)</f>
        <v>#REF!</v>
      </c>
      <c r="AG503" t="e">
        <f>IF(#REF!&gt;=10,"High Risk", IF(#REF!&gt;=5,"Medium Risk","Low Risk"))</f>
        <v>#REF!</v>
      </c>
      <c r="AH503" t="e">
        <f>#REF! + #REF! + #REF! + #REF!</f>
        <v>#REF!</v>
      </c>
    </row>
    <row r="504" spans="1:34" x14ac:dyDescent="0.35">
      <c r="A504">
        <v>503</v>
      </c>
      <c r="B504" t="s">
        <v>58</v>
      </c>
      <c r="C504">
        <v>63</v>
      </c>
      <c r="D504" t="s">
        <v>21</v>
      </c>
      <c r="E504" t="s">
        <v>22</v>
      </c>
      <c r="F504" t="s">
        <v>23</v>
      </c>
      <c r="G504">
        <v>29</v>
      </c>
      <c r="H504">
        <v>142.30000000000001</v>
      </c>
      <c r="I504">
        <v>107</v>
      </c>
      <c r="J504">
        <v>24.19</v>
      </c>
      <c r="K504">
        <v>118.7</v>
      </c>
      <c r="L504">
        <v>56</v>
      </c>
      <c r="M504">
        <v>10.09</v>
      </c>
      <c r="N504">
        <v>240.1</v>
      </c>
      <c r="O504">
        <v>91</v>
      </c>
      <c r="P504">
        <v>10.8</v>
      </c>
      <c r="Q504">
        <v>6.6</v>
      </c>
      <c r="R504">
        <v>8</v>
      </c>
      <c r="S504">
        <v>1.78</v>
      </c>
      <c r="T504">
        <v>1</v>
      </c>
      <c r="U504" t="s">
        <v>22</v>
      </c>
      <c r="V504" t="e">
        <f>IF(#REF! = "yes", 1, 0)</f>
        <v>#REF!</v>
      </c>
      <c r="W504" t="e">
        <f>IF(#REF! &lt;= 1, "0-1 Calls", IF(#REF! &lt;= 3, "2-3 Calls", IF(#REF! &lt;=5, "4-5 Calls", "6+ Calls")))</f>
        <v>#REF!</v>
      </c>
      <c r="X504" t="e">
        <f>IF(#REF! &lt;= 50, "0-50", IF(#REF! &lt;=100, "51-100", IF(#REF! &lt;= 150, "101-150", "151+")))</f>
        <v>#REF!</v>
      </c>
      <c r="Y504" t="e">
        <f>IF(#REF! &lt;= 3, "Low Charges", "High Charges")</f>
        <v>#REF!</v>
      </c>
      <c r="Z504" t="e">
        <f>IF(#REF!&lt;=80,"Low Calls",
IF(#REF!&lt;=120,"Medium Calls","High Calls"))</f>
        <v>#REF!</v>
      </c>
      <c r="AA504" t="e">
        <f>IF(#REF!&lt;=15,"Low Charges",
IF(#REF!&lt;=20,"Medium Charges","High Charges"))</f>
        <v>#REF!</v>
      </c>
      <c r="AB504" t="e">
        <f>IF(AND(#REF!&gt;180, #REF!&gt;200), "Heavy Doemstic User", IF(#REF!&gt;10, "Interntional User", IF(AND(#REF!&lt;180, #REF!&lt;200,#REF!&lt;200), "Light User", "Balanced User")))</f>
        <v>#REF!</v>
      </c>
      <c r="AC504" t="e">
        <f>IF(#REF! = 0, "No Usage", IF(#REF! &lt;= 20, "Low Usage", IF(#REF! &lt;= 40, "Medium Usgae", "High Usage")))</f>
        <v>#REF!</v>
      </c>
      <c r="AD504" t="e">
        <f>IF(#REF!&lt;=150,"Low Usage", IF(#REF!&lt;=200,"Medium Usage", IF(#REF!&lt;=250,"High Usage","Very High Usage")))</f>
        <v>#REF!</v>
      </c>
      <c r="AE504" t="e">
        <f>IF(#REF!&lt;=5,"Low Calls", IF(#REF!&lt;=10, "Medium Calls", "High Calls"))</f>
        <v>#REF!</v>
      </c>
      <c r="AF504" t="e">
        <f xml:space="preserve">
IF(#REF!&gt;=4,4,0)+
IF(#REF!="yes",3,0)+
IF(#REF!="High Charges",3,0)+
IF(#REF!&gt;250,4,0)+
IF(#REF!="no",1,0)+
IF(#REF!="Heavy Domestic User",2,0)</f>
        <v>#REF!</v>
      </c>
      <c r="AG504" t="e">
        <f>IF(#REF!&gt;=10,"High Risk", IF(#REF!&gt;=5,"Medium Risk","Low Risk"))</f>
        <v>#REF!</v>
      </c>
      <c r="AH504" t="e">
        <f>#REF! + #REF! + #REF! + #REF!</f>
        <v>#REF!</v>
      </c>
    </row>
    <row r="505" spans="1:34" x14ac:dyDescent="0.35">
      <c r="A505">
        <v>504</v>
      </c>
      <c r="B505" t="s">
        <v>44</v>
      </c>
      <c r="C505">
        <v>28</v>
      </c>
      <c r="D505" t="s">
        <v>21</v>
      </c>
      <c r="E505" t="s">
        <v>22</v>
      </c>
      <c r="F505" t="s">
        <v>22</v>
      </c>
      <c r="G505">
        <v>0</v>
      </c>
      <c r="H505">
        <v>187.8</v>
      </c>
      <c r="I505">
        <v>94</v>
      </c>
      <c r="J505">
        <v>31.93</v>
      </c>
      <c r="K505">
        <v>248.6</v>
      </c>
      <c r="L505">
        <v>86</v>
      </c>
      <c r="M505">
        <v>21.13</v>
      </c>
      <c r="N505">
        <v>208.8</v>
      </c>
      <c r="O505">
        <v>124</v>
      </c>
      <c r="P505">
        <v>9.4</v>
      </c>
      <c r="Q505">
        <v>10.6</v>
      </c>
      <c r="R505">
        <v>5</v>
      </c>
      <c r="S505">
        <v>2.86</v>
      </c>
      <c r="T505">
        <v>0</v>
      </c>
      <c r="U505" t="s">
        <v>22</v>
      </c>
      <c r="V505" t="e">
        <f>IF(#REF! = "yes", 1, 0)</f>
        <v>#REF!</v>
      </c>
      <c r="W505" t="e">
        <f>IF(#REF! &lt;= 1, "0-1 Calls", IF(#REF! &lt;= 3, "2-3 Calls", IF(#REF! &lt;=5, "4-5 Calls", "6+ Calls")))</f>
        <v>#REF!</v>
      </c>
      <c r="X505" t="e">
        <f>IF(#REF! &lt;= 50, "0-50", IF(#REF! &lt;=100, "51-100", IF(#REF! &lt;= 150, "101-150", "151+")))</f>
        <v>#REF!</v>
      </c>
      <c r="Y505" t="e">
        <f>IF(#REF! &lt;= 3, "Low Charges", "High Charges")</f>
        <v>#REF!</v>
      </c>
      <c r="Z505" t="e">
        <f>IF(#REF!&lt;=80,"Low Calls",
IF(#REF!&lt;=120,"Medium Calls","High Calls"))</f>
        <v>#REF!</v>
      </c>
      <c r="AA505" t="e">
        <f>IF(#REF!&lt;=15,"Low Charges",
IF(#REF!&lt;=20,"Medium Charges","High Charges"))</f>
        <v>#REF!</v>
      </c>
      <c r="AB505" t="e">
        <f>IF(AND(#REF!&gt;180, #REF!&gt;200), "Heavy Doemstic User", IF(#REF!&gt;10, "Interntional User", IF(AND(#REF!&lt;180, #REF!&lt;200,#REF!&lt;200), "Light User", "Balanced User")))</f>
        <v>#REF!</v>
      </c>
      <c r="AC505" t="e">
        <f>IF(#REF! = 0, "No Usage", IF(#REF! &lt;= 20, "Low Usage", IF(#REF! &lt;= 40, "Medium Usgae", "High Usage")))</f>
        <v>#REF!</v>
      </c>
      <c r="AD505" t="e">
        <f>IF(#REF!&lt;=150,"Low Usage", IF(#REF!&lt;=200,"Medium Usage", IF(#REF!&lt;=250,"High Usage","Very High Usage")))</f>
        <v>#REF!</v>
      </c>
      <c r="AE505" t="e">
        <f>IF(#REF!&lt;=5,"Low Calls", IF(#REF!&lt;=10, "Medium Calls", "High Calls"))</f>
        <v>#REF!</v>
      </c>
      <c r="AF505" t="e">
        <f xml:space="preserve">
IF(#REF!&gt;=4,4,0)+
IF(#REF!="yes",3,0)+
IF(#REF!="High Charges",3,0)+
IF(#REF!&gt;250,4,0)+
IF(#REF!="no",1,0)+
IF(#REF!="Heavy Domestic User",2,0)</f>
        <v>#REF!</v>
      </c>
      <c r="AG505" t="e">
        <f>IF(#REF!&gt;=10,"High Risk", IF(#REF!&gt;=5,"Medium Risk","Low Risk"))</f>
        <v>#REF!</v>
      </c>
      <c r="AH505" t="e">
        <f>#REF! + #REF! + #REF! + #REF!</f>
        <v>#REF!</v>
      </c>
    </row>
    <row r="506" spans="1:34" x14ac:dyDescent="0.35">
      <c r="A506">
        <v>505</v>
      </c>
      <c r="B506" t="s">
        <v>65</v>
      </c>
      <c r="C506">
        <v>90</v>
      </c>
      <c r="D506" t="s">
        <v>21</v>
      </c>
      <c r="E506" t="s">
        <v>22</v>
      </c>
      <c r="F506" t="s">
        <v>22</v>
      </c>
      <c r="G506">
        <v>0</v>
      </c>
      <c r="H506">
        <v>193.7</v>
      </c>
      <c r="I506">
        <v>83</v>
      </c>
      <c r="J506">
        <v>32.93</v>
      </c>
      <c r="K506">
        <v>154.19999999999999</v>
      </c>
      <c r="L506">
        <v>79</v>
      </c>
      <c r="M506">
        <v>13.11</v>
      </c>
      <c r="N506">
        <v>299</v>
      </c>
      <c r="O506">
        <v>60</v>
      </c>
      <c r="P506">
        <v>13.46</v>
      </c>
      <c r="Q506">
        <v>12.7</v>
      </c>
      <c r="R506">
        <v>3</v>
      </c>
      <c r="S506">
        <v>3.43</v>
      </c>
      <c r="T506">
        <v>1</v>
      </c>
      <c r="U506" t="s">
        <v>22</v>
      </c>
      <c r="V506" t="e">
        <f>IF(#REF! = "yes", 1, 0)</f>
        <v>#REF!</v>
      </c>
      <c r="W506" t="e">
        <f>IF(#REF! &lt;= 1, "0-1 Calls", IF(#REF! &lt;= 3, "2-3 Calls", IF(#REF! &lt;=5, "4-5 Calls", "6+ Calls")))</f>
        <v>#REF!</v>
      </c>
      <c r="X506" t="e">
        <f>IF(#REF! &lt;= 50, "0-50", IF(#REF! &lt;=100, "51-100", IF(#REF! &lt;= 150, "101-150", "151+")))</f>
        <v>#REF!</v>
      </c>
      <c r="Y506" t="e">
        <f>IF(#REF! &lt;= 3, "Low Charges", "High Charges")</f>
        <v>#REF!</v>
      </c>
      <c r="Z506" t="e">
        <f>IF(#REF!&lt;=80,"Low Calls",
IF(#REF!&lt;=120,"Medium Calls","High Calls"))</f>
        <v>#REF!</v>
      </c>
      <c r="AA506" t="e">
        <f>IF(#REF!&lt;=15,"Low Charges",
IF(#REF!&lt;=20,"Medium Charges","High Charges"))</f>
        <v>#REF!</v>
      </c>
      <c r="AB506" t="e">
        <f>IF(AND(#REF!&gt;180, #REF!&gt;200), "Heavy Doemstic User", IF(#REF!&gt;10, "Interntional User", IF(AND(#REF!&lt;180, #REF!&lt;200,#REF!&lt;200), "Light User", "Balanced User")))</f>
        <v>#REF!</v>
      </c>
      <c r="AC506" t="e">
        <f>IF(#REF! = 0, "No Usage", IF(#REF! &lt;= 20, "Low Usage", IF(#REF! &lt;= 40, "Medium Usgae", "High Usage")))</f>
        <v>#REF!</v>
      </c>
      <c r="AD506" t="e">
        <f>IF(#REF!&lt;=150,"Low Usage", IF(#REF!&lt;=200,"Medium Usage", IF(#REF!&lt;=250,"High Usage","Very High Usage")))</f>
        <v>#REF!</v>
      </c>
      <c r="AE506" t="e">
        <f>IF(#REF!&lt;=5,"Low Calls", IF(#REF!&lt;=10, "Medium Calls", "High Calls"))</f>
        <v>#REF!</v>
      </c>
      <c r="AF506" t="e">
        <f xml:space="preserve">
IF(#REF!&gt;=4,4,0)+
IF(#REF!="yes",3,0)+
IF(#REF!="High Charges",3,0)+
IF(#REF!&gt;250,4,0)+
IF(#REF!="no",1,0)+
IF(#REF!="Heavy Domestic User",2,0)</f>
        <v>#REF!</v>
      </c>
      <c r="AG506" t="e">
        <f>IF(#REF!&gt;=10,"High Risk", IF(#REF!&gt;=5,"Medium Risk","Low Risk"))</f>
        <v>#REF!</v>
      </c>
      <c r="AH506" t="e">
        <f>#REF! + #REF! + #REF! + #REF!</f>
        <v>#REF!</v>
      </c>
    </row>
    <row r="507" spans="1:34" x14ac:dyDescent="0.35">
      <c r="A507">
        <v>506</v>
      </c>
      <c r="B507" t="s">
        <v>52</v>
      </c>
      <c r="C507">
        <v>151</v>
      </c>
      <c r="D507" t="s">
        <v>28</v>
      </c>
      <c r="E507" t="s">
        <v>22</v>
      </c>
      <c r="F507" t="s">
        <v>22</v>
      </c>
      <c r="G507">
        <v>0</v>
      </c>
      <c r="H507">
        <v>156.4</v>
      </c>
      <c r="I507">
        <v>108</v>
      </c>
      <c r="J507">
        <v>26.59</v>
      </c>
      <c r="K507">
        <v>233.4</v>
      </c>
      <c r="L507">
        <v>118</v>
      </c>
      <c r="M507">
        <v>19.84</v>
      </c>
      <c r="N507">
        <v>195.7</v>
      </c>
      <c r="O507">
        <v>141</v>
      </c>
      <c r="P507">
        <v>8.81</v>
      </c>
      <c r="Q507">
        <v>7.7</v>
      </c>
      <c r="R507">
        <v>6</v>
      </c>
      <c r="S507">
        <v>2.08</v>
      </c>
      <c r="T507">
        <v>4</v>
      </c>
      <c r="U507" t="s">
        <v>22</v>
      </c>
      <c r="V507" t="e">
        <f>IF(#REF! = "yes", 1, 0)</f>
        <v>#REF!</v>
      </c>
      <c r="W507" t="e">
        <f>IF(#REF! &lt;= 1, "0-1 Calls", IF(#REF! &lt;= 3, "2-3 Calls", IF(#REF! &lt;=5, "4-5 Calls", "6+ Calls")))</f>
        <v>#REF!</v>
      </c>
      <c r="X507" t="e">
        <f>IF(#REF! &lt;= 50, "0-50", IF(#REF! &lt;=100, "51-100", IF(#REF! &lt;= 150, "101-150", "151+")))</f>
        <v>#REF!</v>
      </c>
      <c r="Y507" t="e">
        <f>IF(#REF! &lt;= 3, "Low Charges", "High Charges")</f>
        <v>#REF!</v>
      </c>
      <c r="Z507" t="e">
        <f>IF(#REF!&lt;=80,"Low Calls",
IF(#REF!&lt;=120,"Medium Calls","High Calls"))</f>
        <v>#REF!</v>
      </c>
      <c r="AA507" t="e">
        <f>IF(#REF!&lt;=15,"Low Charges",
IF(#REF!&lt;=20,"Medium Charges","High Charges"))</f>
        <v>#REF!</v>
      </c>
      <c r="AB507" t="e">
        <f>IF(AND(#REF!&gt;180, #REF!&gt;200), "Heavy Doemstic User", IF(#REF!&gt;10, "Interntional User", IF(AND(#REF!&lt;180, #REF!&lt;200,#REF!&lt;200), "Light User", "Balanced User")))</f>
        <v>#REF!</v>
      </c>
      <c r="AC507" t="e">
        <f>IF(#REF! = 0, "No Usage", IF(#REF! &lt;= 20, "Low Usage", IF(#REF! &lt;= 40, "Medium Usgae", "High Usage")))</f>
        <v>#REF!</v>
      </c>
      <c r="AD507" t="e">
        <f>IF(#REF!&lt;=150,"Low Usage", IF(#REF!&lt;=200,"Medium Usage", IF(#REF!&lt;=250,"High Usage","Very High Usage")))</f>
        <v>#REF!</v>
      </c>
      <c r="AE507" t="e">
        <f>IF(#REF!&lt;=5,"Low Calls", IF(#REF!&lt;=10, "Medium Calls", "High Calls"))</f>
        <v>#REF!</v>
      </c>
      <c r="AF507" t="e">
        <f xml:space="preserve">
IF(#REF!&gt;=4,4,0)+
IF(#REF!="yes",3,0)+
IF(#REF!="High Charges",3,0)+
IF(#REF!&gt;250,4,0)+
IF(#REF!="no",1,0)+
IF(#REF!="Heavy Domestic User",2,0)</f>
        <v>#REF!</v>
      </c>
      <c r="AG507" t="e">
        <f>IF(#REF!&gt;=10,"High Risk", IF(#REF!&gt;=5,"Medium Risk","Low Risk"))</f>
        <v>#REF!</v>
      </c>
      <c r="AH507" t="e">
        <f>#REF! + #REF! + #REF! + #REF!</f>
        <v>#REF!</v>
      </c>
    </row>
    <row r="508" spans="1:34" x14ac:dyDescent="0.35">
      <c r="A508">
        <v>507</v>
      </c>
      <c r="B508" t="s">
        <v>62</v>
      </c>
      <c r="C508">
        <v>105</v>
      </c>
      <c r="D508" t="s">
        <v>21</v>
      </c>
      <c r="E508" t="s">
        <v>23</v>
      </c>
      <c r="F508" t="s">
        <v>23</v>
      </c>
      <c r="G508">
        <v>29</v>
      </c>
      <c r="H508">
        <v>220.7</v>
      </c>
      <c r="I508">
        <v>82</v>
      </c>
      <c r="J508">
        <v>37.520000000000003</v>
      </c>
      <c r="K508">
        <v>217.7</v>
      </c>
      <c r="L508">
        <v>110</v>
      </c>
      <c r="M508">
        <v>18.5</v>
      </c>
      <c r="N508">
        <v>190.5</v>
      </c>
      <c r="O508">
        <v>100</v>
      </c>
      <c r="P508">
        <v>8.57</v>
      </c>
      <c r="Q508">
        <v>13.2</v>
      </c>
      <c r="R508">
        <v>6</v>
      </c>
      <c r="S508">
        <v>3.56</v>
      </c>
      <c r="T508">
        <v>1</v>
      </c>
      <c r="U508" t="s">
        <v>23</v>
      </c>
      <c r="V508" t="e">
        <f>IF(#REF! = "yes", 1, 0)</f>
        <v>#REF!</v>
      </c>
      <c r="W508" t="e">
        <f>IF(#REF! &lt;= 1, "0-1 Calls", IF(#REF! &lt;= 3, "2-3 Calls", IF(#REF! &lt;=5, "4-5 Calls", "6+ Calls")))</f>
        <v>#REF!</v>
      </c>
      <c r="X508" t="e">
        <f>IF(#REF! &lt;= 50, "0-50", IF(#REF! &lt;=100, "51-100", IF(#REF! &lt;= 150, "101-150", "151+")))</f>
        <v>#REF!</v>
      </c>
      <c r="Y508" t="e">
        <f>IF(#REF! &lt;= 3, "Low Charges", "High Charges")</f>
        <v>#REF!</v>
      </c>
      <c r="Z508" t="e">
        <f>IF(#REF!&lt;=80,"Low Calls",
IF(#REF!&lt;=120,"Medium Calls","High Calls"))</f>
        <v>#REF!</v>
      </c>
      <c r="AA508" t="e">
        <f>IF(#REF!&lt;=15,"Low Charges",
IF(#REF!&lt;=20,"Medium Charges","High Charges"))</f>
        <v>#REF!</v>
      </c>
      <c r="AB508" t="e">
        <f>IF(AND(#REF!&gt;180, #REF!&gt;200), "Heavy Doemstic User", IF(#REF!&gt;10, "Interntional User", IF(AND(#REF!&lt;180, #REF!&lt;200,#REF!&lt;200), "Light User", "Balanced User")))</f>
        <v>#REF!</v>
      </c>
      <c r="AC508" t="e">
        <f>IF(#REF! = 0, "No Usage", IF(#REF! &lt;= 20, "Low Usage", IF(#REF! &lt;= 40, "Medium Usgae", "High Usage")))</f>
        <v>#REF!</v>
      </c>
      <c r="AD508" t="e">
        <f>IF(#REF!&lt;=150,"Low Usage", IF(#REF!&lt;=200,"Medium Usage", IF(#REF!&lt;=250,"High Usage","Very High Usage")))</f>
        <v>#REF!</v>
      </c>
      <c r="AE508" t="e">
        <f>IF(#REF!&lt;=5,"Low Calls", IF(#REF!&lt;=10, "Medium Calls", "High Calls"))</f>
        <v>#REF!</v>
      </c>
      <c r="AF508" t="e">
        <f xml:space="preserve">
IF(#REF!&gt;=4,4,0)+
IF(#REF!="yes",3,0)+
IF(#REF!="High Charges",3,0)+
IF(#REF!&gt;250,4,0)+
IF(#REF!="no",1,0)+
IF(#REF!="Heavy Domestic User",2,0)</f>
        <v>#REF!</v>
      </c>
      <c r="AG508" t="e">
        <f>IF(#REF!&gt;=10,"High Risk", IF(#REF!&gt;=5,"Medium Risk","Low Risk"))</f>
        <v>#REF!</v>
      </c>
      <c r="AH508" t="e">
        <f>#REF! + #REF! + #REF! + #REF!</f>
        <v>#REF!</v>
      </c>
    </row>
    <row r="509" spans="1:34" x14ac:dyDescent="0.35">
      <c r="A509">
        <v>508</v>
      </c>
      <c r="B509" t="s">
        <v>63</v>
      </c>
      <c r="C509">
        <v>41</v>
      </c>
      <c r="D509" t="s">
        <v>25</v>
      </c>
      <c r="E509" t="s">
        <v>22</v>
      </c>
      <c r="F509" t="s">
        <v>23</v>
      </c>
      <c r="G509">
        <v>37</v>
      </c>
      <c r="H509">
        <v>239.8</v>
      </c>
      <c r="I509">
        <v>110</v>
      </c>
      <c r="J509">
        <v>40.770000000000003</v>
      </c>
      <c r="K509">
        <v>221.9</v>
      </c>
      <c r="L509">
        <v>115</v>
      </c>
      <c r="M509">
        <v>18.86</v>
      </c>
      <c r="N509">
        <v>189.1</v>
      </c>
      <c r="O509">
        <v>100</v>
      </c>
      <c r="P509">
        <v>8.51</v>
      </c>
      <c r="Q509">
        <v>7.3</v>
      </c>
      <c r="R509">
        <v>1</v>
      </c>
      <c r="S509">
        <v>1.97</v>
      </c>
      <c r="T509">
        <v>2</v>
      </c>
      <c r="U509" t="s">
        <v>22</v>
      </c>
      <c r="V509" t="e">
        <f>IF(#REF! = "yes", 1, 0)</f>
        <v>#REF!</v>
      </c>
      <c r="W509" t="e">
        <f>IF(#REF! &lt;= 1, "0-1 Calls", IF(#REF! &lt;= 3, "2-3 Calls", IF(#REF! &lt;=5, "4-5 Calls", "6+ Calls")))</f>
        <v>#REF!</v>
      </c>
      <c r="X509" t="e">
        <f>IF(#REF! &lt;= 50, "0-50", IF(#REF! &lt;=100, "51-100", IF(#REF! &lt;= 150, "101-150", "151+")))</f>
        <v>#REF!</v>
      </c>
      <c r="Y509" t="e">
        <f>IF(#REF! &lt;= 3, "Low Charges", "High Charges")</f>
        <v>#REF!</v>
      </c>
      <c r="Z509" t="e">
        <f>IF(#REF!&lt;=80,"Low Calls",
IF(#REF!&lt;=120,"Medium Calls","High Calls"))</f>
        <v>#REF!</v>
      </c>
      <c r="AA509" t="e">
        <f>IF(#REF!&lt;=15,"Low Charges",
IF(#REF!&lt;=20,"Medium Charges","High Charges"))</f>
        <v>#REF!</v>
      </c>
      <c r="AB509" t="e">
        <f>IF(AND(#REF!&gt;180, #REF!&gt;200), "Heavy Doemstic User", IF(#REF!&gt;10, "Interntional User", IF(AND(#REF!&lt;180, #REF!&lt;200,#REF!&lt;200), "Light User", "Balanced User")))</f>
        <v>#REF!</v>
      </c>
      <c r="AC509" t="e">
        <f>IF(#REF! = 0, "No Usage", IF(#REF! &lt;= 20, "Low Usage", IF(#REF! &lt;= 40, "Medium Usgae", "High Usage")))</f>
        <v>#REF!</v>
      </c>
      <c r="AD509" t="e">
        <f>IF(#REF!&lt;=150,"Low Usage", IF(#REF!&lt;=200,"Medium Usage", IF(#REF!&lt;=250,"High Usage","Very High Usage")))</f>
        <v>#REF!</v>
      </c>
      <c r="AE509" t="e">
        <f>IF(#REF!&lt;=5,"Low Calls", IF(#REF!&lt;=10, "Medium Calls", "High Calls"))</f>
        <v>#REF!</v>
      </c>
      <c r="AF509" t="e">
        <f xml:space="preserve">
IF(#REF!&gt;=4,4,0)+
IF(#REF!="yes",3,0)+
IF(#REF!="High Charges",3,0)+
IF(#REF!&gt;250,4,0)+
IF(#REF!="no",1,0)+
IF(#REF!="Heavy Domestic User",2,0)</f>
        <v>#REF!</v>
      </c>
      <c r="AG509" t="e">
        <f>IF(#REF!&gt;=10,"High Risk", IF(#REF!&gt;=5,"Medium Risk","Low Risk"))</f>
        <v>#REF!</v>
      </c>
      <c r="AH509" t="e">
        <f>#REF! + #REF! + #REF! + #REF!</f>
        <v>#REF!</v>
      </c>
    </row>
    <row r="510" spans="1:34" x14ac:dyDescent="0.35">
      <c r="A510">
        <v>509</v>
      </c>
      <c r="B510" t="s">
        <v>55</v>
      </c>
      <c r="C510">
        <v>48</v>
      </c>
      <c r="D510" t="s">
        <v>28</v>
      </c>
      <c r="E510" t="s">
        <v>22</v>
      </c>
      <c r="F510" t="s">
        <v>23</v>
      </c>
      <c r="G510">
        <v>43</v>
      </c>
      <c r="H510">
        <v>172</v>
      </c>
      <c r="I510">
        <v>111</v>
      </c>
      <c r="J510">
        <v>29.24</v>
      </c>
      <c r="K510">
        <v>200.2</v>
      </c>
      <c r="L510">
        <v>64</v>
      </c>
      <c r="M510">
        <v>17.02</v>
      </c>
      <c r="N510">
        <v>233.1</v>
      </c>
      <c r="O510">
        <v>96</v>
      </c>
      <c r="P510">
        <v>10.49</v>
      </c>
      <c r="Q510">
        <v>8</v>
      </c>
      <c r="R510">
        <v>5</v>
      </c>
      <c r="S510">
        <v>2.16</v>
      </c>
      <c r="T510">
        <v>1</v>
      </c>
      <c r="U510" t="s">
        <v>22</v>
      </c>
      <c r="V510" t="e">
        <f>IF(#REF! = "yes", 1, 0)</f>
        <v>#REF!</v>
      </c>
      <c r="W510" t="e">
        <f>IF(#REF! &lt;= 1, "0-1 Calls", IF(#REF! &lt;= 3, "2-3 Calls", IF(#REF! &lt;=5, "4-5 Calls", "6+ Calls")))</f>
        <v>#REF!</v>
      </c>
      <c r="X510" t="e">
        <f>IF(#REF! &lt;= 50, "0-50", IF(#REF! &lt;=100, "51-100", IF(#REF! &lt;= 150, "101-150", "151+")))</f>
        <v>#REF!</v>
      </c>
      <c r="Y510" t="e">
        <f>IF(#REF! &lt;= 3, "Low Charges", "High Charges")</f>
        <v>#REF!</v>
      </c>
      <c r="Z510" t="e">
        <f>IF(#REF!&lt;=80,"Low Calls",
IF(#REF!&lt;=120,"Medium Calls","High Calls"))</f>
        <v>#REF!</v>
      </c>
      <c r="AA510" t="e">
        <f>IF(#REF!&lt;=15,"Low Charges",
IF(#REF!&lt;=20,"Medium Charges","High Charges"))</f>
        <v>#REF!</v>
      </c>
      <c r="AB510" t="e">
        <f>IF(AND(#REF!&gt;180, #REF!&gt;200), "Heavy Doemstic User", IF(#REF!&gt;10, "Interntional User", IF(AND(#REF!&lt;180, #REF!&lt;200,#REF!&lt;200), "Light User", "Balanced User")))</f>
        <v>#REF!</v>
      </c>
      <c r="AC510" t="e">
        <f>IF(#REF! = 0, "No Usage", IF(#REF! &lt;= 20, "Low Usage", IF(#REF! &lt;= 40, "Medium Usgae", "High Usage")))</f>
        <v>#REF!</v>
      </c>
      <c r="AD510" t="e">
        <f>IF(#REF!&lt;=150,"Low Usage", IF(#REF!&lt;=200,"Medium Usage", IF(#REF!&lt;=250,"High Usage","Very High Usage")))</f>
        <v>#REF!</v>
      </c>
      <c r="AE510" t="e">
        <f>IF(#REF!&lt;=5,"Low Calls", IF(#REF!&lt;=10, "Medium Calls", "High Calls"))</f>
        <v>#REF!</v>
      </c>
      <c r="AF510" t="e">
        <f xml:space="preserve">
IF(#REF!&gt;=4,4,0)+
IF(#REF!="yes",3,0)+
IF(#REF!="High Charges",3,0)+
IF(#REF!&gt;250,4,0)+
IF(#REF!="no",1,0)+
IF(#REF!="Heavy Domestic User",2,0)</f>
        <v>#REF!</v>
      </c>
      <c r="AG510" t="e">
        <f>IF(#REF!&gt;=10,"High Risk", IF(#REF!&gt;=5,"Medium Risk","Low Risk"))</f>
        <v>#REF!</v>
      </c>
      <c r="AH510" t="e">
        <f>#REF! + #REF! + #REF! + #REF!</f>
        <v>#REF!</v>
      </c>
    </row>
    <row r="511" spans="1:34" x14ac:dyDescent="0.35">
      <c r="A511">
        <v>510</v>
      </c>
      <c r="B511" t="s">
        <v>59</v>
      </c>
      <c r="C511">
        <v>166</v>
      </c>
      <c r="D511" t="s">
        <v>25</v>
      </c>
      <c r="E511" t="s">
        <v>23</v>
      </c>
      <c r="F511" t="s">
        <v>23</v>
      </c>
      <c r="G511">
        <v>35</v>
      </c>
      <c r="H511">
        <v>128.19999999999999</v>
      </c>
      <c r="I511">
        <v>138</v>
      </c>
      <c r="J511">
        <v>21.79</v>
      </c>
      <c r="K511">
        <v>274.5</v>
      </c>
      <c r="L511">
        <v>113</v>
      </c>
      <c r="M511">
        <v>23.33</v>
      </c>
      <c r="N511">
        <v>298.89999999999998</v>
      </c>
      <c r="O511">
        <v>130</v>
      </c>
      <c r="P511">
        <v>13.45</v>
      </c>
      <c r="Q511">
        <v>8.8000000000000007</v>
      </c>
      <c r="R511">
        <v>7</v>
      </c>
      <c r="S511">
        <v>2.38</v>
      </c>
      <c r="T511">
        <v>2</v>
      </c>
      <c r="U511" t="s">
        <v>22</v>
      </c>
      <c r="V511" t="e">
        <f>IF(#REF! = "yes", 1, 0)</f>
        <v>#REF!</v>
      </c>
      <c r="W511" t="e">
        <f>IF(#REF! &lt;= 1, "0-1 Calls", IF(#REF! &lt;= 3, "2-3 Calls", IF(#REF! &lt;=5, "4-5 Calls", "6+ Calls")))</f>
        <v>#REF!</v>
      </c>
      <c r="X511" t="e">
        <f>IF(#REF! &lt;= 50, "0-50", IF(#REF! &lt;=100, "51-100", IF(#REF! &lt;= 150, "101-150", "151+")))</f>
        <v>#REF!</v>
      </c>
      <c r="Y511" t="e">
        <f>IF(#REF! &lt;= 3, "Low Charges", "High Charges")</f>
        <v>#REF!</v>
      </c>
      <c r="Z511" t="e">
        <f>IF(#REF!&lt;=80,"Low Calls",
IF(#REF!&lt;=120,"Medium Calls","High Calls"))</f>
        <v>#REF!</v>
      </c>
      <c r="AA511" t="e">
        <f>IF(#REF!&lt;=15,"Low Charges",
IF(#REF!&lt;=20,"Medium Charges","High Charges"))</f>
        <v>#REF!</v>
      </c>
      <c r="AB511" t="e">
        <f>IF(AND(#REF!&gt;180, #REF!&gt;200), "Heavy Doemstic User", IF(#REF!&gt;10, "Interntional User", IF(AND(#REF!&lt;180, #REF!&lt;200,#REF!&lt;200), "Light User", "Balanced User")))</f>
        <v>#REF!</v>
      </c>
      <c r="AC511" t="e">
        <f>IF(#REF! = 0, "No Usage", IF(#REF! &lt;= 20, "Low Usage", IF(#REF! &lt;= 40, "Medium Usgae", "High Usage")))</f>
        <v>#REF!</v>
      </c>
      <c r="AD511" t="e">
        <f>IF(#REF!&lt;=150,"Low Usage", IF(#REF!&lt;=200,"Medium Usage", IF(#REF!&lt;=250,"High Usage","Very High Usage")))</f>
        <v>#REF!</v>
      </c>
      <c r="AE511" t="e">
        <f>IF(#REF!&lt;=5,"Low Calls", IF(#REF!&lt;=10, "Medium Calls", "High Calls"))</f>
        <v>#REF!</v>
      </c>
      <c r="AF511" t="e">
        <f xml:space="preserve">
IF(#REF!&gt;=4,4,0)+
IF(#REF!="yes",3,0)+
IF(#REF!="High Charges",3,0)+
IF(#REF!&gt;250,4,0)+
IF(#REF!="no",1,0)+
IF(#REF!="Heavy Domestic User",2,0)</f>
        <v>#REF!</v>
      </c>
      <c r="AG511" t="e">
        <f>IF(#REF!&gt;=10,"High Risk", IF(#REF!&gt;=5,"Medium Risk","Low Risk"))</f>
        <v>#REF!</v>
      </c>
      <c r="AH511" t="e">
        <f>#REF! + #REF! + #REF! + #REF!</f>
        <v>#REF!</v>
      </c>
    </row>
    <row r="512" spans="1:34" x14ac:dyDescent="0.35">
      <c r="A512">
        <v>511</v>
      </c>
      <c r="B512" t="s">
        <v>40</v>
      </c>
      <c r="C512">
        <v>79</v>
      </c>
      <c r="D512" t="s">
        <v>28</v>
      </c>
      <c r="E512" t="s">
        <v>22</v>
      </c>
      <c r="F512" t="s">
        <v>22</v>
      </c>
      <c r="G512">
        <v>0</v>
      </c>
      <c r="H512">
        <v>130.19999999999999</v>
      </c>
      <c r="I512">
        <v>119</v>
      </c>
      <c r="J512">
        <v>22.13</v>
      </c>
      <c r="K512">
        <v>290.89999999999998</v>
      </c>
      <c r="L512">
        <v>121</v>
      </c>
      <c r="M512">
        <v>24.73</v>
      </c>
      <c r="N512">
        <v>194.8</v>
      </c>
      <c r="O512">
        <v>140</v>
      </c>
      <c r="P512">
        <v>8.77</v>
      </c>
      <c r="Q512">
        <v>14</v>
      </c>
      <c r="R512">
        <v>6</v>
      </c>
      <c r="S512">
        <v>3.78</v>
      </c>
      <c r="T512">
        <v>3</v>
      </c>
      <c r="U512" t="s">
        <v>22</v>
      </c>
      <c r="V512" t="e">
        <f>IF(#REF! = "yes", 1, 0)</f>
        <v>#REF!</v>
      </c>
      <c r="W512" t="e">
        <f>IF(#REF! &lt;= 1, "0-1 Calls", IF(#REF! &lt;= 3, "2-3 Calls", IF(#REF! &lt;=5, "4-5 Calls", "6+ Calls")))</f>
        <v>#REF!</v>
      </c>
      <c r="X512" t="e">
        <f>IF(#REF! &lt;= 50, "0-50", IF(#REF! &lt;=100, "51-100", IF(#REF! &lt;= 150, "101-150", "151+")))</f>
        <v>#REF!</v>
      </c>
      <c r="Y512" t="e">
        <f>IF(#REF! &lt;= 3, "Low Charges", "High Charges")</f>
        <v>#REF!</v>
      </c>
      <c r="Z512" t="e">
        <f>IF(#REF!&lt;=80,"Low Calls",
IF(#REF!&lt;=120,"Medium Calls","High Calls"))</f>
        <v>#REF!</v>
      </c>
      <c r="AA512" t="e">
        <f>IF(#REF!&lt;=15,"Low Charges",
IF(#REF!&lt;=20,"Medium Charges","High Charges"))</f>
        <v>#REF!</v>
      </c>
      <c r="AB512" t="e">
        <f>IF(AND(#REF!&gt;180, #REF!&gt;200), "Heavy Doemstic User", IF(#REF!&gt;10, "Interntional User", IF(AND(#REF!&lt;180, #REF!&lt;200,#REF!&lt;200), "Light User", "Balanced User")))</f>
        <v>#REF!</v>
      </c>
      <c r="AC512" t="e">
        <f>IF(#REF! = 0, "No Usage", IF(#REF! &lt;= 20, "Low Usage", IF(#REF! &lt;= 40, "Medium Usgae", "High Usage")))</f>
        <v>#REF!</v>
      </c>
      <c r="AD512" t="e">
        <f>IF(#REF!&lt;=150,"Low Usage", IF(#REF!&lt;=200,"Medium Usage", IF(#REF!&lt;=250,"High Usage","Very High Usage")))</f>
        <v>#REF!</v>
      </c>
      <c r="AE512" t="e">
        <f>IF(#REF!&lt;=5,"Low Calls", IF(#REF!&lt;=10, "Medium Calls", "High Calls"))</f>
        <v>#REF!</v>
      </c>
      <c r="AF512" t="e">
        <f xml:space="preserve">
IF(#REF!&gt;=4,4,0)+
IF(#REF!="yes",3,0)+
IF(#REF!="High Charges",3,0)+
IF(#REF!&gt;250,4,0)+
IF(#REF!="no",1,0)+
IF(#REF!="Heavy Domestic User",2,0)</f>
        <v>#REF!</v>
      </c>
      <c r="AG512" t="e">
        <f>IF(#REF!&gt;=10,"High Risk", IF(#REF!&gt;=5,"Medium Risk","Low Risk"))</f>
        <v>#REF!</v>
      </c>
      <c r="AH512" t="e">
        <f>#REF! + #REF! + #REF! + #REF!</f>
        <v>#REF!</v>
      </c>
    </row>
    <row r="513" spans="1:34" x14ac:dyDescent="0.35">
      <c r="A513">
        <v>512</v>
      </c>
      <c r="B513" t="s">
        <v>38</v>
      </c>
      <c r="C513">
        <v>153</v>
      </c>
      <c r="D513" t="s">
        <v>28</v>
      </c>
      <c r="E513" t="s">
        <v>22</v>
      </c>
      <c r="F513" t="s">
        <v>22</v>
      </c>
      <c r="G513">
        <v>0</v>
      </c>
      <c r="H513">
        <v>195.4</v>
      </c>
      <c r="I513">
        <v>107</v>
      </c>
      <c r="J513">
        <v>33.22</v>
      </c>
      <c r="K513">
        <v>154.6</v>
      </c>
      <c r="L513">
        <v>96</v>
      </c>
      <c r="M513">
        <v>13.14</v>
      </c>
      <c r="N513">
        <v>142.80000000000001</v>
      </c>
      <c r="O513">
        <v>97</v>
      </c>
      <c r="P513">
        <v>6.43</v>
      </c>
      <c r="Q513">
        <v>11.6</v>
      </c>
      <c r="R513">
        <v>6</v>
      </c>
      <c r="S513">
        <v>3.13</v>
      </c>
      <c r="T513">
        <v>1</v>
      </c>
      <c r="U513" t="s">
        <v>22</v>
      </c>
      <c r="V513" t="e">
        <f>IF(#REF! = "yes", 1, 0)</f>
        <v>#REF!</v>
      </c>
      <c r="W513" t="e">
        <f>IF(#REF! &lt;= 1, "0-1 Calls", IF(#REF! &lt;= 3, "2-3 Calls", IF(#REF! &lt;=5, "4-5 Calls", "6+ Calls")))</f>
        <v>#REF!</v>
      </c>
      <c r="X513" t="e">
        <f>IF(#REF! &lt;= 50, "0-50", IF(#REF! &lt;=100, "51-100", IF(#REF! &lt;= 150, "101-150", "151+")))</f>
        <v>#REF!</v>
      </c>
      <c r="Y513" t="e">
        <f>IF(#REF! &lt;= 3, "Low Charges", "High Charges")</f>
        <v>#REF!</v>
      </c>
      <c r="Z513" t="e">
        <f>IF(#REF!&lt;=80,"Low Calls",
IF(#REF!&lt;=120,"Medium Calls","High Calls"))</f>
        <v>#REF!</v>
      </c>
      <c r="AA513" t="e">
        <f>IF(#REF!&lt;=15,"Low Charges",
IF(#REF!&lt;=20,"Medium Charges","High Charges"))</f>
        <v>#REF!</v>
      </c>
      <c r="AB513" t="e">
        <f>IF(AND(#REF!&gt;180, #REF!&gt;200), "Heavy Doemstic User", IF(#REF!&gt;10, "Interntional User", IF(AND(#REF!&lt;180, #REF!&lt;200,#REF!&lt;200), "Light User", "Balanced User")))</f>
        <v>#REF!</v>
      </c>
      <c r="AC513" t="e">
        <f>IF(#REF! = 0, "No Usage", IF(#REF! &lt;= 20, "Low Usage", IF(#REF! &lt;= 40, "Medium Usgae", "High Usage")))</f>
        <v>#REF!</v>
      </c>
      <c r="AD513" t="e">
        <f>IF(#REF!&lt;=150,"Low Usage", IF(#REF!&lt;=200,"Medium Usage", IF(#REF!&lt;=250,"High Usage","Very High Usage")))</f>
        <v>#REF!</v>
      </c>
      <c r="AE513" t="e">
        <f>IF(#REF!&lt;=5,"Low Calls", IF(#REF!&lt;=10, "Medium Calls", "High Calls"))</f>
        <v>#REF!</v>
      </c>
      <c r="AF513" t="e">
        <f xml:space="preserve">
IF(#REF!&gt;=4,4,0)+
IF(#REF!="yes",3,0)+
IF(#REF!="High Charges",3,0)+
IF(#REF!&gt;250,4,0)+
IF(#REF!="no",1,0)+
IF(#REF!="Heavy Domestic User",2,0)</f>
        <v>#REF!</v>
      </c>
      <c r="AG513" t="e">
        <f>IF(#REF!&gt;=10,"High Risk", IF(#REF!&gt;=5,"Medium Risk","Low Risk"))</f>
        <v>#REF!</v>
      </c>
      <c r="AH513" t="e">
        <f>#REF! + #REF! + #REF! + #REF!</f>
        <v>#REF!</v>
      </c>
    </row>
    <row r="514" spans="1:34" x14ac:dyDescent="0.35">
      <c r="A514">
        <v>513</v>
      </c>
      <c r="B514" t="s">
        <v>70</v>
      </c>
      <c r="C514">
        <v>110</v>
      </c>
      <c r="D514" t="s">
        <v>21</v>
      </c>
      <c r="E514" t="s">
        <v>23</v>
      </c>
      <c r="F514" t="s">
        <v>22</v>
      </c>
      <c r="G514">
        <v>0</v>
      </c>
      <c r="H514">
        <v>293.3</v>
      </c>
      <c r="I514">
        <v>79</v>
      </c>
      <c r="J514">
        <v>49.86</v>
      </c>
      <c r="K514">
        <v>188.5</v>
      </c>
      <c r="L514">
        <v>90</v>
      </c>
      <c r="M514">
        <v>16.02</v>
      </c>
      <c r="N514">
        <v>266.89999999999998</v>
      </c>
      <c r="O514">
        <v>91</v>
      </c>
      <c r="P514">
        <v>12.01</v>
      </c>
      <c r="Q514">
        <v>14.5</v>
      </c>
      <c r="R514">
        <v>4</v>
      </c>
      <c r="S514">
        <v>3.92</v>
      </c>
      <c r="T514">
        <v>0</v>
      </c>
      <c r="U514" t="s">
        <v>23</v>
      </c>
      <c r="V514" t="e">
        <f>IF(#REF! = "yes", 1, 0)</f>
        <v>#REF!</v>
      </c>
      <c r="W514" t="e">
        <f>IF(#REF! &lt;= 1, "0-1 Calls", IF(#REF! &lt;= 3, "2-3 Calls", IF(#REF! &lt;=5, "4-5 Calls", "6+ Calls")))</f>
        <v>#REF!</v>
      </c>
      <c r="X514" t="e">
        <f>IF(#REF! &lt;= 50, "0-50", IF(#REF! &lt;=100, "51-100", IF(#REF! &lt;= 150, "101-150", "151+")))</f>
        <v>#REF!</v>
      </c>
      <c r="Y514" t="e">
        <f>IF(#REF! &lt;= 3, "Low Charges", "High Charges")</f>
        <v>#REF!</v>
      </c>
      <c r="Z514" t="e">
        <f>IF(#REF!&lt;=80,"Low Calls",
IF(#REF!&lt;=120,"Medium Calls","High Calls"))</f>
        <v>#REF!</v>
      </c>
      <c r="AA514" t="e">
        <f>IF(#REF!&lt;=15,"Low Charges",
IF(#REF!&lt;=20,"Medium Charges","High Charges"))</f>
        <v>#REF!</v>
      </c>
      <c r="AB514" t="e">
        <f>IF(AND(#REF!&gt;180, #REF!&gt;200), "Heavy Doemstic User", IF(#REF!&gt;10, "Interntional User", IF(AND(#REF!&lt;180, #REF!&lt;200,#REF!&lt;200), "Light User", "Balanced User")))</f>
        <v>#REF!</v>
      </c>
      <c r="AC514" t="e">
        <f>IF(#REF! = 0, "No Usage", IF(#REF! &lt;= 20, "Low Usage", IF(#REF! &lt;= 40, "Medium Usgae", "High Usage")))</f>
        <v>#REF!</v>
      </c>
      <c r="AD514" t="e">
        <f>IF(#REF!&lt;=150,"Low Usage", IF(#REF!&lt;=200,"Medium Usage", IF(#REF!&lt;=250,"High Usage","Very High Usage")))</f>
        <v>#REF!</v>
      </c>
      <c r="AE514" t="e">
        <f>IF(#REF!&lt;=5,"Low Calls", IF(#REF!&lt;=10, "Medium Calls", "High Calls"))</f>
        <v>#REF!</v>
      </c>
      <c r="AF514" t="e">
        <f xml:space="preserve">
IF(#REF!&gt;=4,4,0)+
IF(#REF!="yes",3,0)+
IF(#REF!="High Charges",3,0)+
IF(#REF!&gt;250,4,0)+
IF(#REF!="no",1,0)+
IF(#REF!="Heavy Domestic User",2,0)</f>
        <v>#REF!</v>
      </c>
      <c r="AG514" t="e">
        <f>IF(#REF!&gt;=10,"High Risk", IF(#REF!&gt;=5,"Medium Risk","Low Risk"))</f>
        <v>#REF!</v>
      </c>
      <c r="AH514" t="e">
        <f>#REF! + #REF! + #REF! + #REF!</f>
        <v>#REF!</v>
      </c>
    </row>
    <row r="515" spans="1:34" x14ac:dyDescent="0.35">
      <c r="A515">
        <v>514</v>
      </c>
      <c r="B515" t="s">
        <v>70</v>
      </c>
      <c r="C515">
        <v>163</v>
      </c>
      <c r="D515" t="s">
        <v>21</v>
      </c>
      <c r="E515" t="s">
        <v>22</v>
      </c>
      <c r="F515" t="s">
        <v>22</v>
      </c>
      <c r="G515">
        <v>0</v>
      </c>
      <c r="H515">
        <v>191.3</v>
      </c>
      <c r="I515">
        <v>89</v>
      </c>
      <c r="J515">
        <v>32.520000000000003</v>
      </c>
      <c r="K515">
        <v>193.9</v>
      </c>
      <c r="L515">
        <v>87</v>
      </c>
      <c r="M515">
        <v>16.48</v>
      </c>
      <c r="N515">
        <v>268.39999999999998</v>
      </c>
      <c r="O515">
        <v>121</v>
      </c>
      <c r="P515">
        <v>12.08</v>
      </c>
      <c r="Q515">
        <v>12.8</v>
      </c>
      <c r="R515">
        <v>4</v>
      </c>
      <c r="S515">
        <v>3.46</v>
      </c>
      <c r="T515">
        <v>1</v>
      </c>
      <c r="U515" t="s">
        <v>22</v>
      </c>
      <c r="V515" t="e">
        <f>IF(#REF! = "yes", 1, 0)</f>
        <v>#REF!</v>
      </c>
      <c r="W515" t="e">
        <f>IF(#REF! &lt;= 1, "0-1 Calls", IF(#REF! &lt;= 3, "2-3 Calls", IF(#REF! &lt;=5, "4-5 Calls", "6+ Calls")))</f>
        <v>#REF!</v>
      </c>
      <c r="X515" t="e">
        <f>IF(#REF! &lt;= 50, "0-50", IF(#REF! &lt;=100, "51-100", IF(#REF! &lt;= 150, "101-150", "151+")))</f>
        <v>#REF!</v>
      </c>
      <c r="Y515" t="e">
        <f>IF(#REF! &lt;= 3, "Low Charges", "High Charges")</f>
        <v>#REF!</v>
      </c>
      <c r="Z515" t="e">
        <f>IF(#REF!&lt;=80,"Low Calls",
IF(#REF!&lt;=120,"Medium Calls","High Calls"))</f>
        <v>#REF!</v>
      </c>
      <c r="AA515" t="e">
        <f>IF(#REF!&lt;=15,"Low Charges",
IF(#REF!&lt;=20,"Medium Charges","High Charges"))</f>
        <v>#REF!</v>
      </c>
      <c r="AB515" t="e">
        <f>IF(AND(#REF!&gt;180, #REF!&gt;200), "Heavy Doemstic User", IF(#REF!&gt;10, "Interntional User", IF(AND(#REF!&lt;180, #REF!&lt;200,#REF!&lt;200), "Light User", "Balanced User")))</f>
        <v>#REF!</v>
      </c>
      <c r="AC515" t="e">
        <f>IF(#REF! = 0, "No Usage", IF(#REF! &lt;= 20, "Low Usage", IF(#REF! &lt;= 40, "Medium Usgae", "High Usage")))</f>
        <v>#REF!</v>
      </c>
      <c r="AD515" t="e">
        <f>IF(#REF!&lt;=150,"Low Usage", IF(#REF!&lt;=200,"Medium Usage", IF(#REF!&lt;=250,"High Usage","Very High Usage")))</f>
        <v>#REF!</v>
      </c>
      <c r="AE515" t="e">
        <f>IF(#REF!&lt;=5,"Low Calls", IF(#REF!&lt;=10, "Medium Calls", "High Calls"))</f>
        <v>#REF!</v>
      </c>
      <c r="AF515" t="e">
        <f xml:space="preserve">
IF(#REF!&gt;=4,4,0)+
IF(#REF!="yes",3,0)+
IF(#REF!="High Charges",3,0)+
IF(#REF!&gt;250,4,0)+
IF(#REF!="no",1,0)+
IF(#REF!="Heavy Domestic User",2,0)</f>
        <v>#REF!</v>
      </c>
      <c r="AG515" t="e">
        <f>IF(#REF!&gt;=10,"High Risk", IF(#REF!&gt;=5,"Medium Risk","Low Risk"))</f>
        <v>#REF!</v>
      </c>
      <c r="AH515" t="e">
        <f>#REF! + #REF! + #REF! + #REF!</f>
        <v>#REF!</v>
      </c>
    </row>
    <row r="516" spans="1:34" x14ac:dyDescent="0.35">
      <c r="A516">
        <v>515</v>
      </c>
      <c r="B516" t="s">
        <v>66</v>
      </c>
      <c r="C516">
        <v>105</v>
      </c>
      <c r="D516" t="s">
        <v>25</v>
      </c>
      <c r="E516" t="s">
        <v>22</v>
      </c>
      <c r="F516" t="s">
        <v>23</v>
      </c>
      <c r="G516">
        <v>33</v>
      </c>
      <c r="H516">
        <v>209.6</v>
      </c>
      <c r="I516">
        <v>68</v>
      </c>
      <c r="J516">
        <v>35.630000000000003</v>
      </c>
      <c r="K516">
        <v>146.9</v>
      </c>
      <c r="L516">
        <v>140</v>
      </c>
      <c r="M516">
        <v>12.49</v>
      </c>
      <c r="N516">
        <v>121</v>
      </c>
      <c r="O516">
        <v>131</v>
      </c>
      <c r="P516">
        <v>5.44</v>
      </c>
      <c r="Q516">
        <v>10.6</v>
      </c>
      <c r="R516">
        <v>3</v>
      </c>
      <c r="S516">
        <v>2.86</v>
      </c>
      <c r="T516">
        <v>2</v>
      </c>
      <c r="U516" t="s">
        <v>22</v>
      </c>
      <c r="V516" t="e">
        <f>IF(#REF! = "yes", 1, 0)</f>
        <v>#REF!</v>
      </c>
      <c r="W516" t="e">
        <f>IF(#REF! &lt;= 1, "0-1 Calls", IF(#REF! &lt;= 3, "2-3 Calls", IF(#REF! &lt;=5, "4-5 Calls", "6+ Calls")))</f>
        <v>#REF!</v>
      </c>
      <c r="X516" t="e">
        <f>IF(#REF! &lt;= 50, "0-50", IF(#REF! &lt;=100, "51-100", IF(#REF! &lt;= 150, "101-150", "151+")))</f>
        <v>#REF!</v>
      </c>
      <c r="Y516" t="e">
        <f>IF(#REF! &lt;= 3, "Low Charges", "High Charges")</f>
        <v>#REF!</v>
      </c>
      <c r="Z516" t="e">
        <f>IF(#REF!&lt;=80,"Low Calls",
IF(#REF!&lt;=120,"Medium Calls","High Calls"))</f>
        <v>#REF!</v>
      </c>
      <c r="AA516" t="e">
        <f>IF(#REF!&lt;=15,"Low Charges",
IF(#REF!&lt;=20,"Medium Charges","High Charges"))</f>
        <v>#REF!</v>
      </c>
      <c r="AB516" t="e">
        <f>IF(AND(#REF!&gt;180, #REF!&gt;200), "Heavy Doemstic User", IF(#REF!&gt;10, "Interntional User", IF(AND(#REF!&lt;180, #REF!&lt;200,#REF!&lt;200), "Light User", "Balanced User")))</f>
        <v>#REF!</v>
      </c>
      <c r="AC516" t="e">
        <f>IF(#REF! = 0, "No Usage", IF(#REF! &lt;= 20, "Low Usage", IF(#REF! &lt;= 40, "Medium Usgae", "High Usage")))</f>
        <v>#REF!</v>
      </c>
      <c r="AD516" t="e">
        <f>IF(#REF!&lt;=150,"Low Usage", IF(#REF!&lt;=200,"Medium Usage", IF(#REF!&lt;=250,"High Usage","Very High Usage")))</f>
        <v>#REF!</v>
      </c>
      <c r="AE516" t="e">
        <f>IF(#REF!&lt;=5,"Low Calls", IF(#REF!&lt;=10, "Medium Calls", "High Calls"))</f>
        <v>#REF!</v>
      </c>
      <c r="AF516" t="e">
        <f xml:space="preserve">
IF(#REF!&gt;=4,4,0)+
IF(#REF!="yes",3,0)+
IF(#REF!="High Charges",3,0)+
IF(#REF!&gt;250,4,0)+
IF(#REF!="no",1,0)+
IF(#REF!="Heavy Domestic User",2,0)</f>
        <v>#REF!</v>
      </c>
      <c r="AG516" t="e">
        <f>IF(#REF!&gt;=10,"High Risk", IF(#REF!&gt;=5,"Medium Risk","Low Risk"))</f>
        <v>#REF!</v>
      </c>
      <c r="AH516" t="e">
        <f>#REF! + #REF! + #REF! + #REF!</f>
        <v>#REF!</v>
      </c>
    </row>
    <row r="517" spans="1:34" x14ac:dyDescent="0.35">
      <c r="A517">
        <v>516</v>
      </c>
      <c r="B517" t="s">
        <v>30</v>
      </c>
      <c r="C517">
        <v>172</v>
      </c>
      <c r="D517" t="s">
        <v>21</v>
      </c>
      <c r="E517" t="s">
        <v>22</v>
      </c>
      <c r="F517" t="s">
        <v>22</v>
      </c>
      <c r="G517">
        <v>0</v>
      </c>
      <c r="H517">
        <v>215.7</v>
      </c>
      <c r="I517">
        <v>140</v>
      </c>
      <c r="J517">
        <v>36.67</v>
      </c>
      <c r="K517">
        <v>146.30000000000001</v>
      </c>
      <c r="L517">
        <v>84</v>
      </c>
      <c r="M517">
        <v>12.44</v>
      </c>
      <c r="N517">
        <v>264.60000000000002</v>
      </c>
      <c r="O517">
        <v>83</v>
      </c>
      <c r="P517">
        <v>11.91</v>
      </c>
      <c r="Q517">
        <v>7.1</v>
      </c>
      <c r="R517">
        <v>1</v>
      </c>
      <c r="S517">
        <v>1.92</v>
      </c>
      <c r="T517">
        <v>3</v>
      </c>
      <c r="U517" t="s">
        <v>22</v>
      </c>
      <c r="V517" t="e">
        <f>IF(#REF! = "yes", 1, 0)</f>
        <v>#REF!</v>
      </c>
      <c r="W517" t="e">
        <f>IF(#REF! &lt;= 1, "0-1 Calls", IF(#REF! &lt;= 3, "2-3 Calls", IF(#REF! &lt;=5, "4-5 Calls", "6+ Calls")))</f>
        <v>#REF!</v>
      </c>
      <c r="X517" t="e">
        <f>IF(#REF! &lt;= 50, "0-50", IF(#REF! &lt;=100, "51-100", IF(#REF! &lt;= 150, "101-150", "151+")))</f>
        <v>#REF!</v>
      </c>
      <c r="Y517" t="e">
        <f>IF(#REF! &lt;= 3, "Low Charges", "High Charges")</f>
        <v>#REF!</v>
      </c>
      <c r="Z517" t="e">
        <f>IF(#REF!&lt;=80,"Low Calls",
IF(#REF!&lt;=120,"Medium Calls","High Calls"))</f>
        <v>#REF!</v>
      </c>
      <c r="AA517" t="e">
        <f>IF(#REF!&lt;=15,"Low Charges",
IF(#REF!&lt;=20,"Medium Charges","High Charges"))</f>
        <v>#REF!</v>
      </c>
      <c r="AB517" t="e">
        <f>IF(AND(#REF!&gt;180, #REF!&gt;200), "Heavy Doemstic User", IF(#REF!&gt;10, "Interntional User", IF(AND(#REF!&lt;180, #REF!&lt;200,#REF!&lt;200), "Light User", "Balanced User")))</f>
        <v>#REF!</v>
      </c>
      <c r="AC517" t="e">
        <f>IF(#REF! = 0, "No Usage", IF(#REF! &lt;= 20, "Low Usage", IF(#REF! &lt;= 40, "Medium Usgae", "High Usage")))</f>
        <v>#REF!</v>
      </c>
      <c r="AD517" t="e">
        <f>IF(#REF!&lt;=150,"Low Usage", IF(#REF!&lt;=200,"Medium Usage", IF(#REF!&lt;=250,"High Usage","Very High Usage")))</f>
        <v>#REF!</v>
      </c>
      <c r="AE517" t="e">
        <f>IF(#REF!&lt;=5,"Low Calls", IF(#REF!&lt;=10, "Medium Calls", "High Calls"))</f>
        <v>#REF!</v>
      </c>
      <c r="AF517" t="e">
        <f xml:space="preserve">
IF(#REF!&gt;=4,4,0)+
IF(#REF!="yes",3,0)+
IF(#REF!="High Charges",3,0)+
IF(#REF!&gt;250,4,0)+
IF(#REF!="no",1,0)+
IF(#REF!="Heavy Domestic User",2,0)</f>
        <v>#REF!</v>
      </c>
      <c r="AG517" t="e">
        <f>IF(#REF!&gt;=10,"High Risk", IF(#REF!&gt;=5,"Medium Risk","Low Risk"))</f>
        <v>#REF!</v>
      </c>
      <c r="AH517" t="e">
        <f>#REF! + #REF! + #REF! + #REF!</f>
        <v>#REF!</v>
      </c>
    </row>
    <row r="518" spans="1:34" x14ac:dyDescent="0.35">
      <c r="A518">
        <v>517</v>
      </c>
      <c r="B518" t="s">
        <v>63</v>
      </c>
      <c r="C518">
        <v>126</v>
      </c>
      <c r="D518" t="s">
        <v>21</v>
      </c>
      <c r="E518" t="s">
        <v>22</v>
      </c>
      <c r="F518" t="s">
        <v>22</v>
      </c>
      <c r="G518">
        <v>0</v>
      </c>
      <c r="H518">
        <v>161.4</v>
      </c>
      <c r="I518">
        <v>110</v>
      </c>
      <c r="J518">
        <v>27.44</v>
      </c>
      <c r="K518">
        <v>220.6</v>
      </c>
      <c r="L518">
        <v>125</v>
      </c>
      <c r="M518">
        <v>18.75</v>
      </c>
      <c r="N518">
        <v>249.2</v>
      </c>
      <c r="O518">
        <v>78</v>
      </c>
      <c r="P518">
        <v>11.21</v>
      </c>
      <c r="Q518">
        <v>5.0999999999999996</v>
      </c>
      <c r="R518">
        <v>2</v>
      </c>
      <c r="S518">
        <v>1.38</v>
      </c>
      <c r="T518">
        <v>0</v>
      </c>
      <c r="U518" t="s">
        <v>22</v>
      </c>
      <c r="V518" t="e">
        <f>IF(#REF! = "yes", 1, 0)</f>
        <v>#REF!</v>
      </c>
      <c r="W518" t="e">
        <f>IF(#REF! &lt;= 1, "0-1 Calls", IF(#REF! &lt;= 3, "2-3 Calls", IF(#REF! &lt;=5, "4-5 Calls", "6+ Calls")))</f>
        <v>#REF!</v>
      </c>
      <c r="X518" t="e">
        <f>IF(#REF! &lt;= 50, "0-50", IF(#REF! &lt;=100, "51-100", IF(#REF! &lt;= 150, "101-150", "151+")))</f>
        <v>#REF!</v>
      </c>
      <c r="Y518" t="e">
        <f>IF(#REF! &lt;= 3, "Low Charges", "High Charges")</f>
        <v>#REF!</v>
      </c>
      <c r="Z518" t="e">
        <f>IF(#REF!&lt;=80,"Low Calls",
IF(#REF!&lt;=120,"Medium Calls","High Calls"))</f>
        <v>#REF!</v>
      </c>
      <c r="AA518" t="e">
        <f>IF(#REF!&lt;=15,"Low Charges",
IF(#REF!&lt;=20,"Medium Charges","High Charges"))</f>
        <v>#REF!</v>
      </c>
      <c r="AB518" t="e">
        <f>IF(AND(#REF!&gt;180, #REF!&gt;200), "Heavy Doemstic User", IF(#REF!&gt;10, "Interntional User", IF(AND(#REF!&lt;180, #REF!&lt;200,#REF!&lt;200), "Light User", "Balanced User")))</f>
        <v>#REF!</v>
      </c>
      <c r="AC518" t="e">
        <f>IF(#REF! = 0, "No Usage", IF(#REF! &lt;= 20, "Low Usage", IF(#REF! &lt;= 40, "Medium Usgae", "High Usage")))</f>
        <v>#REF!</v>
      </c>
      <c r="AD518" t="e">
        <f>IF(#REF!&lt;=150,"Low Usage", IF(#REF!&lt;=200,"Medium Usage", IF(#REF!&lt;=250,"High Usage","Very High Usage")))</f>
        <v>#REF!</v>
      </c>
      <c r="AE518" t="e">
        <f>IF(#REF!&lt;=5,"Low Calls", IF(#REF!&lt;=10, "Medium Calls", "High Calls"))</f>
        <v>#REF!</v>
      </c>
      <c r="AF518" t="e">
        <f xml:space="preserve">
IF(#REF!&gt;=4,4,0)+
IF(#REF!="yes",3,0)+
IF(#REF!="High Charges",3,0)+
IF(#REF!&gt;250,4,0)+
IF(#REF!="no",1,0)+
IF(#REF!="Heavy Domestic User",2,0)</f>
        <v>#REF!</v>
      </c>
      <c r="AG518" t="e">
        <f>IF(#REF!&gt;=10,"High Risk", IF(#REF!&gt;=5,"Medium Risk","Low Risk"))</f>
        <v>#REF!</v>
      </c>
      <c r="AH518" t="e">
        <f>#REF! + #REF! + #REF! + #REF!</f>
        <v>#REF!</v>
      </c>
    </row>
    <row r="519" spans="1:34" x14ac:dyDescent="0.35">
      <c r="A519">
        <v>518</v>
      </c>
      <c r="B519" t="s">
        <v>39</v>
      </c>
      <c r="C519">
        <v>97</v>
      </c>
      <c r="D519" t="s">
        <v>28</v>
      </c>
      <c r="E519" t="s">
        <v>22</v>
      </c>
      <c r="F519" t="s">
        <v>22</v>
      </c>
      <c r="G519">
        <v>0</v>
      </c>
      <c r="H519">
        <v>144.19999999999999</v>
      </c>
      <c r="I519">
        <v>91</v>
      </c>
      <c r="J519">
        <v>24.51</v>
      </c>
      <c r="K519">
        <v>226.7</v>
      </c>
      <c r="L519">
        <v>137</v>
      </c>
      <c r="M519">
        <v>19.27</v>
      </c>
      <c r="N519">
        <v>144.6</v>
      </c>
      <c r="O519">
        <v>72</v>
      </c>
      <c r="P519">
        <v>6.51</v>
      </c>
      <c r="Q519">
        <v>13.8</v>
      </c>
      <c r="R519">
        <v>4</v>
      </c>
      <c r="S519">
        <v>3.73</v>
      </c>
      <c r="T519">
        <v>3</v>
      </c>
      <c r="U519" t="s">
        <v>22</v>
      </c>
      <c r="V519" t="e">
        <f>IF(#REF! = "yes", 1, 0)</f>
        <v>#REF!</v>
      </c>
      <c r="W519" t="e">
        <f>IF(#REF! &lt;= 1, "0-1 Calls", IF(#REF! &lt;= 3, "2-3 Calls", IF(#REF! &lt;=5, "4-5 Calls", "6+ Calls")))</f>
        <v>#REF!</v>
      </c>
      <c r="X519" t="e">
        <f>IF(#REF! &lt;= 50, "0-50", IF(#REF! &lt;=100, "51-100", IF(#REF! &lt;= 150, "101-150", "151+")))</f>
        <v>#REF!</v>
      </c>
      <c r="Y519" t="e">
        <f>IF(#REF! &lt;= 3, "Low Charges", "High Charges")</f>
        <v>#REF!</v>
      </c>
      <c r="Z519" t="e">
        <f>IF(#REF!&lt;=80,"Low Calls",
IF(#REF!&lt;=120,"Medium Calls","High Calls"))</f>
        <v>#REF!</v>
      </c>
      <c r="AA519" t="e">
        <f>IF(#REF!&lt;=15,"Low Charges",
IF(#REF!&lt;=20,"Medium Charges","High Charges"))</f>
        <v>#REF!</v>
      </c>
      <c r="AB519" t="e">
        <f>IF(AND(#REF!&gt;180, #REF!&gt;200), "Heavy Doemstic User", IF(#REF!&gt;10, "Interntional User", IF(AND(#REF!&lt;180, #REF!&lt;200,#REF!&lt;200), "Light User", "Balanced User")))</f>
        <v>#REF!</v>
      </c>
      <c r="AC519" t="e">
        <f>IF(#REF! = 0, "No Usage", IF(#REF! &lt;= 20, "Low Usage", IF(#REF! &lt;= 40, "Medium Usgae", "High Usage")))</f>
        <v>#REF!</v>
      </c>
      <c r="AD519" t="e">
        <f>IF(#REF!&lt;=150,"Low Usage", IF(#REF!&lt;=200,"Medium Usage", IF(#REF!&lt;=250,"High Usage","Very High Usage")))</f>
        <v>#REF!</v>
      </c>
      <c r="AE519" t="e">
        <f>IF(#REF!&lt;=5,"Low Calls", IF(#REF!&lt;=10, "Medium Calls", "High Calls"))</f>
        <v>#REF!</v>
      </c>
      <c r="AF519" t="e">
        <f xml:space="preserve">
IF(#REF!&gt;=4,4,0)+
IF(#REF!="yes",3,0)+
IF(#REF!="High Charges",3,0)+
IF(#REF!&gt;250,4,0)+
IF(#REF!="no",1,0)+
IF(#REF!="Heavy Domestic User",2,0)</f>
        <v>#REF!</v>
      </c>
      <c r="AG519" t="e">
        <f>IF(#REF!&gt;=10,"High Risk", IF(#REF!&gt;=5,"Medium Risk","Low Risk"))</f>
        <v>#REF!</v>
      </c>
      <c r="AH519" t="e">
        <f>#REF! + #REF! + #REF! + #REF!</f>
        <v>#REF!</v>
      </c>
    </row>
    <row r="520" spans="1:34" x14ac:dyDescent="0.35">
      <c r="A520">
        <v>519</v>
      </c>
      <c r="B520" t="s">
        <v>24</v>
      </c>
      <c r="C520">
        <v>95</v>
      </c>
      <c r="D520" t="s">
        <v>25</v>
      </c>
      <c r="E520" t="s">
        <v>23</v>
      </c>
      <c r="F520" t="s">
        <v>23</v>
      </c>
      <c r="G520">
        <v>37</v>
      </c>
      <c r="H520">
        <v>220.2</v>
      </c>
      <c r="I520">
        <v>109</v>
      </c>
      <c r="J520">
        <v>37.43</v>
      </c>
      <c r="K520">
        <v>185.3</v>
      </c>
      <c r="L520">
        <v>99</v>
      </c>
      <c r="M520">
        <v>15.75</v>
      </c>
      <c r="N520">
        <v>205.1</v>
      </c>
      <c r="O520">
        <v>82</v>
      </c>
      <c r="P520">
        <v>9.23</v>
      </c>
      <c r="Q520">
        <v>4.0999999999999996</v>
      </c>
      <c r="R520">
        <v>2</v>
      </c>
      <c r="S520">
        <v>1.1100000000000001</v>
      </c>
      <c r="T520">
        <v>0</v>
      </c>
      <c r="U520" t="s">
        <v>23</v>
      </c>
      <c r="V520" t="e">
        <f>IF(#REF! = "yes", 1, 0)</f>
        <v>#REF!</v>
      </c>
      <c r="W520" t="e">
        <f>IF(#REF! &lt;= 1, "0-1 Calls", IF(#REF! &lt;= 3, "2-3 Calls", IF(#REF! &lt;=5, "4-5 Calls", "6+ Calls")))</f>
        <v>#REF!</v>
      </c>
      <c r="X520" t="e">
        <f>IF(#REF! &lt;= 50, "0-50", IF(#REF! &lt;=100, "51-100", IF(#REF! &lt;= 150, "101-150", "151+")))</f>
        <v>#REF!</v>
      </c>
      <c r="Y520" t="e">
        <f>IF(#REF! &lt;= 3, "Low Charges", "High Charges")</f>
        <v>#REF!</v>
      </c>
      <c r="Z520" t="e">
        <f>IF(#REF!&lt;=80,"Low Calls",
IF(#REF!&lt;=120,"Medium Calls","High Calls"))</f>
        <v>#REF!</v>
      </c>
      <c r="AA520" t="e">
        <f>IF(#REF!&lt;=15,"Low Charges",
IF(#REF!&lt;=20,"Medium Charges","High Charges"))</f>
        <v>#REF!</v>
      </c>
      <c r="AB520" t="e">
        <f>IF(AND(#REF!&gt;180, #REF!&gt;200), "Heavy Doemstic User", IF(#REF!&gt;10, "Interntional User", IF(AND(#REF!&lt;180, #REF!&lt;200,#REF!&lt;200), "Light User", "Balanced User")))</f>
        <v>#REF!</v>
      </c>
      <c r="AC520" t="e">
        <f>IF(#REF! = 0, "No Usage", IF(#REF! &lt;= 20, "Low Usage", IF(#REF! &lt;= 40, "Medium Usgae", "High Usage")))</f>
        <v>#REF!</v>
      </c>
      <c r="AD520" t="e">
        <f>IF(#REF!&lt;=150,"Low Usage", IF(#REF!&lt;=200,"Medium Usage", IF(#REF!&lt;=250,"High Usage","Very High Usage")))</f>
        <v>#REF!</v>
      </c>
      <c r="AE520" t="e">
        <f>IF(#REF!&lt;=5,"Low Calls", IF(#REF!&lt;=10, "Medium Calls", "High Calls"))</f>
        <v>#REF!</v>
      </c>
      <c r="AF520" t="e">
        <f xml:space="preserve">
IF(#REF!&gt;=4,4,0)+
IF(#REF!="yes",3,0)+
IF(#REF!="High Charges",3,0)+
IF(#REF!&gt;250,4,0)+
IF(#REF!="no",1,0)+
IF(#REF!="Heavy Domestic User",2,0)</f>
        <v>#REF!</v>
      </c>
      <c r="AG520" t="e">
        <f>IF(#REF!&gt;=10,"High Risk", IF(#REF!&gt;=5,"Medium Risk","Low Risk"))</f>
        <v>#REF!</v>
      </c>
      <c r="AH520" t="e">
        <f>#REF! + #REF! + #REF! + #REF!</f>
        <v>#REF!</v>
      </c>
    </row>
    <row r="521" spans="1:34" x14ac:dyDescent="0.35">
      <c r="A521">
        <v>520</v>
      </c>
      <c r="B521" t="s">
        <v>54</v>
      </c>
      <c r="C521">
        <v>87</v>
      </c>
      <c r="D521" t="s">
        <v>28</v>
      </c>
      <c r="E521" t="s">
        <v>22</v>
      </c>
      <c r="F521" t="s">
        <v>22</v>
      </c>
      <c r="G521">
        <v>0</v>
      </c>
      <c r="H521">
        <v>256.2</v>
      </c>
      <c r="I521">
        <v>105</v>
      </c>
      <c r="J521">
        <v>43.55</v>
      </c>
      <c r="K521">
        <v>160.69999999999999</v>
      </c>
      <c r="L521">
        <v>102</v>
      </c>
      <c r="M521">
        <v>13.66</v>
      </c>
      <c r="N521">
        <v>249.4</v>
      </c>
      <c r="O521">
        <v>80</v>
      </c>
      <c r="P521">
        <v>11.22</v>
      </c>
      <c r="Q521">
        <v>7.4</v>
      </c>
      <c r="R521">
        <v>2</v>
      </c>
      <c r="S521">
        <v>2</v>
      </c>
      <c r="T521">
        <v>4</v>
      </c>
      <c r="U521" t="s">
        <v>22</v>
      </c>
      <c r="V521" t="e">
        <f>IF(#REF! = "yes", 1, 0)</f>
        <v>#REF!</v>
      </c>
      <c r="W521" t="e">
        <f>IF(#REF! &lt;= 1, "0-1 Calls", IF(#REF! &lt;= 3, "2-3 Calls", IF(#REF! &lt;=5, "4-5 Calls", "6+ Calls")))</f>
        <v>#REF!</v>
      </c>
      <c r="X521" t="e">
        <f>IF(#REF! &lt;= 50, "0-50", IF(#REF! &lt;=100, "51-100", IF(#REF! &lt;= 150, "101-150", "151+")))</f>
        <v>#REF!</v>
      </c>
      <c r="Y521" t="e">
        <f>IF(#REF! &lt;= 3, "Low Charges", "High Charges")</f>
        <v>#REF!</v>
      </c>
      <c r="Z521" t="e">
        <f>IF(#REF!&lt;=80,"Low Calls",
IF(#REF!&lt;=120,"Medium Calls","High Calls"))</f>
        <v>#REF!</v>
      </c>
      <c r="AA521" t="e">
        <f>IF(#REF!&lt;=15,"Low Charges",
IF(#REF!&lt;=20,"Medium Charges","High Charges"))</f>
        <v>#REF!</v>
      </c>
      <c r="AB521" t="e">
        <f>IF(AND(#REF!&gt;180, #REF!&gt;200), "Heavy Doemstic User", IF(#REF!&gt;10, "Interntional User", IF(AND(#REF!&lt;180, #REF!&lt;200,#REF!&lt;200), "Light User", "Balanced User")))</f>
        <v>#REF!</v>
      </c>
      <c r="AC521" t="e">
        <f>IF(#REF! = 0, "No Usage", IF(#REF! &lt;= 20, "Low Usage", IF(#REF! &lt;= 40, "Medium Usgae", "High Usage")))</f>
        <v>#REF!</v>
      </c>
      <c r="AD521" t="e">
        <f>IF(#REF!&lt;=150,"Low Usage", IF(#REF!&lt;=200,"Medium Usage", IF(#REF!&lt;=250,"High Usage","Very High Usage")))</f>
        <v>#REF!</v>
      </c>
      <c r="AE521" t="e">
        <f>IF(#REF!&lt;=5,"Low Calls", IF(#REF!&lt;=10, "Medium Calls", "High Calls"))</f>
        <v>#REF!</v>
      </c>
      <c r="AF521" t="e">
        <f xml:space="preserve">
IF(#REF!&gt;=4,4,0)+
IF(#REF!="yes",3,0)+
IF(#REF!="High Charges",3,0)+
IF(#REF!&gt;250,4,0)+
IF(#REF!="no",1,0)+
IF(#REF!="Heavy Domestic User",2,0)</f>
        <v>#REF!</v>
      </c>
      <c r="AG521" t="e">
        <f>IF(#REF!&gt;=10,"High Risk", IF(#REF!&gt;=5,"Medium Risk","Low Risk"))</f>
        <v>#REF!</v>
      </c>
      <c r="AH521" t="e">
        <f>#REF! + #REF! + #REF! + #REF!</f>
        <v>#REF!</v>
      </c>
    </row>
    <row r="522" spans="1:34" x14ac:dyDescent="0.35">
      <c r="A522">
        <v>521</v>
      </c>
      <c r="B522" t="s">
        <v>64</v>
      </c>
      <c r="C522">
        <v>97</v>
      </c>
      <c r="D522" t="s">
        <v>21</v>
      </c>
      <c r="E522" t="s">
        <v>22</v>
      </c>
      <c r="F522" t="s">
        <v>22</v>
      </c>
      <c r="G522">
        <v>0</v>
      </c>
      <c r="H522">
        <v>112.7</v>
      </c>
      <c r="I522">
        <v>119</v>
      </c>
      <c r="J522">
        <v>19.16</v>
      </c>
      <c r="K522">
        <v>217.7</v>
      </c>
      <c r="L522">
        <v>109</v>
      </c>
      <c r="M522">
        <v>18.5</v>
      </c>
      <c r="N522">
        <v>152.1</v>
      </c>
      <c r="O522">
        <v>76</v>
      </c>
      <c r="P522">
        <v>6.84</v>
      </c>
      <c r="Q522">
        <v>6.5</v>
      </c>
      <c r="R522">
        <v>5</v>
      </c>
      <c r="S522">
        <v>1.76</v>
      </c>
      <c r="T522">
        <v>1</v>
      </c>
      <c r="U522" t="s">
        <v>22</v>
      </c>
      <c r="V522" t="e">
        <f>IF(#REF! = "yes", 1, 0)</f>
        <v>#REF!</v>
      </c>
      <c r="W522" t="e">
        <f>IF(#REF! &lt;= 1, "0-1 Calls", IF(#REF! &lt;= 3, "2-3 Calls", IF(#REF! &lt;=5, "4-5 Calls", "6+ Calls")))</f>
        <v>#REF!</v>
      </c>
      <c r="X522" t="e">
        <f>IF(#REF! &lt;= 50, "0-50", IF(#REF! &lt;=100, "51-100", IF(#REF! &lt;= 150, "101-150", "151+")))</f>
        <v>#REF!</v>
      </c>
      <c r="Y522" t="e">
        <f>IF(#REF! &lt;= 3, "Low Charges", "High Charges")</f>
        <v>#REF!</v>
      </c>
      <c r="Z522" t="e">
        <f>IF(#REF!&lt;=80,"Low Calls",
IF(#REF!&lt;=120,"Medium Calls","High Calls"))</f>
        <v>#REF!</v>
      </c>
      <c r="AA522" t="e">
        <f>IF(#REF!&lt;=15,"Low Charges",
IF(#REF!&lt;=20,"Medium Charges","High Charges"))</f>
        <v>#REF!</v>
      </c>
      <c r="AB522" t="e">
        <f>IF(AND(#REF!&gt;180, #REF!&gt;200), "Heavy Doemstic User", IF(#REF!&gt;10, "Interntional User", IF(AND(#REF!&lt;180, #REF!&lt;200,#REF!&lt;200), "Light User", "Balanced User")))</f>
        <v>#REF!</v>
      </c>
      <c r="AC522" t="e">
        <f>IF(#REF! = 0, "No Usage", IF(#REF! &lt;= 20, "Low Usage", IF(#REF! &lt;= 40, "Medium Usgae", "High Usage")))</f>
        <v>#REF!</v>
      </c>
      <c r="AD522" t="e">
        <f>IF(#REF!&lt;=150,"Low Usage", IF(#REF!&lt;=200,"Medium Usage", IF(#REF!&lt;=250,"High Usage","Very High Usage")))</f>
        <v>#REF!</v>
      </c>
      <c r="AE522" t="e">
        <f>IF(#REF!&lt;=5,"Low Calls", IF(#REF!&lt;=10, "Medium Calls", "High Calls"))</f>
        <v>#REF!</v>
      </c>
      <c r="AF522" t="e">
        <f xml:space="preserve">
IF(#REF!&gt;=4,4,0)+
IF(#REF!="yes",3,0)+
IF(#REF!="High Charges",3,0)+
IF(#REF!&gt;250,4,0)+
IF(#REF!="no",1,0)+
IF(#REF!="Heavy Domestic User",2,0)</f>
        <v>#REF!</v>
      </c>
      <c r="AG522" t="e">
        <f>IF(#REF!&gt;=10,"High Risk", IF(#REF!&gt;=5,"Medium Risk","Low Risk"))</f>
        <v>#REF!</v>
      </c>
      <c r="AH522" t="e">
        <f>#REF! + #REF! + #REF! + #REF!</f>
        <v>#REF!</v>
      </c>
    </row>
    <row r="523" spans="1:34" x14ac:dyDescent="0.35">
      <c r="A523">
        <v>522</v>
      </c>
      <c r="B523" t="s">
        <v>39</v>
      </c>
      <c r="C523">
        <v>140</v>
      </c>
      <c r="D523" t="s">
        <v>25</v>
      </c>
      <c r="E523" t="s">
        <v>22</v>
      </c>
      <c r="F523" t="s">
        <v>22</v>
      </c>
      <c r="G523">
        <v>0</v>
      </c>
      <c r="H523">
        <v>194.8</v>
      </c>
      <c r="I523">
        <v>107</v>
      </c>
      <c r="J523">
        <v>33.119999999999997</v>
      </c>
      <c r="K523">
        <v>170.9</v>
      </c>
      <c r="L523">
        <v>99</v>
      </c>
      <c r="M523">
        <v>14.53</v>
      </c>
      <c r="N523">
        <v>225.1</v>
      </c>
      <c r="O523">
        <v>93</v>
      </c>
      <c r="P523">
        <v>10.130000000000001</v>
      </c>
      <c r="Q523">
        <v>13.9</v>
      </c>
      <c r="R523">
        <v>4</v>
      </c>
      <c r="S523">
        <v>3.75</v>
      </c>
      <c r="T523">
        <v>0</v>
      </c>
      <c r="U523" t="s">
        <v>22</v>
      </c>
      <c r="V523" t="e">
        <f>IF(#REF! = "yes", 1, 0)</f>
        <v>#REF!</v>
      </c>
      <c r="W523" t="e">
        <f>IF(#REF! &lt;= 1, "0-1 Calls", IF(#REF! &lt;= 3, "2-3 Calls", IF(#REF! &lt;=5, "4-5 Calls", "6+ Calls")))</f>
        <v>#REF!</v>
      </c>
      <c r="X523" t="e">
        <f>IF(#REF! &lt;= 50, "0-50", IF(#REF! &lt;=100, "51-100", IF(#REF! &lt;= 150, "101-150", "151+")))</f>
        <v>#REF!</v>
      </c>
      <c r="Y523" t="e">
        <f>IF(#REF! &lt;= 3, "Low Charges", "High Charges")</f>
        <v>#REF!</v>
      </c>
      <c r="Z523" t="e">
        <f>IF(#REF!&lt;=80,"Low Calls",
IF(#REF!&lt;=120,"Medium Calls","High Calls"))</f>
        <v>#REF!</v>
      </c>
      <c r="AA523" t="e">
        <f>IF(#REF!&lt;=15,"Low Charges",
IF(#REF!&lt;=20,"Medium Charges","High Charges"))</f>
        <v>#REF!</v>
      </c>
      <c r="AB523" t="e">
        <f>IF(AND(#REF!&gt;180, #REF!&gt;200), "Heavy Doemstic User", IF(#REF!&gt;10, "Interntional User", IF(AND(#REF!&lt;180, #REF!&lt;200,#REF!&lt;200), "Light User", "Balanced User")))</f>
        <v>#REF!</v>
      </c>
      <c r="AC523" t="e">
        <f>IF(#REF! = 0, "No Usage", IF(#REF! &lt;= 20, "Low Usage", IF(#REF! &lt;= 40, "Medium Usgae", "High Usage")))</f>
        <v>#REF!</v>
      </c>
      <c r="AD523" t="e">
        <f>IF(#REF!&lt;=150,"Low Usage", IF(#REF!&lt;=200,"Medium Usage", IF(#REF!&lt;=250,"High Usage","Very High Usage")))</f>
        <v>#REF!</v>
      </c>
      <c r="AE523" t="e">
        <f>IF(#REF!&lt;=5,"Low Calls", IF(#REF!&lt;=10, "Medium Calls", "High Calls"))</f>
        <v>#REF!</v>
      </c>
      <c r="AF523" t="e">
        <f xml:space="preserve">
IF(#REF!&gt;=4,4,0)+
IF(#REF!="yes",3,0)+
IF(#REF!="High Charges",3,0)+
IF(#REF!&gt;250,4,0)+
IF(#REF!="no",1,0)+
IF(#REF!="Heavy Domestic User",2,0)</f>
        <v>#REF!</v>
      </c>
      <c r="AG523" t="e">
        <f>IF(#REF!&gt;=10,"High Risk", IF(#REF!&gt;=5,"Medium Risk","Low Risk"))</f>
        <v>#REF!</v>
      </c>
      <c r="AH523" t="e">
        <f>#REF! + #REF! + #REF! + #REF!</f>
        <v>#REF!</v>
      </c>
    </row>
    <row r="524" spans="1:34" x14ac:dyDescent="0.35">
      <c r="A524">
        <v>523</v>
      </c>
      <c r="B524" t="s">
        <v>35</v>
      </c>
      <c r="C524">
        <v>169</v>
      </c>
      <c r="D524" t="s">
        <v>21</v>
      </c>
      <c r="E524" t="s">
        <v>22</v>
      </c>
      <c r="F524" t="s">
        <v>22</v>
      </c>
      <c r="G524">
        <v>0</v>
      </c>
      <c r="H524">
        <v>100.8</v>
      </c>
      <c r="I524">
        <v>112</v>
      </c>
      <c r="J524">
        <v>17.14</v>
      </c>
      <c r="K524">
        <v>230</v>
      </c>
      <c r="L524">
        <v>69</v>
      </c>
      <c r="M524">
        <v>19.55</v>
      </c>
      <c r="N524">
        <v>193.6</v>
      </c>
      <c r="O524">
        <v>95</v>
      </c>
      <c r="P524">
        <v>8.7100000000000009</v>
      </c>
      <c r="Q524">
        <v>9.5</v>
      </c>
      <c r="R524">
        <v>2</v>
      </c>
      <c r="S524">
        <v>2.57</v>
      </c>
      <c r="T524">
        <v>0</v>
      </c>
      <c r="U524" t="s">
        <v>22</v>
      </c>
      <c r="V524" t="e">
        <f>IF(#REF! = "yes", 1, 0)</f>
        <v>#REF!</v>
      </c>
      <c r="W524" t="e">
        <f>IF(#REF! &lt;= 1, "0-1 Calls", IF(#REF! &lt;= 3, "2-3 Calls", IF(#REF! &lt;=5, "4-5 Calls", "6+ Calls")))</f>
        <v>#REF!</v>
      </c>
      <c r="X524" t="e">
        <f>IF(#REF! &lt;= 50, "0-50", IF(#REF! &lt;=100, "51-100", IF(#REF! &lt;= 150, "101-150", "151+")))</f>
        <v>#REF!</v>
      </c>
      <c r="Y524" t="e">
        <f>IF(#REF! &lt;= 3, "Low Charges", "High Charges")</f>
        <v>#REF!</v>
      </c>
      <c r="Z524" t="e">
        <f>IF(#REF!&lt;=80,"Low Calls",
IF(#REF!&lt;=120,"Medium Calls","High Calls"))</f>
        <v>#REF!</v>
      </c>
      <c r="AA524" t="e">
        <f>IF(#REF!&lt;=15,"Low Charges",
IF(#REF!&lt;=20,"Medium Charges","High Charges"))</f>
        <v>#REF!</v>
      </c>
      <c r="AB524" t="e">
        <f>IF(AND(#REF!&gt;180, #REF!&gt;200), "Heavy Doemstic User", IF(#REF!&gt;10, "Interntional User", IF(AND(#REF!&lt;180, #REF!&lt;200,#REF!&lt;200), "Light User", "Balanced User")))</f>
        <v>#REF!</v>
      </c>
      <c r="AC524" t="e">
        <f>IF(#REF! = 0, "No Usage", IF(#REF! &lt;= 20, "Low Usage", IF(#REF! &lt;= 40, "Medium Usgae", "High Usage")))</f>
        <v>#REF!</v>
      </c>
      <c r="AD524" t="e">
        <f>IF(#REF!&lt;=150,"Low Usage", IF(#REF!&lt;=200,"Medium Usage", IF(#REF!&lt;=250,"High Usage","Very High Usage")))</f>
        <v>#REF!</v>
      </c>
      <c r="AE524" t="e">
        <f>IF(#REF!&lt;=5,"Low Calls", IF(#REF!&lt;=10, "Medium Calls", "High Calls"))</f>
        <v>#REF!</v>
      </c>
      <c r="AF524" t="e">
        <f xml:space="preserve">
IF(#REF!&gt;=4,4,0)+
IF(#REF!="yes",3,0)+
IF(#REF!="High Charges",3,0)+
IF(#REF!&gt;250,4,0)+
IF(#REF!="no",1,0)+
IF(#REF!="Heavy Domestic User",2,0)</f>
        <v>#REF!</v>
      </c>
      <c r="AG524" t="e">
        <f>IF(#REF!&gt;=10,"High Risk", IF(#REF!&gt;=5,"Medium Risk","Low Risk"))</f>
        <v>#REF!</v>
      </c>
      <c r="AH524" t="e">
        <f>#REF! + #REF! + #REF! + #REF!</f>
        <v>#REF!</v>
      </c>
    </row>
    <row r="525" spans="1:34" x14ac:dyDescent="0.35">
      <c r="A525">
        <v>524</v>
      </c>
      <c r="B525" t="s">
        <v>75</v>
      </c>
      <c r="C525">
        <v>68</v>
      </c>
      <c r="D525" t="s">
        <v>25</v>
      </c>
      <c r="E525" t="s">
        <v>22</v>
      </c>
      <c r="F525" t="s">
        <v>23</v>
      </c>
      <c r="G525">
        <v>22</v>
      </c>
      <c r="H525">
        <v>82.5</v>
      </c>
      <c r="I525">
        <v>97</v>
      </c>
      <c r="J525">
        <v>14.03</v>
      </c>
      <c r="K525">
        <v>289.89999999999998</v>
      </c>
      <c r="L525">
        <v>94</v>
      </c>
      <c r="M525">
        <v>24.64</v>
      </c>
      <c r="N525">
        <v>180</v>
      </c>
      <c r="O525">
        <v>114</v>
      </c>
      <c r="P525">
        <v>8.1</v>
      </c>
      <c r="Q525">
        <v>4.8</v>
      </c>
      <c r="R525">
        <v>4</v>
      </c>
      <c r="S525">
        <v>1.3</v>
      </c>
      <c r="T525">
        <v>3</v>
      </c>
      <c r="U525" t="s">
        <v>22</v>
      </c>
      <c r="V525" t="e">
        <f>IF(#REF! = "yes", 1, 0)</f>
        <v>#REF!</v>
      </c>
      <c r="W525" t="e">
        <f>IF(#REF! &lt;= 1, "0-1 Calls", IF(#REF! &lt;= 3, "2-3 Calls", IF(#REF! &lt;=5, "4-5 Calls", "6+ Calls")))</f>
        <v>#REF!</v>
      </c>
      <c r="X525" t="e">
        <f>IF(#REF! &lt;= 50, "0-50", IF(#REF! &lt;=100, "51-100", IF(#REF! &lt;= 150, "101-150", "151+")))</f>
        <v>#REF!</v>
      </c>
      <c r="Y525" t="e">
        <f>IF(#REF! &lt;= 3, "Low Charges", "High Charges")</f>
        <v>#REF!</v>
      </c>
      <c r="Z525" t="e">
        <f>IF(#REF!&lt;=80,"Low Calls",
IF(#REF!&lt;=120,"Medium Calls","High Calls"))</f>
        <v>#REF!</v>
      </c>
      <c r="AA525" t="e">
        <f>IF(#REF!&lt;=15,"Low Charges",
IF(#REF!&lt;=20,"Medium Charges","High Charges"))</f>
        <v>#REF!</v>
      </c>
      <c r="AB525" t="e">
        <f>IF(AND(#REF!&gt;180, #REF!&gt;200), "Heavy Doemstic User", IF(#REF!&gt;10, "Interntional User", IF(AND(#REF!&lt;180, #REF!&lt;200,#REF!&lt;200), "Light User", "Balanced User")))</f>
        <v>#REF!</v>
      </c>
      <c r="AC525" t="e">
        <f>IF(#REF! = 0, "No Usage", IF(#REF! &lt;= 20, "Low Usage", IF(#REF! &lt;= 40, "Medium Usgae", "High Usage")))</f>
        <v>#REF!</v>
      </c>
      <c r="AD525" t="e">
        <f>IF(#REF!&lt;=150,"Low Usage", IF(#REF!&lt;=200,"Medium Usage", IF(#REF!&lt;=250,"High Usage","Very High Usage")))</f>
        <v>#REF!</v>
      </c>
      <c r="AE525" t="e">
        <f>IF(#REF!&lt;=5,"Low Calls", IF(#REF!&lt;=10, "Medium Calls", "High Calls"))</f>
        <v>#REF!</v>
      </c>
      <c r="AF525" t="e">
        <f xml:space="preserve">
IF(#REF!&gt;=4,4,0)+
IF(#REF!="yes",3,0)+
IF(#REF!="High Charges",3,0)+
IF(#REF!&gt;250,4,0)+
IF(#REF!="no",1,0)+
IF(#REF!="Heavy Domestic User",2,0)</f>
        <v>#REF!</v>
      </c>
      <c r="AG525" t="e">
        <f>IF(#REF!&gt;=10,"High Risk", IF(#REF!&gt;=5,"Medium Risk","Low Risk"))</f>
        <v>#REF!</v>
      </c>
      <c r="AH525" t="e">
        <f>#REF! + #REF! + #REF! + #REF!</f>
        <v>#REF!</v>
      </c>
    </row>
    <row r="526" spans="1:34" x14ac:dyDescent="0.35">
      <c r="A526">
        <v>525</v>
      </c>
      <c r="B526" t="s">
        <v>24</v>
      </c>
      <c r="C526">
        <v>122</v>
      </c>
      <c r="D526" t="s">
        <v>21</v>
      </c>
      <c r="E526" t="s">
        <v>22</v>
      </c>
      <c r="F526" t="s">
        <v>23</v>
      </c>
      <c r="G526">
        <v>34</v>
      </c>
      <c r="H526">
        <v>146.4</v>
      </c>
      <c r="I526">
        <v>104</v>
      </c>
      <c r="J526">
        <v>24.89</v>
      </c>
      <c r="K526">
        <v>89.7</v>
      </c>
      <c r="L526">
        <v>103</v>
      </c>
      <c r="M526">
        <v>7.62</v>
      </c>
      <c r="N526">
        <v>220</v>
      </c>
      <c r="O526">
        <v>91</v>
      </c>
      <c r="P526">
        <v>9.9</v>
      </c>
      <c r="Q526">
        <v>15.6</v>
      </c>
      <c r="R526">
        <v>4</v>
      </c>
      <c r="S526">
        <v>4.21</v>
      </c>
      <c r="T526">
        <v>2</v>
      </c>
      <c r="U526" t="s">
        <v>22</v>
      </c>
      <c r="V526" t="e">
        <f>IF(#REF! = "yes", 1, 0)</f>
        <v>#REF!</v>
      </c>
      <c r="W526" t="e">
        <f>IF(#REF! &lt;= 1, "0-1 Calls", IF(#REF! &lt;= 3, "2-3 Calls", IF(#REF! &lt;=5, "4-5 Calls", "6+ Calls")))</f>
        <v>#REF!</v>
      </c>
      <c r="X526" t="e">
        <f>IF(#REF! &lt;= 50, "0-50", IF(#REF! &lt;=100, "51-100", IF(#REF! &lt;= 150, "101-150", "151+")))</f>
        <v>#REF!</v>
      </c>
      <c r="Y526" t="e">
        <f>IF(#REF! &lt;= 3, "Low Charges", "High Charges")</f>
        <v>#REF!</v>
      </c>
      <c r="Z526" t="e">
        <f>IF(#REF!&lt;=80,"Low Calls",
IF(#REF!&lt;=120,"Medium Calls","High Calls"))</f>
        <v>#REF!</v>
      </c>
      <c r="AA526" t="e">
        <f>IF(#REF!&lt;=15,"Low Charges",
IF(#REF!&lt;=20,"Medium Charges","High Charges"))</f>
        <v>#REF!</v>
      </c>
      <c r="AB526" t="e">
        <f>IF(AND(#REF!&gt;180, #REF!&gt;200), "Heavy Doemstic User", IF(#REF!&gt;10, "Interntional User", IF(AND(#REF!&lt;180, #REF!&lt;200,#REF!&lt;200), "Light User", "Balanced User")))</f>
        <v>#REF!</v>
      </c>
      <c r="AC526" t="e">
        <f>IF(#REF! = 0, "No Usage", IF(#REF! &lt;= 20, "Low Usage", IF(#REF! &lt;= 40, "Medium Usgae", "High Usage")))</f>
        <v>#REF!</v>
      </c>
      <c r="AD526" t="e">
        <f>IF(#REF!&lt;=150,"Low Usage", IF(#REF!&lt;=200,"Medium Usage", IF(#REF!&lt;=250,"High Usage","Very High Usage")))</f>
        <v>#REF!</v>
      </c>
      <c r="AE526" t="e">
        <f>IF(#REF!&lt;=5,"Low Calls", IF(#REF!&lt;=10, "Medium Calls", "High Calls"))</f>
        <v>#REF!</v>
      </c>
      <c r="AF526" t="e">
        <f xml:space="preserve">
IF(#REF!&gt;=4,4,0)+
IF(#REF!="yes",3,0)+
IF(#REF!="High Charges",3,0)+
IF(#REF!&gt;250,4,0)+
IF(#REF!="no",1,0)+
IF(#REF!="Heavy Domestic User",2,0)</f>
        <v>#REF!</v>
      </c>
      <c r="AG526" t="e">
        <f>IF(#REF!&gt;=10,"High Risk", IF(#REF!&gt;=5,"Medium Risk","Low Risk"))</f>
        <v>#REF!</v>
      </c>
      <c r="AH526" t="e">
        <f>#REF! + #REF! + #REF! + #REF!</f>
        <v>#REF!</v>
      </c>
    </row>
    <row r="527" spans="1:34" x14ac:dyDescent="0.35">
      <c r="A527">
        <v>526</v>
      </c>
      <c r="B527" t="s">
        <v>29</v>
      </c>
      <c r="C527">
        <v>36</v>
      </c>
      <c r="D527" t="s">
        <v>25</v>
      </c>
      <c r="E527" t="s">
        <v>22</v>
      </c>
      <c r="F527" t="s">
        <v>22</v>
      </c>
      <c r="G527">
        <v>0</v>
      </c>
      <c r="H527">
        <v>177.9</v>
      </c>
      <c r="I527">
        <v>129</v>
      </c>
      <c r="J527">
        <v>30.24</v>
      </c>
      <c r="K527">
        <v>224.6</v>
      </c>
      <c r="L527">
        <v>87</v>
      </c>
      <c r="M527">
        <v>19.09</v>
      </c>
      <c r="N527">
        <v>306.3</v>
      </c>
      <c r="O527">
        <v>102</v>
      </c>
      <c r="P527">
        <v>13.78</v>
      </c>
      <c r="Q527">
        <v>10.8</v>
      </c>
      <c r="R527">
        <v>6</v>
      </c>
      <c r="S527">
        <v>2.92</v>
      </c>
      <c r="T527">
        <v>2</v>
      </c>
      <c r="U527" t="s">
        <v>22</v>
      </c>
      <c r="V527" t="e">
        <f>IF(#REF! = "yes", 1, 0)</f>
        <v>#REF!</v>
      </c>
      <c r="W527" t="e">
        <f>IF(#REF! &lt;= 1, "0-1 Calls", IF(#REF! &lt;= 3, "2-3 Calls", IF(#REF! &lt;=5, "4-5 Calls", "6+ Calls")))</f>
        <v>#REF!</v>
      </c>
      <c r="X527" t="e">
        <f>IF(#REF! &lt;= 50, "0-50", IF(#REF! &lt;=100, "51-100", IF(#REF! &lt;= 150, "101-150", "151+")))</f>
        <v>#REF!</v>
      </c>
      <c r="Y527" t="e">
        <f>IF(#REF! &lt;= 3, "Low Charges", "High Charges")</f>
        <v>#REF!</v>
      </c>
      <c r="Z527" t="e">
        <f>IF(#REF!&lt;=80,"Low Calls",
IF(#REF!&lt;=120,"Medium Calls","High Calls"))</f>
        <v>#REF!</v>
      </c>
      <c r="AA527" t="e">
        <f>IF(#REF!&lt;=15,"Low Charges",
IF(#REF!&lt;=20,"Medium Charges","High Charges"))</f>
        <v>#REF!</v>
      </c>
      <c r="AB527" t="e">
        <f>IF(AND(#REF!&gt;180, #REF!&gt;200), "Heavy Doemstic User", IF(#REF!&gt;10, "Interntional User", IF(AND(#REF!&lt;180, #REF!&lt;200,#REF!&lt;200), "Light User", "Balanced User")))</f>
        <v>#REF!</v>
      </c>
      <c r="AC527" t="e">
        <f>IF(#REF! = 0, "No Usage", IF(#REF! &lt;= 20, "Low Usage", IF(#REF! &lt;= 40, "Medium Usgae", "High Usage")))</f>
        <v>#REF!</v>
      </c>
      <c r="AD527" t="e">
        <f>IF(#REF!&lt;=150,"Low Usage", IF(#REF!&lt;=200,"Medium Usage", IF(#REF!&lt;=250,"High Usage","Very High Usage")))</f>
        <v>#REF!</v>
      </c>
      <c r="AE527" t="e">
        <f>IF(#REF!&lt;=5,"Low Calls", IF(#REF!&lt;=10, "Medium Calls", "High Calls"))</f>
        <v>#REF!</v>
      </c>
      <c r="AF527" t="e">
        <f xml:space="preserve">
IF(#REF!&gt;=4,4,0)+
IF(#REF!="yes",3,0)+
IF(#REF!="High Charges",3,0)+
IF(#REF!&gt;250,4,0)+
IF(#REF!="no",1,0)+
IF(#REF!="Heavy Domestic User",2,0)</f>
        <v>#REF!</v>
      </c>
      <c r="AG527" t="e">
        <f>IF(#REF!&gt;=10,"High Risk", IF(#REF!&gt;=5,"Medium Risk","Low Risk"))</f>
        <v>#REF!</v>
      </c>
      <c r="AH527" t="e">
        <f>#REF! + #REF! + #REF! + #REF!</f>
        <v>#REF!</v>
      </c>
    </row>
    <row r="528" spans="1:34" x14ac:dyDescent="0.35">
      <c r="A528">
        <v>527</v>
      </c>
      <c r="B528" t="s">
        <v>41</v>
      </c>
      <c r="C528">
        <v>120</v>
      </c>
      <c r="D528" t="s">
        <v>28</v>
      </c>
      <c r="E528" t="s">
        <v>22</v>
      </c>
      <c r="F528" t="s">
        <v>23</v>
      </c>
      <c r="G528">
        <v>27</v>
      </c>
      <c r="H528">
        <v>153.5</v>
      </c>
      <c r="I528">
        <v>84</v>
      </c>
      <c r="J528">
        <v>26.1</v>
      </c>
      <c r="K528">
        <v>194</v>
      </c>
      <c r="L528">
        <v>73</v>
      </c>
      <c r="M528">
        <v>16.489999999999998</v>
      </c>
      <c r="N528">
        <v>256.5</v>
      </c>
      <c r="O528">
        <v>94</v>
      </c>
      <c r="P528">
        <v>11.54</v>
      </c>
      <c r="Q528">
        <v>10.199999999999999</v>
      </c>
      <c r="R528">
        <v>7</v>
      </c>
      <c r="S528">
        <v>2.75</v>
      </c>
      <c r="T528">
        <v>5</v>
      </c>
      <c r="U528" t="s">
        <v>22</v>
      </c>
      <c r="V528" t="e">
        <f>IF(#REF! = "yes", 1, 0)</f>
        <v>#REF!</v>
      </c>
      <c r="W528" t="e">
        <f>IF(#REF! &lt;= 1, "0-1 Calls", IF(#REF! &lt;= 3, "2-3 Calls", IF(#REF! &lt;=5, "4-5 Calls", "6+ Calls")))</f>
        <v>#REF!</v>
      </c>
      <c r="X528" t="e">
        <f>IF(#REF! &lt;= 50, "0-50", IF(#REF! &lt;=100, "51-100", IF(#REF! &lt;= 150, "101-150", "151+")))</f>
        <v>#REF!</v>
      </c>
      <c r="Y528" t="e">
        <f>IF(#REF! &lt;= 3, "Low Charges", "High Charges")</f>
        <v>#REF!</v>
      </c>
      <c r="Z528" t="e">
        <f>IF(#REF!&lt;=80,"Low Calls",
IF(#REF!&lt;=120,"Medium Calls","High Calls"))</f>
        <v>#REF!</v>
      </c>
      <c r="AA528" t="e">
        <f>IF(#REF!&lt;=15,"Low Charges",
IF(#REF!&lt;=20,"Medium Charges","High Charges"))</f>
        <v>#REF!</v>
      </c>
      <c r="AB528" t="e">
        <f>IF(AND(#REF!&gt;180, #REF!&gt;200), "Heavy Doemstic User", IF(#REF!&gt;10, "Interntional User", IF(AND(#REF!&lt;180, #REF!&lt;200,#REF!&lt;200), "Light User", "Balanced User")))</f>
        <v>#REF!</v>
      </c>
      <c r="AC528" t="e">
        <f>IF(#REF! = 0, "No Usage", IF(#REF! &lt;= 20, "Low Usage", IF(#REF! &lt;= 40, "Medium Usgae", "High Usage")))</f>
        <v>#REF!</v>
      </c>
      <c r="AD528" t="e">
        <f>IF(#REF!&lt;=150,"Low Usage", IF(#REF!&lt;=200,"Medium Usage", IF(#REF!&lt;=250,"High Usage","Very High Usage")))</f>
        <v>#REF!</v>
      </c>
      <c r="AE528" t="e">
        <f>IF(#REF!&lt;=5,"Low Calls", IF(#REF!&lt;=10, "Medium Calls", "High Calls"))</f>
        <v>#REF!</v>
      </c>
      <c r="AF528" t="e">
        <f xml:space="preserve">
IF(#REF!&gt;=4,4,0)+
IF(#REF!="yes",3,0)+
IF(#REF!="High Charges",3,0)+
IF(#REF!&gt;250,4,0)+
IF(#REF!="no",1,0)+
IF(#REF!="Heavy Domestic User",2,0)</f>
        <v>#REF!</v>
      </c>
      <c r="AG528" t="e">
        <f>IF(#REF!&gt;=10,"High Risk", IF(#REF!&gt;=5,"Medium Risk","Low Risk"))</f>
        <v>#REF!</v>
      </c>
      <c r="AH528" t="e">
        <f>#REF! + #REF! + #REF! + #REF!</f>
        <v>#REF!</v>
      </c>
    </row>
    <row r="529" spans="1:34" x14ac:dyDescent="0.35">
      <c r="A529">
        <v>528</v>
      </c>
      <c r="B529" t="s">
        <v>70</v>
      </c>
      <c r="C529">
        <v>121</v>
      </c>
      <c r="D529" t="s">
        <v>25</v>
      </c>
      <c r="E529" t="s">
        <v>22</v>
      </c>
      <c r="F529" t="s">
        <v>22</v>
      </c>
      <c r="G529">
        <v>0</v>
      </c>
      <c r="H529">
        <v>150.69999999999999</v>
      </c>
      <c r="I529">
        <v>105</v>
      </c>
      <c r="J529">
        <v>25.62</v>
      </c>
      <c r="K529">
        <v>197.3</v>
      </c>
      <c r="L529">
        <v>133</v>
      </c>
      <c r="M529">
        <v>16.77</v>
      </c>
      <c r="N529">
        <v>169</v>
      </c>
      <c r="O529">
        <v>116</v>
      </c>
      <c r="P529">
        <v>7.61</v>
      </c>
      <c r="Q529">
        <v>9.1999999999999993</v>
      </c>
      <c r="R529">
        <v>15</v>
      </c>
      <c r="S529">
        <v>2.48</v>
      </c>
      <c r="T529">
        <v>1</v>
      </c>
      <c r="U529" t="s">
        <v>22</v>
      </c>
      <c r="V529" t="e">
        <f>IF(#REF! = "yes", 1, 0)</f>
        <v>#REF!</v>
      </c>
      <c r="W529" t="e">
        <f>IF(#REF! &lt;= 1, "0-1 Calls", IF(#REF! &lt;= 3, "2-3 Calls", IF(#REF! &lt;=5, "4-5 Calls", "6+ Calls")))</f>
        <v>#REF!</v>
      </c>
      <c r="X529" t="e">
        <f>IF(#REF! &lt;= 50, "0-50", IF(#REF! &lt;=100, "51-100", IF(#REF! &lt;= 150, "101-150", "151+")))</f>
        <v>#REF!</v>
      </c>
      <c r="Y529" t="e">
        <f>IF(#REF! &lt;= 3, "Low Charges", "High Charges")</f>
        <v>#REF!</v>
      </c>
      <c r="Z529" t="e">
        <f>IF(#REF!&lt;=80,"Low Calls",
IF(#REF!&lt;=120,"Medium Calls","High Calls"))</f>
        <v>#REF!</v>
      </c>
      <c r="AA529" t="e">
        <f>IF(#REF!&lt;=15,"Low Charges",
IF(#REF!&lt;=20,"Medium Charges","High Charges"))</f>
        <v>#REF!</v>
      </c>
      <c r="AB529" t="e">
        <f>IF(AND(#REF!&gt;180, #REF!&gt;200), "Heavy Doemstic User", IF(#REF!&gt;10, "Interntional User", IF(AND(#REF!&lt;180, #REF!&lt;200,#REF!&lt;200), "Light User", "Balanced User")))</f>
        <v>#REF!</v>
      </c>
      <c r="AC529" t="e">
        <f>IF(#REF! = 0, "No Usage", IF(#REF! &lt;= 20, "Low Usage", IF(#REF! &lt;= 40, "Medium Usgae", "High Usage")))</f>
        <v>#REF!</v>
      </c>
      <c r="AD529" t="e">
        <f>IF(#REF!&lt;=150,"Low Usage", IF(#REF!&lt;=200,"Medium Usage", IF(#REF!&lt;=250,"High Usage","Very High Usage")))</f>
        <v>#REF!</v>
      </c>
      <c r="AE529" t="e">
        <f>IF(#REF!&lt;=5,"Low Calls", IF(#REF!&lt;=10, "Medium Calls", "High Calls"))</f>
        <v>#REF!</v>
      </c>
      <c r="AF529" t="e">
        <f xml:space="preserve">
IF(#REF!&gt;=4,4,0)+
IF(#REF!="yes",3,0)+
IF(#REF!="High Charges",3,0)+
IF(#REF!&gt;250,4,0)+
IF(#REF!="no",1,0)+
IF(#REF!="Heavy Domestic User",2,0)</f>
        <v>#REF!</v>
      </c>
      <c r="AG529" t="e">
        <f>IF(#REF!&gt;=10,"High Risk", IF(#REF!&gt;=5,"Medium Risk","Low Risk"))</f>
        <v>#REF!</v>
      </c>
      <c r="AH529" t="e">
        <f>#REF! + #REF! + #REF! + #REF!</f>
        <v>#REF!</v>
      </c>
    </row>
    <row r="530" spans="1:34" x14ac:dyDescent="0.35">
      <c r="A530">
        <v>529</v>
      </c>
      <c r="B530" t="s">
        <v>58</v>
      </c>
      <c r="C530">
        <v>64</v>
      </c>
      <c r="D530" t="s">
        <v>25</v>
      </c>
      <c r="E530" t="s">
        <v>22</v>
      </c>
      <c r="F530" t="s">
        <v>23</v>
      </c>
      <c r="G530">
        <v>19</v>
      </c>
      <c r="H530">
        <v>180.1</v>
      </c>
      <c r="I530">
        <v>106</v>
      </c>
      <c r="J530">
        <v>30.62</v>
      </c>
      <c r="K530">
        <v>127.5</v>
      </c>
      <c r="L530">
        <v>92</v>
      </c>
      <c r="M530">
        <v>10.84</v>
      </c>
      <c r="N530">
        <v>237.4</v>
      </c>
      <c r="O530">
        <v>118</v>
      </c>
      <c r="P530">
        <v>10.68</v>
      </c>
      <c r="Q530">
        <v>7.5</v>
      </c>
      <c r="R530">
        <v>3</v>
      </c>
      <c r="S530">
        <v>2.0299999999999998</v>
      </c>
      <c r="T530">
        <v>0</v>
      </c>
      <c r="U530" t="s">
        <v>22</v>
      </c>
      <c r="V530" t="e">
        <f>IF(#REF! = "yes", 1, 0)</f>
        <v>#REF!</v>
      </c>
      <c r="W530" t="e">
        <f>IF(#REF! &lt;= 1, "0-1 Calls", IF(#REF! &lt;= 3, "2-3 Calls", IF(#REF! &lt;=5, "4-5 Calls", "6+ Calls")))</f>
        <v>#REF!</v>
      </c>
      <c r="X530" t="e">
        <f>IF(#REF! &lt;= 50, "0-50", IF(#REF! &lt;=100, "51-100", IF(#REF! &lt;= 150, "101-150", "151+")))</f>
        <v>#REF!</v>
      </c>
      <c r="Y530" t="e">
        <f>IF(#REF! &lt;= 3, "Low Charges", "High Charges")</f>
        <v>#REF!</v>
      </c>
      <c r="Z530" t="e">
        <f>IF(#REF!&lt;=80,"Low Calls",
IF(#REF!&lt;=120,"Medium Calls","High Calls"))</f>
        <v>#REF!</v>
      </c>
      <c r="AA530" t="e">
        <f>IF(#REF!&lt;=15,"Low Charges",
IF(#REF!&lt;=20,"Medium Charges","High Charges"))</f>
        <v>#REF!</v>
      </c>
      <c r="AB530" t="e">
        <f>IF(AND(#REF!&gt;180, #REF!&gt;200), "Heavy Doemstic User", IF(#REF!&gt;10, "Interntional User", IF(AND(#REF!&lt;180, #REF!&lt;200,#REF!&lt;200), "Light User", "Balanced User")))</f>
        <v>#REF!</v>
      </c>
      <c r="AC530" t="e">
        <f>IF(#REF! = 0, "No Usage", IF(#REF! &lt;= 20, "Low Usage", IF(#REF! &lt;= 40, "Medium Usgae", "High Usage")))</f>
        <v>#REF!</v>
      </c>
      <c r="AD530" t="e">
        <f>IF(#REF!&lt;=150,"Low Usage", IF(#REF!&lt;=200,"Medium Usage", IF(#REF!&lt;=250,"High Usage","Very High Usage")))</f>
        <v>#REF!</v>
      </c>
      <c r="AE530" t="e">
        <f>IF(#REF!&lt;=5,"Low Calls", IF(#REF!&lt;=10, "Medium Calls", "High Calls"))</f>
        <v>#REF!</v>
      </c>
      <c r="AF530" t="e">
        <f xml:space="preserve">
IF(#REF!&gt;=4,4,0)+
IF(#REF!="yes",3,0)+
IF(#REF!="High Charges",3,0)+
IF(#REF!&gt;250,4,0)+
IF(#REF!="no",1,0)+
IF(#REF!="Heavy Domestic User",2,0)</f>
        <v>#REF!</v>
      </c>
      <c r="AG530" t="e">
        <f>IF(#REF!&gt;=10,"High Risk", IF(#REF!&gt;=5,"Medium Risk","Low Risk"))</f>
        <v>#REF!</v>
      </c>
      <c r="AH530" t="e">
        <f>#REF! + #REF! + #REF! + #REF!</f>
        <v>#REF!</v>
      </c>
    </row>
    <row r="531" spans="1:34" x14ac:dyDescent="0.35">
      <c r="A531">
        <v>530</v>
      </c>
      <c r="B531" t="s">
        <v>35</v>
      </c>
      <c r="C531">
        <v>13</v>
      </c>
      <c r="D531" t="s">
        <v>21</v>
      </c>
      <c r="E531" t="s">
        <v>22</v>
      </c>
      <c r="F531" t="s">
        <v>23</v>
      </c>
      <c r="G531">
        <v>31</v>
      </c>
      <c r="H531">
        <v>265.3</v>
      </c>
      <c r="I531">
        <v>94</v>
      </c>
      <c r="J531">
        <v>45.1</v>
      </c>
      <c r="K531">
        <v>147.6</v>
      </c>
      <c r="L531">
        <v>95</v>
      </c>
      <c r="M531">
        <v>12.55</v>
      </c>
      <c r="N531">
        <v>259.3</v>
      </c>
      <c r="O531">
        <v>117</v>
      </c>
      <c r="P531">
        <v>11.67</v>
      </c>
      <c r="Q531">
        <v>12.9</v>
      </c>
      <c r="R531">
        <v>1</v>
      </c>
      <c r="S531">
        <v>3.48</v>
      </c>
      <c r="T531">
        <v>1</v>
      </c>
      <c r="U531" t="s">
        <v>22</v>
      </c>
      <c r="V531" t="e">
        <f>IF(#REF! = "yes", 1, 0)</f>
        <v>#REF!</v>
      </c>
      <c r="W531" t="e">
        <f>IF(#REF! &lt;= 1, "0-1 Calls", IF(#REF! &lt;= 3, "2-3 Calls", IF(#REF! &lt;=5, "4-5 Calls", "6+ Calls")))</f>
        <v>#REF!</v>
      </c>
      <c r="X531" t="e">
        <f>IF(#REF! &lt;= 50, "0-50", IF(#REF! &lt;=100, "51-100", IF(#REF! &lt;= 150, "101-150", "151+")))</f>
        <v>#REF!</v>
      </c>
      <c r="Y531" t="e">
        <f>IF(#REF! &lt;= 3, "Low Charges", "High Charges")</f>
        <v>#REF!</v>
      </c>
      <c r="Z531" t="e">
        <f>IF(#REF!&lt;=80,"Low Calls",
IF(#REF!&lt;=120,"Medium Calls","High Calls"))</f>
        <v>#REF!</v>
      </c>
      <c r="AA531" t="e">
        <f>IF(#REF!&lt;=15,"Low Charges",
IF(#REF!&lt;=20,"Medium Charges","High Charges"))</f>
        <v>#REF!</v>
      </c>
      <c r="AB531" t="e">
        <f>IF(AND(#REF!&gt;180, #REF!&gt;200), "Heavy Doemstic User", IF(#REF!&gt;10, "Interntional User", IF(AND(#REF!&lt;180, #REF!&lt;200,#REF!&lt;200), "Light User", "Balanced User")))</f>
        <v>#REF!</v>
      </c>
      <c r="AC531" t="e">
        <f>IF(#REF! = 0, "No Usage", IF(#REF! &lt;= 20, "Low Usage", IF(#REF! &lt;= 40, "Medium Usgae", "High Usage")))</f>
        <v>#REF!</v>
      </c>
      <c r="AD531" t="e">
        <f>IF(#REF!&lt;=150,"Low Usage", IF(#REF!&lt;=200,"Medium Usage", IF(#REF!&lt;=250,"High Usage","Very High Usage")))</f>
        <v>#REF!</v>
      </c>
      <c r="AE531" t="e">
        <f>IF(#REF!&lt;=5,"Low Calls", IF(#REF!&lt;=10, "Medium Calls", "High Calls"))</f>
        <v>#REF!</v>
      </c>
      <c r="AF531" t="e">
        <f xml:space="preserve">
IF(#REF!&gt;=4,4,0)+
IF(#REF!="yes",3,0)+
IF(#REF!="High Charges",3,0)+
IF(#REF!&gt;250,4,0)+
IF(#REF!="no",1,0)+
IF(#REF!="Heavy Domestic User",2,0)</f>
        <v>#REF!</v>
      </c>
      <c r="AG531" t="e">
        <f>IF(#REF!&gt;=10,"High Risk", IF(#REF!&gt;=5,"Medium Risk","Low Risk"))</f>
        <v>#REF!</v>
      </c>
      <c r="AH531" t="e">
        <f>#REF! + #REF! + #REF! + #REF!</f>
        <v>#REF!</v>
      </c>
    </row>
    <row r="532" spans="1:34" x14ac:dyDescent="0.35">
      <c r="A532">
        <v>531</v>
      </c>
      <c r="B532" t="s">
        <v>54</v>
      </c>
      <c r="C532">
        <v>106</v>
      </c>
      <c r="D532" t="s">
        <v>21</v>
      </c>
      <c r="E532" t="s">
        <v>22</v>
      </c>
      <c r="F532" t="s">
        <v>22</v>
      </c>
      <c r="G532">
        <v>0</v>
      </c>
      <c r="H532">
        <v>128.6</v>
      </c>
      <c r="I532">
        <v>83</v>
      </c>
      <c r="J532">
        <v>21.86</v>
      </c>
      <c r="K532">
        <v>134</v>
      </c>
      <c r="L532">
        <v>114</v>
      </c>
      <c r="M532">
        <v>11.39</v>
      </c>
      <c r="N532">
        <v>210.6</v>
      </c>
      <c r="O532">
        <v>113</v>
      </c>
      <c r="P532">
        <v>9.48</v>
      </c>
      <c r="Q532">
        <v>11.4</v>
      </c>
      <c r="R532">
        <v>2</v>
      </c>
      <c r="S532">
        <v>3.08</v>
      </c>
      <c r="T532">
        <v>0</v>
      </c>
      <c r="U532" t="s">
        <v>22</v>
      </c>
      <c r="V532" t="e">
        <f>IF(#REF! = "yes", 1, 0)</f>
        <v>#REF!</v>
      </c>
      <c r="W532" t="e">
        <f>IF(#REF! &lt;= 1, "0-1 Calls", IF(#REF! &lt;= 3, "2-3 Calls", IF(#REF! &lt;=5, "4-5 Calls", "6+ Calls")))</f>
        <v>#REF!</v>
      </c>
      <c r="X532" t="e">
        <f>IF(#REF! &lt;= 50, "0-50", IF(#REF! &lt;=100, "51-100", IF(#REF! &lt;= 150, "101-150", "151+")))</f>
        <v>#REF!</v>
      </c>
      <c r="Y532" t="e">
        <f>IF(#REF! &lt;= 3, "Low Charges", "High Charges")</f>
        <v>#REF!</v>
      </c>
      <c r="Z532" t="e">
        <f>IF(#REF!&lt;=80,"Low Calls",
IF(#REF!&lt;=120,"Medium Calls","High Calls"))</f>
        <v>#REF!</v>
      </c>
      <c r="AA532" t="e">
        <f>IF(#REF!&lt;=15,"Low Charges",
IF(#REF!&lt;=20,"Medium Charges","High Charges"))</f>
        <v>#REF!</v>
      </c>
      <c r="AB532" t="e">
        <f>IF(AND(#REF!&gt;180, #REF!&gt;200), "Heavy Doemstic User", IF(#REF!&gt;10, "Interntional User", IF(AND(#REF!&lt;180, #REF!&lt;200,#REF!&lt;200), "Light User", "Balanced User")))</f>
        <v>#REF!</v>
      </c>
      <c r="AC532" t="e">
        <f>IF(#REF! = 0, "No Usage", IF(#REF! &lt;= 20, "Low Usage", IF(#REF! &lt;= 40, "Medium Usgae", "High Usage")))</f>
        <v>#REF!</v>
      </c>
      <c r="AD532" t="e">
        <f>IF(#REF!&lt;=150,"Low Usage", IF(#REF!&lt;=200,"Medium Usage", IF(#REF!&lt;=250,"High Usage","Very High Usage")))</f>
        <v>#REF!</v>
      </c>
      <c r="AE532" t="e">
        <f>IF(#REF!&lt;=5,"Low Calls", IF(#REF!&lt;=10, "Medium Calls", "High Calls"))</f>
        <v>#REF!</v>
      </c>
      <c r="AF532" t="e">
        <f xml:space="preserve">
IF(#REF!&gt;=4,4,0)+
IF(#REF!="yes",3,0)+
IF(#REF!="High Charges",3,0)+
IF(#REF!&gt;250,4,0)+
IF(#REF!="no",1,0)+
IF(#REF!="Heavy Domestic User",2,0)</f>
        <v>#REF!</v>
      </c>
      <c r="AG532" t="e">
        <f>IF(#REF!&gt;=10,"High Risk", IF(#REF!&gt;=5,"Medium Risk","Low Risk"))</f>
        <v>#REF!</v>
      </c>
      <c r="AH532" t="e">
        <f>#REF! + #REF! + #REF! + #REF!</f>
        <v>#REF!</v>
      </c>
    </row>
    <row r="533" spans="1:34" x14ac:dyDescent="0.35">
      <c r="A533">
        <v>532</v>
      </c>
      <c r="B533" t="s">
        <v>75</v>
      </c>
      <c r="C533">
        <v>88</v>
      </c>
      <c r="D533" t="s">
        <v>21</v>
      </c>
      <c r="E533" t="s">
        <v>22</v>
      </c>
      <c r="F533" t="s">
        <v>22</v>
      </c>
      <c r="G533">
        <v>0</v>
      </c>
      <c r="H533">
        <v>161.5</v>
      </c>
      <c r="I533">
        <v>92</v>
      </c>
      <c r="J533">
        <v>27.46</v>
      </c>
      <c r="K533">
        <v>173.5</v>
      </c>
      <c r="L533">
        <v>108</v>
      </c>
      <c r="M533">
        <v>14.75</v>
      </c>
      <c r="N533">
        <v>206.2</v>
      </c>
      <c r="O533">
        <v>95</v>
      </c>
      <c r="P533">
        <v>9.2799999999999994</v>
      </c>
      <c r="Q533">
        <v>7.9</v>
      </c>
      <c r="R533">
        <v>4</v>
      </c>
      <c r="S533">
        <v>2.13</v>
      </c>
      <c r="T533">
        <v>2</v>
      </c>
      <c r="U533" t="s">
        <v>22</v>
      </c>
      <c r="V533" t="e">
        <f>IF(#REF! = "yes", 1, 0)</f>
        <v>#REF!</v>
      </c>
      <c r="W533" t="e">
        <f>IF(#REF! &lt;= 1, "0-1 Calls", IF(#REF! &lt;= 3, "2-3 Calls", IF(#REF! &lt;=5, "4-5 Calls", "6+ Calls")))</f>
        <v>#REF!</v>
      </c>
      <c r="X533" t="e">
        <f>IF(#REF! &lt;= 50, "0-50", IF(#REF! &lt;=100, "51-100", IF(#REF! &lt;= 150, "101-150", "151+")))</f>
        <v>#REF!</v>
      </c>
      <c r="Y533" t="e">
        <f>IF(#REF! &lt;= 3, "Low Charges", "High Charges")</f>
        <v>#REF!</v>
      </c>
      <c r="Z533" t="e">
        <f>IF(#REF!&lt;=80,"Low Calls",
IF(#REF!&lt;=120,"Medium Calls","High Calls"))</f>
        <v>#REF!</v>
      </c>
      <c r="AA533" t="e">
        <f>IF(#REF!&lt;=15,"Low Charges",
IF(#REF!&lt;=20,"Medium Charges","High Charges"))</f>
        <v>#REF!</v>
      </c>
      <c r="AB533" t="e">
        <f>IF(AND(#REF!&gt;180, #REF!&gt;200), "Heavy Doemstic User", IF(#REF!&gt;10, "Interntional User", IF(AND(#REF!&lt;180, #REF!&lt;200,#REF!&lt;200), "Light User", "Balanced User")))</f>
        <v>#REF!</v>
      </c>
      <c r="AC533" t="e">
        <f>IF(#REF! = 0, "No Usage", IF(#REF! &lt;= 20, "Low Usage", IF(#REF! &lt;= 40, "Medium Usgae", "High Usage")))</f>
        <v>#REF!</v>
      </c>
      <c r="AD533" t="e">
        <f>IF(#REF!&lt;=150,"Low Usage", IF(#REF!&lt;=200,"Medium Usage", IF(#REF!&lt;=250,"High Usage","Very High Usage")))</f>
        <v>#REF!</v>
      </c>
      <c r="AE533" t="e">
        <f>IF(#REF!&lt;=5,"Low Calls", IF(#REF!&lt;=10, "Medium Calls", "High Calls"))</f>
        <v>#REF!</v>
      </c>
      <c r="AF533" t="e">
        <f xml:space="preserve">
IF(#REF!&gt;=4,4,0)+
IF(#REF!="yes",3,0)+
IF(#REF!="High Charges",3,0)+
IF(#REF!&gt;250,4,0)+
IF(#REF!="no",1,0)+
IF(#REF!="Heavy Domestic User",2,0)</f>
        <v>#REF!</v>
      </c>
      <c r="AG533" t="e">
        <f>IF(#REF!&gt;=10,"High Risk", IF(#REF!&gt;=5,"Medium Risk","Low Risk"))</f>
        <v>#REF!</v>
      </c>
      <c r="AH533" t="e">
        <f>#REF! + #REF! + #REF! + #REF!</f>
        <v>#REF!</v>
      </c>
    </row>
    <row r="534" spans="1:34" x14ac:dyDescent="0.35">
      <c r="A534">
        <v>533</v>
      </c>
      <c r="B534" t="s">
        <v>38</v>
      </c>
      <c r="C534">
        <v>74</v>
      </c>
      <c r="D534" t="s">
        <v>25</v>
      </c>
      <c r="E534" t="s">
        <v>22</v>
      </c>
      <c r="F534" t="s">
        <v>22</v>
      </c>
      <c r="G534">
        <v>0</v>
      </c>
      <c r="H534">
        <v>165.3</v>
      </c>
      <c r="I534">
        <v>120</v>
      </c>
      <c r="J534">
        <v>28.1</v>
      </c>
      <c r="K534">
        <v>198.5</v>
      </c>
      <c r="L534">
        <v>106</v>
      </c>
      <c r="M534">
        <v>16.87</v>
      </c>
      <c r="N534">
        <v>208.5</v>
      </c>
      <c r="O534">
        <v>102</v>
      </c>
      <c r="P534">
        <v>9.3800000000000008</v>
      </c>
      <c r="Q534">
        <v>9.8000000000000007</v>
      </c>
      <c r="R534">
        <v>3</v>
      </c>
      <c r="S534">
        <v>2.65</v>
      </c>
      <c r="T534">
        <v>1</v>
      </c>
      <c r="U534" t="s">
        <v>22</v>
      </c>
      <c r="V534" t="e">
        <f>IF(#REF! = "yes", 1, 0)</f>
        <v>#REF!</v>
      </c>
      <c r="W534" t="e">
        <f>IF(#REF! &lt;= 1, "0-1 Calls", IF(#REF! &lt;= 3, "2-3 Calls", IF(#REF! &lt;=5, "4-5 Calls", "6+ Calls")))</f>
        <v>#REF!</v>
      </c>
      <c r="X534" t="e">
        <f>IF(#REF! &lt;= 50, "0-50", IF(#REF! &lt;=100, "51-100", IF(#REF! &lt;= 150, "101-150", "151+")))</f>
        <v>#REF!</v>
      </c>
      <c r="Y534" t="e">
        <f>IF(#REF! &lt;= 3, "Low Charges", "High Charges")</f>
        <v>#REF!</v>
      </c>
      <c r="Z534" t="e">
        <f>IF(#REF!&lt;=80,"Low Calls",
IF(#REF!&lt;=120,"Medium Calls","High Calls"))</f>
        <v>#REF!</v>
      </c>
      <c r="AA534" t="e">
        <f>IF(#REF!&lt;=15,"Low Charges",
IF(#REF!&lt;=20,"Medium Charges","High Charges"))</f>
        <v>#REF!</v>
      </c>
      <c r="AB534" t="e">
        <f>IF(AND(#REF!&gt;180, #REF!&gt;200), "Heavy Doemstic User", IF(#REF!&gt;10, "Interntional User", IF(AND(#REF!&lt;180, #REF!&lt;200,#REF!&lt;200), "Light User", "Balanced User")))</f>
        <v>#REF!</v>
      </c>
      <c r="AC534" t="e">
        <f>IF(#REF! = 0, "No Usage", IF(#REF! &lt;= 20, "Low Usage", IF(#REF! &lt;= 40, "Medium Usgae", "High Usage")))</f>
        <v>#REF!</v>
      </c>
      <c r="AD534" t="e">
        <f>IF(#REF!&lt;=150,"Low Usage", IF(#REF!&lt;=200,"Medium Usage", IF(#REF!&lt;=250,"High Usage","Very High Usage")))</f>
        <v>#REF!</v>
      </c>
      <c r="AE534" t="e">
        <f>IF(#REF!&lt;=5,"Low Calls", IF(#REF!&lt;=10, "Medium Calls", "High Calls"))</f>
        <v>#REF!</v>
      </c>
      <c r="AF534" t="e">
        <f xml:space="preserve">
IF(#REF!&gt;=4,4,0)+
IF(#REF!="yes",3,0)+
IF(#REF!="High Charges",3,0)+
IF(#REF!&gt;250,4,0)+
IF(#REF!="no",1,0)+
IF(#REF!="Heavy Domestic User",2,0)</f>
        <v>#REF!</v>
      </c>
      <c r="AG534" t="e">
        <f>IF(#REF!&gt;=10,"High Risk", IF(#REF!&gt;=5,"Medium Risk","Low Risk"))</f>
        <v>#REF!</v>
      </c>
      <c r="AH534" t="e">
        <f>#REF! + #REF! + #REF! + #REF!</f>
        <v>#REF!</v>
      </c>
    </row>
    <row r="535" spans="1:34" x14ac:dyDescent="0.35">
      <c r="A535">
        <v>534</v>
      </c>
      <c r="B535" t="s">
        <v>72</v>
      </c>
      <c r="C535">
        <v>83</v>
      </c>
      <c r="D535" t="s">
        <v>21</v>
      </c>
      <c r="E535" t="s">
        <v>22</v>
      </c>
      <c r="F535" t="s">
        <v>22</v>
      </c>
      <c r="G535">
        <v>0</v>
      </c>
      <c r="H535">
        <v>195</v>
      </c>
      <c r="I535">
        <v>92</v>
      </c>
      <c r="J535">
        <v>33.15</v>
      </c>
      <c r="K535">
        <v>210.5</v>
      </c>
      <c r="L535">
        <v>83</v>
      </c>
      <c r="M535">
        <v>17.89</v>
      </c>
      <c r="N535">
        <v>180.6</v>
      </c>
      <c r="O535">
        <v>92</v>
      </c>
      <c r="P535">
        <v>8.1300000000000008</v>
      </c>
      <c r="Q535">
        <v>11</v>
      </c>
      <c r="R535">
        <v>13</v>
      </c>
      <c r="S535">
        <v>2.97</v>
      </c>
      <c r="T535">
        <v>0</v>
      </c>
      <c r="U535" t="s">
        <v>22</v>
      </c>
      <c r="V535" t="e">
        <f>IF(#REF! = "yes", 1, 0)</f>
        <v>#REF!</v>
      </c>
      <c r="W535" t="e">
        <f>IF(#REF! &lt;= 1, "0-1 Calls", IF(#REF! &lt;= 3, "2-3 Calls", IF(#REF! &lt;=5, "4-5 Calls", "6+ Calls")))</f>
        <v>#REF!</v>
      </c>
      <c r="X535" t="e">
        <f>IF(#REF! &lt;= 50, "0-50", IF(#REF! &lt;=100, "51-100", IF(#REF! &lt;= 150, "101-150", "151+")))</f>
        <v>#REF!</v>
      </c>
      <c r="Y535" t="e">
        <f>IF(#REF! &lt;= 3, "Low Charges", "High Charges")</f>
        <v>#REF!</v>
      </c>
      <c r="Z535" t="e">
        <f>IF(#REF!&lt;=80,"Low Calls",
IF(#REF!&lt;=120,"Medium Calls","High Calls"))</f>
        <v>#REF!</v>
      </c>
      <c r="AA535" t="e">
        <f>IF(#REF!&lt;=15,"Low Charges",
IF(#REF!&lt;=20,"Medium Charges","High Charges"))</f>
        <v>#REF!</v>
      </c>
      <c r="AB535" t="e">
        <f>IF(AND(#REF!&gt;180, #REF!&gt;200), "Heavy Doemstic User", IF(#REF!&gt;10, "Interntional User", IF(AND(#REF!&lt;180, #REF!&lt;200,#REF!&lt;200), "Light User", "Balanced User")))</f>
        <v>#REF!</v>
      </c>
      <c r="AC535" t="e">
        <f>IF(#REF! = 0, "No Usage", IF(#REF! &lt;= 20, "Low Usage", IF(#REF! &lt;= 40, "Medium Usgae", "High Usage")))</f>
        <v>#REF!</v>
      </c>
      <c r="AD535" t="e">
        <f>IF(#REF!&lt;=150,"Low Usage", IF(#REF!&lt;=200,"Medium Usage", IF(#REF!&lt;=250,"High Usage","Very High Usage")))</f>
        <v>#REF!</v>
      </c>
      <c r="AE535" t="e">
        <f>IF(#REF!&lt;=5,"Low Calls", IF(#REF!&lt;=10, "Medium Calls", "High Calls"))</f>
        <v>#REF!</v>
      </c>
      <c r="AF535" t="e">
        <f xml:space="preserve">
IF(#REF!&gt;=4,4,0)+
IF(#REF!="yes",3,0)+
IF(#REF!="High Charges",3,0)+
IF(#REF!&gt;250,4,0)+
IF(#REF!="no",1,0)+
IF(#REF!="Heavy Domestic User",2,0)</f>
        <v>#REF!</v>
      </c>
      <c r="AG535" t="e">
        <f>IF(#REF!&gt;=10,"High Risk", IF(#REF!&gt;=5,"Medium Risk","Low Risk"))</f>
        <v>#REF!</v>
      </c>
      <c r="AH535" t="e">
        <f>#REF! + #REF! + #REF! + #REF!</f>
        <v>#REF!</v>
      </c>
    </row>
    <row r="536" spans="1:34" x14ac:dyDescent="0.35">
      <c r="A536">
        <v>535</v>
      </c>
      <c r="B536" t="s">
        <v>26</v>
      </c>
      <c r="C536">
        <v>49</v>
      </c>
      <c r="D536" t="s">
        <v>21</v>
      </c>
      <c r="E536" t="s">
        <v>22</v>
      </c>
      <c r="F536" t="s">
        <v>22</v>
      </c>
      <c r="G536">
        <v>0</v>
      </c>
      <c r="H536">
        <v>213.8</v>
      </c>
      <c r="I536">
        <v>79</v>
      </c>
      <c r="J536">
        <v>36.35</v>
      </c>
      <c r="K536">
        <v>265.10000000000002</v>
      </c>
      <c r="L536">
        <v>93</v>
      </c>
      <c r="M536">
        <v>22.53</v>
      </c>
      <c r="N536">
        <v>239.8</v>
      </c>
      <c r="O536">
        <v>128</v>
      </c>
      <c r="P536">
        <v>10.79</v>
      </c>
      <c r="Q536">
        <v>15.6</v>
      </c>
      <c r="R536">
        <v>7</v>
      </c>
      <c r="S536">
        <v>4.21</v>
      </c>
      <c r="T536">
        <v>0</v>
      </c>
      <c r="U536" t="s">
        <v>22</v>
      </c>
      <c r="V536" t="e">
        <f>IF(#REF! = "yes", 1, 0)</f>
        <v>#REF!</v>
      </c>
      <c r="W536" t="e">
        <f>IF(#REF! &lt;= 1, "0-1 Calls", IF(#REF! &lt;= 3, "2-3 Calls", IF(#REF! &lt;=5, "4-5 Calls", "6+ Calls")))</f>
        <v>#REF!</v>
      </c>
      <c r="X536" t="e">
        <f>IF(#REF! &lt;= 50, "0-50", IF(#REF! &lt;=100, "51-100", IF(#REF! &lt;= 150, "101-150", "151+")))</f>
        <v>#REF!</v>
      </c>
      <c r="Y536" t="e">
        <f>IF(#REF! &lt;= 3, "Low Charges", "High Charges")</f>
        <v>#REF!</v>
      </c>
      <c r="Z536" t="e">
        <f>IF(#REF!&lt;=80,"Low Calls",
IF(#REF!&lt;=120,"Medium Calls","High Calls"))</f>
        <v>#REF!</v>
      </c>
      <c r="AA536" t="e">
        <f>IF(#REF!&lt;=15,"Low Charges",
IF(#REF!&lt;=20,"Medium Charges","High Charges"))</f>
        <v>#REF!</v>
      </c>
      <c r="AB536" t="e">
        <f>IF(AND(#REF!&gt;180, #REF!&gt;200), "Heavy Doemstic User", IF(#REF!&gt;10, "Interntional User", IF(AND(#REF!&lt;180, #REF!&lt;200,#REF!&lt;200), "Light User", "Balanced User")))</f>
        <v>#REF!</v>
      </c>
      <c r="AC536" t="e">
        <f>IF(#REF! = 0, "No Usage", IF(#REF! &lt;= 20, "Low Usage", IF(#REF! &lt;= 40, "Medium Usgae", "High Usage")))</f>
        <v>#REF!</v>
      </c>
      <c r="AD536" t="e">
        <f>IF(#REF!&lt;=150,"Low Usage", IF(#REF!&lt;=200,"Medium Usage", IF(#REF!&lt;=250,"High Usage","Very High Usage")))</f>
        <v>#REF!</v>
      </c>
      <c r="AE536" t="e">
        <f>IF(#REF!&lt;=5,"Low Calls", IF(#REF!&lt;=10, "Medium Calls", "High Calls"))</f>
        <v>#REF!</v>
      </c>
      <c r="AF536" t="e">
        <f xml:space="preserve">
IF(#REF!&gt;=4,4,0)+
IF(#REF!="yes",3,0)+
IF(#REF!="High Charges",3,0)+
IF(#REF!&gt;250,4,0)+
IF(#REF!="no",1,0)+
IF(#REF!="Heavy Domestic User",2,0)</f>
        <v>#REF!</v>
      </c>
      <c r="AG536" t="e">
        <f>IF(#REF!&gt;=10,"High Risk", IF(#REF!&gt;=5,"Medium Risk","Low Risk"))</f>
        <v>#REF!</v>
      </c>
      <c r="AH536" t="e">
        <f>#REF! + #REF! + #REF! + #REF!</f>
        <v>#REF!</v>
      </c>
    </row>
    <row r="537" spans="1:34" x14ac:dyDescent="0.35">
      <c r="A537">
        <v>536</v>
      </c>
      <c r="B537" t="s">
        <v>41</v>
      </c>
      <c r="C537">
        <v>111</v>
      </c>
      <c r="D537" t="s">
        <v>28</v>
      </c>
      <c r="E537" t="s">
        <v>22</v>
      </c>
      <c r="F537" t="s">
        <v>23</v>
      </c>
      <c r="G537">
        <v>24</v>
      </c>
      <c r="H537">
        <v>205.5</v>
      </c>
      <c r="I537">
        <v>114</v>
      </c>
      <c r="J537">
        <v>34.94</v>
      </c>
      <c r="K537">
        <v>219.3</v>
      </c>
      <c r="L537">
        <v>99</v>
      </c>
      <c r="M537">
        <v>18.64</v>
      </c>
      <c r="N537">
        <v>215.9</v>
      </c>
      <c r="O537">
        <v>95</v>
      </c>
      <c r="P537">
        <v>9.7200000000000006</v>
      </c>
      <c r="Q537">
        <v>14</v>
      </c>
      <c r="R537">
        <v>4</v>
      </c>
      <c r="S537">
        <v>3.78</v>
      </c>
      <c r="T537">
        <v>1</v>
      </c>
      <c r="U537" t="s">
        <v>22</v>
      </c>
      <c r="V537" t="e">
        <f>IF(#REF! = "yes", 1, 0)</f>
        <v>#REF!</v>
      </c>
      <c r="W537" t="e">
        <f>IF(#REF! &lt;= 1, "0-1 Calls", IF(#REF! &lt;= 3, "2-3 Calls", IF(#REF! &lt;=5, "4-5 Calls", "6+ Calls")))</f>
        <v>#REF!</v>
      </c>
      <c r="X537" t="e">
        <f>IF(#REF! &lt;= 50, "0-50", IF(#REF! &lt;=100, "51-100", IF(#REF! &lt;= 150, "101-150", "151+")))</f>
        <v>#REF!</v>
      </c>
      <c r="Y537" t="e">
        <f>IF(#REF! &lt;= 3, "Low Charges", "High Charges")</f>
        <v>#REF!</v>
      </c>
      <c r="Z537" t="e">
        <f>IF(#REF!&lt;=80,"Low Calls",
IF(#REF!&lt;=120,"Medium Calls","High Calls"))</f>
        <v>#REF!</v>
      </c>
      <c r="AA537" t="e">
        <f>IF(#REF!&lt;=15,"Low Charges",
IF(#REF!&lt;=20,"Medium Charges","High Charges"))</f>
        <v>#REF!</v>
      </c>
      <c r="AB537" t="e">
        <f>IF(AND(#REF!&gt;180, #REF!&gt;200), "Heavy Doemstic User", IF(#REF!&gt;10, "Interntional User", IF(AND(#REF!&lt;180, #REF!&lt;200,#REF!&lt;200), "Light User", "Balanced User")))</f>
        <v>#REF!</v>
      </c>
      <c r="AC537" t="e">
        <f>IF(#REF! = 0, "No Usage", IF(#REF! &lt;= 20, "Low Usage", IF(#REF! &lt;= 40, "Medium Usgae", "High Usage")))</f>
        <v>#REF!</v>
      </c>
      <c r="AD537" t="e">
        <f>IF(#REF!&lt;=150,"Low Usage", IF(#REF!&lt;=200,"Medium Usage", IF(#REF!&lt;=250,"High Usage","Very High Usage")))</f>
        <v>#REF!</v>
      </c>
      <c r="AE537" t="e">
        <f>IF(#REF!&lt;=5,"Low Calls", IF(#REF!&lt;=10, "Medium Calls", "High Calls"))</f>
        <v>#REF!</v>
      </c>
      <c r="AF537" t="e">
        <f xml:space="preserve">
IF(#REF!&gt;=4,4,0)+
IF(#REF!="yes",3,0)+
IF(#REF!="High Charges",3,0)+
IF(#REF!&gt;250,4,0)+
IF(#REF!="no",1,0)+
IF(#REF!="Heavy Domestic User",2,0)</f>
        <v>#REF!</v>
      </c>
      <c r="AG537" t="e">
        <f>IF(#REF!&gt;=10,"High Risk", IF(#REF!&gt;=5,"Medium Risk","Low Risk"))</f>
        <v>#REF!</v>
      </c>
      <c r="AH537" t="e">
        <f>#REF! + #REF! + #REF! + #REF!</f>
        <v>#REF!</v>
      </c>
    </row>
    <row r="538" spans="1:34" x14ac:dyDescent="0.35">
      <c r="A538">
        <v>537</v>
      </c>
      <c r="B538" t="s">
        <v>35</v>
      </c>
      <c r="C538">
        <v>50</v>
      </c>
      <c r="D538" t="s">
        <v>21</v>
      </c>
      <c r="E538" t="s">
        <v>22</v>
      </c>
      <c r="F538" t="s">
        <v>23</v>
      </c>
      <c r="G538">
        <v>22</v>
      </c>
      <c r="H538">
        <v>252.9</v>
      </c>
      <c r="I538">
        <v>112</v>
      </c>
      <c r="J538">
        <v>42.99</v>
      </c>
      <c r="K538">
        <v>177.9</v>
      </c>
      <c r="L538">
        <v>99</v>
      </c>
      <c r="M538">
        <v>15.12</v>
      </c>
      <c r="N538">
        <v>158.4</v>
      </c>
      <c r="O538">
        <v>146</v>
      </c>
      <c r="P538">
        <v>7.13</v>
      </c>
      <c r="Q538">
        <v>8.5</v>
      </c>
      <c r="R538">
        <v>4</v>
      </c>
      <c r="S538">
        <v>2.2999999999999998</v>
      </c>
      <c r="T538">
        <v>3</v>
      </c>
      <c r="U538" t="s">
        <v>22</v>
      </c>
      <c r="V538" t="e">
        <f>IF(#REF! = "yes", 1, 0)</f>
        <v>#REF!</v>
      </c>
      <c r="W538" t="e">
        <f>IF(#REF! &lt;= 1, "0-1 Calls", IF(#REF! &lt;= 3, "2-3 Calls", IF(#REF! &lt;=5, "4-5 Calls", "6+ Calls")))</f>
        <v>#REF!</v>
      </c>
      <c r="X538" t="e">
        <f>IF(#REF! &lt;= 50, "0-50", IF(#REF! &lt;=100, "51-100", IF(#REF! &lt;= 150, "101-150", "151+")))</f>
        <v>#REF!</v>
      </c>
      <c r="Y538" t="e">
        <f>IF(#REF! &lt;= 3, "Low Charges", "High Charges")</f>
        <v>#REF!</v>
      </c>
      <c r="Z538" t="e">
        <f>IF(#REF!&lt;=80,"Low Calls",
IF(#REF!&lt;=120,"Medium Calls","High Calls"))</f>
        <v>#REF!</v>
      </c>
      <c r="AA538" t="e">
        <f>IF(#REF!&lt;=15,"Low Charges",
IF(#REF!&lt;=20,"Medium Charges","High Charges"))</f>
        <v>#REF!</v>
      </c>
      <c r="AB538" t="e">
        <f>IF(AND(#REF!&gt;180, #REF!&gt;200), "Heavy Doemstic User", IF(#REF!&gt;10, "Interntional User", IF(AND(#REF!&lt;180, #REF!&lt;200,#REF!&lt;200), "Light User", "Balanced User")))</f>
        <v>#REF!</v>
      </c>
      <c r="AC538" t="e">
        <f>IF(#REF! = 0, "No Usage", IF(#REF! &lt;= 20, "Low Usage", IF(#REF! &lt;= 40, "Medium Usgae", "High Usage")))</f>
        <v>#REF!</v>
      </c>
      <c r="AD538" t="e">
        <f>IF(#REF!&lt;=150,"Low Usage", IF(#REF!&lt;=200,"Medium Usage", IF(#REF!&lt;=250,"High Usage","Very High Usage")))</f>
        <v>#REF!</v>
      </c>
      <c r="AE538" t="e">
        <f>IF(#REF!&lt;=5,"Low Calls", IF(#REF!&lt;=10, "Medium Calls", "High Calls"))</f>
        <v>#REF!</v>
      </c>
      <c r="AF538" t="e">
        <f xml:space="preserve">
IF(#REF!&gt;=4,4,0)+
IF(#REF!="yes",3,0)+
IF(#REF!="High Charges",3,0)+
IF(#REF!&gt;250,4,0)+
IF(#REF!="no",1,0)+
IF(#REF!="Heavy Domestic User",2,0)</f>
        <v>#REF!</v>
      </c>
      <c r="AG538" t="e">
        <f>IF(#REF!&gt;=10,"High Risk", IF(#REF!&gt;=5,"Medium Risk","Low Risk"))</f>
        <v>#REF!</v>
      </c>
      <c r="AH538" t="e">
        <f>#REF! + #REF! + #REF! + #REF!</f>
        <v>#REF!</v>
      </c>
    </row>
    <row r="539" spans="1:34" x14ac:dyDescent="0.35">
      <c r="A539">
        <v>538</v>
      </c>
      <c r="B539" t="s">
        <v>66</v>
      </c>
      <c r="C539">
        <v>88</v>
      </c>
      <c r="D539" t="s">
        <v>21</v>
      </c>
      <c r="E539" t="s">
        <v>22</v>
      </c>
      <c r="F539" t="s">
        <v>22</v>
      </c>
      <c r="G539">
        <v>0</v>
      </c>
      <c r="H539">
        <v>192</v>
      </c>
      <c r="I539">
        <v>91</v>
      </c>
      <c r="J539">
        <v>32.64</v>
      </c>
      <c r="K539">
        <v>127.6</v>
      </c>
      <c r="L539">
        <v>127</v>
      </c>
      <c r="M539">
        <v>10.85</v>
      </c>
      <c r="N539">
        <v>155.6</v>
      </c>
      <c r="O539">
        <v>125</v>
      </c>
      <c r="P539">
        <v>7</v>
      </c>
      <c r="Q539">
        <v>7.5</v>
      </c>
      <c r="R539">
        <v>5</v>
      </c>
      <c r="S539">
        <v>2.0299999999999998</v>
      </c>
      <c r="T539">
        <v>1</v>
      </c>
      <c r="U539" t="s">
        <v>22</v>
      </c>
      <c r="V539" t="e">
        <f>IF(#REF! = "yes", 1, 0)</f>
        <v>#REF!</v>
      </c>
      <c r="W539" t="e">
        <f>IF(#REF! &lt;= 1, "0-1 Calls", IF(#REF! &lt;= 3, "2-3 Calls", IF(#REF! &lt;=5, "4-5 Calls", "6+ Calls")))</f>
        <v>#REF!</v>
      </c>
      <c r="X539" t="e">
        <f>IF(#REF! &lt;= 50, "0-50", IF(#REF! &lt;=100, "51-100", IF(#REF! &lt;= 150, "101-150", "151+")))</f>
        <v>#REF!</v>
      </c>
      <c r="Y539" t="e">
        <f>IF(#REF! &lt;= 3, "Low Charges", "High Charges")</f>
        <v>#REF!</v>
      </c>
      <c r="Z539" t="e">
        <f>IF(#REF!&lt;=80,"Low Calls",
IF(#REF!&lt;=120,"Medium Calls","High Calls"))</f>
        <v>#REF!</v>
      </c>
      <c r="AA539" t="e">
        <f>IF(#REF!&lt;=15,"Low Charges",
IF(#REF!&lt;=20,"Medium Charges","High Charges"))</f>
        <v>#REF!</v>
      </c>
      <c r="AB539" t="e">
        <f>IF(AND(#REF!&gt;180, #REF!&gt;200), "Heavy Doemstic User", IF(#REF!&gt;10, "Interntional User", IF(AND(#REF!&lt;180, #REF!&lt;200,#REF!&lt;200), "Light User", "Balanced User")))</f>
        <v>#REF!</v>
      </c>
      <c r="AC539" t="e">
        <f>IF(#REF! = 0, "No Usage", IF(#REF! &lt;= 20, "Low Usage", IF(#REF! &lt;= 40, "Medium Usgae", "High Usage")))</f>
        <v>#REF!</v>
      </c>
      <c r="AD539" t="e">
        <f>IF(#REF!&lt;=150,"Low Usage", IF(#REF!&lt;=200,"Medium Usage", IF(#REF!&lt;=250,"High Usage","Very High Usage")))</f>
        <v>#REF!</v>
      </c>
      <c r="AE539" t="e">
        <f>IF(#REF!&lt;=5,"Low Calls", IF(#REF!&lt;=10, "Medium Calls", "High Calls"))</f>
        <v>#REF!</v>
      </c>
      <c r="AF539" t="e">
        <f xml:space="preserve">
IF(#REF!&gt;=4,4,0)+
IF(#REF!="yes",3,0)+
IF(#REF!="High Charges",3,0)+
IF(#REF!&gt;250,4,0)+
IF(#REF!="no",1,0)+
IF(#REF!="Heavy Domestic User",2,0)</f>
        <v>#REF!</v>
      </c>
      <c r="AG539" t="e">
        <f>IF(#REF!&gt;=10,"High Risk", IF(#REF!&gt;=5,"Medium Risk","Low Risk"))</f>
        <v>#REF!</v>
      </c>
      <c r="AH539" t="e">
        <f>#REF! + #REF! + #REF! + #REF!</f>
        <v>#REF!</v>
      </c>
    </row>
    <row r="540" spans="1:34" x14ac:dyDescent="0.35">
      <c r="A540">
        <v>539</v>
      </c>
      <c r="B540" t="s">
        <v>51</v>
      </c>
      <c r="C540">
        <v>131</v>
      </c>
      <c r="D540" t="s">
        <v>21</v>
      </c>
      <c r="E540" t="s">
        <v>22</v>
      </c>
      <c r="F540" t="s">
        <v>23</v>
      </c>
      <c r="G540">
        <v>39</v>
      </c>
      <c r="H540">
        <v>69.099999999999994</v>
      </c>
      <c r="I540">
        <v>122</v>
      </c>
      <c r="J540">
        <v>11.75</v>
      </c>
      <c r="K540">
        <v>101.3</v>
      </c>
      <c r="L540">
        <v>136</v>
      </c>
      <c r="M540">
        <v>8.61</v>
      </c>
      <c r="N540">
        <v>104.8</v>
      </c>
      <c r="O540">
        <v>94</v>
      </c>
      <c r="P540">
        <v>4.72</v>
      </c>
      <c r="Q540">
        <v>9.1</v>
      </c>
      <c r="R540">
        <v>4</v>
      </c>
      <c r="S540">
        <v>2.46</v>
      </c>
      <c r="T540">
        <v>0</v>
      </c>
      <c r="U540" t="s">
        <v>22</v>
      </c>
      <c r="V540" t="e">
        <f>IF(#REF! = "yes", 1, 0)</f>
        <v>#REF!</v>
      </c>
      <c r="W540" t="e">
        <f>IF(#REF! &lt;= 1, "0-1 Calls", IF(#REF! &lt;= 3, "2-3 Calls", IF(#REF! &lt;=5, "4-5 Calls", "6+ Calls")))</f>
        <v>#REF!</v>
      </c>
      <c r="X540" t="e">
        <f>IF(#REF! &lt;= 50, "0-50", IF(#REF! &lt;=100, "51-100", IF(#REF! &lt;= 150, "101-150", "151+")))</f>
        <v>#REF!</v>
      </c>
      <c r="Y540" t="e">
        <f>IF(#REF! &lt;= 3, "Low Charges", "High Charges")</f>
        <v>#REF!</v>
      </c>
      <c r="Z540" t="e">
        <f>IF(#REF!&lt;=80,"Low Calls",
IF(#REF!&lt;=120,"Medium Calls","High Calls"))</f>
        <v>#REF!</v>
      </c>
      <c r="AA540" t="e">
        <f>IF(#REF!&lt;=15,"Low Charges",
IF(#REF!&lt;=20,"Medium Charges","High Charges"))</f>
        <v>#REF!</v>
      </c>
      <c r="AB540" t="e">
        <f>IF(AND(#REF!&gt;180, #REF!&gt;200), "Heavy Doemstic User", IF(#REF!&gt;10, "Interntional User", IF(AND(#REF!&lt;180, #REF!&lt;200,#REF!&lt;200), "Light User", "Balanced User")))</f>
        <v>#REF!</v>
      </c>
      <c r="AC540" t="e">
        <f>IF(#REF! = 0, "No Usage", IF(#REF! &lt;= 20, "Low Usage", IF(#REF! &lt;= 40, "Medium Usgae", "High Usage")))</f>
        <v>#REF!</v>
      </c>
      <c r="AD540" t="e">
        <f>IF(#REF!&lt;=150,"Low Usage", IF(#REF!&lt;=200,"Medium Usage", IF(#REF!&lt;=250,"High Usage","Very High Usage")))</f>
        <v>#REF!</v>
      </c>
      <c r="AE540" t="e">
        <f>IF(#REF!&lt;=5,"Low Calls", IF(#REF!&lt;=10, "Medium Calls", "High Calls"))</f>
        <v>#REF!</v>
      </c>
      <c r="AF540" t="e">
        <f xml:space="preserve">
IF(#REF!&gt;=4,4,0)+
IF(#REF!="yes",3,0)+
IF(#REF!="High Charges",3,0)+
IF(#REF!&gt;250,4,0)+
IF(#REF!="no",1,0)+
IF(#REF!="Heavy Domestic User",2,0)</f>
        <v>#REF!</v>
      </c>
      <c r="AG540" t="e">
        <f>IF(#REF!&gt;=10,"High Risk", IF(#REF!&gt;=5,"Medium Risk","Low Risk"))</f>
        <v>#REF!</v>
      </c>
      <c r="AH540" t="e">
        <f>#REF! + #REF! + #REF! + #REF!</f>
        <v>#REF!</v>
      </c>
    </row>
    <row r="541" spans="1:34" x14ac:dyDescent="0.35">
      <c r="A541">
        <v>540</v>
      </c>
      <c r="B541" t="s">
        <v>29</v>
      </c>
      <c r="C541">
        <v>79</v>
      </c>
      <c r="D541" t="s">
        <v>25</v>
      </c>
      <c r="E541" t="s">
        <v>22</v>
      </c>
      <c r="F541" t="s">
        <v>22</v>
      </c>
      <c r="G541">
        <v>0</v>
      </c>
      <c r="H541">
        <v>261.7</v>
      </c>
      <c r="I541">
        <v>97</v>
      </c>
      <c r="J541">
        <v>44.49</v>
      </c>
      <c r="K541">
        <v>210.6</v>
      </c>
      <c r="L541">
        <v>48</v>
      </c>
      <c r="M541">
        <v>17.899999999999999</v>
      </c>
      <c r="N541">
        <v>256.7</v>
      </c>
      <c r="O541">
        <v>83</v>
      </c>
      <c r="P541">
        <v>11.55</v>
      </c>
      <c r="Q541">
        <v>6</v>
      </c>
      <c r="R541">
        <v>3</v>
      </c>
      <c r="S541">
        <v>1.62</v>
      </c>
      <c r="T541">
        <v>3</v>
      </c>
      <c r="U541" t="s">
        <v>23</v>
      </c>
      <c r="V541" t="e">
        <f>IF(#REF! = "yes", 1, 0)</f>
        <v>#REF!</v>
      </c>
      <c r="W541" t="e">
        <f>IF(#REF! &lt;= 1, "0-1 Calls", IF(#REF! &lt;= 3, "2-3 Calls", IF(#REF! &lt;=5, "4-5 Calls", "6+ Calls")))</f>
        <v>#REF!</v>
      </c>
      <c r="X541" t="e">
        <f>IF(#REF! &lt;= 50, "0-50", IF(#REF! &lt;=100, "51-100", IF(#REF! &lt;= 150, "101-150", "151+")))</f>
        <v>#REF!</v>
      </c>
      <c r="Y541" t="e">
        <f>IF(#REF! &lt;= 3, "Low Charges", "High Charges")</f>
        <v>#REF!</v>
      </c>
      <c r="Z541" t="e">
        <f>IF(#REF!&lt;=80,"Low Calls",
IF(#REF!&lt;=120,"Medium Calls","High Calls"))</f>
        <v>#REF!</v>
      </c>
      <c r="AA541" t="e">
        <f>IF(#REF!&lt;=15,"Low Charges",
IF(#REF!&lt;=20,"Medium Charges","High Charges"))</f>
        <v>#REF!</v>
      </c>
      <c r="AB541" t="e">
        <f>IF(AND(#REF!&gt;180, #REF!&gt;200), "Heavy Doemstic User", IF(#REF!&gt;10, "Interntional User", IF(AND(#REF!&lt;180, #REF!&lt;200,#REF!&lt;200), "Light User", "Balanced User")))</f>
        <v>#REF!</v>
      </c>
      <c r="AC541" t="e">
        <f>IF(#REF! = 0, "No Usage", IF(#REF! &lt;= 20, "Low Usage", IF(#REF! &lt;= 40, "Medium Usgae", "High Usage")))</f>
        <v>#REF!</v>
      </c>
      <c r="AD541" t="e">
        <f>IF(#REF!&lt;=150,"Low Usage", IF(#REF!&lt;=200,"Medium Usage", IF(#REF!&lt;=250,"High Usage","Very High Usage")))</f>
        <v>#REF!</v>
      </c>
      <c r="AE541" t="e">
        <f>IF(#REF!&lt;=5,"Low Calls", IF(#REF!&lt;=10, "Medium Calls", "High Calls"))</f>
        <v>#REF!</v>
      </c>
      <c r="AF541" t="e">
        <f xml:space="preserve">
IF(#REF!&gt;=4,4,0)+
IF(#REF!="yes",3,0)+
IF(#REF!="High Charges",3,0)+
IF(#REF!&gt;250,4,0)+
IF(#REF!="no",1,0)+
IF(#REF!="Heavy Domestic User",2,0)</f>
        <v>#REF!</v>
      </c>
      <c r="AG541" t="e">
        <f>IF(#REF!&gt;=10,"High Risk", IF(#REF!&gt;=5,"Medium Risk","Low Risk"))</f>
        <v>#REF!</v>
      </c>
      <c r="AH541" t="e">
        <f>#REF! + #REF! + #REF! + #REF!</f>
        <v>#REF!</v>
      </c>
    </row>
    <row r="542" spans="1:34" x14ac:dyDescent="0.35">
      <c r="A542">
        <v>541</v>
      </c>
      <c r="B542" t="s">
        <v>36</v>
      </c>
      <c r="C542">
        <v>140</v>
      </c>
      <c r="D542" t="s">
        <v>21</v>
      </c>
      <c r="E542" t="s">
        <v>22</v>
      </c>
      <c r="F542" t="s">
        <v>22</v>
      </c>
      <c r="G542">
        <v>0</v>
      </c>
      <c r="H542">
        <v>235.5</v>
      </c>
      <c r="I542">
        <v>81</v>
      </c>
      <c r="J542">
        <v>40.04</v>
      </c>
      <c r="K542">
        <v>257.2</v>
      </c>
      <c r="L542">
        <v>130</v>
      </c>
      <c r="M542">
        <v>21.86</v>
      </c>
      <c r="N542">
        <v>103.1</v>
      </c>
      <c r="O542">
        <v>111</v>
      </c>
      <c r="P542">
        <v>4.6399999999999997</v>
      </c>
      <c r="Q542">
        <v>11.5</v>
      </c>
      <c r="R542">
        <v>4</v>
      </c>
      <c r="S542">
        <v>3.11</v>
      </c>
      <c r="T542">
        <v>2</v>
      </c>
      <c r="U542" t="s">
        <v>22</v>
      </c>
      <c r="V542" t="e">
        <f>IF(#REF! = "yes", 1, 0)</f>
        <v>#REF!</v>
      </c>
      <c r="W542" t="e">
        <f>IF(#REF! &lt;= 1, "0-1 Calls", IF(#REF! &lt;= 3, "2-3 Calls", IF(#REF! &lt;=5, "4-5 Calls", "6+ Calls")))</f>
        <v>#REF!</v>
      </c>
      <c r="X542" t="e">
        <f>IF(#REF! &lt;= 50, "0-50", IF(#REF! &lt;=100, "51-100", IF(#REF! &lt;= 150, "101-150", "151+")))</f>
        <v>#REF!</v>
      </c>
      <c r="Y542" t="e">
        <f>IF(#REF! &lt;= 3, "Low Charges", "High Charges")</f>
        <v>#REF!</v>
      </c>
      <c r="Z542" t="e">
        <f>IF(#REF!&lt;=80,"Low Calls",
IF(#REF!&lt;=120,"Medium Calls","High Calls"))</f>
        <v>#REF!</v>
      </c>
      <c r="AA542" t="e">
        <f>IF(#REF!&lt;=15,"Low Charges",
IF(#REF!&lt;=20,"Medium Charges","High Charges"))</f>
        <v>#REF!</v>
      </c>
      <c r="AB542" t="e">
        <f>IF(AND(#REF!&gt;180, #REF!&gt;200), "Heavy Doemstic User", IF(#REF!&gt;10, "Interntional User", IF(AND(#REF!&lt;180, #REF!&lt;200,#REF!&lt;200), "Light User", "Balanced User")))</f>
        <v>#REF!</v>
      </c>
      <c r="AC542" t="e">
        <f>IF(#REF! = 0, "No Usage", IF(#REF! &lt;= 20, "Low Usage", IF(#REF! &lt;= 40, "Medium Usgae", "High Usage")))</f>
        <v>#REF!</v>
      </c>
      <c r="AD542" t="e">
        <f>IF(#REF!&lt;=150,"Low Usage", IF(#REF!&lt;=200,"Medium Usage", IF(#REF!&lt;=250,"High Usage","Very High Usage")))</f>
        <v>#REF!</v>
      </c>
      <c r="AE542" t="e">
        <f>IF(#REF!&lt;=5,"Low Calls", IF(#REF!&lt;=10, "Medium Calls", "High Calls"))</f>
        <v>#REF!</v>
      </c>
      <c r="AF542" t="e">
        <f xml:space="preserve">
IF(#REF!&gt;=4,4,0)+
IF(#REF!="yes",3,0)+
IF(#REF!="High Charges",3,0)+
IF(#REF!&gt;250,4,0)+
IF(#REF!="no",1,0)+
IF(#REF!="Heavy Domestic User",2,0)</f>
        <v>#REF!</v>
      </c>
      <c r="AG542" t="e">
        <f>IF(#REF!&gt;=10,"High Risk", IF(#REF!&gt;=5,"Medium Risk","Low Risk"))</f>
        <v>#REF!</v>
      </c>
      <c r="AH542" t="e">
        <f>#REF! + #REF! + #REF! + #REF!</f>
        <v>#REF!</v>
      </c>
    </row>
    <row r="543" spans="1:34" x14ac:dyDescent="0.35">
      <c r="A543">
        <v>542</v>
      </c>
      <c r="B543" t="s">
        <v>74</v>
      </c>
      <c r="C543">
        <v>105</v>
      </c>
      <c r="D543" t="s">
        <v>25</v>
      </c>
      <c r="E543" t="s">
        <v>22</v>
      </c>
      <c r="F543" t="s">
        <v>22</v>
      </c>
      <c r="G543">
        <v>0</v>
      </c>
      <c r="H543">
        <v>213.4</v>
      </c>
      <c r="I543">
        <v>100</v>
      </c>
      <c r="J543">
        <v>36.28</v>
      </c>
      <c r="K543">
        <v>204.9</v>
      </c>
      <c r="L543">
        <v>52</v>
      </c>
      <c r="M543">
        <v>17.420000000000002</v>
      </c>
      <c r="N543">
        <v>179.7</v>
      </c>
      <c r="O543">
        <v>93</v>
      </c>
      <c r="P543">
        <v>8.09</v>
      </c>
      <c r="Q543">
        <v>9.5</v>
      </c>
      <c r="R543">
        <v>6</v>
      </c>
      <c r="S543">
        <v>2.57</v>
      </c>
      <c r="T543">
        <v>1</v>
      </c>
      <c r="U543" t="s">
        <v>22</v>
      </c>
      <c r="V543" t="e">
        <f>IF(#REF! = "yes", 1, 0)</f>
        <v>#REF!</v>
      </c>
      <c r="W543" t="e">
        <f>IF(#REF! &lt;= 1, "0-1 Calls", IF(#REF! &lt;= 3, "2-3 Calls", IF(#REF! &lt;=5, "4-5 Calls", "6+ Calls")))</f>
        <v>#REF!</v>
      </c>
      <c r="X543" t="e">
        <f>IF(#REF! &lt;= 50, "0-50", IF(#REF! &lt;=100, "51-100", IF(#REF! &lt;= 150, "101-150", "151+")))</f>
        <v>#REF!</v>
      </c>
      <c r="Y543" t="e">
        <f>IF(#REF! &lt;= 3, "Low Charges", "High Charges")</f>
        <v>#REF!</v>
      </c>
      <c r="Z543" t="e">
        <f>IF(#REF!&lt;=80,"Low Calls",
IF(#REF!&lt;=120,"Medium Calls","High Calls"))</f>
        <v>#REF!</v>
      </c>
      <c r="AA543" t="e">
        <f>IF(#REF!&lt;=15,"Low Charges",
IF(#REF!&lt;=20,"Medium Charges","High Charges"))</f>
        <v>#REF!</v>
      </c>
      <c r="AB543" t="e">
        <f>IF(AND(#REF!&gt;180, #REF!&gt;200), "Heavy Doemstic User", IF(#REF!&gt;10, "Interntional User", IF(AND(#REF!&lt;180, #REF!&lt;200,#REF!&lt;200), "Light User", "Balanced User")))</f>
        <v>#REF!</v>
      </c>
      <c r="AC543" t="e">
        <f>IF(#REF! = 0, "No Usage", IF(#REF! &lt;= 20, "Low Usage", IF(#REF! &lt;= 40, "Medium Usgae", "High Usage")))</f>
        <v>#REF!</v>
      </c>
      <c r="AD543" t="e">
        <f>IF(#REF!&lt;=150,"Low Usage", IF(#REF!&lt;=200,"Medium Usage", IF(#REF!&lt;=250,"High Usage","Very High Usage")))</f>
        <v>#REF!</v>
      </c>
      <c r="AE543" t="e">
        <f>IF(#REF!&lt;=5,"Low Calls", IF(#REF!&lt;=10, "Medium Calls", "High Calls"))</f>
        <v>#REF!</v>
      </c>
      <c r="AF543" t="e">
        <f xml:space="preserve">
IF(#REF!&gt;=4,4,0)+
IF(#REF!="yes",3,0)+
IF(#REF!="High Charges",3,0)+
IF(#REF!&gt;250,4,0)+
IF(#REF!="no",1,0)+
IF(#REF!="Heavy Domestic User",2,0)</f>
        <v>#REF!</v>
      </c>
      <c r="AG543" t="e">
        <f>IF(#REF!&gt;=10,"High Risk", IF(#REF!&gt;=5,"Medium Risk","Low Risk"))</f>
        <v>#REF!</v>
      </c>
      <c r="AH543" t="e">
        <f>#REF! + #REF! + #REF! + #REF!</f>
        <v>#REF!</v>
      </c>
    </row>
    <row r="544" spans="1:34" x14ac:dyDescent="0.35">
      <c r="A544">
        <v>543</v>
      </c>
      <c r="B544" t="s">
        <v>44</v>
      </c>
      <c r="C544">
        <v>87</v>
      </c>
      <c r="D544" t="s">
        <v>21</v>
      </c>
      <c r="E544" t="s">
        <v>22</v>
      </c>
      <c r="F544" t="s">
        <v>23</v>
      </c>
      <c r="G544">
        <v>22</v>
      </c>
      <c r="H544">
        <v>263.8</v>
      </c>
      <c r="I544">
        <v>65</v>
      </c>
      <c r="J544">
        <v>44.85</v>
      </c>
      <c r="K544">
        <v>103.4</v>
      </c>
      <c r="L544">
        <v>115</v>
      </c>
      <c r="M544">
        <v>8.7899999999999991</v>
      </c>
      <c r="N544">
        <v>208.1</v>
      </c>
      <c r="O544">
        <v>109</v>
      </c>
      <c r="P544">
        <v>9.36</v>
      </c>
      <c r="Q544">
        <v>8.5</v>
      </c>
      <c r="R544">
        <v>3</v>
      </c>
      <c r="S544">
        <v>2.2999999999999998</v>
      </c>
      <c r="T544">
        <v>3</v>
      </c>
      <c r="U544" t="s">
        <v>22</v>
      </c>
      <c r="V544" t="e">
        <f>IF(#REF! = "yes", 1, 0)</f>
        <v>#REF!</v>
      </c>
      <c r="W544" t="e">
        <f>IF(#REF! &lt;= 1, "0-1 Calls", IF(#REF! &lt;= 3, "2-3 Calls", IF(#REF! &lt;=5, "4-5 Calls", "6+ Calls")))</f>
        <v>#REF!</v>
      </c>
      <c r="X544" t="e">
        <f>IF(#REF! &lt;= 50, "0-50", IF(#REF! &lt;=100, "51-100", IF(#REF! &lt;= 150, "101-150", "151+")))</f>
        <v>#REF!</v>
      </c>
      <c r="Y544" t="e">
        <f>IF(#REF! &lt;= 3, "Low Charges", "High Charges")</f>
        <v>#REF!</v>
      </c>
      <c r="Z544" t="e">
        <f>IF(#REF!&lt;=80,"Low Calls",
IF(#REF!&lt;=120,"Medium Calls","High Calls"))</f>
        <v>#REF!</v>
      </c>
      <c r="AA544" t="e">
        <f>IF(#REF!&lt;=15,"Low Charges",
IF(#REF!&lt;=20,"Medium Charges","High Charges"))</f>
        <v>#REF!</v>
      </c>
      <c r="AB544" t="e">
        <f>IF(AND(#REF!&gt;180, #REF!&gt;200), "Heavy Doemstic User", IF(#REF!&gt;10, "Interntional User", IF(AND(#REF!&lt;180, #REF!&lt;200,#REF!&lt;200), "Light User", "Balanced User")))</f>
        <v>#REF!</v>
      </c>
      <c r="AC544" t="e">
        <f>IF(#REF! = 0, "No Usage", IF(#REF! &lt;= 20, "Low Usage", IF(#REF! &lt;= 40, "Medium Usgae", "High Usage")))</f>
        <v>#REF!</v>
      </c>
      <c r="AD544" t="e">
        <f>IF(#REF!&lt;=150,"Low Usage", IF(#REF!&lt;=200,"Medium Usage", IF(#REF!&lt;=250,"High Usage","Very High Usage")))</f>
        <v>#REF!</v>
      </c>
      <c r="AE544" t="e">
        <f>IF(#REF!&lt;=5,"Low Calls", IF(#REF!&lt;=10, "Medium Calls", "High Calls"))</f>
        <v>#REF!</v>
      </c>
      <c r="AF544" t="e">
        <f xml:space="preserve">
IF(#REF!&gt;=4,4,0)+
IF(#REF!="yes",3,0)+
IF(#REF!="High Charges",3,0)+
IF(#REF!&gt;250,4,0)+
IF(#REF!="no",1,0)+
IF(#REF!="Heavy Domestic User",2,0)</f>
        <v>#REF!</v>
      </c>
      <c r="AG544" t="e">
        <f>IF(#REF!&gt;=10,"High Risk", IF(#REF!&gt;=5,"Medium Risk","Low Risk"))</f>
        <v>#REF!</v>
      </c>
      <c r="AH544" t="e">
        <f>#REF! + #REF! + #REF! + #REF!</f>
        <v>#REF!</v>
      </c>
    </row>
    <row r="545" spans="1:34" x14ac:dyDescent="0.35">
      <c r="A545">
        <v>544</v>
      </c>
      <c r="B545" t="s">
        <v>56</v>
      </c>
      <c r="C545">
        <v>96</v>
      </c>
      <c r="D545" t="s">
        <v>28</v>
      </c>
      <c r="E545" t="s">
        <v>22</v>
      </c>
      <c r="F545" t="s">
        <v>23</v>
      </c>
      <c r="G545">
        <v>31</v>
      </c>
      <c r="H545">
        <v>183.4</v>
      </c>
      <c r="I545">
        <v>126</v>
      </c>
      <c r="J545">
        <v>31.18</v>
      </c>
      <c r="K545">
        <v>195.5</v>
      </c>
      <c r="L545">
        <v>106</v>
      </c>
      <c r="M545">
        <v>16.62</v>
      </c>
      <c r="N545">
        <v>180.1</v>
      </c>
      <c r="O545">
        <v>93</v>
      </c>
      <c r="P545">
        <v>8.1</v>
      </c>
      <c r="Q545">
        <v>10.5</v>
      </c>
      <c r="R545">
        <v>5</v>
      </c>
      <c r="S545">
        <v>2.84</v>
      </c>
      <c r="T545">
        <v>1</v>
      </c>
      <c r="U545" t="s">
        <v>22</v>
      </c>
      <c r="V545" t="e">
        <f>IF(#REF! = "yes", 1, 0)</f>
        <v>#REF!</v>
      </c>
      <c r="W545" t="e">
        <f>IF(#REF! &lt;= 1, "0-1 Calls", IF(#REF! &lt;= 3, "2-3 Calls", IF(#REF! &lt;=5, "4-5 Calls", "6+ Calls")))</f>
        <v>#REF!</v>
      </c>
      <c r="X545" t="e">
        <f>IF(#REF! &lt;= 50, "0-50", IF(#REF! &lt;=100, "51-100", IF(#REF! &lt;= 150, "101-150", "151+")))</f>
        <v>#REF!</v>
      </c>
      <c r="Y545" t="e">
        <f>IF(#REF! &lt;= 3, "Low Charges", "High Charges")</f>
        <v>#REF!</v>
      </c>
      <c r="Z545" t="e">
        <f>IF(#REF!&lt;=80,"Low Calls",
IF(#REF!&lt;=120,"Medium Calls","High Calls"))</f>
        <v>#REF!</v>
      </c>
      <c r="AA545" t="e">
        <f>IF(#REF!&lt;=15,"Low Charges",
IF(#REF!&lt;=20,"Medium Charges","High Charges"))</f>
        <v>#REF!</v>
      </c>
      <c r="AB545" t="e">
        <f>IF(AND(#REF!&gt;180, #REF!&gt;200), "Heavy Doemstic User", IF(#REF!&gt;10, "Interntional User", IF(AND(#REF!&lt;180, #REF!&lt;200,#REF!&lt;200), "Light User", "Balanced User")))</f>
        <v>#REF!</v>
      </c>
      <c r="AC545" t="e">
        <f>IF(#REF! = 0, "No Usage", IF(#REF! &lt;= 20, "Low Usage", IF(#REF! &lt;= 40, "Medium Usgae", "High Usage")))</f>
        <v>#REF!</v>
      </c>
      <c r="AD545" t="e">
        <f>IF(#REF!&lt;=150,"Low Usage", IF(#REF!&lt;=200,"Medium Usage", IF(#REF!&lt;=250,"High Usage","Very High Usage")))</f>
        <v>#REF!</v>
      </c>
      <c r="AE545" t="e">
        <f>IF(#REF!&lt;=5,"Low Calls", IF(#REF!&lt;=10, "Medium Calls", "High Calls"))</f>
        <v>#REF!</v>
      </c>
      <c r="AF545" t="e">
        <f xml:space="preserve">
IF(#REF!&gt;=4,4,0)+
IF(#REF!="yes",3,0)+
IF(#REF!="High Charges",3,0)+
IF(#REF!&gt;250,4,0)+
IF(#REF!="no",1,0)+
IF(#REF!="Heavy Domestic User",2,0)</f>
        <v>#REF!</v>
      </c>
      <c r="AG545" t="e">
        <f>IF(#REF!&gt;=10,"High Risk", IF(#REF!&gt;=5,"Medium Risk","Low Risk"))</f>
        <v>#REF!</v>
      </c>
      <c r="AH545" t="e">
        <f>#REF! + #REF! + #REF! + #REF!</f>
        <v>#REF!</v>
      </c>
    </row>
    <row r="546" spans="1:34" x14ac:dyDescent="0.35">
      <c r="A546">
        <v>545</v>
      </c>
      <c r="B546" t="s">
        <v>56</v>
      </c>
      <c r="C546">
        <v>79</v>
      </c>
      <c r="D546" t="s">
        <v>28</v>
      </c>
      <c r="E546" t="s">
        <v>22</v>
      </c>
      <c r="F546" t="s">
        <v>22</v>
      </c>
      <c r="G546">
        <v>0</v>
      </c>
      <c r="H546">
        <v>157.6</v>
      </c>
      <c r="I546">
        <v>85</v>
      </c>
      <c r="J546">
        <v>26.79</v>
      </c>
      <c r="K546">
        <v>194.1</v>
      </c>
      <c r="L546">
        <v>92</v>
      </c>
      <c r="M546">
        <v>16.5</v>
      </c>
      <c r="N546">
        <v>231.5</v>
      </c>
      <c r="O546">
        <v>86</v>
      </c>
      <c r="P546">
        <v>10.42</v>
      </c>
      <c r="Q546">
        <v>9.4</v>
      </c>
      <c r="R546">
        <v>10</v>
      </c>
      <c r="S546">
        <v>2.54</v>
      </c>
      <c r="T546">
        <v>5</v>
      </c>
      <c r="U546" t="s">
        <v>23</v>
      </c>
      <c r="V546" t="e">
        <f>IF(#REF! = "yes", 1, 0)</f>
        <v>#REF!</v>
      </c>
      <c r="W546" t="e">
        <f>IF(#REF! &lt;= 1, "0-1 Calls", IF(#REF! &lt;= 3, "2-3 Calls", IF(#REF! &lt;=5, "4-5 Calls", "6+ Calls")))</f>
        <v>#REF!</v>
      </c>
      <c r="X546" t="e">
        <f>IF(#REF! &lt;= 50, "0-50", IF(#REF! &lt;=100, "51-100", IF(#REF! &lt;= 150, "101-150", "151+")))</f>
        <v>#REF!</v>
      </c>
      <c r="Y546" t="e">
        <f>IF(#REF! &lt;= 3, "Low Charges", "High Charges")</f>
        <v>#REF!</v>
      </c>
      <c r="Z546" t="e">
        <f>IF(#REF!&lt;=80,"Low Calls",
IF(#REF!&lt;=120,"Medium Calls","High Calls"))</f>
        <v>#REF!</v>
      </c>
      <c r="AA546" t="e">
        <f>IF(#REF!&lt;=15,"Low Charges",
IF(#REF!&lt;=20,"Medium Charges","High Charges"))</f>
        <v>#REF!</v>
      </c>
      <c r="AB546" t="e">
        <f>IF(AND(#REF!&gt;180, #REF!&gt;200), "Heavy Doemstic User", IF(#REF!&gt;10, "Interntional User", IF(AND(#REF!&lt;180, #REF!&lt;200,#REF!&lt;200), "Light User", "Balanced User")))</f>
        <v>#REF!</v>
      </c>
      <c r="AC546" t="e">
        <f>IF(#REF! = 0, "No Usage", IF(#REF! &lt;= 20, "Low Usage", IF(#REF! &lt;= 40, "Medium Usgae", "High Usage")))</f>
        <v>#REF!</v>
      </c>
      <c r="AD546" t="e">
        <f>IF(#REF!&lt;=150,"Low Usage", IF(#REF!&lt;=200,"Medium Usage", IF(#REF!&lt;=250,"High Usage","Very High Usage")))</f>
        <v>#REF!</v>
      </c>
      <c r="AE546" t="e">
        <f>IF(#REF!&lt;=5,"Low Calls", IF(#REF!&lt;=10, "Medium Calls", "High Calls"))</f>
        <v>#REF!</v>
      </c>
      <c r="AF546" t="e">
        <f xml:space="preserve">
IF(#REF!&gt;=4,4,0)+
IF(#REF!="yes",3,0)+
IF(#REF!="High Charges",3,0)+
IF(#REF!&gt;250,4,0)+
IF(#REF!="no",1,0)+
IF(#REF!="Heavy Domestic User",2,0)</f>
        <v>#REF!</v>
      </c>
      <c r="AG546" t="e">
        <f>IF(#REF!&gt;=10,"High Risk", IF(#REF!&gt;=5,"Medium Risk","Low Risk"))</f>
        <v>#REF!</v>
      </c>
      <c r="AH546" t="e">
        <f>#REF! + #REF! + #REF! + #REF!</f>
        <v>#REF!</v>
      </c>
    </row>
    <row r="547" spans="1:34" x14ac:dyDescent="0.35">
      <c r="A547">
        <v>546</v>
      </c>
      <c r="B547" t="s">
        <v>60</v>
      </c>
      <c r="C547">
        <v>55</v>
      </c>
      <c r="D547" t="s">
        <v>21</v>
      </c>
      <c r="E547" t="s">
        <v>22</v>
      </c>
      <c r="F547" t="s">
        <v>22</v>
      </c>
      <c r="G547">
        <v>0</v>
      </c>
      <c r="H547">
        <v>175.6</v>
      </c>
      <c r="I547">
        <v>147</v>
      </c>
      <c r="J547">
        <v>29.85</v>
      </c>
      <c r="K547">
        <v>161.80000000000001</v>
      </c>
      <c r="L547">
        <v>118</v>
      </c>
      <c r="M547">
        <v>13.75</v>
      </c>
      <c r="N547">
        <v>289.5</v>
      </c>
      <c r="O547">
        <v>55</v>
      </c>
      <c r="P547">
        <v>13.03</v>
      </c>
      <c r="Q547">
        <v>9.3000000000000007</v>
      </c>
      <c r="R547">
        <v>4</v>
      </c>
      <c r="S547">
        <v>2.5099999999999998</v>
      </c>
      <c r="T547">
        <v>0</v>
      </c>
      <c r="U547" t="s">
        <v>22</v>
      </c>
      <c r="V547" t="e">
        <f>IF(#REF! = "yes", 1, 0)</f>
        <v>#REF!</v>
      </c>
      <c r="W547" t="e">
        <f>IF(#REF! &lt;= 1, "0-1 Calls", IF(#REF! &lt;= 3, "2-3 Calls", IF(#REF! &lt;=5, "4-5 Calls", "6+ Calls")))</f>
        <v>#REF!</v>
      </c>
      <c r="X547" t="e">
        <f>IF(#REF! &lt;= 50, "0-50", IF(#REF! &lt;=100, "51-100", IF(#REF! &lt;= 150, "101-150", "151+")))</f>
        <v>#REF!</v>
      </c>
      <c r="Y547" t="e">
        <f>IF(#REF! &lt;= 3, "Low Charges", "High Charges")</f>
        <v>#REF!</v>
      </c>
      <c r="Z547" t="e">
        <f>IF(#REF!&lt;=80,"Low Calls",
IF(#REF!&lt;=120,"Medium Calls","High Calls"))</f>
        <v>#REF!</v>
      </c>
      <c r="AA547" t="e">
        <f>IF(#REF!&lt;=15,"Low Charges",
IF(#REF!&lt;=20,"Medium Charges","High Charges"))</f>
        <v>#REF!</v>
      </c>
      <c r="AB547" t="e">
        <f>IF(AND(#REF!&gt;180, #REF!&gt;200), "Heavy Doemstic User", IF(#REF!&gt;10, "Interntional User", IF(AND(#REF!&lt;180, #REF!&lt;200,#REF!&lt;200), "Light User", "Balanced User")))</f>
        <v>#REF!</v>
      </c>
      <c r="AC547" t="e">
        <f>IF(#REF! = 0, "No Usage", IF(#REF! &lt;= 20, "Low Usage", IF(#REF! &lt;= 40, "Medium Usgae", "High Usage")))</f>
        <v>#REF!</v>
      </c>
      <c r="AD547" t="e">
        <f>IF(#REF!&lt;=150,"Low Usage", IF(#REF!&lt;=200,"Medium Usage", IF(#REF!&lt;=250,"High Usage","Very High Usage")))</f>
        <v>#REF!</v>
      </c>
      <c r="AE547" t="e">
        <f>IF(#REF!&lt;=5,"Low Calls", IF(#REF!&lt;=10, "Medium Calls", "High Calls"))</f>
        <v>#REF!</v>
      </c>
      <c r="AF547" t="e">
        <f xml:space="preserve">
IF(#REF!&gt;=4,4,0)+
IF(#REF!="yes",3,0)+
IF(#REF!="High Charges",3,0)+
IF(#REF!&gt;250,4,0)+
IF(#REF!="no",1,0)+
IF(#REF!="Heavy Domestic User",2,0)</f>
        <v>#REF!</v>
      </c>
      <c r="AG547" t="e">
        <f>IF(#REF!&gt;=10,"High Risk", IF(#REF!&gt;=5,"Medium Risk","Low Risk"))</f>
        <v>#REF!</v>
      </c>
      <c r="AH547" t="e">
        <f>#REF! + #REF! + #REF! + #REF!</f>
        <v>#REF!</v>
      </c>
    </row>
    <row r="548" spans="1:34" x14ac:dyDescent="0.35">
      <c r="A548">
        <v>547</v>
      </c>
      <c r="B548" t="s">
        <v>47</v>
      </c>
      <c r="C548">
        <v>130</v>
      </c>
      <c r="D548" t="s">
        <v>21</v>
      </c>
      <c r="E548" t="s">
        <v>22</v>
      </c>
      <c r="F548" t="s">
        <v>22</v>
      </c>
      <c r="G548">
        <v>0</v>
      </c>
      <c r="H548">
        <v>242.5</v>
      </c>
      <c r="I548">
        <v>101</v>
      </c>
      <c r="J548">
        <v>41.23</v>
      </c>
      <c r="K548">
        <v>102.8</v>
      </c>
      <c r="L548">
        <v>114</v>
      </c>
      <c r="M548">
        <v>8.74</v>
      </c>
      <c r="N548">
        <v>142.4</v>
      </c>
      <c r="O548">
        <v>89</v>
      </c>
      <c r="P548">
        <v>6.41</v>
      </c>
      <c r="Q548">
        <v>9.3000000000000007</v>
      </c>
      <c r="R548">
        <v>2</v>
      </c>
      <c r="S548">
        <v>2.5099999999999998</v>
      </c>
      <c r="T548">
        <v>2</v>
      </c>
      <c r="U548" t="s">
        <v>22</v>
      </c>
      <c r="V548" t="e">
        <f>IF(#REF! = "yes", 1, 0)</f>
        <v>#REF!</v>
      </c>
      <c r="W548" t="e">
        <f>IF(#REF! &lt;= 1, "0-1 Calls", IF(#REF! &lt;= 3, "2-3 Calls", IF(#REF! &lt;=5, "4-5 Calls", "6+ Calls")))</f>
        <v>#REF!</v>
      </c>
      <c r="X548" t="e">
        <f>IF(#REF! &lt;= 50, "0-50", IF(#REF! &lt;=100, "51-100", IF(#REF! &lt;= 150, "101-150", "151+")))</f>
        <v>#REF!</v>
      </c>
      <c r="Y548" t="e">
        <f>IF(#REF! &lt;= 3, "Low Charges", "High Charges")</f>
        <v>#REF!</v>
      </c>
      <c r="Z548" t="e">
        <f>IF(#REF!&lt;=80,"Low Calls",
IF(#REF!&lt;=120,"Medium Calls","High Calls"))</f>
        <v>#REF!</v>
      </c>
      <c r="AA548" t="e">
        <f>IF(#REF!&lt;=15,"Low Charges",
IF(#REF!&lt;=20,"Medium Charges","High Charges"))</f>
        <v>#REF!</v>
      </c>
      <c r="AB548" t="e">
        <f>IF(AND(#REF!&gt;180, #REF!&gt;200), "Heavy Doemstic User", IF(#REF!&gt;10, "Interntional User", IF(AND(#REF!&lt;180, #REF!&lt;200,#REF!&lt;200), "Light User", "Balanced User")))</f>
        <v>#REF!</v>
      </c>
      <c r="AC548" t="e">
        <f>IF(#REF! = 0, "No Usage", IF(#REF! &lt;= 20, "Low Usage", IF(#REF! &lt;= 40, "Medium Usgae", "High Usage")))</f>
        <v>#REF!</v>
      </c>
      <c r="AD548" t="e">
        <f>IF(#REF!&lt;=150,"Low Usage", IF(#REF!&lt;=200,"Medium Usage", IF(#REF!&lt;=250,"High Usage","Very High Usage")))</f>
        <v>#REF!</v>
      </c>
      <c r="AE548" t="e">
        <f>IF(#REF!&lt;=5,"Low Calls", IF(#REF!&lt;=10, "Medium Calls", "High Calls"))</f>
        <v>#REF!</v>
      </c>
      <c r="AF548" t="e">
        <f xml:space="preserve">
IF(#REF!&gt;=4,4,0)+
IF(#REF!="yes",3,0)+
IF(#REF!="High Charges",3,0)+
IF(#REF!&gt;250,4,0)+
IF(#REF!="no",1,0)+
IF(#REF!="Heavy Domestic User",2,0)</f>
        <v>#REF!</v>
      </c>
      <c r="AG548" t="e">
        <f>IF(#REF!&gt;=10,"High Risk", IF(#REF!&gt;=5,"Medium Risk","Low Risk"))</f>
        <v>#REF!</v>
      </c>
      <c r="AH548" t="e">
        <f>#REF! + #REF! + #REF! + #REF!</f>
        <v>#REF!</v>
      </c>
    </row>
    <row r="549" spans="1:34" x14ac:dyDescent="0.35">
      <c r="A549">
        <v>548</v>
      </c>
      <c r="B549" t="s">
        <v>38</v>
      </c>
      <c r="C549">
        <v>34</v>
      </c>
      <c r="D549" t="s">
        <v>21</v>
      </c>
      <c r="E549" t="s">
        <v>22</v>
      </c>
      <c r="F549" t="s">
        <v>22</v>
      </c>
      <c r="G549">
        <v>0</v>
      </c>
      <c r="H549">
        <v>151</v>
      </c>
      <c r="I549">
        <v>102</v>
      </c>
      <c r="J549">
        <v>25.67</v>
      </c>
      <c r="K549">
        <v>131.4</v>
      </c>
      <c r="L549">
        <v>101</v>
      </c>
      <c r="M549">
        <v>11.17</v>
      </c>
      <c r="N549">
        <v>186.6</v>
      </c>
      <c r="O549">
        <v>86</v>
      </c>
      <c r="P549">
        <v>8.4</v>
      </c>
      <c r="Q549">
        <v>9.9</v>
      </c>
      <c r="R549">
        <v>7</v>
      </c>
      <c r="S549">
        <v>2.67</v>
      </c>
      <c r="T549">
        <v>0</v>
      </c>
      <c r="U549" t="s">
        <v>22</v>
      </c>
      <c r="V549" t="e">
        <f>IF(#REF! = "yes", 1, 0)</f>
        <v>#REF!</v>
      </c>
      <c r="W549" t="e">
        <f>IF(#REF! &lt;= 1, "0-1 Calls", IF(#REF! &lt;= 3, "2-3 Calls", IF(#REF! &lt;=5, "4-5 Calls", "6+ Calls")))</f>
        <v>#REF!</v>
      </c>
      <c r="X549" t="e">
        <f>IF(#REF! &lt;= 50, "0-50", IF(#REF! &lt;=100, "51-100", IF(#REF! &lt;= 150, "101-150", "151+")))</f>
        <v>#REF!</v>
      </c>
      <c r="Y549" t="e">
        <f>IF(#REF! &lt;= 3, "Low Charges", "High Charges")</f>
        <v>#REF!</v>
      </c>
      <c r="Z549" t="e">
        <f>IF(#REF!&lt;=80,"Low Calls",
IF(#REF!&lt;=120,"Medium Calls","High Calls"))</f>
        <v>#REF!</v>
      </c>
      <c r="AA549" t="e">
        <f>IF(#REF!&lt;=15,"Low Charges",
IF(#REF!&lt;=20,"Medium Charges","High Charges"))</f>
        <v>#REF!</v>
      </c>
      <c r="AB549" t="e">
        <f>IF(AND(#REF!&gt;180, #REF!&gt;200), "Heavy Doemstic User", IF(#REF!&gt;10, "Interntional User", IF(AND(#REF!&lt;180, #REF!&lt;200,#REF!&lt;200), "Light User", "Balanced User")))</f>
        <v>#REF!</v>
      </c>
      <c r="AC549" t="e">
        <f>IF(#REF! = 0, "No Usage", IF(#REF! &lt;= 20, "Low Usage", IF(#REF! &lt;= 40, "Medium Usgae", "High Usage")))</f>
        <v>#REF!</v>
      </c>
      <c r="AD549" t="e">
        <f>IF(#REF!&lt;=150,"Low Usage", IF(#REF!&lt;=200,"Medium Usage", IF(#REF!&lt;=250,"High Usage","Very High Usage")))</f>
        <v>#REF!</v>
      </c>
      <c r="AE549" t="e">
        <f>IF(#REF!&lt;=5,"Low Calls", IF(#REF!&lt;=10, "Medium Calls", "High Calls"))</f>
        <v>#REF!</v>
      </c>
      <c r="AF549" t="e">
        <f xml:space="preserve">
IF(#REF!&gt;=4,4,0)+
IF(#REF!="yes",3,0)+
IF(#REF!="High Charges",3,0)+
IF(#REF!&gt;250,4,0)+
IF(#REF!="no",1,0)+
IF(#REF!="Heavy Domestic User",2,0)</f>
        <v>#REF!</v>
      </c>
      <c r="AG549" t="e">
        <f>IF(#REF!&gt;=10,"High Risk", IF(#REF!&gt;=5,"Medium Risk","Low Risk"))</f>
        <v>#REF!</v>
      </c>
      <c r="AH549" t="e">
        <f>#REF! + #REF! + #REF! + #REF!</f>
        <v>#REF!</v>
      </c>
    </row>
    <row r="550" spans="1:34" x14ac:dyDescent="0.35">
      <c r="A550">
        <v>549</v>
      </c>
      <c r="B550" t="s">
        <v>41</v>
      </c>
      <c r="C550">
        <v>139</v>
      </c>
      <c r="D550" t="s">
        <v>21</v>
      </c>
      <c r="E550" t="s">
        <v>22</v>
      </c>
      <c r="F550" t="s">
        <v>22</v>
      </c>
      <c r="G550">
        <v>0</v>
      </c>
      <c r="H550">
        <v>138.1</v>
      </c>
      <c r="I550">
        <v>103</v>
      </c>
      <c r="J550">
        <v>23.48</v>
      </c>
      <c r="K550">
        <v>164.5</v>
      </c>
      <c r="L550">
        <v>100</v>
      </c>
      <c r="M550">
        <v>13.98</v>
      </c>
      <c r="N550">
        <v>134.9</v>
      </c>
      <c r="O550">
        <v>63</v>
      </c>
      <c r="P550">
        <v>6.07</v>
      </c>
      <c r="Q550">
        <v>8.3000000000000007</v>
      </c>
      <c r="R550">
        <v>2</v>
      </c>
      <c r="S550">
        <v>2.2400000000000002</v>
      </c>
      <c r="T550">
        <v>1</v>
      </c>
      <c r="U550" t="s">
        <v>22</v>
      </c>
      <c r="V550" t="e">
        <f>IF(#REF! = "yes", 1, 0)</f>
        <v>#REF!</v>
      </c>
      <c r="W550" t="e">
        <f>IF(#REF! &lt;= 1, "0-1 Calls", IF(#REF! &lt;= 3, "2-3 Calls", IF(#REF! &lt;=5, "4-5 Calls", "6+ Calls")))</f>
        <v>#REF!</v>
      </c>
      <c r="X550" t="e">
        <f>IF(#REF! &lt;= 50, "0-50", IF(#REF! &lt;=100, "51-100", IF(#REF! &lt;= 150, "101-150", "151+")))</f>
        <v>#REF!</v>
      </c>
      <c r="Y550" t="e">
        <f>IF(#REF! &lt;= 3, "Low Charges", "High Charges")</f>
        <v>#REF!</v>
      </c>
      <c r="Z550" t="e">
        <f>IF(#REF!&lt;=80,"Low Calls",
IF(#REF!&lt;=120,"Medium Calls","High Calls"))</f>
        <v>#REF!</v>
      </c>
      <c r="AA550" t="e">
        <f>IF(#REF!&lt;=15,"Low Charges",
IF(#REF!&lt;=20,"Medium Charges","High Charges"))</f>
        <v>#REF!</v>
      </c>
      <c r="AB550" t="e">
        <f>IF(AND(#REF!&gt;180, #REF!&gt;200), "Heavy Doemstic User", IF(#REF!&gt;10, "Interntional User", IF(AND(#REF!&lt;180, #REF!&lt;200,#REF!&lt;200), "Light User", "Balanced User")))</f>
        <v>#REF!</v>
      </c>
      <c r="AC550" t="e">
        <f>IF(#REF! = 0, "No Usage", IF(#REF! &lt;= 20, "Low Usage", IF(#REF! &lt;= 40, "Medium Usgae", "High Usage")))</f>
        <v>#REF!</v>
      </c>
      <c r="AD550" t="e">
        <f>IF(#REF!&lt;=150,"Low Usage", IF(#REF!&lt;=200,"Medium Usage", IF(#REF!&lt;=250,"High Usage","Very High Usage")))</f>
        <v>#REF!</v>
      </c>
      <c r="AE550" t="e">
        <f>IF(#REF!&lt;=5,"Low Calls", IF(#REF!&lt;=10, "Medium Calls", "High Calls"))</f>
        <v>#REF!</v>
      </c>
      <c r="AF550" t="e">
        <f xml:space="preserve">
IF(#REF!&gt;=4,4,0)+
IF(#REF!="yes",3,0)+
IF(#REF!="High Charges",3,0)+
IF(#REF!&gt;250,4,0)+
IF(#REF!="no",1,0)+
IF(#REF!="Heavy Domestic User",2,0)</f>
        <v>#REF!</v>
      </c>
      <c r="AG550" t="e">
        <f>IF(#REF!&gt;=10,"High Risk", IF(#REF!&gt;=5,"Medium Risk","Low Risk"))</f>
        <v>#REF!</v>
      </c>
      <c r="AH550" t="e">
        <f>#REF! + #REF! + #REF! + #REF!</f>
        <v>#REF!</v>
      </c>
    </row>
    <row r="551" spans="1:34" x14ac:dyDescent="0.35">
      <c r="A551">
        <v>550</v>
      </c>
      <c r="B551" t="s">
        <v>35</v>
      </c>
      <c r="C551">
        <v>109</v>
      </c>
      <c r="D551" t="s">
        <v>25</v>
      </c>
      <c r="E551" t="s">
        <v>22</v>
      </c>
      <c r="F551" t="s">
        <v>22</v>
      </c>
      <c r="G551">
        <v>0</v>
      </c>
      <c r="H551">
        <v>264.7</v>
      </c>
      <c r="I551">
        <v>69</v>
      </c>
      <c r="J551">
        <v>45</v>
      </c>
      <c r="K551">
        <v>305</v>
      </c>
      <c r="L551">
        <v>120</v>
      </c>
      <c r="M551">
        <v>25.93</v>
      </c>
      <c r="N551">
        <v>197.4</v>
      </c>
      <c r="O551">
        <v>86</v>
      </c>
      <c r="P551">
        <v>8.8800000000000008</v>
      </c>
      <c r="Q551">
        <v>9.5</v>
      </c>
      <c r="R551">
        <v>9</v>
      </c>
      <c r="S551">
        <v>2.57</v>
      </c>
      <c r="T551">
        <v>1</v>
      </c>
      <c r="U551" t="s">
        <v>23</v>
      </c>
      <c r="V551" t="e">
        <f>IF(#REF! = "yes", 1, 0)</f>
        <v>#REF!</v>
      </c>
      <c r="W551" t="e">
        <f>IF(#REF! &lt;= 1, "0-1 Calls", IF(#REF! &lt;= 3, "2-3 Calls", IF(#REF! &lt;=5, "4-5 Calls", "6+ Calls")))</f>
        <v>#REF!</v>
      </c>
      <c r="X551" t="e">
        <f>IF(#REF! &lt;= 50, "0-50", IF(#REF! &lt;=100, "51-100", IF(#REF! &lt;= 150, "101-150", "151+")))</f>
        <v>#REF!</v>
      </c>
      <c r="Y551" t="e">
        <f>IF(#REF! &lt;= 3, "Low Charges", "High Charges")</f>
        <v>#REF!</v>
      </c>
      <c r="Z551" t="e">
        <f>IF(#REF!&lt;=80,"Low Calls",
IF(#REF!&lt;=120,"Medium Calls","High Calls"))</f>
        <v>#REF!</v>
      </c>
      <c r="AA551" t="e">
        <f>IF(#REF!&lt;=15,"Low Charges",
IF(#REF!&lt;=20,"Medium Charges","High Charges"))</f>
        <v>#REF!</v>
      </c>
      <c r="AB551" t="e">
        <f>IF(AND(#REF!&gt;180, #REF!&gt;200), "Heavy Doemstic User", IF(#REF!&gt;10, "Interntional User", IF(AND(#REF!&lt;180, #REF!&lt;200,#REF!&lt;200), "Light User", "Balanced User")))</f>
        <v>#REF!</v>
      </c>
      <c r="AC551" t="e">
        <f>IF(#REF! = 0, "No Usage", IF(#REF! &lt;= 20, "Low Usage", IF(#REF! &lt;= 40, "Medium Usgae", "High Usage")))</f>
        <v>#REF!</v>
      </c>
      <c r="AD551" t="e">
        <f>IF(#REF!&lt;=150,"Low Usage", IF(#REF!&lt;=200,"Medium Usage", IF(#REF!&lt;=250,"High Usage","Very High Usage")))</f>
        <v>#REF!</v>
      </c>
      <c r="AE551" t="e">
        <f>IF(#REF!&lt;=5,"Low Calls", IF(#REF!&lt;=10, "Medium Calls", "High Calls"))</f>
        <v>#REF!</v>
      </c>
      <c r="AF551" t="e">
        <f xml:space="preserve">
IF(#REF!&gt;=4,4,0)+
IF(#REF!="yes",3,0)+
IF(#REF!="High Charges",3,0)+
IF(#REF!&gt;250,4,0)+
IF(#REF!="no",1,0)+
IF(#REF!="Heavy Domestic User",2,0)</f>
        <v>#REF!</v>
      </c>
      <c r="AG551" t="e">
        <f>IF(#REF!&gt;=10,"High Risk", IF(#REF!&gt;=5,"Medium Risk","Low Risk"))</f>
        <v>#REF!</v>
      </c>
      <c r="AH551" t="e">
        <f>#REF! + #REF! + #REF! + #REF!</f>
        <v>#REF!</v>
      </c>
    </row>
    <row r="552" spans="1:34" x14ac:dyDescent="0.35">
      <c r="A552">
        <v>551</v>
      </c>
      <c r="B552" t="s">
        <v>57</v>
      </c>
      <c r="C552">
        <v>65</v>
      </c>
      <c r="D552" t="s">
        <v>25</v>
      </c>
      <c r="E552" t="s">
        <v>22</v>
      </c>
      <c r="F552" t="s">
        <v>23</v>
      </c>
      <c r="G552">
        <v>31</v>
      </c>
      <c r="H552">
        <v>282.3</v>
      </c>
      <c r="I552">
        <v>70</v>
      </c>
      <c r="J552">
        <v>47.99</v>
      </c>
      <c r="K552">
        <v>152</v>
      </c>
      <c r="L552">
        <v>89</v>
      </c>
      <c r="M552">
        <v>12.92</v>
      </c>
      <c r="N552">
        <v>225.5</v>
      </c>
      <c r="O552">
        <v>93</v>
      </c>
      <c r="P552">
        <v>10.15</v>
      </c>
      <c r="Q552">
        <v>12</v>
      </c>
      <c r="R552">
        <v>4</v>
      </c>
      <c r="S552">
        <v>3.24</v>
      </c>
      <c r="T552">
        <v>1</v>
      </c>
      <c r="U552" t="s">
        <v>22</v>
      </c>
      <c r="V552" t="e">
        <f>IF(#REF! = "yes", 1, 0)</f>
        <v>#REF!</v>
      </c>
      <c r="W552" t="e">
        <f>IF(#REF! &lt;= 1, "0-1 Calls", IF(#REF! &lt;= 3, "2-3 Calls", IF(#REF! &lt;=5, "4-5 Calls", "6+ Calls")))</f>
        <v>#REF!</v>
      </c>
      <c r="X552" t="e">
        <f>IF(#REF! &lt;= 50, "0-50", IF(#REF! &lt;=100, "51-100", IF(#REF! &lt;= 150, "101-150", "151+")))</f>
        <v>#REF!</v>
      </c>
      <c r="Y552" t="e">
        <f>IF(#REF! &lt;= 3, "Low Charges", "High Charges")</f>
        <v>#REF!</v>
      </c>
      <c r="Z552" t="e">
        <f>IF(#REF!&lt;=80,"Low Calls",
IF(#REF!&lt;=120,"Medium Calls","High Calls"))</f>
        <v>#REF!</v>
      </c>
      <c r="AA552" t="e">
        <f>IF(#REF!&lt;=15,"Low Charges",
IF(#REF!&lt;=20,"Medium Charges","High Charges"))</f>
        <v>#REF!</v>
      </c>
      <c r="AB552" t="e">
        <f>IF(AND(#REF!&gt;180, #REF!&gt;200), "Heavy Doemstic User", IF(#REF!&gt;10, "Interntional User", IF(AND(#REF!&lt;180, #REF!&lt;200,#REF!&lt;200), "Light User", "Balanced User")))</f>
        <v>#REF!</v>
      </c>
      <c r="AC552" t="e">
        <f>IF(#REF! = 0, "No Usage", IF(#REF! &lt;= 20, "Low Usage", IF(#REF! &lt;= 40, "Medium Usgae", "High Usage")))</f>
        <v>#REF!</v>
      </c>
      <c r="AD552" t="e">
        <f>IF(#REF!&lt;=150,"Low Usage", IF(#REF!&lt;=200,"Medium Usage", IF(#REF!&lt;=250,"High Usage","Very High Usage")))</f>
        <v>#REF!</v>
      </c>
      <c r="AE552" t="e">
        <f>IF(#REF!&lt;=5,"Low Calls", IF(#REF!&lt;=10, "Medium Calls", "High Calls"))</f>
        <v>#REF!</v>
      </c>
      <c r="AF552" t="e">
        <f xml:space="preserve">
IF(#REF!&gt;=4,4,0)+
IF(#REF!="yes",3,0)+
IF(#REF!="High Charges",3,0)+
IF(#REF!&gt;250,4,0)+
IF(#REF!="no",1,0)+
IF(#REF!="Heavy Domestic User",2,0)</f>
        <v>#REF!</v>
      </c>
      <c r="AG552" t="e">
        <f>IF(#REF!&gt;=10,"High Risk", IF(#REF!&gt;=5,"Medium Risk","Low Risk"))</f>
        <v>#REF!</v>
      </c>
      <c r="AH552" t="e">
        <f>#REF! + #REF! + #REF! + #REF!</f>
        <v>#REF!</v>
      </c>
    </row>
    <row r="553" spans="1:34" x14ac:dyDescent="0.35">
      <c r="A553">
        <v>552</v>
      </c>
      <c r="B553" t="s">
        <v>64</v>
      </c>
      <c r="C553">
        <v>152</v>
      </c>
      <c r="D553" t="s">
        <v>21</v>
      </c>
      <c r="E553" t="s">
        <v>22</v>
      </c>
      <c r="F553" t="s">
        <v>22</v>
      </c>
      <c r="G553">
        <v>0</v>
      </c>
      <c r="H553">
        <v>197.1</v>
      </c>
      <c r="I553">
        <v>126</v>
      </c>
      <c r="J553">
        <v>33.51</v>
      </c>
      <c r="K553">
        <v>130.1</v>
      </c>
      <c r="L553">
        <v>76</v>
      </c>
      <c r="M553">
        <v>11.06</v>
      </c>
      <c r="N553">
        <v>78.099999999999994</v>
      </c>
      <c r="O553">
        <v>100</v>
      </c>
      <c r="P553">
        <v>3.51</v>
      </c>
      <c r="Q553">
        <v>7.4</v>
      </c>
      <c r="R553">
        <v>4</v>
      </c>
      <c r="S553">
        <v>2</v>
      </c>
      <c r="T553">
        <v>3</v>
      </c>
      <c r="U553" t="s">
        <v>22</v>
      </c>
      <c r="V553" t="e">
        <f>IF(#REF! = "yes", 1, 0)</f>
        <v>#REF!</v>
      </c>
      <c r="W553" t="e">
        <f>IF(#REF! &lt;= 1, "0-1 Calls", IF(#REF! &lt;= 3, "2-3 Calls", IF(#REF! &lt;=5, "4-5 Calls", "6+ Calls")))</f>
        <v>#REF!</v>
      </c>
      <c r="X553" t="e">
        <f>IF(#REF! &lt;= 50, "0-50", IF(#REF! &lt;=100, "51-100", IF(#REF! &lt;= 150, "101-150", "151+")))</f>
        <v>#REF!</v>
      </c>
      <c r="Y553" t="e">
        <f>IF(#REF! &lt;= 3, "Low Charges", "High Charges")</f>
        <v>#REF!</v>
      </c>
      <c r="Z553" t="e">
        <f>IF(#REF!&lt;=80,"Low Calls",
IF(#REF!&lt;=120,"Medium Calls","High Calls"))</f>
        <v>#REF!</v>
      </c>
      <c r="AA553" t="e">
        <f>IF(#REF!&lt;=15,"Low Charges",
IF(#REF!&lt;=20,"Medium Charges","High Charges"))</f>
        <v>#REF!</v>
      </c>
      <c r="AB553" t="e">
        <f>IF(AND(#REF!&gt;180, #REF!&gt;200), "Heavy Doemstic User", IF(#REF!&gt;10, "Interntional User", IF(AND(#REF!&lt;180, #REF!&lt;200,#REF!&lt;200), "Light User", "Balanced User")))</f>
        <v>#REF!</v>
      </c>
      <c r="AC553" t="e">
        <f>IF(#REF! = 0, "No Usage", IF(#REF! &lt;= 20, "Low Usage", IF(#REF! &lt;= 40, "Medium Usgae", "High Usage")))</f>
        <v>#REF!</v>
      </c>
      <c r="AD553" t="e">
        <f>IF(#REF!&lt;=150,"Low Usage", IF(#REF!&lt;=200,"Medium Usage", IF(#REF!&lt;=250,"High Usage","Very High Usage")))</f>
        <v>#REF!</v>
      </c>
      <c r="AE553" t="e">
        <f>IF(#REF!&lt;=5,"Low Calls", IF(#REF!&lt;=10, "Medium Calls", "High Calls"))</f>
        <v>#REF!</v>
      </c>
      <c r="AF553" t="e">
        <f xml:space="preserve">
IF(#REF!&gt;=4,4,0)+
IF(#REF!="yes",3,0)+
IF(#REF!="High Charges",3,0)+
IF(#REF!&gt;250,4,0)+
IF(#REF!="no",1,0)+
IF(#REF!="Heavy Domestic User",2,0)</f>
        <v>#REF!</v>
      </c>
      <c r="AG553" t="e">
        <f>IF(#REF!&gt;=10,"High Risk", IF(#REF!&gt;=5,"Medium Risk","Low Risk"))</f>
        <v>#REF!</v>
      </c>
      <c r="AH553" t="e">
        <f>#REF! + #REF! + #REF! + #REF!</f>
        <v>#REF!</v>
      </c>
    </row>
    <row r="554" spans="1:34" x14ac:dyDescent="0.35">
      <c r="A554">
        <v>553</v>
      </c>
      <c r="B554" t="s">
        <v>75</v>
      </c>
      <c r="C554">
        <v>147</v>
      </c>
      <c r="D554" t="s">
        <v>25</v>
      </c>
      <c r="E554" t="s">
        <v>22</v>
      </c>
      <c r="F554" t="s">
        <v>22</v>
      </c>
      <c r="G554">
        <v>0</v>
      </c>
      <c r="H554">
        <v>205.3</v>
      </c>
      <c r="I554">
        <v>95</v>
      </c>
      <c r="J554">
        <v>34.9</v>
      </c>
      <c r="K554">
        <v>166.7</v>
      </c>
      <c r="L554">
        <v>128</v>
      </c>
      <c r="M554">
        <v>14.17</v>
      </c>
      <c r="N554">
        <v>240.6</v>
      </c>
      <c r="O554">
        <v>84</v>
      </c>
      <c r="P554">
        <v>10.83</v>
      </c>
      <c r="Q554">
        <v>7.8</v>
      </c>
      <c r="R554">
        <v>4</v>
      </c>
      <c r="S554">
        <v>2.11</v>
      </c>
      <c r="T554">
        <v>1</v>
      </c>
      <c r="U554" t="s">
        <v>22</v>
      </c>
      <c r="V554" t="e">
        <f>IF(#REF! = "yes", 1, 0)</f>
        <v>#REF!</v>
      </c>
      <c r="W554" t="e">
        <f>IF(#REF! &lt;= 1, "0-1 Calls", IF(#REF! &lt;= 3, "2-3 Calls", IF(#REF! &lt;=5, "4-5 Calls", "6+ Calls")))</f>
        <v>#REF!</v>
      </c>
      <c r="X554" t="e">
        <f>IF(#REF! &lt;= 50, "0-50", IF(#REF! &lt;=100, "51-100", IF(#REF! &lt;= 150, "101-150", "151+")))</f>
        <v>#REF!</v>
      </c>
      <c r="Y554" t="e">
        <f>IF(#REF! &lt;= 3, "Low Charges", "High Charges")</f>
        <v>#REF!</v>
      </c>
      <c r="Z554" t="e">
        <f>IF(#REF!&lt;=80,"Low Calls",
IF(#REF!&lt;=120,"Medium Calls","High Calls"))</f>
        <v>#REF!</v>
      </c>
      <c r="AA554" t="e">
        <f>IF(#REF!&lt;=15,"Low Charges",
IF(#REF!&lt;=20,"Medium Charges","High Charges"))</f>
        <v>#REF!</v>
      </c>
      <c r="AB554" t="e">
        <f>IF(AND(#REF!&gt;180, #REF!&gt;200), "Heavy Doemstic User", IF(#REF!&gt;10, "Interntional User", IF(AND(#REF!&lt;180, #REF!&lt;200,#REF!&lt;200), "Light User", "Balanced User")))</f>
        <v>#REF!</v>
      </c>
      <c r="AC554" t="e">
        <f>IF(#REF! = 0, "No Usage", IF(#REF! &lt;= 20, "Low Usage", IF(#REF! &lt;= 40, "Medium Usgae", "High Usage")))</f>
        <v>#REF!</v>
      </c>
      <c r="AD554" t="e">
        <f>IF(#REF!&lt;=150,"Low Usage", IF(#REF!&lt;=200,"Medium Usage", IF(#REF!&lt;=250,"High Usage","Very High Usage")))</f>
        <v>#REF!</v>
      </c>
      <c r="AE554" t="e">
        <f>IF(#REF!&lt;=5,"Low Calls", IF(#REF!&lt;=10, "Medium Calls", "High Calls"))</f>
        <v>#REF!</v>
      </c>
      <c r="AF554" t="e">
        <f xml:space="preserve">
IF(#REF!&gt;=4,4,0)+
IF(#REF!="yes",3,0)+
IF(#REF!="High Charges",3,0)+
IF(#REF!&gt;250,4,0)+
IF(#REF!="no",1,0)+
IF(#REF!="Heavy Domestic User",2,0)</f>
        <v>#REF!</v>
      </c>
      <c r="AG554" t="e">
        <f>IF(#REF!&gt;=10,"High Risk", IF(#REF!&gt;=5,"Medium Risk","Low Risk"))</f>
        <v>#REF!</v>
      </c>
      <c r="AH554" t="e">
        <f>#REF! + #REF! + #REF! + #REF!</f>
        <v>#REF!</v>
      </c>
    </row>
    <row r="555" spans="1:34" x14ac:dyDescent="0.35">
      <c r="A555">
        <v>554</v>
      </c>
      <c r="B555" t="s">
        <v>48</v>
      </c>
      <c r="C555">
        <v>112</v>
      </c>
      <c r="D555" t="s">
        <v>21</v>
      </c>
      <c r="E555" t="s">
        <v>22</v>
      </c>
      <c r="F555" t="s">
        <v>23</v>
      </c>
      <c r="G555">
        <v>22</v>
      </c>
      <c r="H555">
        <v>181.8</v>
      </c>
      <c r="I555">
        <v>110</v>
      </c>
      <c r="J555">
        <v>30.91</v>
      </c>
      <c r="K555">
        <v>228.1</v>
      </c>
      <c r="L555">
        <v>123</v>
      </c>
      <c r="M555">
        <v>19.39</v>
      </c>
      <c r="N555">
        <v>262.7</v>
      </c>
      <c r="O555">
        <v>141</v>
      </c>
      <c r="P555">
        <v>11.82</v>
      </c>
      <c r="Q555">
        <v>9.1999999999999993</v>
      </c>
      <c r="R555">
        <v>4</v>
      </c>
      <c r="S555">
        <v>2.48</v>
      </c>
      <c r="T555">
        <v>2</v>
      </c>
      <c r="U555" t="s">
        <v>22</v>
      </c>
      <c r="V555" t="e">
        <f>IF(#REF! = "yes", 1, 0)</f>
        <v>#REF!</v>
      </c>
      <c r="W555" t="e">
        <f>IF(#REF! &lt;= 1, "0-1 Calls", IF(#REF! &lt;= 3, "2-3 Calls", IF(#REF! &lt;=5, "4-5 Calls", "6+ Calls")))</f>
        <v>#REF!</v>
      </c>
      <c r="X555" t="e">
        <f>IF(#REF! &lt;= 50, "0-50", IF(#REF! &lt;=100, "51-100", IF(#REF! &lt;= 150, "101-150", "151+")))</f>
        <v>#REF!</v>
      </c>
      <c r="Y555" t="e">
        <f>IF(#REF! &lt;= 3, "Low Charges", "High Charges")</f>
        <v>#REF!</v>
      </c>
      <c r="Z555" t="e">
        <f>IF(#REF!&lt;=80,"Low Calls",
IF(#REF!&lt;=120,"Medium Calls","High Calls"))</f>
        <v>#REF!</v>
      </c>
      <c r="AA555" t="e">
        <f>IF(#REF!&lt;=15,"Low Charges",
IF(#REF!&lt;=20,"Medium Charges","High Charges"))</f>
        <v>#REF!</v>
      </c>
      <c r="AB555" t="e">
        <f>IF(AND(#REF!&gt;180, #REF!&gt;200), "Heavy Doemstic User", IF(#REF!&gt;10, "Interntional User", IF(AND(#REF!&lt;180, #REF!&lt;200,#REF!&lt;200), "Light User", "Balanced User")))</f>
        <v>#REF!</v>
      </c>
      <c r="AC555" t="e">
        <f>IF(#REF! = 0, "No Usage", IF(#REF! &lt;= 20, "Low Usage", IF(#REF! &lt;= 40, "Medium Usgae", "High Usage")))</f>
        <v>#REF!</v>
      </c>
      <c r="AD555" t="e">
        <f>IF(#REF!&lt;=150,"Low Usage", IF(#REF!&lt;=200,"Medium Usage", IF(#REF!&lt;=250,"High Usage","Very High Usage")))</f>
        <v>#REF!</v>
      </c>
      <c r="AE555" t="e">
        <f>IF(#REF!&lt;=5,"Low Calls", IF(#REF!&lt;=10, "Medium Calls", "High Calls"))</f>
        <v>#REF!</v>
      </c>
      <c r="AF555" t="e">
        <f xml:space="preserve">
IF(#REF!&gt;=4,4,0)+
IF(#REF!="yes",3,0)+
IF(#REF!="High Charges",3,0)+
IF(#REF!&gt;250,4,0)+
IF(#REF!="no",1,0)+
IF(#REF!="Heavy Domestic User",2,0)</f>
        <v>#REF!</v>
      </c>
      <c r="AG555" t="e">
        <f>IF(#REF!&gt;=10,"High Risk", IF(#REF!&gt;=5,"Medium Risk","Low Risk"))</f>
        <v>#REF!</v>
      </c>
      <c r="AH555" t="e">
        <f>#REF! + #REF! + #REF! + #REF!</f>
        <v>#REF!</v>
      </c>
    </row>
    <row r="556" spans="1:34" x14ac:dyDescent="0.35">
      <c r="A556">
        <v>555</v>
      </c>
      <c r="B556" t="s">
        <v>52</v>
      </c>
      <c r="C556">
        <v>120</v>
      </c>
      <c r="D556" t="s">
        <v>21</v>
      </c>
      <c r="E556" t="s">
        <v>22</v>
      </c>
      <c r="F556" t="s">
        <v>22</v>
      </c>
      <c r="G556">
        <v>0</v>
      </c>
      <c r="H556">
        <v>252</v>
      </c>
      <c r="I556">
        <v>120</v>
      </c>
      <c r="J556">
        <v>42.84</v>
      </c>
      <c r="K556">
        <v>150.19999999999999</v>
      </c>
      <c r="L556">
        <v>106</v>
      </c>
      <c r="M556">
        <v>12.77</v>
      </c>
      <c r="N556">
        <v>151.80000000000001</v>
      </c>
      <c r="O556">
        <v>96</v>
      </c>
      <c r="P556">
        <v>6.83</v>
      </c>
      <c r="Q556">
        <v>9.6</v>
      </c>
      <c r="R556">
        <v>1</v>
      </c>
      <c r="S556">
        <v>2.59</v>
      </c>
      <c r="T556">
        <v>2</v>
      </c>
      <c r="U556" t="s">
        <v>22</v>
      </c>
      <c r="V556" t="e">
        <f>IF(#REF! = "yes", 1, 0)</f>
        <v>#REF!</v>
      </c>
      <c r="W556" t="e">
        <f>IF(#REF! &lt;= 1, "0-1 Calls", IF(#REF! &lt;= 3, "2-3 Calls", IF(#REF! &lt;=5, "4-5 Calls", "6+ Calls")))</f>
        <v>#REF!</v>
      </c>
      <c r="X556" t="e">
        <f>IF(#REF! &lt;= 50, "0-50", IF(#REF! &lt;=100, "51-100", IF(#REF! &lt;= 150, "101-150", "151+")))</f>
        <v>#REF!</v>
      </c>
      <c r="Y556" t="e">
        <f>IF(#REF! &lt;= 3, "Low Charges", "High Charges")</f>
        <v>#REF!</v>
      </c>
      <c r="Z556" t="e">
        <f>IF(#REF!&lt;=80,"Low Calls",
IF(#REF!&lt;=120,"Medium Calls","High Calls"))</f>
        <v>#REF!</v>
      </c>
      <c r="AA556" t="e">
        <f>IF(#REF!&lt;=15,"Low Charges",
IF(#REF!&lt;=20,"Medium Charges","High Charges"))</f>
        <v>#REF!</v>
      </c>
      <c r="AB556" t="e">
        <f>IF(AND(#REF!&gt;180, #REF!&gt;200), "Heavy Doemstic User", IF(#REF!&gt;10, "Interntional User", IF(AND(#REF!&lt;180, #REF!&lt;200,#REF!&lt;200), "Light User", "Balanced User")))</f>
        <v>#REF!</v>
      </c>
      <c r="AC556" t="e">
        <f>IF(#REF! = 0, "No Usage", IF(#REF! &lt;= 20, "Low Usage", IF(#REF! &lt;= 40, "Medium Usgae", "High Usage")))</f>
        <v>#REF!</v>
      </c>
      <c r="AD556" t="e">
        <f>IF(#REF!&lt;=150,"Low Usage", IF(#REF!&lt;=200,"Medium Usage", IF(#REF!&lt;=250,"High Usage","Very High Usage")))</f>
        <v>#REF!</v>
      </c>
      <c r="AE556" t="e">
        <f>IF(#REF!&lt;=5,"Low Calls", IF(#REF!&lt;=10, "Medium Calls", "High Calls"))</f>
        <v>#REF!</v>
      </c>
      <c r="AF556" t="e">
        <f xml:space="preserve">
IF(#REF!&gt;=4,4,0)+
IF(#REF!="yes",3,0)+
IF(#REF!="High Charges",3,0)+
IF(#REF!&gt;250,4,0)+
IF(#REF!="no",1,0)+
IF(#REF!="Heavy Domestic User",2,0)</f>
        <v>#REF!</v>
      </c>
      <c r="AG556" t="e">
        <f>IF(#REF!&gt;=10,"High Risk", IF(#REF!&gt;=5,"Medium Risk","Low Risk"))</f>
        <v>#REF!</v>
      </c>
      <c r="AH556" t="e">
        <f>#REF! + #REF! + #REF! + #REF!</f>
        <v>#REF!</v>
      </c>
    </row>
    <row r="557" spans="1:34" x14ac:dyDescent="0.35">
      <c r="A557">
        <v>556</v>
      </c>
      <c r="B557" t="s">
        <v>44</v>
      </c>
      <c r="C557">
        <v>171</v>
      </c>
      <c r="D557" t="s">
        <v>21</v>
      </c>
      <c r="E557" t="s">
        <v>22</v>
      </c>
      <c r="F557" t="s">
        <v>22</v>
      </c>
      <c r="G557">
        <v>0</v>
      </c>
      <c r="H557">
        <v>231.2</v>
      </c>
      <c r="I557">
        <v>135</v>
      </c>
      <c r="J557">
        <v>39.299999999999997</v>
      </c>
      <c r="K557">
        <v>188.7</v>
      </c>
      <c r="L557">
        <v>74</v>
      </c>
      <c r="M557">
        <v>16.04</v>
      </c>
      <c r="N557">
        <v>206.9</v>
      </c>
      <c r="O557">
        <v>124</v>
      </c>
      <c r="P557">
        <v>9.31</v>
      </c>
      <c r="Q557">
        <v>12.3</v>
      </c>
      <c r="R557">
        <v>1</v>
      </c>
      <c r="S557">
        <v>3.32</v>
      </c>
      <c r="T557">
        <v>1</v>
      </c>
      <c r="U557" t="s">
        <v>22</v>
      </c>
      <c r="V557" t="e">
        <f>IF(#REF! = "yes", 1, 0)</f>
        <v>#REF!</v>
      </c>
      <c r="W557" t="e">
        <f>IF(#REF! &lt;= 1, "0-1 Calls", IF(#REF! &lt;= 3, "2-3 Calls", IF(#REF! &lt;=5, "4-5 Calls", "6+ Calls")))</f>
        <v>#REF!</v>
      </c>
      <c r="X557" t="e">
        <f>IF(#REF! &lt;= 50, "0-50", IF(#REF! &lt;=100, "51-100", IF(#REF! &lt;= 150, "101-150", "151+")))</f>
        <v>#REF!</v>
      </c>
      <c r="Y557" t="e">
        <f>IF(#REF! &lt;= 3, "Low Charges", "High Charges")</f>
        <v>#REF!</v>
      </c>
      <c r="Z557" t="e">
        <f>IF(#REF!&lt;=80,"Low Calls",
IF(#REF!&lt;=120,"Medium Calls","High Calls"))</f>
        <v>#REF!</v>
      </c>
      <c r="AA557" t="e">
        <f>IF(#REF!&lt;=15,"Low Charges",
IF(#REF!&lt;=20,"Medium Charges","High Charges"))</f>
        <v>#REF!</v>
      </c>
      <c r="AB557" t="e">
        <f>IF(AND(#REF!&gt;180, #REF!&gt;200), "Heavy Doemstic User", IF(#REF!&gt;10, "Interntional User", IF(AND(#REF!&lt;180, #REF!&lt;200,#REF!&lt;200), "Light User", "Balanced User")))</f>
        <v>#REF!</v>
      </c>
      <c r="AC557" t="e">
        <f>IF(#REF! = 0, "No Usage", IF(#REF! &lt;= 20, "Low Usage", IF(#REF! &lt;= 40, "Medium Usgae", "High Usage")))</f>
        <v>#REF!</v>
      </c>
      <c r="AD557" t="e">
        <f>IF(#REF!&lt;=150,"Low Usage", IF(#REF!&lt;=200,"Medium Usage", IF(#REF!&lt;=250,"High Usage","Very High Usage")))</f>
        <v>#REF!</v>
      </c>
      <c r="AE557" t="e">
        <f>IF(#REF!&lt;=5,"Low Calls", IF(#REF!&lt;=10, "Medium Calls", "High Calls"))</f>
        <v>#REF!</v>
      </c>
      <c r="AF557" t="e">
        <f xml:space="preserve">
IF(#REF!&gt;=4,4,0)+
IF(#REF!="yes",3,0)+
IF(#REF!="High Charges",3,0)+
IF(#REF!&gt;250,4,0)+
IF(#REF!="no",1,0)+
IF(#REF!="Heavy Domestic User",2,0)</f>
        <v>#REF!</v>
      </c>
      <c r="AG557" t="e">
        <f>IF(#REF!&gt;=10,"High Risk", IF(#REF!&gt;=5,"Medium Risk","Low Risk"))</f>
        <v>#REF!</v>
      </c>
      <c r="AH557" t="e">
        <f>#REF! + #REF! + #REF! + #REF!</f>
        <v>#REF!</v>
      </c>
    </row>
    <row r="558" spans="1:34" x14ac:dyDescent="0.35">
      <c r="A558">
        <v>557</v>
      </c>
      <c r="B558" t="s">
        <v>48</v>
      </c>
      <c r="C558">
        <v>101</v>
      </c>
      <c r="D558" t="s">
        <v>21</v>
      </c>
      <c r="E558" t="s">
        <v>22</v>
      </c>
      <c r="F558" t="s">
        <v>23</v>
      </c>
      <c r="G558">
        <v>33</v>
      </c>
      <c r="H558">
        <v>200.1</v>
      </c>
      <c r="I558">
        <v>108</v>
      </c>
      <c r="J558">
        <v>34.020000000000003</v>
      </c>
      <c r="K558">
        <v>188.9</v>
      </c>
      <c r="L558">
        <v>122</v>
      </c>
      <c r="M558">
        <v>16.059999999999999</v>
      </c>
      <c r="N558">
        <v>205.1</v>
      </c>
      <c r="O558">
        <v>90</v>
      </c>
      <c r="P558">
        <v>9.23</v>
      </c>
      <c r="Q558">
        <v>15.5</v>
      </c>
      <c r="R558">
        <v>4</v>
      </c>
      <c r="S558">
        <v>4.1900000000000004</v>
      </c>
      <c r="T558">
        <v>0</v>
      </c>
      <c r="U558" t="s">
        <v>22</v>
      </c>
      <c r="V558" t="e">
        <f>IF(#REF! = "yes", 1, 0)</f>
        <v>#REF!</v>
      </c>
      <c r="W558" t="e">
        <f>IF(#REF! &lt;= 1, "0-1 Calls", IF(#REF! &lt;= 3, "2-3 Calls", IF(#REF! &lt;=5, "4-5 Calls", "6+ Calls")))</f>
        <v>#REF!</v>
      </c>
      <c r="X558" t="e">
        <f>IF(#REF! &lt;= 50, "0-50", IF(#REF! &lt;=100, "51-100", IF(#REF! &lt;= 150, "101-150", "151+")))</f>
        <v>#REF!</v>
      </c>
      <c r="Y558" t="e">
        <f>IF(#REF! &lt;= 3, "Low Charges", "High Charges")</f>
        <v>#REF!</v>
      </c>
      <c r="Z558" t="e">
        <f>IF(#REF!&lt;=80,"Low Calls",
IF(#REF!&lt;=120,"Medium Calls","High Calls"))</f>
        <v>#REF!</v>
      </c>
      <c r="AA558" t="e">
        <f>IF(#REF!&lt;=15,"Low Charges",
IF(#REF!&lt;=20,"Medium Charges","High Charges"))</f>
        <v>#REF!</v>
      </c>
      <c r="AB558" t="e">
        <f>IF(AND(#REF!&gt;180, #REF!&gt;200), "Heavy Doemstic User", IF(#REF!&gt;10, "Interntional User", IF(AND(#REF!&lt;180, #REF!&lt;200,#REF!&lt;200), "Light User", "Balanced User")))</f>
        <v>#REF!</v>
      </c>
      <c r="AC558" t="e">
        <f>IF(#REF! = 0, "No Usage", IF(#REF! &lt;= 20, "Low Usage", IF(#REF! &lt;= 40, "Medium Usgae", "High Usage")))</f>
        <v>#REF!</v>
      </c>
      <c r="AD558" t="e">
        <f>IF(#REF!&lt;=150,"Low Usage", IF(#REF!&lt;=200,"Medium Usage", IF(#REF!&lt;=250,"High Usage","Very High Usage")))</f>
        <v>#REF!</v>
      </c>
      <c r="AE558" t="e">
        <f>IF(#REF!&lt;=5,"Low Calls", IF(#REF!&lt;=10, "Medium Calls", "High Calls"))</f>
        <v>#REF!</v>
      </c>
      <c r="AF558" t="e">
        <f xml:space="preserve">
IF(#REF!&gt;=4,4,0)+
IF(#REF!="yes",3,0)+
IF(#REF!="High Charges",3,0)+
IF(#REF!&gt;250,4,0)+
IF(#REF!="no",1,0)+
IF(#REF!="Heavy Domestic User",2,0)</f>
        <v>#REF!</v>
      </c>
      <c r="AG558" t="e">
        <f>IF(#REF!&gt;=10,"High Risk", IF(#REF!&gt;=5,"Medium Risk","Low Risk"))</f>
        <v>#REF!</v>
      </c>
      <c r="AH558" t="e">
        <f>#REF! + #REF! + #REF! + #REF!</f>
        <v>#REF!</v>
      </c>
    </row>
    <row r="559" spans="1:34" x14ac:dyDescent="0.35">
      <c r="A559">
        <v>558</v>
      </c>
      <c r="B559" t="s">
        <v>31</v>
      </c>
      <c r="C559">
        <v>32</v>
      </c>
      <c r="D559" t="s">
        <v>25</v>
      </c>
      <c r="E559" t="s">
        <v>22</v>
      </c>
      <c r="F559" t="s">
        <v>23</v>
      </c>
      <c r="G559">
        <v>26</v>
      </c>
      <c r="H559">
        <v>266.7</v>
      </c>
      <c r="I559">
        <v>109</v>
      </c>
      <c r="J559">
        <v>45.34</v>
      </c>
      <c r="K559">
        <v>232.3</v>
      </c>
      <c r="L559">
        <v>107</v>
      </c>
      <c r="M559">
        <v>19.75</v>
      </c>
      <c r="N559">
        <v>212.8</v>
      </c>
      <c r="O559">
        <v>98</v>
      </c>
      <c r="P559">
        <v>9.58</v>
      </c>
      <c r="Q559">
        <v>16.3</v>
      </c>
      <c r="R559">
        <v>4</v>
      </c>
      <c r="S559">
        <v>4.4000000000000004</v>
      </c>
      <c r="T559">
        <v>1</v>
      </c>
      <c r="U559" t="s">
        <v>22</v>
      </c>
      <c r="V559" t="e">
        <f>IF(#REF! = "yes", 1, 0)</f>
        <v>#REF!</v>
      </c>
      <c r="W559" t="e">
        <f>IF(#REF! &lt;= 1, "0-1 Calls", IF(#REF! &lt;= 3, "2-3 Calls", IF(#REF! &lt;=5, "4-5 Calls", "6+ Calls")))</f>
        <v>#REF!</v>
      </c>
      <c r="X559" t="e">
        <f>IF(#REF! &lt;= 50, "0-50", IF(#REF! &lt;=100, "51-100", IF(#REF! &lt;= 150, "101-150", "151+")))</f>
        <v>#REF!</v>
      </c>
      <c r="Y559" t="e">
        <f>IF(#REF! &lt;= 3, "Low Charges", "High Charges")</f>
        <v>#REF!</v>
      </c>
      <c r="Z559" t="e">
        <f>IF(#REF!&lt;=80,"Low Calls",
IF(#REF!&lt;=120,"Medium Calls","High Calls"))</f>
        <v>#REF!</v>
      </c>
      <c r="AA559" t="e">
        <f>IF(#REF!&lt;=15,"Low Charges",
IF(#REF!&lt;=20,"Medium Charges","High Charges"))</f>
        <v>#REF!</v>
      </c>
      <c r="AB559" t="e">
        <f>IF(AND(#REF!&gt;180, #REF!&gt;200), "Heavy Doemstic User", IF(#REF!&gt;10, "Interntional User", IF(AND(#REF!&lt;180, #REF!&lt;200,#REF!&lt;200), "Light User", "Balanced User")))</f>
        <v>#REF!</v>
      </c>
      <c r="AC559" t="e">
        <f>IF(#REF! = 0, "No Usage", IF(#REF! &lt;= 20, "Low Usage", IF(#REF! &lt;= 40, "Medium Usgae", "High Usage")))</f>
        <v>#REF!</v>
      </c>
      <c r="AD559" t="e">
        <f>IF(#REF!&lt;=150,"Low Usage", IF(#REF!&lt;=200,"Medium Usage", IF(#REF!&lt;=250,"High Usage","Very High Usage")))</f>
        <v>#REF!</v>
      </c>
      <c r="AE559" t="e">
        <f>IF(#REF!&lt;=5,"Low Calls", IF(#REF!&lt;=10, "Medium Calls", "High Calls"))</f>
        <v>#REF!</v>
      </c>
      <c r="AF559" t="e">
        <f xml:space="preserve">
IF(#REF!&gt;=4,4,0)+
IF(#REF!="yes",3,0)+
IF(#REF!="High Charges",3,0)+
IF(#REF!&gt;250,4,0)+
IF(#REF!="no",1,0)+
IF(#REF!="Heavy Domestic User",2,0)</f>
        <v>#REF!</v>
      </c>
      <c r="AG559" t="e">
        <f>IF(#REF!&gt;=10,"High Risk", IF(#REF!&gt;=5,"Medium Risk","Low Risk"))</f>
        <v>#REF!</v>
      </c>
      <c r="AH559" t="e">
        <f>#REF! + #REF! + #REF! + #REF!</f>
        <v>#REF!</v>
      </c>
    </row>
    <row r="560" spans="1:34" x14ac:dyDescent="0.35">
      <c r="A560">
        <v>559</v>
      </c>
      <c r="B560" t="s">
        <v>72</v>
      </c>
      <c r="C560">
        <v>151</v>
      </c>
      <c r="D560" t="s">
        <v>25</v>
      </c>
      <c r="E560" t="s">
        <v>22</v>
      </c>
      <c r="F560" t="s">
        <v>22</v>
      </c>
      <c r="G560">
        <v>0</v>
      </c>
      <c r="H560">
        <v>175.3</v>
      </c>
      <c r="I560">
        <v>106</v>
      </c>
      <c r="J560">
        <v>29.8</v>
      </c>
      <c r="K560">
        <v>144.30000000000001</v>
      </c>
      <c r="L560">
        <v>87</v>
      </c>
      <c r="M560">
        <v>12.27</v>
      </c>
      <c r="N560">
        <v>160.19999999999999</v>
      </c>
      <c r="O560">
        <v>88</v>
      </c>
      <c r="P560">
        <v>7.21</v>
      </c>
      <c r="Q560">
        <v>11.8</v>
      </c>
      <c r="R560">
        <v>5</v>
      </c>
      <c r="S560">
        <v>3.19</v>
      </c>
      <c r="T560">
        <v>0</v>
      </c>
      <c r="U560" t="s">
        <v>22</v>
      </c>
      <c r="V560" t="e">
        <f>IF(#REF! = "yes", 1, 0)</f>
        <v>#REF!</v>
      </c>
      <c r="W560" t="e">
        <f>IF(#REF! &lt;= 1, "0-1 Calls", IF(#REF! &lt;= 3, "2-3 Calls", IF(#REF! &lt;=5, "4-5 Calls", "6+ Calls")))</f>
        <v>#REF!</v>
      </c>
      <c r="X560" t="e">
        <f>IF(#REF! &lt;= 50, "0-50", IF(#REF! &lt;=100, "51-100", IF(#REF! &lt;= 150, "101-150", "151+")))</f>
        <v>#REF!</v>
      </c>
      <c r="Y560" t="e">
        <f>IF(#REF! &lt;= 3, "Low Charges", "High Charges")</f>
        <v>#REF!</v>
      </c>
      <c r="Z560" t="e">
        <f>IF(#REF!&lt;=80,"Low Calls",
IF(#REF!&lt;=120,"Medium Calls","High Calls"))</f>
        <v>#REF!</v>
      </c>
      <c r="AA560" t="e">
        <f>IF(#REF!&lt;=15,"Low Charges",
IF(#REF!&lt;=20,"Medium Charges","High Charges"))</f>
        <v>#REF!</v>
      </c>
      <c r="AB560" t="e">
        <f>IF(AND(#REF!&gt;180, #REF!&gt;200), "Heavy Doemstic User", IF(#REF!&gt;10, "Interntional User", IF(AND(#REF!&lt;180, #REF!&lt;200,#REF!&lt;200), "Light User", "Balanced User")))</f>
        <v>#REF!</v>
      </c>
      <c r="AC560" t="e">
        <f>IF(#REF! = 0, "No Usage", IF(#REF! &lt;= 20, "Low Usage", IF(#REF! &lt;= 40, "Medium Usgae", "High Usage")))</f>
        <v>#REF!</v>
      </c>
      <c r="AD560" t="e">
        <f>IF(#REF!&lt;=150,"Low Usage", IF(#REF!&lt;=200,"Medium Usage", IF(#REF!&lt;=250,"High Usage","Very High Usage")))</f>
        <v>#REF!</v>
      </c>
      <c r="AE560" t="e">
        <f>IF(#REF!&lt;=5,"Low Calls", IF(#REF!&lt;=10, "Medium Calls", "High Calls"))</f>
        <v>#REF!</v>
      </c>
      <c r="AF560" t="e">
        <f xml:space="preserve">
IF(#REF!&gt;=4,4,0)+
IF(#REF!="yes",3,0)+
IF(#REF!="High Charges",3,0)+
IF(#REF!&gt;250,4,0)+
IF(#REF!="no",1,0)+
IF(#REF!="Heavy Domestic User",2,0)</f>
        <v>#REF!</v>
      </c>
      <c r="AG560" t="e">
        <f>IF(#REF!&gt;=10,"High Risk", IF(#REF!&gt;=5,"Medium Risk","Low Risk"))</f>
        <v>#REF!</v>
      </c>
      <c r="AH560" t="e">
        <f>#REF! + #REF! + #REF! + #REF!</f>
        <v>#REF!</v>
      </c>
    </row>
    <row r="561" spans="1:34" x14ac:dyDescent="0.35">
      <c r="A561">
        <v>560</v>
      </c>
      <c r="B561" t="s">
        <v>41</v>
      </c>
      <c r="C561">
        <v>60</v>
      </c>
      <c r="D561" t="s">
        <v>25</v>
      </c>
      <c r="E561" t="s">
        <v>22</v>
      </c>
      <c r="F561" t="s">
        <v>22</v>
      </c>
      <c r="G561">
        <v>0</v>
      </c>
      <c r="H561">
        <v>125.1</v>
      </c>
      <c r="I561">
        <v>99</v>
      </c>
      <c r="J561">
        <v>21.27</v>
      </c>
      <c r="K561">
        <v>248.8</v>
      </c>
      <c r="L561">
        <v>62</v>
      </c>
      <c r="M561">
        <v>21.15</v>
      </c>
      <c r="N561">
        <v>211.3</v>
      </c>
      <c r="O561">
        <v>79</v>
      </c>
      <c r="P561">
        <v>9.51</v>
      </c>
      <c r="Q561">
        <v>11.2</v>
      </c>
      <c r="R561">
        <v>3</v>
      </c>
      <c r="S561">
        <v>3.02</v>
      </c>
      <c r="T561">
        <v>3</v>
      </c>
      <c r="U561" t="s">
        <v>22</v>
      </c>
      <c r="V561" t="e">
        <f>IF(#REF! = "yes", 1, 0)</f>
        <v>#REF!</v>
      </c>
      <c r="W561" t="e">
        <f>IF(#REF! &lt;= 1, "0-1 Calls", IF(#REF! &lt;= 3, "2-3 Calls", IF(#REF! &lt;=5, "4-5 Calls", "6+ Calls")))</f>
        <v>#REF!</v>
      </c>
      <c r="X561" t="e">
        <f>IF(#REF! &lt;= 50, "0-50", IF(#REF! &lt;=100, "51-100", IF(#REF! &lt;= 150, "101-150", "151+")))</f>
        <v>#REF!</v>
      </c>
      <c r="Y561" t="e">
        <f>IF(#REF! &lt;= 3, "Low Charges", "High Charges")</f>
        <v>#REF!</v>
      </c>
      <c r="Z561" t="e">
        <f>IF(#REF!&lt;=80,"Low Calls",
IF(#REF!&lt;=120,"Medium Calls","High Calls"))</f>
        <v>#REF!</v>
      </c>
      <c r="AA561" t="e">
        <f>IF(#REF!&lt;=15,"Low Charges",
IF(#REF!&lt;=20,"Medium Charges","High Charges"))</f>
        <v>#REF!</v>
      </c>
      <c r="AB561" t="e">
        <f>IF(AND(#REF!&gt;180, #REF!&gt;200), "Heavy Doemstic User", IF(#REF!&gt;10, "Interntional User", IF(AND(#REF!&lt;180, #REF!&lt;200,#REF!&lt;200), "Light User", "Balanced User")))</f>
        <v>#REF!</v>
      </c>
      <c r="AC561" t="e">
        <f>IF(#REF! = 0, "No Usage", IF(#REF! &lt;= 20, "Low Usage", IF(#REF! &lt;= 40, "Medium Usgae", "High Usage")))</f>
        <v>#REF!</v>
      </c>
      <c r="AD561" t="e">
        <f>IF(#REF!&lt;=150,"Low Usage", IF(#REF!&lt;=200,"Medium Usage", IF(#REF!&lt;=250,"High Usage","Very High Usage")))</f>
        <v>#REF!</v>
      </c>
      <c r="AE561" t="e">
        <f>IF(#REF!&lt;=5,"Low Calls", IF(#REF!&lt;=10, "Medium Calls", "High Calls"))</f>
        <v>#REF!</v>
      </c>
      <c r="AF561" t="e">
        <f xml:space="preserve">
IF(#REF!&gt;=4,4,0)+
IF(#REF!="yes",3,0)+
IF(#REF!="High Charges",3,0)+
IF(#REF!&gt;250,4,0)+
IF(#REF!="no",1,0)+
IF(#REF!="Heavy Domestic User",2,0)</f>
        <v>#REF!</v>
      </c>
      <c r="AG561" t="e">
        <f>IF(#REF!&gt;=10,"High Risk", IF(#REF!&gt;=5,"Medium Risk","Low Risk"))</f>
        <v>#REF!</v>
      </c>
      <c r="AH561" t="e">
        <f>#REF! + #REF! + #REF! + #REF!</f>
        <v>#REF!</v>
      </c>
    </row>
    <row r="562" spans="1:34" x14ac:dyDescent="0.35">
      <c r="A562">
        <v>561</v>
      </c>
      <c r="B562" t="s">
        <v>54</v>
      </c>
      <c r="C562">
        <v>119</v>
      </c>
      <c r="D562" t="s">
        <v>21</v>
      </c>
      <c r="E562" t="s">
        <v>22</v>
      </c>
      <c r="F562" t="s">
        <v>22</v>
      </c>
      <c r="G562">
        <v>0</v>
      </c>
      <c r="H562">
        <v>176.8</v>
      </c>
      <c r="I562">
        <v>90</v>
      </c>
      <c r="J562">
        <v>30.06</v>
      </c>
      <c r="K562">
        <v>224.7</v>
      </c>
      <c r="L562">
        <v>81</v>
      </c>
      <c r="M562">
        <v>19.100000000000001</v>
      </c>
      <c r="N562">
        <v>204.6</v>
      </c>
      <c r="O562">
        <v>77</v>
      </c>
      <c r="P562">
        <v>9.2100000000000009</v>
      </c>
      <c r="Q562">
        <v>7.5</v>
      </c>
      <c r="R562">
        <v>15</v>
      </c>
      <c r="S562">
        <v>2.0299999999999998</v>
      </c>
      <c r="T562">
        <v>1</v>
      </c>
      <c r="U562" t="s">
        <v>22</v>
      </c>
      <c r="V562" t="e">
        <f>IF(#REF! = "yes", 1, 0)</f>
        <v>#REF!</v>
      </c>
      <c r="W562" t="e">
        <f>IF(#REF! &lt;= 1, "0-1 Calls", IF(#REF! &lt;= 3, "2-3 Calls", IF(#REF! &lt;=5, "4-5 Calls", "6+ Calls")))</f>
        <v>#REF!</v>
      </c>
      <c r="X562" t="e">
        <f>IF(#REF! &lt;= 50, "0-50", IF(#REF! &lt;=100, "51-100", IF(#REF! &lt;= 150, "101-150", "151+")))</f>
        <v>#REF!</v>
      </c>
      <c r="Y562" t="e">
        <f>IF(#REF! &lt;= 3, "Low Charges", "High Charges")</f>
        <v>#REF!</v>
      </c>
      <c r="Z562" t="e">
        <f>IF(#REF!&lt;=80,"Low Calls",
IF(#REF!&lt;=120,"Medium Calls","High Calls"))</f>
        <v>#REF!</v>
      </c>
      <c r="AA562" t="e">
        <f>IF(#REF!&lt;=15,"Low Charges",
IF(#REF!&lt;=20,"Medium Charges","High Charges"))</f>
        <v>#REF!</v>
      </c>
      <c r="AB562" t="e">
        <f>IF(AND(#REF!&gt;180, #REF!&gt;200), "Heavy Doemstic User", IF(#REF!&gt;10, "Interntional User", IF(AND(#REF!&lt;180, #REF!&lt;200,#REF!&lt;200), "Light User", "Balanced User")))</f>
        <v>#REF!</v>
      </c>
      <c r="AC562" t="e">
        <f>IF(#REF! = 0, "No Usage", IF(#REF! &lt;= 20, "Low Usage", IF(#REF! &lt;= 40, "Medium Usgae", "High Usage")))</f>
        <v>#REF!</v>
      </c>
      <c r="AD562" t="e">
        <f>IF(#REF!&lt;=150,"Low Usage", IF(#REF!&lt;=200,"Medium Usage", IF(#REF!&lt;=250,"High Usage","Very High Usage")))</f>
        <v>#REF!</v>
      </c>
      <c r="AE562" t="e">
        <f>IF(#REF!&lt;=5,"Low Calls", IF(#REF!&lt;=10, "Medium Calls", "High Calls"))</f>
        <v>#REF!</v>
      </c>
      <c r="AF562" t="e">
        <f xml:space="preserve">
IF(#REF!&gt;=4,4,0)+
IF(#REF!="yes",3,0)+
IF(#REF!="High Charges",3,0)+
IF(#REF!&gt;250,4,0)+
IF(#REF!="no",1,0)+
IF(#REF!="Heavy Domestic User",2,0)</f>
        <v>#REF!</v>
      </c>
      <c r="AG562" t="e">
        <f>IF(#REF!&gt;=10,"High Risk", IF(#REF!&gt;=5,"Medium Risk","Low Risk"))</f>
        <v>#REF!</v>
      </c>
      <c r="AH562" t="e">
        <f>#REF! + #REF! + #REF! + #REF!</f>
        <v>#REF!</v>
      </c>
    </row>
    <row r="563" spans="1:34" x14ac:dyDescent="0.35">
      <c r="A563">
        <v>562</v>
      </c>
      <c r="B563" t="s">
        <v>30</v>
      </c>
      <c r="C563">
        <v>43</v>
      </c>
      <c r="D563" t="s">
        <v>21</v>
      </c>
      <c r="E563" t="s">
        <v>22</v>
      </c>
      <c r="F563" t="s">
        <v>22</v>
      </c>
      <c r="G563">
        <v>0</v>
      </c>
      <c r="H563">
        <v>241.9</v>
      </c>
      <c r="I563">
        <v>101</v>
      </c>
      <c r="J563">
        <v>41.12</v>
      </c>
      <c r="K563">
        <v>129.4</v>
      </c>
      <c r="L563">
        <v>121</v>
      </c>
      <c r="M563">
        <v>11</v>
      </c>
      <c r="N563">
        <v>264.8</v>
      </c>
      <c r="O563">
        <v>104</v>
      </c>
      <c r="P563">
        <v>11.92</v>
      </c>
      <c r="Q563">
        <v>5.9</v>
      </c>
      <c r="R563">
        <v>3</v>
      </c>
      <c r="S563">
        <v>1.59</v>
      </c>
      <c r="T563">
        <v>1</v>
      </c>
      <c r="U563" t="s">
        <v>22</v>
      </c>
      <c r="V563" t="e">
        <f>IF(#REF! = "yes", 1, 0)</f>
        <v>#REF!</v>
      </c>
      <c r="W563" t="e">
        <f>IF(#REF! &lt;= 1, "0-1 Calls", IF(#REF! &lt;= 3, "2-3 Calls", IF(#REF! &lt;=5, "4-5 Calls", "6+ Calls")))</f>
        <v>#REF!</v>
      </c>
      <c r="X563" t="e">
        <f>IF(#REF! &lt;= 50, "0-50", IF(#REF! &lt;=100, "51-100", IF(#REF! &lt;= 150, "101-150", "151+")))</f>
        <v>#REF!</v>
      </c>
      <c r="Y563" t="e">
        <f>IF(#REF! &lt;= 3, "Low Charges", "High Charges")</f>
        <v>#REF!</v>
      </c>
      <c r="Z563" t="e">
        <f>IF(#REF!&lt;=80,"Low Calls",
IF(#REF!&lt;=120,"Medium Calls","High Calls"))</f>
        <v>#REF!</v>
      </c>
      <c r="AA563" t="e">
        <f>IF(#REF!&lt;=15,"Low Charges",
IF(#REF!&lt;=20,"Medium Charges","High Charges"))</f>
        <v>#REF!</v>
      </c>
      <c r="AB563" t="e">
        <f>IF(AND(#REF!&gt;180, #REF!&gt;200), "Heavy Doemstic User", IF(#REF!&gt;10, "Interntional User", IF(AND(#REF!&lt;180, #REF!&lt;200,#REF!&lt;200), "Light User", "Balanced User")))</f>
        <v>#REF!</v>
      </c>
      <c r="AC563" t="e">
        <f>IF(#REF! = 0, "No Usage", IF(#REF! &lt;= 20, "Low Usage", IF(#REF! &lt;= 40, "Medium Usgae", "High Usage")))</f>
        <v>#REF!</v>
      </c>
      <c r="AD563" t="e">
        <f>IF(#REF!&lt;=150,"Low Usage", IF(#REF!&lt;=200,"Medium Usage", IF(#REF!&lt;=250,"High Usage","Very High Usage")))</f>
        <v>#REF!</v>
      </c>
      <c r="AE563" t="e">
        <f>IF(#REF!&lt;=5,"Low Calls", IF(#REF!&lt;=10, "Medium Calls", "High Calls"))</f>
        <v>#REF!</v>
      </c>
      <c r="AF563" t="e">
        <f xml:space="preserve">
IF(#REF!&gt;=4,4,0)+
IF(#REF!="yes",3,0)+
IF(#REF!="High Charges",3,0)+
IF(#REF!&gt;250,4,0)+
IF(#REF!="no",1,0)+
IF(#REF!="Heavy Domestic User",2,0)</f>
        <v>#REF!</v>
      </c>
      <c r="AG563" t="e">
        <f>IF(#REF!&gt;=10,"High Risk", IF(#REF!&gt;=5,"Medium Risk","Low Risk"))</f>
        <v>#REF!</v>
      </c>
      <c r="AH563" t="e">
        <f>#REF! + #REF! + #REF! + #REF!</f>
        <v>#REF!</v>
      </c>
    </row>
    <row r="564" spans="1:34" x14ac:dyDescent="0.35">
      <c r="A564">
        <v>563</v>
      </c>
      <c r="B564" t="s">
        <v>32</v>
      </c>
      <c r="C564">
        <v>84</v>
      </c>
      <c r="D564" t="s">
        <v>25</v>
      </c>
      <c r="E564" t="s">
        <v>22</v>
      </c>
      <c r="F564" t="s">
        <v>22</v>
      </c>
      <c r="G564">
        <v>0</v>
      </c>
      <c r="H564">
        <v>217.1</v>
      </c>
      <c r="I564">
        <v>99</v>
      </c>
      <c r="J564">
        <v>36.909999999999997</v>
      </c>
      <c r="K564">
        <v>236</v>
      </c>
      <c r="L564">
        <v>68</v>
      </c>
      <c r="M564">
        <v>20.059999999999999</v>
      </c>
      <c r="N564">
        <v>118.3</v>
      </c>
      <c r="O564">
        <v>120</v>
      </c>
      <c r="P564">
        <v>5.32</v>
      </c>
      <c r="Q564">
        <v>9.4</v>
      </c>
      <c r="R564">
        <v>4</v>
      </c>
      <c r="S564">
        <v>2.54</v>
      </c>
      <c r="T564">
        <v>1</v>
      </c>
      <c r="U564" t="s">
        <v>22</v>
      </c>
      <c r="V564" t="e">
        <f>IF(#REF! = "yes", 1, 0)</f>
        <v>#REF!</v>
      </c>
      <c r="W564" t="e">
        <f>IF(#REF! &lt;= 1, "0-1 Calls", IF(#REF! &lt;= 3, "2-3 Calls", IF(#REF! &lt;=5, "4-5 Calls", "6+ Calls")))</f>
        <v>#REF!</v>
      </c>
      <c r="X564" t="e">
        <f>IF(#REF! &lt;= 50, "0-50", IF(#REF! &lt;=100, "51-100", IF(#REF! &lt;= 150, "101-150", "151+")))</f>
        <v>#REF!</v>
      </c>
      <c r="Y564" t="e">
        <f>IF(#REF! &lt;= 3, "Low Charges", "High Charges")</f>
        <v>#REF!</v>
      </c>
      <c r="Z564" t="e">
        <f>IF(#REF!&lt;=80,"Low Calls",
IF(#REF!&lt;=120,"Medium Calls","High Calls"))</f>
        <v>#REF!</v>
      </c>
      <c r="AA564" t="e">
        <f>IF(#REF!&lt;=15,"Low Charges",
IF(#REF!&lt;=20,"Medium Charges","High Charges"))</f>
        <v>#REF!</v>
      </c>
      <c r="AB564" t="e">
        <f>IF(AND(#REF!&gt;180, #REF!&gt;200), "Heavy Doemstic User", IF(#REF!&gt;10, "Interntional User", IF(AND(#REF!&lt;180, #REF!&lt;200,#REF!&lt;200), "Light User", "Balanced User")))</f>
        <v>#REF!</v>
      </c>
      <c r="AC564" t="e">
        <f>IF(#REF! = 0, "No Usage", IF(#REF! &lt;= 20, "Low Usage", IF(#REF! &lt;= 40, "Medium Usgae", "High Usage")))</f>
        <v>#REF!</v>
      </c>
      <c r="AD564" t="e">
        <f>IF(#REF!&lt;=150,"Low Usage", IF(#REF!&lt;=200,"Medium Usage", IF(#REF!&lt;=250,"High Usage","Very High Usage")))</f>
        <v>#REF!</v>
      </c>
      <c r="AE564" t="e">
        <f>IF(#REF!&lt;=5,"Low Calls", IF(#REF!&lt;=10, "Medium Calls", "High Calls"))</f>
        <v>#REF!</v>
      </c>
      <c r="AF564" t="e">
        <f xml:space="preserve">
IF(#REF!&gt;=4,4,0)+
IF(#REF!="yes",3,0)+
IF(#REF!="High Charges",3,0)+
IF(#REF!&gt;250,4,0)+
IF(#REF!="no",1,0)+
IF(#REF!="Heavy Domestic User",2,0)</f>
        <v>#REF!</v>
      </c>
      <c r="AG564" t="e">
        <f>IF(#REF!&gt;=10,"High Risk", IF(#REF!&gt;=5,"Medium Risk","Low Risk"))</f>
        <v>#REF!</v>
      </c>
      <c r="AH564" t="e">
        <f>#REF! + #REF! + #REF! + #REF!</f>
        <v>#REF!</v>
      </c>
    </row>
    <row r="565" spans="1:34" x14ac:dyDescent="0.35">
      <c r="A565">
        <v>564</v>
      </c>
      <c r="B565" t="s">
        <v>36</v>
      </c>
      <c r="C565">
        <v>65</v>
      </c>
      <c r="D565" t="s">
        <v>28</v>
      </c>
      <c r="E565" t="s">
        <v>22</v>
      </c>
      <c r="F565" t="s">
        <v>22</v>
      </c>
      <c r="G565">
        <v>0</v>
      </c>
      <c r="H565">
        <v>195.4</v>
      </c>
      <c r="I565">
        <v>110</v>
      </c>
      <c r="J565">
        <v>33.22</v>
      </c>
      <c r="K565">
        <v>181.2</v>
      </c>
      <c r="L565">
        <v>109</v>
      </c>
      <c r="M565">
        <v>15.4</v>
      </c>
      <c r="N565">
        <v>178.5</v>
      </c>
      <c r="O565">
        <v>105</v>
      </c>
      <c r="P565">
        <v>8.0299999999999994</v>
      </c>
      <c r="Q565">
        <v>8.9</v>
      </c>
      <c r="R565">
        <v>4</v>
      </c>
      <c r="S565">
        <v>2.4</v>
      </c>
      <c r="T565">
        <v>0</v>
      </c>
      <c r="U565" t="s">
        <v>22</v>
      </c>
      <c r="V565" t="e">
        <f>IF(#REF! = "yes", 1, 0)</f>
        <v>#REF!</v>
      </c>
      <c r="W565" t="e">
        <f>IF(#REF! &lt;= 1, "0-1 Calls", IF(#REF! &lt;= 3, "2-3 Calls", IF(#REF! &lt;=5, "4-5 Calls", "6+ Calls")))</f>
        <v>#REF!</v>
      </c>
      <c r="X565" t="e">
        <f>IF(#REF! &lt;= 50, "0-50", IF(#REF! &lt;=100, "51-100", IF(#REF! &lt;= 150, "101-150", "151+")))</f>
        <v>#REF!</v>
      </c>
      <c r="Y565" t="e">
        <f>IF(#REF! &lt;= 3, "Low Charges", "High Charges")</f>
        <v>#REF!</v>
      </c>
      <c r="Z565" t="e">
        <f>IF(#REF!&lt;=80,"Low Calls",
IF(#REF!&lt;=120,"Medium Calls","High Calls"))</f>
        <v>#REF!</v>
      </c>
      <c r="AA565" t="e">
        <f>IF(#REF!&lt;=15,"Low Charges",
IF(#REF!&lt;=20,"Medium Charges","High Charges"))</f>
        <v>#REF!</v>
      </c>
      <c r="AB565" t="e">
        <f>IF(AND(#REF!&gt;180, #REF!&gt;200), "Heavy Doemstic User", IF(#REF!&gt;10, "Interntional User", IF(AND(#REF!&lt;180, #REF!&lt;200,#REF!&lt;200), "Light User", "Balanced User")))</f>
        <v>#REF!</v>
      </c>
      <c r="AC565" t="e">
        <f>IF(#REF! = 0, "No Usage", IF(#REF! &lt;= 20, "Low Usage", IF(#REF! &lt;= 40, "Medium Usgae", "High Usage")))</f>
        <v>#REF!</v>
      </c>
      <c r="AD565" t="e">
        <f>IF(#REF!&lt;=150,"Low Usage", IF(#REF!&lt;=200,"Medium Usage", IF(#REF!&lt;=250,"High Usage","Very High Usage")))</f>
        <v>#REF!</v>
      </c>
      <c r="AE565" t="e">
        <f>IF(#REF!&lt;=5,"Low Calls", IF(#REF!&lt;=10, "Medium Calls", "High Calls"))</f>
        <v>#REF!</v>
      </c>
      <c r="AF565" t="e">
        <f xml:space="preserve">
IF(#REF!&gt;=4,4,0)+
IF(#REF!="yes",3,0)+
IF(#REF!="High Charges",3,0)+
IF(#REF!&gt;250,4,0)+
IF(#REF!="no",1,0)+
IF(#REF!="Heavy Domestic User",2,0)</f>
        <v>#REF!</v>
      </c>
      <c r="AG565" t="e">
        <f>IF(#REF!&gt;=10,"High Risk", IF(#REF!&gt;=5,"Medium Risk","Low Risk"))</f>
        <v>#REF!</v>
      </c>
      <c r="AH565" t="e">
        <f>#REF! + #REF! + #REF! + #REF!</f>
        <v>#REF!</v>
      </c>
    </row>
    <row r="566" spans="1:34" x14ac:dyDescent="0.35">
      <c r="A566">
        <v>565</v>
      </c>
      <c r="B566" t="s">
        <v>39</v>
      </c>
      <c r="C566">
        <v>75</v>
      </c>
      <c r="D566" t="s">
        <v>21</v>
      </c>
      <c r="E566" t="s">
        <v>23</v>
      </c>
      <c r="F566" t="s">
        <v>22</v>
      </c>
      <c r="G566">
        <v>0</v>
      </c>
      <c r="H566">
        <v>222.4</v>
      </c>
      <c r="I566">
        <v>78</v>
      </c>
      <c r="J566">
        <v>37.81</v>
      </c>
      <c r="K566">
        <v>327</v>
      </c>
      <c r="L566">
        <v>111</v>
      </c>
      <c r="M566">
        <v>27.8</v>
      </c>
      <c r="N566">
        <v>208</v>
      </c>
      <c r="O566">
        <v>104</v>
      </c>
      <c r="P566">
        <v>9.36</v>
      </c>
      <c r="Q566">
        <v>8.6999999999999993</v>
      </c>
      <c r="R566">
        <v>9</v>
      </c>
      <c r="S566">
        <v>2.35</v>
      </c>
      <c r="T566">
        <v>1</v>
      </c>
      <c r="U566" t="s">
        <v>23</v>
      </c>
      <c r="V566" t="e">
        <f>IF(#REF! = "yes", 1, 0)</f>
        <v>#REF!</v>
      </c>
      <c r="W566" t="e">
        <f>IF(#REF! &lt;= 1, "0-1 Calls", IF(#REF! &lt;= 3, "2-3 Calls", IF(#REF! &lt;=5, "4-5 Calls", "6+ Calls")))</f>
        <v>#REF!</v>
      </c>
      <c r="X566" t="e">
        <f>IF(#REF! &lt;= 50, "0-50", IF(#REF! &lt;=100, "51-100", IF(#REF! &lt;= 150, "101-150", "151+")))</f>
        <v>#REF!</v>
      </c>
      <c r="Y566" t="e">
        <f>IF(#REF! &lt;= 3, "Low Charges", "High Charges")</f>
        <v>#REF!</v>
      </c>
      <c r="Z566" t="e">
        <f>IF(#REF!&lt;=80,"Low Calls",
IF(#REF!&lt;=120,"Medium Calls","High Calls"))</f>
        <v>#REF!</v>
      </c>
      <c r="AA566" t="e">
        <f>IF(#REF!&lt;=15,"Low Charges",
IF(#REF!&lt;=20,"Medium Charges","High Charges"))</f>
        <v>#REF!</v>
      </c>
      <c r="AB566" t="e">
        <f>IF(AND(#REF!&gt;180, #REF!&gt;200), "Heavy Doemstic User", IF(#REF!&gt;10, "Interntional User", IF(AND(#REF!&lt;180, #REF!&lt;200,#REF!&lt;200), "Light User", "Balanced User")))</f>
        <v>#REF!</v>
      </c>
      <c r="AC566" t="e">
        <f>IF(#REF! = 0, "No Usage", IF(#REF! &lt;= 20, "Low Usage", IF(#REF! &lt;= 40, "Medium Usgae", "High Usage")))</f>
        <v>#REF!</v>
      </c>
      <c r="AD566" t="e">
        <f>IF(#REF!&lt;=150,"Low Usage", IF(#REF!&lt;=200,"Medium Usage", IF(#REF!&lt;=250,"High Usage","Very High Usage")))</f>
        <v>#REF!</v>
      </c>
      <c r="AE566" t="e">
        <f>IF(#REF!&lt;=5,"Low Calls", IF(#REF!&lt;=10, "Medium Calls", "High Calls"))</f>
        <v>#REF!</v>
      </c>
      <c r="AF566" t="e">
        <f xml:space="preserve">
IF(#REF!&gt;=4,4,0)+
IF(#REF!="yes",3,0)+
IF(#REF!="High Charges",3,0)+
IF(#REF!&gt;250,4,0)+
IF(#REF!="no",1,0)+
IF(#REF!="Heavy Domestic User",2,0)</f>
        <v>#REF!</v>
      </c>
      <c r="AG566" t="e">
        <f>IF(#REF!&gt;=10,"High Risk", IF(#REF!&gt;=5,"Medium Risk","Low Risk"))</f>
        <v>#REF!</v>
      </c>
      <c r="AH566" t="e">
        <f>#REF! + #REF! + #REF! + #REF!</f>
        <v>#REF!</v>
      </c>
    </row>
    <row r="567" spans="1:34" x14ac:dyDescent="0.35">
      <c r="A567">
        <v>566</v>
      </c>
      <c r="B567" t="s">
        <v>70</v>
      </c>
      <c r="C567">
        <v>116</v>
      </c>
      <c r="D567" t="s">
        <v>28</v>
      </c>
      <c r="E567" t="s">
        <v>22</v>
      </c>
      <c r="F567" t="s">
        <v>22</v>
      </c>
      <c r="G567">
        <v>0</v>
      </c>
      <c r="H567">
        <v>189.5</v>
      </c>
      <c r="I567">
        <v>90</v>
      </c>
      <c r="J567">
        <v>32.22</v>
      </c>
      <c r="K567">
        <v>189.8</v>
      </c>
      <c r="L567">
        <v>118</v>
      </c>
      <c r="M567">
        <v>16.13</v>
      </c>
      <c r="N567">
        <v>205.8</v>
      </c>
      <c r="O567">
        <v>83</v>
      </c>
      <c r="P567">
        <v>9.26</v>
      </c>
      <c r="Q567">
        <v>13.1</v>
      </c>
      <c r="R567">
        <v>2</v>
      </c>
      <c r="S567">
        <v>3.54</v>
      </c>
      <c r="T567">
        <v>1</v>
      </c>
      <c r="U567" t="s">
        <v>22</v>
      </c>
      <c r="V567" t="e">
        <f>IF(#REF! = "yes", 1, 0)</f>
        <v>#REF!</v>
      </c>
      <c r="W567" t="e">
        <f>IF(#REF! &lt;= 1, "0-1 Calls", IF(#REF! &lt;= 3, "2-3 Calls", IF(#REF! &lt;=5, "4-5 Calls", "6+ Calls")))</f>
        <v>#REF!</v>
      </c>
      <c r="X567" t="e">
        <f>IF(#REF! &lt;= 50, "0-50", IF(#REF! &lt;=100, "51-100", IF(#REF! &lt;= 150, "101-150", "151+")))</f>
        <v>#REF!</v>
      </c>
      <c r="Y567" t="e">
        <f>IF(#REF! &lt;= 3, "Low Charges", "High Charges")</f>
        <v>#REF!</v>
      </c>
      <c r="Z567" t="e">
        <f>IF(#REF!&lt;=80,"Low Calls",
IF(#REF!&lt;=120,"Medium Calls","High Calls"))</f>
        <v>#REF!</v>
      </c>
      <c r="AA567" t="e">
        <f>IF(#REF!&lt;=15,"Low Charges",
IF(#REF!&lt;=20,"Medium Charges","High Charges"))</f>
        <v>#REF!</v>
      </c>
      <c r="AB567" t="e">
        <f>IF(AND(#REF!&gt;180, #REF!&gt;200), "Heavy Doemstic User", IF(#REF!&gt;10, "Interntional User", IF(AND(#REF!&lt;180, #REF!&lt;200,#REF!&lt;200), "Light User", "Balanced User")))</f>
        <v>#REF!</v>
      </c>
      <c r="AC567" t="e">
        <f>IF(#REF! = 0, "No Usage", IF(#REF! &lt;= 20, "Low Usage", IF(#REF! &lt;= 40, "Medium Usgae", "High Usage")))</f>
        <v>#REF!</v>
      </c>
      <c r="AD567" t="e">
        <f>IF(#REF!&lt;=150,"Low Usage", IF(#REF!&lt;=200,"Medium Usage", IF(#REF!&lt;=250,"High Usage","Very High Usage")))</f>
        <v>#REF!</v>
      </c>
      <c r="AE567" t="e">
        <f>IF(#REF!&lt;=5,"Low Calls", IF(#REF!&lt;=10, "Medium Calls", "High Calls"))</f>
        <v>#REF!</v>
      </c>
      <c r="AF567" t="e">
        <f xml:space="preserve">
IF(#REF!&gt;=4,4,0)+
IF(#REF!="yes",3,0)+
IF(#REF!="High Charges",3,0)+
IF(#REF!&gt;250,4,0)+
IF(#REF!="no",1,0)+
IF(#REF!="Heavy Domestic User",2,0)</f>
        <v>#REF!</v>
      </c>
      <c r="AG567" t="e">
        <f>IF(#REF!&gt;=10,"High Risk", IF(#REF!&gt;=5,"Medium Risk","Low Risk"))</f>
        <v>#REF!</v>
      </c>
      <c r="AH567" t="e">
        <f>#REF! + #REF! + #REF! + #REF!</f>
        <v>#REF!</v>
      </c>
    </row>
    <row r="568" spans="1:34" x14ac:dyDescent="0.35">
      <c r="A568">
        <v>567</v>
      </c>
      <c r="B568" t="s">
        <v>31</v>
      </c>
      <c r="C568">
        <v>107</v>
      </c>
      <c r="D568" t="s">
        <v>21</v>
      </c>
      <c r="E568" t="s">
        <v>22</v>
      </c>
      <c r="F568" t="s">
        <v>22</v>
      </c>
      <c r="G568">
        <v>0</v>
      </c>
      <c r="H568">
        <v>123.1</v>
      </c>
      <c r="I568">
        <v>100</v>
      </c>
      <c r="J568">
        <v>20.93</v>
      </c>
      <c r="K568">
        <v>158.4</v>
      </c>
      <c r="L568">
        <v>82</v>
      </c>
      <c r="M568">
        <v>13.46</v>
      </c>
      <c r="N568">
        <v>256.10000000000002</v>
      </c>
      <c r="O568">
        <v>82</v>
      </c>
      <c r="P568">
        <v>11.52</v>
      </c>
      <c r="Q568">
        <v>9.3000000000000007</v>
      </c>
      <c r="R568">
        <v>5</v>
      </c>
      <c r="S568">
        <v>2.5099999999999998</v>
      </c>
      <c r="T568">
        <v>0</v>
      </c>
      <c r="U568" t="s">
        <v>22</v>
      </c>
      <c r="V568" t="e">
        <f>IF(#REF! = "yes", 1, 0)</f>
        <v>#REF!</v>
      </c>
      <c r="W568" t="e">
        <f>IF(#REF! &lt;= 1, "0-1 Calls", IF(#REF! &lt;= 3, "2-3 Calls", IF(#REF! &lt;=5, "4-5 Calls", "6+ Calls")))</f>
        <v>#REF!</v>
      </c>
      <c r="X568" t="e">
        <f>IF(#REF! &lt;= 50, "0-50", IF(#REF! &lt;=100, "51-100", IF(#REF! &lt;= 150, "101-150", "151+")))</f>
        <v>#REF!</v>
      </c>
      <c r="Y568" t="e">
        <f>IF(#REF! &lt;= 3, "Low Charges", "High Charges")</f>
        <v>#REF!</v>
      </c>
      <c r="Z568" t="e">
        <f>IF(#REF!&lt;=80,"Low Calls",
IF(#REF!&lt;=120,"Medium Calls","High Calls"))</f>
        <v>#REF!</v>
      </c>
      <c r="AA568" t="e">
        <f>IF(#REF!&lt;=15,"Low Charges",
IF(#REF!&lt;=20,"Medium Charges","High Charges"))</f>
        <v>#REF!</v>
      </c>
      <c r="AB568" t="e">
        <f>IF(AND(#REF!&gt;180, #REF!&gt;200), "Heavy Doemstic User", IF(#REF!&gt;10, "Interntional User", IF(AND(#REF!&lt;180, #REF!&lt;200,#REF!&lt;200), "Light User", "Balanced User")))</f>
        <v>#REF!</v>
      </c>
      <c r="AC568" t="e">
        <f>IF(#REF! = 0, "No Usage", IF(#REF! &lt;= 20, "Low Usage", IF(#REF! &lt;= 40, "Medium Usgae", "High Usage")))</f>
        <v>#REF!</v>
      </c>
      <c r="AD568" t="e">
        <f>IF(#REF!&lt;=150,"Low Usage", IF(#REF!&lt;=200,"Medium Usage", IF(#REF!&lt;=250,"High Usage","Very High Usage")))</f>
        <v>#REF!</v>
      </c>
      <c r="AE568" t="e">
        <f>IF(#REF!&lt;=5,"Low Calls", IF(#REF!&lt;=10, "Medium Calls", "High Calls"))</f>
        <v>#REF!</v>
      </c>
      <c r="AF568" t="e">
        <f xml:space="preserve">
IF(#REF!&gt;=4,4,0)+
IF(#REF!="yes",3,0)+
IF(#REF!="High Charges",3,0)+
IF(#REF!&gt;250,4,0)+
IF(#REF!="no",1,0)+
IF(#REF!="Heavy Domestic User",2,0)</f>
        <v>#REF!</v>
      </c>
      <c r="AG568" t="e">
        <f>IF(#REF!&gt;=10,"High Risk", IF(#REF!&gt;=5,"Medium Risk","Low Risk"))</f>
        <v>#REF!</v>
      </c>
      <c r="AH568" t="e">
        <f>#REF! + #REF! + #REF! + #REF!</f>
        <v>#REF!</v>
      </c>
    </row>
    <row r="569" spans="1:34" x14ac:dyDescent="0.35">
      <c r="A569">
        <v>568</v>
      </c>
      <c r="B569" t="s">
        <v>69</v>
      </c>
      <c r="C569">
        <v>189</v>
      </c>
      <c r="D569" t="s">
        <v>21</v>
      </c>
      <c r="E569" t="s">
        <v>22</v>
      </c>
      <c r="F569" t="s">
        <v>23</v>
      </c>
      <c r="G569">
        <v>38</v>
      </c>
      <c r="H569">
        <v>256.7</v>
      </c>
      <c r="I569">
        <v>98</v>
      </c>
      <c r="J569">
        <v>43.64</v>
      </c>
      <c r="K569">
        <v>150.5</v>
      </c>
      <c r="L569">
        <v>120</v>
      </c>
      <c r="M569">
        <v>12.79</v>
      </c>
      <c r="N569">
        <v>123</v>
      </c>
      <c r="O569">
        <v>87</v>
      </c>
      <c r="P569">
        <v>5.54</v>
      </c>
      <c r="Q569">
        <v>11.4</v>
      </c>
      <c r="R569">
        <v>3</v>
      </c>
      <c r="S569">
        <v>3.08</v>
      </c>
      <c r="T569">
        <v>3</v>
      </c>
      <c r="U569" t="s">
        <v>22</v>
      </c>
      <c r="V569" t="e">
        <f>IF(#REF! = "yes", 1, 0)</f>
        <v>#REF!</v>
      </c>
      <c r="W569" t="e">
        <f>IF(#REF! &lt;= 1, "0-1 Calls", IF(#REF! &lt;= 3, "2-3 Calls", IF(#REF! &lt;=5, "4-5 Calls", "6+ Calls")))</f>
        <v>#REF!</v>
      </c>
      <c r="X569" t="e">
        <f>IF(#REF! &lt;= 50, "0-50", IF(#REF! &lt;=100, "51-100", IF(#REF! &lt;= 150, "101-150", "151+")))</f>
        <v>#REF!</v>
      </c>
      <c r="Y569" t="e">
        <f>IF(#REF! &lt;= 3, "Low Charges", "High Charges")</f>
        <v>#REF!</v>
      </c>
      <c r="Z569" t="e">
        <f>IF(#REF!&lt;=80,"Low Calls",
IF(#REF!&lt;=120,"Medium Calls","High Calls"))</f>
        <v>#REF!</v>
      </c>
      <c r="AA569" t="e">
        <f>IF(#REF!&lt;=15,"Low Charges",
IF(#REF!&lt;=20,"Medium Charges","High Charges"))</f>
        <v>#REF!</v>
      </c>
      <c r="AB569" t="e">
        <f>IF(AND(#REF!&gt;180, #REF!&gt;200), "Heavy Doemstic User", IF(#REF!&gt;10, "Interntional User", IF(AND(#REF!&lt;180, #REF!&lt;200,#REF!&lt;200), "Light User", "Balanced User")))</f>
        <v>#REF!</v>
      </c>
      <c r="AC569" t="e">
        <f>IF(#REF! = 0, "No Usage", IF(#REF! &lt;= 20, "Low Usage", IF(#REF! &lt;= 40, "Medium Usgae", "High Usage")))</f>
        <v>#REF!</v>
      </c>
      <c r="AD569" t="e">
        <f>IF(#REF!&lt;=150,"Low Usage", IF(#REF!&lt;=200,"Medium Usage", IF(#REF!&lt;=250,"High Usage","Very High Usage")))</f>
        <v>#REF!</v>
      </c>
      <c r="AE569" t="e">
        <f>IF(#REF!&lt;=5,"Low Calls", IF(#REF!&lt;=10, "Medium Calls", "High Calls"))</f>
        <v>#REF!</v>
      </c>
      <c r="AF569" t="e">
        <f xml:space="preserve">
IF(#REF!&gt;=4,4,0)+
IF(#REF!="yes",3,0)+
IF(#REF!="High Charges",3,0)+
IF(#REF!&gt;250,4,0)+
IF(#REF!="no",1,0)+
IF(#REF!="Heavy Domestic User",2,0)</f>
        <v>#REF!</v>
      </c>
      <c r="AG569" t="e">
        <f>IF(#REF!&gt;=10,"High Risk", IF(#REF!&gt;=5,"Medium Risk","Low Risk"))</f>
        <v>#REF!</v>
      </c>
      <c r="AH569" t="e">
        <f>#REF! + #REF! + #REF! + #REF!</f>
        <v>#REF!</v>
      </c>
    </row>
    <row r="570" spans="1:34" x14ac:dyDescent="0.35">
      <c r="A570">
        <v>569</v>
      </c>
      <c r="B570" t="s">
        <v>75</v>
      </c>
      <c r="C570">
        <v>123</v>
      </c>
      <c r="D570" t="s">
        <v>25</v>
      </c>
      <c r="E570" t="s">
        <v>22</v>
      </c>
      <c r="F570" t="s">
        <v>22</v>
      </c>
      <c r="G570">
        <v>0</v>
      </c>
      <c r="H570">
        <v>159.1</v>
      </c>
      <c r="I570">
        <v>94</v>
      </c>
      <c r="J570">
        <v>27.05</v>
      </c>
      <c r="K570">
        <v>241.6</v>
      </c>
      <c r="L570">
        <v>119</v>
      </c>
      <c r="M570">
        <v>20.54</v>
      </c>
      <c r="N570">
        <v>202.4</v>
      </c>
      <c r="O570">
        <v>120</v>
      </c>
      <c r="P570">
        <v>9.11</v>
      </c>
      <c r="Q570">
        <v>6.5</v>
      </c>
      <c r="R570">
        <v>1</v>
      </c>
      <c r="S570">
        <v>1.76</v>
      </c>
      <c r="T570">
        <v>1</v>
      </c>
      <c r="U570" t="s">
        <v>22</v>
      </c>
      <c r="V570" t="e">
        <f>IF(#REF! = "yes", 1, 0)</f>
        <v>#REF!</v>
      </c>
      <c r="W570" t="e">
        <f>IF(#REF! &lt;= 1, "0-1 Calls", IF(#REF! &lt;= 3, "2-3 Calls", IF(#REF! &lt;=5, "4-5 Calls", "6+ Calls")))</f>
        <v>#REF!</v>
      </c>
      <c r="X570" t="e">
        <f>IF(#REF! &lt;= 50, "0-50", IF(#REF! &lt;=100, "51-100", IF(#REF! &lt;= 150, "101-150", "151+")))</f>
        <v>#REF!</v>
      </c>
      <c r="Y570" t="e">
        <f>IF(#REF! &lt;= 3, "Low Charges", "High Charges")</f>
        <v>#REF!</v>
      </c>
      <c r="Z570" t="e">
        <f>IF(#REF!&lt;=80,"Low Calls",
IF(#REF!&lt;=120,"Medium Calls","High Calls"))</f>
        <v>#REF!</v>
      </c>
      <c r="AA570" t="e">
        <f>IF(#REF!&lt;=15,"Low Charges",
IF(#REF!&lt;=20,"Medium Charges","High Charges"))</f>
        <v>#REF!</v>
      </c>
      <c r="AB570" t="e">
        <f>IF(AND(#REF!&gt;180, #REF!&gt;200), "Heavy Doemstic User", IF(#REF!&gt;10, "Interntional User", IF(AND(#REF!&lt;180, #REF!&lt;200,#REF!&lt;200), "Light User", "Balanced User")))</f>
        <v>#REF!</v>
      </c>
      <c r="AC570" t="e">
        <f>IF(#REF! = 0, "No Usage", IF(#REF! &lt;= 20, "Low Usage", IF(#REF! &lt;= 40, "Medium Usgae", "High Usage")))</f>
        <v>#REF!</v>
      </c>
      <c r="AD570" t="e">
        <f>IF(#REF!&lt;=150,"Low Usage", IF(#REF!&lt;=200,"Medium Usage", IF(#REF!&lt;=250,"High Usage","Very High Usage")))</f>
        <v>#REF!</v>
      </c>
      <c r="AE570" t="e">
        <f>IF(#REF!&lt;=5,"Low Calls", IF(#REF!&lt;=10, "Medium Calls", "High Calls"))</f>
        <v>#REF!</v>
      </c>
      <c r="AF570" t="e">
        <f xml:space="preserve">
IF(#REF!&gt;=4,4,0)+
IF(#REF!="yes",3,0)+
IF(#REF!="High Charges",3,0)+
IF(#REF!&gt;250,4,0)+
IF(#REF!="no",1,0)+
IF(#REF!="Heavy Domestic User",2,0)</f>
        <v>#REF!</v>
      </c>
      <c r="AG570" t="e">
        <f>IF(#REF!&gt;=10,"High Risk", IF(#REF!&gt;=5,"Medium Risk","Low Risk"))</f>
        <v>#REF!</v>
      </c>
      <c r="AH570" t="e">
        <f>#REF! + #REF! + #REF! + #REF!</f>
        <v>#REF!</v>
      </c>
    </row>
    <row r="571" spans="1:34" x14ac:dyDescent="0.35">
      <c r="A571">
        <v>570</v>
      </c>
      <c r="B571" t="s">
        <v>47</v>
      </c>
      <c r="C571">
        <v>110</v>
      </c>
      <c r="D571" t="s">
        <v>25</v>
      </c>
      <c r="E571" t="s">
        <v>22</v>
      </c>
      <c r="F571" t="s">
        <v>22</v>
      </c>
      <c r="G571">
        <v>0</v>
      </c>
      <c r="H571">
        <v>100.1</v>
      </c>
      <c r="I571">
        <v>90</v>
      </c>
      <c r="J571">
        <v>17.02</v>
      </c>
      <c r="K571">
        <v>233.3</v>
      </c>
      <c r="L571">
        <v>93</v>
      </c>
      <c r="M571">
        <v>19.829999999999998</v>
      </c>
      <c r="N571">
        <v>204.4</v>
      </c>
      <c r="O571">
        <v>57</v>
      </c>
      <c r="P571">
        <v>9.1999999999999993</v>
      </c>
      <c r="Q571">
        <v>11.1</v>
      </c>
      <c r="R571">
        <v>8</v>
      </c>
      <c r="S571">
        <v>3</v>
      </c>
      <c r="T571">
        <v>3</v>
      </c>
      <c r="U571" t="s">
        <v>22</v>
      </c>
      <c r="V571" t="e">
        <f>IF(#REF! = "yes", 1, 0)</f>
        <v>#REF!</v>
      </c>
      <c r="W571" t="e">
        <f>IF(#REF! &lt;= 1, "0-1 Calls", IF(#REF! &lt;= 3, "2-3 Calls", IF(#REF! &lt;=5, "4-5 Calls", "6+ Calls")))</f>
        <v>#REF!</v>
      </c>
      <c r="X571" t="e">
        <f>IF(#REF! &lt;= 50, "0-50", IF(#REF! &lt;=100, "51-100", IF(#REF! &lt;= 150, "101-150", "151+")))</f>
        <v>#REF!</v>
      </c>
      <c r="Y571" t="e">
        <f>IF(#REF! &lt;= 3, "Low Charges", "High Charges")</f>
        <v>#REF!</v>
      </c>
      <c r="Z571" t="e">
        <f>IF(#REF!&lt;=80,"Low Calls",
IF(#REF!&lt;=120,"Medium Calls","High Calls"))</f>
        <v>#REF!</v>
      </c>
      <c r="AA571" t="e">
        <f>IF(#REF!&lt;=15,"Low Charges",
IF(#REF!&lt;=20,"Medium Charges","High Charges"))</f>
        <v>#REF!</v>
      </c>
      <c r="AB571" t="e">
        <f>IF(AND(#REF!&gt;180, #REF!&gt;200), "Heavy Doemstic User", IF(#REF!&gt;10, "Interntional User", IF(AND(#REF!&lt;180, #REF!&lt;200,#REF!&lt;200), "Light User", "Balanced User")))</f>
        <v>#REF!</v>
      </c>
      <c r="AC571" t="e">
        <f>IF(#REF! = 0, "No Usage", IF(#REF! &lt;= 20, "Low Usage", IF(#REF! &lt;= 40, "Medium Usgae", "High Usage")))</f>
        <v>#REF!</v>
      </c>
      <c r="AD571" t="e">
        <f>IF(#REF!&lt;=150,"Low Usage", IF(#REF!&lt;=200,"Medium Usage", IF(#REF!&lt;=250,"High Usage","Very High Usage")))</f>
        <v>#REF!</v>
      </c>
      <c r="AE571" t="e">
        <f>IF(#REF!&lt;=5,"Low Calls", IF(#REF!&lt;=10, "Medium Calls", "High Calls"))</f>
        <v>#REF!</v>
      </c>
      <c r="AF571" t="e">
        <f xml:space="preserve">
IF(#REF!&gt;=4,4,0)+
IF(#REF!="yes",3,0)+
IF(#REF!="High Charges",3,0)+
IF(#REF!&gt;250,4,0)+
IF(#REF!="no",1,0)+
IF(#REF!="Heavy Domestic User",2,0)</f>
        <v>#REF!</v>
      </c>
      <c r="AG571" t="e">
        <f>IF(#REF!&gt;=10,"High Risk", IF(#REF!&gt;=5,"Medium Risk","Low Risk"))</f>
        <v>#REF!</v>
      </c>
      <c r="AH571" t="e">
        <f>#REF! + #REF! + #REF! + #REF!</f>
        <v>#REF!</v>
      </c>
    </row>
    <row r="572" spans="1:34" x14ac:dyDescent="0.35">
      <c r="A572">
        <v>571</v>
      </c>
      <c r="B572" t="s">
        <v>41</v>
      </c>
      <c r="C572">
        <v>63</v>
      </c>
      <c r="D572" t="s">
        <v>21</v>
      </c>
      <c r="E572" t="s">
        <v>22</v>
      </c>
      <c r="F572" t="s">
        <v>23</v>
      </c>
      <c r="G572">
        <v>32</v>
      </c>
      <c r="H572">
        <v>30.9</v>
      </c>
      <c r="I572">
        <v>113</v>
      </c>
      <c r="J572">
        <v>5.25</v>
      </c>
      <c r="K572">
        <v>187</v>
      </c>
      <c r="L572">
        <v>113</v>
      </c>
      <c r="M572">
        <v>15.9</v>
      </c>
      <c r="N572">
        <v>230.8</v>
      </c>
      <c r="O572">
        <v>101</v>
      </c>
      <c r="P572">
        <v>10.39</v>
      </c>
      <c r="Q572">
        <v>8.6</v>
      </c>
      <c r="R572">
        <v>7</v>
      </c>
      <c r="S572">
        <v>2.3199999999999998</v>
      </c>
      <c r="T572">
        <v>1</v>
      </c>
      <c r="U572" t="s">
        <v>22</v>
      </c>
      <c r="V572" t="e">
        <f>IF(#REF! = "yes", 1, 0)</f>
        <v>#REF!</v>
      </c>
      <c r="W572" t="e">
        <f>IF(#REF! &lt;= 1, "0-1 Calls", IF(#REF! &lt;= 3, "2-3 Calls", IF(#REF! &lt;=5, "4-5 Calls", "6+ Calls")))</f>
        <v>#REF!</v>
      </c>
      <c r="X572" t="e">
        <f>IF(#REF! &lt;= 50, "0-50", IF(#REF! &lt;=100, "51-100", IF(#REF! &lt;= 150, "101-150", "151+")))</f>
        <v>#REF!</v>
      </c>
      <c r="Y572" t="e">
        <f>IF(#REF! &lt;= 3, "Low Charges", "High Charges")</f>
        <v>#REF!</v>
      </c>
      <c r="Z572" t="e">
        <f>IF(#REF!&lt;=80,"Low Calls",
IF(#REF!&lt;=120,"Medium Calls","High Calls"))</f>
        <v>#REF!</v>
      </c>
      <c r="AA572" t="e">
        <f>IF(#REF!&lt;=15,"Low Charges",
IF(#REF!&lt;=20,"Medium Charges","High Charges"))</f>
        <v>#REF!</v>
      </c>
      <c r="AB572" t="e">
        <f>IF(AND(#REF!&gt;180, #REF!&gt;200), "Heavy Doemstic User", IF(#REF!&gt;10, "Interntional User", IF(AND(#REF!&lt;180, #REF!&lt;200,#REF!&lt;200), "Light User", "Balanced User")))</f>
        <v>#REF!</v>
      </c>
      <c r="AC572" t="e">
        <f>IF(#REF! = 0, "No Usage", IF(#REF! &lt;= 20, "Low Usage", IF(#REF! &lt;= 40, "Medium Usgae", "High Usage")))</f>
        <v>#REF!</v>
      </c>
      <c r="AD572" t="e">
        <f>IF(#REF!&lt;=150,"Low Usage", IF(#REF!&lt;=200,"Medium Usage", IF(#REF!&lt;=250,"High Usage","Very High Usage")))</f>
        <v>#REF!</v>
      </c>
      <c r="AE572" t="e">
        <f>IF(#REF!&lt;=5,"Low Calls", IF(#REF!&lt;=10, "Medium Calls", "High Calls"))</f>
        <v>#REF!</v>
      </c>
      <c r="AF572" t="e">
        <f xml:space="preserve">
IF(#REF!&gt;=4,4,0)+
IF(#REF!="yes",3,0)+
IF(#REF!="High Charges",3,0)+
IF(#REF!&gt;250,4,0)+
IF(#REF!="no",1,0)+
IF(#REF!="Heavy Domestic User",2,0)</f>
        <v>#REF!</v>
      </c>
      <c r="AG572" t="e">
        <f>IF(#REF!&gt;=10,"High Risk", IF(#REF!&gt;=5,"Medium Risk","Low Risk"))</f>
        <v>#REF!</v>
      </c>
      <c r="AH572" t="e">
        <f>#REF! + #REF! + #REF! + #REF!</f>
        <v>#REF!</v>
      </c>
    </row>
    <row r="573" spans="1:34" x14ac:dyDescent="0.35">
      <c r="A573">
        <v>572</v>
      </c>
      <c r="B573" t="s">
        <v>66</v>
      </c>
      <c r="C573">
        <v>176</v>
      </c>
      <c r="D573" t="s">
        <v>21</v>
      </c>
      <c r="E573" t="s">
        <v>22</v>
      </c>
      <c r="F573" t="s">
        <v>22</v>
      </c>
      <c r="G573">
        <v>0</v>
      </c>
      <c r="H573">
        <v>223.2</v>
      </c>
      <c r="I573">
        <v>76</v>
      </c>
      <c r="J573">
        <v>37.94</v>
      </c>
      <c r="K573">
        <v>214.4</v>
      </c>
      <c r="L573">
        <v>131</v>
      </c>
      <c r="M573">
        <v>18.22</v>
      </c>
      <c r="N573">
        <v>154.4</v>
      </c>
      <c r="O573">
        <v>80</v>
      </c>
      <c r="P573">
        <v>6.95</v>
      </c>
      <c r="Q573">
        <v>10.1</v>
      </c>
      <c r="R573">
        <v>2</v>
      </c>
      <c r="S573">
        <v>2.73</v>
      </c>
      <c r="T573">
        <v>3</v>
      </c>
      <c r="U573" t="s">
        <v>22</v>
      </c>
      <c r="V573" t="e">
        <f>IF(#REF! = "yes", 1, 0)</f>
        <v>#REF!</v>
      </c>
      <c r="W573" t="e">
        <f>IF(#REF! &lt;= 1, "0-1 Calls", IF(#REF! &lt;= 3, "2-3 Calls", IF(#REF! &lt;=5, "4-5 Calls", "6+ Calls")))</f>
        <v>#REF!</v>
      </c>
      <c r="X573" t="e">
        <f>IF(#REF! &lt;= 50, "0-50", IF(#REF! &lt;=100, "51-100", IF(#REF! &lt;= 150, "101-150", "151+")))</f>
        <v>#REF!</v>
      </c>
      <c r="Y573" t="e">
        <f>IF(#REF! &lt;= 3, "Low Charges", "High Charges")</f>
        <v>#REF!</v>
      </c>
      <c r="Z573" t="e">
        <f>IF(#REF!&lt;=80,"Low Calls",
IF(#REF!&lt;=120,"Medium Calls","High Calls"))</f>
        <v>#REF!</v>
      </c>
      <c r="AA573" t="e">
        <f>IF(#REF!&lt;=15,"Low Charges",
IF(#REF!&lt;=20,"Medium Charges","High Charges"))</f>
        <v>#REF!</v>
      </c>
      <c r="AB573" t="e">
        <f>IF(AND(#REF!&gt;180, #REF!&gt;200), "Heavy Doemstic User", IF(#REF!&gt;10, "Interntional User", IF(AND(#REF!&lt;180, #REF!&lt;200,#REF!&lt;200), "Light User", "Balanced User")))</f>
        <v>#REF!</v>
      </c>
      <c r="AC573" t="e">
        <f>IF(#REF! = 0, "No Usage", IF(#REF! &lt;= 20, "Low Usage", IF(#REF! &lt;= 40, "Medium Usgae", "High Usage")))</f>
        <v>#REF!</v>
      </c>
      <c r="AD573" t="e">
        <f>IF(#REF!&lt;=150,"Low Usage", IF(#REF!&lt;=200,"Medium Usage", IF(#REF!&lt;=250,"High Usage","Very High Usage")))</f>
        <v>#REF!</v>
      </c>
      <c r="AE573" t="e">
        <f>IF(#REF!&lt;=5,"Low Calls", IF(#REF!&lt;=10, "Medium Calls", "High Calls"))</f>
        <v>#REF!</v>
      </c>
      <c r="AF573" t="e">
        <f xml:space="preserve">
IF(#REF!&gt;=4,4,0)+
IF(#REF!="yes",3,0)+
IF(#REF!="High Charges",3,0)+
IF(#REF!&gt;250,4,0)+
IF(#REF!="no",1,0)+
IF(#REF!="Heavy Domestic User",2,0)</f>
        <v>#REF!</v>
      </c>
      <c r="AG573" t="e">
        <f>IF(#REF!&gt;=10,"High Risk", IF(#REF!&gt;=5,"Medium Risk","Low Risk"))</f>
        <v>#REF!</v>
      </c>
      <c r="AH573" t="e">
        <f>#REF! + #REF! + #REF! + #REF!</f>
        <v>#REF!</v>
      </c>
    </row>
    <row r="574" spans="1:34" x14ac:dyDescent="0.35">
      <c r="A574">
        <v>573</v>
      </c>
      <c r="B574" t="s">
        <v>43</v>
      </c>
      <c r="C574">
        <v>108</v>
      </c>
      <c r="D574" t="s">
        <v>28</v>
      </c>
      <c r="E574" t="s">
        <v>22</v>
      </c>
      <c r="F574" t="s">
        <v>22</v>
      </c>
      <c r="G574">
        <v>0</v>
      </c>
      <c r="H574">
        <v>187.4</v>
      </c>
      <c r="I574">
        <v>101</v>
      </c>
      <c r="J574">
        <v>31.86</v>
      </c>
      <c r="K574">
        <v>199.9</v>
      </c>
      <c r="L574">
        <v>126</v>
      </c>
      <c r="M574">
        <v>16.989999999999998</v>
      </c>
      <c r="N574">
        <v>216.1</v>
      </c>
      <c r="O574">
        <v>107</v>
      </c>
      <c r="P574">
        <v>9.7200000000000006</v>
      </c>
      <c r="Q574">
        <v>12.6</v>
      </c>
      <c r="R574">
        <v>8</v>
      </c>
      <c r="S574">
        <v>3.4</v>
      </c>
      <c r="T574">
        <v>1</v>
      </c>
      <c r="U574" t="s">
        <v>22</v>
      </c>
      <c r="V574" t="e">
        <f>IF(#REF! = "yes", 1, 0)</f>
        <v>#REF!</v>
      </c>
      <c r="W574" t="e">
        <f>IF(#REF! &lt;= 1, "0-1 Calls", IF(#REF! &lt;= 3, "2-3 Calls", IF(#REF! &lt;=5, "4-5 Calls", "6+ Calls")))</f>
        <v>#REF!</v>
      </c>
      <c r="X574" t="e">
        <f>IF(#REF! &lt;= 50, "0-50", IF(#REF! &lt;=100, "51-100", IF(#REF! &lt;= 150, "101-150", "151+")))</f>
        <v>#REF!</v>
      </c>
      <c r="Y574" t="e">
        <f>IF(#REF! &lt;= 3, "Low Charges", "High Charges")</f>
        <v>#REF!</v>
      </c>
      <c r="Z574" t="e">
        <f>IF(#REF!&lt;=80,"Low Calls",
IF(#REF!&lt;=120,"Medium Calls","High Calls"))</f>
        <v>#REF!</v>
      </c>
      <c r="AA574" t="e">
        <f>IF(#REF!&lt;=15,"Low Charges",
IF(#REF!&lt;=20,"Medium Charges","High Charges"))</f>
        <v>#REF!</v>
      </c>
      <c r="AB574" t="e">
        <f>IF(AND(#REF!&gt;180, #REF!&gt;200), "Heavy Doemstic User", IF(#REF!&gt;10, "Interntional User", IF(AND(#REF!&lt;180, #REF!&lt;200,#REF!&lt;200), "Light User", "Balanced User")))</f>
        <v>#REF!</v>
      </c>
      <c r="AC574" t="e">
        <f>IF(#REF! = 0, "No Usage", IF(#REF! &lt;= 20, "Low Usage", IF(#REF! &lt;= 40, "Medium Usgae", "High Usage")))</f>
        <v>#REF!</v>
      </c>
      <c r="AD574" t="e">
        <f>IF(#REF!&lt;=150,"Low Usage", IF(#REF!&lt;=200,"Medium Usage", IF(#REF!&lt;=250,"High Usage","Very High Usage")))</f>
        <v>#REF!</v>
      </c>
      <c r="AE574" t="e">
        <f>IF(#REF!&lt;=5,"Low Calls", IF(#REF!&lt;=10, "Medium Calls", "High Calls"))</f>
        <v>#REF!</v>
      </c>
      <c r="AF574" t="e">
        <f xml:space="preserve">
IF(#REF!&gt;=4,4,0)+
IF(#REF!="yes",3,0)+
IF(#REF!="High Charges",3,0)+
IF(#REF!&gt;250,4,0)+
IF(#REF!="no",1,0)+
IF(#REF!="Heavy Domestic User",2,0)</f>
        <v>#REF!</v>
      </c>
      <c r="AG574" t="e">
        <f>IF(#REF!&gt;=10,"High Risk", IF(#REF!&gt;=5,"Medium Risk","Low Risk"))</f>
        <v>#REF!</v>
      </c>
      <c r="AH574" t="e">
        <f>#REF! + #REF! + #REF! + #REF!</f>
        <v>#REF!</v>
      </c>
    </row>
    <row r="575" spans="1:34" x14ac:dyDescent="0.35">
      <c r="A575">
        <v>574</v>
      </c>
      <c r="B575" t="s">
        <v>41</v>
      </c>
      <c r="C575">
        <v>71</v>
      </c>
      <c r="D575" t="s">
        <v>21</v>
      </c>
      <c r="E575" t="s">
        <v>22</v>
      </c>
      <c r="F575" t="s">
        <v>22</v>
      </c>
      <c r="G575">
        <v>0</v>
      </c>
      <c r="H575">
        <v>277.5</v>
      </c>
      <c r="I575">
        <v>104</v>
      </c>
      <c r="J575">
        <v>47.18</v>
      </c>
      <c r="K575">
        <v>131.80000000000001</v>
      </c>
      <c r="L575">
        <v>121</v>
      </c>
      <c r="M575">
        <v>11.2</v>
      </c>
      <c r="N575">
        <v>126.9</v>
      </c>
      <c r="O575">
        <v>101</v>
      </c>
      <c r="P575">
        <v>5.71</v>
      </c>
      <c r="Q575">
        <v>8.1999999999999993</v>
      </c>
      <c r="R575">
        <v>2</v>
      </c>
      <c r="S575">
        <v>2.21</v>
      </c>
      <c r="T575">
        <v>1</v>
      </c>
      <c r="U575" t="s">
        <v>22</v>
      </c>
      <c r="V575" t="e">
        <f>IF(#REF! = "yes", 1, 0)</f>
        <v>#REF!</v>
      </c>
      <c r="W575" t="e">
        <f>IF(#REF! &lt;= 1, "0-1 Calls", IF(#REF! &lt;= 3, "2-3 Calls", IF(#REF! &lt;=5, "4-5 Calls", "6+ Calls")))</f>
        <v>#REF!</v>
      </c>
      <c r="X575" t="e">
        <f>IF(#REF! &lt;= 50, "0-50", IF(#REF! &lt;=100, "51-100", IF(#REF! &lt;= 150, "101-150", "151+")))</f>
        <v>#REF!</v>
      </c>
      <c r="Y575" t="e">
        <f>IF(#REF! &lt;= 3, "Low Charges", "High Charges")</f>
        <v>#REF!</v>
      </c>
      <c r="Z575" t="e">
        <f>IF(#REF!&lt;=80,"Low Calls",
IF(#REF!&lt;=120,"Medium Calls","High Calls"))</f>
        <v>#REF!</v>
      </c>
      <c r="AA575" t="e">
        <f>IF(#REF!&lt;=15,"Low Charges",
IF(#REF!&lt;=20,"Medium Charges","High Charges"))</f>
        <v>#REF!</v>
      </c>
      <c r="AB575" t="e">
        <f>IF(AND(#REF!&gt;180, #REF!&gt;200), "Heavy Doemstic User", IF(#REF!&gt;10, "Interntional User", IF(AND(#REF!&lt;180, #REF!&lt;200,#REF!&lt;200), "Light User", "Balanced User")))</f>
        <v>#REF!</v>
      </c>
      <c r="AC575" t="e">
        <f>IF(#REF! = 0, "No Usage", IF(#REF! &lt;= 20, "Low Usage", IF(#REF! &lt;= 40, "Medium Usgae", "High Usage")))</f>
        <v>#REF!</v>
      </c>
      <c r="AD575" t="e">
        <f>IF(#REF!&lt;=150,"Low Usage", IF(#REF!&lt;=200,"Medium Usage", IF(#REF!&lt;=250,"High Usage","Very High Usage")))</f>
        <v>#REF!</v>
      </c>
      <c r="AE575" t="e">
        <f>IF(#REF!&lt;=5,"Low Calls", IF(#REF!&lt;=10, "Medium Calls", "High Calls"))</f>
        <v>#REF!</v>
      </c>
      <c r="AF575" t="e">
        <f xml:space="preserve">
IF(#REF!&gt;=4,4,0)+
IF(#REF!="yes",3,0)+
IF(#REF!="High Charges",3,0)+
IF(#REF!&gt;250,4,0)+
IF(#REF!="no",1,0)+
IF(#REF!="Heavy Domestic User",2,0)</f>
        <v>#REF!</v>
      </c>
      <c r="AG575" t="e">
        <f>IF(#REF!&gt;=10,"High Risk", IF(#REF!&gt;=5,"Medium Risk","Low Risk"))</f>
        <v>#REF!</v>
      </c>
      <c r="AH575" t="e">
        <f>#REF! + #REF! + #REF! + #REF!</f>
        <v>#REF!</v>
      </c>
    </row>
    <row r="576" spans="1:34" x14ac:dyDescent="0.35">
      <c r="A576">
        <v>575</v>
      </c>
      <c r="B576" t="s">
        <v>67</v>
      </c>
      <c r="C576">
        <v>137</v>
      </c>
      <c r="D576" t="s">
        <v>28</v>
      </c>
      <c r="E576" t="s">
        <v>22</v>
      </c>
      <c r="F576" t="s">
        <v>22</v>
      </c>
      <c r="G576">
        <v>0</v>
      </c>
      <c r="H576">
        <v>147.19999999999999</v>
      </c>
      <c r="I576">
        <v>119</v>
      </c>
      <c r="J576">
        <v>25.02</v>
      </c>
      <c r="K576">
        <v>192.8</v>
      </c>
      <c r="L576">
        <v>91</v>
      </c>
      <c r="M576">
        <v>16.39</v>
      </c>
      <c r="N576">
        <v>172.7</v>
      </c>
      <c r="O576">
        <v>105</v>
      </c>
      <c r="P576">
        <v>7.77</v>
      </c>
      <c r="Q576">
        <v>10.199999999999999</v>
      </c>
      <c r="R576">
        <v>4</v>
      </c>
      <c r="S576">
        <v>2.75</v>
      </c>
      <c r="T576">
        <v>1</v>
      </c>
      <c r="U576" t="s">
        <v>22</v>
      </c>
      <c r="V576" t="e">
        <f>IF(#REF! = "yes", 1, 0)</f>
        <v>#REF!</v>
      </c>
      <c r="W576" t="e">
        <f>IF(#REF! &lt;= 1, "0-1 Calls", IF(#REF! &lt;= 3, "2-3 Calls", IF(#REF! &lt;=5, "4-5 Calls", "6+ Calls")))</f>
        <v>#REF!</v>
      </c>
      <c r="X576" t="e">
        <f>IF(#REF! &lt;= 50, "0-50", IF(#REF! &lt;=100, "51-100", IF(#REF! &lt;= 150, "101-150", "151+")))</f>
        <v>#REF!</v>
      </c>
      <c r="Y576" t="e">
        <f>IF(#REF! &lt;= 3, "Low Charges", "High Charges")</f>
        <v>#REF!</v>
      </c>
      <c r="Z576" t="e">
        <f>IF(#REF!&lt;=80,"Low Calls",
IF(#REF!&lt;=120,"Medium Calls","High Calls"))</f>
        <v>#REF!</v>
      </c>
      <c r="AA576" t="e">
        <f>IF(#REF!&lt;=15,"Low Charges",
IF(#REF!&lt;=20,"Medium Charges","High Charges"))</f>
        <v>#REF!</v>
      </c>
      <c r="AB576" t="e">
        <f>IF(AND(#REF!&gt;180, #REF!&gt;200), "Heavy Doemstic User", IF(#REF!&gt;10, "Interntional User", IF(AND(#REF!&lt;180, #REF!&lt;200,#REF!&lt;200), "Light User", "Balanced User")))</f>
        <v>#REF!</v>
      </c>
      <c r="AC576" t="e">
        <f>IF(#REF! = 0, "No Usage", IF(#REF! &lt;= 20, "Low Usage", IF(#REF! &lt;= 40, "Medium Usgae", "High Usage")))</f>
        <v>#REF!</v>
      </c>
      <c r="AD576" t="e">
        <f>IF(#REF!&lt;=150,"Low Usage", IF(#REF!&lt;=200,"Medium Usage", IF(#REF!&lt;=250,"High Usage","Very High Usage")))</f>
        <v>#REF!</v>
      </c>
      <c r="AE576" t="e">
        <f>IF(#REF!&lt;=5,"Low Calls", IF(#REF!&lt;=10, "Medium Calls", "High Calls"))</f>
        <v>#REF!</v>
      </c>
      <c r="AF576" t="e">
        <f xml:space="preserve">
IF(#REF!&gt;=4,4,0)+
IF(#REF!="yes",3,0)+
IF(#REF!="High Charges",3,0)+
IF(#REF!&gt;250,4,0)+
IF(#REF!="no",1,0)+
IF(#REF!="Heavy Domestic User",2,0)</f>
        <v>#REF!</v>
      </c>
      <c r="AG576" t="e">
        <f>IF(#REF!&gt;=10,"High Risk", IF(#REF!&gt;=5,"Medium Risk","Low Risk"))</f>
        <v>#REF!</v>
      </c>
      <c r="AH576" t="e">
        <f>#REF! + #REF! + #REF! + #REF!</f>
        <v>#REF!</v>
      </c>
    </row>
    <row r="577" spans="1:34" x14ac:dyDescent="0.35">
      <c r="A577">
        <v>576</v>
      </c>
      <c r="B577" t="s">
        <v>69</v>
      </c>
      <c r="C577">
        <v>82</v>
      </c>
      <c r="D577" t="s">
        <v>25</v>
      </c>
      <c r="E577" t="s">
        <v>22</v>
      </c>
      <c r="F577" t="s">
        <v>22</v>
      </c>
      <c r="G577">
        <v>0</v>
      </c>
      <c r="H577">
        <v>185.8</v>
      </c>
      <c r="I577">
        <v>36</v>
      </c>
      <c r="J577">
        <v>31.59</v>
      </c>
      <c r="K577">
        <v>276.5</v>
      </c>
      <c r="L577">
        <v>134</v>
      </c>
      <c r="M577">
        <v>23.5</v>
      </c>
      <c r="N577">
        <v>192.1</v>
      </c>
      <c r="O577">
        <v>104</v>
      </c>
      <c r="P577">
        <v>8.64</v>
      </c>
      <c r="Q577">
        <v>5.7</v>
      </c>
      <c r="R577">
        <v>7</v>
      </c>
      <c r="S577">
        <v>1.54</v>
      </c>
      <c r="T577">
        <v>4</v>
      </c>
      <c r="U577" t="s">
        <v>22</v>
      </c>
      <c r="V577" t="e">
        <f>IF(#REF! = "yes", 1, 0)</f>
        <v>#REF!</v>
      </c>
      <c r="W577" t="e">
        <f>IF(#REF! &lt;= 1, "0-1 Calls", IF(#REF! &lt;= 3, "2-3 Calls", IF(#REF! &lt;=5, "4-5 Calls", "6+ Calls")))</f>
        <v>#REF!</v>
      </c>
      <c r="X577" t="e">
        <f>IF(#REF! &lt;= 50, "0-50", IF(#REF! &lt;=100, "51-100", IF(#REF! &lt;= 150, "101-150", "151+")))</f>
        <v>#REF!</v>
      </c>
      <c r="Y577" t="e">
        <f>IF(#REF! &lt;= 3, "Low Charges", "High Charges")</f>
        <v>#REF!</v>
      </c>
      <c r="Z577" t="e">
        <f>IF(#REF!&lt;=80,"Low Calls",
IF(#REF!&lt;=120,"Medium Calls","High Calls"))</f>
        <v>#REF!</v>
      </c>
      <c r="AA577" t="e">
        <f>IF(#REF!&lt;=15,"Low Charges",
IF(#REF!&lt;=20,"Medium Charges","High Charges"))</f>
        <v>#REF!</v>
      </c>
      <c r="AB577" t="e">
        <f>IF(AND(#REF!&gt;180, #REF!&gt;200), "Heavy Doemstic User", IF(#REF!&gt;10, "Interntional User", IF(AND(#REF!&lt;180, #REF!&lt;200,#REF!&lt;200), "Light User", "Balanced User")))</f>
        <v>#REF!</v>
      </c>
      <c r="AC577" t="e">
        <f>IF(#REF! = 0, "No Usage", IF(#REF! &lt;= 20, "Low Usage", IF(#REF! &lt;= 40, "Medium Usgae", "High Usage")))</f>
        <v>#REF!</v>
      </c>
      <c r="AD577" t="e">
        <f>IF(#REF!&lt;=150,"Low Usage", IF(#REF!&lt;=200,"Medium Usage", IF(#REF!&lt;=250,"High Usage","Very High Usage")))</f>
        <v>#REF!</v>
      </c>
      <c r="AE577" t="e">
        <f>IF(#REF!&lt;=5,"Low Calls", IF(#REF!&lt;=10, "Medium Calls", "High Calls"))</f>
        <v>#REF!</v>
      </c>
      <c r="AF577" t="e">
        <f xml:space="preserve">
IF(#REF!&gt;=4,4,0)+
IF(#REF!="yes",3,0)+
IF(#REF!="High Charges",3,0)+
IF(#REF!&gt;250,4,0)+
IF(#REF!="no",1,0)+
IF(#REF!="Heavy Domestic User",2,0)</f>
        <v>#REF!</v>
      </c>
      <c r="AG577" t="e">
        <f>IF(#REF!&gt;=10,"High Risk", IF(#REF!&gt;=5,"Medium Risk","Low Risk"))</f>
        <v>#REF!</v>
      </c>
      <c r="AH577" t="e">
        <f>#REF! + #REF! + #REF! + #REF!</f>
        <v>#REF!</v>
      </c>
    </row>
    <row r="578" spans="1:34" x14ac:dyDescent="0.35">
      <c r="A578">
        <v>577</v>
      </c>
      <c r="B578" t="s">
        <v>24</v>
      </c>
      <c r="C578">
        <v>92</v>
      </c>
      <c r="D578" t="s">
        <v>28</v>
      </c>
      <c r="E578" t="s">
        <v>22</v>
      </c>
      <c r="F578" t="s">
        <v>23</v>
      </c>
      <c r="G578">
        <v>29</v>
      </c>
      <c r="H578">
        <v>155.4</v>
      </c>
      <c r="I578">
        <v>110</v>
      </c>
      <c r="J578">
        <v>26.42</v>
      </c>
      <c r="K578">
        <v>188.5</v>
      </c>
      <c r="L578">
        <v>104</v>
      </c>
      <c r="M578">
        <v>16.02</v>
      </c>
      <c r="N578">
        <v>254.9</v>
      </c>
      <c r="O578">
        <v>118</v>
      </c>
      <c r="P578">
        <v>11.47</v>
      </c>
      <c r="Q578">
        <v>8</v>
      </c>
      <c r="R578">
        <v>4</v>
      </c>
      <c r="S578">
        <v>2.16</v>
      </c>
      <c r="T578">
        <v>3</v>
      </c>
      <c r="U578" t="s">
        <v>22</v>
      </c>
      <c r="V578" t="e">
        <f>IF(#REF! = "yes", 1, 0)</f>
        <v>#REF!</v>
      </c>
      <c r="W578" t="e">
        <f>IF(#REF! &lt;= 1, "0-1 Calls", IF(#REF! &lt;= 3, "2-3 Calls", IF(#REF! &lt;=5, "4-5 Calls", "6+ Calls")))</f>
        <v>#REF!</v>
      </c>
      <c r="X578" t="e">
        <f>IF(#REF! &lt;= 50, "0-50", IF(#REF! &lt;=100, "51-100", IF(#REF! &lt;= 150, "101-150", "151+")))</f>
        <v>#REF!</v>
      </c>
      <c r="Y578" t="e">
        <f>IF(#REF! &lt;= 3, "Low Charges", "High Charges")</f>
        <v>#REF!</v>
      </c>
      <c r="Z578" t="e">
        <f>IF(#REF!&lt;=80,"Low Calls",
IF(#REF!&lt;=120,"Medium Calls","High Calls"))</f>
        <v>#REF!</v>
      </c>
      <c r="AA578" t="e">
        <f>IF(#REF!&lt;=15,"Low Charges",
IF(#REF!&lt;=20,"Medium Charges","High Charges"))</f>
        <v>#REF!</v>
      </c>
      <c r="AB578" t="e">
        <f>IF(AND(#REF!&gt;180, #REF!&gt;200), "Heavy Doemstic User", IF(#REF!&gt;10, "Interntional User", IF(AND(#REF!&lt;180, #REF!&lt;200,#REF!&lt;200), "Light User", "Balanced User")))</f>
        <v>#REF!</v>
      </c>
      <c r="AC578" t="e">
        <f>IF(#REF! = 0, "No Usage", IF(#REF! &lt;= 20, "Low Usage", IF(#REF! &lt;= 40, "Medium Usgae", "High Usage")))</f>
        <v>#REF!</v>
      </c>
      <c r="AD578" t="e">
        <f>IF(#REF!&lt;=150,"Low Usage", IF(#REF!&lt;=200,"Medium Usage", IF(#REF!&lt;=250,"High Usage","Very High Usage")))</f>
        <v>#REF!</v>
      </c>
      <c r="AE578" t="e">
        <f>IF(#REF!&lt;=5,"Low Calls", IF(#REF!&lt;=10, "Medium Calls", "High Calls"))</f>
        <v>#REF!</v>
      </c>
      <c r="AF578" t="e">
        <f xml:space="preserve">
IF(#REF!&gt;=4,4,0)+
IF(#REF!="yes",3,0)+
IF(#REF!="High Charges",3,0)+
IF(#REF!&gt;250,4,0)+
IF(#REF!="no",1,0)+
IF(#REF!="Heavy Domestic User",2,0)</f>
        <v>#REF!</v>
      </c>
      <c r="AG578" t="e">
        <f>IF(#REF!&gt;=10,"High Risk", IF(#REF!&gt;=5,"Medium Risk","Low Risk"))</f>
        <v>#REF!</v>
      </c>
      <c r="AH578" t="e">
        <f>#REF! + #REF! + #REF! + #REF!</f>
        <v>#REF!</v>
      </c>
    </row>
    <row r="579" spans="1:34" x14ac:dyDescent="0.35">
      <c r="A579">
        <v>578</v>
      </c>
      <c r="B579" t="s">
        <v>51</v>
      </c>
      <c r="C579">
        <v>165</v>
      </c>
      <c r="D579" t="s">
        <v>28</v>
      </c>
      <c r="E579" t="s">
        <v>22</v>
      </c>
      <c r="F579" t="s">
        <v>22</v>
      </c>
      <c r="G579">
        <v>0</v>
      </c>
      <c r="H579">
        <v>154.19999999999999</v>
      </c>
      <c r="I579">
        <v>91</v>
      </c>
      <c r="J579">
        <v>26.21</v>
      </c>
      <c r="K579">
        <v>268.60000000000002</v>
      </c>
      <c r="L579">
        <v>108</v>
      </c>
      <c r="M579">
        <v>22.83</v>
      </c>
      <c r="N579">
        <v>188.8</v>
      </c>
      <c r="O579">
        <v>99</v>
      </c>
      <c r="P579">
        <v>8.5</v>
      </c>
      <c r="Q579">
        <v>10.9</v>
      </c>
      <c r="R579">
        <v>4</v>
      </c>
      <c r="S579">
        <v>2.94</v>
      </c>
      <c r="T579">
        <v>6</v>
      </c>
      <c r="U579" t="s">
        <v>22</v>
      </c>
      <c r="V579" t="e">
        <f>IF(#REF! = "yes", 1, 0)</f>
        <v>#REF!</v>
      </c>
      <c r="W579" t="e">
        <f>IF(#REF! &lt;= 1, "0-1 Calls", IF(#REF! &lt;= 3, "2-3 Calls", IF(#REF! &lt;=5, "4-5 Calls", "6+ Calls")))</f>
        <v>#REF!</v>
      </c>
      <c r="X579" t="e">
        <f>IF(#REF! &lt;= 50, "0-50", IF(#REF! &lt;=100, "51-100", IF(#REF! &lt;= 150, "101-150", "151+")))</f>
        <v>#REF!</v>
      </c>
      <c r="Y579" t="e">
        <f>IF(#REF! &lt;= 3, "Low Charges", "High Charges")</f>
        <v>#REF!</v>
      </c>
      <c r="Z579" t="e">
        <f>IF(#REF!&lt;=80,"Low Calls",
IF(#REF!&lt;=120,"Medium Calls","High Calls"))</f>
        <v>#REF!</v>
      </c>
      <c r="AA579" t="e">
        <f>IF(#REF!&lt;=15,"Low Charges",
IF(#REF!&lt;=20,"Medium Charges","High Charges"))</f>
        <v>#REF!</v>
      </c>
      <c r="AB579" t="e">
        <f>IF(AND(#REF!&gt;180, #REF!&gt;200), "Heavy Doemstic User", IF(#REF!&gt;10, "Interntional User", IF(AND(#REF!&lt;180, #REF!&lt;200,#REF!&lt;200), "Light User", "Balanced User")))</f>
        <v>#REF!</v>
      </c>
      <c r="AC579" t="e">
        <f>IF(#REF! = 0, "No Usage", IF(#REF! &lt;= 20, "Low Usage", IF(#REF! &lt;= 40, "Medium Usgae", "High Usage")))</f>
        <v>#REF!</v>
      </c>
      <c r="AD579" t="e">
        <f>IF(#REF!&lt;=150,"Low Usage", IF(#REF!&lt;=200,"Medium Usage", IF(#REF!&lt;=250,"High Usage","Very High Usage")))</f>
        <v>#REF!</v>
      </c>
      <c r="AE579" t="e">
        <f>IF(#REF!&lt;=5,"Low Calls", IF(#REF!&lt;=10, "Medium Calls", "High Calls"))</f>
        <v>#REF!</v>
      </c>
      <c r="AF579" t="e">
        <f xml:space="preserve">
IF(#REF!&gt;=4,4,0)+
IF(#REF!="yes",3,0)+
IF(#REF!="High Charges",3,0)+
IF(#REF!&gt;250,4,0)+
IF(#REF!="no",1,0)+
IF(#REF!="Heavy Domestic User",2,0)</f>
        <v>#REF!</v>
      </c>
      <c r="AG579" t="e">
        <f>IF(#REF!&gt;=10,"High Risk", IF(#REF!&gt;=5,"Medium Risk","Low Risk"))</f>
        <v>#REF!</v>
      </c>
      <c r="AH579" t="e">
        <f>#REF! + #REF! + #REF! + #REF!</f>
        <v>#REF!</v>
      </c>
    </row>
    <row r="580" spans="1:34" x14ac:dyDescent="0.35">
      <c r="A580">
        <v>579</v>
      </c>
      <c r="B580" t="s">
        <v>35</v>
      </c>
      <c r="C580">
        <v>96</v>
      </c>
      <c r="D580" t="s">
        <v>21</v>
      </c>
      <c r="E580" t="s">
        <v>22</v>
      </c>
      <c r="F580" t="s">
        <v>22</v>
      </c>
      <c r="G580">
        <v>0</v>
      </c>
      <c r="H580">
        <v>97.6</v>
      </c>
      <c r="I580">
        <v>98</v>
      </c>
      <c r="J580">
        <v>16.59</v>
      </c>
      <c r="K580">
        <v>105.5</v>
      </c>
      <c r="L580">
        <v>118</v>
      </c>
      <c r="M580">
        <v>8.9700000000000006</v>
      </c>
      <c r="N580">
        <v>220.2</v>
      </c>
      <c r="O580">
        <v>105</v>
      </c>
      <c r="P580">
        <v>9.91</v>
      </c>
      <c r="Q580">
        <v>11.6</v>
      </c>
      <c r="R580">
        <v>9</v>
      </c>
      <c r="S580">
        <v>3.13</v>
      </c>
      <c r="T580">
        <v>1</v>
      </c>
      <c r="U580" t="s">
        <v>22</v>
      </c>
      <c r="V580" t="e">
        <f>IF(#REF! = "yes", 1, 0)</f>
        <v>#REF!</v>
      </c>
      <c r="W580" t="e">
        <f>IF(#REF! &lt;= 1, "0-1 Calls", IF(#REF! &lt;= 3, "2-3 Calls", IF(#REF! &lt;=5, "4-5 Calls", "6+ Calls")))</f>
        <v>#REF!</v>
      </c>
      <c r="X580" t="e">
        <f>IF(#REF! &lt;= 50, "0-50", IF(#REF! &lt;=100, "51-100", IF(#REF! &lt;= 150, "101-150", "151+")))</f>
        <v>#REF!</v>
      </c>
      <c r="Y580" t="e">
        <f>IF(#REF! &lt;= 3, "Low Charges", "High Charges")</f>
        <v>#REF!</v>
      </c>
      <c r="Z580" t="e">
        <f>IF(#REF!&lt;=80,"Low Calls",
IF(#REF!&lt;=120,"Medium Calls","High Calls"))</f>
        <v>#REF!</v>
      </c>
      <c r="AA580" t="e">
        <f>IF(#REF!&lt;=15,"Low Charges",
IF(#REF!&lt;=20,"Medium Charges","High Charges"))</f>
        <v>#REF!</v>
      </c>
      <c r="AB580" t="e">
        <f>IF(AND(#REF!&gt;180, #REF!&gt;200), "Heavy Doemstic User", IF(#REF!&gt;10, "Interntional User", IF(AND(#REF!&lt;180, #REF!&lt;200,#REF!&lt;200), "Light User", "Balanced User")))</f>
        <v>#REF!</v>
      </c>
      <c r="AC580" t="e">
        <f>IF(#REF! = 0, "No Usage", IF(#REF! &lt;= 20, "Low Usage", IF(#REF! &lt;= 40, "Medium Usgae", "High Usage")))</f>
        <v>#REF!</v>
      </c>
      <c r="AD580" t="e">
        <f>IF(#REF!&lt;=150,"Low Usage", IF(#REF!&lt;=200,"Medium Usage", IF(#REF!&lt;=250,"High Usage","Very High Usage")))</f>
        <v>#REF!</v>
      </c>
      <c r="AE580" t="e">
        <f>IF(#REF!&lt;=5,"Low Calls", IF(#REF!&lt;=10, "Medium Calls", "High Calls"))</f>
        <v>#REF!</v>
      </c>
      <c r="AF580" t="e">
        <f xml:space="preserve">
IF(#REF!&gt;=4,4,0)+
IF(#REF!="yes",3,0)+
IF(#REF!="High Charges",3,0)+
IF(#REF!&gt;250,4,0)+
IF(#REF!="no",1,0)+
IF(#REF!="Heavy Domestic User",2,0)</f>
        <v>#REF!</v>
      </c>
      <c r="AG580" t="e">
        <f>IF(#REF!&gt;=10,"High Risk", IF(#REF!&gt;=5,"Medium Risk","Low Risk"))</f>
        <v>#REF!</v>
      </c>
      <c r="AH580" t="e">
        <f>#REF! + #REF! + #REF! + #REF!</f>
        <v>#REF!</v>
      </c>
    </row>
    <row r="581" spans="1:34" x14ac:dyDescent="0.35">
      <c r="A581">
        <v>580</v>
      </c>
      <c r="B581" t="s">
        <v>50</v>
      </c>
      <c r="C581">
        <v>156</v>
      </c>
      <c r="D581" t="s">
        <v>21</v>
      </c>
      <c r="E581" t="s">
        <v>22</v>
      </c>
      <c r="F581" t="s">
        <v>22</v>
      </c>
      <c r="G581">
        <v>0</v>
      </c>
      <c r="H581">
        <v>178.8</v>
      </c>
      <c r="I581">
        <v>94</v>
      </c>
      <c r="J581">
        <v>30.4</v>
      </c>
      <c r="K581">
        <v>178.4</v>
      </c>
      <c r="L581">
        <v>97</v>
      </c>
      <c r="M581">
        <v>15.16</v>
      </c>
      <c r="N581">
        <v>169.2</v>
      </c>
      <c r="O581">
        <v>77</v>
      </c>
      <c r="P581">
        <v>7.61</v>
      </c>
      <c r="Q581">
        <v>7.5</v>
      </c>
      <c r="R581">
        <v>3</v>
      </c>
      <c r="S581">
        <v>2.0299999999999998</v>
      </c>
      <c r="T581">
        <v>1</v>
      </c>
      <c r="U581" t="s">
        <v>22</v>
      </c>
      <c r="V581" t="e">
        <f>IF(#REF! = "yes", 1, 0)</f>
        <v>#REF!</v>
      </c>
      <c r="W581" t="e">
        <f>IF(#REF! &lt;= 1, "0-1 Calls", IF(#REF! &lt;= 3, "2-3 Calls", IF(#REF! &lt;=5, "4-5 Calls", "6+ Calls")))</f>
        <v>#REF!</v>
      </c>
      <c r="X581" t="e">
        <f>IF(#REF! &lt;= 50, "0-50", IF(#REF! &lt;=100, "51-100", IF(#REF! &lt;= 150, "101-150", "151+")))</f>
        <v>#REF!</v>
      </c>
      <c r="Y581" t="e">
        <f>IF(#REF! &lt;= 3, "Low Charges", "High Charges")</f>
        <v>#REF!</v>
      </c>
      <c r="Z581" t="e">
        <f>IF(#REF!&lt;=80,"Low Calls",
IF(#REF!&lt;=120,"Medium Calls","High Calls"))</f>
        <v>#REF!</v>
      </c>
      <c r="AA581" t="e">
        <f>IF(#REF!&lt;=15,"Low Charges",
IF(#REF!&lt;=20,"Medium Charges","High Charges"))</f>
        <v>#REF!</v>
      </c>
      <c r="AB581" t="e">
        <f>IF(AND(#REF!&gt;180, #REF!&gt;200), "Heavy Doemstic User", IF(#REF!&gt;10, "Interntional User", IF(AND(#REF!&lt;180, #REF!&lt;200,#REF!&lt;200), "Light User", "Balanced User")))</f>
        <v>#REF!</v>
      </c>
      <c r="AC581" t="e">
        <f>IF(#REF! = 0, "No Usage", IF(#REF! &lt;= 20, "Low Usage", IF(#REF! &lt;= 40, "Medium Usgae", "High Usage")))</f>
        <v>#REF!</v>
      </c>
      <c r="AD581" t="e">
        <f>IF(#REF!&lt;=150,"Low Usage", IF(#REF!&lt;=200,"Medium Usage", IF(#REF!&lt;=250,"High Usage","Very High Usage")))</f>
        <v>#REF!</v>
      </c>
      <c r="AE581" t="e">
        <f>IF(#REF!&lt;=5,"Low Calls", IF(#REF!&lt;=10, "Medium Calls", "High Calls"))</f>
        <v>#REF!</v>
      </c>
      <c r="AF581" t="e">
        <f xml:space="preserve">
IF(#REF!&gt;=4,4,0)+
IF(#REF!="yes",3,0)+
IF(#REF!="High Charges",3,0)+
IF(#REF!&gt;250,4,0)+
IF(#REF!="no",1,0)+
IF(#REF!="Heavy Domestic User",2,0)</f>
        <v>#REF!</v>
      </c>
      <c r="AG581" t="e">
        <f>IF(#REF!&gt;=10,"High Risk", IF(#REF!&gt;=5,"Medium Risk","Low Risk"))</f>
        <v>#REF!</v>
      </c>
      <c r="AH581" t="e">
        <f>#REF! + #REF! + #REF! + #REF!</f>
        <v>#REF!</v>
      </c>
    </row>
    <row r="582" spans="1:34" x14ac:dyDescent="0.35">
      <c r="A582">
        <v>581</v>
      </c>
      <c r="B582" t="s">
        <v>59</v>
      </c>
      <c r="C582">
        <v>63</v>
      </c>
      <c r="D582" t="s">
        <v>25</v>
      </c>
      <c r="E582" t="s">
        <v>22</v>
      </c>
      <c r="F582" t="s">
        <v>22</v>
      </c>
      <c r="G582">
        <v>0</v>
      </c>
      <c r="H582">
        <v>149.30000000000001</v>
      </c>
      <c r="I582">
        <v>104</v>
      </c>
      <c r="J582">
        <v>25.38</v>
      </c>
      <c r="K582">
        <v>273.60000000000002</v>
      </c>
      <c r="L582">
        <v>75</v>
      </c>
      <c r="M582">
        <v>23.26</v>
      </c>
      <c r="N582">
        <v>206.6</v>
      </c>
      <c r="O582">
        <v>72</v>
      </c>
      <c r="P582">
        <v>9.3000000000000007</v>
      </c>
      <c r="Q582">
        <v>9.1</v>
      </c>
      <c r="R582">
        <v>4</v>
      </c>
      <c r="S582">
        <v>2.46</v>
      </c>
      <c r="T582">
        <v>0</v>
      </c>
      <c r="U582" t="s">
        <v>22</v>
      </c>
      <c r="V582" t="e">
        <f>IF(#REF! = "yes", 1, 0)</f>
        <v>#REF!</v>
      </c>
      <c r="W582" t="e">
        <f>IF(#REF! &lt;= 1, "0-1 Calls", IF(#REF! &lt;= 3, "2-3 Calls", IF(#REF! &lt;=5, "4-5 Calls", "6+ Calls")))</f>
        <v>#REF!</v>
      </c>
      <c r="X582" t="e">
        <f>IF(#REF! &lt;= 50, "0-50", IF(#REF! &lt;=100, "51-100", IF(#REF! &lt;= 150, "101-150", "151+")))</f>
        <v>#REF!</v>
      </c>
      <c r="Y582" t="e">
        <f>IF(#REF! &lt;= 3, "Low Charges", "High Charges")</f>
        <v>#REF!</v>
      </c>
      <c r="Z582" t="e">
        <f>IF(#REF!&lt;=80,"Low Calls",
IF(#REF!&lt;=120,"Medium Calls","High Calls"))</f>
        <v>#REF!</v>
      </c>
      <c r="AA582" t="e">
        <f>IF(#REF!&lt;=15,"Low Charges",
IF(#REF!&lt;=20,"Medium Charges","High Charges"))</f>
        <v>#REF!</v>
      </c>
      <c r="AB582" t="e">
        <f>IF(AND(#REF!&gt;180, #REF!&gt;200), "Heavy Doemstic User", IF(#REF!&gt;10, "Interntional User", IF(AND(#REF!&lt;180, #REF!&lt;200,#REF!&lt;200), "Light User", "Balanced User")))</f>
        <v>#REF!</v>
      </c>
      <c r="AC582" t="e">
        <f>IF(#REF! = 0, "No Usage", IF(#REF! &lt;= 20, "Low Usage", IF(#REF! &lt;= 40, "Medium Usgae", "High Usage")))</f>
        <v>#REF!</v>
      </c>
      <c r="AD582" t="e">
        <f>IF(#REF!&lt;=150,"Low Usage", IF(#REF!&lt;=200,"Medium Usage", IF(#REF!&lt;=250,"High Usage","Very High Usage")))</f>
        <v>#REF!</v>
      </c>
      <c r="AE582" t="e">
        <f>IF(#REF!&lt;=5,"Low Calls", IF(#REF!&lt;=10, "Medium Calls", "High Calls"))</f>
        <v>#REF!</v>
      </c>
      <c r="AF582" t="e">
        <f xml:space="preserve">
IF(#REF!&gt;=4,4,0)+
IF(#REF!="yes",3,0)+
IF(#REF!="High Charges",3,0)+
IF(#REF!&gt;250,4,0)+
IF(#REF!="no",1,0)+
IF(#REF!="Heavy Domestic User",2,0)</f>
        <v>#REF!</v>
      </c>
      <c r="AG582" t="e">
        <f>IF(#REF!&gt;=10,"High Risk", IF(#REF!&gt;=5,"Medium Risk","Low Risk"))</f>
        <v>#REF!</v>
      </c>
      <c r="AH582" t="e">
        <f>#REF! + #REF! + #REF! + #REF!</f>
        <v>#REF!</v>
      </c>
    </row>
    <row r="583" spans="1:34" x14ac:dyDescent="0.35">
      <c r="A583">
        <v>582</v>
      </c>
      <c r="B583" t="s">
        <v>46</v>
      </c>
      <c r="C583">
        <v>37</v>
      </c>
      <c r="D583" t="s">
        <v>21</v>
      </c>
      <c r="E583" t="s">
        <v>22</v>
      </c>
      <c r="F583" t="s">
        <v>22</v>
      </c>
      <c r="G583">
        <v>0</v>
      </c>
      <c r="H583">
        <v>206</v>
      </c>
      <c r="I583">
        <v>89</v>
      </c>
      <c r="J583">
        <v>35.020000000000003</v>
      </c>
      <c r="K583">
        <v>186</v>
      </c>
      <c r="L583">
        <v>88</v>
      </c>
      <c r="M583">
        <v>15.81</v>
      </c>
      <c r="N583">
        <v>307.10000000000002</v>
      </c>
      <c r="O583">
        <v>86</v>
      </c>
      <c r="P583">
        <v>13.82</v>
      </c>
      <c r="Q583">
        <v>8.4</v>
      </c>
      <c r="R583">
        <v>11</v>
      </c>
      <c r="S583">
        <v>2.27</v>
      </c>
      <c r="T583">
        <v>0</v>
      </c>
      <c r="U583" t="s">
        <v>22</v>
      </c>
      <c r="V583" t="e">
        <f>IF(#REF! = "yes", 1, 0)</f>
        <v>#REF!</v>
      </c>
      <c r="W583" t="e">
        <f>IF(#REF! &lt;= 1, "0-1 Calls", IF(#REF! &lt;= 3, "2-3 Calls", IF(#REF! &lt;=5, "4-5 Calls", "6+ Calls")))</f>
        <v>#REF!</v>
      </c>
      <c r="X583" t="e">
        <f>IF(#REF! &lt;= 50, "0-50", IF(#REF! &lt;=100, "51-100", IF(#REF! &lt;= 150, "101-150", "151+")))</f>
        <v>#REF!</v>
      </c>
      <c r="Y583" t="e">
        <f>IF(#REF! &lt;= 3, "Low Charges", "High Charges")</f>
        <v>#REF!</v>
      </c>
      <c r="Z583" t="e">
        <f>IF(#REF!&lt;=80,"Low Calls",
IF(#REF!&lt;=120,"Medium Calls","High Calls"))</f>
        <v>#REF!</v>
      </c>
      <c r="AA583" t="e">
        <f>IF(#REF!&lt;=15,"Low Charges",
IF(#REF!&lt;=20,"Medium Charges","High Charges"))</f>
        <v>#REF!</v>
      </c>
      <c r="AB583" t="e">
        <f>IF(AND(#REF!&gt;180, #REF!&gt;200), "Heavy Doemstic User", IF(#REF!&gt;10, "Interntional User", IF(AND(#REF!&lt;180, #REF!&lt;200,#REF!&lt;200), "Light User", "Balanced User")))</f>
        <v>#REF!</v>
      </c>
      <c r="AC583" t="e">
        <f>IF(#REF! = 0, "No Usage", IF(#REF! &lt;= 20, "Low Usage", IF(#REF! &lt;= 40, "Medium Usgae", "High Usage")))</f>
        <v>#REF!</v>
      </c>
      <c r="AD583" t="e">
        <f>IF(#REF!&lt;=150,"Low Usage", IF(#REF!&lt;=200,"Medium Usage", IF(#REF!&lt;=250,"High Usage","Very High Usage")))</f>
        <v>#REF!</v>
      </c>
      <c r="AE583" t="e">
        <f>IF(#REF!&lt;=5,"Low Calls", IF(#REF!&lt;=10, "Medium Calls", "High Calls"))</f>
        <v>#REF!</v>
      </c>
      <c r="AF583" t="e">
        <f xml:space="preserve">
IF(#REF!&gt;=4,4,0)+
IF(#REF!="yes",3,0)+
IF(#REF!="High Charges",3,0)+
IF(#REF!&gt;250,4,0)+
IF(#REF!="no",1,0)+
IF(#REF!="Heavy Domestic User",2,0)</f>
        <v>#REF!</v>
      </c>
      <c r="AG583" t="e">
        <f>IF(#REF!&gt;=10,"High Risk", IF(#REF!&gt;=5,"Medium Risk","Low Risk"))</f>
        <v>#REF!</v>
      </c>
      <c r="AH583" t="e">
        <f>#REF! + #REF! + #REF! + #REF!</f>
        <v>#REF!</v>
      </c>
    </row>
    <row r="584" spans="1:34" x14ac:dyDescent="0.35">
      <c r="A584">
        <v>583</v>
      </c>
      <c r="B584" t="s">
        <v>34</v>
      </c>
      <c r="C584">
        <v>98</v>
      </c>
      <c r="D584" t="s">
        <v>21</v>
      </c>
      <c r="E584" t="s">
        <v>22</v>
      </c>
      <c r="F584" t="s">
        <v>22</v>
      </c>
      <c r="G584">
        <v>0</v>
      </c>
      <c r="H584">
        <v>216.8</v>
      </c>
      <c r="I584">
        <v>86</v>
      </c>
      <c r="J584">
        <v>36.86</v>
      </c>
      <c r="K584">
        <v>190.8</v>
      </c>
      <c r="L584">
        <v>114</v>
      </c>
      <c r="M584">
        <v>16.22</v>
      </c>
      <c r="N584">
        <v>187.5</v>
      </c>
      <c r="O584">
        <v>79</v>
      </c>
      <c r="P584">
        <v>8.44</v>
      </c>
      <c r="Q584">
        <v>11</v>
      </c>
      <c r="R584">
        <v>9</v>
      </c>
      <c r="S584">
        <v>2.97</v>
      </c>
      <c r="T584">
        <v>0</v>
      </c>
      <c r="U584" t="s">
        <v>22</v>
      </c>
      <c r="V584" t="e">
        <f>IF(#REF! = "yes", 1, 0)</f>
        <v>#REF!</v>
      </c>
      <c r="W584" t="e">
        <f>IF(#REF! &lt;= 1, "0-1 Calls", IF(#REF! &lt;= 3, "2-3 Calls", IF(#REF! &lt;=5, "4-5 Calls", "6+ Calls")))</f>
        <v>#REF!</v>
      </c>
      <c r="X584" t="e">
        <f>IF(#REF! &lt;= 50, "0-50", IF(#REF! &lt;=100, "51-100", IF(#REF! &lt;= 150, "101-150", "151+")))</f>
        <v>#REF!</v>
      </c>
      <c r="Y584" t="e">
        <f>IF(#REF! &lt;= 3, "Low Charges", "High Charges")</f>
        <v>#REF!</v>
      </c>
      <c r="Z584" t="e">
        <f>IF(#REF!&lt;=80,"Low Calls",
IF(#REF!&lt;=120,"Medium Calls","High Calls"))</f>
        <v>#REF!</v>
      </c>
      <c r="AA584" t="e">
        <f>IF(#REF!&lt;=15,"Low Charges",
IF(#REF!&lt;=20,"Medium Charges","High Charges"))</f>
        <v>#REF!</v>
      </c>
      <c r="AB584" t="e">
        <f>IF(AND(#REF!&gt;180, #REF!&gt;200), "Heavy Doemstic User", IF(#REF!&gt;10, "Interntional User", IF(AND(#REF!&lt;180, #REF!&lt;200,#REF!&lt;200), "Light User", "Balanced User")))</f>
        <v>#REF!</v>
      </c>
      <c r="AC584" t="e">
        <f>IF(#REF! = 0, "No Usage", IF(#REF! &lt;= 20, "Low Usage", IF(#REF! &lt;= 40, "Medium Usgae", "High Usage")))</f>
        <v>#REF!</v>
      </c>
      <c r="AD584" t="e">
        <f>IF(#REF!&lt;=150,"Low Usage", IF(#REF!&lt;=200,"Medium Usage", IF(#REF!&lt;=250,"High Usage","Very High Usage")))</f>
        <v>#REF!</v>
      </c>
      <c r="AE584" t="e">
        <f>IF(#REF!&lt;=5,"Low Calls", IF(#REF!&lt;=10, "Medium Calls", "High Calls"))</f>
        <v>#REF!</v>
      </c>
      <c r="AF584" t="e">
        <f xml:space="preserve">
IF(#REF!&gt;=4,4,0)+
IF(#REF!="yes",3,0)+
IF(#REF!="High Charges",3,0)+
IF(#REF!&gt;250,4,0)+
IF(#REF!="no",1,0)+
IF(#REF!="Heavy Domestic User",2,0)</f>
        <v>#REF!</v>
      </c>
      <c r="AG584" t="e">
        <f>IF(#REF!&gt;=10,"High Risk", IF(#REF!&gt;=5,"Medium Risk","Low Risk"))</f>
        <v>#REF!</v>
      </c>
      <c r="AH584" t="e">
        <f>#REF! + #REF! + #REF! + #REF!</f>
        <v>#REF!</v>
      </c>
    </row>
    <row r="585" spans="1:34" x14ac:dyDescent="0.35">
      <c r="A585">
        <v>584</v>
      </c>
      <c r="B585" t="s">
        <v>31</v>
      </c>
      <c r="C585">
        <v>121</v>
      </c>
      <c r="D585" t="s">
        <v>21</v>
      </c>
      <c r="E585" t="s">
        <v>22</v>
      </c>
      <c r="F585" t="s">
        <v>22</v>
      </c>
      <c r="G585">
        <v>0</v>
      </c>
      <c r="H585">
        <v>103.3</v>
      </c>
      <c r="I585">
        <v>110</v>
      </c>
      <c r="J585">
        <v>17.559999999999999</v>
      </c>
      <c r="K585">
        <v>129.1</v>
      </c>
      <c r="L585">
        <v>82</v>
      </c>
      <c r="M585">
        <v>10.97</v>
      </c>
      <c r="N585">
        <v>167.1</v>
      </c>
      <c r="O585">
        <v>113</v>
      </c>
      <c r="P585">
        <v>7.52</v>
      </c>
      <c r="Q585">
        <v>10.7</v>
      </c>
      <c r="R585">
        <v>3</v>
      </c>
      <c r="S585">
        <v>2.89</v>
      </c>
      <c r="T585">
        <v>0</v>
      </c>
      <c r="U585" t="s">
        <v>22</v>
      </c>
      <c r="V585" t="e">
        <f>IF(#REF! = "yes", 1, 0)</f>
        <v>#REF!</v>
      </c>
      <c r="W585" t="e">
        <f>IF(#REF! &lt;= 1, "0-1 Calls", IF(#REF! &lt;= 3, "2-3 Calls", IF(#REF! &lt;=5, "4-5 Calls", "6+ Calls")))</f>
        <v>#REF!</v>
      </c>
      <c r="X585" t="e">
        <f>IF(#REF! &lt;= 50, "0-50", IF(#REF! &lt;=100, "51-100", IF(#REF! &lt;= 150, "101-150", "151+")))</f>
        <v>#REF!</v>
      </c>
      <c r="Y585" t="e">
        <f>IF(#REF! &lt;= 3, "Low Charges", "High Charges")</f>
        <v>#REF!</v>
      </c>
      <c r="Z585" t="e">
        <f>IF(#REF!&lt;=80,"Low Calls",
IF(#REF!&lt;=120,"Medium Calls","High Calls"))</f>
        <v>#REF!</v>
      </c>
      <c r="AA585" t="e">
        <f>IF(#REF!&lt;=15,"Low Charges",
IF(#REF!&lt;=20,"Medium Charges","High Charges"))</f>
        <v>#REF!</v>
      </c>
      <c r="AB585" t="e">
        <f>IF(AND(#REF!&gt;180, #REF!&gt;200), "Heavy Doemstic User", IF(#REF!&gt;10, "Interntional User", IF(AND(#REF!&lt;180, #REF!&lt;200,#REF!&lt;200), "Light User", "Balanced User")))</f>
        <v>#REF!</v>
      </c>
      <c r="AC585" t="e">
        <f>IF(#REF! = 0, "No Usage", IF(#REF! &lt;= 20, "Low Usage", IF(#REF! &lt;= 40, "Medium Usgae", "High Usage")))</f>
        <v>#REF!</v>
      </c>
      <c r="AD585" t="e">
        <f>IF(#REF!&lt;=150,"Low Usage", IF(#REF!&lt;=200,"Medium Usage", IF(#REF!&lt;=250,"High Usage","Very High Usage")))</f>
        <v>#REF!</v>
      </c>
      <c r="AE585" t="e">
        <f>IF(#REF!&lt;=5,"Low Calls", IF(#REF!&lt;=10, "Medium Calls", "High Calls"))</f>
        <v>#REF!</v>
      </c>
      <c r="AF585" t="e">
        <f xml:space="preserve">
IF(#REF!&gt;=4,4,0)+
IF(#REF!="yes",3,0)+
IF(#REF!="High Charges",3,0)+
IF(#REF!&gt;250,4,0)+
IF(#REF!="no",1,0)+
IF(#REF!="Heavy Domestic User",2,0)</f>
        <v>#REF!</v>
      </c>
      <c r="AG585" t="e">
        <f>IF(#REF!&gt;=10,"High Risk", IF(#REF!&gt;=5,"Medium Risk","Low Risk"))</f>
        <v>#REF!</v>
      </c>
      <c r="AH585" t="e">
        <f>#REF! + #REF! + #REF! + #REF!</f>
        <v>#REF!</v>
      </c>
    </row>
    <row r="586" spans="1:34" x14ac:dyDescent="0.35">
      <c r="A586">
        <v>585</v>
      </c>
      <c r="B586" t="s">
        <v>33</v>
      </c>
      <c r="C586">
        <v>94</v>
      </c>
      <c r="D586" t="s">
        <v>21</v>
      </c>
      <c r="E586" t="s">
        <v>22</v>
      </c>
      <c r="F586" t="s">
        <v>22</v>
      </c>
      <c r="G586">
        <v>0</v>
      </c>
      <c r="H586">
        <v>139.4</v>
      </c>
      <c r="I586">
        <v>95</v>
      </c>
      <c r="J586">
        <v>23.7</v>
      </c>
      <c r="K586">
        <v>159.1</v>
      </c>
      <c r="L586">
        <v>92</v>
      </c>
      <c r="M586">
        <v>13.52</v>
      </c>
      <c r="N586">
        <v>128.19999999999999</v>
      </c>
      <c r="O586">
        <v>129</v>
      </c>
      <c r="P586">
        <v>5.77</v>
      </c>
      <c r="Q586">
        <v>7.7</v>
      </c>
      <c r="R586">
        <v>3</v>
      </c>
      <c r="S586">
        <v>2.08</v>
      </c>
      <c r="T586">
        <v>0</v>
      </c>
      <c r="U586" t="s">
        <v>22</v>
      </c>
      <c r="V586" t="e">
        <f>IF(#REF! = "yes", 1, 0)</f>
        <v>#REF!</v>
      </c>
      <c r="W586" t="e">
        <f>IF(#REF! &lt;= 1, "0-1 Calls", IF(#REF! &lt;= 3, "2-3 Calls", IF(#REF! &lt;=5, "4-5 Calls", "6+ Calls")))</f>
        <v>#REF!</v>
      </c>
      <c r="X586" t="e">
        <f>IF(#REF! &lt;= 50, "0-50", IF(#REF! &lt;=100, "51-100", IF(#REF! &lt;= 150, "101-150", "151+")))</f>
        <v>#REF!</v>
      </c>
      <c r="Y586" t="e">
        <f>IF(#REF! &lt;= 3, "Low Charges", "High Charges")</f>
        <v>#REF!</v>
      </c>
      <c r="Z586" t="e">
        <f>IF(#REF!&lt;=80,"Low Calls",
IF(#REF!&lt;=120,"Medium Calls","High Calls"))</f>
        <v>#REF!</v>
      </c>
      <c r="AA586" t="e">
        <f>IF(#REF!&lt;=15,"Low Charges",
IF(#REF!&lt;=20,"Medium Charges","High Charges"))</f>
        <v>#REF!</v>
      </c>
      <c r="AB586" t="e">
        <f>IF(AND(#REF!&gt;180, #REF!&gt;200), "Heavy Doemstic User", IF(#REF!&gt;10, "Interntional User", IF(AND(#REF!&lt;180, #REF!&lt;200,#REF!&lt;200), "Light User", "Balanced User")))</f>
        <v>#REF!</v>
      </c>
      <c r="AC586" t="e">
        <f>IF(#REF! = 0, "No Usage", IF(#REF! &lt;= 20, "Low Usage", IF(#REF! &lt;= 40, "Medium Usgae", "High Usage")))</f>
        <v>#REF!</v>
      </c>
      <c r="AD586" t="e">
        <f>IF(#REF!&lt;=150,"Low Usage", IF(#REF!&lt;=200,"Medium Usage", IF(#REF!&lt;=250,"High Usage","Very High Usage")))</f>
        <v>#REF!</v>
      </c>
      <c r="AE586" t="e">
        <f>IF(#REF!&lt;=5,"Low Calls", IF(#REF!&lt;=10, "Medium Calls", "High Calls"))</f>
        <v>#REF!</v>
      </c>
      <c r="AF586" t="e">
        <f xml:space="preserve">
IF(#REF!&gt;=4,4,0)+
IF(#REF!="yes",3,0)+
IF(#REF!="High Charges",3,0)+
IF(#REF!&gt;250,4,0)+
IF(#REF!="no",1,0)+
IF(#REF!="Heavy Domestic User",2,0)</f>
        <v>#REF!</v>
      </c>
      <c r="AG586" t="e">
        <f>IF(#REF!&gt;=10,"High Risk", IF(#REF!&gt;=5,"Medium Risk","Low Risk"))</f>
        <v>#REF!</v>
      </c>
      <c r="AH586" t="e">
        <f>#REF! + #REF! + #REF! + #REF!</f>
        <v>#REF!</v>
      </c>
    </row>
    <row r="587" spans="1:34" x14ac:dyDescent="0.35">
      <c r="A587">
        <v>586</v>
      </c>
      <c r="B587" t="s">
        <v>70</v>
      </c>
      <c r="C587">
        <v>99</v>
      </c>
      <c r="D587" t="s">
        <v>21</v>
      </c>
      <c r="E587" t="s">
        <v>22</v>
      </c>
      <c r="F587" t="s">
        <v>22</v>
      </c>
      <c r="G587">
        <v>0</v>
      </c>
      <c r="H587">
        <v>191.2</v>
      </c>
      <c r="I587">
        <v>110</v>
      </c>
      <c r="J587">
        <v>32.5</v>
      </c>
      <c r="K587">
        <v>163.9</v>
      </c>
      <c r="L587">
        <v>102</v>
      </c>
      <c r="M587">
        <v>13.93</v>
      </c>
      <c r="N587">
        <v>243.6</v>
      </c>
      <c r="O587">
        <v>114</v>
      </c>
      <c r="P587">
        <v>10.96</v>
      </c>
      <c r="Q587">
        <v>14.1</v>
      </c>
      <c r="R587">
        <v>3</v>
      </c>
      <c r="S587">
        <v>3.81</v>
      </c>
      <c r="T587">
        <v>1</v>
      </c>
      <c r="U587" t="s">
        <v>22</v>
      </c>
      <c r="V587" t="e">
        <f>IF(#REF! = "yes", 1, 0)</f>
        <v>#REF!</v>
      </c>
      <c r="W587" t="e">
        <f>IF(#REF! &lt;= 1, "0-1 Calls", IF(#REF! &lt;= 3, "2-3 Calls", IF(#REF! &lt;=5, "4-5 Calls", "6+ Calls")))</f>
        <v>#REF!</v>
      </c>
      <c r="X587" t="e">
        <f>IF(#REF! &lt;= 50, "0-50", IF(#REF! &lt;=100, "51-100", IF(#REF! &lt;= 150, "101-150", "151+")))</f>
        <v>#REF!</v>
      </c>
      <c r="Y587" t="e">
        <f>IF(#REF! &lt;= 3, "Low Charges", "High Charges")</f>
        <v>#REF!</v>
      </c>
      <c r="Z587" t="e">
        <f>IF(#REF!&lt;=80,"Low Calls",
IF(#REF!&lt;=120,"Medium Calls","High Calls"))</f>
        <v>#REF!</v>
      </c>
      <c r="AA587" t="e">
        <f>IF(#REF!&lt;=15,"Low Charges",
IF(#REF!&lt;=20,"Medium Charges","High Charges"))</f>
        <v>#REF!</v>
      </c>
      <c r="AB587" t="e">
        <f>IF(AND(#REF!&gt;180, #REF!&gt;200), "Heavy Doemstic User", IF(#REF!&gt;10, "Interntional User", IF(AND(#REF!&lt;180, #REF!&lt;200,#REF!&lt;200), "Light User", "Balanced User")))</f>
        <v>#REF!</v>
      </c>
      <c r="AC587" t="e">
        <f>IF(#REF! = 0, "No Usage", IF(#REF! &lt;= 20, "Low Usage", IF(#REF! &lt;= 40, "Medium Usgae", "High Usage")))</f>
        <v>#REF!</v>
      </c>
      <c r="AD587" t="e">
        <f>IF(#REF!&lt;=150,"Low Usage", IF(#REF!&lt;=200,"Medium Usage", IF(#REF!&lt;=250,"High Usage","Very High Usage")))</f>
        <v>#REF!</v>
      </c>
      <c r="AE587" t="e">
        <f>IF(#REF!&lt;=5,"Low Calls", IF(#REF!&lt;=10, "Medium Calls", "High Calls"))</f>
        <v>#REF!</v>
      </c>
      <c r="AF587" t="e">
        <f xml:space="preserve">
IF(#REF!&gt;=4,4,0)+
IF(#REF!="yes",3,0)+
IF(#REF!="High Charges",3,0)+
IF(#REF!&gt;250,4,0)+
IF(#REF!="no",1,0)+
IF(#REF!="Heavy Domestic User",2,0)</f>
        <v>#REF!</v>
      </c>
      <c r="AG587" t="e">
        <f>IF(#REF!&gt;=10,"High Risk", IF(#REF!&gt;=5,"Medium Risk","Low Risk"))</f>
        <v>#REF!</v>
      </c>
      <c r="AH587" t="e">
        <f>#REF! + #REF! + #REF! + #REF!</f>
        <v>#REF!</v>
      </c>
    </row>
    <row r="588" spans="1:34" x14ac:dyDescent="0.35">
      <c r="A588">
        <v>587</v>
      </c>
      <c r="B588" t="s">
        <v>35</v>
      </c>
      <c r="C588">
        <v>163</v>
      </c>
      <c r="D588" t="s">
        <v>28</v>
      </c>
      <c r="E588" t="s">
        <v>22</v>
      </c>
      <c r="F588" t="s">
        <v>23</v>
      </c>
      <c r="G588">
        <v>23</v>
      </c>
      <c r="H588">
        <v>160</v>
      </c>
      <c r="I588">
        <v>104</v>
      </c>
      <c r="J588">
        <v>27.2</v>
      </c>
      <c r="K588">
        <v>189.4</v>
      </c>
      <c r="L588">
        <v>64</v>
      </c>
      <c r="M588">
        <v>16.100000000000001</v>
      </c>
      <c r="N588">
        <v>229.9</v>
      </c>
      <c r="O588">
        <v>118</v>
      </c>
      <c r="P588">
        <v>10.35</v>
      </c>
      <c r="Q588">
        <v>10.4</v>
      </c>
      <c r="R588">
        <v>7</v>
      </c>
      <c r="S588">
        <v>2.81</v>
      </c>
      <c r="T588">
        <v>1</v>
      </c>
      <c r="U588" t="s">
        <v>22</v>
      </c>
      <c r="V588" t="e">
        <f>IF(#REF! = "yes", 1, 0)</f>
        <v>#REF!</v>
      </c>
      <c r="W588" t="e">
        <f>IF(#REF! &lt;= 1, "0-1 Calls", IF(#REF! &lt;= 3, "2-3 Calls", IF(#REF! &lt;=5, "4-5 Calls", "6+ Calls")))</f>
        <v>#REF!</v>
      </c>
      <c r="X588" t="e">
        <f>IF(#REF! &lt;= 50, "0-50", IF(#REF! &lt;=100, "51-100", IF(#REF! &lt;= 150, "101-150", "151+")))</f>
        <v>#REF!</v>
      </c>
      <c r="Y588" t="e">
        <f>IF(#REF! &lt;= 3, "Low Charges", "High Charges")</f>
        <v>#REF!</v>
      </c>
      <c r="Z588" t="e">
        <f>IF(#REF!&lt;=80,"Low Calls",
IF(#REF!&lt;=120,"Medium Calls","High Calls"))</f>
        <v>#REF!</v>
      </c>
      <c r="AA588" t="e">
        <f>IF(#REF!&lt;=15,"Low Charges",
IF(#REF!&lt;=20,"Medium Charges","High Charges"))</f>
        <v>#REF!</v>
      </c>
      <c r="AB588" t="e">
        <f>IF(AND(#REF!&gt;180, #REF!&gt;200), "Heavy Doemstic User", IF(#REF!&gt;10, "Interntional User", IF(AND(#REF!&lt;180, #REF!&lt;200,#REF!&lt;200), "Light User", "Balanced User")))</f>
        <v>#REF!</v>
      </c>
      <c r="AC588" t="e">
        <f>IF(#REF! = 0, "No Usage", IF(#REF! &lt;= 20, "Low Usage", IF(#REF! &lt;= 40, "Medium Usgae", "High Usage")))</f>
        <v>#REF!</v>
      </c>
      <c r="AD588" t="e">
        <f>IF(#REF!&lt;=150,"Low Usage", IF(#REF!&lt;=200,"Medium Usage", IF(#REF!&lt;=250,"High Usage","Very High Usage")))</f>
        <v>#REF!</v>
      </c>
      <c r="AE588" t="e">
        <f>IF(#REF!&lt;=5,"Low Calls", IF(#REF!&lt;=10, "Medium Calls", "High Calls"))</f>
        <v>#REF!</v>
      </c>
      <c r="AF588" t="e">
        <f xml:space="preserve">
IF(#REF!&gt;=4,4,0)+
IF(#REF!="yes",3,0)+
IF(#REF!="High Charges",3,0)+
IF(#REF!&gt;250,4,0)+
IF(#REF!="no",1,0)+
IF(#REF!="Heavy Domestic User",2,0)</f>
        <v>#REF!</v>
      </c>
      <c r="AG588" t="e">
        <f>IF(#REF!&gt;=10,"High Risk", IF(#REF!&gt;=5,"Medium Risk","Low Risk"))</f>
        <v>#REF!</v>
      </c>
      <c r="AH588" t="e">
        <f>#REF! + #REF! + #REF! + #REF!</f>
        <v>#REF!</v>
      </c>
    </row>
    <row r="589" spans="1:34" x14ac:dyDescent="0.35">
      <c r="A589">
        <v>588</v>
      </c>
      <c r="B589" t="s">
        <v>29</v>
      </c>
      <c r="C589">
        <v>161</v>
      </c>
      <c r="D589" t="s">
        <v>28</v>
      </c>
      <c r="E589" t="s">
        <v>22</v>
      </c>
      <c r="F589" t="s">
        <v>22</v>
      </c>
      <c r="G589">
        <v>0</v>
      </c>
      <c r="H589">
        <v>221.7</v>
      </c>
      <c r="I589">
        <v>95</v>
      </c>
      <c r="J589">
        <v>37.69</v>
      </c>
      <c r="K589">
        <v>193</v>
      </c>
      <c r="L589">
        <v>82</v>
      </c>
      <c r="M589">
        <v>16.41</v>
      </c>
      <c r="N589">
        <v>194.1</v>
      </c>
      <c r="O589">
        <v>113</v>
      </c>
      <c r="P589">
        <v>8.73</v>
      </c>
      <c r="Q589">
        <v>6.5</v>
      </c>
      <c r="R589">
        <v>4</v>
      </c>
      <c r="S589">
        <v>1.76</v>
      </c>
      <c r="T589">
        <v>3</v>
      </c>
      <c r="U589" t="s">
        <v>22</v>
      </c>
      <c r="V589" t="e">
        <f>IF(#REF! = "yes", 1, 0)</f>
        <v>#REF!</v>
      </c>
      <c r="W589" t="e">
        <f>IF(#REF! &lt;= 1, "0-1 Calls", IF(#REF! &lt;= 3, "2-3 Calls", IF(#REF! &lt;=5, "4-5 Calls", "6+ Calls")))</f>
        <v>#REF!</v>
      </c>
      <c r="X589" t="e">
        <f>IF(#REF! &lt;= 50, "0-50", IF(#REF! &lt;=100, "51-100", IF(#REF! &lt;= 150, "101-150", "151+")))</f>
        <v>#REF!</v>
      </c>
      <c r="Y589" t="e">
        <f>IF(#REF! &lt;= 3, "Low Charges", "High Charges")</f>
        <v>#REF!</v>
      </c>
      <c r="Z589" t="e">
        <f>IF(#REF!&lt;=80,"Low Calls",
IF(#REF!&lt;=120,"Medium Calls","High Calls"))</f>
        <v>#REF!</v>
      </c>
      <c r="AA589" t="e">
        <f>IF(#REF!&lt;=15,"Low Charges",
IF(#REF!&lt;=20,"Medium Charges","High Charges"))</f>
        <v>#REF!</v>
      </c>
      <c r="AB589" t="e">
        <f>IF(AND(#REF!&gt;180, #REF!&gt;200), "Heavy Doemstic User", IF(#REF!&gt;10, "Interntional User", IF(AND(#REF!&lt;180, #REF!&lt;200,#REF!&lt;200), "Light User", "Balanced User")))</f>
        <v>#REF!</v>
      </c>
      <c r="AC589" t="e">
        <f>IF(#REF! = 0, "No Usage", IF(#REF! &lt;= 20, "Low Usage", IF(#REF! &lt;= 40, "Medium Usgae", "High Usage")))</f>
        <v>#REF!</v>
      </c>
      <c r="AD589" t="e">
        <f>IF(#REF!&lt;=150,"Low Usage", IF(#REF!&lt;=200,"Medium Usage", IF(#REF!&lt;=250,"High Usage","Very High Usage")))</f>
        <v>#REF!</v>
      </c>
      <c r="AE589" t="e">
        <f>IF(#REF!&lt;=5,"Low Calls", IF(#REF!&lt;=10, "Medium Calls", "High Calls"))</f>
        <v>#REF!</v>
      </c>
      <c r="AF589" t="e">
        <f xml:space="preserve">
IF(#REF!&gt;=4,4,0)+
IF(#REF!="yes",3,0)+
IF(#REF!="High Charges",3,0)+
IF(#REF!&gt;250,4,0)+
IF(#REF!="no",1,0)+
IF(#REF!="Heavy Domestic User",2,0)</f>
        <v>#REF!</v>
      </c>
      <c r="AG589" t="e">
        <f>IF(#REF!&gt;=10,"High Risk", IF(#REF!&gt;=5,"Medium Risk","Low Risk"))</f>
        <v>#REF!</v>
      </c>
      <c r="AH589" t="e">
        <f>#REF! + #REF! + #REF! + #REF!</f>
        <v>#REF!</v>
      </c>
    </row>
    <row r="590" spans="1:34" x14ac:dyDescent="0.35">
      <c r="A590">
        <v>589</v>
      </c>
      <c r="B590" t="s">
        <v>41</v>
      </c>
      <c r="C590">
        <v>108</v>
      </c>
      <c r="D590" t="s">
        <v>21</v>
      </c>
      <c r="E590" t="s">
        <v>22</v>
      </c>
      <c r="F590" t="s">
        <v>22</v>
      </c>
      <c r="G590">
        <v>0</v>
      </c>
      <c r="H590">
        <v>215.6</v>
      </c>
      <c r="I590">
        <v>78</v>
      </c>
      <c r="J590">
        <v>36.65</v>
      </c>
      <c r="K590">
        <v>195.3</v>
      </c>
      <c r="L590">
        <v>119</v>
      </c>
      <c r="M590">
        <v>16.600000000000001</v>
      </c>
      <c r="N590">
        <v>194.4</v>
      </c>
      <c r="O590">
        <v>65</v>
      </c>
      <c r="P590">
        <v>8.75</v>
      </c>
      <c r="Q590">
        <v>3.6</v>
      </c>
      <c r="R590">
        <v>5</v>
      </c>
      <c r="S590">
        <v>0.97</v>
      </c>
      <c r="T590">
        <v>1</v>
      </c>
      <c r="U590" t="s">
        <v>22</v>
      </c>
      <c r="V590" t="e">
        <f>IF(#REF! = "yes", 1, 0)</f>
        <v>#REF!</v>
      </c>
      <c r="W590" t="e">
        <f>IF(#REF! &lt;= 1, "0-1 Calls", IF(#REF! &lt;= 3, "2-3 Calls", IF(#REF! &lt;=5, "4-5 Calls", "6+ Calls")))</f>
        <v>#REF!</v>
      </c>
      <c r="X590" t="e">
        <f>IF(#REF! &lt;= 50, "0-50", IF(#REF! &lt;=100, "51-100", IF(#REF! &lt;= 150, "101-150", "151+")))</f>
        <v>#REF!</v>
      </c>
      <c r="Y590" t="e">
        <f>IF(#REF! &lt;= 3, "Low Charges", "High Charges")</f>
        <v>#REF!</v>
      </c>
      <c r="Z590" t="e">
        <f>IF(#REF!&lt;=80,"Low Calls",
IF(#REF!&lt;=120,"Medium Calls","High Calls"))</f>
        <v>#REF!</v>
      </c>
      <c r="AA590" t="e">
        <f>IF(#REF!&lt;=15,"Low Charges",
IF(#REF!&lt;=20,"Medium Charges","High Charges"))</f>
        <v>#REF!</v>
      </c>
      <c r="AB590" t="e">
        <f>IF(AND(#REF!&gt;180, #REF!&gt;200), "Heavy Doemstic User", IF(#REF!&gt;10, "Interntional User", IF(AND(#REF!&lt;180, #REF!&lt;200,#REF!&lt;200), "Light User", "Balanced User")))</f>
        <v>#REF!</v>
      </c>
      <c r="AC590" t="e">
        <f>IF(#REF! = 0, "No Usage", IF(#REF! &lt;= 20, "Low Usage", IF(#REF! &lt;= 40, "Medium Usgae", "High Usage")))</f>
        <v>#REF!</v>
      </c>
      <c r="AD590" t="e">
        <f>IF(#REF!&lt;=150,"Low Usage", IF(#REF!&lt;=200,"Medium Usage", IF(#REF!&lt;=250,"High Usage","Very High Usage")))</f>
        <v>#REF!</v>
      </c>
      <c r="AE590" t="e">
        <f>IF(#REF!&lt;=5,"Low Calls", IF(#REF!&lt;=10, "Medium Calls", "High Calls"))</f>
        <v>#REF!</v>
      </c>
      <c r="AF590" t="e">
        <f xml:space="preserve">
IF(#REF!&gt;=4,4,0)+
IF(#REF!="yes",3,0)+
IF(#REF!="High Charges",3,0)+
IF(#REF!&gt;250,4,0)+
IF(#REF!="no",1,0)+
IF(#REF!="Heavy Domestic User",2,0)</f>
        <v>#REF!</v>
      </c>
      <c r="AG590" t="e">
        <f>IF(#REF!&gt;=10,"High Risk", IF(#REF!&gt;=5,"Medium Risk","Low Risk"))</f>
        <v>#REF!</v>
      </c>
      <c r="AH590" t="e">
        <f>#REF! + #REF! + #REF! + #REF!</f>
        <v>#REF!</v>
      </c>
    </row>
    <row r="591" spans="1:34" x14ac:dyDescent="0.35">
      <c r="A591">
        <v>590</v>
      </c>
      <c r="B591" t="s">
        <v>74</v>
      </c>
      <c r="C591">
        <v>84</v>
      </c>
      <c r="D591" t="s">
        <v>28</v>
      </c>
      <c r="E591" t="s">
        <v>22</v>
      </c>
      <c r="F591" t="s">
        <v>23</v>
      </c>
      <c r="G591">
        <v>42</v>
      </c>
      <c r="H591">
        <v>165.3</v>
      </c>
      <c r="I591">
        <v>97</v>
      </c>
      <c r="J591">
        <v>28.1</v>
      </c>
      <c r="K591">
        <v>223.5</v>
      </c>
      <c r="L591">
        <v>118</v>
      </c>
      <c r="M591">
        <v>19</v>
      </c>
      <c r="N591">
        <v>260.8</v>
      </c>
      <c r="O591">
        <v>72</v>
      </c>
      <c r="P591">
        <v>11.74</v>
      </c>
      <c r="Q591">
        <v>7.6</v>
      </c>
      <c r="R591">
        <v>7</v>
      </c>
      <c r="S591">
        <v>2.0499999999999998</v>
      </c>
      <c r="T591">
        <v>3</v>
      </c>
      <c r="U591" t="s">
        <v>22</v>
      </c>
      <c r="V591" t="e">
        <f>IF(#REF! = "yes", 1, 0)</f>
        <v>#REF!</v>
      </c>
      <c r="W591" t="e">
        <f>IF(#REF! &lt;= 1, "0-1 Calls", IF(#REF! &lt;= 3, "2-3 Calls", IF(#REF! &lt;=5, "4-5 Calls", "6+ Calls")))</f>
        <v>#REF!</v>
      </c>
      <c r="X591" t="e">
        <f>IF(#REF! &lt;= 50, "0-50", IF(#REF! &lt;=100, "51-100", IF(#REF! &lt;= 150, "101-150", "151+")))</f>
        <v>#REF!</v>
      </c>
      <c r="Y591" t="e">
        <f>IF(#REF! &lt;= 3, "Low Charges", "High Charges")</f>
        <v>#REF!</v>
      </c>
      <c r="Z591" t="e">
        <f>IF(#REF!&lt;=80,"Low Calls",
IF(#REF!&lt;=120,"Medium Calls","High Calls"))</f>
        <v>#REF!</v>
      </c>
      <c r="AA591" t="e">
        <f>IF(#REF!&lt;=15,"Low Charges",
IF(#REF!&lt;=20,"Medium Charges","High Charges"))</f>
        <v>#REF!</v>
      </c>
      <c r="AB591" t="e">
        <f>IF(AND(#REF!&gt;180, #REF!&gt;200), "Heavy Doemstic User", IF(#REF!&gt;10, "Interntional User", IF(AND(#REF!&lt;180, #REF!&lt;200,#REF!&lt;200), "Light User", "Balanced User")))</f>
        <v>#REF!</v>
      </c>
      <c r="AC591" t="e">
        <f>IF(#REF! = 0, "No Usage", IF(#REF! &lt;= 20, "Low Usage", IF(#REF! &lt;= 40, "Medium Usgae", "High Usage")))</f>
        <v>#REF!</v>
      </c>
      <c r="AD591" t="e">
        <f>IF(#REF!&lt;=150,"Low Usage", IF(#REF!&lt;=200,"Medium Usage", IF(#REF!&lt;=250,"High Usage","Very High Usage")))</f>
        <v>#REF!</v>
      </c>
      <c r="AE591" t="e">
        <f>IF(#REF!&lt;=5,"Low Calls", IF(#REF!&lt;=10, "Medium Calls", "High Calls"))</f>
        <v>#REF!</v>
      </c>
      <c r="AF591" t="e">
        <f xml:space="preserve">
IF(#REF!&gt;=4,4,0)+
IF(#REF!="yes",3,0)+
IF(#REF!="High Charges",3,0)+
IF(#REF!&gt;250,4,0)+
IF(#REF!="no",1,0)+
IF(#REF!="Heavy Domestic User",2,0)</f>
        <v>#REF!</v>
      </c>
      <c r="AG591" t="e">
        <f>IF(#REF!&gt;=10,"High Risk", IF(#REF!&gt;=5,"Medium Risk","Low Risk"))</f>
        <v>#REF!</v>
      </c>
      <c r="AH591" t="e">
        <f>#REF! + #REF! + #REF! + #REF!</f>
        <v>#REF!</v>
      </c>
    </row>
    <row r="592" spans="1:34" x14ac:dyDescent="0.35">
      <c r="A592">
        <v>591</v>
      </c>
      <c r="B592" t="s">
        <v>37</v>
      </c>
      <c r="C592">
        <v>83</v>
      </c>
      <c r="D592" t="s">
        <v>21</v>
      </c>
      <c r="E592" t="s">
        <v>23</v>
      </c>
      <c r="F592" t="s">
        <v>23</v>
      </c>
      <c r="G592">
        <v>32</v>
      </c>
      <c r="H592">
        <v>94.7</v>
      </c>
      <c r="I592">
        <v>111</v>
      </c>
      <c r="J592">
        <v>16.100000000000001</v>
      </c>
      <c r="K592">
        <v>154.4</v>
      </c>
      <c r="L592">
        <v>98</v>
      </c>
      <c r="M592">
        <v>13.12</v>
      </c>
      <c r="N592">
        <v>200.4</v>
      </c>
      <c r="O592">
        <v>109</v>
      </c>
      <c r="P592">
        <v>9.02</v>
      </c>
      <c r="Q592">
        <v>10.6</v>
      </c>
      <c r="R592">
        <v>6</v>
      </c>
      <c r="S592">
        <v>2.86</v>
      </c>
      <c r="T592">
        <v>2</v>
      </c>
      <c r="U592" t="s">
        <v>22</v>
      </c>
      <c r="V592" t="e">
        <f>IF(#REF! = "yes", 1, 0)</f>
        <v>#REF!</v>
      </c>
      <c r="W592" t="e">
        <f>IF(#REF! &lt;= 1, "0-1 Calls", IF(#REF! &lt;= 3, "2-3 Calls", IF(#REF! &lt;=5, "4-5 Calls", "6+ Calls")))</f>
        <v>#REF!</v>
      </c>
      <c r="X592" t="e">
        <f>IF(#REF! &lt;= 50, "0-50", IF(#REF! &lt;=100, "51-100", IF(#REF! &lt;= 150, "101-150", "151+")))</f>
        <v>#REF!</v>
      </c>
      <c r="Y592" t="e">
        <f>IF(#REF! &lt;= 3, "Low Charges", "High Charges")</f>
        <v>#REF!</v>
      </c>
      <c r="Z592" t="e">
        <f>IF(#REF!&lt;=80,"Low Calls",
IF(#REF!&lt;=120,"Medium Calls","High Calls"))</f>
        <v>#REF!</v>
      </c>
      <c r="AA592" t="e">
        <f>IF(#REF!&lt;=15,"Low Charges",
IF(#REF!&lt;=20,"Medium Charges","High Charges"))</f>
        <v>#REF!</v>
      </c>
      <c r="AB592" t="e">
        <f>IF(AND(#REF!&gt;180, #REF!&gt;200), "Heavy Doemstic User", IF(#REF!&gt;10, "Interntional User", IF(AND(#REF!&lt;180, #REF!&lt;200,#REF!&lt;200), "Light User", "Balanced User")))</f>
        <v>#REF!</v>
      </c>
      <c r="AC592" t="e">
        <f>IF(#REF! = 0, "No Usage", IF(#REF! &lt;= 20, "Low Usage", IF(#REF! &lt;= 40, "Medium Usgae", "High Usage")))</f>
        <v>#REF!</v>
      </c>
      <c r="AD592" t="e">
        <f>IF(#REF!&lt;=150,"Low Usage", IF(#REF!&lt;=200,"Medium Usage", IF(#REF!&lt;=250,"High Usage","Very High Usage")))</f>
        <v>#REF!</v>
      </c>
      <c r="AE592" t="e">
        <f>IF(#REF!&lt;=5,"Low Calls", IF(#REF!&lt;=10, "Medium Calls", "High Calls"))</f>
        <v>#REF!</v>
      </c>
      <c r="AF592" t="e">
        <f xml:space="preserve">
IF(#REF!&gt;=4,4,0)+
IF(#REF!="yes",3,0)+
IF(#REF!="High Charges",3,0)+
IF(#REF!&gt;250,4,0)+
IF(#REF!="no",1,0)+
IF(#REF!="Heavy Domestic User",2,0)</f>
        <v>#REF!</v>
      </c>
      <c r="AG592" t="e">
        <f>IF(#REF!&gt;=10,"High Risk", IF(#REF!&gt;=5,"Medium Risk","Low Risk"))</f>
        <v>#REF!</v>
      </c>
      <c r="AH592" t="e">
        <f>#REF! + #REF! + #REF! + #REF!</f>
        <v>#REF!</v>
      </c>
    </row>
    <row r="593" spans="1:34" x14ac:dyDescent="0.35">
      <c r="A593">
        <v>592</v>
      </c>
      <c r="B593" t="s">
        <v>63</v>
      </c>
      <c r="C593">
        <v>139</v>
      </c>
      <c r="D593" t="s">
        <v>28</v>
      </c>
      <c r="E593" t="s">
        <v>22</v>
      </c>
      <c r="F593" t="s">
        <v>22</v>
      </c>
      <c r="G593">
        <v>0</v>
      </c>
      <c r="H593">
        <v>203.2</v>
      </c>
      <c r="I593">
        <v>81</v>
      </c>
      <c r="J593">
        <v>34.54</v>
      </c>
      <c r="K593">
        <v>152.5</v>
      </c>
      <c r="L593">
        <v>99</v>
      </c>
      <c r="M593">
        <v>12.96</v>
      </c>
      <c r="N593">
        <v>197.8</v>
      </c>
      <c r="O593">
        <v>76</v>
      </c>
      <c r="P593">
        <v>8.9</v>
      </c>
      <c r="Q593">
        <v>9.6999999999999993</v>
      </c>
      <c r="R593">
        <v>3</v>
      </c>
      <c r="S593">
        <v>2.62</v>
      </c>
      <c r="T593">
        <v>2</v>
      </c>
      <c r="U593" t="s">
        <v>22</v>
      </c>
      <c r="V593" t="e">
        <f>IF(#REF! = "yes", 1, 0)</f>
        <v>#REF!</v>
      </c>
      <c r="W593" t="e">
        <f>IF(#REF! &lt;= 1, "0-1 Calls", IF(#REF! &lt;= 3, "2-3 Calls", IF(#REF! &lt;=5, "4-5 Calls", "6+ Calls")))</f>
        <v>#REF!</v>
      </c>
      <c r="X593" t="e">
        <f>IF(#REF! &lt;= 50, "0-50", IF(#REF! &lt;=100, "51-100", IF(#REF! &lt;= 150, "101-150", "151+")))</f>
        <v>#REF!</v>
      </c>
      <c r="Y593" t="e">
        <f>IF(#REF! &lt;= 3, "Low Charges", "High Charges")</f>
        <v>#REF!</v>
      </c>
      <c r="Z593" t="e">
        <f>IF(#REF!&lt;=80,"Low Calls",
IF(#REF!&lt;=120,"Medium Calls","High Calls"))</f>
        <v>#REF!</v>
      </c>
      <c r="AA593" t="e">
        <f>IF(#REF!&lt;=15,"Low Charges",
IF(#REF!&lt;=20,"Medium Charges","High Charges"))</f>
        <v>#REF!</v>
      </c>
      <c r="AB593" t="e">
        <f>IF(AND(#REF!&gt;180, #REF!&gt;200), "Heavy Doemstic User", IF(#REF!&gt;10, "Interntional User", IF(AND(#REF!&lt;180, #REF!&lt;200,#REF!&lt;200), "Light User", "Balanced User")))</f>
        <v>#REF!</v>
      </c>
      <c r="AC593" t="e">
        <f>IF(#REF! = 0, "No Usage", IF(#REF! &lt;= 20, "Low Usage", IF(#REF! &lt;= 40, "Medium Usgae", "High Usage")))</f>
        <v>#REF!</v>
      </c>
      <c r="AD593" t="e">
        <f>IF(#REF!&lt;=150,"Low Usage", IF(#REF!&lt;=200,"Medium Usage", IF(#REF!&lt;=250,"High Usage","Very High Usage")))</f>
        <v>#REF!</v>
      </c>
      <c r="AE593" t="e">
        <f>IF(#REF!&lt;=5,"Low Calls", IF(#REF!&lt;=10, "Medium Calls", "High Calls"))</f>
        <v>#REF!</v>
      </c>
      <c r="AF593" t="e">
        <f xml:space="preserve">
IF(#REF!&gt;=4,4,0)+
IF(#REF!="yes",3,0)+
IF(#REF!="High Charges",3,0)+
IF(#REF!&gt;250,4,0)+
IF(#REF!="no",1,0)+
IF(#REF!="Heavy Domestic User",2,0)</f>
        <v>#REF!</v>
      </c>
      <c r="AG593" t="e">
        <f>IF(#REF!&gt;=10,"High Risk", IF(#REF!&gt;=5,"Medium Risk","Low Risk"))</f>
        <v>#REF!</v>
      </c>
      <c r="AH593" t="e">
        <f>#REF! + #REF! + #REF! + #REF!</f>
        <v>#REF!</v>
      </c>
    </row>
    <row r="594" spans="1:34" x14ac:dyDescent="0.35">
      <c r="A594">
        <v>593</v>
      </c>
      <c r="B594" t="s">
        <v>71</v>
      </c>
      <c r="C594">
        <v>69</v>
      </c>
      <c r="D594" t="s">
        <v>28</v>
      </c>
      <c r="E594" t="s">
        <v>22</v>
      </c>
      <c r="F594" t="s">
        <v>22</v>
      </c>
      <c r="G594">
        <v>0</v>
      </c>
      <c r="H594">
        <v>195.3</v>
      </c>
      <c r="I594">
        <v>70</v>
      </c>
      <c r="J594">
        <v>33.200000000000003</v>
      </c>
      <c r="K594">
        <v>216.7</v>
      </c>
      <c r="L594">
        <v>108</v>
      </c>
      <c r="M594">
        <v>18.420000000000002</v>
      </c>
      <c r="N594">
        <v>259.89999999999998</v>
      </c>
      <c r="O594">
        <v>119</v>
      </c>
      <c r="P594">
        <v>11.7</v>
      </c>
      <c r="Q594">
        <v>12.5</v>
      </c>
      <c r="R594">
        <v>4</v>
      </c>
      <c r="S594">
        <v>3.38</v>
      </c>
      <c r="T594">
        <v>3</v>
      </c>
      <c r="U594" t="s">
        <v>22</v>
      </c>
      <c r="V594" t="e">
        <f>IF(#REF! = "yes", 1, 0)</f>
        <v>#REF!</v>
      </c>
      <c r="W594" t="e">
        <f>IF(#REF! &lt;= 1, "0-1 Calls", IF(#REF! &lt;= 3, "2-3 Calls", IF(#REF! &lt;=5, "4-5 Calls", "6+ Calls")))</f>
        <v>#REF!</v>
      </c>
      <c r="X594" t="e">
        <f>IF(#REF! &lt;= 50, "0-50", IF(#REF! &lt;=100, "51-100", IF(#REF! &lt;= 150, "101-150", "151+")))</f>
        <v>#REF!</v>
      </c>
      <c r="Y594" t="e">
        <f>IF(#REF! &lt;= 3, "Low Charges", "High Charges")</f>
        <v>#REF!</v>
      </c>
      <c r="Z594" t="e">
        <f>IF(#REF!&lt;=80,"Low Calls",
IF(#REF!&lt;=120,"Medium Calls","High Calls"))</f>
        <v>#REF!</v>
      </c>
      <c r="AA594" t="e">
        <f>IF(#REF!&lt;=15,"Low Charges",
IF(#REF!&lt;=20,"Medium Charges","High Charges"))</f>
        <v>#REF!</v>
      </c>
      <c r="AB594" t="e">
        <f>IF(AND(#REF!&gt;180, #REF!&gt;200), "Heavy Doemstic User", IF(#REF!&gt;10, "Interntional User", IF(AND(#REF!&lt;180, #REF!&lt;200,#REF!&lt;200), "Light User", "Balanced User")))</f>
        <v>#REF!</v>
      </c>
      <c r="AC594" t="e">
        <f>IF(#REF! = 0, "No Usage", IF(#REF! &lt;= 20, "Low Usage", IF(#REF! &lt;= 40, "Medium Usgae", "High Usage")))</f>
        <v>#REF!</v>
      </c>
      <c r="AD594" t="e">
        <f>IF(#REF!&lt;=150,"Low Usage", IF(#REF!&lt;=200,"Medium Usage", IF(#REF!&lt;=250,"High Usage","Very High Usage")))</f>
        <v>#REF!</v>
      </c>
      <c r="AE594" t="e">
        <f>IF(#REF!&lt;=5,"Low Calls", IF(#REF!&lt;=10, "Medium Calls", "High Calls"))</f>
        <v>#REF!</v>
      </c>
      <c r="AF594" t="e">
        <f xml:space="preserve">
IF(#REF!&gt;=4,4,0)+
IF(#REF!="yes",3,0)+
IF(#REF!="High Charges",3,0)+
IF(#REF!&gt;250,4,0)+
IF(#REF!="no",1,0)+
IF(#REF!="Heavy Domestic User",2,0)</f>
        <v>#REF!</v>
      </c>
      <c r="AG594" t="e">
        <f>IF(#REF!&gt;=10,"High Risk", IF(#REF!&gt;=5,"Medium Risk","Low Risk"))</f>
        <v>#REF!</v>
      </c>
      <c r="AH594" t="e">
        <f>#REF! + #REF! + #REF! + #REF!</f>
        <v>#REF!</v>
      </c>
    </row>
    <row r="595" spans="1:34" x14ac:dyDescent="0.35">
      <c r="A595">
        <v>594</v>
      </c>
      <c r="B595" t="s">
        <v>29</v>
      </c>
      <c r="C595">
        <v>106</v>
      </c>
      <c r="D595" t="s">
        <v>21</v>
      </c>
      <c r="E595" t="s">
        <v>22</v>
      </c>
      <c r="F595" t="s">
        <v>22</v>
      </c>
      <c r="G595">
        <v>0</v>
      </c>
      <c r="H595">
        <v>114.4</v>
      </c>
      <c r="I595">
        <v>104</v>
      </c>
      <c r="J595">
        <v>19.45</v>
      </c>
      <c r="K595">
        <v>78.3</v>
      </c>
      <c r="L595">
        <v>101</v>
      </c>
      <c r="M595">
        <v>6.66</v>
      </c>
      <c r="N595">
        <v>232.7</v>
      </c>
      <c r="O595">
        <v>78</v>
      </c>
      <c r="P595">
        <v>10.47</v>
      </c>
      <c r="Q595">
        <v>0</v>
      </c>
      <c r="R595">
        <v>0</v>
      </c>
      <c r="S595">
        <v>0</v>
      </c>
      <c r="T595">
        <v>2</v>
      </c>
      <c r="U595" t="s">
        <v>22</v>
      </c>
      <c r="V595" t="e">
        <f>IF(#REF! = "yes", 1, 0)</f>
        <v>#REF!</v>
      </c>
      <c r="W595" t="e">
        <f>IF(#REF! &lt;= 1, "0-1 Calls", IF(#REF! &lt;= 3, "2-3 Calls", IF(#REF! &lt;=5, "4-5 Calls", "6+ Calls")))</f>
        <v>#REF!</v>
      </c>
      <c r="X595" t="e">
        <f>IF(#REF! &lt;= 50, "0-50", IF(#REF! &lt;=100, "51-100", IF(#REF! &lt;= 150, "101-150", "151+")))</f>
        <v>#REF!</v>
      </c>
      <c r="Y595" t="e">
        <f>IF(#REF! &lt;= 3, "Low Charges", "High Charges")</f>
        <v>#REF!</v>
      </c>
      <c r="Z595" t="e">
        <f>IF(#REF!&lt;=80,"Low Calls",
IF(#REF!&lt;=120,"Medium Calls","High Calls"))</f>
        <v>#REF!</v>
      </c>
      <c r="AA595" t="e">
        <f>IF(#REF!&lt;=15,"Low Charges",
IF(#REF!&lt;=20,"Medium Charges","High Charges"))</f>
        <v>#REF!</v>
      </c>
      <c r="AB595" t="e">
        <f>IF(AND(#REF!&gt;180, #REF!&gt;200), "Heavy Doemstic User", IF(#REF!&gt;10, "Interntional User", IF(AND(#REF!&lt;180, #REF!&lt;200,#REF!&lt;200), "Light User", "Balanced User")))</f>
        <v>#REF!</v>
      </c>
      <c r="AC595" t="e">
        <f>IF(#REF! = 0, "No Usage", IF(#REF! &lt;= 20, "Low Usage", IF(#REF! &lt;= 40, "Medium Usgae", "High Usage")))</f>
        <v>#REF!</v>
      </c>
      <c r="AD595" t="e">
        <f>IF(#REF!&lt;=150,"Low Usage", IF(#REF!&lt;=200,"Medium Usage", IF(#REF!&lt;=250,"High Usage","Very High Usage")))</f>
        <v>#REF!</v>
      </c>
      <c r="AE595" t="e">
        <f>IF(#REF!&lt;=5,"Low Calls", IF(#REF!&lt;=10, "Medium Calls", "High Calls"))</f>
        <v>#REF!</v>
      </c>
      <c r="AF595" t="e">
        <f xml:space="preserve">
IF(#REF!&gt;=4,4,0)+
IF(#REF!="yes",3,0)+
IF(#REF!="High Charges",3,0)+
IF(#REF!&gt;250,4,0)+
IF(#REF!="no",1,0)+
IF(#REF!="Heavy Domestic User",2,0)</f>
        <v>#REF!</v>
      </c>
      <c r="AG595" t="e">
        <f>IF(#REF!&gt;=10,"High Risk", IF(#REF!&gt;=5,"Medium Risk","Low Risk"))</f>
        <v>#REF!</v>
      </c>
      <c r="AH595" t="e">
        <f>#REF! + #REF! + #REF! + #REF!</f>
        <v>#REF!</v>
      </c>
    </row>
    <row r="596" spans="1:34" x14ac:dyDescent="0.35">
      <c r="A596">
        <v>595</v>
      </c>
      <c r="B596" t="s">
        <v>38</v>
      </c>
      <c r="C596">
        <v>158</v>
      </c>
      <c r="D596" t="s">
        <v>21</v>
      </c>
      <c r="E596" t="s">
        <v>22</v>
      </c>
      <c r="F596" t="s">
        <v>22</v>
      </c>
      <c r="G596">
        <v>0</v>
      </c>
      <c r="H596">
        <v>222.8</v>
      </c>
      <c r="I596">
        <v>101</v>
      </c>
      <c r="J596">
        <v>37.880000000000003</v>
      </c>
      <c r="K596">
        <v>203</v>
      </c>
      <c r="L596">
        <v>128</v>
      </c>
      <c r="M596">
        <v>17.260000000000002</v>
      </c>
      <c r="N596">
        <v>210.6</v>
      </c>
      <c r="O596">
        <v>106</v>
      </c>
      <c r="P596">
        <v>9.48</v>
      </c>
      <c r="Q596">
        <v>6.9</v>
      </c>
      <c r="R596">
        <v>2</v>
      </c>
      <c r="S596">
        <v>1.86</v>
      </c>
      <c r="T596">
        <v>2</v>
      </c>
      <c r="U596" t="s">
        <v>22</v>
      </c>
      <c r="V596" t="e">
        <f>IF(#REF! = "yes", 1, 0)</f>
        <v>#REF!</v>
      </c>
      <c r="W596" t="e">
        <f>IF(#REF! &lt;= 1, "0-1 Calls", IF(#REF! &lt;= 3, "2-3 Calls", IF(#REF! &lt;=5, "4-5 Calls", "6+ Calls")))</f>
        <v>#REF!</v>
      </c>
      <c r="X596" t="e">
        <f>IF(#REF! &lt;= 50, "0-50", IF(#REF! &lt;=100, "51-100", IF(#REF! &lt;= 150, "101-150", "151+")))</f>
        <v>#REF!</v>
      </c>
      <c r="Y596" t="e">
        <f>IF(#REF! &lt;= 3, "Low Charges", "High Charges")</f>
        <v>#REF!</v>
      </c>
      <c r="Z596" t="e">
        <f>IF(#REF!&lt;=80,"Low Calls",
IF(#REF!&lt;=120,"Medium Calls","High Calls"))</f>
        <v>#REF!</v>
      </c>
      <c r="AA596" t="e">
        <f>IF(#REF!&lt;=15,"Low Charges",
IF(#REF!&lt;=20,"Medium Charges","High Charges"))</f>
        <v>#REF!</v>
      </c>
      <c r="AB596" t="e">
        <f>IF(AND(#REF!&gt;180, #REF!&gt;200), "Heavy Doemstic User", IF(#REF!&gt;10, "Interntional User", IF(AND(#REF!&lt;180, #REF!&lt;200,#REF!&lt;200), "Light User", "Balanced User")))</f>
        <v>#REF!</v>
      </c>
      <c r="AC596" t="e">
        <f>IF(#REF! = 0, "No Usage", IF(#REF! &lt;= 20, "Low Usage", IF(#REF! &lt;= 40, "Medium Usgae", "High Usage")))</f>
        <v>#REF!</v>
      </c>
      <c r="AD596" t="e">
        <f>IF(#REF!&lt;=150,"Low Usage", IF(#REF!&lt;=200,"Medium Usage", IF(#REF!&lt;=250,"High Usage","Very High Usage")))</f>
        <v>#REF!</v>
      </c>
      <c r="AE596" t="e">
        <f>IF(#REF!&lt;=5,"Low Calls", IF(#REF!&lt;=10, "Medium Calls", "High Calls"))</f>
        <v>#REF!</v>
      </c>
      <c r="AF596" t="e">
        <f xml:space="preserve">
IF(#REF!&gt;=4,4,0)+
IF(#REF!="yes",3,0)+
IF(#REF!="High Charges",3,0)+
IF(#REF!&gt;250,4,0)+
IF(#REF!="no",1,0)+
IF(#REF!="Heavy Domestic User",2,0)</f>
        <v>#REF!</v>
      </c>
      <c r="AG596" t="e">
        <f>IF(#REF!&gt;=10,"High Risk", IF(#REF!&gt;=5,"Medium Risk","Low Risk"))</f>
        <v>#REF!</v>
      </c>
      <c r="AH596" t="e">
        <f>#REF! + #REF! + #REF! + #REF!</f>
        <v>#REF!</v>
      </c>
    </row>
    <row r="597" spans="1:34" x14ac:dyDescent="0.35">
      <c r="A597">
        <v>596</v>
      </c>
      <c r="B597" t="s">
        <v>57</v>
      </c>
      <c r="C597">
        <v>168</v>
      </c>
      <c r="D597" t="s">
        <v>21</v>
      </c>
      <c r="E597" t="s">
        <v>22</v>
      </c>
      <c r="F597" t="s">
        <v>23</v>
      </c>
      <c r="G597">
        <v>22</v>
      </c>
      <c r="H597">
        <v>175.9</v>
      </c>
      <c r="I597">
        <v>70</v>
      </c>
      <c r="J597">
        <v>29.9</v>
      </c>
      <c r="K597">
        <v>211.7</v>
      </c>
      <c r="L597">
        <v>105</v>
      </c>
      <c r="M597">
        <v>17.989999999999998</v>
      </c>
      <c r="N597">
        <v>174.5</v>
      </c>
      <c r="O597">
        <v>81</v>
      </c>
      <c r="P597">
        <v>7.85</v>
      </c>
      <c r="Q597">
        <v>7.3</v>
      </c>
      <c r="R597">
        <v>5</v>
      </c>
      <c r="S597">
        <v>1.97</v>
      </c>
      <c r="T597">
        <v>2</v>
      </c>
      <c r="U597" t="s">
        <v>22</v>
      </c>
      <c r="V597" t="e">
        <f>IF(#REF! = "yes", 1, 0)</f>
        <v>#REF!</v>
      </c>
      <c r="W597" t="e">
        <f>IF(#REF! &lt;= 1, "0-1 Calls", IF(#REF! &lt;= 3, "2-3 Calls", IF(#REF! &lt;=5, "4-5 Calls", "6+ Calls")))</f>
        <v>#REF!</v>
      </c>
      <c r="X597" t="e">
        <f>IF(#REF! &lt;= 50, "0-50", IF(#REF! &lt;=100, "51-100", IF(#REF! &lt;= 150, "101-150", "151+")))</f>
        <v>#REF!</v>
      </c>
      <c r="Y597" t="e">
        <f>IF(#REF! &lt;= 3, "Low Charges", "High Charges")</f>
        <v>#REF!</v>
      </c>
      <c r="Z597" t="e">
        <f>IF(#REF!&lt;=80,"Low Calls",
IF(#REF!&lt;=120,"Medium Calls","High Calls"))</f>
        <v>#REF!</v>
      </c>
      <c r="AA597" t="e">
        <f>IF(#REF!&lt;=15,"Low Charges",
IF(#REF!&lt;=20,"Medium Charges","High Charges"))</f>
        <v>#REF!</v>
      </c>
      <c r="AB597" t="e">
        <f>IF(AND(#REF!&gt;180, #REF!&gt;200), "Heavy Doemstic User", IF(#REF!&gt;10, "Interntional User", IF(AND(#REF!&lt;180, #REF!&lt;200,#REF!&lt;200), "Light User", "Balanced User")))</f>
        <v>#REF!</v>
      </c>
      <c r="AC597" t="e">
        <f>IF(#REF! = 0, "No Usage", IF(#REF! &lt;= 20, "Low Usage", IF(#REF! &lt;= 40, "Medium Usgae", "High Usage")))</f>
        <v>#REF!</v>
      </c>
      <c r="AD597" t="e">
        <f>IF(#REF!&lt;=150,"Low Usage", IF(#REF!&lt;=200,"Medium Usage", IF(#REF!&lt;=250,"High Usage","Very High Usage")))</f>
        <v>#REF!</v>
      </c>
      <c r="AE597" t="e">
        <f>IF(#REF!&lt;=5,"Low Calls", IF(#REF!&lt;=10, "Medium Calls", "High Calls"))</f>
        <v>#REF!</v>
      </c>
      <c r="AF597" t="e">
        <f xml:space="preserve">
IF(#REF!&gt;=4,4,0)+
IF(#REF!="yes",3,0)+
IF(#REF!="High Charges",3,0)+
IF(#REF!&gt;250,4,0)+
IF(#REF!="no",1,0)+
IF(#REF!="Heavy Domestic User",2,0)</f>
        <v>#REF!</v>
      </c>
      <c r="AG597" t="e">
        <f>IF(#REF!&gt;=10,"High Risk", IF(#REF!&gt;=5,"Medium Risk","Low Risk"))</f>
        <v>#REF!</v>
      </c>
      <c r="AH597" t="e">
        <f>#REF! + #REF! + #REF! + #REF!</f>
        <v>#REF!</v>
      </c>
    </row>
    <row r="598" spans="1:34" x14ac:dyDescent="0.35">
      <c r="A598">
        <v>597</v>
      </c>
      <c r="B598" t="s">
        <v>31</v>
      </c>
      <c r="C598">
        <v>115</v>
      </c>
      <c r="D598" t="s">
        <v>28</v>
      </c>
      <c r="E598" t="s">
        <v>23</v>
      </c>
      <c r="F598" t="s">
        <v>22</v>
      </c>
      <c r="G598">
        <v>0</v>
      </c>
      <c r="H598">
        <v>249.9</v>
      </c>
      <c r="I598">
        <v>95</v>
      </c>
      <c r="J598">
        <v>42.48</v>
      </c>
      <c r="K598">
        <v>242.5</v>
      </c>
      <c r="L598">
        <v>104</v>
      </c>
      <c r="M598">
        <v>20.61</v>
      </c>
      <c r="N598">
        <v>151.69999999999999</v>
      </c>
      <c r="O598">
        <v>121</v>
      </c>
      <c r="P598">
        <v>6.83</v>
      </c>
      <c r="Q598">
        <v>15.3</v>
      </c>
      <c r="R598">
        <v>6</v>
      </c>
      <c r="S598">
        <v>4.13</v>
      </c>
      <c r="T598">
        <v>1</v>
      </c>
      <c r="U598" t="s">
        <v>23</v>
      </c>
      <c r="V598" t="e">
        <f>IF(#REF! = "yes", 1, 0)</f>
        <v>#REF!</v>
      </c>
      <c r="W598" t="e">
        <f>IF(#REF! &lt;= 1, "0-1 Calls", IF(#REF! &lt;= 3, "2-3 Calls", IF(#REF! &lt;=5, "4-5 Calls", "6+ Calls")))</f>
        <v>#REF!</v>
      </c>
      <c r="X598" t="e">
        <f>IF(#REF! &lt;= 50, "0-50", IF(#REF! &lt;=100, "51-100", IF(#REF! &lt;= 150, "101-150", "151+")))</f>
        <v>#REF!</v>
      </c>
      <c r="Y598" t="e">
        <f>IF(#REF! &lt;= 3, "Low Charges", "High Charges")</f>
        <v>#REF!</v>
      </c>
      <c r="Z598" t="e">
        <f>IF(#REF!&lt;=80,"Low Calls",
IF(#REF!&lt;=120,"Medium Calls","High Calls"))</f>
        <v>#REF!</v>
      </c>
      <c r="AA598" t="e">
        <f>IF(#REF!&lt;=15,"Low Charges",
IF(#REF!&lt;=20,"Medium Charges","High Charges"))</f>
        <v>#REF!</v>
      </c>
      <c r="AB598" t="e">
        <f>IF(AND(#REF!&gt;180, #REF!&gt;200), "Heavy Doemstic User", IF(#REF!&gt;10, "Interntional User", IF(AND(#REF!&lt;180, #REF!&lt;200,#REF!&lt;200), "Light User", "Balanced User")))</f>
        <v>#REF!</v>
      </c>
      <c r="AC598" t="e">
        <f>IF(#REF! = 0, "No Usage", IF(#REF! &lt;= 20, "Low Usage", IF(#REF! &lt;= 40, "Medium Usgae", "High Usage")))</f>
        <v>#REF!</v>
      </c>
      <c r="AD598" t="e">
        <f>IF(#REF!&lt;=150,"Low Usage", IF(#REF!&lt;=200,"Medium Usage", IF(#REF!&lt;=250,"High Usage","Very High Usage")))</f>
        <v>#REF!</v>
      </c>
      <c r="AE598" t="e">
        <f>IF(#REF!&lt;=5,"Low Calls", IF(#REF!&lt;=10, "Medium Calls", "High Calls"))</f>
        <v>#REF!</v>
      </c>
      <c r="AF598" t="e">
        <f xml:space="preserve">
IF(#REF!&gt;=4,4,0)+
IF(#REF!="yes",3,0)+
IF(#REF!="High Charges",3,0)+
IF(#REF!&gt;250,4,0)+
IF(#REF!="no",1,0)+
IF(#REF!="Heavy Domestic User",2,0)</f>
        <v>#REF!</v>
      </c>
      <c r="AG598" t="e">
        <f>IF(#REF!&gt;=10,"High Risk", IF(#REF!&gt;=5,"Medium Risk","Low Risk"))</f>
        <v>#REF!</v>
      </c>
      <c r="AH598" t="e">
        <f>#REF! + #REF! + #REF! + #REF!</f>
        <v>#REF!</v>
      </c>
    </row>
    <row r="599" spans="1:34" x14ac:dyDescent="0.35">
      <c r="A599">
        <v>598</v>
      </c>
      <c r="B599" t="s">
        <v>48</v>
      </c>
      <c r="C599">
        <v>57</v>
      </c>
      <c r="D599" t="s">
        <v>25</v>
      </c>
      <c r="E599" t="s">
        <v>23</v>
      </c>
      <c r="F599" t="s">
        <v>23</v>
      </c>
      <c r="G599">
        <v>30</v>
      </c>
      <c r="H599">
        <v>234.5</v>
      </c>
      <c r="I599">
        <v>130</v>
      </c>
      <c r="J599">
        <v>39.869999999999997</v>
      </c>
      <c r="K599">
        <v>195.2</v>
      </c>
      <c r="L599">
        <v>116</v>
      </c>
      <c r="M599">
        <v>16.59</v>
      </c>
      <c r="N599">
        <v>268.8</v>
      </c>
      <c r="O599">
        <v>94</v>
      </c>
      <c r="P599">
        <v>12.1</v>
      </c>
      <c r="Q599">
        <v>11.4</v>
      </c>
      <c r="R599">
        <v>4</v>
      </c>
      <c r="S599">
        <v>3.08</v>
      </c>
      <c r="T599">
        <v>2</v>
      </c>
      <c r="U599" t="s">
        <v>22</v>
      </c>
      <c r="V599" t="e">
        <f>IF(#REF! = "yes", 1, 0)</f>
        <v>#REF!</v>
      </c>
      <c r="W599" t="e">
        <f>IF(#REF! &lt;= 1, "0-1 Calls", IF(#REF! &lt;= 3, "2-3 Calls", IF(#REF! &lt;=5, "4-5 Calls", "6+ Calls")))</f>
        <v>#REF!</v>
      </c>
      <c r="X599" t="e">
        <f>IF(#REF! &lt;= 50, "0-50", IF(#REF! &lt;=100, "51-100", IF(#REF! &lt;= 150, "101-150", "151+")))</f>
        <v>#REF!</v>
      </c>
      <c r="Y599" t="e">
        <f>IF(#REF! &lt;= 3, "Low Charges", "High Charges")</f>
        <v>#REF!</v>
      </c>
      <c r="Z599" t="e">
        <f>IF(#REF!&lt;=80,"Low Calls",
IF(#REF!&lt;=120,"Medium Calls","High Calls"))</f>
        <v>#REF!</v>
      </c>
      <c r="AA599" t="e">
        <f>IF(#REF!&lt;=15,"Low Charges",
IF(#REF!&lt;=20,"Medium Charges","High Charges"))</f>
        <v>#REF!</v>
      </c>
      <c r="AB599" t="e">
        <f>IF(AND(#REF!&gt;180, #REF!&gt;200), "Heavy Doemstic User", IF(#REF!&gt;10, "Interntional User", IF(AND(#REF!&lt;180, #REF!&lt;200,#REF!&lt;200), "Light User", "Balanced User")))</f>
        <v>#REF!</v>
      </c>
      <c r="AC599" t="e">
        <f>IF(#REF! = 0, "No Usage", IF(#REF! &lt;= 20, "Low Usage", IF(#REF! &lt;= 40, "Medium Usgae", "High Usage")))</f>
        <v>#REF!</v>
      </c>
      <c r="AD599" t="e">
        <f>IF(#REF!&lt;=150,"Low Usage", IF(#REF!&lt;=200,"Medium Usage", IF(#REF!&lt;=250,"High Usage","Very High Usage")))</f>
        <v>#REF!</v>
      </c>
      <c r="AE599" t="e">
        <f>IF(#REF!&lt;=5,"Low Calls", IF(#REF!&lt;=10, "Medium Calls", "High Calls"))</f>
        <v>#REF!</v>
      </c>
      <c r="AF599" t="e">
        <f xml:space="preserve">
IF(#REF!&gt;=4,4,0)+
IF(#REF!="yes",3,0)+
IF(#REF!="High Charges",3,0)+
IF(#REF!&gt;250,4,0)+
IF(#REF!="no",1,0)+
IF(#REF!="Heavy Domestic User",2,0)</f>
        <v>#REF!</v>
      </c>
      <c r="AG599" t="e">
        <f>IF(#REF!&gt;=10,"High Risk", IF(#REF!&gt;=5,"Medium Risk","Low Risk"))</f>
        <v>#REF!</v>
      </c>
      <c r="AH599" t="e">
        <f>#REF! + #REF! + #REF! + #REF!</f>
        <v>#REF!</v>
      </c>
    </row>
    <row r="600" spans="1:34" x14ac:dyDescent="0.35">
      <c r="A600">
        <v>599</v>
      </c>
      <c r="B600" t="s">
        <v>42</v>
      </c>
      <c r="C600">
        <v>67</v>
      </c>
      <c r="D600" t="s">
        <v>21</v>
      </c>
      <c r="E600" t="s">
        <v>22</v>
      </c>
      <c r="F600" t="s">
        <v>22</v>
      </c>
      <c r="G600">
        <v>0</v>
      </c>
      <c r="H600">
        <v>210.7</v>
      </c>
      <c r="I600">
        <v>116</v>
      </c>
      <c r="J600">
        <v>35.82</v>
      </c>
      <c r="K600">
        <v>219.2</v>
      </c>
      <c r="L600">
        <v>86</v>
      </c>
      <c r="M600">
        <v>18.63</v>
      </c>
      <c r="N600">
        <v>179.7</v>
      </c>
      <c r="O600">
        <v>83</v>
      </c>
      <c r="P600">
        <v>8.09</v>
      </c>
      <c r="Q600">
        <v>7.2</v>
      </c>
      <c r="R600">
        <v>6</v>
      </c>
      <c r="S600">
        <v>1.94</v>
      </c>
      <c r="T600">
        <v>1</v>
      </c>
      <c r="U600" t="s">
        <v>22</v>
      </c>
      <c r="V600" t="e">
        <f>IF(#REF! = "yes", 1, 0)</f>
        <v>#REF!</v>
      </c>
      <c r="W600" t="e">
        <f>IF(#REF! &lt;= 1, "0-1 Calls", IF(#REF! &lt;= 3, "2-3 Calls", IF(#REF! &lt;=5, "4-5 Calls", "6+ Calls")))</f>
        <v>#REF!</v>
      </c>
      <c r="X600" t="e">
        <f>IF(#REF! &lt;= 50, "0-50", IF(#REF! &lt;=100, "51-100", IF(#REF! &lt;= 150, "101-150", "151+")))</f>
        <v>#REF!</v>
      </c>
      <c r="Y600" t="e">
        <f>IF(#REF! &lt;= 3, "Low Charges", "High Charges")</f>
        <v>#REF!</v>
      </c>
      <c r="Z600" t="e">
        <f>IF(#REF!&lt;=80,"Low Calls",
IF(#REF!&lt;=120,"Medium Calls","High Calls"))</f>
        <v>#REF!</v>
      </c>
      <c r="AA600" t="e">
        <f>IF(#REF!&lt;=15,"Low Charges",
IF(#REF!&lt;=20,"Medium Charges","High Charges"))</f>
        <v>#REF!</v>
      </c>
      <c r="AB600" t="e">
        <f>IF(AND(#REF!&gt;180, #REF!&gt;200), "Heavy Doemstic User", IF(#REF!&gt;10, "Interntional User", IF(AND(#REF!&lt;180, #REF!&lt;200,#REF!&lt;200), "Light User", "Balanced User")))</f>
        <v>#REF!</v>
      </c>
      <c r="AC600" t="e">
        <f>IF(#REF! = 0, "No Usage", IF(#REF! &lt;= 20, "Low Usage", IF(#REF! &lt;= 40, "Medium Usgae", "High Usage")))</f>
        <v>#REF!</v>
      </c>
      <c r="AD600" t="e">
        <f>IF(#REF!&lt;=150,"Low Usage", IF(#REF!&lt;=200,"Medium Usage", IF(#REF!&lt;=250,"High Usage","Very High Usage")))</f>
        <v>#REF!</v>
      </c>
      <c r="AE600" t="e">
        <f>IF(#REF!&lt;=5,"Low Calls", IF(#REF!&lt;=10, "Medium Calls", "High Calls"))</f>
        <v>#REF!</v>
      </c>
      <c r="AF600" t="e">
        <f xml:space="preserve">
IF(#REF!&gt;=4,4,0)+
IF(#REF!="yes",3,0)+
IF(#REF!="High Charges",3,0)+
IF(#REF!&gt;250,4,0)+
IF(#REF!="no",1,0)+
IF(#REF!="Heavy Domestic User",2,0)</f>
        <v>#REF!</v>
      </c>
      <c r="AG600" t="e">
        <f>IF(#REF!&gt;=10,"High Risk", IF(#REF!&gt;=5,"Medium Risk","Low Risk"))</f>
        <v>#REF!</v>
      </c>
      <c r="AH600" t="e">
        <f>#REF! + #REF! + #REF! + #REF!</f>
        <v>#REF!</v>
      </c>
    </row>
    <row r="601" spans="1:34" x14ac:dyDescent="0.35">
      <c r="A601">
        <v>600</v>
      </c>
      <c r="B601" t="s">
        <v>47</v>
      </c>
      <c r="C601">
        <v>127</v>
      </c>
      <c r="D601" t="s">
        <v>25</v>
      </c>
      <c r="E601" t="s">
        <v>22</v>
      </c>
      <c r="F601" t="s">
        <v>22</v>
      </c>
      <c r="G601">
        <v>0</v>
      </c>
      <c r="H601">
        <v>182.3</v>
      </c>
      <c r="I601">
        <v>124</v>
      </c>
      <c r="J601">
        <v>30.99</v>
      </c>
      <c r="K601">
        <v>169.9</v>
      </c>
      <c r="L601">
        <v>110</v>
      </c>
      <c r="M601">
        <v>14.44</v>
      </c>
      <c r="N601">
        <v>184</v>
      </c>
      <c r="O601">
        <v>116</v>
      </c>
      <c r="P601">
        <v>8.2799999999999994</v>
      </c>
      <c r="Q601">
        <v>9.3000000000000007</v>
      </c>
      <c r="R601">
        <v>3</v>
      </c>
      <c r="S601">
        <v>2.5099999999999998</v>
      </c>
      <c r="T601">
        <v>1</v>
      </c>
      <c r="U601" t="s">
        <v>22</v>
      </c>
      <c r="V601" t="e">
        <f>IF(#REF! = "yes", 1, 0)</f>
        <v>#REF!</v>
      </c>
      <c r="W601" t="e">
        <f>IF(#REF! &lt;= 1, "0-1 Calls", IF(#REF! &lt;= 3, "2-3 Calls", IF(#REF! &lt;=5, "4-5 Calls", "6+ Calls")))</f>
        <v>#REF!</v>
      </c>
      <c r="X601" t="e">
        <f>IF(#REF! &lt;= 50, "0-50", IF(#REF! &lt;=100, "51-100", IF(#REF! &lt;= 150, "101-150", "151+")))</f>
        <v>#REF!</v>
      </c>
      <c r="Y601" t="e">
        <f>IF(#REF! &lt;= 3, "Low Charges", "High Charges")</f>
        <v>#REF!</v>
      </c>
      <c r="Z601" t="e">
        <f>IF(#REF!&lt;=80,"Low Calls",
IF(#REF!&lt;=120,"Medium Calls","High Calls"))</f>
        <v>#REF!</v>
      </c>
      <c r="AA601" t="e">
        <f>IF(#REF!&lt;=15,"Low Charges",
IF(#REF!&lt;=20,"Medium Charges","High Charges"))</f>
        <v>#REF!</v>
      </c>
      <c r="AB601" t="e">
        <f>IF(AND(#REF!&gt;180, #REF!&gt;200), "Heavy Doemstic User", IF(#REF!&gt;10, "Interntional User", IF(AND(#REF!&lt;180, #REF!&lt;200,#REF!&lt;200), "Light User", "Balanced User")))</f>
        <v>#REF!</v>
      </c>
      <c r="AC601" t="e">
        <f>IF(#REF! = 0, "No Usage", IF(#REF! &lt;= 20, "Low Usage", IF(#REF! &lt;= 40, "Medium Usgae", "High Usage")))</f>
        <v>#REF!</v>
      </c>
      <c r="AD601" t="e">
        <f>IF(#REF!&lt;=150,"Low Usage", IF(#REF!&lt;=200,"Medium Usage", IF(#REF!&lt;=250,"High Usage","Very High Usage")))</f>
        <v>#REF!</v>
      </c>
      <c r="AE601" t="e">
        <f>IF(#REF!&lt;=5,"Low Calls", IF(#REF!&lt;=10, "Medium Calls", "High Calls"))</f>
        <v>#REF!</v>
      </c>
      <c r="AF601" t="e">
        <f xml:space="preserve">
IF(#REF!&gt;=4,4,0)+
IF(#REF!="yes",3,0)+
IF(#REF!="High Charges",3,0)+
IF(#REF!&gt;250,4,0)+
IF(#REF!="no",1,0)+
IF(#REF!="Heavy Domestic User",2,0)</f>
        <v>#REF!</v>
      </c>
      <c r="AG601" t="e">
        <f>IF(#REF!&gt;=10,"High Risk", IF(#REF!&gt;=5,"Medium Risk","Low Risk"))</f>
        <v>#REF!</v>
      </c>
      <c r="AH601" t="e">
        <f>#REF! + #REF! + #REF! + #REF!</f>
        <v>#REF!</v>
      </c>
    </row>
    <row r="602" spans="1:34" x14ac:dyDescent="0.35">
      <c r="A602">
        <v>601</v>
      </c>
      <c r="B602" t="s">
        <v>47</v>
      </c>
      <c r="C602">
        <v>78</v>
      </c>
      <c r="D602" t="s">
        <v>28</v>
      </c>
      <c r="E602" t="s">
        <v>22</v>
      </c>
      <c r="F602" t="s">
        <v>22</v>
      </c>
      <c r="G602">
        <v>0</v>
      </c>
      <c r="H602">
        <v>190.3</v>
      </c>
      <c r="I602">
        <v>88</v>
      </c>
      <c r="J602">
        <v>32.35</v>
      </c>
      <c r="K602">
        <v>194.5</v>
      </c>
      <c r="L602">
        <v>89</v>
      </c>
      <c r="M602">
        <v>16.53</v>
      </c>
      <c r="N602">
        <v>256.5</v>
      </c>
      <c r="O602">
        <v>109</v>
      </c>
      <c r="P602">
        <v>11.54</v>
      </c>
      <c r="Q602">
        <v>11.7</v>
      </c>
      <c r="R602">
        <v>5</v>
      </c>
      <c r="S602">
        <v>3.16</v>
      </c>
      <c r="T602">
        <v>2</v>
      </c>
      <c r="U602" t="s">
        <v>22</v>
      </c>
      <c r="V602" t="e">
        <f>IF(#REF! = "yes", 1, 0)</f>
        <v>#REF!</v>
      </c>
      <c r="W602" t="e">
        <f>IF(#REF! &lt;= 1, "0-1 Calls", IF(#REF! &lt;= 3, "2-3 Calls", IF(#REF! &lt;=5, "4-5 Calls", "6+ Calls")))</f>
        <v>#REF!</v>
      </c>
      <c r="X602" t="e">
        <f>IF(#REF! &lt;= 50, "0-50", IF(#REF! &lt;=100, "51-100", IF(#REF! &lt;= 150, "101-150", "151+")))</f>
        <v>#REF!</v>
      </c>
      <c r="Y602" t="e">
        <f>IF(#REF! &lt;= 3, "Low Charges", "High Charges")</f>
        <v>#REF!</v>
      </c>
      <c r="Z602" t="e">
        <f>IF(#REF!&lt;=80,"Low Calls",
IF(#REF!&lt;=120,"Medium Calls","High Calls"))</f>
        <v>#REF!</v>
      </c>
      <c r="AA602" t="e">
        <f>IF(#REF!&lt;=15,"Low Charges",
IF(#REF!&lt;=20,"Medium Charges","High Charges"))</f>
        <v>#REF!</v>
      </c>
      <c r="AB602" t="e">
        <f>IF(AND(#REF!&gt;180, #REF!&gt;200), "Heavy Doemstic User", IF(#REF!&gt;10, "Interntional User", IF(AND(#REF!&lt;180, #REF!&lt;200,#REF!&lt;200), "Light User", "Balanced User")))</f>
        <v>#REF!</v>
      </c>
      <c r="AC602" t="e">
        <f>IF(#REF! = 0, "No Usage", IF(#REF! &lt;= 20, "Low Usage", IF(#REF! &lt;= 40, "Medium Usgae", "High Usage")))</f>
        <v>#REF!</v>
      </c>
      <c r="AD602" t="e">
        <f>IF(#REF!&lt;=150,"Low Usage", IF(#REF!&lt;=200,"Medium Usage", IF(#REF!&lt;=250,"High Usage","Very High Usage")))</f>
        <v>#REF!</v>
      </c>
      <c r="AE602" t="e">
        <f>IF(#REF!&lt;=5,"Low Calls", IF(#REF!&lt;=10, "Medium Calls", "High Calls"))</f>
        <v>#REF!</v>
      </c>
      <c r="AF602" t="e">
        <f xml:space="preserve">
IF(#REF!&gt;=4,4,0)+
IF(#REF!="yes",3,0)+
IF(#REF!="High Charges",3,0)+
IF(#REF!&gt;250,4,0)+
IF(#REF!="no",1,0)+
IF(#REF!="Heavy Domestic User",2,0)</f>
        <v>#REF!</v>
      </c>
      <c r="AG602" t="e">
        <f>IF(#REF!&gt;=10,"High Risk", IF(#REF!&gt;=5,"Medium Risk","Low Risk"))</f>
        <v>#REF!</v>
      </c>
      <c r="AH602" t="e">
        <f>#REF! + #REF! + #REF! + #REF!</f>
        <v>#REF!</v>
      </c>
    </row>
    <row r="603" spans="1:34" x14ac:dyDescent="0.35">
      <c r="A603">
        <v>602</v>
      </c>
      <c r="B603" t="s">
        <v>74</v>
      </c>
      <c r="C603">
        <v>100</v>
      </c>
      <c r="D603" t="s">
        <v>21</v>
      </c>
      <c r="E603" t="s">
        <v>22</v>
      </c>
      <c r="F603" t="s">
        <v>23</v>
      </c>
      <c r="G603">
        <v>38</v>
      </c>
      <c r="H603">
        <v>177.1</v>
      </c>
      <c r="I603">
        <v>88</v>
      </c>
      <c r="J603">
        <v>30.11</v>
      </c>
      <c r="K603">
        <v>163.69999999999999</v>
      </c>
      <c r="L603">
        <v>108</v>
      </c>
      <c r="M603">
        <v>13.91</v>
      </c>
      <c r="N603">
        <v>242.7</v>
      </c>
      <c r="O603">
        <v>72</v>
      </c>
      <c r="P603">
        <v>10.92</v>
      </c>
      <c r="Q603">
        <v>7.4</v>
      </c>
      <c r="R603">
        <v>2</v>
      </c>
      <c r="S603">
        <v>2</v>
      </c>
      <c r="T603">
        <v>0</v>
      </c>
      <c r="U603" t="s">
        <v>22</v>
      </c>
      <c r="V603" t="e">
        <f>IF(#REF! = "yes", 1, 0)</f>
        <v>#REF!</v>
      </c>
      <c r="W603" t="e">
        <f>IF(#REF! &lt;= 1, "0-1 Calls", IF(#REF! &lt;= 3, "2-3 Calls", IF(#REF! &lt;=5, "4-5 Calls", "6+ Calls")))</f>
        <v>#REF!</v>
      </c>
      <c r="X603" t="e">
        <f>IF(#REF! &lt;= 50, "0-50", IF(#REF! &lt;=100, "51-100", IF(#REF! &lt;= 150, "101-150", "151+")))</f>
        <v>#REF!</v>
      </c>
      <c r="Y603" t="e">
        <f>IF(#REF! &lt;= 3, "Low Charges", "High Charges")</f>
        <v>#REF!</v>
      </c>
      <c r="Z603" t="e">
        <f>IF(#REF!&lt;=80,"Low Calls",
IF(#REF!&lt;=120,"Medium Calls","High Calls"))</f>
        <v>#REF!</v>
      </c>
      <c r="AA603" t="e">
        <f>IF(#REF!&lt;=15,"Low Charges",
IF(#REF!&lt;=20,"Medium Charges","High Charges"))</f>
        <v>#REF!</v>
      </c>
      <c r="AB603" t="e">
        <f>IF(AND(#REF!&gt;180, #REF!&gt;200), "Heavy Doemstic User", IF(#REF!&gt;10, "Interntional User", IF(AND(#REF!&lt;180, #REF!&lt;200,#REF!&lt;200), "Light User", "Balanced User")))</f>
        <v>#REF!</v>
      </c>
      <c r="AC603" t="e">
        <f>IF(#REF! = 0, "No Usage", IF(#REF! &lt;= 20, "Low Usage", IF(#REF! &lt;= 40, "Medium Usgae", "High Usage")))</f>
        <v>#REF!</v>
      </c>
      <c r="AD603" t="e">
        <f>IF(#REF!&lt;=150,"Low Usage", IF(#REF!&lt;=200,"Medium Usage", IF(#REF!&lt;=250,"High Usage","Very High Usage")))</f>
        <v>#REF!</v>
      </c>
      <c r="AE603" t="e">
        <f>IF(#REF!&lt;=5,"Low Calls", IF(#REF!&lt;=10, "Medium Calls", "High Calls"))</f>
        <v>#REF!</v>
      </c>
      <c r="AF603" t="e">
        <f xml:space="preserve">
IF(#REF!&gt;=4,4,0)+
IF(#REF!="yes",3,0)+
IF(#REF!="High Charges",3,0)+
IF(#REF!&gt;250,4,0)+
IF(#REF!="no",1,0)+
IF(#REF!="Heavy Domestic User",2,0)</f>
        <v>#REF!</v>
      </c>
      <c r="AG603" t="e">
        <f>IF(#REF!&gt;=10,"High Risk", IF(#REF!&gt;=5,"Medium Risk","Low Risk"))</f>
        <v>#REF!</v>
      </c>
      <c r="AH603" t="e">
        <f>#REF! + #REF! + #REF! + #REF!</f>
        <v>#REF!</v>
      </c>
    </row>
    <row r="604" spans="1:34" x14ac:dyDescent="0.35">
      <c r="A604">
        <v>603</v>
      </c>
      <c r="B604" t="s">
        <v>55</v>
      </c>
      <c r="C604">
        <v>103</v>
      </c>
      <c r="D604" t="s">
        <v>28</v>
      </c>
      <c r="E604" t="s">
        <v>22</v>
      </c>
      <c r="F604" t="s">
        <v>23</v>
      </c>
      <c r="G604">
        <v>36</v>
      </c>
      <c r="H604">
        <v>87.2</v>
      </c>
      <c r="I604">
        <v>92</v>
      </c>
      <c r="J604">
        <v>14.82</v>
      </c>
      <c r="K604">
        <v>169.3</v>
      </c>
      <c r="L604">
        <v>110</v>
      </c>
      <c r="M604">
        <v>14.39</v>
      </c>
      <c r="N604">
        <v>166.7</v>
      </c>
      <c r="O604">
        <v>80</v>
      </c>
      <c r="P604">
        <v>7.5</v>
      </c>
      <c r="Q604">
        <v>10.9</v>
      </c>
      <c r="R604">
        <v>5</v>
      </c>
      <c r="S604">
        <v>2.94</v>
      </c>
      <c r="T604">
        <v>6</v>
      </c>
      <c r="U604" t="s">
        <v>23</v>
      </c>
      <c r="V604" t="e">
        <f>IF(#REF! = "yes", 1, 0)</f>
        <v>#REF!</v>
      </c>
      <c r="W604" t="e">
        <f>IF(#REF! &lt;= 1, "0-1 Calls", IF(#REF! &lt;= 3, "2-3 Calls", IF(#REF! &lt;=5, "4-5 Calls", "6+ Calls")))</f>
        <v>#REF!</v>
      </c>
      <c r="X604" t="e">
        <f>IF(#REF! &lt;= 50, "0-50", IF(#REF! &lt;=100, "51-100", IF(#REF! &lt;= 150, "101-150", "151+")))</f>
        <v>#REF!</v>
      </c>
      <c r="Y604" t="e">
        <f>IF(#REF! &lt;= 3, "Low Charges", "High Charges")</f>
        <v>#REF!</v>
      </c>
      <c r="Z604" t="e">
        <f>IF(#REF!&lt;=80,"Low Calls",
IF(#REF!&lt;=120,"Medium Calls","High Calls"))</f>
        <v>#REF!</v>
      </c>
      <c r="AA604" t="e">
        <f>IF(#REF!&lt;=15,"Low Charges",
IF(#REF!&lt;=20,"Medium Charges","High Charges"))</f>
        <v>#REF!</v>
      </c>
      <c r="AB604" t="e">
        <f>IF(AND(#REF!&gt;180, #REF!&gt;200), "Heavy Doemstic User", IF(#REF!&gt;10, "Interntional User", IF(AND(#REF!&lt;180, #REF!&lt;200,#REF!&lt;200), "Light User", "Balanced User")))</f>
        <v>#REF!</v>
      </c>
      <c r="AC604" t="e">
        <f>IF(#REF! = 0, "No Usage", IF(#REF! &lt;= 20, "Low Usage", IF(#REF! &lt;= 40, "Medium Usgae", "High Usage")))</f>
        <v>#REF!</v>
      </c>
      <c r="AD604" t="e">
        <f>IF(#REF!&lt;=150,"Low Usage", IF(#REF!&lt;=200,"Medium Usage", IF(#REF!&lt;=250,"High Usage","Very High Usage")))</f>
        <v>#REF!</v>
      </c>
      <c r="AE604" t="e">
        <f>IF(#REF!&lt;=5,"Low Calls", IF(#REF!&lt;=10, "Medium Calls", "High Calls"))</f>
        <v>#REF!</v>
      </c>
      <c r="AF604" t="e">
        <f xml:space="preserve">
IF(#REF!&gt;=4,4,0)+
IF(#REF!="yes",3,0)+
IF(#REF!="High Charges",3,0)+
IF(#REF!&gt;250,4,0)+
IF(#REF!="no",1,0)+
IF(#REF!="Heavy Domestic User",2,0)</f>
        <v>#REF!</v>
      </c>
      <c r="AG604" t="e">
        <f>IF(#REF!&gt;=10,"High Risk", IF(#REF!&gt;=5,"Medium Risk","Low Risk"))</f>
        <v>#REF!</v>
      </c>
      <c r="AH604" t="e">
        <f>#REF! + #REF! + #REF! + #REF!</f>
        <v>#REF!</v>
      </c>
    </row>
    <row r="605" spans="1:34" x14ac:dyDescent="0.35">
      <c r="A605">
        <v>604</v>
      </c>
      <c r="B605" t="s">
        <v>65</v>
      </c>
      <c r="C605">
        <v>113</v>
      </c>
      <c r="D605" t="s">
        <v>21</v>
      </c>
      <c r="E605" t="s">
        <v>22</v>
      </c>
      <c r="F605" t="s">
        <v>22</v>
      </c>
      <c r="G605">
        <v>0</v>
      </c>
      <c r="H605">
        <v>215.6</v>
      </c>
      <c r="I605">
        <v>96</v>
      </c>
      <c r="J605">
        <v>36.65</v>
      </c>
      <c r="K605">
        <v>193.4</v>
      </c>
      <c r="L605">
        <v>127</v>
      </c>
      <c r="M605">
        <v>16.440000000000001</v>
      </c>
      <c r="N605">
        <v>105.4</v>
      </c>
      <c r="O605">
        <v>115</v>
      </c>
      <c r="P605">
        <v>4.74</v>
      </c>
      <c r="Q605">
        <v>13.5</v>
      </c>
      <c r="R605">
        <v>3</v>
      </c>
      <c r="S605">
        <v>3.65</v>
      </c>
      <c r="T605">
        <v>1</v>
      </c>
      <c r="U605" t="s">
        <v>22</v>
      </c>
      <c r="V605" t="e">
        <f>IF(#REF! = "yes", 1, 0)</f>
        <v>#REF!</v>
      </c>
      <c r="W605" t="e">
        <f>IF(#REF! &lt;= 1, "0-1 Calls", IF(#REF! &lt;= 3, "2-3 Calls", IF(#REF! &lt;=5, "4-5 Calls", "6+ Calls")))</f>
        <v>#REF!</v>
      </c>
      <c r="X605" t="e">
        <f>IF(#REF! &lt;= 50, "0-50", IF(#REF! &lt;=100, "51-100", IF(#REF! &lt;= 150, "101-150", "151+")))</f>
        <v>#REF!</v>
      </c>
      <c r="Y605" t="e">
        <f>IF(#REF! &lt;= 3, "Low Charges", "High Charges")</f>
        <v>#REF!</v>
      </c>
      <c r="Z605" t="e">
        <f>IF(#REF!&lt;=80,"Low Calls",
IF(#REF!&lt;=120,"Medium Calls","High Calls"))</f>
        <v>#REF!</v>
      </c>
      <c r="AA605" t="e">
        <f>IF(#REF!&lt;=15,"Low Charges",
IF(#REF!&lt;=20,"Medium Charges","High Charges"))</f>
        <v>#REF!</v>
      </c>
      <c r="AB605" t="e">
        <f>IF(AND(#REF!&gt;180, #REF!&gt;200), "Heavy Doemstic User", IF(#REF!&gt;10, "Interntional User", IF(AND(#REF!&lt;180, #REF!&lt;200,#REF!&lt;200), "Light User", "Balanced User")))</f>
        <v>#REF!</v>
      </c>
      <c r="AC605" t="e">
        <f>IF(#REF! = 0, "No Usage", IF(#REF! &lt;= 20, "Low Usage", IF(#REF! &lt;= 40, "Medium Usgae", "High Usage")))</f>
        <v>#REF!</v>
      </c>
      <c r="AD605" t="e">
        <f>IF(#REF!&lt;=150,"Low Usage", IF(#REF!&lt;=200,"Medium Usage", IF(#REF!&lt;=250,"High Usage","Very High Usage")))</f>
        <v>#REF!</v>
      </c>
      <c r="AE605" t="e">
        <f>IF(#REF!&lt;=5,"Low Calls", IF(#REF!&lt;=10, "Medium Calls", "High Calls"))</f>
        <v>#REF!</v>
      </c>
      <c r="AF605" t="e">
        <f xml:space="preserve">
IF(#REF!&gt;=4,4,0)+
IF(#REF!="yes",3,0)+
IF(#REF!="High Charges",3,0)+
IF(#REF!&gt;250,4,0)+
IF(#REF!="no",1,0)+
IF(#REF!="Heavy Domestic User",2,0)</f>
        <v>#REF!</v>
      </c>
      <c r="AG605" t="e">
        <f>IF(#REF!&gt;=10,"High Risk", IF(#REF!&gt;=5,"Medium Risk","Low Risk"))</f>
        <v>#REF!</v>
      </c>
      <c r="AH605" t="e">
        <f>#REF! + #REF! + #REF! + #REF!</f>
        <v>#REF!</v>
      </c>
    </row>
    <row r="606" spans="1:34" x14ac:dyDescent="0.35">
      <c r="A606">
        <v>605</v>
      </c>
      <c r="B606" t="s">
        <v>52</v>
      </c>
      <c r="C606">
        <v>129</v>
      </c>
      <c r="D606" t="s">
        <v>28</v>
      </c>
      <c r="E606" t="s">
        <v>22</v>
      </c>
      <c r="F606" t="s">
        <v>23</v>
      </c>
      <c r="G606">
        <v>36</v>
      </c>
      <c r="H606">
        <v>192.8</v>
      </c>
      <c r="I606">
        <v>103</v>
      </c>
      <c r="J606">
        <v>32.78</v>
      </c>
      <c r="K606">
        <v>177</v>
      </c>
      <c r="L606">
        <v>83</v>
      </c>
      <c r="M606">
        <v>15.05</v>
      </c>
      <c r="N606">
        <v>216.5</v>
      </c>
      <c r="O606">
        <v>118</v>
      </c>
      <c r="P606">
        <v>9.74</v>
      </c>
      <c r="Q606">
        <v>16.399999999999999</v>
      </c>
      <c r="R606">
        <v>5</v>
      </c>
      <c r="S606">
        <v>4.43</v>
      </c>
      <c r="T606">
        <v>1</v>
      </c>
      <c r="U606" t="s">
        <v>22</v>
      </c>
      <c r="V606" t="e">
        <f>IF(#REF! = "yes", 1, 0)</f>
        <v>#REF!</v>
      </c>
      <c r="W606" t="e">
        <f>IF(#REF! &lt;= 1, "0-1 Calls", IF(#REF! &lt;= 3, "2-3 Calls", IF(#REF! &lt;=5, "4-5 Calls", "6+ Calls")))</f>
        <v>#REF!</v>
      </c>
      <c r="X606" t="e">
        <f>IF(#REF! &lt;= 50, "0-50", IF(#REF! &lt;=100, "51-100", IF(#REF! &lt;= 150, "101-150", "151+")))</f>
        <v>#REF!</v>
      </c>
      <c r="Y606" t="e">
        <f>IF(#REF! &lt;= 3, "Low Charges", "High Charges")</f>
        <v>#REF!</v>
      </c>
      <c r="Z606" t="e">
        <f>IF(#REF!&lt;=80,"Low Calls",
IF(#REF!&lt;=120,"Medium Calls","High Calls"))</f>
        <v>#REF!</v>
      </c>
      <c r="AA606" t="e">
        <f>IF(#REF!&lt;=15,"Low Charges",
IF(#REF!&lt;=20,"Medium Charges","High Charges"))</f>
        <v>#REF!</v>
      </c>
      <c r="AB606" t="e">
        <f>IF(AND(#REF!&gt;180, #REF!&gt;200), "Heavy Doemstic User", IF(#REF!&gt;10, "Interntional User", IF(AND(#REF!&lt;180, #REF!&lt;200,#REF!&lt;200), "Light User", "Balanced User")))</f>
        <v>#REF!</v>
      </c>
      <c r="AC606" t="e">
        <f>IF(#REF! = 0, "No Usage", IF(#REF! &lt;= 20, "Low Usage", IF(#REF! &lt;= 40, "Medium Usgae", "High Usage")))</f>
        <v>#REF!</v>
      </c>
      <c r="AD606" t="e">
        <f>IF(#REF!&lt;=150,"Low Usage", IF(#REF!&lt;=200,"Medium Usage", IF(#REF!&lt;=250,"High Usage","Very High Usage")))</f>
        <v>#REF!</v>
      </c>
      <c r="AE606" t="e">
        <f>IF(#REF!&lt;=5,"Low Calls", IF(#REF!&lt;=10, "Medium Calls", "High Calls"))</f>
        <v>#REF!</v>
      </c>
      <c r="AF606" t="e">
        <f xml:space="preserve">
IF(#REF!&gt;=4,4,0)+
IF(#REF!="yes",3,0)+
IF(#REF!="High Charges",3,0)+
IF(#REF!&gt;250,4,0)+
IF(#REF!="no",1,0)+
IF(#REF!="Heavy Domestic User",2,0)</f>
        <v>#REF!</v>
      </c>
      <c r="AG606" t="e">
        <f>IF(#REF!&gt;=10,"High Risk", IF(#REF!&gt;=5,"Medium Risk","Low Risk"))</f>
        <v>#REF!</v>
      </c>
      <c r="AH606" t="e">
        <f>#REF! + #REF! + #REF! + #REF!</f>
        <v>#REF!</v>
      </c>
    </row>
    <row r="607" spans="1:34" x14ac:dyDescent="0.35">
      <c r="A607">
        <v>606</v>
      </c>
      <c r="B607" t="s">
        <v>71</v>
      </c>
      <c r="C607">
        <v>57</v>
      </c>
      <c r="D607" t="s">
        <v>28</v>
      </c>
      <c r="E607" t="s">
        <v>22</v>
      </c>
      <c r="F607" t="s">
        <v>22</v>
      </c>
      <c r="G607">
        <v>0</v>
      </c>
      <c r="H607">
        <v>149.30000000000001</v>
      </c>
      <c r="I607">
        <v>100</v>
      </c>
      <c r="J607">
        <v>25.38</v>
      </c>
      <c r="K607">
        <v>200.2</v>
      </c>
      <c r="L607">
        <v>110</v>
      </c>
      <c r="M607">
        <v>17.02</v>
      </c>
      <c r="N607">
        <v>231.7</v>
      </c>
      <c r="O607">
        <v>101</v>
      </c>
      <c r="P607">
        <v>10.43</v>
      </c>
      <c r="Q607">
        <v>11.9</v>
      </c>
      <c r="R607">
        <v>3</v>
      </c>
      <c r="S607">
        <v>3.21</v>
      </c>
      <c r="T607">
        <v>2</v>
      </c>
      <c r="U607" t="s">
        <v>22</v>
      </c>
      <c r="V607" t="e">
        <f>IF(#REF! = "yes", 1, 0)</f>
        <v>#REF!</v>
      </c>
      <c r="W607" t="e">
        <f>IF(#REF! &lt;= 1, "0-1 Calls", IF(#REF! &lt;= 3, "2-3 Calls", IF(#REF! &lt;=5, "4-5 Calls", "6+ Calls")))</f>
        <v>#REF!</v>
      </c>
      <c r="X607" t="e">
        <f>IF(#REF! &lt;= 50, "0-50", IF(#REF! &lt;=100, "51-100", IF(#REF! &lt;= 150, "101-150", "151+")))</f>
        <v>#REF!</v>
      </c>
      <c r="Y607" t="e">
        <f>IF(#REF! &lt;= 3, "Low Charges", "High Charges")</f>
        <v>#REF!</v>
      </c>
      <c r="Z607" t="e">
        <f>IF(#REF!&lt;=80,"Low Calls",
IF(#REF!&lt;=120,"Medium Calls","High Calls"))</f>
        <v>#REF!</v>
      </c>
      <c r="AA607" t="e">
        <f>IF(#REF!&lt;=15,"Low Charges",
IF(#REF!&lt;=20,"Medium Charges","High Charges"))</f>
        <v>#REF!</v>
      </c>
      <c r="AB607" t="e">
        <f>IF(AND(#REF!&gt;180, #REF!&gt;200), "Heavy Doemstic User", IF(#REF!&gt;10, "Interntional User", IF(AND(#REF!&lt;180, #REF!&lt;200,#REF!&lt;200), "Light User", "Balanced User")))</f>
        <v>#REF!</v>
      </c>
      <c r="AC607" t="e">
        <f>IF(#REF! = 0, "No Usage", IF(#REF! &lt;= 20, "Low Usage", IF(#REF! &lt;= 40, "Medium Usgae", "High Usage")))</f>
        <v>#REF!</v>
      </c>
      <c r="AD607" t="e">
        <f>IF(#REF!&lt;=150,"Low Usage", IF(#REF!&lt;=200,"Medium Usage", IF(#REF!&lt;=250,"High Usage","Very High Usage")))</f>
        <v>#REF!</v>
      </c>
      <c r="AE607" t="e">
        <f>IF(#REF!&lt;=5,"Low Calls", IF(#REF!&lt;=10, "Medium Calls", "High Calls"))</f>
        <v>#REF!</v>
      </c>
      <c r="AF607" t="e">
        <f xml:space="preserve">
IF(#REF!&gt;=4,4,0)+
IF(#REF!="yes",3,0)+
IF(#REF!="High Charges",3,0)+
IF(#REF!&gt;250,4,0)+
IF(#REF!="no",1,0)+
IF(#REF!="Heavy Domestic User",2,0)</f>
        <v>#REF!</v>
      </c>
      <c r="AG607" t="e">
        <f>IF(#REF!&gt;=10,"High Risk", IF(#REF!&gt;=5,"Medium Risk","Low Risk"))</f>
        <v>#REF!</v>
      </c>
      <c r="AH607" t="e">
        <f>#REF! + #REF! + #REF! + #REF!</f>
        <v>#REF!</v>
      </c>
    </row>
    <row r="608" spans="1:34" x14ac:dyDescent="0.35">
      <c r="A608">
        <v>607</v>
      </c>
      <c r="B608" t="s">
        <v>31</v>
      </c>
      <c r="C608">
        <v>82</v>
      </c>
      <c r="D608" t="s">
        <v>25</v>
      </c>
      <c r="E608" t="s">
        <v>22</v>
      </c>
      <c r="F608" t="s">
        <v>22</v>
      </c>
      <c r="G608">
        <v>0</v>
      </c>
      <c r="H608">
        <v>143.69999999999999</v>
      </c>
      <c r="I608">
        <v>116</v>
      </c>
      <c r="J608">
        <v>24.43</v>
      </c>
      <c r="K608">
        <v>170.7</v>
      </c>
      <c r="L608">
        <v>99</v>
      </c>
      <c r="M608">
        <v>14.51</v>
      </c>
      <c r="N608">
        <v>287.7</v>
      </c>
      <c r="O608">
        <v>95</v>
      </c>
      <c r="P608">
        <v>12.95</v>
      </c>
      <c r="Q608">
        <v>7.8</v>
      </c>
      <c r="R608">
        <v>5</v>
      </c>
      <c r="S608">
        <v>2.11</v>
      </c>
      <c r="T608">
        <v>1</v>
      </c>
      <c r="U608" t="s">
        <v>22</v>
      </c>
      <c r="V608" t="e">
        <f>IF(#REF! = "yes", 1, 0)</f>
        <v>#REF!</v>
      </c>
      <c r="W608" t="e">
        <f>IF(#REF! &lt;= 1, "0-1 Calls", IF(#REF! &lt;= 3, "2-3 Calls", IF(#REF! &lt;=5, "4-5 Calls", "6+ Calls")))</f>
        <v>#REF!</v>
      </c>
      <c r="X608" t="e">
        <f>IF(#REF! &lt;= 50, "0-50", IF(#REF! &lt;=100, "51-100", IF(#REF! &lt;= 150, "101-150", "151+")))</f>
        <v>#REF!</v>
      </c>
      <c r="Y608" t="e">
        <f>IF(#REF! &lt;= 3, "Low Charges", "High Charges")</f>
        <v>#REF!</v>
      </c>
      <c r="Z608" t="e">
        <f>IF(#REF!&lt;=80,"Low Calls",
IF(#REF!&lt;=120,"Medium Calls","High Calls"))</f>
        <v>#REF!</v>
      </c>
      <c r="AA608" t="e">
        <f>IF(#REF!&lt;=15,"Low Charges",
IF(#REF!&lt;=20,"Medium Charges","High Charges"))</f>
        <v>#REF!</v>
      </c>
      <c r="AB608" t="e">
        <f>IF(AND(#REF!&gt;180, #REF!&gt;200), "Heavy Doemstic User", IF(#REF!&gt;10, "Interntional User", IF(AND(#REF!&lt;180, #REF!&lt;200,#REF!&lt;200), "Light User", "Balanced User")))</f>
        <v>#REF!</v>
      </c>
      <c r="AC608" t="e">
        <f>IF(#REF! = 0, "No Usage", IF(#REF! &lt;= 20, "Low Usage", IF(#REF! &lt;= 40, "Medium Usgae", "High Usage")))</f>
        <v>#REF!</v>
      </c>
      <c r="AD608" t="e">
        <f>IF(#REF!&lt;=150,"Low Usage", IF(#REF!&lt;=200,"Medium Usage", IF(#REF!&lt;=250,"High Usage","Very High Usage")))</f>
        <v>#REF!</v>
      </c>
      <c r="AE608" t="e">
        <f>IF(#REF!&lt;=5,"Low Calls", IF(#REF!&lt;=10, "Medium Calls", "High Calls"))</f>
        <v>#REF!</v>
      </c>
      <c r="AF608" t="e">
        <f xml:space="preserve">
IF(#REF!&gt;=4,4,0)+
IF(#REF!="yes",3,0)+
IF(#REF!="High Charges",3,0)+
IF(#REF!&gt;250,4,0)+
IF(#REF!="no",1,0)+
IF(#REF!="Heavy Domestic User",2,0)</f>
        <v>#REF!</v>
      </c>
      <c r="AG608" t="e">
        <f>IF(#REF!&gt;=10,"High Risk", IF(#REF!&gt;=5,"Medium Risk","Low Risk"))</f>
        <v>#REF!</v>
      </c>
      <c r="AH608" t="e">
        <f>#REF! + #REF! + #REF! + #REF!</f>
        <v>#REF!</v>
      </c>
    </row>
    <row r="609" spans="1:34" x14ac:dyDescent="0.35">
      <c r="A609">
        <v>608</v>
      </c>
      <c r="B609" t="s">
        <v>24</v>
      </c>
      <c r="C609">
        <v>64</v>
      </c>
      <c r="D609" t="s">
        <v>21</v>
      </c>
      <c r="E609" t="s">
        <v>22</v>
      </c>
      <c r="F609" t="s">
        <v>22</v>
      </c>
      <c r="G609">
        <v>0</v>
      </c>
      <c r="H609">
        <v>224.8</v>
      </c>
      <c r="I609">
        <v>111</v>
      </c>
      <c r="J609">
        <v>38.22</v>
      </c>
      <c r="K609">
        <v>190</v>
      </c>
      <c r="L609">
        <v>101</v>
      </c>
      <c r="M609">
        <v>16.149999999999999</v>
      </c>
      <c r="N609">
        <v>221.4</v>
      </c>
      <c r="O609">
        <v>110</v>
      </c>
      <c r="P609">
        <v>9.9600000000000009</v>
      </c>
      <c r="Q609">
        <v>9.1999999999999993</v>
      </c>
      <c r="R609">
        <v>2</v>
      </c>
      <c r="S609">
        <v>2.48</v>
      </c>
      <c r="T609">
        <v>1</v>
      </c>
      <c r="U609" t="s">
        <v>22</v>
      </c>
      <c r="V609" t="e">
        <f>IF(#REF! = "yes", 1, 0)</f>
        <v>#REF!</v>
      </c>
      <c r="W609" t="e">
        <f>IF(#REF! &lt;= 1, "0-1 Calls", IF(#REF! &lt;= 3, "2-3 Calls", IF(#REF! &lt;=5, "4-5 Calls", "6+ Calls")))</f>
        <v>#REF!</v>
      </c>
      <c r="X609" t="e">
        <f>IF(#REF! &lt;= 50, "0-50", IF(#REF! &lt;=100, "51-100", IF(#REF! &lt;= 150, "101-150", "151+")))</f>
        <v>#REF!</v>
      </c>
      <c r="Y609" t="e">
        <f>IF(#REF! &lt;= 3, "Low Charges", "High Charges")</f>
        <v>#REF!</v>
      </c>
      <c r="Z609" t="e">
        <f>IF(#REF!&lt;=80,"Low Calls",
IF(#REF!&lt;=120,"Medium Calls","High Calls"))</f>
        <v>#REF!</v>
      </c>
      <c r="AA609" t="e">
        <f>IF(#REF!&lt;=15,"Low Charges",
IF(#REF!&lt;=20,"Medium Charges","High Charges"))</f>
        <v>#REF!</v>
      </c>
      <c r="AB609" t="e">
        <f>IF(AND(#REF!&gt;180, #REF!&gt;200), "Heavy Doemstic User", IF(#REF!&gt;10, "Interntional User", IF(AND(#REF!&lt;180, #REF!&lt;200,#REF!&lt;200), "Light User", "Balanced User")))</f>
        <v>#REF!</v>
      </c>
      <c r="AC609" t="e">
        <f>IF(#REF! = 0, "No Usage", IF(#REF! &lt;= 20, "Low Usage", IF(#REF! &lt;= 40, "Medium Usgae", "High Usage")))</f>
        <v>#REF!</v>
      </c>
      <c r="AD609" t="e">
        <f>IF(#REF!&lt;=150,"Low Usage", IF(#REF!&lt;=200,"Medium Usage", IF(#REF!&lt;=250,"High Usage","Very High Usage")))</f>
        <v>#REF!</v>
      </c>
      <c r="AE609" t="e">
        <f>IF(#REF!&lt;=5,"Low Calls", IF(#REF!&lt;=10, "Medium Calls", "High Calls"))</f>
        <v>#REF!</v>
      </c>
      <c r="AF609" t="e">
        <f xml:space="preserve">
IF(#REF!&gt;=4,4,0)+
IF(#REF!="yes",3,0)+
IF(#REF!="High Charges",3,0)+
IF(#REF!&gt;250,4,0)+
IF(#REF!="no",1,0)+
IF(#REF!="Heavy Domestic User",2,0)</f>
        <v>#REF!</v>
      </c>
      <c r="AG609" t="e">
        <f>IF(#REF!&gt;=10,"High Risk", IF(#REF!&gt;=5,"Medium Risk","Low Risk"))</f>
        <v>#REF!</v>
      </c>
      <c r="AH609" t="e">
        <f>#REF! + #REF! + #REF! + #REF!</f>
        <v>#REF!</v>
      </c>
    </row>
    <row r="610" spans="1:34" x14ac:dyDescent="0.35">
      <c r="A610">
        <v>609</v>
      </c>
      <c r="B610" t="s">
        <v>67</v>
      </c>
      <c r="C610">
        <v>86</v>
      </c>
      <c r="D610" t="s">
        <v>28</v>
      </c>
      <c r="E610" t="s">
        <v>22</v>
      </c>
      <c r="F610" t="s">
        <v>23</v>
      </c>
      <c r="G610">
        <v>39</v>
      </c>
      <c r="H610">
        <v>261.2</v>
      </c>
      <c r="I610">
        <v>122</v>
      </c>
      <c r="J610">
        <v>44.4</v>
      </c>
      <c r="K610">
        <v>214.2</v>
      </c>
      <c r="L610">
        <v>101</v>
      </c>
      <c r="M610">
        <v>18.21</v>
      </c>
      <c r="N610">
        <v>154.9</v>
      </c>
      <c r="O610">
        <v>101</v>
      </c>
      <c r="P610">
        <v>6.97</v>
      </c>
      <c r="Q610">
        <v>12.7</v>
      </c>
      <c r="R610">
        <v>5</v>
      </c>
      <c r="S610">
        <v>3.43</v>
      </c>
      <c r="T610">
        <v>2</v>
      </c>
      <c r="U610" t="s">
        <v>22</v>
      </c>
      <c r="V610" t="e">
        <f>IF(#REF! = "yes", 1, 0)</f>
        <v>#REF!</v>
      </c>
      <c r="W610" t="e">
        <f>IF(#REF! &lt;= 1, "0-1 Calls", IF(#REF! &lt;= 3, "2-3 Calls", IF(#REF! &lt;=5, "4-5 Calls", "6+ Calls")))</f>
        <v>#REF!</v>
      </c>
      <c r="X610" t="e">
        <f>IF(#REF! &lt;= 50, "0-50", IF(#REF! &lt;=100, "51-100", IF(#REF! &lt;= 150, "101-150", "151+")))</f>
        <v>#REF!</v>
      </c>
      <c r="Y610" t="e">
        <f>IF(#REF! &lt;= 3, "Low Charges", "High Charges")</f>
        <v>#REF!</v>
      </c>
      <c r="Z610" t="e">
        <f>IF(#REF!&lt;=80,"Low Calls",
IF(#REF!&lt;=120,"Medium Calls","High Calls"))</f>
        <v>#REF!</v>
      </c>
      <c r="AA610" t="e">
        <f>IF(#REF!&lt;=15,"Low Charges",
IF(#REF!&lt;=20,"Medium Charges","High Charges"))</f>
        <v>#REF!</v>
      </c>
      <c r="AB610" t="e">
        <f>IF(AND(#REF!&gt;180, #REF!&gt;200), "Heavy Doemstic User", IF(#REF!&gt;10, "Interntional User", IF(AND(#REF!&lt;180, #REF!&lt;200,#REF!&lt;200), "Light User", "Balanced User")))</f>
        <v>#REF!</v>
      </c>
      <c r="AC610" t="e">
        <f>IF(#REF! = 0, "No Usage", IF(#REF! &lt;= 20, "Low Usage", IF(#REF! &lt;= 40, "Medium Usgae", "High Usage")))</f>
        <v>#REF!</v>
      </c>
      <c r="AD610" t="e">
        <f>IF(#REF!&lt;=150,"Low Usage", IF(#REF!&lt;=200,"Medium Usage", IF(#REF!&lt;=250,"High Usage","Very High Usage")))</f>
        <v>#REF!</v>
      </c>
      <c r="AE610" t="e">
        <f>IF(#REF!&lt;=5,"Low Calls", IF(#REF!&lt;=10, "Medium Calls", "High Calls"))</f>
        <v>#REF!</v>
      </c>
      <c r="AF610" t="e">
        <f xml:space="preserve">
IF(#REF!&gt;=4,4,0)+
IF(#REF!="yes",3,0)+
IF(#REF!="High Charges",3,0)+
IF(#REF!&gt;250,4,0)+
IF(#REF!="no",1,0)+
IF(#REF!="Heavy Domestic User",2,0)</f>
        <v>#REF!</v>
      </c>
      <c r="AG610" t="e">
        <f>IF(#REF!&gt;=10,"High Risk", IF(#REF!&gt;=5,"Medium Risk","Low Risk"))</f>
        <v>#REF!</v>
      </c>
      <c r="AH610" t="e">
        <f>#REF! + #REF! + #REF! + #REF!</f>
        <v>#REF!</v>
      </c>
    </row>
    <row r="611" spans="1:34" x14ac:dyDescent="0.35">
      <c r="A611">
        <v>610</v>
      </c>
      <c r="B611" t="s">
        <v>66</v>
      </c>
      <c r="C611">
        <v>151</v>
      </c>
      <c r="D611" t="s">
        <v>21</v>
      </c>
      <c r="E611" t="s">
        <v>22</v>
      </c>
      <c r="F611" t="s">
        <v>23</v>
      </c>
      <c r="G611">
        <v>26</v>
      </c>
      <c r="H611">
        <v>196.5</v>
      </c>
      <c r="I611">
        <v>98</v>
      </c>
      <c r="J611">
        <v>33.409999999999997</v>
      </c>
      <c r="K611">
        <v>175.8</v>
      </c>
      <c r="L611">
        <v>111</v>
      </c>
      <c r="M611">
        <v>14.94</v>
      </c>
      <c r="N611">
        <v>221.8</v>
      </c>
      <c r="O611">
        <v>124</v>
      </c>
      <c r="P611">
        <v>9.98</v>
      </c>
      <c r="Q611">
        <v>13.4</v>
      </c>
      <c r="R611">
        <v>5</v>
      </c>
      <c r="S611">
        <v>3.62</v>
      </c>
      <c r="T611">
        <v>0</v>
      </c>
      <c r="U611" t="s">
        <v>22</v>
      </c>
      <c r="V611" t="e">
        <f>IF(#REF! = "yes", 1, 0)</f>
        <v>#REF!</v>
      </c>
      <c r="W611" t="e">
        <f>IF(#REF! &lt;= 1, "0-1 Calls", IF(#REF! &lt;= 3, "2-3 Calls", IF(#REF! &lt;=5, "4-5 Calls", "6+ Calls")))</f>
        <v>#REF!</v>
      </c>
      <c r="X611" t="e">
        <f>IF(#REF! &lt;= 50, "0-50", IF(#REF! &lt;=100, "51-100", IF(#REF! &lt;= 150, "101-150", "151+")))</f>
        <v>#REF!</v>
      </c>
      <c r="Y611" t="e">
        <f>IF(#REF! &lt;= 3, "Low Charges", "High Charges")</f>
        <v>#REF!</v>
      </c>
      <c r="Z611" t="e">
        <f>IF(#REF!&lt;=80,"Low Calls",
IF(#REF!&lt;=120,"Medium Calls","High Calls"))</f>
        <v>#REF!</v>
      </c>
      <c r="AA611" t="e">
        <f>IF(#REF!&lt;=15,"Low Charges",
IF(#REF!&lt;=20,"Medium Charges","High Charges"))</f>
        <v>#REF!</v>
      </c>
      <c r="AB611" t="e">
        <f>IF(AND(#REF!&gt;180, #REF!&gt;200), "Heavy Doemstic User", IF(#REF!&gt;10, "Interntional User", IF(AND(#REF!&lt;180, #REF!&lt;200,#REF!&lt;200), "Light User", "Balanced User")))</f>
        <v>#REF!</v>
      </c>
      <c r="AC611" t="e">
        <f>IF(#REF! = 0, "No Usage", IF(#REF! &lt;= 20, "Low Usage", IF(#REF! &lt;= 40, "Medium Usgae", "High Usage")))</f>
        <v>#REF!</v>
      </c>
      <c r="AD611" t="e">
        <f>IF(#REF!&lt;=150,"Low Usage", IF(#REF!&lt;=200,"Medium Usage", IF(#REF!&lt;=250,"High Usage","Very High Usage")))</f>
        <v>#REF!</v>
      </c>
      <c r="AE611" t="e">
        <f>IF(#REF!&lt;=5,"Low Calls", IF(#REF!&lt;=10, "Medium Calls", "High Calls"))</f>
        <v>#REF!</v>
      </c>
      <c r="AF611" t="e">
        <f xml:space="preserve">
IF(#REF!&gt;=4,4,0)+
IF(#REF!="yes",3,0)+
IF(#REF!="High Charges",3,0)+
IF(#REF!&gt;250,4,0)+
IF(#REF!="no",1,0)+
IF(#REF!="Heavy Domestic User",2,0)</f>
        <v>#REF!</v>
      </c>
      <c r="AG611" t="e">
        <f>IF(#REF!&gt;=10,"High Risk", IF(#REF!&gt;=5,"Medium Risk","Low Risk"))</f>
        <v>#REF!</v>
      </c>
      <c r="AH611" t="e">
        <f>#REF! + #REF! + #REF! + #REF!</f>
        <v>#REF!</v>
      </c>
    </row>
    <row r="612" spans="1:34" x14ac:dyDescent="0.35">
      <c r="A612">
        <v>611</v>
      </c>
      <c r="B612" t="s">
        <v>44</v>
      </c>
      <c r="C612">
        <v>94</v>
      </c>
      <c r="D612" t="s">
        <v>28</v>
      </c>
      <c r="E612" t="s">
        <v>22</v>
      </c>
      <c r="F612" t="s">
        <v>22</v>
      </c>
      <c r="G612">
        <v>0</v>
      </c>
      <c r="H612">
        <v>271.2</v>
      </c>
      <c r="I612">
        <v>105</v>
      </c>
      <c r="J612">
        <v>46.1</v>
      </c>
      <c r="K612">
        <v>202.6</v>
      </c>
      <c r="L612">
        <v>105</v>
      </c>
      <c r="M612">
        <v>17.22</v>
      </c>
      <c r="N612">
        <v>221.6</v>
      </c>
      <c r="O612">
        <v>51</v>
      </c>
      <c r="P612">
        <v>9.9700000000000006</v>
      </c>
      <c r="Q612">
        <v>11.5</v>
      </c>
      <c r="R612">
        <v>3</v>
      </c>
      <c r="S612">
        <v>3.11</v>
      </c>
      <c r="T612">
        <v>3</v>
      </c>
      <c r="U612" t="s">
        <v>23</v>
      </c>
      <c r="V612" t="e">
        <f>IF(#REF! = "yes", 1, 0)</f>
        <v>#REF!</v>
      </c>
      <c r="W612" t="e">
        <f>IF(#REF! &lt;= 1, "0-1 Calls", IF(#REF! &lt;= 3, "2-3 Calls", IF(#REF! &lt;=5, "4-5 Calls", "6+ Calls")))</f>
        <v>#REF!</v>
      </c>
      <c r="X612" t="e">
        <f>IF(#REF! &lt;= 50, "0-50", IF(#REF! &lt;=100, "51-100", IF(#REF! &lt;= 150, "101-150", "151+")))</f>
        <v>#REF!</v>
      </c>
      <c r="Y612" t="e">
        <f>IF(#REF! &lt;= 3, "Low Charges", "High Charges")</f>
        <v>#REF!</v>
      </c>
      <c r="Z612" t="e">
        <f>IF(#REF!&lt;=80,"Low Calls",
IF(#REF!&lt;=120,"Medium Calls","High Calls"))</f>
        <v>#REF!</v>
      </c>
      <c r="AA612" t="e">
        <f>IF(#REF!&lt;=15,"Low Charges",
IF(#REF!&lt;=20,"Medium Charges","High Charges"))</f>
        <v>#REF!</v>
      </c>
      <c r="AB612" t="e">
        <f>IF(AND(#REF!&gt;180, #REF!&gt;200), "Heavy Doemstic User", IF(#REF!&gt;10, "Interntional User", IF(AND(#REF!&lt;180, #REF!&lt;200,#REF!&lt;200), "Light User", "Balanced User")))</f>
        <v>#REF!</v>
      </c>
      <c r="AC612" t="e">
        <f>IF(#REF! = 0, "No Usage", IF(#REF! &lt;= 20, "Low Usage", IF(#REF! &lt;= 40, "Medium Usgae", "High Usage")))</f>
        <v>#REF!</v>
      </c>
      <c r="AD612" t="e">
        <f>IF(#REF!&lt;=150,"Low Usage", IF(#REF!&lt;=200,"Medium Usage", IF(#REF!&lt;=250,"High Usage","Very High Usage")))</f>
        <v>#REF!</v>
      </c>
      <c r="AE612" t="e">
        <f>IF(#REF!&lt;=5,"Low Calls", IF(#REF!&lt;=10, "Medium Calls", "High Calls"))</f>
        <v>#REF!</v>
      </c>
      <c r="AF612" t="e">
        <f xml:space="preserve">
IF(#REF!&gt;=4,4,0)+
IF(#REF!="yes",3,0)+
IF(#REF!="High Charges",3,0)+
IF(#REF!&gt;250,4,0)+
IF(#REF!="no",1,0)+
IF(#REF!="Heavy Domestic User",2,0)</f>
        <v>#REF!</v>
      </c>
      <c r="AG612" t="e">
        <f>IF(#REF!&gt;=10,"High Risk", IF(#REF!&gt;=5,"Medium Risk","Low Risk"))</f>
        <v>#REF!</v>
      </c>
      <c r="AH612" t="e">
        <f>#REF! + #REF! + #REF! + #REF!</f>
        <v>#REF!</v>
      </c>
    </row>
    <row r="613" spans="1:34" x14ac:dyDescent="0.35">
      <c r="A613">
        <v>612</v>
      </c>
      <c r="B613" t="s">
        <v>44</v>
      </c>
      <c r="C613">
        <v>90</v>
      </c>
      <c r="D613" t="s">
        <v>21</v>
      </c>
      <c r="E613" t="s">
        <v>22</v>
      </c>
      <c r="F613" t="s">
        <v>22</v>
      </c>
      <c r="G613">
        <v>0</v>
      </c>
      <c r="H613">
        <v>207.2</v>
      </c>
      <c r="I613">
        <v>121</v>
      </c>
      <c r="J613">
        <v>35.22</v>
      </c>
      <c r="K613">
        <v>292.5</v>
      </c>
      <c r="L613">
        <v>104</v>
      </c>
      <c r="M613">
        <v>24.86</v>
      </c>
      <c r="N613">
        <v>226.3</v>
      </c>
      <c r="O613">
        <v>103</v>
      </c>
      <c r="P613">
        <v>10.18</v>
      </c>
      <c r="Q613">
        <v>8</v>
      </c>
      <c r="R613">
        <v>1</v>
      </c>
      <c r="S613">
        <v>2.16</v>
      </c>
      <c r="T613">
        <v>2</v>
      </c>
      <c r="U613" t="s">
        <v>22</v>
      </c>
      <c r="V613" t="e">
        <f>IF(#REF! = "yes", 1, 0)</f>
        <v>#REF!</v>
      </c>
      <c r="W613" t="e">
        <f>IF(#REF! &lt;= 1, "0-1 Calls", IF(#REF! &lt;= 3, "2-3 Calls", IF(#REF! &lt;=5, "4-5 Calls", "6+ Calls")))</f>
        <v>#REF!</v>
      </c>
      <c r="X613" t="e">
        <f>IF(#REF! &lt;= 50, "0-50", IF(#REF! &lt;=100, "51-100", IF(#REF! &lt;= 150, "101-150", "151+")))</f>
        <v>#REF!</v>
      </c>
      <c r="Y613" t="e">
        <f>IF(#REF! &lt;= 3, "Low Charges", "High Charges")</f>
        <v>#REF!</v>
      </c>
      <c r="Z613" t="e">
        <f>IF(#REF!&lt;=80,"Low Calls",
IF(#REF!&lt;=120,"Medium Calls","High Calls"))</f>
        <v>#REF!</v>
      </c>
      <c r="AA613" t="e">
        <f>IF(#REF!&lt;=15,"Low Charges",
IF(#REF!&lt;=20,"Medium Charges","High Charges"))</f>
        <v>#REF!</v>
      </c>
      <c r="AB613" t="e">
        <f>IF(AND(#REF!&gt;180, #REF!&gt;200), "Heavy Doemstic User", IF(#REF!&gt;10, "Interntional User", IF(AND(#REF!&lt;180, #REF!&lt;200,#REF!&lt;200), "Light User", "Balanced User")))</f>
        <v>#REF!</v>
      </c>
      <c r="AC613" t="e">
        <f>IF(#REF! = 0, "No Usage", IF(#REF! &lt;= 20, "Low Usage", IF(#REF! &lt;= 40, "Medium Usgae", "High Usage")))</f>
        <v>#REF!</v>
      </c>
      <c r="AD613" t="e">
        <f>IF(#REF!&lt;=150,"Low Usage", IF(#REF!&lt;=200,"Medium Usage", IF(#REF!&lt;=250,"High Usage","Very High Usage")))</f>
        <v>#REF!</v>
      </c>
      <c r="AE613" t="e">
        <f>IF(#REF!&lt;=5,"Low Calls", IF(#REF!&lt;=10, "Medium Calls", "High Calls"))</f>
        <v>#REF!</v>
      </c>
      <c r="AF613" t="e">
        <f xml:space="preserve">
IF(#REF!&gt;=4,4,0)+
IF(#REF!="yes",3,0)+
IF(#REF!="High Charges",3,0)+
IF(#REF!&gt;250,4,0)+
IF(#REF!="no",1,0)+
IF(#REF!="Heavy Domestic User",2,0)</f>
        <v>#REF!</v>
      </c>
      <c r="AG613" t="e">
        <f>IF(#REF!&gt;=10,"High Risk", IF(#REF!&gt;=5,"Medium Risk","Low Risk"))</f>
        <v>#REF!</v>
      </c>
      <c r="AH613" t="e">
        <f>#REF! + #REF! + #REF! + #REF!</f>
        <v>#REF!</v>
      </c>
    </row>
    <row r="614" spans="1:34" x14ac:dyDescent="0.35">
      <c r="A614">
        <v>613</v>
      </c>
      <c r="B614" t="s">
        <v>32</v>
      </c>
      <c r="C614">
        <v>48</v>
      </c>
      <c r="D614" t="s">
        <v>28</v>
      </c>
      <c r="E614" t="s">
        <v>22</v>
      </c>
      <c r="F614" t="s">
        <v>22</v>
      </c>
      <c r="G614">
        <v>0</v>
      </c>
      <c r="H614">
        <v>300.39999999999998</v>
      </c>
      <c r="I614">
        <v>94</v>
      </c>
      <c r="J614">
        <v>51.07</v>
      </c>
      <c r="K614">
        <v>133.19999999999999</v>
      </c>
      <c r="L614">
        <v>103</v>
      </c>
      <c r="M614">
        <v>11.32</v>
      </c>
      <c r="N614">
        <v>197.4</v>
      </c>
      <c r="O614">
        <v>94</v>
      </c>
      <c r="P614">
        <v>8.8800000000000008</v>
      </c>
      <c r="Q614">
        <v>7.2</v>
      </c>
      <c r="R614">
        <v>5</v>
      </c>
      <c r="S614">
        <v>1.94</v>
      </c>
      <c r="T614">
        <v>2</v>
      </c>
      <c r="U614" t="s">
        <v>22</v>
      </c>
      <c r="V614" t="e">
        <f>IF(#REF! = "yes", 1, 0)</f>
        <v>#REF!</v>
      </c>
      <c r="W614" t="e">
        <f>IF(#REF! &lt;= 1, "0-1 Calls", IF(#REF! &lt;= 3, "2-3 Calls", IF(#REF! &lt;=5, "4-5 Calls", "6+ Calls")))</f>
        <v>#REF!</v>
      </c>
      <c r="X614" t="e">
        <f>IF(#REF! &lt;= 50, "0-50", IF(#REF! &lt;=100, "51-100", IF(#REF! &lt;= 150, "101-150", "151+")))</f>
        <v>#REF!</v>
      </c>
      <c r="Y614" t="e">
        <f>IF(#REF! &lt;= 3, "Low Charges", "High Charges")</f>
        <v>#REF!</v>
      </c>
      <c r="Z614" t="e">
        <f>IF(#REF!&lt;=80,"Low Calls",
IF(#REF!&lt;=120,"Medium Calls","High Calls"))</f>
        <v>#REF!</v>
      </c>
      <c r="AA614" t="e">
        <f>IF(#REF!&lt;=15,"Low Charges",
IF(#REF!&lt;=20,"Medium Charges","High Charges"))</f>
        <v>#REF!</v>
      </c>
      <c r="AB614" t="e">
        <f>IF(AND(#REF!&gt;180, #REF!&gt;200), "Heavy Doemstic User", IF(#REF!&gt;10, "Interntional User", IF(AND(#REF!&lt;180, #REF!&lt;200,#REF!&lt;200), "Light User", "Balanced User")))</f>
        <v>#REF!</v>
      </c>
      <c r="AC614" t="e">
        <f>IF(#REF! = 0, "No Usage", IF(#REF! &lt;= 20, "Low Usage", IF(#REF! &lt;= 40, "Medium Usgae", "High Usage")))</f>
        <v>#REF!</v>
      </c>
      <c r="AD614" t="e">
        <f>IF(#REF!&lt;=150,"Low Usage", IF(#REF!&lt;=200,"Medium Usage", IF(#REF!&lt;=250,"High Usage","Very High Usage")))</f>
        <v>#REF!</v>
      </c>
      <c r="AE614" t="e">
        <f>IF(#REF!&lt;=5,"Low Calls", IF(#REF!&lt;=10, "Medium Calls", "High Calls"))</f>
        <v>#REF!</v>
      </c>
      <c r="AF614" t="e">
        <f xml:space="preserve">
IF(#REF!&gt;=4,4,0)+
IF(#REF!="yes",3,0)+
IF(#REF!="High Charges",3,0)+
IF(#REF!&gt;250,4,0)+
IF(#REF!="no",1,0)+
IF(#REF!="Heavy Domestic User",2,0)</f>
        <v>#REF!</v>
      </c>
      <c r="AG614" t="e">
        <f>IF(#REF!&gt;=10,"High Risk", IF(#REF!&gt;=5,"Medium Risk","Low Risk"))</f>
        <v>#REF!</v>
      </c>
      <c r="AH614" t="e">
        <f>#REF! + #REF! + #REF! + #REF!</f>
        <v>#REF!</v>
      </c>
    </row>
    <row r="615" spans="1:34" x14ac:dyDescent="0.35">
      <c r="A615">
        <v>614</v>
      </c>
      <c r="B615" t="s">
        <v>24</v>
      </c>
      <c r="C615">
        <v>93</v>
      </c>
      <c r="D615" t="s">
        <v>21</v>
      </c>
      <c r="E615" t="s">
        <v>23</v>
      </c>
      <c r="F615" t="s">
        <v>23</v>
      </c>
      <c r="G615">
        <v>20</v>
      </c>
      <c r="H615">
        <v>187.5</v>
      </c>
      <c r="I615">
        <v>110</v>
      </c>
      <c r="J615">
        <v>31.88</v>
      </c>
      <c r="K615">
        <v>169.8</v>
      </c>
      <c r="L615">
        <v>94</v>
      </c>
      <c r="M615">
        <v>14.43</v>
      </c>
      <c r="N615">
        <v>175.3</v>
      </c>
      <c r="O615">
        <v>127</v>
      </c>
      <c r="P615">
        <v>7.89</v>
      </c>
      <c r="Q615">
        <v>12.1</v>
      </c>
      <c r="R615">
        <v>4</v>
      </c>
      <c r="S615">
        <v>3.27</v>
      </c>
      <c r="T615">
        <v>1</v>
      </c>
      <c r="U615" t="s">
        <v>22</v>
      </c>
      <c r="V615" t="e">
        <f>IF(#REF! = "yes", 1, 0)</f>
        <v>#REF!</v>
      </c>
      <c r="W615" t="e">
        <f>IF(#REF! &lt;= 1, "0-1 Calls", IF(#REF! &lt;= 3, "2-3 Calls", IF(#REF! &lt;=5, "4-5 Calls", "6+ Calls")))</f>
        <v>#REF!</v>
      </c>
      <c r="X615" t="e">
        <f>IF(#REF! &lt;= 50, "0-50", IF(#REF! &lt;=100, "51-100", IF(#REF! &lt;= 150, "101-150", "151+")))</f>
        <v>#REF!</v>
      </c>
      <c r="Y615" t="e">
        <f>IF(#REF! &lt;= 3, "Low Charges", "High Charges")</f>
        <v>#REF!</v>
      </c>
      <c r="Z615" t="e">
        <f>IF(#REF!&lt;=80,"Low Calls",
IF(#REF!&lt;=120,"Medium Calls","High Calls"))</f>
        <v>#REF!</v>
      </c>
      <c r="AA615" t="e">
        <f>IF(#REF!&lt;=15,"Low Charges",
IF(#REF!&lt;=20,"Medium Charges","High Charges"))</f>
        <v>#REF!</v>
      </c>
      <c r="AB615" t="e">
        <f>IF(AND(#REF!&gt;180, #REF!&gt;200), "Heavy Doemstic User", IF(#REF!&gt;10, "Interntional User", IF(AND(#REF!&lt;180, #REF!&lt;200,#REF!&lt;200), "Light User", "Balanced User")))</f>
        <v>#REF!</v>
      </c>
      <c r="AC615" t="e">
        <f>IF(#REF! = 0, "No Usage", IF(#REF! &lt;= 20, "Low Usage", IF(#REF! &lt;= 40, "Medium Usgae", "High Usage")))</f>
        <v>#REF!</v>
      </c>
      <c r="AD615" t="e">
        <f>IF(#REF!&lt;=150,"Low Usage", IF(#REF!&lt;=200,"Medium Usage", IF(#REF!&lt;=250,"High Usage","Very High Usage")))</f>
        <v>#REF!</v>
      </c>
      <c r="AE615" t="e">
        <f>IF(#REF!&lt;=5,"Low Calls", IF(#REF!&lt;=10, "Medium Calls", "High Calls"))</f>
        <v>#REF!</v>
      </c>
      <c r="AF615" t="e">
        <f xml:space="preserve">
IF(#REF!&gt;=4,4,0)+
IF(#REF!="yes",3,0)+
IF(#REF!="High Charges",3,0)+
IF(#REF!&gt;250,4,0)+
IF(#REF!="no",1,0)+
IF(#REF!="Heavy Domestic User",2,0)</f>
        <v>#REF!</v>
      </c>
      <c r="AG615" t="e">
        <f>IF(#REF!&gt;=10,"High Risk", IF(#REF!&gt;=5,"Medium Risk","Low Risk"))</f>
        <v>#REF!</v>
      </c>
      <c r="AH615" t="e">
        <f>#REF! + #REF! + #REF! + #REF!</f>
        <v>#REF!</v>
      </c>
    </row>
    <row r="616" spans="1:34" x14ac:dyDescent="0.35">
      <c r="A616">
        <v>615</v>
      </c>
      <c r="B616" t="s">
        <v>63</v>
      </c>
      <c r="C616">
        <v>169</v>
      </c>
      <c r="D616" t="s">
        <v>21</v>
      </c>
      <c r="E616" t="s">
        <v>23</v>
      </c>
      <c r="F616" t="s">
        <v>22</v>
      </c>
      <c r="G616">
        <v>0</v>
      </c>
      <c r="H616">
        <v>57.1</v>
      </c>
      <c r="I616">
        <v>98</v>
      </c>
      <c r="J616">
        <v>9.7100000000000009</v>
      </c>
      <c r="K616">
        <v>199.7</v>
      </c>
      <c r="L616">
        <v>78</v>
      </c>
      <c r="M616">
        <v>16.97</v>
      </c>
      <c r="N616">
        <v>274.7</v>
      </c>
      <c r="O616">
        <v>103</v>
      </c>
      <c r="P616">
        <v>12.36</v>
      </c>
      <c r="Q616">
        <v>6.5</v>
      </c>
      <c r="R616">
        <v>6</v>
      </c>
      <c r="S616">
        <v>1.76</v>
      </c>
      <c r="T616">
        <v>3</v>
      </c>
      <c r="U616" t="s">
        <v>22</v>
      </c>
      <c r="V616" t="e">
        <f>IF(#REF! = "yes", 1, 0)</f>
        <v>#REF!</v>
      </c>
      <c r="W616" t="e">
        <f>IF(#REF! &lt;= 1, "0-1 Calls", IF(#REF! &lt;= 3, "2-3 Calls", IF(#REF! &lt;=5, "4-5 Calls", "6+ Calls")))</f>
        <v>#REF!</v>
      </c>
      <c r="X616" t="e">
        <f>IF(#REF! &lt;= 50, "0-50", IF(#REF! &lt;=100, "51-100", IF(#REF! &lt;= 150, "101-150", "151+")))</f>
        <v>#REF!</v>
      </c>
      <c r="Y616" t="e">
        <f>IF(#REF! &lt;= 3, "Low Charges", "High Charges")</f>
        <v>#REF!</v>
      </c>
      <c r="Z616" t="e">
        <f>IF(#REF!&lt;=80,"Low Calls",
IF(#REF!&lt;=120,"Medium Calls","High Calls"))</f>
        <v>#REF!</v>
      </c>
      <c r="AA616" t="e">
        <f>IF(#REF!&lt;=15,"Low Charges",
IF(#REF!&lt;=20,"Medium Charges","High Charges"))</f>
        <v>#REF!</v>
      </c>
      <c r="AB616" t="e">
        <f>IF(AND(#REF!&gt;180, #REF!&gt;200), "Heavy Doemstic User", IF(#REF!&gt;10, "Interntional User", IF(AND(#REF!&lt;180, #REF!&lt;200,#REF!&lt;200), "Light User", "Balanced User")))</f>
        <v>#REF!</v>
      </c>
      <c r="AC616" t="e">
        <f>IF(#REF! = 0, "No Usage", IF(#REF! &lt;= 20, "Low Usage", IF(#REF! &lt;= 40, "Medium Usgae", "High Usage")))</f>
        <v>#REF!</v>
      </c>
      <c r="AD616" t="e">
        <f>IF(#REF!&lt;=150,"Low Usage", IF(#REF!&lt;=200,"Medium Usage", IF(#REF!&lt;=250,"High Usage","Very High Usage")))</f>
        <v>#REF!</v>
      </c>
      <c r="AE616" t="e">
        <f>IF(#REF!&lt;=5,"Low Calls", IF(#REF!&lt;=10, "Medium Calls", "High Calls"))</f>
        <v>#REF!</v>
      </c>
      <c r="AF616" t="e">
        <f xml:space="preserve">
IF(#REF!&gt;=4,4,0)+
IF(#REF!="yes",3,0)+
IF(#REF!="High Charges",3,0)+
IF(#REF!&gt;250,4,0)+
IF(#REF!="no",1,0)+
IF(#REF!="Heavy Domestic User",2,0)</f>
        <v>#REF!</v>
      </c>
      <c r="AG616" t="e">
        <f>IF(#REF!&gt;=10,"High Risk", IF(#REF!&gt;=5,"Medium Risk","Low Risk"))</f>
        <v>#REF!</v>
      </c>
      <c r="AH616" t="e">
        <f>#REF! + #REF! + #REF! + #REF!</f>
        <v>#REF!</v>
      </c>
    </row>
    <row r="617" spans="1:34" x14ac:dyDescent="0.35">
      <c r="A617">
        <v>616</v>
      </c>
      <c r="B617" t="s">
        <v>65</v>
      </c>
      <c r="C617">
        <v>91</v>
      </c>
      <c r="D617" t="s">
        <v>21</v>
      </c>
      <c r="E617" t="s">
        <v>23</v>
      </c>
      <c r="F617" t="s">
        <v>22</v>
      </c>
      <c r="G617">
        <v>0</v>
      </c>
      <c r="H617">
        <v>145</v>
      </c>
      <c r="I617">
        <v>89</v>
      </c>
      <c r="J617">
        <v>24.65</v>
      </c>
      <c r="K617">
        <v>175.8</v>
      </c>
      <c r="L617">
        <v>102</v>
      </c>
      <c r="M617">
        <v>14.94</v>
      </c>
      <c r="N617">
        <v>223.7</v>
      </c>
      <c r="O617">
        <v>151</v>
      </c>
      <c r="P617">
        <v>10.07</v>
      </c>
      <c r="Q617">
        <v>16.7</v>
      </c>
      <c r="R617">
        <v>3</v>
      </c>
      <c r="S617">
        <v>4.51</v>
      </c>
      <c r="T617">
        <v>2</v>
      </c>
      <c r="U617" t="s">
        <v>23</v>
      </c>
      <c r="V617" t="e">
        <f>IF(#REF! = "yes", 1, 0)</f>
        <v>#REF!</v>
      </c>
      <c r="W617" t="e">
        <f>IF(#REF! &lt;= 1, "0-1 Calls", IF(#REF! &lt;= 3, "2-3 Calls", IF(#REF! &lt;=5, "4-5 Calls", "6+ Calls")))</f>
        <v>#REF!</v>
      </c>
      <c r="X617" t="e">
        <f>IF(#REF! &lt;= 50, "0-50", IF(#REF! &lt;=100, "51-100", IF(#REF! &lt;= 150, "101-150", "151+")))</f>
        <v>#REF!</v>
      </c>
      <c r="Y617" t="e">
        <f>IF(#REF! &lt;= 3, "Low Charges", "High Charges")</f>
        <v>#REF!</v>
      </c>
      <c r="Z617" t="e">
        <f>IF(#REF!&lt;=80,"Low Calls",
IF(#REF!&lt;=120,"Medium Calls","High Calls"))</f>
        <v>#REF!</v>
      </c>
      <c r="AA617" t="e">
        <f>IF(#REF!&lt;=15,"Low Charges",
IF(#REF!&lt;=20,"Medium Charges","High Charges"))</f>
        <v>#REF!</v>
      </c>
      <c r="AB617" t="e">
        <f>IF(AND(#REF!&gt;180, #REF!&gt;200), "Heavy Doemstic User", IF(#REF!&gt;10, "Interntional User", IF(AND(#REF!&lt;180, #REF!&lt;200,#REF!&lt;200), "Light User", "Balanced User")))</f>
        <v>#REF!</v>
      </c>
      <c r="AC617" t="e">
        <f>IF(#REF! = 0, "No Usage", IF(#REF! &lt;= 20, "Low Usage", IF(#REF! &lt;= 40, "Medium Usgae", "High Usage")))</f>
        <v>#REF!</v>
      </c>
      <c r="AD617" t="e">
        <f>IF(#REF!&lt;=150,"Low Usage", IF(#REF!&lt;=200,"Medium Usage", IF(#REF!&lt;=250,"High Usage","Very High Usage")))</f>
        <v>#REF!</v>
      </c>
      <c r="AE617" t="e">
        <f>IF(#REF!&lt;=5,"Low Calls", IF(#REF!&lt;=10, "Medium Calls", "High Calls"))</f>
        <v>#REF!</v>
      </c>
      <c r="AF617" t="e">
        <f xml:space="preserve">
IF(#REF!&gt;=4,4,0)+
IF(#REF!="yes",3,0)+
IF(#REF!="High Charges",3,0)+
IF(#REF!&gt;250,4,0)+
IF(#REF!="no",1,0)+
IF(#REF!="Heavy Domestic User",2,0)</f>
        <v>#REF!</v>
      </c>
      <c r="AG617" t="e">
        <f>IF(#REF!&gt;=10,"High Risk", IF(#REF!&gt;=5,"Medium Risk","Low Risk"))</f>
        <v>#REF!</v>
      </c>
      <c r="AH617" t="e">
        <f>#REF! + #REF! + #REF! + #REF!</f>
        <v>#REF!</v>
      </c>
    </row>
    <row r="618" spans="1:34" x14ac:dyDescent="0.35">
      <c r="A618">
        <v>617</v>
      </c>
      <c r="B618" t="s">
        <v>53</v>
      </c>
      <c r="C618">
        <v>101</v>
      </c>
      <c r="D618" t="s">
        <v>28</v>
      </c>
      <c r="E618" t="s">
        <v>22</v>
      </c>
      <c r="F618" t="s">
        <v>22</v>
      </c>
      <c r="G618">
        <v>0</v>
      </c>
      <c r="H618">
        <v>190.7</v>
      </c>
      <c r="I618">
        <v>72</v>
      </c>
      <c r="J618">
        <v>32.42</v>
      </c>
      <c r="K618">
        <v>208.6</v>
      </c>
      <c r="L618">
        <v>103</v>
      </c>
      <c r="M618">
        <v>17.73</v>
      </c>
      <c r="N618">
        <v>203.8</v>
      </c>
      <c r="O618">
        <v>111</v>
      </c>
      <c r="P618">
        <v>9.17</v>
      </c>
      <c r="Q618">
        <v>8.8000000000000007</v>
      </c>
      <c r="R618">
        <v>8</v>
      </c>
      <c r="S618">
        <v>2.38</v>
      </c>
      <c r="T618">
        <v>1</v>
      </c>
      <c r="U618" t="s">
        <v>22</v>
      </c>
      <c r="V618" t="e">
        <f>IF(#REF! = "yes", 1, 0)</f>
        <v>#REF!</v>
      </c>
      <c r="W618" t="e">
        <f>IF(#REF! &lt;= 1, "0-1 Calls", IF(#REF! &lt;= 3, "2-3 Calls", IF(#REF! &lt;=5, "4-5 Calls", "6+ Calls")))</f>
        <v>#REF!</v>
      </c>
      <c r="X618" t="e">
        <f>IF(#REF! &lt;= 50, "0-50", IF(#REF! &lt;=100, "51-100", IF(#REF! &lt;= 150, "101-150", "151+")))</f>
        <v>#REF!</v>
      </c>
      <c r="Y618" t="e">
        <f>IF(#REF! &lt;= 3, "Low Charges", "High Charges")</f>
        <v>#REF!</v>
      </c>
      <c r="Z618" t="e">
        <f>IF(#REF!&lt;=80,"Low Calls",
IF(#REF!&lt;=120,"Medium Calls","High Calls"))</f>
        <v>#REF!</v>
      </c>
      <c r="AA618" t="e">
        <f>IF(#REF!&lt;=15,"Low Charges",
IF(#REF!&lt;=20,"Medium Charges","High Charges"))</f>
        <v>#REF!</v>
      </c>
      <c r="AB618" t="e">
        <f>IF(AND(#REF!&gt;180, #REF!&gt;200), "Heavy Doemstic User", IF(#REF!&gt;10, "Interntional User", IF(AND(#REF!&lt;180, #REF!&lt;200,#REF!&lt;200), "Light User", "Balanced User")))</f>
        <v>#REF!</v>
      </c>
      <c r="AC618" t="e">
        <f>IF(#REF! = 0, "No Usage", IF(#REF! &lt;= 20, "Low Usage", IF(#REF! &lt;= 40, "Medium Usgae", "High Usage")))</f>
        <v>#REF!</v>
      </c>
      <c r="AD618" t="e">
        <f>IF(#REF!&lt;=150,"Low Usage", IF(#REF!&lt;=200,"Medium Usage", IF(#REF!&lt;=250,"High Usage","Very High Usage")))</f>
        <v>#REF!</v>
      </c>
      <c r="AE618" t="e">
        <f>IF(#REF!&lt;=5,"Low Calls", IF(#REF!&lt;=10, "Medium Calls", "High Calls"))</f>
        <v>#REF!</v>
      </c>
      <c r="AF618" t="e">
        <f xml:space="preserve">
IF(#REF!&gt;=4,4,0)+
IF(#REF!="yes",3,0)+
IF(#REF!="High Charges",3,0)+
IF(#REF!&gt;250,4,0)+
IF(#REF!="no",1,0)+
IF(#REF!="Heavy Domestic User",2,0)</f>
        <v>#REF!</v>
      </c>
      <c r="AG618" t="e">
        <f>IF(#REF!&gt;=10,"High Risk", IF(#REF!&gt;=5,"Medium Risk","Low Risk"))</f>
        <v>#REF!</v>
      </c>
      <c r="AH618" t="e">
        <f>#REF! + #REF! + #REF! + #REF!</f>
        <v>#REF!</v>
      </c>
    </row>
    <row r="619" spans="1:34" x14ac:dyDescent="0.35">
      <c r="A619">
        <v>618</v>
      </c>
      <c r="B619" t="s">
        <v>55</v>
      </c>
      <c r="C619">
        <v>67</v>
      </c>
      <c r="D619" t="s">
        <v>28</v>
      </c>
      <c r="E619" t="s">
        <v>22</v>
      </c>
      <c r="F619" t="s">
        <v>23</v>
      </c>
      <c r="G619">
        <v>20</v>
      </c>
      <c r="H619">
        <v>230.6</v>
      </c>
      <c r="I619">
        <v>40</v>
      </c>
      <c r="J619">
        <v>39.200000000000003</v>
      </c>
      <c r="K619">
        <v>189.1</v>
      </c>
      <c r="L619">
        <v>58</v>
      </c>
      <c r="M619">
        <v>16.07</v>
      </c>
      <c r="N619">
        <v>162.19999999999999</v>
      </c>
      <c r="O619">
        <v>115</v>
      </c>
      <c r="P619">
        <v>7.3</v>
      </c>
      <c r="Q619">
        <v>9.4</v>
      </c>
      <c r="R619">
        <v>2</v>
      </c>
      <c r="S619">
        <v>2.54</v>
      </c>
      <c r="T619">
        <v>1</v>
      </c>
      <c r="U619" t="s">
        <v>22</v>
      </c>
      <c r="V619" t="e">
        <f>IF(#REF! = "yes", 1, 0)</f>
        <v>#REF!</v>
      </c>
      <c r="W619" t="e">
        <f>IF(#REF! &lt;= 1, "0-1 Calls", IF(#REF! &lt;= 3, "2-3 Calls", IF(#REF! &lt;=5, "4-5 Calls", "6+ Calls")))</f>
        <v>#REF!</v>
      </c>
      <c r="X619" t="e">
        <f>IF(#REF! &lt;= 50, "0-50", IF(#REF! &lt;=100, "51-100", IF(#REF! &lt;= 150, "101-150", "151+")))</f>
        <v>#REF!</v>
      </c>
      <c r="Y619" t="e">
        <f>IF(#REF! &lt;= 3, "Low Charges", "High Charges")</f>
        <v>#REF!</v>
      </c>
      <c r="Z619" t="e">
        <f>IF(#REF!&lt;=80,"Low Calls",
IF(#REF!&lt;=120,"Medium Calls","High Calls"))</f>
        <v>#REF!</v>
      </c>
      <c r="AA619" t="e">
        <f>IF(#REF!&lt;=15,"Low Charges",
IF(#REF!&lt;=20,"Medium Charges","High Charges"))</f>
        <v>#REF!</v>
      </c>
      <c r="AB619" t="e">
        <f>IF(AND(#REF!&gt;180, #REF!&gt;200), "Heavy Doemstic User", IF(#REF!&gt;10, "Interntional User", IF(AND(#REF!&lt;180, #REF!&lt;200,#REF!&lt;200), "Light User", "Balanced User")))</f>
        <v>#REF!</v>
      </c>
      <c r="AC619" t="e">
        <f>IF(#REF! = 0, "No Usage", IF(#REF! &lt;= 20, "Low Usage", IF(#REF! &lt;= 40, "Medium Usgae", "High Usage")))</f>
        <v>#REF!</v>
      </c>
      <c r="AD619" t="e">
        <f>IF(#REF!&lt;=150,"Low Usage", IF(#REF!&lt;=200,"Medium Usage", IF(#REF!&lt;=250,"High Usage","Very High Usage")))</f>
        <v>#REF!</v>
      </c>
      <c r="AE619" t="e">
        <f>IF(#REF!&lt;=5,"Low Calls", IF(#REF!&lt;=10, "Medium Calls", "High Calls"))</f>
        <v>#REF!</v>
      </c>
      <c r="AF619" t="e">
        <f xml:space="preserve">
IF(#REF!&gt;=4,4,0)+
IF(#REF!="yes",3,0)+
IF(#REF!="High Charges",3,0)+
IF(#REF!&gt;250,4,0)+
IF(#REF!="no",1,0)+
IF(#REF!="Heavy Domestic User",2,0)</f>
        <v>#REF!</v>
      </c>
      <c r="AG619" t="e">
        <f>IF(#REF!&gt;=10,"High Risk", IF(#REF!&gt;=5,"Medium Risk","Low Risk"))</f>
        <v>#REF!</v>
      </c>
      <c r="AH619" t="e">
        <f>#REF! + #REF! + #REF! + #REF!</f>
        <v>#REF!</v>
      </c>
    </row>
    <row r="620" spans="1:34" x14ac:dyDescent="0.35">
      <c r="A620">
        <v>619</v>
      </c>
      <c r="B620" t="s">
        <v>69</v>
      </c>
      <c r="C620">
        <v>66</v>
      </c>
      <c r="D620" t="s">
        <v>21</v>
      </c>
      <c r="E620" t="s">
        <v>22</v>
      </c>
      <c r="F620" t="s">
        <v>22</v>
      </c>
      <c r="G620">
        <v>0</v>
      </c>
      <c r="H620">
        <v>34</v>
      </c>
      <c r="I620">
        <v>133</v>
      </c>
      <c r="J620">
        <v>5.78</v>
      </c>
      <c r="K620">
        <v>278.60000000000002</v>
      </c>
      <c r="L620">
        <v>61</v>
      </c>
      <c r="M620">
        <v>23.68</v>
      </c>
      <c r="N620">
        <v>129.6</v>
      </c>
      <c r="O620">
        <v>120</v>
      </c>
      <c r="P620">
        <v>5.83</v>
      </c>
      <c r="Q620">
        <v>11.5</v>
      </c>
      <c r="R620">
        <v>3</v>
      </c>
      <c r="S620">
        <v>3.11</v>
      </c>
      <c r="T620">
        <v>0</v>
      </c>
      <c r="U620" t="s">
        <v>22</v>
      </c>
      <c r="V620" t="e">
        <f>IF(#REF! = "yes", 1, 0)</f>
        <v>#REF!</v>
      </c>
      <c r="W620" t="e">
        <f>IF(#REF! &lt;= 1, "0-1 Calls", IF(#REF! &lt;= 3, "2-3 Calls", IF(#REF! &lt;=5, "4-5 Calls", "6+ Calls")))</f>
        <v>#REF!</v>
      </c>
      <c r="X620" t="e">
        <f>IF(#REF! &lt;= 50, "0-50", IF(#REF! &lt;=100, "51-100", IF(#REF! &lt;= 150, "101-150", "151+")))</f>
        <v>#REF!</v>
      </c>
      <c r="Y620" t="e">
        <f>IF(#REF! &lt;= 3, "Low Charges", "High Charges")</f>
        <v>#REF!</v>
      </c>
      <c r="Z620" t="e">
        <f>IF(#REF!&lt;=80,"Low Calls",
IF(#REF!&lt;=120,"Medium Calls","High Calls"))</f>
        <v>#REF!</v>
      </c>
      <c r="AA620" t="e">
        <f>IF(#REF!&lt;=15,"Low Charges",
IF(#REF!&lt;=20,"Medium Charges","High Charges"))</f>
        <v>#REF!</v>
      </c>
      <c r="AB620" t="e">
        <f>IF(AND(#REF!&gt;180, #REF!&gt;200), "Heavy Doemstic User", IF(#REF!&gt;10, "Interntional User", IF(AND(#REF!&lt;180, #REF!&lt;200,#REF!&lt;200), "Light User", "Balanced User")))</f>
        <v>#REF!</v>
      </c>
      <c r="AC620" t="e">
        <f>IF(#REF! = 0, "No Usage", IF(#REF! &lt;= 20, "Low Usage", IF(#REF! &lt;= 40, "Medium Usgae", "High Usage")))</f>
        <v>#REF!</v>
      </c>
      <c r="AD620" t="e">
        <f>IF(#REF!&lt;=150,"Low Usage", IF(#REF!&lt;=200,"Medium Usage", IF(#REF!&lt;=250,"High Usage","Very High Usage")))</f>
        <v>#REF!</v>
      </c>
      <c r="AE620" t="e">
        <f>IF(#REF!&lt;=5,"Low Calls", IF(#REF!&lt;=10, "Medium Calls", "High Calls"))</f>
        <v>#REF!</v>
      </c>
      <c r="AF620" t="e">
        <f xml:space="preserve">
IF(#REF!&gt;=4,4,0)+
IF(#REF!="yes",3,0)+
IF(#REF!="High Charges",3,0)+
IF(#REF!&gt;250,4,0)+
IF(#REF!="no",1,0)+
IF(#REF!="Heavy Domestic User",2,0)</f>
        <v>#REF!</v>
      </c>
      <c r="AG620" t="e">
        <f>IF(#REF!&gt;=10,"High Risk", IF(#REF!&gt;=5,"Medium Risk","Low Risk"))</f>
        <v>#REF!</v>
      </c>
      <c r="AH620" t="e">
        <f>#REF! + #REF! + #REF! + #REF!</f>
        <v>#REF!</v>
      </c>
    </row>
    <row r="621" spans="1:34" x14ac:dyDescent="0.35">
      <c r="A621">
        <v>620</v>
      </c>
      <c r="B621" t="s">
        <v>40</v>
      </c>
      <c r="C621">
        <v>116</v>
      </c>
      <c r="D621" t="s">
        <v>21</v>
      </c>
      <c r="E621" t="s">
        <v>22</v>
      </c>
      <c r="F621" t="s">
        <v>23</v>
      </c>
      <c r="G621">
        <v>17</v>
      </c>
      <c r="H621">
        <v>193.4</v>
      </c>
      <c r="I621">
        <v>112</v>
      </c>
      <c r="J621">
        <v>32.880000000000003</v>
      </c>
      <c r="K621">
        <v>240.6</v>
      </c>
      <c r="L621">
        <v>131</v>
      </c>
      <c r="M621">
        <v>20.45</v>
      </c>
      <c r="N621">
        <v>248.1</v>
      </c>
      <c r="O621">
        <v>98</v>
      </c>
      <c r="P621">
        <v>11.16</v>
      </c>
      <c r="Q621">
        <v>11.4</v>
      </c>
      <c r="R621">
        <v>3</v>
      </c>
      <c r="S621">
        <v>3.08</v>
      </c>
      <c r="T621">
        <v>5</v>
      </c>
      <c r="U621" t="s">
        <v>22</v>
      </c>
      <c r="V621" t="e">
        <f>IF(#REF! = "yes", 1, 0)</f>
        <v>#REF!</v>
      </c>
      <c r="W621" t="e">
        <f>IF(#REF! &lt;= 1, "0-1 Calls", IF(#REF! &lt;= 3, "2-3 Calls", IF(#REF! &lt;=5, "4-5 Calls", "6+ Calls")))</f>
        <v>#REF!</v>
      </c>
      <c r="X621" t="e">
        <f>IF(#REF! &lt;= 50, "0-50", IF(#REF! &lt;=100, "51-100", IF(#REF! &lt;= 150, "101-150", "151+")))</f>
        <v>#REF!</v>
      </c>
      <c r="Y621" t="e">
        <f>IF(#REF! &lt;= 3, "Low Charges", "High Charges")</f>
        <v>#REF!</v>
      </c>
      <c r="Z621" t="e">
        <f>IF(#REF!&lt;=80,"Low Calls",
IF(#REF!&lt;=120,"Medium Calls","High Calls"))</f>
        <v>#REF!</v>
      </c>
      <c r="AA621" t="e">
        <f>IF(#REF!&lt;=15,"Low Charges",
IF(#REF!&lt;=20,"Medium Charges","High Charges"))</f>
        <v>#REF!</v>
      </c>
      <c r="AB621" t="e">
        <f>IF(AND(#REF!&gt;180, #REF!&gt;200), "Heavy Doemstic User", IF(#REF!&gt;10, "Interntional User", IF(AND(#REF!&lt;180, #REF!&lt;200,#REF!&lt;200), "Light User", "Balanced User")))</f>
        <v>#REF!</v>
      </c>
      <c r="AC621" t="e">
        <f>IF(#REF! = 0, "No Usage", IF(#REF! &lt;= 20, "Low Usage", IF(#REF! &lt;= 40, "Medium Usgae", "High Usage")))</f>
        <v>#REF!</v>
      </c>
      <c r="AD621" t="e">
        <f>IF(#REF!&lt;=150,"Low Usage", IF(#REF!&lt;=200,"Medium Usage", IF(#REF!&lt;=250,"High Usage","Very High Usage")))</f>
        <v>#REF!</v>
      </c>
      <c r="AE621" t="e">
        <f>IF(#REF!&lt;=5,"Low Calls", IF(#REF!&lt;=10, "Medium Calls", "High Calls"))</f>
        <v>#REF!</v>
      </c>
      <c r="AF621" t="e">
        <f xml:space="preserve">
IF(#REF!&gt;=4,4,0)+
IF(#REF!="yes",3,0)+
IF(#REF!="High Charges",3,0)+
IF(#REF!&gt;250,4,0)+
IF(#REF!="no",1,0)+
IF(#REF!="Heavy Domestic User",2,0)</f>
        <v>#REF!</v>
      </c>
      <c r="AG621" t="e">
        <f>IF(#REF!&gt;=10,"High Risk", IF(#REF!&gt;=5,"Medium Risk","Low Risk"))</f>
        <v>#REF!</v>
      </c>
      <c r="AH621" t="e">
        <f>#REF! + #REF! + #REF! + #REF!</f>
        <v>#REF!</v>
      </c>
    </row>
    <row r="622" spans="1:34" x14ac:dyDescent="0.35">
      <c r="A622">
        <v>621</v>
      </c>
      <c r="B622" t="s">
        <v>30</v>
      </c>
      <c r="C622">
        <v>158</v>
      </c>
      <c r="D622" t="s">
        <v>25</v>
      </c>
      <c r="E622" t="s">
        <v>22</v>
      </c>
      <c r="F622" t="s">
        <v>22</v>
      </c>
      <c r="G622">
        <v>0</v>
      </c>
      <c r="H622">
        <v>202</v>
      </c>
      <c r="I622">
        <v>126</v>
      </c>
      <c r="J622">
        <v>34.340000000000003</v>
      </c>
      <c r="K622">
        <v>163.5</v>
      </c>
      <c r="L622">
        <v>86</v>
      </c>
      <c r="M622">
        <v>13.9</v>
      </c>
      <c r="N622">
        <v>195.4</v>
      </c>
      <c r="O622">
        <v>84</v>
      </c>
      <c r="P622">
        <v>8.7899999999999991</v>
      </c>
      <c r="Q622">
        <v>10.4</v>
      </c>
      <c r="R622">
        <v>6</v>
      </c>
      <c r="S622">
        <v>2.81</v>
      </c>
      <c r="T622">
        <v>1</v>
      </c>
      <c r="U622" t="s">
        <v>22</v>
      </c>
      <c r="V622" t="e">
        <f>IF(#REF! = "yes", 1, 0)</f>
        <v>#REF!</v>
      </c>
      <c r="W622" t="e">
        <f>IF(#REF! &lt;= 1, "0-1 Calls", IF(#REF! &lt;= 3, "2-3 Calls", IF(#REF! &lt;=5, "4-5 Calls", "6+ Calls")))</f>
        <v>#REF!</v>
      </c>
      <c r="X622" t="e">
        <f>IF(#REF! &lt;= 50, "0-50", IF(#REF! &lt;=100, "51-100", IF(#REF! &lt;= 150, "101-150", "151+")))</f>
        <v>#REF!</v>
      </c>
      <c r="Y622" t="e">
        <f>IF(#REF! &lt;= 3, "Low Charges", "High Charges")</f>
        <v>#REF!</v>
      </c>
      <c r="Z622" t="e">
        <f>IF(#REF!&lt;=80,"Low Calls",
IF(#REF!&lt;=120,"Medium Calls","High Calls"))</f>
        <v>#REF!</v>
      </c>
      <c r="AA622" t="e">
        <f>IF(#REF!&lt;=15,"Low Charges",
IF(#REF!&lt;=20,"Medium Charges","High Charges"))</f>
        <v>#REF!</v>
      </c>
      <c r="AB622" t="e">
        <f>IF(AND(#REF!&gt;180, #REF!&gt;200), "Heavy Doemstic User", IF(#REF!&gt;10, "Interntional User", IF(AND(#REF!&lt;180, #REF!&lt;200,#REF!&lt;200), "Light User", "Balanced User")))</f>
        <v>#REF!</v>
      </c>
      <c r="AC622" t="e">
        <f>IF(#REF! = 0, "No Usage", IF(#REF! &lt;= 20, "Low Usage", IF(#REF! &lt;= 40, "Medium Usgae", "High Usage")))</f>
        <v>#REF!</v>
      </c>
      <c r="AD622" t="e">
        <f>IF(#REF!&lt;=150,"Low Usage", IF(#REF!&lt;=200,"Medium Usage", IF(#REF!&lt;=250,"High Usage","Very High Usage")))</f>
        <v>#REF!</v>
      </c>
      <c r="AE622" t="e">
        <f>IF(#REF!&lt;=5,"Low Calls", IF(#REF!&lt;=10, "Medium Calls", "High Calls"))</f>
        <v>#REF!</v>
      </c>
      <c r="AF622" t="e">
        <f xml:space="preserve">
IF(#REF!&gt;=4,4,0)+
IF(#REF!="yes",3,0)+
IF(#REF!="High Charges",3,0)+
IF(#REF!&gt;250,4,0)+
IF(#REF!="no",1,0)+
IF(#REF!="Heavy Domestic User",2,0)</f>
        <v>#REF!</v>
      </c>
      <c r="AG622" t="e">
        <f>IF(#REF!&gt;=10,"High Risk", IF(#REF!&gt;=5,"Medium Risk","Low Risk"))</f>
        <v>#REF!</v>
      </c>
      <c r="AH622" t="e">
        <f>#REF! + #REF! + #REF! + #REF!</f>
        <v>#REF!</v>
      </c>
    </row>
    <row r="623" spans="1:34" x14ac:dyDescent="0.35">
      <c r="A623">
        <v>622</v>
      </c>
      <c r="B623" t="s">
        <v>59</v>
      </c>
      <c r="C623">
        <v>119</v>
      </c>
      <c r="D623" t="s">
        <v>21</v>
      </c>
      <c r="E623" t="s">
        <v>22</v>
      </c>
      <c r="F623" t="s">
        <v>23</v>
      </c>
      <c r="G623">
        <v>26</v>
      </c>
      <c r="H623">
        <v>161.30000000000001</v>
      </c>
      <c r="I623">
        <v>97</v>
      </c>
      <c r="J623">
        <v>27.42</v>
      </c>
      <c r="K623">
        <v>250.3</v>
      </c>
      <c r="L623">
        <v>110</v>
      </c>
      <c r="M623">
        <v>21.28</v>
      </c>
      <c r="N623">
        <v>142.4</v>
      </c>
      <c r="O623">
        <v>92</v>
      </c>
      <c r="P623">
        <v>6.41</v>
      </c>
      <c r="Q623">
        <v>6.6</v>
      </c>
      <c r="R623">
        <v>8</v>
      </c>
      <c r="S623">
        <v>1.78</v>
      </c>
      <c r="T623">
        <v>1</v>
      </c>
      <c r="U623" t="s">
        <v>22</v>
      </c>
      <c r="V623" t="e">
        <f>IF(#REF! = "yes", 1, 0)</f>
        <v>#REF!</v>
      </c>
      <c r="W623" t="e">
        <f>IF(#REF! &lt;= 1, "0-1 Calls", IF(#REF! &lt;= 3, "2-3 Calls", IF(#REF! &lt;=5, "4-5 Calls", "6+ Calls")))</f>
        <v>#REF!</v>
      </c>
      <c r="X623" t="e">
        <f>IF(#REF! &lt;= 50, "0-50", IF(#REF! &lt;=100, "51-100", IF(#REF! &lt;= 150, "101-150", "151+")))</f>
        <v>#REF!</v>
      </c>
      <c r="Y623" t="e">
        <f>IF(#REF! &lt;= 3, "Low Charges", "High Charges")</f>
        <v>#REF!</v>
      </c>
      <c r="Z623" t="e">
        <f>IF(#REF!&lt;=80,"Low Calls",
IF(#REF!&lt;=120,"Medium Calls","High Calls"))</f>
        <v>#REF!</v>
      </c>
      <c r="AA623" t="e">
        <f>IF(#REF!&lt;=15,"Low Charges",
IF(#REF!&lt;=20,"Medium Charges","High Charges"))</f>
        <v>#REF!</v>
      </c>
      <c r="AB623" t="e">
        <f>IF(AND(#REF!&gt;180, #REF!&gt;200), "Heavy Doemstic User", IF(#REF!&gt;10, "Interntional User", IF(AND(#REF!&lt;180, #REF!&lt;200,#REF!&lt;200), "Light User", "Balanced User")))</f>
        <v>#REF!</v>
      </c>
      <c r="AC623" t="e">
        <f>IF(#REF! = 0, "No Usage", IF(#REF! &lt;= 20, "Low Usage", IF(#REF! &lt;= 40, "Medium Usgae", "High Usage")))</f>
        <v>#REF!</v>
      </c>
      <c r="AD623" t="e">
        <f>IF(#REF!&lt;=150,"Low Usage", IF(#REF!&lt;=200,"Medium Usage", IF(#REF!&lt;=250,"High Usage","Very High Usage")))</f>
        <v>#REF!</v>
      </c>
      <c r="AE623" t="e">
        <f>IF(#REF!&lt;=5,"Low Calls", IF(#REF!&lt;=10, "Medium Calls", "High Calls"))</f>
        <v>#REF!</v>
      </c>
      <c r="AF623" t="e">
        <f xml:space="preserve">
IF(#REF!&gt;=4,4,0)+
IF(#REF!="yes",3,0)+
IF(#REF!="High Charges",3,0)+
IF(#REF!&gt;250,4,0)+
IF(#REF!="no",1,0)+
IF(#REF!="Heavy Domestic User",2,0)</f>
        <v>#REF!</v>
      </c>
      <c r="AG623" t="e">
        <f>IF(#REF!&gt;=10,"High Risk", IF(#REF!&gt;=5,"Medium Risk","Low Risk"))</f>
        <v>#REF!</v>
      </c>
      <c r="AH623" t="e">
        <f>#REF! + #REF! + #REF! + #REF!</f>
        <v>#REF!</v>
      </c>
    </row>
    <row r="624" spans="1:34" x14ac:dyDescent="0.35">
      <c r="A624">
        <v>623</v>
      </c>
      <c r="B624" t="s">
        <v>53</v>
      </c>
      <c r="C624">
        <v>120</v>
      </c>
      <c r="D624" t="s">
        <v>21</v>
      </c>
      <c r="E624" t="s">
        <v>22</v>
      </c>
      <c r="F624" t="s">
        <v>22</v>
      </c>
      <c r="G624">
        <v>0</v>
      </c>
      <c r="H624">
        <v>150.6</v>
      </c>
      <c r="I624">
        <v>85</v>
      </c>
      <c r="J624">
        <v>25.6</v>
      </c>
      <c r="K624">
        <v>119</v>
      </c>
      <c r="L624">
        <v>128</v>
      </c>
      <c r="M624">
        <v>10.119999999999999</v>
      </c>
      <c r="N624">
        <v>232.9</v>
      </c>
      <c r="O624">
        <v>123</v>
      </c>
      <c r="P624">
        <v>10.48</v>
      </c>
      <c r="Q624">
        <v>6.4</v>
      </c>
      <c r="R624">
        <v>2</v>
      </c>
      <c r="S624">
        <v>1.73</v>
      </c>
      <c r="T624">
        <v>1</v>
      </c>
      <c r="U624" t="s">
        <v>22</v>
      </c>
      <c r="V624" t="e">
        <f>IF(#REF! = "yes", 1, 0)</f>
        <v>#REF!</v>
      </c>
      <c r="W624" t="e">
        <f>IF(#REF! &lt;= 1, "0-1 Calls", IF(#REF! &lt;= 3, "2-3 Calls", IF(#REF! &lt;=5, "4-5 Calls", "6+ Calls")))</f>
        <v>#REF!</v>
      </c>
      <c r="X624" t="e">
        <f>IF(#REF! &lt;= 50, "0-50", IF(#REF! &lt;=100, "51-100", IF(#REF! &lt;= 150, "101-150", "151+")))</f>
        <v>#REF!</v>
      </c>
      <c r="Y624" t="e">
        <f>IF(#REF! &lt;= 3, "Low Charges", "High Charges")</f>
        <v>#REF!</v>
      </c>
      <c r="Z624" t="e">
        <f>IF(#REF!&lt;=80,"Low Calls",
IF(#REF!&lt;=120,"Medium Calls","High Calls"))</f>
        <v>#REF!</v>
      </c>
      <c r="AA624" t="e">
        <f>IF(#REF!&lt;=15,"Low Charges",
IF(#REF!&lt;=20,"Medium Charges","High Charges"))</f>
        <v>#REF!</v>
      </c>
      <c r="AB624" t="e">
        <f>IF(AND(#REF!&gt;180, #REF!&gt;200), "Heavy Doemstic User", IF(#REF!&gt;10, "Interntional User", IF(AND(#REF!&lt;180, #REF!&lt;200,#REF!&lt;200), "Light User", "Balanced User")))</f>
        <v>#REF!</v>
      </c>
      <c r="AC624" t="e">
        <f>IF(#REF! = 0, "No Usage", IF(#REF! &lt;= 20, "Low Usage", IF(#REF! &lt;= 40, "Medium Usgae", "High Usage")))</f>
        <v>#REF!</v>
      </c>
      <c r="AD624" t="e">
        <f>IF(#REF!&lt;=150,"Low Usage", IF(#REF!&lt;=200,"Medium Usage", IF(#REF!&lt;=250,"High Usage","Very High Usage")))</f>
        <v>#REF!</v>
      </c>
      <c r="AE624" t="e">
        <f>IF(#REF!&lt;=5,"Low Calls", IF(#REF!&lt;=10, "Medium Calls", "High Calls"))</f>
        <v>#REF!</v>
      </c>
      <c r="AF624" t="e">
        <f xml:space="preserve">
IF(#REF!&gt;=4,4,0)+
IF(#REF!="yes",3,0)+
IF(#REF!="High Charges",3,0)+
IF(#REF!&gt;250,4,0)+
IF(#REF!="no",1,0)+
IF(#REF!="Heavy Domestic User",2,0)</f>
        <v>#REF!</v>
      </c>
      <c r="AG624" t="e">
        <f>IF(#REF!&gt;=10,"High Risk", IF(#REF!&gt;=5,"Medium Risk","Low Risk"))</f>
        <v>#REF!</v>
      </c>
      <c r="AH624" t="e">
        <f>#REF! + #REF! + #REF! + #REF!</f>
        <v>#REF!</v>
      </c>
    </row>
    <row r="625" spans="1:34" x14ac:dyDescent="0.35">
      <c r="A625">
        <v>624</v>
      </c>
      <c r="B625" t="s">
        <v>65</v>
      </c>
      <c r="C625">
        <v>155</v>
      </c>
      <c r="D625" t="s">
        <v>28</v>
      </c>
      <c r="E625" t="s">
        <v>22</v>
      </c>
      <c r="F625" t="s">
        <v>22</v>
      </c>
      <c r="G625">
        <v>0</v>
      </c>
      <c r="H625">
        <v>184.6</v>
      </c>
      <c r="I625">
        <v>102</v>
      </c>
      <c r="J625">
        <v>31.38</v>
      </c>
      <c r="K625">
        <v>196</v>
      </c>
      <c r="L625">
        <v>117</v>
      </c>
      <c r="M625">
        <v>16.66</v>
      </c>
      <c r="N625">
        <v>226.5</v>
      </c>
      <c r="O625">
        <v>122</v>
      </c>
      <c r="P625">
        <v>10.19</v>
      </c>
      <c r="Q625">
        <v>7.8</v>
      </c>
      <c r="R625">
        <v>1</v>
      </c>
      <c r="S625">
        <v>2.11</v>
      </c>
      <c r="T625">
        <v>1</v>
      </c>
      <c r="U625" t="s">
        <v>22</v>
      </c>
      <c r="V625" t="e">
        <f>IF(#REF! = "yes", 1, 0)</f>
        <v>#REF!</v>
      </c>
      <c r="W625" t="e">
        <f>IF(#REF! &lt;= 1, "0-1 Calls", IF(#REF! &lt;= 3, "2-3 Calls", IF(#REF! &lt;=5, "4-5 Calls", "6+ Calls")))</f>
        <v>#REF!</v>
      </c>
      <c r="X625" t="e">
        <f>IF(#REF! &lt;= 50, "0-50", IF(#REF! &lt;=100, "51-100", IF(#REF! &lt;= 150, "101-150", "151+")))</f>
        <v>#REF!</v>
      </c>
      <c r="Y625" t="e">
        <f>IF(#REF! &lt;= 3, "Low Charges", "High Charges")</f>
        <v>#REF!</v>
      </c>
      <c r="Z625" t="e">
        <f>IF(#REF!&lt;=80,"Low Calls",
IF(#REF!&lt;=120,"Medium Calls","High Calls"))</f>
        <v>#REF!</v>
      </c>
      <c r="AA625" t="e">
        <f>IF(#REF!&lt;=15,"Low Charges",
IF(#REF!&lt;=20,"Medium Charges","High Charges"))</f>
        <v>#REF!</v>
      </c>
      <c r="AB625" t="e">
        <f>IF(AND(#REF!&gt;180, #REF!&gt;200), "Heavy Doemstic User", IF(#REF!&gt;10, "Interntional User", IF(AND(#REF!&lt;180, #REF!&lt;200,#REF!&lt;200), "Light User", "Balanced User")))</f>
        <v>#REF!</v>
      </c>
      <c r="AC625" t="e">
        <f>IF(#REF! = 0, "No Usage", IF(#REF! &lt;= 20, "Low Usage", IF(#REF! &lt;= 40, "Medium Usgae", "High Usage")))</f>
        <v>#REF!</v>
      </c>
      <c r="AD625" t="e">
        <f>IF(#REF!&lt;=150,"Low Usage", IF(#REF!&lt;=200,"Medium Usage", IF(#REF!&lt;=250,"High Usage","Very High Usage")))</f>
        <v>#REF!</v>
      </c>
      <c r="AE625" t="e">
        <f>IF(#REF!&lt;=5,"Low Calls", IF(#REF!&lt;=10, "Medium Calls", "High Calls"))</f>
        <v>#REF!</v>
      </c>
      <c r="AF625" t="e">
        <f xml:space="preserve">
IF(#REF!&gt;=4,4,0)+
IF(#REF!="yes",3,0)+
IF(#REF!="High Charges",3,0)+
IF(#REF!&gt;250,4,0)+
IF(#REF!="no",1,0)+
IF(#REF!="Heavy Domestic User",2,0)</f>
        <v>#REF!</v>
      </c>
      <c r="AG625" t="e">
        <f>IF(#REF!&gt;=10,"High Risk", IF(#REF!&gt;=5,"Medium Risk","Low Risk"))</f>
        <v>#REF!</v>
      </c>
      <c r="AH625" t="e">
        <f>#REF! + #REF! + #REF! + #REF!</f>
        <v>#REF!</v>
      </c>
    </row>
    <row r="626" spans="1:34" x14ac:dyDescent="0.35">
      <c r="A626">
        <v>625</v>
      </c>
      <c r="B626" t="s">
        <v>30</v>
      </c>
      <c r="C626">
        <v>106</v>
      </c>
      <c r="D626" t="s">
        <v>25</v>
      </c>
      <c r="E626" t="s">
        <v>22</v>
      </c>
      <c r="F626" t="s">
        <v>22</v>
      </c>
      <c r="G626">
        <v>0</v>
      </c>
      <c r="H626">
        <v>220.7</v>
      </c>
      <c r="I626">
        <v>120</v>
      </c>
      <c r="J626">
        <v>37.520000000000003</v>
      </c>
      <c r="K626">
        <v>270.2</v>
      </c>
      <c r="L626">
        <v>95</v>
      </c>
      <c r="M626">
        <v>22.97</v>
      </c>
      <c r="N626">
        <v>121.6</v>
      </c>
      <c r="O626">
        <v>113</v>
      </c>
      <c r="P626">
        <v>5.47</v>
      </c>
      <c r="Q626">
        <v>8.6999999999999993</v>
      </c>
      <c r="R626">
        <v>5</v>
      </c>
      <c r="S626">
        <v>2.35</v>
      </c>
      <c r="T626">
        <v>1</v>
      </c>
      <c r="U626" t="s">
        <v>22</v>
      </c>
      <c r="V626" t="e">
        <f>IF(#REF! = "yes", 1, 0)</f>
        <v>#REF!</v>
      </c>
      <c r="W626" t="e">
        <f>IF(#REF! &lt;= 1, "0-1 Calls", IF(#REF! &lt;= 3, "2-3 Calls", IF(#REF! &lt;=5, "4-5 Calls", "6+ Calls")))</f>
        <v>#REF!</v>
      </c>
      <c r="X626" t="e">
        <f>IF(#REF! &lt;= 50, "0-50", IF(#REF! &lt;=100, "51-100", IF(#REF! &lt;= 150, "101-150", "151+")))</f>
        <v>#REF!</v>
      </c>
      <c r="Y626" t="e">
        <f>IF(#REF! &lt;= 3, "Low Charges", "High Charges")</f>
        <v>#REF!</v>
      </c>
      <c r="Z626" t="e">
        <f>IF(#REF!&lt;=80,"Low Calls",
IF(#REF!&lt;=120,"Medium Calls","High Calls"))</f>
        <v>#REF!</v>
      </c>
      <c r="AA626" t="e">
        <f>IF(#REF!&lt;=15,"Low Charges",
IF(#REF!&lt;=20,"Medium Charges","High Charges"))</f>
        <v>#REF!</v>
      </c>
      <c r="AB626" t="e">
        <f>IF(AND(#REF!&gt;180, #REF!&gt;200), "Heavy Doemstic User", IF(#REF!&gt;10, "Interntional User", IF(AND(#REF!&lt;180, #REF!&lt;200,#REF!&lt;200), "Light User", "Balanced User")))</f>
        <v>#REF!</v>
      </c>
      <c r="AC626" t="e">
        <f>IF(#REF! = 0, "No Usage", IF(#REF! &lt;= 20, "Low Usage", IF(#REF! &lt;= 40, "Medium Usgae", "High Usage")))</f>
        <v>#REF!</v>
      </c>
      <c r="AD626" t="e">
        <f>IF(#REF!&lt;=150,"Low Usage", IF(#REF!&lt;=200,"Medium Usage", IF(#REF!&lt;=250,"High Usage","Very High Usage")))</f>
        <v>#REF!</v>
      </c>
      <c r="AE626" t="e">
        <f>IF(#REF!&lt;=5,"Low Calls", IF(#REF!&lt;=10, "Medium Calls", "High Calls"))</f>
        <v>#REF!</v>
      </c>
      <c r="AF626" t="e">
        <f xml:space="preserve">
IF(#REF!&gt;=4,4,0)+
IF(#REF!="yes",3,0)+
IF(#REF!="High Charges",3,0)+
IF(#REF!&gt;250,4,0)+
IF(#REF!="no",1,0)+
IF(#REF!="Heavy Domestic User",2,0)</f>
        <v>#REF!</v>
      </c>
      <c r="AG626" t="e">
        <f>IF(#REF!&gt;=10,"High Risk", IF(#REF!&gt;=5,"Medium Risk","Low Risk"))</f>
        <v>#REF!</v>
      </c>
      <c r="AH626" t="e">
        <f>#REF! + #REF! + #REF! + #REF!</f>
        <v>#REF!</v>
      </c>
    </row>
    <row r="627" spans="1:34" x14ac:dyDescent="0.35">
      <c r="A627">
        <v>626</v>
      </c>
      <c r="B627" t="s">
        <v>68</v>
      </c>
      <c r="C627">
        <v>146</v>
      </c>
      <c r="D627" t="s">
        <v>21</v>
      </c>
      <c r="E627" t="s">
        <v>22</v>
      </c>
      <c r="F627" t="s">
        <v>23</v>
      </c>
      <c r="G627">
        <v>32</v>
      </c>
      <c r="H627">
        <v>154</v>
      </c>
      <c r="I627">
        <v>80</v>
      </c>
      <c r="J627">
        <v>26.18</v>
      </c>
      <c r="K627">
        <v>185.5</v>
      </c>
      <c r="L627">
        <v>91</v>
      </c>
      <c r="M627">
        <v>15.77</v>
      </c>
      <c r="N627">
        <v>148.19999999999999</v>
      </c>
      <c r="O627">
        <v>107</v>
      </c>
      <c r="P627">
        <v>6.67</v>
      </c>
      <c r="Q627">
        <v>8.1999999999999993</v>
      </c>
      <c r="R627">
        <v>4</v>
      </c>
      <c r="S627">
        <v>2.21</v>
      </c>
      <c r="T627">
        <v>3</v>
      </c>
      <c r="U627" t="s">
        <v>22</v>
      </c>
      <c r="V627" t="e">
        <f>IF(#REF! = "yes", 1, 0)</f>
        <v>#REF!</v>
      </c>
      <c r="W627" t="e">
        <f>IF(#REF! &lt;= 1, "0-1 Calls", IF(#REF! &lt;= 3, "2-3 Calls", IF(#REF! &lt;=5, "4-5 Calls", "6+ Calls")))</f>
        <v>#REF!</v>
      </c>
      <c r="X627" t="e">
        <f>IF(#REF! &lt;= 50, "0-50", IF(#REF! &lt;=100, "51-100", IF(#REF! &lt;= 150, "101-150", "151+")))</f>
        <v>#REF!</v>
      </c>
      <c r="Y627" t="e">
        <f>IF(#REF! &lt;= 3, "Low Charges", "High Charges")</f>
        <v>#REF!</v>
      </c>
      <c r="Z627" t="e">
        <f>IF(#REF!&lt;=80,"Low Calls",
IF(#REF!&lt;=120,"Medium Calls","High Calls"))</f>
        <v>#REF!</v>
      </c>
      <c r="AA627" t="e">
        <f>IF(#REF!&lt;=15,"Low Charges",
IF(#REF!&lt;=20,"Medium Charges","High Charges"))</f>
        <v>#REF!</v>
      </c>
      <c r="AB627" t="e">
        <f>IF(AND(#REF!&gt;180, #REF!&gt;200), "Heavy Doemstic User", IF(#REF!&gt;10, "Interntional User", IF(AND(#REF!&lt;180, #REF!&lt;200,#REF!&lt;200), "Light User", "Balanced User")))</f>
        <v>#REF!</v>
      </c>
      <c r="AC627" t="e">
        <f>IF(#REF! = 0, "No Usage", IF(#REF! &lt;= 20, "Low Usage", IF(#REF! &lt;= 40, "Medium Usgae", "High Usage")))</f>
        <v>#REF!</v>
      </c>
      <c r="AD627" t="e">
        <f>IF(#REF!&lt;=150,"Low Usage", IF(#REF!&lt;=200,"Medium Usage", IF(#REF!&lt;=250,"High Usage","Very High Usage")))</f>
        <v>#REF!</v>
      </c>
      <c r="AE627" t="e">
        <f>IF(#REF!&lt;=5,"Low Calls", IF(#REF!&lt;=10, "Medium Calls", "High Calls"))</f>
        <v>#REF!</v>
      </c>
      <c r="AF627" t="e">
        <f xml:space="preserve">
IF(#REF!&gt;=4,4,0)+
IF(#REF!="yes",3,0)+
IF(#REF!="High Charges",3,0)+
IF(#REF!&gt;250,4,0)+
IF(#REF!="no",1,0)+
IF(#REF!="Heavy Domestic User",2,0)</f>
        <v>#REF!</v>
      </c>
      <c r="AG627" t="e">
        <f>IF(#REF!&gt;=10,"High Risk", IF(#REF!&gt;=5,"Medium Risk","Low Risk"))</f>
        <v>#REF!</v>
      </c>
      <c r="AH627" t="e">
        <f>#REF! + #REF! + #REF! + #REF!</f>
        <v>#REF!</v>
      </c>
    </row>
    <row r="628" spans="1:34" x14ac:dyDescent="0.35">
      <c r="A628">
        <v>627</v>
      </c>
      <c r="B628" t="s">
        <v>29</v>
      </c>
      <c r="C628">
        <v>101</v>
      </c>
      <c r="D628" t="s">
        <v>21</v>
      </c>
      <c r="E628" t="s">
        <v>22</v>
      </c>
      <c r="F628" t="s">
        <v>23</v>
      </c>
      <c r="G628">
        <v>29</v>
      </c>
      <c r="H628">
        <v>121.1</v>
      </c>
      <c r="I628">
        <v>116</v>
      </c>
      <c r="J628">
        <v>20.59</v>
      </c>
      <c r="K628">
        <v>186.4</v>
      </c>
      <c r="L628">
        <v>100</v>
      </c>
      <c r="M628">
        <v>15.84</v>
      </c>
      <c r="N628">
        <v>241.7</v>
      </c>
      <c r="O628">
        <v>75</v>
      </c>
      <c r="P628">
        <v>10.88</v>
      </c>
      <c r="Q628">
        <v>10.1</v>
      </c>
      <c r="R628">
        <v>6</v>
      </c>
      <c r="S628">
        <v>2.73</v>
      </c>
      <c r="T628">
        <v>0</v>
      </c>
      <c r="U628" t="s">
        <v>22</v>
      </c>
      <c r="V628" t="e">
        <f>IF(#REF! = "yes", 1, 0)</f>
        <v>#REF!</v>
      </c>
      <c r="W628" t="e">
        <f>IF(#REF! &lt;= 1, "0-1 Calls", IF(#REF! &lt;= 3, "2-3 Calls", IF(#REF! &lt;=5, "4-5 Calls", "6+ Calls")))</f>
        <v>#REF!</v>
      </c>
      <c r="X628" t="e">
        <f>IF(#REF! &lt;= 50, "0-50", IF(#REF! &lt;=100, "51-100", IF(#REF! &lt;= 150, "101-150", "151+")))</f>
        <v>#REF!</v>
      </c>
      <c r="Y628" t="e">
        <f>IF(#REF! &lt;= 3, "Low Charges", "High Charges")</f>
        <v>#REF!</v>
      </c>
      <c r="Z628" t="e">
        <f>IF(#REF!&lt;=80,"Low Calls",
IF(#REF!&lt;=120,"Medium Calls","High Calls"))</f>
        <v>#REF!</v>
      </c>
      <c r="AA628" t="e">
        <f>IF(#REF!&lt;=15,"Low Charges",
IF(#REF!&lt;=20,"Medium Charges","High Charges"))</f>
        <v>#REF!</v>
      </c>
      <c r="AB628" t="e">
        <f>IF(AND(#REF!&gt;180, #REF!&gt;200), "Heavy Doemstic User", IF(#REF!&gt;10, "Interntional User", IF(AND(#REF!&lt;180, #REF!&lt;200,#REF!&lt;200), "Light User", "Balanced User")))</f>
        <v>#REF!</v>
      </c>
      <c r="AC628" t="e">
        <f>IF(#REF! = 0, "No Usage", IF(#REF! &lt;= 20, "Low Usage", IF(#REF! &lt;= 40, "Medium Usgae", "High Usage")))</f>
        <v>#REF!</v>
      </c>
      <c r="AD628" t="e">
        <f>IF(#REF!&lt;=150,"Low Usage", IF(#REF!&lt;=200,"Medium Usage", IF(#REF!&lt;=250,"High Usage","Very High Usage")))</f>
        <v>#REF!</v>
      </c>
      <c r="AE628" t="e">
        <f>IF(#REF!&lt;=5,"Low Calls", IF(#REF!&lt;=10, "Medium Calls", "High Calls"))</f>
        <v>#REF!</v>
      </c>
      <c r="AF628" t="e">
        <f xml:space="preserve">
IF(#REF!&gt;=4,4,0)+
IF(#REF!="yes",3,0)+
IF(#REF!="High Charges",3,0)+
IF(#REF!&gt;250,4,0)+
IF(#REF!="no",1,0)+
IF(#REF!="Heavy Domestic User",2,0)</f>
        <v>#REF!</v>
      </c>
      <c r="AG628" t="e">
        <f>IF(#REF!&gt;=10,"High Risk", IF(#REF!&gt;=5,"Medium Risk","Low Risk"))</f>
        <v>#REF!</v>
      </c>
      <c r="AH628" t="e">
        <f>#REF! + #REF! + #REF! + #REF!</f>
        <v>#REF!</v>
      </c>
    </row>
    <row r="629" spans="1:34" x14ac:dyDescent="0.35">
      <c r="A629">
        <v>628</v>
      </c>
      <c r="B629" t="s">
        <v>41</v>
      </c>
      <c r="C629">
        <v>22</v>
      </c>
      <c r="D629" t="s">
        <v>28</v>
      </c>
      <c r="E629" t="s">
        <v>22</v>
      </c>
      <c r="F629" t="s">
        <v>23</v>
      </c>
      <c r="G629">
        <v>23</v>
      </c>
      <c r="H629">
        <v>182.1</v>
      </c>
      <c r="I629">
        <v>94</v>
      </c>
      <c r="J629">
        <v>30.96</v>
      </c>
      <c r="K629">
        <v>164.6</v>
      </c>
      <c r="L629">
        <v>59</v>
      </c>
      <c r="M629">
        <v>13.99</v>
      </c>
      <c r="N629">
        <v>128.80000000000001</v>
      </c>
      <c r="O629">
        <v>102</v>
      </c>
      <c r="P629">
        <v>5.8</v>
      </c>
      <c r="Q629">
        <v>12.7</v>
      </c>
      <c r="R629">
        <v>4</v>
      </c>
      <c r="S629">
        <v>3.43</v>
      </c>
      <c r="T629">
        <v>3</v>
      </c>
      <c r="U629" t="s">
        <v>22</v>
      </c>
      <c r="V629" t="e">
        <f>IF(#REF! = "yes", 1, 0)</f>
        <v>#REF!</v>
      </c>
      <c r="W629" t="e">
        <f>IF(#REF! &lt;= 1, "0-1 Calls", IF(#REF! &lt;= 3, "2-3 Calls", IF(#REF! &lt;=5, "4-5 Calls", "6+ Calls")))</f>
        <v>#REF!</v>
      </c>
      <c r="X629" t="e">
        <f>IF(#REF! &lt;= 50, "0-50", IF(#REF! &lt;=100, "51-100", IF(#REF! &lt;= 150, "101-150", "151+")))</f>
        <v>#REF!</v>
      </c>
      <c r="Y629" t="e">
        <f>IF(#REF! &lt;= 3, "Low Charges", "High Charges")</f>
        <v>#REF!</v>
      </c>
      <c r="Z629" t="e">
        <f>IF(#REF!&lt;=80,"Low Calls",
IF(#REF!&lt;=120,"Medium Calls","High Calls"))</f>
        <v>#REF!</v>
      </c>
      <c r="AA629" t="e">
        <f>IF(#REF!&lt;=15,"Low Charges",
IF(#REF!&lt;=20,"Medium Charges","High Charges"))</f>
        <v>#REF!</v>
      </c>
      <c r="AB629" t="e">
        <f>IF(AND(#REF!&gt;180, #REF!&gt;200), "Heavy Doemstic User", IF(#REF!&gt;10, "Interntional User", IF(AND(#REF!&lt;180, #REF!&lt;200,#REF!&lt;200), "Light User", "Balanced User")))</f>
        <v>#REF!</v>
      </c>
      <c r="AC629" t="e">
        <f>IF(#REF! = 0, "No Usage", IF(#REF! &lt;= 20, "Low Usage", IF(#REF! &lt;= 40, "Medium Usgae", "High Usage")))</f>
        <v>#REF!</v>
      </c>
      <c r="AD629" t="e">
        <f>IF(#REF!&lt;=150,"Low Usage", IF(#REF!&lt;=200,"Medium Usage", IF(#REF!&lt;=250,"High Usage","Very High Usage")))</f>
        <v>#REF!</v>
      </c>
      <c r="AE629" t="e">
        <f>IF(#REF!&lt;=5,"Low Calls", IF(#REF!&lt;=10, "Medium Calls", "High Calls"))</f>
        <v>#REF!</v>
      </c>
      <c r="AF629" t="e">
        <f xml:space="preserve">
IF(#REF!&gt;=4,4,0)+
IF(#REF!="yes",3,0)+
IF(#REF!="High Charges",3,0)+
IF(#REF!&gt;250,4,0)+
IF(#REF!="no",1,0)+
IF(#REF!="Heavy Domestic User",2,0)</f>
        <v>#REF!</v>
      </c>
      <c r="AG629" t="e">
        <f>IF(#REF!&gt;=10,"High Risk", IF(#REF!&gt;=5,"Medium Risk","Low Risk"))</f>
        <v>#REF!</v>
      </c>
      <c r="AH629" t="e">
        <f>#REF! + #REF! + #REF! + #REF!</f>
        <v>#REF!</v>
      </c>
    </row>
    <row r="630" spans="1:34" x14ac:dyDescent="0.35">
      <c r="A630">
        <v>629</v>
      </c>
      <c r="B630" t="s">
        <v>39</v>
      </c>
      <c r="C630">
        <v>90</v>
      </c>
      <c r="D630" t="s">
        <v>21</v>
      </c>
      <c r="E630" t="s">
        <v>22</v>
      </c>
      <c r="F630" t="s">
        <v>22</v>
      </c>
      <c r="G630">
        <v>0</v>
      </c>
      <c r="H630">
        <v>109.6</v>
      </c>
      <c r="I630">
        <v>88</v>
      </c>
      <c r="J630">
        <v>18.63</v>
      </c>
      <c r="K630">
        <v>137.6</v>
      </c>
      <c r="L630">
        <v>108</v>
      </c>
      <c r="M630">
        <v>11.7</v>
      </c>
      <c r="N630">
        <v>159.69999999999999</v>
      </c>
      <c r="O630">
        <v>121</v>
      </c>
      <c r="P630">
        <v>7.19</v>
      </c>
      <c r="Q630">
        <v>11</v>
      </c>
      <c r="R630">
        <v>5</v>
      </c>
      <c r="S630">
        <v>2.97</v>
      </c>
      <c r="T630">
        <v>2</v>
      </c>
      <c r="U630" t="s">
        <v>22</v>
      </c>
      <c r="V630" t="e">
        <f>IF(#REF! = "yes", 1, 0)</f>
        <v>#REF!</v>
      </c>
      <c r="W630" t="e">
        <f>IF(#REF! &lt;= 1, "0-1 Calls", IF(#REF! &lt;= 3, "2-3 Calls", IF(#REF! &lt;=5, "4-5 Calls", "6+ Calls")))</f>
        <v>#REF!</v>
      </c>
      <c r="X630" t="e">
        <f>IF(#REF! &lt;= 50, "0-50", IF(#REF! &lt;=100, "51-100", IF(#REF! &lt;= 150, "101-150", "151+")))</f>
        <v>#REF!</v>
      </c>
      <c r="Y630" t="e">
        <f>IF(#REF! &lt;= 3, "Low Charges", "High Charges")</f>
        <v>#REF!</v>
      </c>
      <c r="Z630" t="e">
        <f>IF(#REF!&lt;=80,"Low Calls",
IF(#REF!&lt;=120,"Medium Calls","High Calls"))</f>
        <v>#REF!</v>
      </c>
      <c r="AA630" t="e">
        <f>IF(#REF!&lt;=15,"Low Charges",
IF(#REF!&lt;=20,"Medium Charges","High Charges"))</f>
        <v>#REF!</v>
      </c>
      <c r="AB630" t="e">
        <f>IF(AND(#REF!&gt;180, #REF!&gt;200), "Heavy Doemstic User", IF(#REF!&gt;10, "Interntional User", IF(AND(#REF!&lt;180, #REF!&lt;200,#REF!&lt;200), "Light User", "Balanced User")))</f>
        <v>#REF!</v>
      </c>
      <c r="AC630" t="e">
        <f>IF(#REF! = 0, "No Usage", IF(#REF! &lt;= 20, "Low Usage", IF(#REF! &lt;= 40, "Medium Usgae", "High Usage")))</f>
        <v>#REF!</v>
      </c>
      <c r="AD630" t="e">
        <f>IF(#REF!&lt;=150,"Low Usage", IF(#REF!&lt;=200,"Medium Usage", IF(#REF!&lt;=250,"High Usage","Very High Usage")))</f>
        <v>#REF!</v>
      </c>
      <c r="AE630" t="e">
        <f>IF(#REF!&lt;=5,"Low Calls", IF(#REF!&lt;=10, "Medium Calls", "High Calls"))</f>
        <v>#REF!</v>
      </c>
      <c r="AF630" t="e">
        <f xml:space="preserve">
IF(#REF!&gt;=4,4,0)+
IF(#REF!="yes",3,0)+
IF(#REF!="High Charges",3,0)+
IF(#REF!&gt;250,4,0)+
IF(#REF!="no",1,0)+
IF(#REF!="Heavy Domestic User",2,0)</f>
        <v>#REF!</v>
      </c>
      <c r="AG630" t="e">
        <f>IF(#REF!&gt;=10,"High Risk", IF(#REF!&gt;=5,"Medium Risk","Low Risk"))</f>
        <v>#REF!</v>
      </c>
      <c r="AH630" t="e">
        <f>#REF! + #REF! + #REF! + #REF!</f>
        <v>#REF!</v>
      </c>
    </row>
    <row r="631" spans="1:34" x14ac:dyDescent="0.35">
      <c r="A631">
        <v>630</v>
      </c>
      <c r="B631" t="s">
        <v>36</v>
      </c>
      <c r="C631">
        <v>41</v>
      </c>
      <c r="D631" t="s">
        <v>21</v>
      </c>
      <c r="E631" t="s">
        <v>22</v>
      </c>
      <c r="F631" t="s">
        <v>22</v>
      </c>
      <c r="G631">
        <v>0</v>
      </c>
      <c r="H631">
        <v>209.9</v>
      </c>
      <c r="I631">
        <v>105</v>
      </c>
      <c r="J631">
        <v>35.68</v>
      </c>
      <c r="K631">
        <v>121.9</v>
      </c>
      <c r="L631">
        <v>105</v>
      </c>
      <c r="M631">
        <v>10.36</v>
      </c>
      <c r="N631">
        <v>253.7</v>
      </c>
      <c r="O631">
        <v>104</v>
      </c>
      <c r="P631">
        <v>11.42</v>
      </c>
      <c r="Q631">
        <v>9.6</v>
      </c>
      <c r="R631">
        <v>4</v>
      </c>
      <c r="S631">
        <v>2.59</v>
      </c>
      <c r="T631">
        <v>1</v>
      </c>
      <c r="U631" t="s">
        <v>22</v>
      </c>
      <c r="V631" t="e">
        <f>IF(#REF! = "yes", 1, 0)</f>
        <v>#REF!</v>
      </c>
      <c r="W631" t="e">
        <f>IF(#REF! &lt;= 1, "0-1 Calls", IF(#REF! &lt;= 3, "2-3 Calls", IF(#REF! &lt;=5, "4-5 Calls", "6+ Calls")))</f>
        <v>#REF!</v>
      </c>
      <c r="X631" t="e">
        <f>IF(#REF! &lt;= 50, "0-50", IF(#REF! &lt;=100, "51-100", IF(#REF! &lt;= 150, "101-150", "151+")))</f>
        <v>#REF!</v>
      </c>
      <c r="Y631" t="e">
        <f>IF(#REF! &lt;= 3, "Low Charges", "High Charges")</f>
        <v>#REF!</v>
      </c>
      <c r="Z631" t="e">
        <f>IF(#REF!&lt;=80,"Low Calls",
IF(#REF!&lt;=120,"Medium Calls","High Calls"))</f>
        <v>#REF!</v>
      </c>
      <c r="AA631" t="e">
        <f>IF(#REF!&lt;=15,"Low Charges",
IF(#REF!&lt;=20,"Medium Charges","High Charges"))</f>
        <v>#REF!</v>
      </c>
      <c r="AB631" t="e">
        <f>IF(AND(#REF!&gt;180, #REF!&gt;200), "Heavy Doemstic User", IF(#REF!&gt;10, "Interntional User", IF(AND(#REF!&lt;180, #REF!&lt;200,#REF!&lt;200), "Light User", "Balanced User")))</f>
        <v>#REF!</v>
      </c>
      <c r="AC631" t="e">
        <f>IF(#REF! = 0, "No Usage", IF(#REF! &lt;= 20, "Low Usage", IF(#REF! &lt;= 40, "Medium Usgae", "High Usage")))</f>
        <v>#REF!</v>
      </c>
      <c r="AD631" t="e">
        <f>IF(#REF!&lt;=150,"Low Usage", IF(#REF!&lt;=200,"Medium Usage", IF(#REF!&lt;=250,"High Usage","Very High Usage")))</f>
        <v>#REF!</v>
      </c>
      <c r="AE631" t="e">
        <f>IF(#REF!&lt;=5,"Low Calls", IF(#REF!&lt;=10, "Medium Calls", "High Calls"))</f>
        <v>#REF!</v>
      </c>
      <c r="AF631" t="e">
        <f xml:space="preserve">
IF(#REF!&gt;=4,4,0)+
IF(#REF!="yes",3,0)+
IF(#REF!="High Charges",3,0)+
IF(#REF!&gt;250,4,0)+
IF(#REF!="no",1,0)+
IF(#REF!="Heavy Domestic User",2,0)</f>
        <v>#REF!</v>
      </c>
      <c r="AG631" t="e">
        <f>IF(#REF!&gt;=10,"High Risk", IF(#REF!&gt;=5,"Medium Risk","Low Risk"))</f>
        <v>#REF!</v>
      </c>
      <c r="AH631" t="e">
        <f>#REF! + #REF! + #REF! + #REF!</f>
        <v>#REF!</v>
      </c>
    </row>
    <row r="632" spans="1:34" x14ac:dyDescent="0.35">
      <c r="A632">
        <v>631</v>
      </c>
      <c r="B632" t="s">
        <v>44</v>
      </c>
      <c r="C632">
        <v>33</v>
      </c>
      <c r="D632" t="s">
        <v>21</v>
      </c>
      <c r="E632" t="s">
        <v>22</v>
      </c>
      <c r="F632" t="s">
        <v>22</v>
      </c>
      <c r="G632">
        <v>0</v>
      </c>
      <c r="H632">
        <v>213.9</v>
      </c>
      <c r="I632">
        <v>88</v>
      </c>
      <c r="J632">
        <v>36.36</v>
      </c>
      <c r="K632">
        <v>239.8</v>
      </c>
      <c r="L632">
        <v>119</v>
      </c>
      <c r="M632">
        <v>20.38</v>
      </c>
      <c r="N632">
        <v>148.69999999999999</v>
      </c>
      <c r="O632">
        <v>71</v>
      </c>
      <c r="P632">
        <v>6.69</v>
      </c>
      <c r="Q632">
        <v>9.8000000000000007</v>
      </c>
      <c r="R632">
        <v>14</v>
      </c>
      <c r="S632">
        <v>2.65</v>
      </c>
      <c r="T632">
        <v>2</v>
      </c>
      <c r="U632" t="s">
        <v>22</v>
      </c>
      <c r="V632" t="e">
        <f>IF(#REF! = "yes", 1, 0)</f>
        <v>#REF!</v>
      </c>
      <c r="W632" t="e">
        <f>IF(#REF! &lt;= 1, "0-1 Calls", IF(#REF! &lt;= 3, "2-3 Calls", IF(#REF! &lt;=5, "4-5 Calls", "6+ Calls")))</f>
        <v>#REF!</v>
      </c>
      <c r="X632" t="e">
        <f>IF(#REF! &lt;= 50, "0-50", IF(#REF! &lt;=100, "51-100", IF(#REF! &lt;= 150, "101-150", "151+")))</f>
        <v>#REF!</v>
      </c>
      <c r="Y632" t="e">
        <f>IF(#REF! &lt;= 3, "Low Charges", "High Charges")</f>
        <v>#REF!</v>
      </c>
      <c r="Z632" t="e">
        <f>IF(#REF!&lt;=80,"Low Calls",
IF(#REF!&lt;=120,"Medium Calls","High Calls"))</f>
        <v>#REF!</v>
      </c>
      <c r="AA632" t="e">
        <f>IF(#REF!&lt;=15,"Low Charges",
IF(#REF!&lt;=20,"Medium Charges","High Charges"))</f>
        <v>#REF!</v>
      </c>
      <c r="AB632" t="e">
        <f>IF(AND(#REF!&gt;180, #REF!&gt;200), "Heavy Doemstic User", IF(#REF!&gt;10, "Interntional User", IF(AND(#REF!&lt;180, #REF!&lt;200,#REF!&lt;200), "Light User", "Balanced User")))</f>
        <v>#REF!</v>
      </c>
      <c r="AC632" t="e">
        <f>IF(#REF! = 0, "No Usage", IF(#REF! &lt;= 20, "Low Usage", IF(#REF! &lt;= 40, "Medium Usgae", "High Usage")))</f>
        <v>#REF!</v>
      </c>
      <c r="AD632" t="e">
        <f>IF(#REF!&lt;=150,"Low Usage", IF(#REF!&lt;=200,"Medium Usage", IF(#REF!&lt;=250,"High Usage","Very High Usage")))</f>
        <v>#REF!</v>
      </c>
      <c r="AE632" t="e">
        <f>IF(#REF!&lt;=5,"Low Calls", IF(#REF!&lt;=10, "Medium Calls", "High Calls"))</f>
        <v>#REF!</v>
      </c>
      <c r="AF632" t="e">
        <f xml:space="preserve">
IF(#REF!&gt;=4,4,0)+
IF(#REF!="yes",3,0)+
IF(#REF!="High Charges",3,0)+
IF(#REF!&gt;250,4,0)+
IF(#REF!="no",1,0)+
IF(#REF!="Heavy Domestic User",2,0)</f>
        <v>#REF!</v>
      </c>
      <c r="AG632" t="e">
        <f>IF(#REF!&gt;=10,"High Risk", IF(#REF!&gt;=5,"Medium Risk","Low Risk"))</f>
        <v>#REF!</v>
      </c>
      <c r="AH632" t="e">
        <f>#REF! + #REF! + #REF! + #REF!</f>
        <v>#REF!</v>
      </c>
    </row>
    <row r="633" spans="1:34" x14ac:dyDescent="0.35">
      <c r="A633">
        <v>632</v>
      </c>
      <c r="B633" t="s">
        <v>55</v>
      </c>
      <c r="C633">
        <v>112</v>
      </c>
      <c r="D633" t="s">
        <v>21</v>
      </c>
      <c r="E633" t="s">
        <v>22</v>
      </c>
      <c r="F633" t="s">
        <v>22</v>
      </c>
      <c r="G633">
        <v>0</v>
      </c>
      <c r="H633">
        <v>115.8</v>
      </c>
      <c r="I633">
        <v>108</v>
      </c>
      <c r="J633">
        <v>19.690000000000001</v>
      </c>
      <c r="K633">
        <v>243.3</v>
      </c>
      <c r="L633">
        <v>111</v>
      </c>
      <c r="M633">
        <v>20.68</v>
      </c>
      <c r="N633">
        <v>184.6</v>
      </c>
      <c r="O633">
        <v>78</v>
      </c>
      <c r="P633">
        <v>8.31</v>
      </c>
      <c r="Q633">
        <v>13.1</v>
      </c>
      <c r="R633">
        <v>5</v>
      </c>
      <c r="S633">
        <v>3.54</v>
      </c>
      <c r="T633">
        <v>1</v>
      </c>
      <c r="U633" t="s">
        <v>22</v>
      </c>
      <c r="V633" t="e">
        <f>IF(#REF! = "yes", 1, 0)</f>
        <v>#REF!</v>
      </c>
      <c r="W633" t="e">
        <f>IF(#REF! &lt;= 1, "0-1 Calls", IF(#REF! &lt;= 3, "2-3 Calls", IF(#REF! &lt;=5, "4-5 Calls", "6+ Calls")))</f>
        <v>#REF!</v>
      </c>
      <c r="X633" t="e">
        <f>IF(#REF! &lt;= 50, "0-50", IF(#REF! &lt;=100, "51-100", IF(#REF! &lt;= 150, "101-150", "151+")))</f>
        <v>#REF!</v>
      </c>
      <c r="Y633" t="e">
        <f>IF(#REF! &lt;= 3, "Low Charges", "High Charges")</f>
        <v>#REF!</v>
      </c>
      <c r="Z633" t="e">
        <f>IF(#REF!&lt;=80,"Low Calls",
IF(#REF!&lt;=120,"Medium Calls","High Calls"))</f>
        <v>#REF!</v>
      </c>
      <c r="AA633" t="e">
        <f>IF(#REF!&lt;=15,"Low Charges",
IF(#REF!&lt;=20,"Medium Charges","High Charges"))</f>
        <v>#REF!</v>
      </c>
      <c r="AB633" t="e">
        <f>IF(AND(#REF!&gt;180, #REF!&gt;200), "Heavy Doemstic User", IF(#REF!&gt;10, "Interntional User", IF(AND(#REF!&lt;180, #REF!&lt;200,#REF!&lt;200), "Light User", "Balanced User")))</f>
        <v>#REF!</v>
      </c>
      <c r="AC633" t="e">
        <f>IF(#REF! = 0, "No Usage", IF(#REF! &lt;= 20, "Low Usage", IF(#REF! &lt;= 40, "Medium Usgae", "High Usage")))</f>
        <v>#REF!</v>
      </c>
      <c r="AD633" t="e">
        <f>IF(#REF!&lt;=150,"Low Usage", IF(#REF!&lt;=200,"Medium Usage", IF(#REF!&lt;=250,"High Usage","Very High Usage")))</f>
        <v>#REF!</v>
      </c>
      <c r="AE633" t="e">
        <f>IF(#REF!&lt;=5,"Low Calls", IF(#REF!&lt;=10, "Medium Calls", "High Calls"))</f>
        <v>#REF!</v>
      </c>
      <c r="AF633" t="e">
        <f xml:space="preserve">
IF(#REF!&gt;=4,4,0)+
IF(#REF!="yes",3,0)+
IF(#REF!="High Charges",3,0)+
IF(#REF!&gt;250,4,0)+
IF(#REF!="no",1,0)+
IF(#REF!="Heavy Domestic User",2,0)</f>
        <v>#REF!</v>
      </c>
      <c r="AG633" t="e">
        <f>IF(#REF!&gt;=10,"High Risk", IF(#REF!&gt;=5,"Medium Risk","Low Risk"))</f>
        <v>#REF!</v>
      </c>
      <c r="AH633" t="e">
        <f>#REF! + #REF! + #REF! + #REF!</f>
        <v>#REF!</v>
      </c>
    </row>
    <row r="634" spans="1:34" x14ac:dyDescent="0.35">
      <c r="A634">
        <v>633</v>
      </c>
      <c r="B634" t="s">
        <v>30</v>
      </c>
      <c r="C634">
        <v>108</v>
      </c>
      <c r="D634" t="s">
        <v>28</v>
      </c>
      <c r="E634" t="s">
        <v>22</v>
      </c>
      <c r="F634" t="s">
        <v>23</v>
      </c>
      <c r="G634">
        <v>30</v>
      </c>
      <c r="H634">
        <v>276.60000000000002</v>
      </c>
      <c r="I634">
        <v>99</v>
      </c>
      <c r="J634">
        <v>47.02</v>
      </c>
      <c r="K634">
        <v>220.1</v>
      </c>
      <c r="L634">
        <v>113</v>
      </c>
      <c r="M634">
        <v>18.71</v>
      </c>
      <c r="N634">
        <v>177.9</v>
      </c>
      <c r="O634">
        <v>95</v>
      </c>
      <c r="P634">
        <v>8.01</v>
      </c>
      <c r="Q634">
        <v>9.8000000000000007</v>
      </c>
      <c r="R634">
        <v>6</v>
      </c>
      <c r="S634">
        <v>2.65</v>
      </c>
      <c r="T634">
        <v>2</v>
      </c>
      <c r="U634" t="s">
        <v>22</v>
      </c>
      <c r="V634" t="e">
        <f>IF(#REF! = "yes", 1, 0)</f>
        <v>#REF!</v>
      </c>
      <c r="W634" t="e">
        <f>IF(#REF! &lt;= 1, "0-1 Calls", IF(#REF! &lt;= 3, "2-3 Calls", IF(#REF! &lt;=5, "4-5 Calls", "6+ Calls")))</f>
        <v>#REF!</v>
      </c>
      <c r="X634" t="e">
        <f>IF(#REF! &lt;= 50, "0-50", IF(#REF! &lt;=100, "51-100", IF(#REF! &lt;= 150, "101-150", "151+")))</f>
        <v>#REF!</v>
      </c>
      <c r="Y634" t="e">
        <f>IF(#REF! &lt;= 3, "Low Charges", "High Charges")</f>
        <v>#REF!</v>
      </c>
      <c r="Z634" t="e">
        <f>IF(#REF!&lt;=80,"Low Calls",
IF(#REF!&lt;=120,"Medium Calls","High Calls"))</f>
        <v>#REF!</v>
      </c>
      <c r="AA634" t="e">
        <f>IF(#REF!&lt;=15,"Low Charges",
IF(#REF!&lt;=20,"Medium Charges","High Charges"))</f>
        <v>#REF!</v>
      </c>
      <c r="AB634" t="e">
        <f>IF(AND(#REF!&gt;180, #REF!&gt;200), "Heavy Doemstic User", IF(#REF!&gt;10, "Interntional User", IF(AND(#REF!&lt;180, #REF!&lt;200,#REF!&lt;200), "Light User", "Balanced User")))</f>
        <v>#REF!</v>
      </c>
      <c r="AC634" t="e">
        <f>IF(#REF! = 0, "No Usage", IF(#REF! &lt;= 20, "Low Usage", IF(#REF! &lt;= 40, "Medium Usgae", "High Usage")))</f>
        <v>#REF!</v>
      </c>
      <c r="AD634" t="e">
        <f>IF(#REF!&lt;=150,"Low Usage", IF(#REF!&lt;=200,"Medium Usage", IF(#REF!&lt;=250,"High Usage","Very High Usage")))</f>
        <v>#REF!</v>
      </c>
      <c r="AE634" t="e">
        <f>IF(#REF!&lt;=5,"Low Calls", IF(#REF!&lt;=10, "Medium Calls", "High Calls"))</f>
        <v>#REF!</v>
      </c>
      <c r="AF634" t="e">
        <f xml:space="preserve">
IF(#REF!&gt;=4,4,0)+
IF(#REF!="yes",3,0)+
IF(#REF!="High Charges",3,0)+
IF(#REF!&gt;250,4,0)+
IF(#REF!="no",1,0)+
IF(#REF!="Heavy Domestic User",2,0)</f>
        <v>#REF!</v>
      </c>
      <c r="AG634" t="e">
        <f>IF(#REF!&gt;=10,"High Risk", IF(#REF!&gt;=5,"Medium Risk","Low Risk"))</f>
        <v>#REF!</v>
      </c>
      <c r="AH634" t="e">
        <f>#REF! + #REF! + #REF! + #REF!</f>
        <v>#REF!</v>
      </c>
    </row>
    <row r="635" spans="1:34" x14ac:dyDescent="0.35">
      <c r="A635">
        <v>634</v>
      </c>
      <c r="B635" t="s">
        <v>62</v>
      </c>
      <c r="C635">
        <v>136</v>
      </c>
      <c r="D635" t="s">
        <v>21</v>
      </c>
      <c r="E635" t="s">
        <v>22</v>
      </c>
      <c r="F635" t="s">
        <v>23</v>
      </c>
      <c r="G635">
        <v>21</v>
      </c>
      <c r="H635">
        <v>179.4</v>
      </c>
      <c r="I635">
        <v>88</v>
      </c>
      <c r="J635">
        <v>30.5</v>
      </c>
      <c r="K635">
        <v>181.1</v>
      </c>
      <c r="L635">
        <v>97</v>
      </c>
      <c r="M635">
        <v>15.39</v>
      </c>
      <c r="N635">
        <v>320.7</v>
      </c>
      <c r="O635">
        <v>120</v>
      </c>
      <c r="P635">
        <v>14.43</v>
      </c>
      <c r="Q635">
        <v>9.5</v>
      </c>
      <c r="R635">
        <v>4</v>
      </c>
      <c r="S635">
        <v>2.57</v>
      </c>
      <c r="T635">
        <v>2</v>
      </c>
      <c r="U635" t="s">
        <v>22</v>
      </c>
      <c r="V635" t="e">
        <f>IF(#REF! = "yes", 1, 0)</f>
        <v>#REF!</v>
      </c>
      <c r="W635" t="e">
        <f>IF(#REF! &lt;= 1, "0-1 Calls", IF(#REF! &lt;= 3, "2-3 Calls", IF(#REF! &lt;=5, "4-5 Calls", "6+ Calls")))</f>
        <v>#REF!</v>
      </c>
      <c r="X635" t="e">
        <f>IF(#REF! &lt;= 50, "0-50", IF(#REF! &lt;=100, "51-100", IF(#REF! &lt;= 150, "101-150", "151+")))</f>
        <v>#REF!</v>
      </c>
      <c r="Y635" t="e">
        <f>IF(#REF! &lt;= 3, "Low Charges", "High Charges")</f>
        <v>#REF!</v>
      </c>
      <c r="Z635" t="e">
        <f>IF(#REF!&lt;=80,"Low Calls",
IF(#REF!&lt;=120,"Medium Calls","High Calls"))</f>
        <v>#REF!</v>
      </c>
      <c r="AA635" t="e">
        <f>IF(#REF!&lt;=15,"Low Charges",
IF(#REF!&lt;=20,"Medium Charges","High Charges"))</f>
        <v>#REF!</v>
      </c>
      <c r="AB635" t="e">
        <f>IF(AND(#REF!&gt;180, #REF!&gt;200), "Heavy Doemstic User", IF(#REF!&gt;10, "Interntional User", IF(AND(#REF!&lt;180, #REF!&lt;200,#REF!&lt;200), "Light User", "Balanced User")))</f>
        <v>#REF!</v>
      </c>
      <c r="AC635" t="e">
        <f>IF(#REF! = 0, "No Usage", IF(#REF! &lt;= 20, "Low Usage", IF(#REF! &lt;= 40, "Medium Usgae", "High Usage")))</f>
        <v>#REF!</v>
      </c>
      <c r="AD635" t="e">
        <f>IF(#REF!&lt;=150,"Low Usage", IF(#REF!&lt;=200,"Medium Usage", IF(#REF!&lt;=250,"High Usage","Very High Usage")))</f>
        <v>#REF!</v>
      </c>
      <c r="AE635" t="e">
        <f>IF(#REF!&lt;=5,"Low Calls", IF(#REF!&lt;=10, "Medium Calls", "High Calls"))</f>
        <v>#REF!</v>
      </c>
      <c r="AF635" t="e">
        <f xml:space="preserve">
IF(#REF!&gt;=4,4,0)+
IF(#REF!="yes",3,0)+
IF(#REF!="High Charges",3,0)+
IF(#REF!&gt;250,4,0)+
IF(#REF!="no",1,0)+
IF(#REF!="Heavy Domestic User",2,0)</f>
        <v>#REF!</v>
      </c>
      <c r="AG635" t="e">
        <f>IF(#REF!&gt;=10,"High Risk", IF(#REF!&gt;=5,"Medium Risk","Low Risk"))</f>
        <v>#REF!</v>
      </c>
      <c r="AH635" t="e">
        <f>#REF! + #REF! + #REF! + #REF!</f>
        <v>#REF!</v>
      </c>
    </row>
    <row r="636" spans="1:34" x14ac:dyDescent="0.35">
      <c r="A636">
        <v>635</v>
      </c>
      <c r="B636" t="s">
        <v>58</v>
      </c>
      <c r="C636">
        <v>128</v>
      </c>
      <c r="D636" t="s">
        <v>28</v>
      </c>
      <c r="E636" t="s">
        <v>22</v>
      </c>
      <c r="F636" t="s">
        <v>22</v>
      </c>
      <c r="G636">
        <v>0</v>
      </c>
      <c r="H636">
        <v>187.3</v>
      </c>
      <c r="I636">
        <v>84</v>
      </c>
      <c r="J636">
        <v>31.84</v>
      </c>
      <c r="K636">
        <v>270.8</v>
      </c>
      <c r="L636">
        <v>95</v>
      </c>
      <c r="M636">
        <v>23.02</v>
      </c>
      <c r="N636">
        <v>206.4</v>
      </c>
      <c r="O636">
        <v>68</v>
      </c>
      <c r="P636">
        <v>9.2899999999999991</v>
      </c>
      <c r="Q636">
        <v>10.1</v>
      </c>
      <c r="R636">
        <v>5</v>
      </c>
      <c r="S636">
        <v>2.73</v>
      </c>
      <c r="T636">
        <v>1</v>
      </c>
      <c r="U636" t="s">
        <v>22</v>
      </c>
      <c r="V636" t="e">
        <f>IF(#REF! = "yes", 1, 0)</f>
        <v>#REF!</v>
      </c>
      <c r="W636" t="e">
        <f>IF(#REF! &lt;= 1, "0-1 Calls", IF(#REF! &lt;= 3, "2-3 Calls", IF(#REF! &lt;=5, "4-5 Calls", "6+ Calls")))</f>
        <v>#REF!</v>
      </c>
      <c r="X636" t="e">
        <f>IF(#REF! &lt;= 50, "0-50", IF(#REF! &lt;=100, "51-100", IF(#REF! &lt;= 150, "101-150", "151+")))</f>
        <v>#REF!</v>
      </c>
      <c r="Y636" t="e">
        <f>IF(#REF! &lt;= 3, "Low Charges", "High Charges")</f>
        <v>#REF!</v>
      </c>
      <c r="Z636" t="e">
        <f>IF(#REF!&lt;=80,"Low Calls",
IF(#REF!&lt;=120,"Medium Calls","High Calls"))</f>
        <v>#REF!</v>
      </c>
      <c r="AA636" t="e">
        <f>IF(#REF!&lt;=15,"Low Charges",
IF(#REF!&lt;=20,"Medium Charges","High Charges"))</f>
        <v>#REF!</v>
      </c>
      <c r="AB636" t="e">
        <f>IF(AND(#REF!&gt;180, #REF!&gt;200), "Heavy Doemstic User", IF(#REF!&gt;10, "Interntional User", IF(AND(#REF!&lt;180, #REF!&lt;200,#REF!&lt;200), "Light User", "Balanced User")))</f>
        <v>#REF!</v>
      </c>
      <c r="AC636" t="e">
        <f>IF(#REF! = 0, "No Usage", IF(#REF! &lt;= 20, "Low Usage", IF(#REF! &lt;= 40, "Medium Usgae", "High Usage")))</f>
        <v>#REF!</v>
      </c>
      <c r="AD636" t="e">
        <f>IF(#REF!&lt;=150,"Low Usage", IF(#REF!&lt;=200,"Medium Usage", IF(#REF!&lt;=250,"High Usage","Very High Usage")))</f>
        <v>#REF!</v>
      </c>
      <c r="AE636" t="e">
        <f>IF(#REF!&lt;=5,"Low Calls", IF(#REF!&lt;=10, "Medium Calls", "High Calls"))</f>
        <v>#REF!</v>
      </c>
      <c r="AF636" t="e">
        <f xml:space="preserve">
IF(#REF!&gt;=4,4,0)+
IF(#REF!="yes",3,0)+
IF(#REF!="High Charges",3,0)+
IF(#REF!&gt;250,4,0)+
IF(#REF!="no",1,0)+
IF(#REF!="Heavy Domestic User",2,0)</f>
        <v>#REF!</v>
      </c>
      <c r="AG636" t="e">
        <f>IF(#REF!&gt;=10,"High Risk", IF(#REF!&gt;=5,"Medium Risk","Low Risk"))</f>
        <v>#REF!</v>
      </c>
      <c r="AH636" t="e">
        <f>#REF! + #REF! + #REF! + #REF!</f>
        <v>#REF!</v>
      </c>
    </row>
    <row r="637" spans="1:34" x14ac:dyDescent="0.35">
      <c r="A637">
        <v>636</v>
      </c>
      <c r="B637" t="s">
        <v>58</v>
      </c>
      <c r="C637">
        <v>27</v>
      </c>
      <c r="D637" t="s">
        <v>25</v>
      </c>
      <c r="E637" t="s">
        <v>22</v>
      </c>
      <c r="F637" t="s">
        <v>22</v>
      </c>
      <c r="G637">
        <v>0</v>
      </c>
      <c r="H637">
        <v>201.2</v>
      </c>
      <c r="I637">
        <v>128</v>
      </c>
      <c r="J637">
        <v>34.200000000000003</v>
      </c>
      <c r="K637">
        <v>227.2</v>
      </c>
      <c r="L637">
        <v>100</v>
      </c>
      <c r="M637">
        <v>19.309999999999999</v>
      </c>
      <c r="N637">
        <v>145.80000000000001</v>
      </c>
      <c r="O637">
        <v>91</v>
      </c>
      <c r="P637">
        <v>6.56</v>
      </c>
      <c r="Q637">
        <v>8.4</v>
      </c>
      <c r="R637">
        <v>3</v>
      </c>
      <c r="S637">
        <v>2.27</v>
      </c>
      <c r="T637">
        <v>2</v>
      </c>
      <c r="U637" t="s">
        <v>22</v>
      </c>
      <c r="V637" t="e">
        <f>IF(#REF! = "yes", 1, 0)</f>
        <v>#REF!</v>
      </c>
      <c r="W637" t="e">
        <f>IF(#REF! &lt;= 1, "0-1 Calls", IF(#REF! &lt;= 3, "2-3 Calls", IF(#REF! &lt;=5, "4-5 Calls", "6+ Calls")))</f>
        <v>#REF!</v>
      </c>
      <c r="X637" t="e">
        <f>IF(#REF! &lt;= 50, "0-50", IF(#REF! &lt;=100, "51-100", IF(#REF! &lt;= 150, "101-150", "151+")))</f>
        <v>#REF!</v>
      </c>
      <c r="Y637" t="e">
        <f>IF(#REF! &lt;= 3, "Low Charges", "High Charges")</f>
        <v>#REF!</v>
      </c>
      <c r="Z637" t="e">
        <f>IF(#REF!&lt;=80,"Low Calls",
IF(#REF!&lt;=120,"Medium Calls","High Calls"))</f>
        <v>#REF!</v>
      </c>
      <c r="AA637" t="e">
        <f>IF(#REF!&lt;=15,"Low Charges",
IF(#REF!&lt;=20,"Medium Charges","High Charges"))</f>
        <v>#REF!</v>
      </c>
      <c r="AB637" t="e">
        <f>IF(AND(#REF!&gt;180, #REF!&gt;200), "Heavy Doemstic User", IF(#REF!&gt;10, "Interntional User", IF(AND(#REF!&lt;180, #REF!&lt;200,#REF!&lt;200), "Light User", "Balanced User")))</f>
        <v>#REF!</v>
      </c>
      <c r="AC637" t="e">
        <f>IF(#REF! = 0, "No Usage", IF(#REF! &lt;= 20, "Low Usage", IF(#REF! &lt;= 40, "Medium Usgae", "High Usage")))</f>
        <v>#REF!</v>
      </c>
      <c r="AD637" t="e">
        <f>IF(#REF!&lt;=150,"Low Usage", IF(#REF!&lt;=200,"Medium Usage", IF(#REF!&lt;=250,"High Usage","Very High Usage")))</f>
        <v>#REF!</v>
      </c>
      <c r="AE637" t="e">
        <f>IF(#REF!&lt;=5,"Low Calls", IF(#REF!&lt;=10, "Medium Calls", "High Calls"))</f>
        <v>#REF!</v>
      </c>
      <c r="AF637" t="e">
        <f xml:space="preserve">
IF(#REF!&gt;=4,4,0)+
IF(#REF!="yes",3,0)+
IF(#REF!="High Charges",3,0)+
IF(#REF!&gt;250,4,0)+
IF(#REF!="no",1,0)+
IF(#REF!="Heavy Domestic User",2,0)</f>
        <v>#REF!</v>
      </c>
      <c r="AG637" t="e">
        <f>IF(#REF!&gt;=10,"High Risk", IF(#REF!&gt;=5,"Medium Risk","Low Risk"))</f>
        <v>#REF!</v>
      </c>
      <c r="AH637" t="e">
        <f>#REF! + #REF! + #REF! + #REF!</f>
        <v>#REF!</v>
      </c>
    </row>
    <row r="638" spans="1:34" x14ac:dyDescent="0.35">
      <c r="A638">
        <v>637</v>
      </c>
      <c r="B638" t="s">
        <v>44</v>
      </c>
      <c r="C638">
        <v>161</v>
      </c>
      <c r="D638" t="s">
        <v>21</v>
      </c>
      <c r="E638" t="s">
        <v>23</v>
      </c>
      <c r="F638" t="s">
        <v>22</v>
      </c>
      <c r="G638">
        <v>0</v>
      </c>
      <c r="H638">
        <v>189.6</v>
      </c>
      <c r="I638">
        <v>78</v>
      </c>
      <c r="J638">
        <v>32.229999999999997</v>
      </c>
      <c r="K638">
        <v>267.39999999999998</v>
      </c>
      <c r="L638">
        <v>117</v>
      </c>
      <c r="M638">
        <v>22.73</v>
      </c>
      <c r="N638">
        <v>184.5</v>
      </c>
      <c r="O638">
        <v>137</v>
      </c>
      <c r="P638">
        <v>8.3000000000000007</v>
      </c>
      <c r="Q638">
        <v>1.3</v>
      </c>
      <c r="R638">
        <v>6</v>
      </c>
      <c r="S638">
        <v>0.35</v>
      </c>
      <c r="T638">
        <v>1</v>
      </c>
      <c r="U638" t="s">
        <v>22</v>
      </c>
      <c r="V638" t="e">
        <f>IF(#REF! = "yes", 1, 0)</f>
        <v>#REF!</v>
      </c>
      <c r="W638" t="e">
        <f>IF(#REF! &lt;= 1, "0-1 Calls", IF(#REF! &lt;= 3, "2-3 Calls", IF(#REF! &lt;=5, "4-5 Calls", "6+ Calls")))</f>
        <v>#REF!</v>
      </c>
      <c r="X638" t="e">
        <f>IF(#REF! &lt;= 50, "0-50", IF(#REF! &lt;=100, "51-100", IF(#REF! &lt;= 150, "101-150", "151+")))</f>
        <v>#REF!</v>
      </c>
      <c r="Y638" t="e">
        <f>IF(#REF! &lt;= 3, "Low Charges", "High Charges")</f>
        <v>#REF!</v>
      </c>
      <c r="Z638" t="e">
        <f>IF(#REF!&lt;=80,"Low Calls",
IF(#REF!&lt;=120,"Medium Calls","High Calls"))</f>
        <v>#REF!</v>
      </c>
      <c r="AA638" t="e">
        <f>IF(#REF!&lt;=15,"Low Charges",
IF(#REF!&lt;=20,"Medium Charges","High Charges"))</f>
        <v>#REF!</v>
      </c>
      <c r="AB638" t="e">
        <f>IF(AND(#REF!&gt;180, #REF!&gt;200), "Heavy Doemstic User", IF(#REF!&gt;10, "Interntional User", IF(AND(#REF!&lt;180, #REF!&lt;200,#REF!&lt;200), "Light User", "Balanced User")))</f>
        <v>#REF!</v>
      </c>
      <c r="AC638" t="e">
        <f>IF(#REF! = 0, "No Usage", IF(#REF! &lt;= 20, "Low Usage", IF(#REF! &lt;= 40, "Medium Usgae", "High Usage")))</f>
        <v>#REF!</v>
      </c>
      <c r="AD638" t="e">
        <f>IF(#REF!&lt;=150,"Low Usage", IF(#REF!&lt;=200,"Medium Usage", IF(#REF!&lt;=250,"High Usage","Very High Usage")))</f>
        <v>#REF!</v>
      </c>
      <c r="AE638" t="e">
        <f>IF(#REF!&lt;=5,"Low Calls", IF(#REF!&lt;=10, "Medium Calls", "High Calls"))</f>
        <v>#REF!</v>
      </c>
      <c r="AF638" t="e">
        <f xml:space="preserve">
IF(#REF!&gt;=4,4,0)+
IF(#REF!="yes",3,0)+
IF(#REF!="High Charges",3,0)+
IF(#REF!&gt;250,4,0)+
IF(#REF!="no",1,0)+
IF(#REF!="Heavy Domestic User",2,0)</f>
        <v>#REF!</v>
      </c>
      <c r="AG638" t="e">
        <f>IF(#REF!&gt;=10,"High Risk", IF(#REF!&gt;=5,"Medium Risk","Low Risk"))</f>
        <v>#REF!</v>
      </c>
      <c r="AH638" t="e">
        <f>#REF! + #REF! + #REF! + #REF!</f>
        <v>#REF!</v>
      </c>
    </row>
    <row r="639" spans="1:34" x14ac:dyDescent="0.35">
      <c r="A639">
        <v>638</v>
      </c>
      <c r="B639" t="s">
        <v>71</v>
      </c>
      <c r="C639">
        <v>33</v>
      </c>
      <c r="D639" t="s">
        <v>21</v>
      </c>
      <c r="E639" t="s">
        <v>22</v>
      </c>
      <c r="F639" t="s">
        <v>23</v>
      </c>
      <c r="G639">
        <v>35</v>
      </c>
      <c r="H639">
        <v>186.8</v>
      </c>
      <c r="I639">
        <v>124</v>
      </c>
      <c r="J639">
        <v>31.76</v>
      </c>
      <c r="K639">
        <v>261</v>
      </c>
      <c r="L639">
        <v>69</v>
      </c>
      <c r="M639">
        <v>22.19</v>
      </c>
      <c r="N639">
        <v>317.8</v>
      </c>
      <c r="O639">
        <v>103</v>
      </c>
      <c r="P639">
        <v>14.3</v>
      </c>
      <c r="Q639">
        <v>15</v>
      </c>
      <c r="R639">
        <v>5</v>
      </c>
      <c r="S639">
        <v>4.05</v>
      </c>
      <c r="T639">
        <v>0</v>
      </c>
      <c r="U639" t="s">
        <v>22</v>
      </c>
      <c r="V639" t="e">
        <f>IF(#REF! = "yes", 1, 0)</f>
        <v>#REF!</v>
      </c>
      <c r="W639" t="e">
        <f>IF(#REF! &lt;= 1, "0-1 Calls", IF(#REF! &lt;= 3, "2-3 Calls", IF(#REF! &lt;=5, "4-5 Calls", "6+ Calls")))</f>
        <v>#REF!</v>
      </c>
      <c r="X639" t="e">
        <f>IF(#REF! &lt;= 50, "0-50", IF(#REF! &lt;=100, "51-100", IF(#REF! &lt;= 150, "101-150", "151+")))</f>
        <v>#REF!</v>
      </c>
      <c r="Y639" t="e">
        <f>IF(#REF! &lt;= 3, "Low Charges", "High Charges")</f>
        <v>#REF!</v>
      </c>
      <c r="Z639" t="e">
        <f>IF(#REF!&lt;=80,"Low Calls",
IF(#REF!&lt;=120,"Medium Calls","High Calls"))</f>
        <v>#REF!</v>
      </c>
      <c r="AA639" t="e">
        <f>IF(#REF!&lt;=15,"Low Charges",
IF(#REF!&lt;=20,"Medium Charges","High Charges"))</f>
        <v>#REF!</v>
      </c>
      <c r="AB639" t="e">
        <f>IF(AND(#REF!&gt;180, #REF!&gt;200), "Heavy Doemstic User", IF(#REF!&gt;10, "Interntional User", IF(AND(#REF!&lt;180, #REF!&lt;200,#REF!&lt;200), "Light User", "Balanced User")))</f>
        <v>#REF!</v>
      </c>
      <c r="AC639" t="e">
        <f>IF(#REF! = 0, "No Usage", IF(#REF! &lt;= 20, "Low Usage", IF(#REF! &lt;= 40, "Medium Usgae", "High Usage")))</f>
        <v>#REF!</v>
      </c>
      <c r="AD639" t="e">
        <f>IF(#REF!&lt;=150,"Low Usage", IF(#REF!&lt;=200,"Medium Usage", IF(#REF!&lt;=250,"High Usage","Very High Usage")))</f>
        <v>#REF!</v>
      </c>
      <c r="AE639" t="e">
        <f>IF(#REF!&lt;=5,"Low Calls", IF(#REF!&lt;=10, "Medium Calls", "High Calls"))</f>
        <v>#REF!</v>
      </c>
      <c r="AF639" t="e">
        <f xml:space="preserve">
IF(#REF!&gt;=4,4,0)+
IF(#REF!="yes",3,0)+
IF(#REF!="High Charges",3,0)+
IF(#REF!&gt;250,4,0)+
IF(#REF!="no",1,0)+
IF(#REF!="Heavy Domestic User",2,0)</f>
        <v>#REF!</v>
      </c>
      <c r="AG639" t="e">
        <f>IF(#REF!&gt;=10,"High Risk", IF(#REF!&gt;=5,"Medium Risk","Low Risk"))</f>
        <v>#REF!</v>
      </c>
      <c r="AH639" t="e">
        <f>#REF! + #REF! + #REF! + #REF!</f>
        <v>#REF!</v>
      </c>
    </row>
    <row r="640" spans="1:34" x14ac:dyDescent="0.35">
      <c r="A640">
        <v>639</v>
      </c>
      <c r="B640" t="s">
        <v>40</v>
      </c>
      <c r="C640">
        <v>120</v>
      </c>
      <c r="D640" t="s">
        <v>21</v>
      </c>
      <c r="E640" t="s">
        <v>22</v>
      </c>
      <c r="F640" t="s">
        <v>23</v>
      </c>
      <c r="G640">
        <v>31</v>
      </c>
      <c r="H640">
        <v>153.5</v>
      </c>
      <c r="I640">
        <v>83</v>
      </c>
      <c r="J640">
        <v>26.1</v>
      </c>
      <c r="K640">
        <v>219.1</v>
      </c>
      <c r="L640">
        <v>96</v>
      </c>
      <c r="M640">
        <v>18.62</v>
      </c>
      <c r="N640">
        <v>237.4</v>
      </c>
      <c r="O640">
        <v>76</v>
      </c>
      <c r="P640">
        <v>10.68</v>
      </c>
      <c r="Q640">
        <v>11.4</v>
      </c>
      <c r="R640">
        <v>4</v>
      </c>
      <c r="S640">
        <v>3.08</v>
      </c>
      <c r="T640">
        <v>0</v>
      </c>
      <c r="U640" t="s">
        <v>22</v>
      </c>
      <c r="V640" t="e">
        <f>IF(#REF! = "yes", 1, 0)</f>
        <v>#REF!</v>
      </c>
      <c r="W640" t="e">
        <f>IF(#REF! &lt;= 1, "0-1 Calls", IF(#REF! &lt;= 3, "2-3 Calls", IF(#REF! &lt;=5, "4-5 Calls", "6+ Calls")))</f>
        <v>#REF!</v>
      </c>
      <c r="X640" t="e">
        <f>IF(#REF! &lt;= 50, "0-50", IF(#REF! &lt;=100, "51-100", IF(#REF! &lt;= 150, "101-150", "151+")))</f>
        <v>#REF!</v>
      </c>
      <c r="Y640" t="e">
        <f>IF(#REF! &lt;= 3, "Low Charges", "High Charges")</f>
        <v>#REF!</v>
      </c>
      <c r="Z640" t="e">
        <f>IF(#REF!&lt;=80,"Low Calls",
IF(#REF!&lt;=120,"Medium Calls","High Calls"))</f>
        <v>#REF!</v>
      </c>
      <c r="AA640" t="e">
        <f>IF(#REF!&lt;=15,"Low Charges",
IF(#REF!&lt;=20,"Medium Charges","High Charges"))</f>
        <v>#REF!</v>
      </c>
      <c r="AB640" t="e">
        <f>IF(AND(#REF!&gt;180, #REF!&gt;200), "Heavy Doemstic User", IF(#REF!&gt;10, "Interntional User", IF(AND(#REF!&lt;180, #REF!&lt;200,#REF!&lt;200), "Light User", "Balanced User")))</f>
        <v>#REF!</v>
      </c>
      <c r="AC640" t="e">
        <f>IF(#REF! = 0, "No Usage", IF(#REF! &lt;= 20, "Low Usage", IF(#REF! &lt;= 40, "Medium Usgae", "High Usage")))</f>
        <v>#REF!</v>
      </c>
      <c r="AD640" t="e">
        <f>IF(#REF!&lt;=150,"Low Usage", IF(#REF!&lt;=200,"Medium Usage", IF(#REF!&lt;=250,"High Usage","Very High Usage")))</f>
        <v>#REF!</v>
      </c>
      <c r="AE640" t="e">
        <f>IF(#REF!&lt;=5,"Low Calls", IF(#REF!&lt;=10, "Medium Calls", "High Calls"))</f>
        <v>#REF!</v>
      </c>
      <c r="AF640" t="e">
        <f xml:space="preserve">
IF(#REF!&gt;=4,4,0)+
IF(#REF!="yes",3,0)+
IF(#REF!="High Charges",3,0)+
IF(#REF!&gt;250,4,0)+
IF(#REF!="no",1,0)+
IF(#REF!="Heavy Domestic User",2,0)</f>
        <v>#REF!</v>
      </c>
      <c r="AG640" t="e">
        <f>IF(#REF!&gt;=10,"High Risk", IF(#REF!&gt;=5,"Medium Risk","Low Risk"))</f>
        <v>#REF!</v>
      </c>
      <c r="AH640" t="e">
        <f>#REF! + #REF! + #REF! + #REF!</f>
        <v>#REF!</v>
      </c>
    </row>
    <row r="641" spans="1:34" x14ac:dyDescent="0.35">
      <c r="A641">
        <v>640</v>
      </c>
      <c r="B641" t="s">
        <v>73</v>
      </c>
      <c r="C641">
        <v>122</v>
      </c>
      <c r="D641" t="s">
        <v>21</v>
      </c>
      <c r="E641" t="s">
        <v>23</v>
      </c>
      <c r="F641" t="s">
        <v>22</v>
      </c>
      <c r="G641">
        <v>0</v>
      </c>
      <c r="H641">
        <v>230.9</v>
      </c>
      <c r="I641">
        <v>132</v>
      </c>
      <c r="J641">
        <v>39.25</v>
      </c>
      <c r="K641">
        <v>243.2</v>
      </c>
      <c r="L641">
        <v>99</v>
      </c>
      <c r="M641">
        <v>20.67</v>
      </c>
      <c r="N641">
        <v>182.4</v>
      </c>
      <c r="O641">
        <v>57</v>
      </c>
      <c r="P641">
        <v>8.2100000000000009</v>
      </c>
      <c r="Q641">
        <v>11</v>
      </c>
      <c r="R641">
        <v>2</v>
      </c>
      <c r="S641">
        <v>2.97</v>
      </c>
      <c r="T641">
        <v>0</v>
      </c>
      <c r="U641" t="s">
        <v>23</v>
      </c>
      <c r="V641" t="e">
        <f>IF(#REF! = "yes", 1, 0)</f>
        <v>#REF!</v>
      </c>
      <c r="W641" t="e">
        <f>IF(#REF! &lt;= 1, "0-1 Calls", IF(#REF! &lt;= 3, "2-3 Calls", IF(#REF! &lt;=5, "4-5 Calls", "6+ Calls")))</f>
        <v>#REF!</v>
      </c>
      <c r="X641" t="e">
        <f>IF(#REF! &lt;= 50, "0-50", IF(#REF! &lt;=100, "51-100", IF(#REF! &lt;= 150, "101-150", "151+")))</f>
        <v>#REF!</v>
      </c>
      <c r="Y641" t="e">
        <f>IF(#REF! &lt;= 3, "Low Charges", "High Charges")</f>
        <v>#REF!</v>
      </c>
      <c r="Z641" t="e">
        <f>IF(#REF!&lt;=80,"Low Calls",
IF(#REF!&lt;=120,"Medium Calls","High Calls"))</f>
        <v>#REF!</v>
      </c>
      <c r="AA641" t="e">
        <f>IF(#REF!&lt;=15,"Low Charges",
IF(#REF!&lt;=20,"Medium Charges","High Charges"))</f>
        <v>#REF!</v>
      </c>
      <c r="AB641" t="e">
        <f>IF(AND(#REF!&gt;180, #REF!&gt;200), "Heavy Doemstic User", IF(#REF!&gt;10, "Interntional User", IF(AND(#REF!&lt;180, #REF!&lt;200,#REF!&lt;200), "Light User", "Balanced User")))</f>
        <v>#REF!</v>
      </c>
      <c r="AC641" t="e">
        <f>IF(#REF! = 0, "No Usage", IF(#REF! &lt;= 20, "Low Usage", IF(#REF! &lt;= 40, "Medium Usgae", "High Usage")))</f>
        <v>#REF!</v>
      </c>
      <c r="AD641" t="e">
        <f>IF(#REF!&lt;=150,"Low Usage", IF(#REF!&lt;=200,"Medium Usage", IF(#REF!&lt;=250,"High Usage","Very High Usage")))</f>
        <v>#REF!</v>
      </c>
      <c r="AE641" t="e">
        <f>IF(#REF!&lt;=5,"Low Calls", IF(#REF!&lt;=10, "Medium Calls", "High Calls"))</f>
        <v>#REF!</v>
      </c>
      <c r="AF641" t="e">
        <f xml:space="preserve">
IF(#REF!&gt;=4,4,0)+
IF(#REF!="yes",3,0)+
IF(#REF!="High Charges",3,0)+
IF(#REF!&gt;250,4,0)+
IF(#REF!="no",1,0)+
IF(#REF!="Heavy Domestic User",2,0)</f>
        <v>#REF!</v>
      </c>
      <c r="AG641" t="e">
        <f>IF(#REF!&gt;=10,"High Risk", IF(#REF!&gt;=5,"Medium Risk","Low Risk"))</f>
        <v>#REF!</v>
      </c>
      <c r="AH641" t="e">
        <f>#REF! + #REF! + #REF! + #REF!</f>
        <v>#REF!</v>
      </c>
    </row>
    <row r="642" spans="1:34" x14ac:dyDescent="0.35">
      <c r="A642">
        <v>641</v>
      </c>
      <c r="B642" t="s">
        <v>31</v>
      </c>
      <c r="C642">
        <v>148</v>
      </c>
      <c r="D642" t="s">
        <v>21</v>
      </c>
      <c r="E642" t="s">
        <v>22</v>
      </c>
      <c r="F642" t="s">
        <v>23</v>
      </c>
      <c r="G642">
        <v>26</v>
      </c>
      <c r="H642">
        <v>244.9</v>
      </c>
      <c r="I642">
        <v>150</v>
      </c>
      <c r="J642">
        <v>41.63</v>
      </c>
      <c r="K642">
        <v>118</v>
      </c>
      <c r="L642">
        <v>138</v>
      </c>
      <c r="M642">
        <v>10.029999999999999</v>
      </c>
      <c r="N642">
        <v>236</v>
      </c>
      <c r="O642">
        <v>91</v>
      </c>
      <c r="P642">
        <v>10.62</v>
      </c>
      <c r="Q642">
        <v>15.2</v>
      </c>
      <c r="R642">
        <v>4</v>
      </c>
      <c r="S642">
        <v>4.0999999999999996</v>
      </c>
      <c r="T642">
        <v>2</v>
      </c>
      <c r="U642" t="s">
        <v>22</v>
      </c>
      <c r="V642" t="e">
        <f>IF(#REF! = "yes", 1, 0)</f>
        <v>#REF!</v>
      </c>
      <c r="W642" t="e">
        <f>IF(#REF! &lt;= 1, "0-1 Calls", IF(#REF! &lt;= 3, "2-3 Calls", IF(#REF! &lt;=5, "4-5 Calls", "6+ Calls")))</f>
        <v>#REF!</v>
      </c>
      <c r="X642" t="e">
        <f>IF(#REF! &lt;= 50, "0-50", IF(#REF! &lt;=100, "51-100", IF(#REF! &lt;= 150, "101-150", "151+")))</f>
        <v>#REF!</v>
      </c>
      <c r="Y642" t="e">
        <f>IF(#REF! &lt;= 3, "Low Charges", "High Charges")</f>
        <v>#REF!</v>
      </c>
      <c r="Z642" t="e">
        <f>IF(#REF!&lt;=80,"Low Calls",
IF(#REF!&lt;=120,"Medium Calls","High Calls"))</f>
        <v>#REF!</v>
      </c>
      <c r="AA642" t="e">
        <f>IF(#REF!&lt;=15,"Low Charges",
IF(#REF!&lt;=20,"Medium Charges","High Charges"))</f>
        <v>#REF!</v>
      </c>
      <c r="AB642" t="e">
        <f>IF(AND(#REF!&gt;180, #REF!&gt;200), "Heavy Doemstic User", IF(#REF!&gt;10, "Interntional User", IF(AND(#REF!&lt;180, #REF!&lt;200,#REF!&lt;200), "Light User", "Balanced User")))</f>
        <v>#REF!</v>
      </c>
      <c r="AC642" t="e">
        <f>IF(#REF! = 0, "No Usage", IF(#REF! &lt;= 20, "Low Usage", IF(#REF! &lt;= 40, "Medium Usgae", "High Usage")))</f>
        <v>#REF!</v>
      </c>
      <c r="AD642" t="e">
        <f>IF(#REF!&lt;=150,"Low Usage", IF(#REF!&lt;=200,"Medium Usage", IF(#REF!&lt;=250,"High Usage","Very High Usage")))</f>
        <v>#REF!</v>
      </c>
      <c r="AE642" t="e">
        <f>IF(#REF!&lt;=5,"Low Calls", IF(#REF!&lt;=10, "Medium Calls", "High Calls"))</f>
        <v>#REF!</v>
      </c>
      <c r="AF642" t="e">
        <f xml:space="preserve">
IF(#REF!&gt;=4,4,0)+
IF(#REF!="yes",3,0)+
IF(#REF!="High Charges",3,0)+
IF(#REF!&gt;250,4,0)+
IF(#REF!="no",1,0)+
IF(#REF!="Heavy Domestic User",2,0)</f>
        <v>#REF!</v>
      </c>
      <c r="AG642" t="e">
        <f>IF(#REF!&gt;=10,"High Risk", IF(#REF!&gt;=5,"Medium Risk","Low Risk"))</f>
        <v>#REF!</v>
      </c>
      <c r="AH642" t="e">
        <f>#REF! + #REF! + #REF! + #REF!</f>
        <v>#REF!</v>
      </c>
    </row>
    <row r="643" spans="1:34" x14ac:dyDescent="0.35">
      <c r="A643">
        <v>642</v>
      </c>
      <c r="B643" t="s">
        <v>24</v>
      </c>
      <c r="C643">
        <v>74</v>
      </c>
      <c r="D643" t="s">
        <v>21</v>
      </c>
      <c r="E643" t="s">
        <v>22</v>
      </c>
      <c r="F643" t="s">
        <v>22</v>
      </c>
      <c r="G643">
        <v>0</v>
      </c>
      <c r="H643">
        <v>230.9</v>
      </c>
      <c r="I643">
        <v>93</v>
      </c>
      <c r="J643">
        <v>39.25</v>
      </c>
      <c r="K643">
        <v>223</v>
      </c>
      <c r="L643">
        <v>78</v>
      </c>
      <c r="M643">
        <v>18.96</v>
      </c>
      <c r="N643">
        <v>157.80000000000001</v>
      </c>
      <c r="O643">
        <v>101</v>
      </c>
      <c r="P643">
        <v>7.1</v>
      </c>
      <c r="Q643">
        <v>9.6999999999999993</v>
      </c>
      <c r="R643">
        <v>2</v>
      </c>
      <c r="S643">
        <v>2.62</v>
      </c>
      <c r="T643">
        <v>3</v>
      </c>
      <c r="U643" t="s">
        <v>22</v>
      </c>
      <c r="V643" t="e">
        <f>IF(#REF! = "yes", 1, 0)</f>
        <v>#REF!</v>
      </c>
      <c r="W643" t="e">
        <f>IF(#REF! &lt;= 1, "0-1 Calls", IF(#REF! &lt;= 3, "2-3 Calls", IF(#REF! &lt;=5, "4-5 Calls", "6+ Calls")))</f>
        <v>#REF!</v>
      </c>
      <c r="X643" t="e">
        <f>IF(#REF! &lt;= 50, "0-50", IF(#REF! &lt;=100, "51-100", IF(#REF! &lt;= 150, "101-150", "151+")))</f>
        <v>#REF!</v>
      </c>
      <c r="Y643" t="e">
        <f>IF(#REF! &lt;= 3, "Low Charges", "High Charges")</f>
        <v>#REF!</v>
      </c>
      <c r="Z643" t="e">
        <f>IF(#REF!&lt;=80,"Low Calls",
IF(#REF!&lt;=120,"Medium Calls","High Calls"))</f>
        <v>#REF!</v>
      </c>
      <c r="AA643" t="e">
        <f>IF(#REF!&lt;=15,"Low Charges",
IF(#REF!&lt;=20,"Medium Charges","High Charges"))</f>
        <v>#REF!</v>
      </c>
      <c r="AB643" t="e">
        <f>IF(AND(#REF!&gt;180, #REF!&gt;200), "Heavy Doemstic User", IF(#REF!&gt;10, "Interntional User", IF(AND(#REF!&lt;180, #REF!&lt;200,#REF!&lt;200), "Light User", "Balanced User")))</f>
        <v>#REF!</v>
      </c>
      <c r="AC643" t="e">
        <f>IF(#REF! = 0, "No Usage", IF(#REF! &lt;= 20, "Low Usage", IF(#REF! &lt;= 40, "Medium Usgae", "High Usage")))</f>
        <v>#REF!</v>
      </c>
      <c r="AD643" t="e">
        <f>IF(#REF!&lt;=150,"Low Usage", IF(#REF!&lt;=200,"Medium Usage", IF(#REF!&lt;=250,"High Usage","Very High Usage")))</f>
        <v>#REF!</v>
      </c>
      <c r="AE643" t="e">
        <f>IF(#REF!&lt;=5,"Low Calls", IF(#REF!&lt;=10, "Medium Calls", "High Calls"))</f>
        <v>#REF!</v>
      </c>
      <c r="AF643" t="e">
        <f xml:space="preserve">
IF(#REF!&gt;=4,4,0)+
IF(#REF!="yes",3,0)+
IF(#REF!="High Charges",3,0)+
IF(#REF!&gt;250,4,0)+
IF(#REF!="no",1,0)+
IF(#REF!="Heavy Domestic User",2,0)</f>
        <v>#REF!</v>
      </c>
      <c r="AG643" t="e">
        <f>IF(#REF!&gt;=10,"High Risk", IF(#REF!&gt;=5,"Medium Risk","Low Risk"))</f>
        <v>#REF!</v>
      </c>
      <c r="AH643" t="e">
        <f>#REF! + #REF! + #REF! + #REF!</f>
        <v>#REF!</v>
      </c>
    </row>
    <row r="644" spans="1:34" x14ac:dyDescent="0.35">
      <c r="A644">
        <v>643</v>
      </c>
      <c r="B644" t="s">
        <v>35</v>
      </c>
      <c r="C644">
        <v>106</v>
      </c>
      <c r="D644" t="s">
        <v>21</v>
      </c>
      <c r="E644" t="s">
        <v>22</v>
      </c>
      <c r="F644" t="s">
        <v>22</v>
      </c>
      <c r="G644">
        <v>0</v>
      </c>
      <c r="H644">
        <v>187.1</v>
      </c>
      <c r="I644">
        <v>104</v>
      </c>
      <c r="J644">
        <v>31.81</v>
      </c>
      <c r="K644">
        <v>250.2</v>
      </c>
      <c r="L644">
        <v>117</v>
      </c>
      <c r="M644">
        <v>21.27</v>
      </c>
      <c r="N644">
        <v>144.9</v>
      </c>
      <c r="O644">
        <v>81</v>
      </c>
      <c r="P644">
        <v>6.52</v>
      </c>
      <c r="Q644">
        <v>11</v>
      </c>
      <c r="R644">
        <v>3</v>
      </c>
      <c r="S644">
        <v>2.97</v>
      </c>
      <c r="T644">
        <v>1</v>
      </c>
      <c r="U644" t="s">
        <v>22</v>
      </c>
      <c r="V644" t="e">
        <f>IF(#REF! = "yes", 1, 0)</f>
        <v>#REF!</v>
      </c>
      <c r="W644" t="e">
        <f>IF(#REF! &lt;= 1, "0-1 Calls", IF(#REF! &lt;= 3, "2-3 Calls", IF(#REF! &lt;=5, "4-5 Calls", "6+ Calls")))</f>
        <v>#REF!</v>
      </c>
      <c r="X644" t="e">
        <f>IF(#REF! &lt;= 50, "0-50", IF(#REF! &lt;=100, "51-100", IF(#REF! &lt;= 150, "101-150", "151+")))</f>
        <v>#REF!</v>
      </c>
      <c r="Y644" t="e">
        <f>IF(#REF! &lt;= 3, "Low Charges", "High Charges")</f>
        <v>#REF!</v>
      </c>
      <c r="Z644" t="e">
        <f>IF(#REF!&lt;=80,"Low Calls",
IF(#REF!&lt;=120,"Medium Calls","High Calls"))</f>
        <v>#REF!</v>
      </c>
      <c r="AA644" t="e">
        <f>IF(#REF!&lt;=15,"Low Charges",
IF(#REF!&lt;=20,"Medium Charges","High Charges"))</f>
        <v>#REF!</v>
      </c>
      <c r="AB644" t="e">
        <f>IF(AND(#REF!&gt;180, #REF!&gt;200), "Heavy Doemstic User", IF(#REF!&gt;10, "Interntional User", IF(AND(#REF!&lt;180, #REF!&lt;200,#REF!&lt;200), "Light User", "Balanced User")))</f>
        <v>#REF!</v>
      </c>
      <c r="AC644" t="e">
        <f>IF(#REF! = 0, "No Usage", IF(#REF! &lt;= 20, "Low Usage", IF(#REF! &lt;= 40, "Medium Usgae", "High Usage")))</f>
        <v>#REF!</v>
      </c>
      <c r="AD644" t="e">
        <f>IF(#REF!&lt;=150,"Low Usage", IF(#REF!&lt;=200,"Medium Usage", IF(#REF!&lt;=250,"High Usage","Very High Usage")))</f>
        <v>#REF!</v>
      </c>
      <c r="AE644" t="e">
        <f>IF(#REF!&lt;=5,"Low Calls", IF(#REF!&lt;=10, "Medium Calls", "High Calls"))</f>
        <v>#REF!</v>
      </c>
      <c r="AF644" t="e">
        <f xml:space="preserve">
IF(#REF!&gt;=4,4,0)+
IF(#REF!="yes",3,0)+
IF(#REF!="High Charges",3,0)+
IF(#REF!&gt;250,4,0)+
IF(#REF!="no",1,0)+
IF(#REF!="Heavy Domestic User",2,0)</f>
        <v>#REF!</v>
      </c>
      <c r="AG644" t="e">
        <f>IF(#REF!&gt;=10,"High Risk", IF(#REF!&gt;=5,"Medium Risk","Low Risk"))</f>
        <v>#REF!</v>
      </c>
      <c r="AH644" t="e">
        <f>#REF! + #REF! + #REF! + #REF!</f>
        <v>#REF!</v>
      </c>
    </row>
    <row r="645" spans="1:34" x14ac:dyDescent="0.35">
      <c r="A645">
        <v>644</v>
      </c>
      <c r="B645" t="s">
        <v>60</v>
      </c>
      <c r="C645">
        <v>179</v>
      </c>
      <c r="D645" t="s">
        <v>21</v>
      </c>
      <c r="E645" t="s">
        <v>22</v>
      </c>
      <c r="F645" t="s">
        <v>22</v>
      </c>
      <c r="G645">
        <v>0</v>
      </c>
      <c r="H645">
        <v>170.7</v>
      </c>
      <c r="I645">
        <v>54</v>
      </c>
      <c r="J645">
        <v>29.02</v>
      </c>
      <c r="K645">
        <v>191.1</v>
      </c>
      <c r="L645">
        <v>108</v>
      </c>
      <c r="M645">
        <v>16.239999999999998</v>
      </c>
      <c r="N645">
        <v>214.6</v>
      </c>
      <c r="O645">
        <v>107</v>
      </c>
      <c r="P645">
        <v>9.66</v>
      </c>
      <c r="Q645">
        <v>13.3</v>
      </c>
      <c r="R645">
        <v>4</v>
      </c>
      <c r="S645">
        <v>3.59</v>
      </c>
      <c r="T645">
        <v>1</v>
      </c>
      <c r="U645" t="s">
        <v>22</v>
      </c>
      <c r="V645" t="e">
        <f>IF(#REF! = "yes", 1, 0)</f>
        <v>#REF!</v>
      </c>
      <c r="W645" t="e">
        <f>IF(#REF! &lt;= 1, "0-1 Calls", IF(#REF! &lt;= 3, "2-3 Calls", IF(#REF! &lt;=5, "4-5 Calls", "6+ Calls")))</f>
        <v>#REF!</v>
      </c>
      <c r="X645" t="e">
        <f>IF(#REF! &lt;= 50, "0-50", IF(#REF! &lt;=100, "51-100", IF(#REF! &lt;= 150, "101-150", "151+")))</f>
        <v>#REF!</v>
      </c>
      <c r="Y645" t="e">
        <f>IF(#REF! &lt;= 3, "Low Charges", "High Charges")</f>
        <v>#REF!</v>
      </c>
      <c r="Z645" t="e">
        <f>IF(#REF!&lt;=80,"Low Calls",
IF(#REF!&lt;=120,"Medium Calls","High Calls"))</f>
        <v>#REF!</v>
      </c>
      <c r="AA645" t="e">
        <f>IF(#REF!&lt;=15,"Low Charges",
IF(#REF!&lt;=20,"Medium Charges","High Charges"))</f>
        <v>#REF!</v>
      </c>
      <c r="AB645" t="e">
        <f>IF(AND(#REF!&gt;180, #REF!&gt;200), "Heavy Doemstic User", IF(#REF!&gt;10, "Interntional User", IF(AND(#REF!&lt;180, #REF!&lt;200,#REF!&lt;200), "Light User", "Balanced User")))</f>
        <v>#REF!</v>
      </c>
      <c r="AC645" t="e">
        <f>IF(#REF! = 0, "No Usage", IF(#REF! &lt;= 20, "Low Usage", IF(#REF! &lt;= 40, "Medium Usgae", "High Usage")))</f>
        <v>#REF!</v>
      </c>
      <c r="AD645" t="e">
        <f>IF(#REF!&lt;=150,"Low Usage", IF(#REF!&lt;=200,"Medium Usage", IF(#REF!&lt;=250,"High Usage","Very High Usage")))</f>
        <v>#REF!</v>
      </c>
      <c r="AE645" t="e">
        <f>IF(#REF!&lt;=5,"Low Calls", IF(#REF!&lt;=10, "Medium Calls", "High Calls"))</f>
        <v>#REF!</v>
      </c>
      <c r="AF645" t="e">
        <f xml:space="preserve">
IF(#REF!&gt;=4,4,0)+
IF(#REF!="yes",3,0)+
IF(#REF!="High Charges",3,0)+
IF(#REF!&gt;250,4,0)+
IF(#REF!="no",1,0)+
IF(#REF!="Heavy Domestic User",2,0)</f>
        <v>#REF!</v>
      </c>
      <c r="AG645" t="e">
        <f>IF(#REF!&gt;=10,"High Risk", IF(#REF!&gt;=5,"Medium Risk","Low Risk"))</f>
        <v>#REF!</v>
      </c>
      <c r="AH645" t="e">
        <f>#REF! + #REF! + #REF! + #REF!</f>
        <v>#REF!</v>
      </c>
    </row>
    <row r="646" spans="1:34" x14ac:dyDescent="0.35">
      <c r="A646">
        <v>645</v>
      </c>
      <c r="B646" t="s">
        <v>51</v>
      </c>
      <c r="C646">
        <v>149</v>
      </c>
      <c r="D646" t="s">
        <v>21</v>
      </c>
      <c r="E646" t="s">
        <v>23</v>
      </c>
      <c r="F646" t="s">
        <v>23</v>
      </c>
      <c r="G646">
        <v>28</v>
      </c>
      <c r="H646">
        <v>126.9</v>
      </c>
      <c r="I646">
        <v>97</v>
      </c>
      <c r="J646">
        <v>21.57</v>
      </c>
      <c r="K646">
        <v>166.9</v>
      </c>
      <c r="L646">
        <v>102</v>
      </c>
      <c r="M646">
        <v>14.19</v>
      </c>
      <c r="N646">
        <v>145.19999999999999</v>
      </c>
      <c r="O646">
        <v>77</v>
      </c>
      <c r="P646">
        <v>6.53</v>
      </c>
      <c r="Q646">
        <v>8.8000000000000007</v>
      </c>
      <c r="R646">
        <v>3</v>
      </c>
      <c r="S646">
        <v>2.38</v>
      </c>
      <c r="T646">
        <v>5</v>
      </c>
      <c r="U646" t="s">
        <v>23</v>
      </c>
      <c r="V646" t="e">
        <f>IF(#REF! = "yes", 1, 0)</f>
        <v>#REF!</v>
      </c>
      <c r="W646" t="e">
        <f>IF(#REF! &lt;= 1, "0-1 Calls", IF(#REF! &lt;= 3, "2-3 Calls", IF(#REF! &lt;=5, "4-5 Calls", "6+ Calls")))</f>
        <v>#REF!</v>
      </c>
      <c r="X646" t="e">
        <f>IF(#REF! &lt;= 50, "0-50", IF(#REF! &lt;=100, "51-100", IF(#REF! &lt;= 150, "101-150", "151+")))</f>
        <v>#REF!</v>
      </c>
      <c r="Y646" t="e">
        <f>IF(#REF! &lt;= 3, "Low Charges", "High Charges")</f>
        <v>#REF!</v>
      </c>
      <c r="Z646" t="e">
        <f>IF(#REF!&lt;=80,"Low Calls",
IF(#REF!&lt;=120,"Medium Calls","High Calls"))</f>
        <v>#REF!</v>
      </c>
      <c r="AA646" t="e">
        <f>IF(#REF!&lt;=15,"Low Charges",
IF(#REF!&lt;=20,"Medium Charges","High Charges"))</f>
        <v>#REF!</v>
      </c>
      <c r="AB646" t="e">
        <f>IF(AND(#REF!&gt;180, #REF!&gt;200), "Heavy Doemstic User", IF(#REF!&gt;10, "Interntional User", IF(AND(#REF!&lt;180, #REF!&lt;200,#REF!&lt;200), "Light User", "Balanced User")))</f>
        <v>#REF!</v>
      </c>
      <c r="AC646" t="e">
        <f>IF(#REF! = 0, "No Usage", IF(#REF! &lt;= 20, "Low Usage", IF(#REF! &lt;= 40, "Medium Usgae", "High Usage")))</f>
        <v>#REF!</v>
      </c>
      <c r="AD646" t="e">
        <f>IF(#REF!&lt;=150,"Low Usage", IF(#REF!&lt;=200,"Medium Usage", IF(#REF!&lt;=250,"High Usage","Very High Usage")))</f>
        <v>#REF!</v>
      </c>
      <c r="AE646" t="e">
        <f>IF(#REF!&lt;=5,"Low Calls", IF(#REF!&lt;=10, "Medium Calls", "High Calls"))</f>
        <v>#REF!</v>
      </c>
      <c r="AF646" t="e">
        <f xml:space="preserve">
IF(#REF!&gt;=4,4,0)+
IF(#REF!="yes",3,0)+
IF(#REF!="High Charges",3,0)+
IF(#REF!&gt;250,4,0)+
IF(#REF!="no",1,0)+
IF(#REF!="Heavy Domestic User",2,0)</f>
        <v>#REF!</v>
      </c>
      <c r="AG646" t="e">
        <f>IF(#REF!&gt;=10,"High Risk", IF(#REF!&gt;=5,"Medium Risk","Low Risk"))</f>
        <v>#REF!</v>
      </c>
      <c r="AH646" t="e">
        <f>#REF! + #REF! + #REF! + #REF!</f>
        <v>#REF!</v>
      </c>
    </row>
    <row r="647" spans="1:34" x14ac:dyDescent="0.35">
      <c r="A647">
        <v>646</v>
      </c>
      <c r="B647" t="s">
        <v>37</v>
      </c>
      <c r="C647">
        <v>77</v>
      </c>
      <c r="D647" t="s">
        <v>28</v>
      </c>
      <c r="E647" t="s">
        <v>22</v>
      </c>
      <c r="F647" t="s">
        <v>22</v>
      </c>
      <c r="G647">
        <v>0</v>
      </c>
      <c r="H647">
        <v>189.5</v>
      </c>
      <c r="I647">
        <v>112</v>
      </c>
      <c r="J647">
        <v>32.22</v>
      </c>
      <c r="K647">
        <v>207</v>
      </c>
      <c r="L647">
        <v>95</v>
      </c>
      <c r="M647">
        <v>17.600000000000001</v>
      </c>
      <c r="N647">
        <v>214.1</v>
      </c>
      <c r="O647">
        <v>91</v>
      </c>
      <c r="P647">
        <v>9.6300000000000008</v>
      </c>
      <c r="Q647">
        <v>9.1999999999999993</v>
      </c>
      <c r="R647">
        <v>7</v>
      </c>
      <c r="S647">
        <v>2.48</v>
      </c>
      <c r="T647">
        <v>0</v>
      </c>
      <c r="U647" t="s">
        <v>22</v>
      </c>
      <c r="V647" t="e">
        <f>IF(#REF! = "yes", 1, 0)</f>
        <v>#REF!</v>
      </c>
      <c r="W647" t="e">
        <f>IF(#REF! &lt;= 1, "0-1 Calls", IF(#REF! &lt;= 3, "2-3 Calls", IF(#REF! &lt;=5, "4-5 Calls", "6+ Calls")))</f>
        <v>#REF!</v>
      </c>
      <c r="X647" t="e">
        <f>IF(#REF! &lt;= 50, "0-50", IF(#REF! &lt;=100, "51-100", IF(#REF! &lt;= 150, "101-150", "151+")))</f>
        <v>#REF!</v>
      </c>
      <c r="Y647" t="e">
        <f>IF(#REF! &lt;= 3, "Low Charges", "High Charges")</f>
        <v>#REF!</v>
      </c>
      <c r="Z647" t="e">
        <f>IF(#REF!&lt;=80,"Low Calls",
IF(#REF!&lt;=120,"Medium Calls","High Calls"))</f>
        <v>#REF!</v>
      </c>
      <c r="AA647" t="e">
        <f>IF(#REF!&lt;=15,"Low Charges",
IF(#REF!&lt;=20,"Medium Charges","High Charges"))</f>
        <v>#REF!</v>
      </c>
      <c r="AB647" t="e">
        <f>IF(AND(#REF!&gt;180, #REF!&gt;200), "Heavy Doemstic User", IF(#REF!&gt;10, "Interntional User", IF(AND(#REF!&lt;180, #REF!&lt;200,#REF!&lt;200), "Light User", "Balanced User")))</f>
        <v>#REF!</v>
      </c>
      <c r="AC647" t="e">
        <f>IF(#REF! = 0, "No Usage", IF(#REF! &lt;= 20, "Low Usage", IF(#REF! &lt;= 40, "Medium Usgae", "High Usage")))</f>
        <v>#REF!</v>
      </c>
      <c r="AD647" t="e">
        <f>IF(#REF!&lt;=150,"Low Usage", IF(#REF!&lt;=200,"Medium Usage", IF(#REF!&lt;=250,"High Usage","Very High Usage")))</f>
        <v>#REF!</v>
      </c>
      <c r="AE647" t="e">
        <f>IF(#REF!&lt;=5,"Low Calls", IF(#REF!&lt;=10, "Medium Calls", "High Calls"))</f>
        <v>#REF!</v>
      </c>
      <c r="AF647" t="e">
        <f xml:space="preserve">
IF(#REF!&gt;=4,4,0)+
IF(#REF!="yes",3,0)+
IF(#REF!="High Charges",3,0)+
IF(#REF!&gt;250,4,0)+
IF(#REF!="no",1,0)+
IF(#REF!="Heavy Domestic User",2,0)</f>
        <v>#REF!</v>
      </c>
      <c r="AG647" t="e">
        <f>IF(#REF!&gt;=10,"High Risk", IF(#REF!&gt;=5,"Medium Risk","Low Risk"))</f>
        <v>#REF!</v>
      </c>
      <c r="AH647" t="e">
        <f>#REF! + #REF! + #REF! + #REF!</f>
        <v>#REF!</v>
      </c>
    </row>
    <row r="648" spans="1:34" x14ac:dyDescent="0.35">
      <c r="A648">
        <v>647</v>
      </c>
      <c r="B648" t="s">
        <v>27</v>
      </c>
      <c r="C648">
        <v>127</v>
      </c>
      <c r="D648" t="s">
        <v>25</v>
      </c>
      <c r="E648" t="s">
        <v>23</v>
      </c>
      <c r="F648" t="s">
        <v>22</v>
      </c>
      <c r="G648">
        <v>0</v>
      </c>
      <c r="H648">
        <v>176.9</v>
      </c>
      <c r="I648">
        <v>110</v>
      </c>
      <c r="J648">
        <v>30.07</v>
      </c>
      <c r="K648">
        <v>167.9</v>
      </c>
      <c r="L648">
        <v>100</v>
      </c>
      <c r="M648">
        <v>14.27</v>
      </c>
      <c r="N648">
        <v>182.2</v>
      </c>
      <c r="O648">
        <v>138</v>
      </c>
      <c r="P648">
        <v>8.1999999999999993</v>
      </c>
      <c r="Q648">
        <v>7.7</v>
      </c>
      <c r="R648">
        <v>2</v>
      </c>
      <c r="S648">
        <v>2.08</v>
      </c>
      <c r="T648">
        <v>1</v>
      </c>
      <c r="U648" t="s">
        <v>23</v>
      </c>
      <c r="V648" t="e">
        <f>IF(#REF! = "yes", 1, 0)</f>
        <v>#REF!</v>
      </c>
      <c r="W648" t="e">
        <f>IF(#REF! &lt;= 1, "0-1 Calls", IF(#REF! &lt;= 3, "2-3 Calls", IF(#REF! &lt;=5, "4-5 Calls", "6+ Calls")))</f>
        <v>#REF!</v>
      </c>
      <c r="X648" t="e">
        <f>IF(#REF! &lt;= 50, "0-50", IF(#REF! &lt;=100, "51-100", IF(#REF! &lt;= 150, "101-150", "151+")))</f>
        <v>#REF!</v>
      </c>
      <c r="Y648" t="e">
        <f>IF(#REF! &lt;= 3, "Low Charges", "High Charges")</f>
        <v>#REF!</v>
      </c>
      <c r="Z648" t="e">
        <f>IF(#REF!&lt;=80,"Low Calls",
IF(#REF!&lt;=120,"Medium Calls","High Calls"))</f>
        <v>#REF!</v>
      </c>
      <c r="AA648" t="e">
        <f>IF(#REF!&lt;=15,"Low Charges",
IF(#REF!&lt;=20,"Medium Charges","High Charges"))</f>
        <v>#REF!</v>
      </c>
      <c r="AB648" t="e">
        <f>IF(AND(#REF!&gt;180, #REF!&gt;200), "Heavy Doemstic User", IF(#REF!&gt;10, "Interntional User", IF(AND(#REF!&lt;180, #REF!&lt;200,#REF!&lt;200), "Light User", "Balanced User")))</f>
        <v>#REF!</v>
      </c>
      <c r="AC648" t="e">
        <f>IF(#REF! = 0, "No Usage", IF(#REF! &lt;= 20, "Low Usage", IF(#REF! &lt;= 40, "Medium Usgae", "High Usage")))</f>
        <v>#REF!</v>
      </c>
      <c r="AD648" t="e">
        <f>IF(#REF!&lt;=150,"Low Usage", IF(#REF!&lt;=200,"Medium Usage", IF(#REF!&lt;=250,"High Usage","Very High Usage")))</f>
        <v>#REF!</v>
      </c>
      <c r="AE648" t="e">
        <f>IF(#REF!&lt;=5,"Low Calls", IF(#REF!&lt;=10, "Medium Calls", "High Calls"))</f>
        <v>#REF!</v>
      </c>
      <c r="AF648" t="e">
        <f xml:space="preserve">
IF(#REF!&gt;=4,4,0)+
IF(#REF!="yes",3,0)+
IF(#REF!="High Charges",3,0)+
IF(#REF!&gt;250,4,0)+
IF(#REF!="no",1,0)+
IF(#REF!="Heavy Domestic User",2,0)</f>
        <v>#REF!</v>
      </c>
      <c r="AG648" t="e">
        <f>IF(#REF!&gt;=10,"High Risk", IF(#REF!&gt;=5,"Medium Risk","Low Risk"))</f>
        <v>#REF!</v>
      </c>
      <c r="AH648" t="e">
        <f>#REF! + #REF! + #REF! + #REF!</f>
        <v>#REF!</v>
      </c>
    </row>
    <row r="649" spans="1:34" x14ac:dyDescent="0.35">
      <c r="A649">
        <v>648</v>
      </c>
      <c r="B649" t="s">
        <v>35</v>
      </c>
      <c r="C649">
        <v>106</v>
      </c>
      <c r="D649" t="s">
        <v>28</v>
      </c>
      <c r="E649" t="s">
        <v>22</v>
      </c>
      <c r="F649" t="s">
        <v>22</v>
      </c>
      <c r="G649">
        <v>0</v>
      </c>
      <c r="H649">
        <v>169.4</v>
      </c>
      <c r="I649">
        <v>107</v>
      </c>
      <c r="J649">
        <v>28.8</v>
      </c>
      <c r="K649">
        <v>197.2</v>
      </c>
      <c r="L649">
        <v>71</v>
      </c>
      <c r="M649">
        <v>16.760000000000002</v>
      </c>
      <c r="N649">
        <v>202.2</v>
      </c>
      <c r="O649">
        <v>79</v>
      </c>
      <c r="P649">
        <v>9.1</v>
      </c>
      <c r="Q649">
        <v>10.7</v>
      </c>
      <c r="R649">
        <v>4</v>
      </c>
      <c r="S649">
        <v>2.89</v>
      </c>
      <c r="T649">
        <v>1</v>
      </c>
      <c r="U649" t="s">
        <v>22</v>
      </c>
      <c r="V649" t="e">
        <f>IF(#REF! = "yes", 1, 0)</f>
        <v>#REF!</v>
      </c>
      <c r="W649" t="e">
        <f>IF(#REF! &lt;= 1, "0-1 Calls", IF(#REF! &lt;= 3, "2-3 Calls", IF(#REF! &lt;=5, "4-5 Calls", "6+ Calls")))</f>
        <v>#REF!</v>
      </c>
      <c r="X649" t="e">
        <f>IF(#REF! &lt;= 50, "0-50", IF(#REF! &lt;=100, "51-100", IF(#REF! &lt;= 150, "101-150", "151+")))</f>
        <v>#REF!</v>
      </c>
      <c r="Y649" t="e">
        <f>IF(#REF! &lt;= 3, "Low Charges", "High Charges")</f>
        <v>#REF!</v>
      </c>
      <c r="Z649" t="e">
        <f>IF(#REF!&lt;=80,"Low Calls",
IF(#REF!&lt;=120,"Medium Calls","High Calls"))</f>
        <v>#REF!</v>
      </c>
      <c r="AA649" t="e">
        <f>IF(#REF!&lt;=15,"Low Charges",
IF(#REF!&lt;=20,"Medium Charges","High Charges"))</f>
        <v>#REF!</v>
      </c>
      <c r="AB649" t="e">
        <f>IF(AND(#REF!&gt;180, #REF!&gt;200), "Heavy Doemstic User", IF(#REF!&gt;10, "Interntional User", IF(AND(#REF!&lt;180, #REF!&lt;200,#REF!&lt;200), "Light User", "Balanced User")))</f>
        <v>#REF!</v>
      </c>
      <c r="AC649" t="e">
        <f>IF(#REF! = 0, "No Usage", IF(#REF! &lt;= 20, "Low Usage", IF(#REF! &lt;= 40, "Medium Usgae", "High Usage")))</f>
        <v>#REF!</v>
      </c>
      <c r="AD649" t="e">
        <f>IF(#REF!&lt;=150,"Low Usage", IF(#REF!&lt;=200,"Medium Usage", IF(#REF!&lt;=250,"High Usage","Very High Usage")))</f>
        <v>#REF!</v>
      </c>
      <c r="AE649" t="e">
        <f>IF(#REF!&lt;=5,"Low Calls", IF(#REF!&lt;=10, "Medium Calls", "High Calls"))</f>
        <v>#REF!</v>
      </c>
      <c r="AF649" t="e">
        <f xml:space="preserve">
IF(#REF!&gt;=4,4,0)+
IF(#REF!="yes",3,0)+
IF(#REF!="High Charges",3,0)+
IF(#REF!&gt;250,4,0)+
IF(#REF!="no",1,0)+
IF(#REF!="Heavy Domestic User",2,0)</f>
        <v>#REF!</v>
      </c>
      <c r="AG649" t="e">
        <f>IF(#REF!&gt;=10,"High Risk", IF(#REF!&gt;=5,"Medium Risk","Low Risk"))</f>
        <v>#REF!</v>
      </c>
      <c r="AH649" t="e">
        <f>#REF! + #REF! + #REF! + #REF!</f>
        <v>#REF!</v>
      </c>
    </row>
    <row r="650" spans="1:34" x14ac:dyDescent="0.35">
      <c r="A650">
        <v>649</v>
      </c>
      <c r="B650" t="s">
        <v>68</v>
      </c>
      <c r="C650">
        <v>61</v>
      </c>
      <c r="D650" t="s">
        <v>21</v>
      </c>
      <c r="E650" t="s">
        <v>22</v>
      </c>
      <c r="F650" t="s">
        <v>23</v>
      </c>
      <c r="G650">
        <v>20</v>
      </c>
      <c r="H650">
        <v>254.4</v>
      </c>
      <c r="I650">
        <v>133</v>
      </c>
      <c r="J650">
        <v>43.25</v>
      </c>
      <c r="K650">
        <v>161.69999999999999</v>
      </c>
      <c r="L650">
        <v>96</v>
      </c>
      <c r="M650">
        <v>13.74</v>
      </c>
      <c r="N650">
        <v>251.4</v>
      </c>
      <c r="O650">
        <v>91</v>
      </c>
      <c r="P650">
        <v>11.31</v>
      </c>
      <c r="Q650">
        <v>10.5</v>
      </c>
      <c r="R650">
        <v>4</v>
      </c>
      <c r="S650">
        <v>2.84</v>
      </c>
      <c r="T650">
        <v>0</v>
      </c>
      <c r="U650" t="s">
        <v>22</v>
      </c>
      <c r="V650" t="e">
        <f>IF(#REF! = "yes", 1, 0)</f>
        <v>#REF!</v>
      </c>
      <c r="W650" t="e">
        <f>IF(#REF! &lt;= 1, "0-1 Calls", IF(#REF! &lt;= 3, "2-3 Calls", IF(#REF! &lt;=5, "4-5 Calls", "6+ Calls")))</f>
        <v>#REF!</v>
      </c>
      <c r="X650" t="e">
        <f>IF(#REF! &lt;= 50, "0-50", IF(#REF! &lt;=100, "51-100", IF(#REF! &lt;= 150, "101-150", "151+")))</f>
        <v>#REF!</v>
      </c>
      <c r="Y650" t="e">
        <f>IF(#REF! &lt;= 3, "Low Charges", "High Charges")</f>
        <v>#REF!</v>
      </c>
      <c r="Z650" t="e">
        <f>IF(#REF!&lt;=80,"Low Calls",
IF(#REF!&lt;=120,"Medium Calls","High Calls"))</f>
        <v>#REF!</v>
      </c>
      <c r="AA650" t="e">
        <f>IF(#REF!&lt;=15,"Low Charges",
IF(#REF!&lt;=20,"Medium Charges","High Charges"))</f>
        <v>#REF!</v>
      </c>
      <c r="AB650" t="e">
        <f>IF(AND(#REF!&gt;180, #REF!&gt;200), "Heavy Doemstic User", IF(#REF!&gt;10, "Interntional User", IF(AND(#REF!&lt;180, #REF!&lt;200,#REF!&lt;200), "Light User", "Balanced User")))</f>
        <v>#REF!</v>
      </c>
      <c r="AC650" t="e">
        <f>IF(#REF! = 0, "No Usage", IF(#REF! &lt;= 20, "Low Usage", IF(#REF! &lt;= 40, "Medium Usgae", "High Usage")))</f>
        <v>#REF!</v>
      </c>
      <c r="AD650" t="e">
        <f>IF(#REF!&lt;=150,"Low Usage", IF(#REF!&lt;=200,"Medium Usage", IF(#REF!&lt;=250,"High Usage","Very High Usage")))</f>
        <v>#REF!</v>
      </c>
      <c r="AE650" t="e">
        <f>IF(#REF!&lt;=5,"Low Calls", IF(#REF!&lt;=10, "Medium Calls", "High Calls"))</f>
        <v>#REF!</v>
      </c>
      <c r="AF650" t="e">
        <f xml:space="preserve">
IF(#REF!&gt;=4,4,0)+
IF(#REF!="yes",3,0)+
IF(#REF!="High Charges",3,0)+
IF(#REF!&gt;250,4,0)+
IF(#REF!="no",1,0)+
IF(#REF!="Heavy Domestic User",2,0)</f>
        <v>#REF!</v>
      </c>
      <c r="AG650" t="e">
        <f>IF(#REF!&gt;=10,"High Risk", IF(#REF!&gt;=5,"Medium Risk","Low Risk"))</f>
        <v>#REF!</v>
      </c>
      <c r="AH650" t="e">
        <f>#REF! + #REF! + #REF! + #REF!</f>
        <v>#REF!</v>
      </c>
    </row>
    <row r="651" spans="1:34" x14ac:dyDescent="0.35">
      <c r="A651">
        <v>650</v>
      </c>
      <c r="B651" t="s">
        <v>75</v>
      </c>
      <c r="C651">
        <v>135</v>
      </c>
      <c r="D651" t="s">
        <v>28</v>
      </c>
      <c r="E651" t="s">
        <v>23</v>
      </c>
      <c r="F651" t="s">
        <v>23</v>
      </c>
      <c r="G651">
        <v>24</v>
      </c>
      <c r="H651">
        <v>127.7</v>
      </c>
      <c r="I651">
        <v>54</v>
      </c>
      <c r="J651">
        <v>21.71</v>
      </c>
      <c r="K651">
        <v>215</v>
      </c>
      <c r="L651">
        <v>105</v>
      </c>
      <c r="M651">
        <v>18.28</v>
      </c>
      <c r="N651">
        <v>234.3</v>
      </c>
      <c r="O651">
        <v>84</v>
      </c>
      <c r="P651">
        <v>10.54</v>
      </c>
      <c r="Q651">
        <v>5.8</v>
      </c>
      <c r="R651">
        <v>4</v>
      </c>
      <c r="S651">
        <v>1.57</v>
      </c>
      <c r="T651">
        <v>2</v>
      </c>
      <c r="U651" t="s">
        <v>22</v>
      </c>
      <c r="V651" t="e">
        <f>IF(#REF! = "yes", 1, 0)</f>
        <v>#REF!</v>
      </c>
      <c r="W651" t="e">
        <f>IF(#REF! &lt;= 1, "0-1 Calls", IF(#REF! &lt;= 3, "2-3 Calls", IF(#REF! &lt;=5, "4-5 Calls", "6+ Calls")))</f>
        <v>#REF!</v>
      </c>
      <c r="X651" t="e">
        <f>IF(#REF! &lt;= 50, "0-50", IF(#REF! &lt;=100, "51-100", IF(#REF! &lt;= 150, "101-150", "151+")))</f>
        <v>#REF!</v>
      </c>
      <c r="Y651" t="e">
        <f>IF(#REF! &lt;= 3, "Low Charges", "High Charges")</f>
        <v>#REF!</v>
      </c>
      <c r="Z651" t="e">
        <f>IF(#REF!&lt;=80,"Low Calls",
IF(#REF!&lt;=120,"Medium Calls","High Calls"))</f>
        <v>#REF!</v>
      </c>
      <c r="AA651" t="e">
        <f>IF(#REF!&lt;=15,"Low Charges",
IF(#REF!&lt;=20,"Medium Charges","High Charges"))</f>
        <v>#REF!</v>
      </c>
      <c r="AB651" t="e">
        <f>IF(AND(#REF!&gt;180, #REF!&gt;200), "Heavy Doemstic User", IF(#REF!&gt;10, "Interntional User", IF(AND(#REF!&lt;180, #REF!&lt;200,#REF!&lt;200), "Light User", "Balanced User")))</f>
        <v>#REF!</v>
      </c>
      <c r="AC651" t="e">
        <f>IF(#REF! = 0, "No Usage", IF(#REF! &lt;= 20, "Low Usage", IF(#REF! &lt;= 40, "Medium Usgae", "High Usage")))</f>
        <v>#REF!</v>
      </c>
      <c r="AD651" t="e">
        <f>IF(#REF!&lt;=150,"Low Usage", IF(#REF!&lt;=200,"Medium Usage", IF(#REF!&lt;=250,"High Usage","Very High Usage")))</f>
        <v>#REF!</v>
      </c>
      <c r="AE651" t="e">
        <f>IF(#REF!&lt;=5,"Low Calls", IF(#REF!&lt;=10, "Medium Calls", "High Calls"))</f>
        <v>#REF!</v>
      </c>
      <c r="AF651" t="e">
        <f xml:space="preserve">
IF(#REF!&gt;=4,4,0)+
IF(#REF!="yes",3,0)+
IF(#REF!="High Charges",3,0)+
IF(#REF!&gt;250,4,0)+
IF(#REF!="no",1,0)+
IF(#REF!="Heavy Domestic User",2,0)</f>
        <v>#REF!</v>
      </c>
      <c r="AG651" t="e">
        <f>IF(#REF!&gt;=10,"High Risk", IF(#REF!&gt;=5,"Medium Risk","Low Risk"))</f>
        <v>#REF!</v>
      </c>
      <c r="AH651" t="e">
        <f>#REF! + #REF! + #REF! + #REF!</f>
        <v>#REF!</v>
      </c>
    </row>
    <row r="652" spans="1:34" x14ac:dyDescent="0.35">
      <c r="A652">
        <v>651</v>
      </c>
      <c r="B652" t="s">
        <v>30</v>
      </c>
      <c r="C652">
        <v>115</v>
      </c>
      <c r="D652" t="s">
        <v>21</v>
      </c>
      <c r="E652" t="s">
        <v>22</v>
      </c>
      <c r="F652" t="s">
        <v>23</v>
      </c>
      <c r="G652">
        <v>26</v>
      </c>
      <c r="H652">
        <v>170.5</v>
      </c>
      <c r="I652">
        <v>107</v>
      </c>
      <c r="J652">
        <v>28.99</v>
      </c>
      <c r="K652">
        <v>217.2</v>
      </c>
      <c r="L652">
        <v>77</v>
      </c>
      <c r="M652">
        <v>18.46</v>
      </c>
      <c r="N652">
        <v>225.7</v>
      </c>
      <c r="O652">
        <v>71</v>
      </c>
      <c r="P652">
        <v>10.16</v>
      </c>
      <c r="Q652">
        <v>13.6</v>
      </c>
      <c r="R652">
        <v>5</v>
      </c>
      <c r="S652">
        <v>3.67</v>
      </c>
      <c r="T652">
        <v>6</v>
      </c>
      <c r="U652" t="s">
        <v>22</v>
      </c>
      <c r="V652" t="e">
        <f>IF(#REF! = "yes", 1, 0)</f>
        <v>#REF!</v>
      </c>
      <c r="W652" t="e">
        <f>IF(#REF! &lt;= 1, "0-1 Calls", IF(#REF! &lt;= 3, "2-3 Calls", IF(#REF! &lt;=5, "4-5 Calls", "6+ Calls")))</f>
        <v>#REF!</v>
      </c>
      <c r="X652" t="e">
        <f>IF(#REF! &lt;= 50, "0-50", IF(#REF! &lt;=100, "51-100", IF(#REF! &lt;= 150, "101-150", "151+")))</f>
        <v>#REF!</v>
      </c>
      <c r="Y652" t="e">
        <f>IF(#REF! &lt;= 3, "Low Charges", "High Charges")</f>
        <v>#REF!</v>
      </c>
      <c r="Z652" t="e">
        <f>IF(#REF!&lt;=80,"Low Calls",
IF(#REF!&lt;=120,"Medium Calls","High Calls"))</f>
        <v>#REF!</v>
      </c>
      <c r="AA652" t="e">
        <f>IF(#REF!&lt;=15,"Low Charges",
IF(#REF!&lt;=20,"Medium Charges","High Charges"))</f>
        <v>#REF!</v>
      </c>
      <c r="AB652" t="e">
        <f>IF(AND(#REF!&gt;180, #REF!&gt;200), "Heavy Doemstic User", IF(#REF!&gt;10, "Interntional User", IF(AND(#REF!&lt;180, #REF!&lt;200,#REF!&lt;200), "Light User", "Balanced User")))</f>
        <v>#REF!</v>
      </c>
      <c r="AC652" t="e">
        <f>IF(#REF! = 0, "No Usage", IF(#REF! &lt;= 20, "Low Usage", IF(#REF! &lt;= 40, "Medium Usgae", "High Usage")))</f>
        <v>#REF!</v>
      </c>
      <c r="AD652" t="e">
        <f>IF(#REF!&lt;=150,"Low Usage", IF(#REF!&lt;=200,"Medium Usage", IF(#REF!&lt;=250,"High Usage","Very High Usage")))</f>
        <v>#REF!</v>
      </c>
      <c r="AE652" t="e">
        <f>IF(#REF!&lt;=5,"Low Calls", IF(#REF!&lt;=10, "Medium Calls", "High Calls"))</f>
        <v>#REF!</v>
      </c>
      <c r="AF652" t="e">
        <f xml:space="preserve">
IF(#REF!&gt;=4,4,0)+
IF(#REF!="yes",3,0)+
IF(#REF!="High Charges",3,0)+
IF(#REF!&gt;250,4,0)+
IF(#REF!="no",1,0)+
IF(#REF!="Heavy Domestic User",2,0)</f>
        <v>#REF!</v>
      </c>
      <c r="AG652" t="e">
        <f>IF(#REF!&gt;=10,"High Risk", IF(#REF!&gt;=5,"Medium Risk","Low Risk"))</f>
        <v>#REF!</v>
      </c>
      <c r="AH652" t="e">
        <f>#REF! + #REF! + #REF! + #REF!</f>
        <v>#REF!</v>
      </c>
    </row>
    <row r="653" spans="1:34" x14ac:dyDescent="0.35">
      <c r="A653">
        <v>652</v>
      </c>
      <c r="B653" t="s">
        <v>75</v>
      </c>
      <c r="C653">
        <v>167</v>
      </c>
      <c r="D653" t="s">
        <v>25</v>
      </c>
      <c r="E653" t="s">
        <v>23</v>
      </c>
      <c r="F653" t="s">
        <v>22</v>
      </c>
      <c r="G653">
        <v>0</v>
      </c>
      <c r="H653">
        <v>219.1</v>
      </c>
      <c r="I653">
        <v>100</v>
      </c>
      <c r="J653">
        <v>37.25</v>
      </c>
      <c r="K653">
        <v>242.9</v>
      </c>
      <c r="L653">
        <v>90</v>
      </c>
      <c r="M653">
        <v>20.65</v>
      </c>
      <c r="N653">
        <v>168.9</v>
      </c>
      <c r="O653">
        <v>101</v>
      </c>
      <c r="P653">
        <v>7.6</v>
      </c>
      <c r="Q653">
        <v>10.1</v>
      </c>
      <c r="R653">
        <v>4</v>
      </c>
      <c r="S653">
        <v>2.73</v>
      </c>
      <c r="T653">
        <v>2</v>
      </c>
      <c r="U653" t="s">
        <v>22</v>
      </c>
      <c r="V653" t="e">
        <f>IF(#REF! = "yes", 1, 0)</f>
        <v>#REF!</v>
      </c>
      <c r="W653" t="e">
        <f>IF(#REF! &lt;= 1, "0-1 Calls", IF(#REF! &lt;= 3, "2-3 Calls", IF(#REF! &lt;=5, "4-5 Calls", "6+ Calls")))</f>
        <v>#REF!</v>
      </c>
      <c r="X653" t="e">
        <f>IF(#REF! &lt;= 50, "0-50", IF(#REF! &lt;=100, "51-100", IF(#REF! &lt;= 150, "101-150", "151+")))</f>
        <v>#REF!</v>
      </c>
      <c r="Y653" t="e">
        <f>IF(#REF! &lt;= 3, "Low Charges", "High Charges")</f>
        <v>#REF!</v>
      </c>
      <c r="Z653" t="e">
        <f>IF(#REF!&lt;=80,"Low Calls",
IF(#REF!&lt;=120,"Medium Calls","High Calls"))</f>
        <v>#REF!</v>
      </c>
      <c r="AA653" t="e">
        <f>IF(#REF!&lt;=15,"Low Charges",
IF(#REF!&lt;=20,"Medium Charges","High Charges"))</f>
        <v>#REF!</v>
      </c>
      <c r="AB653" t="e">
        <f>IF(AND(#REF!&gt;180, #REF!&gt;200), "Heavy Doemstic User", IF(#REF!&gt;10, "Interntional User", IF(AND(#REF!&lt;180, #REF!&lt;200,#REF!&lt;200), "Light User", "Balanced User")))</f>
        <v>#REF!</v>
      </c>
      <c r="AC653" t="e">
        <f>IF(#REF! = 0, "No Usage", IF(#REF! &lt;= 20, "Low Usage", IF(#REF! &lt;= 40, "Medium Usgae", "High Usage")))</f>
        <v>#REF!</v>
      </c>
      <c r="AD653" t="e">
        <f>IF(#REF!&lt;=150,"Low Usage", IF(#REF!&lt;=200,"Medium Usage", IF(#REF!&lt;=250,"High Usage","Very High Usage")))</f>
        <v>#REF!</v>
      </c>
      <c r="AE653" t="e">
        <f>IF(#REF!&lt;=5,"Low Calls", IF(#REF!&lt;=10, "Medium Calls", "High Calls"))</f>
        <v>#REF!</v>
      </c>
      <c r="AF653" t="e">
        <f xml:space="preserve">
IF(#REF!&gt;=4,4,0)+
IF(#REF!="yes",3,0)+
IF(#REF!="High Charges",3,0)+
IF(#REF!&gt;250,4,0)+
IF(#REF!="no",1,0)+
IF(#REF!="Heavy Domestic User",2,0)</f>
        <v>#REF!</v>
      </c>
      <c r="AG653" t="e">
        <f>IF(#REF!&gt;=10,"High Risk", IF(#REF!&gt;=5,"Medium Risk","Low Risk"))</f>
        <v>#REF!</v>
      </c>
      <c r="AH653" t="e">
        <f>#REF! + #REF! + #REF! + #REF!</f>
        <v>#REF!</v>
      </c>
    </row>
    <row r="654" spans="1:34" x14ac:dyDescent="0.35">
      <c r="A654">
        <v>653</v>
      </c>
      <c r="B654" t="s">
        <v>31</v>
      </c>
      <c r="C654">
        <v>112</v>
      </c>
      <c r="D654" t="s">
        <v>21</v>
      </c>
      <c r="E654" t="s">
        <v>23</v>
      </c>
      <c r="F654" t="s">
        <v>22</v>
      </c>
      <c r="G654">
        <v>0</v>
      </c>
      <c r="H654">
        <v>161.9</v>
      </c>
      <c r="I654">
        <v>138</v>
      </c>
      <c r="J654">
        <v>27.52</v>
      </c>
      <c r="K654">
        <v>200.9</v>
      </c>
      <c r="L654">
        <v>114</v>
      </c>
      <c r="M654">
        <v>17.079999999999998</v>
      </c>
      <c r="N654">
        <v>134</v>
      </c>
      <c r="O654">
        <v>134</v>
      </c>
      <c r="P654">
        <v>6.03</v>
      </c>
      <c r="Q654">
        <v>10.7</v>
      </c>
      <c r="R654">
        <v>4</v>
      </c>
      <c r="S654">
        <v>2.89</v>
      </c>
      <c r="T654">
        <v>1</v>
      </c>
      <c r="U654" t="s">
        <v>22</v>
      </c>
      <c r="V654" t="e">
        <f>IF(#REF! = "yes", 1, 0)</f>
        <v>#REF!</v>
      </c>
      <c r="W654" t="e">
        <f>IF(#REF! &lt;= 1, "0-1 Calls", IF(#REF! &lt;= 3, "2-3 Calls", IF(#REF! &lt;=5, "4-5 Calls", "6+ Calls")))</f>
        <v>#REF!</v>
      </c>
      <c r="X654" t="e">
        <f>IF(#REF! &lt;= 50, "0-50", IF(#REF! &lt;=100, "51-100", IF(#REF! &lt;= 150, "101-150", "151+")))</f>
        <v>#REF!</v>
      </c>
      <c r="Y654" t="e">
        <f>IF(#REF! &lt;= 3, "Low Charges", "High Charges")</f>
        <v>#REF!</v>
      </c>
      <c r="Z654" t="e">
        <f>IF(#REF!&lt;=80,"Low Calls",
IF(#REF!&lt;=120,"Medium Calls","High Calls"))</f>
        <v>#REF!</v>
      </c>
      <c r="AA654" t="e">
        <f>IF(#REF!&lt;=15,"Low Charges",
IF(#REF!&lt;=20,"Medium Charges","High Charges"))</f>
        <v>#REF!</v>
      </c>
      <c r="AB654" t="e">
        <f>IF(AND(#REF!&gt;180, #REF!&gt;200), "Heavy Doemstic User", IF(#REF!&gt;10, "Interntional User", IF(AND(#REF!&lt;180, #REF!&lt;200,#REF!&lt;200), "Light User", "Balanced User")))</f>
        <v>#REF!</v>
      </c>
      <c r="AC654" t="e">
        <f>IF(#REF! = 0, "No Usage", IF(#REF! &lt;= 20, "Low Usage", IF(#REF! &lt;= 40, "Medium Usgae", "High Usage")))</f>
        <v>#REF!</v>
      </c>
      <c r="AD654" t="e">
        <f>IF(#REF!&lt;=150,"Low Usage", IF(#REF!&lt;=200,"Medium Usage", IF(#REF!&lt;=250,"High Usage","Very High Usage")))</f>
        <v>#REF!</v>
      </c>
      <c r="AE654" t="e">
        <f>IF(#REF!&lt;=5,"Low Calls", IF(#REF!&lt;=10, "Medium Calls", "High Calls"))</f>
        <v>#REF!</v>
      </c>
      <c r="AF654" t="e">
        <f xml:space="preserve">
IF(#REF!&gt;=4,4,0)+
IF(#REF!="yes",3,0)+
IF(#REF!="High Charges",3,0)+
IF(#REF!&gt;250,4,0)+
IF(#REF!="no",1,0)+
IF(#REF!="Heavy Domestic User",2,0)</f>
        <v>#REF!</v>
      </c>
      <c r="AG654" t="e">
        <f>IF(#REF!&gt;=10,"High Risk", IF(#REF!&gt;=5,"Medium Risk","Low Risk"))</f>
        <v>#REF!</v>
      </c>
      <c r="AH654" t="e">
        <f>#REF! + #REF! + #REF! + #REF!</f>
        <v>#REF!</v>
      </c>
    </row>
    <row r="655" spans="1:34" x14ac:dyDescent="0.35">
      <c r="A655">
        <v>654</v>
      </c>
      <c r="B655" t="s">
        <v>51</v>
      </c>
      <c r="C655">
        <v>35</v>
      </c>
      <c r="D655" t="s">
        <v>28</v>
      </c>
      <c r="E655" t="s">
        <v>22</v>
      </c>
      <c r="F655" t="s">
        <v>23</v>
      </c>
      <c r="G655">
        <v>27</v>
      </c>
      <c r="H655">
        <v>241.7</v>
      </c>
      <c r="I655">
        <v>87</v>
      </c>
      <c r="J655">
        <v>41.09</v>
      </c>
      <c r="K655">
        <v>142</v>
      </c>
      <c r="L655">
        <v>101</v>
      </c>
      <c r="M655">
        <v>12.07</v>
      </c>
      <c r="N655">
        <v>288.89999999999998</v>
      </c>
      <c r="O655">
        <v>68</v>
      </c>
      <c r="P655">
        <v>13</v>
      </c>
      <c r="Q655">
        <v>9.4</v>
      </c>
      <c r="R655">
        <v>4</v>
      </c>
      <c r="S655">
        <v>2.54</v>
      </c>
      <c r="T655">
        <v>1</v>
      </c>
      <c r="U655" t="s">
        <v>22</v>
      </c>
      <c r="V655" t="e">
        <f>IF(#REF! = "yes", 1, 0)</f>
        <v>#REF!</v>
      </c>
      <c r="W655" t="e">
        <f>IF(#REF! &lt;= 1, "0-1 Calls", IF(#REF! &lt;= 3, "2-3 Calls", IF(#REF! &lt;=5, "4-5 Calls", "6+ Calls")))</f>
        <v>#REF!</v>
      </c>
      <c r="X655" t="e">
        <f>IF(#REF! &lt;= 50, "0-50", IF(#REF! &lt;=100, "51-100", IF(#REF! &lt;= 150, "101-150", "151+")))</f>
        <v>#REF!</v>
      </c>
      <c r="Y655" t="e">
        <f>IF(#REF! &lt;= 3, "Low Charges", "High Charges")</f>
        <v>#REF!</v>
      </c>
      <c r="Z655" t="e">
        <f>IF(#REF!&lt;=80,"Low Calls",
IF(#REF!&lt;=120,"Medium Calls","High Calls"))</f>
        <v>#REF!</v>
      </c>
      <c r="AA655" t="e">
        <f>IF(#REF!&lt;=15,"Low Charges",
IF(#REF!&lt;=20,"Medium Charges","High Charges"))</f>
        <v>#REF!</v>
      </c>
      <c r="AB655" t="e">
        <f>IF(AND(#REF!&gt;180, #REF!&gt;200), "Heavy Doemstic User", IF(#REF!&gt;10, "Interntional User", IF(AND(#REF!&lt;180, #REF!&lt;200,#REF!&lt;200), "Light User", "Balanced User")))</f>
        <v>#REF!</v>
      </c>
      <c r="AC655" t="e">
        <f>IF(#REF! = 0, "No Usage", IF(#REF! &lt;= 20, "Low Usage", IF(#REF! &lt;= 40, "Medium Usgae", "High Usage")))</f>
        <v>#REF!</v>
      </c>
      <c r="AD655" t="e">
        <f>IF(#REF!&lt;=150,"Low Usage", IF(#REF!&lt;=200,"Medium Usage", IF(#REF!&lt;=250,"High Usage","Very High Usage")))</f>
        <v>#REF!</v>
      </c>
      <c r="AE655" t="e">
        <f>IF(#REF!&lt;=5,"Low Calls", IF(#REF!&lt;=10, "Medium Calls", "High Calls"))</f>
        <v>#REF!</v>
      </c>
      <c r="AF655" t="e">
        <f xml:space="preserve">
IF(#REF!&gt;=4,4,0)+
IF(#REF!="yes",3,0)+
IF(#REF!="High Charges",3,0)+
IF(#REF!&gt;250,4,0)+
IF(#REF!="no",1,0)+
IF(#REF!="Heavy Domestic User",2,0)</f>
        <v>#REF!</v>
      </c>
      <c r="AG655" t="e">
        <f>IF(#REF!&gt;=10,"High Risk", IF(#REF!&gt;=5,"Medium Risk","Low Risk"))</f>
        <v>#REF!</v>
      </c>
      <c r="AH655" t="e">
        <f>#REF! + #REF! + #REF! + #REF!</f>
        <v>#REF!</v>
      </c>
    </row>
    <row r="656" spans="1:34" x14ac:dyDescent="0.35">
      <c r="A656">
        <v>655</v>
      </c>
      <c r="B656" t="s">
        <v>70</v>
      </c>
      <c r="C656">
        <v>103</v>
      </c>
      <c r="D656" t="s">
        <v>25</v>
      </c>
      <c r="E656" t="s">
        <v>23</v>
      </c>
      <c r="F656" t="s">
        <v>22</v>
      </c>
      <c r="G656">
        <v>0</v>
      </c>
      <c r="H656">
        <v>62.8</v>
      </c>
      <c r="I656">
        <v>124</v>
      </c>
      <c r="J656">
        <v>10.68</v>
      </c>
      <c r="K656">
        <v>170.4</v>
      </c>
      <c r="L656">
        <v>66</v>
      </c>
      <c r="M656">
        <v>14.48</v>
      </c>
      <c r="N656">
        <v>280.2</v>
      </c>
      <c r="O656">
        <v>78</v>
      </c>
      <c r="P656">
        <v>12.61</v>
      </c>
      <c r="Q656">
        <v>9.4</v>
      </c>
      <c r="R656">
        <v>4</v>
      </c>
      <c r="S656">
        <v>2.54</v>
      </c>
      <c r="T656">
        <v>3</v>
      </c>
      <c r="U656" t="s">
        <v>22</v>
      </c>
      <c r="V656" t="e">
        <f>IF(#REF! = "yes", 1, 0)</f>
        <v>#REF!</v>
      </c>
      <c r="W656" t="e">
        <f>IF(#REF! &lt;= 1, "0-1 Calls", IF(#REF! &lt;= 3, "2-3 Calls", IF(#REF! &lt;=5, "4-5 Calls", "6+ Calls")))</f>
        <v>#REF!</v>
      </c>
      <c r="X656" t="e">
        <f>IF(#REF! &lt;= 50, "0-50", IF(#REF! &lt;=100, "51-100", IF(#REF! &lt;= 150, "101-150", "151+")))</f>
        <v>#REF!</v>
      </c>
      <c r="Y656" t="e">
        <f>IF(#REF! &lt;= 3, "Low Charges", "High Charges")</f>
        <v>#REF!</v>
      </c>
      <c r="Z656" t="e">
        <f>IF(#REF!&lt;=80,"Low Calls",
IF(#REF!&lt;=120,"Medium Calls","High Calls"))</f>
        <v>#REF!</v>
      </c>
      <c r="AA656" t="e">
        <f>IF(#REF!&lt;=15,"Low Charges",
IF(#REF!&lt;=20,"Medium Charges","High Charges"))</f>
        <v>#REF!</v>
      </c>
      <c r="AB656" t="e">
        <f>IF(AND(#REF!&gt;180, #REF!&gt;200), "Heavy Doemstic User", IF(#REF!&gt;10, "Interntional User", IF(AND(#REF!&lt;180, #REF!&lt;200,#REF!&lt;200), "Light User", "Balanced User")))</f>
        <v>#REF!</v>
      </c>
      <c r="AC656" t="e">
        <f>IF(#REF! = 0, "No Usage", IF(#REF! &lt;= 20, "Low Usage", IF(#REF! &lt;= 40, "Medium Usgae", "High Usage")))</f>
        <v>#REF!</v>
      </c>
      <c r="AD656" t="e">
        <f>IF(#REF!&lt;=150,"Low Usage", IF(#REF!&lt;=200,"Medium Usage", IF(#REF!&lt;=250,"High Usage","Very High Usage")))</f>
        <v>#REF!</v>
      </c>
      <c r="AE656" t="e">
        <f>IF(#REF!&lt;=5,"Low Calls", IF(#REF!&lt;=10, "Medium Calls", "High Calls"))</f>
        <v>#REF!</v>
      </c>
      <c r="AF656" t="e">
        <f xml:space="preserve">
IF(#REF!&gt;=4,4,0)+
IF(#REF!="yes",3,0)+
IF(#REF!="High Charges",3,0)+
IF(#REF!&gt;250,4,0)+
IF(#REF!="no",1,0)+
IF(#REF!="Heavy Domestic User",2,0)</f>
        <v>#REF!</v>
      </c>
      <c r="AG656" t="e">
        <f>IF(#REF!&gt;=10,"High Risk", IF(#REF!&gt;=5,"Medium Risk","Low Risk"))</f>
        <v>#REF!</v>
      </c>
      <c r="AH656" t="e">
        <f>#REF! + #REF! + #REF! + #REF!</f>
        <v>#REF!</v>
      </c>
    </row>
    <row r="657" spans="1:34" x14ac:dyDescent="0.35">
      <c r="A657">
        <v>656</v>
      </c>
      <c r="B657" t="s">
        <v>29</v>
      </c>
      <c r="C657">
        <v>107</v>
      </c>
      <c r="D657" t="s">
        <v>21</v>
      </c>
      <c r="E657" t="s">
        <v>22</v>
      </c>
      <c r="F657" t="s">
        <v>23</v>
      </c>
      <c r="G657">
        <v>22</v>
      </c>
      <c r="H657">
        <v>281.10000000000002</v>
      </c>
      <c r="I657">
        <v>83</v>
      </c>
      <c r="J657">
        <v>47.79</v>
      </c>
      <c r="K657">
        <v>143.69999999999999</v>
      </c>
      <c r="L657">
        <v>130</v>
      </c>
      <c r="M657">
        <v>12.21</v>
      </c>
      <c r="N657">
        <v>239.4</v>
      </c>
      <c r="O657">
        <v>128</v>
      </c>
      <c r="P657">
        <v>10.77</v>
      </c>
      <c r="Q657">
        <v>11.2</v>
      </c>
      <c r="R657">
        <v>9</v>
      </c>
      <c r="S657">
        <v>3.02</v>
      </c>
      <c r="T657">
        <v>1</v>
      </c>
      <c r="U657" t="s">
        <v>22</v>
      </c>
      <c r="V657" t="e">
        <f>IF(#REF! = "yes", 1, 0)</f>
        <v>#REF!</v>
      </c>
      <c r="W657" t="e">
        <f>IF(#REF! &lt;= 1, "0-1 Calls", IF(#REF! &lt;= 3, "2-3 Calls", IF(#REF! &lt;=5, "4-5 Calls", "6+ Calls")))</f>
        <v>#REF!</v>
      </c>
      <c r="X657" t="e">
        <f>IF(#REF! &lt;= 50, "0-50", IF(#REF! &lt;=100, "51-100", IF(#REF! &lt;= 150, "101-150", "151+")))</f>
        <v>#REF!</v>
      </c>
      <c r="Y657" t="e">
        <f>IF(#REF! &lt;= 3, "Low Charges", "High Charges")</f>
        <v>#REF!</v>
      </c>
      <c r="Z657" t="e">
        <f>IF(#REF!&lt;=80,"Low Calls",
IF(#REF!&lt;=120,"Medium Calls","High Calls"))</f>
        <v>#REF!</v>
      </c>
      <c r="AA657" t="e">
        <f>IF(#REF!&lt;=15,"Low Charges",
IF(#REF!&lt;=20,"Medium Charges","High Charges"))</f>
        <v>#REF!</v>
      </c>
      <c r="AB657" t="e">
        <f>IF(AND(#REF!&gt;180, #REF!&gt;200), "Heavy Doemstic User", IF(#REF!&gt;10, "Interntional User", IF(AND(#REF!&lt;180, #REF!&lt;200,#REF!&lt;200), "Light User", "Balanced User")))</f>
        <v>#REF!</v>
      </c>
      <c r="AC657" t="e">
        <f>IF(#REF! = 0, "No Usage", IF(#REF! &lt;= 20, "Low Usage", IF(#REF! &lt;= 40, "Medium Usgae", "High Usage")))</f>
        <v>#REF!</v>
      </c>
      <c r="AD657" t="e">
        <f>IF(#REF!&lt;=150,"Low Usage", IF(#REF!&lt;=200,"Medium Usage", IF(#REF!&lt;=250,"High Usage","Very High Usage")))</f>
        <v>#REF!</v>
      </c>
      <c r="AE657" t="e">
        <f>IF(#REF!&lt;=5,"Low Calls", IF(#REF!&lt;=10, "Medium Calls", "High Calls"))</f>
        <v>#REF!</v>
      </c>
      <c r="AF657" t="e">
        <f xml:space="preserve">
IF(#REF!&gt;=4,4,0)+
IF(#REF!="yes",3,0)+
IF(#REF!="High Charges",3,0)+
IF(#REF!&gt;250,4,0)+
IF(#REF!="no",1,0)+
IF(#REF!="Heavy Domestic User",2,0)</f>
        <v>#REF!</v>
      </c>
      <c r="AG657" t="e">
        <f>IF(#REF!&gt;=10,"High Risk", IF(#REF!&gt;=5,"Medium Risk","Low Risk"))</f>
        <v>#REF!</v>
      </c>
      <c r="AH657" t="e">
        <f>#REF! + #REF! + #REF! + #REF!</f>
        <v>#REF!</v>
      </c>
    </row>
    <row r="658" spans="1:34" x14ac:dyDescent="0.35">
      <c r="A658">
        <v>657</v>
      </c>
      <c r="B658" t="s">
        <v>73</v>
      </c>
      <c r="C658">
        <v>69</v>
      </c>
      <c r="D658" t="s">
        <v>21</v>
      </c>
      <c r="E658" t="s">
        <v>22</v>
      </c>
      <c r="F658" t="s">
        <v>22</v>
      </c>
      <c r="G658">
        <v>0</v>
      </c>
      <c r="H658">
        <v>228.2</v>
      </c>
      <c r="I658">
        <v>70</v>
      </c>
      <c r="J658">
        <v>38.79</v>
      </c>
      <c r="K658">
        <v>263.7</v>
      </c>
      <c r="L658">
        <v>80</v>
      </c>
      <c r="M658">
        <v>22.41</v>
      </c>
      <c r="N658">
        <v>142.6</v>
      </c>
      <c r="O658">
        <v>60</v>
      </c>
      <c r="P658">
        <v>6.42</v>
      </c>
      <c r="Q658">
        <v>10.7</v>
      </c>
      <c r="R658">
        <v>5</v>
      </c>
      <c r="S658">
        <v>2.89</v>
      </c>
      <c r="T658">
        <v>3</v>
      </c>
      <c r="U658" t="s">
        <v>22</v>
      </c>
      <c r="V658" t="e">
        <f>IF(#REF! = "yes", 1, 0)</f>
        <v>#REF!</v>
      </c>
      <c r="W658" t="e">
        <f>IF(#REF! &lt;= 1, "0-1 Calls", IF(#REF! &lt;= 3, "2-3 Calls", IF(#REF! &lt;=5, "4-5 Calls", "6+ Calls")))</f>
        <v>#REF!</v>
      </c>
      <c r="X658" t="e">
        <f>IF(#REF! &lt;= 50, "0-50", IF(#REF! &lt;=100, "51-100", IF(#REF! &lt;= 150, "101-150", "151+")))</f>
        <v>#REF!</v>
      </c>
      <c r="Y658" t="e">
        <f>IF(#REF! &lt;= 3, "Low Charges", "High Charges")</f>
        <v>#REF!</v>
      </c>
      <c r="Z658" t="e">
        <f>IF(#REF!&lt;=80,"Low Calls",
IF(#REF!&lt;=120,"Medium Calls","High Calls"))</f>
        <v>#REF!</v>
      </c>
      <c r="AA658" t="e">
        <f>IF(#REF!&lt;=15,"Low Charges",
IF(#REF!&lt;=20,"Medium Charges","High Charges"))</f>
        <v>#REF!</v>
      </c>
      <c r="AB658" t="e">
        <f>IF(AND(#REF!&gt;180, #REF!&gt;200), "Heavy Doemstic User", IF(#REF!&gt;10, "Interntional User", IF(AND(#REF!&lt;180, #REF!&lt;200,#REF!&lt;200), "Light User", "Balanced User")))</f>
        <v>#REF!</v>
      </c>
      <c r="AC658" t="e">
        <f>IF(#REF! = 0, "No Usage", IF(#REF! &lt;= 20, "Low Usage", IF(#REF! &lt;= 40, "Medium Usgae", "High Usage")))</f>
        <v>#REF!</v>
      </c>
      <c r="AD658" t="e">
        <f>IF(#REF!&lt;=150,"Low Usage", IF(#REF!&lt;=200,"Medium Usage", IF(#REF!&lt;=250,"High Usage","Very High Usage")))</f>
        <v>#REF!</v>
      </c>
      <c r="AE658" t="e">
        <f>IF(#REF!&lt;=5,"Low Calls", IF(#REF!&lt;=10, "Medium Calls", "High Calls"))</f>
        <v>#REF!</v>
      </c>
      <c r="AF658" t="e">
        <f xml:space="preserve">
IF(#REF!&gt;=4,4,0)+
IF(#REF!="yes",3,0)+
IF(#REF!="High Charges",3,0)+
IF(#REF!&gt;250,4,0)+
IF(#REF!="no",1,0)+
IF(#REF!="Heavy Domestic User",2,0)</f>
        <v>#REF!</v>
      </c>
      <c r="AG658" t="e">
        <f>IF(#REF!&gt;=10,"High Risk", IF(#REF!&gt;=5,"Medium Risk","Low Risk"))</f>
        <v>#REF!</v>
      </c>
      <c r="AH658" t="e">
        <f>#REF! + #REF! + #REF! + #REF!</f>
        <v>#REF!</v>
      </c>
    </row>
    <row r="659" spans="1:34" x14ac:dyDescent="0.35">
      <c r="A659">
        <v>658</v>
      </c>
      <c r="B659" t="s">
        <v>24</v>
      </c>
      <c r="C659">
        <v>24</v>
      </c>
      <c r="D659" t="s">
        <v>25</v>
      </c>
      <c r="E659" t="s">
        <v>22</v>
      </c>
      <c r="F659" t="s">
        <v>22</v>
      </c>
      <c r="G659">
        <v>0</v>
      </c>
      <c r="H659">
        <v>265.60000000000002</v>
      </c>
      <c r="I659">
        <v>86</v>
      </c>
      <c r="J659">
        <v>45.15</v>
      </c>
      <c r="K659">
        <v>208.8</v>
      </c>
      <c r="L659">
        <v>102</v>
      </c>
      <c r="M659">
        <v>17.75</v>
      </c>
      <c r="N659">
        <v>182.5</v>
      </c>
      <c r="O659">
        <v>105</v>
      </c>
      <c r="P659">
        <v>8.2100000000000009</v>
      </c>
      <c r="Q659">
        <v>11.1</v>
      </c>
      <c r="R659">
        <v>6</v>
      </c>
      <c r="S659">
        <v>3</v>
      </c>
      <c r="T659">
        <v>2</v>
      </c>
      <c r="U659" t="s">
        <v>23</v>
      </c>
      <c r="V659" t="e">
        <f>IF(#REF! = "yes", 1, 0)</f>
        <v>#REF!</v>
      </c>
      <c r="W659" t="e">
        <f>IF(#REF! &lt;= 1, "0-1 Calls", IF(#REF! &lt;= 3, "2-3 Calls", IF(#REF! &lt;=5, "4-5 Calls", "6+ Calls")))</f>
        <v>#REF!</v>
      </c>
      <c r="X659" t="e">
        <f>IF(#REF! &lt;= 50, "0-50", IF(#REF! &lt;=100, "51-100", IF(#REF! &lt;= 150, "101-150", "151+")))</f>
        <v>#REF!</v>
      </c>
      <c r="Y659" t="e">
        <f>IF(#REF! &lt;= 3, "Low Charges", "High Charges")</f>
        <v>#REF!</v>
      </c>
      <c r="Z659" t="e">
        <f>IF(#REF!&lt;=80,"Low Calls",
IF(#REF!&lt;=120,"Medium Calls","High Calls"))</f>
        <v>#REF!</v>
      </c>
      <c r="AA659" t="e">
        <f>IF(#REF!&lt;=15,"Low Charges",
IF(#REF!&lt;=20,"Medium Charges","High Charges"))</f>
        <v>#REF!</v>
      </c>
      <c r="AB659" t="e">
        <f>IF(AND(#REF!&gt;180, #REF!&gt;200), "Heavy Doemstic User", IF(#REF!&gt;10, "Interntional User", IF(AND(#REF!&lt;180, #REF!&lt;200,#REF!&lt;200), "Light User", "Balanced User")))</f>
        <v>#REF!</v>
      </c>
      <c r="AC659" t="e">
        <f>IF(#REF! = 0, "No Usage", IF(#REF! &lt;= 20, "Low Usage", IF(#REF! &lt;= 40, "Medium Usgae", "High Usage")))</f>
        <v>#REF!</v>
      </c>
      <c r="AD659" t="e">
        <f>IF(#REF!&lt;=150,"Low Usage", IF(#REF!&lt;=200,"Medium Usage", IF(#REF!&lt;=250,"High Usage","Very High Usage")))</f>
        <v>#REF!</v>
      </c>
      <c r="AE659" t="e">
        <f>IF(#REF!&lt;=5,"Low Calls", IF(#REF!&lt;=10, "Medium Calls", "High Calls"))</f>
        <v>#REF!</v>
      </c>
      <c r="AF659" t="e">
        <f xml:space="preserve">
IF(#REF!&gt;=4,4,0)+
IF(#REF!="yes",3,0)+
IF(#REF!="High Charges",3,0)+
IF(#REF!&gt;250,4,0)+
IF(#REF!="no",1,0)+
IF(#REF!="Heavy Domestic User",2,0)</f>
        <v>#REF!</v>
      </c>
      <c r="AG659" t="e">
        <f>IF(#REF!&gt;=10,"High Risk", IF(#REF!&gt;=5,"Medium Risk","Low Risk"))</f>
        <v>#REF!</v>
      </c>
      <c r="AH659" t="e">
        <f>#REF! + #REF! + #REF! + #REF!</f>
        <v>#REF!</v>
      </c>
    </row>
    <row r="660" spans="1:34" x14ac:dyDescent="0.35">
      <c r="A660">
        <v>659</v>
      </c>
      <c r="B660" t="s">
        <v>68</v>
      </c>
      <c r="C660">
        <v>90</v>
      </c>
      <c r="D660" t="s">
        <v>21</v>
      </c>
      <c r="E660" t="s">
        <v>22</v>
      </c>
      <c r="F660" t="s">
        <v>22</v>
      </c>
      <c r="G660">
        <v>0</v>
      </c>
      <c r="H660">
        <v>214.9</v>
      </c>
      <c r="I660">
        <v>97</v>
      </c>
      <c r="J660">
        <v>36.53</v>
      </c>
      <c r="K660">
        <v>117.8</v>
      </c>
      <c r="L660">
        <v>117</v>
      </c>
      <c r="M660">
        <v>10.01</v>
      </c>
      <c r="N660">
        <v>133.69999999999999</v>
      </c>
      <c r="O660">
        <v>78</v>
      </c>
      <c r="P660">
        <v>6.02</v>
      </c>
      <c r="Q660">
        <v>11.8</v>
      </c>
      <c r="R660">
        <v>2</v>
      </c>
      <c r="S660">
        <v>3.19</v>
      </c>
      <c r="T660">
        <v>2</v>
      </c>
      <c r="U660" t="s">
        <v>22</v>
      </c>
      <c r="V660" t="e">
        <f>IF(#REF! = "yes", 1, 0)</f>
        <v>#REF!</v>
      </c>
      <c r="W660" t="e">
        <f>IF(#REF! &lt;= 1, "0-1 Calls", IF(#REF! &lt;= 3, "2-3 Calls", IF(#REF! &lt;=5, "4-5 Calls", "6+ Calls")))</f>
        <v>#REF!</v>
      </c>
      <c r="X660" t="e">
        <f>IF(#REF! &lt;= 50, "0-50", IF(#REF! &lt;=100, "51-100", IF(#REF! &lt;= 150, "101-150", "151+")))</f>
        <v>#REF!</v>
      </c>
      <c r="Y660" t="e">
        <f>IF(#REF! &lt;= 3, "Low Charges", "High Charges")</f>
        <v>#REF!</v>
      </c>
      <c r="Z660" t="e">
        <f>IF(#REF!&lt;=80,"Low Calls",
IF(#REF!&lt;=120,"Medium Calls","High Calls"))</f>
        <v>#REF!</v>
      </c>
      <c r="AA660" t="e">
        <f>IF(#REF!&lt;=15,"Low Charges",
IF(#REF!&lt;=20,"Medium Charges","High Charges"))</f>
        <v>#REF!</v>
      </c>
      <c r="AB660" t="e">
        <f>IF(AND(#REF!&gt;180, #REF!&gt;200), "Heavy Doemstic User", IF(#REF!&gt;10, "Interntional User", IF(AND(#REF!&lt;180, #REF!&lt;200,#REF!&lt;200), "Light User", "Balanced User")))</f>
        <v>#REF!</v>
      </c>
      <c r="AC660" t="e">
        <f>IF(#REF! = 0, "No Usage", IF(#REF! &lt;= 20, "Low Usage", IF(#REF! &lt;= 40, "Medium Usgae", "High Usage")))</f>
        <v>#REF!</v>
      </c>
      <c r="AD660" t="e">
        <f>IF(#REF!&lt;=150,"Low Usage", IF(#REF!&lt;=200,"Medium Usage", IF(#REF!&lt;=250,"High Usage","Very High Usage")))</f>
        <v>#REF!</v>
      </c>
      <c r="AE660" t="e">
        <f>IF(#REF!&lt;=5,"Low Calls", IF(#REF!&lt;=10, "Medium Calls", "High Calls"))</f>
        <v>#REF!</v>
      </c>
      <c r="AF660" t="e">
        <f xml:space="preserve">
IF(#REF!&gt;=4,4,0)+
IF(#REF!="yes",3,0)+
IF(#REF!="High Charges",3,0)+
IF(#REF!&gt;250,4,0)+
IF(#REF!="no",1,0)+
IF(#REF!="Heavy Domestic User",2,0)</f>
        <v>#REF!</v>
      </c>
      <c r="AG660" t="e">
        <f>IF(#REF!&gt;=10,"High Risk", IF(#REF!&gt;=5,"Medium Risk","Low Risk"))</f>
        <v>#REF!</v>
      </c>
      <c r="AH660" t="e">
        <f>#REF! + #REF! + #REF! + #REF!</f>
        <v>#REF!</v>
      </c>
    </row>
    <row r="661" spans="1:34" x14ac:dyDescent="0.35">
      <c r="A661">
        <v>660</v>
      </c>
      <c r="B661" t="s">
        <v>66</v>
      </c>
      <c r="C661">
        <v>137</v>
      </c>
      <c r="D661" t="s">
        <v>28</v>
      </c>
      <c r="E661" t="s">
        <v>22</v>
      </c>
      <c r="F661" t="s">
        <v>22</v>
      </c>
      <c r="G661">
        <v>0</v>
      </c>
      <c r="H661">
        <v>110.5</v>
      </c>
      <c r="I661">
        <v>79</v>
      </c>
      <c r="J661">
        <v>18.79</v>
      </c>
      <c r="K661">
        <v>223.2</v>
      </c>
      <c r="L661">
        <v>111</v>
      </c>
      <c r="M661">
        <v>18.97</v>
      </c>
      <c r="N661">
        <v>169.5</v>
      </c>
      <c r="O661">
        <v>64</v>
      </c>
      <c r="P661">
        <v>7.63</v>
      </c>
      <c r="Q661">
        <v>10.5</v>
      </c>
      <c r="R661">
        <v>3</v>
      </c>
      <c r="S661">
        <v>2.84</v>
      </c>
      <c r="T661">
        <v>3</v>
      </c>
      <c r="U661" t="s">
        <v>22</v>
      </c>
      <c r="V661" t="e">
        <f>IF(#REF! = "yes", 1, 0)</f>
        <v>#REF!</v>
      </c>
      <c r="W661" t="e">
        <f>IF(#REF! &lt;= 1, "0-1 Calls", IF(#REF! &lt;= 3, "2-3 Calls", IF(#REF! &lt;=5, "4-5 Calls", "6+ Calls")))</f>
        <v>#REF!</v>
      </c>
      <c r="X661" t="e">
        <f>IF(#REF! &lt;= 50, "0-50", IF(#REF! &lt;=100, "51-100", IF(#REF! &lt;= 150, "101-150", "151+")))</f>
        <v>#REF!</v>
      </c>
      <c r="Y661" t="e">
        <f>IF(#REF! &lt;= 3, "Low Charges", "High Charges")</f>
        <v>#REF!</v>
      </c>
      <c r="Z661" t="e">
        <f>IF(#REF!&lt;=80,"Low Calls",
IF(#REF!&lt;=120,"Medium Calls","High Calls"))</f>
        <v>#REF!</v>
      </c>
      <c r="AA661" t="e">
        <f>IF(#REF!&lt;=15,"Low Charges",
IF(#REF!&lt;=20,"Medium Charges","High Charges"))</f>
        <v>#REF!</v>
      </c>
      <c r="AB661" t="e">
        <f>IF(AND(#REF!&gt;180, #REF!&gt;200), "Heavy Doemstic User", IF(#REF!&gt;10, "Interntional User", IF(AND(#REF!&lt;180, #REF!&lt;200,#REF!&lt;200), "Light User", "Balanced User")))</f>
        <v>#REF!</v>
      </c>
      <c r="AC661" t="e">
        <f>IF(#REF! = 0, "No Usage", IF(#REF! &lt;= 20, "Low Usage", IF(#REF! &lt;= 40, "Medium Usgae", "High Usage")))</f>
        <v>#REF!</v>
      </c>
      <c r="AD661" t="e">
        <f>IF(#REF!&lt;=150,"Low Usage", IF(#REF!&lt;=200,"Medium Usage", IF(#REF!&lt;=250,"High Usage","Very High Usage")))</f>
        <v>#REF!</v>
      </c>
      <c r="AE661" t="e">
        <f>IF(#REF!&lt;=5,"Low Calls", IF(#REF!&lt;=10, "Medium Calls", "High Calls"))</f>
        <v>#REF!</v>
      </c>
      <c r="AF661" t="e">
        <f xml:space="preserve">
IF(#REF!&gt;=4,4,0)+
IF(#REF!="yes",3,0)+
IF(#REF!="High Charges",3,0)+
IF(#REF!&gt;250,4,0)+
IF(#REF!="no",1,0)+
IF(#REF!="Heavy Domestic User",2,0)</f>
        <v>#REF!</v>
      </c>
      <c r="AG661" t="e">
        <f>IF(#REF!&gt;=10,"High Risk", IF(#REF!&gt;=5,"Medium Risk","Low Risk"))</f>
        <v>#REF!</v>
      </c>
      <c r="AH661" t="e">
        <f>#REF! + #REF! + #REF! + #REF!</f>
        <v>#REF!</v>
      </c>
    </row>
    <row r="662" spans="1:34" x14ac:dyDescent="0.35">
      <c r="A662">
        <v>661</v>
      </c>
      <c r="B662" t="s">
        <v>42</v>
      </c>
      <c r="C662">
        <v>92</v>
      </c>
      <c r="D662" t="s">
        <v>21</v>
      </c>
      <c r="E662" t="s">
        <v>23</v>
      </c>
      <c r="F662" t="s">
        <v>23</v>
      </c>
      <c r="G662">
        <v>45</v>
      </c>
      <c r="H662">
        <v>281.10000000000002</v>
      </c>
      <c r="I662">
        <v>88</v>
      </c>
      <c r="J662">
        <v>47.79</v>
      </c>
      <c r="K662">
        <v>198</v>
      </c>
      <c r="L662">
        <v>103</v>
      </c>
      <c r="M662">
        <v>16.829999999999998</v>
      </c>
      <c r="N662">
        <v>94.3</v>
      </c>
      <c r="O662">
        <v>76</v>
      </c>
      <c r="P662">
        <v>4.24</v>
      </c>
      <c r="Q662">
        <v>7.5</v>
      </c>
      <c r="R662">
        <v>3</v>
      </c>
      <c r="S662">
        <v>2.0299999999999998</v>
      </c>
      <c r="T662">
        <v>0</v>
      </c>
      <c r="U662" t="s">
        <v>22</v>
      </c>
      <c r="V662" t="e">
        <f>IF(#REF! = "yes", 1, 0)</f>
        <v>#REF!</v>
      </c>
      <c r="W662" t="e">
        <f>IF(#REF! &lt;= 1, "0-1 Calls", IF(#REF! &lt;= 3, "2-3 Calls", IF(#REF! &lt;=5, "4-5 Calls", "6+ Calls")))</f>
        <v>#REF!</v>
      </c>
      <c r="X662" t="e">
        <f>IF(#REF! &lt;= 50, "0-50", IF(#REF! &lt;=100, "51-100", IF(#REF! &lt;= 150, "101-150", "151+")))</f>
        <v>#REF!</v>
      </c>
      <c r="Y662" t="e">
        <f>IF(#REF! &lt;= 3, "Low Charges", "High Charges")</f>
        <v>#REF!</v>
      </c>
      <c r="Z662" t="e">
        <f>IF(#REF!&lt;=80,"Low Calls",
IF(#REF!&lt;=120,"Medium Calls","High Calls"))</f>
        <v>#REF!</v>
      </c>
      <c r="AA662" t="e">
        <f>IF(#REF!&lt;=15,"Low Charges",
IF(#REF!&lt;=20,"Medium Charges","High Charges"))</f>
        <v>#REF!</v>
      </c>
      <c r="AB662" t="e">
        <f>IF(AND(#REF!&gt;180, #REF!&gt;200), "Heavy Doemstic User", IF(#REF!&gt;10, "Interntional User", IF(AND(#REF!&lt;180, #REF!&lt;200,#REF!&lt;200), "Light User", "Balanced User")))</f>
        <v>#REF!</v>
      </c>
      <c r="AC662" t="e">
        <f>IF(#REF! = 0, "No Usage", IF(#REF! &lt;= 20, "Low Usage", IF(#REF! &lt;= 40, "Medium Usgae", "High Usage")))</f>
        <v>#REF!</v>
      </c>
      <c r="AD662" t="e">
        <f>IF(#REF!&lt;=150,"Low Usage", IF(#REF!&lt;=200,"Medium Usage", IF(#REF!&lt;=250,"High Usage","Very High Usage")))</f>
        <v>#REF!</v>
      </c>
      <c r="AE662" t="e">
        <f>IF(#REF!&lt;=5,"Low Calls", IF(#REF!&lt;=10, "Medium Calls", "High Calls"))</f>
        <v>#REF!</v>
      </c>
      <c r="AF662" t="e">
        <f xml:space="preserve">
IF(#REF!&gt;=4,4,0)+
IF(#REF!="yes",3,0)+
IF(#REF!="High Charges",3,0)+
IF(#REF!&gt;250,4,0)+
IF(#REF!="no",1,0)+
IF(#REF!="Heavy Domestic User",2,0)</f>
        <v>#REF!</v>
      </c>
      <c r="AG662" t="e">
        <f>IF(#REF!&gt;=10,"High Risk", IF(#REF!&gt;=5,"Medium Risk","Low Risk"))</f>
        <v>#REF!</v>
      </c>
      <c r="AH662" t="e">
        <f>#REF! + #REF! + #REF! + #REF!</f>
        <v>#REF!</v>
      </c>
    </row>
    <row r="663" spans="1:34" x14ac:dyDescent="0.35">
      <c r="A663">
        <v>662</v>
      </c>
      <c r="B663" t="s">
        <v>64</v>
      </c>
      <c r="C663">
        <v>38</v>
      </c>
      <c r="D663" t="s">
        <v>21</v>
      </c>
      <c r="E663" t="s">
        <v>22</v>
      </c>
      <c r="F663" t="s">
        <v>22</v>
      </c>
      <c r="G663">
        <v>0</v>
      </c>
      <c r="H663">
        <v>137.80000000000001</v>
      </c>
      <c r="I663">
        <v>86</v>
      </c>
      <c r="J663">
        <v>23.43</v>
      </c>
      <c r="K663">
        <v>286.3</v>
      </c>
      <c r="L663">
        <v>76</v>
      </c>
      <c r="M663">
        <v>24.34</v>
      </c>
      <c r="N663">
        <v>167</v>
      </c>
      <c r="O663">
        <v>77</v>
      </c>
      <c r="P663">
        <v>7.52</v>
      </c>
      <c r="Q663">
        <v>14.1</v>
      </c>
      <c r="R663">
        <v>3</v>
      </c>
      <c r="S663">
        <v>3.81</v>
      </c>
      <c r="T663">
        <v>2</v>
      </c>
      <c r="U663" t="s">
        <v>22</v>
      </c>
      <c r="V663" t="e">
        <f>IF(#REF! = "yes", 1, 0)</f>
        <v>#REF!</v>
      </c>
      <c r="W663" t="e">
        <f>IF(#REF! &lt;= 1, "0-1 Calls", IF(#REF! &lt;= 3, "2-3 Calls", IF(#REF! &lt;=5, "4-5 Calls", "6+ Calls")))</f>
        <v>#REF!</v>
      </c>
      <c r="X663" t="e">
        <f>IF(#REF! &lt;= 50, "0-50", IF(#REF! &lt;=100, "51-100", IF(#REF! &lt;= 150, "101-150", "151+")))</f>
        <v>#REF!</v>
      </c>
      <c r="Y663" t="e">
        <f>IF(#REF! &lt;= 3, "Low Charges", "High Charges")</f>
        <v>#REF!</v>
      </c>
      <c r="Z663" t="e">
        <f>IF(#REF!&lt;=80,"Low Calls",
IF(#REF!&lt;=120,"Medium Calls","High Calls"))</f>
        <v>#REF!</v>
      </c>
      <c r="AA663" t="e">
        <f>IF(#REF!&lt;=15,"Low Charges",
IF(#REF!&lt;=20,"Medium Charges","High Charges"))</f>
        <v>#REF!</v>
      </c>
      <c r="AB663" t="e">
        <f>IF(AND(#REF!&gt;180, #REF!&gt;200), "Heavy Doemstic User", IF(#REF!&gt;10, "Interntional User", IF(AND(#REF!&lt;180, #REF!&lt;200,#REF!&lt;200), "Light User", "Balanced User")))</f>
        <v>#REF!</v>
      </c>
      <c r="AC663" t="e">
        <f>IF(#REF! = 0, "No Usage", IF(#REF! &lt;= 20, "Low Usage", IF(#REF! &lt;= 40, "Medium Usgae", "High Usage")))</f>
        <v>#REF!</v>
      </c>
      <c r="AD663" t="e">
        <f>IF(#REF!&lt;=150,"Low Usage", IF(#REF!&lt;=200,"Medium Usage", IF(#REF!&lt;=250,"High Usage","Very High Usage")))</f>
        <v>#REF!</v>
      </c>
      <c r="AE663" t="e">
        <f>IF(#REF!&lt;=5,"Low Calls", IF(#REF!&lt;=10, "Medium Calls", "High Calls"))</f>
        <v>#REF!</v>
      </c>
      <c r="AF663" t="e">
        <f xml:space="preserve">
IF(#REF!&gt;=4,4,0)+
IF(#REF!="yes",3,0)+
IF(#REF!="High Charges",3,0)+
IF(#REF!&gt;250,4,0)+
IF(#REF!="no",1,0)+
IF(#REF!="Heavy Domestic User",2,0)</f>
        <v>#REF!</v>
      </c>
      <c r="AG663" t="e">
        <f>IF(#REF!&gt;=10,"High Risk", IF(#REF!&gt;=5,"Medium Risk","Low Risk"))</f>
        <v>#REF!</v>
      </c>
      <c r="AH663" t="e">
        <f>#REF! + #REF! + #REF! + #REF!</f>
        <v>#REF!</v>
      </c>
    </row>
    <row r="664" spans="1:34" x14ac:dyDescent="0.35">
      <c r="A664">
        <v>663</v>
      </c>
      <c r="B664" t="s">
        <v>62</v>
      </c>
      <c r="C664">
        <v>69</v>
      </c>
      <c r="D664" t="s">
        <v>28</v>
      </c>
      <c r="E664" t="s">
        <v>23</v>
      </c>
      <c r="F664" t="s">
        <v>23</v>
      </c>
      <c r="G664">
        <v>33</v>
      </c>
      <c r="H664">
        <v>271.5</v>
      </c>
      <c r="I664">
        <v>98</v>
      </c>
      <c r="J664">
        <v>46.16</v>
      </c>
      <c r="K664">
        <v>253.4</v>
      </c>
      <c r="L664">
        <v>102</v>
      </c>
      <c r="M664">
        <v>21.54</v>
      </c>
      <c r="N664">
        <v>165.4</v>
      </c>
      <c r="O664">
        <v>85</v>
      </c>
      <c r="P664">
        <v>7.44</v>
      </c>
      <c r="Q664">
        <v>8.1999999999999993</v>
      </c>
      <c r="R664">
        <v>2</v>
      </c>
      <c r="S664">
        <v>2.21</v>
      </c>
      <c r="T664">
        <v>1</v>
      </c>
      <c r="U664" t="s">
        <v>23</v>
      </c>
      <c r="V664" t="e">
        <f>IF(#REF! = "yes", 1, 0)</f>
        <v>#REF!</v>
      </c>
      <c r="W664" t="e">
        <f>IF(#REF! &lt;= 1, "0-1 Calls", IF(#REF! &lt;= 3, "2-3 Calls", IF(#REF! &lt;=5, "4-5 Calls", "6+ Calls")))</f>
        <v>#REF!</v>
      </c>
      <c r="X664" t="e">
        <f>IF(#REF! &lt;= 50, "0-50", IF(#REF! &lt;=100, "51-100", IF(#REF! &lt;= 150, "101-150", "151+")))</f>
        <v>#REF!</v>
      </c>
      <c r="Y664" t="e">
        <f>IF(#REF! &lt;= 3, "Low Charges", "High Charges")</f>
        <v>#REF!</v>
      </c>
      <c r="Z664" t="e">
        <f>IF(#REF!&lt;=80,"Low Calls",
IF(#REF!&lt;=120,"Medium Calls","High Calls"))</f>
        <v>#REF!</v>
      </c>
      <c r="AA664" t="e">
        <f>IF(#REF!&lt;=15,"Low Charges",
IF(#REF!&lt;=20,"Medium Charges","High Charges"))</f>
        <v>#REF!</v>
      </c>
      <c r="AB664" t="e">
        <f>IF(AND(#REF!&gt;180, #REF!&gt;200), "Heavy Doemstic User", IF(#REF!&gt;10, "Interntional User", IF(AND(#REF!&lt;180, #REF!&lt;200,#REF!&lt;200), "Light User", "Balanced User")))</f>
        <v>#REF!</v>
      </c>
      <c r="AC664" t="e">
        <f>IF(#REF! = 0, "No Usage", IF(#REF! &lt;= 20, "Low Usage", IF(#REF! &lt;= 40, "Medium Usgae", "High Usage")))</f>
        <v>#REF!</v>
      </c>
      <c r="AD664" t="e">
        <f>IF(#REF!&lt;=150,"Low Usage", IF(#REF!&lt;=200,"Medium Usage", IF(#REF!&lt;=250,"High Usage","Very High Usage")))</f>
        <v>#REF!</v>
      </c>
      <c r="AE664" t="e">
        <f>IF(#REF!&lt;=5,"Low Calls", IF(#REF!&lt;=10, "Medium Calls", "High Calls"))</f>
        <v>#REF!</v>
      </c>
      <c r="AF664" t="e">
        <f xml:space="preserve">
IF(#REF!&gt;=4,4,0)+
IF(#REF!="yes",3,0)+
IF(#REF!="High Charges",3,0)+
IF(#REF!&gt;250,4,0)+
IF(#REF!="no",1,0)+
IF(#REF!="Heavy Domestic User",2,0)</f>
        <v>#REF!</v>
      </c>
      <c r="AG664" t="e">
        <f>IF(#REF!&gt;=10,"High Risk", IF(#REF!&gt;=5,"Medium Risk","Low Risk"))</f>
        <v>#REF!</v>
      </c>
      <c r="AH664" t="e">
        <f>#REF! + #REF! + #REF! + #REF!</f>
        <v>#REF!</v>
      </c>
    </row>
    <row r="665" spans="1:34" x14ac:dyDescent="0.35">
      <c r="A665">
        <v>664</v>
      </c>
      <c r="B665" t="s">
        <v>45</v>
      </c>
      <c r="C665">
        <v>73</v>
      </c>
      <c r="D665" t="s">
        <v>25</v>
      </c>
      <c r="E665" t="s">
        <v>22</v>
      </c>
      <c r="F665" t="s">
        <v>22</v>
      </c>
      <c r="G665">
        <v>0</v>
      </c>
      <c r="H665">
        <v>187.3</v>
      </c>
      <c r="I665">
        <v>118</v>
      </c>
      <c r="J665">
        <v>31.84</v>
      </c>
      <c r="K665">
        <v>239.7</v>
      </c>
      <c r="L665">
        <v>90</v>
      </c>
      <c r="M665">
        <v>20.37</v>
      </c>
      <c r="N665">
        <v>167.5</v>
      </c>
      <c r="O665">
        <v>108</v>
      </c>
      <c r="P665">
        <v>7.54</v>
      </c>
      <c r="Q665">
        <v>15.1</v>
      </c>
      <c r="R665">
        <v>2</v>
      </c>
      <c r="S665">
        <v>4.08</v>
      </c>
      <c r="T665">
        <v>1</v>
      </c>
      <c r="U665" t="s">
        <v>22</v>
      </c>
      <c r="V665" t="e">
        <f>IF(#REF! = "yes", 1, 0)</f>
        <v>#REF!</v>
      </c>
      <c r="W665" t="e">
        <f>IF(#REF! &lt;= 1, "0-1 Calls", IF(#REF! &lt;= 3, "2-3 Calls", IF(#REF! &lt;=5, "4-5 Calls", "6+ Calls")))</f>
        <v>#REF!</v>
      </c>
      <c r="X665" t="e">
        <f>IF(#REF! &lt;= 50, "0-50", IF(#REF! &lt;=100, "51-100", IF(#REF! &lt;= 150, "101-150", "151+")))</f>
        <v>#REF!</v>
      </c>
      <c r="Y665" t="e">
        <f>IF(#REF! &lt;= 3, "Low Charges", "High Charges")</f>
        <v>#REF!</v>
      </c>
      <c r="Z665" t="e">
        <f>IF(#REF!&lt;=80,"Low Calls",
IF(#REF!&lt;=120,"Medium Calls","High Calls"))</f>
        <v>#REF!</v>
      </c>
      <c r="AA665" t="e">
        <f>IF(#REF!&lt;=15,"Low Charges",
IF(#REF!&lt;=20,"Medium Charges","High Charges"))</f>
        <v>#REF!</v>
      </c>
      <c r="AB665" t="e">
        <f>IF(AND(#REF!&gt;180, #REF!&gt;200), "Heavy Doemstic User", IF(#REF!&gt;10, "Interntional User", IF(AND(#REF!&lt;180, #REF!&lt;200,#REF!&lt;200), "Light User", "Balanced User")))</f>
        <v>#REF!</v>
      </c>
      <c r="AC665" t="e">
        <f>IF(#REF! = 0, "No Usage", IF(#REF! &lt;= 20, "Low Usage", IF(#REF! &lt;= 40, "Medium Usgae", "High Usage")))</f>
        <v>#REF!</v>
      </c>
      <c r="AD665" t="e">
        <f>IF(#REF!&lt;=150,"Low Usage", IF(#REF!&lt;=200,"Medium Usage", IF(#REF!&lt;=250,"High Usage","Very High Usage")))</f>
        <v>#REF!</v>
      </c>
      <c r="AE665" t="e">
        <f>IF(#REF!&lt;=5,"Low Calls", IF(#REF!&lt;=10, "Medium Calls", "High Calls"))</f>
        <v>#REF!</v>
      </c>
      <c r="AF665" t="e">
        <f xml:space="preserve">
IF(#REF!&gt;=4,4,0)+
IF(#REF!="yes",3,0)+
IF(#REF!="High Charges",3,0)+
IF(#REF!&gt;250,4,0)+
IF(#REF!="no",1,0)+
IF(#REF!="Heavy Domestic User",2,0)</f>
        <v>#REF!</v>
      </c>
      <c r="AG665" t="e">
        <f>IF(#REF!&gt;=10,"High Risk", IF(#REF!&gt;=5,"Medium Risk","Low Risk"))</f>
        <v>#REF!</v>
      </c>
      <c r="AH665" t="e">
        <f>#REF! + #REF! + #REF! + #REF!</f>
        <v>#REF!</v>
      </c>
    </row>
    <row r="666" spans="1:34" x14ac:dyDescent="0.35">
      <c r="A666">
        <v>665</v>
      </c>
      <c r="B666" t="s">
        <v>54</v>
      </c>
      <c r="C666">
        <v>92</v>
      </c>
      <c r="D666" t="s">
        <v>21</v>
      </c>
      <c r="E666" t="s">
        <v>22</v>
      </c>
      <c r="F666" t="s">
        <v>22</v>
      </c>
      <c r="G666">
        <v>0</v>
      </c>
      <c r="H666">
        <v>197</v>
      </c>
      <c r="I666">
        <v>84</v>
      </c>
      <c r="J666">
        <v>33.49</v>
      </c>
      <c r="K666">
        <v>269.3</v>
      </c>
      <c r="L666">
        <v>105</v>
      </c>
      <c r="M666">
        <v>22.89</v>
      </c>
      <c r="N666">
        <v>158.9</v>
      </c>
      <c r="O666">
        <v>105</v>
      </c>
      <c r="P666">
        <v>7.15</v>
      </c>
      <c r="Q666">
        <v>10.8</v>
      </c>
      <c r="R666">
        <v>4</v>
      </c>
      <c r="S666">
        <v>2.92</v>
      </c>
      <c r="T666">
        <v>1</v>
      </c>
      <c r="U666" t="s">
        <v>22</v>
      </c>
      <c r="V666" t="e">
        <f>IF(#REF! = "yes", 1, 0)</f>
        <v>#REF!</v>
      </c>
      <c r="W666" t="e">
        <f>IF(#REF! &lt;= 1, "0-1 Calls", IF(#REF! &lt;= 3, "2-3 Calls", IF(#REF! &lt;=5, "4-5 Calls", "6+ Calls")))</f>
        <v>#REF!</v>
      </c>
      <c r="X666" t="e">
        <f>IF(#REF! &lt;= 50, "0-50", IF(#REF! &lt;=100, "51-100", IF(#REF! &lt;= 150, "101-150", "151+")))</f>
        <v>#REF!</v>
      </c>
      <c r="Y666" t="e">
        <f>IF(#REF! &lt;= 3, "Low Charges", "High Charges")</f>
        <v>#REF!</v>
      </c>
      <c r="Z666" t="e">
        <f>IF(#REF!&lt;=80,"Low Calls",
IF(#REF!&lt;=120,"Medium Calls","High Calls"))</f>
        <v>#REF!</v>
      </c>
      <c r="AA666" t="e">
        <f>IF(#REF!&lt;=15,"Low Charges",
IF(#REF!&lt;=20,"Medium Charges","High Charges"))</f>
        <v>#REF!</v>
      </c>
      <c r="AB666" t="e">
        <f>IF(AND(#REF!&gt;180, #REF!&gt;200), "Heavy Doemstic User", IF(#REF!&gt;10, "Interntional User", IF(AND(#REF!&lt;180, #REF!&lt;200,#REF!&lt;200), "Light User", "Balanced User")))</f>
        <v>#REF!</v>
      </c>
      <c r="AC666" t="e">
        <f>IF(#REF! = 0, "No Usage", IF(#REF! &lt;= 20, "Low Usage", IF(#REF! &lt;= 40, "Medium Usgae", "High Usage")))</f>
        <v>#REF!</v>
      </c>
      <c r="AD666" t="e">
        <f>IF(#REF!&lt;=150,"Low Usage", IF(#REF!&lt;=200,"Medium Usage", IF(#REF!&lt;=250,"High Usage","Very High Usage")))</f>
        <v>#REF!</v>
      </c>
      <c r="AE666" t="e">
        <f>IF(#REF!&lt;=5,"Low Calls", IF(#REF!&lt;=10, "Medium Calls", "High Calls"))</f>
        <v>#REF!</v>
      </c>
      <c r="AF666" t="e">
        <f xml:space="preserve">
IF(#REF!&gt;=4,4,0)+
IF(#REF!="yes",3,0)+
IF(#REF!="High Charges",3,0)+
IF(#REF!&gt;250,4,0)+
IF(#REF!="no",1,0)+
IF(#REF!="Heavy Domestic User",2,0)</f>
        <v>#REF!</v>
      </c>
      <c r="AG666" t="e">
        <f>IF(#REF!&gt;=10,"High Risk", IF(#REF!&gt;=5,"Medium Risk","Low Risk"))</f>
        <v>#REF!</v>
      </c>
      <c r="AH666" t="e">
        <f>#REF! + #REF! + #REF! + #REF!</f>
        <v>#REF!</v>
      </c>
    </row>
    <row r="667" spans="1:34" x14ac:dyDescent="0.35">
      <c r="A667">
        <v>666</v>
      </c>
      <c r="B667" t="s">
        <v>42</v>
      </c>
      <c r="C667">
        <v>113</v>
      </c>
      <c r="D667" t="s">
        <v>21</v>
      </c>
      <c r="E667" t="s">
        <v>22</v>
      </c>
      <c r="F667" t="s">
        <v>23</v>
      </c>
      <c r="G667">
        <v>32</v>
      </c>
      <c r="H667">
        <v>180.4</v>
      </c>
      <c r="I667">
        <v>89</v>
      </c>
      <c r="J667">
        <v>30.67</v>
      </c>
      <c r="K667">
        <v>129.4</v>
      </c>
      <c r="L667">
        <v>124</v>
      </c>
      <c r="M667">
        <v>11</v>
      </c>
      <c r="N667">
        <v>166.9</v>
      </c>
      <c r="O667">
        <v>124</v>
      </c>
      <c r="P667">
        <v>7.51</v>
      </c>
      <c r="Q667">
        <v>8.4</v>
      </c>
      <c r="R667">
        <v>2</v>
      </c>
      <c r="S667">
        <v>2.27</v>
      </c>
      <c r="T667">
        <v>1</v>
      </c>
      <c r="U667" t="s">
        <v>22</v>
      </c>
      <c r="V667" t="e">
        <f>IF(#REF! = "yes", 1, 0)</f>
        <v>#REF!</v>
      </c>
      <c r="W667" t="e">
        <f>IF(#REF! &lt;= 1, "0-1 Calls", IF(#REF! &lt;= 3, "2-3 Calls", IF(#REF! &lt;=5, "4-5 Calls", "6+ Calls")))</f>
        <v>#REF!</v>
      </c>
      <c r="X667" t="e">
        <f>IF(#REF! &lt;= 50, "0-50", IF(#REF! &lt;=100, "51-100", IF(#REF! &lt;= 150, "101-150", "151+")))</f>
        <v>#REF!</v>
      </c>
      <c r="Y667" t="e">
        <f>IF(#REF! &lt;= 3, "Low Charges", "High Charges")</f>
        <v>#REF!</v>
      </c>
      <c r="Z667" t="e">
        <f>IF(#REF!&lt;=80,"Low Calls",
IF(#REF!&lt;=120,"Medium Calls","High Calls"))</f>
        <v>#REF!</v>
      </c>
      <c r="AA667" t="e">
        <f>IF(#REF!&lt;=15,"Low Charges",
IF(#REF!&lt;=20,"Medium Charges","High Charges"))</f>
        <v>#REF!</v>
      </c>
      <c r="AB667" t="e">
        <f>IF(AND(#REF!&gt;180, #REF!&gt;200), "Heavy Doemstic User", IF(#REF!&gt;10, "Interntional User", IF(AND(#REF!&lt;180, #REF!&lt;200,#REF!&lt;200), "Light User", "Balanced User")))</f>
        <v>#REF!</v>
      </c>
      <c r="AC667" t="e">
        <f>IF(#REF! = 0, "No Usage", IF(#REF! &lt;= 20, "Low Usage", IF(#REF! &lt;= 40, "Medium Usgae", "High Usage")))</f>
        <v>#REF!</v>
      </c>
      <c r="AD667" t="e">
        <f>IF(#REF!&lt;=150,"Low Usage", IF(#REF!&lt;=200,"Medium Usage", IF(#REF!&lt;=250,"High Usage","Very High Usage")))</f>
        <v>#REF!</v>
      </c>
      <c r="AE667" t="e">
        <f>IF(#REF!&lt;=5,"Low Calls", IF(#REF!&lt;=10, "Medium Calls", "High Calls"))</f>
        <v>#REF!</v>
      </c>
      <c r="AF667" t="e">
        <f xml:space="preserve">
IF(#REF!&gt;=4,4,0)+
IF(#REF!="yes",3,0)+
IF(#REF!="High Charges",3,0)+
IF(#REF!&gt;250,4,0)+
IF(#REF!="no",1,0)+
IF(#REF!="Heavy Domestic User",2,0)</f>
        <v>#REF!</v>
      </c>
      <c r="AG667" t="e">
        <f>IF(#REF!&gt;=10,"High Risk", IF(#REF!&gt;=5,"Medium Risk","Low Risk"))</f>
        <v>#REF!</v>
      </c>
      <c r="AH667" t="e">
        <f>#REF! + #REF! + #REF! + #REF!</f>
        <v>#REF!</v>
      </c>
    </row>
    <row r="668" spans="1:34" x14ac:dyDescent="0.35">
      <c r="A668">
        <v>667</v>
      </c>
      <c r="B668" t="s">
        <v>38</v>
      </c>
      <c r="C668">
        <v>68</v>
      </c>
      <c r="D668" t="s">
        <v>25</v>
      </c>
      <c r="E668" t="s">
        <v>23</v>
      </c>
      <c r="F668" t="s">
        <v>22</v>
      </c>
      <c r="G668">
        <v>0</v>
      </c>
      <c r="H668">
        <v>148.5</v>
      </c>
      <c r="I668">
        <v>126</v>
      </c>
      <c r="J668">
        <v>25.25</v>
      </c>
      <c r="K668">
        <v>219.4</v>
      </c>
      <c r="L668">
        <v>125</v>
      </c>
      <c r="M668">
        <v>18.649999999999999</v>
      </c>
      <c r="N668">
        <v>198.5</v>
      </c>
      <c r="O668">
        <v>121</v>
      </c>
      <c r="P668">
        <v>8.93</v>
      </c>
      <c r="Q668">
        <v>14.5</v>
      </c>
      <c r="R668">
        <v>7</v>
      </c>
      <c r="S668">
        <v>3.92</v>
      </c>
      <c r="T668">
        <v>1</v>
      </c>
      <c r="U668" t="s">
        <v>23</v>
      </c>
      <c r="V668" t="e">
        <f>IF(#REF! = "yes", 1, 0)</f>
        <v>#REF!</v>
      </c>
      <c r="W668" t="e">
        <f>IF(#REF! &lt;= 1, "0-1 Calls", IF(#REF! &lt;= 3, "2-3 Calls", IF(#REF! &lt;=5, "4-5 Calls", "6+ Calls")))</f>
        <v>#REF!</v>
      </c>
      <c r="X668" t="e">
        <f>IF(#REF! &lt;= 50, "0-50", IF(#REF! &lt;=100, "51-100", IF(#REF! &lt;= 150, "101-150", "151+")))</f>
        <v>#REF!</v>
      </c>
      <c r="Y668" t="e">
        <f>IF(#REF! &lt;= 3, "Low Charges", "High Charges")</f>
        <v>#REF!</v>
      </c>
      <c r="Z668" t="e">
        <f>IF(#REF!&lt;=80,"Low Calls",
IF(#REF!&lt;=120,"Medium Calls","High Calls"))</f>
        <v>#REF!</v>
      </c>
      <c r="AA668" t="e">
        <f>IF(#REF!&lt;=15,"Low Charges",
IF(#REF!&lt;=20,"Medium Charges","High Charges"))</f>
        <v>#REF!</v>
      </c>
      <c r="AB668" t="e">
        <f>IF(AND(#REF!&gt;180, #REF!&gt;200), "Heavy Doemstic User", IF(#REF!&gt;10, "Interntional User", IF(AND(#REF!&lt;180, #REF!&lt;200,#REF!&lt;200), "Light User", "Balanced User")))</f>
        <v>#REF!</v>
      </c>
      <c r="AC668" t="e">
        <f>IF(#REF! = 0, "No Usage", IF(#REF! &lt;= 20, "Low Usage", IF(#REF! &lt;= 40, "Medium Usgae", "High Usage")))</f>
        <v>#REF!</v>
      </c>
      <c r="AD668" t="e">
        <f>IF(#REF!&lt;=150,"Low Usage", IF(#REF!&lt;=200,"Medium Usage", IF(#REF!&lt;=250,"High Usage","Very High Usage")))</f>
        <v>#REF!</v>
      </c>
      <c r="AE668" t="e">
        <f>IF(#REF!&lt;=5,"Low Calls", IF(#REF!&lt;=10, "Medium Calls", "High Calls"))</f>
        <v>#REF!</v>
      </c>
      <c r="AF668" t="e">
        <f xml:space="preserve">
IF(#REF!&gt;=4,4,0)+
IF(#REF!="yes",3,0)+
IF(#REF!="High Charges",3,0)+
IF(#REF!&gt;250,4,0)+
IF(#REF!="no",1,0)+
IF(#REF!="Heavy Domestic User",2,0)</f>
        <v>#REF!</v>
      </c>
      <c r="AG668" t="e">
        <f>IF(#REF!&gt;=10,"High Risk", IF(#REF!&gt;=5,"Medium Risk","Low Risk"))</f>
        <v>#REF!</v>
      </c>
      <c r="AH668" t="e">
        <f>#REF! + #REF! + #REF! + #REF!</f>
        <v>#REF!</v>
      </c>
    </row>
    <row r="669" spans="1:34" x14ac:dyDescent="0.35">
      <c r="A669">
        <v>668</v>
      </c>
      <c r="B669" t="s">
        <v>48</v>
      </c>
      <c r="C669">
        <v>135</v>
      </c>
      <c r="D669" t="s">
        <v>21</v>
      </c>
      <c r="E669" t="s">
        <v>22</v>
      </c>
      <c r="F669" t="s">
        <v>23</v>
      </c>
      <c r="G669">
        <v>22</v>
      </c>
      <c r="H669">
        <v>197.1</v>
      </c>
      <c r="I669">
        <v>113</v>
      </c>
      <c r="J669">
        <v>33.51</v>
      </c>
      <c r="K669">
        <v>259.39999999999998</v>
      </c>
      <c r="L669">
        <v>95</v>
      </c>
      <c r="M669">
        <v>22.05</v>
      </c>
      <c r="N669">
        <v>134.69999999999999</v>
      </c>
      <c r="O669">
        <v>135</v>
      </c>
      <c r="P669">
        <v>6.06</v>
      </c>
      <c r="Q669">
        <v>14.6</v>
      </c>
      <c r="R669">
        <v>5</v>
      </c>
      <c r="S669">
        <v>3.94</v>
      </c>
      <c r="T669">
        <v>2</v>
      </c>
      <c r="U669" t="s">
        <v>22</v>
      </c>
      <c r="V669" t="e">
        <f>IF(#REF! = "yes", 1, 0)</f>
        <v>#REF!</v>
      </c>
      <c r="W669" t="e">
        <f>IF(#REF! &lt;= 1, "0-1 Calls", IF(#REF! &lt;= 3, "2-3 Calls", IF(#REF! &lt;=5, "4-5 Calls", "6+ Calls")))</f>
        <v>#REF!</v>
      </c>
      <c r="X669" t="e">
        <f>IF(#REF! &lt;= 50, "0-50", IF(#REF! &lt;=100, "51-100", IF(#REF! &lt;= 150, "101-150", "151+")))</f>
        <v>#REF!</v>
      </c>
      <c r="Y669" t="e">
        <f>IF(#REF! &lt;= 3, "Low Charges", "High Charges")</f>
        <v>#REF!</v>
      </c>
      <c r="Z669" t="e">
        <f>IF(#REF!&lt;=80,"Low Calls",
IF(#REF!&lt;=120,"Medium Calls","High Calls"))</f>
        <v>#REF!</v>
      </c>
      <c r="AA669" t="e">
        <f>IF(#REF!&lt;=15,"Low Charges",
IF(#REF!&lt;=20,"Medium Charges","High Charges"))</f>
        <v>#REF!</v>
      </c>
      <c r="AB669" t="e">
        <f>IF(AND(#REF!&gt;180, #REF!&gt;200), "Heavy Doemstic User", IF(#REF!&gt;10, "Interntional User", IF(AND(#REF!&lt;180, #REF!&lt;200,#REF!&lt;200), "Light User", "Balanced User")))</f>
        <v>#REF!</v>
      </c>
      <c r="AC669" t="e">
        <f>IF(#REF! = 0, "No Usage", IF(#REF! &lt;= 20, "Low Usage", IF(#REF! &lt;= 40, "Medium Usgae", "High Usage")))</f>
        <v>#REF!</v>
      </c>
      <c r="AD669" t="e">
        <f>IF(#REF!&lt;=150,"Low Usage", IF(#REF!&lt;=200,"Medium Usage", IF(#REF!&lt;=250,"High Usage","Very High Usage")))</f>
        <v>#REF!</v>
      </c>
      <c r="AE669" t="e">
        <f>IF(#REF!&lt;=5,"Low Calls", IF(#REF!&lt;=10, "Medium Calls", "High Calls"))</f>
        <v>#REF!</v>
      </c>
      <c r="AF669" t="e">
        <f xml:space="preserve">
IF(#REF!&gt;=4,4,0)+
IF(#REF!="yes",3,0)+
IF(#REF!="High Charges",3,0)+
IF(#REF!&gt;250,4,0)+
IF(#REF!="no",1,0)+
IF(#REF!="Heavy Domestic User",2,0)</f>
        <v>#REF!</v>
      </c>
      <c r="AG669" t="e">
        <f>IF(#REF!&gt;=10,"High Risk", IF(#REF!&gt;=5,"Medium Risk","Low Risk"))</f>
        <v>#REF!</v>
      </c>
      <c r="AH669" t="e">
        <f>#REF! + #REF! + #REF! + #REF!</f>
        <v>#REF!</v>
      </c>
    </row>
    <row r="670" spans="1:34" x14ac:dyDescent="0.35">
      <c r="A670">
        <v>669</v>
      </c>
      <c r="B670" t="s">
        <v>42</v>
      </c>
      <c r="C670">
        <v>100</v>
      </c>
      <c r="D670" t="s">
        <v>21</v>
      </c>
      <c r="E670" t="s">
        <v>22</v>
      </c>
      <c r="F670" t="s">
        <v>23</v>
      </c>
      <c r="G670">
        <v>26</v>
      </c>
      <c r="H670">
        <v>153.69999999999999</v>
      </c>
      <c r="I670">
        <v>115</v>
      </c>
      <c r="J670">
        <v>26.13</v>
      </c>
      <c r="K670">
        <v>137.80000000000001</v>
      </c>
      <c r="L670">
        <v>146</v>
      </c>
      <c r="M670">
        <v>11.71</v>
      </c>
      <c r="N670">
        <v>213.5</v>
      </c>
      <c r="O670">
        <v>104</v>
      </c>
      <c r="P670">
        <v>9.61</v>
      </c>
      <c r="Q670">
        <v>15.9</v>
      </c>
      <c r="R670">
        <v>5</v>
      </c>
      <c r="S670">
        <v>4.29</v>
      </c>
      <c r="T670">
        <v>1</v>
      </c>
      <c r="U670" t="s">
        <v>22</v>
      </c>
      <c r="V670" t="e">
        <f>IF(#REF! = "yes", 1, 0)</f>
        <v>#REF!</v>
      </c>
      <c r="W670" t="e">
        <f>IF(#REF! &lt;= 1, "0-1 Calls", IF(#REF! &lt;= 3, "2-3 Calls", IF(#REF! &lt;=5, "4-5 Calls", "6+ Calls")))</f>
        <v>#REF!</v>
      </c>
      <c r="X670" t="e">
        <f>IF(#REF! &lt;= 50, "0-50", IF(#REF! &lt;=100, "51-100", IF(#REF! &lt;= 150, "101-150", "151+")))</f>
        <v>#REF!</v>
      </c>
      <c r="Y670" t="e">
        <f>IF(#REF! &lt;= 3, "Low Charges", "High Charges")</f>
        <v>#REF!</v>
      </c>
      <c r="Z670" t="e">
        <f>IF(#REF!&lt;=80,"Low Calls",
IF(#REF!&lt;=120,"Medium Calls","High Calls"))</f>
        <v>#REF!</v>
      </c>
      <c r="AA670" t="e">
        <f>IF(#REF!&lt;=15,"Low Charges",
IF(#REF!&lt;=20,"Medium Charges","High Charges"))</f>
        <v>#REF!</v>
      </c>
      <c r="AB670" t="e">
        <f>IF(AND(#REF!&gt;180, #REF!&gt;200), "Heavy Doemstic User", IF(#REF!&gt;10, "Interntional User", IF(AND(#REF!&lt;180, #REF!&lt;200,#REF!&lt;200), "Light User", "Balanced User")))</f>
        <v>#REF!</v>
      </c>
      <c r="AC670" t="e">
        <f>IF(#REF! = 0, "No Usage", IF(#REF! &lt;= 20, "Low Usage", IF(#REF! &lt;= 40, "Medium Usgae", "High Usage")))</f>
        <v>#REF!</v>
      </c>
      <c r="AD670" t="e">
        <f>IF(#REF!&lt;=150,"Low Usage", IF(#REF!&lt;=200,"Medium Usage", IF(#REF!&lt;=250,"High Usage","Very High Usage")))</f>
        <v>#REF!</v>
      </c>
      <c r="AE670" t="e">
        <f>IF(#REF!&lt;=5,"Low Calls", IF(#REF!&lt;=10, "Medium Calls", "High Calls"))</f>
        <v>#REF!</v>
      </c>
      <c r="AF670" t="e">
        <f xml:space="preserve">
IF(#REF!&gt;=4,4,0)+
IF(#REF!="yes",3,0)+
IF(#REF!="High Charges",3,0)+
IF(#REF!&gt;250,4,0)+
IF(#REF!="no",1,0)+
IF(#REF!="Heavy Domestic User",2,0)</f>
        <v>#REF!</v>
      </c>
      <c r="AG670" t="e">
        <f>IF(#REF!&gt;=10,"High Risk", IF(#REF!&gt;=5,"Medium Risk","Low Risk"))</f>
        <v>#REF!</v>
      </c>
      <c r="AH670" t="e">
        <f>#REF! + #REF! + #REF! + #REF!</f>
        <v>#REF!</v>
      </c>
    </row>
    <row r="671" spans="1:34" x14ac:dyDescent="0.35">
      <c r="A671">
        <v>670</v>
      </c>
      <c r="B671" t="s">
        <v>60</v>
      </c>
      <c r="C671">
        <v>96</v>
      </c>
      <c r="D671" t="s">
        <v>21</v>
      </c>
      <c r="E671" t="s">
        <v>22</v>
      </c>
      <c r="F671" t="s">
        <v>23</v>
      </c>
      <c r="G671">
        <v>27</v>
      </c>
      <c r="H671">
        <v>261.3</v>
      </c>
      <c r="I671">
        <v>96</v>
      </c>
      <c r="J671">
        <v>44.42</v>
      </c>
      <c r="K671">
        <v>220.9</v>
      </c>
      <c r="L671">
        <v>101</v>
      </c>
      <c r="M671">
        <v>18.78</v>
      </c>
      <c r="N671">
        <v>179.4</v>
      </c>
      <c r="O671">
        <v>97</v>
      </c>
      <c r="P671">
        <v>8.07</v>
      </c>
      <c r="Q671">
        <v>11.3</v>
      </c>
      <c r="R671">
        <v>2</v>
      </c>
      <c r="S671">
        <v>3.05</v>
      </c>
      <c r="T671">
        <v>1</v>
      </c>
      <c r="U671" t="s">
        <v>22</v>
      </c>
      <c r="V671" t="e">
        <f>IF(#REF! = "yes", 1, 0)</f>
        <v>#REF!</v>
      </c>
      <c r="W671" t="e">
        <f>IF(#REF! &lt;= 1, "0-1 Calls", IF(#REF! &lt;= 3, "2-3 Calls", IF(#REF! &lt;=5, "4-5 Calls", "6+ Calls")))</f>
        <v>#REF!</v>
      </c>
      <c r="X671" t="e">
        <f>IF(#REF! &lt;= 50, "0-50", IF(#REF! &lt;=100, "51-100", IF(#REF! &lt;= 150, "101-150", "151+")))</f>
        <v>#REF!</v>
      </c>
      <c r="Y671" t="e">
        <f>IF(#REF! &lt;= 3, "Low Charges", "High Charges")</f>
        <v>#REF!</v>
      </c>
      <c r="Z671" t="e">
        <f>IF(#REF!&lt;=80,"Low Calls",
IF(#REF!&lt;=120,"Medium Calls","High Calls"))</f>
        <v>#REF!</v>
      </c>
      <c r="AA671" t="e">
        <f>IF(#REF!&lt;=15,"Low Charges",
IF(#REF!&lt;=20,"Medium Charges","High Charges"))</f>
        <v>#REF!</v>
      </c>
      <c r="AB671" t="e">
        <f>IF(AND(#REF!&gt;180, #REF!&gt;200), "Heavy Doemstic User", IF(#REF!&gt;10, "Interntional User", IF(AND(#REF!&lt;180, #REF!&lt;200,#REF!&lt;200), "Light User", "Balanced User")))</f>
        <v>#REF!</v>
      </c>
      <c r="AC671" t="e">
        <f>IF(#REF! = 0, "No Usage", IF(#REF! &lt;= 20, "Low Usage", IF(#REF! &lt;= 40, "Medium Usgae", "High Usage")))</f>
        <v>#REF!</v>
      </c>
      <c r="AD671" t="e">
        <f>IF(#REF!&lt;=150,"Low Usage", IF(#REF!&lt;=200,"Medium Usage", IF(#REF!&lt;=250,"High Usage","Very High Usage")))</f>
        <v>#REF!</v>
      </c>
      <c r="AE671" t="e">
        <f>IF(#REF!&lt;=5,"Low Calls", IF(#REF!&lt;=10, "Medium Calls", "High Calls"))</f>
        <v>#REF!</v>
      </c>
      <c r="AF671" t="e">
        <f xml:space="preserve">
IF(#REF!&gt;=4,4,0)+
IF(#REF!="yes",3,0)+
IF(#REF!="High Charges",3,0)+
IF(#REF!&gt;250,4,0)+
IF(#REF!="no",1,0)+
IF(#REF!="Heavy Domestic User",2,0)</f>
        <v>#REF!</v>
      </c>
      <c r="AG671" t="e">
        <f>IF(#REF!&gt;=10,"High Risk", IF(#REF!&gt;=5,"Medium Risk","Low Risk"))</f>
        <v>#REF!</v>
      </c>
      <c r="AH671" t="e">
        <f>#REF! + #REF! + #REF! + #REF!</f>
        <v>#REF!</v>
      </c>
    </row>
    <row r="672" spans="1:34" x14ac:dyDescent="0.35">
      <c r="A672">
        <v>671</v>
      </c>
      <c r="B672" t="s">
        <v>66</v>
      </c>
      <c r="C672">
        <v>108</v>
      </c>
      <c r="D672" t="s">
        <v>28</v>
      </c>
      <c r="E672" t="s">
        <v>22</v>
      </c>
      <c r="F672" t="s">
        <v>22</v>
      </c>
      <c r="G672">
        <v>0</v>
      </c>
      <c r="H672">
        <v>246.2</v>
      </c>
      <c r="I672">
        <v>102</v>
      </c>
      <c r="J672">
        <v>41.85</v>
      </c>
      <c r="K672">
        <v>202.4</v>
      </c>
      <c r="L672">
        <v>134</v>
      </c>
      <c r="M672">
        <v>17.2</v>
      </c>
      <c r="N672">
        <v>180.1</v>
      </c>
      <c r="O672">
        <v>95</v>
      </c>
      <c r="P672">
        <v>8.1</v>
      </c>
      <c r="Q672">
        <v>9.4</v>
      </c>
      <c r="R672">
        <v>5</v>
      </c>
      <c r="S672">
        <v>2.54</v>
      </c>
      <c r="T672">
        <v>1</v>
      </c>
      <c r="U672" t="s">
        <v>22</v>
      </c>
      <c r="V672" t="e">
        <f>IF(#REF! = "yes", 1, 0)</f>
        <v>#REF!</v>
      </c>
      <c r="W672" t="e">
        <f>IF(#REF! &lt;= 1, "0-1 Calls", IF(#REF! &lt;= 3, "2-3 Calls", IF(#REF! &lt;=5, "4-5 Calls", "6+ Calls")))</f>
        <v>#REF!</v>
      </c>
      <c r="X672" t="e">
        <f>IF(#REF! &lt;= 50, "0-50", IF(#REF! &lt;=100, "51-100", IF(#REF! &lt;= 150, "101-150", "151+")))</f>
        <v>#REF!</v>
      </c>
      <c r="Y672" t="e">
        <f>IF(#REF! &lt;= 3, "Low Charges", "High Charges")</f>
        <v>#REF!</v>
      </c>
      <c r="Z672" t="e">
        <f>IF(#REF!&lt;=80,"Low Calls",
IF(#REF!&lt;=120,"Medium Calls","High Calls"))</f>
        <v>#REF!</v>
      </c>
      <c r="AA672" t="e">
        <f>IF(#REF!&lt;=15,"Low Charges",
IF(#REF!&lt;=20,"Medium Charges","High Charges"))</f>
        <v>#REF!</v>
      </c>
      <c r="AB672" t="e">
        <f>IF(AND(#REF!&gt;180, #REF!&gt;200), "Heavy Doemstic User", IF(#REF!&gt;10, "Interntional User", IF(AND(#REF!&lt;180, #REF!&lt;200,#REF!&lt;200), "Light User", "Balanced User")))</f>
        <v>#REF!</v>
      </c>
      <c r="AC672" t="e">
        <f>IF(#REF! = 0, "No Usage", IF(#REF! &lt;= 20, "Low Usage", IF(#REF! &lt;= 40, "Medium Usgae", "High Usage")))</f>
        <v>#REF!</v>
      </c>
      <c r="AD672" t="e">
        <f>IF(#REF!&lt;=150,"Low Usage", IF(#REF!&lt;=200,"Medium Usage", IF(#REF!&lt;=250,"High Usage","Very High Usage")))</f>
        <v>#REF!</v>
      </c>
      <c r="AE672" t="e">
        <f>IF(#REF!&lt;=5,"Low Calls", IF(#REF!&lt;=10, "Medium Calls", "High Calls"))</f>
        <v>#REF!</v>
      </c>
      <c r="AF672" t="e">
        <f xml:space="preserve">
IF(#REF!&gt;=4,4,0)+
IF(#REF!="yes",3,0)+
IF(#REF!="High Charges",3,0)+
IF(#REF!&gt;250,4,0)+
IF(#REF!="no",1,0)+
IF(#REF!="Heavy Domestic User",2,0)</f>
        <v>#REF!</v>
      </c>
      <c r="AG672" t="e">
        <f>IF(#REF!&gt;=10,"High Risk", IF(#REF!&gt;=5,"Medium Risk","Low Risk"))</f>
        <v>#REF!</v>
      </c>
      <c r="AH672" t="e">
        <f>#REF! + #REF! + #REF! + #REF!</f>
        <v>#REF!</v>
      </c>
    </row>
    <row r="673" spans="1:34" x14ac:dyDescent="0.35">
      <c r="A673">
        <v>672</v>
      </c>
      <c r="B673" t="s">
        <v>40</v>
      </c>
      <c r="C673">
        <v>84</v>
      </c>
      <c r="D673" t="s">
        <v>28</v>
      </c>
      <c r="E673" t="s">
        <v>22</v>
      </c>
      <c r="F673" t="s">
        <v>22</v>
      </c>
      <c r="G673">
        <v>0</v>
      </c>
      <c r="H673">
        <v>191</v>
      </c>
      <c r="I673">
        <v>88</v>
      </c>
      <c r="J673">
        <v>32.47</v>
      </c>
      <c r="K673">
        <v>318.8</v>
      </c>
      <c r="L673">
        <v>119</v>
      </c>
      <c r="M673">
        <v>27.1</v>
      </c>
      <c r="N673">
        <v>247.3</v>
      </c>
      <c r="O673">
        <v>79</v>
      </c>
      <c r="P673">
        <v>11.13</v>
      </c>
      <c r="Q673">
        <v>6.5</v>
      </c>
      <c r="R673">
        <v>4</v>
      </c>
      <c r="S673">
        <v>1.76</v>
      </c>
      <c r="T673">
        <v>0</v>
      </c>
      <c r="U673" t="s">
        <v>22</v>
      </c>
      <c r="V673" t="e">
        <f>IF(#REF! = "yes", 1, 0)</f>
        <v>#REF!</v>
      </c>
      <c r="W673" t="e">
        <f>IF(#REF! &lt;= 1, "0-1 Calls", IF(#REF! &lt;= 3, "2-3 Calls", IF(#REF! &lt;=5, "4-5 Calls", "6+ Calls")))</f>
        <v>#REF!</v>
      </c>
      <c r="X673" t="e">
        <f>IF(#REF! &lt;= 50, "0-50", IF(#REF! &lt;=100, "51-100", IF(#REF! &lt;= 150, "101-150", "151+")))</f>
        <v>#REF!</v>
      </c>
      <c r="Y673" t="e">
        <f>IF(#REF! &lt;= 3, "Low Charges", "High Charges")</f>
        <v>#REF!</v>
      </c>
      <c r="Z673" t="e">
        <f>IF(#REF!&lt;=80,"Low Calls",
IF(#REF!&lt;=120,"Medium Calls","High Calls"))</f>
        <v>#REF!</v>
      </c>
      <c r="AA673" t="e">
        <f>IF(#REF!&lt;=15,"Low Charges",
IF(#REF!&lt;=20,"Medium Charges","High Charges"))</f>
        <v>#REF!</v>
      </c>
      <c r="AB673" t="e">
        <f>IF(AND(#REF!&gt;180, #REF!&gt;200), "Heavy Doemstic User", IF(#REF!&gt;10, "Interntional User", IF(AND(#REF!&lt;180, #REF!&lt;200,#REF!&lt;200), "Light User", "Balanced User")))</f>
        <v>#REF!</v>
      </c>
      <c r="AC673" t="e">
        <f>IF(#REF! = 0, "No Usage", IF(#REF! &lt;= 20, "Low Usage", IF(#REF! &lt;= 40, "Medium Usgae", "High Usage")))</f>
        <v>#REF!</v>
      </c>
      <c r="AD673" t="e">
        <f>IF(#REF!&lt;=150,"Low Usage", IF(#REF!&lt;=200,"Medium Usage", IF(#REF!&lt;=250,"High Usage","Very High Usage")))</f>
        <v>#REF!</v>
      </c>
      <c r="AE673" t="e">
        <f>IF(#REF!&lt;=5,"Low Calls", IF(#REF!&lt;=10, "Medium Calls", "High Calls"))</f>
        <v>#REF!</v>
      </c>
      <c r="AF673" t="e">
        <f xml:space="preserve">
IF(#REF!&gt;=4,4,0)+
IF(#REF!="yes",3,0)+
IF(#REF!="High Charges",3,0)+
IF(#REF!&gt;250,4,0)+
IF(#REF!="no",1,0)+
IF(#REF!="Heavy Domestic User",2,0)</f>
        <v>#REF!</v>
      </c>
      <c r="AG673" t="e">
        <f>IF(#REF!&gt;=10,"High Risk", IF(#REF!&gt;=5,"Medium Risk","Low Risk"))</f>
        <v>#REF!</v>
      </c>
      <c r="AH673" t="e">
        <f>#REF! + #REF! + #REF! + #REF!</f>
        <v>#REF!</v>
      </c>
    </row>
    <row r="674" spans="1:34" x14ac:dyDescent="0.35">
      <c r="A674">
        <v>673</v>
      </c>
      <c r="B674" t="s">
        <v>59</v>
      </c>
      <c r="C674">
        <v>134</v>
      </c>
      <c r="D674" t="s">
        <v>25</v>
      </c>
      <c r="E674" t="s">
        <v>22</v>
      </c>
      <c r="F674" t="s">
        <v>22</v>
      </c>
      <c r="G674">
        <v>0</v>
      </c>
      <c r="H674">
        <v>208.3</v>
      </c>
      <c r="I674">
        <v>86</v>
      </c>
      <c r="J674">
        <v>35.409999999999997</v>
      </c>
      <c r="K674">
        <v>253.6</v>
      </c>
      <c r="L674">
        <v>89</v>
      </c>
      <c r="M674">
        <v>21.56</v>
      </c>
      <c r="N674">
        <v>291</v>
      </c>
      <c r="O674">
        <v>86</v>
      </c>
      <c r="P674">
        <v>13.1</v>
      </c>
      <c r="Q674">
        <v>12.6</v>
      </c>
      <c r="R674">
        <v>3</v>
      </c>
      <c r="S674">
        <v>3.4</v>
      </c>
      <c r="T674">
        <v>1</v>
      </c>
      <c r="U674" t="s">
        <v>22</v>
      </c>
      <c r="V674" t="e">
        <f>IF(#REF! = "yes", 1, 0)</f>
        <v>#REF!</v>
      </c>
      <c r="W674" t="e">
        <f>IF(#REF! &lt;= 1, "0-1 Calls", IF(#REF! &lt;= 3, "2-3 Calls", IF(#REF! &lt;=5, "4-5 Calls", "6+ Calls")))</f>
        <v>#REF!</v>
      </c>
      <c r="X674" t="e">
        <f>IF(#REF! &lt;= 50, "0-50", IF(#REF! &lt;=100, "51-100", IF(#REF! &lt;= 150, "101-150", "151+")))</f>
        <v>#REF!</v>
      </c>
      <c r="Y674" t="e">
        <f>IF(#REF! &lt;= 3, "Low Charges", "High Charges")</f>
        <v>#REF!</v>
      </c>
      <c r="Z674" t="e">
        <f>IF(#REF!&lt;=80,"Low Calls",
IF(#REF!&lt;=120,"Medium Calls","High Calls"))</f>
        <v>#REF!</v>
      </c>
      <c r="AA674" t="e">
        <f>IF(#REF!&lt;=15,"Low Charges",
IF(#REF!&lt;=20,"Medium Charges","High Charges"))</f>
        <v>#REF!</v>
      </c>
      <c r="AB674" t="e">
        <f>IF(AND(#REF!&gt;180, #REF!&gt;200), "Heavy Doemstic User", IF(#REF!&gt;10, "Interntional User", IF(AND(#REF!&lt;180, #REF!&lt;200,#REF!&lt;200), "Light User", "Balanced User")))</f>
        <v>#REF!</v>
      </c>
      <c r="AC674" t="e">
        <f>IF(#REF! = 0, "No Usage", IF(#REF! &lt;= 20, "Low Usage", IF(#REF! &lt;= 40, "Medium Usgae", "High Usage")))</f>
        <v>#REF!</v>
      </c>
      <c r="AD674" t="e">
        <f>IF(#REF!&lt;=150,"Low Usage", IF(#REF!&lt;=200,"Medium Usage", IF(#REF!&lt;=250,"High Usage","Very High Usage")))</f>
        <v>#REF!</v>
      </c>
      <c r="AE674" t="e">
        <f>IF(#REF!&lt;=5,"Low Calls", IF(#REF!&lt;=10, "Medium Calls", "High Calls"))</f>
        <v>#REF!</v>
      </c>
      <c r="AF674" t="e">
        <f xml:space="preserve">
IF(#REF!&gt;=4,4,0)+
IF(#REF!="yes",3,0)+
IF(#REF!="High Charges",3,0)+
IF(#REF!&gt;250,4,0)+
IF(#REF!="no",1,0)+
IF(#REF!="Heavy Domestic User",2,0)</f>
        <v>#REF!</v>
      </c>
      <c r="AG674" t="e">
        <f>IF(#REF!&gt;=10,"High Risk", IF(#REF!&gt;=5,"Medium Risk","Low Risk"))</f>
        <v>#REF!</v>
      </c>
      <c r="AH674" t="e">
        <f>#REF! + #REF! + #REF! + #REF!</f>
        <v>#REF!</v>
      </c>
    </row>
    <row r="675" spans="1:34" x14ac:dyDescent="0.35">
      <c r="A675">
        <v>674</v>
      </c>
      <c r="B675" t="s">
        <v>35</v>
      </c>
      <c r="C675">
        <v>72</v>
      </c>
      <c r="D675" t="s">
        <v>21</v>
      </c>
      <c r="E675" t="s">
        <v>22</v>
      </c>
      <c r="F675" t="s">
        <v>22</v>
      </c>
      <c r="G675">
        <v>0</v>
      </c>
      <c r="H675">
        <v>253</v>
      </c>
      <c r="I675">
        <v>73</v>
      </c>
      <c r="J675">
        <v>43.01</v>
      </c>
      <c r="K675">
        <v>219.3</v>
      </c>
      <c r="L675">
        <v>78</v>
      </c>
      <c r="M675">
        <v>18.64</v>
      </c>
      <c r="N675">
        <v>210.8</v>
      </c>
      <c r="O675">
        <v>89</v>
      </c>
      <c r="P675">
        <v>9.49</v>
      </c>
      <c r="Q675">
        <v>9.8000000000000007</v>
      </c>
      <c r="R675">
        <v>4</v>
      </c>
      <c r="S675">
        <v>2.65</v>
      </c>
      <c r="T675">
        <v>0</v>
      </c>
      <c r="U675" t="s">
        <v>22</v>
      </c>
      <c r="V675" t="e">
        <f>IF(#REF! = "yes", 1, 0)</f>
        <v>#REF!</v>
      </c>
      <c r="W675" t="e">
        <f>IF(#REF! &lt;= 1, "0-1 Calls", IF(#REF! &lt;= 3, "2-3 Calls", IF(#REF! &lt;=5, "4-5 Calls", "6+ Calls")))</f>
        <v>#REF!</v>
      </c>
      <c r="X675" t="e">
        <f>IF(#REF! &lt;= 50, "0-50", IF(#REF! &lt;=100, "51-100", IF(#REF! &lt;= 150, "101-150", "151+")))</f>
        <v>#REF!</v>
      </c>
      <c r="Y675" t="e">
        <f>IF(#REF! &lt;= 3, "Low Charges", "High Charges")</f>
        <v>#REF!</v>
      </c>
      <c r="Z675" t="e">
        <f>IF(#REF!&lt;=80,"Low Calls",
IF(#REF!&lt;=120,"Medium Calls","High Calls"))</f>
        <v>#REF!</v>
      </c>
      <c r="AA675" t="e">
        <f>IF(#REF!&lt;=15,"Low Charges",
IF(#REF!&lt;=20,"Medium Charges","High Charges"))</f>
        <v>#REF!</v>
      </c>
      <c r="AB675" t="e">
        <f>IF(AND(#REF!&gt;180, #REF!&gt;200), "Heavy Doemstic User", IF(#REF!&gt;10, "Interntional User", IF(AND(#REF!&lt;180, #REF!&lt;200,#REF!&lt;200), "Light User", "Balanced User")))</f>
        <v>#REF!</v>
      </c>
      <c r="AC675" t="e">
        <f>IF(#REF! = 0, "No Usage", IF(#REF! &lt;= 20, "Low Usage", IF(#REF! &lt;= 40, "Medium Usgae", "High Usage")))</f>
        <v>#REF!</v>
      </c>
      <c r="AD675" t="e">
        <f>IF(#REF!&lt;=150,"Low Usage", IF(#REF!&lt;=200,"Medium Usage", IF(#REF!&lt;=250,"High Usage","Very High Usage")))</f>
        <v>#REF!</v>
      </c>
      <c r="AE675" t="e">
        <f>IF(#REF!&lt;=5,"Low Calls", IF(#REF!&lt;=10, "Medium Calls", "High Calls"))</f>
        <v>#REF!</v>
      </c>
      <c r="AF675" t="e">
        <f xml:space="preserve">
IF(#REF!&gt;=4,4,0)+
IF(#REF!="yes",3,0)+
IF(#REF!="High Charges",3,0)+
IF(#REF!&gt;250,4,0)+
IF(#REF!="no",1,0)+
IF(#REF!="Heavy Domestic User",2,0)</f>
        <v>#REF!</v>
      </c>
      <c r="AG675" t="e">
        <f>IF(#REF!&gt;=10,"High Risk", IF(#REF!&gt;=5,"Medium Risk","Low Risk"))</f>
        <v>#REF!</v>
      </c>
      <c r="AH675" t="e">
        <f>#REF! + #REF! + #REF! + #REF!</f>
        <v>#REF!</v>
      </c>
    </row>
    <row r="676" spans="1:34" x14ac:dyDescent="0.35">
      <c r="A676">
        <v>675</v>
      </c>
      <c r="B676" t="s">
        <v>68</v>
      </c>
      <c r="C676">
        <v>83</v>
      </c>
      <c r="D676" t="s">
        <v>25</v>
      </c>
      <c r="E676" t="s">
        <v>22</v>
      </c>
      <c r="F676" t="s">
        <v>22</v>
      </c>
      <c r="G676">
        <v>0</v>
      </c>
      <c r="H676">
        <v>202.3</v>
      </c>
      <c r="I676">
        <v>87</v>
      </c>
      <c r="J676">
        <v>34.39</v>
      </c>
      <c r="K676">
        <v>201.5</v>
      </c>
      <c r="L676">
        <v>111</v>
      </c>
      <c r="M676">
        <v>17.13</v>
      </c>
      <c r="N676">
        <v>101.7</v>
      </c>
      <c r="O676">
        <v>82</v>
      </c>
      <c r="P676">
        <v>4.58</v>
      </c>
      <c r="Q676">
        <v>6.8</v>
      </c>
      <c r="R676">
        <v>4</v>
      </c>
      <c r="S676">
        <v>1.84</v>
      </c>
      <c r="T676">
        <v>0</v>
      </c>
      <c r="U676" t="s">
        <v>22</v>
      </c>
      <c r="V676" t="e">
        <f>IF(#REF! = "yes", 1, 0)</f>
        <v>#REF!</v>
      </c>
      <c r="W676" t="e">
        <f>IF(#REF! &lt;= 1, "0-1 Calls", IF(#REF! &lt;= 3, "2-3 Calls", IF(#REF! &lt;=5, "4-5 Calls", "6+ Calls")))</f>
        <v>#REF!</v>
      </c>
      <c r="X676" t="e">
        <f>IF(#REF! &lt;= 50, "0-50", IF(#REF! &lt;=100, "51-100", IF(#REF! &lt;= 150, "101-150", "151+")))</f>
        <v>#REF!</v>
      </c>
      <c r="Y676" t="e">
        <f>IF(#REF! &lt;= 3, "Low Charges", "High Charges")</f>
        <v>#REF!</v>
      </c>
      <c r="Z676" t="e">
        <f>IF(#REF!&lt;=80,"Low Calls",
IF(#REF!&lt;=120,"Medium Calls","High Calls"))</f>
        <v>#REF!</v>
      </c>
      <c r="AA676" t="e">
        <f>IF(#REF!&lt;=15,"Low Charges",
IF(#REF!&lt;=20,"Medium Charges","High Charges"))</f>
        <v>#REF!</v>
      </c>
      <c r="AB676" t="e">
        <f>IF(AND(#REF!&gt;180, #REF!&gt;200), "Heavy Doemstic User", IF(#REF!&gt;10, "Interntional User", IF(AND(#REF!&lt;180, #REF!&lt;200,#REF!&lt;200), "Light User", "Balanced User")))</f>
        <v>#REF!</v>
      </c>
      <c r="AC676" t="e">
        <f>IF(#REF! = 0, "No Usage", IF(#REF! &lt;= 20, "Low Usage", IF(#REF! &lt;= 40, "Medium Usgae", "High Usage")))</f>
        <v>#REF!</v>
      </c>
      <c r="AD676" t="e">
        <f>IF(#REF!&lt;=150,"Low Usage", IF(#REF!&lt;=200,"Medium Usage", IF(#REF!&lt;=250,"High Usage","Very High Usage")))</f>
        <v>#REF!</v>
      </c>
      <c r="AE676" t="e">
        <f>IF(#REF!&lt;=5,"Low Calls", IF(#REF!&lt;=10, "Medium Calls", "High Calls"))</f>
        <v>#REF!</v>
      </c>
      <c r="AF676" t="e">
        <f xml:space="preserve">
IF(#REF!&gt;=4,4,0)+
IF(#REF!="yes",3,0)+
IF(#REF!="High Charges",3,0)+
IF(#REF!&gt;250,4,0)+
IF(#REF!="no",1,0)+
IF(#REF!="Heavy Domestic User",2,0)</f>
        <v>#REF!</v>
      </c>
      <c r="AG676" t="e">
        <f>IF(#REF!&gt;=10,"High Risk", IF(#REF!&gt;=5,"Medium Risk","Low Risk"))</f>
        <v>#REF!</v>
      </c>
      <c r="AH676" t="e">
        <f>#REF! + #REF! + #REF! + #REF!</f>
        <v>#REF!</v>
      </c>
    </row>
    <row r="677" spans="1:34" x14ac:dyDescent="0.35">
      <c r="A677">
        <v>676</v>
      </c>
      <c r="B677" t="s">
        <v>48</v>
      </c>
      <c r="C677">
        <v>56</v>
      </c>
      <c r="D677" t="s">
        <v>21</v>
      </c>
      <c r="E677" t="s">
        <v>22</v>
      </c>
      <c r="F677" t="s">
        <v>23</v>
      </c>
      <c r="G677">
        <v>30</v>
      </c>
      <c r="H677">
        <v>127.1</v>
      </c>
      <c r="I677">
        <v>89</v>
      </c>
      <c r="J677">
        <v>21.61</v>
      </c>
      <c r="K677">
        <v>172.1</v>
      </c>
      <c r="L677">
        <v>116</v>
      </c>
      <c r="M677">
        <v>14.63</v>
      </c>
      <c r="N677">
        <v>194.6</v>
      </c>
      <c r="O677">
        <v>111</v>
      </c>
      <c r="P677">
        <v>8.76</v>
      </c>
      <c r="Q677">
        <v>12.1</v>
      </c>
      <c r="R677">
        <v>3</v>
      </c>
      <c r="S677">
        <v>3.27</v>
      </c>
      <c r="T677">
        <v>1</v>
      </c>
      <c r="U677" t="s">
        <v>22</v>
      </c>
      <c r="V677" t="e">
        <f>IF(#REF! = "yes", 1, 0)</f>
        <v>#REF!</v>
      </c>
      <c r="W677" t="e">
        <f>IF(#REF! &lt;= 1, "0-1 Calls", IF(#REF! &lt;= 3, "2-3 Calls", IF(#REF! &lt;=5, "4-5 Calls", "6+ Calls")))</f>
        <v>#REF!</v>
      </c>
      <c r="X677" t="e">
        <f>IF(#REF! &lt;= 50, "0-50", IF(#REF! &lt;=100, "51-100", IF(#REF! &lt;= 150, "101-150", "151+")))</f>
        <v>#REF!</v>
      </c>
      <c r="Y677" t="e">
        <f>IF(#REF! &lt;= 3, "Low Charges", "High Charges")</f>
        <v>#REF!</v>
      </c>
      <c r="Z677" t="e">
        <f>IF(#REF!&lt;=80,"Low Calls",
IF(#REF!&lt;=120,"Medium Calls","High Calls"))</f>
        <v>#REF!</v>
      </c>
      <c r="AA677" t="e">
        <f>IF(#REF!&lt;=15,"Low Charges",
IF(#REF!&lt;=20,"Medium Charges","High Charges"))</f>
        <v>#REF!</v>
      </c>
      <c r="AB677" t="e">
        <f>IF(AND(#REF!&gt;180, #REF!&gt;200), "Heavy Doemstic User", IF(#REF!&gt;10, "Interntional User", IF(AND(#REF!&lt;180, #REF!&lt;200,#REF!&lt;200), "Light User", "Balanced User")))</f>
        <v>#REF!</v>
      </c>
      <c r="AC677" t="e">
        <f>IF(#REF! = 0, "No Usage", IF(#REF! &lt;= 20, "Low Usage", IF(#REF! &lt;= 40, "Medium Usgae", "High Usage")))</f>
        <v>#REF!</v>
      </c>
      <c r="AD677" t="e">
        <f>IF(#REF!&lt;=150,"Low Usage", IF(#REF!&lt;=200,"Medium Usage", IF(#REF!&lt;=250,"High Usage","Very High Usage")))</f>
        <v>#REF!</v>
      </c>
      <c r="AE677" t="e">
        <f>IF(#REF!&lt;=5,"Low Calls", IF(#REF!&lt;=10, "Medium Calls", "High Calls"))</f>
        <v>#REF!</v>
      </c>
      <c r="AF677" t="e">
        <f xml:space="preserve">
IF(#REF!&gt;=4,4,0)+
IF(#REF!="yes",3,0)+
IF(#REF!="High Charges",3,0)+
IF(#REF!&gt;250,4,0)+
IF(#REF!="no",1,0)+
IF(#REF!="Heavy Domestic User",2,0)</f>
        <v>#REF!</v>
      </c>
      <c r="AG677" t="e">
        <f>IF(#REF!&gt;=10,"High Risk", IF(#REF!&gt;=5,"Medium Risk","Low Risk"))</f>
        <v>#REF!</v>
      </c>
      <c r="AH677" t="e">
        <f>#REF! + #REF! + #REF! + #REF!</f>
        <v>#REF!</v>
      </c>
    </row>
    <row r="678" spans="1:34" x14ac:dyDescent="0.35">
      <c r="A678">
        <v>677</v>
      </c>
      <c r="B678" t="s">
        <v>54</v>
      </c>
      <c r="C678">
        <v>171</v>
      </c>
      <c r="D678" t="s">
        <v>28</v>
      </c>
      <c r="E678" t="s">
        <v>22</v>
      </c>
      <c r="F678" t="s">
        <v>23</v>
      </c>
      <c r="G678">
        <v>17</v>
      </c>
      <c r="H678">
        <v>186.9</v>
      </c>
      <c r="I678">
        <v>94</v>
      </c>
      <c r="J678">
        <v>31.77</v>
      </c>
      <c r="K678">
        <v>240</v>
      </c>
      <c r="L678">
        <v>138</v>
      </c>
      <c r="M678">
        <v>20.399999999999999</v>
      </c>
      <c r="N678">
        <v>200.9</v>
      </c>
      <c r="O678">
        <v>64</v>
      </c>
      <c r="P678">
        <v>9.0399999999999991</v>
      </c>
      <c r="Q678">
        <v>5.8</v>
      </c>
      <c r="R678">
        <v>3</v>
      </c>
      <c r="S678">
        <v>1.57</v>
      </c>
      <c r="T678">
        <v>1</v>
      </c>
      <c r="U678" t="s">
        <v>22</v>
      </c>
      <c r="V678" t="e">
        <f>IF(#REF! = "yes", 1, 0)</f>
        <v>#REF!</v>
      </c>
      <c r="W678" t="e">
        <f>IF(#REF! &lt;= 1, "0-1 Calls", IF(#REF! &lt;= 3, "2-3 Calls", IF(#REF! &lt;=5, "4-5 Calls", "6+ Calls")))</f>
        <v>#REF!</v>
      </c>
      <c r="X678" t="e">
        <f>IF(#REF! &lt;= 50, "0-50", IF(#REF! &lt;=100, "51-100", IF(#REF! &lt;= 150, "101-150", "151+")))</f>
        <v>#REF!</v>
      </c>
      <c r="Y678" t="e">
        <f>IF(#REF! &lt;= 3, "Low Charges", "High Charges")</f>
        <v>#REF!</v>
      </c>
      <c r="Z678" t="e">
        <f>IF(#REF!&lt;=80,"Low Calls",
IF(#REF!&lt;=120,"Medium Calls","High Calls"))</f>
        <v>#REF!</v>
      </c>
      <c r="AA678" t="e">
        <f>IF(#REF!&lt;=15,"Low Charges",
IF(#REF!&lt;=20,"Medium Charges","High Charges"))</f>
        <v>#REF!</v>
      </c>
      <c r="AB678" t="e">
        <f>IF(AND(#REF!&gt;180, #REF!&gt;200), "Heavy Doemstic User", IF(#REF!&gt;10, "Interntional User", IF(AND(#REF!&lt;180, #REF!&lt;200,#REF!&lt;200), "Light User", "Balanced User")))</f>
        <v>#REF!</v>
      </c>
      <c r="AC678" t="e">
        <f>IF(#REF! = 0, "No Usage", IF(#REF! &lt;= 20, "Low Usage", IF(#REF! &lt;= 40, "Medium Usgae", "High Usage")))</f>
        <v>#REF!</v>
      </c>
      <c r="AD678" t="e">
        <f>IF(#REF!&lt;=150,"Low Usage", IF(#REF!&lt;=200,"Medium Usage", IF(#REF!&lt;=250,"High Usage","Very High Usage")))</f>
        <v>#REF!</v>
      </c>
      <c r="AE678" t="e">
        <f>IF(#REF!&lt;=5,"Low Calls", IF(#REF!&lt;=10, "Medium Calls", "High Calls"))</f>
        <v>#REF!</v>
      </c>
      <c r="AF678" t="e">
        <f xml:space="preserve">
IF(#REF!&gt;=4,4,0)+
IF(#REF!="yes",3,0)+
IF(#REF!="High Charges",3,0)+
IF(#REF!&gt;250,4,0)+
IF(#REF!="no",1,0)+
IF(#REF!="Heavy Domestic User",2,0)</f>
        <v>#REF!</v>
      </c>
      <c r="AG678" t="e">
        <f>IF(#REF!&gt;=10,"High Risk", IF(#REF!&gt;=5,"Medium Risk","Low Risk"))</f>
        <v>#REF!</v>
      </c>
      <c r="AH678" t="e">
        <f>#REF! + #REF! + #REF! + #REF!</f>
        <v>#REF!</v>
      </c>
    </row>
    <row r="679" spans="1:34" x14ac:dyDescent="0.35">
      <c r="A679">
        <v>678</v>
      </c>
      <c r="B679" t="s">
        <v>69</v>
      </c>
      <c r="C679">
        <v>123</v>
      </c>
      <c r="D679" t="s">
        <v>28</v>
      </c>
      <c r="E679" t="s">
        <v>22</v>
      </c>
      <c r="F679" t="s">
        <v>22</v>
      </c>
      <c r="G679">
        <v>0</v>
      </c>
      <c r="H679">
        <v>194</v>
      </c>
      <c r="I679">
        <v>118</v>
      </c>
      <c r="J679">
        <v>32.979999999999997</v>
      </c>
      <c r="K679">
        <v>242</v>
      </c>
      <c r="L679">
        <v>114</v>
      </c>
      <c r="M679">
        <v>20.57</v>
      </c>
      <c r="N679">
        <v>146.30000000000001</v>
      </c>
      <c r="O679">
        <v>108</v>
      </c>
      <c r="P679">
        <v>6.58</v>
      </c>
      <c r="Q679">
        <v>12.1</v>
      </c>
      <c r="R679">
        <v>4</v>
      </c>
      <c r="S679">
        <v>3.27</v>
      </c>
      <c r="T679">
        <v>1</v>
      </c>
      <c r="U679" t="s">
        <v>22</v>
      </c>
      <c r="V679" t="e">
        <f>IF(#REF! = "yes", 1, 0)</f>
        <v>#REF!</v>
      </c>
      <c r="W679" t="e">
        <f>IF(#REF! &lt;= 1, "0-1 Calls", IF(#REF! &lt;= 3, "2-3 Calls", IF(#REF! &lt;=5, "4-5 Calls", "6+ Calls")))</f>
        <v>#REF!</v>
      </c>
      <c r="X679" t="e">
        <f>IF(#REF! &lt;= 50, "0-50", IF(#REF! &lt;=100, "51-100", IF(#REF! &lt;= 150, "101-150", "151+")))</f>
        <v>#REF!</v>
      </c>
      <c r="Y679" t="e">
        <f>IF(#REF! &lt;= 3, "Low Charges", "High Charges")</f>
        <v>#REF!</v>
      </c>
      <c r="Z679" t="e">
        <f>IF(#REF!&lt;=80,"Low Calls",
IF(#REF!&lt;=120,"Medium Calls","High Calls"))</f>
        <v>#REF!</v>
      </c>
      <c r="AA679" t="e">
        <f>IF(#REF!&lt;=15,"Low Charges",
IF(#REF!&lt;=20,"Medium Charges","High Charges"))</f>
        <v>#REF!</v>
      </c>
      <c r="AB679" t="e">
        <f>IF(AND(#REF!&gt;180, #REF!&gt;200), "Heavy Doemstic User", IF(#REF!&gt;10, "Interntional User", IF(AND(#REF!&lt;180, #REF!&lt;200,#REF!&lt;200), "Light User", "Balanced User")))</f>
        <v>#REF!</v>
      </c>
      <c r="AC679" t="e">
        <f>IF(#REF! = 0, "No Usage", IF(#REF! &lt;= 20, "Low Usage", IF(#REF! &lt;= 40, "Medium Usgae", "High Usage")))</f>
        <v>#REF!</v>
      </c>
      <c r="AD679" t="e">
        <f>IF(#REF!&lt;=150,"Low Usage", IF(#REF!&lt;=200,"Medium Usage", IF(#REF!&lt;=250,"High Usage","Very High Usage")))</f>
        <v>#REF!</v>
      </c>
      <c r="AE679" t="e">
        <f>IF(#REF!&lt;=5,"Low Calls", IF(#REF!&lt;=10, "Medium Calls", "High Calls"))</f>
        <v>#REF!</v>
      </c>
      <c r="AF679" t="e">
        <f xml:space="preserve">
IF(#REF!&gt;=4,4,0)+
IF(#REF!="yes",3,0)+
IF(#REF!="High Charges",3,0)+
IF(#REF!&gt;250,4,0)+
IF(#REF!="no",1,0)+
IF(#REF!="Heavy Domestic User",2,0)</f>
        <v>#REF!</v>
      </c>
      <c r="AG679" t="e">
        <f>IF(#REF!&gt;=10,"High Risk", IF(#REF!&gt;=5,"Medium Risk","Low Risk"))</f>
        <v>#REF!</v>
      </c>
      <c r="AH679" t="e">
        <f>#REF! + #REF! + #REF! + #REF!</f>
        <v>#REF!</v>
      </c>
    </row>
    <row r="680" spans="1:34" x14ac:dyDescent="0.35">
      <c r="A680">
        <v>679</v>
      </c>
      <c r="B680" t="s">
        <v>40</v>
      </c>
      <c r="C680">
        <v>58</v>
      </c>
      <c r="D680" t="s">
        <v>28</v>
      </c>
      <c r="E680" t="s">
        <v>22</v>
      </c>
      <c r="F680" t="s">
        <v>22</v>
      </c>
      <c r="G680">
        <v>0</v>
      </c>
      <c r="H680">
        <v>234.8</v>
      </c>
      <c r="I680">
        <v>89</v>
      </c>
      <c r="J680">
        <v>39.92</v>
      </c>
      <c r="K680">
        <v>106.8</v>
      </c>
      <c r="L680">
        <v>131</v>
      </c>
      <c r="M680">
        <v>9.08</v>
      </c>
      <c r="N680">
        <v>178.5</v>
      </c>
      <c r="O680">
        <v>122</v>
      </c>
      <c r="P680">
        <v>8.0299999999999994</v>
      </c>
      <c r="Q680">
        <v>9.9</v>
      </c>
      <c r="R680">
        <v>6</v>
      </c>
      <c r="S680">
        <v>2.67</v>
      </c>
      <c r="T680">
        <v>0</v>
      </c>
      <c r="U680" t="s">
        <v>22</v>
      </c>
      <c r="V680" t="e">
        <f>IF(#REF! = "yes", 1, 0)</f>
        <v>#REF!</v>
      </c>
      <c r="W680" t="e">
        <f>IF(#REF! &lt;= 1, "0-1 Calls", IF(#REF! &lt;= 3, "2-3 Calls", IF(#REF! &lt;=5, "4-5 Calls", "6+ Calls")))</f>
        <v>#REF!</v>
      </c>
      <c r="X680" t="e">
        <f>IF(#REF! &lt;= 50, "0-50", IF(#REF! &lt;=100, "51-100", IF(#REF! &lt;= 150, "101-150", "151+")))</f>
        <v>#REF!</v>
      </c>
      <c r="Y680" t="e">
        <f>IF(#REF! &lt;= 3, "Low Charges", "High Charges")</f>
        <v>#REF!</v>
      </c>
      <c r="Z680" t="e">
        <f>IF(#REF!&lt;=80,"Low Calls",
IF(#REF!&lt;=120,"Medium Calls","High Calls"))</f>
        <v>#REF!</v>
      </c>
      <c r="AA680" t="e">
        <f>IF(#REF!&lt;=15,"Low Charges",
IF(#REF!&lt;=20,"Medium Charges","High Charges"))</f>
        <v>#REF!</v>
      </c>
      <c r="AB680" t="e">
        <f>IF(AND(#REF!&gt;180, #REF!&gt;200), "Heavy Doemstic User", IF(#REF!&gt;10, "Interntional User", IF(AND(#REF!&lt;180, #REF!&lt;200,#REF!&lt;200), "Light User", "Balanced User")))</f>
        <v>#REF!</v>
      </c>
      <c r="AC680" t="e">
        <f>IF(#REF! = 0, "No Usage", IF(#REF! &lt;= 20, "Low Usage", IF(#REF! &lt;= 40, "Medium Usgae", "High Usage")))</f>
        <v>#REF!</v>
      </c>
      <c r="AD680" t="e">
        <f>IF(#REF!&lt;=150,"Low Usage", IF(#REF!&lt;=200,"Medium Usage", IF(#REF!&lt;=250,"High Usage","Very High Usage")))</f>
        <v>#REF!</v>
      </c>
      <c r="AE680" t="e">
        <f>IF(#REF!&lt;=5,"Low Calls", IF(#REF!&lt;=10, "Medium Calls", "High Calls"))</f>
        <v>#REF!</v>
      </c>
      <c r="AF680" t="e">
        <f xml:space="preserve">
IF(#REF!&gt;=4,4,0)+
IF(#REF!="yes",3,0)+
IF(#REF!="High Charges",3,0)+
IF(#REF!&gt;250,4,0)+
IF(#REF!="no",1,0)+
IF(#REF!="Heavy Domestic User",2,0)</f>
        <v>#REF!</v>
      </c>
      <c r="AG680" t="e">
        <f>IF(#REF!&gt;=10,"High Risk", IF(#REF!&gt;=5,"Medium Risk","Low Risk"))</f>
        <v>#REF!</v>
      </c>
      <c r="AH680" t="e">
        <f>#REF! + #REF! + #REF! + #REF!</f>
        <v>#REF!</v>
      </c>
    </row>
    <row r="681" spans="1:34" x14ac:dyDescent="0.35">
      <c r="A681">
        <v>680</v>
      </c>
      <c r="B681" t="s">
        <v>47</v>
      </c>
      <c r="C681">
        <v>156</v>
      </c>
      <c r="D681" t="s">
        <v>28</v>
      </c>
      <c r="E681" t="s">
        <v>22</v>
      </c>
      <c r="F681" t="s">
        <v>22</v>
      </c>
      <c r="G681">
        <v>0</v>
      </c>
      <c r="H681">
        <v>123.7</v>
      </c>
      <c r="I681">
        <v>96</v>
      </c>
      <c r="J681">
        <v>21.03</v>
      </c>
      <c r="K681">
        <v>103</v>
      </c>
      <c r="L681">
        <v>80</v>
      </c>
      <c r="M681">
        <v>8.76</v>
      </c>
      <c r="N681">
        <v>189.4</v>
      </c>
      <c r="O681">
        <v>82</v>
      </c>
      <c r="P681">
        <v>8.52</v>
      </c>
      <c r="Q681">
        <v>13.1</v>
      </c>
      <c r="R681">
        <v>4</v>
      </c>
      <c r="S681">
        <v>3.54</v>
      </c>
      <c r="T681">
        <v>1</v>
      </c>
      <c r="U681" t="s">
        <v>22</v>
      </c>
      <c r="V681" t="e">
        <f>IF(#REF! = "yes", 1, 0)</f>
        <v>#REF!</v>
      </c>
      <c r="W681" t="e">
        <f>IF(#REF! &lt;= 1, "0-1 Calls", IF(#REF! &lt;= 3, "2-3 Calls", IF(#REF! &lt;=5, "4-5 Calls", "6+ Calls")))</f>
        <v>#REF!</v>
      </c>
      <c r="X681" t="e">
        <f>IF(#REF! &lt;= 50, "0-50", IF(#REF! &lt;=100, "51-100", IF(#REF! &lt;= 150, "101-150", "151+")))</f>
        <v>#REF!</v>
      </c>
      <c r="Y681" t="e">
        <f>IF(#REF! &lt;= 3, "Low Charges", "High Charges")</f>
        <v>#REF!</v>
      </c>
      <c r="Z681" t="e">
        <f>IF(#REF!&lt;=80,"Low Calls",
IF(#REF!&lt;=120,"Medium Calls","High Calls"))</f>
        <v>#REF!</v>
      </c>
      <c r="AA681" t="e">
        <f>IF(#REF!&lt;=15,"Low Charges",
IF(#REF!&lt;=20,"Medium Charges","High Charges"))</f>
        <v>#REF!</v>
      </c>
      <c r="AB681" t="e">
        <f>IF(AND(#REF!&gt;180, #REF!&gt;200), "Heavy Doemstic User", IF(#REF!&gt;10, "Interntional User", IF(AND(#REF!&lt;180, #REF!&lt;200,#REF!&lt;200), "Light User", "Balanced User")))</f>
        <v>#REF!</v>
      </c>
      <c r="AC681" t="e">
        <f>IF(#REF! = 0, "No Usage", IF(#REF! &lt;= 20, "Low Usage", IF(#REF! &lt;= 40, "Medium Usgae", "High Usage")))</f>
        <v>#REF!</v>
      </c>
      <c r="AD681" t="e">
        <f>IF(#REF!&lt;=150,"Low Usage", IF(#REF!&lt;=200,"Medium Usage", IF(#REF!&lt;=250,"High Usage","Very High Usage")))</f>
        <v>#REF!</v>
      </c>
      <c r="AE681" t="e">
        <f>IF(#REF!&lt;=5,"Low Calls", IF(#REF!&lt;=10, "Medium Calls", "High Calls"))</f>
        <v>#REF!</v>
      </c>
      <c r="AF681" t="e">
        <f xml:space="preserve">
IF(#REF!&gt;=4,4,0)+
IF(#REF!="yes",3,0)+
IF(#REF!="High Charges",3,0)+
IF(#REF!&gt;250,4,0)+
IF(#REF!="no",1,0)+
IF(#REF!="Heavy Domestic User",2,0)</f>
        <v>#REF!</v>
      </c>
      <c r="AG681" t="e">
        <f>IF(#REF!&gt;=10,"High Risk", IF(#REF!&gt;=5,"Medium Risk","Low Risk"))</f>
        <v>#REF!</v>
      </c>
      <c r="AH681" t="e">
        <f>#REF! + #REF! + #REF! + #REF!</f>
        <v>#REF!</v>
      </c>
    </row>
    <row r="682" spans="1:34" x14ac:dyDescent="0.35">
      <c r="A682">
        <v>681</v>
      </c>
      <c r="B682" t="s">
        <v>51</v>
      </c>
      <c r="C682">
        <v>166</v>
      </c>
      <c r="D682" t="s">
        <v>28</v>
      </c>
      <c r="E682" t="s">
        <v>22</v>
      </c>
      <c r="F682" t="s">
        <v>22</v>
      </c>
      <c r="G682">
        <v>0</v>
      </c>
      <c r="H682">
        <v>173.9</v>
      </c>
      <c r="I682">
        <v>103</v>
      </c>
      <c r="J682">
        <v>29.56</v>
      </c>
      <c r="K682">
        <v>276.39999999999998</v>
      </c>
      <c r="L682">
        <v>83</v>
      </c>
      <c r="M682">
        <v>23.49</v>
      </c>
      <c r="N682">
        <v>190.8</v>
      </c>
      <c r="O682">
        <v>113</v>
      </c>
      <c r="P682">
        <v>8.59</v>
      </c>
      <c r="Q682">
        <v>15.3</v>
      </c>
      <c r="R682">
        <v>5</v>
      </c>
      <c r="S682">
        <v>4.13</v>
      </c>
      <c r="T682">
        <v>0</v>
      </c>
      <c r="U682" t="s">
        <v>22</v>
      </c>
      <c r="V682" t="e">
        <f>IF(#REF! = "yes", 1, 0)</f>
        <v>#REF!</v>
      </c>
      <c r="W682" t="e">
        <f>IF(#REF! &lt;= 1, "0-1 Calls", IF(#REF! &lt;= 3, "2-3 Calls", IF(#REF! &lt;=5, "4-5 Calls", "6+ Calls")))</f>
        <v>#REF!</v>
      </c>
      <c r="X682" t="e">
        <f>IF(#REF! &lt;= 50, "0-50", IF(#REF! &lt;=100, "51-100", IF(#REF! &lt;= 150, "101-150", "151+")))</f>
        <v>#REF!</v>
      </c>
      <c r="Y682" t="e">
        <f>IF(#REF! &lt;= 3, "Low Charges", "High Charges")</f>
        <v>#REF!</v>
      </c>
      <c r="Z682" t="e">
        <f>IF(#REF!&lt;=80,"Low Calls",
IF(#REF!&lt;=120,"Medium Calls","High Calls"))</f>
        <v>#REF!</v>
      </c>
      <c r="AA682" t="e">
        <f>IF(#REF!&lt;=15,"Low Charges",
IF(#REF!&lt;=20,"Medium Charges","High Charges"))</f>
        <v>#REF!</v>
      </c>
      <c r="AB682" t="e">
        <f>IF(AND(#REF!&gt;180, #REF!&gt;200), "Heavy Doemstic User", IF(#REF!&gt;10, "Interntional User", IF(AND(#REF!&lt;180, #REF!&lt;200,#REF!&lt;200), "Light User", "Balanced User")))</f>
        <v>#REF!</v>
      </c>
      <c r="AC682" t="e">
        <f>IF(#REF! = 0, "No Usage", IF(#REF! &lt;= 20, "Low Usage", IF(#REF! &lt;= 40, "Medium Usgae", "High Usage")))</f>
        <v>#REF!</v>
      </c>
      <c r="AD682" t="e">
        <f>IF(#REF!&lt;=150,"Low Usage", IF(#REF!&lt;=200,"Medium Usage", IF(#REF!&lt;=250,"High Usage","Very High Usage")))</f>
        <v>#REF!</v>
      </c>
      <c r="AE682" t="e">
        <f>IF(#REF!&lt;=5,"Low Calls", IF(#REF!&lt;=10, "Medium Calls", "High Calls"))</f>
        <v>#REF!</v>
      </c>
      <c r="AF682" t="e">
        <f xml:space="preserve">
IF(#REF!&gt;=4,4,0)+
IF(#REF!="yes",3,0)+
IF(#REF!="High Charges",3,0)+
IF(#REF!&gt;250,4,0)+
IF(#REF!="no",1,0)+
IF(#REF!="Heavy Domestic User",2,0)</f>
        <v>#REF!</v>
      </c>
      <c r="AG682" t="e">
        <f>IF(#REF!&gt;=10,"High Risk", IF(#REF!&gt;=5,"Medium Risk","Low Risk"))</f>
        <v>#REF!</v>
      </c>
      <c r="AH682" t="e">
        <f>#REF! + #REF! + #REF! + #REF!</f>
        <v>#REF!</v>
      </c>
    </row>
    <row r="683" spans="1:34" x14ac:dyDescent="0.35">
      <c r="A683">
        <v>682</v>
      </c>
      <c r="B683" t="s">
        <v>59</v>
      </c>
      <c r="C683">
        <v>75</v>
      </c>
      <c r="D683" t="s">
        <v>28</v>
      </c>
      <c r="E683" t="s">
        <v>22</v>
      </c>
      <c r="F683" t="s">
        <v>23</v>
      </c>
      <c r="G683">
        <v>41</v>
      </c>
      <c r="H683">
        <v>130.9</v>
      </c>
      <c r="I683">
        <v>115</v>
      </c>
      <c r="J683">
        <v>22.25</v>
      </c>
      <c r="K683">
        <v>203.4</v>
      </c>
      <c r="L683">
        <v>110</v>
      </c>
      <c r="M683">
        <v>17.29</v>
      </c>
      <c r="N683">
        <v>171.7</v>
      </c>
      <c r="O683">
        <v>68</v>
      </c>
      <c r="P683">
        <v>7.73</v>
      </c>
      <c r="Q683">
        <v>12.4</v>
      </c>
      <c r="R683">
        <v>4</v>
      </c>
      <c r="S683">
        <v>3.35</v>
      </c>
      <c r="T683">
        <v>1</v>
      </c>
      <c r="U683" t="s">
        <v>22</v>
      </c>
      <c r="V683" t="e">
        <f>IF(#REF! = "yes", 1, 0)</f>
        <v>#REF!</v>
      </c>
      <c r="W683" t="e">
        <f>IF(#REF! &lt;= 1, "0-1 Calls", IF(#REF! &lt;= 3, "2-3 Calls", IF(#REF! &lt;=5, "4-5 Calls", "6+ Calls")))</f>
        <v>#REF!</v>
      </c>
      <c r="X683" t="e">
        <f>IF(#REF! &lt;= 50, "0-50", IF(#REF! &lt;=100, "51-100", IF(#REF! &lt;= 150, "101-150", "151+")))</f>
        <v>#REF!</v>
      </c>
      <c r="Y683" t="e">
        <f>IF(#REF! &lt;= 3, "Low Charges", "High Charges")</f>
        <v>#REF!</v>
      </c>
      <c r="Z683" t="e">
        <f>IF(#REF!&lt;=80,"Low Calls",
IF(#REF!&lt;=120,"Medium Calls","High Calls"))</f>
        <v>#REF!</v>
      </c>
      <c r="AA683" t="e">
        <f>IF(#REF!&lt;=15,"Low Charges",
IF(#REF!&lt;=20,"Medium Charges","High Charges"))</f>
        <v>#REF!</v>
      </c>
      <c r="AB683" t="e">
        <f>IF(AND(#REF!&gt;180, #REF!&gt;200), "Heavy Doemstic User", IF(#REF!&gt;10, "Interntional User", IF(AND(#REF!&lt;180, #REF!&lt;200,#REF!&lt;200), "Light User", "Balanced User")))</f>
        <v>#REF!</v>
      </c>
      <c r="AC683" t="e">
        <f>IF(#REF! = 0, "No Usage", IF(#REF! &lt;= 20, "Low Usage", IF(#REF! &lt;= 40, "Medium Usgae", "High Usage")))</f>
        <v>#REF!</v>
      </c>
      <c r="AD683" t="e">
        <f>IF(#REF!&lt;=150,"Low Usage", IF(#REF!&lt;=200,"Medium Usage", IF(#REF!&lt;=250,"High Usage","Very High Usage")))</f>
        <v>#REF!</v>
      </c>
      <c r="AE683" t="e">
        <f>IF(#REF!&lt;=5,"Low Calls", IF(#REF!&lt;=10, "Medium Calls", "High Calls"))</f>
        <v>#REF!</v>
      </c>
      <c r="AF683" t="e">
        <f xml:space="preserve">
IF(#REF!&gt;=4,4,0)+
IF(#REF!="yes",3,0)+
IF(#REF!="High Charges",3,0)+
IF(#REF!&gt;250,4,0)+
IF(#REF!="no",1,0)+
IF(#REF!="Heavy Domestic User",2,0)</f>
        <v>#REF!</v>
      </c>
      <c r="AG683" t="e">
        <f>IF(#REF!&gt;=10,"High Risk", IF(#REF!&gt;=5,"Medium Risk","Low Risk"))</f>
        <v>#REF!</v>
      </c>
      <c r="AH683" t="e">
        <f>#REF! + #REF! + #REF! + #REF!</f>
        <v>#REF!</v>
      </c>
    </row>
    <row r="684" spans="1:34" x14ac:dyDescent="0.35">
      <c r="A684">
        <v>683</v>
      </c>
      <c r="B684" t="s">
        <v>65</v>
      </c>
      <c r="C684">
        <v>75</v>
      </c>
      <c r="D684" t="s">
        <v>21</v>
      </c>
      <c r="E684" t="s">
        <v>22</v>
      </c>
      <c r="F684" t="s">
        <v>22</v>
      </c>
      <c r="G684">
        <v>0</v>
      </c>
      <c r="H684">
        <v>314.60000000000002</v>
      </c>
      <c r="I684">
        <v>102</v>
      </c>
      <c r="J684">
        <v>53.48</v>
      </c>
      <c r="K684">
        <v>169.8</v>
      </c>
      <c r="L684">
        <v>86</v>
      </c>
      <c r="M684">
        <v>14.43</v>
      </c>
      <c r="N684">
        <v>285.10000000000002</v>
      </c>
      <c r="O684">
        <v>100</v>
      </c>
      <c r="P684">
        <v>12.83</v>
      </c>
      <c r="Q684">
        <v>5.7</v>
      </c>
      <c r="R684">
        <v>3</v>
      </c>
      <c r="S684">
        <v>1.54</v>
      </c>
      <c r="T684">
        <v>2</v>
      </c>
      <c r="U684" t="s">
        <v>23</v>
      </c>
      <c r="V684" t="e">
        <f>IF(#REF! = "yes", 1, 0)</f>
        <v>#REF!</v>
      </c>
      <c r="W684" t="e">
        <f>IF(#REF! &lt;= 1, "0-1 Calls", IF(#REF! &lt;= 3, "2-3 Calls", IF(#REF! &lt;=5, "4-5 Calls", "6+ Calls")))</f>
        <v>#REF!</v>
      </c>
      <c r="X684" t="e">
        <f>IF(#REF! &lt;= 50, "0-50", IF(#REF! &lt;=100, "51-100", IF(#REF! &lt;= 150, "101-150", "151+")))</f>
        <v>#REF!</v>
      </c>
      <c r="Y684" t="e">
        <f>IF(#REF! &lt;= 3, "Low Charges", "High Charges")</f>
        <v>#REF!</v>
      </c>
      <c r="Z684" t="e">
        <f>IF(#REF!&lt;=80,"Low Calls",
IF(#REF!&lt;=120,"Medium Calls","High Calls"))</f>
        <v>#REF!</v>
      </c>
      <c r="AA684" t="e">
        <f>IF(#REF!&lt;=15,"Low Charges",
IF(#REF!&lt;=20,"Medium Charges","High Charges"))</f>
        <v>#REF!</v>
      </c>
      <c r="AB684" t="e">
        <f>IF(AND(#REF!&gt;180, #REF!&gt;200), "Heavy Doemstic User", IF(#REF!&gt;10, "Interntional User", IF(AND(#REF!&lt;180, #REF!&lt;200,#REF!&lt;200), "Light User", "Balanced User")))</f>
        <v>#REF!</v>
      </c>
      <c r="AC684" t="e">
        <f>IF(#REF! = 0, "No Usage", IF(#REF! &lt;= 20, "Low Usage", IF(#REF! &lt;= 40, "Medium Usgae", "High Usage")))</f>
        <v>#REF!</v>
      </c>
      <c r="AD684" t="e">
        <f>IF(#REF!&lt;=150,"Low Usage", IF(#REF!&lt;=200,"Medium Usage", IF(#REF!&lt;=250,"High Usage","Very High Usage")))</f>
        <v>#REF!</v>
      </c>
      <c r="AE684" t="e">
        <f>IF(#REF!&lt;=5,"Low Calls", IF(#REF!&lt;=10, "Medium Calls", "High Calls"))</f>
        <v>#REF!</v>
      </c>
      <c r="AF684" t="e">
        <f xml:space="preserve">
IF(#REF!&gt;=4,4,0)+
IF(#REF!="yes",3,0)+
IF(#REF!="High Charges",3,0)+
IF(#REF!&gt;250,4,0)+
IF(#REF!="no",1,0)+
IF(#REF!="Heavy Domestic User",2,0)</f>
        <v>#REF!</v>
      </c>
      <c r="AG684" t="e">
        <f>IF(#REF!&gt;=10,"High Risk", IF(#REF!&gt;=5,"Medium Risk","Low Risk"))</f>
        <v>#REF!</v>
      </c>
      <c r="AH684" t="e">
        <f>#REF! + #REF! + #REF! + #REF!</f>
        <v>#REF!</v>
      </c>
    </row>
    <row r="685" spans="1:34" x14ac:dyDescent="0.35">
      <c r="A685">
        <v>684</v>
      </c>
      <c r="B685" t="s">
        <v>20</v>
      </c>
      <c r="C685">
        <v>83</v>
      </c>
      <c r="D685" t="s">
        <v>28</v>
      </c>
      <c r="E685" t="s">
        <v>22</v>
      </c>
      <c r="F685" t="s">
        <v>22</v>
      </c>
      <c r="G685">
        <v>0</v>
      </c>
      <c r="H685">
        <v>227.9</v>
      </c>
      <c r="I685">
        <v>78</v>
      </c>
      <c r="J685">
        <v>38.74</v>
      </c>
      <c r="K685">
        <v>207.5</v>
      </c>
      <c r="L685">
        <v>115</v>
      </c>
      <c r="M685">
        <v>17.64</v>
      </c>
      <c r="N685">
        <v>211.7</v>
      </c>
      <c r="O685">
        <v>100</v>
      </c>
      <c r="P685">
        <v>9.5299999999999994</v>
      </c>
      <c r="Q685">
        <v>12.1</v>
      </c>
      <c r="R685">
        <v>5</v>
      </c>
      <c r="S685">
        <v>3.27</v>
      </c>
      <c r="T685">
        <v>1</v>
      </c>
      <c r="U685" t="s">
        <v>22</v>
      </c>
      <c r="V685" t="e">
        <f>IF(#REF! = "yes", 1, 0)</f>
        <v>#REF!</v>
      </c>
      <c r="W685" t="e">
        <f>IF(#REF! &lt;= 1, "0-1 Calls", IF(#REF! &lt;= 3, "2-3 Calls", IF(#REF! &lt;=5, "4-5 Calls", "6+ Calls")))</f>
        <v>#REF!</v>
      </c>
      <c r="X685" t="e">
        <f>IF(#REF! &lt;= 50, "0-50", IF(#REF! &lt;=100, "51-100", IF(#REF! &lt;= 150, "101-150", "151+")))</f>
        <v>#REF!</v>
      </c>
      <c r="Y685" t="e">
        <f>IF(#REF! &lt;= 3, "Low Charges", "High Charges")</f>
        <v>#REF!</v>
      </c>
      <c r="Z685" t="e">
        <f>IF(#REF!&lt;=80,"Low Calls",
IF(#REF!&lt;=120,"Medium Calls","High Calls"))</f>
        <v>#REF!</v>
      </c>
      <c r="AA685" t="e">
        <f>IF(#REF!&lt;=15,"Low Charges",
IF(#REF!&lt;=20,"Medium Charges","High Charges"))</f>
        <v>#REF!</v>
      </c>
      <c r="AB685" t="e">
        <f>IF(AND(#REF!&gt;180, #REF!&gt;200), "Heavy Doemstic User", IF(#REF!&gt;10, "Interntional User", IF(AND(#REF!&lt;180, #REF!&lt;200,#REF!&lt;200), "Light User", "Balanced User")))</f>
        <v>#REF!</v>
      </c>
      <c r="AC685" t="e">
        <f>IF(#REF! = 0, "No Usage", IF(#REF! &lt;= 20, "Low Usage", IF(#REF! &lt;= 40, "Medium Usgae", "High Usage")))</f>
        <v>#REF!</v>
      </c>
      <c r="AD685" t="e">
        <f>IF(#REF!&lt;=150,"Low Usage", IF(#REF!&lt;=200,"Medium Usage", IF(#REF!&lt;=250,"High Usage","Very High Usage")))</f>
        <v>#REF!</v>
      </c>
      <c r="AE685" t="e">
        <f>IF(#REF!&lt;=5,"Low Calls", IF(#REF!&lt;=10, "Medium Calls", "High Calls"))</f>
        <v>#REF!</v>
      </c>
      <c r="AF685" t="e">
        <f xml:space="preserve">
IF(#REF!&gt;=4,4,0)+
IF(#REF!="yes",3,0)+
IF(#REF!="High Charges",3,0)+
IF(#REF!&gt;250,4,0)+
IF(#REF!="no",1,0)+
IF(#REF!="Heavy Domestic User",2,0)</f>
        <v>#REF!</v>
      </c>
      <c r="AG685" t="e">
        <f>IF(#REF!&gt;=10,"High Risk", IF(#REF!&gt;=5,"Medium Risk","Low Risk"))</f>
        <v>#REF!</v>
      </c>
      <c r="AH685" t="e">
        <f>#REF! + #REF! + #REF! + #REF!</f>
        <v>#REF!</v>
      </c>
    </row>
    <row r="686" spans="1:34" x14ac:dyDescent="0.35">
      <c r="A686">
        <v>685</v>
      </c>
      <c r="B686" t="s">
        <v>55</v>
      </c>
      <c r="C686">
        <v>243</v>
      </c>
      <c r="D686" t="s">
        <v>28</v>
      </c>
      <c r="E686" t="s">
        <v>22</v>
      </c>
      <c r="F686" t="s">
        <v>22</v>
      </c>
      <c r="G686">
        <v>0</v>
      </c>
      <c r="H686">
        <v>95.5</v>
      </c>
      <c r="I686">
        <v>92</v>
      </c>
      <c r="J686">
        <v>16.239999999999998</v>
      </c>
      <c r="K686">
        <v>163.69999999999999</v>
      </c>
      <c r="L686">
        <v>63</v>
      </c>
      <c r="M686">
        <v>13.91</v>
      </c>
      <c r="N686">
        <v>264.2</v>
      </c>
      <c r="O686">
        <v>118</v>
      </c>
      <c r="P686">
        <v>11.89</v>
      </c>
      <c r="Q686">
        <v>6.6</v>
      </c>
      <c r="R686">
        <v>6</v>
      </c>
      <c r="S686">
        <v>1.78</v>
      </c>
      <c r="T686">
        <v>2</v>
      </c>
      <c r="U686" t="s">
        <v>22</v>
      </c>
      <c r="V686" t="e">
        <f>IF(#REF! = "yes", 1, 0)</f>
        <v>#REF!</v>
      </c>
      <c r="W686" t="e">
        <f>IF(#REF! &lt;= 1, "0-1 Calls", IF(#REF! &lt;= 3, "2-3 Calls", IF(#REF! &lt;=5, "4-5 Calls", "6+ Calls")))</f>
        <v>#REF!</v>
      </c>
      <c r="X686" t="e">
        <f>IF(#REF! &lt;= 50, "0-50", IF(#REF! &lt;=100, "51-100", IF(#REF! &lt;= 150, "101-150", "151+")))</f>
        <v>#REF!</v>
      </c>
      <c r="Y686" t="e">
        <f>IF(#REF! &lt;= 3, "Low Charges", "High Charges")</f>
        <v>#REF!</v>
      </c>
      <c r="Z686" t="e">
        <f>IF(#REF!&lt;=80,"Low Calls",
IF(#REF!&lt;=120,"Medium Calls","High Calls"))</f>
        <v>#REF!</v>
      </c>
      <c r="AA686" t="e">
        <f>IF(#REF!&lt;=15,"Low Charges",
IF(#REF!&lt;=20,"Medium Charges","High Charges"))</f>
        <v>#REF!</v>
      </c>
      <c r="AB686" t="e">
        <f>IF(AND(#REF!&gt;180, #REF!&gt;200), "Heavy Doemstic User", IF(#REF!&gt;10, "Interntional User", IF(AND(#REF!&lt;180, #REF!&lt;200,#REF!&lt;200), "Light User", "Balanced User")))</f>
        <v>#REF!</v>
      </c>
      <c r="AC686" t="e">
        <f>IF(#REF! = 0, "No Usage", IF(#REF! &lt;= 20, "Low Usage", IF(#REF! &lt;= 40, "Medium Usgae", "High Usage")))</f>
        <v>#REF!</v>
      </c>
      <c r="AD686" t="e">
        <f>IF(#REF!&lt;=150,"Low Usage", IF(#REF!&lt;=200,"Medium Usage", IF(#REF!&lt;=250,"High Usage","Very High Usage")))</f>
        <v>#REF!</v>
      </c>
      <c r="AE686" t="e">
        <f>IF(#REF!&lt;=5,"Low Calls", IF(#REF!&lt;=10, "Medium Calls", "High Calls"))</f>
        <v>#REF!</v>
      </c>
      <c r="AF686" t="e">
        <f xml:space="preserve">
IF(#REF!&gt;=4,4,0)+
IF(#REF!="yes",3,0)+
IF(#REF!="High Charges",3,0)+
IF(#REF!&gt;250,4,0)+
IF(#REF!="no",1,0)+
IF(#REF!="Heavy Domestic User",2,0)</f>
        <v>#REF!</v>
      </c>
      <c r="AG686" t="e">
        <f>IF(#REF!&gt;=10,"High Risk", IF(#REF!&gt;=5,"Medium Risk","Low Risk"))</f>
        <v>#REF!</v>
      </c>
      <c r="AH686" t="e">
        <f>#REF! + #REF! + #REF! + #REF!</f>
        <v>#REF!</v>
      </c>
    </row>
    <row r="687" spans="1:34" x14ac:dyDescent="0.35">
      <c r="A687">
        <v>686</v>
      </c>
      <c r="B687" t="s">
        <v>61</v>
      </c>
      <c r="C687">
        <v>153</v>
      </c>
      <c r="D687" t="s">
        <v>25</v>
      </c>
      <c r="E687" t="s">
        <v>22</v>
      </c>
      <c r="F687" t="s">
        <v>22</v>
      </c>
      <c r="G687">
        <v>0</v>
      </c>
      <c r="H687">
        <v>185.3</v>
      </c>
      <c r="I687">
        <v>127</v>
      </c>
      <c r="J687">
        <v>31.5</v>
      </c>
      <c r="K687">
        <v>208</v>
      </c>
      <c r="L687">
        <v>73</v>
      </c>
      <c r="M687">
        <v>17.68</v>
      </c>
      <c r="N687">
        <v>206.1</v>
      </c>
      <c r="O687">
        <v>124</v>
      </c>
      <c r="P687">
        <v>9.27</v>
      </c>
      <c r="Q687">
        <v>15.1</v>
      </c>
      <c r="R687">
        <v>3</v>
      </c>
      <c r="S687">
        <v>4.08</v>
      </c>
      <c r="T687">
        <v>1</v>
      </c>
      <c r="U687" t="s">
        <v>22</v>
      </c>
      <c r="V687" t="e">
        <f>IF(#REF! = "yes", 1, 0)</f>
        <v>#REF!</v>
      </c>
      <c r="W687" t="e">
        <f>IF(#REF! &lt;= 1, "0-1 Calls", IF(#REF! &lt;= 3, "2-3 Calls", IF(#REF! &lt;=5, "4-5 Calls", "6+ Calls")))</f>
        <v>#REF!</v>
      </c>
      <c r="X687" t="e">
        <f>IF(#REF! &lt;= 50, "0-50", IF(#REF! &lt;=100, "51-100", IF(#REF! &lt;= 150, "101-150", "151+")))</f>
        <v>#REF!</v>
      </c>
      <c r="Y687" t="e">
        <f>IF(#REF! &lt;= 3, "Low Charges", "High Charges")</f>
        <v>#REF!</v>
      </c>
      <c r="Z687" t="e">
        <f>IF(#REF!&lt;=80,"Low Calls",
IF(#REF!&lt;=120,"Medium Calls","High Calls"))</f>
        <v>#REF!</v>
      </c>
      <c r="AA687" t="e">
        <f>IF(#REF!&lt;=15,"Low Charges",
IF(#REF!&lt;=20,"Medium Charges","High Charges"))</f>
        <v>#REF!</v>
      </c>
      <c r="AB687" t="e">
        <f>IF(AND(#REF!&gt;180, #REF!&gt;200), "Heavy Doemstic User", IF(#REF!&gt;10, "Interntional User", IF(AND(#REF!&lt;180, #REF!&lt;200,#REF!&lt;200), "Light User", "Balanced User")))</f>
        <v>#REF!</v>
      </c>
      <c r="AC687" t="e">
        <f>IF(#REF! = 0, "No Usage", IF(#REF! &lt;= 20, "Low Usage", IF(#REF! &lt;= 40, "Medium Usgae", "High Usage")))</f>
        <v>#REF!</v>
      </c>
      <c r="AD687" t="e">
        <f>IF(#REF!&lt;=150,"Low Usage", IF(#REF!&lt;=200,"Medium Usage", IF(#REF!&lt;=250,"High Usage","Very High Usage")))</f>
        <v>#REF!</v>
      </c>
      <c r="AE687" t="e">
        <f>IF(#REF!&lt;=5,"Low Calls", IF(#REF!&lt;=10, "Medium Calls", "High Calls"))</f>
        <v>#REF!</v>
      </c>
      <c r="AF687" t="e">
        <f xml:space="preserve">
IF(#REF!&gt;=4,4,0)+
IF(#REF!="yes",3,0)+
IF(#REF!="High Charges",3,0)+
IF(#REF!&gt;250,4,0)+
IF(#REF!="no",1,0)+
IF(#REF!="Heavy Domestic User",2,0)</f>
        <v>#REF!</v>
      </c>
      <c r="AG687" t="e">
        <f>IF(#REF!&gt;=10,"High Risk", IF(#REF!&gt;=5,"Medium Risk","Low Risk"))</f>
        <v>#REF!</v>
      </c>
      <c r="AH687" t="e">
        <f>#REF! + #REF! + #REF! + #REF!</f>
        <v>#REF!</v>
      </c>
    </row>
    <row r="688" spans="1:34" x14ac:dyDescent="0.35">
      <c r="A688">
        <v>687</v>
      </c>
      <c r="B688" t="s">
        <v>60</v>
      </c>
      <c r="C688">
        <v>150</v>
      </c>
      <c r="D688" t="s">
        <v>21</v>
      </c>
      <c r="E688" t="s">
        <v>22</v>
      </c>
      <c r="F688" t="s">
        <v>22</v>
      </c>
      <c r="G688">
        <v>0</v>
      </c>
      <c r="H688">
        <v>146.30000000000001</v>
      </c>
      <c r="I688">
        <v>133</v>
      </c>
      <c r="J688">
        <v>24.87</v>
      </c>
      <c r="K688">
        <v>202.7</v>
      </c>
      <c r="L688">
        <v>95</v>
      </c>
      <c r="M688">
        <v>17.23</v>
      </c>
      <c r="N688">
        <v>234.7</v>
      </c>
      <c r="O688">
        <v>103</v>
      </c>
      <c r="P688">
        <v>10.56</v>
      </c>
      <c r="Q688">
        <v>13.1</v>
      </c>
      <c r="R688">
        <v>3</v>
      </c>
      <c r="S688">
        <v>3.54</v>
      </c>
      <c r="T688">
        <v>1</v>
      </c>
      <c r="U688" t="s">
        <v>22</v>
      </c>
      <c r="V688" t="e">
        <f>IF(#REF! = "yes", 1, 0)</f>
        <v>#REF!</v>
      </c>
      <c r="W688" t="e">
        <f>IF(#REF! &lt;= 1, "0-1 Calls", IF(#REF! &lt;= 3, "2-3 Calls", IF(#REF! &lt;=5, "4-5 Calls", "6+ Calls")))</f>
        <v>#REF!</v>
      </c>
      <c r="X688" t="e">
        <f>IF(#REF! &lt;= 50, "0-50", IF(#REF! &lt;=100, "51-100", IF(#REF! &lt;= 150, "101-150", "151+")))</f>
        <v>#REF!</v>
      </c>
      <c r="Y688" t="e">
        <f>IF(#REF! &lt;= 3, "Low Charges", "High Charges")</f>
        <v>#REF!</v>
      </c>
      <c r="Z688" t="e">
        <f>IF(#REF!&lt;=80,"Low Calls",
IF(#REF!&lt;=120,"Medium Calls","High Calls"))</f>
        <v>#REF!</v>
      </c>
      <c r="AA688" t="e">
        <f>IF(#REF!&lt;=15,"Low Charges",
IF(#REF!&lt;=20,"Medium Charges","High Charges"))</f>
        <v>#REF!</v>
      </c>
      <c r="AB688" t="e">
        <f>IF(AND(#REF!&gt;180, #REF!&gt;200), "Heavy Doemstic User", IF(#REF!&gt;10, "Interntional User", IF(AND(#REF!&lt;180, #REF!&lt;200,#REF!&lt;200), "Light User", "Balanced User")))</f>
        <v>#REF!</v>
      </c>
      <c r="AC688" t="e">
        <f>IF(#REF! = 0, "No Usage", IF(#REF! &lt;= 20, "Low Usage", IF(#REF! &lt;= 40, "Medium Usgae", "High Usage")))</f>
        <v>#REF!</v>
      </c>
      <c r="AD688" t="e">
        <f>IF(#REF!&lt;=150,"Low Usage", IF(#REF!&lt;=200,"Medium Usage", IF(#REF!&lt;=250,"High Usage","Very High Usage")))</f>
        <v>#REF!</v>
      </c>
      <c r="AE688" t="e">
        <f>IF(#REF!&lt;=5,"Low Calls", IF(#REF!&lt;=10, "Medium Calls", "High Calls"))</f>
        <v>#REF!</v>
      </c>
      <c r="AF688" t="e">
        <f xml:space="preserve">
IF(#REF!&gt;=4,4,0)+
IF(#REF!="yes",3,0)+
IF(#REF!="High Charges",3,0)+
IF(#REF!&gt;250,4,0)+
IF(#REF!="no",1,0)+
IF(#REF!="Heavy Domestic User",2,0)</f>
        <v>#REF!</v>
      </c>
      <c r="AG688" t="e">
        <f>IF(#REF!&gt;=10,"High Risk", IF(#REF!&gt;=5,"Medium Risk","Low Risk"))</f>
        <v>#REF!</v>
      </c>
      <c r="AH688" t="e">
        <f>#REF! + #REF! + #REF! + #REF!</f>
        <v>#REF!</v>
      </c>
    </row>
    <row r="689" spans="1:34" x14ac:dyDescent="0.35">
      <c r="A689">
        <v>688</v>
      </c>
      <c r="B689" t="s">
        <v>31</v>
      </c>
      <c r="C689">
        <v>92</v>
      </c>
      <c r="D689" t="s">
        <v>28</v>
      </c>
      <c r="E689" t="s">
        <v>22</v>
      </c>
      <c r="F689" t="s">
        <v>23</v>
      </c>
      <c r="G689">
        <v>16</v>
      </c>
      <c r="H689">
        <v>184</v>
      </c>
      <c r="I689">
        <v>99</v>
      </c>
      <c r="J689">
        <v>31.28</v>
      </c>
      <c r="K689">
        <v>76.400000000000006</v>
      </c>
      <c r="L689">
        <v>134</v>
      </c>
      <c r="M689">
        <v>6.49</v>
      </c>
      <c r="N689">
        <v>185.1</v>
      </c>
      <c r="O689">
        <v>96</v>
      </c>
      <c r="P689">
        <v>8.33</v>
      </c>
      <c r="Q689">
        <v>12.7</v>
      </c>
      <c r="R689">
        <v>3</v>
      </c>
      <c r="S689">
        <v>3.43</v>
      </c>
      <c r="T689">
        <v>2</v>
      </c>
      <c r="U689" t="s">
        <v>22</v>
      </c>
      <c r="V689" t="e">
        <f>IF(#REF! = "yes", 1, 0)</f>
        <v>#REF!</v>
      </c>
      <c r="W689" t="e">
        <f>IF(#REF! &lt;= 1, "0-1 Calls", IF(#REF! &lt;= 3, "2-3 Calls", IF(#REF! &lt;=5, "4-5 Calls", "6+ Calls")))</f>
        <v>#REF!</v>
      </c>
      <c r="X689" t="e">
        <f>IF(#REF! &lt;= 50, "0-50", IF(#REF! &lt;=100, "51-100", IF(#REF! &lt;= 150, "101-150", "151+")))</f>
        <v>#REF!</v>
      </c>
      <c r="Y689" t="e">
        <f>IF(#REF! &lt;= 3, "Low Charges", "High Charges")</f>
        <v>#REF!</v>
      </c>
      <c r="Z689" t="e">
        <f>IF(#REF!&lt;=80,"Low Calls",
IF(#REF!&lt;=120,"Medium Calls","High Calls"))</f>
        <v>#REF!</v>
      </c>
      <c r="AA689" t="e">
        <f>IF(#REF!&lt;=15,"Low Charges",
IF(#REF!&lt;=20,"Medium Charges","High Charges"))</f>
        <v>#REF!</v>
      </c>
      <c r="AB689" t="e">
        <f>IF(AND(#REF!&gt;180, #REF!&gt;200), "Heavy Doemstic User", IF(#REF!&gt;10, "Interntional User", IF(AND(#REF!&lt;180, #REF!&lt;200,#REF!&lt;200), "Light User", "Balanced User")))</f>
        <v>#REF!</v>
      </c>
      <c r="AC689" t="e">
        <f>IF(#REF! = 0, "No Usage", IF(#REF! &lt;= 20, "Low Usage", IF(#REF! &lt;= 40, "Medium Usgae", "High Usage")))</f>
        <v>#REF!</v>
      </c>
      <c r="AD689" t="e">
        <f>IF(#REF!&lt;=150,"Low Usage", IF(#REF!&lt;=200,"Medium Usage", IF(#REF!&lt;=250,"High Usage","Very High Usage")))</f>
        <v>#REF!</v>
      </c>
      <c r="AE689" t="e">
        <f>IF(#REF!&lt;=5,"Low Calls", IF(#REF!&lt;=10, "Medium Calls", "High Calls"))</f>
        <v>#REF!</v>
      </c>
      <c r="AF689" t="e">
        <f xml:space="preserve">
IF(#REF!&gt;=4,4,0)+
IF(#REF!="yes",3,0)+
IF(#REF!="High Charges",3,0)+
IF(#REF!&gt;250,4,0)+
IF(#REF!="no",1,0)+
IF(#REF!="Heavy Domestic User",2,0)</f>
        <v>#REF!</v>
      </c>
      <c r="AG689" t="e">
        <f>IF(#REF!&gt;=10,"High Risk", IF(#REF!&gt;=5,"Medium Risk","Low Risk"))</f>
        <v>#REF!</v>
      </c>
      <c r="AH689" t="e">
        <f>#REF! + #REF! + #REF! + #REF!</f>
        <v>#REF!</v>
      </c>
    </row>
    <row r="690" spans="1:34" x14ac:dyDescent="0.35">
      <c r="A690">
        <v>689</v>
      </c>
      <c r="B690" t="s">
        <v>60</v>
      </c>
      <c r="C690">
        <v>80</v>
      </c>
      <c r="D690" t="s">
        <v>21</v>
      </c>
      <c r="E690" t="s">
        <v>22</v>
      </c>
      <c r="F690" t="s">
        <v>22</v>
      </c>
      <c r="G690">
        <v>0</v>
      </c>
      <c r="H690">
        <v>105.8</v>
      </c>
      <c r="I690">
        <v>110</v>
      </c>
      <c r="J690">
        <v>17.989999999999998</v>
      </c>
      <c r="K690">
        <v>43.9</v>
      </c>
      <c r="L690">
        <v>88</v>
      </c>
      <c r="M690">
        <v>3.73</v>
      </c>
      <c r="N690">
        <v>189.6</v>
      </c>
      <c r="O690">
        <v>87</v>
      </c>
      <c r="P690">
        <v>8.5299999999999994</v>
      </c>
      <c r="Q690">
        <v>13.1</v>
      </c>
      <c r="R690">
        <v>5</v>
      </c>
      <c r="S690">
        <v>3.54</v>
      </c>
      <c r="T690">
        <v>0</v>
      </c>
      <c r="U690" t="s">
        <v>22</v>
      </c>
      <c r="V690" t="e">
        <f>IF(#REF! = "yes", 1, 0)</f>
        <v>#REF!</v>
      </c>
      <c r="W690" t="e">
        <f>IF(#REF! &lt;= 1, "0-1 Calls", IF(#REF! &lt;= 3, "2-3 Calls", IF(#REF! &lt;=5, "4-5 Calls", "6+ Calls")))</f>
        <v>#REF!</v>
      </c>
      <c r="X690" t="e">
        <f>IF(#REF! &lt;= 50, "0-50", IF(#REF! &lt;=100, "51-100", IF(#REF! &lt;= 150, "101-150", "151+")))</f>
        <v>#REF!</v>
      </c>
      <c r="Y690" t="e">
        <f>IF(#REF! &lt;= 3, "Low Charges", "High Charges")</f>
        <v>#REF!</v>
      </c>
      <c r="Z690" t="e">
        <f>IF(#REF!&lt;=80,"Low Calls",
IF(#REF!&lt;=120,"Medium Calls","High Calls"))</f>
        <v>#REF!</v>
      </c>
      <c r="AA690" t="e">
        <f>IF(#REF!&lt;=15,"Low Charges",
IF(#REF!&lt;=20,"Medium Charges","High Charges"))</f>
        <v>#REF!</v>
      </c>
      <c r="AB690" t="e">
        <f>IF(AND(#REF!&gt;180, #REF!&gt;200), "Heavy Doemstic User", IF(#REF!&gt;10, "Interntional User", IF(AND(#REF!&lt;180, #REF!&lt;200,#REF!&lt;200), "Light User", "Balanced User")))</f>
        <v>#REF!</v>
      </c>
      <c r="AC690" t="e">
        <f>IF(#REF! = 0, "No Usage", IF(#REF! &lt;= 20, "Low Usage", IF(#REF! &lt;= 40, "Medium Usgae", "High Usage")))</f>
        <v>#REF!</v>
      </c>
      <c r="AD690" t="e">
        <f>IF(#REF!&lt;=150,"Low Usage", IF(#REF!&lt;=200,"Medium Usage", IF(#REF!&lt;=250,"High Usage","Very High Usage")))</f>
        <v>#REF!</v>
      </c>
      <c r="AE690" t="e">
        <f>IF(#REF!&lt;=5,"Low Calls", IF(#REF!&lt;=10, "Medium Calls", "High Calls"))</f>
        <v>#REF!</v>
      </c>
      <c r="AF690" t="e">
        <f xml:space="preserve">
IF(#REF!&gt;=4,4,0)+
IF(#REF!="yes",3,0)+
IF(#REF!="High Charges",3,0)+
IF(#REF!&gt;250,4,0)+
IF(#REF!="no",1,0)+
IF(#REF!="Heavy Domestic User",2,0)</f>
        <v>#REF!</v>
      </c>
      <c r="AG690" t="e">
        <f>IF(#REF!&gt;=10,"High Risk", IF(#REF!&gt;=5,"Medium Risk","Low Risk"))</f>
        <v>#REF!</v>
      </c>
      <c r="AH690" t="e">
        <f>#REF! + #REF! + #REF! + #REF!</f>
        <v>#REF!</v>
      </c>
    </row>
    <row r="691" spans="1:34" x14ac:dyDescent="0.35">
      <c r="A691">
        <v>690</v>
      </c>
      <c r="B691" t="s">
        <v>73</v>
      </c>
      <c r="C691">
        <v>77</v>
      </c>
      <c r="D691" t="s">
        <v>28</v>
      </c>
      <c r="E691" t="s">
        <v>22</v>
      </c>
      <c r="F691" t="s">
        <v>23</v>
      </c>
      <c r="G691">
        <v>24</v>
      </c>
      <c r="H691">
        <v>149.4</v>
      </c>
      <c r="I691">
        <v>74</v>
      </c>
      <c r="J691">
        <v>25.4</v>
      </c>
      <c r="K691">
        <v>123.9</v>
      </c>
      <c r="L691">
        <v>72</v>
      </c>
      <c r="M691">
        <v>10.53</v>
      </c>
      <c r="N691">
        <v>174.3</v>
      </c>
      <c r="O691">
        <v>84</v>
      </c>
      <c r="P691">
        <v>7.84</v>
      </c>
      <c r="Q691">
        <v>10.1</v>
      </c>
      <c r="R691">
        <v>6</v>
      </c>
      <c r="S691">
        <v>2.73</v>
      </c>
      <c r="T691">
        <v>1</v>
      </c>
      <c r="U691" t="s">
        <v>22</v>
      </c>
      <c r="V691" t="e">
        <f>IF(#REF! = "yes", 1, 0)</f>
        <v>#REF!</v>
      </c>
      <c r="W691" t="e">
        <f>IF(#REF! &lt;= 1, "0-1 Calls", IF(#REF! &lt;= 3, "2-3 Calls", IF(#REF! &lt;=5, "4-5 Calls", "6+ Calls")))</f>
        <v>#REF!</v>
      </c>
      <c r="X691" t="e">
        <f>IF(#REF! &lt;= 50, "0-50", IF(#REF! &lt;=100, "51-100", IF(#REF! &lt;= 150, "101-150", "151+")))</f>
        <v>#REF!</v>
      </c>
      <c r="Y691" t="e">
        <f>IF(#REF! &lt;= 3, "Low Charges", "High Charges")</f>
        <v>#REF!</v>
      </c>
      <c r="Z691" t="e">
        <f>IF(#REF!&lt;=80,"Low Calls",
IF(#REF!&lt;=120,"Medium Calls","High Calls"))</f>
        <v>#REF!</v>
      </c>
      <c r="AA691" t="e">
        <f>IF(#REF!&lt;=15,"Low Charges",
IF(#REF!&lt;=20,"Medium Charges","High Charges"))</f>
        <v>#REF!</v>
      </c>
      <c r="AB691" t="e">
        <f>IF(AND(#REF!&gt;180, #REF!&gt;200), "Heavy Doemstic User", IF(#REF!&gt;10, "Interntional User", IF(AND(#REF!&lt;180, #REF!&lt;200,#REF!&lt;200), "Light User", "Balanced User")))</f>
        <v>#REF!</v>
      </c>
      <c r="AC691" t="e">
        <f>IF(#REF! = 0, "No Usage", IF(#REF! &lt;= 20, "Low Usage", IF(#REF! &lt;= 40, "Medium Usgae", "High Usage")))</f>
        <v>#REF!</v>
      </c>
      <c r="AD691" t="e">
        <f>IF(#REF!&lt;=150,"Low Usage", IF(#REF!&lt;=200,"Medium Usage", IF(#REF!&lt;=250,"High Usage","Very High Usage")))</f>
        <v>#REF!</v>
      </c>
      <c r="AE691" t="e">
        <f>IF(#REF!&lt;=5,"Low Calls", IF(#REF!&lt;=10, "Medium Calls", "High Calls"))</f>
        <v>#REF!</v>
      </c>
      <c r="AF691" t="e">
        <f xml:space="preserve">
IF(#REF!&gt;=4,4,0)+
IF(#REF!="yes",3,0)+
IF(#REF!="High Charges",3,0)+
IF(#REF!&gt;250,4,0)+
IF(#REF!="no",1,0)+
IF(#REF!="Heavy Domestic User",2,0)</f>
        <v>#REF!</v>
      </c>
      <c r="AG691" t="e">
        <f>IF(#REF!&gt;=10,"High Risk", IF(#REF!&gt;=5,"Medium Risk","Low Risk"))</f>
        <v>#REF!</v>
      </c>
      <c r="AH691" t="e">
        <f>#REF! + #REF! + #REF! + #REF!</f>
        <v>#REF!</v>
      </c>
    </row>
    <row r="692" spans="1:34" x14ac:dyDescent="0.35">
      <c r="A692">
        <v>691</v>
      </c>
      <c r="B692" t="s">
        <v>29</v>
      </c>
      <c r="C692">
        <v>74</v>
      </c>
      <c r="D692" t="s">
        <v>21</v>
      </c>
      <c r="E692" t="s">
        <v>22</v>
      </c>
      <c r="F692" t="s">
        <v>22</v>
      </c>
      <c r="G692">
        <v>0</v>
      </c>
      <c r="H692">
        <v>172.1</v>
      </c>
      <c r="I692">
        <v>105</v>
      </c>
      <c r="J692">
        <v>29.26</v>
      </c>
      <c r="K692">
        <v>211.7</v>
      </c>
      <c r="L692">
        <v>99</v>
      </c>
      <c r="M692">
        <v>17.989999999999998</v>
      </c>
      <c r="N692">
        <v>182.2</v>
      </c>
      <c r="O692">
        <v>105</v>
      </c>
      <c r="P692">
        <v>8.1999999999999993</v>
      </c>
      <c r="Q692">
        <v>11.6</v>
      </c>
      <c r="R692">
        <v>6</v>
      </c>
      <c r="S692">
        <v>3.13</v>
      </c>
      <c r="T692">
        <v>1</v>
      </c>
      <c r="U692" t="s">
        <v>22</v>
      </c>
      <c r="V692" t="e">
        <f>IF(#REF! = "yes", 1, 0)</f>
        <v>#REF!</v>
      </c>
      <c r="W692" t="e">
        <f>IF(#REF! &lt;= 1, "0-1 Calls", IF(#REF! &lt;= 3, "2-3 Calls", IF(#REF! &lt;=5, "4-5 Calls", "6+ Calls")))</f>
        <v>#REF!</v>
      </c>
      <c r="X692" t="e">
        <f>IF(#REF! &lt;= 50, "0-50", IF(#REF! &lt;=100, "51-100", IF(#REF! &lt;= 150, "101-150", "151+")))</f>
        <v>#REF!</v>
      </c>
      <c r="Y692" t="e">
        <f>IF(#REF! &lt;= 3, "Low Charges", "High Charges")</f>
        <v>#REF!</v>
      </c>
      <c r="Z692" t="e">
        <f>IF(#REF!&lt;=80,"Low Calls",
IF(#REF!&lt;=120,"Medium Calls","High Calls"))</f>
        <v>#REF!</v>
      </c>
      <c r="AA692" t="e">
        <f>IF(#REF!&lt;=15,"Low Charges",
IF(#REF!&lt;=20,"Medium Charges","High Charges"))</f>
        <v>#REF!</v>
      </c>
      <c r="AB692" t="e">
        <f>IF(AND(#REF!&gt;180, #REF!&gt;200), "Heavy Doemstic User", IF(#REF!&gt;10, "Interntional User", IF(AND(#REF!&lt;180, #REF!&lt;200,#REF!&lt;200), "Light User", "Balanced User")))</f>
        <v>#REF!</v>
      </c>
      <c r="AC692" t="e">
        <f>IF(#REF! = 0, "No Usage", IF(#REF! &lt;= 20, "Low Usage", IF(#REF! &lt;= 40, "Medium Usgae", "High Usage")))</f>
        <v>#REF!</v>
      </c>
      <c r="AD692" t="e">
        <f>IF(#REF!&lt;=150,"Low Usage", IF(#REF!&lt;=200,"Medium Usage", IF(#REF!&lt;=250,"High Usage","Very High Usage")))</f>
        <v>#REF!</v>
      </c>
      <c r="AE692" t="e">
        <f>IF(#REF!&lt;=5,"Low Calls", IF(#REF!&lt;=10, "Medium Calls", "High Calls"))</f>
        <v>#REF!</v>
      </c>
      <c r="AF692" t="e">
        <f xml:space="preserve">
IF(#REF!&gt;=4,4,0)+
IF(#REF!="yes",3,0)+
IF(#REF!="High Charges",3,0)+
IF(#REF!&gt;250,4,0)+
IF(#REF!="no",1,0)+
IF(#REF!="Heavy Domestic User",2,0)</f>
        <v>#REF!</v>
      </c>
      <c r="AG692" t="e">
        <f>IF(#REF!&gt;=10,"High Risk", IF(#REF!&gt;=5,"Medium Risk","Low Risk"))</f>
        <v>#REF!</v>
      </c>
      <c r="AH692" t="e">
        <f>#REF! + #REF! + #REF! + #REF!</f>
        <v>#REF!</v>
      </c>
    </row>
    <row r="693" spans="1:34" x14ac:dyDescent="0.35">
      <c r="A693">
        <v>692</v>
      </c>
      <c r="B693" t="s">
        <v>40</v>
      </c>
      <c r="C693">
        <v>143</v>
      </c>
      <c r="D693" t="s">
        <v>21</v>
      </c>
      <c r="E693" t="s">
        <v>22</v>
      </c>
      <c r="F693" t="s">
        <v>22</v>
      </c>
      <c r="G693">
        <v>0</v>
      </c>
      <c r="H693">
        <v>119.1</v>
      </c>
      <c r="I693">
        <v>117</v>
      </c>
      <c r="J693">
        <v>20.25</v>
      </c>
      <c r="K693">
        <v>287.7</v>
      </c>
      <c r="L693">
        <v>136</v>
      </c>
      <c r="M693">
        <v>24.45</v>
      </c>
      <c r="N693">
        <v>223</v>
      </c>
      <c r="O693">
        <v>100</v>
      </c>
      <c r="P693">
        <v>10.039999999999999</v>
      </c>
      <c r="Q693">
        <v>12.2</v>
      </c>
      <c r="R693">
        <v>4</v>
      </c>
      <c r="S693">
        <v>3.29</v>
      </c>
      <c r="T693">
        <v>0</v>
      </c>
      <c r="U693" t="s">
        <v>22</v>
      </c>
      <c r="V693" t="e">
        <f>IF(#REF! = "yes", 1, 0)</f>
        <v>#REF!</v>
      </c>
      <c r="W693" t="e">
        <f>IF(#REF! &lt;= 1, "0-1 Calls", IF(#REF! &lt;= 3, "2-3 Calls", IF(#REF! &lt;=5, "4-5 Calls", "6+ Calls")))</f>
        <v>#REF!</v>
      </c>
      <c r="X693" t="e">
        <f>IF(#REF! &lt;= 50, "0-50", IF(#REF! &lt;=100, "51-100", IF(#REF! &lt;= 150, "101-150", "151+")))</f>
        <v>#REF!</v>
      </c>
      <c r="Y693" t="e">
        <f>IF(#REF! &lt;= 3, "Low Charges", "High Charges")</f>
        <v>#REF!</v>
      </c>
      <c r="Z693" t="e">
        <f>IF(#REF!&lt;=80,"Low Calls",
IF(#REF!&lt;=120,"Medium Calls","High Calls"))</f>
        <v>#REF!</v>
      </c>
      <c r="AA693" t="e">
        <f>IF(#REF!&lt;=15,"Low Charges",
IF(#REF!&lt;=20,"Medium Charges","High Charges"))</f>
        <v>#REF!</v>
      </c>
      <c r="AB693" t="e">
        <f>IF(AND(#REF!&gt;180, #REF!&gt;200), "Heavy Doemstic User", IF(#REF!&gt;10, "Interntional User", IF(AND(#REF!&lt;180, #REF!&lt;200,#REF!&lt;200), "Light User", "Balanced User")))</f>
        <v>#REF!</v>
      </c>
      <c r="AC693" t="e">
        <f>IF(#REF! = 0, "No Usage", IF(#REF! &lt;= 20, "Low Usage", IF(#REF! &lt;= 40, "Medium Usgae", "High Usage")))</f>
        <v>#REF!</v>
      </c>
      <c r="AD693" t="e">
        <f>IF(#REF!&lt;=150,"Low Usage", IF(#REF!&lt;=200,"Medium Usage", IF(#REF!&lt;=250,"High Usage","Very High Usage")))</f>
        <v>#REF!</v>
      </c>
      <c r="AE693" t="e">
        <f>IF(#REF!&lt;=5,"Low Calls", IF(#REF!&lt;=10, "Medium Calls", "High Calls"))</f>
        <v>#REF!</v>
      </c>
      <c r="AF693" t="e">
        <f xml:space="preserve">
IF(#REF!&gt;=4,4,0)+
IF(#REF!="yes",3,0)+
IF(#REF!="High Charges",3,0)+
IF(#REF!&gt;250,4,0)+
IF(#REF!="no",1,0)+
IF(#REF!="Heavy Domestic User",2,0)</f>
        <v>#REF!</v>
      </c>
      <c r="AG693" t="e">
        <f>IF(#REF!&gt;=10,"High Risk", IF(#REF!&gt;=5,"Medium Risk","Low Risk"))</f>
        <v>#REF!</v>
      </c>
      <c r="AH693" t="e">
        <f>#REF! + #REF! + #REF! + #REF!</f>
        <v>#REF!</v>
      </c>
    </row>
    <row r="694" spans="1:34" x14ac:dyDescent="0.35">
      <c r="A694">
        <v>693</v>
      </c>
      <c r="B694" t="s">
        <v>45</v>
      </c>
      <c r="C694">
        <v>64</v>
      </c>
      <c r="D694" t="s">
        <v>21</v>
      </c>
      <c r="E694" t="s">
        <v>22</v>
      </c>
      <c r="F694" t="s">
        <v>22</v>
      </c>
      <c r="G694">
        <v>0</v>
      </c>
      <c r="H694">
        <v>194.2</v>
      </c>
      <c r="I694">
        <v>147</v>
      </c>
      <c r="J694">
        <v>33.01</v>
      </c>
      <c r="K694">
        <v>173.4</v>
      </c>
      <c r="L694">
        <v>87</v>
      </c>
      <c r="M694">
        <v>14.74</v>
      </c>
      <c r="N694">
        <v>268.7</v>
      </c>
      <c r="O694">
        <v>114</v>
      </c>
      <c r="P694">
        <v>12.09</v>
      </c>
      <c r="Q694">
        <v>5.5</v>
      </c>
      <c r="R694">
        <v>2</v>
      </c>
      <c r="S694">
        <v>1.49</v>
      </c>
      <c r="T694">
        <v>2</v>
      </c>
      <c r="U694" t="s">
        <v>22</v>
      </c>
      <c r="V694" t="e">
        <f>IF(#REF! = "yes", 1, 0)</f>
        <v>#REF!</v>
      </c>
      <c r="W694" t="e">
        <f>IF(#REF! &lt;= 1, "0-1 Calls", IF(#REF! &lt;= 3, "2-3 Calls", IF(#REF! &lt;=5, "4-5 Calls", "6+ Calls")))</f>
        <v>#REF!</v>
      </c>
      <c r="X694" t="e">
        <f>IF(#REF! &lt;= 50, "0-50", IF(#REF! &lt;=100, "51-100", IF(#REF! &lt;= 150, "101-150", "151+")))</f>
        <v>#REF!</v>
      </c>
      <c r="Y694" t="e">
        <f>IF(#REF! &lt;= 3, "Low Charges", "High Charges")</f>
        <v>#REF!</v>
      </c>
      <c r="Z694" t="e">
        <f>IF(#REF!&lt;=80,"Low Calls",
IF(#REF!&lt;=120,"Medium Calls","High Calls"))</f>
        <v>#REF!</v>
      </c>
      <c r="AA694" t="e">
        <f>IF(#REF!&lt;=15,"Low Charges",
IF(#REF!&lt;=20,"Medium Charges","High Charges"))</f>
        <v>#REF!</v>
      </c>
      <c r="AB694" t="e">
        <f>IF(AND(#REF!&gt;180, #REF!&gt;200), "Heavy Doemstic User", IF(#REF!&gt;10, "Interntional User", IF(AND(#REF!&lt;180, #REF!&lt;200,#REF!&lt;200), "Light User", "Balanced User")))</f>
        <v>#REF!</v>
      </c>
      <c r="AC694" t="e">
        <f>IF(#REF! = 0, "No Usage", IF(#REF! &lt;= 20, "Low Usage", IF(#REF! &lt;= 40, "Medium Usgae", "High Usage")))</f>
        <v>#REF!</v>
      </c>
      <c r="AD694" t="e">
        <f>IF(#REF!&lt;=150,"Low Usage", IF(#REF!&lt;=200,"Medium Usage", IF(#REF!&lt;=250,"High Usage","Very High Usage")))</f>
        <v>#REF!</v>
      </c>
      <c r="AE694" t="e">
        <f>IF(#REF!&lt;=5,"Low Calls", IF(#REF!&lt;=10, "Medium Calls", "High Calls"))</f>
        <v>#REF!</v>
      </c>
      <c r="AF694" t="e">
        <f xml:space="preserve">
IF(#REF!&gt;=4,4,0)+
IF(#REF!="yes",3,0)+
IF(#REF!="High Charges",3,0)+
IF(#REF!&gt;250,4,0)+
IF(#REF!="no",1,0)+
IF(#REF!="Heavy Domestic User",2,0)</f>
        <v>#REF!</v>
      </c>
      <c r="AG694" t="e">
        <f>IF(#REF!&gt;=10,"High Risk", IF(#REF!&gt;=5,"Medium Risk","Low Risk"))</f>
        <v>#REF!</v>
      </c>
      <c r="AH694" t="e">
        <f>#REF! + #REF! + #REF! + #REF!</f>
        <v>#REF!</v>
      </c>
    </row>
    <row r="695" spans="1:34" x14ac:dyDescent="0.35">
      <c r="A695">
        <v>694</v>
      </c>
      <c r="B695" t="s">
        <v>66</v>
      </c>
      <c r="C695">
        <v>120</v>
      </c>
      <c r="D695" t="s">
        <v>28</v>
      </c>
      <c r="E695" t="s">
        <v>22</v>
      </c>
      <c r="F695" t="s">
        <v>22</v>
      </c>
      <c r="G695">
        <v>0</v>
      </c>
      <c r="H695">
        <v>198.8</v>
      </c>
      <c r="I695">
        <v>56</v>
      </c>
      <c r="J695">
        <v>33.799999999999997</v>
      </c>
      <c r="K695">
        <v>230.1</v>
      </c>
      <c r="L695">
        <v>73</v>
      </c>
      <c r="M695">
        <v>19.559999999999999</v>
      </c>
      <c r="N695">
        <v>119.8</v>
      </c>
      <c r="O695">
        <v>81</v>
      </c>
      <c r="P695">
        <v>5.39</v>
      </c>
      <c r="Q695">
        <v>9.9</v>
      </c>
      <c r="R695">
        <v>3</v>
      </c>
      <c r="S695">
        <v>2.67</v>
      </c>
      <c r="T695">
        <v>2</v>
      </c>
      <c r="U695" t="s">
        <v>22</v>
      </c>
      <c r="V695" t="e">
        <f>IF(#REF! = "yes", 1, 0)</f>
        <v>#REF!</v>
      </c>
      <c r="W695" t="e">
        <f>IF(#REF! &lt;= 1, "0-1 Calls", IF(#REF! &lt;= 3, "2-3 Calls", IF(#REF! &lt;=5, "4-5 Calls", "6+ Calls")))</f>
        <v>#REF!</v>
      </c>
      <c r="X695" t="e">
        <f>IF(#REF! &lt;= 50, "0-50", IF(#REF! &lt;=100, "51-100", IF(#REF! &lt;= 150, "101-150", "151+")))</f>
        <v>#REF!</v>
      </c>
      <c r="Y695" t="e">
        <f>IF(#REF! &lt;= 3, "Low Charges", "High Charges")</f>
        <v>#REF!</v>
      </c>
      <c r="Z695" t="e">
        <f>IF(#REF!&lt;=80,"Low Calls",
IF(#REF!&lt;=120,"Medium Calls","High Calls"))</f>
        <v>#REF!</v>
      </c>
      <c r="AA695" t="e">
        <f>IF(#REF!&lt;=15,"Low Charges",
IF(#REF!&lt;=20,"Medium Charges","High Charges"))</f>
        <v>#REF!</v>
      </c>
      <c r="AB695" t="e">
        <f>IF(AND(#REF!&gt;180, #REF!&gt;200), "Heavy Doemstic User", IF(#REF!&gt;10, "Interntional User", IF(AND(#REF!&lt;180, #REF!&lt;200,#REF!&lt;200), "Light User", "Balanced User")))</f>
        <v>#REF!</v>
      </c>
      <c r="AC695" t="e">
        <f>IF(#REF! = 0, "No Usage", IF(#REF! &lt;= 20, "Low Usage", IF(#REF! &lt;= 40, "Medium Usgae", "High Usage")))</f>
        <v>#REF!</v>
      </c>
      <c r="AD695" t="e">
        <f>IF(#REF!&lt;=150,"Low Usage", IF(#REF!&lt;=200,"Medium Usage", IF(#REF!&lt;=250,"High Usage","Very High Usage")))</f>
        <v>#REF!</v>
      </c>
      <c r="AE695" t="e">
        <f>IF(#REF!&lt;=5,"Low Calls", IF(#REF!&lt;=10, "Medium Calls", "High Calls"))</f>
        <v>#REF!</v>
      </c>
      <c r="AF695" t="e">
        <f xml:space="preserve">
IF(#REF!&gt;=4,4,0)+
IF(#REF!="yes",3,0)+
IF(#REF!="High Charges",3,0)+
IF(#REF!&gt;250,4,0)+
IF(#REF!="no",1,0)+
IF(#REF!="Heavy Domestic User",2,0)</f>
        <v>#REF!</v>
      </c>
      <c r="AG695" t="e">
        <f>IF(#REF!&gt;=10,"High Risk", IF(#REF!&gt;=5,"Medium Risk","Low Risk"))</f>
        <v>#REF!</v>
      </c>
      <c r="AH695" t="e">
        <f>#REF! + #REF! + #REF! + #REF!</f>
        <v>#REF!</v>
      </c>
    </row>
    <row r="696" spans="1:34" x14ac:dyDescent="0.35">
      <c r="A696">
        <v>695</v>
      </c>
      <c r="B696" t="s">
        <v>41</v>
      </c>
      <c r="C696">
        <v>121</v>
      </c>
      <c r="D696" t="s">
        <v>25</v>
      </c>
      <c r="E696" t="s">
        <v>23</v>
      </c>
      <c r="F696" t="s">
        <v>22</v>
      </c>
      <c r="G696">
        <v>0</v>
      </c>
      <c r="H696">
        <v>167.7</v>
      </c>
      <c r="I696">
        <v>94</v>
      </c>
      <c r="J696">
        <v>28.51</v>
      </c>
      <c r="K696">
        <v>93.7</v>
      </c>
      <c r="L696">
        <v>121</v>
      </c>
      <c r="M696">
        <v>7.96</v>
      </c>
      <c r="N696">
        <v>241.3</v>
      </c>
      <c r="O696">
        <v>115</v>
      </c>
      <c r="P696">
        <v>10.86</v>
      </c>
      <c r="Q696">
        <v>13.4</v>
      </c>
      <c r="R696">
        <v>1</v>
      </c>
      <c r="S696">
        <v>3.62</v>
      </c>
      <c r="T696">
        <v>3</v>
      </c>
      <c r="U696" t="s">
        <v>23</v>
      </c>
      <c r="V696" t="e">
        <f>IF(#REF! = "yes", 1, 0)</f>
        <v>#REF!</v>
      </c>
      <c r="W696" t="e">
        <f>IF(#REF! &lt;= 1, "0-1 Calls", IF(#REF! &lt;= 3, "2-3 Calls", IF(#REF! &lt;=5, "4-5 Calls", "6+ Calls")))</f>
        <v>#REF!</v>
      </c>
      <c r="X696" t="e">
        <f>IF(#REF! &lt;= 50, "0-50", IF(#REF! &lt;=100, "51-100", IF(#REF! &lt;= 150, "101-150", "151+")))</f>
        <v>#REF!</v>
      </c>
      <c r="Y696" t="e">
        <f>IF(#REF! &lt;= 3, "Low Charges", "High Charges")</f>
        <v>#REF!</v>
      </c>
      <c r="Z696" t="e">
        <f>IF(#REF!&lt;=80,"Low Calls",
IF(#REF!&lt;=120,"Medium Calls","High Calls"))</f>
        <v>#REF!</v>
      </c>
      <c r="AA696" t="e">
        <f>IF(#REF!&lt;=15,"Low Charges",
IF(#REF!&lt;=20,"Medium Charges","High Charges"))</f>
        <v>#REF!</v>
      </c>
      <c r="AB696" t="e">
        <f>IF(AND(#REF!&gt;180, #REF!&gt;200), "Heavy Doemstic User", IF(#REF!&gt;10, "Interntional User", IF(AND(#REF!&lt;180, #REF!&lt;200,#REF!&lt;200), "Light User", "Balanced User")))</f>
        <v>#REF!</v>
      </c>
      <c r="AC696" t="e">
        <f>IF(#REF! = 0, "No Usage", IF(#REF! &lt;= 20, "Low Usage", IF(#REF! &lt;= 40, "Medium Usgae", "High Usage")))</f>
        <v>#REF!</v>
      </c>
      <c r="AD696" t="e">
        <f>IF(#REF!&lt;=150,"Low Usage", IF(#REF!&lt;=200,"Medium Usage", IF(#REF!&lt;=250,"High Usage","Very High Usage")))</f>
        <v>#REF!</v>
      </c>
      <c r="AE696" t="e">
        <f>IF(#REF!&lt;=5,"Low Calls", IF(#REF!&lt;=10, "Medium Calls", "High Calls"))</f>
        <v>#REF!</v>
      </c>
      <c r="AF696" t="e">
        <f xml:space="preserve">
IF(#REF!&gt;=4,4,0)+
IF(#REF!="yes",3,0)+
IF(#REF!="High Charges",3,0)+
IF(#REF!&gt;250,4,0)+
IF(#REF!="no",1,0)+
IF(#REF!="Heavy Domestic User",2,0)</f>
        <v>#REF!</v>
      </c>
      <c r="AG696" t="e">
        <f>IF(#REF!&gt;=10,"High Risk", IF(#REF!&gt;=5,"Medium Risk","Low Risk"))</f>
        <v>#REF!</v>
      </c>
      <c r="AH696" t="e">
        <f>#REF! + #REF! + #REF! + #REF!</f>
        <v>#REF!</v>
      </c>
    </row>
    <row r="697" spans="1:34" x14ac:dyDescent="0.35">
      <c r="A697">
        <v>696</v>
      </c>
      <c r="B697" t="s">
        <v>46</v>
      </c>
      <c r="C697">
        <v>88</v>
      </c>
      <c r="D697" t="s">
        <v>21</v>
      </c>
      <c r="E697" t="s">
        <v>22</v>
      </c>
      <c r="F697" t="s">
        <v>22</v>
      </c>
      <c r="G697">
        <v>0</v>
      </c>
      <c r="H697">
        <v>202.2</v>
      </c>
      <c r="I697">
        <v>86</v>
      </c>
      <c r="J697">
        <v>34.369999999999997</v>
      </c>
      <c r="K697">
        <v>216.8</v>
      </c>
      <c r="L697">
        <v>93</v>
      </c>
      <c r="M697">
        <v>18.43</v>
      </c>
      <c r="N697">
        <v>239.4</v>
      </c>
      <c r="O697">
        <v>99</v>
      </c>
      <c r="P697">
        <v>10.77</v>
      </c>
      <c r="Q697">
        <v>11.8</v>
      </c>
      <c r="R697">
        <v>2</v>
      </c>
      <c r="S697">
        <v>3.19</v>
      </c>
      <c r="T697">
        <v>2</v>
      </c>
      <c r="U697" t="s">
        <v>22</v>
      </c>
      <c r="V697" t="e">
        <f>IF(#REF! = "yes", 1, 0)</f>
        <v>#REF!</v>
      </c>
      <c r="W697" t="e">
        <f>IF(#REF! &lt;= 1, "0-1 Calls", IF(#REF! &lt;= 3, "2-3 Calls", IF(#REF! &lt;=5, "4-5 Calls", "6+ Calls")))</f>
        <v>#REF!</v>
      </c>
      <c r="X697" t="e">
        <f>IF(#REF! &lt;= 50, "0-50", IF(#REF! &lt;=100, "51-100", IF(#REF! &lt;= 150, "101-150", "151+")))</f>
        <v>#REF!</v>
      </c>
      <c r="Y697" t="e">
        <f>IF(#REF! &lt;= 3, "Low Charges", "High Charges")</f>
        <v>#REF!</v>
      </c>
      <c r="Z697" t="e">
        <f>IF(#REF!&lt;=80,"Low Calls",
IF(#REF!&lt;=120,"Medium Calls","High Calls"))</f>
        <v>#REF!</v>
      </c>
      <c r="AA697" t="e">
        <f>IF(#REF!&lt;=15,"Low Charges",
IF(#REF!&lt;=20,"Medium Charges","High Charges"))</f>
        <v>#REF!</v>
      </c>
      <c r="AB697" t="e">
        <f>IF(AND(#REF!&gt;180, #REF!&gt;200), "Heavy Doemstic User", IF(#REF!&gt;10, "Interntional User", IF(AND(#REF!&lt;180, #REF!&lt;200,#REF!&lt;200), "Light User", "Balanced User")))</f>
        <v>#REF!</v>
      </c>
      <c r="AC697" t="e">
        <f>IF(#REF! = 0, "No Usage", IF(#REF! &lt;= 20, "Low Usage", IF(#REF! &lt;= 40, "Medium Usgae", "High Usage")))</f>
        <v>#REF!</v>
      </c>
      <c r="AD697" t="e">
        <f>IF(#REF!&lt;=150,"Low Usage", IF(#REF!&lt;=200,"Medium Usage", IF(#REF!&lt;=250,"High Usage","Very High Usage")))</f>
        <v>#REF!</v>
      </c>
      <c r="AE697" t="e">
        <f>IF(#REF!&lt;=5,"Low Calls", IF(#REF!&lt;=10, "Medium Calls", "High Calls"))</f>
        <v>#REF!</v>
      </c>
      <c r="AF697" t="e">
        <f xml:space="preserve">
IF(#REF!&gt;=4,4,0)+
IF(#REF!="yes",3,0)+
IF(#REF!="High Charges",3,0)+
IF(#REF!&gt;250,4,0)+
IF(#REF!="no",1,0)+
IF(#REF!="Heavy Domestic User",2,0)</f>
        <v>#REF!</v>
      </c>
      <c r="AG697" t="e">
        <f>IF(#REF!&gt;=10,"High Risk", IF(#REF!&gt;=5,"Medium Risk","Low Risk"))</f>
        <v>#REF!</v>
      </c>
      <c r="AH697" t="e">
        <f>#REF! + #REF! + #REF! + #REF!</f>
        <v>#REF!</v>
      </c>
    </row>
    <row r="698" spans="1:34" x14ac:dyDescent="0.35">
      <c r="A698">
        <v>697</v>
      </c>
      <c r="B698" t="s">
        <v>43</v>
      </c>
      <c r="C698">
        <v>87</v>
      </c>
      <c r="D698" t="s">
        <v>25</v>
      </c>
      <c r="E698" t="s">
        <v>22</v>
      </c>
      <c r="F698" t="s">
        <v>22</v>
      </c>
      <c r="G698">
        <v>0</v>
      </c>
      <c r="H698">
        <v>322.5</v>
      </c>
      <c r="I698">
        <v>106</v>
      </c>
      <c r="J698">
        <v>54.83</v>
      </c>
      <c r="K698">
        <v>204.6</v>
      </c>
      <c r="L698">
        <v>93</v>
      </c>
      <c r="M698">
        <v>17.39</v>
      </c>
      <c r="N698">
        <v>186.2</v>
      </c>
      <c r="O698">
        <v>128</v>
      </c>
      <c r="P698">
        <v>8.3800000000000008</v>
      </c>
      <c r="Q698">
        <v>9.4</v>
      </c>
      <c r="R698">
        <v>4</v>
      </c>
      <c r="S698">
        <v>2.54</v>
      </c>
      <c r="T698">
        <v>2</v>
      </c>
      <c r="U698" t="s">
        <v>23</v>
      </c>
      <c r="V698" t="e">
        <f>IF(#REF! = "yes", 1, 0)</f>
        <v>#REF!</v>
      </c>
      <c r="W698" t="e">
        <f>IF(#REF! &lt;= 1, "0-1 Calls", IF(#REF! &lt;= 3, "2-3 Calls", IF(#REF! &lt;=5, "4-5 Calls", "6+ Calls")))</f>
        <v>#REF!</v>
      </c>
      <c r="X698" t="e">
        <f>IF(#REF! &lt;= 50, "0-50", IF(#REF! &lt;=100, "51-100", IF(#REF! &lt;= 150, "101-150", "151+")))</f>
        <v>#REF!</v>
      </c>
      <c r="Y698" t="e">
        <f>IF(#REF! &lt;= 3, "Low Charges", "High Charges")</f>
        <v>#REF!</v>
      </c>
      <c r="Z698" t="e">
        <f>IF(#REF!&lt;=80,"Low Calls",
IF(#REF!&lt;=120,"Medium Calls","High Calls"))</f>
        <v>#REF!</v>
      </c>
      <c r="AA698" t="e">
        <f>IF(#REF!&lt;=15,"Low Charges",
IF(#REF!&lt;=20,"Medium Charges","High Charges"))</f>
        <v>#REF!</v>
      </c>
      <c r="AB698" t="e">
        <f>IF(AND(#REF!&gt;180, #REF!&gt;200), "Heavy Doemstic User", IF(#REF!&gt;10, "Interntional User", IF(AND(#REF!&lt;180, #REF!&lt;200,#REF!&lt;200), "Light User", "Balanced User")))</f>
        <v>#REF!</v>
      </c>
      <c r="AC698" t="e">
        <f>IF(#REF! = 0, "No Usage", IF(#REF! &lt;= 20, "Low Usage", IF(#REF! &lt;= 40, "Medium Usgae", "High Usage")))</f>
        <v>#REF!</v>
      </c>
      <c r="AD698" t="e">
        <f>IF(#REF!&lt;=150,"Low Usage", IF(#REF!&lt;=200,"Medium Usage", IF(#REF!&lt;=250,"High Usage","Very High Usage")))</f>
        <v>#REF!</v>
      </c>
      <c r="AE698" t="e">
        <f>IF(#REF!&lt;=5,"Low Calls", IF(#REF!&lt;=10, "Medium Calls", "High Calls"))</f>
        <v>#REF!</v>
      </c>
      <c r="AF698" t="e">
        <f xml:space="preserve">
IF(#REF!&gt;=4,4,0)+
IF(#REF!="yes",3,0)+
IF(#REF!="High Charges",3,0)+
IF(#REF!&gt;250,4,0)+
IF(#REF!="no",1,0)+
IF(#REF!="Heavy Domestic User",2,0)</f>
        <v>#REF!</v>
      </c>
      <c r="AG698" t="e">
        <f>IF(#REF!&gt;=10,"High Risk", IF(#REF!&gt;=5,"Medium Risk","Low Risk"))</f>
        <v>#REF!</v>
      </c>
      <c r="AH698" t="e">
        <f>#REF! + #REF! + #REF! + #REF!</f>
        <v>#REF!</v>
      </c>
    </row>
    <row r="699" spans="1:34" x14ac:dyDescent="0.35">
      <c r="A699">
        <v>698</v>
      </c>
      <c r="B699" t="s">
        <v>32</v>
      </c>
      <c r="C699">
        <v>100</v>
      </c>
      <c r="D699" t="s">
        <v>28</v>
      </c>
      <c r="E699" t="s">
        <v>22</v>
      </c>
      <c r="F699" t="s">
        <v>22</v>
      </c>
      <c r="G699">
        <v>0</v>
      </c>
      <c r="H699">
        <v>216.2</v>
      </c>
      <c r="I699">
        <v>107</v>
      </c>
      <c r="J699">
        <v>36.75</v>
      </c>
      <c r="K699">
        <v>215.6</v>
      </c>
      <c r="L699">
        <v>84</v>
      </c>
      <c r="M699">
        <v>18.329999999999998</v>
      </c>
      <c r="N699">
        <v>138.4</v>
      </c>
      <c r="O699">
        <v>127</v>
      </c>
      <c r="P699">
        <v>6.23</v>
      </c>
      <c r="Q699">
        <v>10.199999999999999</v>
      </c>
      <c r="R699">
        <v>3</v>
      </c>
      <c r="S699">
        <v>2.75</v>
      </c>
      <c r="T699">
        <v>0</v>
      </c>
      <c r="U699" t="s">
        <v>22</v>
      </c>
      <c r="V699" t="e">
        <f>IF(#REF! = "yes", 1, 0)</f>
        <v>#REF!</v>
      </c>
      <c r="W699" t="e">
        <f>IF(#REF! &lt;= 1, "0-1 Calls", IF(#REF! &lt;= 3, "2-3 Calls", IF(#REF! &lt;=5, "4-5 Calls", "6+ Calls")))</f>
        <v>#REF!</v>
      </c>
      <c r="X699" t="e">
        <f>IF(#REF! &lt;= 50, "0-50", IF(#REF! &lt;=100, "51-100", IF(#REF! &lt;= 150, "101-150", "151+")))</f>
        <v>#REF!</v>
      </c>
      <c r="Y699" t="e">
        <f>IF(#REF! &lt;= 3, "Low Charges", "High Charges")</f>
        <v>#REF!</v>
      </c>
      <c r="Z699" t="e">
        <f>IF(#REF!&lt;=80,"Low Calls",
IF(#REF!&lt;=120,"Medium Calls","High Calls"))</f>
        <v>#REF!</v>
      </c>
      <c r="AA699" t="e">
        <f>IF(#REF!&lt;=15,"Low Charges",
IF(#REF!&lt;=20,"Medium Charges","High Charges"))</f>
        <v>#REF!</v>
      </c>
      <c r="AB699" t="e">
        <f>IF(AND(#REF!&gt;180, #REF!&gt;200), "Heavy Doemstic User", IF(#REF!&gt;10, "Interntional User", IF(AND(#REF!&lt;180, #REF!&lt;200,#REF!&lt;200), "Light User", "Balanced User")))</f>
        <v>#REF!</v>
      </c>
      <c r="AC699" t="e">
        <f>IF(#REF! = 0, "No Usage", IF(#REF! &lt;= 20, "Low Usage", IF(#REF! &lt;= 40, "Medium Usgae", "High Usage")))</f>
        <v>#REF!</v>
      </c>
      <c r="AD699" t="e">
        <f>IF(#REF!&lt;=150,"Low Usage", IF(#REF!&lt;=200,"Medium Usage", IF(#REF!&lt;=250,"High Usage","Very High Usage")))</f>
        <v>#REF!</v>
      </c>
      <c r="AE699" t="e">
        <f>IF(#REF!&lt;=5,"Low Calls", IF(#REF!&lt;=10, "Medium Calls", "High Calls"))</f>
        <v>#REF!</v>
      </c>
      <c r="AF699" t="e">
        <f xml:space="preserve">
IF(#REF!&gt;=4,4,0)+
IF(#REF!="yes",3,0)+
IF(#REF!="High Charges",3,0)+
IF(#REF!&gt;250,4,0)+
IF(#REF!="no",1,0)+
IF(#REF!="Heavy Domestic User",2,0)</f>
        <v>#REF!</v>
      </c>
      <c r="AG699" t="e">
        <f>IF(#REF!&gt;=10,"High Risk", IF(#REF!&gt;=5,"Medium Risk","Low Risk"))</f>
        <v>#REF!</v>
      </c>
      <c r="AH699" t="e">
        <f>#REF! + #REF! + #REF! + #REF!</f>
        <v>#REF!</v>
      </c>
    </row>
    <row r="700" spans="1:34" x14ac:dyDescent="0.35">
      <c r="A700">
        <v>699</v>
      </c>
      <c r="B700" t="s">
        <v>40</v>
      </c>
      <c r="C700">
        <v>104</v>
      </c>
      <c r="D700" t="s">
        <v>21</v>
      </c>
      <c r="E700" t="s">
        <v>22</v>
      </c>
      <c r="F700" t="s">
        <v>22</v>
      </c>
      <c r="G700">
        <v>0</v>
      </c>
      <c r="H700">
        <v>76.400000000000006</v>
      </c>
      <c r="I700">
        <v>116</v>
      </c>
      <c r="J700">
        <v>12.99</v>
      </c>
      <c r="K700">
        <v>115.6</v>
      </c>
      <c r="L700">
        <v>74</v>
      </c>
      <c r="M700">
        <v>9.83</v>
      </c>
      <c r="N700">
        <v>226.3</v>
      </c>
      <c r="O700">
        <v>94</v>
      </c>
      <c r="P700">
        <v>10.18</v>
      </c>
      <c r="Q700">
        <v>9.4</v>
      </c>
      <c r="R700">
        <v>3</v>
      </c>
      <c r="S700">
        <v>2.54</v>
      </c>
      <c r="T700">
        <v>3</v>
      </c>
      <c r="U700" t="s">
        <v>22</v>
      </c>
      <c r="V700" t="e">
        <f>IF(#REF! = "yes", 1, 0)</f>
        <v>#REF!</v>
      </c>
      <c r="W700" t="e">
        <f>IF(#REF! &lt;= 1, "0-1 Calls", IF(#REF! &lt;= 3, "2-3 Calls", IF(#REF! &lt;=5, "4-5 Calls", "6+ Calls")))</f>
        <v>#REF!</v>
      </c>
      <c r="X700" t="e">
        <f>IF(#REF! &lt;= 50, "0-50", IF(#REF! &lt;=100, "51-100", IF(#REF! &lt;= 150, "101-150", "151+")))</f>
        <v>#REF!</v>
      </c>
      <c r="Y700" t="e">
        <f>IF(#REF! &lt;= 3, "Low Charges", "High Charges")</f>
        <v>#REF!</v>
      </c>
      <c r="Z700" t="e">
        <f>IF(#REF!&lt;=80,"Low Calls",
IF(#REF!&lt;=120,"Medium Calls","High Calls"))</f>
        <v>#REF!</v>
      </c>
      <c r="AA700" t="e">
        <f>IF(#REF!&lt;=15,"Low Charges",
IF(#REF!&lt;=20,"Medium Charges","High Charges"))</f>
        <v>#REF!</v>
      </c>
      <c r="AB700" t="e">
        <f>IF(AND(#REF!&gt;180, #REF!&gt;200), "Heavy Doemstic User", IF(#REF!&gt;10, "Interntional User", IF(AND(#REF!&lt;180, #REF!&lt;200,#REF!&lt;200), "Light User", "Balanced User")))</f>
        <v>#REF!</v>
      </c>
      <c r="AC700" t="e">
        <f>IF(#REF! = 0, "No Usage", IF(#REF! &lt;= 20, "Low Usage", IF(#REF! &lt;= 40, "Medium Usgae", "High Usage")))</f>
        <v>#REF!</v>
      </c>
      <c r="AD700" t="e">
        <f>IF(#REF!&lt;=150,"Low Usage", IF(#REF!&lt;=200,"Medium Usage", IF(#REF!&lt;=250,"High Usage","Very High Usage")))</f>
        <v>#REF!</v>
      </c>
      <c r="AE700" t="e">
        <f>IF(#REF!&lt;=5,"Low Calls", IF(#REF!&lt;=10, "Medium Calls", "High Calls"))</f>
        <v>#REF!</v>
      </c>
      <c r="AF700" t="e">
        <f xml:space="preserve">
IF(#REF!&gt;=4,4,0)+
IF(#REF!="yes",3,0)+
IF(#REF!="High Charges",3,0)+
IF(#REF!&gt;250,4,0)+
IF(#REF!="no",1,0)+
IF(#REF!="Heavy Domestic User",2,0)</f>
        <v>#REF!</v>
      </c>
      <c r="AG700" t="e">
        <f>IF(#REF!&gt;=10,"High Risk", IF(#REF!&gt;=5,"Medium Risk","Low Risk"))</f>
        <v>#REF!</v>
      </c>
      <c r="AH700" t="e">
        <f>#REF! + #REF! + #REF! + #REF!</f>
        <v>#REF!</v>
      </c>
    </row>
    <row r="701" spans="1:34" x14ac:dyDescent="0.35">
      <c r="A701">
        <v>700</v>
      </c>
      <c r="B701" t="s">
        <v>48</v>
      </c>
      <c r="C701">
        <v>27</v>
      </c>
      <c r="D701" t="s">
        <v>28</v>
      </c>
      <c r="E701" t="s">
        <v>22</v>
      </c>
      <c r="F701" t="s">
        <v>22</v>
      </c>
      <c r="G701">
        <v>0</v>
      </c>
      <c r="H701">
        <v>72.7</v>
      </c>
      <c r="I701">
        <v>75</v>
      </c>
      <c r="J701">
        <v>12.36</v>
      </c>
      <c r="K701">
        <v>208.6</v>
      </c>
      <c r="L701">
        <v>117</v>
      </c>
      <c r="M701">
        <v>17.73</v>
      </c>
      <c r="N701">
        <v>65.8</v>
      </c>
      <c r="O701">
        <v>71</v>
      </c>
      <c r="P701">
        <v>2.96</v>
      </c>
      <c r="Q701">
        <v>9.9</v>
      </c>
      <c r="R701">
        <v>3</v>
      </c>
      <c r="S701">
        <v>2.67</v>
      </c>
      <c r="T701">
        <v>1</v>
      </c>
      <c r="U701" t="s">
        <v>22</v>
      </c>
      <c r="V701" t="e">
        <f>IF(#REF! = "yes", 1, 0)</f>
        <v>#REF!</v>
      </c>
      <c r="W701" t="e">
        <f>IF(#REF! &lt;= 1, "0-1 Calls", IF(#REF! &lt;= 3, "2-3 Calls", IF(#REF! &lt;=5, "4-5 Calls", "6+ Calls")))</f>
        <v>#REF!</v>
      </c>
      <c r="X701" t="e">
        <f>IF(#REF! &lt;= 50, "0-50", IF(#REF! &lt;=100, "51-100", IF(#REF! &lt;= 150, "101-150", "151+")))</f>
        <v>#REF!</v>
      </c>
      <c r="Y701" t="e">
        <f>IF(#REF! &lt;= 3, "Low Charges", "High Charges")</f>
        <v>#REF!</v>
      </c>
      <c r="Z701" t="e">
        <f>IF(#REF!&lt;=80,"Low Calls",
IF(#REF!&lt;=120,"Medium Calls","High Calls"))</f>
        <v>#REF!</v>
      </c>
      <c r="AA701" t="e">
        <f>IF(#REF!&lt;=15,"Low Charges",
IF(#REF!&lt;=20,"Medium Charges","High Charges"))</f>
        <v>#REF!</v>
      </c>
      <c r="AB701" t="e">
        <f>IF(AND(#REF!&gt;180, #REF!&gt;200), "Heavy Doemstic User", IF(#REF!&gt;10, "Interntional User", IF(AND(#REF!&lt;180, #REF!&lt;200,#REF!&lt;200), "Light User", "Balanced User")))</f>
        <v>#REF!</v>
      </c>
      <c r="AC701" t="e">
        <f>IF(#REF! = 0, "No Usage", IF(#REF! &lt;= 20, "Low Usage", IF(#REF! &lt;= 40, "Medium Usgae", "High Usage")))</f>
        <v>#REF!</v>
      </c>
      <c r="AD701" t="e">
        <f>IF(#REF!&lt;=150,"Low Usage", IF(#REF!&lt;=200,"Medium Usage", IF(#REF!&lt;=250,"High Usage","Very High Usage")))</f>
        <v>#REF!</v>
      </c>
      <c r="AE701" t="e">
        <f>IF(#REF!&lt;=5,"Low Calls", IF(#REF!&lt;=10, "Medium Calls", "High Calls"))</f>
        <v>#REF!</v>
      </c>
      <c r="AF701" t="e">
        <f xml:space="preserve">
IF(#REF!&gt;=4,4,0)+
IF(#REF!="yes",3,0)+
IF(#REF!="High Charges",3,0)+
IF(#REF!&gt;250,4,0)+
IF(#REF!="no",1,0)+
IF(#REF!="Heavy Domestic User",2,0)</f>
        <v>#REF!</v>
      </c>
      <c r="AG701" t="e">
        <f>IF(#REF!&gt;=10,"High Risk", IF(#REF!&gt;=5,"Medium Risk","Low Risk"))</f>
        <v>#REF!</v>
      </c>
      <c r="AH701" t="e">
        <f>#REF! + #REF! + #REF! + #REF!</f>
        <v>#REF!</v>
      </c>
    </row>
    <row r="702" spans="1:34" x14ac:dyDescent="0.35">
      <c r="A702">
        <v>701</v>
      </c>
      <c r="B702" t="s">
        <v>72</v>
      </c>
      <c r="C702">
        <v>81</v>
      </c>
      <c r="D702" t="s">
        <v>21</v>
      </c>
      <c r="E702" t="s">
        <v>22</v>
      </c>
      <c r="F702" t="s">
        <v>23</v>
      </c>
      <c r="G702">
        <v>31</v>
      </c>
      <c r="H702">
        <v>210.4</v>
      </c>
      <c r="I702">
        <v>100</v>
      </c>
      <c r="J702">
        <v>35.770000000000003</v>
      </c>
      <c r="K702">
        <v>225.5</v>
      </c>
      <c r="L702">
        <v>97</v>
      </c>
      <c r="M702">
        <v>19.170000000000002</v>
      </c>
      <c r="N702">
        <v>168.7</v>
      </c>
      <c r="O702">
        <v>120</v>
      </c>
      <c r="P702">
        <v>7.59</v>
      </c>
      <c r="Q702">
        <v>9.6999999999999993</v>
      </c>
      <c r="R702">
        <v>4</v>
      </c>
      <c r="S702">
        <v>2.62</v>
      </c>
      <c r="T702">
        <v>0</v>
      </c>
      <c r="U702" t="s">
        <v>22</v>
      </c>
      <c r="V702" t="e">
        <f>IF(#REF! = "yes", 1, 0)</f>
        <v>#REF!</v>
      </c>
      <c r="W702" t="e">
        <f>IF(#REF! &lt;= 1, "0-1 Calls", IF(#REF! &lt;= 3, "2-3 Calls", IF(#REF! &lt;=5, "4-5 Calls", "6+ Calls")))</f>
        <v>#REF!</v>
      </c>
      <c r="X702" t="e">
        <f>IF(#REF! &lt;= 50, "0-50", IF(#REF! &lt;=100, "51-100", IF(#REF! &lt;= 150, "101-150", "151+")))</f>
        <v>#REF!</v>
      </c>
      <c r="Y702" t="e">
        <f>IF(#REF! &lt;= 3, "Low Charges", "High Charges")</f>
        <v>#REF!</v>
      </c>
      <c r="Z702" t="e">
        <f>IF(#REF!&lt;=80,"Low Calls",
IF(#REF!&lt;=120,"Medium Calls","High Calls"))</f>
        <v>#REF!</v>
      </c>
      <c r="AA702" t="e">
        <f>IF(#REF!&lt;=15,"Low Charges",
IF(#REF!&lt;=20,"Medium Charges","High Charges"))</f>
        <v>#REF!</v>
      </c>
      <c r="AB702" t="e">
        <f>IF(AND(#REF!&gt;180, #REF!&gt;200), "Heavy Doemstic User", IF(#REF!&gt;10, "Interntional User", IF(AND(#REF!&lt;180, #REF!&lt;200,#REF!&lt;200), "Light User", "Balanced User")))</f>
        <v>#REF!</v>
      </c>
      <c r="AC702" t="e">
        <f>IF(#REF! = 0, "No Usage", IF(#REF! &lt;= 20, "Low Usage", IF(#REF! &lt;= 40, "Medium Usgae", "High Usage")))</f>
        <v>#REF!</v>
      </c>
      <c r="AD702" t="e">
        <f>IF(#REF!&lt;=150,"Low Usage", IF(#REF!&lt;=200,"Medium Usage", IF(#REF!&lt;=250,"High Usage","Very High Usage")))</f>
        <v>#REF!</v>
      </c>
      <c r="AE702" t="e">
        <f>IF(#REF!&lt;=5,"Low Calls", IF(#REF!&lt;=10, "Medium Calls", "High Calls"))</f>
        <v>#REF!</v>
      </c>
      <c r="AF702" t="e">
        <f xml:space="preserve">
IF(#REF!&gt;=4,4,0)+
IF(#REF!="yes",3,0)+
IF(#REF!="High Charges",3,0)+
IF(#REF!&gt;250,4,0)+
IF(#REF!="no",1,0)+
IF(#REF!="Heavy Domestic User",2,0)</f>
        <v>#REF!</v>
      </c>
      <c r="AG702" t="e">
        <f>IF(#REF!&gt;=10,"High Risk", IF(#REF!&gt;=5,"Medium Risk","Low Risk"))</f>
        <v>#REF!</v>
      </c>
      <c r="AH702" t="e">
        <f>#REF! + #REF! + #REF! + #REF!</f>
        <v>#REF!</v>
      </c>
    </row>
    <row r="703" spans="1:34" x14ac:dyDescent="0.35">
      <c r="A703">
        <v>702</v>
      </c>
      <c r="B703" t="s">
        <v>58</v>
      </c>
      <c r="C703">
        <v>64</v>
      </c>
      <c r="D703" t="s">
        <v>28</v>
      </c>
      <c r="E703" t="s">
        <v>23</v>
      </c>
      <c r="F703" t="s">
        <v>23</v>
      </c>
      <c r="G703">
        <v>33</v>
      </c>
      <c r="H703">
        <v>127.2</v>
      </c>
      <c r="I703">
        <v>93</v>
      </c>
      <c r="J703">
        <v>21.62</v>
      </c>
      <c r="K703">
        <v>162.9</v>
      </c>
      <c r="L703">
        <v>104</v>
      </c>
      <c r="M703">
        <v>13.85</v>
      </c>
      <c r="N703">
        <v>247.4</v>
      </c>
      <c r="O703">
        <v>109</v>
      </c>
      <c r="P703">
        <v>11.13</v>
      </c>
      <c r="Q703">
        <v>8.1</v>
      </c>
      <c r="R703">
        <v>13</v>
      </c>
      <c r="S703">
        <v>2.19</v>
      </c>
      <c r="T703">
        <v>0</v>
      </c>
      <c r="U703" t="s">
        <v>22</v>
      </c>
      <c r="V703" t="e">
        <f>IF(#REF! = "yes", 1, 0)</f>
        <v>#REF!</v>
      </c>
      <c r="W703" t="e">
        <f>IF(#REF! &lt;= 1, "0-1 Calls", IF(#REF! &lt;= 3, "2-3 Calls", IF(#REF! &lt;=5, "4-5 Calls", "6+ Calls")))</f>
        <v>#REF!</v>
      </c>
      <c r="X703" t="e">
        <f>IF(#REF! &lt;= 50, "0-50", IF(#REF! &lt;=100, "51-100", IF(#REF! &lt;= 150, "101-150", "151+")))</f>
        <v>#REF!</v>
      </c>
      <c r="Y703" t="e">
        <f>IF(#REF! &lt;= 3, "Low Charges", "High Charges")</f>
        <v>#REF!</v>
      </c>
      <c r="Z703" t="e">
        <f>IF(#REF!&lt;=80,"Low Calls",
IF(#REF!&lt;=120,"Medium Calls","High Calls"))</f>
        <v>#REF!</v>
      </c>
      <c r="AA703" t="e">
        <f>IF(#REF!&lt;=15,"Low Charges",
IF(#REF!&lt;=20,"Medium Charges","High Charges"))</f>
        <v>#REF!</v>
      </c>
      <c r="AB703" t="e">
        <f>IF(AND(#REF!&gt;180, #REF!&gt;200), "Heavy Doemstic User", IF(#REF!&gt;10, "Interntional User", IF(AND(#REF!&lt;180, #REF!&lt;200,#REF!&lt;200), "Light User", "Balanced User")))</f>
        <v>#REF!</v>
      </c>
      <c r="AC703" t="e">
        <f>IF(#REF! = 0, "No Usage", IF(#REF! &lt;= 20, "Low Usage", IF(#REF! &lt;= 40, "Medium Usgae", "High Usage")))</f>
        <v>#REF!</v>
      </c>
      <c r="AD703" t="e">
        <f>IF(#REF!&lt;=150,"Low Usage", IF(#REF!&lt;=200,"Medium Usage", IF(#REF!&lt;=250,"High Usage","Very High Usage")))</f>
        <v>#REF!</v>
      </c>
      <c r="AE703" t="e">
        <f>IF(#REF!&lt;=5,"Low Calls", IF(#REF!&lt;=10, "Medium Calls", "High Calls"))</f>
        <v>#REF!</v>
      </c>
      <c r="AF703" t="e">
        <f xml:space="preserve">
IF(#REF!&gt;=4,4,0)+
IF(#REF!="yes",3,0)+
IF(#REF!="High Charges",3,0)+
IF(#REF!&gt;250,4,0)+
IF(#REF!="no",1,0)+
IF(#REF!="Heavy Domestic User",2,0)</f>
        <v>#REF!</v>
      </c>
      <c r="AG703" t="e">
        <f>IF(#REF!&gt;=10,"High Risk", IF(#REF!&gt;=5,"Medium Risk","Low Risk"))</f>
        <v>#REF!</v>
      </c>
      <c r="AH703" t="e">
        <f>#REF! + #REF! + #REF! + #REF!</f>
        <v>#REF!</v>
      </c>
    </row>
    <row r="704" spans="1:34" x14ac:dyDescent="0.35">
      <c r="A704">
        <v>703</v>
      </c>
      <c r="B704" t="s">
        <v>64</v>
      </c>
      <c r="C704">
        <v>107</v>
      </c>
      <c r="D704" t="s">
        <v>28</v>
      </c>
      <c r="E704" t="s">
        <v>22</v>
      </c>
      <c r="F704" t="s">
        <v>23</v>
      </c>
      <c r="G704">
        <v>28</v>
      </c>
      <c r="H704">
        <v>201.8</v>
      </c>
      <c r="I704">
        <v>79</v>
      </c>
      <c r="J704">
        <v>34.31</v>
      </c>
      <c r="K704">
        <v>304.89999999999998</v>
      </c>
      <c r="L704">
        <v>128</v>
      </c>
      <c r="M704">
        <v>25.92</v>
      </c>
      <c r="N704">
        <v>225.6</v>
      </c>
      <c r="O704">
        <v>133</v>
      </c>
      <c r="P704">
        <v>10.15</v>
      </c>
      <c r="Q704">
        <v>11.9</v>
      </c>
      <c r="R704">
        <v>8</v>
      </c>
      <c r="S704">
        <v>3.21</v>
      </c>
      <c r="T704">
        <v>1</v>
      </c>
      <c r="U704" t="s">
        <v>22</v>
      </c>
      <c r="V704" t="e">
        <f>IF(#REF! = "yes", 1, 0)</f>
        <v>#REF!</v>
      </c>
      <c r="W704" t="e">
        <f>IF(#REF! &lt;= 1, "0-1 Calls", IF(#REF! &lt;= 3, "2-3 Calls", IF(#REF! &lt;=5, "4-5 Calls", "6+ Calls")))</f>
        <v>#REF!</v>
      </c>
      <c r="X704" t="e">
        <f>IF(#REF! &lt;= 50, "0-50", IF(#REF! &lt;=100, "51-100", IF(#REF! &lt;= 150, "101-150", "151+")))</f>
        <v>#REF!</v>
      </c>
      <c r="Y704" t="e">
        <f>IF(#REF! &lt;= 3, "Low Charges", "High Charges")</f>
        <v>#REF!</v>
      </c>
      <c r="Z704" t="e">
        <f>IF(#REF!&lt;=80,"Low Calls",
IF(#REF!&lt;=120,"Medium Calls","High Calls"))</f>
        <v>#REF!</v>
      </c>
      <c r="AA704" t="e">
        <f>IF(#REF!&lt;=15,"Low Charges",
IF(#REF!&lt;=20,"Medium Charges","High Charges"))</f>
        <v>#REF!</v>
      </c>
      <c r="AB704" t="e">
        <f>IF(AND(#REF!&gt;180, #REF!&gt;200), "Heavy Doemstic User", IF(#REF!&gt;10, "Interntional User", IF(AND(#REF!&lt;180, #REF!&lt;200,#REF!&lt;200), "Light User", "Balanced User")))</f>
        <v>#REF!</v>
      </c>
      <c r="AC704" t="e">
        <f>IF(#REF! = 0, "No Usage", IF(#REF! &lt;= 20, "Low Usage", IF(#REF! &lt;= 40, "Medium Usgae", "High Usage")))</f>
        <v>#REF!</v>
      </c>
      <c r="AD704" t="e">
        <f>IF(#REF!&lt;=150,"Low Usage", IF(#REF!&lt;=200,"Medium Usage", IF(#REF!&lt;=250,"High Usage","Very High Usage")))</f>
        <v>#REF!</v>
      </c>
      <c r="AE704" t="e">
        <f>IF(#REF!&lt;=5,"Low Calls", IF(#REF!&lt;=10, "Medium Calls", "High Calls"))</f>
        <v>#REF!</v>
      </c>
      <c r="AF704" t="e">
        <f xml:space="preserve">
IF(#REF!&gt;=4,4,0)+
IF(#REF!="yes",3,0)+
IF(#REF!="High Charges",3,0)+
IF(#REF!&gt;250,4,0)+
IF(#REF!="no",1,0)+
IF(#REF!="Heavy Domestic User",2,0)</f>
        <v>#REF!</v>
      </c>
      <c r="AG704" t="e">
        <f>IF(#REF!&gt;=10,"High Risk", IF(#REF!&gt;=5,"Medium Risk","Low Risk"))</f>
        <v>#REF!</v>
      </c>
      <c r="AH704" t="e">
        <f>#REF! + #REF! + #REF! + #REF!</f>
        <v>#REF!</v>
      </c>
    </row>
    <row r="705" spans="1:34" x14ac:dyDescent="0.35">
      <c r="A705">
        <v>704</v>
      </c>
      <c r="B705" t="s">
        <v>64</v>
      </c>
      <c r="C705">
        <v>111</v>
      </c>
      <c r="D705" t="s">
        <v>25</v>
      </c>
      <c r="E705" t="s">
        <v>22</v>
      </c>
      <c r="F705" t="s">
        <v>22</v>
      </c>
      <c r="G705">
        <v>0</v>
      </c>
      <c r="H705">
        <v>99.3</v>
      </c>
      <c r="I705">
        <v>112</v>
      </c>
      <c r="J705">
        <v>16.88</v>
      </c>
      <c r="K705">
        <v>270.5</v>
      </c>
      <c r="L705">
        <v>136</v>
      </c>
      <c r="M705">
        <v>22.99</v>
      </c>
      <c r="N705">
        <v>225.3</v>
      </c>
      <c r="O705">
        <v>94</v>
      </c>
      <c r="P705">
        <v>10.14</v>
      </c>
      <c r="Q705">
        <v>9</v>
      </c>
      <c r="R705">
        <v>6</v>
      </c>
      <c r="S705">
        <v>2.4300000000000002</v>
      </c>
      <c r="T705">
        <v>3</v>
      </c>
      <c r="U705" t="s">
        <v>22</v>
      </c>
      <c r="V705" t="e">
        <f>IF(#REF! = "yes", 1, 0)</f>
        <v>#REF!</v>
      </c>
      <c r="W705" t="e">
        <f>IF(#REF! &lt;= 1, "0-1 Calls", IF(#REF! &lt;= 3, "2-3 Calls", IF(#REF! &lt;=5, "4-5 Calls", "6+ Calls")))</f>
        <v>#REF!</v>
      </c>
      <c r="X705" t="e">
        <f>IF(#REF! &lt;= 50, "0-50", IF(#REF! &lt;=100, "51-100", IF(#REF! &lt;= 150, "101-150", "151+")))</f>
        <v>#REF!</v>
      </c>
      <c r="Y705" t="e">
        <f>IF(#REF! &lt;= 3, "Low Charges", "High Charges")</f>
        <v>#REF!</v>
      </c>
      <c r="Z705" t="e">
        <f>IF(#REF!&lt;=80,"Low Calls",
IF(#REF!&lt;=120,"Medium Calls","High Calls"))</f>
        <v>#REF!</v>
      </c>
      <c r="AA705" t="e">
        <f>IF(#REF!&lt;=15,"Low Charges",
IF(#REF!&lt;=20,"Medium Charges","High Charges"))</f>
        <v>#REF!</v>
      </c>
      <c r="AB705" t="e">
        <f>IF(AND(#REF!&gt;180, #REF!&gt;200), "Heavy Doemstic User", IF(#REF!&gt;10, "Interntional User", IF(AND(#REF!&lt;180, #REF!&lt;200,#REF!&lt;200), "Light User", "Balanced User")))</f>
        <v>#REF!</v>
      </c>
      <c r="AC705" t="e">
        <f>IF(#REF! = 0, "No Usage", IF(#REF! &lt;= 20, "Low Usage", IF(#REF! &lt;= 40, "Medium Usgae", "High Usage")))</f>
        <v>#REF!</v>
      </c>
      <c r="AD705" t="e">
        <f>IF(#REF!&lt;=150,"Low Usage", IF(#REF!&lt;=200,"Medium Usage", IF(#REF!&lt;=250,"High Usage","Very High Usage")))</f>
        <v>#REF!</v>
      </c>
      <c r="AE705" t="e">
        <f>IF(#REF!&lt;=5,"Low Calls", IF(#REF!&lt;=10, "Medium Calls", "High Calls"))</f>
        <v>#REF!</v>
      </c>
      <c r="AF705" t="e">
        <f xml:space="preserve">
IF(#REF!&gt;=4,4,0)+
IF(#REF!="yes",3,0)+
IF(#REF!="High Charges",3,0)+
IF(#REF!&gt;250,4,0)+
IF(#REF!="no",1,0)+
IF(#REF!="Heavy Domestic User",2,0)</f>
        <v>#REF!</v>
      </c>
      <c r="AG705" t="e">
        <f>IF(#REF!&gt;=10,"High Risk", IF(#REF!&gt;=5,"Medium Risk","Low Risk"))</f>
        <v>#REF!</v>
      </c>
      <c r="AH705" t="e">
        <f>#REF! + #REF! + #REF! + #REF!</f>
        <v>#REF!</v>
      </c>
    </row>
    <row r="706" spans="1:34" x14ac:dyDescent="0.35">
      <c r="A706">
        <v>705</v>
      </c>
      <c r="B706" t="s">
        <v>62</v>
      </c>
      <c r="C706">
        <v>77</v>
      </c>
      <c r="D706" t="s">
        <v>21</v>
      </c>
      <c r="E706" t="s">
        <v>22</v>
      </c>
      <c r="F706" t="s">
        <v>22</v>
      </c>
      <c r="G706">
        <v>0</v>
      </c>
      <c r="H706">
        <v>239.2</v>
      </c>
      <c r="I706">
        <v>114</v>
      </c>
      <c r="J706">
        <v>40.659999999999997</v>
      </c>
      <c r="K706">
        <v>150</v>
      </c>
      <c r="L706">
        <v>115</v>
      </c>
      <c r="M706">
        <v>12.75</v>
      </c>
      <c r="N706">
        <v>160.80000000000001</v>
      </c>
      <c r="O706">
        <v>81</v>
      </c>
      <c r="P706">
        <v>7.24</v>
      </c>
      <c r="Q706">
        <v>10.3</v>
      </c>
      <c r="R706">
        <v>2</v>
      </c>
      <c r="S706">
        <v>2.78</v>
      </c>
      <c r="T706">
        <v>5</v>
      </c>
      <c r="U706" t="s">
        <v>22</v>
      </c>
      <c r="V706" t="e">
        <f>IF(#REF! = "yes", 1, 0)</f>
        <v>#REF!</v>
      </c>
      <c r="W706" t="e">
        <f>IF(#REF! &lt;= 1, "0-1 Calls", IF(#REF! &lt;= 3, "2-3 Calls", IF(#REF! &lt;=5, "4-5 Calls", "6+ Calls")))</f>
        <v>#REF!</v>
      </c>
      <c r="X706" t="e">
        <f>IF(#REF! &lt;= 50, "0-50", IF(#REF! &lt;=100, "51-100", IF(#REF! &lt;= 150, "101-150", "151+")))</f>
        <v>#REF!</v>
      </c>
      <c r="Y706" t="e">
        <f>IF(#REF! &lt;= 3, "Low Charges", "High Charges")</f>
        <v>#REF!</v>
      </c>
      <c r="Z706" t="e">
        <f>IF(#REF!&lt;=80,"Low Calls",
IF(#REF!&lt;=120,"Medium Calls","High Calls"))</f>
        <v>#REF!</v>
      </c>
      <c r="AA706" t="e">
        <f>IF(#REF!&lt;=15,"Low Charges",
IF(#REF!&lt;=20,"Medium Charges","High Charges"))</f>
        <v>#REF!</v>
      </c>
      <c r="AB706" t="e">
        <f>IF(AND(#REF!&gt;180, #REF!&gt;200), "Heavy Doemstic User", IF(#REF!&gt;10, "Interntional User", IF(AND(#REF!&lt;180, #REF!&lt;200,#REF!&lt;200), "Light User", "Balanced User")))</f>
        <v>#REF!</v>
      </c>
      <c r="AC706" t="e">
        <f>IF(#REF! = 0, "No Usage", IF(#REF! &lt;= 20, "Low Usage", IF(#REF! &lt;= 40, "Medium Usgae", "High Usage")))</f>
        <v>#REF!</v>
      </c>
      <c r="AD706" t="e">
        <f>IF(#REF!&lt;=150,"Low Usage", IF(#REF!&lt;=200,"Medium Usage", IF(#REF!&lt;=250,"High Usage","Very High Usage")))</f>
        <v>#REF!</v>
      </c>
      <c r="AE706" t="e">
        <f>IF(#REF!&lt;=5,"Low Calls", IF(#REF!&lt;=10, "Medium Calls", "High Calls"))</f>
        <v>#REF!</v>
      </c>
      <c r="AF706" t="e">
        <f xml:space="preserve">
IF(#REF!&gt;=4,4,0)+
IF(#REF!="yes",3,0)+
IF(#REF!="High Charges",3,0)+
IF(#REF!&gt;250,4,0)+
IF(#REF!="no",1,0)+
IF(#REF!="Heavy Domestic User",2,0)</f>
        <v>#REF!</v>
      </c>
      <c r="AG706" t="e">
        <f>IF(#REF!&gt;=10,"High Risk", IF(#REF!&gt;=5,"Medium Risk","Low Risk"))</f>
        <v>#REF!</v>
      </c>
      <c r="AH706" t="e">
        <f>#REF! + #REF! + #REF! + #REF!</f>
        <v>#REF!</v>
      </c>
    </row>
    <row r="707" spans="1:34" x14ac:dyDescent="0.35">
      <c r="A707">
        <v>706</v>
      </c>
      <c r="B707" t="s">
        <v>52</v>
      </c>
      <c r="C707">
        <v>67</v>
      </c>
      <c r="D707" t="s">
        <v>21</v>
      </c>
      <c r="E707" t="s">
        <v>23</v>
      </c>
      <c r="F707" t="s">
        <v>22</v>
      </c>
      <c r="G707">
        <v>0</v>
      </c>
      <c r="H707">
        <v>120.9</v>
      </c>
      <c r="I707">
        <v>58</v>
      </c>
      <c r="J707">
        <v>20.55</v>
      </c>
      <c r="K707">
        <v>235</v>
      </c>
      <c r="L707">
        <v>88</v>
      </c>
      <c r="M707">
        <v>19.98</v>
      </c>
      <c r="N707">
        <v>95.1</v>
      </c>
      <c r="O707">
        <v>130</v>
      </c>
      <c r="P707">
        <v>4.28</v>
      </c>
      <c r="Q707">
        <v>11.4</v>
      </c>
      <c r="R707">
        <v>11</v>
      </c>
      <c r="S707">
        <v>3.08</v>
      </c>
      <c r="T707">
        <v>2</v>
      </c>
      <c r="U707" t="s">
        <v>22</v>
      </c>
      <c r="V707" t="e">
        <f>IF(#REF! = "yes", 1, 0)</f>
        <v>#REF!</v>
      </c>
      <c r="W707" t="e">
        <f>IF(#REF! &lt;= 1, "0-1 Calls", IF(#REF! &lt;= 3, "2-3 Calls", IF(#REF! &lt;=5, "4-5 Calls", "6+ Calls")))</f>
        <v>#REF!</v>
      </c>
      <c r="X707" t="e">
        <f>IF(#REF! &lt;= 50, "0-50", IF(#REF! &lt;=100, "51-100", IF(#REF! &lt;= 150, "101-150", "151+")))</f>
        <v>#REF!</v>
      </c>
      <c r="Y707" t="e">
        <f>IF(#REF! &lt;= 3, "Low Charges", "High Charges")</f>
        <v>#REF!</v>
      </c>
      <c r="Z707" t="e">
        <f>IF(#REF!&lt;=80,"Low Calls",
IF(#REF!&lt;=120,"Medium Calls","High Calls"))</f>
        <v>#REF!</v>
      </c>
      <c r="AA707" t="e">
        <f>IF(#REF!&lt;=15,"Low Charges",
IF(#REF!&lt;=20,"Medium Charges","High Charges"))</f>
        <v>#REF!</v>
      </c>
      <c r="AB707" t="e">
        <f>IF(AND(#REF!&gt;180, #REF!&gt;200), "Heavy Doemstic User", IF(#REF!&gt;10, "Interntional User", IF(AND(#REF!&lt;180, #REF!&lt;200,#REF!&lt;200), "Light User", "Balanced User")))</f>
        <v>#REF!</v>
      </c>
      <c r="AC707" t="e">
        <f>IF(#REF! = 0, "No Usage", IF(#REF! &lt;= 20, "Low Usage", IF(#REF! &lt;= 40, "Medium Usgae", "High Usage")))</f>
        <v>#REF!</v>
      </c>
      <c r="AD707" t="e">
        <f>IF(#REF!&lt;=150,"Low Usage", IF(#REF!&lt;=200,"Medium Usage", IF(#REF!&lt;=250,"High Usage","Very High Usage")))</f>
        <v>#REF!</v>
      </c>
      <c r="AE707" t="e">
        <f>IF(#REF!&lt;=5,"Low Calls", IF(#REF!&lt;=10, "Medium Calls", "High Calls"))</f>
        <v>#REF!</v>
      </c>
      <c r="AF707" t="e">
        <f xml:space="preserve">
IF(#REF!&gt;=4,4,0)+
IF(#REF!="yes",3,0)+
IF(#REF!="High Charges",3,0)+
IF(#REF!&gt;250,4,0)+
IF(#REF!="no",1,0)+
IF(#REF!="Heavy Domestic User",2,0)</f>
        <v>#REF!</v>
      </c>
      <c r="AG707" t="e">
        <f>IF(#REF!&gt;=10,"High Risk", IF(#REF!&gt;=5,"Medium Risk","Low Risk"))</f>
        <v>#REF!</v>
      </c>
      <c r="AH707" t="e">
        <f>#REF! + #REF! + #REF! + #REF!</f>
        <v>#REF!</v>
      </c>
    </row>
    <row r="708" spans="1:34" x14ac:dyDescent="0.35">
      <c r="A708">
        <v>707</v>
      </c>
      <c r="B708" t="s">
        <v>68</v>
      </c>
      <c r="C708">
        <v>102</v>
      </c>
      <c r="D708" t="s">
        <v>25</v>
      </c>
      <c r="E708" t="s">
        <v>22</v>
      </c>
      <c r="F708" t="s">
        <v>22</v>
      </c>
      <c r="G708">
        <v>0</v>
      </c>
      <c r="H708">
        <v>224.7</v>
      </c>
      <c r="I708">
        <v>81</v>
      </c>
      <c r="J708">
        <v>38.200000000000003</v>
      </c>
      <c r="K708">
        <v>129.4</v>
      </c>
      <c r="L708">
        <v>112</v>
      </c>
      <c r="M708">
        <v>11</v>
      </c>
      <c r="N708">
        <v>167.6</v>
      </c>
      <c r="O708">
        <v>109</v>
      </c>
      <c r="P708">
        <v>7.54</v>
      </c>
      <c r="Q708">
        <v>15.8</v>
      </c>
      <c r="R708">
        <v>6</v>
      </c>
      <c r="S708">
        <v>4.2699999999999996</v>
      </c>
      <c r="T708">
        <v>1</v>
      </c>
      <c r="U708" t="s">
        <v>22</v>
      </c>
      <c r="V708" t="e">
        <f>IF(#REF! = "yes", 1, 0)</f>
        <v>#REF!</v>
      </c>
      <c r="W708" t="e">
        <f>IF(#REF! &lt;= 1, "0-1 Calls", IF(#REF! &lt;= 3, "2-3 Calls", IF(#REF! &lt;=5, "4-5 Calls", "6+ Calls")))</f>
        <v>#REF!</v>
      </c>
      <c r="X708" t="e">
        <f>IF(#REF! &lt;= 50, "0-50", IF(#REF! &lt;=100, "51-100", IF(#REF! &lt;= 150, "101-150", "151+")))</f>
        <v>#REF!</v>
      </c>
      <c r="Y708" t="e">
        <f>IF(#REF! &lt;= 3, "Low Charges", "High Charges")</f>
        <v>#REF!</v>
      </c>
      <c r="Z708" t="e">
        <f>IF(#REF!&lt;=80,"Low Calls",
IF(#REF!&lt;=120,"Medium Calls","High Calls"))</f>
        <v>#REF!</v>
      </c>
      <c r="AA708" t="e">
        <f>IF(#REF!&lt;=15,"Low Charges",
IF(#REF!&lt;=20,"Medium Charges","High Charges"))</f>
        <v>#REF!</v>
      </c>
      <c r="AB708" t="e">
        <f>IF(AND(#REF!&gt;180, #REF!&gt;200), "Heavy Doemstic User", IF(#REF!&gt;10, "Interntional User", IF(AND(#REF!&lt;180, #REF!&lt;200,#REF!&lt;200), "Light User", "Balanced User")))</f>
        <v>#REF!</v>
      </c>
      <c r="AC708" t="e">
        <f>IF(#REF! = 0, "No Usage", IF(#REF! &lt;= 20, "Low Usage", IF(#REF! &lt;= 40, "Medium Usgae", "High Usage")))</f>
        <v>#REF!</v>
      </c>
      <c r="AD708" t="e">
        <f>IF(#REF!&lt;=150,"Low Usage", IF(#REF!&lt;=200,"Medium Usage", IF(#REF!&lt;=250,"High Usage","Very High Usage")))</f>
        <v>#REF!</v>
      </c>
      <c r="AE708" t="e">
        <f>IF(#REF!&lt;=5,"Low Calls", IF(#REF!&lt;=10, "Medium Calls", "High Calls"))</f>
        <v>#REF!</v>
      </c>
      <c r="AF708" t="e">
        <f xml:space="preserve">
IF(#REF!&gt;=4,4,0)+
IF(#REF!="yes",3,0)+
IF(#REF!="High Charges",3,0)+
IF(#REF!&gt;250,4,0)+
IF(#REF!="no",1,0)+
IF(#REF!="Heavy Domestic User",2,0)</f>
        <v>#REF!</v>
      </c>
      <c r="AG708" t="e">
        <f>IF(#REF!&gt;=10,"High Risk", IF(#REF!&gt;=5,"Medium Risk","Low Risk"))</f>
        <v>#REF!</v>
      </c>
      <c r="AH708" t="e">
        <f>#REF! + #REF! + #REF! + #REF!</f>
        <v>#REF!</v>
      </c>
    </row>
    <row r="709" spans="1:34" x14ac:dyDescent="0.35">
      <c r="A709">
        <v>708</v>
      </c>
      <c r="B709" t="s">
        <v>75</v>
      </c>
      <c r="C709">
        <v>146</v>
      </c>
      <c r="D709" t="s">
        <v>25</v>
      </c>
      <c r="E709" t="s">
        <v>22</v>
      </c>
      <c r="F709" t="s">
        <v>23</v>
      </c>
      <c r="G709">
        <v>19</v>
      </c>
      <c r="H709">
        <v>176.6</v>
      </c>
      <c r="I709">
        <v>88</v>
      </c>
      <c r="J709">
        <v>30.02</v>
      </c>
      <c r="K709">
        <v>162.69999999999999</v>
      </c>
      <c r="L709">
        <v>66</v>
      </c>
      <c r="M709">
        <v>13.83</v>
      </c>
      <c r="N709">
        <v>215.5</v>
      </c>
      <c r="O709">
        <v>98</v>
      </c>
      <c r="P709">
        <v>9.6999999999999993</v>
      </c>
      <c r="Q709">
        <v>14.6</v>
      </c>
      <c r="R709">
        <v>6</v>
      </c>
      <c r="S709">
        <v>3.94</v>
      </c>
      <c r="T709">
        <v>1</v>
      </c>
      <c r="U709" t="s">
        <v>22</v>
      </c>
      <c r="V709" t="e">
        <f>IF(#REF! = "yes", 1, 0)</f>
        <v>#REF!</v>
      </c>
      <c r="W709" t="e">
        <f>IF(#REF! &lt;= 1, "0-1 Calls", IF(#REF! &lt;= 3, "2-3 Calls", IF(#REF! &lt;=5, "4-5 Calls", "6+ Calls")))</f>
        <v>#REF!</v>
      </c>
      <c r="X709" t="e">
        <f>IF(#REF! &lt;= 50, "0-50", IF(#REF! &lt;=100, "51-100", IF(#REF! &lt;= 150, "101-150", "151+")))</f>
        <v>#REF!</v>
      </c>
      <c r="Y709" t="e">
        <f>IF(#REF! &lt;= 3, "Low Charges", "High Charges")</f>
        <v>#REF!</v>
      </c>
      <c r="Z709" t="e">
        <f>IF(#REF!&lt;=80,"Low Calls",
IF(#REF!&lt;=120,"Medium Calls","High Calls"))</f>
        <v>#REF!</v>
      </c>
      <c r="AA709" t="e">
        <f>IF(#REF!&lt;=15,"Low Charges",
IF(#REF!&lt;=20,"Medium Charges","High Charges"))</f>
        <v>#REF!</v>
      </c>
      <c r="AB709" t="e">
        <f>IF(AND(#REF!&gt;180, #REF!&gt;200), "Heavy Doemstic User", IF(#REF!&gt;10, "Interntional User", IF(AND(#REF!&lt;180, #REF!&lt;200,#REF!&lt;200), "Light User", "Balanced User")))</f>
        <v>#REF!</v>
      </c>
      <c r="AC709" t="e">
        <f>IF(#REF! = 0, "No Usage", IF(#REF! &lt;= 20, "Low Usage", IF(#REF! &lt;= 40, "Medium Usgae", "High Usage")))</f>
        <v>#REF!</v>
      </c>
      <c r="AD709" t="e">
        <f>IF(#REF!&lt;=150,"Low Usage", IF(#REF!&lt;=200,"Medium Usage", IF(#REF!&lt;=250,"High Usage","Very High Usage")))</f>
        <v>#REF!</v>
      </c>
      <c r="AE709" t="e">
        <f>IF(#REF!&lt;=5,"Low Calls", IF(#REF!&lt;=10, "Medium Calls", "High Calls"))</f>
        <v>#REF!</v>
      </c>
      <c r="AF709" t="e">
        <f xml:space="preserve">
IF(#REF!&gt;=4,4,0)+
IF(#REF!="yes",3,0)+
IF(#REF!="High Charges",3,0)+
IF(#REF!&gt;250,4,0)+
IF(#REF!="no",1,0)+
IF(#REF!="Heavy Domestic User",2,0)</f>
        <v>#REF!</v>
      </c>
      <c r="AG709" t="e">
        <f>IF(#REF!&gt;=10,"High Risk", IF(#REF!&gt;=5,"Medium Risk","Low Risk"))</f>
        <v>#REF!</v>
      </c>
      <c r="AH709" t="e">
        <f>#REF! + #REF! + #REF! + #REF!</f>
        <v>#REF!</v>
      </c>
    </row>
    <row r="710" spans="1:34" x14ac:dyDescent="0.35">
      <c r="A710">
        <v>709</v>
      </c>
      <c r="B710" t="s">
        <v>69</v>
      </c>
      <c r="C710">
        <v>96</v>
      </c>
      <c r="D710" t="s">
        <v>21</v>
      </c>
      <c r="E710" t="s">
        <v>22</v>
      </c>
      <c r="F710" t="s">
        <v>22</v>
      </c>
      <c r="G710">
        <v>0</v>
      </c>
      <c r="H710">
        <v>180.6</v>
      </c>
      <c r="I710">
        <v>92</v>
      </c>
      <c r="J710">
        <v>30.7</v>
      </c>
      <c r="K710">
        <v>190.9</v>
      </c>
      <c r="L710">
        <v>114</v>
      </c>
      <c r="M710">
        <v>16.23</v>
      </c>
      <c r="N710">
        <v>295.60000000000002</v>
      </c>
      <c r="O710">
        <v>125</v>
      </c>
      <c r="P710">
        <v>13.3</v>
      </c>
      <c r="Q710">
        <v>10.3</v>
      </c>
      <c r="R710">
        <v>4</v>
      </c>
      <c r="S710">
        <v>2.78</v>
      </c>
      <c r="T710">
        <v>1</v>
      </c>
      <c r="U710" t="s">
        <v>23</v>
      </c>
      <c r="V710" t="e">
        <f>IF(#REF! = "yes", 1, 0)</f>
        <v>#REF!</v>
      </c>
      <c r="W710" t="e">
        <f>IF(#REF! &lt;= 1, "0-1 Calls", IF(#REF! &lt;= 3, "2-3 Calls", IF(#REF! &lt;=5, "4-5 Calls", "6+ Calls")))</f>
        <v>#REF!</v>
      </c>
      <c r="X710" t="e">
        <f>IF(#REF! &lt;= 50, "0-50", IF(#REF! &lt;=100, "51-100", IF(#REF! &lt;= 150, "101-150", "151+")))</f>
        <v>#REF!</v>
      </c>
      <c r="Y710" t="e">
        <f>IF(#REF! &lt;= 3, "Low Charges", "High Charges")</f>
        <v>#REF!</v>
      </c>
      <c r="Z710" t="e">
        <f>IF(#REF!&lt;=80,"Low Calls",
IF(#REF!&lt;=120,"Medium Calls","High Calls"))</f>
        <v>#REF!</v>
      </c>
      <c r="AA710" t="e">
        <f>IF(#REF!&lt;=15,"Low Charges",
IF(#REF!&lt;=20,"Medium Charges","High Charges"))</f>
        <v>#REF!</v>
      </c>
      <c r="AB710" t="e">
        <f>IF(AND(#REF!&gt;180, #REF!&gt;200), "Heavy Doemstic User", IF(#REF!&gt;10, "Interntional User", IF(AND(#REF!&lt;180, #REF!&lt;200,#REF!&lt;200), "Light User", "Balanced User")))</f>
        <v>#REF!</v>
      </c>
      <c r="AC710" t="e">
        <f>IF(#REF! = 0, "No Usage", IF(#REF! &lt;= 20, "Low Usage", IF(#REF! &lt;= 40, "Medium Usgae", "High Usage")))</f>
        <v>#REF!</v>
      </c>
      <c r="AD710" t="e">
        <f>IF(#REF!&lt;=150,"Low Usage", IF(#REF!&lt;=200,"Medium Usage", IF(#REF!&lt;=250,"High Usage","Very High Usage")))</f>
        <v>#REF!</v>
      </c>
      <c r="AE710" t="e">
        <f>IF(#REF!&lt;=5,"Low Calls", IF(#REF!&lt;=10, "Medium Calls", "High Calls"))</f>
        <v>#REF!</v>
      </c>
      <c r="AF710" t="e">
        <f xml:space="preserve">
IF(#REF!&gt;=4,4,0)+
IF(#REF!="yes",3,0)+
IF(#REF!="High Charges",3,0)+
IF(#REF!&gt;250,4,0)+
IF(#REF!="no",1,0)+
IF(#REF!="Heavy Domestic User",2,0)</f>
        <v>#REF!</v>
      </c>
      <c r="AG710" t="e">
        <f>IF(#REF!&gt;=10,"High Risk", IF(#REF!&gt;=5,"Medium Risk","Low Risk"))</f>
        <v>#REF!</v>
      </c>
      <c r="AH710" t="e">
        <f>#REF! + #REF! + #REF! + #REF!</f>
        <v>#REF!</v>
      </c>
    </row>
    <row r="711" spans="1:34" x14ac:dyDescent="0.35">
      <c r="A711">
        <v>710</v>
      </c>
      <c r="B711" t="s">
        <v>75</v>
      </c>
      <c r="C711">
        <v>70</v>
      </c>
      <c r="D711" t="s">
        <v>21</v>
      </c>
      <c r="E711" t="s">
        <v>22</v>
      </c>
      <c r="F711" t="s">
        <v>23</v>
      </c>
      <c r="G711">
        <v>31</v>
      </c>
      <c r="H711">
        <v>125.9</v>
      </c>
      <c r="I711">
        <v>101</v>
      </c>
      <c r="J711">
        <v>21.4</v>
      </c>
      <c r="K711">
        <v>196.4</v>
      </c>
      <c r="L711">
        <v>102</v>
      </c>
      <c r="M711">
        <v>16.690000000000001</v>
      </c>
      <c r="N711">
        <v>252.7</v>
      </c>
      <c r="O711">
        <v>75</v>
      </c>
      <c r="P711">
        <v>11.37</v>
      </c>
      <c r="Q711">
        <v>10.3</v>
      </c>
      <c r="R711">
        <v>4</v>
      </c>
      <c r="S711">
        <v>2.78</v>
      </c>
      <c r="T711">
        <v>1</v>
      </c>
      <c r="U711" t="s">
        <v>22</v>
      </c>
      <c r="V711" t="e">
        <f>IF(#REF! = "yes", 1, 0)</f>
        <v>#REF!</v>
      </c>
      <c r="W711" t="e">
        <f>IF(#REF! &lt;= 1, "0-1 Calls", IF(#REF! &lt;= 3, "2-3 Calls", IF(#REF! &lt;=5, "4-5 Calls", "6+ Calls")))</f>
        <v>#REF!</v>
      </c>
      <c r="X711" t="e">
        <f>IF(#REF! &lt;= 50, "0-50", IF(#REF! &lt;=100, "51-100", IF(#REF! &lt;= 150, "101-150", "151+")))</f>
        <v>#REF!</v>
      </c>
      <c r="Y711" t="e">
        <f>IF(#REF! &lt;= 3, "Low Charges", "High Charges")</f>
        <v>#REF!</v>
      </c>
      <c r="Z711" t="e">
        <f>IF(#REF!&lt;=80,"Low Calls",
IF(#REF!&lt;=120,"Medium Calls","High Calls"))</f>
        <v>#REF!</v>
      </c>
      <c r="AA711" t="e">
        <f>IF(#REF!&lt;=15,"Low Charges",
IF(#REF!&lt;=20,"Medium Charges","High Charges"))</f>
        <v>#REF!</v>
      </c>
      <c r="AB711" t="e">
        <f>IF(AND(#REF!&gt;180, #REF!&gt;200), "Heavy Doemstic User", IF(#REF!&gt;10, "Interntional User", IF(AND(#REF!&lt;180, #REF!&lt;200,#REF!&lt;200), "Light User", "Balanced User")))</f>
        <v>#REF!</v>
      </c>
      <c r="AC711" t="e">
        <f>IF(#REF! = 0, "No Usage", IF(#REF! &lt;= 20, "Low Usage", IF(#REF! &lt;= 40, "Medium Usgae", "High Usage")))</f>
        <v>#REF!</v>
      </c>
      <c r="AD711" t="e">
        <f>IF(#REF!&lt;=150,"Low Usage", IF(#REF!&lt;=200,"Medium Usage", IF(#REF!&lt;=250,"High Usage","Very High Usage")))</f>
        <v>#REF!</v>
      </c>
      <c r="AE711" t="e">
        <f>IF(#REF!&lt;=5,"Low Calls", IF(#REF!&lt;=10, "Medium Calls", "High Calls"))</f>
        <v>#REF!</v>
      </c>
      <c r="AF711" t="e">
        <f xml:space="preserve">
IF(#REF!&gt;=4,4,0)+
IF(#REF!="yes",3,0)+
IF(#REF!="High Charges",3,0)+
IF(#REF!&gt;250,4,0)+
IF(#REF!="no",1,0)+
IF(#REF!="Heavy Domestic User",2,0)</f>
        <v>#REF!</v>
      </c>
      <c r="AG711" t="e">
        <f>IF(#REF!&gt;=10,"High Risk", IF(#REF!&gt;=5,"Medium Risk","Low Risk"))</f>
        <v>#REF!</v>
      </c>
      <c r="AH711" t="e">
        <f>#REF! + #REF! + #REF! + #REF!</f>
        <v>#REF!</v>
      </c>
    </row>
    <row r="712" spans="1:34" x14ac:dyDescent="0.35">
      <c r="A712">
        <v>711</v>
      </c>
      <c r="B712" t="s">
        <v>66</v>
      </c>
      <c r="C712">
        <v>149</v>
      </c>
      <c r="D712" t="s">
        <v>25</v>
      </c>
      <c r="E712" t="s">
        <v>22</v>
      </c>
      <c r="F712" t="s">
        <v>22</v>
      </c>
      <c r="G712">
        <v>0</v>
      </c>
      <c r="H712">
        <v>237.6</v>
      </c>
      <c r="I712">
        <v>79</v>
      </c>
      <c r="J712">
        <v>40.39</v>
      </c>
      <c r="K712">
        <v>192.4</v>
      </c>
      <c r="L712">
        <v>107</v>
      </c>
      <c r="M712">
        <v>16.350000000000001</v>
      </c>
      <c r="N712">
        <v>207.4</v>
      </c>
      <c r="O712">
        <v>111</v>
      </c>
      <c r="P712">
        <v>9.33</v>
      </c>
      <c r="Q712">
        <v>9.1</v>
      </c>
      <c r="R712">
        <v>9</v>
      </c>
      <c r="S712">
        <v>2.46</v>
      </c>
      <c r="T712">
        <v>0</v>
      </c>
      <c r="U712" t="s">
        <v>22</v>
      </c>
      <c r="V712" t="e">
        <f>IF(#REF! = "yes", 1, 0)</f>
        <v>#REF!</v>
      </c>
      <c r="W712" t="e">
        <f>IF(#REF! &lt;= 1, "0-1 Calls", IF(#REF! &lt;= 3, "2-3 Calls", IF(#REF! &lt;=5, "4-5 Calls", "6+ Calls")))</f>
        <v>#REF!</v>
      </c>
      <c r="X712" t="e">
        <f>IF(#REF! &lt;= 50, "0-50", IF(#REF! &lt;=100, "51-100", IF(#REF! &lt;= 150, "101-150", "151+")))</f>
        <v>#REF!</v>
      </c>
      <c r="Y712" t="e">
        <f>IF(#REF! &lt;= 3, "Low Charges", "High Charges")</f>
        <v>#REF!</v>
      </c>
      <c r="Z712" t="e">
        <f>IF(#REF!&lt;=80,"Low Calls",
IF(#REF!&lt;=120,"Medium Calls","High Calls"))</f>
        <v>#REF!</v>
      </c>
      <c r="AA712" t="e">
        <f>IF(#REF!&lt;=15,"Low Charges",
IF(#REF!&lt;=20,"Medium Charges","High Charges"))</f>
        <v>#REF!</v>
      </c>
      <c r="AB712" t="e">
        <f>IF(AND(#REF!&gt;180, #REF!&gt;200), "Heavy Doemstic User", IF(#REF!&gt;10, "Interntional User", IF(AND(#REF!&lt;180, #REF!&lt;200,#REF!&lt;200), "Light User", "Balanced User")))</f>
        <v>#REF!</v>
      </c>
      <c r="AC712" t="e">
        <f>IF(#REF! = 0, "No Usage", IF(#REF! &lt;= 20, "Low Usage", IF(#REF! &lt;= 40, "Medium Usgae", "High Usage")))</f>
        <v>#REF!</v>
      </c>
      <c r="AD712" t="e">
        <f>IF(#REF!&lt;=150,"Low Usage", IF(#REF!&lt;=200,"Medium Usage", IF(#REF!&lt;=250,"High Usage","Very High Usage")))</f>
        <v>#REF!</v>
      </c>
      <c r="AE712" t="e">
        <f>IF(#REF!&lt;=5,"Low Calls", IF(#REF!&lt;=10, "Medium Calls", "High Calls"))</f>
        <v>#REF!</v>
      </c>
      <c r="AF712" t="e">
        <f xml:space="preserve">
IF(#REF!&gt;=4,4,0)+
IF(#REF!="yes",3,0)+
IF(#REF!="High Charges",3,0)+
IF(#REF!&gt;250,4,0)+
IF(#REF!="no",1,0)+
IF(#REF!="Heavy Domestic User",2,0)</f>
        <v>#REF!</v>
      </c>
      <c r="AG712" t="e">
        <f>IF(#REF!&gt;=10,"High Risk", IF(#REF!&gt;=5,"Medium Risk","Low Risk"))</f>
        <v>#REF!</v>
      </c>
      <c r="AH712" t="e">
        <f>#REF! + #REF! + #REF! + #REF!</f>
        <v>#REF!</v>
      </c>
    </row>
    <row r="713" spans="1:34" x14ac:dyDescent="0.35">
      <c r="A713">
        <v>712</v>
      </c>
      <c r="B713" t="s">
        <v>72</v>
      </c>
      <c r="C713">
        <v>129</v>
      </c>
      <c r="D713" t="s">
        <v>21</v>
      </c>
      <c r="E713" t="s">
        <v>22</v>
      </c>
      <c r="F713" t="s">
        <v>22</v>
      </c>
      <c r="G713">
        <v>0</v>
      </c>
      <c r="H713">
        <v>198.4</v>
      </c>
      <c r="I713">
        <v>91</v>
      </c>
      <c r="J713">
        <v>33.729999999999997</v>
      </c>
      <c r="K713">
        <v>264.7</v>
      </c>
      <c r="L713">
        <v>106</v>
      </c>
      <c r="M713">
        <v>22.5</v>
      </c>
      <c r="N713">
        <v>111.4</v>
      </c>
      <c r="O713">
        <v>101</v>
      </c>
      <c r="P713">
        <v>5.01</v>
      </c>
      <c r="Q713">
        <v>9.1999999999999993</v>
      </c>
      <c r="R713">
        <v>2</v>
      </c>
      <c r="S713">
        <v>2.48</v>
      </c>
      <c r="T713">
        <v>2</v>
      </c>
      <c r="U713" t="s">
        <v>22</v>
      </c>
      <c r="V713" t="e">
        <f>IF(#REF! = "yes", 1, 0)</f>
        <v>#REF!</v>
      </c>
      <c r="W713" t="e">
        <f>IF(#REF! &lt;= 1, "0-1 Calls", IF(#REF! &lt;= 3, "2-3 Calls", IF(#REF! &lt;=5, "4-5 Calls", "6+ Calls")))</f>
        <v>#REF!</v>
      </c>
      <c r="X713" t="e">
        <f>IF(#REF! &lt;= 50, "0-50", IF(#REF! &lt;=100, "51-100", IF(#REF! &lt;= 150, "101-150", "151+")))</f>
        <v>#REF!</v>
      </c>
      <c r="Y713" t="e">
        <f>IF(#REF! &lt;= 3, "Low Charges", "High Charges")</f>
        <v>#REF!</v>
      </c>
      <c r="Z713" t="e">
        <f>IF(#REF!&lt;=80,"Low Calls",
IF(#REF!&lt;=120,"Medium Calls","High Calls"))</f>
        <v>#REF!</v>
      </c>
      <c r="AA713" t="e">
        <f>IF(#REF!&lt;=15,"Low Charges",
IF(#REF!&lt;=20,"Medium Charges","High Charges"))</f>
        <v>#REF!</v>
      </c>
      <c r="AB713" t="e">
        <f>IF(AND(#REF!&gt;180, #REF!&gt;200), "Heavy Doemstic User", IF(#REF!&gt;10, "Interntional User", IF(AND(#REF!&lt;180, #REF!&lt;200,#REF!&lt;200), "Light User", "Balanced User")))</f>
        <v>#REF!</v>
      </c>
      <c r="AC713" t="e">
        <f>IF(#REF! = 0, "No Usage", IF(#REF! &lt;= 20, "Low Usage", IF(#REF! &lt;= 40, "Medium Usgae", "High Usage")))</f>
        <v>#REF!</v>
      </c>
      <c r="AD713" t="e">
        <f>IF(#REF!&lt;=150,"Low Usage", IF(#REF!&lt;=200,"Medium Usage", IF(#REF!&lt;=250,"High Usage","Very High Usage")))</f>
        <v>#REF!</v>
      </c>
      <c r="AE713" t="e">
        <f>IF(#REF!&lt;=5,"Low Calls", IF(#REF!&lt;=10, "Medium Calls", "High Calls"))</f>
        <v>#REF!</v>
      </c>
      <c r="AF713" t="e">
        <f xml:space="preserve">
IF(#REF!&gt;=4,4,0)+
IF(#REF!="yes",3,0)+
IF(#REF!="High Charges",3,0)+
IF(#REF!&gt;250,4,0)+
IF(#REF!="no",1,0)+
IF(#REF!="Heavy Domestic User",2,0)</f>
        <v>#REF!</v>
      </c>
      <c r="AG713" t="e">
        <f>IF(#REF!&gt;=10,"High Risk", IF(#REF!&gt;=5,"Medium Risk","Low Risk"))</f>
        <v>#REF!</v>
      </c>
      <c r="AH713" t="e">
        <f>#REF! + #REF! + #REF! + #REF!</f>
        <v>#REF!</v>
      </c>
    </row>
    <row r="714" spans="1:34" x14ac:dyDescent="0.35">
      <c r="A714">
        <v>713</v>
      </c>
      <c r="B714" t="s">
        <v>59</v>
      </c>
      <c r="C714">
        <v>166</v>
      </c>
      <c r="D714" t="s">
        <v>25</v>
      </c>
      <c r="E714" t="s">
        <v>22</v>
      </c>
      <c r="F714" t="s">
        <v>22</v>
      </c>
      <c r="G714">
        <v>0</v>
      </c>
      <c r="H714">
        <v>274.3</v>
      </c>
      <c r="I714">
        <v>110</v>
      </c>
      <c r="J714">
        <v>46.63</v>
      </c>
      <c r="K714">
        <v>52.9</v>
      </c>
      <c r="L714">
        <v>109</v>
      </c>
      <c r="M714">
        <v>4.5</v>
      </c>
      <c r="N714">
        <v>246.1</v>
      </c>
      <c r="O714">
        <v>119</v>
      </c>
      <c r="P714">
        <v>11.07</v>
      </c>
      <c r="Q714">
        <v>10.9</v>
      </c>
      <c r="R714">
        <v>5</v>
      </c>
      <c r="S714">
        <v>2.94</v>
      </c>
      <c r="T714">
        <v>0</v>
      </c>
      <c r="U714" t="s">
        <v>22</v>
      </c>
      <c r="V714" t="e">
        <f>IF(#REF! = "yes", 1, 0)</f>
        <v>#REF!</v>
      </c>
      <c r="W714" t="e">
        <f>IF(#REF! &lt;= 1, "0-1 Calls", IF(#REF! &lt;= 3, "2-3 Calls", IF(#REF! &lt;=5, "4-5 Calls", "6+ Calls")))</f>
        <v>#REF!</v>
      </c>
      <c r="X714" t="e">
        <f>IF(#REF! &lt;= 50, "0-50", IF(#REF! &lt;=100, "51-100", IF(#REF! &lt;= 150, "101-150", "151+")))</f>
        <v>#REF!</v>
      </c>
      <c r="Y714" t="e">
        <f>IF(#REF! &lt;= 3, "Low Charges", "High Charges")</f>
        <v>#REF!</v>
      </c>
      <c r="Z714" t="e">
        <f>IF(#REF!&lt;=80,"Low Calls",
IF(#REF!&lt;=120,"Medium Calls","High Calls"))</f>
        <v>#REF!</v>
      </c>
      <c r="AA714" t="e">
        <f>IF(#REF!&lt;=15,"Low Charges",
IF(#REF!&lt;=20,"Medium Charges","High Charges"))</f>
        <v>#REF!</v>
      </c>
      <c r="AB714" t="e">
        <f>IF(AND(#REF!&gt;180, #REF!&gt;200), "Heavy Doemstic User", IF(#REF!&gt;10, "Interntional User", IF(AND(#REF!&lt;180, #REF!&lt;200,#REF!&lt;200), "Light User", "Balanced User")))</f>
        <v>#REF!</v>
      </c>
      <c r="AC714" t="e">
        <f>IF(#REF! = 0, "No Usage", IF(#REF! &lt;= 20, "Low Usage", IF(#REF! &lt;= 40, "Medium Usgae", "High Usage")))</f>
        <v>#REF!</v>
      </c>
      <c r="AD714" t="e">
        <f>IF(#REF!&lt;=150,"Low Usage", IF(#REF!&lt;=200,"Medium Usage", IF(#REF!&lt;=250,"High Usage","Very High Usage")))</f>
        <v>#REF!</v>
      </c>
      <c r="AE714" t="e">
        <f>IF(#REF!&lt;=5,"Low Calls", IF(#REF!&lt;=10, "Medium Calls", "High Calls"))</f>
        <v>#REF!</v>
      </c>
      <c r="AF714" t="e">
        <f xml:space="preserve">
IF(#REF!&gt;=4,4,0)+
IF(#REF!="yes",3,0)+
IF(#REF!="High Charges",3,0)+
IF(#REF!&gt;250,4,0)+
IF(#REF!="no",1,0)+
IF(#REF!="Heavy Domestic User",2,0)</f>
        <v>#REF!</v>
      </c>
      <c r="AG714" t="e">
        <f>IF(#REF!&gt;=10,"High Risk", IF(#REF!&gt;=5,"Medium Risk","Low Risk"))</f>
        <v>#REF!</v>
      </c>
      <c r="AH714" t="e">
        <f>#REF! + #REF! + #REF! + #REF!</f>
        <v>#REF!</v>
      </c>
    </row>
    <row r="715" spans="1:34" x14ac:dyDescent="0.35">
      <c r="A715">
        <v>714</v>
      </c>
      <c r="B715" t="s">
        <v>27</v>
      </c>
      <c r="C715">
        <v>136</v>
      </c>
      <c r="D715" t="s">
        <v>25</v>
      </c>
      <c r="E715" t="s">
        <v>23</v>
      </c>
      <c r="F715" t="s">
        <v>22</v>
      </c>
      <c r="G715">
        <v>0</v>
      </c>
      <c r="H715">
        <v>199.6</v>
      </c>
      <c r="I715">
        <v>89</v>
      </c>
      <c r="J715">
        <v>33.93</v>
      </c>
      <c r="K715">
        <v>211.4</v>
      </c>
      <c r="L715">
        <v>96</v>
      </c>
      <c r="M715">
        <v>17.97</v>
      </c>
      <c r="N715">
        <v>72.400000000000006</v>
      </c>
      <c r="O715">
        <v>84</v>
      </c>
      <c r="P715">
        <v>3.26</v>
      </c>
      <c r="Q715">
        <v>11</v>
      </c>
      <c r="R715">
        <v>4</v>
      </c>
      <c r="S715">
        <v>2.97</v>
      </c>
      <c r="T715">
        <v>3</v>
      </c>
      <c r="U715" t="s">
        <v>23</v>
      </c>
      <c r="V715" t="e">
        <f>IF(#REF! = "yes", 1, 0)</f>
        <v>#REF!</v>
      </c>
      <c r="W715" t="e">
        <f>IF(#REF! &lt;= 1, "0-1 Calls", IF(#REF! &lt;= 3, "2-3 Calls", IF(#REF! &lt;=5, "4-5 Calls", "6+ Calls")))</f>
        <v>#REF!</v>
      </c>
      <c r="X715" t="e">
        <f>IF(#REF! &lt;= 50, "0-50", IF(#REF! &lt;=100, "51-100", IF(#REF! &lt;= 150, "101-150", "151+")))</f>
        <v>#REF!</v>
      </c>
      <c r="Y715" t="e">
        <f>IF(#REF! &lt;= 3, "Low Charges", "High Charges")</f>
        <v>#REF!</v>
      </c>
      <c r="Z715" t="e">
        <f>IF(#REF!&lt;=80,"Low Calls",
IF(#REF!&lt;=120,"Medium Calls","High Calls"))</f>
        <v>#REF!</v>
      </c>
      <c r="AA715" t="e">
        <f>IF(#REF!&lt;=15,"Low Charges",
IF(#REF!&lt;=20,"Medium Charges","High Charges"))</f>
        <v>#REF!</v>
      </c>
      <c r="AB715" t="e">
        <f>IF(AND(#REF!&gt;180, #REF!&gt;200), "Heavy Doemstic User", IF(#REF!&gt;10, "Interntional User", IF(AND(#REF!&lt;180, #REF!&lt;200,#REF!&lt;200), "Light User", "Balanced User")))</f>
        <v>#REF!</v>
      </c>
      <c r="AC715" t="e">
        <f>IF(#REF! = 0, "No Usage", IF(#REF! &lt;= 20, "Low Usage", IF(#REF! &lt;= 40, "Medium Usgae", "High Usage")))</f>
        <v>#REF!</v>
      </c>
      <c r="AD715" t="e">
        <f>IF(#REF!&lt;=150,"Low Usage", IF(#REF!&lt;=200,"Medium Usage", IF(#REF!&lt;=250,"High Usage","Very High Usage")))</f>
        <v>#REF!</v>
      </c>
      <c r="AE715" t="e">
        <f>IF(#REF!&lt;=5,"Low Calls", IF(#REF!&lt;=10, "Medium Calls", "High Calls"))</f>
        <v>#REF!</v>
      </c>
      <c r="AF715" t="e">
        <f xml:space="preserve">
IF(#REF!&gt;=4,4,0)+
IF(#REF!="yes",3,0)+
IF(#REF!="High Charges",3,0)+
IF(#REF!&gt;250,4,0)+
IF(#REF!="no",1,0)+
IF(#REF!="Heavy Domestic User",2,0)</f>
        <v>#REF!</v>
      </c>
      <c r="AG715" t="e">
        <f>IF(#REF!&gt;=10,"High Risk", IF(#REF!&gt;=5,"Medium Risk","Low Risk"))</f>
        <v>#REF!</v>
      </c>
      <c r="AH715" t="e">
        <f>#REF! + #REF! + #REF! + #REF!</f>
        <v>#REF!</v>
      </c>
    </row>
    <row r="716" spans="1:34" x14ac:dyDescent="0.35">
      <c r="A716">
        <v>715</v>
      </c>
      <c r="B716" t="s">
        <v>70</v>
      </c>
      <c r="C716">
        <v>149</v>
      </c>
      <c r="D716" t="s">
        <v>28</v>
      </c>
      <c r="E716" t="s">
        <v>22</v>
      </c>
      <c r="F716" t="s">
        <v>22</v>
      </c>
      <c r="G716">
        <v>0</v>
      </c>
      <c r="H716">
        <v>217.7</v>
      </c>
      <c r="I716">
        <v>91</v>
      </c>
      <c r="J716">
        <v>37.01</v>
      </c>
      <c r="K716">
        <v>273.5</v>
      </c>
      <c r="L716">
        <v>74</v>
      </c>
      <c r="M716">
        <v>23.25</v>
      </c>
      <c r="N716">
        <v>226.9</v>
      </c>
      <c r="O716">
        <v>99</v>
      </c>
      <c r="P716">
        <v>10.210000000000001</v>
      </c>
      <c r="Q716">
        <v>9.6</v>
      </c>
      <c r="R716">
        <v>3</v>
      </c>
      <c r="S716">
        <v>2.59</v>
      </c>
      <c r="T716">
        <v>3</v>
      </c>
      <c r="U716" t="s">
        <v>22</v>
      </c>
      <c r="V716" t="e">
        <f>IF(#REF! = "yes", 1, 0)</f>
        <v>#REF!</v>
      </c>
      <c r="W716" t="e">
        <f>IF(#REF! &lt;= 1, "0-1 Calls", IF(#REF! &lt;= 3, "2-3 Calls", IF(#REF! &lt;=5, "4-5 Calls", "6+ Calls")))</f>
        <v>#REF!</v>
      </c>
      <c r="X716" t="e">
        <f>IF(#REF! &lt;= 50, "0-50", IF(#REF! &lt;=100, "51-100", IF(#REF! &lt;= 150, "101-150", "151+")))</f>
        <v>#REF!</v>
      </c>
      <c r="Y716" t="e">
        <f>IF(#REF! &lt;= 3, "Low Charges", "High Charges")</f>
        <v>#REF!</v>
      </c>
      <c r="Z716" t="e">
        <f>IF(#REF!&lt;=80,"Low Calls",
IF(#REF!&lt;=120,"Medium Calls","High Calls"))</f>
        <v>#REF!</v>
      </c>
      <c r="AA716" t="e">
        <f>IF(#REF!&lt;=15,"Low Charges",
IF(#REF!&lt;=20,"Medium Charges","High Charges"))</f>
        <v>#REF!</v>
      </c>
      <c r="AB716" t="e">
        <f>IF(AND(#REF!&gt;180, #REF!&gt;200), "Heavy Doemstic User", IF(#REF!&gt;10, "Interntional User", IF(AND(#REF!&lt;180, #REF!&lt;200,#REF!&lt;200), "Light User", "Balanced User")))</f>
        <v>#REF!</v>
      </c>
      <c r="AC716" t="e">
        <f>IF(#REF! = 0, "No Usage", IF(#REF! &lt;= 20, "Low Usage", IF(#REF! &lt;= 40, "Medium Usgae", "High Usage")))</f>
        <v>#REF!</v>
      </c>
      <c r="AD716" t="e">
        <f>IF(#REF!&lt;=150,"Low Usage", IF(#REF!&lt;=200,"Medium Usage", IF(#REF!&lt;=250,"High Usage","Very High Usage")))</f>
        <v>#REF!</v>
      </c>
      <c r="AE716" t="e">
        <f>IF(#REF!&lt;=5,"Low Calls", IF(#REF!&lt;=10, "Medium Calls", "High Calls"))</f>
        <v>#REF!</v>
      </c>
      <c r="AF716" t="e">
        <f xml:space="preserve">
IF(#REF!&gt;=4,4,0)+
IF(#REF!="yes",3,0)+
IF(#REF!="High Charges",3,0)+
IF(#REF!&gt;250,4,0)+
IF(#REF!="no",1,0)+
IF(#REF!="Heavy Domestic User",2,0)</f>
        <v>#REF!</v>
      </c>
      <c r="AG716" t="e">
        <f>IF(#REF!&gt;=10,"High Risk", IF(#REF!&gt;=5,"Medium Risk","Low Risk"))</f>
        <v>#REF!</v>
      </c>
      <c r="AH716" t="e">
        <f>#REF! + #REF! + #REF! + #REF!</f>
        <v>#REF!</v>
      </c>
    </row>
    <row r="717" spans="1:34" x14ac:dyDescent="0.35">
      <c r="A717">
        <v>716</v>
      </c>
      <c r="B717" t="s">
        <v>33</v>
      </c>
      <c r="C717">
        <v>70</v>
      </c>
      <c r="D717" t="s">
        <v>21</v>
      </c>
      <c r="E717" t="s">
        <v>22</v>
      </c>
      <c r="F717" t="s">
        <v>22</v>
      </c>
      <c r="G717">
        <v>0</v>
      </c>
      <c r="H717">
        <v>134.69999999999999</v>
      </c>
      <c r="I717">
        <v>96</v>
      </c>
      <c r="J717">
        <v>22.9</v>
      </c>
      <c r="K717">
        <v>235.9</v>
      </c>
      <c r="L717">
        <v>90</v>
      </c>
      <c r="M717">
        <v>20.05</v>
      </c>
      <c r="N717">
        <v>260.2</v>
      </c>
      <c r="O717">
        <v>113</v>
      </c>
      <c r="P717">
        <v>11.71</v>
      </c>
      <c r="Q717">
        <v>7.6</v>
      </c>
      <c r="R717">
        <v>6</v>
      </c>
      <c r="S717">
        <v>2.0499999999999998</v>
      </c>
      <c r="T717">
        <v>3</v>
      </c>
      <c r="U717" t="s">
        <v>22</v>
      </c>
      <c r="V717" t="e">
        <f>IF(#REF! = "yes", 1, 0)</f>
        <v>#REF!</v>
      </c>
      <c r="W717" t="e">
        <f>IF(#REF! &lt;= 1, "0-1 Calls", IF(#REF! &lt;= 3, "2-3 Calls", IF(#REF! &lt;=5, "4-5 Calls", "6+ Calls")))</f>
        <v>#REF!</v>
      </c>
      <c r="X717" t="e">
        <f>IF(#REF! &lt;= 50, "0-50", IF(#REF! &lt;=100, "51-100", IF(#REF! &lt;= 150, "101-150", "151+")))</f>
        <v>#REF!</v>
      </c>
      <c r="Y717" t="e">
        <f>IF(#REF! &lt;= 3, "Low Charges", "High Charges")</f>
        <v>#REF!</v>
      </c>
      <c r="Z717" t="e">
        <f>IF(#REF!&lt;=80,"Low Calls",
IF(#REF!&lt;=120,"Medium Calls","High Calls"))</f>
        <v>#REF!</v>
      </c>
      <c r="AA717" t="e">
        <f>IF(#REF!&lt;=15,"Low Charges",
IF(#REF!&lt;=20,"Medium Charges","High Charges"))</f>
        <v>#REF!</v>
      </c>
      <c r="AB717" t="e">
        <f>IF(AND(#REF!&gt;180, #REF!&gt;200), "Heavy Doemstic User", IF(#REF!&gt;10, "Interntional User", IF(AND(#REF!&lt;180, #REF!&lt;200,#REF!&lt;200), "Light User", "Balanced User")))</f>
        <v>#REF!</v>
      </c>
      <c r="AC717" t="e">
        <f>IF(#REF! = 0, "No Usage", IF(#REF! &lt;= 20, "Low Usage", IF(#REF! &lt;= 40, "Medium Usgae", "High Usage")))</f>
        <v>#REF!</v>
      </c>
      <c r="AD717" t="e">
        <f>IF(#REF!&lt;=150,"Low Usage", IF(#REF!&lt;=200,"Medium Usage", IF(#REF!&lt;=250,"High Usage","Very High Usage")))</f>
        <v>#REF!</v>
      </c>
      <c r="AE717" t="e">
        <f>IF(#REF!&lt;=5,"Low Calls", IF(#REF!&lt;=10, "Medium Calls", "High Calls"))</f>
        <v>#REF!</v>
      </c>
      <c r="AF717" t="e">
        <f xml:space="preserve">
IF(#REF!&gt;=4,4,0)+
IF(#REF!="yes",3,0)+
IF(#REF!="High Charges",3,0)+
IF(#REF!&gt;250,4,0)+
IF(#REF!="no",1,0)+
IF(#REF!="Heavy Domestic User",2,0)</f>
        <v>#REF!</v>
      </c>
      <c r="AG717" t="e">
        <f>IF(#REF!&gt;=10,"High Risk", IF(#REF!&gt;=5,"Medium Risk","Low Risk"))</f>
        <v>#REF!</v>
      </c>
      <c r="AH717" t="e">
        <f>#REF! + #REF! + #REF! + #REF!</f>
        <v>#REF!</v>
      </c>
    </row>
    <row r="718" spans="1:34" x14ac:dyDescent="0.35">
      <c r="A718">
        <v>717</v>
      </c>
      <c r="B718" t="s">
        <v>34</v>
      </c>
      <c r="C718">
        <v>66</v>
      </c>
      <c r="D718" t="s">
        <v>28</v>
      </c>
      <c r="E718" t="s">
        <v>22</v>
      </c>
      <c r="F718" t="s">
        <v>22</v>
      </c>
      <c r="G718">
        <v>0</v>
      </c>
      <c r="H718">
        <v>256.3</v>
      </c>
      <c r="I718">
        <v>135</v>
      </c>
      <c r="J718">
        <v>43.57</v>
      </c>
      <c r="K718">
        <v>180.2</v>
      </c>
      <c r="L718">
        <v>106</v>
      </c>
      <c r="M718">
        <v>15.32</v>
      </c>
      <c r="N718">
        <v>187.3</v>
      </c>
      <c r="O718">
        <v>135</v>
      </c>
      <c r="P718">
        <v>8.43</v>
      </c>
      <c r="Q718">
        <v>6.2</v>
      </c>
      <c r="R718">
        <v>7</v>
      </c>
      <c r="S718">
        <v>1.67</v>
      </c>
      <c r="T718">
        <v>2</v>
      </c>
      <c r="U718" t="s">
        <v>22</v>
      </c>
      <c r="V718" t="e">
        <f>IF(#REF! = "yes", 1, 0)</f>
        <v>#REF!</v>
      </c>
      <c r="W718" t="e">
        <f>IF(#REF! &lt;= 1, "0-1 Calls", IF(#REF! &lt;= 3, "2-3 Calls", IF(#REF! &lt;=5, "4-5 Calls", "6+ Calls")))</f>
        <v>#REF!</v>
      </c>
      <c r="X718" t="e">
        <f>IF(#REF! &lt;= 50, "0-50", IF(#REF! &lt;=100, "51-100", IF(#REF! &lt;= 150, "101-150", "151+")))</f>
        <v>#REF!</v>
      </c>
      <c r="Y718" t="e">
        <f>IF(#REF! &lt;= 3, "Low Charges", "High Charges")</f>
        <v>#REF!</v>
      </c>
      <c r="Z718" t="e">
        <f>IF(#REF!&lt;=80,"Low Calls",
IF(#REF!&lt;=120,"Medium Calls","High Calls"))</f>
        <v>#REF!</v>
      </c>
      <c r="AA718" t="e">
        <f>IF(#REF!&lt;=15,"Low Charges",
IF(#REF!&lt;=20,"Medium Charges","High Charges"))</f>
        <v>#REF!</v>
      </c>
      <c r="AB718" t="e">
        <f>IF(AND(#REF!&gt;180, #REF!&gt;200), "Heavy Doemstic User", IF(#REF!&gt;10, "Interntional User", IF(AND(#REF!&lt;180, #REF!&lt;200,#REF!&lt;200), "Light User", "Balanced User")))</f>
        <v>#REF!</v>
      </c>
      <c r="AC718" t="e">
        <f>IF(#REF! = 0, "No Usage", IF(#REF! &lt;= 20, "Low Usage", IF(#REF! &lt;= 40, "Medium Usgae", "High Usage")))</f>
        <v>#REF!</v>
      </c>
      <c r="AD718" t="e">
        <f>IF(#REF!&lt;=150,"Low Usage", IF(#REF!&lt;=200,"Medium Usage", IF(#REF!&lt;=250,"High Usage","Very High Usage")))</f>
        <v>#REF!</v>
      </c>
      <c r="AE718" t="e">
        <f>IF(#REF!&lt;=5,"Low Calls", IF(#REF!&lt;=10, "Medium Calls", "High Calls"))</f>
        <v>#REF!</v>
      </c>
      <c r="AF718" t="e">
        <f xml:space="preserve">
IF(#REF!&gt;=4,4,0)+
IF(#REF!="yes",3,0)+
IF(#REF!="High Charges",3,0)+
IF(#REF!&gt;250,4,0)+
IF(#REF!="no",1,0)+
IF(#REF!="Heavy Domestic User",2,0)</f>
        <v>#REF!</v>
      </c>
      <c r="AG718" t="e">
        <f>IF(#REF!&gt;=10,"High Risk", IF(#REF!&gt;=5,"Medium Risk","Low Risk"))</f>
        <v>#REF!</v>
      </c>
      <c r="AH718" t="e">
        <f>#REF! + #REF! + #REF! + #REF!</f>
        <v>#REF!</v>
      </c>
    </row>
    <row r="719" spans="1:34" x14ac:dyDescent="0.35">
      <c r="A719">
        <v>718</v>
      </c>
      <c r="B719" t="s">
        <v>44</v>
      </c>
      <c r="C719">
        <v>104</v>
      </c>
      <c r="D719" t="s">
        <v>25</v>
      </c>
      <c r="E719" t="s">
        <v>22</v>
      </c>
      <c r="F719" t="s">
        <v>22</v>
      </c>
      <c r="G719">
        <v>0</v>
      </c>
      <c r="H719">
        <v>183.6</v>
      </c>
      <c r="I719">
        <v>133</v>
      </c>
      <c r="J719">
        <v>31.21</v>
      </c>
      <c r="K719">
        <v>120.7</v>
      </c>
      <c r="L719">
        <v>98</v>
      </c>
      <c r="M719">
        <v>10.26</v>
      </c>
      <c r="N719">
        <v>215.1</v>
      </c>
      <c r="O719">
        <v>112</v>
      </c>
      <c r="P719">
        <v>9.68</v>
      </c>
      <c r="Q719">
        <v>12.7</v>
      </c>
      <c r="R719">
        <v>2</v>
      </c>
      <c r="S719">
        <v>3.43</v>
      </c>
      <c r="T719">
        <v>1</v>
      </c>
      <c r="U719" t="s">
        <v>22</v>
      </c>
      <c r="V719" t="e">
        <f>IF(#REF! = "yes", 1, 0)</f>
        <v>#REF!</v>
      </c>
      <c r="W719" t="e">
        <f>IF(#REF! &lt;= 1, "0-1 Calls", IF(#REF! &lt;= 3, "2-3 Calls", IF(#REF! &lt;=5, "4-5 Calls", "6+ Calls")))</f>
        <v>#REF!</v>
      </c>
      <c r="X719" t="e">
        <f>IF(#REF! &lt;= 50, "0-50", IF(#REF! &lt;=100, "51-100", IF(#REF! &lt;= 150, "101-150", "151+")))</f>
        <v>#REF!</v>
      </c>
      <c r="Y719" t="e">
        <f>IF(#REF! &lt;= 3, "Low Charges", "High Charges")</f>
        <v>#REF!</v>
      </c>
      <c r="Z719" t="e">
        <f>IF(#REF!&lt;=80,"Low Calls",
IF(#REF!&lt;=120,"Medium Calls","High Calls"))</f>
        <v>#REF!</v>
      </c>
      <c r="AA719" t="e">
        <f>IF(#REF!&lt;=15,"Low Charges",
IF(#REF!&lt;=20,"Medium Charges","High Charges"))</f>
        <v>#REF!</v>
      </c>
      <c r="AB719" t="e">
        <f>IF(AND(#REF!&gt;180, #REF!&gt;200), "Heavy Doemstic User", IF(#REF!&gt;10, "Interntional User", IF(AND(#REF!&lt;180, #REF!&lt;200,#REF!&lt;200), "Light User", "Balanced User")))</f>
        <v>#REF!</v>
      </c>
      <c r="AC719" t="e">
        <f>IF(#REF! = 0, "No Usage", IF(#REF! &lt;= 20, "Low Usage", IF(#REF! &lt;= 40, "Medium Usgae", "High Usage")))</f>
        <v>#REF!</v>
      </c>
      <c r="AD719" t="e">
        <f>IF(#REF!&lt;=150,"Low Usage", IF(#REF!&lt;=200,"Medium Usage", IF(#REF!&lt;=250,"High Usage","Very High Usage")))</f>
        <v>#REF!</v>
      </c>
      <c r="AE719" t="e">
        <f>IF(#REF!&lt;=5,"Low Calls", IF(#REF!&lt;=10, "Medium Calls", "High Calls"))</f>
        <v>#REF!</v>
      </c>
      <c r="AF719" t="e">
        <f xml:space="preserve">
IF(#REF!&gt;=4,4,0)+
IF(#REF!="yes",3,0)+
IF(#REF!="High Charges",3,0)+
IF(#REF!&gt;250,4,0)+
IF(#REF!="no",1,0)+
IF(#REF!="Heavy Domestic User",2,0)</f>
        <v>#REF!</v>
      </c>
      <c r="AG719" t="e">
        <f>IF(#REF!&gt;=10,"High Risk", IF(#REF!&gt;=5,"Medium Risk","Low Risk"))</f>
        <v>#REF!</v>
      </c>
      <c r="AH719" t="e">
        <f>#REF! + #REF! + #REF! + #REF!</f>
        <v>#REF!</v>
      </c>
    </row>
    <row r="720" spans="1:34" x14ac:dyDescent="0.35">
      <c r="A720">
        <v>719</v>
      </c>
      <c r="B720" t="s">
        <v>62</v>
      </c>
      <c r="C720">
        <v>160</v>
      </c>
      <c r="D720" t="s">
        <v>21</v>
      </c>
      <c r="E720" t="s">
        <v>22</v>
      </c>
      <c r="F720" t="s">
        <v>22</v>
      </c>
      <c r="G720">
        <v>0</v>
      </c>
      <c r="H720">
        <v>176.2</v>
      </c>
      <c r="I720">
        <v>90</v>
      </c>
      <c r="J720">
        <v>29.95</v>
      </c>
      <c r="K720">
        <v>196</v>
      </c>
      <c r="L720">
        <v>115</v>
      </c>
      <c r="M720">
        <v>16.66</v>
      </c>
      <c r="N720">
        <v>263.89999999999998</v>
      </c>
      <c r="O720">
        <v>95</v>
      </c>
      <c r="P720">
        <v>11.88</v>
      </c>
      <c r="Q720">
        <v>9.1999999999999993</v>
      </c>
      <c r="R720">
        <v>4</v>
      </c>
      <c r="S720">
        <v>2.48</v>
      </c>
      <c r="T720">
        <v>1</v>
      </c>
      <c r="U720" t="s">
        <v>22</v>
      </c>
      <c r="V720" t="e">
        <f>IF(#REF! = "yes", 1, 0)</f>
        <v>#REF!</v>
      </c>
      <c r="W720" t="e">
        <f>IF(#REF! &lt;= 1, "0-1 Calls", IF(#REF! &lt;= 3, "2-3 Calls", IF(#REF! &lt;=5, "4-5 Calls", "6+ Calls")))</f>
        <v>#REF!</v>
      </c>
      <c r="X720" t="e">
        <f>IF(#REF! &lt;= 50, "0-50", IF(#REF! &lt;=100, "51-100", IF(#REF! &lt;= 150, "101-150", "151+")))</f>
        <v>#REF!</v>
      </c>
      <c r="Y720" t="e">
        <f>IF(#REF! &lt;= 3, "Low Charges", "High Charges")</f>
        <v>#REF!</v>
      </c>
      <c r="Z720" t="e">
        <f>IF(#REF!&lt;=80,"Low Calls",
IF(#REF!&lt;=120,"Medium Calls","High Calls"))</f>
        <v>#REF!</v>
      </c>
      <c r="AA720" t="e">
        <f>IF(#REF!&lt;=15,"Low Charges",
IF(#REF!&lt;=20,"Medium Charges","High Charges"))</f>
        <v>#REF!</v>
      </c>
      <c r="AB720" t="e">
        <f>IF(AND(#REF!&gt;180, #REF!&gt;200), "Heavy Doemstic User", IF(#REF!&gt;10, "Interntional User", IF(AND(#REF!&lt;180, #REF!&lt;200,#REF!&lt;200), "Light User", "Balanced User")))</f>
        <v>#REF!</v>
      </c>
      <c r="AC720" t="e">
        <f>IF(#REF! = 0, "No Usage", IF(#REF! &lt;= 20, "Low Usage", IF(#REF! &lt;= 40, "Medium Usgae", "High Usage")))</f>
        <v>#REF!</v>
      </c>
      <c r="AD720" t="e">
        <f>IF(#REF!&lt;=150,"Low Usage", IF(#REF!&lt;=200,"Medium Usage", IF(#REF!&lt;=250,"High Usage","Very High Usage")))</f>
        <v>#REF!</v>
      </c>
      <c r="AE720" t="e">
        <f>IF(#REF!&lt;=5,"Low Calls", IF(#REF!&lt;=10, "Medium Calls", "High Calls"))</f>
        <v>#REF!</v>
      </c>
      <c r="AF720" t="e">
        <f xml:space="preserve">
IF(#REF!&gt;=4,4,0)+
IF(#REF!="yes",3,0)+
IF(#REF!="High Charges",3,0)+
IF(#REF!&gt;250,4,0)+
IF(#REF!="no",1,0)+
IF(#REF!="Heavy Domestic User",2,0)</f>
        <v>#REF!</v>
      </c>
      <c r="AG720" t="e">
        <f>IF(#REF!&gt;=10,"High Risk", IF(#REF!&gt;=5,"Medium Risk","Low Risk"))</f>
        <v>#REF!</v>
      </c>
      <c r="AH720" t="e">
        <f>#REF! + #REF! + #REF! + #REF!</f>
        <v>#REF!</v>
      </c>
    </row>
    <row r="721" spans="1:34" x14ac:dyDescent="0.35">
      <c r="A721">
        <v>720</v>
      </c>
      <c r="B721" t="s">
        <v>51</v>
      </c>
      <c r="C721">
        <v>129</v>
      </c>
      <c r="D721" t="s">
        <v>21</v>
      </c>
      <c r="E721" t="s">
        <v>22</v>
      </c>
      <c r="F721" t="s">
        <v>23</v>
      </c>
      <c r="G721">
        <v>37</v>
      </c>
      <c r="H721">
        <v>205</v>
      </c>
      <c r="I721">
        <v>94</v>
      </c>
      <c r="J721">
        <v>34.85</v>
      </c>
      <c r="K721">
        <v>165.4</v>
      </c>
      <c r="L721">
        <v>103</v>
      </c>
      <c r="M721">
        <v>14.06</v>
      </c>
      <c r="N721">
        <v>185</v>
      </c>
      <c r="O721">
        <v>81</v>
      </c>
      <c r="P721">
        <v>8.32</v>
      </c>
      <c r="Q721">
        <v>11.7</v>
      </c>
      <c r="R721">
        <v>8</v>
      </c>
      <c r="S721">
        <v>3.16</v>
      </c>
      <c r="T721">
        <v>1</v>
      </c>
      <c r="U721" t="s">
        <v>22</v>
      </c>
      <c r="V721" t="e">
        <f>IF(#REF! = "yes", 1, 0)</f>
        <v>#REF!</v>
      </c>
      <c r="W721" t="e">
        <f>IF(#REF! &lt;= 1, "0-1 Calls", IF(#REF! &lt;= 3, "2-3 Calls", IF(#REF! &lt;=5, "4-5 Calls", "6+ Calls")))</f>
        <v>#REF!</v>
      </c>
      <c r="X721" t="e">
        <f>IF(#REF! &lt;= 50, "0-50", IF(#REF! &lt;=100, "51-100", IF(#REF! &lt;= 150, "101-150", "151+")))</f>
        <v>#REF!</v>
      </c>
      <c r="Y721" t="e">
        <f>IF(#REF! &lt;= 3, "Low Charges", "High Charges")</f>
        <v>#REF!</v>
      </c>
      <c r="Z721" t="e">
        <f>IF(#REF!&lt;=80,"Low Calls",
IF(#REF!&lt;=120,"Medium Calls","High Calls"))</f>
        <v>#REF!</v>
      </c>
      <c r="AA721" t="e">
        <f>IF(#REF!&lt;=15,"Low Charges",
IF(#REF!&lt;=20,"Medium Charges","High Charges"))</f>
        <v>#REF!</v>
      </c>
      <c r="AB721" t="e">
        <f>IF(AND(#REF!&gt;180, #REF!&gt;200), "Heavy Doemstic User", IF(#REF!&gt;10, "Interntional User", IF(AND(#REF!&lt;180, #REF!&lt;200,#REF!&lt;200), "Light User", "Balanced User")))</f>
        <v>#REF!</v>
      </c>
      <c r="AC721" t="e">
        <f>IF(#REF! = 0, "No Usage", IF(#REF! &lt;= 20, "Low Usage", IF(#REF! &lt;= 40, "Medium Usgae", "High Usage")))</f>
        <v>#REF!</v>
      </c>
      <c r="AD721" t="e">
        <f>IF(#REF!&lt;=150,"Low Usage", IF(#REF!&lt;=200,"Medium Usage", IF(#REF!&lt;=250,"High Usage","Very High Usage")))</f>
        <v>#REF!</v>
      </c>
      <c r="AE721" t="e">
        <f>IF(#REF!&lt;=5,"Low Calls", IF(#REF!&lt;=10, "Medium Calls", "High Calls"))</f>
        <v>#REF!</v>
      </c>
      <c r="AF721" t="e">
        <f xml:space="preserve">
IF(#REF!&gt;=4,4,0)+
IF(#REF!="yes",3,0)+
IF(#REF!="High Charges",3,0)+
IF(#REF!&gt;250,4,0)+
IF(#REF!="no",1,0)+
IF(#REF!="Heavy Domestic User",2,0)</f>
        <v>#REF!</v>
      </c>
      <c r="AG721" t="e">
        <f>IF(#REF!&gt;=10,"High Risk", IF(#REF!&gt;=5,"Medium Risk","Low Risk"))</f>
        <v>#REF!</v>
      </c>
      <c r="AH721" t="e">
        <f>#REF! + #REF! + #REF! + #REF!</f>
        <v>#REF!</v>
      </c>
    </row>
    <row r="722" spans="1:34" x14ac:dyDescent="0.35">
      <c r="A722">
        <v>721</v>
      </c>
      <c r="B722" t="s">
        <v>68</v>
      </c>
      <c r="C722">
        <v>93</v>
      </c>
      <c r="D722" t="s">
        <v>25</v>
      </c>
      <c r="E722" t="s">
        <v>22</v>
      </c>
      <c r="F722" t="s">
        <v>22</v>
      </c>
      <c r="G722">
        <v>0</v>
      </c>
      <c r="H722">
        <v>267.89999999999998</v>
      </c>
      <c r="I722">
        <v>114</v>
      </c>
      <c r="J722">
        <v>45.54</v>
      </c>
      <c r="K722">
        <v>223</v>
      </c>
      <c r="L722">
        <v>74</v>
      </c>
      <c r="M722">
        <v>18.96</v>
      </c>
      <c r="N722">
        <v>262.7</v>
      </c>
      <c r="O722">
        <v>90</v>
      </c>
      <c r="P722">
        <v>11.82</v>
      </c>
      <c r="Q722">
        <v>11.3</v>
      </c>
      <c r="R722">
        <v>3</v>
      </c>
      <c r="S722">
        <v>3.05</v>
      </c>
      <c r="T722">
        <v>3</v>
      </c>
      <c r="U722" t="s">
        <v>23</v>
      </c>
      <c r="V722" t="e">
        <f>IF(#REF! = "yes", 1, 0)</f>
        <v>#REF!</v>
      </c>
      <c r="W722" t="e">
        <f>IF(#REF! &lt;= 1, "0-1 Calls", IF(#REF! &lt;= 3, "2-3 Calls", IF(#REF! &lt;=5, "4-5 Calls", "6+ Calls")))</f>
        <v>#REF!</v>
      </c>
      <c r="X722" t="e">
        <f>IF(#REF! &lt;= 50, "0-50", IF(#REF! &lt;=100, "51-100", IF(#REF! &lt;= 150, "101-150", "151+")))</f>
        <v>#REF!</v>
      </c>
      <c r="Y722" t="e">
        <f>IF(#REF! &lt;= 3, "Low Charges", "High Charges")</f>
        <v>#REF!</v>
      </c>
      <c r="Z722" t="e">
        <f>IF(#REF!&lt;=80,"Low Calls",
IF(#REF!&lt;=120,"Medium Calls","High Calls"))</f>
        <v>#REF!</v>
      </c>
      <c r="AA722" t="e">
        <f>IF(#REF!&lt;=15,"Low Charges",
IF(#REF!&lt;=20,"Medium Charges","High Charges"))</f>
        <v>#REF!</v>
      </c>
      <c r="AB722" t="e">
        <f>IF(AND(#REF!&gt;180, #REF!&gt;200), "Heavy Doemstic User", IF(#REF!&gt;10, "Interntional User", IF(AND(#REF!&lt;180, #REF!&lt;200,#REF!&lt;200), "Light User", "Balanced User")))</f>
        <v>#REF!</v>
      </c>
      <c r="AC722" t="e">
        <f>IF(#REF! = 0, "No Usage", IF(#REF! &lt;= 20, "Low Usage", IF(#REF! &lt;= 40, "Medium Usgae", "High Usage")))</f>
        <v>#REF!</v>
      </c>
      <c r="AD722" t="e">
        <f>IF(#REF!&lt;=150,"Low Usage", IF(#REF!&lt;=200,"Medium Usage", IF(#REF!&lt;=250,"High Usage","Very High Usage")))</f>
        <v>#REF!</v>
      </c>
      <c r="AE722" t="e">
        <f>IF(#REF!&lt;=5,"Low Calls", IF(#REF!&lt;=10, "Medium Calls", "High Calls"))</f>
        <v>#REF!</v>
      </c>
      <c r="AF722" t="e">
        <f xml:space="preserve">
IF(#REF!&gt;=4,4,0)+
IF(#REF!="yes",3,0)+
IF(#REF!="High Charges",3,0)+
IF(#REF!&gt;250,4,0)+
IF(#REF!="no",1,0)+
IF(#REF!="Heavy Domestic User",2,0)</f>
        <v>#REF!</v>
      </c>
      <c r="AG722" t="e">
        <f>IF(#REF!&gt;=10,"High Risk", IF(#REF!&gt;=5,"Medium Risk","Low Risk"))</f>
        <v>#REF!</v>
      </c>
      <c r="AH722" t="e">
        <f>#REF! + #REF! + #REF! + #REF!</f>
        <v>#REF!</v>
      </c>
    </row>
    <row r="723" spans="1:34" x14ac:dyDescent="0.35">
      <c r="A723">
        <v>722</v>
      </c>
      <c r="B723" t="s">
        <v>45</v>
      </c>
      <c r="C723">
        <v>169</v>
      </c>
      <c r="D723" t="s">
        <v>21</v>
      </c>
      <c r="E723" t="s">
        <v>22</v>
      </c>
      <c r="F723" t="s">
        <v>22</v>
      </c>
      <c r="G723">
        <v>0</v>
      </c>
      <c r="H723">
        <v>179.2</v>
      </c>
      <c r="I723">
        <v>111</v>
      </c>
      <c r="J723">
        <v>30.46</v>
      </c>
      <c r="K723">
        <v>175.2</v>
      </c>
      <c r="L723">
        <v>130</v>
      </c>
      <c r="M723">
        <v>14.89</v>
      </c>
      <c r="N723">
        <v>228.6</v>
      </c>
      <c r="O723">
        <v>92</v>
      </c>
      <c r="P723">
        <v>10.29</v>
      </c>
      <c r="Q723">
        <v>9.9</v>
      </c>
      <c r="R723">
        <v>6</v>
      </c>
      <c r="S723">
        <v>2.67</v>
      </c>
      <c r="T723">
        <v>2</v>
      </c>
      <c r="U723" t="s">
        <v>22</v>
      </c>
      <c r="V723" t="e">
        <f>IF(#REF! = "yes", 1, 0)</f>
        <v>#REF!</v>
      </c>
      <c r="W723" t="e">
        <f>IF(#REF! &lt;= 1, "0-1 Calls", IF(#REF! &lt;= 3, "2-3 Calls", IF(#REF! &lt;=5, "4-5 Calls", "6+ Calls")))</f>
        <v>#REF!</v>
      </c>
      <c r="X723" t="e">
        <f>IF(#REF! &lt;= 50, "0-50", IF(#REF! &lt;=100, "51-100", IF(#REF! &lt;= 150, "101-150", "151+")))</f>
        <v>#REF!</v>
      </c>
      <c r="Y723" t="e">
        <f>IF(#REF! &lt;= 3, "Low Charges", "High Charges")</f>
        <v>#REF!</v>
      </c>
      <c r="Z723" t="e">
        <f>IF(#REF!&lt;=80,"Low Calls",
IF(#REF!&lt;=120,"Medium Calls","High Calls"))</f>
        <v>#REF!</v>
      </c>
      <c r="AA723" t="e">
        <f>IF(#REF!&lt;=15,"Low Charges",
IF(#REF!&lt;=20,"Medium Charges","High Charges"))</f>
        <v>#REF!</v>
      </c>
      <c r="AB723" t="e">
        <f>IF(AND(#REF!&gt;180, #REF!&gt;200), "Heavy Doemstic User", IF(#REF!&gt;10, "Interntional User", IF(AND(#REF!&lt;180, #REF!&lt;200,#REF!&lt;200), "Light User", "Balanced User")))</f>
        <v>#REF!</v>
      </c>
      <c r="AC723" t="e">
        <f>IF(#REF! = 0, "No Usage", IF(#REF! &lt;= 20, "Low Usage", IF(#REF! &lt;= 40, "Medium Usgae", "High Usage")))</f>
        <v>#REF!</v>
      </c>
      <c r="AD723" t="e">
        <f>IF(#REF!&lt;=150,"Low Usage", IF(#REF!&lt;=200,"Medium Usage", IF(#REF!&lt;=250,"High Usage","Very High Usage")))</f>
        <v>#REF!</v>
      </c>
      <c r="AE723" t="e">
        <f>IF(#REF!&lt;=5,"Low Calls", IF(#REF!&lt;=10, "Medium Calls", "High Calls"))</f>
        <v>#REF!</v>
      </c>
      <c r="AF723" t="e">
        <f xml:space="preserve">
IF(#REF!&gt;=4,4,0)+
IF(#REF!="yes",3,0)+
IF(#REF!="High Charges",3,0)+
IF(#REF!&gt;250,4,0)+
IF(#REF!="no",1,0)+
IF(#REF!="Heavy Domestic User",2,0)</f>
        <v>#REF!</v>
      </c>
      <c r="AG723" t="e">
        <f>IF(#REF!&gt;=10,"High Risk", IF(#REF!&gt;=5,"Medium Risk","Low Risk"))</f>
        <v>#REF!</v>
      </c>
      <c r="AH723" t="e">
        <f>#REF! + #REF! + #REF! + #REF!</f>
        <v>#REF!</v>
      </c>
    </row>
    <row r="724" spans="1:34" x14ac:dyDescent="0.35">
      <c r="A724">
        <v>723</v>
      </c>
      <c r="B724" t="s">
        <v>29</v>
      </c>
      <c r="C724">
        <v>58</v>
      </c>
      <c r="D724" t="s">
        <v>21</v>
      </c>
      <c r="E724" t="s">
        <v>22</v>
      </c>
      <c r="F724" t="s">
        <v>22</v>
      </c>
      <c r="G724">
        <v>0</v>
      </c>
      <c r="H724">
        <v>149.4</v>
      </c>
      <c r="I724">
        <v>145</v>
      </c>
      <c r="J724">
        <v>25.4</v>
      </c>
      <c r="K724">
        <v>196.5</v>
      </c>
      <c r="L724">
        <v>105</v>
      </c>
      <c r="M724">
        <v>16.7</v>
      </c>
      <c r="N724">
        <v>209.5</v>
      </c>
      <c r="O724">
        <v>108</v>
      </c>
      <c r="P724">
        <v>9.43</v>
      </c>
      <c r="Q724">
        <v>14.9</v>
      </c>
      <c r="R724">
        <v>3</v>
      </c>
      <c r="S724">
        <v>4.0199999999999996</v>
      </c>
      <c r="T724">
        <v>1</v>
      </c>
      <c r="U724" t="s">
        <v>22</v>
      </c>
      <c r="V724" t="e">
        <f>IF(#REF! = "yes", 1, 0)</f>
        <v>#REF!</v>
      </c>
      <c r="W724" t="e">
        <f>IF(#REF! &lt;= 1, "0-1 Calls", IF(#REF! &lt;= 3, "2-3 Calls", IF(#REF! &lt;=5, "4-5 Calls", "6+ Calls")))</f>
        <v>#REF!</v>
      </c>
      <c r="X724" t="e">
        <f>IF(#REF! &lt;= 50, "0-50", IF(#REF! &lt;=100, "51-100", IF(#REF! &lt;= 150, "101-150", "151+")))</f>
        <v>#REF!</v>
      </c>
      <c r="Y724" t="e">
        <f>IF(#REF! &lt;= 3, "Low Charges", "High Charges")</f>
        <v>#REF!</v>
      </c>
      <c r="Z724" t="e">
        <f>IF(#REF!&lt;=80,"Low Calls",
IF(#REF!&lt;=120,"Medium Calls","High Calls"))</f>
        <v>#REF!</v>
      </c>
      <c r="AA724" t="e">
        <f>IF(#REF!&lt;=15,"Low Charges",
IF(#REF!&lt;=20,"Medium Charges","High Charges"))</f>
        <v>#REF!</v>
      </c>
      <c r="AB724" t="e">
        <f>IF(AND(#REF!&gt;180, #REF!&gt;200), "Heavy Doemstic User", IF(#REF!&gt;10, "Interntional User", IF(AND(#REF!&lt;180, #REF!&lt;200,#REF!&lt;200), "Light User", "Balanced User")))</f>
        <v>#REF!</v>
      </c>
      <c r="AC724" t="e">
        <f>IF(#REF! = 0, "No Usage", IF(#REF! &lt;= 20, "Low Usage", IF(#REF! &lt;= 40, "Medium Usgae", "High Usage")))</f>
        <v>#REF!</v>
      </c>
      <c r="AD724" t="e">
        <f>IF(#REF!&lt;=150,"Low Usage", IF(#REF!&lt;=200,"Medium Usage", IF(#REF!&lt;=250,"High Usage","Very High Usage")))</f>
        <v>#REF!</v>
      </c>
      <c r="AE724" t="e">
        <f>IF(#REF!&lt;=5,"Low Calls", IF(#REF!&lt;=10, "Medium Calls", "High Calls"))</f>
        <v>#REF!</v>
      </c>
      <c r="AF724" t="e">
        <f xml:space="preserve">
IF(#REF!&gt;=4,4,0)+
IF(#REF!="yes",3,0)+
IF(#REF!="High Charges",3,0)+
IF(#REF!&gt;250,4,0)+
IF(#REF!="no",1,0)+
IF(#REF!="Heavy Domestic User",2,0)</f>
        <v>#REF!</v>
      </c>
      <c r="AG724" t="e">
        <f>IF(#REF!&gt;=10,"High Risk", IF(#REF!&gt;=5,"Medium Risk","Low Risk"))</f>
        <v>#REF!</v>
      </c>
      <c r="AH724" t="e">
        <f>#REF! + #REF! + #REF! + #REF!</f>
        <v>#REF!</v>
      </c>
    </row>
    <row r="725" spans="1:34" x14ac:dyDescent="0.35">
      <c r="A725">
        <v>724</v>
      </c>
      <c r="B725" t="s">
        <v>56</v>
      </c>
      <c r="C725">
        <v>75</v>
      </c>
      <c r="D725" t="s">
        <v>28</v>
      </c>
      <c r="E725" t="s">
        <v>22</v>
      </c>
      <c r="F725" t="s">
        <v>23</v>
      </c>
      <c r="G725">
        <v>38</v>
      </c>
      <c r="H725">
        <v>163.6</v>
      </c>
      <c r="I725">
        <v>132</v>
      </c>
      <c r="J725">
        <v>27.81</v>
      </c>
      <c r="K725">
        <v>146.69999999999999</v>
      </c>
      <c r="L725">
        <v>113</v>
      </c>
      <c r="M725">
        <v>12.47</v>
      </c>
      <c r="N725">
        <v>345.8</v>
      </c>
      <c r="O725">
        <v>115</v>
      </c>
      <c r="P725">
        <v>15.56</v>
      </c>
      <c r="Q725">
        <v>13.1</v>
      </c>
      <c r="R725">
        <v>3</v>
      </c>
      <c r="S725">
        <v>3.54</v>
      </c>
      <c r="T725">
        <v>3</v>
      </c>
      <c r="U725" t="s">
        <v>22</v>
      </c>
      <c r="V725" t="e">
        <f>IF(#REF! = "yes", 1, 0)</f>
        <v>#REF!</v>
      </c>
      <c r="W725" t="e">
        <f>IF(#REF! &lt;= 1, "0-1 Calls", IF(#REF! &lt;= 3, "2-3 Calls", IF(#REF! &lt;=5, "4-5 Calls", "6+ Calls")))</f>
        <v>#REF!</v>
      </c>
      <c r="X725" t="e">
        <f>IF(#REF! &lt;= 50, "0-50", IF(#REF! &lt;=100, "51-100", IF(#REF! &lt;= 150, "101-150", "151+")))</f>
        <v>#REF!</v>
      </c>
      <c r="Y725" t="e">
        <f>IF(#REF! &lt;= 3, "Low Charges", "High Charges")</f>
        <v>#REF!</v>
      </c>
      <c r="Z725" t="e">
        <f>IF(#REF!&lt;=80,"Low Calls",
IF(#REF!&lt;=120,"Medium Calls","High Calls"))</f>
        <v>#REF!</v>
      </c>
      <c r="AA725" t="e">
        <f>IF(#REF!&lt;=15,"Low Charges",
IF(#REF!&lt;=20,"Medium Charges","High Charges"))</f>
        <v>#REF!</v>
      </c>
      <c r="AB725" t="e">
        <f>IF(AND(#REF!&gt;180, #REF!&gt;200), "Heavy Doemstic User", IF(#REF!&gt;10, "Interntional User", IF(AND(#REF!&lt;180, #REF!&lt;200,#REF!&lt;200), "Light User", "Balanced User")))</f>
        <v>#REF!</v>
      </c>
      <c r="AC725" t="e">
        <f>IF(#REF! = 0, "No Usage", IF(#REF! &lt;= 20, "Low Usage", IF(#REF! &lt;= 40, "Medium Usgae", "High Usage")))</f>
        <v>#REF!</v>
      </c>
      <c r="AD725" t="e">
        <f>IF(#REF!&lt;=150,"Low Usage", IF(#REF!&lt;=200,"Medium Usage", IF(#REF!&lt;=250,"High Usage","Very High Usage")))</f>
        <v>#REF!</v>
      </c>
      <c r="AE725" t="e">
        <f>IF(#REF!&lt;=5,"Low Calls", IF(#REF!&lt;=10, "Medium Calls", "High Calls"))</f>
        <v>#REF!</v>
      </c>
      <c r="AF725" t="e">
        <f xml:space="preserve">
IF(#REF!&gt;=4,4,0)+
IF(#REF!="yes",3,0)+
IF(#REF!="High Charges",3,0)+
IF(#REF!&gt;250,4,0)+
IF(#REF!="no",1,0)+
IF(#REF!="Heavy Domestic User",2,0)</f>
        <v>#REF!</v>
      </c>
      <c r="AG725" t="e">
        <f>IF(#REF!&gt;=10,"High Risk", IF(#REF!&gt;=5,"Medium Risk","Low Risk"))</f>
        <v>#REF!</v>
      </c>
      <c r="AH725" t="e">
        <f>#REF! + #REF! + #REF! + #REF!</f>
        <v>#REF!</v>
      </c>
    </row>
    <row r="726" spans="1:34" x14ac:dyDescent="0.35">
      <c r="A726">
        <v>725</v>
      </c>
      <c r="B726" t="s">
        <v>29</v>
      </c>
      <c r="C726">
        <v>45</v>
      </c>
      <c r="D726" t="s">
        <v>25</v>
      </c>
      <c r="E726" t="s">
        <v>22</v>
      </c>
      <c r="F726" t="s">
        <v>22</v>
      </c>
      <c r="G726">
        <v>0</v>
      </c>
      <c r="H726">
        <v>207.6</v>
      </c>
      <c r="I726">
        <v>71</v>
      </c>
      <c r="J726">
        <v>35.29</v>
      </c>
      <c r="K726">
        <v>152.69999999999999</v>
      </c>
      <c r="L726">
        <v>94</v>
      </c>
      <c r="M726">
        <v>12.98</v>
      </c>
      <c r="N726">
        <v>217.8</v>
      </c>
      <c r="O726">
        <v>125</v>
      </c>
      <c r="P726">
        <v>9.8000000000000007</v>
      </c>
      <c r="Q726">
        <v>12.4</v>
      </c>
      <c r="R726">
        <v>13</v>
      </c>
      <c r="S726">
        <v>3.35</v>
      </c>
      <c r="T726">
        <v>1</v>
      </c>
      <c r="U726" t="s">
        <v>22</v>
      </c>
      <c r="V726" t="e">
        <f>IF(#REF! = "yes", 1, 0)</f>
        <v>#REF!</v>
      </c>
      <c r="W726" t="e">
        <f>IF(#REF! &lt;= 1, "0-1 Calls", IF(#REF! &lt;= 3, "2-3 Calls", IF(#REF! &lt;=5, "4-5 Calls", "6+ Calls")))</f>
        <v>#REF!</v>
      </c>
      <c r="X726" t="e">
        <f>IF(#REF! &lt;= 50, "0-50", IF(#REF! &lt;=100, "51-100", IF(#REF! &lt;= 150, "101-150", "151+")))</f>
        <v>#REF!</v>
      </c>
      <c r="Y726" t="e">
        <f>IF(#REF! &lt;= 3, "Low Charges", "High Charges")</f>
        <v>#REF!</v>
      </c>
      <c r="Z726" t="e">
        <f>IF(#REF!&lt;=80,"Low Calls",
IF(#REF!&lt;=120,"Medium Calls","High Calls"))</f>
        <v>#REF!</v>
      </c>
      <c r="AA726" t="e">
        <f>IF(#REF!&lt;=15,"Low Charges",
IF(#REF!&lt;=20,"Medium Charges","High Charges"))</f>
        <v>#REF!</v>
      </c>
      <c r="AB726" t="e">
        <f>IF(AND(#REF!&gt;180, #REF!&gt;200), "Heavy Doemstic User", IF(#REF!&gt;10, "Interntional User", IF(AND(#REF!&lt;180, #REF!&lt;200,#REF!&lt;200), "Light User", "Balanced User")))</f>
        <v>#REF!</v>
      </c>
      <c r="AC726" t="e">
        <f>IF(#REF! = 0, "No Usage", IF(#REF! &lt;= 20, "Low Usage", IF(#REF! &lt;= 40, "Medium Usgae", "High Usage")))</f>
        <v>#REF!</v>
      </c>
      <c r="AD726" t="e">
        <f>IF(#REF!&lt;=150,"Low Usage", IF(#REF!&lt;=200,"Medium Usage", IF(#REF!&lt;=250,"High Usage","Very High Usage")))</f>
        <v>#REF!</v>
      </c>
      <c r="AE726" t="e">
        <f>IF(#REF!&lt;=5,"Low Calls", IF(#REF!&lt;=10, "Medium Calls", "High Calls"))</f>
        <v>#REF!</v>
      </c>
      <c r="AF726" t="e">
        <f xml:space="preserve">
IF(#REF!&gt;=4,4,0)+
IF(#REF!="yes",3,0)+
IF(#REF!="High Charges",3,0)+
IF(#REF!&gt;250,4,0)+
IF(#REF!="no",1,0)+
IF(#REF!="Heavy Domestic User",2,0)</f>
        <v>#REF!</v>
      </c>
      <c r="AG726" t="e">
        <f>IF(#REF!&gt;=10,"High Risk", IF(#REF!&gt;=5,"Medium Risk","Low Risk"))</f>
        <v>#REF!</v>
      </c>
      <c r="AH726" t="e">
        <f>#REF! + #REF! + #REF! + #REF!</f>
        <v>#REF!</v>
      </c>
    </row>
    <row r="727" spans="1:34" x14ac:dyDescent="0.35">
      <c r="A727">
        <v>726</v>
      </c>
      <c r="B727" t="s">
        <v>74</v>
      </c>
      <c r="C727">
        <v>155</v>
      </c>
      <c r="D727" t="s">
        <v>28</v>
      </c>
      <c r="E727" t="s">
        <v>22</v>
      </c>
      <c r="F727" t="s">
        <v>22</v>
      </c>
      <c r="G727">
        <v>0</v>
      </c>
      <c r="H727">
        <v>165.4</v>
      </c>
      <c r="I727">
        <v>108</v>
      </c>
      <c r="J727">
        <v>28.12</v>
      </c>
      <c r="K727">
        <v>183.7</v>
      </c>
      <c r="L727">
        <v>103</v>
      </c>
      <c r="M727">
        <v>15.61</v>
      </c>
      <c r="N727">
        <v>80.2</v>
      </c>
      <c r="O727">
        <v>108</v>
      </c>
      <c r="P727">
        <v>3.61</v>
      </c>
      <c r="Q727">
        <v>8.9</v>
      </c>
      <c r="R727">
        <v>4</v>
      </c>
      <c r="S727">
        <v>2.4</v>
      </c>
      <c r="T727">
        <v>3</v>
      </c>
      <c r="U727" t="s">
        <v>22</v>
      </c>
      <c r="V727" t="e">
        <f>IF(#REF! = "yes", 1, 0)</f>
        <v>#REF!</v>
      </c>
      <c r="W727" t="e">
        <f>IF(#REF! &lt;= 1, "0-1 Calls", IF(#REF! &lt;= 3, "2-3 Calls", IF(#REF! &lt;=5, "4-5 Calls", "6+ Calls")))</f>
        <v>#REF!</v>
      </c>
      <c r="X727" t="e">
        <f>IF(#REF! &lt;= 50, "0-50", IF(#REF! &lt;=100, "51-100", IF(#REF! &lt;= 150, "101-150", "151+")))</f>
        <v>#REF!</v>
      </c>
      <c r="Y727" t="e">
        <f>IF(#REF! &lt;= 3, "Low Charges", "High Charges")</f>
        <v>#REF!</v>
      </c>
      <c r="Z727" t="e">
        <f>IF(#REF!&lt;=80,"Low Calls",
IF(#REF!&lt;=120,"Medium Calls","High Calls"))</f>
        <v>#REF!</v>
      </c>
      <c r="AA727" t="e">
        <f>IF(#REF!&lt;=15,"Low Charges",
IF(#REF!&lt;=20,"Medium Charges","High Charges"))</f>
        <v>#REF!</v>
      </c>
      <c r="AB727" t="e">
        <f>IF(AND(#REF!&gt;180, #REF!&gt;200), "Heavy Doemstic User", IF(#REF!&gt;10, "Interntional User", IF(AND(#REF!&lt;180, #REF!&lt;200,#REF!&lt;200), "Light User", "Balanced User")))</f>
        <v>#REF!</v>
      </c>
      <c r="AC727" t="e">
        <f>IF(#REF! = 0, "No Usage", IF(#REF! &lt;= 20, "Low Usage", IF(#REF! &lt;= 40, "Medium Usgae", "High Usage")))</f>
        <v>#REF!</v>
      </c>
      <c r="AD727" t="e">
        <f>IF(#REF!&lt;=150,"Low Usage", IF(#REF!&lt;=200,"Medium Usage", IF(#REF!&lt;=250,"High Usage","Very High Usage")))</f>
        <v>#REF!</v>
      </c>
      <c r="AE727" t="e">
        <f>IF(#REF!&lt;=5,"Low Calls", IF(#REF!&lt;=10, "Medium Calls", "High Calls"))</f>
        <v>#REF!</v>
      </c>
      <c r="AF727" t="e">
        <f xml:space="preserve">
IF(#REF!&gt;=4,4,0)+
IF(#REF!="yes",3,0)+
IF(#REF!="High Charges",3,0)+
IF(#REF!&gt;250,4,0)+
IF(#REF!="no",1,0)+
IF(#REF!="Heavy Domestic User",2,0)</f>
        <v>#REF!</v>
      </c>
      <c r="AG727" t="e">
        <f>IF(#REF!&gt;=10,"High Risk", IF(#REF!&gt;=5,"Medium Risk","Low Risk"))</f>
        <v>#REF!</v>
      </c>
      <c r="AH727" t="e">
        <f>#REF! + #REF! + #REF! + #REF!</f>
        <v>#REF!</v>
      </c>
    </row>
    <row r="728" spans="1:34" x14ac:dyDescent="0.35">
      <c r="A728">
        <v>727</v>
      </c>
      <c r="B728" t="s">
        <v>49</v>
      </c>
      <c r="C728">
        <v>52</v>
      </c>
      <c r="D728" t="s">
        <v>21</v>
      </c>
      <c r="E728" t="s">
        <v>22</v>
      </c>
      <c r="F728" t="s">
        <v>22</v>
      </c>
      <c r="G728">
        <v>0</v>
      </c>
      <c r="H728">
        <v>209.8</v>
      </c>
      <c r="I728">
        <v>114</v>
      </c>
      <c r="J728">
        <v>35.67</v>
      </c>
      <c r="K728">
        <v>171.3</v>
      </c>
      <c r="L728">
        <v>82</v>
      </c>
      <c r="M728">
        <v>14.56</v>
      </c>
      <c r="N728">
        <v>154.6</v>
      </c>
      <c r="O728">
        <v>119</v>
      </c>
      <c r="P728">
        <v>6.96</v>
      </c>
      <c r="Q728">
        <v>9.9</v>
      </c>
      <c r="R728">
        <v>9</v>
      </c>
      <c r="S728">
        <v>2.67</v>
      </c>
      <c r="T728">
        <v>4</v>
      </c>
      <c r="U728" t="s">
        <v>22</v>
      </c>
      <c r="V728" t="e">
        <f>IF(#REF! = "yes", 1, 0)</f>
        <v>#REF!</v>
      </c>
      <c r="W728" t="e">
        <f>IF(#REF! &lt;= 1, "0-1 Calls", IF(#REF! &lt;= 3, "2-3 Calls", IF(#REF! &lt;=5, "4-5 Calls", "6+ Calls")))</f>
        <v>#REF!</v>
      </c>
      <c r="X728" t="e">
        <f>IF(#REF! &lt;= 50, "0-50", IF(#REF! &lt;=100, "51-100", IF(#REF! &lt;= 150, "101-150", "151+")))</f>
        <v>#REF!</v>
      </c>
      <c r="Y728" t="e">
        <f>IF(#REF! &lt;= 3, "Low Charges", "High Charges")</f>
        <v>#REF!</v>
      </c>
      <c r="Z728" t="e">
        <f>IF(#REF!&lt;=80,"Low Calls",
IF(#REF!&lt;=120,"Medium Calls","High Calls"))</f>
        <v>#REF!</v>
      </c>
      <c r="AA728" t="e">
        <f>IF(#REF!&lt;=15,"Low Charges",
IF(#REF!&lt;=20,"Medium Charges","High Charges"))</f>
        <v>#REF!</v>
      </c>
      <c r="AB728" t="e">
        <f>IF(AND(#REF!&gt;180, #REF!&gt;200), "Heavy Doemstic User", IF(#REF!&gt;10, "Interntional User", IF(AND(#REF!&lt;180, #REF!&lt;200,#REF!&lt;200), "Light User", "Balanced User")))</f>
        <v>#REF!</v>
      </c>
      <c r="AC728" t="e">
        <f>IF(#REF! = 0, "No Usage", IF(#REF! &lt;= 20, "Low Usage", IF(#REF! &lt;= 40, "Medium Usgae", "High Usage")))</f>
        <v>#REF!</v>
      </c>
      <c r="AD728" t="e">
        <f>IF(#REF!&lt;=150,"Low Usage", IF(#REF!&lt;=200,"Medium Usage", IF(#REF!&lt;=250,"High Usage","Very High Usage")))</f>
        <v>#REF!</v>
      </c>
      <c r="AE728" t="e">
        <f>IF(#REF!&lt;=5,"Low Calls", IF(#REF!&lt;=10, "Medium Calls", "High Calls"))</f>
        <v>#REF!</v>
      </c>
      <c r="AF728" t="e">
        <f xml:space="preserve">
IF(#REF!&gt;=4,4,0)+
IF(#REF!="yes",3,0)+
IF(#REF!="High Charges",3,0)+
IF(#REF!&gt;250,4,0)+
IF(#REF!="no",1,0)+
IF(#REF!="Heavy Domestic User",2,0)</f>
        <v>#REF!</v>
      </c>
      <c r="AG728" t="e">
        <f>IF(#REF!&gt;=10,"High Risk", IF(#REF!&gt;=5,"Medium Risk","Low Risk"))</f>
        <v>#REF!</v>
      </c>
      <c r="AH728" t="e">
        <f>#REF! + #REF! + #REF! + #REF!</f>
        <v>#REF!</v>
      </c>
    </row>
    <row r="729" spans="1:34" x14ac:dyDescent="0.35">
      <c r="A729">
        <v>728</v>
      </c>
      <c r="B729" t="s">
        <v>20</v>
      </c>
      <c r="C729">
        <v>119</v>
      </c>
      <c r="D729" t="s">
        <v>21</v>
      </c>
      <c r="E729" t="s">
        <v>22</v>
      </c>
      <c r="F729" t="s">
        <v>23</v>
      </c>
      <c r="G729">
        <v>27</v>
      </c>
      <c r="H729">
        <v>220.1</v>
      </c>
      <c r="I729">
        <v>128</v>
      </c>
      <c r="J729">
        <v>37.42</v>
      </c>
      <c r="K729">
        <v>268.2</v>
      </c>
      <c r="L729">
        <v>133</v>
      </c>
      <c r="M729">
        <v>22.8</v>
      </c>
      <c r="N729">
        <v>146.5</v>
      </c>
      <c r="O729">
        <v>80</v>
      </c>
      <c r="P729">
        <v>6.59</v>
      </c>
      <c r="Q729">
        <v>11.1</v>
      </c>
      <c r="R729">
        <v>3</v>
      </c>
      <c r="S729">
        <v>3</v>
      </c>
      <c r="T729">
        <v>0</v>
      </c>
      <c r="U729" t="s">
        <v>22</v>
      </c>
      <c r="V729" t="e">
        <f>IF(#REF! = "yes", 1, 0)</f>
        <v>#REF!</v>
      </c>
      <c r="W729" t="e">
        <f>IF(#REF! &lt;= 1, "0-1 Calls", IF(#REF! &lt;= 3, "2-3 Calls", IF(#REF! &lt;=5, "4-5 Calls", "6+ Calls")))</f>
        <v>#REF!</v>
      </c>
      <c r="X729" t="e">
        <f>IF(#REF! &lt;= 50, "0-50", IF(#REF! &lt;=100, "51-100", IF(#REF! &lt;= 150, "101-150", "151+")))</f>
        <v>#REF!</v>
      </c>
      <c r="Y729" t="e">
        <f>IF(#REF! &lt;= 3, "Low Charges", "High Charges")</f>
        <v>#REF!</v>
      </c>
      <c r="Z729" t="e">
        <f>IF(#REF!&lt;=80,"Low Calls",
IF(#REF!&lt;=120,"Medium Calls","High Calls"))</f>
        <v>#REF!</v>
      </c>
      <c r="AA729" t="e">
        <f>IF(#REF!&lt;=15,"Low Charges",
IF(#REF!&lt;=20,"Medium Charges","High Charges"))</f>
        <v>#REF!</v>
      </c>
      <c r="AB729" t="e">
        <f>IF(AND(#REF!&gt;180, #REF!&gt;200), "Heavy Doemstic User", IF(#REF!&gt;10, "Interntional User", IF(AND(#REF!&lt;180, #REF!&lt;200,#REF!&lt;200), "Light User", "Balanced User")))</f>
        <v>#REF!</v>
      </c>
      <c r="AC729" t="e">
        <f>IF(#REF! = 0, "No Usage", IF(#REF! &lt;= 20, "Low Usage", IF(#REF! &lt;= 40, "Medium Usgae", "High Usage")))</f>
        <v>#REF!</v>
      </c>
      <c r="AD729" t="e">
        <f>IF(#REF!&lt;=150,"Low Usage", IF(#REF!&lt;=200,"Medium Usage", IF(#REF!&lt;=250,"High Usage","Very High Usage")))</f>
        <v>#REF!</v>
      </c>
      <c r="AE729" t="e">
        <f>IF(#REF!&lt;=5,"Low Calls", IF(#REF!&lt;=10, "Medium Calls", "High Calls"))</f>
        <v>#REF!</v>
      </c>
      <c r="AF729" t="e">
        <f xml:space="preserve">
IF(#REF!&gt;=4,4,0)+
IF(#REF!="yes",3,0)+
IF(#REF!="High Charges",3,0)+
IF(#REF!&gt;250,4,0)+
IF(#REF!="no",1,0)+
IF(#REF!="Heavy Domestic User",2,0)</f>
        <v>#REF!</v>
      </c>
      <c r="AG729" t="e">
        <f>IF(#REF!&gt;=10,"High Risk", IF(#REF!&gt;=5,"Medium Risk","Low Risk"))</f>
        <v>#REF!</v>
      </c>
      <c r="AH729" t="e">
        <f>#REF! + #REF! + #REF! + #REF!</f>
        <v>#REF!</v>
      </c>
    </row>
    <row r="730" spans="1:34" x14ac:dyDescent="0.35">
      <c r="A730">
        <v>729</v>
      </c>
      <c r="B730" t="s">
        <v>62</v>
      </c>
      <c r="C730">
        <v>86</v>
      </c>
      <c r="D730" t="s">
        <v>28</v>
      </c>
      <c r="E730" t="s">
        <v>22</v>
      </c>
      <c r="F730" t="s">
        <v>22</v>
      </c>
      <c r="G730">
        <v>0</v>
      </c>
      <c r="H730">
        <v>141.30000000000001</v>
      </c>
      <c r="I730">
        <v>72</v>
      </c>
      <c r="J730">
        <v>24.02</v>
      </c>
      <c r="K730">
        <v>154.30000000000001</v>
      </c>
      <c r="L730">
        <v>95</v>
      </c>
      <c r="M730">
        <v>13.12</v>
      </c>
      <c r="N730">
        <v>210.6</v>
      </c>
      <c r="O730">
        <v>91</v>
      </c>
      <c r="P730">
        <v>9.48</v>
      </c>
      <c r="Q730">
        <v>8.1999999999999993</v>
      </c>
      <c r="R730">
        <v>5</v>
      </c>
      <c r="S730">
        <v>2.21</v>
      </c>
      <c r="T730">
        <v>1</v>
      </c>
      <c r="U730" t="s">
        <v>22</v>
      </c>
      <c r="V730" t="e">
        <f>IF(#REF! = "yes", 1, 0)</f>
        <v>#REF!</v>
      </c>
      <c r="W730" t="e">
        <f>IF(#REF! &lt;= 1, "0-1 Calls", IF(#REF! &lt;= 3, "2-3 Calls", IF(#REF! &lt;=5, "4-5 Calls", "6+ Calls")))</f>
        <v>#REF!</v>
      </c>
      <c r="X730" t="e">
        <f>IF(#REF! &lt;= 50, "0-50", IF(#REF! &lt;=100, "51-100", IF(#REF! &lt;= 150, "101-150", "151+")))</f>
        <v>#REF!</v>
      </c>
      <c r="Y730" t="e">
        <f>IF(#REF! &lt;= 3, "Low Charges", "High Charges")</f>
        <v>#REF!</v>
      </c>
      <c r="Z730" t="e">
        <f>IF(#REF!&lt;=80,"Low Calls",
IF(#REF!&lt;=120,"Medium Calls","High Calls"))</f>
        <v>#REF!</v>
      </c>
      <c r="AA730" t="e">
        <f>IF(#REF!&lt;=15,"Low Charges",
IF(#REF!&lt;=20,"Medium Charges","High Charges"))</f>
        <v>#REF!</v>
      </c>
      <c r="AB730" t="e">
        <f>IF(AND(#REF!&gt;180, #REF!&gt;200), "Heavy Doemstic User", IF(#REF!&gt;10, "Interntional User", IF(AND(#REF!&lt;180, #REF!&lt;200,#REF!&lt;200), "Light User", "Balanced User")))</f>
        <v>#REF!</v>
      </c>
      <c r="AC730" t="e">
        <f>IF(#REF! = 0, "No Usage", IF(#REF! &lt;= 20, "Low Usage", IF(#REF! &lt;= 40, "Medium Usgae", "High Usage")))</f>
        <v>#REF!</v>
      </c>
      <c r="AD730" t="e">
        <f>IF(#REF!&lt;=150,"Low Usage", IF(#REF!&lt;=200,"Medium Usage", IF(#REF!&lt;=250,"High Usage","Very High Usage")))</f>
        <v>#REF!</v>
      </c>
      <c r="AE730" t="e">
        <f>IF(#REF!&lt;=5,"Low Calls", IF(#REF!&lt;=10, "Medium Calls", "High Calls"))</f>
        <v>#REF!</v>
      </c>
      <c r="AF730" t="e">
        <f xml:space="preserve">
IF(#REF!&gt;=4,4,0)+
IF(#REF!="yes",3,0)+
IF(#REF!="High Charges",3,0)+
IF(#REF!&gt;250,4,0)+
IF(#REF!="no",1,0)+
IF(#REF!="Heavy Domestic User",2,0)</f>
        <v>#REF!</v>
      </c>
      <c r="AG730" t="e">
        <f>IF(#REF!&gt;=10,"High Risk", IF(#REF!&gt;=5,"Medium Risk","Low Risk"))</f>
        <v>#REF!</v>
      </c>
      <c r="AH730" t="e">
        <f>#REF! + #REF! + #REF! + #REF!</f>
        <v>#REF!</v>
      </c>
    </row>
    <row r="731" spans="1:34" x14ac:dyDescent="0.35">
      <c r="A731">
        <v>730</v>
      </c>
      <c r="B731" t="s">
        <v>49</v>
      </c>
      <c r="C731">
        <v>42</v>
      </c>
      <c r="D731" t="s">
        <v>25</v>
      </c>
      <c r="E731" t="s">
        <v>22</v>
      </c>
      <c r="F731" t="s">
        <v>22</v>
      </c>
      <c r="G731">
        <v>0</v>
      </c>
      <c r="H731">
        <v>196.5</v>
      </c>
      <c r="I731">
        <v>89</v>
      </c>
      <c r="J731">
        <v>33.409999999999997</v>
      </c>
      <c r="K731">
        <v>241.3</v>
      </c>
      <c r="L731">
        <v>123</v>
      </c>
      <c r="M731">
        <v>20.51</v>
      </c>
      <c r="N731">
        <v>143.19999999999999</v>
      </c>
      <c r="O731">
        <v>105</v>
      </c>
      <c r="P731">
        <v>6.44</v>
      </c>
      <c r="Q731">
        <v>4</v>
      </c>
      <c r="R731">
        <v>7</v>
      </c>
      <c r="S731">
        <v>1.08</v>
      </c>
      <c r="T731">
        <v>0</v>
      </c>
      <c r="U731" t="s">
        <v>22</v>
      </c>
      <c r="V731" t="e">
        <f>IF(#REF! = "yes", 1, 0)</f>
        <v>#REF!</v>
      </c>
      <c r="W731" t="e">
        <f>IF(#REF! &lt;= 1, "0-1 Calls", IF(#REF! &lt;= 3, "2-3 Calls", IF(#REF! &lt;=5, "4-5 Calls", "6+ Calls")))</f>
        <v>#REF!</v>
      </c>
      <c r="X731" t="e">
        <f>IF(#REF! &lt;= 50, "0-50", IF(#REF! &lt;=100, "51-100", IF(#REF! &lt;= 150, "101-150", "151+")))</f>
        <v>#REF!</v>
      </c>
      <c r="Y731" t="e">
        <f>IF(#REF! &lt;= 3, "Low Charges", "High Charges")</f>
        <v>#REF!</v>
      </c>
      <c r="Z731" t="e">
        <f>IF(#REF!&lt;=80,"Low Calls",
IF(#REF!&lt;=120,"Medium Calls","High Calls"))</f>
        <v>#REF!</v>
      </c>
      <c r="AA731" t="e">
        <f>IF(#REF!&lt;=15,"Low Charges",
IF(#REF!&lt;=20,"Medium Charges","High Charges"))</f>
        <v>#REF!</v>
      </c>
      <c r="AB731" t="e">
        <f>IF(AND(#REF!&gt;180, #REF!&gt;200), "Heavy Doemstic User", IF(#REF!&gt;10, "Interntional User", IF(AND(#REF!&lt;180, #REF!&lt;200,#REF!&lt;200), "Light User", "Balanced User")))</f>
        <v>#REF!</v>
      </c>
      <c r="AC731" t="e">
        <f>IF(#REF! = 0, "No Usage", IF(#REF! &lt;= 20, "Low Usage", IF(#REF! &lt;= 40, "Medium Usgae", "High Usage")))</f>
        <v>#REF!</v>
      </c>
      <c r="AD731" t="e">
        <f>IF(#REF!&lt;=150,"Low Usage", IF(#REF!&lt;=200,"Medium Usage", IF(#REF!&lt;=250,"High Usage","Very High Usage")))</f>
        <v>#REF!</v>
      </c>
      <c r="AE731" t="e">
        <f>IF(#REF!&lt;=5,"Low Calls", IF(#REF!&lt;=10, "Medium Calls", "High Calls"))</f>
        <v>#REF!</v>
      </c>
      <c r="AF731" t="e">
        <f xml:space="preserve">
IF(#REF!&gt;=4,4,0)+
IF(#REF!="yes",3,0)+
IF(#REF!="High Charges",3,0)+
IF(#REF!&gt;250,4,0)+
IF(#REF!="no",1,0)+
IF(#REF!="Heavy Domestic User",2,0)</f>
        <v>#REF!</v>
      </c>
      <c r="AG731" t="e">
        <f>IF(#REF!&gt;=10,"High Risk", IF(#REF!&gt;=5,"Medium Risk","Low Risk"))</f>
        <v>#REF!</v>
      </c>
      <c r="AH731" t="e">
        <f>#REF! + #REF! + #REF! + #REF!</f>
        <v>#REF!</v>
      </c>
    </row>
    <row r="732" spans="1:34" x14ac:dyDescent="0.35">
      <c r="A732">
        <v>731</v>
      </c>
      <c r="B732" t="s">
        <v>69</v>
      </c>
      <c r="C732">
        <v>127</v>
      </c>
      <c r="D732" t="s">
        <v>28</v>
      </c>
      <c r="E732" t="s">
        <v>23</v>
      </c>
      <c r="F732" t="s">
        <v>22</v>
      </c>
      <c r="G732">
        <v>0</v>
      </c>
      <c r="H732">
        <v>180.9</v>
      </c>
      <c r="I732">
        <v>114</v>
      </c>
      <c r="J732">
        <v>30.75</v>
      </c>
      <c r="K732">
        <v>209.5</v>
      </c>
      <c r="L732">
        <v>118</v>
      </c>
      <c r="M732">
        <v>17.809999999999999</v>
      </c>
      <c r="N732">
        <v>249.9</v>
      </c>
      <c r="O732">
        <v>105</v>
      </c>
      <c r="P732">
        <v>11.25</v>
      </c>
      <c r="Q732">
        <v>7.4</v>
      </c>
      <c r="R732">
        <v>4</v>
      </c>
      <c r="S732">
        <v>2</v>
      </c>
      <c r="T732">
        <v>2</v>
      </c>
      <c r="U732" t="s">
        <v>22</v>
      </c>
      <c r="V732" t="e">
        <f>IF(#REF! = "yes", 1, 0)</f>
        <v>#REF!</v>
      </c>
      <c r="W732" t="e">
        <f>IF(#REF! &lt;= 1, "0-1 Calls", IF(#REF! &lt;= 3, "2-3 Calls", IF(#REF! &lt;=5, "4-5 Calls", "6+ Calls")))</f>
        <v>#REF!</v>
      </c>
      <c r="X732" t="e">
        <f>IF(#REF! &lt;= 50, "0-50", IF(#REF! &lt;=100, "51-100", IF(#REF! &lt;= 150, "101-150", "151+")))</f>
        <v>#REF!</v>
      </c>
      <c r="Y732" t="e">
        <f>IF(#REF! &lt;= 3, "Low Charges", "High Charges")</f>
        <v>#REF!</v>
      </c>
      <c r="Z732" t="e">
        <f>IF(#REF!&lt;=80,"Low Calls",
IF(#REF!&lt;=120,"Medium Calls","High Calls"))</f>
        <v>#REF!</v>
      </c>
      <c r="AA732" t="e">
        <f>IF(#REF!&lt;=15,"Low Charges",
IF(#REF!&lt;=20,"Medium Charges","High Charges"))</f>
        <v>#REF!</v>
      </c>
      <c r="AB732" t="e">
        <f>IF(AND(#REF!&gt;180, #REF!&gt;200), "Heavy Doemstic User", IF(#REF!&gt;10, "Interntional User", IF(AND(#REF!&lt;180, #REF!&lt;200,#REF!&lt;200), "Light User", "Balanced User")))</f>
        <v>#REF!</v>
      </c>
      <c r="AC732" t="e">
        <f>IF(#REF! = 0, "No Usage", IF(#REF! &lt;= 20, "Low Usage", IF(#REF! &lt;= 40, "Medium Usgae", "High Usage")))</f>
        <v>#REF!</v>
      </c>
      <c r="AD732" t="e">
        <f>IF(#REF!&lt;=150,"Low Usage", IF(#REF!&lt;=200,"Medium Usage", IF(#REF!&lt;=250,"High Usage","Very High Usage")))</f>
        <v>#REF!</v>
      </c>
      <c r="AE732" t="e">
        <f>IF(#REF!&lt;=5,"Low Calls", IF(#REF!&lt;=10, "Medium Calls", "High Calls"))</f>
        <v>#REF!</v>
      </c>
      <c r="AF732" t="e">
        <f xml:space="preserve">
IF(#REF!&gt;=4,4,0)+
IF(#REF!="yes",3,0)+
IF(#REF!="High Charges",3,0)+
IF(#REF!&gt;250,4,0)+
IF(#REF!="no",1,0)+
IF(#REF!="Heavy Domestic User",2,0)</f>
        <v>#REF!</v>
      </c>
      <c r="AG732" t="e">
        <f>IF(#REF!&gt;=10,"High Risk", IF(#REF!&gt;=5,"Medium Risk","Low Risk"))</f>
        <v>#REF!</v>
      </c>
      <c r="AH732" t="e">
        <f>#REF! + #REF! + #REF! + #REF!</f>
        <v>#REF!</v>
      </c>
    </row>
    <row r="733" spans="1:34" x14ac:dyDescent="0.35">
      <c r="A733">
        <v>732</v>
      </c>
      <c r="B733" t="s">
        <v>26</v>
      </c>
      <c r="C733">
        <v>149</v>
      </c>
      <c r="D733" t="s">
        <v>28</v>
      </c>
      <c r="E733" t="s">
        <v>22</v>
      </c>
      <c r="F733" t="s">
        <v>23</v>
      </c>
      <c r="G733">
        <v>43</v>
      </c>
      <c r="H733">
        <v>206.7</v>
      </c>
      <c r="I733">
        <v>79</v>
      </c>
      <c r="J733">
        <v>35.14</v>
      </c>
      <c r="K733">
        <v>174.6</v>
      </c>
      <c r="L733">
        <v>122</v>
      </c>
      <c r="M733">
        <v>14.84</v>
      </c>
      <c r="N733">
        <v>241.5</v>
      </c>
      <c r="O733">
        <v>80</v>
      </c>
      <c r="P733">
        <v>10.87</v>
      </c>
      <c r="Q733">
        <v>10.9</v>
      </c>
      <c r="R733">
        <v>3</v>
      </c>
      <c r="S733">
        <v>2.94</v>
      </c>
      <c r="T733">
        <v>1</v>
      </c>
      <c r="U733" t="s">
        <v>22</v>
      </c>
      <c r="V733" t="e">
        <f>IF(#REF! = "yes", 1, 0)</f>
        <v>#REF!</v>
      </c>
      <c r="W733" t="e">
        <f>IF(#REF! &lt;= 1, "0-1 Calls", IF(#REF! &lt;= 3, "2-3 Calls", IF(#REF! &lt;=5, "4-5 Calls", "6+ Calls")))</f>
        <v>#REF!</v>
      </c>
      <c r="X733" t="e">
        <f>IF(#REF! &lt;= 50, "0-50", IF(#REF! &lt;=100, "51-100", IF(#REF! &lt;= 150, "101-150", "151+")))</f>
        <v>#REF!</v>
      </c>
      <c r="Y733" t="e">
        <f>IF(#REF! &lt;= 3, "Low Charges", "High Charges")</f>
        <v>#REF!</v>
      </c>
      <c r="Z733" t="e">
        <f>IF(#REF!&lt;=80,"Low Calls",
IF(#REF!&lt;=120,"Medium Calls","High Calls"))</f>
        <v>#REF!</v>
      </c>
      <c r="AA733" t="e">
        <f>IF(#REF!&lt;=15,"Low Charges",
IF(#REF!&lt;=20,"Medium Charges","High Charges"))</f>
        <v>#REF!</v>
      </c>
      <c r="AB733" t="e">
        <f>IF(AND(#REF!&gt;180, #REF!&gt;200), "Heavy Doemstic User", IF(#REF!&gt;10, "Interntional User", IF(AND(#REF!&lt;180, #REF!&lt;200,#REF!&lt;200), "Light User", "Balanced User")))</f>
        <v>#REF!</v>
      </c>
      <c r="AC733" t="e">
        <f>IF(#REF! = 0, "No Usage", IF(#REF! &lt;= 20, "Low Usage", IF(#REF! &lt;= 40, "Medium Usgae", "High Usage")))</f>
        <v>#REF!</v>
      </c>
      <c r="AD733" t="e">
        <f>IF(#REF!&lt;=150,"Low Usage", IF(#REF!&lt;=200,"Medium Usage", IF(#REF!&lt;=250,"High Usage","Very High Usage")))</f>
        <v>#REF!</v>
      </c>
      <c r="AE733" t="e">
        <f>IF(#REF!&lt;=5,"Low Calls", IF(#REF!&lt;=10, "Medium Calls", "High Calls"))</f>
        <v>#REF!</v>
      </c>
      <c r="AF733" t="e">
        <f xml:space="preserve">
IF(#REF!&gt;=4,4,0)+
IF(#REF!="yes",3,0)+
IF(#REF!="High Charges",3,0)+
IF(#REF!&gt;250,4,0)+
IF(#REF!="no",1,0)+
IF(#REF!="Heavy Domestic User",2,0)</f>
        <v>#REF!</v>
      </c>
      <c r="AG733" t="e">
        <f>IF(#REF!&gt;=10,"High Risk", IF(#REF!&gt;=5,"Medium Risk","Low Risk"))</f>
        <v>#REF!</v>
      </c>
      <c r="AH733" t="e">
        <f>#REF! + #REF! + #REF! + #REF!</f>
        <v>#REF!</v>
      </c>
    </row>
    <row r="734" spans="1:34" x14ac:dyDescent="0.35">
      <c r="A734">
        <v>733</v>
      </c>
      <c r="B734" t="s">
        <v>27</v>
      </c>
      <c r="C734">
        <v>160</v>
      </c>
      <c r="D734" t="s">
        <v>25</v>
      </c>
      <c r="E734" t="s">
        <v>22</v>
      </c>
      <c r="F734" t="s">
        <v>22</v>
      </c>
      <c r="G734">
        <v>0</v>
      </c>
      <c r="H734">
        <v>166.8</v>
      </c>
      <c r="I734">
        <v>109</v>
      </c>
      <c r="J734">
        <v>28.36</v>
      </c>
      <c r="K734">
        <v>236</v>
      </c>
      <c r="L734">
        <v>117</v>
      </c>
      <c r="M734">
        <v>20.059999999999999</v>
      </c>
      <c r="N734">
        <v>307.60000000000002</v>
      </c>
      <c r="O734">
        <v>77</v>
      </c>
      <c r="P734">
        <v>13.84</v>
      </c>
      <c r="Q734">
        <v>9.3000000000000007</v>
      </c>
      <c r="R734">
        <v>1</v>
      </c>
      <c r="S734">
        <v>2.5099999999999998</v>
      </c>
      <c r="T734">
        <v>1</v>
      </c>
      <c r="U734" t="s">
        <v>22</v>
      </c>
      <c r="V734" t="e">
        <f>IF(#REF! = "yes", 1, 0)</f>
        <v>#REF!</v>
      </c>
      <c r="W734" t="e">
        <f>IF(#REF! &lt;= 1, "0-1 Calls", IF(#REF! &lt;= 3, "2-3 Calls", IF(#REF! &lt;=5, "4-5 Calls", "6+ Calls")))</f>
        <v>#REF!</v>
      </c>
      <c r="X734" t="e">
        <f>IF(#REF! &lt;= 50, "0-50", IF(#REF! &lt;=100, "51-100", IF(#REF! &lt;= 150, "101-150", "151+")))</f>
        <v>#REF!</v>
      </c>
      <c r="Y734" t="e">
        <f>IF(#REF! &lt;= 3, "Low Charges", "High Charges")</f>
        <v>#REF!</v>
      </c>
      <c r="Z734" t="e">
        <f>IF(#REF!&lt;=80,"Low Calls",
IF(#REF!&lt;=120,"Medium Calls","High Calls"))</f>
        <v>#REF!</v>
      </c>
      <c r="AA734" t="e">
        <f>IF(#REF!&lt;=15,"Low Charges",
IF(#REF!&lt;=20,"Medium Charges","High Charges"))</f>
        <v>#REF!</v>
      </c>
      <c r="AB734" t="e">
        <f>IF(AND(#REF!&gt;180, #REF!&gt;200), "Heavy Doemstic User", IF(#REF!&gt;10, "Interntional User", IF(AND(#REF!&lt;180, #REF!&lt;200,#REF!&lt;200), "Light User", "Balanced User")))</f>
        <v>#REF!</v>
      </c>
      <c r="AC734" t="e">
        <f>IF(#REF! = 0, "No Usage", IF(#REF! &lt;= 20, "Low Usage", IF(#REF! &lt;= 40, "Medium Usgae", "High Usage")))</f>
        <v>#REF!</v>
      </c>
      <c r="AD734" t="e">
        <f>IF(#REF!&lt;=150,"Low Usage", IF(#REF!&lt;=200,"Medium Usage", IF(#REF!&lt;=250,"High Usage","Very High Usage")))</f>
        <v>#REF!</v>
      </c>
      <c r="AE734" t="e">
        <f>IF(#REF!&lt;=5,"Low Calls", IF(#REF!&lt;=10, "Medium Calls", "High Calls"))</f>
        <v>#REF!</v>
      </c>
      <c r="AF734" t="e">
        <f xml:space="preserve">
IF(#REF!&gt;=4,4,0)+
IF(#REF!="yes",3,0)+
IF(#REF!="High Charges",3,0)+
IF(#REF!&gt;250,4,0)+
IF(#REF!="no",1,0)+
IF(#REF!="Heavy Domestic User",2,0)</f>
        <v>#REF!</v>
      </c>
      <c r="AG734" t="e">
        <f>IF(#REF!&gt;=10,"High Risk", IF(#REF!&gt;=5,"Medium Risk","Low Risk"))</f>
        <v>#REF!</v>
      </c>
      <c r="AH734" t="e">
        <f>#REF! + #REF! + #REF! + #REF!</f>
        <v>#REF!</v>
      </c>
    </row>
    <row r="735" spans="1:34" x14ac:dyDescent="0.35">
      <c r="A735">
        <v>734</v>
      </c>
      <c r="B735" t="s">
        <v>41</v>
      </c>
      <c r="C735">
        <v>137</v>
      </c>
      <c r="D735" t="s">
        <v>21</v>
      </c>
      <c r="E735" t="s">
        <v>22</v>
      </c>
      <c r="F735" t="s">
        <v>22</v>
      </c>
      <c r="G735">
        <v>0</v>
      </c>
      <c r="H735">
        <v>127</v>
      </c>
      <c r="I735">
        <v>107</v>
      </c>
      <c r="J735">
        <v>21.59</v>
      </c>
      <c r="K735">
        <v>323.2</v>
      </c>
      <c r="L735">
        <v>75</v>
      </c>
      <c r="M735">
        <v>27.47</v>
      </c>
      <c r="N735">
        <v>143.9</v>
      </c>
      <c r="O735">
        <v>127</v>
      </c>
      <c r="P735">
        <v>6.48</v>
      </c>
      <c r="Q735">
        <v>7.5</v>
      </c>
      <c r="R735">
        <v>2</v>
      </c>
      <c r="S735">
        <v>2.0299999999999998</v>
      </c>
      <c r="T735">
        <v>1</v>
      </c>
      <c r="U735" t="s">
        <v>22</v>
      </c>
      <c r="V735" t="e">
        <f>IF(#REF! = "yes", 1, 0)</f>
        <v>#REF!</v>
      </c>
      <c r="W735" t="e">
        <f>IF(#REF! &lt;= 1, "0-1 Calls", IF(#REF! &lt;= 3, "2-3 Calls", IF(#REF! &lt;=5, "4-5 Calls", "6+ Calls")))</f>
        <v>#REF!</v>
      </c>
      <c r="X735" t="e">
        <f>IF(#REF! &lt;= 50, "0-50", IF(#REF! &lt;=100, "51-100", IF(#REF! &lt;= 150, "101-150", "151+")))</f>
        <v>#REF!</v>
      </c>
      <c r="Y735" t="e">
        <f>IF(#REF! &lt;= 3, "Low Charges", "High Charges")</f>
        <v>#REF!</v>
      </c>
      <c r="Z735" t="e">
        <f>IF(#REF!&lt;=80,"Low Calls",
IF(#REF!&lt;=120,"Medium Calls","High Calls"))</f>
        <v>#REF!</v>
      </c>
      <c r="AA735" t="e">
        <f>IF(#REF!&lt;=15,"Low Charges",
IF(#REF!&lt;=20,"Medium Charges","High Charges"))</f>
        <v>#REF!</v>
      </c>
      <c r="AB735" t="e">
        <f>IF(AND(#REF!&gt;180, #REF!&gt;200), "Heavy Doemstic User", IF(#REF!&gt;10, "Interntional User", IF(AND(#REF!&lt;180, #REF!&lt;200,#REF!&lt;200), "Light User", "Balanced User")))</f>
        <v>#REF!</v>
      </c>
      <c r="AC735" t="e">
        <f>IF(#REF! = 0, "No Usage", IF(#REF! &lt;= 20, "Low Usage", IF(#REF! &lt;= 40, "Medium Usgae", "High Usage")))</f>
        <v>#REF!</v>
      </c>
      <c r="AD735" t="e">
        <f>IF(#REF!&lt;=150,"Low Usage", IF(#REF!&lt;=200,"Medium Usage", IF(#REF!&lt;=250,"High Usage","Very High Usage")))</f>
        <v>#REF!</v>
      </c>
      <c r="AE735" t="e">
        <f>IF(#REF!&lt;=5,"Low Calls", IF(#REF!&lt;=10, "Medium Calls", "High Calls"))</f>
        <v>#REF!</v>
      </c>
      <c r="AF735" t="e">
        <f xml:space="preserve">
IF(#REF!&gt;=4,4,0)+
IF(#REF!="yes",3,0)+
IF(#REF!="High Charges",3,0)+
IF(#REF!&gt;250,4,0)+
IF(#REF!="no",1,0)+
IF(#REF!="Heavy Domestic User",2,0)</f>
        <v>#REF!</v>
      </c>
      <c r="AG735" t="e">
        <f>IF(#REF!&gt;=10,"High Risk", IF(#REF!&gt;=5,"Medium Risk","Low Risk"))</f>
        <v>#REF!</v>
      </c>
      <c r="AH735" t="e">
        <f>#REF! + #REF! + #REF! + #REF!</f>
        <v>#REF!</v>
      </c>
    </row>
    <row r="736" spans="1:34" x14ac:dyDescent="0.35">
      <c r="A736">
        <v>735</v>
      </c>
      <c r="B736" t="s">
        <v>40</v>
      </c>
      <c r="C736">
        <v>129</v>
      </c>
      <c r="D736" t="s">
        <v>21</v>
      </c>
      <c r="E736" t="s">
        <v>23</v>
      </c>
      <c r="F736" t="s">
        <v>22</v>
      </c>
      <c r="G736">
        <v>0</v>
      </c>
      <c r="H736">
        <v>267.39999999999998</v>
      </c>
      <c r="I736">
        <v>78</v>
      </c>
      <c r="J736">
        <v>45.46</v>
      </c>
      <c r="K736">
        <v>204.2</v>
      </c>
      <c r="L736">
        <v>85</v>
      </c>
      <c r="M736">
        <v>17.36</v>
      </c>
      <c r="N736">
        <v>111.7</v>
      </c>
      <c r="O736">
        <v>146</v>
      </c>
      <c r="P736">
        <v>5.03</v>
      </c>
      <c r="Q736">
        <v>5.9</v>
      </c>
      <c r="R736">
        <v>4</v>
      </c>
      <c r="S736">
        <v>1.59</v>
      </c>
      <c r="T736">
        <v>1</v>
      </c>
      <c r="U736" t="s">
        <v>22</v>
      </c>
      <c r="V736" t="e">
        <f>IF(#REF! = "yes", 1, 0)</f>
        <v>#REF!</v>
      </c>
      <c r="W736" t="e">
        <f>IF(#REF! &lt;= 1, "0-1 Calls", IF(#REF! &lt;= 3, "2-3 Calls", IF(#REF! &lt;=5, "4-5 Calls", "6+ Calls")))</f>
        <v>#REF!</v>
      </c>
      <c r="X736" t="e">
        <f>IF(#REF! &lt;= 50, "0-50", IF(#REF! &lt;=100, "51-100", IF(#REF! &lt;= 150, "101-150", "151+")))</f>
        <v>#REF!</v>
      </c>
      <c r="Y736" t="e">
        <f>IF(#REF! &lt;= 3, "Low Charges", "High Charges")</f>
        <v>#REF!</v>
      </c>
      <c r="Z736" t="e">
        <f>IF(#REF!&lt;=80,"Low Calls",
IF(#REF!&lt;=120,"Medium Calls","High Calls"))</f>
        <v>#REF!</v>
      </c>
      <c r="AA736" t="e">
        <f>IF(#REF!&lt;=15,"Low Charges",
IF(#REF!&lt;=20,"Medium Charges","High Charges"))</f>
        <v>#REF!</v>
      </c>
      <c r="AB736" t="e">
        <f>IF(AND(#REF!&gt;180, #REF!&gt;200), "Heavy Doemstic User", IF(#REF!&gt;10, "Interntional User", IF(AND(#REF!&lt;180, #REF!&lt;200,#REF!&lt;200), "Light User", "Balanced User")))</f>
        <v>#REF!</v>
      </c>
      <c r="AC736" t="e">
        <f>IF(#REF! = 0, "No Usage", IF(#REF! &lt;= 20, "Low Usage", IF(#REF! &lt;= 40, "Medium Usgae", "High Usage")))</f>
        <v>#REF!</v>
      </c>
      <c r="AD736" t="e">
        <f>IF(#REF!&lt;=150,"Low Usage", IF(#REF!&lt;=200,"Medium Usage", IF(#REF!&lt;=250,"High Usage","Very High Usage")))</f>
        <v>#REF!</v>
      </c>
      <c r="AE736" t="e">
        <f>IF(#REF!&lt;=5,"Low Calls", IF(#REF!&lt;=10, "Medium Calls", "High Calls"))</f>
        <v>#REF!</v>
      </c>
      <c r="AF736" t="e">
        <f xml:space="preserve">
IF(#REF!&gt;=4,4,0)+
IF(#REF!="yes",3,0)+
IF(#REF!="High Charges",3,0)+
IF(#REF!&gt;250,4,0)+
IF(#REF!="no",1,0)+
IF(#REF!="Heavy Domestic User",2,0)</f>
        <v>#REF!</v>
      </c>
      <c r="AG736" t="e">
        <f>IF(#REF!&gt;=10,"High Risk", IF(#REF!&gt;=5,"Medium Risk","Low Risk"))</f>
        <v>#REF!</v>
      </c>
      <c r="AH736" t="e">
        <f>#REF! + #REF! + #REF! + #REF!</f>
        <v>#REF!</v>
      </c>
    </row>
    <row r="737" spans="1:34" x14ac:dyDescent="0.35">
      <c r="A737">
        <v>736</v>
      </c>
      <c r="B737" t="s">
        <v>51</v>
      </c>
      <c r="C737">
        <v>62</v>
      </c>
      <c r="D737" t="s">
        <v>21</v>
      </c>
      <c r="E737" t="s">
        <v>22</v>
      </c>
      <c r="F737" t="s">
        <v>22</v>
      </c>
      <c r="G737">
        <v>0</v>
      </c>
      <c r="H737">
        <v>281</v>
      </c>
      <c r="I737">
        <v>66</v>
      </c>
      <c r="J737">
        <v>47.77</v>
      </c>
      <c r="K737">
        <v>160.6</v>
      </c>
      <c r="L737">
        <v>108</v>
      </c>
      <c r="M737">
        <v>13.65</v>
      </c>
      <c r="N737">
        <v>77.900000000000006</v>
      </c>
      <c r="O737">
        <v>74</v>
      </c>
      <c r="P737">
        <v>3.51</v>
      </c>
      <c r="Q737">
        <v>0</v>
      </c>
      <c r="R737">
        <v>0</v>
      </c>
      <c r="S737">
        <v>0</v>
      </c>
      <c r="T737">
        <v>1</v>
      </c>
      <c r="U737" t="s">
        <v>22</v>
      </c>
      <c r="V737" t="e">
        <f>IF(#REF! = "yes", 1, 0)</f>
        <v>#REF!</v>
      </c>
      <c r="W737" t="e">
        <f>IF(#REF! &lt;= 1, "0-1 Calls", IF(#REF! &lt;= 3, "2-3 Calls", IF(#REF! &lt;=5, "4-5 Calls", "6+ Calls")))</f>
        <v>#REF!</v>
      </c>
      <c r="X737" t="e">
        <f>IF(#REF! &lt;= 50, "0-50", IF(#REF! &lt;=100, "51-100", IF(#REF! &lt;= 150, "101-150", "151+")))</f>
        <v>#REF!</v>
      </c>
      <c r="Y737" t="e">
        <f>IF(#REF! &lt;= 3, "Low Charges", "High Charges")</f>
        <v>#REF!</v>
      </c>
      <c r="Z737" t="e">
        <f>IF(#REF!&lt;=80,"Low Calls",
IF(#REF!&lt;=120,"Medium Calls","High Calls"))</f>
        <v>#REF!</v>
      </c>
      <c r="AA737" t="e">
        <f>IF(#REF!&lt;=15,"Low Charges",
IF(#REF!&lt;=20,"Medium Charges","High Charges"))</f>
        <v>#REF!</v>
      </c>
      <c r="AB737" t="e">
        <f>IF(AND(#REF!&gt;180, #REF!&gt;200), "Heavy Doemstic User", IF(#REF!&gt;10, "Interntional User", IF(AND(#REF!&lt;180, #REF!&lt;200,#REF!&lt;200), "Light User", "Balanced User")))</f>
        <v>#REF!</v>
      </c>
      <c r="AC737" t="e">
        <f>IF(#REF! = 0, "No Usage", IF(#REF! &lt;= 20, "Low Usage", IF(#REF! &lt;= 40, "Medium Usgae", "High Usage")))</f>
        <v>#REF!</v>
      </c>
      <c r="AD737" t="e">
        <f>IF(#REF!&lt;=150,"Low Usage", IF(#REF!&lt;=200,"Medium Usage", IF(#REF!&lt;=250,"High Usage","Very High Usage")))</f>
        <v>#REF!</v>
      </c>
      <c r="AE737" t="e">
        <f>IF(#REF!&lt;=5,"Low Calls", IF(#REF!&lt;=10, "Medium Calls", "High Calls"))</f>
        <v>#REF!</v>
      </c>
      <c r="AF737" t="e">
        <f xml:space="preserve">
IF(#REF!&gt;=4,4,0)+
IF(#REF!="yes",3,0)+
IF(#REF!="High Charges",3,0)+
IF(#REF!&gt;250,4,0)+
IF(#REF!="no",1,0)+
IF(#REF!="Heavy Domestic User",2,0)</f>
        <v>#REF!</v>
      </c>
      <c r="AG737" t="e">
        <f>IF(#REF!&gt;=10,"High Risk", IF(#REF!&gt;=5,"Medium Risk","Low Risk"))</f>
        <v>#REF!</v>
      </c>
      <c r="AH737" t="e">
        <f>#REF! + #REF! + #REF! + #REF!</f>
        <v>#REF!</v>
      </c>
    </row>
    <row r="738" spans="1:34" x14ac:dyDescent="0.35">
      <c r="A738">
        <v>737</v>
      </c>
      <c r="B738" t="s">
        <v>37</v>
      </c>
      <c r="C738">
        <v>122</v>
      </c>
      <c r="D738" t="s">
        <v>28</v>
      </c>
      <c r="E738" t="s">
        <v>22</v>
      </c>
      <c r="F738" t="s">
        <v>23</v>
      </c>
      <c r="G738">
        <v>33</v>
      </c>
      <c r="H738">
        <v>270.8</v>
      </c>
      <c r="I738">
        <v>96</v>
      </c>
      <c r="J738">
        <v>46.04</v>
      </c>
      <c r="K738">
        <v>220.4</v>
      </c>
      <c r="L738">
        <v>110</v>
      </c>
      <c r="M738">
        <v>18.73</v>
      </c>
      <c r="N738">
        <v>169.9</v>
      </c>
      <c r="O738">
        <v>104</v>
      </c>
      <c r="P738">
        <v>7.65</v>
      </c>
      <c r="Q738">
        <v>11.8</v>
      </c>
      <c r="R738">
        <v>8</v>
      </c>
      <c r="S738">
        <v>3.19</v>
      </c>
      <c r="T738">
        <v>4</v>
      </c>
      <c r="U738" t="s">
        <v>22</v>
      </c>
      <c r="V738" t="e">
        <f>IF(#REF! = "yes", 1, 0)</f>
        <v>#REF!</v>
      </c>
      <c r="W738" t="e">
        <f>IF(#REF! &lt;= 1, "0-1 Calls", IF(#REF! &lt;= 3, "2-3 Calls", IF(#REF! &lt;=5, "4-5 Calls", "6+ Calls")))</f>
        <v>#REF!</v>
      </c>
      <c r="X738" t="e">
        <f>IF(#REF! &lt;= 50, "0-50", IF(#REF! &lt;=100, "51-100", IF(#REF! &lt;= 150, "101-150", "151+")))</f>
        <v>#REF!</v>
      </c>
      <c r="Y738" t="e">
        <f>IF(#REF! &lt;= 3, "Low Charges", "High Charges")</f>
        <v>#REF!</v>
      </c>
      <c r="Z738" t="e">
        <f>IF(#REF!&lt;=80,"Low Calls",
IF(#REF!&lt;=120,"Medium Calls","High Calls"))</f>
        <v>#REF!</v>
      </c>
      <c r="AA738" t="e">
        <f>IF(#REF!&lt;=15,"Low Charges",
IF(#REF!&lt;=20,"Medium Charges","High Charges"))</f>
        <v>#REF!</v>
      </c>
      <c r="AB738" t="e">
        <f>IF(AND(#REF!&gt;180, #REF!&gt;200), "Heavy Doemstic User", IF(#REF!&gt;10, "Interntional User", IF(AND(#REF!&lt;180, #REF!&lt;200,#REF!&lt;200), "Light User", "Balanced User")))</f>
        <v>#REF!</v>
      </c>
      <c r="AC738" t="e">
        <f>IF(#REF! = 0, "No Usage", IF(#REF! &lt;= 20, "Low Usage", IF(#REF! &lt;= 40, "Medium Usgae", "High Usage")))</f>
        <v>#REF!</v>
      </c>
      <c r="AD738" t="e">
        <f>IF(#REF!&lt;=150,"Low Usage", IF(#REF!&lt;=200,"Medium Usage", IF(#REF!&lt;=250,"High Usage","Very High Usage")))</f>
        <v>#REF!</v>
      </c>
      <c r="AE738" t="e">
        <f>IF(#REF!&lt;=5,"Low Calls", IF(#REF!&lt;=10, "Medium Calls", "High Calls"))</f>
        <v>#REF!</v>
      </c>
      <c r="AF738" t="e">
        <f xml:space="preserve">
IF(#REF!&gt;=4,4,0)+
IF(#REF!="yes",3,0)+
IF(#REF!="High Charges",3,0)+
IF(#REF!&gt;250,4,0)+
IF(#REF!="no",1,0)+
IF(#REF!="Heavy Domestic User",2,0)</f>
        <v>#REF!</v>
      </c>
      <c r="AG738" t="e">
        <f>IF(#REF!&gt;=10,"High Risk", IF(#REF!&gt;=5,"Medium Risk","Low Risk"))</f>
        <v>#REF!</v>
      </c>
      <c r="AH738" t="e">
        <f>#REF! + #REF! + #REF! + #REF!</f>
        <v>#REF!</v>
      </c>
    </row>
    <row r="739" spans="1:34" x14ac:dyDescent="0.35">
      <c r="A739">
        <v>738</v>
      </c>
      <c r="B739" t="s">
        <v>44</v>
      </c>
      <c r="C739">
        <v>32</v>
      </c>
      <c r="D739" t="s">
        <v>25</v>
      </c>
      <c r="E739" t="s">
        <v>22</v>
      </c>
      <c r="F739" t="s">
        <v>22</v>
      </c>
      <c r="G739">
        <v>0</v>
      </c>
      <c r="H739">
        <v>171.2</v>
      </c>
      <c r="I739">
        <v>82</v>
      </c>
      <c r="J739">
        <v>29.1</v>
      </c>
      <c r="K739">
        <v>185.6</v>
      </c>
      <c r="L739">
        <v>102</v>
      </c>
      <c r="M739">
        <v>15.78</v>
      </c>
      <c r="N739">
        <v>203.3</v>
      </c>
      <c r="O739">
        <v>64</v>
      </c>
      <c r="P739">
        <v>9.15</v>
      </c>
      <c r="Q739">
        <v>10.199999999999999</v>
      </c>
      <c r="R739">
        <v>7</v>
      </c>
      <c r="S739">
        <v>2.75</v>
      </c>
      <c r="T739">
        <v>1</v>
      </c>
      <c r="U739" t="s">
        <v>22</v>
      </c>
      <c r="V739" t="e">
        <f>IF(#REF! = "yes", 1, 0)</f>
        <v>#REF!</v>
      </c>
      <c r="W739" t="e">
        <f>IF(#REF! &lt;= 1, "0-1 Calls", IF(#REF! &lt;= 3, "2-3 Calls", IF(#REF! &lt;=5, "4-5 Calls", "6+ Calls")))</f>
        <v>#REF!</v>
      </c>
      <c r="X739" t="e">
        <f>IF(#REF! &lt;= 50, "0-50", IF(#REF! &lt;=100, "51-100", IF(#REF! &lt;= 150, "101-150", "151+")))</f>
        <v>#REF!</v>
      </c>
      <c r="Y739" t="e">
        <f>IF(#REF! &lt;= 3, "Low Charges", "High Charges")</f>
        <v>#REF!</v>
      </c>
      <c r="Z739" t="e">
        <f>IF(#REF!&lt;=80,"Low Calls",
IF(#REF!&lt;=120,"Medium Calls","High Calls"))</f>
        <v>#REF!</v>
      </c>
      <c r="AA739" t="e">
        <f>IF(#REF!&lt;=15,"Low Charges",
IF(#REF!&lt;=20,"Medium Charges","High Charges"))</f>
        <v>#REF!</v>
      </c>
      <c r="AB739" t="e">
        <f>IF(AND(#REF!&gt;180, #REF!&gt;200), "Heavy Doemstic User", IF(#REF!&gt;10, "Interntional User", IF(AND(#REF!&lt;180, #REF!&lt;200,#REF!&lt;200), "Light User", "Balanced User")))</f>
        <v>#REF!</v>
      </c>
      <c r="AC739" t="e">
        <f>IF(#REF! = 0, "No Usage", IF(#REF! &lt;= 20, "Low Usage", IF(#REF! &lt;= 40, "Medium Usgae", "High Usage")))</f>
        <v>#REF!</v>
      </c>
      <c r="AD739" t="e">
        <f>IF(#REF!&lt;=150,"Low Usage", IF(#REF!&lt;=200,"Medium Usage", IF(#REF!&lt;=250,"High Usage","Very High Usage")))</f>
        <v>#REF!</v>
      </c>
      <c r="AE739" t="e">
        <f>IF(#REF!&lt;=5,"Low Calls", IF(#REF!&lt;=10, "Medium Calls", "High Calls"))</f>
        <v>#REF!</v>
      </c>
      <c r="AF739" t="e">
        <f xml:space="preserve">
IF(#REF!&gt;=4,4,0)+
IF(#REF!="yes",3,0)+
IF(#REF!="High Charges",3,0)+
IF(#REF!&gt;250,4,0)+
IF(#REF!="no",1,0)+
IF(#REF!="Heavy Domestic User",2,0)</f>
        <v>#REF!</v>
      </c>
      <c r="AG739" t="e">
        <f>IF(#REF!&gt;=10,"High Risk", IF(#REF!&gt;=5,"Medium Risk","Low Risk"))</f>
        <v>#REF!</v>
      </c>
      <c r="AH739" t="e">
        <f>#REF! + #REF! + #REF! + #REF!</f>
        <v>#REF!</v>
      </c>
    </row>
    <row r="740" spans="1:34" x14ac:dyDescent="0.35">
      <c r="A740">
        <v>739</v>
      </c>
      <c r="B740" t="s">
        <v>40</v>
      </c>
      <c r="C740">
        <v>130</v>
      </c>
      <c r="D740" t="s">
        <v>21</v>
      </c>
      <c r="E740" t="s">
        <v>22</v>
      </c>
      <c r="F740" t="s">
        <v>22</v>
      </c>
      <c r="G740">
        <v>0</v>
      </c>
      <c r="H740">
        <v>162.80000000000001</v>
      </c>
      <c r="I740">
        <v>113</v>
      </c>
      <c r="J740">
        <v>27.68</v>
      </c>
      <c r="K740">
        <v>290.3</v>
      </c>
      <c r="L740">
        <v>111</v>
      </c>
      <c r="M740">
        <v>24.68</v>
      </c>
      <c r="N740">
        <v>114.9</v>
      </c>
      <c r="O740">
        <v>140</v>
      </c>
      <c r="P740">
        <v>5.17</v>
      </c>
      <c r="Q740">
        <v>7.2</v>
      </c>
      <c r="R740">
        <v>3</v>
      </c>
      <c r="S740">
        <v>1.94</v>
      </c>
      <c r="T740">
        <v>1</v>
      </c>
      <c r="U740" t="s">
        <v>22</v>
      </c>
      <c r="V740" t="e">
        <f>IF(#REF! = "yes", 1, 0)</f>
        <v>#REF!</v>
      </c>
      <c r="W740" t="e">
        <f>IF(#REF! &lt;= 1, "0-1 Calls", IF(#REF! &lt;= 3, "2-3 Calls", IF(#REF! &lt;=5, "4-5 Calls", "6+ Calls")))</f>
        <v>#REF!</v>
      </c>
      <c r="X740" t="e">
        <f>IF(#REF! &lt;= 50, "0-50", IF(#REF! &lt;=100, "51-100", IF(#REF! &lt;= 150, "101-150", "151+")))</f>
        <v>#REF!</v>
      </c>
      <c r="Y740" t="e">
        <f>IF(#REF! &lt;= 3, "Low Charges", "High Charges")</f>
        <v>#REF!</v>
      </c>
      <c r="Z740" t="e">
        <f>IF(#REF!&lt;=80,"Low Calls",
IF(#REF!&lt;=120,"Medium Calls","High Calls"))</f>
        <v>#REF!</v>
      </c>
      <c r="AA740" t="e">
        <f>IF(#REF!&lt;=15,"Low Charges",
IF(#REF!&lt;=20,"Medium Charges","High Charges"))</f>
        <v>#REF!</v>
      </c>
      <c r="AB740" t="e">
        <f>IF(AND(#REF!&gt;180, #REF!&gt;200), "Heavy Doemstic User", IF(#REF!&gt;10, "Interntional User", IF(AND(#REF!&lt;180, #REF!&lt;200,#REF!&lt;200), "Light User", "Balanced User")))</f>
        <v>#REF!</v>
      </c>
      <c r="AC740" t="e">
        <f>IF(#REF! = 0, "No Usage", IF(#REF! &lt;= 20, "Low Usage", IF(#REF! &lt;= 40, "Medium Usgae", "High Usage")))</f>
        <v>#REF!</v>
      </c>
      <c r="AD740" t="e">
        <f>IF(#REF!&lt;=150,"Low Usage", IF(#REF!&lt;=200,"Medium Usage", IF(#REF!&lt;=250,"High Usage","Very High Usage")))</f>
        <v>#REF!</v>
      </c>
      <c r="AE740" t="e">
        <f>IF(#REF!&lt;=5,"Low Calls", IF(#REF!&lt;=10, "Medium Calls", "High Calls"))</f>
        <v>#REF!</v>
      </c>
      <c r="AF740" t="e">
        <f xml:space="preserve">
IF(#REF!&gt;=4,4,0)+
IF(#REF!="yes",3,0)+
IF(#REF!="High Charges",3,0)+
IF(#REF!&gt;250,4,0)+
IF(#REF!="no",1,0)+
IF(#REF!="Heavy Domestic User",2,0)</f>
        <v>#REF!</v>
      </c>
      <c r="AG740" t="e">
        <f>IF(#REF!&gt;=10,"High Risk", IF(#REF!&gt;=5,"Medium Risk","Low Risk"))</f>
        <v>#REF!</v>
      </c>
      <c r="AH740" t="e">
        <f>#REF! + #REF! + #REF! + #REF!</f>
        <v>#REF!</v>
      </c>
    </row>
    <row r="741" spans="1:34" x14ac:dyDescent="0.35">
      <c r="A741">
        <v>740</v>
      </c>
      <c r="B741" t="s">
        <v>44</v>
      </c>
      <c r="C741">
        <v>42</v>
      </c>
      <c r="D741" t="s">
        <v>25</v>
      </c>
      <c r="E741" t="s">
        <v>22</v>
      </c>
      <c r="F741" t="s">
        <v>22</v>
      </c>
      <c r="G741">
        <v>0</v>
      </c>
      <c r="H741">
        <v>146.30000000000001</v>
      </c>
      <c r="I741">
        <v>84</v>
      </c>
      <c r="J741">
        <v>24.87</v>
      </c>
      <c r="K741">
        <v>255.9</v>
      </c>
      <c r="L741">
        <v>113</v>
      </c>
      <c r="M741">
        <v>21.75</v>
      </c>
      <c r="N741">
        <v>45</v>
      </c>
      <c r="O741">
        <v>117</v>
      </c>
      <c r="P741">
        <v>2.0299999999999998</v>
      </c>
      <c r="Q741">
        <v>8</v>
      </c>
      <c r="R741">
        <v>12</v>
      </c>
      <c r="S741">
        <v>2.16</v>
      </c>
      <c r="T741">
        <v>1</v>
      </c>
      <c r="U741" t="s">
        <v>22</v>
      </c>
      <c r="V741" t="e">
        <f>IF(#REF! = "yes", 1, 0)</f>
        <v>#REF!</v>
      </c>
      <c r="W741" t="e">
        <f>IF(#REF! &lt;= 1, "0-1 Calls", IF(#REF! &lt;= 3, "2-3 Calls", IF(#REF! &lt;=5, "4-5 Calls", "6+ Calls")))</f>
        <v>#REF!</v>
      </c>
      <c r="X741" t="e">
        <f>IF(#REF! &lt;= 50, "0-50", IF(#REF! &lt;=100, "51-100", IF(#REF! &lt;= 150, "101-150", "151+")))</f>
        <v>#REF!</v>
      </c>
      <c r="Y741" t="e">
        <f>IF(#REF! &lt;= 3, "Low Charges", "High Charges")</f>
        <v>#REF!</v>
      </c>
      <c r="Z741" t="e">
        <f>IF(#REF!&lt;=80,"Low Calls",
IF(#REF!&lt;=120,"Medium Calls","High Calls"))</f>
        <v>#REF!</v>
      </c>
      <c r="AA741" t="e">
        <f>IF(#REF!&lt;=15,"Low Charges",
IF(#REF!&lt;=20,"Medium Charges","High Charges"))</f>
        <v>#REF!</v>
      </c>
      <c r="AB741" t="e">
        <f>IF(AND(#REF!&gt;180, #REF!&gt;200), "Heavy Doemstic User", IF(#REF!&gt;10, "Interntional User", IF(AND(#REF!&lt;180, #REF!&lt;200,#REF!&lt;200), "Light User", "Balanced User")))</f>
        <v>#REF!</v>
      </c>
      <c r="AC741" t="e">
        <f>IF(#REF! = 0, "No Usage", IF(#REF! &lt;= 20, "Low Usage", IF(#REF! &lt;= 40, "Medium Usgae", "High Usage")))</f>
        <v>#REF!</v>
      </c>
      <c r="AD741" t="e">
        <f>IF(#REF!&lt;=150,"Low Usage", IF(#REF!&lt;=200,"Medium Usage", IF(#REF!&lt;=250,"High Usage","Very High Usage")))</f>
        <v>#REF!</v>
      </c>
      <c r="AE741" t="e">
        <f>IF(#REF!&lt;=5,"Low Calls", IF(#REF!&lt;=10, "Medium Calls", "High Calls"))</f>
        <v>#REF!</v>
      </c>
      <c r="AF741" t="e">
        <f xml:space="preserve">
IF(#REF!&gt;=4,4,0)+
IF(#REF!="yes",3,0)+
IF(#REF!="High Charges",3,0)+
IF(#REF!&gt;250,4,0)+
IF(#REF!="no",1,0)+
IF(#REF!="Heavy Domestic User",2,0)</f>
        <v>#REF!</v>
      </c>
      <c r="AG741" t="e">
        <f>IF(#REF!&gt;=10,"High Risk", IF(#REF!&gt;=5,"Medium Risk","Low Risk"))</f>
        <v>#REF!</v>
      </c>
      <c r="AH741" t="e">
        <f>#REF! + #REF! + #REF! + #REF!</f>
        <v>#REF!</v>
      </c>
    </row>
    <row r="742" spans="1:34" x14ac:dyDescent="0.35">
      <c r="A742">
        <v>741</v>
      </c>
      <c r="B742" t="s">
        <v>54</v>
      </c>
      <c r="C742">
        <v>73</v>
      </c>
      <c r="D742" t="s">
        <v>21</v>
      </c>
      <c r="E742" t="s">
        <v>22</v>
      </c>
      <c r="F742" t="s">
        <v>22</v>
      </c>
      <c r="G742">
        <v>0</v>
      </c>
      <c r="H742">
        <v>254.8</v>
      </c>
      <c r="I742">
        <v>85</v>
      </c>
      <c r="J742">
        <v>43.32</v>
      </c>
      <c r="K742">
        <v>143.4</v>
      </c>
      <c r="L742">
        <v>80</v>
      </c>
      <c r="M742">
        <v>12.19</v>
      </c>
      <c r="N742">
        <v>153.9</v>
      </c>
      <c r="O742">
        <v>102</v>
      </c>
      <c r="P742">
        <v>6.93</v>
      </c>
      <c r="Q742">
        <v>15</v>
      </c>
      <c r="R742">
        <v>7</v>
      </c>
      <c r="S742">
        <v>4.05</v>
      </c>
      <c r="T742">
        <v>2</v>
      </c>
      <c r="U742" t="s">
        <v>22</v>
      </c>
      <c r="V742" t="e">
        <f>IF(#REF! = "yes", 1, 0)</f>
        <v>#REF!</v>
      </c>
      <c r="W742" t="e">
        <f>IF(#REF! &lt;= 1, "0-1 Calls", IF(#REF! &lt;= 3, "2-3 Calls", IF(#REF! &lt;=5, "4-5 Calls", "6+ Calls")))</f>
        <v>#REF!</v>
      </c>
      <c r="X742" t="e">
        <f>IF(#REF! &lt;= 50, "0-50", IF(#REF! &lt;=100, "51-100", IF(#REF! &lt;= 150, "101-150", "151+")))</f>
        <v>#REF!</v>
      </c>
      <c r="Y742" t="e">
        <f>IF(#REF! &lt;= 3, "Low Charges", "High Charges")</f>
        <v>#REF!</v>
      </c>
      <c r="Z742" t="e">
        <f>IF(#REF!&lt;=80,"Low Calls",
IF(#REF!&lt;=120,"Medium Calls","High Calls"))</f>
        <v>#REF!</v>
      </c>
      <c r="AA742" t="e">
        <f>IF(#REF!&lt;=15,"Low Charges",
IF(#REF!&lt;=20,"Medium Charges","High Charges"))</f>
        <v>#REF!</v>
      </c>
      <c r="AB742" t="e">
        <f>IF(AND(#REF!&gt;180, #REF!&gt;200), "Heavy Doemstic User", IF(#REF!&gt;10, "Interntional User", IF(AND(#REF!&lt;180, #REF!&lt;200,#REF!&lt;200), "Light User", "Balanced User")))</f>
        <v>#REF!</v>
      </c>
      <c r="AC742" t="e">
        <f>IF(#REF! = 0, "No Usage", IF(#REF! &lt;= 20, "Low Usage", IF(#REF! &lt;= 40, "Medium Usgae", "High Usage")))</f>
        <v>#REF!</v>
      </c>
      <c r="AD742" t="e">
        <f>IF(#REF!&lt;=150,"Low Usage", IF(#REF!&lt;=200,"Medium Usage", IF(#REF!&lt;=250,"High Usage","Very High Usage")))</f>
        <v>#REF!</v>
      </c>
      <c r="AE742" t="e">
        <f>IF(#REF!&lt;=5,"Low Calls", IF(#REF!&lt;=10, "Medium Calls", "High Calls"))</f>
        <v>#REF!</v>
      </c>
      <c r="AF742" t="e">
        <f xml:space="preserve">
IF(#REF!&gt;=4,4,0)+
IF(#REF!="yes",3,0)+
IF(#REF!="High Charges",3,0)+
IF(#REF!&gt;250,4,0)+
IF(#REF!="no",1,0)+
IF(#REF!="Heavy Domestic User",2,0)</f>
        <v>#REF!</v>
      </c>
      <c r="AG742" t="e">
        <f>IF(#REF!&gt;=10,"High Risk", IF(#REF!&gt;=5,"Medium Risk","Low Risk"))</f>
        <v>#REF!</v>
      </c>
      <c r="AH742" t="e">
        <f>#REF! + #REF! + #REF! + #REF!</f>
        <v>#REF!</v>
      </c>
    </row>
    <row r="743" spans="1:34" x14ac:dyDescent="0.35">
      <c r="A743">
        <v>742</v>
      </c>
      <c r="B743" t="s">
        <v>66</v>
      </c>
      <c r="C743">
        <v>66</v>
      </c>
      <c r="D743" t="s">
        <v>25</v>
      </c>
      <c r="E743" t="s">
        <v>22</v>
      </c>
      <c r="F743" t="s">
        <v>23</v>
      </c>
      <c r="G743">
        <v>26</v>
      </c>
      <c r="H743">
        <v>254.9</v>
      </c>
      <c r="I743">
        <v>108</v>
      </c>
      <c r="J743">
        <v>43.33</v>
      </c>
      <c r="K743">
        <v>243.2</v>
      </c>
      <c r="L743">
        <v>135</v>
      </c>
      <c r="M743">
        <v>20.67</v>
      </c>
      <c r="N743">
        <v>190.8</v>
      </c>
      <c r="O743">
        <v>95</v>
      </c>
      <c r="P743">
        <v>8.59</v>
      </c>
      <c r="Q743">
        <v>5.4</v>
      </c>
      <c r="R743">
        <v>3</v>
      </c>
      <c r="S743">
        <v>1.46</v>
      </c>
      <c r="T743">
        <v>2</v>
      </c>
      <c r="U743" t="s">
        <v>22</v>
      </c>
      <c r="V743" t="e">
        <f>IF(#REF! = "yes", 1, 0)</f>
        <v>#REF!</v>
      </c>
      <c r="W743" t="e">
        <f>IF(#REF! &lt;= 1, "0-1 Calls", IF(#REF! &lt;= 3, "2-3 Calls", IF(#REF! &lt;=5, "4-5 Calls", "6+ Calls")))</f>
        <v>#REF!</v>
      </c>
      <c r="X743" t="e">
        <f>IF(#REF! &lt;= 50, "0-50", IF(#REF! &lt;=100, "51-100", IF(#REF! &lt;= 150, "101-150", "151+")))</f>
        <v>#REF!</v>
      </c>
      <c r="Y743" t="e">
        <f>IF(#REF! &lt;= 3, "Low Charges", "High Charges")</f>
        <v>#REF!</v>
      </c>
      <c r="Z743" t="e">
        <f>IF(#REF!&lt;=80,"Low Calls",
IF(#REF!&lt;=120,"Medium Calls","High Calls"))</f>
        <v>#REF!</v>
      </c>
      <c r="AA743" t="e">
        <f>IF(#REF!&lt;=15,"Low Charges",
IF(#REF!&lt;=20,"Medium Charges","High Charges"))</f>
        <v>#REF!</v>
      </c>
      <c r="AB743" t="e">
        <f>IF(AND(#REF!&gt;180, #REF!&gt;200), "Heavy Doemstic User", IF(#REF!&gt;10, "Interntional User", IF(AND(#REF!&lt;180, #REF!&lt;200,#REF!&lt;200), "Light User", "Balanced User")))</f>
        <v>#REF!</v>
      </c>
      <c r="AC743" t="e">
        <f>IF(#REF! = 0, "No Usage", IF(#REF! &lt;= 20, "Low Usage", IF(#REF! &lt;= 40, "Medium Usgae", "High Usage")))</f>
        <v>#REF!</v>
      </c>
      <c r="AD743" t="e">
        <f>IF(#REF!&lt;=150,"Low Usage", IF(#REF!&lt;=200,"Medium Usage", IF(#REF!&lt;=250,"High Usage","Very High Usage")))</f>
        <v>#REF!</v>
      </c>
      <c r="AE743" t="e">
        <f>IF(#REF!&lt;=5,"Low Calls", IF(#REF!&lt;=10, "Medium Calls", "High Calls"))</f>
        <v>#REF!</v>
      </c>
      <c r="AF743" t="e">
        <f xml:space="preserve">
IF(#REF!&gt;=4,4,0)+
IF(#REF!="yes",3,0)+
IF(#REF!="High Charges",3,0)+
IF(#REF!&gt;250,4,0)+
IF(#REF!="no",1,0)+
IF(#REF!="Heavy Domestic User",2,0)</f>
        <v>#REF!</v>
      </c>
      <c r="AG743" t="e">
        <f>IF(#REF!&gt;=10,"High Risk", IF(#REF!&gt;=5,"Medium Risk","Low Risk"))</f>
        <v>#REF!</v>
      </c>
      <c r="AH743" t="e">
        <f>#REF! + #REF! + #REF! + #REF!</f>
        <v>#REF!</v>
      </c>
    </row>
    <row r="744" spans="1:34" x14ac:dyDescent="0.35">
      <c r="A744">
        <v>743</v>
      </c>
      <c r="B744" t="s">
        <v>63</v>
      </c>
      <c r="C744">
        <v>103</v>
      </c>
      <c r="D744" t="s">
        <v>28</v>
      </c>
      <c r="E744" t="s">
        <v>22</v>
      </c>
      <c r="F744" t="s">
        <v>23</v>
      </c>
      <c r="G744">
        <v>31</v>
      </c>
      <c r="H744">
        <v>107.7</v>
      </c>
      <c r="I744">
        <v>124</v>
      </c>
      <c r="J744">
        <v>18.309999999999999</v>
      </c>
      <c r="K744">
        <v>188.9</v>
      </c>
      <c r="L744">
        <v>104</v>
      </c>
      <c r="M744">
        <v>16.059999999999999</v>
      </c>
      <c r="N744">
        <v>196.2</v>
      </c>
      <c r="O744">
        <v>98</v>
      </c>
      <c r="P744">
        <v>8.83</v>
      </c>
      <c r="Q744">
        <v>8.9</v>
      </c>
      <c r="R744">
        <v>3</v>
      </c>
      <c r="S744">
        <v>2.4</v>
      </c>
      <c r="T744">
        <v>0</v>
      </c>
      <c r="U744" t="s">
        <v>22</v>
      </c>
      <c r="V744" t="e">
        <f>IF(#REF! = "yes", 1, 0)</f>
        <v>#REF!</v>
      </c>
      <c r="W744" t="e">
        <f>IF(#REF! &lt;= 1, "0-1 Calls", IF(#REF! &lt;= 3, "2-3 Calls", IF(#REF! &lt;=5, "4-5 Calls", "6+ Calls")))</f>
        <v>#REF!</v>
      </c>
      <c r="X744" t="e">
        <f>IF(#REF! &lt;= 50, "0-50", IF(#REF! &lt;=100, "51-100", IF(#REF! &lt;= 150, "101-150", "151+")))</f>
        <v>#REF!</v>
      </c>
      <c r="Y744" t="e">
        <f>IF(#REF! &lt;= 3, "Low Charges", "High Charges")</f>
        <v>#REF!</v>
      </c>
      <c r="Z744" t="e">
        <f>IF(#REF!&lt;=80,"Low Calls",
IF(#REF!&lt;=120,"Medium Calls","High Calls"))</f>
        <v>#REF!</v>
      </c>
      <c r="AA744" t="e">
        <f>IF(#REF!&lt;=15,"Low Charges",
IF(#REF!&lt;=20,"Medium Charges","High Charges"))</f>
        <v>#REF!</v>
      </c>
      <c r="AB744" t="e">
        <f>IF(AND(#REF!&gt;180, #REF!&gt;200), "Heavy Doemstic User", IF(#REF!&gt;10, "Interntional User", IF(AND(#REF!&lt;180, #REF!&lt;200,#REF!&lt;200), "Light User", "Balanced User")))</f>
        <v>#REF!</v>
      </c>
      <c r="AC744" t="e">
        <f>IF(#REF! = 0, "No Usage", IF(#REF! &lt;= 20, "Low Usage", IF(#REF! &lt;= 40, "Medium Usgae", "High Usage")))</f>
        <v>#REF!</v>
      </c>
      <c r="AD744" t="e">
        <f>IF(#REF!&lt;=150,"Low Usage", IF(#REF!&lt;=200,"Medium Usage", IF(#REF!&lt;=250,"High Usage","Very High Usage")))</f>
        <v>#REF!</v>
      </c>
      <c r="AE744" t="e">
        <f>IF(#REF!&lt;=5,"Low Calls", IF(#REF!&lt;=10, "Medium Calls", "High Calls"))</f>
        <v>#REF!</v>
      </c>
      <c r="AF744" t="e">
        <f xml:space="preserve">
IF(#REF!&gt;=4,4,0)+
IF(#REF!="yes",3,0)+
IF(#REF!="High Charges",3,0)+
IF(#REF!&gt;250,4,0)+
IF(#REF!="no",1,0)+
IF(#REF!="Heavy Domestic User",2,0)</f>
        <v>#REF!</v>
      </c>
      <c r="AG744" t="e">
        <f>IF(#REF!&gt;=10,"High Risk", IF(#REF!&gt;=5,"Medium Risk","Low Risk"))</f>
        <v>#REF!</v>
      </c>
      <c r="AH744" t="e">
        <f>#REF! + #REF! + #REF! + #REF!</f>
        <v>#REF!</v>
      </c>
    </row>
    <row r="745" spans="1:34" x14ac:dyDescent="0.35">
      <c r="A745">
        <v>744</v>
      </c>
      <c r="B745" t="s">
        <v>34</v>
      </c>
      <c r="C745">
        <v>128</v>
      </c>
      <c r="D745" t="s">
        <v>25</v>
      </c>
      <c r="E745" t="s">
        <v>22</v>
      </c>
      <c r="F745" t="s">
        <v>22</v>
      </c>
      <c r="G745">
        <v>0</v>
      </c>
      <c r="H745">
        <v>158.80000000000001</v>
      </c>
      <c r="I745">
        <v>75</v>
      </c>
      <c r="J745">
        <v>27</v>
      </c>
      <c r="K745">
        <v>264.8</v>
      </c>
      <c r="L745">
        <v>91</v>
      </c>
      <c r="M745">
        <v>22.51</v>
      </c>
      <c r="N745">
        <v>270</v>
      </c>
      <c r="O745">
        <v>77</v>
      </c>
      <c r="P745">
        <v>12.15</v>
      </c>
      <c r="Q745">
        <v>7.6</v>
      </c>
      <c r="R745">
        <v>7</v>
      </c>
      <c r="S745">
        <v>2.0499999999999998</v>
      </c>
      <c r="T745">
        <v>1</v>
      </c>
      <c r="U745" t="s">
        <v>22</v>
      </c>
      <c r="V745" t="e">
        <f>IF(#REF! = "yes", 1, 0)</f>
        <v>#REF!</v>
      </c>
      <c r="W745" t="e">
        <f>IF(#REF! &lt;= 1, "0-1 Calls", IF(#REF! &lt;= 3, "2-3 Calls", IF(#REF! &lt;=5, "4-5 Calls", "6+ Calls")))</f>
        <v>#REF!</v>
      </c>
      <c r="X745" t="e">
        <f>IF(#REF! &lt;= 50, "0-50", IF(#REF! &lt;=100, "51-100", IF(#REF! &lt;= 150, "101-150", "151+")))</f>
        <v>#REF!</v>
      </c>
      <c r="Y745" t="e">
        <f>IF(#REF! &lt;= 3, "Low Charges", "High Charges")</f>
        <v>#REF!</v>
      </c>
      <c r="Z745" t="e">
        <f>IF(#REF!&lt;=80,"Low Calls",
IF(#REF!&lt;=120,"Medium Calls","High Calls"))</f>
        <v>#REF!</v>
      </c>
      <c r="AA745" t="e">
        <f>IF(#REF!&lt;=15,"Low Charges",
IF(#REF!&lt;=20,"Medium Charges","High Charges"))</f>
        <v>#REF!</v>
      </c>
      <c r="AB745" t="e">
        <f>IF(AND(#REF!&gt;180, #REF!&gt;200), "Heavy Doemstic User", IF(#REF!&gt;10, "Interntional User", IF(AND(#REF!&lt;180, #REF!&lt;200,#REF!&lt;200), "Light User", "Balanced User")))</f>
        <v>#REF!</v>
      </c>
      <c r="AC745" t="e">
        <f>IF(#REF! = 0, "No Usage", IF(#REF! &lt;= 20, "Low Usage", IF(#REF! &lt;= 40, "Medium Usgae", "High Usage")))</f>
        <v>#REF!</v>
      </c>
      <c r="AD745" t="e">
        <f>IF(#REF!&lt;=150,"Low Usage", IF(#REF!&lt;=200,"Medium Usage", IF(#REF!&lt;=250,"High Usage","Very High Usage")))</f>
        <v>#REF!</v>
      </c>
      <c r="AE745" t="e">
        <f>IF(#REF!&lt;=5,"Low Calls", IF(#REF!&lt;=10, "Medium Calls", "High Calls"))</f>
        <v>#REF!</v>
      </c>
      <c r="AF745" t="e">
        <f xml:space="preserve">
IF(#REF!&gt;=4,4,0)+
IF(#REF!="yes",3,0)+
IF(#REF!="High Charges",3,0)+
IF(#REF!&gt;250,4,0)+
IF(#REF!="no",1,0)+
IF(#REF!="Heavy Domestic User",2,0)</f>
        <v>#REF!</v>
      </c>
      <c r="AG745" t="e">
        <f>IF(#REF!&gt;=10,"High Risk", IF(#REF!&gt;=5,"Medium Risk","Low Risk"))</f>
        <v>#REF!</v>
      </c>
      <c r="AH745" t="e">
        <f>#REF! + #REF! + #REF! + #REF!</f>
        <v>#REF!</v>
      </c>
    </row>
    <row r="746" spans="1:34" x14ac:dyDescent="0.35">
      <c r="A746">
        <v>745</v>
      </c>
      <c r="B746" t="s">
        <v>60</v>
      </c>
      <c r="C746">
        <v>103</v>
      </c>
      <c r="D746" t="s">
        <v>21</v>
      </c>
      <c r="E746" t="s">
        <v>22</v>
      </c>
      <c r="F746" t="s">
        <v>22</v>
      </c>
      <c r="G746">
        <v>0</v>
      </c>
      <c r="H746">
        <v>198.5</v>
      </c>
      <c r="I746">
        <v>112</v>
      </c>
      <c r="J746">
        <v>33.75</v>
      </c>
      <c r="K746">
        <v>42.5</v>
      </c>
      <c r="L746">
        <v>90</v>
      </c>
      <c r="M746">
        <v>3.61</v>
      </c>
      <c r="N746">
        <v>179.2</v>
      </c>
      <c r="O746">
        <v>124</v>
      </c>
      <c r="P746">
        <v>8.06</v>
      </c>
      <c r="Q746">
        <v>12.4</v>
      </c>
      <c r="R746">
        <v>5</v>
      </c>
      <c r="S746">
        <v>3.35</v>
      </c>
      <c r="T746">
        <v>0</v>
      </c>
      <c r="U746" t="s">
        <v>22</v>
      </c>
      <c r="V746" t="e">
        <f>IF(#REF! = "yes", 1, 0)</f>
        <v>#REF!</v>
      </c>
      <c r="W746" t="e">
        <f>IF(#REF! &lt;= 1, "0-1 Calls", IF(#REF! &lt;= 3, "2-3 Calls", IF(#REF! &lt;=5, "4-5 Calls", "6+ Calls")))</f>
        <v>#REF!</v>
      </c>
      <c r="X746" t="e">
        <f>IF(#REF! &lt;= 50, "0-50", IF(#REF! &lt;=100, "51-100", IF(#REF! &lt;= 150, "101-150", "151+")))</f>
        <v>#REF!</v>
      </c>
      <c r="Y746" t="e">
        <f>IF(#REF! &lt;= 3, "Low Charges", "High Charges")</f>
        <v>#REF!</v>
      </c>
      <c r="Z746" t="e">
        <f>IF(#REF!&lt;=80,"Low Calls",
IF(#REF!&lt;=120,"Medium Calls","High Calls"))</f>
        <v>#REF!</v>
      </c>
      <c r="AA746" t="e">
        <f>IF(#REF!&lt;=15,"Low Charges",
IF(#REF!&lt;=20,"Medium Charges","High Charges"))</f>
        <v>#REF!</v>
      </c>
      <c r="AB746" t="e">
        <f>IF(AND(#REF!&gt;180, #REF!&gt;200), "Heavy Doemstic User", IF(#REF!&gt;10, "Interntional User", IF(AND(#REF!&lt;180, #REF!&lt;200,#REF!&lt;200), "Light User", "Balanced User")))</f>
        <v>#REF!</v>
      </c>
      <c r="AC746" t="e">
        <f>IF(#REF! = 0, "No Usage", IF(#REF! &lt;= 20, "Low Usage", IF(#REF! &lt;= 40, "Medium Usgae", "High Usage")))</f>
        <v>#REF!</v>
      </c>
      <c r="AD746" t="e">
        <f>IF(#REF!&lt;=150,"Low Usage", IF(#REF!&lt;=200,"Medium Usage", IF(#REF!&lt;=250,"High Usage","Very High Usage")))</f>
        <v>#REF!</v>
      </c>
      <c r="AE746" t="e">
        <f>IF(#REF!&lt;=5,"Low Calls", IF(#REF!&lt;=10, "Medium Calls", "High Calls"))</f>
        <v>#REF!</v>
      </c>
      <c r="AF746" t="e">
        <f xml:space="preserve">
IF(#REF!&gt;=4,4,0)+
IF(#REF!="yes",3,0)+
IF(#REF!="High Charges",3,0)+
IF(#REF!&gt;250,4,0)+
IF(#REF!="no",1,0)+
IF(#REF!="Heavy Domestic User",2,0)</f>
        <v>#REF!</v>
      </c>
      <c r="AG746" t="e">
        <f>IF(#REF!&gt;=10,"High Risk", IF(#REF!&gt;=5,"Medium Risk","Low Risk"))</f>
        <v>#REF!</v>
      </c>
      <c r="AH746" t="e">
        <f>#REF! + #REF! + #REF! + #REF!</f>
        <v>#REF!</v>
      </c>
    </row>
    <row r="747" spans="1:34" x14ac:dyDescent="0.35">
      <c r="A747">
        <v>746</v>
      </c>
      <c r="B747" t="s">
        <v>64</v>
      </c>
      <c r="C747">
        <v>124</v>
      </c>
      <c r="D747" t="s">
        <v>21</v>
      </c>
      <c r="E747" t="s">
        <v>22</v>
      </c>
      <c r="F747" t="s">
        <v>22</v>
      </c>
      <c r="G747">
        <v>0</v>
      </c>
      <c r="H747">
        <v>178.4</v>
      </c>
      <c r="I747">
        <v>72</v>
      </c>
      <c r="J747">
        <v>30.33</v>
      </c>
      <c r="K747">
        <v>233.6</v>
      </c>
      <c r="L747">
        <v>134</v>
      </c>
      <c r="M747">
        <v>19.86</v>
      </c>
      <c r="N747">
        <v>179.4</v>
      </c>
      <c r="O747">
        <v>91</v>
      </c>
      <c r="P747">
        <v>8.07</v>
      </c>
      <c r="Q747">
        <v>12</v>
      </c>
      <c r="R747">
        <v>2</v>
      </c>
      <c r="S747">
        <v>3.24</v>
      </c>
      <c r="T747">
        <v>0</v>
      </c>
      <c r="U747" t="s">
        <v>22</v>
      </c>
      <c r="V747" t="e">
        <f>IF(#REF! = "yes", 1, 0)</f>
        <v>#REF!</v>
      </c>
      <c r="W747" t="e">
        <f>IF(#REF! &lt;= 1, "0-1 Calls", IF(#REF! &lt;= 3, "2-3 Calls", IF(#REF! &lt;=5, "4-5 Calls", "6+ Calls")))</f>
        <v>#REF!</v>
      </c>
      <c r="X747" t="e">
        <f>IF(#REF! &lt;= 50, "0-50", IF(#REF! &lt;=100, "51-100", IF(#REF! &lt;= 150, "101-150", "151+")))</f>
        <v>#REF!</v>
      </c>
      <c r="Y747" t="e">
        <f>IF(#REF! &lt;= 3, "Low Charges", "High Charges")</f>
        <v>#REF!</v>
      </c>
      <c r="Z747" t="e">
        <f>IF(#REF!&lt;=80,"Low Calls",
IF(#REF!&lt;=120,"Medium Calls","High Calls"))</f>
        <v>#REF!</v>
      </c>
      <c r="AA747" t="e">
        <f>IF(#REF!&lt;=15,"Low Charges",
IF(#REF!&lt;=20,"Medium Charges","High Charges"))</f>
        <v>#REF!</v>
      </c>
      <c r="AB747" t="e">
        <f>IF(AND(#REF!&gt;180, #REF!&gt;200), "Heavy Doemstic User", IF(#REF!&gt;10, "Interntional User", IF(AND(#REF!&lt;180, #REF!&lt;200,#REF!&lt;200), "Light User", "Balanced User")))</f>
        <v>#REF!</v>
      </c>
      <c r="AC747" t="e">
        <f>IF(#REF! = 0, "No Usage", IF(#REF! &lt;= 20, "Low Usage", IF(#REF! &lt;= 40, "Medium Usgae", "High Usage")))</f>
        <v>#REF!</v>
      </c>
      <c r="AD747" t="e">
        <f>IF(#REF!&lt;=150,"Low Usage", IF(#REF!&lt;=200,"Medium Usage", IF(#REF!&lt;=250,"High Usage","Very High Usage")))</f>
        <v>#REF!</v>
      </c>
      <c r="AE747" t="e">
        <f>IF(#REF!&lt;=5,"Low Calls", IF(#REF!&lt;=10, "Medium Calls", "High Calls"))</f>
        <v>#REF!</v>
      </c>
      <c r="AF747" t="e">
        <f xml:space="preserve">
IF(#REF!&gt;=4,4,0)+
IF(#REF!="yes",3,0)+
IF(#REF!="High Charges",3,0)+
IF(#REF!&gt;250,4,0)+
IF(#REF!="no",1,0)+
IF(#REF!="Heavy Domestic User",2,0)</f>
        <v>#REF!</v>
      </c>
      <c r="AG747" t="e">
        <f>IF(#REF!&gt;=10,"High Risk", IF(#REF!&gt;=5,"Medium Risk","Low Risk"))</f>
        <v>#REF!</v>
      </c>
      <c r="AH747" t="e">
        <f>#REF! + #REF! + #REF! + #REF!</f>
        <v>#REF!</v>
      </c>
    </row>
    <row r="748" spans="1:34" x14ac:dyDescent="0.35">
      <c r="A748">
        <v>747</v>
      </c>
      <c r="B748" t="s">
        <v>42</v>
      </c>
      <c r="C748">
        <v>87</v>
      </c>
      <c r="D748" t="s">
        <v>28</v>
      </c>
      <c r="E748" t="s">
        <v>22</v>
      </c>
      <c r="F748" t="s">
        <v>22</v>
      </c>
      <c r="G748">
        <v>0</v>
      </c>
      <c r="H748">
        <v>110.9</v>
      </c>
      <c r="I748">
        <v>91</v>
      </c>
      <c r="J748">
        <v>18.850000000000001</v>
      </c>
      <c r="K748">
        <v>158.5</v>
      </c>
      <c r="L748">
        <v>115</v>
      </c>
      <c r="M748">
        <v>13.47</v>
      </c>
      <c r="N748">
        <v>207.5</v>
      </c>
      <c r="O748">
        <v>131</v>
      </c>
      <c r="P748">
        <v>9.34</v>
      </c>
      <c r="Q748">
        <v>6.2</v>
      </c>
      <c r="R748">
        <v>5</v>
      </c>
      <c r="S748">
        <v>1.67</v>
      </c>
      <c r="T748">
        <v>1</v>
      </c>
      <c r="U748" t="s">
        <v>22</v>
      </c>
      <c r="V748" t="e">
        <f>IF(#REF! = "yes", 1, 0)</f>
        <v>#REF!</v>
      </c>
      <c r="W748" t="e">
        <f>IF(#REF! &lt;= 1, "0-1 Calls", IF(#REF! &lt;= 3, "2-3 Calls", IF(#REF! &lt;=5, "4-5 Calls", "6+ Calls")))</f>
        <v>#REF!</v>
      </c>
      <c r="X748" t="e">
        <f>IF(#REF! &lt;= 50, "0-50", IF(#REF! &lt;=100, "51-100", IF(#REF! &lt;= 150, "101-150", "151+")))</f>
        <v>#REF!</v>
      </c>
      <c r="Y748" t="e">
        <f>IF(#REF! &lt;= 3, "Low Charges", "High Charges")</f>
        <v>#REF!</v>
      </c>
      <c r="Z748" t="e">
        <f>IF(#REF!&lt;=80,"Low Calls",
IF(#REF!&lt;=120,"Medium Calls","High Calls"))</f>
        <v>#REF!</v>
      </c>
      <c r="AA748" t="e">
        <f>IF(#REF!&lt;=15,"Low Charges",
IF(#REF!&lt;=20,"Medium Charges","High Charges"))</f>
        <v>#REF!</v>
      </c>
      <c r="AB748" t="e">
        <f>IF(AND(#REF!&gt;180, #REF!&gt;200), "Heavy Doemstic User", IF(#REF!&gt;10, "Interntional User", IF(AND(#REF!&lt;180, #REF!&lt;200,#REF!&lt;200), "Light User", "Balanced User")))</f>
        <v>#REF!</v>
      </c>
      <c r="AC748" t="e">
        <f>IF(#REF! = 0, "No Usage", IF(#REF! &lt;= 20, "Low Usage", IF(#REF! &lt;= 40, "Medium Usgae", "High Usage")))</f>
        <v>#REF!</v>
      </c>
      <c r="AD748" t="e">
        <f>IF(#REF!&lt;=150,"Low Usage", IF(#REF!&lt;=200,"Medium Usage", IF(#REF!&lt;=250,"High Usage","Very High Usage")))</f>
        <v>#REF!</v>
      </c>
      <c r="AE748" t="e">
        <f>IF(#REF!&lt;=5,"Low Calls", IF(#REF!&lt;=10, "Medium Calls", "High Calls"))</f>
        <v>#REF!</v>
      </c>
      <c r="AF748" t="e">
        <f xml:space="preserve">
IF(#REF!&gt;=4,4,0)+
IF(#REF!="yes",3,0)+
IF(#REF!="High Charges",3,0)+
IF(#REF!&gt;250,4,0)+
IF(#REF!="no",1,0)+
IF(#REF!="Heavy Domestic User",2,0)</f>
        <v>#REF!</v>
      </c>
      <c r="AG748" t="e">
        <f>IF(#REF!&gt;=10,"High Risk", IF(#REF!&gt;=5,"Medium Risk","Low Risk"))</f>
        <v>#REF!</v>
      </c>
      <c r="AH748" t="e">
        <f>#REF! + #REF! + #REF! + #REF!</f>
        <v>#REF!</v>
      </c>
    </row>
    <row r="749" spans="1:34" x14ac:dyDescent="0.35">
      <c r="A749">
        <v>748</v>
      </c>
      <c r="B749" t="s">
        <v>30</v>
      </c>
      <c r="C749">
        <v>109</v>
      </c>
      <c r="D749" t="s">
        <v>21</v>
      </c>
      <c r="E749" t="s">
        <v>22</v>
      </c>
      <c r="F749" t="s">
        <v>23</v>
      </c>
      <c r="G749">
        <v>27</v>
      </c>
      <c r="H749">
        <v>166.9</v>
      </c>
      <c r="I749">
        <v>85</v>
      </c>
      <c r="J749">
        <v>28.37</v>
      </c>
      <c r="K749">
        <v>221.2</v>
      </c>
      <c r="L749">
        <v>92</v>
      </c>
      <c r="M749">
        <v>18.8</v>
      </c>
      <c r="N749">
        <v>197.3</v>
      </c>
      <c r="O749">
        <v>97</v>
      </c>
      <c r="P749">
        <v>8.8800000000000008</v>
      </c>
      <c r="Q749">
        <v>12.3</v>
      </c>
      <c r="R749">
        <v>4</v>
      </c>
      <c r="S749">
        <v>3.32</v>
      </c>
      <c r="T749">
        <v>1</v>
      </c>
      <c r="U749" t="s">
        <v>23</v>
      </c>
      <c r="V749" t="e">
        <f>IF(#REF! = "yes", 1, 0)</f>
        <v>#REF!</v>
      </c>
      <c r="W749" t="e">
        <f>IF(#REF! &lt;= 1, "0-1 Calls", IF(#REF! &lt;= 3, "2-3 Calls", IF(#REF! &lt;=5, "4-5 Calls", "6+ Calls")))</f>
        <v>#REF!</v>
      </c>
      <c r="X749" t="e">
        <f>IF(#REF! &lt;= 50, "0-50", IF(#REF! &lt;=100, "51-100", IF(#REF! &lt;= 150, "101-150", "151+")))</f>
        <v>#REF!</v>
      </c>
      <c r="Y749" t="e">
        <f>IF(#REF! &lt;= 3, "Low Charges", "High Charges")</f>
        <v>#REF!</v>
      </c>
      <c r="Z749" t="e">
        <f>IF(#REF!&lt;=80,"Low Calls",
IF(#REF!&lt;=120,"Medium Calls","High Calls"))</f>
        <v>#REF!</v>
      </c>
      <c r="AA749" t="e">
        <f>IF(#REF!&lt;=15,"Low Charges",
IF(#REF!&lt;=20,"Medium Charges","High Charges"))</f>
        <v>#REF!</v>
      </c>
      <c r="AB749" t="e">
        <f>IF(AND(#REF!&gt;180, #REF!&gt;200), "Heavy Doemstic User", IF(#REF!&gt;10, "Interntional User", IF(AND(#REF!&lt;180, #REF!&lt;200,#REF!&lt;200), "Light User", "Balanced User")))</f>
        <v>#REF!</v>
      </c>
      <c r="AC749" t="e">
        <f>IF(#REF! = 0, "No Usage", IF(#REF! &lt;= 20, "Low Usage", IF(#REF! &lt;= 40, "Medium Usgae", "High Usage")))</f>
        <v>#REF!</v>
      </c>
      <c r="AD749" t="e">
        <f>IF(#REF!&lt;=150,"Low Usage", IF(#REF!&lt;=200,"Medium Usage", IF(#REF!&lt;=250,"High Usage","Very High Usage")))</f>
        <v>#REF!</v>
      </c>
      <c r="AE749" t="e">
        <f>IF(#REF!&lt;=5,"Low Calls", IF(#REF!&lt;=10, "Medium Calls", "High Calls"))</f>
        <v>#REF!</v>
      </c>
      <c r="AF749" t="e">
        <f xml:space="preserve">
IF(#REF!&gt;=4,4,0)+
IF(#REF!="yes",3,0)+
IF(#REF!="High Charges",3,0)+
IF(#REF!&gt;250,4,0)+
IF(#REF!="no",1,0)+
IF(#REF!="Heavy Domestic User",2,0)</f>
        <v>#REF!</v>
      </c>
      <c r="AG749" t="e">
        <f>IF(#REF!&gt;=10,"High Risk", IF(#REF!&gt;=5,"Medium Risk","Low Risk"))</f>
        <v>#REF!</v>
      </c>
      <c r="AH749" t="e">
        <f>#REF! + #REF! + #REF! + #REF!</f>
        <v>#REF!</v>
      </c>
    </row>
    <row r="750" spans="1:34" x14ac:dyDescent="0.35">
      <c r="A750">
        <v>749</v>
      </c>
      <c r="B750" t="s">
        <v>29</v>
      </c>
      <c r="C750">
        <v>167</v>
      </c>
      <c r="D750" t="s">
        <v>21</v>
      </c>
      <c r="E750" t="s">
        <v>23</v>
      </c>
      <c r="F750" t="s">
        <v>22</v>
      </c>
      <c r="G750">
        <v>0</v>
      </c>
      <c r="H750">
        <v>244.8</v>
      </c>
      <c r="I750">
        <v>91</v>
      </c>
      <c r="J750">
        <v>41.62</v>
      </c>
      <c r="K750">
        <v>60.8</v>
      </c>
      <c r="L750">
        <v>105</v>
      </c>
      <c r="M750">
        <v>5.17</v>
      </c>
      <c r="N750">
        <v>176.7</v>
      </c>
      <c r="O750">
        <v>110</v>
      </c>
      <c r="P750">
        <v>7.95</v>
      </c>
      <c r="Q750">
        <v>10.7</v>
      </c>
      <c r="R750">
        <v>3</v>
      </c>
      <c r="S750">
        <v>2.89</v>
      </c>
      <c r="T750">
        <v>2</v>
      </c>
      <c r="U750" t="s">
        <v>22</v>
      </c>
      <c r="V750" t="e">
        <f>IF(#REF! = "yes", 1, 0)</f>
        <v>#REF!</v>
      </c>
      <c r="W750" t="e">
        <f>IF(#REF! &lt;= 1, "0-1 Calls", IF(#REF! &lt;= 3, "2-3 Calls", IF(#REF! &lt;=5, "4-5 Calls", "6+ Calls")))</f>
        <v>#REF!</v>
      </c>
      <c r="X750" t="e">
        <f>IF(#REF! &lt;= 50, "0-50", IF(#REF! &lt;=100, "51-100", IF(#REF! &lt;= 150, "101-150", "151+")))</f>
        <v>#REF!</v>
      </c>
      <c r="Y750" t="e">
        <f>IF(#REF! &lt;= 3, "Low Charges", "High Charges")</f>
        <v>#REF!</v>
      </c>
      <c r="Z750" t="e">
        <f>IF(#REF!&lt;=80,"Low Calls",
IF(#REF!&lt;=120,"Medium Calls","High Calls"))</f>
        <v>#REF!</v>
      </c>
      <c r="AA750" t="e">
        <f>IF(#REF!&lt;=15,"Low Charges",
IF(#REF!&lt;=20,"Medium Charges","High Charges"))</f>
        <v>#REF!</v>
      </c>
      <c r="AB750" t="e">
        <f>IF(AND(#REF!&gt;180, #REF!&gt;200), "Heavy Doemstic User", IF(#REF!&gt;10, "Interntional User", IF(AND(#REF!&lt;180, #REF!&lt;200,#REF!&lt;200), "Light User", "Balanced User")))</f>
        <v>#REF!</v>
      </c>
      <c r="AC750" t="e">
        <f>IF(#REF! = 0, "No Usage", IF(#REF! &lt;= 20, "Low Usage", IF(#REF! &lt;= 40, "Medium Usgae", "High Usage")))</f>
        <v>#REF!</v>
      </c>
      <c r="AD750" t="e">
        <f>IF(#REF!&lt;=150,"Low Usage", IF(#REF!&lt;=200,"Medium Usage", IF(#REF!&lt;=250,"High Usage","Very High Usage")))</f>
        <v>#REF!</v>
      </c>
      <c r="AE750" t="e">
        <f>IF(#REF!&lt;=5,"Low Calls", IF(#REF!&lt;=10, "Medium Calls", "High Calls"))</f>
        <v>#REF!</v>
      </c>
      <c r="AF750" t="e">
        <f xml:space="preserve">
IF(#REF!&gt;=4,4,0)+
IF(#REF!="yes",3,0)+
IF(#REF!="High Charges",3,0)+
IF(#REF!&gt;250,4,0)+
IF(#REF!="no",1,0)+
IF(#REF!="Heavy Domestic User",2,0)</f>
        <v>#REF!</v>
      </c>
      <c r="AG750" t="e">
        <f>IF(#REF!&gt;=10,"High Risk", IF(#REF!&gt;=5,"Medium Risk","Low Risk"))</f>
        <v>#REF!</v>
      </c>
      <c r="AH750" t="e">
        <f>#REF! + #REF! + #REF! + #REF!</f>
        <v>#REF!</v>
      </c>
    </row>
    <row r="751" spans="1:34" x14ac:dyDescent="0.35">
      <c r="A751">
        <v>750</v>
      </c>
      <c r="B751" t="s">
        <v>66</v>
      </c>
      <c r="C751">
        <v>97</v>
      </c>
      <c r="D751" t="s">
        <v>28</v>
      </c>
      <c r="E751" t="s">
        <v>22</v>
      </c>
      <c r="F751" t="s">
        <v>22</v>
      </c>
      <c r="G751">
        <v>0</v>
      </c>
      <c r="H751">
        <v>120.8</v>
      </c>
      <c r="I751">
        <v>96</v>
      </c>
      <c r="J751">
        <v>20.54</v>
      </c>
      <c r="K751">
        <v>169.8</v>
      </c>
      <c r="L751">
        <v>101</v>
      </c>
      <c r="M751">
        <v>14.43</v>
      </c>
      <c r="N751">
        <v>194.1</v>
      </c>
      <c r="O751">
        <v>63</v>
      </c>
      <c r="P751">
        <v>8.73</v>
      </c>
      <c r="Q751">
        <v>11.9</v>
      </c>
      <c r="R751">
        <v>3</v>
      </c>
      <c r="S751">
        <v>3.21</v>
      </c>
      <c r="T751">
        <v>4</v>
      </c>
      <c r="U751" t="s">
        <v>23</v>
      </c>
      <c r="V751" t="e">
        <f>IF(#REF! = "yes", 1, 0)</f>
        <v>#REF!</v>
      </c>
      <c r="W751" t="e">
        <f>IF(#REF! &lt;= 1, "0-1 Calls", IF(#REF! &lt;= 3, "2-3 Calls", IF(#REF! &lt;=5, "4-5 Calls", "6+ Calls")))</f>
        <v>#REF!</v>
      </c>
      <c r="X751" t="e">
        <f>IF(#REF! &lt;= 50, "0-50", IF(#REF! &lt;=100, "51-100", IF(#REF! &lt;= 150, "101-150", "151+")))</f>
        <v>#REF!</v>
      </c>
      <c r="Y751" t="e">
        <f>IF(#REF! &lt;= 3, "Low Charges", "High Charges")</f>
        <v>#REF!</v>
      </c>
      <c r="Z751" t="e">
        <f>IF(#REF!&lt;=80,"Low Calls",
IF(#REF!&lt;=120,"Medium Calls","High Calls"))</f>
        <v>#REF!</v>
      </c>
      <c r="AA751" t="e">
        <f>IF(#REF!&lt;=15,"Low Charges",
IF(#REF!&lt;=20,"Medium Charges","High Charges"))</f>
        <v>#REF!</v>
      </c>
      <c r="AB751" t="e">
        <f>IF(AND(#REF!&gt;180, #REF!&gt;200), "Heavy Doemstic User", IF(#REF!&gt;10, "Interntional User", IF(AND(#REF!&lt;180, #REF!&lt;200,#REF!&lt;200), "Light User", "Balanced User")))</f>
        <v>#REF!</v>
      </c>
      <c r="AC751" t="e">
        <f>IF(#REF! = 0, "No Usage", IF(#REF! &lt;= 20, "Low Usage", IF(#REF! &lt;= 40, "Medium Usgae", "High Usage")))</f>
        <v>#REF!</v>
      </c>
      <c r="AD751" t="e">
        <f>IF(#REF!&lt;=150,"Low Usage", IF(#REF!&lt;=200,"Medium Usage", IF(#REF!&lt;=250,"High Usage","Very High Usage")))</f>
        <v>#REF!</v>
      </c>
      <c r="AE751" t="e">
        <f>IF(#REF!&lt;=5,"Low Calls", IF(#REF!&lt;=10, "Medium Calls", "High Calls"))</f>
        <v>#REF!</v>
      </c>
      <c r="AF751" t="e">
        <f xml:space="preserve">
IF(#REF!&gt;=4,4,0)+
IF(#REF!="yes",3,0)+
IF(#REF!="High Charges",3,0)+
IF(#REF!&gt;250,4,0)+
IF(#REF!="no",1,0)+
IF(#REF!="Heavy Domestic User",2,0)</f>
        <v>#REF!</v>
      </c>
      <c r="AG751" t="e">
        <f>IF(#REF!&gt;=10,"High Risk", IF(#REF!&gt;=5,"Medium Risk","Low Risk"))</f>
        <v>#REF!</v>
      </c>
      <c r="AH751" t="e">
        <f>#REF! + #REF! + #REF! + #REF!</f>
        <v>#REF!</v>
      </c>
    </row>
    <row r="752" spans="1:34" x14ac:dyDescent="0.35">
      <c r="A752">
        <v>751</v>
      </c>
      <c r="B752" t="s">
        <v>64</v>
      </c>
      <c r="C752">
        <v>125</v>
      </c>
      <c r="D752" t="s">
        <v>21</v>
      </c>
      <c r="E752" t="s">
        <v>22</v>
      </c>
      <c r="F752" t="s">
        <v>22</v>
      </c>
      <c r="G752">
        <v>0</v>
      </c>
      <c r="H752">
        <v>126.7</v>
      </c>
      <c r="I752">
        <v>113</v>
      </c>
      <c r="J752">
        <v>21.54</v>
      </c>
      <c r="K752">
        <v>155.5</v>
      </c>
      <c r="L752">
        <v>131</v>
      </c>
      <c r="M752">
        <v>13.22</v>
      </c>
      <c r="N752">
        <v>206.2</v>
      </c>
      <c r="O752">
        <v>112</v>
      </c>
      <c r="P752">
        <v>9.2799999999999994</v>
      </c>
      <c r="Q752">
        <v>14.4</v>
      </c>
      <c r="R752">
        <v>7</v>
      </c>
      <c r="S752">
        <v>3.89</v>
      </c>
      <c r="T752">
        <v>2</v>
      </c>
      <c r="U752" t="s">
        <v>22</v>
      </c>
      <c r="V752" t="e">
        <f>IF(#REF! = "yes", 1, 0)</f>
        <v>#REF!</v>
      </c>
      <c r="W752" t="e">
        <f>IF(#REF! &lt;= 1, "0-1 Calls", IF(#REF! &lt;= 3, "2-3 Calls", IF(#REF! &lt;=5, "4-5 Calls", "6+ Calls")))</f>
        <v>#REF!</v>
      </c>
      <c r="X752" t="e">
        <f>IF(#REF! &lt;= 50, "0-50", IF(#REF! &lt;=100, "51-100", IF(#REF! &lt;= 150, "101-150", "151+")))</f>
        <v>#REF!</v>
      </c>
      <c r="Y752" t="e">
        <f>IF(#REF! &lt;= 3, "Low Charges", "High Charges")</f>
        <v>#REF!</v>
      </c>
      <c r="Z752" t="e">
        <f>IF(#REF!&lt;=80,"Low Calls",
IF(#REF!&lt;=120,"Medium Calls","High Calls"))</f>
        <v>#REF!</v>
      </c>
      <c r="AA752" t="e">
        <f>IF(#REF!&lt;=15,"Low Charges",
IF(#REF!&lt;=20,"Medium Charges","High Charges"))</f>
        <v>#REF!</v>
      </c>
      <c r="AB752" t="e">
        <f>IF(AND(#REF!&gt;180, #REF!&gt;200), "Heavy Doemstic User", IF(#REF!&gt;10, "Interntional User", IF(AND(#REF!&lt;180, #REF!&lt;200,#REF!&lt;200), "Light User", "Balanced User")))</f>
        <v>#REF!</v>
      </c>
      <c r="AC752" t="e">
        <f>IF(#REF! = 0, "No Usage", IF(#REF! &lt;= 20, "Low Usage", IF(#REF! &lt;= 40, "Medium Usgae", "High Usage")))</f>
        <v>#REF!</v>
      </c>
      <c r="AD752" t="e">
        <f>IF(#REF!&lt;=150,"Low Usage", IF(#REF!&lt;=200,"Medium Usage", IF(#REF!&lt;=250,"High Usage","Very High Usage")))</f>
        <v>#REF!</v>
      </c>
      <c r="AE752" t="e">
        <f>IF(#REF!&lt;=5,"Low Calls", IF(#REF!&lt;=10, "Medium Calls", "High Calls"))</f>
        <v>#REF!</v>
      </c>
      <c r="AF752" t="e">
        <f xml:space="preserve">
IF(#REF!&gt;=4,4,0)+
IF(#REF!="yes",3,0)+
IF(#REF!="High Charges",3,0)+
IF(#REF!&gt;250,4,0)+
IF(#REF!="no",1,0)+
IF(#REF!="Heavy Domestic User",2,0)</f>
        <v>#REF!</v>
      </c>
      <c r="AG752" t="e">
        <f>IF(#REF!&gt;=10,"High Risk", IF(#REF!&gt;=5,"Medium Risk","Low Risk"))</f>
        <v>#REF!</v>
      </c>
      <c r="AH752" t="e">
        <f>#REF! + #REF! + #REF! + #REF!</f>
        <v>#REF!</v>
      </c>
    </row>
    <row r="753" spans="1:34" x14ac:dyDescent="0.35">
      <c r="A753">
        <v>752</v>
      </c>
      <c r="B753" t="s">
        <v>63</v>
      </c>
      <c r="C753">
        <v>108</v>
      </c>
      <c r="D753" t="s">
        <v>25</v>
      </c>
      <c r="E753" t="s">
        <v>22</v>
      </c>
      <c r="F753" t="s">
        <v>23</v>
      </c>
      <c r="G753">
        <v>35</v>
      </c>
      <c r="H753">
        <v>215.9</v>
      </c>
      <c r="I753">
        <v>106</v>
      </c>
      <c r="J753">
        <v>36.700000000000003</v>
      </c>
      <c r="K753">
        <v>200.6</v>
      </c>
      <c r="L753">
        <v>107</v>
      </c>
      <c r="M753">
        <v>17.05</v>
      </c>
      <c r="N753">
        <v>195.4</v>
      </c>
      <c r="O753">
        <v>107</v>
      </c>
      <c r="P753">
        <v>8.7899999999999991</v>
      </c>
      <c r="Q753">
        <v>15.5</v>
      </c>
      <c r="R753">
        <v>7</v>
      </c>
      <c r="S753">
        <v>4.1900000000000004</v>
      </c>
      <c r="T753">
        <v>0</v>
      </c>
      <c r="U753" t="s">
        <v>22</v>
      </c>
      <c r="V753" t="e">
        <f>IF(#REF! = "yes", 1, 0)</f>
        <v>#REF!</v>
      </c>
      <c r="W753" t="e">
        <f>IF(#REF! &lt;= 1, "0-1 Calls", IF(#REF! &lt;= 3, "2-3 Calls", IF(#REF! &lt;=5, "4-5 Calls", "6+ Calls")))</f>
        <v>#REF!</v>
      </c>
      <c r="X753" t="e">
        <f>IF(#REF! &lt;= 50, "0-50", IF(#REF! &lt;=100, "51-100", IF(#REF! &lt;= 150, "101-150", "151+")))</f>
        <v>#REF!</v>
      </c>
      <c r="Y753" t="e">
        <f>IF(#REF! &lt;= 3, "Low Charges", "High Charges")</f>
        <v>#REF!</v>
      </c>
      <c r="Z753" t="e">
        <f>IF(#REF!&lt;=80,"Low Calls",
IF(#REF!&lt;=120,"Medium Calls","High Calls"))</f>
        <v>#REF!</v>
      </c>
      <c r="AA753" t="e">
        <f>IF(#REF!&lt;=15,"Low Charges",
IF(#REF!&lt;=20,"Medium Charges","High Charges"))</f>
        <v>#REF!</v>
      </c>
      <c r="AB753" t="e">
        <f>IF(AND(#REF!&gt;180, #REF!&gt;200), "Heavy Doemstic User", IF(#REF!&gt;10, "Interntional User", IF(AND(#REF!&lt;180, #REF!&lt;200,#REF!&lt;200), "Light User", "Balanced User")))</f>
        <v>#REF!</v>
      </c>
      <c r="AC753" t="e">
        <f>IF(#REF! = 0, "No Usage", IF(#REF! &lt;= 20, "Low Usage", IF(#REF! &lt;= 40, "Medium Usgae", "High Usage")))</f>
        <v>#REF!</v>
      </c>
      <c r="AD753" t="e">
        <f>IF(#REF!&lt;=150,"Low Usage", IF(#REF!&lt;=200,"Medium Usage", IF(#REF!&lt;=250,"High Usage","Very High Usage")))</f>
        <v>#REF!</v>
      </c>
      <c r="AE753" t="e">
        <f>IF(#REF!&lt;=5,"Low Calls", IF(#REF!&lt;=10, "Medium Calls", "High Calls"))</f>
        <v>#REF!</v>
      </c>
      <c r="AF753" t="e">
        <f xml:space="preserve">
IF(#REF!&gt;=4,4,0)+
IF(#REF!="yes",3,0)+
IF(#REF!="High Charges",3,0)+
IF(#REF!&gt;250,4,0)+
IF(#REF!="no",1,0)+
IF(#REF!="Heavy Domestic User",2,0)</f>
        <v>#REF!</v>
      </c>
      <c r="AG753" t="e">
        <f>IF(#REF!&gt;=10,"High Risk", IF(#REF!&gt;=5,"Medium Risk","Low Risk"))</f>
        <v>#REF!</v>
      </c>
      <c r="AH753" t="e">
        <f>#REF! + #REF! + #REF! + #REF!</f>
        <v>#REF!</v>
      </c>
    </row>
    <row r="754" spans="1:34" x14ac:dyDescent="0.35">
      <c r="A754">
        <v>753</v>
      </c>
      <c r="B754" t="s">
        <v>38</v>
      </c>
      <c r="C754">
        <v>89</v>
      </c>
      <c r="D754" t="s">
        <v>21</v>
      </c>
      <c r="E754" t="s">
        <v>22</v>
      </c>
      <c r="F754" t="s">
        <v>23</v>
      </c>
      <c r="G754">
        <v>32</v>
      </c>
      <c r="H754">
        <v>209.9</v>
      </c>
      <c r="I754">
        <v>113</v>
      </c>
      <c r="J754">
        <v>35.68</v>
      </c>
      <c r="K754">
        <v>249.8</v>
      </c>
      <c r="L754">
        <v>104</v>
      </c>
      <c r="M754">
        <v>21.23</v>
      </c>
      <c r="N754">
        <v>224.2</v>
      </c>
      <c r="O754">
        <v>92</v>
      </c>
      <c r="P754">
        <v>10.09</v>
      </c>
      <c r="Q754">
        <v>8.6999999999999993</v>
      </c>
      <c r="R754">
        <v>7</v>
      </c>
      <c r="S754">
        <v>2.35</v>
      </c>
      <c r="T754">
        <v>1</v>
      </c>
      <c r="U754" t="s">
        <v>22</v>
      </c>
      <c r="V754" t="e">
        <f>IF(#REF! = "yes", 1, 0)</f>
        <v>#REF!</v>
      </c>
      <c r="W754" t="e">
        <f>IF(#REF! &lt;= 1, "0-1 Calls", IF(#REF! &lt;= 3, "2-3 Calls", IF(#REF! &lt;=5, "4-5 Calls", "6+ Calls")))</f>
        <v>#REF!</v>
      </c>
      <c r="X754" t="e">
        <f>IF(#REF! &lt;= 50, "0-50", IF(#REF! &lt;=100, "51-100", IF(#REF! &lt;= 150, "101-150", "151+")))</f>
        <v>#REF!</v>
      </c>
      <c r="Y754" t="e">
        <f>IF(#REF! &lt;= 3, "Low Charges", "High Charges")</f>
        <v>#REF!</v>
      </c>
      <c r="Z754" t="e">
        <f>IF(#REF!&lt;=80,"Low Calls",
IF(#REF!&lt;=120,"Medium Calls","High Calls"))</f>
        <v>#REF!</v>
      </c>
      <c r="AA754" t="e">
        <f>IF(#REF!&lt;=15,"Low Charges",
IF(#REF!&lt;=20,"Medium Charges","High Charges"))</f>
        <v>#REF!</v>
      </c>
      <c r="AB754" t="e">
        <f>IF(AND(#REF!&gt;180, #REF!&gt;200), "Heavy Doemstic User", IF(#REF!&gt;10, "Interntional User", IF(AND(#REF!&lt;180, #REF!&lt;200,#REF!&lt;200), "Light User", "Balanced User")))</f>
        <v>#REF!</v>
      </c>
      <c r="AC754" t="e">
        <f>IF(#REF! = 0, "No Usage", IF(#REF! &lt;= 20, "Low Usage", IF(#REF! &lt;= 40, "Medium Usgae", "High Usage")))</f>
        <v>#REF!</v>
      </c>
      <c r="AD754" t="e">
        <f>IF(#REF!&lt;=150,"Low Usage", IF(#REF!&lt;=200,"Medium Usage", IF(#REF!&lt;=250,"High Usage","Very High Usage")))</f>
        <v>#REF!</v>
      </c>
      <c r="AE754" t="e">
        <f>IF(#REF!&lt;=5,"Low Calls", IF(#REF!&lt;=10, "Medium Calls", "High Calls"))</f>
        <v>#REF!</v>
      </c>
      <c r="AF754" t="e">
        <f xml:space="preserve">
IF(#REF!&gt;=4,4,0)+
IF(#REF!="yes",3,0)+
IF(#REF!="High Charges",3,0)+
IF(#REF!&gt;250,4,0)+
IF(#REF!="no",1,0)+
IF(#REF!="Heavy Domestic User",2,0)</f>
        <v>#REF!</v>
      </c>
      <c r="AG754" t="e">
        <f>IF(#REF!&gt;=10,"High Risk", IF(#REF!&gt;=5,"Medium Risk","Low Risk"))</f>
        <v>#REF!</v>
      </c>
      <c r="AH754" t="e">
        <f>#REF! + #REF! + #REF! + #REF!</f>
        <v>#REF!</v>
      </c>
    </row>
    <row r="755" spans="1:34" x14ac:dyDescent="0.35">
      <c r="A755">
        <v>754</v>
      </c>
      <c r="B755" t="s">
        <v>74</v>
      </c>
      <c r="C755">
        <v>23</v>
      </c>
      <c r="D755" t="s">
        <v>28</v>
      </c>
      <c r="E755" t="s">
        <v>22</v>
      </c>
      <c r="F755" t="s">
        <v>22</v>
      </c>
      <c r="G755">
        <v>0</v>
      </c>
      <c r="H755">
        <v>321.60000000000002</v>
      </c>
      <c r="I755">
        <v>107</v>
      </c>
      <c r="J755">
        <v>54.67</v>
      </c>
      <c r="K755">
        <v>251.6</v>
      </c>
      <c r="L755">
        <v>115</v>
      </c>
      <c r="M755">
        <v>21.39</v>
      </c>
      <c r="N755">
        <v>141.1</v>
      </c>
      <c r="O755">
        <v>158</v>
      </c>
      <c r="P755">
        <v>6.35</v>
      </c>
      <c r="Q755">
        <v>11.3</v>
      </c>
      <c r="R755">
        <v>3</v>
      </c>
      <c r="S755">
        <v>3.05</v>
      </c>
      <c r="T755">
        <v>2</v>
      </c>
      <c r="U755" t="s">
        <v>23</v>
      </c>
      <c r="V755" t="e">
        <f>IF(#REF! = "yes", 1, 0)</f>
        <v>#REF!</v>
      </c>
      <c r="W755" t="e">
        <f>IF(#REF! &lt;= 1, "0-1 Calls", IF(#REF! &lt;= 3, "2-3 Calls", IF(#REF! &lt;=5, "4-5 Calls", "6+ Calls")))</f>
        <v>#REF!</v>
      </c>
      <c r="X755" t="e">
        <f>IF(#REF! &lt;= 50, "0-50", IF(#REF! &lt;=100, "51-100", IF(#REF! &lt;= 150, "101-150", "151+")))</f>
        <v>#REF!</v>
      </c>
      <c r="Y755" t="e">
        <f>IF(#REF! &lt;= 3, "Low Charges", "High Charges")</f>
        <v>#REF!</v>
      </c>
      <c r="Z755" t="e">
        <f>IF(#REF!&lt;=80,"Low Calls",
IF(#REF!&lt;=120,"Medium Calls","High Calls"))</f>
        <v>#REF!</v>
      </c>
      <c r="AA755" t="e">
        <f>IF(#REF!&lt;=15,"Low Charges",
IF(#REF!&lt;=20,"Medium Charges","High Charges"))</f>
        <v>#REF!</v>
      </c>
      <c r="AB755" t="e">
        <f>IF(AND(#REF!&gt;180, #REF!&gt;200), "Heavy Doemstic User", IF(#REF!&gt;10, "Interntional User", IF(AND(#REF!&lt;180, #REF!&lt;200,#REF!&lt;200), "Light User", "Balanced User")))</f>
        <v>#REF!</v>
      </c>
      <c r="AC755" t="e">
        <f>IF(#REF! = 0, "No Usage", IF(#REF! &lt;= 20, "Low Usage", IF(#REF! &lt;= 40, "Medium Usgae", "High Usage")))</f>
        <v>#REF!</v>
      </c>
      <c r="AD755" t="e">
        <f>IF(#REF!&lt;=150,"Low Usage", IF(#REF!&lt;=200,"Medium Usage", IF(#REF!&lt;=250,"High Usage","Very High Usage")))</f>
        <v>#REF!</v>
      </c>
      <c r="AE755" t="e">
        <f>IF(#REF!&lt;=5,"Low Calls", IF(#REF!&lt;=10, "Medium Calls", "High Calls"))</f>
        <v>#REF!</v>
      </c>
      <c r="AF755" t="e">
        <f xml:space="preserve">
IF(#REF!&gt;=4,4,0)+
IF(#REF!="yes",3,0)+
IF(#REF!="High Charges",3,0)+
IF(#REF!&gt;250,4,0)+
IF(#REF!="no",1,0)+
IF(#REF!="Heavy Domestic User",2,0)</f>
        <v>#REF!</v>
      </c>
      <c r="AG755" t="e">
        <f>IF(#REF!&gt;=10,"High Risk", IF(#REF!&gt;=5,"Medium Risk","Low Risk"))</f>
        <v>#REF!</v>
      </c>
      <c r="AH755" t="e">
        <f>#REF! + #REF! + #REF! + #REF!</f>
        <v>#REF!</v>
      </c>
    </row>
    <row r="756" spans="1:34" x14ac:dyDescent="0.35">
      <c r="A756">
        <v>755</v>
      </c>
      <c r="B756" t="s">
        <v>45</v>
      </c>
      <c r="C756">
        <v>149</v>
      </c>
      <c r="D756" t="s">
        <v>28</v>
      </c>
      <c r="E756" t="s">
        <v>22</v>
      </c>
      <c r="F756" t="s">
        <v>22</v>
      </c>
      <c r="G756">
        <v>0</v>
      </c>
      <c r="H756">
        <v>166.6</v>
      </c>
      <c r="I756">
        <v>61</v>
      </c>
      <c r="J756">
        <v>28.32</v>
      </c>
      <c r="K756">
        <v>218.8</v>
      </c>
      <c r="L756">
        <v>107</v>
      </c>
      <c r="M756">
        <v>18.600000000000001</v>
      </c>
      <c r="N756">
        <v>208.3</v>
      </c>
      <c r="O756">
        <v>131</v>
      </c>
      <c r="P756">
        <v>9.3699999999999992</v>
      </c>
      <c r="Q756">
        <v>8.1999999999999993</v>
      </c>
      <c r="R756">
        <v>6</v>
      </c>
      <c r="S756">
        <v>2.21</v>
      </c>
      <c r="T756">
        <v>7</v>
      </c>
      <c r="U756" t="s">
        <v>22</v>
      </c>
      <c r="V756" t="e">
        <f>IF(#REF! = "yes", 1, 0)</f>
        <v>#REF!</v>
      </c>
      <c r="W756" t="e">
        <f>IF(#REF! &lt;= 1, "0-1 Calls", IF(#REF! &lt;= 3, "2-3 Calls", IF(#REF! &lt;=5, "4-5 Calls", "6+ Calls")))</f>
        <v>#REF!</v>
      </c>
      <c r="X756" t="e">
        <f>IF(#REF! &lt;= 50, "0-50", IF(#REF! &lt;=100, "51-100", IF(#REF! &lt;= 150, "101-150", "151+")))</f>
        <v>#REF!</v>
      </c>
      <c r="Y756" t="e">
        <f>IF(#REF! &lt;= 3, "Low Charges", "High Charges")</f>
        <v>#REF!</v>
      </c>
      <c r="Z756" t="e">
        <f>IF(#REF!&lt;=80,"Low Calls",
IF(#REF!&lt;=120,"Medium Calls","High Calls"))</f>
        <v>#REF!</v>
      </c>
      <c r="AA756" t="e">
        <f>IF(#REF!&lt;=15,"Low Charges",
IF(#REF!&lt;=20,"Medium Charges","High Charges"))</f>
        <v>#REF!</v>
      </c>
      <c r="AB756" t="e">
        <f>IF(AND(#REF!&gt;180, #REF!&gt;200), "Heavy Doemstic User", IF(#REF!&gt;10, "Interntional User", IF(AND(#REF!&lt;180, #REF!&lt;200,#REF!&lt;200), "Light User", "Balanced User")))</f>
        <v>#REF!</v>
      </c>
      <c r="AC756" t="e">
        <f>IF(#REF! = 0, "No Usage", IF(#REF! &lt;= 20, "Low Usage", IF(#REF! &lt;= 40, "Medium Usgae", "High Usage")))</f>
        <v>#REF!</v>
      </c>
      <c r="AD756" t="e">
        <f>IF(#REF!&lt;=150,"Low Usage", IF(#REF!&lt;=200,"Medium Usage", IF(#REF!&lt;=250,"High Usage","Very High Usage")))</f>
        <v>#REF!</v>
      </c>
      <c r="AE756" t="e">
        <f>IF(#REF!&lt;=5,"Low Calls", IF(#REF!&lt;=10, "Medium Calls", "High Calls"))</f>
        <v>#REF!</v>
      </c>
      <c r="AF756" t="e">
        <f xml:space="preserve">
IF(#REF!&gt;=4,4,0)+
IF(#REF!="yes",3,0)+
IF(#REF!="High Charges",3,0)+
IF(#REF!&gt;250,4,0)+
IF(#REF!="no",1,0)+
IF(#REF!="Heavy Domestic User",2,0)</f>
        <v>#REF!</v>
      </c>
      <c r="AG756" t="e">
        <f>IF(#REF!&gt;=10,"High Risk", IF(#REF!&gt;=5,"Medium Risk","Low Risk"))</f>
        <v>#REF!</v>
      </c>
      <c r="AH756" t="e">
        <f>#REF! + #REF! + #REF! + #REF!</f>
        <v>#REF!</v>
      </c>
    </row>
    <row r="757" spans="1:34" x14ac:dyDescent="0.35">
      <c r="A757">
        <v>756</v>
      </c>
      <c r="B757" t="s">
        <v>51</v>
      </c>
      <c r="C757">
        <v>73</v>
      </c>
      <c r="D757" t="s">
        <v>21</v>
      </c>
      <c r="E757" t="s">
        <v>22</v>
      </c>
      <c r="F757" t="s">
        <v>22</v>
      </c>
      <c r="G757">
        <v>0</v>
      </c>
      <c r="H757">
        <v>214.2</v>
      </c>
      <c r="I757">
        <v>90</v>
      </c>
      <c r="J757">
        <v>36.409999999999997</v>
      </c>
      <c r="K757">
        <v>196.8</v>
      </c>
      <c r="L757">
        <v>78</v>
      </c>
      <c r="M757">
        <v>16.73</v>
      </c>
      <c r="N757">
        <v>157.9</v>
      </c>
      <c r="O757">
        <v>112</v>
      </c>
      <c r="P757">
        <v>7.11</v>
      </c>
      <c r="Q757">
        <v>5.9</v>
      </c>
      <c r="R757">
        <v>8</v>
      </c>
      <c r="S757">
        <v>1.59</v>
      </c>
      <c r="T757">
        <v>0</v>
      </c>
      <c r="U757" t="s">
        <v>22</v>
      </c>
      <c r="V757" t="e">
        <f>IF(#REF! = "yes", 1, 0)</f>
        <v>#REF!</v>
      </c>
      <c r="W757" t="e">
        <f>IF(#REF! &lt;= 1, "0-1 Calls", IF(#REF! &lt;= 3, "2-3 Calls", IF(#REF! &lt;=5, "4-5 Calls", "6+ Calls")))</f>
        <v>#REF!</v>
      </c>
      <c r="X757" t="e">
        <f>IF(#REF! &lt;= 50, "0-50", IF(#REF! &lt;=100, "51-100", IF(#REF! &lt;= 150, "101-150", "151+")))</f>
        <v>#REF!</v>
      </c>
      <c r="Y757" t="e">
        <f>IF(#REF! &lt;= 3, "Low Charges", "High Charges")</f>
        <v>#REF!</v>
      </c>
      <c r="Z757" t="e">
        <f>IF(#REF!&lt;=80,"Low Calls",
IF(#REF!&lt;=120,"Medium Calls","High Calls"))</f>
        <v>#REF!</v>
      </c>
      <c r="AA757" t="e">
        <f>IF(#REF!&lt;=15,"Low Charges",
IF(#REF!&lt;=20,"Medium Charges","High Charges"))</f>
        <v>#REF!</v>
      </c>
      <c r="AB757" t="e">
        <f>IF(AND(#REF!&gt;180, #REF!&gt;200), "Heavy Doemstic User", IF(#REF!&gt;10, "Interntional User", IF(AND(#REF!&lt;180, #REF!&lt;200,#REF!&lt;200), "Light User", "Balanced User")))</f>
        <v>#REF!</v>
      </c>
      <c r="AC757" t="e">
        <f>IF(#REF! = 0, "No Usage", IF(#REF! &lt;= 20, "Low Usage", IF(#REF! &lt;= 40, "Medium Usgae", "High Usage")))</f>
        <v>#REF!</v>
      </c>
      <c r="AD757" t="e">
        <f>IF(#REF!&lt;=150,"Low Usage", IF(#REF!&lt;=200,"Medium Usage", IF(#REF!&lt;=250,"High Usage","Very High Usage")))</f>
        <v>#REF!</v>
      </c>
      <c r="AE757" t="e">
        <f>IF(#REF!&lt;=5,"Low Calls", IF(#REF!&lt;=10, "Medium Calls", "High Calls"))</f>
        <v>#REF!</v>
      </c>
      <c r="AF757" t="e">
        <f xml:space="preserve">
IF(#REF!&gt;=4,4,0)+
IF(#REF!="yes",3,0)+
IF(#REF!="High Charges",3,0)+
IF(#REF!&gt;250,4,0)+
IF(#REF!="no",1,0)+
IF(#REF!="Heavy Domestic User",2,0)</f>
        <v>#REF!</v>
      </c>
      <c r="AG757" t="e">
        <f>IF(#REF!&gt;=10,"High Risk", IF(#REF!&gt;=5,"Medium Risk","Low Risk"))</f>
        <v>#REF!</v>
      </c>
      <c r="AH757" t="e">
        <f>#REF! + #REF! + #REF! + #REF!</f>
        <v>#REF!</v>
      </c>
    </row>
    <row r="758" spans="1:34" x14ac:dyDescent="0.35">
      <c r="A758">
        <v>757</v>
      </c>
      <c r="B758" t="s">
        <v>49</v>
      </c>
      <c r="C758">
        <v>61</v>
      </c>
      <c r="D758" t="s">
        <v>21</v>
      </c>
      <c r="E758" t="s">
        <v>22</v>
      </c>
      <c r="F758" t="s">
        <v>22</v>
      </c>
      <c r="G758">
        <v>0</v>
      </c>
      <c r="H758">
        <v>260</v>
      </c>
      <c r="I758">
        <v>123</v>
      </c>
      <c r="J758">
        <v>44.2</v>
      </c>
      <c r="K758">
        <v>210.5</v>
      </c>
      <c r="L758">
        <v>127</v>
      </c>
      <c r="M758">
        <v>17.89</v>
      </c>
      <c r="N758">
        <v>234.7</v>
      </c>
      <c r="O758">
        <v>70</v>
      </c>
      <c r="P758">
        <v>10.56</v>
      </c>
      <c r="Q758">
        <v>9</v>
      </c>
      <c r="R758">
        <v>3</v>
      </c>
      <c r="S758">
        <v>2.4300000000000002</v>
      </c>
      <c r="T758">
        <v>1</v>
      </c>
      <c r="U758" t="s">
        <v>23</v>
      </c>
      <c r="V758" t="e">
        <f>IF(#REF! = "yes", 1, 0)</f>
        <v>#REF!</v>
      </c>
      <c r="W758" t="e">
        <f>IF(#REF! &lt;= 1, "0-1 Calls", IF(#REF! &lt;= 3, "2-3 Calls", IF(#REF! &lt;=5, "4-5 Calls", "6+ Calls")))</f>
        <v>#REF!</v>
      </c>
      <c r="X758" t="e">
        <f>IF(#REF! &lt;= 50, "0-50", IF(#REF! &lt;=100, "51-100", IF(#REF! &lt;= 150, "101-150", "151+")))</f>
        <v>#REF!</v>
      </c>
      <c r="Y758" t="e">
        <f>IF(#REF! &lt;= 3, "Low Charges", "High Charges")</f>
        <v>#REF!</v>
      </c>
      <c r="Z758" t="e">
        <f>IF(#REF!&lt;=80,"Low Calls",
IF(#REF!&lt;=120,"Medium Calls","High Calls"))</f>
        <v>#REF!</v>
      </c>
      <c r="AA758" t="e">
        <f>IF(#REF!&lt;=15,"Low Charges",
IF(#REF!&lt;=20,"Medium Charges","High Charges"))</f>
        <v>#REF!</v>
      </c>
      <c r="AB758" t="e">
        <f>IF(AND(#REF!&gt;180, #REF!&gt;200), "Heavy Doemstic User", IF(#REF!&gt;10, "Interntional User", IF(AND(#REF!&lt;180, #REF!&lt;200,#REF!&lt;200), "Light User", "Balanced User")))</f>
        <v>#REF!</v>
      </c>
      <c r="AC758" t="e">
        <f>IF(#REF! = 0, "No Usage", IF(#REF! &lt;= 20, "Low Usage", IF(#REF! &lt;= 40, "Medium Usgae", "High Usage")))</f>
        <v>#REF!</v>
      </c>
      <c r="AD758" t="e">
        <f>IF(#REF!&lt;=150,"Low Usage", IF(#REF!&lt;=200,"Medium Usage", IF(#REF!&lt;=250,"High Usage","Very High Usage")))</f>
        <v>#REF!</v>
      </c>
      <c r="AE758" t="e">
        <f>IF(#REF!&lt;=5,"Low Calls", IF(#REF!&lt;=10, "Medium Calls", "High Calls"))</f>
        <v>#REF!</v>
      </c>
      <c r="AF758" t="e">
        <f xml:space="preserve">
IF(#REF!&gt;=4,4,0)+
IF(#REF!="yes",3,0)+
IF(#REF!="High Charges",3,0)+
IF(#REF!&gt;250,4,0)+
IF(#REF!="no",1,0)+
IF(#REF!="Heavy Domestic User",2,0)</f>
        <v>#REF!</v>
      </c>
      <c r="AG758" t="e">
        <f>IF(#REF!&gt;=10,"High Risk", IF(#REF!&gt;=5,"Medium Risk","Low Risk"))</f>
        <v>#REF!</v>
      </c>
      <c r="AH758" t="e">
        <f>#REF! + #REF! + #REF! + #REF!</f>
        <v>#REF!</v>
      </c>
    </row>
    <row r="759" spans="1:34" x14ac:dyDescent="0.35">
      <c r="A759">
        <v>758</v>
      </c>
      <c r="B759" t="s">
        <v>31</v>
      </c>
      <c r="C759">
        <v>161</v>
      </c>
      <c r="D759" t="s">
        <v>21</v>
      </c>
      <c r="E759" t="s">
        <v>22</v>
      </c>
      <c r="F759" t="s">
        <v>22</v>
      </c>
      <c r="G759">
        <v>0</v>
      </c>
      <c r="H759">
        <v>191.9</v>
      </c>
      <c r="I759">
        <v>113</v>
      </c>
      <c r="J759">
        <v>32.619999999999997</v>
      </c>
      <c r="K759">
        <v>70.900000000000006</v>
      </c>
      <c r="L759">
        <v>87</v>
      </c>
      <c r="M759">
        <v>6.03</v>
      </c>
      <c r="N759">
        <v>204.8</v>
      </c>
      <c r="O759">
        <v>107</v>
      </c>
      <c r="P759">
        <v>9.2200000000000006</v>
      </c>
      <c r="Q759">
        <v>13.4</v>
      </c>
      <c r="R759">
        <v>4</v>
      </c>
      <c r="S759">
        <v>3.62</v>
      </c>
      <c r="T759">
        <v>4</v>
      </c>
      <c r="U759" t="s">
        <v>23</v>
      </c>
      <c r="V759" t="e">
        <f>IF(#REF! = "yes", 1, 0)</f>
        <v>#REF!</v>
      </c>
      <c r="W759" t="e">
        <f>IF(#REF! &lt;= 1, "0-1 Calls", IF(#REF! &lt;= 3, "2-3 Calls", IF(#REF! &lt;=5, "4-5 Calls", "6+ Calls")))</f>
        <v>#REF!</v>
      </c>
      <c r="X759" t="e">
        <f>IF(#REF! &lt;= 50, "0-50", IF(#REF! &lt;=100, "51-100", IF(#REF! &lt;= 150, "101-150", "151+")))</f>
        <v>#REF!</v>
      </c>
      <c r="Y759" t="e">
        <f>IF(#REF! &lt;= 3, "Low Charges", "High Charges")</f>
        <v>#REF!</v>
      </c>
      <c r="Z759" t="e">
        <f>IF(#REF!&lt;=80,"Low Calls",
IF(#REF!&lt;=120,"Medium Calls","High Calls"))</f>
        <v>#REF!</v>
      </c>
      <c r="AA759" t="e">
        <f>IF(#REF!&lt;=15,"Low Charges",
IF(#REF!&lt;=20,"Medium Charges","High Charges"))</f>
        <v>#REF!</v>
      </c>
      <c r="AB759" t="e">
        <f>IF(AND(#REF!&gt;180, #REF!&gt;200), "Heavy Doemstic User", IF(#REF!&gt;10, "Interntional User", IF(AND(#REF!&lt;180, #REF!&lt;200,#REF!&lt;200), "Light User", "Balanced User")))</f>
        <v>#REF!</v>
      </c>
      <c r="AC759" t="e">
        <f>IF(#REF! = 0, "No Usage", IF(#REF! &lt;= 20, "Low Usage", IF(#REF! &lt;= 40, "Medium Usgae", "High Usage")))</f>
        <v>#REF!</v>
      </c>
      <c r="AD759" t="e">
        <f>IF(#REF!&lt;=150,"Low Usage", IF(#REF!&lt;=200,"Medium Usage", IF(#REF!&lt;=250,"High Usage","Very High Usage")))</f>
        <v>#REF!</v>
      </c>
      <c r="AE759" t="e">
        <f>IF(#REF!&lt;=5,"Low Calls", IF(#REF!&lt;=10, "Medium Calls", "High Calls"))</f>
        <v>#REF!</v>
      </c>
      <c r="AF759" t="e">
        <f xml:space="preserve">
IF(#REF!&gt;=4,4,0)+
IF(#REF!="yes",3,0)+
IF(#REF!="High Charges",3,0)+
IF(#REF!&gt;250,4,0)+
IF(#REF!="no",1,0)+
IF(#REF!="Heavy Domestic User",2,0)</f>
        <v>#REF!</v>
      </c>
      <c r="AG759" t="e">
        <f>IF(#REF!&gt;=10,"High Risk", IF(#REF!&gt;=5,"Medium Risk","Low Risk"))</f>
        <v>#REF!</v>
      </c>
      <c r="AH759" t="e">
        <f>#REF! + #REF! + #REF! + #REF!</f>
        <v>#REF!</v>
      </c>
    </row>
    <row r="760" spans="1:34" x14ac:dyDescent="0.35">
      <c r="A760">
        <v>759</v>
      </c>
      <c r="B760" t="s">
        <v>55</v>
      </c>
      <c r="C760">
        <v>118</v>
      </c>
      <c r="D760" t="s">
        <v>21</v>
      </c>
      <c r="E760" t="s">
        <v>22</v>
      </c>
      <c r="F760" t="s">
        <v>23</v>
      </c>
      <c r="G760">
        <v>24</v>
      </c>
      <c r="H760">
        <v>118.1</v>
      </c>
      <c r="I760">
        <v>83</v>
      </c>
      <c r="J760">
        <v>20.079999999999998</v>
      </c>
      <c r="K760">
        <v>109.6</v>
      </c>
      <c r="L760">
        <v>72</v>
      </c>
      <c r="M760">
        <v>9.32</v>
      </c>
      <c r="N760">
        <v>245.5</v>
      </c>
      <c r="O760">
        <v>73</v>
      </c>
      <c r="P760">
        <v>11.05</v>
      </c>
      <c r="Q760">
        <v>16.899999999999999</v>
      </c>
      <c r="R760">
        <v>2</v>
      </c>
      <c r="S760">
        <v>4.5599999999999996</v>
      </c>
      <c r="T760">
        <v>1</v>
      </c>
      <c r="U760" t="s">
        <v>22</v>
      </c>
      <c r="V760" t="e">
        <f>IF(#REF! = "yes", 1, 0)</f>
        <v>#REF!</v>
      </c>
      <c r="W760" t="e">
        <f>IF(#REF! &lt;= 1, "0-1 Calls", IF(#REF! &lt;= 3, "2-3 Calls", IF(#REF! &lt;=5, "4-5 Calls", "6+ Calls")))</f>
        <v>#REF!</v>
      </c>
      <c r="X760" t="e">
        <f>IF(#REF! &lt;= 50, "0-50", IF(#REF! &lt;=100, "51-100", IF(#REF! &lt;= 150, "101-150", "151+")))</f>
        <v>#REF!</v>
      </c>
      <c r="Y760" t="e">
        <f>IF(#REF! &lt;= 3, "Low Charges", "High Charges")</f>
        <v>#REF!</v>
      </c>
      <c r="Z760" t="e">
        <f>IF(#REF!&lt;=80,"Low Calls",
IF(#REF!&lt;=120,"Medium Calls","High Calls"))</f>
        <v>#REF!</v>
      </c>
      <c r="AA760" t="e">
        <f>IF(#REF!&lt;=15,"Low Charges",
IF(#REF!&lt;=20,"Medium Charges","High Charges"))</f>
        <v>#REF!</v>
      </c>
      <c r="AB760" t="e">
        <f>IF(AND(#REF!&gt;180, #REF!&gt;200), "Heavy Doemstic User", IF(#REF!&gt;10, "Interntional User", IF(AND(#REF!&lt;180, #REF!&lt;200,#REF!&lt;200), "Light User", "Balanced User")))</f>
        <v>#REF!</v>
      </c>
      <c r="AC760" t="e">
        <f>IF(#REF! = 0, "No Usage", IF(#REF! &lt;= 20, "Low Usage", IF(#REF! &lt;= 40, "Medium Usgae", "High Usage")))</f>
        <v>#REF!</v>
      </c>
      <c r="AD760" t="e">
        <f>IF(#REF!&lt;=150,"Low Usage", IF(#REF!&lt;=200,"Medium Usage", IF(#REF!&lt;=250,"High Usage","Very High Usage")))</f>
        <v>#REF!</v>
      </c>
      <c r="AE760" t="e">
        <f>IF(#REF!&lt;=5,"Low Calls", IF(#REF!&lt;=10, "Medium Calls", "High Calls"))</f>
        <v>#REF!</v>
      </c>
      <c r="AF760" t="e">
        <f xml:space="preserve">
IF(#REF!&gt;=4,4,0)+
IF(#REF!="yes",3,0)+
IF(#REF!="High Charges",3,0)+
IF(#REF!&gt;250,4,0)+
IF(#REF!="no",1,0)+
IF(#REF!="Heavy Domestic User",2,0)</f>
        <v>#REF!</v>
      </c>
      <c r="AG760" t="e">
        <f>IF(#REF!&gt;=10,"High Risk", IF(#REF!&gt;=5,"Medium Risk","Low Risk"))</f>
        <v>#REF!</v>
      </c>
      <c r="AH760" t="e">
        <f>#REF! + #REF! + #REF! + #REF!</f>
        <v>#REF!</v>
      </c>
    </row>
    <row r="761" spans="1:34" x14ac:dyDescent="0.35">
      <c r="A761">
        <v>760</v>
      </c>
      <c r="B761" t="s">
        <v>41</v>
      </c>
      <c r="C761">
        <v>23</v>
      </c>
      <c r="D761" t="s">
        <v>25</v>
      </c>
      <c r="E761" t="s">
        <v>22</v>
      </c>
      <c r="F761" t="s">
        <v>22</v>
      </c>
      <c r="G761">
        <v>0</v>
      </c>
      <c r="H761">
        <v>190.2</v>
      </c>
      <c r="I761">
        <v>89</v>
      </c>
      <c r="J761">
        <v>32.33</v>
      </c>
      <c r="K761">
        <v>166.4</v>
      </c>
      <c r="L761">
        <v>108</v>
      </c>
      <c r="M761">
        <v>14.14</v>
      </c>
      <c r="N761">
        <v>219.8</v>
      </c>
      <c r="O761">
        <v>73</v>
      </c>
      <c r="P761">
        <v>9.89</v>
      </c>
      <c r="Q761">
        <v>15</v>
      </c>
      <c r="R761">
        <v>4</v>
      </c>
      <c r="S761">
        <v>4.05</v>
      </c>
      <c r="T761">
        <v>6</v>
      </c>
      <c r="U761" t="s">
        <v>22</v>
      </c>
      <c r="V761" t="e">
        <f>IF(#REF! = "yes", 1, 0)</f>
        <v>#REF!</v>
      </c>
      <c r="W761" t="e">
        <f>IF(#REF! &lt;= 1, "0-1 Calls", IF(#REF! &lt;= 3, "2-3 Calls", IF(#REF! &lt;=5, "4-5 Calls", "6+ Calls")))</f>
        <v>#REF!</v>
      </c>
      <c r="X761" t="e">
        <f>IF(#REF! &lt;= 50, "0-50", IF(#REF! &lt;=100, "51-100", IF(#REF! &lt;= 150, "101-150", "151+")))</f>
        <v>#REF!</v>
      </c>
      <c r="Y761" t="e">
        <f>IF(#REF! &lt;= 3, "Low Charges", "High Charges")</f>
        <v>#REF!</v>
      </c>
      <c r="Z761" t="e">
        <f>IF(#REF!&lt;=80,"Low Calls",
IF(#REF!&lt;=120,"Medium Calls","High Calls"))</f>
        <v>#REF!</v>
      </c>
      <c r="AA761" t="e">
        <f>IF(#REF!&lt;=15,"Low Charges",
IF(#REF!&lt;=20,"Medium Charges","High Charges"))</f>
        <v>#REF!</v>
      </c>
      <c r="AB761" t="e">
        <f>IF(AND(#REF!&gt;180, #REF!&gt;200), "Heavy Doemstic User", IF(#REF!&gt;10, "Interntional User", IF(AND(#REF!&lt;180, #REF!&lt;200,#REF!&lt;200), "Light User", "Balanced User")))</f>
        <v>#REF!</v>
      </c>
      <c r="AC761" t="e">
        <f>IF(#REF! = 0, "No Usage", IF(#REF! &lt;= 20, "Low Usage", IF(#REF! &lt;= 40, "Medium Usgae", "High Usage")))</f>
        <v>#REF!</v>
      </c>
      <c r="AD761" t="e">
        <f>IF(#REF!&lt;=150,"Low Usage", IF(#REF!&lt;=200,"Medium Usage", IF(#REF!&lt;=250,"High Usage","Very High Usage")))</f>
        <v>#REF!</v>
      </c>
      <c r="AE761" t="e">
        <f>IF(#REF!&lt;=5,"Low Calls", IF(#REF!&lt;=10, "Medium Calls", "High Calls"))</f>
        <v>#REF!</v>
      </c>
      <c r="AF761" t="e">
        <f xml:space="preserve">
IF(#REF!&gt;=4,4,0)+
IF(#REF!="yes",3,0)+
IF(#REF!="High Charges",3,0)+
IF(#REF!&gt;250,4,0)+
IF(#REF!="no",1,0)+
IF(#REF!="Heavy Domestic User",2,0)</f>
        <v>#REF!</v>
      </c>
      <c r="AG761" t="e">
        <f>IF(#REF!&gt;=10,"High Risk", IF(#REF!&gt;=5,"Medium Risk","Low Risk"))</f>
        <v>#REF!</v>
      </c>
      <c r="AH761" t="e">
        <f>#REF! + #REF! + #REF! + #REF!</f>
        <v>#REF!</v>
      </c>
    </row>
    <row r="762" spans="1:34" x14ac:dyDescent="0.35">
      <c r="A762">
        <v>761</v>
      </c>
      <c r="B762" t="s">
        <v>58</v>
      </c>
      <c r="C762">
        <v>127</v>
      </c>
      <c r="D762" t="s">
        <v>21</v>
      </c>
      <c r="E762" t="s">
        <v>22</v>
      </c>
      <c r="F762" t="s">
        <v>23</v>
      </c>
      <c r="G762">
        <v>25</v>
      </c>
      <c r="H762">
        <v>82.2</v>
      </c>
      <c r="I762">
        <v>95</v>
      </c>
      <c r="J762">
        <v>13.97</v>
      </c>
      <c r="K762">
        <v>163.30000000000001</v>
      </c>
      <c r="L762">
        <v>109</v>
      </c>
      <c r="M762">
        <v>13.88</v>
      </c>
      <c r="N762">
        <v>264.89999999999998</v>
      </c>
      <c r="O762">
        <v>104</v>
      </c>
      <c r="P762">
        <v>11.92</v>
      </c>
      <c r="Q762">
        <v>5.0999999999999996</v>
      </c>
      <c r="R762">
        <v>6</v>
      </c>
      <c r="S762">
        <v>1.38</v>
      </c>
      <c r="T762">
        <v>0</v>
      </c>
      <c r="U762" t="s">
        <v>22</v>
      </c>
      <c r="V762" t="e">
        <f>IF(#REF! = "yes", 1, 0)</f>
        <v>#REF!</v>
      </c>
      <c r="W762" t="e">
        <f>IF(#REF! &lt;= 1, "0-1 Calls", IF(#REF! &lt;= 3, "2-3 Calls", IF(#REF! &lt;=5, "4-5 Calls", "6+ Calls")))</f>
        <v>#REF!</v>
      </c>
      <c r="X762" t="e">
        <f>IF(#REF! &lt;= 50, "0-50", IF(#REF! &lt;=100, "51-100", IF(#REF! &lt;= 150, "101-150", "151+")))</f>
        <v>#REF!</v>
      </c>
      <c r="Y762" t="e">
        <f>IF(#REF! &lt;= 3, "Low Charges", "High Charges")</f>
        <v>#REF!</v>
      </c>
      <c r="Z762" t="e">
        <f>IF(#REF!&lt;=80,"Low Calls",
IF(#REF!&lt;=120,"Medium Calls","High Calls"))</f>
        <v>#REF!</v>
      </c>
      <c r="AA762" t="e">
        <f>IF(#REF!&lt;=15,"Low Charges",
IF(#REF!&lt;=20,"Medium Charges","High Charges"))</f>
        <v>#REF!</v>
      </c>
      <c r="AB762" t="e">
        <f>IF(AND(#REF!&gt;180, #REF!&gt;200), "Heavy Doemstic User", IF(#REF!&gt;10, "Interntional User", IF(AND(#REF!&lt;180, #REF!&lt;200,#REF!&lt;200), "Light User", "Balanced User")))</f>
        <v>#REF!</v>
      </c>
      <c r="AC762" t="e">
        <f>IF(#REF! = 0, "No Usage", IF(#REF! &lt;= 20, "Low Usage", IF(#REF! &lt;= 40, "Medium Usgae", "High Usage")))</f>
        <v>#REF!</v>
      </c>
      <c r="AD762" t="e">
        <f>IF(#REF!&lt;=150,"Low Usage", IF(#REF!&lt;=200,"Medium Usage", IF(#REF!&lt;=250,"High Usage","Very High Usage")))</f>
        <v>#REF!</v>
      </c>
      <c r="AE762" t="e">
        <f>IF(#REF!&lt;=5,"Low Calls", IF(#REF!&lt;=10, "Medium Calls", "High Calls"))</f>
        <v>#REF!</v>
      </c>
      <c r="AF762" t="e">
        <f xml:space="preserve">
IF(#REF!&gt;=4,4,0)+
IF(#REF!="yes",3,0)+
IF(#REF!="High Charges",3,0)+
IF(#REF!&gt;250,4,0)+
IF(#REF!="no",1,0)+
IF(#REF!="Heavy Domestic User",2,0)</f>
        <v>#REF!</v>
      </c>
      <c r="AG762" t="e">
        <f>IF(#REF!&gt;=10,"High Risk", IF(#REF!&gt;=5,"Medium Risk","Low Risk"))</f>
        <v>#REF!</v>
      </c>
      <c r="AH762" t="e">
        <f>#REF! + #REF! + #REF! + #REF!</f>
        <v>#REF!</v>
      </c>
    </row>
    <row r="763" spans="1:34" x14ac:dyDescent="0.35">
      <c r="A763">
        <v>762</v>
      </c>
      <c r="B763" t="s">
        <v>24</v>
      </c>
      <c r="C763">
        <v>42</v>
      </c>
      <c r="D763" t="s">
        <v>21</v>
      </c>
      <c r="E763" t="s">
        <v>22</v>
      </c>
      <c r="F763" t="s">
        <v>23</v>
      </c>
      <c r="G763">
        <v>32</v>
      </c>
      <c r="H763">
        <v>163.80000000000001</v>
      </c>
      <c r="I763">
        <v>80</v>
      </c>
      <c r="J763">
        <v>27.85</v>
      </c>
      <c r="K763">
        <v>177.8</v>
      </c>
      <c r="L763">
        <v>123</v>
      </c>
      <c r="M763">
        <v>15.11</v>
      </c>
      <c r="N763">
        <v>190.4</v>
      </c>
      <c r="O763">
        <v>106</v>
      </c>
      <c r="P763">
        <v>8.57</v>
      </c>
      <c r="Q763">
        <v>8.1</v>
      </c>
      <c r="R763">
        <v>5</v>
      </c>
      <c r="S763">
        <v>2.19</v>
      </c>
      <c r="T763">
        <v>0</v>
      </c>
      <c r="U763" t="s">
        <v>22</v>
      </c>
      <c r="V763" t="e">
        <f>IF(#REF! = "yes", 1, 0)</f>
        <v>#REF!</v>
      </c>
      <c r="W763" t="e">
        <f>IF(#REF! &lt;= 1, "0-1 Calls", IF(#REF! &lt;= 3, "2-3 Calls", IF(#REF! &lt;=5, "4-5 Calls", "6+ Calls")))</f>
        <v>#REF!</v>
      </c>
      <c r="X763" t="e">
        <f>IF(#REF! &lt;= 50, "0-50", IF(#REF! &lt;=100, "51-100", IF(#REF! &lt;= 150, "101-150", "151+")))</f>
        <v>#REF!</v>
      </c>
      <c r="Y763" t="e">
        <f>IF(#REF! &lt;= 3, "Low Charges", "High Charges")</f>
        <v>#REF!</v>
      </c>
      <c r="Z763" t="e">
        <f>IF(#REF!&lt;=80,"Low Calls",
IF(#REF!&lt;=120,"Medium Calls","High Calls"))</f>
        <v>#REF!</v>
      </c>
      <c r="AA763" t="e">
        <f>IF(#REF!&lt;=15,"Low Charges",
IF(#REF!&lt;=20,"Medium Charges","High Charges"))</f>
        <v>#REF!</v>
      </c>
      <c r="AB763" t="e">
        <f>IF(AND(#REF!&gt;180, #REF!&gt;200), "Heavy Doemstic User", IF(#REF!&gt;10, "Interntional User", IF(AND(#REF!&lt;180, #REF!&lt;200,#REF!&lt;200), "Light User", "Balanced User")))</f>
        <v>#REF!</v>
      </c>
      <c r="AC763" t="e">
        <f>IF(#REF! = 0, "No Usage", IF(#REF! &lt;= 20, "Low Usage", IF(#REF! &lt;= 40, "Medium Usgae", "High Usage")))</f>
        <v>#REF!</v>
      </c>
      <c r="AD763" t="e">
        <f>IF(#REF!&lt;=150,"Low Usage", IF(#REF!&lt;=200,"Medium Usage", IF(#REF!&lt;=250,"High Usage","Very High Usage")))</f>
        <v>#REF!</v>
      </c>
      <c r="AE763" t="e">
        <f>IF(#REF!&lt;=5,"Low Calls", IF(#REF!&lt;=10, "Medium Calls", "High Calls"))</f>
        <v>#REF!</v>
      </c>
      <c r="AF763" t="e">
        <f xml:space="preserve">
IF(#REF!&gt;=4,4,0)+
IF(#REF!="yes",3,0)+
IF(#REF!="High Charges",3,0)+
IF(#REF!&gt;250,4,0)+
IF(#REF!="no",1,0)+
IF(#REF!="Heavy Domestic User",2,0)</f>
        <v>#REF!</v>
      </c>
      <c r="AG763" t="e">
        <f>IF(#REF!&gt;=10,"High Risk", IF(#REF!&gt;=5,"Medium Risk","Low Risk"))</f>
        <v>#REF!</v>
      </c>
      <c r="AH763" t="e">
        <f>#REF! + #REF! + #REF! + #REF!</f>
        <v>#REF!</v>
      </c>
    </row>
    <row r="764" spans="1:34" x14ac:dyDescent="0.35">
      <c r="A764">
        <v>763</v>
      </c>
      <c r="B764" t="s">
        <v>34</v>
      </c>
      <c r="C764">
        <v>45</v>
      </c>
      <c r="D764" t="s">
        <v>28</v>
      </c>
      <c r="E764" t="s">
        <v>22</v>
      </c>
      <c r="F764" t="s">
        <v>22</v>
      </c>
      <c r="G764">
        <v>0</v>
      </c>
      <c r="H764">
        <v>159.80000000000001</v>
      </c>
      <c r="I764">
        <v>91</v>
      </c>
      <c r="J764">
        <v>27.17</v>
      </c>
      <c r="K764">
        <v>120.4</v>
      </c>
      <c r="L764">
        <v>86</v>
      </c>
      <c r="M764">
        <v>10.23</v>
      </c>
      <c r="N764">
        <v>163</v>
      </c>
      <c r="O764">
        <v>93</v>
      </c>
      <c r="P764">
        <v>7.34</v>
      </c>
      <c r="Q764">
        <v>10.6</v>
      </c>
      <c r="R764">
        <v>3</v>
      </c>
      <c r="S764">
        <v>2.86</v>
      </c>
      <c r="T764">
        <v>2</v>
      </c>
      <c r="U764" t="s">
        <v>22</v>
      </c>
      <c r="V764" t="e">
        <f>IF(#REF! = "yes", 1, 0)</f>
        <v>#REF!</v>
      </c>
      <c r="W764" t="e">
        <f>IF(#REF! &lt;= 1, "0-1 Calls", IF(#REF! &lt;= 3, "2-3 Calls", IF(#REF! &lt;=5, "4-5 Calls", "6+ Calls")))</f>
        <v>#REF!</v>
      </c>
      <c r="X764" t="e">
        <f>IF(#REF! &lt;= 50, "0-50", IF(#REF! &lt;=100, "51-100", IF(#REF! &lt;= 150, "101-150", "151+")))</f>
        <v>#REF!</v>
      </c>
      <c r="Y764" t="e">
        <f>IF(#REF! &lt;= 3, "Low Charges", "High Charges")</f>
        <v>#REF!</v>
      </c>
      <c r="Z764" t="e">
        <f>IF(#REF!&lt;=80,"Low Calls",
IF(#REF!&lt;=120,"Medium Calls","High Calls"))</f>
        <v>#REF!</v>
      </c>
      <c r="AA764" t="e">
        <f>IF(#REF!&lt;=15,"Low Charges",
IF(#REF!&lt;=20,"Medium Charges","High Charges"))</f>
        <v>#REF!</v>
      </c>
      <c r="AB764" t="e">
        <f>IF(AND(#REF!&gt;180, #REF!&gt;200), "Heavy Doemstic User", IF(#REF!&gt;10, "Interntional User", IF(AND(#REF!&lt;180, #REF!&lt;200,#REF!&lt;200), "Light User", "Balanced User")))</f>
        <v>#REF!</v>
      </c>
      <c r="AC764" t="e">
        <f>IF(#REF! = 0, "No Usage", IF(#REF! &lt;= 20, "Low Usage", IF(#REF! &lt;= 40, "Medium Usgae", "High Usage")))</f>
        <v>#REF!</v>
      </c>
      <c r="AD764" t="e">
        <f>IF(#REF!&lt;=150,"Low Usage", IF(#REF!&lt;=200,"Medium Usage", IF(#REF!&lt;=250,"High Usage","Very High Usage")))</f>
        <v>#REF!</v>
      </c>
      <c r="AE764" t="e">
        <f>IF(#REF!&lt;=5,"Low Calls", IF(#REF!&lt;=10, "Medium Calls", "High Calls"))</f>
        <v>#REF!</v>
      </c>
      <c r="AF764" t="e">
        <f xml:space="preserve">
IF(#REF!&gt;=4,4,0)+
IF(#REF!="yes",3,0)+
IF(#REF!="High Charges",3,0)+
IF(#REF!&gt;250,4,0)+
IF(#REF!="no",1,0)+
IF(#REF!="Heavy Domestic User",2,0)</f>
        <v>#REF!</v>
      </c>
      <c r="AG764" t="e">
        <f>IF(#REF!&gt;=10,"High Risk", IF(#REF!&gt;=5,"Medium Risk","Low Risk"))</f>
        <v>#REF!</v>
      </c>
      <c r="AH764" t="e">
        <f>#REF! + #REF! + #REF! + #REF!</f>
        <v>#REF!</v>
      </c>
    </row>
    <row r="765" spans="1:34" x14ac:dyDescent="0.35">
      <c r="A765">
        <v>764</v>
      </c>
      <c r="B765" t="s">
        <v>48</v>
      </c>
      <c r="C765">
        <v>50</v>
      </c>
      <c r="D765" t="s">
        <v>25</v>
      </c>
      <c r="E765" t="s">
        <v>22</v>
      </c>
      <c r="F765" t="s">
        <v>23</v>
      </c>
      <c r="G765">
        <v>24</v>
      </c>
      <c r="H765">
        <v>214.3</v>
      </c>
      <c r="I765">
        <v>129</v>
      </c>
      <c r="J765">
        <v>36.43</v>
      </c>
      <c r="K765">
        <v>289.8</v>
      </c>
      <c r="L765">
        <v>55</v>
      </c>
      <c r="M765">
        <v>24.63</v>
      </c>
      <c r="N765">
        <v>312.5</v>
      </c>
      <c r="O765">
        <v>130</v>
      </c>
      <c r="P765">
        <v>14.06</v>
      </c>
      <c r="Q765">
        <v>10.6</v>
      </c>
      <c r="R765">
        <v>4</v>
      </c>
      <c r="S765">
        <v>2.86</v>
      </c>
      <c r="T765">
        <v>1</v>
      </c>
      <c r="U765" t="s">
        <v>22</v>
      </c>
      <c r="V765" t="e">
        <f>IF(#REF! = "yes", 1, 0)</f>
        <v>#REF!</v>
      </c>
      <c r="W765" t="e">
        <f>IF(#REF! &lt;= 1, "0-1 Calls", IF(#REF! &lt;= 3, "2-3 Calls", IF(#REF! &lt;=5, "4-5 Calls", "6+ Calls")))</f>
        <v>#REF!</v>
      </c>
      <c r="X765" t="e">
        <f>IF(#REF! &lt;= 50, "0-50", IF(#REF! &lt;=100, "51-100", IF(#REF! &lt;= 150, "101-150", "151+")))</f>
        <v>#REF!</v>
      </c>
      <c r="Y765" t="e">
        <f>IF(#REF! &lt;= 3, "Low Charges", "High Charges")</f>
        <v>#REF!</v>
      </c>
      <c r="Z765" t="e">
        <f>IF(#REF!&lt;=80,"Low Calls",
IF(#REF!&lt;=120,"Medium Calls","High Calls"))</f>
        <v>#REF!</v>
      </c>
      <c r="AA765" t="e">
        <f>IF(#REF!&lt;=15,"Low Charges",
IF(#REF!&lt;=20,"Medium Charges","High Charges"))</f>
        <v>#REF!</v>
      </c>
      <c r="AB765" t="e">
        <f>IF(AND(#REF!&gt;180, #REF!&gt;200), "Heavy Doemstic User", IF(#REF!&gt;10, "Interntional User", IF(AND(#REF!&lt;180, #REF!&lt;200,#REF!&lt;200), "Light User", "Balanced User")))</f>
        <v>#REF!</v>
      </c>
      <c r="AC765" t="e">
        <f>IF(#REF! = 0, "No Usage", IF(#REF! &lt;= 20, "Low Usage", IF(#REF! &lt;= 40, "Medium Usgae", "High Usage")))</f>
        <v>#REF!</v>
      </c>
      <c r="AD765" t="e">
        <f>IF(#REF!&lt;=150,"Low Usage", IF(#REF!&lt;=200,"Medium Usage", IF(#REF!&lt;=250,"High Usage","Very High Usage")))</f>
        <v>#REF!</v>
      </c>
      <c r="AE765" t="e">
        <f>IF(#REF!&lt;=5,"Low Calls", IF(#REF!&lt;=10, "Medium Calls", "High Calls"))</f>
        <v>#REF!</v>
      </c>
      <c r="AF765" t="e">
        <f xml:space="preserve">
IF(#REF!&gt;=4,4,0)+
IF(#REF!="yes",3,0)+
IF(#REF!="High Charges",3,0)+
IF(#REF!&gt;250,4,0)+
IF(#REF!="no",1,0)+
IF(#REF!="Heavy Domestic User",2,0)</f>
        <v>#REF!</v>
      </c>
      <c r="AG765" t="e">
        <f>IF(#REF!&gt;=10,"High Risk", IF(#REF!&gt;=5,"Medium Risk","Low Risk"))</f>
        <v>#REF!</v>
      </c>
      <c r="AH765" t="e">
        <f>#REF! + #REF! + #REF! + #REF!</f>
        <v>#REF!</v>
      </c>
    </row>
    <row r="766" spans="1:34" x14ac:dyDescent="0.35">
      <c r="A766">
        <v>765</v>
      </c>
      <c r="B766" t="s">
        <v>29</v>
      </c>
      <c r="C766">
        <v>179</v>
      </c>
      <c r="D766" t="s">
        <v>28</v>
      </c>
      <c r="E766" t="s">
        <v>22</v>
      </c>
      <c r="F766" t="s">
        <v>22</v>
      </c>
      <c r="G766">
        <v>0</v>
      </c>
      <c r="H766">
        <v>287.3</v>
      </c>
      <c r="I766">
        <v>123</v>
      </c>
      <c r="J766">
        <v>48.84</v>
      </c>
      <c r="K766">
        <v>288</v>
      </c>
      <c r="L766">
        <v>114</v>
      </c>
      <c r="M766">
        <v>24.48</v>
      </c>
      <c r="N766">
        <v>266</v>
      </c>
      <c r="O766">
        <v>112</v>
      </c>
      <c r="P766">
        <v>11.97</v>
      </c>
      <c r="Q766">
        <v>10.5</v>
      </c>
      <c r="R766">
        <v>4</v>
      </c>
      <c r="S766">
        <v>2.84</v>
      </c>
      <c r="T766">
        <v>0</v>
      </c>
      <c r="U766" t="s">
        <v>23</v>
      </c>
      <c r="V766" t="e">
        <f>IF(#REF! = "yes", 1, 0)</f>
        <v>#REF!</v>
      </c>
      <c r="W766" t="e">
        <f>IF(#REF! &lt;= 1, "0-1 Calls", IF(#REF! &lt;= 3, "2-3 Calls", IF(#REF! &lt;=5, "4-5 Calls", "6+ Calls")))</f>
        <v>#REF!</v>
      </c>
      <c r="X766" t="e">
        <f>IF(#REF! &lt;= 50, "0-50", IF(#REF! &lt;=100, "51-100", IF(#REF! &lt;= 150, "101-150", "151+")))</f>
        <v>#REF!</v>
      </c>
      <c r="Y766" t="e">
        <f>IF(#REF! &lt;= 3, "Low Charges", "High Charges")</f>
        <v>#REF!</v>
      </c>
      <c r="Z766" t="e">
        <f>IF(#REF!&lt;=80,"Low Calls",
IF(#REF!&lt;=120,"Medium Calls","High Calls"))</f>
        <v>#REF!</v>
      </c>
      <c r="AA766" t="e">
        <f>IF(#REF!&lt;=15,"Low Charges",
IF(#REF!&lt;=20,"Medium Charges","High Charges"))</f>
        <v>#REF!</v>
      </c>
      <c r="AB766" t="e">
        <f>IF(AND(#REF!&gt;180, #REF!&gt;200), "Heavy Doemstic User", IF(#REF!&gt;10, "Interntional User", IF(AND(#REF!&lt;180, #REF!&lt;200,#REF!&lt;200), "Light User", "Balanced User")))</f>
        <v>#REF!</v>
      </c>
      <c r="AC766" t="e">
        <f>IF(#REF! = 0, "No Usage", IF(#REF! &lt;= 20, "Low Usage", IF(#REF! &lt;= 40, "Medium Usgae", "High Usage")))</f>
        <v>#REF!</v>
      </c>
      <c r="AD766" t="e">
        <f>IF(#REF!&lt;=150,"Low Usage", IF(#REF!&lt;=200,"Medium Usage", IF(#REF!&lt;=250,"High Usage","Very High Usage")))</f>
        <v>#REF!</v>
      </c>
      <c r="AE766" t="e">
        <f>IF(#REF!&lt;=5,"Low Calls", IF(#REF!&lt;=10, "Medium Calls", "High Calls"))</f>
        <v>#REF!</v>
      </c>
      <c r="AF766" t="e">
        <f xml:space="preserve">
IF(#REF!&gt;=4,4,0)+
IF(#REF!="yes",3,0)+
IF(#REF!="High Charges",3,0)+
IF(#REF!&gt;250,4,0)+
IF(#REF!="no",1,0)+
IF(#REF!="Heavy Domestic User",2,0)</f>
        <v>#REF!</v>
      </c>
      <c r="AG766" t="e">
        <f>IF(#REF!&gt;=10,"High Risk", IF(#REF!&gt;=5,"Medium Risk","Low Risk"))</f>
        <v>#REF!</v>
      </c>
      <c r="AH766" t="e">
        <f>#REF! + #REF! + #REF! + #REF!</f>
        <v>#REF!</v>
      </c>
    </row>
    <row r="767" spans="1:34" x14ac:dyDescent="0.35">
      <c r="A767">
        <v>766</v>
      </c>
      <c r="B767" t="s">
        <v>29</v>
      </c>
      <c r="C767">
        <v>152</v>
      </c>
      <c r="D767" t="s">
        <v>25</v>
      </c>
      <c r="E767" t="s">
        <v>22</v>
      </c>
      <c r="F767" t="s">
        <v>22</v>
      </c>
      <c r="G767">
        <v>0</v>
      </c>
      <c r="H767">
        <v>101.2</v>
      </c>
      <c r="I767">
        <v>122</v>
      </c>
      <c r="J767">
        <v>17.2</v>
      </c>
      <c r="K767">
        <v>141.6</v>
      </c>
      <c r="L767">
        <v>87</v>
      </c>
      <c r="M767">
        <v>12.04</v>
      </c>
      <c r="N767">
        <v>198.5</v>
      </c>
      <c r="O767">
        <v>124</v>
      </c>
      <c r="P767">
        <v>8.93</v>
      </c>
      <c r="Q767">
        <v>7.5</v>
      </c>
      <c r="R767">
        <v>3</v>
      </c>
      <c r="S767">
        <v>2.0299999999999998</v>
      </c>
      <c r="T767">
        <v>2</v>
      </c>
      <c r="U767" t="s">
        <v>22</v>
      </c>
      <c r="V767" t="e">
        <f>IF(#REF! = "yes", 1, 0)</f>
        <v>#REF!</v>
      </c>
      <c r="W767" t="e">
        <f>IF(#REF! &lt;= 1, "0-1 Calls", IF(#REF! &lt;= 3, "2-3 Calls", IF(#REF! &lt;=5, "4-5 Calls", "6+ Calls")))</f>
        <v>#REF!</v>
      </c>
      <c r="X767" t="e">
        <f>IF(#REF! &lt;= 50, "0-50", IF(#REF! &lt;=100, "51-100", IF(#REF! &lt;= 150, "101-150", "151+")))</f>
        <v>#REF!</v>
      </c>
      <c r="Y767" t="e">
        <f>IF(#REF! &lt;= 3, "Low Charges", "High Charges")</f>
        <v>#REF!</v>
      </c>
      <c r="Z767" t="e">
        <f>IF(#REF!&lt;=80,"Low Calls",
IF(#REF!&lt;=120,"Medium Calls","High Calls"))</f>
        <v>#REF!</v>
      </c>
      <c r="AA767" t="e">
        <f>IF(#REF!&lt;=15,"Low Charges",
IF(#REF!&lt;=20,"Medium Charges","High Charges"))</f>
        <v>#REF!</v>
      </c>
      <c r="AB767" t="e">
        <f>IF(AND(#REF!&gt;180, #REF!&gt;200), "Heavy Doemstic User", IF(#REF!&gt;10, "Interntional User", IF(AND(#REF!&lt;180, #REF!&lt;200,#REF!&lt;200), "Light User", "Balanced User")))</f>
        <v>#REF!</v>
      </c>
      <c r="AC767" t="e">
        <f>IF(#REF! = 0, "No Usage", IF(#REF! &lt;= 20, "Low Usage", IF(#REF! &lt;= 40, "Medium Usgae", "High Usage")))</f>
        <v>#REF!</v>
      </c>
      <c r="AD767" t="e">
        <f>IF(#REF!&lt;=150,"Low Usage", IF(#REF!&lt;=200,"Medium Usage", IF(#REF!&lt;=250,"High Usage","Very High Usage")))</f>
        <v>#REF!</v>
      </c>
      <c r="AE767" t="e">
        <f>IF(#REF!&lt;=5,"Low Calls", IF(#REF!&lt;=10, "Medium Calls", "High Calls"))</f>
        <v>#REF!</v>
      </c>
      <c r="AF767" t="e">
        <f xml:space="preserve">
IF(#REF!&gt;=4,4,0)+
IF(#REF!="yes",3,0)+
IF(#REF!="High Charges",3,0)+
IF(#REF!&gt;250,4,0)+
IF(#REF!="no",1,0)+
IF(#REF!="Heavy Domestic User",2,0)</f>
        <v>#REF!</v>
      </c>
      <c r="AG767" t="e">
        <f>IF(#REF!&gt;=10,"High Risk", IF(#REF!&gt;=5,"Medium Risk","Low Risk"))</f>
        <v>#REF!</v>
      </c>
      <c r="AH767" t="e">
        <f>#REF! + #REF! + #REF! + #REF!</f>
        <v>#REF!</v>
      </c>
    </row>
    <row r="768" spans="1:34" x14ac:dyDescent="0.35">
      <c r="A768">
        <v>767</v>
      </c>
      <c r="B768" t="s">
        <v>45</v>
      </c>
      <c r="C768">
        <v>72</v>
      </c>
      <c r="D768" t="s">
        <v>21</v>
      </c>
      <c r="E768" t="s">
        <v>22</v>
      </c>
      <c r="F768" t="s">
        <v>22</v>
      </c>
      <c r="G768">
        <v>0</v>
      </c>
      <c r="H768">
        <v>109.1</v>
      </c>
      <c r="I768">
        <v>97</v>
      </c>
      <c r="J768">
        <v>18.55</v>
      </c>
      <c r="K768">
        <v>115.7</v>
      </c>
      <c r="L768">
        <v>96</v>
      </c>
      <c r="M768">
        <v>9.83</v>
      </c>
      <c r="N768">
        <v>295.8</v>
      </c>
      <c r="O768">
        <v>84</v>
      </c>
      <c r="P768">
        <v>13.31</v>
      </c>
      <c r="Q768">
        <v>8.3000000000000007</v>
      </c>
      <c r="R768">
        <v>6</v>
      </c>
      <c r="S768">
        <v>2.2400000000000002</v>
      </c>
      <c r="T768">
        <v>0</v>
      </c>
      <c r="U768" t="s">
        <v>22</v>
      </c>
      <c r="V768" t="e">
        <f>IF(#REF! = "yes", 1, 0)</f>
        <v>#REF!</v>
      </c>
      <c r="W768" t="e">
        <f>IF(#REF! &lt;= 1, "0-1 Calls", IF(#REF! &lt;= 3, "2-3 Calls", IF(#REF! &lt;=5, "4-5 Calls", "6+ Calls")))</f>
        <v>#REF!</v>
      </c>
      <c r="X768" t="e">
        <f>IF(#REF! &lt;= 50, "0-50", IF(#REF! &lt;=100, "51-100", IF(#REF! &lt;= 150, "101-150", "151+")))</f>
        <v>#REF!</v>
      </c>
      <c r="Y768" t="e">
        <f>IF(#REF! &lt;= 3, "Low Charges", "High Charges")</f>
        <v>#REF!</v>
      </c>
      <c r="Z768" t="e">
        <f>IF(#REF!&lt;=80,"Low Calls",
IF(#REF!&lt;=120,"Medium Calls","High Calls"))</f>
        <v>#REF!</v>
      </c>
      <c r="AA768" t="e">
        <f>IF(#REF!&lt;=15,"Low Charges",
IF(#REF!&lt;=20,"Medium Charges","High Charges"))</f>
        <v>#REF!</v>
      </c>
      <c r="AB768" t="e">
        <f>IF(AND(#REF!&gt;180, #REF!&gt;200), "Heavy Doemstic User", IF(#REF!&gt;10, "Interntional User", IF(AND(#REF!&lt;180, #REF!&lt;200,#REF!&lt;200), "Light User", "Balanced User")))</f>
        <v>#REF!</v>
      </c>
      <c r="AC768" t="e">
        <f>IF(#REF! = 0, "No Usage", IF(#REF! &lt;= 20, "Low Usage", IF(#REF! &lt;= 40, "Medium Usgae", "High Usage")))</f>
        <v>#REF!</v>
      </c>
      <c r="AD768" t="e">
        <f>IF(#REF!&lt;=150,"Low Usage", IF(#REF!&lt;=200,"Medium Usage", IF(#REF!&lt;=250,"High Usage","Very High Usage")))</f>
        <v>#REF!</v>
      </c>
      <c r="AE768" t="e">
        <f>IF(#REF!&lt;=5,"Low Calls", IF(#REF!&lt;=10, "Medium Calls", "High Calls"))</f>
        <v>#REF!</v>
      </c>
      <c r="AF768" t="e">
        <f xml:space="preserve">
IF(#REF!&gt;=4,4,0)+
IF(#REF!="yes",3,0)+
IF(#REF!="High Charges",3,0)+
IF(#REF!&gt;250,4,0)+
IF(#REF!="no",1,0)+
IF(#REF!="Heavy Domestic User",2,0)</f>
        <v>#REF!</v>
      </c>
      <c r="AG768" t="e">
        <f>IF(#REF!&gt;=10,"High Risk", IF(#REF!&gt;=5,"Medium Risk","Low Risk"))</f>
        <v>#REF!</v>
      </c>
      <c r="AH768" t="e">
        <f>#REF! + #REF! + #REF! + #REF!</f>
        <v>#REF!</v>
      </c>
    </row>
    <row r="769" spans="1:34" x14ac:dyDescent="0.35">
      <c r="A769">
        <v>768</v>
      </c>
      <c r="B769" t="s">
        <v>73</v>
      </c>
      <c r="C769">
        <v>52</v>
      </c>
      <c r="D769" t="s">
        <v>25</v>
      </c>
      <c r="E769" t="s">
        <v>22</v>
      </c>
      <c r="F769" t="s">
        <v>22</v>
      </c>
      <c r="G769">
        <v>0</v>
      </c>
      <c r="H769">
        <v>215.9</v>
      </c>
      <c r="I769">
        <v>67</v>
      </c>
      <c r="J769">
        <v>36.700000000000003</v>
      </c>
      <c r="K769">
        <v>217</v>
      </c>
      <c r="L769">
        <v>108</v>
      </c>
      <c r="M769">
        <v>18.45</v>
      </c>
      <c r="N769">
        <v>342.8</v>
      </c>
      <c r="O769">
        <v>130</v>
      </c>
      <c r="P769">
        <v>15.43</v>
      </c>
      <c r="Q769">
        <v>5.2</v>
      </c>
      <c r="R769">
        <v>2</v>
      </c>
      <c r="S769">
        <v>1.4</v>
      </c>
      <c r="T769">
        <v>1</v>
      </c>
      <c r="U769" t="s">
        <v>22</v>
      </c>
      <c r="V769" t="e">
        <f>IF(#REF! = "yes", 1, 0)</f>
        <v>#REF!</v>
      </c>
      <c r="W769" t="e">
        <f>IF(#REF! &lt;= 1, "0-1 Calls", IF(#REF! &lt;= 3, "2-3 Calls", IF(#REF! &lt;=5, "4-5 Calls", "6+ Calls")))</f>
        <v>#REF!</v>
      </c>
      <c r="X769" t="e">
        <f>IF(#REF! &lt;= 50, "0-50", IF(#REF! &lt;=100, "51-100", IF(#REF! &lt;= 150, "101-150", "151+")))</f>
        <v>#REF!</v>
      </c>
      <c r="Y769" t="e">
        <f>IF(#REF! &lt;= 3, "Low Charges", "High Charges")</f>
        <v>#REF!</v>
      </c>
      <c r="Z769" t="e">
        <f>IF(#REF!&lt;=80,"Low Calls",
IF(#REF!&lt;=120,"Medium Calls","High Calls"))</f>
        <v>#REF!</v>
      </c>
      <c r="AA769" t="e">
        <f>IF(#REF!&lt;=15,"Low Charges",
IF(#REF!&lt;=20,"Medium Charges","High Charges"))</f>
        <v>#REF!</v>
      </c>
      <c r="AB769" t="e">
        <f>IF(AND(#REF!&gt;180, #REF!&gt;200), "Heavy Doemstic User", IF(#REF!&gt;10, "Interntional User", IF(AND(#REF!&lt;180, #REF!&lt;200,#REF!&lt;200), "Light User", "Balanced User")))</f>
        <v>#REF!</v>
      </c>
      <c r="AC769" t="e">
        <f>IF(#REF! = 0, "No Usage", IF(#REF! &lt;= 20, "Low Usage", IF(#REF! &lt;= 40, "Medium Usgae", "High Usage")))</f>
        <v>#REF!</v>
      </c>
      <c r="AD769" t="e">
        <f>IF(#REF!&lt;=150,"Low Usage", IF(#REF!&lt;=200,"Medium Usage", IF(#REF!&lt;=250,"High Usage","Very High Usage")))</f>
        <v>#REF!</v>
      </c>
      <c r="AE769" t="e">
        <f>IF(#REF!&lt;=5,"Low Calls", IF(#REF!&lt;=10, "Medium Calls", "High Calls"))</f>
        <v>#REF!</v>
      </c>
      <c r="AF769" t="e">
        <f xml:space="preserve">
IF(#REF!&gt;=4,4,0)+
IF(#REF!="yes",3,0)+
IF(#REF!="High Charges",3,0)+
IF(#REF!&gt;250,4,0)+
IF(#REF!="no",1,0)+
IF(#REF!="Heavy Domestic User",2,0)</f>
        <v>#REF!</v>
      </c>
      <c r="AG769" t="e">
        <f>IF(#REF!&gt;=10,"High Risk", IF(#REF!&gt;=5,"Medium Risk","Low Risk"))</f>
        <v>#REF!</v>
      </c>
      <c r="AH769" t="e">
        <f>#REF! + #REF! + #REF! + #REF!</f>
        <v>#REF!</v>
      </c>
    </row>
    <row r="770" spans="1:34" x14ac:dyDescent="0.35">
      <c r="A770">
        <v>769</v>
      </c>
      <c r="B770" t="s">
        <v>39</v>
      </c>
      <c r="C770">
        <v>125</v>
      </c>
      <c r="D770" t="s">
        <v>21</v>
      </c>
      <c r="E770" t="s">
        <v>22</v>
      </c>
      <c r="F770" t="s">
        <v>22</v>
      </c>
      <c r="G770">
        <v>0</v>
      </c>
      <c r="H770">
        <v>203.4</v>
      </c>
      <c r="I770">
        <v>110</v>
      </c>
      <c r="J770">
        <v>34.58</v>
      </c>
      <c r="K770">
        <v>128.69999999999999</v>
      </c>
      <c r="L770">
        <v>97</v>
      </c>
      <c r="M770">
        <v>10.94</v>
      </c>
      <c r="N770">
        <v>190.5</v>
      </c>
      <c r="O770">
        <v>113</v>
      </c>
      <c r="P770">
        <v>8.57</v>
      </c>
      <c r="Q770">
        <v>11</v>
      </c>
      <c r="R770">
        <v>4</v>
      </c>
      <c r="S770">
        <v>2.97</v>
      </c>
      <c r="T770">
        <v>1</v>
      </c>
      <c r="U770" t="s">
        <v>22</v>
      </c>
      <c r="V770" t="e">
        <f>IF(#REF! = "yes", 1, 0)</f>
        <v>#REF!</v>
      </c>
      <c r="W770" t="e">
        <f>IF(#REF! &lt;= 1, "0-1 Calls", IF(#REF! &lt;= 3, "2-3 Calls", IF(#REF! &lt;=5, "4-5 Calls", "6+ Calls")))</f>
        <v>#REF!</v>
      </c>
      <c r="X770" t="e">
        <f>IF(#REF! &lt;= 50, "0-50", IF(#REF! &lt;=100, "51-100", IF(#REF! &lt;= 150, "101-150", "151+")))</f>
        <v>#REF!</v>
      </c>
      <c r="Y770" t="e">
        <f>IF(#REF! &lt;= 3, "Low Charges", "High Charges")</f>
        <v>#REF!</v>
      </c>
      <c r="Z770" t="e">
        <f>IF(#REF!&lt;=80,"Low Calls",
IF(#REF!&lt;=120,"Medium Calls","High Calls"))</f>
        <v>#REF!</v>
      </c>
      <c r="AA770" t="e">
        <f>IF(#REF!&lt;=15,"Low Charges",
IF(#REF!&lt;=20,"Medium Charges","High Charges"))</f>
        <v>#REF!</v>
      </c>
      <c r="AB770" t="e">
        <f>IF(AND(#REF!&gt;180, #REF!&gt;200), "Heavy Doemstic User", IF(#REF!&gt;10, "Interntional User", IF(AND(#REF!&lt;180, #REF!&lt;200,#REF!&lt;200), "Light User", "Balanced User")))</f>
        <v>#REF!</v>
      </c>
      <c r="AC770" t="e">
        <f>IF(#REF! = 0, "No Usage", IF(#REF! &lt;= 20, "Low Usage", IF(#REF! &lt;= 40, "Medium Usgae", "High Usage")))</f>
        <v>#REF!</v>
      </c>
      <c r="AD770" t="e">
        <f>IF(#REF!&lt;=150,"Low Usage", IF(#REF!&lt;=200,"Medium Usage", IF(#REF!&lt;=250,"High Usage","Very High Usage")))</f>
        <v>#REF!</v>
      </c>
      <c r="AE770" t="e">
        <f>IF(#REF!&lt;=5,"Low Calls", IF(#REF!&lt;=10, "Medium Calls", "High Calls"))</f>
        <v>#REF!</v>
      </c>
      <c r="AF770" t="e">
        <f xml:space="preserve">
IF(#REF!&gt;=4,4,0)+
IF(#REF!="yes",3,0)+
IF(#REF!="High Charges",3,0)+
IF(#REF!&gt;250,4,0)+
IF(#REF!="no",1,0)+
IF(#REF!="Heavy Domestic User",2,0)</f>
        <v>#REF!</v>
      </c>
      <c r="AG770" t="e">
        <f>IF(#REF!&gt;=10,"High Risk", IF(#REF!&gt;=5,"Medium Risk","Low Risk"))</f>
        <v>#REF!</v>
      </c>
      <c r="AH770" t="e">
        <f>#REF! + #REF! + #REF! + #REF!</f>
        <v>#REF!</v>
      </c>
    </row>
    <row r="771" spans="1:34" x14ac:dyDescent="0.35">
      <c r="A771">
        <v>770</v>
      </c>
      <c r="B771" t="s">
        <v>38</v>
      </c>
      <c r="C771">
        <v>143</v>
      </c>
      <c r="D771" t="s">
        <v>28</v>
      </c>
      <c r="E771" t="s">
        <v>22</v>
      </c>
      <c r="F771" t="s">
        <v>22</v>
      </c>
      <c r="G771">
        <v>0</v>
      </c>
      <c r="H771">
        <v>110.1</v>
      </c>
      <c r="I771">
        <v>113</v>
      </c>
      <c r="J771">
        <v>18.72</v>
      </c>
      <c r="K771">
        <v>169</v>
      </c>
      <c r="L771">
        <v>59</v>
      </c>
      <c r="M771">
        <v>14.37</v>
      </c>
      <c r="N771">
        <v>166.7</v>
      </c>
      <c r="O771">
        <v>94</v>
      </c>
      <c r="P771">
        <v>7.5</v>
      </c>
      <c r="Q771">
        <v>9.1999999999999993</v>
      </c>
      <c r="R771">
        <v>2</v>
      </c>
      <c r="S771">
        <v>2.48</v>
      </c>
      <c r="T771">
        <v>1</v>
      </c>
      <c r="U771" t="s">
        <v>22</v>
      </c>
      <c r="V771" t="e">
        <f>IF(#REF! = "yes", 1, 0)</f>
        <v>#REF!</v>
      </c>
      <c r="W771" t="e">
        <f>IF(#REF! &lt;= 1, "0-1 Calls", IF(#REF! &lt;= 3, "2-3 Calls", IF(#REF! &lt;=5, "4-5 Calls", "6+ Calls")))</f>
        <v>#REF!</v>
      </c>
      <c r="X771" t="e">
        <f>IF(#REF! &lt;= 50, "0-50", IF(#REF! &lt;=100, "51-100", IF(#REF! &lt;= 150, "101-150", "151+")))</f>
        <v>#REF!</v>
      </c>
      <c r="Y771" t="e">
        <f>IF(#REF! &lt;= 3, "Low Charges", "High Charges")</f>
        <v>#REF!</v>
      </c>
      <c r="Z771" t="e">
        <f>IF(#REF!&lt;=80,"Low Calls",
IF(#REF!&lt;=120,"Medium Calls","High Calls"))</f>
        <v>#REF!</v>
      </c>
      <c r="AA771" t="e">
        <f>IF(#REF!&lt;=15,"Low Charges",
IF(#REF!&lt;=20,"Medium Charges","High Charges"))</f>
        <v>#REF!</v>
      </c>
      <c r="AB771" t="e">
        <f>IF(AND(#REF!&gt;180, #REF!&gt;200), "Heavy Doemstic User", IF(#REF!&gt;10, "Interntional User", IF(AND(#REF!&lt;180, #REF!&lt;200,#REF!&lt;200), "Light User", "Balanced User")))</f>
        <v>#REF!</v>
      </c>
      <c r="AC771" t="e">
        <f>IF(#REF! = 0, "No Usage", IF(#REF! &lt;= 20, "Low Usage", IF(#REF! &lt;= 40, "Medium Usgae", "High Usage")))</f>
        <v>#REF!</v>
      </c>
      <c r="AD771" t="e">
        <f>IF(#REF!&lt;=150,"Low Usage", IF(#REF!&lt;=200,"Medium Usage", IF(#REF!&lt;=250,"High Usage","Very High Usage")))</f>
        <v>#REF!</v>
      </c>
      <c r="AE771" t="e">
        <f>IF(#REF!&lt;=5,"Low Calls", IF(#REF!&lt;=10, "Medium Calls", "High Calls"))</f>
        <v>#REF!</v>
      </c>
      <c r="AF771" t="e">
        <f xml:space="preserve">
IF(#REF!&gt;=4,4,0)+
IF(#REF!="yes",3,0)+
IF(#REF!="High Charges",3,0)+
IF(#REF!&gt;250,4,0)+
IF(#REF!="no",1,0)+
IF(#REF!="Heavy Domestic User",2,0)</f>
        <v>#REF!</v>
      </c>
      <c r="AG771" t="e">
        <f>IF(#REF!&gt;=10,"High Risk", IF(#REF!&gt;=5,"Medium Risk","Low Risk"))</f>
        <v>#REF!</v>
      </c>
      <c r="AH771" t="e">
        <f>#REF! + #REF! + #REF! + #REF!</f>
        <v>#REF!</v>
      </c>
    </row>
    <row r="772" spans="1:34" x14ac:dyDescent="0.35">
      <c r="A772">
        <v>771</v>
      </c>
      <c r="B772" t="s">
        <v>33</v>
      </c>
      <c r="C772">
        <v>65</v>
      </c>
      <c r="D772" t="s">
        <v>21</v>
      </c>
      <c r="E772" t="s">
        <v>22</v>
      </c>
      <c r="F772" t="s">
        <v>22</v>
      </c>
      <c r="G772">
        <v>0</v>
      </c>
      <c r="H772">
        <v>111</v>
      </c>
      <c r="I772">
        <v>51</v>
      </c>
      <c r="J772">
        <v>18.87</v>
      </c>
      <c r="K772">
        <v>219.8</v>
      </c>
      <c r="L772">
        <v>84</v>
      </c>
      <c r="M772">
        <v>18.68</v>
      </c>
      <c r="N772">
        <v>202</v>
      </c>
      <c r="O772">
        <v>89</v>
      </c>
      <c r="P772">
        <v>9.09</v>
      </c>
      <c r="Q772">
        <v>4.4000000000000004</v>
      </c>
      <c r="R772">
        <v>14</v>
      </c>
      <c r="S772">
        <v>1.19</v>
      </c>
      <c r="T772">
        <v>1</v>
      </c>
      <c r="U772" t="s">
        <v>22</v>
      </c>
      <c r="V772" t="e">
        <f>IF(#REF! = "yes", 1, 0)</f>
        <v>#REF!</v>
      </c>
      <c r="W772" t="e">
        <f>IF(#REF! &lt;= 1, "0-1 Calls", IF(#REF! &lt;= 3, "2-3 Calls", IF(#REF! &lt;=5, "4-5 Calls", "6+ Calls")))</f>
        <v>#REF!</v>
      </c>
      <c r="X772" t="e">
        <f>IF(#REF! &lt;= 50, "0-50", IF(#REF! &lt;=100, "51-100", IF(#REF! &lt;= 150, "101-150", "151+")))</f>
        <v>#REF!</v>
      </c>
      <c r="Y772" t="e">
        <f>IF(#REF! &lt;= 3, "Low Charges", "High Charges")</f>
        <v>#REF!</v>
      </c>
      <c r="Z772" t="e">
        <f>IF(#REF!&lt;=80,"Low Calls",
IF(#REF!&lt;=120,"Medium Calls","High Calls"))</f>
        <v>#REF!</v>
      </c>
      <c r="AA772" t="e">
        <f>IF(#REF!&lt;=15,"Low Charges",
IF(#REF!&lt;=20,"Medium Charges","High Charges"))</f>
        <v>#REF!</v>
      </c>
      <c r="AB772" t="e">
        <f>IF(AND(#REF!&gt;180, #REF!&gt;200), "Heavy Doemstic User", IF(#REF!&gt;10, "Interntional User", IF(AND(#REF!&lt;180, #REF!&lt;200,#REF!&lt;200), "Light User", "Balanced User")))</f>
        <v>#REF!</v>
      </c>
      <c r="AC772" t="e">
        <f>IF(#REF! = 0, "No Usage", IF(#REF! &lt;= 20, "Low Usage", IF(#REF! &lt;= 40, "Medium Usgae", "High Usage")))</f>
        <v>#REF!</v>
      </c>
      <c r="AD772" t="e">
        <f>IF(#REF!&lt;=150,"Low Usage", IF(#REF!&lt;=200,"Medium Usage", IF(#REF!&lt;=250,"High Usage","Very High Usage")))</f>
        <v>#REF!</v>
      </c>
      <c r="AE772" t="e">
        <f>IF(#REF!&lt;=5,"Low Calls", IF(#REF!&lt;=10, "Medium Calls", "High Calls"))</f>
        <v>#REF!</v>
      </c>
      <c r="AF772" t="e">
        <f xml:space="preserve">
IF(#REF!&gt;=4,4,0)+
IF(#REF!="yes",3,0)+
IF(#REF!="High Charges",3,0)+
IF(#REF!&gt;250,4,0)+
IF(#REF!="no",1,0)+
IF(#REF!="Heavy Domestic User",2,0)</f>
        <v>#REF!</v>
      </c>
      <c r="AG772" t="e">
        <f>IF(#REF!&gt;=10,"High Risk", IF(#REF!&gt;=5,"Medium Risk","Low Risk"))</f>
        <v>#REF!</v>
      </c>
      <c r="AH772" t="e">
        <f>#REF! + #REF! + #REF! + #REF!</f>
        <v>#REF!</v>
      </c>
    </row>
    <row r="773" spans="1:34" x14ac:dyDescent="0.35">
      <c r="A773">
        <v>772</v>
      </c>
      <c r="B773" t="s">
        <v>67</v>
      </c>
      <c r="C773">
        <v>1</v>
      </c>
      <c r="D773" t="s">
        <v>21</v>
      </c>
      <c r="E773" t="s">
        <v>22</v>
      </c>
      <c r="F773" t="s">
        <v>22</v>
      </c>
      <c r="G773">
        <v>0</v>
      </c>
      <c r="H773">
        <v>144.80000000000001</v>
      </c>
      <c r="I773">
        <v>107</v>
      </c>
      <c r="J773">
        <v>24.62</v>
      </c>
      <c r="K773">
        <v>112.5</v>
      </c>
      <c r="L773">
        <v>66</v>
      </c>
      <c r="M773">
        <v>9.56</v>
      </c>
      <c r="N773">
        <v>218.7</v>
      </c>
      <c r="O773">
        <v>79</v>
      </c>
      <c r="P773">
        <v>9.84</v>
      </c>
      <c r="Q773">
        <v>13.8</v>
      </c>
      <c r="R773">
        <v>3</v>
      </c>
      <c r="S773">
        <v>3.73</v>
      </c>
      <c r="T773">
        <v>1</v>
      </c>
      <c r="U773" t="s">
        <v>22</v>
      </c>
      <c r="V773" t="e">
        <f>IF(#REF! = "yes", 1, 0)</f>
        <v>#REF!</v>
      </c>
      <c r="W773" t="e">
        <f>IF(#REF! &lt;= 1, "0-1 Calls", IF(#REF! &lt;= 3, "2-3 Calls", IF(#REF! &lt;=5, "4-5 Calls", "6+ Calls")))</f>
        <v>#REF!</v>
      </c>
      <c r="X773" t="e">
        <f>IF(#REF! &lt;= 50, "0-50", IF(#REF! &lt;=100, "51-100", IF(#REF! &lt;= 150, "101-150", "151+")))</f>
        <v>#REF!</v>
      </c>
      <c r="Y773" t="e">
        <f>IF(#REF! &lt;= 3, "Low Charges", "High Charges")</f>
        <v>#REF!</v>
      </c>
      <c r="Z773" t="e">
        <f>IF(#REF!&lt;=80,"Low Calls",
IF(#REF!&lt;=120,"Medium Calls","High Calls"))</f>
        <v>#REF!</v>
      </c>
      <c r="AA773" t="e">
        <f>IF(#REF!&lt;=15,"Low Charges",
IF(#REF!&lt;=20,"Medium Charges","High Charges"))</f>
        <v>#REF!</v>
      </c>
      <c r="AB773" t="e">
        <f>IF(AND(#REF!&gt;180, #REF!&gt;200), "Heavy Doemstic User", IF(#REF!&gt;10, "Interntional User", IF(AND(#REF!&lt;180, #REF!&lt;200,#REF!&lt;200), "Light User", "Balanced User")))</f>
        <v>#REF!</v>
      </c>
      <c r="AC773" t="e">
        <f>IF(#REF! = 0, "No Usage", IF(#REF! &lt;= 20, "Low Usage", IF(#REF! &lt;= 40, "Medium Usgae", "High Usage")))</f>
        <v>#REF!</v>
      </c>
      <c r="AD773" t="e">
        <f>IF(#REF!&lt;=150,"Low Usage", IF(#REF!&lt;=200,"Medium Usage", IF(#REF!&lt;=250,"High Usage","Very High Usage")))</f>
        <v>#REF!</v>
      </c>
      <c r="AE773" t="e">
        <f>IF(#REF!&lt;=5,"Low Calls", IF(#REF!&lt;=10, "Medium Calls", "High Calls"))</f>
        <v>#REF!</v>
      </c>
      <c r="AF773" t="e">
        <f xml:space="preserve">
IF(#REF!&gt;=4,4,0)+
IF(#REF!="yes",3,0)+
IF(#REF!="High Charges",3,0)+
IF(#REF!&gt;250,4,0)+
IF(#REF!="no",1,0)+
IF(#REF!="Heavy Domestic User",2,0)</f>
        <v>#REF!</v>
      </c>
      <c r="AG773" t="e">
        <f>IF(#REF!&gt;=10,"High Risk", IF(#REF!&gt;=5,"Medium Risk","Low Risk"))</f>
        <v>#REF!</v>
      </c>
      <c r="AH773" t="e">
        <f>#REF! + #REF! + #REF! + #REF!</f>
        <v>#REF!</v>
      </c>
    </row>
    <row r="774" spans="1:34" x14ac:dyDescent="0.35">
      <c r="A774">
        <v>773</v>
      </c>
      <c r="B774" t="s">
        <v>65</v>
      </c>
      <c r="C774">
        <v>60</v>
      </c>
      <c r="D774" t="s">
        <v>25</v>
      </c>
      <c r="E774" t="s">
        <v>22</v>
      </c>
      <c r="F774" t="s">
        <v>22</v>
      </c>
      <c r="G774">
        <v>0</v>
      </c>
      <c r="H774">
        <v>135.4</v>
      </c>
      <c r="I774">
        <v>134</v>
      </c>
      <c r="J774">
        <v>23.02</v>
      </c>
      <c r="K774">
        <v>205.9</v>
      </c>
      <c r="L774">
        <v>85</v>
      </c>
      <c r="M774">
        <v>17.5</v>
      </c>
      <c r="N774">
        <v>204</v>
      </c>
      <c r="O774">
        <v>103</v>
      </c>
      <c r="P774">
        <v>9.18</v>
      </c>
      <c r="Q774">
        <v>7.9</v>
      </c>
      <c r="R774">
        <v>4</v>
      </c>
      <c r="S774">
        <v>2.13</v>
      </c>
      <c r="T774">
        <v>1</v>
      </c>
      <c r="U774" t="s">
        <v>22</v>
      </c>
      <c r="V774" t="e">
        <f>IF(#REF! = "yes", 1, 0)</f>
        <v>#REF!</v>
      </c>
      <c r="W774" t="e">
        <f>IF(#REF! &lt;= 1, "0-1 Calls", IF(#REF! &lt;= 3, "2-3 Calls", IF(#REF! &lt;=5, "4-5 Calls", "6+ Calls")))</f>
        <v>#REF!</v>
      </c>
      <c r="X774" t="e">
        <f>IF(#REF! &lt;= 50, "0-50", IF(#REF! &lt;=100, "51-100", IF(#REF! &lt;= 150, "101-150", "151+")))</f>
        <v>#REF!</v>
      </c>
      <c r="Y774" t="e">
        <f>IF(#REF! &lt;= 3, "Low Charges", "High Charges")</f>
        <v>#REF!</v>
      </c>
      <c r="Z774" t="e">
        <f>IF(#REF!&lt;=80,"Low Calls",
IF(#REF!&lt;=120,"Medium Calls","High Calls"))</f>
        <v>#REF!</v>
      </c>
      <c r="AA774" t="e">
        <f>IF(#REF!&lt;=15,"Low Charges",
IF(#REF!&lt;=20,"Medium Charges","High Charges"))</f>
        <v>#REF!</v>
      </c>
      <c r="AB774" t="e">
        <f>IF(AND(#REF!&gt;180, #REF!&gt;200), "Heavy Doemstic User", IF(#REF!&gt;10, "Interntional User", IF(AND(#REF!&lt;180, #REF!&lt;200,#REF!&lt;200), "Light User", "Balanced User")))</f>
        <v>#REF!</v>
      </c>
      <c r="AC774" t="e">
        <f>IF(#REF! = 0, "No Usage", IF(#REF! &lt;= 20, "Low Usage", IF(#REF! &lt;= 40, "Medium Usgae", "High Usage")))</f>
        <v>#REF!</v>
      </c>
      <c r="AD774" t="e">
        <f>IF(#REF!&lt;=150,"Low Usage", IF(#REF!&lt;=200,"Medium Usage", IF(#REF!&lt;=250,"High Usage","Very High Usage")))</f>
        <v>#REF!</v>
      </c>
      <c r="AE774" t="e">
        <f>IF(#REF!&lt;=5,"Low Calls", IF(#REF!&lt;=10, "Medium Calls", "High Calls"))</f>
        <v>#REF!</v>
      </c>
      <c r="AF774" t="e">
        <f xml:space="preserve">
IF(#REF!&gt;=4,4,0)+
IF(#REF!="yes",3,0)+
IF(#REF!="High Charges",3,0)+
IF(#REF!&gt;250,4,0)+
IF(#REF!="no",1,0)+
IF(#REF!="Heavy Domestic User",2,0)</f>
        <v>#REF!</v>
      </c>
      <c r="AG774" t="e">
        <f>IF(#REF!&gt;=10,"High Risk", IF(#REF!&gt;=5,"Medium Risk","Low Risk"))</f>
        <v>#REF!</v>
      </c>
      <c r="AH774" t="e">
        <f>#REF! + #REF! + #REF! + #REF!</f>
        <v>#REF!</v>
      </c>
    </row>
    <row r="775" spans="1:34" x14ac:dyDescent="0.35">
      <c r="A775">
        <v>774</v>
      </c>
      <c r="B775" t="s">
        <v>58</v>
      </c>
      <c r="C775">
        <v>43</v>
      </c>
      <c r="D775" t="s">
        <v>21</v>
      </c>
      <c r="E775" t="s">
        <v>22</v>
      </c>
      <c r="F775" t="s">
        <v>22</v>
      </c>
      <c r="G775">
        <v>0</v>
      </c>
      <c r="H775">
        <v>84.2</v>
      </c>
      <c r="I775">
        <v>134</v>
      </c>
      <c r="J775">
        <v>14.31</v>
      </c>
      <c r="K775">
        <v>80.8</v>
      </c>
      <c r="L775">
        <v>103</v>
      </c>
      <c r="M775">
        <v>6.87</v>
      </c>
      <c r="N775">
        <v>196.1</v>
      </c>
      <c r="O775">
        <v>79</v>
      </c>
      <c r="P775">
        <v>8.82</v>
      </c>
      <c r="Q775">
        <v>10.8</v>
      </c>
      <c r="R775">
        <v>2</v>
      </c>
      <c r="S775">
        <v>2.92</v>
      </c>
      <c r="T775">
        <v>1</v>
      </c>
      <c r="U775" t="s">
        <v>22</v>
      </c>
      <c r="V775" t="e">
        <f>IF(#REF! = "yes", 1, 0)</f>
        <v>#REF!</v>
      </c>
      <c r="W775" t="e">
        <f>IF(#REF! &lt;= 1, "0-1 Calls", IF(#REF! &lt;= 3, "2-3 Calls", IF(#REF! &lt;=5, "4-5 Calls", "6+ Calls")))</f>
        <v>#REF!</v>
      </c>
      <c r="X775" t="e">
        <f>IF(#REF! &lt;= 50, "0-50", IF(#REF! &lt;=100, "51-100", IF(#REF! &lt;= 150, "101-150", "151+")))</f>
        <v>#REF!</v>
      </c>
      <c r="Y775" t="e">
        <f>IF(#REF! &lt;= 3, "Low Charges", "High Charges")</f>
        <v>#REF!</v>
      </c>
      <c r="Z775" t="e">
        <f>IF(#REF!&lt;=80,"Low Calls",
IF(#REF!&lt;=120,"Medium Calls","High Calls"))</f>
        <v>#REF!</v>
      </c>
      <c r="AA775" t="e">
        <f>IF(#REF!&lt;=15,"Low Charges",
IF(#REF!&lt;=20,"Medium Charges","High Charges"))</f>
        <v>#REF!</v>
      </c>
      <c r="AB775" t="e">
        <f>IF(AND(#REF!&gt;180, #REF!&gt;200), "Heavy Doemstic User", IF(#REF!&gt;10, "Interntional User", IF(AND(#REF!&lt;180, #REF!&lt;200,#REF!&lt;200), "Light User", "Balanced User")))</f>
        <v>#REF!</v>
      </c>
      <c r="AC775" t="e">
        <f>IF(#REF! = 0, "No Usage", IF(#REF! &lt;= 20, "Low Usage", IF(#REF! &lt;= 40, "Medium Usgae", "High Usage")))</f>
        <v>#REF!</v>
      </c>
      <c r="AD775" t="e">
        <f>IF(#REF!&lt;=150,"Low Usage", IF(#REF!&lt;=200,"Medium Usage", IF(#REF!&lt;=250,"High Usage","Very High Usage")))</f>
        <v>#REF!</v>
      </c>
      <c r="AE775" t="e">
        <f>IF(#REF!&lt;=5,"Low Calls", IF(#REF!&lt;=10, "Medium Calls", "High Calls"))</f>
        <v>#REF!</v>
      </c>
      <c r="AF775" t="e">
        <f xml:space="preserve">
IF(#REF!&gt;=4,4,0)+
IF(#REF!="yes",3,0)+
IF(#REF!="High Charges",3,0)+
IF(#REF!&gt;250,4,0)+
IF(#REF!="no",1,0)+
IF(#REF!="Heavy Domestic User",2,0)</f>
        <v>#REF!</v>
      </c>
      <c r="AG775" t="e">
        <f>IF(#REF!&gt;=10,"High Risk", IF(#REF!&gt;=5,"Medium Risk","Low Risk"))</f>
        <v>#REF!</v>
      </c>
      <c r="AH775" t="e">
        <f>#REF! + #REF! + #REF! + #REF!</f>
        <v>#REF!</v>
      </c>
    </row>
    <row r="776" spans="1:34" x14ac:dyDescent="0.35">
      <c r="A776">
        <v>775</v>
      </c>
      <c r="B776" t="s">
        <v>62</v>
      </c>
      <c r="C776">
        <v>143</v>
      </c>
      <c r="D776" t="s">
        <v>21</v>
      </c>
      <c r="E776" t="s">
        <v>22</v>
      </c>
      <c r="F776" t="s">
        <v>22</v>
      </c>
      <c r="G776">
        <v>0</v>
      </c>
      <c r="H776">
        <v>209.1</v>
      </c>
      <c r="I776">
        <v>127</v>
      </c>
      <c r="J776">
        <v>35.549999999999997</v>
      </c>
      <c r="K776">
        <v>106.1</v>
      </c>
      <c r="L776">
        <v>80</v>
      </c>
      <c r="M776">
        <v>9.02</v>
      </c>
      <c r="N776">
        <v>179.6</v>
      </c>
      <c r="O776">
        <v>90</v>
      </c>
      <c r="P776">
        <v>8.08</v>
      </c>
      <c r="Q776">
        <v>14</v>
      </c>
      <c r="R776">
        <v>6</v>
      </c>
      <c r="S776">
        <v>3.78</v>
      </c>
      <c r="T776">
        <v>0</v>
      </c>
      <c r="U776" t="s">
        <v>22</v>
      </c>
      <c r="V776" t="e">
        <f>IF(#REF! = "yes", 1, 0)</f>
        <v>#REF!</v>
      </c>
      <c r="W776" t="e">
        <f>IF(#REF! &lt;= 1, "0-1 Calls", IF(#REF! &lt;= 3, "2-3 Calls", IF(#REF! &lt;=5, "4-5 Calls", "6+ Calls")))</f>
        <v>#REF!</v>
      </c>
      <c r="X776" t="e">
        <f>IF(#REF! &lt;= 50, "0-50", IF(#REF! &lt;=100, "51-100", IF(#REF! &lt;= 150, "101-150", "151+")))</f>
        <v>#REF!</v>
      </c>
      <c r="Y776" t="e">
        <f>IF(#REF! &lt;= 3, "Low Charges", "High Charges")</f>
        <v>#REF!</v>
      </c>
      <c r="Z776" t="e">
        <f>IF(#REF!&lt;=80,"Low Calls",
IF(#REF!&lt;=120,"Medium Calls","High Calls"))</f>
        <v>#REF!</v>
      </c>
      <c r="AA776" t="e">
        <f>IF(#REF!&lt;=15,"Low Charges",
IF(#REF!&lt;=20,"Medium Charges","High Charges"))</f>
        <v>#REF!</v>
      </c>
      <c r="AB776" t="e">
        <f>IF(AND(#REF!&gt;180, #REF!&gt;200), "Heavy Doemstic User", IF(#REF!&gt;10, "Interntional User", IF(AND(#REF!&lt;180, #REF!&lt;200,#REF!&lt;200), "Light User", "Balanced User")))</f>
        <v>#REF!</v>
      </c>
      <c r="AC776" t="e">
        <f>IF(#REF! = 0, "No Usage", IF(#REF! &lt;= 20, "Low Usage", IF(#REF! &lt;= 40, "Medium Usgae", "High Usage")))</f>
        <v>#REF!</v>
      </c>
      <c r="AD776" t="e">
        <f>IF(#REF!&lt;=150,"Low Usage", IF(#REF!&lt;=200,"Medium Usage", IF(#REF!&lt;=250,"High Usage","Very High Usage")))</f>
        <v>#REF!</v>
      </c>
      <c r="AE776" t="e">
        <f>IF(#REF!&lt;=5,"Low Calls", IF(#REF!&lt;=10, "Medium Calls", "High Calls"))</f>
        <v>#REF!</v>
      </c>
      <c r="AF776" t="e">
        <f xml:space="preserve">
IF(#REF!&gt;=4,4,0)+
IF(#REF!="yes",3,0)+
IF(#REF!="High Charges",3,0)+
IF(#REF!&gt;250,4,0)+
IF(#REF!="no",1,0)+
IF(#REF!="Heavy Domestic User",2,0)</f>
        <v>#REF!</v>
      </c>
      <c r="AG776" t="e">
        <f>IF(#REF!&gt;=10,"High Risk", IF(#REF!&gt;=5,"Medium Risk","Low Risk"))</f>
        <v>#REF!</v>
      </c>
      <c r="AH776" t="e">
        <f>#REF! + #REF! + #REF! + #REF!</f>
        <v>#REF!</v>
      </c>
    </row>
    <row r="777" spans="1:34" x14ac:dyDescent="0.35">
      <c r="A777">
        <v>776</v>
      </c>
      <c r="B777" t="s">
        <v>55</v>
      </c>
      <c r="C777">
        <v>81</v>
      </c>
      <c r="D777" t="s">
        <v>21</v>
      </c>
      <c r="E777" t="s">
        <v>22</v>
      </c>
      <c r="F777" t="s">
        <v>23</v>
      </c>
      <c r="G777">
        <v>24</v>
      </c>
      <c r="H777">
        <v>130.1</v>
      </c>
      <c r="I777">
        <v>117</v>
      </c>
      <c r="J777">
        <v>22.12</v>
      </c>
      <c r="K777">
        <v>196</v>
      </c>
      <c r="L777">
        <v>61</v>
      </c>
      <c r="M777">
        <v>16.66</v>
      </c>
      <c r="N777">
        <v>139.30000000000001</v>
      </c>
      <c r="O777">
        <v>123</v>
      </c>
      <c r="P777">
        <v>6.27</v>
      </c>
      <c r="Q777">
        <v>11.4</v>
      </c>
      <c r="R777">
        <v>5</v>
      </c>
      <c r="S777">
        <v>3.08</v>
      </c>
      <c r="T777">
        <v>0</v>
      </c>
      <c r="U777" t="s">
        <v>22</v>
      </c>
      <c r="V777" t="e">
        <f>IF(#REF! = "yes", 1, 0)</f>
        <v>#REF!</v>
      </c>
      <c r="W777" t="e">
        <f>IF(#REF! &lt;= 1, "0-1 Calls", IF(#REF! &lt;= 3, "2-3 Calls", IF(#REF! &lt;=5, "4-5 Calls", "6+ Calls")))</f>
        <v>#REF!</v>
      </c>
      <c r="X777" t="e">
        <f>IF(#REF! &lt;= 50, "0-50", IF(#REF! &lt;=100, "51-100", IF(#REF! &lt;= 150, "101-150", "151+")))</f>
        <v>#REF!</v>
      </c>
      <c r="Y777" t="e">
        <f>IF(#REF! &lt;= 3, "Low Charges", "High Charges")</f>
        <v>#REF!</v>
      </c>
      <c r="Z777" t="e">
        <f>IF(#REF!&lt;=80,"Low Calls",
IF(#REF!&lt;=120,"Medium Calls","High Calls"))</f>
        <v>#REF!</v>
      </c>
      <c r="AA777" t="e">
        <f>IF(#REF!&lt;=15,"Low Charges",
IF(#REF!&lt;=20,"Medium Charges","High Charges"))</f>
        <v>#REF!</v>
      </c>
      <c r="AB777" t="e">
        <f>IF(AND(#REF!&gt;180, #REF!&gt;200), "Heavy Doemstic User", IF(#REF!&gt;10, "Interntional User", IF(AND(#REF!&lt;180, #REF!&lt;200,#REF!&lt;200), "Light User", "Balanced User")))</f>
        <v>#REF!</v>
      </c>
      <c r="AC777" t="e">
        <f>IF(#REF! = 0, "No Usage", IF(#REF! &lt;= 20, "Low Usage", IF(#REF! &lt;= 40, "Medium Usgae", "High Usage")))</f>
        <v>#REF!</v>
      </c>
      <c r="AD777" t="e">
        <f>IF(#REF!&lt;=150,"Low Usage", IF(#REF!&lt;=200,"Medium Usage", IF(#REF!&lt;=250,"High Usage","Very High Usage")))</f>
        <v>#REF!</v>
      </c>
      <c r="AE777" t="e">
        <f>IF(#REF!&lt;=5,"Low Calls", IF(#REF!&lt;=10, "Medium Calls", "High Calls"))</f>
        <v>#REF!</v>
      </c>
      <c r="AF777" t="e">
        <f xml:space="preserve">
IF(#REF!&gt;=4,4,0)+
IF(#REF!="yes",3,0)+
IF(#REF!="High Charges",3,0)+
IF(#REF!&gt;250,4,0)+
IF(#REF!="no",1,0)+
IF(#REF!="Heavy Domestic User",2,0)</f>
        <v>#REF!</v>
      </c>
      <c r="AG777" t="e">
        <f>IF(#REF!&gt;=10,"High Risk", IF(#REF!&gt;=5,"Medium Risk","Low Risk"))</f>
        <v>#REF!</v>
      </c>
      <c r="AH777" t="e">
        <f>#REF! + #REF! + #REF! + #REF!</f>
        <v>#REF!</v>
      </c>
    </row>
    <row r="778" spans="1:34" x14ac:dyDescent="0.35">
      <c r="A778">
        <v>777</v>
      </c>
      <c r="B778" t="s">
        <v>45</v>
      </c>
      <c r="C778">
        <v>24</v>
      </c>
      <c r="D778" t="s">
        <v>21</v>
      </c>
      <c r="E778" t="s">
        <v>22</v>
      </c>
      <c r="F778" t="s">
        <v>22</v>
      </c>
      <c r="G778">
        <v>0</v>
      </c>
      <c r="H778">
        <v>241.9</v>
      </c>
      <c r="I778">
        <v>104</v>
      </c>
      <c r="J778">
        <v>41.12</v>
      </c>
      <c r="K778">
        <v>145.19999999999999</v>
      </c>
      <c r="L778">
        <v>112</v>
      </c>
      <c r="M778">
        <v>12.34</v>
      </c>
      <c r="N778">
        <v>214.5</v>
      </c>
      <c r="O778">
        <v>105</v>
      </c>
      <c r="P778">
        <v>9.65</v>
      </c>
      <c r="Q778">
        <v>6.6</v>
      </c>
      <c r="R778">
        <v>5</v>
      </c>
      <c r="S778">
        <v>1.78</v>
      </c>
      <c r="T778">
        <v>1</v>
      </c>
      <c r="U778" t="s">
        <v>22</v>
      </c>
      <c r="V778" t="e">
        <f>IF(#REF! = "yes", 1, 0)</f>
        <v>#REF!</v>
      </c>
      <c r="W778" t="e">
        <f>IF(#REF! &lt;= 1, "0-1 Calls", IF(#REF! &lt;= 3, "2-3 Calls", IF(#REF! &lt;=5, "4-5 Calls", "6+ Calls")))</f>
        <v>#REF!</v>
      </c>
      <c r="X778" t="e">
        <f>IF(#REF! &lt;= 50, "0-50", IF(#REF! &lt;=100, "51-100", IF(#REF! &lt;= 150, "101-150", "151+")))</f>
        <v>#REF!</v>
      </c>
      <c r="Y778" t="e">
        <f>IF(#REF! &lt;= 3, "Low Charges", "High Charges")</f>
        <v>#REF!</v>
      </c>
      <c r="Z778" t="e">
        <f>IF(#REF!&lt;=80,"Low Calls",
IF(#REF!&lt;=120,"Medium Calls","High Calls"))</f>
        <v>#REF!</v>
      </c>
      <c r="AA778" t="e">
        <f>IF(#REF!&lt;=15,"Low Charges",
IF(#REF!&lt;=20,"Medium Charges","High Charges"))</f>
        <v>#REF!</v>
      </c>
      <c r="AB778" t="e">
        <f>IF(AND(#REF!&gt;180, #REF!&gt;200), "Heavy Doemstic User", IF(#REF!&gt;10, "Interntional User", IF(AND(#REF!&lt;180, #REF!&lt;200,#REF!&lt;200), "Light User", "Balanced User")))</f>
        <v>#REF!</v>
      </c>
      <c r="AC778" t="e">
        <f>IF(#REF! = 0, "No Usage", IF(#REF! &lt;= 20, "Low Usage", IF(#REF! &lt;= 40, "Medium Usgae", "High Usage")))</f>
        <v>#REF!</v>
      </c>
      <c r="AD778" t="e">
        <f>IF(#REF!&lt;=150,"Low Usage", IF(#REF!&lt;=200,"Medium Usage", IF(#REF!&lt;=250,"High Usage","Very High Usage")))</f>
        <v>#REF!</v>
      </c>
      <c r="AE778" t="e">
        <f>IF(#REF!&lt;=5,"Low Calls", IF(#REF!&lt;=10, "Medium Calls", "High Calls"))</f>
        <v>#REF!</v>
      </c>
      <c r="AF778" t="e">
        <f xml:space="preserve">
IF(#REF!&gt;=4,4,0)+
IF(#REF!="yes",3,0)+
IF(#REF!="High Charges",3,0)+
IF(#REF!&gt;250,4,0)+
IF(#REF!="no",1,0)+
IF(#REF!="Heavy Domestic User",2,0)</f>
        <v>#REF!</v>
      </c>
      <c r="AG778" t="e">
        <f>IF(#REF!&gt;=10,"High Risk", IF(#REF!&gt;=5,"Medium Risk","Low Risk"))</f>
        <v>#REF!</v>
      </c>
      <c r="AH778" t="e">
        <f>#REF! + #REF! + #REF! + #REF!</f>
        <v>#REF!</v>
      </c>
    </row>
    <row r="779" spans="1:34" x14ac:dyDescent="0.35">
      <c r="A779">
        <v>778</v>
      </c>
      <c r="B779" t="s">
        <v>31</v>
      </c>
      <c r="C779">
        <v>77</v>
      </c>
      <c r="D779" t="s">
        <v>28</v>
      </c>
      <c r="E779" t="s">
        <v>22</v>
      </c>
      <c r="F779" t="s">
        <v>22</v>
      </c>
      <c r="G779">
        <v>0</v>
      </c>
      <c r="H779">
        <v>67.7</v>
      </c>
      <c r="I779">
        <v>68</v>
      </c>
      <c r="J779">
        <v>11.51</v>
      </c>
      <c r="K779">
        <v>195.7</v>
      </c>
      <c r="L779">
        <v>86</v>
      </c>
      <c r="M779">
        <v>16.63</v>
      </c>
      <c r="N779">
        <v>236.5</v>
      </c>
      <c r="O779">
        <v>137</v>
      </c>
      <c r="P779">
        <v>10.64</v>
      </c>
      <c r="Q779">
        <v>12</v>
      </c>
      <c r="R779">
        <v>2</v>
      </c>
      <c r="S779">
        <v>3.24</v>
      </c>
      <c r="T779">
        <v>1</v>
      </c>
      <c r="U779" t="s">
        <v>22</v>
      </c>
      <c r="V779" t="e">
        <f>IF(#REF! = "yes", 1, 0)</f>
        <v>#REF!</v>
      </c>
      <c r="W779" t="e">
        <f>IF(#REF! &lt;= 1, "0-1 Calls", IF(#REF! &lt;= 3, "2-3 Calls", IF(#REF! &lt;=5, "4-5 Calls", "6+ Calls")))</f>
        <v>#REF!</v>
      </c>
      <c r="X779" t="e">
        <f>IF(#REF! &lt;= 50, "0-50", IF(#REF! &lt;=100, "51-100", IF(#REF! &lt;= 150, "101-150", "151+")))</f>
        <v>#REF!</v>
      </c>
      <c r="Y779" t="e">
        <f>IF(#REF! &lt;= 3, "Low Charges", "High Charges")</f>
        <v>#REF!</v>
      </c>
      <c r="Z779" t="e">
        <f>IF(#REF!&lt;=80,"Low Calls",
IF(#REF!&lt;=120,"Medium Calls","High Calls"))</f>
        <v>#REF!</v>
      </c>
      <c r="AA779" t="e">
        <f>IF(#REF!&lt;=15,"Low Charges",
IF(#REF!&lt;=20,"Medium Charges","High Charges"))</f>
        <v>#REF!</v>
      </c>
      <c r="AB779" t="e">
        <f>IF(AND(#REF!&gt;180, #REF!&gt;200), "Heavy Doemstic User", IF(#REF!&gt;10, "Interntional User", IF(AND(#REF!&lt;180, #REF!&lt;200,#REF!&lt;200), "Light User", "Balanced User")))</f>
        <v>#REF!</v>
      </c>
      <c r="AC779" t="e">
        <f>IF(#REF! = 0, "No Usage", IF(#REF! &lt;= 20, "Low Usage", IF(#REF! &lt;= 40, "Medium Usgae", "High Usage")))</f>
        <v>#REF!</v>
      </c>
      <c r="AD779" t="e">
        <f>IF(#REF!&lt;=150,"Low Usage", IF(#REF!&lt;=200,"Medium Usage", IF(#REF!&lt;=250,"High Usage","Very High Usage")))</f>
        <v>#REF!</v>
      </c>
      <c r="AE779" t="e">
        <f>IF(#REF!&lt;=5,"Low Calls", IF(#REF!&lt;=10, "Medium Calls", "High Calls"))</f>
        <v>#REF!</v>
      </c>
      <c r="AF779" t="e">
        <f xml:space="preserve">
IF(#REF!&gt;=4,4,0)+
IF(#REF!="yes",3,0)+
IF(#REF!="High Charges",3,0)+
IF(#REF!&gt;250,4,0)+
IF(#REF!="no",1,0)+
IF(#REF!="Heavy Domestic User",2,0)</f>
        <v>#REF!</v>
      </c>
      <c r="AG779" t="e">
        <f>IF(#REF!&gt;=10,"High Risk", IF(#REF!&gt;=5,"Medium Risk","Low Risk"))</f>
        <v>#REF!</v>
      </c>
      <c r="AH779" t="e">
        <f>#REF! + #REF! + #REF! + #REF!</f>
        <v>#REF!</v>
      </c>
    </row>
    <row r="780" spans="1:34" x14ac:dyDescent="0.35">
      <c r="A780">
        <v>779</v>
      </c>
      <c r="B780" t="s">
        <v>26</v>
      </c>
      <c r="C780">
        <v>74</v>
      </c>
      <c r="D780" t="s">
        <v>21</v>
      </c>
      <c r="E780" t="s">
        <v>22</v>
      </c>
      <c r="F780" t="s">
        <v>22</v>
      </c>
      <c r="G780">
        <v>0</v>
      </c>
      <c r="H780">
        <v>200.4</v>
      </c>
      <c r="I780">
        <v>87</v>
      </c>
      <c r="J780">
        <v>34.07</v>
      </c>
      <c r="K780">
        <v>309.2</v>
      </c>
      <c r="L780">
        <v>105</v>
      </c>
      <c r="M780">
        <v>26.28</v>
      </c>
      <c r="N780">
        <v>152.1</v>
      </c>
      <c r="O780">
        <v>118</v>
      </c>
      <c r="P780">
        <v>6.84</v>
      </c>
      <c r="Q780">
        <v>10</v>
      </c>
      <c r="R780">
        <v>2</v>
      </c>
      <c r="S780">
        <v>2.7</v>
      </c>
      <c r="T780">
        <v>1</v>
      </c>
      <c r="U780" t="s">
        <v>22</v>
      </c>
      <c r="V780" t="e">
        <f>IF(#REF! = "yes", 1, 0)</f>
        <v>#REF!</v>
      </c>
      <c r="W780" t="e">
        <f>IF(#REF! &lt;= 1, "0-1 Calls", IF(#REF! &lt;= 3, "2-3 Calls", IF(#REF! &lt;=5, "4-5 Calls", "6+ Calls")))</f>
        <v>#REF!</v>
      </c>
      <c r="X780" t="e">
        <f>IF(#REF! &lt;= 50, "0-50", IF(#REF! &lt;=100, "51-100", IF(#REF! &lt;= 150, "101-150", "151+")))</f>
        <v>#REF!</v>
      </c>
      <c r="Y780" t="e">
        <f>IF(#REF! &lt;= 3, "Low Charges", "High Charges")</f>
        <v>#REF!</v>
      </c>
      <c r="Z780" t="e">
        <f>IF(#REF!&lt;=80,"Low Calls",
IF(#REF!&lt;=120,"Medium Calls","High Calls"))</f>
        <v>#REF!</v>
      </c>
      <c r="AA780" t="e">
        <f>IF(#REF!&lt;=15,"Low Charges",
IF(#REF!&lt;=20,"Medium Charges","High Charges"))</f>
        <v>#REF!</v>
      </c>
      <c r="AB780" t="e">
        <f>IF(AND(#REF!&gt;180, #REF!&gt;200), "Heavy Doemstic User", IF(#REF!&gt;10, "Interntional User", IF(AND(#REF!&lt;180, #REF!&lt;200,#REF!&lt;200), "Light User", "Balanced User")))</f>
        <v>#REF!</v>
      </c>
      <c r="AC780" t="e">
        <f>IF(#REF! = 0, "No Usage", IF(#REF! &lt;= 20, "Low Usage", IF(#REF! &lt;= 40, "Medium Usgae", "High Usage")))</f>
        <v>#REF!</v>
      </c>
      <c r="AD780" t="e">
        <f>IF(#REF!&lt;=150,"Low Usage", IF(#REF!&lt;=200,"Medium Usage", IF(#REF!&lt;=250,"High Usage","Very High Usage")))</f>
        <v>#REF!</v>
      </c>
      <c r="AE780" t="e">
        <f>IF(#REF!&lt;=5,"Low Calls", IF(#REF!&lt;=10, "Medium Calls", "High Calls"))</f>
        <v>#REF!</v>
      </c>
      <c r="AF780" t="e">
        <f xml:space="preserve">
IF(#REF!&gt;=4,4,0)+
IF(#REF!="yes",3,0)+
IF(#REF!="High Charges",3,0)+
IF(#REF!&gt;250,4,0)+
IF(#REF!="no",1,0)+
IF(#REF!="Heavy Domestic User",2,0)</f>
        <v>#REF!</v>
      </c>
      <c r="AG780" t="e">
        <f>IF(#REF!&gt;=10,"High Risk", IF(#REF!&gt;=5,"Medium Risk","Low Risk"))</f>
        <v>#REF!</v>
      </c>
      <c r="AH780" t="e">
        <f>#REF! + #REF! + #REF! + #REF!</f>
        <v>#REF!</v>
      </c>
    </row>
    <row r="781" spans="1:34" x14ac:dyDescent="0.35">
      <c r="A781">
        <v>780</v>
      </c>
      <c r="B781" t="s">
        <v>65</v>
      </c>
      <c r="C781">
        <v>74</v>
      </c>
      <c r="D781" t="s">
        <v>28</v>
      </c>
      <c r="E781" t="s">
        <v>23</v>
      </c>
      <c r="F781" t="s">
        <v>22</v>
      </c>
      <c r="G781">
        <v>0</v>
      </c>
      <c r="H781">
        <v>125.8</v>
      </c>
      <c r="I781">
        <v>103</v>
      </c>
      <c r="J781">
        <v>21.39</v>
      </c>
      <c r="K781">
        <v>207.7</v>
      </c>
      <c r="L781">
        <v>96</v>
      </c>
      <c r="M781">
        <v>17.649999999999999</v>
      </c>
      <c r="N781">
        <v>207.4</v>
      </c>
      <c r="O781">
        <v>143</v>
      </c>
      <c r="P781">
        <v>9.33</v>
      </c>
      <c r="Q781">
        <v>14.1</v>
      </c>
      <c r="R781">
        <v>4</v>
      </c>
      <c r="S781">
        <v>3.81</v>
      </c>
      <c r="T781">
        <v>1</v>
      </c>
      <c r="U781" t="s">
        <v>23</v>
      </c>
      <c r="V781" t="e">
        <f>IF(#REF! = "yes", 1, 0)</f>
        <v>#REF!</v>
      </c>
      <c r="W781" t="e">
        <f>IF(#REF! &lt;= 1, "0-1 Calls", IF(#REF! &lt;= 3, "2-3 Calls", IF(#REF! &lt;=5, "4-5 Calls", "6+ Calls")))</f>
        <v>#REF!</v>
      </c>
      <c r="X781" t="e">
        <f>IF(#REF! &lt;= 50, "0-50", IF(#REF! &lt;=100, "51-100", IF(#REF! &lt;= 150, "101-150", "151+")))</f>
        <v>#REF!</v>
      </c>
      <c r="Y781" t="e">
        <f>IF(#REF! &lt;= 3, "Low Charges", "High Charges")</f>
        <v>#REF!</v>
      </c>
      <c r="Z781" t="e">
        <f>IF(#REF!&lt;=80,"Low Calls",
IF(#REF!&lt;=120,"Medium Calls","High Calls"))</f>
        <v>#REF!</v>
      </c>
      <c r="AA781" t="e">
        <f>IF(#REF!&lt;=15,"Low Charges",
IF(#REF!&lt;=20,"Medium Charges","High Charges"))</f>
        <v>#REF!</v>
      </c>
      <c r="AB781" t="e">
        <f>IF(AND(#REF!&gt;180, #REF!&gt;200), "Heavy Doemstic User", IF(#REF!&gt;10, "Interntional User", IF(AND(#REF!&lt;180, #REF!&lt;200,#REF!&lt;200), "Light User", "Balanced User")))</f>
        <v>#REF!</v>
      </c>
      <c r="AC781" t="e">
        <f>IF(#REF! = 0, "No Usage", IF(#REF! &lt;= 20, "Low Usage", IF(#REF! &lt;= 40, "Medium Usgae", "High Usage")))</f>
        <v>#REF!</v>
      </c>
      <c r="AD781" t="e">
        <f>IF(#REF!&lt;=150,"Low Usage", IF(#REF!&lt;=200,"Medium Usage", IF(#REF!&lt;=250,"High Usage","Very High Usage")))</f>
        <v>#REF!</v>
      </c>
      <c r="AE781" t="e">
        <f>IF(#REF!&lt;=5,"Low Calls", IF(#REF!&lt;=10, "Medium Calls", "High Calls"))</f>
        <v>#REF!</v>
      </c>
      <c r="AF781" t="e">
        <f xml:space="preserve">
IF(#REF!&gt;=4,4,0)+
IF(#REF!="yes",3,0)+
IF(#REF!="High Charges",3,0)+
IF(#REF!&gt;250,4,0)+
IF(#REF!="no",1,0)+
IF(#REF!="Heavy Domestic User",2,0)</f>
        <v>#REF!</v>
      </c>
      <c r="AG781" t="e">
        <f>IF(#REF!&gt;=10,"High Risk", IF(#REF!&gt;=5,"Medium Risk","Low Risk"))</f>
        <v>#REF!</v>
      </c>
      <c r="AH781" t="e">
        <f>#REF! + #REF! + #REF! + #REF!</f>
        <v>#REF!</v>
      </c>
    </row>
    <row r="782" spans="1:34" x14ac:dyDescent="0.35">
      <c r="A782">
        <v>781</v>
      </c>
      <c r="B782" t="s">
        <v>68</v>
      </c>
      <c r="C782">
        <v>200</v>
      </c>
      <c r="D782" t="s">
        <v>25</v>
      </c>
      <c r="E782" t="s">
        <v>22</v>
      </c>
      <c r="F782" t="s">
        <v>22</v>
      </c>
      <c r="G782">
        <v>0</v>
      </c>
      <c r="H782">
        <v>128.19999999999999</v>
      </c>
      <c r="I782">
        <v>87</v>
      </c>
      <c r="J782">
        <v>21.79</v>
      </c>
      <c r="K782">
        <v>133.19999999999999</v>
      </c>
      <c r="L782">
        <v>105</v>
      </c>
      <c r="M782">
        <v>11.32</v>
      </c>
      <c r="N782">
        <v>177.6</v>
      </c>
      <c r="O782">
        <v>123</v>
      </c>
      <c r="P782">
        <v>7.99</v>
      </c>
      <c r="Q782">
        <v>11.2</v>
      </c>
      <c r="R782">
        <v>2</v>
      </c>
      <c r="S782">
        <v>3.02</v>
      </c>
      <c r="T782">
        <v>1</v>
      </c>
      <c r="U782" t="s">
        <v>22</v>
      </c>
      <c r="V782" t="e">
        <f>IF(#REF! = "yes", 1, 0)</f>
        <v>#REF!</v>
      </c>
      <c r="W782" t="e">
        <f>IF(#REF! &lt;= 1, "0-1 Calls", IF(#REF! &lt;= 3, "2-3 Calls", IF(#REF! &lt;=5, "4-5 Calls", "6+ Calls")))</f>
        <v>#REF!</v>
      </c>
      <c r="X782" t="e">
        <f>IF(#REF! &lt;= 50, "0-50", IF(#REF! &lt;=100, "51-100", IF(#REF! &lt;= 150, "101-150", "151+")))</f>
        <v>#REF!</v>
      </c>
      <c r="Y782" t="e">
        <f>IF(#REF! &lt;= 3, "Low Charges", "High Charges")</f>
        <v>#REF!</v>
      </c>
      <c r="Z782" t="e">
        <f>IF(#REF!&lt;=80,"Low Calls",
IF(#REF!&lt;=120,"Medium Calls","High Calls"))</f>
        <v>#REF!</v>
      </c>
      <c r="AA782" t="e">
        <f>IF(#REF!&lt;=15,"Low Charges",
IF(#REF!&lt;=20,"Medium Charges","High Charges"))</f>
        <v>#REF!</v>
      </c>
      <c r="AB782" t="e">
        <f>IF(AND(#REF!&gt;180, #REF!&gt;200), "Heavy Doemstic User", IF(#REF!&gt;10, "Interntional User", IF(AND(#REF!&lt;180, #REF!&lt;200,#REF!&lt;200), "Light User", "Balanced User")))</f>
        <v>#REF!</v>
      </c>
      <c r="AC782" t="e">
        <f>IF(#REF! = 0, "No Usage", IF(#REF! &lt;= 20, "Low Usage", IF(#REF! &lt;= 40, "Medium Usgae", "High Usage")))</f>
        <v>#REF!</v>
      </c>
      <c r="AD782" t="e">
        <f>IF(#REF!&lt;=150,"Low Usage", IF(#REF!&lt;=200,"Medium Usage", IF(#REF!&lt;=250,"High Usage","Very High Usage")))</f>
        <v>#REF!</v>
      </c>
      <c r="AE782" t="e">
        <f>IF(#REF!&lt;=5,"Low Calls", IF(#REF!&lt;=10, "Medium Calls", "High Calls"))</f>
        <v>#REF!</v>
      </c>
      <c r="AF782" t="e">
        <f xml:space="preserve">
IF(#REF!&gt;=4,4,0)+
IF(#REF!="yes",3,0)+
IF(#REF!="High Charges",3,0)+
IF(#REF!&gt;250,4,0)+
IF(#REF!="no",1,0)+
IF(#REF!="Heavy Domestic User",2,0)</f>
        <v>#REF!</v>
      </c>
      <c r="AG782" t="e">
        <f>IF(#REF!&gt;=10,"High Risk", IF(#REF!&gt;=5,"Medium Risk","Low Risk"))</f>
        <v>#REF!</v>
      </c>
      <c r="AH782" t="e">
        <f>#REF! + #REF! + #REF! + #REF!</f>
        <v>#REF!</v>
      </c>
    </row>
    <row r="783" spans="1:34" x14ac:dyDescent="0.35">
      <c r="A783">
        <v>782</v>
      </c>
      <c r="B783" t="s">
        <v>49</v>
      </c>
      <c r="C783">
        <v>86</v>
      </c>
      <c r="D783" t="s">
        <v>25</v>
      </c>
      <c r="E783" t="s">
        <v>22</v>
      </c>
      <c r="F783" t="s">
        <v>22</v>
      </c>
      <c r="G783">
        <v>0</v>
      </c>
      <c r="H783">
        <v>226.3</v>
      </c>
      <c r="I783">
        <v>88</v>
      </c>
      <c r="J783">
        <v>38.47</v>
      </c>
      <c r="K783">
        <v>223</v>
      </c>
      <c r="L783">
        <v>107</v>
      </c>
      <c r="M783">
        <v>18.96</v>
      </c>
      <c r="N783">
        <v>255.6</v>
      </c>
      <c r="O783">
        <v>92</v>
      </c>
      <c r="P783">
        <v>11.5</v>
      </c>
      <c r="Q783">
        <v>13</v>
      </c>
      <c r="R783">
        <v>3</v>
      </c>
      <c r="S783">
        <v>3.51</v>
      </c>
      <c r="T783">
        <v>4</v>
      </c>
      <c r="U783" t="s">
        <v>22</v>
      </c>
      <c r="V783" t="e">
        <f>IF(#REF! = "yes", 1, 0)</f>
        <v>#REF!</v>
      </c>
      <c r="W783" t="e">
        <f>IF(#REF! &lt;= 1, "0-1 Calls", IF(#REF! &lt;= 3, "2-3 Calls", IF(#REF! &lt;=5, "4-5 Calls", "6+ Calls")))</f>
        <v>#REF!</v>
      </c>
      <c r="X783" t="e">
        <f>IF(#REF! &lt;= 50, "0-50", IF(#REF! &lt;=100, "51-100", IF(#REF! &lt;= 150, "101-150", "151+")))</f>
        <v>#REF!</v>
      </c>
      <c r="Y783" t="e">
        <f>IF(#REF! &lt;= 3, "Low Charges", "High Charges")</f>
        <v>#REF!</v>
      </c>
      <c r="Z783" t="e">
        <f>IF(#REF!&lt;=80,"Low Calls",
IF(#REF!&lt;=120,"Medium Calls","High Calls"))</f>
        <v>#REF!</v>
      </c>
      <c r="AA783" t="e">
        <f>IF(#REF!&lt;=15,"Low Charges",
IF(#REF!&lt;=20,"Medium Charges","High Charges"))</f>
        <v>#REF!</v>
      </c>
      <c r="AB783" t="e">
        <f>IF(AND(#REF!&gt;180, #REF!&gt;200), "Heavy Doemstic User", IF(#REF!&gt;10, "Interntional User", IF(AND(#REF!&lt;180, #REF!&lt;200,#REF!&lt;200), "Light User", "Balanced User")))</f>
        <v>#REF!</v>
      </c>
      <c r="AC783" t="e">
        <f>IF(#REF! = 0, "No Usage", IF(#REF! &lt;= 20, "Low Usage", IF(#REF! &lt;= 40, "Medium Usgae", "High Usage")))</f>
        <v>#REF!</v>
      </c>
      <c r="AD783" t="e">
        <f>IF(#REF!&lt;=150,"Low Usage", IF(#REF!&lt;=200,"Medium Usage", IF(#REF!&lt;=250,"High Usage","Very High Usage")))</f>
        <v>#REF!</v>
      </c>
      <c r="AE783" t="e">
        <f>IF(#REF!&lt;=5,"Low Calls", IF(#REF!&lt;=10, "Medium Calls", "High Calls"))</f>
        <v>#REF!</v>
      </c>
      <c r="AF783" t="e">
        <f xml:space="preserve">
IF(#REF!&gt;=4,4,0)+
IF(#REF!="yes",3,0)+
IF(#REF!="High Charges",3,0)+
IF(#REF!&gt;250,4,0)+
IF(#REF!="no",1,0)+
IF(#REF!="Heavy Domestic User",2,0)</f>
        <v>#REF!</v>
      </c>
      <c r="AG783" t="e">
        <f>IF(#REF!&gt;=10,"High Risk", IF(#REF!&gt;=5,"Medium Risk","Low Risk"))</f>
        <v>#REF!</v>
      </c>
      <c r="AH783" t="e">
        <f>#REF! + #REF! + #REF! + #REF!</f>
        <v>#REF!</v>
      </c>
    </row>
    <row r="784" spans="1:34" x14ac:dyDescent="0.35">
      <c r="A784">
        <v>783</v>
      </c>
      <c r="B784" t="s">
        <v>69</v>
      </c>
      <c r="C784">
        <v>91</v>
      </c>
      <c r="D784" t="s">
        <v>28</v>
      </c>
      <c r="E784" t="s">
        <v>22</v>
      </c>
      <c r="F784" t="s">
        <v>23</v>
      </c>
      <c r="G784">
        <v>37</v>
      </c>
      <c r="H784">
        <v>162.30000000000001</v>
      </c>
      <c r="I784">
        <v>107</v>
      </c>
      <c r="J784">
        <v>27.59</v>
      </c>
      <c r="K784">
        <v>233.9</v>
      </c>
      <c r="L784">
        <v>115</v>
      </c>
      <c r="M784">
        <v>19.88</v>
      </c>
      <c r="N784">
        <v>277.39999999999998</v>
      </c>
      <c r="O784">
        <v>94</v>
      </c>
      <c r="P784">
        <v>12.48</v>
      </c>
      <c r="Q784">
        <v>9.1999999999999993</v>
      </c>
      <c r="R784">
        <v>4</v>
      </c>
      <c r="S784">
        <v>2.48</v>
      </c>
      <c r="T784">
        <v>0</v>
      </c>
      <c r="U784" t="s">
        <v>22</v>
      </c>
      <c r="V784" t="e">
        <f>IF(#REF! = "yes", 1, 0)</f>
        <v>#REF!</v>
      </c>
      <c r="W784" t="e">
        <f>IF(#REF! &lt;= 1, "0-1 Calls", IF(#REF! &lt;= 3, "2-3 Calls", IF(#REF! &lt;=5, "4-5 Calls", "6+ Calls")))</f>
        <v>#REF!</v>
      </c>
      <c r="X784" t="e">
        <f>IF(#REF! &lt;= 50, "0-50", IF(#REF! &lt;=100, "51-100", IF(#REF! &lt;= 150, "101-150", "151+")))</f>
        <v>#REF!</v>
      </c>
      <c r="Y784" t="e">
        <f>IF(#REF! &lt;= 3, "Low Charges", "High Charges")</f>
        <v>#REF!</v>
      </c>
      <c r="Z784" t="e">
        <f>IF(#REF!&lt;=80,"Low Calls",
IF(#REF!&lt;=120,"Medium Calls","High Calls"))</f>
        <v>#REF!</v>
      </c>
      <c r="AA784" t="e">
        <f>IF(#REF!&lt;=15,"Low Charges",
IF(#REF!&lt;=20,"Medium Charges","High Charges"))</f>
        <v>#REF!</v>
      </c>
      <c r="AB784" t="e">
        <f>IF(AND(#REF!&gt;180, #REF!&gt;200), "Heavy Doemstic User", IF(#REF!&gt;10, "Interntional User", IF(AND(#REF!&lt;180, #REF!&lt;200,#REF!&lt;200), "Light User", "Balanced User")))</f>
        <v>#REF!</v>
      </c>
      <c r="AC784" t="e">
        <f>IF(#REF! = 0, "No Usage", IF(#REF! &lt;= 20, "Low Usage", IF(#REF! &lt;= 40, "Medium Usgae", "High Usage")))</f>
        <v>#REF!</v>
      </c>
      <c r="AD784" t="e">
        <f>IF(#REF!&lt;=150,"Low Usage", IF(#REF!&lt;=200,"Medium Usage", IF(#REF!&lt;=250,"High Usage","Very High Usage")))</f>
        <v>#REF!</v>
      </c>
      <c r="AE784" t="e">
        <f>IF(#REF!&lt;=5,"Low Calls", IF(#REF!&lt;=10, "Medium Calls", "High Calls"))</f>
        <v>#REF!</v>
      </c>
      <c r="AF784" t="e">
        <f xml:space="preserve">
IF(#REF!&gt;=4,4,0)+
IF(#REF!="yes",3,0)+
IF(#REF!="High Charges",3,0)+
IF(#REF!&gt;250,4,0)+
IF(#REF!="no",1,0)+
IF(#REF!="Heavy Domestic User",2,0)</f>
        <v>#REF!</v>
      </c>
      <c r="AG784" t="e">
        <f>IF(#REF!&gt;=10,"High Risk", IF(#REF!&gt;=5,"Medium Risk","Low Risk"))</f>
        <v>#REF!</v>
      </c>
      <c r="AH784" t="e">
        <f>#REF! + #REF! + #REF! + #REF!</f>
        <v>#REF!</v>
      </c>
    </row>
    <row r="785" spans="1:34" x14ac:dyDescent="0.35">
      <c r="A785">
        <v>784</v>
      </c>
      <c r="B785" t="s">
        <v>39</v>
      </c>
      <c r="C785">
        <v>130</v>
      </c>
      <c r="D785" t="s">
        <v>21</v>
      </c>
      <c r="E785" t="s">
        <v>22</v>
      </c>
      <c r="F785" t="s">
        <v>22</v>
      </c>
      <c r="G785">
        <v>0</v>
      </c>
      <c r="H785">
        <v>120.5</v>
      </c>
      <c r="I785">
        <v>127</v>
      </c>
      <c r="J785">
        <v>20.49</v>
      </c>
      <c r="K785">
        <v>189.7</v>
      </c>
      <c r="L785">
        <v>52</v>
      </c>
      <c r="M785">
        <v>16.12</v>
      </c>
      <c r="N785">
        <v>270.10000000000002</v>
      </c>
      <c r="O785">
        <v>107</v>
      </c>
      <c r="P785">
        <v>12.15</v>
      </c>
      <c r="Q785">
        <v>14.3</v>
      </c>
      <c r="R785">
        <v>2</v>
      </c>
      <c r="S785">
        <v>3.86</v>
      </c>
      <c r="T785">
        <v>1</v>
      </c>
      <c r="U785" t="s">
        <v>22</v>
      </c>
      <c r="V785" t="e">
        <f>IF(#REF! = "yes", 1, 0)</f>
        <v>#REF!</v>
      </c>
      <c r="W785" t="e">
        <f>IF(#REF! &lt;= 1, "0-1 Calls", IF(#REF! &lt;= 3, "2-3 Calls", IF(#REF! &lt;=5, "4-5 Calls", "6+ Calls")))</f>
        <v>#REF!</v>
      </c>
      <c r="X785" t="e">
        <f>IF(#REF! &lt;= 50, "0-50", IF(#REF! &lt;=100, "51-100", IF(#REF! &lt;= 150, "101-150", "151+")))</f>
        <v>#REF!</v>
      </c>
      <c r="Y785" t="e">
        <f>IF(#REF! &lt;= 3, "Low Charges", "High Charges")</f>
        <v>#REF!</v>
      </c>
      <c r="Z785" t="e">
        <f>IF(#REF!&lt;=80,"Low Calls",
IF(#REF!&lt;=120,"Medium Calls","High Calls"))</f>
        <v>#REF!</v>
      </c>
      <c r="AA785" t="e">
        <f>IF(#REF!&lt;=15,"Low Charges",
IF(#REF!&lt;=20,"Medium Charges","High Charges"))</f>
        <v>#REF!</v>
      </c>
      <c r="AB785" t="e">
        <f>IF(AND(#REF!&gt;180, #REF!&gt;200), "Heavy Doemstic User", IF(#REF!&gt;10, "Interntional User", IF(AND(#REF!&lt;180, #REF!&lt;200,#REF!&lt;200), "Light User", "Balanced User")))</f>
        <v>#REF!</v>
      </c>
      <c r="AC785" t="e">
        <f>IF(#REF! = 0, "No Usage", IF(#REF! &lt;= 20, "Low Usage", IF(#REF! &lt;= 40, "Medium Usgae", "High Usage")))</f>
        <v>#REF!</v>
      </c>
      <c r="AD785" t="e">
        <f>IF(#REF!&lt;=150,"Low Usage", IF(#REF!&lt;=200,"Medium Usage", IF(#REF!&lt;=250,"High Usage","Very High Usage")))</f>
        <v>#REF!</v>
      </c>
      <c r="AE785" t="e">
        <f>IF(#REF!&lt;=5,"Low Calls", IF(#REF!&lt;=10, "Medium Calls", "High Calls"))</f>
        <v>#REF!</v>
      </c>
      <c r="AF785" t="e">
        <f xml:space="preserve">
IF(#REF!&gt;=4,4,0)+
IF(#REF!="yes",3,0)+
IF(#REF!="High Charges",3,0)+
IF(#REF!&gt;250,4,0)+
IF(#REF!="no",1,0)+
IF(#REF!="Heavy Domestic User",2,0)</f>
        <v>#REF!</v>
      </c>
      <c r="AG785" t="e">
        <f>IF(#REF!&gt;=10,"High Risk", IF(#REF!&gt;=5,"Medium Risk","Low Risk"))</f>
        <v>#REF!</v>
      </c>
      <c r="AH785" t="e">
        <f>#REF! + #REF! + #REF! + #REF!</f>
        <v>#REF!</v>
      </c>
    </row>
    <row r="786" spans="1:34" x14ac:dyDescent="0.35">
      <c r="A786">
        <v>785</v>
      </c>
      <c r="B786" t="s">
        <v>20</v>
      </c>
      <c r="C786">
        <v>56</v>
      </c>
      <c r="D786" t="s">
        <v>25</v>
      </c>
      <c r="E786" t="s">
        <v>22</v>
      </c>
      <c r="F786" t="s">
        <v>22</v>
      </c>
      <c r="G786">
        <v>0</v>
      </c>
      <c r="H786">
        <v>91.1</v>
      </c>
      <c r="I786">
        <v>90</v>
      </c>
      <c r="J786">
        <v>15.49</v>
      </c>
      <c r="K786">
        <v>179.3</v>
      </c>
      <c r="L786">
        <v>115</v>
      </c>
      <c r="M786">
        <v>15.24</v>
      </c>
      <c r="N786">
        <v>300.7</v>
      </c>
      <c r="O786">
        <v>89</v>
      </c>
      <c r="P786">
        <v>13.53</v>
      </c>
      <c r="Q786">
        <v>11.9</v>
      </c>
      <c r="R786">
        <v>8</v>
      </c>
      <c r="S786">
        <v>3.21</v>
      </c>
      <c r="T786">
        <v>2</v>
      </c>
      <c r="U786" t="s">
        <v>22</v>
      </c>
      <c r="V786" t="e">
        <f>IF(#REF! = "yes", 1, 0)</f>
        <v>#REF!</v>
      </c>
      <c r="W786" t="e">
        <f>IF(#REF! &lt;= 1, "0-1 Calls", IF(#REF! &lt;= 3, "2-3 Calls", IF(#REF! &lt;=5, "4-5 Calls", "6+ Calls")))</f>
        <v>#REF!</v>
      </c>
      <c r="X786" t="e">
        <f>IF(#REF! &lt;= 50, "0-50", IF(#REF! &lt;=100, "51-100", IF(#REF! &lt;= 150, "101-150", "151+")))</f>
        <v>#REF!</v>
      </c>
      <c r="Y786" t="e">
        <f>IF(#REF! &lt;= 3, "Low Charges", "High Charges")</f>
        <v>#REF!</v>
      </c>
      <c r="Z786" t="e">
        <f>IF(#REF!&lt;=80,"Low Calls",
IF(#REF!&lt;=120,"Medium Calls","High Calls"))</f>
        <v>#REF!</v>
      </c>
      <c r="AA786" t="e">
        <f>IF(#REF!&lt;=15,"Low Charges",
IF(#REF!&lt;=20,"Medium Charges","High Charges"))</f>
        <v>#REF!</v>
      </c>
      <c r="AB786" t="e">
        <f>IF(AND(#REF!&gt;180, #REF!&gt;200), "Heavy Doemstic User", IF(#REF!&gt;10, "Interntional User", IF(AND(#REF!&lt;180, #REF!&lt;200,#REF!&lt;200), "Light User", "Balanced User")))</f>
        <v>#REF!</v>
      </c>
      <c r="AC786" t="e">
        <f>IF(#REF! = 0, "No Usage", IF(#REF! &lt;= 20, "Low Usage", IF(#REF! &lt;= 40, "Medium Usgae", "High Usage")))</f>
        <v>#REF!</v>
      </c>
      <c r="AD786" t="e">
        <f>IF(#REF!&lt;=150,"Low Usage", IF(#REF!&lt;=200,"Medium Usage", IF(#REF!&lt;=250,"High Usage","Very High Usage")))</f>
        <v>#REF!</v>
      </c>
      <c r="AE786" t="e">
        <f>IF(#REF!&lt;=5,"Low Calls", IF(#REF!&lt;=10, "Medium Calls", "High Calls"))</f>
        <v>#REF!</v>
      </c>
      <c r="AF786" t="e">
        <f xml:space="preserve">
IF(#REF!&gt;=4,4,0)+
IF(#REF!="yes",3,0)+
IF(#REF!="High Charges",3,0)+
IF(#REF!&gt;250,4,0)+
IF(#REF!="no",1,0)+
IF(#REF!="Heavy Domestic User",2,0)</f>
        <v>#REF!</v>
      </c>
      <c r="AG786" t="e">
        <f>IF(#REF!&gt;=10,"High Risk", IF(#REF!&gt;=5,"Medium Risk","Low Risk"))</f>
        <v>#REF!</v>
      </c>
      <c r="AH786" t="e">
        <f>#REF! + #REF! + #REF! + #REF!</f>
        <v>#REF!</v>
      </c>
    </row>
    <row r="787" spans="1:34" x14ac:dyDescent="0.35">
      <c r="A787">
        <v>786</v>
      </c>
      <c r="B787" t="s">
        <v>54</v>
      </c>
      <c r="C787">
        <v>117</v>
      </c>
      <c r="D787" t="s">
        <v>21</v>
      </c>
      <c r="E787" t="s">
        <v>22</v>
      </c>
      <c r="F787" t="s">
        <v>22</v>
      </c>
      <c r="G787">
        <v>0</v>
      </c>
      <c r="H787">
        <v>168.8</v>
      </c>
      <c r="I787">
        <v>137</v>
      </c>
      <c r="J787">
        <v>28.7</v>
      </c>
      <c r="K787">
        <v>241.4</v>
      </c>
      <c r="L787">
        <v>107</v>
      </c>
      <c r="M787">
        <v>20.52</v>
      </c>
      <c r="N787">
        <v>204.8</v>
      </c>
      <c r="O787">
        <v>106</v>
      </c>
      <c r="P787">
        <v>9.2200000000000006</v>
      </c>
      <c r="Q787">
        <v>15.5</v>
      </c>
      <c r="R787">
        <v>4</v>
      </c>
      <c r="S787">
        <v>4.1900000000000004</v>
      </c>
      <c r="T787">
        <v>0</v>
      </c>
      <c r="U787" t="s">
        <v>22</v>
      </c>
      <c r="V787" t="e">
        <f>IF(#REF! = "yes", 1, 0)</f>
        <v>#REF!</v>
      </c>
      <c r="W787" t="e">
        <f>IF(#REF! &lt;= 1, "0-1 Calls", IF(#REF! &lt;= 3, "2-3 Calls", IF(#REF! &lt;=5, "4-5 Calls", "6+ Calls")))</f>
        <v>#REF!</v>
      </c>
      <c r="X787" t="e">
        <f>IF(#REF! &lt;= 50, "0-50", IF(#REF! &lt;=100, "51-100", IF(#REF! &lt;= 150, "101-150", "151+")))</f>
        <v>#REF!</v>
      </c>
      <c r="Y787" t="e">
        <f>IF(#REF! &lt;= 3, "Low Charges", "High Charges")</f>
        <v>#REF!</v>
      </c>
      <c r="Z787" t="e">
        <f>IF(#REF!&lt;=80,"Low Calls",
IF(#REF!&lt;=120,"Medium Calls","High Calls"))</f>
        <v>#REF!</v>
      </c>
      <c r="AA787" t="e">
        <f>IF(#REF!&lt;=15,"Low Charges",
IF(#REF!&lt;=20,"Medium Charges","High Charges"))</f>
        <v>#REF!</v>
      </c>
      <c r="AB787" t="e">
        <f>IF(AND(#REF!&gt;180, #REF!&gt;200), "Heavy Doemstic User", IF(#REF!&gt;10, "Interntional User", IF(AND(#REF!&lt;180, #REF!&lt;200,#REF!&lt;200), "Light User", "Balanced User")))</f>
        <v>#REF!</v>
      </c>
      <c r="AC787" t="e">
        <f>IF(#REF! = 0, "No Usage", IF(#REF! &lt;= 20, "Low Usage", IF(#REF! &lt;= 40, "Medium Usgae", "High Usage")))</f>
        <v>#REF!</v>
      </c>
      <c r="AD787" t="e">
        <f>IF(#REF!&lt;=150,"Low Usage", IF(#REF!&lt;=200,"Medium Usage", IF(#REF!&lt;=250,"High Usage","Very High Usage")))</f>
        <v>#REF!</v>
      </c>
      <c r="AE787" t="e">
        <f>IF(#REF!&lt;=5,"Low Calls", IF(#REF!&lt;=10, "Medium Calls", "High Calls"))</f>
        <v>#REF!</v>
      </c>
      <c r="AF787" t="e">
        <f xml:space="preserve">
IF(#REF!&gt;=4,4,0)+
IF(#REF!="yes",3,0)+
IF(#REF!="High Charges",3,0)+
IF(#REF!&gt;250,4,0)+
IF(#REF!="no",1,0)+
IF(#REF!="Heavy Domestic User",2,0)</f>
        <v>#REF!</v>
      </c>
      <c r="AG787" t="e">
        <f>IF(#REF!&gt;=10,"High Risk", IF(#REF!&gt;=5,"Medium Risk","Low Risk"))</f>
        <v>#REF!</v>
      </c>
      <c r="AH787" t="e">
        <f>#REF! + #REF! + #REF! + #REF!</f>
        <v>#REF!</v>
      </c>
    </row>
    <row r="788" spans="1:34" x14ac:dyDescent="0.35">
      <c r="A788">
        <v>787</v>
      </c>
      <c r="B788" t="s">
        <v>34</v>
      </c>
      <c r="C788">
        <v>63</v>
      </c>
      <c r="D788" t="s">
        <v>28</v>
      </c>
      <c r="E788" t="s">
        <v>22</v>
      </c>
      <c r="F788" t="s">
        <v>22</v>
      </c>
      <c r="G788">
        <v>0</v>
      </c>
      <c r="H788">
        <v>153.5</v>
      </c>
      <c r="I788">
        <v>81</v>
      </c>
      <c r="J788">
        <v>26.1</v>
      </c>
      <c r="K788">
        <v>287.3</v>
      </c>
      <c r="L788">
        <v>115</v>
      </c>
      <c r="M788">
        <v>24.42</v>
      </c>
      <c r="N788">
        <v>230.2</v>
      </c>
      <c r="O788">
        <v>85</v>
      </c>
      <c r="P788">
        <v>10.36</v>
      </c>
      <c r="Q788">
        <v>6.5</v>
      </c>
      <c r="R788">
        <v>5</v>
      </c>
      <c r="S788">
        <v>1.76</v>
      </c>
      <c r="T788">
        <v>2</v>
      </c>
      <c r="U788" t="s">
        <v>22</v>
      </c>
      <c r="V788" t="e">
        <f>IF(#REF! = "yes", 1, 0)</f>
        <v>#REF!</v>
      </c>
      <c r="W788" t="e">
        <f>IF(#REF! &lt;= 1, "0-1 Calls", IF(#REF! &lt;= 3, "2-3 Calls", IF(#REF! &lt;=5, "4-5 Calls", "6+ Calls")))</f>
        <v>#REF!</v>
      </c>
      <c r="X788" t="e">
        <f>IF(#REF! &lt;= 50, "0-50", IF(#REF! &lt;=100, "51-100", IF(#REF! &lt;= 150, "101-150", "151+")))</f>
        <v>#REF!</v>
      </c>
      <c r="Y788" t="e">
        <f>IF(#REF! &lt;= 3, "Low Charges", "High Charges")</f>
        <v>#REF!</v>
      </c>
      <c r="Z788" t="e">
        <f>IF(#REF!&lt;=80,"Low Calls",
IF(#REF!&lt;=120,"Medium Calls","High Calls"))</f>
        <v>#REF!</v>
      </c>
      <c r="AA788" t="e">
        <f>IF(#REF!&lt;=15,"Low Charges",
IF(#REF!&lt;=20,"Medium Charges","High Charges"))</f>
        <v>#REF!</v>
      </c>
      <c r="AB788" t="e">
        <f>IF(AND(#REF!&gt;180, #REF!&gt;200), "Heavy Doemstic User", IF(#REF!&gt;10, "Interntional User", IF(AND(#REF!&lt;180, #REF!&lt;200,#REF!&lt;200), "Light User", "Balanced User")))</f>
        <v>#REF!</v>
      </c>
      <c r="AC788" t="e">
        <f>IF(#REF! = 0, "No Usage", IF(#REF! &lt;= 20, "Low Usage", IF(#REF! &lt;= 40, "Medium Usgae", "High Usage")))</f>
        <v>#REF!</v>
      </c>
      <c r="AD788" t="e">
        <f>IF(#REF!&lt;=150,"Low Usage", IF(#REF!&lt;=200,"Medium Usage", IF(#REF!&lt;=250,"High Usage","Very High Usage")))</f>
        <v>#REF!</v>
      </c>
      <c r="AE788" t="e">
        <f>IF(#REF!&lt;=5,"Low Calls", IF(#REF!&lt;=10, "Medium Calls", "High Calls"))</f>
        <v>#REF!</v>
      </c>
      <c r="AF788" t="e">
        <f xml:space="preserve">
IF(#REF!&gt;=4,4,0)+
IF(#REF!="yes",3,0)+
IF(#REF!="High Charges",3,0)+
IF(#REF!&gt;250,4,0)+
IF(#REF!="no",1,0)+
IF(#REF!="Heavy Domestic User",2,0)</f>
        <v>#REF!</v>
      </c>
      <c r="AG788" t="e">
        <f>IF(#REF!&gt;=10,"High Risk", IF(#REF!&gt;=5,"Medium Risk","Low Risk"))</f>
        <v>#REF!</v>
      </c>
      <c r="AH788" t="e">
        <f>#REF! + #REF! + #REF! + #REF!</f>
        <v>#REF!</v>
      </c>
    </row>
    <row r="789" spans="1:34" x14ac:dyDescent="0.35">
      <c r="A789">
        <v>788</v>
      </c>
      <c r="B789" t="s">
        <v>64</v>
      </c>
      <c r="C789">
        <v>126</v>
      </c>
      <c r="D789" t="s">
        <v>21</v>
      </c>
      <c r="E789" t="s">
        <v>22</v>
      </c>
      <c r="F789" t="s">
        <v>22</v>
      </c>
      <c r="G789">
        <v>0</v>
      </c>
      <c r="H789">
        <v>226.2</v>
      </c>
      <c r="I789">
        <v>88</v>
      </c>
      <c r="J789">
        <v>38.450000000000003</v>
      </c>
      <c r="K789">
        <v>140.30000000000001</v>
      </c>
      <c r="L789">
        <v>114</v>
      </c>
      <c r="M789">
        <v>11.93</v>
      </c>
      <c r="N789">
        <v>208.9</v>
      </c>
      <c r="O789">
        <v>110</v>
      </c>
      <c r="P789">
        <v>9.4</v>
      </c>
      <c r="Q789">
        <v>6.4</v>
      </c>
      <c r="R789">
        <v>2</v>
      </c>
      <c r="S789">
        <v>1.73</v>
      </c>
      <c r="T789">
        <v>0</v>
      </c>
      <c r="U789" t="s">
        <v>22</v>
      </c>
      <c r="V789" t="e">
        <f>IF(#REF! = "yes", 1, 0)</f>
        <v>#REF!</v>
      </c>
      <c r="W789" t="e">
        <f>IF(#REF! &lt;= 1, "0-1 Calls", IF(#REF! &lt;= 3, "2-3 Calls", IF(#REF! &lt;=5, "4-5 Calls", "6+ Calls")))</f>
        <v>#REF!</v>
      </c>
      <c r="X789" t="e">
        <f>IF(#REF! &lt;= 50, "0-50", IF(#REF! &lt;=100, "51-100", IF(#REF! &lt;= 150, "101-150", "151+")))</f>
        <v>#REF!</v>
      </c>
      <c r="Y789" t="e">
        <f>IF(#REF! &lt;= 3, "Low Charges", "High Charges")</f>
        <v>#REF!</v>
      </c>
      <c r="Z789" t="e">
        <f>IF(#REF!&lt;=80,"Low Calls",
IF(#REF!&lt;=120,"Medium Calls","High Calls"))</f>
        <v>#REF!</v>
      </c>
      <c r="AA789" t="e">
        <f>IF(#REF!&lt;=15,"Low Charges",
IF(#REF!&lt;=20,"Medium Charges","High Charges"))</f>
        <v>#REF!</v>
      </c>
      <c r="AB789" t="e">
        <f>IF(AND(#REF!&gt;180, #REF!&gt;200), "Heavy Doemstic User", IF(#REF!&gt;10, "Interntional User", IF(AND(#REF!&lt;180, #REF!&lt;200,#REF!&lt;200), "Light User", "Balanced User")))</f>
        <v>#REF!</v>
      </c>
      <c r="AC789" t="e">
        <f>IF(#REF! = 0, "No Usage", IF(#REF! &lt;= 20, "Low Usage", IF(#REF! &lt;= 40, "Medium Usgae", "High Usage")))</f>
        <v>#REF!</v>
      </c>
      <c r="AD789" t="e">
        <f>IF(#REF!&lt;=150,"Low Usage", IF(#REF!&lt;=200,"Medium Usage", IF(#REF!&lt;=250,"High Usage","Very High Usage")))</f>
        <v>#REF!</v>
      </c>
      <c r="AE789" t="e">
        <f>IF(#REF!&lt;=5,"Low Calls", IF(#REF!&lt;=10, "Medium Calls", "High Calls"))</f>
        <v>#REF!</v>
      </c>
      <c r="AF789" t="e">
        <f xml:space="preserve">
IF(#REF!&gt;=4,4,0)+
IF(#REF!="yes",3,0)+
IF(#REF!="High Charges",3,0)+
IF(#REF!&gt;250,4,0)+
IF(#REF!="no",1,0)+
IF(#REF!="Heavy Domestic User",2,0)</f>
        <v>#REF!</v>
      </c>
      <c r="AG789" t="e">
        <f>IF(#REF!&gt;=10,"High Risk", IF(#REF!&gt;=5,"Medium Risk","Low Risk"))</f>
        <v>#REF!</v>
      </c>
      <c r="AH789" t="e">
        <f>#REF! + #REF! + #REF! + #REF!</f>
        <v>#REF!</v>
      </c>
    </row>
    <row r="790" spans="1:34" x14ac:dyDescent="0.35">
      <c r="A790">
        <v>789</v>
      </c>
      <c r="B790" t="s">
        <v>52</v>
      </c>
      <c r="C790">
        <v>132</v>
      </c>
      <c r="D790" t="s">
        <v>28</v>
      </c>
      <c r="E790" t="s">
        <v>22</v>
      </c>
      <c r="F790" t="s">
        <v>22</v>
      </c>
      <c r="G790">
        <v>0</v>
      </c>
      <c r="H790">
        <v>191.9</v>
      </c>
      <c r="I790">
        <v>107</v>
      </c>
      <c r="J790">
        <v>32.619999999999997</v>
      </c>
      <c r="K790">
        <v>206.9</v>
      </c>
      <c r="L790">
        <v>127</v>
      </c>
      <c r="M790">
        <v>17.59</v>
      </c>
      <c r="N790">
        <v>272</v>
      </c>
      <c r="O790">
        <v>88</v>
      </c>
      <c r="P790">
        <v>12.24</v>
      </c>
      <c r="Q790">
        <v>12.6</v>
      </c>
      <c r="R790">
        <v>2</v>
      </c>
      <c r="S790">
        <v>3.4</v>
      </c>
      <c r="T790">
        <v>1</v>
      </c>
      <c r="U790" t="s">
        <v>22</v>
      </c>
      <c r="V790" t="e">
        <f>IF(#REF! = "yes", 1, 0)</f>
        <v>#REF!</v>
      </c>
      <c r="W790" t="e">
        <f>IF(#REF! &lt;= 1, "0-1 Calls", IF(#REF! &lt;= 3, "2-3 Calls", IF(#REF! &lt;=5, "4-5 Calls", "6+ Calls")))</f>
        <v>#REF!</v>
      </c>
      <c r="X790" t="e">
        <f>IF(#REF! &lt;= 50, "0-50", IF(#REF! &lt;=100, "51-100", IF(#REF! &lt;= 150, "101-150", "151+")))</f>
        <v>#REF!</v>
      </c>
      <c r="Y790" t="e">
        <f>IF(#REF! &lt;= 3, "Low Charges", "High Charges")</f>
        <v>#REF!</v>
      </c>
      <c r="Z790" t="e">
        <f>IF(#REF!&lt;=80,"Low Calls",
IF(#REF!&lt;=120,"Medium Calls","High Calls"))</f>
        <v>#REF!</v>
      </c>
      <c r="AA790" t="e">
        <f>IF(#REF!&lt;=15,"Low Charges",
IF(#REF!&lt;=20,"Medium Charges","High Charges"))</f>
        <v>#REF!</v>
      </c>
      <c r="AB790" t="e">
        <f>IF(AND(#REF!&gt;180, #REF!&gt;200), "Heavy Doemstic User", IF(#REF!&gt;10, "Interntional User", IF(AND(#REF!&lt;180, #REF!&lt;200,#REF!&lt;200), "Light User", "Balanced User")))</f>
        <v>#REF!</v>
      </c>
      <c r="AC790" t="e">
        <f>IF(#REF! = 0, "No Usage", IF(#REF! &lt;= 20, "Low Usage", IF(#REF! &lt;= 40, "Medium Usgae", "High Usage")))</f>
        <v>#REF!</v>
      </c>
      <c r="AD790" t="e">
        <f>IF(#REF!&lt;=150,"Low Usage", IF(#REF!&lt;=200,"Medium Usage", IF(#REF!&lt;=250,"High Usage","Very High Usage")))</f>
        <v>#REF!</v>
      </c>
      <c r="AE790" t="e">
        <f>IF(#REF!&lt;=5,"Low Calls", IF(#REF!&lt;=10, "Medium Calls", "High Calls"))</f>
        <v>#REF!</v>
      </c>
      <c r="AF790" t="e">
        <f xml:space="preserve">
IF(#REF!&gt;=4,4,0)+
IF(#REF!="yes",3,0)+
IF(#REF!="High Charges",3,0)+
IF(#REF!&gt;250,4,0)+
IF(#REF!="no",1,0)+
IF(#REF!="Heavy Domestic User",2,0)</f>
        <v>#REF!</v>
      </c>
      <c r="AG790" t="e">
        <f>IF(#REF!&gt;=10,"High Risk", IF(#REF!&gt;=5,"Medium Risk","Low Risk"))</f>
        <v>#REF!</v>
      </c>
      <c r="AH790" t="e">
        <f>#REF! + #REF! + #REF! + #REF!</f>
        <v>#REF!</v>
      </c>
    </row>
    <row r="791" spans="1:34" x14ac:dyDescent="0.35">
      <c r="A791">
        <v>790</v>
      </c>
      <c r="B791" t="s">
        <v>62</v>
      </c>
      <c r="C791">
        <v>81</v>
      </c>
      <c r="D791" t="s">
        <v>21</v>
      </c>
      <c r="E791" t="s">
        <v>22</v>
      </c>
      <c r="F791" t="s">
        <v>23</v>
      </c>
      <c r="G791">
        <v>28</v>
      </c>
      <c r="H791">
        <v>167.9</v>
      </c>
      <c r="I791">
        <v>147</v>
      </c>
      <c r="J791">
        <v>28.54</v>
      </c>
      <c r="K791">
        <v>190.7</v>
      </c>
      <c r="L791">
        <v>105</v>
      </c>
      <c r="M791">
        <v>16.21</v>
      </c>
      <c r="N791">
        <v>193</v>
      </c>
      <c r="O791">
        <v>103</v>
      </c>
      <c r="P791">
        <v>8.69</v>
      </c>
      <c r="Q791">
        <v>9.1999999999999993</v>
      </c>
      <c r="R791">
        <v>6</v>
      </c>
      <c r="S791">
        <v>2.48</v>
      </c>
      <c r="T791">
        <v>4</v>
      </c>
      <c r="U791" t="s">
        <v>23</v>
      </c>
      <c r="V791" t="e">
        <f>IF(#REF! = "yes", 1, 0)</f>
        <v>#REF!</v>
      </c>
      <c r="W791" t="e">
        <f>IF(#REF! &lt;= 1, "0-1 Calls", IF(#REF! &lt;= 3, "2-3 Calls", IF(#REF! &lt;=5, "4-5 Calls", "6+ Calls")))</f>
        <v>#REF!</v>
      </c>
      <c r="X791" t="e">
        <f>IF(#REF! &lt;= 50, "0-50", IF(#REF! &lt;=100, "51-100", IF(#REF! &lt;= 150, "101-150", "151+")))</f>
        <v>#REF!</v>
      </c>
      <c r="Y791" t="e">
        <f>IF(#REF! &lt;= 3, "Low Charges", "High Charges")</f>
        <v>#REF!</v>
      </c>
      <c r="Z791" t="e">
        <f>IF(#REF!&lt;=80,"Low Calls",
IF(#REF!&lt;=120,"Medium Calls","High Calls"))</f>
        <v>#REF!</v>
      </c>
      <c r="AA791" t="e">
        <f>IF(#REF!&lt;=15,"Low Charges",
IF(#REF!&lt;=20,"Medium Charges","High Charges"))</f>
        <v>#REF!</v>
      </c>
      <c r="AB791" t="e">
        <f>IF(AND(#REF!&gt;180, #REF!&gt;200), "Heavy Doemstic User", IF(#REF!&gt;10, "Interntional User", IF(AND(#REF!&lt;180, #REF!&lt;200,#REF!&lt;200), "Light User", "Balanced User")))</f>
        <v>#REF!</v>
      </c>
      <c r="AC791" t="e">
        <f>IF(#REF! = 0, "No Usage", IF(#REF! &lt;= 20, "Low Usage", IF(#REF! &lt;= 40, "Medium Usgae", "High Usage")))</f>
        <v>#REF!</v>
      </c>
      <c r="AD791" t="e">
        <f>IF(#REF!&lt;=150,"Low Usage", IF(#REF!&lt;=200,"Medium Usage", IF(#REF!&lt;=250,"High Usage","Very High Usage")))</f>
        <v>#REF!</v>
      </c>
      <c r="AE791" t="e">
        <f>IF(#REF!&lt;=5,"Low Calls", IF(#REF!&lt;=10, "Medium Calls", "High Calls"))</f>
        <v>#REF!</v>
      </c>
      <c r="AF791" t="e">
        <f xml:space="preserve">
IF(#REF!&gt;=4,4,0)+
IF(#REF!="yes",3,0)+
IF(#REF!="High Charges",3,0)+
IF(#REF!&gt;250,4,0)+
IF(#REF!="no",1,0)+
IF(#REF!="Heavy Domestic User",2,0)</f>
        <v>#REF!</v>
      </c>
      <c r="AG791" t="e">
        <f>IF(#REF!&gt;=10,"High Risk", IF(#REF!&gt;=5,"Medium Risk","Low Risk"))</f>
        <v>#REF!</v>
      </c>
      <c r="AH791" t="e">
        <f>#REF! + #REF! + #REF! + #REF!</f>
        <v>#REF!</v>
      </c>
    </row>
    <row r="792" spans="1:34" x14ac:dyDescent="0.35">
      <c r="A792">
        <v>791</v>
      </c>
      <c r="B792" t="s">
        <v>58</v>
      </c>
      <c r="C792">
        <v>122</v>
      </c>
      <c r="D792" t="s">
        <v>21</v>
      </c>
      <c r="E792" t="s">
        <v>22</v>
      </c>
      <c r="F792" t="s">
        <v>22</v>
      </c>
      <c r="G792">
        <v>0</v>
      </c>
      <c r="H792">
        <v>180</v>
      </c>
      <c r="I792">
        <v>88</v>
      </c>
      <c r="J792">
        <v>30.6</v>
      </c>
      <c r="K792">
        <v>145</v>
      </c>
      <c r="L792">
        <v>77</v>
      </c>
      <c r="M792">
        <v>12.33</v>
      </c>
      <c r="N792">
        <v>233.7</v>
      </c>
      <c r="O792">
        <v>120</v>
      </c>
      <c r="P792">
        <v>10.52</v>
      </c>
      <c r="Q792">
        <v>11.5</v>
      </c>
      <c r="R792">
        <v>6</v>
      </c>
      <c r="S792">
        <v>3.11</v>
      </c>
      <c r="T792">
        <v>2</v>
      </c>
      <c r="U792" t="s">
        <v>22</v>
      </c>
      <c r="V792" t="e">
        <f>IF(#REF! = "yes", 1, 0)</f>
        <v>#REF!</v>
      </c>
      <c r="W792" t="e">
        <f>IF(#REF! &lt;= 1, "0-1 Calls", IF(#REF! &lt;= 3, "2-3 Calls", IF(#REF! &lt;=5, "4-5 Calls", "6+ Calls")))</f>
        <v>#REF!</v>
      </c>
      <c r="X792" t="e">
        <f>IF(#REF! &lt;= 50, "0-50", IF(#REF! &lt;=100, "51-100", IF(#REF! &lt;= 150, "101-150", "151+")))</f>
        <v>#REF!</v>
      </c>
      <c r="Y792" t="e">
        <f>IF(#REF! &lt;= 3, "Low Charges", "High Charges")</f>
        <v>#REF!</v>
      </c>
      <c r="Z792" t="e">
        <f>IF(#REF!&lt;=80,"Low Calls",
IF(#REF!&lt;=120,"Medium Calls","High Calls"))</f>
        <v>#REF!</v>
      </c>
      <c r="AA792" t="e">
        <f>IF(#REF!&lt;=15,"Low Charges",
IF(#REF!&lt;=20,"Medium Charges","High Charges"))</f>
        <v>#REF!</v>
      </c>
      <c r="AB792" t="e">
        <f>IF(AND(#REF!&gt;180, #REF!&gt;200), "Heavy Doemstic User", IF(#REF!&gt;10, "Interntional User", IF(AND(#REF!&lt;180, #REF!&lt;200,#REF!&lt;200), "Light User", "Balanced User")))</f>
        <v>#REF!</v>
      </c>
      <c r="AC792" t="e">
        <f>IF(#REF! = 0, "No Usage", IF(#REF! &lt;= 20, "Low Usage", IF(#REF! &lt;= 40, "Medium Usgae", "High Usage")))</f>
        <v>#REF!</v>
      </c>
      <c r="AD792" t="e">
        <f>IF(#REF!&lt;=150,"Low Usage", IF(#REF!&lt;=200,"Medium Usage", IF(#REF!&lt;=250,"High Usage","Very High Usage")))</f>
        <v>#REF!</v>
      </c>
      <c r="AE792" t="e">
        <f>IF(#REF!&lt;=5,"Low Calls", IF(#REF!&lt;=10, "Medium Calls", "High Calls"))</f>
        <v>#REF!</v>
      </c>
      <c r="AF792" t="e">
        <f xml:space="preserve">
IF(#REF!&gt;=4,4,0)+
IF(#REF!="yes",3,0)+
IF(#REF!="High Charges",3,0)+
IF(#REF!&gt;250,4,0)+
IF(#REF!="no",1,0)+
IF(#REF!="Heavy Domestic User",2,0)</f>
        <v>#REF!</v>
      </c>
      <c r="AG792" t="e">
        <f>IF(#REF!&gt;=10,"High Risk", IF(#REF!&gt;=5,"Medium Risk","Low Risk"))</f>
        <v>#REF!</v>
      </c>
      <c r="AH792" t="e">
        <f>#REF! + #REF! + #REF! + #REF!</f>
        <v>#REF!</v>
      </c>
    </row>
    <row r="793" spans="1:34" x14ac:dyDescent="0.35">
      <c r="A793">
        <v>792</v>
      </c>
      <c r="B793" t="s">
        <v>24</v>
      </c>
      <c r="C793">
        <v>46</v>
      </c>
      <c r="D793" t="s">
        <v>25</v>
      </c>
      <c r="E793" t="s">
        <v>22</v>
      </c>
      <c r="F793" t="s">
        <v>22</v>
      </c>
      <c r="G793">
        <v>0</v>
      </c>
      <c r="H793">
        <v>257.39999999999998</v>
      </c>
      <c r="I793">
        <v>67</v>
      </c>
      <c r="J793">
        <v>43.76</v>
      </c>
      <c r="K793">
        <v>261.10000000000002</v>
      </c>
      <c r="L793">
        <v>91</v>
      </c>
      <c r="M793">
        <v>22.19</v>
      </c>
      <c r="N793">
        <v>204.4</v>
      </c>
      <c r="O793">
        <v>107</v>
      </c>
      <c r="P793">
        <v>9.1999999999999993</v>
      </c>
      <c r="Q793">
        <v>13.4</v>
      </c>
      <c r="R793">
        <v>5</v>
      </c>
      <c r="S793">
        <v>3.62</v>
      </c>
      <c r="T793">
        <v>2</v>
      </c>
      <c r="U793" t="s">
        <v>23</v>
      </c>
      <c r="V793" t="e">
        <f>IF(#REF! = "yes", 1, 0)</f>
        <v>#REF!</v>
      </c>
      <c r="W793" t="e">
        <f>IF(#REF! &lt;= 1, "0-1 Calls", IF(#REF! &lt;= 3, "2-3 Calls", IF(#REF! &lt;=5, "4-5 Calls", "6+ Calls")))</f>
        <v>#REF!</v>
      </c>
      <c r="X793" t="e">
        <f>IF(#REF! &lt;= 50, "0-50", IF(#REF! &lt;=100, "51-100", IF(#REF! &lt;= 150, "101-150", "151+")))</f>
        <v>#REF!</v>
      </c>
      <c r="Y793" t="e">
        <f>IF(#REF! &lt;= 3, "Low Charges", "High Charges")</f>
        <v>#REF!</v>
      </c>
      <c r="Z793" t="e">
        <f>IF(#REF!&lt;=80,"Low Calls",
IF(#REF!&lt;=120,"Medium Calls","High Calls"))</f>
        <v>#REF!</v>
      </c>
      <c r="AA793" t="e">
        <f>IF(#REF!&lt;=15,"Low Charges",
IF(#REF!&lt;=20,"Medium Charges","High Charges"))</f>
        <v>#REF!</v>
      </c>
      <c r="AB793" t="e">
        <f>IF(AND(#REF!&gt;180, #REF!&gt;200), "Heavy Doemstic User", IF(#REF!&gt;10, "Interntional User", IF(AND(#REF!&lt;180, #REF!&lt;200,#REF!&lt;200), "Light User", "Balanced User")))</f>
        <v>#REF!</v>
      </c>
      <c r="AC793" t="e">
        <f>IF(#REF! = 0, "No Usage", IF(#REF! &lt;= 20, "Low Usage", IF(#REF! &lt;= 40, "Medium Usgae", "High Usage")))</f>
        <v>#REF!</v>
      </c>
      <c r="AD793" t="e">
        <f>IF(#REF!&lt;=150,"Low Usage", IF(#REF!&lt;=200,"Medium Usage", IF(#REF!&lt;=250,"High Usage","Very High Usage")))</f>
        <v>#REF!</v>
      </c>
      <c r="AE793" t="e">
        <f>IF(#REF!&lt;=5,"Low Calls", IF(#REF!&lt;=10, "Medium Calls", "High Calls"))</f>
        <v>#REF!</v>
      </c>
      <c r="AF793" t="e">
        <f xml:space="preserve">
IF(#REF!&gt;=4,4,0)+
IF(#REF!="yes",3,0)+
IF(#REF!="High Charges",3,0)+
IF(#REF!&gt;250,4,0)+
IF(#REF!="no",1,0)+
IF(#REF!="Heavy Domestic User",2,0)</f>
        <v>#REF!</v>
      </c>
      <c r="AG793" t="e">
        <f>IF(#REF!&gt;=10,"High Risk", IF(#REF!&gt;=5,"Medium Risk","Low Risk"))</f>
        <v>#REF!</v>
      </c>
      <c r="AH793" t="e">
        <f>#REF! + #REF! + #REF! + #REF!</f>
        <v>#REF!</v>
      </c>
    </row>
    <row r="794" spans="1:34" x14ac:dyDescent="0.35">
      <c r="A794">
        <v>793</v>
      </c>
      <c r="B794" t="s">
        <v>60</v>
      </c>
      <c r="C794">
        <v>150</v>
      </c>
      <c r="D794" t="s">
        <v>21</v>
      </c>
      <c r="E794" t="s">
        <v>22</v>
      </c>
      <c r="F794" t="s">
        <v>23</v>
      </c>
      <c r="G794">
        <v>28</v>
      </c>
      <c r="H794">
        <v>174.4</v>
      </c>
      <c r="I794">
        <v>75</v>
      </c>
      <c r="J794">
        <v>29.65</v>
      </c>
      <c r="K794">
        <v>169.9</v>
      </c>
      <c r="L794">
        <v>80</v>
      </c>
      <c r="M794">
        <v>14.44</v>
      </c>
      <c r="N794">
        <v>201.6</v>
      </c>
      <c r="O794">
        <v>130</v>
      </c>
      <c r="P794">
        <v>9.07</v>
      </c>
      <c r="Q794">
        <v>11</v>
      </c>
      <c r="R794">
        <v>4</v>
      </c>
      <c r="S794">
        <v>2.97</v>
      </c>
      <c r="T794">
        <v>1</v>
      </c>
      <c r="U794" t="s">
        <v>22</v>
      </c>
      <c r="V794" t="e">
        <f>IF(#REF! = "yes", 1, 0)</f>
        <v>#REF!</v>
      </c>
      <c r="W794" t="e">
        <f>IF(#REF! &lt;= 1, "0-1 Calls", IF(#REF! &lt;= 3, "2-3 Calls", IF(#REF! &lt;=5, "4-5 Calls", "6+ Calls")))</f>
        <v>#REF!</v>
      </c>
      <c r="X794" t="e">
        <f>IF(#REF! &lt;= 50, "0-50", IF(#REF! &lt;=100, "51-100", IF(#REF! &lt;= 150, "101-150", "151+")))</f>
        <v>#REF!</v>
      </c>
      <c r="Y794" t="e">
        <f>IF(#REF! &lt;= 3, "Low Charges", "High Charges")</f>
        <v>#REF!</v>
      </c>
      <c r="Z794" t="e">
        <f>IF(#REF!&lt;=80,"Low Calls",
IF(#REF!&lt;=120,"Medium Calls","High Calls"))</f>
        <v>#REF!</v>
      </c>
      <c r="AA794" t="e">
        <f>IF(#REF!&lt;=15,"Low Charges",
IF(#REF!&lt;=20,"Medium Charges","High Charges"))</f>
        <v>#REF!</v>
      </c>
      <c r="AB794" t="e">
        <f>IF(AND(#REF!&gt;180, #REF!&gt;200), "Heavy Doemstic User", IF(#REF!&gt;10, "Interntional User", IF(AND(#REF!&lt;180, #REF!&lt;200,#REF!&lt;200), "Light User", "Balanced User")))</f>
        <v>#REF!</v>
      </c>
      <c r="AC794" t="e">
        <f>IF(#REF! = 0, "No Usage", IF(#REF! &lt;= 20, "Low Usage", IF(#REF! &lt;= 40, "Medium Usgae", "High Usage")))</f>
        <v>#REF!</v>
      </c>
      <c r="AD794" t="e">
        <f>IF(#REF!&lt;=150,"Low Usage", IF(#REF!&lt;=200,"Medium Usage", IF(#REF!&lt;=250,"High Usage","Very High Usage")))</f>
        <v>#REF!</v>
      </c>
      <c r="AE794" t="e">
        <f>IF(#REF!&lt;=5,"Low Calls", IF(#REF!&lt;=10, "Medium Calls", "High Calls"))</f>
        <v>#REF!</v>
      </c>
      <c r="AF794" t="e">
        <f xml:space="preserve">
IF(#REF!&gt;=4,4,0)+
IF(#REF!="yes",3,0)+
IF(#REF!="High Charges",3,0)+
IF(#REF!&gt;250,4,0)+
IF(#REF!="no",1,0)+
IF(#REF!="Heavy Domestic User",2,0)</f>
        <v>#REF!</v>
      </c>
      <c r="AG794" t="e">
        <f>IF(#REF!&gt;=10,"High Risk", IF(#REF!&gt;=5,"Medium Risk","Low Risk"))</f>
        <v>#REF!</v>
      </c>
      <c r="AH794" t="e">
        <f>#REF! + #REF! + #REF! + #REF!</f>
        <v>#REF!</v>
      </c>
    </row>
    <row r="795" spans="1:34" x14ac:dyDescent="0.35">
      <c r="A795">
        <v>794</v>
      </c>
      <c r="B795" t="s">
        <v>37</v>
      </c>
      <c r="C795">
        <v>99</v>
      </c>
      <c r="D795" t="s">
        <v>25</v>
      </c>
      <c r="E795" t="s">
        <v>22</v>
      </c>
      <c r="F795" t="s">
        <v>22</v>
      </c>
      <c r="G795">
        <v>0</v>
      </c>
      <c r="H795">
        <v>159.69999999999999</v>
      </c>
      <c r="I795">
        <v>83</v>
      </c>
      <c r="J795">
        <v>27.15</v>
      </c>
      <c r="K795">
        <v>155.4</v>
      </c>
      <c r="L795">
        <v>121</v>
      </c>
      <c r="M795">
        <v>13.21</v>
      </c>
      <c r="N795">
        <v>255.7</v>
      </c>
      <c r="O795">
        <v>114</v>
      </c>
      <c r="P795">
        <v>11.51</v>
      </c>
      <c r="Q795">
        <v>8.4</v>
      </c>
      <c r="R795">
        <v>3</v>
      </c>
      <c r="S795">
        <v>2.27</v>
      </c>
      <c r="T795">
        <v>1</v>
      </c>
      <c r="U795" t="s">
        <v>22</v>
      </c>
      <c r="V795" t="e">
        <f>IF(#REF! = "yes", 1, 0)</f>
        <v>#REF!</v>
      </c>
      <c r="W795" t="e">
        <f>IF(#REF! &lt;= 1, "0-1 Calls", IF(#REF! &lt;= 3, "2-3 Calls", IF(#REF! &lt;=5, "4-5 Calls", "6+ Calls")))</f>
        <v>#REF!</v>
      </c>
      <c r="X795" t="e">
        <f>IF(#REF! &lt;= 50, "0-50", IF(#REF! &lt;=100, "51-100", IF(#REF! &lt;= 150, "101-150", "151+")))</f>
        <v>#REF!</v>
      </c>
      <c r="Y795" t="e">
        <f>IF(#REF! &lt;= 3, "Low Charges", "High Charges")</f>
        <v>#REF!</v>
      </c>
      <c r="Z795" t="e">
        <f>IF(#REF!&lt;=80,"Low Calls",
IF(#REF!&lt;=120,"Medium Calls","High Calls"))</f>
        <v>#REF!</v>
      </c>
      <c r="AA795" t="e">
        <f>IF(#REF!&lt;=15,"Low Charges",
IF(#REF!&lt;=20,"Medium Charges","High Charges"))</f>
        <v>#REF!</v>
      </c>
      <c r="AB795" t="e">
        <f>IF(AND(#REF!&gt;180, #REF!&gt;200), "Heavy Doemstic User", IF(#REF!&gt;10, "Interntional User", IF(AND(#REF!&lt;180, #REF!&lt;200,#REF!&lt;200), "Light User", "Balanced User")))</f>
        <v>#REF!</v>
      </c>
      <c r="AC795" t="e">
        <f>IF(#REF! = 0, "No Usage", IF(#REF! &lt;= 20, "Low Usage", IF(#REF! &lt;= 40, "Medium Usgae", "High Usage")))</f>
        <v>#REF!</v>
      </c>
      <c r="AD795" t="e">
        <f>IF(#REF!&lt;=150,"Low Usage", IF(#REF!&lt;=200,"Medium Usage", IF(#REF!&lt;=250,"High Usage","Very High Usage")))</f>
        <v>#REF!</v>
      </c>
      <c r="AE795" t="e">
        <f>IF(#REF!&lt;=5,"Low Calls", IF(#REF!&lt;=10, "Medium Calls", "High Calls"))</f>
        <v>#REF!</v>
      </c>
      <c r="AF795" t="e">
        <f xml:space="preserve">
IF(#REF!&gt;=4,4,0)+
IF(#REF!="yes",3,0)+
IF(#REF!="High Charges",3,0)+
IF(#REF!&gt;250,4,0)+
IF(#REF!="no",1,0)+
IF(#REF!="Heavy Domestic User",2,0)</f>
        <v>#REF!</v>
      </c>
      <c r="AG795" t="e">
        <f>IF(#REF!&gt;=10,"High Risk", IF(#REF!&gt;=5,"Medium Risk","Low Risk"))</f>
        <v>#REF!</v>
      </c>
      <c r="AH795" t="e">
        <f>#REF! + #REF! + #REF! + #REF!</f>
        <v>#REF!</v>
      </c>
    </row>
    <row r="796" spans="1:34" x14ac:dyDescent="0.35">
      <c r="A796">
        <v>795</v>
      </c>
      <c r="B796" t="s">
        <v>68</v>
      </c>
      <c r="C796">
        <v>87</v>
      </c>
      <c r="D796" t="s">
        <v>25</v>
      </c>
      <c r="E796" t="s">
        <v>22</v>
      </c>
      <c r="F796" t="s">
        <v>22</v>
      </c>
      <c r="G796">
        <v>0</v>
      </c>
      <c r="H796">
        <v>237.2</v>
      </c>
      <c r="I796">
        <v>124</v>
      </c>
      <c r="J796">
        <v>40.32</v>
      </c>
      <c r="K796">
        <v>222.6</v>
      </c>
      <c r="L796">
        <v>87</v>
      </c>
      <c r="M796">
        <v>18.920000000000002</v>
      </c>
      <c r="N796">
        <v>173.3</v>
      </c>
      <c r="O796">
        <v>81</v>
      </c>
      <c r="P796">
        <v>7.8</v>
      </c>
      <c r="Q796">
        <v>11</v>
      </c>
      <c r="R796">
        <v>3</v>
      </c>
      <c r="S796">
        <v>2.97</v>
      </c>
      <c r="T796">
        <v>1</v>
      </c>
      <c r="U796" t="s">
        <v>22</v>
      </c>
      <c r="V796" t="e">
        <f>IF(#REF! = "yes", 1, 0)</f>
        <v>#REF!</v>
      </c>
      <c r="W796" t="e">
        <f>IF(#REF! &lt;= 1, "0-1 Calls", IF(#REF! &lt;= 3, "2-3 Calls", IF(#REF! &lt;=5, "4-5 Calls", "6+ Calls")))</f>
        <v>#REF!</v>
      </c>
      <c r="X796" t="e">
        <f>IF(#REF! &lt;= 50, "0-50", IF(#REF! &lt;=100, "51-100", IF(#REF! &lt;= 150, "101-150", "151+")))</f>
        <v>#REF!</v>
      </c>
      <c r="Y796" t="e">
        <f>IF(#REF! &lt;= 3, "Low Charges", "High Charges")</f>
        <v>#REF!</v>
      </c>
      <c r="Z796" t="e">
        <f>IF(#REF!&lt;=80,"Low Calls",
IF(#REF!&lt;=120,"Medium Calls","High Calls"))</f>
        <v>#REF!</v>
      </c>
      <c r="AA796" t="e">
        <f>IF(#REF!&lt;=15,"Low Charges",
IF(#REF!&lt;=20,"Medium Charges","High Charges"))</f>
        <v>#REF!</v>
      </c>
      <c r="AB796" t="e">
        <f>IF(AND(#REF!&gt;180, #REF!&gt;200), "Heavy Doemstic User", IF(#REF!&gt;10, "Interntional User", IF(AND(#REF!&lt;180, #REF!&lt;200,#REF!&lt;200), "Light User", "Balanced User")))</f>
        <v>#REF!</v>
      </c>
      <c r="AC796" t="e">
        <f>IF(#REF! = 0, "No Usage", IF(#REF! &lt;= 20, "Low Usage", IF(#REF! &lt;= 40, "Medium Usgae", "High Usage")))</f>
        <v>#REF!</v>
      </c>
      <c r="AD796" t="e">
        <f>IF(#REF!&lt;=150,"Low Usage", IF(#REF!&lt;=200,"Medium Usage", IF(#REF!&lt;=250,"High Usage","Very High Usage")))</f>
        <v>#REF!</v>
      </c>
      <c r="AE796" t="e">
        <f>IF(#REF!&lt;=5,"Low Calls", IF(#REF!&lt;=10, "Medium Calls", "High Calls"))</f>
        <v>#REF!</v>
      </c>
      <c r="AF796" t="e">
        <f xml:space="preserve">
IF(#REF!&gt;=4,4,0)+
IF(#REF!="yes",3,0)+
IF(#REF!="High Charges",3,0)+
IF(#REF!&gt;250,4,0)+
IF(#REF!="no",1,0)+
IF(#REF!="Heavy Domestic User",2,0)</f>
        <v>#REF!</v>
      </c>
      <c r="AG796" t="e">
        <f>IF(#REF!&gt;=10,"High Risk", IF(#REF!&gt;=5,"Medium Risk","Low Risk"))</f>
        <v>#REF!</v>
      </c>
      <c r="AH796" t="e">
        <f>#REF! + #REF! + #REF! + #REF!</f>
        <v>#REF!</v>
      </c>
    </row>
    <row r="797" spans="1:34" x14ac:dyDescent="0.35">
      <c r="A797">
        <v>796</v>
      </c>
      <c r="B797" t="s">
        <v>64</v>
      </c>
      <c r="C797">
        <v>101</v>
      </c>
      <c r="D797" t="s">
        <v>21</v>
      </c>
      <c r="E797" t="s">
        <v>22</v>
      </c>
      <c r="F797" t="s">
        <v>22</v>
      </c>
      <c r="G797">
        <v>0</v>
      </c>
      <c r="H797">
        <v>153.80000000000001</v>
      </c>
      <c r="I797">
        <v>89</v>
      </c>
      <c r="J797">
        <v>26.15</v>
      </c>
      <c r="K797">
        <v>234</v>
      </c>
      <c r="L797">
        <v>89</v>
      </c>
      <c r="M797">
        <v>19.89</v>
      </c>
      <c r="N797">
        <v>196.3</v>
      </c>
      <c r="O797">
        <v>77</v>
      </c>
      <c r="P797">
        <v>8.83</v>
      </c>
      <c r="Q797">
        <v>11.6</v>
      </c>
      <c r="R797">
        <v>2</v>
      </c>
      <c r="S797">
        <v>3.13</v>
      </c>
      <c r="T797">
        <v>4</v>
      </c>
      <c r="U797" t="s">
        <v>22</v>
      </c>
      <c r="V797" t="e">
        <f>IF(#REF! = "yes", 1, 0)</f>
        <v>#REF!</v>
      </c>
      <c r="W797" t="e">
        <f>IF(#REF! &lt;= 1, "0-1 Calls", IF(#REF! &lt;= 3, "2-3 Calls", IF(#REF! &lt;=5, "4-5 Calls", "6+ Calls")))</f>
        <v>#REF!</v>
      </c>
      <c r="X797" t="e">
        <f>IF(#REF! &lt;= 50, "0-50", IF(#REF! &lt;=100, "51-100", IF(#REF! &lt;= 150, "101-150", "151+")))</f>
        <v>#REF!</v>
      </c>
      <c r="Y797" t="e">
        <f>IF(#REF! &lt;= 3, "Low Charges", "High Charges")</f>
        <v>#REF!</v>
      </c>
      <c r="Z797" t="e">
        <f>IF(#REF!&lt;=80,"Low Calls",
IF(#REF!&lt;=120,"Medium Calls","High Calls"))</f>
        <v>#REF!</v>
      </c>
      <c r="AA797" t="e">
        <f>IF(#REF!&lt;=15,"Low Charges",
IF(#REF!&lt;=20,"Medium Charges","High Charges"))</f>
        <v>#REF!</v>
      </c>
      <c r="AB797" t="e">
        <f>IF(AND(#REF!&gt;180, #REF!&gt;200), "Heavy Doemstic User", IF(#REF!&gt;10, "Interntional User", IF(AND(#REF!&lt;180, #REF!&lt;200,#REF!&lt;200), "Light User", "Balanced User")))</f>
        <v>#REF!</v>
      </c>
      <c r="AC797" t="e">
        <f>IF(#REF! = 0, "No Usage", IF(#REF! &lt;= 20, "Low Usage", IF(#REF! &lt;= 40, "Medium Usgae", "High Usage")))</f>
        <v>#REF!</v>
      </c>
      <c r="AD797" t="e">
        <f>IF(#REF!&lt;=150,"Low Usage", IF(#REF!&lt;=200,"Medium Usage", IF(#REF!&lt;=250,"High Usage","Very High Usage")))</f>
        <v>#REF!</v>
      </c>
      <c r="AE797" t="e">
        <f>IF(#REF!&lt;=5,"Low Calls", IF(#REF!&lt;=10, "Medium Calls", "High Calls"))</f>
        <v>#REF!</v>
      </c>
      <c r="AF797" t="e">
        <f xml:space="preserve">
IF(#REF!&gt;=4,4,0)+
IF(#REF!="yes",3,0)+
IF(#REF!="High Charges",3,0)+
IF(#REF!&gt;250,4,0)+
IF(#REF!="no",1,0)+
IF(#REF!="Heavy Domestic User",2,0)</f>
        <v>#REF!</v>
      </c>
      <c r="AG797" t="e">
        <f>IF(#REF!&gt;=10,"High Risk", IF(#REF!&gt;=5,"Medium Risk","Low Risk"))</f>
        <v>#REF!</v>
      </c>
      <c r="AH797" t="e">
        <f>#REF! + #REF! + #REF! + #REF!</f>
        <v>#REF!</v>
      </c>
    </row>
    <row r="798" spans="1:34" x14ac:dyDescent="0.35">
      <c r="A798">
        <v>797</v>
      </c>
      <c r="B798" t="s">
        <v>73</v>
      </c>
      <c r="C798">
        <v>53</v>
      </c>
      <c r="D798" t="s">
        <v>21</v>
      </c>
      <c r="E798" t="s">
        <v>22</v>
      </c>
      <c r="F798" t="s">
        <v>22</v>
      </c>
      <c r="G798">
        <v>0</v>
      </c>
      <c r="H798">
        <v>205.1</v>
      </c>
      <c r="I798">
        <v>86</v>
      </c>
      <c r="J798">
        <v>34.869999999999997</v>
      </c>
      <c r="K798">
        <v>160.5</v>
      </c>
      <c r="L798">
        <v>95</v>
      </c>
      <c r="M798">
        <v>13.64</v>
      </c>
      <c r="N798">
        <v>149.5</v>
      </c>
      <c r="O798">
        <v>142</v>
      </c>
      <c r="P798">
        <v>6.73</v>
      </c>
      <c r="Q798">
        <v>10.7</v>
      </c>
      <c r="R798">
        <v>2</v>
      </c>
      <c r="S798">
        <v>2.89</v>
      </c>
      <c r="T798">
        <v>3</v>
      </c>
      <c r="U798" t="s">
        <v>22</v>
      </c>
      <c r="V798" t="e">
        <f>IF(#REF! = "yes", 1, 0)</f>
        <v>#REF!</v>
      </c>
      <c r="W798" t="e">
        <f>IF(#REF! &lt;= 1, "0-1 Calls", IF(#REF! &lt;= 3, "2-3 Calls", IF(#REF! &lt;=5, "4-5 Calls", "6+ Calls")))</f>
        <v>#REF!</v>
      </c>
      <c r="X798" t="e">
        <f>IF(#REF! &lt;= 50, "0-50", IF(#REF! &lt;=100, "51-100", IF(#REF! &lt;= 150, "101-150", "151+")))</f>
        <v>#REF!</v>
      </c>
      <c r="Y798" t="e">
        <f>IF(#REF! &lt;= 3, "Low Charges", "High Charges")</f>
        <v>#REF!</v>
      </c>
      <c r="Z798" t="e">
        <f>IF(#REF!&lt;=80,"Low Calls",
IF(#REF!&lt;=120,"Medium Calls","High Calls"))</f>
        <v>#REF!</v>
      </c>
      <c r="AA798" t="e">
        <f>IF(#REF!&lt;=15,"Low Charges",
IF(#REF!&lt;=20,"Medium Charges","High Charges"))</f>
        <v>#REF!</v>
      </c>
      <c r="AB798" t="e">
        <f>IF(AND(#REF!&gt;180, #REF!&gt;200), "Heavy Doemstic User", IF(#REF!&gt;10, "Interntional User", IF(AND(#REF!&lt;180, #REF!&lt;200,#REF!&lt;200), "Light User", "Balanced User")))</f>
        <v>#REF!</v>
      </c>
      <c r="AC798" t="e">
        <f>IF(#REF! = 0, "No Usage", IF(#REF! &lt;= 20, "Low Usage", IF(#REF! &lt;= 40, "Medium Usgae", "High Usage")))</f>
        <v>#REF!</v>
      </c>
      <c r="AD798" t="e">
        <f>IF(#REF!&lt;=150,"Low Usage", IF(#REF!&lt;=200,"Medium Usage", IF(#REF!&lt;=250,"High Usage","Very High Usage")))</f>
        <v>#REF!</v>
      </c>
      <c r="AE798" t="e">
        <f>IF(#REF!&lt;=5,"Low Calls", IF(#REF!&lt;=10, "Medium Calls", "High Calls"))</f>
        <v>#REF!</v>
      </c>
      <c r="AF798" t="e">
        <f xml:space="preserve">
IF(#REF!&gt;=4,4,0)+
IF(#REF!="yes",3,0)+
IF(#REF!="High Charges",3,0)+
IF(#REF!&gt;250,4,0)+
IF(#REF!="no",1,0)+
IF(#REF!="Heavy Domestic User",2,0)</f>
        <v>#REF!</v>
      </c>
      <c r="AG798" t="e">
        <f>IF(#REF!&gt;=10,"High Risk", IF(#REF!&gt;=5,"Medium Risk","Low Risk"))</f>
        <v>#REF!</v>
      </c>
      <c r="AH798" t="e">
        <f>#REF! + #REF! + #REF! + #REF!</f>
        <v>#REF!</v>
      </c>
    </row>
    <row r="799" spans="1:34" x14ac:dyDescent="0.35">
      <c r="A799">
        <v>798</v>
      </c>
      <c r="B799" t="s">
        <v>47</v>
      </c>
      <c r="C799">
        <v>132</v>
      </c>
      <c r="D799" t="s">
        <v>21</v>
      </c>
      <c r="E799" t="s">
        <v>22</v>
      </c>
      <c r="F799" t="s">
        <v>23</v>
      </c>
      <c r="G799">
        <v>39</v>
      </c>
      <c r="H799">
        <v>175.7</v>
      </c>
      <c r="I799">
        <v>93</v>
      </c>
      <c r="J799">
        <v>29.87</v>
      </c>
      <c r="K799">
        <v>187.2</v>
      </c>
      <c r="L799">
        <v>94</v>
      </c>
      <c r="M799">
        <v>15.91</v>
      </c>
      <c r="N799">
        <v>225.5</v>
      </c>
      <c r="O799">
        <v>118</v>
      </c>
      <c r="P799">
        <v>10.15</v>
      </c>
      <c r="Q799">
        <v>8.6</v>
      </c>
      <c r="R799">
        <v>3</v>
      </c>
      <c r="S799">
        <v>2.3199999999999998</v>
      </c>
      <c r="T799">
        <v>2</v>
      </c>
      <c r="U799" t="s">
        <v>22</v>
      </c>
      <c r="V799" t="e">
        <f>IF(#REF! = "yes", 1, 0)</f>
        <v>#REF!</v>
      </c>
      <c r="W799" t="e">
        <f>IF(#REF! &lt;= 1, "0-1 Calls", IF(#REF! &lt;= 3, "2-3 Calls", IF(#REF! &lt;=5, "4-5 Calls", "6+ Calls")))</f>
        <v>#REF!</v>
      </c>
      <c r="X799" t="e">
        <f>IF(#REF! &lt;= 50, "0-50", IF(#REF! &lt;=100, "51-100", IF(#REF! &lt;= 150, "101-150", "151+")))</f>
        <v>#REF!</v>
      </c>
      <c r="Y799" t="e">
        <f>IF(#REF! &lt;= 3, "Low Charges", "High Charges")</f>
        <v>#REF!</v>
      </c>
      <c r="Z799" t="e">
        <f>IF(#REF!&lt;=80,"Low Calls",
IF(#REF!&lt;=120,"Medium Calls","High Calls"))</f>
        <v>#REF!</v>
      </c>
      <c r="AA799" t="e">
        <f>IF(#REF!&lt;=15,"Low Charges",
IF(#REF!&lt;=20,"Medium Charges","High Charges"))</f>
        <v>#REF!</v>
      </c>
      <c r="AB799" t="e">
        <f>IF(AND(#REF!&gt;180, #REF!&gt;200), "Heavy Doemstic User", IF(#REF!&gt;10, "Interntional User", IF(AND(#REF!&lt;180, #REF!&lt;200,#REF!&lt;200), "Light User", "Balanced User")))</f>
        <v>#REF!</v>
      </c>
      <c r="AC799" t="e">
        <f>IF(#REF! = 0, "No Usage", IF(#REF! &lt;= 20, "Low Usage", IF(#REF! &lt;= 40, "Medium Usgae", "High Usage")))</f>
        <v>#REF!</v>
      </c>
      <c r="AD799" t="e">
        <f>IF(#REF!&lt;=150,"Low Usage", IF(#REF!&lt;=200,"Medium Usage", IF(#REF!&lt;=250,"High Usage","Very High Usage")))</f>
        <v>#REF!</v>
      </c>
      <c r="AE799" t="e">
        <f>IF(#REF!&lt;=5,"Low Calls", IF(#REF!&lt;=10, "Medium Calls", "High Calls"))</f>
        <v>#REF!</v>
      </c>
      <c r="AF799" t="e">
        <f xml:space="preserve">
IF(#REF!&gt;=4,4,0)+
IF(#REF!="yes",3,0)+
IF(#REF!="High Charges",3,0)+
IF(#REF!&gt;250,4,0)+
IF(#REF!="no",1,0)+
IF(#REF!="Heavy Domestic User",2,0)</f>
        <v>#REF!</v>
      </c>
      <c r="AG799" t="e">
        <f>IF(#REF!&gt;=10,"High Risk", IF(#REF!&gt;=5,"Medium Risk","Low Risk"))</f>
        <v>#REF!</v>
      </c>
      <c r="AH799" t="e">
        <f>#REF! + #REF! + #REF! + #REF!</f>
        <v>#REF!</v>
      </c>
    </row>
    <row r="800" spans="1:34" x14ac:dyDescent="0.35">
      <c r="A800">
        <v>799</v>
      </c>
      <c r="B800" t="s">
        <v>56</v>
      </c>
      <c r="C800">
        <v>158</v>
      </c>
      <c r="D800" t="s">
        <v>28</v>
      </c>
      <c r="E800" t="s">
        <v>22</v>
      </c>
      <c r="F800" t="s">
        <v>22</v>
      </c>
      <c r="G800">
        <v>0</v>
      </c>
      <c r="H800">
        <v>155.9</v>
      </c>
      <c r="I800">
        <v>123</v>
      </c>
      <c r="J800">
        <v>26.5</v>
      </c>
      <c r="K800">
        <v>224.2</v>
      </c>
      <c r="L800">
        <v>112</v>
      </c>
      <c r="M800">
        <v>19.059999999999999</v>
      </c>
      <c r="N800">
        <v>221</v>
      </c>
      <c r="O800">
        <v>116</v>
      </c>
      <c r="P800">
        <v>9.9499999999999993</v>
      </c>
      <c r="Q800">
        <v>8.6</v>
      </c>
      <c r="R800">
        <v>8</v>
      </c>
      <c r="S800">
        <v>2.3199999999999998</v>
      </c>
      <c r="T800">
        <v>2</v>
      </c>
      <c r="U800" t="s">
        <v>22</v>
      </c>
      <c r="V800" t="e">
        <f>IF(#REF! = "yes", 1, 0)</f>
        <v>#REF!</v>
      </c>
      <c r="W800" t="e">
        <f>IF(#REF! &lt;= 1, "0-1 Calls", IF(#REF! &lt;= 3, "2-3 Calls", IF(#REF! &lt;=5, "4-5 Calls", "6+ Calls")))</f>
        <v>#REF!</v>
      </c>
      <c r="X800" t="e">
        <f>IF(#REF! &lt;= 50, "0-50", IF(#REF! &lt;=100, "51-100", IF(#REF! &lt;= 150, "101-150", "151+")))</f>
        <v>#REF!</v>
      </c>
      <c r="Y800" t="e">
        <f>IF(#REF! &lt;= 3, "Low Charges", "High Charges")</f>
        <v>#REF!</v>
      </c>
      <c r="Z800" t="e">
        <f>IF(#REF!&lt;=80,"Low Calls",
IF(#REF!&lt;=120,"Medium Calls","High Calls"))</f>
        <v>#REF!</v>
      </c>
      <c r="AA800" t="e">
        <f>IF(#REF!&lt;=15,"Low Charges",
IF(#REF!&lt;=20,"Medium Charges","High Charges"))</f>
        <v>#REF!</v>
      </c>
      <c r="AB800" t="e">
        <f>IF(AND(#REF!&gt;180, #REF!&gt;200), "Heavy Doemstic User", IF(#REF!&gt;10, "Interntional User", IF(AND(#REF!&lt;180, #REF!&lt;200,#REF!&lt;200), "Light User", "Balanced User")))</f>
        <v>#REF!</v>
      </c>
      <c r="AC800" t="e">
        <f>IF(#REF! = 0, "No Usage", IF(#REF! &lt;= 20, "Low Usage", IF(#REF! &lt;= 40, "Medium Usgae", "High Usage")))</f>
        <v>#REF!</v>
      </c>
      <c r="AD800" t="e">
        <f>IF(#REF!&lt;=150,"Low Usage", IF(#REF!&lt;=200,"Medium Usage", IF(#REF!&lt;=250,"High Usage","Very High Usage")))</f>
        <v>#REF!</v>
      </c>
      <c r="AE800" t="e">
        <f>IF(#REF!&lt;=5,"Low Calls", IF(#REF!&lt;=10, "Medium Calls", "High Calls"))</f>
        <v>#REF!</v>
      </c>
      <c r="AF800" t="e">
        <f xml:space="preserve">
IF(#REF!&gt;=4,4,0)+
IF(#REF!="yes",3,0)+
IF(#REF!="High Charges",3,0)+
IF(#REF!&gt;250,4,0)+
IF(#REF!="no",1,0)+
IF(#REF!="Heavy Domestic User",2,0)</f>
        <v>#REF!</v>
      </c>
      <c r="AG800" t="e">
        <f>IF(#REF!&gt;=10,"High Risk", IF(#REF!&gt;=5,"Medium Risk","Low Risk"))</f>
        <v>#REF!</v>
      </c>
      <c r="AH800" t="e">
        <f>#REF! + #REF! + #REF! + #REF!</f>
        <v>#REF!</v>
      </c>
    </row>
    <row r="801" spans="1:34" x14ac:dyDescent="0.35">
      <c r="A801">
        <v>800</v>
      </c>
      <c r="B801" t="s">
        <v>67</v>
      </c>
      <c r="C801">
        <v>114</v>
      </c>
      <c r="D801" t="s">
        <v>21</v>
      </c>
      <c r="E801" t="s">
        <v>22</v>
      </c>
      <c r="F801" t="s">
        <v>23</v>
      </c>
      <c r="G801">
        <v>34</v>
      </c>
      <c r="H801">
        <v>154.4</v>
      </c>
      <c r="I801">
        <v>109</v>
      </c>
      <c r="J801">
        <v>26.25</v>
      </c>
      <c r="K801">
        <v>221.4</v>
      </c>
      <c r="L801">
        <v>142</v>
      </c>
      <c r="M801">
        <v>18.82</v>
      </c>
      <c r="N801">
        <v>208.5</v>
      </c>
      <c r="O801">
        <v>103</v>
      </c>
      <c r="P801">
        <v>9.3800000000000008</v>
      </c>
      <c r="Q801">
        <v>10.3</v>
      </c>
      <c r="R801">
        <v>5</v>
      </c>
      <c r="S801">
        <v>2.78</v>
      </c>
      <c r="T801">
        <v>0</v>
      </c>
      <c r="U801" t="s">
        <v>22</v>
      </c>
      <c r="V801" t="e">
        <f>IF(#REF! = "yes", 1, 0)</f>
        <v>#REF!</v>
      </c>
      <c r="W801" t="e">
        <f>IF(#REF! &lt;= 1, "0-1 Calls", IF(#REF! &lt;= 3, "2-3 Calls", IF(#REF! &lt;=5, "4-5 Calls", "6+ Calls")))</f>
        <v>#REF!</v>
      </c>
      <c r="X801" t="e">
        <f>IF(#REF! &lt;= 50, "0-50", IF(#REF! &lt;=100, "51-100", IF(#REF! &lt;= 150, "101-150", "151+")))</f>
        <v>#REF!</v>
      </c>
      <c r="Y801" t="e">
        <f>IF(#REF! &lt;= 3, "Low Charges", "High Charges")</f>
        <v>#REF!</v>
      </c>
      <c r="Z801" t="e">
        <f>IF(#REF!&lt;=80,"Low Calls",
IF(#REF!&lt;=120,"Medium Calls","High Calls"))</f>
        <v>#REF!</v>
      </c>
      <c r="AA801" t="e">
        <f>IF(#REF!&lt;=15,"Low Charges",
IF(#REF!&lt;=20,"Medium Charges","High Charges"))</f>
        <v>#REF!</v>
      </c>
      <c r="AB801" t="e">
        <f>IF(AND(#REF!&gt;180, #REF!&gt;200), "Heavy Doemstic User", IF(#REF!&gt;10, "Interntional User", IF(AND(#REF!&lt;180, #REF!&lt;200,#REF!&lt;200), "Light User", "Balanced User")))</f>
        <v>#REF!</v>
      </c>
      <c r="AC801" t="e">
        <f>IF(#REF! = 0, "No Usage", IF(#REF! &lt;= 20, "Low Usage", IF(#REF! &lt;= 40, "Medium Usgae", "High Usage")))</f>
        <v>#REF!</v>
      </c>
      <c r="AD801" t="e">
        <f>IF(#REF!&lt;=150,"Low Usage", IF(#REF!&lt;=200,"Medium Usage", IF(#REF!&lt;=250,"High Usage","Very High Usage")))</f>
        <v>#REF!</v>
      </c>
      <c r="AE801" t="e">
        <f>IF(#REF!&lt;=5,"Low Calls", IF(#REF!&lt;=10, "Medium Calls", "High Calls"))</f>
        <v>#REF!</v>
      </c>
      <c r="AF801" t="e">
        <f xml:space="preserve">
IF(#REF!&gt;=4,4,0)+
IF(#REF!="yes",3,0)+
IF(#REF!="High Charges",3,0)+
IF(#REF!&gt;250,4,0)+
IF(#REF!="no",1,0)+
IF(#REF!="Heavy Domestic User",2,0)</f>
        <v>#REF!</v>
      </c>
      <c r="AG801" t="e">
        <f>IF(#REF!&gt;=10,"High Risk", IF(#REF!&gt;=5,"Medium Risk","Low Risk"))</f>
        <v>#REF!</v>
      </c>
      <c r="AH801" t="e">
        <f>#REF! + #REF! + #REF! + #REF!</f>
        <v>#REF!</v>
      </c>
    </row>
    <row r="802" spans="1:34" x14ac:dyDescent="0.35">
      <c r="A802">
        <v>801</v>
      </c>
      <c r="B802" t="s">
        <v>62</v>
      </c>
      <c r="C802">
        <v>144</v>
      </c>
      <c r="D802" t="s">
        <v>21</v>
      </c>
      <c r="E802" t="s">
        <v>23</v>
      </c>
      <c r="F802" t="s">
        <v>22</v>
      </c>
      <c r="G802">
        <v>0</v>
      </c>
      <c r="H802">
        <v>150</v>
      </c>
      <c r="I802">
        <v>69</v>
      </c>
      <c r="J802">
        <v>25.5</v>
      </c>
      <c r="K802">
        <v>285.89999999999998</v>
      </c>
      <c r="L802">
        <v>73</v>
      </c>
      <c r="M802">
        <v>24.3</v>
      </c>
      <c r="N802">
        <v>190.6</v>
      </c>
      <c r="O802">
        <v>121</v>
      </c>
      <c r="P802">
        <v>8.58</v>
      </c>
      <c r="Q802">
        <v>9.4</v>
      </c>
      <c r="R802">
        <v>15</v>
      </c>
      <c r="S802">
        <v>2.54</v>
      </c>
      <c r="T802">
        <v>0</v>
      </c>
      <c r="U802" t="s">
        <v>22</v>
      </c>
      <c r="V802" t="e">
        <f>IF(#REF! = "yes", 1, 0)</f>
        <v>#REF!</v>
      </c>
      <c r="W802" t="e">
        <f>IF(#REF! &lt;= 1, "0-1 Calls", IF(#REF! &lt;= 3, "2-3 Calls", IF(#REF! &lt;=5, "4-5 Calls", "6+ Calls")))</f>
        <v>#REF!</v>
      </c>
      <c r="X802" t="e">
        <f>IF(#REF! &lt;= 50, "0-50", IF(#REF! &lt;=100, "51-100", IF(#REF! &lt;= 150, "101-150", "151+")))</f>
        <v>#REF!</v>
      </c>
      <c r="Y802" t="e">
        <f>IF(#REF! &lt;= 3, "Low Charges", "High Charges")</f>
        <v>#REF!</v>
      </c>
      <c r="Z802" t="e">
        <f>IF(#REF!&lt;=80,"Low Calls",
IF(#REF!&lt;=120,"Medium Calls","High Calls"))</f>
        <v>#REF!</v>
      </c>
      <c r="AA802" t="e">
        <f>IF(#REF!&lt;=15,"Low Charges",
IF(#REF!&lt;=20,"Medium Charges","High Charges"))</f>
        <v>#REF!</v>
      </c>
      <c r="AB802" t="e">
        <f>IF(AND(#REF!&gt;180, #REF!&gt;200), "Heavy Doemstic User", IF(#REF!&gt;10, "Interntional User", IF(AND(#REF!&lt;180, #REF!&lt;200,#REF!&lt;200), "Light User", "Balanced User")))</f>
        <v>#REF!</v>
      </c>
      <c r="AC802" t="e">
        <f>IF(#REF! = 0, "No Usage", IF(#REF! &lt;= 20, "Low Usage", IF(#REF! &lt;= 40, "Medium Usgae", "High Usage")))</f>
        <v>#REF!</v>
      </c>
      <c r="AD802" t="e">
        <f>IF(#REF!&lt;=150,"Low Usage", IF(#REF!&lt;=200,"Medium Usage", IF(#REF!&lt;=250,"High Usage","Very High Usage")))</f>
        <v>#REF!</v>
      </c>
      <c r="AE802" t="e">
        <f>IF(#REF!&lt;=5,"Low Calls", IF(#REF!&lt;=10, "Medium Calls", "High Calls"))</f>
        <v>#REF!</v>
      </c>
      <c r="AF802" t="e">
        <f xml:space="preserve">
IF(#REF!&gt;=4,4,0)+
IF(#REF!="yes",3,0)+
IF(#REF!="High Charges",3,0)+
IF(#REF!&gt;250,4,0)+
IF(#REF!="no",1,0)+
IF(#REF!="Heavy Domestic User",2,0)</f>
        <v>#REF!</v>
      </c>
      <c r="AG802" t="e">
        <f>IF(#REF!&gt;=10,"High Risk", IF(#REF!&gt;=5,"Medium Risk","Low Risk"))</f>
        <v>#REF!</v>
      </c>
      <c r="AH802" t="e">
        <f>#REF! + #REF! + #REF! + #REF!</f>
        <v>#REF!</v>
      </c>
    </row>
    <row r="803" spans="1:34" x14ac:dyDescent="0.35">
      <c r="A803">
        <v>802</v>
      </c>
      <c r="B803" t="s">
        <v>68</v>
      </c>
      <c r="C803">
        <v>91</v>
      </c>
      <c r="D803" t="s">
        <v>28</v>
      </c>
      <c r="E803" t="s">
        <v>22</v>
      </c>
      <c r="F803" t="s">
        <v>23</v>
      </c>
      <c r="G803">
        <v>23</v>
      </c>
      <c r="H803">
        <v>232.4</v>
      </c>
      <c r="I803">
        <v>97</v>
      </c>
      <c r="J803">
        <v>39.51</v>
      </c>
      <c r="K803">
        <v>186</v>
      </c>
      <c r="L803">
        <v>88</v>
      </c>
      <c r="M803">
        <v>15.81</v>
      </c>
      <c r="N803">
        <v>190.5</v>
      </c>
      <c r="O803">
        <v>128</v>
      </c>
      <c r="P803">
        <v>8.57</v>
      </c>
      <c r="Q803">
        <v>12.3</v>
      </c>
      <c r="R803">
        <v>3</v>
      </c>
      <c r="S803">
        <v>3.32</v>
      </c>
      <c r="T803">
        <v>3</v>
      </c>
      <c r="U803" t="s">
        <v>22</v>
      </c>
      <c r="V803" t="e">
        <f>IF(#REF! = "yes", 1, 0)</f>
        <v>#REF!</v>
      </c>
      <c r="W803" t="e">
        <f>IF(#REF! &lt;= 1, "0-1 Calls", IF(#REF! &lt;= 3, "2-3 Calls", IF(#REF! &lt;=5, "4-5 Calls", "6+ Calls")))</f>
        <v>#REF!</v>
      </c>
      <c r="X803" t="e">
        <f>IF(#REF! &lt;= 50, "0-50", IF(#REF! &lt;=100, "51-100", IF(#REF! &lt;= 150, "101-150", "151+")))</f>
        <v>#REF!</v>
      </c>
      <c r="Y803" t="e">
        <f>IF(#REF! &lt;= 3, "Low Charges", "High Charges")</f>
        <v>#REF!</v>
      </c>
      <c r="Z803" t="e">
        <f>IF(#REF!&lt;=80,"Low Calls",
IF(#REF!&lt;=120,"Medium Calls","High Calls"))</f>
        <v>#REF!</v>
      </c>
      <c r="AA803" t="e">
        <f>IF(#REF!&lt;=15,"Low Charges",
IF(#REF!&lt;=20,"Medium Charges","High Charges"))</f>
        <v>#REF!</v>
      </c>
      <c r="AB803" t="e">
        <f>IF(AND(#REF!&gt;180, #REF!&gt;200), "Heavy Doemstic User", IF(#REF!&gt;10, "Interntional User", IF(AND(#REF!&lt;180, #REF!&lt;200,#REF!&lt;200), "Light User", "Balanced User")))</f>
        <v>#REF!</v>
      </c>
      <c r="AC803" t="e">
        <f>IF(#REF! = 0, "No Usage", IF(#REF! &lt;= 20, "Low Usage", IF(#REF! &lt;= 40, "Medium Usgae", "High Usage")))</f>
        <v>#REF!</v>
      </c>
      <c r="AD803" t="e">
        <f>IF(#REF!&lt;=150,"Low Usage", IF(#REF!&lt;=200,"Medium Usage", IF(#REF!&lt;=250,"High Usage","Very High Usage")))</f>
        <v>#REF!</v>
      </c>
      <c r="AE803" t="e">
        <f>IF(#REF!&lt;=5,"Low Calls", IF(#REF!&lt;=10, "Medium Calls", "High Calls"))</f>
        <v>#REF!</v>
      </c>
      <c r="AF803" t="e">
        <f xml:space="preserve">
IF(#REF!&gt;=4,4,0)+
IF(#REF!="yes",3,0)+
IF(#REF!="High Charges",3,0)+
IF(#REF!&gt;250,4,0)+
IF(#REF!="no",1,0)+
IF(#REF!="Heavy Domestic User",2,0)</f>
        <v>#REF!</v>
      </c>
      <c r="AG803" t="e">
        <f>IF(#REF!&gt;=10,"High Risk", IF(#REF!&gt;=5,"Medium Risk","Low Risk"))</f>
        <v>#REF!</v>
      </c>
      <c r="AH803" t="e">
        <f>#REF! + #REF! + #REF! + #REF!</f>
        <v>#REF!</v>
      </c>
    </row>
    <row r="804" spans="1:34" x14ac:dyDescent="0.35">
      <c r="A804">
        <v>803</v>
      </c>
      <c r="B804" t="s">
        <v>48</v>
      </c>
      <c r="C804">
        <v>58</v>
      </c>
      <c r="D804" t="s">
        <v>25</v>
      </c>
      <c r="E804" t="s">
        <v>22</v>
      </c>
      <c r="F804" t="s">
        <v>22</v>
      </c>
      <c r="G804">
        <v>0</v>
      </c>
      <c r="H804">
        <v>165.4</v>
      </c>
      <c r="I804">
        <v>100</v>
      </c>
      <c r="J804">
        <v>28.12</v>
      </c>
      <c r="K804">
        <v>115.7</v>
      </c>
      <c r="L804">
        <v>87</v>
      </c>
      <c r="M804">
        <v>9.83</v>
      </c>
      <c r="N804">
        <v>193.8</v>
      </c>
      <c r="O804">
        <v>118</v>
      </c>
      <c r="P804">
        <v>8.7200000000000006</v>
      </c>
      <c r="Q804">
        <v>12.8</v>
      </c>
      <c r="R804">
        <v>5</v>
      </c>
      <c r="S804">
        <v>3.46</v>
      </c>
      <c r="T804">
        <v>2</v>
      </c>
      <c r="U804" t="s">
        <v>22</v>
      </c>
      <c r="V804" t="e">
        <f>IF(#REF! = "yes", 1, 0)</f>
        <v>#REF!</v>
      </c>
      <c r="W804" t="e">
        <f>IF(#REF! &lt;= 1, "0-1 Calls", IF(#REF! &lt;= 3, "2-3 Calls", IF(#REF! &lt;=5, "4-5 Calls", "6+ Calls")))</f>
        <v>#REF!</v>
      </c>
      <c r="X804" t="e">
        <f>IF(#REF! &lt;= 50, "0-50", IF(#REF! &lt;=100, "51-100", IF(#REF! &lt;= 150, "101-150", "151+")))</f>
        <v>#REF!</v>
      </c>
      <c r="Y804" t="e">
        <f>IF(#REF! &lt;= 3, "Low Charges", "High Charges")</f>
        <v>#REF!</v>
      </c>
      <c r="Z804" t="e">
        <f>IF(#REF!&lt;=80,"Low Calls",
IF(#REF!&lt;=120,"Medium Calls","High Calls"))</f>
        <v>#REF!</v>
      </c>
      <c r="AA804" t="e">
        <f>IF(#REF!&lt;=15,"Low Charges",
IF(#REF!&lt;=20,"Medium Charges","High Charges"))</f>
        <v>#REF!</v>
      </c>
      <c r="AB804" t="e">
        <f>IF(AND(#REF!&gt;180, #REF!&gt;200), "Heavy Doemstic User", IF(#REF!&gt;10, "Interntional User", IF(AND(#REF!&lt;180, #REF!&lt;200,#REF!&lt;200), "Light User", "Balanced User")))</f>
        <v>#REF!</v>
      </c>
      <c r="AC804" t="e">
        <f>IF(#REF! = 0, "No Usage", IF(#REF! &lt;= 20, "Low Usage", IF(#REF! &lt;= 40, "Medium Usgae", "High Usage")))</f>
        <v>#REF!</v>
      </c>
      <c r="AD804" t="e">
        <f>IF(#REF!&lt;=150,"Low Usage", IF(#REF!&lt;=200,"Medium Usage", IF(#REF!&lt;=250,"High Usage","Very High Usage")))</f>
        <v>#REF!</v>
      </c>
      <c r="AE804" t="e">
        <f>IF(#REF!&lt;=5,"Low Calls", IF(#REF!&lt;=10, "Medium Calls", "High Calls"))</f>
        <v>#REF!</v>
      </c>
      <c r="AF804" t="e">
        <f xml:space="preserve">
IF(#REF!&gt;=4,4,0)+
IF(#REF!="yes",3,0)+
IF(#REF!="High Charges",3,0)+
IF(#REF!&gt;250,4,0)+
IF(#REF!="no",1,0)+
IF(#REF!="Heavy Domestic User",2,0)</f>
        <v>#REF!</v>
      </c>
      <c r="AG804" t="e">
        <f>IF(#REF!&gt;=10,"High Risk", IF(#REF!&gt;=5,"Medium Risk","Low Risk"))</f>
        <v>#REF!</v>
      </c>
      <c r="AH804" t="e">
        <f>#REF! + #REF! + #REF! + #REF!</f>
        <v>#REF!</v>
      </c>
    </row>
    <row r="805" spans="1:34" x14ac:dyDescent="0.35">
      <c r="A805">
        <v>804</v>
      </c>
      <c r="B805" t="s">
        <v>50</v>
      </c>
      <c r="C805">
        <v>5</v>
      </c>
      <c r="D805" t="s">
        <v>21</v>
      </c>
      <c r="E805" t="s">
        <v>22</v>
      </c>
      <c r="F805" t="s">
        <v>22</v>
      </c>
      <c r="G805">
        <v>0</v>
      </c>
      <c r="H805">
        <v>199.2</v>
      </c>
      <c r="I805">
        <v>106</v>
      </c>
      <c r="J805">
        <v>33.86</v>
      </c>
      <c r="K805">
        <v>187.3</v>
      </c>
      <c r="L805">
        <v>12</v>
      </c>
      <c r="M805">
        <v>15.92</v>
      </c>
      <c r="N805">
        <v>214</v>
      </c>
      <c r="O805">
        <v>85</v>
      </c>
      <c r="P805">
        <v>9.6300000000000008</v>
      </c>
      <c r="Q805">
        <v>13.3</v>
      </c>
      <c r="R805">
        <v>3</v>
      </c>
      <c r="S805">
        <v>3.59</v>
      </c>
      <c r="T805">
        <v>3</v>
      </c>
      <c r="U805" t="s">
        <v>22</v>
      </c>
      <c r="V805" t="e">
        <f>IF(#REF! = "yes", 1, 0)</f>
        <v>#REF!</v>
      </c>
      <c r="W805" t="e">
        <f>IF(#REF! &lt;= 1, "0-1 Calls", IF(#REF! &lt;= 3, "2-3 Calls", IF(#REF! &lt;=5, "4-5 Calls", "6+ Calls")))</f>
        <v>#REF!</v>
      </c>
      <c r="X805" t="e">
        <f>IF(#REF! &lt;= 50, "0-50", IF(#REF! &lt;=100, "51-100", IF(#REF! &lt;= 150, "101-150", "151+")))</f>
        <v>#REF!</v>
      </c>
      <c r="Y805" t="e">
        <f>IF(#REF! &lt;= 3, "Low Charges", "High Charges")</f>
        <v>#REF!</v>
      </c>
      <c r="Z805" t="e">
        <f>IF(#REF!&lt;=80,"Low Calls",
IF(#REF!&lt;=120,"Medium Calls","High Calls"))</f>
        <v>#REF!</v>
      </c>
      <c r="AA805" t="e">
        <f>IF(#REF!&lt;=15,"Low Charges",
IF(#REF!&lt;=20,"Medium Charges","High Charges"))</f>
        <v>#REF!</v>
      </c>
      <c r="AB805" t="e">
        <f>IF(AND(#REF!&gt;180, #REF!&gt;200), "Heavy Doemstic User", IF(#REF!&gt;10, "Interntional User", IF(AND(#REF!&lt;180, #REF!&lt;200,#REF!&lt;200), "Light User", "Balanced User")))</f>
        <v>#REF!</v>
      </c>
      <c r="AC805" t="e">
        <f>IF(#REF! = 0, "No Usage", IF(#REF! &lt;= 20, "Low Usage", IF(#REF! &lt;= 40, "Medium Usgae", "High Usage")))</f>
        <v>#REF!</v>
      </c>
      <c r="AD805" t="e">
        <f>IF(#REF!&lt;=150,"Low Usage", IF(#REF!&lt;=200,"Medium Usage", IF(#REF!&lt;=250,"High Usage","Very High Usage")))</f>
        <v>#REF!</v>
      </c>
      <c r="AE805" t="e">
        <f>IF(#REF!&lt;=5,"Low Calls", IF(#REF!&lt;=10, "Medium Calls", "High Calls"))</f>
        <v>#REF!</v>
      </c>
      <c r="AF805" t="e">
        <f xml:space="preserve">
IF(#REF!&gt;=4,4,0)+
IF(#REF!="yes",3,0)+
IF(#REF!="High Charges",3,0)+
IF(#REF!&gt;250,4,0)+
IF(#REF!="no",1,0)+
IF(#REF!="Heavy Domestic User",2,0)</f>
        <v>#REF!</v>
      </c>
      <c r="AG805" t="e">
        <f>IF(#REF!&gt;=10,"High Risk", IF(#REF!&gt;=5,"Medium Risk","Low Risk"))</f>
        <v>#REF!</v>
      </c>
      <c r="AH805" t="e">
        <f>#REF! + #REF! + #REF! + #REF!</f>
        <v>#REF!</v>
      </c>
    </row>
    <row r="806" spans="1:34" x14ac:dyDescent="0.35">
      <c r="A806">
        <v>805</v>
      </c>
      <c r="B806" t="s">
        <v>27</v>
      </c>
      <c r="C806">
        <v>97</v>
      </c>
      <c r="D806" t="s">
        <v>25</v>
      </c>
      <c r="E806" t="s">
        <v>22</v>
      </c>
      <c r="F806" t="s">
        <v>22</v>
      </c>
      <c r="G806">
        <v>0</v>
      </c>
      <c r="H806">
        <v>217.6</v>
      </c>
      <c r="I806">
        <v>81</v>
      </c>
      <c r="J806">
        <v>36.99</v>
      </c>
      <c r="K806">
        <v>320.5</v>
      </c>
      <c r="L806">
        <v>51</v>
      </c>
      <c r="M806">
        <v>27.24</v>
      </c>
      <c r="N806">
        <v>150.69999999999999</v>
      </c>
      <c r="O806">
        <v>110</v>
      </c>
      <c r="P806">
        <v>6.78</v>
      </c>
      <c r="Q806">
        <v>4.2</v>
      </c>
      <c r="R806">
        <v>3</v>
      </c>
      <c r="S806">
        <v>1.1299999999999999</v>
      </c>
      <c r="T806">
        <v>0</v>
      </c>
      <c r="U806" t="s">
        <v>22</v>
      </c>
      <c r="V806" t="e">
        <f>IF(#REF! = "yes", 1, 0)</f>
        <v>#REF!</v>
      </c>
      <c r="W806" t="e">
        <f>IF(#REF! &lt;= 1, "0-1 Calls", IF(#REF! &lt;= 3, "2-3 Calls", IF(#REF! &lt;=5, "4-5 Calls", "6+ Calls")))</f>
        <v>#REF!</v>
      </c>
      <c r="X806" t="e">
        <f>IF(#REF! &lt;= 50, "0-50", IF(#REF! &lt;=100, "51-100", IF(#REF! &lt;= 150, "101-150", "151+")))</f>
        <v>#REF!</v>
      </c>
      <c r="Y806" t="e">
        <f>IF(#REF! &lt;= 3, "Low Charges", "High Charges")</f>
        <v>#REF!</v>
      </c>
      <c r="Z806" t="e">
        <f>IF(#REF!&lt;=80,"Low Calls",
IF(#REF!&lt;=120,"Medium Calls","High Calls"))</f>
        <v>#REF!</v>
      </c>
      <c r="AA806" t="e">
        <f>IF(#REF!&lt;=15,"Low Charges",
IF(#REF!&lt;=20,"Medium Charges","High Charges"))</f>
        <v>#REF!</v>
      </c>
      <c r="AB806" t="e">
        <f>IF(AND(#REF!&gt;180, #REF!&gt;200), "Heavy Doemstic User", IF(#REF!&gt;10, "Interntional User", IF(AND(#REF!&lt;180, #REF!&lt;200,#REF!&lt;200), "Light User", "Balanced User")))</f>
        <v>#REF!</v>
      </c>
      <c r="AC806" t="e">
        <f>IF(#REF! = 0, "No Usage", IF(#REF! &lt;= 20, "Low Usage", IF(#REF! &lt;= 40, "Medium Usgae", "High Usage")))</f>
        <v>#REF!</v>
      </c>
      <c r="AD806" t="e">
        <f>IF(#REF!&lt;=150,"Low Usage", IF(#REF!&lt;=200,"Medium Usage", IF(#REF!&lt;=250,"High Usage","Very High Usage")))</f>
        <v>#REF!</v>
      </c>
      <c r="AE806" t="e">
        <f>IF(#REF!&lt;=5,"Low Calls", IF(#REF!&lt;=10, "Medium Calls", "High Calls"))</f>
        <v>#REF!</v>
      </c>
      <c r="AF806" t="e">
        <f xml:space="preserve">
IF(#REF!&gt;=4,4,0)+
IF(#REF!="yes",3,0)+
IF(#REF!="High Charges",3,0)+
IF(#REF!&gt;250,4,0)+
IF(#REF!="no",1,0)+
IF(#REF!="Heavy Domestic User",2,0)</f>
        <v>#REF!</v>
      </c>
      <c r="AG806" t="e">
        <f>IF(#REF!&gt;=10,"High Risk", IF(#REF!&gt;=5,"Medium Risk","Low Risk"))</f>
        <v>#REF!</v>
      </c>
      <c r="AH806" t="e">
        <f>#REF! + #REF! + #REF! + #REF!</f>
        <v>#REF!</v>
      </c>
    </row>
    <row r="807" spans="1:34" x14ac:dyDescent="0.35">
      <c r="A807">
        <v>806</v>
      </c>
      <c r="B807" t="s">
        <v>24</v>
      </c>
      <c r="C807">
        <v>107</v>
      </c>
      <c r="D807" t="s">
        <v>21</v>
      </c>
      <c r="E807" t="s">
        <v>22</v>
      </c>
      <c r="F807" t="s">
        <v>22</v>
      </c>
      <c r="G807">
        <v>0</v>
      </c>
      <c r="H807">
        <v>212.1</v>
      </c>
      <c r="I807">
        <v>95</v>
      </c>
      <c r="J807">
        <v>36.06</v>
      </c>
      <c r="K807">
        <v>150.1</v>
      </c>
      <c r="L807">
        <v>88</v>
      </c>
      <c r="M807">
        <v>12.76</v>
      </c>
      <c r="N807">
        <v>219.8</v>
      </c>
      <c r="O807">
        <v>111</v>
      </c>
      <c r="P807">
        <v>9.89</v>
      </c>
      <c r="Q807">
        <v>7.7</v>
      </c>
      <c r="R807">
        <v>2</v>
      </c>
      <c r="S807">
        <v>2.08</v>
      </c>
      <c r="T807">
        <v>3</v>
      </c>
      <c r="U807" t="s">
        <v>22</v>
      </c>
      <c r="V807" t="e">
        <f>IF(#REF! = "yes", 1, 0)</f>
        <v>#REF!</v>
      </c>
      <c r="W807" t="e">
        <f>IF(#REF! &lt;= 1, "0-1 Calls", IF(#REF! &lt;= 3, "2-3 Calls", IF(#REF! &lt;=5, "4-5 Calls", "6+ Calls")))</f>
        <v>#REF!</v>
      </c>
      <c r="X807" t="e">
        <f>IF(#REF! &lt;= 50, "0-50", IF(#REF! &lt;=100, "51-100", IF(#REF! &lt;= 150, "101-150", "151+")))</f>
        <v>#REF!</v>
      </c>
      <c r="Y807" t="e">
        <f>IF(#REF! &lt;= 3, "Low Charges", "High Charges")</f>
        <v>#REF!</v>
      </c>
      <c r="Z807" t="e">
        <f>IF(#REF!&lt;=80,"Low Calls",
IF(#REF!&lt;=120,"Medium Calls","High Calls"))</f>
        <v>#REF!</v>
      </c>
      <c r="AA807" t="e">
        <f>IF(#REF!&lt;=15,"Low Charges",
IF(#REF!&lt;=20,"Medium Charges","High Charges"))</f>
        <v>#REF!</v>
      </c>
      <c r="AB807" t="e">
        <f>IF(AND(#REF!&gt;180, #REF!&gt;200), "Heavy Doemstic User", IF(#REF!&gt;10, "Interntional User", IF(AND(#REF!&lt;180, #REF!&lt;200,#REF!&lt;200), "Light User", "Balanced User")))</f>
        <v>#REF!</v>
      </c>
      <c r="AC807" t="e">
        <f>IF(#REF! = 0, "No Usage", IF(#REF! &lt;= 20, "Low Usage", IF(#REF! &lt;= 40, "Medium Usgae", "High Usage")))</f>
        <v>#REF!</v>
      </c>
      <c r="AD807" t="e">
        <f>IF(#REF!&lt;=150,"Low Usage", IF(#REF!&lt;=200,"Medium Usage", IF(#REF!&lt;=250,"High Usage","Very High Usage")))</f>
        <v>#REF!</v>
      </c>
      <c r="AE807" t="e">
        <f>IF(#REF!&lt;=5,"Low Calls", IF(#REF!&lt;=10, "Medium Calls", "High Calls"))</f>
        <v>#REF!</v>
      </c>
      <c r="AF807" t="e">
        <f xml:space="preserve">
IF(#REF!&gt;=4,4,0)+
IF(#REF!="yes",3,0)+
IF(#REF!="High Charges",3,0)+
IF(#REF!&gt;250,4,0)+
IF(#REF!="no",1,0)+
IF(#REF!="Heavy Domestic User",2,0)</f>
        <v>#REF!</v>
      </c>
      <c r="AG807" t="e">
        <f>IF(#REF!&gt;=10,"High Risk", IF(#REF!&gt;=5,"Medium Risk","Low Risk"))</f>
        <v>#REF!</v>
      </c>
      <c r="AH807" t="e">
        <f>#REF! + #REF! + #REF! + #REF!</f>
        <v>#REF!</v>
      </c>
    </row>
    <row r="808" spans="1:34" x14ac:dyDescent="0.35">
      <c r="A808">
        <v>807</v>
      </c>
      <c r="B808" t="s">
        <v>29</v>
      </c>
      <c r="C808">
        <v>142</v>
      </c>
      <c r="D808" t="s">
        <v>21</v>
      </c>
      <c r="E808" t="s">
        <v>22</v>
      </c>
      <c r="F808" t="s">
        <v>23</v>
      </c>
      <c r="G808">
        <v>30</v>
      </c>
      <c r="H808">
        <v>154</v>
      </c>
      <c r="I808">
        <v>75</v>
      </c>
      <c r="J808">
        <v>26.18</v>
      </c>
      <c r="K808">
        <v>165.8</v>
      </c>
      <c r="L808">
        <v>97</v>
      </c>
      <c r="M808">
        <v>14.09</v>
      </c>
      <c r="N808">
        <v>270</v>
      </c>
      <c r="O808">
        <v>83</v>
      </c>
      <c r="P808">
        <v>12.15</v>
      </c>
      <c r="Q808">
        <v>10.8</v>
      </c>
      <c r="R808">
        <v>5</v>
      </c>
      <c r="S808">
        <v>2.92</v>
      </c>
      <c r="T808">
        <v>1</v>
      </c>
      <c r="U808" t="s">
        <v>22</v>
      </c>
      <c r="V808" t="e">
        <f>IF(#REF! = "yes", 1, 0)</f>
        <v>#REF!</v>
      </c>
      <c r="W808" t="e">
        <f>IF(#REF! &lt;= 1, "0-1 Calls", IF(#REF! &lt;= 3, "2-3 Calls", IF(#REF! &lt;=5, "4-5 Calls", "6+ Calls")))</f>
        <v>#REF!</v>
      </c>
      <c r="X808" t="e">
        <f>IF(#REF! &lt;= 50, "0-50", IF(#REF! &lt;=100, "51-100", IF(#REF! &lt;= 150, "101-150", "151+")))</f>
        <v>#REF!</v>
      </c>
      <c r="Y808" t="e">
        <f>IF(#REF! &lt;= 3, "Low Charges", "High Charges")</f>
        <v>#REF!</v>
      </c>
      <c r="Z808" t="e">
        <f>IF(#REF!&lt;=80,"Low Calls",
IF(#REF!&lt;=120,"Medium Calls","High Calls"))</f>
        <v>#REF!</v>
      </c>
      <c r="AA808" t="e">
        <f>IF(#REF!&lt;=15,"Low Charges",
IF(#REF!&lt;=20,"Medium Charges","High Charges"))</f>
        <v>#REF!</v>
      </c>
      <c r="AB808" t="e">
        <f>IF(AND(#REF!&gt;180, #REF!&gt;200), "Heavy Doemstic User", IF(#REF!&gt;10, "Interntional User", IF(AND(#REF!&lt;180, #REF!&lt;200,#REF!&lt;200), "Light User", "Balanced User")))</f>
        <v>#REF!</v>
      </c>
      <c r="AC808" t="e">
        <f>IF(#REF! = 0, "No Usage", IF(#REF! &lt;= 20, "Low Usage", IF(#REF! &lt;= 40, "Medium Usgae", "High Usage")))</f>
        <v>#REF!</v>
      </c>
      <c r="AD808" t="e">
        <f>IF(#REF!&lt;=150,"Low Usage", IF(#REF!&lt;=200,"Medium Usage", IF(#REF!&lt;=250,"High Usage","Very High Usage")))</f>
        <v>#REF!</v>
      </c>
      <c r="AE808" t="e">
        <f>IF(#REF!&lt;=5,"Low Calls", IF(#REF!&lt;=10, "Medium Calls", "High Calls"))</f>
        <v>#REF!</v>
      </c>
      <c r="AF808" t="e">
        <f xml:space="preserve">
IF(#REF!&gt;=4,4,0)+
IF(#REF!="yes",3,0)+
IF(#REF!="High Charges",3,0)+
IF(#REF!&gt;250,4,0)+
IF(#REF!="no",1,0)+
IF(#REF!="Heavy Domestic User",2,0)</f>
        <v>#REF!</v>
      </c>
      <c r="AG808" t="e">
        <f>IF(#REF!&gt;=10,"High Risk", IF(#REF!&gt;=5,"Medium Risk","Low Risk"))</f>
        <v>#REF!</v>
      </c>
      <c r="AH808" t="e">
        <f>#REF! + #REF! + #REF! + #REF!</f>
        <v>#REF!</v>
      </c>
    </row>
    <row r="809" spans="1:34" x14ac:dyDescent="0.35">
      <c r="A809">
        <v>808</v>
      </c>
      <c r="B809" t="s">
        <v>42</v>
      </c>
      <c r="C809">
        <v>73</v>
      </c>
      <c r="D809" t="s">
        <v>21</v>
      </c>
      <c r="E809" t="s">
        <v>22</v>
      </c>
      <c r="F809" t="s">
        <v>22</v>
      </c>
      <c r="G809">
        <v>0</v>
      </c>
      <c r="H809">
        <v>175.4</v>
      </c>
      <c r="I809">
        <v>130</v>
      </c>
      <c r="J809">
        <v>29.82</v>
      </c>
      <c r="K809">
        <v>248.1</v>
      </c>
      <c r="L809">
        <v>105</v>
      </c>
      <c r="M809">
        <v>21.09</v>
      </c>
      <c r="N809">
        <v>122.4</v>
      </c>
      <c r="O809">
        <v>85</v>
      </c>
      <c r="P809">
        <v>5.51</v>
      </c>
      <c r="Q809">
        <v>12.2</v>
      </c>
      <c r="R809">
        <v>4</v>
      </c>
      <c r="S809">
        <v>3.29</v>
      </c>
      <c r="T809">
        <v>0</v>
      </c>
      <c r="U809" t="s">
        <v>22</v>
      </c>
      <c r="V809" t="e">
        <f>IF(#REF! = "yes", 1, 0)</f>
        <v>#REF!</v>
      </c>
      <c r="W809" t="e">
        <f>IF(#REF! &lt;= 1, "0-1 Calls", IF(#REF! &lt;= 3, "2-3 Calls", IF(#REF! &lt;=5, "4-5 Calls", "6+ Calls")))</f>
        <v>#REF!</v>
      </c>
      <c r="X809" t="e">
        <f>IF(#REF! &lt;= 50, "0-50", IF(#REF! &lt;=100, "51-100", IF(#REF! &lt;= 150, "101-150", "151+")))</f>
        <v>#REF!</v>
      </c>
      <c r="Y809" t="e">
        <f>IF(#REF! &lt;= 3, "Low Charges", "High Charges")</f>
        <v>#REF!</v>
      </c>
      <c r="Z809" t="e">
        <f>IF(#REF!&lt;=80,"Low Calls",
IF(#REF!&lt;=120,"Medium Calls","High Calls"))</f>
        <v>#REF!</v>
      </c>
      <c r="AA809" t="e">
        <f>IF(#REF!&lt;=15,"Low Charges",
IF(#REF!&lt;=20,"Medium Charges","High Charges"))</f>
        <v>#REF!</v>
      </c>
      <c r="AB809" t="e">
        <f>IF(AND(#REF!&gt;180, #REF!&gt;200), "Heavy Doemstic User", IF(#REF!&gt;10, "Interntional User", IF(AND(#REF!&lt;180, #REF!&lt;200,#REF!&lt;200), "Light User", "Balanced User")))</f>
        <v>#REF!</v>
      </c>
      <c r="AC809" t="e">
        <f>IF(#REF! = 0, "No Usage", IF(#REF! &lt;= 20, "Low Usage", IF(#REF! &lt;= 40, "Medium Usgae", "High Usage")))</f>
        <v>#REF!</v>
      </c>
      <c r="AD809" t="e">
        <f>IF(#REF!&lt;=150,"Low Usage", IF(#REF!&lt;=200,"Medium Usage", IF(#REF!&lt;=250,"High Usage","Very High Usage")))</f>
        <v>#REF!</v>
      </c>
      <c r="AE809" t="e">
        <f>IF(#REF!&lt;=5,"Low Calls", IF(#REF!&lt;=10, "Medium Calls", "High Calls"))</f>
        <v>#REF!</v>
      </c>
      <c r="AF809" t="e">
        <f xml:space="preserve">
IF(#REF!&gt;=4,4,0)+
IF(#REF!="yes",3,0)+
IF(#REF!="High Charges",3,0)+
IF(#REF!&gt;250,4,0)+
IF(#REF!="no",1,0)+
IF(#REF!="Heavy Domestic User",2,0)</f>
        <v>#REF!</v>
      </c>
      <c r="AG809" t="e">
        <f>IF(#REF!&gt;=10,"High Risk", IF(#REF!&gt;=5,"Medium Risk","Low Risk"))</f>
        <v>#REF!</v>
      </c>
      <c r="AH809" t="e">
        <f>#REF! + #REF! + #REF! + #REF!</f>
        <v>#REF!</v>
      </c>
    </row>
    <row r="810" spans="1:34" x14ac:dyDescent="0.35">
      <c r="A810">
        <v>809</v>
      </c>
      <c r="B810" t="s">
        <v>24</v>
      </c>
      <c r="C810">
        <v>48</v>
      </c>
      <c r="D810" t="s">
        <v>28</v>
      </c>
      <c r="E810" t="s">
        <v>22</v>
      </c>
      <c r="F810" t="s">
        <v>23</v>
      </c>
      <c r="G810">
        <v>22</v>
      </c>
      <c r="H810">
        <v>152</v>
      </c>
      <c r="I810">
        <v>63</v>
      </c>
      <c r="J810">
        <v>25.84</v>
      </c>
      <c r="K810">
        <v>258.8</v>
      </c>
      <c r="L810">
        <v>131</v>
      </c>
      <c r="M810">
        <v>22</v>
      </c>
      <c r="N810">
        <v>263.2</v>
      </c>
      <c r="O810">
        <v>109</v>
      </c>
      <c r="P810">
        <v>11.84</v>
      </c>
      <c r="Q810">
        <v>15.7</v>
      </c>
      <c r="R810">
        <v>5</v>
      </c>
      <c r="S810">
        <v>4.24</v>
      </c>
      <c r="T810">
        <v>2</v>
      </c>
      <c r="U810" t="s">
        <v>23</v>
      </c>
      <c r="V810" t="e">
        <f>IF(#REF! = "yes", 1, 0)</f>
        <v>#REF!</v>
      </c>
      <c r="W810" t="e">
        <f>IF(#REF! &lt;= 1, "0-1 Calls", IF(#REF! &lt;= 3, "2-3 Calls", IF(#REF! &lt;=5, "4-5 Calls", "6+ Calls")))</f>
        <v>#REF!</v>
      </c>
      <c r="X810" t="e">
        <f>IF(#REF! &lt;= 50, "0-50", IF(#REF! &lt;=100, "51-100", IF(#REF! &lt;= 150, "101-150", "151+")))</f>
        <v>#REF!</v>
      </c>
      <c r="Y810" t="e">
        <f>IF(#REF! &lt;= 3, "Low Charges", "High Charges")</f>
        <v>#REF!</v>
      </c>
      <c r="Z810" t="e">
        <f>IF(#REF!&lt;=80,"Low Calls",
IF(#REF!&lt;=120,"Medium Calls","High Calls"))</f>
        <v>#REF!</v>
      </c>
      <c r="AA810" t="e">
        <f>IF(#REF!&lt;=15,"Low Charges",
IF(#REF!&lt;=20,"Medium Charges","High Charges"))</f>
        <v>#REF!</v>
      </c>
      <c r="AB810" t="e">
        <f>IF(AND(#REF!&gt;180, #REF!&gt;200), "Heavy Doemstic User", IF(#REF!&gt;10, "Interntional User", IF(AND(#REF!&lt;180, #REF!&lt;200,#REF!&lt;200), "Light User", "Balanced User")))</f>
        <v>#REF!</v>
      </c>
      <c r="AC810" t="e">
        <f>IF(#REF! = 0, "No Usage", IF(#REF! &lt;= 20, "Low Usage", IF(#REF! &lt;= 40, "Medium Usgae", "High Usage")))</f>
        <v>#REF!</v>
      </c>
      <c r="AD810" t="e">
        <f>IF(#REF!&lt;=150,"Low Usage", IF(#REF!&lt;=200,"Medium Usage", IF(#REF!&lt;=250,"High Usage","Very High Usage")))</f>
        <v>#REF!</v>
      </c>
      <c r="AE810" t="e">
        <f>IF(#REF!&lt;=5,"Low Calls", IF(#REF!&lt;=10, "Medium Calls", "High Calls"))</f>
        <v>#REF!</v>
      </c>
      <c r="AF810" t="e">
        <f xml:space="preserve">
IF(#REF!&gt;=4,4,0)+
IF(#REF!="yes",3,0)+
IF(#REF!="High Charges",3,0)+
IF(#REF!&gt;250,4,0)+
IF(#REF!="no",1,0)+
IF(#REF!="Heavy Domestic User",2,0)</f>
        <v>#REF!</v>
      </c>
      <c r="AG810" t="e">
        <f>IF(#REF!&gt;=10,"High Risk", IF(#REF!&gt;=5,"Medium Risk","Low Risk"))</f>
        <v>#REF!</v>
      </c>
      <c r="AH810" t="e">
        <f>#REF! + #REF! + #REF! + #REF!</f>
        <v>#REF!</v>
      </c>
    </row>
    <row r="811" spans="1:34" x14ac:dyDescent="0.35">
      <c r="A811">
        <v>810</v>
      </c>
      <c r="B811" t="s">
        <v>31</v>
      </c>
      <c r="C811">
        <v>43</v>
      </c>
      <c r="D811" t="s">
        <v>25</v>
      </c>
      <c r="E811" t="s">
        <v>22</v>
      </c>
      <c r="F811" t="s">
        <v>22</v>
      </c>
      <c r="G811">
        <v>0</v>
      </c>
      <c r="H811">
        <v>230.2</v>
      </c>
      <c r="I811">
        <v>147</v>
      </c>
      <c r="J811">
        <v>39.130000000000003</v>
      </c>
      <c r="K811">
        <v>186.7</v>
      </c>
      <c r="L811">
        <v>121</v>
      </c>
      <c r="M811">
        <v>15.87</v>
      </c>
      <c r="N811">
        <v>128.4</v>
      </c>
      <c r="O811">
        <v>100</v>
      </c>
      <c r="P811">
        <v>5.78</v>
      </c>
      <c r="Q811">
        <v>9.1999999999999993</v>
      </c>
      <c r="R811">
        <v>3</v>
      </c>
      <c r="S811">
        <v>2.48</v>
      </c>
      <c r="T811">
        <v>0</v>
      </c>
      <c r="U811" t="s">
        <v>22</v>
      </c>
      <c r="V811" t="e">
        <f>IF(#REF! = "yes", 1, 0)</f>
        <v>#REF!</v>
      </c>
      <c r="W811" t="e">
        <f>IF(#REF! &lt;= 1, "0-1 Calls", IF(#REF! &lt;= 3, "2-3 Calls", IF(#REF! &lt;=5, "4-5 Calls", "6+ Calls")))</f>
        <v>#REF!</v>
      </c>
      <c r="X811" t="e">
        <f>IF(#REF! &lt;= 50, "0-50", IF(#REF! &lt;=100, "51-100", IF(#REF! &lt;= 150, "101-150", "151+")))</f>
        <v>#REF!</v>
      </c>
      <c r="Y811" t="e">
        <f>IF(#REF! &lt;= 3, "Low Charges", "High Charges")</f>
        <v>#REF!</v>
      </c>
      <c r="Z811" t="e">
        <f>IF(#REF!&lt;=80,"Low Calls",
IF(#REF!&lt;=120,"Medium Calls","High Calls"))</f>
        <v>#REF!</v>
      </c>
      <c r="AA811" t="e">
        <f>IF(#REF!&lt;=15,"Low Charges",
IF(#REF!&lt;=20,"Medium Charges","High Charges"))</f>
        <v>#REF!</v>
      </c>
      <c r="AB811" t="e">
        <f>IF(AND(#REF!&gt;180, #REF!&gt;200), "Heavy Doemstic User", IF(#REF!&gt;10, "Interntional User", IF(AND(#REF!&lt;180, #REF!&lt;200,#REF!&lt;200), "Light User", "Balanced User")))</f>
        <v>#REF!</v>
      </c>
      <c r="AC811" t="e">
        <f>IF(#REF! = 0, "No Usage", IF(#REF! &lt;= 20, "Low Usage", IF(#REF! &lt;= 40, "Medium Usgae", "High Usage")))</f>
        <v>#REF!</v>
      </c>
      <c r="AD811" t="e">
        <f>IF(#REF!&lt;=150,"Low Usage", IF(#REF!&lt;=200,"Medium Usage", IF(#REF!&lt;=250,"High Usage","Very High Usage")))</f>
        <v>#REF!</v>
      </c>
      <c r="AE811" t="e">
        <f>IF(#REF!&lt;=5,"Low Calls", IF(#REF!&lt;=10, "Medium Calls", "High Calls"))</f>
        <v>#REF!</v>
      </c>
      <c r="AF811" t="e">
        <f xml:space="preserve">
IF(#REF!&gt;=4,4,0)+
IF(#REF!="yes",3,0)+
IF(#REF!="High Charges",3,0)+
IF(#REF!&gt;250,4,0)+
IF(#REF!="no",1,0)+
IF(#REF!="Heavy Domestic User",2,0)</f>
        <v>#REF!</v>
      </c>
      <c r="AG811" t="e">
        <f>IF(#REF!&gt;=10,"High Risk", IF(#REF!&gt;=5,"Medium Risk","Low Risk"))</f>
        <v>#REF!</v>
      </c>
      <c r="AH811" t="e">
        <f>#REF! + #REF! + #REF! + #REF!</f>
        <v>#REF!</v>
      </c>
    </row>
    <row r="812" spans="1:34" x14ac:dyDescent="0.35">
      <c r="A812">
        <v>811</v>
      </c>
      <c r="B812" t="s">
        <v>61</v>
      </c>
      <c r="C812">
        <v>122</v>
      </c>
      <c r="D812" t="s">
        <v>25</v>
      </c>
      <c r="E812" t="s">
        <v>22</v>
      </c>
      <c r="F812" t="s">
        <v>23</v>
      </c>
      <c r="G812">
        <v>33</v>
      </c>
      <c r="H812">
        <v>174.9</v>
      </c>
      <c r="I812">
        <v>103</v>
      </c>
      <c r="J812">
        <v>29.73</v>
      </c>
      <c r="K812">
        <v>248.2</v>
      </c>
      <c r="L812">
        <v>105</v>
      </c>
      <c r="M812">
        <v>21.1</v>
      </c>
      <c r="N812">
        <v>164.6</v>
      </c>
      <c r="O812">
        <v>116</v>
      </c>
      <c r="P812">
        <v>7.41</v>
      </c>
      <c r="Q812">
        <v>13.5</v>
      </c>
      <c r="R812">
        <v>3</v>
      </c>
      <c r="S812">
        <v>3.65</v>
      </c>
      <c r="T812">
        <v>1</v>
      </c>
      <c r="U812" t="s">
        <v>23</v>
      </c>
      <c r="V812" t="e">
        <f>IF(#REF! = "yes", 1, 0)</f>
        <v>#REF!</v>
      </c>
      <c r="W812" t="e">
        <f>IF(#REF! &lt;= 1, "0-1 Calls", IF(#REF! &lt;= 3, "2-3 Calls", IF(#REF! &lt;=5, "4-5 Calls", "6+ Calls")))</f>
        <v>#REF!</v>
      </c>
      <c r="X812" t="e">
        <f>IF(#REF! &lt;= 50, "0-50", IF(#REF! &lt;=100, "51-100", IF(#REF! &lt;= 150, "101-150", "151+")))</f>
        <v>#REF!</v>
      </c>
      <c r="Y812" t="e">
        <f>IF(#REF! &lt;= 3, "Low Charges", "High Charges")</f>
        <v>#REF!</v>
      </c>
      <c r="Z812" t="e">
        <f>IF(#REF!&lt;=80,"Low Calls",
IF(#REF!&lt;=120,"Medium Calls","High Calls"))</f>
        <v>#REF!</v>
      </c>
      <c r="AA812" t="e">
        <f>IF(#REF!&lt;=15,"Low Charges",
IF(#REF!&lt;=20,"Medium Charges","High Charges"))</f>
        <v>#REF!</v>
      </c>
      <c r="AB812" t="e">
        <f>IF(AND(#REF!&gt;180, #REF!&gt;200), "Heavy Doemstic User", IF(#REF!&gt;10, "Interntional User", IF(AND(#REF!&lt;180, #REF!&lt;200,#REF!&lt;200), "Light User", "Balanced User")))</f>
        <v>#REF!</v>
      </c>
      <c r="AC812" t="e">
        <f>IF(#REF! = 0, "No Usage", IF(#REF! &lt;= 20, "Low Usage", IF(#REF! &lt;= 40, "Medium Usgae", "High Usage")))</f>
        <v>#REF!</v>
      </c>
      <c r="AD812" t="e">
        <f>IF(#REF!&lt;=150,"Low Usage", IF(#REF!&lt;=200,"Medium Usage", IF(#REF!&lt;=250,"High Usage","Very High Usage")))</f>
        <v>#REF!</v>
      </c>
      <c r="AE812" t="e">
        <f>IF(#REF!&lt;=5,"Low Calls", IF(#REF!&lt;=10, "Medium Calls", "High Calls"))</f>
        <v>#REF!</v>
      </c>
      <c r="AF812" t="e">
        <f xml:space="preserve">
IF(#REF!&gt;=4,4,0)+
IF(#REF!="yes",3,0)+
IF(#REF!="High Charges",3,0)+
IF(#REF!&gt;250,4,0)+
IF(#REF!="no",1,0)+
IF(#REF!="Heavy Domestic User",2,0)</f>
        <v>#REF!</v>
      </c>
      <c r="AG812" t="e">
        <f>IF(#REF!&gt;=10,"High Risk", IF(#REF!&gt;=5,"Medium Risk","Low Risk"))</f>
        <v>#REF!</v>
      </c>
      <c r="AH812" t="e">
        <f>#REF! + #REF! + #REF! + #REF!</f>
        <v>#REF!</v>
      </c>
    </row>
    <row r="813" spans="1:34" x14ac:dyDescent="0.35">
      <c r="A813">
        <v>812</v>
      </c>
      <c r="B813" t="s">
        <v>43</v>
      </c>
      <c r="C813">
        <v>93</v>
      </c>
      <c r="D813" t="s">
        <v>21</v>
      </c>
      <c r="E813" t="s">
        <v>22</v>
      </c>
      <c r="F813" t="s">
        <v>22</v>
      </c>
      <c r="G813">
        <v>0</v>
      </c>
      <c r="H813">
        <v>190.2</v>
      </c>
      <c r="I813">
        <v>68</v>
      </c>
      <c r="J813">
        <v>32.33</v>
      </c>
      <c r="K813">
        <v>262.2</v>
      </c>
      <c r="L813">
        <v>64</v>
      </c>
      <c r="M813">
        <v>22.29</v>
      </c>
      <c r="N813">
        <v>130</v>
      </c>
      <c r="O813">
        <v>92</v>
      </c>
      <c r="P813">
        <v>5.85</v>
      </c>
      <c r="Q813">
        <v>8.8000000000000007</v>
      </c>
      <c r="R813">
        <v>4</v>
      </c>
      <c r="S813">
        <v>2.38</v>
      </c>
      <c r="T813">
        <v>0</v>
      </c>
      <c r="U813" t="s">
        <v>22</v>
      </c>
      <c r="V813" t="e">
        <f>IF(#REF! = "yes", 1, 0)</f>
        <v>#REF!</v>
      </c>
      <c r="W813" t="e">
        <f>IF(#REF! &lt;= 1, "0-1 Calls", IF(#REF! &lt;= 3, "2-3 Calls", IF(#REF! &lt;=5, "4-5 Calls", "6+ Calls")))</f>
        <v>#REF!</v>
      </c>
      <c r="X813" t="e">
        <f>IF(#REF! &lt;= 50, "0-50", IF(#REF! &lt;=100, "51-100", IF(#REF! &lt;= 150, "101-150", "151+")))</f>
        <v>#REF!</v>
      </c>
      <c r="Y813" t="e">
        <f>IF(#REF! &lt;= 3, "Low Charges", "High Charges")</f>
        <v>#REF!</v>
      </c>
      <c r="Z813" t="e">
        <f>IF(#REF!&lt;=80,"Low Calls",
IF(#REF!&lt;=120,"Medium Calls","High Calls"))</f>
        <v>#REF!</v>
      </c>
      <c r="AA813" t="e">
        <f>IF(#REF!&lt;=15,"Low Charges",
IF(#REF!&lt;=20,"Medium Charges","High Charges"))</f>
        <v>#REF!</v>
      </c>
      <c r="AB813" t="e">
        <f>IF(AND(#REF!&gt;180, #REF!&gt;200), "Heavy Doemstic User", IF(#REF!&gt;10, "Interntional User", IF(AND(#REF!&lt;180, #REF!&lt;200,#REF!&lt;200), "Light User", "Balanced User")))</f>
        <v>#REF!</v>
      </c>
      <c r="AC813" t="e">
        <f>IF(#REF! = 0, "No Usage", IF(#REF! &lt;= 20, "Low Usage", IF(#REF! &lt;= 40, "Medium Usgae", "High Usage")))</f>
        <v>#REF!</v>
      </c>
      <c r="AD813" t="e">
        <f>IF(#REF!&lt;=150,"Low Usage", IF(#REF!&lt;=200,"Medium Usage", IF(#REF!&lt;=250,"High Usage","Very High Usage")))</f>
        <v>#REF!</v>
      </c>
      <c r="AE813" t="e">
        <f>IF(#REF!&lt;=5,"Low Calls", IF(#REF!&lt;=10, "Medium Calls", "High Calls"))</f>
        <v>#REF!</v>
      </c>
      <c r="AF813" t="e">
        <f xml:space="preserve">
IF(#REF!&gt;=4,4,0)+
IF(#REF!="yes",3,0)+
IF(#REF!="High Charges",3,0)+
IF(#REF!&gt;250,4,0)+
IF(#REF!="no",1,0)+
IF(#REF!="Heavy Domestic User",2,0)</f>
        <v>#REF!</v>
      </c>
      <c r="AG813" t="e">
        <f>IF(#REF!&gt;=10,"High Risk", IF(#REF!&gt;=5,"Medium Risk","Low Risk"))</f>
        <v>#REF!</v>
      </c>
      <c r="AH813" t="e">
        <f>#REF! + #REF! + #REF! + #REF!</f>
        <v>#REF!</v>
      </c>
    </row>
    <row r="814" spans="1:34" x14ac:dyDescent="0.35">
      <c r="A814">
        <v>813</v>
      </c>
      <c r="B814" t="s">
        <v>64</v>
      </c>
      <c r="C814">
        <v>85</v>
      </c>
      <c r="D814" t="s">
        <v>21</v>
      </c>
      <c r="E814" t="s">
        <v>22</v>
      </c>
      <c r="F814" t="s">
        <v>22</v>
      </c>
      <c r="G814">
        <v>0</v>
      </c>
      <c r="H814">
        <v>176.4</v>
      </c>
      <c r="I814">
        <v>122</v>
      </c>
      <c r="J814">
        <v>29.99</v>
      </c>
      <c r="K814">
        <v>224.9</v>
      </c>
      <c r="L814">
        <v>123</v>
      </c>
      <c r="M814">
        <v>19.12</v>
      </c>
      <c r="N814">
        <v>219.6</v>
      </c>
      <c r="O814">
        <v>50</v>
      </c>
      <c r="P814">
        <v>9.8800000000000008</v>
      </c>
      <c r="Q814">
        <v>11.5</v>
      </c>
      <c r="R814">
        <v>1</v>
      </c>
      <c r="S814">
        <v>3.11</v>
      </c>
      <c r="T814">
        <v>1</v>
      </c>
      <c r="U814" t="s">
        <v>22</v>
      </c>
      <c r="V814" t="e">
        <f>IF(#REF! = "yes", 1, 0)</f>
        <v>#REF!</v>
      </c>
      <c r="W814" t="e">
        <f>IF(#REF! &lt;= 1, "0-1 Calls", IF(#REF! &lt;= 3, "2-3 Calls", IF(#REF! &lt;=5, "4-5 Calls", "6+ Calls")))</f>
        <v>#REF!</v>
      </c>
      <c r="X814" t="e">
        <f>IF(#REF! &lt;= 50, "0-50", IF(#REF! &lt;=100, "51-100", IF(#REF! &lt;= 150, "101-150", "151+")))</f>
        <v>#REF!</v>
      </c>
      <c r="Y814" t="e">
        <f>IF(#REF! &lt;= 3, "Low Charges", "High Charges")</f>
        <v>#REF!</v>
      </c>
      <c r="Z814" t="e">
        <f>IF(#REF!&lt;=80,"Low Calls",
IF(#REF!&lt;=120,"Medium Calls","High Calls"))</f>
        <v>#REF!</v>
      </c>
      <c r="AA814" t="e">
        <f>IF(#REF!&lt;=15,"Low Charges",
IF(#REF!&lt;=20,"Medium Charges","High Charges"))</f>
        <v>#REF!</v>
      </c>
      <c r="AB814" t="e">
        <f>IF(AND(#REF!&gt;180, #REF!&gt;200), "Heavy Doemstic User", IF(#REF!&gt;10, "Interntional User", IF(AND(#REF!&lt;180, #REF!&lt;200,#REF!&lt;200), "Light User", "Balanced User")))</f>
        <v>#REF!</v>
      </c>
      <c r="AC814" t="e">
        <f>IF(#REF! = 0, "No Usage", IF(#REF! &lt;= 20, "Low Usage", IF(#REF! &lt;= 40, "Medium Usgae", "High Usage")))</f>
        <v>#REF!</v>
      </c>
      <c r="AD814" t="e">
        <f>IF(#REF!&lt;=150,"Low Usage", IF(#REF!&lt;=200,"Medium Usage", IF(#REF!&lt;=250,"High Usage","Very High Usage")))</f>
        <v>#REF!</v>
      </c>
      <c r="AE814" t="e">
        <f>IF(#REF!&lt;=5,"Low Calls", IF(#REF!&lt;=10, "Medium Calls", "High Calls"))</f>
        <v>#REF!</v>
      </c>
      <c r="AF814" t="e">
        <f xml:space="preserve">
IF(#REF!&gt;=4,4,0)+
IF(#REF!="yes",3,0)+
IF(#REF!="High Charges",3,0)+
IF(#REF!&gt;250,4,0)+
IF(#REF!="no",1,0)+
IF(#REF!="Heavy Domestic User",2,0)</f>
        <v>#REF!</v>
      </c>
      <c r="AG814" t="e">
        <f>IF(#REF!&gt;=10,"High Risk", IF(#REF!&gt;=5,"Medium Risk","Low Risk"))</f>
        <v>#REF!</v>
      </c>
      <c r="AH814" t="e">
        <f>#REF! + #REF! + #REF! + #REF!</f>
        <v>#REF!</v>
      </c>
    </row>
    <row r="815" spans="1:34" x14ac:dyDescent="0.35">
      <c r="A815">
        <v>814</v>
      </c>
      <c r="B815" t="s">
        <v>71</v>
      </c>
      <c r="C815">
        <v>59</v>
      </c>
      <c r="D815" t="s">
        <v>21</v>
      </c>
      <c r="E815" t="s">
        <v>22</v>
      </c>
      <c r="F815" t="s">
        <v>22</v>
      </c>
      <c r="G815">
        <v>0</v>
      </c>
      <c r="H815">
        <v>160.9</v>
      </c>
      <c r="I815">
        <v>95</v>
      </c>
      <c r="J815">
        <v>27.35</v>
      </c>
      <c r="K815">
        <v>251.2</v>
      </c>
      <c r="L815">
        <v>65</v>
      </c>
      <c r="M815">
        <v>21.35</v>
      </c>
      <c r="N815">
        <v>273.39999999999998</v>
      </c>
      <c r="O815">
        <v>97</v>
      </c>
      <c r="P815">
        <v>12.3</v>
      </c>
      <c r="Q815">
        <v>5</v>
      </c>
      <c r="R815">
        <v>5</v>
      </c>
      <c r="S815">
        <v>1.35</v>
      </c>
      <c r="T815">
        <v>3</v>
      </c>
      <c r="U815" t="s">
        <v>22</v>
      </c>
      <c r="V815" t="e">
        <f>IF(#REF! = "yes", 1, 0)</f>
        <v>#REF!</v>
      </c>
      <c r="W815" t="e">
        <f>IF(#REF! &lt;= 1, "0-1 Calls", IF(#REF! &lt;= 3, "2-3 Calls", IF(#REF! &lt;=5, "4-5 Calls", "6+ Calls")))</f>
        <v>#REF!</v>
      </c>
      <c r="X815" t="e">
        <f>IF(#REF! &lt;= 50, "0-50", IF(#REF! &lt;=100, "51-100", IF(#REF! &lt;= 150, "101-150", "151+")))</f>
        <v>#REF!</v>
      </c>
      <c r="Y815" t="e">
        <f>IF(#REF! &lt;= 3, "Low Charges", "High Charges")</f>
        <v>#REF!</v>
      </c>
      <c r="Z815" t="e">
        <f>IF(#REF!&lt;=80,"Low Calls",
IF(#REF!&lt;=120,"Medium Calls","High Calls"))</f>
        <v>#REF!</v>
      </c>
      <c r="AA815" t="e">
        <f>IF(#REF!&lt;=15,"Low Charges",
IF(#REF!&lt;=20,"Medium Charges","High Charges"))</f>
        <v>#REF!</v>
      </c>
      <c r="AB815" t="e">
        <f>IF(AND(#REF!&gt;180, #REF!&gt;200), "Heavy Doemstic User", IF(#REF!&gt;10, "Interntional User", IF(AND(#REF!&lt;180, #REF!&lt;200,#REF!&lt;200), "Light User", "Balanced User")))</f>
        <v>#REF!</v>
      </c>
      <c r="AC815" t="e">
        <f>IF(#REF! = 0, "No Usage", IF(#REF! &lt;= 20, "Low Usage", IF(#REF! &lt;= 40, "Medium Usgae", "High Usage")))</f>
        <v>#REF!</v>
      </c>
      <c r="AD815" t="e">
        <f>IF(#REF!&lt;=150,"Low Usage", IF(#REF!&lt;=200,"Medium Usage", IF(#REF!&lt;=250,"High Usage","Very High Usage")))</f>
        <v>#REF!</v>
      </c>
      <c r="AE815" t="e">
        <f>IF(#REF!&lt;=5,"Low Calls", IF(#REF!&lt;=10, "Medium Calls", "High Calls"))</f>
        <v>#REF!</v>
      </c>
      <c r="AF815" t="e">
        <f xml:space="preserve">
IF(#REF!&gt;=4,4,0)+
IF(#REF!="yes",3,0)+
IF(#REF!="High Charges",3,0)+
IF(#REF!&gt;250,4,0)+
IF(#REF!="no",1,0)+
IF(#REF!="Heavy Domestic User",2,0)</f>
        <v>#REF!</v>
      </c>
      <c r="AG815" t="e">
        <f>IF(#REF!&gt;=10,"High Risk", IF(#REF!&gt;=5,"Medium Risk","Low Risk"))</f>
        <v>#REF!</v>
      </c>
      <c r="AH815" t="e">
        <f>#REF! + #REF! + #REF! + #REF!</f>
        <v>#REF!</v>
      </c>
    </row>
    <row r="816" spans="1:34" x14ac:dyDescent="0.35">
      <c r="A816">
        <v>815</v>
      </c>
      <c r="B816" t="s">
        <v>30</v>
      </c>
      <c r="C816">
        <v>87</v>
      </c>
      <c r="D816" t="s">
        <v>21</v>
      </c>
      <c r="E816" t="s">
        <v>22</v>
      </c>
      <c r="F816" t="s">
        <v>22</v>
      </c>
      <c r="G816">
        <v>0</v>
      </c>
      <c r="H816">
        <v>228.7</v>
      </c>
      <c r="I816">
        <v>90</v>
      </c>
      <c r="J816">
        <v>38.880000000000003</v>
      </c>
      <c r="K816">
        <v>163</v>
      </c>
      <c r="L816">
        <v>99</v>
      </c>
      <c r="M816">
        <v>13.86</v>
      </c>
      <c r="N816">
        <v>154.1</v>
      </c>
      <c r="O816">
        <v>90</v>
      </c>
      <c r="P816">
        <v>6.93</v>
      </c>
      <c r="Q816">
        <v>11.8</v>
      </c>
      <c r="R816">
        <v>3</v>
      </c>
      <c r="S816">
        <v>3.19</v>
      </c>
      <c r="T816">
        <v>1</v>
      </c>
      <c r="U816" t="s">
        <v>22</v>
      </c>
      <c r="V816" t="e">
        <f>IF(#REF! = "yes", 1, 0)</f>
        <v>#REF!</v>
      </c>
      <c r="W816" t="e">
        <f>IF(#REF! &lt;= 1, "0-1 Calls", IF(#REF! &lt;= 3, "2-3 Calls", IF(#REF! &lt;=5, "4-5 Calls", "6+ Calls")))</f>
        <v>#REF!</v>
      </c>
      <c r="X816" t="e">
        <f>IF(#REF! &lt;= 50, "0-50", IF(#REF! &lt;=100, "51-100", IF(#REF! &lt;= 150, "101-150", "151+")))</f>
        <v>#REF!</v>
      </c>
      <c r="Y816" t="e">
        <f>IF(#REF! &lt;= 3, "Low Charges", "High Charges")</f>
        <v>#REF!</v>
      </c>
      <c r="Z816" t="e">
        <f>IF(#REF!&lt;=80,"Low Calls",
IF(#REF!&lt;=120,"Medium Calls","High Calls"))</f>
        <v>#REF!</v>
      </c>
      <c r="AA816" t="e">
        <f>IF(#REF!&lt;=15,"Low Charges",
IF(#REF!&lt;=20,"Medium Charges","High Charges"))</f>
        <v>#REF!</v>
      </c>
      <c r="AB816" t="e">
        <f>IF(AND(#REF!&gt;180, #REF!&gt;200), "Heavy Doemstic User", IF(#REF!&gt;10, "Interntional User", IF(AND(#REF!&lt;180, #REF!&lt;200,#REF!&lt;200), "Light User", "Balanced User")))</f>
        <v>#REF!</v>
      </c>
      <c r="AC816" t="e">
        <f>IF(#REF! = 0, "No Usage", IF(#REF! &lt;= 20, "Low Usage", IF(#REF! &lt;= 40, "Medium Usgae", "High Usage")))</f>
        <v>#REF!</v>
      </c>
      <c r="AD816" t="e">
        <f>IF(#REF!&lt;=150,"Low Usage", IF(#REF!&lt;=200,"Medium Usage", IF(#REF!&lt;=250,"High Usage","Very High Usage")))</f>
        <v>#REF!</v>
      </c>
      <c r="AE816" t="e">
        <f>IF(#REF!&lt;=5,"Low Calls", IF(#REF!&lt;=10, "Medium Calls", "High Calls"))</f>
        <v>#REF!</v>
      </c>
      <c r="AF816" t="e">
        <f xml:space="preserve">
IF(#REF!&gt;=4,4,0)+
IF(#REF!="yes",3,0)+
IF(#REF!="High Charges",3,0)+
IF(#REF!&gt;250,4,0)+
IF(#REF!="no",1,0)+
IF(#REF!="Heavy Domestic User",2,0)</f>
        <v>#REF!</v>
      </c>
      <c r="AG816" t="e">
        <f>IF(#REF!&gt;=10,"High Risk", IF(#REF!&gt;=5,"Medium Risk","Low Risk"))</f>
        <v>#REF!</v>
      </c>
      <c r="AH816" t="e">
        <f>#REF! + #REF! + #REF! + #REF!</f>
        <v>#REF!</v>
      </c>
    </row>
    <row r="817" spans="1:34" x14ac:dyDescent="0.35">
      <c r="A817">
        <v>816</v>
      </c>
      <c r="B817" t="s">
        <v>20</v>
      </c>
      <c r="C817">
        <v>137</v>
      </c>
      <c r="D817" t="s">
        <v>25</v>
      </c>
      <c r="E817" t="s">
        <v>22</v>
      </c>
      <c r="F817" t="s">
        <v>22</v>
      </c>
      <c r="G817">
        <v>0</v>
      </c>
      <c r="H817">
        <v>144</v>
      </c>
      <c r="I817">
        <v>90</v>
      </c>
      <c r="J817">
        <v>24.48</v>
      </c>
      <c r="K817">
        <v>181.6</v>
      </c>
      <c r="L817">
        <v>100</v>
      </c>
      <c r="M817">
        <v>15.44</v>
      </c>
      <c r="N817">
        <v>128.1</v>
      </c>
      <c r="O817">
        <v>93</v>
      </c>
      <c r="P817">
        <v>5.76</v>
      </c>
      <c r="Q817">
        <v>12.3</v>
      </c>
      <c r="R817">
        <v>2</v>
      </c>
      <c r="S817">
        <v>3.32</v>
      </c>
      <c r="T817">
        <v>0</v>
      </c>
      <c r="U817" t="s">
        <v>22</v>
      </c>
      <c r="V817" t="e">
        <f>IF(#REF! = "yes", 1, 0)</f>
        <v>#REF!</v>
      </c>
      <c r="W817" t="e">
        <f>IF(#REF! &lt;= 1, "0-1 Calls", IF(#REF! &lt;= 3, "2-3 Calls", IF(#REF! &lt;=5, "4-5 Calls", "6+ Calls")))</f>
        <v>#REF!</v>
      </c>
      <c r="X817" t="e">
        <f>IF(#REF! &lt;= 50, "0-50", IF(#REF! &lt;=100, "51-100", IF(#REF! &lt;= 150, "101-150", "151+")))</f>
        <v>#REF!</v>
      </c>
      <c r="Y817" t="e">
        <f>IF(#REF! &lt;= 3, "Low Charges", "High Charges")</f>
        <v>#REF!</v>
      </c>
      <c r="Z817" t="e">
        <f>IF(#REF!&lt;=80,"Low Calls",
IF(#REF!&lt;=120,"Medium Calls","High Calls"))</f>
        <v>#REF!</v>
      </c>
      <c r="AA817" t="e">
        <f>IF(#REF!&lt;=15,"Low Charges",
IF(#REF!&lt;=20,"Medium Charges","High Charges"))</f>
        <v>#REF!</v>
      </c>
      <c r="AB817" t="e">
        <f>IF(AND(#REF!&gt;180, #REF!&gt;200), "Heavy Doemstic User", IF(#REF!&gt;10, "Interntional User", IF(AND(#REF!&lt;180, #REF!&lt;200,#REF!&lt;200), "Light User", "Balanced User")))</f>
        <v>#REF!</v>
      </c>
      <c r="AC817" t="e">
        <f>IF(#REF! = 0, "No Usage", IF(#REF! &lt;= 20, "Low Usage", IF(#REF! &lt;= 40, "Medium Usgae", "High Usage")))</f>
        <v>#REF!</v>
      </c>
      <c r="AD817" t="e">
        <f>IF(#REF!&lt;=150,"Low Usage", IF(#REF!&lt;=200,"Medium Usage", IF(#REF!&lt;=250,"High Usage","Very High Usage")))</f>
        <v>#REF!</v>
      </c>
      <c r="AE817" t="e">
        <f>IF(#REF!&lt;=5,"Low Calls", IF(#REF!&lt;=10, "Medium Calls", "High Calls"))</f>
        <v>#REF!</v>
      </c>
      <c r="AF817" t="e">
        <f xml:space="preserve">
IF(#REF!&gt;=4,4,0)+
IF(#REF!="yes",3,0)+
IF(#REF!="High Charges",3,0)+
IF(#REF!&gt;250,4,0)+
IF(#REF!="no",1,0)+
IF(#REF!="Heavy Domestic User",2,0)</f>
        <v>#REF!</v>
      </c>
      <c r="AG817" t="e">
        <f>IF(#REF!&gt;=10,"High Risk", IF(#REF!&gt;=5,"Medium Risk","Low Risk"))</f>
        <v>#REF!</v>
      </c>
      <c r="AH817" t="e">
        <f>#REF! + #REF! + #REF! + #REF!</f>
        <v>#REF!</v>
      </c>
    </row>
    <row r="818" spans="1:34" x14ac:dyDescent="0.35">
      <c r="A818">
        <v>817</v>
      </c>
      <c r="B818" t="s">
        <v>52</v>
      </c>
      <c r="C818">
        <v>21</v>
      </c>
      <c r="D818" t="s">
        <v>28</v>
      </c>
      <c r="E818" t="s">
        <v>22</v>
      </c>
      <c r="F818" t="s">
        <v>23</v>
      </c>
      <c r="G818">
        <v>31</v>
      </c>
      <c r="H818">
        <v>135.9</v>
      </c>
      <c r="I818">
        <v>90</v>
      </c>
      <c r="J818">
        <v>23.1</v>
      </c>
      <c r="K818">
        <v>271</v>
      </c>
      <c r="L818">
        <v>84</v>
      </c>
      <c r="M818">
        <v>23.04</v>
      </c>
      <c r="N818">
        <v>179.1</v>
      </c>
      <c r="O818">
        <v>89</v>
      </c>
      <c r="P818">
        <v>8.06</v>
      </c>
      <c r="Q818">
        <v>9.5</v>
      </c>
      <c r="R818">
        <v>7</v>
      </c>
      <c r="S818">
        <v>2.57</v>
      </c>
      <c r="T818">
        <v>6</v>
      </c>
      <c r="U818" t="s">
        <v>22</v>
      </c>
      <c r="V818" t="e">
        <f>IF(#REF! = "yes", 1, 0)</f>
        <v>#REF!</v>
      </c>
      <c r="W818" t="e">
        <f>IF(#REF! &lt;= 1, "0-1 Calls", IF(#REF! &lt;= 3, "2-3 Calls", IF(#REF! &lt;=5, "4-5 Calls", "6+ Calls")))</f>
        <v>#REF!</v>
      </c>
      <c r="X818" t="e">
        <f>IF(#REF! &lt;= 50, "0-50", IF(#REF! &lt;=100, "51-100", IF(#REF! &lt;= 150, "101-150", "151+")))</f>
        <v>#REF!</v>
      </c>
      <c r="Y818" t="e">
        <f>IF(#REF! &lt;= 3, "Low Charges", "High Charges")</f>
        <v>#REF!</v>
      </c>
      <c r="Z818" t="e">
        <f>IF(#REF!&lt;=80,"Low Calls",
IF(#REF!&lt;=120,"Medium Calls","High Calls"))</f>
        <v>#REF!</v>
      </c>
      <c r="AA818" t="e">
        <f>IF(#REF!&lt;=15,"Low Charges",
IF(#REF!&lt;=20,"Medium Charges","High Charges"))</f>
        <v>#REF!</v>
      </c>
      <c r="AB818" t="e">
        <f>IF(AND(#REF!&gt;180, #REF!&gt;200), "Heavy Doemstic User", IF(#REF!&gt;10, "Interntional User", IF(AND(#REF!&lt;180, #REF!&lt;200,#REF!&lt;200), "Light User", "Balanced User")))</f>
        <v>#REF!</v>
      </c>
      <c r="AC818" t="e">
        <f>IF(#REF! = 0, "No Usage", IF(#REF! &lt;= 20, "Low Usage", IF(#REF! &lt;= 40, "Medium Usgae", "High Usage")))</f>
        <v>#REF!</v>
      </c>
      <c r="AD818" t="e">
        <f>IF(#REF!&lt;=150,"Low Usage", IF(#REF!&lt;=200,"Medium Usage", IF(#REF!&lt;=250,"High Usage","Very High Usage")))</f>
        <v>#REF!</v>
      </c>
      <c r="AE818" t="e">
        <f>IF(#REF!&lt;=5,"Low Calls", IF(#REF!&lt;=10, "Medium Calls", "High Calls"))</f>
        <v>#REF!</v>
      </c>
      <c r="AF818" t="e">
        <f xml:space="preserve">
IF(#REF!&gt;=4,4,0)+
IF(#REF!="yes",3,0)+
IF(#REF!="High Charges",3,0)+
IF(#REF!&gt;250,4,0)+
IF(#REF!="no",1,0)+
IF(#REF!="Heavy Domestic User",2,0)</f>
        <v>#REF!</v>
      </c>
      <c r="AG818" t="e">
        <f>IF(#REF!&gt;=10,"High Risk", IF(#REF!&gt;=5,"Medium Risk","Low Risk"))</f>
        <v>#REF!</v>
      </c>
      <c r="AH818" t="e">
        <f>#REF! + #REF! + #REF! + #REF!</f>
        <v>#REF!</v>
      </c>
    </row>
    <row r="819" spans="1:34" x14ac:dyDescent="0.35">
      <c r="A819">
        <v>818</v>
      </c>
      <c r="B819" t="s">
        <v>54</v>
      </c>
      <c r="C819">
        <v>129</v>
      </c>
      <c r="D819" t="s">
        <v>28</v>
      </c>
      <c r="E819" t="s">
        <v>22</v>
      </c>
      <c r="F819" t="s">
        <v>22</v>
      </c>
      <c r="G819">
        <v>0</v>
      </c>
      <c r="H819">
        <v>334.3</v>
      </c>
      <c r="I819">
        <v>118</v>
      </c>
      <c r="J819">
        <v>56.83</v>
      </c>
      <c r="K819">
        <v>192.1</v>
      </c>
      <c r="L819">
        <v>104</v>
      </c>
      <c r="M819">
        <v>16.329999999999998</v>
      </c>
      <c r="N819">
        <v>191</v>
      </c>
      <c r="O819">
        <v>83</v>
      </c>
      <c r="P819">
        <v>8.59</v>
      </c>
      <c r="Q819">
        <v>10.4</v>
      </c>
      <c r="R819">
        <v>6</v>
      </c>
      <c r="S819">
        <v>2.81</v>
      </c>
      <c r="T819">
        <v>0</v>
      </c>
      <c r="U819" t="s">
        <v>23</v>
      </c>
      <c r="V819" t="e">
        <f>IF(#REF! = "yes", 1, 0)</f>
        <v>#REF!</v>
      </c>
      <c r="W819" t="e">
        <f>IF(#REF! &lt;= 1, "0-1 Calls", IF(#REF! &lt;= 3, "2-3 Calls", IF(#REF! &lt;=5, "4-5 Calls", "6+ Calls")))</f>
        <v>#REF!</v>
      </c>
      <c r="X819" t="e">
        <f>IF(#REF! &lt;= 50, "0-50", IF(#REF! &lt;=100, "51-100", IF(#REF! &lt;= 150, "101-150", "151+")))</f>
        <v>#REF!</v>
      </c>
      <c r="Y819" t="e">
        <f>IF(#REF! &lt;= 3, "Low Charges", "High Charges")</f>
        <v>#REF!</v>
      </c>
      <c r="Z819" t="e">
        <f>IF(#REF!&lt;=80,"Low Calls",
IF(#REF!&lt;=120,"Medium Calls","High Calls"))</f>
        <v>#REF!</v>
      </c>
      <c r="AA819" t="e">
        <f>IF(#REF!&lt;=15,"Low Charges",
IF(#REF!&lt;=20,"Medium Charges","High Charges"))</f>
        <v>#REF!</v>
      </c>
      <c r="AB819" t="e">
        <f>IF(AND(#REF!&gt;180, #REF!&gt;200), "Heavy Doemstic User", IF(#REF!&gt;10, "Interntional User", IF(AND(#REF!&lt;180, #REF!&lt;200,#REF!&lt;200), "Light User", "Balanced User")))</f>
        <v>#REF!</v>
      </c>
      <c r="AC819" t="e">
        <f>IF(#REF! = 0, "No Usage", IF(#REF! &lt;= 20, "Low Usage", IF(#REF! &lt;= 40, "Medium Usgae", "High Usage")))</f>
        <v>#REF!</v>
      </c>
      <c r="AD819" t="e">
        <f>IF(#REF!&lt;=150,"Low Usage", IF(#REF!&lt;=200,"Medium Usage", IF(#REF!&lt;=250,"High Usage","Very High Usage")))</f>
        <v>#REF!</v>
      </c>
      <c r="AE819" t="e">
        <f>IF(#REF!&lt;=5,"Low Calls", IF(#REF!&lt;=10, "Medium Calls", "High Calls"))</f>
        <v>#REF!</v>
      </c>
      <c r="AF819" t="e">
        <f xml:space="preserve">
IF(#REF!&gt;=4,4,0)+
IF(#REF!="yes",3,0)+
IF(#REF!="High Charges",3,0)+
IF(#REF!&gt;250,4,0)+
IF(#REF!="no",1,0)+
IF(#REF!="Heavy Domestic User",2,0)</f>
        <v>#REF!</v>
      </c>
      <c r="AG819" t="e">
        <f>IF(#REF!&gt;=10,"High Risk", IF(#REF!&gt;=5,"Medium Risk","Low Risk"))</f>
        <v>#REF!</v>
      </c>
      <c r="AH819" t="e">
        <f>#REF! + #REF! + #REF! + #REF!</f>
        <v>#REF!</v>
      </c>
    </row>
    <row r="820" spans="1:34" x14ac:dyDescent="0.35">
      <c r="A820">
        <v>819</v>
      </c>
      <c r="B820" t="s">
        <v>65</v>
      </c>
      <c r="C820">
        <v>104</v>
      </c>
      <c r="D820" t="s">
        <v>21</v>
      </c>
      <c r="E820" t="s">
        <v>22</v>
      </c>
      <c r="F820" t="s">
        <v>22</v>
      </c>
      <c r="G820">
        <v>0</v>
      </c>
      <c r="H820">
        <v>130.5</v>
      </c>
      <c r="I820">
        <v>77</v>
      </c>
      <c r="J820">
        <v>22.19</v>
      </c>
      <c r="K820">
        <v>131.19999999999999</v>
      </c>
      <c r="L820">
        <v>117</v>
      </c>
      <c r="M820">
        <v>11.15</v>
      </c>
      <c r="N820">
        <v>264.7</v>
      </c>
      <c r="O820">
        <v>63</v>
      </c>
      <c r="P820">
        <v>11.91</v>
      </c>
      <c r="Q820">
        <v>13</v>
      </c>
      <c r="R820">
        <v>6</v>
      </c>
      <c r="S820">
        <v>3.51</v>
      </c>
      <c r="T820">
        <v>0</v>
      </c>
      <c r="U820" t="s">
        <v>22</v>
      </c>
      <c r="V820" t="e">
        <f>IF(#REF! = "yes", 1, 0)</f>
        <v>#REF!</v>
      </c>
      <c r="W820" t="e">
        <f>IF(#REF! &lt;= 1, "0-1 Calls", IF(#REF! &lt;= 3, "2-3 Calls", IF(#REF! &lt;=5, "4-5 Calls", "6+ Calls")))</f>
        <v>#REF!</v>
      </c>
      <c r="X820" t="e">
        <f>IF(#REF! &lt;= 50, "0-50", IF(#REF! &lt;=100, "51-100", IF(#REF! &lt;= 150, "101-150", "151+")))</f>
        <v>#REF!</v>
      </c>
      <c r="Y820" t="e">
        <f>IF(#REF! &lt;= 3, "Low Charges", "High Charges")</f>
        <v>#REF!</v>
      </c>
      <c r="Z820" t="e">
        <f>IF(#REF!&lt;=80,"Low Calls",
IF(#REF!&lt;=120,"Medium Calls","High Calls"))</f>
        <v>#REF!</v>
      </c>
      <c r="AA820" t="e">
        <f>IF(#REF!&lt;=15,"Low Charges",
IF(#REF!&lt;=20,"Medium Charges","High Charges"))</f>
        <v>#REF!</v>
      </c>
      <c r="AB820" t="e">
        <f>IF(AND(#REF!&gt;180, #REF!&gt;200), "Heavy Doemstic User", IF(#REF!&gt;10, "Interntional User", IF(AND(#REF!&lt;180, #REF!&lt;200,#REF!&lt;200), "Light User", "Balanced User")))</f>
        <v>#REF!</v>
      </c>
      <c r="AC820" t="e">
        <f>IF(#REF! = 0, "No Usage", IF(#REF! &lt;= 20, "Low Usage", IF(#REF! &lt;= 40, "Medium Usgae", "High Usage")))</f>
        <v>#REF!</v>
      </c>
      <c r="AD820" t="e">
        <f>IF(#REF!&lt;=150,"Low Usage", IF(#REF!&lt;=200,"Medium Usage", IF(#REF!&lt;=250,"High Usage","Very High Usage")))</f>
        <v>#REF!</v>
      </c>
      <c r="AE820" t="e">
        <f>IF(#REF!&lt;=5,"Low Calls", IF(#REF!&lt;=10, "Medium Calls", "High Calls"))</f>
        <v>#REF!</v>
      </c>
      <c r="AF820" t="e">
        <f xml:space="preserve">
IF(#REF!&gt;=4,4,0)+
IF(#REF!="yes",3,0)+
IF(#REF!="High Charges",3,0)+
IF(#REF!&gt;250,4,0)+
IF(#REF!="no",1,0)+
IF(#REF!="Heavy Domestic User",2,0)</f>
        <v>#REF!</v>
      </c>
      <c r="AG820" t="e">
        <f>IF(#REF!&gt;=10,"High Risk", IF(#REF!&gt;=5,"Medium Risk","Low Risk"))</f>
        <v>#REF!</v>
      </c>
      <c r="AH820" t="e">
        <f>#REF! + #REF! + #REF! + #REF!</f>
        <v>#REF!</v>
      </c>
    </row>
    <row r="821" spans="1:34" x14ac:dyDescent="0.35">
      <c r="A821">
        <v>820</v>
      </c>
      <c r="B821" t="s">
        <v>48</v>
      </c>
      <c r="C821">
        <v>93</v>
      </c>
      <c r="D821" t="s">
        <v>25</v>
      </c>
      <c r="E821" t="s">
        <v>22</v>
      </c>
      <c r="F821" t="s">
        <v>23</v>
      </c>
      <c r="G821">
        <v>21</v>
      </c>
      <c r="H821">
        <v>134.19999999999999</v>
      </c>
      <c r="I821">
        <v>105</v>
      </c>
      <c r="J821">
        <v>22.81</v>
      </c>
      <c r="K821">
        <v>162.5</v>
      </c>
      <c r="L821">
        <v>128</v>
      </c>
      <c r="M821">
        <v>13.81</v>
      </c>
      <c r="N821">
        <v>186.6</v>
      </c>
      <c r="O821">
        <v>90</v>
      </c>
      <c r="P821">
        <v>8.4</v>
      </c>
      <c r="Q821">
        <v>11.8</v>
      </c>
      <c r="R821">
        <v>2</v>
      </c>
      <c r="S821">
        <v>3.19</v>
      </c>
      <c r="T821">
        <v>4</v>
      </c>
      <c r="U821" t="s">
        <v>23</v>
      </c>
      <c r="V821" t="e">
        <f>IF(#REF! = "yes", 1, 0)</f>
        <v>#REF!</v>
      </c>
      <c r="W821" t="e">
        <f>IF(#REF! &lt;= 1, "0-1 Calls", IF(#REF! &lt;= 3, "2-3 Calls", IF(#REF! &lt;=5, "4-5 Calls", "6+ Calls")))</f>
        <v>#REF!</v>
      </c>
      <c r="X821" t="e">
        <f>IF(#REF! &lt;= 50, "0-50", IF(#REF! &lt;=100, "51-100", IF(#REF! &lt;= 150, "101-150", "151+")))</f>
        <v>#REF!</v>
      </c>
      <c r="Y821" t="e">
        <f>IF(#REF! &lt;= 3, "Low Charges", "High Charges")</f>
        <v>#REF!</v>
      </c>
      <c r="Z821" t="e">
        <f>IF(#REF!&lt;=80,"Low Calls",
IF(#REF!&lt;=120,"Medium Calls","High Calls"))</f>
        <v>#REF!</v>
      </c>
      <c r="AA821" t="e">
        <f>IF(#REF!&lt;=15,"Low Charges",
IF(#REF!&lt;=20,"Medium Charges","High Charges"))</f>
        <v>#REF!</v>
      </c>
      <c r="AB821" t="e">
        <f>IF(AND(#REF!&gt;180, #REF!&gt;200), "Heavy Doemstic User", IF(#REF!&gt;10, "Interntional User", IF(AND(#REF!&lt;180, #REF!&lt;200,#REF!&lt;200), "Light User", "Balanced User")))</f>
        <v>#REF!</v>
      </c>
      <c r="AC821" t="e">
        <f>IF(#REF! = 0, "No Usage", IF(#REF! &lt;= 20, "Low Usage", IF(#REF! &lt;= 40, "Medium Usgae", "High Usage")))</f>
        <v>#REF!</v>
      </c>
      <c r="AD821" t="e">
        <f>IF(#REF!&lt;=150,"Low Usage", IF(#REF!&lt;=200,"Medium Usage", IF(#REF!&lt;=250,"High Usage","Very High Usage")))</f>
        <v>#REF!</v>
      </c>
      <c r="AE821" t="e">
        <f>IF(#REF!&lt;=5,"Low Calls", IF(#REF!&lt;=10, "Medium Calls", "High Calls"))</f>
        <v>#REF!</v>
      </c>
      <c r="AF821" t="e">
        <f xml:space="preserve">
IF(#REF!&gt;=4,4,0)+
IF(#REF!="yes",3,0)+
IF(#REF!="High Charges",3,0)+
IF(#REF!&gt;250,4,0)+
IF(#REF!="no",1,0)+
IF(#REF!="Heavy Domestic User",2,0)</f>
        <v>#REF!</v>
      </c>
      <c r="AG821" t="e">
        <f>IF(#REF!&gt;=10,"High Risk", IF(#REF!&gt;=5,"Medium Risk","Low Risk"))</f>
        <v>#REF!</v>
      </c>
      <c r="AH821" t="e">
        <f>#REF! + #REF! + #REF! + #REF!</f>
        <v>#REF!</v>
      </c>
    </row>
    <row r="822" spans="1:34" x14ac:dyDescent="0.35">
      <c r="A822">
        <v>821</v>
      </c>
      <c r="B822" t="s">
        <v>64</v>
      </c>
      <c r="C822">
        <v>63</v>
      </c>
      <c r="D822" t="s">
        <v>21</v>
      </c>
      <c r="E822" t="s">
        <v>22</v>
      </c>
      <c r="F822" t="s">
        <v>22</v>
      </c>
      <c r="G822">
        <v>0</v>
      </c>
      <c r="H822">
        <v>278</v>
      </c>
      <c r="I822">
        <v>102</v>
      </c>
      <c r="J822">
        <v>47.26</v>
      </c>
      <c r="K822">
        <v>266.39999999999998</v>
      </c>
      <c r="L822">
        <v>114</v>
      </c>
      <c r="M822">
        <v>22.64</v>
      </c>
      <c r="N822">
        <v>224.1</v>
      </c>
      <c r="O822">
        <v>118</v>
      </c>
      <c r="P822">
        <v>10.08</v>
      </c>
      <c r="Q822">
        <v>13.1</v>
      </c>
      <c r="R822">
        <v>4</v>
      </c>
      <c r="S822">
        <v>3.54</v>
      </c>
      <c r="T822">
        <v>4</v>
      </c>
      <c r="U822" t="s">
        <v>23</v>
      </c>
      <c r="V822" t="e">
        <f>IF(#REF! = "yes", 1, 0)</f>
        <v>#REF!</v>
      </c>
      <c r="W822" t="e">
        <f>IF(#REF! &lt;= 1, "0-1 Calls", IF(#REF! &lt;= 3, "2-3 Calls", IF(#REF! &lt;=5, "4-5 Calls", "6+ Calls")))</f>
        <v>#REF!</v>
      </c>
      <c r="X822" t="e">
        <f>IF(#REF! &lt;= 50, "0-50", IF(#REF! &lt;=100, "51-100", IF(#REF! &lt;= 150, "101-150", "151+")))</f>
        <v>#REF!</v>
      </c>
      <c r="Y822" t="e">
        <f>IF(#REF! &lt;= 3, "Low Charges", "High Charges")</f>
        <v>#REF!</v>
      </c>
      <c r="Z822" t="e">
        <f>IF(#REF!&lt;=80,"Low Calls",
IF(#REF!&lt;=120,"Medium Calls","High Calls"))</f>
        <v>#REF!</v>
      </c>
      <c r="AA822" t="e">
        <f>IF(#REF!&lt;=15,"Low Charges",
IF(#REF!&lt;=20,"Medium Charges","High Charges"))</f>
        <v>#REF!</v>
      </c>
      <c r="AB822" t="e">
        <f>IF(AND(#REF!&gt;180, #REF!&gt;200), "Heavy Doemstic User", IF(#REF!&gt;10, "Interntional User", IF(AND(#REF!&lt;180, #REF!&lt;200,#REF!&lt;200), "Light User", "Balanced User")))</f>
        <v>#REF!</v>
      </c>
      <c r="AC822" t="e">
        <f>IF(#REF! = 0, "No Usage", IF(#REF! &lt;= 20, "Low Usage", IF(#REF! &lt;= 40, "Medium Usgae", "High Usage")))</f>
        <v>#REF!</v>
      </c>
      <c r="AD822" t="e">
        <f>IF(#REF!&lt;=150,"Low Usage", IF(#REF!&lt;=200,"Medium Usage", IF(#REF!&lt;=250,"High Usage","Very High Usage")))</f>
        <v>#REF!</v>
      </c>
      <c r="AE822" t="e">
        <f>IF(#REF!&lt;=5,"Low Calls", IF(#REF!&lt;=10, "Medium Calls", "High Calls"))</f>
        <v>#REF!</v>
      </c>
      <c r="AF822" t="e">
        <f xml:space="preserve">
IF(#REF!&gt;=4,4,0)+
IF(#REF!="yes",3,0)+
IF(#REF!="High Charges",3,0)+
IF(#REF!&gt;250,4,0)+
IF(#REF!="no",1,0)+
IF(#REF!="Heavy Domestic User",2,0)</f>
        <v>#REF!</v>
      </c>
      <c r="AG822" t="e">
        <f>IF(#REF!&gt;=10,"High Risk", IF(#REF!&gt;=5,"Medium Risk","Low Risk"))</f>
        <v>#REF!</v>
      </c>
      <c r="AH822" t="e">
        <f>#REF! + #REF! + #REF! + #REF!</f>
        <v>#REF!</v>
      </c>
    </row>
    <row r="823" spans="1:34" x14ac:dyDescent="0.35">
      <c r="A823">
        <v>822</v>
      </c>
      <c r="B823" t="s">
        <v>52</v>
      </c>
      <c r="C823">
        <v>161</v>
      </c>
      <c r="D823" t="s">
        <v>21</v>
      </c>
      <c r="E823" t="s">
        <v>22</v>
      </c>
      <c r="F823" t="s">
        <v>22</v>
      </c>
      <c r="G823">
        <v>0</v>
      </c>
      <c r="H823">
        <v>105.4</v>
      </c>
      <c r="I823">
        <v>70</v>
      </c>
      <c r="J823">
        <v>17.920000000000002</v>
      </c>
      <c r="K823">
        <v>214.8</v>
      </c>
      <c r="L823">
        <v>122</v>
      </c>
      <c r="M823">
        <v>18.260000000000002</v>
      </c>
      <c r="N823">
        <v>223.6</v>
      </c>
      <c r="O823">
        <v>126</v>
      </c>
      <c r="P823">
        <v>10.06</v>
      </c>
      <c r="Q823">
        <v>7.8</v>
      </c>
      <c r="R823">
        <v>5</v>
      </c>
      <c r="S823">
        <v>2.11</v>
      </c>
      <c r="T823">
        <v>0</v>
      </c>
      <c r="U823" t="s">
        <v>22</v>
      </c>
      <c r="V823" t="e">
        <f>IF(#REF! = "yes", 1, 0)</f>
        <v>#REF!</v>
      </c>
      <c r="W823" t="e">
        <f>IF(#REF! &lt;= 1, "0-1 Calls", IF(#REF! &lt;= 3, "2-3 Calls", IF(#REF! &lt;=5, "4-5 Calls", "6+ Calls")))</f>
        <v>#REF!</v>
      </c>
      <c r="X823" t="e">
        <f>IF(#REF! &lt;= 50, "0-50", IF(#REF! &lt;=100, "51-100", IF(#REF! &lt;= 150, "101-150", "151+")))</f>
        <v>#REF!</v>
      </c>
      <c r="Y823" t="e">
        <f>IF(#REF! &lt;= 3, "Low Charges", "High Charges")</f>
        <v>#REF!</v>
      </c>
      <c r="Z823" t="e">
        <f>IF(#REF!&lt;=80,"Low Calls",
IF(#REF!&lt;=120,"Medium Calls","High Calls"))</f>
        <v>#REF!</v>
      </c>
      <c r="AA823" t="e">
        <f>IF(#REF!&lt;=15,"Low Charges",
IF(#REF!&lt;=20,"Medium Charges","High Charges"))</f>
        <v>#REF!</v>
      </c>
      <c r="AB823" t="e">
        <f>IF(AND(#REF!&gt;180, #REF!&gt;200), "Heavy Doemstic User", IF(#REF!&gt;10, "Interntional User", IF(AND(#REF!&lt;180, #REF!&lt;200,#REF!&lt;200), "Light User", "Balanced User")))</f>
        <v>#REF!</v>
      </c>
      <c r="AC823" t="e">
        <f>IF(#REF! = 0, "No Usage", IF(#REF! &lt;= 20, "Low Usage", IF(#REF! &lt;= 40, "Medium Usgae", "High Usage")))</f>
        <v>#REF!</v>
      </c>
      <c r="AD823" t="e">
        <f>IF(#REF!&lt;=150,"Low Usage", IF(#REF!&lt;=200,"Medium Usage", IF(#REF!&lt;=250,"High Usage","Very High Usage")))</f>
        <v>#REF!</v>
      </c>
      <c r="AE823" t="e">
        <f>IF(#REF!&lt;=5,"Low Calls", IF(#REF!&lt;=10, "Medium Calls", "High Calls"))</f>
        <v>#REF!</v>
      </c>
      <c r="AF823" t="e">
        <f xml:space="preserve">
IF(#REF!&gt;=4,4,0)+
IF(#REF!="yes",3,0)+
IF(#REF!="High Charges",3,0)+
IF(#REF!&gt;250,4,0)+
IF(#REF!="no",1,0)+
IF(#REF!="Heavy Domestic User",2,0)</f>
        <v>#REF!</v>
      </c>
      <c r="AG823" t="e">
        <f>IF(#REF!&gt;=10,"High Risk", IF(#REF!&gt;=5,"Medium Risk","Low Risk"))</f>
        <v>#REF!</v>
      </c>
      <c r="AH823" t="e">
        <f>#REF! + #REF! + #REF! + #REF!</f>
        <v>#REF!</v>
      </c>
    </row>
    <row r="824" spans="1:34" x14ac:dyDescent="0.35">
      <c r="A824">
        <v>823</v>
      </c>
      <c r="B824" t="s">
        <v>39</v>
      </c>
      <c r="C824">
        <v>50</v>
      </c>
      <c r="D824" t="s">
        <v>28</v>
      </c>
      <c r="E824" t="s">
        <v>22</v>
      </c>
      <c r="F824" t="s">
        <v>22</v>
      </c>
      <c r="G824">
        <v>0</v>
      </c>
      <c r="H824">
        <v>188.9</v>
      </c>
      <c r="I824">
        <v>94</v>
      </c>
      <c r="J824">
        <v>32.11</v>
      </c>
      <c r="K824">
        <v>203.9</v>
      </c>
      <c r="L824">
        <v>104</v>
      </c>
      <c r="M824">
        <v>17.329999999999998</v>
      </c>
      <c r="N824">
        <v>151.80000000000001</v>
      </c>
      <c r="O824">
        <v>124</v>
      </c>
      <c r="P824">
        <v>6.83</v>
      </c>
      <c r="Q824">
        <v>11.6</v>
      </c>
      <c r="R824">
        <v>8</v>
      </c>
      <c r="S824">
        <v>3.13</v>
      </c>
      <c r="T824">
        <v>3</v>
      </c>
      <c r="U824" t="s">
        <v>22</v>
      </c>
      <c r="V824" t="e">
        <f>IF(#REF! = "yes", 1, 0)</f>
        <v>#REF!</v>
      </c>
      <c r="W824" t="e">
        <f>IF(#REF! &lt;= 1, "0-1 Calls", IF(#REF! &lt;= 3, "2-3 Calls", IF(#REF! &lt;=5, "4-5 Calls", "6+ Calls")))</f>
        <v>#REF!</v>
      </c>
      <c r="X824" t="e">
        <f>IF(#REF! &lt;= 50, "0-50", IF(#REF! &lt;=100, "51-100", IF(#REF! &lt;= 150, "101-150", "151+")))</f>
        <v>#REF!</v>
      </c>
      <c r="Y824" t="e">
        <f>IF(#REF! &lt;= 3, "Low Charges", "High Charges")</f>
        <v>#REF!</v>
      </c>
      <c r="Z824" t="e">
        <f>IF(#REF!&lt;=80,"Low Calls",
IF(#REF!&lt;=120,"Medium Calls","High Calls"))</f>
        <v>#REF!</v>
      </c>
      <c r="AA824" t="e">
        <f>IF(#REF!&lt;=15,"Low Charges",
IF(#REF!&lt;=20,"Medium Charges","High Charges"))</f>
        <v>#REF!</v>
      </c>
      <c r="AB824" t="e">
        <f>IF(AND(#REF!&gt;180, #REF!&gt;200), "Heavy Doemstic User", IF(#REF!&gt;10, "Interntional User", IF(AND(#REF!&lt;180, #REF!&lt;200,#REF!&lt;200), "Light User", "Balanced User")))</f>
        <v>#REF!</v>
      </c>
      <c r="AC824" t="e">
        <f>IF(#REF! = 0, "No Usage", IF(#REF! &lt;= 20, "Low Usage", IF(#REF! &lt;= 40, "Medium Usgae", "High Usage")))</f>
        <v>#REF!</v>
      </c>
      <c r="AD824" t="e">
        <f>IF(#REF!&lt;=150,"Low Usage", IF(#REF!&lt;=200,"Medium Usage", IF(#REF!&lt;=250,"High Usage","Very High Usage")))</f>
        <v>#REF!</v>
      </c>
      <c r="AE824" t="e">
        <f>IF(#REF!&lt;=5,"Low Calls", IF(#REF!&lt;=10, "Medium Calls", "High Calls"))</f>
        <v>#REF!</v>
      </c>
      <c r="AF824" t="e">
        <f xml:space="preserve">
IF(#REF!&gt;=4,4,0)+
IF(#REF!="yes",3,0)+
IF(#REF!="High Charges",3,0)+
IF(#REF!&gt;250,4,0)+
IF(#REF!="no",1,0)+
IF(#REF!="Heavy Domestic User",2,0)</f>
        <v>#REF!</v>
      </c>
      <c r="AG824" t="e">
        <f>IF(#REF!&gt;=10,"High Risk", IF(#REF!&gt;=5,"Medium Risk","Low Risk"))</f>
        <v>#REF!</v>
      </c>
      <c r="AH824" t="e">
        <f>#REF! + #REF! + #REF! + #REF!</f>
        <v>#REF!</v>
      </c>
    </row>
    <row r="825" spans="1:34" x14ac:dyDescent="0.35">
      <c r="A825">
        <v>824</v>
      </c>
      <c r="B825" t="s">
        <v>29</v>
      </c>
      <c r="C825">
        <v>103</v>
      </c>
      <c r="D825" t="s">
        <v>25</v>
      </c>
      <c r="E825" t="s">
        <v>22</v>
      </c>
      <c r="F825" t="s">
        <v>23</v>
      </c>
      <c r="G825">
        <v>24</v>
      </c>
      <c r="H825">
        <v>111.8</v>
      </c>
      <c r="I825">
        <v>85</v>
      </c>
      <c r="J825">
        <v>19.010000000000002</v>
      </c>
      <c r="K825">
        <v>239.6</v>
      </c>
      <c r="L825">
        <v>102</v>
      </c>
      <c r="M825">
        <v>20.37</v>
      </c>
      <c r="N825">
        <v>268.3</v>
      </c>
      <c r="O825">
        <v>81</v>
      </c>
      <c r="P825">
        <v>12.07</v>
      </c>
      <c r="Q825">
        <v>6.9</v>
      </c>
      <c r="R825">
        <v>4</v>
      </c>
      <c r="S825">
        <v>1.86</v>
      </c>
      <c r="T825">
        <v>1</v>
      </c>
      <c r="U825" t="s">
        <v>22</v>
      </c>
      <c r="V825" t="e">
        <f>IF(#REF! = "yes", 1, 0)</f>
        <v>#REF!</v>
      </c>
      <c r="W825" t="e">
        <f>IF(#REF! &lt;= 1, "0-1 Calls", IF(#REF! &lt;= 3, "2-3 Calls", IF(#REF! &lt;=5, "4-5 Calls", "6+ Calls")))</f>
        <v>#REF!</v>
      </c>
      <c r="X825" t="e">
        <f>IF(#REF! &lt;= 50, "0-50", IF(#REF! &lt;=100, "51-100", IF(#REF! &lt;= 150, "101-150", "151+")))</f>
        <v>#REF!</v>
      </c>
      <c r="Y825" t="e">
        <f>IF(#REF! &lt;= 3, "Low Charges", "High Charges")</f>
        <v>#REF!</v>
      </c>
      <c r="Z825" t="e">
        <f>IF(#REF!&lt;=80,"Low Calls",
IF(#REF!&lt;=120,"Medium Calls","High Calls"))</f>
        <v>#REF!</v>
      </c>
      <c r="AA825" t="e">
        <f>IF(#REF!&lt;=15,"Low Charges",
IF(#REF!&lt;=20,"Medium Charges","High Charges"))</f>
        <v>#REF!</v>
      </c>
      <c r="AB825" t="e">
        <f>IF(AND(#REF!&gt;180, #REF!&gt;200), "Heavy Doemstic User", IF(#REF!&gt;10, "Interntional User", IF(AND(#REF!&lt;180, #REF!&lt;200,#REF!&lt;200), "Light User", "Balanced User")))</f>
        <v>#REF!</v>
      </c>
      <c r="AC825" t="e">
        <f>IF(#REF! = 0, "No Usage", IF(#REF! &lt;= 20, "Low Usage", IF(#REF! &lt;= 40, "Medium Usgae", "High Usage")))</f>
        <v>#REF!</v>
      </c>
      <c r="AD825" t="e">
        <f>IF(#REF!&lt;=150,"Low Usage", IF(#REF!&lt;=200,"Medium Usage", IF(#REF!&lt;=250,"High Usage","Very High Usage")))</f>
        <v>#REF!</v>
      </c>
      <c r="AE825" t="e">
        <f>IF(#REF!&lt;=5,"Low Calls", IF(#REF!&lt;=10, "Medium Calls", "High Calls"))</f>
        <v>#REF!</v>
      </c>
      <c r="AF825" t="e">
        <f xml:space="preserve">
IF(#REF!&gt;=4,4,0)+
IF(#REF!="yes",3,0)+
IF(#REF!="High Charges",3,0)+
IF(#REF!&gt;250,4,0)+
IF(#REF!="no",1,0)+
IF(#REF!="Heavy Domestic User",2,0)</f>
        <v>#REF!</v>
      </c>
      <c r="AG825" t="e">
        <f>IF(#REF!&gt;=10,"High Risk", IF(#REF!&gt;=5,"Medium Risk","Low Risk"))</f>
        <v>#REF!</v>
      </c>
      <c r="AH825" t="e">
        <f>#REF! + #REF! + #REF! + #REF!</f>
        <v>#REF!</v>
      </c>
    </row>
    <row r="826" spans="1:34" x14ac:dyDescent="0.35">
      <c r="A826">
        <v>825</v>
      </c>
      <c r="B826" t="s">
        <v>75</v>
      </c>
      <c r="C826">
        <v>84</v>
      </c>
      <c r="D826" t="s">
        <v>21</v>
      </c>
      <c r="E826" t="s">
        <v>22</v>
      </c>
      <c r="F826" t="s">
        <v>23</v>
      </c>
      <c r="G826">
        <v>33</v>
      </c>
      <c r="H826">
        <v>159.1</v>
      </c>
      <c r="I826">
        <v>106</v>
      </c>
      <c r="J826">
        <v>27.05</v>
      </c>
      <c r="K826">
        <v>149.80000000000001</v>
      </c>
      <c r="L826">
        <v>101</v>
      </c>
      <c r="M826">
        <v>12.73</v>
      </c>
      <c r="N826">
        <v>213.4</v>
      </c>
      <c r="O826">
        <v>108</v>
      </c>
      <c r="P826">
        <v>9.6</v>
      </c>
      <c r="Q826">
        <v>13</v>
      </c>
      <c r="R826">
        <v>18</v>
      </c>
      <c r="S826">
        <v>3.51</v>
      </c>
      <c r="T826">
        <v>1</v>
      </c>
      <c r="U826" t="s">
        <v>22</v>
      </c>
      <c r="V826" t="e">
        <f>IF(#REF! = "yes", 1, 0)</f>
        <v>#REF!</v>
      </c>
      <c r="W826" t="e">
        <f>IF(#REF! &lt;= 1, "0-1 Calls", IF(#REF! &lt;= 3, "2-3 Calls", IF(#REF! &lt;=5, "4-5 Calls", "6+ Calls")))</f>
        <v>#REF!</v>
      </c>
      <c r="X826" t="e">
        <f>IF(#REF! &lt;= 50, "0-50", IF(#REF! &lt;=100, "51-100", IF(#REF! &lt;= 150, "101-150", "151+")))</f>
        <v>#REF!</v>
      </c>
      <c r="Y826" t="e">
        <f>IF(#REF! &lt;= 3, "Low Charges", "High Charges")</f>
        <v>#REF!</v>
      </c>
      <c r="Z826" t="e">
        <f>IF(#REF!&lt;=80,"Low Calls",
IF(#REF!&lt;=120,"Medium Calls","High Calls"))</f>
        <v>#REF!</v>
      </c>
      <c r="AA826" t="e">
        <f>IF(#REF!&lt;=15,"Low Charges",
IF(#REF!&lt;=20,"Medium Charges","High Charges"))</f>
        <v>#REF!</v>
      </c>
      <c r="AB826" t="e">
        <f>IF(AND(#REF!&gt;180, #REF!&gt;200), "Heavy Doemstic User", IF(#REF!&gt;10, "Interntional User", IF(AND(#REF!&lt;180, #REF!&lt;200,#REF!&lt;200), "Light User", "Balanced User")))</f>
        <v>#REF!</v>
      </c>
      <c r="AC826" t="e">
        <f>IF(#REF! = 0, "No Usage", IF(#REF! &lt;= 20, "Low Usage", IF(#REF! &lt;= 40, "Medium Usgae", "High Usage")))</f>
        <v>#REF!</v>
      </c>
      <c r="AD826" t="e">
        <f>IF(#REF!&lt;=150,"Low Usage", IF(#REF!&lt;=200,"Medium Usage", IF(#REF!&lt;=250,"High Usage","Very High Usage")))</f>
        <v>#REF!</v>
      </c>
      <c r="AE826" t="e">
        <f>IF(#REF!&lt;=5,"Low Calls", IF(#REF!&lt;=10, "Medium Calls", "High Calls"))</f>
        <v>#REF!</v>
      </c>
      <c r="AF826" t="e">
        <f xml:space="preserve">
IF(#REF!&gt;=4,4,0)+
IF(#REF!="yes",3,0)+
IF(#REF!="High Charges",3,0)+
IF(#REF!&gt;250,4,0)+
IF(#REF!="no",1,0)+
IF(#REF!="Heavy Domestic User",2,0)</f>
        <v>#REF!</v>
      </c>
      <c r="AG826" t="e">
        <f>IF(#REF!&gt;=10,"High Risk", IF(#REF!&gt;=5,"Medium Risk","Low Risk"))</f>
        <v>#REF!</v>
      </c>
      <c r="AH826" t="e">
        <f>#REF! + #REF! + #REF! + #REF!</f>
        <v>#REF!</v>
      </c>
    </row>
    <row r="827" spans="1:34" x14ac:dyDescent="0.35">
      <c r="A827">
        <v>826</v>
      </c>
      <c r="B827" t="s">
        <v>60</v>
      </c>
      <c r="C827">
        <v>92</v>
      </c>
      <c r="D827" t="s">
        <v>28</v>
      </c>
      <c r="E827" t="s">
        <v>22</v>
      </c>
      <c r="F827" t="s">
        <v>22</v>
      </c>
      <c r="G827">
        <v>0</v>
      </c>
      <c r="H827">
        <v>212.4</v>
      </c>
      <c r="I827">
        <v>105</v>
      </c>
      <c r="J827">
        <v>36.11</v>
      </c>
      <c r="K827">
        <v>224.6</v>
      </c>
      <c r="L827">
        <v>118</v>
      </c>
      <c r="M827">
        <v>19.09</v>
      </c>
      <c r="N827">
        <v>221.3</v>
      </c>
      <c r="O827">
        <v>105</v>
      </c>
      <c r="P827">
        <v>9.9600000000000009</v>
      </c>
      <c r="Q827">
        <v>9</v>
      </c>
      <c r="R827">
        <v>4</v>
      </c>
      <c r="S827">
        <v>2.4300000000000002</v>
      </c>
      <c r="T827">
        <v>1</v>
      </c>
      <c r="U827" t="s">
        <v>22</v>
      </c>
      <c r="V827" t="e">
        <f>IF(#REF! = "yes", 1, 0)</f>
        <v>#REF!</v>
      </c>
      <c r="W827" t="e">
        <f>IF(#REF! &lt;= 1, "0-1 Calls", IF(#REF! &lt;= 3, "2-3 Calls", IF(#REF! &lt;=5, "4-5 Calls", "6+ Calls")))</f>
        <v>#REF!</v>
      </c>
      <c r="X827" t="e">
        <f>IF(#REF! &lt;= 50, "0-50", IF(#REF! &lt;=100, "51-100", IF(#REF! &lt;= 150, "101-150", "151+")))</f>
        <v>#REF!</v>
      </c>
      <c r="Y827" t="e">
        <f>IF(#REF! &lt;= 3, "Low Charges", "High Charges")</f>
        <v>#REF!</v>
      </c>
      <c r="Z827" t="e">
        <f>IF(#REF!&lt;=80,"Low Calls",
IF(#REF!&lt;=120,"Medium Calls","High Calls"))</f>
        <v>#REF!</v>
      </c>
      <c r="AA827" t="e">
        <f>IF(#REF!&lt;=15,"Low Charges",
IF(#REF!&lt;=20,"Medium Charges","High Charges"))</f>
        <v>#REF!</v>
      </c>
      <c r="AB827" t="e">
        <f>IF(AND(#REF!&gt;180, #REF!&gt;200), "Heavy Doemstic User", IF(#REF!&gt;10, "Interntional User", IF(AND(#REF!&lt;180, #REF!&lt;200,#REF!&lt;200), "Light User", "Balanced User")))</f>
        <v>#REF!</v>
      </c>
      <c r="AC827" t="e">
        <f>IF(#REF! = 0, "No Usage", IF(#REF! &lt;= 20, "Low Usage", IF(#REF! &lt;= 40, "Medium Usgae", "High Usage")))</f>
        <v>#REF!</v>
      </c>
      <c r="AD827" t="e">
        <f>IF(#REF!&lt;=150,"Low Usage", IF(#REF!&lt;=200,"Medium Usage", IF(#REF!&lt;=250,"High Usage","Very High Usage")))</f>
        <v>#REF!</v>
      </c>
      <c r="AE827" t="e">
        <f>IF(#REF!&lt;=5,"Low Calls", IF(#REF!&lt;=10, "Medium Calls", "High Calls"))</f>
        <v>#REF!</v>
      </c>
      <c r="AF827" t="e">
        <f xml:space="preserve">
IF(#REF!&gt;=4,4,0)+
IF(#REF!="yes",3,0)+
IF(#REF!="High Charges",3,0)+
IF(#REF!&gt;250,4,0)+
IF(#REF!="no",1,0)+
IF(#REF!="Heavy Domestic User",2,0)</f>
        <v>#REF!</v>
      </c>
      <c r="AG827" t="e">
        <f>IF(#REF!&gt;=10,"High Risk", IF(#REF!&gt;=5,"Medium Risk","Low Risk"))</f>
        <v>#REF!</v>
      </c>
      <c r="AH827" t="e">
        <f>#REF! + #REF! + #REF! + #REF!</f>
        <v>#REF!</v>
      </c>
    </row>
    <row r="828" spans="1:34" x14ac:dyDescent="0.35">
      <c r="A828">
        <v>827</v>
      </c>
      <c r="B828" t="s">
        <v>62</v>
      </c>
      <c r="C828">
        <v>77</v>
      </c>
      <c r="D828" t="s">
        <v>21</v>
      </c>
      <c r="E828" t="s">
        <v>22</v>
      </c>
      <c r="F828" t="s">
        <v>22</v>
      </c>
      <c r="G828">
        <v>0</v>
      </c>
      <c r="H828">
        <v>142.30000000000001</v>
      </c>
      <c r="I828">
        <v>112</v>
      </c>
      <c r="J828">
        <v>24.19</v>
      </c>
      <c r="K828">
        <v>306.3</v>
      </c>
      <c r="L828">
        <v>111</v>
      </c>
      <c r="M828">
        <v>26.04</v>
      </c>
      <c r="N828">
        <v>196.5</v>
      </c>
      <c r="O828">
        <v>82</v>
      </c>
      <c r="P828">
        <v>8.84</v>
      </c>
      <c r="Q828">
        <v>9.9</v>
      </c>
      <c r="R828">
        <v>1</v>
      </c>
      <c r="S828">
        <v>2.67</v>
      </c>
      <c r="T828">
        <v>1</v>
      </c>
      <c r="U828" t="s">
        <v>22</v>
      </c>
      <c r="V828" t="e">
        <f>IF(#REF! = "yes", 1, 0)</f>
        <v>#REF!</v>
      </c>
      <c r="W828" t="e">
        <f>IF(#REF! &lt;= 1, "0-1 Calls", IF(#REF! &lt;= 3, "2-3 Calls", IF(#REF! &lt;=5, "4-5 Calls", "6+ Calls")))</f>
        <v>#REF!</v>
      </c>
      <c r="X828" t="e">
        <f>IF(#REF! &lt;= 50, "0-50", IF(#REF! &lt;=100, "51-100", IF(#REF! &lt;= 150, "101-150", "151+")))</f>
        <v>#REF!</v>
      </c>
      <c r="Y828" t="e">
        <f>IF(#REF! &lt;= 3, "Low Charges", "High Charges")</f>
        <v>#REF!</v>
      </c>
      <c r="Z828" t="e">
        <f>IF(#REF!&lt;=80,"Low Calls",
IF(#REF!&lt;=120,"Medium Calls","High Calls"))</f>
        <v>#REF!</v>
      </c>
      <c r="AA828" t="e">
        <f>IF(#REF!&lt;=15,"Low Charges",
IF(#REF!&lt;=20,"Medium Charges","High Charges"))</f>
        <v>#REF!</v>
      </c>
      <c r="AB828" t="e">
        <f>IF(AND(#REF!&gt;180, #REF!&gt;200), "Heavy Doemstic User", IF(#REF!&gt;10, "Interntional User", IF(AND(#REF!&lt;180, #REF!&lt;200,#REF!&lt;200), "Light User", "Balanced User")))</f>
        <v>#REF!</v>
      </c>
      <c r="AC828" t="e">
        <f>IF(#REF! = 0, "No Usage", IF(#REF! &lt;= 20, "Low Usage", IF(#REF! &lt;= 40, "Medium Usgae", "High Usage")))</f>
        <v>#REF!</v>
      </c>
      <c r="AD828" t="e">
        <f>IF(#REF!&lt;=150,"Low Usage", IF(#REF!&lt;=200,"Medium Usage", IF(#REF!&lt;=250,"High Usage","Very High Usage")))</f>
        <v>#REF!</v>
      </c>
      <c r="AE828" t="e">
        <f>IF(#REF!&lt;=5,"Low Calls", IF(#REF!&lt;=10, "Medium Calls", "High Calls"))</f>
        <v>#REF!</v>
      </c>
      <c r="AF828" t="e">
        <f xml:space="preserve">
IF(#REF!&gt;=4,4,0)+
IF(#REF!="yes",3,0)+
IF(#REF!="High Charges",3,0)+
IF(#REF!&gt;250,4,0)+
IF(#REF!="no",1,0)+
IF(#REF!="Heavy Domestic User",2,0)</f>
        <v>#REF!</v>
      </c>
      <c r="AG828" t="e">
        <f>IF(#REF!&gt;=10,"High Risk", IF(#REF!&gt;=5,"Medium Risk","Low Risk"))</f>
        <v>#REF!</v>
      </c>
      <c r="AH828" t="e">
        <f>#REF! + #REF! + #REF! + #REF!</f>
        <v>#REF!</v>
      </c>
    </row>
    <row r="829" spans="1:34" x14ac:dyDescent="0.35">
      <c r="A829">
        <v>828</v>
      </c>
      <c r="B829" t="s">
        <v>36</v>
      </c>
      <c r="C829">
        <v>64</v>
      </c>
      <c r="D829" t="s">
        <v>21</v>
      </c>
      <c r="E829" t="s">
        <v>23</v>
      </c>
      <c r="F829" t="s">
        <v>22</v>
      </c>
      <c r="G829">
        <v>0</v>
      </c>
      <c r="H829">
        <v>346.8</v>
      </c>
      <c r="I829">
        <v>55</v>
      </c>
      <c r="J829">
        <v>58.96</v>
      </c>
      <c r="K829">
        <v>249.5</v>
      </c>
      <c r="L829">
        <v>79</v>
      </c>
      <c r="M829">
        <v>21.21</v>
      </c>
      <c r="N829">
        <v>275.39999999999998</v>
      </c>
      <c r="O829">
        <v>102</v>
      </c>
      <c r="P829">
        <v>12.39</v>
      </c>
      <c r="Q829">
        <v>13.3</v>
      </c>
      <c r="R829">
        <v>9</v>
      </c>
      <c r="S829">
        <v>3.59</v>
      </c>
      <c r="T829">
        <v>1</v>
      </c>
      <c r="U829" t="s">
        <v>23</v>
      </c>
      <c r="V829" t="e">
        <f>IF(#REF! = "yes", 1, 0)</f>
        <v>#REF!</v>
      </c>
      <c r="W829" t="e">
        <f>IF(#REF! &lt;= 1, "0-1 Calls", IF(#REF! &lt;= 3, "2-3 Calls", IF(#REF! &lt;=5, "4-5 Calls", "6+ Calls")))</f>
        <v>#REF!</v>
      </c>
      <c r="X829" t="e">
        <f>IF(#REF! &lt;= 50, "0-50", IF(#REF! &lt;=100, "51-100", IF(#REF! &lt;= 150, "101-150", "151+")))</f>
        <v>#REF!</v>
      </c>
      <c r="Y829" t="e">
        <f>IF(#REF! &lt;= 3, "Low Charges", "High Charges")</f>
        <v>#REF!</v>
      </c>
      <c r="Z829" t="e">
        <f>IF(#REF!&lt;=80,"Low Calls",
IF(#REF!&lt;=120,"Medium Calls","High Calls"))</f>
        <v>#REF!</v>
      </c>
      <c r="AA829" t="e">
        <f>IF(#REF!&lt;=15,"Low Charges",
IF(#REF!&lt;=20,"Medium Charges","High Charges"))</f>
        <v>#REF!</v>
      </c>
      <c r="AB829" t="e">
        <f>IF(AND(#REF!&gt;180, #REF!&gt;200), "Heavy Doemstic User", IF(#REF!&gt;10, "Interntional User", IF(AND(#REF!&lt;180, #REF!&lt;200,#REF!&lt;200), "Light User", "Balanced User")))</f>
        <v>#REF!</v>
      </c>
      <c r="AC829" t="e">
        <f>IF(#REF! = 0, "No Usage", IF(#REF! &lt;= 20, "Low Usage", IF(#REF! &lt;= 40, "Medium Usgae", "High Usage")))</f>
        <v>#REF!</v>
      </c>
      <c r="AD829" t="e">
        <f>IF(#REF!&lt;=150,"Low Usage", IF(#REF!&lt;=200,"Medium Usage", IF(#REF!&lt;=250,"High Usage","Very High Usage")))</f>
        <v>#REF!</v>
      </c>
      <c r="AE829" t="e">
        <f>IF(#REF!&lt;=5,"Low Calls", IF(#REF!&lt;=10, "Medium Calls", "High Calls"))</f>
        <v>#REF!</v>
      </c>
      <c r="AF829" t="e">
        <f xml:space="preserve">
IF(#REF!&gt;=4,4,0)+
IF(#REF!="yes",3,0)+
IF(#REF!="High Charges",3,0)+
IF(#REF!&gt;250,4,0)+
IF(#REF!="no",1,0)+
IF(#REF!="Heavy Domestic User",2,0)</f>
        <v>#REF!</v>
      </c>
      <c r="AG829" t="e">
        <f>IF(#REF!&gt;=10,"High Risk", IF(#REF!&gt;=5,"Medium Risk","Low Risk"))</f>
        <v>#REF!</v>
      </c>
      <c r="AH829" t="e">
        <f>#REF! + #REF! + #REF! + #REF!</f>
        <v>#REF!</v>
      </c>
    </row>
    <row r="830" spans="1:34" x14ac:dyDescent="0.35">
      <c r="A830">
        <v>829</v>
      </c>
      <c r="B830" t="s">
        <v>40</v>
      </c>
      <c r="C830">
        <v>159</v>
      </c>
      <c r="D830" t="s">
        <v>21</v>
      </c>
      <c r="E830" t="s">
        <v>22</v>
      </c>
      <c r="F830" t="s">
        <v>23</v>
      </c>
      <c r="G830">
        <v>15</v>
      </c>
      <c r="H830">
        <v>113.9</v>
      </c>
      <c r="I830">
        <v>102</v>
      </c>
      <c r="J830">
        <v>19.36</v>
      </c>
      <c r="K830">
        <v>145.30000000000001</v>
      </c>
      <c r="L830">
        <v>146</v>
      </c>
      <c r="M830">
        <v>12.35</v>
      </c>
      <c r="N830">
        <v>195.2</v>
      </c>
      <c r="O830">
        <v>137</v>
      </c>
      <c r="P830">
        <v>8.7799999999999994</v>
      </c>
      <c r="Q830">
        <v>11.8</v>
      </c>
      <c r="R830">
        <v>9</v>
      </c>
      <c r="S830">
        <v>3.19</v>
      </c>
      <c r="T830">
        <v>1</v>
      </c>
      <c r="U830" t="s">
        <v>22</v>
      </c>
      <c r="V830" t="e">
        <f>IF(#REF! = "yes", 1, 0)</f>
        <v>#REF!</v>
      </c>
      <c r="W830" t="e">
        <f>IF(#REF! &lt;= 1, "0-1 Calls", IF(#REF! &lt;= 3, "2-3 Calls", IF(#REF! &lt;=5, "4-5 Calls", "6+ Calls")))</f>
        <v>#REF!</v>
      </c>
      <c r="X830" t="e">
        <f>IF(#REF! &lt;= 50, "0-50", IF(#REF! &lt;=100, "51-100", IF(#REF! &lt;= 150, "101-150", "151+")))</f>
        <v>#REF!</v>
      </c>
      <c r="Y830" t="e">
        <f>IF(#REF! &lt;= 3, "Low Charges", "High Charges")</f>
        <v>#REF!</v>
      </c>
      <c r="Z830" t="e">
        <f>IF(#REF!&lt;=80,"Low Calls",
IF(#REF!&lt;=120,"Medium Calls","High Calls"))</f>
        <v>#REF!</v>
      </c>
      <c r="AA830" t="e">
        <f>IF(#REF!&lt;=15,"Low Charges",
IF(#REF!&lt;=20,"Medium Charges","High Charges"))</f>
        <v>#REF!</v>
      </c>
      <c r="AB830" t="e">
        <f>IF(AND(#REF!&gt;180, #REF!&gt;200), "Heavy Doemstic User", IF(#REF!&gt;10, "Interntional User", IF(AND(#REF!&lt;180, #REF!&lt;200,#REF!&lt;200), "Light User", "Balanced User")))</f>
        <v>#REF!</v>
      </c>
      <c r="AC830" t="e">
        <f>IF(#REF! = 0, "No Usage", IF(#REF! &lt;= 20, "Low Usage", IF(#REF! &lt;= 40, "Medium Usgae", "High Usage")))</f>
        <v>#REF!</v>
      </c>
      <c r="AD830" t="e">
        <f>IF(#REF!&lt;=150,"Low Usage", IF(#REF!&lt;=200,"Medium Usage", IF(#REF!&lt;=250,"High Usage","Very High Usage")))</f>
        <v>#REF!</v>
      </c>
      <c r="AE830" t="e">
        <f>IF(#REF!&lt;=5,"Low Calls", IF(#REF!&lt;=10, "Medium Calls", "High Calls"))</f>
        <v>#REF!</v>
      </c>
      <c r="AF830" t="e">
        <f xml:space="preserve">
IF(#REF!&gt;=4,4,0)+
IF(#REF!="yes",3,0)+
IF(#REF!="High Charges",3,0)+
IF(#REF!&gt;250,4,0)+
IF(#REF!="no",1,0)+
IF(#REF!="Heavy Domestic User",2,0)</f>
        <v>#REF!</v>
      </c>
      <c r="AG830" t="e">
        <f>IF(#REF!&gt;=10,"High Risk", IF(#REF!&gt;=5,"Medium Risk","Low Risk"))</f>
        <v>#REF!</v>
      </c>
      <c r="AH830" t="e">
        <f>#REF! + #REF! + #REF! + #REF!</f>
        <v>#REF!</v>
      </c>
    </row>
    <row r="831" spans="1:34" x14ac:dyDescent="0.35">
      <c r="A831">
        <v>830</v>
      </c>
      <c r="B831" t="s">
        <v>70</v>
      </c>
      <c r="C831">
        <v>110</v>
      </c>
      <c r="D831" t="s">
        <v>21</v>
      </c>
      <c r="E831" t="s">
        <v>23</v>
      </c>
      <c r="F831" t="s">
        <v>23</v>
      </c>
      <c r="G831">
        <v>27</v>
      </c>
      <c r="H831">
        <v>267.89999999999998</v>
      </c>
      <c r="I831">
        <v>103</v>
      </c>
      <c r="J831">
        <v>45.54</v>
      </c>
      <c r="K831">
        <v>263.3</v>
      </c>
      <c r="L831">
        <v>74</v>
      </c>
      <c r="M831">
        <v>22.38</v>
      </c>
      <c r="N831">
        <v>178.1</v>
      </c>
      <c r="O831">
        <v>106</v>
      </c>
      <c r="P831">
        <v>8.01</v>
      </c>
      <c r="Q831">
        <v>8.3000000000000007</v>
      </c>
      <c r="R831">
        <v>2</v>
      </c>
      <c r="S831">
        <v>2.2400000000000002</v>
      </c>
      <c r="T831">
        <v>1</v>
      </c>
      <c r="U831" t="s">
        <v>23</v>
      </c>
      <c r="V831" t="e">
        <f>IF(#REF! = "yes", 1, 0)</f>
        <v>#REF!</v>
      </c>
      <c r="W831" t="e">
        <f>IF(#REF! &lt;= 1, "0-1 Calls", IF(#REF! &lt;= 3, "2-3 Calls", IF(#REF! &lt;=5, "4-5 Calls", "6+ Calls")))</f>
        <v>#REF!</v>
      </c>
      <c r="X831" t="e">
        <f>IF(#REF! &lt;= 50, "0-50", IF(#REF! &lt;=100, "51-100", IF(#REF! &lt;= 150, "101-150", "151+")))</f>
        <v>#REF!</v>
      </c>
      <c r="Y831" t="e">
        <f>IF(#REF! &lt;= 3, "Low Charges", "High Charges")</f>
        <v>#REF!</v>
      </c>
      <c r="Z831" t="e">
        <f>IF(#REF!&lt;=80,"Low Calls",
IF(#REF!&lt;=120,"Medium Calls","High Calls"))</f>
        <v>#REF!</v>
      </c>
      <c r="AA831" t="e">
        <f>IF(#REF!&lt;=15,"Low Charges",
IF(#REF!&lt;=20,"Medium Charges","High Charges"))</f>
        <v>#REF!</v>
      </c>
      <c r="AB831" t="e">
        <f>IF(AND(#REF!&gt;180, #REF!&gt;200), "Heavy Doemstic User", IF(#REF!&gt;10, "Interntional User", IF(AND(#REF!&lt;180, #REF!&lt;200,#REF!&lt;200), "Light User", "Balanced User")))</f>
        <v>#REF!</v>
      </c>
      <c r="AC831" t="e">
        <f>IF(#REF! = 0, "No Usage", IF(#REF! &lt;= 20, "Low Usage", IF(#REF! &lt;= 40, "Medium Usgae", "High Usage")))</f>
        <v>#REF!</v>
      </c>
      <c r="AD831" t="e">
        <f>IF(#REF!&lt;=150,"Low Usage", IF(#REF!&lt;=200,"Medium Usage", IF(#REF!&lt;=250,"High Usage","Very High Usage")))</f>
        <v>#REF!</v>
      </c>
      <c r="AE831" t="e">
        <f>IF(#REF!&lt;=5,"Low Calls", IF(#REF!&lt;=10, "Medium Calls", "High Calls"))</f>
        <v>#REF!</v>
      </c>
      <c r="AF831" t="e">
        <f xml:space="preserve">
IF(#REF!&gt;=4,4,0)+
IF(#REF!="yes",3,0)+
IF(#REF!="High Charges",3,0)+
IF(#REF!&gt;250,4,0)+
IF(#REF!="no",1,0)+
IF(#REF!="Heavy Domestic User",2,0)</f>
        <v>#REF!</v>
      </c>
      <c r="AG831" t="e">
        <f>IF(#REF!&gt;=10,"High Risk", IF(#REF!&gt;=5,"Medium Risk","Low Risk"))</f>
        <v>#REF!</v>
      </c>
      <c r="AH831" t="e">
        <f>#REF! + #REF! + #REF! + #REF!</f>
        <v>#REF!</v>
      </c>
    </row>
    <row r="832" spans="1:34" x14ac:dyDescent="0.35">
      <c r="A832">
        <v>831</v>
      </c>
      <c r="B832" t="s">
        <v>62</v>
      </c>
      <c r="C832">
        <v>178</v>
      </c>
      <c r="D832" t="s">
        <v>25</v>
      </c>
      <c r="E832" t="s">
        <v>22</v>
      </c>
      <c r="F832" t="s">
        <v>22</v>
      </c>
      <c r="G832">
        <v>0</v>
      </c>
      <c r="H832">
        <v>275.39999999999998</v>
      </c>
      <c r="I832">
        <v>150</v>
      </c>
      <c r="J832">
        <v>46.82</v>
      </c>
      <c r="K832">
        <v>187.5</v>
      </c>
      <c r="L832">
        <v>62</v>
      </c>
      <c r="M832">
        <v>15.94</v>
      </c>
      <c r="N832">
        <v>147.1</v>
      </c>
      <c r="O832">
        <v>126</v>
      </c>
      <c r="P832">
        <v>6.62</v>
      </c>
      <c r="Q832">
        <v>13.6</v>
      </c>
      <c r="R832">
        <v>3</v>
      </c>
      <c r="S832">
        <v>3.67</v>
      </c>
      <c r="T832">
        <v>1</v>
      </c>
      <c r="U832" t="s">
        <v>22</v>
      </c>
      <c r="V832" t="e">
        <f>IF(#REF! = "yes", 1, 0)</f>
        <v>#REF!</v>
      </c>
      <c r="W832" t="e">
        <f>IF(#REF! &lt;= 1, "0-1 Calls", IF(#REF! &lt;= 3, "2-3 Calls", IF(#REF! &lt;=5, "4-5 Calls", "6+ Calls")))</f>
        <v>#REF!</v>
      </c>
      <c r="X832" t="e">
        <f>IF(#REF! &lt;= 50, "0-50", IF(#REF! &lt;=100, "51-100", IF(#REF! &lt;= 150, "101-150", "151+")))</f>
        <v>#REF!</v>
      </c>
      <c r="Y832" t="e">
        <f>IF(#REF! &lt;= 3, "Low Charges", "High Charges")</f>
        <v>#REF!</v>
      </c>
      <c r="Z832" t="e">
        <f>IF(#REF!&lt;=80,"Low Calls",
IF(#REF!&lt;=120,"Medium Calls","High Calls"))</f>
        <v>#REF!</v>
      </c>
      <c r="AA832" t="e">
        <f>IF(#REF!&lt;=15,"Low Charges",
IF(#REF!&lt;=20,"Medium Charges","High Charges"))</f>
        <v>#REF!</v>
      </c>
      <c r="AB832" t="e">
        <f>IF(AND(#REF!&gt;180, #REF!&gt;200), "Heavy Doemstic User", IF(#REF!&gt;10, "Interntional User", IF(AND(#REF!&lt;180, #REF!&lt;200,#REF!&lt;200), "Light User", "Balanced User")))</f>
        <v>#REF!</v>
      </c>
      <c r="AC832" t="e">
        <f>IF(#REF! = 0, "No Usage", IF(#REF! &lt;= 20, "Low Usage", IF(#REF! &lt;= 40, "Medium Usgae", "High Usage")))</f>
        <v>#REF!</v>
      </c>
      <c r="AD832" t="e">
        <f>IF(#REF!&lt;=150,"Low Usage", IF(#REF!&lt;=200,"Medium Usage", IF(#REF!&lt;=250,"High Usage","Very High Usage")))</f>
        <v>#REF!</v>
      </c>
      <c r="AE832" t="e">
        <f>IF(#REF!&lt;=5,"Low Calls", IF(#REF!&lt;=10, "Medium Calls", "High Calls"))</f>
        <v>#REF!</v>
      </c>
      <c r="AF832" t="e">
        <f xml:space="preserve">
IF(#REF!&gt;=4,4,0)+
IF(#REF!="yes",3,0)+
IF(#REF!="High Charges",3,0)+
IF(#REF!&gt;250,4,0)+
IF(#REF!="no",1,0)+
IF(#REF!="Heavy Domestic User",2,0)</f>
        <v>#REF!</v>
      </c>
      <c r="AG832" t="e">
        <f>IF(#REF!&gt;=10,"High Risk", IF(#REF!&gt;=5,"Medium Risk","Low Risk"))</f>
        <v>#REF!</v>
      </c>
      <c r="AH832" t="e">
        <f>#REF! + #REF! + #REF! + #REF!</f>
        <v>#REF!</v>
      </c>
    </row>
    <row r="833" spans="1:34" x14ac:dyDescent="0.35">
      <c r="A833">
        <v>832</v>
      </c>
      <c r="B833" t="s">
        <v>53</v>
      </c>
      <c r="C833">
        <v>50</v>
      </c>
      <c r="D833" t="s">
        <v>21</v>
      </c>
      <c r="E833" t="s">
        <v>22</v>
      </c>
      <c r="F833" t="s">
        <v>23</v>
      </c>
      <c r="G833">
        <v>35</v>
      </c>
      <c r="H833">
        <v>192.6</v>
      </c>
      <c r="I833">
        <v>97</v>
      </c>
      <c r="J833">
        <v>32.74</v>
      </c>
      <c r="K833">
        <v>135.19999999999999</v>
      </c>
      <c r="L833">
        <v>101</v>
      </c>
      <c r="M833">
        <v>11.49</v>
      </c>
      <c r="N833">
        <v>216.2</v>
      </c>
      <c r="O833">
        <v>101</v>
      </c>
      <c r="P833">
        <v>9.73</v>
      </c>
      <c r="Q833">
        <v>7.9</v>
      </c>
      <c r="R833">
        <v>2</v>
      </c>
      <c r="S833">
        <v>2.13</v>
      </c>
      <c r="T833">
        <v>2</v>
      </c>
      <c r="U833" t="s">
        <v>22</v>
      </c>
      <c r="V833" t="e">
        <f>IF(#REF! = "yes", 1, 0)</f>
        <v>#REF!</v>
      </c>
      <c r="W833" t="e">
        <f>IF(#REF! &lt;= 1, "0-1 Calls", IF(#REF! &lt;= 3, "2-3 Calls", IF(#REF! &lt;=5, "4-5 Calls", "6+ Calls")))</f>
        <v>#REF!</v>
      </c>
      <c r="X833" t="e">
        <f>IF(#REF! &lt;= 50, "0-50", IF(#REF! &lt;=100, "51-100", IF(#REF! &lt;= 150, "101-150", "151+")))</f>
        <v>#REF!</v>
      </c>
      <c r="Y833" t="e">
        <f>IF(#REF! &lt;= 3, "Low Charges", "High Charges")</f>
        <v>#REF!</v>
      </c>
      <c r="Z833" t="e">
        <f>IF(#REF!&lt;=80,"Low Calls",
IF(#REF!&lt;=120,"Medium Calls","High Calls"))</f>
        <v>#REF!</v>
      </c>
      <c r="AA833" t="e">
        <f>IF(#REF!&lt;=15,"Low Charges",
IF(#REF!&lt;=20,"Medium Charges","High Charges"))</f>
        <v>#REF!</v>
      </c>
      <c r="AB833" t="e">
        <f>IF(AND(#REF!&gt;180, #REF!&gt;200), "Heavy Doemstic User", IF(#REF!&gt;10, "Interntional User", IF(AND(#REF!&lt;180, #REF!&lt;200,#REF!&lt;200), "Light User", "Balanced User")))</f>
        <v>#REF!</v>
      </c>
      <c r="AC833" t="e">
        <f>IF(#REF! = 0, "No Usage", IF(#REF! &lt;= 20, "Low Usage", IF(#REF! &lt;= 40, "Medium Usgae", "High Usage")))</f>
        <v>#REF!</v>
      </c>
      <c r="AD833" t="e">
        <f>IF(#REF!&lt;=150,"Low Usage", IF(#REF!&lt;=200,"Medium Usage", IF(#REF!&lt;=250,"High Usage","Very High Usage")))</f>
        <v>#REF!</v>
      </c>
      <c r="AE833" t="e">
        <f>IF(#REF!&lt;=5,"Low Calls", IF(#REF!&lt;=10, "Medium Calls", "High Calls"))</f>
        <v>#REF!</v>
      </c>
      <c r="AF833" t="e">
        <f xml:space="preserve">
IF(#REF!&gt;=4,4,0)+
IF(#REF!="yes",3,0)+
IF(#REF!="High Charges",3,0)+
IF(#REF!&gt;250,4,0)+
IF(#REF!="no",1,0)+
IF(#REF!="Heavy Domestic User",2,0)</f>
        <v>#REF!</v>
      </c>
      <c r="AG833" t="e">
        <f>IF(#REF!&gt;=10,"High Risk", IF(#REF!&gt;=5,"Medium Risk","Low Risk"))</f>
        <v>#REF!</v>
      </c>
      <c r="AH833" t="e">
        <f>#REF! + #REF! + #REF! + #REF!</f>
        <v>#REF!</v>
      </c>
    </row>
    <row r="834" spans="1:34" x14ac:dyDescent="0.35">
      <c r="A834">
        <v>833</v>
      </c>
      <c r="B834" t="s">
        <v>53</v>
      </c>
      <c r="C834">
        <v>45</v>
      </c>
      <c r="D834" t="s">
        <v>28</v>
      </c>
      <c r="E834" t="s">
        <v>22</v>
      </c>
      <c r="F834" t="s">
        <v>23</v>
      </c>
      <c r="G834">
        <v>26</v>
      </c>
      <c r="H834">
        <v>91.7</v>
      </c>
      <c r="I834">
        <v>104</v>
      </c>
      <c r="J834">
        <v>15.59</v>
      </c>
      <c r="K834">
        <v>150.6</v>
      </c>
      <c r="L834">
        <v>119</v>
      </c>
      <c r="M834">
        <v>12.8</v>
      </c>
      <c r="N834">
        <v>63.3</v>
      </c>
      <c r="O834">
        <v>103</v>
      </c>
      <c r="P834">
        <v>2.85</v>
      </c>
      <c r="Q834">
        <v>7.7</v>
      </c>
      <c r="R834">
        <v>5</v>
      </c>
      <c r="S834">
        <v>2.08</v>
      </c>
      <c r="T834">
        <v>1</v>
      </c>
      <c r="U834" t="s">
        <v>22</v>
      </c>
      <c r="V834" t="e">
        <f>IF(#REF! = "yes", 1, 0)</f>
        <v>#REF!</v>
      </c>
      <c r="W834" t="e">
        <f>IF(#REF! &lt;= 1, "0-1 Calls", IF(#REF! &lt;= 3, "2-3 Calls", IF(#REF! &lt;=5, "4-5 Calls", "6+ Calls")))</f>
        <v>#REF!</v>
      </c>
      <c r="X834" t="e">
        <f>IF(#REF! &lt;= 50, "0-50", IF(#REF! &lt;=100, "51-100", IF(#REF! &lt;= 150, "101-150", "151+")))</f>
        <v>#REF!</v>
      </c>
      <c r="Y834" t="e">
        <f>IF(#REF! &lt;= 3, "Low Charges", "High Charges")</f>
        <v>#REF!</v>
      </c>
      <c r="Z834" t="e">
        <f>IF(#REF!&lt;=80,"Low Calls",
IF(#REF!&lt;=120,"Medium Calls","High Calls"))</f>
        <v>#REF!</v>
      </c>
      <c r="AA834" t="e">
        <f>IF(#REF!&lt;=15,"Low Charges",
IF(#REF!&lt;=20,"Medium Charges","High Charges"))</f>
        <v>#REF!</v>
      </c>
      <c r="AB834" t="e">
        <f>IF(AND(#REF!&gt;180, #REF!&gt;200), "Heavy Doemstic User", IF(#REF!&gt;10, "Interntional User", IF(AND(#REF!&lt;180, #REF!&lt;200,#REF!&lt;200), "Light User", "Balanced User")))</f>
        <v>#REF!</v>
      </c>
      <c r="AC834" t="e">
        <f>IF(#REF! = 0, "No Usage", IF(#REF! &lt;= 20, "Low Usage", IF(#REF! &lt;= 40, "Medium Usgae", "High Usage")))</f>
        <v>#REF!</v>
      </c>
      <c r="AD834" t="e">
        <f>IF(#REF!&lt;=150,"Low Usage", IF(#REF!&lt;=200,"Medium Usage", IF(#REF!&lt;=250,"High Usage","Very High Usage")))</f>
        <v>#REF!</v>
      </c>
      <c r="AE834" t="e">
        <f>IF(#REF!&lt;=5,"Low Calls", IF(#REF!&lt;=10, "Medium Calls", "High Calls"))</f>
        <v>#REF!</v>
      </c>
      <c r="AF834" t="e">
        <f xml:space="preserve">
IF(#REF!&gt;=4,4,0)+
IF(#REF!="yes",3,0)+
IF(#REF!="High Charges",3,0)+
IF(#REF!&gt;250,4,0)+
IF(#REF!="no",1,0)+
IF(#REF!="Heavy Domestic User",2,0)</f>
        <v>#REF!</v>
      </c>
      <c r="AG834" t="e">
        <f>IF(#REF!&gt;=10,"High Risk", IF(#REF!&gt;=5,"Medium Risk","Low Risk"))</f>
        <v>#REF!</v>
      </c>
      <c r="AH834" t="e">
        <f>#REF! + #REF! + #REF! + #REF!</f>
        <v>#REF!</v>
      </c>
    </row>
    <row r="835" spans="1:34" x14ac:dyDescent="0.35">
      <c r="A835">
        <v>834</v>
      </c>
      <c r="B835" t="s">
        <v>71</v>
      </c>
      <c r="C835">
        <v>70</v>
      </c>
      <c r="D835" t="s">
        <v>28</v>
      </c>
      <c r="E835" t="s">
        <v>22</v>
      </c>
      <c r="F835" t="s">
        <v>22</v>
      </c>
      <c r="G835">
        <v>0</v>
      </c>
      <c r="H835">
        <v>126.3</v>
      </c>
      <c r="I835">
        <v>99</v>
      </c>
      <c r="J835">
        <v>21.47</v>
      </c>
      <c r="K835">
        <v>141.6</v>
      </c>
      <c r="L835">
        <v>106</v>
      </c>
      <c r="M835">
        <v>12.04</v>
      </c>
      <c r="N835">
        <v>255.9</v>
      </c>
      <c r="O835">
        <v>96</v>
      </c>
      <c r="P835">
        <v>11.52</v>
      </c>
      <c r="Q835">
        <v>9.6</v>
      </c>
      <c r="R835">
        <v>2</v>
      </c>
      <c r="S835">
        <v>2.59</v>
      </c>
      <c r="T835">
        <v>0</v>
      </c>
      <c r="U835" t="s">
        <v>22</v>
      </c>
      <c r="V835" t="e">
        <f>IF(#REF! = "yes", 1, 0)</f>
        <v>#REF!</v>
      </c>
      <c r="W835" t="e">
        <f>IF(#REF! &lt;= 1, "0-1 Calls", IF(#REF! &lt;= 3, "2-3 Calls", IF(#REF! &lt;=5, "4-5 Calls", "6+ Calls")))</f>
        <v>#REF!</v>
      </c>
      <c r="X835" t="e">
        <f>IF(#REF! &lt;= 50, "0-50", IF(#REF! &lt;=100, "51-100", IF(#REF! &lt;= 150, "101-150", "151+")))</f>
        <v>#REF!</v>
      </c>
      <c r="Y835" t="e">
        <f>IF(#REF! &lt;= 3, "Low Charges", "High Charges")</f>
        <v>#REF!</v>
      </c>
      <c r="Z835" t="e">
        <f>IF(#REF!&lt;=80,"Low Calls",
IF(#REF!&lt;=120,"Medium Calls","High Calls"))</f>
        <v>#REF!</v>
      </c>
      <c r="AA835" t="e">
        <f>IF(#REF!&lt;=15,"Low Charges",
IF(#REF!&lt;=20,"Medium Charges","High Charges"))</f>
        <v>#REF!</v>
      </c>
      <c r="AB835" t="e">
        <f>IF(AND(#REF!&gt;180, #REF!&gt;200), "Heavy Doemstic User", IF(#REF!&gt;10, "Interntional User", IF(AND(#REF!&lt;180, #REF!&lt;200,#REF!&lt;200), "Light User", "Balanced User")))</f>
        <v>#REF!</v>
      </c>
      <c r="AC835" t="e">
        <f>IF(#REF! = 0, "No Usage", IF(#REF! &lt;= 20, "Low Usage", IF(#REF! &lt;= 40, "Medium Usgae", "High Usage")))</f>
        <v>#REF!</v>
      </c>
      <c r="AD835" t="e">
        <f>IF(#REF!&lt;=150,"Low Usage", IF(#REF!&lt;=200,"Medium Usage", IF(#REF!&lt;=250,"High Usage","Very High Usage")))</f>
        <v>#REF!</v>
      </c>
      <c r="AE835" t="e">
        <f>IF(#REF!&lt;=5,"Low Calls", IF(#REF!&lt;=10, "Medium Calls", "High Calls"))</f>
        <v>#REF!</v>
      </c>
      <c r="AF835" t="e">
        <f xml:space="preserve">
IF(#REF!&gt;=4,4,0)+
IF(#REF!="yes",3,0)+
IF(#REF!="High Charges",3,0)+
IF(#REF!&gt;250,4,0)+
IF(#REF!="no",1,0)+
IF(#REF!="Heavy Domestic User",2,0)</f>
        <v>#REF!</v>
      </c>
      <c r="AG835" t="e">
        <f>IF(#REF!&gt;=10,"High Risk", IF(#REF!&gt;=5,"Medium Risk","Low Risk"))</f>
        <v>#REF!</v>
      </c>
      <c r="AH835" t="e">
        <f>#REF! + #REF! + #REF! + #REF!</f>
        <v>#REF!</v>
      </c>
    </row>
    <row r="836" spans="1:34" x14ac:dyDescent="0.35">
      <c r="A836">
        <v>835</v>
      </c>
      <c r="B836" t="s">
        <v>62</v>
      </c>
      <c r="C836">
        <v>94</v>
      </c>
      <c r="D836" t="s">
        <v>28</v>
      </c>
      <c r="E836" t="s">
        <v>22</v>
      </c>
      <c r="F836" t="s">
        <v>22</v>
      </c>
      <c r="G836">
        <v>0</v>
      </c>
      <c r="H836">
        <v>190.6</v>
      </c>
      <c r="I836">
        <v>108</v>
      </c>
      <c r="J836">
        <v>32.4</v>
      </c>
      <c r="K836">
        <v>152.30000000000001</v>
      </c>
      <c r="L836">
        <v>95</v>
      </c>
      <c r="M836">
        <v>12.95</v>
      </c>
      <c r="N836">
        <v>144.69999999999999</v>
      </c>
      <c r="O836">
        <v>97</v>
      </c>
      <c r="P836">
        <v>6.51</v>
      </c>
      <c r="Q836">
        <v>7.5</v>
      </c>
      <c r="R836">
        <v>5</v>
      </c>
      <c r="S836">
        <v>2.0299999999999998</v>
      </c>
      <c r="T836">
        <v>1</v>
      </c>
      <c r="U836" t="s">
        <v>22</v>
      </c>
      <c r="V836" t="e">
        <f>IF(#REF! = "yes", 1, 0)</f>
        <v>#REF!</v>
      </c>
      <c r="W836" t="e">
        <f>IF(#REF! &lt;= 1, "0-1 Calls", IF(#REF! &lt;= 3, "2-3 Calls", IF(#REF! &lt;=5, "4-5 Calls", "6+ Calls")))</f>
        <v>#REF!</v>
      </c>
      <c r="X836" t="e">
        <f>IF(#REF! &lt;= 50, "0-50", IF(#REF! &lt;=100, "51-100", IF(#REF! &lt;= 150, "101-150", "151+")))</f>
        <v>#REF!</v>
      </c>
      <c r="Y836" t="e">
        <f>IF(#REF! &lt;= 3, "Low Charges", "High Charges")</f>
        <v>#REF!</v>
      </c>
      <c r="Z836" t="e">
        <f>IF(#REF!&lt;=80,"Low Calls",
IF(#REF!&lt;=120,"Medium Calls","High Calls"))</f>
        <v>#REF!</v>
      </c>
      <c r="AA836" t="e">
        <f>IF(#REF!&lt;=15,"Low Charges",
IF(#REF!&lt;=20,"Medium Charges","High Charges"))</f>
        <v>#REF!</v>
      </c>
      <c r="AB836" t="e">
        <f>IF(AND(#REF!&gt;180, #REF!&gt;200), "Heavy Doemstic User", IF(#REF!&gt;10, "Interntional User", IF(AND(#REF!&lt;180, #REF!&lt;200,#REF!&lt;200), "Light User", "Balanced User")))</f>
        <v>#REF!</v>
      </c>
      <c r="AC836" t="e">
        <f>IF(#REF! = 0, "No Usage", IF(#REF! &lt;= 20, "Low Usage", IF(#REF! &lt;= 40, "Medium Usgae", "High Usage")))</f>
        <v>#REF!</v>
      </c>
      <c r="AD836" t="e">
        <f>IF(#REF!&lt;=150,"Low Usage", IF(#REF!&lt;=200,"Medium Usage", IF(#REF!&lt;=250,"High Usage","Very High Usage")))</f>
        <v>#REF!</v>
      </c>
      <c r="AE836" t="e">
        <f>IF(#REF!&lt;=5,"Low Calls", IF(#REF!&lt;=10, "Medium Calls", "High Calls"))</f>
        <v>#REF!</v>
      </c>
      <c r="AF836" t="e">
        <f xml:space="preserve">
IF(#REF!&gt;=4,4,0)+
IF(#REF!="yes",3,0)+
IF(#REF!="High Charges",3,0)+
IF(#REF!&gt;250,4,0)+
IF(#REF!="no",1,0)+
IF(#REF!="Heavy Domestic User",2,0)</f>
        <v>#REF!</v>
      </c>
      <c r="AG836" t="e">
        <f>IF(#REF!&gt;=10,"High Risk", IF(#REF!&gt;=5,"Medium Risk","Low Risk"))</f>
        <v>#REF!</v>
      </c>
      <c r="AH836" t="e">
        <f>#REF! + #REF! + #REF! + #REF!</f>
        <v>#REF!</v>
      </c>
    </row>
    <row r="837" spans="1:34" x14ac:dyDescent="0.35">
      <c r="A837">
        <v>836</v>
      </c>
      <c r="B837" t="s">
        <v>72</v>
      </c>
      <c r="C837">
        <v>179</v>
      </c>
      <c r="D837" t="s">
        <v>28</v>
      </c>
      <c r="E837" t="s">
        <v>22</v>
      </c>
      <c r="F837" t="s">
        <v>22</v>
      </c>
      <c r="G837">
        <v>0</v>
      </c>
      <c r="H837">
        <v>116.1</v>
      </c>
      <c r="I837">
        <v>101</v>
      </c>
      <c r="J837">
        <v>19.739999999999998</v>
      </c>
      <c r="K837">
        <v>201.8</v>
      </c>
      <c r="L837">
        <v>99</v>
      </c>
      <c r="M837">
        <v>17.149999999999999</v>
      </c>
      <c r="N837">
        <v>181.9</v>
      </c>
      <c r="O837">
        <v>103</v>
      </c>
      <c r="P837">
        <v>8.19</v>
      </c>
      <c r="Q837">
        <v>11.6</v>
      </c>
      <c r="R837">
        <v>5</v>
      </c>
      <c r="S837">
        <v>3.13</v>
      </c>
      <c r="T837">
        <v>0</v>
      </c>
      <c r="U837" t="s">
        <v>22</v>
      </c>
      <c r="V837" t="e">
        <f>IF(#REF! = "yes", 1, 0)</f>
        <v>#REF!</v>
      </c>
      <c r="W837" t="e">
        <f>IF(#REF! &lt;= 1, "0-1 Calls", IF(#REF! &lt;= 3, "2-3 Calls", IF(#REF! &lt;=5, "4-5 Calls", "6+ Calls")))</f>
        <v>#REF!</v>
      </c>
      <c r="X837" t="e">
        <f>IF(#REF! &lt;= 50, "0-50", IF(#REF! &lt;=100, "51-100", IF(#REF! &lt;= 150, "101-150", "151+")))</f>
        <v>#REF!</v>
      </c>
      <c r="Y837" t="e">
        <f>IF(#REF! &lt;= 3, "Low Charges", "High Charges")</f>
        <v>#REF!</v>
      </c>
      <c r="Z837" t="e">
        <f>IF(#REF!&lt;=80,"Low Calls",
IF(#REF!&lt;=120,"Medium Calls","High Calls"))</f>
        <v>#REF!</v>
      </c>
      <c r="AA837" t="e">
        <f>IF(#REF!&lt;=15,"Low Charges",
IF(#REF!&lt;=20,"Medium Charges","High Charges"))</f>
        <v>#REF!</v>
      </c>
      <c r="AB837" t="e">
        <f>IF(AND(#REF!&gt;180, #REF!&gt;200), "Heavy Doemstic User", IF(#REF!&gt;10, "Interntional User", IF(AND(#REF!&lt;180, #REF!&lt;200,#REF!&lt;200), "Light User", "Balanced User")))</f>
        <v>#REF!</v>
      </c>
      <c r="AC837" t="e">
        <f>IF(#REF! = 0, "No Usage", IF(#REF! &lt;= 20, "Low Usage", IF(#REF! &lt;= 40, "Medium Usgae", "High Usage")))</f>
        <v>#REF!</v>
      </c>
      <c r="AD837" t="e">
        <f>IF(#REF!&lt;=150,"Low Usage", IF(#REF!&lt;=200,"Medium Usage", IF(#REF!&lt;=250,"High Usage","Very High Usage")))</f>
        <v>#REF!</v>
      </c>
      <c r="AE837" t="e">
        <f>IF(#REF!&lt;=5,"Low Calls", IF(#REF!&lt;=10, "Medium Calls", "High Calls"))</f>
        <v>#REF!</v>
      </c>
      <c r="AF837" t="e">
        <f xml:space="preserve">
IF(#REF!&gt;=4,4,0)+
IF(#REF!="yes",3,0)+
IF(#REF!="High Charges",3,0)+
IF(#REF!&gt;250,4,0)+
IF(#REF!="no",1,0)+
IF(#REF!="Heavy Domestic User",2,0)</f>
        <v>#REF!</v>
      </c>
      <c r="AG837" t="e">
        <f>IF(#REF!&gt;=10,"High Risk", IF(#REF!&gt;=5,"Medium Risk","Low Risk"))</f>
        <v>#REF!</v>
      </c>
      <c r="AH837" t="e">
        <f>#REF! + #REF! + #REF! + #REF!</f>
        <v>#REF!</v>
      </c>
    </row>
    <row r="838" spans="1:34" x14ac:dyDescent="0.35">
      <c r="A838">
        <v>837</v>
      </c>
      <c r="B838" t="s">
        <v>67</v>
      </c>
      <c r="C838">
        <v>116</v>
      </c>
      <c r="D838" t="s">
        <v>21</v>
      </c>
      <c r="E838" t="s">
        <v>22</v>
      </c>
      <c r="F838" t="s">
        <v>22</v>
      </c>
      <c r="G838">
        <v>0</v>
      </c>
      <c r="H838">
        <v>217.3</v>
      </c>
      <c r="I838">
        <v>91</v>
      </c>
      <c r="J838">
        <v>36.94</v>
      </c>
      <c r="K838">
        <v>216.1</v>
      </c>
      <c r="L838">
        <v>95</v>
      </c>
      <c r="M838">
        <v>18.37</v>
      </c>
      <c r="N838">
        <v>148.1</v>
      </c>
      <c r="O838">
        <v>76</v>
      </c>
      <c r="P838">
        <v>6.66</v>
      </c>
      <c r="Q838">
        <v>11.3</v>
      </c>
      <c r="R838">
        <v>3</v>
      </c>
      <c r="S838">
        <v>3.05</v>
      </c>
      <c r="T838">
        <v>2</v>
      </c>
      <c r="U838" t="s">
        <v>22</v>
      </c>
      <c r="V838" t="e">
        <f>IF(#REF! = "yes", 1, 0)</f>
        <v>#REF!</v>
      </c>
      <c r="W838" t="e">
        <f>IF(#REF! &lt;= 1, "0-1 Calls", IF(#REF! &lt;= 3, "2-3 Calls", IF(#REF! &lt;=5, "4-5 Calls", "6+ Calls")))</f>
        <v>#REF!</v>
      </c>
      <c r="X838" t="e">
        <f>IF(#REF! &lt;= 50, "0-50", IF(#REF! &lt;=100, "51-100", IF(#REF! &lt;= 150, "101-150", "151+")))</f>
        <v>#REF!</v>
      </c>
      <c r="Y838" t="e">
        <f>IF(#REF! &lt;= 3, "Low Charges", "High Charges")</f>
        <v>#REF!</v>
      </c>
      <c r="Z838" t="e">
        <f>IF(#REF!&lt;=80,"Low Calls",
IF(#REF!&lt;=120,"Medium Calls","High Calls"))</f>
        <v>#REF!</v>
      </c>
      <c r="AA838" t="e">
        <f>IF(#REF!&lt;=15,"Low Charges",
IF(#REF!&lt;=20,"Medium Charges","High Charges"))</f>
        <v>#REF!</v>
      </c>
      <c r="AB838" t="e">
        <f>IF(AND(#REF!&gt;180, #REF!&gt;200), "Heavy Doemstic User", IF(#REF!&gt;10, "Interntional User", IF(AND(#REF!&lt;180, #REF!&lt;200,#REF!&lt;200), "Light User", "Balanced User")))</f>
        <v>#REF!</v>
      </c>
      <c r="AC838" t="e">
        <f>IF(#REF! = 0, "No Usage", IF(#REF! &lt;= 20, "Low Usage", IF(#REF! &lt;= 40, "Medium Usgae", "High Usage")))</f>
        <v>#REF!</v>
      </c>
      <c r="AD838" t="e">
        <f>IF(#REF!&lt;=150,"Low Usage", IF(#REF!&lt;=200,"Medium Usage", IF(#REF!&lt;=250,"High Usage","Very High Usage")))</f>
        <v>#REF!</v>
      </c>
      <c r="AE838" t="e">
        <f>IF(#REF!&lt;=5,"Low Calls", IF(#REF!&lt;=10, "Medium Calls", "High Calls"))</f>
        <v>#REF!</v>
      </c>
      <c r="AF838" t="e">
        <f xml:space="preserve">
IF(#REF!&gt;=4,4,0)+
IF(#REF!="yes",3,0)+
IF(#REF!="High Charges",3,0)+
IF(#REF!&gt;250,4,0)+
IF(#REF!="no",1,0)+
IF(#REF!="Heavy Domestic User",2,0)</f>
        <v>#REF!</v>
      </c>
      <c r="AG838" t="e">
        <f>IF(#REF!&gt;=10,"High Risk", IF(#REF!&gt;=5,"Medium Risk","Low Risk"))</f>
        <v>#REF!</v>
      </c>
      <c r="AH838" t="e">
        <f>#REF! + #REF! + #REF! + #REF!</f>
        <v>#REF!</v>
      </c>
    </row>
    <row r="839" spans="1:34" x14ac:dyDescent="0.35">
      <c r="A839">
        <v>838</v>
      </c>
      <c r="B839" t="s">
        <v>75</v>
      </c>
      <c r="C839">
        <v>59</v>
      </c>
      <c r="D839" t="s">
        <v>28</v>
      </c>
      <c r="E839" t="s">
        <v>22</v>
      </c>
      <c r="F839" t="s">
        <v>22</v>
      </c>
      <c r="G839">
        <v>0</v>
      </c>
      <c r="H839">
        <v>179.4</v>
      </c>
      <c r="I839">
        <v>80</v>
      </c>
      <c r="J839">
        <v>30.5</v>
      </c>
      <c r="K839">
        <v>232.5</v>
      </c>
      <c r="L839">
        <v>99</v>
      </c>
      <c r="M839">
        <v>19.760000000000002</v>
      </c>
      <c r="N839">
        <v>175.8</v>
      </c>
      <c r="O839">
        <v>105</v>
      </c>
      <c r="P839">
        <v>7.91</v>
      </c>
      <c r="Q839">
        <v>14.7</v>
      </c>
      <c r="R839">
        <v>3</v>
      </c>
      <c r="S839">
        <v>3.97</v>
      </c>
      <c r="T839">
        <v>0</v>
      </c>
      <c r="U839" t="s">
        <v>22</v>
      </c>
      <c r="V839" t="e">
        <f>IF(#REF! = "yes", 1, 0)</f>
        <v>#REF!</v>
      </c>
      <c r="W839" t="e">
        <f>IF(#REF! &lt;= 1, "0-1 Calls", IF(#REF! &lt;= 3, "2-3 Calls", IF(#REF! &lt;=5, "4-5 Calls", "6+ Calls")))</f>
        <v>#REF!</v>
      </c>
      <c r="X839" t="e">
        <f>IF(#REF! &lt;= 50, "0-50", IF(#REF! &lt;=100, "51-100", IF(#REF! &lt;= 150, "101-150", "151+")))</f>
        <v>#REF!</v>
      </c>
      <c r="Y839" t="e">
        <f>IF(#REF! &lt;= 3, "Low Charges", "High Charges")</f>
        <v>#REF!</v>
      </c>
      <c r="Z839" t="e">
        <f>IF(#REF!&lt;=80,"Low Calls",
IF(#REF!&lt;=120,"Medium Calls","High Calls"))</f>
        <v>#REF!</v>
      </c>
      <c r="AA839" t="e">
        <f>IF(#REF!&lt;=15,"Low Charges",
IF(#REF!&lt;=20,"Medium Charges","High Charges"))</f>
        <v>#REF!</v>
      </c>
      <c r="AB839" t="e">
        <f>IF(AND(#REF!&gt;180, #REF!&gt;200), "Heavy Doemstic User", IF(#REF!&gt;10, "Interntional User", IF(AND(#REF!&lt;180, #REF!&lt;200,#REF!&lt;200), "Light User", "Balanced User")))</f>
        <v>#REF!</v>
      </c>
      <c r="AC839" t="e">
        <f>IF(#REF! = 0, "No Usage", IF(#REF! &lt;= 20, "Low Usage", IF(#REF! &lt;= 40, "Medium Usgae", "High Usage")))</f>
        <v>#REF!</v>
      </c>
      <c r="AD839" t="e">
        <f>IF(#REF!&lt;=150,"Low Usage", IF(#REF!&lt;=200,"Medium Usage", IF(#REF!&lt;=250,"High Usage","Very High Usage")))</f>
        <v>#REF!</v>
      </c>
      <c r="AE839" t="e">
        <f>IF(#REF!&lt;=5,"Low Calls", IF(#REF!&lt;=10, "Medium Calls", "High Calls"))</f>
        <v>#REF!</v>
      </c>
      <c r="AF839" t="e">
        <f xml:space="preserve">
IF(#REF!&gt;=4,4,0)+
IF(#REF!="yes",3,0)+
IF(#REF!="High Charges",3,0)+
IF(#REF!&gt;250,4,0)+
IF(#REF!="no",1,0)+
IF(#REF!="Heavy Domestic User",2,0)</f>
        <v>#REF!</v>
      </c>
      <c r="AG839" t="e">
        <f>IF(#REF!&gt;=10,"High Risk", IF(#REF!&gt;=5,"Medium Risk","Low Risk"))</f>
        <v>#REF!</v>
      </c>
      <c r="AH839" t="e">
        <f>#REF! + #REF! + #REF! + #REF!</f>
        <v>#REF!</v>
      </c>
    </row>
    <row r="840" spans="1:34" x14ac:dyDescent="0.35">
      <c r="A840">
        <v>839</v>
      </c>
      <c r="B840" t="s">
        <v>58</v>
      </c>
      <c r="C840">
        <v>165</v>
      </c>
      <c r="D840" t="s">
        <v>21</v>
      </c>
      <c r="E840" t="s">
        <v>22</v>
      </c>
      <c r="F840" t="s">
        <v>22</v>
      </c>
      <c r="G840">
        <v>0</v>
      </c>
      <c r="H840">
        <v>207.7</v>
      </c>
      <c r="I840">
        <v>109</v>
      </c>
      <c r="J840">
        <v>35.31</v>
      </c>
      <c r="K840">
        <v>164.8</v>
      </c>
      <c r="L840">
        <v>94</v>
      </c>
      <c r="M840">
        <v>14.01</v>
      </c>
      <c r="N840">
        <v>54.5</v>
      </c>
      <c r="O840">
        <v>91</v>
      </c>
      <c r="P840">
        <v>2.4500000000000002</v>
      </c>
      <c r="Q840">
        <v>7.9</v>
      </c>
      <c r="R840">
        <v>3</v>
      </c>
      <c r="S840">
        <v>2.13</v>
      </c>
      <c r="T840">
        <v>0</v>
      </c>
      <c r="U840" t="s">
        <v>22</v>
      </c>
      <c r="V840" t="e">
        <f>IF(#REF! = "yes", 1, 0)</f>
        <v>#REF!</v>
      </c>
      <c r="W840" t="e">
        <f>IF(#REF! &lt;= 1, "0-1 Calls", IF(#REF! &lt;= 3, "2-3 Calls", IF(#REF! &lt;=5, "4-5 Calls", "6+ Calls")))</f>
        <v>#REF!</v>
      </c>
      <c r="X840" t="e">
        <f>IF(#REF! &lt;= 50, "0-50", IF(#REF! &lt;=100, "51-100", IF(#REF! &lt;= 150, "101-150", "151+")))</f>
        <v>#REF!</v>
      </c>
      <c r="Y840" t="e">
        <f>IF(#REF! &lt;= 3, "Low Charges", "High Charges")</f>
        <v>#REF!</v>
      </c>
      <c r="Z840" t="e">
        <f>IF(#REF!&lt;=80,"Low Calls",
IF(#REF!&lt;=120,"Medium Calls","High Calls"))</f>
        <v>#REF!</v>
      </c>
      <c r="AA840" t="e">
        <f>IF(#REF!&lt;=15,"Low Charges",
IF(#REF!&lt;=20,"Medium Charges","High Charges"))</f>
        <v>#REF!</v>
      </c>
      <c r="AB840" t="e">
        <f>IF(AND(#REF!&gt;180, #REF!&gt;200), "Heavy Doemstic User", IF(#REF!&gt;10, "Interntional User", IF(AND(#REF!&lt;180, #REF!&lt;200,#REF!&lt;200), "Light User", "Balanced User")))</f>
        <v>#REF!</v>
      </c>
      <c r="AC840" t="e">
        <f>IF(#REF! = 0, "No Usage", IF(#REF! &lt;= 20, "Low Usage", IF(#REF! &lt;= 40, "Medium Usgae", "High Usage")))</f>
        <v>#REF!</v>
      </c>
      <c r="AD840" t="e">
        <f>IF(#REF!&lt;=150,"Low Usage", IF(#REF!&lt;=200,"Medium Usage", IF(#REF!&lt;=250,"High Usage","Very High Usage")))</f>
        <v>#REF!</v>
      </c>
      <c r="AE840" t="e">
        <f>IF(#REF!&lt;=5,"Low Calls", IF(#REF!&lt;=10, "Medium Calls", "High Calls"))</f>
        <v>#REF!</v>
      </c>
      <c r="AF840" t="e">
        <f xml:space="preserve">
IF(#REF!&gt;=4,4,0)+
IF(#REF!="yes",3,0)+
IF(#REF!="High Charges",3,0)+
IF(#REF!&gt;250,4,0)+
IF(#REF!="no",1,0)+
IF(#REF!="Heavy Domestic User",2,0)</f>
        <v>#REF!</v>
      </c>
      <c r="AG840" t="e">
        <f>IF(#REF!&gt;=10,"High Risk", IF(#REF!&gt;=5,"Medium Risk","Low Risk"))</f>
        <v>#REF!</v>
      </c>
      <c r="AH840" t="e">
        <f>#REF! + #REF! + #REF! + #REF!</f>
        <v>#REF!</v>
      </c>
    </row>
    <row r="841" spans="1:34" x14ac:dyDescent="0.35">
      <c r="A841">
        <v>840</v>
      </c>
      <c r="B841" t="s">
        <v>71</v>
      </c>
      <c r="C841">
        <v>140</v>
      </c>
      <c r="D841" t="s">
        <v>21</v>
      </c>
      <c r="E841" t="s">
        <v>22</v>
      </c>
      <c r="F841" t="s">
        <v>22</v>
      </c>
      <c r="G841">
        <v>0</v>
      </c>
      <c r="H841">
        <v>125.3</v>
      </c>
      <c r="I841">
        <v>84</v>
      </c>
      <c r="J841">
        <v>21.3</v>
      </c>
      <c r="K841">
        <v>167.6</v>
      </c>
      <c r="L841">
        <v>121</v>
      </c>
      <c r="M841">
        <v>14.25</v>
      </c>
      <c r="N841">
        <v>260.60000000000002</v>
      </c>
      <c r="O841">
        <v>94</v>
      </c>
      <c r="P841">
        <v>11.73</v>
      </c>
      <c r="Q841">
        <v>8.4</v>
      </c>
      <c r="R841">
        <v>4</v>
      </c>
      <c r="S841">
        <v>2.27</v>
      </c>
      <c r="T841">
        <v>1</v>
      </c>
      <c r="U841" t="s">
        <v>22</v>
      </c>
      <c r="V841" t="e">
        <f>IF(#REF! = "yes", 1, 0)</f>
        <v>#REF!</v>
      </c>
      <c r="W841" t="e">
        <f>IF(#REF! &lt;= 1, "0-1 Calls", IF(#REF! &lt;= 3, "2-3 Calls", IF(#REF! &lt;=5, "4-5 Calls", "6+ Calls")))</f>
        <v>#REF!</v>
      </c>
      <c r="X841" t="e">
        <f>IF(#REF! &lt;= 50, "0-50", IF(#REF! &lt;=100, "51-100", IF(#REF! &lt;= 150, "101-150", "151+")))</f>
        <v>#REF!</v>
      </c>
      <c r="Y841" t="e">
        <f>IF(#REF! &lt;= 3, "Low Charges", "High Charges")</f>
        <v>#REF!</v>
      </c>
      <c r="Z841" t="e">
        <f>IF(#REF!&lt;=80,"Low Calls",
IF(#REF!&lt;=120,"Medium Calls","High Calls"))</f>
        <v>#REF!</v>
      </c>
      <c r="AA841" t="e">
        <f>IF(#REF!&lt;=15,"Low Charges",
IF(#REF!&lt;=20,"Medium Charges","High Charges"))</f>
        <v>#REF!</v>
      </c>
      <c r="AB841" t="e">
        <f>IF(AND(#REF!&gt;180, #REF!&gt;200), "Heavy Doemstic User", IF(#REF!&gt;10, "Interntional User", IF(AND(#REF!&lt;180, #REF!&lt;200,#REF!&lt;200), "Light User", "Balanced User")))</f>
        <v>#REF!</v>
      </c>
      <c r="AC841" t="e">
        <f>IF(#REF! = 0, "No Usage", IF(#REF! &lt;= 20, "Low Usage", IF(#REF! &lt;= 40, "Medium Usgae", "High Usage")))</f>
        <v>#REF!</v>
      </c>
      <c r="AD841" t="e">
        <f>IF(#REF!&lt;=150,"Low Usage", IF(#REF!&lt;=200,"Medium Usage", IF(#REF!&lt;=250,"High Usage","Very High Usage")))</f>
        <v>#REF!</v>
      </c>
      <c r="AE841" t="e">
        <f>IF(#REF!&lt;=5,"Low Calls", IF(#REF!&lt;=10, "Medium Calls", "High Calls"))</f>
        <v>#REF!</v>
      </c>
      <c r="AF841" t="e">
        <f xml:space="preserve">
IF(#REF!&gt;=4,4,0)+
IF(#REF!="yes",3,0)+
IF(#REF!="High Charges",3,0)+
IF(#REF!&gt;250,4,0)+
IF(#REF!="no",1,0)+
IF(#REF!="Heavy Domestic User",2,0)</f>
        <v>#REF!</v>
      </c>
      <c r="AG841" t="e">
        <f>IF(#REF!&gt;=10,"High Risk", IF(#REF!&gt;=5,"Medium Risk","Low Risk"))</f>
        <v>#REF!</v>
      </c>
      <c r="AH841" t="e">
        <f>#REF! + #REF! + #REF! + #REF!</f>
        <v>#REF!</v>
      </c>
    </row>
    <row r="842" spans="1:34" x14ac:dyDescent="0.35">
      <c r="A842">
        <v>841</v>
      </c>
      <c r="B842" t="s">
        <v>64</v>
      </c>
      <c r="C842">
        <v>93</v>
      </c>
      <c r="D842" t="s">
        <v>25</v>
      </c>
      <c r="E842" t="s">
        <v>22</v>
      </c>
      <c r="F842" t="s">
        <v>23</v>
      </c>
      <c r="G842">
        <v>32</v>
      </c>
      <c r="H842">
        <v>138.1</v>
      </c>
      <c r="I842">
        <v>91</v>
      </c>
      <c r="J842">
        <v>23.48</v>
      </c>
      <c r="K842">
        <v>167.3</v>
      </c>
      <c r="L842">
        <v>72</v>
      </c>
      <c r="M842">
        <v>14.22</v>
      </c>
      <c r="N842">
        <v>238.9</v>
      </c>
      <c r="O842">
        <v>115</v>
      </c>
      <c r="P842">
        <v>10.75</v>
      </c>
      <c r="Q842">
        <v>6.8</v>
      </c>
      <c r="R842">
        <v>3</v>
      </c>
      <c r="S842">
        <v>1.84</v>
      </c>
      <c r="T842">
        <v>2</v>
      </c>
      <c r="U842" t="s">
        <v>22</v>
      </c>
      <c r="V842" t="e">
        <f>IF(#REF! = "yes", 1, 0)</f>
        <v>#REF!</v>
      </c>
      <c r="W842" t="e">
        <f>IF(#REF! &lt;= 1, "0-1 Calls", IF(#REF! &lt;= 3, "2-3 Calls", IF(#REF! &lt;=5, "4-5 Calls", "6+ Calls")))</f>
        <v>#REF!</v>
      </c>
      <c r="X842" t="e">
        <f>IF(#REF! &lt;= 50, "0-50", IF(#REF! &lt;=100, "51-100", IF(#REF! &lt;= 150, "101-150", "151+")))</f>
        <v>#REF!</v>
      </c>
      <c r="Y842" t="e">
        <f>IF(#REF! &lt;= 3, "Low Charges", "High Charges")</f>
        <v>#REF!</v>
      </c>
      <c r="Z842" t="e">
        <f>IF(#REF!&lt;=80,"Low Calls",
IF(#REF!&lt;=120,"Medium Calls","High Calls"))</f>
        <v>#REF!</v>
      </c>
      <c r="AA842" t="e">
        <f>IF(#REF!&lt;=15,"Low Charges",
IF(#REF!&lt;=20,"Medium Charges","High Charges"))</f>
        <v>#REF!</v>
      </c>
      <c r="AB842" t="e">
        <f>IF(AND(#REF!&gt;180, #REF!&gt;200), "Heavy Doemstic User", IF(#REF!&gt;10, "Interntional User", IF(AND(#REF!&lt;180, #REF!&lt;200,#REF!&lt;200), "Light User", "Balanced User")))</f>
        <v>#REF!</v>
      </c>
      <c r="AC842" t="e">
        <f>IF(#REF! = 0, "No Usage", IF(#REF! &lt;= 20, "Low Usage", IF(#REF! &lt;= 40, "Medium Usgae", "High Usage")))</f>
        <v>#REF!</v>
      </c>
      <c r="AD842" t="e">
        <f>IF(#REF!&lt;=150,"Low Usage", IF(#REF!&lt;=200,"Medium Usage", IF(#REF!&lt;=250,"High Usage","Very High Usage")))</f>
        <v>#REF!</v>
      </c>
      <c r="AE842" t="e">
        <f>IF(#REF!&lt;=5,"Low Calls", IF(#REF!&lt;=10, "Medium Calls", "High Calls"))</f>
        <v>#REF!</v>
      </c>
      <c r="AF842" t="e">
        <f xml:space="preserve">
IF(#REF!&gt;=4,4,0)+
IF(#REF!="yes",3,0)+
IF(#REF!="High Charges",3,0)+
IF(#REF!&gt;250,4,0)+
IF(#REF!="no",1,0)+
IF(#REF!="Heavy Domestic User",2,0)</f>
        <v>#REF!</v>
      </c>
      <c r="AG842" t="e">
        <f>IF(#REF!&gt;=10,"High Risk", IF(#REF!&gt;=5,"Medium Risk","Low Risk"))</f>
        <v>#REF!</v>
      </c>
      <c r="AH842" t="e">
        <f>#REF! + #REF! + #REF! + #REF!</f>
        <v>#REF!</v>
      </c>
    </row>
    <row r="843" spans="1:34" x14ac:dyDescent="0.35">
      <c r="A843">
        <v>842</v>
      </c>
      <c r="B843" t="s">
        <v>26</v>
      </c>
      <c r="C843">
        <v>52</v>
      </c>
      <c r="D843" t="s">
        <v>28</v>
      </c>
      <c r="E843" t="s">
        <v>22</v>
      </c>
      <c r="F843" t="s">
        <v>23</v>
      </c>
      <c r="G843">
        <v>38</v>
      </c>
      <c r="H843">
        <v>169.3</v>
      </c>
      <c r="I843">
        <v>88</v>
      </c>
      <c r="J843">
        <v>28.78</v>
      </c>
      <c r="K843">
        <v>225.9</v>
      </c>
      <c r="L843">
        <v>97</v>
      </c>
      <c r="M843">
        <v>19.2</v>
      </c>
      <c r="N843">
        <v>172</v>
      </c>
      <c r="O843">
        <v>86</v>
      </c>
      <c r="P843">
        <v>7.74</v>
      </c>
      <c r="Q843">
        <v>8.1999999999999993</v>
      </c>
      <c r="R843">
        <v>3</v>
      </c>
      <c r="S843">
        <v>2.21</v>
      </c>
      <c r="T843">
        <v>0</v>
      </c>
      <c r="U843" t="s">
        <v>22</v>
      </c>
      <c r="V843" t="e">
        <f>IF(#REF! = "yes", 1, 0)</f>
        <v>#REF!</v>
      </c>
      <c r="W843" t="e">
        <f>IF(#REF! &lt;= 1, "0-1 Calls", IF(#REF! &lt;= 3, "2-3 Calls", IF(#REF! &lt;=5, "4-5 Calls", "6+ Calls")))</f>
        <v>#REF!</v>
      </c>
      <c r="X843" t="e">
        <f>IF(#REF! &lt;= 50, "0-50", IF(#REF! &lt;=100, "51-100", IF(#REF! &lt;= 150, "101-150", "151+")))</f>
        <v>#REF!</v>
      </c>
      <c r="Y843" t="e">
        <f>IF(#REF! &lt;= 3, "Low Charges", "High Charges")</f>
        <v>#REF!</v>
      </c>
      <c r="Z843" t="e">
        <f>IF(#REF!&lt;=80,"Low Calls",
IF(#REF!&lt;=120,"Medium Calls","High Calls"))</f>
        <v>#REF!</v>
      </c>
      <c r="AA843" t="e">
        <f>IF(#REF!&lt;=15,"Low Charges",
IF(#REF!&lt;=20,"Medium Charges","High Charges"))</f>
        <v>#REF!</v>
      </c>
      <c r="AB843" t="e">
        <f>IF(AND(#REF!&gt;180, #REF!&gt;200), "Heavy Doemstic User", IF(#REF!&gt;10, "Interntional User", IF(AND(#REF!&lt;180, #REF!&lt;200,#REF!&lt;200), "Light User", "Balanced User")))</f>
        <v>#REF!</v>
      </c>
      <c r="AC843" t="e">
        <f>IF(#REF! = 0, "No Usage", IF(#REF! &lt;= 20, "Low Usage", IF(#REF! &lt;= 40, "Medium Usgae", "High Usage")))</f>
        <v>#REF!</v>
      </c>
      <c r="AD843" t="e">
        <f>IF(#REF!&lt;=150,"Low Usage", IF(#REF!&lt;=200,"Medium Usage", IF(#REF!&lt;=250,"High Usage","Very High Usage")))</f>
        <v>#REF!</v>
      </c>
      <c r="AE843" t="e">
        <f>IF(#REF!&lt;=5,"Low Calls", IF(#REF!&lt;=10, "Medium Calls", "High Calls"))</f>
        <v>#REF!</v>
      </c>
      <c r="AF843" t="e">
        <f xml:space="preserve">
IF(#REF!&gt;=4,4,0)+
IF(#REF!="yes",3,0)+
IF(#REF!="High Charges",3,0)+
IF(#REF!&gt;250,4,0)+
IF(#REF!="no",1,0)+
IF(#REF!="Heavy Domestic User",2,0)</f>
        <v>#REF!</v>
      </c>
      <c r="AG843" t="e">
        <f>IF(#REF!&gt;=10,"High Risk", IF(#REF!&gt;=5,"Medium Risk","Low Risk"))</f>
        <v>#REF!</v>
      </c>
      <c r="AH843" t="e">
        <f>#REF! + #REF! + #REF! + #REF!</f>
        <v>#REF!</v>
      </c>
    </row>
    <row r="844" spans="1:34" x14ac:dyDescent="0.35">
      <c r="A844">
        <v>843</v>
      </c>
      <c r="B844" t="s">
        <v>54</v>
      </c>
      <c r="C844">
        <v>64</v>
      </c>
      <c r="D844" t="s">
        <v>21</v>
      </c>
      <c r="E844" t="s">
        <v>22</v>
      </c>
      <c r="F844" t="s">
        <v>23</v>
      </c>
      <c r="G844">
        <v>27</v>
      </c>
      <c r="H844">
        <v>201.3</v>
      </c>
      <c r="I844">
        <v>101</v>
      </c>
      <c r="J844">
        <v>34.22</v>
      </c>
      <c r="K844">
        <v>143.80000000000001</v>
      </c>
      <c r="L844">
        <v>89</v>
      </c>
      <c r="M844">
        <v>12.22</v>
      </c>
      <c r="N844">
        <v>150.19999999999999</v>
      </c>
      <c r="O844">
        <v>127</v>
      </c>
      <c r="P844">
        <v>6.76</v>
      </c>
      <c r="Q844">
        <v>12.3</v>
      </c>
      <c r="R844">
        <v>3</v>
      </c>
      <c r="S844">
        <v>3.32</v>
      </c>
      <c r="T844">
        <v>1</v>
      </c>
      <c r="U844" t="s">
        <v>22</v>
      </c>
      <c r="V844" t="e">
        <f>IF(#REF! = "yes", 1, 0)</f>
        <v>#REF!</v>
      </c>
      <c r="W844" t="e">
        <f>IF(#REF! &lt;= 1, "0-1 Calls", IF(#REF! &lt;= 3, "2-3 Calls", IF(#REF! &lt;=5, "4-5 Calls", "6+ Calls")))</f>
        <v>#REF!</v>
      </c>
      <c r="X844" t="e">
        <f>IF(#REF! &lt;= 50, "0-50", IF(#REF! &lt;=100, "51-100", IF(#REF! &lt;= 150, "101-150", "151+")))</f>
        <v>#REF!</v>
      </c>
      <c r="Y844" t="e">
        <f>IF(#REF! &lt;= 3, "Low Charges", "High Charges")</f>
        <v>#REF!</v>
      </c>
      <c r="Z844" t="e">
        <f>IF(#REF!&lt;=80,"Low Calls",
IF(#REF!&lt;=120,"Medium Calls","High Calls"))</f>
        <v>#REF!</v>
      </c>
      <c r="AA844" t="e">
        <f>IF(#REF!&lt;=15,"Low Charges",
IF(#REF!&lt;=20,"Medium Charges","High Charges"))</f>
        <v>#REF!</v>
      </c>
      <c r="AB844" t="e">
        <f>IF(AND(#REF!&gt;180, #REF!&gt;200), "Heavy Doemstic User", IF(#REF!&gt;10, "Interntional User", IF(AND(#REF!&lt;180, #REF!&lt;200,#REF!&lt;200), "Light User", "Balanced User")))</f>
        <v>#REF!</v>
      </c>
      <c r="AC844" t="e">
        <f>IF(#REF! = 0, "No Usage", IF(#REF! &lt;= 20, "Low Usage", IF(#REF! &lt;= 40, "Medium Usgae", "High Usage")))</f>
        <v>#REF!</v>
      </c>
      <c r="AD844" t="e">
        <f>IF(#REF!&lt;=150,"Low Usage", IF(#REF!&lt;=200,"Medium Usage", IF(#REF!&lt;=250,"High Usage","Very High Usage")))</f>
        <v>#REF!</v>
      </c>
      <c r="AE844" t="e">
        <f>IF(#REF!&lt;=5,"Low Calls", IF(#REF!&lt;=10, "Medium Calls", "High Calls"))</f>
        <v>#REF!</v>
      </c>
      <c r="AF844" t="e">
        <f xml:space="preserve">
IF(#REF!&gt;=4,4,0)+
IF(#REF!="yes",3,0)+
IF(#REF!="High Charges",3,0)+
IF(#REF!&gt;250,4,0)+
IF(#REF!="no",1,0)+
IF(#REF!="Heavy Domestic User",2,0)</f>
        <v>#REF!</v>
      </c>
      <c r="AG844" t="e">
        <f>IF(#REF!&gt;=10,"High Risk", IF(#REF!&gt;=5,"Medium Risk","Low Risk"))</f>
        <v>#REF!</v>
      </c>
      <c r="AH844" t="e">
        <f>#REF! + #REF! + #REF! + #REF!</f>
        <v>#REF!</v>
      </c>
    </row>
    <row r="845" spans="1:34" x14ac:dyDescent="0.35">
      <c r="A845">
        <v>844</v>
      </c>
      <c r="B845" t="s">
        <v>52</v>
      </c>
      <c r="C845">
        <v>48</v>
      </c>
      <c r="D845" t="s">
        <v>21</v>
      </c>
      <c r="E845" t="s">
        <v>22</v>
      </c>
      <c r="F845" t="s">
        <v>22</v>
      </c>
      <c r="G845">
        <v>0</v>
      </c>
      <c r="H845">
        <v>190.4</v>
      </c>
      <c r="I845">
        <v>92</v>
      </c>
      <c r="J845">
        <v>32.369999999999997</v>
      </c>
      <c r="K845">
        <v>317.5</v>
      </c>
      <c r="L845">
        <v>85</v>
      </c>
      <c r="M845">
        <v>26.99</v>
      </c>
      <c r="N845">
        <v>133.4</v>
      </c>
      <c r="O845">
        <v>113</v>
      </c>
      <c r="P845">
        <v>6</v>
      </c>
      <c r="Q845">
        <v>8.3000000000000007</v>
      </c>
      <c r="R845">
        <v>4</v>
      </c>
      <c r="S845">
        <v>2.2400000000000002</v>
      </c>
      <c r="T845">
        <v>2</v>
      </c>
      <c r="U845" t="s">
        <v>22</v>
      </c>
      <c r="V845" t="e">
        <f>IF(#REF! = "yes", 1, 0)</f>
        <v>#REF!</v>
      </c>
      <c r="W845" t="e">
        <f>IF(#REF! &lt;= 1, "0-1 Calls", IF(#REF! &lt;= 3, "2-3 Calls", IF(#REF! &lt;=5, "4-5 Calls", "6+ Calls")))</f>
        <v>#REF!</v>
      </c>
      <c r="X845" t="e">
        <f>IF(#REF! &lt;= 50, "0-50", IF(#REF! &lt;=100, "51-100", IF(#REF! &lt;= 150, "101-150", "151+")))</f>
        <v>#REF!</v>
      </c>
      <c r="Y845" t="e">
        <f>IF(#REF! &lt;= 3, "Low Charges", "High Charges")</f>
        <v>#REF!</v>
      </c>
      <c r="Z845" t="e">
        <f>IF(#REF!&lt;=80,"Low Calls",
IF(#REF!&lt;=120,"Medium Calls","High Calls"))</f>
        <v>#REF!</v>
      </c>
      <c r="AA845" t="e">
        <f>IF(#REF!&lt;=15,"Low Charges",
IF(#REF!&lt;=20,"Medium Charges","High Charges"))</f>
        <v>#REF!</v>
      </c>
      <c r="AB845" t="e">
        <f>IF(AND(#REF!&gt;180, #REF!&gt;200), "Heavy Doemstic User", IF(#REF!&gt;10, "Interntional User", IF(AND(#REF!&lt;180, #REF!&lt;200,#REF!&lt;200), "Light User", "Balanced User")))</f>
        <v>#REF!</v>
      </c>
      <c r="AC845" t="e">
        <f>IF(#REF! = 0, "No Usage", IF(#REF! &lt;= 20, "Low Usage", IF(#REF! &lt;= 40, "Medium Usgae", "High Usage")))</f>
        <v>#REF!</v>
      </c>
      <c r="AD845" t="e">
        <f>IF(#REF!&lt;=150,"Low Usage", IF(#REF!&lt;=200,"Medium Usage", IF(#REF!&lt;=250,"High Usage","Very High Usage")))</f>
        <v>#REF!</v>
      </c>
      <c r="AE845" t="e">
        <f>IF(#REF!&lt;=5,"Low Calls", IF(#REF!&lt;=10, "Medium Calls", "High Calls"))</f>
        <v>#REF!</v>
      </c>
      <c r="AF845" t="e">
        <f xml:space="preserve">
IF(#REF!&gt;=4,4,0)+
IF(#REF!="yes",3,0)+
IF(#REF!="High Charges",3,0)+
IF(#REF!&gt;250,4,0)+
IF(#REF!="no",1,0)+
IF(#REF!="Heavy Domestic User",2,0)</f>
        <v>#REF!</v>
      </c>
      <c r="AG845" t="e">
        <f>IF(#REF!&gt;=10,"High Risk", IF(#REF!&gt;=5,"Medium Risk","Low Risk"))</f>
        <v>#REF!</v>
      </c>
      <c r="AH845" t="e">
        <f>#REF! + #REF! + #REF! + #REF!</f>
        <v>#REF!</v>
      </c>
    </row>
    <row r="846" spans="1:34" x14ac:dyDescent="0.35">
      <c r="A846">
        <v>845</v>
      </c>
      <c r="B846" t="s">
        <v>36</v>
      </c>
      <c r="C846">
        <v>181</v>
      </c>
      <c r="D846" t="s">
        <v>25</v>
      </c>
      <c r="E846" t="s">
        <v>22</v>
      </c>
      <c r="F846" t="s">
        <v>22</v>
      </c>
      <c r="G846">
        <v>0</v>
      </c>
      <c r="H846">
        <v>143.30000000000001</v>
      </c>
      <c r="I846">
        <v>91</v>
      </c>
      <c r="J846">
        <v>24.36</v>
      </c>
      <c r="K846">
        <v>195.5</v>
      </c>
      <c r="L846">
        <v>58</v>
      </c>
      <c r="M846">
        <v>16.62</v>
      </c>
      <c r="N846">
        <v>223.3</v>
      </c>
      <c r="O846">
        <v>95</v>
      </c>
      <c r="P846">
        <v>10.050000000000001</v>
      </c>
      <c r="Q846">
        <v>6</v>
      </c>
      <c r="R846">
        <v>7</v>
      </c>
      <c r="S846">
        <v>1.62</v>
      </c>
      <c r="T846">
        <v>1</v>
      </c>
      <c r="U846" t="s">
        <v>22</v>
      </c>
      <c r="V846" t="e">
        <f>IF(#REF! = "yes", 1, 0)</f>
        <v>#REF!</v>
      </c>
      <c r="W846" t="e">
        <f>IF(#REF! &lt;= 1, "0-1 Calls", IF(#REF! &lt;= 3, "2-3 Calls", IF(#REF! &lt;=5, "4-5 Calls", "6+ Calls")))</f>
        <v>#REF!</v>
      </c>
      <c r="X846" t="e">
        <f>IF(#REF! &lt;= 50, "0-50", IF(#REF! &lt;=100, "51-100", IF(#REF! &lt;= 150, "101-150", "151+")))</f>
        <v>#REF!</v>
      </c>
      <c r="Y846" t="e">
        <f>IF(#REF! &lt;= 3, "Low Charges", "High Charges")</f>
        <v>#REF!</v>
      </c>
      <c r="Z846" t="e">
        <f>IF(#REF!&lt;=80,"Low Calls",
IF(#REF!&lt;=120,"Medium Calls","High Calls"))</f>
        <v>#REF!</v>
      </c>
      <c r="AA846" t="e">
        <f>IF(#REF!&lt;=15,"Low Charges",
IF(#REF!&lt;=20,"Medium Charges","High Charges"))</f>
        <v>#REF!</v>
      </c>
      <c r="AB846" t="e">
        <f>IF(AND(#REF!&gt;180, #REF!&gt;200), "Heavy Doemstic User", IF(#REF!&gt;10, "Interntional User", IF(AND(#REF!&lt;180, #REF!&lt;200,#REF!&lt;200), "Light User", "Balanced User")))</f>
        <v>#REF!</v>
      </c>
      <c r="AC846" t="e">
        <f>IF(#REF! = 0, "No Usage", IF(#REF! &lt;= 20, "Low Usage", IF(#REF! &lt;= 40, "Medium Usgae", "High Usage")))</f>
        <v>#REF!</v>
      </c>
      <c r="AD846" t="e">
        <f>IF(#REF!&lt;=150,"Low Usage", IF(#REF!&lt;=200,"Medium Usage", IF(#REF!&lt;=250,"High Usage","Very High Usage")))</f>
        <v>#REF!</v>
      </c>
      <c r="AE846" t="e">
        <f>IF(#REF!&lt;=5,"Low Calls", IF(#REF!&lt;=10, "Medium Calls", "High Calls"))</f>
        <v>#REF!</v>
      </c>
      <c r="AF846" t="e">
        <f xml:space="preserve">
IF(#REF!&gt;=4,4,0)+
IF(#REF!="yes",3,0)+
IF(#REF!="High Charges",3,0)+
IF(#REF!&gt;250,4,0)+
IF(#REF!="no",1,0)+
IF(#REF!="Heavy Domestic User",2,0)</f>
        <v>#REF!</v>
      </c>
      <c r="AG846" t="e">
        <f>IF(#REF!&gt;=10,"High Risk", IF(#REF!&gt;=5,"Medium Risk","Low Risk"))</f>
        <v>#REF!</v>
      </c>
      <c r="AH846" t="e">
        <f>#REF! + #REF! + #REF! + #REF!</f>
        <v>#REF!</v>
      </c>
    </row>
    <row r="847" spans="1:34" x14ac:dyDescent="0.35">
      <c r="A847">
        <v>846</v>
      </c>
      <c r="B847" t="s">
        <v>29</v>
      </c>
      <c r="C847">
        <v>168</v>
      </c>
      <c r="D847" t="s">
        <v>21</v>
      </c>
      <c r="E847" t="s">
        <v>22</v>
      </c>
      <c r="F847" t="s">
        <v>23</v>
      </c>
      <c r="G847">
        <v>42</v>
      </c>
      <c r="H847">
        <v>97.4</v>
      </c>
      <c r="I847">
        <v>57</v>
      </c>
      <c r="J847">
        <v>16.559999999999999</v>
      </c>
      <c r="K847">
        <v>203.6</v>
      </c>
      <c r="L847">
        <v>98</v>
      </c>
      <c r="M847">
        <v>17.309999999999999</v>
      </c>
      <c r="N847">
        <v>173.9</v>
      </c>
      <c r="O847">
        <v>124</v>
      </c>
      <c r="P847">
        <v>7.83</v>
      </c>
      <c r="Q847">
        <v>11.4</v>
      </c>
      <c r="R847">
        <v>2</v>
      </c>
      <c r="S847">
        <v>3.08</v>
      </c>
      <c r="T847">
        <v>2</v>
      </c>
      <c r="U847" t="s">
        <v>22</v>
      </c>
      <c r="V847" t="e">
        <f>IF(#REF! = "yes", 1, 0)</f>
        <v>#REF!</v>
      </c>
      <c r="W847" t="e">
        <f>IF(#REF! &lt;= 1, "0-1 Calls", IF(#REF! &lt;= 3, "2-3 Calls", IF(#REF! &lt;=5, "4-5 Calls", "6+ Calls")))</f>
        <v>#REF!</v>
      </c>
      <c r="X847" t="e">
        <f>IF(#REF! &lt;= 50, "0-50", IF(#REF! &lt;=100, "51-100", IF(#REF! &lt;= 150, "101-150", "151+")))</f>
        <v>#REF!</v>
      </c>
      <c r="Y847" t="e">
        <f>IF(#REF! &lt;= 3, "Low Charges", "High Charges")</f>
        <v>#REF!</v>
      </c>
      <c r="Z847" t="e">
        <f>IF(#REF!&lt;=80,"Low Calls",
IF(#REF!&lt;=120,"Medium Calls","High Calls"))</f>
        <v>#REF!</v>
      </c>
      <c r="AA847" t="e">
        <f>IF(#REF!&lt;=15,"Low Charges",
IF(#REF!&lt;=20,"Medium Charges","High Charges"))</f>
        <v>#REF!</v>
      </c>
      <c r="AB847" t="e">
        <f>IF(AND(#REF!&gt;180, #REF!&gt;200), "Heavy Doemstic User", IF(#REF!&gt;10, "Interntional User", IF(AND(#REF!&lt;180, #REF!&lt;200,#REF!&lt;200), "Light User", "Balanced User")))</f>
        <v>#REF!</v>
      </c>
      <c r="AC847" t="e">
        <f>IF(#REF! = 0, "No Usage", IF(#REF! &lt;= 20, "Low Usage", IF(#REF! &lt;= 40, "Medium Usgae", "High Usage")))</f>
        <v>#REF!</v>
      </c>
      <c r="AD847" t="e">
        <f>IF(#REF!&lt;=150,"Low Usage", IF(#REF!&lt;=200,"Medium Usage", IF(#REF!&lt;=250,"High Usage","Very High Usage")))</f>
        <v>#REF!</v>
      </c>
      <c r="AE847" t="e">
        <f>IF(#REF!&lt;=5,"Low Calls", IF(#REF!&lt;=10, "Medium Calls", "High Calls"))</f>
        <v>#REF!</v>
      </c>
      <c r="AF847" t="e">
        <f xml:space="preserve">
IF(#REF!&gt;=4,4,0)+
IF(#REF!="yes",3,0)+
IF(#REF!="High Charges",3,0)+
IF(#REF!&gt;250,4,0)+
IF(#REF!="no",1,0)+
IF(#REF!="Heavy Domestic User",2,0)</f>
        <v>#REF!</v>
      </c>
      <c r="AG847" t="e">
        <f>IF(#REF!&gt;=10,"High Risk", IF(#REF!&gt;=5,"Medium Risk","Low Risk"))</f>
        <v>#REF!</v>
      </c>
      <c r="AH847" t="e">
        <f>#REF! + #REF! + #REF! + #REF!</f>
        <v>#REF!</v>
      </c>
    </row>
    <row r="848" spans="1:34" x14ac:dyDescent="0.35">
      <c r="A848">
        <v>847</v>
      </c>
      <c r="B848" t="s">
        <v>40</v>
      </c>
      <c r="C848">
        <v>155</v>
      </c>
      <c r="D848" t="s">
        <v>21</v>
      </c>
      <c r="E848" t="s">
        <v>22</v>
      </c>
      <c r="F848" t="s">
        <v>22</v>
      </c>
      <c r="G848">
        <v>0</v>
      </c>
      <c r="H848">
        <v>181.4</v>
      </c>
      <c r="I848">
        <v>111</v>
      </c>
      <c r="J848">
        <v>30.84</v>
      </c>
      <c r="K848">
        <v>167.7</v>
      </c>
      <c r="L848">
        <v>92</v>
      </c>
      <c r="M848">
        <v>14.25</v>
      </c>
      <c r="N848">
        <v>168.5</v>
      </c>
      <c r="O848">
        <v>122</v>
      </c>
      <c r="P848">
        <v>7.58</v>
      </c>
      <c r="Q848">
        <v>11.3</v>
      </c>
      <c r="R848">
        <v>3</v>
      </c>
      <c r="S848">
        <v>3.05</v>
      </c>
      <c r="T848">
        <v>3</v>
      </c>
      <c r="U848" t="s">
        <v>22</v>
      </c>
      <c r="V848" t="e">
        <f>IF(#REF! = "yes", 1, 0)</f>
        <v>#REF!</v>
      </c>
      <c r="W848" t="e">
        <f>IF(#REF! &lt;= 1, "0-1 Calls", IF(#REF! &lt;= 3, "2-3 Calls", IF(#REF! &lt;=5, "4-5 Calls", "6+ Calls")))</f>
        <v>#REF!</v>
      </c>
      <c r="X848" t="e">
        <f>IF(#REF! &lt;= 50, "0-50", IF(#REF! &lt;=100, "51-100", IF(#REF! &lt;= 150, "101-150", "151+")))</f>
        <v>#REF!</v>
      </c>
      <c r="Y848" t="e">
        <f>IF(#REF! &lt;= 3, "Low Charges", "High Charges")</f>
        <v>#REF!</v>
      </c>
      <c r="Z848" t="e">
        <f>IF(#REF!&lt;=80,"Low Calls",
IF(#REF!&lt;=120,"Medium Calls","High Calls"))</f>
        <v>#REF!</v>
      </c>
      <c r="AA848" t="e">
        <f>IF(#REF!&lt;=15,"Low Charges",
IF(#REF!&lt;=20,"Medium Charges","High Charges"))</f>
        <v>#REF!</v>
      </c>
      <c r="AB848" t="e">
        <f>IF(AND(#REF!&gt;180, #REF!&gt;200), "Heavy Doemstic User", IF(#REF!&gt;10, "Interntional User", IF(AND(#REF!&lt;180, #REF!&lt;200,#REF!&lt;200), "Light User", "Balanced User")))</f>
        <v>#REF!</v>
      </c>
      <c r="AC848" t="e">
        <f>IF(#REF! = 0, "No Usage", IF(#REF! &lt;= 20, "Low Usage", IF(#REF! &lt;= 40, "Medium Usgae", "High Usage")))</f>
        <v>#REF!</v>
      </c>
      <c r="AD848" t="e">
        <f>IF(#REF!&lt;=150,"Low Usage", IF(#REF!&lt;=200,"Medium Usage", IF(#REF!&lt;=250,"High Usage","Very High Usage")))</f>
        <v>#REF!</v>
      </c>
      <c r="AE848" t="e">
        <f>IF(#REF!&lt;=5,"Low Calls", IF(#REF!&lt;=10, "Medium Calls", "High Calls"))</f>
        <v>#REF!</v>
      </c>
      <c r="AF848" t="e">
        <f xml:space="preserve">
IF(#REF!&gt;=4,4,0)+
IF(#REF!="yes",3,0)+
IF(#REF!="High Charges",3,0)+
IF(#REF!&gt;250,4,0)+
IF(#REF!="no",1,0)+
IF(#REF!="Heavy Domestic User",2,0)</f>
        <v>#REF!</v>
      </c>
      <c r="AG848" t="e">
        <f>IF(#REF!&gt;=10,"High Risk", IF(#REF!&gt;=5,"Medium Risk","Low Risk"))</f>
        <v>#REF!</v>
      </c>
      <c r="AH848" t="e">
        <f>#REF! + #REF! + #REF! + #REF!</f>
        <v>#REF!</v>
      </c>
    </row>
    <row r="849" spans="1:34" x14ac:dyDescent="0.35">
      <c r="A849">
        <v>848</v>
      </c>
      <c r="B849" t="s">
        <v>75</v>
      </c>
      <c r="C849">
        <v>105</v>
      </c>
      <c r="D849" t="s">
        <v>28</v>
      </c>
      <c r="E849" t="s">
        <v>22</v>
      </c>
      <c r="F849" t="s">
        <v>22</v>
      </c>
      <c r="G849">
        <v>0</v>
      </c>
      <c r="H849">
        <v>246.4</v>
      </c>
      <c r="I849">
        <v>83</v>
      </c>
      <c r="J849">
        <v>41.89</v>
      </c>
      <c r="K849">
        <v>256.2</v>
      </c>
      <c r="L849">
        <v>101</v>
      </c>
      <c r="M849">
        <v>21.78</v>
      </c>
      <c r="N849">
        <v>169</v>
      </c>
      <c r="O849">
        <v>151</v>
      </c>
      <c r="P849">
        <v>7.61</v>
      </c>
      <c r="Q849">
        <v>3.8</v>
      </c>
      <c r="R849">
        <v>4</v>
      </c>
      <c r="S849">
        <v>1.03</v>
      </c>
      <c r="T849">
        <v>0</v>
      </c>
      <c r="U849" t="s">
        <v>22</v>
      </c>
      <c r="V849" t="e">
        <f>IF(#REF! = "yes", 1, 0)</f>
        <v>#REF!</v>
      </c>
      <c r="W849" t="e">
        <f>IF(#REF! &lt;= 1, "0-1 Calls", IF(#REF! &lt;= 3, "2-3 Calls", IF(#REF! &lt;=5, "4-5 Calls", "6+ Calls")))</f>
        <v>#REF!</v>
      </c>
      <c r="X849" t="e">
        <f>IF(#REF! &lt;= 50, "0-50", IF(#REF! &lt;=100, "51-100", IF(#REF! &lt;= 150, "101-150", "151+")))</f>
        <v>#REF!</v>
      </c>
      <c r="Y849" t="e">
        <f>IF(#REF! &lt;= 3, "Low Charges", "High Charges")</f>
        <v>#REF!</v>
      </c>
      <c r="Z849" t="e">
        <f>IF(#REF!&lt;=80,"Low Calls",
IF(#REF!&lt;=120,"Medium Calls","High Calls"))</f>
        <v>#REF!</v>
      </c>
      <c r="AA849" t="e">
        <f>IF(#REF!&lt;=15,"Low Charges",
IF(#REF!&lt;=20,"Medium Charges","High Charges"))</f>
        <v>#REF!</v>
      </c>
      <c r="AB849" t="e">
        <f>IF(AND(#REF!&gt;180, #REF!&gt;200), "Heavy Doemstic User", IF(#REF!&gt;10, "Interntional User", IF(AND(#REF!&lt;180, #REF!&lt;200,#REF!&lt;200), "Light User", "Balanced User")))</f>
        <v>#REF!</v>
      </c>
      <c r="AC849" t="e">
        <f>IF(#REF! = 0, "No Usage", IF(#REF! &lt;= 20, "Low Usage", IF(#REF! &lt;= 40, "Medium Usgae", "High Usage")))</f>
        <v>#REF!</v>
      </c>
      <c r="AD849" t="e">
        <f>IF(#REF!&lt;=150,"Low Usage", IF(#REF!&lt;=200,"Medium Usage", IF(#REF!&lt;=250,"High Usage","Very High Usage")))</f>
        <v>#REF!</v>
      </c>
      <c r="AE849" t="e">
        <f>IF(#REF!&lt;=5,"Low Calls", IF(#REF!&lt;=10, "Medium Calls", "High Calls"))</f>
        <v>#REF!</v>
      </c>
      <c r="AF849" t="e">
        <f xml:space="preserve">
IF(#REF!&gt;=4,4,0)+
IF(#REF!="yes",3,0)+
IF(#REF!="High Charges",3,0)+
IF(#REF!&gt;250,4,0)+
IF(#REF!="no",1,0)+
IF(#REF!="Heavy Domestic User",2,0)</f>
        <v>#REF!</v>
      </c>
      <c r="AG849" t="e">
        <f>IF(#REF!&gt;=10,"High Risk", IF(#REF!&gt;=5,"Medium Risk","Low Risk"))</f>
        <v>#REF!</v>
      </c>
      <c r="AH849" t="e">
        <f>#REF! + #REF! + #REF! + #REF!</f>
        <v>#REF!</v>
      </c>
    </row>
    <row r="850" spans="1:34" x14ac:dyDescent="0.35">
      <c r="A850">
        <v>849</v>
      </c>
      <c r="B850" t="s">
        <v>75</v>
      </c>
      <c r="C850">
        <v>182</v>
      </c>
      <c r="D850" t="s">
        <v>21</v>
      </c>
      <c r="E850" t="s">
        <v>22</v>
      </c>
      <c r="F850" t="s">
        <v>22</v>
      </c>
      <c r="G850">
        <v>0</v>
      </c>
      <c r="H850">
        <v>104.9</v>
      </c>
      <c r="I850">
        <v>111</v>
      </c>
      <c r="J850">
        <v>17.829999999999998</v>
      </c>
      <c r="K850">
        <v>198.5</v>
      </c>
      <c r="L850">
        <v>120</v>
      </c>
      <c r="M850">
        <v>16.87</v>
      </c>
      <c r="N850">
        <v>258.2</v>
      </c>
      <c r="O850">
        <v>91</v>
      </c>
      <c r="P850">
        <v>11.62</v>
      </c>
      <c r="Q850">
        <v>8</v>
      </c>
      <c r="R850">
        <v>5</v>
      </c>
      <c r="S850">
        <v>2.16</v>
      </c>
      <c r="T850">
        <v>2</v>
      </c>
      <c r="U850" t="s">
        <v>22</v>
      </c>
      <c r="V850" t="e">
        <f>IF(#REF! = "yes", 1, 0)</f>
        <v>#REF!</v>
      </c>
      <c r="W850" t="e">
        <f>IF(#REF! &lt;= 1, "0-1 Calls", IF(#REF! &lt;= 3, "2-3 Calls", IF(#REF! &lt;=5, "4-5 Calls", "6+ Calls")))</f>
        <v>#REF!</v>
      </c>
      <c r="X850" t="e">
        <f>IF(#REF! &lt;= 50, "0-50", IF(#REF! &lt;=100, "51-100", IF(#REF! &lt;= 150, "101-150", "151+")))</f>
        <v>#REF!</v>
      </c>
      <c r="Y850" t="e">
        <f>IF(#REF! &lt;= 3, "Low Charges", "High Charges")</f>
        <v>#REF!</v>
      </c>
      <c r="Z850" t="e">
        <f>IF(#REF!&lt;=80,"Low Calls",
IF(#REF!&lt;=120,"Medium Calls","High Calls"))</f>
        <v>#REF!</v>
      </c>
      <c r="AA850" t="e">
        <f>IF(#REF!&lt;=15,"Low Charges",
IF(#REF!&lt;=20,"Medium Charges","High Charges"))</f>
        <v>#REF!</v>
      </c>
      <c r="AB850" t="e">
        <f>IF(AND(#REF!&gt;180, #REF!&gt;200), "Heavy Doemstic User", IF(#REF!&gt;10, "Interntional User", IF(AND(#REF!&lt;180, #REF!&lt;200,#REF!&lt;200), "Light User", "Balanced User")))</f>
        <v>#REF!</v>
      </c>
      <c r="AC850" t="e">
        <f>IF(#REF! = 0, "No Usage", IF(#REF! &lt;= 20, "Low Usage", IF(#REF! &lt;= 40, "Medium Usgae", "High Usage")))</f>
        <v>#REF!</v>
      </c>
      <c r="AD850" t="e">
        <f>IF(#REF!&lt;=150,"Low Usage", IF(#REF!&lt;=200,"Medium Usage", IF(#REF!&lt;=250,"High Usage","Very High Usage")))</f>
        <v>#REF!</v>
      </c>
      <c r="AE850" t="e">
        <f>IF(#REF!&lt;=5,"Low Calls", IF(#REF!&lt;=10, "Medium Calls", "High Calls"))</f>
        <v>#REF!</v>
      </c>
      <c r="AF850" t="e">
        <f xml:space="preserve">
IF(#REF!&gt;=4,4,0)+
IF(#REF!="yes",3,0)+
IF(#REF!="High Charges",3,0)+
IF(#REF!&gt;250,4,0)+
IF(#REF!="no",1,0)+
IF(#REF!="Heavy Domestic User",2,0)</f>
        <v>#REF!</v>
      </c>
      <c r="AG850" t="e">
        <f>IF(#REF!&gt;=10,"High Risk", IF(#REF!&gt;=5,"Medium Risk","Low Risk"))</f>
        <v>#REF!</v>
      </c>
      <c r="AH850" t="e">
        <f>#REF! + #REF! + #REF! + #REF!</f>
        <v>#REF!</v>
      </c>
    </row>
    <row r="851" spans="1:34" x14ac:dyDescent="0.35">
      <c r="A851">
        <v>850</v>
      </c>
      <c r="B851" t="s">
        <v>36</v>
      </c>
      <c r="C851">
        <v>104</v>
      </c>
      <c r="D851" t="s">
        <v>21</v>
      </c>
      <c r="E851" t="s">
        <v>22</v>
      </c>
      <c r="F851" t="s">
        <v>22</v>
      </c>
      <c r="G851">
        <v>0</v>
      </c>
      <c r="H851">
        <v>156.19999999999999</v>
      </c>
      <c r="I851">
        <v>93</v>
      </c>
      <c r="J851">
        <v>26.55</v>
      </c>
      <c r="K851">
        <v>193</v>
      </c>
      <c r="L851">
        <v>54</v>
      </c>
      <c r="M851">
        <v>16.41</v>
      </c>
      <c r="N851">
        <v>222.7</v>
      </c>
      <c r="O851">
        <v>94</v>
      </c>
      <c r="P851">
        <v>10.02</v>
      </c>
      <c r="Q851">
        <v>13.1</v>
      </c>
      <c r="R851">
        <v>5</v>
      </c>
      <c r="S851">
        <v>3.54</v>
      </c>
      <c r="T851">
        <v>1</v>
      </c>
      <c r="U851" t="s">
        <v>22</v>
      </c>
      <c r="V851" t="e">
        <f>IF(#REF! = "yes", 1, 0)</f>
        <v>#REF!</v>
      </c>
      <c r="W851" t="e">
        <f>IF(#REF! &lt;= 1, "0-1 Calls", IF(#REF! &lt;= 3, "2-3 Calls", IF(#REF! &lt;=5, "4-5 Calls", "6+ Calls")))</f>
        <v>#REF!</v>
      </c>
      <c r="X851" t="e">
        <f>IF(#REF! &lt;= 50, "0-50", IF(#REF! &lt;=100, "51-100", IF(#REF! &lt;= 150, "101-150", "151+")))</f>
        <v>#REF!</v>
      </c>
      <c r="Y851" t="e">
        <f>IF(#REF! &lt;= 3, "Low Charges", "High Charges")</f>
        <v>#REF!</v>
      </c>
      <c r="Z851" t="e">
        <f>IF(#REF!&lt;=80,"Low Calls",
IF(#REF!&lt;=120,"Medium Calls","High Calls"))</f>
        <v>#REF!</v>
      </c>
      <c r="AA851" t="e">
        <f>IF(#REF!&lt;=15,"Low Charges",
IF(#REF!&lt;=20,"Medium Charges","High Charges"))</f>
        <v>#REF!</v>
      </c>
      <c r="AB851" t="e">
        <f>IF(AND(#REF!&gt;180, #REF!&gt;200), "Heavy Doemstic User", IF(#REF!&gt;10, "Interntional User", IF(AND(#REF!&lt;180, #REF!&lt;200,#REF!&lt;200), "Light User", "Balanced User")))</f>
        <v>#REF!</v>
      </c>
      <c r="AC851" t="e">
        <f>IF(#REF! = 0, "No Usage", IF(#REF! &lt;= 20, "Low Usage", IF(#REF! &lt;= 40, "Medium Usgae", "High Usage")))</f>
        <v>#REF!</v>
      </c>
      <c r="AD851" t="e">
        <f>IF(#REF!&lt;=150,"Low Usage", IF(#REF!&lt;=200,"Medium Usage", IF(#REF!&lt;=250,"High Usage","Very High Usage")))</f>
        <v>#REF!</v>
      </c>
      <c r="AE851" t="e">
        <f>IF(#REF!&lt;=5,"Low Calls", IF(#REF!&lt;=10, "Medium Calls", "High Calls"))</f>
        <v>#REF!</v>
      </c>
      <c r="AF851" t="e">
        <f xml:space="preserve">
IF(#REF!&gt;=4,4,0)+
IF(#REF!="yes",3,0)+
IF(#REF!="High Charges",3,0)+
IF(#REF!&gt;250,4,0)+
IF(#REF!="no",1,0)+
IF(#REF!="Heavy Domestic User",2,0)</f>
        <v>#REF!</v>
      </c>
      <c r="AG851" t="e">
        <f>IF(#REF!&gt;=10,"High Risk", IF(#REF!&gt;=5,"Medium Risk","Low Risk"))</f>
        <v>#REF!</v>
      </c>
      <c r="AH851" t="e">
        <f>#REF! + #REF! + #REF! + #REF!</f>
        <v>#REF!</v>
      </c>
    </row>
    <row r="852" spans="1:34" x14ac:dyDescent="0.35">
      <c r="A852">
        <v>851</v>
      </c>
      <c r="B852" t="s">
        <v>20</v>
      </c>
      <c r="C852">
        <v>102</v>
      </c>
      <c r="D852" t="s">
        <v>21</v>
      </c>
      <c r="E852" t="s">
        <v>22</v>
      </c>
      <c r="F852" t="s">
        <v>22</v>
      </c>
      <c r="G852">
        <v>0</v>
      </c>
      <c r="H852">
        <v>114.8</v>
      </c>
      <c r="I852">
        <v>125</v>
      </c>
      <c r="J852">
        <v>19.52</v>
      </c>
      <c r="K852">
        <v>81.900000000000006</v>
      </c>
      <c r="L852">
        <v>126</v>
      </c>
      <c r="M852">
        <v>6.96</v>
      </c>
      <c r="N852">
        <v>304.3</v>
      </c>
      <c r="O852">
        <v>101</v>
      </c>
      <c r="P852">
        <v>13.69</v>
      </c>
      <c r="Q852">
        <v>12</v>
      </c>
      <c r="R852">
        <v>4</v>
      </c>
      <c r="S852">
        <v>3.24</v>
      </c>
      <c r="T852">
        <v>0</v>
      </c>
      <c r="U852" t="s">
        <v>22</v>
      </c>
      <c r="V852" t="e">
        <f>IF(#REF! = "yes", 1, 0)</f>
        <v>#REF!</v>
      </c>
      <c r="W852" t="e">
        <f>IF(#REF! &lt;= 1, "0-1 Calls", IF(#REF! &lt;= 3, "2-3 Calls", IF(#REF! &lt;=5, "4-5 Calls", "6+ Calls")))</f>
        <v>#REF!</v>
      </c>
      <c r="X852" t="e">
        <f>IF(#REF! &lt;= 50, "0-50", IF(#REF! &lt;=100, "51-100", IF(#REF! &lt;= 150, "101-150", "151+")))</f>
        <v>#REF!</v>
      </c>
      <c r="Y852" t="e">
        <f>IF(#REF! &lt;= 3, "Low Charges", "High Charges")</f>
        <v>#REF!</v>
      </c>
      <c r="Z852" t="e">
        <f>IF(#REF!&lt;=80,"Low Calls",
IF(#REF!&lt;=120,"Medium Calls","High Calls"))</f>
        <v>#REF!</v>
      </c>
      <c r="AA852" t="e">
        <f>IF(#REF!&lt;=15,"Low Charges",
IF(#REF!&lt;=20,"Medium Charges","High Charges"))</f>
        <v>#REF!</v>
      </c>
      <c r="AB852" t="e">
        <f>IF(AND(#REF!&gt;180, #REF!&gt;200), "Heavy Doemstic User", IF(#REF!&gt;10, "Interntional User", IF(AND(#REF!&lt;180, #REF!&lt;200,#REF!&lt;200), "Light User", "Balanced User")))</f>
        <v>#REF!</v>
      </c>
      <c r="AC852" t="e">
        <f>IF(#REF! = 0, "No Usage", IF(#REF! &lt;= 20, "Low Usage", IF(#REF! &lt;= 40, "Medium Usgae", "High Usage")))</f>
        <v>#REF!</v>
      </c>
      <c r="AD852" t="e">
        <f>IF(#REF!&lt;=150,"Low Usage", IF(#REF!&lt;=200,"Medium Usage", IF(#REF!&lt;=250,"High Usage","Very High Usage")))</f>
        <v>#REF!</v>
      </c>
      <c r="AE852" t="e">
        <f>IF(#REF!&lt;=5,"Low Calls", IF(#REF!&lt;=10, "Medium Calls", "High Calls"))</f>
        <v>#REF!</v>
      </c>
      <c r="AF852" t="e">
        <f xml:space="preserve">
IF(#REF!&gt;=4,4,0)+
IF(#REF!="yes",3,0)+
IF(#REF!="High Charges",3,0)+
IF(#REF!&gt;250,4,0)+
IF(#REF!="no",1,0)+
IF(#REF!="Heavy Domestic User",2,0)</f>
        <v>#REF!</v>
      </c>
      <c r="AG852" t="e">
        <f>IF(#REF!&gt;=10,"High Risk", IF(#REF!&gt;=5,"Medium Risk","Low Risk"))</f>
        <v>#REF!</v>
      </c>
      <c r="AH852" t="e">
        <f>#REF! + #REF! + #REF! + #REF!</f>
        <v>#REF!</v>
      </c>
    </row>
    <row r="853" spans="1:34" x14ac:dyDescent="0.35">
      <c r="A853">
        <v>852</v>
      </c>
      <c r="B853" t="s">
        <v>68</v>
      </c>
      <c r="C853">
        <v>122</v>
      </c>
      <c r="D853" t="s">
        <v>21</v>
      </c>
      <c r="E853" t="s">
        <v>22</v>
      </c>
      <c r="F853" t="s">
        <v>22</v>
      </c>
      <c r="G853">
        <v>0</v>
      </c>
      <c r="H853">
        <v>232.5</v>
      </c>
      <c r="I853">
        <v>96</v>
      </c>
      <c r="J853">
        <v>39.53</v>
      </c>
      <c r="K853">
        <v>205.5</v>
      </c>
      <c r="L853">
        <v>120</v>
      </c>
      <c r="M853">
        <v>17.47</v>
      </c>
      <c r="N853">
        <v>213.7</v>
      </c>
      <c r="O853">
        <v>91</v>
      </c>
      <c r="P853">
        <v>9.6199999999999992</v>
      </c>
      <c r="Q853">
        <v>11.9</v>
      </c>
      <c r="R853">
        <v>2</v>
      </c>
      <c r="S853">
        <v>3.21</v>
      </c>
      <c r="T853">
        <v>0</v>
      </c>
      <c r="U853" t="s">
        <v>22</v>
      </c>
      <c r="V853" t="e">
        <f>IF(#REF! = "yes", 1, 0)</f>
        <v>#REF!</v>
      </c>
      <c r="W853" t="e">
        <f>IF(#REF! &lt;= 1, "0-1 Calls", IF(#REF! &lt;= 3, "2-3 Calls", IF(#REF! &lt;=5, "4-5 Calls", "6+ Calls")))</f>
        <v>#REF!</v>
      </c>
      <c r="X853" t="e">
        <f>IF(#REF! &lt;= 50, "0-50", IF(#REF! &lt;=100, "51-100", IF(#REF! &lt;= 150, "101-150", "151+")))</f>
        <v>#REF!</v>
      </c>
      <c r="Y853" t="e">
        <f>IF(#REF! &lt;= 3, "Low Charges", "High Charges")</f>
        <v>#REF!</v>
      </c>
      <c r="Z853" t="e">
        <f>IF(#REF!&lt;=80,"Low Calls",
IF(#REF!&lt;=120,"Medium Calls","High Calls"))</f>
        <v>#REF!</v>
      </c>
      <c r="AA853" t="e">
        <f>IF(#REF!&lt;=15,"Low Charges",
IF(#REF!&lt;=20,"Medium Charges","High Charges"))</f>
        <v>#REF!</v>
      </c>
      <c r="AB853" t="e">
        <f>IF(AND(#REF!&gt;180, #REF!&gt;200), "Heavy Doemstic User", IF(#REF!&gt;10, "Interntional User", IF(AND(#REF!&lt;180, #REF!&lt;200,#REF!&lt;200), "Light User", "Balanced User")))</f>
        <v>#REF!</v>
      </c>
      <c r="AC853" t="e">
        <f>IF(#REF! = 0, "No Usage", IF(#REF! &lt;= 20, "Low Usage", IF(#REF! &lt;= 40, "Medium Usgae", "High Usage")))</f>
        <v>#REF!</v>
      </c>
      <c r="AD853" t="e">
        <f>IF(#REF!&lt;=150,"Low Usage", IF(#REF!&lt;=200,"Medium Usage", IF(#REF!&lt;=250,"High Usage","Very High Usage")))</f>
        <v>#REF!</v>
      </c>
      <c r="AE853" t="e">
        <f>IF(#REF!&lt;=5,"Low Calls", IF(#REF!&lt;=10, "Medium Calls", "High Calls"))</f>
        <v>#REF!</v>
      </c>
      <c r="AF853" t="e">
        <f xml:space="preserve">
IF(#REF!&gt;=4,4,0)+
IF(#REF!="yes",3,0)+
IF(#REF!="High Charges",3,0)+
IF(#REF!&gt;250,4,0)+
IF(#REF!="no",1,0)+
IF(#REF!="Heavy Domestic User",2,0)</f>
        <v>#REF!</v>
      </c>
      <c r="AG853" t="e">
        <f>IF(#REF!&gt;=10,"High Risk", IF(#REF!&gt;=5,"Medium Risk","Low Risk"))</f>
        <v>#REF!</v>
      </c>
      <c r="AH853" t="e">
        <f>#REF! + #REF! + #REF! + #REF!</f>
        <v>#REF!</v>
      </c>
    </row>
    <row r="854" spans="1:34" x14ac:dyDescent="0.35">
      <c r="A854">
        <v>853</v>
      </c>
      <c r="B854" t="s">
        <v>43</v>
      </c>
      <c r="C854">
        <v>41</v>
      </c>
      <c r="D854" t="s">
        <v>21</v>
      </c>
      <c r="E854" t="s">
        <v>22</v>
      </c>
      <c r="F854" t="s">
        <v>22</v>
      </c>
      <c r="G854">
        <v>0</v>
      </c>
      <c r="H854">
        <v>143.6</v>
      </c>
      <c r="I854">
        <v>117</v>
      </c>
      <c r="J854">
        <v>24.41</v>
      </c>
      <c r="K854">
        <v>152.4</v>
      </c>
      <c r="L854">
        <v>108</v>
      </c>
      <c r="M854">
        <v>12.95</v>
      </c>
      <c r="N854">
        <v>194.4</v>
      </c>
      <c r="O854">
        <v>110</v>
      </c>
      <c r="P854">
        <v>8.75</v>
      </c>
      <c r="Q854">
        <v>8.6</v>
      </c>
      <c r="R854">
        <v>3</v>
      </c>
      <c r="S854">
        <v>2.3199999999999998</v>
      </c>
      <c r="T854">
        <v>1</v>
      </c>
      <c r="U854" t="s">
        <v>22</v>
      </c>
      <c r="V854" t="e">
        <f>IF(#REF! = "yes", 1, 0)</f>
        <v>#REF!</v>
      </c>
      <c r="W854" t="e">
        <f>IF(#REF! &lt;= 1, "0-1 Calls", IF(#REF! &lt;= 3, "2-3 Calls", IF(#REF! &lt;=5, "4-5 Calls", "6+ Calls")))</f>
        <v>#REF!</v>
      </c>
      <c r="X854" t="e">
        <f>IF(#REF! &lt;= 50, "0-50", IF(#REF! &lt;=100, "51-100", IF(#REF! &lt;= 150, "101-150", "151+")))</f>
        <v>#REF!</v>
      </c>
      <c r="Y854" t="e">
        <f>IF(#REF! &lt;= 3, "Low Charges", "High Charges")</f>
        <v>#REF!</v>
      </c>
      <c r="Z854" t="e">
        <f>IF(#REF!&lt;=80,"Low Calls",
IF(#REF!&lt;=120,"Medium Calls","High Calls"))</f>
        <v>#REF!</v>
      </c>
      <c r="AA854" t="e">
        <f>IF(#REF!&lt;=15,"Low Charges",
IF(#REF!&lt;=20,"Medium Charges","High Charges"))</f>
        <v>#REF!</v>
      </c>
      <c r="AB854" t="e">
        <f>IF(AND(#REF!&gt;180, #REF!&gt;200), "Heavy Doemstic User", IF(#REF!&gt;10, "Interntional User", IF(AND(#REF!&lt;180, #REF!&lt;200,#REF!&lt;200), "Light User", "Balanced User")))</f>
        <v>#REF!</v>
      </c>
      <c r="AC854" t="e">
        <f>IF(#REF! = 0, "No Usage", IF(#REF! &lt;= 20, "Low Usage", IF(#REF! &lt;= 40, "Medium Usgae", "High Usage")))</f>
        <v>#REF!</v>
      </c>
      <c r="AD854" t="e">
        <f>IF(#REF!&lt;=150,"Low Usage", IF(#REF!&lt;=200,"Medium Usage", IF(#REF!&lt;=250,"High Usage","Very High Usage")))</f>
        <v>#REF!</v>
      </c>
      <c r="AE854" t="e">
        <f>IF(#REF!&lt;=5,"Low Calls", IF(#REF!&lt;=10, "Medium Calls", "High Calls"))</f>
        <v>#REF!</v>
      </c>
      <c r="AF854" t="e">
        <f xml:space="preserve">
IF(#REF!&gt;=4,4,0)+
IF(#REF!="yes",3,0)+
IF(#REF!="High Charges",3,0)+
IF(#REF!&gt;250,4,0)+
IF(#REF!="no",1,0)+
IF(#REF!="Heavy Domestic User",2,0)</f>
        <v>#REF!</v>
      </c>
      <c r="AG854" t="e">
        <f>IF(#REF!&gt;=10,"High Risk", IF(#REF!&gt;=5,"Medium Risk","Low Risk"))</f>
        <v>#REF!</v>
      </c>
      <c r="AH854" t="e">
        <f>#REF! + #REF! + #REF! + #REF!</f>
        <v>#REF!</v>
      </c>
    </row>
    <row r="855" spans="1:34" x14ac:dyDescent="0.35">
      <c r="A855">
        <v>854</v>
      </c>
      <c r="B855" t="s">
        <v>48</v>
      </c>
      <c r="C855">
        <v>132</v>
      </c>
      <c r="D855" t="s">
        <v>21</v>
      </c>
      <c r="E855" t="s">
        <v>22</v>
      </c>
      <c r="F855" t="s">
        <v>22</v>
      </c>
      <c r="G855">
        <v>0</v>
      </c>
      <c r="H855">
        <v>176.7</v>
      </c>
      <c r="I855">
        <v>132</v>
      </c>
      <c r="J855">
        <v>30.04</v>
      </c>
      <c r="K855">
        <v>244.1</v>
      </c>
      <c r="L855">
        <v>80</v>
      </c>
      <c r="M855">
        <v>20.75</v>
      </c>
      <c r="N855">
        <v>176.3</v>
      </c>
      <c r="O855">
        <v>120</v>
      </c>
      <c r="P855">
        <v>7.93</v>
      </c>
      <c r="Q855">
        <v>9.1</v>
      </c>
      <c r="R855">
        <v>4</v>
      </c>
      <c r="S855">
        <v>2.46</v>
      </c>
      <c r="T855">
        <v>2</v>
      </c>
      <c r="U855" t="s">
        <v>22</v>
      </c>
      <c r="V855" t="e">
        <f>IF(#REF! = "yes", 1, 0)</f>
        <v>#REF!</v>
      </c>
      <c r="W855" t="e">
        <f>IF(#REF! &lt;= 1, "0-1 Calls", IF(#REF! &lt;= 3, "2-3 Calls", IF(#REF! &lt;=5, "4-5 Calls", "6+ Calls")))</f>
        <v>#REF!</v>
      </c>
      <c r="X855" t="e">
        <f>IF(#REF! &lt;= 50, "0-50", IF(#REF! &lt;=100, "51-100", IF(#REF! &lt;= 150, "101-150", "151+")))</f>
        <v>#REF!</v>
      </c>
      <c r="Y855" t="e">
        <f>IF(#REF! &lt;= 3, "Low Charges", "High Charges")</f>
        <v>#REF!</v>
      </c>
      <c r="Z855" t="e">
        <f>IF(#REF!&lt;=80,"Low Calls",
IF(#REF!&lt;=120,"Medium Calls","High Calls"))</f>
        <v>#REF!</v>
      </c>
      <c r="AA855" t="e">
        <f>IF(#REF!&lt;=15,"Low Charges",
IF(#REF!&lt;=20,"Medium Charges","High Charges"))</f>
        <v>#REF!</v>
      </c>
      <c r="AB855" t="e">
        <f>IF(AND(#REF!&gt;180, #REF!&gt;200), "Heavy Doemstic User", IF(#REF!&gt;10, "Interntional User", IF(AND(#REF!&lt;180, #REF!&lt;200,#REF!&lt;200), "Light User", "Balanced User")))</f>
        <v>#REF!</v>
      </c>
      <c r="AC855" t="e">
        <f>IF(#REF! = 0, "No Usage", IF(#REF! &lt;= 20, "Low Usage", IF(#REF! &lt;= 40, "Medium Usgae", "High Usage")))</f>
        <v>#REF!</v>
      </c>
      <c r="AD855" t="e">
        <f>IF(#REF!&lt;=150,"Low Usage", IF(#REF!&lt;=200,"Medium Usage", IF(#REF!&lt;=250,"High Usage","Very High Usage")))</f>
        <v>#REF!</v>
      </c>
      <c r="AE855" t="e">
        <f>IF(#REF!&lt;=5,"Low Calls", IF(#REF!&lt;=10, "Medium Calls", "High Calls"))</f>
        <v>#REF!</v>
      </c>
      <c r="AF855" t="e">
        <f xml:space="preserve">
IF(#REF!&gt;=4,4,0)+
IF(#REF!="yes",3,0)+
IF(#REF!="High Charges",3,0)+
IF(#REF!&gt;250,4,0)+
IF(#REF!="no",1,0)+
IF(#REF!="Heavy Domestic User",2,0)</f>
        <v>#REF!</v>
      </c>
      <c r="AG855" t="e">
        <f>IF(#REF!&gt;=10,"High Risk", IF(#REF!&gt;=5,"Medium Risk","Low Risk"))</f>
        <v>#REF!</v>
      </c>
      <c r="AH855" t="e">
        <f>#REF! + #REF! + #REF! + #REF!</f>
        <v>#REF!</v>
      </c>
    </row>
    <row r="856" spans="1:34" x14ac:dyDescent="0.35">
      <c r="A856">
        <v>855</v>
      </c>
      <c r="B856" t="s">
        <v>44</v>
      </c>
      <c r="C856">
        <v>76</v>
      </c>
      <c r="D856" t="s">
        <v>21</v>
      </c>
      <c r="E856" t="s">
        <v>22</v>
      </c>
      <c r="F856" t="s">
        <v>22</v>
      </c>
      <c r="G856">
        <v>0</v>
      </c>
      <c r="H856">
        <v>263.39999999999998</v>
      </c>
      <c r="I856">
        <v>148</v>
      </c>
      <c r="J856">
        <v>44.78</v>
      </c>
      <c r="K856">
        <v>230.3</v>
      </c>
      <c r="L856">
        <v>69</v>
      </c>
      <c r="M856">
        <v>19.579999999999998</v>
      </c>
      <c r="N856">
        <v>170.6</v>
      </c>
      <c r="O856">
        <v>101</v>
      </c>
      <c r="P856">
        <v>7.68</v>
      </c>
      <c r="Q856">
        <v>11.4</v>
      </c>
      <c r="R856">
        <v>5</v>
      </c>
      <c r="S856">
        <v>3.08</v>
      </c>
      <c r="T856">
        <v>1</v>
      </c>
      <c r="U856" t="s">
        <v>23</v>
      </c>
      <c r="V856" t="e">
        <f>IF(#REF! = "yes", 1, 0)</f>
        <v>#REF!</v>
      </c>
      <c r="W856" t="e">
        <f>IF(#REF! &lt;= 1, "0-1 Calls", IF(#REF! &lt;= 3, "2-3 Calls", IF(#REF! &lt;=5, "4-5 Calls", "6+ Calls")))</f>
        <v>#REF!</v>
      </c>
      <c r="X856" t="e">
        <f>IF(#REF! &lt;= 50, "0-50", IF(#REF! &lt;=100, "51-100", IF(#REF! &lt;= 150, "101-150", "151+")))</f>
        <v>#REF!</v>
      </c>
      <c r="Y856" t="e">
        <f>IF(#REF! &lt;= 3, "Low Charges", "High Charges")</f>
        <v>#REF!</v>
      </c>
      <c r="Z856" t="e">
        <f>IF(#REF!&lt;=80,"Low Calls",
IF(#REF!&lt;=120,"Medium Calls","High Calls"))</f>
        <v>#REF!</v>
      </c>
      <c r="AA856" t="e">
        <f>IF(#REF!&lt;=15,"Low Charges",
IF(#REF!&lt;=20,"Medium Charges","High Charges"))</f>
        <v>#REF!</v>
      </c>
      <c r="AB856" t="e">
        <f>IF(AND(#REF!&gt;180, #REF!&gt;200), "Heavy Doemstic User", IF(#REF!&gt;10, "Interntional User", IF(AND(#REF!&lt;180, #REF!&lt;200,#REF!&lt;200), "Light User", "Balanced User")))</f>
        <v>#REF!</v>
      </c>
      <c r="AC856" t="e">
        <f>IF(#REF! = 0, "No Usage", IF(#REF! &lt;= 20, "Low Usage", IF(#REF! &lt;= 40, "Medium Usgae", "High Usage")))</f>
        <v>#REF!</v>
      </c>
      <c r="AD856" t="e">
        <f>IF(#REF!&lt;=150,"Low Usage", IF(#REF!&lt;=200,"Medium Usage", IF(#REF!&lt;=250,"High Usage","Very High Usage")))</f>
        <v>#REF!</v>
      </c>
      <c r="AE856" t="e">
        <f>IF(#REF!&lt;=5,"Low Calls", IF(#REF!&lt;=10, "Medium Calls", "High Calls"))</f>
        <v>#REF!</v>
      </c>
      <c r="AF856" t="e">
        <f xml:space="preserve">
IF(#REF!&gt;=4,4,0)+
IF(#REF!="yes",3,0)+
IF(#REF!="High Charges",3,0)+
IF(#REF!&gt;250,4,0)+
IF(#REF!="no",1,0)+
IF(#REF!="Heavy Domestic User",2,0)</f>
        <v>#REF!</v>
      </c>
      <c r="AG856" t="e">
        <f>IF(#REF!&gt;=10,"High Risk", IF(#REF!&gt;=5,"Medium Risk","Low Risk"))</f>
        <v>#REF!</v>
      </c>
      <c r="AH856" t="e">
        <f>#REF! + #REF! + #REF! + #REF!</f>
        <v>#REF!</v>
      </c>
    </row>
    <row r="857" spans="1:34" x14ac:dyDescent="0.35">
      <c r="A857">
        <v>856</v>
      </c>
      <c r="B857" t="s">
        <v>31</v>
      </c>
      <c r="C857">
        <v>13</v>
      </c>
      <c r="D857" t="s">
        <v>21</v>
      </c>
      <c r="E857" t="s">
        <v>22</v>
      </c>
      <c r="F857" t="s">
        <v>22</v>
      </c>
      <c r="G857">
        <v>0</v>
      </c>
      <c r="H857">
        <v>146.4</v>
      </c>
      <c r="I857">
        <v>74</v>
      </c>
      <c r="J857">
        <v>24.89</v>
      </c>
      <c r="K857">
        <v>148.5</v>
      </c>
      <c r="L857">
        <v>92</v>
      </c>
      <c r="M857">
        <v>12.62</v>
      </c>
      <c r="N857">
        <v>216.7</v>
      </c>
      <c r="O857">
        <v>96</v>
      </c>
      <c r="P857">
        <v>9.75</v>
      </c>
      <c r="Q857">
        <v>11.3</v>
      </c>
      <c r="R857">
        <v>3</v>
      </c>
      <c r="S857">
        <v>3.05</v>
      </c>
      <c r="T857">
        <v>1</v>
      </c>
      <c r="U857" t="s">
        <v>22</v>
      </c>
      <c r="V857" t="e">
        <f>IF(#REF! = "yes", 1, 0)</f>
        <v>#REF!</v>
      </c>
      <c r="W857" t="e">
        <f>IF(#REF! &lt;= 1, "0-1 Calls", IF(#REF! &lt;= 3, "2-3 Calls", IF(#REF! &lt;=5, "4-5 Calls", "6+ Calls")))</f>
        <v>#REF!</v>
      </c>
      <c r="X857" t="e">
        <f>IF(#REF! &lt;= 50, "0-50", IF(#REF! &lt;=100, "51-100", IF(#REF! &lt;= 150, "101-150", "151+")))</f>
        <v>#REF!</v>
      </c>
      <c r="Y857" t="e">
        <f>IF(#REF! &lt;= 3, "Low Charges", "High Charges")</f>
        <v>#REF!</v>
      </c>
      <c r="Z857" t="e">
        <f>IF(#REF!&lt;=80,"Low Calls",
IF(#REF!&lt;=120,"Medium Calls","High Calls"))</f>
        <v>#REF!</v>
      </c>
      <c r="AA857" t="e">
        <f>IF(#REF!&lt;=15,"Low Charges",
IF(#REF!&lt;=20,"Medium Charges","High Charges"))</f>
        <v>#REF!</v>
      </c>
      <c r="AB857" t="e">
        <f>IF(AND(#REF!&gt;180, #REF!&gt;200), "Heavy Doemstic User", IF(#REF!&gt;10, "Interntional User", IF(AND(#REF!&lt;180, #REF!&lt;200,#REF!&lt;200), "Light User", "Balanced User")))</f>
        <v>#REF!</v>
      </c>
      <c r="AC857" t="e">
        <f>IF(#REF! = 0, "No Usage", IF(#REF! &lt;= 20, "Low Usage", IF(#REF! &lt;= 40, "Medium Usgae", "High Usage")))</f>
        <v>#REF!</v>
      </c>
      <c r="AD857" t="e">
        <f>IF(#REF!&lt;=150,"Low Usage", IF(#REF!&lt;=200,"Medium Usage", IF(#REF!&lt;=250,"High Usage","Very High Usage")))</f>
        <v>#REF!</v>
      </c>
      <c r="AE857" t="e">
        <f>IF(#REF!&lt;=5,"Low Calls", IF(#REF!&lt;=10, "Medium Calls", "High Calls"))</f>
        <v>#REF!</v>
      </c>
      <c r="AF857" t="e">
        <f xml:space="preserve">
IF(#REF!&gt;=4,4,0)+
IF(#REF!="yes",3,0)+
IF(#REF!="High Charges",3,0)+
IF(#REF!&gt;250,4,0)+
IF(#REF!="no",1,0)+
IF(#REF!="Heavy Domestic User",2,0)</f>
        <v>#REF!</v>
      </c>
      <c r="AG857" t="e">
        <f>IF(#REF!&gt;=10,"High Risk", IF(#REF!&gt;=5,"Medium Risk","Low Risk"))</f>
        <v>#REF!</v>
      </c>
      <c r="AH857" t="e">
        <f>#REF! + #REF! + #REF! + #REF!</f>
        <v>#REF!</v>
      </c>
    </row>
    <row r="858" spans="1:34" x14ac:dyDescent="0.35">
      <c r="A858">
        <v>857</v>
      </c>
      <c r="B858" t="s">
        <v>45</v>
      </c>
      <c r="C858">
        <v>115</v>
      </c>
      <c r="D858" t="s">
        <v>21</v>
      </c>
      <c r="E858" t="s">
        <v>22</v>
      </c>
      <c r="F858" t="s">
        <v>23</v>
      </c>
      <c r="G858">
        <v>33</v>
      </c>
      <c r="H858">
        <v>145</v>
      </c>
      <c r="I858">
        <v>72</v>
      </c>
      <c r="J858">
        <v>24.65</v>
      </c>
      <c r="K858">
        <v>194.5</v>
      </c>
      <c r="L858">
        <v>157</v>
      </c>
      <c r="M858">
        <v>16.53</v>
      </c>
      <c r="N858">
        <v>242.3</v>
      </c>
      <c r="O858">
        <v>138</v>
      </c>
      <c r="P858">
        <v>10.9</v>
      </c>
      <c r="Q858">
        <v>14.2</v>
      </c>
      <c r="R858">
        <v>3</v>
      </c>
      <c r="S858">
        <v>3.83</v>
      </c>
      <c r="T858">
        <v>2</v>
      </c>
      <c r="U858" t="s">
        <v>22</v>
      </c>
      <c r="V858" t="e">
        <f>IF(#REF! = "yes", 1, 0)</f>
        <v>#REF!</v>
      </c>
      <c r="W858" t="e">
        <f>IF(#REF! &lt;= 1, "0-1 Calls", IF(#REF! &lt;= 3, "2-3 Calls", IF(#REF! &lt;=5, "4-5 Calls", "6+ Calls")))</f>
        <v>#REF!</v>
      </c>
      <c r="X858" t="e">
        <f>IF(#REF! &lt;= 50, "0-50", IF(#REF! &lt;=100, "51-100", IF(#REF! &lt;= 150, "101-150", "151+")))</f>
        <v>#REF!</v>
      </c>
      <c r="Y858" t="e">
        <f>IF(#REF! &lt;= 3, "Low Charges", "High Charges")</f>
        <v>#REF!</v>
      </c>
      <c r="Z858" t="e">
        <f>IF(#REF!&lt;=80,"Low Calls",
IF(#REF!&lt;=120,"Medium Calls","High Calls"))</f>
        <v>#REF!</v>
      </c>
      <c r="AA858" t="e">
        <f>IF(#REF!&lt;=15,"Low Charges",
IF(#REF!&lt;=20,"Medium Charges","High Charges"))</f>
        <v>#REF!</v>
      </c>
      <c r="AB858" t="e">
        <f>IF(AND(#REF!&gt;180, #REF!&gt;200), "Heavy Doemstic User", IF(#REF!&gt;10, "Interntional User", IF(AND(#REF!&lt;180, #REF!&lt;200,#REF!&lt;200), "Light User", "Balanced User")))</f>
        <v>#REF!</v>
      </c>
      <c r="AC858" t="e">
        <f>IF(#REF! = 0, "No Usage", IF(#REF! &lt;= 20, "Low Usage", IF(#REF! &lt;= 40, "Medium Usgae", "High Usage")))</f>
        <v>#REF!</v>
      </c>
      <c r="AD858" t="e">
        <f>IF(#REF!&lt;=150,"Low Usage", IF(#REF!&lt;=200,"Medium Usage", IF(#REF!&lt;=250,"High Usage","Very High Usage")))</f>
        <v>#REF!</v>
      </c>
      <c r="AE858" t="e">
        <f>IF(#REF!&lt;=5,"Low Calls", IF(#REF!&lt;=10, "Medium Calls", "High Calls"))</f>
        <v>#REF!</v>
      </c>
      <c r="AF858" t="e">
        <f xml:space="preserve">
IF(#REF!&gt;=4,4,0)+
IF(#REF!="yes",3,0)+
IF(#REF!="High Charges",3,0)+
IF(#REF!&gt;250,4,0)+
IF(#REF!="no",1,0)+
IF(#REF!="Heavy Domestic User",2,0)</f>
        <v>#REF!</v>
      </c>
      <c r="AG858" t="e">
        <f>IF(#REF!&gt;=10,"High Risk", IF(#REF!&gt;=5,"Medium Risk","Low Risk"))</f>
        <v>#REF!</v>
      </c>
      <c r="AH858" t="e">
        <f>#REF! + #REF! + #REF! + #REF!</f>
        <v>#REF!</v>
      </c>
    </row>
    <row r="859" spans="1:34" x14ac:dyDescent="0.35">
      <c r="A859">
        <v>858</v>
      </c>
      <c r="B859" t="s">
        <v>31</v>
      </c>
      <c r="C859">
        <v>67</v>
      </c>
      <c r="D859" t="s">
        <v>25</v>
      </c>
      <c r="E859" t="s">
        <v>22</v>
      </c>
      <c r="F859" t="s">
        <v>22</v>
      </c>
      <c r="G859">
        <v>0</v>
      </c>
      <c r="H859">
        <v>167.8</v>
      </c>
      <c r="I859">
        <v>91</v>
      </c>
      <c r="J859">
        <v>28.53</v>
      </c>
      <c r="K859">
        <v>167.7</v>
      </c>
      <c r="L859">
        <v>69</v>
      </c>
      <c r="M859">
        <v>14.25</v>
      </c>
      <c r="N859">
        <v>110.3</v>
      </c>
      <c r="O859">
        <v>71</v>
      </c>
      <c r="P859">
        <v>4.96</v>
      </c>
      <c r="Q859">
        <v>8.4</v>
      </c>
      <c r="R859">
        <v>12</v>
      </c>
      <c r="S859">
        <v>2.27</v>
      </c>
      <c r="T859">
        <v>1</v>
      </c>
      <c r="U859" t="s">
        <v>22</v>
      </c>
      <c r="V859" t="e">
        <f>IF(#REF! = "yes", 1, 0)</f>
        <v>#REF!</v>
      </c>
      <c r="W859" t="e">
        <f>IF(#REF! &lt;= 1, "0-1 Calls", IF(#REF! &lt;= 3, "2-3 Calls", IF(#REF! &lt;=5, "4-5 Calls", "6+ Calls")))</f>
        <v>#REF!</v>
      </c>
      <c r="X859" t="e">
        <f>IF(#REF! &lt;= 50, "0-50", IF(#REF! &lt;=100, "51-100", IF(#REF! &lt;= 150, "101-150", "151+")))</f>
        <v>#REF!</v>
      </c>
      <c r="Y859" t="e">
        <f>IF(#REF! &lt;= 3, "Low Charges", "High Charges")</f>
        <v>#REF!</v>
      </c>
      <c r="Z859" t="e">
        <f>IF(#REF!&lt;=80,"Low Calls",
IF(#REF!&lt;=120,"Medium Calls","High Calls"))</f>
        <v>#REF!</v>
      </c>
      <c r="AA859" t="e">
        <f>IF(#REF!&lt;=15,"Low Charges",
IF(#REF!&lt;=20,"Medium Charges","High Charges"))</f>
        <v>#REF!</v>
      </c>
      <c r="AB859" t="e">
        <f>IF(AND(#REF!&gt;180, #REF!&gt;200), "Heavy Doemstic User", IF(#REF!&gt;10, "Interntional User", IF(AND(#REF!&lt;180, #REF!&lt;200,#REF!&lt;200), "Light User", "Balanced User")))</f>
        <v>#REF!</v>
      </c>
      <c r="AC859" t="e">
        <f>IF(#REF! = 0, "No Usage", IF(#REF! &lt;= 20, "Low Usage", IF(#REF! &lt;= 40, "Medium Usgae", "High Usage")))</f>
        <v>#REF!</v>
      </c>
      <c r="AD859" t="e">
        <f>IF(#REF!&lt;=150,"Low Usage", IF(#REF!&lt;=200,"Medium Usage", IF(#REF!&lt;=250,"High Usage","Very High Usage")))</f>
        <v>#REF!</v>
      </c>
      <c r="AE859" t="e">
        <f>IF(#REF!&lt;=5,"Low Calls", IF(#REF!&lt;=10, "Medium Calls", "High Calls"))</f>
        <v>#REF!</v>
      </c>
      <c r="AF859" t="e">
        <f xml:space="preserve">
IF(#REF!&gt;=4,4,0)+
IF(#REF!="yes",3,0)+
IF(#REF!="High Charges",3,0)+
IF(#REF!&gt;250,4,0)+
IF(#REF!="no",1,0)+
IF(#REF!="Heavy Domestic User",2,0)</f>
        <v>#REF!</v>
      </c>
      <c r="AG859" t="e">
        <f>IF(#REF!&gt;=10,"High Risk", IF(#REF!&gt;=5,"Medium Risk","Low Risk"))</f>
        <v>#REF!</v>
      </c>
      <c r="AH859" t="e">
        <f>#REF! + #REF! + #REF! + #REF!</f>
        <v>#REF!</v>
      </c>
    </row>
    <row r="860" spans="1:34" x14ac:dyDescent="0.35">
      <c r="A860">
        <v>859</v>
      </c>
      <c r="B860" t="s">
        <v>50</v>
      </c>
      <c r="C860">
        <v>100</v>
      </c>
      <c r="D860" t="s">
        <v>28</v>
      </c>
      <c r="E860" t="s">
        <v>22</v>
      </c>
      <c r="F860" t="s">
        <v>22</v>
      </c>
      <c r="G860">
        <v>0</v>
      </c>
      <c r="H860">
        <v>142.5</v>
      </c>
      <c r="I860">
        <v>87</v>
      </c>
      <c r="J860">
        <v>24.23</v>
      </c>
      <c r="K860">
        <v>195.7</v>
      </c>
      <c r="L860">
        <v>88</v>
      </c>
      <c r="M860">
        <v>16.63</v>
      </c>
      <c r="N860">
        <v>122.1</v>
      </c>
      <c r="O860">
        <v>117</v>
      </c>
      <c r="P860">
        <v>5.49</v>
      </c>
      <c r="Q860">
        <v>7.8</v>
      </c>
      <c r="R860">
        <v>8</v>
      </c>
      <c r="S860">
        <v>2.11</v>
      </c>
      <c r="T860">
        <v>2</v>
      </c>
      <c r="U860" t="s">
        <v>22</v>
      </c>
      <c r="V860" t="e">
        <f>IF(#REF! = "yes", 1, 0)</f>
        <v>#REF!</v>
      </c>
      <c r="W860" t="e">
        <f>IF(#REF! &lt;= 1, "0-1 Calls", IF(#REF! &lt;= 3, "2-3 Calls", IF(#REF! &lt;=5, "4-5 Calls", "6+ Calls")))</f>
        <v>#REF!</v>
      </c>
      <c r="X860" t="e">
        <f>IF(#REF! &lt;= 50, "0-50", IF(#REF! &lt;=100, "51-100", IF(#REF! &lt;= 150, "101-150", "151+")))</f>
        <v>#REF!</v>
      </c>
      <c r="Y860" t="e">
        <f>IF(#REF! &lt;= 3, "Low Charges", "High Charges")</f>
        <v>#REF!</v>
      </c>
      <c r="Z860" t="e">
        <f>IF(#REF!&lt;=80,"Low Calls",
IF(#REF!&lt;=120,"Medium Calls","High Calls"))</f>
        <v>#REF!</v>
      </c>
      <c r="AA860" t="e">
        <f>IF(#REF!&lt;=15,"Low Charges",
IF(#REF!&lt;=20,"Medium Charges","High Charges"))</f>
        <v>#REF!</v>
      </c>
      <c r="AB860" t="e">
        <f>IF(AND(#REF!&gt;180, #REF!&gt;200), "Heavy Doemstic User", IF(#REF!&gt;10, "Interntional User", IF(AND(#REF!&lt;180, #REF!&lt;200,#REF!&lt;200), "Light User", "Balanced User")))</f>
        <v>#REF!</v>
      </c>
      <c r="AC860" t="e">
        <f>IF(#REF! = 0, "No Usage", IF(#REF! &lt;= 20, "Low Usage", IF(#REF! &lt;= 40, "Medium Usgae", "High Usage")))</f>
        <v>#REF!</v>
      </c>
      <c r="AD860" t="e">
        <f>IF(#REF!&lt;=150,"Low Usage", IF(#REF!&lt;=200,"Medium Usage", IF(#REF!&lt;=250,"High Usage","Very High Usage")))</f>
        <v>#REF!</v>
      </c>
      <c r="AE860" t="e">
        <f>IF(#REF!&lt;=5,"Low Calls", IF(#REF!&lt;=10, "Medium Calls", "High Calls"))</f>
        <v>#REF!</v>
      </c>
      <c r="AF860" t="e">
        <f xml:space="preserve">
IF(#REF!&gt;=4,4,0)+
IF(#REF!="yes",3,0)+
IF(#REF!="High Charges",3,0)+
IF(#REF!&gt;250,4,0)+
IF(#REF!="no",1,0)+
IF(#REF!="Heavy Domestic User",2,0)</f>
        <v>#REF!</v>
      </c>
      <c r="AG860" t="e">
        <f>IF(#REF!&gt;=10,"High Risk", IF(#REF!&gt;=5,"Medium Risk","Low Risk"))</f>
        <v>#REF!</v>
      </c>
      <c r="AH860" t="e">
        <f>#REF! + #REF! + #REF! + #REF!</f>
        <v>#REF!</v>
      </c>
    </row>
    <row r="861" spans="1:34" x14ac:dyDescent="0.35">
      <c r="A861">
        <v>860</v>
      </c>
      <c r="B861" t="s">
        <v>47</v>
      </c>
      <c r="C861">
        <v>146</v>
      </c>
      <c r="D861" t="s">
        <v>28</v>
      </c>
      <c r="E861" t="s">
        <v>23</v>
      </c>
      <c r="F861" t="s">
        <v>22</v>
      </c>
      <c r="G861">
        <v>0</v>
      </c>
      <c r="H861">
        <v>133</v>
      </c>
      <c r="I861">
        <v>65</v>
      </c>
      <c r="J861">
        <v>22.61</v>
      </c>
      <c r="K861">
        <v>262.8</v>
      </c>
      <c r="L861">
        <v>93</v>
      </c>
      <c r="M861">
        <v>22.34</v>
      </c>
      <c r="N861">
        <v>214.3</v>
      </c>
      <c r="O861">
        <v>128</v>
      </c>
      <c r="P861">
        <v>9.64</v>
      </c>
      <c r="Q861">
        <v>11.2</v>
      </c>
      <c r="R861">
        <v>3</v>
      </c>
      <c r="S861">
        <v>3.02</v>
      </c>
      <c r="T861">
        <v>1</v>
      </c>
      <c r="U861" t="s">
        <v>22</v>
      </c>
      <c r="V861" t="e">
        <f>IF(#REF! = "yes", 1, 0)</f>
        <v>#REF!</v>
      </c>
      <c r="W861" t="e">
        <f>IF(#REF! &lt;= 1, "0-1 Calls", IF(#REF! &lt;= 3, "2-3 Calls", IF(#REF! &lt;=5, "4-5 Calls", "6+ Calls")))</f>
        <v>#REF!</v>
      </c>
      <c r="X861" t="e">
        <f>IF(#REF! &lt;= 50, "0-50", IF(#REF! &lt;=100, "51-100", IF(#REF! &lt;= 150, "101-150", "151+")))</f>
        <v>#REF!</v>
      </c>
      <c r="Y861" t="e">
        <f>IF(#REF! &lt;= 3, "Low Charges", "High Charges")</f>
        <v>#REF!</v>
      </c>
      <c r="Z861" t="e">
        <f>IF(#REF!&lt;=80,"Low Calls",
IF(#REF!&lt;=120,"Medium Calls","High Calls"))</f>
        <v>#REF!</v>
      </c>
      <c r="AA861" t="e">
        <f>IF(#REF!&lt;=15,"Low Charges",
IF(#REF!&lt;=20,"Medium Charges","High Charges"))</f>
        <v>#REF!</v>
      </c>
      <c r="AB861" t="e">
        <f>IF(AND(#REF!&gt;180, #REF!&gt;200), "Heavy Doemstic User", IF(#REF!&gt;10, "Interntional User", IF(AND(#REF!&lt;180, #REF!&lt;200,#REF!&lt;200), "Light User", "Balanced User")))</f>
        <v>#REF!</v>
      </c>
      <c r="AC861" t="e">
        <f>IF(#REF! = 0, "No Usage", IF(#REF! &lt;= 20, "Low Usage", IF(#REF! &lt;= 40, "Medium Usgae", "High Usage")))</f>
        <v>#REF!</v>
      </c>
      <c r="AD861" t="e">
        <f>IF(#REF!&lt;=150,"Low Usage", IF(#REF!&lt;=200,"Medium Usage", IF(#REF!&lt;=250,"High Usage","Very High Usage")))</f>
        <v>#REF!</v>
      </c>
      <c r="AE861" t="e">
        <f>IF(#REF!&lt;=5,"Low Calls", IF(#REF!&lt;=10, "Medium Calls", "High Calls"))</f>
        <v>#REF!</v>
      </c>
      <c r="AF861" t="e">
        <f xml:space="preserve">
IF(#REF!&gt;=4,4,0)+
IF(#REF!="yes",3,0)+
IF(#REF!="High Charges",3,0)+
IF(#REF!&gt;250,4,0)+
IF(#REF!="no",1,0)+
IF(#REF!="Heavy Domestic User",2,0)</f>
        <v>#REF!</v>
      </c>
      <c r="AG861" t="e">
        <f>IF(#REF!&gt;=10,"High Risk", IF(#REF!&gt;=5,"Medium Risk","Low Risk"))</f>
        <v>#REF!</v>
      </c>
      <c r="AH861" t="e">
        <f>#REF! + #REF! + #REF! + #REF!</f>
        <v>#REF!</v>
      </c>
    </row>
    <row r="862" spans="1:34" x14ac:dyDescent="0.35">
      <c r="A862">
        <v>861</v>
      </c>
      <c r="B862" t="s">
        <v>63</v>
      </c>
      <c r="C862">
        <v>148</v>
      </c>
      <c r="D862" t="s">
        <v>21</v>
      </c>
      <c r="E862" t="s">
        <v>22</v>
      </c>
      <c r="F862" t="s">
        <v>23</v>
      </c>
      <c r="G862">
        <v>11</v>
      </c>
      <c r="H862">
        <v>252.9</v>
      </c>
      <c r="I862">
        <v>129</v>
      </c>
      <c r="J862">
        <v>42.99</v>
      </c>
      <c r="K862">
        <v>284.3</v>
      </c>
      <c r="L862">
        <v>88</v>
      </c>
      <c r="M862">
        <v>24.17</v>
      </c>
      <c r="N862">
        <v>262.8</v>
      </c>
      <c r="O862">
        <v>99</v>
      </c>
      <c r="P862">
        <v>11.83</v>
      </c>
      <c r="Q862">
        <v>12.3</v>
      </c>
      <c r="R862">
        <v>1</v>
      </c>
      <c r="S862">
        <v>3.32</v>
      </c>
      <c r="T862">
        <v>1</v>
      </c>
      <c r="U862" t="s">
        <v>22</v>
      </c>
      <c r="V862" t="e">
        <f>IF(#REF! = "yes", 1, 0)</f>
        <v>#REF!</v>
      </c>
      <c r="W862" t="e">
        <f>IF(#REF! &lt;= 1, "0-1 Calls", IF(#REF! &lt;= 3, "2-3 Calls", IF(#REF! &lt;=5, "4-5 Calls", "6+ Calls")))</f>
        <v>#REF!</v>
      </c>
      <c r="X862" t="e">
        <f>IF(#REF! &lt;= 50, "0-50", IF(#REF! &lt;=100, "51-100", IF(#REF! &lt;= 150, "101-150", "151+")))</f>
        <v>#REF!</v>
      </c>
      <c r="Y862" t="e">
        <f>IF(#REF! &lt;= 3, "Low Charges", "High Charges")</f>
        <v>#REF!</v>
      </c>
      <c r="Z862" t="e">
        <f>IF(#REF!&lt;=80,"Low Calls",
IF(#REF!&lt;=120,"Medium Calls","High Calls"))</f>
        <v>#REF!</v>
      </c>
      <c r="AA862" t="e">
        <f>IF(#REF!&lt;=15,"Low Charges",
IF(#REF!&lt;=20,"Medium Charges","High Charges"))</f>
        <v>#REF!</v>
      </c>
      <c r="AB862" t="e">
        <f>IF(AND(#REF!&gt;180, #REF!&gt;200), "Heavy Doemstic User", IF(#REF!&gt;10, "Interntional User", IF(AND(#REF!&lt;180, #REF!&lt;200,#REF!&lt;200), "Light User", "Balanced User")))</f>
        <v>#REF!</v>
      </c>
      <c r="AC862" t="e">
        <f>IF(#REF! = 0, "No Usage", IF(#REF! &lt;= 20, "Low Usage", IF(#REF! &lt;= 40, "Medium Usgae", "High Usage")))</f>
        <v>#REF!</v>
      </c>
      <c r="AD862" t="e">
        <f>IF(#REF!&lt;=150,"Low Usage", IF(#REF!&lt;=200,"Medium Usage", IF(#REF!&lt;=250,"High Usage","Very High Usage")))</f>
        <v>#REF!</v>
      </c>
      <c r="AE862" t="e">
        <f>IF(#REF!&lt;=5,"Low Calls", IF(#REF!&lt;=10, "Medium Calls", "High Calls"))</f>
        <v>#REF!</v>
      </c>
      <c r="AF862" t="e">
        <f xml:space="preserve">
IF(#REF!&gt;=4,4,0)+
IF(#REF!="yes",3,0)+
IF(#REF!="High Charges",3,0)+
IF(#REF!&gt;250,4,0)+
IF(#REF!="no",1,0)+
IF(#REF!="Heavy Domestic User",2,0)</f>
        <v>#REF!</v>
      </c>
      <c r="AG862" t="e">
        <f>IF(#REF!&gt;=10,"High Risk", IF(#REF!&gt;=5,"Medium Risk","Low Risk"))</f>
        <v>#REF!</v>
      </c>
      <c r="AH862" t="e">
        <f>#REF! + #REF! + #REF! + #REF!</f>
        <v>#REF!</v>
      </c>
    </row>
    <row r="863" spans="1:34" x14ac:dyDescent="0.35">
      <c r="A863">
        <v>862</v>
      </c>
      <c r="B863" t="s">
        <v>68</v>
      </c>
      <c r="C863">
        <v>67</v>
      </c>
      <c r="D863" t="s">
        <v>21</v>
      </c>
      <c r="E863" t="s">
        <v>22</v>
      </c>
      <c r="F863" t="s">
        <v>23</v>
      </c>
      <c r="G863">
        <v>28</v>
      </c>
      <c r="H863">
        <v>95</v>
      </c>
      <c r="I863">
        <v>94</v>
      </c>
      <c r="J863">
        <v>16.149999999999999</v>
      </c>
      <c r="K863">
        <v>291.2</v>
      </c>
      <c r="L863">
        <v>73</v>
      </c>
      <c r="M863">
        <v>24.75</v>
      </c>
      <c r="N863">
        <v>159.6</v>
      </c>
      <c r="O863">
        <v>114</v>
      </c>
      <c r="P863">
        <v>7.18</v>
      </c>
      <c r="Q863">
        <v>10</v>
      </c>
      <c r="R863">
        <v>2</v>
      </c>
      <c r="S863">
        <v>2.7</v>
      </c>
      <c r="T863">
        <v>2</v>
      </c>
      <c r="U863" t="s">
        <v>22</v>
      </c>
      <c r="V863" t="e">
        <f>IF(#REF! = "yes", 1, 0)</f>
        <v>#REF!</v>
      </c>
      <c r="W863" t="e">
        <f>IF(#REF! &lt;= 1, "0-1 Calls", IF(#REF! &lt;= 3, "2-3 Calls", IF(#REF! &lt;=5, "4-5 Calls", "6+ Calls")))</f>
        <v>#REF!</v>
      </c>
      <c r="X863" t="e">
        <f>IF(#REF! &lt;= 50, "0-50", IF(#REF! &lt;=100, "51-100", IF(#REF! &lt;= 150, "101-150", "151+")))</f>
        <v>#REF!</v>
      </c>
      <c r="Y863" t="e">
        <f>IF(#REF! &lt;= 3, "Low Charges", "High Charges")</f>
        <v>#REF!</v>
      </c>
      <c r="Z863" t="e">
        <f>IF(#REF!&lt;=80,"Low Calls",
IF(#REF!&lt;=120,"Medium Calls","High Calls"))</f>
        <v>#REF!</v>
      </c>
      <c r="AA863" t="e">
        <f>IF(#REF!&lt;=15,"Low Charges",
IF(#REF!&lt;=20,"Medium Charges","High Charges"))</f>
        <v>#REF!</v>
      </c>
      <c r="AB863" t="e">
        <f>IF(AND(#REF!&gt;180, #REF!&gt;200), "Heavy Doemstic User", IF(#REF!&gt;10, "Interntional User", IF(AND(#REF!&lt;180, #REF!&lt;200,#REF!&lt;200), "Light User", "Balanced User")))</f>
        <v>#REF!</v>
      </c>
      <c r="AC863" t="e">
        <f>IF(#REF! = 0, "No Usage", IF(#REF! &lt;= 20, "Low Usage", IF(#REF! &lt;= 40, "Medium Usgae", "High Usage")))</f>
        <v>#REF!</v>
      </c>
      <c r="AD863" t="e">
        <f>IF(#REF!&lt;=150,"Low Usage", IF(#REF!&lt;=200,"Medium Usage", IF(#REF!&lt;=250,"High Usage","Very High Usage")))</f>
        <v>#REF!</v>
      </c>
      <c r="AE863" t="e">
        <f>IF(#REF!&lt;=5,"Low Calls", IF(#REF!&lt;=10, "Medium Calls", "High Calls"))</f>
        <v>#REF!</v>
      </c>
      <c r="AF863" t="e">
        <f xml:space="preserve">
IF(#REF!&gt;=4,4,0)+
IF(#REF!="yes",3,0)+
IF(#REF!="High Charges",3,0)+
IF(#REF!&gt;250,4,0)+
IF(#REF!="no",1,0)+
IF(#REF!="Heavy Domestic User",2,0)</f>
        <v>#REF!</v>
      </c>
      <c r="AG863" t="e">
        <f>IF(#REF!&gt;=10,"High Risk", IF(#REF!&gt;=5,"Medium Risk","Low Risk"))</f>
        <v>#REF!</v>
      </c>
      <c r="AH863" t="e">
        <f>#REF! + #REF! + #REF! + #REF!</f>
        <v>#REF!</v>
      </c>
    </row>
    <row r="864" spans="1:34" x14ac:dyDescent="0.35">
      <c r="A864">
        <v>863</v>
      </c>
      <c r="B864" t="s">
        <v>55</v>
      </c>
      <c r="C864">
        <v>161</v>
      </c>
      <c r="D864" t="s">
        <v>28</v>
      </c>
      <c r="E864" t="s">
        <v>23</v>
      </c>
      <c r="F864" t="s">
        <v>22</v>
      </c>
      <c r="G864">
        <v>0</v>
      </c>
      <c r="H864">
        <v>194.2</v>
      </c>
      <c r="I864">
        <v>106</v>
      </c>
      <c r="J864">
        <v>33.01</v>
      </c>
      <c r="K864">
        <v>249.4</v>
      </c>
      <c r="L864">
        <v>105</v>
      </c>
      <c r="M864">
        <v>21.2</v>
      </c>
      <c r="N864">
        <v>254.9</v>
      </c>
      <c r="O864">
        <v>129</v>
      </c>
      <c r="P864">
        <v>11.47</v>
      </c>
      <c r="Q864">
        <v>12.9</v>
      </c>
      <c r="R864">
        <v>1</v>
      </c>
      <c r="S864">
        <v>3.48</v>
      </c>
      <c r="T864">
        <v>1</v>
      </c>
      <c r="U864" t="s">
        <v>23</v>
      </c>
      <c r="V864" t="e">
        <f>IF(#REF! = "yes", 1, 0)</f>
        <v>#REF!</v>
      </c>
      <c r="W864" t="e">
        <f>IF(#REF! &lt;= 1, "0-1 Calls", IF(#REF! &lt;= 3, "2-3 Calls", IF(#REF! &lt;=5, "4-5 Calls", "6+ Calls")))</f>
        <v>#REF!</v>
      </c>
      <c r="X864" t="e">
        <f>IF(#REF! &lt;= 50, "0-50", IF(#REF! &lt;=100, "51-100", IF(#REF! &lt;= 150, "101-150", "151+")))</f>
        <v>#REF!</v>
      </c>
      <c r="Y864" t="e">
        <f>IF(#REF! &lt;= 3, "Low Charges", "High Charges")</f>
        <v>#REF!</v>
      </c>
      <c r="Z864" t="e">
        <f>IF(#REF!&lt;=80,"Low Calls",
IF(#REF!&lt;=120,"Medium Calls","High Calls"))</f>
        <v>#REF!</v>
      </c>
      <c r="AA864" t="e">
        <f>IF(#REF!&lt;=15,"Low Charges",
IF(#REF!&lt;=20,"Medium Charges","High Charges"))</f>
        <v>#REF!</v>
      </c>
      <c r="AB864" t="e">
        <f>IF(AND(#REF!&gt;180, #REF!&gt;200), "Heavy Doemstic User", IF(#REF!&gt;10, "Interntional User", IF(AND(#REF!&lt;180, #REF!&lt;200,#REF!&lt;200), "Light User", "Balanced User")))</f>
        <v>#REF!</v>
      </c>
      <c r="AC864" t="e">
        <f>IF(#REF! = 0, "No Usage", IF(#REF! &lt;= 20, "Low Usage", IF(#REF! &lt;= 40, "Medium Usgae", "High Usage")))</f>
        <v>#REF!</v>
      </c>
      <c r="AD864" t="e">
        <f>IF(#REF!&lt;=150,"Low Usage", IF(#REF!&lt;=200,"Medium Usage", IF(#REF!&lt;=250,"High Usage","Very High Usage")))</f>
        <v>#REF!</v>
      </c>
      <c r="AE864" t="e">
        <f>IF(#REF!&lt;=5,"Low Calls", IF(#REF!&lt;=10, "Medium Calls", "High Calls"))</f>
        <v>#REF!</v>
      </c>
      <c r="AF864" t="e">
        <f xml:space="preserve">
IF(#REF!&gt;=4,4,0)+
IF(#REF!="yes",3,0)+
IF(#REF!="High Charges",3,0)+
IF(#REF!&gt;250,4,0)+
IF(#REF!="no",1,0)+
IF(#REF!="Heavy Domestic User",2,0)</f>
        <v>#REF!</v>
      </c>
      <c r="AG864" t="e">
        <f>IF(#REF!&gt;=10,"High Risk", IF(#REF!&gt;=5,"Medium Risk","Low Risk"))</f>
        <v>#REF!</v>
      </c>
      <c r="AH864" t="e">
        <f>#REF! + #REF! + #REF! + #REF!</f>
        <v>#REF!</v>
      </c>
    </row>
    <row r="865" spans="1:34" x14ac:dyDescent="0.35">
      <c r="A865">
        <v>864</v>
      </c>
      <c r="B865" t="s">
        <v>70</v>
      </c>
      <c r="C865">
        <v>70</v>
      </c>
      <c r="D865" t="s">
        <v>21</v>
      </c>
      <c r="E865" t="s">
        <v>22</v>
      </c>
      <c r="F865" t="s">
        <v>22</v>
      </c>
      <c r="G865">
        <v>0</v>
      </c>
      <c r="H865">
        <v>222.8</v>
      </c>
      <c r="I865">
        <v>114</v>
      </c>
      <c r="J865">
        <v>37.880000000000003</v>
      </c>
      <c r="K865">
        <v>215.9</v>
      </c>
      <c r="L865">
        <v>113</v>
      </c>
      <c r="M865">
        <v>18.350000000000001</v>
      </c>
      <c r="N865">
        <v>223.5</v>
      </c>
      <c r="O865">
        <v>122</v>
      </c>
      <c r="P865">
        <v>10.06</v>
      </c>
      <c r="Q865">
        <v>0</v>
      </c>
      <c r="R865">
        <v>0</v>
      </c>
      <c r="S865">
        <v>0</v>
      </c>
      <c r="T865">
        <v>1</v>
      </c>
      <c r="U865" t="s">
        <v>22</v>
      </c>
      <c r="V865" t="e">
        <f>IF(#REF! = "yes", 1, 0)</f>
        <v>#REF!</v>
      </c>
      <c r="W865" t="e">
        <f>IF(#REF! &lt;= 1, "0-1 Calls", IF(#REF! &lt;= 3, "2-3 Calls", IF(#REF! &lt;=5, "4-5 Calls", "6+ Calls")))</f>
        <v>#REF!</v>
      </c>
      <c r="X865" t="e">
        <f>IF(#REF! &lt;= 50, "0-50", IF(#REF! &lt;=100, "51-100", IF(#REF! &lt;= 150, "101-150", "151+")))</f>
        <v>#REF!</v>
      </c>
      <c r="Y865" t="e">
        <f>IF(#REF! &lt;= 3, "Low Charges", "High Charges")</f>
        <v>#REF!</v>
      </c>
      <c r="Z865" t="e">
        <f>IF(#REF!&lt;=80,"Low Calls",
IF(#REF!&lt;=120,"Medium Calls","High Calls"))</f>
        <v>#REF!</v>
      </c>
      <c r="AA865" t="e">
        <f>IF(#REF!&lt;=15,"Low Charges",
IF(#REF!&lt;=20,"Medium Charges","High Charges"))</f>
        <v>#REF!</v>
      </c>
      <c r="AB865" t="e">
        <f>IF(AND(#REF!&gt;180, #REF!&gt;200), "Heavy Doemstic User", IF(#REF!&gt;10, "Interntional User", IF(AND(#REF!&lt;180, #REF!&lt;200,#REF!&lt;200), "Light User", "Balanced User")))</f>
        <v>#REF!</v>
      </c>
      <c r="AC865" t="e">
        <f>IF(#REF! = 0, "No Usage", IF(#REF! &lt;= 20, "Low Usage", IF(#REF! &lt;= 40, "Medium Usgae", "High Usage")))</f>
        <v>#REF!</v>
      </c>
      <c r="AD865" t="e">
        <f>IF(#REF!&lt;=150,"Low Usage", IF(#REF!&lt;=200,"Medium Usage", IF(#REF!&lt;=250,"High Usage","Very High Usage")))</f>
        <v>#REF!</v>
      </c>
      <c r="AE865" t="e">
        <f>IF(#REF!&lt;=5,"Low Calls", IF(#REF!&lt;=10, "Medium Calls", "High Calls"))</f>
        <v>#REF!</v>
      </c>
      <c r="AF865" t="e">
        <f xml:space="preserve">
IF(#REF!&gt;=4,4,0)+
IF(#REF!="yes",3,0)+
IF(#REF!="High Charges",3,0)+
IF(#REF!&gt;250,4,0)+
IF(#REF!="no",1,0)+
IF(#REF!="Heavy Domestic User",2,0)</f>
        <v>#REF!</v>
      </c>
      <c r="AG865" t="e">
        <f>IF(#REF!&gt;=10,"High Risk", IF(#REF!&gt;=5,"Medium Risk","Low Risk"))</f>
        <v>#REF!</v>
      </c>
      <c r="AH865" t="e">
        <f>#REF! + #REF! + #REF! + #REF!</f>
        <v>#REF!</v>
      </c>
    </row>
    <row r="866" spans="1:34" x14ac:dyDescent="0.35">
      <c r="A866">
        <v>865</v>
      </c>
      <c r="B866" t="s">
        <v>38</v>
      </c>
      <c r="C866">
        <v>99</v>
      </c>
      <c r="D866" t="s">
        <v>21</v>
      </c>
      <c r="E866" t="s">
        <v>22</v>
      </c>
      <c r="F866" t="s">
        <v>23</v>
      </c>
      <c r="G866">
        <v>42</v>
      </c>
      <c r="H866">
        <v>216</v>
      </c>
      <c r="I866">
        <v>125</v>
      </c>
      <c r="J866">
        <v>36.72</v>
      </c>
      <c r="K866">
        <v>232.3</v>
      </c>
      <c r="L866">
        <v>104</v>
      </c>
      <c r="M866">
        <v>19.75</v>
      </c>
      <c r="N866">
        <v>215.5</v>
      </c>
      <c r="O866">
        <v>100</v>
      </c>
      <c r="P866">
        <v>9.6999999999999993</v>
      </c>
      <c r="Q866">
        <v>9.3000000000000007</v>
      </c>
      <c r="R866">
        <v>4</v>
      </c>
      <c r="S866">
        <v>2.5099999999999998</v>
      </c>
      <c r="T866">
        <v>2</v>
      </c>
      <c r="U866" t="s">
        <v>23</v>
      </c>
      <c r="V866" t="e">
        <f>IF(#REF! = "yes", 1, 0)</f>
        <v>#REF!</v>
      </c>
      <c r="W866" t="e">
        <f>IF(#REF! &lt;= 1, "0-1 Calls", IF(#REF! &lt;= 3, "2-3 Calls", IF(#REF! &lt;=5, "4-5 Calls", "6+ Calls")))</f>
        <v>#REF!</v>
      </c>
      <c r="X866" t="e">
        <f>IF(#REF! &lt;= 50, "0-50", IF(#REF! &lt;=100, "51-100", IF(#REF! &lt;= 150, "101-150", "151+")))</f>
        <v>#REF!</v>
      </c>
      <c r="Y866" t="e">
        <f>IF(#REF! &lt;= 3, "Low Charges", "High Charges")</f>
        <v>#REF!</v>
      </c>
      <c r="Z866" t="e">
        <f>IF(#REF!&lt;=80,"Low Calls",
IF(#REF!&lt;=120,"Medium Calls","High Calls"))</f>
        <v>#REF!</v>
      </c>
      <c r="AA866" t="e">
        <f>IF(#REF!&lt;=15,"Low Charges",
IF(#REF!&lt;=20,"Medium Charges","High Charges"))</f>
        <v>#REF!</v>
      </c>
      <c r="AB866" t="e">
        <f>IF(AND(#REF!&gt;180, #REF!&gt;200), "Heavy Doemstic User", IF(#REF!&gt;10, "Interntional User", IF(AND(#REF!&lt;180, #REF!&lt;200,#REF!&lt;200), "Light User", "Balanced User")))</f>
        <v>#REF!</v>
      </c>
      <c r="AC866" t="e">
        <f>IF(#REF! = 0, "No Usage", IF(#REF! &lt;= 20, "Low Usage", IF(#REF! &lt;= 40, "Medium Usgae", "High Usage")))</f>
        <v>#REF!</v>
      </c>
      <c r="AD866" t="e">
        <f>IF(#REF!&lt;=150,"Low Usage", IF(#REF!&lt;=200,"Medium Usage", IF(#REF!&lt;=250,"High Usage","Very High Usage")))</f>
        <v>#REF!</v>
      </c>
      <c r="AE866" t="e">
        <f>IF(#REF!&lt;=5,"Low Calls", IF(#REF!&lt;=10, "Medium Calls", "High Calls"))</f>
        <v>#REF!</v>
      </c>
      <c r="AF866" t="e">
        <f xml:space="preserve">
IF(#REF!&gt;=4,4,0)+
IF(#REF!="yes",3,0)+
IF(#REF!="High Charges",3,0)+
IF(#REF!&gt;250,4,0)+
IF(#REF!="no",1,0)+
IF(#REF!="Heavy Domestic User",2,0)</f>
        <v>#REF!</v>
      </c>
      <c r="AG866" t="e">
        <f>IF(#REF!&gt;=10,"High Risk", IF(#REF!&gt;=5,"Medium Risk","Low Risk"))</f>
        <v>#REF!</v>
      </c>
      <c r="AH866" t="e">
        <f>#REF! + #REF! + #REF! + #REF!</f>
        <v>#REF!</v>
      </c>
    </row>
    <row r="867" spans="1:34" x14ac:dyDescent="0.35">
      <c r="A867">
        <v>866</v>
      </c>
      <c r="B867" t="s">
        <v>55</v>
      </c>
      <c r="C867">
        <v>87</v>
      </c>
      <c r="D867" t="s">
        <v>21</v>
      </c>
      <c r="E867" t="s">
        <v>22</v>
      </c>
      <c r="F867" t="s">
        <v>22</v>
      </c>
      <c r="G867">
        <v>0</v>
      </c>
      <c r="H867">
        <v>146.30000000000001</v>
      </c>
      <c r="I867">
        <v>108</v>
      </c>
      <c r="J867">
        <v>24.87</v>
      </c>
      <c r="K867">
        <v>171.8</v>
      </c>
      <c r="L867">
        <v>102</v>
      </c>
      <c r="M867">
        <v>14.6</v>
      </c>
      <c r="N867">
        <v>167.5</v>
      </c>
      <c r="O867">
        <v>66</v>
      </c>
      <c r="P867">
        <v>7.54</v>
      </c>
      <c r="Q867">
        <v>5.3</v>
      </c>
      <c r="R867">
        <v>9</v>
      </c>
      <c r="S867">
        <v>1.43</v>
      </c>
      <c r="T867">
        <v>1</v>
      </c>
      <c r="U867" t="s">
        <v>22</v>
      </c>
      <c r="V867" t="e">
        <f>IF(#REF! = "yes", 1, 0)</f>
        <v>#REF!</v>
      </c>
      <c r="W867" t="e">
        <f>IF(#REF! &lt;= 1, "0-1 Calls", IF(#REF! &lt;= 3, "2-3 Calls", IF(#REF! &lt;=5, "4-5 Calls", "6+ Calls")))</f>
        <v>#REF!</v>
      </c>
      <c r="X867" t="e">
        <f>IF(#REF! &lt;= 50, "0-50", IF(#REF! &lt;=100, "51-100", IF(#REF! &lt;= 150, "101-150", "151+")))</f>
        <v>#REF!</v>
      </c>
      <c r="Y867" t="e">
        <f>IF(#REF! &lt;= 3, "Low Charges", "High Charges")</f>
        <v>#REF!</v>
      </c>
      <c r="Z867" t="e">
        <f>IF(#REF!&lt;=80,"Low Calls",
IF(#REF!&lt;=120,"Medium Calls","High Calls"))</f>
        <v>#REF!</v>
      </c>
      <c r="AA867" t="e">
        <f>IF(#REF!&lt;=15,"Low Charges",
IF(#REF!&lt;=20,"Medium Charges","High Charges"))</f>
        <v>#REF!</v>
      </c>
      <c r="AB867" t="e">
        <f>IF(AND(#REF!&gt;180, #REF!&gt;200), "Heavy Doemstic User", IF(#REF!&gt;10, "Interntional User", IF(AND(#REF!&lt;180, #REF!&lt;200,#REF!&lt;200), "Light User", "Balanced User")))</f>
        <v>#REF!</v>
      </c>
      <c r="AC867" t="e">
        <f>IF(#REF! = 0, "No Usage", IF(#REF! &lt;= 20, "Low Usage", IF(#REF! &lt;= 40, "Medium Usgae", "High Usage")))</f>
        <v>#REF!</v>
      </c>
      <c r="AD867" t="e">
        <f>IF(#REF!&lt;=150,"Low Usage", IF(#REF!&lt;=200,"Medium Usage", IF(#REF!&lt;=250,"High Usage","Very High Usage")))</f>
        <v>#REF!</v>
      </c>
      <c r="AE867" t="e">
        <f>IF(#REF!&lt;=5,"Low Calls", IF(#REF!&lt;=10, "Medium Calls", "High Calls"))</f>
        <v>#REF!</v>
      </c>
      <c r="AF867" t="e">
        <f xml:space="preserve">
IF(#REF!&gt;=4,4,0)+
IF(#REF!="yes",3,0)+
IF(#REF!="High Charges",3,0)+
IF(#REF!&gt;250,4,0)+
IF(#REF!="no",1,0)+
IF(#REF!="Heavy Domestic User",2,0)</f>
        <v>#REF!</v>
      </c>
      <c r="AG867" t="e">
        <f>IF(#REF!&gt;=10,"High Risk", IF(#REF!&gt;=5,"Medium Risk","Low Risk"))</f>
        <v>#REF!</v>
      </c>
      <c r="AH867" t="e">
        <f>#REF! + #REF! + #REF! + #REF!</f>
        <v>#REF!</v>
      </c>
    </row>
    <row r="868" spans="1:34" x14ac:dyDescent="0.35">
      <c r="A868">
        <v>867</v>
      </c>
      <c r="B868" t="s">
        <v>54</v>
      </c>
      <c r="C868">
        <v>131</v>
      </c>
      <c r="D868" t="s">
        <v>25</v>
      </c>
      <c r="E868" t="s">
        <v>22</v>
      </c>
      <c r="F868" t="s">
        <v>22</v>
      </c>
      <c r="G868">
        <v>0</v>
      </c>
      <c r="H868">
        <v>94.4</v>
      </c>
      <c r="I868">
        <v>80</v>
      </c>
      <c r="J868">
        <v>16.05</v>
      </c>
      <c r="K868">
        <v>215.1</v>
      </c>
      <c r="L868">
        <v>101</v>
      </c>
      <c r="M868">
        <v>18.28</v>
      </c>
      <c r="N868">
        <v>179.7</v>
      </c>
      <c r="O868">
        <v>108</v>
      </c>
      <c r="P868">
        <v>8.09</v>
      </c>
      <c r="Q868">
        <v>13.1</v>
      </c>
      <c r="R868">
        <v>9</v>
      </c>
      <c r="S868">
        <v>3.54</v>
      </c>
      <c r="T868">
        <v>2</v>
      </c>
      <c r="U868" t="s">
        <v>22</v>
      </c>
      <c r="V868" t="e">
        <f>IF(#REF! = "yes", 1, 0)</f>
        <v>#REF!</v>
      </c>
      <c r="W868" t="e">
        <f>IF(#REF! &lt;= 1, "0-1 Calls", IF(#REF! &lt;= 3, "2-3 Calls", IF(#REF! &lt;=5, "4-5 Calls", "6+ Calls")))</f>
        <v>#REF!</v>
      </c>
      <c r="X868" t="e">
        <f>IF(#REF! &lt;= 50, "0-50", IF(#REF! &lt;=100, "51-100", IF(#REF! &lt;= 150, "101-150", "151+")))</f>
        <v>#REF!</v>
      </c>
      <c r="Y868" t="e">
        <f>IF(#REF! &lt;= 3, "Low Charges", "High Charges")</f>
        <v>#REF!</v>
      </c>
      <c r="Z868" t="e">
        <f>IF(#REF!&lt;=80,"Low Calls",
IF(#REF!&lt;=120,"Medium Calls","High Calls"))</f>
        <v>#REF!</v>
      </c>
      <c r="AA868" t="e">
        <f>IF(#REF!&lt;=15,"Low Charges",
IF(#REF!&lt;=20,"Medium Charges","High Charges"))</f>
        <v>#REF!</v>
      </c>
      <c r="AB868" t="e">
        <f>IF(AND(#REF!&gt;180, #REF!&gt;200), "Heavy Doemstic User", IF(#REF!&gt;10, "Interntional User", IF(AND(#REF!&lt;180, #REF!&lt;200,#REF!&lt;200), "Light User", "Balanced User")))</f>
        <v>#REF!</v>
      </c>
      <c r="AC868" t="e">
        <f>IF(#REF! = 0, "No Usage", IF(#REF! &lt;= 20, "Low Usage", IF(#REF! &lt;= 40, "Medium Usgae", "High Usage")))</f>
        <v>#REF!</v>
      </c>
      <c r="AD868" t="e">
        <f>IF(#REF!&lt;=150,"Low Usage", IF(#REF!&lt;=200,"Medium Usage", IF(#REF!&lt;=250,"High Usage","Very High Usage")))</f>
        <v>#REF!</v>
      </c>
      <c r="AE868" t="e">
        <f>IF(#REF!&lt;=5,"Low Calls", IF(#REF!&lt;=10, "Medium Calls", "High Calls"))</f>
        <v>#REF!</v>
      </c>
      <c r="AF868" t="e">
        <f xml:space="preserve">
IF(#REF!&gt;=4,4,0)+
IF(#REF!="yes",3,0)+
IF(#REF!="High Charges",3,0)+
IF(#REF!&gt;250,4,0)+
IF(#REF!="no",1,0)+
IF(#REF!="Heavy Domestic User",2,0)</f>
        <v>#REF!</v>
      </c>
      <c r="AG868" t="e">
        <f>IF(#REF!&gt;=10,"High Risk", IF(#REF!&gt;=5,"Medium Risk","Low Risk"))</f>
        <v>#REF!</v>
      </c>
      <c r="AH868" t="e">
        <f>#REF! + #REF! + #REF! + #REF!</f>
        <v>#REF!</v>
      </c>
    </row>
    <row r="869" spans="1:34" x14ac:dyDescent="0.35">
      <c r="A869">
        <v>868</v>
      </c>
      <c r="B869" t="s">
        <v>64</v>
      </c>
      <c r="C869">
        <v>119</v>
      </c>
      <c r="D869" t="s">
        <v>28</v>
      </c>
      <c r="E869" t="s">
        <v>22</v>
      </c>
      <c r="F869" t="s">
        <v>22</v>
      </c>
      <c r="G869">
        <v>0</v>
      </c>
      <c r="H869">
        <v>190.4</v>
      </c>
      <c r="I869">
        <v>74</v>
      </c>
      <c r="J869">
        <v>32.369999999999997</v>
      </c>
      <c r="K869">
        <v>215.6</v>
      </c>
      <c r="L869">
        <v>113</v>
      </c>
      <c r="M869">
        <v>18.329999999999998</v>
      </c>
      <c r="N869">
        <v>161.19999999999999</v>
      </c>
      <c r="O869">
        <v>111</v>
      </c>
      <c r="P869">
        <v>7.25</v>
      </c>
      <c r="Q869">
        <v>10</v>
      </c>
      <c r="R869">
        <v>1</v>
      </c>
      <c r="S869">
        <v>2.7</v>
      </c>
      <c r="T869">
        <v>2</v>
      </c>
      <c r="U869" t="s">
        <v>22</v>
      </c>
      <c r="V869" t="e">
        <f>IF(#REF! = "yes", 1, 0)</f>
        <v>#REF!</v>
      </c>
      <c r="W869" t="e">
        <f>IF(#REF! &lt;= 1, "0-1 Calls", IF(#REF! &lt;= 3, "2-3 Calls", IF(#REF! &lt;=5, "4-5 Calls", "6+ Calls")))</f>
        <v>#REF!</v>
      </c>
      <c r="X869" t="e">
        <f>IF(#REF! &lt;= 50, "0-50", IF(#REF! &lt;=100, "51-100", IF(#REF! &lt;= 150, "101-150", "151+")))</f>
        <v>#REF!</v>
      </c>
      <c r="Y869" t="e">
        <f>IF(#REF! &lt;= 3, "Low Charges", "High Charges")</f>
        <v>#REF!</v>
      </c>
      <c r="Z869" t="e">
        <f>IF(#REF!&lt;=80,"Low Calls",
IF(#REF!&lt;=120,"Medium Calls","High Calls"))</f>
        <v>#REF!</v>
      </c>
      <c r="AA869" t="e">
        <f>IF(#REF!&lt;=15,"Low Charges",
IF(#REF!&lt;=20,"Medium Charges","High Charges"))</f>
        <v>#REF!</v>
      </c>
      <c r="AB869" t="e">
        <f>IF(AND(#REF!&gt;180, #REF!&gt;200), "Heavy Doemstic User", IF(#REF!&gt;10, "Interntional User", IF(AND(#REF!&lt;180, #REF!&lt;200,#REF!&lt;200), "Light User", "Balanced User")))</f>
        <v>#REF!</v>
      </c>
      <c r="AC869" t="e">
        <f>IF(#REF! = 0, "No Usage", IF(#REF! &lt;= 20, "Low Usage", IF(#REF! &lt;= 40, "Medium Usgae", "High Usage")))</f>
        <v>#REF!</v>
      </c>
      <c r="AD869" t="e">
        <f>IF(#REF!&lt;=150,"Low Usage", IF(#REF!&lt;=200,"Medium Usage", IF(#REF!&lt;=250,"High Usage","Very High Usage")))</f>
        <v>#REF!</v>
      </c>
      <c r="AE869" t="e">
        <f>IF(#REF!&lt;=5,"Low Calls", IF(#REF!&lt;=10, "Medium Calls", "High Calls"))</f>
        <v>#REF!</v>
      </c>
      <c r="AF869" t="e">
        <f xml:space="preserve">
IF(#REF!&gt;=4,4,0)+
IF(#REF!="yes",3,0)+
IF(#REF!="High Charges",3,0)+
IF(#REF!&gt;250,4,0)+
IF(#REF!="no",1,0)+
IF(#REF!="Heavy Domestic User",2,0)</f>
        <v>#REF!</v>
      </c>
      <c r="AG869" t="e">
        <f>IF(#REF!&gt;=10,"High Risk", IF(#REF!&gt;=5,"Medium Risk","Low Risk"))</f>
        <v>#REF!</v>
      </c>
      <c r="AH869" t="e">
        <f>#REF! + #REF! + #REF! + #REF!</f>
        <v>#REF!</v>
      </c>
    </row>
    <row r="870" spans="1:34" x14ac:dyDescent="0.35">
      <c r="A870">
        <v>869</v>
      </c>
      <c r="B870" t="s">
        <v>29</v>
      </c>
      <c r="C870">
        <v>119</v>
      </c>
      <c r="D870" t="s">
        <v>25</v>
      </c>
      <c r="E870" t="s">
        <v>22</v>
      </c>
      <c r="F870" t="s">
        <v>23</v>
      </c>
      <c r="G870">
        <v>32</v>
      </c>
      <c r="H870">
        <v>142.6</v>
      </c>
      <c r="I870">
        <v>77</v>
      </c>
      <c r="J870">
        <v>24.24</v>
      </c>
      <c r="K870">
        <v>208.2</v>
      </c>
      <c r="L870">
        <v>126</v>
      </c>
      <c r="M870">
        <v>17.7</v>
      </c>
      <c r="N870">
        <v>171</v>
      </c>
      <c r="O870">
        <v>102</v>
      </c>
      <c r="P870">
        <v>7.69</v>
      </c>
      <c r="Q870">
        <v>12</v>
      </c>
      <c r="R870">
        <v>2</v>
      </c>
      <c r="S870">
        <v>3.24</v>
      </c>
      <c r="T870">
        <v>3</v>
      </c>
      <c r="U870" t="s">
        <v>22</v>
      </c>
      <c r="V870" t="e">
        <f>IF(#REF! = "yes", 1, 0)</f>
        <v>#REF!</v>
      </c>
      <c r="W870" t="e">
        <f>IF(#REF! &lt;= 1, "0-1 Calls", IF(#REF! &lt;= 3, "2-3 Calls", IF(#REF! &lt;=5, "4-5 Calls", "6+ Calls")))</f>
        <v>#REF!</v>
      </c>
      <c r="X870" t="e">
        <f>IF(#REF! &lt;= 50, "0-50", IF(#REF! &lt;=100, "51-100", IF(#REF! &lt;= 150, "101-150", "151+")))</f>
        <v>#REF!</v>
      </c>
      <c r="Y870" t="e">
        <f>IF(#REF! &lt;= 3, "Low Charges", "High Charges")</f>
        <v>#REF!</v>
      </c>
      <c r="Z870" t="e">
        <f>IF(#REF!&lt;=80,"Low Calls",
IF(#REF!&lt;=120,"Medium Calls","High Calls"))</f>
        <v>#REF!</v>
      </c>
      <c r="AA870" t="e">
        <f>IF(#REF!&lt;=15,"Low Charges",
IF(#REF!&lt;=20,"Medium Charges","High Charges"))</f>
        <v>#REF!</v>
      </c>
      <c r="AB870" t="e">
        <f>IF(AND(#REF!&gt;180, #REF!&gt;200), "Heavy Doemstic User", IF(#REF!&gt;10, "Interntional User", IF(AND(#REF!&lt;180, #REF!&lt;200,#REF!&lt;200), "Light User", "Balanced User")))</f>
        <v>#REF!</v>
      </c>
      <c r="AC870" t="e">
        <f>IF(#REF! = 0, "No Usage", IF(#REF! &lt;= 20, "Low Usage", IF(#REF! &lt;= 40, "Medium Usgae", "High Usage")))</f>
        <v>#REF!</v>
      </c>
      <c r="AD870" t="e">
        <f>IF(#REF!&lt;=150,"Low Usage", IF(#REF!&lt;=200,"Medium Usage", IF(#REF!&lt;=250,"High Usage","Very High Usage")))</f>
        <v>#REF!</v>
      </c>
      <c r="AE870" t="e">
        <f>IF(#REF!&lt;=5,"Low Calls", IF(#REF!&lt;=10, "Medium Calls", "High Calls"))</f>
        <v>#REF!</v>
      </c>
      <c r="AF870" t="e">
        <f xml:space="preserve">
IF(#REF!&gt;=4,4,0)+
IF(#REF!="yes",3,0)+
IF(#REF!="High Charges",3,0)+
IF(#REF!&gt;250,4,0)+
IF(#REF!="no",1,0)+
IF(#REF!="Heavy Domestic User",2,0)</f>
        <v>#REF!</v>
      </c>
      <c r="AG870" t="e">
        <f>IF(#REF!&gt;=10,"High Risk", IF(#REF!&gt;=5,"Medium Risk","Low Risk"))</f>
        <v>#REF!</v>
      </c>
      <c r="AH870" t="e">
        <f>#REF! + #REF! + #REF! + #REF!</f>
        <v>#REF!</v>
      </c>
    </row>
    <row r="871" spans="1:34" x14ac:dyDescent="0.35">
      <c r="A871">
        <v>870</v>
      </c>
      <c r="B871" t="s">
        <v>33</v>
      </c>
      <c r="C871">
        <v>87</v>
      </c>
      <c r="D871" t="s">
        <v>28</v>
      </c>
      <c r="E871" t="s">
        <v>23</v>
      </c>
      <c r="F871" t="s">
        <v>22</v>
      </c>
      <c r="G871">
        <v>0</v>
      </c>
      <c r="H871">
        <v>134.19999999999999</v>
      </c>
      <c r="I871">
        <v>80</v>
      </c>
      <c r="J871">
        <v>22.81</v>
      </c>
      <c r="K871">
        <v>165</v>
      </c>
      <c r="L871">
        <v>71</v>
      </c>
      <c r="M871">
        <v>14.03</v>
      </c>
      <c r="N871">
        <v>173.1</v>
      </c>
      <c r="O871">
        <v>102</v>
      </c>
      <c r="P871">
        <v>7.79</v>
      </c>
      <c r="Q871">
        <v>10.7</v>
      </c>
      <c r="R871">
        <v>5</v>
      </c>
      <c r="S871">
        <v>2.89</v>
      </c>
      <c r="T871">
        <v>0</v>
      </c>
      <c r="U871" t="s">
        <v>22</v>
      </c>
      <c r="V871" t="e">
        <f>IF(#REF! = "yes", 1, 0)</f>
        <v>#REF!</v>
      </c>
      <c r="W871" t="e">
        <f>IF(#REF! &lt;= 1, "0-1 Calls", IF(#REF! &lt;= 3, "2-3 Calls", IF(#REF! &lt;=5, "4-5 Calls", "6+ Calls")))</f>
        <v>#REF!</v>
      </c>
      <c r="X871" t="e">
        <f>IF(#REF! &lt;= 50, "0-50", IF(#REF! &lt;=100, "51-100", IF(#REF! &lt;= 150, "101-150", "151+")))</f>
        <v>#REF!</v>
      </c>
      <c r="Y871" t="e">
        <f>IF(#REF! &lt;= 3, "Low Charges", "High Charges")</f>
        <v>#REF!</v>
      </c>
      <c r="Z871" t="e">
        <f>IF(#REF!&lt;=80,"Low Calls",
IF(#REF!&lt;=120,"Medium Calls","High Calls"))</f>
        <v>#REF!</v>
      </c>
      <c r="AA871" t="e">
        <f>IF(#REF!&lt;=15,"Low Charges",
IF(#REF!&lt;=20,"Medium Charges","High Charges"))</f>
        <v>#REF!</v>
      </c>
      <c r="AB871" t="e">
        <f>IF(AND(#REF!&gt;180, #REF!&gt;200), "Heavy Doemstic User", IF(#REF!&gt;10, "Interntional User", IF(AND(#REF!&lt;180, #REF!&lt;200,#REF!&lt;200), "Light User", "Balanced User")))</f>
        <v>#REF!</v>
      </c>
      <c r="AC871" t="e">
        <f>IF(#REF! = 0, "No Usage", IF(#REF! &lt;= 20, "Low Usage", IF(#REF! &lt;= 40, "Medium Usgae", "High Usage")))</f>
        <v>#REF!</v>
      </c>
      <c r="AD871" t="e">
        <f>IF(#REF!&lt;=150,"Low Usage", IF(#REF!&lt;=200,"Medium Usage", IF(#REF!&lt;=250,"High Usage","Very High Usage")))</f>
        <v>#REF!</v>
      </c>
      <c r="AE871" t="e">
        <f>IF(#REF!&lt;=5,"Low Calls", IF(#REF!&lt;=10, "Medium Calls", "High Calls"))</f>
        <v>#REF!</v>
      </c>
      <c r="AF871" t="e">
        <f xml:space="preserve">
IF(#REF!&gt;=4,4,0)+
IF(#REF!="yes",3,0)+
IF(#REF!="High Charges",3,0)+
IF(#REF!&gt;250,4,0)+
IF(#REF!="no",1,0)+
IF(#REF!="Heavy Domestic User",2,0)</f>
        <v>#REF!</v>
      </c>
      <c r="AG871" t="e">
        <f>IF(#REF!&gt;=10,"High Risk", IF(#REF!&gt;=5,"Medium Risk","Low Risk"))</f>
        <v>#REF!</v>
      </c>
      <c r="AH871" t="e">
        <f>#REF! + #REF! + #REF! + #REF!</f>
        <v>#REF!</v>
      </c>
    </row>
    <row r="872" spans="1:34" x14ac:dyDescent="0.35">
      <c r="A872">
        <v>871</v>
      </c>
      <c r="B872" t="s">
        <v>56</v>
      </c>
      <c r="C872">
        <v>112</v>
      </c>
      <c r="D872" t="s">
        <v>21</v>
      </c>
      <c r="E872" t="s">
        <v>22</v>
      </c>
      <c r="F872" t="s">
        <v>22</v>
      </c>
      <c r="G872">
        <v>0</v>
      </c>
      <c r="H872">
        <v>111.9</v>
      </c>
      <c r="I872">
        <v>92</v>
      </c>
      <c r="J872">
        <v>19.02</v>
      </c>
      <c r="K872">
        <v>114</v>
      </c>
      <c r="L872">
        <v>143</v>
      </c>
      <c r="M872">
        <v>9.69</v>
      </c>
      <c r="N872">
        <v>146.80000000000001</v>
      </c>
      <c r="O872">
        <v>79</v>
      </c>
      <c r="P872">
        <v>6.61</v>
      </c>
      <c r="Q872">
        <v>14.1</v>
      </c>
      <c r="R872">
        <v>3</v>
      </c>
      <c r="S872">
        <v>3.81</v>
      </c>
      <c r="T872">
        <v>5</v>
      </c>
      <c r="U872" t="s">
        <v>23</v>
      </c>
      <c r="V872" t="e">
        <f>IF(#REF! = "yes", 1, 0)</f>
        <v>#REF!</v>
      </c>
      <c r="W872" t="e">
        <f>IF(#REF! &lt;= 1, "0-1 Calls", IF(#REF! &lt;= 3, "2-3 Calls", IF(#REF! &lt;=5, "4-5 Calls", "6+ Calls")))</f>
        <v>#REF!</v>
      </c>
      <c r="X872" t="e">
        <f>IF(#REF! &lt;= 50, "0-50", IF(#REF! &lt;=100, "51-100", IF(#REF! &lt;= 150, "101-150", "151+")))</f>
        <v>#REF!</v>
      </c>
      <c r="Y872" t="e">
        <f>IF(#REF! &lt;= 3, "Low Charges", "High Charges")</f>
        <v>#REF!</v>
      </c>
      <c r="Z872" t="e">
        <f>IF(#REF!&lt;=80,"Low Calls",
IF(#REF!&lt;=120,"Medium Calls","High Calls"))</f>
        <v>#REF!</v>
      </c>
      <c r="AA872" t="e">
        <f>IF(#REF!&lt;=15,"Low Charges",
IF(#REF!&lt;=20,"Medium Charges","High Charges"))</f>
        <v>#REF!</v>
      </c>
      <c r="AB872" t="e">
        <f>IF(AND(#REF!&gt;180, #REF!&gt;200), "Heavy Doemstic User", IF(#REF!&gt;10, "Interntional User", IF(AND(#REF!&lt;180, #REF!&lt;200,#REF!&lt;200), "Light User", "Balanced User")))</f>
        <v>#REF!</v>
      </c>
      <c r="AC872" t="e">
        <f>IF(#REF! = 0, "No Usage", IF(#REF! &lt;= 20, "Low Usage", IF(#REF! &lt;= 40, "Medium Usgae", "High Usage")))</f>
        <v>#REF!</v>
      </c>
      <c r="AD872" t="e">
        <f>IF(#REF!&lt;=150,"Low Usage", IF(#REF!&lt;=200,"Medium Usage", IF(#REF!&lt;=250,"High Usage","Very High Usage")))</f>
        <v>#REF!</v>
      </c>
      <c r="AE872" t="e">
        <f>IF(#REF!&lt;=5,"Low Calls", IF(#REF!&lt;=10, "Medium Calls", "High Calls"))</f>
        <v>#REF!</v>
      </c>
      <c r="AF872" t="e">
        <f xml:space="preserve">
IF(#REF!&gt;=4,4,0)+
IF(#REF!="yes",3,0)+
IF(#REF!="High Charges",3,0)+
IF(#REF!&gt;250,4,0)+
IF(#REF!="no",1,0)+
IF(#REF!="Heavy Domestic User",2,0)</f>
        <v>#REF!</v>
      </c>
      <c r="AG872" t="e">
        <f>IF(#REF!&gt;=10,"High Risk", IF(#REF!&gt;=5,"Medium Risk","Low Risk"))</f>
        <v>#REF!</v>
      </c>
      <c r="AH872" t="e">
        <f>#REF! + #REF! + #REF! + #REF!</f>
        <v>#REF!</v>
      </c>
    </row>
    <row r="873" spans="1:34" x14ac:dyDescent="0.35">
      <c r="A873">
        <v>872</v>
      </c>
      <c r="B873" t="s">
        <v>33</v>
      </c>
      <c r="C873">
        <v>75</v>
      </c>
      <c r="D873" t="s">
        <v>21</v>
      </c>
      <c r="E873" t="s">
        <v>22</v>
      </c>
      <c r="F873" t="s">
        <v>22</v>
      </c>
      <c r="G873">
        <v>0</v>
      </c>
      <c r="H873">
        <v>122.8</v>
      </c>
      <c r="I873">
        <v>89</v>
      </c>
      <c r="J873">
        <v>20.88</v>
      </c>
      <c r="K873">
        <v>211.3</v>
      </c>
      <c r="L873">
        <v>104</v>
      </c>
      <c r="M873">
        <v>17.96</v>
      </c>
      <c r="N873">
        <v>261.39999999999998</v>
      </c>
      <c r="O873">
        <v>91</v>
      </c>
      <c r="P873">
        <v>11.76</v>
      </c>
      <c r="Q873">
        <v>10.7</v>
      </c>
      <c r="R873">
        <v>2</v>
      </c>
      <c r="S873">
        <v>2.89</v>
      </c>
      <c r="T873">
        <v>2</v>
      </c>
      <c r="U873" t="s">
        <v>22</v>
      </c>
      <c r="V873" t="e">
        <f>IF(#REF! = "yes", 1, 0)</f>
        <v>#REF!</v>
      </c>
      <c r="W873" t="e">
        <f>IF(#REF! &lt;= 1, "0-1 Calls", IF(#REF! &lt;= 3, "2-3 Calls", IF(#REF! &lt;=5, "4-5 Calls", "6+ Calls")))</f>
        <v>#REF!</v>
      </c>
      <c r="X873" t="e">
        <f>IF(#REF! &lt;= 50, "0-50", IF(#REF! &lt;=100, "51-100", IF(#REF! &lt;= 150, "101-150", "151+")))</f>
        <v>#REF!</v>
      </c>
      <c r="Y873" t="e">
        <f>IF(#REF! &lt;= 3, "Low Charges", "High Charges")</f>
        <v>#REF!</v>
      </c>
      <c r="Z873" t="e">
        <f>IF(#REF!&lt;=80,"Low Calls",
IF(#REF!&lt;=120,"Medium Calls","High Calls"))</f>
        <v>#REF!</v>
      </c>
      <c r="AA873" t="e">
        <f>IF(#REF!&lt;=15,"Low Charges",
IF(#REF!&lt;=20,"Medium Charges","High Charges"))</f>
        <v>#REF!</v>
      </c>
      <c r="AB873" t="e">
        <f>IF(AND(#REF!&gt;180, #REF!&gt;200), "Heavy Doemstic User", IF(#REF!&gt;10, "Interntional User", IF(AND(#REF!&lt;180, #REF!&lt;200,#REF!&lt;200), "Light User", "Balanced User")))</f>
        <v>#REF!</v>
      </c>
      <c r="AC873" t="e">
        <f>IF(#REF! = 0, "No Usage", IF(#REF! &lt;= 20, "Low Usage", IF(#REF! &lt;= 40, "Medium Usgae", "High Usage")))</f>
        <v>#REF!</v>
      </c>
      <c r="AD873" t="e">
        <f>IF(#REF!&lt;=150,"Low Usage", IF(#REF!&lt;=200,"Medium Usage", IF(#REF!&lt;=250,"High Usage","Very High Usage")))</f>
        <v>#REF!</v>
      </c>
      <c r="AE873" t="e">
        <f>IF(#REF!&lt;=5,"Low Calls", IF(#REF!&lt;=10, "Medium Calls", "High Calls"))</f>
        <v>#REF!</v>
      </c>
      <c r="AF873" t="e">
        <f xml:space="preserve">
IF(#REF!&gt;=4,4,0)+
IF(#REF!="yes",3,0)+
IF(#REF!="High Charges",3,0)+
IF(#REF!&gt;250,4,0)+
IF(#REF!="no",1,0)+
IF(#REF!="Heavy Domestic User",2,0)</f>
        <v>#REF!</v>
      </c>
      <c r="AG873" t="e">
        <f>IF(#REF!&gt;=10,"High Risk", IF(#REF!&gt;=5,"Medium Risk","Low Risk"))</f>
        <v>#REF!</v>
      </c>
      <c r="AH873" t="e">
        <f>#REF! + #REF! + #REF! + #REF!</f>
        <v>#REF!</v>
      </c>
    </row>
    <row r="874" spans="1:34" x14ac:dyDescent="0.35">
      <c r="A874">
        <v>873</v>
      </c>
      <c r="B874" t="s">
        <v>74</v>
      </c>
      <c r="C874">
        <v>150</v>
      </c>
      <c r="D874" t="s">
        <v>28</v>
      </c>
      <c r="E874" t="s">
        <v>22</v>
      </c>
      <c r="F874" t="s">
        <v>22</v>
      </c>
      <c r="G874">
        <v>0</v>
      </c>
      <c r="H874">
        <v>189.3</v>
      </c>
      <c r="I874">
        <v>77</v>
      </c>
      <c r="J874">
        <v>32.18</v>
      </c>
      <c r="K874">
        <v>220.9</v>
      </c>
      <c r="L874">
        <v>105</v>
      </c>
      <c r="M874">
        <v>18.78</v>
      </c>
      <c r="N874">
        <v>238.7</v>
      </c>
      <c r="O874">
        <v>117</v>
      </c>
      <c r="P874">
        <v>10.74</v>
      </c>
      <c r="Q874">
        <v>9.1999999999999993</v>
      </c>
      <c r="R874">
        <v>5</v>
      </c>
      <c r="S874">
        <v>2.48</v>
      </c>
      <c r="T874">
        <v>4</v>
      </c>
      <c r="U874" t="s">
        <v>22</v>
      </c>
      <c r="V874" t="e">
        <f>IF(#REF! = "yes", 1, 0)</f>
        <v>#REF!</v>
      </c>
      <c r="W874" t="e">
        <f>IF(#REF! &lt;= 1, "0-1 Calls", IF(#REF! &lt;= 3, "2-3 Calls", IF(#REF! &lt;=5, "4-5 Calls", "6+ Calls")))</f>
        <v>#REF!</v>
      </c>
      <c r="X874" t="e">
        <f>IF(#REF! &lt;= 50, "0-50", IF(#REF! &lt;=100, "51-100", IF(#REF! &lt;= 150, "101-150", "151+")))</f>
        <v>#REF!</v>
      </c>
      <c r="Y874" t="e">
        <f>IF(#REF! &lt;= 3, "Low Charges", "High Charges")</f>
        <v>#REF!</v>
      </c>
      <c r="Z874" t="e">
        <f>IF(#REF!&lt;=80,"Low Calls",
IF(#REF!&lt;=120,"Medium Calls","High Calls"))</f>
        <v>#REF!</v>
      </c>
      <c r="AA874" t="e">
        <f>IF(#REF!&lt;=15,"Low Charges",
IF(#REF!&lt;=20,"Medium Charges","High Charges"))</f>
        <v>#REF!</v>
      </c>
      <c r="AB874" t="e">
        <f>IF(AND(#REF!&gt;180, #REF!&gt;200), "Heavy Doemstic User", IF(#REF!&gt;10, "Interntional User", IF(AND(#REF!&lt;180, #REF!&lt;200,#REF!&lt;200), "Light User", "Balanced User")))</f>
        <v>#REF!</v>
      </c>
      <c r="AC874" t="e">
        <f>IF(#REF! = 0, "No Usage", IF(#REF! &lt;= 20, "Low Usage", IF(#REF! &lt;= 40, "Medium Usgae", "High Usage")))</f>
        <v>#REF!</v>
      </c>
      <c r="AD874" t="e">
        <f>IF(#REF!&lt;=150,"Low Usage", IF(#REF!&lt;=200,"Medium Usage", IF(#REF!&lt;=250,"High Usage","Very High Usage")))</f>
        <v>#REF!</v>
      </c>
      <c r="AE874" t="e">
        <f>IF(#REF!&lt;=5,"Low Calls", IF(#REF!&lt;=10, "Medium Calls", "High Calls"))</f>
        <v>#REF!</v>
      </c>
      <c r="AF874" t="e">
        <f xml:space="preserve">
IF(#REF!&gt;=4,4,0)+
IF(#REF!="yes",3,0)+
IF(#REF!="High Charges",3,0)+
IF(#REF!&gt;250,4,0)+
IF(#REF!="no",1,0)+
IF(#REF!="Heavy Domestic User",2,0)</f>
        <v>#REF!</v>
      </c>
      <c r="AG874" t="e">
        <f>IF(#REF!&gt;=10,"High Risk", IF(#REF!&gt;=5,"Medium Risk","Low Risk"))</f>
        <v>#REF!</v>
      </c>
      <c r="AH874" t="e">
        <f>#REF! + #REF! + #REF! + #REF!</f>
        <v>#REF!</v>
      </c>
    </row>
    <row r="875" spans="1:34" x14ac:dyDescent="0.35">
      <c r="A875">
        <v>874</v>
      </c>
      <c r="B875" t="s">
        <v>32</v>
      </c>
      <c r="C875">
        <v>161</v>
      </c>
      <c r="D875" t="s">
        <v>28</v>
      </c>
      <c r="E875" t="s">
        <v>22</v>
      </c>
      <c r="F875" t="s">
        <v>23</v>
      </c>
      <c r="G875">
        <v>38</v>
      </c>
      <c r="H875">
        <v>240.4</v>
      </c>
      <c r="I875">
        <v>112</v>
      </c>
      <c r="J875">
        <v>40.869999999999997</v>
      </c>
      <c r="K875">
        <v>201.8</v>
      </c>
      <c r="L875">
        <v>102</v>
      </c>
      <c r="M875">
        <v>17.149999999999999</v>
      </c>
      <c r="N875">
        <v>206.1</v>
      </c>
      <c r="O875">
        <v>112</v>
      </c>
      <c r="P875">
        <v>9.27</v>
      </c>
      <c r="Q875">
        <v>16.100000000000001</v>
      </c>
      <c r="R875">
        <v>6</v>
      </c>
      <c r="S875">
        <v>4.3499999999999996</v>
      </c>
      <c r="T875">
        <v>0</v>
      </c>
      <c r="U875" t="s">
        <v>22</v>
      </c>
      <c r="V875" t="e">
        <f>IF(#REF! = "yes", 1, 0)</f>
        <v>#REF!</v>
      </c>
      <c r="W875" t="e">
        <f>IF(#REF! &lt;= 1, "0-1 Calls", IF(#REF! &lt;= 3, "2-3 Calls", IF(#REF! &lt;=5, "4-5 Calls", "6+ Calls")))</f>
        <v>#REF!</v>
      </c>
      <c r="X875" t="e">
        <f>IF(#REF! &lt;= 50, "0-50", IF(#REF! &lt;=100, "51-100", IF(#REF! &lt;= 150, "101-150", "151+")))</f>
        <v>#REF!</v>
      </c>
      <c r="Y875" t="e">
        <f>IF(#REF! &lt;= 3, "Low Charges", "High Charges")</f>
        <v>#REF!</v>
      </c>
      <c r="Z875" t="e">
        <f>IF(#REF!&lt;=80,"Low Calls",
IF(#REF!&lt;=120,"Medium Calls","High Calls"))</f>
        <v>#REF!</v>
      </c>
      <c r="AA875" t="e">
        <f>IF(#REF!&lt;=15,"Low Charges",
IF(#REF!&lt;=20,"Medium Charges","High Charges"))</f>
        <v>#REF!</v>
      </c>
      <c r="AB875" t="e">
        <f>IF(AND(#REF!&gt;180, #REF!&gt;200), "Heavy Doemstic User", IF(#REF!&gt;10, "Interntional User", IF(AND(#REF!&lt;180, #REF!&lt;200,#REF!&lt;200), "Light User", "Balanced User")))</f>
        <v>#REF!</v>
      </c>
      <c r="AC875" t="e">
        <f>IF(#REF! = 0, "No Usage", IF(#REF! &lt;= 20, "Low Usage", IF(#REF! &lt;= 40, "Medium Usgae", "High Usage")))</f>
        <v>#REF!</v>
      </c>
      <c r="AD875" t="e">
        <f>IF(#REF!&lt;=150,"Low Usage", IF(#REF!&lt;=200,"Medium Usage", IF(#REF!&lt;=250,"High Usage","Very High Usage")))</f>
        <v>#REF!</v>
      </c>
      <c r="AE875" t="e">
        <f>IF(#REF!&lt;=5,"Low Calls", IF(#REF!&lt;=10, "Medium Calls", "High Calls"))</f>
        <v>#REF!</v>
      </c>
      <c r="AF875" t="e">
        <f xml:space="preserve">
IF(#REF!&gt;=4,4,0)+
IF(#REF!="yes",3,0)+
IF(#REF!="High Charges",3,0)+
IF(#REF!&gt;250,4,0)+
IF(#REF!="no",1,0)+
IF(#REF!="Heavy Domestic User",2,0)</f>
        <v>#REF!</v>
      </c>
      <c r="AG875" t="e">
        <f>IF(#REF!&gt;=10,"High Risk", IF(#REF!&gt;=5,"Medium Risk","Low Risk"))</f>
        <v>#REF!</v>
      </c>
      <c r="AH875" t="e">
        <f>#REF! + #REF! + #REF! + #REF!</f>
        <v>#REF!</v>
      </c>
    </row>
    <row r="876" spans="1:34" x14ac:dyDescent="0.35">
      <c r="A876">
        <v>875</v>
      </c>
      <c r="B876" t="s">
        <v>40</v>
      </c>
      <c r="C876">
        <v>91</v>
      </c>
      <c r="D876" t="s">
        <v>28</v>
      </c>
      <c r="E876" t="s">
        <v>23</v>
      </c>
      <c r="F876" t="s">
        <v>23</v>
      </c>
      <c r="G876">
        <v>24</v>
      </c>
      <c r="H876">
        <v>93.5</v>
      </c>
      <c r="I876">
        <v>112</v>
      </c>
      <c r="J876">
        <v>15.9</v>
      </c>
      <c r="K876">
        <v>183.4</v>
      </c>
      <c r="L876">
        <v>128</v>
      </c>
      <c r="M876">
        <v>15.59</v>
      </c>
      <c r="N876">
        <v>240.7</v>
      </c>
      <c r="O876">
        <v>133</v>
      </c>
      <c r="P876">
        <v>10.83</v>
      </c>
      <c r="Q876">
        <v>9.9</v>
      </c>
      <c r="R876">
        <v>3</v>
      </c>
      <c r="S876">
        <v>2.67</v>
      </c>
      <c r="T876">
        <v>0</v>
      </c>
      <c r="U876" t="s">
        <v>22</v>
      </c>
      <c r="V876" t="e">
        <f>IF(#REF! = "yes", 1, 0)</f>
        <v>#REF!</v>
      </c>
      <c r="W876" t="e">
        <f>IF(#REF! &lt;= 1, "0-1 Calls", IF(#REF! &lt;= 3, "2-3 Calls", IF(#REF! &lt;=5, "4-5 Calls", "6+ Calls")))</f>
        <v>#REF!</v>
      </c>
      <c r="X876" t="e">
        <f>IF(#REF! &lt;= 50, "0-50", IF(#REF! &lt;=100, "51-100", IF(#REF! &lt;= 150, "101-150", "151+")))</f>
        <v>#REF!</v>
      </c>
      <c r="Y876" t="e">
        <f>IF(#REF! &lt;= 3, "Low Charges", "High Charges")</f>
        <v>#REF!</v>
      </c>
      <c r="Z876" t="e">
        <f>IF(#REF!&lt;=80,"Low Calls",
IF(#REF!&lt;=120,"Medium Calls","High Calls"))</f>
        <v>#REF!</v>
      </c>
      <c r="AA876" t="e">
        <f>IF(#REF!&lt;=15,"Low Charges",
IF(#REF!&lt;=20,"Medium Charges","High Charges"))</f>
        <v>#REF!</v>
      </c>
      <c r="AB876" t="e">
        <f>IF(AND(#REF!&gt;180, #REF!&gt;200), "Heavy Doemstic User", IF(#REF!&gt;10, "Interntional User", IF(AND(#REF!&lt;180, #REF!&lt;200,#REF!&lt;200), "Light User", "Balanced User")))</f>
        <v>#REF!</v>
      </c>
      <c r="AC876" t="e">
        <f>IF(#REF! = 0, "No Usage", IF(#REF! &lt;= 20, "Low Usage", IF(#REF! &lt;= 40, "Medium Usgae", "High Usage")))</f>
        <v>#REF!</v>
      </c>
      <c r="AD876" t="e">
        <f>IF(#REF!&lt;=150,"Low Usage", IF(#REF!&lt;=200,"Medium Usage", IF(#REF!&lt;=250,"High Usage","Very High Usage")))</f>
        <v>#REF!</v>
      </c>
      <c r="AE876" t="e">
        <f>IF(#REF!&lt;=5,"Low Calls", IF(#REF!&lt;=10, "Medium Calls", "High Calls"))</f>
        <v>#REF!</v>
      </c>
      <c r="AF876" t="e">
        <f xml:space="preserve">
IF(#REF!&gt;=4,4,0)+
IF(#REF!="yes",3,0)+
IF(#REF!="High Charges",3,0)+
IF(#REF!&gt;250,4,0)+
IF(#REF!="no",1,0)+
IF(#REF!="Heavy Domestic User",2,0)</f>
        <v>#REF!</v>
      </c>
      <c r="AG876" t="e">
        <f>IF(#REF!&gt;=10,"High Risk", IF(#REF!&gt;=5,"Medium Risk","Low Risk"))</f>
        <v>#REF!</v>
      </c>
      <c r="AH876" t="e">
        <f>#REF! + #REF! + #REF! + #REF!</f>
        <v>#REF!</v>
      </c>
    </row>
    <row r="877" spans="1:34" x14ac:dyDescent="0.35">
      <c r="A877">
        <v>876</v>
      </c>
      <c r="B877" t="s">
        <v>70</v>
      </c>
      <c r="C877">
        <v>124</v>
      </c>
      <c r="D877" t="s">
        <v>21</v>
      </c>
      <c r="E877" t="s">
        <v>22</v>
      </c>
      <c r="F877" t="s">
        <v>22</v>
      </c>
      <c r="G877">
        <v>0</v>
      </c>
      <c r="H877">
        <v>158.6</v>
      </c>
      <c r="I877">
        <v>104</v>
      </c>
      <c r="J877">
        <v>26.96</v>
      </c>
      <c r="K877">
        <v>211.2</v>
      </c>
      <c r="L877">
        <v>77</v>
      </c>
      <c r="M877">
        <v>17.95</v>
      </c>
      <c r="N877">
        <v>179.3</v>
      </c>
      <c r="O877">
        <v>104</v>
      </c>
      <c r="P877">
        <v>8.07</v>
      </c>
      <c r="Q877">
        <v>10.199999999999999</v>
      </c>
      <c r="R877">
        <v>8</v>
      </c>
      <c r="S877">
        <v>2.75</v>
      </c>
      <c r="T877">
        <v>3</v>
      </c>
      <c r="U877" t="s">
        <v>22</v>
      </c>
      <c r="V877" t="e">
        <f>IF(#REF! = "yes", 1, 0)</f>
        <v>#REF!</v>
      </c>
      <c r="W877" t="e">
        <f>IF(#REF! &lt;= 1, "0-1 Calls", IF(#REF! &lt;= 3, "2-3 Calls", IF(#REF! &lt;=5, "4-5 Calls", "6+ Calls")))</f>
        <v>#REF!</v>
      </c>
      <c r="X877" t="e">
        <f>IF(#REF! &lt;= 50, "0-50", IF(#REF! &lt;=100, "51-100", IF(#REF! &lt;= 150, "101-150", "151+")))</f>
        <v>#REF!</v>
      </c>
      <c r="Y877" t="e">
        <f>IF(#REF! &lt;= 3, "Low Charges", "High Charges")</f>
        <v>#REF!</v>
      </c>
      <c r="Z877" t="e">
        <f>IF(#REF!&lt;=80,"Low Calls",
IF(#REF!&lt;=120,"Medium Calls","High Calls"))</f>
        <v>#REF!</v>
      </c>
      <c r="AA877" t="e">
        <f>IF(#REF!&lt;=15,"Low Charges",
IF(#REF!&lt;=20,"Medium Charges","High Charges"))</f>
        <v>#REF!</v>
      </c>
      <c r="AB877" t="e">
        <f>IF(AND(#REF!&gt;180, #REF!&gt;200), "Heavy Doemstic User", IF(#REF!&gt;10, "Interntional User", IF(AND(#REF!&lt;180, #REF!&lt;200,#REF!&lt;200), "Light User", "Balanced User")))</f>
        <v>#REF!</v>
      </c>
      <c r="AC877" t="e">
        <f>IF(#REF! = 0, "No Usage", IF(#REF! &lt;= 20, "Low Usage", IF(#REF! &lt;= 40, "Medium Usgae", "High Usage")))</f>
        <v>#REF!</v>
      </c>
      <c r="AD877" t="e">
        <f>IF(#REF!&lt;=150,"Low Usage", IF(#REF!&lt;=200,"Medium Usage", IF(#REF!&lt;=250,"High Usage","Very High Usage")))</f>
        <v>#REF!</v>
      </c>
      <c r="AE877" t="e">
        <f>IF(#REF!&lt;=5,"Low Calls", IF(#REF!&lt;=10, "Medium Calls", "High Calls"))</f>
        <v>#REF!</v>
      </c>
      <c r="AF877" t="e">
        <f xml:space="preserve">
IF(#REF!&gt;=4,4,0)+
IF(#REF!="yes",3,0)+
IF(#REF!="High Charges",3,0)+
IF(#REF!&gt;250,4,0)+
IF(#REF!="no",1,0)+
IF(#REF!="Heavy Domestic User",2,0)</f>
        <v>#REF!</v>
      </c>
      <c r="AG877" t="e">
        <f>IF(#REF!&gt;=10,"High Risk", IF(#REF!&gt;=5,"Medium Risk","Low Risk"))</f>
        <v>#REF!</v>
      </c>
      <c r="AH877" t="e">
        <f>#REF! + #REF! + #REF! + #REF!</f>
        <v>#REF!</v>
      </c>
    </row>
    <row r="878" spans="1:34" x14ac:dyDescent="0.35">
      <c r="A878">
        <v>877</v>
      </c>
      <c r="B878" t="s">
        <v>36</v>
      </c>
      <c r="C878">
        <v>94</v>
      </c>
      <c r="D878" t="s">
        <v>28</v>
      </c>
      <c r="E878" t="s">
        <v>23</v>
      </c>
      <c r="F878" t="s">
        <v>22</v>
      </c>
      <c r="G878">
        <v>0</v>
      </c>
      <c r="H878">
        <v>243.2</v>
      </c>
      <c r="I878">
        <v>109</v>
      </c>
      <c r="J878">
        <v>41.34</v>
      </c>
      <c r="K878">
        <v>147</v>
      </c>
      <c r="L878">
        <v>88</v>
      </c>
      <c r="M878">
        <v>12.5</v>
      </c>
      <c r="N878">
        <v>94.9</v>
      </c>
      <c r="O878">
        <v>99</v>
      </c>
      <c r="P878">
        <v>4.2699999999999996</v>
      </c>
      <c r="Q878">
        <v>7.2</v>
      </c>
      <c r="R878">
        <v>4</v>
      </c>
      <c r="S878">
        <v>1.94</v>
      </c>
      <c r="T878">
        <v>4</v>
      </c>
      <c r="U878" t="s">
        <v>22</v>
      </c>
      <c r="V878" t="e">
        <f>IF(#REF! = "yes", 1, 0)</f>
        <v>#REF!</v>
      </c>
      <c r="W878" t="e">
        <f>IF(#REF! &lt;= 1, "0-1 Calls", IF(#REF! &lt;= 3, "2-3 Calls", IF(#REF! &lt;=5, "4-5 Calls", "6+ Calls")))</f>
        <v>#REF!</v>
      </c>
      <c r="X878" t="e">
        <f>IF(#REF! &lt;= 50, "0-50", IF(#REF! &lt;=100, "51-100", IF(#REF! &lt;= 150, "101-150", "151+")))</f>
        <v>#REF!</v>
      </c>
      <c r="Y878" t="e">
        <f>IF(#REF! &lt;= 3, "Low Charges", "High Charges")</f>
        <v>#REF!</v>
      </c>
      <c r="Z878" t="e">
        <f>IF(#REF!&lt;=80,"Low Calls",
IF(#REF!&lt;=120,"Medium Calls","High Calls"))</f>
        <v>#REF!</v>
      </c>
      <c r="AA878" t="e">
        <f>IF(#REF!&lt;=15,"Low Charges",
IF(#REF!&lt;=20,"Medium Charges","High Charges"))</f>
        <v>#REF!</v>
      </c>
      <c r="AB878" t="e">
        <f>IF(AND(#REF!&gt;180, #REF!&gt;200), "Heavy Doemstic User", IF(#REF!&gt;10, "Interntional User", IF(AND(#REF!&lt;180, #REF!&lt;200,#REF!&lt;200), "Light User", "Balanced User")))</f>
        <v>#REF!</v>
      </c>
      <c r="AC878" t="e">
        <f>IF(#REF! = 0, "No Usage", IF(#REF! &lt;= 20, "Low Usage", IF(#REF! &lt;= 40, "Medium Usgae", "High Usage")))</f>
        <v>#REF!</v>
      </c>
      <c r="AD878" t="e">
        <f>IF(#REF!&lt;=150,"Low Usage", IF(#REF!&lt;=200,"Medium Usage", IF(#REF!&lt;=250,"High Usage","Very High Usage")))</f>
        <v>#REF!</v>
      </c>
      <c r="AE878" t="e">
        <f>IF(#REF!&lt;=5,"Low Calls", IF(#REF!&lt;=10, "Medium Calls", "High Calls"))</f>
        <v>#REF!</v>
      </c>
      <c r="AF878" t="e">
        <f xml:space="preserve">
IF(#REF!&gt;=4,4,0)+
IF(#REF!="yes",3,0)+
IF(#REF!="High Charges",3,0)+
IF(#REF!&gt;250,4,0)+
IF(#REF!="no",1,0)+
IF(#REF!="Heavy Domestic User",2,0)</f>
        <v>#REF!</v>
      </c>
      <c r="AG878" t="e">
        <f>IF(#REF!&gt;=10,"High Risk", IF(#REF!&gt;=5,"Medium Risk","Low Risk"))</f>
        <v>#REF!</v>
      </c>
      <c r="AH878" t="e">
        <f>#REF! + #REF! + #REF! + #REF!</f>
        <v>#REF!</v>
      </c>
    </row>
    <row r="879" spans="1:34" x14ac:dyDescent="0.35">
      <c r="A879">
        <v>878</v>
      </c>
      <c r="B879" t="s">
        <v>39</v>
      </c>
      <c r="C879">
        <v>217</v>
      </c>
      <c r="D879" t="s">
        <v>25</v>
      </c>
      <c r="E879" t="s">
        <v>22</v>
      </c>
      <c r="F879" t="s">
        <v>22</v>
      </c>
      <c r="G879">
        <v>0</v>
      </c>
      <c r="H879">
        <v>176.4</v>
      </c>
      <c r="I879">
        <v>115</v>
      </c>
      <c r="J879">
        <v>29.99</v>
      </c>
      <c r="K879">
        <v>158.80000000000001</v>
      </c>
      <c r="L879">
        <v>128</v>
      </c>
      <c r="M879">
        <v>13.5</v>
      </c>
      <c r="N879">
        <v>306.60000000000002</v>
      </c>
      <c r="O879">
        <v>107</v>
      </c>
      <c r="P879">
        <v>13.8</v>
      </c>
      <c r="Q879">
        <v>9.3000000000000007</v>
      </c>
      <c r="R879">
        <v>3</v>
      </c>
      <c r="S879">
        <v>2.5099999999999998</v>
      </c>
      <c r="T879">
        <v>4</v>
      </c>
      <c r="U879" t="s">
        <v>22</v>
      </c>
      <c r="V879" t="e">
        <f>IF(#REF! = "yes", 1, 0)</f>
        <v>#REF!</v>
      </c>
      <c r="W879" t="e">
        <f>IF(#REF! &lt;= 1, "0-1 Calls", IF(#REF! &lt;= 3, "2-3 Calls", IF(#REF! &lt;=5, "4-5 Calls", "6+ Calls")))</f>
        <v>#REF!</v>
      </c>
      <c r="X879" t="e">
        <f>IF(#REF! &lt;= 50, "0-50", IF(#REF! &lt;=100, "51-100", IF(#REF! &lt;= 150, "101-150", "151+")))</f>
        <v>#REF!</v>
      </c>
      <c r="Y879" t="e">
        <f>IF(#REF! &lt;= 3, "Low Charges", "High Charges")</f>
        <v>#REF!</v>
      </c>
      <c r="Z879" t="e">
        <f>IF(#REF!&lt;=80,"Low Calls",
IF(#REF!&lt;=120,"Medium Calls","High Calls"))</f>
        <v>#REF!</v>
      </c>
      <c r="AA879" t="e">
        <f>IF(#REF!&lt;=15,"Low Charges",
IF(#REF!&lt;=20,"Medium Charges","High Charges"))</f>
        <v>#REF!</v>
      </c>
      <c r="AB879" t="e">
        <f>IF(AND(#REF!&gt;180, #REF!&gt;200), "Heavy Doemstic User", IF(#REF!&gt;10, "Interntional User", IF(AND(#REF!&lt;180, #REF!&lt;200,#REF!&lt;200), "Light User", "Balanced User")))</f>
        <v>#REF!</v>
      </c>
      <c r="AC879" t="e">
        <f>IF(#REF! = 0, "No Usage", IF(#REF! &lt;= 20, "Low Usage", IF(#REF! &lt;= 40, "Medium Usgae", "High Usage")))</f>
        <v>#REF!</v>
      </c>
      <c r="AD879" t="e">
        <f>IF(#REF!&lt;=150,"Low Usage", IF(#REF!&lt;=200,"Medium Usage", IF(#REF!&lt;=250,"High Usage","Very High Usage")))</f>
        <v>#REF!</v>
      </c>
      <c r="AE879" t="e">
        <f>IF(#REF!&lt;=5,"Low Calls", IF(#REF!&lt;=10, "Medium Calls", "High Calls"))</f>
        <v>#REF!</v>
      </c>
      <c r="AF879" t="e">
        <f xml:space="preserve">
IF(#REF!&gt;=4,4,0)+
IF(#REF!="yes",3,0)+
IF(#REF!="High Charges",3,0)+
IF(#REF!&gt;250,4,0)+
IF(#REF!="no",1,0)+
IF(#REF!="Heavy Domestic User",2,0)</f>
        <v>#REF!</v>
      </c>
      <c r="AG879" t="e">
        <f>IF(#REF!&gt;=10,"High Risk", IF(#REF!&gt;=5,"Medium Risk","Low Risk"))</f>
        <v>#REF!</v>
      </c>
      <c r="AH879" t="e">
        <f>#REF! + #REF! + #REF! + #REF!</f>
        <v>#REF!</v>
      </c>
    </row>
    <row r="880" spans="1:34" x14ac:dyDescent="0.35">
      <c r="A880">
        <v>879</v>
      </c>
      <c r="B880" t="s">
        <v>33</v>
      </c>
      <c r="C880">
        <v>158</v>
      </c>
      <c r="D880" t="s">
        <v>28</v>
      </c>
      <c r="E880" t="s">
        <v>22</v>
      </c>
      <c r="F880" t="s">
        <v>22</v>
      </c>
      <c r="G880">
        <v>0</v>
      </c>
      <c r="H880">
        <v>220.9</v>
      </c>
      <c r="I880">
        <v>129</v>
      </c>
      <c r="J880">
        <v>37.549999999999997</v>
      </c>
      <c r="K880">
        <v>242.2</v>
      </c>
      <c r="L880">
        <v>108</v>
      </c>
      <c r="M880">
        <v>20.59</v>
      </c>
      <c r="N880">
        <v>233.3</v>
      </c>
      <c r="O880">
        <v>75</v>
      </c>
      <c r="P880">
        <v>10.5</v>
      </c>
      <c r="Q880">
        <v>6.4</v>
      </c>
      <c r="R880">
        <v>5</v>
      </c>
      <c r="S880">
        <v>1.73</v>
      </c>
      <c r="T880">
        <v>0</v>
      </c>
      <c r="U880" t="s">
        <v>22</v>
      </c>
      <c r="V880" t="e">
        <f>IF(#REF! = "yes", 1, 0)</f>
        <v>#REF!</v>
      </c>
      <c r="W880" t="e">
        <f>IF(#REF! &lt;= 1, "0-1 Calls", IF(#REF! &lt;= 3, "2-3 Calls", IF(#REF! &lt;=5, "4-5 Calls", "6+ Calls")))</f>
        <v>#REF!</v>
      </c>
      <c r="X880" t="e">
        <f>IF(#REF! &lt;= 50, "0-50", IF(#REF! &lt;=100, "51-100", IF(#REF! &lt;= 150, "101-150", "151+")))</f>
        <v>#REF!</v>
      </c>
      <c r="Y880" t="e">
        <f>IF(#REF! &lt;= 3, "Low Charges", "High Charges")</f>
        <v>#REF!</v>
      </c>
      <c r="Z880" t="e">
        <f>IF(#REF!&lt;=80,"Low Calls",
IF(#REF!&lt;=120,"Medium Calls","High Calls"))</f>
        <v>#REF!</v>
      </c>
      <c r="AA880" t="e">
        <f>IF(#REF!&lt;=15,"Low Charges",
IF(#REF!&lt;=20,"Medium Charges","High Charges"))</f>
        <v>#REF!</v>
      </c>
      <c r="AB880" t="e">
        <f>IF(AND(#REF!&gt;180, #REF!&gt;200), "Heavy Doemstic User", IF(#REF!&gt;10, "Interntional User", IF(AND(#REF!&lt;180, #REF!&lt;200,#REF!&lt;200), "Light User", "Balanced User")))</f>
        <v>#REF!</v>
      </c>
      <c r="AC880" t="e">
        <f>IF(#REF! = 0, "No Usage", IF(#REF! &lt;= 20, "Low Usage", IF(#REF! &lt;= 40, "Medium Usgae", "High Usage")))</f>
        <v>#REF!</v>
      </c>
      <c r="AD880" t="e">
        <f>IF(#REF!&lt;=150,"Low Usage", IF(#REF!&lt;=200,"Medium Usage", IF(#REF!&lt;=250,"High Usage","Very High Usage")))</f>
        <v>#REF!</v>
      </c>
      <c r="AE880" t="e">
        <f>IF(#REF!&lt;=5,"Low Calls", IF(#REF!&lt;=10, "Medium Calls", "High Calls"))</f>
        <v>#REF!</v>
      </c>
      <c r="AF880" t="e">
        <f xml:space="preserve">
IF(#REF!&gt;=4,4,0)+
IF(#REF!="yes",3,0)+
IF(#REF!="High Charges",3,0)+
IF(#REF!&gt;250,4,0)+
IF(#REF!="no",1,0)+
IF(#REF!="Heavy Domestic User",2,0)</f>
        <v>#REF!</v>
      </c>
      <c r="AG880" t="e">
        <f>IF(#REF!&gt;=10,"High Risk", IF(#REF!&gt;=5,"Medium Risk","Low Risk"))</f>
        <v>#REF!</v>
      </c>
      <c r="AH880" t="e">
        <f>#REF! + #REF! + #REF! + #REF!</f>
        <v>#REF!</v>
      </c>
    </row>
    <row r="881" spans="1:34" x14ac:dyDescent="0.35">
      <c r="A881">
        <v>880</v>
      </c>
      <c r="B881" t="s">
        <v>62</v>
      </c>
      <c r="C881">
        <v>102</v>
      </c>
      <c r="D881" t="s">
        <v>21</v>
      </c>
      <c r="E881" t="s">
        <v>22</v>
      </c>
      <c r="F881" t="s">
        <v>22</v>
      </c>
      <c r="G881">
        <v>0</v>
      </c>
      <c r="H881">
        <v>144.4</v>
      </c>
      <c r="I881">
        <v>87</v>
      </c>
      <c r="J881">
        <v>24.55</v>
      </c>
      <c r="K881">
        <v>266.5</v>
      </c>
      <c r="L881">
        <v>128</v>
      </c>
      <c r="M881">
        <v>22.65</v>
      </c>
      <c r="N881">
        <v>217.6</v>
      </c>
      <c r="O881">
        <v>59</v>
      </c>
      <c r="P881">
        <v>9.7899999999999991</v>
      </c>
      <c r="Q881">
        <v>7.1</v>
      </c>
      <c r="R881">
        <v>7</v>
      </c>
      <c r="S881">
        <v>1.92</v>
      </c>
      <c r="T881">
        <v>0</v>
      </c>
      <c r="U881" t="s">
        <v>22</v>
      </c>
      <c r="V881" t="e">
        <f>IF(#REF! = "yes", 1, 0)</f>
        <v>#REF!</v>
      </c>
      <c r="W881" t="e">
        <f>IF(#REF! &lt;= 1, "0-1 Calls", IF(#REF! &lt;= 3, "2-3 Calls", IF(#REF! &lt;=5, "4-5 Calls", "6+ Calls")))</f>
        <v>#REF!</v>
      </c>
      <c r="X881" t="e">
        <f>IF(#REF! &lt;= 50, "0-50", IF(#REF! &lt;=100, "51-100", IF(#REF! &lt;= 150, "101-150", "151+")))</f>
        <v>#REF!</v>
      </c>
      <c r="Y881" t="e">
        <f>IF(#REF! &lt;= 3, "Low Charges", "High Charges")</f>
        <v>#REF!</v>
      </c>
      <c r="Z881" t="e">
        <f>IF(#REF!&lt;=80,"Low Calls",
IF(#REF!&lt;=120,"Medium Calls","High Calls"))</f>
        <v>#REF!</v>
      </c>
      <c r="AA881" t="e">
        <f>IF(#REF!&lt;=15,"Low Charges",
IF(#REF!&lt;=20,"Medium Charges","High Charges"))</f>
        <v>#REF!</v>
      </c>
      <c r="AB881" t="e">
        <f>IF(AND(#REF!&gt;180, #REF!&gt;200), "Heavy Doemstic User", IF(#REF!&gt;10, "Interntional User", IF(AND(#REF!&lt;180, #REF!&lt;200,#REF!&lt;200), "Light User", "Balanced User")))</f>
        <v>#REF!</v>
      </c>
      <c r="AC881" t="e">
        <f>IF(#REF! = 0, "No Usage", IF(#REF! &lt;= 20, "Low Usage", IF(#REF! &lt;= 40, "Medium Usgae", "High Usage")))</f>
        <v>#REF!</v>
      </c>
      <c r="AD881" t="e">
        <f>IF(#REF!&lt;=150,"Low Usage", IF(#REF!&lt;=200,"Medium Usage", IF(#REF!&lt;=250,"High Usage","Very High Usage")))</f>
        <v>#REF!</v>
      </c>
      <c r="AE881" t="e">
        <f>IF(#REF!&lt;=5,"Low Calls", IF(#REF!&lt;=10, "Medium Calls", "High Calls"))</f>
        <v>#REF!</v>
      </c>
      <c r="AF881" t="e">
        <f xml:space="preserve">
IF(#REF!&gt;=4,4,0)+
IF(#REF!="yes",3,0)+
IF(#REF!="High Charges",3,0)+
IF(#REF!&gt;250,4,0)+
IF(#REF!="no",1,0)+
IF(#REF!="Heavy Domestic User",2,0)</f>
        <v>#REF!</v>
      </c>
      <c r="AG881" t="e">
        <f>IF(#REF!&gt;=10,"High Risk", IF(#REF!&gt;=5,"Medium Risk","Low Risk"))</f>
        <v>#REF!</v>
      </c>
      <c r="AH881" t="e">
        <f>#REF! + #REF! + #REF! + #REF!</f>
        <v>#REF!</v>
      </c>
    </row>
    <row r="882" spans="1:34" x14ac:dyDescent="0.35">
      <c r="A882">
        <v>881</v>
      </c>
      <c r="B882" t="s">
        <v>55</v>
      </c>
      <c r="C882">
        <v>85</v>
      </c>
      <c r="D882" t="s">
        <v>28</v>
      </c>
      <c r="E882" t="s">
        <v>22</v>
      </c>
      <c r="F882" t="s">
        <v>22</v>
      </c>
      <c r="G882">
        <v>0</v>
      </c>
      <c r="H882">
        <v>212.3</v>
      </c>
      <c r="I882">
        <v>107</v>
      </c>
      <c r="J882">
        <v>36.090000000000003</v>
      </c>
      <c r="K882">
        <v>228.4</v>
      </c>
      <c r="L882">
        <v>103</v>
      </c>
      <c r="M882">
        <v>19.41</v>
      </c>
      <c r="N882">
        <v>163.30000000000001</v>
      </c>
      <c r="O882">
        <v>116</v>
      </c>
      <c r="P882">
        <v>7.35</v>
      </c>
      <c r="Q882">
        <v>7.7</v>
      </c>
      <c r="R882">
        <v>3</v>
      </c>
      <c r="S882">
        <v>2.08</v>
      </c>
      <c r="T882">
        <v>0</v>
      </c>
      <c r="U882" t="s">
        <v>22</v>
      </c>
      <c r="V882" t="e">
        <f>IF(#REF! = "yes", 1, 0)</f>
        <v>#REF!</v>
      </c>
      <c r="W882" t="e">
        <f>IF(#REF! &lt;= 1, "0-1 Calls", IF(#REF! &lt;= 3, "2-3 Calls", IF(#REF! &lt;=5, "4-5 Calls", "6+ Calls")))</f>
        <v>#REF!</v>
      </c>
      <c r="X882" t="e">
        <f>IF(#REF! &lt;= 50, "0-50", IF(#REF! &lt;=100, "51-100", IF(#REF! &lt;= 150, "101-150", "151+")))</f>
        <v>#REF!</v>
      </c>
      <c r="Y882" t="e">
        <f>IF(#REF! &lt;= 3, "Low Charges", "High Charges")</f>
        <v>#REF!</v>
      </c>
      <c r="Z882" t="e">
        <f>IF(#REF!&lt;=80,"Low Calls",
IF(#REF!&lt;=120,"Medium Calls","High Calls"))</f>
        <v>#REF!</v>
      </c>
      <c r="AA882" t="e">
        <f>IF(#REF!&lt;=15,"Low Charges",
IF(#REF!&lt;=20,"Medium Charges","High Charges"))</f>
        <v>#REF!</v>
      </c>
      <c r="AB882" t="e">
        <f>IF(AND(#REF!&gt;180, #REF!&gt;200), "Heavy Doemstic User", IF(#REF!&gt;10, "Interntional User", IF(AND(#REF!&lt;180, #REF!&lt;200,#REF!&lt;200), "Light User", "Balanced User")))</f>
        <v>#REF!</v>
      </c>
      <c r="AC882" t="e">
        <f>IF(#REF! = 0, "No Usage", IF(#REF! &lt;= 20, "Low Usage", IF(#REF! &lt;= 40, "Medium Usgae", "High Usage")))</f>
        <v>#REF!</v>
      </c>
      <c r="AD882" t="e">
        <f>IF(#REF!&lt;=150,"Low Usage", IF(#REF!&lt;=200,"Medium Usage", IF(#REF!&lt;=250,"High Usage","Very High Usage")))</f>
        <v>#REF!</v>
      </c>
      <c r="AE882" t="e">
        <f>IF(#REF!&lt;=5,"Low Calls", IF(#REF!&lt;=10, "Medium Calls", "High Calls"))</f>
        <v>#REF!</v>
      </c>
      <c r="AF882" t="e">
        <f xml:space="preserve">
IF(#REF!&gt;=4,4,0)+
IF(#REF!="yes",3,0)+
IF(#REF!="High Charges",3,0)+
IF(#REF!&gt;250,4,0)+
IF(#REF!="no",1,0)+
IF(#REF!="Heavy Domestic User",2,0)</f>
        <v>#REF!</v>
      </c>
      <c r="AG882" t="e">
        <f>IF(#REF!&gt;=10,"High Risk", IF(#REF!&gt;=5,"Medium Risk","Low Risk"))</f>
        <v>#REF!</v>
      </c>
      <c r="AH882" t="e">
        <f>#REF! + #REF! + #REF! + #REF!</f>
        <v>#REF!</v>
      </c>
    </row>
    <row r="883" spans="1:34" x14ac:dyDescent="0.35">
      <c r="A883">
        <v>882</v>
      </c>
      <c r="B883" t="s">
        <v>26</v>
      </c>
      <c r="C883">
        <v>79</v>
      </c>
      <c r="D883" t="s">
        <v>28</v>
      </c>
      <c r="E883" t="s">
        <v>22</v>
      </c>
      <c r="F883" t="s">
        <v>22</v>
      </c>
      <c r="G883">
        <v>0</v>
      </c>
      <c r="H883">
        <v>147</v>
      </c>
      <c r="I883">
        <v>72</v>
      </c>
      <c r="J883">
        <v>24.99</v>
      </c>
      <c r="K883">
        <v>165.7</v>
      </c>
      <c r="L883">
        <v>102</v>
      </c>
      <c r="M883">
        <v>14.08</v>
      </c>
      <c r="N883">
        <v>243.2</v>
      </c>
      <c r="O883">
        <v>107</v>
      </c>
      <c r="P883">
        <v>10.94</v>
      </c>
      <c r="Q883">
        <v>8.4</v>
      </c>
      <c r="R883">
        <v>9</v>
      </c>
      <c r="S883">
        <v>2.27</v>
      </c>
      <c r="T883">
        <v>1</v>
      </c>
      <c r="U883" t="s">
        <v>22</v>
      </c>
      <c r="V883" t="e">
        <f>IF(#REF! = "yes", 1, 0)</f>
        <v>#REF!</v>
      </c>
      <c r="W883" t="e">
        <f>IF(#REF! &lt;= 1, "0-1 Calls", IF(#REF! &lt;= 3, "2-3 Calls", IF(#REF! &lt;=5, "4-5 Calls", "6+ Calls")))</f>
        <v>#REF!</v>
      </c>
      <c r="X883" t="e">
        <f>IF(#REF! &lt;= 50, "0-50", IF(#REF! &lt;=100, "51-100", IF(#REF! &lt;= 150, "101-150", "151+")))</f>
        <v>#REF!</v>
      </c>
      <c r="Y883" t="e">
        <f>IF(#REF! &lt;= 3, "Low Charges", "High Charges")</f>
        <v>#REF!</v>
      </c>
      <c r="Z883" t="e">
        <f>IF(#REF!&lt;=80,"Low Calls",
IF(#REF!&lt;=120,"Medium Calls","High Calls"))</f>
        <v>#REF!</v>
      </c>
      <c r="AA883" t="e">
        <f>IF(#REF!&lt;=15,"Low Charges",
IF(#REF!&lt;=20,"Medium Charges","High Charges"))</f>
        <v>#REF!</v>
      </c>
      <c r="AB883" t="e">
        <f>IF(AND(#REF!&gt;180, #REF!&gt;200), "Heavy Doemstic User", IF(#REF!&gt;10, "Interntional User", IF(AND(#REF!&lt;180, #REF!&lt;200,#REF!&lt;200), "Light User", "Balanced User")))</f>
        <v>#REF!</v>
      </c>
      <c r="AC883" t="e">
        <f>IF(#REF! = 0, "No Usage", IF(#REF! &lt;= 20, "Low Usage", IF(#REF! &lt;= 40, "Medium Usgae", "High Usage")))</f>
        <v>#REF!</v>
      </c>
      <c r="AD883" t="e">
        <f>IF(#REF!&lt;=150,"Low Usage", IF(#REF!&lt;=200,"Medium Usage", IF(#REF!&lt;=250,"High Usage","Very High Usage")))</f>
        <v>#REF!</v>
      </c>
      <c r="AE883" t="e">
        <f>IF(#REF!&lt;=5,"Low Calls", IF(#REF!&lt;=10, "Medium Calls", "High Calls"))</f>
        <v>#REF!</v>
      </c>
      <c r="AF883" t="e">
        <f xml:space="preserve">
IF(#REF!&gt;=4,4,0)+
IF(#REF!="yes",3,0)+
IF(#REF!="High Charges",3,0)+
IF(#REF!&gt;250,4,0)+
IF(#REF!="no",1,0)+
IF(#REF!="Heavy Domestic User",2,0)</f>
        <v>#REF!</v>
      </c>
      <c r="AG883" t="e">
        <f>IF(#REF!&gt;=10,"High Risk", IF(#REF!&gt;=5,"Medium Risk","Low Risk"))</f>
        <v>#REF!</v>
      </c>
      <c r="AH883" t="e">
        <f>#REF! + #REF! + #REF! + #REF!</f>
        <v>#REF!</v>
      </c>
    </row>
    <row r="884" spans="1:34" x14ac:dyDescent="0.35">
      <c r="A884">
        <v>883</v>
      </c>
      <c r="B884" t="s">
        <v>60</v>
      </c>
      <c r="C884">
        <v>139</v>
      </c>
      <c r="D884" t="s">
        <v>28</v>
      </c>
      <c r="E884" t="s">
        <v>22</v>
      </c>
      <c r="F884" t="s">
        <v>23</v>
      </c>
      <c r="G884">
        <v>25</v>
      </c>
      <c r="H884">
        <v>96.2</v>
      </c>
      <c r="I884">
        <v>112</v>
      </c>
      <c r="J884">
        <v>16.350000000000001</v>
      </c>
      <c r="K884">
        <v>178.9</v>
      </c>
      <c r="L884">
        <v>70</v>
      </c>
      <c r="M884">
        <v>15.21</v>
      </c>
      <c r="N884">
        <v>182.1</v>
      </c>
      <c r="O884">
        <v>84</v>
      </c>
      <c r="P884">
        <v>8.19</v>
      </c>
      <c r="Q884">
        <v>12.9</v>
      </c>
      <c r="R884">
        <v>10</v>
      </c>
      <c r="S884">
        <v>3.48</v>
      </c>
      <c r="T884">
        <v>2</v>
      </c>
      <c r="U884" t="s">
        <v>22</v>
      </c>
      <c r="V884" t="e">
        <f>IF(#REF! = "yes", 1, 0)</f>
        <v>#REF!</v>
      </c>
      <c r="W884" t="e">
        <f>IF(#REF! &lt;= 1, "0-1 Calls", IF(#REF! &lt;= 3, "2-3 Calls", IF(#REF! &lt;=5, "4-5 Calls", "6+ Calls")))</f>
        <v>#REF!</v>
      </c>
      <c r="X884" t="e">
        <f>IF(#REF! &lt;= 50, "0-50", IF(#REF! &lt;=100, "51-100", IF(#REF! &lt;= 150, "101-150", "151+")))</f>
        <v>#REF!</v>
      </c>
      <c r="Y884" t="e">
        <f>IF(#REF! &lt;= 3, "Low Charges", "High Charges")</f>
        <v>#REF!</v>
      </c>
      <c r="Z884" t="e">
        <f>IF(#REF!&lt;=80,"Low Calls",
IF(#REF!&lt;=120,"Medium Calls","High Calls"))</f>
        <v>#REF!</v>
      </c>
      <c r="AA884" t="e">
        <f>IF(#REF!&lt;=15,"Low Charges",
IF(#REF!&lt;=20,"Medium Charges","High Charges"))</f>
        <v>#REF!</v>
      </c>
      <c r="AB884" t="e">
        <f>IF(AND(#REF!&gt;180, #REF!&gt;200), "Heavy Doemstic User", IF(#REF!&gt;10, "Interntional User", IF(AND(#REF!&lt;180, #REF!&lt;200,#REF!&lt;200), "Light User", "Balanced User")))</f>
        <v>#REF!</v>
      </c>
      <c r="AC884" t="e">
        <f>IF(#REF! = 0, "No Usage", IF(#REF! &lt;= 20, "Low Usage", IF(#REF! &lt;= 40, "Medium Usgae", "High Usage")))</f>
        <v>#REF!</v>
      </c>
      <c r="AD884" t="e">
        <f>IF(#REF!&lt;=150,"Low Usage", IF(#REF!&lt;=200,"Medium Usage", IF(#REF!&lt;=250,"High Usage","Very High Usage")))</f>
        <v>#REF!</v>
      </c>
      <c r="AE884" t="e">
        <f>IF(#REF!&lt;=5,"Low Calls", IF(#REF!&lt;=10, "Medium Calls", "High Calls"))</f>
        <v>#REF!</v>
      </c>
      <c r="AF884" t="e">
        <f xml:space="preserve">
IF(#REF!&gt;=4,4,0)+
IF(#REF!="yes",3,0)+
IF(#REF!="High Charges",3,0)+
IF(#REF!&gt;250,4,0)+
IF(#REF!="no",1,0)+
IF(#REF!="Heavy Domestic User",2,0)</f>
        <v>#REF!</v>
      </c>
      <c r="AG884" t="e">
        <f>IF(#REF!&gt;=10,"High Risk", IF(#REF!&gt;=5,"Medium Risk","Low Risk"))</f>
        <v>#REF!</v>
      </c>
      <c r="AH884" t="e">
        <f>#REF! + #REF! + #REF! + #REF!</f>
        <v>#REF!</v>
      </c>
    </row>
    <row r="885" spans="1:34" x14ac:dyDescent="0.35">
      <c r="A885">
        <v>884</v>
      </c>
      <c r="B885" t="s">
        <v>58</v>
      </c>
      <c r="C885">
        <v>103</v>
      </c>
      <c r="D885" t="s">
        <v>21</v>
      </c>
      <c r="E885" t="s">
        <v>22</v>
      </c>
      <c r="F885" t="s">
        <v>22</v>
      </c>
      <c r="G885">
        <v>0</v>
      </c>
      <c r="H885">
        <v>263.39999999999998</v>
      </c>
      <c r="I885">
        <v>118</v>
      </c>
      <c r="J885">
        <v>44.78</v>
      </c>
      <c r="K885">
        <v>179.1</v>
      </c>
      <c r="L885">
        <v>69</v>
      </c>
      <c r="M885">
        <v>15.22</v>
      </c>
      <c r="N885">
        <v>214.7</v>
      </c>
      <c r="O885">
        <v>112</v>
      </c>
      <c r="P885">
        <v>9.66</v>
      </c>
      <c r="Q885">
        <v>10.3</v>
      </c>
      <c r="R885">
        <v>2</v>
      </c>
      <c r="S885">
        <v>2.78</v>
      </c>
      <c r="T885">
        <v>0</v>
      </c>
      <c r="U885" t="s">
        <v>22</v>
      </c>
      <c r="V885" t="e">
        <f>IF(#REF! = "yes", 1, 0)</f>
        <v>#REF!</v>
      </c>
      <c r="W885" t="e">
        <f>IF(#REF! &lt;= 1, "0-1 Calls", IF(#REF! &lt;= 3, "2-3 Calls", IF(#REF! &lt;=5, "4-5 Calls", "6+ Calls")))</f>
        <v>#REF!</v>
      </c>
      <c r="X885" t="e">
        <f>IF(#REF! &lt;= 50, "0-50", IF(#REF! &lt;=100, "51-100", IF(#REF! &lt;= 150, "101-150", "151+")))</f>
        <v>#REF!</v>
      </c>
      <c r="Y885" t="e">
        <f>IF(#REF! &lt;= 3, "Low Charges", "High Charges")</f>
        <v>#REF!</v>
      </c>
      <c r="Z885" t="e">
        <f>IF(#REF!&lt;=80,"Low Calls",
IF(#REF!&lt;=120,"Medium Calls","High Calls"))</f>
        <v>#REF!</v>
      </c>
      <c r="AA885" t="e">
        <f>IF(#REF!&lt;=15,"Low Charges",
IF(#REF!&lt;=20,"Medium Charges","High Charges"))</f>
        <v>#REF!</v>
      </c>
      <c r="AB885" t="e">
        <f>IF(AND(#REF!&gt;180, #REF!&gt;200), "Heavy Doemstic User", IF(#REF!&gt;10, "Interntional User", IF(AND(#REF!&lt;180, #REF!&lt;200,#REF!&lt;200), "Light User", "Balanced User")))</f>
        <v>#REF!</v>
      </c>
      <c r="AC885" t="e">
        <f>IF(#REF! = 0, "No Usage", IF(#REF! &lt;= 20, "Low Usage", IF(#REF! &lt;= 40, "Medium Usgae", "High Usage")))</f>
        <v>#REF!</v>
      </c>
      <c r="AD885" t="e">
        <f>IF(#REF!&lt;=150,"Low Usage", IF(#REF!&lt;=200,"Medium Usage", IF(#REF!&lt;=250,"High Usage","Very High Usage")))</f>
        <v>#REF!</v>
      </c>
      <c r="AE885" t="e">
        <f>IF(#REF!&lt;=5,"Low Calls", IF(#REF!&lt;=10, "Medium Calls", "High Calls"))</f>
        <v>#REF!</v>
      </c>
      <c r="AF885" t="e">
        <f xml:space="preserve">
IF(#REF!&gt;=4,4,0)+
IF(#REF!="yes",3,0)+
IF(#REF!="High Charges",3,0)+
IF(#REF!&gt;250,4,0)+
IF(#REF!="no",1,0)+
IF(#REF!="Heavy Domestic User",2,0)</f>
        <v>#REF!</v>
      </c>
      <c r="AG885" t="e">
        <f>IF(#REF!&gt;=10,"High Risk", IF(#REF!&gt;=5,"Medium Risk","Low Risk"))</f>
        <v>#REF!</v>
      </c>
      <c r="AH885" t="e">
        <f>#REF! + #REF! + #REF! + #REF!</f>
        <v>#REF!</v>
      </c>
    </row>
    <row r="886" spans="1:34" x14ac:dyDescent="0.35">
      <c r="A886">
        <v>885</v>
      </c>
      <c r="B886" t="s">
        <v>46</v>
      </c>
      <c r="C886">
        <v>78</v>
      </c>
      <c r="D886" t="s">
        <v>25</v>
      </c>
      <c r="E886" t="s">
        <v>22</v>
      </c>
      <c r="F886" t="s">
        <v>22</v>
      </c>
      <c r="G886">
        <v>0</v>
      </c>
      <c r="H886">
        <v>162.30000000000001</v>
      </c>
      <c r="I886">
        <v>116</v>
      </c>
      <c r="J886">
        <v>27.59</v>
      </c>
      <c r="K886">
        <v>192.4</v>
      </c>
      <c r="L886">
        <v>86</v>
      </c>
      <c r="M886">
        <v>16.350000000000001</v>
      </c>
      <c r="N886">
        <v>240.6</v>
      </c>
      <c r="O886">
        <v>100</v>
      </c>
      <c r="P886">
        <v>10.83</v>
      </c>
      <c r="Q886">
        <v>10.1</v>
      </c>
      <c r="R886">
        <v>3</v>
      </c>
      <c r="S886">
        <v>2.73</v>
      </c>
      <c r="T886">
        <v>2</v>
      </c>
      <c r="U886" t="s">
        <v>22</v>
      </c>
      <c r="V886" t="e">
        <f>IF(#REF! = "yes", 1, 0)</f>
        <v>#REF!</v>
      </c>
      <c r="W886" t="e">
        <f>IF(#REF! &lt;= 1, "0-1 Calls", IF(#REF! &lt;= 3, "2-3 Calls", IF(#REF! &lt;=5, "4-5 Calls", "6+ Calls")))</f>
        <v>#REF!</v>
      </c>
      <c r="X886" t="e">
        <f>IF(#REF! &lt;= 50, "0-50", IF(#REF! &lt;=100, "51-100", IF(#REF! &lt;= 150, "101-150", "151+")))</f>
        <v>#REF!</v>
      </c>
      <c r="Y886" t="e">
        <f>IF(#REF! &lt;= 3, "Low Charges", "High Charges")</f>
        <v>#REF!</v>
      </c>
      <c r="Z886" t="e">
        <f>IF(#REF!&lt;=80,"Low Calls",
IF(#REF!&lt;=120,"Medium Calls","High Calls"))</f>
        <v>#REF!</v>
      </c>
      <c r="AA886" t="e">
        <f>IF(#REF!&lt;=15,"Low Charges",
IF(#REF!&lt;=20,"Medium Charges","High Charges"))</f>
        <v>#REF!</v>
      </c>
      <c r="AB886" t="e">
        <f>IF(AND(#REF!&gt;180, #REF!&gt;200), "Heavy Doemstic User", IF(#REF!&gt;10, "Interntional User", IF(AND(#REF!&lt;180, #REF!&lt;200,#REF!&lt;200), "Light User", "Balanced User")))</f>
        <v>#REF!</v>
      </c>
      <c r="AC886" t="e">
        <f>IF(#REF! = 0, "No Usage", IF(#REF! &lt;= 20, "Low Usage", IF(#REF! &lt;= 40, "Medium Usgae", "High Usage")))</f>
        <v>#REF!</v>
      </c>
      <c r="AD886" t="e">
        <f>IF(#REF!&lt;=150,"Low Usage", IF(#REF!&lt;=200,"Medium Usage", IF(#REF!&lt;=250,"High Usage","Very High Usage")))</f>
        <v>#REF!</v>
      </c>
      <c r="AE886" t="e">
        <f>IF(#REF!&lt;=5,"Low Calls", IF(#REF!&lt;=10, "Medium Calls", "High Calls"))</f>
        <v>#REF!</v>
      </c>
      <c r="AF886" t="e">
        <f xml:space="preserve">
IF(#REF!&gt;=4,4,0)+
IF(#REF!="yes",3,0)+
IF(#REF!="High Charges",3,0)+
IF(#REF!&gt;250,4,0)+
IF(#REF!="no",1,0)+
IF(#REF!="Heavy Domestic User",2,0)</f>
        <v>#REF!</v>
      </c>
      <c r="AG886" t="e">
        <f>IF(#REF!&gt;=10,"High Risk", IF(#REF!&gt;=5,"Medium Risk","Low Risk"))</f>
        <v>#REF!</v>
      </c>
      <c r="AH886" t="e">
        <f>#REF! + #REF! + #REF! + #REF!</f>
        <v>#REF!</v>
      </c>
    </row>
    <row r="887" spans="1:34" x14ac:dyDescent="0.35">
      <c r="A887">
        <v>886</v>
      </c>
      <c r="B887" t="s">
        <v>47</v>
      </c>
      <c r="C887">
        <v>50</v>
      </c>
      <c r="D887" t="s">
        <v>25</v>
      </c>
      <c r="E887" t="s">
        <v>22</v>
      </c>
      <c r="F887" t="s">
        <v>22</v>
      </c>
      <c r="G887">
        <v>0</v>
      </c>
      <c r="H887">
        <v>183.6</v>
      </c>
      <c r="I887">
        <v>107</v>
      </c>
      <c r="J887">
        <v>31.21</v>
      </c>
      <c r="K887">
        <v>58.6</v>
      </c>
      <c r="L887">
        <v>118</v>
      </c>
      <c r="M887">
        <v>4.9800000000000004</v>
      </c>
      <c r="N887">
        <v>202.6</v>
      </c>
      <c r="O887">
        <v>99</v>
      </c>
      <c r="P887">
        <v>9.1199999999999992</v>
      </c>
      <c r="Q887">
        <v>8.6999999999999993</v>
      </c>
      <c r="R887">
        <v>3</v>
      </c>
      <c r="S887">
        <v>2.35</v>
      </c>
      <c r="T887">
        <v>1</v>
      </c>
      <c r="U887" t="s">
        <v>22</v>
      </c>
      <c r="V887" t="e">
        <f>IF(#REF! = "yes", 1, 0)</f>
        <v>#REF!</v>
      </c>
      <c r="W887" t="e">
        <f>IF(#REF! &lt;= 1, "0-1 Calls", IF(#REF! &lt;= 3, "2-3 Calls", IF(#REF! &lt;=5, "4-5 Calls", "6+ Calls")))</f>
        <v>#REF!</v>
      </c>
      <c r="X887" t="e">
        <f>IF(#REF! &lt;= 50, "0-50", IF(#REF! &lt;=100, "51-100", IF(#REF! &lt;= 150, "101-150", "151+")))</f>
        <v>#REF!</v>
      </c>
      <c r="Y887" t="e">
        <f>IF(#REF! &lt;= 3, "Low Charges", "High Charges")</f>
        <v>#REF!</v>
      </c>
      <c r="Z887" t="e">
        <f>IF(#REF!&lt;=80,"Low Calls",
IF(#REF!&lt;=120,"Medium Calls","High Calls"))</f>
        <v>#REF!</v>
      </c>
      <c r="AA887" t="e">
        <f>IF(#REF!&lt;=15,"Low Charges",
IF(#REF!&lt;=20,"Medium Charges","High Charges"))</f>
        <v>#REF!</v>
      </c>
      <c r="AB887" t="e">
        <f>IF(AND(#REF!&gt;180, #REF!&gt;200), "Heavy Doemstic User", IF(#REF!&gt;10, "Interntional User", IF(AND(#REF!&lt;180, #REF!&lt;200,#REF!&lt;200), "Light User", "Balanced User")))</f>
        <v>#REF!</v>
      </c>
      <c r="AC887" t="e">
        <f>IF(#REF! = 0, "No Usage", IF(#REF! &lt;= 20, "Low Usage", IF(#REF! &lt;= 40, "Medium Usgae", "High Usage")))</f>
        <v>#REF!</v>
      </c>
      <c r="AD887" t="e">
        <f>IF(#REF!&lt;=150,"Low Usage", IF(#REF!&lt;=200,"Medium Usage", IF(#REF!&lt;=250,"High Usage","Very High Usage")))</f>
        <v>#REF!</v>
      </c>
      <c r="AE887" t="e">
        <f>IF(#REF!&lt;=5,"Low Calls", IF(#REF!&lt;=10, "Medium Calls", "High Calls"))</f>
        <v>#REF!</v>
      </c>
      <c r="AF887" t="e">
        <f xml:space="preserve">
IF(#REF!&gt;=4,4,0)+
IF(#REF!="yes",3,0)+
IF(#REF!="High Charges",3,0)+
IF(#REF!&gt;250,4,0)+
IF(#REF!="no",1,0)+
IF(#REF!="Heavy Domestic User",2,0)</f>
        <v>#REF!</v>
      </c>
      <c r="AG887" t="e">
        <f>IF(#REF!&gt;=10,"High Risk", IF(#REF!&gt;=5,"Medium Risk","Low Risk"))</f>
        <v>#REF!</v>
      </c>
      <c r="AH887" t="e">
        <f>#REF! + #REF! + #REF! + #REF!</f>
        <v>#REF!</v>
      </c>
    </row>
    <row r="888" spans="1:34" x14ac:dyDescent="0.35">
      <c r="A888">
        <v>887</v>
      </c>
      <c r="B888" t="s">
        <v>70</v>
      </c>
      <c r="C888">
        <v>67</v>
      </c>
      <c r="D888" t="s">
        <v>25</v>
      </c>
      <c r="E888" t="s">
        <v>22</v>
      </c>
      <c r="F888" t="s">
        <v>22</v>
      </c>
      <c r="G888">
        <v>0</v>
      </c>
      <c r="H888">
        <v>201.4</v>
      </c>
      <c r="I888">
        <v>101</v>
      </c>
      <c r="J888">
        <v>34.24</v>
      </c>
      <c r="K888">
        <v>97.6</v>
      </c>
      <c r="L888">
        <v>122</v>
      </c>
      <c r="M888">
        <v>8.3000000000000007</v>
      </c>
      <c r="N888">
        <v>202.5</v>
      </c>
      <c r="O888">
        <v>119</v>
      </c>
      <c r="P888">
        <v>9.11</v>
      </c>
      <c r="Q888">
        <v>7</v>
      </c>
      <c r="R888">
        <v>3</v>
      </c>
      <c r="S888">
        <v>1.89</v>
      </c>
      <c r="T888">
        <v>0</v>
      </c>
      <c r="U888" t="s">
        <v>22</v>
      </c>
      <c r="V888" t="e">
        <f>IF(#REF! = "yes", 1, 0)</f>
        <v>#REF!</v>
      </c>
      <c r="W888" t="e">
        <f>IF(#REF! &lt;= 1, "0-1 Calls", IF(#REF! &lt;= 3, "2-3 Calls", IF(#REF! &lt;=5, "4-5 Calls", "6+ Calls")))</f>
        <v>#REF!</v>
      </c>
      <c r="X888" t="e">
        <f>IF(#REF! &lt;= 50, "0-50", IF(#REF! &lt;=100, "51-100", IF(#REF! &lt;= 150, "101-150", "151+")))</f>
        <v>#REF!</v>
      </c>
      <c r="Y888" t="e">
        <f>IF(#REF! &lt;= 3, "Low Charges", "High Charges")</f>
        <v>#REF!</v>
      </c>
      <c r="Z888" t="e">
        <f>IF(#REF!&lt;=80,"Low Calls",
IF(#REF!&lt;=120,"Medium Calls","High Calls"))</f>
        <v>#REF!</v>
      </c>
      <c r="AA888" t="e">
        <f>IF(#REF!&lt;=15,"Low Charges",
IF(#REF!&lt;=20,"Medium Charges","High Charges"))</f>
        <v>#REF!</v>
      </c>
      <c r="AB888" t="e">
        <f>IF(AND(#REF!&gt;180, #REF!&gt;200), "Heavy Doemstic User", IF(#REF!&gt;10, "Interntional User", IF(AND(#REF!&lt;180, #REF!&lt;200,#REF!&lt;200), "Light User", "Balanced User")))</f>
        <v>#REF!</v>
      </c>
      <c r="AC888" t="e">
        <f>IF(#REF! = 0, "No Usage", IF(#REF! &lt;= 20, "Low Usage", IF(#REF! &lt;= 40, "Medium Usgae", "High Usage")))</f>
        <v>#REF!</v>
      </c>
      <c r="AD888" t="e">
        <f>IF(#REF!&lt;=150,"Low Usage", IF(#REF!&lt;=200,"Medium Usage", IF(#REF!&lt;=250,"High Usage","Very High Usage")))</f>
        <v>#REF!</v>
      </c>
      <c r="AE888" t="e">
        <f>IF(#REF!&lt;=5,"Low Calls", IF(#REF!&lt;=10, "Medium Calls", "High Calls"))</f>
        <v>#REF!</v>
      </c>
      <c r="AF888" t="e">
        <f xml:space="preserve">
IF(#REF!&gt;=4,4,0)+
IF(#REF!="yes",3,0)+
IF(#REF!="High Charges",3,0)+
IF(#REF!&gt;250,4,0)+
IF(#REF!="no",1,0)+
IF(#REF!="Heavy Domestic User",2,0)</f>
        <v>#REF!</v>
      </c>
      <c r="AG888" t="e">
        <f>IF(#REF!&gt;=10,"High Risk", IF(#REF!&gt;=5,"Medium Risk","Low Risk"))</f>
        <v>#REF!</v>
      </c>
      <c r="AH888" t="e">
        <f>#REF! + #REF! + #REF! + #REF!</f>
        <v>#REF!</v>
      </c>
    </row>
    <row r="889" spans="1:34" x14ac:dyDescent="0.35">
      <c r="A889">
        <v>888</v>
      </c>
      <c r="B889" t="s">
        <v>31</v>
      </c>
      <c r="C889">
        <v>86</v>
      </c>
      <c r="D889" t="s">
        <v>21</v>
      </c>
      <c r="E889" t="s">
        <v>22</v>
      </c>
      <c r="F889" t="s">
        <v>23</v>
      </c>
      <c r="G889">
        <v>38</v>
      </c>
      <c r="H889">
        <v>123</v>
      </c>
      <c r="I889">
        <v>158</v>
      </c>
      <c r="J889">
        <v>20.91</v>
      </c>
      <c r="K889">
        <v>133.9</v>
      </c>
      <c r="L889">
        <v>119</v>
      </c>
      <c r="M889">
        <v>11.38</v>
      </c>
      <c r="N889">
        <v>138.19999999999999</v>
      </c>
      <c r="O889">
        <v>103</v>
      </c>
      <c r="P889">
        <v>6.22</v>
      </c>
      <c r="Q889">
        <v>13.3</v>
      </c>
      <c r="R889">
        <v>4</v>
      </c>
      <c r="S889">
        <v>3.59</v>
      </c>
      <c r="T889">
        <v>1</v>
      </c>
      <c r="U889" t="s">
        <v>22</v>
      </c>
      <c r="V889" t="e">
        <f>IF(#REF! = "yes", 1, 0)</f>
        <v>#REF!</v>
      </c>
      <c r="W889" t="e">
        <f>IF(#REF! &lt;= 1, "0-1 Calls", IF(#REF! &lt;= 3, "2-3 Calls", IF(#REF! &lt;=5, "4-5 Calls", "6+ Calls")))</f>
        <v>#REF!</v>
      </c>
      <c r="X889" t="e">
        <f>IF(#REF! &lt;= 50, "0-50", IF(#REF! &lt;=100, "51-100", IF(#REF! &lt;= 150, "101-150", "151+")))</f>
        <v>#REF!</v>
      </c>
      <c r="Y889" t="e">
        <f>IF(#REF! &lt;= 3, "Low Charges", "High Charges")</f>
        <v>#REF!</v>
      </c>
      <c r="Z889" t="e">
        <f>IF(#REF!&lt;=80,"Low Calls",
IF(#REF!&lt;=120,"Medium Calls","High Calls"))</f>
        <v>#REF!</v>
      </c>
      <c r="AA889" t="e">
        <f>IF(#REF!&lt;=15,"Low Charges",
IF(#REF!&lt;=20,"Medium Charges","High Charges"))</f>
        <v>#REF!</v>
      </c>
      <c r="AB889" t="e">
        <f>IF(AND(#REF!&gt;180, #REF!&gt;200), "Heavy Doemstic User", IF(#REF!&gt;10, "Interntional User", IF(AND(#REF!&lt;180, #REF!&lt;200,#REF!&lt;200), "Light User", "Balanced User")))</f>
        <v>#REF!</v>
      </c>
      <c r="AC889" t="e">
        <f>IF(#REF! = 0, "No Usage", IF(#REF! &lt;= 20, "Low Usage", IF(#REF! &lt;= 40, "Medium Usgae", "High Usage")))</f>
        <v>#REF!</v>
      </c>
      <c r="AD889" t="e">
        <f>IF(#REF!&lt;=150,"Low Usage", IF(#REF!&lt;=200,"Medium Usage", IF(#REF!&lt;=250,"High Usage","Very High Usage")))</f>
        <v>#REF!</v>
      </c>
      <c r="AE889" t="e">
        <f>IF(#REF!&lt;=5,"Low Calls", IF(#REF!&lt;=10, "Medium Calls", "High Calls"))</f>
        <v>#REF!</v>
      </c>
      <c r="AF889" t="e">
        <f xml:space="preserve">
IF(#REF!&gt;=4,4,0)+
IF(#REF!="yes",3,0)+
IF(#REF!="High Charges",3,0)+
IF(#REF!&gt;250,4,0)+
IF(#REF!="no",1,0)+
IF(#REF!="Heavy Domestic User",2,0)</f>
        <v>#REF!</v>
      </c>
      <c r="AG889" t="e">
        <f>IF(#REF!&gt;=10,"High Risk", IF(#REF!&gt;=5,"Medium Risk","Low Risk"))</f>
        <v>#REF!</v>
      </c>
      <c r="AH889" t="e">
        <f>#REF! + #REF! + #REF! + #REF!</f>
        <v>#REF!</v>
      </c>
    </row>
    <row r="890" spans="1:34" x14ac:dyDescent="0.35">
      <c r="A890">
        <v>889</v>
      </c>
      <c r="B890" t="s">
        <v>61</v>
      </c>
      <c r="C890">
        <v>174</v>
      </c>
      <c r="D890" t="s">
        <v>21</v>
      </c>
      <c r="E890" t="s">
        <v>22</v>
      </c>
      <c r="F890" t="s">
        <v>22</v>
      </c>
      <c r="G890">
        <v>0</v>
      </c>
      <c r="H890">
        <v>239.2</v>
      </c>
      <c r="I890">
        <v>72</v>
      </c>
      <c r="J890">
        <v>40.659999999999997</v>
      </c>
      <c r="K890">
        <v>188.5</v>
      </c>
      <c r="L890">
        <v>124</v>
      </c>
      <c r="M890">
        <v>16.02</v>
      </c>
      <c r="N890">
        <v>105.6</v>
      </c>
      <c r="O890">
        <v>116</v>
      </c>
      <c r="P890">
        <v>4.75</v>
      </c>
      <c r="Q890">
        <v>8.8000000000000007</v>
      </c>
      <c r="R890">
        <v>3</v>
      </c>
      <c r="S890">
        <v>2.38</v>
      </c>
      <c r="T890">
        <v>1</v>
      </c>
      <c r="U890" t="s">
        <v>22</v>
      </c>
      <c r="V890" t="e">
        <f>IF(#REF! = "yes", 1, 0)</f>
        <v>#REF!</v>
      </c>
      <c r="W890" t="e">
        <f>IF(#REF! &lt;= 1, "0-1 Calls", IF(#REF! &lt;= 3, "2-3 Calls", IF(#REF! &lt;=5, "4-5 Calls", "6+ Calls")))</f>
        <v>#REF!</v>
      </c>
      <c r="X890" t="e">
        <f>IF(#REF! &lt;= 50, "0-50", IF(#REF! &lt;=100, "51-100", IF(#REF! &lt;= 150, "101-150", "151+")))</f>
        <v>#REF!</v>
      </c>
      <c r="Y890" t="e">
        <f>IF(#REF! &lt;= 3, "Low Charges", "High Charges")</f>
        <v>#REF!</v>
      </c>
      <c r="Z890" t="e">
        <f>IF(#REF!&lt;=80,"Low Calls",
IF(#REF!&lt;=120,"Medium Calls","High Calls"))</f>
        <v>#REF!</v>
      </c>
      <c r="AA890" t="e">
        <f>IF(#REF!&lt;=15,"Low Charges",
IF(#REF!&lt;=20,"Medium Charges","High Charges"))</f>
        <v>#REF!</v>
      </c>
      <c r="AB890" t="e">
        <f>IF(AND(#REF!&gt;180, #REF!&gt;200), "Heavy Doemstic User", IF(#REF!&gt;10, "Interntional User", IF(AND(#REF!&lt;180, #REF!&lt;200,#REF!&lt;200), "Light User", "Balanced User")))</f>
        <v>#REF!</v>
      </c>
      <c r="AC890" t="e">
        <f>IF(#REF! = 0, "No Usage", IF(#REF! &lt;= 20, "Low Usage", IF(#REF! &lt;= 40, "Medium Usgae", "High Usage")))</f>
        <v>#REF!</v>
      </c>
      <c r="AD890" t="e">
        <f>IF(#REF!&lt;=150,"Low Usage", IF(#REF!&lt;=200,"Medium Usage", IF(#REF!&lt;=250,"High Usage","Very High Usage")))</f>
        <v>#REF!</v>
      </c>
      <c r="AE890" t="e">
        <f>IF(#REF!&lt;=5,"Low Calls", IF(#REF!&lt;=10, "Medium Calls", "High Calls"))</f>
        <v>#REF!</v>
      </c>
      <c r="AF890" t="e">
        <f xml:space="preserve">
IF(#REF!&gt;=4,4,0)+
IF(#REF!="yes",3,0)+
IF(#REF!="High Charges",3,0)+
IF(#REF!&gt;250,4,0)+
IF(#REF!="no",1,0)+
IF(#REF!="Heavy Domestic User",2,0)</f>
        <v>#REF!</v>
      </c>
      <c r="AG890" t="e">
        <f>IF(#REF!&gt;=10,"High Risk", IF(#REF!&gt;=5,"Medium Risk","Low Risk"))</f>
        <v>#REF!</v>
      </c>
      <c r="AH890" t="e">
        <f>#REF! + #REF! + #REF! + #REF!</f>
        <v>#REF!</v>
      </c>
    </row>
    <row r="891" spans="1:34" x14ac:dyDescent="0.35">
      <c r="A891">
        <v>890</v>
      </c>
      <c r="B891" t="s">
        <v>20</v>
      </c>
      <c r="C891">
        <v>124</v>
      </c>
      <c r="D891" t="s">
        <v>28</v>
      </c>
      <c r="E891" t="s">
        <v>22</v>
      </c>
      <c r="F891" t="s">
        <v>22</v>
      </c>
      <c r="G891">
        <v>0</v>
      </c>
      <c r="H891">
        <v>193</v>
      </c>
      <c r="I891">
        <v>97</v>
      </c>
      <c r="J891">
        <v>32.81</v>
      </c>
      <c r="K891">
        <v>89.8</v>
      </c>
      <c r="L891">
        <v>99</v>
      </c>
      <c r="M891">
        <v>7.63</v>
      </c>
      <c r="N891">
        <v>172.8</v>
      </c>
      <c r="O891">
        <v>104</v>
      </c>
      <c r="P891">
        <v>7.78</v>
      </c>
      <c r="Q891">
        <v>15.3</v>
      </c>
      <c r="R891">
        <v>3</v>
      </c>
      <c r="S891">
        <v>4.13</v>
      </c>
      <c r="T891">
        <v>1</v>
      </c>
      <c r="U891" t="s">
        <v>22</v>
      </c>
      <c r="V891" t="e">
        <f>IF(#REF! = "yes", 1, 0)</f>
        <v>#REF!</v>
      </c>
      <c r="W891" t="e">
        <f>IF(#REF! &lt;= 1, "0-1 Calls", IF(#REF! &lt;= 3, "2-3 Calls", IF(#REF! &lt;=5, "4-5 Calls", "6+ Calls")))</f>
        <v>#REF!</v>
      </c>
      <c r="X891" t="e">
        <f>IF(#REF! &lt;= 50, "0-50", IF(#REF! &lt;=100, "51-100", IF(#REF! &lt;= 150, "101-150", "151+")))</f>
        <v>#REF!</v>
      </c>
      <c r="Y891" t="e">
        <f>IF(#REF! &lt;= 3, "Low Charges", "High Charges")</f>
        <v>#REF!</v>
      </c>
      <c r="Z891" t="e">
        <f>IF(#REF!&lt;=80,"Low Calls",
IF(#REF!&lt;=120,"Medium Calls","High Calls"))</f>
        <v>#REF!</v>
      </c>
      <c r="AA891" t="e">
        <f>IF(#REF!&lt;=15,"Low Charges",
IF(#REF!&lt;=20,"Medium Charges","High Charges"))</f>
        <v>#REF!</v>
      </c>
      <c r="AB891" t="e">
        <f>IF(AND(#REF!&gt;180, #REF!&gt;200), "Heavy Doemstic User", IF(#REF!&gt;10, "Interntional User", IF(AND(#REF!&lt;180, #REF!&lt;200,#REF!&lt;200), "Light User", "Balanced User")))</f>
        <v>#REF!</v>
      </c>
      <c r="AC891" t="e">
        <f>IF(#REF! = 0, "No Usage", IF(#REF! &lt;= 20, "Low Usage", IF(#REF! &lt;= 40, "Medium Usgae", "High Usage")))</f>
        <v>#REF!</v>
      </c>
      <c r="AD891" t="e">
        <f>IF(#REF!&lt;=150,"Low Usage", IF(#REF!&lt;=200,"Medium Usage", IF(#REF!&lt;=250,"High Usage","Very High Usage")))</f>
        <v>#REF!</v>
      </c>
      <c r="AE891" t="e">
        <f>IF(#REF!&lt;=5,"Low Calls", IF(#REF!&lt;=10, "Medium Calls", "High Calls"))</f>
        <v>#REF!</v>
      </c>
      <c r="AF891" t="e">
        <f xml:space="preserve">
IF(#REF!&gt;=4,4,0)+
IF(#REF!="yes",3,0)+
IF(#REF!="High Charges",3,0)+
IF(#REF!&gt;250,4,0)+
IF(#REF!="no",1,0)+
IF(#REF!="Heavy Domestic User",2,0)</f>
        <v>#REF!</v>
      </c>
      <c r="AG891" t="e">
        <f>IF(#REF!&gt;=10,"High Risk", IF(#REF!&gt;=5,"Medium Risk","Low Risk"))</f>
        <v>#REF!</v>
      </c>
      <c r="AH891" t="e">
        <f>#REF! + #REF! + #REF! + #REF!</f>
        <v>#REF!</v>
      </c>
    </row>
    <row r="892" spans="1:34" x14ac:dyDescent="0.35">
      <c r="A892">
        <v>891</v>
      </c>
      <c r="B892" t="s">
        <v>33</v>
      </c>
      <c r="C892">
        <v>190</v>
      </c>
      <c r="D892" t="s">
        <v>21</v>
      </c>
      <c r="E892" t="s">
        <v>22</v>
      </c>
      <c r="F892" t="s">
        <v>23</v>
      </c>
      <c r="G892">
        <v>26</v>
      </c>
      <c r="H892">
        <v>116.7</v>
      </c>
      <c r="I892">
        <v>71</v>
      </c>
      <c r="J892">
        <v>19.84</v>
      </c>
      <c r="K892">
        <v>145.9</v>
      </c>
      <c r="L892">
        <v>88</v>
      </c>
      <c r="M892">
        <v>12.4</v>
      </c>
      <c r="N892">
        <v>175.1</v>
      </c>
      <c r="O892">
        <v>103</v>
      </c>
      <c r="P892">
        <v>7.88</v>
      </c>
      <c r="Q892">
        <v>9.9</v>
      </c>
      <c r="R892">
        <v>3</v>
      </c>
      <c r="S892">
        <v>2.67</v>
      </c>
      <c r="T892">
        <v>1</v>
      </c>
      <c r="U892" t="s">
        <v>22</v>
      </c>
      <c r="V892" t="e">
        <f>IF(#REF! = "yes", 1, 0)</f>
        <v>#REF!</v>
      </c>
      <c r="W892" t="e">
        <f>IF(#REF! &lt;= 1, "0-1 Calls", IF(#REF! &lt;= 3, "2-3 Calls", IF(#REF! &lt;=5, "4-5 Calls", "6+ Calls")))</f>
        <v>#REF!</v>
      </c>
      <c r="X892" t="e">
        <f>IF(#REF! &lt;= 50, "0-50", IF(#REF! &lt;=100, "51-100", IF(#REF! &lt;= 150, "101-150", "151+")))</f>
        <v>#REF!</v>
      </c>
      <c r="Y892" t="e">
        <f>IF(#REF! &lt;= 3, "Low Charges", "High Charges")</f>
        <v>#REF!</v>
      </c>
      <c r="Z892" t="e">
        <f>IF(#REF!&lt;=80,"Low Calls",
IF(#REF!&lt;=120,"Medium Calls","High Calls"))</f>
        <v>#REF!</v>
      </c>
      <c r="AA892" t="e">
        <f>IF(#REF!&lt;=15,"Low Charges",
IF(#REF!&lt;=20,"Medium Charges","High Charges"))</f>
        <v>#REF!</v>
      </c>
      <c r="AB892" t="e">
        <f>IF(AND(#REF!&gt;180, #REF!&gt;200), "Heavy Doemstic User", IF(#REF!&gt;10, "Interntional User", IF(AND(#REF!&lt;180, #REF!&lt;200,#REF!&lt;200), "Light User", "Balanced User")))</f>
        <v>#REF!</v>
      </c>
      <c r="AC892" t="e">
        <f>IF(#REF! = 0, "No Usage", IF(#REF! &lt;= 20, "Low Usage", IF(#REF! &lt;= 40, "Medium Usgae", "High Usage")))</f>
        <v>#REF!</v>
      </c>
      <c r="AD892" t="e">
        <f>IF(#REF!&lt;=150,"Low Usage", IF(#REF!&lt;=200,"Medium Usage", IF(#REF!&lt;=250,"High Usage","Very High Usage")))</f>
        <v>#REF!</v>
      </c>
      <c r="AE892" t="e">
        <f>IF(#REF!&lt;=5,"Low Calls", IF(#REF!&lt;=10, "Medium Calls", "High Calls"))</f>
        <v>#REF!</v>
      </c>
      <c r="AF892" t="e">
        <f xml:space="preserve">
IF(#REF!&gt;=4,4,0)+
IF(#REF!="yes",3,0)+
IF(#REF!="High Charges",3,0)+
IF(#REF!&gt;250,4,0)+
IF(#REF!="no",1,0)+
IF(#REF!="Heavy Domestic User",2,0)</f>
        <v>#REF!</v>
      </c>
      <c r="AG892" t="e">
        <f>IF(#REF!&gt;=10,"High Risk", IF(#REF!&gt;=5,"Medium Risk","Low Risk"))</f>
        <v>#REF!</v>
      </c>
      <c r="AH892" t="e">
        <f>#REF! + #REF! + #REF! + #REF!</f>
        <v>#REF!</v>
      </c>
    </row>
    <row r="893" spans="1:34" x14ac:dyDescent="0.35">
      <c r="A893">
        <v>892</v>
      </c>
      <c r="B893" t="s">
        <v>45</v>
      </c>
      <c r="C893">
        <v>101</v>
      </c>
      <c r="D893" t="s">
        <v>28</v>
      </c>
      <c r="E893" t="s">
        <v>22</v>
      </c>
      <c r="F893" t="s">
        <v>22</v>
      </c>
      <c r="G893">
        <v>0</v>
      </c>
      <c r="H893">
        <v>93.8</v>
      </c>
      <c r="I893">
        <v>127</v>
      </c>
      <c r="J893">
        <v>15.95</v>
      </c>
      <c r="K893">
        <v>150</v>
      </c>
      <c r="L893">
        <v>104</v>
      </c>
      <c r="M893">
        <v>12.75</v>
      </c>
      <c r="N893">
        <v>241.1</v>
      </c>
      <c r="O893">
        <v>116</v>
      </c>
      <c r="P893">
        <v>10.85</v>
      </c>
      <c r="Q893">
        <v>10.7</v>
      </c>
      <c r="R893">
        <v>2</v>
      </c>
      <c r="S893">
        <v>2.89</v>
      </c>
      <c r="T893">
        <v>1</v>
      </c>
      <c r="U893" t="s">
        <v>22</v>
      </c>
      <c r="V893" t="e">
        <f>IF(#REF! = "yes", 1, 0)</f>
        <v>#REF!</v>
      </c>
      <c r="W893" t="e">
        <f>IF(#REF! &lt;= 1, "0-1 Calls", IF(#REF! &lt;= 3, "2-3 Calls", IF(#REF! &lt;=5, "4-5 Calls", "6+ Calls")))</f>
        <v>#REF!</v>
      </c>
      <c r="X893" t="e">
        <f>IF(#REF! &lt;= 50, "0-50", IF(#REF! &lt;=100, "51-100", IF(#REF! &lt;= 150, "101-150", "151+")))</f>
        <v>#REF!</v>
      </c>
      <c r="Y893" t="e">
        <f>IF(#REF! &lt;= 3, "Low Charges", "High Charges")</f>
        <v>#REF!</v>
      </c>
      <c r="Z893" t="e">
        <f>IF(#REF!&lt;=80,"Low Calls",
IF(#REF!&lt;=120,"Medium Calls","High Calls"))</f>
        <v>#REF!</v>
      </c>
      <c r="AA893" t="e">
        <f>IF(#REF!&lt;=15,"Low Charges",
IF(#REF!&lt;=20,"Medium Charges","High Charges"))</f>
        <v>#REF!</v>
      </c>
      <c r="AB893" t="e">
        <f>IF(AND(#REF!&gt;180, #REF!&gt;200), "Heavy Doemstic User", IF(#REF!&gt;10, "Interntional User", IF(AND(#REF!&lt;180, #REF!&lt;200,#REF!&lt;200), "Light User", "Balanced User")))</f>
        <v>#REF!</v>
      </c>
      <c r="AC893" t="e">
        <f>IF(#REF! = 0, "No Usage", IF(#REF! &lt;= 20, "Low Usage", IF(#REF! &lt;= 40, "Medium Usgae", "High Usage")))</f>
        <v>#REF!</v>
      </c>
      <c r="AD893" t="e">
        <f>IF(#REF!&lt;=150,"Low Usage", IF(#REF!&lt;=200,"Medium Usage", IF(#REF!&lt;=250,"High Usage","Very High Usage")))</f>
        <v>#REF!</v>
      </c>
      <c r="AE893" t="e">
        <f>IF(#REF!&lt;=5,"Low Calls", IF(#REF!&lt;=10, "Medium Calls", "High Calls"))</f>
        <v>#REF!</v>
      </c>
      <c r="AF893" t="e">
        <f xml:space="preserve">
IF(#REF!&gt;=4,4,0)+
IF(#REF!="yes",3,0)+
IF(#REF!="High Charges",3,0)+
IF(#REF!&gt;250,4,0)+
IF(#REF!="no",1,0)+
IF(#REF!="Heavy Domestic User",2,0)</f>
        <v>#REF!</v>
      </c>
      <c r="AG893" t="e">
        <f>IF(#REF!&gt;=10,"High Risk", IF(#REF!&gt;=5,"Medium Risk","Low Risk"))</f>
        <v>#REF!</v>
      </c>
      <c r="AH893" t="e">
        <f>#REF! + #REF! + #REF! + #REF!</f>
        <v>#REF!</v>
      </c>
    </row>
    <row r="894" spans="1:34" x14ac:dyDescent="0.35">
      <c r="A894">
        <v>893</v>
      </c>
      <c r="B894" t="s">
        <v>36</v>
      </c>
      <c r="C894">
        <v>68</v>
      </c>
      <c r="D894" t="s">
        <v>21</v>
      </c>
      <c r="E894" t="s">
        <v>22</v>
      </c>
      <c r="F894" t="s">
        <v>23</v>
      </c>
      <c r="G894">
        <v>29</v>
      </c>
      <c r="H894">
        <v>239.5</v>
      </c>
      <c r="I894">
        <v>82</v>
      </c>
      <c r="J894">
        <v>40.72</v>
      </c>
      <c r="K894">
        <v>203.8</v>
      </c>
      <c r="L894">
        <v>105</v>
      </c>
      <c r="M894">
        <v>17.32</v>
      </c>
      <c r="N894">
        <v>167.8</v>
      </c>
      <c r="O894">
        <v>70</v>
      </c>
      <c r="P894">
        <v>7.55</v>
      </c>
      <c r="Q894">
        <v>9.9</v>
      </c>
      <c r="R894">
        <v>6</v>
      </c>
      <c r="S894">
        <v>2.67</v>
      </c>
      <c r="T894">
        <v>0</v>
      </c>
      <c r="U894" t="s">
        <v>22</v>
      </c>
      <c r="V894" t="e">
        <f>IF(#REF! = "yes", 1, 0)</f>
        <v>#REF!</v>
      </c>
      <c r="W894" t="e">
        <f>IF(#REF! &lt;= 1, "0-1 Calls", IF(#REF! &lt;= 3, "2-3 Calls", IF(#REF! &lt;=5, "4-5 Calls", "6+ Calls")))</f>
        <v>#REF!</v>
      </c>
      <c r="X894" t="e">
        <f>IF(#REF! &lt;= 50, "0-50", IF(#REF! &lt;=100, "51-100", IF(#REF! &lt;= 150, "101-150", "151+")))</f>
        <v>#REF!</v>
      </c>
      <c r="Y894" t="e">
        <f>IF(#REF! &lt;= 3, "Low Charges", "High Charges")</f>
        <v>#REF!</v>
      </c>
      <c r="Z894" t="e">
        <f>IF(#REF!&lt;=80,"Low Calls",
IF(#REF!&lt;=120,"Medium Calls","High Calls"))</f>
        <v>#REF!</v>
      </c>
      <c r="AA894" t="e">
        <f>IF(#REF!&lt;=15,"Low Charges",
IF(#REF!&lt;=20,"Medium Charges","High Charges"))</f>
        <v>#REF!</v>
      </c>
      <c r="AB894" t="e">
        <f>IF(AND(#REF!&gt;180, #REF!&gt;200), "Heavy Doemstic User", IF(#REF!&gt;10, "Interntional User", IF(AND(#REF!&lt;180, #REF!&lt;200,#REF!&lt;200), "Light User", "Balanced User")))</f>
        <v>#REF!</v>
      </c>
      <c r="AC894" t="e">
        <f>IF(#REF! = 0, "No Usage", IF(#REF! &lt;= 20, "Low Usage", IF(#REF! &lt;= 40, "Medium Usgae", "High Usage")))</f>
        <v>#REF!</v>
      </c>
      <c r="AD894" t="e">
        <f>IF(#REF!&lt;=150,"Low Usage", IF(#REF!&lt;=200,"Medium Usage", IF(#REF!&lt;=250,"High Usage","Very High Usage")))</f>
        <v>#REF!</v>
      </c>
      <c r="AE894" t="e">
        <f>IF(#REF!&lt;=5,"Low Calls", IF(#REF!&lt;=10, "Medium Calls", "High Calls"))</f>
        <v>#REF!</v>
      </c>
      <c r="AF894" t="e">
        <f xml:space="preserve">
IF(#REF!&gt;=4,4,0)+
IF(#REF!="yes",3,0)+
IF(#REF!="High Charges",3,0)+
IF(#REF!&gt;250,4,0)+
IF(#REF!="no",1,0)+
IF(#REF!="Heavy Domestic User",2,0)</f>
        <v>#REF!</v>
      </c>
      <c r="AG894" t="e">
        <f>IF(#REF!&gt;=10,"High Risk", IF(#REF!&gt;=5,"Medium Risk","Low Risk"))</f>
        <v>#REF!</v>
      </c>
      <c r="AH894" t="e">
        <f>#REF! + #REF! + #REF! + #REF!</f>
        <v>#REF!</v>
      </c>
    </row>
    <row r="895" spans="1:34" x14ac:dyDescent="0.35">
      <c r="A895">
        <v>894</v>
      </c>
      <c r="B895" t="s">
        <v>70</v>
      </c>
      <c r="C895">
        <v>117</v>
      </c>
      <c r="D895" t="s">
        <v>28</v>
      </c>
      <c r="E895" t="s">
        <v>22</v>
      </c>
      <c r="F895" t="s">
        <v>23</v>
      </c>
      <c r="G895">
        <v>25</v>
      </c>
      <c r="H895">
        <v>216</v>
      </c>
      <c r="I895">
        <v>140</v>
      </c>
      <c r="J895">
        <v>36.72</v>
      </c>
      <c r="K895">
        <v>224.1</v>
      </c>
      <c r="L895">
        <v>69</v>
      </c>
      <c r="M895">
        <v>19.05</v>
      </c>
      <c r="N895">
        <v>267.89999999999998</v>
      </c>
      <c r="O895">
        <v>112</v>
      </c>
      <c r="P895">
        <v>12.06</v>
      </c>
      <c r="Q895">
        <v>11.8</v>
      </c>
      <c r="R895">
        <v>4</v>
      </c>
      <c r="S895">
        <v>3.19</v>
      </c>
      <c r="T895">
        <v>0</v>
      </c>
      <c r="U895" t="s">
        <v>22</v>
      </c>
      <c r="V895" t="e">
        <f>IF(#REF! = "yes", 1, 0)</f>
        <v>#REF!</v>
      </c>
      <c r="W895" t="e">
        <f>IF(#REF! &lt;= 1, "0-1 Calls", IF(#REF! &lt;= 3, "2-3 Calls", IF(#REF! &lt;=5, "4-5 Calls", "6+ Calls")))</f>
        <v>#REF!</v>
      </c>
      <c r="X895" t="e">
        <f>IF(#REF! &lt;= 50, "0-50", IF(#REF! &lt;=100, "51-100", IF(#REF! &lt;= 150, "101-150", "151+")))</f>
        <v>#REF!</v>
      </c>
      <c r="Y895" t="e">
        <f>IF(#REF! &lt;= 3, "Low Charges", "High Charges")</f>
        <v>#REF!</v>
      </c>
      <c r="Z895" t="e">
        <f>IF(#REF!&lt;=80,"Low Calls",
IF(#REF!&lt;=120,"Medium Calls","High Calls"))</f>
        <v>#REF!</v>
      </c>
      <c r="AA895" t="e">
        <f>IF(#REF!&lt;=15,"Low Charges",
IF(#REF!&lt;=20,"Medium Charges","High Charges"))</f>
        <v>#REF!</v>
      </c>
      <c r="AB895" t="e">
        <f>IF(AND(#REF!&gt;180, #REF!&gt;200), "Heavy Doemstic User", IF(#REF!&gt;10, "Interntional User", IF(AND(#REF!&lt;180, #REF!&lt;200,#REF!&lt;200), "Light User", "Balanced User")))</f>
        <v>#REF!</v>
      </c>
      <c r="AC895" t="e">
        <f>IF(#REF! = 0, "No Usage", IF(#REF! &lt;= 20, "Low Usage", IF(#REF! &lt;= 40, "Medium Usgae", "High Usage")))</f>
        <v>#REF!</v>
      </c>
      <c r="AD895" t="e">
        <f>IF(#REF!&lt;=150,"Low Usage", IF(#REF!&lt;=200,"Medium Usage", IF(#REF!&lt;=250,"High Usage","Very High Usage")))</f>
        <v>#REF!</v>
      </c>
      <c r="AE895" t="e">
        <f>IF(#REF!&lt;=5,"Low Calls", IF(#REF!&lt;=10, "Medium Calls", "High Calls"))</f>
        <v>#REF!</v>
      </c>
      <c r="AF895" t="e">
        <f xml:space="preserve">
IF(#REF!&gt;=4,4,0)+
IF(#REF!="yes",3,0)+
IF(#REF!="High Charges",3,0)+
IF(#REF!&gt;250,4,0)+
IF(#REF!="no",1,0)+
IF(#REF!="Heavy Domestic User",2,0)</f>
        <v>#REF!</v>
      </c>
      <c r="AG895" t="e">
        <f>IF(#REF!&gt;=10,"High Risk", IF(#REF!&gt;=5,"Medium Risk","Low Risk"))</f>
        <v>#REF!</v>
      </c>
      <c r="AH895" t="e">
        <f>#REF! + #REF! + #REF! + #REF!</f>
        <v>#REF!</v>
      </c>
    </row>
    <row r="896" spans="1:34" x14ac:dyDescent="0.35">
      <c r="A896">
        <v>895</v>
      </c>
      <c r="B896" t="s">
        <v>30</v>
      </c>
      <c r="C896">
        <v>118</v>
      </c>
      <c r="D896" t="s">
        <v>25</v>
      </c>
      <c r="E896" t="s">
        <v>22</v>
      </c>
      <c r="F896" t="s">
        <v>22</v>
      </c>
      <c r="G896">
        <v>0</v>
      </c>
      <c r="H896">
        <v>187.4</v>
      </c>
      <c r="I896">
        <v>97</v>
      </c>
      <c r="J896">
        <v>31.86</v>
      </c>
      <c r="K896">
        <v>177.8</v>
      </c>
      <c r="L896">
        <v>89</v>
      </c>
      <c r="M896">
        <v>15.11</v>
      </c>
      <c r="N896">
        <v>233.4</v>
      </c>
      <c r="O896">
        <v>97</v>
      </c>
      <c r="P896">
        <v>10.5</v>
      </c>
      <c r="Q896">
        <v>12.2</v>
      </c>
      <c r="R896">
        <v>6</v>
      </c>
      <c r="S896">
        <v>3.29</v>
      </c>
      <c r="T896">
        <v>1</v>
      </c>
      <c r="U896" t="s">
        <v>22</v>
      </c>
      <c r="V896" t="e">
        <f>IF(#REF! = "yes", 1, 0)</f>
        <v>#REF!</v>
      </c>
      <c r="W896" t="e">
        <f>IF(#REF! &lt;= 1, "0-1 Calls", IF(#REF! &lt;= 3, "2-3 Calls", IF(#REF! &lt;=5, "4-5 Calls", "6+ Calls")))</f>
        <v>#REF!</v>
      </c>
      <c r="X896" t="e">
        <f>IF(#REF! &lt;= 50, "0-50", IF(#REF! &lt;=100, "51-100", IF(#REF! &lt;= 150, "101-150", "151+")))</f>
        <v>#REF!</v>
      </c>
      <c r="Y896" t="e">
        <f>IF(#REF! &lt;= 3, "Low Charges", "High Charges")</f>
        <v>#REF!</v>
      </c>
      <c r="Z896" t="e">
        <f>IF(#REF!&lt;=80,"Low Calls",
IF(#REF!&lt;=120,"Medium Calls","High Calls"))</f>
        <v>#REF!</v>
      </c>
      <c r="AA896" t="e">
        <f>IF(#REF!&lt;=15,"Low Charges",
IF(#REF!&lt;=20,"Medium Charges","High Charges"))</f>
        <v>#REF!</v>
      </c>
      <c r="AB896" t="e">
        <f>IF(AND(#REF!&gt;180, #REF!&gt;200), "Heavy Doemstic User", IF(#REF!&gt;10, "Interntional User", IF(AND(#REF!&lt;180, #REF!&lt;200,#REF!&lt;200), "Light User", "Balanced User")))</f>
        <v>#REF!</v>
      </c>
      <c r="AC896" t="e">
        <f>IF(#REF! = 0, "No Usage", IF(#REF! &lt;= 20, "Low Usage", IF(#REF! &lt;= 40, "Medium Usgae", "High Usage")))</f>
        <v>#REF!</v>
      </c>
      <c r="AD896" t="e">
        <f>IF(#REF!&lt;=150,"Low Usage", IF(#REF!&lt;=200,"Medium Usage", IF(#REF!&lt;=250,"High Usage","Very High Usage")))</f>
        <v>#REF!</v>
      </c>
      <c r="AE896" t="e">
        <f>IF(#REF!&lt;=5,"Low Calls", IF(#REF!&lt;=10, "Medium Calls", "High Calls"))</f>
        <v>#REF!</v>
      </c>
      <c r="AF896" t="e">
        <f xml:space="preserve">
IF(#REF!&gt;=4,4,0)+
IF(#REF!="yes",3,0)+
IF(#REF!="High Charges",3,0)+
IF(#REF!&gt;250,4,0)+
IF(#REF!="no",1,0)+
IF(#REF!="Heavy Domestic User",2,0)</f>
        <v>#REF!</v>
      </c>
      <c r="AG896" t="e">
        <f>IF(#REF!&gt;=10,"High Risk", IF(#REF!&gt;=5,"Medium Risk","Low Risk"))</f>
        <v>#REF!</v>
      </c>
      <c r="AH896" t="e">
        <f>#REF! + #REF! + #REF! + #REF!</f>
        <v>#REF!</v>
      </c>
    </row>
    <row r="897" spans="1:34" x14ac:dyDescent="0.35">
      <c r="A897">
        <v>896</v>
      </c>
      <c r="B897" t="s">
        <v>62</v>
      </c>
      <c r="C897">
        <v>22</v>
      </c>
      <c r="D897" t="s">
        <v>28</v>
      </c>
      <c r="E897" t="s">
        <v>22</v>
      </c>
      <c r="F897" t="s">
        <v>22</v>
      </c>
      <c r="G897">
        <v>0</v>
      </c>
      <c r="H897">
        <v>160.4</v>
      </c>
      <c r="I897">
        <v>108</v>
      </c>
      <c r="J897">
        <v>27.27</v>
      </c>
      <c r="K897">
        <v>218.1</v>
      </c>
      <c r="L897">
        <v>88</v>
      </c>
      <c r="M897">
        <v>18.54</v>
      </c>
      <c r="N897">
        <v>192.9</v>
      </c>
      <c r="O897">
        <v>115</v>
      </c>
      <c r="P897">
        <v>8.68</v>
      </c>
      <c r="Q897">
        <v>12.5</v>
      </c>
      <c r="R897">
        <v>4</v>
      </c>
      <c r="S897">
        <v>3.38</v>
      </c>
      <c r="T897">
        <v>1</v>
      </c>
      <c r="U897" t="s">
        <v>22</v>
      </c>
      <c r="V897" t="e">
        <f>IF(#REF! = "yes", 1, 0)</f>
        <v>#REF!</v>
      </c>
      <c r="W897" t="e">
        <f>IF(#REF! &lt;= 1, "0-1 Calls", IF(#REF! &lt;= 3, "2-3 Calls", IF(#REF! &lt;=5, "4-5 Calls", "6+ Calls")))</f>
        <v>#REF!</v>
      </c>
      <c r="X897" t="e">
        <f>IF(#REF! &lt;= 50, "0-50", IF(#REF! &lt;=100, "51-100", IF(#REF! &lt;= 150, "101-150", "151+")))</f>
        <v>#REF!</v>
      </c>
      <c r="Y897" t="e">
        <f>IF(#REF! &lt;= 3, "Low Charges", "High Charges")</f>
        <v>#REF!</v>
      </c>
      <c r="Z897" t="e">
        <f>IF(#REF!&lt;=80,"Low Calls",
IF(#REF!&lt;=120,"Medium Calls","High Calls"))</f>
        <v>#REF!</v>
      </c>
      <c r="AA897" t="e">
        <f>IF(#REF!&lt;=15,"Low Charges",
IF(#REF!&lt;=20,"Medium Charges","High Charges"))</f>
        <v>#REF!</v>
      </c>
      <c r="AB897" t="e">
        <f>IF(AND(#REF!&gt;180, #REF!&gt;200), "Heavy Doemstic User", IF(#REF!&gt;10, "Interntional User", IF(AND(#REF!&lt;180, #REF!&lt;200,#REF!&lt;200), "Light User", "Balanced User")))</f>
        <v>#REF!</v>
      </c>
      <c r="AC897" t="e">
        <f>IF(#REF! = 0, "No Usage", IF(#REF! &lt;= 20, "Low Usage", IF(#REF! &lt;= 40, "Medium Usgae", "High Usage")))</f>
        <v>#REF!</v>
      </c>
      <c r="AD897" t="e">
        <f>IF(#REF!&lt;=150,"Low Usage", IF(#REF!&lt;=200,"Medium Usage", IF(#REF!&lt;=250,"High Usage","Very High Usage")))</f>
        <v>#REF!</v>
      </c>
      <c r="AE897" t="e">
        <f>IF(#REF!&lt;=5,"Low Calls", IF(#REF!&lt;=10, "Medium Calls", "High Calls"))</f>
        <v>#REF!</v>
      </c>
      <c r="AF897" t="e">
        <f xml:space="preserve">
IF(#REF!&gt;=4,4,0)+
IF(#REF!="yes",3,0)+
IF(#REF!="High Charges",3,0)+
IF(#REF!&gt;250,4,0)+
IF(#REF!="no",1,0)+
IF(#REF!="Heavy Domestic User",2,0)</f>
        <v>#REF!</v>
      </c>
      <c r="AG897" t="e">
        <f>IF(#REF!&gt;=10,"High Risk", IF(#REF!&gt;=5,"Medium Risk","Low Risk"))</f>
        <v>#REF!</v>
      </c>
      <c r="AH897" t="e">
        <f>#REF! + #REF! + #REF! + #REF!</f>
        <v>#REF!</v>
      </c>
    </row>
    <row r="898" spans="1:34" x14ac:dyDescent="0.35">
      <c r="A898">
        <v>897</v>
      </c>
      <c r="B898" t="s">
        <v>73</v>
      </c>
      <c r="C898">
        <v>134</v>
      </c>
      <c r="D898" t="s">
        <v>25</v>
      </c>
      <c r="E898" t="s">
        <v>22</v>
      </c>
      <c r="F898" t="s">
        <v>22</v>
      </c>
      <c r="G898">
        <v>0</v>
      </c>
      <c r="H898">
        <v>205.3</v>
      </c>
      <c r="I898">
        <v>122</v>
      </c>
      <c r="J898">
        <v>34.9</v>
      </c>
      <c r="K898">
        <v>240.5</v>
      </c>
      <c r="L898">
        <v>155</v>
      </c>
      <c r="M898">
        <v>20.440000000000001</v>
      </c>
      <c r="N898">
        <v>179.1</v>
      </c>
      <c r="O898">
        <v>107</v>
      </c>
      <c r="P898">
        <v>8.06</v>
      </c>
      <c r="Q898">
        <v>5</v>
      </c>
      <c r="R898">
        <v>9</v>
      </c>
      <c r="S898">
        <v>1.35</v>
      </c>
      <c r="T898">
        <v>1</v>
      </c>
      <c r="U898" t="s">
        <v>22</v>
      </c>
      <c r="V898" t="e">
        <f>IF(#REF! = "yes", 1, 0)</f>
        <v>#REF!</v>
      </c>
      <c r="W898" t="e">
        <f>IF(#REF! &lt;= 1, "0-1 Calls", IF(#REF! &lt;= 3, "2-3 Calls", IF(#REF! &lt;=5, "4-5 Calls", "6+ Calls")))</f>
        <v>#REF!</v>
      </c>
      <c r="X898" t="e">
        <f>IF(#REF! &lt;= 50, "0-50", IF(#REF! &lt;=100, "51-100", IF(#REF! &lt;= 150, "101-150", "151+")))</f>
        <v>#REF!</v>
      </c>
      <c r="Y898" t="e">
        <f>IF(#REF! &lt;= 3, "Low Charges", "High Charges")</f>
        <v>#REF!</v>
      </c>
      <c r="Z898" t="e">
        <f>IF(#REF!&lt;=80,"Low Calls",
IF(#REF!&lt;=120,"Medium Calls","High Calls"))</f>
        <v>#REF!</v>
      </c>
      <c r="AA898" t="e">
        <f>IF(#REF!&lt;=15,"Low Charges",
IF(#REF!&lt;=20,"Medium Charges","High Charges"))</f>
        <v>#REF!</v>
      </c>
      <c r="AB898" t="e">
        <f>IF(AND(#REF!&gt;180, #REF!&gt;200), "Heavy Doemstic User", IF(#REF!&gt;10, "Interntional User", IF(AND(#REF!&lt;180, #REF!&lt;200,#REF!&lt;200), "Light User", "Balanced User")))</f>
        <v>#REF!</v>
      </c>
      <c r="AC898" t="e">
        <f>IF(#REF! = 0, "No Usage", IF(#REF! &lt;= 20, "Low Usage", IF(#REF! &lt;= 40, "Medium Usgae", "High Usage")))</f>
        <v>#REF!</v>
      </c>
      <c r="AD898" t="e">
        <f>IF(#REF!&lt;=150,"Low Usage", IF(#REF!&lt;=200,"Medium Usage", IF(#REF!&lt;=250,"High Usage","Very High Usage")))</f>
        <v>#REF!</v>
      </c>
      <c r="AE898" t="e">
        <f>IF(#REF!&lt;=5,"Low Calls", IF(#REF!&lt;=10, "Medium Calls", "High Calls"))</f>
        <v>#REF!</v>
      </c>
      <c r="AF898" t="e">
        <f xml:space="preserve">
IF(#REF!&gt;=4,4,0)+
IF(#REF!="yes",3,0)+
IF(#REF!="High Charges",3,0)+
IF(#REF!&gt;250,4,0)+
IF(#REF!="no",1,0)+
IF(#REF!="Heavy Domestic User",2,0)</f>
        <v>#REF!</v>
      </c>
      <c r="AG898" t="e">
        <f>IF(#REF!&gt;=10,"High Risk", IF(#REF!&gt;=5,"Medium Risk","Low Risk"))</f>
        <v>#REF!</v>
      </c>
      <c r="AH898" t="e">
        <f>#REF! + #REF! + #REF! + #REF!</f>
        <v>#REF!</v>
      </c>
    </row>
    <row r="899" spans="1:34" x14ac:dyDescent="0.35">
      <c r="A899">
        <v>898</v>
      </c>
      <c r="B899" t="s">
        <v>29</v>
      </c>
      <c r="C899">
        <v>164</v>
      </c>
      <c r="D899" t="s">
        <v>25</v>
      </c>
      <c r="E899" t="s">
        <v>22</v>
      </c>
      <c r="F899" t="s">
        <v>23</v>
      </c>
      <c r="G899">
        <v>25</v>
      </c>
      <c r="H899">
        <v>219.1</v>
      </c>
      <c r="I899">
        <v>88</v>
      </c>
      <c r="J899">
        <v>37.25</v>
      </c>
      <c r="K899">
        <v>151.5</v>
      </c>
      <c r="L899">
        <v>99</v>
      </c>
      <c r="M899">
        <v>12.88</v>
      </c>
      <c r="N899">
        <v>50.1</v>
      </c>
      <c r="O899">
        <v>60</v>
      </c>
      <c r="P899">
        <v>2.25</v>
      </c>
      <c r="Q899">
        <v>14.3</v>
      </c>
      <c r="R899">
        <v>6</v>
      </c>
      <c r="S899">
        <v>3.86</v>
      </c>
      <c r="T899">
        <v>1</v>
      </c>
      <c r="U899" t="s">
        <v>22</v>
      </c>
      <c r="V899" t="e">
        <f>IF(#REF! = "yes", 1, 0)</f>
        <v>#REF!</v>
      </c>
      <c r="W899" t="e">
        <f>IF(#REF! &lt;= 1, "0-1 Calls", IF(#REF! &lt;= 3, "2-3 Calls", IF(#REF! &lt;=5, "4-5 Calls", "6+ Calls")))</f>
        <v>#REF!</v>
      </c>
      <c r="X899" t="e">
        <f>IF(#REF! &lt;= 50, "0-50", IF(#REF! &lt;=100, "51-100", IF(#REF! &lt;= 150, "101-150", "151+")))</f>
        <v>#REF!</v>
      </c>
      <c r="Y899" t="e">
        <f>IF(#REF! &lt;= 3, "Low Charges", "High Charges")</f>
        <v>#REF!</v>
      </c>
      <c r="Z899" t="e">
        <f>IF(#REF!&lt;=80,"Low Calls",
IF(#REF!&lt;=120,"Medium Calls","High Calls"))</f>
        <v>#REF!</v>
      </c>
      <c r="AA899" t="e">
        <f>IF(#REF!&lt;=15,"Low Charges",
IF(#REF!&lt;=20,"Medium Charges","High Charges"))</f>
        <v>#REF!</v>
      </c>
      <c r="AB899" t="e">
        <f>IF(AND(#REF!&gt;180, #REF!&gt;200), "Heavy Doemstic User", IF(#REF!&gt;10, "Interntional User", IF(AND(#REF!&lt;180, #REF!&lt;200,#REF!&lt;200), "Light User", "Balanced User")))</f>
        <v>#REF!</v>
      </c>
      <c r="AC899" t="e">
        <f>IF(#REF! = 0, "No Usage", IF(#REF! &lt;= 20, "Low Usage", IF(#REF! &lt;= 40, "Medium Usgae", "High Usage")))</f>
        <v>#REF!</v>
      </c>
      <c r="AD899" t="e">
        <f>IF(#REF!&lt;=150,"Low Usage", IF(#REF!&lt;=200,"Medium Usage", IF(#REF!&lt;=250,"High Usage","Very High Usage")))</f>
        <v>#REF!</v>
      </c>
      <c r="AE899" t="e">
        <f>IF(#REF!&lt;=5,"Low Calls", IF(#REF!&lt;=10, "Medium Calls", "High Calls"))</f>
        <v>#REF!</v>
      </c>
      <c r="AF899" t="e">
        <f xml:space="preserve">
IF(#REF!&gt;=4,4,0)+
IF(#REF!="yes",3,0)+
IF(#REF!="High Charges",3,0)+
IF(#REF!&gt;250,4,0)+
IF(#REF!="no",1,0)+
IF(#REF!="Heavy Domestic User",2,0)</f>
        <v>#REF!</v>
      </c>
      <c r="AG899" t="e">
        <f>IF(#REF!&gt;=10,"High Risk", IF(#REF!&gt;=5,"Medium Risk","Low Risk"))</f>
        <v>#REF!</v>
      </c>
      <c r="AH899" t="e">
        <f>#REF! + #REF! + #REF! + #REF!</f>
        <v>#REF!</v>
      </c>
    </row>
    <row r="900" spans="1:34" x14ac:dyDescent="0.35">
      <c r="A900">
        <v>899</v>
      </c>
      <c r="B900" t="s">
        <v>66</v>
      </c>
      <c r="C900">
        <v>177</v>
      </c>
      <c r="D900" t="s">
        <v>21</v>
      </c>
      <c r="E900" t="s">
        <v>22</v>
      </c>
      <c r="F900" t="s">
        <v>22</v>
      </c>
      <c r="G900">
        <v>0</v>
      </c>
      <c r="H900">
        <v>232.8</v>
      </c>
      <c r="I900">
        <v>106</v>
      </c>
      <c r="J900">
        <v>39.58</v>
      </c>
      <c r="K900">
        <v>175.2</v>
      </c>
      <c r="L900">
        <v>97</v>
      </c>
      <c r="M900">
        <v>14.89</v>
      </c>
      <c r="N900">
        <v>212.2</v>
      </c>
      <c r="O900">
        <v>77</v>
      </c>
      <c r="P900">
        <v>9.5500000000000007</v>
      </c>
      <c r="Q900">
        <v>12.5</v>
      </c>
      <c r="R900">
        <v>7</v>
      </c>
      <c r="S900">
        <v>3.38</v>
      </c>
      <c r="T900">
        <v>2</v>
      </c>
      <c r="U900" t="s">
        <v>22</v>
      </c>
      <c r="V900" t="e">
        <f>IF(#REF! = "yes", 1, 0)</f>
        <v>#REF!</v>
      </c>
      <c r="W900" t="e">
        <f>IF(#REF! &lt;= 1, "0-1 Calls", IF(#REF! &lt;= 3, "2-3 Calls", IF(#REF! &lt;=5, "4-5 Calls", "6+ Calls")))</f>
        <v>#REF!</v>
      </c>
      <c r="X900" t="e">
        <f>IF(#REF! &lt;= 50, "0-50", IF(#REF! &lt;=100, "51-100", IF(#REF! &lt;= 150, "101-150", "151+")))</f>
        <v>#REF!</v>
      </c>
      <c r="Y900" t="e">
        <f>IF(#REF! &lt;= 3, "Low Charges", "High Charges")</f>
        <v>#REF!</v>
      </c>
      <c r="Z900" t="e">
        <f>IF(#REF!&lt;=80,"Low Calls",
IF(#REF!&lt;=120,"Medium Calls","High Calls"))</f>
        <v>#REF!</v>
      </c>
      <c r="AA900" t="e">
        <f>IF(#REF!&lt;=15,"Low Charges",
IF(#REF!&lt;=20,"Medium Charges","High Charges"))</f>
        <v>#REF!</v>
      </c>
      <c r="AB900" t="e">
        <f>IF(AND(#REF!&gt;180, #REF!&gt;200), "Heavy Doemstic User", IF(#REF!&gt;10, "Interntional User", IF(AND(#REF!&lt;180, #REF!&lt;200,#REF!&lt;200), "Light User", "Balanced User")))</f>
        <v>#REF!</v>
      </c>
      <c r="AC900" t="e">
        <f>IF(#REF! = 0, "No Usage", IF(#REF! &lt;= 20, "Low Usage", IF(#REF! &lt;= 40, "Medium Usgae", "High Usage")))</f>
        <v>#REF!</v>
      </c>
      <c r="AD900" t="e">
        <f>IF(#REF!&lt;=150,"Low Usage", IF(#REF!&lt;=200,"Medium Usage", IF(#REF!&lt;=250,"High Usage","Very High Usage")))</f>
        <v>#REF!</v>
      </c>
      <c r="AE900" t="e">
        <f>IF(#REF!&lt;=5,"Low Calls", IF(#REF!&lt;=10, "Medium Calls", "High Calls"))</f>
        <v>#REF!</v>
      </c>
      <c r="AF900" t="e">
        <f xml:space="preserve">
IF(#REF!&gt;=4,4,0)+
IF(#REF!="yes",3,0)+
IF(#REF!="High Charges",3,0)+
IF(#REF!&gt;250,4,0)+
IF(#REF!="no",1,0)+
IF(#REF!="Heavy Domestic User",2,0)</f>
        <v>#REF!</v>
      </c>
      <c r="AG900" t="e">
        <f>IF(#REF!&gt;=10,"High Risk", IF(#REF!&gt;=5,"Medium Risk","Low Risk"))</f>
        <v>#REF!</v>
      </c>
      <c r="AH900" t="e">
        <f>#REF! + #REF! + #REF! + #REF!</f>
        <v>#REF!</v>
      </c>
    </row>
    <row r="901" spans="1:34" x14ac:dyDescent="0.35">
      <c r="A901">
        <v>900</v>
      </c>
      <c r="B901" t="s">
        <v>46</v>
      </c>
      <c r="C901">
        <v>110</v>
      </c>
      <c r="D901" t="s">
        <v>25</v>
      </c>
      <c r="E901" t="s">
        <v>22</v>
      </c>
      <c r="F901" t="s">
        <v>22</v>
      </c>
      <c r="G901">
        <v>0</v>
      </c>
      <c r="H901">
        <v>162</v>
      </c>
      <c r="I901">
        <v>81</v>
      </c>
      <c r="J901">
        <v>27.54</v>
      </c>
      <c r="K901">
        <v>247.5</v>
      </c>
      <c r="L901">
        <v>89</v>
      </c>
      <c r="M901">
        <v>21.04</v>
      </c>
      <c r="N901">
        <v>155.5</v>
      </c>
      <c r="O901">
        <v>99</v>
      </c>
      <c r="P901">
        <v>7</v>
      </c>
      <c r="Q901">
        <v>8.9</v>
      </c>
      <c r="R901">
        <v>8</v>
      </c>
      <c r="S901">
        <v>2.4</v>
      </c>
      <c r="T901">
        <v>0</v>
      </c>
      <c r="U901" t="s">
        <v>22</v>
      </c>
      <c r="V901" t="e">
        <f>IF(#REF! = "yes", 1, 0)</f>
        <v>#REF!</v>
      </c>
      <c r="W901" t="e">
        <f>IF(#REF! &lt;= 1, "0-1 Calls", IF(#REF! &lt;= 3, "2-3 Calls", IF(#REF! &lt;=5, "4-5 Calls", "6+ Calls")))</f>
        <v>#REF!</v>
      </c>
      <c r="X901" t="e">
        <f>IF(#REF! &lt;= 50, "0-50", IF(#REF! &lt;=100, "51-100", IF(#REF! &lt;= 150, "101-150", "151+")))</f>
        <v>#REF!</v>
      </c>
      <c r="Y901" t="e">
        <f>IF(#REF! &lt;= 3, "Low Charges", "High Charges")</f>
        <v>#REF!</v>
      </c>
      <c r="Z901" t="e">
        <f>IF(#REF!&lt;=80,"Low Calls",
IF(#REF!&lt;=120,"Medium Calls","High Calls"))</f>
        <v>#REF!</v>
      </c>
      <c r="AA901" t="e">
        <f>IF(#REF!&lt;=15,"Low Charges",
IF(#REF!&lt;=20,"Medium Charges","High Charges"))</f>
        <v>#REF!</v>
      </c>
      <c r="AB901" t="e">
        <f>IF(AND(#REF!&gt;180, #REF!&gt;200), "Heavy Doemstic User", IF(#REF!&gt;10, "Interntional User", IF(AND(#REF!&lt;180, #REF!&lt;200,#REF!&lt;200), "Light User", "Balanced User")))</f>
        <v>#REF!</v>
      </c>
      <c r="AC901" t="e">
        <f>IF(#REF! = 0, "No Usage", IF(#REF! &lt;= 20, "Low Usage", IF(#REF! &lt;= 40, "Medium Usgae", "High Usage")))</f>
        <v>#REF!</v>
      </c>
      <c r="AD901" t="e">
        <f>IF(#REF!&lt;=150,"Low Usage", IF(#REF!&lt;=200,"Medium Usage", IF(#REF!&lt;=250,"High Usage","Very High Usage")))</f>
        <v>#REF!</v>
      </c>
      <c r="AE901" t="e">
        <f>IF(#REF!&lt;=5,"Low Calls", IF(#REF!&lt;=10, "Medium Calls", "High Calls"))</f>
        <v>#REF!</v>
      </c>
      <c r="AF901" t="e">
        <f xml:space="preserve">
IF(#REF!&gt;=4,4,0)+
IF(#REF!="yes",3,0)+
IF(#REF!="High Charges",3,0)+
IF(#REF!&gt;250,4,0)+
IF(#REF!="no",1,0)+
IF(#REF!="Heavy Domestic User",2,0)</f>
        <v>#REF!</v>
      </c>
      <c r="AG901" t="e">
        <f>IF(#REF!&gt;=10,"High Risk", IF(#REF!&gt;=5,"Medium Risk","Low Risk"))</f>
        <v>#REF!</v>
      </c>
      <c r="AH901" t="e">
        <f>#REF! + #REF! + #REF! + #REF!</f>
        <v>#REF!</v>
      </c>
    </row>
    <row r="902" spans="1:34" x14ac:dyDescent="0.35">
      <c r="A902">
        <v>901</v>
      </c>
      <c r="B902" t="s">
        <v>44</v>
      </c>
      <c r="C902">
        <v>53</v>
      </c>
      <c r="D902" t="s">
        <v>21</v>
      </c>
      <c r="E902" t="s">
        <v>22</v>
      </c>
      <c r="F902" t="s">
        <v>23</v>
      </c>
      <c r="G902">
        <v>27</v>
      </c>
      <c r="H902">
        <v>25.9</v>
      </c>
      <c r="I902">
        <v>119</v>
      </c>
      <c r="J902">
        <v>4.4000000000000004</v>
      </c>
      <c r="K902">
        <v>206.5</v>
      </c>
      <c r="L902">
        <v>96</v>
      </c>
      <c r="M902">
        <v>17.55</v>
      </c>
      <c r="N902">
        <v>228.1</v>
      </c>
      <c r="O902">
        <v>64</v>
      </c>
      <c r="P902">
        <v>10.26</v>
      </c>
      <c r="Q902">
        <v>6.5</v>
      </c>
      <c r="R902">
        <v>7</v>
      </c>
      <c r="S902">
        <v>1.76</v>
      </c>
      <c r="T902">
        <v>1</v>
      </c>
      <c r="U902" t="s">
        <v>22</v>
      </c>
      <c r="V902" t="e">
        <f>IF(#REF! = "yes", 1, 0)</f>
        <v>#REF!</v>
      </c>
      <c r="W902" t="e">
        <f>IF(#REF! &lt;= 1, "0-1 Calls", IF(#REF! &lt;= 3, "2-3 Calls", IF(#REF! &lt;=5, "4-5 Calls", "6+ Calls")))</f>
        <v>#REF!</v>
      </c>
      <c r="X902" t="e">
        <f>IF(#REF! &lt;= 50, "0-50", IF(#REF! &lt;=100, "51-100", IF(#REF! &lt;= 150, "101-150", "151+")))</f>
        <v>#REF!</v>
      </c>
      <c r="Y902" t="e">
        <f>IF(#REF! &lt;= 3, "Low Charges", "High Charges")</f>
        <v>#REF!</v>
      </c>
      <c r="Z902" t="e">
        <f>IF(#REF!&lt;=80,"Low Calls",
IF(#REF!&lt;=120,"Medium Calls","High Calls"))</f>
        <v>#REF!</v>
      </c>
      <c r="AA902" t="e">
        <f>IF(#REF!&lt;=15,"Low Charges",
IF(#REF!&lt;=20,"Medium Charges","High Charges"))</f>
        <v>#REF!</v>
      </c>
      <c r="AB902" t="e">
        <f>IF(AND(#REF!&gt;180, #REF!&gt;200), "Heavy Doemstic User", IF(#REF!&gt;10, "Interntional User", IF(AND(#REF!&lt;180, #REF!&lt;200,#REF!&lt;200), "Light User", "Balanced User")))</f>
        <v>#REF!</v>
      </c>
      <c r="AC902" t="e">
        <f>IF(#REF! = 0, "No Usage", IF(#REF! &lt;= 20, "Low Usage", IF(#REF! &lt;= 40, "Medium Usgae", "High Usage")))</f>
        <v>#REF!</v>
      </c>
      <c r="AD902" t="e">
        <f>IF(#REF!&lt;=150,"Low Usage", IF(#REF!&lt;=200,"Medium Usage", IF(#REF!&lt;=250,"High Usage","Very High Usage")))</f>
        <v>#REF!</v>
      </c>
      <c r="AE902" t="e">
        <f>IF(#REF!&lt;=5,"Low Calls", IF(#REF!&lt;=10, "Medium Calls", "High Calls"))</f>
        <v>#REF!</v>
      </c>
      <c r="AF902" t="e">
        <f xml:space="preserve">
IF(#REF!&gt;=4,4,0)+
IF(#REF!="yes",3,0)+
IF(#REF!="High Charges",3,0)+
IF(#REF!&gt;250,4,0)+
IF(#REF!="no",1,0)+
IF(#REF!="Heavy Domestic User",2,0)</f>
        <v>#REF!</v>
      </c>
      <c r="AG902" t="e">
        <f>IF(#REF!&gt;=10,"High Risk", IF(#REF!&gt;=5,"Medium Risk","Low Risk"))</f>
        <v>#REF!</v>
      </c>
      <c r="AH902" t="e">
        <f>#REF! + #REF! + #REF! + #REF!</f>
        <v>#REF!</v>
      </c>
    </row>
    <row r="903" spans="1:34" x14ac:dyDescent="0.35">
      <c r="A903">
        <v>902</v>
      </c>
      <c r="B903" t="s">
        <v>66</v>
      </c>
      <c r="C903">
        <v>80</v>
      </c>
      <c r="D903" t="s">
        <v>25</v>
      </c>
      <c r="E903" t="s">
        <v>22</v>
      </c>
      <c r="F903" t="s">
        <v>22</v>
      </c>
      <c r="G903">
        <v>0</v>
      </c>
      <c r="H903">
        <v>322.3</v>
      </c>
      <c r="I903">
        <v>113</v>
      </c>
      <c r="J903">
        <v>54.79</v>
      </c>
      <c r="K903">
        <v>222</v>
      </c>
      <c r="L903">
        <v>95</v>
      </c>
      <c r="M903">
        <v>18.87</v>
      </c>
      <c r="N903">
        <v>162.80000000000001</v>
      </c>
      <c r="O903">
        <v>123</v>
      </c>
      <c r="P903">
        <v>7.33</v>
      </c>
      <c r="Q903">
        <v>6.7</v>
      </c>
      <c r="R903">
        <v>8</v>
      </c>
      <c r="S903">
        <v>1.81</v>
      </c>
      <c r="T903">
        <v>0</v>
      </c>
      <c r="U903" t="s">
        <v>23</v>
      </c>
      <c r="V903" t="e">
        <f>IF(#REF! = "yes", 1, 0)</f>
        <v>#REF!</v>
      </c>
      <c r="W903" t="e">
        <f>IF(#REF! &lt;= 1, "0-1 Calls", IF(#REF! &lt;= 3, "2-3 Calls", IF(#REF! &lt;=5, "4-5 Calls", "6+ Calls")))</f>
        <v>#REF!</v>
      </c>
      <c r="X903" t="e">
        <f>IF(#REF! &lt;= 50, "0-50", IF(#REF! &lt;=100, "51-100", IF(#REF! &lt;= 150, "101-150", "151+")))</f>
        <v>#REF!</v>
      </c>
      <c r="Y903" t="e">
        <f>IF(#REF! &lt;= 3, "Low Charges", "High Charges")</f>
        <v>#REF!</v>
      </c>
      <c r="Z903" t="e">
        <f>IF(#REF!&lt;=80,"Low Calls",
IF(#REF!&lt;=120,"Medium Calls","High Calls"))</f>
        <v>#REF!</v>
      </c>
      <c r="AA903" t="e">
        <f>IF(#REF!&lt;=15,"Low Charges",
IF(#REF!&lt;=20,"Medium Charges","High Charges"))</f>
        <v>#REF!</v>
      </c>
      <c r="AB903" t="e">
        <f>IF(AND(#REF!&gt;180, #REF!&gt;200), "Heavy Doemstic User", IF(#REF!&gt;10, "Interntional User", IF(AND(#REF!&lt;180, #REF!&lt;200,#REF!&lt;200), "Light User", "Balanced User")))</f>
        <v>#REF!</v>
      </c>
      <c r="AC903" t="e">
        <f>IF(#REF! = 0, "No Usage", IF(#REF! &lt;= 20, "Low Usage", IF(#REF! &lt;= 40, "Medium Usgae", "High Usage")))</f>
        <v>#REF!</v>
      </c>
      <c r="AD903" t="e">
        <f>IF(#REF!&lt;=150,"Low Usage", IF(#REF!&lt;=200,"Medium Usage", IF(#REF!&lt;=250,"High Usage","Very High Usage")))</f>
        <v>#REF!</v>
      </c>
      <c r="AE903" t="e">
        <f>IF(#REF!&lt;=5,"Low Calls", IF(#REF!&lt;=10, "Medium Calls", "High Calls"))</f>
        <v>#REF!</v>
      </c>
      <c r="AF903" t="e">
        <f xml:space="preserve">
IF(#REF!&gt;=4,4,0)+
IF(#REF!="yes",3,0)+
IF(#REF!="High Charges",3,0)+
IF(#REF!&gt;250,4,0)+
IF(#REF!="no",1,0)+
IF(#REF!="Heavy Domestic User",2,0)</f>
        <v>#REF!</v>
      </c>
      <c r="AG903" t="e">
        <f>IF(#REF!&gt;=10,"High Risk", IF(#REF!&gt;=5,"Medium Risk","Low Risk"))</f>
        <v>#REF!</v>
      </c>
      <c r="AH903" t="e">
        <f>#REF! + #REF! + #REF! + #REF!</f>
        <v>#REF!</v>
      </c>
    </row>
    <row r="904" spans="1:34" x14ac:dyDescent="0.35">
      <c r="A904">
        <v>903</v>
      </c>
      <c r="B904" t="s">
        <v>60</v>
      </c>
      <c r="C904">
        <v>158</v>
      </c>
      <c r="D904" t="s">
        <v>25</v>
      </c>
      <c r="E904" t="s">
        <v>22</v>
      </c>
      <c r="F904" t="s">
        <v>22</v>
      </c>
      <c r="G904">
        <v>0</v>
      </c>
      <c r="H904">
        <v>209.9</v>
      </c>
      <c r="I904">
        <v>112</v>
      </c>
      <c r="J904">
        <v>35.68</v>
      </c>
      <c r="K904">
        <v>221.3</v>
      </c>
      <c r="L904">
        <v>82</v>
      </c>
      <c r="M904">
        <v>18.809999999999999</v>
      </c>
      <c r="N904">
        <v>210</v>
      </c>
      <c r="O904">
        <v>93</v>
      </c>
      <c r="P904">
        <v>9.4499999999999993</v>
      </c>
      <c r="Q904">
        <v>8.1999999999999993</v>
      </c>
      <c r="R904">
        <v>3</v>
      </c>
      <c r="S904">
        <v>2.21</v>
      </c>
      <c r="T904">
        <v>1</v>
      </c>
      <c r="U904" t="s">
        <v>22</v>
      </c>
      <c r="V904" t="e">
        <f>IF(#REF! = "yes", 1, 0)</f>
        <v>#REF!</v>
      </c>
      <c r="W904" t="e">
        <f>IF(#REF! &lt;= 1, "0-1 Calls", IF(#REF! &lt;= 3, "2-3 Calls", IF(#REF! &lt;=5, "4-5 Calls", "6+ Calls")))</f>
        <v>#REF!</v>
      </c>
      <c r="X904" t="e">
        <f>IF(#REF! &lt;= 50, "0-50", IF(#REF! &lt;=100, "51-100", IF(#REF! &lt;= 150, "101-150", "151+")))</f>
        <v>#REF!</v>
      </c>
      <c r="Y904" t="e">
        <f>IF(#REF! &lt;= 3, "Low Charges", "High Charges")</f>
        <v>#REF!</v>
      </c>
      <c r="Z904" t="e">
        <f>IF(#REF!&lt;=80,"Low Calls",
IF(#REF!&lt;=120,"Medium Calls","High Calls"))</f>
        <v>#REF!</v>
      </c>
      <c r="AA904" t="e">
        <f>IF(#REF!&lt;=15,"Low Charges",
IF(#REF!&lt;=20,"Medium Charges","High Charges"))</f>
        <v>#REF!</v>
      </c>
      <c r="AB904" t="e">
        <f>IF(AND(#REF!&gt;180, #REF!&gt;200), "Heavy Doemstic User", IF(#REF!&gt;10, "Interntional User", IF(AND(#REF!&lt;180, #REF!&lt;200,#REF!&lt;200), "Light User", "Balanced User")))</f>
        <v>#REF!</v>
      </c>
      <c r="AC904" t="e">
        <f>IF(#REF! = 0, "No Usage", IF(#REF! &lt;= 20, "Low Usage", IF(#REF! &lt;= 40, "Medium Usgae", "High Usage")))</f>
        <v>#REF!</v>
      </c>
      <c r="AD904" t="e">
        <f>IF(#REF!&lt;=150,"Low Usage", IF(#REF!&lt;=200,"Medium Usage", IF(#REF!&lt;=250,"High Usage","Very High Usage")))</f>
        <v>#REF!</v>
      </c>
      <c r="AE904" t="e">
        <f>IF(#REF!&lt;=5,"Low Calls", IF(#REF!&lt;=10, "Medium Calls", "High Calls"))</f>
        <v>#REF!</v>
      </c>
      <c r="AF904" t="e">
        <f xml:space="preserve">
IF(#REF!&gt;=4,4,0)+
IF(#REF!="yes",3,0)+
IF(#REF!="High Charges",3,0)+
IF(#REF!&gt;250,4,0)+
IF(#REF!="no",1,0)+
IF(#REF!="Heavy Domestic User",2,0)</f>
        <v>#REF!</v>
      </c>
      <c r="AG904" t="e">
        <f>IF(#REF!&gt;=10,"High Risk", IF(#REF!&gt;=5,"Medium Risk","Low Risk"))</f>
        <v>#REF!</v>
      </c>
      <c r="AH904" t="e">
        <f>#REF! + #REF! + #REF! + #REF!</f>
        <v>#REF!</v>
      </c>
    </row>
    <row r="905" spans="1:34" x14ac:dyDescent="0.35">
      <c r="A905">
        <v>904</v>
      </c>
      <c r="B905" t="s">
        <v>20</v>
      </c>
      <c r="C905">
        <v>114</v>
      </c>
      <c r="D905" t="s">
        <v>21</v>
      </c>
      <c r="E905" t="s">
        <v>22</v>
      </c>
      <c r="F905" t="s">
        <v>22</v>
      </c>
      <c r="G905">
        <v>0</v>
      </c>
      <c r="H905">
        <v>191.5</v>
      </c>
      <c r="I905">
        <v>88</v>
      </c>
      <c r="J905">
        <v>32.56</v>
      </c>
      <c r="K905">
        <v>175.2</v>
      </c>
      <c r="L905">
        <v>78</v>
      </c>
      <c r="M905">
        <v>14.89</v>
      </c>
      <c r="N905">
        <v>220.3</v>
      </c>
      <c r="O905">
        <v>118</v>
      </c>
      <c r="P905">
        <v>9.91</v>
      </c>
      <c r="Q905">
        <v>0</v>
      </c>
      <c r="R905">
        <v>0</v>
      </c>
      <c r="S905">
        <v>0</v>
      </c>
      <c r="T905">
        <v>0</v>
      </c>
      <c r="U905" t="s">
        <v>22</v>
      </c>
      <c r="V905" t="e">
        <f>IF(#REF! = "yes", 1, 0)</f>
        <v>#REF!</v>
      </c>
      <c r="W905" t="e">
        <f>IF(#REF! &lt;= 1, "0-1 Calls", IF(#REF! &lt;= 3, "2-3 Calls", IF(#REF! &lt;=5, "4-5 Calls", "6+ Calls")))</f>
        <v>#REF!</v>
      </c>
      <c r="X905" t="e">
        <f>IF(#REF! &lt;= 50, "0-50", IF(#REF! &lt;=100, "51-100", IF(#REF! &lt;= 150, "101-150", "151+")))</f>
        <v>#REF!</v>
      </c>
      <c r="Y905" t="e">
        <f>IF(#REF! &lt;= 3, "Low Charges", "High Charges")</f>
        <v>#REF!</v>
      </c>
      <c r="Z905" t="e">
        <f>IF(#REF!&lt;=80,"Low Calls",
IF(#REF!&lt;=120,"Medium Calls","High Calls"))</f>
        <v>#REF!</v>
      </c>
      <c r="AA905" t="e">
        <f>IF(#REF!&lt;=15,"Low Charges",
IF(#REF!&lt;=20,"Medium Charges","High Charges"))</f>
        <v>#REF!</v>
      </c>
      <c r="AB905" t="e">
        <f>IF(AND(#REF!&gt;180, #REF!&gt;200), "Heavy Doemstic User", IF(#REF!&gt;10, "Interntional User", IF(AND(#REF!&lt;180, #REF!&lt;200,#REF!&lt;200), "Light User", "Balanced User")))</f>
        <v>#REF!</v>
      </c>
      <c r="AC905" t="e">
        <f>IF(#REF! = 0, "No Usage", IF(#REF! &lt;= 20, "Low Usage", IF(#REF! &lt;= 40, "Medium Usgae", "High Usage")))</f>
        <v>#REF!</v>
      </c>
      <c r="AD905" t="e">
        <f>IF(#REF!&lt;=150,"Low Usage", IF(#REF!&lt;=200,"Medium Usage", IF(#REF!&lt;=250,"High Usage","Very High Usage")))</f>
        <v>#REF!</v>
      </c>
      <c r="AE905" t="e">
        <f>IF(#REF!&lt;=5,"Low Calls", IF(#REF!&lt;=10, "Medium Calls", "High Calls"))</f>
        <v>#REF!</v>
      </c>
      <c r="AF905" t="e">
        <f xml:space="preserve">
IF(#REF!&gt;=4,4,0)+
IF(#REF!="yes",3,0)+
IF(#REF!="High Charges",3,0)+
IF(#REF!&gt;250,4,0)+
IF(#REF!="no",1,0)+
IF(#REF!="Heavy Domestic User",2,0)</f>
        <v>#REF!</v>
      </c>
      <c r="AG905" t="e">
        <f>IF(#REF!&gt;=10,"High Risk", IF(#REF!&gt;=5,"Medium Risk","Low Risk"))</f>
        <v>#REF!</v>
      </c>
      <c r="AH905" t="e">
        <f>#REF! + #REF! + #REF! + #REF!</f>
        <v>#REF!</v>
      </c>
    </row>
    <row r="906" spans="1:34" x14ac:dyDescent="0.35">
      <c r="A906">
        <v>905</v>
      </c>
      <c r="B906" t="s">
        <v>58</v>
      </c>
      <c r="C906">
        <v>64</v>
      </c>
      <c r="D906" t="s">
        <v>25</v>
      </c>
      <c r="E906" t="s">
        <v>22</v>
      </c>
      <c r="F906" t="s">
        <v>23</v>
      </c>
      <c r="G906">
        <v>19</v>
      </c>
      <c r="H906">
        <v>291.10000000000002</v>
      </c>
      <c r="I906">
        <v>150</v>
      </c>
      <c r="J906">
        <v>49.49</v>
      </c>
      <c r="K906">
        <v>226.7</v>
      </c>
      <c r="L906">
        <v>123</v>
      </c>
      <c r="M906">
        <v>19.27</v>
      </c>
      <c r="N906">
        <v>219.1</v>
      </c>
      <c r="O906">
        <v>67</v>
      </c>
      <c r="P906">
        <v>9.86</v>
      </c>
      <c r="Q906">
        <v>7.5</v>
      </c>
      <c r="R906">
        <v>2</v>
      </c>
      <c r="S906">
        <v>2.0299999999999998</v>
      </c>
      <c r="T906">
        <v>1</v>
      </c>
      <c r="U906" t="s">
        <v>22</v>
      </c>
      <c r="V906" t="e">
        <f>IF(#REF! = "yes", 1, 0)</f>
        <v>#REF!</v>
      </c>
      <c r="W906" t="e">
        <f>IF(#REF! &lt;= 1, "0-1 Calls", IF(#REF! &lt;= 3, "2-3 Calls", IF(#REF! &lt;=5, "4-5 Calls", "6+ Calls")))</f>
        <v>#REF!</v>
      </c>
      <c r="X906" t="e">
        <f>IF(#REF! &lt;= 50, "0-50", IF(#REF! &lt;=100, "51-100", IF(#REF! &lt;= 150, "101-150", "151+")))</f>
        <v>#REF!</v>
      </c>
      <c r="Y906" t="e">
        <f>IF(#REF! &lt;= 3, "Low Charges", "High Charges")</f>
        <v>#REF!</v>
      </c>
      <c r="Z906" t="e">
        <f>IF(#REF!&lt;=80,"Low Calls",
IF(#REF!&lt;=120,"Medium Calls","High Calls"))</f>
        <v>#REF!</v>
      </c>
      <c r="AA906" t="e">
        <f>IF(#REF!&lt;=15,"Low Charges",
IF(#REF!&lt;=20,"Medium Charges","High Charges"))</f>
        <v>#REF!</v>
      </c>
      <c r="AB906" t="e">
        <f>IF(AND(#REF!&gt;180, #REF!&gt;200), "Heavy Doemstic User", IF(#REF!&gt;10, "Interntional User", IF(AND(#REF!&lt;180, #REF!&lt;200,#REF!&lt;200), "Light User", "Balanced User")))</f>
        <v>#REF!</v>
      </c>
      <c r="AC906" t="e">
        <f>IF(#REF! = 0, "No Usage", IF(#REF! &lt;= 20, "Low Usage", IF(#REF! &lt;= 40, "Medium Usgae", "High Usage")))</f>
        <v>#REF!</v>
      </c>
      <c r="AD906" t="e">
        <f>IF(#REF!&lt;=150,"Low Usage", IF(#REF!&lt;=200,"Medium Usage", IF(#REF!&lt;=250,"High Usage","Very High Usage")))</f>
        <v>#REF!</v>
      </c>
      <c r="AE906" t="e">
        <f>IF(#REF!&lt;=5,"Low Calls", IF(#REF!&lt;=10, "Medium Calls", "High Calls"))</f>
        <v>#REF!</v>
      </c>
      <c r="AF906" t="e">
        <f xml:space="preserve">
IF(#REF!&gt;=4,4,0)+
IF(#REF!="yes",3,0)+
IF(#REF!="High Charges",3,0)+
IF(#REF!&gt;250,4,0)+
IF(#REF!="no",1,0)+
IF(#REF!="Heavy Domestic User",2,0)</f>
        <v>#REF!</v>
      </c>
      <c r="AG906" t="e">
        <f>IF(#REF!&gt;=10,"High Risk", IF(#REF!&gt;=5,"Medium Risk","Low Risk"))</f>
        <v>#REF!</v>
      </c>
      <c r="AH906" t="e">
        <f>#REF! + #REF! + #REF! + #REF!</f>
        <v>#REF!</v>
      </c>
    </row>
    <row r="907" spans="1:34" x14ac:dyDescent="0.35">
      <c r="A907">
        <v>906</v>
      </c>
      <c r="B907" t="s">
        <v>57</v>
      </c>
      <c r="C907">
        <v>88</v>
      </c>
      <c r="D907" t="s">
        <v>21</v>
      </c>
      <c r="E907" t="s">
        <v>22</v>
      </c>
      <c r="F907" t="s">
        <v>22</v>
      </c>
      <c r="G907">
        <v>0</v>
      </c>
      <c r="H907">
        <v>215.6</v>
      </c>
      <c r="I907">
        <v>115</v>
      </c>
      <c r="J907">
        <v>36.65</v>
      </c>
      <c r="K907">
        <v>216.2</v>
      </c>
      <c r="L907">
        <v>85</v>
      </c>
      <c r="M907">
        <v>18.38</v>
      </c>
      <c r="N907">
        <v>171.3</v>
      </c>
      <c r="O907">
        <v>65</v>
      </c>
      <c r="P907">
        <v>7.71</v>
      </c>
      <c r="Q907">
        <v>11.8</v>
      </c>
      <c r="R907">
        <v>1</v>
      </c>
      <c r="S907">
        <v>3.19</v>
      </c>
      <c r="T907">
        <v>3</v>
      </c>
      <c r="U907" t="s">
        <v>22</v>
      </c>
      <c r="V907" t="e">
        <f>IF(#REF! = "yes", 1, 0)</f>
        <v>#REF!</v>
      </c>
      <c r="W907" t="e">
        <f>IF(#REF! &lt;= 1, "0-1 Calls", IF(#REF! &lt;= 3, "2-3 Calls", IF(#REF! &lt;=5, "4-5 Calls", "6+ Calls")))</f>
        <v>#REF!</v>
      </c>
      <c r="X907" t="e">
        <f>IF(#REF! &lt;= 50, "0-50", IF(#REF! &lt;=100, "51-100", IF(#REF! &lt;= 150, "101-150", "151+")))</f>
        <v>#REF!</v>
      </c>
      <c r="Y907" t="e">
        <f>IF(#REF! &lt;= 3, "Low Charges", "High Charges")</f>
        <v>#REF!</v>
      </c>
      <c r="Z907" t="e">
        <f>IF(#REF!&lt;=80,"Low Calls",
IF(#REF!&lt;=120,"Medium Calls","High Calls"))</f>
        <v>#REF!</v>
      </c>
      <c r="AA907" t="e">
        <f>IF(#REF!&lt;=15,"Low Charges",
IF(#REF!&lt;=20,"Medium Charges","High Charges"))</f>
        <v>#REF!</v>
      </c>
      <c r="AB907" t="e">
        <f>IF(AND(#REF!&gt;180, #REF!&gt;200), "Heavy Doemstic User", IF(#REF!&gt;10, "Interntional User", IF(AND(#REF!&lt;180, #REF!&lt;200,#REF!&lt;200), "Light User", "Balanced User")))</f>
        <v>#REF!</v>
      </c>
      <c r="AC907" t="e">
        <f>IF(#REF! = 0, "No Usage", IF(#REF! &lt;= 20, "Low Usage", IF(#REF! &lt;= 40, "Medium Usgae", "High Usage")))</f>
        <v>#REF!</v>
      </c>
      <c r="AD907" t="e">
        <f>IF(#REF!&lt;=150,"Low Usage", IF(#REF!&lt;=200,"Medium Usage", IF(#REF!&lt;=250,"High Usage","Very High Usage")))</f>
        <v>#REF!</v>
      </c>
      <c r="AE907" t="e">
        <f>IF(#REF!&lt;=5,"Low Calls", IF(#REF!&lt;=10, "Medium Calls", "High Calls"))</f>
        <v>#REF!</v>
      </c>
      <c r="AF907" t="e">
        <f xml:space="preserve">
IF(#REF!&gt;=4,4,0)+
IF(#REF!="yes",3,0)+
IF(#REF!="High Charges",3,0)+
IF(#REF!&gt;250,4,0)+
IF(#REF!="no",1,0)+
IF(#REF!="Heavy Domestic User",2,0)</f>
        <v>#REF!</v>
      </c>
      <c r="AG907" t="e">
        <f>IF(#REF!&gt;=10,"High Risk", IF(#REF!&gt;=5,"Medium Risk","Low Risk"))</f>
        <v>#REF!</v>
      </c>
      <c r="AH907" t="e">
        <f>#REF! + #REF! + #REF! + #REF!</f>
        <v>#REF!</v>
      </c>
    </row>
    <row r="908" spans="1:34" x14ac:dyDescent="0.35">
      <c r="A908">
        <v>907</v>
      </c>
      <c r="B908" t="s">
        <v>55</v>
      </c>
      <c r="C908">
        <v>82</v>
      </c>
      <c r="D908" t="s">
        <v>28</v>
      </c>
      <c r="E908" t="s">
        <v>23</v>
      </c>
      <c r="F908" t="s">
        <v>22</v>
      </c>
      <c r="G908">
        <v>0</v>
      </c>
      <c r="H908">
        <v>208.8</v>
      </c>
      <c r="I908">
        <v>101</v>
      </c>
      <c r="J908">
        <v>35.5</v>
      </c>
      <c r="K908">
        <v>213.7</v>
      </c>
      <c r="L908">
        <v>87</v>
      </c>
      <c r="M908">
        <v>18.16</v>
      </c>
      <c r="N908">
        <v>175.1</v>
      </c>
      <c r="O908">
        <v>86</v>
      </c>
      <c r="P908">
        <v>7.88</v>
      </c>
      <c r="Q908">
        <v>12.4</v>
      </c>
      <c r="R908">
        <v>6</v>
      </c>
      <c r="S908">
        <v>3.35</v>
      </c>
      <c r="T908">
        <v>3</v>
      </c>
      <c r="U908" t="s">
        <v>22</v>
      </c>
      <c r="V908" t="e">
        <f>IF(#REF! = "yes", 1, 0)</f>
        <v>#REF!</v>
      </c>
      <c r="W908" t="e">
        <f>IF(#REF! &lt;= 1, "0-1 Calls", IF(#REF! &lt;= 3, "2-3 Calls", IF(#REF! &lt;=5, "4-5 Calls", "6+ Calls")))</f>
        <v>#REF!</v>
      </c>
      <c r="X908" t="e">
        <f>IF(#REF! &lt;= 50, "0-50", IF(#REF! &lt;=100, "51-100", IF(#REF! &lt;= 150, "101-150", "151+")))</f>
        <v>#REF!</v>
      </c>
      <c r="Y908" t="e">
        <f>IF(#REF! &lt;= 3, "Low Charges", "High Charges")</f>
        <v>#REF!</v>
      </c>
      <c r="Z908" t="e">
        <f>IF(#REF!&lt;=80,"Low Calls",
IF(#REF!&lt;=120,"Medium Calls","High Calls"))</f>
        <v>#REF!</v>
      </c>
      <c r="AA908" t="e">
        <f>IF(#REF!&lt;=15,"Low Charges",
IF(#REF!&lt;=20,"Medium Charges","High Charges"))</f>
        <v>#REF!</v>
      </c>
      <c r="AB908" t="e">
        <f>IF(AND(#REF!&gt;180, #REF!&gt;200), "Heavy Doemstic User", IF(#REF!&gt;10, "Interntional User", IF(AND(#REF!&lt;180, #REF!&lt;200,#REF!&lt;200), "Light User", "Balanced User")))</f>
        <v>#REF!</v>
      </c>
      <c r="AC908" t="e">
        <f>IF(#REF! = 0, "No Usage", IF(#REF! &lt;= 20, "Low Usage", IF(#REF! &lt;= 40, "Medium Usgae", "High Usage")))</f>
        <v>#REF!</v>
      </c>
      <c r="AD908" t="e">
        <f>IF(#REF!&lt;=150,"Low Usage", IF(#REF!&lt;=200,"Medium Usage", IF(#REF!&lt;=250,"High Usage","Very High Usage")))</f>
        <v>#REF!</v>
      </c>
      <c r="AE908" t="e">
        <f>IF(#REF!&lt;=5,"Low Calls", IF(#REF!&lt;=10, "Medium Calls", "High Calls"))</f>
        <v>#REF!</v>
      </c>
      <c r="AF908" t="e">
        <f xml:space="preserve">
IF(#REF!&gt;=4,4,0)+
IF(#REF!="yes",3,0)+
IF(#REF!="High Charges",3,0)+
IF(#REF!&gt;250,4,0)+
IF(#REF!="no",1,0)+
IF(#REF!="Heavy Domestic User",2,0)</f>
        <v>#REF!</v>
      </c>
      <c r="AG908" t="e">
        <f>IF(#REF!&gt;=10,"High Risk", IF(#REF!&gt;=5,"Medium Risk","Low Risk"))</f>
        <v>#REF!</v>
      </c>
      <c r="AH908" t="e">
        <f>#REF! + #REF! + #REF! + #REF!</f>
        <v>#REF!</v>
      </c>
    </row>
    <row r="909" spans="1:34" x14ac:dyDescent="0.35">
      <c r="A909">
        <v>908</v>
      </c>
      <c r="B909" t="s">
        <v>65</v>
      </c>
      <c r="C909">
        <v>111</v>
      </c>
      <c r="D909" t="s">
        <v>21</v>
      </c>
      <c r="E909" t="s">
        <v>22</v>
      </c>
      <c r="F909" t="s">
        <v>22</v>
      </c>
      <c r="G909">
        <v>0</v>
      </c>
      <c r="H909">
        <v>255.9</v>
      </c>
      <c r="I909">
        <v>97</v>
      </c>
      <c r="J909">
        <v>43.5</v>
      </c>
      <c r="K909">
        <v>204.1</v>
      </c>
      <c r="L909">
        <v>129</v>
      </c>
      <c r="M909">
        <v>17.350000000000001</v>
      </c>
      <c r="N909">
        <v>171.3</v>
      </c>
      <c r="O909">
        <v>84</v>
      </c>
      <c r="P909">
        <v>7.71</v>
      </c>
      <c r="Q909">
        <v>12.3</v>
      </c>
      <c r="R909">
        <v>5</v>
      </c>
      <c r="S909">
        <v>3.32</v>
      </c>
      <c r="T909">
        <v>3</v>
      </c>
      <c r="U909" t="s">
        <v>22</v>
      </c>
      <c r="V909" t="e">
        <f>IF(#REF! = "yes", 1, 0)</f>
        <v>#REF!</v>
      </c>
      <c r="W909" t="e">
        <f>IF(#REF! &lt;= 1, "0-1 Calls", IF(#REF! &lt;= 3, "2-3 Calls", IF(#REF! &lt;=5, "4-5 Calls", "6+ Calls")))</f>
        <v>#REF!</v>
      </c>
      <c r="X909" t="e">
        <f>IF(#REF! &lt;= 50, "0-50", IF(#REF! &lt;=100, "51-100", IF(#REF! &lt;= 150, "101-150", "151+")))</f>
        <v>#REF!</v>
      </c>
      <c r="Y909" t="e">
        <f>IF(#REF! &lt;= 3, "Low Charges", "High Charges")</f>
        <v>#REF!</v>
      </c>
      <c r="Z909" t="e">
        <f>IF(#REF!&lt;=80,"Low Calls",
IF(#REF!&lt;=120,"Medium Calls","High Calls"))</f>
        <v>#REF!</v>
      </c>
      <c r="AA909" t="e">
        <f>IF(#REF!&lt;=15,"Low Charges",
IF(#REF!&lt;=20,"Medium Charges","High Charges"))</f>
        <v>#REF!</v>
      </c>
      <c r="AB909" t="e">
        <f>IF(AND(#REF!&gt;180, #REF!&gt;200), "Heavy Doemstic User", IF(#REF!&gt;10, "Interntional User", IF(AND(#REF!&lt;180, #REF!&lt;200,#REF!&lt;200), "Light User", "Balanced User")))</f>
        <v>#REF!</v>
      </c>
      <c r="AC909" t="e">
        <f>IF(#REF! = 0, "No Usage", IF(#REF! &lt;= 20, "Low Usage", IF(#REF! &lt;= 40, "Medium Usgae", "High Usage")))</f>
        <v>#REF!</v>
      </c>
      <c r="AD909" t="e">
        <f>IF(#REF!&lt;=150,"Low Usage", IF(#REF!&lt;=200,"Medium Usage", IF(#REF!&lt;=250,"High Usage","Very High Usage")))</f>
        <v>#REF!</v>
      </c>
      <c r="AE909" t="e">
        <f>IF(#REF!&lt;=5,"Low Calls", IF(#REF!&lt;=10, "Medium Calls", "High Calls"))</f>
        <v>#REF!</v>
      </c>
      <c r="AF909" t="e">
        <f xml:space="preserve">
IF(#REF!&gt;=4,4,0)+
IF(#REF!="yes",3,0)+
IF(#REF!="High Charges",3,0)+
IF(#REF!&gt;250,4,0)+
IF(#REF!="no",1,0)+
IF(#REF!="Heavy Domestic User",2,0)</f>
        <v>#REF!</v>
      </c>
      <c r="AG909" t="e">
        <f>IF(#REF!&gt;=10,"High Risk", IF(#REF!&gt;=5,"Medium Risk","Low Risk"))</f>
        <v>#REF!</v>
      </c>
      <c r="AH909" t="e">
        <f>#REF! + #REF! + #REF! + #REF!</f>
        <v>#REF!</v>
      </c>
    </row>
    <row r="910" spans="1:34" x14ac:dyDescent="0.35">
      <c r="A910">
        <v>909</v>
      </c>
      <c r="B910" t="s">
        <v>35</v>
      </c>
      <c r="C910">
        <v>60</v>
      </c>
      <c r="D910" t="s">
        <v>25</v>
      </c>
      <c r="E910" t="s">
        <v>22</v>
      </c>
      <c r="F910" t="s">
        <v>22</v>
      </c>
      <c r="G910">
        <v>0</v>
      </c>
      <c r="H910">
        <v>252.7</v>
      </c>
      <c r="I910">
        <v>97</v>
      </c>
      <c r="J910">
        <v>42.96</v>
      </c>
      <c r="K910">
        <v>221.1</v>
      </c>
      <c r="L910">
        <v>121</v>
      </c>
      <c r="M910">
        <v>18.79</v>
      </c>
      <c r="N910">
        <v>109.9</v>
      </c>
      <c r="O910">
        <v>100</v>
      </c>
      <c r="P910">
        <v>4.95</v>
      </c>
      <c r="Q910">
        <v>12.4</v>
      </c>
      <c r="R910">
        <v>4</v>
      </c>
      <c r="S910">
        <v>3.35</v>
      </c>
      <c r="T910">
        <v>2</v>
      </c>
      <c r="U910" t="s">
        <v>22</v>
      </c>
      <c r="V910" t="e">
        <f>IF(#REF! = "yes", 1, 0)</f>
        <v>#REF!</v>
      </c>
      <c r="W910" t="e">
        <f>IF(#REF! &lt;= 1, "0-1 Calls", IF(#REF! &lt;= 3, "2-3 Calls", IF(#REF! &lt;=5, "4-5 Calls", "6+ Calls")))</f>
        <v>#REF!</v>
      </c>
      <c r="X910" t="e">
        <f>IF(#REF! &lt;= 50, "0-50", IF(#REF! &lt;=100, "51-100", IF(#REF! &lt;= 150, "101-150", "151+")))</f>
        <v>#REF!</v>
      </c>
      <c r="Y910" t="e">
        <f>IF(#REF! &lt;= 3, "Low Charges", "High Charges")</f>
        <v>#REF!</v>
      </c>
      <c r="Z910" t="e">
        <f>IF(#REF!&lt;=80,"Low Calls",
IF(#REF!&lt;=120,"Medium Calls","High Calls"))</f>
        <v>#REF!</v>
      </c>
      <c r="AA910" t="e">
        <f>IF(#REF!&lt;=15,"Low Charges",
IF(#REF!&lt;=20,"Medium Charges","High Charges"))</f>
        <v>#REF!</v>
      </c>
      <c r="AB910" t="e">
        <f>IF(AND(#REF!&gt;180, #REF!&gt;200), "Heavy Doemstic User", IF(#REF!&gt;10, "Interntional User", IF(AND(#REF!&lt;180, #REF!&lt;200,#REF!&lt;200), "Light User", "Balanced User")))</f>
        <v>#REF!</v>
      </c>
      <c r="AC910" t="e">
        <f>IF(#REF! = 0, "No Usage", IF(#REF! &lt;= 20, "Low Usage", IF(#REF! &lt;= 40, "Medium Usgae", "High Usage")))</f>
        <v>#REF!</v>
      </c>
      <c r="AD910" t="e">
        <f>IF(#REF!&lt;=150,"Low Usage", IF(#REF!&lt;=200,"Medium Usage", IF(#REF!&lt;=250,"High Usage","Very High Usage")))</f>
        <v>#REF!</v>
      </c>
      <c r="AE910" t="e">
        <f>IF(#REF!&lt;=5,"Low Calls", IF(#REF!&lt;=10, "Medium Calls", "High Calls"))</f>
        <v>#REF!</v>
      </c>
      <c r="AF910" t="e">
        <f xml:space="preserve">
IF(#REF!&gt;=4,4,0)+
IF(#REF!="yes",3,0)+
IF(#REF!="High Charges",3,0)+
IF(#REF!&gt;250,4,0)+
IF(#REF!="no",1,0)+
IF(#REF!="Heavy Domestic User",2,0)</f>
        <v>#REF!</v>
      </c>
      <c r="AG910" t="e">
        <f>IF(#REF!&gt;=10,"High Risk", IF(#REF!&gt;=5,"Medium Risk","Low Risk"))</f>
        <v>#REF!</v>
      </c>
      <c r="AH910" t="e">
        <f>#REF! + #REF! + #REF! + #REF!</f>
        <v>#REF!</v>
      </c>
    </row>
    <row r="911" spans="1:34" x14ac:dyDescent="0.35">
      <c r="A911">
        <v>910</v>
      </c>
      <c r="B911" t="s">
        <v>24</v>
      </c>
      <c r="C911">
        <v>113</v>
      </c>
      <c r="D911" t="s">
        <v>25</v>
      </c>
      <c r="E911" t="s">
        <v>22</v>
      </c>
      <c r="F911" t="s">
        <v>22</v>
      </c>
      <c r="G911">
        <v>0</v>
      </c>
      <c r="H911">
        <v>132.1</v>
      </c>
      <c r="I911">
        <v>72</v>
      </c>
      <c r="J911">
        <v>22.46</v>
      </c>
      <c r="K911">
        <v>247.5</v>
      </c>
      <c r="L911">
        <v>107</v>
      </c>
      <c r="M911">
        <v>21.04</v>
      </c>
      <c r="N911">
        <v>246.2</v>
      </c>
      <c r="O911">
        <v>123</v>
      </c>
      <c r="P911">
        <v>11.08</v>
      </c>
      <c r="Q911">
        <v>6.9</v>
      </c>
      <c r="R911">
        <v>6</v>
      </c>
      <c r="S911">
        <v>1.86</v>
      </c>
      <c r="T911">
        <v>3</v>
      </c>
      <c r="U911" t="s">
        <v>22</v>
      </c>
      <c r="V911" t="e">
        <f>IF(#REF! = "yes", 1, 0)</f>
        <v>#REF!</v>
      </c>
      <c r="W911" t="e">
        <f>IF(#REF! &lt;= 1, "0-1 Calls", IF(#REF! &lt;= 3, "2-3 Calls", IF(#REF! &lt;=5, "4-5 Calls", "6+ Calls")))</f>
        <v>#REF!</v>
      </c>
      <c r="X911" t="e">
        <f>IF(#REF! &lt;= 50, "0-50", IF(#REF! &lt;=100, "51-100", IF(#REF! &lt;= 150, "101-150", "151+")))</f>
        <v>#REF!</v>
      </c>
      <c r="Y911" t="e">
        <f>IF(#REF! &lt;= 3, "Low Charges", "High Charges")</f>
        <v>#REF!</v>
      </c>
      <c r="Z911" t="e">
        <f>IF(#REF!&lt;=80,"Low Calls",
IF(#REF!&lt;=120,"Medium Calls","High Calls"))</f>
        <v>#REF!</v>
      </c>
      <c r="AA911" t="e">
        <f>IF(#REF!&lt;=15,"Low Charges",
IF(#REF!&lt;=20,"Medium Charges","High Charges"))</f>
        <v>#REF!</v>
      </c>
      <c r="AB911" t="e">
        <f>IF(AND(#REF!&gt;180, #REF!&gt;200), "Heavy Doemstic User", IF(#REF!&gt;10, "Interntional User", IF(AND(#REF!&lt;180, #REF!&lt;200,#REF!&lt;200), "Light User", "Balanced User")))</f>
        <v>#REF!</v>
      </c>
      <c r="AC911" t="e">
        <f>IF(#REF! = 0, "No Usage", IF(#REF! &lt;= 20, "Low Usage", IF(#REF! &lt;= 40, "Medium Usgae", "High Usage")))</f>
        <v>#REF!</v>
      </c>
      <c r="AD911" t="e">
        <f>IF(#REF!&lt;=150,"Low Usage", IF(#REF!&lt;=200,"Medium Usage", IF(#REF!&lt;=250,"High Usage","Very High Usage")))</f>
        <v>#REF!</v>
      </c>
      <c r="AE911" t="e">
        <f>IF(#REF!&lt;=5,"Low Calls", IF(#REF!&lt;=10, "Medium Calls", "High Calls"))</f>
        <v>#REF!</v>
      </c>
      <c r="AF911" t="e">
        <f xml:space="preserve">
IF(#REF!&gt;=4,4,0)+
IF(#REF!="yes",3,0)+
IF(#REF!="High Charges",3,0)+
IF(#REF!&gt;250,4,0)+
IF(#REF!="no",1,0)+
IF(#REF!="Heavy Domestic User",2,0)</f>
        <v>#REF!</v>
      </c>
      <c r="AG911" t="e">
        <f>IF(#REF!&gt;=10,"High Risk", IF(#REF!&gt;=5,"Medium Risk","Low Risk"))</f>
        <v>#REF!</v>
      </c>
      <c r="AH911" t="e">
        <f>#REF! + #REF! + #REF! + #REF!</f>
        <v>#REF!</v>
      </c>
    </row>
    <row r="912" spans="1:34" x14ac:dyDescent="0.35">
      <c r="A912">
        <v>911</v>
      </c>
      <c r="B912" t="s">
        <v>40</v>
      </c>
      <c r="C912">
        <v>109</v>
      </c>
      <c r="D912" t="s">
        <v>25</v>
      </c>
      <c r="E912" t="s">
        <v>22</v>
      </c>
      <c r="F912" t="s">
        <v>22</v>
      </c>
      <c r="G912">
        <v>0</v>
      </c>
      <c r="H912">
        <v>217</v>
      </c>
      <c r="I912">
        <v>115</v>
      </c>
      <c r="J912">
        <v>36.89</v>
      </c>
      <c r="K912">
        <v>207</v>
      </c>
      <c r="L912">
        <v>142</v>
      </c>
      <c r="M912">
        <v>17.600000000000001</v>
      </c>
      <c r="N912">
        <v>268</v>
      </c>
      <c r="O912">
        <v>106</v>
      </c>
      <c r="P912">
        <v>12.06</v>
      </c>
      <c r="Q912">
        <v>8.1999999999999993</v>
      </c>
      <c r="R912">
        <v>4</v>
      </c>
      <c r="S912">
        <v>2.21</v>
      </c>
      <c r="T912">
        <v>1</v>
      </c>
      <c r="U912" t="s">
        <v>22</v>
      </c>
      <c r="V912" t="e">
        <f>IF(#REF! = "yes", 1, 0)</f>
        <v>#REF!</v>
      </c>
      <c r="W912" t="e">
        <f>IF(#REF! &lt;= 1, "0-1 Calls", IF(#REF! &lt;= 3, "2-3 Calls", IF(#REF! &lt;=5, "4-5 Calls", "6+ Calls")))</f>
        <v>#REF!</v>
      </c>
      <c r="X912" t="e">
        <f>IF(#REF! &lt;= 50, "0-50", IF(#REF! &lt;=100, "51-100", IF(#REF! &lt;= 150, "101-150", "151+")))</f>
        <v>#REF!</v>
      </c>
      <c r="Y912" t="e">
        <f>IF(#REF! &lt;= 3, "Low Charges", "High Charges")</f>
        <v>#REF!</v>
      </c>
      <c r="Z912" t="e">
        <f>IF(#REF!&lt;=80,"Low Calls",
IF(#REF!&lt;=120,"Medium Calls","High Calls"))</f>
        <v>#REF!</v>
      </c>
      <c r="AA912" t="e">
        <f>IF(#REF!&lt;=15,"Low Charges",
IF(#REF!&lt;=20,"Medium Charges","High Charges"))</f>
        <v>#REF!</v>
      </c>
      <c r="AB912" t="e">
        <f>IF(AND(#REF!&gt;180, #REF!&gt;200), "Heavy Doemstic User", IF(#REF!&gt;10, "Interntional User", IF(AND(#REF!&lt;180, #REF!&lt;200,#REF!&lt;200), "Light User", "Balanced User")))</f>
        <v>#REF!</v>
      </c>
      <c r="AC912" t="e">
        <f>IF(#REF! = 0, "No Usage", IF(#REF! &lt;= 20, "Low Usage", IF(#REF! &lt;= 40, "Medium Usgae", "High Usage")))</f>
        <v>#REF!</v>
      </c>
      <c r="AD912" t="e">
        <f>IF(#REF!&lt;=150,"Low Usage", IF(#REF!&lt;=200,"Medium Usage", IF(#REF!&lt;=250,"High Usage","Very High Usage")))</f>
        <v>#REF!</v>
      </c>
      <c r="AE912" t="e">
        <f>IF(#REF!&lt;=5,"Low Calls", IF(#REF!&lt;=10, "Medium Calls", "High Calls"))</f>
        <v>#REF!</v>
      </c>
      <c r="AF912" t="e">
        <f xml:space="preserve">
IF(#REF!&gt;=4,4,0)+
IF(#REF!="yes",3,0)+
IF(#REF!="High Charges",3,0)+
IF(#REF!&gt;250,4,0)+
IF(#REF!="no",1,0)+
IF(#REF!="Heavy Domestic User",2,0)</f>
        <v>#REF!</v>
      </c>
      <c r="AG912" t="e">
        <f>IF(#REF!&gt;=10,"High Risk", IF(#REF!&gt;=5,"Medium Risk","Low Risk"))</f>
        <v>#REF!</v>
      </c>
      <c r="AH912" t="e">
        <f>#REF! + #REF! + #REF! + #REF!</f>
        <v>#REF!</v>
      </c>
    </row>
    <row r="913" spans="1:34" x14ac:dyDescent="0.35">
      <c r="A913">
        <v>912</v>
      </c>
      <c r="B913" t="s">
        <v>32</v>
      </c>
      <c r="C913">
        <v>105</v>
      </c>
      <c r="D913" t="s">
        <v>28</v>
      </c>
      <c r="E913" t="s">
        <v>22</v>
      </c>
      <c r="F913" t="s">
        <v>23</v>
      </c>
      <c r="G913">
        <v>42</v>
      </c>
      <c r="H913">
        <v>101.9</v>
      </c>
      <c r="I913">
        <v>79</v>
      </c>
      <c r="J913">
        <v>17.32</v>
      </c>
      <c r="K913">
        <v>223.1</v>
      </c>
      <c r="L913">
        <v>97</v>
      </c>
      <c r="M913">
        <v>18.96</v>
      </c>
      <c r="N913">
        <v>241.6</v>
      </c>
      <c r="O913">
        <v>77</v>
      </c>
      <c r="P913">
        <v>10.87</v>
      </c>
      <c r="Q913">
        <v>12.9</v>
      </c>
      <c r="R913">
        <v>2</v>
      </c>
      <c r="S913">
        <v>3.48</v>
      </c>
      <c r="T913">
        <v>0</v>
      </c>
      <c r="U913" t="s">
        <v>22</v>
      </c>
      <c r="V913" t="e">
        <f>IF(#REF! = "yes", 1, 0)</f>
        <v>#REF!</v>
      </c>
      <c r="W913" t="e">
        <f>IF(#REF! &lt;= 1, "0-1 Calls", IF(#REF! &lt;= 3, "2-3 Calls", IF(#REF! &lt;=5, "4-5 Calls", "6+ Calls")))</f>
        <v>#REF!</v>
      </c>
      <c r="X913" t="e">
        <f>IF(#REF! &lt;= 50, "0-50", IF(#REF! &lt;=100, "51-100", IF(#REF! &lt;= 150, "101-150", "151+")))</f>
        <v>#REF!</v>
      </c>
      <c r="Y913" t="e">
        <f>IF(#REF! &lt;= 3, "Low Charges", "High Charges")</f>
        <v>#REF!</v>
      </c>
      <c r="Z913" t="e">
        <f>IF(#REF!&lt;=80,"Low Calls",
IF(#REF!&lt;=120,"Medium Calls","High Calls"))</f>
        <v>#REF!</v>
      </c>
      <c r="AA913" t="e">
        <f>IF(#REF!&lt;=15,"Low Charges",
IF(#REF!&lt;=20,"Medium Charges","High Charges"))</f>
        <v>#REF!</v>
      </c>
      <c r="AB913" t="e">
        <f>IF(AND(#REF!&gt;180, #REF!&gt;200), "Heavy Doemstic User", IF(#REF!&gt;10, "Interntional User", IF(AND(#REF!&lt;180, #REF!&lt;200,#REF!&lt;200), "Light User", "Balanced User")))</f>
        <v>#REF!</v>
      </c>
      <c r="AC913" t="e">
        <f>IF(#REF! = 0, "No Usage", IF(#REF! &lt;= 20, "Low Usage", IF(#REF! &lt;= 40, "Medium Usgae", "High Usage")))</f>
        <v>#REF!</v>
      </c>
      <c r="AD913" t="e">
        <f>IF(#REF!&lt;=150,"Low Usage", IF(#REF!&lt;=200,"Medium Usage", IF(#REF!&lt;=250,"High Usage","Very High Usage")))</f>
        <v>#REF!</v>
      </c>
      <c r="AE913" t="e">
        <f>IF(#REF!&lt;=5,"Low Calls", IF(#REF!&lt;=10, "Medium Calls", "High Calls"))</f>
        <v>#REF!</v>
      </c>
      <c r="AF913" t="e">
        <f xml:space="preserve">
IF(#REF!&gt;=4,4,0)+
IF(#REF!="yes",3,0)+
IF(#REF!="High Charges",3,0)+
IF(#REF!&gt;250,4,0)+
IF(#REF!="no",1,0)+
IF(#REF!="Heavy Domestic User",2,0)</f>
        <v>#REF!</v>
      </c>
      <c r="AG913" t="e">
        <f>IF(#REF!&gt;=10,"High Risk", IF(#REF!&gt;=5,"Medium Risk","Low Risk"))</f>
        <v>#REF!</v>
      </c>
      <c r="AH913" t="e">
        <f>#REF! + #REF! + #REF! + #REF!</f>
        <v>#REF!</v>
      </c>
    </row>
    <row r="914" spans="1:34" x14ac:dyDescent="0.35">
      <c r="A914">
        <v>913</v>
      </c>
      <c r="B914" t="s">
        <v>54</v>
      </c>
      <c r="C914">
        <v>85</v>
      </c>
      <c r="D914" t="s">
        <v>28</v>
      </c>
      <c r="E914" t="s">
        <v>22</v>
      </c>
      <c r="F914" t="s">
        <v>22</v>
      </c>
      <c r="G914">
        <v>0</v>
      </c>
      <c r="H914">
        <v>211.5</v>
      </c>
      <c r="I914">
        <v>100</v>
      </c>
      <c r="J914">
        <v>35.96</v>
      </c>
      <c r="K914">
        <v>184.6</v>
      </c>
      <c r="L914">
        <v>88</v>
      </c>
      <c r="M914">
        <v>15.69</v>
      </c>
      <c r="N914">
        <v>164.3</v>
      </c>
      <c r="O914">
        <v>131</v>
      </c>
      <c r="P914">
        <v>7.39</v>
      </c>
      <c r="Q914">
        <v>13.3</v>
      </c>
      <c r="R914">
        <v>4</v>
      </c>
      <c r="S914">
        <v>3.59</v>
      </c>
      <c r="T914">
        <v>2</v>
      </c>
      <c r="U914" t="s">
        <v>22</v>
      </c>
      <c r="V914" t="e">
        <f>IF(#REF! = "yes", 1, 0)</f>
        <v>#REF!</v>
      </c>
      <c r="W914" t="e">
        <f>IF(#REF! &lt;= 1, "0-1 Calls", IF(#REF! &lt;= 3, "2-3 Calls", IF(#REF! &lt;=5, "4-5 Calls", "6+ Calls")))</f>
        <v>#REF!</v>
      </c>
      <c r="X914" t="e">
        <f>IF(#REF! &lt;= 50, "0-50", IF(#REF! &lt;=100, "51-100", IF(#REF! &lt;= 150, "101-150", "151+")))</f>
        <v>#REF!</v>
      </c>
      <c r="Y914" t="e">
        <f>IF(#REF! &lt;= 3, "Low Charges", "High Charges")</f>
        <v>#REF!</v>
      </c>
      <c r="Z914" t="e">
        <f>IF(#REF!&lt;=80,"Low Calls",
IF(#REF!&lt;=120,"Medium Calls","High Calls"))</f>
        <v>#REF!</v>
      </c>
      <c r="AA914" t="e">
        <f>IF(#REF!&lt;=15,"Low Charges",
IF(#REF!&lt;=20,"Medium Charges","High Charges"))</f>
        <v>#REF!</v>
      </c>
      <c r="AB914" t="e">
        <f>IF(AND(#REF!&gt;180, #REF!&gt;200), "Heavy Doemstic User", IF(#REF!&gt;10, "Interntional User", IF(AND(#REF!&lt;180, #REF!&lt;200,#REF!&lt;200), "Light User", "Balanced User")))</f>
        <v>#REF!</v>
      </c>
      <c r="AC914" t="e">
        <f>IF(#REF! = 0, "No Usage", IF(#REF! &lt;= 20, "Low Usage", IF(#REF! &lt;= 40, "Medium Usgae", "High Usage")))</f>
        <v>#REF!</v>
      </c>
      <c r="AD914" t="e">
        <f>IF(#REF!&lt;=150,"Low Usage", IF(#REF!&lt;=200,"Medium Usage", IF(#REF!&lt;=250,"High Usage","Very High Usage")))</f>
        <v>#REF!</v>
      </c>
      <c r="AE914" t="e">
        <f>IF(#REF!&lt;=5,"Low Calls", IF(#REF!&lt;=10, "Medium Calls", "High Calls"))</f>
        <v>#REF!</v>
      </c>
      <c r="AF914" t="e">
        <f xml:space="preserve">
IF(#REF!&gt;=4,4,0)+
IF(#REF!="yes",3,0)+
IF(#REF!="High Charges",3,0)+
IF(#REF!&gt;250,4,0)+
IF(#REF!="no",1,0)+
IF(#REF!="Heavy Domestic User",2,0)</f>
        <v>#REF!</v>
      </c>
      <c r="AG914" t="e">
        <f>IF(#REF!&gt;=10,"High Risk", IF(#REF!&gt;=5,"Medium Risk","Low Risk"))</f>
        <v>#REF!</v>
      </c>
      <c r="AH914" t="e">
        <f>#REF! + #REF! + #REF! + #REF!</f>
        <v>#REF!</v>
      </c>
    </row>
    <row r="915" spans="1:34" x14ac:dyDescent="0.35">
      <c r="A915">
        <v>914</v>
      </c>
      <c r="B915" t="s">
        <v>66</v>
      </c>
      <c r="C915">
        <v>59</v>
      </c>
      <c r="D915" t="s">
        <v>28</v>
      </c>
      <c r="E915" t="s">
        <v>22</v>
      </c>
      <c r="F915" t="s">
        <v>22</v>
      </c>
      <c r="G915">
        <v>0</v>
      </c>
      <c r="H915">
        <v>166.3</v>
      </c>
      <c r="I915">
        <v>95</v>
      </c>
      <c r="J915">
        <v>28.27</v>
      </c>
      <c r="K915">
        <v>239.3</v>
      </c>
      <c r="L915">
        <v>87</v>
      </c>
      <c r="M915">
        <v>20.34</v>
      </c>
      <c r="N915">
        <v>123.2</v>
      </c>
      <c r="O915">
        <v>108</v>
      </c>
      <c r="P915">
        <v>5.54</v>
      </c>
      <c r="Q915">
        <v>10</v>
      </c>
      <c r="R915">
        <v>3</v>
      </c>
      <c r="S915">
        <v>2.7</v>
      </c>
      <c r="T915">
        <v>2</v>
      </c>
      <c r="U915" t="s">
        <v>22</v>
      </c>
      <c r="V915" t="e">
        <f>IF(#REF! = "yes", 1, 0)</f>
        <v>#REF!</v>
      </c>
      <c r="W915" t="e">
        <f>IF(#REF! &lt;= 1, "0-1 Calls", IF(#REF! &lt;= 3, "2-3 Calls", IF(#REF! &lt;=5, "4-5 Calls", "6+ Calls")))</f>
        <v>#REF!</v>
      </c>
      <c r="X915" t="e">
        <f>IF(#REF! &lt;= 50, "0-50", IF(#REF! &lt;=100, "51-100", IF(#REF! &lt;= 150, "101-150", "151+")))</f>
        <v>#REF!</v>
      </c>
      <c r="Y915" t="e">
        <f>IF(#REF! &lt;= 3, "Low Charges", "High Charges")</f>
        <v>#REF!</v>
      </c>
      <c r="Z915" t="e">
        <f>IF(#REF!&lt;=80,"Low Calls",
IF(#REF!&lt;=120,"Medium Calls","High Calls"))</f>
        <v>#REF!</v>
      </c>
      <c r="AA915" t="e">
        <f>IF(#REF!&lt;=15,"Low Charges",
IF(#REF!&lt;=20,"Medium Charges","High Charges"))</f>
        <v>#REF!</v>
      </c>
      <c r="AB915" t="e">
        <f>IF(AND(#REF!&gt;180, #REF!&gt;200), "Heavy Doemstic User", IF(#REF!&gt;10, "Interntional User", IF(AND(#REF!&lt;180, #REF!&lt;200,#REF!&lt;200), "Light User", "Balanced User")))</f>
        <v>#REF!</v>
      </c>
      <c r="AC915" t="e">
        <f>IF(#REF! = 0, "No Usage", IF(#REF! &lt;= 20, "Low Usage", IF(#REF! &lt;= 40, "Medium Usgae", "High Usage")))</f>
        <v>#REF!</v>
      </c>
      <c r="AD915" t="e">
        <f>IF(#REF!&lt;=150,"Low Usage", IF(#REF!&lt;=200,"Medium Usage", IF(#REF!&lt;=250,"High Usage","Very High Usage")))</f>
        <v>#REF!</v>
      </c>
      <c r="AE915" t="e">
        <f>IF(#REF!&lt;=5,"Low Calls", IF(#REF!&lt;=10, "Medium Calls", "High Calls"))</f>
        <v>#REF!</v>
      </c>
      <c r="AF915" t="e">
        <f xml:space="preserve">
IF(#REF!&gt;=4,4,0)+
IF(#REF!="yes",3,0)+
IF(#REF!="High Charges",3,0)+
IF(#REF!&gt;250,4,0)+
IF(#REF!="no",1,0)+
IF(#REF!="Heavy Domestic User",2,0)</f>
        <v>#REF!</v>
      </c>
      <c r="AG915" t="e">
        <f>IF(#REF!&gt;=10,"High Risk", IF(#REF!&gt;=5,"Medium Risk","Low Risk"))</f>
        <v>#REF!</v>
      </c>
      <c r="AH915" t="e">
        <f>#REF! + #REF! + #REF! + #REF!</f>
        <v>#REF!</v>
      </c>
    </row>
    <row r="916" spans="1:34" x14ac:dyDescent="0.35">
      <c r="A916">
        <v>915</v>
      </c>
      <c r="B916" t="s">
        <v>57</v>
      </c>
      <c r="C916">
        <v>148</v>
      </c>
      <c r="D916" t="s">
        <v>25</v>
      </c>
      <c r="E916" t="s">
        <v>22</v>
      </c>
      <c r="F916" t="s">
        <v>22</v>
      </c>
      <c r="G916">
        <v>0</v>
      </c>
      <c r="H916">
        <v>185.2</v>
      </c>
      <c r="I916">
        <v>87</v>
      </c>
      <c r="J916">
        <v>31.48</v>
      </c>
      <c r="K916">
        <v>170.4</v>
      </c>
      <c r="L916">
        <v>96</v>
      </c>
      <c r="M916">
        <v>14.48</v>
      </c>
      <c r="N916">
        <v>165.1</v>
      </c>
      <c r="O916">
        <v>104</v>
      </c>
      <c r="P916">
        <v>7.43</v>
      </c>
      <c r="Q916">
        <v>9.5</v>
      </c>
      <c r="R916">
        <v>13</v>
      </c>
      <c r="S916">
        <v>2.57</v>
      </c>
      <c r="T916">
        <v>1</v>
      </c>
      <c r="U916" t="s">
        <v>22</v>
      </c>
      <c r="V916" t="e">
        <f>IF(#REF! = "yes", 1, 0)</f>
        <v>#REF!</v>
      </c>
      <c r="W916" t="e">
        <f>IF(#REF! &lt;= 1, "0-1 Calls", IF(#REF! &lt;= 3, "2-3 Calls", IF(#REF! &lt;=5, "4-5 Calls", "6+ Calls")))</f>
        <v>#REF!</v>
      </c>
      <c r="X916" t="e">
        <f>IF(#REF! &lt;= 50, "0-50", IF(#REF! &lt;=100, "51-100", IF(#REF! &lt;= 150, "101-150", "151+")))</f>
        <v>#REF!</v>
      </c>
      <c r="Y916" t="e">
        <f>IF(#REF! &lt;= 3, "Low Charges", "High Charges")</f>
        <v>#REF!</v>
      </c>
      <c r="Z916" t="e">
        <f>IF(#REF!&lt;=80,"Low Calls",
IF(#REF!&lt;=120,"Medium Calls","High Calls"))</f>
        <v>#REF!</v>
      </c>
      <c r="AA916" t="e">
        <f>IF(#REF!&lt;=15,"Low Charges",
IF(#REF!&lt;=20,"Medium Charges","High Charges"))</f>
        <v>#REF!</v>
      </c>
      <c r="AB916" t="e">
        <f>IF(AND(#REF!&gt;180, #REF!&gt;200), "Heavy Doemstic User", IF(#REF!&gt;10, "Interntional User", IF(AND(#REF!&lt;180, #REF!&lt;200,#REF!&lt;200), "Light User", "Balanced User")))</f>
        <v>#REF!</v>
      </c>
      <c r="AC916" t="e">
        <f>IF(#REF! = 0, "No Usage", IF(#REF! &lt;= 20, "Low Usage", IF(#REF! &lt;= 40, "Medium Usgae", "High Usage")))</f>
        <v>#REF!</v>
      </c>
      <c r="AD916" t="e">
        <f>IF(#REF!&lt;=150,"Low Usage", IF(#REF!&lt;=200,"Medium Usage", IF(#REF!&lt;=250,"High Usage","Very High Usage")))</f>
        <v>#REF!</v>
      </c>
      <c r="AE916" t="e">
        <f>IF(#REF!&lt;=5,"Low Calls", IF(#REF!&lt;=10, "Medium Calls", "High Calls"))</f>
        <v>#REF!</v>
      </c>
      <c r="AF916" t="e">
        <f xml:space="preserve">
IF(#REF!&gt;=4,4,0)+
IF(#REF!="yes",3,0)+
IF(#REF!="High Charges",3,0)+
IF(#REF!&gt;250,4,0)+
IF(#REF!="no",1,0)+
IF(#REF!="Heavy Domestic User",2,0)</f>
        <v>#REF!</v>
      </c>
      <c r="AG916" t="e">
        <f>IF(#REF!&gt;=10,"High Risk", IF(#REF!&gt;=5,"Medium Risk","Low Risk"))</f>
        <v>#REF!</v>
      </c>
      <c r="AH916" t="e">
        <f>#REF! + #REF! + #REF! + #REF!</f>
        <v>#REF!</v>
      </c>
    </row>
    <row r="917" spans="1:34" x14ac:dyDescent="0.35">
      <c r="A917">
        <v>916</v>
      </c>
      <c r="B917" t="s">
        <v>47</v>
      </c>
      <c r="C917">
        <v>115</v>
      </c>
      <c r="D917" t="s">
        <v>21</v>
      </c>
      <c r="E917" t="s">
        <v>22</v>
      </c>
      <c r="F917" t="s">
        <v>22</v>
      </c>
      <c r="G917">
        <v>0</v>
      </c>
      <c r="H917">
        <v>245.2</v>
      </c>
      <c r="I917">
        <v>105</v>
      </c>
      <c r="J917">
        <v>41.68</v>
      </c>
      <c r="K917">
        <v>159</v>
      </c>
      <c r="L917">
        <v>109</v>
      </c>
      <c r="M917">
        <v>13.52</v>
      </c>
      <c r="N917">
        <v>229.9</v>
      </c>
      <c r="O917">
        <v>74</v>
      </c>
      <c r="P917">
        <v>10.35</v>
      </c>
      <c r="Q917">
        <v>7.2</v>
      </c>
      <c r="R917">
        <v>8</v>
      </c>
      <c r="S917">
        <v>1.94</v>
      </c>
      <c r="T917">
        <v>0</v>
      </c>
      <c r="U917" t="s">
        <v>22</v>
      </c>
      <c r="V917" t="e">
        <f>IF(#REF! = "yes", 1, 0)</f>
        <v>#REF!</v>
      </c>
      <c r="W917" t="e">
        <f>IF(#REF! &lt;= 1, "0-1 Calls", IF(#REF! &lt;= 3, "2-3 Calls", IF(#REF! &lt;=5, "4-5 Calls", "6+ Calls")))</f>
        <v>#REF!</v>
      </c>
      <c r="X917" t="e">
        <f>IF(#REF! &lt;= 50, "0-50", IF(#REF! &lt;=100, "51-100", IF(#REF! &lt;= 150, "101-150", "151+")))</f>
        <v>#REF!</v>
      </c>
      <c r="Y917" t="e">
        <f>IF(#REF! &lt;= 3, "Low Charges", "High Charges")</f>
        <v>#REF!</v>
      </c>
      <c r="Z917" t="e">
        <f>IF(#REF!&lt;=80,"Low Calls",
IF(#REF!&lt;=120,"Medium Calls","High Calls"))</f>
        <v>#REF!</v>
      </c>
      <c r="AA917" t="e">
        <f>IF(#REF!&lt;=15,"Low Charges",
IF(#REF!&lt;=20,"Medium Charges","High Charges"))</f>
        <v>#REF!</v>
      </c>
      <c r="AB917" t="e">
        <f>IF(AND(#REF!&gt;180, #REF!&gt;200), "Heavy Doemstic User", IF(#REF!&gt;10, "Interntional User", IF(AND(#REF!&lt;180, #REF!&lt;200,#REF!&lt;200), "Light User", "Balanced User")))</f>
        <v>#REF!</v>
      </c>
      <c r="AC917" t="e">
        <f>IF(#REF! = 0, "No Usage", IF(#REF! &lt;= 20, "Low Usage", IF(#REF! &lt;= 40, "Medium Usgae", "High Usage")))</f>
        <v>#REF!</v>
      </c>
      <c r="AD917" t="e">
        <f>IF(#REF!&lt;=150,"Low Usage", IF(#REF!&lt;=200,"Medium Usage", IF(#REF!&lt;=250,"High Usage","Very High Usage")))</f>
        <v>#REF!</v>
      </c>
      <c r="AE917" t="e">
        <f>IF(#REF!&lt;=5,"Low Calls", IF(#REF!&lt;=10, "Medium Calls", "High Calls"))</f>
        <v>#REF!</v>
      </c>
      <c r="AF917" t="e">
        <f xml:space="preserve">
IF(#REF!&gt;=4,4,0)+
IF(#REF!="yes",3,0)+
IF(#REF!="High Charges",3,0)+
IF(#REF!&gt;250,4,0)+
IF(#REF!="no",1,0)+
IF(#REF!="Heavy Domestic User",2,0)</f>
        <v>#REF!</v>
      </c>
      <c r="AG917" t="e">
        <f>IF(#REF!&gt;=10,"High Risk", IF(#REF!&gt;=5,"Medium Risk","Low Risk"))</f>
        <v>#REF!</v>
      </c>
      <c r="AH917" t="e">
        <f>#REF! + #REF! + #REF! + #REF!</f>
        <v>#REF!</v>
      </c>
    </row>
    <row r="918" spans="1:34" x14ac:dyDescent="0.35">
      <c r="A918">
        <v>917</v>
      </c>
      <c r="B918" t="s">
        <v>37</v>
      </c>
      <c r="C918">
        <v>106</v>
      </c>
      <c r="D918" t="s">
        <v>28</v>
      </c>
      <c r="E918" t="s">
        <v>22</v>
      </c>
      <c r="F918" t="s">
        <v>22</v>
      </c>
      <c r="G918">
        <v>0</v>
      </c>
      <c r="H918">
        <v>274.39999999999998</v>
      </c>
      <c r="I918">
        <v>120</v>
      </c>
      <c r="J918">
        <v>46.65</v>
      </c>
      <c r="K918">
        <v>198.6</v>
      </c>
      <c r="L918">
        <v>82</v>
      </c>
      <c r="M918">
        <v>16.88</v>
      </c>
      <c r="N918">
        <v>160.80000000000001</v>
      </c>
      <c r="O918">
        <v>62</v>
      </c>
      <c r="P918">
        <v>7.24</v>
      </c>
      <c r="Q918">
        <v>6</v>
      </c>
      <c r="R918">
        <v>3</v>
      </c>
      <c r="S918">
        <v>1.62</v>
      </c>
      <c r="T918">
        <v>1</v>
      </c>
      <c r="U918" t="s">
        <v>22</v>
      </c>
      <c r="V918" t="e">
        <f>IF(#REF! = "yes", 1, 0)</f>
        <v>#REF!</v>
      </c>
      <c r="W918" t="e">
        <f>IF(#REF! &lt;= 1, "0-1 Calls", IF(#REF! &lt;= 3, "2-3 Calls", IF(#REF! &lt;=5, "4-5 Calls", "6+ Calls")))</f>
        <v>#REF!</v>
      </c>
      <c r="X918" t="e">
        <f>IF(#REF! &lt;= 50, "0-50", IF(#REF! &lt;=100, "51-100", IF(#REF! &lt;= 150, "101-150", "151+")))</f>
        <v>#REF!</v>
      </c>
      <c r="Y918" t="e">
        <f>IF(#REF! &lt;= 3, "Low Charges", "High Charges")</f>
        <v>#REF!</v>
      </c>
      <c r="Z918" t="e">
        <f>IF(#REF!&lt;=80,"Low Calls",
IF(#REF!&lt;=120,"Medium Calls","High Calls"))</f>
        <v>#REF!</v>
      </c>
      <c r="AA918" t="e">
        <f>IF(#REF!&lt;=15,"Low Charges",
IF(#REF!&lt;=20,"Medium Charges","High Charges"))</f>
        <v>#REF!</v>
      </c>
      <c r="AB918" t="e">
        <f>IF(AND(#REF!&gt;180, #REF!&gt;200), "Heavy Doemstic User", IF(#REF!&gt;10, "Interntional User", IF(AND(#REF!&lt;180, #REF!&lt;200,#REF!&lt;200), "Light User", "Balanced User")))</f>
        <v>#REF!</v>
      </c>
      <c r="AC918" t="e">
        <f>IF(#REF! = 0, "No Usage", IF(#REF! &lt;= 20, "Low Usage", IF(#REF! &lt;= 40, "Medium Usgae", "High Usage")))</f>
        <v>#REF!</v>
      </c>
      <c r="AD918" t="e">
        <f>IF(#REF!&lt;=150,"Low Usage", IF(#REF!&lt;=200,"Medium Usage", IF(#REF!&lt;=250,"High Usage","Very High Usage")))</f>
        <v>#REF!</v>
      </c>
      <c r="AE918" t="e">
        <f>IF(#REF!&lt;=5,"Low Calls", IF(#REF!&lt;=10, "Medium Calls", "High Calls"))</f>
        <v>#REF!</v>
      </c>
      <c r="AF918" t="e">
        <f xml:space="preserve">
IF(#REF!&gt;=4,4,0)+
IF(#REF!="yes",3,0)+
IF(#REF!="High Charges",3,0)+
IF(#REF!&gt;250,4,0)+
IF(#REF!="no",1,0)+
IF(#REF!="Heavy Domestic User",2,0)</f>
        <v>#REF!</v>
      </c>
      <c r="AG918" t="e">
        <f>IF(#REF!&gt;=10,"High Risk", IF(#REF!&gt;=5,"Medium Risk","Low Risk"))</f>
        <v>#REF!</v>
      </c>
      <c r="AH918" t="e">
        <f>#REF! + #REF! + #REF! + #REF!</f>
        <v>#REF!</v>
      </c>
    </row>
    <row r="919" spans="1:34" x14ac:dyDescent="0.35">
      <c r="A919">
        <v>918</v>
      </c>
      <c r="B919" t="s">
        <v>33</v>
      </c>
      <c r="C919">
        <v>93</v>
      </c>
      <c r="D919" t="s">
        <v>21</v>
      </c>
      <c r="E919" t="s">
        <v>22</v>
      </c>
      <c r="F919" t="s">
        <v>22</v>
      </c>
      <c r="G919">
        <v>0</v>
      </c>
      <c r="H919">
        <v>98.4</v>
      </c>
      <c r="I919">
        <v>78</v>
      </c>
      <c r="J919">
        <v>16.73</v>
      </c>
      <c r="K919">
        <v>249.6</v>
      </c>
      <c r="L919">
        <v>129</v>
      </c>
      <c r="M919">
        <v>21.22</v>
      </c>
      <c r="N919">
        <v>248.2</v>
      </c>
      <c r="O919">
        <v>114</v>
      </c>
      <c r="P919">
        <v>11.17</v>
      </c>
      <c r="Q919">
        <v>14.2</v>
      </c>
      <c r="R919">
        <v>4</v>
      </c>
      <c r="S919">
        <v>3.83</v>
      </c>
      <c r="T919">
        <v>1</v>
      </c>
      <c r="U919" t="s">
        <v>22</v>
      </c>
      <c r="V919" t="e">
        <f>IF(#REF! = "yes", 1, 0)</f>
        <v>#REF!</v>
      </c>
      <c r="W919" t="e">
        <f>IF(#REF! &lt;= 1, "0-1 Calls", IF(#REF! &lt;= 3, "2-3 Calls", IF(#REF! &lt;=5, "4-5 Calls", "6+ Calls")))</f>
        <v>#REF!</v>
      </c>
      <c r="X919" t="e">
        <f>IF(#REF! &lt;= 50, "0-50", IF(#REF! &lt;=100, "51-100", IF(#REF! &lt;= 150, "101-150", "151+")))</f>
        <v>#REF!</v>
      </c>
      <c r="Y919" t="e">
        <f>IF(#REF! &lt;= 3, "Low Charges", "High Charges")</f>
        <v>#REF!</v>
      </c>
      <c r="Z919" t="e">
        <f>IF(#REF!&lt;=80,"Low Calls",
IF(#REF!&lt;=120,"Medium Calls","High Calls"))</f>
        <v>#REF!</v>
      </c>
      <c r="AA919" t="e">
        <f>IF(#REF!&lt;=15,"Low Charges",
IF(#REF!&lt;=20,"Medium Charges","High Charges"))</f>
        <v>#REF!</v>
      </c>
      <c r="AB919" t="e">
        <f>IF(AND(#REF!&gt;180, #REF!&gt;200), "Heavy Doemstic User", IF(#REF!&gt;10, "Interntional User", IF(AND(#REF!&lt;180, #REF!&lt;200,#REF!&lt;200), "Light User", "Balanced User")))</f>
        <v>#REF!</v>
      </c>
      <c r="AC919" t="e">
        <f>IF(#REF! = 0, "No Usage", IF(#REF! &lt;= 20, "Low Usage", IF(#REF! &lt;= 40, "Medium Usgae", "High Usage")))</f>
        <v>#REF!</v>
      </c>
      <c r="AD919" t="e">
        <f>IF(#REF!&lt;=150,"Low Usage", IF(#REF!&lt;=200,"Medium Usage", IF(#REF!&lt;=250,"High Usage","Very High Usage")))</f>
        <v>#REF!</v>
      </c>
      <c r="AE919" t="e">
        <f>IF(#REF!&lt;=5,"Low Calls", IF(#REF!&lt;=10, "Medium Calls", "High Calls"))</f>
        <v>#REF!</v>
      </c>
      <c r="AF919" t="e">
        <f xml:space="preserve">
IF(#REF!&gt;=4,4,0)+
IF(#REF!="yes",3,0)+
IF(#REF!="High Charges",3,0)+
IF(#REF!&gt;250,4,0)+
IF(#REF!="no",1,0)+
IF(#REF!="Heavy Domestic User",2,0)</f>
        <v>#REF!</v>
      </c>
      <c r="AG919" t="e">
        <f>IF(#REF!&gt;=10,"High Risk", IF(#REF!&gt;=5,"Medium Risk","Low Risk"))</f>
        <v>#REF!</v>
      </c>
      <c r="AH919" t="e">
        <f>#REF! + #REF! + #REF! + #REF!</f>
        <v>#REF!</v>
      </c>
    </row>
    <row r="920" spans="1:34" x14ac:dyDescent="0.35">
      <c r="A920">
        <v>919</v>
      </c>
      <c r="B920" t="s">
        <v>65</v>
      </c>
      <c r="C920">
        <v>57</v>
      </c>
      <c r="D920" t="s">
        <v>21</v>
      </c>
      <c r="E920" t="s">
        <v>22</v>
      </c>
      <c r="F920" t="s">
        <v>23</v>
      </c>
      <c r="G920">
        <v>29</v>
      </c>
      <c r="H920">
        <v>279.89999999999998</v>
      </c>
      <c r="I920">
        <v>121</v>
      </c>
      <c r="J920">
        <v>47.58</v>
      </c>
      <c r="K920">
        <v>223.1</v>
      </c>
      <c r="L920">
        <v>109</v>
      </c>
      <c r="M920">
        <v>18.96</v>
      </c>
      <c r="N920">
        <v>251.7</v>
      </c>
      <c r="O920">
        <v>94</v>
      </c>
      <c r="P920">
        <v>11.33</v>
      </c>
      <c r="Q920">
        <v>13</v>
      </c>
      <c r="R920">
        <v>2</v>
      </c>
      <c r="S920">
        <v>3.51</v>
      </c>
      <c r="T920">
        <v>1</v>
      </c>
      <c r="U920" t="s">
        <v>22</v>
      </c>
      <c r="V920" t="e">
        <f>IF(#REF! = "yes", 1, 0)</f>
        <v>#REF!</v>
      </c>
      <c r="W920" t="e">
        <f>IF(#REF! &lt;= 1, "0-1 Calls", IF(#REF! &lt;= 3, "2-3 Calls", IF(#REF! &lt;=5, "4-5 Calls", "6+ Calls")))</f>
        <v>#REF!</v>
      </c>
      <c r="X920" t="e">
        <f>IF(#REF! &lt;= 50, "0-50", IF(#REF! &lt;=100, "51-100", IF(#REF! &lt;= 150, "101-150", "151+")))</f>
        <v>#REF!</v>
      </c>
      <c r="Y920" t="e">
        <f>IF(#REF! &lt;= 3, "Low Charges", "High Charges")</f>
        <v>#REF!</v>
      </c>
      <c r="Z920" t="e">
        <f>IF(#REF!&lt;=80,"Low Calls",
IF(#REF!&lt;=120,"Medium Calls","High Calls"))</f>
        <v>#REF!</v>
      </c>
      <c r="AA920" t="e">
        <f>IF(#REF!&lt;=15,"Low Charges",
IF(#REF!&lt;=20,"Medium Charges","High Charges"))</f>
        <v>#REF!</v>
      </c>
      <c r="AB920" t="e">
        <f>IF(AND(#REF!&gt;180, #REF!&gt;200), "Heavy Doemstic User", IF(#REF!&gt;10, "Interntional User", IF(AND(#REF!&lt;180, #REF!&lt;200,#REF!&lt;200), "Light User", "Balanced User")))</f>
        <v>#REF!</v>
      </c>
      <c r="AC920" t="e">
        <f>IF(#REF! = 0, "No Usage", IF(#REF! &lt;= 20, "Low Usage", IF(#REF! &lt;= 40, "Medium Usgae", "High Usage")))</f>
        <v>#REF!</v>
      </c>
      <c r="AD920" t="e">
        <f>IF(#REF!&lt;=150,"Low Usage", IF(#REF!&lt;=200,"Medium Usage", IF(#REF!&lt;=250,"High Usage","Very High Usage")))</f>
        <v>#REF!</v>
      </c>
      <c r="AE920" t="e">
        <f>IF(#REF!&lt;=5,"Low Calls", IF(#REF!&lt;=10, "Medium Calls", "High Calls"))</f>
        <v>#REF!</v>
      </c>
      <c r="AF920" t="e">
        <f xml:space="preserve">
IF(#REF!&gt;=4,4,0)+
IF(#REF!="yes",3,0)+
IF(#REF!="High Charges",3,0)+
IF(#REF!&gt;250,4,0)+
IF(#REF!="no",1,0)+
IF(#REF!="Heavy Domestic User",2,0)</f>
        <v>#REF!</v>
      </c>
      <c r="AG920" t="e">
        <f>IF(#REF!&gt;=10,"High Risk", IF(#REF!&gt;=5,"Medium Risk","Low Risk"))</f>
        <v>#REF!</v>
      </c>
      <c r="AH920" t="e">
        <f>#REF! + #REF! + #REF! + #REF!</f>
        <v>#REF!</v>
      </c>
    </row>
    <row r="921" spans="1:34" x14ac:dyDescent="0.35">
      <c r="A921">
        <v>920</v>
      </c>
      <c r="B921" t="s">
        <v>75</v>
      </c>
      <c r="C921">
        <v>98</v>
      </c>
      <c r="D921" t="s">
        <v>28</v>
      </c>
      <c r="E921" t="s">
        <v>22</v>
      </c>
      <c r="F921" t="s">
        <v>22</v>
      </c>
      <c r="G921">
        <v>0</v>
      </c>
      <c r="H921">
        <v>187.2</v>
      </c>
      <c r="I921">
        <v>127</v>
      </c>
      <c r="J921">
        <v>31.82</v>
      </c>
      <c r="K921">
        <v>195.6</v>
      </c>
      <c r="L921">
        <v>88</v>
      </c>
      <c r="M921">
        <v>16.63</v>
      </c>
      <c r="N921">
        <v>181.8</v>
      </c>
      <c r="O921">
        <v>129</v>
      </c>
      <c r="P921">
        <v>8.18</v>
      </c>
      <c r="Q921">
        <v>5.0999999999999996</v>
      </c>
      <c r="R921">
        <v>4</v>
      </c>
      <c r="S921">
        <v>1.38</v>
      </c>
      <c r="T921">
        <v>1</v>
      </c>
      <c r="U921" t="s">
        <v>22</v>
      </c>
      <c r="V921" t="e">
        <f>IF(#REF! = "yes", 1, 0)</f>
        <v>#REF!</v>
      </c>
      <c r="W921" t="e">
        <f>IF(#REF! &lt;= 1, "0-1 Calls", IF(#REF! &lt;= 3, "2-3 Calls", IF(#REF! &lt;=5, "4-5 Calls", "6+ Calls")))</f>
        <v>#REF!</v>
      </c>
      <c r="X921" t="e">
        <f>IF(#REF! &lt;= 50, "0-50", IF(#REF! &lt;=100, "51-100", IF(#REF! &lt;= 150, "101-150", "151+")))</f>
        <v>#REF!</v>
      </c>
      <c r="Y921" t="e">
        <f>IF(#REF! &lt;= 3, "Low Charges", "High Charges")</f>
        <v>#REF!</v>
      </c>
      <c r="Z921" t="e">
        <f>IF(#REF!&lt;=80,"Low Calls",
IF(#REF!&lt;=120,"Medium Calls","High Calls"))</f>
        <v>#REF!</v>
      </c>
      <c r="AA921" t="e">
        <f>IF(#REF!&lt;=15,"Low Charges",
IF(#REF!&lt;=20,"Medium Charges","High Charges"))</f>
        <v>#REF!</v>
      </c>
      <c r="AB921" t="e">
        <f>IF(AND(#REF!&gt;180, #REF!&gt;200), "Heavy Doemstic User", IF(#REF!&gt;10, "Interntional User", IF(AND(#REF!&lt;180, #REF!&lt;200,#REF!&lt;200), "Light User", "Balanced User")))</f>
        <v>#REF!</v>
      </c>
      <c r="AC921" t="e">
        <f>IF(#REF! = 0, "No Usage", IF(#REF! &lt;= 20, "Low Usage", IF(#REF! &lt;= 40, "Medium Usgae", "High Usage")))</f>
        <v>#REF!</v>
      </c>
      <c r="AD921" t="e">
        <f>IF(#REF!&lt;=150,"Low Usage", IF(#REF!&lt;=200,"Medium Usage", IF(#REF!&lt;=250,"High Usage","Very High Usage")))</f>
        <v>#REF!</v>
      </c>
      <c r="AE921" t="e">
        <f>IF(#REF!&lt;=5,"Low Calls", IF(#REF!&lt;=10, "Medium Calls", "High Calls"))</f>
        <v>#REF!</v>
      </c>
      <c r="AF921" t="e">
        <f xml:space="preserve">
IF(#REF!&gt;=4,4,0)+
IF(#REF!="yes",3,0)+
IF(#REF!="High Charges",3,0)+
IF(#REF!&gt;250,4,0)+
IF(#REF!="no",1,0)+
IF(#REF!="Heavy Domestic User",2,0)</f>
        <v>#REF!</v>
      </c>
      <c r="AG921" t="e">
        <f>IF(#REF!&gt;=10,"High Risk", IF(#REF!&gt;=5,"Medium Risk","Low Risk"))</f>
        <v>#REF!</v>
      </c>
      <c r="AH921" t="e">
        <f>#REF! + #REF! + #REF! + #REF!</f>
        <v>#REF!</v>
      </c>
    </row>
    <row r="922" spans="1:34" x14ac:dyDescent="0.35">
      <c r="A922">
        <v>921</v>
      </c>
      <c r="B922" t="s">
        <v>45</v>
      </c>
      <c r="C922">
        <v>157</v>
      </c>
      <c r="D922" t="s">
        <v>21</v>
      </c>
      <c r="E922" t="s">
        <v>22</v>
      </c>
      <c r="F922" t="s">
        <v>22</v>
      </c>
      <c r="G922">
        <v>0</v>
      </c>
      <c r="H922">
        <v>276.2</v>
      </c>
      <c r="I922">
        <v>95</v>
      </c>
      <c r="J922">
        <v>46.95</v>
      </c>
      <c r="K922">
        <v>165.8</v>
      </c>
      <c r="L922">
        <v>119</v>
      </c>
      <c r="M922">
        <v>14.09</v>
      </c>
      <c r="N922">
        <v>151.6</v>
      </c>
      <c r="O922">
        <v>79</v>
      </c>
      <c r="P922">
        <v>6.82</v>
      </c>
      <c r="Q922">
        <v>2.2000000000000002</v>
      </c>
      <c r="R922">
        <v>4</v>
      </c>
      <c r="S922">
        <v>0.59</v>
      </c>
      <c r="T922">
        <v>3</v>
      </c>
      <c r="U922" t="s">
        <v>22</v>
      </c>
      <c r="V922" t="e">
        <f>IF(#REF! = "yes", 1, 0)</f>
        <v>#REF!</v>
      </c>
      <c r="W922" t="e">
        <f>IF(#REF! &lt;= 1, "0-1 Calls", IF(#REF! &lt;= 3, "2-3 Calls", IF(#REF! &lt;=5, "4-5 Calls", "6+ Calls")))</f>
        <v>#REF!</v>
      </c>
      <c r="X922" t="e">
        <f>IF(#REF! &lt;= 50, "0-50", IF(#REF! &lt;=100, "51-100", IF(#REF! &lt;= 150, "101-150", "151+")))</f>
        <v>#REF!</v>
      </c>
      <c r="Y922" t="e">
        <f>IF(#REF! &lt;= 3, "Low Charges", "High Charges")</f>
        <v>#REF!</v>
      </c>
      <c r="Z922" t="e">
        <f>IF(#REF!&lt;=80,"Low Calls",
IF(#REF!&lt;=120,"Medium Calls","High Calls"))</f>
        <v>#REF!</v>
      </c>
      <c r="AA922" t="e">
        <f>IF(#REF!&lt;=15,"Low Charges",
IF(#REF!&lt;=20,"Medium Charges","High Charges"))</f>
        <v>#REF!</v>
      </c>
      <c r="AB922" t="e">
        <f>IF(AND(#REF!&gt;180, #REF!&gt;200), "Heavy Doemstic User", IF(#REF!&gt;10, "Interntional User", IF(AND(#REF!&lt;180, #REF!&lt;200,#REF!&lt;200), "Light User", "Balanced User")))</f>
        <v>#REF!</v>
      </c>
      <c r="AC922" t="e">
        <f>IF(#REF! = 0, "No Usage", IF(#REF! &lt;= 20, "Low Usage", IF(#REF! &lt;= 40, "Medium Usgae", "High Usage")))</f>
        <v>#REF!</v>
      </c>
      <c r="AD922" t="e">
        <f>IF(#REF!&lt;=150,"Low Usage", IF(#REF!&lt;=200,"Medium Usage", IF(#REF!&lt;=250,"High Usage","Very High Usage")))</f>
        <v>#REF!</v>
      </c>
      <c r="AE922" t="e">
        <f>IF(#REF!&lt;=5,"Low Calls", IF(#REF!&lt;=10, "Medium Calls", "High Calls"))</f>
        <v>#REF!</v>
      </c>
      <c r="AF922" t="e">
        <f xml:space="preserve">
IF(#REF!&gt;=4,4,0)+
IF(#REF!="yes",3,0)+
IF(#REF!="High Charges",3,0)+
IF(#REF!&gt;250,4,0)+
IF(#REF!="no",1,0)+
IF(#REF!="Heavy Domestic User",2,0)</f>
        <v>#REF!</v>
      </c>
      <c r="AG922" t="e">
        <f>IF(#REF!&gt;=10,"High Risk", IF(#REF!&gt;=5,"Medium Risk","Low Risk"))</f>
        <v>#REF!</v>
      </c>
      <c r="AH922" t="e">
        <f>#REF! + #REF! + #REF! + #REF!</f>
        <v>#REF!</v>
      </c>
    </row>
    <row r="923" spans="1:34" x14ac:dyDescent="0.35">
      <c r="A923">
        <v>922</v>
      </c>
      <c r="B923" t="s">
        <v>51</v>
      </c>
      <c r="C923">
        <v>116</v>
      </c>
      <c r="D923" t="s">
        <v>21</v>
      </c>
      <c r="E923" t="s">
        <v>22</v>
      </c>
      <c r="F923" t="s">
        <v>23</v>
      </c>
      <c r="G923">
        <v>35</v>
      </c>
      <c r="H923">
        <v>200.4</v>
      </c>
      <c r="I923">
        <v>104</v>
      </c>
      <c r="J923">
        <v>34.07</v>
      </c>
      <c r="K923">
        <v>272.8</v>
      </c>
      <c r="L923">
        <v>89</v>
      </c>
      <c r="M923">
        <v>23.19</v>
      </c>
      <c r="N923">
        <v>214.5</v>
      </c>
      <c r="O923">
        <v>100</v>
      </c>
      <c r="P923">
        <v>9.65</v>
      </c>
      <c r="Q923">
        <v>8.3000000000000007</v>
      </c>
      <c r="R923">
        <v>4</v>
      </c>
      <c r="S923">
        <v>2.2400000000000002</v>
      </c>
      <c r="T923">
        <v>1</v>
      </c>
      <c r="U923" t="s">
        <v>22</v>
      </c>
      <c r="V923" t="e">
        <f>IF(#REF! = "yes", 1, 0)</f>
        <v>#REF!</v>
      </c>
      <c r="W923" t="e">
        <f>IF(#REF! &lt;= 1, "0-1 Calls", IF(#REF! &lt;= 3, "2-3 Calls", IF(#REF! &lt;=5, "4-5 Calls", "6+ Calls")))</f>
        <v>#REF!</v>
      </c>
      <c r="X923" t="e">
        <f>IF(#REF! &lt;= 50, "0-50", IF(#REF! &lt;=100, "51-100", IF(#REF! &lt;= 150, "101-150", "151+")))</f>
        <v>#REF!</v>
      </c>
      <c r="Y923" t="e">
        <f>IF(#REF! &lt;= 3, "Low Charges", "High Charges")</f>
        <v>#REF!</v>
      </c>
      <c r="Z923" t="e">
        <f>IF(#REF!&lt;=80,"Low Calls",
IF(#REF!&lt;=120,"Medium Calls","High Calls"))</f>
        <v>#REF!</v>
      </c>
      <c r="AA923" t="e">
        <f>IF(#REF!&lt;=15,"Low Charges",
IF(#REF!&lt;=20,"Medium Charges","High Charges"))</f>
        <v>#REF!</v>
      </c>
      <c r="AB923" t="e">
        <f>IF(AND(#REF!&gt;180, #REF!&gt;200), "Heavy Doemstic User", IF(#REF!&gt;10, "Interntional User", IF(AND(#REF!&lt;180, #REF!&lt;200,#REF!&lt;200), "Light User", "Balanced User")))</f>
        <v>#REF!</v>
      </c>
      <c r="AC923" t="e">
        <f>IF(#REF! = 0, "No Usage", IF(#REF! &lt;= 20, "Low Usage", IF(#REF! &lt;= 40, "Medium Usgae", "High Usage")))</f>
        <v>#REF!</v>
      </c>
      <c r="AD923" t="e">
        <f>IF(#REF!&lt;=150,"Low Usage", IF(#REF!&lt;=200,"Medium Usage", IF(#REF!&lt;=250,"High Usage","Very High Usage")))</f>
        <v>#REF!</v>
      </c>
      <c r="AE923" t="e">
        <f>IF(#REF!&lt;=5,"Low Calls", IF(#REF!&lt;=10, "Medium Calls", "High Calls"))</f>
        <v>#REF!</v>
      </c>
      <c r="AF923" t="e">
        <f xml:space="preserve">
IF(#REF!&gt;=4,4,0)+
IF(#REF!="yes",3,0)+
IF(#REF!="High Charges",3,0)+
IF(#REF!&gt;250,4,0)+
IF(#REF!="no",1,0)+
IF(#REF!="Heavy Domestic User",2,0)</f>
        <v>#REF!</v>
      </c>
      <c r="AG923" t="e">
        <f>IF(#REF!&gt;=10,"High Risk", IF(#REF!&gt;=5,"Medium Risk","Low Risk"))</f>
        <v>#REF!</v>
      </c>
      <c r="AH923" t="e">
        <f>#REF! + #REF! + #REF! + #REF!</f>
        <v>#REF!</v>
      </c>
    </row>
    <row r="924" spans="1:34" x14ac:dyDescent="0.35">
      <c r="A924">
        <v>923</v>
      </c>
      <c r="B924" t="s">
        <v>31</v>
      </c>
      <c r="C924">
        <v>30</v>
      </c>
      <c r="D924" t="s">
        <v>28</v>
      </c>
      <c r="E924" t="s">
        <v>22</v>
      </c>
      <c r="F924" t="s">
        <v>22</v>
      </c>
      <c r="G924">
        <v>0</v>
      </c>
      <c r="H924">
        <v>162.30000000000001</v>
      </c>
      <c r="I924">
        <v>96</v>
      </c>
      <c r="J924">
        <v>27.59</v>
      </c>
      <c r="K924">
        <v>244</v>
      </c>
      <c r="L924">
        <v>122</v>
      </c>
      <c r="M924">
        <v>20.74</v>
      </c>
      <c r="N924">
        <v>180.1</v>
      </c>
      <c r="O924">
        <v>89</v>
      </c>
      <c r="P924">
        <v>8.1</v>
      </c>
      <c r="Q924">
        <v>9.1</v>
      </c>
      <c r="R924">
        <v>4</v>
      </c>
      <c r="S924">
        <v>2.46</v>
      </c>
      <c r="T924">
        <v>2</v>
      </c>
      <c r="U924" t="s">
        <v>22</v>
      </c>
      <c r="V924" t="e">
        <f>IF(#REF! = "yes", 1, 0)</f>
        <v>#REF!</v>
      </c>
      <c r="W924" t="e">
        <f>IF(#REF! &lt;= 1, "0-1 Calls", IF(#REF! &lt;= 3, "2-3 Calls", IF(#REF! &lt;=5, "4-5 Calls", "6+ Calls")))</f>
        <v>#REF!</v>
      </c>
      <c r="X924" t="e">
        <f>IF(#REF! &lt;= 50, "0-50", IF(#REF! &lt;=100, "51-100", IF(#REF! &lt;= 150, "101-150", "151+")))</f>
        <v>#REF!</v>
      </c>
      <c r="Y924" t="e">
        <f>IF(#REF! &lt;= 3, "Low Charges", "High Charges")</f>
        <v>#REF!</v>
      </c>
      <c r="Z924" t="e">
        <f>IF(#REF!&lt;=80,"Low Calls",
IF(#REF!&lt;=120,"Medium Calls","High Calls"))</f>
        <v>#REF!</v>
      </c>
      <c r="AA924" t="e">
        <f>IF(#REF!&lt;=15,"Low Charges",
IF(#REF!&lt;=20,"Medium Charges","High Charges"))</f>
        <v>#REF!</v>
      </c>
      <c r="AB924" t="e">
        <f>IF(AND(#REF!&gt;180, #REF!&gt;200), "Heavy Doemstic User", IF(#REF!&gt;10, "Interntional User", IF(AND(#REF!&lt;180, #REF!&lt;200,#REF!&lt;200), "Light User", "Balanced User")))</f>
        <v>#REF!</v>
      </c>
      <c r="AC924" t="e">
        <f>IF(#REF! = 0, "No Usage", IF(#REF! &lt;= 20, "Low Usage", IF(#REF! &lt;= 40, "Medium Usgae", "High Usage")))</f>
        <v>#REF!</v>
      </c>
      <c r="AD924" t="e">
        <f>IF(#REF!&lt;=150,"Low Usage", IF(#REF!&lt;=200,"Medium Usage", IF(#REF!&lt;=250,"High Usage","Very High Usage")))</f>
        <v>#REF!</v>
      </c>
      <c r="AE924" t="e">
        <f>IF(#REF!&lt;=5,"Low Calls", IF(#REF!&lt;=10, "Medium Calls", "High Calls"))</f>
        <v>#REF!</v>
      </c>
      <c r="AF924" t="e">
        <f xml:space="preserve">
IF(#REF!&gt;=4,4,0)+
IF(#REF!="yes",3,0)+
IF(#REF!="High Charges",3,0)+
IF(#REF!&gt;250,4,0)+
IF(#REF!="no",1,0)+
IF(#REF!="Heavy Domestic User",2,0)</f>
        <v>#REF!</v>
      </c>
      <c r="AG924" t="e">
        <f>IF(#REF!&gt;=10,"High Risk", IF(#REF!&gt;=5,"Medium Risk","Low Risk"))</f>
        <v>#REF!</v>
      </c>
      <c r="AH924" t="e">
        <f>#REF! + #REF! + #REF! + #REF!</f>
        <v>#REF!</v>
      </c>
    </row>
    <row r="925" spans="1:34" x14ac:dyDescent="0.35">
      <c r="A925">
        <v>924</v>
      </c>
      <c r="B925" t="s">
        <v>24</v>
      </c>
      <c r="C925">
        <v>111</v>
      </c>
      <c r="D925" t="s">
        <v>28</v>
      </c>
      <c r="E925" t="s">
        <v>22</v>
      </c>
      <c r="F925" t="s">
        <v>22</v>
      </c>
      <c r="G925">
        <v>0</v>
      </c>
      <c r="H925">
        <v>176.9</v>
      </c>
      <c r="I925">
        <v>128</v>
      </c>
      <c r="J925">
        <v>30.07</v>
      </c>
      <c r="K925">
        <v>102.8</v>
      </c>
      <c r="L925">
        <v>56</v>
      </c>
      <c r="M925">
        <v>8.74</v>
      </c>
      <c r="N925">
        <v>213.7</v>
      </c>
      <c r="O925">
        <v>84</v>
      </c>
      <c r="P925">
        <v>9.6199999999999992</v>
      </c>
      <c r="Q925">
        <v>10.5</v>
      </c>
      <c r="R925">
        <v>2</v>
      </c>
      <c r="S925">
        <v>2.84</v>
      </c>
      <c r="T925">
        <v>4</v>
      </c>
      <c r="U925" t="s">
        <v>23</v>
      </c>
      <c r="V925" t="e">
        <f>IF(#REF! = "yes", 1, 0)</f>
        <v>#REF!</v>
      </c>
      <c r="W925" t="e">
        <f>IF(#REF! &lt;= 1, "0-1 Calls", IF(#REF! &lt;= 3, "2-3 Calls", IF(#REF! &lt;=5, "4-5 Calls", "6+ Calls")))</f>
        <v>#REF!</v>
      </c>
      <c r="X925" t="e">
        <f>IF(#REF! &lt;= 50, "0-50", IF(#REF! &lt;=100, "51-100", IF(#REF! &lt;= 150, "101-150", "151+")))</f>
        <v>#REF!</v>
      </c>
      <c r="Y925" t="e">
        <f>IF(#REF! &lt;= 3, "Low Charges", "High Charges")</f>
        <v>#REF!</v>
      </c>
      <c r="Z925" t="e">
        <f>IF(#REF!&lt;=80,"Low Calls",
IF(#REF!&lt;=120,"Medium Calls","High Calls"))</f>
        <v>#REF!</v>
      </c>
      <c r="AA925" t="e">
        <f>IF(#REF!&lt;=15,"Low Charges",
IF(#REF!&lt;=20,"Medium Charges","High Charges"))</f>
        <v>#REF!</v>
      </c>
      <c r="AB925" t="e">
        <f>IF(AND(#REF!&gt;180, #REF!&gt;200), "Heavy Doemstic User", IF(#REF!&gt;10, "Interntional User", IF(AND(#REF!&lt;180, #REF!&lt;200,#REF!&lt;200), "Light User", "Balanced User")))</f>
        <v>#REF!</v>
      </c>
      <c r="AC925" t="e">
        <f>IF(#REF! = 0, "No Usage", IF(#REF! &lt;= 20, "Low Usage", IF(#REF! &lt;= 40, "Medium Usgae", "High Usage")))</f>
        <v>#REF!</v>
      </c>
      <c r="AD925" t="e">
        <f>IF(#REF!&lt;=150,"Low Usage", IF(#REF!&lt;=200,"Medium Usage", IF(#REF!&lt;=250,"High Usage","Very High Usage")))</f>
        <v>#REF!</v>
      </c>
      <c r="AE925" t="e">
        <f>IF(#REF!&lt;=5,"Low Calls", IF(#REF!&lt;=10, "Medium Calls", "High Calls"))</f>
        <v>#REF!</v>
      </c>
      <c r="AF925" t="e">
        <f xml:space="preserve">
IF(#REF!&gt;=4,4,0)+
IF(#REF!="yes",3,0)+
IF(#REF!="High Charges",3,0)+
IF(#REF!&gt;250,4,0)+
IF(#REF!="no",1,0)+
IF(#REF!="Heavy Domestic User",2,0)</f>
        <v>#REF!</v>
      </c>
      <c r="AG925" t="e">
        <f>IF(#REF!&gt;=10,"High Risk", IF(#REF!&gt;=5,"Medium Risk","Low Risk"))</f>
        <v>#REF!</v>
      </c>
      <c r="AH925" t="e">
        <f>#REF! + #REF! + #REF! + #REF!</f>
        <v>#REF!</v>
      </c>
    </row>
    <row r="926" spans="1:34" x14ac:dyDescent="0.35">
      <c r="A926">
        <v>925</v>
      </c>
      <c r="B926" t="s">
        <v>70</v>
      </c>
      <c r="C926">
        <v>52</v>
      </c>
      <c r="D926" t="s">
        <v>21</v>
      </c>
      <c r="E926" t="s">
        <v>22</v>
      </c>
      <c r="F926" t="s">
        <v>22</v>
      </c>
      <c r="G926">
        <v>0</v>
      </c>
      <c r="H926">
        <v>165.5</v>
      </c>
      <c r="I926">
        <v>78</v>
      </c>
      <c r="J926">
        <v>28.14</v>
      </c>
      <c r="K926">
        <v>205.5</v>
      </c>
      <c r="L926">
        <v>89</v>
      </c>
      <c r="M926">
        <v>17.47</v>
      </c>
      <c r="N926">
        <v>213.6</v>
      </c>
      <c r="O926">
        <v>124</v>
      </c>
      <c r="P926">
        <v>9.61</v>
      </c>
      <c r="Q926">
        <v>12.2</v>
      </c>
      <c r="R926">
        <v>6</v>
      </c>
      <c r="S926">
        <v>3.29</v>
      </c>
      <c r="T926">
        <v>0</v>
      </c>
      <c r="U926" t="s">
        <v>22</v>
      </c>
      <c r="V926" t="e">
        <f>IF(#REF! = "yes", 1, 0)</f>
        <v>#REF!</v>
      </c>
      <c r="W926" t="e">
        <f>IF(#REF! &lt;= 1, "0-1 Calls", IF(#REF! &lt;= 3, "2-3 Calls", IF(#REF! &lt;=5, "4-5 Calls", "6+ Calls")))</f>
        <v>#REF!</v>
      </c>
      <c r="X926" t="e">
        <f>IF(#REF! &lt;= 50, "0-50", IF(#REF! &lt;=100, "51-100", IF(#REF! &lt;= 150, "101-150", "151+")))</f>
        <v>#REF!</v>
      </c>
      <c r="Y926" t="e">
        <f>IF(#REF! &lt;= 3, "Low Charges", "High Charges")</f>
        <v>#REF!</v>
      </c>
      <c r="Z926" t="e">
        <f>IF(#REF!&lt;=80,"Low Calls",
IF(#REF!&lt;=120,"Medium Calls","High Calls"))</f>
        <v>#REF!</v>
      </c>
      <c r="AA926" t="e">
        <f>IF(#REF!&lt;=15,"Low Charges",
IF(#REF!&lt;=20,"Medium Charges","High Charges"))</f>
        <v>#REF!</v>
      </c>
      <c r="AB926" t="e">
        <f>IF(AND(#REF!&gt;180, #REF!&gt;200), "Heavy Doemstic User", IF(#REF!&gt;10, "Interntional User", IF(AND(#REF!&lt;180, #REF!&lt;200,#REF!&lt;200), "Light User", "Balanced User")))</f>
        <v>#REF!</v>
      </c>
      <c r="AC926" t="e">
        <f>IF(#REF! = 0, "No Usage", IF(#REF! &lt;= 20, "Low Usage", IF(#REF! &lt;= 40, "Medium Usgae", "High Usage")))</f>
        <v>#REF!</v>
      </c>
      <c r="AD926" t="e">
        <f>IF(#REF!&lt;=150,"Low Usage", IF(#REF!&lt;=200,"Medium Usage", IF(#REF!&lt;=250,"High Usage","Very High Usage")))</f>
        <v>#REF!</v>
      </c>
      <c r="AE926" t="e">
        <f>IF(#REF!&lt;=5,"Low Calls", IF(#REF!&lt;=10, "Medium Calls", "High Calls"))</f>
        <v>#REF!</v>
      </c>
      <c r="AF926" t="e">
        <f xml:space="preserve">
IF(#REF!&gt;=4,4,0)+
IF(#REF!="yes",3,0)+
IF(#REF!="High Charges",3,0)+
IF(#REF!&gt;250,4,0)+
IF(#REF!="no",1,0)+
IF(#REF!="Heavy Domestic User",2,0)</f>
        <v>#REF!</v>
      </c>
      <c r="AG926" t="e">
        <f>IF(#REF!&gt;=10,"High Risk", IF(#REF!&gt;=5,"Medium Risk","Low Risk"))</f>
        <v>#REF!</v>
      </c>
      <c r="AH926" t="e">
        <f>#REF! + #REF! + #REF! + #REF!</f>
        <v>#REF!</v>
      </c>
    </row>
    <row r="927" spans="1:34" x14ac:dyDescent="0.35">
      <c r="A927">
        <v>926</v>
      </c>
      <c r="B927" t="s">
        <v>68</v>
      </c>
      <c r="C927">
        <v>72</v>
      </c>
      <c r="D927" t="s">
        <v>21</v>
      </c>
      <c r="E927" t="s">
        <v>22</v>
      </c>
      <c r="F927" t="s">
        <v>22</v>
      </c>
      <c r="G927">
        <v>0</v>
      </c>
      <c r="H927">
        <v>217.8</v>
      </c>
      <c r="I927">
        <v>93</v>
      </c>
      <c r="J927">
        <v>37.03</v>
      </c>
      <c r="K927">
        <v>189.7</v>
      </c>
      <c r="L927">
        <v>113</v>
      </c>
      <c r="M927">
        <v>16.12</v>
      </c>
      <c r="N927">
        <v>182.6</v>
      </c>
      <c r="O927">
        <v>91</v>
      </c>
      <c r="P927">
        <v>8.2200000000000006</v>
      </c>
      <c r="Q927">
        <v>10.4</v>
      </c>
      <c r="R927">
        <v>5</v>
      </c>
      <c r="S927">
        <v>2.81</v>
      </c>
      <c r="T927">
        <v>4</v>
      </c>
      <c r="U927" t="s">
        <v>22</v>
      </c>
      <c r="V927" t="e">
        <f>IF(#REF! = "yes", 1, 0)</f>
        <v>#REF!</v>
      </c>
      <c r="W927" t="e">
        <f>IF(#REF! &lt;= 1, "0-1 Calls", IF(#REF! &lt;= 3, "2-3 Calls", IF(#REF! &lt;=5, "4-5 Calls", "6+ Calls")))</f>
        <v>#REF!</v>
      </c>
      <c r="X927" t="e">
        <f>IF(#REF! &lt;= 50, "0-50", IF(#REF! &lt;=100, "51-100", IF(#REF! &lt;= 150, "101-150", "151+")))</f>
        <v>#REF!</v>
      </c>
      <c r="Y927" t="e">
        <f>IF(#REF! &lt;= 3, "Low Charges", "High Charges")</f>
        <v>#REF!</v>
      </c>
      <c r="Z927" t="e">
        <f>IF(#REF!&lt;=80,"Low Calls",
IF(#REF!&lt;=120,"Medium Calls","High Calls"))</f>
        <v>#REF!</v>
      </c>
      <c r="AA927" t="e">
        <f>IF(#REF!&lt;=15,"Low Charges",
IF(#REF!&lt;=20,"Medium Charges","High Charges"))</f>
        <v>#REF!</v>
      </c>
      <c r="AB927" t="e">
        <f>IF(AND(#REF!&gt;180, #REF!&gt;200), "Heavy Doemstic User", IF(#REF!&gt;10, "Interntional User", IF(AND(#REF!&lt;180, #REF!&lt;200,#REF!&lt;200), "Light User", "Balanced User")))</f>
        <v>#REF!</v>
      </c>
      <c r="AC927" t="e">
        <f>IF(#REF! = 0, "No Usage", IF(#REF! &lt;= 20, "Low Usage", IF(#REF! &lt;= 40, "Medium Usgae", "High Usage")))</f>
        <v>#REF!</v>
      </c>
      <c r="AD927" t="e">
        <f>IF(#REF!&lt;=150,"Low Usage", IF(#REF!&lt;=200,"Medium Usage", IF(#REF!&lt;=250,"High Usage","Very High Usage")))</f>
        <v>#REF!</v>
      </c>
      <c r="AE927" t="e">
        <f>IF(#REF!&lt;=5,"Low Calls", IF(#REF!&lt;=10, "Medium Calls", "High Calls"))</f>
        <v>#REF!</v>
      </c>
      <c r="AF927" t="e">
        <f xml:space="preserve">
IF(#REF!&gt;=4,4,0)+
IF(#REF!="yes",3,0)+
IF(#REF!="High Charges",3,0)+
IF(#REF!&gt;250,4,0)+
IF(#REF!="no",1,0)+
IF(#REF!="Heavy Domestic User",2,0)</f>
        <v>#REF!</v>
      </c>
      <c r="AG927" t="e">
        <f>IF(#REF!&gt;=10,"High Risk", IF(#REF!&gt;=5,"Medium Risk","Low Risk"))</f>
        <v>#REF!</v>
      </c>
      <c r="AH927" t="e">
        <f>#REF! + #REF! + #REF! + #REF!</f>
        <v>#REF!</v>
      </c>
    </row>
    <row r="928" spans="1:34" x14ac:dyDescent="0.35">
      <c r="A928">
        <v>927</v>
      </c>
      <c r="B928" t="s">
        <v>24</v>
      </c>
      <c r="C928">
        <v>135</v>
      </c>
      <c r="D928" t="s">
        <v>28</v>
      </c>
      <c r="E928" t="s">
        <v>22</v>
      </c>
      <c r="F928" t="s">
        <v>23</v>
      </c>
      <c r="G928">
        <v>28</v>
      </c>
      <c r="H928">
        <v>201.4</v>
      </c>
      <c r="I928">
        <v>100</v>
      </c>
      <c r="J928">
        <v>34.24</v>
      </c>
      <c r="K928">
        <v>246.5</v>
      </c>
      <c r="L928">
        <v>117</v>
      </c>
      <c r="M928">
        <v>20.95</v>
      </c>
      <c r="N928">
        <v>154.80000000000001</v>
      </c>
      <c r="O928">
        <v>131</v>
      </c>
      <c r="P928">
        <v>6.97</v>
      </c>
      <c r="Q928">
        <v>12.9</v>
      </c>
      <c r="R928">
        <v>4</v>
      </c>
      <c r="S928">
        <v>3.48</v>
      </c>
      <c r="T928">
        <v>2</v>
      </c>
      <c r="U928" t="s">
        <v>23</v>
      </c>
      <c r="V928" t="e">
        <f>IF(#REF! = "yes", 1, 0)</f>
        <v>#REF!</v>
      </c>
      <c r="W928" t="e">
        <f>IF(#REF! &lt;= 1, "0-1 Calls", IF(#REF! &lt;= 3, "2-3 Calls", IF(#REF! &lt;=5, "4-5 Calls", "6+ Calls")))</f>
        <v>#REF!</v>
      </c>
      <c r="X928" t="e">
        <f>IF(#REF! &lt;= 50, "0-50", IF(#REF! &lt;=100, "51-100", IF(#REF! &lt;= 150, "101-150", "151+")))</f>
        <v>#REF!</v>
      </c>
      <c r="Y928" t="e">
        <f>IF(#REF! &lt;= 3, "Low Charges", "High Charges")</f>
        <v>#REF!</v>
      </c>
      <c r="Z928" t="e">
        <f>IF(#REF!&lt;=80,"Low Calls",
IF(#REF!&lt;=120,"Medium Calls","High Calls"))</f>
        <v>#REF!</v>
      </c>
      <c r="AA928" t="e">
        <f>IF(#REF!&lt;=15,"Low Charges",
IF(#REF!&lt;=20,"Medium Charges","High Charges"))</f>
        <v>#REF!</v>
      </c>
      <c r="AB928" t="e">
        <f>IF(AND(#REF!&gt;180, #REF!&gt;200), "Heavy Doemstic User", IF(#REF!&gt;10, "Interntional User", IF(AND(#REF!&lt;180, #REF!&lt;200,#REF!&lt;200), "Light User", "Balanced User")))</f>
        <v>#REF!</v>
      </c>
      <c r="AC928" t="e">
        <f>IF(#REF! = 0, "No Usage", IF(#REF! &lt;= 20, "Low Usage", IF(#REF! &lt;= 40, "Medium Usgae", "High Usage")))</f>
        <v>#REF!</v>
      </c>
      <c r="AD928" t="e">
        <f>IF(#REF!&lt;=150,"Low Usage", IF(#REF!&lt;=200,"Medium Usage", IF(#REF!&lt;=250,"High Usage","Very High Usage")))</f>
        <v>#REF!</v>
      </c>
      <c r="AE928" t="e">
        <f>IF(#REF!&lt;=5,"Low Calls", IF(#REF!&lt;=10, "Medium Calls", "High Calls"))</f>
        <v>#REF!</v>
      </c>
      <c r="AF928" t="e">
        <f xml:space="preserve">
IF(#REF!&gt;=4,4,0)+
IF(#REF!="yes",3,0)+
IF(#REF!="High Charges",3,0)+
IF(#REF!&gt;250,4,0)+
IF(#REF!="no",1,0)+
IF(#REF!="Heavy Domestic User",2,0)</f>
        <v>#REF!</v>
      </c>
      <c r="AG928" t="e">
        <f>IF(#REF!&gt;=10,"High Risk", IF(#REF!&gt;=5,"Medium Risk","Low Risk"))</f>
        <v>#REF!</v>
      </c>
      <c r="AH928" t="e">
        <f>#REF! + #REF! + #REF! + #REF!</f>
        <v>#REF!</v>
      </c>
    </row>
    <row r="929" spans="1:34" x14ac:dyDescent="0.35">
      <c r="A929">
        <v>928</v>
      </c>
      <c r="B929" t="s">
        <v>58</v>
      </c>
      <c r="C929">
        <v>86</v>
      </c>
      <c r="D929" t="s">
        <v>28</v>
      </c>
      <c r="E929" t="s">
        <v>22</v>
      </c>
      <c r="F929" t="s">
        <v>22</v>
      </c>
      <c r="G929">
        <v>0</v>
      </c>
      <c r="H929">
        <v>190.5</v>
      </c>
      <c r="I929">
        <v>115</v>
      </c>
      <c r="J929">
        <v>32.39</v>
      </c>
      <c r="K929">
        <v>179.6</v>
      </c>
      <c r="L929">
        <v>130</v>
      </c>
      <c r="M929">
        <v>15.27</v>
      </c>
      <c r="N929">
        <v>258.5</v>
      </c>
      <c r="O929">
        <v>89</v>
      </c>
      <c r="P929">
        <v>11.63</v>
      </c>
      <c r="Q929">
        <v>10.1</v>
      </c>
      <c r="R929">
        <v>5</v>
      </c>
      <c r="S929">
        <v>2.73</v>
      </c>
      <c r="T929">
        <v>3</v>
      </c>
      <c r="U929" t="s">
        <v>22</v>
      </c>
      <c r="V929" t="e">
        <f>IF(#REF! = "yes", 1, 0)</f>
        <v>#REF!</v>
      </c>
      <c r="W929" t="e">
        <f>IF(#REF! &lt;= 1, "0-1 Calls", IF(#REF! &lt;= 3, "2-3 Calls", IF(#REF! &lt;=5, "4-5 Calls", "6+ Calls")))</f>
        <v>#REF!</v>
      </c>
      <c r="X929" t="e">
        <f>IF(#REF! &lt;= 50, "0-50", IF(#REF! &lt;=100, "51-100", IF(#REF! &lt;= 150, "101-150", "151+")))</f>
        <v>#REF!</v>
      </c>
      <c r="Y929" t="e">
        <f>IF(#REF! &lt;= 3, "Low Charges", "High Charges")</f>
        <v>#REF!</v>
      </c>
      <c r="Z929" t="e">
        <f>IF(#REF!&lt;=80,"Low Calls",
IF(#REF!&lt;=120,"Medium Calls","High Calls"))</f>
        <v>#REF!</v>
      </c>
      <c r="AA929" t="e">
        <f>IF(#REF!&lt;=15,"Low Charges",
IF(#REF!&lt;=20,"Medium Charges","High Charges"))</f>
        <v>#REF!</v>
      </c>
      <c r="AB929" t="e">
        <f>IF(AND(#REF!&gt;180, #REF!&gt;200), "Heavy Doemstic User", IF(#REF!&gt;10, "Interntional User", IF(AND(#REF!&lt;180, #REF!&lt;200,#REF!&lt;200), "Light User", "Balanced User")))</f>
        <v>#REF!</v>
      </c>
      <c r="AC929" t="e">
        <f>IF(#REF! = 0, "No Usage", IF(#REF! &lt;= 20, "Low Usage", IF(#REF! &lt;= 40, "Medium Usgae", "High Usage")))</f>
        <v>#REF!</v>
      </c>
      <c r="AD929" t="e">
        <f>IF(#REF!&lt;=150,"Low Usage", IF(#REF!&lt;=200,"Medium Usage", IF(#REF!&lt;=250,"High Usage","Very High Usage")))</f>
        <v>#REF!</v>
      </c>
      <c r="AE929" t="e">
        <f>IF(#REF!&lt;=5,"Low Calls", IF(#REF!&lt;=10, "Medium Calls", "High Calls"))</f>
        <v>#REF!</v>
      </c>
      <c r="AF929" t="e">
        <f xml:space="preserve">
IF(#REF!&gt;=4,4,0)+
IF(#REF!="yes",3,0)+
IF(#REF!="High Charges",3,0)+
IF(#REF!&gt;250,4,0)+
IF(#REF!="no",1,0)+
IF(#REF!="Heavy Domestic User",2,0)</f>
        <v>#REF!</v>
      </c>
      <c r="AG929" t="e">
        <f>IF(#REF!&gt;=10,"High Risk", IF(#REF!&gt;=5,"Medium Risk","Low Risk"))</f>
        <v>#REF!</v>
      </c>
      <c r="AH929" t="e">
        <f>#REF! + #REF! + #REF! + #REF!</f>
        <v>#REF!</v>
      </c>
    </row>
    <row r="930" spans="1:34" x14ac:dyDescent="0.35">
      <c r="A930">
        <v>929</v>
      </c>
      <c r="B930" t="s">
        <v>54</v>
      </c>
      <c r="C930">
        <v>98</v>
      </c>
      <c r="D930" t="s">
        <v>21</v>
      </c>
      <c r="E930" t="s">
        <v>22</v>
      </c>
      <c r="F930" t="s">
        <v>23</v>
      </c>
      <c r="G930">
        <v>29</v>
      </c>
      <c r="H930">
        <v>179.9</v>
      </c>
      <c r="I930">
        <v>97</v>
      </c>
      <c r="J930">
        <v>30.58</v>
      </c>
      <c r="K930">
        <v>189.2</v>
      </c>
      <c r="L930">
        <v>89</v>
      </c>
      <c r="M930">
        <v>16.079999999999998</v>
      </c>
      <c r="N930">
        <v>164.3</v>
      </c>
      <c r="O930">
        <v>76</v>
      </c>
      <c r="P930">
        <v>7.39</v>
      </c>
      <c r="Q930">
        <v>12.8</v>
      </c>
      <c r="R930">
        <v>7</v>
      </c>
      <c r="S930">
        <v>3.46</v>
      </c>
      <c r="T930">
        <v>3</v>
      </c>
      <c r="U930" t="s">
        <v>22</v>
      </c>
      <c r="V930" t="e">
        <f>IF(#REF! = "yes", 1, 0)</f>
        <v>#REF!</v>
      </c>
      <c r="W930" t="e">
        <f>IF(#REF! &lt;= 1, "0-1 Calls", IF(#REF! &lt;= 3, "2-3 Calls", IF(#REF! &lt;=5, "4-5 Calls", "6+ Calls")))</f>
        <v>#REF!</v>
      </c>
      <c r="X930" t="e">
        <f>IF(#REF! &lt;= 50, "0-50", IF(#REF! &lt;=100, "51-100", IF(#REF! &lt;= 150, "101-150", "151+")))</f>
        <v>#REF!</v>
      </c>
      <c r="Y930" t="e">
        <f>IF(#REF! &lt;= 3, "Low Charges", "High Charges")</f>
        <v>#REF!</v>
      </c>
      <c r="Z930" t="e">
        <f>IF(#REF!&lt;=80,"Low Calls",
IF(#REF!&lt;=120,"Medium Calls","High Calls"))</f>
        <v>#REF!</v>
      </c>
      <c r="AA930" t="e">
        <f>IF(#REF!&lt;=15,"Low Charges",
IF(#REF!&lt;=20,"Medium Charges","High Charges"))</f>
        <v>#REF!</v>
      </c>
      <c r="AB930" t="e">
        <f>IF(AND(#REF!&gt;180, #REF!&gt;200), "Heavy Doemstic User", IF(#REF!&gt;10, "Interntional User", IF(AND(#REF!&lt;180, #REF!&lt;200,#REF!&lt;200), "Light User", "Balanced User")))</f>
        <v>#REF!</v>
      </c>
      <c r="AC930" t="e">
        <f>IF(#REF! = 0, "No Usage", IF(#REF! &lt;= 20, "Low Usage", IF(#REF! &lt;= 40, "Medium Usgae", "High Usage")))</f>
        <v>#REF!</v>
      </c>
      <c r="AD930" t="e">
        <f>IF(#REF!&lt;=150,"Low Usage", IF(#REF!&lt;=200,"Medium Usage", IF(#REF!&lt;=250,"High Usage","Very High Usage")))</f>
        <v>#REF!</v>
      </c>
      <c r="AE930" t="e">
        <f>IF(#REF!&lt;=5,"Low Calls", IF(#REF!&lt;=10, "Medium Calls", "High Calls"))</f>
        <v>#REF!</v>
      </c>
      <c r="AF930" t="e">
        <f xml:space="preserve">
IF(#REF!&gt;=4,4,0)+
IF(#REF!="yes",3,0)+
IF(#REF!="High Charges",3,0)+
IF(#REF!&gt;250,4,0)+
IF(#REF!="no",1,0)+
IF(#REF!="Heavy Domestic User",2,0)</f>
        <v>#REF!</v>
      </c>
      <c r="AG930" t="e">
        <f>IF(#REF!&gt;=10,"High Risk", IF(#REF!&gt;=5,"Medium Risk","Low Risk"))</f>
        <v>#REF!</v>
      </c>
      <c r="AH930" t="e">
        <f>#REF! + #REF! + #REF! + #REF!</f>
        <v>#REF!</v>
      </c>
    </row>
    <row r="931" spans="1:34" x14ac:dyDescent="0.35">
      <c r="A931">
        <v>930</v>
      </c>
      <c r="B931" t="s">
        <v>44</v>
      </c>
      <c r="C931">
        <v>151</v>
      </c>
      <c r="D931" t="s">
        <v>28</v>
      </c>
      <c r="E931" t="s">
        <v>22</v>
      </c>
      <c r="F931" t="s">
        <v>22</v>
      </c>
      <c r="G931">
        <v>0</v>
      </c>
      <c r="H931">
        <v>235.9</v>
      </c>
      <c r="I931">
        <v>104</v>
      </c>
      <c r="J931">
        <v>40.1</v>
      </c>
      <c r="K931">
        <v>80.599999999999994</v>
      </c>
      <c r="L931">
        <v>91</v>
      </c>
      <c r="M931">
        <v>6.85</v>
      </c>
      <c r="N931">
        <v>212.8</v>
      </c>
      <c r="O931">
        <v>116</v>
      </c>
      <c r="P931">
        <v>9.58</v>
      </c>
      <c r="Q931">
        <v>5.8</v>
      </c>
      <c r="R931">
        <v>2</v>
      </c>
      <c r="S931">
        <v>1.57</v>
      </c>
      <c r="T931">
        <v>3</v>
      </c>
      <c r="U931" t="s">
        <v>22</v>
      </c>
      <c r="V931" t="e">
        <f>IF(#REF! = "yes", 1, 0)</f>
        <v>#REF!</v>
      </c>
      <c r="W931" t="e">
        <f>IF(#REF! &lt;= 1, "0-1 Calls", IF(#REF! &lt;= 3, "2-3 Calls", IF(#REF! &lt;=5, "4-5 Calls", "6+ Calls")))</f>
        <v>#REF!</v>
      </c>
      <c r="X931" t="e">
        <f>IF(#REF! &lt;= 50, "0-50", IF(#REF! &lt;=100, "51-100", IF(#REF! &lt;= 150, "101-150", "151+")))</f>
        <v>#REF!</v>
      </c>
      <c r="Y931" t="e">
        <f>IF(#REF! &lt;= 3, "Low Charges", "High Charges")</f>
        <v>#REF!</v>
      </c>
      <c r="Z931" t="e">
        <f>IF(#REF!&lt;=80,"Low Calls",
IF(#REF!&lt;=120,"Medium Calls","High Calls"))</f>
        <v>#REF!</v>
      </c>
      <c r="AA931" t="e">
        <f>IF(#REF!&lt;=15,"Low Charges",
IF(#REF!&lt;=20,"Medium Charges","High Charges"))</f>
        <v>#REF!</v>
      </c>
      <c r="AB931" t="e">
        <f>IF(AND(#REF!&gt;180, #REF!&gt;200), "Heavy Doemstic User", IF(#REF!&gt;10, "Interntional User", IF(AND(#REF!&lt;180, #REF!&lt;200,#REF!&lt;200), "Light User", "Balanced User")))</f>
        <v>#REF!</v>
      </c>
      <c r="AC931" t="e">
        <f>IF(#REF! = 0, "No Usage", IF(#REF! &lt;= 20, "Low Usage", IF(#REF! &lt;= 40, "Medium Usgae", "High Usage")))</f>
        <v>#REF!</v>
      </c>
      <c r="AD931" t="e">
        <f>IF(#REF!&lt;=150,"Low Usage", IF(#REF!&lt;=200,"Medium Usage", IF(#REF!&lt;=250,"High Usage","Very High Usage")))</f>
        <v>#REF!</v>
      </c>
      <c r="AE931" t="e">
        <f>IF(#REF!&lt;=5,"Low Calls", IF(#REF!&lt;=10, "Medium Calls", "High Calls"))</f>
        <v>#REF!</v>
      </c>
      <c r="AF931" t="e">
        <f xml:space="preserve">
IF(#REF!&gt;=4,4,0)+
IF(#REF!="yes",3,0)+
IF(#REF!="High Charges",3,0)+
IF(#REF!&gt;250,4,0)+
IF(#REF!="no",1,0)+
IF(#REF!="Heavy Domestic User",2,0)</f>
        <v>#REF!</v>
      </c>
      <c r="AG931" t="e">
        <f>IF(#REF!&gt;=10,"High Risk", IF(#REF!&gt;=5,"Medium Risk","Low Risk"))</f>
        <v>#REF!</v>
      </c>
      <c r="AH931" t="e">
        <f>#REF! + #REF! + #REF! + #REF!</f>
        <v>#REF!</v>
      </c>
    </row>
    <row r="932" spans="1:34" x14ac:dyDescent="0.35">
      <c r="A932">
        <v>931</v>
      </c>
      <c r="B932" t="s">
        <v>37</v>
      </c>
      <c r="C932">
        <v>118</v>
      </c>
      <c r="D932" t="s">
        <v>21</v>
      </c>
      <c r="E932" t="s">
        <v>22</v>
      </c>
      <c r="F932" t="s">
        <v>22</v>
      </c>
      <c r="G932">
        <v>0</v>
      </c>
      <c r="H932">
        <v>140.4</v>
      </c>
      <c r="I932">
        <v>112</v>
      </c>
      <c r="J932">
        <v>23.87</v>
      </c>
      <c r="K932">
        <v>187.1</v>
      </c>
      <c r="L932">
        <v>60</v>
      </c>
      <c r="M932">
        <v>15.9</v>
      </c>
      <c r="N932">
        <v>207.9</v>
      </c>
      <c r="O932">
        <v>155</v>
      </c>
      <c r="P932">
        <v>9.36</v>
      </c>
      <c r="Q932">
        <v>7.9</v>
      </c>
      <c r="R932">
        <v>1</v>
      </c>
      <c r="S932">
        <v>2.13</v>
      </c>
      <c r="T932">
        <v>0</v>
      </c>
      <c r="U932" t="s">
        <v>22</v>
      </c>
      <c r="V932" t="e">
        <f>IF(#REF! = "yes", 1, 0)</f>
        <v>#REF!</v>
      </c>
      <c r="W932" t="e">
        <f>IF(#REF! &lt;= 1, "0-1 Calls", IF(#REF! &lt;= 3, "2-3 Calls", IF(#REF! &lt;=5, "4-5 Calls", "6+ Calls")))</f>
        <v>#REF!</v>
      </c>
      <c r="X932" t="e">
        <f>IF(#REF! &lt;= 50, "0-50", IF(#REF! &lt;=100, "51-100", IF(#REF! &lt;= 150, "101-150", "151+")))</f>
        <v>#REF!</v>
      </c>
      <c r="Y932" t="e">
        <f>IF(#REF! &lt;= 3, "Low Charges", "High Charges")</f>
        <v>#REF!</v>
      </c>
      <c r="Z932" t="e">
        <f>IF(#REF!&lt;=80,"Low Calls",
IF(#REF!&lt;=120,"Medium Calls","High Calls"))</f>
        <v>#REF!</v>
      </c>
      <c r="AA932" t="e">
        <f>IF(#REF!&lt;=15,"Low Charges",
IF(#REF!&lt;=20,"Medium Charges","High Charges"))</f>
        <v>#REF!</v>
      </c>
      <c r="AB932" t="e">
        <f>IF(AND(#REF!&gt;180, #REF!&gt;200), "Heavy Doemstic User", IF(#REF!&gt;10, "Interntional User", IF(AND(#REF!&lt;180, #REF!&lt;200,#REF!&lt;200), "Light User", "Balanced User")))</f>
        <v>#REF!</v>
      </c>
      <c r="AC932" t="e">
        <f>IF(#REF! = 0, "No Usage", IF(#REF! &lt;= 20, "Low Usage", IF(#REF! &lt;= 40, "Medium Usgae", "High Usage")))</f>
        <v>#REF!</v>
      </c>
      <c r="AD932" t="e">
        <f>IF(#REF!&lt;=150,"Low Usage", IF(#REF!&lt;=200,"Medium Usage", IF(#REF!&lt;=250,"High Usage","Very High Usage")))</f>
        <v>#REF!</v>
      </c>
      <c r="AE932" t="e">
        <f>IF(#REF!&lt;=5,"Low Calls", IF(#REF!&lt;=10, "Medium Calls", "High Calls"))</f>
        <v>#REF!</v>
      </c>
      <c r="AF932" t="e">
        <f xml:space="preserve">
IF(#REF!&gt;=4,4,0)+
IF(#REF!="yes",3,0)+
IF(#REF!="High Charges",3,0)+
IF(#REF!&gt;250,4,0)+
IF(#REF!="no",1,0)+
IF(#REF!="Heavy Domestic User",2,0)</f>
        <v>#REF!</v>
      </c>
      <c r="AG932" t="e">
        <f>IF(#REF!&gt;=10,"High Risk", IF(#REF!&gt;=5,"Medium Risk","Low Risk"))</f>
        <v>#REF!</v>
      </c>
      <c r="AH932" t="e">
        <f>#REF! + #REF! + #REF! + #REF!</f>
        <v>#REF!</v>
      </c>
    </row>
    <row r="933" spans="1:34" x14ac:dyDescent="0.35">
      <c r="A933">
        <v>932</v>
      </c>
      <c r="B933" t="s">
        <v>36</v>
      </c>
      <c r="C933">
        <v>117</v>
      </c>
      <c r="D933" t="s">
        <v>21</v>
      </c>
      <c r="E933" t="s">
        <v>22</v>
      </c>
      <c r="F933" t="s">
        <v>22</v>
      </c>
      <c r="G933">
        <v>0</v>
      </c>
      <c r="H933">
        <v>144.6</v>
      </c>
      <c r="I933">
        <v>115</v>
      </c>
      <c r="J933">
        <v>24.58</v>
      </c>
      <c r="K933">
        <v>258.8</v>
      </c>
      <c r="L933">
        <v>66</v>
      </c>
      <c r="M933">
        <v>22</v>
      </c>
      <c r="N933">
        <v>253.2</v>
      </c>
      <c r="O933">
        <v>113</v>
      </c>
      <c r="P933">
        <v>11.39</v>
      </c>
      <c r="Q933">
        <v>7.4</v>
      </c>
      <c r="R933">
        <v>9</v>
      </c>
      <c r="S933">
        <v>2</v>
      </c>
      <c r="T933">
        <v>2</v>
      </c>
      <c r="U933" t="s">
        <v>22</v>
      </c>
      <c r="V933" t="e">
        <f>IF(#REF! = "yes", 1, 0)</f>
        <v>#REF!</v>
      </c>
      <c r="W933" t="e">
        <f>IF(#REF! &lt;= 1, "0-1 Calls", IF(#REF! &lt;= 3, "2-3 Calls", IF(#REF! &lt;=5, "4-5 Calls", "6+ Calls")))</f>
        <v>#REF!</v>
      </c>
      <c r="X933" t="e">
        <f>IF(#REF! &lt;= 50, "0-50", IF(#REF! &lt;=100, "51-100", IF(#REF! &lt;= 150, "101-150", "151+")))</f>
        <v>#REF!</v>
      </c>
      <c r="Y933" t="e">
        <f>IF(#REF! &lt;= 3, "Low Charges", "High Charges")</f>
        <v>#REF!</v>
      </c>
      <c r="Z933" t="e">
        <f>IF(#REF!&lt;=80,"Low Calls",
IF(#REF!&lt;=120,"Medium Calls","High Calls"))</f>
        <v>#REF!</v>
      </c>
      <c r="AA933" t="e">
        <f>IF(#REF!&lt;=15,"Low Charges",
IF(#REF!&lt;=20,"Medium Charges","High Charges"))</f>
        <v>#REF!</v>
      </c>
      <c r="AB933" t="e">
        <f>IF(AND(#REF!&gt;180, #REF!&gt;200), "Heavy Doemstic User", IF(#REF!&gt;10, "Interntional User", IF(AND(#REF!&lt;180, #REF!&lt;200,#REF!&lt;200), "Light User", "Balanced User")))</f>
        <v>#REF!</v>
      </c>
      <c r="AC933" t="e">
        <f>IF(#REF! = 0, "No Usage", IF(#REF! &lt;= 20, "Low Usage", IF(#REF! &lt;= 40, "Medium Usgae", "High Usage")))</f>
        <v>#REF!</v>
      </c>
      <c r="AD933" t="e">
        <f>IF(#REF!&lt;=150,"Low Usage", IF(#REF!&lt;=200,"Medium Usage", IF(#REF!&lt;=250,"High Usage","Very High Usage")))</f>
        <v>#REF!</v>
      </c>
      <c r="AE933" t="e">
        <f>IF(#REF!&lt;=5,"Low Calls", IF(#REF!&lt;=10, "Medium Calls", "High Calls"))</f>
        <v>#REF!</v>
      </c>
      <c r="AF933" t="e">
        <f xml:space="preserve">
IF(#REF!&gt;=4,4,0)+
IF(#REF!="yes",3,0)+
IF(#REF!="High Charges",3,0)+
IF(#REF!&gt;250,4,0)+
IF(#REF!="no",1,0)+
IF(#REF!="Heavy Domestic User",2,0)</f>
        <v>#REF!</v>
      </c>
      <c r="AG933" t="e">
        <f>IF(#REF!&gt;=10,"High Risk", IF(#REF!&gt;=5,"Medium Risk","Low Risk"))</f>
        <v>#REF!</v>
      </c>
      <c r="AH933" t="e">
        <f>#REF! + #REF! + #REF! + #REF!</f>
        <v>#REF!</v>
      </c>
    </row>
    <row r="934" spans="1:34" x14ac:dyDescent="0.35">
      <c r="A934">
        <v>933</v>
      </c>
      <c r="B934" t="s">
        <v>29</v>
      </c>
      <c r="C934">
        <v>55</v>
      </c>
      <c r="D934" t="s">
        <v>28</v>
      </c>
      <c r="E934" t="s">
        <v>22</v>
      </c>
      <c r="F934" t="s">
        <v>22</v>
      </c>
      <c r="G934">
        <v>0</v>
      </c>
      <c r="H934">
        <v>189</v>
      </c>
      <c r="I934">
        <v>100</v>
      </c>
      <c r="J934">
        <v>32.130000000000003</v>
      </c>
      <c r="K934">
        <v>118.5</v>
      </c>
      <c r="L934">
        <v>99</v>
      </c>
      <c r="M934">
        <v>10.07</v>
      </c>
      <c r="N934">
        <v>248.1</v>
      </c>
      <c r="O934">
        <v>87</v>
      </c>
      <c r="P934">
        <v>11.16</v>
      </c>
      <c r="Q934">
        <v>17.100000000000001</v>
      </c>
      <c r="R934">
        <v>6</v>
      </c>
      <c r="S934">
        <v>4.62</v>
      </c>
      <c r="T934">
        <v>0</v>
      </c>
      <c r="U934" t="s">
        <v>22</v>
      </c>
      <c r="V934" t="e">
        <f>IF(#REF! = "yes", 1, 0)</f>
        <v>#REF!</v>
      </c>
      <c r="W934" t="e">
        <f>IF(#REF! &lt;= 1, "0-1 Calls", IF(#REF! &lt;= 3, "2-3 Calls", IF(#REF! &lt;=5, "4-5 Calls", "6+ Calls")))</f>
        <v>#REF!</v>
      </c>
      <c r="X934" t="e">
        <f>IF(#REF! &lt;= 50, "0-50", IF(#REF! &lt;=100, "51-100", IF(#REF! &lt;= 150, "101-150", "151+")))</f>
        <v>#REF!</v>
      </c>
      <c r="Y934" t="e">
        <f>IF(#REF! &lt;= 3, "Low Charges", "High Charges")</f>
        <v>#REF!</v>
      </c>
      <c r="Z934" t="e">
        <f>IF(#REF!&lt;=80,"Low Calls",
IF(#REF!&lt;=120,"Medium Calls","High Calls"))</f>
        <v>#REF!</v>
      </c>
      <c r="AA934" t="e">
        <f>IF(#REF!&lt;=15,"Low Charges",
IF(#REF!&lt;=20,"Medium Charges","High Charges"))</f>
        <v>#REF!</v>
      </c>
      <c r="AB934" t="e">
        <f>IF(AND(#REF!&gt;180, #REF!&gt;200), "Heavy Doemstic User", IF(#REF!&gt;10, "Interntional User", IF(AND(#REF!&lt;180, #REF!&lt;200,#REF!&lt;200), "Light User", "Balanced User")))</f>
        <v>#REF!</v>
      </c>
      <c r="AC934" t="e">
        <f>IF(#REF! = 0, "No Usage", IF(#REF! &lt;= 20, "Low Usage", IF(#REF! &lt;= 40, "Medium Usgae", "High Usage")))</f>
        <v>#REF!</v>
      </c>
      <c r="AD934" t="e">
        <f>IF(#REF!&lt;=150,"Low Usage", IF(#REF!&lt;=200,"Medium Usage", IF(#REF!&lt;=250,"High Usage","Very High Usage")))</f>
        <v>#REF!</v>
      </c>
      <c r="AE934" t="e">
        <f>IF(#REF!&lt;=5,"Low Calls", IF(#REF!&lt;=10, "Medium Calls", "High Calls"))</f>
        <v>#REF!</v>
      </c>
      <c r="AF934" t="e">
        <f xml:space="preserve">
IF(#REF!&gt;=4,4,0)+
IF(#REF!="yes",3,0)+
IF(#REF!="High Charges",3,0)+
IF(#REF!&gt;250,4,0)+
IF(#REF!="no",1,0)+
IF(#REF!="Heavy Domestic User",2,0)</f>
        <v>#REF!</v>
      </c>
      <c r="AG934" t="e">
        <f>IF(#REF!&gt;=10,"High Risk", IF(#REF!&gt;=5,"Medium Risk","Low Risk"))</f>
        <v>#REF!</v>
      </c>
      <c r="AH934" t="e">
        <f>#REF! + #REF! + #REF! + #REF!</f>
        <v>#REF!</v>
      </c>
    </row>
    <row r="935" spans="1:34" x14ac:dyDescent="0.35">
      <c r="A935">
        <v>934</v>
      </c>
      <c r="B935" t="s">
        <v>37</v>
      </c>
      <c r="C935">
        <v>82</v>
      </c>
      <c r="D935" t="s">
        <v>25</v>
      </c>
      <c r="E935" t="s">
        <v>22</v>
      </c>
      <c r="F935" t="s">
        <v>22</v>
      </c>
      <c r="G935">
        <v>0</v>
      </c>
      <c r="H935">
        <v>101</v>
      </c>
      <c r="I935">
        <v>93</v>
      </c>
      <c r="J935">
        <v>17.170000000000002</v>
      </c>
      <c r="K935">
        <v>155.6</v>
      </c>
      <c r="L935">
        <v>104</v>
      </c>
      <c r="M935">
        <v>13.23</v>
      </c>
      <c r="N935">
        <v>304.39999999999998</v>
      </c>
      <c r="O935">
        <v>93</v>
      </c>
      <c r="P935">
        <v>13.7</v>
      </c>
      <c r="Q935">
        <v>13.3</v>
      </c>
      <c r="R935">
        <v>2</v>
      </c>
      <c r="S935">
        <v>3.59</v>
      </c>
      <c r="T935">
        <v>0</v>
      </c>
      <c r="U935" t="s">
        <v>22</v>
      </c>
      <c r="V935" t="e">
        <f>IF(#REF! = "yes", 1, 0)</f>
        <v>#REF!</v>
      </c>
      <c r="W935" t="e">
        <f>IF(#REF! &lt;= 1, "0-1 Calls", IF(#REF! &lt;= 3, "2-3 Calls", IF(#REF! &lt;=5, "4-5 Calls", "6+ Calls")))</f>
        <v>#REF!</v>
      </c>
      <c r="X935" t="e">
        <f>IF(#REF! &lt;= 50, "0-50", IF(#REF! &lt;=100, "51-100", IF(#REF! &lt;= 150, "101-150", "151+")))</f>
        <v>#REF!</v>
      </c>
      <c r="Y935" t="e">
        <f>IF(#REF! &lt;= 3, "Low Charges", "High Charges")</f>
        <v>#REF!</v>
      </c>
      <c r="Z935" t="e">
        <f>IF(#REF!&lt;=80,"Low Calls",
IF(#REF!&lt;=120,"Medium Calls","High Calls"))</f>
        <v>#REF!</v>
      </c>
      <c r="AA935" t="e">
        <f>IF(#REF!&lt;=15,"Low Charges",
IF(#REF!&lt;=20,"Medium Charges","High Charges"))</f>
        <v>#REF!</v>
      </c>
      <c r="AB935" t="e">
        <f>IF(AND(#REF!&gt;180, #REF!&gt;200), "Heavy Doemstic User", IF(#REF!&gt;10, "Interntional User", IF(AND(#REF!&lt;180, #REF!&lt;200,#REF!&lt;200), "Light User", "Balanced User")))</f>
        <v>#REF!</v>
      </c>
      <c r="AC935" t="e">
        <f>IF(#REF! = 0, "No Usage", IF(#REF! &lt;= 20, "Low Usage", IF(#REF! &lt;= 40, "Medium Usgae", "High Usage")))</f>
        <v>#REF!</v>
      </c>
      <c r="AD935" t="e">
        <f>IF(#REF!&lt;=150,"Low Usage", IF(#REF!&lt;=200,"Medium Usage", IF(#REF!&lt;=250,"High Usage","Very High Usage")))</f>
        <v>#REF!</v>
      </c>
      <c r="AE935" t="e">
        <f>IF(#REF!&lt;=5,"Low Calls", IF(#REF!&lt;=10, "Medium Calls", "High Calls"))</f>
        <v>#REF!</v>
      </c>
      <c r="AF935" t="e">
        <f xml:space="preserve">
IF(#REF!&gt;=4,4,0)+
IF(#REF!="yes",3,0)+
IF(#REF!="High Charges",3,0)+
IF(#REF!&gt;250,4,0)+
IF(#REF!="no",1,0)+
IF(#REF!="Heavy Domestic User",2,0)</f>
        <v>#REF!</v>
      </c>
      <c r="AG935" t="e">
        <f>IF(#REF!&gt;=10,"High Risk", IF(#REF!&gt;=5,"Medium Risk","Low Risk"))</f>
        <v>#REF!</v>
      </c>
      <c r="AH935" t="e">
        <f>#REF! + #REF! + #REF! + #REF!</f>
        <v>#REF!</v>
      </c>
    </row>
    <row r="936" spans="1:34" x14ac:dyDescent="0.35">
      <c r="A936">
        <v>935</v>
      </c>
      <c r="B936" t="s">
        <v>34</v>
      </c>
      <c r="C936">
        <v>152</v>
      </c>
      <c r="D936" t="s">
        <v>21</v>
      </c>
      <c r="E936" t="s">
        <v>22</v>
      </c>
      <c r="F936" t="s">
        <v>22</v>
      </c>
      <c r="G936">
        <v>0</v>
      </c>
      <c r="H936">
        <v>206.3</v>
      </c>
      <c r="I936">
        <v>98</v>
      </c>
      <c r="J936">
        <v>35.07</v>
      </c>
      <c r="K936">
        <v>292.8</v>
      </c>
      <c r="L936">
        <v>82</v>
      </c>
      <c r="M936">
        <v>24.89</v>
      </c>
      <c r="N936">
        <v>43.7</v>
      </c>
      <c r="O936">
        <v>121</v>
      </c>
      <c r="P936">
        <v>1.97</v>
      </c>
      <c r="Q936">
        <v>10.6</v>
      </c>
      <c r="R936">
        <v>4</v>
      </c>
      <c r="S936">
        <v>2.86</v>
      </c>
      <c r="T936">
        <v>1</v>
      </c>
      <c r="U936" t="s">
        <v>22</v>
      </c>
      <c r="V936" t="e">
        <f>IF(#REF! = "yes", 1, 0)</f>
        <v>#REF!</v>
      </c>
      <c r="W936" t="e">
        <f>IF(#REF! &lt;= 1, "0-1 Calls", IF(#REF! &lt;= 3, "2-3 Calls", IF(#REF! &lt;=5, "4-5 Calls", "6+ Calls")))</f>
        <v>#REF!</v>
      </c>
      <c r="X936" t="e">
        <f>IF(#REF! &lt;= 50, "0-50", IF(#REF! &lt;=100, "51-100", IF(#REF! &lt;= 150, "101-150", "151+")))</f>
        <v>#REF!</v>
      </c>
      <c r="Y936" t="e">
        <f>IF(#REF! &lt;= 3, "Low Charges", "High Charges")</f>
        <v>#REF!</v>
      </c>
      <c r="Z936" t="e">
        <f>IF(#REF!&lt;=80,"Low Calls",
IF(#REF!&lt;=120,"Medium Calls","High Calls"))</f>
        <v>#REF!</v>
      </c>
      <c r="AA936" t="e">
        <f>IF(#REF!&lt;=15,"Low Charges",
IF(#REF!&lt;=20,"Medium Charges","High Charges"))</f>
        <v>#REF!</v>
      </c>
      <c r="AB936" t="e">
        <f>IF(AND(#REF!&gt;180, #REF!&gt;200), "Heavy Doemstic User", IF(#REF!&gt;10, "Interntional User", IF(AND(#REF!&lt;180, #REF!&lt;200,#REF!&lt;200), "Light User", "Balanced User")))</f>
        <v>#REF!</v>
      </c>
      <c r="AC936" t="e">
        <f>IF(#REF! = 0, "No Usage", IF(#REF! &lt;= 20, "Low Usage", IF(#REF! &lt;= 40, "Medium Usgae", "High Usage")))</f>
        <v>#REF!</v>
      </c>
      <c r="AD936" t="e">
        <f>IF(#REF!&lt;=150,"Low Usage", IF(#REF!&lt;=200,"Medium Usage", IF(#REF!&lt;=250,"High Usage","Very High Usage")))</f>
        <v>#REF!</v>
      </c>
      <c r="AE936" t="e">
        <f>IF(#REF!&lt;=5,"Low Calls", IF(#REF!&lt;=10, "Medium Calls", "High Calls"))</f>
        <v>#REF!</v>
      </c>
      <c r="AF936" t="e">
        <f xml:space="preserve">
IF(#REF!&gt;=4,4,0)+
IF(#REF!="yes",3,0)+
IF(#REF!="High Charges",3,0)+
IF(#REF!&gt;250,4,0)+
IF(#REF!="no",1,0)+
IF(#REF!="Heavy Domestic User",2,0)</f>
        <v>#REF!</v>
      </c>
      <c r="AG936" t="e">
        <f>IF(#REF!&gt;=10,"High Risk", IF(#REF!&gt;=5,"Medium Risk","Low Risk"))</f>
        <v>#REF!</v>
      </c>
      <c r="AH936" t="e">
        <f>#REF! + #REF! + #REF! + #REF!</f>
        <v>#REF!</v>
      </c>
    </row>
    <row r="937" spans="1:34" x14ac:dyDescent="0.35">
      <c r="A937">
        <v>936</v>
      </c>
      <c r="B937" t="s">
        <v>71</v>
      </c>
      <c r="C937">
        <v>108</v>
      </c>
      <c r="D937" t="s">
        <v>25</v>
      </c>
      <c r="E937" t="s">
        <v>22</v>
      </c>
      <c r="F937" t="s">
        <v>23</v>
      </c>
      <c r="G937">
        <v>15</v>
      </c>
      <c r="H937">
        <v>165.1</v>
      </c>
      <c r="I937">
        <v>85</v>
      </c>
      <c r="J937">
        <v>28.07</v>
      </c>
      <c r="K937">
        <v>267</v>
      </c>
      <c r="L937">
        <v>93</v>
      </c>
      <c r="M937">
        <v>22.7</v>
      </c>
      <c r="N937">
        <v>250.7</v>
      </c>
      <c r="O937">
        <v>114</v>
      </c>
      <c r="P937">
        <v>11.28</v>
      </c>
      <c r="Q937">
        <v>10.9</v>
      </c>
      <c r="R937">
        <v>4</v>
      </c>
      <c r="S937">
        <v>2.94</v>
      </c>
      <c r="T937">
        <v>1</v>
      </c>
      <c r="U937" t="s">
        <v>22</v>
      </c>
      <c r="V937" t="e">
        <f>IF(#REF! = "yes", 1, 0)</f>
        <v>#REF!</v>
      </c>
      <c r="W937" t="e">
        <f>IF(#REF! &lt;= 1, "0-1 Calls", IF(#REF! &lt;= 3, "2-3 Calls", IF(#REF! &lt;=5, "4-5 Calls", "6+ Calls")))</f>
        <v>#REF!</v>
      </c>
      <c r="X937" t="e">
        <f>IF(#REF! &lt;= 50, "0-50", IF(#REF! &lt;=100, "51-100", IF(#REF! &lt;= 150, "101-150", "151+")))</f>
        <v>#REF!</v>
      </c>
      <c r="Y937" t="e">
        <f>IF(#REF! &lt;= 3, "Low Charges", "High Charges")</f>
        <v>#REF!</v>
      </c>
      <c r="Z937" t="e">
        <f>IF(#REF!&lt;=80,"Low Calls",
IF(#REF!&lt;=120,"Medium Calls","High Calls"))</f>
        <v>#REF!</v>
      </c>
      <c r="AA937" t="e">
        <f>IF(#REF!&lt;=15,"Low Charges",
IF(#REF!&lt;=20,"Medium Charges","High Charges"))</f>
        <v>#REF!</v>
      </c>
      <c r="AB937" t="e">
        <f>IF(AND(#REF!&gt;180, #REF!&gt;200), "Heavy Doemstic User", IF(#REF!&gt;10, "Interntional User", IF(AND(#REF!&lt;180, #REF!&lt;200,#REF!&lt;200), "Light User", "Balanced User")))</f>
        <v>#REF!</v>
      </c>
      <c r="AC937" t="e">
        <f>IF(#REF! = 0, "No Usage", IF(#REF! &lt;= 20, "Low Usage", IF(#REF! &lt;= 40, "Medium Usgae", "High Usage")))</f>
        <v>#REF!</v>
      </c>
      <c r="AD937" t="e">
        <f>IF(#REF!&lt;=150,"Low Usage", IF(#REF!&lt;=200,"Medium Usage", IF(#REF!&lt;=250,"High Usage","Very High Usage")))</f>
        <v>#REF!</v>
      </c>
      <c r="AE937" t="e">
        <f>IF(#REF!&lt;=5,"Low Calls", IF(#REF!&lt;=10, "Medium Calls", "High Calls"))</f>
        <v>#REF!</v>
      </c>
      <c r="AF937" t="e">
        <f xml:space="preserve">
IF(#REF!&gt;=4,4,0)+
IF(#REF!="yes",3,0)+
IF(#REF!="High Charges",3,0)+
IF(#REF!&gt;250,4,0)+
IF(#REF!="no",1,0)+
IF(#REF!="Heavy Domestic User",2,0)</f>
        <v>#REF!</v>
      </c>
      <c r="AG937" t="e">
        <f>IF(#REF!&gt;=10,"High Risk", IF(#REF!&gt;=5,"Medium Risk","Low Risk"))</f>
        <v>#REF!</v>
      </c>
      <c r="AH937" t="e">
        <f>#REF! + #REF! + #REF! + #REF!</f>
        <v>#REF!</v>
      </c>
    </row>
    <row r="938" spans="1:34" x14ac:dyDescent="0.35">
      <c r="A938">
        <v>937</v>
      </c>
      <c r="B938" t="s">
        <v>20</v>
      </c>
      <c r="C938">
        <v>98</v>
      </c>
      <c r="D938" t="s">
        <v>25</v>
      </c>
      <c r="E938" t="s">
        <v>22</v>
      </c>
      <c r="F938" t="s">
        <v>22</v>
      </c>
      <c r="G938">
        <v>0</v>
      </c>
      <c r="H938">
        <v>165</v>
      </c>
      <c r="I938">
        <v>129</v>
      </c>
      <c r="J938">
        <v>28.05</v>
      </c>
      <c r="K938">
        <v>202.6</v>
      </c>
      <c r="L938">
        <v>113</v>
      </c>
      <c r="M938">
        <v>17.22</v>
      </c>
      <c r="N938">
        <v>172.3</v>
      </c>
      <c r="O938">
        <v>94</v>
      </c>
      <c r="P938">
        <v>7.75</v>
      </c>
      <c r="Q938">
        <v>12.5</v>
      </c>
      <c r="R938">
        <v>7</v>
      </c>
      <c r="S938">
        <v>3.38</v>
      </c>
      <c r="T938">
        <v>1</v>
      </c>
      <c r="U938" t="s">
        <v>23</v>
      </c>
      <c r="V938" t="e">
        <f>IF(#REF! = "yes", 1, 0)</f>
        <v>#REF!</v>
      </c>
      <c r="W938" t="e">
        <f>IF(#REF! &lt;= 1, "0-1 Calls", IF(#REF! &lt;= 3, "2-3 Calls", IF(#REF! &lt;=5, "4-5 Calls", "6+ Calls")))</f>
        <v>#REF!</v>
      </c>
      <c r="X938" t="e">
        <f>IF(#REF! &lt;= 50, "0-50", IF(#REF! &lt;=100, "51-100", IF(#REF! &lt;= 150, "101-150", "151+")))</f>
        <v>#REF!</v>
      </c>
      <c r="Y938" t="e">
        <f>IF(#REF! &lt;= 3, "Low Charges", "High Charges")</f>
        <v>#REF!</v>
      </c>
      <c r="Z938" t="e">
        <f>IF(#REF!&lt;=80,"Low Calls",
IF(#REF!&lt;=120,"Medium Calls","High Calls"))</f>
        <v>#REF!</v>
      </c>
      <c r="AA938" t="e">
        <f>IF(#REF!&lt;=15,"Low Charges",
IF(#REF!&lt;=20,"Medium Charges","High Charges"))</f>
        <v>#REF!</v>
      </c>
      <c r="AB938" t="e">
        <f>IF(AND(#REF!&gt;180, #REF!&gt;200), "Heavy Doemstic User", IF(#REF!&gt;10, "Interntional User", IF(AND(#REF!&lt;180, #REF!&lt;200,#REF!&lt;200), "Light User", "Balanced User")))</f>
        <v>#REF!</v>
      </c>
      <c r="AC938" t="e">
        <f>IF(#REF! = 0, "No Usage", IF(#REF! &lt;= 20, "Low Usage", IF(#REF! &lt;= 40, "Medium Usgae", "High Usage")))</f>
        <v>#REF!</v>
      </c>
      <c r="AD938" t="e">
        <f>IF(#REF!&lt;=150,"Low Usage", IF(#REF!&lt;=200,"Medium Usage", IF(#REF!&lt;=250,"High Usage","Very High Usage")))</f>
        <v>#REF!</v>
      </c>
      <c r="AE938" t="e">
        <f>IF(#REF!&lt;=5,"Low Calls", IF(#REF!&lt;=10, "Medium Calls", "High Calls"))</f>
        <v>#REF!</v>
      </c>
      <c r="AF938" t="e">
        <f xml:space="preserve">
IF(#REF!&gt;=4,4,0)+
IF(#REF!="yes",3,0)+
IF(#REF!="High Charges",3,0)+
IF(#REF!&gt;250,4,0)+
IF(#REF!="no",1,0)+
IF(#REF!="Heavy Domestic User",2,0)</f>
        <v>#REF!</v>
      </c>
      <c r="AG938" t="e">
        <f>IF(#REF!&gt;=10,"High Risk", IF(#REF!&gt;=5,"Medium Risk","Low Risk"))</f>
        <v>#REF!</v>
      </c>
      <c r="AH938" t="e">
        <f>#REF! + #REF! + #REF! + #REF!</f>
        <v>#REF!</v>
      </c>
    </row>
    <row r="939" spans="1:34" x14ac:dyDescent="0.35">
      <c r="A939">
        <v>938</v>
      </c>
      <c r="B939" t="s">
        <v>72</v>
      </c>
      <c r="C939">
        <v>130</v>
      </c>
      <c r="D939" t="s">
        <v>21</v>
      </c>
      <c r="E939" t="s">
        <v>22</v>
      </c>
      <c r="F939" t="s">
        <v>22</v>
      </c>
      <c r="G939">
        <v>0</v>
      </c>
      <c r="H939">
        <v>155.9</v>
      </c>
      <c r="I939">
        <v>95</v>
      </c>
      <c r="J939">
        <v>26.5</v>
      </c>
      <c r="K939">
        <v>256.10000000000002</v>
      </c>
      <c r="L939">
        <v>97</v>
      </c>
      <c r="M939">
        <v>21.77</v>
      </c>
      <c r="N939">
        <v>262.89999999999998</v>
      </c>
      <c r="O939">
        <v>103</v>
      </c>
      <c r="P939">
        <v>11.83</v>
      </c>
      <c r="Q939">
        <v>11.7</v>
      </c>
      <c r="R939">
        <v>3</v>
      </c>
      <c r="S939">
        <v>3.16</v>
      </c>
      <c r="T939">
        <v>3</v>
      </c>
      <c r="U939" t="s">
        <v>22</v>
      </c>
      <c r="V939" t="e">
        <f>IF(#REF! = "yes", 1, 0)</f>
        <v>#REF!</v>
      </c>
      <c r="W939" t="e">
        <f>IF(#REF! &lt;= 1, "0-1 Calls", IF(#REF! &lt;= 3, "2-3 Calls", IF(#REF! &lt;=5, "4-5 Calls", "6+ Calls")))</f>
        <v>#REF!</v>
      </c>
      <c r="X939" t="e">
        <f>IF(#REF! &lt;= 50, "0-50", IF(#REF! &lt;=100, "51-100", IF(#REF! &lt;= 150, "101-150", "151+")))</f>
        <v>#REF!</v>
      </c>
      <c r="Y939" t="e">
        <f>IF(#REF! &lt;= 3, "Low Charges", "High Charges")</f>
        <v>#REF!</v>
      </c>
      <c r="Z939" t="e">
        <f>IF(#REF!&lt;=80,"Low Calls",
IF(#REF!&lt;=120,"Medium Calls","High Calls"))</f>
        <v>#REF!</v>
      </c>
      <c r="AA939" t="e">
        <f>IF(#REF!&lt;=15,"Low Charges",
IF(#REF!&lt;=20,"Medium Charges","High Charges"))</f>
        <v>#REF!</v>
      </c>
      <c r="AB939" t="e">
        <f>IF(AND(#REF!&gt;180, #REF!&gt;200), "Heavy Doemstic User", IF(#REF!&gt;10, "Interntional User", IF(AND(#REF!&lt;180, #REF!&lt;200,#REF!&lt;200), "Light User", "Balanced User")))</f>
        <v>#REF!</v>
      </c>
      <c r="AC939" t="e">
        <f>IF(#REF! = 0, "No Usage", IF(#REF! &lt;= 20, "Low Usage", IF(#REF! &lt;= 40, "Medium Usgae", "High Usage")))</f>
        <v>#REF!</v>
      </c>
      <c r="AD939" t="e">
        <f>IF(#REF!&lt;=150,"Low Usage", IF(#REF!&lt;=200,"Medium Usage", IF(#REF!&lt;=250,"High Usage","Very High Usage")))</f>
        <v>#REF!</v>
      </c>
      <c r="AE939" t="e">
        <f>IF(#REF!&lt;=5,"Low Calls", IF(#REF!&lt;=10, "Medium Calls", "High Calls"))</f>
        <v>#REF!</v>
      </c>
      <c r="AF939" t="e">
        <f xml:space="preserve">
IF(#REF!&gt;=4,4,0)+
IF(#REF!="yes",3,0)+
IF(#REF!="High Charges",3,0)+
IF(#REF!&gt;250,4,0)+
IF(#REF!="no",1,0)+
IF(#REF!="Heavy Domestic User",2,0)</f>
        <v>#REF!</v>
      </c>
      <c r="AG939" t="e">
        <f>IF(#REF!&gt;=10,"High Risk", IF(#REF!&gt;=5,"Medium Risk","Low Risk"))</f>
        <v>#REF!</v>
      </c>
      <c r="AH939" t="e">
        <f>#REF! + #REF! + #REF! + #REF!</f>
        <v>#REF!</v>
      </c>
    </row>
    <row r="940" spans="1:34" x14ac:dyDescent="0.35">
      <c r="A940">
        <v>939</v>
      </c>
      <c r="B940" t="s">
        <v>40</v>
      </c>
      <c r="C940">
        <v>136</v>
      </c>
      <c r="D940" t="s">
        <v>25</v>
      </c>
      <c r="E940" t="s">
        <v>23</v>
      </c>
      <c r="F940" t="s">
        <v>22</v>
      </c>
      <c r="G940">
        <v>0</v>
      </c>
      <c r="H940">
        <v>199.2</v>
      </c>
      <c r="I940">
        <v>122</v>
      </c>
      <c r="J940">
        <v>33.86</v>
      </c>
      <c r="K940">
        <v>214.7</v>
      </c>
      <c r="L940">
        <v>114</v>
      </c>
      <c r="M940">
        <v>18.25</v>
      </c>
      <c r="N940">
        <v>150.9</v>
      </c>
      <c r="O940">
        <v>105</v>
      </c>
      <c r="P940">
        <v>6.79</v>
      </c>
      <c r="Q940">
        <v>11.8</v>
      </c>
      <c r="R940">
        <v>7</v>
      </c>
      <c r="S940">
        <v>3.19</v>
      </c>
      <c r="T940">
        <v>1</v>
      </c>
      <c r="U940" t="s">
        <v>22</v>
      </c>
      <c r="V940" t="e">
        <f>IF(#REF! = "yes", 1, 0)</f>
        <v>#REF!</v>
      </c>
      <c r="W940" t="e">
        <f>IF(#REF! &lt;= 1, "0-1 Calls", IF(#REF! &lt;= 3, "2-3 Calls", IF(#REF! &lt;=5, "4-5 Calls", "6+ Calls")))</f>
        <v>#REF!</v>
      </c>
      <c r="X940" t="e">
        <f>IF(#REF! &lt;= 50, "0-50", IF(#REF! &lt;=100, "51-100", IF(#REF! &lt;= 150, "101-150", "151+")))</f>
        <v>#REF!</v>
      </c>
      <c r="Y940" t="e">
        <f>IF(#REF! &lt;= 3, "Low Charges", "High Charges")</f>
        <v>#REF!</v>
      </c>
      <c r="Z940" t="e">
        <f>IF(#REF!&lt;=80,"Low Calls",
IF(#REF!&lt;=120,"Medium Calls","High Calls"))</f>
        <v>#REF!</v>
      </c>
      <c r="AA940" t="e">
        <f>IF(#REF!&lt;=15,"Low Charges",
IF(#REF!&lt;=20,"Medium Charges","High Charges"))</f>
        <v>#REF!</v>
      </c>
      <c r="AB940" t="e">
        <f>IF(AND(#REF!&gt;180, #REF!&gt;200), "Heavy Doemstic User", IF(#REF!&gt;10, "Interntional User", IF(AND(#REF!&lt;180, #REF!&lt;200,#REF!&lt;200), "Light User", "Balanced User")))</f>
        <v>#REF!</v>
      </c>
      <c r="AC940" t="e">
        <f>IF(#REF! = 0, "No Usage", IF(#REF! &lt;= 20, "Low Usage", IF(#REF! &lt;= 40, "Medium Usgae", "High Usage")))</f>
        <v>#REF!</v>
      </c>
      <c r="AD940" t="e">
        <f>IF(#REF!&lt;=150,"Low Usage", IF(#REF!&lt;=200,"Medium Usage", IF(#REF!&lt;=250,"High Usage","Very High Usage")))</f>
        <v>#REF!</v>
      </c>
      <c r="AE940" t="e">
        <f>IF(#REF!&lt;=5,"Low Calls", IF(#REF!&lt;=10, "Medium Calls", "High Calls"))</f>
        <v>#REF!</v>
      </c>
      <c r="AF940" t="e">
        <f xml:space="preserve">
IF(#REF!&gt;=4,4,0)+
IF(#REF!="yes",3,0)+
IF(#REF!="High Charges",3,0)+
IF(#REF!&gt;250,4,0)+
IF(#REF!="no",1,0)+
IF(#REF!="Heavy Domestic User",2,0)</f>
        <v>#REF!</v>
      </c>
      <c r="AG940" t="e">
        <f>IF(#REF!&gt;=10,"High Risk", IF(#REF!&gt;=5,"Medium Risk","Low Risk"))</f>
        <v>#REF!</v>
      </c>
      <c r="AH940" t="e">
        <f>#REF! + #REF! + #REF! + #REF!</f>
        <v>#REF!</v>
      </c>
    </row>
    <row r="941" spans="1:34" x14ac:dyDescent="0.35">
      <c r="A941">
        <v>940</v>
      </c>
      <c r="B941" t="s">
        <v>27</v>
      </c>
      <c r="C941">
        <v>47</v>
      </c>
      <c r="D941" t="s">
        <v>21</v>
      </c>
      <c r="E941" t="s">
        <v>22</v>
      </c>
      <c r="F941" t="s">
        <v>22</v>
      </c>
      <c r="G941">
        <v>0</v>
      </c>
      <c r="H941">
        <v>155.30000000000001</v>
      </c>
      <c r="I941">
        <v>116</v>
      </c>
      <c r="J941">
        <v>26.4</v>
      </c>
      <c r="K941">
        <v>188.2</v>
      </c>
      <c r="L941">
        <v>85</v>
      </c>
      <c r="M941">
        <v>16</v>
      </c>
      <c r="N941">
        <v>247</v>
      </c>
      <c r="O941">
        <v>73</v>
      </c>
      <c r="P941">
        <v>11.12</v>
      </c>
      <c r="Q941">
        <v>12.3</v>
      </c>
      <c r="R941">
        <v>4</v>
      </c>
      <c r="S941">
        <v>3.32</v>
      </c>
      <c r="T941">
        <v>3</v>
      </c>
      <c r="U941" t="s">
        <v>22</v>
      </c>
      <c r="V941" t="e">
        <f>IF(#REF! = "yes", 1, 0)</f>
        <v>#REF!</v>
      </c>
      <c r="W941" t="e">
        <f>IF(#REF! &lt;= 1, "0-1 Calls", IF(#REF! &lt;= 3, "2-3 Calls", IF(#REF! &lt;=5, "4-5 Calls", "6+ Calls")))</f>
        <v>#REF!</v>
      </c>
      <c r="X941" t="e">
        <f>IF(#REF! &lt;= 50, "0-50", IF(#REF! &lt;=100, "51-100", IF(#REF! &lt;= 150, "101-150", "151+")))</f>
        <v>#REF!</v>
      </c>
      <c r="Y941" t="e">
        <f>IF(#REF! &lt;= 3, "Low Charges", "High Charges")</f>
        <v>#REF!</v>
      </c>
      <c r="Z941" t="e">
        <f>IF(#REF!&lt;=80,"Low Calls",
IF(#REF!&lt;=120,"Medium Calls","High Calls"))</f>
        <v>#REF!</v>
      </c>
      <c r="AA941" t="e">
        <f>IF(#REF!&lt;=15,"Low Charges",
IF(#REF!&lt;=20,"Medium Charges","High Charges"))</f>
        <v>#REF!</v>
      </c>
      <c r="AB941" t="e">
        <f>IF(AND(#REF!&gt;180, #REF!&gt;200), "Heavy Doemstic User", IF(#REF!&gt;10, "Interntional User", IF(AND(#REF!&lt;180, #REF!&lt;200,#REF!&lt;200), "Light User", "Balanced User")))</f>
        <v>#REF!</v>
      </c>
      <c r="AC941" t="e">
        <f>IF(#REF! = 0, "No Usage", IF(#REF! &lt;= 20, "Low Usage", IF(#REF! &lt;= 40, "Medium Usgae", "High Usage")))</f>
        <v>#REF!</v>
      </c>
      <c r="AD941" t="e">
        <f>IF(#REF!&lt;=150,"Low Usage", IF(#REF!&lt;=200,"Medium Usage", IF(#REF!&lt;=250,"High Usage","Very High Usage")))</f>
        <v>#REF!</v>
      </c>
      <c r="AE941" t="e">
        <f>IF(#REF!&lt;=5,"Low Calls", IF(#REF!&lt;=10, "Medium Calls", "High Calls"))</f>
        <v>#REF!</v>
      </c>
      <c r="AF941" t="e">
        <f xml:space="preserve">
IF(#REF!&gt;=4,4,0)+
IF(#REF!="yes",3,0)+
IF(#REF!="High Charges",3,0)+
IF(#REF!&gt;250,4,0)+
IF(#REF!="no",1,0)+
IF(#REF!="Heavy Domestic User",2,0)</f>
        <v>#REF!</v>
      </c>
      <c r="AG941" t="e">
        <f>IF(#REF!&gt;=10,"High Risk", IF(#REF!&gt;=5,"Medium Risk","Low Risk"))</f>
        <v>#REF!</v>
      </c>
      <c r="AH941" t="e">
        <f>#REF! + #REF! + #REF! + #REF!</f>
        <v>#REF!</v>
      </c>
    </row>
    <row r="942" spans="1:34" x14ac:dyDescent="0.35">
      <c r="A942">
        <v>941</v>
      </c>
      <c r="B942" t="s">
        <v>26</v>
      </c>
      <c r="C942">
        <v>189</v>
      </c>
      <c r="D942" t="s">
        <v>21</v>
      </c>
      <c r="E942" t="s">
        <v>22</v>
      </c>
      <c r="F942" t="s">
        <v>22</v>
      </c>
      <c r="G942">
        <v>0</v>
      </c>
      <c r="H942">
        <v>208.3</v>
      </c>
      <c r="I942">
        <v>106</v>
      </c>
      <c r="J942">
        <v>35.409999999999997</v>
      </c>
      <c r="K942">
        <v>236.7</v>
      </c>
      <c r="L942">
        <v>123</v>
      </c>
      <c r="M942">
        <v>20.12</v>
      </c>
      <c r="N942">
        <v>179.1</v>
      </c>
      <c r="O942">
        <v>120</v>
      </c>
      <c r="P942">
        <v>8.06</v>
      </c>
      <c r="Q942">
        <v>11.3</v>
      </c>
      <c r="R942">
        <v>5</v>
      </c>
      <c r="S942">
        <v>3.05</v>
      </c>
      <c r="T942">
        <v>3</v>
      </c>
      <c r="U942" t="s">
        <v>22</v>
      </c>
      <c r="V942" t="e">
        <f>IF(#REF! = "yes", 1, 0)</f>
        <v>#REF!</v>
      </c>
      <c r="W942" t="e">
        <f>IF(#REF! &lt;= 1, "0-1 Calls", IF(#REF! &lt;= 3, "2-3 Calls", IF(#REF! &lt;=5, "4-5 Calls", "6+ Calls")))</f>
        <v>#REF!</v>
      </c>
      <c r="X942" t="e">
        <f>IF(#REF! &lt;= 50, "0-50", IF(#REF! &lt;=100, "51-100", IF(#REF! &lt;= 150, "101-150", "151+")))</f>
        <v>#REF!</v>
      </c>
      <c r="Y942" t="e">
        <f>IF(#REF! &lt;= 3, "Low Charges", "High Charges")</f>
        <v>#REF!</v>
      </c>
      <c r="Z942" t="e">
        <f>IF(#REF!&lt;=80,"Low Calls",
IF(#REF!&lt;=120,"Medium Calls","High Calls"))</f>
        <v>#REF!</v>
      </c>
      <c r="AA942" t="e">
        <f>IF(#REF!&lt;=15,"Low Charges",
IF(#REF!&lt;=20,"Medium Charges","High Charges"))</f>
        <v>#REF!</v>
      </c>
      <c r="AB942" t="e">
        <f>IF(AND(#REF!&gt;180, #REF!&gt;200), "Heavy Doemstic User", IF(#REF!&gt;10, "Interntional User", IF(AND(#REF!&lt;180, #REF!&lt;200,#REF!&lt;200), "Light User", "Balanced User")))</f>
        <v>#REF!</v>
      </c>
      <c r="AC942" t="e">
        <f>IF(#REF! = 0, "No Usage", IF(#REF! &lt;= 20, "Low Usage", IF(#REF! &lt;= 40, "Medium Usgae", "High Usage")))</f>
        <v>#REF!</v>
      </c>
      <c r="AD942" t="e">
        <f>IF(#REF!&lt;=150,"Low Usage", IF(#REF!&lt;=200,"Medium Usage", IF(#REF!&lt;=250,"High Usage","Very High Usage")))</f>
        <v>#REF!</v>
      </c>
      <c r="AE942" t="e">
        <f>IF(#REF!&lt;=5,"Low Calls", IF(#REF!&lt;=10, "Medium Calls", "High Calls"))</f>
        <v>#REF!</v>
      </c>
      <c r="AF942" t="e">
        <f xml:space="preserve">
IF(#REF!&gt;=4,4,0)+
IF(#REF!="yes",3,0)+
IF(#REF!="High Charges",3,0)+
IF(#REF!&gt;250,4,0)+
IF(#REF!="no",1,0)+
IF(#REF!="Heavy Domestic User",2,0)</f>
        <v>#REF!</v>
      </c>
      <c r="AG942" t="e">
        <f>IF(#REF!&gt;=10,"High Risk", IF(#REF!&gt;=5,"Medium Risk","Low Risk"))</f>
        <v>#REF!</v>
      </c>
      <c r="AH942" t="e">
        <f>#REF! + #REF! + #REF! + #REF!</f>
        <v>#REF!</v>
      </c>
    </row>
    <row r="943" spans="1:34" x14ac:dyDescent="0.35">
      <c r="A943">
        <v>942</v>
      </c>
      <c r="B943" t="s">
        <v>65</v>
      </c>
      <c r="C943">
        <v>107</v>
      </c>
      <c r="D943" t="s">
        <v>21</v>
      </c>
      <c r="E943" t="s">
        <v>22</v>
      </c>
      <c r="F943" t="s">
        <v>22</v>
      </c>
      <c r="G943">
        <v>0</v>
      </c>
      <c r="H943">
        <v>157.1</v>
      </c>
      <c r="I943">
        <v>79</v>
      </c>
      <c r="J943">
        <v>26.71</v>
      </c>
      <c r="K943">
        <v>162.6</v>
      </c>
      <c r="L943">
        <v>124</v>
      </c>
      <c r="M943">
        <v>13.82</v>
      </c>
      <c r="N943">
        <v>150</v>
      </c>
      <c r="O943">
        <v>138</v>
      </c>
      <c r="P943">
        <v>6.75</v>
      </c>
      <c r="Q943">
        <v>12.1</v>
      </c>
      <c r="R943">
        <v>6</v>
      </c>
      <c r="S943">
        <v>3.27</v>
      </c>
      <c r="T943">
        <v>1</v>
      </c>
      <c r="U943" t="s">
        <v>22</v>
      </c>
      <c r="V943" t="e">
        <f>IF(#REF! = "yes", 1, 0)</f>
        <v>#REF!</v>
      </c>
      <c r="W943" t="e">
        <f>IF(#REF! &lt;= 1, "0-1 Calls", IF(#REF! &lt;= 3, "2-3 Calls", IF(#REF! &lt;=5, "4-5 Calls", "6+ Calls")))</f>
        <v>#REF!</v>
      </c>
      <c r="X943" t="e">
        <f>IF(#REF! &lt;= 50, "0-50", IF(#REF! &lt;=100, "51-100", IF(#REF! &lt;= 150, "101-150", "151+")))</f>
        <v>#REF!</v>
      </c>
      <c r="Y943" t="e">
        <f>IF(#REF! &lt;= 3, "Low Charges", "High Charges")</f>
        <v>#REF!</v>
      </c>
      <c r="Z943" t="e">
        <f>IF(#REF!&lt;=80,"Low Calls",
IF(#REF!&lt;=120,"Medium Calls","High Calls"))</f>
        <v>#REF!</v>
      </c>
      <c r="AA943" t="e">
        <f>IF(#REF!&lt;=15,"Low Charges",
IF(#REF!&lt;=20,"Medium Charges","High Charges"))</f>
        <v>#REF!</v>
      </c>
      <c r="AB943" t="e">
        <f>IF(AND(#REF!&gt;180, #REF!&gt;200), "Heavy Doemstic User", IF(#REF!&gt;10, "Interntional User", IF(AND(#REF!&lt;180, #REF!&lt;200,#REF!&lt;200), "Light User", "Balanced User")))</f>
        <v>#REF!</v>
      </c>
      <c r="AC943" t="e">
        <f>IF(#REF! = 0, "No Usage", IF(#REF! &lt;= 20, "Low Usage", IF(#REF! &lt;= 40, "Medium Usgae", "High Usage")))</f>
        <v>#REF!</v>
      </c>
      <c r="AD943" t="e">
        <f>IF(#REF!&lt;=150,"Low Usage", IF(#REF!&lt;=200,"Medium Usage", IF(#REF!&lt;=250,"High Usage","Very High Usage")))</f>
        <v>#REF!</v>
      </c>
      <c r="AE943" t="e">
        <f>IF(#REF!&lt;=5,"Low Calls", IF(#REF!&lt;=10, "Medium Calls", "High Calls"))</f>
        <v>#REF!</v>
      </c>
      <c r="AF943" t="e">
        <f xml:space="preserve">
IF(#REF!&gt;=4,4,0)+
IF(#REF!="yes",3,0)+
IF(#REF!="High Charges",3,0)+
IF(#REF!&gt;250,4,0)+
IF(#REF!="no",1,0)+
IF(#REF!="Heavy Domestic User",2,0)</f>
        <v>#REF!</v>
      </c>
      <c r="AG943" t="e">
        <f>IF(#REF!&gt;=10,"High Risk", IF(#REF!&gt;=5,"Medium Risk","Low Risk"))</f>
        <v>#REF!</v>
      </c>
      <c r="AH943" t="e">
        <f>#REF! + #REF! + #REF! + #REF!</f>
        <v>#REF!</v>
      </c>
    </row>
    <row r="944" spans="1:34" x14ac:dyDescent="0.35">
      <c r="A944">
        <v>943</v>
      </c>
      <c r="B944" t="s">
        <v>53</v>
      </c>
      <c r="C944">
        <v>91</v>
      </c>
      <c r="D944" t="s">
        <v>21</v>
      </c>
      <c r="E944" t="s">
        <v>22</v>
      </c>
      <c r="F944" t="s">
        <v>22</v>
      </c>
      <c r="G944">
        <v>0</v>
      </c>
      <c r="H944">
        <v>154.4</v>
      </c>
      <c r="I944">
        <v>165</v>
      </c>
      <c r="J944">
        <v>26.25</v>
      </c>
      <c r="K944">
        <v>168.3</v>
      </c>
      <c r="L944">
        <v>121</v>
      </c>
      <c r="M944">
        <v>14.31</v>
      </c>
      <c r="N944">
        <v>239.9</v>
      </c>
      <c r="O944">
        <v>81</v>
      </c>
      <c r="P944">
        <v>10.8</v>
      </c>
      <c r="Q944">
        <v>11.7</v>
      </c>
      <c r="R944">
        <v>4</v>
      </c>
      <c r="S944">
        <v>3.16</v>
      </c>
      <c r="T944">
        <v>5</v>
      </c>
      <c r="U944" t="s">
        <v>23</v>
      </c>
      <c r="V944" t="e">
        <f>IF(#REF! = "yes", 1, 0)</f>
        <v>#REF!</v>
      </c>
      <c r="W944" t="e">
        <f>IF(#REF! &lt;= 1, "0-1 Calls", IF(#REF! &lt;= 3, "2-3 Calls", IF(#REF! &lt;=5, "4-5 Calls", "6+ Calls")))</f>
        <v>#REF!</v>
      </c>
      <c r="X944" t="e">
        <f>IF(#REF! &lt;= 50, "0-50", IF(#REF! &lt;=100, "51-100", IF(#REF! &lt;= 150, "101-150", "151+")))</f>
        <v>#REF!</v>
      </c>
      <c r="Y944" t="e">
        <f>IF(#REF! &lt;= 3, "Low Charges", "High Charges")</f>
        <v>#REF!</v>
      </c>
      <c r="Z944" t="e">
        <f>IF(#REF!&lt;=80,"Low Calls",
IF(#REF!&lt;=120,"Medium Calls","High Calls"))</f>
        <v>#REF!</v>
      </c>
      <c r="AA944" t="e">
        <f>IF(#REF!&lt;=15,"Low Charges",
IF(#REF!&lt;=20,"Medium Charges","High Charges"))</f>
        <v>#REF!</v>
      </c>
      <c r="AB944" t="e">
        <f>IF(AND(#REF!&gt;180, #REF!&gt;200), "Heavy Doemstic User", IF(#REF!&gt;10, "Interntional User", IF(AND(#REF!&lt;180, #REF!&lt;200,#REF!&lt;200), "Light User", "Balanced User")))</f>
        <v>#REF!</v>
      </c>
      <c r="AC944" t="e">
        <f>IF(#REF! = 0, "No Usage", IF(#REF! &lt;= 20, "Low Usage", IF(#REF! &lt;= 40, "Medium Usgae", "High Usage")))</f>
        <v>#REF!</v>
      </c>
      <c r="AD944" t="e">
        <f>IF(#REF!&lt;=150,"Low Usage", IF(#REF!&lt;=200,"Medium Usage", IF(#REF!&lt;=250,"High Usage","Very High Usage")))</f>
        <v>#REF!</v>
      </c>
      <c r="AE944" t="e">
        <f>IF(#REF!&lt;=5,"Low Calls", IF(#REF!&lt;=10, "Medium Calls", "High Calls"))</f>
        <v>#REF!</v>
      </c>
      <c r="AF944" t="e">
        <f xml:space="preserve">
IF(#REF!&gt;=4,4,0)+
IF(#REF!="yes",3,0)+
IF(#REF!="High Charges",3,0)+
IF(#REF!&gt;250,4,0)+
IF(#REF!="no",1,0)+
IF(#REF!="Heavy Domestic User",2,0)</f>
        <v>#REF!</v>
      </c>
      <c r="AG944" t="e">
        <f>IF(#REF!&gt;=10,"High Risk", IF(#REF!&gt;=5,"Medium Risk","Low Risk"))</f>
        <v>#REF!</v>
      </c>
      <c r="AH944" t="e">
        <f>#REF! + #REF! + #REF! + #REF!</f>
        <v>#REF!</v>
      </c>
    </row>
    <row r="945" spans="1:34" x14ac:dyDescent="0.35">
      <c r="A945">
        <v>944</v>
      </c>
      <c r="B945" t="s">
        <v>69</v>
      </c>
      <c r="C945">
        <v>159</v>
      </c>
      <c r="D945" t="s">
        <v>21</v>
      </c>
      <c r="E945" t="s">
        <v>22</v>
      </c>
      <c r="F945" t="s">
        <v>22</v>
      </c>
      <c r="G945">
        <v>0</v>
      </c>
      <c r="H945">
        <v>189.1</v>
      </c>
      <c r="I945">
        <v>105</v>
      </c>
      <c r="J945">
        <v>32.15</v>
      </c>
      <c r="K945">
        <v>246.1</v>
      </c>
      <c r="L945">
        <v>147</v>
      </c>
      <c r="M945">
        <v>20.92</v>
      </c>
      <c r="N945">
        <v>242</v>
      </c>
      <c r="O945">
        <v>106</v>
      </c>
      <c r="P945">
        <v>10.89</v>
      </c>
      <c r="Q945">
        <v>10.4</v>
      </c>
      <c r="R945">
        <v>5</v>
      </c>
      <c r="S945">
        <v>2.81</v>
      </c>
      <c r="T945">
        <v>1</v>
      </c>
      <c r="U945" t="s">
        <v>23</v>
      </c>
      <c r="V945" t="e">
        <f>IF(#REF! = "yes", 1, 0)</f>
        <v>#REF!</v>
      </c>
      <c r="W945" t="e">
        <f>IF(#REF! &lt;= 1, "0-1 Calls", IF(#REF! &lt;= 3, "2-3 Calls", IF(#REF! &lt;=5, "4-5 Calls", "6+ Calls")))</f>
        <v>#REF!</v>
      </c>
      <c r="X945" t="e">
        <f>IF(#REF! &lt;= 50, "0-50", IF(#REF! &lt;=100, "51-100", IF(#REF! &lt;= 150, "101-150", "151+")))</f>
        <v>#REF!</v>
      </c>
      <c r="Y945" t="e">
        <f>IF(#REF! &lt;= 3, "Low Charges", "High Charges")</f>
        <v>#REF!</v>
      </c>
      <c r="Z945" t="e">
        <f>IF(#REF!&lt;=80,"Low Calls",
IF(#REF!&lt;=120,"Medium Calls","High Calls"))</f>
        <v>#REF!</v>
      </c>
      <c r="AA945" t="e">
        <f>IF(#REF!&lt;=15,"Low Charges",
IF(#REF!&lt;=20,"Medium Charges","High Charges"))</f>
        <v>#REF!</v>
      </c>
      <c r="AB945" t="e">
        <f>IF(AND(#REF!&gt;180, #REF!&gt;200), "Heavy Doemstic User", IF(#REF!&gt;10, "Interntional User", IF(AND(#REF!&lt;180, #REF!&lt;200,#REF!&lt;200), "Light User", "Balanced User")))</f>
        <v>#REF!</v>
      </c>
      <c r="AC945" t="e">
        <f>IF(#REF! = 0, "No Usage", IF(#REF! &lt;= 20, "Low Usage", IF(#REF! &lt;= 40, "Medium Usgae", "High Usage")))</f>
        <v>#REF!</v>
      </c>
      <c r="AD945" t="e">
        <f>IF(#REF!&lt;=150,"Low Usage", IF(#REF!&lt;=200,"Medium Usage", IF(#REF!&lt;=250,"High Usage","Very High Usage")))</f>
        <v>#REF!</v>
      </c>
      <c r="AE945" t="e">
        <f>IF(#REF!&lt;=5,"Low Calls", IF(#REF!&lt;=10, "Medium Calls", "High Calls"))</f>
        <v>#REF!</v>
      </c>
      <c r="AF945" t="e">
        <f xml:space="preserve">
IF(#REF!&gt;=4,4,0)+
IF(#REF!="yes",3,0)+
IF(#REF!="High Charges",3,0)+
IF(#REF!&gt;250,4,0)+
IF(#REF!="no",1,0)+
IF(#REF!="Heavy Domestic User",2,0)</f>
        <v>#REF!</v>
      </c>
      <c r="AG945" t="e">
        <f>IF(#REF!&gt;=10,"High Risk", IF(#REF!&gt;=5,"Medium Risk","Low Risk"))</f>
        <v>#REF!</v>
      </c>
      <c r="AH945" t="e">
        <f>#REF! + #REF! + #REF! + #REF!</f>
        <v>#REF!</v>
      </c>
    </row>
    <row r="946" spans="1:34" x14ac:dyDescent="0.35">
      <c r="A946">
        <v>945</v>
      </c>
      <c r="B946" t="s">
        <v>38</v>
      </c>
      <c r="C946">
        <v>11</v>
      </c>
      <c r="D946" t="s">
        <v>25</v>
      </c>
      <c r="E946" t="s">
        <v>22</v>
      </c>
      <c r="F946" t="s">
        <v>23</v>
      </c>
      <c r="G946">
        <v>24</v>
      </c>
      <c r="H946">
        <v>131.5</v>
      </c>
      <c r="I946">
        <v>98</v>
      </c>
      <c r="J946">
        <v>22.36</v>
      </c>
      <c r="K946">
        <v>230.2</v>
      </c>
      <c r="L946">
        <v>111</v>
      </c>
      <c r="M946">
        <v>19.57</v>
      </c>
      <c r="N946">
        <v>283.7</v>
      </c>
      <c r="O946">
        <v>87</v>
      </c>
      <c r="P946">
        <v>12.77</v>
      </c>
      <c r="Q946">
        <v>10</v>
      </c>
      <c r="R946">
        <v>3</v>
      </c>
      <c r="S946">
        <v>2.7</v>
      </c>
      <c r="T946">
        <v>2</v>
      </c>
      <c r="U946" t="s">
        <v>22</v>
      </c>
      <c r="V946" t="e">
        <f>IF(#REF! = "yes", 1, 0)</f>
        <v>#REF!</v>
      </c>
      <c r="W946" t="e">
        <f>IF(#REF! &lt;= 1, "0-1 Calls", IF(#REF! &lt;= 3, "2-3 Calls", IF(#REF! &lt;=5, "4-5 Calls", "6+ Calls")))</f>
        <v>#REF!</v>
      </c>
      <c r="X946" t="e">
        <f>IF(#REF! &lt;= 50, "0-50", IF(#REF! &lt;=100, "51-100", IF(#REF! &lt;= 150, "101-150", "151+")))</f>
        <v>#REF!</v>
      </c>
      <c r="Y946" t="e">
        <f>IF(#REF! &lt;= 3, "Low Charges", "High Charges")</f>
        <v>#REF!</v>
      </c>
      <c r="Z946" t="e">
        <f>IF(#REF!&lt;=80,"Low Calls",
IF(#REF!&lt;=120,"Medium Calls","High Calls"))</f>
        <v>#REF!</v>
      </c>
      <c r="AA946" t="e">
        <f>IF(#REF!&lt;=15,"Low Charges",
IF(#REF!&lt;=20,"Medium Charges","High Charges"))</f>
        <v>#REF!</v>
      </c>
      <c r="AB946" t="e">
        <f>IF(AND(#REF!&gt;180, #REF!&gt;200), "Heavy Doemstic User", IF(#REF!&gt;10, "Interntional User", IF(AND(#REF!&lt;180, #REF!&lt;200,#REF!&lt;200), "Light User", "Balanced User")))</f>
        <v>#REF!</v>
      </c>
      <c r="AC946" t="e">
        <f>IF(#REF! = 0, "No Usage", IF(#REF! &lt;= 20, "Low Usage", IF(#REF! &lt;= 40, "Medium Usgae", "High Usage")))</f>
        <v>#REF!</v>
      </c>
      <c r="AD946" t="e">
        <f>IF(#REF!&lt;=150,"Low Usage", IF(#REF!&lt;=200,"Medium Usage", IF(#REF!&lt;=250,"High Usage","Very High Usage")))</f>
        <v>#REF!</v>
      </c>
      <c r="AE946" t="e">
        <f>IF(#REF!&lt;=5,"Low Calls", IF(#REF!&lt;=10, "Medium Calls", "High Calls"))</f>
        <v>#REF!</v>
      </c>
      <c r="AF946" t="e">
        <f xml:space="preserve">
IF(#REF!&gt;=4,4,0)+
IF(#REF!="yes",3,0)+
IF(#REF!="High Charges",3,0)+
IF(#REF!&gt;250,4,0)+
IF(#REF!="no",1,0)+
IF(#REF!="Heavy Domestic User",2,0)</f>
        <v>#REF!</v>
      </c>
      <c r="AG946" t="e">
        <f>IF(#REF!&gt;=10,"High Risk", IF(#REF!&gt;=5,"Medium Risk","Low Risk"))</f>
        <v>#REF!</v>
      </c>
      <c r="AH946" t="e">
        <f>#REF! + #REF! + #REF! + #REF!</f>
        <v>#REF!</v>
      </c>
    </row>
    <row r="947" spans="1:34" x14ac:dyDescent="0.35">
      <c r="A947">
        <v>946</v>
      </c>
      <c r="B947" t="s">
        <v>36</v>
      </c>
      <c r="C947">
        <v>167</v>
      </c>
      <c r="D947" t="s">
        <v>21</v>
      </c>
      <c r="E947" t="s">
        <v>22</v>
      </c>
      <c r="F947" t="s">
        <v>22</v>
      </c>
      <c r="G947">
        <v>0</v>
      </c>
      <c r="H947">
        <v>166.4</v>
      </c>
      <c r="I947">
        <v>85</v>
      </c>
      <c r="J947">
        <v>28.29</v>
      </c>
      <c r="K947">
        <v>243.2</v>
      </c>
      <c r="L947">
        <v>135</v>
      </c>
      <c r="M947">
        <v>20.67</v>
      </c>
      <c r="N947">
        <v>229.2</v>
      </c>
      <c r="O947">
        <v>95</v>
      </c>
      <c r="P947">
        <v>10.31</v>
      </c>
      <c r="Q947">
        <v>9.9</v>
      </c>
      <c r="R947">
        <v>5</v>
      </c>
      <c r="S947">
        <v>2.67</v>
      </c>
      <c r="T947">
        <v>1</v>
      </c>
      <c r="U947" t="s">
        <v>22</v>
      </c>
      <c r="V947" t="e">
        <f>IF(#REF! = "yes", 1, 0)</f>
        <v>#REF!</v>
      </c>
      <c r="W947" t="e">
        <f>IF(#REF! &lt;= 1, "0-1 Calls", IF(#REF! &lt;= 3, "2-3 Calls", IF(#REF! &lt;=5, "4-5 Calls", "6+ Calls")))</f>
        <v>#REF!</v>
      </c>
      <c r="X947" t="e">
        <f>IF(#REF! &lt;= 50, "0-50", IF(#REF! &lt;=100, "51-100", IF(#REF! &lt;= 150, "101-150", "151+")))</f>
        <v>#REF!</v>
      </c>
      <c r="Y947" t="e">
        <f>IF(#REF! &lt;= 3, "Low Charges", "High Charges")</f>
        <v>#REF!</v>
      </c>
      <c r="Z947" t="e">
        <f>IF(#REF!&lt;=80,"Low Calls",
IF(#REF!&lt;=120,"Medium Calls","High Calls"))</f>
        <v>#REF!</v>
      </c>
      <c r="AA947" t="e">
        <f>IF(#REF!&lt;=15,"Low Charges",
IF(#REF!&lt;=20,"Medium Charges","High Charges"))</f>
        <v>#REF!</v>
      </c>
      <c r="AB947" t="e">
        <f>IF(AND(#REF!&gt;180, #REF!&gt;200), "Heavy Doemstic User", IF(#REF!&gt;10, "Interntional User", IF(AND(#REF!&lt;180, #REF!&lt;200,#REF!&lt;200), "Light User", "Balanced User")))</f>
        <v>#REF!</v>
      </c>
      <c r="AC947" t="e">
        <f>IF(#REF! = 0, "No Usage", IF(#REF! &lt;= 20, "Low Usage", IF(#REF! &lt;= 40, "Medium Usgae", "High Usage")))</f>
        <v>#REF!</v>
      </c>
      <c r="AD947" t="e">
        <f>IF(#REF!&lt;=150,"Low Usage", IF(#REF!&lt;=200,"Medium Usage", IF(#REF!&lt;=250,"High Usage","Very High Usage")))</f>
        <v>#REF!</v>
      </c>
      <c r="AE947" t="e">
        <f>IF(#REF!&lt;=5,"Low Calls", IF(#REF!&lt;=10, "Medium Calls", "High Calls"))</f>
        <v>#REF!</v>
      </c>
      <c r="AF947" t="e">
        <f xml:space="preserve">
IF(#REF!&gt;=4,4,0)+
IF(#REF!="yes",3,0)+
IF(#REF!="High Charges",3,0)+
IF(#REF!&gt;250,4,0)+
IF(#REF!="no",1,0)+
IF(#REF!="Heavy Domestic User",2,0)</f>
        <v>#REF!</v>
      </c>
      <c r="AG947" t="e">
        <f>IF(#REF!&gt;=10,"High Risk", IF(#REF!&gt;=5,"Medium Risk","Low Risk"))</f>
        <v>#REF!</v>
      </c>
      <c r="AH947" t="e">
        <f>#REF! + #REF! + #REF! + #REF!</f>
        <v>#REF!</v>
      </c>
    </row>
    <row r="948" spans="1:34" x14ac:dyDescent="0.35">
      <c r="A948">
        <v>947</v>
      </c>
      <c r="B948" t="s">
        <v>64</v>
      </c>
      <c r="C948">
        <v>99</v>
      </c>
      <c r="D948" t="s">
        <v>25</v>
      </c>
      <c r="E948" t="s">
        <v>22</v>
      </c>
      <c r="F948" t="s">
        <v>23</v>
      </c>
      <c r="G948">
        <v>19</v>
      </c>
      <c r="H948">
        <v>87.7</v>
      </c>
      <c r="I948">
        <v>103</v>
      </c>
      <c r="J948">
        <v>14.91</v>
      </c>
      <c r="K948">
        <v>223</v>
      </c>
      <c r="L948">
        <v>86</v>
      </c>
      <c r="M948">
        <v>18.96</v>
      </c>
      <c r="N948">
        <v>182.3</v>
      </c>
      <c r="O948">
        <v>112</v>
      </c>
      <c r="P948">
        <v>8.1999999999999993</v>
      </c>
      <c r="Q948">
        <v>7.3</v>
      </c>
      <c r="R948">
        <v>4</v>
      </c>
      <c r="S948">
        <v>1.97</v>
      </c>
      <c r="T948">
        <v>2</v>
      </c>
      <c r="U948" t="s">
        <v>22</v>
      </c>
      <c r="V948" t="e">
        <f>IF(#REF! = "yes", 1, 0)</f>
        <v>#REF!</v>
      </c>
      <c r="W948" t="e">
        <f>IF(#REF! &lt;= 1, "0-1 Calls", IF(#REF! &lt;= 3, "2-3 Calls", IF(#REF! &lt;=5, "4-5 Calls", "6+ Calls")))</f>
        <v>#REF!</v>
      </c>
      <c r="X948" t="e">
        <f>IF(#REF! &lt;= 50, "0-50", IF(#REF! &lt;=100, "51-100", IF(#REF! &lt;= 150, "101-150", "151+")))</f>
        <v>#REF!</v>
      </c>
      <c r="Y948" t="e">
        <f>IF(#REF! &lt;= 3, "Low Charges", "High Charges")</f>
        <v>#REF!</v>
      </c>
      <c r="Z948" t="e">
        <f>IF(#REF!&lt;=80,"Low Calls",
IF(#REF!&lt;=120,"Medium Calls","High Calls"))</f>
        <v>#REF!</v>
      </c>
      <c r="AA948" t="e">
        <f>IF(#REF!&lt;=15,"Low Charges",
IF(#REF!&lt;=20,"Medium Charges","High Charges"))</f>
        <v>#REF!</v>
      </c>
      <c r="AB948" t="e">
        <f>IF(AND(#REF!&gt;180, #REF!&gt;200), "Heavy Doemstic User", IF(#REF!&gt;10, "Interntional User", IF(AND(#REF!&lt;180, #REF!&lt;200,#REF!&lt;200), "Light User", "Balanced User")))</f>
        <v>#REF!</v>
      </c>
      <c r="AC948" t="e">
        <f>IF(#REF! = 0, "No Usage", IF(#REF! &lt;= 20, "Low Usage", IF(#REF! &lt;= 40, "Medium Usgae", "High Usage")))</f>
        <v>#REF!</v>
      </c>
      <c r="AD948" t="e">
        <f>IF(#REF!&lt;=150,"Low Usage", IF(#REF!&lt;=200,"Medium Usage", IF(#REF!&lt;=250,"High Usage","Very High Usage")))</f>
        <v>#REF!</v>
      </c>
      <c r="AE948" t="e">
        <f>IF(#REF!&lt;=5,"Low Calls", IF(#REF!&lt;=10, "Medium Calls", "High Calls"))</f>
        <v>#REF!</v>
      </c>
      <c r="AF948" t="e">
        <f xml:space="preserve">
IF(#REF!&gt;=4,4,0)+
IF(#REF!="yes",3,0)+
IF(#REF!="High Charges",3,0)+
IF(#REF!&gt;250,4,0)+
IF(#REF!="no",1,0)+
IF(#REF!="Heavy Domestic User",2,0)</f>
        <v>#REF!</v>
      </c>
      <c r="AG948" t="e">
        <f>IF(#REF!&gt;=10,"High Risk", IF(#REF!&gt;=5,"Medium Risk","Low Risk"))</f>
        <v>#REF!</v>
      </c>
      <c r="AH948" t="e">
        <f>#REF! + #REF! + #REF! + #REF!</f>
        <v>#REF!</v>
      </c>
    </row>
    <row r="949" spans="1:34" x14ac:dyDescent="0.35">
      <c r="A949">
        <v>948</v>
      </c>
      <c r="B949" t="s">
        <v>70</v>
      </c>
      <c r="C949">
        <v>159</v>
      </c>
      <c r="D949" t="s">
        <v>21</v>
      </c>
      <c r="E949" t="s">
        <v>22</v>
      </c>
      <c r="F949" t="s">
        <v>23</v>
      </c>
      <c r="G949">
        <v>19</v>
      </c>
      <c r="H949">
        <v>184.1</v>
      </c>
      <c r="I949">
        <v>78</v>
      </c>
      <c r="J949">
        <v>31.3</v>
      </c>
      <c r="K949">
        <v>194.5</v>
      </c>
      <c r="L949">
        <v>71</v>
      </c>
      <c r="M949">
        <v>16.53</v>
      </c>
      <c r="N949">
        <v>225.6</v>
      </c>
      <c r="O949">
        <v>101</v>
      </c>
      <c r="P949">
        <v>10.15</v>
      </c>
      <c r="Q949">
        <v>16.899999999999999</v>
      </c>
      <c r="R949">
        <v>3</v>
      </c>
      <c r="S949">
        <v>4.5599999999999996</v>
      </c>
      <c r="T949">
        <v>0</v>
      </c>
      <c r="U949" t="s">
        <v>22</v>
      </c>
      <c r="V949" t="e">
        <f>IF(#REF! = "yes", 1, 0)</f>
        <v>#REF!</v>
      </c>
      <c r="W949" t="e">
        <f>IF(#REF! &lt;= 1, "0-1 Calls", IF(#REF! &lt;= 3, "2-3 Calls", IF(#REF! &lt;=5, "4-5 Calls", "6+ Calls")))</f>
        <v>#REF!</v>
      </c>
      <c r="X949" t="e">
        <f>IF(#REF! &lt;= 50, "0-50", IF(#REF! &lt;=100, "51-100", IF(#REF! &lt;= 150, "101-150", "151+")))</f>
        <v>#REF!</v>
      </c>
      <c r="Y949" t="e">
        <f>IF(#REF! &lt;= 3, "Low Charges", "High Charges")</f>
        <v>#REF!</v>
      </c>
      <c r="Z949" t="e">
        <f>IF(#REF!&lt;=80,"Low Calls",
IF(#REF!&lt;=120,"Medium Calls","High Calls"))</f>
        <v>#REF!</v>
      </c>
      <c r="AA949" t="e">
        <f>IF(#REF!&lt;=15,"Low Charges",
IF(#REF!&lt;=20,"Medium Charges","High Charges"))</f>
        <v>#REF!</v>
      </c>
      <c r="AB949" t="e">
        <f>IF(AND(#REF!&gt;180, #REF!&gt;200), "Heavy Doemstic User", IF(#REF!&gt;10, "Interntional User", IF(AND(#REF!&lt;180, #REF!&lt;200,#REF!&lt;200), "Light User", "Balanced User")))</f>
        <v>#REF!</v>
      </c>
      <c r="AC949" t="e">
        <f>IF(#REF! = 0, "No Usage", IF(#REF! &lt;= 20, "Low Usage", IF(#REF! &lt;= 40, "Medium Usgae", "High Usage")))</f>
        <v>#REF!</v>
      </c>
      <c r="AD949" t="e">
        <f>IF(#REF!&lt;=150,"Low Usage", IF(#REF!&lt;=200,"Medium Usage", IF(#REF!&lt;=250,"High Usage","Very High Usage")))</f>
        <v>#REF!</v>
      </c>
      <c r="AE949" t="e">
        <f>IF(#REF!&lt;=5,"Low Calls", IF(#REF!&lt;=10, "Medium Calls", "High Calls"))</f>
        <v>#REF!</v>
      </c>
      <c r="AF949" t="e">
        <f xml:space="preserve">
IF(#REF!&gt;=4,4,0)+
IF(#REF!="yes",3,0)+
IF(#REF!="High Charges",3,0)+
IF(#REF!&gt;250,4,0)+
IF(#REF!="no",1,0)+
IF(#REF!="Heavy Domestic User",2,0)</f>
        <v>#REF!</v>
      </c>
      <c r="AG949" t="e">
        <f>IF(#REF!&gt;=10,"High Risk", IF(#REF!&gt;=5,"Medium Risk","Low Risk"))</f>
        <v>#REF!</v>
      </c>
      <c r="AH949" t="e">
        <f>#REF! + #REF! + #REF! + #REF!</f>
        <v>#REF!</v>
      </c>
    </row>
    <row r="950" spans="1:34" x14ac:dyDescent="0.35">
      <c r="A950">
        <v>949</v>
      </c>
      <c r="B950" t="s">
        <v>68</v>
      </c>
      <c r="C950">
        <v>71</v>
      </c>
      <c r="D950" t="s">
        <v>21</v>
      </c>
      <c r="E950" t="s">
        <v>22</v>
      </c>
      <c r="F950" t="s">
        <v>22</v>
      </c>
      <c r="G950">
        <v>0</v>
      </c>
      <c r="H950">
        <v>103.3</v>
      </c>
      <c r="I950">
        <v>103</v>
      </c>
      <c r="J950">
        <v>17.559999999999999</v>
      </c>
      <c r="K950">
        <v>138.5</v>
      </c>
      <c r="L950">
        <v>79</v>
      </c>
      <c r="M950">
        <v>11.77</v>
      </c>
      <c r="N950">
        <v>164.8</v>
      </c>
      <c r="O950">
        <v>98</v>
      </c>
      <c r="P950">
        <v>7.42</v>
      </c>
      <c r="Q950">
        <v>9</v>
      </c>
      <c r="R950">
        <v>2</v>
      </c>
      <c r="S950">
        <v>2.4300000000000002</v>
      </c>
      <c r="T950">
        <v>2</v>
      </c>
      <c r="U950" t="s">
        <v>22</v>
      </c>
      <c r="V950" t="e">
        <f>IF(#REF! = "yes", 1, 0)</f>
        <v>#REF!</v>
      </c>
      <c r="W950" t="e">
        <f>IF(#REF! &lt;= 1, "0-1 Calls", IF(#REF! &lt;= 3, "2-3 Calls", IF(#REF! &lt;=5, "4-5 Calls", "6+ Calls")))</f>
        <v>#REF!</v>
      </c>
      <c r="X950" t="e">
        <f>IF(#REF! &lt;= 50, "0-50", IF(#REF! &lt;=100, "51-100", IF(#REF! &lt;= 150, "101-150", "151+")))</f>
        <v>#REF!</v>
      </c>
      <c r="Y950" t="e">
        <f>IF(#REF! &lt;= 3, "Low Charges", "High Charges")</f>
        <v>#REF!</v>
      </c>
      <c r="Z950" t="e">
        <f>IF(#REF!&lt;=80,"Low Calls",
IF(#REF!&lt;=120,"Medium Calls","High Calls"))</f>
        <v>#REF!</v>
      </c>
      <c r="AA950" t="e">
        <f>IF(#REF!&lt;=15,"Low Charges",
IF(#REF!&lt;=20,"Medium Charges","High Charges"))</f>
        <v>#REF!</v>
      </c>
      <c r="AB950" t="e">
        <f>IF(AND(#REF!&gt;180, #REF!&gt;200), "Heavy Doemstic User", IF(#REF!&gt;10, "Interntional User", IF(AND(#REF!&lt;180, #REF!&lt;200,#REF!&lt;200), "Light User", "Balanced User")))</f>
        <v>#REF!</v>
      </c>
      <c r="AC950" t="e">
        <f>IF(#REF! = 0, "No Usage", IF(#REF! &lt;= 20, "Low Usage", IF(#REF! &lt;= 40, "Medium Usgae", "High Usage")))</f>
        <v>#REF!</v>
      </c>
      <c r="AD950" t="e">
        <f>IF(#REF!&lt;=150,"Low Usage", IF(#REF!&lt;=200,"Medium Usage", IF(#REF!&lt;=250,"High Usage","Very High Usage")))</f>
        <v>#REF!</v>
      </c>
      <c r="AE950" t="e">
        <f>IF(#REF!&lt;=5,"Low Calls", IF(#REF!&lt;=10, "Medium Calls", "High Calls"))</f>
        <v>#REF!</v>
      </c>
      <c r="AF950" t="e">
        <f xml:space="preserve">
IF(#REF!&gt;=4,4,0)+
IF(#REF!="yes",3,0)+
IF(#REF!="High Charges",3,0)+
IF(#REF!&gt;250,4,0)+
IF(#REF!="no",1,0)+
IF(#REF!="Heavy Domestic User",2,0)</f>
        <v>#REF!</v>
      </c>
      <c r="AG950" t="e">
        <f>IF(#REF!&gt;=10,"High Risk", IF(#REF!&gt;=5,"Medium Risk","Low Risk"))</f>
        <v>#REF!</v>
      </c>
      <c r="AH950" t="e">
        <f>#REF! + #REF! + #REF! + #REF!</f>
        <v>#REF!</v>
      </c>
    </row>
    <row r="951" spans="1:34" x14ac:dyDescent="0.35">
      <c r="A951">
        <v>950</v>
      </c>
      <c r="B951" t="s">
        <v>73</v>
      </c>
      <c r="C951">
        <v>122</v>
      </c>
      <c r="D951" t="s">
        <v>21</v>
      </c>
      <c r="E951" t="s">
        <v>22</v>
      </c>
      <c r="F951" t="s">
        <v>22</v>
      </c>
      <c r="G951">
        <v>0</v>
      </c>
      <c r="H951">
        <v>35.1</v>
      </c>
      <c r="I951">
        <v>62</v>
      </c>
      <c r="J951">
        <v>5.97</v>
      </c>
      <c r="K951">
        <v>180.8</v>
      </c>
      <c r="L951">
        <v>89</v>
      </c>
      <c r="M951">
        <v>15.37</v>
      </c>
      <c r="N951">
        <v>251.6</v>
      </c>
      <c r="O951">
        <v>58</v>
      </c>
      <c r="P951">
        <v>11.32</v>
      </c>
      <c r="Q951">
        <v>12.7</v>
      </c>
      <c r="R951">
        <v>2</v>
      </c>
      <c r="S951">
        <v>3.43</v>
      </c>
      <c r="T951">
        <v>1</v>
      </c>
      <c r="U951" t="s">
        <v>22</v>
      </c>
      <c r="V951" t="e">
        <f>IF(#REF! = "yes", 1, 0)</f>
        <v>#REF!</v>
      </c>
      <c r="W951" t="e">
        <f>IF(#REF! &lt;= 1, "0-1 Calls", IF(#REF! &lt;= 3, "2-3 Calls", IF(#REF! &lt;=5, "4-5 Calls", "6+ Calls")))</f>
        <v>#REF!</v>
      </c>
      <c r="X951" t="e">
        <f>IF(#REF! &lt;= 50, "0-50", IF(#REF! &lt;=100, "51-100", IF(#REF! &lt;= 150, "101-150", "151+")))</f>
        <v>#REF!</v>
      </c>
      <c r="Y951" t="e">
        <f>IF(#REF! &lt;= 3, "Low Charges", "High Charges")</f>
        <v>#REF!</v>
      </c>
      <c r="Z951" t="e">
        <f>IF(#REF!&lt;=80,"Low Calls",
IF(#REF!&lt;=120,"Medium Calls","High Calls"))</f>
        <v>#REF!</v>
      </c>
      <c r="AA951" t="e">
        <f>IF(#REF!&lt;=15,"Low Charges",
IF(#REF!&lt;=20,"Medium Charges","High Charges"))</f>
        <v>#REF!</v>
      </c>
      <c r="AB951" t="e">
        <f>IF(AND(#REF!&gt;180, #REF!&gt;200), "Heavy Doemstic User", IF(#REF!&gt;10, "Interntional User", IF(AND(#REF!&lt;180, #REF!&lt;200,#REF!&lt;200), "Light User", "Balanced User")))</f>
        <v>#REF!</v>
      </c>
      <c r="AC951" t="e">
        <f>IF(#REF! = 0, "No Usage", IF(#REF! &lt;= 20, "Low Usage", IF(#REF! &lt;= 40, "Medium Usgae", "High Usage")))</f>
        <v>#REF!</v>
      </c>
      <c r="AD951" t="e">
        <f>IF(#REF!&lt;=150,"Low Usage", IF(#REF!&lt;=200,"Medium Usage", IF(#REF!&lt;=250,"High Usage","Very High Usage")))</f>
        <v>#REF!</v>
      </c>
      <c r="AE951" t="e">
        <f>IF(#REF!&lt;=5,"Low Calls", IF(#REF!&lt;=10, "Medium Calls", "High Calls"))</f>
        <v>#REF!</v>
      </c>
      <c r="AF951" t="e">
        <f xml:space="preserve">
IF(#REF!&gt;=4,4,0)+
IF(#REF!="yes",3,0)+
IF(#REF!="High Charges",3,0)+
IF(#REF!&gt;250,4,0)+
IF(#REF!="no",1,0)+
IF(#REF!="Heavy Domestic User",2,0)</f>
        <v>#REF!</v>
      </c>
      <c r="AG951" t="e">
        <f>IF(#REF!&gt;=10,"High Risk", IF(#REF!&gt;=5,"Medium Risk","Low Risk"))</f>
        <v>#REF!</v>
      </c>
      <c r="AH951" t="e">
        <f>#REF! + #REF! + #REF! + #REF!</f>
        <v>#REF!</v>
      </c>
    </row>
    <row r="952" spans="1:34" x14ac:dyDescent="0.35">
      <c r="A952">
        <v>951</v>
      </c>
      <c r="B952" t="s">
        <v>31</v>
      </c>
      <c r="C952">
        <v>83</v>
      </c>
      <c r="D952" t="s">
        <v>21</v>
      </c>
      <c r="E952" t="s">
        <v>22</v>
      </c>
      <c r="F952" t="s">
        <v>23</v>
      </c>
      <c r="G952">
        <v>37</v>
      </c>
      <c r="H952">
        <v>78.5</v>
      </c>
      <c r="I952">
        <v>109</v>
      </c>
      <c r="J952">
        <v>13.35</v>
      </c>
      <c r="K952">
        <v>210.5</v>
      </c>
      <c r="L952">
        <v>101</v>
      </c>
      <c r="M952">
        <v>17.89</v>
      </c>
      <c r="N952">
        <v>179.7</v>
      </c>
      <c r="O952">
        <v>102</v>
      </c>
      <c r="P952">
        <v>8.09</v>
      </c>
      <c r="Q952">
        <v>11.8</v>
      </c>
      <c r="R952">
        <v>4</v>
      </c>
      <c r="S952">
        <v>3.19</v>
      </c>
      <c r="T952">
        <v>1</v>
      </c>
      <c r="U952" t="s">
        <v>22</v>
      </c>
      <c r="V952" t="e">
        <f>IF(#REF! = "yes", 1, 0)</f>
        <v>#REF!</v>
      </c>
      <c r="W952" t="e">
        <f>IF(#REF! &lt;= 1, "0-1 Calls", IF(#REF! &lt;= 3, "2-3 Calls", IF(#REF! &lt;=5, "4-5 Calls", "6+ Calls")))</f>
        <v>#REF!</v>
      </c>
      <c r="X952" t="e">
        <f>IF(#REF! &lt;= 50, "0-50", IF(#REF! &lt;=100, "51-100", IF(#REF! &lt;= 150, "101-150", "151+")))</f>
        <v>#REF!</v>
      </c>
      <c r="Y952" t="e">
        <f>IF(#REF! &lt;= 3, "Low Charges", "High Charges")</f>
        <v>#REF!</v>
      </c>
      <c r="Z952" t="e">
        <f>IF(#REF!&lt;=80,"Low Calls",
IF(#REF!&lt;=120,"Medium Calls","High Calls"))</f>
        <v>#REF!</v>
      </c>
      <c r="AA952" t="e">
        <f>IF(#REF!&lt;=15,"Low Charges",
IF(#REF!&lt;=20,"Medium Charges","High Charges"))</f>
        <v>#REF!</v>
      </c>
      <c r="AB952" t="e">
        <f>IF(AND(#REF!&gt;180, #REF!&gt;200), "Heavy Doemstic User", IF(#REF!&gt;10, "Interntional User", IF(AND(#REF!&lt;180, #REF!&lt;200,#REF!&lt;200), "Light User", "Balanced User")))</f>
        <v>#REF!</v>
      </c>
      <c r="AC952" t="e">
        <f>IF(#REF! = 0, "No Usage", IF(#REF! &lt;= 20, "Low Usage", IF(#REF! &lt;= 40, "Medium Usgae", "High Usage")))</f>
        <v>#REF!</v>
      </c>
      <c r="AD952" t="e">
        <f>IF(#REF!&lt;=150,"Low Usage", IF(#REF!&lt;=200,"Medium Usage", IF(#REF!&lt;=250,"High Usage","Very High Usage")))</f>
        <v>#REF!</v>
      </c>
      <c r="AE952" t="e">
        <f>IF(#REF!&lt;=5,"Low Calls", IF(#REF!&lt;=10, "Medium Calls", "High Calls"))</f>
        <v>#REF!</v>
      </c>
      <c r="AF952" t="e">
        <f xml:space="preserve">
IF(#REF!&gt;=4,4,0)+
IF(#REF!="yes",3,0)+
IF(#REF!="High Charges",3,0)+
IF(#REF!&gt;250,4,0)+
IF(#REF!="no",1,0)+
IF(#REF!="Heavy Domestic User",2,0)</f>
        <v>#REF!</v>
      </c>
      <c r="AG952" t="e">
        <f>IF(#REF!&gt;=10,"High Risk", IF(#REF!&gt;=5,"Medium Risk","Low Risk"))</f>
        <v>#REF!</v>
      </c>
      <c r="AH952" t="e">
        <f>#REF! + #REF! + #REF! + #REF!</f>
        <v>#REF!</v>
      </c>
    </row>
    <row r="953" spans="1:34" x14ac:dyDescent="0.35">
      <c r="A953">
        <v>952</v>
      </c>
      <c r="B953" t="s">
        <v>62</v>
      </c>
      <c r="C953">
        <v>64</v>
      </c>
      <c r="D953" t="s">
        <v>25</v>
      </c>
      <c r="E953" t="s">
        <v>22</v>
      </c>
      <c r="F953" t="s">
        <v>22</v>
      </c>
      <c r="G953">
        <v>0</v>
      </c>
      <c r="H953">
        <v>148.1</v>
      </c>
      <c r="I953">
        <v>73</v>
      </c>
      <c r="J953">
        <v>25.18</v>
      </c>
      <c r="K953">
        <v>164.9</v>
      </c>
      <c r="L953">
        <v>101</v>
      </c>
      <c r="M953">
        <v>14.02</v>
      </c>
      <c r="N953">
        <v>216</v>
      </c>
      <c r="O953">
        <v>125</v>
      </c>
      <c r="P953">
        <v>9.7200000000000006</v>
      </c>
      <c r="Q953">
        <v>12.3</v>
      </c>
      <c r="R953">
        <v>2</v>
      </c>
      <c r="S953">
        <v>3.32</v>
      </c>
      <c r="T953">
        <v>5</v>
      </c>
      <c r="U953" t="s">
        <v>23</v>
      </c>
      <c r="V953" t="e">
        <f>IF(#REF! = "yes", 1, 0)</f>
        <v>#REF!</v>
      </c>
      <c r="W953" t="e">
        <f>IF(#REF! &lt;= 1, "0-1 Calls", IF(#REF! &lt;= 3, "2-3 Calls", IF(#REF! &lt;=5, "4-5 Calls", "6+ Calls")))</f>
        <v>#REF!</v>
      </c>
      <c r="X953" t="e">
        <f>IF(#REF! &lt;= 50, "0-50", IF(#REF! &lt;=100, "51-100", IF(#REF! &lt;= 150, "101-150", "151+")))</f>
        <v>#REF!</v>
      </c>
      <c r="Y953" t="e">
        <f>IF(#REF! &lt;= 3, "Low Charges", "High Charges")</f>
        <v>#REF!</v>
      </c>
      <c r="Z953" t="e">
        <f>IF(#REF!&lt;=80,"Low Calls",
IF(#REF!&lt;=120,"Medium Calls","High Calls"))</f>
        <v>#REF!</v>
      </c>
      <c r="AA953" t="e">
        <f>IF(#REF!&lt;=15,"Low Charges",
IF(#REF!&lt;=20,"Medium Charges","High Charges"))</f>
        <v>#REF!</v>
      </c>
      <c r="AB953" t="e">
        <f>IF(AND(#REF!&gt;180, #REF!&gt;200), "Heavy Doemstic User", IF(#REF!&gt;10, "Interntional User", IF(AND(#REF!&lt;180, #REF!&lt;200,#REF!&lt;200), "Light User", "Balanced User")))</f>
        <v>#REF!</v>
      </c>
      <c r="AC953" t="e">
        <f>IF(#REF! = 0, "No Usage", IF(#REF! &lt;= 20, "Low Usage", IF(#REF! &lt;= 40, "Medium Usgae", "High Usage")))</f>
        <v>#REF!</v>
      </c>
      <c r="AD953" t="e">
        <f>IF(#REF!&lt;=150,"Low Usage", IF(#REF!&lt;=200,"Medium Usage", IF(#REF!&lt;=250,"High Usage","Very High Usage")))</f>
        <v>#REF!</v>
      </c>
      <c r="AE953" t="e">
        <f>IF(#REF!&lt;=5,"Low Calls", IF(#REF!&lt;=10, "Medium Calls", "High Calls"))</f>
        <v>#REF!</v>
      </c>
      <c r="AF953" t="e">
        <f xml:space="preserve">
IF(#REF!&gt;=4,4,0)+
IF(#REF!="yes",3,0)+
IF(#REF!="High Charges",3,0)+
IF(#REF!&gt;250,4,0)+
IF(#REF!="no",1,0)+
IF(#REF!="Heavy Domestic User",2,0)</f>
        <v>#REF!</v>
      </c>
      <c r="AG953" t="e">
        <f>IF(#REF!&gt;=10,"High Risk", IF(#REF!&gt;=5,"Medium Risk","Low Risk"))</f>
        <v>#REF!</v>
      </c>
      <c r="AH953" t="e">
        <f>#REF! + #REF! + #REF! + #REF!</f>
        <v>#REF!</v>
      </c>
    </row>
    <row r="954" spans="1:34" x14ac:dyDescent="0.35">
      <c r="A954">
        <v>953</v>
      </c>
      <c r="B954" t="s">
        <v>37</v>
      </c>
      <c r="C954">
        <v>144</v>
      </c>
      <c r="D954" t="s">
        <v>21</v>
      </c>
      <c r="E954" t="s">
        <v>22</v>
      </c>
      <c r="F954" t="s">
        <v>23</v>
      </c>
      <c r="G954">
        <v>33</v>
      </c>
      <c r="H954">
        <v>251.6</v>
      </c>
      <c r="I954">
        <v>87</v>
      </c>
      <c r="J954">
        <v>42.77</v>
      </c>
      <c r="K954">
        <v>197.6</v>
      </c>
      <c r="L954">
        <v>118</v>
      </c>
      <c r="M954">
        <v>16.8</v>
      </c>
      <c r="N954">
        <v>209.2</v>
      </c>
      <c r="O954">
        <v>97</v>
      </c>
      <c r="P954">
        <v>9.41</v>
      </c>
      <c r="Q954">
        <v>12.2</v>
      </c>
      <c r="R954">
        <v>3</v>
      </c>
      <c r="S954">
        <v>3.29</v>
      </c>
      <c r="T954">
        <v>2</v>
      </c>
      <c r="U954" t="s">
        <v>22</v>
      </c>
      <c r="V954" t="e">
        <f>IF(#REF! = "yes", 1, 0)</f>
        <v>#REF!</v>
      </c>
      <c r="W954" t="e">
        <f>IF(#REF! &lt;= 1, "0-1 Calls", IF(#REF! &lt;= 3, "2-3 Calls", IF(#REF! &lt;=5, "4-5 Calls", "6+ Calls")))</f>
        <v>#REF!</v>
      </c>
      <c r="X954" t="e">
        <f>IF(#REF! &lt;= 50, "0-50", IF(#REF! &lt;=100, "51-100", IF(#REF! &lt;= 150, "101-150", "151+")))</f>
        <v>#REF!</v>
      </c>
      <c r="Y954" t="e">
        <f>IF(#REF! &lt;= 3, "Low Charges", "High Charges")</f>
        <v>#REF!</v>
      </c>
      <c r="Z954" t="e">
        <f>IF(#REF!&lt;=80,"Low Calls",
IF(#REF!&lt;=120,"Medium Calls","High Calls"))</f>
        <v>#REF!</v>
      </c>
      <c r="AA954" t="e">
        <f>IF(#REF!&lt;=15,"Low Charges",
IF(#REF!&lt;=20,"Medium Charges","High Charges"))</f>
        <v>#REF!</v>
      </c>
      <c r="AB954" t="e">
        <f>IF(AND(#REF!&gt;180, #REF!&gt;200), "Heavy Doemstic User", IF(#REF!&gt;10, "Interntional User", IF(AND(#REF!&lt;180, #REF!&lt;200,#REF!&lt;200), "Light User", "Balanced User")))</f>
        <v>#REF!</v>
      </c>
      <c r="AC954" t="e">
        <f>IF(#REF! = 0, "No Usage", IF(#REF! &lt;= 20, "Low Usage", IF(#REF! &lt;= 40, "Medium Usgae", "High Usage")))</f>
        <v>#REF!</v>
      </c>
      <c r="AD954" t="e">
        <f>IF(#REF!&lt;=150,"Low Usage", IF(#REF!&lt;=200,"Medium Usage", IF(#REF!&lt;=250,"High Usage","Very High Usage")))</f>
        <v>#REF!</v>
      </c>
      <c r="AE954" t="e">
        <f>IF(#REF!&lt;=5,"Low Calls", IF(#REF!&lt;=10, "Medium Calls", "High Calls"))</f>
        <v>#REF!</v>
      </c>
      <c r="AF954" t="e">
        <f xml:space="preserve">
IF(#REF!&gt;=4,4,0)+
IF(#REF!="yes",3,0)+
IF(#REF!="High Charges",3,0)+
IF(#REF!&gt;250,4,0)+
IF(#REF!="no",1,0)+
IF(#REF!="Heavy Domestic User",2,0)</f>
        <v>#REF!</v>
      </c>
      <c r="AG954" t="e">
        <f>IF(#REF!&gt;=10,"High Risk", IF(#REF!&gt;=5,"Medium Risk","Low Risk"))</f>
        <v>#REF!</v>
      </c>
      <c r="AH954" t="e">
        <f>#REF! + #REF! + #REF! + #REF!</f>
        <v>#REF!</v>
      </c>
    </row>
    <row r="955" spans="1:34" x14ac:dyDescent="0.35">
      <c r="A955">
        <v>954</v>
      </c>
      <c r="B955" t="s">
        <v>44</v>
      </c>
      <c r="C955">
        <v>106</v>
      </c>
      <c r="D955" t="s">
        <v>21</v>
      </c>
      <c r="E955" t="s">
        <v>23</v>
      </c>
      <c r="F955" t="s">
        <v>23</v>
      </c>
      <c r="G955">
        <v>26</v>
      </c>
      <c r="H955">
        <v>270.3</v>
      </c>
      <c r="I955">
        <v>111</v>
      </c>
      <c r="J955">
        <v>45.95</v>
      </c>
      <c r="K955">
        <v>215.2</v>
      </c>
      <c r="L955">
        <v>90</v>
      </c>
      <c r="M955">
        <v>18.29</v>
      </c>
      <c r="N955">
        <v>254</v>
      </c>
      <c r="O955">
        <v>133</v>
      </c>
      <c r="P955">
        <v>11.43</v>
      </c>
      <c r="Q955">
        <v>14.4</v>
      </c>
      <c r="R955">
        <v>7</v>
      </c>
      <c r="S955">
        <v>3.89</v>
      </c>
      <c r="T955">
        <v>1</v>
      </c>
      <c r="U955" t="s">
        <v>23</v>
      </c>
      <c r="V955" t="e">
        <f>IF(#REF! = "yes", 1, 0)</f>
        <v>#REF!</v>
      </c>
      <c r="W955" t="e">
        <f>IF(#REF! &lt;= 1, "0-1 Calls", IF(#REF! &lt;= 3, "2-3 Calls", IF(#REF! &lt;=5, "4-5 Calls", "6+ Calls")))</f>
        <v>#REF!</v>
      </c>
      <c r="X955" t="e">
        <f>IF(#REF! &lt;= 50, "0-50", IF(#REF! &lt;=100, "51-100", IF(#REF! &lt;= 150, "101-150", "151+")))</f>
        <v>#REF!</v>
      </c>
      <c r="Y955" t="e">
        <f>IF(#REF! &lt;= 3, "Low Charges", "High Charges")</f>
        <v>#REF!</v>
      </c>
      <c r="Z955" t="e">
        <f>IF(#REF!&lt;=80,"Low Calls",
IF(#REF!&lt;=120,"Medium Calls","High Calls"))</f>
        <v>#REF!</v>
      </c>
      <c r="AA955" t="e">
        <f>IF(#REF!&lt;=15,"Low Charges",
IF(#REF!&lt;=20,"Medium Charges","High Charges"))</f>
        <v>#REF!</v>
      </c>
      <c r="AB955" t="e">
        <f>IF(AND(#REF!&gt;180, #REF!&gt;200), "Heavy Doemstic User", IF(#REF!&gt;10, "Interntional User", IF(AND(#REF!&lt;180, #REF!&lt;200,#REF!&lt;200), "Light User", "Balanced User")))</f>
        <v>#REF!</v>
      </c>
      <c r="AC955" t="e">
        <f>IF(#REF! = 0, "No Usage", IF(#REF! &lt;= 20, "Low Usage", IF(#REF! &lt;= 40, "Medium Usgae", "High Usage")))</f>
        <v>#REF!</v>
      </c>
      <c r="AD955" t="e">
        <f>IF(#REF!&lt;=150,"Low Usage", IF(#REF!&lt;=200,"Medium Usage", IF(#REF!&lt;=250,"High Usage","Very High Usage")))</f>
        <v>#REF!</v>
      </c>
      <c r="AE955" t="e">
        <f>IF(#REF!&lt;=5,"Low Calls", IF(#REF!&lt;=10, "Medium Calls", "High Calls"))</f>
        <v>#REF!</v>
      </c>
      <c r="AF955" t="e">
        <f xml:space="preserve">
IF(#REF!&gt;=4,4,0)+
IF(#REF!="yes",3,0)+
IF(#REF!="High Charges",3,0)+
IF(#REF!&gt;250,4,0)+
IF(#REF!="no",1,0)+
IF(#REF!="Heavy Domestic User",2,0)</f>
        <v>#REF!</v>
      </c>
      <c r="AG955" t="e">
        <f>IF(#REF!&gt;=10,"High Risk", IF(#REF!&gt;=5,"Medium Risk","Low Risk"))</f>
        <v>#REF!</v>
      </c>
      <c r="AH955" t="e">
        <f>#REF! + #REF! + #REF! + #REF!</f>
        <v>#REF!</v>
      </c>
    </row>
    <row r="956" spans="1:34" x14ac:dyDescent="0.35">
      <c r="A956">
        <v>955</v>
      </c>
      <c r="B956" t="s">
        <v>39</v>
      </c>
      <c r="C956">
        <v>19</v>
      </c>
      <c r="D956" t="s">
        <v>28</v>
      </c>
      <c r="E956" t="s">
        <v>22</v>
      </c>
      <c r="F956" t="s">
        <v>23</v>
      </c>
      <c r="G956">
        <v>34</v>
      </c>
      <c r="H956">
        <v>156.6</v>
      </c>
      <c r="I956">
        <v>97</v>
      </c>
      <c r="J956">
        <v>26.62</v>
      </c>
      <c r="K956">
        <v>224.2</v>
      </c>
      <c r="L956">
        <v>97</v>
      </c>
      <c r="M956">
        <v>19.059999999999999</v>
      </c>
      <c r="N956">
        <v>260.89999999999998</v>
      </c>
      <c r="O956">
        <v>135</v>
      </c>
      <c r="P956">
        <v>11.74</v>
      </c>
      <c r="Q956">
        <v>11.3</v>
      </c>
      <c r="R956">
        <v>1</v>
      </c>
      <c r="S956">
        <v>3.05</v>
      </c>
      <c r="T956">
        <v>1</v>
      </c>
      <c r="U956" t="s">
        <v>22</v>
      </c>
      <c r="V956" t="e">
        <f>IF(#REF! = "yes", 1, 0)</f>
        <v>#REF!</v>
      </c>
      <c r="W956" t="e">
        <f>IF(#REF! &lt;= 1, "0-1 Calls", IF(#REF! &lt;= 3, "2-3 Calls", IF(#REF! &lt;=5, "4-5 Calls", "6+ Calls")))</f>
        <v>#REF!</v>
      </c>
      <c r="X956" t="e">
        <f>IF(#REF! &lt;= 50, "0-50", IF(#REF! &lt;=100, "51-100", IF(#REF! &lt;= 150, "101-150", "151+")))</f>
        <v>#REF!</v>
      </c>
      <c r="Y956" t="e">
        <f>IF(#REF! &lt;= 3, "Low Charges", "High Charges")</f>
        <v>#REF!</v>
      </c>
      <c r="Z956" t="e">
        <f>IF(#REF!&lt;=80,"Low Calls",
IF(#REF!&lt;=120,"Medium Calls","High Calls"))</f>
        <v>#REF!</v>
      </c>
      <c r="AA956" t="e">
        <f>IF(#REF!&lt;=15,"Low Charges",
IF(#REF!&lt;=20,"Medium Charges","High Charges"))</f>
        <v>#REF!</v>
      </c>
      <c r="AB956" t="e">
        <f>IF(AND(#REF!&gt;180, #REF!&gt;200), "Heavy Doemstic User", IF(#REF!&gt;10, "Interntional User", IF(AND(#REF!&lt;180, #REF!&lt;200,#REF!&lt;200), "Light User", "Balanced User")))</f>
        <v>#REF!</v>
      </c>
      <c r="AC956" t="e">
        <f>IF(#REF! = 0, "No Usage", IF(#REF! &lt;= 20, "Low Usage", IF(#REF! &lt;= 40, "Medium Usgae", "High Usage")))</f>
        <v>#REF!</v>
      </c>
      <c r="AD956" t="e">
        <f>IF(#REF!&lt;=150,"Low Usage", IF(#REF!&lt;=200,"Medium Usage", IF(#REF!&lt;=250,"High Usage","Very High Usage")))</f>
        <v>#REF!</v>
      </c>
      <c r="AE956" t="e">
        <f>IF(#REF!&lt;=5,"Low Calls", IF(#REF!&lt;=10, "Medium Calls", "High Calls"))</f>
        <v>#REF!</v>
      </c>
      <c r="AF956" t="e">
        <f xml:space="preserve">
IF(#REF!&gt;=4,4,0)+
IF(#REF!="yes",3,0)+
IF(#REF!="High Charges",3,0)+
IF(#REF!&gt;250,4,0)+
IF(#REF!="no",1,0)+
IF(#REF!="Heavy Domestic User",2,0)</f>
        <v>#REF!</v>
      </c>
      <c r="AG956" t="e">
        <f>IF(#REF!&gt;=10,"High Risk", IF(#REF!&gt;=5,"Medium Risk","Low Risk"))</f>
        <v>#REF!</v>
      </c>
      <c r="AH956" t="e">
        <f>#REF! + #REF! + #REF! + #REF!</f>
        <v>#REF!</v>
      </c>
    </row>
    <row r="957" spans="1:34" x14ac:dyDescent="0.35">
      <c r="A957">
        <v>956</v>
      </c>
      <c r="B957" t="s">
        <v>27</v>
      </c>
      <c r="C957">
        <v>46</v>
      </c>
      <c r="D957" t="s">
        <v>25</v>
      </c>
      <c r="E957" t="s">
        <v>22</v>
      </c>
      <c r="F957" t="s">
        <v>22</v>
      </c>
      <c r="G957">
        <v>0</v>
      </c>
      <c r="H957">
        <v>139.4</v>
      </c>
      <c r="I957">
        <v>81</v>
      </c>
      <c r="J957">
        <v>23.7</v>
      </c>
      <c r="K957">
        <v>223.7</v>
      </c>
      <c r="L957">
        <v>113</v>
      </c>
      <c r="M957">
        <v>19.010000000000002</v>
      </c>
      <c r="N957">
        <v>173.1</v>
      </c>
      <c r="O957">
        <v>77</v>
      </c>
      <c r="P957">
        <v>7.79</v>
      </c>
      <c r="Q957">
        <v>13.6</v>
      </c>
      <c r="R957">
        <v>6</v>
      </c>
      <c r="S957">
        <v>3.67</v>
      </c>
      <c r="T957">
        <v>1</v>
      </c>
      <c r="U957" t="s">
        <v>22</v>
      </c>
      <c r="V957" t="e">
        <f>IF(#REF! = "yes", 1, 0)</f>
        <v>#REF!</v>
      </c>
      <c r="W957" t="e">
        <f>IF(#REF! &lt;= 1, "0-1 Calls", IF(#REF! &lt;= 3, "2-3 Calls", IF(#REF! &lt;=5, "4-5 Calls", "6+ Calls")))</f>
        <v>#REF!</v>
      </c>
      <c r="X957" t="e">
        <f>IF(#REF! &lt;= 50, "0-50", IF(#REF! &lt;=100, "51-100", IF(#REF! &lt;= 150, "101-150", "151+")))</f>
        <v>#REF!</v>
      </c>
      <c r="Y957" t="e">
        <f>IF(#REF! &lt;= 3, "Low Charges", "High Charges")</f>
        <v>#REF!</v>
      </c>
      <c r="Z957" t="e">
        <f>IF(#REF!&lt;=80,"Low Calls",
IF(#REF!&lt;=120,"Medium Calls","High Calls"))</f>
        <v>#REF!</v>
      </c>
      <c r="AA957" t="e">
        <f>IF(#REF!&lt;=15,"Low Charges",
IF(#REF!&lt;=20,"Medium Charges","High Charges"))</f>
        <v>#REF!</v>
      </c>
      <c r="AB957" t="e">
        <f>IF(AND(#REF!&gt;180, #REF!&gt;200), "Heavy Doemstic User", IF(#REF!&gt;10, "Interntional User", IF(AND(#REF!&lt;180, #REF!&lt;200,#REF!&lt;200), "Light User", "Balanced User")))</f>
        <v>#REF!</v>
      </c>
      <c r="AC957" t="e">
        <f>IF(#REF! = 0, "No Usage", IF(#REF! &lt;= 20, "Low Usage", IF(#REF! &lt;= 40, "Medium Usgae", "High Usage")))</f>
        <v>#REF!</v>
      </c>
      <c r="AD957" t="e">
        <f>IF(#REF!&lt;=150,"Low Usage", IF(#REF!&lt;=200,"Medium Usage", IF(#REF!&lt;=250,"High Usage","Very High Usage")))</f>
        <v>#REF!</v>
      </c>
      <c r="AE957" t="e">
        <f>IF(#REF!&lt;=5,"Low Calls", IF(#REF!&lt;=10, "Medium Calls", "High Calls"))</f>
        <v>#REF!</v>
      </c>
      <c r="AF957" t="e">
        <f xml:space="preserve">
IF(#REF!&gt;=4,4,0)+
IF(#REF!="yes",3,0)+
IF(#REF!="High Charges",3,0)+
IF(#REF!&gt;250,4,0)+
IF(#REF!="no",1,0)+
IF(#REF!="Heavy Domestic User",2,0)</f>
        <v>#REF!</v>
      </c>
      <c r="AG957" t="e">
        <f>IF(#REF!&gt;=10,"High Risk", IF(#REF!&gt;=5,"Medium Risk","Low Risk"))</f>
        <v>#REF!</v>
      </c>
      <c r="AH957" t="e">
        <f>#REF! + #REF! + #REF! + #REF!</f>
        <v>#REF!</v>
      </c>
    </row>
    <row r="958" spans="1:34" x14ac:dyDescent="0.35">
      <c r="A958">
        <v>957</v>
      </c>
      <c r="B958" t="s">
        <v>72</v>
      </c>
      <c r="C958">
        <v>127</v>
      </c>
      <c r="D958" t="s">
        <v>28</v>
      </c>
      <c r="E958" t="s">
        <v>22</v>
      </c>
      <c r="F958" t="s">
        <v>22</v>
      </c>
      <c r="G958">
        <v>0</v>
      </c>
      <c r="H958">
        <v>220.2</v>
      </c>
      <c r="I958">
        <v>108</v>
      </c>
      <c r="J958">
        <v>37.43</v>
      </c>
      <c r="K958">
        <v>188.4</v>
      </c>
      <c r="L958">
        <v>124</v>
      </c>
      <c r="M958">
        <v>16.010000000000002</v>
      </c>
      <c r="N958">
        <v>172.7</v>
      </c>
      <c r="O958">
        <v>113</v>
      </c>
      <c r="P958">
        <v>7.77</v>
      </c>
      <c r="Q958">
        <v>11.7</v>
      </c>
      <c r="R958">
        <v>3</v>
      </c>
      <c r="S958">
        <v>3.16</v>
      </c>
      <c r="T958">
        <v>2</v>
      </c>
      <c r="U958" t="s">
        <v>22</v>
      </c>
      <c r="V958" t="e">
        <f>IF(#REF! = "yes", 1, 0)</f>
        <v>#REF!</v>
      </c>
      <c r="W958" t="e">
        <f>IF(#REF! &lt;= 1, "0-1 Calls", IF(#REF! &lt;= 3, "2-3 Calls", IF(#REF! &lt;=5, "4-5 Calls", "6+ Calls")))</f>
        <v>#REF!</v>
      </c>
      <c r="X958" t="e">
        <f>IF(#REF! &lt;= 50, "0-50", IF(#REF! &lt;=100, "51-100", IF(#REF! &lt;= 150, "101-150", "151+")))</f>
        <v>#REF!</v>
      </c>
      <c r="Y958" t="e">
        <f>IF(#REF! &lt;= 3, "Low Charges", "High Charges")</f>
        <v>#REF!</v>
      </c>
      <c r="Z958" t="e">
        <f>IF(#REF!&lt;=80,"Low Calls",
IF(#REF!&lt;=120,"Medium Calls","High Calls"))</f>
        <v>#REF!</v>
      </c>
      <c r="AA958" t="e">
        <f>IF(#REF!&lt;=15,"Low Charges",
IF(#REF!&lt;=20,"Medium Charges","High Charges"))</f>
        <v>#REF!</v>
      </c>
      <c r="AB958" t="e">
        <f>IF(AND(#REF!&gt;180, #REF!&gt;200), "Heavy Doemstic User", IF(#REF!&gt;10, "Interntional User", IF(AND(#REF!&lt;180, #REF!&lt;200,#REF!&lt;200), "Light User", "Balanced User")))</f>
        <v>#REF!</v>
      </c>
      <c r="AC958" t="e">
        <f>IF(#REF! = 0, "No Usage", IF(#REF! &lt;= 20, "Low Usage", IF(#REF! &lt;= 40, "Medium Usgae", "High Usage")))</f>
        <v>#REF!</v>
      </c>
      <c r="AD958" t="e">
        <f>IF(#REF!&lt;=150,"Low Usage", IF(#REF!&lt;=200,"Medium Usage", IF(#REF!&lt;=250,"High Usage","Very High Usage")))</f>
        <v>#REF!</v>
      </c>
      <c r="AE958" t="e">
        <f>IF(#REF!&lt;=5,"Low Calls", IF(#REF!&lt;=10, "Medium Calls", "High Calls"))</f>
        <v>#REF!</v>
      </c>
      <c r="AF958" t="e">
        <f xml:space="preserve">
IF(#REF!&gt;=4,4,0)+
IF(#REF!="yes",3,0)+
IF(#REF!="High Charges",3,0)+
IF(#REF!&gt;250,4,0)+
IF(#REF!="no",1,0)+
IF(#REF!="Heavy Domestic User",2,0)</f>
        <v>#REF!</v>
      </c>
      <c r="AG958" t="e">
        <f>IF(#REF!&gt;=10,"High Risk", IF(#REF!&gt;=5,"Medium Risk","Low Risk"))</f>
        <v>#REF!</v>
      </c>
      <c r="AH958" t="e">
        <f>#REF! + #REF! + #REF! + #REF!</f>
        <v>#REF!</v>
      </c>
    </row>
    <row r="959" spans="1:34" x14ac:dyDescent="0.35">
      <c r="A959">
        <v>958</v>
      </c>
      <c r="B959" t="s">
        <v>30</v>
      </c>
      <c r="C959">
        <v>9</v>
      </c>
      <c r="D959" t="s">
        <v>21</v>
      </c>
      <c r="E959" t="s">
        <v>22</v>
      </c>
      <c r="F959" t="s">
        <v>23</v>
      </c>
      <c r="G959">
        <v>39</v>
      </c>
      <c r="H959">
        <v>214.1</v>
      </c>
      <c r="I959">
        <v>108</v>
      </c>
      <c r="J959">
        <v>36.4</v>
      </c>
      <c r="K959">
        <v>169.2</v>
      </c>
      <c r="L959">
        <v>115</v>
      </c>
      <c r="M959">
        <v>14.38</v>
      </c>
      <c r="N959">
        <v>189.7</v>
      </c>
      <c r="O959">
        <v>117</v>
      </c>
      <c r="P959">
        <v>8.5399999999999991</v>
      </c>
      <c r="Q959">
        <v>10.1</v>
      </c>
      <c r="R959">
        <v>3</v>
      </c>
      <c r="S959">
        <v>2.73</v>
      </c>
      <c r="T959">
        <v>1</v>
      </c>
      <c r="U959" t="s">
        <v>22</v>
      </c>
      <c r="V959" t="e">
        <f>IF(#REF! = "yes", 1, 0)</f>
        <v>#REF!</v>
      </c>
      <c r="W959" t="e">
        <f>IF(#REF! &lt;= 1, "0-1 Calls", IF(#REF! &lt;= 3, "2-3 Calls", IF(#REF! &lt;=5, "4-5 Calls", "6+ Calls")))</f>
        <v>#REF!</v>
      </c>
      <c r="X959" t="e">
        <f>IF(#REF! &lt;= 50, "0-50", IF(#REF! &lt;=100, "51-100", IF(#REF! &lt;= 150, "101-150", "151+")))</f>
        <v>#REF!</v>
      </c>
      <c r="Y959" t="e">
        <f>IF(#REF! &lt;= 3, "Low Charges", "High Charges")</f>
        <v>#REF!</v>
      </c>
      <c r="Z959" t="e">
        <f>IF(#REF!&lt;=80,"Low Calls",
IF(#REF!&lt;=120,"Medium Calls","High Calls"))</f>
        <v>#REF!</v>
      </c>
      <c r="AA959" t="e">
        <f>IF(#REF!&lt;=15,"Low Charges",
IF(#REF!&lt;=20,"Medium Charges","High Charges"))</f>
        <v>#REF!</v>
      </c>
      <c r="AB959" t="e">
        <f>IF(AND(#REF!&gt;180, #REF!&gt;200), "Heavy Doemstic User", IF(#REF!&gt;10, "Interntional User", IF(AND(#REF!&lt;180, #REF!&lt;200,#REF!&lt;200), "Light User", "Balanced User")))</f>
        <v>#REF!</v>
      </c>
      <c r="AC959" t="e">
        <f>IF(#REF! = 0, "No Usage", IF(#REF! &lt;= 20, "Low Usage", IF(#REF! &lt;= 40, "Medium Usgae", "High Usage")))</f>
        <v>#REF!</v>
      </c>
      <c r="AD959" t="e">
        <f>IF(#REF!&lt;=150,"Low Usage", IF(#REF!&lt;=200,"Medium Usage", IF(#REF!&lt;=250,"High Usage","Very High Usage")))</f>
        <v>#REF!</v>
      </c>
      <c r="AE959" t="e">
        <f>IF(#REF!&lt;=5,"Low Calls", IF(#REF!&lt;=10, "Medium Calls", "High Calls"))</f>
        <v>#REF!</v>
      </c>
      <c r="AF959" t="e">
        <f xml:space="preserve">
IF(#REF!&gt;=4,4,0)+
IF(#REF!="yes",3,0)+
IF(#REF!="High Charges",3,0)+
IF(#REF!&gt;250,4,0)+
IF(#REF!="no",1,0)+
IF(#REF!="Heavy Domestic User",2,0)</f>
        <v>#REF!</v>
      </c>
      <c r="AG959" t="e">
        <f>IF(#REF!&gt;=10,"High Risk", IF(#REF!&gt;=5,"Medium Risk","Low Risk"))</f>
        <v>#REF!</v>
      </c>
      <c r="AH959" t="e">
        <f>#REF! + #REF! + #REF! + #REF!</f>
        <v>#REF!</v>
      </c>
    </row>
    <row r="960" spans="1:34" x14ac:dyDescent="0.35">
      <c r="A960">
        <v>959</v>
      </c>
      <c r="B960" t="s">
        <v>41</v>
      </c>
      <c r="C960">
        <v>157</v>
      </c>
      <c r="D960" t="s">
        <v>21</v>
      </c>
      <c r="E960" t="s">
        <v>22</v>
      </c>
      <c r="F960" t="s">
        <v>22</v>
      </c>
      <c r="G960">
        <v>0</v>
      </c>
      <c r="H960">
        <v>196</v>
      </c>
      <c r="I960">
        <v>74</v>
      </c>
      <c r="J960">
        <v>33.32</v>
      </c>
      <c r="K960">
        <v>213.4</v>
      </c>
      <c r="L960">
        <v>96</v>
      </c>
      <c r="M960">
        <v>18.14</v>
      </c>
      <c r="N960">
        <v>196.8</v>
      </c>
      <c r="O960">
        <v>81</v>
      </c>
      <c r="P960">
        <v>8.86</v>
      </c>
      <c r="Q960">
        <v>7.9</v>
      </c>
      <c r="R960">
        <v>6</v>
      </c>
      <c r="S960">
        <v>2.13</v>
      </c>
      <c r="T960">
        <v>1</v>
      </c>
      <c r="U960" t="s">
        <v>22</v>
      </c>
      <c r="V960" t="e">
        <f>IF(#REF! = "yes", 1, 0)</f>
        <v>#REF!</v>
      </c>
      <c r="W960" t="e">
        <f>IF(#REF! &lt;= 1, "0-1 Calls", IF(#REF! &lt;= 3, "2-3 Calls", IF(#REF! &lt;=5, "4-5 Calls", "6+ Calls")))</f>
        <v>#REF!</v>
      </c>
      <c r="X960" t="e">
        <f>IF(#REF! &lt;= 50, "0-50", IF(#REF! &lt;=100, "51-100", IF(#REF! &lt;= 150, "101-150", "151+")))</f>
        <v>#REF!</v>
      </c>
      <c r="Y960" t="e">
        <f>IF(#REF! &lt;= 3, "Low Charges", "High Charges")</f>
        <v>#REF!</v>
      </c>
      <c r="Z960" t="e">
        <f>IF(#REF!&lt;=80,"Low Calls",
IF(#REF!&lt;=120,"Medium Calls","High Calls"))</f>
        <v>#REF!</v>
      </c>
      <c r="AA960" t="e">
        <f>IF(#REF!&lt;=15,"Low Charges",
IF(#REF!&lt;=20,"Medium Charges","High Charges"))</f>
        <v>#REF!</v>
      </c>
      <c r="AB960" t="e">
        <f>IF(AND(#REF!&gt;180, #REF!&gt;200), "Heavy Doemstic User", IF(#REF!&gt;10, "Interntional User", IF(AND(#REF!&lt;180, #REF!&lt;200,#REF!&lt;200), "Light User", "Balanced User")))</f>
        <v>#REF!</v>
      </c>
      <c r="AC960" t="e">
        <f>IF(#REF! = 0, "No Usage", IF(#REF! &lt;= 20, "Low Usage", IF(#REF! &lt;= 40, "Medium Usgae", "High Usage")))</f>
        <v>#REF!</v>
      </c>
      <c r="AD960" t="e">
        <f>IF(#REF!&lt;=150,"Low Usage", IF(#REF!&lt;=200,"Medium Usage", IF(#REF!&lt;=250,"High Usage","Very High Usage")))</f>
        <v>#REF!</v>
      </c>
      <c r="AE960" t="e">
        <f>IF(#REF!&lt;=5,"Low Calls", IF(#REF!&lt;=10, "Medium Calls", "High Calls"))</f>
        <v>#REF!</v>
      </c>
      <c r="AF960" t="e">
        <f xml:space="preserve">
IF(#REF!&gt;=4,4,0)+
IF(#REF!="yes",3,0)+
IF(#REF!="High Charges",3,0)+
IF(#REF!&gt;250,4,0)+
IF(#REF!="no",1,0)+
IF(#REF!="Heavy Domestic User",2,0)</f>
        <v>#REF!</v>
      </c>
      <c r="AG960" t="e">
        <f>IF(#REF!&gt;=10,"High Risk", IF(#REF!&gt;=5,"Medium Risk","Low Risk"))</f>
        <v>#REF!</v>
      </c>
      <c r="AH960" t="e">
        <f>#REF! + #REF! + #REF! + #REF!</f>
        <v>#REF!</v>
      </c>
    </row>
    <row r="961" spans="1:34" x14ac:dyDescent="0.35">
      <c r="A961">
        <v>960</v>
      </c>
      <c r="B961" t="s">
        <v>53</v>
      </c>
      <c r="C961">
        <v>105</v>
      </c>
      <c r="D961" t="s">
        <v>21</v>
      </c>
      <c r="E961" t="s">
        <v>22</v>
      </c>
      <c r="F961" t="s">
        <v>23</v>
      </c>
      <c r="G961">
        <v>29</v>
      </c>
      <c r="H961">
        <v>179.4</v>
      </c>
      <c r="I961">
        <v>113</v>
      </c>
      <c r="J961">
        <v>30.5</v>
      </c>
      <c r="K961">
        <v>275.39999999999998</v>
      </c>
      <c r="L961">
        <v>100</v>
      </c>
      <c r="M961">
        <v>23.41</v>
      </c>
      <c r="N961">
        <v>246.1</v>
      </c>
      <c r="O961">
        <v>105</v>
      </c>
      <c r="P961">
        <v>11.07</v>
      </c>
      <c r="Q961">
        <v>10</v>
      </c>
      <c r="R961">
        <v>5</v>
      </c>
      <c r="S961">
        <v>2.7</v>
      </c>
      <c r="T961">
        <v>0</v>
      </c>
      <c r="U961" t="s">
        <v>22</v>
      </c>
      <c r="V961" t="e">
        <f>IF(#REF! = "yes", 1, 0)</f>
        <v>#REF!</v>
      </c>
      <c r="W961" t="e">
        <f>IF(#REF! &lt;= 1, "0-1 Calls", IF(#REF! &lt;= 3, "2-3 Calls", IF(#REF! &lt;=5, "4-5 Calls", "6+ Calls")))</f>
        <v>#REF!</v>
      </c>
      <c r="X961" t="e">
        <f>IF(#REF! &lt;= 50, "0-50", IF(#REF! &lt;=100, "51-100", IF(#REF! &lt;= 150, "101-150", "151+")))</f>
        <v>#REF!</v>
      </c>
      <c r="Y961" t="e">
        <f>IF(#REF! &lt;= 3, "Low Charges", "High Charges")</f>
        <v>#REF!</v>
      </c>
      <c r="Z961" t="e">
        <f>IF(#REF!&lt;=80,"Low Calls",
IF(#REF!&lt;=120,"Medium Calls","High Calls"))</f>
        <v>#REF!</v>
      </c>
      <c r="AA961" t="e">
        <f>IF(#REF!&lt;=15,"Low Charges",
IF(#REF!&lt;=20,"Medium Charges","High Charges"))</f>
        <v>#REF!</v>
      </c>
      <c r="AB961" t="e">
        <f>IF(AND(#REF!&gt;180, #REF!&gt;200), "Heavy Doemstic User", IF(#REF!&gt;10, "Interntional User", IF(AND(#REF!&lt;180, #REF!&lt;200,#REF!&lt;200), "Light User", "Balanced User")))</f>
        <v>#REF!</v>
      </c>
      <c r="AC961" t="e">
        <f>IF(#REF! = 0, "No Usage", IF(#REF! &lt;= 20, "Low Usage", IF(#REF! &lt;= 40, "Medium Usgae", "High Usage")))</f>
        <v>#REF!</v>
      </c>
      <c r="AD961" t="e">
        <f>IF(#REF!&lt;=150,"Low Usage", IF(#REF!&lt;=200,"Medium Usage", IF(#REF!&lt;=250,"High Usage","Very High Usage")))</f>
        <v>#REF!</v>
      </c>
      <c r="AE961" t="e">
        <f>IF(#REF!&lt;=5,"Low Calls", IF(#REF!&lt;=10, "Medium Calls", "High Calls"))</f>
        <v>#REF!</v>
      </c>
      <c r="AF961" t="e">
        <f xml:space="preserve">
IF(#REF!&gt;=4,4,0)+
IF(#REF!="yes",3,0)+
IF(#REF!="High Charges",3,0)+
IF(#REF!&gt;250,4,0)+
IF(#REF!="no",1,0)+
IF(#REF!="Heavy Domestic User",2,0)</f>
        <v>#REF!</v>
      </c>
      <c r="AG961" t="e">
        <f>IF(#REF!&gt;=10,"High Risk", IF(#REF!&gt;=5,"Medium Risk","Low Risk"))</f>
        <v>#REF!</v>
      </c>
      <c r="AH961" t="e">
        <f>#REF! + #REF! + #REF! + #REF!</f>
        <v>#REF!</v>
      </c>
    </row>
    <row r="962" spans="1:34" x14ac:dyDescent="0.35">
      <c r="A962">
        <v>961</v>
      </c>
      <c r="B962" t="s">
        <v>46</v>
      </c>
      <c r="C962">
        <v>155</v>
      </c>
      <c r="D962" t="s">
        <v>25</v>
      </c>
      <c r="E962" t="s">
        <v>22</v>
      </c>
      <c r="F962" t="s">
        <v>22</v>
      </c>
      <c r="G962">
        <v>0</v>
      </c>
      <c r="H962">
        <v>216.7</v>
      </c>
      <c r="I962">
        <v>30</v>
      </c>
      <c r="J962">
        <v>36.840000000000003</v>
      </c>
      <c r="K962">
        <v>144.30000000000001</v>
      </c>
      <c r="L962">
        <v>125</v>
      </c>
      <c r="M962">
        <v>12.27</v>
      </c>
      <c r="N962">
        <v>135.30000000000001</v>
      </c>
      <c r="O962">
        <v>106</v>
      </c>
      <c r="P962">
        <v>6.09</v>
      </c>
      <c r="Q962">
        <v>10.8</v>
      </c>
      <c r="R962">
        <v>1</v>
      </c>
      <c r="S962">
        <v>2.92</v>
      </c>
      <c r="T962">
        <v>2</v>
      </c>
      <c r="U962" t="s">
        <v>22</v>
      </c>
      <c r="V962" t="e">
        <f>IF(#REF! = "yes", 1, 0)</f>
        <v>#REF!</v>
      </c>
      <c r="W962" t="e">
        <f>IF(#REF! &lt;= 1, "0-1 Calls", IF(#REF! &lt;= 3, "2-3 Calls", IF(#REF! &lt;=5, "4-5 Calls", "6+ Calls")))</f>
        <v>#REF!</v>
      </c>
      <c r="X962" t="e">
        <f>IF(#REF! &lt;= 50, "0-50", IF(#REF! &lt;=100, "51-100", IF(#REF! &lt;= 150, "101-150", "151+")))</f>
        <v>#REF!</v>
      </c>
      <c r="Y962" t="e">
        <f>IF(#REF! &lt;= 3, "Low Charges", "High Charges")</f>
        <v>#REF!</v>
      </c>
      <c r="Z962" t="e">
        <f>IF(#REF!&lt;=80,"Low Calls",
IF(#REF!&lt;=120,"Medium Calls","High Calls"))</f>
        <v>#REF!</v>
      </c>
      <c r="AA962" t="e">
        <f>IF(#REF!&lt;=15,"Low Charges",
IF(#REF!&lt;=20,"Medium Charges","High Charges"))</f>
        <v>#REF!</v>
      </c>
      <c r="AB962" t="e">
        <f>IF(AND(#REF!&gt;180, #REF!&gt;200), "Heavy Doemstic User", IF(#REF!&gt;10, "Interntional User", IF(AND(#REF!&lt;180, #REF!&lt;200,#REF!&lt;200), "Light User", "Balanced User")))</f>
        <v>#REF!</v>
      </c>
      <c r="AC962" t="e">
        <f>IF(#REF! = 0, "No Usage", IF(#REF! &lt;= 20, "Low Usage", IF(#REF! &lt;= 40, "Medium Usgae", "High Usage")))</f>
        <v>#REF!</v>
      </c>
      <c r="AD962" t="e">
        <f>IF(#REF!&lt;=150,"Low Usage", IF(#REF!&lt;=200,"Medium Usage", IF(#REF!&lt;=250,"High Usage","Very High Usage")))</f>
        <v>#REF!</v>
      </c>
      <c r="AE962" t="e">
        <f>IF(#REF!&lt;=5,"Low Calls", IF(#REF!&lt;=10, "Medium Calls", "High Calls"))</f>
        <v>#REF!</v>
      </c>
      <c r="AF962" t="e">
        <f xml:space="preserve">
IF(#REF!&gt;=4,4,0)+
IF(#REF!="yes",3,0)+
IF(#REF!="High Charges",3,0)+
IF(#REF!&gt;250,4,0)+
IF(#REF!="no",1,0)+
IF(#REF!="Heavy Domestic User",2,0)</f>
        <v>#REF!</v>
      </c>
      <c r="AG962" t="e">
        <f>IF(#REF!&gt;=10,"High Risk", IF(#REF!&gt;=5,"Medium Risk","Low Risk"))</f>
        <v>#REF!</v>
      </c>
      <c r="AH962" t="e">
        <f>#REF! + #REF! + #REF! + #REF!</f>
        <v>#REF!</v>
      </c>
    </row>
    <row r="963" spans="1:34" x14ac:dyDescent="0.35">
      <c r="A963">
        <v>962</v>
      </c>
      <c r="B963" t="s">
        <v>59</v>
      </c>
      <c r="C963">
        <v>161</v>
      </c>
      <c r="D963" t="s">
        <v>21</v>
      </c>
      <c r="E963" t="s">
        <v>22</v>
      </c>
      <c r="F963" t="s">
        <v>22</v>
      </c>
      <c r="G963">
        <v>0</v>
      </c>
      <c r="H963">
        <v>151.6</v>
      </c>
      <c r="I963">
        <v>117</v>
      </c>
      <c r="J963">
        <v>25.77</v>
      </c>
      <c r="K963">
        <v>219.4</v>
      </c>
      <c r="L963">
        <v>87</v>
      </c>
      <c r="M963">
        <v>18.649999999999999</v>
      </c>
      <c r="N963">
        <v>224.7</v>
      </c>
      <c r="O963">
        <v>68</v>
      </c>
      <c r="P963">
        <v>10.11</v>
      </c>
      <c r="Q963">
        <v>4</v>
      </c>
      <c r="R963">
        <v>5</v>
      </c>
      <c r="S963">
        <v>1.08</v>
      </c>
      <c r="T963">
        <v>1</v>
      </c>
      <c r="U963" t="s">
        <v>22</v>
      </c>
      <c r="V963" t="e">
        <f>IF(#REF! = "yes", 1, 0)</f>
        <v>#REF!</v>
      </c>
      <c r="W963" t="e">
        <f>IF(#REF! &lt;= 1, "0-1 Calls", IF(#REF! &lt;= 3, "2-3 Calls", IF(#REF! &lt;=5, "4-5 Calls", "6+ Calls")))</f>
        <v>#REF!</v>
      </c>
      <c r="X963" t="e">
        <f>IF(#REF! &lt;= 50, "0-50", IF(#REF! &lt;=100, "51-100", IF(#REF! &lt;= 150, "101-150", "151+")))</f>
        <v>#REF!</v>
      </c>
      <c r="Y963" t="e">
        <f>IF(#REF! &lt;= 3, "Low Charges", "High Charges")</f>
        <v>#REF!</v>
      </c>
      <c r="Z963" t="e">
        <f>IF(#REF!&lt;=80,"Low Calls",
IF(#REF!&lt;=120,"Medium Calls","High Calls"))</f>
        <v>#REF!</v>
      </c>
      <c r="AA963" t="e">
        <f>IF(#REF!&lt;=15,"Low Charges",
IF(#REF!&lt;=20,"Medium Charges","High Charges"))</f>
        <v>#REF!</v>
      </c>
      <c r="AB963" t="e">
        <f>IF(AND(#REF!&gt;180, #REF!&gt;200), "Heavy Doemstic User", IF(#REF!&gt;10, "Interntional User", IF(AND(#REF!&lt;180, #REF!&lt;200,#REF!&lt;200), "Light User", "Balanced User")))</f>
        <v>#REF!</v>
      </c>
      <c r="AC963" t="e">
        <f>IF(#REF! = 0, "No Usage", IF(#REF! &lt;= 20, "Low Usage", IF(#REF! &lt;= 40, "Medium Usgae", "High Usage")))</f>
        <v>#REF!</v>
      </c>
      <c r="AD963" t="e">
        <f>IF(#REF!&lt;=150,"Low Usage", IF(#REF!&lt;=200,"Medium Usage", IF(#REF!&lt;=250,"High Usage","Very High Usage")))</f>
        <v>#REF!</v>
      </c>
      <c r="AE963" t="e">
        <f>IF(#REF!&lt;=5,"Low Calls", IF(#REF!&lt;=10, "Medium Calls", "High Calls"))</f>
        <v>#REF!</v>
      </c>
      <c r="AF963" t="e">
        <f xml:space="preserve">
IF(#REF!&gt;=4,4,0)+
IF(#REF!="yes",3,0)+
IF(#REF!="High Charges",3,0)+
IF(#REF!&gt;250,4,0)+
IF(#REF!="no",1,0)+
IF(#REF!="Heavy Domestic User",2,0)</f>
        <v>#REF!</v>
      </c>
      <c r="AG963" t="e">
        <f>IF(#REF!&gt;=10,"High Risk", IF(#REF!&gt;=5,"Medium Risk","Low Risk"))</f>
        <v>#REF!</v>
      </c>
      <c r="AH963" t="e">
        <f>#REF! + #REF! + #REF! + #REF!</f>
        <v>#REF!</v>
      </c>
    </row>
    <row r="964" spans="1:34" x14ac:dyDescent="0.35">
      <c r="A964">
        <v>963</v>
      </c>
      <c r="B964" t="s">
        <v>60</v>
      </c>
      <c r="C964">
        <v>95</v>
      </c>
      <c r="D964" t="s">
        <v>25</v>
      </c>
      <c r="E964" t="s">
        <v>22</v>
      </c>
      <c r="F964" t="s">
        <v>23</v>
      </c>
      <c r="G964">
        <v>32</v>
      </c>
      <c r="H964">
        <v>262.2</v>
      </c>
      <c r="I964">
        <v>123</v>
      </c>
      <c r="J964">
        <v>44.57</v>
      </c>
      <c r="K964">
        <v>165.2</v>
      </c>
      <c r="L964">
        <v>82</v>
      </c>
      <c r="M964">
        <v>14.04</v>
      </c>
      <c r="N964">
        <v>194.3</v>
      </c>
      <c r="O964">
        <v>57</v>
      </c>
      <c r="P964">
        <v>8.74</v>
      </c>
      <c r="Q964">
        <v>10.6</v>
      </c>
      <c r="R964">
        <v>5</v>
      </c>
      <c r="S964">
        <v>2.86</v>
      </c>
      <c r="T964">
        <v>0</v>
      </c>
      <c r="U964" t="s">
        <v>22</v>
      </c>
      <c r="V964" t="e">
        <f>IF(#REF! = "yes", 1, 0)</f>
        <v>#REF!</v>
      </c>
      <c r="W964" t="e">
        <f>IF(#REF! &lt;= 1, "0-1 Calls", IF(#REF! &lt;= 3, "2-3 Calls", IF(#REF! &lt;=5, "4-5 Calls", "6+ Calls")))</f>
        <v>#REF!</v>
      </c>
      <c r="X964" t="e">
        <f>IF(#REF! &lt;= 50, "0-50", IF(#REF! &lt;=100, "51-100", IF(#REF! &lt;= 150, "101-150", "151+")))</f>
        <v>#REF!</v>
      </c>
      <c r="Y964" t="e">
        <f>IF(#REF! &lt;= 3, "Low Charges", "High Charges")</f>
        <v>#REF!</v>
      </c>
      <c r="Z964" t="e">
        <f>IF(#REF!&lt;=80,"Low Calls",
IF(#REF!&lt;=120,"Medium Calls","High Calls"))</f>
        <v>#REF!</v>
      </c>
      <c r="AA964" t="e">
        <f>IF(#REF!&lt;=15,"Low Charges",
IF(#REF!&lt;=20,"Medium Charges","High Charges"))</f>
        <v>#REF!</v>
      </c>
      <c r="AB964" t="e">
        <f>IF(AND(#REF!&gt;180, #REF!&gt;200), "Heavy Doemstic User", IF(#REF!&gt;10, "Interntional User", IF(AND(#REF!&lt;180, #REF!&lt;200,#REF!&lt;200), "Light User", "Balanced User")))</f>
        <v>#REF!</v>
      </c>
      <c r="AC964" t="e">
        <f>IF(#REF! = 0, "No Usage", IF(#REF! &lt;= 20, "Low Usage", IF(#REF! &lt;= 40, "Medium Usgae", "High Usage")))</f>
        <v>#REF!</v>
      </c>
      <c r="AD964" t="e">
        <f>IF(#REF!&lt;=150,"Low Usage", IF(#REF!&lt;=200,"Medium Usage", IF(#REF!&lt;=250,"High Usage","Very High Usage")))</f>
        <v>#REF!</v>
      </c>
      <c r="AE964" t="e">
        <f>IF(#REF!&lt;=5,"Low Calls", IF(#REF!&lt;=10, "Medium Calls", "High Calls"))</f>
        <v>#REF!</v>
      </c>
      <c r="AF964" t="e">
        <f xml:space="preserve">
IF(#REF!&gt;=4,4,0)+
IF(#REF!="yes",3,0)+
IF(#REF!="High Charges",3,0)+
IF(#REF!&gt;250,4,0)+
IF(#REF!="no",1,0)+
IF(#REF!="Heavy Domestic User",2,0)</f>
        <v>#REF!</v>
      </c>
      <c r="AG964" t="e">
        <f>IF(#REF!&gt;=10,"High Risk", IF(#REF!&gt;=5,"Medium Risk","Low Risk"))</f>
        <v>#REF!</v>
      </c>
      <c r="AH964" t="e">
        <f>#REF! + #REF! + #REF! + #REF!</f>
        <v>#REF!</v>
      </c>
    </row>
    <row r="965" spans="1:34" x14ac:dyDescent="0.35">
      <c r="A965">
        <v>964</v>
      </c>
      <c r="B965" t="s">
        <v>36</v>
      </c>
      <c r="C965">
        <v>122</v>
      </c>
      <c r="D965" t="s">
        <v>21</v>
      </c>
      <c r="E965" t="s">
        <v>22</v>
      </c>
      <c r="F965" t="s">
        <v>22</v>
      </c>
      <c r="G965">
        <v>0</v>
      </c>
      <c r="H965">
        <v>173.6</v>
      </c>
      <c r="I965">
        <v>110</v>
      </c>
      <c r="J965">
        <v>29.51</v>
      </c>
      <c r="K965">
        <v>91.7</v>
      </c>
      <c r="L965">
        <v>84</v>
      </c>
      <c r="M965">
        <v>7.79</v>
      </c>
      <c r="N965">
        <v>211.7</v>
      </c>
      <c r="O965">
        <v>103</v>
      </c>
      <c r="P965">
        <v>9.5299999999999994</v>
      </c>
      <c r="Q965">
        <v>9.6999999999999993</v>
      </c>
      <c r="R965">
        <v>7</v>
      </c>
      <c r="S965">
        <v>2.62</v>
      </c>
      <c r="T965">
        <v>3</v>
      </c>
      <c r="U965" t="s">
        <v>22</v>
      </c>
      <c r="V965" t="e">
        <f>IF(#REF! = "yes", 1, 0)</f>
        <v>#REF!</v>
      </c>
      <c r="W965" t="e">
        <f>IF(#REF! &lt;= 1, "0-1 Calls", IF(#REF! &lt;= 3, "2-3 Calls", IF(#REF! &lt;=5, "4-5 Calls", "6+ Calls")))</f>
        <v>#REF!</v>
      </c>
      <c r="X965" t="e">
        <f>IF(#REF! &lt;= 50, "0-50", IF(#REF! &lt;=100, "51-100", IF(#REF! &lt;= 150, "101-150", "151+")))</f>
        <v>#REF!</v>
      </c>
      <c r="Y965" t="e">
        <f>IF(#REF! &lt;= 3, "Low Charges", "High Charges")</f>
        <v>#REF!</v>
      </c>
      <c r="Z965" t="e">
        <f>IF(#REF!&lt;=80,"Low Calls",
IF(#REF!&lt;=120,"Medium Calls","High Calls"))</f>
        <v>#REF!</v>
      </c>
      <c r="AA965" t="e">
        <f>IF(#REF!&lt;=15,"Low Charges",
IF(#REF!&lt;=20,"Medium Charges","High Charges"))</f>
        <v>#REF!</v>
      </c>
      <c r="AB965" t="e">
        <f>IF(AND(#REF!&gt;180, #REF!&gt;200), "Heavy Doemstic User", IF(#REF!&gt;10, "Interntional User", IF(AND(#REF!&lt;180, #REF!&lt;200,#REF!&lt;200), "Light User", "Balanced User")))</f>
        <v>#REF!</v>
      </c>
      <c r="AC965" t="e">
        <f>IF(#REF! = 0, "No Usage", IF(#REF! &lt;= 20, "Low Usage", IF(#REF! &lt;= 40, "Medium Usgae", "High Usage")))</f>
        <v>#REF!</v>
      </c>
      <c r="AD965" t="e">
        <f>IF(#REF!&lt;=150,"Low Usage", IF(#REF!&lt;=200,"Medium Usage", IF(#REF!&lt;=250,"High Usage","Very High Usage")))</f>
        <v>#REF!</v>
      </c>
      <c r="AE965" t="e">
        <f>IF(#REF!&lt;=5,"Low Calls", IF(#REF!&lt;=10, "Medium Calls", "High Calls"))</f>
        <v>#REF!</v>
      </c>
      <c r="AF965" t="e">
        <f xml:space="preserve">
IF(#REF!&gt;=4,4,0)+
IF(#REF!="yes",3,0)+
IF(#REF!="High Charges",3,0)+
IF(#REF!&gt;250,4,0)+
IF(#REF!="no",1,0)+
IF(#REF!="Heavy Domestic User",2,0)</f>
        <v>#REF!</v>
      </c>
      <c r="AG965" t="e">
        <f>IF(#REF!&gt;=10,"High Risk", IF(#REF!&gt;=5,"Medium Risk","Low Risk"))</f>
        <v>#REF!</v>
      </c>
      <c r="AH965" t="e">
        <f>#REF! + #REF! + #REF! + #REF!</f>
        <v>#REF!</v>
      </c>
    </row>
    <row r="966" spans="1:34" x14ac:dyDescent="0.35">
      <c r="A966">
        <v>965</v>
      </c>
      <c r="B966" t="s">
        <v>45</v>
      </c>
      <c r="C966">
        <v>119</v>
      </c>
      <c r="D966" t="s">
        <v>25</v>
      </c>
      <c r="E966" t="s">
        <v>22</v>
      </c>
      <c r="F966" t="s">
        <v>23</v>
      </c>
      <c r="G966">
        <v>24</v>
      </c>
      <c r="H966">
        <v>217.2</v>
      </c>
      <c r="I966">
        <v>94</v>
      </c>
      <c r="J966">
        <v>36.92</v>
      </c>
      <c r="K966">
        <v>138.69999999999999</v>
      </c>
      <c r="L966">
        <v>52</v>
      </c>
      <c r="M966">
        <v>11.79</v>
      </c>
      <c r="N966">
        <v>139.30000000000001</v>
      </c>
      <c r="O966">
        <v>85</v>
      </c>
      <c r="P966">
        <v>6.27</v>
      </c>
      <c r="Q966">
        <v>11.3</v>
      </c>
      <c r="R966">
        <v>4</v>
      </c>
      <c r="S966">
        <v>3.05</v>
      </c>
      <c r="T966">
        <v>0</v>
      </c>
      <c r="U966" t="s">
        <v>22</v>
      </c>
      <c r="V966" t="e">
        <f>IF(#REF! = "yes", 1, 0)</f>
        <v>#REF!</v>
      </c>
      <c r="W966" t="e">
        <f>IF(#REF! &lt;= 1, "0-1 Calls", IF(#REF! &lt;= 3, "2-3 Calls", IF(#REF! &lt;=5, "4-5 Calls", "6+ Calls")))</f>
        <v>#REF!</v>
      </c>
      <c r="X966" t="e">
        <f>IF(#REF! &lt;= 50, "0-50", IF(#REF! &lt;=100, "51-100", IF(#REF! &lt;= 150, "101-150", "151+")))</f>
        <v>#REF!</v>
      </c>
      <c r="Y966" t="e">
        <f>IF(#REF! &lt;= 3, "Low Charges", "High Charges")</f>
        <v>#REF!</v>
      </c>
      <c r="Z966" t="e">
        <f>IF(#REF!&lt;=80,"Low Calls",
IF(#REF!&lt;=120,"Medium Calls","High Calls"))</f>
        <v>#REF!</v>
      </c>
      <c r="AA966" t="e">
        <f>IF(#REF!&lt;=15,"Low Charges",
IF(#REF!&lt;=20,"Medium Charges","High Charges"))</f>
        <v>#REF!</v>
      </c>
      <c r="AB966" t="e">
        <f>IF(AND(#REF!&gt;180, #REF!&gt;200), "Heavy Doemstic User", IF(#REF!&gt;10, "Interntional User", IF(AND(#REF!&lt;180, #REF!&lt;200,#REF!&lt;200), "Light User", "Balanced User")))</f>
        <v>#REF!</v>
      </c>
      <c r="AC966" t="e">
        <f>IF(#REF! = 0, "No Usage", IF(#REF! &lt;= 20, "Low Usage", IF(#REF! &lt;= 40, "Medium Usgae", "High Usage")))</f>
        <v>#REF!</v>
      </c>
      <c r="AD966" t="e">
        <f>IF(#REF!&lt;=150,"Low Usage", IF(#REF!&lt;=200,"Medium Usage", IF(#REF!&lt;=250,"High Usage","Very High Usage")))</f>
        <v>#REF!</v>
      </c>
      <c r="AE966" t="e">
        <f>IF(#REF!&lt;=5,"Low Calls", IF(#REF!&lt;=10, "Medium Calls", "High Calls"))</f>
        <v>#REF!</v>
      </c>
      <c r="AF966" t="e">
        <f xml:space="preserve">
IF(#REF!&gt;=4,4,0)+
IF(#REF!="yes",3,0)+
IF(#REF!="High Charges",3,0)+
IF(#REF!&gt;250,4,0)+
IF(#REF!="no",1,0)+
IF(#REF!="Heavy Domestic User",2,0)</f>
        <v>#REF!</v>
      </c>
      <c r="AG966" t="e">
        <f>IF(#REF!&gt;=10,"High Risk", IF(#REF!&gt;=5,"Medium Risk","Low Risk"))</f>
        <v>#REF!</v>
      </c>
      <c r="AH966" t="e">
        <f>#REF! + #REF! + #REF! + #REF!</f>
        <v>#REF!</v>
      </c>
    </row>
    <row r="967" spans="1:34" x14ac:dyDescent="0.35">
      <c r="A967">
        <v>966</v>
      </c>
      <c r="B967" t="s">
        <v>74</v>
      </c>
      <c r="C967">
        <v>99</v>
      </c>
      <c r="D967" t="s">
        <v>25</v>
      </c>
      <c r="E967" t="s">
        <v>22</v>
      </c>
      <c r="F967" t="s">
        <v>22</v>
      </c>
      <c r="G967">
        <v>0</v>
      </c>
      <c r="H967">
        <v>95.4</v>
      </c>
      <c r="I967">
        <v>105</v>
      </c>
      <c r="J967">
        <v>16.22</v>
      </c>
      <c r="K967">
        <v>207.2</v>
      </c>
      <c r="L967">
        <v>101</v>
      </c>
      <c r="M967">
        <v>17.61</v>
      </c>
      <c r="N967">
        <v>136</v>
      </c>
      <c r="O967">
        <v>117</v>
      </c>
      <c r="P967">
        <v>6.12</v>
      </c>
      <c r="Q967">
        <v>5.6</v>
      </c>
      <c r="R967">
        <v>5</v>
      </c>
      <c r="S967">
        <v>1.51</v>
      </c>
      <c r="T967">
        <v>1</v>
      </c>
      <c r="U967" t="s">
        <v>22</v>
      </c>
      <c r="V967" t="e">
        <f>IF(#REF! = "yes", 1, 0)</f>
        <v>#REF!</v>
      </c>
      <c r="W967" t="e">
        <f>IF(#REF! &lt;= 1, "0-1 Calls", IF(#REF! &lt;= 3, "2-3 Calls", IF(#REF! &lt;=5, "4-5 Calls", "6+ Calls")))</f>
        <v>#REF!</v>
      </c>
      <c r="X967" t="e">
        <f>IF(#REF! &lt;= 50, "0-50", IF(#REF! &lt;=100, "51-100", IF(#REF! &lt;= 150, "101-150", "151+")))</f>
        <v>#REF!</v>
      </c>
      <c r="Y967" t="e">
        <f>IF(#REF! &lt;= 3, "Low Charges", "High Charges")</f>
        <v>#REF!</v>
      </c>
      <c r="Z967" t="e">
        <f>IF(#REF!&lt;=80,"Low Calls",
IF(#REF!&lt;=120,"Medium Calls","High Calls"))</f>
        <v>#REF!</v>
      </c>
      <c r="AA967" t="e">
        <f>IF(#REF!&lt;=15,"Low Charges",
IF(#REF!&lt;=20,"Medium Charges","High Charges"))</f>
        <v>#REF!</v>
      </c>
      <c r="AB967" t="e">
        <f>IF(AND(#REF!&gt;180, #REF!&gt;200), "Heavy Doemstic User", IF(#REF!&gt;10, "Interntional User", IF(AND(#REF!&lt;180, #REF!&lt;200,#REF!&lt;200), "Light User", "Balanced User")))</f>
        <v>#REF!</v>
      </c>
      <c r="AC967" t="e">
        <f>IF(#REF! = 0, "No Usage", IF(#REF! &lt;= 20, "Low Usage", IF(#REF! &lt;= 40, "Medium Usgae", "High Usage")))</f>
        <v>#REF!</v>
      </c>
      <c r="AD967" t="e">
        <f>IF(#REF!&lt;=150,"Low Usage", IF(#REF!&lt;=200,"Medium Usage", IF(#REF!&lt;=250,"High Usage","Very High Usage")))</f>
        <v>#REF!</v>
      </c>
      <c r="AE967" t="e">
        <f>IF(#REF!&lt;=5,"Low Calls", IF(#REF!&lt;=10, "Medium Calls", "High Calls"))</f>
        <v>#REF!</v>
      </c>
      <c r="AF967" t="e">
        <f xml:space="preserve">
IF(#REF!&gt;=4,4,0)+
IF(#REF!="yes",3,0)+
IF(#REF!="High Charges",3,0)+
IF(#REF!&gt;250,4,0)+
IF(#REF!="no",1,0)+
IF(#REF!="Heavy Domestic User",2,0)</f>
        <v>#REF!</v>
      </c>
      <c r="AG967" t="e">
        <f>IF(#REF!&gt;=10,"High Risk", IF(#REF!&gt;=5,"Medium Risk","Low Risk"))</f>
        <v>#REF!</v>
      </c>
      <c r="AH967" t="e">
        <f>#REF! + #REF! + #REF! + #REF!</f>
        <v>#REF!</v>
      </c>
    </row>
    <row r="968" spans="1:34" x14ac:dyDescent="0.35">
      <c r="A968">
        <v>967</v>
      </c>
      <c r="B968" t="s">
        <v>41</v>
      </c>
      <c r="C968">
        <v>76</v>
      </c>
      <c r="D968" t="s">
        <v>25</v>
      </c>
      <c r="E968" t="s">
        <v>22</v>
      </c>
      <c r="F968" t="s">
        <v>23</v>
      </c>
      <c r="G968">
        <v>26</v>
      </c>
      <c r="H968">
        <v>214.6</v>
      </c>
      <c r="I968">
        <v>110</v>
      </c>
      <c r="J968">
        <v>36.479999999999997</v>
      </c>
      <c r="K968">
        <v>205.2</v>
      </c>
      <c r="L968">
        <v>87</v>
      </c>
      <c r="M968">
        <v>17.440000000000001</v>
      </c>
      <c r="N968">
        <v>134.6</v>
      </c>
      <c r="O968">
        <v>140</v>
      </c>
      <c r="P968">
        <v>6.06</v>
      </c>
      <c r="Q968">
        <v>8.1</v>
      </c>
      <c r="R968">
        <v>2</v>
      </c>
      <c r="S968">
        <v>2.19</v>
      </c>
      <c r="T968">
        <v>1</v>
      </c>
      <c r="U968" t="s">
        <v>22</v>
      </c>
      <c r="V968" t="e">
        <f>IF(#REF! = "yes", 1, 0)</f>
        <v>#REF!</v>
      </c>
      <c r="W968" t="e">
        <f>IF(#REF! &lt;= 1, "0-1 Calls", IF(#REF! &lt;= 3, "2-3 Calls", IF(#REF! &lt;=5, "4-5 Calls", "6+ Calls")))</f>
        <v>#REF!</v>
      </c>
      <c r="X968" t="e">
        <f>IF(#REF! &lt;= 50, "0-50", IF(#REF! &lt;=100, "51-100", IF(#REF! &lt;= 150, "101-150", "151+")))</f>
        <v>#REF!</v>
      </c>
      <c r="Y968" t="e">
        <f>IF(#REF! &lt;= 3, "Low Charges", "High Charges")</f>
        <v>#REF!</v>
      </c>
      <c r="Z968" t="e">
        <f>IF(#REF!&lt;=80,"Low Calls",
IF(#REF!&lt;=120,"Medium Calls","High Calls"))</f>
        <v>#REF!</v>
      </c>
      <c r="AA968" t="e">
        <f>IF(#REF!&lt;=15,"Low Charges",
IF(#REF!&lt;=20,"Medium Charges","High Charges"))</f>
        <v>#REF!</v>
      </c>
      <c r="AB968" t="e">
        <f>IF(AND(#REF!&gt;180, #REF!&gt;200), "Heavy Doemstic User", IF(#REF!&gt;10, "Interntional User", IF(AND(#REF!&lt;180, #REF!&lt;200,#REF!&lt;200), "Light User", "Balanced User")))</f>
        <v>#REF!</v>
      </c>
      <c r="AC968" t="e">
        <f>IF(#REF! = 0, "No Usage", IF(#REF! &lt;= 20, "Low Usage", IF(#REF! &lt;= 40, "Medium Usgae", "High Usage")))</f>
        <v>#REF!</v>
      </c>
      <c r="AD968" t="e">
        <f>IF(#REF!&lt;=150,"Low Usage", IF(#REF!&lt;=200,"Medium Usage", IF(#REF!&lt;=250,"High Usage","Very High Usage")))</f>
        <v>#REF!</v>
      </c>
      <c r="AE968" t="e">
        <f>IF(#REF!&lt;=5,"Low Calls", IF(#REF!&lt;=10, "Medium Calls", "High Calls"))</f>
        <v>#REF!</v>
      </c>
      <c r="AF968" t="e">
        <f xml:space="preserve">
IF(#REF!&gt;=4,4,0)+
IF(#REF!="yes",3,0)+
IF(#REF!="High Charges",3,0)+
IF(#REF!&gt;250,4,0)+
IF(#REF!="no",1,0)+
IF(#REF!="Heavy Domestic User",2,0)</f>
        <v>#REF!</v>
      </c>
      <c r="AG968" t="e">
        <f>IF(#REF!&gt;=10,"High Risk", IF(#REF!&gt;=5,"Medium Risk","Low Risk"))</f>
        <v>#REF!</v>
      </c>
      <c r="AH968" t="e">
        <f>#REF! + #REF! + #REF! + #REF!</f>
        <v>#REF!</v>
      </c>
    </row>
    <row r="969" spans="1:34" x14ac:dyDescent="0.35">
      <c r="A969">
        <v>968</v>
      </c>
      <c r="B969" t="s">
        <v>70</v>
      </c>
      <c r="C969">
        <v>167</v>
      </c>
      <c r="D969" t="s">
        <v>21</v>
      </c>
      <c r="E969" t="s">
        <v>22</v>
      </c>
      <c r="F969" t="s">
        <v>22</v>
      </c>
      <c r="G969">
        <v>0</v>
      </c>
      <c r="H969">
        <v>131.6</v>
      </c>
      <c r="I969">
        <v>120</v>
      </c>
      <c r="J969">
        <v>22.37</v>
      </c>
      <c r="K969">
        <v>211.3</v>
      </c>
      <c r="L969">
        <v>96</v>
      </c>
      <c r="M969">
        <v>17.96</v>
      </c>
      <c r="N969">
        <v>168.3</v>
      </c>
      <c r="O969">
        <v>97</v>
      </c>
      <c r="P969">
        <v>7.57</v>
      </c>
      <c r="Q969">
        <v>11.1</v>
      </c>
      <c r="R969">
        <v>4</v>
      </c>
      <c r="S969">
        <v>3</v>
      </c>
      <c r="T969">
        <v>4</v>
      </c>
      <c r="U969" t="s">
        <v>23</v>
      </c>
      <c r="V969" t="e">
        <f>IF(#REF! = "yes", 1, 0)</f>
        <v>#REF!</v>
      </c>
      <c r="W969" t="e">
        <f>IF(#REF! &lt;= 1, "0-1 Calls", IF(#REF! &lt;= 3, "2-3 Calls", IF(#REF! &lt;=5, "4-5 Calls", "6+ Calls")))</f>
        <v>#REF!</v>
      </c>
      <c r="X969" t="e">
        <f>IF(#REF! &lt;= 50, "0-50", IF(#REF! &lt;=100, "51-100", IF(#REF! &lt;= 150, "101-150", "151+")))</f>
        <v>#REF!</v>
      </c>
      <c r="Y969" t="e">
        <f>IF(#REF! &lt;= 3, "Low Charges", "High Charges")</f>
        <v>#REF!</v>
      </c>
      <c r="Z969" t="e">
        <f>IF(#REF!&lt;=80,"Low Calls",
IF(#REF!&lt;=120,"Medium Calls","High Calls"))</f>
        <v>#REF!</v>
      </c>
      <c r="AA969" t="e">
        <f>IF(#REF!&lt;=15,"Low Charges",
IF(#REF!&lt;=20,"Medium Charges","High Charges"))</f>
        <v>#REF!</v>
      </c>
      <c r="AB969" t="e">
        <f>IF(AND(#REF!&gt;180, #REF!&gt;200), "Heavy Doemstic User", IF(#REF!&gt;10, "Interntional User", IF(AND(#REF!&lt;180, #REF!&lt;200,#REF!&lt;200), "Light User", "Balanced User")))</f>
        <v>#REF!</v>
      </c>
      <c r="AC969" t="e">
        <f>IF(#REF! = 0, "No Usage", IF(#REF! &lt;= 20, "Low Usage", IF(#REF! &lt;= 40, "Medium Usgae", "High Usage")))</f>
        <v>#REF!</v>
      </c>
      <c r="AD969" t="e">
        <f>IF(#REF!&lt;=150,"Low Usage", IF(#REF!&lt;=200,"Medium Usage", IF(#REF!&lt;=250,"High Usage","Very High Usage")))</f>
        <v>#REF!</v>
      </c>
      <c r="AE969" t="e">
        <f>IF(#REF!&lt;=5,"Low Calls", IF(#REF!&lt;=10, "Medium Calls", "High Calls"))</f>
        <v>#REF!</v>
      </c>
      <c r="AF969" t="e">
        <f xml:space="preserve">
IF(#REF!&gt;=4,4,0)+
IF(#REF!="yes",3,0)+
IF(#REF!="High Charges",3,0)+
IF(#REF!&gt;250,4,0)+
IF(#REF!="no",1,0)+
IF(#REF!="Heavy Domestic User",2,0)</f>
        <v>#REF!</v>
      </c>
      <c r="AG969" t="e">
        <f>IF(#REF!&gt;=10,"High Risk", IF(#REF!&gt;=5,"Medium Risk","Low Risk"))</f>
        <v>#REF!</v>
      </c>
      <c r="AH969" t="e">
        <f>#REF! + #REF! + #REF! + #REF!</f>
        <v>#REF!</v>
      </c>
    </row>
    <row r="970" spans="1:34" x14ac:dyDescent="0.35">
      <c r="A970">
        <v>969</v>
      </c>
      <c r="B970" t="s">
        <v>24</v>
      </c>
      <c r="C970">
        <v>129</v>
      </c>
      <c r="D970" t="s">
        <v>21</v>
      </c>
      <c r="E970" t="s">
        <v>22</v>
      </c>
      <c r="F970" t="s">
        <v>22</v>
      </c>
      <c r="G970">
        <v>0</v>
      </c>
      <c r="H970">
        <v>168.4</v>
      </c>
      <c r="I970">
        <v>117</v>
      </c>
      <c r="J970">
        <v>28.63</v>
      </c>
      <c r="K970">
        <v>217.1</v>
      </c>
      <c r="L970">
        <v>129</v>
      </c>
      <c r="M970">
        <v>18.45</v>
      </c>
      <c r="N970">
        <v>81.599999999999994</v>
      </c>
      <c r="O970">
        <v>100</v>
      </c>
      <c r="P970">
        <v>3.67</v>
      </c>
      <c r="Q970">
        <v>11.8</v>
      </c>
      <c r="R970">
        <v>7</v>
      </c>
      <c r="S970">
        <v>3.19</v>
      </c>
      <c r="T970">
        <v>1</v>
      </c>
      <c r="U970" t="s">
        <v>22</v>
      </c>
      <c r="V970" t="e">
        <f>IF(#REF! = "yes", 1, 0)</f>
        <v>#REF!</v>
      </c>
      <c r="W970" t="e">
        <f>IF(#REF! &lt;= 1, "0-1 Calls", IF(#REF! &lt;= 3, "2-3 Calls", IF(#REF! &lt;=5, "4-5 Calls", "6+ Calls")))</f>
        <v>#REF!</v>
      </c>
      <c r="X970" t="e">
        <f>IF(#REF! &lt;= 50, "0-50", IF(#REF! &lt;=100, "51-100", IF(#REF! &lt;= 150, "101-150", "151+")))</f>
        <v>#REF!</v>
      </c>
      <c r="Y970" t="e">
        <f>IF(#REF! &lt;= 3, "Low Charges", "High Charges")</f>
        <v>#REF!</v>
      </c>
      <c r="Z970" t="e">
        <f>IF(#REF!&lt;=80,"Low Calls",
IF(#REF!&lt;=120,"Medium Calls","High Calls"))</f>
        <v>#REF!</v>
      </c>
      <c r="AA970" t="e">
        <f>IF(#REF!&lt;=15,"Low Charges",
IF(#REF!&lt;=20,"Medium Charges","High Charges"))</f>
        <v>#REF!</v>
      </c>
      <c r="AB970" t="e">
        <f>IF(AND(#REF!&gt;180, #REF!&gt;200), "Heavy Doemstic User", IF(#REF!&gt;10, "Interntional User", IF(AND(#REF!&lt;180, #REF!&lt;200,#REF!&lt;200), "Light User", "Balanced User")))</f>
        <v>#REF!</v>
      </c>
      <c r="AC970" t="e">
        <f>IF(#REF! = 0, "No Usage", IF(#REF! &lt;= 20, "Low Usage", IF(#REF! &lt;= 40, "Medium Usgae", "High Usage")))</f>
        <v>#REF!</v>
      </c>
      <c r="AD970" t="e">
        <f>IF(#REF!&lt;=150,"Low Usage", IF(#REF!&lt;=200,"Medium Usage", IF(#REF!&lt;=250,"High Usage","Very High Usage")))</f>
        <v>#REF!</v>
      </c>
      <c r="AE970" t="e">
        <f>IF(#REF!&lt;=5,"Low Calls", IF(#REF!&lt;=10, "Medium Calls", "High Calls"))</f>
        <v>#REF!</v>
      </c>
      <c r="AF970" t="e">
        <f xml:space="preserve">
IF(#REF!&gt;=4,4,0)+
IF(#REF!="yes",3,0)+
IF(#REF!="High Charges",3,0)+
IF(#REF!&gt;250,4,0)+
IF(#REF!="no",1,0)+
IF(#REF!="Heavy Domestic User",2,0)</f>
        <v>#REF!</v>
      </c>
      <c r="AG970" t="e">
        <f>IF(#REF!&gt;=10,"High Risk", IF(#REF!&gt;=5,"Medium Risk","Low Risk"))</f>
        <v>#REF!</v>
      </c>
      <c r="AH970" t="e">
        <f>#REF! + #REF! + #REF! + #REF!</f>
        <v>#REF!</v>
      </c>
    </row>
    <row r="971" spans="1:34" x14ac:dyDescent="0.35">
      <c r="A971">
        <v>970</v>
      </c>
      <c r="B971" t="s">
        <v>40</v>
      </c>
      <c r="C971">
        <v>116</v>
      </c>
      <c r="D971" t="s">
        <v>25</v>
      </c>
      <c r="E971" t="s">
        <v>22</v>
      </c>
      <c r="F971" t="s">
        <v>22</v>
      </c>
      <c r="G971">
        <v>0</v>
      </c>
      <c r="H971">
        <v>146.4</v>
      </c>
      <c r="I971">
        <v>123</v>
      </c>
      <c r="J971">
        <v>24.89</v>
      </c>
      <c r="K971">
        <v>176.6</v>
      </c>
      <c r="L971">
        <v>113</v>
      </c>
      <c r="M971">
        <v>15.01</v>
      </c>
      <c r="N971">
        <v>212.6</v>
      </c>
      <c r="O971">
        <v>102</v>
      </c>
      <c r="P971">
        <v>9.57</v>
      </c>
      <c r="Q971">
        <v>7.8</v>
      </c>
      <c r="R971">
        <v>5</v>
      </c>
      <c r="S971">
        <v>2.11</v>
      </c>
      <c r="T971">
        <v>1</v>
      </c>
      <c r="U971" t="s">
        <v>22</v>
      </c>
      <c r="V971" t="e">
        <f>IF(#REF! = "yes", 1, 0)</f>
        <v>#REF!</v>
      </c>
      <c r="W971" t="e">
        <f>IF(#REF! &lt;= 1, "0-1 Calls", IF(#REF! &lt;= 3, "2-3 Calls", IF(#REF! &lt;=5, "4-5 Calls", "6+ Calls")))</f>
        <v>#REF!</v>
      </c>
      <c r="X971" t="e">
        <f>IF(#REF! &lt;= 50, "0-50", IF(#REF! &lt;=100, "51-100", IF(#REF! &lt;= 150, "101-150", "151+")))</f>
        <v>#REF!</v>
      </c>
      <c r="Y971" t="e">
        <f>IF(#REF! &lt;= 3, "Low Charges", "High Charges")</f>
        <v>#REF!</v>
      </c>
      <c r="Z971" t="e">
        <f>IF(#REF!&lt;=80,"Low Calls",
IF(#REF!&lt;=120,"Medium Calls","High Calls"))</f>
        <v>#REF!</v>
      </c>
      <c r="AA971" t="e">
        <f>IF(#REF!&lt;=15,"Low Charges",
IF(#REF!&lt;=20,"Medium Charges","High Charges"))</f>
        <v>#REF!</v>
      </c>
      <c r="AB971" t="e">
        <f>IF(AND(#REF!&gt;180, #REF!&gt;200), "Heavy Doemstic User", IF(#REF!&gt;10, "Interntional User", IF(AND(#REF!&lt;180, #REF!&lt;200,#REF!&lt;200), "Light User", "Balanced User")))</f>
        <v>#REF!</v>
      </c>
      <c r="AC971" t="e">
        <f>IF(#REF! = 0, "No Usage", IF(#REF! &lt;= 20, "Low Usage", IF(#REF! &lt;= 40, "Medium Usgae", "High Usage")))</f>
        <v>#REF!</v>
      </c>
      <c r="AD971" t="e">
        <f>IF(#REF!&lt;=150,"Low Usage", IF(#REF!&lt;=200,"Medium Usage", IF(#REF!&lt;=250,"High Usage","Very High Usage")))</f>
        <v>#REF!</v>
      </c>
      <c r="AE971" t="e">
        <f>IF(#REF!&lt;=5,"Low Calls", IF(#REF!&lt;=10, "Medium Calls", "High Calls"))</f>
        <v>#REF!</v>
      </c>
      <c r="AF971" t="e">
        <f xml:space="preserve">
IF(#REF!&gt;=4,4,0)+
IF(#REF!="yes",3,0)+
IF(#REF!="High Charges",3,0)+
IF(#REF!&gt;250,4,0)+
IF(#REF!="no",1,0)+
IF(#REF!="Heavy Domestic User",2,0)</f>
        <v>#REF!</v>
      </c>
      <c r="AG971" t="e">
        <f>IF(#REF!&gt;=10,"High Risk", IF(#REF!&gt;=5,"Medium Risk","Low Risk"))</f>
        <v>#REF!</v>
      </c>
      <c r="AH971" t="e">
        <f>#REF! + #REF! + #REF! + #REF!</f>
        <v>#REF!</v>
      </c>
    </row>
    <row r="972" spans="1:34" x14ac:dyDescent="0.35">
      <c r="A972">
        <v>971</v>
      </c>
      <c r="B972" t="s">
        <v>56</v>
      </c>
      <c r="C972">
        <v>60</v>
      </c>
      <c r="D972" t="s">
        <v>21</v>
      </c>
      <c r="E972" t="s">
        <v>23</v>
      </c>
      <c r="F972" t="s">
        <v>22</v>
      </c>
      <c r="G972">
        <v>0</v>
      </c>
      <c r="H972">
        <v>183</v>
      </c>
      <c r="I972">
        <v>110</v>
      </c>
      <c r="J972">
        <v>31.11</v>
      </c>
      <c r="K972">
        <v>206.7</v>
      </c>
      <c r="L972">
        <v>93</v>
      </c>
      <c r="M972">
        <v>17.57</v>
      </c>
      <c r="N972">
        <v>203.8</v>
      </c>
      <c r="O972">
        <v>119</v>
      </c>
      <c r="P972">
        <v>9.17</v>
      </c>
      <c r="Q972">
        <v>11.1</v>
      </c>
      <c r="R972">
        <v>6</v>
      </c>
      <c r="S972">
        <v>3</v>
      </c>
      <c r="T972">
        <v>1</v>
      </c>
      <c r="U972" t="s">
        <v>22</v>
      </c>
      <c r="V972" t="e">
        <f>IF(#REF! = "yes", 1, 0)</f>
        <v>#REF!</v>
      </c>
      <c r="W972" t="e">
        <f>IF(#REF! &lt;= 1, "0-1 Calls", IF(#REF! &lt;= 3, "2-3 Calls", IF(#REF! &lt;=5, "4-5 Calls", "6+ Calls")))</f>
        <v>#REF!</v>
      </c>
      <c r="X972" t="e">
        <f>IF(#REF! &lt;= 50, "0-50", IF(#REF! &lt;=100, "51-100", IF(#REF! &lt;= 150, "101-150", "151+")))</f>
        <v>#REF!</v>
      </c>
      <c r="Y972" t="e">
        <f>IF(#REF! &lt;= 3, "Low Charges", "High Charges")</f>
        <v>#REF!</v>
      </c>
      <c r="Z972" t="e">
        <f>IF(#REF!&lt;=80,"Low Calls",
IF(#REF!&lt;=120,"Medium Calls","High Calls"))</f>
        <v>#REF!</v>
      </c>
      <c r="AA972" t="e">
        <f>IF(#REF!&lt;=15,"Low Charges",
IF(#REF!&lt;=20,"Medium Charges","High Charges"))</f>
        <v>#REF!</v>
      </c>
      <c r="AB972" t="e">
        <f>IF(AND(#REF!&gt;180, #REF!&gt;200), "Heavy Doemstic User", IF(#REF!&gt;10, "Interntional User", IF(AND(#REF!&lt;180, #REF!&lt;200,#REF!&lt;200), "Light User", "Balanced User")))</f>
        <v>#REF!</v>
      </c>
      <c r="AC972" t="e">
        <f>IF(#REF! = 0, "No Usage", IF(#REF! &lt;= 20, "Low Usage", IF(#REF! &lt;= 40, "Medium Usgae", "High Usage")))</f>
        <v>#REF!</v>
      </c>
      <c r="AD972" t="e">
        <f>IF(#REF!&lt;=150,"Low Usage", IF(#REF!&lt;=200,"Medium Usage", IF(#REF!&lt;=250,"High Usage","Very High Usage")))</f>
        <v>#REF!</v>
      </c>
      <c r="AE972" t="e">
        <f>IF(#REF!&lt;=5,"Low Calls", IF(#REF!&lt;=10, "Medium Calls", "High Calls"))</f>
        <v>#REF!</v>
      </c>
      <c r="AF972" t="e">
        <f xml:space="preserve">
IF(#REF!&gt;=4,4,0)+
IF(#REF!="yes",3,0)+
IF(#REF!="High Charges",3,0)+
IF(#REF!&gt;250,4,0)+
IF(#REF!="no",1,0)+
IF(#REF!="Heavy Domestic User",2,0)</f>
        <v>#REF!</v>
      </c>
      <c r="AG972" t="e">
        <f>IF(#REF!&gt;=10,"High Risk", IF(#REF!&gt;=5,"Medium Risk","Low Risk"))</f>
        <v>#REF!</v>
      </c>
      <c r="AH972" t="e">
        <f>#REF! + #REF! + #REF! + #REF!</f>
        <v>#REF!</v>
      </c>
    </row>
    <row r="973" spans="1:34" x14ac:dyDescent="0.35">
      <c r="A973">
        <v>972</v>
      </c>
      <c r="B973" t="s">
        <v>70</v>
      </c>
      <c r="C973">
        <v>128</v>
      </c>
      <c r="D973" t="s">
        <v>21</v>
      </c>
      <c r="E973" t="s">
        <v>22</v>
      </c>
      <c r="F973" t="s">
        <v>22</v>
      </c>
      <c r="G973">
        <v>0</v>
      </c>
      <c r="H973">
        <v>103.3</v>
      </c>
      <c r="I973">
        <v>122</v>
      </c>
      <c r="J973">
        <v>17.559999999999999</v>
      </c>
      <c r="K973">
        <v>245.9</v>
      </c>
      <c r="L973">
        <v>123</v>
      </c>
      <c r="M973">
        <v>20.9</v>
      </c>
      <c r="N973">
        <v>161.1</v>
      </c>
      <c r="O973">
        <v>95</v>
      </c>
      <c r="P973">
        <v>7.25</v>
      </c>
      <c r="Q973">
        <v>6.4</v>
      </c>
      <c r="R973">
        <v>7</v>
      </c>
      <c r="S973">
        <v>1.73</v>
      </c>
      <c r="T973">
        <v>0</v>
      </c>
      <c r="U973" t="s">
        <v>22</v>
      </c>
      <c r="V973" t="e">
        <f>IF(#REF! = "yes", 1, 0)</f>
        <v>#REF!</v>
      </c>
      <c r="W973" t="e">
        <f>IF(#REF! &lt;= 1, "0-1 Calls", IF(#REF! &lt;= 3, "2-3 Calls", IF(#REF! &lt;=5, "4-5 Calls", "6+ Calls")))</f>
        <v>#REF!</v>
      </c>
      <c r="X973" t="e">
        <f>IF(#REF! &lt;= 50, "0-50", IF(#REF! &lt;=100, "51-100", IF(#REF! &lt;= 150, "101-150", "151+")))</f>
        <v>#REF!</v>
      </c>
      <c r="Y973" t="e">
        <f>IF(#REF! &lt;= 3, "Low Charges", "High Charges")</f>
        <v>#REF!</v>
      </c>
      <c r="Z973" t="e">
        <f>IF(#REF!&lt;=80,"Low Calls",
IF(#REF!&lt;=120,"Medium Calls","High Calls"))</f>
        <v>#REF!</v>
      </c>
      <c r="AA973" t="e">
        <f>IF(#REF!&lt;=15,"Low Charges",
IF(#REF!&lt;=20,"Medium Charges","High Charges"))</f>
        <v>#REF!</v>
      </c>
      <c r="AB973" t="e">
        <f>IF(AND(#REF!&gt;180, #REF!&gt;200), "Heavy Doemstic User", IF(#REF!&gt;10, "Interntional User", IF(AND(#REF!&lt;180, #REF!&lt;200,#REF!&lt;200), "Light User", "Balanced User")))</f>
        <v>#REF!</v>
      </c>
      <c r="AC973" t="e">
        <f>IF(#REF! = 0, "No Usage", IF(#REF! &lt;= 20, "Low Usage", IF(#REF! &lt;= 40, "Medium Usgae", "High Usage")))</f>
        <v>#REF!</v>
      </c>
      <c r="AD973" t="e">
        <f>IF(#REF!&lt;=150,"Low Usage", IF(#REF!&lt;=200,"Medium Usage", IF(#REF!&lt;=250,"High Usage","Very High Usage")))</f>
        <v>#REF!</v>
      </c>
      <c r="AE973" t="e">
        <f>IF(#REF!&lt;=5,"Low Calls", IF(#REF!&lt;=10, "Medium Calls", "High Calls"))</f>
        <v>#REF!</v>
      </c>
      <c r="AF973" t="e">
        <f xml:space="preserve">
IF(#REF!&gt;=4,4,0)+
IF(#REF!="yes",3,0)+
IF(#REF!="High Charges",3,0)+
IF(#REF!&gt;250,4,0)+
IF(#REF!="no",1,0)+
IF(#REF!="Heavy Domestic User",2,0)</f>
        <v>#REF!</v>
      </c>
      <c r="AG973" t="e">
        <f>IF(#REF!&gt;=10,"High Risk", IF(#REF!&gt;=5,"Medium Risk","Low Risk"))</f>
        <v>#REF!</v>
      </c>
      <c r="AH973" t="e">
        <f>#REF! + #REF! + #REF! + #REF!</f>
        <v>#REF!</v>
      </c>
    </row>
    <row r="974" spans="1:34" x14ac:dyDescent="0.35">
      <c r="A974">
        <v>973</v>
      </c>
      <c r="B974" t="s">
        <v>39</v>
      </c>
      <c r="C974">
        <v>47</v>
      </c>
      <c r="D974" t="s">
        <v>25</v>
      </c>
      <c r="E974" t="s">
        <v>22</v>
      </c>
      <c r="F974" t="s">
        <v>23</v>
      </c>
      <c r="G974">
        <v>28</v>
      </c>
      <c r="H974">
        <v>112.2</v>
      </c>
      <c r="I974">
        <v>70</v>
      </c>
      <c r="J974">
        <v>19.07</v>
      </c>
      <c r="K974">
        <v>154.80000000000001</v>
      </c>
      <c r="L974">
        <v>106</v>
      </c>
      <c r="M974">
        <v>13.16</v>
      </c>
      <c r="N974">
        <v>166.7</v>
      </c>
      <c r="O974">
        <v>105</v>
      </c>
      <c r="P974">
        <v>7.5</v>
      </c>
      <c r="Q974">
        <v>10.6</v>
      </c>
      <c r="R974">
        <v>2</v>
      </c>
      <c r="S974">
        <v>2.86</v>
      </c>
      <c r="T974">
        <v>0</v>
      </c>
      <c r="U974" t="s">
        <v>22</v>
      </c>
      <c r="V974" t="e">
        <f>IF(#REF! = "yes", 1, 0)</f>
        <v>#REF!</v>
      </c>
      <c r="W974" t="e">
        <f>IF(#REF! &lt;= 1, "0-1 Calls", IF(#REF! &lt;= 3, "2-3 Calls", IF(#REF! &lt;=5, "4-5 Calls", "6+ Calls")))</f>
        <v>#REF!</v>
      </c>
      <c r="X974" t="e">
        <f>IF(#REF! &lt;= 50, "0-50", IF(#REF! &lt;=100, "51-100", IF(#REF! &lt;= 150, "101-150", "151+")))</f>
        <v>#REF!</v>
      </c>
      <c r="Y974" t="e">
        <f>IF(#REF! &lt;= 3, "Low Charges", "High Charges")</f>
        <v>#REF!</v>
      </c>
      <c r="Z974" t="e">
        <f>IF(#REF!&lt;=80,"Low Calls",
IF(#REF!&lt;=120,"Medium Calls","High Calls"))</f>
        <v>#REF!</v>
      </c>
      <c r="AA974" t="e">
        <f>IF(#REF!&lt;=15,"Low Charges",
IF(#REF!&lt;=20,"Medium Charges","High Charges"))</f>
        <v>#REF!</v>
      </c>
      <c r="AB974" t="e">
        <f>IF(AND(#REF!&gt;180, #REF!&gt;200), "Heavy Doemstic User", IF(#REF!&gt;10, "Interntional User", IF(AND(#REF!&lt;180, #REF!&lt;200,#REF!&lt;200), "Light User", "Balanced User")))</f>
        <v>#REF!</v>
      </c>
      <c r="AC974" t="e">
        <f>IF(#REF! = 0, "No Usage", IF(#REF! &lt;= 20, "Low Usage", IF(#REF! &lt;= 40, "Medium Usgae", "High Usage")))</f>
        <v>#REF!</v>
      </c>
      <c r="AD974" t="e">
        <f>IF(#REF!&lt;=150,"Low Usage", IF(#REF!&lt;=200,"Medium Usage", IF(#REF!&lt;=250,"High Usage","Very High Usage")))</f>
        <v>#REF!</v>
      </c>
      <c r="AE974" t="e">
        <f>IF(#REF!&lt;=5,"Low Calls", IF(#REF!&lt;=10, "Medium Calls", "High Calls"))</f>
        <v>#REF!</v>
      </c>
      <c r="AF974" t="e">
        <f xml:space="preserve">
IF(#REF!&gt;=4,4,0)+
IF(#REF!="yes",3,0)+
IF(#REF!="High Charges",3,0)+
IF(#REF!&gt;250,4,0)+
IF(#REF!="no",1,0)+
IF(#REF!="Heavy Domestic User",2,0)</f>
        <v>#REF!</v>
      </c>
      <c r="AG974" t="e">
        <f>IF(#REF!&gt;=10,"High Risk", IF(#REF!&gt;=5,"Medium Risk","Low Risk"))</f>
        <v>#REF!</v>
      </c>
      <c r="AH974" t="e">
        <f>#REF! + #REF! + #REF! + #REF!</f>
        <v>#REF!</v>
      </c>
    </row>
    <row r="975" spans="1:34" x14ac:dyDescent="0.35">
      <c r="A975">
        <v>974</v>
      </c>
      <c r="B975" t="s">
        <v>60</v>
      </c>
      <c r="C975">
        <v>40</v>
      </c>
      <c r="D975" t="s">
        <v>28</v>
      </c>
      <c r="E975" t="s">
        <v>23</v>
      </c>
      <c r="F975" t="s">
        <v>22</v>
      </c>
      <c r="G975">
        <v>0</v>
      </c>
      <c r="H975">
        <v>170.7</v>
      </c>
      <c r="I975">
        <v>55</v>
      </c>
      <c r="J975">
        <v>29.02</v>
      </c>
      <c r="K975">
        <v>179.1</v>
      </c>
      <c r="L975">
        <v>108</v>
      </c>
      <c r="M975">
        <v>15.22</v>
      </c>
      <c r="N975">
        <v>281.89999999999998</v>
      </c>
      <c r="O975">
        <v>89</v>
      </c>
      <c r="P975">
        <v>12.69</v>
      </c>
      <c r="Q975">
        <v>8.1999999999999993</v>
      </c>
      <c r="R975">
        <v>9</v>
      </c>
      <c r="S975">
        <v>2.21</v>
      </c>
      <c r="T975">
        <v>3</v>
      </c>
      <c r="U975" t="s">
        <v>22</v>
      </c>
      <c r="V975" t="e">
        <f>IF(#REF! = "yes", 1, 0)</f>
        <v>#REF!</v>
      </c>
      <c r="W975" t="e">
        <f>IF(#REF! &lt;= 1, "0-1 Calls", IF(#REF! &lt;= 3, "2-3 Calls", IF(#REF! &lt;=5, "4-5 Calls", "6+ Calls")))</f>
        <v>#REF!</v>
      </c>
      <c r="X975" t="e">
        <f>IF(#REF! &lt;= 50, "0-50", IF(#REF! &lt;=100, "51-100", IF(#REF! &lt;= 150, "101-150", "151+")))</f>
        <v>#REF!</v>
      </c>
      <c r="Y975" t="e">
        <f>IF(#REF! &lt;= 3, "Low Charges", "High Charges")</f>
        <v>#REF!</v>
      </c>
      <c r="Z975" t="e">
        <f>IF(#REF!&lt;=80,"Low Calls",
IF(#REF!&lt;=120,"Medium Calls","High Calls"))</f>
        <v>#REF!</v>
      </c>
      <c r="AA975" t="e">
        <f>IF(#REF!&lt;=15,"Low Charges",
IF(#REF!&lt;=20,"Medium Charges","High Charges"))</f>
        <v>#REF!</v>
      </c>
      <c r="AB975" t="e">
        <f>IF(AND(#REF!&gt;180, #REF!&gt;200), "Heavy Doemstic User", IF(#REF!&gt;10, "Interntional User", IF(AND(#REF!&lt;180, #REF!&lt;200,#REF!&lt;200), "Light User", "Balanced User")))</f>
        <v>#REF!</v>
      </c>
      <c r="AC975" t="e">
        <f>IF(#REF! = 0, "No Usage", IF(#REF! &lt;= 20, "Low Usage", IF(#REF! &lt;= 40, "Medium Usgae", "High Usage")))</f>
        <v>#REF!</v>
      </c>
      <c r="AD975" t="e">
        <f>IF(#REF!&lt;=150,"Low Usage", IF(#REF!&lt;=200,"Medium Usage", IF(#REF!&lt;=250,"High Usage","Very High Usage")))</f>
        <v>#REF!</v>
      </c>
      <c r="AE975" t="e">
        <f>IF(#REF!&lt;=5,"Low Calls", IF(#REF!&lt;=10, "Medium Calls", "High Calls"))</f>
        <v>#REF!</v>
      </c>
      <c r="AF975" t="e">
        <f xml:space="preserve">
IF(#REF!&gt;=4,4,0)+
IF(#REF!="yes",3,0)+
IF(#REF!="High Charges",3,0)+
IF(#REF!&gt;250,4,0)+
IF(#REF!="no",1,0)+
IF(#REF!="Heavy Domestic User",2,0)</f>
        <v>#REF!</v>
      </c>
      <c r="AG975" t="e">
        <f>IF(#REF!&gt;=10,"High Risk", IF(#REF!&gt;=5,"Medium Risk","Low Risk"))</f>
        <v>#REF!</v>
      </c>
      <c r="AH975" t="e">
        <f>#REF! + #REF! + #REF! + #REF!</f>
        <v>#REF!</v>
      </c>
    </row>
    <row r="976" spans="1:34" x14ac:dyDescent="0.35">
      <c r="A976">
        <v>975</v>
      </c>
      <c r="B976" t="s">
        <v>47</v>
      </c>
      <c r="C976">
        <v>173</v>
      </c>
      <c r="D976" t="s">
        <v>28</v>
      </c>
      <c r="E976" t="s">
        <v>22</v>
      </c>
      <c r="F976" t="s">
        <v>22</v>
      </c>
      <c r="G976">
        <v>0</v>
      </c>
      <c r="H976">
        <v>172.5</v>
      </c>
      <c r="I976">
        <v>78</v>
      </c>
      <c r="J976">
        <v>29.33</v>
      </c>
      <c r="K976">
        <v>142.6</v>
      </c>
      <c r="L976">
        <v>91</v>
      </c>
      <c r="M976">
        <v>12.12</v>
      </c>
      <c r="N976">
        <v>102</v>
      </c>
      <c r="O976">
        <v>63</v>
      </c>
      <c r="P976">
        <v>4.59</v>
      </c>
      <c r="Q976">
        <v>10.9</v>
      </c>
      <c r="R976">
        <v>2</v>
      </c>
      <c r="S976">
        <v>2.94</v>
      </c>
      <c r="T976">
        <v>0</v>
      </c>
      <c r="U976" t="s">
        <v>22</v>
      </c>
      <c r="V976" t="e">
        <f>IF(#REF! = "yes", 1, 0)</f>
        <v>#REF!</v>
      </c>
      <c r="W976" t="e">
        <f>IF(#REF! &lt;= 1, "0-1 Calls", IF(#REF! &lt;= 3, "2-3 Calls", IF(#REF! &lt;=5, "4-5 Calls", "6+ Calls")))</f>
        <v>#REF!</v>
      </c>
      <c r="X976" t="e">
        <f>IF(#REF! &lt;= 50, "0-50", IF(#REF! &lt;=100, "51-100", IF(#REF! &lt;= 150, "101-150", "151+")))</f>
        <v>#REF!</v>
      </c>
      <c r="Y976" t="e">
        <f>IF(#REF! &lt;= 3, "Low Charges", "High Charges")</f>
        <v>#REF!</v>
      </c>
      <c r="Z976" t="e">
        <f>IF(#REF!&lt;=80,"Low Calls",
IF(#REF!&lt;=120,"Medium Calls","High Calls"))</f>
        <v>#REF!</v>
      </c>
      <c r="AA976" t="e">
        <f>IF(#REF!&lt;=15,"Low Charges",
IF(#REF!&lt;=20,"Medium Charges","High Charges"))</f>
        <v>#REF!</v>
      </c>
      <c r="AB976" t="e">
        <f>IF(AND(#REF!&gt;180, #REF!&gt;200), "Heavy Doemstic User", IF(#REF!&gt;10, "Interntional User", IF(AND(#REF!&lt;180, #REF!&lt;200,#REF!&lt;200), "Light User", "Balanced User")))</f>
        <v>#REF!</v>
      </c>
      <c r="AC976" t="e">
        <f>IF(#REF! = 0, "No Usage", IF(#REF! &lt;= 20, "Low Usage", IF(#REF! &lt;= 40, "Medium Usgae", "High Usage")))</f>
        <v>#REF!</v>
      </c>
      <c r="AD976" t="e">
        <f>IF(#REF!&lt;=150,"Low Usage", IF(#REF!&lt;=200,"Medium Usage", IF(#REF!&lt;=250,"High Usage","Very High Usage")))</f>
        <v>#REF!</v>
      </c>
      <c r="AE976" t="e">
        <f>IF(#REF!&lt;=5,"Low Calls", IF(#REF!&lt;=10, "Medium Calls", "High Calls"))</f>
        <v>#REF!</v>
      </c>
      <c r="AF976" t="e">
        <f xml:space="preserve">
IF(#REF!&gt;=4,4,0)+
IF(#REF!="yes",3,0)+
IF(#REF!="High Charges",3,0)+
IF(#REF!&gt;250,4,0)+
IF(#REF!="no",1,0)+
IF(#REF!="Heavy Domestic User",2,0)</f>
        <v>#REF!</v>
      </c>
      <c r="AG976" t="e">
        <f>IF(#REF!&gt;=10,"High Risk", IF(#REF!&gt;=5,"Medium Risk","Low Risk"))</f>
        <v>#REF!</v>
      </c>
      <c r="AH976" t="e">
        <f>#REF! + #REF! + #REF! + #REF!</f>
        <v>#REF!</v>
      </c>
    </row>
    <row r="977" spans="1:34" x14ac:dyDescent="0.35">
      <c r="A977">
        <v>976</v>
      </c>
      <c r="B977" t="s">
        <v>67</v>
      </c>
      <c r="C977">
        <v>66</v>
      </c>
      <c r="D977" t="s">
        <v>25</v>
      </c>
      <c r="E977" t="s">
        <v>22</v>
      </c>
      <c r="F977" t="s">
        <v>23</v>
      </c>
      <c r="G977">
        <v>32</v>
      </c>
      <c r="H977">
        <v>187.8</v>
      </c>
      <c r="I977">
        <v>117</v>
      </c>
      <c r="J977">
        <v>31.93</v>
      </c>
      <c r="K977">
        <v>129.80000000000001</v>
      </c>
      <c r="L977">
        <v>90</v>
      </c>
      <c r="M977">
        <v>11.03</v>
      </c>
      <c r="N977">
        <v>132.30000000000001</v>
      </c>
      <c r="O977">
        <v>113</v>
      </c>
      <c r="P977">
        <v>5.95</v>
      </c>
      <c r="Q977">
        <v>12</v>
      </c>
      <c r="R977">
        <v>3</v>
      </c>
      <c r="S977">
        <v>3.24</v>
      </c>
      <c r="T977">
        <v>2</v>
      </c>
      <c r="U977" t="s">
        <v>22</v>
      </c>
      <c r="V977" t="e">
        <f>IF(#REF! = "yes", 1, 0)</f>
        <v>#REF!</v>
      </c>
      <c r="W977" t="e">
        <f>IF(#REF! &lt;= 1, "0-1 Calls", IF(#REF! &lt;= 3, "2-3 Calls", IF(#REF! &lt;=5, "4-5 Calls", "6+ Calls")))</f>
        <v>#REF!</v>
      </c>
      <c r="X977" t="e">
        <f>IF(#REF! &lt;= 50, "0-50", IF(#REF! &lt;=100, "51-100", IF(#REF! &lt;= 150, "101-150", "151+")))</f>
        <v>#REF!</v>
      </c>
      <c r="Y977" t="e">
        <f>IF(#REF! &lt;= 3, "Low Charges", "High Charges")</f>
        <v>#REF!</v>
      </c>
      <c r="Z977" t="e">
        <f>IF(#REF!&lt;=80,"Low Calls",
IF(#REF!&lt;=120,"Medium Calls","High Calls"))</f>
        <v>#REF!</v>
      </c>
      <c r="AA977" t="e">
        <f>IF(#REF!&lt;=15,"Low Charges",
IF(#REF!&lt;=20,"Medium Charges","High Charges"))</f>
        <v>#REF!</v>
      </c>
      <c r="AB977" t="e">
        <f>IF(AND(#REF!&gt;180, #REF!&gt;200), "Heavy Doemstic User", IF(#REF!&gt;10, "Interntional User", IF(AND(#REF!&lt;180, #REF!&lt;200,#REF!&lt;200), "Light User", "Balanced User")))</f>
        <v>#REF!</v>
      </c>
      <c r="AC977" t="e">
        <f>IF(#REF! = 0, "No Usage", IF(#REF! &lt;= 20, "Low Usage", IF(#REF! &lt;= 40, "Medium Usgae", "High Usage")))</f>
        <v>#REF!</v>
      </c>
      <c r="AD977" t="e">
        <f>IF(#REF!&lt;=150,"Low Usage", IF(#REF!&lt;=200,"Medium Usage", IF(#REF!&lt;=250,"High Usage","Very High Usage")))</f>
        <v>#REF!</v>
      </c>
      <c r="AE977" t="e">
        <f>IF(#REF!&lt;=5,"Low Calls", IF(#REF!&lt;=10, "Medium Calls", "High Calls"))</f>
        <v>#REF!</v>
      </c>
      <c r="AF977" t="e">
        <f xml:space="preserve">
IF(#REF!&gt;=4,4,0)+
IF(#REF!="yes",3,0)+
IF(#REF!="High Charges",3,0)+
IF(#REF!&gt;250,4,0)+
IF(#REF!="no",1,0)+
IF(#REF!="Heavy Domestic User",2,0)</f>
        <v>#REF!</v>
      </c>
      <c r="AG977" t="e">
        <f>IF(#REF!&gt;=10,"High Risk", IF(#REF!&gt;=5,"Medium Risk","Low Risk"))</f>
        <v>#REF!</v>
      </c>
      <c r="AH977" t="e">
        <f>#REF! + #REF! + #REF! + #REF!</f>
        <v>#REF!</v>
      </c>
    </row>
    <row r="978" spans="1:34" x14ac:dyDescent="0.35">
      <c r="A978">
        <v>977</v>
      </c>
      <c r="B978" t="s">
        <v>64</v>
      </c>
      <c r="C978">
        <v>50</v>
      </c>
      <c r="D978" t="s">
        <v>21</v>
      </c>
      <c r="E978" t="s">
        <v>23</v>
      </c>
      <c r="F978" t="s">
        <v>23</v>
      </c>
      <c r="G978">
        <v>26</v>
      </c>
      <c r="H978">
        <v>307.10000000000002</v>
      </c>
      <c r="I978">
        <v>94</v>
      </c>
      <c r="J978">
        <v>52.21</v>
      </c>
      <c r="K978">
        <v>289.39999999999998</v>
      </c>
      <c r="L978">
        <v>78</v>
      </c>
      <c r="M978">
        <v>24.6</v>
      </c>
      <c r="N978">
        <v>174.9</v>
      </c>
      <c r="O978">
        <v>109</v>
      </c>
      <c r="P978">
        <v>7.87</v>
      </c>
      <c r="Q978">
        <v>8</v>
      </c>
      <c r="R978">
        <v>3</v>
      </c>
      <c r="S978">
        <v>2.16</v>
      </c>
      <c r="T978">
        <v>0</v>
      </c>
      <c r="U978" t="s">
        <v>22</v>
      </c>
      <c r="V978" t="e">
        <f>IF(#REF! = "yes", 1, 0)</f>
        <v>#REF!</v>
      </c>
      <c r="W978" t="e">
        <f>IF(#REF! &lt;= 1, "0-1 Calls", IF(#REF! &lt;= 3, "2-3 Calls", IF(#REF! &lt;=5, "4-5 Calls", "6+ Calls")))</f>
        <v>#REF!</v>
      </c>
      <c r="X978" t="e">
        <f>IF(#REF! &lt;= 50, "0-50", IF(#REF! &lt;=100, "51-100", IF(#REF! &lt;= 150, "101-150", "151+")))</f>
        <v>#REF!</v>
      </c>
      <c r="Y978" t="e">
        <f>IF(#REF! &lt;= 3, "Low Charges", "High Charges")</f>
        <v>#REF!</v>
      </c>
      <c r="Z978" t="e">
        <f>IF(#REF!&lt;=80,"Low Calls",
IF(#REF!&lt;=120,"Medium Calls","High Calls"))</f>
        <v>#REF!</v>
      </c>
      <c r="AA978" t="e">
        <f>IF(#REF!&lt;=15,"Low Charges",
IF(#REF!&lt;=20,"Medium Charges","High Charges"))</f>
        <v>#REF!</v>
      </c>
      <c r="AB978" t="e">
        <f>IF(AND(#REF!&gt;180, #REF!&gt;200), "Heavy Doemstic User", IF(#REF!&gt;10, "Interntional User", IF(AND(#REF!&lt;180, #REF!&lt;200,#REF!&lt;200), "Light User", "Balanced User")))</f>
        <v>#REF!</v>
      </c>
      <c r="AC978" t="e">
        <f>IF(#REF! = 0, "No Usage", IF(#REF! &lt;= 20, "Low Usage", IF(#REF! &lt;= 40, "Medium Usgae", "High Usage")))</f>
        <v>#REF!</v>
      </c>
      <c r="AD978" t="e">
        <f>IF(#REF!&lt;=150,"Low Usage", IF(#REF!&lt;=200,"Medium Usage", IF(#REF!&lt;=250,"High Usage","Very High Usage")))</f>
        <v>#REF!</v>
      </c>
      <c r="AE978" t="e">
        <f>IF(#REF!&lt;=5,"Low Calls", IF(#REF!&lt;=10, "Medium Calls", "High Calls"))</f>
        <v>#REF!</v>
      </c>
      <c r="AF978" t="e">
        <f xml:space="preserve">
IF(#REF!&gt;=4,4,0)+
IF(#REF!="yes",3,0)+
IF(#REF!="High Charges",3,0)+
IF(#REF!&gt;250,4,0)+
IF(#REF!="no",1,0)+
IF(#REF!="Heavy Domestic User",2,0)</f>
        <v>#REF!</v>
      </c>
      <c r="AG978" t="e">
        <f>IF(#REF!&gt;=10,"High Risk", IF(#REF!&gt;=5,"Medium Risk","Low Risk"))</f>
        <v>#REF!</v>
      </c>
      <c r="AH978" t="e">
        <f>#REF! + #REF! + #REF! + #REF!</f>
        <v>#REF!</v>
      </c>
    </row>
    <row r="979" spans="1:34" x14ac:dyDescent="0.35">
      <c r="A979">
        <v>978</v>
      </c>
      <c r="B979" t="s">
        <v>70</v>
      </c>
      <c r="C979">
        <v>130</v>
      </c>
      <c r="D979" t="s">
        <v>28</v>
      </c>
      <c r="E979" t="s">
        <v>22</v>
      </c>
      <c r="F979" t="s">
        <v>22</v>
      </c>
      <c r="G979">
        <v>0</v>
      </c>
      <c r="H979">
        <v>154</v>
      </c>
      <c r="I979">
        <v>95</v>
      </c>
      <c r="J979">
        <v>26.18</v>
      </c>
      <c r="K979">
        <v>205.9</v>
      </c>
      <c r="L979">
        <v>106</v>
      </c>
      <c r="M979">
        <v>17.5</v>
      </c>
      <c r="N979">
        <v>233.7</v>
      </c>
      <c r="O979">
        <v>75</v>
      </c>
      <c r="P979">
        <v>10.52</v>
      </c>
      <c r="Q979">
        <v>12.9</v>
      </c>
      <c r="R979">
        <v>1</v>
      </c>
      <c r="S979">
        <v>3.48</v>
      </c>
      <c r="T979">
        <v>1</v>
      </c>
      <c r="U979" t="s">
        <v>22</v>
      </c>
      <c r="V979" t="e">
        <f>IF(#REF! = "yes", 1, 0)</f>
        <v>#REF!</v>
      </c>
      <c r="W979" t="e">
        <f>IF(#REF! &lt;= 1, "0-1 Calls", IF(#REF! &lt;= 3, "2-3 Calls", IF(#REF! &lt;=5, "4-5 Calls", "6+ Calls")))</f>
        <v>#REF!</v>
      </c>
      <c r="X979" t="e">
        <f>IF(#REF! &lt;= 50, "0-50", IF(#REF! &lt;=100, "51-100", IF(#REF! &lt;= 150, "101-150", "151+")))</f>
        <v>#REF!</v>
      </c>
      <c r="Y979" t="e">
        <f>IF(#REF! &lt;= 3, "Low Charges", "High Charges")</f>
        <v>#REF!</v>
      </c>
      <c r="Z979" t="e">
        <f>IF(#REF!&lt;=80,"Low Calls",
IF(#REF!&lt;=120,"Medium Calls","High Calls"))</f>
        <v>#REF!</v>
      </c>
      <c r="AA979" t="e">
        <f>IF(#REF!&lt;=15,"Low Charges",
IF(#REF!&lt;=20,"Medium Charges","High Charges"))</f>
        <v>#REF!</v>
      </c>
      <c r="AB979" t="e">
        <f>IF(AND(#REF!&gt;180, #REF!&gt;200), "Heavy Doemstic User", IF(#REF!&gt;10, "Interntional User", IF(AND(#REF!&lt;180, #REF!&lt;200,#REF!&lt;200), "Light User", "Balanced User")))</f>
        <v>#REF!</v>
      </c>
      <c r="AC979" t="e">
        <f>IF(#REF! = 0, "No Usage", IF(#REF! &lt;= 20, "Low Usage", IF(#REF! &lt;= 40, "Medium Usgae", "High Usage")))</f>
        <v>#REF!</v>
      </c>
      <c r="AD979" t="e">
        <f>IF(#REF!&lt;=150,"Low Usage", IF(#REF!&lt;=200,"Medium Usage", IF(#REF!&lt;=250,"High Usage","Very High Usage")))</f>
        <v>#REF!</v>
      </c>
      <c r="AE979" t="e">
        <f>IF(#REF!&lt;=5,"Low Calls", IF(#REF!&lt;=10, "Medium Calls", "High Calls"))</f>
        <v>#REF!</v>
      </c>
      <c r="AF979" t="e">
        <f xml:space="preserve">
IF(#REF!&gt;=4,4,0)+
IF(#REF!="yes",3,0)+
IF(#REF!="High Charges",3,0)+
IF(#REF!&gt;250,4,0)+
IF(#REF!="no",1,0)+
IF(#REF!="Heavy Domestic User",2,0)</f>
        <v>#REF!</v>
      </c>
      <c r="AG979" t="e">
        <f>IF(#REF!&gt;=10,"High Risk", IF(#REF!&gt;=5,"Medium Risk","Low Risk"))</f>
        <v>#REF!</v>
      </c>
      <c r="AH979" t="e">
        <f>#REF! + #REF! + #REF! + #REF!</f>
        <v>#REF!</v>
      </c>
    </row>
    <row r="980" spans="1:34" x14ac:dyDescent="0.35">
      <c r="A980">
        <v>979</v>
      </c>
      <c r="B980" t="s">
        <v>54</v>
      </c>
      <c r="C980">
        <v>89</v>
      </c>
      <c r="D980" t="s">
        <v>28</v>
      </c>
      <c r="E980" t="s">
        <v>23</v>
      </c>
      <c r="F980" t="s">
        <v>22</v>
      </c>
      <c r="G980">
        <v>0</v>
      </c>
      <c r="H980">
        <v>125.6</v>
      </c>
      <c r="I980">
        <v>108</v>
      </c>
      <c r="J980">
        <v>21.35</v>
      </c>
      <c r="K980">
        <v>213</v>
      </c>
      <c r="L980">
        <v>90</v>
      </c>
      <c r="M980">
        <v>18.11</v>
      </c>
      <c r="N980">
        <v>181.7</v>
      </c>
      <c r="O980">
        <v>108</v>
      </c>
      <c r="P980">
        <v>8.18</v>
      </c>
      <c r="Q980">
        <v>5.4</v>
      </c>
      <c r="R980">
        <v>5</v>
      </c>
      <c r="S980">
        <v>1.46</v>
      </c>
      <c r="T980">
        <v>1</v>
      </c>
      <c r="U980" t="s">
        <v>22</v>
      </c>
      <c r="V980" t="e">
        <f>IF(#REF! = "yes", 1, 0)</f>
        <v>#REF!</v>
      </c>
      <c r="W980" t="e">
        <f>IF(#REF! &lt;= 1, "0-1 Calls", IF(#REF! &lt;= 3, "2-3 Calls", IF(#REF! &lt;=5, "4-5 Calls", "6+ Calls")))</f>
        <v>#REF!</v>
      </c>
      <c r="X980" t="e">
        <f>IF(#REF! &lt;= 50, "0-50", IF(#REF! &lt;=100, "51-100", IF(#REF! &lt;= 150, "101-150", "151+")))</f>
        <v>#REF!</v>
      </c>
      <c r="Y980" t="e">
        <f>IF(#REF! &lt;= 3, "Low Charges", "High Charges")</f>
        <v>#REF!</v>
      </c>
      <c r="Z980" t="e">
        <f>IF(#REF!&lt;=80,"Low Calls",
IF(#REF!&lt;=120,"Medium Calls","High Calls"))</f>
        <v>#REF!</v>
      </c>
      <c r="AA980" t="e">
        <f>IF(#REF!&lt;=15,"Low Charges",
IF(#REF!&lt;=20,"Medium Charges","High Charges"))</f>
        <v>#REF!</v>
      </c>
      <c r="AB980" t="e">
        <f>IF(AND(#REF!&gt;180, #REF!&gt;200), "Heavy Doemstic User", IF(#REF!&gt;10, "Interntional User", IF(AND(#REF!&lt;180, #REF!&lt;200,#REF!&lt;200), "Light User", "Balanced User")))</f>
        <v>#REF!</v>
      </c>
      <c r="AC980" t="e">
        <f>IF(#REF! = 0, "No Usage", IF(#REF! &lt;= 20, "Low Usage", IF(#REF! &lt;= 40, "Medium Usgae", "High Usage")))</f>
        <v>#REF!</v>
      </c>
      <c r="AD980" t="e">
        <f>IF(#REF!&lt;=150,"Low Usage", IF(#REF!&lt;=200,"Medium Usage", IF(#REF!&lt;=250,"High Usage","Very High Usage")))</f>
        <v>#REF!</v>
      </c>
      <c r="AE980" t="e">
        <f>IF(#REF!&lt;=5,"Low Calls", IF(#REF!&lt;=10, "Medium Calls", "High Calls"))</f>
        <v>#REF!</v>
      </c>
      <c r="AF980" t="e">
        <f xml:space="preserve">
IF(#REF!&gt;=4,4,0)+
IF(#REF!="yes",3,0)+
IF(#REF!="High Charges",3,0)+
IF(#REF!&gt;250,4,0)+
IF(#REF!="no",1,0)+
IF(#REF!="Heavy Domestic User",2,0)</f>
        <v>#REF!</v>
      </c>
      <c r="AG980" t="e">
        <f>IF(#REF!&gt;=10,"High Risk", IF(#REF!&gt;=5,"Medium Risk","Low Risk"))</f>
        <v>#REF!</v>
      </c>
      <c r="AH980" t="e">
        <f>#REF! + #REF! + #REF! + #REF!</f>
        <v>#REF!</v>
      </c>
    </row>
    <row r="981" spans="1:34" x14ac:dyDescent="0.35">
      <c r="A981">
        <v>980</v>
      </c>
      <c r="B981" t="s">
        <v>32</v>
      </c>
      <c r="C981">
        <v>108</v>
      </c>
      <c r="D981" t="s">
        <v>21</v>
      </c>
      <c r="E981" t="s">
        <v>22</v>
      </c>
      <c r="F981" t="s">
        <v>22</v>
      </c>
      <c r="G981">
        <v>0</v>
      </c>
      <c r="H981">
        <v>199.3</v>
      </c>
      <c r="I981">
        <v>104</v>
      </c>
      <c r="J981">
        <v>33.880000000000003</v>
      </c>
      <c r="K981">
        <v>224.2</v>
      </c>
      <c r="L981">
        <v>92</v>
      </c>
      <c r="M981">
        <v>19.059999999999999</v>
      </c>
      <c r="N981">
        <v>140.1</v>
      </c>
      <c r="O981">
        <v>57</v>
      </c>
      <c r="P981">
        <v>6.3</v>
      </c>
      <c r="Q981">
        <v>15.2</v>
      </c>
      <c r="R981">
        <v>2</v>
      </c>
      <c r="S981">
        <v>4.0999999999999996</v>
      </c>
      <c r="T981">
        <v>0</v>
      </c>
      <c r="U981" t="s">
        <v>22</v>
      </c>
      <c r="V981" t="e">
        <f>IF(#REF! = "yes", 1, 0)</f>
        <v>#REF!</v>
      </c>
      <c r="W981" t="e">
        <f>IF(#REF! &lt;= 1, "0-1 Calls", IF(#REF! &lt;= 3, "2-3 Calls", IF(#REF! &lt;=5, "4-5 Calls", "6+ Calls")))</f>
        <v>#REF!</v>
      </c>
      <c r="X981" t="e">
        <f>IF(#REF! &lt;= 50, "0-50", IF(#REF! &lt;=100, "51-100", IF(#REF! &lt;= 150, "101-150", "151+")))</f>
        <v>#REF!</v>
      </c>
      <c r="Y981" t="e">
        <f>IF(#REF! &lt;= 3, "Low Charges", "High Charges")</f>
        <v>#REF!</v>
      </c>
      <c r="Z981" t="e">
        <f>IF(#REF!&lt;=80,"Low Calls",
IF(#REF!&lt;=120,"Medium Calls","High Calls"))</f>
        <v>#REF!</v>
      </c>
      <c r="AA981" t="e">
        <f>IF(#REF!&lt;=15,"Low Charges",
IF(#REF!&lt;=20,"Medium Charges","High Charges"))</f>
        <v>#REF!</v>
      </c>
      <c r="AB981" t="e">
        <f>IF(AND(#REF!&gt;180, #REF!&gt;200), "Heavy Doemstic User", IF(#REF!&gt;10, "Interntional User", IF(AND(#REF!&lt;180, #REF!&lt;200,#REF!&lt;200), "Light User", "Balanced User")))</f>
        <v>#REF!</v>
      </c>
      <c r="AC981" t="e">
        <f>IF(#REF! = 0, "No Usage", IF(#REF! &lt;= 20, "Low Usage", IF(#REF! &lt;= 40, "Medium Usgae", "High Usage")))</f>
        <v>#REF!</v>
      </c>
      <c r="AD981" t="e">
        <f>IF(#REF!&lt;=150,"Low Usage", IF(#REF!&lt;=200,"Medium Usage", IF(#REF!&lt;=250,"High Usage","Very High Usage")))</f>
        <v>#REF!</v>
      </c>
      <c r="AE981" t="e">
        <f>IF(#REF!&lt;=5,"Low Calls", IF(#REF!&lt;=10, "Medium Calls", "High Calls"))</f>
        <v>#REF!</v>
      </c>
      <c r="AF981" t="e">
        <f xml:space="preserve">
IF(#REF!&gt;=4,4,0)+
IF(#REF!="yes",3,0)+
IF(#REF!="High Charges",3,0)+
IF(#REF!&gt;250,4,0)+
IF(#REF!="no",1,0)+
IF(#REF!="Heavy Domestic User",2,0)</f>
        <v>#REF!</v>
      </c>
      <c r="AG981" t="e">
        <f>IF(#REF!&gt;=10,"High Risk", IF(#REF!&gt;=5,"Medium Risk","Low Risk"))</f>
        <v>#REF!</v>
      </c>
      <c r="AH981" t="e">
        <f>#REF! + #REF! + #REF! + #REF!</f>
        <v>#REF!</v>
      </c>
    </row>
    <row r="982" spans="1:34" x14ac:dyDescent="0.35">
      <c r="A982">
        <v>981</v>
      </c>
      <c r="B982" t="s">
        <v>39</v>
      </c>
      <c r="C982">
        <v>32</v>
      </c>
      <c r="D982" t="s">
        <v>25</v>
      </c>
      <c r="E982" t="s">
        <v>22</v>
      </c>
      <c r="F982" t="s">
        <v>22</v>
      </c>
      <c r="G982">
        <v>0</v>
      </c>
      <c r="H982">
        <v>157.9</v>
      </c>
      <c r="I982">
        <v>88</v>
      </c>
      <c r="J982">
        <v>26.84</v>
      </c>
      <c r="K982">
        <v>180.8</v>
      </c>
      <c r="L982">
        <v>132</v>
      </c>
      <c r="M982">
        <v>15.37</v>
      </c>
      <c r="N982">
        <v>132.5</v>
      </c>
      <c r="O982">
        <v>102</v>
      </c>
      <c r="P982">
        <v>5.96</v>
      </c>
      <c r="Q982">
        <v>12.8</v>
      </c>
      <c r="R982">
        <v>3</v>
      </c>
      <c r="S982">
        <v>3.46</v>
      </c>
      <c r="T982">
        <v>1</v>
      </c>
      <c r="U982" t="s">
        <v>22</v>
      </c>
      <c r="V982" t="e">
        <f>IF(#REF! = "yes", 1, 0)</f>
        <v>#REF!</v>
      </c>
      <c r="W982" t="e">
        <f>IF(#REF! &lt;= 1, "0-1 Calls", IF(#REF! &lt;= 3, "2-3 Calls", IF(#REF! &lt;=5, "4-5 Calls", "6+ Calls")))</f>
        <v>#REF!</v>
      </c>
      <c r="X982" t="e">
        <f>IF(#REF! &lt;= 50, "0-50", IF(#REF! &lt;=100, "51-100", IF(#REF! &lt;= 150, "101-150", "151+")))</f>
        <v>#REF!</v>
      </c>
      <c r="Y982" t="e">
        <f>IF(#REF! &lt;= 3, "Low Charges", "High Charges")</f>
        <v>#REF!</v>
      </c>
      <c r="Z982" t="e">
        <f>IF(#REF!&lt;=80,"Low Calls",
IF(#REF!&lt;=120,"Medium Calls","High Calls"))</f>
        <v>#REF!</v>
      </c>
      <c r="AA982" t="e">
        <f>IF(#REF!&lt;=15,"Low Charges",
IF(#REF!&lt;=20,"Medium Charges","High Charges"))</f>
        <v>#REF!</v>
      </c>
      <c r="AB982" t="e">
        <f>IF(AND(#REF!&gt;180, #REF!&gt;200), "Heavy Doemstic User", IF(#REF!&gt;10, "Interntional User", IF(AND(#REF!&lt;180, #REF!&lt;200,#REF!&lt;200), "Light User", "Balanced User")))</f>
        <v>#REF!</v>
      </c>
      <c r="AC982" t="e">
        <f>IF(#REF! = 0, "No Usage", IF(#REF! &lt;= 20, "Low Usage", IF(#REF! &lt;= 40, "Medium Usgae", "High Usage")))</f>
        <v>#REF!</v>
      </c>
      <c r="AD982" t="e">
        <f>IF(#REF!&lt;=150,"Low Usage", IF(#REF!&lt;=200,"Medium Usage", IF(#REF!&lt;=250,"High Usage","Very High Usage")))</f>
        <v>#REF!</v>
      </c>
      <c r="AE982" t="e">
        <f>IF(#REF!&lt;=5,"Low Calls", IF(#REF!&lt;=10, "Medium Calls", "High Calls"))</f>
        <v>#REF!</v>
      </c>
      <c r="AF982" t="e">
        <f xml:space="preserve">
IF(#REF!&gt;=4,4,0)+
IF(#REF!="yes",3,0)+
IF(#REF!="High Charges",3,0)+
IF(#REF!&gt;250,4,0)+
IF(#REF!="no",1,0)+
IF(#REF!="Heavy Domestic User",2,0)</f>
        <v>#REF!</v>
      </c>
      <c r="AG982" t="e">
        <f>IF(#REF!&gt;=10,"High Risk", IF(#REF!&gt;=5,"Medium Risk","Low Risk"))</f>
        <v>#REF!</v>
      </c>
      <c r="AH982" t="e">
        <f>#REF! + #REF! + #REF! + #REF!</f>
        <v>#REF!</v>
      </c>
    </row>
    <row r="983" spans="1:34" x14ac:dyDescent="0.35">
      <c r="A983">
        <v>982</v>
      </c>
      <c r="B983" t="s">
        <v>27</v>
      </c>
      <c r="C983">
        <v>166</v>
      </c>
      <c r="D983" t="s">
        <v>21</v>
      </c>
      <c r="E983" t="s">
        <v>22</v>
      </c>
      <c r="F983" t="s">
        <v>22</v>
      </c>
      <c r="G983">
        <v>0</v>
      </c>
      <c r="H983">
        <v>203.4</v>
      </c>
      <c r="I983">
        <v>81</v>
      </c>
      <c r="J983">
        <v>34.58</v>
      </c>
      <c r="K983">
        <v>167.7</v>
      </c>
      <c r="L983">
        <v>110</v>
      </c>
      <c r="M983">
        <v>14.25</v>
      </c>
      <c r="N983">
        <v>132</v>
      </c>
      <c r="O983">
        <v>124</v>
      </c>
      <c r="P983">
        <v>5.94</v>
      </c>
      <c r="Q983">
        <v>9.1999999999999993</v>
      </c>
      <c r="R983">
        <v>5</v>
      </c>
      <c r="S983">
        <v>2.48</v>
      </c>
      <c r="T983">
        <v>2</v>
      </c>
      <c r="U983" t="s">
        <v>22</v>
      </c>
      <c r="V983" t="e">
        <f>IF(#REF! = "yes", 1, 0)</f>
        <v>#REF!</v>
      </c>
      <c r="W983" t="e">
        <f>IF(#REF! &lt;= 1, "0-1 Calls", IF(#REF! &lt;= 3, "2-3 Calls", IF(#REF! &lt;=5, "4-5 Calls", "6+ Calls")))</f>
        <v>#REF!</v>
      </c>
      <c r="X983" t="e">
        <f>IF(#REF! &lt;= 50, "0-50", IF(#REF! &lt;=100, "51-100", IF(#REF! &lt;= 150, "101-150", "151+")))</f>
        <v>#REF!</v>
      </c>
      <c r="Y983" t="e">
        <f>IF(#REF! &lt;= 3, "Low Charges", "High Charges")</f>
        <v>#REF!</v>
      </c>
      <c r="Z983" t="e">
        <f>IF(#REF!&lt;=80,"Low Calls",
IF(#REF!&lt;=120,"Medium Calls","High Calls"))</f>
        <v>#REF!</v>
      </c>
      <c r="AA983" t="e">
        <f>IF(#REF!&lt;=15,"Low Charges",
IF(#REF!&lt;=20,"Medium Charges","High Charges"))</f>
        <v>#REF!</v>
      </c>
      <c r="AB983" t="e">
        <f>IF(AND(#REF!&gt;180, #REF!&gt;200), "Heavy Doemstic User", IF(#REF!&gt;10, "Interntional User", IF(AND(#REF!&lt;180, #REF!&lt;200,#REF!&lt;200), "Light User", "Balanced User")))</f>
        <v>#REF!</v>
      </c>
      <c r="AC983" t="e">
        <f>IF(#REF! = 0, "No Usage", IF(#REF! &lt;= 20, "Low Usage", IF(#REF! &lt;= 40, "Medium Usgae", "High Usage")))</f>
        <v>#REF!</v>
      </c>
      <c r="AD983" t="e">
        <f>IF(#REF!&lt;=150,"Low Usage", IF(#REF!&lt;=200,"Medium Usage", IF(#REF!&lt;=250,"High Usage","Very High Usage")))</f>
        <v>#REF!</v>
      </c>
      <c r="AE983" t="e">
        <f>IF(#REF!&lt;=5,"Low Calls", IF(#REF!&lt;=10, "Medium Calls", "High Calls"))</f>
        <v>#REF!</v>
      </c>
      <c r="AF983" t="e">
        <f xml:space="preserve">
IF(#REF!&gt;=4,4,0)+
IF(#REF!="yes",3,0)+
IF(#REF!="High Charges",3,0)+
IF(#REF!&gt;250,4,0)+
IF(#REF!="no",1,0)+
IF(#REF!="Heavy Domestic User",2,0)</f>
        <v>#REF!</v>
      </c>
      <c r="AG983" t="e">
        <f>IF(#REF!&gt;=10,"High Risk", IF(#REF!&gt;=5,"Medium Risk","Low Risk"))</f>
        <v>#REF!</v>
      </c>
      <c r="AH983" t="e">
        <f>#REF! + #REF! + #REF! + #REF!</f>
        <v>#REF!</v>
      </c>
    </row>
    <row r="984" spans="1:34" x14ac:dyDescent="0.35">
      <c r="A984">
        <v>983</v>
      </c>
      <c r="B984" t="s">
        <v>56</v>
      </c>
      <c r="C984">
        <v>72</v>
      </c>
      <c r="D984" t="s">
        <v>25</v>
      </c>
      <c r="E984" t="s">
        <v>22</v>
      </c>
      <c r="F984" t="s">
        <v>23</v>
      </c>
      <c r="G984">
        <v>39</v>
      </c>
      <c r="H984">
        <v>92.8</v>
      </c>
      <c r="I984">
        <v>98</v>
      </c>
      <c r="J984">
        <v>15.78</v>
      </c>
      <c r="K984">
        <v>271.2</v>
      </c>
      <c r="L984">
        <v>115</v>
      </c>
      <c r="M984">
        <v>23.05</v>
      </c>
      <c r="N984">
        <v>167.1</v>
      </c>
      <c r="O984">
        <v>83</v>
      </c>
      <c r="P984">
        <v>7.52</v>
      </c>
      <c r="Q984">
        <v>5.8</v>
      </c>
      <c r="R984">
        <v>7</v>
      </c>
      <c r="S984">
        <v>1.57</v>
      </c>
      <c r="T984">
        <v>1</v>
      </c>
      <c r="U984" t="s">
        <v>22</v>
      </c>
      <c r="V984" t="e">
        <f>IF(#REF! = "yes", 1, 0)</f>
        <v>#REF!</v>
      </c>
      <c r="W984" t="e">
        <f>IF(#REF! &lt;= 1, "0-1 Calls", IF(#REF! &lt;= 3, "2-3 Calls", IF(#REF! &lt;=5, "4-5 Calls", "6+ Calls")))</f>
        <v>#REF!</v>
      </c>
      <c r="X984" t="e">
        <f>IF(#REF! &lt;= 50, "0-50", IF(#REF! &lt;=100, "51-100", IF(#REF! &lt;= 150, "101-150", "151+")))</f>
        <v>#REF!</v>
      </c>
      <c r="Y984" t="e">
        <f>IF(#REF! &lt;= 3, "Low Charges", "High Charges")</f>
        <v>#REF!</v>
      </c>
      <c r="Z984" t="e">
        <f>IF(#REF!&lt;=80,"Low Calls",
IF(#REF!&lt;=120,"Medium Calls","High Calls"))</f>
        <v>#REF!</v>
      </c>
      <c r="AA984" t="e">
        <f>IF(#REF!&lt;=15,"Low Charges",
IF(#REF!&lt;=20,"Medium Charges","High Charges"))</f>
        <v>#REF!</v>
      </c>
      <c r="AB984" t="e">
        <f>IF(AND(#REF!&gt;180, #REF!&gt;200), "Heavy Doemstic User", IF(#REF!&gt;10, "Interntional User", IF(AND(#REF!&lt;180, #REF!&lt;200,#REF!&lt;200), "Light User", "Balanced User")))</f>
        <v>#REF!</v>
      </c>
      <c r="AC984" t="e">
        <f>IF(#REF! = 0, "No Usage", IF(#REF! &lt;= 20, "Low Usage", IF(#REF! &lt;= 40, "Medium Usgae", "High Usage")))</f>
        <v>#REF!</v>
      </c>
      <c r="AD984" t="e">
        <f>IF(#REF!&lt;=150,"Low Usage", IF(#REF!&lt;=200,"Medium Usage", IF(#REF!&lt;=250,"High Usage","Very High Usage")))</f>
        <v>#REF!</v>
      </c>
      <c r="AE984" t="e">
        <f>IF(#REF!&lt;=5,"Low Calls", IF(#REF!&lt;=10, "Medium Calls", "High Calls"))</f>
        <v>#REF!</v>
      </c>
      <c r="AF984" t="e">
        <f xml:space="preserve">
IF(#REF!&gt;=4,4,0)+
IF(#REF!="yes",3,0)+
IF(#REF!="High Charges",3,0)+
IF(#REF!&gt;250,4,0)+
IF(#REF!="no",1,0)+
IF(#REF!="Heavy Domestic User",2,0)</f>
        <v>#REF!</v>
      </c>
      <c r="AG984" t="e">
        <f>IF(#REF!&gt;=10,"High Risk", IF(#REF!&gt;=5,"Medium Risk","Low Risk"))</f>
        <v>#REF!</v>
      </c>
      <c r="AH984" t="e">
        <f>#REF! + #REF! + #REF! + #REF!</f>
        <v>#REF!</v>
      </c>
    </row>
    <row r="985" spans="1:34" x14ac:dyDescent="0.35">
      <c r="A985">
        <v>984</v>
      </c>
      <c r="B985" t="s">
        <v>34</v>
      </c>
      <c r="C985">
        <v>134</v>
      </c>
      <c r="D985" t="s">
        <v>21</v>
      </c>
      <c r="E985" t="s">
        <v>22</v>
      </c>
      <c r="F985" t="s">
        <v>23</v>
      </c>
      <c r="G985">
        <v>32</v>
      </c>
      <c r="H985">
        <v>216.8</v>
      </c>
      <c r="I985">
        <v>78</v>
      </c>
      <c r="J985">
        <v>36.86</v>
      </c>
      <c r="K985">
        <v>102.2</v>
      </c>
      <c r="L985">
        <v>111</v>
      </c>
      <c r="M985">
        <v>8.69</v>
      </c>
      <c r="N985">
        <v>174</v>
      </c>
      <c r="O985">
        <v>83</v>
      </c>
      <c r="P985">
        <v>7.83</v>
      </c>
      <c r="Q985">
        <v>8.6</v>
      </c>
      <c r="R985">
        <v>2</v>
      </c>
      <c r="S985">
        <v>2.3199999999999998</v>
      </c>
      <c r="T985">
        <v>0</v>
      </c>
      <c r="U985" t="s">
        <v>22</v>
      </c>
      <c r="V985" t="e">
        <f>IF(#REF! = "yes", 1, 0)</f>
        <v>#REF!</v>
      </c>
      <c r="W985" t="e">
        <f>IF(#REF! &lt;= 1, "0-1 Calls", IF(#REF! &lt;= 3, "2-3 Calls", IF(#REF! &lt;=5, "4-5 Calls", "6+ Calls")))</f>
        <v>#REF!</v>
      </c>
      <c r="X985" t="e">
        <f>IF(#REF! &lt;= 50, "0-50", IF(#REF! &lt;=100, "51-100", IF(#REF! &lt;= 150, "101-150", "151+")))</f>
        <v>#REF!</v>
      </c>
      <c r="Y985" t="e">
        <f>IF(#REF! &lt;= 3, "Low Charges", "High Charges")</f>
        <v>#REF!</v>
      </c>
      <c r="Z985" t="e">
        <f>IF(#REF!&lt;=80,"Low Calls",
IF(#REF!&lt;=120,"Medium Calls","High Calls"))</f>
        <v>#REF!</v>
      </c>
      <c r="AA985" t="e">
        <f>IF(#REF!&lt;=15,"Low Charges",
IF(#REF!&lt;=20,"Medium Charges","High Charges"))</f>
        <v>#REF!</v>
      </c>
      <c r="AB985" t="e">
        <f>IF(AND(#REF!&gt;180, #REF!&gt;200), "Heavy Doemstic User", IF(#REF!&gt;10, "Interntional User", IF(AND(#REF!&lt;180, #REF!&lt;200,#REF!&lt;200), "Light User", "Balanced User")))</f>
        <v>#REF!</v>
      </c>
      <c r="AC985" t="e">
        <f>IF(#REF! = 0, "No Usage", IF(#REF! &lt;= 20, "Low Usage", IF(#REF! &lt;= 40, "Medium Usgae", "High Usage")))</f>
        <v>#REF!</v>
      </c>
      <c r="AD985" t="e">
        <f>IF(#REF!&lt;=150,"Low Usage", IF(#REF!&lt;=200,"Medium Usage", IF(#REF!&lt;=250,"High Usage","Very High Usage")))</f>
        <v>#REF!</v>
      </c>
      <c r="AE985" t="e">
        <f>IF(#REF!&lt;=5,"Low Calls", IF(#REF!&lt;=10, "Medium Calls", "High Calls"))</f>
        <v>#REF!</v>
      </c>
      <c r="AF985" t="e">
        <f xml:space="preserve">
IF(#REF!&gt;=4,4,0)+
IF(#REF!="yes",3,0)+
IF(#REF!="High Charges",3,0)+
IF(#REF!&gt;250,4,0)+
IF(#REF!="no",1,0)+
IF(#REF!="Heavy Domestic User",2,0)</f>
        <v>#REF!</v>
      </c>
      <c r="AG985" t="e">
        <f>IF(#REF!&gt;=10,"High Risk", IF(#REF!&gt;=5,"Medium Risk","Low Risk"))</f>
        <v>#REF!</v>
      </c>
      <c r="AH985" t="e">
        <f>#REF! + #REF! + #REF! + #REF!</f>
        <v>#REF!</v>
      </c>
    </row>
    <row r="986" spans="1:34" x14ac:dyDescent="0.35">
      <c r="A986">
        <v>985</v>
      </c>
      <c r="B986" t="s">
        <v>46</v>
      </c>
      <c r="C986">
        <v>13</v>
      </c>
      <c r="D986" t="s">
        <v>21</v>
      </c>
      <c r="E986" t="s">
        <v>22</v>
      </c>
      <c r="F986" t="s">
        <v>22</v>
      </c>
      <c r="G986">
        <v>0</v>
      </c>
      <c r="H986">
        <v>193.2</v>
      </c>
      <c r="I986">
        <v>89</v>
      </c>
      <c r="J986">
        <v>32.840000000000003</v>
      </c>
      <c r="K986">
        <v>194.4</v>
      </c>
      <c r="L986">
        <v>90</v>
      </c>
      <c r="M986">
        <v>16.52</v>
      </c>
      <c r="N986">
        <v>186.5</v>
      </c>
      <c r="O986">
        <v>104</v>
      </c>
      <c r="P986">
        <v>8.39</v>
      </c>
      <c r="Q986">
        <v>9.6999999999999993</v>
      </c>
      <c r="R986">
        <v>2</v>
      </c>
      <c r="S986">
        <v>2.62</v>
      </c>
      <c r="T986">
        <v>4</v>
      </c>
      <c r="U986" t="s">
        <v>22</v>
      </c>
      <c r="V986" t="e">
        <f>IF(#REF! = "yes", 1, 0)</f>
        <v>#REF!</v>
      </c>
      <c r="W986" t="e">
        <f>IF(#REF! &lt;= 1, "0-1 Calls", IF(#REF! &lt;= 3, "2-3 Calls", IF(#REF! &lt;=5, "4-5 Calls", "6+ Calls")))</f>
        <v>#REF!</v>
      </c>
      <c r="X986" t="e">
        <f>IF(#REF! &lt;= 50, "0-50", IF(#REF! &lt;=100, "51-100", IF(#REF! &lt;= 150, "101-150", "151+")))</f>
        <v>#REF!</v>
      </c>
      <c r="Y986" t="e">
        <f>IF(#REF! &lt;= 3, "Low Charges", "High Charges")</f>
        <v>#REF!</v>
      </c>
      <c r="Z986" t="e">
        <f>IF(#REF!&lt;=80,"Low Calls",
IF(#REF!&lt;=120,"Medium Calls","High Calls"))</f>
        <v>#REF!</v>
      </c>
      <c r="AA986" t="e">
        <f>IF(#REF!&lt;=15,"Low Charges",
IF(#REF!&lt;=20,"Medium Charges","High Charges"))</f>
        <v>#REF!</v>
      </c>
      <c r="AB986" t="e">
        <f>IF(AND(#REF!&gt;180, #REF!&gt;200), "Heavy Doemstic User", IF(#REF!&gt;10, "Interntional User", IF(AND(#REF!&lt;180, #REF!&lt;200,#REF!&lt;200), "Light User", "Balanced User")))</f>
        <v>#REF!</v>
      </c>
      <c r="AC986" t="e">
        <f>IF(#REF! = 0, "No Usage", IF(#REF! &lt;= 20, "Low Usage", IF(#REF! &lt;= 40, "Medium Usgae", "High Usage")))</f>
        <v>#REF!</v>
      </c>
      <c r="AD986" t="e">
        <f>IF(#REF!&lt;=150,"Low Usage", IF(#REF!&lt;=200,"Medium Usage", IF(#REF!&lt;=250,"High Usage","Very High Usage")))</f>
        <v>#REF!</v>
      </c>
      <c r="AE986" t="e">
        <f>IF(#REF!&lt;=5,"Low Calls", IF(#REF!&lt;=10, "Medium Calls", "High Calls"))</f>
        <v>#REF!</v>
      </c>
      <c r="AF986" t="e">
        <f xml:space="preserve">
IF(#REF!&gt;=4,4,0)+
IF(#REF!="yes",3,0)+
IF(#REF!="High Charges",3,0)+
IF(#REF!&gt;250,4,0)+
IF(#REF!="no",1,0)+
IF(#REF!="Heavy Domestic User",2,0)</f>
        <v>#REF!</v>
      </c>
      <c r="AG986" t="e">
        <f>IF(#REF!&gt;=10,"High Risk", IF(#REF!&gt;=5,"Medium Risk","Low Risk"))</f>
        <v>#REF!</v>
      </c>
      <c r="AH986" t="e">
        <f>#REF! + #REF! + #REF! + #REF!</f>
        <v>#REF!</v>
      </c>
    </row>
    <row r="987" spans="1:34" x14ac:dyDescent="0.35">
      <c r="A987">
        <v>986</v>
      </c>
      <c r="B987" t="s">
        <v>48</v>
      </c>
      <c r="C987">
        <v>90</v>
      </c>
      <c r="D987" t="s">
        <v>21</v>
      </c>
      <c r="E987" t="s">
        <v>22</v>
      </c>
      <c r="F987" t="s">
        <v>22</v>
      </c>
      <c r="G987">
        <v>0</v>
      </c>
      <c r="H987">
        <v>113.2</v>
      </c>
      <c r="I987">
        <v>108</v>
      </c>
      <c r="J987">
        <v>19.239999999999998</v>
      </c>
      <c r="K987">
        <v>189.3</v>
      </c>
      <c r="L987">
        <v>63</v>
      </c>
      <c r="M987">
        <v>16.09</v>
      </c>
      <c r="N987">
        <v>271.8</v>
      </c>
      <c r="O987">
        <v>124</v>
      </c>
      <c r="P987">
        <v>12.23</v>
      </c>
      <c r="Q987">
        <v>14.1</v>
      </c>
      <c r="R987">
        <v>4</v>
      </c>
      <c r="S987">
        <v>3.81</v>
      </c>
      <c r="T987">
        <v>3</v>
      </c>
      <c r="U987" t="s">
        <v>22</v>
      </c>
      <c r="V987" t="e">
        <f>IF(#REF! = "yes", 1, 0)</f>
        <v>#REF!</v>
      </c>
      <c r="W987" t="e">
        <f>IF(#REF! &lt;= 1, "0-1 Calls", IF(#REF! &lt;= 3, "2-3 Calls", IF(#REF! &lt;=5, "4-5 Calls", "6+ Calls")))</f>
        <v>#REF!</v>
      </c>
      <c r="X987" t="e">
        <f>IF(#REF! &lt;= 50, "0-50", IF(#REF! &lt;=100, "51-100", IF(#REF! &lt;= 150, "101-150", "151+")))</f>
        <v>#REF!</v>
      </c>
      <c r="Y987" t="e">
        <f>IF(#REF! &lt;= 3, "Low Charges", "High Charges")</f>
        <v>#REF!</v>
      </c>
      <c r="Z987" t="e">
        <f>IF(#REF!&lt;=80,"Low Calls",
IF(#REF!&lt;=120,"Medium Calls","High Calls"))</f>
        <v>#REF!</v>
      </c>
      <c r="AA987" t="e">
        <f>IF(#REF!&lt;=15,"Low Charges",
IF(#REF!&lt;=20,"Medium Charges","High Charges"))</f>
        <v>#REF!</v>
      </c>
      <c r="AB987" t="e">
        <f>IF(AND(#REF!&gt;180, #REF!&gt;200), "Heavy Doemstic User", IF(#REF!&gt;10, "Interntional User", IF(AND(#REF!&lt;180, #REF!&lt;200,#REF!&lt;200), "Light User", "Balanced User")))</f>
        <v>#REF!</v>
      </c>
      <c r="AC987" t="e">
        <f>IF(#REF! = 0, "No Usage", IF(#REF! &lt;= 20, "Low Usage", IF(#REF! &lt;= 40, "Medium Usgae", "High Usage")))</f>
        <v>#REF!</v>
      </c>
      <c r="AD987" t="e">
        <f>IF(#REF!&lt;=150,"Low Usage", IF(#REF!&lt;=200,"Medium Usage", IF(#REF!&lt;=250,"High Usage","Very High Usage")))</f>
        <v>#REF!</v>
      </c>
      <c r="AE987" t="e">
        <f>IF(#REF!&lt;=5,"Low Calls", IF(#REF!&lt;=10, "Medium Calls", "High Calls"))</f>
        <v>#REF!</v>
      </c>
      <c r="AF987" t="e">
        <f xml:space="preserve">
IF(#REF!&gt;=4,4,0)+
IF(#REF!="yes",3,0)+
IF(#REF!="High Charges",3,0)+
IF(#REF!&gt;250,4,0)+
IF(#REF!="no",1,0)+
IF(#REF!="Heavy Domestic User",2,0)</f>
        <v>#REF!</v>
      </c>
      <c r="AG987" t="e">
        <f>IF(#REF!&gt;=10,"High Risk", IF(#REF!&gt;=5,"Medium Risk","Low Risk"))</f>
        <v>#REF!</v>
      </c>
      <c r="AH987" t="e">
        <f>#REF! + #REF! + #REF! + #REF!</f>
        <v>#REF!</v>
      </c>
    </row>
    <row r="988" spans="1:34" x14ac:dyDescent="0.35">
      <c r="A988">
        <v>987</v>
      </c>
      <c r="B988" t="s">
        <v>51</v>
      </c>
      <c r="C988">
        <v>111</v>
      </c>
      <c r="D988" t="s">
        <v>21</v>
      </c>
      <c r="E988" t="s">
        <v>22</v>
      </c>
      <c r="F988" t="s">
        <v>23</v>
      </c>
      <c r="G988">
        <v>36</v>
      </c>
      <c r="H988">
        <v>166.2</v>
      </c>
      <c r="I988">
        <v>54</v>
      </c>
      <c r="J988">
        <v>28.25</v>
      </c>
      <c r="K988">
        <v>238.8</v>
      </c>
      <c r="L988">
        <v>109</v>
      </c>
      <c r="M988">
        <v>20.3</v>
      </c>
      <c r="N988">
        <v>108.8</v>
      </c>
      <c r="O988">
        <v>92</v>
      </c>
      <c r="P988">
        <v>4.9000000000000004</v>
      </c>
      <c r="Q988">
        <v>11.2</v>
      </c>
      <c r="R988">
        <v>2</v>
      </c>
      <c r="S988">
        <v>3.02</v>
      </c>
      <c r="T988">
        <v>3</v>
      </c>
      <c r="U988" t="s">
        <v>22</v>
      </c>
      <c r="V988" t="e">
        <f>IF(#REF! = "yes", 1, 0)</f>
        <v>#REF!</v>
      </c>
      <c r="W988" t="e">
        <f>IF(#REF! &lt;= 1, "0-1 Calls", IF(#REF! &lt;= 3, "2-3 Calls", IF(#REF! &lt;=5, "4-5 Calls", "6+ Calls")))</f>
        <v>#REF!</v>
      </c>
      <c r="X988" t="e">
        <f>IF(#REF! &lt;= 50, "0-50", IF(#REF! &lt;=100, "51-100", IF(#REF! &lt;= 150, "101-150", "151+")))</f>
        <v>#REF!</v>
      </c>
      <c r="Y988" t="e">
        <f>IF(#REF! &lt;= 3, "Low Charges", "High Charges")</f>
        <v>#REF!</v>
      </c>
      <c r="Z988" t="e">
        <f>IF(#REF!&lt;=80,"Low Calls",
IF(#REF!&lt;=120,"Medium Calls","High Calls"))</f>
        <v>#REF!</v>
      </c>
      <c r="AA988" t="e">
        <f>IF(#REF!&lt;=15,"Low Charges",
IF(#REF!&lt;=20,"Medium Charges","High Charges"))</f>
        <v>#REF!</v>
      </c>
      <c r="AB988" t="e">
        <f>IF(AND(#REF!&gt;180, #REF!&gt;200), "Heavy Doemstic User", IF(#REF!&gt;10, "Interntional User", IF(AND(#REF!&lt;180, #REF!&lt;200,#REF!&lt;200), "Light User", "Balanced User")))</f>
        <v>#REF!</v>
      </c>
      <c r="AC988" t="e">
        <f>IF(#REF! = 0, "No Usage", IF(#REF! &lt;= 20, "Low Usage", IF(#REF! &lt;= 40, "Medium Usgae", "High Usage")))</f>
        <v>#REF!</v>
      </c>
      <c r="AD988" t="e">
        <f>IF(#REF!&lt;=150,"Low Usage", IF(#REF!&lt;=200,"Medium Usage", IF(#REF!&lt;=250,"High Usage","Very High Usage")))</f>
        <v>#REF!</v>
      </c>
      <c r="AE988" t="e">
        <f>IF(#REF!&lt;=5,"Low Calls", IF(#REF!&lt;=10, "Medium Calls", "High Calls"))</f>
        <v>#REF!</v>
      </c>
      <c r="AF988" t="e">
        <f xml:space="preserve">
IF(#REF!&gt;=4,4,0)+
IF(#REF!="yes",3,0)+
IF(#REF!="High Charges",3,0)+
IF(#REF!&gt;250,4,0)+
IF(#REF!="no",1,0)+
IF(#REF!="Heavy Domestic User",2,0)</f>
        <v>#REF!</v>
      </c>
      <c r="AG988" t="e">
        <f>IF(#REF!&gt;=10,"High Risk", IF(#REF!&gt;=5,"Medium Risk","Low Risk"))</f>
        <v>#REF!</v>
      </c>
      <c r="AH988" t="e">
        <f>#REF! + #REF! + #REF! + #REF!</f>
        <v>#REF!</v>
      </c>
    </row>
    <row r="989" spans="1:34" x14ac:dyDescent="0.35">
      <c r="A989">
        <v>988</v>
      </c>
      <c r="B989" t="s">
        <v>43</v>
      </c>
      <c r="C989">
        <v>72</v>
      </c>
      <c r="D989" t="s">
        <v>21</v>
      </c>
      <c r="E989" t="s">
        <v>22</v>
      </c>
      <c r="F989" t="s">
        <v>22</v>
      </c>
      <c r="G989">
        <v>0</v>
      </c>
      <c r="H989">
        <v>207.8</v>
      </c>
      <c r="I989">
        <v>92</v>
      </c>
      <c r="J989">
        <v>35.33</v>
      </c>
      <c r="K989">
        <v>195.7</v>
      </c>
      <c r="L989">
        <v>110</v>
      </c>
      <c r="M989">
        <v>16.63</v>
      </c>
      <c r="N989">
        <v>184.8</v>
      </c>
      <c r="O989">
        <v>124</v>
      </c>
      <c r="P989">
        <v>8.32</v>
      </c>
      <c r="Q989">
        <v>13.1</v>
      </c>
      <c r="R989">
        <v>4</v>
      </c>
      <c r="S989">
        <v>3.54</v>
      </c>
      <c r="T989">
        <v>0</v>
      </c>
      <c r="U989" t="s">
        <v>22</v>
      </c>
      <c r="V989" t="e">
        <f>IF(#REF! = "yes", 1, 0)</f>
        <v>#REF!</v>
      </c>
      <c r="W989" t="e">
        <f>IF(#REF! &lt;= 1, "0-1 Calls", IF(#REF! &lt;= 3, "2-3 Calls", IF(#REF! &lt;=5, "4-5 Calls", "6+ Calls")))</f>
        <v>#REF!</v>
      </c>
      <c r="X989" t="e">
        <f>IF(#REF! &lt;= 50, "0-50", IF(#REF! &lt;=100, "51-100", IF(#REF! &lt;= 150, "101-150", "151+")))</f>
        <v>#REF!</v>
      </c>
      <c r="Y989" t="e">
        <f>IF(#REF! &lt;= 3, "Low Charges", "High Charges")</f>
        <v>#REF!</v>
      </c>
      <c r="Z989" t="e">
        <f>IF(#REF!&lt;=80,"Low Calls",
IF(#REF!&lt;=120,"Medium Calls","High Calls"))</f>
        <v>#REF!</v>
      </c>
      <c r="AA989" t="e">
        <f>IF(#REF!&lt;=15,"Low Charges",
IF(#REF!&lt;=20,"Medium Charges","High Charges"))</f>
        <v>#REF!</v>
      </c>
      <c r="AB989" t="e">
        <f>IF(AND(#REF!&gt;180, #REF!&gt;200), "Heavy Doemstic User", IF(#REF!&gt;10, "Interntional User", IF(AND(#REF!&lt;180, #REF!&lt;200,#REF!&lt;200), "Light User", "Balanced User")))</f>
        <v>#REF!</v>
      </c>
      <c r="AC989" t="e">
        <f>IF(#REF! = 0, "No Usage", IF(#REF! &lt;= 20, "Low Usage", IF(#REF! &lt;= 40, "Medium Usgae", "High Usage")))</f>
        <v>#REF!</v>
      </c>
      <c r="AD989" t="e">
        <f>IF(#REF!&lt;=150,"Low Usage", IF(#REF!&lt;=200,"Medium Usage", IF(#REF!&lt;=250,"High Usage","Very High Usage")))</f>
        <v>#REF!</v>
      </c>
      <c r="AE989" t="e">
        <f>IF(#REF!&lt;=5,"Low Calls", IF(#REF!&lt;=10, "Medium Calls", "High Calls"))</f>
        <v>#REF!</v>
      </c>
      <c r="AF989" t="e">
        <f xml:space="preserve">
IF(#REF!&gt;=4,4,0)+
IF(#REF!="yes",3,0)+
IF(#REF!="High Charges",3,0)+
IF(#REF!&gt;250,4,0)+
IF(#REF!="no",1,0)+
IF(#REF!="Heavy Domestic User",2,0)</f>
        <v>#REF!</v>
      </c>
      <c r="AG989" t="e">
        <f>IF(#REF!&gt;=10,"High Risk", IF(#REF!&gt;=5,"Medium Risk","Low Risk"))</f>
        <v>#REF!</v>
      </c>
      <c r="AH989" t="e">
        <f>#REF! + #REF! + #REF! + #REF!</f>
        <v>#REF!</v>
      </c>
    </row>
    <row r="990" spans="1:34" x14ac:dyDescent="0.35">
      <c r="A990">
        <v>989</v>
      </c>
      <c r="B990" t="s">
        <v>53</v>
      </c>
      <c r="C990">
        <v>67</v>
      </c>
      <c r="D990" t="s">
        <v>28</v>
      </c>
      <c r="E990" t="s">
        <v>22</v>
      </c>
      <c r="F990" t="s">
        <v>23</v>
      </c>
      <c r="G990">
        <v>35</v>
      </c>
      <c r="H990">
        <v>245.4</v>
      </c>
      <c r="I990">
        <v>89</v>
      </c>
      <c r="J990">
        <v>41.72</v>
      </c>
      <c r="K990">
        <v>148.19999999999999</v>
      </c>
      <c r="L990">
        <v>102</v>
      </c>
      <c r="M990">
        <v>12.6</v>
      </c>
      <c r="N990">
        <v>274</v>
      </c>
      <c r="O990">
        <v>136</v>
      </c>
      <c r="P990">
        <v>12.33</v>
      </c>
      <c r="Q990">
        <v>7.5</v>
      </c>
      <c r="R990">
        <v>6</v>
      </c>
      <c r="S990">
        <v>2.0299999999999998</v>
      </c>
      <c r="T990">
        <v>1</v>
      </c>
      <c r="U990" t="s">
        <v>22</v>
      </c>
      <c r="V990" t="e">
        <f>IF(#REF! = "yes", 1, 0)</f>
        <v>#REF!</v>
      </c>
      <c r="W990" t="e">
        <f>IF(#REF! &lt;= 1, "0-1 Calls", IF(#REF! &lt;= 3, "2-3 Calls", IF(#REF! &lt;=5, "4-5 Calls", "6+ Calls")))</f>
        <v>#REF!</v>
      </c>
      <c r="X990" t="e">
        <f>IF(#REF! &lt;= 50, "0-50", IF(#REF! &lt;=100, "51-100", IF(#REF! &lt;= 150, "101-150", "151+")))</f>
        <v>#REF!</v>
      </c>
      <c r="Y990" t="e">
        <f>IF(#REF! &lt;= 3, "Low Charges", "High Charges")</f>
        <v>#REF!</v>
      </c>
      <c r="Z990" t="e">
        <f>IF(#REF!&lt;=80,"Low Calls",
IF(#REF!&lt;=120,"Medium Calls","High Calls"))</f>
        <v>#REF!</v>
      </c>
      <c r="AA990" t="e">
        <f>IF(#REF!&lt;=15,"Low Charges",
IF(#REF!&lt;=20,"Medium Charges","High Charges"))</f>
        <v>#REF!</v>
      </c>
      <c r="AB990" t="e">
        <f>IF(AND(#REF!&gt;180, #REF!&gt;200), "Heavy Doemstic User", IF(#REF!&gt;10, "Interntional User", IF(AND(#REF!&lt;180, #REF!&lt;200,#REF!&lt;200), "Light User", "Balanced User")))</f>
        <v>#REF!</v>
      </c>
      <c r="AC990" t="e">
        <f>IF(#REF! = 0, "No Usage", IF(#REF! &lt;= 20, "Low Usage", IF(#REF! &lt;= 40, "Medium Usgae", "High Usage")))</f>
        <v>#REF!</v>
      </c>
      <c r="AD990" t="e">
        <f>IF(#REF!&lt;=150,"Low Usage", IF(#REF!&lt;=200,"Medium Usage", IF(#REF!&lt;=250,"High Usage","Very High Usage")))</f>
        <v>#REF!</v>
      </c>
      <c r="AE990" t="e">
        <f>IF(#REF!&lt;=5,"Low Calls", IF(#REF!&lt;=10, "Medium Calls", "High Calls"))</f>
        <v>#REF!</v>
      </c>
      <c r="AF990" t="e">
        <f xml:space="preserve">
IF(#REF!&gt;=4,4,0)+
IF(#REF!="yes",3,0)+
IF(#REF!="High Charges",3,0)+
IF(#REF!&gt;250,4,0)+
IF(#REF!="no",1,0)+
IF(#REF!="Heavy Domestic User",2,0)</f>
        <v>#REF!</v>
      </c>
      <c r="AG990" t="e">
        <f>IF(#REF!&gt;=10,"High Risk", IF(#REF!&gt;=5,"Medium Risk","Low Risk"))</f>
        <v>#REF!</v>
      </c>
      <c r="AH990" t="e">
        <f>#REF! + #REF! + #REF! + #REF!</f>
        <v>#REF!</v>
      </c>
    </row>
    <row r="991" spans="1:34" x14ac:dyDescent="0.35">
      <c r="A991">
        <v>990</v>
      </c>
      <c r="B991" t="s">
        <v>49</v>
      </c>
      <c r="C991">
        <v>172</v>
      </c>
      <c r="D991" t="s">
        <v>25</v>
      </c>
      <c r="E991" t="s">
        <v>22</v>
      </c>
      <c r="F991" t="s">
        <v>22</v>
      </c>
      <c r="G991">
        <v>0</v>
      </c>
      <c r="H991">
        <v>287.10000000000002</v>
      </c>
      <c r="I991">
        <v>108</v>
      </c>
      <c r="J991">
        <v>48.81</v>
      </c>
      <c r="K991">
        <v>178.4</v>
      </c>
      <c r="L991">
        <v>125</v>
      </c>
      <c r="M991">
        <v>15.16</v>
      </c>
      <c r="N991">
        <v>153.19999999999999</v>
      </c>
      <c r="O991">
        <v>98</v>
      </c>
      <c r="P991">
        <v>6.89</v>
      </c>
      <c r="Q991">
        <v>14.4</v>
      </c>
      <c r="R991">
        <v>2</v>
      </c>
      <c r="S991">
        <v>3.89</v>
      </c>
      <c r="T991">
        <v>3</v>
      </c>
      <c r="U991" t="s">
        <v>23</v>
      </c>
      <c r="V991" t="e">
        <f>IF(#REF! = "yes", 1, 0)</f>
        <v>#REF!</v>
      </c>
      <c r="W991" t="e">
        <f>IF(#REF! &lt;= 1, "0-1 Calls", IF(#REF! &lt;= 3, "2-3 Calls", IF(#REF! &lt;=5, "4-5 Calls", "6+ Calls")))</f>
        <v>#REF!</v>
      </c>
      <c r="X991" t="e">
        <f>IF(#REF! &lt;= 50, "0-50", IF(#REF! &lt;=100, "51-100", IF(#REF! &lt;= 150, "101-150", "151+")))</f>
        <v>#REF!</v>
      </c>
      <c r="Y991" t="e">
        <f>IF(#REF! &lt;= 3, "Low Charges", "High Charges")</f>
        <v>#REF!</v>
      </c>
      <c r="Z991" t="e">
        <f>IF(#REF!&lt;=80,"Low Calls",
IF(#REF!&lt;=120,"Medium Calls","High Calls"))</f>
        <v>#REF!</v>
      </c>
      <c r="AA991" t="e">
        <f>IF(#REF!&lt;=15,"Low Charges",
IF(#REF!&lt;=20,"Medium Charges","High Charges"))</f>
        <v>#REF!</v>
      </c>
      <c r="AB991" t="e">
        <f>IF(AND(#REF!&gt;180, #REF!&gt;200), "Heavy Doemstic User", IF(#REF!&gt;10, "Interntional User", IF(AND(#REF!&lt;180, #REF!&lt;200,#REF!&lt;200), "Light User", "Balanced User")))</f>
        <v>#REF!</v>
      </c>
      <c r="AC991" t="e">
        <f>IF(#REF! = 0, "No Usage", IF(#REF! &lt;= 20, "Low Usage", IF(#REF! &lt;= 40, "Medium Usgae", "High Usage")))</f>
        <v>#REF!</v>
      </c>
      <c r="AD991" t="e">
        <f>IF(#REF!&lt;=150,"Low Usage", IF(#REF!&lt;=200,"Medium Usage", IF(#REF!&lt;=250,"High Usage","Very High Usage")))</f>
        <v>#REF!</v>
      </c>
      <c r="AE991" t="e">
        <f>IF(#REF!&lt;=5,"Low Calls", IF(#REF!&lt;=10, "Medium Calls", "High Calls"))</f>
        <v>#REF!</v>
      </c>
      <c r="AF991" t="e">
        <f xml:space="preserve">
IF(#REF!&gt;=4,4,0)+
IF(#REF!="yes",3,0)+
IF(#REF!="High Charges",3,0)+
IF(#REF!&gt;250,4,0)+
IF(#REF!="no",1,0)+
IF(#REF!="Heavy Domestic User",2,0)</f>
        <v>#REF!</v>
      </c>
      <c r="AG991" t="e">
        <f>IF(#REF!&gt;=10,"High Risk", IF(#REF!&gt;=5,"Medium Risk","Low Risk"))</f>
        <v>#REF!</v>
      </c>
      <c r="AH991" t="e">
        <f>#REF! + #REF! + #REF! + #REF!</f>
        <v>#REF!</v>
      </c>
    </row>
    <row r="992" spans="1:34" x14ac:dyDescent="0.35">
      <c r="A992">
        <v>991</v>
      </c>
      <c r="B992" t="s">
        <v>32</v>
      </c>
      <c r="C992">
        <v>154</v>
      </c>
      <c r="D992" t="s">
        <v>28</v>
      </c>
      <c r="E992" t="s">
        <v>22</v>
      </c>
      <c r="F992" t="s">
        <v>23</v>
      </c>
      <c r="G992">
        <v>32</v>
      </c>
      <c r="H992">
        <v>192.3</v>
      </c>
      <c r="I992">
        <v>82</v>
      </c>
      <c r="J992">
        <v>32.69</v>
      </c>
      <c r="K992">
        <v>165.3</v>
      </c>
      <c r="L992">
        <v>134</v>
      </c>
      <c r="M992">
        <v>14.05</v>
      </c>
      <c r="N992">
        <v>205</v>
      </c>
      <c r="O992">
        <v>74</v>
      </c>
      <c r="P992">
        <v>9.23</v>
      </c>
      <c r="Q992">
        <v>9</v>
      </c>
      <c r="R992">
        <v>1</v>
      </c>
      <c r="S992">
        <v>2.4300000000000002</v>
      </c>
      <c r="T992">
        <v>2</v>
      </c>
      <c r="U992" t="s">
        <v>22</v>
      </c>
      <c r="V992" t="e">
        <f>IF(#REF! = "yes", 1, 0)</f>
        <v>#REF!</v>
      </c>
      <c r="W992" t="e">
        <f>IF(#REF! &lt;= 1, "0-1 Calls", IF(#REF! &lt;= 3, "2-3 Calls", IF(#REF! &lt;=5, "4-5 Calls", "6+ Calls")))</f>
        <v>#REF!</v>
      </c>
      <c r="X992" t="e">
        <f>IF(#REF! &lt;= 50, "0-50", IF(#REF! &lt;=100, "51-100", IF(#REF! &lt;= 150, "101-150", "151+")))</f>
        <v>#REF!</v>
      </c>
      <c r="Y992" t="e">
        <f>IF(#REF! &lt;= 3, "Low Charges", "High Charges")</f>
        <v>#REF!</v>
      </c>
      <c r="Z992" t="e">
        <f>IF(#REF!&lt;=80,"Low Calls",
IF(#REF!&lt;=120,"Medium Calls","High Calls"))</f>
        <v>#REF!</v>
      </c>
      <c r="AA992" t="e">
        <f>IF(#REF!&lt;=15,"Low Charges",
IF(#REF!&lt;=20,"Medium Charges","High Charges"))</f>
        <v>#REF!</v>
      </c>
      <c r="AB992" t="e">
        <f>IF(AND(#REF!&gt;180, #REF!&gt;200), "Heavy Doemstic User", IF(#REF!&gt;10, "Interntional User", IF(AND(#REF!&lt;180, #REF!&lt;200,#REF!&lt;200), "Light User", "Balanced User")))</f>
        <v>#REF!</v>
      </c>
      <c r="AC992" t="e">
        <f>IF(#REF! = 0, "No Usage", IF(#REF! &lt;= 20, "Low Usage", IF(#REF! &lt;= 40, "Medium Usgae", "High Usage")))</f>
        <v>#REF!</v>
      </c>
      <c r="AD992" t="e">
        <f>IF(#REF!&lt;=150,"Low Usage", IF(#REF!&lt;=200,"Medium Usage", IF(#REF!&lt;=250,"High Usage","Very High Usage")))</f>
        <v>#REF!</v>
      </c>
      <c r="AE992" t="e">
        <f>IF(#REF!&lt;=5,"Low Calls", IF(#REF!&lt;=10, "Medium Calls", "High Calls"))</f>
        <v>#REF!</v>
      </c>
      <c r="AF992" t="e">
        <f xml:space="preserve">
IF(#REF!&gt;=4,4,0)+
IF(#REF!="yes",3,0)+
IF(#REF!="High Charges",3,0)+
IF(#REF!&gt;250,4,0)+
IF(#REF!="no",1,0)+
IF(#REF!="Heavy Domestic User",2,0)</f>
        <v>#REF!</v>
      </c>
      <c r="AG992" t="e">
        <f>IF(#REF!&gt;=10,"High Risk", IF(#REF!&gt;=5,"Medium Risk","Low Risk"))</f>
        <v>#REF!</v>
      </c>
      <c r="AH992" t="e">
        <f>#REF! + #REF! + #REF! + #REF!</f>
        <v>#REF!</v>
      </c>
    </row>
    <row r="993" spans="1:34" x14ac:dyDescent="0.35">
      <c r="A993">
        <v>992</v>
      </c>
      <c r="B993" t="s">
        <v>66</v>
      </c>
      <c r="C993">
        <v>69</v>
      </c>
      <c r="D993" t="s">
        <v>28</v>
      </c>
      <c r="E993" t="s">
        <v>22</v>
      </c>
      <c r="F993" t="s">
        <v>22</v>
      </c>
      <c r="G993">
        <v>0</v>
      </c>
      <c r="H993">
        <v>194.2</v>
      </c>
      <c r="I993">
        <v>122</v>
      </c>
      <c r="J993">
        <v>33.01</v>
      </c>
      <c r="K993">
        <v>242.1</v>
      </c>
      <c r="L993">
        <v>81</v>
      </c>
      <c r="M993">
        <v>20.58</v>
      </c>
      <c r="N993">
        <v>215.8</v>
      </c>
      <c r="O993">
        <v>80</v>
      </c>
      <c r="P993">
        <v>9.7100000000000009</v>
      </c>
      <c r="Q993">
        <v>9.6999999999999993</v>
      </c>
      <c r="R993">
        <v>3</v>
      </c>
      <c r="S993">
        <v>2.62</v>
      </c>
      <c r="T993">
        <v>2</v>
      </c>
      <c r="U993" t="s">
        <v>22</v>
      </c>
      <c r="V993" t="e">
        <f>IF(#REF! = "yes", 1, 0)</f>
        <v>#REF!</v>
      </c>
      <c r="W993" t="e">
        <f>IF(#REF! &lt;= 1, "0-1 Calls", IF(#REF! &lt;= 3, "2-3 Calls", IF(#REF! &lt;=5, "4-5 Calls", "6+ Calls")))</f>
        <v>#REF!</v>
      </c>
      <c r="X993" t="e">
        <f>IF(#REF! &lt;= 50, "0-50", IF(#REF! &lt;=100, "51-100", IF(#REF! &lt;= 150, "101-150", "151+")))</f>
        <v>#REF!</v>
      </c>
      <c r="Y993" t="e">
        <f>IF(#REF! &lt;= 3, "Low Charges", "High Charges")</f>
        <v>#REF!</v>
      </c>
      <c r="Z993" t="e">
        <f>IF(#REF!&lt;=80,"Low Calls",
IF(#REF!&lt;=120,"Medium Calls","High Calls"))</f>
        <v>#REF!</v>
      </c>
      <c r="AA993" t="e">
        <f>IF(#REF!&lt;=15,"Low Charges",
IF(#REF!&lt;=20,"Medium Charges","High Charges"))</f>
        <v>#REF!</v>
      </c>
      <c r="AB993" t="e">
        <f>IF(AND(#REF!&gt;180, #REF!&gt;200), "Heavy Doemstic User", IF(#REF!&gt;10, "Interntional User", IF(AND(#REF!&lt;180, #REF!&lt;200,#REF!&lt;200), "Light User", "Balanced User")))</f>
        <v>#REF!</v>
      </c>
      <c r="AC993" t="e">
        <f>IF(#REF! = 0, "No Usage", IF(#REF! &lt;= 20, "Low Usage", IF(#REF! &lt;= 40, "Medium Usgae", "High Usage")))</f>
        <v>#REF!</v>
      </c>
      <c r="AD993" t="e">
        <f>IF(#REF!&lt;=150,"Low Usage", IF(#REF!&lt;=200,"Medium Usage", IF(#REF!&lt;=250,"High Usage","Very High Usage")))</f>
        <v>#REF!</v>
      </c>
      <c r="AE993" t="e">
        <f>IF(#REF!&lt;=5,"Low Calls", IF(#REF!&lt;=10, "Medium Calls", "High Calls"))</f>
        <v>#REF!</v>
      </c>
      <c r="AF993" t="e">
        <f xml:space="preserve">
IF(#REF!&gt;=4,4,0)+
IF(#REF!="yes",3,0)+
IF(#REF!="High Charges",3,0)+
IF(#REF!&gt;250,4,0)+
IF(#REF!="no",1,0)+
IF(#REF!="Heavy Domestic User",2,0)</f>
        <v>#REF!</v>
      </c>
      <c r="AG993" t="e">
        <f>IF(#REF!&gt;=10,"High Risk", IF(#REF!&gt;=5,"Medium Risk","Low Risk"))</f>
        <v>#REF!</v>
      </c>
      <c r="AH993" t="e">
        <f>#REF! + #REF! + #REF! + #REF!</f>
        <v>#REF!</v>
      </c>
    </row>
    <row r="994" spans="1:34" x14ac:dyDescent="0.35">
      <c r="A994">
        <v>993</v>
      </c>
      <c r="B994" t="s">
        <v>63</v>
      </c>
      <c r="C994">
        <v>123</v>
      </c>
      <c r="D994" t="s">
        <v>21</v>
      </c>
      <c r="E994" t="s">
        <v>22</v>
      </c>
      <c r="F994" t="s">
        <v>22</v>
      </c>
      <c r="G994">
        <v>0</v>
      </c>
      <c r="H994">
        <v>211</v>
      </c>
      <c r="I994">
        <v>92</v>
      </c>
      <c r="J994">
        <v>35.869999999999997</v>
      </c>
      <c r="K994">
        <v>217</v>
      </c>
      <c r="L994">
        <v>102</v>
      </c>
      <c r="M994">
        <v>18.45</v>
      </c>
      <c r="N994">
        <v>214.8</v>
      </c>
      <c r="O994">
        <v>104</v>
      </c>
      <c r="P994">
        <v>9.67</v>
      </c>
      <c r="Q994">
        <v>9.8000000000000007</v>
      </c>
      <c r="R994">
        <v>7</v>
      </c>
      <c r="S994">
        <v>2.65</v>
      </c>
      <c r="T994">
        <v>3</v>
      </c>
      <c r="U994" t="s">
        <v>22</v>
      </c>
      <c r="V994" t="e">
        <f>IF(#REF! = "yes", 1, 0)</f>
        <v>#REF!</v>
      </c>
      <c r="W994" t="e">
        <f>IF(#REF! &lt;= 1, "0-1 Calls", IF(#REF! &lt;= 3, "2-3 Calls", IF(#REF! &lt;=5, "4-5 Calls", "6+ Calls")))</f>
        <v>#REF!</v>
      </c>
      <c r="X994" t="e">
        <f>IF(#REF! &lt;= 50, "0-50", IF(#REF! &lt;=100, "51-100", IF(#REF! &lt;= 150, "101-150", "151+")))</f>
        <v>#REF!</v>
      </c>
      <c r="Y994" t="e">
        <f>IF(#REF! &lt;= 3, "Low Charges", "High Charges")</f>
        <v>#REF!</v>
      </c>
      <c r="Z994" t="e">
        <f>IF(#REF!&lt;=80,"Low Calls",
IF(#REF!&lt;=120,"Medium Calls","High Calls"))</f>
        <v>#REF!</v>
      </c>
      <c r="AA994" t="e">
        <f>IF(#REF!&lt;=15,"Low Charges",
IF(#REF!&lt;=20,"Medium Charges","High Charges"))</f>
        <v>#REF!</v>
      </c>
      <c r="AB994" t="e">
        <f>IF(AND(#REF!&gt;180, #REF!&gt;200), "Heavy Doemstic User", IF(#REF!&gt;10, "Interntional User", IF(AND(#REF!&lt;180, #REF!&lt;200,#REF!&lt;200), "Light User", "Balanced User")))</f>
        <v>#REF!</v>
      </c>
      <c r="AC994" t="e">
        <f>IF(#REF! = 0, "No Usage", IF(#REF! &lt;= 20, "Low Usage", IF(#REF! &lt;= 40, "Medium Usgae", "High Usage")))</f>
        <v>#REF!</v>
      </c>
      <c r="AD994" t="e">
        <f>IF(#REF!&lt;=150,"Low Usage", IF(#REF!&lt;=200,"Medium Usage", IF(#REF!&lt;=250,"High Usage","Very High Usage")))</f>
        <v>#REF!</v>
      </c>
      <c r="AE994" t="e">
        <f>IF(#REF!&lt;=5,"Low Calls", IF(#REF!&lt;=10, "Medium Calls", "High Calls"))</f>
        <v>#REF!</v>
      </c>
      <c r="AF994" t="e">
        <f xml:space="preserve">
IF(#REF!&gt;=4,4,0)+
IF(#REF!="yes",3,0)+
IF(#REF!="High Charges",3,0)+
IF(#REF!&gt;250,4,0)+
IF(#REF!="no",1,0)+
IF(#REF!="Heavy Domestic User",2,0)</f>
        <v>#REF!</v>
      </c>
      <c r="AG994" t="e">
        <f>IF(#REF!&gt;=10,"High Risk", IF(#REF!&gt;=5,"Medium Risk","Low Risk"))</f>
        <v>#REF!</v>
      </c>
      <c r="AH994" t="e">
        <f>#REF! + #REF! + #REF! + #REF!</f>
        <v>#REF!</v>
      </c>
    </row>
    <row r="995" spans="1:34" x14ac:dyDescent="0.35">
      <c r="A995">
        <v>994</v>
      </c>
      <c r="B995" t="s">
        <v>71</v>
      </c>
      <c r="C995">
        <v>130</v>
      </c>
      <c r="D995" t="s">
        <v>21</v>
      </c>
      <c r="E995" t="s">
        <v>22</v>
      </c>
      <c r="F995" t="s">
        <v>23</v>
      </c>
      <c r="G995">
        <v>12</v>
      </c>
      <c r="H995">
        <v>141.9</v>
      </c>
      <c r="I995">
        <v>92</v>
      </c>
      <c r="J995">
        <v>24.12</v>
      </c>
      <c r="K995">
        <v>228.9</v>
      </c>
      <c r="L995">
        <v>102</v>
      </c>
      <c r="M995">
        <v>19.46</v>
      </c>
      <c r="N995">
        <v>195.1</v>
      </c>
      <c r="O995">
        <v>101</v>
      </c>
      <c r="P995">
        <v>8.7799999999999994</v>
      </c>
      <c r="Q995">
        <v>8.6999999999999993</v>
      </c>
      <c r="R995">
        <v>5</v>
      </c>
      <c r="S995">
        <v>2.35</v>
      </c>
      <c r="T995">
        <v>0</v>
      </c>
      <c r="U995" t="s">
        <v>22</v>
      </c>
      <c r="V995" t="e">
        <f>IF(#REF! = "yes", 1, 0)</f>
        <v>#REF!</v>
      </c>
      <c r="W995" t="e">
        <f>IF(#REF! &lt;= 1, "0-1 Calls", IF(#REF! &lt;= 3, "2-3 Calls", IF(#REF! &lt;=5, "4-5 Calls", "6+ Calls")))</f>
        <v>#REF!</v>
      </c>
      <c r="X995" t="e">
        <f>IF(#REF! &lt;= 50, "0-50", IF(#REF! &lt;=100, "51-100", IF(#REF! &lt;= 150, "101-150", "151+")))</f>
        <v>#REF!</v>
      </c>
      <c r="Y995" t="e">
        <f>IF(#REF! &lt;= 3, "Low Charges", "High Charges")</f>
        <v>#REF!</v>
      </c>
      <c r="Z995" t="e">
        <f>IF(#REF!&lt;=80,"Low Calls",
IF(#REF!&lt;=120,"Medium Calls","High Calls"))</f>
        <v>#REF!</v>
      </c>
      <c r="AA995" t="e">
        <f>IF(#REF!&lt;=15,"Low Charges",
IF(#REF!&lt;=20,"Medium Charges","High Charges"))</f>
        <v>#REF!</v>
      </c>
      <c r="AB995" t="e">
        <f>IF(AND(#REF!&gt;180, #REF!&gt;200), "Heavy Doemstic User", IF(#REF!&gt;10, "Interntional User", IF(AND(#REF!&lt;180, #REF!&lt;200,#REF!&lt;200), "Light User", "Balanced User")))</f>
        <v>#REF!</v>
      </c>
      <c r="AC995" t="e">
        <f>IF(#REF! = 0, "No Usage", IF(#REF! &lt;= 20, "Low Usage", IF(#REF! &lt;= 40, "Medium Usgae", "High Usage")))</f>
        <v>#REF!</v>
      </c>
      <c r="AD995" t="e">
        <f>IF(#REF!&lt;=150,"Low Usage", IF(#REF!&lt;=200,"Medium Usage", IF(#REF!&lt;=250,"High Usage","Very High Usage")))</f>
        <v>#REF!</v>
      </c>
      <c r="AE995" t="e">
        <f>IF(#REF!&lt;=5,"Low Calls", IF(#REF!&lt;=10, "Medium Calls", "High Calls"))</f>
        <v>#REF!</v>
      </c>
      <c r="AF995" t="e">
        <f xml:space="preserve">
IF(#REF!&gt;=4,4,0)+
IF(#REF!="yes",3,0)+
IF(#REF!="High Charges",3,0)+
IF(#REF!&gt;250,4,0)+
IF(#REF!="no",1,0)+
IF(#REF!="Heavy Domestic User",2,0)</f>
        <v>#REF!</v>
      </c>
      <c r="AG995" t="e">
        <f>IF(#REF!&gt;=10,"High Risk", IF(#REF!&gt;=5,"Medium Risk","Low Risk"))</f>
        <v>#REF!</v>
      </c>
      <c r="AH995" t="e">
        <f>#REF! + #REF! + #REF! + #REF!</f>
        <v>#REF!</v>
      </c>
    </row>
    <row r="996" spans="1:34" x14ac:dyDescent="0.35">
      <c r="A996">
        <v>995</v>
      </c>
      <c r="B996" t="s">
        <v>40</v>
      </c>
      <c r="C996">
        <v>142</v>
      </c>
      <c r="D996" t="s">
        <v>21</v>
      </c>
      <c r="E996" t="s">
        <v>22</v>
      </c>
      <c r="F996" t="s">
        <v>23</v>
      </c>
      <c r="G996">
        <v>26</v>
      </c>
      <c r="H996">
        <v>220.5</v>
      </c>
      <c r="I996">
        <v>94</v>
      </c>
      <c r="J996">
        <v>37.49</v>
      </c>
      <c r="K996">
        <v>239.5</v>
      </c>
      <c r="L996">
        <v>126</v>
      </c>
      <c r="M996">
        <v>20.36</v>
      </c>
      <c r="N996">
        <v>254.3</v>
      </c>
      <c r="O996">
        <v>109</v>
      </c>
      <c r="P996">
        <v>11.44</v>
      </c>
      <c r="Q996">
        <v>5.9</v>
      </c>
      <c r="R996">
        <v>9</v>
      </c>
      <c r="S996">
        <v>1.59</v>
      </c>
      <c r="T996">
        <v>2</v>
      </c>
      <c r="U996" t="s">
        <v>22</v>
      </c>
      <c r="V996" t="e">
        <f>IF(#REF! = "yes", 1, 0)</f>
        <v>#REF!</v>
      </c>
      <c r="W996" t="e">
        <f>IF(#REF! &lt;= 1, "0-1 Calls", IF(#REF! &lt;= 3, "2-3 Calls", IF(#REF! &lt;=5, "4-5 Calls", "6+ Calls")))</f>
        <v>#REF!</v>
      </c>
      <c r="X996" t="e">
        <f>IF(#REF! &lt;= 50, "0-50", IF(#REF! &lt;=100, "51-100", IF(#REF! &lt;= 150, "101-150", "151+")))</f>
        <v>#REF!</v>
      </c>
      <c r="Y996" t="e">
        <f>IF(#REF! &lt;= 3, "Low Charges", "High Charges")</f>
        <v>#REF!</v>
      </c>
      <c r="Z996" t="e">
        <f>IF(#REF!&lt;=80,"Low Calls",
IF(#REF!&lt;=120,"Medium Calls","High Calls"))</f>
        <v>#REF!</v>
      </c>
      <c r="AA996" t="e">
        <f>IF(#REF!&lt;=15,"Low Charges",
IF(#REF!&lt;=20,"Medium Charges","High Charges"))</f>
        <v>#REF!</v>
      </c>
      <c r="AB996" t="e">
        <f>IF(AND(#REF!&gt;180, #REF!&gt;200), "Heavy Doemstic User", IF(#REF!&gt;10, "Interntional User", IF(AND(#REF!&lt;180, #REF!&lt;200,#REF!&lt;200), "Light User", "Balanced User")))</f>
        <v>#REF!</v>
      </c>
      <c r="AC996" t="e">
        <f>IF(#REF! = 0, "No Usage", IF(#REF! &lt;= 20, "Low Usage", IF(#REF! &lt;= 40, "Medium Usgae", "High Usage")))</f>
        <v>#REF!</v>
      </c>
      <c r="AD996" t="e">
        <f>IF(#REF!&lt;=150,"Low Usage", IF(#REF!&lt;=200,"Medium Usage", IF(#REF!&lt;=250,"High Usage","Very High Usage")))</f>
        <v>#REF!</v>
      </c>
      <c r="AE996" t="e">
        <f>IF(#REF!&lt;=5,"Low Calls", IF(#REF!&lt;=10, "Medium Calls", "High Calls"))</f>
        <v>#REF!</v>
      </c>
      <c r="AF996" t="e">
        <f xml:space="preserve">
IF(#REF!&gt;=4,4,0)+
IF(#REF!="yes",3,0)+
IF(#REF!="High Charges",3,0)+
IF(#REF!&gt;250,4,0)+
IF(#REF!="no",1,0)+
IF(#REF!="Heavy Domestic User",2,0)</f>
        <v>#REF!</v>
      </c>
      <c r="AG996" t="e">
        <f>IF(#REF!&gt;=10,"High Risk", IF(#REF!&gt;=5,"Medium Risk","Low Risk"))</f>
        <v>#REF!</v>
      </c>
      <c r="AH996" t="e">
        <f>#REF! + #REF! + #REF! + #REF!</f>
        <v>#REF!</v>
      </c>
    </row>
    <row r="997" spans="1:34" x14ac:dyDescent="0.35">
      <c r="A997">
        <v>996</v>
      </c>
      <c r="B997" t="s">
        <v>59</v>
      </c>
      <c r="C997">
        <v>29</v>
      </c>
      <c r="D997" t="s">
        <v>21</v>
      </c>
      <c r="E997" t="s">
        <v>22</v>
      </c>
      <c r="F997" t="s">
        <v>22</v>
      </c>
      <c r="G997">
        <v>0</v>
      </c>
      <c r="H997">
        <v>157.4</v>
      </c>
      <c r="I997">
        <v>122</v>
      </c>
      <c r="J997">
        <v>26.76</v>
      </c>
      <c r="K997">
        <v>145</v>
      </c>
      <c r="L997">
        <v>75</v>
      </c>
      <c r="M997">
        <v>12.33</v>
      </c>
      <c r="N997">
        <v>281.8</v>
      </c>
      <c r="O997">
        <v>92</v>
      </c>
      <c r="P997">
        <v>12.68</v>
      </c>
      <c r="Q997">
        <v>9.3000000000000007</v>
      </c>
      <c r="R997">
        <v>2</v>
      </c>
      <c r="S997">
        <v>2.5099999999999998</v>
      </c>
      <c r="T997">
        <v>1</v>
      </c>
      <c r="U997" t="s">
        <v>22</v>
      </c>
      <c r="V997" t="e">
        <f>IF(#REF! = "yes", 1, 0)</f>
        <v>#REF!</v>
      </c>
      <c r="W997" t="e">
        <f>IF(#REF! &lt;= 1, "0-1 Calls", IF(#REF! &lt;= 3, "2-3 Calls", IF(#REF! &lt;=5, "4-5 Calls", "6+ Calls")))</f>
        <v>#REF!</v>
      </c>
      <c r="X997" t="e">
        <f>IF(#REF! &lt;= 50, "0-50", IF(#REF! &lt;=100, "51-100", IF(#REF! &lt;= 150, "101-150", "151+")))</f>
        <v>#REF!</v>
      </c>
      <c r="Y997" t="e">
        <f>IF(#REF! &lt;= 3, "Low Charges", "High Charges")</f>
        <v>#REF!</v>
      </c>
      <c r="Z997" t="e">
        <f>IF(#REF!&lt;=80,"Low Calls",
IF(#REF!&lt;=120,"Medium Calls","High Calls"))</f>
        <v>#REF!</v>
      </c>
      <c r="AA997" t="e">
        <f>IF(#REF!&lt;=15,"Low Charges",
IF(#REF!&lt;=20,"Medium Charges","High Charges"))</f>
        <v>#REF!</v>
      </c>
      <c r="AB997" t="e">
        <f>IF(AND(#REF!&gt;180, #REF!&gt;200), "Heavy Doemstic User", IF(#REF!&gt;10, "Interntional User", IF(AND(#REF!&lt;180, #REF!&lt;200,#REF!&lt;200), "Light User", "Balanced User")))</f>
        <v>#REF!</v>
      </c>
      <c r="AC997" t="e">
        <f>IF(#REF! = 0, "No Usage", IF(#REF! &lt;= 20, "Low Usage", IF(#REF! &lt;= 40, "Medium Usgae", "High Usage")))</f>
        <v>#REF!</v>
      </c>
      <c r="AD997" t="e">
        <f>IF(#REF!&lt;=150,"Low Usage", IF(#REF!&lt;=200,"Medium Usage", IF(#REF!&lt;=250,"High Usage","Very High Usage")))</f>
        <v>#REF!</v>
      </c>
      <c r="AE997" t="e">
        <f>IF(#REF!&lt;=5,"Low Calls", IF(#REF!&lt;=10, "Medium Calls", "High Calls"))</f>
        <v>#REF!</v>
      </c>
      <c r="AF997" t="e">
        <f xml:space="preserve">
IF(#REF!&gt;=4,4,0)+
IF(#REF!="yes",3,0)+
IF(#REF!="High Charges",3,0)+
IF(#REF!&gt;250,4,0)+
IF(#REF!="no",1,0)+
IF(#REF!="Heavy Domestic User",2,0)</f>
        <v>#REF!</v>
      </c>
      <c r="AG997" t="e">
        <f>IF(#REF!&gt;=10,"High Risk", IF(#REF!&gt;=5,"Medium Risk","Low Risk"))</f>
        <v>#REF!</v>
      </c>
      <c r="AH997" t="e">
        <f>#REF! + #REF! + #REF! + #REF!</f>
        <v>#REF!</v>
      </c>
    </row>
    <row r="998" spans="1:34" x14ac:dyDescent="0.35">
      <c r="A998">
        <v>997</v>
      </c>
      <c r="B998" t="s">
        <v>45</v>
      </c>
      <c r="C998">
        <v>87</v>
      </c>
      <c r="D998" t="s">
        <v>25</v>
      </c>
      <c r="E998" t="s">
        <v>22</v>
      </c>
      <c r="F998" t="s">
        <v>23</v>
      </c>
      <c r="G998">
        <v>28</v>
      </c>
      <c r="H998">
        <v>143.5</v>
      </c>
      <c r="I998">
        <v>106</v>
      </c>
      <c r="J998">
        <v>24.4</v>
      </c>
      <c r="K998">
        <v>223.5</v>
      </c>
      <c r="L998">
        <v>147</v>
      </c>
      <c r="M998">
        <v>19</v>
      </c>
      <c r="N998">
        <v>175.4</v>
      </c>
      <c r="O998">
        <v>69</v>
      </c>
      <c r="P998">
        <v>7.89</v>
      </c>
      <c r="Q998">
        <v>11.2</v>
      </c>
      <c r="R998">
        <v>5</v>
      </c>
      <c r="S998">
        <v>3.02</v>
      </c>
      <c r="T998">
        <v>0</v>
      </c>
      <c r="U998" t="s">
        <v>22</v>
      </c>
      <c r="V998" t="e">
        <f>IF(#REF! = "yes", 1, 0)</f>
        <v>#REF!</v>
      </c>
      <c r="W998" t="e">
        <f>IF(#REF! &lt;= 1, "0-1 Calls", IF(#REF! &lt;= 3, "2-3 Calls", IF(#REF! &lt;=5, "4-5 Calls", "6+ Calls")))</f>
        <v>#REF!</v>
      </c>
      <c r="X998" t="e">
        <f>IF(#REF! &lt;= 50, "0-50", IF(#REF! &lt;=100, "51-100", IF(#REF! &lt;= 150, "101-150", "151+")))</f>
        <v>#REF!</v>
      </c>
      <c r="Y998" t="e">
        <f>IF(#REF! &lt;= 3, "Low Charges", "High Charges")</f>
        <v>#REF!</v>
      </c>
      <c r="Z998" t="e">
        <f>IF(#REF!&lt;=80,"Low Calls",
IF(#REF!&lt;=120,"Medium Calls","High Calls"))</f>
        <v>#REF!</v>
      </c>
      <c r="AA998" t="e">
        <f>IF(#REF!&lt;=15,"Low Charges",
IF(#REF!&lt;=20,"Medium Charges","High Charges"))</f>
        <v>#REF!</v>
      </c>
      <c r="AB998" t="e">
        <f>IF(AND(#REF!&gt;180, #REF!&gt;200), "Heavy Doemstic User", IF(#REF!&gt;10, "Interntional User", IF(AND(#REF!&lt;180, #REF!&lt;200,#REF!&lt;200), "Light User", "Balanced User")))</f>
        <v>#REF!</v>
      </c>
      <c r="AC998" t="e">
        <f>IF(#REF! = 0, "No Usage", IF(#REF! &lt;= 20, "Low Usage", IF(#REF! &lt;= 40, "Medium Usgae", "High Usage")))</f>
        <v>#REF!</v>
      </c>
      <c r="AD998" t="e">
        <f>IF(#REF!&lt;=150,"Low Usage", IF(#REF!&lt;=200,"Medium Usage", IF(#REF!&lt;=250,"High Usage","Very High Usage")))</f>
        <v>#REF!</v>
      </c>
      <c r="AE998" t="e">
        <f>IF(#REF!&lt;=5,"Low Calls", IF(#REF!&lt;=10, "Medium Calls", "High Calls"))</f>
        <v>#REF!</v>
      </c>
      <c r="AF998" t="e">
        <f xml:space="preserve">
IF(#REF!&gt;=4,4,0)+
IF(#REF!="yes",3,0)+
IF(#REF!="High Charges",3,0)+
IF(#REF!&gt;250,4,0)+
IF(#REF!="no",1,0)+
IF(#REF!="Heavy Domestic User",2,0)</f>
        <v>#REF!</v>
      </c>
      <c r="AG998" t="e">
        <f>IF(#REF!&gt;=10,"High Risk", IF(#REF!&gt;=5,"Medium Risk","Low Risk"))</f>
        <v>#REF!</v>
      </c>
      <c r="AH998" t="e">
        <f>#REF! + #REF! + #REF! + #REF!</f>
        <v>#REF!</v>
      </c>
    </row>
    <row r="999" spans="1:34" x14ac:dyDescent="0.35">
      <c r="A999">
        <v>998</v>
      </c>
      <c r="B999" t="s">
        <v>69</v>
      </c>
      <c r="C999">
        <v>149</v>
      </c>
      <c r="D999" t="s">
        <v>21</v>
      </c>
      <c r="E999" t="s">
        <v>22</v>
      </c>
      <c r="F999" t="s">
        <v>22</v>
      </c>
      <c r="G999">
        <v>0</v>
      </c>
      <c r="H999">
        <v>156</v>
      </c>
      <c r="I999">
        <v>56</v>
      </c>
      <c r="J999">
        <v>26.52</v>
      </c>
      <c r="K999">
        <v>56</v>
      </c>
      <c r="L999">
        <v>116</v>
      </c>
      <c r="M999">
        <v>4.76</v>
      </c>
      <c r="N999">
        <v>163.30000000000001</v>
      </c>
      <c r="O999">
        <v>104</v>
      </c>
      <c r="P999">
        <v>7.35</v>
      </c>
      <c r="Q999">
        <v>8.9</v>
      </c>
      <c r="R999">
        <v>8</v>
      </c>
      <c r="S999">
        <v>2.4</v>
      </c>
      <c r="T999">
        <v>0</v>
      </c>
      <c r="U999" t="s">
        <v>22</v>
      </c>
      <c r="V999" t="e">
        <f>IF(#REF! = "yes", 1, 0)</f>
        <v>#REF!</v>
      </c>
      <c r="W999" t="e">
        <f>IF(#REF! &lt;= 1, "0-1 Calls", IF(#REF! &lt;= 3, "2-3 Calls", IF(#REF! &lt;=5, "4-5 Calls", "6+ Calls")))</f>
        <v>#REF!</v>
      </c>
      <c r="X999" t="e">
        <f>IF(#REF! &lt;= 50, "0-50", IF(#REF! &lt;=100, "51-100", IF(#REF! &lt;= 150, "101-150", "151+")))</f>
        <v>#REF!</v>
      </c>
      <c r="Y999" t="e">
        <f>IF(#REF! &lt;= 3, "Low Charges", "High Charges")</f>
        <v>#REF!</v>
      </c>
      <c r="Z999" t="e">
        <f>IF(#REF!&lt;=80,"Low Calls",
IF(#REF!&lt;=120,"Medium Calls","High Calls"))</f>
        <v>#REF!</v>
      </c>
      <c r="AA999" t="e">
        <f>IF(#REF!&lt;=15,"Low Charges",
IF(#REF!&lt;=20,"Medium Charges","High Charges"))</f>
        <v>#REF!</v>
      </c>
      <c r="AB999" t="e">
        <f>IF(AND(#REF!&gt;180, #REF!&gt;200), "Heavy Doemstic User", IF(#REF!&gt;10, "Interntional User", IF(AND(#REF!&lt;180, #REF!&lt;200,#REF!&lt;200), "Light User", "Balanced User")))</f>
        <v>#REF!</v>
      </c>
      <c r="AC999" t="e">
        <f>IF(#REF! = 0, "No Usage", IF(#REF! &lt;= 20, "Low Usage", IF(#REF! &lt;= 40, "Medium Usgae", "High Usage")))</f>
        <v>#REF!</v>
      </c>
      <c r="AD999" t="e">
        <f>IF(#REF!&lt;=150,"Low Usage", IF(#REF!&lt;=200,"Medium Usage", IF(#REF!&lt;=250,"High Usage","Very High Usage")))</f>
        <v>#REF!</v>
      </c>
      <c r="AE999" t="e">
        <f>IF(#REF!&lt;=5,"Low Calls", IF(#REF!&lt;=10, "Medium Calls", "High Calls"))</f>
        <v>#REF!</v>
      </c>
      <c r="AF999" t="e">
        <f xml:space="preserve">
IF(#REF!&gt;=4,4,0)+
IF(#REF!="yes",3,0)+
IF(#REF!="High Charges",3,0)+
IF(#REF!&gt;250,4,0)+
IF(#REF!="no",1,0)+
IF(#REF!="Heavy Domestic User",2,0)</f>
        <v>#REF!</v>
      </c>
      <c r="AG999" t="e">
        <f>IF(#REF!&gt;=10,"High Risk", IF(#REF!&gt;=5,"Medium Risk","Low Risk"))</f>
        <v>#REF!</v>
      </c>
      <c r="AH999" t="e">
        <f>#REF! + #REF! + #REF! + #REF!</f>
        <v>#REF!</v>
      </c>
    </row>
    <row r="1000" spans="1:34" x14ac:dyDescent="0.35">
      <c r="A1000">
        <v>999</v>
      </c>
      <c r="B1000" t="s">
        <v>71</v>
      </c>
      <c r="C1000">
        <v>146</v>
      </c>
      <c r="D1000" t="s">
        <v>25</v>
      </c>
      <c r="E1000" t="s">
        <v>23</v>
      </c>
      <c r="F1000" t="s">
        <v>22</v>
      </c>
      <c r="G1000">
        <v>0</v>
      </c>
      <c r="H1000">
        <v>160.1</v>
      </c>
      <c r="I1000">
        <v>63</v>
      </c>
      <c r="J1000">
        <v>27.22</v>
      </c>
      <c r="K1000">
        <v>208.4</v>
      </c>
      <c r="L1000">
        <v>112</v>
      </c>
      <c r="M1000">
        <v>17.71</v>
      </c>
      <c r="N1000">
        <v>177.6</v>
      </c>
      <c r="O1000">
        <v>98</v>
      </c>
      <c r="P1000">
        <v>7.99</v>
      </c>
      <c r="Q1000">
        <v>9.1999999999999993</v>
      </c>
      <c r="R1000">
        <v>3</v>
      </c>
      <c r="S1000">
        <v>2.48</v>
      </c>
      <c r="T1000">
        <v>2</v>
      </c>
      <c r="U1000" t="s">
        <v>22</v>
      </c>
      <c r="V1000" t="e">
        <f>IF(#REF! = "yes", 1, 0)</f>
        <v>#REF!</v>
      </c>
      <c r="W1000" t="e">
        <f>IF(#REF! &lt;= 1, "0-1 Calls", IF(#REF! &lt;= 3, "2-3 Calls", IF(#REF! &lt;=5, "4-5 Calls", "6+ Calls")))</f>
        <v>#REF!</v>
      </c>
      <c r="X1000" t="e">
        <f>IF(#REF! &lt;= 50, "0-50", IF(#REF! &lt;=100, "51-100", IF(#REF! &lt;= 150, "101-150", "151+")))</f>
        <v>#REF!</v>
      </c>
      <c r="Y1000" t="e">
        <f>IF(#REF! &lt;= 3, "Low Charges", "High Charges")</f>
        <v>#REF!</v>
      </c>
      <c r="Z1000" t="e">
        <f>IF(#REF!&lt;=80,"Low Calls",
IF(#REF!&lt;=120,"Medium Calls","High Calls"))</f>
        <v>#REF!</v>
      </c>
      <c r="AA1000" t="e">
        <f>IF(#REF!&lt;=15,"Low Charges",
IF(#REF!&lt;=20,"Medium Charges","High Charges"))</f>
        <v>#REF!</v>
      </c>
      <c r="AB1000" t="e">
        <f>IF(AND(#REF!&gt;180, #REF!&gt;200), "Heavy Doemstic User", IF(#REF!&gt;10, "Interntional User", IF(AND(#REF!&lt;180, #REF!&lt;200,#REF!&lt;200), "Light User", "Balanced User")))</f>
        <v>#REF!</v>
      </c>
      <c r="AC1000" t="e">
        <f>IF(#REF! = 0, "No Usage", IF(#REF! &lt;= 20, "Low Usage", IF(#REF! &lt;= 40, "Medium Usgae", "High Usage")))</f>
        <v>#REF!</v>
      </c>
      <c r="AD1000" t="e">
        <f>IF(#REF!&lt;=150,"Low Usage", IF(#REF!&lt;=200,"Medium Usage", IF(#REF!&lt;=250,"High Usage","Very High Usage")))</f>
        <v>#REF!</v>
      </c>
      <c r="AE1000" t="e">
        <f>IF(#REF!&lt;=5,"Low Calls", IF(#REF!&lt;=10, "Medium Calls", "High Calls"))</f>
        <v>#REF!</v>
      </c>
      <c r="AF1000" t="e">
        <f xml:space="preserve">
IF(#REF!&gt;=4,4,0)+
IF(#REF!="yes",3,0)+
IF(#REF!="High Charges",3,0)+
IF(#REF!&gt;250,4,0)+
IF(#REF!="no",1,0)+
IF(#REF!="Heavy Domestic User",2,0)</f>
        <v>#REF!</v>
      </c>
      <c r="AG1000" t="e">
        <f>IF(#REF!&gt;=10,"High Risk", IF(#REF!&gt;=5,"Medium Risk","Low Risk"))</f>
        <v>#REF!</v>
      </c>
      <c r="AH1000" t="e">
        <f>#REF! + #REF! + #REF! + #REF!</f>
        <v>#REF!</v>
      </c>
    </row>
    <row r="1001" spans="1:34" x14ac:dyDescent="0.35">
      <c r="A1001">
        <v>1000</v>
      </c>
      <c r="B1001" t="s">
        <v>49</v>
      </c>
      <c r="C1001">
        <v>88</v>
      </c>
      <c r="D1001" t="s">
        <v>21</v>
      </c>
      <c r="E1001" t="s">
        <v>23</v>
      </c>
      <c r="F1001" t="s">
        <v>22</v>
      </c>
      <c r="G1001">
        <v>0</v>
      </c>
      <c r="H1001">
        <v>235.1</v>
      </c>
      <c r="I1001">
        <v>98</v>
      </c>
      <c r="J1001">
        <v>39.97</v>
      </c>
      <c r="K1001">
        <v>251.8</v>
      </c>
      <c r="L1001">
        <v>79</v>
      </c>
      <c r="M1001">
        <v>21.4</v>
      </c>
      <c r="N1001">
        <v>285.89999999999998</v>
      </c>
      <c r="O1001">
        <v>76</v>
      </c>
      <c r="P1001">
        <v>12.87</v>
      </c>
      <c r="Q1001">
        <v>7.2</v>
      </c>
      <c r="R1001">
        <v>2</v>
      </c>
      <c r="S1001">
        <v>1.94</v>
      </c>
      <c r="T1001">
        <v>4</v>
      </c>
      <c r="U1001" t="s">
        <v>23</v>
      </c>
      <c r="V1001" t="e">
        <f>IF(#REF! = "yes", 1, 0)</f>
        <v>#REF!</v>
      </c>
      <c r="W1001" t="e">
        <f>IF(#REF! &lt;= 1, "0-1 Calls", IF(#REF! &lt;= 3, "2-3 Calls", IF(#REF! &lt;=5, "4-5 Calls", "6+ Calls")))</f>
        <v>#REF!</v>
      </c>
      <c r="X1001" t="e">
        <f>IF(#REF! &lt;= 50, "0-50", IF(#REF! &lt;=100, "51-100", IF(#REF! &lt;= 150, "101-150", "151+")))</f>
        <v>#REF!</v>
      </c>
      <c r="Y1001" t="e">
        <f>IF(#REF! &lt;= 3, "Low Charges", "High Charges")</f>
        <v>#REF!</v>
      </c>
      <c r="Z1001" t="e">
        <f>IF(#REF!&lt;=80,"Low Calls",
IF(#REF!&lt;=120,"Medium Calls","High Calls"))</f>
        <v>#REF!</v>
      </c>
      <c r="AA1001" t="e">
        <f>IF(#REF!&lt;=15,"Low Charges",
IF(#REF!&lt;=20,"Medium Charges","High Charges"))</f>
        <v>#REF!</v>
      </c>
      <c r="AB1001" t="e">
        <f>IF(AND(#REF!&gt;180, #REF!&gt;200), "Heavy Doemstic User", IF(#REF!&gt;10, "Interntional User", IF(AND(#REF!&lt;180, #REF!&lt;200,#REF!&lt;200), "Light User", "Balanced User")))</f>
        <v>#REF!</v>
      </c>
      <c r="AC1001" t="e">
        <f>IF(#REF! = 0, "No Usage", IF(#REF! &lt;= 20, "Low Usage", IF(#REF! &lt;= 40, "Medium Usgae", "High Usage")))</f>
        <v>#REF!</v>
      </c>
      <c r="AD1001" t="e">
        <f>IF(#REF!&lt;=150,"Low Usage", IF(#REF!&lt;=200,"Medium Usage", IF(#REF!&lt;=250,"High Usage","Very High Usage")))</f>
        <v>#REF!</v>
      </c>
      <c r="AE1001" t="e">
        <f>IF(#REF!&lt;=5,"Low Calls", IF(#REF!&lt;=10, "Medium Calls", "High Calls"))</f>
        <v>#REF!</v>
      </c>
      <c r="AF1001" t="e">
        <f xml:space="preserve">
IF(#REF!&gt;=4,4,0)+
IF(#REF!="yes",3,0)+
IF(#REF!="High Charges",3,0)+
IF(#REF!&gt;250,4,0)+
IF(#REF!="no",1,0)+
IF(#REF!="Heavy Domestic User",2,0)</f>
        <v>#REF!</v>
      </c>
      <c r="AG1001" t="e">
        <f>IF(#REF!&gt;=10,"High Risk", IF(#REF!&gt;=5,"Medium Risk","Low Risk"))</f>
        <v>#REF!</v>
      </c>
      <c r="AH1001" t="e">
        <f>#REF! + #REF! + #REF! + #REF!</f>
        <v>#REF!</v>
      </c>
    </row>
    <row r="1002" spans="1:34" x14ac:dyDescent="0.35">
      <c r="A1002">
        <v>1001</v>
      </c>
      <c r="B1002" t="s">
        <v>61</v>
      </c>
      <c r="C1002">
        <v>119</v>
      </c>
      <c r="D1002" t="s">
        <v>21</v>
      </c>
      <c r="E1002" t="s">
        <v>23</v>
      </c>
      <c r="F1002" t="s">
        <v>23</v>
      </c>
      <c r="G1002">
        <v>15</v>
      </c>
      <c r="H1002">
        <v>160</v>
      </c>
      <c r="I1002">
        <v>95</v>
      </c>
      <c r="J1002">
        <v>27.2</v>
      </c>
      <c r="K1002">
        <v>209.5</v>
      </c>
      <c r="L1002">
        <v>110</v>
      </c>
      <c r="M1002">
        <v>17.809999999999999</v>
      </c>
      <c r="N1002">
        <v>82.3</v>
      </c>
      <c r="O1002">
        <v>107</v>
      </c>
      <c r="P1002">
        <v>3.7</v>
      </c>
      <c r="Q1002">
        <v>8.6999999999999993</v>
      </c>
      <c r="R1002">
        <v>5</v>
      </c>
      <c r="S1002">
        <v>2.35</v>
      </c>
      <c r="T1002">
        <v>5</v>
      </c>
      <c r="U1002" t="s">
        <v>23</v>
      </c>
      <c r="V1002" t="e">
        <f>IF(#REF! = "yes", 1, 0)</f>
        <v>#REF!</v>
      </c>
      <c r="W1002" t="e">
        <f>IF(#REF! &lt;= 1, "0-1 Calls", IF(#REF! &lt;= 3, "2-3 Calls", IF(#REF! &lt;=5, "4-5 Calls", "6+ Calls")))</f>
        <v>#REF!</v>
      </c>
      <c r="X1002" t="e">
        <f>IF(#REF! &lt;= 50, "0-50", IF(#REF! &lt;=100, "51-100", IF(#REF! &lt;= 150, "101-150", "151+")))</f>
        <v>#REF!</v>
      </c>
      <c r="Y1002" t="e">
        <f>IF(#REF! &lt;= 3, "Low Charges", "High Charges")</f>
        <v>#REF!</v>
      </c>
      <c r="Z1002" t="e">
        <f>IF(#REF!&lt;=80,"Low Calls",
IF(#REF!&lt;=120,"Medium Calls","High Calls"))</f>
        <v>#REF!</v>
      </c>
      <c r="AA1002" t="e">
        <f>IF(#REF!&lt;=15,"Low Charges",
IF(#REF!&lt;=20,"Medium Charges","High Charges"))</f>
        <v>#REF!</v>
      </c>
      <c r="AB1002" t="e">
        <f>IF(AND(#REF!&gt;180, #REF!&gt;200), "Heavy Doemstic User", IF(#REF!&gt;10, "Interntional User", IF(AND(#REF!&lt;180, #REF!&lt;200,#REF!&lt;200), "Light User", "Balanced User")))</f>
        <v>#REF!</v>
      </c>
      <c r="AC1002" t="e">
        <f>IF(#REF! = 0, "No Usage", IF(#REF! &lt;= 20, "Low Usage", IF(#REF! &lt;= 40, "Medium Usgae", "High Usage")))</f>
        <v>#REF!</v>
      </c>
      <c r="AD1002" t="e">
        <f>IF(#REF!&lt;=150,"Low Usage", IF(#REF!&lt;=200,"Medium Usage", IF(#REF!&lt;=250,"High Usage","Very High Usage")))</f>
        <v>#REF!</v>
      </c>
      <c r="AE1002" t="e">
        <f>IF(#REF!&lt;=5,"Low Calls", IF(#REF!&lt;=10, "Medium Calls", "High Calls"))</f>
        <v>#REF!</v>
      </c>
      <c r="AF1002" t="e">
        <f xml:space="preserve">
IF(#REF!&gt;=4,4,0)+
IF(#REF!="yes",3,0)+
IF(#REF!="High Charges",3,0)+
IF(#REF!&gt;250,4,0)+
IF(#REF!="no",1,0)+
IF(#REF!="Heavy Domestic User",2,0)</f>
        <v>#REF!</v>
      </c>
      <c r="AG1002" t="e">
        <f>IF(#REF!&gt;=10,"High Risk", IF(#REF!&gt;=5,"Medium Risk","Low Risk"))</f>
        <v>#REF!</v>
      </c>
      <c r="AH1002" t="e">
        <f>#REF! + #REF! + #REF! + #REF!</f>
        <v>#REF!</v>
      </c>
    </row>
    <row r="1003" spans="1:34" x14ac:dyDescent="0.35">
      <c r="A1003">
        <v>1002</v>
      </c>
      <c r="B1003" t="s">
        <v>52</v>
      </c>
      <c r="C1003">
        <v>135</v>
      </c>
      <c r="D1003" t="s">
        <v>21</v>
      </c>
      <c r="E1003" t="s">
        <v>22</v>
      </c>
      <c r="F1003" t="s">
        <v>22</v>
      </c>
      <c r="G1003">
        <v>0</v>
      </c>
      <c r="H1003">
        <v>194.8</v>
      </c>
      <c r="I1003">
        <v>97</v>
      </c>
      <c r="J1003">
        <v>33.119999999999997</v>
      </c>
      <c r="K1003">
        <v>235.3</v>
      </c>
      <c r="L1003">
        <v>118</v>
      </c>
      <c r="M1003">
        <v>20</v>
      </c>
      <c r="N1003">
        <v>174.4</v>
      </c>
      <c r="O1003">
        <v>126</v>
      </c>
      <c r="P1003">
        <v>7.85</v>
      </c>
      <c r="Q1003">
        <v>11</v>
      </c>
      <c r="R1003">
        <v>3</v>
      </c>
      <c r="S1003">
        <v>2.97</v>
      </c>
      <c r="T1003">
        <v>1</v>
      </c>
      <c r="U1003" t="s">
        <v>22</v>
      </c>
      <c r="V1003" t="e">
        <f>IF(#REF! = "yes", 1, 0)</f>
        <v>#REF!</v>
      </c>
      <c r="W1003" t="e">
        <f>IF(#REF! &lt;= 1, "0-1 Calls", IF(#REF! &lt;= 3, "2-3 Calls", IF(#REF! &lt;=5, "4-5 Calls", "6+ Calls")))</f>
        <v>#REF!</v>
      </c>
      <c r="X1003" t="e">
        <f>IF(#REF! &lt;= 50, "0-50", IF(#REF! &lt;=100, "51-100", IF(#REF! &lt;= 150, "101-150", "151+")))</f>
        <v>#REF!</v>
      </c>
      <c r="Y1003" t="e">
        <f>IF(#REF! &lt;= 3, "Low Charges", "High Charges")</f>
        <v>#REF!</v>
      </c>
      <c r="Z1003" t="e">
        <f>IF(#REF!&lt;=80,"Low Calls",
IF(#REF!&lt;=120,"Medium Calls","High Calls"))</f>
        <v>#REF!</v>
      </c>
      <c r="AA1003" t="e">
        <f>IF(#REF!&lt;=15,"Low Charges",
IF(#REF!&lt;=20,"Medium Charges","High Charges"))</f>
        <v>#REF!</v>
      </c>
      <c r="AB1003" t="e">
        <f>IF(AND(#REF!&gt;180, #REF!&gt;200), "Heavy Doemstic User", IF(#REF!&gt;10, "Interntional User", IF(AND(#REF!&lt;180, #REF!&lt;200,#REF!&lt;200), "Light User", "Balanced User")))</f>
        <v>#REF!</v>
      </c>
      <c r="AC1003" t="e">
        <f>IF(#REF! = 0, "No Usage", IF(#REF! &lt;= 20, "Low Usage", IF(#REF! &lt;= 40, "Medium Usgae", "High Usage")))</f>
        <v>#REF!</v>
      </c>
      <c r="AD1003" t="e">
        <f>IF(#REF!&lt;=150,"Low Usage", IF(#REF!&lt;=200,"Medium Usage", IF(#REF!&lt;=250,"High Usage","Very High Usage")))</f>
        <v>#REF!</v>
      </c>
      <c r="AE1003" t="e">
        <f>IF(#REF!&lt;=5,"Low Calls", IF(#REF!&lt;=10, "Medium Calls", "High Calls"))</f>
        <v>#REF!</v>
      </c>
      <c r="AF1003" t="e">
        <f xml:space="preserve">
IF(#REF!&gt;=4,4,0)+
IF(#REF!="yes",3,0)+
IF(#REF!="High Charges",3,0)+
IF(#REF!&gt;250,4,0)+
IF(#REF!="no",1,0)+
IF(#REF!="Heavy Domestic User",2,0)</f>
        <v>#REF!</v>
      </c>
      <c r="AG1003" t="e">
        <f>IF(#REF!&gt;=10,"High Risk", IF(#REF!&gt;=5,"Medium Risk","Low Risk"))</f>
        <v>#REF!</v>
      </c>
      <c r="AH1003" t="e">
        <f>#REF! + #REF! + #REF! + #REF!</f>
        <v>#REF!</v>
      </c>
    </row>
    <row r="1004" spans="1:34" x14ac:dyDescent="0.35">
      <c r="A1004">
        <v>1003</v>
      </c>
      <c r="B1004" t="s">
        <v>32</v>
      </c>
      <c r="C1004">
        <v>100</v>
      </c>
      <c r="D1004" t="s">
        <v>28</v>
      </c>
      <c r="E1004" t="s">
        <v>22</v>
      </c>
      <c r="F1004" t="s">
        <v>22</v>
      </c>
      <c r="G1004">
        <v>0</v>
      </c>
      <c r="H1004">
        <v>247.8</v>
      </c>
      <c r="I1004">
        <v>117</v>
      </c>
      <c r="J1004">
        <v>42.13</v>
      </c>
      <c r="K1004">
        <v>130</v>
      </c>
      <c r="L1004">
        <v>95</v>
      </c>
      <c r="M1004">
        <v>11.05</v>
      </c>
      <c r="N1004">
        <v>134.30000000000001</v>
      </c>
      <c r="O1004">
        <v>125</v>
      </c>
      <c r="P1004">
        <v>6.04</v>
      </c>
      <c r="Q1004">
        <v>6.9</v>
      </c>
      <c r="R1004">
        <v>2</v>
      </c>
      <c r="S1004">
        <v>1.86</v>
      </c>
      <c r="T1004">
        <v>1</v>
      </c>
      <c r="U1004" t="s">
        <v>22</v>
      </c>
      <c r="V1004" t="e">
        <f>IF(#REF! = "yes", 1, 0)</f>
        <v>#REF!</v>
      </c>
      <c r="W1004" t="e">
        <f>IF(#REF! &lt;= 1, "0-1 Calls", IF(#REF! &lt;= 3, "2-3 Calls", IF(#REF! &lt;=5, "4-5 Calls", "6+ Calls")))</f>
        <v>#REF!</v>
      </c>
      <c r="X1004" t="e">
        <f>IF(#REF! &lt;= 50, "0-50", IF(#REF! &lt;=100, "51-100", IF(#REF! &lt;= 150, "101-150", "151+")))</f>
        <v>#REF!</v>
      </c>
      <c r="Y1004" t="e">
        <f>IF(#REF! &lt;= 3, "Low Charges", "High Charges")</f>
        <v>#REF!</v>
      </c>
      <c r="Z1004" t="e">
        <f>IF(#REF!&lt;=80,"Low Calls",
IF(#REF!&lt;=120,"Medium Calls","High Calls"))</f>
        <v>#REF!</v>
      </c>
      <c r="AA1004" t="e">
        <f>IF(#REF!&lt;=15,"Low Charges",
IF(#REF!&lt;=20,"Medium Charges","High Charges"))</f>
        <v>#REF!</v>
      </c>
      <c r="AB1004" t="e">
        <f>IF(AND(#REF!&gt;180, #REF!&gt;200), "Heavy Doemstic User", IF(#REF!&gt;10, "Interntional User", IF(AND(#REF!&lt;180, #REF!&lt;200,#REF!&lt;200), "Light User", "Balanced User")))</f>
        <v>#REF!</v>
      </c>
      <c r="AC1004" t="e">
        <f>IF(#REF! = 0, "No Usage", IF(#REF! &lt;= 20, "Low Usage", IF(#REF! &lt;= 40, "Medium Usgae", "High Usage")))</f>
        <v>#REF!</v>
      </c>
      <c r="AD1004" t="e">
        <f>IF(#REF!&lt;=150,"Low Usage", IF(#REF!&lt;=200,"Medium Usage", IF(#REF!&lt;=250,"High Usage","Very High Usage")))</f>
        <v>#REF!</v>
      </c>
      <c r="AE1004" t="e">
        <f>IF(#REF!&lt;=5,"Low Calls", IF(#REF!&lt;=10, "Medium Calls", "High Calls"))</f>
        <v>#REF!</v>
      </c>
      <c r="AF1004" t="e">
        <f xml:space="preserve">
IF(#REF!&gt;=4,4,0)+
IF(#REF!="yes",3,0)+
IF(#REF!="High Charges",3,0)+
IF(#REF!&gt;250,4,0)+
IF(#REF!="no",1,0)+
IF(#REF!="Heavy Domestic User",2,0)</f>
        <v>#REF!</v>
      </c>
      <c r="AG1004" t="e">
        <f>IF(#REF!&gt;=10,"High Risk", IF(#REF!&gt;=5,"Medium Risk","Low Risk"))</f>
        <v>#REF!</v>
      </c>
      <c r="AH1004" t="e">
        <f>#REF! + #REF! + #REF! + #REF!</f>
        <v>#REF!</v>
      </c>
    </row>
    <row r="1005" spans="1:34" x14ac:dyDescent="0.35">
      <c r="A1005">
        <v>1004</v>
      </c>
      <c r="B1005" t="s">
        <v>29</v>
      </c>
      <c r="C1005">
        <v>98</v>
      </c>
      <c r="D1005" t="s">
        <v>21</v>
      </c>
      <c r="E1005" t="s">
        <v>22</v>
      </c>
      <c r="F1005" t="s">
        <v>22</v>
      </c>
      <c r="G1005">
        <v>0</v>
      </c>
      <c r="H1005">
        <v>221.2</v>
      </c>
      <c r="I1005">
        <v>80</v>
      </c>
      <c r="J1005">
        <v>37.6</v>
      </c>
      <c r="K1005">
        <v>213.6</v>
      </c>
      <c r="L1005">
        <v>104</v>
      </c>
      <c r="M1005">
        <v>18.16</v>
      </c>
      <c r="N1005">
        <v>291.8</v>
      </c>
      <c r="O1005">
        <v>89</v>
      </c>
      <c r="P1005">
        <v>13.13</v>
      </c>
      <c r="Q1005">
        <v>11.9</v>
      </c>
      <c r="R1005">
        <v>3</v>
      </c>
      <c r="S1005">
        <v>3.21</v>
      </c>
      <c r="T1005">
        <v>4</v>
      </c>
      <c r="U1005" t="s">
        <v>22</v>
      </c>
      <c r="V1005" t="e">
        <f>IF(#REF! = "yes", 1, 0)</f>
        <v>#REF!</v>
      </c>
      <c r="W1005" t="e">
        <f>IF(#REF! &lt;= 1, "0-1 Calls", IF(#REF! &lt;= 3, "2-3 Calls", IF(#REF! &lt;=5, "4-5 Calls", "6+ Calls")))</f>
        <v>#REF!</v>
      </c>
      <c r="X1005" t="e">
        <f>IF(#REF! &lt;= 50, "0-50", IF(#REF! &lt;=100, "51-100", IF(#REF! &lt;= 150, "101-150", "151+")))</f>
        <v>#REF!</v>
      </c>
      <c r="Y1005" t="e">
        <f>IF(#REF! &lt;= 3, "Low Charges", "High Charges")</f>
        <v>#REF!</v>
      </c>
      <c r="Z1005" t="e">
        <f>IF(#REF!&lt;=80,"Low Calls",
IF(#REF!&lt;=120,"Medium Calls","High Calls"))</f>
        <v>#REF!</v>
      </c>
      <c r="AA1005" t="e">
        <f>IF(#REF!&lt;=15,"Low Charges",
IF(#REF!&lt;=20,"Medium Charges","High Charges"))</f>
        <v>#REF!</v>
      </c>
      <c r="AB1005" t="e">
        <f>IF(AND(#REF!&gt;180, #REF!&gt;200), "Heavy Doemstic User", IF(#REF!&gt;10, "Interntional User", IF(AND(#REF!&lt;180, #REF!&lt;200,#REF!&lt;200), "Light User", "Balanced User")))</f>
        <v>#REF!</v>
      </c>
      <c r="AC1005" t="e">
        <f>IF(#REF! = 0, "No Usage", IF(#REF! &lt;= 20, "Low Usage", IF(#REF! &lt;= 40, "Medium Usgae", "High Usage")))</f>
        <v>#REF!</v>
      </c>
      <c r="AD1005" t="e">
        <f>IF(#REF!&lt;=150,"Low Usage", IF(#REF!&lt;=200,"Medium Usage", IF(#REF!&lt;=250,"High Usage","Very High Usage")))</f>
        <v>#REF!</v>
      </c>
      <c r="AE1005" t="e">
        <f>IF(#REF!&lt;=5,"Low Calls", IF(#REF!&lt;=10, "Medium Calls", "High Calls"))</f>
        <v>#REF!</v>
      </c>
      <c r="AF1005" t="e">
        <f xml:space="preserve">
IF(#REF!&gt;=4,4,0)+
IF(#REF!="yes",3,0)+
IF(#REF!="High Charges",3,0)+
IF(#REF!&gt;250,4,0)+
IF(#REF!="no",1,0)+
IF(#REF!="Heavy Domestic User",2,0)</f>
        <v>#REF!</v>
      </c>
      <c r="AG1005" t="e">
        <f>IF(#REF!&gt;=10,"High Risk", IF(#REF!&gt;=5,"Medium Risk","Low Risk"))</f>
        <v>#REF!</v>
      </c>
      <c r="AH1005" t="e">
        <f>#REF! + #REF! + #REF! + #REF!</f>
        <v>#REF!</v>
      </c>
    </row>
    <row r="1006" spans="1:34" x14ac:dyDescent="0.35">
      <c r="A1006">
        <v>1005</v>
      </c>
      <c r="B1006" t="s">
        <v>63</v>
      </c>
      <c r="C1006">
        <v>180</v>
      </c>
      <c r="D1006" t="s">
        <v>21</v>
      </c>
      <c r="E1006" t="s">
        <v>22</v>
      </c>
      <c r="F1006" t="s">
        <v>23</v>
      </c>
      <c r="G1006">
        <v>33</v>
      </c>
      <c r="H1006">
        <v>231.8</v>
      </c>
      <c r="I1006">
        <v>78</v>
      </c>
      <c r="J1006">
        <v>39.409999999999997</v>
      </c>
      <c r="K1006">
        <v>232.9</v>
      </c>
      <c r="L1006">
        <v>79</v>
      </c>
      <c r="M1006">
        <v>19.8</v>
      </c>
      <c r="N1006">
        <v>206.9</v>
      </c>
      <c r="O1006">
        <v>121</v>
      </c>
      <c r="P1006">
        <v>9.31</v>
      </c>
      <c r="Q1006">
        <v>7.6</v>
      </c>
      <c r="R1006">
        <v>4</v>
      </c>
      <c r="S1006">
        <v>2.0499999999999998</v>
      </c>
      <c r="T1006">
        <v>1</v>
      </c>
      <c r="U1006" t="s">
        <v>22</v>
      </c>
      <c r="V1006" t="e">
        <f>IF(#REF! = "yes", 1, 0)</f>
        <v>#REF!</v>
      </c>
      <c r="W1006" t="e">
        <f>IF(#REF! &lt;= 1, "0-1 Calls", IF(#REF! &lt;= 3, "2-3 Calls", IF(#REF! &lt;=5, "4-5 Calls", "6+ Calls")))</f>
        <v>#REF!</v>
      </c>
      <c r="X1006" t="e">
        <f>IF(#REF! &lt;= 50, "0-50", IF(#REF! &lt;=100, "51-100", IF(#REF! &lt;= 150, "101-150", "151+")))</f>
        <v>#REF!</v>
      </c>
      <c r="Y1006" t="e">
        <f>IF(#REF! &lt;= 3, "Low Charges", "High Charges")</f>
        <v>#REF!</v>
      </c>
      <c r="Z1006" t="e">
        <f>IF(#REF!&lt;=80,"Low Calls",
IF(#REF!&lt;=120,"Medium Calls","High Calls"))</f>
        <v>#REF!</v>
      </c>
      <c r="AA1006" t="e">
        <f>IF(#REF!&lt;=15,"Low Charges",
IF(#REF!&lt;=20,"Medium Charges","High Charges"))</f>
        <v>#REF!</v>
      </c>
      <c r="AB1006" t="e">
        <f>IF(AND(#REF!&gt;180, #REF!&gt;200), "Heavy Doemstic User", IF(#REF!&gt;10, "Interntional User", IF(AND(#REF!&lt;180, #REF!&lt;200,#REF!&lt;200), "Light User", "Balanced User")))</f>
        <v>#REF!</v>
      </c>
      <c r="AC1006" t="e">
        <f>IF(#REF! = 0, "No Usage", IF(#REF! &lt;= 20, "Low Usage", IF(#REF! &lt;= 40, "Medium Usgae", "High Usage")))</f>
        <v>#REF!</v>
      </c>
      <c r="AD1006" t="e">
        <f>IF(#REF!&lt;=150,"Low Usage", IF(#REF!&lt;=200,"Medium Usage", IF(#REF!&lt;=250,"High Usage","Very High Usage")))</f>
        <v>#REF!</v>
      </c>
      <c r="AE1006" t="e">
        <f>IF(#REF!&lt;=5,"Low Calls", IF(#REF!&lt;=10, "Medium Calls", "High Calls"))</f>
        <v>#REF!</v>
      </c>
      <c r="AF1006" t="e">
        <f xml:space="preserve">
IF(#REF!&gt;=4,4,0)+
IF(#REF!="yes",3,0)+
IF(#REF!="High Charges",3,0)+
IF(#REF!&gt;250,4,0)+
IF(#REF!="no",1,0)+
IF(#REF!="Heavy Domestic User",2,0)</f>
        <v>#REF!</v>
      </c>
      <c r="AG1006" t="e">
        <f>IF(#REF!&gt;=10,"High Risk", IF(#REF!&gt;=5,"Medium Risk","Low Risk"))</f>
        <v>#REF!</v>
      </c>
      <c r="AH1006" t="e">
        <f>#REF! + #REF! + #REF! + #REF!</f>
        <v>#REF!</v>
      </c>
    </row>
    <row r="1007" spans="1:34" x14ac:dyDescent="0.35">
      <c r="A1007">
        <v>1006</v>
      </c>
      <c r="B1007" t="s">
        <v>64</v>
      </c>
      <c r="C1007">
        <v>100</v>
      </c>
      <c r="D1007" t="s">
        <v>21</v>
      </c>
      <c r="E1007" t="s">
        <v>22</v>
      </c>
      <c r="F1007" t="s">
        <v>23</v>
      </c>
      <c r="G1007">
        <v>25</v>
      </c>
      <c r="H1007">
        <v>215.9</v>
      </c>
      <c r="I1007">
        <v>90</v>
      </c>
      <c r="J1007">
        <v>36.700000000000003</v>
      </c>
      <c r="K1007">
        <v>257.89999999999998</v>
      </c>
      <c r="L1007">
        <v>92</v>
      </c>
      <c r="M1007">
        <v>21.92</v>
      </c>
      <c r="N1007">
        <v>180.2</v>
      </c>
      <c r="O1007">
        <v>157</v>
      </c>
      <c r="P1007">
        <v>8.11</v>
      </c>
      <c r="Q1007">
        <v>11.6</v>
      </c>
      <c r="R1007">
        <v>4</v>
      </c>
      <c r="S1007">
        <v>3.13</v>
      </c>
      <c r="T1007">
        <v>1</v>
      </c>
      <c r="U1007" t="s">
        <v>22</v>
      </c>
      <c r="V1007" t="e">
        <f>IF(#REF! = "yes", 1, 0)</f>
        <v>#REF!</v>
      </c>
      <c r="W1007" t="e">
        <f>IF(#REF! &lt;= 1, "0-1 Calls", IF(#REF! &lt;= 3, "2-3 Calls", IF(#REF! &lt;=5, "4-5 Calls", "6+ Calls")))</f>
        <v>#REF!</v>
      </c>
      <c r="X1007" t="e">
        <f>IF(#REF! &lt;= 50, "0-50", IF(#REF! &lt;=100, "51-100", IF(#REF! &lt;= 150, "101-150", "151+")))</f>
        <v>#REF!</v>
      </c>
      <c r="Y1007" t="e">
        <f>IF(#REF! &lt;= 3, "Low Charges", "High Charges")</f>
        <v>#REF!</v>
      </c>
      <c r="Z1007" t="e">
        <f>IF(#REF!&lt;=80,"Low Calls",
IF(#REF!&lt;=120,"Medium Calls","High Calls"))</f>
        <v>#REF!</v>
      </c>
      <c r="AA1007" t="e">
        <f>IF(#REF!&lt;=15,"Low Charges",
IF(#REF!&lt;=20,"Medium Charges","High Charges"))</f>
        <v>#REF!</v>
      </c>
      <c r="AB1007" t="e">
        <f>IF(AND(#REF!&gt;180, #REF!&gt;200), "Heavy Doemstic User", IF(#REF!&gt;10, "Interntional User", IF(AND(#REF!&lt;180, #REF!&lt;200,#REF!&lt;200), "Light User", "Balanced User")))</f>
        <v>#REF!</v>
      </c>
      <c r="AC1007" t="e">
        <f>IF(#REF! = 0, "No Usage", IF(#REF! &lt;= 20, "Low Usage", IF(#REF! &lt;= 40, "Medium Usgae", "High Usage")))</f>
        <v>#REF!</v>
      </c>
      <c r="AD1007" t="e">
        <f>IF(#REF!&lt;=150,"Low Usage", IF(#REF!&lt;=200,"Medium Usage", IF(#REF!&lt;=250,"High Usage","Very High Usage")))</f>
        <v>#REF!</v>
      </c>
      <c r="AE1007" t="e">
        <f>IF(#REF!&lt;=5,"Low Calls", IF(#REF!&lt;=10, "Medium Calls", "High Calls"))</f>
        <v>#REF!</v>
      </c>
      <c r="AF1007" t="e">
        <f xml:space="preserve">
IF(#REF!&gt;=4,4,0)+
IF(#REF!="yes",3,0)+
IF(#REF!="High Charges",3,0)+
IF(#REF!&gt;250,4,0)+
IF(#REF!="no",1,0)+
IF(#REF!="Heavy Domestic User",2,0)</f>
        <v>#REF!</v>
      </c>
      <c r="AG1007" t="e">
        <f>IF(#REF!&gt;=10,"High Risk", IF(#REF!&gt;=5,"Medium Risk","Low Risk"))</f>
        <v>#REF!</v>
      </c>
      <c r="AH1007" t="e">
        <f>#REF! + #REF! + #REF! + #REF!</f>
        <v>#REF!</v>
      </c>
    </row>
    <row r="1008" spans="1:34" x14ac:dyDescent="0.35">
      <c r="A1008">
        <v>1007</v>
      </c>
      <c r="B1008" t="s">
        <v>20</v>
      </c>
      <c r="C1008">
        <v>119</v>
      </c>
      <c r="D1008" t="s">
        <v>21</v>
      </c>
      <c r="E1008" t="s">
        <v>22</v>
      </c>
      <c r="F1008" t="s">
        <v>23</v>
      </c>
      <c r="G1008">
        <v>35</v>
      </c>
      <c r="H1008">
        <v>217.1</v>
      </c>
      <c r="I1008">
        <v>92</v>
      </c>
      <c r="J1008">
        <v>36.909999999999997</v>
      </c>
      <c r="K1008">
        <v>220.8</v>
      </c>
      <c r="L1008">
        <v>134</v>
      </c>
      <c r="M1008">
        <v>18.77</v>
      </c>
      <c r="N1008">
        <v>249.5</v>
      </c>
      <c r="O1008">
        <v>93</v>
      </c>
      <c r="P1008">
        <v>11.23</v>
      </c>
      <c r="Q1008">
        <v>8</v>
      </c>
      <c r="R1008">
        <v>5</v>
      </c>
      <c r="S1008">
        <v>2.16</v>
      </c>
      <c r="T1008">
        <v>2</v>
      </c>
      <c r="U1008" t="s">
        <v>22</v>
      </c>
      <c r="V1008" t="e">
        <f>IF(#REF! = "yes", 1, 0)</f>
        <v>#REF!</v>
      </c>
      <c r="W1008" t="e">
        <f>IF(#REF! &lt;= 1, "0-1 Calls", IF(#REF! &lt;= 3, "2-3 Calls", IF(#REF! &lt;=5, "4-5 Calls", "6+ Calls")))</f>
        <v>#REF!</v>
      </c>
      <c r="X1008" t="e">
        <f>IF(#REF! &lt;= 50, "0-50", IF(#REF! &lt;=100, "51-100", IF(#REF! &lt;= 150, "101-150", "151+")))</f>
        <v>#REF!</v>
      </c>
      <c r="Y1008" t="e">
        <f>IF(#REF! &lt;= 3, "Low Charges", "High Charges")</f>
        <v>#REF!</v>
      </c>
      <c r="Z1008" t="e">
        <f>IF(#REF!&lt;=80,"Low Calls",
IF(#REF!&lt;=120,"Medium Calls","High Calls"))</f>
        <v>#REF!</v>
      </c>
      <c r="AA1008" t="e">
        <f>IF(#REF!&lt;=15,"Low Charges",
IF(#REF!&lt;=20,"Medium Charges","High Charges"))</f>
        <v>#REF!</v>
      </c>
      <c r="AB1008" t="e">
        <f>IF(AND(#REF!&gt;180, #REF!&gt;200), "Heavy Doemstic User", IF(#REF!&gt;10, "Interntional User", IF(AND(#REF!&lt;180, #REF!&lt;200,#REF!&lt;200), "Light User", "Balanced User")))</f>
        <v>#REF!</v>
      </c>
      <c r="AC1008" t="e">
        <f>IF(#REF! = 0, "No Usage", IF(#REF! &lt;= 20, "Low Usage", IF(#REF! &lt;= 40, "Medium Usgae", "High Usage")))</f>
        <v>#REF!</v>
      </c>
      <c r="AD1008" t="e">
        <f>IF(#REF!&lt;=150,"Low Usage", IF(#REF!&lt;=200,"Medium Usage", IF(#REF!&lt;=250,"High Usage","Very High Usage")))</f>
        <v>#REF!</v>
      </c>
      <c r="AE1008" t="e">
        <f>IF(#REF!&lt;=5,"Low Calls", IF(#REF!&lt;=10, "Medium Calls", "High Calls"))</f>
        <v>#REF!</v>
      </c>
      <c r="AF1008" t="e">
        <f xml:space="preserve">
IF(#REF!&gt;=4,4,0)+
IF(#REF!="yes",3,0)+
IF(#REF!="High Charges",3,0)+
IF(#REF!&gt;250,4,0)+
IF(#REF!="no",1,0)+
IF(#REF!="Heavy Domestic User",2,0)</f>
        <v>#REF!</v>
      </c>
      <c r="AG1008" t="e">
        <f>IF(#REF!&gt;=10,"High Risk", IF(#REF!&gt;=5,"Medium Risk","Low Risk"))</f>
        <v>#REF!</v>
      </c>
      <c r="AH1008" t="e">
        <f>#REF! + #REF! + #REF! + #REF!</f>
        <v>#REF!</v>
      </c>
    </row>
    <row r="1009" spans="1:34" x14ac:dyDescent="0.35">
      <c r="A1009">
        <v>1008</v>
      </c>
      <c r="B1009" t="s">
        <v>29</v>
      </c>
      <c r="C1009">
        <v>86</v>
      </c>
      <c r="D1009" t="s">
        <v>21</v>
      </c>
      <c r="E1009" t="s">
        <v>22</v>
      </c>
      <c r="F1009" t="s">
        <v>22</v>
      </c>
      <c r="G1009">
        <v>0</v>
      </c>
      <c r="H1009">
        <v>83.5</v>
      </c>
      <c r="I1009">
        <v>96</v>
      </c>
      <c r="J1009">
        <v>14.2</v>
      </c>
      <c r="K1009">
        <v>221.1</v>
      </c>
      <c r="L1009">
        <v>63</v>
      </c>
      <c r="M1009">
        <v>18.79</v>
      </c>
      <c r="N1009">
        <v>349.7</v>
      </c>
      <c r="O1009">
        <v>75</v>
      </c>
      <c r="P1009">
        <v>15.74</v>
      </c>
      <c r="Q1009">
        <v>12.6</v>
      </c>
      <c r="R1009">
        <v>3</v>
      </c>
      <c r="S1009">
        <v>3.4</v>
      </c>
      <c r="T1009">
        <v>0</v>
      </c>
      <c r="U1009" t="s">
        <v>22</v>
      </c>
      <c r="V1009" t="e">
        <f>IF(#REF! = "yes", 1, 0)</f>
        <v>#REF!</v>
      </c>
      <c r="W1009" t="e">
        <f>IF(#REF! &lt;= 1, "0-1 Calls", IF(#REF! &lt;= 3, "2-3 Calls", IF(#REF! &lt;=5, "4-5 Calls", "6+ Calls")))</f>
        <v>#REF!</v>
      </c>
      <c r="X1009" t="e">
        <f>IF(#REF! &lt;= 50, "0-50", IF(#REF! &lt;=100, "51-100", IF(#REF! &lt;= 150, "101-150", "151+")))</f>
        <v>#REF!</v>
      </c>
      <c r="Y1009" t="e">
        <f>IF(#REF! &lt;= 3, "Low Charges", "High Charges")</f>
        <v>#REF!</v>
      </c>
      <c r="Z1009" t="e">
        <f>IF(#REF!&lt;=80,"Low Calls",
IF(#REF!&lt;=120,"Medium Calls","High Calls"))</f>
        <v>#REF!</v>
      </c>
      <c r="AA1009" t="e">
        <f>IF(#REF!&lt;=15,"Low Charges",
IF(#REF!&lt;=20,"Medium Charges","High Charges"))</f>
        <v>#REF!</v>
      </c>
      <c r="AB1009" t="e">
        <f>IF(AND(#REF!&gt;180, #REF!&gt;200), "Heavy Doemstic User", IF(#REF!&gt;10, "Interntional User", IF(AND(#REF!&lt;180, #REF!&lt;200,#REF!&lt;200), "Light User", "Balanced User")))</f>
        <v>#REF!</v>
      </c>
      <c r="AC1009" t="e">
        <f>IF(#REF! = 0, "No Usage", IF(#REF! &lt;= 20, "Low Usage", IF(#REF! &lt;= 40, "Medium Usgae", "High Usage")))</f>
        <v>#REF!</v>
      </c>
      <c r="AD1009" t="e">
        <f>IF(#REF!&lt;=150,"Low Usage", IF(#REF!&lt;=200,"Medium Usage", IF(#REF!&lt;=250,"High Usage","Very High Usage")))</f>
        <v>#REF!</v>
      </c>
      <c r="AE1009" t="e">
        <f>IF(#REF!&lt;=5,"Low Calls", IF(#REF!&lt;=10, "Medium Calls", "High Calls"))</f>
        <v>#REF!</v>
      </c>
      <c r="AF1009" t="e">
        <f xml:space="preserve">
IF(#REF!&gt;=4,4,0)+
IF(#REF!="yes",3,0)+
IF(#REF!="High Charges",3,0)+
IF(#REF!&gt;250,4,0)+
IF(#REF!="no",1,0)+
IF(#REF!="Heavy Domestic User",2,0)</f>
        <v>#REF!</v>
      </c>
      <c r="AG1009" t="e">
        <f>IF(#REF!&gt;=10,"High Risk", IF(#REF!&gt;=5,"Medium Risk","Low Risk"))</f>
        <v>#REF!</v>
      </c>
      <c r="AH1009" t="e">
        <f>#REF! + #REF! + #REF! + #REF!</f>
        <v>#REF!</v>
      </c>
    </row>
    <row r="1010" spans="1:34" x14ac:dyDescent="0.35">
      <c r="A1010">
        <v>1009</v>
      </c>
      <c r="B1010" t="s">
        <v>30</v>
      </c>
      <c r="C1010">
        <v>155</v>
      </c>
      <c r="D1010" t="s">
        <v>25</v>
      </c>
      <c r="E1010" t="s">
        <v>22</v>
      </c>
      <c r="F1010" t="s">
        <v>23</v>
      </c>
      <c r="G1010">
        <v>39</v>
      </c>
      <c r="H1010">
        <v>183.3</v>
      </c>
      <c r="I1010">
        <v>106</v>
      </c>
      <c r="J1010">
        <v>31.16</v>
      </c>
      <c r="K1010">
        <v>205.1</v>
      </c>
      <c r="L1010">
        <v>101</v>
      </c>
      <c r="M1010">
        <v>17.43</v>
      </c>
      <c r="N1010">
        <v>263.7</v>
      </c>
      <c r="O1010">
        <v>90</v>
      </c>
      <c r="P1010">
        <v>11.87</v>
      </c>
      <c r="Q1010">
        <v>5.0999999999999996</v>
      </c>
      <c r="R1010">
        <v>7</v>
      </c>
      <c r="S1010">
        <v>1.38</v>
      </c>
      <c r="T1010">
        <v>1</v>
      </c>
      <c r="U1010" t="s">
        <v>22</v>
      </c>
      <c r="V1010" t="e">
        <f>IF(#REF! = "yes", 1, 0)</f>
        <v>#REF!</v>
      </c>
      <c r="W1010" t="e">
        <f>IF(#REF! &lt;= 1, "0-1 Calls", IF(#REF! &lt;= 3, "2-3 Calls", IF(#REF! &lt;=5, "4-5 Calls", "6+ Calls")))</f>
        <v>#REF!</v>
      </c>
      <c r="X1010" t="e">
        <f>IF(#REF! &lt;= 50, "0-50", IF(#REF! &lt;=100, "51-100", IF(#REF! &lt;= 150, "101-150", "151+")))</f>
        <v>#REF!</v>
      </c>
      <c r="Y1010" t="e">
        <f>IF(#REF! &lt;= 3, "Low Charges", "High Charges")</f>
        <v>#REF!</v>
      </c>
      <c r="Z1010" t="e">
        <f>IF(#REF!&lt;=80,"Low Calls",
IF(#REF!&lt;=120,"Medium Calls","High Calls"))</f>
        <v>#REF!</v>
      </c>
      <c r="AA1010" t="e">
        <f>IF(#REF!&lt;=15,"Low Charges",
IF(#REF!&lt;=20,"Medium Charges","High Charges"))</f>
        <v>#REF!</v>
      </c>
      <c r="AB1010" t="e">
        <f>IF(AND(#REF!&gt;180, #REF!&gt;200), "Heavy Doemstic User", IF(#REF!&gt;10, "Interntional User", IF(AND(#REF!&lt;180, #REF!&lt;200,#REF!&lt;200), "Light User", "Balanced User")))</f>
        <v>#REF!</v>
      </c>
      <c r="AC1010" t="e">
        <f>IF(#REF! = 0, "No Usage", IF(#REF! &lt;= 20, "Low Usage", IF(#REF! &lt;= 40, "Medium Usgae", "High Usage")))</f>
        <v>#REF!</v>
      </c>
      <c r="AD1010" t="e">
        <f>IF(#REF!&lt;=150,"Low Usage", IF(#REF!&lt;=200,"Medium Usage", IF(#REF!&lt;=250,"High Usage","Very High Usage")))</f>
        <v>#REF!</v>
      </c>
      <c r="AE1010" t="e">
        <f>IF(#REF!&lt;=5,"Low Calls", IF(#REF!&lt;=10, "Medium Calls", "High Calls"))</f>
        <v>#REF!</v>
      </c>
      <c r="AF1010" t="e">
        <f xml:space="preserve">
IF(#REF!&gt;=4,4,0)+
IF(#REF!="yes",3,0)+
IF(#REF!="High Charges",3,0)+
IF(#REF!&gt;250,4,0)+
IF(#REF!="no",1,0)+
IF(#REF!="Heavy Domestic User",2,0)</f>
        <v>#REF!</v>
      </c>
      <c r="AG1010" t="e">
        <f>IF(#REF!&gt;=10,"High Risk", IF(#REF!&gt;=5,"Medium Risk","Low Risk"))</f>
        <v>#REF!</v>
      </c>
      <c r="AH1010" t="e">
        <f>#REF! + #REF! + #REF! + #REF!</f>
        <v>#REF!</v>
      </c>
    </row>
    <row r="1011" spans="1:34" x14ac:dyDescent="0.35">
      <c r="A1011">
        <v>1010</v>
      </c>
      <c r="B1011" t="s">
        <v>72</v>
      </c>
      <c r="C1011">
        <v>78</v>
      </c>
      <c r="D1011" t="s">
        <v>21</v>
      </c>
      <c r="E1011" t="s">
        <v>23</v>
      </c>
      <c r="F1011" t="s">
        <v>22</v>
      </c>
      <c r="G1011">
        <v>0</v>
      </c>
      <c r="H1011">
        <v>236.8</v>
      </c>
      <c r="I1011">
        <v>141</v>
      </c>
      <c r="J1011">
        <v>40.26</v>
      </c>
      <c r="K1011">
        <v>265.3</v>
      </c>
      <c r="L1011">
        <v>101</v>
      </c>
      <c r="M1011">
        <v>22.55</v>
      </c>
      <c r="N1011">
        <v>152.4</v>
      </c>
      <c r="O1011">
        <v>77</v>
      </c>
      <c r="P1011">
        <v>6.86</v>
      </c>
      <c r="Q1011">
        <v>9.5</v>
      </c>
      <c r="R1011">
        <v>2</v>
      </c>
      <c r="S1011">
        <v>2.57</v>
      </c>
      <c r="T1011">
        <v>1</v>
      </c>
      <c r="U1011" t="s">
        <v>23</v>
      </c>
      <c r="V1011" t="e">
        <f>IF(#REF! = "yes", 1, 0)</f>
        <v>#REF!</v>
      </c>
      <c r="W1011" t="e">
        <f>IF(#REF! &lt;= 1, "0-1 Calls", IF(#REF! &lt;= 3, "2-3 Calls", IF(#REF! &lt;=5, "4-5 Calls", "6+ Calls")))</f>
        <v>#REF!</v>
      </c>
      <c r="X1011" t="e">
        <f>IF(#REF! &lt;= 50, "0-50", IF(#REF! &lt;=100, "51-100", IF(#REF! &lt;= 150, "101-150", "151+")))</f>
        <v>#REF!</v>
      </c>
      <c r="Y1011" t="e">
        <f>IF(#REF! &lt;= 3, "Low Charges", "High Charges")</f>
        <v>#REF!</v>
      </c>
      <c r="Z1011" t="e">
        <f>IF(#REF!&lt;=80,"Low Calls",
IF(#REF!&lt;=120,"Medium Calls","High Calls"))</f>
        <v>#REF!</v>
      </c>
      <c r="AA1011" t="e">
        <f>IF(#REF!&lt;=15,"Low Charges",
IF(#REF!&lt;=20,"Medium Charges","High Charges"))</f>
        <v>#REF!</v>
      </c>
      <c r="AB1011" t="e">
        <f>IF(AND(#REF!&gt;180, #REF!&gt;200), "Heavy Doemstic User", IF(#REF!&gt;10, "Interntional User", IF(AND(#REF!&lt;180, #REF!&lt;200,#REF!&lt;200), "Light User", "Balanced User")))</f>
        <v>#REF!</v>
      </c>
      <c r="AC1011" t="e">
        <f>IF(#REF! = 0, "No Usage", IF(#REF! &lt;= 20, "Low Usage", IF(#REF! &lt;= 40, "Medium Usgae", "High Usage")))</f>
        <v>#REF!</v>
      </c>
      <c r="AD1011" t="e">
        <f>IF(#REF!&lt;=150,"Low Usage", IF(#REF!&lt;=200,"Medium Usage", IF(#REF!&lt;=250,"High Usage","Very High Usage")))</f>
        <v>#REF!</v>
      </c>
      <c r="AE1011" t="e">
        <f>IF(#REF!&lt;=5,"Low Calls", IF(#REF!&lt;=10, "Medium Calls", "High Calls"))</f>
        <v>#REF!</v>
      </c>
      <c r="AF1011" t="e">
        <f xml:space="preserve">
IF(#REF!&gt;=4,4,0)+
IF(#REF!="yes",3,0)+
IF(#REF!="High Charges",3,0)+
IF(#REF!&gt;250,4,0)+
IF(#REF!="no",1,0)+
IF(#REF!="Heavy Domestic User",2,0)</f>
        <v>#REF!</v>
      </c>
      <c r="AG1011" t="e">
        <f>IF(#REF!&gt;=10,"High Risk", IF(#REF!&gt;=5,"Medium Risk","Low Risk"))</f>
        <v>#REF!</v>
      </c>
      <c r="AH1011" t="e">
        <f>#REF! + #REF! + #REF! + #REF!</f>
        <v>#REF!</v>
      </c>
    </row>
    <row r="1012" spans="1:34" x14ac:dyDescent="0.35">
      <c r="A1012">
        <v>1011</v>
      </c>
      <c r="B1012" t="s">
        <v>24</v>
      </c>
      <c r="C1012">
        <v>153</v>
      </c>
      <c r="D1012" t="s">
        <v>21</v>
      </c>
      <c r="E1012" t="s">
        <v>22</v>
      </c>
      <c r="F1012" t="s">
        <v>22</v>
      </c>
      <c r="G1012">
        <v>0</v>
      </c>
      <c r="H1012">
        <v>193.8</v>
      </c>
      <c r="I1012">
        <v>90</v>
      </c>
      <c r="J1012">
        <v>32.950000000000003</v>
      </c>
      <c r="K1012">
        <v>195.3</v>
      </c>
      <c r="L1012">
        <v>121</v>
      </c>
      <c r="M1012">
        <v>16.600000000000001</v>
      </c>
      <c r="N1012">
        <v>182.7</v>
      </c>
      <c r="O1012">
        <v>108</v>
      </c>
      <c r="P1012">
        <v>8.2200000000000006</v>
      </c>
      <c r="Q1012">
        <v>8.5</v>
      </c>
      <c r="R1012">
        <v>3</v>
      </c>
      <c r="S1012">
        <v>2.2999999999999998</v>
      </c>
      <c r="T1012">
        <v>1</v>
      </c>
      <c r="U1012" t="s">
        <v>22</v>
      </c>
      <c r="V1012" t="e">
        <f>IF(#REF! = "yes", 1, 0)</f>
        <v>#REF!</v>
      </c>
      <c r="W1012" t="e">
        <f>IF(#REF! &lt;= 1, "0-1 Calls", IF(#REF! &lt;= 3, "2-3 Calls", IF(#REF! &lt;=5, "4-5 Calls", "6+ Calls")))</f>
        <v>#REF!</v>
      </c>
      <c r="X1012" t="e">
        <f>IF(#REF! &lt;= 50, "0-50", IF(#REF! &lt;=100, "51-100", IF(#REF! &lt;= 150, "101-150", "151+")))</f>
        <v>#REF!</v>
      </c>
      <c r="Y1012" t="e">
        <f>IF(#REF! &lt;= 3, "Low Charges", "High Charges")</f>
        <v>#REF!</v>
      </c>
      <c r="Z1012" t="e">
        <f>IF(#REF!&lt;=80,"Low Calls",
IF(#REF!&lt;=120,"Medium Calls","High Calls"))</f>
        <v>#REF!</v>
      </c>
      <c r="AA1012" t="e">
        <f>IF(#REF!&lt;=15,"Low Charges",
IF(#REF!&lt;=20,"Medium Charges","High Charges"))</f>
        <v>#REF!</v>
      </c>
      <c r="AB1012" t="e">
        <f>IF(AND(#REF!&gt;180, #REF!&gt;200), "Heavy Doemstic User", IF(#REF!&gt;10, "Interntional User", IF(AND(#REF!&lt;180, #REF!&lt;200,#REF!&lt;200), "Light User", "Balanced User")))</f>
        <v>#REF!</v>
      </c>
      <c r="AC1012" t="e">
        <f>IF(#REF! = 0, "No Usage", IF(#REF! &lt;= 20, "Low Usage", IF(#REF! &lt;= 40, "Medium Usgae", "High Usage")))</f>
        <v>#REF!</v>
      </c>
      <c r="AD1012" t="e">
        <f>IF(#REF!&lt;=150,"Low Usage", IF(#REF!&lt;=200,"Medium Usage", IF(#REF!&lt;=250,"High Usage","Very High Usage")))</f>
        <v>#REF!</v>
      </c>
      <c r="AE1012" t="e">
        <f>IF(#REF!&lt;=5,"Low Calls", IF(#REF!&lt;=10, "Medium Calls", "High Calls"))</f>
        <v>#REF!</v>
      </c>
      <c r="AF1012" t="e">
        <f xml:space="preserve">
IF(#REF!&gt;=4,4,0)+
IF(#REF!="yes",3,0)+
IF(#REF!="High Charges",3,0)+
IF(#REF!&gt;250,4,0)+
IF(#REF!="no",1,0)+
IF(#REF!="Heavy Domestic User",2,0)</f>
        <v>#REF!</v>
      </c>
      <c r="AG1012" t="e">
        <f>IF(#REF!&gt;=10,"High Risk", IF(#REF!&gt;=5,"Medium Risk","Low Risk"))</f>
        <v>#REF!</v>
      </c>
      <c r="AH1012" t="e">
        <f>#REF! + #REF! + #REF! + #REF!</f>
        <v>#REF!</v>
      </c>
    </row>
    <row r="1013" spans="1:34" x14ac:dyDescent="0.35">
      <c r="A1013">
        <v>1012</v>
      </c>
      <c r="B1013" t="s">
        <v>34</v>
      </c>
      <c r="C1013">
        <v>92</v>
      </c>
      <c r="D1013" t="s">
        <v>28</v>
      </c>
      <c r="E1013" t="s">
        <v>22</v>
      </c>
      <c r="F1013" t="s">
        <v>23</v>
      </c>
      <c r="G1013">
        <v>25</v>
      </c>
      <c r="H1013">
        <v>134</v>
      </c>
      <c r="I1013">
        <v>112</v>
      </c>
      <c r="J1013">
        <v>22.78</v>
      </c>
      <c r="K1013">
        <v>206</v>
      </c>
      <c r="L1013">
        <v>111</v>
      </c>
      <c r="M1013">
        <v>17.510000000000002</v>
      </c>
      <c r="N1013">
        <v>180.6</v>
      </c>
      <c r="O1013">
        <v>118</v>
      </c>
      <c r="P1013">
        <v>8.1300000000000008</v>
      </c>
      <c r="Q1013">
        <v>9.6999999999999993</v>
      </c>
      <c r="R1013">
        <v>4</v>
      </c>
      <c r="S1013">
        <v>2.62</v>
      </c>
      <c r="T1013">
        <v>0</v>
      </c>
      <c r="U1013" t="s">
        <v>22</v>
      </c>
      <c r="V1013" t="e">
        <f>IF(#REF! = "yes", 1, 0)</f>
        <v>#REF!</v>
      </c>
      <c r="W1013" t="e">
        <f>IF(#REF! &lt;= 1, "0-1 Calls", IF(#REF! &lt;= 3, "2-3 Calls", IF(#REF! &lt;=5, "4-5 Calls", "6+ Calls")))</f>
        <v>#REF!</v>
      </c>
      <c r="X1013" t="e">
        <f>IF(#REF! &lt;= 50, "0-50", IF(#REF! &lt;=100, "51-100", IF(#REF! &lt;= 150, "101-150", "151+")))</f>
        <v>#REF!</v>
      </c>
      <c r="Y1013" t="e">
        <f>IF(#REF! &lt;= 3, "Low Charges", "High Charges")</f>
        <v>#REF!</v>
      </c>
      <c r="Z1013" t="e">
        <f>IF(#REF!&lt;=80,"Low Calls",
IF(#REF!&lt;=120,"Medium Calls","High Calls"))</f>
        <v>#REF!</v>
      </c>
      <c r="AA1013" t="e">
        <f>IF(#REF!&lt;=15,"Low Charges",
IF(#REF!&lt;=20,"Medium Charges","High Charges"))</f>
        <v>#REF!</v>
      </c>
      <c r="AB1013" t="e">
        <f>IF(AND(#REF!&gt;180, #REF!&gt;200), "Heavy Doemstic User", IF(#REF!&gt;10, "Interntional User", IF(AND(#REF!&lt;180, #REF!&lt;200,#REF!&lt;200), "Light User", "Balanced User")))</f>
        <v>#REF!</v>
      </c>
      <c r="AC1013" t="e">
        <f>IF(#REF! = 0, "No Usage", IF(#REF! &lt;= 20, "Low Usage", IF(#REF! &lt;= 40, "Medium Usgae", "High Usage")))</f>
        <v>#REF!</v>
      </c>
      <c r="AD1013" t="e">
        <f>IF(#REF!&lt;=150,"Low Usage", IF(#REF!&lt;=200,"Medium Usage", IF(#REF!&lt;=250,"High Usage","Very High Usage")))</f>
        <v>#REF!</v>
      </c>
      <c r="AE1013" t="e">
        <f>IF(#REF!&lt;=5,"Low Calls", IF(#REF!&lt;=10, "Medium Calls", "High Calls"))</f>
        <v>#REF!</v>
      </c>
      <c r="AF1013" t="e">
        <f xml:space="preserve">
IF(#REF!&gt;=4,4,0)+
IF(#REF!="yes",3,0)+
IF(#REF!="High Charges",3,0)+
IF(#REF!&gt;250,4,0)+
IF(#REF!="no",1,0)+
IF(#REF!="Heavy Domestic User",2,0)</f>
        <v>#REF!</v>
      </c>
      <c r="AG1013" t="e">
        <f>IF(#REF!&gt;=10,"High Risk", IF(#REF!&gt;=5,"Medium Risk","Low Risk"))</f>
        <v>#REF!</v>
      </c>
      <c r="AH1013" t="e">
        <f>#REF! + #REF! + #REF! + #REF!</f>
        <v>#REF!</v>
      </c>
    </row>
    <row r="1014" spans="1:34" x14ac:dyDescent="0.35">
      <c r="A1014">
        <v>1013</v>
      </c>
      <c r="B1014" t="s">
        <v>59</v>
      </c>
      <c r="C1014">
        <v>13</v>
      </c>
      <c r="D1014" t="s">
        <v>28</v>
      </c>
      <c r="E1014" t="s">
        <v>22</v>
      </c>
      <c r="F1014" t="s">
        <v>23</v>
      </c>
      <c r="G1014">
        <v>25</v>
      </c>
      <c r="H1014">
        <v>176.6</v>
      </c>
      <c r="I1014">
        <v>65</v>
      </c>
      <c r="J1014">
        <v>30.02</v>
      </c>
      <c r="K1014">
        <v>172.7</v>
      </c>
      <c r="L1014">
        <v>96</v>
      </c>
      <c r="M1014">
        <v>14.68</v>
      </c>
      <c r="N1014">
        <v>104.5</v>
      </c>
      <c r="O1014">
        <v>128</v>
      </c>
      <c r="P1014">
        <v>4.7</v>
      </c>
      <c r="Q1014">
        <v>11.3</v>
      </c>
      <c r="R1014">
        <v>5</v>
      </c>
      <c r="S1014">
        <v>3.05</v>
      </c>
      <c r="T1014">
        <v>2</v>
      </c>
      <c r="U1014" t="s">
        <v>22</v>
      </c>
      <c r="V1014" t="e">
        <f>IF(#REF! = "yes", 1, 0)</f>
        <v>#REF!</v>
      </c>
      <c r="W1014" t="e">
        <f>IF(#REF! &lt;= 1, "0-1 Calls", IF(#REF! &lt;= 3, "2-3 Calls", IF(#REF! &lt;=5, "4-5 Calls", "6+ Calls")))</f>
        <v>#REF!</v>
      </c>
      <c r="X1014" t="e">
        <f>IF(#REF! &lt;= 50, "0-50", IF(#REF! &lt;=100, "51-100", IF(#REF! &lt;= 150, "101-150", "151+")))</f>
        <v>#REF!</v>
      </c>
      <c r="Y1014" t="e">
        <f>IF(#REF! &lt;= 3, "Low Charges", "High Charges")</f>
        <v>#REF!</v>
      </c>
      <c r="Z1014" t="e">
        <f>IF(#REF!&lt;=80,"Low Calls",
IF(#REF!&lt;=120,"Medium Calls","High Calls"))</f>
        <v>#REF!</v>
      </c>
      <c r="AA1014" t="e">
        <f>IF(#REF!&lt;=15,"Low Charges",
IF(#REF!&lt;=20,"Medium Charges","High Charges"))</f>
        <v>#REF!</v>
      </c>
      <c r="AB1014" t="e">
        <f>IF(AND(#REF!&gt;180, #REF!&gt;200), "Heavy Doemstic User", IF(#REF!&gt;10, "Interntional User", IF(AND(#REF!&lt;180, #REF!&lt;200,#REF!&lt;200), "Light User", "Balanced User")))</f>
        <v>#REF!</v>
      </c>
      <c r="AC1014" t="e">
        <f>IF(#REF! = 0, "No Usage", IF(#REF! &lt;= 20, "Low Usage", IF(#REF! &lt;= 40, "Medium Usgae", "High Usage")))</f>
        <v>#REF!</v>
      </c>
      <c r="AD1014" t="e">
        <f>IF(#REF!&lt;=150,"Low Usage", IF(#REF!&lt;=200,"Medium Usage", IF(#REF!&lt;=250,"High Usage","Very High Usage")))</f>
        <v>#REF!</v>
      </c>
      <c r="AE1014" t="e">
        <f>IF(#REF!&lt;=5,"Low Calls", IF(#REF!&lt;=10, "Medium Calls", "High Calls"))</f>
        <v>#REF!</v>
      </c>
      <c r="AF1014" t="e">
        <f xml:space="preserve">
IF(#REF!&gt;=4,4,0)+
IF(#REF!="yes",3,0)+
IF(#REF!="High Charges",3,0)+
IF(#REF!&gt;250,4,0)+
IF(#REF!="no",1,0)+
IF(#REF!="Heavy Domestic User",2,0)</f>
        <v>#REF!</v>
      </c>
      <c r="AG1014" t="e">
        <f>IF(#REF!&gt;=10,"High Risk", IF(#REF!&gt;=5,"Medium Risk","Low Risk"))</f>
        <v>#REF!</v>
      </c>
      <c r="AH1014" t="e">
        <f>#REF! + #REF! + #REF! + #REF!</f>
        <v>#REF!</v>
      </c>
    </row>
    <row r="1015" spans="1:34" x14ac:dyDescent="0.35">
      <c r="A1015">
        <v>1014</v>
      </c>
      <c r="B1015" t="s">
        <v>69</v>
      </c>
      <c r="C1015">
        <v>154</v>
      </c>
      <c r="D1015" t="s">
        <v>21</v>
      </c>
      <c r="E1015" t="s">
        <v>22</v>
      </c>
      <c r="F1015" t="s">
        <v>22</v>
      </c>
      <c r="G1015">
        <v>0</v>
      </c>
      <c r="H1015">
        <v>191.4</v>
      </c>
      <c r="I1015">
        <v>93</v>
      </c>
      <c r="J1015">
        <v>32.54</v>
      </c>
      <c r="K1015">
        <v>205.4</v>
      </c>
      <c r="L1015">
        <v>119</v>
      </c>
      <c r="M1015">
        <v>17.46</v>
      </c>
      <c r="N1015">
        <v>205.7</v>
      </c>
      <c r="O1015">
        <v>121</v>
      </c>
      <c r="P1015">
        <v>9.26</v>
      </c>
      <c r="Q1015">
        <v>10.199999999999999</v>
      </c>
      <c r="R1015">
        <v>3</v>
      </c>
      <c r="S1015">
        <v>2.75</v>
      </c>
      <c r="T1015">
        <v>3</v>
      </c>
      <c r="U1015" t="s">
        <v>22</v>
      </c>
      <c r="V1015" t="e">
        <f>IF(#REF! = "yes", 1, 0)</f>
        <v>#REF!</v>
      </c>
      <c r="W1015" t="e">
        <f>IF(#REF! &lt;= 1, "0-1 Calls", IF(#REF! &lt;= 3, "2-3 Calls", IF(#REF! &lt;=5, "4-5 Calls", "6+ Calls")))</f>
        <v>#REF!</v>
      </c>
      <c r="X1015" t="e">
        <f>IF(#REF! &lt;= 50, "0-50", IF(#REF! &lt;=100, "51-100", IF(#REF! &lt;= 150, "101-150", "151+")))</f>
        <v>#REF!</v>
      </c>
      <c r="Y1015" t="e">
        <f>IF(#REF! &lt;= 3, "Low Charges", "High Charges")</f>
        <v>#REF!</v>
      </c>
      <c r="Z1015" t="e">
        <f>IF(#REF!&lt;=80,"Low Calls",
IF(#REF!&lt;=120,"Medium Calls","High Calls"))</f>
        <v>#REF!</v>
      </c>
      <c r="AA1015" t="e">
        <f>IF(#REF!&lt;=15,"Low Charges",
IF(#REF!&lt;=20,"Medium Charges","High Charges"))</f>
        <v>#REF!</v>
      </c>
      <c r="AB1015" t="e">
        <f>IF(AND(#REF!&gt;180, #REF!&gt;200), "Heavy Doemstic User", IF(#REF!&gt;10, "Interntional User", IF(AND(#REF!&lt;180, #REF!&lt;200,#REF!&lt;200), "Light User", "Balanced User")))</f>
        <v>#REF!</v>
      </c>
      <c r="AC1015" t="e">
        <f>IF(#REF! = 0, "No Usage", IF(#REF! &lt;= 20, "Low Usage", IF(#REF! &lt;= 40, "Medium Usgae", "High Usage")))</f>
        <v>#REF!</v>
      </c>
      <c r="AD1015" t="e">
        <f>IF(#REF!&lt;=150,"Low Usage", IF(#REF!&lt;=200,"Medium Usage", IF(#REF!&lt;=250,"High Usage","Very High Usage")))</f>
        <v>#REF!</v>
      </c>
      <c r="AE1015" t="e">
        <f>IF(#REF!&lt;=5,"Low Calls", IF(#REF!&lt;=10, "Medium Calls", "High Calls"))</f>
        <v>#REF!</v>
      </c>
      <c r="AF1015" t="e">
        <f xml:space="preserve">
IF(#REF!&gt;=4,4,0)+
IF(#REF!="yes",3,0)+
IF(#REF!="High Charges",3,0)+
IF(#REF!&gt;250,4,0)+
IF(#REF!="no",1,0)+
IF(#REF!="Heavy Domestic User",2,0)</f>
        <v>#REF!</v>
      </c>
      <c r="AG1015" t="e">
        <f>IF(#REF!&gt;=10,"High Risk", IF(#REF!&gt;=5,"Medium Risk","Low Risk"))</f>
        <v>#REF!</v>
      </c>
      <c r="AH1015" t="e">
        <f>#REF! + #REF! + #REF! + #REF!</f>
        <v>#REF!</v>
      </c>
    </row>
    <row r="1016" spans="1:34" x14ac:dyDescent="0.35">
      <c r="A1016">
        <v>1015</v>
      </c>
      <c r="B1016" t="s">
        <v>74</v>
      </c>
      <c r="C1016">
        <v>144</v>
      </c>
      <c r="D1016" t="s">
        <v>28</v>
      </c>
      <c r="E1016" t="s">
        <v>23</v>
      </c>
      <c r="F1016" t="s">
        <v>23</v>
      </c>
      <c r="G1016">
        <v>35</v>
      </c>
      <c r="H1016">
        <v>174.8</v>
      </c>
      <c r="I1016">
        <v>127</v>
      </c>
      <c r="J1016">
        <v>29.72</v>
      </c>
      <c r="K1016">
        <v>219.6</v>
      </c>
      <c r="L1016">
        <v>93</v>
      </c>
      <c r="M1016">
        <v>18.670000000000002</v>
      </c>
      <c r="N1016">
        <v>255.8</v>
      </c>
      <c r="O1016">
        <v>90</v>
      </c>
      <c r="P1016">
        <v>11.51</v>
      </c>
      <c r="Q1016">
        <v>12.8</v>
      </c>
      <c r="R1016">
        <v>3</v>
      </c>
      <c r="S1016">
        <v>3.46</v>
      </c>
      <c r="T1016">
        <v>0</v>
      </c>
      <c r="U1016" t="s">
        <v>22</v>
      </c>
      <c r="V1016" t="e">
        <f>IF(#REF! = "yes", 1, 0)</f>
        <v>#REF!</v>
      </c>
      <c r="W1016" t="e">
        <f>IF(#REF! &lt;= 1, "0-1 Calls", IF(#REF! &lt;= 3, "2-3 Calls", IF(#REF! &lt;=5, "4-5 Calls", "6+ Calls")))</f>
        <v>#REF!</v>
      </c>
      <c r="X1016" t="e">
        <f>IF(#REF! &lt;= 50, "0-50", IF(#REF! &lt;=100, "51-100", IF(#REF! &lt;= 150, "101-150", "151+")))</f>
        <v>#REF!</v>
      </c>
      <c r="Y1016" t="e">
        <f>IF(#REF! &lt;= 3, "Low Charges", "High Charges")</f>
        <v>#REF!</v>
      </c>
      <c r="Z1016" t="e">
        <f>IF(#REF!&lt;=80,"Low Calls",
IF(#REF!&lt;=120,"Medium Calls","High Calls"))</f>
        <v>#REF!</v>
      </c>
      <c r="AA1016" t="e">
        <f>IF(#REF!&lt;=15,"Low Charges",
IF(#REF!&lt;=20,"Medium Charges","High Charges"))</f>
        <v>#REF!</v>
      </c>
      <c r="AB1016" t="e">
        <f>IF(AND(#REF!&gt;180, #REF!&gt;200), "Heavy Doemstic User", IF(#REF!&gt;10, "Interntional User", IF(AND(#REF!&lt;180, #REF!&lt;200,#REF!&lt;200), "Light User", "Balanced User")))</f>
        <v>#REF!</v>
      </c>
      <c r="AC1016" t="e">
        <f>IF(#REF! = 0, "No Usage", IF(#REF! &lt;= 20, "Low Usage", IF(#REF! &lt;= 40, "Medium Usgae", "High Usage")))</f>
        <v>#REF!</v>
      </c>
      <c r="AD1016" t="e">
        <f>IF(#REF!&lt;=150,"Low Usage", IF(#REF!&lt;=200,"Medium Usage", IF(#REF!&lt;=250,"High Usage","Very High Usage")))</f>
        <v>#REF!</v>
      </c>
      <c r="AE1016" t="e">
        <f>IF(#REF!&lt;=5,"Low Calls", IF(#REF!&lt;=10, "Medium Calls", "High Calls"))</f>
        <v>#REF!</v>
      </c>
      <c r="AF1016" t="e">
        <f xml:space="preserve">
IF(#REF!&gt;=4,4,0)+
IF(#REF!="yes",3,0)+
IF(#REF!="High Charges",3,0)+
IF(#REF!&gt;250,4,0)+
IF(#REF!="no",1,0)+
IF(#REF!="Heavy Domestic User",2,0)</f>
        <v>#REF!</v>
      </c>
      <c r="AG1016" t="e">
        <f>IF(#REF!&gt;=10,"High Risk", IF(#REF!&gt;=5,"Medium Risk","Low Risk"))</f>
        <v>#REF!</v>
      </c>
      <c r="AH1016" t="e">
        <f>#REF! + #REF! + #REF! + #REF!</f>
        <v>#REF!</v>
      </c>
    </row>
    <row r="1017" spans="1:34" x14ac:dyDescent="0.35">
      <c r="A1017">
        <v>1016</v>
      </c>
      <c r="B1017" t="s">
        <v>31</v>
      </c>
      <c r="C1017">
        <v>48</v>
      </c>
      <c r="D1017" t="s">
        <v>25</v>
      </c>
      <c r="E1017" t="s">
        <v>22</v>
      </c>
      <c r="F1017" t="s">
        <v>22</v>
      </c>
      <c r="G1017">
        <v>0</v>
      </c>
      <c r="H1017">
        <v>275.2</v>
      </c>
      <c r="I1017">
        <v>67</v>
      </c>
      <c r="J1017">
        <v>46.78</v>
      </c>
      <c r="K1017">
        <v>180.2</v>
      </c>
      <c r="L1017">
        <v>108</v>
      </c>
      <c r="M1017">
        <v>15.32</v>
      </c>
      <c r="N1017">
        <v>159</v>
      </c>
      <c r="O1017">
        <v>110</v>
      </c>
      <c r="P1017">
        <v>7.15</v>
      </c>
      <c r="Q1017">
        <v>7.9</v>
      </c>
      <c r="R1017">
        <v>2</v>
      </c>
      <c r="S1017">
        <v>2.13</v>
      </c>
      <c r="T1017">
        <v>1</v>
      </c>
      <c r="U1017" t="s">
        <v>22</v>
      </c>
      <c r="V1017" t="e">
        <f>IF(#REF! = "yes", 1, 0)</f>
        <v>#REF!</v>
      </c>
      <c r="W1017" t="e">
        <f>IF(#REF! &lt;= 1, "0-1 Calls", IF(#REF! &lt;= 3, "2-3 Calls", IF(#REF! &lt;=5, "4-5 Calls", "6+ Calls")))</f>
        <v>#REF!</v>
      </c>
      <c r="X1017" t="e">
        <f>IF(#REF! &lt;= 50, "0-50", IF(#REF! &lt;=100, "51-100", IF(#REF! &lt;= 150, "101-150", "151+")))</f>
        <v>#REF!</v>
      </c>
      <c r="Y1017" t="e">
        <f>IF(#REF! &lt;= 3, "Low Charges", "High Charges")</f>
        <v>#REF!</v>
      </c>
      <c r="Z1017" t="e">
        <f>IF(#REF!&lt;=80,"Low Calls",
IF(#REF!&lt;=120,"Medium Calls","High Calls"))</f>
        <v>#REF!</v>
      </c>
      <c r="AA1017" t="e">
        <f>IF(#REF!&lt;=15,"Low Charges",
IF(#REF!&lt;=20,"Medium Charges","High Charges"))</f>
        <v>#REF!</v>
      </c>
      <c r="AB1017" t="e">
        <f>IF(AND(#REF!&gt;180, #REF!&gt;200), "Heavy Doemstic User", IF(#REF!&gt;10, "Interntional User", IF(AND(#REF!&lt;180, #REF!&lt;200,#REF!&lt;200), "Light User", "Balanced User")))</f>
        <v>#REF!</v>
      </c>
      <c r="AC1017" t="e">
        <f>IF(#REF! = 0, "No Usage", IF(#REF! &lt;= 20, "Low Usage", IF(#REF! &lt;= 40, "Medium Usgae", "High Usage")))</f>
        <v>#REF!</v>
      </c>
      <c r="AD1017" t="e">
        <f>IF(#REF!&lt;=150,"Low Usage", IF(#REF!&lt;=200,"Medium Usage", IF(#REF!&lt;=250,"High Usage","Very High Usage")))</f>
        <v>#REF!</v>
      </c>
      <c r="AE1017" t="e">
        <f>IF(#REF!&lt;=5,"Low Calls", IF(#REF!&lt;=10, "Medium Calls", "High Calls"))</f>
        <v>#REF!</v>
      </c>
      <c r="AF1017" t="e">
        <f xml:space="preserve">
IF(#REF!&gt;=4,4,0)+
IF(#REF!="yes",3,0)+
IF(#REF!="High Charges",3,0)+
IF(#REF!&gt;250,4,0)+
IF(#REF!="no",1,0)+
IF(#REF!="Heavy Domestic User",2,0)</f>
        <v>#REF!</v>
      </c>
      <c r="AG1017" t="e">
        <f>IF(#REF!&gt;=10,"High Risk", IF(#REF!&gt;=5,"Medium Risk","Low Risk"))</f>
        <v>#REF!</v>
      </c>
      <c r="AH1017" t="e">
        <f>#REF! + #REF! + #REF! + #REF!</f>
        <v>#REF!</v>
      </c>
    </row>
    <row r="1018" spans="1:34" x14ac:dyDescent="0.35">
      <c r="A1018">
        <v>1017</v>
      </c>
      <c r="B1018" t="s">
        <v>75</v>
      </c>
      <c r="C1018">
        <v>94</v>
      </c>
      <c r="D1018" t="s">
        <v>25</v>
      </c>
      <c r="E1018" t="s">
        <v>22</v>
      </c>
      <c r="F1018" t="s">
        <v>22</v>
      </c>
      <c r="G1018">
        <v>0</v>
      </c>
      <c r="H1018">
        <v>174</v>
      </c>
      <c r="I1018">
        <v>85</v>
      </c>
      <c r="J1018">
        <v>29.58</v>
      </c>
      <c r="K1018">
        <v>241.1</v>
      </c>
      <c r="L1018">
        <v>114</v>
      </c>
      <c r="M1018">
        <v>20.49</v>
      </c>
      <c r="N1018">
        <v>207.8</v>
      </c>
      <c r="O1018">
        <v>94</v>
      </c>
      <c r="P1018">
        <v>9.35</v>
      </c>
      <c r="Q1018">
        <v>7.9</v>
      </c>
      <c r="R1018">
        <v>1</v>
      </c>
      <c r="S1018">
        <v>2.13</v>
      </c>
      <c r="T1018">
        <v>1</v>
      </c>
      <c r="U1018" t="s">
        <v>22</v>
      </c>
      <c r="V1018" t="e">
        <f>IF(#REF! = "yes", 1, 0)</f>
        <v>#REF!</v>
      </c>
      <c r="W1018" t="e">
        <f>IF(#REF! &lt;= 1, "0-1 Calls", IF(#REF! &lt;= 3, "2-3 Calls", IF(#REF! &lt;=5, "4-5 Calls", "6+ Calls")))</f>
        <v>#REF!</v>
      </c>
      <c r="X1018" t="e">
        <f>IF(#REF! &lt;= 50, "0-50", IF(#REF! &lt;=100, "51-100", IF(#REF! &lt;= 150, "101-150", "151+")))</f>
        <v>#REF!</v>
      </c>
      <c r="Y1018" t="e">
        <f>IF(#REF! &lt;= 3, "Low Charges", "High Charges")</f>
        <v>#REF!</v>
      </c>
      <c r="Z1018" t="e">
        <f>IF(#REF!&lt;=80,"Low Calls",
IF(#REF!&lt;=120,"Medium Calls","High Calls"))</f>
        <v>#REF!</v>
      </c>
      <c r="AA1018" t="e">
        <f>IF(#REF!&lt;=15,"Low Charges",
IF(#REF!&lt;=20,"Medium Charges","High Charges"))</f>
        <v>#REF!</v>
      </c>
      <c r="AB1018" t="e">
        <f>IF(AND(#REF!&gt;180, #REF!&gt;200), "Heavy Doemstic User", IF(#REF!&gt;10, "Interntional User", IF(AND(#REF!&lt;180, #REF!&lt;200,#REF!&lt;200), "Light User", "Balanced User")))</f>
        <v>#REF!</v>
      </c>
      <c r="AC1018" t="e">
        <f>IF(#REF! = 0, "No Usage", IF(#REF! &lt;= 20, "Low Usage", IF(#REF! &lt;= 40, "Medium Usgae", "High Usage")))</f>
        <v>#REF!</v>
      </c>
      <c r="AD1018" t="e">
        <f>IF(#REF!&lt;=150,"Low Usage", IF(#REF!&lt;=200,"Medium Usage", IF(#REF!&lt;=250,"High Usage","Very High Usage")))</f>
        <v>#REF!</v>
      </c>
      <c r="AE1018" t="e">
        <f>IF(#REF!&lt;=5,"Low Calls", IF(#REF!&lt;=10, "Medium Calls", "High Calls"))</f>
        <v>#REF!</v>
      </c>
      <c r="AF1018" t="e">
        <f xml:space="preserve">
IF(#REF!&gt;=4,4,0)+
IF(#REF!="yes",3,0)+
IF(#REF!="High Charges",3,0)+
IF(#REF!&gt;250,4,0)+
IF(#REF!="no",1,0)+
IF(#REF!="Heavy Domestic User",2,0)</f>
        <v>#REF!</v>
      </c>
      <c r="AG1018" t="e">
        <f>IF(#REF!&gt;=10,"High Risk", IF(#REF!&gt;=5,"Medium Risk","Low Risk"))</f>
        <v>#REF!</v>
      </c>
      <c r="AH1018" t="e">
        <f>#REF! + #REF! + #REF! + #REF!</f>
        <v>#REF!</v>
      </c>
    </row>
    <row r="1019" spans="1:34" x14ac:dyDescent="0.35">
      <c r="A1019">
        <v>1018</v>
      </c>
      <c r="B1019" t="s">
        <v>55</v>
      </c>
      <c r="C1019">
        <v>139</v>
      </c>
      <c r="D1019" t="s">
        <v>21</v>
      </c>
      <c r="E1019" t="s">
        <v>22</v>
      </c>
      <c r="F1019" t="s">
        <v>22</v>
      </c>
      <c r="G1019">
        <v>0</v>
      </c>
      <c r="H1019">
        <v>165</v>
      </c>
      <c r="I1019">
        <v>132</v>
      </c>
      <c r="J1019">
        <v>28.05</v>
      </c>
      <c r="K1019">
        <v>249.7</v>
      </c>
      <c r="L1019">
        <v>86</v>
      </c>
      <c r="M1019">
        <v>21.22</v>
      </c>
      <c r="N1019">
        <v>170.3</v>
      </c>
      <c r="O1019">
        <v>128</v>
      </c>
      <c r="P1019">
        <v>7.66</v>
      </c>
      <c r="Q1019">
        <v>12.6</v>
      </c>
      <c r="R1019">
        <v>8</v>
      </c>
      <c r="S1019">
        <v>3.4</v>
      </c>
      <c r="T1019">
        <v>1</v>
      </c>
      <c r="U1019" t="s">
        <v>22</v>
      </c>
      <c r="V1019" t="e">
        <f>IF(#REF! = "yes", 1, 0)</f>
        <v>#REF!</v>
      </c>
      <c r="W1019" t="e">
        <f>IF(#REF! &lt;= 1, "0-1 Calls", IF(#REF! &lt;= 3, "2-3 Calls", IF(#REF! &lt;=5, "4-5 Calls", "6+ Calls")))</f>
        <v>#REF!</v>
      </c>
      <c r="X1019" t="e">
        <f>IF(#REF! &lt;= 50, "0-50", IF(#REF! &lt;=100, "51-100", IF(#REF! &lt;= 150, "101-150", "151+")))</f>
        <v>#REF!</v>
      </c>
      <c r="Y1019" t="e">
        <f>IF(#REF! &lt;= 3, "Low Charges", "High Charges")</f>
        <v>#REF!</v>
      </c>
      <c r="Z1019" t="e">
        <f>IF(#REF!&lt;=80,"Low Calls",
IF(#REF!&lt;=120,"Medium Calls","High Calls"))</f>
        <v>#REF!</v>
      </c>
      <c r="AA1019" t="e">
        <f>IF(#REF!&lt;=15,"Low Charges",
IF(#REF!&lt;=20,"Medium Charges","High Charges"))</f>
        <v>#REF!</v>
      </c>
      <c r="AB1019" t="e">
        <f>IF(AND(#REF!&gt;180, #REF!&gt;200), "Heavy Doemstic User", IF(#REF!&gt;10, "Interntional User", IF(AND(#REF!&lt;180, #REF!&lt;200,#REF!&lt;200), "Light User", "Balanced User")))</f>
        <v>#REF!</v>
      </c>
      <c r="AC1019" t="e">
        <f>IF(#REF! = 0, "No Usage", IF(#REF! &lt;= 20, "Low Usage", IF(#REF! &lt;= 40, "Medium Usgae", "High Usage")))</f>
        <v>#REF!</v>
      </c>
      <c r="AD1019" t="e">
        <f>IF(#REF!&lt;=150,"Low Usage", IF(#REF!&lt;=200,"Medium Usage", IF(#REF!&lt;=250,"High Usage","Very High Usage")))</f>
        <v>#REF!</v>
      </c>
      <c r="AE1019" t="e">
        <f>IF(#REF!&lt;=5,"Low Calls", IF(#REF!&lt;=10, "Medium Calls", "High Calls"))</f>
        <v>#REF!</v>
      </c>
      <c r="AF1019" t="e">
        <f xml:space="preserve">
IF(#REF!&gt;=4,4,0)+
IF(#REF!="yes",3,0)+
IF(#REF!="High Charges",3,0)+
IF(#REF!&gt;250,4,0)+
IF(#REF!="no",1,0)+
IF(#REF!="Heavy Domestic User",2,0)</f>
        <v>#REF!</v>
      </c>
      <c r="AG1019" t="e">
        <f>IF(#REF!&gt;=10,"High Risk", IF(#REF!&gt;=5,"Medium Risk","Low Risk"))</f>
        <v>#REF!</v>
      </c>
      <c r="AH1019" t="e">
        <f>#REF! + #REF! + #REF! + #REF!</f>
        <v>#REF!</v>
      </c>
    </row>
    <row r="1020" spans="1:34" x14ac:dyDescent="0.35">
      <c r="A1020">
        <v>1019</v>
      </c>
      <c r="B1020" t="s">
        <v>67</v>
      </c>
      <c r="C1020">
        <v>126</v>
      </c>
      <c r="D1020" t="s">
        <v>21</v>
      </c>
      <c r="E1020" t="s">
        <v>22</v>
      </c>
      <c r="F1020" t="s">
        <v>22</v>
      </c>
      <c r="G1020">
        <v>0</v>
      </c>
      <c r="H1020">
        <v>228.7</v>
      </c>
      <c r="I1020">
        <v>102</v>
      </c>
      <c r="J1020">
        <v>38.880000000000003</v>
      </c>
      <c r="K1020">
        <v>168.7</v>
      </c>
      <c r="L1020">
        <v>99</v>
      </c>
      <c r="M1020">
        <v>14.34</v>
      </c>
      <c r="N1020">
        <v>223.5</v>
      </c>
      <c r="O1020">
        <v>100</v>
      </c>
      <c r="P1020">
        <v>10.06</v>
      </c>
      <c r="Q1020">
        <v>11.8</v>
      </c>
      <c r="R1020">
        <v>4</v>
      </c>
      <c r="S1020">
        <v>3.19</v>
      </c>
      <c r="T1020">
        <v>1</v>
      </c>
      <c r="U1020" t="s">
        <v>22</v>
      </c>
      <c r="V1020" t="e">
        <f>IF(#REF! = "yes", 1, 0)</f>
        <v>#REF!</v>
      </c>
      <c r="W1020" t="e">
        <f>IF(#REF! &lt;= 1, "0-1 Calls", IF(#REF! &lt;= 3, "2-3 Calls", IF(#REF! &lt;=5, "4-5 Calls", "6+ Calls")))</f>
        <v>#REF!</v>
      </c>
      <c r="X1020" t="e">
        <f>IF(#REF! &lt;= 50, "0-50", IF(#REF! &lt;=100, "51-100", IF(#REF! &lt;= 150, "101-150", "151+")))</f>
        <v>#REF!</v>
      </c>
      <c r="Y1020" t="e">
        <f>IF(#REF! &lt;= 3, "Low Charges", "High Charges")</f>
        <v>#REF!</v>
      </c>
      <c r="Z1020" t="e">
        <f>IF(#REF!&lt;=80,"Low Calls",
IF(#REF!&lt;=120,"Medium Calls","High Calls"))</f>
        <v>#REF!</v>
      </c>
      <c r="AA1020" t="e">
        <f>IF(#REF!&lt;=15,"Low Charges",
IF(#REF!&lt;=20,"Medium Charges","High Charges"))</f>
        <v>#REF!</v>
      </c>
      <c r="AB1020" t="e">
        <f>IF(AND(#REF!&gt;180, #REF!&gt;200), "Heavy Doemstic User", IF(#REF!&gt;10, "Interntional User", IF(AND(#REF!&lt;180, #REF!&lt;200,#REF!&lt;200), "Light User", "Balanced User")))</f>
        <v>#REF!</v>
      </c>
      <c r="AC1020" t="e">
        <f>IF(#REF! = 0, "No Usage", IF(#REF! &lt;= 20, "Low Usage", IF(#REF! &lt;= 40, "Medium Usgae", "High Usage")))</f>
        <v>#REF!</v>
      </c>
      <c r="AD1020" t="e">
        <f>IF(#REF!&lt;=150,"Low Usage", IF(#REF!&lt;=200,"Medium Usage", IF(#REF!&lt;=250,"High Usage","Very High Usage")))</f>
        <v>#REF!</v>
      </c>
      <c r="AE1020" t="e">
        <f>IF(#REF!&lt;=5,"Low Calls", IF(#REF!&lt;=10, "Medium Calls", "High Calls"))</f>
        <v>#REF!</v>
      </c>
      <c r="AF1020" t="e">
        <f xml:space="preserve">
IF(#REF!&gt;=4,4,0)+
IF(#REF!="yes",3,0)+
IF(#REF!="High Charges",3,0)+
IF(#REF!&gt;250,4,0)+
IF(#REF!="no",1,0)+
IF(#REF!="Heavy Domestic User",2,0)</f>
        <v>#REF!</v>
      </c>
      <c r="AG1020" t="e">
        <f>IF(#REF!&gt;=10,"High Risk", IF(#REF!&gt;=5,"Medium Risk","Low Risk"))</f>
        <v>#REF!</v>
      </c>
      <c r="AH1020" t="e">
        <f>#REF! + #REF! + #REF! + #REF!</f>
        <v>#REF!</v>
      </c>
    </row>
    <row r="1021" spans="1:34" x14ac:dyDescent="0.35">
      <c r="A1021">
        <v>1020</v>
      </c>
      <c r="B1021" t="s">
        <v>60</v>
      </c>
      <c r="C1021">
        <v>122</v>
      </c>
      <c r="D1021" t="s">
        <v>21</v>
      </c>
      <c r="E1021" t="s">
        <v>22</v>
      </c>
      <c r="F1021" t="s">
        <v>22</v>
      </c>
      <c r="G1021">
        <v>0</v>
      </c>
      <c r="H1021">
        <v>107.9</v>
      </c>
      <c r="I1021">
        <v>88</v>
      </c>
      <c r="J1021">
        <v>18.34</v>
      </c>
      <c r="K1021">
        <v>235.8</v>
      </c>
      <c r="L1021">
        <v>109</v>
      </c>
      <c r="M1021">
        <v>20.04</v>
      </c>
      <c r="N1021">
        <v>228.6</v>
      </c>
      <c r="O1021">
        <v>119</v>
      </c>
      <c r="P1021">
        <v>10.29</v>
      </c>
      <c r="Q1021">
        <v>9.5</v>
      </c>
      <c r="R1021">
        <v>3</v>
      </c>
      <c r="S1021">
        <v>2.57</v>
      </c>
      <c r="T1021">
        <v>2</v>
      </c>
      <c r="U1021" t="s">
        <v>22</v>
      </c>
      <c r="V1021" t="e">
        <f>IF(#REF! = "yes", 1, 0)</f>
        <v>#REF!</v>
      </c>
      <c r="W1021" t="e">
        <f>IF(#REF! &lt;= 1, "0-1 Calls", IF(#REF! &lt;= 3, "2-3 Calls", IF(#REF! &lt;=5, "4-5 Calls", "6+ Calls")))</f>
        <v>#REF!</v>
      </c>
      <c r="X1021" t="e">
        <f>IF(#REF! &lt;= 50, "0-50", IF(#REF! &lt;=100, "51-100", IF(#REF! &lt;= 150, "101-150", "151+")))</f>
        <v>#REF!</v>
      </c>
      <c r="Y1021" t="e">
        <f>IF(#REF! &lt;= 3, "Low Charges", "High Charges")</f>
        <v>#REF!</v>
      </c>
      <c r="Z1021" t="e">
        <f>IF(#REF!&lt;=80,"Low Calls",
IF(#REF!&lt;=120,"Medium Calls","High Calls"))</f>
        <v>#REF!</v>
      </c>
      <c r="AA1021" t="e">
        <f>IF(#REF!&lt;=15,"Low Charges",
IF(#REF!&lt;=20,"Medium Charges","High Charges"))</f>
        <v>#REF!</v>
      </c>
      <c r="AB1021" t="e">
        <f>IF(AND(#REF!&gt;180, #REF!&gt;200), "Heavy Doemstic User", IF(#REF!&gt;10, "Interntional User", IF(AND(#REF!&lt;180, #REF!&lt;200,#REF!&lt;200), "Light User", "Balanced User")))</f>
        <v>#REF!</v>
      </c>
      <c r="AC1021" t="e">
        <f>IF(#REF! = 0, "No Usage", IF(#REF! &lt;= 20, "Low Usage", IF(#REF! &lt;= 40, "Medium Usgae", "High Usage")))</f>
        <v>#REF!</v>
      </c>
      <c r="AD1021" t="e">
        <f>IF(#REF!&lt;=150,"Low Usage", IF(#REF!&lt;=200,"Medium Usage", IF(#REF!&lt;=250,"High Usage","Very High Usage")))</f>
        <v>#REF!</v>
      </c>
      <c r="AE1021" t="e">
        <f>IF(#REF!&lt;=5,"Low Calls", IF(#REF!&lt;=10, "Medium Calls", "High Calls"))</f>
        <v>#REF!</v>
      </c>
      <c r="AF1021" t="e">
        <f xml:space="preserve">
IF(#REF!&gt;=4,4,0)+
IF(#REF!="yes",3,0)+
IF(#REF!="High Charges",3,0)+
IF(#REF!&gt;250,4,0)+
IF(#REF!="no",1,0)+
IF(#REF!="Heavy Domestic User",2,0)</f>
        <v>#REF!</v>
      </c>
      <c r="AG1021" t="e">
        <f>IF(#REF!&gt;=10,"High Risk", IF(#REF!&gt;=5,"Medium Risk","Low Risk"))</f>
        <v>#REF!</v>
      </c>
      <c r="AH1021" t="e">
        <f>#REF! + #REF! + #REF! + #REF!</f>
        <v>#REF!</v>
      </c>
    </row>
    <row r="1022" spans="1:34" x14ac:dyDescent="0.35">
      <c r="A1022">
        <v>1021</v>
      </c>
      <c r="B1022" t="s">
        <v>46</v>
      </c>
      <c r="C1022">
        <v>139</v>
      </c>
      <c r="D1022" t="s">
        <v>28</v>
      </c>
      <c r="E1022" t="s">
        <v>22</v>
      </c>
      <c r="F1022" t="s">
        <v>22</v>
      </c>
      <c r="G1022">
        <v>0</v>
      </c>
      <c r="H1022">
        <v>221.3</v>
      </c>
      <c r="I1022">
        <v>140</v>
      </c>
      <c r="J1022">
        <v>37.619999999999997</v>
      </c>
      <c r="K1022">
        <v>157.80000000000001</v>
      </c>
      <c r="L1022">
        <v>89</v>
      </c>
      <c r="M1022">
        <v>13.41</v>
      </c>
      <c r="N1022">
        <v>192.5</v>
      </c>
      <c r="O1022">
        <v>89</v>
      </c>
      <c r="P1022">
        <v>8.66</v>
      </c>
      <c r="Q1022">
        <v>11.3</v>
      </c>
      <c r="R1022">
        <v>6</v>
      </c>
      <c r="S1022">
        <v>3.05</v>
      </c>
      <c r="T1022">
        <v>1</v>
      </c>
      <c r="U1022" t="s">
        <v>22</v>
      </c>
      <c r="V1022" t="e">
        <f>IF(#REF! = "yes", 1, 0)</f>
        <v>#REF!</v>
      </c>
      <c r="W1022" t="e">
        <f>IF(#REF! &lt;= 1, "0-1 Calls", IF(#REF! &lt;= 3, "2-3 Calls", IF(#REF! &lt;=5, "4-5 Calls", "6+ Calls")))</f>
        <v>#REF!</v>
      </c>
      <c r="X1022" t="e">
        <f>IF(#REF! &lt;= 50, "0-50", IF(#REF! &lt;=100, "51-100", IF(#REF! &lt;= 150, "101-150", "151+")))</f>
        <v>#REF!</v>
      </c>
      <c r="Y1022" t="e">
        <f>IF(#REF! &lt;= 3, "Low Charges", "High Charges")</f>
        <v>#REF!</v>
      </c>
      <c r="Z1022" t="e">
        <f>IF(#REF!&lt;=80,"Low Calls",
IF(#REF!&lt;=120,"Medium Calls","High Calls"))</f>
        <v>#REF!</v>
      </c>
      <c r="AA1022" t="e">
        <f>IF(#REF!&lt;=15,"Low Charges",
IF(#REF!&lt;=20,"Medium Charges","High Charges"))</f>
        <v>#REF!</v>
      </c>
      <c r="AB1022" t="e">
        <f>IF(AND(#REF!&gt;180, #REF!&gt;200), "Heavy Doemstic User", IF(#REF!&gt;10, "Interntional User", IF(AND(#REF!&lt;180, #REF!&lt;200,#REF!&lt;200), "Light User", "Balanced User")))</f>
        <v>#REF!</v>
      </c>
      <c r="AC1022" t="e">
        <f>IF(#REF! = 0, "No Usage", IF(#REF! &lt;= 20, "Low Usage", IF(#REF! &lt;= 40, "Medium Usgae", "High Usage")))</f>
        <v>#REF!</v>
      </c>
      <c r="AD1022" t="e">
        <f>IF(#REF!&lt;=150,"Low Usage", IF(#REF!&lt;=200,"Medium Usage", IF(#REF!&lt;=250,"High Usage","Very High Usage")))</f>
        <v>#REF!</v>
      </c>
      <c r="AE1022" t="e">
        <f>IF(#REF!&lt;=5,"Low Calls", IF(#REF!&lt;=10, "Medium Calls", "High Calls"))</f>
        <v>#REF!</v>
      </c>
      <c r="AF1022" t="e">
        <f xml:space="preserve">
IF(#REF!&gt;=4,4,0)+
IF(#REF!="yes",3,0)+
IF(#REF!="High Charges",3,0)+
IF(#REF!&gt;250,4,0)+
IF(#REF!="no",1,0)+
IF(#REF!="Heavy Domestic User",2,0)</f>
        <v>#REF!</v>
      </c>
      <c r="AG1022" t="e">
        <f>IF(#REF!&gt;=10,"High Risk", IF(#REF!&gt;=5,"Medium Risk","Low Risk"))</f>
        <v>#REF!</v>
      </c>
      <c r="AH1022" t="e">
        <f>#REF! + #REF! + #REF! + #REF!</f>
        <v>#REF!</v>
      </c>
    </row>
    <row r="1023" spans="1:34" x14ac:dyDescent="0.35">
      <c r="A1023">
        <v>1022</v>
      </c>
      <c r="B1023" t="s">
        <v>30</v>
      </c>
      <c r="C1023">
        <v>95</v>
      </c>
      <c r="D1023" t="s">
        <v>21</v>
      </c>
      <c r="E1023" t="s">
        <v>22</v>
      </c>
      <c r="F1023" t="s">
        <v>22</v>
      </c>
      <c r="G1023">
        <v>0</v>
      </c>
      <c r="H1023">
        <v>141.1</v>
      </c>
      <c r="I1023">
        <v>84</v>
      </c>
      <c r="J1023">
        <v>23.99</v>
      </c>
      <c r="K1023">
        <v>211.4</v>
      </c>
      <c r="L1023">
        <v>108</v>
      </c>
      <c r="M1023">
        <v>17.97</v>
      </c>
      <c r="N1023">
        <v>103.7</v>
      </c>
      <c r="O1023">
        <v>127</v>
      </c>
      <c r="P1023">
        <v>4.67</v>
      </c>
      <c r="Q1023">
        <v>5.9</v>
      </c>
      <c r="R1023">
        <v>6</v>
      </c>
      <c r="S1023">
        <v>1.59</v>
      </c>
      <c r="T1023">
        <v>3</v>
      </c>
      <c r="U1023" t="s">
        <v>22</v>
      </c>
      <c r="V1023" t="e">
        <f>IF(#REF! = "yes", 1, 0)</f>
        <v>#REF!</v>
      </c>
      <c r="W1023" t="e">
        <f>IF(#REF! &lt;= 1, "0-1 Calls", IF(#REF! &lt;= 3, "2-3 Calls", IF(#REF! &lt;=5, "4-5 Calls", "6+ Calls")))</f>
        <v>#REF!</v>
      </c>
      <c r="X1023" t="e">
        <f>IF(#REF! &lt;= 50, "0-50", IF(#REF! &lt;=100, "51-100", IF(#REF! &lt;= 150, "101-150", "151+")))</f>
        <v>#REF!</v>
      </c>
      <c r="Y1023" t="e">
        <f>IF(#REF! &lt;= 3, "Low Charges", "High Charges")</f>
        <v>#REF!</v>
      </c>
      <c r="Z1023" t="e">
        <f>IF(#REF!&lt;=80,"Low Calls",
IF(#REF!&lt;=120,"Medium Calls","High Calls"))</f>
        <v>#REF!</v>
      </c>
      <c r="AA1023" t="e">
        <f>IF(#REF!&lt;=15,"Low Charges",
IF(#REF!&lt;=20,"Medium Charges","High Charges"))</f>
        <v>#REF!</v>
      </c>
      <c r="AB1023" t="e">
        <f>IF(AND(#REF!&gt;180, #REF!&gt;200), "Heavy Doemstic User", IF(#REF!&gt;10, "Interntional User", IF(AND(#REF!&lt;180, #REF!&lt;200,#REF!&lt;200), "Light User", "Balanced User")))</f>
        <v>#REF!</v>
      </c>
      <c r="AC1023" t="e">
        <f>IF(#REF! = 0, "No Usage", IF(#REF! &lt;= 20, "Low Usage", IF(#REF! &lt;= 40, "Medium Usgae", "High Usage")))</f>
        <v>#REF!</v>
      </c>
      <c r="AD1023" t="e">
        <f>IF(#REF!&lt;=150,"Low Usage", IF(#REF!&lt;=200,"Medium Usage", IF(#REF!&lt;=250,"High Usage","Very High Usage")))</f>
        <v>#REF!</v>
      </c>
      <c r="AE1023" t="e">
        <f>IF(#REF!&lt;=5,"Low Calls", IF(#REF!&lt;=10, "Medium Calls", "High Calls"))</f>
        <v>#REF!</v>
      </c>
      <c r="AF1023" t="e">
        <f xml:space="preserve">
IF(#REF!&gt;=4,4,0)+
IF(#REF!="yes",3,0)+
IF(#REF!="High Charges",3,0)+
IF(#REF!&gt;250,4,0)+
IF(#REF!="no",1,0)+
IF(#REF!="Heavy Domestic User",2,0)</f>
        <v>#REF!</v>
      </c>
      <c r="AG1023" t="e">
        <f>IF(#REF!&gt;=10,"High Risk", IF(#REF!&gt;=5,"Medium Risk","Low Risk"))</f>
        <v>#REF!</v>
      </c>
      <c r="AH1023" t="e">
        <f>#REF! + #REF! + #REF! + #REF!</f>
        <v>#REF!</v>
      </c>
    </row>
    <row r="1024" spans="1:34" x14ac:dyDescent="0.35">
      <c r="A1024">
        <v>1023</v>
      </c>
      <c r="B1024" t="s">
        <v>66</v>
      </c>
      <c r="C1024">
        <v>80</v>
      </c>
      <c r="D1024" t="s">
        <v>25</v>
      </c>
      <c r="E1024" t="s">
        <v>22</v>
      </c>
      <c r="F1024" t="s">
        <v>23</v>
      </c>
      <c r="G1024">
        <v>31</v>
      </c>
      <c r="H1024">
        <v>166.4</v>
      </c>
      <c r="I1024">
        <v>92</v>
      </c>
      <c r="J1024">
        <v>28.29</v>
      </c>
      <c r="K1024">
        <v>238.3</v>
      </c>
      <c r="L1024">
        <v>74</v>
      </c>
      <c r="M1024">
        <v>20.260000000000002</v>
      </c>
      <c r="N1024">
        <v>150.69999999999999</v>
      </c>
      <c r="O1024">
        <v>84</v>
      </c>
      <c r="P1024">
        <v>6.78</v>
      </c>
      <c r="Q1024">
        <v>10.7</v>
      </c>
      <c r="R1024">
        <v>4</v>
      </c>
      <c r="S1024">
        <v>2.89</v>
      </c>
      <c r="T1024">
        <v>4</v>
      </c>
      <c r="U1024" t="s">
        <v>22</v>
      </c>
      <c r="V1024" t="e">
        <f>IF(#REF! = "yes", 1, 0)</f>
        <v>#REF!</v>
      </c>
      <c r="W1024" t="e">
        <f>IF(#REF! &lt;= 1, "0-1 Calls", IF(#REF! &lt;= 3, "2-3 Calls", IF(#REF! &lt;=5, "4-5 Calls", "6+ Calls")))</f>
        <v>#REF!</v>
      </c>
      <c r="X1024" t="e">
        <f>IF(#REF! &lt;= 50, "0-50", IF(#REF! &lt;=100, "51-100", IF(#REF! &lt;= 150, "101-150", "151+")))</f>
        <v>#REF!</v>
      </c>
      <c r="Y1024" t="e">
        <f>IF(#REF! &lt;= 3, "Low Charges", "High Charges")</f>
        <v>#REF!</v>
      </c>
      <c r="Z1024" t="e">
        <f>IF(#REF!&lt;=80,"Low Calls",
IF(#REF!&lt;=120,"Medium Calls","High Calls"))</f>
        <v>#REF!</v>
      </c>
      <c r="AA1024" t="e">
        <f>IF(#REF!&lt;=15,"Low Charges",
IF(#REF!&lt;=20,"Medium Charges","High Charges"))</f>
        <v>#REF!</v>
      </c>
      <c r="AB1024" t="e">
        <f>IF(AND(#REF!&gt;180, #REF!&gt;200), "Heavy Doemstic User", IF(#REF!&gt;10, "Interntional User", IF(AND(#REF!&lt;180, #REF!&lt;200,#REF!&lt;200), "Light User", "Balanced User")))</f>
        <v>#REF!</v>
      </c>
      <c r="AC1024" t="e">
        <f>IF(#REF! = 0, "No Usage", IF(#REF! &lt;= 20, "Low Usage", IF(#REF! &lt;= 40, "Medium Usgae", "High Usage")))</f>
        <v>#REF!</v>
      </c>
      <c r="AD1024" t="e">
        <f>IF(#REF!&lt;=150,"Low Usage", IF(#REF!&lt;=200,"Medium Usage", IF(#REF!&lt;=250,"High Usage","Very High Usage")))</f>
        <v>#REF!</v>
      </c>
      <c r="AE1024" t="e">
        <f>IF(#REF!&lt;=5,"Low Calls", IF(#REF!&lt;=10, "Medium Calls", "High Calls"))</f>
        <v>#REF!</v>
      </c>
      <c r="AF1024" t="e">
        <f xml:space="preserve">
IF(#REF!&gt;=4,4,0)+
IF(#REF!="yes",3,0)+
IF(#REF!="High Charges",3,0)+
IF(#REF!&gt;250,4,0)+
IF(#REF!="no",1,0)+
IF(#REF!="Heavy Domestic User",2,0)</f>
        <v>#REF!</v>
      </c>
      <c r="AG1024" t="e">
        <f>IF(#REF!&gt;=10,"High Risk", IF(#REF!&gt;=5,"Medium Risk","Low Risk"))</f>
        <v>#REF!</v>
      </c>
      <c r="AH1024" t="e">
        <f>#REF! + #REF! + #REF! + #REF!</f>
        <v>#REF!</v>
      </c>
    </row>
    <row r="1025" spans="1:34" x14ac:dyDescent="0.35">
      <c r="A1025">
        <v>1024</v>
      </c>
      <c r="B1025" t="s">
        <v>70</v>
      </c>
      <c r="C1025">
        <v>131</v>
      </c>
      <c r="D1025" t="s">
        <v>21</v>
      </c>
      <c r="E1025" t="s">
        <v>22</v>
      </c>
      <c r="F1025" t="s">
        <v>23</v>
      </c>
      <c r="G1025">
        <v>28</v>
      </c>
      <c r="H1025">
        <v>249.6</v>
      </c>
      <c r="I1025">
        <v>87</v>
      </c>
      <c r="J1025">
        <v>42.43</v>
      </c>
      <c r="K1025">
        <v>227.2</v>
      </c>
      <c r="L1025">
        <v>138</v>
      </c>
      <c r="M1025">
        <v>19.309999999999999</v>
      </c>
      <c r="N1025">
        <v>239.9</v>
      </c>
      <c r="O1025">
        <v>92</v>
      </c>
      <c r="P1025">
        <v>10.8</v>
      </c>
      <c r="Q1025">
        <v>7.6</v>
      </c>
      <c r="R1025">
        <v>3</v>
      </c>
      <c r="S1025">
        <v>2.0499999999999998</v>
      </c>
      <c r="T1025">
        <v>3</v>
      </c>
      <c r="U1025" t="s">
        <v>22</v>
      </c>
      <c r="V1025" t="e">
        <f>IF(#REF! = "yes", 1, 0)</f>
        <v>#REF!</v>
      </c>
      <c r="W1025" t="e">
        <f>IF(#REF! &lt;= 1, "0-1 Calls", IF(#REF! &lt;= 3, "2-3 Calls", IF(#REF! &lt;=5, "4-5 Calls", "6+ Calls")))</f>
        <v>#REF!</v>
      </c>
      <c r="X1025" t="e">
        <f>IF(#REF! &lt;= 50, "0-50", IF(#REF! &lt;=100, "51-100", IF(#REF! &lt;= 150, "101-150", "151+")))</f>
        <v>#REF!</v>
      </c>
      <c r="Y1025" t="e">
        <f>IF(#REF! &lt;= 3, "Low Charges", "High Charges")</f>
        <v>#REF!</v>
      </c>
      <c r="Z1025" t="e">
        <f>IF(#REF!&lt;=80,"Low Calls",
IF(#REF!&lt;=120,"Medium Calls","High Calls"))</f>
        <v>#REF!</v>
      </c>
      <c r="AA1025" t="e">
        <f>IF(#REF!&lt;=15,"Low Charges",
IF(#REF!&lt;=20,"Medium Charges","High Charges"))</f>
        <v>#REF!</v>
      </c>
      <c r="AB1025" t="e">
        <f>IF(AND(#REF!&gt;180, #REF!&gt;200), "Heavy Doemstic User", IF(#REF!&gt;10, "Interntional User", IF(AND(#REF!&lt;180, #REF!&lt;200,#REF!&lt;200), "Light User", "Balanced User")))</f>
        <v>#REF!</v>
      </c>
      <c r="AC1025" t="e">
        <f>IF(#REF! = 0, "No Usage", IF(#REF! &lt;= 20, "Low Usage", IF(#REF! &lt;= 40, "Medium Usgae", "High Usage")))</f>
        <v>#REF!</v>
      </c>
      <c r="AD1025" t="e">
        <f>IF(#REF!&lt;=150,"Low Usage", IF(#REF!&lt;=200,"Medium Usage", IF(#REF!&lt;=250,"High Usage","Very High Usage")))</f>
        <v>#REF!</v>
      </c>
      <c r="AE1025" t="e">
        <f>IF(#REF!&lt;=5,"Low Calls", IF(#REF!&lt;=10, "Medium Calls", "High Calls"))</f>
        <v>#REF!</v>
      </c>
      <c r="AF1025" t="e">
        <f xml:space="preserve">
IF(#REF!&gt;=4,4,0)+
IF(#REF!="yes",3,0)+
IF(#REF!="High Charges",3,0)+
IF(#REF!&gt;250,4,0)+
IF(#REF!="no",1,0)+
IF(#REF!="Heavy Domestic User",2,0)</f>
        <v>#REF!</v>
      </c>
      <c r="AG1025" t="e">
        <f>IF(#REF!&gt;=10,"High Risk", IF(#REF!&gt;=5,"Medium Risk","Low Risk"))</f>
        <v>#REF!</v>
      </c>
      <c r="AH1025" t="e">
        <f>#REF! + #REF! + #REF! + #REF!</f>
        <v>#REF!</v>
      </c>
    </row>
    <row r="1026" spans="1:34" x14ac:dyDescent="0.35">
      <c r="A1026">
        <v>1025</v>
      </c>
      <c r="B1026" t="s">
        <v>70</v>
      </c>
      <c r="C1026">
        <v>36</v>
      </c>
      <c r="D1026" t="s">
        <v>28</v>
      </c>
      <c r="E1026" t="s">
        <v>22</v>
      </c>
      <c r="F1026" t="s">
        <v>22</v>
      </c>
      <c r="G1026">
        <v>0</v>
      </c>
      <c r="H1026">
        <v>178.6</v>
      </c>
      <c r="I1026">
        <v>83</v>
      </c>
      <c r="J1026">
        <v>30.36</v>
      </c>
      <c r="K1026">
        <v>213.1</v>
      </c>
      <c r="L1026">
        <v>103</v>
      </c>
      <c r="M1026">
        <v>18.11</v>
      </c>
      <c r="N1026">
        <v>198</v>
      </c>
      <c r="O1026">
        <v>119</v>
      </c>
      <c r="P1026">
        <v>8.91</v>
      </c>
      <c r="Q1026">
        <v>10.9</v>
      </c>
      <c r="R1026">
        <v>5</v>
      </c>
      <c r="S1026">
        <v>2.94</v>
      </c>
      <c r="T1026">
        <v>1</v>
      </c>
      <c r="U1026" t="s">
        <v>22</v>
      </c>
      <c r="V1026" t="e">
        <f>IF(#REF! = "yes", 1, 0)</f>
        <v>#REF!</v>
      </c>
      <c r="W1026" t="e">
        <f>IF(#REF! &lt;= 1, "0-1 Calls", IF(#REF! &lt;= 3, "2-3 Calls", IF(#REF! &lt;=5, "4-5 Calls", "6+ Calls")))</f>
        <v>#REF!</v>
      </c>
      <c r="X1026" t="e">
        <f>IF(#REF! &lt;= 50, "0-50", IF(#REF! &lt;=100, "51-100", IF(#REF! &lt;= 150, "101-150", "151+")))</f>
        <v>#REF!</v>
      </c>
      <c r="Y1026" t="e">
        <f>IF(#REF! &lt;= 3, "Low Charges", "High Charges")</f>
        <v>#REF!</v>
      </c>
      <c r="Z1026" t="e">
        <f>IF(#REF!&lt;=80,"Low Calls",
IF(#REF!&lt;=120,"Medium Calls","High Calls"))</f>
        <v>#REF!</v>
      </c>
      <c r="AA1026" t="e">
        <f>IF(#REF!&lt;=15,"Low Charges",
IF(#REF!&lt;=20,"Medium Charges","High Charges"))</f>
        <v>#REF!</v>
      </c>
      <c r="AB1026" t="e">
        <f>IF(AND(#REF!&gt;180, #REF!&gt;200), "Heavy Doemstic User", IF(#REF!&gt;10, "Interntional User", IF(AND(#REF!&lt;180, #REF!&lt;200,#REF!&lt;200), "Light User", "Balanced User")))</f>
        <v>#REF!</v>
      </c>
      <c r="AC1026" t="e">
        <f>IF(#REF! = 0, "No Usage", IF(#REF! &lt;= 20, "Low Usage", IF(#REF! &lt;= 40, "Medium Usgae", "High Usage")))</f>
        <v>#REF!</v>
      </c>
      <c r="AD1026" t="e">
        <f>IF(#REF!&lt;=150,"Low Usage", IF(#REF!&lt;=200,"Medium Usage", IF(#REF!&lt;=250,"High Usage","Very High Usage")))</f>
        <v>#REF!</v>
      </c>
      <c r="AE1026" t="e">
        <f>IF(#REF!&lt;=5,"Low Calls", IF(#REF!&lt;=10, "Medium Calls", "High Calls"))</f>
        <v>#REF!</v>
      </c>
      <c r="AF1026" t="e">
        <f xml:space="preserve">
IF(#REF!&gt;=4,4,0)+
IF(#REF!="yes",3,0)+
IF(#REF!="High Charges",3,0)+
IF(#REF!&gt;250,4,0)+
IF(#REF!="no",1,0)+
IF(#REF!="Heavy Domestic User",2,0)</f>
        <v>#REF!</v>
      </c>
      <c r="AG1026" t="e">
        <f>IF(#REF!&gt;=10,"High Risk", IF(#REF!&gt;=5,"Medium Risk","Low Risk"))</f>
        <v>#REF!</v>
      </c>
      <c r="AH1026" t="e">
        <f>#REF! + #REF! + #REF! + #REF!</f>
        <v>#REF!</v>
      </c>
    </row>
    <row r="1027" spans="1:34" x14ac:dyDescent="0.35">
      <c r="A1027">
        <v>1026</v>
      </c>
      <c r="B1027" t="s">
        <v>62</v>
      </c>
      <c r="C1027">
        <v>180</v>
      </c>
      <c r="D1027" t="s">
        <v>28</v>
      </c>
      <c r="E1027" t="s">
        <v>22</v>
      </c>
      <c r="F1027" t="s">
        <v>22</v>
      </c>
      <c r="G1027">
        <v>0</v>
      </c>
      <c r="H1027">
        <v>139</v>
      </c>
      <c r="I1027">
        <v>96</v>
      </c>
      <c r="J1027">
        <v>23.63</v>
      </c>
      <c r="K1027">
        <v>224.9</v>
      </c>
      <c r="L1027">
        <v>64</v>
      </c>
      <c r="M1027">
        <v>19.12</v>
      </c>
      <c r="N1027">
        <v>170.8</v>
      </c>
      <c r="O1027">
        <v>118</v>
      </c>
      <c r="P1027">
        <v>7.69</v>
      </c>
      <c r="Q1027">
        <v>15.7</v>
      </c>
      <c r="R1027">
        <v>5</v>
      </c>
      <c r="S1027">
        <v>4.24</v>
      </c>
      <c r="T1027">
        <v>2</v>
      </c>
      <c r="U1027" t="s">
        <v>22</v>
      </c>
      <c r="V1027" t="e">
        <f>IF(#REF! = "yes", 1, 0)</f>
        <v>#REF!</v>
      </c>
      <c r="W1027" t="e">
        <f>IF(#REF! &lt;= 1, "0-1 Calls", IF(#REF! &lt;= 3, "2-3 Calls", IF(#REF! &lt;=5, "4-5 Calls", "6+ Calls")))</f>
        <v>#REF!</v>
      </c>
      <c r="X1027" t="e">
        <f>IF(#REF! &lt;= 50, "0-50", IF(#REF! &lt;=100, "51-100", IF(#REF! &lt;= 150, "101-150", "151+")))</f>
        <v>#REF!</v>
      </c>
      <c r="Y1027" t="e">
        <f>IF(#REF! &lt;= 3, "Low Charges", "High Charges")</f>
        <v>#REF!</v>
      </c>
      <c r="Z1027" t="e">
        <f>IF(#REF!&lt;=80,"Low Calls",
IF(#REF!&lt;=120,"Medium Calls","High Calls"))</f>
        <v>#REF!</v>
      </c>
      <c r="AA1027" t="e">
        <f>IF(#REF!&lt;=15,"Low Charges",
IF(#REF!&lt;=20,"Medium Charges","High Charges"))</f>
        <v>#REF!</v>
      </c>
      <c r="AB1027" t="e">
        <f>IF(AND(#REF!&gt;180, #REF!&gt;200), "Heavy Doemstic User", IF(#REF!&gt;10, "Interntional User", IF(AND(#REF!&lt;180, #REF!&lt;200,#REF!&lt;200), "Light User", "Balanced User")))</f>
        <v>#REF!</v>
      </c>
      <c r="AC1027" t="e">
        <f>IF(#REF! = 0, "No Usage", IF(#REF! &lt;= 20, "Low Usage", IF(#REF! &lt;= 40, "Medium Usgae", "High Usage")))</f>
        <v>#REF!</v>
      </c>
      <c r="AD1027" t="e">
        <f>IF(#REF!&lt;=150,"Low Usage", IF(#REF!&lt;=200,"Medium Usage", IF(#REF!&lt;=250,"High Usage","Very High Usage")))</f>
        <v>#REF!</v>
      </c>
      <c r="AE1027" t="e">
        <f>IF(#REF!&lt;=5,"Low Calls", IF(#REF!&lt;=10, "Medium Calls", "High Calls"))</f>
        <v>#REF!</v>
      </c>
      <c r="AF1027" t="e">
        <f xml:space="preserve">
IF(#REF!&gt;=4,4,0)+
IF(#REF!="yes",3,0)+
IF(#REF!="High Charges",3,0)+
IF(#REF!&gt;250,4,0)+
IF(#REF!="no",1,0)+
IF(#REF!="Heavy Domestic User",2,0)</f>
        <v>#REF!</v>
      </c>
      <c r="AG1027" t="e">
        <f>IF(#REF!&gt;=10,"High Risk", IF(#REF!&gt;=5,"Medium Risk","Low Risk"))</f>
        <v>#REF!</v>
      </c>
      <c r="AH1027" t="e">
        <f>#REF! + #REF! + #REF! + #REF!</f>
        <v>#REF!</v>
      </c>
    </row>
    <row r="1028" spans="1:34" x14ac:dyDescent="0.35">
      <c r="A1028">
        <v>1027</v>
      </c>
      <c r="B1028" t="s">
        <v>35</v>
      </c>
      <c r="C1028">
        <v>25</v>
      </c>
      <c r="D1028" t="s">
        <v>21</v>
      </c>
      <c r="E1028" t="s">
        <v>22</v>
      </c>
      <c r="F1028" t="s">
        <v>22</v>
      </c>
      <c r="G1028">
        <v>0</v>
      </c>
      <c r="H1028">
        <v>134.30000000000001</v>
      </c>
      <c r="I1028">
        <v>98</v>
      </c>
      <c r="J1028">
        <v>22.83</v>
      </c>
      <c r="K1028">
        <v>202.3</v>
      </c>
      <c r="L1028">
        <v>109</v>
      </c>
      <c r="M1028">
        <v>17.2</v>
      </c>
      <c r="N1028">
        <v>195.9</v>
      </c>
      <c r="O1028">
        <v>100</v>
      </c>
      <c r="P1028">
        <v>8.82</v>
      </c>
      <c r="Q1028">
        <v>12.6</v>
      </c>
      <c r="R1028">
        <v>5</v>
      </c>
      <c r="S1028">
        <v>3.4</v>
      </c>
      <c r="T1028">
        <v>2</v>
      </c>
      <c r="U1028" t="s">
        <v>22</v>
      </c>
      <c r="V1028" t="e">
        <f>IF(#REF! = "yes", 1, 0)</f>
        <v>#REF!</v>
      </c>
      <c r="W1028" t="e">
        <f>IF(#REF! &lt;= 1, "0-1 Calls", IF(#REF! &lt;= 3, "2-3 Calls", IF(#REF! &lt;=5, "4-5 Calls", "6+ Calls")))</f>
        <v>#REF!</v>
      </c>
      <c r="X1028" t="e">
        <f>IF(#REF! &lt;= 50, "0-50", IF(#REF! &lt;=100, "51-100", IF(#REF! &lt;= 150, "101-150", "151+")))</f>
        <v>#REF!</v>
      </c>
      <c r="Y1028" t="e">
        <f>IF(#REF! &lt;= 3, "Low Charges", "High Charges")</f>
        <v>#REF!</v>
      </c>
      <c r="Z1028" t="e">
        <f>IF(#REF!&lt;=80,"Low Calls",
IF(#REF!&lt;=120,"Medium Calls","High Calls"))</f>
        <v>#REF!</v>
      </c>
      <c r="AA1028" t="e">
        <f>IF(#REF!&lt;=15,"Low Charges",
IF(#REF!&lt;=20,"Medium Charges","High Charges"))</f>
        <v>#REF!</v>
      </c>
      <c r="AB1028" t="e">
        <f>IF(AND(#REF!&gt;180, #REF!&gt;200), "Heavy Doemstic User", IF(#REF!&gt;10, "Interntional User", IF(AND(#REF!&lt;180, #REF!&lt;200,#REF!&lt;200), "Light User", "Balanced User")))</f>
        <v>#REF!</v>
      </c>
      <c r="AC1028" t="e">
        <f>IF(#REF! = 0, "No Usage", IF(#REF! &lt;= 20, "Low Usage", IF(#REF! &lt;= 40, "Medium Usgae", "High Usage")))</f>
        <v>#REF!</v>
      </c>
      <c r="AD1028" t="e">
        <f>IF(#REF!&lt;=150,"Low Usage", IF(#REF!&lt;=200,"Medium Usage", IF(#REF!&lt;=250,"High Usage","Very High Usage")))</f>
        <v>#REF!</v>
      </c>
      <c r="AE1028" t="e">
        <f>IF(#REF!&lt;=5,"Low Calls", IF(#REF!&lt;=10, "Medium Calls", "High Calls"))</f>
        <v>#REF!</v>
      </c>
      <c r="AF1028" t="e">
        <f xml:space="preserve">
IF(#REF!&gt;=4,4,0)+
IF(#REF!="yes",3,0)+
IF(#REF!="High Charges",3,0)+
IF(#REF!&gt;250,4,0)+
IF(#REF!="no",1,0)+
IF(#REF!="Heavy Domestic User",2,0)</f>
        <v>#REF!</v>
      </c>
      <c r="AG1028" t="e">
        <f>IF(#REF!&gt;=10,"High Risk", IF(#REF!&gt;=5,"Medium Risk","Low Risk"))</f>
        <v>#REF!</v>
      </c>
      <c r="AH1028" t="e">
        <f>#REF! + #REF! + #REF! + #REF!</f>
        <v>#REF!</v>
      </c>
    </row>
    <row r="1029" spans="1:34" x14ac:dyDescent="0.35">
      <c r="A1029">
        <v>1028</v>
      </c>
      <c r="B1029" t="s">
        <v>35</v>
      </c>
      <c r="C1029">
        <v>113</v>
      </c>
      <c r="D1029" t="s">
        <v>21</v>
      </c>
      <c r="E1029" t="s">
        <v>22</v>
      </c>
      <c r="F1029" t="s">
        <v>22</v>
      </c>
      <c r="G1029">
        <v>0</v>
      </c>
      <c r="H1029">
        <v>215.9</v>
      </c>
      <c r="I1029">
        <v>93</v>
      </c>
      <c r="J1029">
        <v>36.700000000000003</v>
      </c>
      <c r="K1029">
        <v>240.1</v>
      </c>
      <c r="L1029">
        <v>85</v>
      </c>
      <c r="M1029">
        <v>20.41</v>
      </c>
      <c r="N1029">
        <v>156.69999999999999</v>
      </c>
      <c r="O1029">
        <v>123</v>
      </c>
      <c r="P1029">
        <v>7.05</v>
      </c>
      <c r="Q1029">
        <v>4.9000000000000004</v>
      </c>
      <c r="R1029">
        <v>5</v>
      </c>
      <c r="S1029">
        <v>1.32</v>
      </c>
      <c r="T1029">
        <v>3</v>
      </c>
      <c r="U1029" t="s">
        <v>22</v>
      </c>
      <c r="V1029" t="e">
        <f>IF(#REF! = "yes", 1, 0)</f>
        <v>#REF!</v>
      </c>
      <c r="W1029" t="e">
        <f>IF(#REF! &lt;= 1, "0-1 Calls", IF(#REF! &lt;= 3, "2-3 Calls", IF(#REF! &lt;=5, "4-5 Calls", "6+ Calls")))</f>
        <v>#REF!</v>
      </c>
      <c r="X1029" t="e">
        <f>IF(#REF! &lt;= 50, "0-50", IF(#REF! &lt;=100, "51-100", IF(#REF! &lt;= 150, "101-150", "151+")))</f>
        <v>#REF!</v>
      </c>
      <c r="Y1029" t="e">
        <f>IF(#REF! &lt;= 3, "Low Charges", "High Charges")</f>
        <v>#REF!</v>
      </c>
      <c r="Z1029" t="e">
        <f>IF(#REF!&lt;=80,"Low Calls",
IF(#REF!&lt;=120,"Medium Calls","High Calls"))</f>
        <v>#REF!</v>
      </c>
      <c r="AA1029" t="e">
        <f>IF(#REF!&lt;=15,"Low Charges",
IF(#REF!&lt;=20,"Medium Charges","High Charges"))</f>
        <v>#REF!</v>
      </c>
      <c r="AB1029" t="e">
        <f>IF(AND(#REF!&gt;180, #REF!&gt;200), "Heavy Doemstic User", IF(#REF!&gt;10, "Interntional User", IF(AND(#REF!&lt;180, #REF!&lt;200,#REF!&lt;200), "Light User", "Balanced User")))</f>
        <v>#REF!</v>
      </c>
      <c r="AC1029" t="e">
        <f>IF(#REF! = 0, "No Usage", IF(#REF! &lt;= 20, "Low Usage", IF(#REF! &lt;= 40, "Medium Usgae", "High Usage")))</f>
        <v>#REF!</v>
      </c>
      <c r="AD1029" t="e">
        <f>IF(#REF!&lt;=150,"Low Usage", IF(#REF!&lt;=200,"Medium Usage", IF(#REF!&lt;=250,"High Usage","Very High Usage")))</f>
        <v>#REF!</v>
      </c>
      <c r="AE1029" t="e">
        <f>IF(#REF!&lt;=5,"Low Calls", IF(#REF!&lt;=10, "Medium Calls", "High Calls"))</f>
        <v>#REF!</v>
      </c>
      <c r="AF1029" t="e">
        <f xml:space="preserve">
IF(#REF!&gt;=4,4,0)+
IF(#REF!="yes",3,0)+
IF(#REF!="High Charges",3,0)+
IF(#REF!&gt;250,4,0)+
IF(#REF!="no",1,0)+
IF(#REF!="Heavy Domestic User",2,0)</f>
        <v>#REF!</v>
      </c>
      <c r="AG1029" t="e">
        <f>IF(#REF!&gt;=10,"High Risk", IF(#REF!&gt;=5,"Medium Risk","Low Risk"))</f>
        <v>#REF!</v>
      </c>
      <c r="AH1029" t="e">
        <f>#REF! + #REF! + #REF! + #REF!</f>
        <v>#REF!</v>
      </c>
    </row>
    <row r="1030" spans="1:34" x14ac:dyDescent="0.35">
      <c r="A1030">
        <v>1029</v>
      </c>
      <c r="B1030" t="s">
        <v>47</v>
      </c>
      <c r="C1030">
        <v>120</v>
      </c>
      <c r="D1030" t="s">
        <v>21</v>
      </c>
      <c r="E1030" t="s">
        <v>22</v>
      </c>
      <c r="F1030" t="s">
        <v>22</v>
      </c>
      <c r="G1030">
        <v>0</v>
      </c>
      <c r="H1030">
        <v>178.4</v>
      </c>
      <c r="I1030">
        <v>97</v>
      </c>
      <c r="J1030">
        <v>30.33</v>
      </c>
      <c r="K1030">
        <v>168.3</v>
      </c>
      <c r="L1030">
        <v>113</v>
      </c>
      <c r="M1030">
        <v>14.31</v>
      </c>
      <c r="N1030">
        <v>120.5</v>
      </c>
      <c r="O1030">
        <v>93</v>
      </c>
      <c r="P1030">
        <v>5.42</v>
      </c>
      <c r="Q1030">
        <v>9.3000000000000007</v>
      </c>
      <c r="R1030">
        <v>9</v>
      </c>
      <c r="S1030">
        <v>2.5099999999999998</v>
      </c>
      <c r="T1030">
        <v>1</v>
      </c>
      <c r="U1030" t="s">
        <v>22</v>
      </c>
      <c r="V1030" t="e">
        <f>IF(#REF! = "yes", 1, 0)</f>
        <v>#REF!</v>
      </c>
      <c r="W1030" t="e">
        <f>IF(#REF! &lt;= 1, "0-1 Calls", IF(#REF! &lt;= 3, "2-3 Calls", IF(#REF! &lt;=5, "4-5 Calls", "6+ Calls")))</f>
        <v>#REF!</v>
      </c>
      <c r="X1030" t="e">
        <f>IF(#REF! &lt;= 50, "0-50", IF(#REF! &lt;=100, "51-100", IF(#REF! &lt;= 150, "101-150", "151+")))</f>
        <v>#REF!</v>
      </c>
      <c r="Y1030" t="e">
        <f>IF(#REF! &lt;= 3, "Low Charges", "High Charges")</f>
        <v>#REF!</v>
      </c>
      <c r="Z1030" t="e">
        <f>IF(#REF!&lt;=80,"Low Calls",
IF(#REF!&lt;=120,"Medium Calls","High Calls"))</f>
        <v>#REF!</v>
      </c>
      <c r="AA1030" t="e">
        <f>IF(#REF!&lt;=15,"Low Charges",
IF(#REF!&lt;=20,"Medium Charges","High Charges"))</f>
        <v>#REF!</v>
      </c>
      <c r="AB1030" t="e">
        <f>IF(AND(#REF!&gt;180, #REF!&gt;200), "Heavy Doemstic User", IF(#REF!&gt;10, "Interntional User", IF(AND(#REF!&lt;180, #REF!&lt;200,#REF!&lt;200), "Light User", "Balanced User")))</f>
        <v>#REF!</v>
      </c>
      <c r="AC1030" t="e">
        <f>IF(#REF! = 0, "No Usage", IF(#REF! &lt;= 20, "Low Usage", IF(#REF! &lt;= 40, "Medium Usgae", "High Usage")))</f>
        <v>#REF!</v>
      </c>
      <c r="AD1030" t="e">
        <f>IF(#REF!&lt;=150,"Low Usage", IF(#REF!&lt;=200,"Medium Usage", IF(#REF!&lt;=250,"High Usage","Very High Usage")))</f>
        <v>#REF!</v>
      </c>
      <c r="AE1030" t="e">
        <f>IF(#REF!&lt;=5,"Low Calls", IF(#REF!&lt;=10, "Medium Calls", "High Calls"))</f>
        <v>#REF!</v>
      </c>
      <c r="AF1030" t="e">
        <f xml:space="preserve">
IF(#REF!&gt;=4,4,0)+
IF(#REF!="yes",3,0)+
IF(#REF!="High Charges",3,0)+
IF(#REF!&gt;250,4,0)+
IF(#REF!="no",1,0)+
IF(#REF!="Heavy Domestic User",2,0)</f>
        <v>#REF!</v>
      </c>
      <c r="AG1030" t="e">
        <f>IF(#REF!&gt;=10,"High Risk", IF(#REF!&gt;=5,"Medium Risk","Low Risk"))</f>
        <v>#REF!</v>
      </c>
      <c r="AH1030" t="e">
        <f>#REF! + #REF! + #REF! + #REF!</f>
        <v>#REF!</v>
      </c>
    </row>
    <row r="1031" spans="1:34" x14ac:dyDescent="0.35">
      <c r="A1031">
        <v>1030</v>
      </c>
      <c r="B1031" t="s">
        <v>55</v>
      </c>
      <c r="C1031">
        <v>74</v>
      </c>
      <c r="D1031" t="s">
        <v>21</v>
      </c>
      <c r="E1031" t="s">
        <v>22</v>
      </c>
      <c r="F1031" t="s">
        <v>22</v>
      </c>
      <c r="G1031">
        <v>0</v>
      </c>
      <c r="H1031">
        <v>106.4</v>
      </c>
      <c r="I1031">
        <v>84</v>
      </c>
      <c r="J1031">
        <v>18.09</v>
      </c>
      <c r="K1031">
        <v>140.19999999999999</v>
      </c>
      <c r="L1031">
        <v>104</v>
      </c>
      <c r="M1031">
        <v>11.92</v>
      </c>
      <c r="N1031">
        <v>90.9</v>
      </c>
      <c r="O1031">
        <v>81</v>
      </c>
      <c r="P1031">
        <v>4.09</v>
      </c>
      <c r="Q1031">
        <v>11.4</v>
      </c>
      <c r="R1031">
        <v>3</v>
      </c>
      <c r="S1031">
        <v>3.08</v>
      </c>
      <c r="T1031">
        <v>1</v>
      </c>
      <c r="U1031" t="s">
        <v>22</v>
      </c>
      <c r="V1031" t="e">
        <f>IF(#REF! = "yes", 1, 0)</f>
        <v>#REF!</v>
      </c>
      <c r="W1031" t="e">
        <f>IF(#REF! &lt;= 1, "0-1 Calls", IF(#REF! &lt;= 3, "2-3 Calls", IF(#REF! &lt;=5, "4-5 Calls", "6+ Calls")))</f>
        <v>#REF!</v>
      </c>
      <c r="X1031" t="e">
        <f>IF(#REF! &lt;= 50, "0-50", IF(#REF! &lt;=100, "51-100", IF(#REF! &lt;= 150, "101-150", "151+")))</f>
        <v>#REF!</v>
      </c>
      <c r="Y1031" t="e">
        <f>IF(#REF! &lt;= 3, "Low Charges", "High Charges")</f>
        <v>#REF!</v>
      </c>
      <c r="Z1031" t="e">
        <f>IF(#REF!&lt;=80,"Low Calls",
IF(#REF!&lt;=120,"Medium Calls","High Calls"))</f>
        <v>#REF!</v>
      </c>
      <c r="AA1031" t="e">
        <f>IF(#REF!&lt;=15,"Low Charges",
IF(#REF!&lt;=20,"Medium Charges","High Charges"))</f>
        <v>#REF!</v>
      </c>
      <c r="AB1031" t="e">
        <f>IF(AND(#REF!&gt;180, #REF!&gt;200), "Heavy Doemstic User", IF(#REF!&gt;10, "Interntional User", IF(AND(#REF!&lt;180, #REF!&lt;200,#REF!&lt;200), "Light User", "Balanced User")))</f>
        <v>#REF!</v>
      </c>
      <c r="AC1031" t="e">
        <f>IF(#REF! = 0, "No Usage", IF(#REF! &lt;= 20, "Low Usage", IF(#REF! &lt;= 40, "Medium Usgae", "High Usage")))</f>
        <v>#REF!</v>
      </c>
      <c r="AD1031" t="e">
        <f>IF(#REF!&lt;=150,"Low Usage", IF(#REF!&lt;=200,"Medium Usage", IF(#REF!&lt;=250,"High Usage","Very High Usage")))</f>
        <v>#REF!</v>
      </c>
      <c r="AE1031" t="e">
        <f>IF(#REF!&lt;=5,"Low Calls", IF(#REF!&lt;=10, "Medium Calls", "High Calls"))</f>
        <v>#REF!</v>
      </c>
      <c r="AF1031" t="e">
        <f xml:space="preserve">
IF(#REF!&gt;=4,4,0)+
IF(#REF!="yes",3,0)+
IF(#REF!="High Charges",3,0)+
IF(#REF!&gt;250,4,0)+
IF(#REF!="no",1,0)+
IF(#REF!="Heavy Domestic User",2,0)</f>
        <v>#REF!</v>
      </c>
      <c r="AG1031" t="e">
        <f>IF(#REF!&gt;=10,"High Risk", IF(#REF!&gt;=5,"Medium Risk","Low Risk"))</f>
        <v>#REF!</v>
      </c>
      <c r="AH1031" t="e">
        <f>#REF! + #REF! + #REF! + #REF!</f>
        <v>#REF!</v>
      </c>
    </row>
    <row r="1032" spans="1:34" x14ac:dyDescent="0.35">
      <c r="A1032">
        <v>1031</v>
      </c>
      <c r="B1032" t="s">
        <v>50</v>
      </c>
      <c r="C1032">
        <v>109</v>
      </c>
      <c r="D1032" t="s">
        <v>28</v>
      </c>
      <c r="E1032" t="s">
        <v>22</v>
      </c>
      <c r="F1032" t="s">
        <v>22</v>
      </c>
      <c r="G1032">
        <v>0</v>
      </c>
      <c r="H1032">
        <v>170.7</v>
      </c>
      <c r="I1032">
        <v>101</v>
      </c>
      <c r="J1032">
        <v>29.02</v>
      </c>
      <c r="K1032">
        <v>240.2</v>
      </c>
      <c r="L1032">
        <v>82</v>
      </c>
      <c r="M1032">
        <v>20.420000000000002</v>
      </c>
      <c r="N1032">
        <v>119</v>
      </c>
      <c r="O1032">
        <v>112</v>
      </c>
      <c r="P1032">
        <v>5.36</v>
      </c>
      <c r="Q1032">
        <v>11.4</v>
      </c>
      <c r="R1032">
        <v>4</v>
      </c>
      <c r="S1032">
        <v>3.08</v>
      </c>
      <c r="T1032">
        <v>2</v>
      </c>
      <c r="U1032" t="s">
        <v>22</v>
      </c>
      <c r="V1032" t="e">
        <f>IF(#REF! = "yes", 1, 0)</f>
        <v>#REF!</v>
      </c>
      <c r="W1032" t="e">
        <f>IF(#REF! &lt;= 1, "0-1 Calls", IF(#REF! &lt;= 3, "2-3 Calls", IF(#REF! &lt;=5, "4-5 Calls", "6+ Calls")))</f>
        <v>#REF!</v>
      </c>
      <c r="X1032" t="e">
        <f>IF(#REF! &lt;= 50, "0-50", IF(#REF! &lt;=100, "51-100", IF(#REF! &lt;= 150, "101-150", "151+")))</f>
        <v>#REF!</v>
      </c>
      <c r="Y1032" t="e">
        <f>IF(#REF! &lt;= 3, "Low Charges", "High Charges")</f>
        <v>#REF!</v>
      </c>
      <c r="Z1032" t="e">
        <f>IF(#REF!&lt;=80,"Low Calls",
IF(#REF!&lt;=120,"Medium Calls","High Calls"))</f>
        <v>#REF!</v>
      </c>
      <c r="AA1032" t="e">
        <f>IF(#REF!&lt;=15,"Low Charges",
IF(#REF!&lt;=20,"Medium Charges","High Charges"))</f>
        <v>#REF!</v>
      </c>
      <c r="AB1032" t="e">
        <f>IF(AND(#REF!&gt;180, #REF!&gt;200), "Heavy Doemstic User", IF(#REF!&gt;10, "Interntional User", IF(AND(#REF!&lt;180, #REF!&lt;200,#REF!&lt;200), "Light User", "Balanced User")))</f>
        <v>#REF!</v>
      </c>
      <c r="AC1032" t="e">
        <f>IF(#REF! = 0, "No Usage", IF(#REF! &lt;= 20, "Low Usage", IF(#REF! &lt;= 40, "Medium Usgae", "High Usage")))</f>
        <v>#REF!</v>
      </c>
      <c r="AD1032" t="e">
        <f>IF(#REF!&lt;=150,"Low Usage", IF(#REF!&lt;=200,"Medium Usage", IF(#REF!&lt;=250,"High Usage","Very High Usage")))</f>
        <v>#REF!</v>
      </c>
      <c r="AE1032" t="e">
        <f>IF(#REF!&lt;=5,"Low Calls", IF(#REF!&lt;=10, "Medium Calls", "High Calls"))</f>
        <v>#REF!</v>
      </c>
      <c r="AF1032" t="e">
        <f xml:space="preserve">
IF(#REF!&gt;=4,4,0)+
IF(#REF!="yes",3,0)+
IF(#REF!="High Charges",3,0)+
IF(#REF!&gt;250,4,0)+
IF(#REF!="no",1,0)+
IF(#REF!="Heavy Domestic User",2,0)</f>
        <v>#REF!</v>
      </c>
      <c r="AG1032" t="e">
        <f>IF(#REF!&gt;=10,"High Risk", IF(#REF!&gt;=5,"Medium Risk","Low Risk"))</f>
        <v>#REF!</v>
      </c>
      <c r="AH1032" t="e">
        <f>#REF! + #REF! + #REF! + #REF!</f>
        <v>#REF!</v>
      </c>
    </row>
    <row r="1033" spans="1:34" x14ac:dyDescent="0.35">
      <c r="A1033">
        <v>1032</v>
      </c>
      <c r="B1033" t="s">
        <v>30</v>
      </c>
      <c r="C1033">
        <v>162</v>
      </c>
      <c r="D1033" t="s">
        <v>28</v>
      </c>
      <c r="E1033" t="s">
        <v>22</v>
      </c>
      <c r="F1033" t="s">
        <v>23</v>
      </c>
      <c r="G1033">
        <v>33</v>
      </c>
      <c r="H1033">
        <v>184.5</v>
      </c>
      <c r="I1033">
        <v>139</v>
      </c>
      <c r="J1033">
        <v>31.37</v>
      </c>
      <c r="K1033">
        <v>183.2</v>
      </c>
      <c r="L1033">
        <v>78</v>
      </c>
      <c r="M1033">
        <v>15.57</v>
      </c>
      <c r="N1033">
        <v>127.4</v>
      </c>
      <c r="O1033">
        <v>106</v>
      </c>
      <c r="P1033">
        <v>5.73</v>
      </c>
      <c r="Q1033">
        <v>12.3</v>
      </c>
      <c r="R1033">
        <v>6</v>
      </c>
      <c r="S1033">
        <v>3.32</v>
      </c>
      <c r="T1033">
        <v>0</v>
      </c>
      <c r="U1033" t="s">
        <v>22</v>
      </c>
      <c r="V1033" t="e">
        <f>IF(#REF! = "yes", 1, 0)</f>
        <v>#REF!</v>
      </c>
      <c r="W1033" t="e">
        <f>IF(#REF! &lt;= 1, "0-1 Calls", IF(#REF! &lt;= 3, "2-3 Calls", IF(#REF! &lt;=5, "4-5 Calls", "6+ Calls")))</f>
        <v>#REF!</v>
      </c>
      <c r="X1033" t="e">
        <f>IF(#REF! &lt;= 50, "0-50", IF(#REF! &lt;=100, "51-100", IF(#REF! &lt;= 150, "101-150", "151+")))</f>
        <v>#REF!</v>
      </c>
      <c r="Y1033" t="e">
        <f>IF(#REF! &lt;= 3, "Low Charges", "High Charges")</f>
        <v>#REF!</v>
      </c>
      <c r="Z1033" t="e">
        <f>IF(#REF!&lt;=80,"Low Calls",
IF(#REF!&lt;=120,"Medium Calls","High Calls"))</f>
        <v>#REF!</v>
      </c>
      <c r="AA1033" t="e">
        <f>IF(#REF!&lt;=15,"Low Charges",
IF(#REF!&lt;=20,"Medium Charges","High Charges"))</f>
        <v>#REF!</v>
      </c>
      <c r="AB1033" t="e">
        <f>IF(AND(#REF!&gt;180, #REF!&gt;200), "Heavy Doemstic User", IF(#REF!&gt;10, "Interntional User", IF(AND(#REF!&lt;180, #REF!&lt;200,#REF!&lt;200), "Light User", "Balanced User")))</f>
        <v>#REF!</v>
      </c>
      <c r="AC1033" t="e">
        <f>IF(#REF! = 0, "No Usage", IF(#REF! &lt;= 20, "Low Usage", IF(#REF! &lt;= 40, "Medium Usgae", "High Usage")))</f>
        <v>#REF!</v>
      </c>
      <c r="AD1033" t="e">
        <f>IF(#REF!&lt;=150,"Low Usage", IF(#REF!&lt;=200,"Medium Usage", IF(#REF!&lt;=250,"High Usage","Very High Usage")))</f>
        <v>#REF!</v>
      </c>
      <c r="AE1033" t="e">
        <f>IF(#REF!&lt;=5,"Low Calls", IF(#REF!&lt;=10, "Medium Calls", "High Calls"))</f>
        <v>#REF!</v>
      </c>
      <c r="AF1033" t="e">
        <f xml:space="preserve">
IF(#REF!&gt;=4,4,0)+
IF(#REF!="yes",3,0)+
IF(#REF!="High Charges",3,0)+
IF(#REF!&gt;250,4,0)+
IF(#REF!="no",1,0)+
IF(#REF!="Heavy Domestic User",2,0)</f>
        <v>#REF!</v>
      </c>
      <c r="AG1033" t="e">
        <f>IF(#REF!&gt;=10,"High Risk", IF(#REF!&gt;=5,"Medium Risk","Low Risk"))</f>
        <v>#REF!</v>
      </c>
      <c r="AH1033" t="e">
        <f>#REF! + #REF! + #REF! + #REF!</f>
        <v>#REF!</v>
      </c>
    </row>
    <row r="1034" spans="1:34" x14ac:dyDescent="0.35">
      <c r="A1034">
        <v>1033</v>
      </c>
      <c r="B1034" t="s">
        <v>70</v>
      </c>
      <c r="C1034">
        <v>124</v>
      </c>
      <c r="D1034" t="s">
        <v>28</v>
      </c>
      <c r="E1034" t="s">
        <v>22</v>
      </c>
      <c r="F1034" t="s">
        <v>23</v>
      </c>
      <c r="G1034">
        <v>37</v>
      </c>
      <c r="H1034">
        <v>161.19999999999999</v>
      </c>
      <c r="I1034">
        <v>109</v>
      </c>
      <c r="J1034">
        <v>27.4</v>
      </c>
      <c r="K1034">
        <v>204.2</v>
      </c>
      <c r="L1034">
        <v>79</v>
      </c>
      <c r="M1034">
        <v>17.36</v>
      </c>
      <c r="N1034">
        <v>231.5</v>
      </c>
      <c r="O1034">
        <v>87</v>
      </c>
      <c r="P1034">
        <v>10.42</v>
      </c>
      <c r="Q1034">
        <v>8.9</v>
      </c>
      <c r="R1034">
        <v>4</v>
      </c>
      <c r="S1034">
        <v>2.4</v>
      </c>
      <c r="T1034">
        <v>1</v>
      </c>
      <c r="U1034" t="s">
        <v>22</v>
      </c>
      <c r="V1034" t="e">
        <f>IF(#REF! = "yes", 1, 0)</f>
        <v>#REF!</v>
      </c>
      <c r="W1034" t="e">
        <f>IF(#REF! &lt;= 1, "0-1 Calls", IF(#REF! &lt;= 3, "2-3 Calls", IF(#REF! &lt;=5, "4-5 Calls", "6+ Calls")))</f>
        <v>#REF!</v>
      </c>
      <c r="X1034" t="e">
        <f>IF(#REF! &lt;= 50, "0-50", IF(#REF! &lt;=100, "51-100", IF(#REF! &lt;= 150, "101-150", "151+")))</f>
        <v>#REF!</v>
      </c>
      <c r="Y1034" t="e">
        <f>IF(#REF! &lt;= 3, "Low Charges", "High Charges")</f>
        <v>#REF!</v>
      </c>
      <c r="Z1034" t="e">
        <f>IF(#REF!&lt;=80,"Low Calls",
IF(#REF!&lt;=120,"Medium Calls","High Calls"))</f>
        <v>#REF!</v>
      </c>
      <c r="AA1034" t="e">
        <f>IF(#REF!&lt;=15,"Low Charges",
IF(#REF!&lt;=20,"Medium Charges","High Charges"))</f>
        <v>#REF!</v>
      </c>
      <c r="AB1034" t="e">
        <f>IF(AND(#REF!&gt;180, #REF!&gt;200), "Heavy Doemstic User", IF(#REF!&gt;10, "Interntional User", IF(AND(#REF!&lt;180, #REF!&lt;200,#REF!&lt;200), "Light User", "Balanced User")))</f>
        <v>#REF!</v>
      </c>
      <c r="AC1034" t="e">
        <f>IF(#REF! = 0, "No Usage", IF(#REF! &lt;= 20, "Low Usage", IF(#REF! &lt;= 40, "Medium Usgae", "High Usage")))</f>
        <v>#REF!</v>
      </c>
      <c r="AD1034" t="e">
        <f>IF(#REF!&lt;=150,"Low Usage", IF(#REF!&lt;=200,"Medium Usage", IF(#REF!&lt;=250,"High Usage","Very High Usage")))</f>
        <v>#REF!</v>
      </c>
      <c r="AE1034" t="e">
        <f>IF(#REF!&lt;=5,"Low Calls", IF(#REF!&lt;=10, "Medium Calls", "High Calls"))</f>
        <v>#REF!</v>
      </c>
      <c r="AF1034" t="e">
        <f xml:space="preserve">
IF(#REF!&gt;=4,4,0)+
IF(#REF!="yes",3,0)+
IF(#REF!="High Charges",3,0)+
IF(#REF!&gt;250,4,0)+
IF(#REF!="no",1,0)+
IF(#REF!="Heavy Domestic User",2,0)</f>
        <v>#REF!</v>
      </c>
      <c r="AG1034" t="e">
        <f>IF(#REF!&gt;=10,"High Risk", IF(#REF!&gt;=5,"Medium Risk","Low Risk"))</f>
        <v>#REF!</v>
      </c>
      <c r="AH1034" t="e">
        <f>#REF! + #REF! + #REF! + #REF!</f>
        <v>#REF!</v>
      </c>
    </row>
    <row r="1035" spans="1:34" x14ac:dyDescent="0.35">
      <c r="A1035">
        <v>1034</v>
      </c>
      <c r="B1035" t="s">
        <v>52</v>
      </c>
      <c r="C1035">
        <v>177</v>
      </c>
      <c r="D1035" t="s">
        <v>25</v>
      </c>
      <c r="E1035" t="s">
        <v>22</v>
      </c>
      <c r="F1035" t="s">
        <v>22</v>
      </c>
      <c r="G1035">
        <v>0</v>
      </c>
      <c r="H1035">
        <v>84.9</v>
      </c>
      <c r="I1035">
        <v>77</v>
      </c>
      <c r="J1035">
        <v>14.43</v>
      </c>
      <c r="K1035">
        <v>257.5</v>
      </c>
      <c r="L1035">
        <v>109</v>
      </c>
      <c r="M1035">
        <v>21.89</v>
      </c>
      <c r="N1035">
        <v>210.5</v>
      </c>
      <c r="O1035">
        <v>66</v>
      </c>
      <c r="P1035">
        <v>9.4700000000000006</v>
      </c>
      <c r="Q1035">
        <v>7.5</v>
      </c>
      <c r="R1035">
        <v>5</v>
      </c>
      <c r="S1035">
        <v>2.0299999999999998</v>
      </c>
      <c r="T1035">
        <v>2</v>
      </c>
      <c r="U1035" t="s">
        <v>22</v>
      </c>
      <c r="V1035" t="e">
        <f>IF(#REF! = "yes", 1, 0)</f>
        <v>#REF!</v>
      </c>
      <c r="W1035" t="e">
        <f>IF(#REF! &lt;= 1, "0-1 Calls", IF(#REF! &lt;= 3, "2-3 Calls", IF(#REF! &lt;=5, "4-5 Calls", "6+ Calls")))</f>
        <v>#REF!</v>
      </c>
      <c r="X1035" t="e">
        <f>IF(#REF! &lt;= 50, "0-50", IF(#REF! &lt;=100, "51-100", IF(#REF! &lt;= 150, "101-150", "151+")))</f>
        <v>#REF!</v>
      </c>
      <c r="Y1035" t="e">
        <f>IF(#REF! &lt;= 3, "Low Charges", "High Charges")</f>
        <v>#REF!</v>
      </c>
      <c r="Z1035" t="e">
        <f>IF(#REF!&lt;=80,"Low Calls",
IF(#REF!&lt;=120,"Medium Calls","High Calls"))</f>
        <v>#REF!</v>
      </c>
      <c r="AA1035" t="e">
        <f>IF(#REF!&lt;=15,"Low Charges",
IF(#REF!&lt;=20,"Medium Charges","High Charges"))</f>
        <v>#REF!</v>
      </c>
      <c r="AB1035" t="e">
        <f>IF(AND(#REF!&gt;180, #REF!&gt;200), "Heavy Doemstic User", IF(#REF!&gt;10, "Interntional User", IF(AND(#REF!&lt;180, #REF!&lt;200,#REF!&lt;200), "Light User", "Balanced User")))</f>
        <v>#REF!</v>
      </c>
      <c r="AC1035" t="e">
        <f>IF(#REF! = 0, "No Usage", IF(#REF! &lt;= 20, "Low Usage", IF(#REF! &lt;= 40, "Medium Usgae", "High Usage")))</f>
        <v>#REF!</v>
      </c>
      <c r="AD1035" t="e">
        <f>IF(#REF!&lt;=150,"Low Usage", IF(#REF!&lt;=200,"Medium Usage", IF(#REF!&lt;=250,"High Usage","Very High Usage")))</f>
        <v>#REF!</v>
      </c>
      <c r="AE1035" t="e">
        <f>IF(#REF!&lt;=5,"Low Calls", IF(#REF!&lt;=10, "Medium Calls", "High Calls"))</f>
        <v>#REF!</v>
      </c>
      <c r="AF1035" t="e">
        <f xml:space="preserve">
IF(#REF!&gt;=4,4,0)+
IF(#REF!="yes",3,0)+
IF(#REF!="High Charges",3,0)+
IF(#REF!&gt;250,4,0)+
IF(#REF!="no",1,0)+
IF(#REF!="Heavy Domestic User",2,0)</f>
        <v>#REF!</v>
      </c>
      <c r="AG1035" t="e">
        <f>IF(#REF!&gt;=10,"High Risk", IF(#REF!&gt;=5,"Medium Risk","Low Risk"))</f>
        <v>#REF!</v>
      </c>
      <c r="AH1035" t="e">
        <f>#REF! + #REF! + #REF! + #REF!</f>
        <v>#REF!</v>
      </c>
    </row>
    <row r="1036" spans="1:34" x14ac:dyDescent="0.35">
      <c r="A1036">
        <v>1035</v>
      </c>
      <c r="B1036" t="s">
        <v>51</v>
      </c>
      <c r="C1036">
        <v>91</v>
      </c>
      <c r="D1036" t="s">
        <v>28</v>
      </c>
      <c r="E1036" t="s">
        <v>22</v>
      </c>
      <c r="F1036" t="s">
        <v>22</v>
      </c>
      <c r="G1036">
        <v>0</v>
      </c>
      <c r="H1036">
        <v>217.9</v>
      </c>
      <c r="I1036">
        <v>71</v>
      </c>
      <c r="J1036">
        <v>37.04</v>
      </c>
      <c r="K1036">
        <v>230.1</v>
      </c>
      <c r="L1036">
        <v>116</v>
      </c>
      <c r="M1036">
        <v>19.559999999999999</v>
      </c>
      <c r="N1036">
        <v>232.1</v>
      </c>
      <c r="O1036">
        <v>110</v>
      </c>
      <c r="P1036">
        <v>10.44</v>
      </c>
      <c r="Q1036">
        <v>10.6</v>
      </c>
      <c r="R1036">
        <v>2</v>
      </c>
      <c r="S1036">
        <v>2.86</v>
      </c>
      <c r="T1036">
        <v>1</v>
      </c>
      <c r="U1036" t="s">
        <v>22</v>
      </c>
      <c r="V1036" t="e">
        <f>IF(#REF! = "yes", 1, 0)</f>
        <v>#REF!</v>
      </c>
      <c r="W1036" t="e">
        <f>IF(#REF! &lt;= 1, "0-1 Calls", IF(#REF! &lt;= 3, "2-3 Calls", IF(#REF! &lt;=5, "4-5 Calls", "6+ Calls")))</f>
        <v>#REF!</v>
      </c>
      <c r="X1036" t="e">
        <f>IF(#REF! &lt;= 50, "0-50", IF(#REF! &lt;=100, "51-100", IF(#REF! &lt;= 150, "101-150", "151+")))</f>
        <v>#REF!</v>
      </c>
      <c r="Y1036" t="e">
        <f>IF(#REF! &lt;= 3, "Low Charges", "High Charges")</f>
        <v>#REF!</v>
      </c>
      <c r="Z1036" t="e">
        <f>IF(#REF!&lt;=80,"Low Calls",
IF(#REF!&lt;=120,"Medium Calls","High Calls"))</f>
        <v>#REF!</v>
      </c>
      <c r="AA1036" t="e">
        <f>IF(#REF!&lt;=15,"Low Charges",
IF(#REF!&lt;=20,"Medium Charges","High Charges"))</f>
        <v>#REF!</v>
      </c>
      <c r="AB1036" t="e">
        <f>IF(AND(#REF!&gt;180, #REF!&gt;200), "Heavy Doemstic User", IF(#REF!&gt;10, "Interntional User", IF(AND(#REF!&lt;180, #REF!&lt;200,#REF!&lt;200), "Light User", "Balanced User")))</f>
        <v>#REF!</v>
      </c>
      <c r="AC1036" t="e">
        <f>IF(#REF! = 0, "No Usage", IF(#REF! &lt;= 20, "Low Usage", IF(#REF! &lt;= 40, "Medium Usgae", "High Usage")))</f>
        <v>#REF!</v>
      </c>
      <c r="AD1036" t="e">
        <f>IF(#REF!&lt;=150,"Low Usage", IF(#REF!&lt;=200,"Medium Usage", IF(#REF!&lt;=250,"High Usage","Very High Usage")))</f>
        <v>#REF!</v>
      </c>
      <c r="AE1036" t="e">
        <f>IF(#REF!&lt;=5,"Low Calls", IF(#REF!&lt;=10, "Medium Calls", "High Calls"))</f>
        <v>#REF!</v>
      </c>
      <c r="AF1036" t="e">
        <f xml:space="preserve">
IF(#REF!&gt;=4,4,0)+
IF(#REF!="yes",3,0)+
IF(#REF!="High Charges",3,0)+
IF(#REF!&gt;250,4,0)+
IF(#REF!="no",1,0)+
IF(#REF!="Heavy Domestic User",2,0)</f>
        <v>#REF!</v>
      </c>
      <c r="AG1036" t="e">
        <f>IF(#REF!&gt;=10,"High Risk", IF(#REF!&gt;=5,"Medium Risk","Low Risk"))</f>
        <v>#REF!</v>
      </c>
      <c r="AH1036" t="e">
        <f>#REF! + #REF! + #REF! + #REF!</f>
        <v>#REF!</v>
      </c>
    </row>
    <row r="1037" spans="1:34" x14ac:dyDescent="0.35">
      <c r="A1037">
        <v>1036</v>
      </c>
      <c r="B1037" t="s">
        <v>70</v>
      </c>
      <c r="C1037">
        <v>24</v>
      </c>
      <c r="D1037" t="s">
        <v>28</v>
      </c>
      <c r="E1037" t="s">
        <v>22</v>
      </c>
      <c r="F1037" t="s">
        <v>22</v>
      </c>
      <c r="G1037">
        <v>0</v>
      </c>
      <c r="H1037">
        <v>243</v>
      </c>
      <c r="I1037">
        <v>91</v>
      </c>
      <c r="J1037">
        <v>41.31</v>
      </c>
      <c r="K1037">
        <v>183.9</v>
      </c>
      <c r="L1037">
        <v>77</v>
      </c>
      <c r="M1037">
        <v>15.63</v>
      </c>
      <c r="N1037">
        <v>184.3</v>
      </c>
      <c r="O1037">
        <v>109</v>
      </c>
      <c r="P1037">
        <v>8.2899999999999991</v>
      </c>
      <c r="Q1037">
        <v>15.3</v>
      </c>
      <c r="R1037">
        <v>6</v>
      </c>
      <c r="S1037">
        <v>4.13</v>
      </c>
      <c r="T1037">
        <v>0</v>
      </c>
      <c r="U1037" t="s">
        <v>23</v>
      </c>
      <c r="V1037" t="e">
        <f>IF(#REF! = "yes", 1, 0)</f>
        <v>#REF!</v>
      </c>
      <c r="W1037" t="e">
        <f>IF(#REF! &lt;= 1, "0-1 Calls", IF(#REF! &lt;= 3, "2-3 Calls", IF(#REF! &lt;=5, "4-5 Calls", "6+ Calls")))</f>
        <v>#REF!</v>
      </c>
      <c r="X1037" t="e">
        <f>IF(#REF! &lt;= 50, "0-50", IF(#REF! &lt;=100, "51-100", IF(#REF! &lt;= 150, "101-150", "151+")))</f>
        <v>#REF!</v>
      </c>
      <c r="Y1037" t="e">
        <f>IF(#REF! &lt;= 3, "Low Charges", "High Charges")</f>
        <v>#REF!</v>
      </c>
      <c r="Z1037" t="e">
        <f>IF(#REF!&lt;=80,"Low Calls",
IF(#REF!&lt;=120,"Medium Calls","High Calls"))</f>
        <v>#REF!</v>
      </c>
      <c r="AA1037" t="e">
        <f>IF(#REF!&lt;=15,"Low Charges",
IF(#REF!&lt;=20,"Medium Charges","High Charges"))</f>
        <v>#REF!</v>
      </c>
      <c r="AB1037" t="e">
        <f>IF(AND(#REF!&gt;180, #REF!&gt;200), "Heavy Doemstic User", IF(#REF!&gt;10, "Interntional User", IF(AND(#REF!&lt;180, #REF!&lt;200,#REF!&lt;200), "Light User", "Balanced User")))</f>
        <v>#REF!</v>
      </c>
      <c r="AC1037" t="e">
        <f>IF(#REF! = 0, "No Usage", IF(#REF! &lt;= 20, "Low Usage", IF(#REF! &lt;= 40, "Medium Usgae", "High Usage")))</f>
        <v>#REF!</v>
      </c>
      <c r="AD1037" t="e">
        <f>IF(#REF!&lt;=150,"Low Usage", IF(#REF!&lt;=200,"Medium Usage", IF(#REF!&lt;=250,"High Usage","Very High Usage")))</f>
        <v>#REF!</v>
      </c>
      <c r="AE1037" t="e">
        <f>IF(#REF!&lt;=5,"Low Calls", IF(#REF!&lt;=10, "Medium Calls", "High Calls"))</f>
        <v>#REF!</v>
      </c>
      <c r="AF1037" t="e">
        <f xml:space="preserve">
IF(#REF!&gt;=4,4,0)+
IF(#REF!="yes",3,0)+
IF(#REF!="High Charges",3,0)+
IF(#REF!&gt;250,4,0)+
IF(#REF!="no",1,0)+
IF(#REF!="Heavy Domestic User",2,0)</f>
        <v>#REF!</v>
      </c>
      <c r="AG1037" t="e">
        <f>IF(#REF!&gt;=10,"High Risk", IF(#REF!&gt;=5,"Medium Risk","Low Risk"))</f>
        <v>#REF!</v>
      </c>
      <c r="AH1037" t="e">
        <f>#REF! + #REF! + #REF! + #REF!</f>
        <v>#REF!</v>
      </c>
    </row>
    <row r="1038" spans="1:34" x14ac:dyDescent="0.35">
      <c r="A1038">
        <v>1037</v>
      </c>
      <c r="B1038" t="s">
        <v>72</v>
      </c>
      <c r="C1038">
        <v>48</v>
      </c>
      <c r="D1038" t="s">
        <v>28</v>
      </c>
      <c r="E1038" t="s">
        <v>22</v>
      </c>
      <c r="F1038" t="s">
        <v>22</v>
      </c>
      <c r="G1038">
        <v>0</v>
      </c>
      <c r="H1038">
        <v>128.19999999999999</v>
      </c>
      <c r="I1038">
        <v>71</v>
      </c>
      <c r="J1038">
        <v>21.79</v>
      </c>
      <c r="K1038">
        <v>48.1</v>
      </c>
      <c r="L1038">
        <v>78</v>
      </c>
      <c r="M1038">
        <v>4.09</v>
      </c>
      <c r="N1038">
        <v>116.3</v>
      </c>
      <c r="O1038">
        <v>80</v>
      </c>
      <c r="P1038">
        <v>5.23</v>
      </c>
      <c r="Q1038">
        <v>8.9</v>
      </c>
      <c r="R1038">
        <v>3</v>
      </c>
      <c r="S1038">
        <v>2.4</v>
      </c>
      <c r="T1038">
        <v>0</v>
      </c>
      <c r="U1038" t="s">
        <v>22</v>
      </c>
      <c r="V1038" t="e">
        <f>IF(#REF! = "yes", 1, 0)</f>
        <v>#REF!</v>
      </c>
      <c r="W1038" t="e">
        <f>IF(#REF! &lt;= 1, "0-1 Calls", IF(#REF! &lt;= 3, "2-3 Calls", IF(#REF! &lt;=5, "4-5 Calls", "6+ Calls")))</f>
        <v>#REF!</v>
      </c>
      <c r="X1038" t="e">
        <f>IF(#REF! &lt;= 50, "0-50", IF(#REF! &lt;=100, "51-100", IF(#REF! &lt;= 150, "101-150", "151+")))</f>
        <v>#REF!</v>
      </c>
      <c r="Y1038" t="e">
        <f>IF(#REF! &lt;= 3, "Low Charges", "High Charges")</f>
        <v>#REF!</v>
      </c>
      <c r="Z1038" t="e">
        <f>IF(#REF!&lt;=80,"Low Calls",
IF(#REF!&lt;=120,"Medium Calls","High Calls"))</f>
        <v>#REF!</v>
      </c>
      <c r="AA1038" t="e">
        <f>IF(#REF!&lt;=15,"Low Charges",
IF(#REF!&lt;=20,"Medium Charges","High Charges"))</f>
        <v>#REF!</v>
      </c>
      <c r="AB1038" t="e">
        <f>IF(AND(#REF!&gt;180, #REF!&gt;200), "Heavy Doemstic User", IF(#REF!&gt;10, "Interntional User", IF(AND(#REF!&lt;180, #REF!&lt;200,#REF!&lt;200), "Light User", "Balanced User")))</f>
        <v>#REF!</v>
      </c>
      <c r="AC1038" t="e">
        <f>IF(#REF! = 0, "No Usage", IF(#REF! &lt;= 20, "Low Usage", IF(#REF! &lt;= 40, "Medium Usgae", "High Usage")))</f>
        <v>#REF!</v>
      </c>
      <c r="AD1038" t="e">
        <f>IF(#REF!&lt;=150,"Low Usage", IF(#REF!&lt;=200,"Medium Usage", IF(#REF!&lt;=250,"High Usage","Very High Usage")))</f>
        <v>#REF!</v>
      </c>
      <c r="AE1038" t="e">
        <f>IF(#REF!&lt;=5,"Low Calls", IF(#REF!&lt;=10, "Medium Calls", "High Calls"))</f>
        <v>#REF!</v>
      </c>
      <c r="AF1038" t="e">
        <f xml:space="preserve">
IF(#REF!&gt;=4,4,0)+
IF(#REF!="yes",3,0)+
IF(#REF!="High Charges",3,0)+
IF(#REF!&gt;250,4,0)+
IF(#REF!="no",1,0)+
IF(#REF!="Heavy Domestic User",2,0)</f>
        <v>#REF!</v>
      </c>
      <c r="AG1038" t="e">
        <f>IF(#REF!&gt;=10,"High Risk", IF(#REF!&gt;=5,"Medium Risk","Low Risk"))</f>
        <v>#REF!</v>
      </c>
      <c r="AH1038" t="e">
        <f>#REF! + #REF! + #REF! + #REF!</f>
        <v>#REF!</v>
      </c>
    </row>
    <row r="1039" spans="1:34" x14ac:dyDescent="0.35">
      <c r="A1039">
        <v>1038</v>
      </c>
      <c r="B1039" t="s">
        <v>34</v>
      </c>
      <c r="C1039">
        <v>86</v>
      </c>
      <c r="D1039" t="s">
        <v>25</v>
      </c>
      <c r="E1039" t="s">
        <v>22</v>
      </c>
      <c r="F1039" t="s">
        <v>22</v>
      </c>
      <c r="G1039">
        <v>0</v>
      </c>
      <c r="H1039">
        <v>126.3</v>
      </c>
      <c r="I1039">
        <v>115</v>
      </c>
      <c r="J1039">
        <v>21.47</v>
      </c>
      <c r="K1039">
        <v>168.8</v>
      </c>
      <c r="L1039">
        <v>112</v>
      </c>
      <c r="M1039">
        <v>14.35</v>
      </c>
      <c r="N1039">
        <v>154.6</v>
      </c>
      <c r="O1039">
        <v>95</v>
      </c>
      <c r="P1039">
        <v>6.96</v>
      </c>
      <c r="Q1039">
        <v>9.8000000000000007</v>
      </c>
      <c r="R1039">
        <v>7</v>
      </c>
      <c r="S1039">
        <v>2.65</v>
      </c>
      <c r="T1039">
        <v>2</v>
      </c>
      <c r="U1039" t="s">
        <v>22</v>
      </c>
      <c r="V1039" t="e">
        <f>IF(#REF! = "yes", 1, 0)</f>
        <v>#REF!</v>
      </c>
      <c r="W1039" t="e">
        <f>IF(#REF! &lt;= 1, "0-1 Calls", IF(#REF! &lt;= 3, "2-3 Calls", IF(#REF! &lt;=5, "4-5 Calls", "6+ Calls")))</f>
        <v>#REF!</v>
      </c>
      <c r="X1039" t="e">
        <f>IF(#REF! &lt;= 50, "0-50", IF(#REF! &lt;=100, "51-100", IF(#REF! &lt;= 150, "101-150", "151+")))</f>
        <v>#REF!</v>
      </c>
      <c r="Y1039" t="e">
        <f>IF(#REF! &lt;= 3, "Low Charges", "High Charges")</f>
        <v>#REF!</v>
      </c>
      <c r="Z1039" t="e">
        <f>IF(#REF!&lt;=80,"Low Calls",
IF(#REF!&lt;=120,"Medium Calls","High Calls"))</f>
        <v>#REF!</v>
      </c>
      <c r="AA1039" t="e">
        <f>IF(#REF!&lt;=15,"Low Charges",
IF(#REF!&lt;=20,"Medium Charges","High Charges"))</f>
        <v>#REF!</v>
      </c>
      <c r="AB1039" t="e">
        <f>IF(AND(#REF!&gt;180, #REF!&gt;200), "Heavy Doemstic User", IF(#REF!&gt;10, "Interntional User", IF(AND(#REF!&lt;180, #REF!&lt;200,#REF!&lt;200), "Light User", "Balanced User")))</f>
        <v>#REF!</v>
      </c>
      <c r="AC1039" t="e">
        <f>IF(#REF! = 0, "No Usage", IF(#REF! &lt;= 20, "Low Usage", IF(#REF! &lt;= 40, "Medium Usgae", "High Usage")))</f>
        <v>#REF!</v>
      </c>
      <c r="AD1039" t="e">
        <f>IF(#REF!&lt;=150,"Low Usage", IF(#REF!&lt;=200,"Medium Usage", IF(#REF!&lt;=250,"High Usage","Very High Usage")))</f>
        <v>#REF!</v>
      </c>
      <c r="AE1039" t="e">
        <f>IF(#REF!&lt;=5,"Low Calls", IF(#REF!&lt;=10, "Medium Calls", "High Calls"))</f>
        <v>#REF!</v>
      </c>
      <c r="AF1039" t="e">
        <f xml:space="preserve">
IF(#REF!&gt;=4,4,0)+
IF(#REF!="yes",3,0)+
IF(#REF!="High Charges",3,0)+
IF(#REF!&gt;250,4,0)+
IF(#REF!="no",1,0)+
IF(#REF!="Heavy Domestic User",2,0)</f>
        <v>#REF!</v>
      </c>
      <c r="AG1039" t="e">
        <f>IF(#REF!&gt;=10,"High Risk", IF(#REF!&gt;=5,"Medium Risk","Low Risk"))</f>
        <v>#REF!</v>
      </c>
      <c r="AH1039" t="e">
        <f>#REF! + #REF! + #REF! + #REF!</f>
        <v>#REF!</v>
      </c>
    </row>
    <row r="1040" spans="1:34" x14ac:dyDescent="0.35">
      <c r="A1040">
        <v>1039</v>
      </c>
      <c r="B1040" t="s">
        <v>42</v>
      </c>
      <c r="C1040">
        <v>163</v>
      </c>
      <c r="D1040" t="s">
        <v>28</v>
      </c>
      <c r="E1040" t="s">
        <v>22</v>
      </c>
      <c r="F1040" t="s">
        <v>22</v>
      </c>
      <c r="G1040">
        <v>0</v>
      </c>
      <c r="H1040">
        <v>178.7</v>
      </c>
      <c r="I1040">
        <v>56</v>
      </c>
      <c r="J1040">
        <v>30.38</v>
      </c>
      <c r="K1040">
        <v>215.7</v>
      </c>
      <c r="L1040">
        <v>79</v>
      </c>
      <c r="M1040">
        <v>18.329999999999998</v>
      </c>
      <c r="N1040">
        <v>152.69999999999999</v>
      </c>
      <c r="O1040">
        <v>84</v>
      </c>
      <c r="P1040">
        <v>6.87</v>
      </c>
      <c r="Q1040">
        <v>10.6</v>
      </c>
      <c r="R1040">
        <v>2</v>
      </c>
      <c r="S1040">
        <v>2.86</v>
      </c>
      <c r="T1040">
        <v>4</v>
      </c>
      <c r="U1040" t="s">
        <v>22</v>
      </c>
      <c r="V1040" t="e">
        <f>IF(#REF! = "yes", 1, 0)</f>
        <v>#REF!</v>
      </c>
      <c r="W1040" t="e">
        <f>IF(#REF! &lt;= 1, "0-1 Calls", IF(#REF! &lt;= 3, "2-3 Calls", IF(#REF! &lt;=5, "4-5 Calls", "6+ Calls")))</f>
        <v>#REF!</v>
      </c>
      <c r="X1040" t="e">
        <f>IF(#REF! &lt;= 50, "0-50", IF(#REF! &lt;=100, "51-100", IF(#REF! &lt;= 150, "101-150", "151+")))</f>
        <v>#REF!</v>
      </c>
      <c r="Y1040" t="e">
        <f>IF(#REF! &lt;= 3, "Low Charges", "High Charges")</f>
        <v>#REF!</v>
      </c>
      <c r="Z1040" t="e">
        <f>IF(#REF!&lt;=80,"Low Calls",
IF(#REF!&lt;=120,"Medium Calls","High Calls"))</f>
        <v>#REF!</v>
      </c>
      <c r="AA1040" t="e">
        <f>IF(#REF!&lt;=15,"Low Charges",
IF(#REF!&lt;=20,"Medium Charges","High Charges"))</f>
        <v>#REF!</v>
      </c>
      <c r="AB1040" t="e">
        <f>IF(AND(#REF!&gt;180, #REF!&gt;200), "Heavy Doemstic User", IF(#REF!&gt;10, "Interntional User", IF(AND(#REF!&lt;180, #REF!&lt;200,#REF!&lt;200), "Light User", "Balanced User")))</f>
        <v>#REF!</v>
      </c>
      <c r="AC1040" t="e">
        <f>IF(#REF! = 0, "No Usage", IF(#REF! &lt;= 20, "Low Usage", IF(#REF! &lt;= 40, "Medium Usgae", "High Usage")))</f>
        <v>#REF!</v>
      </c>
      <c r="AD1040" t="e">
        <f>IF(#REF!&lt;=150,"Low Usage", IF(#REF!&lt;=200,"Medium Usage", IF(#REF!&lt;=250,"High Usage","Very High Usage")))</f>
        <v>#REF!</v>
      </c>
      <c r="AE1040" t="e">
        <f>IF(#REF!&lt;=5,"Low Calls", IF(#REF!&lt;=10, "Medium Calls", "High Calls"))</f>
        <v>#REF!</v>
      </c>
      <c r="AF1040" t="e">
        <f xml:space="preserve">
IF(#REF!&gt;=4,4,0)+
IF(#REF!="yes",3,0)+
IF(#REF!="High Charges",3,0)+
IF(#REF!&gt;250,4,0)+
IF(#REF!="no",1,0)+
IF(#REF!="Heavy Domestic User",2,0)</f>
        <v>#REF!</v>
      </c>
      <c r="AG1040" t="e">
        <f>IF(#REF!&gt;=10,"High Risk", IF(#REF!&gt;=5,"Medium Risk","Low Risk"))</f>
        <v>#REF!</v>
      </c>
      <c r="AH1040" t="e">
        <f>#REF! + #REF! + #REF! + #REF!</f>
        <v>#REF!</v>
      </c>
    </row>
    <row r="1041" spans="1:34" x14ac:dyDescent="0.35">
      <c r="A1041">
        <v>1040</v>
      </c>
      <c r="B1041" t="s">
        <v>69</v>
      </c>
      <c r="C1041">
        <v>91</v>
      </c>
      <c r="D1041" t="s">
        <v>28</v>
      </c>
      <c r="E1041" t="s">
        <v>22</v>
      </c>
      <c r="F1041" t="s">
        <v>22</v>
      </c>
      <c r="G1041">
        <v>0</v>
      </c>
      <c r="H1041">
        <v>159</v>
      </c>
      <c r="I1041">
        <v>109</v>
      </c>
      <c r="J1041">
        <v>27.03</v>
      </c>
      <c r="K1041">
        <v>255.1</v>
      </c>
      <c r="L1041">
        <v>142</v>
      </c>
      <c r="M1041">
        <v>21.68</v>
      </c>
      <c r="N1041">
        <v>82.4</v>
      </c>
      <c r="O1041">
        <v>73</v>
      </c>
      <c r="P1041">
        <v>3.71</v>
      </c>
      <c r="Q1041">
        <v>10.1</v>
      </c>
      <c r="R1041">
        <v>4</v>
      </c>
      <c r="S1041">
        <v>2.73</v>
      </c>
      <c r="T1041">
        <v>0</v>
      </c>
      <c r="U1041" t="s">
        <v>22</v>
      </c>
      <c r="V1041" t="e">
        <f>IF(#REF! = "yes", 1, 0)</f>
        <v>#REF!</v>
      </c>
      <c r="W1041" t="e">
        <f>IF(#REF! &lt;= 1, "0-1 Calls", IF(#REF! &lt;= 3, "2-3 Calls", IF(#REF! &lt;=5, "4-5 Calls", "6+ Calls")))</f>
        <v>#REF!</v>
      </c>
      <c r="X1041" t="e">
        <f>IF(#REF! &lt;= 50, "0-50", IF(#REF! &lt;=100, "51-100", IF(#REF! &lt;= 150, "101-150", "151+")))</f>
        <v>#REF!</v>
      </c>
      <c r="Y1041" t="e">
        <f>IF(#REF! &lt;= 3, "Low Charges", "High Charges")</f>
        <v>#REF!</v>
      </c>
      <c r="Z1041" t="e">
        <f>IF(#REF!&lt;=80,"Low Calls",
IF(#REF!&lt;=120,"Medium Calls","High Calls"))</f>
        <v>#REF!</v>
      </c>
      <c r="AA1041" t="e">
        <f>IF(#REF!&lt;=15,"Low Charges",
IF(#REF!&lt;=20,"Medium Charges","High Charges"))</f>
        <v>#REF!</v>
      </c>
      <c r="AB1041" t="e">
        <f>IF(AND(#REF!&gt;180, #REF!&gt;200), "Heavy Doemstic User", IF(#REF!&gt;10, "Interntional User", IF(AND(#REF!&lt;180, #REF!&lt;200,#REF!&lt;200), "Light User", "Balanced User")))</f>
        <v>#REF!</v>
      </c>
      <c r="AC1041" t="e">
        <f>IF(#REF! = 0, "No Usage", IF(#REF! &lt;= 20, "Low Usage", IF(#REF! &lt;= 40, "Medium Usgae", "High Usage")))</f>
        <v>#REF!</v>
      </c>
      <c r="AD1041" t="e">
        <f>IF(#REF!&lt;=150,"Low Usage", IF(#REF!&lt;=200,"Medium Usage", IF(#REF!&lt;=250,"High Usage","Very High Usage")))</f>
        <v>#REF!</v>
      </c>
      <c r="AE1041" t="e">
        <f>IF(#REF!&lt;=5,"Low Calls", IF(#REF!&lt;=10, "Medium Calls", "High Calls"))</f>
        <v>#REF!</v>
      </c>
      <c r="AF1041" t="e">
        <f xml:space="preserve">
IF(#REF!&gt;=4,4,0)+
IF(#REF!="yes",3,0)+
IF(#REF!="High Charges",3,0)+
IF(#REF!&gt;250,4,0)+
IF(#REF!="no",1,0)+
IF(#REF!="Heavy Domestic User",2,0)</f>
        <v>#REF!</v>
      </c>
      <c r="AG1041" t="e">
        <f>IF(#REF!&gt;=10,"High Risk", IF(#REF!&gt;=5,"Medium Risk","Low Risk"))</f>
        <v>#REF!</v>
      </c>
      <c r="AH1041" t="e">
        <f>#REF! + #REF! + #REF! + #REF!</f>
        <v>#REF!</v>
      </c>
    </row>
    <row r="1042" spans="1:34" x14ac:dyDescent="0.35">
      <c r="A1042">
        <v>1041</v>
      </c>
      <c r="B1042" t="s">
        <v>37</v>
      </c>
      <c r="C1042">
        <v>56</v>
      </c>
      <c r="D1042" t="s">
        <v>28</v>
      </c>
      <c r="E1042" t="s">
        <v>22</v>
      </c>
      <c r="F1042" t="s">
        <v>22</v>
      </c>
      <c r="G1042">
        <v>0</v>
      </c>
      <c r="H1042">
        <v>150.9</v>
      </c>
      <c r="I1042">
        <v>79</v>
      </c>
      <c r="J1042">
        <v>25.65</v>
      </c>
      <c r="K1042">
        <v>161.80000000000001</v>
      </c>
      <c r="L1042">
        <v>87</v>
      </c>
      <c r="M1042">
        <v>13.75</v>
      </c>
      <c r="N1042">
        <v>167.7</v>
      </c>
      <c r="O1042">
        <v>115</v>
      </c>
      <c r="P1042">
        <v>7.55</v>
      </c>
      <c r="Q1042">
        <v>11.7</v>
      </c>
      <c r="R1042">
        <v>5</v>
      </c>
      <c r="S1042">
        <v>3.16</v>
      </c>
      <c r="T1042">
        <v>3</v>
      </c>
      <c r="U1042" t="s">
        <v>22</v>
      </c>
      <c r="V1042" t="e">
        <f>IF(#REF! = "yes", 1, 0)</f>
        <v>#REF!</v>
      </c>
      <c r="W1042" t="e">
        <f>IF(#REF! &lt;= 1, "0-1 Calls", IF(#REF! &lt;= 3, "2-3 Calls", IF(#REF! &lt;=5, "4-5 Calls", "6+ Calls")))</f>
        <v>#REF!</v>
      </c>
      <c r="X1042" t="e">
        <f>IF(#REF! &lt;= 50, "0-50", IF(#REF! &lt;=100, "51-100", IF(#REF! &lt;= 150, "101-150", "151+")))</f>
        <v>#REF!</v>
      </c>
      <c r="Y1042" t="e">
        <f>IF(#REF! &lt;= 3, "Low Charges", "High Charges")</f>
        <v>#REF!</v>
      </c>
      <c r="Z1042" t="e">
        <f>IF(#REF!&lt;=80,"Low Calls",
IF(#REF!&lt;=120,"Medium Calls","High Calls"))</f>
        <v>#REF!</v>
      </c>
      <c r="AA1042" t="e">
        <f>IF(#REF!&lt;=15,"Low Charges",
IF(#REF!&lt;=20,"Medium Charges","High Charges"))</f>
        <v>#REF!</v>
      </c>
      <c r="AB1042" t="e">
        <f>IF(AND(#REF!&gt;180, #REF!&gt;200), "Heavy Doemstic User", IF(#REF!&gt;10, "Interntional User", IF(AND(#REF!&lt;180, #REF!&lt;200,#REF!&lt;200), "Light User", "Balanced User")))</f>
        <v>#REF!</v>
      </c>
      <c r="AC1042" t="e">
        <f>IF(#REF! = 0, "No Usage", IF(#REF! &lt;= 20, "Low Usage", IF(#REF! &lt;= 40, "Medium Usgae", "High Usage")))</f>
        <v>#REF!</v>
      </c>
      <c r="AD1042" t="e">
        <f>IF(#REF!&lt;=150,"Low Usage", IF(#REF!&lt;=200,"Medium Usage", IF(#REF!&lt;=250,"High Usage","Very High Usage")))</f>
        <v>#REF!</v>
      </c>
      <c r="AE1042" t="e">
        <f>IF(#REF!&lt;=5,"Low Calls", IF(#REF!&lt;=10, "Medium Calls", "High Calls"))</f>
        <v>#REF!</v>
      </c>
      <c r="AF1042" t="e">
        <f xml:space="preserve">
IF(#REF!&gt;=4,4,0)+
IF(#REF!="yes",3,0)+
IF(#REF!="High Charges",3,0)+
IF(#REF!&gt;250,4,0)+
IF(#REF!="no",1,0)+
IF(#REF!="Heavy Domestic User",2,0)</f>
        <v>#REF!</v>
      </c>
      <c r="AG1042" t="e">
        <f>IF(#REF!&gt;=10,"High Risk", IF(#REF!&gt;=5,"Medium Risk","Low Risk"))</f>
        <v>#REF!</v>
      </c>
      <c r="AH1042" t="e">
        <f>#REF! + #REF! + #REF! + #REF!</f>
        <v>#REF!</v>
      </c>
    </row>
    <row r="1043" spans="1:34" x14ac:dyDescent="0.35">
      <c r="A1043">
        <v>1042</v>
      </c>
      <c r="B1043" t="s">
        <v>20</v>
      </c>
      <c r="C1043">
        <v>147</v>
      </c>
      <c r="D1043" t="s">
        <v>21</v>
      </c>
      <c r="E1043" t="s">
        <v>23</v>
      </c>
      <c r="F1043" t="s">
        <v>23</v>
      </c>
      <c r="G1043">
        <v>24</v>
      </c>
      <c r="H1043">
        <v>219.9</v>
      </c>
      <c r="I1043">
        <v>118</v>
      </c>
      <c r="J1043">
        <v>37.380000000000003</v>
      </c>
      <c r="K1043">
        <v>208.5</v>
      </c>
      <c r="L1043">
        <v>116</v>
      </c>
      <c r="M1043">
        <v>17.72</v>
      </c>
      <c r="N1043">
        <v>352.5</v>
      </c>
      <c r="O1043">
        <v>111</v>
      </c>
      <c r="P1043">
        <v>15.86</v>
      </c>
      <c r="Q1043">
        <v>8.1</v>
      </c>
      <c r="R1043">
        <v>4</v>
      </c>
      <c r="S1043">
        <v>2.19</v>
      </c>
      <c r="T1043">
        <v>3</v>
      </c>
      <c r="U1043" t="s">
        <v>22</v>
      </c>
      <c r="V1043" t="e">
        <f>IF(#REF! = "yes", 1, 0)</f>
        <v>#REF!</v>
      </c>
      <c r="W1043" t="e">
        <f>IF(#REF! &lt;= 1, "0-1 Calls", IF(#REF! &lt;= 3, "2-3 Calls", IF(#REF! &lt;=5, "4-5 Calls", "6+ Calls")))</f>
        <v>#REF!</v>
      </c>
      <c r="X1043" t="e">
        <f>IF(#REF! &lt;= 50, "0-50", IF(#REF! &lt;=100, "51-100", IF(#REF! &lt;= 150, "101-150", "151+")))</f>
        <v>#REF!</v>
      </c>
      <c r="Y1043" t="e">
        <f>IF(#REF! &lt;= 3, "Low Charges", "High Charges")</f>
        <v>#REF!</v>
      </c>
      <c r="Z1043" t="e">
        <f>IF(#REF!&lt;=80,"Low Calls",
IF(#REF!&lt;=120,"Medium Calls","High Calls"))</f>
        <v>#REF!</v>
      </c>
      <c r="AA1043" t="e">
        <f>IF(#REF!&lt;=15,"Low Charges",
IF(#REF!&lt;=20,"Medium Charges","High Charges"))</f>
        <v>#REF!</v>
      </c>
      <c r="AB1043" t="e">
        <f>IF(AND(#REF!&gt;180, #REF!&gt;200), "Heavy Doemstic User", IF(#REF!&gt;10, "Interntional User", IF(AND(#REF!&lt;180, #REF!&lt;200,#REF!&lt;200), "Light User", "Balanced User")))</f>
        <v>#REF!</v>
      </c>
      <c r="AC1043" t="e">
        <f>IF(#REF! = 0, "No Usage", IF(#REF! &lt;= 20, "Low Usage", IF(#REF! &lt;= 40, "Medium Usgae", "High Usage")))</f>
        <v>#REF!</v>
      </c>
      <c r="AD1043" t="e">
        <f>IF(#REF!&lt;=150,"Low Usage", IF(#REF!&lt;=200,"Medium Usage", IF(#REF!&lt;=250,"High Usage","Very High Usage")))</f>
        <v>#REF!</v>
      </c>
      <c r="AE1043" t="e">
        <f>IF(#REF!&lt;=5,"Low Calls", IF(#REF!&lt;=10, "Medium Calls", "High Calls"))</f>
        <v>#REF!</v>
      </c>
      <c r="AF1043" t="e">
        <f xml:space="preserve">
IF(#REF!&gt;=4,4,0)+
IF(#REF!="yes",3,0)+
IF(#REF!="High Charges",3,0)+
IF(#REF!&gt;250,4,0)+
IF(#REF!="no",1,0)+
IF(#REF!="Heavy Domestic User",2,0)</f>
        <v>#REF!</v>
      </c>
      <c r="AG1043" t="e">
        <f>IF(#REF!&gt;=10,"High Risk", IF(#REF!&gt;=5,"Medium Risk","Low Risk"))</f>
        <v>#REF!</v>
      </c>
      <c r="AH1043" t="e">
        <f>#REF! + #REF! + #REF! + #REF!</f>
        <v>#REF!</v>
      </c>
    </row>
    <row r="1044" spans="1:34" x14ac:dyDescent="0.35">
      <c r="A1044">
        <v>1043</v>
      </c>
      <c r="B1044" t="s">
        <v>39</v>
      </c>
      <c r="C1044">
        <v>64</v>
      </c>
      <c r="D1044" t="s">
        <v>21</v>
      </c>
      <c r="E1044" t="s">
        <v>22</v>
      </c>
      <c r="F1044" t="s">
        <v>22</v>
      </c>
      <c r="G1044">
        <v>0</v>
      </c>
      <c r="H1044">
        <v>168</v>
      </c>
      <c r="I1044">
        <v>116</v>
      </c>
      <c r="J1044">
        <v>28.56</v>
      </c>
      <c r="K1044">
        <v>192.4</v>
      </c>
      <c r="L1044">
        <v>94</v>
      </c>
      <c r="M1044">
        <v>16.350000000000001</v>
      </c>
      <c r="N1044">
        <v>166.5</v>
      </c>
      <c r="O1044">
        <v>98</v>
      </c>
      <c r="P1044">
        <v>7.49</v>
      </c>
      <c r="Q1044">
        <v>10.1</v>
      </c>
      <c r="R1044">
        <v>3</v>
      </c>
      <c r="S1044">
        <v>2.73</v>
      </c>
      <c r="T1044">
        <v>2</v>
      </c>
      <c r="U1044" t="s">
        <v>22</v>
      </c>
      <c r="V1044" t="e">
        <f>IF(#REF! = "yes", 1, 0)</f>
        <v>#REF!</v>
      </c>
      <c r="W1044" t="e">
        <f>IF(#REF! &lt;= 1, "0-1 Calls", IF(#REF! &lt;= 3, "2-3 Calls", IF(#REF! &lt;=5, "4-5 Calls", "6+ Calls")))</f>
        <v>#REF!</v>
      </c>
      <c r="X1044" t="e">
        <f>IF(#REF! &lt;= 50, "0-50", IF(#REF! &lt;=100, "51-100", IF(#REF! &lt;= 150, "101-150", "151+")))</f>
        <v>#REF!</v>
      </c>
      <c r="Y1044" t="e">
        <f>IF(#REF! &lt;= 3, "Low Charges", "High Charges")</f>
        <v>#REF!</v>
      </c>
      <c r="Z1044" t="e">
        <f>IF(#REF!&lt;=80,"Low Calls",
IF(#REF!&lt;=120,"Medium Calls","High Calls"))</f>
        <v>#REF!</v>
      </c>
      <c r="AA1044" t="e">
        <f>IF(#REF!&lt;=15,"Low Charges",
IF(#REF!&lt;=20,"Medium Charges","High Charges"))</f>
        <v>#REF!</v>
      </c>
      <c r="AB1044" t="e">
        <f>IF(AND(#REF!&gt;180, #REF!&gt;200), "Heavy Doemstic User", IF(#REF!&gt;10, "Interntional User", IF(AND(#REF!&lt;180, #REF!&lt;200,#REF!&lt;200), "Light User", "Balanced User")))</f>
        <v>#REF!</v>
      </c>
      <c r="AC1044" t="e">
        <f>IF(#REF! = 0, "No Usage", IF(#REF! &lt;= 20, "Low Usage", IF(#REF! &lt;= 40, "Medium Usgae", "High Usage")))</f>
        <v>#REF!</v>
      </c>
      <c r="AD1044" t="e">
        <f>IF(#REF!&lt;=150,"Low Usage", IF(#REF!&lt;=200,"Medium Usage", IF(#REF!&lt;=250,"High Usage","Very High Usage")))</f>
        <v>#REF!</v>
      </c>
      <c r="AE1044" t="e">
        <f>IF(#REF!&lt;=5,"Low Calls", IF(#REF!&lt;=10, "Medium Calls", "High Calls"))</f>
        <v>#REF!</v>
      </c>
      <c r="AF1044" t="e">
        <f xml:space="preserve">
IF(#REF!&gt;=4,4,0)+
IF(#REF!="yes",3,0)+
IF(#REF!="High Charges",3,0)+
IF(#REF!&gt;250,4,0)+
IF(#REF!="no",1,0)+
IF(#REF!="Heavy Domestic User",2,0)</f>
        <v>#REF!</v>
      </c>
      <c r="AG1044" t="e">
        <f>IF(#REF!&gt;=10,"High Risk", IF(#REF!&gt;=5,"Medium Risk","Low Risk"))</f>
        <v>#REF!</v>
      </c>
      <c r="AH1044" t="e">
        <f>#REF! + #REF! + #REF! + #REF!</f>
        <v>#REF!</v>
      </c>
    </row>
    <row r="1045" spans="1:34" x14ac:dyDescent="0.35">
      <c r="A1045">
        <v>1044</v>
      </c>
      <c r="B1045" t="s">
        <v>71</v>
      </c>
      <c r="C1045">
        <v>108</v>
      </c>
      <c r="D1045" t="s">
        <v>28</v>
      </c>
      <c r="E1045" t="s">
        <v>22</v>
      </c>
      <c r="F1045" t="s">
        <v>23</v>
      </c>
      <c r="G1045">
        <v>34</v>
      </c>
      <c r="H1045">
        <v>162.1</v>
      </c>
      <c r="I1045">
        <v>83</v>
      </c>
      <c r="J1045">
        <v>27.56</v>
      </c>
      <c r="K1045">
        <v>171.8</v>
      </c>
      <c r="L1045">
        <v>117</v>
      </c>
      <c r="M1045">
        <v>14.6</v>
      </c>
      <c r="N1045">
        <v>259.8</v>
      </c>
      <c r="O1045">
        <v>76</v>
      </c>
      <c r="P1045">
        <v>11.69</v>
      </c>
      <c r="Q1045">
        <v>9.6</v>
      </c>
      <c r="R1045">
        <v>3</v>
      </c>
      <c r="S1045">
        <v>2.59</v>
      </c>
      <c r="T1045">
        <v>4</v>
      </c>
      <c r="U1045" t="s">
        <v>23</v>
      </c>
      <c r="V1045" t="e">
        <f>IF(#REF! = "yes", 1, 0)</f>
        <v>#REF!</v>
      </c>
      <c r="W1045" t="e">
        <f>IF(#REF! &lt;= 1, "0-1 Calls", IF(#REF! &lt;= 3, "2-3 Calls", IF(#REF! &lt;=5, "4-5 Calls", "6+ Calls")))</f>
        <v>#REF!</v>
      </c>
      <c r="X1045" t="e">
        <f>IF(#REF! &lt;= 50, "0-50", IF(#REF! &lt;=100, "51-100", IF(#REF! &lt;= 150, "101-150", "151+")))</f>
        <v>#REF!</v>
      </c>
      <c r="Y1045" t="e">
        <f>IF(#REF! &lt;= 3, "Low Charges", "High Charges")</f>
        <v>#REF!</v>
      </c>
      <c r="Z1045" t="e">
        <f>IF(#REF!&lt;=80,"Low Calls",
IF(#REF!&lt;=120,"Medium Calls","High Calls"))</f>
        <v>#REF!</v>
      </c>
      <c r="AA1045" t="e">
        <f>IF(#REF!&lt;=15,"Low Charges",
IF(#REF!&lt;=20,"Medium Charges","High Charges"))</f>
        <v>#REF!</v>
      </c>
      <c r="AB1045" t="e">
        <f>IF(AND(#REF!&gt;180, #REF!&gt;200), "Heavy Doemstic User", IF(#REF!&gt;10, "Interntional User", IF(AND(#REF!&lt;180, #REF!&lt;200,#REF!&lt;200), "Light User", "Balanced User")))</f>
        <v>#REF!</v>
      </c>
      <c r="AC1045" t="e">
        <f>IF(#REF! = 0, "No Usage", IF(#REF! &lt;= 20, "Low Usage", IF(#REF! &lt;= 40, "Medium Usgae", "High Usage")))</f>
        <v>#REF!</v>
      </c>
      <c r="AD1045" t="e">
        <f>IF(#REF!&lt;=150,"Low Usage", IF(#REF!&lt;=200,"Medium Usage", IF(#REF!&lt;=250,"High Usage","Very High Usage")))</f>
        <v>#REF!</v>
      </c>
      <c r="AE1045" t="e">
        <f>IF(#REF!&lt;=5,"Low Calls", IF(#REF!&lt;=10, "Medium Calls", "High Calls"))</f>
        <v>#REF!</v>
      </c>
      <c r="AF1045" t="e">
        <f xml:space="preserve">
IF(#REF!&gt;=4,4,0)+
IF(#REF!="yes",3,0)+
IF(#REF!="High Charges",3,0)+
IF(#REF!&gt;250,4,0)+
IF(#REF!="no",1,0)+
IF(#REF!="Heavy Domestic User",2,0)</f>
        <v>#REF!</v>
      </c>
      <c r="AG1045" t="e">
        <f>IF(#REF!&gt;=10,"High Risk", IF(#REF!&gt;=5,"Medium Risk","Low Risk"))</f>
        <v>#REF!</v>
      </c>
      <c r="AH1045" t="e">
        <f>#REF! + #REF! + #REF! + #REF!</f>
        <v>#REF!</v>
      </c>
    </row>
    <row r="1046" spans="1:34" x14ac:dyDescent="0.35">
      <c r="A1046">
        <v>1045</v>
      </c>
      <c r="B1046" t="s">
        <v>26</v>
      </c>
      <c r="C1046">
        <v>159</v>
      </c>
      <c r="D1046" t="s">
        <v>28</v>
      </c>
      <c r="E1046" t="s">
        <v>22</v>
      </c>
      <c r="F1046" t="s">
        <v>22</v>
      </c>
      <c r="G1046">
        <v>0</v>
      </c>
      <c r="H1046">
        <v>198.8</v>
      </c>
      <c r="I1046">
        <v>107</v>
      </c>
      <c r="J1046">
        <v>33.799999999999997</v>
      </c>
      <c r="K1046">
        <v>195.5</v>
      </c>
      <c r="L1046">
        <v>91</v>
      </c>
      <c r="M1046">
        <v>16.62</v>
      </c>
      <c r="N1046">
        <v>213.3</v>
      </c>
      <c r="O1046">
        <v>120</v>
      </c>
      <c r="P1046">
        <v>9.6</v>
      </c>
      <c r="Q1046">
        <v>16.5</v>
      </c>
      <c r="R1046">
        <v>7</v>
      </c>
      <c r="S1046">
        <v>4.46</v>
      </c>
      <c r="T1046">
        <v>5</v>
      </c>
      <c r="U1046" t="s">
        <v>22</v>
      </c>
      <c r="V1046" t="e">
        <f>IF(#REF! = "yes", 1, 0)</f>
        <v>#REF!</v>
      </c>
      <c r="W1046" t="e">
        <f>IF(#REF! &lt;= 1, "0-1 Calls", IF(#REF! &lt;= 3, "2-3 Calls", IF(#REF! &lt;=5, "4-5 Calls", "6+ Calls")))</f>
        <v>#REF!</v>
      </c>
      <c r="X1046" t="e">
        <f>IF(#REF! &lt;= 50, "0-50", IF(#REF! &lt;=100, "51-100", IF(#REF! &lt;= 150, "101-150", "151+")))</f>
        <v>#REF!</v>
      </c>
      <c r="Y1046" t="e">
        <f>IF(#REF! &lt;= 3, "Low Charges", "High Charges")</f>
        <v>#REF!</v>
      </c>
      <c r="Z1046" t="e">
        <f>IF(#REF!&lt;=80,"Low Calls",
IF(#REF!&lt;=120,"Medium Calls","High Calls"))</f>
        <v>#REF!</v>
      </c>
      <c r="AA1046" t="e">
        <f>IF(#REF!&lt;=15,"Low Charges",
IF(#REF!&lt;=20,"Medium Charges","High Charges"))</f>
        <v>#REF!</v>
      </c>
      <c r="AB1046" t="e">
        <f>IF(AND(#REF!&gt;180, #REF!&gt;200), "Heavy Doemstic User", IF(#REF!&gt;10, "Interntional User", IF(AND(#REF!&lt;180, #REF!&lt;200,#REF!&lt;200), "Light User", "Balanced User")))</f>
        <v>#REF!</v>
      </c>
      <c r="AC1046" t="e">
        <f>IF(#REF! = 0, "No Usage", IF(#REF! &lt;= 20, "Low Usage", IF(#REF! &lt;= 40, "Medium Usgae", "High Usage")))</f>
        <v>#REF!</v>
      </c>
      <c r="AD1046" t="e">
        <f>IF(#REF!&lt;=150,"Low Usage", IF(#REF!&lt;=200,"Medium Usage", IF(#REF!&lt;=250,"High Usage","Very High Usage")))</f>
        <v>#REF!</v>
      </c>
      <c r="AE1046" t="e">
        <f>IF(#REF!&lt;=5,"Low Calls", IF(#REF!&lt;=10, "Medium Calls", "High Calls"))</f>
        <v>#REF!</v>
      </c>
      <c r="AF1046" t="e">
        <f xml:space="preserve">
IF(#REF!&gt;=4,4,0)+
IF(#REF!="yes",3,0)+
IF(#REF!="High Charges",3,0)+
IF(#REF!&gt;250,4,0)+
IF(#REF!="no",1,0)+
IF(#REF!="Heavy Domestic User",2,0)</f>
        <v>#REF!</v>
      </c>
      <c r="AG1046" t="e">
        <f>IF(#REF!&gt;=10,"High Risk", IF(#REF!&gt;=5,"Medium Risk","Low Risk"))</f>
        <v>#REF!</v>
      </c>
      <c r="AH1046" t="e">
        <f>#REF! + #REF! + #REF! + #REF!</f>
        <v>#REF!</v>
      </c>
    </row>
    <row r="1047" spans="1:34" x14ac:dyDescent="0.35">
      <c r="A1047">
        <v>1046</v>
      </c>
      <c r="B1047" t="s">
        <v>75</v>
      </c>
      <c r="C1047">
        <v>136</v>
      </c>
      <c r="D1047" t="s">
        <v>28</v>
      </c>
      <c r="E1047" t="s">
        <v>23</v>
      </c>
      <c r="F1047" t="s">
        <v>22</v>
      </c>
      <c r="G1047">
        <v>0</v>
      </c>
      <c r="H1047">
        <v>256.8</v>
      </c>
      <c r="I1047">
        <v>90</v>
      </c>
      <c r="J1047">
        <v>43.66</v>
      </c>
      <c r="K1047">
        <v>230.1</v>
      </c>
      <c r="L1047">
        <v>104</v>
      </c>
      <c r="M1047">
        <v>19.559999999999999</v>
      </c>
      <c r="N1047">
        <v>143.6</v>
      </c>
      <c r="O1047">
        <v>82</v>
      </c>
      <c r="P1047">
        <v>6.46</v>
      </c>
      <c r="Q1047">
        <v>9.1</v>
      </c>
      <c r="R1047">
        <v>10</v>
      </c>
      <c r="S1047">
        <v>2.46</v>
      </c>
      <c r="T1047">
        <v>3</v>
      </c>
      <c r="U1047" t="s">
        <v>22</v>
      </c>
      <c r="V1047" t="e">
        <f>IF(#REF! = "yes", 1, 0)</f>
        <v>#REF!</v>
      </c>
      <c r="W1047" t="e">
        <f>IF(#REF! &lt;= 1, "0-1 Calls", IF(#REF! &lt;= 3, "2-3 Calls", IF(#REF! &lt;=5, "4-5 Calls", "6+ Calls")))</f>
        <v>#REF!</v>
      </c>
      <c r="X1047" t="e">
        <f>IF(#REF! &lt;= 50, "0-50", IF(#REF! &lt;=100, "51-100", IF(#REF! &lt;= 150, "101-150", "151+")))</f>
        <v>#REF!</v>
      </c>
      <c r="Y1047" t="e">
        <f>IF(#REF! &lt;= 3, "Low Charges", "High Charges")</f>
        <v>#REF!</v>
      </c>
      <c r="Z1047" t="e">
        <f>IF(#REF!&lt;=80,"Low Calls",
IF(#REF!&lt;=120,"Medium Calls","High Calls"))</f>
        <v>#REF!</v>
      </c>
      <c r="AA1047" t="e">
        <f>IF(#REF!&lt;=15,"Low Charges",
IF(#REF!&lt;=20,"Medium Charges","High Charges"))</f>
        <v>#REF!</v>
      </c>
      <c r="AB1047" t="e">
        <f>IF(AND(#REF!&gt;180, #REF!&gt;200), "Heavy Doemstic User", IF(#REF!&gt;10, "Interntional User", IF(AND(#REF!&lt;180, #REF!&lt;200,#REF!&lt;200), "Light User", "Balanced User")))</f>
        <v>#REF!</v>
      </c>
      <c r="AC1047" t="e">
        <f>IF(#REF! = 0, "No Usage", IF(#REF! &lt;= 20, "Low Usage", IF(#REF! &lt;= 40, "Medium Usgae", "High Usage")))</f>
        <v>#REF!</v>
      </c>
      <c r="AD1047" t="e">
        <f>IF(#REF!&lt;=150,"Low Usage", IF(#REF!&lt;=200,"Medium Usage", IF(#REF!&lt;=250,"High Usage","Very High Usage")))</f>
        <v>#REF!</v>
      </c>
      <c r="AE1047" t="e">
        <f>IF(#REF!&lt;=5,"Low Calls", IF(#REF!&lt;=10, "Medium Calls", "High Calls"))</f>
        <v>#REF!</v>
      </c>
      <c r="AF1047" t="e">
        <f xml:space="preserve">
IF(#REF!&gt;=4,4,0)+
IF(#REF!="yes",3,0)+
IF(#REF!="High Charges",3,0)+
IF(#REF!&gt;250,4,0)+
IF(#REF!="no",1,0)+
IF(#REF!="Heavy Domestic User",2,0)</f>
        <v>#REF!</v>
      </c>
      <c r="AG1047" t="e">
        <f>IF(#REF!&gt;=10,"High Risk", IF(#REF!&gt;=5,"Medium Risk","Low Risk"))</f>
        <v>#REF!</v>
      </c>
      <c r="AH1047" t="e">
        <f>#REF! + #REF! + #REF! + #REF!</f>
        <v>#REF!</v>
      </c>
    </row>
    <row r="1048" spans="1:34" x14ac:dyDescent="0.35">
      <c r="A1048">
        <v>1047</v>
      </c>
      <c r="B1048" t="s">
        <v>58</v>
      </c>
      <c r="C1048">
        <v>45</v>
      </c>
      <c r="D1048" t="s">
        <v>25</v>
      </c>
      <c r="E1048" t="s">
        <v>22</v>
      </c>
      <c r="F1048" t="s">
        <v>23</v>
      </c>
      <c r="G1048">
        <v>38</v>
      </c>
      <c r="H1048">
        <v>196.8</v>
      </c>
      <c r="I1048">
        <v>92</v>
      </c>
      <c r="J1048">
        <v>33.46</v>
      </c>
      <c r="K1048">
        <v>254.2</v>
      </c>
      <c r="L1048">
        <v>108</v>
      </c>
      <c r="M1048">
        <v>21.61</v>
      </c>
      <c r="N1048">
        <v>261.8</v>
      </c>
      <c r="O1048">
        <v>85</v>
      </c>
      <c r="P1048">
        <v>11.78</v>
      </c>
      <c r="Q1048">
        <v>7.7</v>
      </c>
      <c r="R1048">
        <v>2</v>
      </c>
      <c r="S1048">
        <v>2.08</v>
      </c>
      <c r="T1048">
        <v>1</v>
      </c>
      <c r="U1048" t="s">
        <v>22</v>
      </c>
      <c r="V1048" t="e">
        <f>IF(#REF! = "yes", 1, 0)</f>
        <v>#REF!</v>
      </c>
      <c r="W1048" t="e">
        <f>IF(#REF! &lt;= 1, "0-1 Calls", IF(#REF! &lt;= 3, "2-3 Calls", IF(#REF! &lt;=5, "4-5 Calls", "6+ Calls")))</f>
        <v>#REF!</v>
      </c>
      <c r="X1048" t="e">
        <f>IF(#REF! &lt;= 50, "0-50", IF(#REF! &lt;=100, "51-100", IF(#REF! &lt;= 150, "101-150", "151+")))</f>
        <v>#REF!</v>
      </c>
      <c r="Y1048" t="e">
        <f>IF(#REF! &lt;= 3, "Low Charges", "High Charges")</f>
        <v>#REF!</v>
      </c>
      <c r="Z1048" t="e">
        <f>IF(#REF!&lt;=80,"Low Calls",
IF(#REF!&lt;=120,"Medium Calls","High Calls"))</f>
        <v>#REF!</v>
      </c>
      <c r="AA1048" t="e">
        <f>IF(#REF!&lt;=15,"Low Charges",
IF(#REF!&lt;=20,"Medium Charges","High Charges"))</f>
        <v>#REF!</v>
      </c>
      <c r="AB1048" t="e">
        <f>IF(AND(#REF!&gt;180, #REF!&gt;200), "Heavy Doemstic User", IF(#REF!&gt;10, "Interntional User", IF(AND(#REF!&lt;180, #REF!&lt;200,#REF!&lt;200), "Light User", "Balanced User")))</f>
        <v>#REF!</v>
      </c>
      <c r="AC1048" t="e">
        <f>IF(#REF! = 0, "No Usage", IF(#REF! &lt;= 20, "Low Usage", IF(#REF! &lt;= 40, "Medium Usgae", "High Usage")))</f>
        <v>#REF!</v>
      </c>
      <c r="AD1048" t="e">
        <f>IF(#REF!&lt;=150,"Low Usage", IF(#REF!&lt;=200,"Medium Usage", IF(#REF!&lt;=250,"High Usage","Very High Usage")))</f>
        <v>#REF!</v>
      </c>
      <c r="AE1048" t="e">
        <f>IF(#REF!&lt;=5,"Low Calls", IF(#REF!&lt;=10, "Medium Calls", "High Calls"))</f>
        <v>#REF!</v>
      </c>
      <c r="AF1048" t="e">
        <f xml:space="preserve">
IF(#REF!&gt;=4,4,0)+
IF(#REF!="yes",3,0)+
IF(#REF!="High Charges",3,0)+
IF(#REF!&gt;250,4,0)+
IF(#REF!="no",1,0)+
IF(#REF!="Heavy Domestic User",2,0)</f>
        <v>#REF!</v>
      </c>
      <c r="AG1048" t="e">
        <f>IF(#REF!&gt;=10,"High Risk", IF(#REF!&gt;=5,"Medium Risk","Low Risk"))</f>
        <v>#REF!</v>
      </c>
      <c r="AH1048" t="e">
        <f>#REF! + #REF! + #REF! + #REF!</f>
        <v>#REF!</v>
      </c>
    </row>
    <row r="1049" spans="1:34" x14ac:dyDescent="0.35">
      <c r="A1049">
        <v>1048</v>
      </c>
      <c r="B1049" t="s">
        <v>60</v>
      </c>
      <c r="C1049">
        <v>122</v>
      </c>
      <c r="D1049" t="s">
        <v>21</v>
      </c>
      <c r="E1049" t="s">
        <v>22</v>
      </c>
      <c r="F1049" t="s">
        <v>22</v>
      </c>
      <c r="G1049">
        <v>0</v>
      </c>
      <c r="H1049">
        <v>140.1</v>
      </c>
      <c r="I1049">
        <v>120</v>
      </c>
      <c r="J1049">
        <v>23.82</v>
      </c>
      <c r="K1049">
        <v>231.4</v>
      </c>
      <c r="L1049">
        <v>128</v>
      </c>
      <c r="M1049">
        <v>19.670000000000002</v>
      </c>
      <c r="N1049">
        <v>188.1</v>
      </c>
      <c r="O1049">
        <v>127</v>
      </c>
      <c r="P1049">
        <v>8.4600000000000009</v>
      </c>
      <c r="Q1049">
        <v>11.2</v>
      </c>
      <c r="R1049">
        <v>5</v>
      </c>
      <c r="S1049">
        <v>3.02</v>
      </c>
      <c r="T1049">
        <v>2</v>
      </c>
      <c r="U1049" t="s">
        <v>22</v>
      </c>
      <c r="V1049" t="e">
        <f>IF(#REF! = "yes", 1, 0)</f>
        <v>#REF!</v>
      </c>
      <c r="W1049" t="e">
        <f>IF(#REF! &lt;= 1, "0-1 Calls", IF(#REF! &lt;= 3, "2-3 Calls", IF(#REF! &lt;=5, "4-5 Calls", "6+ Calls")))</f>
        <v>#REF!</v>
      </c>
      <c r="X1049" t="e">
        <f>IF(#REF! &lt;= 50, "0-50", IF(#REF! &lt;=100, "51-100", IF(#REF! &lt;= 150, "101-150", "151+")))</f>
        <v>#REF!</v>
      </c>
      <c r="Y1049" t="e">
        <f>IF(#REF! &lt;= 3, "Low Charges", "High Charges")</f>
        <v>#REF!</v>
      </c>
      <c r="Z1049" t="e">
        <f>IF(#REF!&lt;=80,"Low Calls",
IF(#REF!&lt;=120,"Medium Calls","High Calls"))</f>
        <v>#REF!</v>
      </c>
      <c r="AA1049" t="e">
        <f>IF(#REF!&lt;=15,"Low Charges",
IF(#REF!&lt;=20,"Medium Charges","High Charges"))</f>
        <v>#REF!</v>
      </c>
      <c r="AB1049" t="e">
        <f>IF(AND(#REF!&gt;180, #REF!&gt;200), "Heavy Doemstic User", IF(#REF!&gt;10, "Interntional User", IF(AND(#REF!&lt;180, #REF!&lt;200,#REF!&lt;200), "Light User", "Balanced User")))</f>
        <v>#REF!</v>
      </c>
      <c r="AC1049" t="e">
        <f>IF(#REF! = 0, "No Usage", IF(#REF! &lt;= 20, "Low Usage", IF(#REF! &lt;= 40, "Medium Usgae", "High Usage")))</f>
        <v>#REF!</v>
      </c>
      <c r="AD1049" t="e">
        <f>IF(#REF!&lt;=150,"Low Usage", IF(#REF!&lt;=200,"Medium Usage", IF(#REF!&lt;=250,"High Usage","Very High Usage")))</f>
        <v>#REF!</v>
      </c>
      <c r="AE1049" t="e">
        <f>IF(#REF!&lt;=5,"Low Calls", IF(#REF!&lt;=10, "Medium Calls", "High Calls"))</f>
        <v>#REF!</v>
      </c>
      <c r="AF1049" t="e">
        <f xml:space="preserve">
IF(#REF!&gt;=4,4,0)+
IF(#REF!="yes",3,0)+
IF(#REF!="High Charges",3,0)+
IF(#REF!&gt;250,4,0)+
IF(#REF!="no",1,0)+
IF(#REF!="Heavy Domestic User",2,0)</f>
        <v>#REF!</v>
      </c>
      <c r="AG1049" t="e">
        <f>IF(#REF!&gt;=10,"High Risk", IF(#REF!&gt;=5,"Medium Risk","Low Risk"))</f>
        <v>#REF!</v>
      </c>
      <c r="AH1049" t="e">
        <f>#REF! + #REF! + #REF! + #REF!</f>
        <v>#REF!</v>
      </c>
    </row>
    <row r="1050" spans="1:34" x14ac:dyDescent="0.35">
      <c r="A1050">
        <v>1049</v>
      </c>
      <c r="B1050" t="s">
        <v>60</v>
      </c>
      <c r="C1050">
        <v>138</v>
      </c>
      <c r="D1050" t="s">
        <v>21</v>
      </c>
      <c r="E1050" t="s">
        <v>22</v>
      </c>
      <c r="F1050" t="s">
        <v>22</v>
      </c>
      <c r="G1050">
        <v>0</v>
      </c>
      <c r="H1050">
        <v>194.3</v>
      </c>
      <c r="I1050">
        <v>83</v>
      </c>
      <c r="J1050">
        <v>33.03</v>
      </c>
      <c r="K1050">
        <v>189.9</v>
      </c>
      <c r="L1050">
        <v>97</v>
      </c>
      <c r="M1050">
        <v>16.14</v>
      </c>
      <c r="N1050">
        <v>232.2</v>
      </c>
      <c r="O1050">
        <v>102</v>
      </c>
      <c r="P1050">
        <v>10.45</v>
      </c>
      <c r="Q1050">
        <v>9</v>
      </c>
      <c r="R1050">
        <v>3</v>
      </c>
      <c r="S1050">
        <v>2.4300000000000002</v>
      </c>
      <c r="T1050">
        <v>5</v>
      </c>
      <c r="U1050" t="s">
        <v>22</v>
      </c>
      <c r="V1050" t="e">
        <f>IF(#REF! = "yes", 1, 0)</f>
        <v>#REF!</v>
      </c>
      <c r="W1050" t="e">
        <f>IF(#REF! &lt;= 1, "0-1 Calls", IF(#REF! &lt;= 3, "2-3 Calls", IF(#REF! &lt;=5, "4-5 Calls", "6+ Calls")))</f>
        <v>#REF!</v>
      </c>
      <c r="X1050" t="e">
        <f>IF(#REF! &lt;= 50, "0-50", IF(#REF! &lt;=100, "51-100", IF(#REF! &lt;= 150, "101-150", "151+")))</f>
        <v>#REF!</v>
      </c>
      <c r="Y1050" t="e">
        <f>IF(#REF! &lt;= 3, "Low Charges", "High Charges")</f>
        <v>#REF!</v>
      </c>
      <c r="Z1050" t="e">
        <f>IF(#REF!&lt;=80,"Low Calls",
IF(#REF!&lt;=120,"Medium Calls","High Calls"))</f>
        <v>#REF!</v>
      </c>
      <c r="AA1050" t="e">
        <f>IF(#REF!&lt;=15,"Low Charges",
IF(#REF!&lt;=20,"Medium Charges","High Charges"))</f>
        <v>#REF!</v>
      </c>
      <c r="AB1050" t="e">
        <f>IF(AND(#REF!&gt;180, #REF!&gt;200), "Heavy Doemstic User", IF(#REF!&gt;10, "Interntional User", IF(AND(#REF!&lt;180, #REF!&lt;200,#REF!&lt;200), "Light User", "Balanced User")))</f>
        <v>#REF!</v>
      </c>
      <c r="AC1050" t="e">
        <f>IF(#REF! = 0, "No Usage", IF(#REF! &lt;= 20, "Low Usage", IF(#REF! &lt;= 40, "Medium Usgae", "High Usage")))</f>
        <v>#REF!</v>
      </c>
      <c r="AD1050" t="e">
        <f>IF(#REF!&lt;=150,"Low Usage", IF(#REF!&lt;=200,"Medium Usage", IF(#REF!&lt;=250,"High Usage","Very High Usage")))</f>
        <v>#REF!</v>
      </c>
      <c r="AE1050" t="e">
        <f>IF(#REF!&lt;=5,"Low Calls", IF(#REF!&lt;=10, "Medium Calls", "High Calls"))</f>
        <v>#REF!</v>
      </c>
      <c r="AF1050" t="e">
        <f xml:space="preserve">
IF(#REF!&gt;=4,4,0)+
IF(#REF!="yes",3,0)+
IF(#REF!="High Charges",3,0)+
IF(#REF!&gt;250,4,0)+
IF(#REF!="no",1,0)+
IF(#REF!="Heavy Domestic User",2,0)</f>
        <v>#REF!</v>
      </c>
      <c r="AG1050" t="e">
        <f>IF(#REF!&gt;=10,"High Risk", IF(#REF!&gt;=5,"Medium Risk","Low Risk"))</f>
        <v>#REF!</v>
      </c>
      <c r="AH1050" t="e">
        <f>#REF! + #REF! + #REF! + #REF!</f>
        <v>#REF!</v>
      </c>
    </row>
    <row r="1051" spans="1:34" x14ac:dyDescent="0.35">
      <c r="A1051">
        <v>1050</v>
      </c>
      <c r="B1051" t="s">
        <v>27</v>
      </c>
      <c r="C1051">
        <v>132</v>
      </c>
      <c r="D1051" t="s">
        <v>21</v>
      </c>
      <c r="E1051" t="s">
        <v>22</v>
      </c>
      <c r="F1051" t="s">
        <v>22</v>
      </c>
      <c r="G1051">
        <v>0</v>
      </c>
      <c r="H1051">
        <v>117.6</v>
      </c>
      <c r="I1051">
        <v>66</v>
      </c>
      <c r="J1051">
        <v>19.989999999999998</v>
      </c>
      <c r="K1051">
        <v>214</v>
      </c>
      <c r="L1051">
        <v>108</v>
      </c>
      <c r="M1051">
        <v>18.190000000000001</v>
      </c>
      <c r="N1051">
        <v>239.5</v>
      </c>
      <c r="O1051">
        <v>94</v>
      </c>
      <c r="P1051">
        <v>10.78</v>
      </c>
      <c r="Q1051">
        <v>8.8000000000000007</v>
      </c>
      <c r="R1051">
        <v>5</v>
      </c>
      <c r="S1051">
        <v>2.38</v>
      </c>
      <c r="T1051">
        <v>1</v>
      </c>
      <c r="U1051" t="s">
        <v>22</v>
      </c>
      <c r="V1051" t="e">
        <f>IF(#REF! = "yes", 1, 0)</f>
        <v>#REF!</v>
      </c>
      <c r="W1051" t="e">
        <f>IF(#REF! &lt;= 1, "0-1 Calls", IF(#REF! &lt;= 3, "2-3 Calls", IF(#REF! &lt;=5, "4-5 Calls", "6+ Calls")))</f>
        <v>#REF!</v>
      </c>
      <c r="X1051" t="e">
        <f>IF(#REF! &lt;= 50, "0-50", IF(#REF! &lt;=100, "51-100", IF(#REF! &lt;= 150, "101-150", "151+")))</f>
        <v>#REF!</v>
      </c>
      <c r="Y1051" t="e">
        <f>IF(#REF! &lt;= 3, "Low Charges", "High Charges")</f>
        <v>#REF!</v>
      </c>
      <c r="Z1051" t="e">
        <f>IF(#REF!&lt;=80,"Low Calls",
IF(#REF!&lt;=120,"Medium Calls","High Calls"))</f>
        <v>#REF!</v>
      </c>
      <c r="AA1051" t="e">
        <f>IF(#REF!&lt;=15,"Low Charges",
IF(#REF!&lt;=20,"Medium Charges","High Charges"))</f>
        <v>#REF!</v>
      </c>
      <c r="AB1051" t="e">
        <f>IF(AND(#REF!&gt;180, #REF!&gt;200), "Heavy Doemstic User", IF(#REF!&gt;10, "Interntional User", IF(AND(#REF!&lt;180, #REF!&lt;200,#REF!&lt;200), "Light User", "Balanced User")))</f>
        <v>#REF!</v>
      </c>
      <c r="AC1051" t="e">
        <f>IF(#REF! = 0, "No Usage", IF(#REF! &lt;= 20, "Low Usage", IF(#REF! &lt;= 40, "Medium Usgae", "High Usage")))</f>
        <v>#REF!</v>
      </c>
      <c r="AD1051" t="e">
        <f>IF(#REF!&lt;=150,"Low Usage", IF(#REF!&lt;=200,"Medium Usage", IF(#REF!&lt;=250,"High Usage","Very High Usage")))</f>
        <v>#REF!</v>
      </c>
      <c r="AE1051" t="e">
        <f>IF(#REF!&lt;=5,"Low Calls", IF(#REF!&lt;=10, "Medium Calls", "High Calls"))</f>
        <v>#REF!</v>
      </c>
      <c r="AF1051" t="e">
        <f xml:space="preserve">
IF(#REF!&gt;=4,4,0)+
IF(#REF!="yes",3,0)+
IF(#REF!="High Charges",3,0)+
IF(#REF!&gt;250,4,0)+
IF(#REF!="no",1,0)+
IF(#REF!="Heavy Domestic User",2,0)</f>
        <v>#REF!</v>
      </c>
      <c r="AG1051" t="e">
        <f>IF(#REF!&gt;=10,"High Risk", IF(#REF!&gt;=5,"Medium Risk","Low Risk"))</f>
        <v>#REF!</v>
      </c>
      <c r="AH1051" t="e">
        <f>#REF! + #REF! + #REF! + #REF!</f>
        <v>#REF!</v>
      </c>
    </row>
    <row r="1052" spans="1:34" x14ac:dyDescent="0.35">
      <c r="A1052">
        <v>1051</v>
      </c>
      <c r="B1052" t="s">
        <v>73</v>
      </c>
      <c r="C1052">
        <v>101</v>
      </c>
      <c r="D1052" t="s">
        <v>21</v>
      </c>
      <c r="E1052" t="s">
        <v>23</v>
      </c>
      <c r="F1052" t="s">
        <v>22</v>
      </c>
      <c r="G1052">
        <v>0</v>
      </c>
      <c r="H1052">
        <v>193.7</v>
      </c>
      <c r="I1052">
        <v>108</v>
      </c>
      <c r="J1052">
        <v>32.93</v>
      </c>
      <c r="K1052">
        <v>186.6</v>
      </c>
      <c r="L1052">
        <v>98</v>
      </c>
      <c r="M1052">
        <v>15.86</v>
      </c>
      <c r="N1052">
        <v>223</v>
      </c>
      <c r="O1052">
        <v>100</v>
      </c>
      <c r="P1052">
        <v>10.039999999999999</v>
      </c>
      <c r="Q1052">
        <v>11.6</v>
      </c>
      <c r="R1052">
        <v>8</v>
      </c>
      <c r="S1052">
        <v>3.13</v>
      </c>
      <c r="T1052">
        <v>0</v>
      </c>
      <c r="U1052" t="s">
        <v>22</v>
      </c>
      <c r="V1052" t="e">
        <f>IF(#REF! = "yes", 1, 0)</f>
        <v>#REF!</v>
      </c>
      <c r="W1052" t="e">
        <f>IF(#REF! &lt;= 1, "0-1 Calls", IF(#REF! &lt;= 3, "2-3 Calls", IF(#REF! &lt;=5, "4-5 Calls", "6+ Calls")))</f>
        <v>#REF!</v>
      </c>
      <c r="X1052" t="e">
        <f>IF(#REF! &lt;= 50, "0-50", IF(#REF! &lt;=100, "51-100", IF(#REF! &lt;= 150, "101-150", "151+")))</f>
        <v>#REF!</v>
      </c>
      <c r="Y1052" t="e">
        <f>IF(#REF! &lt;= 3, "Low Charges", "High Charges")</f>
        <v>#REF!</v>
      </c>
      <c r="Z1052" t="e">
        <f>IF(#REF!&lt;=80,"Low Calls",
IF(#REF!&lt;=120,"Medium Calls","High Calls"))</f>
        <v>#REF!</v>
      </c>
      <c r="AA1052" t="e">
        <f>IF(#REF!&lt;=15,"Low Charges",
IF(#REF!&lt;=20,"Medium Charges","High Charges"))</f>
        <v>#REF!</v>
      </c>
      <c r="AB1052" t="e">
        <f>IF(AND(#REF!&gt;180, #REF!&gt;200), "Heavy Doemstic User", IF(#REF!&gt;10, "Interntional User", IF(AND(#REF!&lt;180, #REF!&lt;200,#REF!&lt;200), "Light User", "Balanced User")))</f>
        <v>#REF!</v>
      </c>
      <c r="AC1052" t="e">
        <f>IF(#REF! = 0, "No Usage", IF(#REF! &lt;= 20, "Low Usage", IF(#REF! &lt;= 40, "Medium Usgae", "High Usage")))</f>
        <v>#REF!</v>
      </c>
      <c r="AD1052" t="e">
        <f>IF(#REF!&lt;=150,"Low Usage", IF(#REF!&lt;=200,"Medium Usage", IF(#REF!&lt;=250,"High Usage","Very High Usage")))</f>
        <v>#REF!</v>
      </c>
      <c r="AE1052" t="e">
        <f>IF(#REF!&lt;=5,"Low Calls", IF(#REF!&lt;=10, "Medium Calls", "High Calls"))</f>
        <v>#REF!</v>
      </c>
      <c r="AF1052" t="e">
        <f xml:space="preserve">
IF(#REF!&gt;=4,4,0)+
IF(#REF!="yes",3,0)+
IF(#REF!="High Charges",3,0)+
IF(#REF!&gt;250,4,0)+
IF(#REF!="no",1,0)+
IF(#REF!="Heavy Domestic User",2,0)</f>
        <v>#REF!</v>
      </c>
      <c r="AG1052" t="e">
        <f>IF(#REF!&gt;=10,"High Risk", IF(#REF!&gt;=5,"Medium Risk","Low Risk"))</f>
        <v>#REF!</v>
      </c>
      <c r="AH1052" t="e">
        <f>#REF! + #REF! + #REF! + #REF!</f>
        <v>#REF!</v>
      </c>
    </row>
    <row r="1053" spans="1:34" x14ac:dyDescent="0.35">
      <c r="A1053">
        <v>1052</v>
      </c>
      <c r="B1053" t="s">
        <v>48</v>
      </c>
      <c r="C1053">
        <v>58</v>
      </c>
      <c r="D1053" t="s">
        <v>28</v>
      </c>
      <c r="E1053" t="s">
        <v>22</v>
      </c>
      <c r="F1053" t="s">
        <v>22</v>
      </c>
      <c r="G1053">
        <v>0</v>
      </c>
      <c r="H1053">
        <v>243.1</v>
      </c>
      <c r="I1053">
        <v>105</v>
      </c>
      <c r="J1053">
        <v>41.33</v>
      </c>
      <c r="K1053">
        <v>231.4</v>
      </c>
      <c r="L1053">
        <v>108</v>
      </c>
      <c r="M1053">
        <v>19.670000000000002</v>
      </c>
      <c r="N1053">
        <v>180.9</v>
      </c>
      <c r="O1053">
        <v>120</v>
      </c>
      <c r="P1053">
        <v>8.14</v>
      </c>
      <c r="Q1053">
        <v>7.8</v>
      </c>
      <c r="R1053">
        <v>4</v>
      </c>
      <c r="S1053">
        <v>2.11</v>
      </c>
      <c r="T1053">
        <v>2</v>
      </c>
      <c r="U1053" t="s">
        <v>22</v>
      </c>
      <c r="V1053" t="e">
        <f>IF(#REF! = "yes", 1, 0)</f>
        <v>#REF!</v>
      </c>
      <c r="W1053" t="e">
        <f>IF(#REF! &lt;= 1, "0-1 Calls", IF(#REF! &lt;= 3, "2-3 Calls", IF(#REF! &lt;=5, "4-5 Calls", "6+ Calls")))</f>
        <v>#REF!</v>
      </c>
      <c r="X1053" t="e">
        <f>IF(#REF! &lt;= 50, "0-50", IF(#REF! &lt;=100, "51-100", IF(#REF! &lt;= 150, "101-150", "151+")))</f>
        <v>#REF!</v>
      </c>
      <c r="Y1053" t="e">
        <f>IF(#REF! &lt;= 3, "Low Charges", "High Charges")</f>
        <v>#REF!</v>
      </c>
      <c r="Z1053" t="e">
        <f>IF(#REF!&lt;=80,"Low Calls",
IF(#REF!&lt;=120,"Medium Calls","High Calls"))</f>
        <v>#REF!</v>
      </c>
      <c r="AA1053" t="e">
        <f>IF(#REF!&lt;=15,"Low Charges",
IF(#REF!&lt;=20,"Medium Charges","High Charges"))</f>
        <v>#REF!</v>
      </c>
      <c r="AB1053" t="e">
        <f>IF(AND(#REF!&gt;180, #REF!&gt;200), "Heavy Doemstic User", IF(#REF!&gt;10, "Interntional User", IF(AND(#REF!&lt;180, #REF!&lt;200,#REF!&lt;200), "Light User", "Balanced User")))</f>
        <v>#REF!</v>
      </c>
      <c r="AC1053" t="e">
        <f>IF(#REF! = 0, "No Usage", IF(#REF! &lt;= 20, "Low Usage", IF(#REF! &lt;= 40, "Medium Usgae", "High Usage")))</f>
        <v>#REF!</v>
      </c>
      <c r="AD1053" t="e">
        <f>IF(#REF!&lt;=150,"Low Usage", IF(#REF!&lt;=200,"Medium Usage", IF(#REF!&lt;=250,"High Usage","Very High Usage")))</f>
        <v>#REF!</v>
      </c>
      <c r="AE1053" t="e">
        <f>IF(#REF!&lt;=5,"Low Calls", IF(#REF!&lt;=10, "Medium Calls", "High Calls"))</f>
        <v>#REF!</v>
      </c>
      <c r="AF1053" t="e">
        <f xml:space="preserve">
IF(#REF!&gt;=4,4,0)+
IF(#REF!="yes",3,0)+
IF(#REF!="High Charges",3,0)+
IF(#REF!&gt;250,4,0)+
IF(#REF!="no",1,0)+
IF(#REF!="Heavy Domestic User",2,0)</f>
        <v>#REF!</v>
      </c>
      <c r="AG1053" t="e">
        <f>IF(#REF!&gt;=10,"High Risk", IF(#REF!&gt;=5,"Medium Risk","Low Risk"))</f>
        <v>#REF!</v>
      </c>
      <c r="AH1053" t="e">
        <f>#REF! + #REF! + #REF! + #REF!</f>
        <v>#REF!</v>
      </c>
    </row>
    <row r="1054" spans="1:34" x14ac:dyDescent="0.35">
      <c r="A1054">
        <v>1053</v>
      </c>
      <c r="B1054" t="s">
        <v>62</v>
      </c>
      <c r="C1054">
        <v>81</v>
      </c>
      <c r="D1054" t="s">
        <v>21</v>
      </c>
      <c r="E1054" t="s">
        <v>22</v>
      </c>
      <c r="F1054" t="s">
        <v>22</v>
      </c>
      <c r="G1054">
        <v>0</v>
      </c>
      <c r="H1054">
        <v>145.4</v>
      </c>
      <c r="I1054">
        <v>132</v>
      </c>
      <c r="J1054">
        <v>24.72</v>
      </c>
      <c r="K1054">
        <v>129.30000000000001</v>
      </c>
      <c r="L1054">
        <v>91</v>
      </c>
      <c r="M1054">
        <v>10.99</v>
      </c>
      <c r="N1054">
        <v>186.4</v>
      </c>
      <c r="O1054">
        <v>109</v>
      </c>
      <c r="P1054">
        <v>8.39</v>
      </c>
      <c r="Q1054">
        <v>5.2</v>
      </c>
      <c r="R1054">
        <v>4</v>
      </c>
      <c r="S1054">
        <v>1.4</v>
      </c>
      <c r="T1054">
        <v>1</v>
      </c>
      <c r="U1054" t="s">
        <v>22</v>
      </c>
      <c r="V1054" t="e">
        <f>IF(#REF! = "yes", 1, 0)</f>
        <v>#REF!</v>
      </c>
      <c r="W1054" t="e">
        <f>IF(#REF! &lt;= 1, "0-1 Calls", IF(#REF! &lt;= 3, "2-3 Calls", IF(#REF! &lt;=5, "4-5 Calls", "6+ Calls")))</f>
        <v>#REF!</v>
      </c>
      <c r="X1054" t="e">
        <f>IF(#REF! &lt;= 50, "0-50", IF(#REF! &lt;=100, "51-100", IF(#REF! &lt;= 150, "101-150", "151+")))</f>
        <v>#REF!</v>
      </c>
      <c r="Y1054" t="e">
        <f>IF(#REF! &lt;= 3, "Low Charges", "High Charges")</f>
        <v>#REF!</v>
      </c>
      <c r="Z1054" t="e">
        <f>IF(#REF!&lt;=80,"Low Calls",
IF(#REF!&lt;=120,"Medium Calls","High Calls"))</f>
        <v>#REF!</v>
      </c>
      <c r="AA1054" t="e">
        <f>IF(#REF!&lt;=15,"Low Charges",
IF(#REF!&lt;=20,"Medium Charges","High Charges"))</f>
        <v>#REF!</v>
      </c>
      <c r="AB1054" t="e">
        <f>IF(AND(#REF!&gt;180, #REF!&gt;200), "Heavy Doemstic User", IF(#REF!&gt;10, "Interntional User", IF(AND(#REF!&lt;180, #REF!&lt;200,#REF!&lt;200), "Light User", "Balanced User")))</f>
        <v>#REF!</v>
      </c>
      <c r="AC1054" t="e">
        <f>IF(#REF! = 0, "No Usage", IF(#REF! &lt;= 20, "Low Usage", IF(#REF! &lt;= 40, "Medium Usgae", "High Usage")))</f>
        <v>#REF!</v>
      </c>
      <c r="AD1054" t="e">
        <f>IF(#REF!&lt;=150,"Low Usage", IF(#REF!&lt;=200,"Medium Usage", IF(#REF!&lt;=250,"High Usage","Very High Usage")))</f>
        <v>#REF!</v>
      </c>
      <c r="AE1054" t="e">
        <f>IF(#REF!&lt;=5,"Low Calls", IF(#REF!&lt;=10, "Medium Calls", "High Calls"))</f>
        <v>#REF!</v>
      </c>
      <c r="AF1054" t="e">
        <f xml:space="preserve">
IF(#REF!&gt;=4,4,0)+
IF(#REF!="yes",3,0)+
IF(#REF!="High Charges",3,0)+
IF(#REF!&gt;250,4,0)+
IF(#REF!="no",1,0)+
IF(#REF!="Heavy Domestic User",2,0)</f>
        <v>#REF!</v>
      </c>
      <c r="AG1054" t="e">
        <f>IF(#REF!&gt;=10,"High Risk", IF(#REF!&gt;=5,"Medium Risk","Low Risk"))</f>
        <v>#REF!</v>
      </c>
      <c r="AH1054" t="e">
        <f>#REF! + #REF! + #REF! + #REF!</f>
        <v>#REF!</v>
      </c>
    </row>
    <row r="1055" spans="1:34" x14ac:dyDescent="0.35">
      <c r="A1055">
        <v>1054</v>
      </c>
      <c r="B1055" t="s">
        <v>66</v>
      </c>
      <c r="C1055">
        <v>116</v>
      </c>
      <c r="D1055" t="s">
        <v>28</v>
      </c>
      <c r="E1055" t="s">
        <v>22</v>
      </c>
      <c r="F1055" t="s">
        <v>22</v>
      </c>
      <c r="G1055">
        <v>0</v>
      </c>
      <c r="H1055">
        <v>229.3</v>
      </c>
      <c r="I1055">
        <v>93</v>
      </c>
      <c r="J1055">
        <v>38.979999999999997</v>
      </c>
      <c r="K1055">
        <v>184.5</v>
      </c>
      <c r="L1055">
        <v>111</v>
      </c>
      <c r="M1055">
        <v>15.68</v>
      </c>
      <c r="N1055">
        <v>168.2</v>
      </c>
      <c r="O1055">
        <v>91</v>
      </c>
      <c r="P1055">
        <v>7.57</v>
      </c>
      <c r="Q1055">
        <v>8.8000000000000007</v>
      </c>
      <c r="R1055">
        <v>3</v>
      </c>
      <c r="S1055">
        <v>2.38</v>
      </c>
      <c r="T1055">
        <v>2</v>
      </c>
      <c r="U1055" t="s">
        <v>22</v>
      </c>
      <c r="V1055" t="e">
        <f>IF(#REF! = "yes", 1, 0)</f>
        <v>#REF!</v>
      </c>
      <c r="W1055" t="e">
        <f>IF(#REF! &lt;= 1, "0-1 Calls", IF(#REF! &lt;= 3, "2-3 Calls", IF(#REF! &lt;=5, "4-5 Calls", "6+ Calls")))</f>
        <v>#REF!</v>
      </c>
      <c r="X1055" t="e">
        <f>IF(#REF! &lt;= 50, "0-50", IF(#REF! &lt;=100, "51-100", IF(#REF! &lt;= 150, "101-150", "151+")))</f>
        <v>#REF!</v>
      </c>
      <c r="Y1055" t="e">
        <f>IF(#REF! &lt;= 3, "Low Charges", "High Charges")</f>
        <v>#REF!</v>
      </c>
      <c r="Z1055" t="e">
        <f>IF(#REF!&lt;=80,"Low Calls",
IF(#REF!&lt;=120,"Medium Calls","High Calls"))</f>
        <v>#REF!</v>
      </c>
      <c r="AA1055" t="e">
        <f>IF(#REF!&lt;=15,"Low Charges",
IF(#REF!&lt;=20,"Medium Charges","High Charges"))</f>
        <v>#REF!</v>
      </c>
      <c r="AB1055" t="e">
        <f>IF(AND(#REF!&gt;180, #REF!&gt;200), "Heavy Doemstic User", IF(#REF!&gt;10, "Interntional User", IF(AND(#REF!&lt;180, #REF!&lt;200,#REF!&lt;200), "Light User", "Balanced User")))</f>
        <v>#REF!</v>
      </c>
      <c r="AC1055" t="e">
        <f>IF(#REF! = 0, "No Usage", IF(#REF! &lt;= 20, "Low Usage", IF(#REF! &lt;= 40, "Medium Usgae", "High Usage")))</f>
        <v>#REF!</v>
      </c>
      <c r="AD1055" t="e">
        <f>IF(#REF!&lt;=150,"Low Usage", IF(#REF!&lt;=200,"Medium Usage", IF(#REF!&lt;=250,"High Usage","Very High Usage")))</f>
        <v>#REF!</v>
      </c>
      <c r="AE1055" t="e">
        <f>IF(#REF!&lt;=5,"Low Calls", IF(#REF!&lt;=10, "Medium Calls", "High Calls"))</f>
        <v>#REF!</v>
      </c>
      <c r="AF1055" t="e">
        <f xml:space="preserve">
IF(#REF!&gt;=4,4,0)+
IF(#REF!="yes",3,0)+
IF(#REF!="High Charges",3,0)+
IF(#REF!&gt;250,4,0)+
IF(#REF!="no",1,0)+
IF(#REF!="Heavy Domestic User",2,0)</f>
        <v>#REF!</v>
      </c>
      <c r="AG1055" t="e">
        <f>IF(#REF!&gt;=10,"High Risk", IF(#REF!&gt;=5,"Medium Risk","Low Risk"))</f>
        <v>#REF!</v>
      </c>
      <c r="AH1055" t="e">
        <f>#REF! + #REF! + #REF! + #REF!</f>
        <v>#REF!</v>
      </c>
    </row>
    <row r="1056" spans="1:34" x14ac:dyDescent="0.35">
      <c r="A1056">
        <v>1055</v>
      </c>
      <c r="B1056" t="s">
        <v>60</v>
      </c>
      <c r="C1056">
        <v>62</v>
      </c>
      <c r="D1056" t="s">
        <v>28</v>
      </c>
      <c r="E1056" t="s">
        <v>22</v>
      </c>
      <c r="F1056" t="s">
        <v>23</v>
      </c>
      <c r="G1056">
        <v>33</v>
      </c>
      <c r="H1056">
        <v>186.4</v>
      </c>
      <c r="I1056">
        <v>84</v>
      </c>
      <c r="J1056">
        <v>31.69</v>
      </c>
      <c r="K1056">
        <v>201</v>
      </c>
      <c r="L1056">
        <v>136</v>
      </c>
      <c r="M1056">
        <v>17.09</v>
      </c>
      <c r="N1056">
        <v>286.7</v>
      </c>
      <c r="O1056">
        <v>103</v>
      </c>
      <c r="P1056">
        <v>12.9</v>
      </c>
      <c r="Q1056">
        <v>11.1</v>
      </c>
      <c r="R1056">
        <v>3</v>
      </c>
      <c r="S1056">
        <v>3</v>
      </c>
      <c r="T1056">
        <v>2</v>
      </c>
      <c r="U1056" t="s">
        <v>23</v>
      </c>
      <c r="V1056" t="e">
        <f>IF(#REF! = "yes", 1, 0)</f>
        <v>#REF!</v>
      </c>
      <c r="W1056" t="e">
        <f>IF(#REF! &lt;= 1, "0-1 Calls", IF(#REF! &lt;= 3, "2-3 Calls", IF(#REF! &lt;=5, "4-5 Calls", "6+ Calls")))</f>
        <v>#REF!</v>
      </c>
      <c r="X1056" t="e">
        <f>IF(#REF! &lt;= 50, "0-50", IF(#REF! &lt;=100, "51-100", IF(#REF! &lt;= 150, "101-150", "151+")))</f>
        <v>#REF!</v>
      </c>
      <c r="Y1056" t="e">
        <f>IF(#REF! &lt;= 3, "Low Charges", "High Charges")</f>
        <v>#REF!</v>
      </c>
      <c r="Z1056" t="e">
        <f>IF(#REF!&lt;=80,"Low Calls",
IF(#REF!&lt;=120,"Medium Calls","High Calls"))</f>
        <v>#REF!</v>
      </c>
      <c r="AA1056" t="e">
        <f>IF(#REF!&lt;=15,"Low Charges",
IF(#REF!&lt;=20,"Medium Charges","High Charges"))</f>
        <v>#REF!</v>
      </c>
      <c r="AB1056" t="e">
        <f>IF(AND(#REF!&gt;180, #REF!&gt;200), "Heavy Doemstic User", IF(#REF!&gt;10, "Interntional User", IF(AND(#REF!&lt;180, #REF!&lt;200,#REF!&lt;200), "Light User", "Balanced User")))</f>
        <v>#REF!</v>
      </c>
      <c r="AC1056" t="e">
        <f>IF(#REF! = 0, "No Usage", IF(#REF! &lt;= 20, "Low Usage", IF(#REF! &lt;= 40, "Medium Usgae", "High Usage")))</f>
        <v>#REF!</v>
      </c>
      <c r="AD1056" t="e">
        <f>IF(#REF!&lt;=150,"Low Usage", IF(#REF!&lt;=200,"Medium Usage", IF(#REF!&lt;=250,"High Usage","Very High Usage")))</f>
        <v>#REF!</v>
      </c>
      <c r="AE1056" t="e">
        <f>IF(#REF!&lt;=5,"Low Calls", IF(#REF!&lt;=10, "Medium Calls", "High Calls"))</f>
        <v>#REF!</v>
      </c>
      <c r="AF1056" t="e">
        <f xml:space="preserve">
IF(#REF!&gt;=4,4,0)+
IF(#REF!="yes",3,0)+
IF(#REF!="High Charges",3,0)+
IF(#REF!&gt;250,4,0)+
IF(#REF!="no",1,0)+
IF(#REF!="Heavy Domestic User",2,0)</f>
        <v>#REF!</v>
      </c>
      <c r="AG1056" t="e">
        <f>IF(#REF!&gt;=10,"High Risk", IF(#REF!&gt;=5,"Medium Risk","Low Risk"))</f>
        <v>#REF!</v>
      </c>
      <c r="AH1056" t="e">
        <f>#REF! + #REF! + #REF! + #REF!</f>
        <v>#REF!</v>
      </c>
    </row>
    <row r="1057" spans="1:34" x14ac:dyDescent="0.35">
      <c r="A1057">
        <v>1056</v>
      </c>
      <c r="B1057" t="s">
        <v>46</v>
      </c>
      <c r="C1057">
        <v>90</v>
      </c>
      <c r="D1057" t="s">
        <v>21</v>
      </c>
      <c r="E1057" t="s">
        <v>22</v>
      </c>
      <c r="F1057" t="s">
        <v>22</v>
      </c>
      <c r="G1057">
        <v>0</v>
      </c>
      <c r="H1057">
        <v>76.099999999999994</v>
      </c>
      <c r="I1057">
        <v>121</v>
      </c>
      <c r="J1057">
        <v>12.94</v>
      </c>
      <c r="K1057">
        <v>290.3</v>
      </c>
      <c r="L1057">
        <v>73</v>
      </c>
      <c r="M1057">
        <v>24.68</v>
      </c>
      <c r="N1057">
        <v>236.9</v>
      </c>
      <c r="O1057">
        <v>89</v>
      </c>
      <c r="P1057">
        <v>10.66</v>
      </c>
      <c r="Q1057">
        <v>10.8</v>
      </c>
      <c r="R1057">
        <v>3</v>
      </c>
      <c r="S1057">
        <v>2.92</v>
      </c>
      <c r="T1057">
        <v>0</v>
      </c>
      <c r="U1057" t="s">
        <v>22</v>
      </c>
      <c r="V1057" t="e">
        <f>IF(#REF! = "yes", 1, 0)</f>
        <v>#REF!</v>
      </c>
      <c r="W1057" t="e">
        <f>IF(#REF! &lt;= 1, "0-1 Calls", IF(#REF! &lt;= 3, "2-3 Calls", IF(#REF! &lt;=5, "4-5 Calls", "6+ Calls")))</f>
        <v>#REF!</v>
      </c>
      <c r="X1057" t="e">
        <f>IF(#REF! &lt;= 50, "0-50", IF(#REF! &lt;=100, "51-100", IF(#REF! &lt;= 150, "101-150", "151+")))</f>
        <v>#REF!</v>
      </c>
      <c r="Y1057" t="e">
        <f>IF(#REF! &lt;= 3, "Low Charges", "High Charges")</f>
        <v>#REF!</v>
      </c>
      <c r="Z1057" t="e">
        <f>IF(#REF!&lt;=80,"Low Calls",
IF(#REF!&lt;=120,"Medium Calls","High Calls"))</f>
        <v>#REF!</v>
      </c>
      <c r="AA1057" t="e">
        <f>IF(#REF!&lt;=15,"Low Charges",
IF(#REF!&lt;=20,"Medium Charges","High Charges"))</f>
        <v>#REF!</v>
      </c>
      <c r="AB1057" t="e">
        <f>IF(AND(#REF!&gt;180, #REF!&gt;200), "Heavy Doemstic User", IF(#REF!&gt;10, "Interntional User", IF(AND(#REF!&lt;180, #REF!&lt;200,#REF!&lt;200), "Light User", "Balanced User")))</f>
        <v>#REF!</v>
      </c>
      <c r="AC1057" t="e">
        <f>IF(#REF! = 0, "No Usage", IF(#REF! &lt;= 20, "Low Usage", IF(#REF! &lt;= 40, "Medium Usgae", "High Usage")))</f>
        <v>#REF!</v>
      </c>
      <c r="AD1057" t="e">
        <f>IF(#REF!&lt;=150,"Low Usage", IF(#REF!&lt;=200,"Medium Usage", IF(#REF!&lt;=250,"High Usage","Very High Usage")))</f>
        <v>#REF!</v>
      </c>
      <c r="AE1057" t="e">
        <f>IF(#REF!&lt;=5,"Low Calls", IF(#REF!&lt;=10, "Medium Calls", "High Calls"))</f>
        <v>#REF!</v>
      </c>
      <c r="AF1057" t="e">
        <f xml:space="preserve">
IF(#REF!&gt;=4,4,0)+
IF(#REF!="yes",3,0)+
IF(#REF!="High Charges",3,0)+
IF(#REF!&gt;250,4,0)+
IF(#REF!="no",1,0)+
IF(#REF!="Heavy Domestic User",2,0)</f>
        <v>#REF!</v>
      </c>
      <c r="AG1057" t="e">
        <f>IF(#REF!&gt;=10,"High Risk", IF(#REF!&gt;=5,"Medium Risk","Low Risk"))</f>
        <v>#REF!</v>
      </c>
      <c r="AH1057" t="e">
        <f>#REF! + #REF! + #REF! + #REF!</f>
        <v>#REF!</v>
      </c>
    </row>
    <row r="1058" spans="1:34" x14ac:dyDescent="0.35">
      <c r="A1058">
        <v>1057</v>
      </c>
      <c r="B1058" t="s">
        <v>71</v>
      </c>
      <c r="C1058">
        <v>98</v>
      </c>
      <c r="D1058" t="s">
        <v>21</v>
      </c>
      <c r="E1058" t="s">
        <v>22</v>
      </c>
      <c r="F1058" t="s">
        <v>22</v>
      </c>
      <c r="G1058">
        <v>0</v>
      </c>
      <c r="H1058">
        <v>162.80000000000001</v>
      </c>
      <c r="I1058">
        <v>65</v>
      </c>
      <c r="J1058">
        <v>27.68</v>
      </c>
      <c r="K1058">
        <v>185</v>
      </c>
      <c r="L1058">
        <v>109</v>
      </c>
      <c r="M1058">
        <v>15.73</v>
      </c>
      <c r="N1058">
        <v>219.5</v>
      </c>
      <c r="O1058">
        <v>104</v>
      </c>
      <c r="P1058">
        <v>9.8800000000000008</v>
      </c>
      <c r="Q1058">
        <v>6</v>
      </c>
      <c r="R1058">
        <v>3</v>
      </c>
      <c r="S1058">
        <v>1.62</v>
      </c>
      <c r="T1058">
        <v>2</v>
      </c>
      <c r="U1058" t="s">
        <v>22</v>
      </c>
      <c r="V1058" t="e">
        <f>IF(#REF! = "yes", 1, 0)</f>
        <v>#REF!</v>
      </c>
      <c r="W1058" t="e">
        <f>IF(#REF! &lt;= 1, "0-1 Calls", IF(#REF! &lt;= 3, "2-3 Calls", IF(#REF! &lt;=5, "4-5 Calls", "6+ Calls")))</f>
        <v>#REF!</v>
      </c>
      <c r="X1058" t="e">
        <f>IF(#REF! &lt;= 50, "0-50", IF(#REF! &lt;=100, "51-100", IF(#REF! &lt;= 150, "101-150", "151+")))</f>
        <v>#REF!</v>
      </c>
      <c r="Y1058" t="e">
        <f>IF(#REF! &lt;= 3, "Low Charges", "High Charges")</f>
        <v>#REF!</v>
      </c>
      <c r="Z1058" t="e">
        <f>IF(#REF!&lt;=80,"Low Calls",
IF(#REF!&lt;=120,"Medium Calls","High Calls"))</f>
        <v>#REF!</v>
      </c>
      <c r="AA1058" t="e">
        <f>IF(#REF!&lt;=15,"Low Charges",
IF(#REF!&lt;=20,"Medium Charges","High Charges"))</f>
        <v>#REF!</v>
      </c>
      <c r="AB1058" t="e">
        <f>IF(AND(#REF!&gt;180, #REF!&gt;200), "Heavy Doemstic User", IF(#REF!&gt;10, "Interntional User", IF(AND(#REF!&lt;180, #REF!&lt;200,#REF!&lt;200), "Light User", "Balanced User")))</f>
        <v>#REF!</v>
      </c>
      <c r="AC1058" t="e">
        <f>IF(#REF! = 0, "No Usage", IF(#REF! &lt;= 20, "Low Usage", IF(#REF! &lt;= 40, "Medium Usgae", "High Usage")))</f>
        <v>#REF!</v>
      </c>
      <c r="AD1058" t="e">
        <f>IF(#REF!&lt;=150,"Low Usage", IF(#REF!&lt;=200,"Medium Usage", IF(#REF!&lt;=250,"High Usage","Very High Usage")))</f>
        <v>#REF!</v>
      </c>
      <c r="AE1058" t="e">
        <f>IF(#REF!&lt;=5,"Low Calls", IF(#REF!&lt;=10, "Medium Calls", "High Calls"))</f>
        <v>#REF!</v>
      </c>
      <c r="AF1058" t="e">
        <f xml:space="preserve">
IF(#REF!&gt;=4,4,0)+
IF(#REF!="yes",3,0)+
IF(#REF!="High Charges",3,0)+
IF(#REF!&gt;250,4,0)+
IF(#REF!="no",1,0)+
IF(#REF!="Heavy Domestic User",2,0)</f>
        <v>#REF!</v>
      </c>
      <c r="AG1058" t="e">
        <f>IF(#REF!&gt;=10,"High Risk", IF(#REF!&gt;=5,"Medium Risk","Low Risk"))</f>
        <v>#REF!</v>
      </c>
      <c r="AH1058" t="e">
        <f>#REF! + #REF! + #REF! + #REF!</f>
        <v>#REF!</v>
      </c>
    </row>
    <row r="1059" spans="1:34" x14ac:dyDescent="0.35">
      <c r="A1059">
        <v>1058</v>
      </c>
      <c r="B1059" t="s">
        <v>55</v>
      </c>
      <c r="C1059">
        <v>73</v>
      </c>
      <c r="D1059" t="s">
        <v>21</v>
      </c>
      <c r="E1059" t="s">
        <v>22</v>
      </c>
      <c r="F1059" t="s">
        <v>22</v>
      </c>
      <c r="G1059">
        <v>0</v>
      </c>
      <c r="H1059">
        <v>182.3</v>
      </c>
      <c r="I1059">
        <v>115</v>
      </c>
      <c r="J1059">
        <v>30.99</v>
      </c>
      <c r="K1059">
        <v>199.2</v>
      </c>
      <c r="L1059">
        <v>97</v>
      </c>
      <c r="M1059">
        <v>16.93</v>
      </c>
      <c r="N1059">
        <v>120.2</v>
      </c>
      <c r="O1059">
        <v>113</v>
      </c>
      <c r="P1059">
        <v>5.41</v>
      </c>
      <c r="Q1059">
        <v>18</v>
      </c>
      <c r="R1059">
        <v>5</v>
      </c>
      <c r="S1059">
        <v>4.8600000000000003</v>
      </c>
      <c r="T1059">
        <v>1</v>
      </c>
      <c r="U1059" t="s">
        <v>22</v>
      </c>
      <c r="V1059" t="e">
        <f>IF(#REF! = "yes", 1, 0)</f>
        <v>#REF!</v>
      </c>
      <c r="W1059" t="e">
        <f>IF(#REF! &lt;= 1, "0-1 Calls", IF(#REF! &lt;= 3, "2-3 Calls", IF(#REF! &lt;=5, "4-5 Calls", "6+ Calls")))</f>
        <v>#REF!</v>
      </c>
      <c r="X1059" t="e">
        <f>IF(#REF! &lt;= 50, "0-50", IF(#REF! &lt;=100, "51-100", IF(#REF! &lt;= 150, "101-150", "151+")))</f>
        <v>#REF!</v>
      </c>
      <c r="Y1059" t="e">
        <f>IF(#REF! &lt;= 3, "Low Charges", "High Charges")</f>
        <v>#REF!</v>
      </c>
      <c r="Z1059" t="e">
        <f>IF(#REF!&lt;=80,"Low Calls",
IF(#REF!&lt;=120,"Medium Calls","High Calls"))</f>
        <v>#REF!</v>
      </c>
      <c r="AA1059" t="e">
        <f>IF(#REF!&lt;=15,"Low Charges",
IF(#REF!&lt;=20,"Medium Charges","High Charges"))</f>
        <v>#REF!</v>
      </c>
      <c r="AB1059" t="e">
        <f>IF(AND(#REF!&gt;180, #REF!&gt;200), "Heavy Doemstic User", IF(#REF!&gt;10, "Interntional User", IF(AND(#REF!&lt;180, #REF!&lt;200,#REF!&lt;200), "Light User", "Balanced User")))</f>
        <v>#REF!</v>
      </c>
      <c r="AC1059" t="e">
        <f>IF(#REF! = 0, "No Usage", IF(#REF! &lt;= 20, "Low Usage", IF(#REF! &lt;= 40, "Medium Usgae", "High Usage")))</f>
        <v>#REF!</v>
      </c>
      <c r="AD1059" t="e">
        <f>IF(#REF!&lt;=150,"Low Usage", IF(#REF!&lt;=200,"Medium Usage", IF(#REF!&lt;=250,"High Usage","Very High Usage")))</f>
        <v>#REF!</v>
      </c>
      <c r="AE1059" t="e">
        <f>IF(#REF!&lt;=5,"Low Calls", IF(#REF!&lt;=10, "Medium Calls", "High Calls"))</f>
        <v>#REF!</v>
      </c>
      <c r="AF1059" t="e">
        <f xml:space="preserve">
IF(#REF!&gt;=4,4,0)+
IF(#REF!="yes",3,0)+
IF(#REF!="High Charges",3,0)+
IF(#REF!&gt;250,4,0)+
IF(#REF!="no",1,0)+
IF(#REF!="Heavy Domestic User",2,0)</f>
        <v>#REF!</v>
      </c>
      <c r="AG1059" t="e">
        <f>IF(#REF!&gt;=10,"High Risk", IF(#REF!&gt;=5,"Medium Risk","Low Risk"))</f>
        <v>#REF!</v>
      </c>
      <c r="AH1059" t="e">
        <f>#REF! + #REF! + #REF! + #REF!</f>
        <v>#REF!</v>
      </c>
    </row>
    <row r="1060" spans="1:34" x14ac:dyDescent="0.35">
      <c r="A1060">
        <v>1059</v>
      </c>
      <c r="B1060" t="s">
        <v>33</v>
      </c>
      <c r="C1060">
        <v>107</v>
      </c>
      <c r="D1060" t="s">
        <v>28</v>
      </c>
      <c r="E1060" t="s">
        <v>23</v>
      </c>
      <c r="F1060" t="s">
        <v>22</v>
      </c>
      <c r="G1060">
        <v>0</v>
      </c>
      <c r="H1060">
        <v>194.4</v>
      </c>
      <c r="I1060">
        <v>83</v>
      </c>
      <c r="J1060">
        <v>33.049999999999997</v>
      </c>
      <c r="K1060">
        <v>247.8</v>
      </c>
      <c r="L1060">
        <v>84</v>
      </c>
      <c r="M1060">
        <v>21.06</v>
      </c>
      <c r="N1060">
        <v>245.4</v>
      </c>
      <c r="O1060">
        <v>93</v>
      </c>
      <c r="P1060">
        <v>11.04</v>
      </c>
      <c r="Q1060">
        <v>11.2</v>
      </c>
      <c r="R1060">
        <v>7</v>
      </c>
      <c r="S1060">
        <v>3.02</v>
      </c>
      <c r="T1060">
        <v>2</v>
      </c>
      <c r="U1060" t="s">
        <v>22</v>
      </c>
      <c r="V1060" t="e">
        <f>IF(#REF! = "yes", 1, 0)</f>
        <v>#REF!</v>
      </c>
      <c r="W1060" t="e">
        <f>IF(#REF! &lt;= 1, "0-1 Calls", IF(#REF! &lt;= 3, "2-3 Calls", IF(#REF! &lt;=5, "4-5 Calls", "6+ Calls")))</f>
        <v>#REF!</v>
      </c>
      <c r="X1060" t="e">
        <f>IF(#REF! &lt;= 50, "0-50", IF(#REF! &lt;=100, "51-100", IF(#REF! &lt;= 150, "101-150", "151+")))</f>
        <v>#REF!</v>
      </c>
      <c r="Y1060" t="e">
        <f>IF(#REF! &lt;= 3, "Low Charges", "High Charges")</f>
        <v>#REF!</v>
      </c>
      <c r="Z1060" t="e">
        <f>IF(#REF!&lt;=80,"Low Calls",
IF(#REF!&lt;=120,"Medium Calls","High Calls"))</f>
        <v>#REF!</v>
      </c>
      <c r="AA1060" t="e">
        <f>IF(#REF!&lt;=15,"Low Charges",
IF(#REF!&lt;=20,"Medium Charges","High Charges"))</f>
        <v>#REF!</v>
      </c>
      <c r="AB1060" t="e">
        <f>IF(AND(#REF!&gt;180, #REF!&gt;200), "Heavy Doemstic User", IF(#REF!&gt;10, "Interntional User", IF(AND(#REF!&lt;180, #REF!&lt;200,#REF!&lt;200), "Light User", "Balanced User")))</f>
        <v>#REF!</v>
      </c>
      <c r="AC1060" t="e">
        <f>IF(#REF! = 0, "No Usage", IF(#REF! &lt;= 20, "Low Usage", IF(#REF! &lt;= 40, "Medium Usgae", "High Usage")))</f>
        <v>#REF!</v>
      </c>
      <c r="AD1060" t="e">
        <f>IF(#REF!&lt;=150,"Low Usage", IF(#REF!&lt;=200,"Medium Usage", IF(#REF!&lt;=250,"High Usage","Very High Usage")))</f>
        <v>#REF!</v>
      </c>
      <c r="AE1060" t="e">
        <f>IF(#REF!&lt;=5,"Low Calls", IF(#REF!&lt;=10, "Medium Calls", "High Calls"))</f>
        <v>#REF!</v>
      </c>
      <c r="AF1060" t="e">
        <f xml:space="preserve">
IF(#REF!&gt;=4,4,0)+
IF(#REF!="yes",3,0)+
IF(#REF!="High Charges",3,0)+
IF(#REF!&gt;250,4,0)+
IF(#REF!="no",1,0)+
IF(#REF!="Heavy Domestic User",2,0)</f>
        <v>#REF!</v>
      </c>
      <c r="AG1060" t="e">
        <f>IF(#REF!&gt;=10,"High Risk", IF(#REF!&gt;=5,"Medium Risk","Low Risk"))</f>
        <v>#REF!</v>
      </c>
      <c r="AH1060" t="e">
        <f>#REF! + #REF! + #REF! + #REF!</f>
        <v>#REF!</v>
      </c>
    </row>
    <row r="1061" spans="1:34" x14ac:dyDescent="0.35">
      <c r="A1061">
        <v>1060</v>
      </c>
      <c r="B1061" t="s">
        <v>46</v>
      </c>
      <c r="C1061">
        <v>55</v>
      </c>
      <c r="D1061" t="s">
        <v>25</v>
      </c>
      <c r="E1061" t="s">
        <v>22</v>
      </c>
      <c r="F1061" t="s">
        <v>23</v>
      </c>
      <c r="G1061">
        <v>20</v>
      </c>
      <c r="H1061">
        <v>189.3</v>
      </c>
      <c r="I1061">
        <v>95</v>
      </c>
      <c r="J1061">
        <v>32.18</v>
      </c>
      <c r="K1061">
        <v>118.6</v>
      </c>
      <c r="L1061">
        <v>113</v>
      </c>
      <c r="M1061">
        <v>10.08</v>
      </c>
      <c r="N1061">
        <v>250.2</v>
      </c>
      <c r="O1061">
        <v>102</v>
      </c>
      <c r="P1061">
        <v>11.26</v>
      </c>
      <c r="Q1061">
        <v>12.5</v>
      </c>
      <c r="R1061">
        <v>4</v>
      </c>
      <c r="S1061">
        <v>3.38</v>
      </c>
      <c r="T1061">
        <v>2</v>
      </c>
      <c r="U1061" t="s">
        <v>22</v>
      </c>
      <c r="V1061" t="e">
        <f>IF(#REF! = "yes", 1, 0)</f>
        <v>#REF!</v>
      </c>
      <c r="W1061" t="e">
        <f>IF(#REF! &lt;= 1, "0-1 Calls", IF(#REF! &lt;= 3, "2-3 Calls", IF(#REF! &lt;=5, "4-5 Calls", "6+ Calls")))</f>
        <v>#REF!</v>
      </c>
      <c r="X1061" t="e">
        <f>IF(#REF! &lt;= 50, "0-50", IF(#REF! &lt;=100, "51-100", IF(#REF! &lt;= 150, "101-150", "151+")))</f>
        <v>#REF!</v>
      </c>
      <c r="Y1061" t="e">
        <f>IF(#REF! &lt;= 3, "Low Charges", "High Charges")</f>
        <v>#REF!</v>
      </c>
      <c r="Z1061" t="e">
        <f>IF(#REF!&lt;=80,"Low Calls",
IF(#REF!&lt;=120,"Medium Calls","High Calls"))</f>
        <v>#REF!</v>
      </c>
      <c r="AA1061" t="e">
        <f>IF(#REF!&lt;=15,"Low Charges",
IF(#REF!&lt;=20,"Medium Charges","High Charges"))</f>
        <v>#REF!</v>
      </c>
      <c r="AB1061" t="e">
        <f>IF(AND(#REF!&gt;180, #REF!&gt;200), "Heavy Doemstic User", IF(#REF!&gt;10, "Interntional User", IF(AND(#REF!&lt;180, #REF!&lt;200,#REF!&lt;200), "Light User", "Balanced User")))</f>
        <v>#REF!</v>
      </c>
      <c r="AC1061" t="e">
        <f>IF(#REF! = 0, "No Usage", IF(#REF! &lt;= 20, "Low Usage", IF(#REF! &lt;= 40, "Medium Usgae", "High Usage")))</f>
        <v>#REF!</v>
      </c>
      <c r="AD1061" t="e">
        <f>IF(#REF!&lt;=150,"Low Usage", IF(#REF!&lt;=200,"Medium Usage", IF(#REF!&lt;=250,"High Usage","Very High Usage")))</f>
        <v>#REF!</v>
      </c>
      <c r="AE1061" t="e">
        <f>IF(#REF!&lt;=5,"Low Calls", IF(#REF!&lt;=10, "Medium Calls", "High Calls"))</f>
        <v>#REF!</v>
      </c>
      <c r="AF1061" t="e">
        <f xml:space="preserve">
IF(#REF!&gt;=4,4,0)+
IF(#REF!="yes",3,0)+
IF(#REF!="High Charges",3,0)+
IF(#REF!&gt;250,4,0)+
IF(#REF!="no",1,0)+
IF(#REF!="Heavy Domestic User",2,0)</f>
        <v>#REF!</v>
      </c>
      <c r="AG1061" t="e">
        <f>IF(#REF!&gt;=10,"High Risk", IF(#REF!&gt;=5,"Medium Risk","Low Risk"))</f>
        <v>#REF!</v>
      </c>
      <c r="AH1061" t="e">
        <f>#REF! + #REF! + #REF! + #REF!</f>
        <v>#REF!</v>
      </c>
    </row>
    <row r="1062" spans="1:34" x14ac:dyDescent="0.35">
      <c r="A1062">
        <v>1061</v>
      </c>
      <c r="B1062" t="s">
        <v>47</v>
      </c>
      <c r="C1062">
        <v>76</v>
      </c>
      <c r="D1062" t="s">
        <v>21</v>
      </c>
      <c r="E1062" t="s">
        <v>22</v>
      </c>
      <c r="F1062" t="s">
        <v>23</v>
      </c>
      <c r="G1062">
        <v>22</v>
      </c>
      <c r="H1062">
        <v>160.1</v>
      </c>
      <c r="I1062">
        <v>107</v>
      </c>
      <c r="J1062">
        <v>27.22</v>
      </c>
      <c r="K1062">
        <v>168.7</v>
      </c>
      <c r="L1062">
        <v>136</v>
      </c>
      <c r="M1062">
        <v>14.34</v>
      </c>
      <c r="N1062">
        <v>23.2</v>
      </c>
      <c r="O1062">
        <v>102</v>
      </c>
      <c r="P1062">
        <v>1.04</v>
      </c>
      <c r="Q1062">
        <v>9.5</v>
      </c>
      <c r="R1062">
        <v>4</v>
      </c>
      <c r="S1062">
        <v>2.57</v>
      </c>
      <c r="T1062">
        <v>3</v>
      </c>
      <c r="U1062" t="s">
        <v>22</v>
      </c>
      <c r="V1062" t="e">
        <f>IF(#REF! = "yes", 1, 0)</f>
        <v>#REF!</v>
      </c>
      <c r="W1062" t="e">
        <f>IF(#REF! &lt;= 1, "0-1 Calls", IF(#REF! &lt;= 3, "2-3 Calls", IF(#REF! &lt;=5, "4-5 Calls", "6+ Calls")))</f>
        <v>#REF!</v>
      </c>
      <c r="X1062" t="e">
        <f>IF(#REF! &lt;= 50, "0-50", IF(#REF! &lt;=100, "51-100", IF(#REF! &lt;= 150, "101-150", "151+")))</f>
        <v>#REF!</v>
      </c>
      <c r="Y1062" t="e">
        <f>IF(#REF! &lt;= 3, "Low Charges", "High Charges")</f>
        <v>#REF!</v>
      </c>
      <c r="Z1062" t="e">
        <f>IF(#REF!&lt;=80,"Low Calls",
IF(#REF!&lt;=120,"Medium Calls","High Calls"))</f>
        <v>#REF!</v>
      </c>
      <c r="AA1062" t="e">
        <f>IF(#REF!&lt;=15,"Low Charges",
IF(#REF!&lt;=20,"Medium Charges","High Charges"))</f>
        <v>#REF!</v>
      </c>
      <c r="AB1062" t="e">
        <f>IF(AND(#REF!&gt;180, #REF!&gt;200), "Heavy Doemstic User", IF(#REF!&gt;10, "Interntional User", IF(AND(#REF!&lt;180, #REF!&lt;200,#REF!&lt;200), "Light User", "Balanced User")))</f>
        <v>#REF!</v>
      </c>
      <c r="AC1062" t="e">
        <f>IF(#REF! = 0, "No Usage", IF(#REF! &lt;= 20, "Low Usage", IF(#REF! &lt;= 40, "Medium Usgae", "High Usage")))</f>
        <v>#REF!</v>
      </c>
      <c r="AD1062" t="e">
        <f>IF(#REF!&lt;=150,"Low Usage", IF(#REF!&lt;=200,"Medium Usage", IF(#REF!&lt;=250,"High Usage","Very High Usage")))</f>
        <v>#REF!</v>
      </c>
      <c r="AE1062" t="e">
        <f>IF(#REF!&lt;=5,"Low Calls", IF(#REF!&lt;=10, "Medium Calls", "High Calls"))</f>
        <v>#REF!</v>
      </c>
      <c r="AF1062" t="e">
        <f xml:space="preserve">
IF(#REF!&gt;=4,4,0)+
IF(#REF!="yes",3,0)+
IF(#REF!="High Charges",3,0)+
IF(#REF!&gt;250,4,0)+
IF(#REF!="no",1,0)+
IF(#REF!="Heavy Domestic User",2,0)</f>
        <v>#REF!</v>
      </c>
      <c r="AG1062" t="e">
        <f>IF(#REF!&gt;=10,"High Risk", IF(#REF!&gt;=5,"Medium Risk","Low Risk"))</f>
        <v>#REF!</v>
      </c>
      <c r="AH1062" t="e">
        <f>#REF! + #REF! + #REF! + #REF!</f>
        <v>#REF!</v>
      </c>
    </row>
    <row r="1063" spans="1:34" x14ac:dyDescent="0.35">
      <c r="A1063">
        <v>1062</v>
      </c>
      <c r="B1063" t="s">
        <v>58</v>
      </c>
      <c r="C1063">
        <v>30</v>
      </c>
      <c r="D1063" t="s">
        <v>28</v>
      </c>
      <c r="E1063" t="s">
        <v>22</v>
      </c>
      <c r="F1063" t="s">
        <v>22</v>
      </c>
      <c r="G1063">
        <v>0</v>
      </c>
      <c r="H1063">
        <v>145</v>
      </c>
      <c r="I1063">
        <v>76</v>
      </c>
      <c r="J1063">
        <v>24.65</v>
      </c>
      <c r="K1063">
        <v>240.7</v>
      </c>
      <c r="L1063">
        <v>112</v>
      </c>
      <c r="M1063">
        <v>20.46</v>
      </c>
      <c r="N1063">
        <v>197.1</v>
      </c>
      <c r="O1063">
        <v>134</v>
      </c>
      <c r="P1063">
        <v>8.8699999999999992</v>
      </c>
      <c r="Q1063">
        <v>7.1</v>
      </c>
      <c r="R1063">
        <v>4</v>
      </c>
      <c r="S1063">
        <v>1.92</v>
      </c>
      <c r="T1063">
        <v>3</v>
      </c>
      <c r="U1063" t="s">
        <v>22</v>
      </c>
      <c r="V1063" t="e">
        <f>IF(#REF! = "yes", 1, 0)</f>
        <v>#REF!</v>
      </c>
      <c r="W1063" t="e">
        <f>IF(#REF! &lt;= 1, "0-1 Calls", IF(#REF! &lt;= 3, "2-3 Calls", IF(#REF! &lt;=5, "4-5 Calls", "6+ Calls")))</f>
        <v>#REF!</v>
      </c>
      <c r="X1063" t="e">
        <f>IF(#REF! &lt;= 50, "0-50", IF(#REF! &lt;=100, "51-100", IF(#REF! &lt;= 150, "101-150", "151+")))</f>
        <v>#REF!</v>
      </c>
      <c r="Y1063" t="e">
        <f>IF(#REF! &lt;= 3, "Low Charges", "High Charges")</f>
        <v>#REF!</v>
      </c>
      <c r="Z1063" t="e">
        <f>IF(#REF!&lt;=80,"Low Calls",
IF(#REF!&lt;=120,"Medium Calls","High Calls"))</f>
        <v>#REF!</v>
      </c>
      <c r="AA1063" t="e">
        <f>IF(#REF!&lt;=15,"Low Charges",
IF(#REF!&lt;=20,"Medium Charges","High Charges"))</f>
        <v>#REF!</v>
      </c>
      <c r="AB1063" t="e">
        <f>IF(AND(#REF!&gt;180, #REF!&gt;200), "Heavy Doemstic User", IF(#REF!&gt;10, "Interntional User", IF(AND(#REF!&lt;180, #REF!&lt;200,#REF!&lt;200), "Light User", "Balanced User")))</f>
        <v>#REF!</v>
      </c>
      <c r="AC1063" t="e">
        <f>IF(#REF! = 0, "No Usage", IF(#REF! &lt;= 20, "Low Usage", IF(#REF! &lt;= 40, "Medium Usgae", "High Usage")))</f>
        <v>#REF!</v>
      </c>
      <c r="AD1063" t="e">
        <f>IF(#REF!&lt;=150,"Low Usage", IF(#REF!&lt;=200,"Medium Usage", IF(#REF!&lt;=250,"High Usage","Very High Usage")))</f>
        <v>#REF!</v>
      </c>
      <c r="AE1063" t="e">
        <f>IF(#REF!&lt;=5,"Low Calls", IF(#REF!&lt;=10, "Medium Calls", "High Calls"))</f>
        <v>#REF!</v>
      </c>
      <c r="AF1063" t="e">
        <f xml:space="preserve">
IF(#REF!&gt;=4,4,0)+
IF(#REF!="yes",3,0)+
IF(#REF!="High Charges",3,0)+
IF(#REF!&gt;250,4,0)+
IF(#REF!="no",1,0)+
IF(#REF!="Heavy Domestic User",2,0)</f>
        <v>#REF!</v>
      </c>
      <c r="AG1063" t="e">
        <f>IF(#REF!&gt;=10,"High Risk", IF(#REF!&gt;=5,"Medium Risk","Low Risk"))</f>
        <v>#REF!</v>
      </c>
      <c r="AH1063" t="e">
        <f>#REF! + #REF! + #REF! + #REF!</f>
        <v>#REF!</v>
      </c>
    </row>
    <row r="1064" spans="1:34" x14ac:dyDescent="0.35">
      <c r="A1064">
        <v>1063</v>
      </c>
      <c r="B1064" t="s">
        <v>42</v>
      </c>
      <c r="C1064">
        <v>157</v>
      </c>
      <c r="D1064" t="s">
        <v>21</v>
      </c>
      <c r="E1064" t="s">
        <v>22</v>
      </c>
      <c r="F1064" t="s">
        <v>22</v>
      </c>
      <c r="G1064">
        <v>0</v>
      </c>
      <c r="H1064">
        <v>220.7</v>
      </c>
      <c r="I1064">
        <v>105</v>
      </c>
      <c r="J1064">
        <v>37.520000000000003</v>
      </c>
      <c r="K1064">
        <v>119.3</v>
      </c>
      <c r="L1064">
        <v>127</v>
      </c>
      <c r="M1064">
        <v>10.14</v>
      </c>
      <c r="N1064">
        <v>165.1</v>
      </c>
      <c r="O1064">
        <v>113</v>
      </c>
      <c r="P1064">
        <v>7.43</v>
      </c>
      <c r="Q1064">
        <v>11.5</v>
      </c>
      <c r="R1064">
        <v>7</v>
      </c>
      <c r="S1064">
        <v>3.11</v>
      </c>
      <c r="T1064">
        <v>4</v>
      </c>
      <c r="U1064" t="s">
        <v>22</v>
      </c>
      <c r="V1064" t="e">
        <f>IF(#REF! = "yes", 1, 0)</f>
        <v>#REF!</v>
      </c>
      <c r="W1064" t="e">
        <f>IF(#REF! &lt;= 1, "0-1 Calls", IF(#REF! &lt;= 3, "2-3 Calls", IF(#REF! &lt;=5, "4-5 Calls", "6+ Calls")))</f>
        <v>#REF!</v>
      </c>
      <c r="X1064" t="e">
        <f>IF(#REF! &lt;= 50, "0-50", IF(#REF! &lt;=100, "51-100", IF(#REF! &lt;= 150, "101-150", "151+")))</f>
        <v>#REF!</v>
      </c>
      <c r="Y1064" t="e">
        <f>IF(#REF! &lt;= 3, "Low Charges", "High Charges")</f>
        <v>#REF!</v>
      </c>
      <c r="Z1064" t="e">
        <f>IF(#REF!&lt;=80,"Low Calls",
IF(#REF!&lt;=120,"Medium Calls","High Calls"))</f>
        <v>#REF!</v>
      </c>
      <c r="AA1064" t="e">
        <f>IF(#REF!&lt;=15,"Low Charges",
IF(#REF!&lt;=20,"Medium Charges","High Charges"))</f>
        <v>#REF!</v>
      </c>
      <c r="AB1064" t="e">
        <f>IF(AND(#REF!&gt;180, #REF!&gt;200), "Heavy Doemstic User", IF(#REF!&gt;10, "Interntional User", IF(AND(#REF!&lt;180, #REF!&lt;200,#REF!&lt;200), "Light User", "Balanced User")))</f>
        <v>#REF!</v>
      </c>
      <c r="AC1064" t="e">
        <f>IF(#REF! = 0, "No Usage", IF(#REF! &lt;= 20, "Low Usage", IF(#REF! &lt;= 40, "Medium Usgae", "High Usage")))</f>
        <v>#REF!</v>
      </c>
      <c r="AD1064" t="e">
        <f>IF(#REF!&lt;=150,"Low Usage", IF(#REF!&lt;=200,"Medium Usage", IF(#REF!&lt;=250,"High Usage","Very High Usage")))</f>
        <v>#REF!</v>
      </c>
      <c r="AE1064" t="e">
        <f>IF(#REF!&lt;=5,"Low Calls", IF(#REF!&lt;=10, "Medium Calls", "High Calls"))</f>
        <v>#REF!</v>
      </c>
      <c r="AF1064" t="e">
        <f xml:space="preserve">
IF(#REF!&gt;=4,4,0)+
IF(#REF!="yes",3,0)+
IF(#REF!="High Charges",3,0)+
IF(#REF!&gt;250,4,0)+
IF(#REF!="no",1,0)+
IF(#REF!="Heavy Domestic User",2,0)</f>
        <v>#REF!</v>
      </c>
      <c r="AG1064" t="e">
        <f>IF(#REF!&gt;=10,"High Risk", IF(#REF!&gt;=5,"Medium Risk","Low Risk"))</f>
        <v>#REF!</v>
      </c>
      <c r="AH1064" t="e">
        <f>#REF! + #REF! + #REF! + #REF!</f>
        <v>#REF!</v>
      </c>
    </row>
    <row r="1065" spans="1:34" x14ac:dyDescent="0.35">
      <c r="A1065">
        <v>1064</v>
      </c>
      <c r="B1065" t="s">
        <v>27</v>
      </c>
      <c r="C1065">
        <v>40</v>
      </c>
      <c r="D1065" t="s">
        <v>25</v>
      </c>
      <c r="E1065" t="s">
        <v>22</v>
      </c>
      <c r="F1065" t="s">
        <v>23</v>
      </c>
      <c r="G1065">
        <v>31</v>
      </c>
      <c r="H1065">
        <v>224.7</v>
      </c>
      <c r="I1065">
        <v>69</v>
      </c>
      <c r="J1065">
        <v>38.200000000000003</v>
      </c>
      <c r="K1065">
        <v>134.5</v>
      </c>
      <c r="L1065">
        <v>81</v>
      </c>
      <c r="M1065">
        <v>11.43</v>
      </c>
      <c r="N1065">
        <v>120.3</v>
      </c>
      <c r="O1065">
        <v>104</v>
      </c>
      <c r="P1065">
        <v>5.41</v>
      </c>
      <c r="Q1065">
        <v>7.5</v>
      </c>
      <c r="R1065">
        <v>5</v>
      </c>
      <c r="S1065">
        <v>2.0299999999999998</v>
      </c>
      <c r="T1065">
        <v>1</v>
      </c>
      <c r="U1065" t="s">
        <v>23</v>
      </c>
      <c r="V1065" t="e">
        <f>IF(#REF! = "yes", 1, 0)</f>
        <v>#REF!</v>
      </c>
      <c r="W1065" t="e">
        <f>IF(#REF! &lt;= 1, "0-1 Calls", IF(#REF! &lt;= 3, "2-3 Calls", IF(#REF! &lt;=5, "4-5 Calls", "6+ Calls")))</f>
        <v>#REF!</v>
      </c>
      <c r="X1065" t="e">
        <f>IF(#REF! &lt;= 50, "0-50", IF(#REF! &lt;=100, "51-100", IF(#REF! &lt;= 150, "101-150", "151+")))</f>
        <v>#REF!</v>
      </c>
      <c r="Y1065" t="e">
        <f>IF(#REF! &lt;= 3, "Low Charges", "High Charges")</f>
        <v>#REF!</v>
      </c>
      <c r="Z1065" t="e">
        <f>IF(#REF!&lt;=80,"Low Calls",
IF(#REF!&lt;=120,"Medium Calls","High Calls"))</f>
        <v>#REF!</v>
      </c>
      <c r="AA1065" t="e">
        <f>IF(#REF!&lt;=15,"Low Charges",
IF(#REF!&lt;=20,"Medium Charges","High Charges"))</f>
        <v>#REF!</v>
      </c>
      <c r="AB1065" t="e">
        <f>IF(AND(#REF!&gt;180, #REF!&gt;200), "Heavy Doemstic User", IF(#REF!&gt;10, "Interntional User", IF(AND(#REF!&lt;180, #REF!&lt;200,#REF!&lt;200), "Light User", "Balanced User")))</f>
        <v>#REF!</v>
      </c>
      <c r="AC1065" t="e">
        <f>IF(#REF! = 0, "No Usage", IF(#REF! &lt;= 20, "Low Usage", IF(#REF! &lt;= 40, "Medium Usgae", "High Usage")))</f>
        <v>#REF!</v>
      </c>
      <c r="AD1065" t="e">
        <f>IF(#REF!&lt;=150,"Low Usage", IF(#REF!&lt;=200,"Medium Usage", IF(#REF!&lt;=250,"High Usage","Very High Usage")))</f>
        <v>#REF!</v>
      </c>
      <c r="AE1065" t="e">
        <f>IF(#REF!&lt;=5,"Low Calls", IF(#REF!&lt;=10, "Medium Calls", "High Calls"))</f>
        <v>#REF!</v>
      </c>
      <c r="AF1065" t="e">
        <f xml:space="preserve">
IF(#REF!&gt;=4,4,0)+
IF(#REF!="yes",3,0)+
IF(#REF!="High Charges",3,0)+
IF(#REF!&gt;250,4,0)+
IF(#REF!="no",1,0)+
IF(#REF!="Heavy Domestic User",2,0)</f>
        <v>#REF!</v>
      </c>
      <c r="AG1065" t="e">
        <f>IF(#REF!&gt;=10,"High Risk", IF(#REF!&gt;=5,"Medium Risk","Low Risk"))</f>
        <v>#REF!</v>
      </c>
      <c r="AH1065" t="e">
        <f>#REF! + #REF! + #REF! + #REF!</f>
        <v>#REF!</v>
      </c>
    </row>
    <row r="1066" spans="1:34" x14ac:dyDescent="0.35">
      <c r="A1066">
        <v>1065</v>
      </c>
      <c r="B1066" t="s">
        <v>71</v>
      </c>
      <c r="C1066">
        <v>72</v>
      </c>
      <c r="D1066" t="s">
        <v>25</v>
      </c>
      <c r="E1066" t="s">
        <v>22</v>
      </c>
      <c r="F1066" t="s">
        <v>22</v>
      </c>
      <c r="G1066">
        <v>0</v>
      </c>
      <c r="H1066">
        <v>147</v>
      </c>
      <c r="I1066">
        <v>79</v>
      </c>
      <c r="J1066">
        <v>24.99</v>
      </c>
      <c r="K1066">
        <v>162.30000000000001</v>
      </c>
      <c r="L1066">
        <v>103</v>
      </c>
      <c r="M1066">
        <v>13.8</v>
      </c>
      <c r="N1066">
        <v>162.9</v>
      </c>
      <c r="O1066">
        <v>80</v>
      </c>
      <c r="P1066">
        <v>7.33</v>
      </c>
      <c r="Q1066">
        <v>10.5</v>
      </c>
      <c r="R1066">
        <v>4</v>
      </c>
      <c r="S1066">
        <v>2.84</v>
      </c>
      <c r="T1066">
        <v>1</v>
      </c>
      <c r="U1066" t="s">
        <v>22</v>
      </c>
      <c r="V1066" t="e">
        <f>IF(#REF! = "yes", 1, 0)</f>
        <v>#REF!</v>
      </c>
      <c r="W1066" t="e">
        <f>IF(#REF! &lt;= 1, "0-1 Calls", IF(#REF! &lt;= 3, "2-3 Calls", IF(#REF! &lt;=5, "4-5 Calls", "6+ Calls")))</f>
        <v>#REF!</v>
      </c>
      <c r="X1066" t="e">
        <f>IF(#REF! &lt;= 50, "0-50", IF(#REF! &lt;=100, "51-100", IF(#REF! &lt;= 150, "101-150", "151+")))</f>
        <v>#REF!</v>
      </c>
      <c r="Y1066" t="e">
        <f>IF(#REF! &lt;= 3, "Low Charges", "High Charges")</f>
        <v>#REF!</v>
      </c>
      <c r="Z1066" t="e">
        <f>IF(#REF!&lt;=80,"Low Calls",
IF(#REF!&lt;=120,"Medium Calls","High Calls"))</f>
        <v>#REF!</v>
      </c>
      <c r="AA1066" t="e">
        <f>IF(#REF!&lt;=15,"Low Charges",
IF(#REF!&lt;=20,"Medium Charges","High Charges"))</f>
        <v>#REF!</v>
      </c>
      <c r="AB1066" t="e">
        <f>IF(AND(#REF!&gt;180, #REF!&gt;200), "Heavy Doemstic User", IF(#REF!&gt;10, "Interntional User", IF(AND(#REF!&lt;180, #REF!&lt;200,#REF!&lt;200), "Light User", "Balanced User")))</f>
        <v>#REF!</v>
      </c>
      <c r="AC1066" t="e">
        <f>IF(#REF! = 0, "No Usage", IF(#REF! &lt;= 20, "Low Usage", IF(#REF! &lt;= 40, "Medium Usgae", "High Usage")))</f>
        <v>#REF!</v>
      </c>
      <c r="AD1066" t="e">
        <f>IF(#REF!&lt;=150,"Low Usage", IF(#REF!&lt;=200,"Medium Usage", IF(#REF!&lt;=250,"High Usage","Very High Usage")))</f>
        <v>#REF!</v>
      </c>
      <c r="AE1066" t="e">
        <f>IF(#REF!&lt;=5,"Low Calls", IF(#REF!&lt;=10, "Medium Calls", "High Calls"))</f>
        <v>#REF!</v>
      </c>
      <c r="AF1066" t="e">
        <f xml:space="preserve">
IF(#REF!&gt;=4,4,0)+
IF(#REF!="yes",3,0)+
IF(#REF!="High Charges",3,0)+
IF(#REF!&gt;250,4,0)+
IF(#REF!="no",1,0)+
IF(#REF!="Heavy Domestic User",2,0)</f>
        <v>#REF!</v>
      </c>
      <c r="AG1066" t="e">
        <f>IF(#REF!&gt;=10,"High Risk", IF(#REF!&gt;=5,"Medium Risk","Low Risk"))</f>
        <v>#REF!</v>
      </c>
      <c r="AH1066" t="e">
        <f>#REF! + #REF! + #REF! + #REF!</f>
        <v>#REF!</v>
      </c>
    </row>
    <row r="1067" spans="1:34" x14ac:dyDescent="0.35">
      <c r="A1067">
        <v>1066</v>
      </c>
      <c r="B1067" t="s">
        <v>44</v>
      </c>
      <c r="C1067">
        <v>95</v>
      </c>
      <c r="D1067" t="s">
        <v>21</v>
      </c>
      <c r="E1067" t="s">
        <v>22</v>
      </c>
      <c r="F1067" t="s">
        <v>23</v>
      </c>
      <c r="G1067">
        <v>39</v>
      </c>
      <c r="H1067">
        <v>260.8</v>
      </c>
      <c r="I1067">
        <v>130</v>
      </c>
      <c r="J1067">
        <v>44.34</v>
      </c>
      <c r="K1067">
        <v>213.4</v>
      </c>
      <c r="L1067">
        <v>111</v>
      </c>
      <c r="M1067">
        <v>18.14</v>
      </c>
      <c r="N1067">
        <v>195.6</v>
      </c>
      <c r="O1067">
        <v>97</v>
      </c>
      <c r="P1067">
        <v>8.8000000000000007</v>
      </c>
      <c r="Q1067">
        <v>10.1</v>
      </c>
      <c r="R1067">
        <v>5</v>
      </c>
      <c r="S1067">
        <v>2.73</v>
      </c>
      <c r="T1067">
        <v>1</v>
      </c>
      <c r="U1067" t="s">
        <v>22</v>
      </c>
      <c r="V1067" t="e">
        <f>IF(#REF! = "yes", 1, 0)</f>
        <v>#REF!</v>
      </c>
      <c r="W1067" t="e">
        <f>IF(#REF! &lt;= 1, "0-1 Calls", IF(#REF! &lt;= 3, "2-3 Calls", IF(#REF! &lt;=5, "4-5 Calls", "6+ Calls")))</f>
        <v>#REF!</v>
      </c>
      <c r="X1067" t="e">
        <f>IF(#REF! &lt;= 50, "0-50", IF(#REF! &lt;=100, "51-100", IF(#REF! &lt;= 150, "101-150", "151+")))</f>
        <v>#REF!</v>
      </c>
      <c r="Y1067" t="e">
        <f>IF(#REF! &lt;= 3, "Low Charges", "High Charges")</f>
        <v>#REF!</v>
      </c>
      <c r="Z1067" t="e">
        <f>IF(#REF!&lt;=80,"Low Calls",
IF(#REF!&lt;=120,"Medium Calls","High Calls"))</f>
        <v>#REF!</v>
      </c>
      <c r="AA1067" t="e">
        <f>IF(#REF!&lt;=15,"Low Charges",
IF(#REF!&lt;=20,"Medium Charges","High Charges"))</f>
        <v>#REF!</v>
      </c>
      <c r="AB1067" t="e">
        <f>IF(AND(#REF!&gt;180, #REF!&gt;200), "Heavy Doemstic User", IF(#REF!&gt;10, "Interntional User", IF(AND(#REF!&lt;180, #REF!&lt;200,#REF!&lt;200), "Light User", "Balanced User")))</f>
        <v>#REF!</v>
      </c>
      <c r="AC1067" t="e">
        <f>IF(#REF! = 0, "No Usage", IF(#REF! &lt;= 20, "Low Usage", IF(#REF! &lt;= 40, "Medium Usgae", "High Usage")))</f>
        <v>#REF!</v>
      </c>
      <c r="AD1067" t="e">
        <f>IF(#REF!&lt;=150,"Low Usage", IF(#REF!&lt;=200,"Medium Usage", IF(#REF!&lt;=250,"High Usage","Very High Usage")))</f>
        <v>#REF!</v>
      </c>
      <c r="AE1067" t="e">
        <f>IF(#REF!&lt;=5,"Low Calls", IF(#REF!&lt;=10, "Medium Calls", "High Calls"))</f>
        <v>#REF!</v>
      </c>
      <c r="AF1067" t="e">
        <f xml:space="preserve">
IF(#REF!&gt;=4,4,0)+
IF(#REF!="yes",3,0)+
IF(#REF!="High Charges",3,0)+
IF(#REF!&gt;250,4,0)+
IF(#REF!="no",1,0)+
IF(#REF!="Heavy Domestic User",2,0)</f>
        <v>#REF!</v>
      </c>
      <c r="AG1067" t="e">
        <f>IF(#REF!&gt;=10,"High Risk", IF(#REF!&gt;=5,"Medium Risk","Low Risk"))</f>
        <v>#REF!</v>
      </c>
      <c r="AH1067" t="e">
        <f>#REF! + #REF! + #REF! + #REF!</f>
        <v>#REF!</v>
      </c>
    </row>
    <row r="1068" spans="1:34" x14ac:dyDescent="0.35">
      <c r="A1068">
        <v>1067</v>
      </c>
      <c r="B1068" t="s">
        <v>34</v>
      </c>
      <c r="C1068">
        <v>42</v>
      </c>
      <c r="D1068" t="s">
        <v>21</v>
      </c>
      <c r="E1068" t="s">
        <v>22</v>
      </c>
      <c r="F1068" t="s">
        <v>22</v>
      </c>
      <c r="G1068">
        <v>0</v>
      </c>
      <c r="H1068">
        <v>155.4</v>
      </c>
      <c r="I1068">
        <v>127</v>
      </c>
      <c r="J1068">
        <v>26.42</v>
      </c>
      <c r="K1068">
        <v>164.1</v>
      </c>
      <c r="L1068">
        <v>45</v>
      </c>
      <c r="M1068">
        <v>13.95</v>
      </c>
      <c r="N1068">
        <v>157.69999999999999</v>
      </c>
      <c r="O1068">
        <v>128</v>
      </c>
      <c r="P1068">
        <v>7.1</v>
      </c>
      <c r="Q1068">
        <v>9</v>
      </c>
      <c r="R1068">
        <v>3</v>
      </c>
      <c r="S1068">
        <v>2.4300000000000002</v>
      </c>
      <c r="T1068">
        <v>0</v>
      </c>
      <c r="U1068" t="s">
        <v>22</v>
      </c>
      <c r="V1068" t="e">
        <f>IF(#REF! = "yes", 1, 0)</f>
        <v>#REF!</v>
      </c>
      <c r="W1068" t="e">
        <f>IF(#REF! &lt;= 1, "0-1 Calls", IF(#REF! &lt;= 3, "2-3 Calls", IF(#REF! &lt;=5, "4-5 Calls", "6+ Calls")))</f>
        <v>#REF!</v>
      </c>
      <c r="X1068" t="e">
        <f>IF(#REF! &lt;= 50, "0-50", IF(#REF! &lt;=100, "51-100", IF(#REF! &lt;= 150, "101-150", "151+")))</f>
        <v>#REF!</v>
      </c>
      <c r="Y1068" t="e">
        <f>IF(#REF! &lt;= 3, "Low Charges", "High Charges")</f>
        <v>#REF!</v>
      </c>
      <c r="Z1068" t="e">
        <f>IF(#REF!&lt;=80,"Low Calls",
IF(#REF!&lt;=120,"Medium Calls","High Calls"))</f>
        <v>#REF!</v>
      </c>
      <c r="AA1068" t="e">
        <f>IF(#REF!&lt;=15,"Low Charges",
IF(#REF!&lt;=20,"Medium Charges","High Charges"))</f>
        <v>#REF!</v>
      </c>
      <c r="AB1068" t="e">
        <f>IF(AND(#REF!&gt;180, #REF!&gt;200), "Heavy Doemstic User", IF(#REF!&gt;10, "Interntional User", IF(AND(#REF!&lt;180, #REF!&lt;200,#REF!&lt;200), "Light User", "Balanced User")))</f>
        <v>#REF!</v>
      </c>
      <c r="AC1068" t="e">
        <f>IF(#REF! = 0, "No Usage", IF(#REF! &lt;= 20, "Low Usage", IF(#REF! &lt;= 40, "Medium Usgae", "High Usage")))</f>
        <v>#REF!</v>
      </c>
      <c r="AD1068" t="e">
        <f>IF(#REF!&lt;=150,"Low Usage", IF(#REF!&lt;=200,"Medium Usage", IF(#REF!&lt;=250,"High Usage","Very High Usage")))</f>
        <v>#REF!</v>
      </c>
      <c r="AE1068" t="e">
        <f>IF(#REF!&lt;=5,"Low Calls", IF(#REF!&lt;=10, "Medium Calls", "High Calls"))</f>
        <v>#REF!</v>
      </c>
      <c r="AF1068" t="e">
        <f xml:space="preserve">
IF(#REF!&gt;=4,4,0)+
IF(#REF!="yes",3,0)+
IF(#REF!="High Charges",3,0)+
IF(#REF!&gt;250,4,0)+
IF(#REF!="no",1,0)+
IF(#REF!="Heavy Domestic User",2,0)</f>
        <v>#REF!</v>
      </c>
      <c r="AG1068" t="e">
        <f>IF(#REF!&gt;=10,"High Risk", IF(#REF!&gt;=5,"Medium Risk","Low Risk"))</f>
        <v>#REF!</v>
      </c>
      <c r="AH1068" t="e">
        <f>#REF! + #REF! + #REF! + #REF!</f>
        <v>#REF!</v>
      </c>
    </row>
    <row r="1069" spans="1:34" x14ac:dyDescent="0.35">
      <c r="A1069">
        <v>1068</v>
      </c>
      <c r="B1069" t="s">
        <v>32</v>
      </c>
      <c r="C1069">
        <v>86</v>
      </c>
      <c r="D1069" t="s">
        <v>21</v>
      </c>
      <c r="E1069" t="s">
        <v>22</v>
      </c>
      <c r="F1069" t="s">
        <v>22</v>
      </c>
      <c r="G1069">
        <v>0</v>
      </c>
      <c r="H1069">
        <v>166.2</v>
      </c>
      <c r="I1069">
        <v>112</v>
      </c>
      <c r="J1069">
        <v>28.25</v>
      </c>
      <c r="K1069">
        <v>255.3</v>
      </c>
      <c r="L1069">
        <v>81</v>
      </c>
      <c r="M1069">
        <v>21.7</v>
      </c>
      <c r="N1069">
        <v>228.1</v>
      </c>
      <c r="O1069">
        <v>97</v>
      </c>
      <c r="P1069">
        <v>10.26</v>
      </c>
      <c r="Q1069">
        <v>5.4</v>
      </c>
      <c r="R1069">
        <v>7</v>
      </c>
      <c r="S1069">
        <v>1.46</v>
      </c>
      <c r="T1069">
        <v>1</v>
      </c>
      <c r="U1069" t="s">
        <v>22</v>
      </c>
      <c r="V1069" t="e">
        <f>IF(#REF! = "yes", 1, 0)</f>
        <v>#REF!</v>
      </c>
      <c r="W1069" t="e">
        <f>IF(#REF! &lt;= 1, "0-1 Calls", IF(#REF! &lt;= 3, "2-3 Calls", IF(#REF! &lt;=5, "4-5 Calls", "6+ Calls")))</f>
        <v>#REF!</v>
      </c>
      <c r="X1069" t="e">
        <f>IF(#REF! &lt;= 50, "0-50", IF(#REF! &lt;=100, "51-100", IF(#REF! &lt;= 150, "101-150", "151+")))</f>
        <v>#REF!</v>
      </c>
      <c r="Y1069" t="e">
        <f>IF(#REF! &lt;= 3, "Low Charges", "High Charges")</f>
        <v>#REF!</v>
      </c>
      <c r="Z1069" t="e">
        <f>IF(#REF!&lt;=80,"Low Calls",
IF(#REF!&lt;=120,"Medium Calls","High Calls"))</f>
        <v>#REF!</v>
      </c>
      <c r="AA1069" t="e">
        <f>IF(#REF!&lt;=15,"Low Charges",
IF(#REF!&lt;=20,"Medium Charges","High Charges"))</f>
        <v>#REF!</v>
      </c>
      <c r="AB1069" t="e">
        <f>IF(AND(#REF!&gt;180, #REF!&gt;200), "Heavy Doemstic User", IF(#REF!&gt;10, "Interntional User", IF(AND(#REF!&lt;180, #REF!&lt;200,#REF!&lt;200), "Light User", "Balanced User")))</f>
        <v>#REF!</v>
      </c>
      <c r="AC1069" t="e">
        <f>IF(#REF! = 0, "No Usage", IF(#REF! &lt;= 20, "Low Usage", IF(#REF! &lt;= 40, "Medium Usgae", "High Usage")))</f>
        <v>#REF!</v>
      </c>
      <c r="AD1069" t="e">
        <f>IF(#REF!&lt;=150,"Low Usage", IF(#REF!&lt;=200,"Medium Usage", IF(#REF!&lt;=250,"High Usage","Very High Usage")))</f>
        <v>#REF!</v>
      </c>
      <c r="AE1069" t="e">
        <f>IF(#REF!&lt;=5,"Low Calls", IF(#REF!&lt;=10, "Medium Calls", "High Calls"))</f>
        <v>#REF!</v>
      </c>
      <c r="AF1069" t="e">
        <f xml:space="preserve">
IF(#REF!&gt;=4,4,0)+
IF(#REF!="yes",3,0)+
IF(#REF!="High Charges",3,0)+
IF(#REF!&gt;250,4,0)+
IF(#REF!="no",1,0)+
IF(#REF!="Heavy Domestic User",2,0)</f>
        <v>#REF!</v>
      </c>
      <c r="AG1069" t="e">
        <f>IF(#REF!&gt;=10,"High Risk", IF(#REF!&gt;=5,"Medium Risk","Low Risk"))</f>
        <v>#REF!</v>
      </c>
      <c r="AH1069" t="e">
        <f>#REF! + #REF! + #REF! + #REF!</f>
        <v>#REF!</v>
      </c>
    </row>
    <row r="1070" spans="1:34" x14ac:dyDescent="0.35">
      <c r="A1070">
        <v>1069</v>
      </c>
      <c r="B1070" t="s">
        <v>24</v>
      </c>
      <c r="C1070">
        <v>131</v>
      </c>
      <c r="D1070" t="s">
        <v>21</v>
      </c>
      <c r="E1070" t="s">
        <v>22</v>
      </c>
      <c r="F1070" t="s">
        <v>22</v>
      </c>
      <c r="G1070">
        <v>0</v>
      </c>
      <c r="H1070">
        <v>211.8</v>
      </c>
      <c r="I1070">
        <v>115</v>
      </c>
      <c r="J1070">
        <v>36.01</v>
      </c>
      <c r="K1070">
        <v>260.5</v>
      </c>
      <c r="L1070">
        <v>102</v>
      </c>
      <c r="M1070">
        <v>22.14</v>
      </c>
      <c r="N1070">
        <v>144.19999999999999</v>
      </c>
      <c r="O1070">
        <v>96</v>
      </c>
      <c r="P1070">
        <v>6.49</v>
      </c>
      <c r="Q1070">
        <v>10.8</v>
      </c>
      <c r="R1070">
        <v>7</v>
      </c>
      <c r="S1070">
        <v>2.92</v>
      </c>
      <c r="T1070">
        <v>0</v>
      </c>
      <c r="U1070" t="s">
        <v>22</v>
      </c>
      <c r="V1070" t="e">
        <f>IF(#REF! = "yes", 1, 0)</f>
        <v>#REF!</v>
      </c>
      <c r="W1070" t="e">
        <f>IF(#REF! &lt;= 1, "0-1 Calls", IF(#REF! &lt;= 3, "2-3 Calls", IF(#REF! &lt;=5, "4-5 Calls", "6+ Calls")))</f>
        <v>#REF!</v>
      </c>
      <c r="X1070" t="e">
        <f>IF(#REF! &lt;= 50, "0-50", IF(#REF! &lt;=100, "51-100", IF(#REF! &lt;= 150, "101-150", "151+")))</f>
        <v>#REF!</v>
      </c>
      <c r="Y1070" t="e">
        <f>IF(#REF! &lt;= 3, "Low Charges", "High Charges")</f>
        <v>#REF!</v>
      </c>
      <c r="Z1070" t="e">
        <f>IF(#REF!&lt;=80,"Low Calls",
IF(#REF!&lt;=120,"Medium Calls","High Calls"))</f>
        <v>#REF!</v>
      </c>
      <c r="AA1070" t="e">
        <f>IF(#REF!&lt;=15,"Low Charges",
IF(#REF!&lt;=20,"Medium Charges","High Charges"))</f>
        <v>#REF!</v>
      </c>
      <c r="AB1070" t="e">
        <f>IF(AND(#REF!&gt;180, #REF!&gt;200), "Heavy Doemstic User", IF(#REF!&gt;10, "Interntional User", IF(AND(#REF!&lt;180, #REF!&lt;200,#REF!&lt;200), "Light User", "Balanced User")))</f>
        <v>#REF!</v>
      </c>
      <c r="AC1070" t="e">
        <f>IF(#REF! = 0, "No Usage", IF(#REF! &lt;= 20, "Low Usage", IF(#REF! &lt;= 40, "Medium Usgae", "High Usage")))</f>
        <v>#REF!</v>
      </c>
      <c r="AD1070" t="e">
        <f>IF(#REF!&lt;=150,"Low Usage", IF(#REF!&lt;=200,"Medium Usage", IF(#REF!&lt;=250,"High Usage","Very High Usage")))</f>
        <v>#REF!</v>
      </c>
      <c r="AE1070" t="e">
        <f>IF(#REF!&lt;=5,"Low Calls", IF(#REF!&lt;=10, "Medium Calls", "High Calls"))</f>
        <v>#REF!</v>
      </c>
      <c r="AF1070" t="e">
        <f xml:space="preserve">
IF(#REF!&gt;=4,4,0)+
IF(#REF!="yes",3,0)+
IF(#REF!="High Charges",3,0)+
IF(#REF!&gt;250,4,0)+
IF(#REF!="no",1,0)+
IF(#REF!="Heavy Domestic User",2,0)</f>
        <v>#REF!</v>
      </c>
      <c r="AG1070" t="e">
        <f>IF(#REF!&gt;=10,"High Risk", IF(#REF!&gt;=5,"Medium Risk","Low Risk"))</f>
        <v>#REF!</v>
      </c>
      <c r="AH1070" t="e">
        <f>#REF! + #REF! + #REF! + #REF!</f>
        <v>#REF!</v>
      </c>
    </row>
    <row r="1071" spans="1:34" x14ac:dyDescent="0.35">
      <c r="A1071">
        <v>1070</v>
      </c>
      <c r="B1071" t="s">
        <v>35</v>
      </c>
      <c r="C1071">
        <v>74</v>
      </c>
      <c r="D1071" t="s">
        <v>21</v>
      </c>
      <c r="E1071" t="s">
        <v>22</v>
      </c>
      <c r="F1071" t="s">
        <v>22</v>
      </c>
      <c r="G1071">
        <v>0</v>
      </c>
      <c r="H1071">
        <v>162.69999999999999</v>
      </c>
      <c r="I1071">
        <v>102</v>
      </c>
      <c r="J1071">
        <v>27.66</v>
      </c>
      <c r="K1071">
        <v>292</v>
      </c>
      <c r="L1071">
        <v>105</v>
      </c>
      <c r="M1071">
        <v>24.82</v>
      </c>
      <c r="N1071">
        <v>183.3</v>
      </c>
      <c r="O1071">
        <v>80</v>
      </c>
      <c r="P1071">
        <v>8.25</v>
      </c>
      <c r="Q1071">
        <v>8.6999999999999993</v>
      </c>
      <c r="R1071">
        <v>6</v>
      </c>
      <c r="S1071">
        <v>2.35</v>
      </c>
      <c r="T1071">
        <v>0</v>
      </c>
      <c r="U1071" t="s">
        <v>22</v>
      </c>
      <c r="V1071" t="e">
        <f>IF(#REF! = "yes", 1, 0)</f>
        <v>#REF!</v>
      </c>
      <c r="W1071" t="e">
        <f>IF(#REF! &lt;= 1, "0-1 Calls", IF(#REF! &lt;= 3, "2-3 Calls", IF(#REF! &lt;=5, "4-5 Calls", "6+ Calls")))</f>
        <v>#REF!</v>
      </c>
      <c r="X1071" t="e">
        <f>IF(#REF! &lt;= 50, "0-50", IF(#REF! &lt;=100, "51-100", IF(#REF! &lt;= 150, "101-150", "151+")))</f>
        <v>#REF!</v>
      </c>
      <c r="Y1071" t="e">
        <f>IF(#REF! &lt;= 3, "Low Charges", "High Charges")</f>
        <v>#REF!</v>
      </c>
      <c r="Z1071" t="e">
        <f>IF(#REF!&lt;=80,"Low Calls",
IF(#REF!&lt;=120,"Medium Calls","High Calls"))</f>
        <v>#REF!</v>
      </c>
      <c r="AA1071" t="e">
        <f>IF(#REF!&lt;=15,"Low Charges",
IF(#REF!&lt;=20,"Medium Charges","High Charges"))</f>
        <v>#REF!</v>
      </c>
      <c r="AB1071" t="e">
        <f>IF(AND(#REF!&gt;180, #REF!&gt;200), "Heavy Doemstic User", IF(#REF!&gt;10, "Interntional User", IF(AND(#REF!&lt;180, #REF!&lt;200,#REF!&lt;200), "Light User", "Balanced User")))</f>
        <v>#REF!</v>
      </c>
      <c r="AC1071" t="e">
        <f>IF(#REF! = 0, "No Usage", IF(#REF! &lt;= 20, "Low Usage", IF(#REF! &lt;= 40, "Medium Usgae", "High Usage")))</f>
        <v>#REF!</v>
      </c>
      <c r="AD1071" t="e">
        <f>IF(#REF!&lt;=150,"Low Usage", IF(#REF!&lt;=200,"Medium Usage", IF(#REF!&lt;=250,"High Usage","Very High Usage")))</f>
        <v>#REF!</v>
      </c>
      <c r="AE1071" t="e">
        <f>IF(#REF!&lt;=5,"Low Calls", IF(#REF!&lt;=10, "Medium Calls", "High Calls"))</f>
        <v>#REF!</v>
      </c>
      <c r="AF1071" t="e">
        <f xml:space="preserve">
IF(#REF!&gt;=4,4,0)+
IF(#REF!="yes",3,0)+
IF(#REF!="High Charges",3,0)+
IF(#REF!&gt;250,4,0)+
IF(#REF!="no",1,0)+
IF(#REF!="Heavy Domestic User",2,0)</f>
        <v>#REF!</v>
      </c>
      <c r="AG1071" t="e">
        <f>IF(#REF!&gt;=10,"High Risk", IF(#REF!&gt;=5,"Medium Risk","Low Risk"))</f>
        <v>#REF!</v>
      </c>
      <c r="AH1071" t="e">
        <f>#REF! + #REF! + #REF! + #REF!</f>
        <v>#REF!</v>
      </c>
    </row>
    <row r="1072" spans="1:34" x14ac:dyDescent="0.35">
      <c r="A1072">
        <v>1071</v>
      </c>
      <c r="B1072" t="s">
        <v>75</v>
      </c>
      <c r="C1072">
        <v>81</v>
      </c>
      <c r="D1072" t="s">
        <v>25</v>
      </c>
      <c r="E1072" t="s">
        <v>23</v>
      </c>
      <c r="F1072" t="s">
        <v>23</v>
      </c>
      <c r="G1072">
        <v>37</v>
      </c>
      <c r="H1072">
        <v>237.1</v>
      </c>
      <c r="I1072">
        <v>76</v>
      </c>
      <c r="J1072">
        <v>40.31</v>
      </c>
      <c r="K1072">
        <v>264.2</v>
      </c>
      <c r="L1072">
        <v>125</v>
      </c>
      <c r="M1072">
        <v>22.46</v>
      </c>
      <c r="N1072">
        <v>271.3</v>
      </c>
      <c r="O1072">
        <v>120</v>
      </c>
      <c r="P1072">
        <v>12.21</v>
      </c>
      <c r="Q1072">
        <v>7.9</v>
      </c>
      <c r="R1072">
        <v>3</v>
      </c>
      <c r="S1072">
        <v>2.13</v>
      </c>
      <c r="T1072">
        <v>1</v>
      </c>
      <c r="U1072" t="s">
        <v>22</v>
      </c>
      <c r="V1072" t="e">
        <f>IF(#REF! = "yes", 1, 0)</f>
        <v>#REF!</v>
      </c>
      <c r="W1072" t="e">
        <f>IF(#REF! &lt;= 1, "0-1 Calls", IF(#REF! &lt;= 3, "2-3 Calls", IF(#REF! &lt;=5, "4-5 Calls", "6+ Calls")))</f>
        <v>#REF!</v>
      </c>
      <c r="X1072" t="e">
        <f>IF(#REF! &lt;= 50, "0-50", IF(#REF! &lt;=100, "51-100", IF(#REF! &lt;= 150, "101-150", "151+")))</f>
        <v>#REF!</v>
      </c>
      <c r="Y1072" t="e">
        <f>IF(#REF! &lt;= 3, "Low Charges", "High Charges")</f>
        <v>#REF!</v>
      </c>
      <c r="Z1072" t="e">
        <f>IF(#REF!&lt;=80,"Low Calls",
IF(#REF!&lt;=120,"Medium Calls","High Calls"))</f>
        <v>#REF!</v>
      </c>
      <c r="AA1072" t="e">
        <f>IF(#REF!&lt;=15,"Low Charges",
IF(#REF!&lt;=20,"Medium Charges","High Charges"))</f>
        <v>#REF!</v>
      </c>
      <c r="AB1072" t="e">
        <f>IF(AND(#REF!&gt;180, #REF!&gt;200), "Heavy Doemstic User", IF(#REF!&gt;10, "Interntional User", IF(AND(#REF!&lt;180, #REF!&lt;200,#REF!&lt;200), "Light User", "Balanced User")))</f>
        <v>#REF!</v>
      </c>
      <c r="AC1072" t="e">
        <f>IF(#REF! = 0, "No Usage", IF(#REF! &lt;= 20, "Low Usage", IF(#REF! &lt;= 40, "Medium Usgae", "High Usage")))</f>
        <v>#REF!</v>
      </c>
      <c r="AD1072" t="e">
        <f>IF(#REF!&lt;=150,"Low Usage", IF(#REF!&lt;=200,"Medium Usage", IF(#REF!&lt;=250,"High Usage","Very High Usage")))</f>
        <v>#REF!</v>
      </c>
      <c r="AE1072" t="e">
        <f>IF(#REF!&lt;=5,"Low Calls", IF(#REF!&lt;=10, "Medium Calls", "High Calls"))</f>
        <v>#REF!</v>
      </c>
      <c r="AF1072" t="e">
        <f xml:space="preserve">
IF(#REF!&gt;=4,4,0)+
IF(#REF!="yes",3,0)+
IF(#REF!="High Charges",3,0)+
IF(#REF!&gt;250,4,0)+
IF(#REF!="no",1,0)+
IF(#REF!="Heavy Domestic User",2,0)</f>
        <v>#REF!</v>
      </c>
      <c r="AG1072" t="e">
        <f>IF(#REF!&gt;=10,"High Risk", IF(#REF!&gt;=5,"Medium Risk","Low Risk"))</f>
        <v>#REF!</v>
      </c>
      <c r="AH1072" t="e">
        <f>#REF! + #REF! + #REF! + #REF!</f>
        <v>#REF!</v>
      </c>
    </row>
    <row r="1073" spans="1:34" x14ac:dyDescent="0.35">
      <c r="A1073">
        <v>1072</v>
      </c>
      <c r="B1073" t="s">
        <v>53</v>
      </c>
      <c r="C1073">
        <v>81</v>
      </c>
      <c r="D1073" t="s">
        <v>25</v>
      </c>
      <c r="E1073" t="s">
        <v>22</v>
      </c>
      <c r="F1073" t="s">
        <v>22</v>
      </c>
      <c r="G1073">
        <v>0</v>
      </c>
      <c r="H1073">
        <v>166.2</v>
      </c>
      <c r="I1073">
        <v>102</v>
      </c>
      <c r="J1073">
        <v>28.25</v>
      </c>
      <c r="K1073">
        <v>217.6</v>
      </c>
      <c r="L1073">
        <v>112</v>
      </c>
      <c r="M1073">
        <v>18.5</v>
      </c>
      <c r="N1073">
        <v>220.2</v>
      </c>
      <c r="O1073">
        <v>68</v>
      </c>
      <c r="P1073">
        <v>9.91</v>
      </c>
      <c r="Q1073">
        <v>13.2</v>
      </c>
      <c r="R1073">
        <v>2</v>
      </c>
      <c r="S1073">
        <v>3.56</v>
      </c>
      <c r="T1073">
        <v>4</v>
      </c>
      <c r="U1073" t="s">
        <v>22</v>
      </c>
      <c r="V1073" t="e">
        <f>IF(#REF! = "yes", 1, 0)</f>
        <v>#REF!</v>
      </c>
      <c r="W1073" t="e">
        <f>IF(#REF! &lt;= 1, "0-1 Calls", IF(#REF! &lt;= 3, "2-3 Calls", IF(#REF! &lt;=5, "4-5 Calls", "6+ Calls")))</f>
        <v>#REF!</v>
      </c>
      <c r="X1073" t="e">
        <f>IF(#REF! &lt;= 50, "0-50", IF(#REF! &lt;=100, "51-100", IF(#REF! &lt;= 150, "101-150", "151+")))</f>
        <v>#REF!</v>
      </c>
      <c r="Y1073" t="e">
        <f>IF(#REF! &lt;= 3, "Low Charges", "High Charges")</f>
        <v>#REF!</v>
      </c>
      <c r="Z1073" t="e">
        <f>IF(#REF!&lt;=80,"Low Calls",
IF(#REF!&lt;=120,"Medium Calls","High Calls"))</f>
        <v>#REF!</v>
      </c>
      <c r="AA1073" t="e">
        <f>IF(#REF!&lt;=15,"Low Charges",
IF(#REF!&lt;=20,"Medium Charges","High Charges"))</f>
        <v>#REF!</v>
      </c>
      <c r="AB1073" t="e">
        <f>IF(AND(#REF!&gt;180, #REF!&gt;200), "Heavy Doemstic User", IF(#REF!&gt;10, "Interntional User", IF(AND(#REF!&lt;180, #REF!&lt;200,#REF!&lt;200), "Light User", "Balanced User")))</f>
        <v>#REF!</v>
      </c>
      <c r="AC1073" t="e">
        <f>IF(#REF! = 0, "No Usage", IF(#REF! &lt;= 20, "Low Usage", IF(#REF! &lt;= 40, "Medium Usgae", "High Usage")))</f>
        <v>#REF!</v>
      </c>
      <c r="AD1073" t="e">
        <f>IF(#REF!&lt;=150,"Low Usage", IF(#REF!&lt;=200,"Medium Usage", IF(#REF!&lt;=250,"High Usage","Very High Usage")))</f>
        <v>#REF!</v>
      </c>
      <c r="AE1073" t="e">
        <f>IF(#REF!&lt;=5,"Low Calls", IF(#REF!&lt;=10, "Medium Calls", "High Calls"))</f>
        <v>#REF!</v>
      </c>
      <c r="AF1073" t="e">
        <f xml:space="preserve">
IF(#REF!&gt;=4,4,0)+
IF(#REF!="yes",3,0)+
IF(#REF!="High Charges",3,0)+
IF(#REF!&gt;250,4,0)+
IF(#REF!="no",1,0)+
IF(#REF!="Heavy Domestic User",2,0)</f>
        <v>#REF!</v>
      </c>
      <c r="AG1073" t="e">
        <f>IF(#REF!&gt;=10,"High Risk", IF(#REF!&gt;=5,"Medium Risk","Low Risk"))</f>
        <v>#REF!</v>
      </c>
      <c r="AH1073" t="e">
        <f>#REF! + #REF! + #REF! + #REF!</f>
        <v>#REF!</v>
      </c>
    </row>
    <row r="1074" spans="1:34" x14ac:dyDescent="0.35">
      <c r="A1074">
        <v>1073</v>
      </c>
      <c r="B1074" t="s">
        <v>35</v>
      </c>
      <c r="C1074">
        <v>28</v>
      </c>
      <c r="D1074" t="s">
        <v>21</v>
      </c>
      <c r="E1074" t="s">
        <v>22</v>
      </c>
      <c r="F1074" t="s">
        <v>22</v>
      </c>
      <c r="G1074">
        <v>0</v>
      </c>
      <c r="H1074">
        <v>121.7</v>
      </c>
      <c r="I1074">
        <v>48</v>
      </c>
      <c r="J1074">
        <v>20.69</v>
      </c>
      <c r="K1074">
        <v>125.8</v>
      </c>
      <c r="L1074">
        <v>112</v>
      </c>
      <c r="M1074">
        <v>10.69</v>
      </c>
      <c r="N1074">
        <v>261.60000000000002</v>
      </c>
      <c r="O1074">
        <v>122</v>
      </c>
      <c r="P1074">
        <v>11.77</v>
      </c>
      <c r="Q1074">
        <v>8.3000000000000007</v>
      </c>
      <c r="R1074">
        <v>2</v>
      </c>
      <c r="S1074">
        <v>2.2400000000000002</v>
      </c>
      <c r="T1074">
        <v>6</v>
      </c>
      <c r="U1074" t="s">
        <v>23</v>
      </c>
      <c r="V1074" t="e">
        <f>IF(#REF! = "yes", 1, 0)</f>
        <v>#REF!</v>
      </c>
      <c r="W1074" t="e">
        <f>IF(#REF! &lt;= 1, "0-1 Calls", IF(#REF! &lt;= 3, "2-3 Calls", IF(#REF! &lt;=5, "4-5 Calls", "6+ Calls")))</f>
        <v>#REF!</v>
      </c>
      <c r="X1074" t="e">
        <f>IF(#REF! &lt;= 50, "0-50", IF(#REF! &lt;=100, "51-100", IF(#REF! &lt;= 150, "101-150", "151+")))</f>
        <v>#REF!</v>
      </c>
      <c r="Y1074" t="e">
        <f>IF(#REF! &lt;= 3, "Low Charges", "High Charges")</f>
        <v>#REF!</v>
      </c>
      <c r="Z1074" t="e">
        <f>IF(#REF!&lt;=80,"Low Calls",
IF(#REF!&lt;=120,"Medium Calls","High Calls"))</f>
        <v>#REF!</v>
      </c>
      <c r="AA1074" t="e">
        <f>IF(#REF!&lt;=15,"Low Charges",
IF(#REF!&lt;=20,"Medium Charges","High Charges"))</f>
        <v>#REF!</v>
      </c>
      <c r="AB1074" t="e">
        <f>IF(AND(#REF!&gt;180, #REF!&gt;200), "Heavy Doemstic User", IF(#REF!&gt;10, "Interntional User", IF(AND(#REF!&lt;180, #REF!&lt;200,#REF!&lt;200), "Light User", "Balanced User")))</f>
        <v>#REF!</v>
      </c>
      <c r="AC1074" t="e">
        <f>IF(#REF! = 0, "No Usage", IF(#REF! &lt;= 20, "Low Usage", IF(#REF! &lt;= 40, "Medium Usgae", "High Usage")))</f>
        <v>#REF!</v>
      </c>
      <c r="AD1074" t="e">
        <f>IF(#REF!&lt;=150,"Low Usage", IF(#REF!&lt;=200,"Medium Usage", IF(#REF!&lt;=250,"High Usage","Very High Usage")))</f>
        <v>#REF!</v>
      </c>
      <c r="AE1074" t="e">
        <f>IF(#REF!&lt;=5,"Low Calls", IF(#REF!&lt;=10, "Medium Calls", "High Calls"))</f>
        <v>#REF!</v>
      </c>
      <c r="AF1074" t="e">
        <f xml:space="preserve">
IF(#REF!&gt;=4,4,0)+
IF(#REF!="yes",3,0)+
IF(#REF!="High Charges",3,0)+
IF(#REF!&gt;250,4,0)+
IF(#REF!="no",1,0)+
IF(#REF!="Heavy Domestic User",2,0)</f>
        <v>#REF!</v>
      </c>
      <c r="AG1074" t="e">
        <f>IF(#REF!&gt;=10,"High Risk", IF(#REF!&gt;=5,"Medium Risk","Low Risk"))</f>
        <v>#REF!</v>
      </c>
      <c r="AH1074" t="e">
        <f>#REF! + #REF! + #REF! + #REF!</f>
        <v>#REF!</v>
      </c>
    </row>
    <row r="1075" spans="1:34" x14ac:dyDescent="0.35">
      <c r="A1075">
        <v>1074</v>
      </c>
      <c r="B1075" t="s">
        <v>68</v>
      </c>
      <c r="C1075">
        <v>111</v>
      </c>
      <c r="D1075" t="s">
        <v>28</v>
      </c>
      <c r="E1075" t="s">
        <v>22</v>
      </c>
      <c r="F1075" t="s">
        <v>22</v>
      </c>
      <c r="G1075">
        <v>0</v>
      </c>
      <c r="H1075">
        <v>176.4</v>
      </c>
      <c r="I1075">
        <v>62</v>
      </c>
      <c r="J1075">
        <v>29.99</v>
      </c>
      <c r="K1075">
        <v>201</v>
      </c>
      <c r="L1075">
        <v>124</v>
      </c>
      <c r="M1075">
        <v>17.09</v>
      </c>
      <c r="N1075">
        <v>150.4</v>
      </c>
      <c r="O1075">
        <v>138</v>
      </c>
      <c r="P1075">
        <v>6.77</v>
      </c>
      <c r="Q1075">
        <v>11.2</v>
      </c>
      <c r="R1075">
        <v>2</v>
      </c>
      <c r="S1075">
        <v>3.02</v>
      </c>
      <c r="T1075">
        <v>0</v>
      </c>
      <c r="U1075" t="s">
        <v>22</v>
      </c>
      <c r="V1075" t="e">
        <f>IF(#REF! = "yes", 1, 0)</f>
        <v>#REF!</v>
      </c>
      <c r="W1075" t="e">
        <f>IF(#REF! &lt;= 1, "0-1 Calls", IF(#REF! &lt;= 3, "2-3 Calls", IF(#REF! &lt;=5, "4-5 Calls", "6+ Calls")))</f>
        <v>#REF!</v>
      </c>
      <c r="X1075" t="e">
        <f>IF(#REF! &lt;= 50, "0-50", IF(#REF! &lt;=100, "51-100", IF(#REF! &lt;= 150, "101-150", "151+")))</f>
        <v>#REF!</v>
      </c>
      <c r="Y1075" t="e">
        <f>IF(#REF! &lt;= 3, "Low Charges", "High Charges")</f>
        <v>#REF!</v>
      </c>
      <c r="Z1075" t="e">
        <f>IF(#REF!&lt;=80,"Low Calls",
IF(#REF!&lt;=120,"Medium Calls","High Calls"))</f>
        <v>#REF!</v>
      </c>
      <c r="AA1075" t="e">
        <f>IF(#REF!&lt;=15,"Low Charges",
IF(#REF!&lt;=20,"Medium Charges","High Charges"))</f>
        <v>#REF!</v>
      </c>
      <c r="AB1075" t="e">
        <f>IF(AND(#REF!&gt;180, #REF!&gt;200), "Heavy Doemstic User", IF(#REF!&gt;10, "Interntional User", IF(AND(#REF!&lt;180, #REF!&lt;200,#REF!&lt;200), "Light User", "Balanced User")))</f>
        <v>#REF!</v>
      </c>
      <c r="AC1075" t="e">
        <f>IF(#REF! = 0, "No Usage", IF(#REF! &lt;= 20, "Low Usage", IF(#REF! &lt;= 40, "Medium Usgae", "High Usage")))</f>
        <v>#REF!</v>
      </c>
      <c r="AD1075" t="e">
        <f>IF(#REF!&lt;=150,"Low Usage", IF(#REF!&lt;=200,"Medium Usage", IF(#REF!&lt;=250,"High Usage","Very High Usage")))</f>
        <v>#REF!</v>
      </c>
      <c r="AE1075" t="e">
        <f>IF(#REF!&lt;=5,"Low Calls", IF(#REF!&lt;=10, "Medium Calls", "High Calls"))</f>
        <v>#REF!</v>
      </c>
      <c r="AF1075" t="e">
        <f xml:space="preserve">
IF(#REF!&gt;=4,4,0)+
IF(#REF!="yes",3,0)+
IF(#REF!="High Charges",3,0)+
IF(#REF!&gt;250,4,0)+
IF(#REF!="no",1,0)+
IF(#REF!="Heavy Domestic User",2,0)</f>
        <v>#REF!</v>
      </c>
      <c r="AG1075" t="e">
        <f>IF(#REF!&gt;=10,"High Risk", IF(#REF!&gt;=5,"Medium Risk","Low Risk"))</f>
        <v>#REF!</v>
      </c>
      <c r="AH1075" t="e">
        <f>#REF! + #REF! + #REF! + #REF!</f>
        <v>#REF!</v>
      </c>
    </row>
    <row r="1076" spans="1:34" x14ac:dyDescent="0.35">
      <c r="A1076">
        <v>1075</v>
      </c>
      <c r="B1076" t="s">
        <v>62</v>
      </c>
      <c r="C1076">
        <v>3</v>
      </c>
      <c r="D1076" t="s">
        <v>28</v>
      </c>
      <c r="E1076" t="s">
        <v>22</v>
      </c>
      <c r="F1076" t="s">
        <v>23</v>
      </c>
      <c r="G1076">
        <v>27</v>
      </c>
      <c r="H1076">
        <v>67.400000000000006</v>
      </c>
      <c r="I1076">
        <v>116</v>
      </c>
      <c r="J1076">
        <v>11.46</v>
      </c>
      <c r="K1076">
        <v>244</v>
      </c>
      <c r="L1076">
        <v>78</v>
      </c>
      <c r="M1076">
        <v>20.74</v>
      </c>
      <c r="N1076">
        <v>281.10000000000002</v>
      </c>
      <c r="O1076">
        <v>93</v>
      </c>
      <c r="P1076">
        <v>12.65</v>
      </c>
      <c r="Q1076">
        <v>11.4</v>
      </c>
      <c r="R1076">
        <v>2</v>
      </c>
      <c r="S1076">
        <v>3.08</v>
      </c>
      <c r="T1076">
        <v>2</v>
      </c>
      <c r="U1076" t="s">
        <v>22</v>
      </c>
      <c r="V1076" t="e">
        <f>IF(#REF! = "yes", 1, 0)</f>
        <v>#REF!</v>
      </c>
      <c r="W1076" t="e">
        <f>IF(#REF! &lt;= 1, "0-1 Calls", IF(#REF! &lt;= 3, "2-3 Calls", IF(#REF! &lt;=5, "4-5 Calls", "6+ Calls")))</f>
        <v>#REF!</v>
      </c>
      <c r="X1076" t="e">
        <f>IF(#REF! &lt;= 50, "0-50", IF(#REF! &lt;=100, "51-100", IF(#REF! &lt;= 150, "101-150", "151+")))</f>
        <v>#REF!</v>
      </c>
      <c r="Y1076" t="e">
        <f>IF(#REF! &lt;= 3, "Low Charges", "High Charges")</f>
        <v>#REF!</v>
      </c>
      <c r="Z1076" t="e">
        <f>IF(#REF!&lt;=80,"Low Calls",
IF(#REF!&lt;=120,"Medium Calls","High Calls"))</f>
        <v>#REF!</v>
      </c>
      <c r="AA1076" t="e">
        <f>IF(#REF!&lt;=15,"Low Charges",
IF(#REF!&lt;=20,"Medium Charges","High Charges"))</f>
        <v>#REF!</v>
      </c>
      <c r="AB1076" t="e">
        <f>IF(AND(#REF!&gt;180, #REF!&gt;200), "Heavy Doemstic User", IF(#REF!&gt;10, "Interntional User", IF(AND(#REF!&lt;180, #REF!&lt;200,#REF!&lt;200), "Light User", "Balanced User")))</f>
        <v>#REF!</v>
      </c>
      <c r="AC1076" t="e">
        <f>IF(#REF! = 0, "No Usage", IF(#REF! &lt;= 20, "Low Usage", IF(#REF! &lt;= 40, "Medium Usgae", "High Usage")))</f>
        <v>#REF!</v>
      </c>
      <c r="AD1076" t="e">
        <f>IF(#REF!&lt;=150,"Low Usage", IF(#REF!&lt;=200,"Medium Usage", IF(#REF!&lt;=250,"High Usage","Very High Usage")))</f>
        <v>#REF!</v>
      </c>
      <c r="AE1076" t="e">
        <f>IF(#REF!&lt;=5,"Low Calls", IF(#REF!&lt;=10, "Medium Calls", "High Calls"))</f>
        <v>#REF!</v>
      </c>
      <c r="AF1076" t="e">
        <f xml:space="preserve">
IF(#REF!&gt;=4,4,0)+
IF(#REF!="yes",3,0)+
IF(#REF!="High Charges",3,0)+
IF(#REF!&gt;250,4,0)+
IF(#REF!="no",1,0)+
IF(#REF!="Heavy Domestic User",2,0)</f>
        <v>#REF!</v>
      </c>
      <c r="AG1076" t="e">
        <f>IF(#REF!&gt;=10,"High Risk", IF(#REF!&gt;=5,"Medium Risk","Low Risk"))</f>
        <v>#REF!</v>
      </c>
      <c r="AH1076" t="e">
        <f>#REF! + #REF! + #REF! + #REF!</f>
        <v>#REF!</v>
      </c>
    </row>
    <row r="1077" spans="1:34" x14ac:dyDescent="0.35">
      <c r="A1077">
        <v>1076</v>
      </c>
      <c r="B1077" t="s">
        <v>53</v>
      </c>
      <c r="C1077">
        <v>51</v>
      </c>
      <c r="D1077" t="s">
        <v>21</v>
      </c>
      <c r="E1077" t="s">
        <v>22</v>
      </c>
      <c r="F1077" t="s">
        <v>22</v>
      </c>
      <c r="G1077">
        <v>0</v>
      </c>
      <c r="H1077">
        <v>229.7</v>
      </c>
      <c r="I1077">
        <v>129</v>
      </c>
      <c r="J1077">
        <v>39.049999999999997</v>
      </c>
      <c r="K1077">
        <v>336</v>
      </c>
      <c r="L1077">
        <v>104</v>
      </c>
      <c r="M1077">
        <v>28.56</v>
      </c>
      <c r="N1077">
        <v>192.8</v>
      </c>
      <c r="O1077">
        <v>128</v>
      </c>
      <c r="P1077">
        <v>8.68</v>
      </c>
      <c r="Q1077">
        <v>9.6</v>
      </c>
      <c r="R1077">
        <v>1</v>
      </c>
      <c r="S1077">
        <v>2.59</v>
      </c>
      <c r="T1077">
        <v>1</v>
      </c>
      <c r="U1077" t="s">
        <v>23</v>
      </c>
      <c r="V1077" t="e">
        <f>IF(#REF! = "yes", 1, 0)</f>
        <v>#REF!</v>
      </c>
      <c r="W1077" t="e">
        <f>IF(#REF! &lt;= 1, "0-1 Calls", IF(#REF! &lt;= 3, "2-3 Calls", IF(#REF! &lt;=5, "4-5 Calls", "6+ Calls")))</f>
        <v>#REF!</v>
      </c>
      <c r="X1077" t="e">
        <f>IF(#REF! &lt;= 50, "0-50", IF(#REF! &lt;=100, "51-100", IF(#REF! &lt;= 150, "101-150", "151+")))</f>
        <v>#REF!</v>
      </c>
      <c r="Y1077" t="e">
        <f>IF(#REF! &lt;= 3, "Low Charges", "High Charges")</f>
        <v>#REF!</v>
      </c>
      <c r="Z1077" t="e">
        <f>IF(#REF!&lt;=80,"Low Calls",
IF(#REF!&lt;=120,"Medium Calls","High Calls"))</f>
        <v>#REF!</v>
      </c>
      <c r="AA1077" t="e">
        <f>IF(#REF!&lt;=15,"Low Charges",
IF(#REF!&lt;=20,"Medium Charges","High Charges"))</f>
        <v>#REF!</v>
      </c>
      <c r="AB1077" t="e">
        <f>IF(AND(#REF!&gt;180, #REF!&gt;200), "Heavy Doemstic User", IF(#REF!&gt;10, "Interntional User", IF(AND(#REF!&lt;180, #REF!&lt;200,#REF!&lt;200), "Light User", "Balanced User")))</f>
        <v>#REF!</v>
      </c>
      <c r="AC1077" t="e">
        <f>IF(#REF! = 0, "No Usage", IF(#REF! &lt;= 20, "Low Usage", IF(#REF! &lt;= 40, "Medium Usgae", "High Usage")))</f>
        <v>#REF!</v>
      </c>
      <c r="AD1077" t="e">
        <f>IF(#REF!&lt;=150,"Low Usage", IF(#REF!&lt;=200,"Medium Usage", IF(#REF!&lt;=250,"High Usage","Very High Usage")))</f>
        <v>#REF!</v>
      </c>
      <c r="AE1077" t="e">
        <f>IF(#REF!&lt;=5,"Low Calls", IF(#REF!&lt;=10, "Medium Calls", "High Calls"))</f>
        <v>#REF!</v>
      </c>
      <c r="AF1077" t="e">
        <f xml:space="preserve">
IF(#REF!&gt;=4,4,0)+
IF(#REF!="yes",3,0)+
IF(#REF!="High Charges",3,0)+
IF(#REF!&gt;250,4,0)+
IF(#REF!="no",1,0)+
IF(#REF!="Heavy Domestic User",2,0)</f>
        <v>#REF!</v>
      </c>
      <c r="AG1077" t="e">
        <f>IF(#REF!&gt;=10,"High Risk", IF(#REF!&gt;=5,"Medium Risk","Low Risk"))</f>
        <v>#REF!</v>
      </c>
      <c r="AH1077" t="e">
        <f>#REF! + #REF! + #REF! + #REF!</f>
        <v>#REF!</v>
      </c>
    </row>
    <row r="1078" spans="1:34" x14ac:dyDescent="0.35">
      <c r="A1078">
        <v>1077</v>
      </c>
      <c r="B1078" t="s">
        <v>40</v>
      </c>
      <c r="C1078">
        <v>68</v>
      </c>
      <c r="D1078" t="s">
        <v>21</v>
      </c>
      <c r="E1078" t="s">
        <v>22</v>
      </c>
      <c r="F1078" t="s">
        <v>23</v>
      </c>
      <c r="G1078">
        <v>24</v>
      </c>
      <c r="H1078">
        <v>176</v>
      </c>
      <c r="I1078">
        <v>118</v>
      </c>
      <c r="J1078">
        <v>29.92</v>
      </c>
      <c r="K1078">
        <v>277.89999999999998</v>
      </c>
      <c r="L1078">
        <v>116</v>
      </c>
      <c r="M1078">
        <v>23.62</v>
      </c>
      <c r="N1078">
        <v>174.7</v>
      </c>
      <c r="O1078">
        <v>71</v>
      </c>
      <c r="P1078">
        <v>7.86</v>
      </c>
      <c r="Q1078">
        <v>14.7</v>
      </c>
      <c r="R1078">
        <v>7</v>
      </c>
      <c r="S1078">
        <v>3.97</v>
      </c>
      <c r="T1078">
        <v>1</v>
      </c>
      <c r="U1078" t="s">
        <v>22</v>
      </c>
      <c r="V1078" t="e">
        <f>IF(#REF! = "yes", 1, 0)</f>
        <v>#REF!</v>
      </c>
      <c r="W1078" t="e">
        <f>IF(#REF! &lt;= 1, "0-1 Calls", IF(#REF! &lt;= 3, "2-3 Calls", IF(#REF! &lt;=5, "4-5 Calls", "6+ Calls")))</f>
        <v>#REF!</v>
      </c>
      <c r="X1078" t="e">
        <f>IF(#REF! &lt;= 50, "0-50", IF(#REF! &lt;=100, "51-100", IF(#REF! &lt;= 150, "101-150", "151+")))</f>
        <v>#REF!</v>
      </c>
      <c r="Y1078" t="e">
        <f>IF(#REF! &lt;= 3, "Low Charges", "High Charges")</f>
        <v>#REF!</v>
      </c>
      <c r="Z1078" t="e">
        <f>IF(#REF!&lt;=80,"Low Calls",
IF(#REF!&lt;=120,"Medium Calls","High Calls"))</f>
        <v>#REF!</v>
      </c>
      <c r="AA1078" t="e">
        <f>IF(#REF!&lt;=15,"Low Charges",
IF(#REF!&lt;=20,"Medium Charges","High Charges"))</f>
        <v>#REF!</v>
      </c>
      <c r="AB1078" t="e">
        <f>IF(AND(#REF!&gt;180, #REF!&gt;200), "Heavy Doemstic User", IF(#REF!&gt;10, "Interntional User", IF(AND(#REF!&lt;180, #REF!&lt;200,#REF!&lt;200), "Light User", "Balanced User")))</f>
        <v>#REF!</v>
      </c>
      <c r="AC1078" t="e">
        <f>IF(#REF! = 0, "No Usage", IF(#REF! &lt;= 20, "Low Usage", IF(#REF! &lt;= 40, "Medium Usgae", "High Usage")))</f>
        <v>#REF!</v>
      </c>
      <c r="AD1078" t="e">
        <f>IF(#REF!&lt;=150,"Low Usage", IF(#REF!&lt;=200,"Medium Usage", IF(#REF!&lt;=250,"High Usage","Very High Usage")))</f>
        <v>#REF!</v>
      </c>
      <c r="AE1078" t="e">
        <f>IF(#REF!&lt;=5,"Low Calls", IF(#REF!&lt;=10, "Medium Calls", "High Calls"))</f>
        <v>#REF!</v>
      </c>
      <c r="AF1078" t="e">
        <f xml:space="preserve">
IF(#REF!&gt;=4,4,0)+
IF(#REF!="yes",3,0)+
IF(#REF!="High Charges",3,0)+
IF(#REF!&gt;250,4,0)+
IF(#REF!="no",1,0)+
IF(#REF!="Heavy Domestic User",2,0)</f>
        <v>#REF!</v>
      </c>
      <c r="AG1078" t="e">
        <f>IF(#REF!&gt;=10,"High Risk", IF(#REF!&gt;=5,"Medium Risk","Low Risk"))</f>
        <v>#REF!</v>
      </c>
      <c r="AH1078" t="e">
        <f>#REF! + #REF! + #REF! + #REF!</f>
        <v>#REF!</v>
      </c>
    </row>
    <row r="1079" spans="1:34" x14ac:dyDescent="0.35">
      <c r="A1079">
        <v>1078</v>
      </c>
      <c r="B1079" t="s">
        <v>36</v>
      </c>
      <c r="C1079">
        <v>163</v>
      </c>
      <c r="D1079" t="s">
        <v>25</v>
      </c>
      <c r="E1079" t="s">
        <v>22</v>
      </c>
      <c r="F1079" t="s">
        <v>22</v>
      </c>
      <c r="G1079">
        <v>0</v>
      </c>
      <c r="H1079">
        <v>247.7</v>
      </c>
      <c r="I1079">
        <v>77</v>
      </c>
      <c r="J1079">
        <v>42.11</v>
      </c>
      <c r="K1079">
        <v>269.5</v>
      </c>
      <c r="L1079">
        <v>108</v>
      </c>
      <c r="M1079">
        <v>22.91</v>
      </c>
      <c r="N1079">
        <v>167.3</v>
      </c>
      <c r="O1079">
        <v>82</v>
      </c>
      <c r="P1079">
        <v>7.53</v>
      </c>
      <c r="Q1079">
        <v>9.6</v>
      </c>
      <c r="R1079">
        <v>7</v>
      </c>
      <c r="S1079">
        <v>2.59</v>
      </c>
      <c r="T1079">
        <v>0</v>
      </c>
      <c r="U1079" t="s">
        <v>23</v>
      </c>
      <c r="V1079" t="e">
        <f>IF(#REF! = "yes", 1, 0)</f>
        <v>#REF!</v>
      </c>
      <c r="W1079" t="e">
        <f>IF(#REF! &lt;= 1, "0-1 Calls", IF(#REF! &lt;= 3, "2-3 Calls", IF(#REF! &lt;=5, "4-5 Calls", "6+ Calls")))</f>
        <v>#REF!</v>
      </c>
      <c r="X1079" t="e">
        <f>IF(#REF! &lt;= 50, "0-50", IF(#REF! &lt;=100, "51-100", IF(#REF! &lt;= 150, "101-150", "151+")))</f>
        <v>#REF!</v>
      </c>
      <c r="Y1079" t="e">
        <f>IF(#REF! &lt;= 3, "Low Charges", "High Charges")</f>
        <v>#REF!</v>
      </c>
      <c r="Z1079" t="e">
        <f>IF(#REF!&lt;=80,"Low Calls",
IF(#REF!&lt;=120,"Medium Calls","High Calls"))</f>
        <v>#REF!</v>
      </c>
      <c r="AA1079" t="e">
        <f>IF(#REF!&lt;=15,"Low Charges",
IF(#REF!&lt;=20,"Medium Charges","High Charges"))</f>
        <v>#REF!</v>
      </c>
      <c r="AB1079" t="e">
        <f>IF(AND(#REF!&gt;180, #REF!&gt;200), "Heavy Doemstic User", IF(#REF!&gt;10, "Interntional User", IF(AND(#REF!&lt;180, #REF!&lt;200,#REF!&lt;200), "Light User", "Balanced User")))</f>
        <v>#REF!</v>
      </c>
      <c r="AC1079" t="e">
        <f>IF(#REF! = 0, "No Usage", IF(#REF! &lt;= 20, "Low Usage", IF(#REF! &lt;= 40, "Medium Usgae", "High Usage")))</f>
        <v>#REF!</v>
      </c>
      <c r="AD1079" t="e">
        <f>IF(#REF!&lt;=150,"Low Usage", IF(#REF!&lt;=200,"Medium Usage", IF(#REF!&lt;=250,"High Usage","Very High Usage")))</f>
        <v>#REF!</v>
      </c>
      <c r="AE1079" t="e">
        <f>IF(#REF!&lt;=5,"Low Calls", IF(#REF!&lt;=10, "Medium Calls", "High Calls"))</f>
        <v>#REF!</v>
      </c>
      <c r="AF1079" t="e">
        <f xml:space="preserve">
IF(#REF!&gt;=4,4,0)+
IF(#REF!="yes",3,0)+
IF(#REF!="High Charges",3,0)+
IF(#REF!&gt;250,4,0)+
IF(#REF!="no",1,0)+
IF(#REF!="Heavy Domestic User",2,0)</f>
        <v>#REF!</v>
      </c>
      <c r="AG1079" t="e">
        <f>IF(#REF!&gt;=10,"High Risk", IF(#REF!&gt;=5,"Medium Risk","Low Risk"))</f>
        <v>#REF!</v>
      </c>
      <c r="AH1079" t="e">
        <f>#REF! + #REF! + #REF! + #REF!</f>
        <v>#REF!</v>
      </c>
    </row>
    <row r="1080" spans="1:34" x14ac:dyDescent="0.35">
      <c r="A1080">
        <v>1079</v>
      </c>
      <c r="B1080" t="s">
        <v>70</v>
      </c>
      <c r="C1080">
        <v>87</v>
      </c>
      <c r="D1080" t="s">
        <v>28</v>
      </c>
      <c r="E1080" t="s">
        <v>22</v>
      </c>
      <c r="F1080" t="s">
        <v>22</v>
      </c>
      <c r="G1080">
        <v>0</v>
      </c>
      <c r="H1080">
        <v>115.4</v>
      </c>
      <c r="I1080">
        <v>90</v>
      </c>
      <c r="J1080">
        <v>19.62</v>
      </c>
      <c r="K1080">
        <v>262.60000000000002</v>
      </c>
      <c r="L1080">
        <v>68</v>
      </c>
      <c r="M1080">
        <v>22.32</v>
      </c>
      <c r="N1080">
        <v>245.7</v>
      </c>
      <c r="O1080">
        <v>69</v>
      </c>
      <c r="P1080">
        <v>11.06</v>
      </c>
      <c r="Q1080">
        <v>13.1</v>
      </c>
      <c r="R1080">
        <v>5</v>
      </c>
      <c r="S1080">
        <v>3.54</v>
      </c>
      <c r="T1080">
        <v>2</v>
      </c>
      <c r="U1080" t="s">
        <v>22</v>
      </c>
      <c r="V1080" t="e">
        <f>IF(#REF! = "yes", 1, 0)</f>
        <v>#REF!</v>
      </c>
      <c r="W1080" t="e">
        <f>IF(#REF! &lt;= 1, "0-1 Calls", IF(#REF! &lt;= 3, "2-3 Calls", IF(#REF! &lt;=5, "4-5 Calls", "6+ Calls")))</f>
        <v>#REF!</v>
      </c>
      <c r="X1080" t="e">
        <f>IF(#REF! &lt;= 50, "0-50", IF(#REF! &lt;=100, "51-100", IF(#REF! &lt;= 150, "101-150", "151+")))</f>
        <v>#REF!</v>
      </c>
      <c r="Y1080" t="e">
        <f>IF(#REF! &lt;= 3, "Low Charges", "High Charges")</f>
        <v>#REF!</v>
      </c>
      <c r="Z1080" t="e">
        <f>IF(#REF!&lt;=80,"Low Calls",
IF(#REF!&lt;=120,"Medium Calls","High Calls"))</f>
        <v>#REF!</v>
      </c>
      <c r="AA1080" t="e">
        <f>IF(#REF!&lt;=15,"Low Charges",
IF(#REF!&lt;=20,"Medium Charges","High Charges"))</f>
        <v>#REF!</v>
      </c>
      <c r="AB1080" t="e">
        <f>IF(AND(#REF!&gt;180, #REF!&gt;200), "Heavy Doemstic User", IF(#REF!&gt;10, "Interntional User", IF(AND(#REF!&lt;180, #REF!&lt;200,#REF!&lt;200), "Light User", "Balanced User")))</f>
        <v>#REF!</v>
      </c>
      <c r="AC1080" t="e">
        <f>IF(#REF! = 0, "No Usage", IF(#REF! &lt;= 20, "Low Usage", IF(#REF! &lt;= 40, "Medium Usgae", "High Usage")))</f>
        <v>#REF!</v>
      </c>
      <c r="AD1080" t="e">
        <f>IF(#REF!&lt;=150,"Low Usage", IF(#REF!&lt;=200,"Medium Usage", IF(#REF!&lt;=250,"High Usage","Very High Usage")))</f>
        <v>#REF!</v>
      </c>
      <c r="AE1080" t="e">
        <f>IF(#REF!&lt;=5,"Low Calls", IF(#REF!&lt;=10, "Medium Calls", "High Calls"))</f>
        <v>#REF!</v>
      </c>
      <c r="AF1080" t="e">
        <f xml:space="preserve">
IF(#REF!&gt;=4,4,0)+
IF(#REF!="yes",3,0)+
IF(#REF!="High Charges",3,0)+
IF(#REF!&gt;250,4,0)+
IF(#REF!="no",1,0)+
IF(#REF!="Heavy Domestic User",2,0)</f>
        <v>#REF!</v>
      </c>
      <c r="AG1080" t="e">
        <f>IF(#REF!&gt;=10,"High Risk", IF(#REF!&gt;=5,"Medium Risk","Low Risk"))</f>
        <v>#REF!</v>
      </c>
      <c r="AH1080" t="e">
        <f>#REF! + #REF! + #REF! + #REF!</f>
        <v>#REF!</v>
      </c>
    </row>
    <row r="1081" spans="1:34" x14ac:dyDescent="0.35">
      <c r="A1081">
        <v>1080</v>
      </c>
      <c r="B1081" t="s">
        <v>58</v>
      </c>
      <c r="C1081">
        <v>58</v>
      </c>
      <c r="D1081" t="s">
        <v>28</v>
      </c>
      <c r="E1081" t="s">
        <v>22</v>
      </c>
      <c r="F1081" t="s">
        <v>22</v>
      </c>
      <c r="G1081">
        <v>0</v>
      </c>
      <c r="H1081">
        <v>112.2</v>
      </c>
      <c r="I1081">
        <v>95</v>
      </c>
      <c r="J1081">
        <v>19.07</v>
      </c>
      <c r="K1081">
        <v>209.6</v>
      </c>
      <c r="L1081">
        <v>108</v>
      </c>
      <c r="M1081">
        <v>17.82</v>
      </c>
      <c r="N1081">
        <v>260.89999999999998</v>
      </c>
      <c r="O1081">
        <v>78</v>
      </c>
      <c r="P1081">
        <v>11.74</v>
      </c>
      <c r="Q1081">
        <v>13.9</v>
      </c>
      <c r="R1081">
        <v>1</v>
      </c>
      <c r="S1081">
        <v>3.75</v>
      </c>
      <c r="T1081">
        <v>0</v>
      </c>
      <c r="U1081" t="s">
        <v>23</v>
      </c>
      <c r="V1081" t="e">
        <f>IF(#REF! = "yes", 1, 0)</f>
        <v>#REF!</v>
      </c>
      <c r="W1081" t="e">
        <f>IF(#REF! &lt;= 1, "0-1 Calls", IF(#REF! &lt;= 3, "2-3 Calls", IF(#REF! &lt;=5, "4-5 Calls", "6+ Calls")))</f>
        <v>#REF!</v>
      </c>
      <c r="X1081" t="e">
        <f>IF(#REF! &lt;= 50, "0-50", IF(#REF! &lt;=100, "51-100", IF(#REF! &lt;= 150, "101-150", "151+")))</f>
        <v>#REF!</v>
      </c>
      <c r="Y1081" t="e">
        <f>IF(#REF! &lt;= 3, "Low Charges", "High Charges")</f>
        <v>#REF!</v>
      </c>
      <c r="Z1081" t="e">
        <f>IF(#REF!&lt;=80,"Low Calls",
IF(#REF!&lt;=120,"Medium Calls","High Calls"))</f>
        <v>#REF!</v>
      </c>
      <c r="AA1081" t="e">
        <f>IF(#REF!&lt;=15,"Low Charges",
IF(#REF!&lt;=20,"Medium Charges","High Charges"))</f>
        <v>#REF!</v>
      </c>
      <c r="AB1081" t="e">
        <f>IF(AND(#REF!&gt;180, #REF!&gt;200), "Heavy Doemstic User", IF(#REF!&gt;10, "Interntional User", IF(AND(#REF!&lt;180, #REF!&lt;200,#REF!&lt;200), "Light User", "Balanced User")))</f>
        <v>#REF!</v>
      </c>
      <c r="AC1081" t="e">
        <f>IF(#REF! = 0, "No Usage", IF(#REF! &lt;= 20, "Low Usage", IF(#REF! &lt;= 40, "Medium Usgae", "High Usage")))</f>
        <v>#REF!</v>
      </c>
      <c r="AD1081" t="e">
        <f>IF(#REF!&lt;=150,"Low Usage", IF(#REF!&lt;=200,"Medium Usage", IF(#REF!&lt;=250,"High Usage","Very High Usage")))</f>
        <v>#REF!</v>
      </c>
      <c r="AE1081" t="e">
        <f>IF(#REF!&lt;=5,"Low Calls", IF(#REF!&lt;=10, "Medium Calls", "High Calls"))</f>
        <v>#REF!</v>
      </c>
      <c r="AF1081" t="e">
        <f xml:space="preserve">
IF(#REF!&gt;=4,4,0)+
IF(#REF!="yes",3,0)+
IF(#REF!="High Charges",3,0)+
IF(#REF!&gt;250,4,0)+
IF(#REF!="no",1,0)+
IF(#REF!="Heavy Domestic User",2,0)</f>
        <v>#REF!</v>
      </c>
      <c r="AG1081" t="e">
        <f>IF(#REF!&gt;=10,"High Risk", IF(#REF!&gt;=5,"Medium Risk","Low Risk"))</f>
        <v>#REF!</v>
      </c>
      <c r="AH1081" t="e">
        <f>#REF! + #REF! + #REF! + #REF!</f>
        <v>#REF!</v>
      </c>
    </row>
    <row r="1082" spans="1:34" x14ac:dyDescent="0.35">
      <c r="A1082">
        <v>1081</v>
      </c>
      <c r="B1082" t="s">
        <v>60</v>
      </c>
      <c r="C1082">
        <v>109</v>
      </c>
      <c r="D1082" t="s">
        <v>25</v>
      </c>
      <c r="E1082" t="s">
        <v>22</v>
      </c>
      <c r="F1082" t="s">
        <v>22</v>
      </c>
      <c r="G1082">
        <v>0</v>
      </c>
      <c r="H1082">
        <v>162.6</v>
      </c>
      <c r="I1082">
        <v>138</v>
      </c>
      <c r="J1082">
        <v>27.64</v>
      </c>
      <c r="K1082">
        <v>154</v>
      </c>
      <c r="L1082">
        <v>109</v>
      </c>
      <c r="M1082">
        <v>13.09</v>
      </c>
      <c r="N1082">
        <v>209.7</v>
      </c>
      <c r="O1082">
        <v>118</v>
      </c>
      <c r="P1082">
        <v>9.44</v>
      </c>
      <c r="Q1082">
        <v>11.5</v>
      </c>
      <c r="R1082">
        <v>4</v>
      </c>
      <c r="S1082">
        <v>3.11</v>
      </c>
      <c r="T1082">
        <v>0</v>
      </c>
      <c r="U1082" t="s">
        <v>22</v>
      </c>
      <c r="V1082" t="e">
        <f>IF(#REF! = "yes", 1, 0)</f>
        <v>#REF!</v>
      </c>
      <c r="W1082" t="e">
        <f>IF(#REF! &lt;= 1, "0-1 Calls", IF(#REF! &lt;= 3, "2-3 Calls", IF(#REF! &lt;=5, "4-5 Calls", "6+ Calls")))</f>
        <v>#REF!</v>
      </c>
      <c r="X1082" t="e">
        <f>IF(#REF! &lt;= 50, "0-50", IF(#REF! &lt;=100, "51-100", IF(#REF! &lt;= 150, "101-150", "151+")))</f>
        <v>#REF!</v>
      </c>
      <c r="Y1082" t="e">
        <f>IF(#REF! &lt;= 3, "Low Charges", "High Charges")</f>
        <v>#REF!</v>
      </c>
      <c r="Z1082" t="e">
        <f>IF(#REF!&lt;=80,"Low Calls",
IF(#REF!&lt;=120,"Medium Calls","High Calls"))</f>
        <v>#REF!</v>
      </c>
      <c r="AA1082" t="e">
        <f>IF(#REF!&lt;=15,"Low Charges",
IF(#REF!&lt;=20,"Medium Charges","High Charges"))</f>
        <v>#REF!</v>
      </c>
      <c r="AB1082" t="e">
        <f>IF(AND(#REF!&gt;180, #REF!&gt;200), "Heavy Doemstic User", IF(#REF!&gt;10, "Interntional User", IF(AND(#REF!&lt;180, #REF!&lt;200,#REF!&lt;200), "Light User", "Balanced User")))</f>
        <v>#REF!</v>
      </c>
      <c r="AC1082" t="e">
        <f>IF(#REF! = 0, "No Usage", IF(#REF! &lt;= 20, "Low Usage", IF(#REF! &lt;= 40, "Medium Usgae", "High Usage")))</f>
        <v>#REF!</v>
      </c>
      <c r="AD1082" t="e">
        <f>IF(#REF!&lt;=150,"Low Usage", IF(#REF!&lt;=200,"Medium Usage", IF(#REF!&lt;=250,"High Usage","Very High Usage")))</f>
        <v>#REF!</v>
      </c>
      <c r="AE1082" t="e">
        <f>IF(#REF!&lt;=5,"Low Calls", IF(#REF!&lt;=10, "Medium Calls", "High Calls"))</f>
        <v>#REF!</v>
      </c>
      <c r="AF1082" t="e">
        <f xml:space="preserve">
IF(#REF!&gt;=4,4,0)+
IF(#REF!="yes",3,0)+
IF(#REF!="High Charges",3,0)+
IF(#REF!&gt;250,4,0)+
IF(#REF!="no",1,0)+
IF(#REF!="Heavy Domestic User",2,0)</f>
        <v>#REF!</v>
      </c>
      <c r="AG1082" t="e">
        <f>IF(#REF!&gt;=10,"High Risk", IF(#REF!&gt;=5,"Medium Risk","Low Risk"))</f>
        <v>#REF!</v>
      </c>
      <c r="AH1082" t="e">
        <f>#REF! + #REF! + #REF! + #REF!</f>
        <v>#REF!</v>
      </c>
    </row>
    <row r="1083" spans="1:34" x14ac:dyDescent="0.35">
      <c r="A1083">
        <v>1082</v>
      </c>
      <c r="B1083" t="s">
        <v>33</v>
      </c>
      <c r="C1083">
        <v>111</v>
      </c>
      <c r="D1083" t="s">
        <v>21</v>
      </c>
      <c r="E1083" t="s">
        <v>22</v>
      </c>
      <c r="F1083" t="s">
        <v>22</v>
      </c>
      <c r="G1083">
        <v>0</v>
      </c>
      <c r="H1083">
        <v>229.4</v>
      </c>
      <c r="I1083">
        <v>107</v>
      </c>
      <c r="J1083">
        <v>39</v>
      </c>
      <c r="K1083">
        <v>214.1</v>
      </c>
      <c r="L1083">
        <v>99</v>
      </c>
      <c r="M1083">
        <v>18.2</v>
      </c>
      <c r="N1083">
        <v>289.60000000000002</v>
      </c>
      <c r="O1083">
        <v>95</v>
      </c>
      <c r="P1083">
        <v>13.03</v>
      </c>
      <c r="Q1083">
        <v>10.4</v>
      </c>
      <c r="R1083">
        <v>6</v>
      </c>
      <c r="S1083">
        <v>2.81</v>
      </c>
      <c r="T1083">
        <v>4</v>
      </c>
      <c r="U1083" t="s">
        <v>22</v>
      </c>
      <c r="V1083" t="e">
        <f>IF(#REF! = "yes", 1, 0)</f>
        <v>#REF!</v>
      </c>
      <c r="W1083" t="e">
        <f>IF(#REF! &lt;= 1, "0-1 Calls", IF(#REF! &lt;= 3, "2-3 Calls", IF(#REF! &lt;=5, "4-5 Calls", "6+ Calls")))</f>
        <v>#REF!</v>
      </c>
      <c r="X1083" t="e">
        <f>IF(#REF! &lt;= 50, "0-50", IF(#REF! &lt;=100, "51-100", IF(#REF! &lt;= 150, "101-150", "151+")))</f>
        <v>#REF!</v>
      </c>
      <c r="Y1083" t="e">
        <f>IF(#REF! &lt;= 3, "Low Charges", "High Charges")</f>
        <v>#REF!</v>
      </c>
      <c r="Z1083" t="e">
        <f>IF(#REF!&lt;=80,"Low Calls",
IF(#REF!&lt;=120,"Medium Calls","High Calls"))</f>
        <v>#REF!</v>
      </c>
      <c r="AA1083" t="e">
        <f>IF(#REF!&lt;=15,"Low Charges",
IF(#REF!&lt;=20,"Medium Charges","High Charges"))</f>
        <v>#REF!</v>
      </c>
      <c r="AB1083" t="e">
        <f>IF(AND(#REF!&gt;180, #REF!&gt;200), "Heavy Doemstic User", IF(#REF!&gt;10, "Interntional User", IF(AND(#REF!&lt;180, #REF!&lt;200,#REF!&lt;200), "Light User", "Balanced User")))</f>
        <v>#REF!</v>
      </c>
      <c r="AC1083" t="e">
        <f>IF(#REF! = 0, "No Usage", IF(#REF! &lt;= 20, "Low Usage", IF(#REF! &lt;= 40, "Medium Usgae", "High Usage")))</f>
        <v>#REF!</v>
      </c>
      <c r="AD1083" t="e">
        <f>IF(#REF!&lt;=150,"Low Usage", IF(#REF!&lt;=200,"Medium Usage", IF(#REF!&lt;=250,"High Usage","Very High Usage")))</f>
        <v>#REF!</v>
      </c>
      <c r="AE1083" t="e">
        <f>IF(#REF!&lt;=5,"Low Calls", IF(#REF!&lt;=10, "Medium Calls", "High Calls"))</f>
        <v>#REF!</v>
      </c>
      <c r="AF1083" t="e">
        <f xml:space="preserve">
IF(#REF!&gt;=4,4,0)+
IF(#REF!="yes",3,0)+
IF(#REF!="High Charges",3,0)+
IF(#REF!&gt;250,4,0)+
IF(#REF!="no",1,0)+
IF(#REF!="Heavy Domestic User",2,0)</f>
        <v>#REF!</v>
      </c>
      <c r="AG1083" t="e">
        <f>IF(#REF!&gt;=10,"High Risk", IF(#REF!&gt;=5,"Medium Risk","Low Risk"))</f>
        <v>#REF!</v>
      </c>
      <c r="AH1083" t="e">
        <f>#REF! + #REF! + #REF! + #REF!</f>
        <v>#REF!</v>
      </c>
    </row>
    <row r="1084" spans="1:34" x14ac:dyDescent="0.35">
      <c r="A1084">
        <v>1083</v>
      </c>
      <c r="B1084" t="s">
        <v>55</v>
      </c>
      <c r="C1084">
        <v>144</v>
      </c>
      <c r="D1084" t="s">
        <v>21</v>
      </c>
      <c r="E1084" t="s">
        <v>22</v>
      </c>
      <c r="F1084" t="s">
        <v>22</v>
      </c>
      <c r="G1084">
        <v>0</v>
      </c>
      <c r="H1084">
        <v>139.6</v>
      </c>
      <c r="I1084">
        <v>96</v>
      </c>
      <c r="J1084">
        <v>23.73</v>
      </c>
      <c r="K1084">
        <v>124.2</v>
      </c>
      <c r="L1084">
        <v>93</v>
      </c>
      <c r="M1084">
        <v>10.56</v>
      </c>
      <c r="N1084">
        <v>95.6</v>
      </c>
      <c r="O1084">
        <v>75</v>
      </c>
      <c r="P1084">
        <v>4.3</v>
      </c>
      <c r="Q1084">
        <v>15</v>
      </c>
      <c r="R1084">
        <v>4</v>
      </c>
      <c r="S1084">
        <v>4.05</v>
      </c>
      <c r="T1084">
        <v>2</v>
      </c>
      <c r="U1084" t="s">
        <v>22</v>
      </c>
      <c r="V1084" t="e">
        <f>IF(#REF! = "yes", 1, 0)</f>
        <v>#REF!</v>
      </c>
      <c r="W1084" t="e">
        <f>IF(#REF! &lt;= 1, "0-1 Calls", IF(#REF! &lt;= 3, "2-3 Calls", IF(#REF! &lt;=5, "4-5 Calls", "6+ Calls")))</f>
        <v>#REF!</v>
      </c>
      <c r="X1084" t="e">
        <f>IF(#REF! &lt;= 50, "0-50", IF(#REF! &lt;=100, "51-100", IF(#REF! &lt;= 150, "101-150", "151+")))</f>
        <v>#REF!</v>
      </c>
      <c r="Y1084" t="e">
        <f>IF(#REF! &lt;= 3, "Low Charges", "High Charges")</f>
        <v>#REF!</v>
      </c>
      <c r="Z1084" t="e">
        <f>IF(#REF!&lt;=80,"Low Calls",
IF(#REF!&lt;=120,"Medium Calls","High Calls"))</f>
        <v>#REF!</v>
      </c>
      <c r="AA1084" t="e">
        <f>IF(#REF!&lt;=15,"Low Charges",
IF(#REF!&lt;=20,"Medium Charges","High Charges"))</f>
        <v>#REF!</v>
      </c>
      <c r="AB1084" t="e">
        <f>IF(AND(#REF!&gt;180, #REF!&gt;200), "Heavy Doemstic User", IF(#REF!&gt;10, "Interntional User", IF(AND(#REF!&lt;180, #REF!&lt;200,#REF!&lt;200), "Light User", "Balanced User")))</f>
        <v>#REF!</v>
      </c>
      <c r="AC1084" t="e">
        <f>IF(#REF! = 0, "No Usage", IF(#REF! &lt;= 20, "Low Usage", IF(#REF! &lt;= 40, "Medium Usgae", "High Usage")))</f>
        <v>#REF!</v>
      </c>
      <c r="AD1084" t="e">
        <f>IF(#REF!&lt;=150,"Low Usage", IF(#REF!&lt;=200,"Medium Usage", IF(#REF!&lt;=250,"High Usage","Very High Usage")))</f>
        <v>#REF!</v>
      </c>
      <c r="AE1084" t="e">
        <f>IF(#REF!&lt;=5,"Low Calls", IF(#REF!&lt;=10, "Medium Calls", "High Calls"))</f>
        <v>#REF!</v>
      </c>
      <c r="AF1084" t="e">
        <f xml:space="preserve">
IF(#REF!&gt;=4,4,0)+
IF(#REF!="yes",3,0)+
IF(#REF!="High Charges",3,0)+
IF(#REF!&gt;250,4,0)+
IF(#REF!="no",1,0)+
IF(#REF!="Heavy Domestic User",2,0)</f>
        <v>#REF!</v>
      </c>
      <c r="AG1084" t="e">
        <f>IF(#REF!&gt;=10,"High Risk", IF(#REF!&gt;=5,"Medium Risk","Low Risk"))</f>
        <v>#REF!</v>
      </c>
      <c r="AH1084" t="e">
        <f>#REF! + #REF! + #REF! + #REF!</f>
        <v>#REF!</v>
      </c>
    </row>
    <row r="1085" spans="1:34" x14ac:dyDescent="0.35">
      <c r="A1085">
        <v>1084</v>
      </c>
      <c r="B1085" t="s">
        <v>52</v>
      </c>
      <c r="C1085">
        <v>135</v>
      </c>
      <c r="D1085" t="s">
        <v>21</v>
      </c>
      <c r="E1085" t="s">
        <v>22</v>
      </c>
      <c r="F1085" t="s">
        <v>22</v>
      </c>
      <c r="G1085">
        <v>0</v>
      </c>
      <c r="H1085">
        <v>263.8</v>
      </c>
      <c r="I1085">
        <v>66</v>
      </c>
      <c r="J1085">
        <v>44.85</v>
      </c>
      <c r="K1085">
        <v>251.3</v>
      </c>
      <c r="L1085">
        <v>116</v>
      </c>
      <c r="M1085">
        <v>21.36</v>
      </c>
      <c r="N1085">
        <v>200.1</v>
      </c>
      <c r="O1085">
        <v>112</v>
      </c>
      <c r="P1085">
        <v>9</v>
      </c>
      <c r="Q1085">
        <v>8.4</v>
      </c>
      <c r="R1085">
        <v>2</v>
      </c>
      <c r="S1085">
        <v>2.27</v>
      </c>
      <c r="T1085">
        <v>5</v>
      </c>
      <c r="U1085" t="s">
        <v>23</v>
      </c>
      <c r="V1085" t="e">
        <f>IF(#REF! = "yes", 1, 0)</f>
        <v>#REF!</v>
      </c>
      <c r="W1085" t="e">
        <f>IF(#REF! &lt;= 1, "0-1 Calls", IF(#REF! &lt;= 3, "2-3 Calls", IF(#REF! &lt;=5, "4-5 Calls", "6+ Calls")))</f>
        <v>#REF!</v>
      </c>
      <c r="X1085" t="e">
        <f>IF(#REF! &lt;= 50, "0-50", IF(#REF! &lt;=100, "51-100", IF(#REF! &lt;= 150, "101-150", "151+")))</f>
        <v>#REF!</v>
      </c>
      <c r="Y1085" t="e">
        <f>IF(#REF! &lt;= 3, "Low Charges", "High Charges")</f>
        <v>#REF!</v>
      </c>
      <c r="Z1085" t="e">
        <f>IF(#REF!&lt;=80,"Low Calls",
IF(#REF!&lt;=120,"Medium Calls","High Calls"))</f>
        <v>#REF!</v>
      </c>
      <c r="AA1085" t="e">
        <f>IF(#REF!&lt;=15,"Low Charges",
IF(#REF!&lt;=20,"Medium Charges","High Charges"))</f>
        <v>#REF!</v>
      </c>
      <c r="AB1085" t="e">
        <f>IF(AND(#REF!&gt;180, #REF!&gt;200), "Heavy Doemstic User", IF(#REF!&gt;10, "Interntional User", IF(AND(#REF!&lt;180, #REF!&lt;200,#REF!&lt;200), "Light User", "Balanced User")))</f>
        <v>#REF!</v>
      </c>
      <c r="AC1085" t="e">
        <f>IF(#REF! = 0, "No Usage", IF(#REF! &lt;= 20, "Low Usage", IF(#REF! &lt;= 40, "Medium Usgae", "High Usage")))</f>
        <v>#REF!</v>
      </c>
      <c r="AD1085" t="e">
        <f>IF(#REF!&lt;=150,"Low Usage", IF(#REF!&lt;=200,"Medium Usage", IF(#REF!&lt;=250,"High Usage","Very High Usage")))</f>
        <v>#REF!</v>
      </c>
      <c r="AE1085" t="e">
        <f>IF(#REF!&lt;=5,"Low Calls", IF(#REF!&lt;=10, "Medium Calls", "High Calls"))</f>
        <v>#REF!</v>
      </c>
      <c r="AF1085" t="e">
        <f xml:space="preserve">
IF(#REF!&gt;=4,4,0)+
IF(#REF!="yes",3,0)+
IF(#REF!="High Charges",3,0)+
IF(#REF!&gt;250,4,0)+
IF(#REF!="no",1,0)+
IF(#REF!="Heavy Domestic User",2,0)</f>
        <v>#REF!</v>
      </c>
      <c r="AG1085" t="e">
        <f>IF(#REF!&gt;=10,"High Risk", IF(#REF!&gt;=5,"Medium Risk","Low Risk"))</f>
        <v>#REF!</v>
      </c>
      <c r="AH1085" t="e">
        <f>#REF! + #REF! + #REF! + #REF!</f>
        <v>#REF!</v>
      </c>
    </row>
    <row r="1086" spans="1:34" x14ac:dyDescent="0.35">
      <c r="A1086">
        <v>1085</v>
      </c>
      <c r="B1086" t="s">
        <v>72</v>
      </c>
      <c r="C1086">
        <v>107</v>
      </c>
      <c r="D1086" t="s">
        <v>21</v>
      </c>
      <c r="E1086" t="s">
        <v>22</v>
      </c>
      <c r="F1086" t="s">
        <v>23</v>
      </c>
      <c r="G1086">
        <v>14</v>
      </c>
      <c r="H1086">
        <v>114.3</v>
      </c>
      <c r="I1086">
        <v>132</v>
      </c>
      <c r="J1086">
        <v>19.43</v>
      </c>
      <c r="K1086">
        <v>199.8</v>
      </c>
      <c r="L1086">
        <v>91</v>
      </c>
      <c r="M1086">
        <v>16.98</v>
      </c>
      <c r="N1086">
        <v>194.7</v>
      </c>
      <c r="O1086">
        <v>74</v>
      </c>
      <c r="P1086">
        <v>8.76</v>
      </c>
      <c r="Q1086">
        <v>7.5</v>
      </c>
      <c r="R1086">
        <v>8</v>
      </c>
      <c r="S1086">
        <v>2.0299999999999998</v>
      </c>
      <c r="T1086">
        <v>1</v>
      </c>
      <c r="U1086" t="s">
        <v>22</v>
      </c>
      <c r="V1086" t="e">
        <f>IF(#REF! = "yes", 1, 0)</f>
        <v>#REF!</v>
      </c>
      <c r="W1086" t="e">
        <f>IF(#REF! &lt;= 1, "0-1 Calls", IF(#REF! &lt;= 3, "2-3 Calls", IF(#REF! &lt;=5, "4-5 Calls", "6+ Calls")))</f>
        <v>#REF!</v>
      </c>
      <c r="X1086" t="e">
        <f>IF(#REF! &lt;= 50, "0-50", IF(#REF! &lt;=100, "51-100", IF(#REF! &lt;= 150, "101-150", "151+")))</f>
        <v>#REF!</v>
      </c>
      <c r="Y1086" t="e">
        <f>IF(#REF! &lt;= 3, "Low Charges", "High Charges")</f>
        <v>#REF!</v>
      </c>
      <c r="Z1086" t="e">
        <f>IF(#REF!&lt;=80,"Low Calls",
IF(#REF!&lt;=120,"Medium Calls","High Calls"))</f>
        <v>#REF!</v>
      </c>
      <c r="AA1086" t="e">
        <f>IF(#REF!&lt;=15,"Low Charges",
IF(#REF!&lt;=20,"Medium Charges","High Charges"))</f>
        <v>#REF!</v>
      </c>
      <c r="AB1086" t="e">
        <f>IF(AND(#REF!&gt;180, #REF!&gt;200), "Heavy Doemstic User", IF(#REF!&gt;10, "Interntional User", IF(AND(#REF!&lt;180, #REF!&lt;200,#REF!&lt;200), "Light User", "Balanced User")))</f>
        <v>#REF!</v>
      </c>
      <c r="AC1086" t="e">
        <f>IF(#REF! = 0, "No Usage", IF(#REF! &lt;= 20, "Low Usage", IF(#REF! &lt;= 40, "Medium Usgae", "High Usage")))</f>
        <v>#REF!</v>
      </c>
      <c r="AD1086" t="e">
        <f>IF(#REF!&lt;=150,"Low Usage", IF(#REF!&lt;=200,"Medium Usage", IF(#REF!&lt;=250,"High Usage","Very High Usage")))</f>
        <v>#REF!</v>
      </c>
      <c r="AE1086" t="e">
        <f>IF(#REF!&lt;=5,"Low Calls", IF(#REF!&lt;=10, "Medium Calls", "High Calls"))</f>
        <v>#REF!</v>
      </c>
      <c r="AF1086" t="e">
        <f xml:space="preserve">
IF(#REF!&gt;=4,4,0)+
IF(#REF!="yes",3,0)+
IF(#REF!="High Charges",3,0)+
IF(#REF!&gt;250,4,0)+
IF(#REF!="no",1,0)+
IF(#REF!="Heavy Domestic User",2,0)</f>
        <v>#REF!</v>
      </c>
      <c r="AG1086" t="e">
        <f>IF(#REF!&gt;=10,"High Risk", IF(#REF!&gt;=5,"Medium Risk","Low Risk"))</f>
        <v>#REF!</v>
      </c>
      <c r="AH1086" t="e">
        <f>#REF! + #REF! + #REF! + #REF!</f>
        <v>#REF!</v>
      </c>
    </row>
    <row r="1087" spans="1:34" x14ac:dyDescent="0.35">
      <c r="A1087">
        <v>1086</v>
      </c>
      <c r="B1087" t="s">
        <v>20</v>
      </c>
      <c r="C1087">
        <v>149</v>
      </c>
      <c r="D1087" t="s">
        <v>25</v>
      </c>
      <c r="E1087" t="s">
        <v>22</v>
      </c>
      <c r="F1087" t="s">
        <v>22</v>
      </c>
      <c r="G1087">
        <v>0</v>
      </c>
      <c r="H1087">
        <v>196.3</v>
      </c>
      <c r="I1087">
        <v>108</v>
      </c>
      <c r="J1087">
        <v>33.369999999999997</v>
      </c>
      <c r="K1087">
        <v>136.80000000000001</v>
      </c>
      <c r="L1087">
        <v>96</v>
      </c>
      <c r="M1087">
        <v>11.63</v>
      </c>
      <c r="N1087">
        <v>154.69999999999999</v>
      </c>
      <c r="O1087">
        <v>87</v>
      </c>
      <c r="P1087">
        <v>6.96</v>
      </c>
      <c r="Q1087">
        <v>7.7</v>
      </c>
      <c r="R1087">
        <v>3</v>
      </c>
      <c r="S1087">
        <v>2.08</v>
      </c>
      <c r="T1087">
        <v>2</v>
      </c>
      <c r="U1087" t="s">
        <v>22</v>
      </c>
      <c r="V1087" t="e">
        <f>IF(#REF! = "yes", 1, 0)</f>
        <v>#REF!</v>
      </c>
      <c r="W1087" t="e">
        <f>IF(#REF! &lt;= 1, "0-1 Calls", IF(#REF! &lt;= 3, "2-3 Calls", IF(#REF! &lt;=5, "4-5 Calls", "6+ Calls")))</f>
        <v>#REF!</v>
      </c>
      <c r="X1087" t="e">
        <f>IF(#REF! &lt;= 50, "0-50", IF(#REF! &lt;=100, "51-100", IF(#REF! &lt;= 150, "101-150", "151+")))</f>
        <v>#REF!</v>
      </c>
      <c r="Y1087" t="e">
        <f>IF(#REF! &lt;= 3, "Low Charges", "High Charges")</f>
        <v>#REF!</v>
      </c>
      <c r="Z1087" t="e">
        <f>IF(#REF!&lt;=80,"Low Calls",
IF(#REF!&lt;=120,"Medium Calls","High Calls"))</f>
        <v>#REF!</v>
      </c>
      <c r="AA1087" t="e">
        <f>IF(#REF!&lt;=15,"Low Charges",
IF(#REF!&lt;=20,"Medium Charges","High Charges"))</f>
        <v>#REF!</v>
      </c>
      <c r="AB1087" t="e">
        <f>IF(AND(#REF!&gt;180, #REF!&gt;200), "Heavy Doemstic User", IF(#REF!&gt;10, "Interntional User", IF(AND(#REF!&lt;180, #REF!&lt;200,#REF!&lt;200), "Light User", "Balanced User")))</f>
        <v>#REF!</v>
      </c>
      <c r="AC1087" t="e">
        <f>IF(#REF! = 0, "No Usage", IF(#REF! &lt;= 20, "Low Usage", IF(#REF! &lt;= 40, "Medium Usgae", "High Usage")))</f>
        <v>#REF!</v>
      </c>
      <c r="AD1087" t="e">
        <f>IF(#REF!&lt;=150,"Low Usage", IF(#REF!&lt;=200,"Medium Usage", IF(#REF!&lt;=250,"High Usage","Very High Usage")))</f>
        <v>#REF!</v>
      </c>
      <c r="AE1087" t="e">
        <f>IF(#REF!&lt;=5,"Low Calls", IF(#REF!&lt;=10, "Medium Calls", "High Calls"))</f>
        <v>#REF!</v>
      </c>
      <c r="AF1087" t="e">
        <f xml:space="preserve">
IF(#REF!&gt;=4,4,0)+
IF(#REF!="yes",3,0)+
IF(#REF!="High Charges",3,0)+
IF(#REF!&gt;250,4,0)+
IF(#REF!="no",1,0)+
IF(#REF!="Heavy Domestic User",2,0)</f>
        <v>#REF!</v>
      </c>
      <c r="AG1087" t="e">
        <f>IF(#REF!&gt;=10,"High Risk", IF(#REF!&gt;=5,"Medium Risk","Low Risk"))</f>
        <v>#REF!</v>
      </c>
      <c r="AH1087" t="e">
        <f>#REF! + #REF! + #REF! + #REF!</f>
        <v>#REF!</v>
      </c>
    </row>
    <row r="1088" spans="1:34" x14ac:dyDescent="0.35">
      <c r="A1088">
        <v>1087</v>
      </c>
      <c r="B1088" t="s">
        <v>27</v>
      </c>
      <c r="C1088">
        <v>56</v>
      </c>
      <c r="D1088" t="s">
        <v>28</v>
      </c>
      <c r="E1088" t="s">
        <v>22</v>
      </c>
      <c r="F1088" t="s">
        <v>22</v>
      </c>
      <c r="G1088">
        <v>0</v>
      </c>
      <c r="H1088">
        <v>253.2</v>
      </c>
      <c r="I1088">
        <v>95</v>
      </c>
      <c r="J1088">
        <v>43.04</v>
      </c>
      <c r="K1088">
        <v>188</v>
      </c>
      <c r="L1088">
        <v>116</v>
      </c>
      <c r="M1088">
        <v>15.98</v>
      </c>
      <c r="N1088">
        <v>142</v>
      </c>
      <c r="O1088">
        <v>133</v>
      </c>
      <c r="P1088">
        <v>6.39</v>
      </c>
      <c r="Q1088">
        <v>4.4000000000000004</v>
      </c>
      <c r="R1088">
        <v>4</v>
      </c>
      <c r="S1088">
        <v>1.19</v>
      </c>
      <c r="T1088">
        <v>1</v>
      </c>
      <c r="U1088" t="s">
        <v>22</v>
      </c>
      <c r="V1088" t="e">
        <f>IF(#REF! = "yes", 1, 0)</f>
        <v>#REF!</v>
      </c>
      <c r="W1088" t="e">
        <f>IF(#REF! &lt;= 1, "0-1 Calls", IF(#REF! &lt;= 3, "2-3 Calls", IF(#REF! &lt;=5, "4-5 Calls", "6+ Calls")))</f>
        <v>#REF!</v>
      </c>
      <c r="X1088" t="e">
        <f>IF(#REF! &lt;= 50, "0-50", IF(#REF! &lt;=100, "51-100", IF(#REF! &lt;= 150, "101-150", "151+")))</f>
        <v>#REF!</v>
      </c>
      <c r="Y1088" t="e">
        <f>IF(#REF! &lt;= 3, "Low Charges", "High Charges")</f>
        <v>#REF!</v>
      </c>
      <c r="Z1088" t="e">
        <f>IF(#REF!&lt;=80,"Low Calls",
IF(#REF!&lt;=120,"Medium Calls","High Calls"))</f>
        <v>#REF!</v>
      </c>
      <c r="AA1088" t="e">
        <f>IF(#REF!&lt;=15,"Low Charges",
IF(#REF!&lt;=20,"Medium Charges","High Charges"))</f>
        <v>#REF!</v>
      </c>
      <c r="AB1088" t="e">
        <f>IF(AND(#REF!&gt;180, #REF!&gt;200), "Heavy Doemstic User", IF(#REF!&gt;10, "Interntional User", IF(AND(#REF!&lt;180, #REF!&lt;200,#REF!&lt;200), "Light User", "Balanced User")))</f>
        <v>#REF!</v>
      </c>
      <c r="AC1088" t="e">
        <f>IF(#REF! = 0, "No Usage", IF(#REF! &lt;= 20, "Low Usage", IF(#REF! &lt;= 40, "Medium Usgae", "High Usage")))</f>
        <v>#REF!</v>
      </c>
      <c r="AD1088" t="e">
        <f>IF(#REF!&lt;=150,"Low Usage", IF(#REF!&lt;=200,"Medium Usage", IF(#REF!&lt;=250,"High Usage","Very High Usage")))</f>
        <v>#REF!</v>
      </c>
      <c r="AE1088" t="e">
        <f>IF(#REF!&lt;=5,"Low Calls", IF(#REF!&lt;=10, "Medium Calls", "High Calls"))</f>
        <v>#REF!</v>
      </c>
      <c r="AF1088" t="e">
        <f xml:space="preserve">
IF(#REF!&gt;=4,4,0)+
IF(#REF!="yes",3,0)+
IF(#REF!="High Charges",3,0)+
IF(#REF!&gt;250,4,0)+
IF(#REF!="no",1,0)+
IF(#REF!="Heavy Domestic User",2,0)</f>
        <v>#REF!</v>
      </c>
      <c r="AG1088" t="e">
        <f>IF(#REF!&gt;=10,"High Risk", IF(#REF!&gt;=5,"Medium Risk","Low Risk"))</f>
        <v>#REF!</v>
      </c>
      <c r="AH1088" t="e">
        <f>#REF! + #REF! + #REF! + #REF!</f>
        <v>#REF!</v>
      </c>
    </row>
    <row r="1089" spans="1:34" x14ac:dyDescent="0.35">
      <c r="A1089">
        <v>1088</v>
      </c>
      <c r="B1089" t="s">
        <v>52</v>
      </c>
      <c r="C1089">
        <v>129</v>
      </c>
      <c r="D1089" t="s">
        <v>25</v>
      </c>
      <c r="E1089" t="s">
        <v>22</v>
      </c>
      <c r="F1089" t="s">
        <v>22</v>
      </c>
      <c r="G1089">
        <v>0</v>
      </c>
      <c r="H1089">
        <v>98</v>
      </c>
      <c r="I1089">
        <v>99</v>
      </c>
      <c r="J1089">
        <v>16.66</v>
      </c>
      <c r="K1089">
        <v>240.7</v>
      </c>
      <c r="L1089">
        <v>62</v>
      </c>
      <c r="M1089">
        <v>20.46</v>
      </c>
      <c r="N1089">
        <v>254.8</v>
      </c>
      <c r="O1089">
        <v>123</v>
      </c>
      <c r="P1089">
        <v>11.47</v>
      </c>
      <c r="Q1089">
        <v>10.5</v>
      </c>
      <c r="R1089">
        <v>4</v>
      </c>
      <c r="S1089">
        <v>2.84</v>
      </c>
      <c r="T1089">
        <v>0</v>
      </c>
      <c r="U1089" t="s">
        <v>22</v>
      </c>
      <c r="V1089" t="e">
        <f>IF(#REF! = "yes", 1, 0)</f>
        <v>#REF!</v>
      </c>
      <c r="W1089" t="e">
        <f>IF(#REF! &lt;= 1, "0-1 Calls", IF(#REF! &lt;= 3, "2-3 Calls", IF(#REF! &lt;=5, "4-5 Calls", "6+ Calls")))</f>
        <v>#REF!</v>
      </c>
      <c r="X1089" t="e">
        <f>IF(#REF! &lt;= 50, "0-50", IF(#REF! &lt;=100, "51-100", IF(#REF! &lt;= 150, "101-150", "151+")))</f>
        <v>#REF!</v>
      </c>
      <c r="Y1089" t="e">
        <f>IF(#REF! &lt;= 3, "Low Charges", "High Charges")</f>
        <v>#REF!</v>
      </c>
      <c r="Z1089" t="e">
        <f>IF(#REF!&lt;=80,"Low Calls",
IF(#REF!&lt;=120,"Medium Calls","High Calls"))</f>
        <v>#REF!</v>
      </c>
      <c r="AA1089" t="e">
        <f>IF(#REF!&lt;=15,"Low Charges",
IF(#REF!&lt;=20,"Medium Charges","High Charges"))</f>
        <v>#REF!</v>
      </c>
      <c r="AB1089" t="e">
        <f>IF(AND(#REF!&gt;180, #REF!&gt;200), "Heavy Doemstic User", IF(#REF!&gt;10, "Interntional User", IF(AND(#REF!&lt;180, #REF!&lt;200,#REF!&lt;200), "Light User", "Balanced User")))</f>
        <v>#REF!</v>
      </c>
      <c r="AC1089" t="e">
        <f>IF(#REF! = 0, "No Usage", IF(#REF! &lt;= 20, "Low Usage", IF(#REF! &lt;= 40, "Medium Usgae", "High Usage")))</f>
        <v>#REF!</v>
      </c>
      <c r="AD1089" t="e">
        <f>IF(#REF!&lt;=150,"Low Usage", IF(#REF!&lt;=200,"Medium Usage", IF(#REF!&lt;=250,"High Usage","Very High Usage")))</f>
        <v>#REF!</v>
      </c>
      <c r="AE1089" t="e">
        <f>IF(#REF!&lt;=5,"Low Calls", IF(#REF!&lt;=10, "Medium Calls", "High Calls"))</f>
        <v>#REF!</v>
      </c>
      <c r="AF1089" t="e">
        <f xml:space="preserve">
IF(#REF!&gt;=4,4,0)+
IF(#REF!="yes",3,0)+
IF(#REF!="High Charges",3,0)+
IF(#REF!&gt;250,4,0)+
IF(#REF!="no",1,0)+
IF(#REF!="Heavy Domestic User",2,0)</f>
        <v>#REF!</v>
      </c>
      <c r="AG1089" t="e">
        <f>IF(#REF!&gt;=10,"High Risk", IF(#REF!&gt;=5,"Medium Risk","Low Risk"))</f>
        <v>#REF!</v>
      </c>
      <c r="AH1089" t="e">
        <f>#REF! + #REF! + #REF! + #REF!</f>
        <v>#REF!</v>
      </c>
    </row>
    <row r="1090" spans="1:34" x14ac:dyDescent="0.35">
      <c r="A1090">
        <v>1089</v>
      </c>
      <c r="B1090" t="s">
        <v>56</v>
      </c>
      <c r="C1090">
        <v>92</v>
      </c>
      <c r="D1090" t="s">
        <v>25</v>
      </c>
      <c r="E1090" t="s">
        <v>22</v>
      </c>
      <c r="F1090" t="s">
        <v>22</v>
      </c>
      <c r="G1090">
        <v>0</v>
      </c>
      <c r="H1090">
        <v>249.4</v>
      </c>
      <c r="I1090">
        <v>118</v>
      </c>
      <c r="J1090">
        <v>42.4</v>
      </c>
      <c r="K1090">
        <v>211.5</v>
      </c>
      <c r="L1090">
        <v>95</v>
      </c>
      <c r="M1090">
        <v>17.98</v>
      </c>
      <c r="N1090">
        <v>169</v>
      </c>
      <c r="O1090">
        <v>116</v>
      </c>
      <c r="P1090">
        <v>7.61</v>
      </c>
      <c r="Q1090">
        <v>9.1</v>
      </c>
      <c r="R1090">
        <v>3</v>
      </c>
      <c r="S1090">
        <v>2.46</v>
      </c>
      <c r="T1090">
        <v>0</v>
      </c>
      <c r="U1090" t="s">
        <v>22</v>
      </c>
      <c r="V1090" t="e">
        <f>IF(#REF! = "yes", 1, 0)</f>
        <v>#REF!</v>
      </c>
      <c r="W1090" t="e">
        <f>IF(#REF! &lt;= 1, "0-1 Calls", IF(#REF! &lt;= 3, "2-3 Calls", IF(#REF! &lt;=5, "4-5 Calls", "6+ Calls")))</f>
        <v>#REF!</v>
      </c>
      <c r="X1090" t="e">
        <f>IF(#REF! &lt;= 50, "0-50", IF(#REF! &lt;=100, "51-100", IF(#REF! &lt;= 150, "101-150", "151+")))</f>
        <v>#REF!</v>
      </c>
      <c r="Y1090" t="e">
        <f>IF(#REF! &lt;= 3, "Low Charges", "High Charges")</f>
        <v>#REF!</v>
      </c>
      <c r="Z1090" t="e">
        <f>IF(#REF!&lt;=80,"Low Calls",
IF(#REF!&lt;=120,"Medium Calls","High Calls"))</f>
        <v>#REF!</v>
      </c>
      <c r="AA1090" t="e">
        <f>IF(#REF!&lt;=15,"Low Charges",
IF(#REF!&lt;=20,"Medium Charges","High Charges"))</f>
        <v>#REF!</v>
      </c>
      <c r="AB1090" t="e">
        <f>IF(AND(#REF!&gt;180, #REF!&gt;200), "Heavy Doemstic User", IF(#REF!&gt;10, "Interntional User", IF(AND(#REF!&lt;180, #REF!&lt;200,#REF!&lt;200), "Light User", "Balanced User")))</f>
        <v>#REF!</v>
      </c>
      <c r="AC1090" t="e">
        <f>IF(#REF! = 0, "No Usage", IF(#REF! &lt;= 20, "Low Usage", IF(#REF! &lt;= 40, "Medium Usgae", "High Usage")))</f>
        <v>#REF!</v>
      </c>
      <c r="AD1090" t="e">
        <f>IF(#REF!&lt;=150,"Low Usage", IF(#REF!&lt;=200,"Medium Usage", IF(#REF!&lt;=250,"High Usage","Very High Usage")))</f>
        <v>#REF!</v>
      </c>
      <c r="AE1090" t="e">
        <f>IF(#REF!&lt;=5,"Low Calls", IF(#REF!&lt;=10, "Medium Calls", "High Calls"))</f>
        <v>#REF!</v>
      </c>
      <c r="AF1090" t="e">
        <f xml:space="preserve">
IF(#REF!&gt;=4,4,0)+
IF(#REF!="yes",3,0)+
IF(#REF!="High Charges",3,0)+
IF(#REF!&gt;250,4,0)+
IF(#REF!="no",1,0)+
IF(#REF!="Heavy Domestic User",2,0)</f>
        <v>#REF!</v>
      </c>
      <c r="AG1090" t="e">
        <f>IF(#REF!&gt;=10,"High Risk", IF(#REF!&gt;=5,"Medium Risk","Low Risk"))</f>
        <v>#REF!</v>
      </c>
      <c r="AH1090" t="e">
        <f>#REF! + #REF! + #REF! + #REF!</f>
        <v>#REF!</v>
      </c>
    </row>
    <row r="1091" spans="1:34" x14ac:dyDescent="0.35">
      <c r="A1091">
        <v>1090</v>
      </c>
      <c r="B1091" t="s">
        <v>31</v>
      </c>
      <c r="C1091">
        <v>67</v>
      </c>
      <c r="D1091" t="s">
        <v>21</v>
      </c>
      <c r="E1091" t="s">
        <v>22</v>
      </c>
      <c r="F1091" t="s">
        <v>23</v>
      </c>
      <c r="G1091">
        <v>30</v>
      </c>
      <c r="H1091">
        <v>129.6</v>
      </c>
      <c r="I1091">
        <v>107</v>
      </c>
      <c r="J1091">
        <v>22.03</v>
      </c>
      <c r="K1091">
        <v>233</v>
      </c>
      <c r="L1091">
        <v>104</v>
      </c>
      <c r="M1091">
        <v>19.809999999999999</v>
      </c>
      <c r="N1091">
        <v>297</v>
      </c>
      <c r="O1091">
        <v>93</v>
      </c>
      <c r="P1091">
        <v>13.37</v>
      </c>
      <c r="Q1091">
        <v>14.5</v>
      </c>
      <c r="R1091">
        <v>5</v>
      </c>
      <c r="S1091">
        <v>3.92</v>
      </c>
      <c r="T1091">
        <v>1</v>
      </c>
      <c r="U1091" t="s">
        <v>22</v>
      </c>
      <c r="V1091" t="e">
        <f>IF(#REF! = "yes", 1, 0)</f>
        <v>#REF!</v>
      </c>
      <c r="W1091" t="e">
        <f>IF(#REF! &lt;= 1, "0-1 Calls", IF(#REF! &lt;= 3, "2-3 Calls", IF(#REF! &lt;=5, "4-5 Calls", "6+ Calls")))</f>
        <v>#REF!</v>
      </c>
      <c r="X1091" t="e">
        <f>IF(#REF! &lt;= 50, "0-50", IF(#REF! &lt;=100, "51-100", IF(#REF! &lt;= 150, "101-150", "151+")))</f>
        <v>#REF!</v>
      </c>
      <c r="Y1091" t="e">
        <f>IF(#REF! &lt;= 3, "Low Charges", "High Charges")</f>
        <v>#REF!</v>
      </c>
      <c r="Z1091" t="e">
        <f>IF(#REF!&lt;=80,"Low Calls",
IF(#REF!&lt;=120,"Medium Calls","High Calls"))</f>
        <v>#REF!</v>
      </c>
      <c r="AA1091" t="e">
        <f>IF(#REF!&lt;=15,"Low Charges",
IF(#REF!&lt;=20,"Medium Charges","High Charges"))</f>
        <v>#REF!</v>
      </c>
      <c r="AB1091" t="e">
        <f>IF(AND(#REF!&gt;180, #REF!&gt;200), "Heavy Doemstic User", IF(#REF!&gt;10, "Interntional User", IF(AND(#REF!&lt;180, #REF!&lt;200,#REF!&lt;200), "Light User", "Balanced User")))</f>
        <v>#REF!</v>
      </c>
      <c r="AC1091" t="e">
        <f>IF(#REF! = 0, "No Usage", IF(#REF! &lt;= 20, "Low Usage", IF(#REF! &lt;= 40, "Medium Usgae", "High Usage")))</f>
        <v>#REF!</v>
      </c>
      <c r="AD1091" t="e">
        <f>IF(#REF!&lt;=150,"Low Usage", IF(#REF!&lt;=200,"Medium Usage", IF(#REF!&lt;=250,"High Usage","Very High Usage")))</f>
        <v>#REF!</v>
      </c>
      <c r="AE1091" t="e">
        <f>IF(#REF!&lt;=5,"Low Calls", IF(#REF!&lt;=10, "Medium Calls", "High Calls"))</f>
        <v>#REF!</v>
      </c>
      <c r="AF1091" t="e">
        <f xml:space="preserve">
IF(#REF!&gt;=4,4,0)+
IF(#REF!="yes",3,0)+
IF(#REF!="High Charges",3,0)+
IF(#REF!&gt;250,4,0)+
IF(#REF!="no",1,0)+
IF(#REF!="Heavy Domestic User",2,0)</f>
        <v>#REF!</v>
      </c>
      <c r="AG1091" t="e">
        <f>IF(#REF!&gt;=10,"High Risk", IF(#REF!&gt;=5,"Medium Risk","Low Risk"))</f>
        <v>#REF!</v>
      </c>
      <c r="AH1091" t="e">
        <f>#REF! + #REF! + #REF! + #REF!</f>
        <v>#REF!</v>
      </c>
    </row>
    <row r="1092" spans="1:34" x14ac:dyDescent="0.35">
      <c r="A1092">
        <v>1091</v>
      </c>
      <c r="B1092" t="s">
        <v>64</v>
      </c>
      <c r="C1092">
        <v>120</v>
      </c>
      <c r="D1092" t="s">
        <v>21</v>
      </c>
      <c r="E1092" t="s">
        <v>22</v>
      </c>
      <c r="F1092" t="s">
        <v>22</v>
      </c>
      <c r="G1092">
        <v>0</v>
      </c>
      <c r="H1092">
        <v>221.3</v>
      </c>
      <c r="I1092">
        <v>106</v>
      </c>
      <c r="J1092">
        <v>37.619999999999997</v>
      </c>
      <c r="K1092">
        <v>267.60000000000002</v>
      </c>
      <c r="L1092">
        <v>98</v>
      </c>
      <c r="M1092">
        <v>22.75</v>
      </c>
      <c r="N1092">
        <v>111.5</v>
      </c>
      <c r="O1092">
        <v>80</v>
      </c>
      <c r="P1092">
        <v>5.0199999999999996</v>
      </c>
      <c r="Q1092">
        <v>9.3000000000000007</v>
      </c>
      <c r="R1092">
        <v>7</v>
      </c>
      <c r="S1092">
        <v>2.5099999999999998</v>
      </c>
      <c r="T1092">
        <v>0</v>
      </c>
      <c r="U1092" t="s">
        <v>22</v>
      </c>
      <c r="V1092" t="e">
        <f>IF(#REF! = "yes", 1, 0)</f>
        <v>#REF!</v>
      </c>
      <c r="W1092" t="e">
        <f>IF(#REF! &lt;= 1, "0-1 Calls", IF(#REF! &lt;= 3, "2-3 Calls", IF(#REF! &lt;=5, "4-5 Calls", "6+ Calls")))</f>
        <v>#REF!</v>
      </c>
      <c r="X1092" t="e">
        <f>IF(#REF! &lt;= 50, "0-50", IF(#REF! &lt;=100, "51-100", IF(#REF! &lt;= 150, "101-150", "151+")))</f>
        <v>#REF!</v>
      </c>
      <c r="Y1092" t="e">
        <f>IF(#REF! &lt;= 3, "Low Charges", "High Charges")</f>
        <v>#REF!</v>
      </c>
      <c r="Z1092" t="e">
        <f>IF(#REF!&lt;=80,"Low Calls",
IF(#REF!&lt;=120,"Medium Calls","High Calls"))</f>
        <v>#REF!</v>
      </c>
      <c r="AA1092" t="e">
        <f>IF(#REF!&lt;=15,"Low Charges",
IF(#REF!&lt;=20,"Medium Charges","High Charges"))</f>
        <v>#REF!</v>
      </c>
      <c r="AB1092" t="e">
        <f>IF(AND(#REF!&gt;180, #REF!&gt;200), "Heavy Doemstic User", IF(#REF!&gt;10, "Interntional User", IF(AND(#REF!&lt;180, #REF!&lt;200,#REF!&lt;200), "Light User", "Balanced User")))</f>
        <v>#REF!</v>
      </c>
      <c r="AC1092" t="e">
        <f>IF(#REF! = 0, "No Usage", IF(#REF! &lt;= 20, "Low Usage", IF(#REF! &lt;= 40, "Medium Usgae", "High Usage")))</f>
        <v>#REF!</v>
      </c>
      <c r="AD1092" t="e">
        <f>IF(#REF!&lt;=150,"Low Usage", IF(#REF!&lt;=200,"Medium Usage", IF(#REF!&lt;=250,"High Usage","Very High Usage")))</f>
        <v>#REF!</v>
      </c>
      <c r="AE1092" t="e">
        <f>IF(#REF!&lt;=5,"Low Calls", IF(#REF!&lt;=10, "Medium Calls", "High Calls"))</f>
        <v>#REF!</v>
      </c>
      <c r="AF1092" t="e">
        <f xml:space="preserve">
IF(#REF!&gt;=4,4,0)+
IF(#REF!="yes",3,0)+
IF(#REF!="High Charges",3,0)+
IF(#REF!&gt;250,4,0)+
IF(#REF!="no",1,0)+
IF(#REF!="Heavy Domestic User",2,0)</f>
        <v>#REF!</v>
      </c>
      <c r="AG1092" t="e">
        <f>IF(#REF!&gt;=10,"High Risk", IF(#REF!&gt;=5,"Medium Risk","Low Risk"))</f>
        <v>#REF!</v>
      </c>
      <c r="AH1092" t="e">
        <f>#REF! + #REF! + #REF! + #REF!</f>
        <v>#REF!</v>
      </c>
    </row>
    <row r="1093" spans="1:34" x14ac:dyDescent="0.35">
      <c r="A1093">
        <v>1092</v>
      </c>
      <c r="B1093" t="s">
        <v>37</v>
      </c>
      <c r="C1093">
        <v>166</v>
      </c>
      <c r="D1093" t="s">
        <v>21</v>
      </c>
      <c r="E1093" t="s">
        <v>22</v>
      </c>
      <c r="F1093" t="s">
        <v>22</v>
      </c>
      <c r="G1093">
        <v>0</v>
      </c>
      <c r="H1093">
        <v>220.7</v>
      </c>
      <c r="I1093">
        <v>106</v>
      </c>
      <c r="J1093">
        <v>37.520000000000003</v>
      </c>
      <c r="K1093">
        <v>177.8</v>
      </c>
      <c r="L1093">
        <v>118</v>
      </c>
      <c r="M1093">
        <v>15.11</v>
      </c>
      <c r="N1093">
        <v>206.1</v>
      </c>
      <c r="O1093">
        <v>102</v>
      </c>
      <c r="P1093">
        <v>9.27</v>
      </c>
      <c r="Q1093">
        <v>12.4</v>
      </c>
      <c r="R1093">
        <v>9</v>
      </c>
      <c r="S1093">
        <v>3.35</v>
      </c>
      <c r="T1093">
        <v>1</v>
      </c>
      <c r="U1093" t="s">
        <v>22</v>
      </c>
      <c r="V1093" t="e">
        <f>IF(#REF! = "yes", 1, 0)</f>
        <v>#REF!</v>
      </c>
      <c r="W1093" t="e">
        <f>IF(#REF! &lt;= 1, "0-1 Calls", IF(#REF! &lt;= 3, "2-3 Calls", IF(#REF! &lt;=5, "4-5 Calls", "6+ Calls")))</f>
        <v>#REF!</v>
      </c>
      <c r="X1093" t="e">
        <f>IF(#REF! &lt;= 50, "0-50", IF(#REF! &lt;=100, "51-100", IF(#REF! &lt;= 150, "101-150", "151+")))</f>
        <v>#REF!</v>
      </c>
      <c r="Y1093" t="e">
        <f>IF(#REF! &lt;= 3, "Low Charges", "High Charges")</f>
        <v>#REF!</v>
      </c>
      <c r="Z1093" t="e">
        <f>IF(#REF!&lt;=80,"Low Calls",
IF(#REF!&lt;=120,"Medium Calls","High Calls"))</f>
        <v>#REF!</v>
      </c>
      <c r="AA1093" t="e">
        <f>IF(#REF!&lt;=15,"Low Charges",
IF(#REF!&lt;=20,"Medium Charges","High Charges"))</f>
        <v>#REF!</v>
      </c>
      <c r="AB1093" t="e">
        <f>IF(AND(#REF!&gt;180, #REF!&gt;200), "Heavy Doemstic User", IF(#REF!&gt;10, "Interntional User", IF(AND(#REF!&lt;180, #REF!&lt;200,#REF!&lt;200), "Light User", "Balanced User")))</f>
        <v>#REF!</v>
      </c>
      <c r="AC1093" t="e">
        <f>IF(#REF! = 0, "No Usage", IF(#REF! &lt;= 20, "Low Usage", IF(#REF! &lt;= 40, "Medium Usgae", "High Usage")))</f>
        <v>#REF!</v>
      </c>
      <c r="AD1093" t="e">
        <f>IF(#REF!&lt;=150,"Low Usage", IF(#REF!&lt;=200,"Medium Usage", IF(#REF!&lt;=250,"High Usage","Very High Usage")))</f>
        <v>#REF!</v>
      </c>
      <c r="AE1093" t="e">
        <f>IF(#REF!&lt;=5,"Low Calls", IF(#REF!&lt;=10, "Medium Calls", "High Calls"))</f>
        <v>#REF!</v>
      </c>
      <c r="AF1093" t="e">
        <f xml:space="preserve">
IF(#REF!&gt;=4,4,0)+
IF(#REF!="yes",3,0)+
IF(#REF!="High Charges",3,0)+
IF(#REF!&gt;250,4,0)+
IF(#REF!="no",1,0)+
IF(#REF!="Heavy Domestic User",2,0)</f>
        <v>#REF!</v>
      </c>
      <c r="AG1093" t="e">
        <f>IF(#REF!&gt;=10,"High Risk", IF(#REF!&gt;=5,"Medium Risk","Low Risk"))</f>
        <v>#REF!</v>
      </c>
      <c r="AH1093" t="e">
        <f>#REF! + #REF! + #REF! + #REF!</f>
        <v>#REF!</v>
      </c>
    </row>
    <row r="1094" spans="1:34" x14ac:dyDescent="0.35">
      <c r="A1094">
        <v>1093</v>
      </c>
      <c r="B1094" t="s">
        <v>52</v>
      </c>
      <c r="C1094">
        <v>66</v>
      </c>
      <c r="D1094" t="s">
        <v>25</v>
      </c>
      <c r="E1094" t="s">
        <v>22</v>
      </c>
      <c r="F1094" t="s">
        <v>22</v>
      </c>
      <c r="G1094">
        <v>0</v>
      </c>
      <c r="H1094">
        <v>87.6</v>
      </c>
      <c r="I1094">
        <v>76</v>
      </c>
      <c r="J1094">
        <v>14.89</v>
      </c>
      <c r="K1094">
        <v>262</v>
      </c>
      <c r="L1094">
        <v>111</v>
      </c>
      <c r="M1094">
        <v>22.27</v>
      </c>
      <c r="N1094">
        <v>184.6</v>
      </c>
      <c r="O1094">
        <v>125</v>
      </c>
      <c r="P1094">
        <v>8.31</v>
      </c>
      <c r="Q1094">
        <v>9.1999999999999993</v>
      </c>
      <c r="R1094">
        <v>5</v>
      </c>
      <c r="S1094">
        <v>2.48</v>
      </c>
      <c r="T1094">
        <v>1</v>
      </c>
      <c r="U1094" t="s">
        <v>22</v>
      </c>
      <c r="V1094" t="e">
        <f>IF(#REF! = "yes", 1, 0)</f>
        <v>#REF!</v>
      </c>
      <c r="W1094" t="e">
        <f>IF(#REF! &lt;= 1, "0-1 Calls", IF(#REF! &lt;= 3, "2-3 Calls", IF(#REF! &lt;=5, "4-5 Calls", "6+ Calls")))</f>
        <v>#REF!</v>
      </c>
      <c r="X1094" t="e">
        <f>IF(#REF! &lt;= 50, "0-50", IF(#REF! &lt;=100, "51-100", IF(#REF! &lt;= 150, "101-150", "151+")))</f>
        <v>#REF!</v>
      </c>
      <c r="Y1094" t="e">
        <f>IF(#REF! &lt;= 3, "Low Charges", "High Charges")</f>
        <v>#REF!</v>
      </c>
      <c r="Z1094" t="e">
        <f>IF(#REF!&lt;=80,"Low Calls",
IF(#REF!&lt;=120,"Medium Calls","High Calls"))</f>
        <v>#REF!</v>
      </c>
      <c r="AA1094" t="e">
        <f>IF(#REF!&lt;=15,"Low Charges",
IF(#REF!&lt;=20,"Medium Charges","High Charges"))</f>
        <v>#REF!</v>
      </c>
      <c r="AB1094" t="e">
        <f>IF(AND(#REF!&gt;180, #REF!&gt;200), "Heavy Doemstic User", IF(#REF!&gt;10, "Interntional User", IF(AND(#REF!&lt;180, #REF!&lt;200,#REF!&lt;200), "Light User", "Balanced User")))</f>
        <v>#REF!</v>
      </c>
      <c r="AC1094" t="e">
        <f>IF(#REF! = 0, "No Usage", IF(#REF! &lt;= 20, "Low Usage", IF(#REF! &lt;= 40, "Medium Usgae", "High Usage")))</f>
        <v>#REF!</v>
      </c>
      <c r="AD1094" t="e">
        <f>IF(#REF!&lt;=150,"Low Usage", IF(#REF!&lt;=200,"Medium Usage", IF(#REF!&lt;=250,"High Usage","Very High Usage")))</f>
        <v>#REF!</v>
      </c>
      <c r="AE1094" t="e">
        <f>IF(#REF!&lt;=5,"Low Calls", IF(#REF!&lt;=10, "Medium Calls", "High Calls"))</f>
        <v>#REF!</v>
      </c>
      <c r="AF1094" t="e">
        <f xml:space="preserve">
IF(#REF!&gt;=4,4,0)+
IF(#REF!="yes",3,0)+
IF(#REF!="High Charges",3,0)+
IF(#REF!&gt;250,4,0)+
IF(#REF!="no",1,0)+
IF(#REF!="Heavy Domestic User",2,0)</f>
        <v>#REF!</v>
      </c>
      <c r="AG1094" t="e">
        <f>IF(#REF!&gt;=10,"High Risk", IF(#REF!&gt;=5,"Medium Risk","Low Risk"))</f>
        <v>#REF!</v>
      </c>
      <c r="AH1094" t="e">
        <f>#REF! + #REF! + #REF! + #REF!</f>
        <v>#REF!</v>
      </c>
    </row>
    <row r="1095" spans="1:34" x14ac:dyDescent="0.35">
      <c r="A1095">
        <v>1094</v>
      </c>
      <c r="B1095" t="s">
        <v>48</v>
      </c>
      <c r="C1095">
        <v>76</v>
      </c>
      <c r="D1095" t="s">
        <v>25</v>
      </c>
      <c r="E1095" t="s">
        <v>22</v>
      </c>
      <c r="F1095" t="s">
        <v>22</v>
      </c>
      <c r="G1095">
        <v>0</v>
      </c>
      <c r="H1095">
        <v>203.6</v>
      </c>
      <c r="I1095">
        <v>61</v>
      </c>
      <c r="J1095">
        <v>34.61</v>
      </c>
      <c r="K1095">
        <v>161.69999999999999</v>
      </c>
      <c r="L1095">
        <v>127</v>
      </c>
      <c r="M1095">
        <v>13.74</v>
      </c>
      <c r="N1095">
        <v>175.9</v>
      </c>
      <c r="O1095">
        <v>97</v>
      </c>
      <c r="P1095">
        <v>7.92</v>
      </c>
      <c r="Q1095">
        <v>8.4</v>
      </c>
      <c r="R1095">
        <v>3</v>
      </c>
      <c r="S1095">
        <v>2.27</v>
      </c>
      <c r="T1095">
        <v>0</v>
      </c>
      <c r="U1095" t="s">
        <v>22</v>
      </c>
      <c r="V1095" t="e">
        <f>IF(#REF! = "yes", 1, 0)</f>
        <v>#REF!</v>
      </c>
      <c r="W1095" t="e">
        <f>IF(#REF! &lt;= 1, "0-1 Calls", IF(#REF! &lt;= 3, "2-3 Calls", IF(#REF! &lt;=5, "4-5 Calls", "6+ Calls")))</f>
        <v>#REF!</v>
      </c>
      <c r="X1095" t="e">
        <f>IF(#REF! &lt;= 50, "0-50", IF(#REF! &lt;=100, "51-100", IF(#REF! &lt;= 150, "101-150", "151+")))</f>
        <v>#REF!</v>
      </c>
      <c r="Y1095" t="e">
        <f>IF(#REF! &lt;= 3, "Low Charges", "High Charges")</f>
        <v>#REF!</v>
      </c>
      <c r="Z1095" t="e">
        <f>IF(#REF!&lt;=80,"Low Calls",
IF(#REF!&lt;=120,"Medium Calls","High Calls"))</f>
        <v>#REF!</v>
      </c>
      <c r="AA1095" t="e">
        <f>IF(#REF!&lt;=15,"Low Charges",
IF(#REF!&lt;=20,"Medium Charges","High Charges"))</f>
        <v>#REF!</v>
      </c>
      <c r="AB1095" t="e">
        <f>IF(AND(#REF!&gt;180, #REF!&gt;200), "Heavy Doemstic User", IF(#REF!&gt;10, "Interntional User", IF(AND(#REF!&lt;180, #REF!&lt;200,#REF!&lt;200), "Light User", "Balanced User")))</f>
        <v>#REF!</v>
      </c>
      <c r="AC1095" t="e">
        <f>IF(#REF! = 0, "No Usage", IF(#REF! &lt;= 20, "Low Usage", IF(#REF! &lt;= 40, "Medium Usgae", "High Usage")))</f>
        <v>#REF!</v>
      </c>
      <c r="AD1095" t="e">
        <f>IF(#REF!&lt;=150,"Low Usage", IF(#REF!&lt;=200,"Medium Usage", IF(#REF!&lt;=250,"High Usage","Very High Usage")))</f>
        <v>#REF!</v>
      </c>
      <c r="AE1095" t="e">
        <f>IF(#REF!&lt;=5,"Low Calls", IF(#REF!&lt;=10, "Medium Calls", "High Calls"))</f>
        <v>#REF!</v>
      </c>
      <c r="AF1095" t="e">
        <f xml:space="preserve">
IF(#REF!&gt;=4,4,0)+
IF(#REF!="yes",3,0)+
IF(#REF!="High Charges",3,0)+
IF(#REF!&gt;250,4,0)+
IF(#REF!="no",1,0)+
IF(#REF!="Heavy Domestic User",2,0)</f>
        <v>#REF!</v>
      </c>
      <c r="AG1095" t="e">
        <f>IF(#REF!&gt;=10,"High Risk", IF(#REF!&gt;=5,"Medium Risk","Low Risk"))</f>
        <v>#REF!</v>
      </c>
      <c r="AH1095" t="e">
        <f>#REF! + #REF! + #REF! + #REF!</f>
        <v>#REF!</v>
      </c>
    </row>
    <row r="1096" spans="1:34" x14ac:dyDescent="0.35">
      <c r="A1096">
        <v>1095</v>
      </c>
      <c r="B1096" t="s">
        <v>66</v>
      </c>
      <c r="C1096">
        <v>79</v>
      </c>
      <c r="D1096" t="s">
        <v>21</v>
      </c>
      <c r="E1096" t="s">
        <v>22</v>
      </c>
      <c r="F1096" t="s">
        <v>22</v>
      </c>
      <c r="G1096">
        <v>0</v>
      </c>
      <c r="H1096">
        <v>213.6</v>
      </c>
      <c r="I1096">
        <v>110</v>
      </c>
      <c r="J1096">
        <v>36.31</v>
      </c>
      <c r="K1096">
        <v>234.9</v>
      </c>
      <c r="L1096">
        <v>121</v>
      </c>
      <c r="M1096">
        <v>19.97</v>
      </c>
      <c r="N1096">
        <v>229.6</v>
      </c>
      <c r="O1096">
        <v>157</v>
      </c>
      <c r="P1096">
        <v>10.33</v>
      </c>
      <c r="Q1096">
        <v>8.8000000000000007</v>
      </c>
      <c r="R1096">
        <v>3</v>
      </c>
      <c r="S1096">
        <v>2.38</v>
      </c>
      <c r="T1096">
        <v>2</v>
      </c>
      <c r="U1096" t="s">
        <v>22</v>
      </c>
      <c r="V1096" t="e">
        <f>IF(#REF! = "yes", 1, 0)</f>
        <v>#REF!</v>
      </c>
      <c r="W1096" t="e">
        <f>IF(#REF! &lt;= 1, "0-1 Calls", IF(#REF! &lt;= 3, "2-3 Calls", IF(#REF! &lt;=5, "4-5 Calls", "6+ Calls")))</f>
        <v>#REF!</v>
      </c>
      <c r="X1096" t="e">
        <f>IF(#REF! &lt;= 50, "0-50", IF(#REF! &lt;=100, "51-100", IF(#REF! &lt;= 150, "101-150", "151+")))</f>
        <v>#REF!</v>
      </c>
      <c r="Y1096" t="e">
        <f>IF(#REF! &lt;= 3, "Low Charges", "High Charges")</f>
        <v>#REF!</v>
      </c>
      <c r="Z1096" t="e">
        <f>IF(#REF!&lt;=80,"Low Calls",
IF(#REF!&lt;=120,"Medium Calls","High Calls"))</f>
        <v>#REF!</v>
      </c>
      <c r="AA1096" t="e">
        <f>IF(#REF!&lt;=15,"Low Charges",
IF(#REF!&lt;=20,"Medium Charges","High Charges"))</f>
        <v>#REF!</v>
      </c>
      <c r="AB1096" t="e">
        <f>IF(AND(#REF!&gt;180, #REF!&gt;200), "Heavy Doemstic User", IF(#REF!&gt;10, "Interntional User", IF(AND(#REF!&lt;180, #REF!&lt;200,#REF!&lt;200), "Light User", "Balanced User")))</f>
        <v>#REF!</v>
      </c>
      <c r="AC1096" t="e">
        <f>IF(#REF! = 0, "No Usage", IF(#REF! &lt;= 20, "Low Usage", IF(#REF! &lt;= 40, "Medium Usgae", "High Usage")))</f>
        <v>#REF!</v>
      </c>
      <c r="AD1096" t="e">
        <f>IF(#REF!&lt;=150,"Low Usage", IF(#REF!&lt;=200,"Medium Usage", IF(#REF!&lt;=250,"High Usage","Very High Usage")))</f>
        <v>#REF!</v>
      </c>
      <c r="AE1096" t="e">
        <f>IF(#REF!&lt;=5,"Low Calls", IF(#REF!&lt;=10, "Medium Calls", "High Calls"))</f>
        <v>#REF!</v>
      </c>
      <c r="AF1096" t="e">
        <f xml:space="preserve">
IF(#REF!&gt;=4,4,0)+
IF(#REF!="yes",3,0)+
IF(#REF!="High Charges",3,0)+
IF(#REF!&gt;250,4,0)+
IF(#REF!="no",1,0)+
IF(#REF!="Heavy Domestic User",2,0)</f>
        <v>#REF!</v>
      </c>
      <c r="AG1096" t="e">
        <f>IF(#REF!&gt;=10,"High Risk", IF(#REF!&gt;=5,"Medium Risk","Low Risk"))</f>
        <v>#REF!</v>
      </c>
      <c r="AH1096" t="e">
        <f>#REF! + #REF! + #REF! + #REF!</f>
        <v>#REF!</v>
      </c>
    </row>
    <row r="1097" spans="1:34" x14ac:dyDescent="0.35">
      <c r="A1097">
        <v>1096</v>
      </c>
      <c r="B1097" t="s">
        <v>45</v>
      </c>
      <c r="C1097">
        <v>98</v>
      </c>
      <c r="D1097" t="s">
        <v>21</v>
      </c>
      <c r="E1097" t="s">
        <v>22</v>
      </c>
      <c r="F1097" t="s">
        <v>23</v>
      </c>
      <c r="G1097">
        <v>31</v>
      </c>
      <c r="H1097">
        <v>181.6</v>
      </c>
      <c r="I1097">
        <v>112</v>
      </c>
      <c r="J1097">
        <v>30.87</v>
      </c>
      <c r="K1097">
        <v>220.7</v>
      </c>
      <c r="L1097">
        <v>100</v>
      </c>
      <c r="M1097">
        <v>18.760000000000002</v>
      </c>
      <c r="N1097">
        <v>236.3</v>
      </c>
      <c r="O1097">
        <v>121</v>
      </c>
      <c r="P1097">
        <v>10.63</v>
      </c>
      <c r="Q1097">
        <v>12.9</v>
      </c>
      <c r="R1097">
        <v>4</v>
      </c>
      <c r="S1097">
        <v>3.48</v>
      </c>
      <c r="T1097">
        <v>2</v>
      </c>
      <c r="U1097" t="s">
        <v>22</v>
      </c>
      <c r="V1097" t="e">
        <f>IF(#REF! = "yes", 1, 0)</f>
        <v>#REF!</v>
      </c>
      <c r="W1097" t="e">
        <f>IF(#REF! &lt;= 1, "0-1 Calls", IF(#REF! &lt;= 3, "2-3 Calls", IF(#REF! &lt;=5, "4-5 Calls", "6+ Calls")))</f>
        <v>#REF!</v>
      </c>
      <c r="X1097" t="e">
        <f>IF(#REF! &lt;= 50, "0-50", IF(#REF! &lt;=100, "51-100", IF(#REF! &lt;= 150, "101-150", "151+")))</f>
        <v>#REF!</v>
      </c>
      <c r="Y1097" t="e">
        <f>IF(#REF! &lt;= 3, "Low Charges", "High Charges")</f>
        <v>#REF!</v>
      </c>
      <c r="Z1097" t="e">
        <f>IF(#REF!&lt;=80,"Low Calls",
IF(#REF!&lt;=120,"Medium Calls","High Calls"))</f>
        <v>#REF!</v>
      </c>
      <c r="AA1097" t="e">
        <f>IF(#REF!&lt;=15,"Low Charges",
IF(#REF!&lt;=20,"Medium Charges","High Charges"))</f>
        <v>#REF!</v>
      </c>
      <c r="AB1097" t="e">
        <f>IF(AND(#REF!&gt;180, #REF!&gt;200), "Heavy Doemstic User", IF(#REF!&gt;10, "Interntional User", IF(AND(#REF!&lt;180, #REF!&lt;200,#REF!&lt;200), "Light User", "Balanced User")))</f>
        <v>#REF!</v>
      </c>
      <c r="AC1097" t="e">
        <f>IF(#REF! = 0, "No Usage", IF(#REF! &lt;= 20, "Low Usage", IF(#REF! &lt;= 40, "Medium Usgae", "High Usage")))</f>
        <v>#REF!</v>
      </c>
      <c r="AD1097" t="e">
        <f>IF(#REF!&lt;=150,"Low Usage", IF(#REF!&lt;=200,"Medium Usage", IF(#REF!&lt;=250,"High Usage","Very High Usage")))</f>
        <v>#REF!</v>
      </c>
      <c r="AE1097" t="e">
        <f>IF(#REF!&lt;=5,"Low Calls", IF(#REF!&lt;=10, "Medium Calls", "High Calls"))</f>
        <v>#REF!</v>
      </c>
      <c r="AF1097" t="e">
        <f xml:space="preserve">
IF(#REF!&gt;=4,4,0)+
IF(#REF!="yes",3,0)+
IF(#REF!="High Charges",3,0)+
IF(#REF!&gt;250,4,0)+
IF(#REF!="no",1,0)+
IF(#REF!="Heavy Domestic User",2,0)</f>
        <v>#REF!</v>
      </c>
      <c r="AG1097" t="e">
        <f>IF(#REF!&gt;=10,"High Risk", IF(#REF!&gt;=5,"Medium Risk","Low Risk"))</f>
        <v>#REF!</v>
      </c>
      <c r="AH1097" t="e">
        <f>#REF! + #REF! + #REF! + #REF!</f>
        <v>#REF!</v>
      </c>
    </row>
    <row r="1098" spans="1:34" x14ac:dyDescent="0.35">
      <c r="A1098">
        <v>1097</v>
      </c>
      <c r="B1098" t="s">
        <v>42</v>
      </c>
      <c r="C1098">
        <v>141</v>
      </c>
      <c r="D1098" t="s">
        <v>28</v>
      </c>
      <c r="E1098" t="s">
        <v>22</v>
      </c>
      <c r="F1098" t="s">
        <v>23</v>
      </c>
      <c r="G1098">
        <v>22</v>
      </c>
      <c r="H1098">
        <v>215.4</v>
      </c>
      <c r="I1098">
        <v>123</v>
      </c>
      <c r="J1098">
        <v>36.619999999999997</v>
      </c>
      <c r="K1098">
        <v>328.7</v>
      </c>
      <c r="L1098">
        <v>98</v>
      </c>
      <c r="M1098">
        <v>27.94</v>
      </c>
      <c r="N1098">
        <v>160.5</v>
      </c>
      <c r="O1098">
        <v>89</v>
      </c>
      <c r="P1098">
        <v>7.22</v>
      </c>
      <c r="Q1098">
        <v>7.8</v>
      </c>
      <c r="R1098">
        <v>6</v>
      </c>
      <c r="S1098">
        <v>2.11</v>
      </c>
      <c r="T1098">
        <v>1</v>
      </c>
      <c r="U1098" t="s">
        <v>22</v>
      </c>
      <c r="V1098" t="e">
        <f>IF(#REF! = "yes", 1, 0)</f>
        <v>#REF!</v>
      </c>
      <c r="W1098" t="e">
        <f>IF(#REF! &lt;= 1, "0-1 Calls", IF(#REF! &lt;= 3, "2-3 Calls", IF(#REF! &lt;=5, "4-5 Calls", "6+ Calls")))</f>
        <v>#REF!</v>
      </c>
      <c r="X1098" t="e">
        <f>IF(#REF! &lt;= 50, "0-50", IF(#REF! &lt;=100, "51-100", IF(#REF! &lt;= 150, "101-150", "151+")))</f>
        <v>#REF!</v>
      </c>
      <c r="Y1098" t="e">
        <f>IF(#REF! &lt;= 3, "Low Charges", "High Charges")</f>
        <v>#REF!</v>
      </c>
      <c r="Z1098" t="e">
        <f>IF(#REF!&lt;=80,"Low Calls",
IF(#REF!&lt;=120,"Medium Calls","High Calls"))</f>
        <v>#REF!</v>
      </c>
      <c r="AA1098" t="e">
        <f>IF(#REF!&lt;=15,"Low Charges",
IF(#REF!&lt;=20,"Medium Charges","High Charges"))</f>
        <v>#REF!</v>
      </c>
      <c r="AB1098" t="e">
        <f>IF(AND(#REF!&gt;180, #REF!&gt;200), "Heavy Doemstic User", IF(#REF!&gt;10, "Interntional User", IF(AND(#REF!&lt;180, #REF!&lt;200,#REF!&lt;200), "Light User", "Balanced User")))</f>
        <v>#REF!</v>
      </c>
      <c r="AC1098" t="e">
        <f>IF(#REF! = 0, "No Usage", IF(#REF! &lt;= 20, "Low Usage", IF(#REF! &lt;= 40, "Medium Usgae", "High Usage")))</f>
        <v>#REF!</v>
      </c>
      <c r="AD1098" t="e">
        <f>IF(#REF!&lt;=150,"Low Usage", IF(#REF!&lt;=200,"Medium Usage", IF(#REF!&lt;=250,"High Usage","Very High Usage")))</f>
        <v>#REF!</v>
      </c>
      <c r="AE1098" t="e">
        <f>IF(#REF!&lt;=5,"Low Calls", IF(#REF!&lt;=10, "Medium Calls", "High Calls"))</f>
        <v>#REF!</v>
      </c>
      <c r="AF1098" t="e">
        <f xml:space="preserve">
IF(#REF!&gt;=4,4,0)+
IF(#REF!="yes",3,0)+
IF(#REF!="High Charges",3,0)+
IF(#REF!&gt;250,4,0)+
IF(#REF!="no",1,0)+
IF(#REF!="Heavy Domestic User",2,0)</f>
        <v>#REF!</v>
      </c>
      <c r="AG1098" t="e">
        <f>IF(#REF!&gt;=10,"High Risk", IF(#REF!&gt;=5,"Medium Risk","Low Risk"))</f>
        <v>#REF!</v>
      </c>
      <c r="AH1098" t="e">
        <f>#REF! + #REF! + #REF! + #REF!</f>
        <v>#REF!</v>
      </c>
    </row>
    <row r="1099" spans="1:34" x14ac:dyDescent="0.35">
      <c r="A1099">
        <v>1098</v>
      </c>
      <c r="B1099" t="s">
        <v>34</v>
      </c>
      <c r="C1099">
        <v>46</v>
      </c>
      <c r="D1099" t="s">
        <v>28</v>
      </c>
      <c r="E1099" t="s">
        <v>22</v>
      </c>
      <c r="F1099" t="s">
        <v>22</v>
      </c>
      <c r="G1099">
        <v>0</v>
      </c>
      <c r="H1099">
        <v>199.2</v>
      </c>
      <c r="I1099">
        <v>111</v>
      </c>
      <c r="J1099">
        <v>33.86</v>
      </c>
      <c r="K1099">
        <v>175.1</v>
      </c>
      <c r="L1099">
        <v>83</v>
      </c>
      <c r="M1099">
        <v>14.88</v>
      </c>
      <c r="N1099">
        <v>210.6</v>
      </c>
      <c r="O1099">
        <v>84</v>
      </c>
      <c r="P1099">
        <v>9.48</v>
      </c>
      <c r="Q1099">
        <v>10.199999999999999</v>
      </c>
      <c r="R1099">
        <v>2</v>
      </c>
      <c r="S1099">
        <v>2.75</v>
      </c>
      <c r="T1099">
        <v>3</v>
      </c>
      <c r="U1099" t="s">
        <v>22</v>
      </c>
      <c r="V1099" t="e">
        <f>IF(#REF! = "yes", 1, 0)</f>
        <v>#REF!</v>
      </c>
      <c r="W1099" t="e">
        <f>IF(#REF! &lt;= 1, "0-1 Calls", IF(#REF! &lt;= 3, "2-3 Calls", IF(#REF! &lt;=5, "4-5 Calls", "6+ Calls")))</f>
        <v>#REF!</v>
      </c>
      <c r="X1099" t="e">
        <f>IF(#REF! &lt;= 50, "0-50", IF(#REF! &lt;=100, "51-100", IF(#REF! &lt;= 150, "101-150", "151+")))</f>
        <v>#REF!</v>
      </c>
      <c r="Y1099" t="e">
        <f>IF(#REF! &lt;= 3, "Low Charges", "High Charges")</f>
        <v>#REF!</v>
      </c>
      <c r="Z1099" t="e">
        <f>IF(#REF!&lt;=80,"Low Calls",
IF(#REF!&lt;=120,"Medium Calls","High Calls"))</f>
        <v>#REF!</v>
      </c>
      <c r="AA1099" t="e">
        <f>IF(#REF!&lt;=15,"Low Charges",
IF(#REF!&lt;=20,"Medium Charges","High Charges"))</f>
        <v>#REF!</v>
      </c>
      <c r="AB1099" t="e">
        <f>IF(AND(#REF!&gt;180, #REF!&gt;200), "Heavy Doemstic User", IF(#REF!&gt;10, "Interntional User", IF(AND(#REF!&lt;180, #REF!&lt;200,#REF!&lt;200), "Light User", "Balanced User")))</f>
        <v>#REF!</v>
      </c>
      <c r="AC1099" t="e">
        <f>IF(#REF! = 0, "No Usage", IF(#REF! &lt;= 20, "Low Usage", IF(#REF! &lt;= 40, "Medium Usgae", "High Usage")))</f>
        <v>#REF!</v>
      </c>
      <c r="AD1099" t="e">
        <f>IF(#REF!&lt;=150,"Low Usage", IF(#REF!&lt;=200,"Medium Usage", IF(#REF!&lt;=250,"High Usage","Very High Usage")))</f>
        <v>#REF!</v>
      </c>
      <c r="AE1099" t="e">
        <f>IF(#REF!&lt;=5,"Low Calls", IF(#REF!&lt;=10, "Medium Calls", "High Calls"))</f>
        <v>#REF!</v>
      </c>
      <c r="AF1099" t="e">
        <f xml:space="preserve">
IF(#REF!&gt;=4,4,0)+
IF(#REF!="yes",3,0)+
IF(#REF!="High Charges",3,0)+
IF(#REF!&gt;250,4,0)+
IF(#REF!="no",1,0)+
IF(#REF!="Heavy Domestic User",2,0)</f>
        <v>#REF!</v>
      </c>
      <c r="AG1099" t="e">
        <f>IF(#REF!&gt;=10,"High Risk", IF(#REF!&gt;=5,"Medium Risk","Low Risk"))</f>
        <v>#REF!</v>
      </c>
      <c r="AH1099" t="e">
        <f>#REF! + #REF! + #REF! + #REF!</f>
        <v>#REF!</v>
      </c>
    </row>
    <row r="1100" spans="1:34" x14ac:dyDescent="0.35">
      <c r="A1100">
        <v>1099</v>
      </c>
      <c r="B1100" t="s">
        <v>74</v>
      </c>
      <c r="C1100">
        <v>137</v>
      </c>
      <c r="D1100" t="s">
        <v>21</v>
      </c>
      <c r="E1100" t="s">
        <v>22</v>
      </c>
      <c r="F1100" t="s">
        <v>22</v>
      </c>
      <c r="G1100">
        <v>0</v>
      </c>
      <c r="H1100">
        <v>115</v>
      </c>
      <c r="I1100">
        <v>130</v>
      </c>
      <c r="J1100">
        <v>19.55</v>
      </c>
      <c r="K1100">
        <v>137.80000000000001</v>
      </c>
      <c r="L1100">
        <v>83</v>
      </c>
      <c r="M1100">
        <v>11.71</v>
      </c>
      <c r="N1100">
        <v>224</v>
      </c>
      <c r="O1100">
        <v>61</v>
      </c>
      <c r="P1100">
        <v>10.08</v>
      </c>
      <c r="Q1100">
        <v>7.3</v>
      </c>
      <c r="R1100">
        <v>4</v>
      </c>
      <c r="S1100">
        <v>1.97</v>
      </c>
      <c r="T1100">
        <v>3</v>
      </c>
      <c r="U1100" t="s">
        <v>22</v>
      </c>
      <c r="V1100" t="e">
        <f>IF(#REF! = "yes", 1, 0)</f>
        <v>#REF!</v>
      </c>
      <c r="W1100" t="e">
        <f>IF(#REF! &lt;= 1, "0-1 Calls", IF(#REF! &lt;= 3, "2-3 Calls", IF(#REF! &lt;=5, "4-5 Calls", "6+ Calls")))</f>
        <v>#REF!</v>
      </c>
      <c r="X1100" t="e">
        <f>IF(#REF! &lt;= 50, "0-50", IF(#REF! &lt;=100, "51-100", IF(#REF! &lt;= 150, "101-150", "151+")))</f>
        <v>#REF!</v>
      </c>
      <c r="Y1100" t="e">
        <f>IF(#REF! &lt;= 3, "Low Charges", "High Charges")</f>
        <v>#REF!</v>
      </c>
      <c r="Z1100" t="e">
        <f>IF(#REF!&lt;=80,"Low Calls",
IF(#REF!&lt;=120,"Medium Calls","High Calls"))</f>
        <v>#REF!</v>
      </c>
      <c r="AA1100" t="e">
        <f>IF(#REF!&lt;=15,"Low Charges",
IF(#REF!&lt;=20,"Medium Charges","High Charges"))</f>
        <v>#REF!</v>
      </c>
      <c r="AB1100" t="e">
        <f>IF(AND(#REF!&gt;180, #REF!&gt;200), "Heavy Doemstic User", IF(#REF!&gt;10, "Interntional User", IF(AND(#REF!&lt;180, #REF!&lt;200,#REF!&lt;200), "Light User", "Balanced User")))</f>
        <v>#REF!</v>
      </c>
      <c r="AC1100" t="e">
        <f>IF(#REF! = 0, "No Usage", IF(#REF! &lt;= 20, "Low Usage", IF(#REF! &lt;= 40, "Medium Usgae", "High Usage")))</f>
        <v>#REF!</v>
      </c>
      <c r="AD1100" t="e">
        <f>IF(#REF!&lt;=150,"Low Usage", IF(#REF!&lt;=200,"Medium Usage", IF(#REF!&lt;=250,"High Usage","Very High Usage")))</f>
        <v>#REF!</v>
      </c>
      <c r="AE1100" t="e">
        <f>IF(#REF!&lt;=5,"Low Calls", IF(#REF!&lt;=10, "Medium Calls", "High Calls"))</f>
        <v>#REF!</v>
      </c>
      <c r="AF1100" t="e">
        <f xml:space="preserve">
IF(#REF!&gt;=4,4,0)+
IF(#REF!="yes",3,0)+
IF(#REF!="High Charges",3,0)+
IF(#REF!&gt;250,4,0)+
IF(#REF!="no",1,0)+
IF(#REF!="Heavy Domestic User",2,0)</f>
        <v>#REF!</v>
      </c>
      <c r="AG1100" t="e">
        <f>IF(#REF!&gt;=10,"High Risk", IF(#REF!&gt;=5,"Medium Risk","Low Risk"))</f>
        <v>#REF!</v>
      </c>
      <c r="AH1100" t="e">
        <f>#REF! + #REF! + #REF! + #REF!</f>
        <v>#REF!</v>
      </c>
    </row>
    <row r="1101" spans="1:34" x14ac:dyDescent="0.35">
      <c r="A1101">
        <v>1100</v>
      </c>
      <c r="B1101" t="s">
        <v>59</v>
      </c>
      <c r="C1101">
        <v>171</v>
      </c>
      <c r="D1101" t="s">
        <v>25</v>
      </c>
      <c r="E1101" t="s">
        <v>22</v>
      </c>
      <c r="F1101" t="s">
        <v>22</v>
      </c>
      <c r="G1101">
        <v>0</v>
      </c>
      <c r="H1101">
        <v>270.5</v>
      </c>
      <c r="I1101">
        <v>69</v>
      </c>
      <c r="J1101">
        <v>45.99</v>
      </c>
      <c r="K1101">
        <v>230</v>
      </c>
      <c r="L1101">
        <v>112</v>
      </c>
      <c r="M1101">
        <v>19.55</v>
      </c>
      <c r="N1101">
        <v>136</v>
      </c>
      <c r="O1101">
        <v>111</v>
      </c>
      <c r="P1101">
        <v>6.12</v>
      </c>
      <c r="Q1101">
        <v>9.6</v>
      </c>
      <c r="R1101">
        <v>5</v>
      </c>
      <c r="S1101">
        <v>2.59</v>
      </c>
      <c r="T1101">
        <v>1</v>
      </c>
      <c r="U1101" t="s">
        <v>23</v>
      </c>
      <c r="V1101" t="e">
        <f>IF(#REF! = "yes", 1, 0)</f>
        <v>#REF!</v>
      </c>
      <c r="W1101" t="e">
        <f>IF(#REF! &lt;= 1, "0-1 Calls", IF(#REF! &lt;= 3, "2-3 Calls", IF(#REF! &lt;=5, "4-5 Calls", "6+ Calls")))</f>
        <v>#REF!</v>
      </c>
      <c r="X1101" t="e">
        <f>IF(#REF! &lt;= 50, "0-50", IF(#REF! &lt;=100, "51-100", IF(#REF! &lt;= 150, "101-150", "151+")))</f>
        <v>#REF!</v>
      </c>
      <c r="Y1101" t="e">
        <f>IF(#REF! &lt;= 3, "Low Charges", "High Charges")</f>
        <v>#REF!</v>
      </c>
      <c r="Z1101" t="e">
        <f>IF(#REF!&lt;=80,"Low Calls",
IF(#REF!&lt;=120,"Medium Calls","High Calls"))</f>
        <v>#REF!</v>
      </c>
      <c r="AA1101" t="e">
        <f>IF(#REF!&lt;=15,"Low Charges",
IF(#REF!&lt;=20,"Medium Charges","High Charges"))</f>
        <v>#REF!</v>
      </c>
      <c r="AB1101" t="e">
        <f>IF(AND(#REF!&gt;180, #REF!&gt;200), "Heavy Doemstic User", IF(#REF!&gt;10, "Interntional User", IF(AND(#REF!&lt;180, #REF!&lt;200,#REF!&lt;200), "Light User", "Balanced User")))</f>
        <v>#REF!</v>
      </c>
      <c r="AC1101" t="e">
        <f>IF(#REF! = 0, "No Usage", IF(#REF! &lt;= 20, "Low Usage", IF(#REF! &lt;= 40, "Medium Usgae", "High Usage")))</f>
        <v>#REF!</v>
      </c>
      <c r="AD1101" t="e">
        <f>IF(#REF!&lt;=150,"Low Usage", IF(#REF!&lt;=200,"Medium Usage", IF(#REF!&lt;=250,"High Usage","Very High Usage")))</f>
        <v>#REF!</v>
      </c>
      <c r="AE1101" t="e">
        <f>IF(#REF!&lt;=5,"Low Calls", IF(#REF!&lt;=10, "Medium Calls", "High Calls"))</f>
        <v>#REF!</v>
      </c>
      <c r="AF1101" t="e">
        <f xml:space="preserve">
IF(#REF!&gt;=4,4,0)+
IF(#REF!="yes",3,0)+
IF(#REF!="High Charges",3,0)+
IF(#REF!&gt;250,4,0)+
IF(#REF!="no",1,0)+
IF(#REF!="Heavy Domestic User",2,0)</f>
        <v>#REF!</v>
      </c>
      <c r="AG1101" t="e">
        <f>IF(#REF!&gt;=10,"High Risk", IF(#REF!&gt;=5,"Medium Risk","Low Risk"))</f>
        <v>#REF!</v>
      </c>
      <c r="AH1101" t="e">
        <f>#REF! + #REF! + #REF! + #REF!</f>
        <v>#REF!</v>
      </c>
    </row>
    <row r="1102" spans="1:34" x14ac:dyDescent="0.35">
      <c r="A1102">
        <v>1101</v>
      </c>
      <c r="B1102" t="s">
        <v>38</v>
      </c>
      <c r="C1102">
        <v>10</v>
      </c>
      <c r="D1102" t="s">
        <v>21</v>
      </c>
      <c r="E1102" t="s">
        <v>22</v>
      </c>
      <c r="F1102" t="s">
        <v>22</v>
      </c>
      <c r="G1102">
        <v>0</v>
      </c>
      <c r="H1102">
        <v>222.2</v>
      </c>
      <c r="I1102">
        <v>127</v>
      </c>
      <c r="J1102">
        <v>37.770000000000003</v>
      </c>
      <c r="K1102">
        <v>153.1</v>
      </c>
      <c r="L1102">
        <v>125</v>
      </c>
      <c r="M1102">
        <v>13.01</v>
      </c>
      <c r="N1102">
        <v>227.4</v>
      </c>
      <c r="O1102">
        <v>80</v>
      </c>
      <c r="P1102">
        <v>10.23</v>
      </c>
      <c r="Q1102">
        <v>12.9</v>
      </c>
      <c r="R1102">
        <v>4</v>
      </c>
      <c r="S1102">
        <v>3.48</v>
      </c>
      <c r="T1102">
        <v>1</v>
      </c>
      <c r="U1102" t="s">
        <v>22</v>
      </c>
      <c r="V1102" t="e">
        <f>IF(#REF! = "yes", 1, 0)</f>
        <v>#REF!</v>
      </c>
      <c r="W1102" t="e">
        <f>IF(#REF! &lt;= 1, "0-1 Calls", IF(#REF! &lt;= 3, "2-3 Calls", IF(#REF! &lt;=5, "4-5 Calls", "6+ Calls")))</f>
        <v>#REF!</v>
      </c>
      <c r="X1102" t="e">
        <f>IF(#REF! &lt;= 50, "0-50", IF(#REF! &lt;=100, "51-100", IF(#REF! &lt;= 150, "101-150", "151+")))</f>
        <v>#REF!</v>
      </c>
      <c r="Y1102" t="e">
        <f>IF(#REF! &lt;= 3, "Low Charges", "High Charges")</f>
        <v>#REF!</v>
      </c>
      <c r="Z1102" t="e">
        <f>IF(#REF!&lt;=80,"Low Calls",
IF(#REF!&lt;=120,"Medium Calls","High Calls"))</f>
        <v>#REF!</v>
      </c>
      <c r="AA1102" t="e">
        <f>IF(#REF!&lt;=15,"Low Charges",
IF(#REF!&lt;=20,"Medium Charges","High Charges"))</f>
        <v>#REF!</v>
      </c>
      <c r="AB1102" t="e">
        <f>IF(AND(#REF!&gt;180, #REF!&gt;200), "Heavy Doemstic User", IF(#REF!&gt;10, "Interntional User", IF(AND(#REF!&lt;180, #REF!&lt;200,#REF!&lt;200), "Light User", "Balanced User")))</f>
        <v>#REF!</v>
      </c>
      <c r="AC1102" t="e">
        <f>IF(#REF! = 0, "No Usage", IF(#REF! &lt;= 20, "Low Usage", IF(#REF! &lt;= 40, "Medium Usgae", "High Usage")))</f>
        <v>#REF!</v>
      </c>
      <c r="AD1102" t="e">
        <f>IF(#REF!&lt;=150,"Low Usage", IF(#REF!&lt;=200,"Medium Usage", IF(#REF!&lt;=250,"High Usage","Very High Usage")))</f>
        <v>#REF!</v>
      </c>
      <c r="AE1102" t="e">
        <f>IF(#REF!&lt;=5,"Low Calls", IF(#REF!&lt;=10, "Medium Calls", "High Calls"))</f>
        <v>#REF!</v>
      </c>
      <c r="AF1102" t="e">
        <f xml:space="preserve">
IF(#REF!&gt;=4,4,0)+
IF(#REF!="yes",3,0)+
IF(#REF!="High Charges",3,0)+
IF(#REF!&gt;250,4,0)+
IF(#REF!="no",1,0)+
IF(#REF!="Heavy Domestic User",2,0)</f>
        <v>#REF!</v>
      </c>
      <c r="AG1102" t="e">
        <f>IF(#REF!&gt;=10,"High Risk", IF(#REF!&gt;=5,"Medium Risk","Low Risk"))</f>
        <v>#REF!</v>
      </c>
      <c r="AH1102" t="e">
        <f>#REF! + #REF! + #REF! + #REF!</f>
        <v>#REF!</v>
      </c>
    </row>
    <row r="1103" spans="1:34" x14ac:dyDescent="0.35">
      <c r="A1103">
        <v>1102</v>
      </c>
      <c r="B1103" t="s">
        <v>41</v>
      </c>
      <c r="C1103">
        <v>88</v>
      </c>
      <c r="D1103" t="s">
        <v>28</v>
      </c>
      <c r="E1103" t="s">
        <v>22</v>
      </c>
      <c r="F1103" t="s">
        <v>22</v>
      </c>
      <c r="G1103">
        <v>0</v>
      </c>
      <c r="H1103">
        <v>61.9</v>
      </c>
      <c r="I1103">
        <v>78</v>
      </c>
      <c r="J1103">
        <v>10.52</v>
      </c>
      <c r="K1103">
        <v>262.60000000000002</v>
      </c>
      <c r="L1103">
        <v>114</v>
      </c>
      <c r="M1103">
        <v>22.32</v>
      </c>
      <c r="N1103">
        <v>212.5</v>
      </c>
      <c r="O1103">
        <v>110</v>
      </c>
      <c r="P1103">
        <v>9.56</v>
      </c>
      <c r="Q1103">
        <v>8.8000000000000007</v>
      </c>
      <c r="R1103">
        <v>2</v>
      </c>
      <c r="S1103">
        <v>2.38</v>
      </c>
      <c r="T1103">
        <v>3</v>
      </c>
      <c r="U1103" t="s">
        <v>22</v>
      </c>
      <c r="V1103" t="e">
        <f>IF(#REF! = "yes", 1, 0)</f>
        <v>#REF!</v>
      </c>
      <c r="W1103" t="e">
        <f>IF(#REF! &lt;= 1, "0-1 Calls", IF(#REF! &lt;= 3, "2-3 Calls", IF(#REF! &lt;=5, "4-5 Calls", "6+ Calls")))</f>
        <v>#REF!</v>
      </c>
      <c r="X1103" t="e">
        <f>IF(#REF! &lt;= 50, "0-50", IF(#REF! &lt;=100, "51-100", IF(#REF! &lt;= 150, "101-150", "151+")))</f>
        <v>#REF!</v>
      </c>
      <c r="Y1103" t="e">
        <f>IF(#REF! &lt;= 3, "Low Charges", "High Charges")</f>
        <v>#REF!</v>
      </c>
      <c r="Z1103" t="e">
        <f>IF(#REF!&lt;=80,"Low Calls",
IF(#REF!&lt;=120,"Medium Calls","High Calls"))</f>
        <v>#REF!</v>
      </c>
      <c r="AA1103" t="e">
        <f>IF(#REF!&lt;=15,"Low Charges",
IF(#REF!&lt;=20,"Medium Charges","High Charges"))</f>
        <v>#REF!</v>
      </c>
      <c r="AB1103" t="e">
        <f>IF(AND(#REF!&gt;180, #REF!&gt;200), "Heavy Doemstic User", IF(#REF!&gt;10, "Interntional User", IF(AND(#REF!&lt;180, #REF!&lt;200,#REF!&lt;200), "Light User", "Balanced User")))</f>
        <v>#REF!</v>
      </c>
      <c r="AC1103" t="e">
        <f>IF(#REF! = 0, "No Usage", IF(#REF! &lt;= 20, "Low Usage", IF(#REF! &lt;= 40, "Medium Usgae", "High Usage")))</f>
        <v>#REF!</v>
      </c>
      <c r="AD1103" t="e">
        <f>IF(#REF!&lt;=150,"Low Usage", IF(#REF!&lt;=200,"Medium Usage", IF(#REF!&lt;=250,"High Usage","Very High Usage")))</f>
        <v>#REF!</v>
      </c>
      <c r="AE1103" t="e">
        <f>IF(#REF!&lt;=5,"Low Calls", IF(#REF!&lt;=10, "Medium Calls", "High Calls"))</f>
        <v>#REF!</v>
      </c>
      <c r="AF1103" t="e">
        <f xml:space="preserve">
IF(#REF!&gt;=4,4,0)+
IF(#REF!="yes",3,0)+
IF(#REF!="High Charges",3,0)+
IF(#REF!&gt;250,4,0)+
IF(#REF!="no",1,0)+
IF(#REF!="Heavy Domestic User",2,0)</f>
        <v>#REF!</v>
      </c>
      <c r="AG1103" t="e">
        <f>IF(#REF!&gt;=10,"High Risk", IF(#REF!&gt;=5,"Medium Risk","Low Risk"))</f>
        <v>#REF!</v>
      </c>
      <c r="AH1103" t="e">
        <f>#REF! + #REF! + #REF! + #REF!</f>
        <v>#REF!</v>
      </c>
    </row>
    <row r="1104" spans="1:34" x14ac:dyDescent="0.35">
      <c r="A1104">
        <v>1103</v>
      </c>
      <c r="B1104" t="s">
        <v>30</v>
      </c>
      <c r="C1104">
        <v>89</v>
      </c>
      <c r="D1104" t="s">
        <v>21</v>
      </c>
      <c r="E1104" t="s">
        <v>22</v>
      </c>
      <c r="F1104" t="s">
        <v>22</v>
      </c>
      <c r="G1104">
        <v>0</v>
      </c>
      <c r="H1104">
        <v>141.1</v>
      </c>
      <c r="I1104">
        <v>92</v>
      </c>
      <c r="J1104">
        <v>23.99</v>
      </c>
      <c r="K1104">
        <v>249.1</v>
      </c>
      <c r="L1104">
        <v>126</v>
      </c>
      <c r="M1104">
        <v>21.17</v>
      </c>
      <c r="N1104">
        <v>136</v>
      </c>
      <c r="O1104">
        <v>73</v>
      </c>
      <c r="P1104">
        <v>6.12</v>
      </c>
      <c r="Q1104">
        <v>10.8</v>
      </c>
      <c r="R1104">
        <v>2</v>
      </c>
      <c r="S1104">
        <v>2.92</v>
      </c>
      <c r="T1104">
        <v>2</v>
      </c>
      <c r="U1104" t="s">
        <v>22</v>
      </c>
      <c r="V1104" t="e">
        <f>IF(#REF! = "yes", 1, 0)</f>
        <v>#REF!</v>
      </c>
      <c r="W1104" t="e">
        <f>IF(#REF! &lt;= 1, "0-1 Calls", IF(#REF! &lt;= 3, "2-3 Calls", IF(#REF! &lt;=5, "4-5 Calls", "6+ Calls")))</f>
        <v>#REF!</v>
      </c>
      <c r="X1104" t="e">
        <f>IF(#REF! &lt;= 50, "0-50", IF(#REF! &lt;=100, "51-100", IF(#REF! &lt;= 150, "101-150", "151+")))</f>
        <v>#REF!</v>
      </c>
      <c r="Y1104" t="e">
        <f>IF(#REF! &lt;= 3, "Low Charges", "High Charges")</f>
        <v>#REF!</v>
      </c>
      <c r="Z1104" t="e">
        <f>IF(#REF!&lt;=80,"Low Calls",
IF(#REF!&lt;=120,"Medium Calls","High Calls"))</f>
        <v>#REF!</v>
      </c>
      <c r="AA1104" t="e">
        <f>IF(#REF!&lt;=15,"Low Charges",
IF(#REF!&lt;=20,"Medium Charges","High Charges"))</f>
        <v>#REF!</v>
      </c>
      <c r="AB1104" t="e">
        <f>IF(AND(#REF!&gt;180, #REF!&gt;200), "Heavy Doemstic User", IF(#REF!&gt;10, "Interntional User", IF(AND(#REF!&lt;180, #REF!&lt;200,#REF!&lt;200), "Light User", "Balanced User")))</f>
        <v>#REF!</v>
      </c>
      <c r="AC1104" t="e">
        <f>IF(#REF! = 0, "No Usage", IF(#REF! &lt;= 20, "Low Usage", IF(#REF! &lt;= 40, "Medium Usgae", "High Usage")))</f>
        <v>#REF!</v>
      </c>
      <c r="AD1104" t="e">
        <f>IF(#REF!&lt;=150,"Low Usage", IF(#REF!&lt;=200,"Medium Usage", IF(#REF!&lt;=250,"High Usage","Very High Usage")))</f>
        <v>#REF!</v>
      </c>
      <c r="AE1104" t="e">
        <f>IF(#REF!&lt;=5,"Low Calls", IF(#REF!&lt;=10, "Medium Calls", "High Calls"))</f>
        <v>#REF!</v>
      </c>
      <c r="AF1104" t="e">
        <f xml:space="preserve">
IF(#REF!&gt;=4,4,0)+
IF(#REF!="yes",3,0)+
IF(#REF!="High Charges",3,0)+
IF(#REF!&gt;250,4,0)+
IF(#REF!="no",1,0)+
IF(#REF!="Heavy Domestic User",2,0)</f>
        <v>#REF!</v>
      </c>
      <c r="AG1104" t="e">
        <f>IF(#REF!&gt;=10,"High Risk", IF(#REF!&gt;=5,"Medium Risk","Low Risk"))</f>
        <v>#REF!</v>
      </c>
      <c r="AH1104" t="e">
        <f>#REF! + #REF! + #REF! + #REF!</f>
        <v>#REF!</v>
      </c>
    </row>
    <row r="1105" spans="1:34" x14ac:dyDescent="0.35">
      <c r="A1105">
        <v>1104</v>
      </c>
      <c r="B1105" t="s">
        <v>39</v>
      </c>
      <c r="C1105">
        <v>82</v>
      </c>
      <c r="D1105" t="s">
        <v>21</v>
      </c>
      <c r="E1105" t="s">
        <v>22</v>
      </c>
      <c r="F1105" t="s">
        <v>22</v>
      </c>
      <c r="G1105">
        <v>0</v>
      </c>
      <c r="H1105">
        <v>189.2</v>
      </c>
      <c r="I1105">
        <v>81</v>
      </c>
      <c r="J1105">
        <v>32.159999999999997</v>
      </c>
      <c r="K1105">
        <v>184.4</v>
      </c>
      <c r="L1105">
        <v>117</v>
      </c>
      <c r="M1105">
        <v>15.67</v>
      </c>
      <c r="N1105">
        <v>255.8</v>
      </c>
      <c r="O1105">
        <v>83</v>
      </c>
      <c r="P1105">
        <v>11.51</v>
      </c>
      <c r="Q1105">
        <v>10.6</v>
      </c>
      <c r="R1105">
        <v>5</v>
      </c>
      <c r="S1105">
        <v>2.86</v>
      </c>
      <c r="T1105">
        <v>3</v>
      </c>
      <c r="U1105" t="s">
        <v>23</v>
      </c>
      <c r="V1105" t="e">
        <f>IF(#REF! = "yes", 1, 0)</f>
        <v>#REF!</v>
      </c>
      <c r="W1105" t="e">
        <f>IF(#REF! &lt;= 1, "0-1 Calls", IF(#REF! &lt;= 3, "2-3 Calls", IF(#REF! &lt;=5, "4-5 Calls", "6+ Calls")))</f>
        <v>#REF!</v>
      </c>
      <c r="X1105" t="e">
        <f>IF(#REF! &lt;= 50, "0-50", IF(#REF! &lt;=100, "51-100", IF(#REF! &lt;= 150, "101-150", "151+")))</f>
        <v>#REF!</v>
      </c>
      <c r="Y1105" t="e">
        <f>IF(#REF! &lt;= 3, "Low Charges", "High Charges")</f>
        <v>#REF!</v>
      </c>
      <c r="Z1105" t="e">
        <f>IF(#REF!&lt;=80,"Low Calls",
IF(#REF!&lt;=120,"Medium Calls","High Calls"))</f>
        <v>#REF!</v>
      </c>
      <c r="AA1105" t="e">
        <f>IF(#REF!&lt;=15,"Low Charges",
IF(#REF!&lt;=20,"Medium Charges","High Charges"))</f>
        <v>#REF!</v>
      </c>
      <c r="AB1105" t="e">
        <f>IF(AND(#REF!&gt;180, #REF!&gt;200), "Heavy Doemstic User", IF(#REF!&gt;10, "Interntional User", IF(AND(#REF!&lt;180, #REF!&lt;200,#REF!&lt;200), "Light User", "Balanced User")))</f>
        <v>#REF!</v>
      </c>
      <c r="AC1105" t="e">
        <f>IF(#REF! = 0, "No Usage", IF(#REF! &lt;= 20, "Low Usage", IF(#REF! &lt;= 40, "Medium Usgae", "High Usage")))</f>
        <v>#REF!</v>
      </c>
      <c r="AD1105" t="e">
        <f>IF(#REF!&lt;=150,"Low Usage", IF(#REF!&lt;=200,"Medium Usage", IF(#REF!&lt;=250,"High Usage","Very High Usage")))</f>
        <v>#REF!</v>
      </c>
      <c r="AE1105" t="e">
        <f>IF(#REF!&lt;=5,"Low Calls", IF(#REF!&lt;=10, "Medium Calls", "High Calls"))</f>
        <v>#REF!</v>
      </c>
      <c r="AF1105" t="e">
        <f xml:space="preserve">
IF(#REF!&gt;=4,4,0)+
IF(#REF!="yes",3,0)+
IF(#REF!="High Charges",3,0)+
IF(#REF!&gt;250,4,0)+
IF(#REF!="no",1,0)+
IF(#REF!="Heavy Domestic User",2,0)</f>
        <v>#REF!</v>
      </c>
      <c r="AG1105" t="e">
        <f>IF(#REF!&gt;=10,"High Risk", IF(#REF!&gt;=5,"Medium Risk","Low Risk"))</f>
        <v>#REF!</v>
      </c>
      <c r="AH1105" t="e">
        <f>#REF! + #REF! + #REF! + #REF!</f>
        <v>#REF!</v>
      </c>
    </row>
    <row r="1106" spans="1:34" x14ac:dyDescent="0.35">
      <c r="A1106">
        <v>1105</v>
      </c>
      <c r="B1106" t="s">
        <v>57</v>
      </c>
      <c r="C1106">
        <v>139</v>
      </c>
      <c r="D1106" t="s">
        <v>28</v>
      </c>
      <c r="E1106" t="s">
        <v>22</v>
      </c>
      <c r="F1106" t="s">
        <v>22</v>
      </c>
      <c r="G1106">
        <v>0</v>
      </c>
      <c r="H1106">
        <v>196</v>
      </c>
      <c r="I1106">
        <v>135</v>
      </c>
      <c r="J1106">
        <v>33.32</v>
      </c>
      <c r="K1106">
        <v>186</v>
      </c>
      <c r="L1106">
        <v>146</v>
      </c>
      <c r="M1106">
        <v>15.81</v>
      </c>
      <c r="N1106">
        <v>153</v>
      </c>
      <c r="O1106">
        <v>92</v>
      </c>
      <c r="P1106">
        <v>6.89</v>
      </c>
      <c r="Q1106">
        <v>9.8000000000000007</v>
      </c>
      <c r="R1106">
        <v>1</v>
      </c>
      <c r="S1106">
        <v>2.65</v>
      </c>
      <c r="T1106">
        <v>3</v>
      </c>
      <c r="U1106" t="s">
        <v>22</v>
      </c>
      <c r="V1106" t="e">
        <f>IF(#REF! = "yes", 1, 0)</f>
        <v>#REF!</v>
      </c>
      <c r="W1106" t="e">
        <f>IF(#REF! &lt;= 1, "0-1 Calls", IF(#REF! &lt;= 3, "2-3 Calls", IF(#REF! &lt;=5, "4-5 Calls", "6+ Calls")))</f>
        <v>#REF!</v>
      </c>
      <c r="X1106" t="e">
        <f>IF(#REF! &lt;= 50, "0-50", IF(#REF! &lt;=100, "51-100", IF(#REF! &lt;= 150, "101-150", "151+")))</f>
        <v>#REF!</v>
      </c>
      <c r="Y1106" t="e">
        <f>IF(#REF! &lt;= 3, "Low Charges", "High Charges")</f>
        <v>#REF!</v>
      </c>
      <c r="Z1106" t="e">
        <f>IF(#REF!&lt;=80,"Low Calls",
IF(#REF!&lt;=120,"Medium Calls","High Calls"))</f>
        <v>#REF!</v>
      </c>
      <c r="AA1106" t="e">
        <f>IF(#REF!&lt;=15,"Low Charges",
IF(#REF!&lt;=20,"Medium Charges","High Charges"))</f>
        <v>#REF!</v>
      </c>
      <c r="AB1106" t="e">
        <f>IF(AND(#REF!&gt;180, #REF!&gt;200), "Heavy Doemstic User", IF(#REF!&gt;10, "Interntional User", IF(AND(#REF!&lt;180, #REF!&lt;200,#REF!&lt;200), "Light User", "Balanced User")))</f>
        <v>#REF!</v>
      </c>
      <c r="AC1106" t="e">
        <f>IF(#REF! = 0, "No Usage", IF(#REF! &lt;= 20, "Low Usage", IF(#REF! &lt;= 40, "Medium Usgae", "High Usage")))</f>
        <v>#REF!</v>
      </c>
      <c r="AD1106" t="e">
        <f>IF(#REF!&lt;=150,"Low Usage", IF(#REF!&lt;=200,"Medium Usage", IF(#REF!&lt;=250,"High Usage","Very High Usage")))</f>
        <v>#REF!</v>
      </c>
      <c r="AE1106" t="e">
        <f>IF(#REF!&lt;=5,"Low Calls", IF(#REF!&lt;=10, "Medium Calls", "High Calls"))</f>
        <v>#REF!</v>
      </c>
      <c r="AF1106" t="e">
        <f xml:space="preserve">
IF(#REF!&gt;=4,4,0)+
IF(#REF!="yes",3,0)+
IF(#REF!="High Charges",3,0)+
IF(#REF!&gt;250,4,0)+
IF(#REF!="no",1,0)+
IF(#REF!="Heavy Domestic User",2,0)</f>
        <v>#REF!</v>
      </c>
      <c r="AG1106" t="e">
        <f>IF(#REF!&gt;=10,"High Risk", IF(#REF!&gt;=5,"Medium Risk","Low Risk"))</f>
        <v>#REF!</v>
      </c>
      <c r="AH1106" t="e">
        <f>#REF! + #REF! + #REF! + #REF!</f>
        <v>#REF!</v>
      </c>
    </row>
    <row r="1107" spans="1:34" x14ac:dyDescent="0.35">
      <c r="A1107">
        <v>1106</v>
      </c>
      <c r="B1107" t="s">
        <v>38</v>
      </c>
      <c r="C1107">
        <v>87</v>
      </c>
      <c r="D1107" t="s">
        <v>21</v>
      </c>
      <c r="E1107" t="s">
        <v>22</v>
      </c>
      <c r="F1107" t="s">
        <v>22</v>
      </c>
      <c r="G1107">
        <v>0</v>
      </c>
      <c r="H1107">
        <v>171.6</v>
      </c>
      <c r="I1107">
        <v>119</v>
      </c>
      <c r="J1107">
        <v>29.17</v>
      </c>
      <c r="K1107">
        <v>205</v>
      </c>
      <c r="L1107">
        <v>107</v>
      </c>
      <c r="M1107">
        <v>17.43</v>
      </c>
      <c r="N1107">
        <v>170.6</v>
      </c>
      <c r="O1107">
        <v>114</v>
      </c>
      <c r="P1107">
        <v>7.68</v>
      </c>
      <c r="Q1107">
        <v>13.8</v>
      </c>
      <c r="R1107">
        <v>4</v>
      </c>
      <c r="S1107">
        <v>3.73</v>
      </c>
      <c r="T1107">
        <v>0</v>
      </c>
      <c r="U1107" t="s">
        <v>22</v>
      </c>
      <c r="V1107" t="e">
        <f>IF(#REF! = "yes", 1, 0)</f>
        <v>#REF!</v>
      </c>
      <c r="W1107" t="e">
        <f>IF(#REF! &lt;= 1, "0-1 Calls", IF(#REF! &lt;= 3, "2-3 Calls", IF(#REF! &lt;=5, "4-5 Calls", "6+ Calls")))</f>
        <v>#REF!</v>
      </c>
      <c r="X1107" t="e">
        <f>IF(#REF! &lt;= 50, "0-50", IF(#REF! &lt;=100, "51-100", IF(#REF! &lt;= 150, "101-150", "151+")))</f>
        <v>#REF!</v>
      </c>
      <c r="Y1107" t="e">
        <f>IF(#REF! &lt;= 3, "Low Charges", "High Charges")</f>
        <v>#REF!</v>
      </c>
      <c r="Z1107" t="e">
        <f>IF(#REF!&lt;=80,"Low Calls",
IF(#REF!&lt;=120,"Medium Calls","High Calls"))</f>
        <v>#REF!</v>
      </c>
      <c r="AA1107" t="e">
        <f>IF(#REF!&lt;=15,"Low Charges",
IF(#REF!&lt;=20,"Medium Charges","High Charges"))</f>
        <v>#REF!</v>
      </c>
      <c r="AB1107" t="e">
        <f>IF(AND(#REF!&gt;180, #REF!&gt;200), "Heavy Doemstic User", IF(#REF!&gt;10, "Interntional User", IF(AND(#REF!&lt;180, #REF!&lt;200,#REF!&lt;200), "Light User", "Balanced User")))</f>
        <v>#REF!</v>
      </c>
      <c r="AC1107" t="e">
        <f>IF(#REF! = 0, "No Usage", IF(#REF! &lt;= 20, "Low Usage", IF(#REF! &lt;= 40, "Medium Usgae", "High Usage")))</f>
        <v>#REF!</v>
      </c>
      <c r="AD1107" t="e">
        <f>IF(#REF!&lt;=150,"Low Usage", IF(#REF!&lt;=200,"Medium Usage", IF(#REF!&lt;=250,"High Usage","Very High Usage")))</f>
        <v>#REF!</v>
      </c>
      <c r="AE1107" t="e">
        <f>IF(#REF!&lt;=5,"Low Calls", IF(#REF!&lt;=10, "Medium Calls", "High Calls"))</f>
        <v>#REF!</v>
      </c>
      <c r="AF1107" t="e">
        <f xml:space="preserve">
IF(#REF!&gt;=4,4,0)+
IF(#REF!="yes",3,0)+
IF(#REF!="High Charges",3,0)+
IF(#REF!&gt;250,4,0)+
IF(#REF!="no",1,0)+
IF(#REF!="Heavy Domestic User",2,0)</f>
        <v>#REF!</v>
      </c>
      <c r="AG1107" t="e">
        <f>IF(#REF!&gt;=10,"High Risk", IF(#REF!&gt;=5,"Medium Risk","Low Risk"))</f>
        <v>#REF!</v>
      </c>
      <c r="AH1107" t="e">
        <f>#REF! + #REF! + #REF! + #REF!</f>
        <v>#REF!</v>
      </c>
    </row>
    <row r="1108" spans="1:34" x14ac:dyDescent="0.35">
      <c r="A1108">
        <v>1107</v>
      </c>
      <c r="B1108" t="s">
        <v>36</v>
      </c>
      <c r="C1108">
        <v>137</v>
      </c>
      <c r="D1108" t="s">
        <v>21</v>
      </c>
      <c r="E1108" t="s">
        <v>23</v>
      </c>
      <c r="F1108" t="s">
        <v>22</v>
      </c>
      <c r="G1108">
        <v>0</v>
      </c>
      <c r="H1108">
        <v>174</v>
      </c>
      <c r="I1108">
        <v>123</v>
      </c>
      <c r="J1108">
        <v>29.58</v>
      </c>
      <c r="K1108">
        <v>161.30000000000001</v>
      </c>
      <c r="L1108">
        <v>115</v>
      </c>
      <c r="M1108">
        <v>13.71</v>
      </c>
      <c r="N1108">
        <v>260.7</v>
      </c>
      <c r="O1108">
        <v>98</v>
      </c>
      <c r="P1108">
        <v>11.73</v>
      </c>
      <c r="Q1108">
        <v>11.4</v>
      </c>
      <c r="R1108">
        <v>3</v>
      </c>
      <c r="S1108">
        <v>3.08</v>
      </c>
      <c r="T1108">
        <v>2</v>
      </c>
      <c r="U1108" t="s">
        <v>22</v>
      </c>
      <c r="V1108" t="e">
        <f>IF(#REF! = "yes", 1, 0)</f>
        <v>#REF!</v>
      </c>
      <c r="W1108" t="e">
        <f>IF(#REF! &lt;= 1, "0-1 Calls", IF(#REF! &lt;= 3, "2-3 Calls", IF(#REF! &lt;=5, "4-5 Calls", "6+ Calls")))</f>
        <v>#REF!</v>
      </c>
      <c r="X1108" t="e">
        <f>IF(#REF! &lt;= 50, "0-50", IF(#REF! &lt;=100, "51-100", IF(#REF! &lt;= 150, "101-150", "151+")))</f>
        <v>#REF!</v>
      </c>
      <c r="Y1108" t="e">
        <f>IF(#REF! &lt;= 3, "Low Charges", "High Charges")</f>
        <v>#REF!</v>
      </c>
      <c r="Z1108" t="e">
        <f>IF(#REF!&lt;=80,"Low Calls",
IF(#REF!&lt;=120,"Medium Calls","High Calls"))</f>
        <v>#REF!</v>
      </c>
      <c r="AA1108" t="e">
        <f>IF(#REF!&lt;=15,"Low Charges",
IF(#REF!&lt;=20,"Medium Charges","High Charges"))</f>
        <v>#REF!</v>
      </c>
      <c r="AB1108" t="e">
        <f>IF(AND(#REF!&gt;180, #REF!&gt;200), "Heavy Doemstic User", IF(#REF!&gt;10, "Interntional User", IF(AND(#REF!&lt;180, #REF!&lt;200,#REF!&lt;200), "Light User", "Balanced User")))</f>
        <v>#REF!</v>
      </c>
      <c r="AC1108" t="e">
        <f>IF(#REF! = 0, "No Usage", IF(#REF! &lt;= 20, "Low Usage", IF(#REF! &lt;= 40, "Medium Usgae", "High Usage")))</f>
        <v>#REF!</v>
      </c>
      <c r="AD1108" t="e">
        <f>IF(#REF!&lt;=150,"Low Usage", IF(#REF!&lt;=200,"Medium Usage", IF(#REF!&lt;=250,"High Usage","Very High Usage")))</f>
        <v>#REF!</v>
      </c>
      <c r="AE1108" t="e">
        <f>IF(#REF!&lt;=5,"Low Calls", IF(#REF!&lt;=10, "Medium Calls", "High Calls"))</f>
        <v>#REF!</v>
      </c>
      <c r="AF1108" t="e">
        <f xml:space="preserve">
IF(#REF!&gt;=4,4,0)+
IF(#REF!="yes",3,0)+
IF(#REF!="High Charges",3,0)+
IF(#REF!&gt;250,4,0)+
IF(#REF!="no",1,0)+
IF(#REF!="Heavy Domestic User",2,0)</f>
        <v>#REF!</v>
      </c>
      <c r="AG1108" t="e">
        <f>IF(#REF!&gt;=10,"High Risk", IF(#REF!&gt;=5,"Medium Risk","Low Risk"))</f>
        <v>#REF!</v>
      </c>
      <c r="AH1108" t="e">
        <f>#REF! + #REF! + #REF! + #REF!</f>
        <v>#REF!</v>
      </c>
    </row>
    <row r="1109" spans="1:34" x14ac:dyDescent="0.35">
      <c r="A1109">
        <v>1108</v>
      </c>
      <c r="B1109" t="s">
        <v>59</v>
      </c>
      <c r="C1109">
        <v>45</v>
      </c>
      <c r="D1109" t="s">
        <v>28</v>
      </c>
      <c r="E1109" t="s">
        <v>22</v>
      </c>
      <c r="F1109" t="s">
        <v>22</v>
      </c>
      <c r="G1109">
        <v>0</v>
      </c>
      <c r="H1109">
        <v>78.599999999999994</v>
      </c>
      <c r="I1109">
        <v>106</v>
      </c>
      <c r="J1109">
        <v>13.36</v>
      </c>
      <c r="K1109">
        <v>187.3</v>
      </c>
      <c r="L1109">
        <v>110</v>
      </c>
      <c r="M1109">
        <v>15.92</v>
      </c>
      <c r="N1109">
        <v>184.2</v>
      </c>
      <c r="O1109">
        <v>111</v>
      </c>
      <c r="P1109">
        <v>8.2899999999999991</v>
      </c>
      <c r="Q1109">
        <v>7.4</v>
      </c>
      <c r="R1109">
        <v>5</v>
      </c>
      <c r="S1109">
        <v>2</v>
      </c>
      <c r="T1109">
        <v>1</v>
      </c>
      <c r="U1109" t="s">
        <v>23</v>
      </c>
      <c r="V1109" t="e">
        <f>IF(#REF! = "yes", 1, 0)</f>
        <v>#REF!</v>
      </c>
      <c r="W1109" t="e">
        <f>IF(#REF! &lt;= 1, "0-1 Calls", IF(#REF! &lt;= 3, "2-3 Calls", IF(#REF! &lt;=5, "4-5 Calls", "6+ Calls")))</f>
        <v>#REF!</v>
      </c>
      <c r="X1109" t="e">
        <f>IF(#REF! &lt;= 50, "0-50", IF(#REF! &lt;=100, "51-100", IF(#REF! &lt;= 150, "101-150", "151+")))</f>
        <v>#REF!</v>
      </c>
      <c r="Y1109" t="e">
        <f>IF(#REF! &lt;= 3, "Low Charges", "High Charges")</f>
        <v>#REF!</v>
      </c>
      <c r="Z1109" t="e">
        <f>IF(#REF!&lt;=80,"Low Calls",
IF(#REF!&lt;=120,"Medium Calls","High Calls"))</f>
        <v>#REF!</v>
      </c>
      <c r="AA1109" t="e">
        <f>IF(#REF!&lt;=15,"Low Charges",
IF(#REF!&lt;=20,"Medium Charges","High Charges"))</f>
        <v>#REF!</v>
      </c>
      <c r="AB1109" t="e">
        <f>IF(AND(#REF!&gt;180, #REF!&gt;200), "Heavy Doemstic User", IF(#REF!&gt;10, "Interntional User", IF(AND(#REF!&lt;180, #REF!&lt;200,#REF!&lt;200), "Light User", "Balanced User")))</f>
        <v>#REF!</v>
      </c>
      <c r="AC1109" t="e">
        <f>IF(#REF! = 0, "No Usage", IF(#REF! &lt;= 20, "Low Usage", IF(#REF! &lt;= 40, "Medium Usgae", "High Usage")))</f>
        <v>#REF!</v>
      </c>
      <c r="AD1109" t="e">
        <f>IF(#REF!&lt;=150,"Low Usage", IF(#REF!&lt;=200,"Medium Usage", IF(#REF!&lt;=250,"High Usage","Very High Usage")))</f>
        <v>#REF!</v>
      </c>
      <c r="AE1109" t="e">
        <f>IF(#REF!&lt;=5,"Low Calls", IF(#REF!&lt;=10, "Medium Calls", "High Calls"))</f>
        <v>#REF!</v>
      </c>
      <c r="AF1109" t="e">
        <f xml:space="preserve">
IF(#REF!&gt;=4,4,0)+
IF(#REF!="yes",3,0)+
IF(#REF!="High Charges",3,0)+
IF(#REF!&gt;250,4,0)+
IF(#REF!="no",1,0)+
IF(#REF!="Heavy Domestic User",2,0)</f>
        <v>#REF!</v>
      </c>
      <c r="AG1109" t="e">
        <f>IF(#REF!&gt;=10,"High Risk", IF(#REF!&gt;=5,"Medium Risk","Low Risk"))</f>
        <v>#REF!</v>
      </c>
      <c r="AH1109" t="e">
        <f>#REF! + #REF! + #REF! + #REF!</f>
        <v>#REF!</v>
      </c>
    </row>
    <row r="1110" spans="1:34" x14ac:dyDescent="0.35">
      <c r="A1110">
        <v>1109</v>
      </c>
      <c r="B1110" t="s">
        <v>51</v>
      </c>
      <c r="C1110">
        <v>90</v>
      </c>
      <c r="D1110" t="s">
        <v>21</v>
      </c>
      <c r="E1110" t="s">
        <v>22</v>
      </c>
      <c r="F1110" t="s">
        <v>22</v>
      </c>
      <c r="G1110">
        <v>0</v>
      </c>
      <c r="H1110">
        <v>200.9</v>
      </c>
      <c r="I1110">
        <v>92</v>
      </c>
      <c r="J1110">
        <v>34.15</v>
      </c>
      <c r="K1110">
        <v>164.3</v>
      </c>
      <c r="L1110">
        <v>91</v>
      </c>
      <c r="M1110">
        <v>13.97</v>
      </c>
      <c r="N1110">
        <v>249</v>
      </c>
      <c r="O1110">
        <v>98</v>
      </c>
      <c r="P1110">
        <v>11.21</v>
      </c>
      <c r="Q1110">
        <v>8.9</v>
      </c>
      <c r="R1110">
        <v>7</v>
      </c>
      <c r="S1110">
        <v>2.4</v>
      </c>
      <c r="T1110">
        <v>1</v>
      </c>
      <c r="U1110" t="s">
        <v>22</v>
      </c>
      <c r="V1110" t="e">
        <f>IF(#REF! = "yes", 1, 0)</f>
        <v>#REF!</v>
      </c>
      <c r="W1110" t="e">
        <f>IF(#REF! &lt;= 1, "0-1 Calls", IF(#REF! &lt;= 3, "2-3 Calls", IF(#REF! &lt;=5, "4-5 Calls", "6+ Calls")))</f>
        <v>#REF!</v>
      </c>
      <c r="X1110" t="e">
        <f>IF(#REF! &lt;= 50, "0-50", IF(#REF! &lt;=100, "51-100", IF(#REF! &lt;= 150, "101-150", "151+")))</f>
        <v>#REF!</v>
      </c>
      <c r="Y1110" t="e">
        <f>IF(#REF! &lt;= 3, "Low Charges", "High Charges")</f>
        <v>#REF!</v>
      </c>
      <c r="Z1110" t="e">
        <f>IF(#REF!&lt;=80,"Low Calls",
IF(#REF!&lt;=120,"Medium Calls","High Calls"))</f>
        <v>#REF!</v>
      </c>
      <c r="AA1110" t="e">
        <f>IF(#REF!&lt;=15,"Low Charges",
IF(#REF!&lt;=20,"Medium Charges","High Charges"))</f>
        <v>#REF!</v>
      </c>
      <c r="AB1110" t="e">
        <f>IF(AND(#REF!&gt;180, #REF!&gt;200), "Heavy Doemstic User", IF(#REF!&gt;10, "Interntional User", IF(AND(#REF!&lt;180, #REF!&lt;200,#REF!&lt;200), "Light User", "Balanced User")))</f>
        <v>#REF!</v>
      </c>
      <c r="AC1110" t="e">
        <f>IF(#REF! = 0, "No Usage", IF(#REF! &lt;= 20, "Low Usage", IF(#REF! &lt;= 40, "Medium Usgae", "High Usage")))</f>
        <v>#REF!</v>
      </c>
      <c r="AD1110" t="e">
        <f>IF(#REF!&lt;=150,"Low Usage", IF(#REF!&lt;=200,"Medium Usage", IF(#REF!&lt;=250,"High Usage","Very High Usage")))</f>
        <v>#REF!</v>
      </c>
      <c r="AE1110" t="e">
        <f>IF(#REF!&lt;=5,"Low Calls", IF(#REF!&lt;=10, "Medium Calls", "High Calls"))</f>
        <v>#REF!</v>
      </c>
      <c r="AF1110" t="e">
        <f xml:space="preserve">
IF(#REF!&gt;=4,4,0)+
IF(#REF!="yes",3,0)+
IF(#REF!="High Charges",3,0)+
IF(#REF!&gt;250,4,0)+
IF(#REF!="no",1,0)+
IF(#REF!="Heavy Domestic User",2,0)</f>
        <v>#REF!</v>
      </c>
      <c r="AG1110" t="e">
        <f>IF(#REF!&gt;=10,"High Risk", IF(#REF!&gt;=5,"Medium Risk","Low Risk"))</f>
        <v>#REF!</v>
      </c>
      <c r="AH1110" t="e">
        <f>#REF! + #REF! + #REF! + #REF!</f>
        <v>#REF!</v>
      </c>
    </row>
    <row r="1111" spans="1:34" x14ac:dyDescent="0.35">
      <c r="A1111">
        <v>1110</v>
      </c>
      <c r="B1111" t="s">
        <v>71</v>
      </c>
      <c r="C1111">
        <v>103</v>
      </c>
      <c r="D1111" t="s">
        <v>21</v>
      </c>
      <c r="E1111" t="s">
        <v>22</v>
      </c>
      <c r="F1111" t="s">
        <v>22</v>
      </c>
      <c r="G1111">
        <v>0</v>
      </c>
      <c r="H1111">
        <v>141.30000000000001</v>
      </c>
      <c r="I1111">
        <v>123</v>
      </c>
      <c r="J1111">
        <v>24.02</v>
      </c>
      <c r="K1111">
        <v>253.6</v>
      </c>
      <c r="L1111">
        <v>87</v>
      </c>
      <c r="M1111">
        <v>21.56</v>
      </c>
      <c r="N1111">
        <v>215.8</v>
      </c>
      <c r="O1111">
        <v>96</v>
      </c>
      <c r="P1111">
        <v>9.7100000000000009</v>
      </c>
      <c r="Q1111">
        <v>6.4</v>
      </c>
      <c r="R1111">
        <v>2</v>
      </c>
      <c r="S1111">
        <v>1.73</v>
      </c>
      <c r="T1111">
        <v>1</v>
      </c>
      <c r="U1111" t="s">
        <v>22</v>
      </c>
      <c r="V1111" t="e">
        <f>IF(#REF! = "yes", 1, 0)</f>
        <v>#REF!</v>
      </c>
      <c r="W1111" t="e">
        <f>IF(#REF! &lt;= 1, "0-1 Calls", IF(#REF! &lt;= 3, "2-3 Calls", IF(#REF! &lt;=5, "4-5 Calls", "6+ Calls")))</f>
        <v>#REF!</v>
      </c>
      <c r="X1111" t="e">
        <f>IF(#REF! &lt;= 50, "0-50", IF(#REF! &lt;=100, "51-100", IF(#REF! &lt;= 150, "101-150", "151+")))</f>
        <v>#REF!</v>
      </c>
      <c r="Y1111" t="e">
        <f>IF(#REF! &lt;= 3, "Low Charges", "High Charges")</f>
        <v>#REF!</v>
      </c>
      <c r="Z1111" t="e">
        <f>IF(#REF!&lt;=80,"Low Calls",
IF(#REF!&lt;=120,"Medium Calls","High Calls"))</f>
        <v>#REF!</v>
      </c>
      <c r="AA1111" t="e">
        <f>IF(#REF!&lt;=15,"Low Charges",
IF(#REF!&lt;=20,"Medium Charges","High Charges"))</f>
        <v>#REF!</v>
      </c>
      <c r="AB1111" t="e">
        <f>IF(AND(#REF!&gt;180, #REF!&gt;200), "Heavy Doemstic User", IF(#REF!&gt;10, "Interntional User", IF(AND(#REF!&lt;180, #REF!&lt;200,#REF!&lt;200), "Light User", "Balanced User")))</f>
        <v>#REF!</v>
      </c>
      <c r="AC1111" t="e">
        <f>IF(#REF! = 0, "No Usage", IF(#REF! &lt;= 20, "Low Usage", IF(#REF! &lt;= 40, "Medium Usgae", "High Usage")))</f>
        <v>#REF!</v>
      </c>
      <c r="AD1111" t="e">
        <f>IF(#REF!&lt;=150,"Low Usage", IF(#REF!&lt;=200,"Medium Usage", IF(#REF!&lt;=250,"High Usage","Very High Usage")))</f>
        <v>#REF!</v>
      </c>
      <c r="AE1111" t="e">
        <f>IF(#REF!&lt;=5,"Low Calls", IF(#REF!&lt;=10, "Medium Calls", "High Calls"))</f>
        <v>#REF!</v>
      </c>
      <c r="AF1111" t="e">
        <f xml:space="preserve">
IF(#REF!&gt;=4,4,0)+
IF(#REF!="yes",3,0)+
IF(#REF!="High Charges",3,0)+
IF(#REF!&gt;250,4,0)+
IF(#REF!="no",1,0)+
IF(#REF!="Heavy Domestic User",2,0)</f>
        <v>#REF!</v>
      </c>
      <c r="AG1111" t="e">
        <f>IF(#REF!&gt;=10,"High Risk", IF(#REF!&gt;=5,"Medium Risk","Low Risk"))</f>
        <v>#REF!</v>
      </c>
      <c r="AH1111" t="e">
        <f>#REF! + #REF! + #REF! + #REF!</f>
        <v>#REF!</v>
      </c>
    </row>
    <row r="1112" spans="1:34" x14ac:dyDescent="0.35">
      <c r="A1112">
        <v>1111</v>
      </c>
      <c r="B1112" t="s">
        <v>74</v>
      </c>
      <c r="C1112">
        <v>100</v>
      </c>
      <c r="D1112" t="s">
        <v>21</v>
      </c>
      <c r="E1112" t="s">
        <v>22</v>
      </c>
      <c r="F1112" t="s">
        <v>22</v>
      </c>
      <c r="G1112">
        <v>0</v>
      </c>
      <c r="H1112">
        <v>235.8</v>
      </c>
      <c r="I1112">
        <v>130</v>
      </c>
      <c r="J1112">
        <v>40.090000000000003</v>
      </c>
      <c r="K1112">
        <v>176</v>
      </c>
      <c r="L1112">
        <v>69</v>
      </c>
      <c r="M1112">
        <v>14.96</v>
      </c>
      <c r="N1112">
        <v>63.6</v>
      </c>
      <c r="O1112">
        <v>122</v>
      </c>
      <c r="P1112">
        <v>2.86</v>
      </c>
      <c r="Q1112">
        <v>7.3</v>
      </c>
      <c r="R1112">
        <v>1</v>
      </c>
      <c r="S1112">
        <v>1.97</v>
      </c>
      <c r="T1112">
        <v>2</v>
      </c>
      <c r="U1112" t="s">
        <v>22</v>
      </c>
      <c r="V1112" t="e">
        <f>IF(#REF! = "yes", 1, 0)</f>
        <v>#REF!</v>
      </c>
      <c r="W1112" t="e">
        <f>IF(#REF! &lt;= 1, "0-1 Calls", IF(#REF! &lt;= 3, "2-3 Calls", IF(#REF! &lt;=5, "4-5 Calls", "6+ Calls")))</f>
        <v>#REF!</v>
      </c>
      <c r="X1112" t="e">
        <f>IF(#REF! &lt;= 50, "0-50", IF(#REF! &lt;=100, "51-100", IF(#REF! &lt;= 150, "101-150", "151+")))</f>
        <v>#REF!</v>
      </c>
      <c r="Y1112" t="e">
        <f>IF(#REF! &lt;= 3, "Low Charges", "High Charges")</f>
        <v>#REF!</v>
      </c>
      <c r="Z1112" t="e">
        <f>IF(#REF!&lt;=80,"Low Calls",
IF(#REF!&lt;=120,"Medium Calls","High Calls"))</f>
        <v>#REF!</v>
      </c>
      <c r="AA1112" t="e">
        <f>IF(#REF!&lt;=15,"Low Charges",
IF(#REF!&lt;=20,"Medium Charges","High Charges"))</f>
        <v>#REF!</v>
      </c>
      <c r="AB1112" t="e">
        <f>IF(AND(#REF!&gt;180, #REF!&gt;200), "Heavy Doemstic User", IF(#REF!&gt;10, "Interntional User", IF(AND(#REF!&lt;180, #REF!&lt;200,#REF!&lt;200), "Light User", "Balanced User")))</f>
        <v>#REF!</v>
      </c>
      <c r="AC1112" t="e">
        <f>IF(#REF! = 0, "No Usage", IF(#REF! &lt;= 20, "Low Usage", IF(#REF! &lt;= 40, "Medium Usgae", "High Usage")))</f>
        <v>#REF!</v>
      </c>
      <c r="AD1112" t="e">
        <f>IF(#REF!&lt;=150,"Low Usage", IF(#REF!&lt;=200,"Medium Usage", IF(#REF!&lt;=250,"High Usage","Very High Usage")))</f>
        <v>#REF!</v>
      </c>
      <c r="AE1112" t="e">
        <f>IF(#REF!&lt;=5,"Low Calls", IF(#REF!&lt;=10, "Medium Calls", "High Calls"))</f>
        <v>#REF!</v>
      </c>
      <c r="AF1112" t="e">
        <f xml:space="preserve">
IF(#REF!&gt;=4,4,0)+
IF(#REF!="yes",3,0)+
IF(#REF!="High Charges",3,0)+
IF(#REF!&gt;250,4,0)+
IF(#REF!="no",1,0)+
IF(#REF!="Heavy Domestic User",2,0)</f>
        <v>#REF!</v>
      </c>
      <c r="AG1112" t="e">
        <f>IF(#REF!&gt;=10,"High Risk", IF(#REF!&gt;=5,"Medium Risk","Low Risk"))</f>
        <v>#REF!</v>
      </c>
      <c r="AH1112" t="e">
        <f>#REF! + #REF! + #REF! + #REF!</f>
        <v>#REF!</v>
      </c>
    </row>
    <row r="1113" spans="1:34" x14ac:dyDescent="0.35">
      <c r="A1113">
        <v>1112</v>
      </c>
      <c r="B1113" t="s">
        <v>59</v>
      </c>
      <c r="C1113">
        <v>110</v>
      </c>
      <c r="D1113" t="s">
        <v>28</v>
      </c>
      <c r="E1113" t="s">
        <v>22</v>
      </c>
      <c r="F1113" t="s">
        <v>22</v>
      </c>
      <c r="G1113">
        <v>0</v>
      </c>
      <c r="H1113">
        <v>185.1</v>
      </c>
      <c r="I1113">
        <v>100</v>
      </c>
      <c r="J1113">
        <v>31.47</v>
      </c>
      <c r="K1113">
        <v>165.1</v>
      </c>
      <c r="L1113">
        <v>88</v>
      </c>
      <c r="M1113">
        <v>14.03</v>
      </c>
      <c r="N1113">
        <v>111.6</v>
      </c>
      <c r="O1113">
        <v>104</v>
      </c>
      <c r="P1113">
        <v>5.0199999999999996</v>
      </c>
      <c r="Q1113">
        <v>6.3</v>
      </c>
      <c r="R1113">
        <v>4</v>
      </c>
      <c r="S1113">
        <v>1.7</v>
      </c>
      <c r="T1113">
        <v>3</v>
      </c>
      <c r="U1113" t="s">
        <v>22</v>
      </c>
      <c r="V1113" t="e">
        <f>IF(#REF! = "yes", 1, 0)</f>
        <v>#REF!</v>
      </c>
      <c r="W1113" t="e">
        <f>IF(#REF! &lt;= 1, "0-1 Calls", IF(#REF! &lt;= 3, "2-3 Calls", IF(#REF! &lt;=5, "4-5 Calls", "6+ Calls")))</f>
        <v>#REF!</v>
      </c>
      <c r="X1113" t="e">
        <f>IF(#REF! &lt;= 50, "0-50", IF(#REF! &lt;=100, "51-100", IF(#REF! &lt;= 150, "101-150", "151+")))</f>
        <v>#REF!</v>
      </c>
      <c r="Y1113" t="e">
        <f>IF(#REF! &lt;= 3, "Low Charges", "High Charges")</f>
        <v>#REF!</v>
      </c>
      <c r="Z1113" t="e">
        <f>IF(#REF!&lt;=80,"Low Calls",
IF(#REF!&lt;=120,"Medium Calls","High Calls"))</f>
        <v>#REF!</v>
      </c>
      <c r="AA1113" t="e">
        <f>IF(#REF!&lt;=15,"Low Charges",
IF(#REF!&lt;=20,"Medium Charges","High Charges"))</f>
        <v>#REF!</v>
      </c>
      <c r="AB1113" t="e">
        <f>IF(AND(#REF!&gt;180, #REF!&gt;200), "Heavy Doemstic User", IF(#REF!&gt;10, "Interntional User", IF(AND(#REF!&lt;180, #REF!&lt;200,#REF!&lt;200), "Light User", "Balanced User")))</f>
        <v>#REF!</v>
      </c>
      <c r="AC1113" t="e">
        <f>IF(#REF! = 0, "No Usage", IF(#REF! &lt;= 20, "Low Usage", IF(#REF! &lt;= 40, "Medium Usgae", "High Usage")))</f>
        <v>#REF!</v>
      </c>
      <c r="AD1113" t="e">
        <f>IF(#REF!&lt;=150,"Low Usage", IF(#REF!&lt;=200,"Medium Usage", IF(#REF!&lt;=250,"High Usage","Very High Usage")))</f>
        <v>#REF!</v>
      </c>
      <c r="AE1113" t="e">
        <f>IF(#REF!&lt;=5,"Low Calls", IF(#REF!&lt;=10, "Medium Calls", "High Calls"))</f>
        <v>#REF!</v>
      </c>
      <c r="AF1113" t="e">
        <f xml:space="preserve">
IF(#REF!&gt;=4,4,0)+
IF(#REF!="yes",3,0)+
IF(#REF!="High Charges",3,0)+
IF(#REF!&gt;250,4,0)+
IF(#REF!="no",1,0)+
IF(#REF!="Heavy Domestic User",2,0)</f>
        <v>#REF!</v>
      </c>
      <c r="AG1113" t="e">
        <f>IF(#REF!&gt;=10,"High Risk", IF(#REF!&gt;=5,"Medium Risk","Low Risk"))</f>
        <v>#REF!</v>
      </c>
      <c r="AH1113" t="e">
        <f>#REF! + #REF! + #REF! + #REF!</f>
        <v>#REF!</v>
      </c>
    </row>
    <row r="1114" spans="1:34" x14ac:dyDescent="0.35">
      <c r="A1114">
        <v>1113</v>
      </c>
      <c r="B1114" t="s">
        <v>46</v>
      </c>
      <c r="C1114">
        <v>124</v>
      </c>
      <c r="D1114" t="s">
        <v>21</v>
      </c>
      <c r="E1114" t="s">
        <v>22</v>
      </c>
      <c r="F1114" t="s">
        <v>22</v>
      </c>
      <c r="G1114">
        <v>0</v>
      </c>
      <c r="H1114">
        <v>254.3</v>
      </c>
      <c r="I1114">
        <v>113</v>
      </c>
      <c r="J1114">
        <v>43.23</v>
      </c>
      <c r="K1114">
        <v>78.900000000000006</v>
      </c>
      <c r="L1114">
        <v>104</v>
      </c>
      <c r="M1114">
        <v>6.71</v>
      </c>
      <c r="N1114">
        <v>153.19999999999999</v>
      </c>
      <c r="O1114">
        <v>69</v>
      </c>
      <c r="P1114">
        <v>6.89</v>
      </c>
      <c r="Q1114">
        <v>11.8</v>
      </c>
      <c r="R1114">
        <v>2</v>
      </c>
      <c r="S1114">
        <v>3.19</v>
      </c>
      <c r="T1114">
        <v>2</v>
      </c>
      <c r="U1114" t="s">
        <v>22</v>
      </c>
      <c r="V1114" t="e">
        <f>IF(#REF! = "yes", 1, 0)</f>
        <v>#REF!</v>
      </c>
      <c r="W1114" t="e">
        <f>IF(#REF! &lt;= 1, "0-1 Calls", IF(#REF! &lt;= 3, "2-3 Calls", IF(#REF! &lt;=5, "4-5 Calls", "6+ Calls")))</f>
        <v>#REF!</v>
      </c>
      <c r="X1114" t="e">
        <f>IF(#REF! &lt;= 50, "0-50", IF(#REF! &lt;=100, "51-100", IF(#REF! &lt;= 150, "101-150", "151+")))</f>
        <v>#REF!</v>
      </c>
      <c r="Y1114" t="e">
        <f>IF(#REF! &lt;= 3, "Low Charges", "High Charges")</f>
        <v>#REF!</v>
      </c>
      <c r="Z1114" t="e">
        <f>IF(#REF!&lt;=80,"Low Calls",
IF(#REF!&lt;=120,"Medium Calls","High Calls"))</f>
        <v>#REF!</v>
      </c>
      <c r="AA1114" t="e">
        <f>IF(#REF!&lt;=15,"Low Charges",
IF(#REF!&lt;=20,"Medium Charges","High Charges"))</f>
        <v>#REF!</v>
      </c>
      <c r="AB1114" t="e">
        <f>IF(AND(#REF!&gt;180, #REF!&gt;200), "Heavy Doemstic User", IF(#REF!&gt;10, "Interntional User", IF(AND(#REF!&lt;180, #REF!&lt;200,#REF!&lt;200), "Light User", "Balanced User")))</f>
        <v>#REF!</v>
      </c>
      <c r="AC1114" t="e">
        <f>IF(#REF! = 0, "No Usage", IF(#REF! &lt;= 20, "Low Usage", IF(#REF! &lt;= 40, "Medium Usgae", "High Usage")))</f>
        <v>#REF!</v>
      </c>
      <c r="AD1114" t="e">
        <f>IF(#REF!&lt;=150,"Low Usage", IF(#REF!&lt;=200,"Medium Usage", IF(#REF!&lt;=250,"High Usage","Very High Usage")))</f>
        <v>#REF!</v>
      </c>
      <c r="AE1114" t="e">
        <f>IF(#REF!&lt;=5,"Low Calls", IF(#REF!&lt;=10, "Medium Calls", "High Calls"))</f>
        <v>#REF!</v>
      </c>
      <c r="AF1114" t="e">
        <f xml:space="preserve">
IF(#REF!&gt;=4,4,0)+
IF(#REF!="yes",3,0)+
IF(#REF!="High Charges",3,0)+
IF(#REF!&gt;250,4,0)+
IF(#REF!="no",1,0)+
IF(#REF!="Heavy Domestic User",2,0)</f>
        <v>#REF!</v>
      </c>
      <c r="AG1114" t="e">
        <f>IF(#REF!&gt;=10,"High Risk", IF(#REF!&gt;=5,"Medium Risk","Low Risk"))</f>
        <v>#REF!</v>
      </c>
      <c r="AH1114" t="e">
        <f>#REF! + #REF! + #REF! + #REF!</f>
        <v>#REF!</v>
      </c>
    </row>
    <row r="1115" spans="1:34" x14ac:dyDescent="0.35">
      <c r="A1115">
        <v>1114</v>
      </c>
      <c r="B1115" t="s">
        <v>35</v>
      </c>
      <c r="C1115">
        <v>10</v>
      </c>
      <c r="D1115" t="s">
        <v>28</v>
      </c>
      <c r="E1115" t="s">
        <v>22</v>
      </c>
      <c r="F1115" t="s">
        <v>22</v>
      </c>
      <c r="G1115">
        <v>0</v>
      </c>
      <c r="H1115">
        <v>183</v>
      </c>
      <c r="I1115">
        <v>103</v>
      </c>
      <c r="J1115">
        <v>31.11</v>
      </c>
      <c r="K1115">
        <v>214.8</v>
      </c>
      <c r="L1115">
        <v>77</v>
      </c>
      <c r="M1115">
        <v>18.260000000000002</v>
      </c>
      <c r="N1115">
        <v>206.4</v>
      </c>
      <c r="O1115">
        <v>73</v>
      </c>
      <c r="P1115">
        <v>9.2899999999999991</v>
      </c>
      <c r="Q1115">
        <v>8.6999999999999993</v>
      </c>
      <c r="R1115">
        <v>6</v>
      </c>
      <c r="S1115">
        <v>2.35</v>
      </c>
      <c r="T1115">
        <v>2</v>
      </c>
      <c r="U1115" t="s">
        <v>22</v>
      </c>
      <c r="V1115" t="e">
        <f>IF(#REF! = "yes", 1, 0)</f>
        <v>#REF!</v>
      </c>
      <c r="W1115" t="e">
        <f>IF(#REF! &lt;= 1, "0-1 Calls", IF(#REF! &lt;= 3, "2-3 Calls", IF(#REF! &lt;=5, "4-5 Calls", "6+ Calls")))</f>
        <v>#REF!</v>
      </c>
      <c r="X1115" t="e">
        <f>IF(#REF! &lt;= 50, "0-50", IF(#REF! &lt;=100, "51-100", IF(#REF! &lt;= 150, "101-150", "151+")))</f>
        <v>#REF!</v>
      </c>
      <c r="Y1115" t="e">
        <f>IF(#REF! &lt;= 3, "Low Charges", "High Charges")</f>
        <v>#REF!</v>
      </c>
      <c r="Z1115" t="e">
        <f>IF(#REF!&lt;=80,"Low Calls",
IF(#REF!&lt;=120,"Medium Calls","High Calls"))</f>
        <v>#REF!</v>
      </c>
      <c r="AA1115" t="e">
        <f>IF(#REF!&lt;=15,"Low Charges",
IF(#REF!&lt;=20,"Medium Charges","High Charges"))</f>
        <v>#REF!</v>
      </c>
      <c r="AB1115" t="e">
        <f>IF(AND(#REF!&gt;180, #REF!&gt;200), "Heavy Doemstic User", IF(#REF!&gt;10, "Interntional User", IF(AND(#REF!&lt;180, #REF!&lt;200,#REF!&lt;200), "Light User", "Balanced User")))</f>
        <v>#REF!</v>
      </c>
      <c r="AC1115" t="e">
        <f>IF(#REF! = 0, "No Usage", IF(#REF! &lt;= 20, "Low Usage", IF(#REF! &lt;= 40, "Medium Usgae", "High Usage")))</f>
        <v>#REF!</v>
      </c>
      <c r="AD1115" t="e">
        <f>IF(#REF!&lt;=150,"Low Usage", IF(#REF!&lt;=200,"Medium Usage", IF(#REF!&lt;=250,"High Usage","Very High Usage")))</f>
        <v>#REF!</v>
      </c>
      <c r="AE1115" t="e">
        <f>IF(#REF!&lt;=5,"Low Calls", IF(#REF!&lt;=10, "Medium Calls", "High Calls"))</f>
        <v>#REF!</v>
      </c>
      <c r="AF1115" t="e">
        <f xml:space="preserve">
IF(#REF!&gt;=4,4,0)+
IF(#REF!="yes",3,0)+
IF(#REF!="High Charges",3,0)+
IF(#REF!&gt;250,4,0)+
IF(#REF!="no",1,0)+
IF(#REF!="Heavy Domestic User",2,0)</f>
        <v>#REF!</v>
      </c>
      <c r="AG1115" t="e">
        <f>IF(#REF!&gt;=10,"High Risk", IF(#REF!&gt;=5,"Medium Risk","Low Risk"))</f>
        <v>#REF!</v>
      </c>
      <c r="AH1115" t="e">
        <f>#REF! + #REF! + #REF! + #REF!</f>
        <v>#REF!</v>
      </c>
    </row>
    <row r="1116" spans="1:34" x14ac:dyDescent="0.35">
      <c r="A1116">
        <v>1115</v>
      </c>
      <c r="B1116" t="s">
        <v>69</v>
      </c>
      <c r="C1116">
        <v>89</v>
      </c>
      <c r="D1116" t="s">
        <v>21</v>
      </c>
      <c r="E1116" t="s">
        <v>22</v>
      </c>
      <c r="F1116" t="s">
        <v>23</v>
      </c>
      <c r="G1116">
        <v>29</v>
      </c>
      <c r="H1116">
        <v>163.5</v>
      </c>
      <c r="I1116">
        <v>80</v>
      </c>
      <c r="J1116">
        <v>27.8</v>
      </c>
      <c r="K1116">
        <v>274.8</v>
      </c>
      <c r="L1116">
        <v>136</v>
      </c>
      <c r="M1116">
        <v>23.36</v>
      </c>
      <c r="N1116">
        <v>381.9</v>
      </c>
      <c r="O1116">
        <v>147</v>
      </c>
      <c r="P1116">
        <v>17.190000000000001</v>
      </c>
      <c r="Q1116">
        <v>7.5</v>
      </c>
      <c r="R1116">
        <v>5</v>
      </c>
      <c r="S1116">
        <v>2.0299999999999998</v>
      </c>
      <c r="T1116">
        <v>2</v>
      </c>
      <c r="U1116" t="s">
        <v>22</v>
      </c>
      <c r="V1116" t="e">
        <f>IF(#REF! = "yes", 1, 0)</f>
        <v>#REF!</v>
      </c>
      <c r="W1116" t="e">
        <f>IF(#REF! &lt;= 1, "0-1 Calls", IF(#REF! &lt;= 3, "2-3 Calls", IF(#REF! &lt;=5, "4-5 Calls", "6+ Calls")))</f>
        <v>#REF!</v>
      </c>
      <c r="X1116" t="e">
        <f>IF(#REF! &lt;= 50, "0-50", IF(#REF! &lt;=100, "51-100", IF(#REF! &lt;= 150, "101-150", "151+")))</f>
        <v>#REF!</v>
      </c>
      <c r="Y1116" t="e">
        <f>IF(#REF! &lt;= 3, "Low Charges", "High Charges")</f>
        <v>#REF!</v>
      </c>
      <c r="Z1116" t="e">
        <f>IF(#REF!&lt;=80,"Low Calls",
IF(#REF!&lt;=120,"Medium Calls","High Calls"))</f>
        <v>#REF!</v>
      </c>
      <c r="AA1116" t="e">
        <f>IF(#REF!&lt;=15,"Low Charges",
IF(#REF!&lt;=20,"Medium Charges","High Charges"))</f>
        <v>#REF!</v>
      </c>
      <c r="AB1116" t="e">
        <f>IF(AND(#REF!&gt;180, #REF!&gt;200), "Heavy Doemstic User", IF(#REF!&gt;10, "Interntional User", IF(AND(#REF!&lt;180, #REF!&lt;200,#REF!&lt;200), "Light User", "Balanced User")))</f>
        <v>#REF!</v>
      </c>
      <c r="AC1116" t="e">
        <f>IF(#REF! = 0, "No Usage", IF(#REF! &lt;= 20, "Low Usage", IF(#REF! &lt;= 40, "Medium Usgae", "High Usage")))</f>
        <v>#REF!</v>
      </c>
      <c r="AD1116" t="e">
        <f>IF(#REF!&lt;=150,"Low Usage", IF(#REF!&lt;=200,"Medium Usage", IF(#REF!&lt;=250,"High Usage","Very High Usage")))</f>
        <v>#REF!</v>
      </c>
      <c r="AE1116" t="e">
        <f>IF(#REF!&lt;=5,"Low Calls", IF(#REF!&lt;=10, "Medium Calls", "High Calls"))</f>
        <v>#REF!</v>
      </c>
      <c r="AF1116" t="e">
        <f xml:space="preserve">
IF(#REF!&gt;=4,4,0)+
IF(#REF!="yes",3,0)+
IF(#REF!="High Charges",3,0)+
IF(#REF!&gt;250,4,0)+
IF(#REF!="no",1,0)+
IF(#REF!="Heavy Domestic User",2,0)</f>
        <v>#REF!</v>
      </c>
      <c r="AG1116" t="e">
        <f>IF(#REF!&gt;=10,"High Risk", IF(#REF!&gt;=5,"Medium Risk","Low Risk"))</f>
        <v>#REF!</v>
      </c>
      <c r="AH1116" t="e">
        <f>#REF! + #REF! + #REF! + #REF!</f>
        <v>#REF!</v>
      </c>
    </row>
    <row r="1117" spans="1:34" x14ac:dyDescent="0.35">
      <c r="A1117">
        <v>1116</v>
      </c>
      <c r="B1117" t="s">
        <v>59</v>
      </c>
      <c r="C1117">
        <v>121</v>
      </c>
      <c r="D1117" t="s">
        <v>25</v>
      </c>
      <c r="E1117" t="s">
        <v>22</v>
      </c>
      <c r="F1117" t="s">
        <v>22</v>
      </c>
      <c r="G1117">
        <v>0</v>
      </c>
      <c r="H1117">
        <v>207.9</v>
      </c>
      <c r="I1117">
        <v>98</v>
      </c>
      <c r="J1117">
        <v>35.340000000000003</v>
      </c>
      <c r="K1117">
        <v>210.5</v>
      </c>
      <c r="L1117">
        <v>96</v>
      </c>
      <c r="M1117">
        <v>17.89</v>
      </c>
      <c r="N1117">
        <v>109.6</v>
      </c>
      <c r="O1117">
        <v>114</v>
      </c>
      <c r="P1117">
        <v>4.93</v>
      </c>
      <c r="Q1117">
        <v>7.7</v>
      </c>
      <c r="R1117">
        <v>2</v>
      </c>
      <c r="S1117">
        <v>2.08</v>
      </c>
      <c r="T1117">
        <v>2</v>
      </c>
      <c r="U1117" t="s">
        <v>22</v>
      </c>
      <c r="V1117" t="e">
        <f>IF(#REF! = "yes", 1, 0)</f>
        <v>#REF!</v>
      </c>
      <c r="W1117" t="e">
        <f>IF(#REF! &lt;= 1, "0-1 Calls", IF(#REF! &lt;= 3, "2-3 Calls", IF(#REF! &lt;=5, "4-5 Calls", "6+ Calls")))</f>
        <v>#REF!</v>
      </c>
      <c r="X1117" t="e">
        <f>IF(#REF! &lt;= 50, "0-50", IF(#REF! &lt;=100, "51-100", IF(#REF! &lt;= 150, "101-150", "151+")))</f>
        <v>#REF!</v>
      </c>
      <c r="Y1117" t="e">
        <f>IF(#REF! &lt;= 3, "Low Charges", "High Charges")</f>
        <v>#REF!</v>
      </c>
      <c r="Z1117" t="e">
        <f>IF(#REF!&lt;=80,"Low Calls",
IF(#REF!&lt;=120,"Medium Calls","High Calls"))</f>
        <v>#REF!</v>
      </c>
      <c r="AA1117" t="e">
        <f>IF(#REF!&lt;=15,"Low Charges",
IF(#REF!&lt;=20,"Medium Charges","High Charges"))</f>
        <v>#REF!</v>
      </c>
      <c r="AB1117" t="e">
        <f>IF(AND(#REF!&gt;180, #REF!&gt;200), "Heavy Doemstic User", IF(#REF!&gt;10, "Interntional User", IF(AND(#REF!&lt;180, #REF!&lt;200,#REF!&lt;200), "Light User", "Balanced User")))</f>
        <v>#REF!</v>
      </c>
      <c r="AC1117" t="e">
        <f>IF(#REF! = 0, "No Usage", IF(#REF! &lt;= 20, "Low Usage", IF(#REF! &lt;= 40, "Medium Usgae", "High Usage")))</f>
        <v>#REF!</v>
      </c>
      <c r="AD1117" t="e">
        <f>IF(#REF!&lt;=150,"Low Usage", IF(#REF!&lt;=200,"Medium Usage", IF(#REF!&lt;=250,"High Usage","Very High Usage")))</f>
        <v>#REF!</v>
      </c>
      <c r="AE1117" t="e">
        <f>IF(#REF!&lt;=5,"Low Calls", IF(#REF!&lt;=10, "Medium Calls", "High Calls"))</f>
        <v>#REF!</v>
      </c>
      <c r="AF1117" t="e">
        <f xml:space="preserve">
IF(#REF!&gt;=4,4,0)+
IF(#REF!="yes",3,0)+
IF(#REF!="High Charges",3,0)+
IF(#REF!&gt;250,4,0)+
IF(#REF!="no",1,0)+
IF(#REF!="Heavy Domestic User",2,0)</f>
        <v>#REF!</v>
      </c>
      <c r="AG1117" t="e">
        <f>IF(#REF!&gt;=10,"High Risk", IF(#REF!&gt;=5,"Medium Risk","Low Risk"))</f>
        <v>#REF!</v>
      </c>
      <c r="AH1117" t="e">
        <f>#REF! + #REF! + #REF! + #REF!</f>
        <v>#REF!</v>
      </c>
    </row>
    <row r="1118" spans="1:34" x14ac:dyDescent="0.35">
      <c r="A1118">
        <v>1117</v>
      </c>
      <c r="B1118" t="s">
        <v>51</v>
      </c>
      <c r="C1118">
        <v>101</v>
      </c>
      <c r="D1118" t="s">
        <v>21</v>
      </c>
      <c r="E1118" t="s">
        <v>22</v>
      </c>
      <c r="F1118" t="s">
        <v>22</v>
      </c>
      <c r="G1118">
        <v>0</v>
      </c>
      <c r="H1118">
        <v>248.6</v>
      </c>
      <c r="I1118">
        <v>102</v>
      </c>
      <c r="J1118">
        <v>42.26</v>
      </c>
      <c r="K1118">
        <v>174.9</v>
      </c>
      <c r="L1118">
        <v>93</v>
      </c>
      <c r="M1118">
        <v>14.87</v>
      </c>
      <c r="N1118">
        <v>207.2</v>
      </c>
      <c r="O1118">
        <v>86</v>
      </c>
      <c r="P1118">
        <v>9.32</v>
      </c>
      <c r="Q1118">
        <v>6.1</v>
      </c>
      <c r="R1118">
        <v>3</v>
      </c>
      <c r="S1118">
        <v>1.65</v>
      </c>
      <c r="T1118">
        <v>3</v>
      </c>
      <c r="U1118" t="s">
        <v>22</v>
      </c>
      <c r="V1118" t="e">
        <f>IF(#REF! = "yes", 1, 0)</f>
        <v>#REF!</v>
      </c>
      <c r="W1118" t="e">
        <f>IF(#REF! &lt;= 1, "0-1 Calls", IF(#REF! &lt;= 3, "2-3 Calls", IF(#REF! &lt;=5, "4-5 Calls", "6+ Calls")))</f>
        <v>#REF!</v>
      </c>
      <c r="X1118" t="e">
        <f>IF(#REF! &lt;= 50, "0-50", IF(#REF! &lt;=100, "51-100", IF(#REF! &lt;= 150, "101-150", "151+")))</f>
        <v>#REF!</v>
      </c>
      <c r="Y1118" t="e">
        <f>IF(#REF! &lt;= 3, "Low Charges", "High Charges")</f>
        <v>#REF!</v>
      </c>
      <c r="Z1118" t="e">
        <f>IF(#REF!&lt;=80,"Low Calls",
IF(#REF!&lt;=120,"Medium Calls","High Calls"))</f>
        <v>#REF!</v>
      </c>
      <c r="AA1118" t="e">
        <f>IF(#REF!&lt;=15,"Low Charges",
IF(#REF!&lt;=20,"Medium Charges","High Charges"))</f>
        <v>#REF!</v>
      </c>
      <c r="AB1118" t="e">
        <f>IF(AND(#REF!&gt;180, #REF!&gt;200), "Heavy Doemstic User", IF(#REF!&gt;10, "Interntional User", IF(AND(#REF!&lt;180, #REF!&lt;200,#REF!&lt;200), "Light User", "Balanced User")))</f>
        <v>#REF!</v>
      </c>
      <c r="AC1118" t="e">
        <f>IF(#REF! = 0, "No Usage", IF(#REF! &lt;= 20, "Low Usage", IF(#REF! &lt;= 40, "Medium Usgae", "High Usage")))</f>
        <v>#REF!</v>
      </c>
      <c r="AD1118" t="e">
        <f>IF(#REF!&lt;=150,"Low Usage", IF(#REF!&lt;=200,"Medium Usage", IF(#REF!&lt;=250,"High Usage","Very High Usage")))</f>
        <v>#REF!</v>
      </c>
      <c r="AE1118" t="e">
        <f>IF(#REF!&lt;=5,"Low Calls", IF(#REF!&lt;=10, "Medium Calls", "High Calls"))</f>
        <v>#REF!</v>
      </c>
      <c r="AF1118" t="e">
        <f xml:space="preserve">
IF(#REF!&gt;=4,4,0)+
IF(#REF!="yes",3,0)+
IF(#REF!="High Charges",3,0)+
IF(#REF!&gt;250,4,0)+
IF(#REF!="no",1,0)+
IF(#REF!="Heavy Domestic User",2,0)</f>
        <v>#REF!</v>
      </c>
      <c r="AG1118" t="e">
        <f>IF(#REF!&gt;=10,"High Risk", IF(#REF!&gt;=5,"Medium Risk","Low Risk"))</f>
        <v>#REF!</v>
      </c>
      <c r="AH1118" t="e">
        <f>#REF! + #REF! + #REF! + #REF!</f>
        <v>#REF!</v>
      </c>
    </row>
    <row r="1119" spans="1:34" x14ac:dyDescent="0.35">
      <c r="A1119">
        <v>1118</v>
      </c>
      <c r="B1119" t="s">
        <v>50</v>
      </c>
      <c r="C1119">
        <v>103</v>
      </c>
      <c r="D1119" t="s">
        <v>21</v>
      </c>
      <c r="E1119" t="s">
        <v>22</v>
      </c>
      <c r="F1119" t="s">
        <v>23</v>
      </c>
      <c r="G1119">
        <v>31</v>
      </c>
      <c r="H1119">
        <v>185.4</v>
      </c>
      <c r="I1119">
        <v>105</v>
      </c>
      <c r="J1119">
        <v>31.52</v>
      </c>
      <c r="K1119">
        <v>197.6</v>
      </c>
      <c r="L1119">
        <v>126</v>
      </c>
      <c r="M1119">
        <v>16.8</v>
      </c>
      <c r="N1119">
        <v>147.1</v>
      </c>
      <c r="O1119">
        <v>110</v>
      </c>
      <c r="P1119">
        <v>6.62</v>
      </c>
      <c r="Q1119">
        <v>14.5</v>
      </c>
      <c r="R1119">
        <v>4</v>
      </c>
      <c r="S1119">
        <v>3.92</v>
      </c>
      <c r="T1119">
        <v>2</v>
      </c>
      <c r="U1119" t="s">
        <v>22</v>
      </c>
      <c r="V1119" t="e">
        <f>IF(#REF! = "yes", 1, 0)</f>
        <v>#REF!</v>
      </c>
      <c r="W1119" t="e">
        <f>IF(#REF! &lt;= 1, "0-1 Calls", IF(#REF! &lt;= 3, "2-3 Calls", IF(#REF! &lt;=5, "4-5 Calls", "6+ Calls")))</f>
        <v>#REF!</v>
      </c>
      <c r="X1119" t="e">
        <f>IF(#REF! &lt;= 50, "0-50", IF(#REF! &lt;=100, "51-100", IF(#REF! &lt;= 150, "101-150", "151+")))</f>
        <v>#REF!</v>
      </c>
      <c r="Y1119" t="e">
        <f>IF(#REF! &lt;= 3, "Low Charges", "High Charges")</f>
        <v>#REF!</v>
      </c>
      <c r="Z1119" t="e">
        <f>IF(#REF!&lt;=80,"Low Calls",
IF(#REF!&lt;=120,"Medium Calls","High Calls"))</f>
        <v>#REF!</v>
      </c>
      <c r="AA1119" t="e">
        <f>IF(#REF!&lt;=15,"Low Charges",
IF(#REF!&lt;=20,"Medium Charges","High Charges"))</f>
        <v>#REF!</v>
      </c>
      <c r="AB1119" t="e">
        <f>IF(AND(#REF!&gt;180, #REF!&gt;200), "Heavy Doemstic User", IF(#REF!&gt;10, "Interntional User", IF(AND(#REF!&lt;180, #REF!&lt;200,#REF!&lt;200), "Light User", "Balanced User")))</f>
        <v>#REF!</v>
      </c>
      <c r="AC1119" t="e">
        <f>IF(#REF! = 0, "No Usage", IF(#REF! &lt;= 20, "Low Usage", IF(#REF! &lt;= 40, "Medium Usgae", "High Usage")))</f>
        <v>#REF!</v>
      </c>
      <c r="AD1119" t="e">
        <f>IF(#REF!&lt;=150,"Low Usage", IF(#REF!&lt;=200,"Medium Usage", IF(#REF!&lt;=250,"High Usage","Very High Usage")))</f>
        <v>#REF!</v>
      </c>
      <c r="AE1119" t="e">
        <f>IF(#REF!&lt;=5,"Low Calls", IF(#REF!&lt;=10, "Medium Calls", "High Calls"))</f>
        <v>#REF!</v>
      </c>
      <c r="AF1119" t="e">
        <f xml:space="preserve">
IF(#REF!&gt;=4,4,0)+
IF(#REF!="yes",3,0)+
IF(#REF!="High Charges",3,0)+
IF(#REF!&gt;250,4,0)+
IF(#REF!="no",1,0)+
IF(#REF!="Heavy Domestic User",2,0)</f>
        <v>#REF!</v>
      </c>
      <c r="AG1119" t="e">
        <f>IF(#REF!&gt;=10,"High Risk", IF(#REF!&gt;=5,"Medium Risk","Low Risk"))</f>
        <v>#REF!</v>
      </c>
      <c r="AH1119" t="e">
        <f>#REF! + #REF! + #REF! + #REF!</f>
        <v>#REF!</v>
      </c>
    </row>
    <row r="1120" spans="1:34" x14ac:dyDescent="0.35">
      <c r="A1120">
        <v>1119</v>
      </c>
      <c r="B1120" t="s">
        <v>51</v>
      </c>
      <c r="C1120">
        <v>51</v>
      </c>
      <c r="D1120" t="s">
        <v>25</v>
      </c>
      <c r="E1120" t="s">
        <v>22</v>
      </c>
      <c r="F1120" t="s">
        <v>22</v>
      </c>
      <c r="G1120">
        <v>0</v>
      </c>
      <c r="H1120">
        <v>197.8</v>
      </c>
      <c r="I1120">
        <v>60</v>
      </c>
      <c r="J1120">
        <v>33.630000000000003</v>
      </c>
      <c r="K1120">
        <v>221</v>
      </c>
      <c r="L1120">
        <v>64</v>
      </c>
      <c r="M1120">
        <v>18.79</v>
      </c>
      <c r="N1120">
        <v>168.6</v>
      </c>
      <c r="O1120">
        <v>134</v>
      </c>
      <c r="P1120">
        <v>7.59</v>
      </c>
      <c r="Q1120">
        <v>8.9</v>
      </c>
      <c r="R1120">
        <v>5</v>
      </c>
      <c r="S1120">
        <v>2.4</v>
      </c>
      <c r="T1120">
        <v>1</v>
      </c>
      <c r="U1120" t="s">
        <v>22</v>
      </c>
      <c r="V1120" t="e">
        <f>IF(#REF! = "yes", 1, 0)</f>
        <v>#REF!</v>
      </c>
      <c r="W1120" t="e">
        <f>IF(#REF! &lt;= 1, "0-1 Calls", IF(#REF! &lt;= 3, "2-3 Calls", IF(#REF! &lt;=5, "4-5 Calls", "6+ Calls")))</f>
        <v>#REF!</v>
      </c>
      <c r="X1120" t="e">
        <f>IF(#REF! &lt;= 50, "0-50", IF(#REF! &lt;=100, "51-100", IF(#REF! &lt;= 150, "101-150", "151+")))</f>
        <v>#REF!</v>
      </c>
      <c r="Y1120" t="e">
        <f>IF(#REF! &lt;= 3, "Low Charges", "High Charges")</f>
        <v>#REF!</v>
      </c>
      <c r="Z1120" t="e">
        <f>IF(#REF!&lt;=80,"Low Calls",
IF(#REF!&lt;=120,"Medium Calls","High Calls"))</f>
        <v>#REF!</v>
      </c>
      <c r="AA1120" t="e">
        <f>IF(#REF!&lt;=15,"Low Charges",
IF(#REF!&lt;=20,"Medium Charges","High Charges"))</f>
        <v>#REF!</v>
      </c>
      <c r="AB1120" t="e">
        <f>IF(AND(#REF!&gt;180, #REF!&gt;200), "Heavy Doemstic User", IF(#REF!&gt;10, "Interntional User", IF(AND(#REF!&lt;180, #REF!&lt;200,#REF!&lt;200), "Light User", "Balanced User")))</f>
        <v>#REF!</v>
      </c>
      <c r="AC1120" t="e">
        <f>IF(#REF! = 0, "No Usage", IF(#REF! &lt;= 20, "Low Usage", IF(#REF! &lt;= 40, "Medium Usgae", "High Usage")))</f>
        <v>#REF!</v>
      </c>
      <c r="AD1120" t="e">
        <f>IF(#REF!&lt;=150,"Low Usage", IF(#REF!&lt;=200,"Medium Usage", IF(#REF!&lt;=250,"High Usage","Very High Usage")))</f>
        <v>#REF!</v>
      </c>
      <c r="AE1120" t="e">
        <f>IF(#REF!&lt;=5,"Low Calls", IF(#REF!&lt;=10, "Medium Calls", "High Calls"))</f>
        <v>#REF!</v>
      </c>
      <c r="AF1120" t="e">
        <f xml:space="preserve">
IF(#REF!&gt;=4,4,0)+
IF(#REF!="yes",3,0)+
IF(#REF!="High Charges",3,0)+
IF(#REF!&gt;250,4,0)+
IF(#REF!="no",1,0)+
IF(#REF!="Heavy Domestic User",2,0)</f>
        <v>#REF!</v>
      </c>
      <c r="AG1120" t="e">
        <f>IF(#REF!&gt;=10,"High Risk", IF(#REF!&gt;=5,"Medium Risk","Low Risk"))</f>
        <v>#REF!</v>
      </c>
      <c r="AH1120" t="e">
        <f>#REF! + #REF! + #REF! + #REF!</f>
        <v>#REF!</v>
      </c>
    </row>
    <row r="1121" spans="1:34" x14ac:dyDescent="0.35">
      <c r="A1121">
        <v>1120</v>
      </c>
      <c r="B1121" t="s">
        <v>54</v>
      </c>
      <c r="C1121">
        <v>2</v>
      </c>
      <c r="D1121" t="s">
        <v>21</v>
      </c>
      <c r="E1121" t="s">
        <v>23</v>
      </c>
      <c r="F1121" t="s">
        <v>22</v>
      </c>
      <c r="G1121">
        <v>0</v>
      </c>
      <c r="H1121">
        <v>132.1</v>
      </c>
      <c r="I1121">
        <v>42</v>
      </c>
      <c r="J1121">
        <v>22.46</v>
      </c>
      <c r="K1121">
        <v>138.9</v>
      </c>
      <c r="L1121">
        <v>88</v>
      </c>
      <c r="M1121">
        <v>11.81</v>
      </c>
      <c r="N1121">
        <v>192.6</v>
      </c>
      <c r="O1121">
        <v>119</v>
      </c>
      <c r="P1121">
        <v>8.67</v>
      </c>
      <c r="Q1121">
        <v>9.1</v>
      </c>
      <c r="R1121">
        <v>1</v>
      </c>
      <c r="S1121">
        <v>2.46</v>
      </c>
      <c r="T1121">
        <v>2</v>
      </c>
      <c r="U1121" t="s">
        <v>23</v>
      </c>
      <c r="V1121" t="e">
        <f>IF(#REF! = "yes", 1, 0)</f>
        <v>#REF!</v>
      </c>
      <c r="W1121" t="e">
        <f>IF(#REF! &lt;= 1, "0-1 Calls", IF(#REF! &lt;= 3, "2-3 Calls", IF(#REF! &lt;=5, "4-5 Calls", "6+ Calls")))</f>
        <v>#REF!</v>
      </c>
      <c r="X1121" t="e">
        <f>IF(#REF! &lt;= 50, "0-50", IF(#REF! &lt;=100, "51-100", IF(#REF! &lt;= 150, "101-150", "151+")))</f>
        <v>#REF!</v>
      </c>
      <c r="Y1121" t="e">
        <f>IF(#REF! &lt;= 3, "Low Charges", "High Charges")</f>
        <v>#REF!</v>
      </c>
      <c r="Z1121" t="e">
        <f>IF(#REF!&lt;=80,"Low Calls",
IF(#REF!&lt;=120,"Medium Calls","High Calls"))</f>
        <v>#REF!</v>
      </c>
      <c r="AA1121" t="e">
        <f>IF(#REF!&lt;=15,"Low Charges",
IF(#REF!&lt;=20,"Medium Charges","High Charges"))</f>
        <v>#REF!</v>
      </c>
      <c r="AB1121" t="e">
        <f>IF(AND(#REF!&gt;180, #REF!&gt;200), "Heavy Doemstic User", IF(#REF!&gt;10, "Interntional User", IF(AND(#REF!&lt;180, #REF!&lt;200,#REF!&lt;200), "Light User", "Balanced User")))</f>
        <v>#REF!</v>
      </c>
      <c r="AC1121" t="e">
        <f>IF(#REF! = 0, "No Usage", IF(#REF! &lt;= 20, "Low Usage", IF(#REF! &lt;= 40, "Medium Usgae", "High Usage")))</f>
        <v>#REF!</v>
      </c>
      <c r="AD1121" t="e">
        <f>IF(#REF!&lt;=150,"Low Usage", IF(#REF!&lt;=200,"Medium Usage", IF(#REF!&lt;=250,"High Usage","Very High Usage")))</f>
        <v>#REF!</v>
      </c>
      <c r="AE1121" t="e">
        <f>IF(#REF!&lt;=5,"Low Calls", IF(#REF!&lt;=10, "Medium Calls", "High Calls"))</f>
        <v>#REF!</v>
      </c>
      <c r="AF1121" t="e">
        <f xml:space="preserve">
IF(#REF!&gt;=4,4,0)+
IF(#REF!="yes",3,0)+
IF(#REF!="High Charges",3,0)+
IF(#REF!&gt;250,4,0)+
IF(#REF!="no",1,0)+
IF(#REF!="Heavy Domestic User",2,0)</f>
        <v>#REF!</v>
      </c>
      <c r="AG1121" t="e">
        <f>IF(#REF!&gt;=10,"High Risk", IF(#REF!&gt;=5,"Medium Risk","Low Risk"))</f>
        <v>#REF!</v>
      </c>
      <c r="AH1121" t="e">
        <f>#REF! + #REF! + #REF! + #REF!</f>
        <v>#REF!</v>
      </c>
    </row>
    <row r="1122" spans="1:34" x14ac:dyDescent="0.35">
      <c r="A1122">
        <v>1121</v>
      </c>
      <c r="B1122" t="s">
        <v>46</v>
      </c>
      <c r="C1122">
        <v>111</v>
      </c>
      <c r="D1122" t="s">
        <v>28</v>
      </c>
      <c r="E1122" t="s">
        <v>22</v>
      </c>
      <c r="F1122" t="s">
        <v>22</v>
      </c>
      <c r="G1122">
        <v>0</v>
      </c>
      <c r="H1122">
        <v>197.1</v>
      </c>
      <c r="I1122">
        <v>117</v>
      </c>
      <c r="J1122">
        <v>33.51</v>
      </c>
      <c r="K1122">
        <v>227.8</v>
      </c>
      <c r="L1122">
        <v>128</v>
      </c>
      <c r="M1122">
        <v>19.36</v>
      </c>
      <c r="N1122">
        <v>214</v>
      </c>
      <c r="O1122">
        <v>101</v>
      </c>
      <c r="P1122">
        <v>9.6300000000000008</v>
      </c>
      <c r="Q1122">
        <v>9.3000000000000007</v>
      </c>
      <c r="R1122">
        <v>11</v>
      </c>
      <c r="S1122">
        <v>2.5099999999999998</v>
      </c>
      <c r="T1122">
        <v>0</v>
      </c>
      <c r="U1122" t="s">
        <v>22</v>
      </c>
      <c r="V1122" t="e">
        <f>IF(#REF! = "yes", 1, 0)</f>
        <v>#REF!</v>
      </c>
      <c r="W1122" t="e">
        <f>IF(#REF! &lt;= 1, "0-1 Calls", IF(#REF! &lt;= 3, "2-3 Calls", IF(#REF! &lt;=5, "4-5 Calls", "6+ Calls")))</f>
        <v>#REF!</v>
      </c>
      <c r="X1122" t="e">
        <f>IF(#REF! &lt;= 50, "0-50", IF(#REF! &lt;=100, "51-100", IF(#REF! &lt;= 150, "101-150", "151+")))</f>
        <v>#REF!</v>
      </c>
      <c r="Y1122" t="e">
        <f>IF(#REF! &lt;= 3, "Low Charges", "High Charges")</f>
        <v>#REF!</v>
      </c>
      <c r="Z1122" t="e">
        <f>IF(#REF!&lt;=80,"Low Calls",
IF(#REF!&lt;=120,"Medium Calls","High Calls"))</f>
        <v>#REF!</v>
      </c>
      <c r="AA1122" t="e">
        <f>IF(#REF!&lt;=15,"Low Charges",
IF(#REF!&lt;=20,"Medium Charges","High Charges"))</f>
        <v>#REF!</v>
      </c>
      <c r="AB1122" t="e">
        <f>IF(AND(#REF!&gt;180, #REF!&gt;200), "Heavy Doemstic User", IF(#REF!&gt;10, "Interntional User", IF(AND(#REF!&lt;180, #REF!&lt;200,#REF!&lt;200), "Light User", "Balanced User")))</f>
        <v>#REF!</v>
      </c>
      <c r="AC1122" t="e">
        <f>IF(#REF! = 0, "No Usage", IF(#REF! &lt;= 20, "Low Usage", IF(#REF! &lt;= 40, "Medium Usgae", "High Usage")))</f>
        <v>#REF!</v>
      </c>
      <c r="AD1122" t="e">
        <f>IF(#REF!&lt;=150,"Low Usage", IF(#REF!&lt;=200,"Medium Usage", IF(#REF!&lt;=250,"High Usage","Very High Usage")))</f>
        <v>#REF!</v>
      </c>
      <c r="AE1122" t="e">
        <f>IF(#REF!&lt;=5,"Low Calls", IF(#REF!&lt;=10, "Medium Calls", "High Calls"))</f>
        <v>#REF!</v>
      </c>
      <c r="AF1122" t="e">
        <f xml:space="preserve">
IF(#REF!&gt;=4,4,0)+
IF(#REF!="yes",3,0)+
IF(#REF!="High Charges",3,0)+
IF(#REF!&gt;250,4,0)+
IF(#REF!="no",1,0)+
IF(#REF!="Heavy Domestic User",2,0)</f>
        <v>#REF!</v>
      </c>
      <c r="AG1122" t="e">
        <f>IF(#REF!&gt;=10,"High Risk", IF(#REF!&gt;=5,"Medium Risk","Low Risk"))</f>
        <v>#REF!</v>
      </c>
      <c r="AH1122" t="e">
        <f>#REF! + #REF! + #REF! + #REF!</f>
        <v>#REF!</v>
      </c>
    </row>
    <row r="1123" spans="1:34" x14ac:dyDescent="0.35">
      <c r="A1123">
        <v>1122</v>
      </c>
      <c r="B1123" t="s">
        <v>38</v>
      </c>
      <c r="C1123">
        <v>118</v>
      </c>
      <c r="D1123" t="s">
        <v>21</v>
      </c>
      <c r="E1123" t="s">
        <v>22</v>
      </c>
      <c r="F1123" t="s">
        <v>22</v>
      </c>
      <c r="G1123">
        <v>0</v>
      </c>
      <c r="H1123">
        <v>154.6</v>
      </c>
      <c r="I1123">
        <v>112</v>
      </c>
      <c r="J1123">
        <v>26.28</v>
      </c>
      <c r="K1123">
        <v>184.2</v>
      </c>
      <c r="L1123">
        <v>105</v>
      </c>
      <c r="M1123">
        <v>15.66</v>
      </c>
      <c r="N1123">
        <v>217.4</v>
      </c>
      <c r="O1123">
        <v>102</v>
      </c>
      <c r="P1123">
        <v>9.7799999999999994</v>
      </c>
      <c r="Q1123">
        <v>12.6</v>
      </c>
      <c r="R1123">
        <v>5</v>
      </c>
      <c r="S1123">
        <v>3.4</v>
      </c>
      <c r="T1123">
        <v>2</v>
      </c>
      <c r="U1123" t="s">
        <v>22</v>
      </c>
      <c r="V1123" t="e">
        <f>IF(#REF! = "yes", 1, 0)</f>
        <v>#REF!</v>
      </c>
      <c r="W1123" t="e">
        <f>IF(#REF! &lt;= 1, "0-1 Calls", IF(#REF! &lt;= 3, "2-3 Calls", IF(#REF! &lt;=5, "4-5 Calls", "6+ Calls")))</f>
        <v>#REF!</v>
      </c>
      <c r="X1123" t="e">
        <f>IF(#REF! &lt;= 50, "0-50", IF(#REF! &lt;=100, "51-100", IF(#REF! &lt;= 150, "101-150", "151+")))</f>
        <v>#REF!</v>
      </c>
      <c r="Y1123" t="e">
        <f>IF(#REF! &lt;= 3, "Low Charges", "High Charges")</f>
        <v>#REF!</v>
      </c>
      <c r="Z1123" t="e">
        <f>IF(#REF!&lt;=80,"Low Calls",
IF(#REF!&lt;=120,"Medium Calls","High Calls"))</f>
        <v>#REF!</v>
      </c>
      <c r="AA1123" t="e">
        <f>IF(#REF!&lt;=15,"Low Charges",
IF(#REF!&lt;=20,"Medium Charges","High Charges"))</f>
        <v>#REF!</v>
      </c>
      <c r="AB1123" t="e">
        <f>IF(AND(#REF!&gt;180, #REF!&gt;200), "Heavy Doemstic User", IF(#REF!&gt;10, "Interntional User", IF(AND(#REF!&lt;180, #REF!&lt;200,#REF!&lt;200), "Light User", "Balanced User")))</f>
        <v>#REF!</v>
      </c>
      <c r="AC1123" t="e">
        <f>IF(#REF! = 0, "No Usage", IF(#REF! &lt;= 20, "Low Usage", IF(#REF! &lt;= 40, "Medium Usgae", "High Usage")))</f>
        <v>#REF!</v>
      </c>
      <c r="AD1123" t="e">
        <f>IF(#REF!&lt;=150,"Low Usage", IF(#REF!&lt;=200,"Medium Usage", IF(#REF!&lt;=250,"High Usage","Very High Usage")))</f>
        <v>#REF!</v>
      </c>
      <c r="AE1123" t="e">
        <f>IF(#REF!&lt;=5,"Low Calls", IF(#REF!&lt;=10, "Medium Calls", "High Calls"))</f>
        <v>#REF!</v>
      </c>
      <c r="AF1123" t="e">
        <f xml:space="preserve">
IF(#REF!&gt;=4,4,0)+
IF(#REF!="yes",3,0)+
IF(#REF!="High Charges",3,0)+
IF(#REF!&gt;250,4,0)+
IF(#REF!="no",1,0)+
IF(#REF!="Heavy Domestic User",2,0)</f>
        <v>#REF!</v>
      </c>
      <c r="AG1123" t="e">
        <f>IF(#REF!&gt;=10,"High Risk", IF(#REF!&gt;=5,"Medium Risk","Low Risk"))</f>
        <v>#REF!</v>
      </c>
      <c r="AH1123" t="e">
        <f>#REF! + #REF! + #REF! + #REF!</f>
        <v>#REF!</v>
      </c>
    </row>
    <row r="1124" spans="1:34" x14ac:dyDescent="0.35">
      <c r="A1124">
        <v>1123</v>
      </c>
      <c r="B1124" t="s">
        <v>37</v>
      </c>
      <c r="C1124">
        <v>193</v>
      </c>
      <c r="D1124" t="s">
        <v>21</v>
      </c>
      <c r="E1124" t="s">
        <v>22</v>
      </c>
      <c r="F1124" t="s">
        <v>22</v>
      </c>
      <c r="G1124">
        <v>0</v>
      </c>
      <c r="H1124">
        <v>96.8</v>
      </c>
      <c r="I1124">
        <v>92</v>
      </c>
      <c r="J1124">
        <v>16.46</v>
      </c>
      <c r="K1124">
        <v>142.6</v>
      </c>
      <c r="L1124">
        <v>103</v>
      </c>
      <c r="M1124">
        <v>12.12</v>
      </c>
      <c r="N1124">
        <v>210.1</v>
      </c>
      <c r="O1124">
        <v>115</v>
      </c>
      <c r="P1124">
        <v>9.4499999999999993</v>
      </c>
      <c r="Q1124">
        <v>10.9</v>
      </c>
      <c r="R1124">
        <v>5</v>
      </c>
      <c r="S1124">
        <v>2.94</v>
      </c>
      <c r="T1124">
        <v>2</v>
      </c>
      <c r="U1124" t="s">
        <v>23</v>
      </c>
      <c r="V1124" t="e">
        <f>IF(#REF! = "yes", 1, 0)</f>
        <v>#REF!</v>
      </c>
      <c r="W1124" t="e">
        <f>IF(#REF! &lt;= 1, "0-1 Calls", IF(#REF! &lt;= 3, "2-3 Calls", IF(#REF! &lt;=5, "4-5 Calls", "6+ Calls")))</f>
        <v>#REF!</v>
      </c>
      <c r="X1124" t="e">
        <f>IF(#REF! &lt;= 50, "0-50", IF(#REF! &lt;=100, "51-100", IF(#REF! &lt;= 150, "101-150", "151+")))</f>
        <v>#REF!</v>
      </c>
      <c r="Y1124" t="e">
        <f>IF(#REF! &lt;= 3, "Low Charges", "High Charges")</f>
        <v>#REF!</v>
      </c>
      <c r="Z1124" t="e">
        <f>IF(#REF!&lt;=80,"Low Calls",
IF(#REF!&lt;=120,"Medium Calls","High Calls"))</f>
        <v>#REF!</v>
      </c>
      <c r="AA1124" t="e">
        <f>IF(#REF!&lt;=15,"Low Charges",
IF(#REF!&lt;=20,"Medium Charges","High Charges"))</f>
        <v>#REF!</v>
      </c>
      <c r="AB1124" t="e">
        <f>IF(AND(#REF!&gt;180, #REF!&gt;200), "Heavy Doemstic User", IF(#REF!&gt;10, "Interntional User", IF(AND(#REF!&lt;180, #REF!&lt;200,#REF!&lt;200), "Light User", "Balanced User")))</f>
        <v>#REF!</v>
      </c>
      <c r="AC1124" t="e">
        <f>IF(#REF! = 0, "No Usage", IF(#REF! &lt;= 20, "Low Usage", IF(#REF! &lt;= 40, "Medium Usgae", "High Usage")))</f>
        <v>#REF!</v>
      </c>
      <c r="AD1124" t="e">
        <f>IF(#REF!&lt;=150,"Low Usage", IF(#REF!&lt;=200,"Medium Usage", IF(#REF!&lt;=250,"High Usage","Very High Usage")))</f>
        <v>#REF!</v>
      </c>
      <c r="AE1124" t="e">
        <f>IF(#REF!&lt;=5,"Low Calls", IF(#REF!&lt;=10, "Medium Calls", "High Calls"))</f>
        <v>#REF!</v>
      </c>
      <c r="AF1124" t="e">
        <f xml:space="preserve">
IF(#REF!&gt;=4,4,0)+
IF(#REF!="yes",3,0)+
IF(#REF!="High Charges",3,0)+
IF(#REF!&gt;250,4,0)+
IF(#REF!="no",1,0)+
IF(#REF!="Heavy Domestic User",2,0)</f>
        <v>#REF!</v>
      </c>
      <c r="AG1124" t="e">
        <f>IF(#REF!&gt;=10,"High Risk", IF(#REF!&gt;=5,"Medium Risk","Low Risk"))</f>
        <v>#REF!</v>
      </c>
      <c r="AH1124" t="e">
        <f>#REF! + #REF! + #REF! + #REF!</f>
        <v>#REF!</v>
      </c>
    </row>
    <row r="1125" spans="1:34" x14ac:dyDescent="0.35">
      <c r="A1125">
        <v>1124</v>
      </c>
      <c r="B1125" t="s">
        <v>71</v>
      </c>
      <c r="C1125">
        <v>114</v>
      </c>
      <c r="D1125" t="s">
        <v>28</v>
      </c>
      <c r="E1125" t="s">
        <v>22</v>
      </c>
      <c r="F1125" t="s">
        <v>22</v>
      </c>
      <c r="G1125">
        <v>0</v>
      </c>
      <c r="H1125">
        <v>172</v>
      </c>
      <c r="I1125">
        <v>145</v>
      </c>
      <c r="J1125">
        <v>29.24</v>
      </c>
      <c r="K1125">
        <v>276.39999999999998</v>
      </c>
      <c r="L1125">
        <v>101</v>
      </c>
      <c r="M1125">
        <v>23.49</v>
      </c>
      <c r="N1125">
        <v>193.7</v>
      </c>
      <c r="O1125">
        <v>100</v>
      </c>
      <c r="P1125">
        <v>8.7200000000000006</v>
      </c>
      <c r="Q1125">
        <v>10.1</v>
      </c>
      <c r="R1125">
        <v>9</v>
      </c>
      <c r="S1125">
        <v>2.73</v>
      </c>
      <c r="T1125">
        <v>1</v>
      </c>
      <c r="U1125" t="s">
        <v>22</v>
      </c>
      <c r="V1125" t="e">
        <f>IF(#REF! = "yes", 1, 0)</f>
        <v>#REF!</v>
      </c>
      <c r="W1125" t="e">
        <f>IF(#REF! &lt;= 1, "0-1 Calls", IF(#REF! &lt;= 3, "2-3 Calls", IF(#REF! &lt;=5, "4-5 Calls", "6+ Calls")))</f>
        <v>#REF!</v>
      </c>
      <c r="X1125" t="e">
        <f>IF(#REF! &lt;= 50, "0-50", IF(#REF! &lt;=100, "51-100", IF(#REF! &lt;= 150, "101-150", "151+")))</f>
        <v>#REF!</v>
      </c>
      <c r="Y1125" t="e">
        <f>IF(#REF! &lt;= 3, "Low Charges", "High Charges")</f>
        <v>#REF!</v>
      </c>
      <c r="Z1125" t="e">
        <f>IF(#REF!&lt;=80,"Low Calls",
IF(#REF!&lt;=120,"Medium Calls","High Calls"))</f>
        <v>#REF!</v>
      </c>
      <c r="AA1125" t="e">
        <f>IF(#REF!&lt;=15,"Low Charges",
IF(#REF!&lt;=20,"Medium Charges","High Charges"))</f>
        <v>#REF!</v>
      </c>
      <c r="AB1125" t="e">
        <f>IF(AND(#REF!&gt;180, #REF!&gt;200), "Heavy Doemstic User", IF(#REF!&gt;10, "Interntional User", IF(AND(#REF!&lt;180, #REF!&lt;200,#REF!&lt;200), "Light User", "Balanced User")))</f>
        <v>#REF!</v>
      </c>
      <c r="AC1125" t="e">
        <f>IF(#REF! = 0, "No Usage", IF(#REF! &lt;= 20, "Low Usage", IF(#REF! &lt;= 40, "Medium Usgae", "High Usage")))</f>
        <v>#REF!</v>
      </c>
      <c r="AD1125" t="e">
        <f>IF(#REF!&lt;=150,"Low Usage", IF(#REF!&lt;=200,"Medium Usage", IF(#REF!&lt;=250,"High Usage","Very High Usage")))</f>
        <v>#REF!</v>
      </c>
      <c r="AE1125" t="e">
        <f>IF(#REF!&lt;=5,"Low Calls", IF(#REF!&lt;=10, "Medium Calls", "High Calls"))</f>
        <v>#REF!</v>
      </c>
      <c r="AF1125" t="e">
        <f xml:space="preserve">
IF(#REF!&gt;=4,4,0)+
IF(#REF!="yes",3,0)+
IF(#REF!="High Charges",3,0)+
IF(#REF!&gt;250,4,0)+
IF(#REF!="no",1,0)+
IF(#REF!="Heavy Domestic User",2,0)</f>
        <v>#REF!</v>
      </c>
      <c r="AG1125" t="e">
        <f>IF(#REF!&gt;=10,"High Risk", IF(#REF!&gt;=5,"Medium Risk","Low Risk"))</f>
        <v>#REF!</v>
      </c>
      <c r="AH1125" t="e">
        <f>#REF! + #REF! + #REF! + #REF!</f>
        <v>#REF!</v>
      </c>
    </row>
    <row r="1126" spans="1:34" x14ac:dyDescent="0.35">
      <c r="A1126">
        <v>1125</v>
      </c>
      <c r="B1126" t="s">
        <v>35</v>
      </c>
      <c r="C1126">
        <v>185</v>
      </c>
      <c r="D1126" t="s">
        <v>25</v>
      </c>
      <c r="E1126" t="s">
        <v>22</v>
      </c>
      <c r="F1126" t="s">
        <v>23</v>
      </c>
      <c r="G1126">
        <v>29</v>
      </c>
      <c r="H1126">
        <v>151.1</v>
      </c>
      <c r="I1126">
        <v>121</v>
      </c>
      <c r="J1126">
        <v>25.69</v>
      </c>
      <c r="K1126">
        <v>244.7</v>
      </c>
      <c r="L1126">
        <v>88</v>
      </c>
      <c r="M1126">
        <v>20.8</v>
      </c>
      <c r="N1126">
        <v>154.4</v>
      </c>
      <c r="O1126">
        <v>91</v>
      </c>
      <c r="P1126">
        <v>6.95</v>
      </c>
      <c r="Q1126">
        <v>13.8</v>
      </c>
      <c r="R1126">
        <v>2</v>
      </c>
      <c r="S1126">
        <v>3.73</v>
      </c>
      <c r="T1126">
        <v>2</v>
      </c>
      <c r="U1126" t="s">
        <v>22</v>
      </c>
      <c r="V1126" t="e">
        <f>IF(#REF! = "yes", 1, 0)</f>
        <v>#REF!</v>
      </c>
      <c r="W1126" t="e">
        <f>IF(#REF! &lt;= 1, "0-1 Calls", IF(#REF! &lt;= 3, "2-3 Calls", IF(#REF! &lt;=5, "4-5 Calls", "6+ Calls")))</f>
        <v>#REF!</v>
      </c>
      <c r="X1126" t="e">
        <f>IF(#REF! &lt;= 50, "0-50", IF(#REF! &lt;=100, "51-100", IF(#REF! &lt;= 150, "101-150", "151+")))</f>
        <v>#REF!</v>
      </c>
      <c r="Y1126" t="e">
        <f>IF(#REF! &lt;= 3, "Low Charges", "High Charges")</f>
        <v>#REF!</v>
      </c>
      <c r="Z1126" t="e">
        <f>IF(#REF!&lt;=80,"Low Calls",
IF(#REF!&lt;=120,"Medium Calls","High Calls"))</f>
        <v>#REF!</v>
      </c>
      <c r="AA1126" t="e">
        <f>IF(#REF!&lt;=15,"Low Charges",
IF(#REF!&lt;=20,"Medium Charges","High Charges"))</f>
        <v>#REF!</v>
      </c>
      <c r="AB1126" t="e">
        <f>IF(AND(#REF!&gt;180, #REF!&gt;200), "Heavy Doemstic User", IF(#REF!&gt;10, "Interntional User", IF(AND(#REF!&lt;180, #REF!&lt;200,#REF!&lt;200), "Light User", "Balanced User")))</f>
        <v>#REF!</v>
      </c>
      <c r="AC1126" t="e">
        <f>IF(#REF! = 0, "No Usage", IF(#REF! &lt;= 20, "Low Usage", IF(#REF! &lt;= 40, "Medium Usgae", "High Usage")))</f>
        <v>#REF!</v>
      </c>
      <c r="AD1126" t="e">
        <f>IF(#REF!&lt;=150,"Low Usage", IF(#REF!&lt;=200,"Medium Usage", IF(#REF!&lt;=250,"High Usage","Very High Usage")))</f>
        <v>#REF!</v>
      </c>
      <c r="AE1126" t="e">
        <f>IF(#REF!&lt;=5,"Low Calls", IF(#REF!&lt;=10, "Medium Calls", "High Calls"))</f>
        <v>#REF!</v>
      </c>
      <c r="AF1126" t="e">
        <f xml:space="preserve">
IF(#REF!&gt;=4,4,0)+
IF(#REF!="yes",3,0)+
IF(#REF!="High Charges",3,0)+
IF(#REF!&gt;250,4,0)+
IF(#REF!="no",1,0)+
IF(#REF!="Heavy Domestic User",2,0)</f>
        <v>#REF!</v>
      </c>
      <c r="AG1126" t="e">
        <f>IF(#REF!&gt;=10,"High Risk", IF(#REF!&gt;=5,"Medium Risk","Low Risk"))</f>
        <v>#REF!</v>
      </c>
      <c r="AH1126" t="e">
        <f>#REF! + #REF! + #REF! + #REF!</f>
        <v>#REF!</v>
      </c>
    </row>
    <row r="1127" spans="1:34" x14ac:dyDescent="0.35">
      <c r="A1127">
        <v>1126</v>
      </c>
      <c r="B1127" t="s">
        <v>26</v>
      </c>
      <c r="C1127">
        <v>101</v>
      </c>
      <c r="D1127" t="s">
        <v>25</v>
      </c>
      <c r="E1127" t="s">
        <v>22</v>
      </c>
      <c r="F1127" t="s">
        <v>22</v>
      </c>
      <c r="G1127">
        <v>0</v>
      </c>
      <c r="H1127">
        <v>209.6</v>
      </c>
      <c r="I1127">
        <v>107</v>
      </c>
      <c r="J1127">
        <v>35.630000000000003</v>
      </c>
      <c r="K1127">
        <v>228.8</v>
      </c>
      <c r="L1127">
        <v>96</v>
      </c>
      <c r="M1127">
        <v>19.45</v>
      </c>
      <c r="N1127">
        <v>172.4</v>
      </c>
      <c r="O1127">
        <v>85</v>
      </c>
      <c r="P1127">
        <v>7.76</v>
      </c>
      <c r="Q1127">
        <v>7.6</v>
      </c>
      <c r="R1127">
        <v>2</v>
      </c>
      <c r="S1127">
        <v>2.0499999999999998</v>
      </c>
      <c r="T1127">
        <v>3</v>
      </c>
      <c r="U1127" t="s">
        <v>22</v>
      </c>
      <c r="V1127" t="e">
        <f>IF(#REF! = "yes", 1, 0)</f>
        <v>#REF!</v>
      </c>
      <c r="W1127" t="e">
        <f>IF(#REF! &lt;= 1, "0-1 Calls", IF(#REF! &lt;= 3, "2-3 Calls", IF(#REF! &lt;=5, "4-5 Calls", "6+ Calls")))</f>
        <v>#REF!</v>
      </c>
      <c r="X1127" t="e">
        <f>IF(#REF! &lt;= 50, "0-50", IF(#REF! &lt;=100, "51-100", IF(#REF! &lt;= 150, "101-150", "151+")))</f>
        <v>#REF!</v>
      </c>
      <c r="Y1127" t="e">
        <f>IF(#REF! &lt;= 3, "Low Charges", "High Charges")</f>
        <v>#REF!</v>
      </c>
      <c r="Z1127" t="e">
        <f>IF(#REF!&lt;=80,"Low Calls",
IF(#REF!&lt;=120,"Medium Calls","High Calls"))</f>
        <v>#REF!</v>
      </c>
      <c r="AA1127" t="e">
        <f>IF(#REF!&lt;=15,"Low Charges",
IF(#REF!&lt;=20,"Medium Charges","High Charges"))</f>
        <v>#REF!</v>
      </c>
      <c r="AB1127" t="e">
        <f>IF(AND(#REF!&gt;180, #REF!&gt;200), "Heavy Doemstic User", IF(#REF!&gt;10, "Interntional User", IF(AND(#REF!&lt;180, #REF!&lt;200,#REF!&lt;200), "Light User", "Balanced User")))</f>
        <v>#REF!</v>
      </c>
      <c r="AC1127" t="e">
        <f>IF(#REF! = 0, "No Usage", IF(#REF! &lt;= 20, "Low Usage", IF(#REF! &lt;= 40, "Medium Usgae", "High Usage")))</f>
        <v>#REF!</v>
      </c>
      <c r="AD1127" t="e">
        <f>IF(#REF!&lt;=150,"Low Usage", IF(#REF!&lt;=200,"Medium Usage", IF(#REF!&lt;=250,"High Usage","Very High Usage")))</f>
        <v>#REF!</v>
      </c>
      <c r="AE1127" t="e">
        <f>IF(#REF!&lt;=5,"Low Calls", IF(#REF!&lt;=10, "Medium Calls", "High Calls"))</f>
        <v>#REF!</v>
      </c>
      <c r="AF1127" t="e">
        <f xml:space="preserve">
IF(#REF!&gt;=4,4,0)+
IF(#REF!="yes",3,0)+
IF(#REF!="High Charges",3,0)+
IF(#REF!&gt;250,4,0)+
IF(#REF!="no",1,0)+
IF(#REF!="Heavy Domestic User",2,0)</f>
        <v>#REF!</v>
      </c>
      <c r="AG1127" t="e">
        <f>IF(#REF!&gt;=10,"High Risk", IF(#REF!&gt;=5,"Medium Risk","Low Risk"))</f>
        <v>#REF!</v>
      </c>
      <c r="AH1127" t="e">
        <f>#REF! + #REF! + #REF! + #REF!</f>
        <v>#REF!</v>
      </c>
    </row>
    <row r="1128" spans="1:34" x14ac:dyDescent="0.35">
      <c r="A1128">
        <v>1127</v>
      </c>
      <c r="B1128" t="s">
        <v>37</v>
      </c>
      <c r="C1128">
        <v>95</v>
      </c>
      <c r="D1128" t="s">
        <v>21</v>
      </c>
      <c r="E1128" t="s">
        <v>22</v>
      </c>
      <c r="F1128" t="s">
        <v>23</v>
      </c>
      <c r="G1128">
        <v>32</v>
      </c>
      <c r="H1128">
        <v>247</v>
      </c>
      <c r="I1128">
        <v>109</v>
      </c>
      <c r="J1128">
        <v>41.99</v>
      </c>
      <c r="K1128">
        <v>125.6</v>
      </c>
      <c r="L1128">
        <v>91</v>
      </c>
      <c r="M1128">
        <v>10.68</v>
      </c>
      <c r="N1128">
        <v>226.5</v>
      </c>
      <c r="O1128">
        <v>90</v>
      </c>
      <c r="P1128">
        <v>10.19</v>
      </c>
      <c r="Q1128">
        <v>10.5</v>
      </c>
      <c r="R1128">
        <v>4</v>
      </c>
      <c r="S1128">
        <v>2.84</v>
      </c>
      <c r="T1128">
        <v>3</v>
      </c>
      <c r="U1128" t="s">
        <v>22</v>
      </c>
      <c r="V1128" t="e">
        <f>IF(#REF! = "yes", 1, 0)</f>
        <v>#REF!</v>
      </c>
      <c r="W1128" t="e">
        <f>IF(#REF! &lt;= 1, "0-1 Calls", IF(#REF! &lt;= 3, "2-3 Calls", IF(#REF! &lt;=5, "4-5 Calls", "6+ Calls")))</f>
        <v>#REF!</v>
      </c>
      <c r="X1128" t="e">
        <f>IF(#REF! &lt;= 50, "0-50", IF(#REF! &lt;=100, "51-100", IF(#REF! &lt;= 150, "101-150", "151+")))</f>
        <v>#REF!</v>
      </c>
      <c r="Y1128" t="e">
        <f>IF(#REF! &lt;= 3, "Low Charges", "High Charges")</f>
        <v>#REF!</v>
      </c>
      <c r="Z1128" t="e">
        <f>IF(#REF!&lt;=80,"Low Calls",
IF(#REF!&lt;=120,"Medium Calls","High Calls"))</f>
        <v>#REF!</v>
      </c>
      <c r="AA1128" t="e">
        <f>IF(#REF!&lt;=15,"Low Charges",
IF(#REF!&lt;=20,"Medium Charges","High Charges"))</f>
        <v>#REF!</v>
      </c>
      <c r="AB1128" t="e">
        <f>IF(AND(#REF!&gt;180, #REF!&gt;200), "Heavy Doemstic User", IF(#REF!&gt;10, "Interntional User", IF(AND(#REF!&lt;180, #REF!&lt;200,#REF!&lt;200), "Light User", "Balanced User")))</f>
        <v>#REF!</v>
      </c>
      <c r="AC1128" t="e">
        <f>IF(#REF! = 0, "No Usage", IF(#REF! &lt;= 20, "Low Usage", IF(#REF! &lt;= 40, "Medium Usgae", "High Usage")))</f>
        <v>#REF!</v>
      </c>
      <c r="AD1128" t="e">
        <f>IF(#REF!&lt;=150,"Low Usage", IF(#REF!&lt;=200,"Medium Usage", IF(#REF!&lt;=250,"High Usage","Very High Usage")))</f>
        <v>#REF!</v>
      </c>
      <c r="AE1128" t="e">
        <f>IF(#REF!&lt;=5,"Low Calls", IF(#REF!&lt;=10, "Medium Calls", "High Calls"))</f>
        <v>#REF!</v>
      </c>
      <c r="AF1128" t="e">
        <f xml:space="preserve">
IF(#REF!&gt;=4,4,0)+
IF(#REF!="yes",3,0)+
IF(#REF!="High Charges",3,0)+
IF(#REF!&gt;250,4,0)+
IF(#REF!="no",1,0)+
IF(#REF!="Heavy Domestic User",2,0)</f>
        <v>#REF!</v>
      </c>
      <c r="AG1128" t="e">
        <f>IF(#REF!&gt;=10,"High Risk", IF(#REF!&gt;=5,"Medium Risk","Low Risk"))</f>
        <v>#REF!</v>
      </c>
      <c r="AH1128" t="e">
        <f>#REF! + #REF! + #REF! + #REF!</f>
        <v>#REF!</v>
      </c>
    </row>
    <row r="1129" spans="1:34" x14ac:dyDescent="0.35">
      <c r="A1129">
        <v>1128</v>
      </c>
      <c r="B1129" t="s">
        <v>62</v>
      </c>
      <c r="C1129">
        <v>7</v>
      </c>
      <c r="D1129" t="s">
        <v>25</v>
      </c>
      <c r="E1129" t="s">
        <v>22</v>
      </c>
      <c r="F1129" t="s">
        <v>23</v>
      </c>
      <c r="G1129">
        <v>30</v>
      </c>
      <c r="H1129">
        <v>221.4</v>
      </c>
      <c r="I1129">
        <v>114</v>
      </c>
      <c r="J1129">
        <v>37.64</v>
      </c>
      <c r="K1129">
        <v>165.8</v>
      </c>
      <c r="L1129">
        <v>116</v>
      </c>
      <c r="M1129">
        <v>14.09</v>
      </c>
      <c r="N1129">
        <v>247</v>
      </c>
      <c r="O1129">
        <v>105</v>
      </c>
      <c r="P1129">
        <v>11.12</v>
      </c>
      <c r="Q1129">
        <v>10.8</v>
      </c>
      <c r="R1129">
        <v>12</v>
      </c>
      <c r="S1129">
        <v>2.92</v>
      </c>
      <c r="T1129">
        <v>1</v>
      </c>
      <c r="U1129" t="s">
        <v>22</v>
      </c>
      <c r="V1129" t="e">
        <f>IF(#REF! = "yes", 1, 0)</f>
        <v>#REF!</v>
      </c>
      <c r="W1129" t="e">
        <f>IF(#REF! &lt;= 1, "0-1 Calls", IF(#REF! &lt;= 3, "2-3 Calls", IF(#REF! &lt;=5, "4-5 Calls", "6+ Calls")))</f>
        <v>#REF!</v>
      </c>
      <c r="X1129" t="e">
        <f>IF(#REF! &lt;= 50, "0-50", IF(#REF! &lt;=100, "51-100", IF(#REF! &lt;= 150, "101-150", "151+")))</f>
        <v>#REF!</v>
      </c>
      <c r="Y1129" t="e">
        <f>IF(#REF! &lt;= 3, "Low Charges", "High Charges")</f>
        <v>#REF!</v>
      </c>
      <c r="Z1129" t="e">
        <f>IF(#REF!&lt;=80,"Low Calls",
IF(#REF!&lt;=120,"Medium Calls","High Calls"))</f>
        <v>#REF!</v>
      </c>
      <c r="AA1129" t="e">
        <f>IF(#REF!&lt;=15,"Low Charges",
IF(#REF!&lt;=20,"Medium Charges","High Charges"))</f>
        <v>#REF!</v>
      </c>
      <c r="AB1129" t="e">
        <f>IF(AND(#REF!&gt;180, #REF!&gt;200), "Heavy Doemstic User", IF(#REF!&gt;10, "Interntional User", IF(AND(#REF!&lt;180, #REF!&lt;200,#REF!&lt;200), "Light User", "Balanced User")))</f>
        <v>#REF!</v>
      </c>
      <c r="AC1129" t="e">
        <f>IF(#REF! = 0, "No Usage", IF(#REF! &lt;= 20, "Low Usage", IF(#REF! &lt;= 40, "Medium Usgae", "High Usage")))</f>
        <v>#REF!</v>
      </c>
      <c r="AD1129" t="e">
        <f>IF(#REF!&lt;=150,"Low Usage", IF(#REF!&lt;=200,"Medium Usage", IF(#REF!&lt;=250,"High Usage","Very High Usage")))</f>
        <v>#REF!</v>
      </c>
      <c r="AE1129" t="e">
        <f>IF(#REF!&lt;=5,"Low Calls", IF(#REF!&lt;=10, "Medium Calls", "High Calls"))</f>
        <v>#REF!</v>
      </c>
      <c r="AF1129" t="e">
        <f xml:space="preserve">
IF(#REF!&gt;=4,4,0)+
IF(#REF!="yes",3,0)+
IF(#REF!="High Charges",3,0)+
IF(#REF!&gt;250,4,0)+
IF(#REF!="no",1,0)+
IF(#REF!="Heavy Domestic User",2,0)</f>
        <v>#REF!</v>
      </c>
      <c r="AG1129" t="e">
        <f>IF(#REF!&gt;=10,"High Risk", IF(#REF!&gt;=5,"Medium Risk","Low Risk"))</f>
        <v>#REF!</v>
      </c>
      <c r="AH1129" t="e">
        <f>#REF! + #REF! + #REF! + #REF!</f>
        <v>#REF!</v>
      </c>
    </row>
    <row r="1130" spans="1:34" x14ac:dyDescent="0.35">
      <c r="A1130">
        <v>1129</v>
      </c>
      <c r="B1130" t="s">
        <v>70</v>
      </c>
      <c r="C1130">
        <v>126</v>
      </c>
      <c r="D1130" t="s">
        <v>25</v>
      </c>
      <c r="E1130" t="s">
        <v>22</v>
      </c>
      <c r="F1130" t="s">
        <v>22</v>
      </c>
      <c r="G1130">
        <v>0</v>
      </c>
      <c r="H1130">
        <v>321.3</v>
      </c>
      <c r="I1130">
        <v>99</v>
      </c>
      <c r="J1130">
        <v>54.62</v>
      </c>
      <c r="K1130">
        <v>167.9</v>
      </c>
      <c r="L1130">
        <v>93</v>
      </c>
      <c r="M1130">
        <v>14.27</v>
      </c>
      <c r="N1130">
        <v>193.6</v>
      </c>
      <c r="O1130">
        <v>106</v>
      </c>
      <c r="P1130">
        <v>8.7100000000000009</v>
      </c>
      <c r="Q1130">
        <v>8</v>
      </c>
      <c r="R1130">
        <v>4</v>
      </c>
      <c r="S1130">
        <v>2.16</v>
      </c>
      <c r="T1130">
        <v>1</v>
      </c>
      <c r="U1130" t="s">
        <v>23</v>
      </c>
      <c r="V1130" t="e">
        <f>IF(#REF! = "yes", 1, 0)</f>
        <v>#REF!</v>
      </c>
      <c r="W1130" t="e">
        <f>IF(#REF! &lt;= 1, "0-1 Calls", IF(#REF! &lt;= 3, "2-3 Calls", IF(#REF! &lt;=5, "4-5 Calls", "6+ Calls")))</f>
        <v>#REF!</v>
      </c>
      <c r="X1130" t="e">
        <f>IF(#REF! &lt;= 50, "0-50", IF(#REF! &lt;=100, "51-100", IF(#REF! &lt;= 150, "101-150", "151+")))</f>
        <v>#REF!</v>
      </c>
      <c r="Y1130" t="e">
        <f>IF(#REF! &lt;= 3, "Low Charges", "High Charges")</f>
        <v>#REF!</v>
      </c>
      <c r="Z1130" t="e">
        <f>IF(#REF!&lt;=80,"Low Calls",
IF(#REF!&lt;=120,"Medium Calls","High Calls"))</f>
        <v>#REF!</v>
      </c>
      <c r="AA1130" t="e">
        <f>IF(#REF!&lt;=15,"Low Charges",
IF(#REF!&lt;=20,"Medium Charges","High Charges"))</f>
        <v>#REF!</v>
      </c>
      <c r="AB1130" t="e">
        <f>IF(AND(#REF!&gt;180, #REF!&gt;200), "Heavy Doemstic User", IF(#REF!&gt;10, "Interntional User", IF(AND(#REF!&lt;180, #REF!&lt;200,#REF!&lt;200), "Light User", "Balanced User")))</f>
        <v>#REF!</v>
      </c>
      <c r="AC1130" t="e">
        <f>IF(#REF! = 0, "No Usage", IF(#REF! &lt;= 20, "Low Usage", IF(#REF! &lt;= 40, "Medium Usgae", "High Usage")))</f>
        <v>#REF!</v>
      </c>
      <c r="AD1130" t="e">
        <f>IF(#REF!&lt;=150,"Low Usage", IF(#REF!&lt;=200,"Medium Usage", IF(#REF!&lt;=250,"High Usage","Very High Usage")))</f>
        <v>#REF!</v>
      </c>
      <c r="AE1130" t="e">
        <f>IF(#REF!&lt;=5,"Low Calls", IF(#REF!&lt;=10, "Medium Calls", "High Calls"))</f>
        <v>#REF!</v>
      </c>
      <c r="AF1130" t="e">
        <f xml:space="preserve">
IF(#REF!&gt;=4,4,0)+
IF(#REF!="yes",3,0)+
IF(#REF!="High Charges",3,0)+
IF(#REF!&gt;250,4,0)+
IF(#REF!="no",1,0)+
IF(#REF!="Heavy Domestic User",2,0)</f>
        <v>#REF!</v>
      </c>
      <c r="AG1130" t="e">
        <f>IF(#REF!&gt;=10,"High Risk", IF(#REF!&gt;=5,"Medium Risk","Low Risk"))</f>
        <v>#REF!</v>
      </c>
      <c r="AH1130" t="e">
        <f>#REF! + #REF! + #REF! + #REF!</f>
        <v>#REF!</v>
      </c>
    </row>
    <row r="1131" spans="1:34" x14ac:dyDescent="0.35">
      <c r="A1131">
        <v>1130</v>
      </c>
      <c r="B1131" t="s">
        <v>44</v>
      </c>
      <c r="C1131">
        <v>71</v>
      </c>
      <c r="D1131" t="s">
        <v>21</v>
      </c>
      <c r="E1131" t="s">
        <v>22</v>
      </c>
      <c r="F1131" t="s">
        <v>22</v>
      </c>
      <c r="G1131">
        <v>0</v>
      </c>
      <c r="H1131">
        <v>243.7</v>
      </c>
      <c r="I1131">
        <v>124</v>
      </c>
      <c r="J1131">
        <v>41.43</v>
      </c>
      <c r="K1131">
        <v>60</v>
      </c>
      <c r="L1131">
        <v>90</v>
      </c>
      <c r="M1131">
        <v>5.0999999999999996</v>
      </c>
      <c r="N1131">
        <v>189</v>
      </c>
      <c r="O1131">
        <v>129</v>
      </c>
      <c r="P1131">
        <v>8.5</v>
      </c>
      <c r="Q1131">
        <v>11.3</v>
      </c>
      <c r="R1131">
        <v>2</v>
      </c>
      <c r="S1131">
        <v>3.05</v>
      </c>
      <c r="T1131">
        <v>0</v>
      </c>
      <c r="U1131" t="s">
        <v>22</v>
      </c>
      <c r="V1131" t="e">
        <f>IF(#REF! = "yes", 1, 0)</f>
        <v>#REF!</v>
      </c>
      <c r="W1131" t="e">
        <f>IF(#REF! &lt;= 1, "0-1 Calls", IF(#REF! &lt;= 3, "2-3 Calls", IF(#REF! &lt;=5, "4-5 Calls", "6+ Calls")))</f>
        <v>#REF!</v>
      </c>
      <c r="X1131" t="e">
        <f>IF(#REF! &lt;= 50, "0-50", IF(#REF! &lt;=100, "51-100", IF(#REF! &lt;= 150, "101-150", "151+")))</f>
        <v>#REF!</v>
      </c>
      <c r="Y1131" t="e">
        <f>IF(#REF! &lt;= 3, "Low Charges", "High Charges")</f>
        <v>#REF!</v>
      </c>
      <c r="Z1131" t="e">
        <f>IF(#REF!&lt;=80,"Low Calls",
IF(#REF!&lt;=120,"Medium Calls","High Calls"))</f>
        <v>#REF!</v>
      </c>
      <c r="AA1131" t="e">
        <f>IF(#REF!&lt;=15,"Low Charges",
IF(#REF!&lt;=20,"Medium Charges","High Charges"))</f>
        <v>#REF!</v>
      </c>
      <c r="AB1131" t="e">
        <f>IF(AND(#REF!&gt;180, #REF!&gt;200), "Heavy Doemstic User", IF(#REF!&gt;10, "Interntional User", IF(AND(#REF!&lt;180, #REF!&lt;200,#REF!&lt;200), "Light User", "Balanced User")))</f>
        <v>#REF!</v>
      </c>
      <c r="AC1131" t="e">
        <f>IF(#REF! = 0, "No Usage", IF(#REF! &lt;= 20, "Low Usage", IF(#REF! &lt;= 40, "Medium Usgae", "High Usage")))</f>
        <v>#REF!</v>
      </c>
      <c r="AD1131" t="e">
        <f>IF(#REF!&lt;=150,"Low Usage", IF(#REF!&lt;=200,"Medium Usage", IF(#REF!&lt;=250,"High Usage","Very High Usage")))</f>
        <v>#REF!</v>
      </c>
      <c r="AE1131" t="e">
        <f>IF(#REF!&lt;=5,"Low Calls", IF(#REF!&lt;=10, "Medium Calls", "High Calls"))</f>
        <v>#REF!</v>
      </c>
      <c r="AF1131" t="e">
        <f xml:space="preserve">
IF(#REF!&gt;=4,4,0)+
IF(#REF!="yes",3,0)+
IF(#REF!="High Charges",3,0)+
IF(#REF!&gt;250,4,0)+
IF(#REF!="no",1,0)+
IF(#REF!="Heavy Domestic User",2,0)</f>
        <v>#REF!</v>
      </c>
      <c r="AG1131" t="e">
        <f>IF(#REF!&gt;=10,"High Risk", IF(#REF!&gt;=5,"Medium Risk","Low Risk"))</f>
        <v>#REF!</v>
      </c>
      <c r="AH1131" t="e">
        <f>#REF! + #REF! + #REF! + #REF!</f>
        <v>#REF!</v>
      </c>
    </row>
    <row r="1132" spans="1:34" x14ac:dyDescent="0.35">
      <c r="A1132">
        <v>1131</v>
      </c>
      <c r="B1132" t="s">
        <v>67</v>
      </c>
      <c r="C1132">
        <v>124</v>
      </c>
      <c r="D1132" t="s">
        <v>21</v>
      </c>
      <c r="E1132" t="s">
        <v>22</v>
      </c>
      <c r="F1132" t="s">
        <v>22</v>
      </c>
      <c r="G1132">
        <v>0</v>
      </c>
      <c r="H1132">
        <v>251.5</v>
      </c>
      <c r="I1132">
        <v>85</v>
      </c>
      <c r="J1132">
        <v>42.76</v>
      </c>
      <c r="K1132">
        <v>214.2</v>
      </c>
      <c r="L1132">
        <v>98</v>
      </c>
      <c r="M1132">
        <v>18.21</v>
      </c>
      <c r="N1132">
        <v>186.1</v>
      </c>
      <c r="O1132">
        <v>71</v>
      </c>
      <c r="P1132">
        <v>8.3699999999999992</v>
      </c>
      <c r="Q1132">
        <v>11.1</v>
      </c>
      <c r="R1132">
        <v>6</v>
      </c>
      <c r="S1132">
        <v>3</v>
      </c>
      <c r="T1132">
        <v>3</v>
      </c>
      <c r="U1132" t="s">
        <v>22</v>
      </c>
      <c r="V1132" t="e">
        <f>IF(#REF! = "yes", 1, 0)</f>
        <v>#REF!</v>
      </c>
      <c r="W1132" t="e">
        <f>IF(#REF! &lt;= 1, "0-1 Calls", IF(#REF! &lt;= 3, "2-3 Calls", IF(#REF! &lt;=5, "4-5 Calls", "6+ Calls")))</f>
        <v>#REF!</v>
      </c>
      <c r="X1132" t="e">
        <f>IF(#REF! &lt;= 50, "0-50", IF(#REF! &lt;=100, "51-100", IF(#REF! &lt;= 150, "101-150", "151+")))</f>
        <v>#REF!</v>
      </c>
      <c r="Y1132" t="e">
        <f>IF(#REF! &lt;= 3, "Low Charges", "High Charges")</f>
        <v>#REF!</v>
      </c>
      <c r="Z1132" t="e">
        <f>IF(#REF!&lt;=80,"Low Calls",
IF(#REF!&lt;=120,"Medium Calls","High Calls"))</f>
        <v>#REF!</v>
      </c>
      <c r="AA1132" t="e">
        <f>IF(#REF!&lt;=15,"Low Charges",
IF(#REF!&lt;=20,"Medium Charges","High Charges"))</f>
        <v>#REF!</v>
      </c>
      <c r="AB1132" t="e">
        <f>IF(AND(#REF!&gt;180, #REF!&gt;200), "Heavy Doemstic User", IF(#REF!&gt;10, "Interntional User", IF(AND(#REF!&lt;180, #REF!&lt;200,#REF!&lt;200), "Light User", "Balanced User")))</f>
        <v>#REF!</v>
      </c>
      <c r="AC1132" t="e">
        <f>IF(#REF! = 0, "No Usage", IF(#REF! &lt;= 20, "Low Usage", IF(#REF! &lt;= 40, "Medium Usgae", "High Usage")))</f>
        <v>#REF!</v>
      </c>
      <c r="AD1132" t="e">
        <f>IF(#REF!&lt;=150,"Low Usage", IF(#REF!&lt;=200,"Medium Usage", IF(#REF!&lt;=250,"High Usage","Very High Usage")))</f>
        <v>#REF!</v>
      </c>
      <c r="AE1132" t="e">
        <f>IF(#REF!&lt;=5,"Low Calls", IF(#REF!&lt;=10, "Medium Calls", "High Calls"))</f>
        <v>#REF!</v>
      </c>
      <c r="AF1132" t="e">
        <f xml:space="preserve">
IF(#REF!&gt;=4,4,0)+
IF(#REF!="yes",3,0)+
IF(#REF!="High Charges",3,0)+
IF(#REF!&gt;250,4,0)+
IF(#REF!="no",1,0)+
IF(#REF!="Heavy Domestic User",2,0)</f>
        <v>#REF!</v>
      </c>
      <c r="AG1132" t="e">
        <f>IF(#REF!&gt;=10,"High Risk", IF(#REF!&gt;=5,"Medium Risk","Low Risk"))</f>
        <v>#REF!</v>
      </c>
      <c r="AH1132" t="e">
        <f>#REF! + #REF! + #REF! + #REF!</f>
        <v>#REF!</v>
      </c>
    </row>
    <row r="1133" spans="1:34" x14ac:dyDescent="0.35">
      <c r="A1133">
        <v>1132</v>
      </c>
      <c r="B1133" t="s">
        <v>44</v>
      </c>
      <c r="C1133">
        <v>97</v>
      </c>
      <c r="D1133" t="s">
        <v>28</v>
      </c>
      <c r="E1133" t="s">
        <v>23</v>
      </c>
      <c r="F1133" t="s">
        <v>22</v>
      </c>
      <c r="G1133">
        <v>0</v>
      </c>
      <c r="H1133">
        <v>236.9</v>
      </c>
      <c r="I1133">
        <v>107</v>
      </c>
      <c r="J1133">
        <v>40.270000000000003</v>
      </c>
      <c r="K1133">
        <v>157.6</v>
      </c>
      <c r="L1133">
        <v>105</v>
      </c>
      <c r="M1133">
        <v>13.4</v>
      </c>
      <c r="N1133">
        <v>241</v>
      </c>
      <c r="O1133">
        <v>120</v>
      </c>
      <c r="P1133">
        <v>10.85</v>
      </c>
      <c r="Q1133">
        <v>7.3</v>
      </c>
      <c r="R1133">
        <v>2</v>
      </c>
      <c r="S1133">
        <v>1.97</v>
      </c>
      <c r="T1133">
        <v>0</v>
      </c>
      <c r="U1133" t="s">
        <v>23</v>
      </c>
      <c r="V1133" t="e">
        <f>IF(#REF! = "yes", 1, 0)</f>
        <v>#REF!</v>
      </c>
      <c r="W1133" t="e">
        <f>IF(#REF! &lt;= 1, "0-1 Calls", IF(#REF! &lt;= 3, "2-3 Calls", IF(#REF! &lt;=5, "4-5 Calls", "6+ Calls")))</f>
        <v>#REF!</v>
      </c>
      <c r="X1133" t="e">
        <f>IF(#REF! &lt;= 50, "0-50", IF(#REF! &lt;=100, "51-100", IF(#REF! &lt;= 150, "101-150", "151+")))</f>
        <v>#REF!</v>
      </c>
      <c r="Y1133" t="e">
        <f>IF(#REF! &lt;= 3, "Low Charges", "High Charges")</f>
        <v>#REF!</v>
      </c>
      <c r="Z1133" t="e">
        <f>IF(#REF!&lt;=80,"Low Calls",
IF(#REF!&lt;=120,"Medium Calls","High Calls"))</f>
        <v>#REF!</v>
      </c>
      <c r="AA1133" t="e">
        <f>IF(#REF!&lt;=15,"Low Charges",
IF(#REF!&lt;=20,"Medium Charges","High Charges"))</f>
        <v>#REF!</v>
      </c>
      <c r="AB1133" t="e">
        <f>IF(AND(#REF!&gt;180, #REF!&gt;200), "Heavy Doemstic User", IF(#REF!&gt;10, "Interntional User", IF(AND(#REF!&lt;180, #REF!&lt;200,#REF!&lt;200), "Light User", "Balanced User")))</f>
        <v>#REF!</v>
      </c>
      <c r="AC1133" t="e">
        <f>IF(#REF! = 0, "No Usage", IF(#REF! &lt;= 20, "Low Usage", IF(#REF! &lt;= 40, "Medium Usgae", "High Usage")))</f>
        <v>#REF!</v>
      </c>
      <c r="AD1133" t="e">
        <f>IF(#REF!&lt;=150,"Low Usage", IF(#REF!&lt;=200,"Medium Usage", IF(#REF!&lt;=250,"High Usage","Very High Usage")))</f>
        <v>#REF!</v>
      </c>
      <c r="AE1133" t="e">
        <f>IF(#REF!&lt;=5,"Low Calls", IF(#REF!&lt;=10, "Medium Calls", "High Calls"))</f>
        <v>#REF!</v>
      </c>
      <c r="AF1133" t="e">
        <f xml:space="preserve">
IF(#REF!&gt;=4,4,0)+
IF(#REF!="yes",3,0)+
IF(#REF!="High Charges",3,0)+
IF(#REF!&gt;250,4,0)+
IF(#REF!="no",1,0)+
IF(#REF!="Heavy Domestic User",2,0)</f>
        <v>#REF!</v>
      </c>
      <c r="AG1133" t="e">
        <f>IF(#REF!&gt;=10,"High Risk", IF(#REF!&gt;=5,"Medium Risk","Low Risk"))</f>
        <v>#REF!</v>
      </c>
      <c r="AH1133" t="e">
        <f>#REF! + #REF! + #REF! + #REF!</f>
        <v>#REF!</v>
      </c>
    </row>
    <row r="1134" spans="1:34" x14ac:dyDescent="0.35">
      <c r="A1134">
        <v>1133</v>
      </c>
      <c r="B1134" t="s">
        <v>39</v>
      </c>
      <c r="C1134">
        <v>28</v>
      </c>
      <c r="D1134" t="s">
        <v>21</v>
      </c>
      <c r="E1134" t="s">
        <v>22</v>
      </c>
      <c r="F1134" t="s">
        <v>22</v>
      </c>
      <c r="G1134">
        <v>0</v>
      </c>
      <c r="H1134">
        <v>159.69999999999999</v>
      </c>
      <c r="I1134">
        <v>79</v>
      </c>
      <c r="J1134">
        <v>27.15</v>
      </c>
      <c r="K1134">
        <v>216.7</v>
      </c>
      <c r="L1134">
        <v>131</v>
      </c>
      <c r="M1134">
        <v>18.420000000000002</v>
      </c>
      <c r="N1134">
        <v>206.7</v>
      </c>
      <c r="O1134">
        <v>116</v>
      </c>
      <c r="P1134">
        <v>9.3000000000000007</v>
      </c>
      <c r="Q1134">
        <v>9.3000000000000007</v>
      </c>
      <c r="R1134">
        <v>3</v>
      </c>
      <c r="S1134">
        <v>2.5099999999999998</v>
      </c>
      <c r="T1134">
        <v>2</v>
      </c>
      <c r="U1134" t="s">
        <v>22</v>
      </c>
      <c r="V1134" t="e">
        <f>IF(#REF! = "yes", 1, 0)</f>
        <v>#REF!</v>
      </c>
      <c r="W1134" t="e">
        <f>IF(#REF! &lt;= 1, "0-1 Calls", IF(#REF! &lt;= 3, "2-3 Calls", IF(#REF! &lt;=5, "4-5 Calls", "6+ Calls")))</f>
        <v>#REF!</v>
      </c>
      <c r="X1134" t="e">
        <f>IF(#REF! &lt;= 50, "0-50", IF(#REF! &lt;=100, "51-100", IF(#REF! &lt;= 150, "101-150", "151+")))</f>
        <v>#REF!</v>
      </c>
      <c r="Y1134" t="e">
        <f>IF(#REF! &lt;= 3, "Low Charges", "High Charges")</f>
        <v>#REF!</v>
      </c>
      <c r="Z1134" t="e">
        <f>IF(#REF!&lt;=80,"Low Calls",
IF(#REF!&lt;=120,"Medium Calls","High Calls"))</f>
        <v>#REF!</v>
      </c>
      <c r="AA1134" t="e">
        <f>IF(#REF!&lt;=15,"Low Charges",
IF(#REF!&lt;=20,"Medium Charges","High Charges"))</f>
        <v>#REF!</v>
      </c>
      <c r="AB1134" t="e">
        <f>IF(AND(#REF!&gt;180, #REF!&gt;200), "Heavy Doemstic User", IF(#REF!&gt;10, "Interntional User", IF(AND(#REF!&lt;180, #REF!&lt;200,#REF!&lt;200), "Light User", "Balanced User")))</f>
        <v>#REF!</v>
      </c>
      <c r="AC1134" t="e">
        <f>IF(#REF! = 0, "No Usage", IF(#REF! &lt;= 20, "Low Usage", IF(#REF! &lt;= 40, "Medium Usgae", "High Usage")))</f>
        <v>#REF!</v>
      </c>
      <c r="AD1134" t="e">
        <f>IF(#REF!&lt;=150,"Low Usage", IF(#REF!&lt;=200,"Medium Usage", IF(#REF!&lt;=250,"High Usage","Very High Usage")))</f>
        <v>#REF!</v>
      </c>
      <c r="AE1134" t="e">
        <f>IF(#REF!&lt;=5,"Low Calls", IF(#REF!&lt;=10, "Medium Calls", "High Calls"))</f>
        <v>#REF!</v>
      </c>
      <c r="AF1134" t="e">
        <f xml:space="preserve">
IF(#REF!&gt;=4,4,0)+
IF(#REF!="yes",3,0)+
IF(#REF!="High Charges",3,0)+
IF(#REF!&gt;250,4,0)+
IF(#REF!="no",1,0)+
IF(#REF!="Heavy Domestic User",2,0)</f>
        <v>#REF!</v>
      </c>
      <c r="AG1134" t="e">
        <f>IF(#REF!&gt;=10,"High Risk", IF(#REF!&gt;=5,"Medium Risk","Low Risk"))</f>
        <v>#REF!</v>
      </c>
      <c r="AH1134" t="e">
        <f>#REF! + #REF! + #REF! + #REF!</f>
        <v>#REF!</v>
      </c>
    </row>
    <row r="1135" spans="1:34" x14ac:dyDescent="0.35">
      <c r="A1135">
        <v>1134</v>
      </c>
      <c r="B1135" t="s">
        <v>59</v>
      </c>
      <c r="C1135">
        <v>90</v>
      </c>
      <c r="D1135" t="s">
        <v>21</v>
      </c>
      <c r="E1135" t="s">
        <v>23</v>
      </c>
      <c r="F1135" t="s">
        <v>22</v>
      </c>
      <c r="G1135">
        <v>0</v>
      </c>
      <c r="H1135">
        <v>148.19999999999999</v>
      </c>
      <c r="I1135">
        <v>96</v>
      </c>
      <c r="J1135">
        <v>25.19</v>
      </c>
      <c r="K1135">
        <v>220.4</v>
      </c>
      <c r="L1135">
        <v>111</v>
      </c>
      <c r="M1135">
        <v>18.73</v>
      </c>
      <c r="N1135">
        <v>134.19999999999999</v>
      </c>
      <c r="O1135">
        <v>97</v>
      </c>
      <c r="P1135">
        <v>6.04</v>
      </c>
      <c r="Q1135">
        <v>9.1999999999999993</v>
      </c>
      <c r="R1135">
        <v>1</v>
      </c>
      <c r="S1135">
        <v>2.48</v>
      </c>
      <c r="T1135">
        <v>4</v>
      </c>
      <c r="U1135" t="s">
        <v>23</v>
      </c>
      <c r="V1135" t="e">
        <f>IF(#REF! = "yes", 1, 0)</f>
        <v>#REF!</v>
      </c>
      <c r="W1135" t="e">
        <f>IF(#REF! &lt;= 1, "0-1 Calls", IF(#REF! &lt;= 3, "2-3 Calls", IF(#REF! &lt;=5, "4-5 Calls", "6+ Calls")))</f>
        <v>#REF!</v>
      </c>
      <c r="X1135" t="e">
        <f>IF(#REF! &lt;= 50, "0-50", IF(#REF! &lt;=100, "51-100", IF(#REF! &lt;= 150, "101-150", "151+")))</f>
        <v>#REF!</v>
      </c>
      <c r="Y1135" t="e">
        <f>IF(#REF! &lt;= 3, "Low Charges", "High Charges")</f>
        <v>#REF!</v>
      </c>
      <c r="Z1135" t="e">
        <f>IF(#REF!&lt;=80,"Low Calls",
IF(#REF!&lt;=120,"Medium Calls","High Calls"))</f>
        <v>#REF!</v>
      </c>
      <c r="AA1135" t="e">
        <f>IF(#REF!&lt;=15,"Low Charges",
IF(#REF!&lt;=20,"Medium Charges","High Charges"))</f>
        <v>#REF!</v>
      </c>
      <c r="AB1135" t="e">
        <f>IF(AND(#REF!&gt;180, #REF!&gt;200), "Heavy Doemstic User", IF(#REF!&gt;10, "Interntional User", IF(AND(#REF!&lt;180, #REF!&lt;200,#REF!&lt;200), "Light User", "Balanced User")))</f>
        <v>#REF!</v>
      </c>
      <c r="AC1135" t="e">
        <f>IF(#REF! = 0, "No Usage", IF(#REF! &lt;= 20, "Low Usage", IF(#REF! &lt;= 40, "Medium Usgae", "High Usage")))</f>
        <v>#REF!</v>
      </c>
      <c r="AD1135" t="e">
        <f>IF(#REF!&lt;=150,"Low Usage", IF(#REF!&lt;=200,"Medium Usage", IF(#REF!&lt;=250,"High Usage","Very High Usage")))</f>
        <v>#REF!</v>
      </c>
      <c r="AE1135" t="e">
        <f>IF(#REF!&lt;=5,"Low Calls", IF(#REF!&lt;=10, "Medium Calls", "High Calls"))</f>
        <v>#REF!</v>
      </c>
      <c r="AF1135" t="e">
        <f xml:space="preserve">
IF(#REF!&gt;=4,4,0)+
IF(#REF!="yes",3,0)+
IF(#REF!="High Charges",3,0)+
IF(#REF!&gt;250,4,0)+
IF(#REF!="no",1,0)+
IF(#REF!="Heavy Domestic User",2,0)</f>
        <v>#REF!</v>
      </c>
      <c r="AG1135" t="e">
        <f>IF(#REF!&gt;=10,"High Risk", IF(#REF!&gt;=5,"Medium Risk","Low Risk"))</f>
        <v>#REF!</v>
      </c>
      <c r="AH1135" t="e">
        <f>#REF! + #REF! + #REF! + #REF!</f>
        <v>#REF!</v>
      </c>
    </row>
    <row r="1136" spans="1:34" x14ac:dyDescent="0.35">
      <c r="A1136">
        <v>1135</v>
      </c>
      <c r="B1136" t="s">
        <v>45</v>
      </c>
      <c r="C1136">
        <v>190</v>
      </c>
      <c r="D1136" t="s">
        <v>25</v>
      </c>
      <c r="E1136" t="s">
        <v>22</v>
      </c>
      <c r="F1136" t="s">
        <v>22</v>
      </c>
      <c r="G1136">
        <v>0</v>
      </c>
      <c r="H1136">
        <v>150.9</v>
      </c>
      <c r="I1136">
        <v>86</v>
      </c>
      <c r="J1136">
        <v>25.65</v>
      </c>
      <c r="K1136">
        <v>268.60000000000002</v>
      </c>
      <c r="L1136">
        <v>129</v>
      </c>
      <c r="M1136">
        <v>22.83</v>
      </c>
      <c r="N1136">
        <v>179.9</v>
      </c>
      <c r="O1136">
        <v>73</v>
      </c>
      <c r="P1136">
        <v>8.1</v>
      </c>
      <c r="Q1136">
        <v>14.7</v>
      </c>
      <c r="R1136">
        <v>1</v>
      </c>
      <c r="S1136">
        <v>3.97</v>
      </c>
      <c r="T1136">
        <v>1</v>
      </c>
      <c r="U1136" t="s">
        <v>22</v>
      </c>
      <c r="V1136" t="e">
        <f>IF(#REF! = "yes", 1, 0)</f>
        <v>#REF!</v>
      </c>
      <c r="W1136" t="e">
        <f>IF(#REF! &lt;= 1, "0-1 Calls", IF(#REF! &lt;= 3, "2-3 Calls", IF(#REF! &lt;=5, "4-5 Calls", "6+ Calls")))</f>
        <v>#REF!</v>
      </c>
      <c r="X1136" t="e">
        <f>IF(#REF! &lt;= 50, "0-50", IF(#REF! &lt;=100, "51-100", IF(#REF! &lt;= 150, "101-150", "151+")))</f>
        <v>#REF!</v>
      </c>
      <c r="Y1136" t="e">
        <f>IF(#REF! &lt;= 3, "Low Charges", "High Charges")</f>
        <v>#REF!</v>
      </c>
      <c r="Z1136" t="e">
        <f>IF(#REF!&lt;=80,"Low Calls",
IF(#REF!&lt;=120,"Medium Calls","High Calls"))</f>
        <v>#REF!</v>
      </c>
      <c r="AA1136" t="e">
        <f>IF(#REF!&lt;=15,"Low Charges",
IF(#REF!&lt;=20,"Medium Charges","High Charges"))</f>
        <v>#REF!</v>
      </c>
      <c r="AB1136" t="e">
        <f>IF(AND(#REF!&gt;180, #REF!&gt;200), "Heavy Doemstic User", IF(#REF!&gt;10, "Interntional User", IF(AND(#REF!&lt;180, #REF!&lt;200,#REF!&lt;200), "Light User", "Balanced User")))</f>
        <v>#REF!</v>
      </c>
      <c r="AC1136" t="e">
        <f>IF(#REF! = 0, "No Usage", IF(#REF! &lt;= 20, "Low Usage", IF(#REF! &lt;= 40, "Medium Usgae", "High Usage")))</f>
        <v>#REF!</v>
      </c>
      <c r="AD1136" t="e">
        <f>IF(#REF!&lt;=150,"Low Usage", IF(#REF!&lt;=200,"Medium Usage", IF(#REF!&lt;=250,"High Usage","Very High Usage")))</f>
        <v>#REF!</v>
      </c>
      <c r="AE1136" t="e">
        <f>IF(#REF!&lt;=5,"Low Calls", IF(#REF!&lt;=10, "Medium Calls", "High Calls"))</f>
        <v>#REF!</v>
      </c>
      <c r="AF1136" t="e">
        <f xml:space="preserve">
IF(#REF!&gt;=4,4,0)+
IF(#REF!="yes",3,0)+
IF(#REF!="High Charges",3,0)+
IF(#REF!&gt;250,4,0)+
IF(#REF!="no",1,0)+
IF(#REF!="Heavy Domestic User",2,0)</f>
        <v>#REF!</v>
      </c>
      <c r="AG1136" t="e">
        <f>IF(#REF!&gt;=10,"High Risk", IF(#REF!&gt;=5,"Medium Risk","Low Risk"))</f>
        <v>#REF!</v>
      </c>
      <c r="AH1136" t="e">
        <f>#REF! + #REF! + #REF! + #REF!</f>
        <v>#REF!</v>
      </c>
    </row>
    <row r="1137" spans="1:34" x14ac:dyDescent="0.35">
      <c r="A1137">
        <v>1136</v>
      </c>
      <c r="B1137" t="s">
        <v>72</v>
      </c>
      <c r="C1137">
        <v>31</v>
      </c>
      <c r="D1137" t="s">
        <v>21</v>
      </c>
      <c r="E1137" t="s">
        <v>22</v>
      </c>
      <c r="F1137" t="s">
        <v>23</v>
      </c>
      <c r="G1137">
        <v>28</v>
      </c>
      <c r="H1137">
        <v>210.5</v>
      </c>
      <c r="I1137">
        <v>101</v>
      </c>
      <c r="J1137">
        <v>35.79</v>
      </c>
      <c r="K1137">
        <v>250.5</v>
      </c>
      <c r="L1137">
        <v>86</v>
      </c>
      <c r="M1137">
        <v>21.29</v>
      </c>
      <c r="N1137">
        <v>241.6</v>
      </c>
      <c r="O1137">
        <v>125</v>
      </c>
      <c r="P1137">
        <v>10.87</v>
      </c>
      <c r="Q1137">
        <v>11.5</v>
      </c>
      <c r="R1137">
        <v>2</v>
      </c>
      <c r="S1137">
        <v>3.11</v>
      </c>
      <c r="T1137">
        <v>1</v>
      </c>
      <c r="U1137" t="s">
        <v>22</v>
      </c>
      <c r="V1137" t="e">
        <f>IF(#REF! = "yes", 1, 0)</f>
        <v>#REF!</v>
      </c>
      <c r="W1137" t="e">
        <f>IF(#REF! &lt;= 1, "0-1 Calls", IF(#REF! &lt;= 3, "2-3 Calls", IF(#REF! &lt;=5, "4-5 Calls", "6+ Calls")))</f>
        <v>#REF!</v>
      </c>
      <c r="X1137" t="e">
        <f>IF(#REF! &lt;= 50, "0-50", IF(#REF! &lt;=100, "51-100", IF(#REF! &lt;= 150, "101-150", "151+")))</f>
        <v>#REF!</v>
      </c>
      <c r="Y1137" t="e">
        <f>IF(#REF! &lt;= 3, "Low Charges", "High Charges")</f>
        <v>#REF!</v>
      </c>
      <c r="Z1137" t="e">
        <f>IF(#REF!&lt;=80,"Low Calls",
IF(#REF!&lt;=120,"Medium Calls","High Calls"))</f>
        <v>#REF!</v>
      </c>
      <c r="AA1137" t="e">
        <f>IF(#REF!&lt;=15,"Low Charges",
IF(#REF!&lt;=20,"Medium Charges","High Charges"))</f>
        <v>#REF!</v>
      </c>
      <c r="AB1137" t="e">
        <f>IF(AND(#REF!&gt;180, #REF!&gt;200), "Heavy Doemstic User", IF(#REF!&gt;10, "Interntional User", IF(AND(#REF!&lt;180, #REF!&lt;200,#REF!&lt;200), "Light User", "Balanced User")))</f>
        <v>#REF!</v>
      </c>
      <c r="AC1137" t="e">
        <f>IF(#REF! = 0, "No Usage", IF(#REF! &lt;= 20, "Low Usage", IF(#REF! &lt;= 40, "Medium Usgae", "High Usage")))</f>
        <v>#REF!</v>
      </c>
      <c r="AD1137" t="e">
        <f>IF(#REF!&lt;=150,"Low Usage", IF(#REF!&lt;=200,"Medium Usage", IF(#REF!&lt;=250,"High Usage","Very High Usage")))</f>
        <v>#REF!</v>
      </c>
      <c r="AE1137" t="e">
        <f>IF(#REF!&lt;=5,"Low Calls", IF(#REF!&lt;=10, "Medium Calls", "High Calls"))</f>
        <v>#REF!</v>
      </c>
      <c r="AF1137" t="e">
        <f xml:space="preserve">
IF(#REF!&gt;=4,4,0)+
IF(#REF!="yes",3,0)+
IF(#REF!="High Charges",3,0)+
IF(#REF!&gt;250,4,0)+
IF(#REF!="no",1,0)+
IF(#REF!="Heavy Domestic User",2,0)</f>
        <v>#REF!</v>
      </c>
      <c r="AG1137" t="e">
        <f>IF(#REF!&gt;=10,"High Risk", IF(#REF!&gt;=5,"Medium Risk","Low Risk"))</f>
        <v>#REF!</v>
      </c>
      <c r="AH1137" t="e">
        <f>#REF! + #REF! + #REF! + #REF!</f>
        <v>#REF!</v>
      </c>
    </row>
    <row r="1138" spans="1:34" x14ac:dyDescent="0.35">
      <c r="A1138">
        <v>1137</v>
      </c>
      <c r="B1138" t="s">
        <v>49</v>
      </c>
      <c r="C1138">
        <v>73</v>
      </c>
      <c r="D1138" t="s">
        <v>28</v>
      </c>
      <c r="E1138" t="s">
        <v>22</v>
      </c>
      <c r="F1138" t="s">
        <v>22</v>
      </c>
      <c r="G1138">
        <v>0</v>
      </c>
      <c r="H1138">
        <v>254.7</v>
      </c>
      <c r="I1138">
        <v>80</v>
      </c>
      <c r="J1138">
        <v>43.3</v>
      </c>
      <c r="K1138">
        <v>90.2</v>
      </c>
      <c r="L1138">
        <v>79</v>
      </c>
      <c r="M1138">
        <v>7.67</v>
      </c>
      <c r="N1138">
        <v>153.4</v>
      </c>
      <c r="O1138">
        <v>60</v>
      </c>
      <c r="P1138">
        <v>6.9</v>
      </c>
      <c r="Q1138">
        <v>10.6</v>
      </c>
      <c r="R1138">
        <v>8</v>
      </c>
      <c r="S1138">
        <v>2.86</v>
      </c>
      <c r="T1138">
        <v>0</v>
      </c>
      <c r="U1138" t="s">
        <v>22</v>
      </c>
      <c r="V1138" t="e">
        <f>IF(#REF! = "yes", 1, 0)</f>
        <v>#REF!</v>
      </c>
      <c r="W1138" t="e">
        <f>IF(#REF! &lt;= 1, "0-1 Calls", IF(#REF! &lt;= 3, "2-3 Calls", IF(#REF! &lt;=5, "4-5 Calls", "6+ Calls")))</f>
        <v>#REF!</v>
      </c>
      <c r="X1138" t="e">
        <f>IF(#REF! &lt;= 50, "0-50", IF(#REF! &lt;=100, "51-100", IF(#REF! &lt;= 150, "101-150", "151+")))</f>
        <v>#REF!</v>
      </c>
      <c r="Y1138" t="e">
        <f>IF(#REF! &lt;= 3, "Low Charges", "High Charges")</f>
        <v>#REF!</v>
      </c>
      <c r="Z1138" t="e">
        <f>IF(#REF!&lt;=80,"Low Calls",
IF(#REF!&lt;=120,"Medium Calls","High Calls"))</f>
        <v>#REF!</v>
      </c>
      <c r="AA1138" t="e">
        <f>IF(#REF!&lt;=15,"Low Charges",
IF(#REF!&lt;=20,"Medium Charges","High Charges"))</f>
        <v>#REF!</v>
      </c>
      <c r="AB1138" t="e">
        <f>IF(AND(#REF!&gt;180, #REF!&gt;200), "Heavy Doemstic User", IF(#REF!&gt;10, "Interntional User", IF(AND(#REF!&lt;180, #REF!&lt;200,#REF!&lt;200), "Light User", "Balanced User")))</f>
        <v>#REF!</v>
      </c>
      <c r="AC1138" t="e">
        <f>IF(#REF! = 0, "No Usage", IF(#REF! &lt;= 20, "Low Usage", IF(#REF! &lt;= 40, "Medium Usgae", "High Usage")))</f>
        <v>#REF!</v>
      </c>
      <c r="AD1138" t="e">
        <f>IF(#REF!&lt;=150,"Low Usage", IF(#REF!&lt;=200,"Medium Usage", IF(#REF!&lt;=250,"High Usage","Very High Usage")))</f>
        <v>#REF!</v>
      </c>
      <c r="AE1138" t="e">
        <f>IF(#REF!&lt;=5,"Low Calls", IF(#REF!&lt;=10, "Medium Calls", "High Calls"))</f>
        <v>#REF!</v>
      </c>
      <c r="AF1138" t="e">
        <f xml:space="preserve">
IF(#REF!&gt;=4,4,0)+
IF(#REF!="yes",3,0)+
IF(#REF!="High Charges",3,0)+
IF(#REF!&gt;250,4,0)+
IF(#REF!="no",1,0)+
IF(#REF!="Heavy Domestic User",2,0)</f>
        <v>#REF!</v>
      </c>
      <c r="AG1138" t="e">
        <f>IF(#REF!&gt;=10,"High Risk", IF(#REF!&gt;=5,"Medium Risk","Low Risk"))</f>
        <v>#REF!</v>
      </c>
      <c r="AH1138" t="e">
        <f>#REF! + #REF! + #REF! + #REF!</f>
        <v>#REF!</v>
      </c>
    </row>
    <row r="1139" spans="1:34" x14ac:dyDescent="0.35">
      <c r="A1139">
        <v>1138</v>
      </c>
      <c r="B1139" t="s">
        <v>27</v>
      </c>
      <c r="C1139">
        <v>111</v>
      </c>
      <c r="D1139" t="s">
        <v>21</v>
      </c>
      <c r="E1139" t="s">
        <v>22</v>
      </c>
      <c r="F1139" t="s">
        <v>22</v>
      </c>
      <c r="G1139">
        <v>0</v>
      </c>
      <c r="H1139">
        <v>284.39999999999998</v>
      </c>
      <c r="I1139">
        <v>89</v>
      </c>
      <c r="J1139">
        <v>48.35</v>
      </c>
      <c r="K1139">
        <v>157</v>
      </c>
      <c r="L1139">
        <v>113</v>
      </c>
      <c r="M1139">
        <v>13.35</v>
      </c>
      <c r="N1139">
        <v>242.8</v>
      </c>
      <c r="O1139">
        <v>91</v>
      </c>
      <c r="P1139">
        <v>10.93</v>
      </c>
      <c r="Q1139">
        <v>8.4</v>
      </c>
      <c r="R1139">
        <v>8</v>
      </c>
      <c r="S1139">
        <v>2.27</v>
      </c>
      <c r="T1139">
        <v>0</v>
      </c>
      <c r="U1139" t="s">
        <v>23</v>
      </c>
      <c r="V1139" t="e">
        <f>IF(#REF! = "yes", 1, 0)</f>
        <v>#REF!</v>
      </c>
      <c r="W1139" t="e">
        <f>IF(#REF! &lt;= 1, "0-1 Calls", IF(#REF! &lt;= 3, "2-3 Calls", IF(#REF! &lt;=5, "4-5 Calls", "6+ Calls")))</f>
        <v>#REF!</v>
      </c>
      <c r="X1139" t="e">
        <f>IF(#REF! &lt;= 50, "0-50", IF(#REF! &lt;=100, "51-100", IF(#REF! &lt;= 150, "101-150", "151+")))</f>
        <v>#REF!</v>
      </c>
      <c r="Y1139" t="e">
        <f>IF(#REF! &lt;= 3, "Low Charges", "High Charges")</f>
        <v>#REF!</v>
      </c>
      <c r="Z1139" t="e">
        <f>IF(#REF!&lt;=80,"Low Calls",
IF(#REF!&lt;=120,"Medium Calls","High Calls"))</f>
        <v>#REF!</v>
      </c>
      <c r="AA1139" t="e">
        <f>IF(#REF!&lt;=15,"Low Charges",
IF(#REF!&lt;=20,"Medium Charges","High Charges"))</f>
        <v>#REF!</v>
      </c>
      <c r="AB1139" t="e">
        <f>IF(AND(#REF!&gt;180, #REF!&gt;200), "Heavy Doemstic User", IF(#REF!&gt;10, "Interntional User", IF(AND(#REF!&lt;180, #REF!&lt;200,#REF!&lt;200), "Light User", "Balanced User")))</f>
        <v>#REF!</v>
      </c>
      <c r="AC1139" t="e">
        <f>IF(#REF! = 0, "No Usage", IF(#REF! &lt;= 20, "Low Usage", IF(#REF! &lt;= 40, "Medium Usgae", "High Usage")))</f>
        <v>#REF!</v>
      </c>
      <c r="AD1139" t="e">
        <f>IF(#REF!&lt;=150,"Low Usage", IF(#REF!&lt;=200,"Medium Usage", IF(#REF!&lt;=250,"High Usage","Very High Usage")))</f>
        <v>#REF!</v>
      </c>
      <c r="AE1139" t="e">
        <f>IF(#REF!&lt;=5,"Low Calls", IF(#REF!&lt;=10, "Medium Calls", "High Calls"))</f>
        <v>#REF!</v>
      </c>
      <c r="AF1139" t="e">
        <f xml:space="preserve">
IF(#REF!&gt;=4,4,0)+
IF(#REF!="yes",3,0)+
IF(#REF!="High Charges",3,0)+
IF(#REF!&gt;250,4,0)+
IF(#REF!="no",1,0)+
IF(#REF!="Heavy Domestic User",2,0)</f>
        <v>#REF!</v>
      </c>
      <c r="AG1139" t="e">
        <f>IF(#REF!&gt;=10,"High Risk", IF(#REF!&gt;=5,"Medium Risk","Low Risk"))</f>
        <v>#REF!</v>
      </c>
      <c r="AH1139" t="e">
        <f>#REF! + #REF! + #REF! + #REF!</f>
        <v>#REF!</v>
      </c>
    </row>
    <row r="1140" spans="1:34" x14ac:dyDescent="0.35">
      <c r="A1140">
        <v>1139</v>
      </c>
      <c r="B1140" t="s">
        <v>57</v>
      </c>
      <c r="C1140">
        <v>98</v>
      </c>
      <c r="D1140" t="s">
        <v>21</v>
      </c>
      <c r="E1140" t="s">
        <v>22</v>
      </c>
      <c r="F1140" t="s">
        <v>22</v>
      </c>
      <c r="G1140">
        <v>0</v>
      </c>
      <c r="H1140">
        <v>0</v>
      </c>
      <c r="I1140">
        <v>0</v>
      </c>
      <c r="J1140">
        <v>0</v>
      </c>
      <c r="K1140">
        <v>159.6</v>
      </c>
      <c r="L1140">
        <v>130</v>
      </c>
      <c r="M1140">
        <v>13.57</v>
      </c>
      <c r="N1140">
        <v>167.1</v>
      </c>
      <c r="O1140">
        <v>88</v>
      </c>
      <c r="P1140">
        <v>7.52</v>
      </c>
      <c r="Q1140">
        <v>6.8</v>
      </c>
      <c r="R1140">
        <v>1</v>
      </c>
      <c r="S1140">
        <v>1.84</v>
      </c>
      <c r="T1140">
        <v>4</v>
      </c>
      <c r="U1140" t="s">
        <v>23</v>
      </c>
      <c r="V1140" t="e">
        <f>IF(#REF! = "yes", 1, 0)</f>
        <v>#REF!</v>
      </c>
      <c r="W1140" t="e">
        <f>IF(#REF! &lt;= 1, "0-1 Calls", IF(#REF! &lt;= 3, "2-3 Calls", IF(#REF! &lt;=5, "4-5 Calls", "6+ Calls")))</f>
        <v>#REF!</v>
      </c>
      <c r="X1140" t="e">
        <f>IF(#REF! &lt;= 50, "0-50", IF(#REF! &lt;=100, "51-100", IF(#REF! &lt;= 150, "101-150", "151+")))</f>
        <v>#REF!</v>
      </c>
      <c r="Y1140" t="e">
        <f>IF(#REF! &lt;= 3, "Low Charges", "High Charges")</f>
        <v>#REF!</v>
      </c>
      <c r="Z1140" t="e">
        <f>IF(#REF!&lt;=80,"Low Calls",
IF(#REF!&lt;=120,"Medium Calls","High Calls"))</f>
        <v>#REF!</v>
      </c>
      <c r="AA1140" t="e">
        <f>IF(#REF!&lt;=15,"Low Charges",
IF(#REF!&lt;=20,"Medium Charges","High Charges"))</f>
        <v>#REF!</v>
      </c>
      <c r="AB1140" t="e">
        <f>IF(AND(#REF!&gt;180, #REF!&gt;200), "Heavy Doemstic User", IF(#REF!&gt;10, "Interntional User", IF(AND(#REF!&lt;180, #REF!&lt;200,#REF!&lt;200), "Light User", "Balanced User")))</f>
        <v>#REF!</v>
      </c>
      <c r="AC1140" t="e">
        <f>IF(#REF! = 0, "No Usage", IF(#REF! &lt;= 20, "Low Usage", IF(#REF! &lt;= 40, "Medium Usgae", "High Usage")))</f>
        <v>#REF!</v>
      </c>
      <c r="AD1140" t="e">
        <f>IF(#REF!&lt;=150,"Low Usage", IF(#REF!&lt;=200,"Medium Usage", IF(#REF!&lt;=250,"High Usage","Very High Usage")))</f>
        <v>#REF!</v>
      </c>
      <c r="AE1140" t="e">
        <f>IF(#REF!&lt;=5,"Low Calls", IF(#REF!&lt;=10, "Medium Calls", "High Calls"))</f>
        <v>#REF!</v>
      </c>
      <c r="AF1140" t="e">
        <f xml:space="preserve">
IF(#REF!&gt;=4,4,0)+
IF(#REF!="yes",3,0)+
IF(#REF!="High Charges",3,0)+
IF(#REF!&gt;250,4,0)+
IF(#REF!="no",1,0)+
IF(#REF!="Heavy Domestic User",2,0)</f>
        <v>#REF!</v>
      </c>
      <c r="AG1140" t="e">
        <f>IF(#REF!&gt;=10,"High Risk", IF(#REF!&gt;=5,"Medium Risk","Low Risk"))</f>
        <v>#REF!</v>
      </c>
      <c r="AH1140" t="e">
        <f>#REF! + #REF! + #REF! + #REF!</f>
        <v>#REF!</v>
      </c>
    </row>
    <row r="1141" spans="1:34" x14ac:dyDescent="0.35">
      <c r="A1141">
        <v>1140</v>
      </c>
      <c r="B1141" t="s">
        <v>73</v>
      </c>
      <c r="C1141">
        <v>106</v>
      </c>
      <c r="D1141" t="s">
        <v>25</v>
      </c>
      <c r="E1141" t="s">
        <v>23</v>
      </c>
      <c r="F1141" t="s">
        <v>22</v>
      </c>
      <c r="G1141">
        <v>0</v>
      </c>
      <c r="H1141">
        <v>133.69999999999999</v>
      </c>
      <c r="I1141">
        <v>45</v>
      </c>
      <c r="J1141">
        <v>22.73</v>
      </c>
      <c r="K1141">
        <v>187.8</v>
      </c>
      <c r="L1141">
        <v>107</v>
      </c>
      <c r="M1141">
        <v>15.96</v>
      </c>
      <c r="N1141">
        <v>181.9</v>
      </c>
      <c r="O1141">
        <v>89</v>
      </c>
      <c r="P1141">
        <v>8.19</v>
      </c>
      <c r="Q1141">
        <v>10.7</v>
      </c>
      <c r="R1141">
        <v>2</v>
      </c>
      <c r="S1141">
        <v>2.89</v>
      </c>
      <c r="T1141">
        <v>1</v>
      </c>
      <c r="U1141" t="s">
        <v>23</v>
      </c>
      <c r="V1141" t="e">
        <f>IF(#REF! = "yes", 1, 0)</f>
        <v>#REF!</v>
      </c>
      <c r="W1141" t="e">
        <f>IF(#REF! &lt;= 1, "0-1 Calls", IF(#REF! &lt;= 3, "2-3 Calls", IF(#REF! &lt;=5, "4-5 Calls", "6+ Calls")))</f>
        <v>#REF!</v>
      </c>
      <c r="X1141" t="e">
        <f>IF(#REF! &lt;= 50, "0-50", IF(#REF! &lt;=100, "51-100", IF(#REF! &lt;= 150, "101-150", "151+")))</f>
        <v>#REF!</v>
      </c>
      <c r="Y1141" t="e">
        <f>IF(#REF! &lt;= 3, "Low Charges", "High Charges")</f>
        <v>#REF!</v>
      </c>
      <c r="Z1141" t="e">
        <f>IF(#REF!&lt;=80,"Low Calls",
IF(#REF!&lt;=120,"Medium Calls","High Calls"))</f>
        <v>#REF!</v>
      </c>
      <c r="AA1141" t="e">
        <f>IF(#REF!&lt;=15,"Low Charges",
IF(#REF!&lt;=20,"Medium Charges","High Charges"))</f>
        <v>#REF!</v>
      </c>
      <c r="AB1141" t="e">
        <f>IF(AND(#REF!&gt;180, #REF!&gt;200), "Heavy Doemstic User", IF(#REF!&gt;10, "Interntional User", IF(AND(#REF!&lt;180, #REF!&lt;200,#REF!&lt;200), "Light User", "Balanced User")))</f>
        <v>#REF!</v>
      </c>
      <c r="AC1141" t="e">
        <f>IF(#REF! = 0, "No Usage", IF(#REF! &lt;= 20, "Low Usage", IF(#REF! &lt;= 40, "Medium Usgae", "High Usage")))</f>
        <v>#REF!</v>
      </c>
      <c r="AD1141" t="e">
        <f>IF(#REF!&lt;=150,"Low Usage", IF(#REF!&lt;=200,"Medium Usage", IF(#REF!&lt;=250,"High Usage","Very High Usage")))</f>
        <v>#REF!</v>
      </c>
      <c r="AE1141" t="e">
        <f>IF(#REF!&lt;=5,"Low Calls", IF(#REF!&lt;=10, "Medium Calls", "High Calls"))</f>
        <v>#REF!</v>
      </c>
      <c r="AF1141" t="e">
        <f xml:space="preserve">
IF(#REF!&gt;=4,4,0)+
IF(#REF!="yes",3,0)+
IF(#REF!="High Charges",3,0)+
IF(#REF!&gt;250,4,0)+
IF(#REF!="no",1,0)+
IF(#REF!="Heavy Domestic User",2,0)</f>
        <v>#REF!</v>
      </c>
      <c r="AG1141" t="e">
        <f>IF(#REF!&gt;=10,"High Risk", IF(#REF!&gt;=5,"Medium Risk","Low Risk"))</f>
        <v>#REF!</v>
      </c>
      <c r="AH1141" t="e">
        <f>#REF! + #REF! + #REF! + #REF!</f>
        <v>#REF!</v>
      </c>
    </row>
    <row r="1142" spans="1:34" x14ac:dyDescent="0.35">
      <c r="A1142">
        <v>1141</v>
      </c>
      <c r="B1142" t="s">
        <v>58</v>
      </c>
      <c r="C1142">
        <v>111</v>
      </c>
      <c r="D1142" t="s">
        <v>25</v>
      </c>
      <c r="E1142" t="s">
        <v>22</v>
      </c>
      <c r="F1142" t="s">
        <v>22</v>
      </c>
      <c r="G1142">
        <v>0</v>
      </c>
      <c r="H1142">
        <v>224.9</v>
      </c>
      <c r="I1142">
        <v>117</v>
      </c>
      <c r="J1142">
        <v>38.229999999999997</v>
      </c>
      <c r="K1142">
        <v>191.9</v>
      </c>
      <c r="L1142">
        <v>127</v>
      </c>
      <c r="M1142">
        <v>16.309999999999999</v>
      </c>
      <c r="N1142">
        <v>229.9</v>
      </c>
      <c r="O1142">
        <v>97</v>
      </c>
      <c r="P1142">
        <v>10.35</v>
      </c>
      <c r="Q1142">
        <v>10.3</v>
      </c>
      <c r="R1142">
        <v>3</v>
      </c>
      <c r="S1142">
        <v>2.78</v>
      </c>
      <c r="T1142">
        <v>0</v>
      </c>
      <c r="U1142" t="s">
        <v>22</v>
      </c>
      <c r="V1142" t="e">
        <f>IF(#REF! = "yes", 1, 0)</f>
        <v>#REF!</v>
      </c>
      <c r="W1142" t="e">
        <f>IF(#REF! &lt;= 1, "0-1 Calls", IF(#REF! &lt;= 3, "2-3 Calls", IF(#REF! &lt;=5, "4-5 Calls", "6+ Calls")))</f>
        <v>#REF!</v>
      </c>
      <c r="X1142" t="e">
        <f>IF(#REF! &lt;= 50, "0-50", IF(#REF! &lt;=100, "51-100", IF(#REF! &lt;= 150, "101-150", "151+")))</f>
        <v>#REF!</v>
      </c>
      <c r="Y1142" t="e">
        <f>IF(#REF! &lt;= 3, "Low Charges", "High Charges")</f>
        <v>#REF!</v>
      </c>
      <c r="Z1142" t="e">
        <f>IF(#REF!&lt;=80,"Low Calls",
IF(#REF!&lt;=120,"Medium Calls","High Calls"))</f>
        <v>#REF!</v>
      </c>
      <c r="AA1142" t="e">
        <f>IF(#REF!&lt;=15,"Low Charges",
IF(#REF!&lt;=20,"Medium Charges","High Charges"))</f>
        <v>#REF!</v>
      </c>
      <c r="AB1142" t="e">
        <f>IF(AND(#REF!&gt;180, #REF!&gt;200), "Heavy Doemstic User", IF(#REF!&gt;10, "Interntional User", IF(AND(#REF!&lt;180, #REF!&lt;200,#REF!&lt;200), "Light User", "Balanced User")))</f>
        <v>#REF!</v>
      </c>
      <c r="AC1142" t="e">
        <f>IF(#REF! = 0, "No Usage", IF(#REF! &lt;= 20, "Low Usage", IF(#REF! &lt;= 40, "Medium Usgae", "High Usage")))</f>
        <v>#REF!</v>
      </c>
      <c r="AD1142" t="e">
        <f>IF(#REF!&lt;=150,"Low Usage", IF(#REF!&lt;=200,"Medium Usage", IF(#REF!&lt;=250,"High Usage","Very High Usage")))</f>
        <v>#REF!</v>
      </c>
      <c r="AE1142" t="e">
        <f>IF(#REF!&lt;=5,"Low Calls", IF(#REF!&lt;=10, "Medium Calls", "High Calls"))</f>
        <v>#REF!</v>
      </c>
      <c r="AF1142" t="e">
        <f xml:space="preserve">
IF(#REF!&gt;=4,4,0)+
IF(#REF!="yes",3,0)+
IF(#REF!="High Charges",3,0)+
IF(#REF!&gt;250,4,0)+
IF(#REF!="no",1,0)+
IF(#REF!="Heavy Domestic User",2,0)</f>
        <v>#REF!</v>
      </c>
      <c r="AG1142" t="e">
        <f>IF(#REF!&gt;=10,"High Risk", IF(#REF!&gt;=5,"Medium Risk","Low Risk"))</f>
        <v>#REF!</v>
      </c>
      <c r="AH1142" t="e">
        <f>#REF! + #REF! + #REF! + #REF!</f>
        <v>#REF!</v>
      </c>
    </row>
    <row r="1143" spans="1:34" x14ac:dyDescent="0.35">
      <c r="A1143">
        <v>1142</v>
      </c>
      <c r="B1143" t="s">
        <v>64</v>
      </c>
      <c r="C1143">
        <v>59</v>
      </c>
      <c r="D1143" t="s">
        <v>25</v>
      </c>
      <c r="E1143" t="s">
        <v>22</v>
      </c>
      <c r="F1143" t="s">
        <v>22</v>
      </c>
      <c r="G1143">
        <v>0</v>
      </c>
      <c r="H1143">
        <v>151.80000000000001</v>
      </c>
      <c r="I1143">
        <v>98</v>
      </c>
      <c r="J1143">
        <v>25.81</v>
      </c>
      <c r="K1143">
        <v>209.9</v>
      </c>
      <c r="L1143">
        <v>92</v>
      </c>
      <c r="M1143">
        <v>17.84</v>
      </c>
      <c r="N1143">
        <v>266.89999999999998</v>
      </c>
      <c r="O1143">
        <v>86</v>
      </c>
      <c r="P1143">
        <v>12.01</v>
      </c>
      <c r="Q1143">
        <v>11.9</v>
      </c>
      <c r="R1143">
        <v>5</v>
      </c>
      <c r="S1143">
        <v>3.21</v>
      </c>
      <c r="T1143">
        <v>1</v>
      </c>
      <c r="U1143" t="s">
        <v>22</v>
      </c>
      <c r="V1143" t="e">
        <f>IF(#REF! = "yes", 1, 0)</f>
        <v>#REF!</v>
      </c>
      <c r="W1143" t="e">
        <f>IF(#REF! &lt;= 1, "0-1 Calls", IF(#REF! &lt;= 3, "2-3 Calls", IF(#REF! &lt;=5, "4-5 Calls", "6+ Calls")))</f>
        <v>#REF!</v>
      </c>
      <c r="X1143" t="e">
        <f>IF(#REF! &lt;= 50, "0-50", IF(#REF! &lt;=100, "51-100", IF(#REF! &lt;= 150, "101-150", "151+")))</f>
        <v>#REF!</v>
      </c>
      <c r="Y1143" t="e">
        <f>IF(#REF! &lt;= 3, "Low Charges", "High Charges")</f>
        <v>#REF!</v>
      </c>
      <c r="Z1143" t="e">
        <f>IF(#REF!&lt;=80,"Low Calls",
IF(#REF!&lt;=120,"Medium Calls","High Calls"))</f>
        <v>#REF!</v>
      </c>
      <c r="AA1143" t="e">
        <f>IF(#REF!&lt;=15,"Low Charges",
IF(#REF!&lt;=20,"Medium Charges","High Charges"))</f>
        <v>#REF!</v>
      </c>
      <c r="AB1143" t="e">
        <f>IF(AND(#REF!&gt;180, #REF!&gt;200), "Heavy Doemstic User", IF(#REF!&gt;10, "Interntional User", IF(AND(#REF!&lt;180, #REF!&lt;200,#REF!&lt;200), "Light User", "Balanced User")))</f>
        <v>#REF!</v>
      </c>
      <c r="AC1143" t="e">
        <f>IF(#REF! = 0, "No Usage", IF(#REF! &lt;= 20, "Low Usage", IF(#REF! &lt;= 40, "Medium Usgae", "High Usage")))</f>
        <v>#REF!</v>
      </c>
      <c r="AD1143" t="e">
        <f>IF(#REF!&lt;=150,"Low Usage", IF(#REF!&lt;=200,"Medium Usage", IF(#REF!&lt;=250,"High Usage","Very High Usage")))</f>
        <v>#REF!</v>
      </c>
      <c r="AE1143" t="e">
        <f>IF(#REF!&lt;=5,"Low Calls", IF(#REF!&lt;=10, "Medium Calls", "High Calls"))</f>
        <v>#REF!</v>
      </c>
      <c r="AF1143" t="e">
        <f xml:space="preserve">
IF(#REF!&gt;=4,4,0)+
IF(#REF!="yes",3,0)+
IF(#REF!="High Charges",3,0)+
IF(#REF!&gt;250,4,0)+
IF(#REF!="no",1,0)+
IF(#REF!="Heavy Domestic User",2,0)</f>
        <v>#REF!</v>
      </c>
      <c r="AG1143" t="e">
        <f>IF(#REF!&gt;=10,"High Risk", IF(#REF!&gt;=5,"Medium Risk","Low Risk"))</f>
        <v>#REF!</v>
      </c>
      <c r="AH1143" t="e">
        <f>#REF! + #REF! + #REF! + #REF!</f>
        <v>#REF!</v>
      </c>
    </row>
    <row r="1144" spans="1:34" x14ac:dyDescent="0.35">
      <c r="A1144">
        <v>1143</v>
      </c>
      <c r="B1144" t="s">
        <v>65</v>
      </c>
      <c r="C1144">
        <v>71</v>
      </c>
      <c r="D1144" t="s">
        <v>28</v>
      </c>
      <c r="E1144" t="s">
        <v>22</v>
      </c>
      <c r="F1144" t="s">
        <v>23</v>
      </c>
      <c r="G1144">
        <v>22</v>
      </c>
      <c r="H1144">
        <v>141.4</v>
      </c>
      <c r="I1144">
        <v>107</v>
      </c>
      <c r="J1144">
        <v>24.04</v>
      </c>
      <c r="K1144">
        <v>163</v>
      </c>
      <c r="L1144">
        <v>105</v>
      </c>
      <c r="M1144">
        <v>13.86</v>
      </c>
      <c r="N1144">
        <v>220</v>
      </c>
      <c r="O1144">
        <v>99</v>
      </c>
      <c r="P1144">
        <v>9.9</v>
      </c>
      <c r="Q1144">
        <v>5.6</v>
      </c>
      <c r="R1144">
        <v>3</v>
      </c>
      <c r="S1144">
        <v>1.51</v>
      </c>
      <c r="T1144">
        <v>2</v>
      </c>
      <c r="U1144" t="s">
        <v>22</v>
      </c>
      <c r="V1144" t="e">
        <f>IF(#REF! = "yes", 1, 0)</f>
        <v>#REF!</v>
      </c>
      <c r="W1144" t="e">
        <f>IF(#REF! &lt;= 1, "0-1 Calls", IF(#REF! &lt;= 3, "2-3 Calls", IF(#REF! &lt;=5, "4-5 Calls", "6+ Calls")))</f>
        <v>#REF!</v>
      </c>
      <c r="X1144" t="e">
        <f>IF(#REF! &lt;= 50, "0-50", IF(#REF! &lt;=100, "51-100", IF(#REF! &lt;= 150, "101-150", "151+")))</f>
        <v>#REF!</v>
      </c>
      <c r="Y1144" t="e">
        <f>IF(#REF! &lt;= 3, "Low Charges", "High Charges")</f>
        <v>#REF!</v>
      </c>
      <c r="Z1144" t="e">
        <f>IF(#REF!&lt;=80,"Low Calls",
IF(#REF!&lt;=120,"Medium Calls","High Calls"))</f>
        <v>#REF!</v>
      </c>
      <c r="AA1144" t="e">
        <f>IF(#REF!&lt;=15,"Low Charges",
IF(#REF!&lt;=20,"Medium Charges","High Charges"))</f>
        <v>#REF!</v>
      </c>
      <c r="AB1144" t="e">
        <f>IF(AND(#REF!&gt;180, #REF!&gt;200), "Heavy Doemstic User", IF(#REF!&gt;10, "Interntional User", IF(AND(#REF!&lt;180, #REF!&lt;200,#REF!&lt;200), "Light User", "Balanced User")))</f>
        <v>#REF!</v>
      </c>
      <c r="AC1144" t="e">
        <f>IF(#REF! = 0, "No Usage", IF(#REF! &lt;= 20, "Low Usage", IF(#REF! &lt;= 40, "Medium Usgae", "High Usage")))</f>
        <v>#REF!</v>
      </c>
      <c r="AD1144" t="e">
        <f>IF(#REF!&lt;=150,"Low Usage", IF(#REF!&lt;=200,"Medium Usage", IF(#REF!&lt;=250,"High Usage","Very High Usage")))</f>
        <v>#REF!</v>
      </c>
      <c r="AE1144" t="e">
        <f>IF(#REF!&lt;=5,"Low Calls", IF(#REF!&lt;=10, "Medium Calls", "High Calls"))</f>
        <v>#REF!</v>
      </c>
      <c r="AF1144" t="e">
        <f xml:space="preserve">
IF(#REF!&gt;=4,4,0)+
IF(#REF!="yes",3,0)+
IF(#REF!="High Charges",3,0)+
IF(#REF!&gt;250,4,0)+
IF(#REF!="no",1,0)+
IF(#REF!="Heavy Domestic User",2,0)</f>
        <v>#REF!</v>
      </c>
      <c r="AG1144" t="e">
        <f>IF(#REF!&gt;=10,"High Risk", IF(#REF!&gt;=5,"Medium Risk","Low Risk"))</f>
        <v>#REF!</v>
      </c>
      <c r="AH1144" t="e">
        <f>#REF! + #REF! + #REF! + #REF!</f>
        <v>#REF!</v>
      </c>
    </row>
    <row r="1145" spans="1:34" x14ac:dyDescent="0.35">
      <c r="A1145">
        <v>1144</v>
      </c>
      <c r="B1145" t="s">
        <v>59</v>
      </c>
      <c r="C1145">
        <v>55</v>
      </c>
      <c r="D1145" t="s">
        <v>25</v>
      </c>
      <c r="E1145" t="s">
        <v>22</v>
      </c>
      <c r="F1145" t="s">
        <v>22</v>
      </c>
      <c r="G1145">
        <v>0</v>
      </c>
      <c r="H1145">
        <v>285.7</v>
      </c>
      <c r="I1145">
        <v>124</v>
      </c>
      <c r="J1145">
        <v>48.57</v>
      </c>
      <c r="K1145">
        <v>230.9</v>
      </c>
      <c r="L1145">
        <v>106</v>
      </c>
      <c r="M1145">
        <v>19.63</v>
      </c>
      <c r="N1145">
        <v>230.7</v>
      </c>
      <c r="O1145">
        <v>140</v>
      </c>
      <c r="P1145">
        <v>10.38</v>
      </c>
      <c r="Q1145">
        <v>14.8</v>
      </c>
      <c r="R1145">
        <v>7</v>
      </c>
      <c r="S1145">
        <v>4</v>
      </c>
      <c r="T1145">
        <v>0</v>
      </c>
      <c r="U1145" t="s">
        <v>23</v>
      </c>
      <c r="V1145" t="e">
        <f>IF(#REF! = "yes", 1, 0)</f>
        <v>#REF!</v>
      </c>
      <c r="W1145" t="e">
        <f>IF(#REF! &lt;= 1, "0-1 Calls", IF(#REF! &lt;= 3, "2-3 Calls", IF(#REF! &lt;=5, "4-5 Calls", "6+ Calls")))</f>
        <v>#REF!</v>
      </c>
      <c r="X1145" t="e">
        <f>IF(#REF! &lt;= 50, "0-50", IF(#REF! &lt;=100, "51-100", IF(#REF! &lt;= 150, "101-150", "151+")))</f>
        <v>#REF!</v>
      </c>
      <c r="Y1145" t="e">
        <f>IF(#REF! &lt;= 3, "Low Charges", "High Charges")</f>
        <v>#REF!</v>
      </c>
      <c r="Z1145" t="e">
        <f>IF(#REF!&lt;=80,"Low Calls",
IF(#REF!&lt;=120,"Medium Calls","High Calls"))</f>
        <v>#REF!</v>
      </c>
      <c r="AA1145" t="e">
        <f>IF(#REF!&lt;=15,"Low Charges",
IF(#REF!&lt;=20,"Medium Charges","High Charges"))</f>
        <v>#REF!</v>
      </c>
      <c r="AB1145" t="e">
        <f>IF(AND(#REF!&gt;180, #REF!&gt;200), "Heavy Doemstic User", IF(#REF!&gt;10, "Interntional User", IF(AND(#REF!&lt;180, #REF!&lt;200,#REF!&lt;200), "Light User", "Balanced User")))</f>
        <v>#REF!</v>
      </c>
      <c r="AC1145" t="e">
        <f>IF(#REF! = 0, "No Usage", IF(#REF! &lt;= 20, "Low Usage", IF(#REF! &lt;= 40, "Medium Usgae", "High Usage")))</f>
        <v>#REF!</v>
      </c>
      <c r="AD1145" t="e">
        <f>IF(#REF!&lt;=150,"Low Usage", IF(#REF!&lt;=200,"Medium Usage", IF(#REF!&lt;=250,"High Usage","Very High Usage")))</f>
        <v>#REF!</v>
      </c>
      <c r="AE1145" t="e">
        <f>IF(#REF!&lt;=5,"Low Calls", IF(#REF!&lt;=10, "Medium Calls", "High Calls"))</f>
        <v>#REF!</v>
      </c>
      <c r="AF1145" t="e">
        <f xml:space="preserve">
IF(#REF!&gt;=4,4,0)+
IF(#REF!="yes",3,0)+
IF(#REF!="High Charges",3,0)+
IF(#REF!&gt;250,4,0)+
IF(#REF!="no",1,0)+
IF(#REF!="Heavy Domestic User",2,0)</f>
        <v>#REF!</v>
      </c>
      <c r="AG1145" t="e">
        <f>IF(#REF!&gt;=10,"High Risk", IF(#REF!&gt;=5,"Medium Risk","Low Risk"))</f>
        <v>#REF!</v>
      </c>
      <c r="AH1145" t="e">
        <f>#REF! + #REF! + #REF! + #REF!</f>
        <v>#REF!</v>
      </c>
    </row>
    <row r="1146" spans="1:34" x14ac:dyDescent="0.35">
      <c r="A1146">
        <v>1145</v>
      </c>
      <c r="B1146" t="s">
        <v>30</v>
      </c>
      <c r="C1146">
        <v>13</v>
      </c>
      <c r="D1146" t="s">
        <v>21</v>
      </c>
      <c r="E1146" t="s">
        <v>22</v>
      </c>
      <c r="F1146" t="s">
        <v>22</v>
      </c>
      <c r="G1146">
        <v>0</v>
      </c>
      <c r="H1146">
        <v>58.4</v>
      </c>
      <c r="I1146">
        <v>121</v>
      </c>
      <c r="J1146">
        <v>9.93</v>
      </c>
      <c r="K1146">
        <v>262.2</v>
      </c>
      <c r="L1146">
        <v>64</v>
      </c>
      <c r="M1146">
        <v>22.29</v>
      </c>
      <c r="N1146">
        <v>159</v>
      </c>
      <c r="O1146">
        <v>115</v>
      </c>
      <c r="P1146">
        <v>7.15</v>
      </c>
      <c r="Q1146">
        <v>11.9</v>
      </c>
      <c r="R1146">
        <v>5</v>
      </c>
      <c r="S1146">
        <v>3.21</v>
      </c>
      <c r="T1146">
        <v>1</v>
      </c>
      <c r="U1146" t="s">
        <v>22</v>
      </c>
      <c r="V1146" t="e">
        <f>IF(#REF! = "yes", 1, 0)</f>
        <v>#REF!</v>
      </c>
      <c r="W1146" t="e">
        <f>IF(#REF! &lt;= 1, "0-1 Calls", IF(#REF! &lt;= 3, "2-3 Calls", IF(#REF! &lt;=5, "4-5 Calls", "6+ Calls")))</f>
        <v>#REF!</v>
      </c>
      <c r="X1146" t="e">
        <f>IF(#REF! &lt;= 50, "0-50", IF(#REF! &lt;=100, "51-100", IF(#REF! &lt;= 150, "101-150", "151+")))</f>
        <v>#REF!</v>
      </c>
      <c r="Y1146" t="e">
        <f>IF(#REF! &lt;= 3, "Low Charges", "High Charges")</f>
        <v>#REF!</v>
      </c>
      <c r="Z1146" t="e">
        <f>IF(#REF!&lt;=80,"Low Calls",
IF(#REF!&lt;=120,"Medium Calls","High Calls"))</f>
        <v>#REF!</v>
      </c>
      <c r="AA1146" t="e">
        <f>IF(#REF!&lt;=15,"Low Charges",
IF(#REF!&lt;=20,"Medium Charges","High Charges"))</f>
        <v>#REF!</v>
      </c>
      <c r="AB1146" t="e">
        <f>IF(AND(#REF!&gt;180, #REF!&gt;200), "Heavy Doemstic User", IF(#REF!&gt;10, "Interntional User", IF(AND(#REF!&lt;180, #REF!&lt;200,#REF!&lt;200), "Light User", "Balanced User")))</f>
        <v>#REF!</v>
      </c>
      <c r="AC1146" t="e">
        <f>IF(#REF! = 0, "No Usage", IF(#REF! &lt;= 20, "Low Usage", IF(#REF! &lt;= 40, "Medium Usgae", "High Usage")))</f>
        <v>#REF!</v>
      </c>
      <c r="AD1146" t="e">
        <f>IF(#REF!&lt;=150,"Low Usage", IF(#REF!&lt;=200,"Medium Usage", IF(#REF!&lt;=250,"High Usage","Very High Usage")))</f>
        <v>#REF!</v>
      </c>
      <c r="AE1146" t="e">
        <f>IF(#REF!&lt;=5,"Low Calls", IF(#REF!&lt;=10, "Medium Calls", "High Calls"))</f>
        <v>#REF!</v>
      </c>
      <c r="AF1146" t="e">
        <f xml:space="preserve">
IF(#REF!&gt;=4,4,0)+
IF(#REF!="yes",3,0)+
IF(#REF!="High Charges",3,0)+
IF(#REF!&gt;250,4,0)+
IF(#REF!="no",1,0)+
IF(#REF!="Heavy Domestic User",2,0)</f>
        <v>#REF!</v>
      </c>
      <c r="AG1146" t="e">
        <f>IF(#REF!&gt;=10,"High Risk", IF(#REF!&gt;=5,"Medium Risk","Low Risk"))</f>
        <v>#REF!</v>
      </c>
      <c r="AH1146" t="e">
        <f>#REF! + #REF! + #REF! + #REF!</f>
        <v>#REF!</v>
      </c>
    </row>
    <row r="1147" spans="1:34" x14ac:dyDescent="0.35">
      <c r="A1147">
        <v>1146</v>
      </c>
      <c r="B1147" t="s">
        <v>59</v>
      </c>
      <c r="C1147">
        <v>136</v>
      </c>
      <c r="D1147" t="s">
        <v>21</v>
      </c>
      <c r="E1147" t="s">
        <v>22</v>
      </c>
      <c r="F1147" t="s">
        <v>23</v>
      </c>
      <c r="G1147">
        <v>16</v>
      </c>
      <c r="H1147">
        <v>90.4</v>
      </c>
      <c r="I1147">
        <v>105</v>
      </c>
      <c r="J1147">
        <v>15.37</v>
      </c>
      <c r="K1147">
        <v>201.3</v>
      </c>
      <c r="L1147">
        <v>109</v>
      </c>
      <c r="M1147">
        <v>17.11</v>
      </c>
      <c r="N1147">
        <v>227.1</v>
      </c>
      <c r="O1147">
        <v>115</v>
      </c>
      <c r="P1147">
        <v>10.220000000000001</v>
      </c>
      <c r="Q1147">
        <v>13.1</v>
      </c>
      <c r="R1147">
        <v>4</v>
      </c>
      <c r="S1147">
        <v>3.54</v>
      </c>
      <c r="T1147">
        <v>0</v>
      </c>
      <c r="U1147" t="s">
        <v>22</v>
      </c>
      <c r="V1147" t="e">
        <f>IF(#REF! = "yes", 1, 0)</f>
        <v>#REF!</v>
      </c>
      <c r="W1147" t="e">
        <f>IF(#REF! &lt;= 1, "0-1 Calls", IF(#REF! &lt;= 3, "2-3 Calls", IF(#REF! &lt;=5, "4-5 Calls", "6+ Calls")))</f>
        <v>#REF!</v>
      </c>
      <c r="X1147" t="e">
        <f>IF(#REF! &lt;= 50, "0-50", IF(#REF! &lt;=100, "51-100", IF(#REF! &lt;= 150, "101-150", "151+")))</f>
        <v>#REF!</v>
      </c>
      <c r="Y1147" t="e">
        <f>IF(#REF! &lt;= 3, "Low Charges", "High Charges")</f>
        <v>#REF!</v>
      </c>
      <c r="Z1147" t="e">
        <f>IF(#REF!&lt;=80,"Low Calls",
IF(#REF!&lt;=120,"Medium Calls","High Calls"))</f>
        <v>#REF!</v>
      </c>
      <c r="AA1147" t="e">
        <f>IF(#REF!&lt;=15,"Low Charges",
IF(#REF!&lt;=20,"Medium Charges","High Charges"))</f>
        <v>#REF!</v>
      </c>
      <c r="AB1147" t="e">
        <f>IF(AND(#REF!&gt;180, #REF!&gt;200), "Heavy Doemstic User", IF(#REF!&gt;10, "Interntional User", IF(AND(#REF!&lt;180, #REF!&lt;200,#REF!&lt;200), "Light User", "Balanced User")))</f>
        <v>#REF!</v>
      </c>
      <c r="AC1147" t="e">
        <f>IF(#REF! = 0, "No Usage", IF(#REF! &lt;= 20, "Low Usage", IF(#REF! &lt;= 40, "Medium Usgae", "High Usage")))</f>
        <v>#REF!</v>
      </c>
      <c r="AD1147" t="e">
        <f>IF(#REF!&lt;=150,"Low Usage", IF(#REF!&lt;=200,"Medium Usage", IF(#REF!&lt;=250,"High Usage","Very High Usage")))</f>
        <v>#REF!</v>
      </c>
      <c r="AE1147" t="e">
        <f>IF(#REF!&lt;=5,"Low Calls", IF(#REF!&lt;=10, "Medium Calls", "High Calls"))</f>
        <v>#REF!</v>
      </c>
      <c r="AF1147" t="e">
        <f xml:space="preserve">
IF(#REF!&gt;=4,4,0)+
IF(#REF!="yes",3,0)+
IF(#REF!="High Charges",3,0)+
IF(#REF!&gt;250,4,0)+
IF(#REF!="no",1,0)+
IF(#REF!="Heavy Domestic User",2,0)</f>
        <v>#REF!</v>
      </c>
      <c r="AG1147" t="e">
        <f>IF(#REF!&gt;=10,"High Risk", IF(#REF!&gt;=5,"Medium Risk","Low Risk"))</f>
        <v>#REF!</v>
      </c>
      <c r="AH1147" t="e">
        <f>#REF! + #REF! + #REF! + #REF!</f>
        <v>#REF!</v>
      </c>
    </row>
    <row r="1148" spans="1:34" x14ac:dyDescent="0.35">
      <c r="A1148">
        <v>1147</v>
      </c>
      <c r="B1148" t="s">
        <v>66</v>
      </c>
      <c r="C1148">
        <v>123</v>
      </c>
      <c r="D1148" t="s">
        <v>25</v>
      </c>
      <c r="E1148" t="s">
        <v>22</v>
      </c>
      <c r="F1148" t="s">
        <v>22</v>
      </c>
      <c r="G1148">
        <v>0</v>
      </c>
      <c r="H1148">
        <v>114.4</v>
      </c>
      <c r="I1148">
        <v>91</v>
      </c>
      <c r="J1148">
        <v>19.45</v>
      </c>
      <c r="K1148">
        <v>216.6</v>
      </c>
      <c r="L1148">
        <v>123</v>
      </c>
      <c r="M1148">
        <v>18.41</v>
      </c>
      <c r="N1148">
        <v>250.6</v>
      </c>
      <c r="O1148">
        <v>102</v>
      </c>
      <c r="P1148">
        <v>11.28</v>
      </c>
      <c r="Q1148">
        <v>11</v>
      </c>
      <c r="R1148">
        <v>3</v>
      </c>
      <c r="S1148">
        <v>2.97</v>
      </c>
      <c r="T1148">
        <v>0</v>
      </c>
      <c r="U1148" t="s">
        <v>22</v>
      </c>
      <c r="V1148" t="e">
        <f>IF(#REF! = "yes", 1, 0)</f>
        <v>#REF!</v>
      </c>
      <c r="W1148" t="e">
        <f>IF(#REF! &lt;= 1, "0-1 Calls", IF(#REF! &lt;= 3, "2-3 Calls", IF(#REF! &lt;=5, "4-5 Calls", "6+ Calls")))</f>
        <v>#REF!</v>
      </c>
      <c r="X1148" t="e">
        <f>IF(#REF! &lt;= 50, "0-50", IF(#REF! &lt;=100, "51-100", IF(#REF! &lt;= 150, "101-150", "151+")))</f>
        <v>#REF!</v>
      </c>
      <c r="Y1148" t="e">
        <f>IF(#REF! &lt;= 3, "Low Charges", "High Charges")</f>
        <v>#REF!</v>
      </c>
      <c r="Z1148" t="e">
        <f>IF(#REF!&lt;=80,"Low Calls",
IF(#REF!&lt;=120,"Medium Calls","High Calls"))</f>
        <v>#REF!</v>
      </c>
      <c r="AA1148" t="e">
        <f>IF(#REF!&lt;=15,"Low Charges",
IF(#REF!&lt;=20,"Medium Charges","High Charges"))</f>
        <v>#REF!</v>
      </c>
      <c r="AB1148" t="e">
        <f>IF(AND(#REF!&gt;180, #REF!&gt;200), "Heavy Doemstic User", IF(#REF!&gt;10, "Interntional User", IF(AND(#REF!&lt;180, #REF!&lt;200,#REF!&lt;200), "Light User", "Balanced User")))</f>
        <v>#REF!</v>
      </c>
      <c r="AC1148" t="e">
        <f>IF(#REF! = 0, "No Usage", IF(#REF! &lt;= 20, "Low Usage", IF(#REF! &lt;= 40, "Medium Usgae", "High Usage")))</f>
        <v>#REF!</v>
      </c>
      <c r="AD1148" t="e">
        <f>IF(#REF!&lt;=150,"Low Usage", IF(#REF!&lt;=200,"Medium Usage", IF(#REF!&lt;=250,"High Usage","Very High Usage")))</f>
        <v>#REF!</v>
      </c>
      <c r="AE1148" t="e">
        <f>IF(#REF!&lt;=5,"Low Calls", IF(#REF!&lt;=10, "Medium Calls", "High Calls"))</f>
        <v>#REF!</v>
      </c>
      <c r="AF1148" t="e">
        <f xml:space="preserve">
IF(#REF!&gt;=4,4,0)+
IF(#REF!="yes",3,0)+
IF(#REF!="High Charges",3,0)+
IF(#REF!&gt;250,4,0)+
IF(#REF!="no",1,0)+
IF(#REF!="Heavy Domestic User",2,0)</f>
        <v>#REF!</v>
      </c>
      <c r="AG1148" t="e">
        <f>IF(#REF!&gt;=10,"High Risk", IF(#REF!&gt;=5,"Medium Risk","Low Risk"))</f>
        <v>#REF!</v>
      </c>
      <c r="AH1148" t="e">
        <f>#REF! + #REF! + #REF! + #REF!</f>
        <v>#REF!</v>
      </c>
    </row>
    <row r="1149" spans="1:34" x14ac:dyDescent="0.35">
      <c r="A1149">
        <v>1148</v>
      </c>
      <c r="B1149" t="s">
        <v>51</v>
      </c>
      <c r="C1149">
        <v>105</v>
      </c>
      <c r="D1149" t="s">
        <v>25</v>
      </c>
      <c r="E1149" t="s">
        <v>22</v>
      </c>
      <c r="F1149" t="s">
        <v>22</v>
      </c>
      <c r="G1149">
        <v>0</v>
      </c>
      <c r="H1149">
        <v>147.69999999999999</v>
      </c>
      <c r="I1149">
        <v>103</v>
      </c>
      <c r="J1149">
        <v>25.11</v>
      </c>
      <c r="K1149">
        <v>222.7</v>
      </c>
      <c r="L1149">
        <v>78</v>
      </c>
      <c r="M1149">
        <v>18.93</v>
      </c>
      <c r="N1149">
        <v>163.5</v>
      </c>
      <c r="O1149">
        <v>102</v>
      </c>
      <c r="P1149">
        <v>7.36</v>
      </c>
      <c r="Q1149">
        <v>12.8</v>
      </c>
      <c r="R1149">
        <v>3</v>
      </c>
      <c r="S1149">
        <v>3.46</v>
      </c>
      <c r="T1149">
        <v>2</v>
      </c>
      <c r="U1149" t="s">
        <v>22</v>
      </c>
      <c r="V1149" t="e">
        <f>IF(#REF! = "yes", 1, 0)</f>
        <v>#REF!</v>
      </c>
      <c r="W1149" t="e">
        <f>IF(#REF! &lt;= 1, "0-1 Calls", IF(#REF! &lt;= 3, "2-3 Calls", IF(#REF! &lt;=5, "4-5 Calls", "6+ Calls")))</f>
        <v>#REF!</v>
      </c>
      <c r="X1149" t="e">
        <f>IF(#REF! &lt;= 50, "0-50", IF(#REF! &lt;=100, "51-100", IF(#REF! &lt;= 150, "101-150", "151+")))</f>
        <v>#REF!</v>
      </c>
      <c r="Y1149" t="e">
        <f>IF(#REF! &lt;= 3, "Low Charges", "High Charges")</f>
        <v>#REF!</v>
      </c>
      <c r="Z1149" t="e">
        <f>IF(#REF!&lt;=80,"Low Calls",
IF(#REF!&lt;=120,"Medium Calls","High Calls"))</f>
        <v>#REF!</v>
      </c>
      <c r="AA1149" t="e">
        <f>IF(#REF!&lt;=15,"Low Charges",
IF(#REF!&lt;=20,"Medium Charges","High Charges"))</f>
        <v>#REF!</v>
      </c>
      <c r="AB1149" t="e">
        <f>IF(AND(#REF!&gt;180, #REF!&gt;200), "Heavy Doemstic User", IF(#REF!&gt;10, "Interntional User", IF(AND(#REF!&lt;180, #REF!&lt;200,#REF!&lt;200), "Light User", "Balanced User")))</f>
        <v>#REF!</v>
      </c>
      <c r="AC1149" t="e">
        <f>IF(#REF! = 0, "No Usage", IF(#REF! &lt;= 20, "Low Usage", IF(#REF! &lt;= 40, "Medium Usgae", "High Usage")))</f>
        <v>#REF!</v>
      </c>
      <c r="AD1149" t="e">
        <f>IF(#REF!&lt;=150,"Low Usage", IF(#REF!&lt;=200,"Medium Usage", IF(#REF!&lt;=250,"High Usage","Very High Usage")))</f>
        <v>#REF!</v>
      </c>
      <c r="AE1149" t="e">
        <f>IF(#REF!&lt;=5,"Low Calls", IF(#REF!&lt;=10, "Medium Calls", "High Calls"))</f>
        <v>#REF!</v>
      </c>
      <c r="AF1149" t="e">
        <f xml:space="preserve">
IF(#REF!&gt;=4,4,0)+
IF(#REF!="yes",3,0)+
IF(#REF!="High Charges",3,0)+
IF(#REF!&gt;250,4,0)+
IF(#REF!="no",1,0)+
IF(#REF!="Heavy Domestic User",2,0)</f>
        <v>#REF!</v>
      </c>
      <c r="AG1149" t="e">
        <f>IF(#REF!&gt;=10,"High Risk", IF(#REF!&gt;=5,"Medium Risk","Low Risk"))</f>
        <v>#REF!</v>
      </c>
      <c r="AH1149" t="e">
        <f>#REF! + #REF! + #REF! + #REF!</f>
        <v>#REF!</v>
      </c>
    </row>
    <row r="1150" spans="1:34" x14ac:dyDescent="0.35">
      <c r="A1150">
        <v>1149</v>
      </c>
      <c r="B1150" t="s">
        <v>39</v>
      </c>
      <c r="C1150">
        <v>50</v>
      </c>
      <c r="D1150" t="s">
        <v>25</v>
      </c>
      <c r="E1150" t="s">
        <v>22</v>
      </c>
      <c r="F1150" t="s">
        <v>23</v>
      </c>
      <c r="G1150">
        <v>31</v>
      </c>
      <c r="H1150">
        <v>302.7</v>
      </c>
      <c r="I1150">
        <v>93</v>
      </c>
      <c r="J1150">
        <v>51.46</v>
      </c>
      <c r="K1150">
        <v>240.5</v>
      </c>
      <c r="L1150">
        <v>119</v>
      </c>
      <c r="M1150">
        <v>20.440000000000001</v>
      </c>
      <c r="N1150">
        <v>193.9</v>
      </c>
      <c r="O1150">
        <v>103</v>
      </c>
      <c r="P1150">
        <v>8.73</v>
      </c>
      <c r="Q1150">
        <v>13.6</v>
      </c>
      <c r="R1150">
        <v>14</v>
      </c>
      <c r="S1150">
        <v>3.67</v>
      </c>
      <c r="T1150">
        <v>3</v>
      </c>
      <c r="U1150" t="s">
        <v>22</v>
      </c>
      <c r="V1150" t="e">
        <f>IF(#REF! = "yes", 1, 0)</f>
        <v>#REF!</v>
      </c>
      <c r="W1150" t="e">
        <f>IF(#REF! &lt;= 1, "0-1 Calls", IF(#REF! &lt;= 3, "2-3 Calls", IF(#REF! &lt;=5, "4-5 Calls", "6+ Calls")))</f>
        <v>#REF!</v>
      </c>
      <c r="X1150" t="e">
        <f>IF(#REF! &lt;= 50, "0-50", IF(#REF! &lt;=100, "51-100", IF(#REF! &lt;= 150, "101-150", "151+")))</f>
        <v>#REF!</v>
      </c>
      <c r="Y1150" t="e">
        <f>IF(#REF! &lt;= 3, "Low Charges", "High Charges")</f>
        <v>#REF!</v>
      </c>
      <c r="Z1150" t="e">
        <f>IF(#REF!&lt;=80,"Low Calls",
IF(#REF!&lt;=120,"Medium Calls","High Calls"))</f>
        <v>#REF!</v>
      </c>
      <c r="AA1150" t="e">
        <f>IF(#REF!&lt;=15,"Low Charges",
IF(#REF!&lt;=20,"Medium Charges","High Charges"))</f>
        <v>#REF!</v>
      </c>
      <c r="AB1150" t="e">
        <f>IF(AND(#REF!&gt;180, #REF!&gt;200), "Heavy Doemstic User", IF(#REF!&gt;10, "Interntional User", IF(AND(#REF!&lt;180, #REF!&lt;200,#REF!&lt;200), "Light User", "Balanced User")))</f>
        <v>#REF!</v>
      </c>
      <c r="AC1150" t="e">
        <f>IF(#REF! = 0, "No Usage", IF(#REF! &lt;= 20, "Low Usage", IF(#REF! &lt;= 40, "Medium Usgae", "High Usage")))</f>
        <v>#REF!</v>
      </c>
      <c r="AD1150" t="e">
        <f>IF(#REF!&lt;=150,"Low Usage", IF(#REF!&lt;=200,"Medium Usage", IF(#REF!&lt;=250,"High Usage","Very High Usage")))</f>
        <v>#REF!</v>
      </c>
      <c r="AE1150" t="e">
        <f>IF(#REF!&lt;=5,"Low Calls", IF(#REF!&lt;=10, "Medium Calls", "High Calls"))</f>
        <v>#REF!</v>
      </c>
      <c r="AF1150" t="e">
        <f xml:space="preserve">
IF(#REF!&gt;=4,4,0)+
IF(#REF!="yes",3,0)+
IF(#REF!="High Charges",3,0)+
IF(#REF!&gt;250,4,0)+
IF(#REF!="no",1,0)+
IF(#REF!="Heavy Domestic User",2,0)</f>
        <v>#REF!</v>
      </c>
      <c r="AG1150" t="e">
        <f>IF(#REF!&gt;=10,"High Risk", IF(#REF!&gt;=5,"Medium Risk","Low Risk"))</f>
        <v>#REF!</v>
      </c>
      <c r="AH1150" t="e">
        <f>#REF! + #REF! + #REF! + #REF!</f>
        <v>#REF!</v>
      </c>
    </row>
    <row r="1151" spans="1:34" x14ac:dyDescent="0.35">
      <c r="A1151">
        <v>1150</v>
      </c>
      <c r="B1151" t="s">
        <v>42</v>
      </c>
      <c r="C1151">
        <v>97</v>
      </c>
      <c r="D1151" t="s">
        <v>25</v>
      </c>
      <c r="E1151" t="s">
        <v>22</v>
      </c>
      <c r="F1151" t="s">
        <v>22</v>
      </c>
      <c r="G1151">
        <v>0</v>
      </c>
      <c r="H1151">
        <v>169.7</v>
      </c>
      <c r="I1151">
        <v>84</v>
      </c>
      <c r="J1151">
        <v>28.85</v>
      </c>
      <c r="K1151">
        <v>165.9</v>
      </c>
      <c r="L1151">
        <v>86</v>
      </c>
      <c r="M1151">
        <v>14.1</v>
      </c>
      <c r="N1151">
        <v>191.9</v>
      </c>
      <c r="O1151">
        <v>83</v>
      </c>
      <c r="P1151">
        <v>8.64</v>
      </c>
      <c r="Q1151">
        <v>12.8</v>
      </c>
      <c r="R1151">
        <v>6</v>
      </c>
      <c r="S1151">
        <v>3.46</v>
      </c>
      <c r="T1151">
        <v>3</v>
      </c>
      <c r="U1151" t="s">
        <v>22</v>
      </c>
      <c r="V1151" t="e">
        <f>IF(#REF! = "yes", 1, 0)</f>
        <v>#REF!</v>
      </c>
      <c r="W1151" t="e">
        <f>IF(#REF! &lt;= 1, "0-1 Calls", IF(#REF! &lt;= 3, "2-3 Calls", IF(#REF! &lt;=5, "4-5 Calls", "6+ Calls")))</f>
        <v>#REF!</v>
      </c>
      <c r="X1151" t="e">
        <f>IF(#REF! &lt;= 50, "0-50", IF(#REF! &lt;=100, "51-100", IF(#REF! &lt;= 150, "101-150", "151+")))</f>
        <v>#REF!</v>
      </c>
      <c r="Y1151" t="e">
        <f>IF(#REF! &lt;= 3, "Low Charges", "High Charges")</f>
        <v>#REF!</v>
      </c>
      <c r="Z1151" t="e">
        <f>IF(#REF!&lt;=80,"Low Calls",
IF(#REF!&lt;=120,"Medium Calls","High Calls"))</f>
        <v>#REF!</v>
      </c>
      <c r="AA1151" t="e">
        <f>IF(#REF!&lt;=15,"Low Charges",
IF(#REF!&lt;=20,"Medium Charges","High Charges"))</f>
        <v>#REF!</v>
      </c>
      <c r="AB1151" t="e">
        <f>IF(AND(#REF!&gt;180, #REF!&gt;200), "Heavy Doemstic User", IF(#REF!&gt;10, "Interntional User", IF(AND(#REF!&lt;180, #REF!&lt;200,#REF!&lt;200), "Light User", "Balanced User")))</f>
        <v>#REF!</v>
      </c>
      <c r="AC1151" t="e">
        <f>IF(#REF! = 0, "No Usage", IF(#REF! &lt;= 20, "Low Usage", IF(#REF! &lt;= 40, "Medium Usgae", "High Usage")))</f>
        <v>#REF!</v>
      </c>
      <c r="AD1151" t="e">
        <f>IF(#REF!&lt;=150,"Low Usage", IF(#REF!&lt;=200,"Medium Usage", IF(#REF!&lt;=250,"High Usage","Very High Usage")))</f>
        <v>#REF!</v>
      </c>
      <c r="AE1151" t="e">
        <f>IF(#REF!&lt;=5,"Low Calls", IF(#REF!&lt;=10, "Medium Calls", "High Calls"))</f>
        <v>#REF!</v>
      </c>
      <c r="AF1151" t="e">
        <f xml:space="preserve">
IF(#REF!&gt;=4,4,0)+
IF(#REF!="yes",3,0)+
IF(#REF!="High Charges",3,0)+
IF(#REF!&gt;250,4,0)+
IF(#REF!="no",1,0)+
IF(#REF!="Heavy Domestic User",2,0)</f>
        <v>#REF!</v>
      </c>
      <c r="AG1151" t="e">
        <f>IF(#REF!&gt;=10,"High Risk", IF(#REF!&gt;=5,"Medium Risk","Low Risk"))</f>
        <v>#REF!</v>
      </c>
      <c r="AH1151" t="e">
        <f>#REF! + #REF! + #REF! + #REF!</f>
        <v>#REF!</v>
      </c>
    </row>
    <row r="1152" spans="1:34" x14ac:dyDescent="0.35">
      <c r="A1152">
        <v>1151</v>
      </c>
      <c r="B1152" t="s">
        <v>75</v>
      </c>
      <c r="C1152">
        <v>51</v>
      </c>
      <c r="D1152" t="s">
        <v>28</v>
      </c>
      <c r="E1152" t="s">
        <v>22</v>
      </c>
      <c r="F1152" t="s">
        <v>22</v>
      </c>
      <c r="G1152">
        <v>0</v>
      </c>
      <c r="H1152">
        <v>227.2</v>
      </c>
      <c r="I1152">
        <v>89</v>
      </c>
      <c r="J1152">
        <v>38.619999999999997</v>
      </c>
      <c r="K1152">
        <v>194.4</v>
      </c>
      <c r="L1152">
        <v>106</v>
      </c>
      <c r="M1152">
        <v>16.52</v>
      </c>
      <c r="N1152">
        <v>243.4</v>
      </c>
      <c r="O1152">
        <v>126</v>
      </c>
      <c r="P1152">
        <v>10.95</v>
      </c>
      <c r="Q1152">
        <v>14.9</v>
      </c>
      <c r="R1152">
        <v>2</v>
      </c>
      <c r="S1152">
        <v>4.0199999999999996</v>
      </c>
      <c r="T1152">
        <v>0</v>
      </c>
      <c r="U1152" t="s">
        <v>22</v>
      </c>
      <c r="V1152" t="e">
        <f>IF(#REF! = "yes", 1, 0)</f>
        <v>#REF!</v>
      </c>
      <c r="W1152" t="e">
        <f>IF(#REF! &lt;= 1, "0-1 Calls", IF(#REF! &lt;= 3, "2-3 Calls", IF(#REF! &lt;=5, "4-5 Calls", "6+ Calls")))</f>
        <v>#REF!</v>
      </c>
      <c r="X1152" t="e">
        <f>IF(#REF! &lt;= 50, "0-50", IF(#REF! &lt;=100, "51-100", IF(#REF! &lt;= 150, "101-150", "151+")))</f>
        <v>#REF!</v>
      </c>
      <c r="Y1152" t="e">
        <f>IF(#REF! &lt;= 3, "Low Charges", "High Charges")</f>
        <v>#REF!</v>
      </c>
      <c r="Z1152" t="e">
        <f>IF(#REF!&lt;=80,"Low Calls",
IF(#REF!&lt;=120,"Medium Calls","High Calls"))</f>
        <v>#REF!</v>
      </c>
      <c r="AA1152" t="e">
        <f>IF(#REF!&lt;=15,"Low Charges",
IF(#REF!&lt;=20,"Medium Charges","High Charges"))</f>
        <v>#REF!</v>
      </c>
      <c r="AB1152" t="e">
        <f>IF(AND(#REF!&gt;180, #REF!&gt;200), "Heavy Doemstic User", IF(#REF!&gt;10, "Interntional User", IF(AND(#REF!&lt;180, #REF!&lt;200,#REF!&lt;200), "Light User", "Balanced User")))</f>
        <v>#REF!</v>
      </c>
      <c r="AC1152" t="e">
        <f>IF(#REF! = 0, "No Usage", IF(#REF! &lt;= 20, "Low Usage", IF(#REF! &lt;= 40, "Medium Usgae", "High Usage")))</f>
        <v>#REF!</v>
      </c>
      <c r="AD1152" t="e">
        <f>IF(#REF!&lt;=150,"Low Usage", IF(#REF!&lt;=200,"Medium Usage", IF(#REF!&lt;=250,"High Usage","Very High Usage")))</f>
        <v>#REF!</v>
      </c>
      <c r="AE1152" t="e">
        <f>IF(#REF!&lt;=5,"Low Calls", IF(#REF!&lt;=10, "Medium Calls", "High Calls"))</f>
        <v>#REF!</v>
      </c>
      <c r="AF1152" t="e">
        <f xml:space="preserve">
IF(#REF!&gt;=4,4,0)+
IF(#REF!="yes",3,0)+
IF(#REF!="High Charges",3,0)+
IF(#REF!&gt;250,4,0)+
IF(#REF!="no",1,0)+
IF(#REF!="Heavy Domestic User",2,0)</f>
        <v>#REF!</v>
      </c>
      <c r="AG1152" t="e">
        <f>IF(#REF!&gt;=10,"High Risk", IF(#REF!&gt;=5,"Medium Risk","Low Risk"))</f>
        <v>#REF!</v>
      </c>
      <c r="AH1152" t="e">
        <f>#REF! + #REF! + #REF! + #REF!</f>
        <v>#REF!</v>
      </c>
    </row>
    <row r="1153" spans="1:34" x14ac:dyDescent="0.35">
      <c r="A1153">
        <v>1152</v>
      </c>
      <c r="B1153" t="s">
        <v>64</v>
      </c>
      <c r="C1153">
        <v>73</v>
      </c>
      <c r="D1153" t="s">
        <v>21</v>
      </c>
      <c r="E1153" t="s">
        <v>22</v>
      </c>
      <c r="F1153" t="s">
        <v>22</v>
      </c>
      <c r="G1153">
        <v>0</v>
      </c>
      <c r="H1153">
        <v>217.8</v>
      </c>
      <c r="I1153">
        <v>91</v>
      </c>
      <c r="J1153">
        <v>37.03</v>
      </c>
      <c r="K1153">
        <v>220.6</v>
      </c>
      <c r="L1153">
        <v>97</v>
      </c>
      <c r="M1153">
        <v>18.75</v>
      </c>
      <c r="N1153">
        <v>277.3</v>
      </c>
      <c r="O1153">
        <v>89</v>
      </c>
      <c r="P1153">
        <v>12.48</v>
      </c>
      <c r="Q1153">
        <v>10.3</v>
      </c>
      <c r="R1153">
        <v>6</v>
      </c>
      <c r="S1153">
        <v>2.78</v>
      </c>
      <c r="T1153">
        <v>1</v>
      </c>
      <c r="U1153" t="s">
        <v>23</v>
      </c>
      <c r="V1153" t="e">
        <f>IF(#REF! = "yes", 1, 0)</f>
        <v>#REF!</v>
      </c>
      <c r="W1153" t="e">
        <f>IF(#REF! &lt;= 1, "0-1 Calls", IF(#REF! &lt;= 3, "2-3 Calls", IF(#REF! &lt;=5, "4-5 Calls", "6+ Calls")))</f>
        <v>#REF!</v>
      </c>
      <c r="X1153" t="e">
        <f>IF(#REF! &lt;= 50, "0-50", IF(#REF! &lt;=100, "51-100", IF(#REF! &lt;= 150, "101-150", "151+")))</f>
        <v>#REF!</v>
      </c>
      <c r="Y1153" t="e">
        <f>IF(#REF! &lt;= 3, "Low Charges", "High Charges")</f>
        <v>#REF!</v>
      </c>
      <c r="Z1153" t="e">
        <f>IF(#REF!&lt;=80,"Low Calls",
IF(#REF!&lt;=120,"Medium Calls","High Calls"))</f>
        <v>#REF!</v>
      </c>
      <c r="AA1153" t="e">
        <f>IF(#REF!&lt;=15,"Low Charges",
IF(#REF!&lt;=20,"Medium Charges","High Charges"))</f>
        <v>#REF!</v>
      </c>
      <c r="AB1153" t="e">
        <f>IF(AND(#REF!&gt;180, #REF!&gt;200), "Heavy Doemstic User", IF(#REF!&gt;10, "Interntional User", IF(AND(#REF!&lt;180, #REF!&lt;200,#REF!&lt;200), "Light User", "Balanced User")))</f>
        <v>#REF!</v>
      </c>
      <c r="AC1153" t="e">
        <f>IF(#REF! = 0, "No Usage", IF(#REF! &lt;= 20, "Low Usage", IF(#REF! &lt;= 40, "Medium Usgae", "High Usage")))</f>
        <v>#REF!</v>
      </c>
      <c r="AD1153" t="e">
        <f>IF(#REF!&lt;=150,"Low Usage", IF(#REF!&lt;=200,"Medium Usage", IF(#REF!&lt;=250,"High Usage","Very High Usage")))</f>
        <v>#REF!</v>
      </c>
      <c r="AE1153" t="e">
        <f>IF(#REF!&lt;=5,"Low Calls", IF(#REF!&lt;=10, "Medium Calls", "High Calls"))</f>
        <v>#REF!</v>
      </c>
      <c r="AF1153" t="e">
        <f xml:space="preserve">
IF(#REF!&gt;=4,4,0)+
IF(#REF!="yes",3,0)+
IF(#REF!="High Charges",3,0)+
IF(#REF!&gt;250,4,0)+
IF(#REF!="no",1,0)+
IF(#REF!="Heavy Domestic User",2,0)</f>
        <v>#REF!</v>
      </c>
      <c r="AG1153" t="e">
        <f>IF(#REF!&gt;=10,"High Risk", IF(#REF!&gt;=5,"Medium Risk","Low Risk"))</f>
        <v>#REF!</v>
      </c>
      <c r="AH1153" t="e">
        <f>#REF! + #REF! + #REF! + #REF!</f>
        <v>#REF!</v>
      </c>
    </row>
    <row r="1154" spans="1:34" x14ac:dyDescent="0.35">
      <c r="A1154">
        <v>1153</v>
      </c>
      <c r="B1154" t="s">
        <v>45</v>
      </c>
      <c r="C1154">
        <v>35</v>
      </c>
      <c r="D1154" t="s">
        <v>21</v>
      </c>
      <c r="E1154" t="s">
        <v>22</v>
      </c>
      <c r="F1154" t="s">
        <v>22</v>
      </c>
      <c r="G1154">
        <v>0</v>
      </c>
      <c r="H1154">
        <v>124.2</v>
      </c>
      <c r="I1154">
        <v>102</v>
      </c>
      <c r="J1154">
        <v>21.11</v>
      </c>
      <c r="K1154">
        <v>123.9</v>
      </c>
      <c r="L1154">
        <v>115</v>
      </c>
      <c r="M1154">
        <v>10.53</v>
      </c>
      <c r="N1154">
        <v>135.69999999999999</v>
      </c>
      <c r="O1154">
        <v>100</v>
      </c>
      <c r="P1154">
        <v>6.11</v>
      </c>
      <c r="Q1154">
        <v>13.1</v>
      </c>
      <c r="R1154">
        <v>8</v>
      </c>
      <c r="S1154">
        <v>3.54</v>
      </c>
      <c r="T1154">
        <v>2</v>
      </c>
      <c r="U1154" t="s">
        <v>22</v>
      </c>
      <c r="V1154" t="e">
        <f>IF(#REF! = "yes", 1, 0)</f>
        <v>#REF!</v>
      </c>
      <c r="W1154" t="e">
        <f>IF(#REF! &lt;= 1, "0-1 Calls", IF(#REF! &lt;= 3, "2-3 Calls", IF(#REF! &lt;=5, "4-5 Calls", "6+ Calls")))</f>
        <v>#REF!</v>
      </c>
      <c r="X1154" t="e">
        <f>IF(#REF! &lt;= 50, "0-50", IF(#REF! &lt;=100, "51-100", IF(#REF! &lt;= 150, "101-150", "151+")))</f>
        <v>#REF!</v>
      </c>
      <c r="Y1154" t="e">
        <f>IF(#REF! &lt;= 3, "Low Charges", "High Charges")</f>
        <v>#REF!</v>
      </c>
      <c r="Z1154" t="e">
        <f>IF(#REF!&lt;=80,"Low Calls",
IF(#REF!&lt;=120,"Medium Calls","High Calls"))</f>
        <v>#REF!</v>
      </c>
      <c r="AA1154" t="e">
        <f>IF(#REF!&lt;=15,"Low Charges",
IF(#REF!&lt;=20,"Medium Charges","High Charges"))</f>
        <v>#REF!</v>
      </c>
      <c r="AB1154" t="e">
        <f>IF(AND(#REF!&gt;180, #REF!&gt;200), "Heavy Doemstic User", IF(#REF!&gt;10, "Interntional User", IF(AND(#REF!&lt;180, #REF!&lt;200,#REF!&lt;200), "Light User", "Balanced User")))</f>
        <v>#REF!</v>
      </c>
      <c r="AC1154" t="e">
        <f>IF(#REF! = 0, "No Usage", IF(#REF! &lt;= 20, "Low Usage", IF(#REF! &lt;= 40, "Medium Usgae", "High Usage")))</f>
        <v>#REF!</v>
      </c>
      <c r="AD1154" t="e">
        <f>IF(#REF!&lt;=150,"Low Usage", IF(#REF!&lt;=200,"Medium Usage", IF(#REF!&lt;=250,"High Usage","Very High Usage")))</f>
        <v>#REF!</v>
      </c>
      <c r="AE1154" t="e">
        <f>IF(#REF!&lt;=5,"Low Calls", IF(#REF!&lt;=10, "Medium Calls", "High Calls"))</f>
        <v>#REF!</v>
      </c>
      <c r="AF1154" t="e">
        <f xml:space="preserve">
IF(#REF!&gt;=4,4,0)+
IF(#REF!="yes",3,0)+
IF(#REF!="High Charges",3,0)+
IF(#REF!&gt;250,4,0)+
IF(#REF!="no",1,0)+
IF(#REF!="Heavy Domestic User",2,0)</f>
        <v>#REF!</v>
      </c>
      <c r="AG1154" t="e">
        <f>IF(#REF!&gt;=10,"High Risk", IF(#REF!&gt;=5,"Medium Risk","Low Risk"))</f>
        <v>#REF!</v>
      </c>
      <c r="AH1154" t="e">
        <f>#REF! + #REF! + #REF! + #REF!</f>
        <v>#REF!</v>
      </c>
    </row>
    <row r="1155" spans="1:34" x14ac:dyDescent="0.35">
      <c r="A1155">
        <v>1154</v>
      </c>
      <c r="B1155" t="s">
        <v>44</v>
      </c>
      <c r="C1155">
        <v>64</v>
      </c>
      <c r="D1155" t="s">
        <v>21</v>
      </c>
      <c r="E1155" t="s">
        <v>22</v>
      </c>
      <c r="F1155" t="s">
        <v>22</v>
      </c>
      <c r="G1155">
        <v>0</v>
      </c>
      <c r="H1155">
        <v>206.2</v>
      </c>
      <c r="I1155">
        <v>76</v>
      </c>
      <c r="J1155">
        <v>35.049999999999997</v>
      </c>
      <c r="K1155">
        <v>232.4</v>
      </c>
      <c r="L1155">
        <v>76</v>
      </c>
      <c r="M1155">
        <v>19.75</v>
      </c>
      <c r="N1155">
        <v>251.6</v>
      </c>
      <c r="O1155">
        <v>96</v>
      </c>
      <c r="P1155">
        <v>11.32</v>
      </c>
      <c r="Q1155">
        <v>13.6</v>
      </c>
      <c r="R1155">
        <v>2</v>
      </c>
      <c r="S1155">
        <v>3.67</v>
      </c>
      <c r="T1155">
        <v>1</v>
      </c>
      <c r="U1155" t="s">
        <v>22</v>
      </c>
      <c r="V1155" t="e">
        <f>IF(#REF! = "yes", 1, 0)</f>
        <v>#REF!</v>
      </c>
      <c r="W1155" t="e">
        <f>IF(#REF! &lt;= 1, "0-1 Calls", IF(#REF! &lt;= 3, "2-3 Calls", IF(#REF! &lt;=5, "4-5 Calls", "6+ Calls")))</f>
        <v>#REF!</v>
      </c>
      <c r="X1155" t="e">
        <f>IF(#REF! &lt;= 50, "0-50", IF(#REF! &lt;=100, "51-100", IF(#REF! &lt;= 150, "101-150", "151+")))</f>
        <v>#REF!</v>
      </c>
      <c r="Y1155" t="e">
        <f>IF(#REF! &lt;= 3, "Low Charges", "High Charges")</f>
        <v>#REF!</v>
      </c>
      <c r="Z1155" t="e">
        <f>IF(#REF!&lt;=80,"Low Calls",
IF(#REF!&lt;=120,"Medium Calls","High Calls"))</f>
        <v>#REF!</v>
      </c>
      <c r="AA1155" t="e">
        <f>IF(#REF!&lt;=15,"Low Charges",
IF(#REF!&lt;=20,"Medium Charges","High Charges"))</f>
        <v>#REF!</v>
      </c>
      <c r="AB1155" t="e">
        <f>IF(AND(#REF!&gt;180, #REF!&gt;200), "Heavy Doemstic User", IF(#REF!&gt;10, "Interntional User", IF(AND(#REF!&lt;180, #REF!&lt;200,#REF!&lt;200), "Light User", "Balanced User")))</f>
        <v>#REF!</v>
      </c>
      <c r="AC1155" t="e">
        <f>IF(#REF! = 0, "No Usage", IF(#REF! &lt;= 20, "Low Usage", IF(#REF! &lt;= 40, "Medium Usgae", "High Usage")))</f>
        <v>#REF!</v>
      </c>
      <c r="AD1155" t="e">
        <f>IF(#REF!&lt;=150,"Low Usage", IF(#REF!&lt;=200,"Medium Usage", IF(#REF!&lt;=250,"High Usage","Very High Usage")))</f>
        <v>#REF!</v>
      </c>
      <c r="AE1155" t="e">
        <f>IF(#REF!&lt;=5,"Low Calls", IF(#REF!&lt;=10, "Medium Calls", "High Calls"))</f>
        <v>#REF!</v>
      </c>
      <c r="AF1155" t="e">
        <f xml:space="preserve">
IF(#REF!&gt;=4,4,0)+
IF(#REF!="yes",3,0)+
IF(#REF!="High Charges",3,0)+
IF(#REF!&gt;250,4,0)+
IF(#REF!="no",1,0)+
IF(#REF!="Heavy Domestic User",2,0)</f>
        <v>#REF!</v>
      </c>
      <c r="AG1155" t="e">
        <f>IF(#REF!&gt;=10,"High Risk", IF(#REF!&gt;=5,"Medium Risk","Low Risk"))</f>
        <v>#REF!</v>
      </c>
      <c r="AH1155" t="e">
        <f>#REF! + #REF! + #REF! + #REF!</f>
        <v>#REF!</v>
      </c>
    </row>
    <row r="1156" spans="1:34" x14ac:dyDescent="0.35">
      <c r="A1156">
        <v>1155</v>
      </c>
      <c r="B1156" t="s">
        <v>31</v>
      </c>
      <c r="C1156">
        <v>63</v>
      </c>
      <c r="D1156" t="s">
        <v>28</v>
      </c>
      <c r="E1156" t="s">
        <v>22</v>
      </c>
      <c r="F1156" t="s">
        <v>22</v>
      </c>
      <c r="G1156">
        <v>0</v>
      </c>
      <c r="H1156">
        <v>132.9</v>
      </c>
      <c r="I1156">
        <v>122</v>
      </c>
      <c r="J1156">
        <v>22.59</v>
      </c>
      <c r="K1156">
        <v>67</v>
      </c>
      <c r="L1156">
        <v>62</v>
      </c>
      <c r="M1156">
        <v>5.7</v>
      </c>
      <c r="N1156">
        <v>160.4</v>
      </c>
      <c r="O1156">
        <v>121</v>
      </c>
      <c r="P1156">
        <v>7.22</v>
      </c>
      <c r="Q1156">
        <v>9.9</v>
      </c>
      <c r="R1156">
        <v>2</v>
      </c>
      <c r="S1156">
        <v>2.67</v>
      </c>
      <c r="T1156">
        <v>3</v>
      </c>
      <c r="U1156" t="s">
        <v>22</v>
      </c>
      <c r="V1156" t="e">
        <f>IF(#REF! = "yes", 1, 0)</f>
        <v>#REF!</v>
      </c>
      <c r="W1156" t="e">
        <f>IF(#REF! &lt;= 1, "0-1 Calls", IF(#REF! &lt;= 3, "2-3 Calls", IF(#REF! &lt;=5, "4-5 Calls", "6+ Calls")))</f>
        <v>#REF!</v>
      </c>
      <c r="X1156" t="e">
        <f>IF(#REF! &lt;= 50, "0-50", IF(#REF! &lt;=100, "51-100", IF(#REF! &lt;= 150, "101-150", "151+")))</f>
        <v>#REF!</v>
      </c>
      <c r="Y1156" t="e">
        <f>IF(#REF! &lt;= 3, "Low Charges", "High Charges")</f>
        <v>#REF!</v>
      </c>
      <c r="Z1156" t="e">
        <f>IF(#REF!&lt;=80,"Low Calls",
IF(#REF!&lt;=120,"Medium Calls","High Calls"))</f>
        <v>#REF!</v>
      </c>
      <c r="AA1156" t="e">
        <f>IF(#REF!&lt;=15,"Low Charges",
IF(#REF!&lt;=20,"Medium Charges","High Charges"))</f>
        <v>#REF!</v>
      </c>
      <c r="AB1156" t="e">
        <f>IF(AND(#REF!&gt;180, #REF!&gt;200), "Heavy Doemstic User", IF(#REF!&gt;10, "Interntional User", IF(AND(#REF!&lt;180, #REF!&lt;200,#REF!&lt;200), "Light User", "Balanced User")))</f>
        <v>#REF!</v>
      </c>
      <c r="AC1156" t="e">
        <f>IF(#REF! = 0, "No Usage", IF(#REF! &lt;= 20, "Low Usage", IF(#REF! &lt;= 40, "Medium Usgae", "High Usage")))</f>
        <v>#REF!</v>
      </c>
      <c r="AD1156" t="e">
        <f>IF(#REF!&lt;=150,"Low Usage", IF(#REF!&lt;=200,"Medium Usage", IF(#REF!&lt;=250,"High Usage","Very High Usage")))</f>
        <v>#REF!</v>
      </c>
      <c r="AE1156" t="e">
        <f>IF(#REF!&lt;=5,"Low Calls", IF(#REF!&lt;=10, "Medium Calls", "High Calls"))</f>
        <v>#REF!</v>
      </c>
      <c r="AF1156" t="e">
        <f xml:space="preserve">
IF(#REF!&gt;=4,4,0)+
IF(#REF!="yes",3,0)+
IF(#REF!="High Charges",3,0)+
IF(#REF!&gt;250,4,0)+
IF(#REF!="no",1,0)+
IF(#REF!="Heavy Domestic User",2,0)</f>
        <v>#REF!</v>
      </c>
      <c r="AG1156" t="e">
        <f>IF(#REF!&gt;=10,"High Risk", IF(#REF!&gt;=5,"Medium Risk","Low Risk"))</f>
        <v>#REF!</v>
      </c>
      <c r="AH1156" t="e">
        <f>#REF! + #REF! + #REF! + #REF!</f>
        <v>#REF!</v>
      </c>
    </row>
    <row r="1157" spans="1:34" x14ac:dyDescent="0.35">
      <c r="A1157">
        <v>1156</v>
      </c>
      <c r="B1157" t="s">
        <v>26</v>
      </c>
      <c r="C1157">
        <v>117</v>
      </c>
      <c r="D1157" t="s">
        <v>21</v>
      </c>
      <c r="E1157" t="s">
        <v>22</v>
      </c>
      <c r="F1157" t="s">
        <v>23</v>
      </c>
      <c r="G1157">
        <v>31</v>
      </c>
      <c r="H1157">
        <v>104.9</v>
      </c>
      <c r="I1157">
        <v>115</v>
      </c>
      <c r="J1157">
        <v>17.829999999999998</v>
      </c>
      <c r="K1157">
        <v>237.6</v>
      </c>
      <c r="L1157">
        <v>125</v>
      </c>
      <c r="M1157">
        <v>20.2</v>
      </c>
      <c r="N1157">
        <v>263.39999999999998</v>
      </c>
      <c r="O1157">
        <v>104</v>
      </c>
      <c r="P1157">
        <v>11.85</v>
      </c>
      <c r="Q1157">
        <v>7.7</v>
      </c>
      <c r="R1157">
        <v>6</v>
      </c>
      <c r="S1157">
        <v>2.08</v>
      </c>
      <c r="T1157">
        <v>3</v>
      </c>
      <c r="U1157" t="s">
        <v>22</v>
      </c>
      <c r="V1157" t="e">
        <f>IF(#REF! = "yes", 1, 0)</f>
        <v>#REF!</v>
      </c>
      <c r="W1157" t="e">
        <f>IF(#REF! &lt;= 1, "0-1 Calls", IF(#REF! &lt;= 3, "2-3 Calls", IF(#REF! &lt;=5, "4-5 Calls", "6+ Calls")))</f>
        <v>#REF!</v>
      </c>
      <c r="X1157" t="e">
        <f>IF(#REF! &lt;= 50, "0-50", IF(#REF! &lt;=100, "51-100", IF(#REF! &lt;= 150, "101-150", "151+")))</f>
        <v>#REF!</v>
      </c>
      <c r="Y1157" t="e">
        <f>IF(#REF! &lt;= 3, "Low Charges", "High Charges")</f>
        <v>#REF!</v>
      </c>
      <c r="Z1157" t="e">
        <f>IF(#REF!&lt;=80,"Low Calls",
IF(#REF!&lt;=120,"Medium Calls","High Calls"))</f>
        <v>#REF!</v>
      </c>
      <c r="AA1157" t="e">
        <f>IF(#REF!&lt;=15,"Low Charges",
IF(#REF!&lt;=20,"Medium Charges","High Charges"))</f>
        <v>#REF!</v>
      </c>
      <c r="AB1157" t="e">
        <f>IF(AND(#REF!&gt;180, #REF!&gt;200), "Heavy Doemstic User", IF(#REF!&gt;10, "Interntional User", IF(AND(#REF!&lt;180, #REF!&lt;200,#REF!&lt;200), "Light User", "Balanced User")))</f>
        <v>#REF!</v>
      </c>
      <c r="AC1157" t="e">
        <f>IF(#REF! = 0, "No Usage", IF(#REF! &lt;= 20, "Low Usage", IF(#REF! &lt;= 40, "Medium Usgae", "High Usage")))</f>
        <v>#REF!</v>
      </c>
      <c r="AD1157" t="e">
        <f>IF(#REF!&lt;=150,"Low Usage", IF(#REF!&lt;=200,"Medium Usage", IF(#REF!&lt;=250,"High Usage","Very High Usage")))</f>
        <v>#REF!</v>
      </c>
      <c r="AE1157" t="e">
        <f>IF(#REF!&lt;=5,"Low Calls", IF(#REF!&lt;=10, "Medium Calls", "High Calls"))</f>
        <v>#REF!</v>
      </c>
      <c r="AF1157" t="e">
        <f xml:space="preserve">
IF(#REF!&gt;=4,4,0)+
IF(#REF!="yes",3,0)+
IF(#REF!="High Charges",3,0)+
IF(#REF!&gt;250,4,0)+
IF(#REF!="no",1,0)+
IF(#REF!="Heavy Domestic User",2,0)</f>
        <v>#REF!</v>
      </c>
      <c r="AG1157" t="e">
        <f>IF(#REF!&gt;=10,"High Risk", IF(#REF!&gt;=5,"Medium Risk","Low Risk"))</f>
        <v>#REF!</v>
      </c>
      <c r="AH1157" t="e">
        <f>#REF! + #REF! + #REF! + #REF!</f>
        <v>#REF!</v>
      </c>
    </row>
    <row r="1158" spans="1:34" x14ac:dyDescent="0.35">
      <c r="A1158">
        <v>1157</v>
      </c>
      <c r="B1158" t="s">
        <v>74</v>
      </c>
      <c r="C1158">
        <v>115</v>
      </c>
      <c r="D1158" t="s">
        <v>21</v>
      </c>
      <c r="E1158" t="s">
        <v>22</v>
      </c>
      <c r="F1158" t="s">
        <v>22</v>
      </c>
      <c r="G1158">
        <v>0</v>
      </c>
      <c r="H1158">
        <v>245</v>
      </c>
      <c r="I1158">
        <v>97</v>
      </c>
      <c r="J1158">
        <v>41.65</v>
      </c>
      <c r="K1158">
        <v>250.7</v>
      </c>
      <c r="L1158">
        <v>75</v>
      </c>
      <c r="M1158">
        <v>21.31</v>
      </c>
      <c r="N1158">
        <v>270.2</v>
      </c>
      <c r="O1158">
        <v>124</v>
      </c>
      <c r="P1158">
        <v>12.16</v>
      </c>
      <c r="Q1158">
        <v>13.7</v>
      </c>
      <c r="R1158">
        <v>8</v>
      </c>
      <c r="S1158">
        <v>3.7</v>
      </c>
      <c r="T1158">
        <v>1</v>
      </c>
      <c r="U1158" t="s">
        <v>23</v>
      </c>
      <c r="V1158" t="e">
        <f>IF(#REF! = "yes", 1, 0)</f>
        <v>#REF!</v>
      </c>
      <c r="W1158" t="e">
        <f>IF(#REF! &lt;= 1, "0-1 Calls", IF(#REF! &lt;= 3, "2-3 Calls", IF(#REF! &lt;=5, "4-5 Calls", "6+ Calls")))</f>
        <v>#REF!</v>
      </c>
      <c r="X1158" t="e">
        <f>IF(#REF! &lt;= 50, "0-50", IF(#REF! &lt;=100, "51-100", IF(#REF! &lt;= 150, "101-150", "151+")))</f>
        <v>#REF!</v>
      </c>
      <c r="Y1158" t="e">
        <f>IF(#REF! &lt;= 3, "Low Charges", "High Charges")</f>
        <v>#REF!</v>
      </c>
      <c r="Z1158" t="e">
        <f>IF(#REF!&lt;=80,"Low Calls",
IF(#REF!&lt;=120,"Medium Calls","High Calls"))</f>
        <v>#REF!</v>
      </c>
      <c r="AA1158" t="e">
        <f>IF(#REF!&lt;=15,"Low Charges",
IF(#REF!&lt;=20,"Medium Charges","High Charges"))</f>
        <v>#REF!</v>
      </c>
      <c r="AB1158" t="e">
        <f>IF(AND(#REF!&gt;180, #REF!&gt;200), "Heavy Doemstic User", IF(#REF!&gt;10, "Interntional User", IF(AND(#REF!&lt;180, #REF!&lt;200,#REF!&lt;200), "Light User", "Balanced User")))</f>
        <v>#REF!</v>
      </c>
      <c r="AC1158" t="e">
        <f>IF(#REF! = 0, "No Usage", IF(#REF! &lt;= 20, "Low Usage", IF(#REF! &lt;= 40, "Medium Usgae", "High Usage")))</f>
        <v>#REF!</v>
      </c>
      <c r="AD1158" t="e">
        <f>IF(#REF!&lt;=150,"Low Usage", IF(#REF!&lt;=200,"Medium Usage", IF(#REF!&lt;=250,"High Usage","Very High Usage")))</f>
        <v>#REF!</v>
      </c>
      <c r="AE1158" t="e">
        <f>IF(#REF!&lt;=5,"Low Calls", IF(#REF!&lt;=10, "Medium Calls", "High Calls"))</f>
        <v>#REF!</v>
      </c>
      <c r="AF1158" t="e">
        <f xml:space="preserve">
IF(#REF!&gt;=4,4,0)+
IF(#REF!="yes",3,0)+
IF(#REF!="High Charges",3,0)+
IF(#REF!&gt;250,4,0)+
IF(#REF!="no",1,0)+
IF(#REF!="Heavy Domestic User",2,0)</f>
        <v>#REF!</v>
      </c>
      <c r="AG1158" t="e">
        <f>IF(#REF!&gt;=10,"High Risk", IF(#REF!&gt;=5,"Medium Risk","Low Risk"))</f>
        <v>#REF!</v>
      </c>
      <c r="AH1158" t="e">
        <f>#REF! + #REF! + #REF! + #REF!</f>
        <v>#REF!</v>
      </c>
    </row>
    <row r="1159" spans="1:34" x14ac:dyDescent="0.35">
      <c r="A1159">
        <v>1158</v>
      </c>
      <c r="B1159" t="s">
        <v>55</v>
      </c>
      <c r="C1159">
        <v>162</v>
      </c>
      <c r="D1159" t="s">
        <v>25</v>
      </c>
      <c r="E1159" t="s">
        <v>22</v>
      </c>
      <c r="F1159" t="s">
        <v>22</v>
      </c>
      <c r="G1159">
        <v>0</v>
      </c>
      <c r="H1159">
        <v>184.5</v>
      </c>
      <c r="I1159">
        <v>118</v>
      </c>
      <c r="J1159">
        <v>31.37</v>
      </c>
      <c r="K1159">
        <v>224</v>
      </c>
      <c r="L1159">
        <v>95</v>
      </c>
      <c r="M1159">
        <v>19.04</v>
      </c>
      <c r="N1159">
        <v>180.5</v>
      </c>
      <c r="O1159">
        <v>82</v>
      </c>
      <c r="P1159">
        <v>8.1199999999999992</v>
      </c>
      <c r="Q1159">
        <v>11.6</v>
      </c>
      <c r="R1159">
        <v>3</v>
      </c>
      <c r="S1159">
        <v>3.13</v>
      </c>
      <c r="T1159">
        <v>1</v>
      </c>
      <c r="U1159" t="s">
        <v>22</v>
      </c>
      <c r="V1159" t="e">
        <f>IF(#REF! = "yes", 1, 0)</f>
        <v>#REF!</v>
      </c>
      <c r="W1159" t="e">
        <f>IF(#REF! &lt;= 1, "0-1 Calls", IF(#REF! &lt;= 3, "2-3 Calls", IF(#REF! &lt;=5, "4-5 Calls", "6+ Calls")))</f>
        <v>#REF!</v>
      </c>
      <c r="X1159" t="e">
        <f>IF(#REF! &lt;= 50, "0-50", IF(#REF! &lt;=100, "51-100", IF(#REF! &lt;= 150, "101-150", "151+")))</f>
        <v>#REF!</v>
      </c>
      <c r="Y1159" t="e">
        <f>IF(#REF! &lt;= 3, "Low Charges", "High Charges")</f>
        <v>#REF!</v>
      </c>
      <c r="Z1159" t="e">
        <f>IF(#REF!&lt;=80,"Low Calls",
IF(#REF!&lt;=120,"Medium Calls","High Calls"))</f>
        <v>#REF!</v>
      </c>
      <c r="AA1159" t="e">
        <f>IF(#REF!&lt;=15,"Low Charges",
IF(#REF!&lt;=20,"Medium Charges","High Charges"))</f>
        <v>#REF!</v>
      </c>
      <c r="AB1159" t="e">
        <f>IF(AND(#REF!&gt;180, #REF!&gt;200), "Heavy Doemstic User", IF(#REF!&gt;10, "Interntional User", IF(AND(#REF!&lt;180, #REF!&lt;200,#REF!&lt;200), "Light User", "Balanced User")))</f>
        <v>#REF!</v>
      </c>
      <c r="AC1159" t="e">
        <f>IF(#REF! = 0, "No Usage", IF(#REF! &lt;= 20, "Low Usage", IF(#REF! &lt;= 40, "Medium Usgae", "High Usage")))</f>
        <v>#REF!</v>
      </c>
      <c r="AD1159" t="e">
        <f>IF(#REF!&lt;=150,"Low Usage", IF(#REF!&lt;=200,"Medium Usage", IF(#REF!&lt;=250,"High Usage","Very High Usage")))</f>
        <v>#REF!</v>
      </c>
      <c r="AE1159" t="e">
        <f>IF(#REF!&lt;=5,"Low Calls", IF(#REF!&lt;=10, "Medium Calls", "High Calls"))</f>
        <v>#REF!</v>
      </c>
      <c r="AF1159" t="e">
        <f xml:space="preserve">
IF(#REF!&gt;=4,4,0)+
IF(#REF!="yes",3,0)+
IF(#REF!="High Charges",3,0)+
IF(#REF!&gt;250,4,0)+
IF(#REF!="no",1,0)+
IF(#REF!="Heavy Domestic User",2,0)</f>
        <v>#REF!</v>
      </c>
      <c r="AG1159" t="e">
        <f>IF(#REF!&gt;=10,"High Risk", IF(#REF!&gt;=5,"Medium Risk","Low Risk"))</f>
        <v>#REF!</v>
      </c>
      <c r="AH1159" t="e">
        <f>#REF! + #REF! + #REF! + #REF!</f>
        <v>#REF!</v>
      </c>
    </row>
    <row r="1160" spans="1:34" x14ac:dyDescent="0.35">
      <c r="A1160">
        <v>1159</v>
      </c>
      <c r="B1160" t="s">
        <v>36</v>
      </c>
      <c r="C1160">
        <v>89</v>
      </c>
      <c r="D1160" t="s">
        <v>21</v>
      </c>
      <c r="E1160" t="s">
        <v>22</v>
      </c>
      <c r="F1160" t="s">
        <v>22</v>
      </c>
      <c r="G1160">
        <v>0</v>
      </c>
      <c r="H1160">
        <v>89.5</v>
      </c>
      <c r="I1160">
        <v>66</v>
      </c>
      <c r="J1160">
        <v>15.22</v>
      </c>
      <c r="K1160">
        <v>179.3</v>
      </c>
      <c r="L1160">
        <v>104</v>
      </c>
      <c r="M1160">
        <v>15.24</v>
      </c>
      <c r="N1160">
        <v>225.1</v>
      </c>
      <c r="O1160">
        <v>116</v>
      </c>
      <c r="P1160">
        <v>10.130000000000001</v>
      </c>
      <c r="Q1160">
        <v>12.3</v>
      </c>
      <c r="R1160">
        <v>1</v>
      </c>
      <c r="S1160">
        <v>3.32</v>
      </c>
      <c r="T1160">
        <v>3</v>
      </c>
      <c r="U1160" t="s">
        <v>22</v>
      </c>
      <c r="V1160" t="e">
        <f>IF(#REF! = "yes", 1, 0)</f>
        <v>#REF!</v>
      </c>
      <c r="W1160" t="e">
        <f>IF(#REF! &lt;= 1, "0-1 Calls", IF(#REF! &lt;= 3, "2-3 Calls", IF(#REF! &lt;=5, "4-5 Calls", "6+ Calls")))</f>
        <v>#REF!</v>
      </c>
      <c r="X1160" t="e">
        <f>IF(#REF! &lt;= 50, "0-50", IF(#REF! &lt;=100, "51-100", IF(#REF! &lt;= 150, "101-150", "151+")))</f>
        <v>#REF!</v>
      </c>
      <c r="Y1160" t="e">
        <f>IF(#REF! &lt;= 3, "Low Charges", "High Charges")</f>
        <v>#REF!</v>
      </c>
      <c r="Z1160" t="e">
        <f>IF(#REF!&lt;=80,"Low Calls",
IF(#REF!&lt;=120,"Medium Calls","High Calls"))</f>
        <v>#REF!</v>
      </c>
      <c r="AA1160" t="e">
        <f>IF(#REF!&lt;=15,"Low Charges",
IF(#REF!&lt;=20,"Medium Charges","High Charges"))</f>
        <v>#REF!</v>
      </c>
      <c r="AB1160" t="e">
        <f>IF(AND(#REF!&gt;180, #REF!&gt;200), "Heavy Doemstic User", IF(#REF!&gt;10, "Interntional User", IF(AND(#REF!&lt;180, #REF!&lt;200,#REF!&lt;200), "Light User", "Balanced User")))</f>
        <v>#REF!</v>
      </c>
      <c r="AC1160" t="e">
        <f>IF(#REF! = 0, "No Usage", IF(#REF! &lt;= 20, "Low Usage", IF(#REF! &lt;= 40, "Medium Usgae", "High Usage")))</f>
        <v>#REF!</v>
      </c>
      <c r="AD1160" t="e">
        <f>IF(#REF!&lt;=150,"Low Usage", IF(#REF!&lt;=200,"Medium Usage", IF(#REF!&lt;=250,"High Usage","Very High Usage")))</f>
        <v>#REF!</v>
      </c>
      <c r="AE1160" t="e">
        <f>IF(#REF!&lt;=5,"Low Calls", IF(#REF!&lt;=10, "Medium Calls", "High Calls"))</f>
        <v>#REF!</v>
      </c>
      <c r="AF1160" t="e">
        <f xml:space="preserve">
IF(#REF!&gt;=4,4,0)+
IF(#REF!="yes",3,0)+
IF(#REF!="High Charges",3,0)+
IF(#REF!&gt;250,4,0)+
IF(#REF!="no",1,0)+
IF(#REF!="Heavy Domestic User",2,0)</f>
        <v>#REF!</v>
      </c>
      <c r="AG1160" t="e">
        <f>IF(#REF!&gt;=10,"High Risk", IF(#REF!&gt;=5,"Medium Risk","Low Risk"))</f>
        <v>#REF!</v>
      </c>
      <c r="AH1160" t="e">
        <f>#REF! + #REF! + #REF! + #REF!</f>
        <v>#REF!</v>
      </c>
    </row>
    <row r="1161" spans="1:34" x14ac:dyDescent="0.35">
      <c r="A1161">
        <v>1160</v>
      </c>
      <c r="B1161" t="s">
        <v>38</v>
      </c>
      <c r="C1161">
        <v>94</v>
      </c>
      <c r="D1161" t="s">
        <v>21</v>
      </c>
      <c r="E1161" t="s">
        <v>23</v>
      </c>
      <c r="F1161" t="s">
        <v>22</v>
      </c>
      <c r="G1161">
        <v>0</v>
      </c>
      <c r="H1161">
        <v>235.6</v>
      </c>
      <c r="I1161">
        <v>131</v>
      </c>
      <c r="J1161">
        <v>40.049999999999997</v>
      </c>
      <c r="K1161">
        <v>194.8</v>
      </c>
      <c r="L1161">
        <v>107</v>
      </c>
      <c r="M1161">
        <v>16.559999999999999</v>
      </c>
      <c r="N1161">
        <v>170.6</v>
      </c>
      <c r="O1161">
        <v>93</v>
      </c>
      <c r="P1161">
        <v>7.68</v>
      </c>
      <c r="Q1161">
        <v>8.6</v>
      </c>
      <c r="R1161">
        <v>4</v>
      </c>
      <c r="S1161">
        <v>2.3199999999999998</v>
      </c>
      <c r="T1161">
        <v>1</v>
      </c>
      <c r="U1161" t="s">
        <v>22</v>
      </c>
      <c r="V1161" t="e">
        <f>IF(#REF! = "yes", 1, 0)</f>
        <v>#REF!</v>
      </c>
      <c r="W1161" t="e">
        <f>IF(#REF! &lt;= 1, "0-1 Calls", IF(#REF! &lt;= 3, "2-3 Calls", IF(#REF! &lt;=5, "4-5 Calls", "6+ Calls")))</f>
        <v>#REF!</v>
      </c>
      <c r="X1161" t="e">
        <f>IF(#REF! &lt;= 50, "0-50", IF(#REF! &lt;=100, "51-100", IF(#REF! &lt;= 150, "101-150", "151+")))</f>
        <v>#REF!</v>
      </c>
      <c r="Y1161" t="e">
        <f>IF(#REF! &lt;= 3, "Low Charges", "High Charges")</f>
        <v>#REF!</v>
      </c>
      <c r="Z1161" t="e">
        <f>IF(#REF!&lt;=80,"Low Calls",
IF(#REF!&lt;=120,"Medium Calls","High Calls"))</f>
        <v>#REF!</v>
      </c>
      <c r="AA1161" t="e">
        <f>IF(#REF!&lt;=15,"Low Charges",
IF(#REF!&lt;=20,"Medium Charges","High Charges"))</f>
        <v>#REF!</v>
      </c>
      <c r="AB1161" t="e">
        <f>IF(AND(#REF!&gt;180, #REF!&gt;200), "Heavy Doemstic User", IF(#REF!&gt;10, "Interntional User", IF(AND(#REF!&lt;180, #REF!&lt;200,#REF!&lt;200), "Light User", "Balanced User")))</f>
        <v>#REF!</v>
      </c>
      <c r="AC1161" t="e">
        <f>IF(#REF! = 0, "No Usage", IF(#REF! &lt;= 20, "Low Usage", IF(#REF! &lt;= 40, "Medium Usgae", "High Usage")))</f>
        <v>#REF!</v>
      </c>
      <c r="AD1161" t="e">
        <f>IF(#REF!&lt;=150,"Low Usage", IF(#REF!&lt;=200,"Medium Usage", IF(#REF!&lt;=250,"High Usage","Very High Usage")))</f>
        <v>#REF!</v>
      </c>
      <c r="AE1161" t="e">
        <f>IF(#REF!&lt;=5,"Low Calls", IF(#REF!&lt;=10, "Medium Calls", "High Calls"))</f>
        <v>#REF!</v>
      </c>
      <c r="AF1161" t="e">
        <f xml:space="preserve">
IF(#REF!&gt;=4,4,0)+
IF(#REF!="yes",3,0)+
IF(#REF!="High Charges",3,0)+
IF(#REF!&gt;250,4,0)+
IF(#REF!="no",1,0)+
IF(#REF!="Heavy Domestic User",2,0)</f>
        <v>#REF!</v>
      </c>
      <c r="AG1161" t="e">
        <f>IF(#REF!&gt;=10,"High Risk", IF(#REF!&gt;=5,"Medium Risk","Low Risk"))</f>
        <v>#REF!</v>
      </c>
      <c r="AH1161" t="e">
        <f>#REF! + #REF! + #REF! + #REF!</f>
        <v>#REF!</v>
      </c>
    </row>
    <row r="1162" spans="1:34" x14ac:dyDescent="0.35">
      <c r="A1162">
        <v>1161</v>
      </c>
      <c r="B1162" t="s">
        <v>64</v>
      </c>
      <c r="C1162">
        <v>129</v>
      </c>
      <c r="D1162" t="s">
        <v>25</v>
      </c>
      <c r="E1162" t="s">
        <v>22</v>
      </c>
      <c r="F1162" t="s">
        <v>22</v>
      </c>
      <c r="G1162">
        <v>0</v>
      </c>
      <c r="H1162">
        <v>186</v>
      </c>
      <c r="I1162">
        <v>127</v>
      </c>
      <c r="J1162">
        <v>31.62</v>
      </c>
      <c r="K1162">
        <v>262.3</v>
      </c>
      <c r="L1162">
        <v>96</v>
      </c>
      <c r="M1162">
        <v>22.3</v>
      </c>
      <c r="N1162">
        <v>98.9</v>
      </c>
      <c r="O1162">
        <v>63</v>
      </c>
      <c r="P1162">
        <v>4.45</v>
      </c>
      <c r="Q1162">
        <v>11.5</v>
      </c>
      <c r="R1162">
        <v>6</v>
      </c>
      <c r="S1162">
        <v>3.11</v>
      </c>
      <c r="T1162">
        <v>4</v>
      </c>
      <c r="U1162" t="s">
        <v>22</v>
      </c>
      <c r="V1162" t="e">
        <f>IF(#REF! = "yes", 1, 0)</f>
        <v>#REF!</v>
      </c>
      <c r="W1162" t="e">
        <f>IF(#REF! &lt;= 1, "0-1 Calls", IF(#REF! &lt;= 3, "2-3 Calls", IF(#REF! &lt;=5, "4-5 Calls", "6+ Calls")))</f>
        <v>#REF!</v>
      </c>
      <c r="X1162" t="e">
        <f>IF(#REF! &lt;= 50, "0-50", IF(#REF! &lt;=100, "51-100", IF(#REF! &lt;= 150, "101-150", "151+")))</f>
        <v>#REF!</v>
      </c>
      <c r="Y1162" t="e">
        <f>IF(#REF! &lt;= 3, "Low Charges", "High Charges")</f>
        <v>#REF!</v>
      </c>
      <c r="Z1162" t="e">
        <f>IF(#REF!&lt;=80,"Low Calls",
IF(#REF!&lt;=120,"Medium Calls","High Calls"))</f>
        <v>#REF!</v>
      </c>
      <c r="AA1162" t="e">
        <f>IF(#REF!&lt;=15,"Low Charges",
IF(#REF!&lt;=20,"Medium Charges","High Charges"))</f>
        <v>#REF!</v>
      </c>
      <c r="AB1162" t="e">
        <f>IF(AND(#REF!&gt;180, #REF!&gt;200), "Heavy Doemstic User", IF(#REF!&gt;10, "Interntional User", IF(AND(#REF!&lt;180, #REF!&lt;200,#REF!&lt;200), "Light User", "Balanced User")))</f>
        <v>#REF!</v>
      </c>
      <c r="AC1162" t="e">
        <f>IF(#REF! = 0, "No Usage", IF(#REF! &lt;= 20, "Low Usage", IF(#REF! &lt;= 40, "Medium Usgae", "High Usage")))</f>
        <v>#REF!</v>
      </c>
      <c r="AD1162" t="e">
        <f>IF(#REF!&lt;=150,"Low Usage", IF(#REF!&lt;=200,"Medium Usage", IF(#REF!&lt;=250,"High Usage","Very High Usage")))</f>
        <v>#REF!</v>
      </c>
      <c r="AE1162" t="e">
        <f>IF(#REF!&lt;=5,"Low Calls", IF(#REF!&lt;=10, "Medium Calls", "High Calls"))</f>
        <v>#REF!</v>
      </c>
      <c r="AF1162" t="e">
        <f xml:space="preserve">
IF(#REF!&gt;=4,4,0)+
IF(#REF!="yes",3,0)+
IF(#REF!="High Charges",3,0)+
IF(#REF!&gt;250,4,0)+
IF(#REF!="no",1,0)+
IF(#REF!="Heavy Domestic User",2,0)</f>
        <v>#REF!</v>
      </c>
      <c r="AG1162" t="e">
        <f>IF(#REF!&gt;=10,"High Risk", IF(#REF!&gt;=5,"Medium Risk","Low Risk"))</f>
        <v>#REF!</v>
      </c>
      <c r="AH1162" t="e">
        <f>#REF! + #REF! + #REF! + #REF!</f>
        <v>#REF!</v>
      </c>
    </row>
    <row r="1163" spans="1:34" x14ac:dyDescent="0.35">
      <c r="A1163">
        <v>1162</v>
      </c>
      <c r="B1163" t="s">
        <v>57</v>
      </c>
      <c r="C1163">
        <v>86</v>
      </c>
      <c r="D1163" t="s">
        <v>21</v>
      </c>
      <c r="E1163" t="s">
        <v>22</v>
      </c>
      <c r="F1163" t="s">
        <v>22</v>
      </c>
      <c r="G1163">
        <v>0</v>
      </c>
      <c r="H1163">
        <v>223.9</v>
      </c>
      <c r="I1163">
        <v>75</v>
      </c>
      <c r="J1163">
        <v>38.06</v>
      </c>
      <c r="K1163">
        <v>155.69999999999999</v>
      </c>
      <c r="L1163">
        <v>109</v>
      </c>
      <c r="M1163">
        <v>13.23</v>
      </c>
      <c r="N1163">
        <v>150.19999999999999</v>
      </c>
      <c r="O1163">
        <v>143</v>
      </c>
      <c r="P1163">
        <v>6.76</v>
      </c>
      <c r="Q1163">
        <v>7.3</v>
      </c>
      <c r="R1163">
        <v>9</v>
      </c>
      <c r="S1163">
        <v>1.97</v>
      </c>
      <c r="T1163">
        <v>1</v>
      </c>
      <c r="U1163" t="s">
        <v>22</v>
      </c>
      <c r="V1163" t="e">
        <f>IF(#REF! = "yes", 1, 0)</f>
        <v>#REF!</v>
      </c>
      <c r="W1163" t="e">
        <f>IF(#REF! &lt;= 1, "0-1 Calls", IF(#REF! &lt;= 3, "2-3 Calls", IF(#REF! &lt;=5, "4-5 Calls", "6+ Calls")))</f>
        <v>#REF!</v>
      </c>
      <c r="X1163" t="e">
        <f>IF(#REF! &lt;= 50, "0-50", IF(#REF! &lt;=100, "51-100", IF(#REF! &lt;= 150, "101-150", "151+")))</f>
        <v>#REF!</v>
      </c>
      <c r="Y1163" t="e">
        <f>IF(#REF! &lt;= 3, "Low Charges", "High Charges")</f>
        <v>#REF!</v>
      </c>
      <c r="Z1163" t="e">
        <f>IF(#REF!&lt;=80,"Low Calls",
IF(#REF!&lt;=120,"Medium Calls","High Calls"))</f>
        <v>#REF!</v>
      </c>
      <c r="AA1163" t="e">
        <f>IF(#REF!&lt;=15,"Low Charges",
IF(#REF!&lt;=20,"Medium Charges","High Charges"))</f>
        <v>#REF!</v>
      </c>
      <c r="AB1163" t="e">
        <f>IF(AND(#REF!&gt;180, #REF!&gt;200), "Heavy Doemstic User", IF(#REF!&gt;10, "Interntional User", IF(AND(#REF!&lt;180, #REF!&lt;200,#REF!&lt;200), "Light User", "Balanced User")))</f>
        <v>#REF!</v>
      </c>
      <c r="AC1163" t="e">
        <f>IF(#REF! = 0, "No Usage", IF(#REF! &lt;= 20, "Low Usage", IF(#REF! &lt;= 40, "Medium Usgae", "High Usage")))</f>
        <v>#REF!</v>
      </c>
      <c r="AD1163" t="e">
        <f>IF(#REF!&lt;=150,"Low Usage", IF(#REF!&lt;=200,"Medium Usage", IF(#REF!&lt;=250,"High Usage","Very High Usage")))</f>
        <v>#REF!</v>
      </c>
      <c r="AE1163" t="e">
        <f>IF(#REF!&lt;=5,"Low Calls", IF(#REF!&lt;=10, "Medium Calls", "High Calls"))</f>
        <v>#REF!</v>
      </c>
      <c r="AF1163" t="e">
        <f xml:space="preserve">
IF(#REF!&gt;=4,4,0)+
IF(#REF!="yes",3,0)+
IF(#REF!="High Charges",3,0)+
IF(#REF!&gt;250,4,0)+
IF(#REF!="no",1,0)+
IF(#REF!="Heavy Domestic User",2,0)</f>
        <v>#REF!</v>
      </c>
      <c r="AG1163" t="e">
        <f>IF(#REF!&gt;=10,"High Risk", IF(#REF!&gt;=5,"Medium Risk","Low Risk"))</f>
        <v>#REF!</v>
      </c>
      <c r="AH1163" t="e">
        <f>#REF! + #REF! + #REF! + #REF!</f>
        <v>#REF!</v>
      </c>
    </row>
    <row r="1164" spans="1:34" x14ac:dyDescent="0.35">
      <c r="A1164">
        <v>1163</v>
      </c>
      <c r="B1164" t="s">
        <v>73</v>
      </c>
      <c r="C1164">
        <v>96</v>
      </c>
      <c r="D1164" t="s">
        <v>28</v>
      </c>
      <c r="E1164" t="s">
        <v>22</v>
      </c>
      <c r="F1164" t="s">
        <v>22</v>
      </c>
      <c r="G1164">
        <v>0</v>
      </c>
      <c r="H1164">
        <v>179.5</v>
      </c>
      <c r="I1164">
        <v>125</v>
      </c>
      <c r="J1164">
        <v>30.52</v>
      </c>
      <c r="K1164">
        <v>162.30000000000001</v>
      </c>
      <c r="L1164">
        <v>139</v>
      </c>
      <c r="M1164">
        <v>13.8</v>
      </c>
      <c r="N1164">
        <v>264.5</v>
      </c>
      <c r="O1164">
        <v>133</v>
      </c>
      <c r="P1164">
        <v>11.9</v>
      </c>
      <c r="Q1164">
        <v>6.6</v>
      </c>
      <c r="R1164">
        <v>2</v>
      </c>
      <c r="S1164">
        <v>1.78</v>
      </c>
      <c r="T1164">
        <v>1</v>
      </c>
      <c r="U1164" t="s">
        <v>22</v>
      </c>
      <c r="V1164" t="e">
        <f>IF(#REF! = "yes", 1, 0)</f>
        <v>#REF!</v>
      </c>
      <c r="W1164" t="e">
        <f>IF(#REF! &lt;= 1, "0-1 Calls", IF(#REF! &lt;= 3, "2-3 Calls", IF(#REF! &lt;=5, "4-5 Calls", "6+ Calls")))</f>
        <v>#REF!</v>
      </c>
      <c r="X1164" t="e">
        <f>IF(#REF! &lt;= 50, "0-50", IF(#REF! &lt;=100, "51-100", IF(#REF! &lt;= 150, "101-150", "151+")))</f>
        <v>#REF!</v>
      </c>
      <c r="Y1164" t="e">
        <f>IF(#REF! &lt;= 3, "Low Charges", "High Charges")</f>
        <v>#REF!</v>
      </c>
      <c r="Z1164" t="e">
        <f>IF(#REF!&lt;=80,"Low Calls",
IF(#REF!&lt;=120,"Medium Calls","High Calls"))</f>
        <v>#REF!</v>
      </c>
      <c r="AA1164" t="e">
        <f>IF(#REF!&lt;=15,"Low Charges",
IF(#REF!&lt;=20,"Medium Charges","High Charges"))</f>
        <v>#REF!</v>
      </c>
      <c r="AB1164" t="e">
        <f>IF(AND(#REF!&gt;180, #REF!&gt;200), "Heavy Doemstic User", IF(#REF!&gt;10, "Interntional User", IF(AND(#REF!&lt;180, #REF!&lt;200,#REF!&lt;200), "Light User", "Balanced User")))</f>
        <v>#REF!</v>
      </c>
      <c r="AC1164" t="e">
        <f>IF(#REF! = 0, "No Usage", IF(#REF! &lt;= 20, "Low Usage", IF(#REF! &lt;= 40, "Medium Usgae", "High Usage")))</f>
        <v>#REF!</v>
      </c>
      <c r="AD1164" t="e">
        <f>IF(#REF!&lt;=150,"Low Usage", IF(#REF!&lt;=200,"Medium Usage", IF(#REF!&lt;=250,"High Usage","Very High Usage")))</f>
        <v>#REF!</v>
      </c>
      <c r="AE1164" t="e">
        <f>IF(#REF!&lt;=5,"Low Calls", IF(#REF!&lt;=10, "Medium Calls", "High Calls"))</f>
        <v>#REF!</v>
      </c>
      <c r="AF1164" t="e">
        <f xml:space="preserve">
IF(#REF!&gt;=4,4,0)+
IF(#REF!="yes",3,0)+
IF(#REF!="High Charges",3,0)+
IF(#REF!&gt;250,4,0)+
IF(#REF!="no",1,0)+
IF(#REF!="Heavy Domestic User",2,0)</f>
        <v>#REF!</v>
      </c>
      <c r="AG1164" t="e">
        <f>IF(#REF!&gt;=10,"High Risk", IF(#REF!&gt;=5,"Medium Risk","Low Risk"))</f>
        <v>#REF!</v>
      </c>
      <c r="AH1164" t="e">
        <f>#REF! + #REF! + #REF! + #REF!</f>
        <v>#REF!</v>
      </c>
    </row>
    <row r="1165" spans="1:34" x14ac:dyDescent="0.35">
      <c r="A1165">
        <v>1164</v>
      </c>
      <c r="B1165" t="s">
        <v>75</v>
      </c>
      <c r="C1165">
        <v>190</v>
      </c>
      <c r="D1165" t="s">
        <v>21</v>
      </c>
      <c r="E1165" t="s">
        <v>22</v>
      </c>
      <c r="F1165" t="s">
        <v>22</v>
      </c>
      <c r="G1165">
        <v>0</v>
      </c>
      <c r="H1165">
        <v>169.4</v>
      </c>
      <c r="I1165">
        <v>102</v>
      </c>
      <c r="J1165">
        <v>28.8</v>
      </c>
      <c r="K1165">
        <v>253.5</v>
      </c>
      <c r="L1165">
        <v>113</v>
      </c>
      <c r="M1165">
        <v>21.55</v>
      </c>
      <c r="N1165">
        <v>197.1</v>
      </c>
      <c r="O1165">
        <v>93</v>
      </c>
      <c r="P1165">
        <v>8.8699999999999992</v>
      </c>
      <c r="Q1165">
        <v>8.9</v>
      </c>
      <c r="R1165">
        <v>5</v>
      </c>
      <c r="S1165">
        <v>2.4</v>
      </c>
      <c r="T1165">
        <v>1</v>
      </c>
      <c r="U1165" t="s">
        <v>22</v>
      </c>
      <c r="V1165" t="e">
        <f>IF(#REF! = "yes", 1, 0)</f>
        <v>#REF!</v>
      </c>
      <c r="W1165" t="e">
        <f>IF(#REF! &lt;= 1, "0-1 Calls", IF(#REF! &lt;= 3, "2-3 Calls", IF(#REF! &lt;=5, "4-5 Calls", "6+ Calls")))</f>
        <v>#REF!</v>
      </c>
      <c r="X1165" t="e">
        <f>IF(#REF! &lt;= 50, "0-50", IF(#REF! &lt;=100, "51-100", IF(#REF! &lt;= 150, "101-150", "151+")))</f>
        <v>#REF!</v>
      </c>
      <c r="Y1165" t="e">
        <f>IF(#REF! &lt;= 3, "Low Charges", "High Charges")</f>
        <v>#REF!</v>
      </c>
      <c r="Z1165" t="e">
        <f>IF(#REF!&lt;=80,"Low Calls",
IF(#REF!&lt;=120,"Medium Calls","High Calls"))</f>
        <v>#REF!</v>
      </c>
      <c r="AA1165" t="e">
        <f>IF(#REF!&lt;=15,"Low Charges",
IF(#REF!&lt;=20,"Medium Charges","High Charges"))</f>
        <v>#REF!</v>
      </c>
      <c r="AB1165" t="e">
        <f>IF(AND(#REF!&gt;180, #REF!&gt;200), "Heavy Doemstic User", IF(#REF!&gt;10, "Interntional User", IF(AND(#REF!&lt;180, #REF!&lt;200,#REF!&lt;200), "Light User", "Balanced User")))</f>
        <v>#REF!</v>
      </c>
      <c r="AC1165" t="e">
        <f>IF(#REF! = 0, "No Usage", IF(#REF! &lt;= 20, "Low Usage", IF(#REF! &lt;= 40, "Medium Usgae", "High Usage")))</f>
        <v>#REF!</v>
      </c>
      <c r="AD1165" t="e">
        <f>IF(#REF!&lt;=150,"Low Usage", IF(#REF!&lt;=200,"Medium Usage", IF(#REF!&lt;=250,"High Usage","Very High Usage")))</f>
        <v>#REF!</v>
      </c>
      <c r="AE1165" t="e">
        <f>IF(#REF!&lt;=5,"Low Calls", IF(#REF!&lt;=10, "Medium Calls", "High Calls"))</f>
        <v>#REF!</v>
      </c>
      <c r="AF1165" t="e">
        <f xml:space="preserve">
IF(#REF!&gt;=4,4,0)+
IF(#REF!="yes",3,0)+
IF(#REF!="High Charges",3,0)+
IF(#REF!&gt;250,4,0)+
IF(#REF!="no",1,0)+
IF(#REF!="Heavy Domestic User",2,0)</f>
        <v>#REF!</v>
      </c>
      <c r="AG1165" t="e">
        <f>IF(#REF!&gt;=10,"High Risk", IF(#REF!&gt;=5,"Medium Risk","Low Risk"))</f>
        <v>#REF!</v>
      </c>
      <c r="AH1165" t="e">
        <f>#REF! + #REF! + #REF! + #REF!</f>
        <v>#REF!</v>
      </c>
    </row>
    <row r="1166" spans="1:34" x14ac:dyDescent="0.35">
      <c r="A1166">
        <v>1165</v>
      </c>
      <c r="B1166" t="s">
        <v>74</v>
      </c>
      <c r="C1166">
        <v>80</v>
      </c>
      <c r="D1166" t="s">
        <v>25</v>
      </c>
      <c r="E1166" t="s">
        <v>22</v>
      </c>
      <c r="F1166" t="s">
        <v>22</v>
      </c>
      <c r="G1166">
        <v>0</v>
      </c>
      <c r="H1166">
        <v>118.1</v>
      </c>
      <c r="I1166">
        <v>90</v>
      </c>
      <c r="J1166">
        <v>20.079999999999998</v>
      </c>
      <c r="K1166">
        <v>144.30000000000001</v>
      </c>
      <c r="L1166">
        <v>77</v>
      </c>
      <c r="M1166">
        <v>12.27</v>
      </c>
      <c r="N1166">
        <v>225.1</v>
      </c>
      <c r="O1166">
        <v>86</v>
      </c>
      <c r="P1166">
        <v>10.130000000000001</v>
      </c>
      <c r="Q1166">
        <v>8.1999999999999993</v>
      </c>
      <c r="R1166">
        <v>6</v>
      </c>
      <c r="S1166">
        <v>2.21</v>
      </c>
      <c r="T1166">
        <v>1</v>
      </c>
      <c r="U1166" t="s">
        <v>22</v>
      </c>
      <c r="V1166" t="e">
        <f>IF(#REF! = "yes", 1, 0)</f>
        <v>#REF!</v>
      </c>
      <c r="W1166" t="e">
        <f>IF(#REF! &lt;= 1, "0-1 Calls", IF(#REF! &lt;= 3, "2-3 Calls", IF(#REF! &lt;=5, "4-5 Calls", "6+ Calls")))</f>
        <v>#REF!</v>
      </c>
      <c r="X1166" t="e">
        <f>IF(#REF! &lt;= 50, "0-50", IF(#REF! &lt;=100, "51-100", IF(#REF! &lt;= 150, "101-150", "151+")))</f>
        <v>#REF!</v>
      </c>
      <c r="Y1166" t="e">
        <f>IF(#REF! &lt;= 3, "Low Charges", "High Charges")</f>
        <v>#REF!</v>
      </c>
      <c r="Z1166" t="e">
        <f>IF(#REF!&lt;=80,"Low Calls",
IF(#REF!&lt;=120,"Medium Calls","High Calls"))</f>
        <v>#REF!</v>
      </c>
      <c r="AA1166" t="e">
        <f>IF(#REF!&lt;=15,"Low Charges",
IF(#REF!&lt;=20,"Medium Charges","High Charges"))</f>
        <v>#REF!</v>
      </c>
      <c r="AB1166" t="e">
        <f>IF(AND(#REF!&gt;180, #REF!&gt;200), "Heavy Doemstic User", IF(#REF!&gt;10, "Interntional User", IF(AND(#REF!&lt;180, #REF!&lt;200,#REF!&lt;200), "Light User", "Balanced User")))</f>
        <v>#REF!</v>
      </c>
      <c r="AC1166" t="e">
        <f>IF(#REF! = 0, "No Usage", IF(#REF! &lt;= 20, "Low Usage", IF(#REF! &lt;= 40, "Medium Usgae", "High Usage")))</f>
        <v>#REF!</v>
      </c>
      <c r="AD1166" t="e">
        <f>IF(#REF!&lt;=150,"Low Usage", IF(#REF!&lt;=200,"Medium Usage", IF(#REF!&lt;=250,"High Usage","Very High Usage")))</f>
        <v>#REF!</v>
      </c>
      <c r="AE1166" t="e">
        <f>IF(#REF!&lt;=5,"Low Calls", IF(#REF!&lt;=10, "Medium Calls", "High Calls"))</f>
        <v>#REF!</v>
      </c>
      <c r="AF1166" t="e">
        <f xml:space="preserve">
IF(#REF!&gt;=4,4,0)+
IF(#REF!="yes",3,0)+
IF(#REF!="High Charges",3,0)+
IF(#REF!&gt;250,4,0)+
IF(#REF!="no",1,0)+
IF(#REF!="Heavy Domestic User",2,0)</f>
        <v>#REF!</v>
      </c>
      <c r="AG1166" t="e">
        <f>IF(#REF!&gt;=10,"High Risk", IF(#REF!&gt;=5,"Medium Risk","Low Risk"))</f>
        <v>#REF!</v>
      </c>
      <c r="AH1166" t="e">
        <f>#REF! + #REF! + #REF! + #REF!</f>
        <v>#REF!</v>
      </c>
    </row>
    <row r="1167" spans="1:34" x14ac:dyDescent="0.35">
      <c r="A1167">
        <v>1166</v>
      </c>
      <c r="B1167" t="s">
        <v>43</v>
      </c>
      <c r="C1167">
        <v>108</v>
      </c>
      <c r="D1167" t="s">
        <v>21</v>
      </c>
      <c r="E1167" t="s">
        <v>22</v>
      </c>
      <c r="F1167" t="s">
        <v>22</v>
      </c>
      <c r="G1167">
        <v>0</v>
      </c>
      <c r="H1167">
        <v>112</v>
      </c>
      <c r="I1167">
        <v>105</v>
      </c>
      <c r="J1167">
        <v>19.04</v>
      </c>
      <c r="K1167">
        <v>193.7</v>
      </c>
      <c r="L1167">
        <v>110</v>
      </c>
      <c r="M1167">
        <v>16.46</v>
      </c>
      <c r="N1167">
        <v>208.9</v>
      </c>
      <c r="O1167">
        <v>93</v>
      </c>
      <c r="P1167">
        <v>9.4</v>
      </c>
      <c r="Q1167">
        <v>4.0999999999999996</v>
      </c>
      <c r="R1167">
        <v>4</v>
      </c>
      <c r="S1167">
        <v>1.1100000000000001</v>
      </c>
      <c r="T1167">
        <v>4</v>
      </c>
      <c r="U1167" t="s">
        <v>23</v>
      </c>
      <c r="V1167" t="e">
        <f>IF(#REF! = "yes", 1, 0)</f>
        <v>#REF!</v>
      </c>
      <c r="W1167" t="e">
        <f>IF(#REF! &lt;= 1, "0-1 Calls", IF(#REF! &lt;= 3, "2-3 Calls", IF(#REF! &lt;=5, "4-5 Calls", "6+ Calls")))</f>
        <v>#REF!</v>
      </c>
      <c r="X1167" t="e">
        <f>IF(#REF! &lt;= 50, "0-50", IF(#REF! &lt;=100, "51-100", IF(#REF! &lt;= 150, "101-150", "151+")))</f>
        <v>#REF!</v>
      </c>
      <c r="Y1167" t="e">
        <f>IF(#REF! &lt;= 3, "Low Charges", "High Charges")</f>
        <v>#REF!</v>
      </c>
      <c r="Z1167" t="e">
        <f>IF(#REF!&lt;=80,"Low Calls",
IF(#REF!&lt;=120,"Medium Calls","High Calls"))</f>
        <v>#REF!</v>
      </c>
      <c r="AA1167" t="e">
        <f>IF(#REF!&lt;=15,"Low Charges",
IF(#REF!&lt;=20,"Medium Charges","High Charges"))</f>
        <v>#REF!</v>
      </c>
      <c r="AB1167" t="e">
        <f>IF(AND(#REF!&gt;180, #REF!&gt;200), "Heavy Doemstic User", IF(#REF!&gt;10, "Interntional User", IF(AND(#REF!&lt;180, #REF!&lt;200,#REF!&lt;200), "Light User", "Balanced User")))</f>
        <v>#REF!</v>
      </c>
      <c r="AC1167" t="e">
        <f>IF(#REF! = 0, "No Usage", IF(#REF! &lt;= 20, "Low Usage", IF(#REF! &lt;= 40, "Medium Usgae", "High Usage")))</f>
        <v>#REF!</v>
      </c>
      <c r="AD1167" t="e">
        <f>IF(#REF!&lt;=150,"Low Usage", IF(#REF!&lt;=200,"Medium Usage", IF(#REF!&lt;=250,"High Usage","Very High Usage")))</f>
        <v>#REF!</v>
      </c>
      <c r="AE1167" t="e">
        <f>IF(#REF!&lt;=5,"Low Calls", IF(#REF!&lt;=10, "Medium Calls", "High Calls"))</f>
        <v>#REF!</v>
      </c>
      <c r="AF1167" t="e">
        <f xml:space="preserve">
IF(#REF!&gt;=4,4,0)+
IF(#REF!="yes",3,0)+
IF(#REF!="High Charges",3,0)+
IF(#REF!&gt;250,4,0)+
IF(#REF!="no",1,0)+
IF(#REF!="Heavy Domestic User",2,0)</f>
        <v>#REF!</v>
      </c>
      <c r="AG1167" t="e">
        <f>IF(#REF!&gt;=10,"High Risk", IF(#REF!&gt;=5,"Medium Risk","Low Risk"))</f>
        <v>#REF!</v>
      </c>
      <c r="AH1167" t="e">
        <f>#REF! + #REF! + #REF! + #REF!</f>
        <v>#REF!</v>
      </c>
    </row>
    <row r="1168" spans="1:34" x14ac:dyDescent="0.35">
      <c r="A1168">
        <v>1167</v>
      </c>
      <c r="B1168" t="s">
        <v>53</v>
      </c>
      <c r="C1168">
        <v>97</v>
      </c>
      <c r="D1168" t="s">
        <v>25</v>
      </c>
      <c r="E1168" t="s">
        <v>22</v>
      </c>
      <c r="F1168" t="s">
        <v>23</v>
      </c>
      <c r="G1168">
        <v>32</v>
      </c>
      <c r="H1168">
        <v>168.4</v>
      </c>
      <c r="I1168">
        <v>129</v>
      </c>
      <c r="J1168">
        <v>28.63</v>
      </c>
      <c r="K1168">
        <v>225.9</v>
      </c>
      <c r="L1168">
        <v>97</v>
      </c>
      <c r="M1168">
        <v>19.2</v>
      </c>
      <c r="N1168">
        <v>191.8</v>
      </c>
      <c r="O1168">
        <v>95</v>
      </c>
      <c r="P1168">
        <v>8.6300000000000008</v>
      </c>
      <c r="Q1168">
        <v>8.5</v>
      </c>
      <c r="R1168">
        <v>7</v>
      </c>
      <c r="S1168">
        <v>2.2999999999999998</v>
      </c>
      <c r="T1168">
        <v>0</v>
      </c>
      <c r="U1168" t="s">
        <v>22</v>
      </c>
      <c r="V1168" t="e">
        <f>IF(#REF! = "yes", 1, 0)</f>
        <v>#REF!</v>
      </c>
      <c r="W1168" t="e">
        <f>IF(#REF! &lt;= 1, "0-1 Calls", IF(#REF! &lt;= 3, "2-3 Calls", IF(#REF! &lt;=5, "4-5 Calls", "6+ Calls")))</f>
        <v>#REF!</v>
      </c>
      <c r="X1168" t="e">
        <f>IF(#REF! &lt;= 50, "0-50", IF(#REF! &lt;=100, "51-100", IF(#REF! &lt;= 150, "101-150", "151+")))</f>
        <v>#REF!</v>
      </c>
      <c r="Y1168" t="e">
        <f>IF(#REF! &lt;= 3, "Low Charges", "High Charges")</f>
        <v>#REF!</v>
      </c>
      <c r="Z1168" t="e">
        <f>IF(#REF!&lt;=80,"Low Calls",
IF(#REF!&lt;=120,"Medium Calls","High Calls"))</f>
        <v>#REF!</v>
      </c>
      <c r="AA1168" t="e">
        <f>IF(#REF!&lt;=15,"Low Charges",
IF(#REF!&lt;=20,"Medium Charges","High Charges"))</f>
        <v>#REF!</v>
      </c>
      <c r="AB1168" t="e">
        <f>IF(AND(#REF!&gt;180, #REF!&gt;200), "Heavy Doemstic User", IF(#REF!&gt;10, "Interntional User", IF(AND(#REF!&lt;180, #REF!&lt;200,#REF!&lt;200), "Light User", "Balanced User")))</f>
        <v>#REF!</v>
      </c>
      <c r="AC1168" t="e">
        <f>IF(#REF! = 0, "No Usage", IF(#REF! &lt;= 20, "Low Usage", IF(#REF! &lt;= 40, "Medium Usgae", "High Usage")))</f>
        <v>#REF!</v>
      </c>
      <c r="AD1168" t="e">
        <f>IF(#REF!&lt;=150,"Low Usage", IF(#REF!&lt;=200,"Medium Usage", IF(#REF!&lt;=250,"High Usage","Very High Usage")))</f>
        <v>#REF!</v>
      </c>
      <c r="AE1168" t="e">
        <f>IF(#REF!&lt;=5,"Low Calls", IF(#REF!&lt;=10, "Medium Calls", "High Calls"))</f>
        <v>#REF!</v>
      </c>
      <c r="AF1168" t="e">
        <f xml:space="preserve">
IF(#REF!&gt;=4,4,0)+
IF(#REF!="yes",3,0)+
IF(#REF!="High Charges",3,0)+
IF(#REF!&gt;250,4,0)+
IF(#REF!="no",1,0)+
IF(#REF!="Heavy Domestic User",2,0)</f>
        <v>#REF!</v>
      </c>
      <c r="AG1168" t="e">
        <f>IF(#REF!&gt;=10,"High Risk", IF(#REF!&gt;=5,"Medium Risk","Low Risk"))</f>
        <v>#REF!</v>
      </c>
      <c r="AH1168" t="e">
        <f>#REF! + #REF! + #REF! + #REF!</f>
        <v>#REF!</v>
      </c>
    </row>
    <row r="1169" spans="1:34" x14ac:dyDescent="0.35">
      <c r="A1169">
        <v>1168</v>
      </c>
      <c r="B1169" t="s">
        <v>64</v>
      </c>
      <c r="C1169">
        <v>84</v>
      </c>
      <c r="D1169" t="s">
        <v>21</v>
      </c>
      <c r="E1169" t="s">
        <v>22</v>
      </c>
      <c r="F1169" t="s">
        <v>23</v>
      </c>
      <c r="G1169">
        <v>42</v>
      </c>
      <c r="H1169">
        <v>214.3</v>
      </c>
      <c r="I1169">
        <v>112</v>
      </c>
      <c r="J1169">
        <v>36.43</v>
      </c>
      <c r="K1169">
        <v>188.2</v>
      </c>
      <c r="L1169">
        <v>107</v>
      </c>
      <c r="M1169">
        <v>16</v>
      </c>
      <c r="N1169">
        <v>333.5</v>
      </c>
      <c r="O1169">
        <v>117</v>
      </c>
      <c r="P1169">
        <v>15.01</v>
      </c>
      <c r="Q1169">
        <v>11.3</v>
      </c>
      <c r="R1169">
        <v>10</v>
      </c>
      <c r="S1169">
        <v>3.05</v>
      </c>
      <c r="T1169">
        <v>0</v>
      </c>
      <c r="U1169" t="s">
        <v>22</v>
      </c>
      <c r="V1169" t="e">
        <f>IF(#REF! = "yes", 1, 0)</f>
        <v>#REF!</v>
      </c>
      <c r="W1169" t="e">
        <f>IF(#REF! &lt;= 1, "0-1 Calls", IF(#REF! &lt;= 3, "2-3 Calls", IF(#REF! &lt;=5, "4-5 Calls", "6+ Calls")))</f>
        <v>#REF!</v>
      </c>
      <c r="X1169" t="e">
        <f>IF(#REF! &lt;= 50, "0-50", IF(#REF! &lt;=100, "51-100", IF(#REF! &lt;= 150, "101-150", "151+")))</f>
        <v>#REF!</v>
      </c>
      <c r="Y1169" t="e">
        <f>IF(#REF! &lt;= 3, "Low Charges", "High Charges")</f>
        <v>#REF!</v>
      </c>
      <c r="Z1169" t="e">
        <f>IF(#REF!&lt;=80,"Low Calls",
IF(#REF!&lt;=120,"Medium Calls","High Calls"))</f>
        <v>#REF!</v>
      </c>
      <c r="AA1169" t="e">
        <f>IF(#REF!&lt;=15,"Low Charges",
IF(#REF!&lt;=20,"Medium Charges","High Charges"))</f>
        <v>#REF!</v>
      </c>
      <c r="AB1169" t="e">
        <f>IF(AND(#REF!&gt;180, #REF!&gt;200), "Heavy Doemstic User", IF(#REF!&gt;10, "Interntional User", IF(AND(#REF!&lt;180, #REF!&lt;200,#REF!&lt;200), "Light User", "Balanced User")))</f>
        <v>#REF!</v>
      </c>
      <c r="AC1169" t="e">
        <f>IF(#REF! = 0, "No Usage", IF(#REF! &lt;= 20, "Low Usage", IF(#REF! &lt;= 40, "Medium Usgae", "High Usage")))</f>
        <v>#REF!</v>
      </c>
      <c r="AD1169" t="e">
        <f>IF(#REF!&lt;=150,"Low Usage", IF(#REF!&lt;=200,"Medium Usage", IF(#REF!&lt;=250,"High Usage","Very High Usage")))</f>
        <v>#REF!</v>
      </c>
      <c r="AE1169" t="e">
        <f>IF(#REF!&lt;=5,"Low Calls", IF(#REF!&lt;=10, "Medium Calls", "High Calls"))</f>
        <v>#REF!</v>
      </c>
      <c r="AF1169" t="e">
        <f xml:space="preserve">
IF(#REF!&gt;=4,4,0)+
IF(#REF!="yes",3,0)+
IF(#REF!="High Charges",3,0)+
IF(#REF!&gt;250,4,0)+
IF(#REF!="no",1,0)+
IF(#REF!="Heavy Domestic User",2,0)</f>
        <v>#REF!</v>
      </c>
      <c r="AG1169" t="e">
        <f>IF(#REF!&gt;=10,"High Risk", IF(#REF!&gt;=5,"Medium Risk","Low Risk"))</f>
        <v>#REF!</v>
      </c>
      <c r="AH1169" t="e">
        <f>#REF! + #REF! + #REF! + #REF!</f>
        <v>#REF!</v>
      </c>
    </row>
    <row r="1170" spans="1:34" x14ac:dyDescent="0.35">
      <c r="A1170">
        <v>1169</v>
      </c>
      <c r="B1170" t="s">
        <v>20</v>
      </c>
      <c r="C1170">
        <v>65</v>
      </c>
      <c r="D1170" t="s">
        <v>21</v>
      </c>
      <c r="E1170" t="s">
        <v>22</v>
      </c>
      <c r="F1170" t="s">
        <v>22</v>
      </c>
      <c r="G1170">
        <v>0</v>
      </c>
      <c r="H1170">
        <v>245.7</v>
      </c>
      <c r="I1170">
        <v>139</v>
      </c>
      <c r="J1170">
        <v>41.77</v>
      </c>
      <c r="K1170">
        <v>241.9</v>
      </c>
      <c r="L1170">
        <v>113</v>
      </c>
      <c r="M1170">
        <v>20.56</v>
      </c>
      <c r="N1170">
        <v>285.3</v>
      </c>
      <c r="O1170">
        <v>117</v>
      </c>
      <c r="P1170">
        <v>12.84</v>
      </c>
      <c r="Q1170">
        <v>4.2</v>
      </c>
      <c r="R1170">
        <v>5</v>
      </c>
      <c r="S1170">
        <v>1.1299999999999999</v>
      </c>
      <c r="T1170">
        <v>4</v>
      </c>
      <c r="U1170" t="s">
        <v>23</v>
      </c>
      <c r="V1170" t="e">
        <f>IF(#REF! = "yes", 1, 0)</f>
        <v>#REF!</v>
      </c>
      <c r="W1170" t="e">
        <f>IF(#REF! &lt;= 1, "0-1 Calls", IF(#REF! &lt;= 3, "2-3 Calls", IF(#REF! &lt;=5, "4-5 Calls", "6+ Calls")))</f>
        <v>#REF!</v>
      </c>
      <c r="X1170" t="e">
        <f>IF(#REF! &lt;= 50, "0-50", IF(#REF! &lt;=100, "51-100", IF(#REF! &lt;= 150, "101-150", "151+")))</f>
        <v>#REF!</v>
      </c>
      <c r="Y1170" t="e">
        <f>IF(#REF! &lt;= 3, "Low Charges", "High Charges")</f>
        <v>#REF!</v>
      </c>
      <c r="Z1170" t="e">
        <f>IF(#REF!&lt;=80,"Low Calls",
IF(#REF!&lt;=120,"Medium Calls","High Calls"))</f>
        <v>#REF!</v>
      </c>
      <c r="AA1170" t="e">
        <f>IF(#REF!&lt;=15,"Low Charges",
IF(#REF!&lt;=20,"Medium Charges","High Charges"))</f>
        <v>#REF!</v>
      </c>
      <c r="AB1170" t="e">
        <f>IF(AND(#REF!&gt;180, #REF!&gt;200), "Heavy Doemstic User", IF(#REF!&gt;10, "Interntional User", IF(AND(#REF!&lt;180, #REF!&lt;200,#REF!&lt;200), "Light User", "Balanced User")))</f>
        <v>#REF!</v>
      </c>
      <c r="AC1170" t="e">
        <f>IF(#REF! = 0, "No Usage", IF(#REF! &lt;= 20, "Low Usage", IF(#REF! &lt;= 40, "Medium Usgae", "High Usage")))</f>
        <v>#REF!</v>
      </c>
      <c r="AD1170" t="e">
        <f>IF(#REF!&lt;=150,"Low Usage", IF(#REF!&lt;=200,"Medium Usage", IF(#REF!&lt;=250,"High Usage","Very High Usage")))</f>
        <v>#REF!</v>
      </c>
      <c r="AE1170" t="e">
        <f>IF(#REF!&lt;=5,"Low Calls", IF(#REF!&lt;=10, "Medium Calls", "High Calls"))</f>
        <v>#REF!</v>
      </c>
      <c r="AF1170" t="e">
        <f xml:space="preserve">
IF(#REF!&gt;=4,4,0)+
IF(#REF!="yes",3,0)+
IF(#REF!="High Charges",3,0)+
IF(#REF!&gt;250,4,0)+
IF(#REF!="no",1,0)+
IF(#REF!="Heavy Domestic User",2,0)</f>
        <v>#REF!</v>
      </c>
      <c r="AG1170" t="e">
        <f>IF(#REF!&gt;=10,"High Risk", IF(#REF!&gt;=5,"Medium Risk","Low Risk"))</f>
        <v>#REF!</v>
      </c>
      <c r="AH1170" t="e">
        <f>#REF! + #REF! + #REF! + #REF!</f>
        <v>#REF!</v>
      </c>
    </row>
    <row r="1171" spans="1:34" x14ac:dyDescent="0.35">
      <c r="A1171">
        <v>1170</v>
      </c>
      <c r="B1171" t="s">
        <v>72</v>
      </c>
      <c r="C1171">
        <v>58</v>
      </c>
      <c r="D1171" t="s">
        <v>21</v>
      </c>
      <c r="E1171" t="s">
        <v>23</v>
      </c>
      <c r="F1171" t="s">
        <v>23</v>
      </c>
      <c r="G1171">
        <v>43</v>
      </c>
      <c r="H1171">
        <v>142.80000000000001</v>
      </c>
      <c r="I1171">
        <v>96</v>
      </c>
      <c r="J1171">
        <v>24.28</v>
      </c>
      <c r="K1171">
        <v>272.3</v>
      </c>
      <c r="L1171">
        <v>100</v>
      </c>
      <c r="M1171">
        <v>23.15</v>
      </c>
      <c r="N1171">
        <v>193.4</v>
      </c>
      <c r="O1171">
        <v>105</v>
      </c>
      <c r="P1171">
        <v>8.6999999999999993</v>
      </c>
      <c r="Q1171">
        <v>8.9</v>
      </c>
      <c r="R1171">
        <v>4</v>
      </c>
      <c r="S1171">
        <v>2.4</v>
      </c>
      <c r="T1171">
        <v>1</v>
      </c>
      <c r="U1171" t="s">
        <v>22</v>
      </c>
      <c r="V1171" t="e">
        <f>IF(#REF! = "yes", 1, 0)</f>
        <v>#REF!</v>
      </c>
      <c r="W1171" t="e">
        <f>IF(#REF! &lt;= 1, "0-1 Calls", IF(#REF! &lt;= 3, "2-3 Calls", IF(#REF! &lt;=5, "4-5 Calls", "6+ Calls")))</f>
        <v>#REF!</v>
      </c>
      <c r="X1171" t="e">
        <f>IF(#REF! &lt;= 50, "0-50", IF(#REF! &lt;=100, "51-100", IF(#REF! &lt;= 150, "101-150", "151+")))</f>
        <v>#REF!</v>
      </c>
      <c r="Y1171" t="e">
        <f>IF(#REF! &lt;= 3, "Low Charges", "High Charges")</f>
        <v>#REF!</v>
      </c>
      <c r="Z1171" t="e">
        <f>IF(#REF!&lt;=80,"Low Calls",
IF(#REF!&lt;=120,"Medium Calls","High Calls"))</f>
        <v>#REF!</v>
      </c>
      <c r="AA1171" t="e">
        <f>IF(#REF!&lt;=15,"Low Charges",
IF(#REF!&lt;=20,"Medium Charges","High Charges"))</f>
        <v>#REF!</v>
      </c>
      <c r="AB1171" t="e">
        <f>IF(AND(#REF!&gt;180, #REF!&gt;200), "Heavy Doemstic User", IF(#REF!&gt;10, "Interntional User", IF(AND(#REF!&lt;180, #REF!&lt;200,#REF!&lt;200), "Light User", "Balanced User")))</f>
        <v>#REF!</v>
      </c>
      <c r="AC1171" t="e">
        <f>IF(#REF! = 0, "No Usage", IF(#REF! &lt;= 20, "Low Usage", IF(#REF! &lt;= 40, "Medium Usgae", "High Usage")))</f>
        <v>#REF!</v>
      </c>
      <c r="AD1171" t="e">
        <f>IF(#REF!&lt;=150,"Low Usage", IF(#REF!&lt;=200,"Medium Usage", IF(#REF!&lt;=250,"High Usage","Very High Usage")))</f>
        <v>#REF!</v>
      </c>
      <c r="AE1171" t="e">
        <f>IF(#REF!&lt;=5,"Low Calls", IF(#REF!&lt;=10, "Medium Calls", "High Calls"))</f>
        <v>#REF!</v>
      </c>
      <c r="AF1171" t="e">
        <f xml:space="preserve">
IF(#REF!&gt;=4,4,0)+
IF(#REF!="yes",3,0)+
IF(#REF!="High Charges",3,0)+
IF(#REF!&gt;250,4,0)+
IF(#REF!="no",1,0)+
IF(#REF!="Heavy Domestic User",2,0)</f>
        <v>#REF!</v>
      </c>
      <c r="AG1171" t="e">
        <f>IF(#REF!&gt;=10,"High Risk", IF(#REF!&gt;=5,"Medium Risk","Low Risk"))</f>
        <v>#REF!</v>
      </c>
      <c r="AH1171" t="e">
        <f>#REF! + #REF! + #REF! + #REF!</f>
        <v>#REF!</v>
      </c>
    </row>
    <row r="1172" spans="1:34" x14ac:dyDescent="0.35">
      <c r="A1172">
        <v>1171</v>
      </c>
      <c r="B1172" t="s">
        <v>29</v>
      </c>
      <c r="C1172">
        <v>36</v>
      </c>
      <c r="D1172" t="s">
        <v>21</v>
      </c>
      <c r="E1172" t="s">
        <v>22</v>
      </c>
      <c r="F1172" t="s">
        <v>22</v>
      </c>
      <c r="G1172">
        <v>0</v>
      </c>
      <c r="H1172">
        <v>202.4</v>
      </c>
      <c r="I1172">
        <v>115</v>
      </c>
      <c r="J1172">
        <v>34.409999999999997</v>
      </c>
      <c r="K1172">
        <v>230.7</v>
      </c>
      <c r="L1172">
        <v>115</v>
      </c>
      <c r="M1172">
        <v>19.61</v>
      </c>
      <c r="N1172">
        <v>202</v>
      </c>
      <c r="O1172">
        <v>127</v>
      </c>
      <c r="P1172">
        <v>9.09</v>
      </c>
      <c r="Q1172">
        <v>10.199999999999999</v>
      </c>
      <c r="R1172">
        <v>2</v>
      </c>
      <c r="S1172">
        <v>2.75</v>
      </c>
      <c r="T1172">
        <v>3</v>
      </c>
      <c r="U1172" t="s">
        <v>22</v>
      </c>
      <c r="V1172" t="e">
        <f>IF(#REF! = "yes", 1, 0)</f>
        <v>#REF!</v>
      </c>
      <c r="W1172" t="e">
        <f>IF(#REF! &lt;= 1, "0-1 Calls", IF(#REF! &lt;= 3, "2-3 Calls", IF(#REF! &lt;=5, "4-5 Calls", "6+ Calls")))</f>
        <v>#REF!</v>
      </c>
      <c r="X1172" t="e">
        <f>IF(#REF! &lt;= 50, "0-50", IF(#REF! &lt;=100, "51-100", IF(#REF! &lt;= 150, "101-150", "151+")))</f>
        <v>#REF!</v>
      </c>
      <c r="Y1172" t="e">
        <f>IF(#REF! &lt;= 3, "Low Charges", "High Charges")</f>
        <v>#REF!</v>
      </c>
      <c r="Z1172" t="e">
        <f>IF(#REF!&lt;=80,"Low Calls",
IF(#REF!&lt;=120,"Medium Calls","High Calls"))</f>
        <v>#REF!</v>
      </c>
      <c r="AA1172" t="e">
        <f>IF(#REF!&lt;=15,"Low Charges",
IF(#REF!&lt;=20,"Medium Charges","High Charges"))</f>
        <v>#REF!</v>
      </c>
      <c r="AB1172" t="e">
        <f>IF(AND(#REF!&gt;180, #REF!&gt;200), "Heavy Doemstic User", IF(#REF!&gt;10, "Interntional User", IF(AND(#REF!&lt;180, #REF!&lt;200,#REF!&lt;200), "Light User", "Balanced User")))</f>
        <v>#REF!</v>
      </c>
      <c r="AC1172" t="e">
        <f>IF(#REF! = 0, "No Usage", IF(#REF! &lt;= 20, "Low Usage", IF(#REF! &lt;= 40, "Medium Usgae", "High Usage")))</f>
        <v>#REF!</v>
      </c>
      <c r="AD1172" t="e">
        <f>IF(#REF!&lt;=150,"Low Usage", IF(#REF!&lt;=200,"Medium Usage", IF(#REF!&lt;=250,"High Usage","Very High Usage")))</f>
        <v>#REF!</v>
      </c>
      <c r="AE1172" t="e">
        <f>IF(#REF!&lt;=5,"Low Calls", IF(#REF!&lt;=10, "Medium Calls", "High Calls"))</f>
        <v>#REF!</v>
      </c>
      <c r="AF1172" t="e">
        <f xml:space="preserve">
IF(#REF!&gt;=4,4,0)+
IF(#REF!="yes",3,0)+
IF(#REF!="High Charges",3,0)+
IF(#REF!&gt;250,4,0)+
IF(#REF!="no",1,0)+
IF(#REF!="Heavy Domestic User",2,0)</f>
        <v>#REF!</v>
      </c>
      <c r="AG1172" t="e">
        <f>IF(#REF!&gt;=10,"High Risk", IF(#REF!&gt;=5,"Medium Risk","Low Risk"))</f>
        <v>#REF!</v>
      </c>
      <c r="AH1172" t="e">
        <f>#REF! + #REF! + #REF! + #REF!</f>
        <v>#REF!</v>
      </c>
    </row>
    <row r="1173" spans="1:34" x14ac:dyDescent="0.35">
      <c r="A1173">
        <v>1172</v>
      </c>
      <c r="B1173" t="s">
        <v>51</v>
      </c>
      <c r="C1173">
        <v>54</v>
      </c>
      <c r="D1173" t="s">
        <v>21</v>
      </c>
      <c r="E1173" t="s">
        <v>22</v>
      </c>
      <c r="F1173" t="s">
        <v>22</v>
      </c>
      <c r="G1173">
        <v>0</v>
      </c>
      <c r="H1173">
        <v>116.8</v>
      </c>
      <c r="I1173">
        <v>119</v>
      </c>
      <c r="J1173">
        <v>19.86</v>
      </c>
      <c r="K1173">
        <v>123.1</v>
      </c>
      <c r="L1173">
        <v>123</v>
      </c>
      <c r="M1173">
        <v>10.46</v>
      </c>
      <c r="N1173">
        <v>217.5</v>
      </c>
      <c r="O1173">
        <v>101</v>
      </c>
      <c r="P1173">
        <v>9.7899999999999991</v>
      </c>
      <c r="Q1173">
        <v>12</v>
      </c>
      <c r="R1173">
        <v>2</v>
      </c>
      <c r="S1173">
        <v>3.24</v>
      </c>
      <c r="T1173">
        <v>1</v>
      </c>
      <c r="U1173" t="s">
        <v>22</v>
      </c>
      <c r="V1173" t="e">
        <f>IF(#REF! = "yes", 1, 0)</f>
        <v>#REF!</v>
      </c>
      <c r="W1173" t="e">
        <f>IF(#REF! &lt;= 1, "0-1 Calls", IF(#REF! &lt;= 3, "2-3 Calls", IF(#REF! &lt;=5, "4-5 Calls", "6+ Calls")))</f>
        <v>#REF!</v>
      </c>
      <c r="X1173" t="e">
        <f>IF(#REF! &lt;= 50, "0-50", IF(#REF! &lt;=100, "51-100", IF(#REF! &lt;= 150, "101-150", "151+")))</f>
        <v>#REF!</v>
      </c>
      <c r="Y1173" t="e">
        <f>IF(#REF! &lt;= 3, "Low Charges", "High Charges")</f>
        <v>#REF!</v>
      </c>
      <c r="Z1173" t="e">
        <f>IF(#REF!&lt;=80,"Low Calls",
IF(#REF!&lt;=120,"Medium Calls","High Calls"))</f>
        <v>#REF!</v>
      </c>
      <c r="AA1173" t="e">
        <f>IF(#REF!&lt;=15,"Low Charges",
IF(#REF!&lt;=20,"Medium Charges","High Charges"))</f>
        <v>#REF!</v>
      </c>
      <c r="AB1173" t="e">
        <f>IF(AND(#REF!&gt;180, #REF!&gt;200), "Heavy Doemstic User", IF(#REF!&gt;10, "Interntional User", IF(AND(#REF!&lt;180, #REF!&lt;200,#REF!&lt;200), "Light User", "Balanced User")))</f>
        <v>#REF!</v>
      </c>
      <c r="AC1173" t="e">
        <f>IF(#REF! = 0, "No Usage", IF(#REF! &lt;= 20, "Low Usage", IF(#REF! &lt;= 40, "Medium Usgae", "High Usage")))</f>
        <v>#REF!</v>
      </c>
      <c r="AD1173" t="e">
        <f>IF(#REF!&lt;=150,"Low Usage", IF(#REF!&lt;=200,"Medium Usage", IF(#REF!&lt;=250,"High Usage","Very High Usage")))</f>
        <v>#REF!</v>
      </c>
      <c r="AE1173" t="e">
        <f>IF(#REF!&lt;=5,"Low Calls", IF(#REF!&lt;=10, "Medium Calls", "High Calls"))</f>
        <v>#REF!</v>
      </c>
      <c r="AF1173" t="e">
        <f xml:space="preserve">
IF(#REF!&gt;=4,4,0)+
IF(#REF!="yes",3,0)+
IF(#REF!="High Charges",3,0)+
IF(#REF!&gt;250,4,0)+
IF(#REF!="no",1,0)+
IF(#REF!="Heavy Domestic User",2,0)</f>
        <v>#REF!</v>
      </c>
      <c r="AG1173" t="e">
        <f>IF(#REF!&gt;=10,"High Risk", IF(#REF!&gt;=5,"Medium Risk","Low Risk"))</f>
        <v>#REF!</v>
      </c>
      <c r="AH1173" t="e">
        <f>#REF! + #REF! + #REF! + #REF!</f>
        <v>#REF!</v>
      </c>
    </row>
    <row r="1174" spans="1:34" x14ac:dyDescent="0.35">
      <c r="A1174">
        <v>1173</v>
      </c>
      <c r="B1174" t="s">
        <v>24</v>
      </c>
      <c r="C1174">
        <v>45</v>
      </c>
      <c r="D1174" t="s">
        <v>28</v>
      </c>
      <c r="E1174" t="s">
        <v>22</v>
      </c>
      <c r="F1174" t="s">
        <v>22</v>
      </c>
      <c r="G1174">
        <v>0</v>
      </c>
      <c r="H1174">
        <v>155.69999999999999</v>
      </c>
      <c r="I1174">
        <v>110</v>
      </c>
      <c r="J1174">
        <v>26.47</v>
      </c>
      <c r="K1174">
        <v>260.3</v>
      </c>
      <c r="L1174">
        <v>103</v>
      </c>
      <c r="M1174">
        <v>22.13</v>
      </c>
      <c r="N1174">
        <v>192.2</v>
      </c>
      <c r="O1174">
        <v>98</v>
      </c>
      <c r="P1174">
        <v>8.65</v>
      </c>
      <c r="Q1174">
        <v>11</v>
      </c>
      <c r="R1174">
        <v>1</v>
      </c>
      <c r="S1174">
        <v>2.97</v>
      </c>
      <c r="T1174">
        <v>1</v>
      </c>
      <c r="U1174" t="s">
        <v>22</v>
      </c>
      <c r="V1174" t="e">
        <f>IF(#REF! = "yes", 1, 0)</f>
        <v>#REF!</v>
      </c>
      <c r="W1174" t="e">
        <f>IF(#REF! &lt;= 1, "0-1 Calls", IF(#REF! &lt;= 3, "2-3 Calls", IF(#REF! &lt;=5, "4-5 Calls", "6+ Calls")))</f>
        <v>#REF!</v>
      </c>
      <c r="X1174" t="e">
        <f>IF(#REF! &lt;= 50, "0-50", IF(#REF! &lt;=100, "51-100", IF(#REF! &lt;= 150, "101-150", "151+")))</f>
        <v>#REF!</v>
      </c>
      <c r="Y1174" t="e">
        <f>IF(#REF! &lt;= 3, "Low Charges", "High Charges")</f>
        <v>#REF!</v>
      </c>
      <c r="Z1174" t="e">
        <f>IF(#REF!&lt;=80,"Low Calls",
IF(#REF!&lt;=120,"Medium Calls","High Calls"))</f>
        <v>#REF!</v>
      </c>
      <c r="AA1174" t="e">
        <f>IF(#REF!&lt;=15,"Low Charges",
IF(#REF!&lt;=20,"Medium Charges","High Charges"))</f>
        <v>#REF!</v>
      </c>
      <c r="AB1174" t="e">
        <f>IF(AND(#REF!&gt;180, #REF!&gt;200), "Heavy Doemstic User", IF(#REF!&gt;10, "Interntional User", IF(AND(#REF!&lt;180, #REF!&lt;200,#REF!&lt;200), "Light User", "Balanced User")))</f>
        <v>#REF!</v>
      </c>
      <c r="AC1174" t="e">
        <f>IF(#REF! = 0, "No Usage", IF(#REF! &lt;= 20, "Low Usage", IF(#REF! &lt;= 40, "Medium Usgae", "High Usage")))</f>
        <v>#REF!</v>
      </c>
      <c r="AD1174" t="e">
        <f>IF(#REF!&lt;=150,"Low Usage", IF(#REF!&lt;=200,"Medium Usage", IF(#REF!&lt;=250,"High Usage","Very High Usage")))</f>
        <v>#REF!</v>
      </c>
      <c r="AE1174" t="e">
        <f>IF(#REF!&lt;=5,"Low Calls", IF(#REF!&lt;=10, "Medium Calls", "High Calls"))</f>
        <v>#REF!</v>
      </c>
      <c r="AF1174" t="e">
        <f xml:space="preserve">
IF(#REF!&gt;=4,4,0)+
IF(#REF!="yes",3,0)+
IF(#REF!="High Charges",3,0)+
IF(#REF!&gt;250,4,0)+
IF(#REF!="no",1,0)+
IF(#REF!="Heavy Domestic User",2,0)</f>
        <v>#REF!</v>
      </c>
      <c r="AG1174" t="e">
        <f>IF(#REF!&gt;=10,"High Risk", IF(#REF!&gt;=5,"Medium Risk","Low Risk"))</f>
        <v>#REF!</v>
      </c>
      <c r="AH1174" t="e">
        <f>#REF! + #REF! + #REF! + #REF!</f>
        <v>#REF!</v>
      </c>
    </row>
    <row r="1175" spans="1:34" x14ac:dyDescent="0.35">
      <c r="A1175">
        <v>1174</v>
      </c>
      <c r="B1175" t="s">
        <v>64</v>
      </c>
      <c r="C1175">
        <v>72</v>
      </c>
      <c r="D1175" t="s">
        <v>21</v>
      </c>
      <c r="E1175" t="s">
        <v>22</v>
      </c>
      <c r="F1175" t="s">
        <v>23</v>
      </c>
      <c r="G1175">
        <v>21</v>
      </c>
      <c r="H1175">
        <v>138.1</v>
      </c>
      <c r="I1175">
        <v>113</v>
      </c>
      <c r="J1175">
        <v>23.48</v>
      </c>
      <c r="K1175">
        <v>260.10000000000002</v>
      </c>
      <c r="L1175">
        <v>83</v>
      </c>
      <c r="M1175">
        <v>22.11</v>
      </c>
      <c r="N1175">
        <v>135.4</v>
      </c>
      <c r="O1175">
        <v>118</v>
      </c>
      <c r="P1175">
        <v>6.09</v>
      </c>
      <c r="Q1175">
        <v>8.1999999999999993</v>
      </c>
      <c r="R1175">
        <v>2</v>
      </c>
      <c r="S1175">
        <v>2.21</v>
      </c>
      <c r="T1175">
        <v>2</v>
      </c>
      <c r="U1175" t="s">
        <v>22</v>
      </c>
      <c r="V1175" t="e">
        <f>IF(#REF! = "yes", 1, 0)</f>
        <v>#REF!</v>
      </c>
      <c r="W1175" t="e">
        <f>IF(#REF! &lt;= 1, "0-1 Calls", IF(#REF! &lt;= 3, "2-3 Calls", IF(#REF! &lt;=5, "4-5 Calls", "6+ Calls")))</f>
        <v>#REF!</v>
      </c>
      <c r="X1175" t="e">
        <f>IF(#REF! &lt;= 50, "0-50", IF(#REF! &lt;=100, "51-100", IF(#REF! &lt;= 150, "101-150", "151+")))</f>
        <v>#REF!</v>
      </c>
      <c r="Y1175" t="e">
        <f>IF(#REF! &lt;= 3, "Low Charges", "High Charges")</f>
        <v>#REF!</v>
      </c>
      <c r="Z1175" t="e">
        <f>IF(#REF!&lt;=80,"Low Calls",
IF(#REF!&lt;=120,"Medium Calls","High Calls"))</f>
        <v>#REF!</v>
      </c>
      <c r="AA1175" t="e">
        <f>IF(#REF!&lt;=15,"Low Charges",
IF(#REF!&lt;=20,"Medium Charges","High Charges"))</f>
        <v>#REF!</v>
      </c>
      <c r="AB1175" t="e">
        <f>IF(AND(#REF!&gt;180, #REF!&gt;200), "Heavy Doemstic User", IF(#REF!&gt;10, "Interntional User", IF(AND(#REF!&lt;180, #REF!&lt;200,#REF!&lt;200), "Light User", "Balanced User")))</f>
        <v>#REF!</v>
      </c>
      <c r="AC1175" t="e">
        <f>IF(#REF! = 0, "No Usage", IF(#REF! &lt;= 20, "Low Usage", IF(#REF! &lt;= 40, "Medium Usgae", "High Usage")))</f>
        <v>#REF!</v>
      </c>
      <c r="AD1175" t="e">
        <f>IF(#REF!&lt;=150,"Low Usage", IF(#REF!&lt;=200,"Medium Usage", IF(#REF!&lt;=250,"High Usage","Very High Usage")))</f>
        <v>#REF!</v>
      </c>
      <c r="AE1175" t="e">
        <f>IF(#REF!&lt;=5,"Low Calls", IF(#REF!&lt;=10, "Medium Calls", "High Calls"))</f>
        <v>#REF!</v>
      </c>
      <c r="AF1175" t="e">
        <f xml:space="preserve">
IF(#REF!&gt;=4,4,0)+
IF(#REF!="yes",3,0)+
IF(#REF!="High Charges",3,0)+
IF(#REF!&gt;250,4,0)+
IF(#REF!="no",1,0)+
IF(#REF!="Heavy Domestic User",2,0)</f>
        <v>#REF!</v>
      </c>
      <c r="AG1175" t="e">
        <f>IF(#REF!&gt;=10,"High Risk", IF(#REF!&gt;=5,"Medium Risk","Low Risk"))</f>
        <v>#REF!</v>
      </c>
      <c r="AH1175" t="e">
        <f>#REF! + #REF! + #REF! + #REF!</f>
        <v>#REF!</v>
      </c>
    </row>
    <row r="1176" spans="1:34" x14ac:dyDescent="0.35">
      <c r="A1176">
        <v>1175</v>
      </c>
      <c r="B1176" t="s">
        <v>74</v>
      </c>
      <c r="C1176">
        <v>141</v>
      </c>
      <c r="D1176" t="s">
        <v>25</v>
      </c>
      <c r="E1176" t="s">
        <v>22</v>
      </c>
      <c r="F1176" t="s">
        <v>22</v>
      </c>
      <c r="G1176">
        <v>0</v>
      </c>
      <c r="H1176">
        <v>51.9</v>
      </c>
      <c r="I1176">
        <v>108</v>
      </c>
      <c r="J1176">
        <v>8.82</v>
      </c>
      <c r="K1176">
        <v>162</v>
      </c>
      <c r="L1176">
        <v>83</v>
      </c>
      <c r="M1176">
        <v>13.77</v>
      </c>
      <c r="N1176">
        <v>223.5</v>
      </c>
      <c r="O1176">
        <v>115</v>
      </c>
      <c r="P1176">
        <v>10.06</v>
      </c>
      <c r="Q1176">
        <v>10.1</v>
      </c>
      <c r="R1176">
        <v>3</v>
      </c>
      <c r="S1176">
        <v>2.73</v>
      </c>
      <c r="T1176">
        <v>3</v>
      </c>
      <c r="U1176" t="s">
        <v>22</v>
      </c>
      <c r="V1176" t="e">
        <f>IF(#REF! = "yes", 1, 0)</f>
        <v>#REF!</v>
      </c>
      <c r="W1176" t="e">
        <f>IF(#REF! &lt;= 1, "0-1 Calls", IF(#REF! &lt;= 3, "2-3 Calls", IF(#REF! &lt;=5, "4-5 Calls", "6+ Calls")))</f>
        <v>#REF!</v>
      </c>
      <c r="X1176" t="e">
        <f>IF(#REF! &lt;= 50, "0-50", IF(#REF! &lt;=100, "51-100", IF(#REF! &lt;= 150, "101-150", "151+")))</f>
        <v>#REF!</v>
      </c>
      <c r="Y1176" t="e">
        <f>IF(#REF! &lt;= 3, "Low Charges", "High Charges")</f>
        <v>#REF!</v>
      </c>
      <c r="Z1176" t="e">
        <f>IF(#REF!&lt;=80,"Low Calls",
IF(#REF!&lt;=120,"Medium Calls","High Calls"))</f>
        <v>#REF!</v>
      </c>
      <c r="AA1176" t="e">
        <f>IF(#REF!&lt;=15,"Low Charges",
IF(#REF!&lt;=20,"Medium Charges","High Charges"))</f>
        <v>#REF!</v>
      </c>
      <c r="AB1176" t="e">
        <f>IF(AND(#REF!&gt;180, #REF!&gt;200), "Heavy Doemstic User", IF(#REF!&gt;10, "Interntional User", IF(AND(#REF!&lt;180, #REF!&lt;200,#REF!&lt;200), "Light User", "Balanced User")))</f>
        <v>#REF!</v>
      </c>
      <c r="AC1176" t="e">
        <f>IF(#REF! = 0, "No Usage", IF(#REF! &lt;= 20, "Low Usage", IF(#REF! &lt;= 40, "Medium Usgae", "High Usage")))</f>
        <v>#REF!</v>
      </c>
      <c r="AD1176" t="e">
        <f>IF(#REF!&lt;=150,"Low Usage", IF(#REF!&lt;=200,"Medium Usage", IF(#REF!&lt;=250,"High Usage","Very High Usage")))</f>
        <v>#REF!</v>
      </c>
      <c r="AE1176" t="e">
        <f>IF(#REF!&lt;=5,"Low Calls", IF(#REF!&lt;=10, "Medium Calls", "High Calls"))</f>
        <v>#REF!</v>
      </c>
      <c r="AF1176" t="e">
        <f xml:space="preserve">
IF(#REF!&gt;=4,4,0)+
IF(#REF!="yes",3,0)+
IF(#REF!="High Charges",3,0)+
IF(#REF!&gt;250,4,0)+
IF(#REF!="no",1,0)+
IF(#REF!="Heavy Domestic User",2,0)</f>
        <v>#REF!</v>
      </c>
      <c r="AG1176" t="e">
        <f>IF(#REF!&gt;=10,"High Risk", IF(#REF!&gt;=5,"Medium Risk","Low Risk"))</f>
        <v>#REF!</v>
      </c>
      <c r="AH1176" t="e">
        <f>#REF! + #REF! + #REF! + #REF!</f>
        <v>#REF!</v>
      </c>
    </row>
    <row r="1177" spans="1:34" x14ac:dyDescent="0.35">
      <c r="A1177">
        <v>1176</v>
      </c>
      <c r="B1177" t="s">
        <v>57</v>
      </c>
      <c r="C1177">
        <v>20</v>
      </c>
      <c r="D1177" t="s">
        <v>21</v>
      </c>
      <c r="E1177" t="s">
        <v>22</v>
      </c>
      <c r="F1177" t="s">
        <v>23</v>
      </c>
      <c r="G1177">
        <v>35</v>
      </c>
      <c r="H1177">
        <v>171.5</v>
      </c>
      <c r="I1177">
        <v>98</v>
      </c>
      <c r="J1177">
        <v>29.16</v>
      </c>
      <c r="K1177">
        <v>153.1</v>
      </c>
      <c r="L1177">
        <v>127</v>
      </c>
      <c r="M1177">
        <v>13.01</v>
      </c>
      <c r="N1177">
        <v>165.6</v>
      </c>
      <c r="O1177">
        <v>125</v>
      </c>
      <c r="P1177">
        <v>7.45</v>
      </c>
      <c r="Q1177">
        <v>7.1</v>
      </c>
      <c r="R1177">
        <v>3</v>
      </c>
      <c r="S1177">
        <v>1.92</v>
      </c>
      <c r="T1177">
        <v>0</v>
      </c>
      <c r="U1177" t="s">
        <v>22</v>
      </c>
      <c r="V1177" t="e">
        <f>IF(#REF! = "yes", 1, 0)</f>
        <v>#REF!</v>
      </c>
      <c r="W1177" t="e">
        <f>IF(#REF! &lt;= 1, "0-1 Calls", IF(#REF! &lt;= 3, "2-3 Calls", IF(#REF! &lt;=5, "4-5 Calls", "6+ Calls")))</f>
        <v>#REF!</v>
      </c>
      <c r="X1177" t="e">
        <f>IF(#REF! &lt;= 50, "0-50", IF(#REF! &lt;=100, "51-100", IF(#REF! &lt;= 150, "101-150", "151+")))</f>
        <v>#REF!</v>
      </c>
      <c r="Y1177" t="e">
        <f>IF(#REF! &lt;= 3, "Low Charges", "High Charges")</f>
        <v>#REF!</v>
      </c>
      <c r="Z1177" t="e">
        <f>IF(#REF!&lt;=80,"Low Calls",
IF(#REF!&lt;=120,"Medium Calls","High Calls"))</f>
        <v>#REF!</v>
      </c>
      <c r="AA1177" t="e">
        <f>IF(#REF!&lt;=15,"Low Charges",
IF(#REF!&lt;=20,"Medium Charges","High Charges"))</f>
        <v>#REF!</v>
      </c>
      <c r="AB1177" t="e">
        <f>IF(AND(#REF!&gt;180, #REF!&gt;200), "Heavy Doemstic User", IF(#REF!&gt;10, "Interntional User", IF(AND(#REF!&lt;180, #REF!&lt;200,#REF!&lt;200), "Light User", "Balanced User")))</f>
        <v>#REF!</v>
      </c>
      <c r="AC1177" t="e">
        <f>IF(#REF! = 0, "No Usage", IF(#REF! &lt;= 20, "Low Usage", IF(#REF! &lt;= 40, "Medium Usgae", "High Usage")))</f>
        <v>#REF!</v>
      </c>
      <c r="AD1177" t="e">
        <f>IF(#REF!&lt;=150,"Low Usage", IF(#REF!&lt;=200,"Medium Usage", IF(#REF!&lt;=250,"High Usage","Very High Usage")))</f>
        <v>#REF!</v>
      </c>
      <c r="AE1177" t="e">
        <f>IF(#REF!&lt;=5,"Low Calls", IF(#REF!&lt;=10, "Medium Calls", "High Calls"))</f>
        <v>#REF!</v>
      </c>
      <c r="AF1177" t="e">
        <f xml:space="preserve">
IF(#REF!&gt;=4,4,0)+
IF(#REF!="yes",3,0)+
IF(#REF!="High Charges",3,0)+
IF(#REF!&gt;250,4,0)+
IF(#REF!="no",1,0)+
IF(#REF!="Heavy Domestic User",2,0)</f>
        <v>#REF!</v>
      </c>
      <c r="AG1177" t="e">
        <f>IF(#REF!&gt;=10,"High Risk", IF(#REF!&gt;=5,"Medium Risk","Low Risk"))</f>
        <v>#REF!</v>
      </c>
      <c r="AH1177" t="e">
        <f>#REF! + #REF! + #REF! + #REF!</f>
        <v>#REF!</v>
      </c>
    </row>
    <row r="1178" spans="1:34" x14ac:dyDescent="0.35">
      <c r="A1178">
        <v>1177</v>
      </c>
      <c r="B1178" t="s">
        <v>20</v>
      </c>
      <c r="C1178">
        <v>94</v>
      </c>
      <c r="D1178" t="s">
        <v>28</v>
      </c>
      <c r="E1178" t="s">
        <v>22</v>
      </c>
      <c r="F1178" t="s">
        <v>22</v>
      </c>
      <c r="G1178">
        <v>0</v>
      </c>
      <c r="H1178">
        <v>194.1</v>
      </c>
      <c r="I1178">
        <v>62</v>
      </c>
      <c r="J1178">
        <v>33</v>
      </c>
      <c r="K1178">
        <v>227.2</v>
      </c>
      <c r="L1178">
        <v>54</v>
      </c>
      <c r="M1178">
        <v>19.309999999999999</v>
      </c>
      <c r="N1178">
        <v>190.4</v>
      </c>
      <c r="O1178">
        <v>115</v>
      </c>
      <c r="P1178">
        <v>8.57</v>
      </c>
      <c r="Q1178">
        <v>15.3</v>
      </c>
      <c r="R1178">
        <v>4</v>
      </c>
      <c r="S1178">
        <v>4.13</v>
      </c>
      <c r="T1178">
        <v>1</v>
      </c>
      <c r="U1178" t="s">
        <v>22</v>
      </c>
      <c r="V1178" t="e">
        <f>IF(#REF! = "yes", 1, 0)</f>
        <v>#REF!</v>
      </c>
      <c r="W1178" t="e">
        <f>IF(#REF! &lt;= 1, "0-1 Calls", IF(#REF! &lt;= 3, "2-3 Calls", IF(#REF! &lt;=5, "4-5 Calls", "6+ Calls")))</f>
        <v>#REF!</v>
      </c>
      <c r="X1178" t="e">
        <f>IF(#REF! &lt;= 50, "0-50", IF(#REF! &lt;=100, "51-100", IF(#REF! &lt;= 150, "101-150", "151+")))</f>
        <v>#REF!</v>
      </c>
      <c r="Y1178" t="e">
        <f>IF(#REF! &lt;= 3, "Low Charges", "High Charges")</f>
        <v>#REF!</v>
      </c>
      <c r="Z1178" t="e">
        <f>IF(#REF!&lt;=80,"Low Calls",
IF(#REF!&lt;=120,"Medium Calls","High Calls"))</f>
        <v>#REF!</v>
      </c>
      <c r="AA1178" t="e">
        <f>IF(#REF!&lt;=15,"Low Charges",
IF(#REF!&lt;=20,"Medium Charges","High Charges"))</f>
        <v>#REF!</v>
      </c>
      <c r="AB1178" t="e">
        <f>IF(AND(#REF!&gt;180, #REF!&gt;200), "Heavy Doemstic User", IF(#REF!&gt;10, "Interntional User", IF(AND(#REF!&lt;180, #REF!&lt;200,#REF!&lt;200), "Light User", "Balanced User")))</f>
        <v>#REF!</v>
      </c>
      <c r="AC1178" t="e">
        <f>IF(#REF! = 0, "No Usage", IF(#REF! &lt;= 20, "Low Usage", IF(#REF! &lt;= 40, "Medium Usgae", "High Usage")))</f>
        <v>#REF!</v>
      </c>
      <c r="AD1178" t="e">
        <f>IF(#REF!&lt;=150,"Low Usage", IF(#REF!&lt;=200,"Medium Usage", IF(#REF!&lt;=250,"High Usage","Very High Usage")))</f>
        <v>#REF!</v>
      </c>
      <c r="AE1178" t="e">
        <f>IF(#REF!&lt;=5,"Low Calls", IF(#REF!&lt;=10, "Medium Calls", "High Calls"))</f>
        <v>#REF!</v>
      </c>
      <c r="AF1178" t="e">
        <f xml:space="preserve">
IF(#REF!&gt;=4,4,0)+
IF(#REF!="yes",3,0)+
IF(#REF!="High Charges",3,0)+
IF(#REF!&gt;250,4,0)+
IF(#REF!="no",1,0)+
IF(#REF!="Heavy Domestic User",2,0)</f>
        <v>#REF!</v>
      </c>
      <c r="AG1178" t="e">
        <f>IF(#REF!&gt;=10,"High Risk", IF(#REF!&gt;=5,"Medium Risk","Low Risk"))</f>
        <v>#REF!</v>
      </c>
      <c r="AH1178" t="e">
        <f>#REF! + #REF! + #REF! + #REF!</f>
        <v>#REF!</v>
      </c>
    </row>
    <row r="1179" spans="1:34" x14ac:dyDescent="0.35">
      <c r="A1179">
        <v>1178</v>
      </c>
      <c r="B1179" t="s">
        <v>36</v>
      </c>
      <c r="C1179">
        <v>40</v>
      </c>
      <c r="D1179" t="s">
        <v>28</v>
      </c>
      <c r="E1179" t="s">
        <v>22</v>
      </c>
      <c r="F1179" t="s">
        <v>22</v>
      </c>
      <c r="G1179">
        <v>0</v>
      </c>
      <c r="H1179">
        <v>115.7</v>
      </c>
      <c r="I1179">
        <v>105</v>
      </c>
      <c r="J1179">
        <v>19.670000000000002</v>
      </c>
      <c r="K1179">
        <v>127.8</v>
      </c>
      <c r="L1179">
        <v>113</v>
      </c>
      <c r="M1179">
        <v>10.86</v>
      </c>
      <c r="N1179">
        <v>107.5</v>
      </c>
      <c r="O1179">
        <v>91</v>
      </c>
      <c r="P1179">
        <v>4.84</v>
      </c>
      <c r="Q1179">
        <v>9.3000000000000007</v>
      </c>
      <c r="R1179">
        <v>6</v>
      </c>
      <c r="S1179">
        <v>2.5099999999999998</v>
      </c>
      <c r="T1179">
        <v>1</v>
      </c>
      <c r="U1179" t="s">
        <v>22</v>
      </c>
      <c r="V1179" t="e">
        <f>IF(#REF! = "yes", 1, 0)</f>
        <v>#REF!</v>
      </c>
      <c r="W1179" t="e">
        <f>IF(#REF! &lt;= 1, "0-1 Calls", IF(#REF! &lt;= 3, "2-3 Calls", IF(#REF! &lt;=5, "4-5 Calls", "6+ Calls")))</f>
        <v>#REF!</v>
      </c>
      <c r="X1179" t="e">
        <f>IF(#REF! &lt;= 50, "0-50", IF(#REF! &lt;=100, "51-100", IF(#REF! &lt;= 150, "101-150", "151+")))</f>
        <v>#REF!</v>
      </c>
      <c r="Y1179" t="e">
        <f>IF(#REF! &lt;= 3, "Low Charges", "High Charges")</f>
        <v>#REF!</v>
      </c>
      <c r="Z1179" t="e">
        <f>IF(#REF!&lt;=80,"Low Calls",
IF(#REF!&lt;=120,"Medium Calls","High Calls"))</f>
        <v>#REF!</v>
      </c>
      <c r="AA1179" t="e">
        <f>IF(#REF!&lt;=15,"Low Charges",
IF(#REF!&lt;=20,"Medium Charges","High Charges"))</f>
        <v>#REF!</v>
      </c>
      <c r="AB1179" t="e">
        <f>IF(AND(#REF!&gt;180, #REF!&gt;200), "Heavy Doemstic User", IF(#REF!&gt;10, "Interntional User", IF(AND(#REF!&lt;180, #REF!&lt;200,#REF!&lt;200), "Light User", "Balanced User")))</f>
        <v>#REF!</v>
      </c>
      <c r="AC1179" t="e">
        <f>IF(#REF! = 0, "No Usage", IF(#REF! &lt;= 20, "Low Usage", IF(#REF! &lt;= 40, "Medium Usgae", "High Usage")))</f>
        <v>#REF!</v>
      </c>
      <c r="AD1179" t="e">
        <f>IF(#REF!&lt;=150,"Low Usage", IF(#REF!&lt;=200,"Medium Usage", IF(#REF!&lt;=250,"High Usage","Very High Usage")))</f>
        <v>#REF!</v>
      </c>
      <c r="AE1179" t="e">
        <f>IF(#REF!&lt;=5,"Low Calls", IF(#REF!&lt;=10, "Medium Calls", "High Calls"))</f>
        <v>#REF!</v>
      </c>
      <c r="AF1179" t="e">
        <f xml:space="preserve">
IF(#REF!&gt;=4,4,0)+
IF(#REF!="yes",3,0)+
IF(#REF!="High Charges",3,0)+
IF(#REF!&gt;250,4,0)+
IF(#REF!="no",1,0)+
IF(#REF!="Heavy Domestic User",2,0)</f>
        <v>#REF!</v>
      </c>
      <c r="AG1179" t="e">
        <f>IF(#REF!&gt;=10,"High Risk", IF(#REF!&gt;=5,"Medium Risk","Low Risk"))</f>
        <v>#REF!</v>
      </c>
      <c r="AH1179" t="e">
        <f>#REF! + #REF! + #REF! + #REF!</f>
        <v>#REF!</v>
      </c>
    </row>
    <row r="1180" spans="1:34" x14ac:dyDescent="0.35">
      <c r="A1180">
        <v>1179</v>
      </c>
      <c r="B1180" t="s">
        <v>26</v>
      </c>
      <c r="C1180">
        <v>101</v>
      </c>
      <c r="D1180" t="s">
        <v>21</v>
      </c>
      <c r="E1180" t="s">
        <v>22</v>
      </c>
      <c r="F1180" t="s">
        <v>22</v>
      </c>
      <c r="G1180">
        <v>0</v>
      </c>
      <c r="H1180">
        <v>269.7</v>
      </c>
      <c r="I1180">
        <v>85</v>
      </c>
      <c r="J1180">
        <v>45.85</v>
      </c>
      <c r="K1180">
        <v>207.6</v>
      </c>
      <c r="L1180">
        <v>86</v>
      </c>
      <c r="M1180">
        <v>17.649999999999999</v>
      </c>
      <c r="N1180">
        <v>214.2</v>
      </c>
      <c r="O1180">
        <v>107</v>
      </c>
      <c r="P1180">
        <v>9.64</v>
      </c>
      <c r="Q1180">
        <v>4.5</v>
      </c>
      <c r="R1180">
        <v>15</v>
      </c>
      <c r="S1180">
        <v>1.22</v>
      </c>
      <c r="T1180">
        <v>3</v>
      </c>
      <c r="U1180" t="s">
        <v>23</v>
      </c>
      <c r="V1180" t="e">
        <f>IF(#REF! = "yes", 1, 0)</f>
        <v>#REF!</v>
      </c>
      <c r="W1180" t="e">
        <f>IF(#REF! &lt;= 1, "0-1 Calls", IF(#REF! &lt;= 3, "2-3 Calls", IF(#REF! &lt;=5, "4-5 Calls", "6+ Calls")))</f>
        <v>#REF!</v>
      </c>
      <c r="X1180" t="e">
        <f>IF(#REF! &lt;= 50, "0-50", IF(#REF! &lt;=100, "51-100", IF(#REF! &lt;= 150, "101-150", "151+")))</f>
        <v>#REF!</v>
      </c>
      <c r="Y1180" t="e">
        <f>IF(#REF! &lt;= 3, "Low Charges", "High Charges")</f>
        <v>#REF!</v>
      </c>
      <c r="Z1180" t="e">
        <f>IF(#REF!&lt;=80,"Low Calls",
IF(#REF!&lt;=120,"Medium Calls","High Calls"))</f>
        <v>#REF!</v>
      </c>
      <c r="AA1180" t="e">
        <f>IF(#REF!&lt;=15,"Low Charges",
IF(#REF!&lt;=20,"Medium Charges","High Charges"))</f>
        <v>#REF!</v>
      </c>
      <c r="AB1180" t="e">
        <f>IF(AND(#REF!&gt;180, #REF!&gt;200), "Heavy Doemstic User", IF(#REF!&gt;10, "Interntional User", IF(AND(#REF!&lt;180, #REF!&lt;200,#REF!&lt;200), "Light User", "Balanced User")))</f>
        <v>#REF!</v>
      </c>
      <c r="AC1180" t="e">
        <f>IF(#REF! = 0, "No Usage", IF(#REF! &lt;= 20, "Low Usage", IF(#REF! &lt;= 40, "Medium Usgae", "High Usage")))</f>
        <v>#REF!</v>
      </c>
      <c r="AD1180" t="e">
        <f>IF(#REF!&lt;=150,"Low Usage", IF(#REF!&lt;=200,"Medium Usage", IF(#REF!&lt;=250,"High Usage","Very High Usage")))</f>
        <v>#REF!</v>
      </c>
      <c r="AE1180" t="e">
        <f>IF(#REF!&lt;=5,"Low Calls", IF(#REF!&lt;=10, "Medium Calls", "High Calls"))</f>
        <v>#REF!</v>
      </c>
      <c r="AF1180" t="e">
        <f xml:space="preserve">
IF(#REF!&gt;=4,4,0)+
IF(#REF!="yes",3,0)+
IF(#REF!="High Charges",3,0)+
IF(#REF!&gt;250,4,0)+
IF(#REF!="no",1,0)+
IF(#REF!="Heavy Domestic User",2,0)</f>
        <v>#REF!</v>
      </c>
      <c r="AG1180" t="e">
        <f>IF(#REF!&gt;=10,"High Risk", IF(#REF!&gt;=5,"Medium Risk","Low Risk"))</f>
        <v>#REF!</v>
      </c>
      <c r="AH1180" t="e">
        <f>#REF! + #REF! + #REF! + #REF!</f>
        <v>#REF!</v>
      </c>
    </row>
    <row r="1181" spans="1:34" x14ac:dyDescent="0.35">
      <c r="A1181">
        <v>1180</v>
      </c>
      <c r="B1181" t="s">
        <v>58</v>
      </c>
      <c r="C1181">
        <v>170</v>
      </c>
      <c r="D1181" t="s">
        <v>21</v>
      </c>
      <c r="E1181" t="s">
        <v>22</v>
      </c>
      <c r="F1181" t="s">
        <v>22</v>
      </c>
      <c r="G1181">
        <v>0</v>
      </c>
      <c r="H1181">
        <v>246.4</v>
      </c>
      <c r="I1181">
        <v>107</v>
      </c>
      <c r="J1181">
        <v>41.89</v>
      </c>
      <c r="K1181">
        <v>228.1</v>
      </c>
      <c r="L1181">
        <v>124</v>
      </c>
      <c r="M1181">
        <v>19.39</v>
      </c>
      <c r="N1181">
        <v>166.4</v>
      </c>
      <c r="O1181">
        <v>95</v>
      </c>
      <c r="P1181">
        <v>7.49</v>
      </c>
      <c r="Q1181">
        <v>9.1</v>
      </c>
      <c r="R1181">
        <v>8</v>
      </c>
      <c r="S1181">
        <v>2.46</v>
      </c>
      <c r="T1181">
        <v>0</v>
      </c>
      <c r="U1181" t="s">
        <v>22</v>
      </c>
      <c r="V1181" t="e">
        <f>IF(#REF! = "yes", 1, 0)</f>
        <v>#REF!</v>
      </c>
      <c r="W1181" t="e">
        <f>IF(#REF! &lt;= 1, "0-1 Calls", IF(#REF! &lt;= 3, "2-3 Calls", IF(#REF! &lt;=5, "4-5 Calls", "6+ Calls")))</f>
        <v>#REF!</v>
      </c>
      <c r="X1181" t="e">
        <f>IF(#REF! &lt;= 50, "0-50", IF(#REF! &lt;=100, "51-100", IF(#REF! &lt;= 150, "101-150", "151+")))</f>
        <v>#REF!</v>
      </c>
      <c r="Y1181" t="e">
        <f>IF(#REF! &lt;= 3, "Low Charges", "High Charges")</f>
        <v>#REF!</v>
      </c>
      <c r="Z1181" t="e">
        <f>IF(#REF!&lt;=80,"Low Calls",
IF(#REF!&lt;=120,"Medium Calls","High Calls"))</f>
        <v>#REF!</v>
      </c>
      <c r="AA1181" t="e">
        <f>IF(#REF!&lt;=15,"Low Charges",
IF(#REF!&lt;=20,"Medium Charges","High Charges"))</f>
        <v>#REF!</v>
      </c>
      <c r="AB1181" t="e">
        <f>IF(AND(#REF!&gt;180, #REF!&gt;200), "Heavy Doemstic User", IF(#REF!&gt;10, "Interntional User", IF(AND(#REF!&lt;180, #REF!&lt;200,#REF!&lt;200), "Light User", "Balanced User")))</f>
        <v>#REF!</v>
      </c>
      <c r="AC1181" t="e">
        <f>IF(#REF! = 0, "No Usage", IF(#REF! &lt;= 20, "Low Usage", IF(#REF! &lt;= 40, "Medium Usgae", "High Usage")))</f>
        <v>#REF!</v>
      </c>
      <c r="AD1181" t="e">
        <f>IF(#REF!&lt;=150,"Low Usage", IF(#REF!&lt;=200,"Medium Usage", IF(#REF!&lt;=250,"High Usage","Very High Usage")))</f>
        <v>#REF!</v>
      </c>
      <c r="AE1181" t="e">
        <f>IF(#REF!&lt;=5,"Low Calls", IF(#REF!&lt;=10, "Medium Calls", "High Calls"))</f>
        <v>#REF!</v>
      </c>
      <c r="AF1181" t="e">
        <f xml:space="preserve">
IF(#REF!&gt;=4,4,0)+
IF(#REF!="yes",3,0)+
IF(#REF!="High Charges",3,0)+
IF(#REF!&gt;250,4,0)+
IF(#REF!="no",1,0)+
IF(#REF!="Heavy Domestic User",2,0)</f>
        <v>#REF!</v>
      </c>
      <c r="AG1181" t="e">
        <f>IF(#REF!&gt;=10,"High Risk", IF(#REF!&gt;=5,"Medium Risk","Low Risk"))</f>
        <v>#REF!</v>
      </c>
      <c r="AH1181" t="e">
        <f>#REF! + #REF! + #REF! + #REF!</f>
        <v>#REF!</v>
      </c>
    </row>
    <row r="1182" spans="1:34" x14ac:dyDescent="0.35">
      <c r="A1182">
        <v>1181</v>
      </c>
      <c r="B1182" t="s">
        <v>45</v>
      </c>
      <c r="C1182">
        <v>105</v>
      </c>
      <c r="D1182" t="s">
        <v>28</v>
      </c>
      <c r="E1182" t="s">
        <v>22</v>
      </c>
      <c r="F1182" t="s">
        <v>22</v>
      </c>
      <c r="G1182">
        <v>0</v>
      </c>
      <c r="H1182">
        <v>227.4</v>
      </c>
      <c r="I1182">
        <v>121</v>
      </c>
      <c r="J1182">
        <v>38.659999999999997</v>
      </c>
      <c r="K1182">
        <v>268.5</v>
      </c>
      <c r="L1182">
        <v>89</v>
      </c>
      <c r="M1182">
        <v>22.82</v>
      </c>
      <c r="N1182">
        <v>143.30000000000001</v>
      </c>
      <c r="O1182">
        <v>82</v>
      </c>
      <c r="P1182">
        <v>6.45</v>
      </c>
      <c r="Q1182">
        <v>13</v>
      </c>
      <c r="R1182">
        <v>4</v>
      </c>
      <c r="S1182">
        <v>3.51</v>
      </c>
      <c r="T1182">
        <v>1</v>
      </c>
      <c r="U1182" t="s">
        <v>22</v>
      </c>
      <c r="V1182" t="e">
        <f>IF(#REF! = "yes", 1, 0)</f>
        <v>#REF!</v>
      </c>
      <c r="W1182" t="e">
        <f>IF(#REF! &lt;= 1, "0-1 Calls", IF(#REF! &lt;= 3, "2-3 Calls", IF(#REF! &lt;=5, "4-5 Calls", "6+ Calls")))</f>
        <v>#REF!</v>
      </c>
      <c r="X1182" t="e">
        <f>IF(#REF! &lt;= 50, "0-50", IF(#REF! &lt;=100, "51-100", IF(#REF! &lt;= 150, "101-150", "151+")))</f>
        <v>#REF!</v>
      </c>
      <c r="Y1182" t="e">
        <f>IF(#REF! &lt;= 3, "Low Charges", "High Charges")</f>
        <v>#REF!</v>
      </c>
      <c r="Z1182" t="e">
        <f>IF(#REF!&lt;=80,"Low Calls",
IF(#REF!&lt;=120,"Medium Calls","High Calls"))</f>
        <v>#REF!</v>
      </c>
      <c r="AA1182" t="e">
        <f>IF(#REF!&lt;=15,"Low Charges",
IF(#REF!&lt;=20,"Medium Charges","High Charges"))</f>
        <v>#REF!</v>
      </c>
      <c r="AB1182" t="e">
        <f>IF(AND(#REF!&gt;180, #REF!&gt;200), "Heavy Doemstic User", IF(#REF!&gt;10, "Interntional User", IF(AND(#REF!&lt;180, #REF!&lt;200,#REF!&lt;200), "Light User", "Balanced User")))</f>
        <v>#REF!</v>
      </c>
      <c r="AC1182" t="e">
        <f>IF(#REF! = 0, "No Usage", IF(#REF! &lt;= 20, "Low Usage", IF(#REF! &lt;= 40, "Medium Usgae", "High Usage")))</f>
        <v>#REF!</v>
      </c>
      <c r="AD1182" t="e">
        <f>IF(#REF!&lt;=150,"Low Usage", IF(#REF!&lt;=200,"Medium Usage", IF(#REF!&lt;=250,"High Usage","Very High Usage")))</f>
        <v>#REF!</v>
      </c>
      <c r="AE1182" t="e">
        <f>IF(#REF!&lt;=5,"Low Calls", IF(#REF!&lt;=10, "Medium Calls", "High Calls"))</f>
        <v>#REF!</v>
      </c>
      <c r="AF1182" t="e">
        <f xml:space="preserve">
IF(#REF!&gt;=4,4,0)+
IF(#REF!="yes",3,0)+
IF(#REF!="High Charges",3,0)+
IF(#REF!&gt;250,4,0)+
IF(#REF!="no",1,0)+
IF(#REF!="Heavy Domestic User",2,0)</f>
        <v>#REF!</v>
      </c>
      <c r="AG1182" t="e">
        <f>IF(#REF!&gt;=10,"High Risk", IF(#REF!&gt;=5,"Medium Risk","Low Risk"))</f>
        <v>#REF!</v>
      </c>
      <c r="AH1182" t="e">
        <f>#REF! + #REF! + #REF! + #REF!</f>
        <v>#REF!</v>
      </c>
    </row>
    <row r="1183" spans="1:34" x14ac:dyDescent="0.35">
      <c r="A1183">
        <v>1182</v>
      </c>
      <c r="B1183" t="s">
        <v>55</v>
      </c>
      <c r="C1183">
        <v>103</v>
      </c>
      <c r="D1183" t="s">
        <v>21</v>
      </c>
      <c r="E1183" t="s">
        <v>22</v>
      </c>
      <c r="F1183" t="s">
        <v>22</v>
      </c>
      <c r="G1183">
        <v>0</v>
      </c>
      <c r="H1183">
        <v>189.8</v>
      </c>
      <c r="I1183">
        <v>110</v>
      </c>
      <c r="J1183">
        <v>32.270000000000003</v>
      </c>
      <c r="K1183">
        <v>115.5</v>
      </c>
      <c r="L1183">
        <v>83</v>
      </c>
      <c r="M1183">
        <v>9.82</v>
      </c>
      <c r="N1183">
        <v>191.3</v>
      </c>
      <c r="O1183">
        <v>103</v>
      </c>
      <c r="P1183">
        <v>8.61</v>
      </c>
      <c r="Q1183">
        <v>12.2</v>
      </c>
      <c r="R1183">
        <v>4</v>
      </c>
      <c r="S1183">
        <v>3.29</v>
      </c>
      <c r="T1183">
        <v>0</v>
      </c>
      <c r="U1183" t="s">
        <v>22</v>
      </c>
      <c r="V1183" t="e">
        <f>IF(#REF! = "yes", 1, 0)</f>
        <v>#REF!</v>
      </c>
      <c r="W1183" t="e">
        <f>IF(#REF! &lt;= 1, "0-1 Calls", IF(#REF! &lt;= 3, "2-3 Calls", IF(#REF! &lt;=5, "4-5 Calls", "6+ Calls")))</f>
        <v>#REF!</v>
      </c>
      <c r="X1183" t="e">
        <f>IF(#REF! &lt;= 50, "0-50", IF(#REF! &lt;=100, "51-100", IF(#REF! &lt;= 150, "101-150", "151+")))</f>
        <v>#REF!</v>
      </c>
      <c r="Y1183" t="e">
        <f>IF(#REF! &lt;= 3, "Low Charges", "High Charges")</f>
        <v>#REF!</v>
      </c>
      <c r="Z1183" t="e">
        <f>IF(#REF!&lt;=80,"Low Calls",
IF(#REF!&lt;=120,"Medium Calls","High Calls"))</f>
        <v>#REF!</v>
      </c>
      <c r="AA1183" t="e">
        <f>IF(#REF!&lt;=15,"Low Charges",
IF(#REF!&lt;=20,"Medium Charges","High Charges"))</f>
        <v>#REF!</v>
      </c>
      <c r="AB1183" t="e">
        <f>IF(AND(#REF!&gt;180, #REF!&gt;200), "Heavy Doemstic User", IF(#REF!&gt;10, "Interntional User", IF(AND(#REF!&lt;180, #REF!&lt;200,#REF!&lt;200), "Light User", "Balanced User")))</f>
        <v>#REF!</v>
      </c>
      <c r="AC1183" t="e">
        <f>IF(#REF! = 0, "No Usage", IF(#REF! &lt;= 20, "Low Usage", IF(#REF! &lt;= 40, "Medium Usgae", "High Usage")))</f>
        <v>#REF!</v>
      </c>
      <c r="AD1183" t="e">
        <f>IF(#REF!&lt;=150,"Low Usage", IF(#REF!&lt;=200,"Medium Usage", IF(#REF!&lt;=250,"High Usage","Very High Usage")))</f>
        <v>#REF!</v>
      </c>
      <c r="AE1183" t="e">
        <f>IF(#REF!&lt;=5,"Low Calls", IF(#REF!&lt;=10, "Medium Calls", "High Calls"))</f>
        <v>#REF!</v>
      </c>
      <c r="AF1183" t="e">
        <f xml:space="preserve">
IF(#REF!&gt;=4,4,0)+
IF(#REF!="yes",3,0)+
IF(#REF!="High Charges",3,0)+
IF(#REF!&gt;250,4,0)+
IF(#REF!="no",1,0)+
IF(#REF!="Heavy Domestic User",2,0)</f>
        <v>#REF!</v>
      </c>
      <c r="AG1183" t="e">
        <f>IF(#REF!&gt;=10,"High Risk", IF(#REF!&gt;=5,"Medium Risk","Low Risk"))</f>
        <v>#REF!</v>
      </c>
      <c r="AH1183" t="e">
        <f>#REF! + #REF! + #REF! + #REF!</f>
        <v>#REF!</v>
      </c>
    </row>
    <row r="1184" spans="1:34" x14ac:dyDescent="0.35">
      <c r="A1184">
        <v>1183</v>
      </c>
      <c r="B1184" t="s">
        <v>49</v>
      </c>
      <c r="C1184">
        <v>140</v>
      </c>
      <c r="D1184" t="s">
        <v>21</v>
      </c>
      <c r="E1184" t="s">
        <v>23</v>
      </c>
      <c r="F1184" t="s">
        <v>23</v>
      </c>
      <c r="G1184">
        <v>27</v>
      </c>
      <c r="H1184">
        <v>188.9</v>
      </c>
      <c r="I1184">
        <v>124</v>
      </c>
      <c r="J1184">
        <v>32.11</v>
      </c>
      <c r="K1184">
        <v>160.9</v>
      </c>
      <c r="L1184">
        <v>102</v>
      </c>
      <c r="M1184">
        <v>13.68</v>
      </c>
      <c r="N1184">
        <v>197.7</v>
      </c>
      <c r="O1184">
        <v>100</v>
      </c>
      <c r="P1184">
        <v>8.9</v>
      </c>
      <c r="Q1184">
        <v>11.5</v>
      </c>
      <c r="R1184">
        <v>5</v>
      </c>
      <c r="S1184">
        <v>3.11</v>
      </c>
      <c r="T1184">
        <v>4</v>
      </c>
      <c r="U1184" t="s">
        <v>22</v>
      </c>
      <c r="V1184" t="e">
        <f>IF(#REF! = "yes", 1, 0)</f>
        <v>#REF!</v>
      </c>
      <c r="W1184" t="e">
        <f>IF(#REF! &lt;= 1, "0-1 Calls", IF(#REF! &lt;= 3, "2-3 Calls", IF(#REF! &lt;=5, "4-5 Calls", "6+ Calls")))</f>
        <v>#REF!</v>
      </c>
      <c r="X1184" t="e">
        <f>IF(#REF! &lt;= 50, "0-50", IF(#REF! &lt;=100, "51-100", IF(#REF! &lt;= 150, "101-150", "151+")))</f>
        <v>#REF!</v>
      </c>
      <c r="Y1184" t="e">
        <f>IF(#REF! &lt;= 3, "Low Charges", "High Charges")</f>
        <v>#REF!</v>
      </c>
      <c r="Z1184" t="e">
        <f>IF(#REF!&lt;=80,"Low Calls",
IF(#REF!&lt;=120,"Medium Calls","High Calls"))</f>
        <v>#REF!</v>
      </c>
      <c r="AA1184" t="e">
        <f>IF(#REF!&lt;=15,"Low Charges",
IF(#REF!&lt;=20,"Medium Charges","High Charges"))</f>
        <v>#REF!</v>
      </c>
      <c r="AB1184" t="e">
        <f>IF(AND(#REF!&gt;180, #REF!&gt;200), "Heavy Doemstic User", IF(#REF!&gt;10, "Interntional User", IF(AND(#REF!&lt;180, #REF!&lt;200,#REF!&lt;200), "Light User", "Balanced User")))</f>
        <v>#REF!</v>
      </c>
      <c r="AC1184" t="e">
        <f>IF(#REF! = 0, "No Usage", IF(#REF! &lt;= 20, "Low Usage", IF(#REF! &lt;= 40, "Medium Usgae", "High Usage")))</f>
        <v>#REF!</v>
      </c>
      <c r="AD1184" t="e">
        <f>IF(#REF!&lt;=150,"Low Usage", IF(#REF!&lt;=200,"Medium Usage", IF(#REF!&lt;=250,"High Usage","Very High Usage")))</f>
        <v>#REF!</v>
      </c>
      <c r="AE1184" t="e">
        <f>IF(#REF!&lt;=5,"Low Calls", IF(#REF!&lt;=10, "Medium Calls", "High Calls"))</f>
        <v>#REF!</v>
      </c>
      <c r="AF1184" t="e">
        <f xml:space="preserve">
IF(#REF!&gt;=4,4,0)+
IF(#REF!="yes",3,0)+
IF(#REF!="High Charges",3,0)+
IF(#REF!&gt;250,4,0)+
IF(#REF!="no",1,0)+
IF(#REF!="Heavy Domestic User",2,0)</f>
        <v>#REF!</v>
      </c>
      <c r="AG1184" t="e">
        <f>IF(#REF!&gt;=10,"High Risk", IF(#REF!&gt;=5,"Medium Risk","Low Risk"))</f>
        <v>#REF!</v>
      </c>
      <c r="AH1184" t="e">
        <f>#REF! + #REF! + #REF! + #REF!</f>
        <v>#REF!</v>
      </c>
    </row>
    <row r="1185" spans="1:34" x14ac:dyDescent="0.35">
      <c r="A1185">
        <v>1184</v>
      </c>
      <c r="B1185" t="s">
        <v>64</v>
      </c>
      <c r="C1185">
        <v>101</v>
      </c>
      <c r="D1185" t="s">
        <v>28</v>
      </c>
      <c r="E1185" t="s">
        <v>22</v>
      </c>
      <c r="F1185" t="s">
        <v>22</v>
      </c>
      <c r="G1185">
        <v>0</v>
      </c>
      <c r="H1185">
        <v>0</v>
      </c>
      <c r="I1185">
        <v>0</v>
      </c>
      <c r="J1185">
        <v>0</v>
      </c>
      <c r="K1185">
        <v>192.1</v>
      </c>
      <c r="L1185">
        <v>119</v>
      </c>
      <c r="M1185">
        <v>16.329999999999998</v>
      </c>
      <c r="N1185">
        <v>168.8</v>
      </c>
      <c r="O1185">
        <v>95</v>
      </c>
      <c r="P1185">
        <v>7.6</v>
      </c>
      <c r="Q1185">
        <v>7.2</v>
      </c>
      <c r="R1185">
        <v>4</v>
      </c>
      <c r="S1185">
        <v>1.94</v>
      </c>
      <c r="T1185">
        <v>1</v>
      </c>
      <c r="U1185" t="s">
        <v>22</v>
      </c>
      <c r="V1185" t="e">
        <f>IF(#REF! = "yes", 1, 0)</f>
        <v>#REF!</v>
      </c>
      <c r="W1185" t="e">
        <f>IF(#REF! &lt;= 1, "0-1 Calls", IF(#REF! &lt;= 3, "2-3 Calls", IF(#REF! &lt;=5, "4-5 Calls", "6+ Calls")))</f>
        <v>#REF!</v>
      </c>
      <c r="X1185" t="e">
        <f>IF(#REF! &lt;= 50, "0-50", IF(#REF! &lt;=100, "51-100", IF(#REF! &lt;= 150, "101-150", "151+")))</f>
        <v>#REF!</v>
      </c>
      <c r="Y1185" t="e">
        <f>IF(#REF! &lt;= 3, "Low Charges", "High Charges")</f>
        <v>#REF!</v>
      </c>
      <c r="Z1185" t="e">
        <f>IF(#REF!&lt;=80,"Low Calls",
IF(#REF!&lt;=120,"Medium Calls","High Calls"))</f>
        <v>#REF!</v>
      </c>
      <c r="AA1185" t="e">
        <f>IF(#REF!&lt;=15,"Low Charges",
IF(#REF!&lt;=20,"Medium Charges","High Charges"))</f>
        <v>#REF!</v>
      </c>
      <c r="AB1185" t="e">
        <f>IF(AND(#REF!&gt;180, #REF!&gt;200), "Heavy Doemstic User", IF(#REF!&gt;10, "Interntional User", IF(AND(#REF!&lt;180, #REF!&lt;200,#REF!&lt;200), "Light User", "Balanced User")))</f>
        <v>#REF!</v>
      </c>
      <c r="AC1185" t="e">
        <f>IF(#REF! = 0, "No Usage", IF(#REF! &lt;= 20, "Low Usage", IF(#REF! &lt;= 40, "Medium Usgae", "High Usage")))</f>
        <v>#REF!</v>
      </c>
      <c r="AD1185" t="e">
        <f>IF(#REF!&lt;=150,"Low Usage", IF(#REF!&lt;=200,"Medium Usage", IF(#REF!&lt;=250,"High Usage","Very High Usage")))</f>
        <v>#REF!</v>
      </c>
      <c r="AE1185" t="e">
        <f>IF(#REF!&lt;=5,"Low Calls", IF(#REF!&lt;=10, "Medium Calls", "High Calls"))</f>
        <v>#REF!</v>
      </c>
      <c r="AF1185" t="e">
        <f xml:space="preserve">
IF(#REF!&gt;=4,4,0)+
IF(#REF!="yes",3,0)+
IF(#REF!="High Charges",3,0)+
IF(#REF!&gt;250,4,0)+
IF(#REF!="no",1,0)+
IF(#REF!="Heavy Domestic User",2,0)</f>
        <v>#REF!</v>
      </c>
      <c r="AG1185" t="e">
        <f>IF(#REF!&gt;=10,"High Risk", IF(#REF!&gt;=5,"Medium Risk","Low Risk"))</f>
        <v>#REF!</v>
      </c>
      <c r="AH1185" t="e">
        <f>#REF! + #REF! + #REF! + #REF!</f>
        <v>#REF!</v>
      </c>
    </row>
    <row r="1186" spans="1:34" x14ac:dyDescent="0.35">
      <c r="A1186">
        <v>1185</v>
      </c>
      <c r="B1186" t="s">
        <v>39</v>
      </c>
      <c r="C1186">
        <v>98</v>
      </c>
      <c r="D1186" t="s">
        <v>25</v>
      </c>
      <c r="E1186" t="s">
        <v>22</v>
      </c>
      <c r="F1186" t="s">
        <v>23</v>
      </c>
      <c r="G1186">
        <v>19</v>
      </c>
      <c r="H1186">
        <v>110.5</v>
      </c>
      <c r="I1186">
        <v>87</v>
      </c>
      <c r="J1186">
        <v>18.79</v>
      </c>
      <c r="K1186">
        <v>227.8</v>
      </c>
      <c r="L1186">
        <v>97</v>
      </c>
      <c r="M1186">
        <v>19.36</v>
      </c>
      <c r="N1186">
        <v>243.6</v>
      </c>
      <c r="O1186">
        <v>84</v>
      </c>
      <c r="P1186">
        <v>10.96</v>
      </c>
      <c r="Q1186">
        <v>11</v>
      </c>
      <c r="R1186">
        <v>4</v>
      </c>
      <c r="S1186">
        <v>2.97</v>
      </c>
      <c r="T1186">
        <v>1</v>
      </c>
      <c r="U1186" t="s">
        <v>22</v>
      </c>
      <c r="V1186" t="e">
        <f>IF(#REF! = "yes", 1, 0)</f>
        <v>#REF!</v>
      </c>
      <c r="W1186" t="e">
        <f>IF(#REF! &lt;= 1, "0-1 Calls", IF(#REF! &lt;= 3, "2-3 Calls", IF(#REF! &lt;=5, "4-5 Calls", "6+ Calls")))</f>
        <v>#REF!</v>
      </c>
      <c r="X1186" t="e">
        <f>IF(#REF! &lt;= 50, "0-50", IF(#REF! &lt;=100, "51-100", IF(#REF! &lt;= 150, "101-150", "151+")))</f>
        <v>#REF!</v>
      </c>
      <c r="Y1186" t="e">
        <f>IF(#REF! &lt;= 3, "Low Charges", "High Charges")</f>
        <v>#REF!</v>
      </c>
      <c r="Z1186" t="e">
        <f>IF(#REF!&lt;=80,"Low Calls",
IF(#REF!&lt;=120,"Medium Calls","High Calls"))</f>
        <v>#REF!</v>
      </c>
      <c r="AA1186" t="e">
        <f>IF(#REF!&lt;=15,"Low Charges",
IF(#REF!&lt;=20,"Medium Charges","High Charges"))</f>
        <v>#REF!</v>
      </c>
      <c r="AB1186" t="e">
        <f>IF(AND(#REF!&gt;180, #REF!&gt;200), "Heavy Doemstic User", IF(#REF!&gt;10, "Interntional User", IF(AND(#REF!&lt;180, #REF!&lt;200,#REF!&lt;200), "Light User", "Balanced User")))</f>
        <v>#REF!</v>
      </c>
      <c r="AC1186" t="e">
        <f>IF(#REF! = 0, "No Usage", IF(#REF! &lt;= 20, "Low Usage", IF(#REF! &lt;= 40, "Medium Usgae", "High Usage")))</f>
        <v>#REF!</v>
      </c>
      <c r="AD1186" t="e">
        <f>IF(#REF!&lt;=150,"Low Usage", IF(#REF!&lt;=200,"Medium Usage", IF(#REF!&lt;=250,"High Usage","Very High Usage")))</f>
        <v>#REF!</v>
      </c>
      <c r="AE1186" t="e">
        <f>IF(#REF!&lt;=5,"Low Calls", IF(#REF!&lt;=10, "Medium Calls", "High Calls"))</f>
        <v>#REF!</v>
      </c>
      <c r="AF1186" t="e">
        <f xml:space="preserve">
IF(#REF!&gt;=4,4,0)+
IF(#REF!="yes",3,0)+
IF(#REF!="High Charges",3,0)+
IF(#REF!&gt;250,4,0)+
IF(#REF!="no",1,0)+
IF(#REF!="Heavy Domestic User",2,0)</f>
        <v>#REF!</v>
      </c>
      <c r="AG1186" t="e">
        <f>IF(#REF!&gt;=10,"High Risk", IF(#REF!&gt;=5,"Medium Risk","Low Risk"))</f>
        <v>#REF!</v>
      </c>
      <c r="AH1186" t="e">
        <f>#REF! + #REF! + #REF! + #REF!</f>
        <v>#REF!</v>
      </c>
    </row>
    <row r="1187" spans="1:34" x14ac:dyDescent="0.35">
      <c r="A1187">
        <v>1186</v>
      </c>
      <c r="B1187" t="s">
        <v>42</v>
      </c>
      <c r="C1187">
        <v>104</v>
      </c>
      <c r="D1187" t="s">
        <v>25</v>
      </c>
      <c r="E1187" t="s">
        <v>22</v>
      </c>
      <c r="F1187" t="s">
        <v>22</v>
      </c>
      <c r="G1187">
        <v>0</v>
      </c>
      <c r="H1187">
        <v>167.6</v>
      </c>
      <c r="I1187">
        <v>116</v>
      </c>
      <c r="J1187">
        <v>28.49</v>
      </c>
      <c r="K1187">
        <v>219.2</v>
      </c>
      <c r="L1187">
        <v>112</v>
      </c>
      <c r="M1187">
        <v>18.63</v>
      </c>
      <c r="N1187">
        <v>215.9</v>
      </c>
      <c r="O1187">
        <v>94</v>
      </c>
      <c r="P1187">
        <v>9.7200000000000006</v>
      </c>
      <c r="Q1187">
        <v>11.7</v>
      </c>
      <c r="R1187">
        <v>2</v>
      </c>
      <c r="S1187">
        <v>3.16</v>
      </c>
      <c r="T1187">
        <v>4</v>
      </c>
      <c r="U1187" t="s">
        <v>22</v>
      </c>
      <c r="V1187" t="e">
        <f>IF(#REF! = "yes", 1, 0)</f>
        <v>#REF!</v>
      </c>
      <c r="W1187" t="e">
        <f>IF(#REF! &lt;= 1, "0-1 Calls", IF(#REF! &lt;= 3, "2-3 Calls", IF(#REF! &lt;=5, "4-5 Calls", "6+ Calls")))</f>
        <v>#REF!</v>
      </c>
      <c r="X1187" t="e">
        <f>IF(#REF! &lt;= 50, "0-50", IF(#REF! &lt;=100, "51-100", IF(#REF! &lt;= 150, "101-150", "151+")))</f>
        <v>#REF!</v>
      </c>
      <c r="Y1187" t="e">
        <f>IF(#REF! &lt;= 3, "Low Charges", "High Charges")</f>
        <v>#REF!</v>
      </c>
      <c r="Z1187" t="e">
        <f>IF(#REF!&lt;=80,"Low Calls",
IF(#REF!&lt;=120,"Medium Calls","High Calls"))</f>
        <v>#REF!</v>
      </c>
      <c r="AA1187" t="e">
        <f>IF(#REF!&lt;=15,"Low Charges",
IF(#REF!&lt;=20,"Medium Charges","High Charges"))</f>
        <v>#REF!</v>
      </c>
      <c r="AB1187" t="e">
        <f>IF(AND(#REF!&gt;180, #REF!&gt;200), "Heavy Doemstic User", IF(#REF!&gt;10, "Interntional User", IF(AND(#REF!&lt;180, #REF!&lt;200,#REF!&lt;200), "Light User", "Balanced User")))</f>
        <v>#REF!</v>
      </c>
      <c r="AC1187" t="e">
        <f>IF(#REF! = 0, "No Usage", IF(#REF! &lt;= 20, "Low Usage", IF(#REF! &lt;= 40, "Medium Usgae", "High Usage")))</f>
        <v>#REF!</v>
      </c>
      <c r="AD1187" t="e">
        <f>IF(#REF!&lt;=150,"Low Usage", IF(#REF!&lt;=200,"Medium Usage", IF(#REF!&lt;=250,"High Usage","Very High Usage")))</f>
        <v>#REF!</v>
      </c>
      <c r="AE1187" t="e">
        <f>IF(#REF!&lt;=5,"Low Calls", IF(#REF!&lt;=10, "Medium Calls", "High Calls"))</f>
        <v>#REF!</v>
      </c>
      <c r="AF1187" t="e">
        <f xml:space="preserve">
IF(#REF!&gt;=4,4,0)+
IF(#REF!="yes",3,0)+
IF(#REF!="High Charges",3,0)+
IF(#REF!&gt;250,4,0)+
IF(#REF!="no",1,0)+
IF(#REF!="Heavy Domestic User",2,0)</f>
        <v>#REF!</v>
      </c>
      <c r="AG1187" t="e">
        <f>IF(#REF!&gt;=10,"High Risk", IF(#REF!&gt;=5,"Medium Risk","Low Risk"))</f>
        <v>#REF!</v>
      </c>
      <c r="AH1187" t="e">
        <f>#REF! + #REF! + #REF! + #REF!</f>
        <v>#REF!</v>
      </c>
    </row>
    <row r="1188" spans="1:34" x14ac:dyDescent="0.35">
      <c r="A1188">
        <v>1187</v>
      </c>
      <c r="B1188" t="s">
        <v>38</v>
      </c>
      <c r="C1188">
        <v>115</v>
      </c>
      <c r="D1188" t="s">
        <v>21</v>
      </c>
      <c r="E1188" t="s">
        <v>22</v>
      </c>
      <c r="F1188" t="s">
        <v>22</v>
      </c>
      <c r="G1188">
        <v>0</v>
      </c>
      <c r="H1188">
        <v>132</v>
      </c>
      <c r="I1188">
        <v>90</v>
      </c>
      <c r="J1188">
        <v>22.44</v>
      </c>
      <c r="K1188">
        <v>197.5</v>
      </c>
      <c r="L1188">
        <v>75</v>
      </c>
      <c r="M1188">
        <v>16.79</v>
      </c>
      <c r="N1188">
        <v>175.8</v>
      </c>
      <c r="O1188">
        <v>114</v>
      </c>
      <c r="P1188">
        <v>7.91</v>
      </c>
      <c r="Q1188">
        <v>0</v>
      </c>
      <c r="R1188">
        <v>0</v>
      </c>
      <c r="S1188">
        <v>0</v>
      </c>
      <c r="T1188">
        <v>3</v>
      </c>
      <c r="U1188" t="s">
        <v>22</v>
      </c>
      <c r="V1188" t="e">
        <f>IF(#REF! = "yes", 1, 0)</f>
        <v>#REF!</v>
      </c>
      <c r="W1188" t="e">
        <f>IF(#REF! &lt;= 1, "0-1 Calls", IF(#REF! &lt;= 3, "2-3 Calls", IF(#REF! &lt;=5, "4-5 Calls", "6+ Calls")))</f>
        <v>#REF!</v>
      </c>
      <c r="X1188" t="e">
        <f>IF(#REF! &lt;= 50, "0-50", IF(#REF! &lt;=100, "51-100", IF(#REF! &lt;= 150, "101-150", "151+")))</f>
        <v>#REF!</v>
      </c>
      <c r="Y1188" t="e">
        <f>IF(#REF! &lt;= 3, "Low Charges", "High Charges")</f>
        <v>#REF!</v>
      </c>
      <c r="Z1188" t="e">
        <f>IF(#REF!&lt;=80,"Low Calls",
IF(#REF!&lt;=120,"Medium Calls","High Calls"))</f>
        <v>#REF!</v>
      </c>
      <c r="AA1188" t="e">
        <f>IF(#REF!&lt;=15,"Low Charges",
IF(#REF!&lt;=20,"Medium Charges","High Charges"))</f>
        <v>#REF!</v>
      </c>
      <c r="AB1188" t="e">
        <f>IF(AND(#REF!&gt;180, #REF!&gt;200), "Heavy Doemstic User", IF(#REF!&gt;10, "Interntional User", IF(AND(#REF!&lt;180, #REF!&lt;200,#REF!&lt;200), "Light User", "Balanced User")))</f>
        <v>#REF!</v>
      </c>
      <c r="AC1188" t="e">
        <f>IF(#REF! = 0, "No Usage", IF(#REF! &lt;= 20, "Low Usage", IF(#REF! &lt;= 40, "Medium Usgae", "High Usage")))</f>
        <v>#REF!</v>
      </c>
      <c r="AD1188" t="e">
        <f>IF(#REF!&lt;=150,"Low Usage", IF(#REF!&lt;=200,"Medium Usage", IF(#REF!&lt;=250,"High Usage","Very High Usage")))</f>
        <v>#REF!</v>
      </c>
      <c r="AE1188" t="e">
        <f>IF(#REF!&lt;=5,"Low Calls", IF(#REF!&lt;=10, "Medium Calls", "High Calls"))</f>
        <v>#REF!</v>
      </c>
      <c r="AF1188" t="e">
        <f xml:space="preserve">
IF(#REF!&gt;=4,4,0)+
IF(#REF!="yes",3,0)+
IF(#REF!="High Charges",3,0)+
IF(#REF!&gt;250,4,0)+
IF(#REF!="no",1,0)+
IF(#REF!="Heavy Domestic User",2,0)</f>
        <v>#REF!</v>
      </c>
      <c r="AG1188" t="e">
        <f>IF(#REF!&gt;=10,"High Risk", IF(#REF!&gt;=5,"Medium Risk","Low Risk"))</f>
        <v>#REF!</v>
      </c>
      <c r="AH1188" t="e">
        <f>#REF! + #REF! + #REF! + #REF!</f>
        <v>#REF!</v>
      </c>
    </row>
    <row r="1189" spans="1:34" x14ac:dyDescent="0.35">
      <c r="A1189">
        <v>1188</v>
      </c>
      <c r="B1189" t="s">
        <v>69</v>
      </c>
      <c r="C1189">
        <v>70</v>
      </c>
      <c r="D1189" t="s">
        <v>21</v>
      </c>
      <c r="E1189" t="s">
        <v>22</v>
      </c>
      <c r="F1189" t="s">
        <v>22</v>
      </c>
      <c r="G1189">
        <v>0</v>
      </c>
      <c r="H1189">
        <v>213.4</v>
      </c>
      <c r="I1189">
        <v>86</v>
      </c>
      <c r="J1189">
        <v>36.28</v>
      </c>
      <c r="K1189">
        <v>204.7</v>
      </c>
      <c r="L1189">
        <v>77</v>
      </c>
      <c r="M1189">
        <v>17.399999999999999</v>
      </c>
      <c r="N1189">
        <v>256.60000000000002</v>
      </c>
      <c r="O1189">
        <v>101</v>
      </c>
      <c r="P1189">
        <v>11.55</v>
      </c>
      <c r="Q1189">
        <v>5.7</v>
      </c>
      <c r="R1189">
        <v>4</v>
      </c>
      <c r="S1189">
        <v>1.54</v>
      </c>
      <c r="T1189">
        <v>1</v>
      </c>
      <c r="U1189" t="s">
        <v>22</v>
      </c>
      <c r="V1189" t="e">
        <f>IF(#REF! = "yes", 1, 0)</f>
        <v>#REF!</v>
      </c>
      <c r="W1189" t="e">
        <f>IF(#REF! &lt;= 1, "0-1 Calls", IF(#REF! &lt;= 3, "2-3 Calls", IF(#REF! &lt;=5, "4-5 Calls", "6+ Calls")))</f>
        <v>#REF!</v>
      </c>
      <c r="X1189" t="e">
        <f>IF(#REF! &lt;= 50, "0-50", IF(#REF! &lt;=100, "51-100", IF(#REF! &lt;= 150, "101-150", "151+")))</f>
        <v>#REF!</v>
      </c>
      <c r="Y1189" t="e">
        <f>IF(#REF! &lt;= 3, "Low Charges", "High Charges")</f>
        <v>#REF!</v>
      </c>
      <c r="Z1189" t="e">
        <f>IF(#REF!&lt;=80,"Low Calls",
IF(#REF!&lt;=120,"Medium Calls","High Calls"))</f>
        <v>#REF!</v>
      </c>
      <c r="AA1189" t="e">
        <f>IF(#REF!&lt;=15,"Low Charges",
IF(#REF!&lt;=20,"Medium Charges","High Charges"))</f>
        <v>#REF!</v>
      </c>
      <c r="AB1189" t="e">
        <f>IF(AND(#REF!&gt;180, #REF!&gt;200), "Heavy Doemstic User", IF(#REF!&gt;10, "Interntional User", IF(AND(#REF!&lt;180, #REF!&lt;200,#REF!&lt;200), "Light User", "Balanced User")))</f>
        <v>#REF!</v>
      </c>
      <c r="AC1189" t="e">
        <f>IF(#REF! = 0, "No Usage", IF(#REF! &lt;= 20, "Low Usage", IF(#REF! &lt;= 40, "Medium Usgae", "High Usage")))</f>
        <v>#REF!</v>
      </c>
      <c r="AD1189" t="e">
        <f>IF(#REF!&lt;=150,"Low Usage", IF(#REF!&lt;=200,"Medium Usage", IF(#REF!&lt;=250,"High Usage","Very High Usage")))</f>
        <v>#REF!</v>
      </c>
      <c r="AE1189" t="e">
        <f>IF(#REF!&lt;=5,"Low Calls", IF(#REF!&lt;=10, "Medium Calls", "High Calls"))</f>
        <v>#REF!</v>
      </c>
      <c r="AF1189" t="e">
        <f xml:space="preserve">
IF(#REF!&gt;=4,4,0)+
IF(#REF!="yes",3,0)+
IF(#REF!="High Charges",3,0)+
IF(#REF!&gt;250,4,0)+
IF(#REF!="no",1,0)+
IF(#REF!="Heavy Domestic User",2,0)</f>
        <v>#REF!</v>
      </c>
      <c r="AG1189" t="e">
        <f>IF(#REF!&gt;=10,"High Risk", IF(#REF!&gt;=5,"Medium Risk","Low Risk"))</f>
        <v>#REF!</v>
      </c>
      <c r="AH1189" t="e">
        <f>#REF! + #REF! + #REF! + #REF!</f>
        <v>#REF!</v>
      </c>
    </row>
    <row r="1190" spans="1:34" x14ac:dyDescent="0.35">
      <c r="A1190">
        <v>1189</v>
      </c>
      <c r="B1190" t="s">
        <v>65</v>
      </c>
      <c r="C1190">
        <v>126</v>
      </c>
      <c r="D1190" t="s">
        <v>28</v>
      </c>
      <c r="E1190" t="s">
        <v>22</v>
      </c>
      <c r="F1190" t="s">
        <v>22</v>
      </c>
      <c r="G1190">
        <v>0</v>
      </c>
      <c r="H1190">
        <v>175.4</v>
      </c>
      <c r="I1190">
        <v>120</v>
      </c>
      <c r="J1190">
        <v>29.82</v>
      </c>
      <c r="K1190">
        <v>98.3</v>
      </c>
      <c r="L1190">
        <v>71</v>
      </c>
      <c r="M1190">
        <v>8.36</v>
      </c>
      <c r="N1190">
        <v>201.9</v>
      </c>
      <c r="O1190">
        <v>93</v>
      </c>
      <c r="P1190">
        <v>9.09</v>
      </c>
      <c r="Q1190">
        <v>10.6</v>
      </c>
      <c r="R1190">
        <v>1</v>
      </c>
      <c r="S1190">
        <v>2.86</v>
      </c>
      <c r="T1190">
        <v>0</v>
      </c>
      <c r="U1190" t="s">
        <v>22</v>
      </c>
      <c r="V1190" t="e">
        <f>IF(#REF! = "yes", 1, 0)</f>
        <v>#REF!</v>
      </c>
      <c r="W1190" t="e">
        <f>IF(#REF! &lt;= 1, "0-1 Calls", IF(#REF! &lt;= 3, "2-3 Calls", IF(#REF! &lt;=5, "4-5 Calls", "6+ Calls")))</f>
        <v>#REF!</v>
      </c>
      <c r="X1190" t="e">
        <f>IF(#REF! &lt;= 50, "0-50", IF(#REF! &lt;=100, "51-100", IF(#REF! &lt;= 150, "101-150", "151+")))</f>
        <v>#REF!</v>
      </c>
      <c r="Y1190" t="e">
        <f>IF(#REF! &lt;= 3, "Low Charges", "High Charges")</f>
        <v>#REF!</v>
      </c>
      <c r="Z1190" t="e">
        <f>IF(#REF!&lt;=80,"Low Calls",
IF(#REF!&lt;=120,"Medium Calls","High Calls"))</f>
        <v>#REF!</v>
      </c>
      <c r="AA1190" t="e">
        <f>IF(#REF!&lt;=15,"Low Charges",
IF(#REF!&lt;=20,"Medium Charges","High Charges"))</f>
        <v>#REF!</v>
      </c>
      <c r="AB1190" t="e">
        <f>IF(AND(#REF!&gt;180, #REF!&gt;200), "Heavy Doemstic User", IF(#REF!&gt;10, "Interntional User", IF(AND(#REF!&lt;180, #REF!&lt;200,#REF!&lt;200), "Light User", "Balanced User")))</f>
        <v>#REF!</v>
      </c>
      <c r="AC1190" t="e">
        <f>IF(#REF! = 0, "No Usage", IF(#REF! &lt;= 20, "Low Usage", IF(#REF! &lt;= 40, "Medium Usgae", "High Usage")))</f>
        <v>#REF!</v>
      </c>
      <c r="AD1190" t="e">
        <f>IF(#REF!&lt;=150,"Low Usage", IF(#REF!&lt;=200,"Medium Usage", IF(#REF!&lt;=250,"High Usage","Very High Usage")))</f>
        <v>#REF!</v>
      </c>
      <c r="AE1190" t="e">
        <f>IF(#REF!&lt;=5,"Low Calls", IF(#REF!&lt;=10, "Medium Calls", "High Calls"))</f>
        <v>#REF!</v>
      </c>
      <c r="AF1190" t="e">
        <f xml:space="preserve">
IF(#REF!&gt;=4,4,0)+
IF(#REF!="yes",3,0)+
IF(#REF!="High Charges",3,0)+
IF(#REF!&gt;250,4,0)+
IF(#REF!="no",1,0)+
IF(#REF!="Heavy Domestic User",2,0)</f>
        <v>#REF!</v>
      </c>
      <c r="AG1190" t="e">
        <f>IF(#REF!&gt;=10,"High Risk", IF(#REF!&gt;=5,"Medium Risk","Low Risk"))</f>
        <v>#REF!</v>
      </c>
      <c r="AH1190" t="e">
        <f>#REF! + #REF! + #REF! + #REF!</f>
        <v>#REF!</v>
      </c>
    </row>
    <row r="1191" spans="1:34" x14ac:dyDescent="0.35">
      <c r="A1191">
        <v>1190</v>
      </c>
      <c r="B1191" t="s">
        <v>62</v>
      </c>
      <c r="C1191">
        <v>87</v>
      </c>
      <c r="D1191" t="s">
        <v>28</v>
      </c>
      <c r="E1191" t="s">
        <v>22</v>
      </c>
      <c r="F1191" t="s">
        <v>23</v>
      </c>
      <c r="G1191">
        <v>39</v>
      </c>
      <c r="H1191">
        <v>82.6</v>
      </c>
      <c r="I1191">
        <v>113</v>
      </c>
      <c r="J1191">
        <v>14.04</v>
      </c>
      <c r="K1191">
        <v>224.4</v>
      </c>
      <c r="L1191">
        <v>63</v>
      </c>
      <c r="M1191">
        <v>19.07</v>
      </c>
      <c r="N1191">
        <v>163.6</v>
      </c>
      <c r="O1191">
        <v>88</v>
      </c>
      <c r="P1191">
        <v>7.36</v>
      </c>
      <c r="Q1191">
        <v>9.5</v>
      </c>
      <c r="R1191">
        <v>1</v>
      </c>
      <c r="S1191">
        <v>2.57</v>
      </c>
      <c r="T1191">
        <v>3</v>
      </c>
      <c r="U1191" t="s">
        <v>22</v>
      </c>
      <c r="V1191" t="e">
        <f>IF(#REF! = "yes", 1, 0)</f>
        <v>#REF!</v>
      </c>
      <c r="W1191" t="e">
        <f>IF(#REF! &lt;= 1, "0-1 Calls", IF(#REF! &lt;= 3, "2-3 Calls", IF(#REF! &lt;=5, "4-5 Calls", "6+ Calls")))</f>
        <v>#REF!</v>
      </c>
      <c r="X1191" t="e">
        <f>IF(#REF! &lt;= 50, "0-50", IF(#REF! &lt;=100, "51-100", IF(#REF! &lt;= 150, "101-150", "151+")))</f>
        <v>#REF!</v>
      </c>
      <c r="Y1191" t="e">
        <f>IF(#REF! &lt;= 3, "Low Charges", "High Charges")</f>
        <v>#REF!</v>
      </c>
      <c r="Z1191" t="e">
        <f>IF(#REF!&lt;=80,"Low Calls",
IF(#REF!&lt;=120,"Medium Calls","High Calls"))</f>
        <v>#REF!</v>
      </c>
      <c r="AA1191" t="e">
        <f>IF(#REF!&lt;=15,"Low Charges",
IF(#REF!&lt;=20,"Medium Charges","High Charges"))</f>
        <v>#REF!</v>
      </c>
      <c r="AB1191" t="e">
        <f>IF(AND(#REF!&gt;180, #REF!&gt;200), "Heavy Doemstic User", IF(#REF!&gt;10, "Interntional User", IF(AND(#REF!&lt;180, #REF!&lt;200,#REF!&lt;200), "Light User", "Balanced User")))</f>
        <v>#REF!</v>
      </c>
      <c r="AC1191" t="e">
        <f>IF(#REF! = 0, "No Usage", IF(#REF! &lt;= 20, "Low Usage", IF(#REF! &lt;= 40, "Medium Usgae", "High Usage")))</f>
        <v>#REF!</v>
      </c>
      <c r="AD1191" t="e">
        <f>IF(#REF!&lt;=150,"Low Usage", IF(#REF!&lt;=200,"Medium Usage", IF(#REF!&lt;=250,"High Usage","Very High Usage")))</f>
        <v>#REF!</v>
      </c>
      <c r="AE1191" t="e">
        <f>IF(#REF!&lt;=5,"Low Calls", IF(#REF!&lt;=10, "Medium Calls", "High Calls"))</f>
        <v>#REF!</v>
      </c>
      <c r="AF1191" t="e">
        <f xml:space="preserve">
IF(#REF!&gt;=4,4,0)+
IF(#REF!="yes",3,0)+
IF(#REF!="High Charges",3,0)+
IF(#REF!&gt;250,4,0)+
IF(#REF!="no",1,0)+
IF(#REF!="Heavy Domestic User",2,0)</f>
        <v>#REF!</v>
      </c>
      <c r="AG1191" t="e">
        <f>IF(#REF!&gt;=10,"High Risk", IF(#REF!&gt;=5,"Medium Risk","Low Risk"))</f>
        <v>#REF!</v>
      </c>
      <c r="AH1191" t="e">
        <f>#REF! + #REF! + #REF! + #REF!</f>
        <v>#REF!</v>
      </c>
    </row>
    <row r="1192" spans="1:34" x14ac:dyDescent="0.35">
      <c r="A1192">
        <v>1191</v>
      </c>
      <c r="B1192" t="s">
        <v>35</v>
      </c>
      <c r="C1192">
        <v>125</v>
      </c>
      <c r="D1192" t="s">
        <v>28</v>
      </c>
      <c r="E1192" t="s">
        <v>22</v>
      </c>
      <c r="F1192" t="s">
        <v>22</v>
      </c>
      <c r="G1192">
        <v>0</v>
      </c>
      <c r="H1192">
        <v>143.19999999999999</v>
      </c>
      <c r="I1192">
        <v>80</v>
      </c>
      <c r="J1192">
        <v>24.34</v>
      </c>
      <c r="K1192">
        <v>88.1</v>
      </c>
      <c r="L1192">
        <v>94</v>
      </c>
      <c r="M1192">
        <v>7.49</v>
      </c>
      <c r="N1192">
        <v>233.2</v>
      </c>
      <c r="O1192">
        <v>135</v>
      </c>
      <c r="P1192">
        <v>10.49</v>
      </c>
      <c r="Q1192">
        <v>8.8000000000000007</v>
      </c>
      <c r="R1192">
        <v>7</v>
      </c>
      <c r="S1192">
        <v>2.38</v>
      </c>
      <c r="T1192">
        <v>4</v>
      </c>
      <c r="U1192" t="s">
        <v>23</v>
      </c>
      <c r="V1192" t="e">
        <f>IF(#REF! = "yes", 1, 0)</f>
        <v>#REF!</v>
      </c>
      <c r="W1192" t="e">
        <f>IF(#REF! &lt;= 1, "0-1 Calls", IF(#REF! &lt;= 3, "2-3 Calls", IF(#REF! &lt;=5, "4-5 Calls", "6+ Calls")))</f>
        <v>#REF!</v>
      </c>
      <c r="X1192" t="e">
        <f>IF(#REF! &lt;= 50, "0-50", IF(#REF! &lt;=100, "51-100", IF(#REF! &lt;= 150, "101-150", "151+")))</f>
        <v>#REF!</v>
      </c>
      <c r="Y1192" t="e">
        <f>IF(#REF! &lt;= 3, "Low Charges", "High Charges")</f>
        <v>#REF!</v>
      </c>
      <c r="Z1192" t="e">
        <f>IF(#REF!&lt;=80,"Low Calls",
IF(#REF!&lt;=120,"Medium Calls","High Calls"))</f>
        <v>#REF!</v>
      </c>
      <c r="AA1192" t="e">
        <f>IF(#REF!&lt;=15,"Low Charges",
IF(#REF!&lt;=20,"Medium Charges","High Charges"))</f>
        <v>#REF!</v>
      </c>
      <c r="AB1192" t="e">
        <f>IF(AND(#REF!&gt;180, #REF!&gt;200), "Heavy Doemstic User", IF(#REF!&gt;10, "Interntional User", IF(AND(#REF!&lt;180, #REF!&lt;200,#REF!&lt;200), "Light User", "Balanced User")))</f>
        <v>#REF!</v>
      </c>
      <c r="AC1192" t="e">
        <f>IF(#REF! = 0, "No Usage", IF(#REF! &lt;= 20, "Low Usage", IF(#REF! &lt;= 40, "Medium Usgae", "High Usage")))</f>
        <v>#REF!</v>
      </c>
      <c r="AD1192" t="e">
        <f>IF(#REF!&lt;=150,"Low Usage", IF(#REF!&lt;=200,"Medium Usage", IF(#REF!&lt;=250,"High Usage","Very High Usage")))</f>
        <v>#REF!</v>
      </c>
      <c r="AE1192" t="e">
        <f>IF(#REF!&lt;=5,"Low Calls", IF(#REF!&lt;=10, "Medium Calls", "High Calls"))</f>
        <v>#REF!</v>
      </c>
      <c r="AF1192" t="e">
        <f xml:space="preserve">
IF(#REF!&gt;=4,4,0)+
IF(#REF!="yes",3,0)+
IF(#REF!="High Charges",3,0)+
IF(#REF!&gt;250,4,0)+
IF(#REF!="no",1,0)+
IF(#REF!="Heavy Domestic User",2,0)</f>
        <v>#REF!</v>
      </c>
      <c r="AG1192" t="e">
        <f>IF(#REF!&gt;=10,"High Risk", IF(#REF!&gt;=5,"Medium Risk","Low Risk"))</f>
        <v>#REF!</v>
      </c>
      <c r="AH1192" t="e">
        <f>#REF! + #REF! + #REF! + #REF!</f>
        <v>#REF!</v>
      </c>
    </row>
    <row r="1193" spans="1:34" x14ac:dyDescent="0.35">
      <c r="A1193">
        <v>1192</v>
      </c>
      <c r="B1193" t="s">
        <v>29</v>
      </c>
      <c r="C1193">
        <v>86</v>
      </c>
      <c r="D1193" t="s">
        <v>21</v>
      </c>
      <c r="E1193" t="s">
        <v>22</v>
      </c>
      <c r="F1193" t="s">
        <v>22</v>
      </c>
      <c r="G1193">
        <v>0</v>
      </c>
      <c r="H1193">
        <v>125.5</v>
      </c>
      <c r="I1193">
        <v>139</v>
      </c>
      <c r="J1193">
        <v>21.34</v>
      </c>
      <c r="K1193">
        <v>269.8</v>
      </c>
      <c r="L1193">
        <v>93</v>
      </c>
      <c r="M1193">
        <v>22.93</v>
      </c>
      <c r="N1193">
        <v>235.8</v>
      </c>
      <c r="O1193">
        <v>110</v>
      </c>
      <c r="P1193">
        <v>10.61</v>
      </c>
      <c r="Q1193">
        <v>8.9</v>
      </c>
      <c r="R1193">
        <v>8</v>
      </c>
      <c r="S1193">
        <v>2.4</v>
      </c>
      <c r="T1193">
        <v>1</v>
      </c>
      <c r="U1193" t="s">
        <v>22</v>
      </c>
      <c r="V1193" t="e">
        <f>IF(#REF! = "yes", 1, 0)</f>
        <v>#REF!</v>
      </c>
      <c r="W1193" t="e">
        <f>IF(#REF! &lt;= 1, "0-1 Calls", IF(#REF! &lt;= 3, "2-3 Calls", IF(#REF! &lt;=5, "4-5 Calls", "6+ Calls")))</f>
        <v>#REF!</v>
      </c>
      <c r="X1193" t="e">
        <f>IF(#REF! &lt;= 50, "0-50", IF(#REF! &lt;=100, "51-100", IF(#REF! &lt;= 150, "101-150", "151+")))</f>
        <v>#REF!</v>
      </c>
      <c r="Y1193" t="e">
        <f>IF(#REF! &lt;= 3, "Low Charges", "High Charges")</f>
        <v>#REF!</v>
      </c>
      <c r="Z1193" t="e">
        <f>IF(#REF!&lt;=80,"Low Calls",
IF(#REF!&lt;=120,"Medium Calls","High Calls"))</f>
        <v>#REF!</v>
      </c>
      <c r="AA1193" t="e">
        <f>IF(#REF!&lt;=15,"Low Charges",
IF(#REF!&lt;=20,"Medium Charges","High Charges"))</f>
        <v>#REF!</v>
      </c>
      <c r="AB1193" t="e">
        <f>IF(AND(#REF!&gt;180, #REF!&gt;200), "Heavy Doemstic User", IF(#REF!&gt;10, "Interntional User", IF(AND(#REF!&lt;180, #REF!&lt;200,#REF!&lt;200), "Light User", "Balanced User")))</f>
        <v>#REF!</v>
      </c>
      <c r="AC1193" t="e">
        <f>IF(#REF! = 0, "No Usage", IF(#REF! &lt;= 20, "Low Usage", IF(#REF! &lt;= 40, "Medium Usgae", "High Usage")))</f>
        <v>#REF!</v>
      </c>
      <c r="AD1193" t="e">
        <f>IF(#REF!&lt;=150,"Low Usage", IF(#REF!&lt;=200,"Medium Usage", IF(#REF!&lt;=250,"High Usage","Very High Usage")))</f>
        <v>#REF!</v>
      </c>
      <c r="AE1193" t="e">
        <f>IF(#REF!&lt;=5,"Low Calls", IF(#REF!&lt;=10, "Medium Calls", "High Calls"))</f>
        <v>#REF!</v>
      </c>
      <c r="AF1193" t="e">
        <f xml:space="preserve">
IF(#REF!&gt;=4,4,0)+
IF(#REF!="yes",3,0)+
IF(#REF!="High Charges",3,0)+
IF(#REF!&gt;250,4,0)+
IF(#REF!="no",1,0)+
IF(#REF!="Heavy Domestic User",2,0)</f>
        <v>#REF!</v>
      </c>
      <c r="AG1193" t="e">
        <f>IF(#REF!&gt;=10,"High Risk", IF(#REF!&gt;=5,"Medium Risk","Low Risk"))</f>
        <v>#REF!</v>
      </c>
      <c r="AH1193" t="e">
        <f>#REF! + #REF! + #REF! + #REF!</f>
        <v>#REF!</v>
      </c>
    </row>
    <row r="1194" spans="1:34" x14ac:dyDescent="0.35">
      <c r="A1194">
        <v>1193</v>
      </c>
      <c r="B1194" t="s">
        <v>67</v>
      </c>
      <c r="C1194">
        <v>73</v>
      </c>
      <c r="D1194" t="s">
        <v>21</v>
      </c>
      <c r="E1194" t="s">
        <v>22</v>
      </c>
      <c r="F1194" t="s">
        <v>23</v>
      </c>
      <c r="G1194">
        <v>31</v>
      </c>
      <c r="H1194">
        <v>82.3</v>
      </c>
      <c r="I1194">
        <v>105</v>
      </c>
      <c r="J1194">
        <v>13.99</v>
      </c>
      <c r="K1194">
        <v>256.10000000000002</v>
      </c>
      <c r="L1194">
        <v>91</v>
      </c>
      <c r="M1194">
        <v>21.77</v>
      </c>
      <c r="N1194">
        <v>229.6</v>
      </c>
      <c r="O1194">
        <v>98</v>
      </c>
      <c r="P1194">
        <v>10.33</v>
      </c>
      <c r="Q1194">
        <v>11.8</v>
      </c>
      <c r="R1194">
        <v>2</v>
      </c>
      <c r="S1194">
        <v>3.19</v>
      </c>
      <c r="T1194">
        <v>6</v>
      </c>
      <c r="U1194" t="s">
        <v>23</v>
      </c>
      <c r="V1194" t="e">
        <f>IF(#REF! = "yes", 1, 0)</f>
        <v>#REF!</v>
      </c>
      <c r="W1194" t="e">
        <f>IF(#REF! &lt;= 1, "0-1 Calls", IF(#REF! &lt;= 3, "2-3 Calls", IF(#REF! &lt;=5, "4-5 Calls", "6+ Calls")))</f>
        <v>#REF!</v>
      </c>
      <c r="X1194" t="e">
        <f>IF(#REF! &lt;= 50, "0-50", IF(#REF! &lt;=100, "51-100", IF(#REF! &lt;= 150, "101-150", "151+")))</f>
        <v>#REF!</v>
      </c>
      <c r="Y1194" t="e">
        <f>IF(#REF! &lt;= 3, "Low Charges", "High Charges")</f>
        <v>#REF!</v>
      </c>
      <c r="Z1194" t="e">
        <f>IF(#REF!&lt;=80,"Low Calls",
IF(#REF!&lt;=120,"Medium Calls","High Calls"))</f>
        <v>#REF!</v>
      </c>
      <c r="AA1194" t="e">
        <f>IF(#REF!&lt;=15,"Low Charges",
IF(#REF!&lt;=20,"Medium Charges","High Charges"))</f>
        <v>#REF!</v>
      </c>
      <c r="AB1194" t="e">
        <f>IF(AND(#REF!&gt;180, #REF!&gt;200), "Heavy Doemstic User", IF(#REF!&gt;10, "Interntional User", IF(AND(#REF!&lt;180, #REF!&lt;200,#REF!&lt;200), "Light User", "Balanced User")))</f>
        <v>#REF!</v>
      </c>
      <c r="AC1194" t="e">
        <f>IF(#REF! = 0, "No Usage", IF(#REF! &lt;= 20, "Low Usage", IF(#REF! &lt;= 40, "Medium Usgae", "High Usage")))</f>
        <v>#REF!</v>
      </c>
      <c r="AD1194" t="e">
        <f>IF(#REF!&lt;=150,"Low Usage", IF(#REF!&lt;=200,"Medium Usage", IF(#REF!&lt;=250,"High Usage","Very High Usage")))</f>
        <v>#REF!</v>
      </c>
      <c r="AE1194" t="e">
        <f>IF(#REF!&lt;=5,"Low Calls", IF(#REF!&lt;=10, "Medium Calls", "High Calls"))</f>
        <v>#REF!</v>
      </c>
      <c r="AF1194" t="e">
        <f xml:space="preserve">
IF(#REF!&gt;=4,4,0)+
IF(#REF!="yes",3,0)+
IF(#REF!="High Charges",3,0)+
IF(#REF!&gt;250,4,0)+
IF(#REF!="no",1,0)+
IF(#REF!="Heavy Domestic User",2,0)</f>
        <v>#REF!</v>
      </c>
      <c r="AG1194" t="e">
        <f>IF(#REF!&gt;=10,"High Risk", IF(#REF!&gt;=5,"Medium Risk","Low Risk"))</f>
        <v>#REF!</v>
      </c>
      <c r="AH1194" t="e">
        <f>#REF! + #REF! + #REF! + #REF!</f>
        <v>#REF!</v>
      </c>
    </row>
    <row r="1195" spans="1:34" x14ac:dyDescent="0.35">
      <c r="A1195">
        <v>1194</v>
      </c>
      <c r="B1195" t="s">
        <v>61</v>
      </c>
      <c r="C1195">
        <v>232</v>
      </c>
      <c r="D1195" t="s">
        <v>25</v>
      </c>
      <c r="E1195" t="s">
        <v>22</v>
      </c>
      <c r="F1195" t="s">
        <v>22</v>
      </c>
      <c r="G1195">
        <v>0</v>
      </c>
      <c r="H1195">
        <v>165.6</v>
      </c>
      <c r="I1195">
        <v>104</v>
      </c>
      <c r="J1195">
        <v>28.15</v>
      </c>
      <c r="K1195">
        <v>195.9</v>
      </c>
      <c r="L1195">
        <v>115</v>
      </c>
      <c r="M1195">
        <v>16.649999999999999</v>
      </c>
      <c r="N1195">
        <v>118.3</v>
      </c>
      <c r="O1195">
        <v>77</v>
      </c>
      <c r="P1195">
        <v>5.32</v>
      </c>
      <c r="Q1195">
        <v>11.8</v>
      </c>
      <c r="R1195">
        <v>3</v>
      </c>
      <c r="S1195">
        <v>3.19</v>
      </c>
      <c r="T1195">
        <v>1</v>
      </c>
      <c r="U1195" t="s">
        <v>22</v>
      </c>
      <c r="V1195" t="e">
        <f>IF(#REF! = "yes", 1, 0)</f>
        <v>#REF!</v>
      </c>
      <c r="W1195" t="e">
        <f>IF(#REF! &lt;= 1, "0-1 Calls", IF(#REF! &lt;= 3, "2-3 Calls", IF(#REF! &lt;=5, "4-5 Calls", "6+ Calls")))</f>
        <v>#REF!</v>
      </c>
      <c r="X1195" t="e">
        <f>IF(#REF! &lt;= 50, "0-50", IF(#REF! &lt;=100, "51-100", IF(#REF! &lt;= 150, "101-150", "151+")))</f>
        <v>#REF!</v>
      </c>
      <c r="Y1195" t="e">
        <f>IF(#REF! &lt;= 3, "Low Charges", "High Charges")</f>
        <v>#REF!</v>
      </c>
      <c r="Z1195" t="e">
        <f>IF(#REF!&lt;=80,"Low Calls",
IF(#REF!&lt;=120,"Medium Calls","High Calls"))</f>
        <v>#REF!</v>
      </c>
      <c r="AA1195" t="e">
        <f>IF(#REF!&lt;=15,"Low Charges",
IF(#REF!&lt;=20,"Medium Charges","High Charges"))</f>
        <v>#REF!</v>
      </c>
      <c r="AB1195" t="e">
        <f>IF(AND(#REF!&gt;180, #REF!&gt;200), "Heavy Doemstic User", IF(#REF!&gt;10, "Interntional User", IF(AND(#REF!&lt;180, #REF!&lt;200,#REF!&lt;200), "Light User", "Balanced User")))</f>
        <v>#REF!</v>
      </c>
      <c r="AC1195" t="e">
        <f>IF(#REF! = 0, "No Usage", IF(#REF! &lt;= 20, "Low Usage", IF(#REF! &lt;= 40, "Medium Usgae", "High Usage")))</f>
        <v>#REF!</v>
      </c>
      <c r="AD1195" t="e">
        <f>IF(#REF!&lt;=150,"Low Usage", IF(#REF!&lt;=200,"Medium Usage", IF(#REF!&lt;=250,"High Usage","Very High Usage")))</f>
        <v>#REF!</v>
      </c>
      <c r="AE1195" t="e">
        <f>IF(#REF!&lt;=5,"Low Calls", IF(#REF!&lt;=10, "Medium Calls", "High Calls"))</f>
        <v>#REF!</v>
      </c>
      <c r="AF1195" t="e">
        <f xml:space="preserve">
IF(#REF!&gt;=4,4,0)+
IF(#REF!="yes",3,0)+
IF(#REF!="High Charges",3,0)+
IF(#REF!&gt;250,4,0)+
IF(#REF!="no",1,0)+
IF(#REF!="Heavy Domestic User",2,0)</f>
        <v>#REF!</v>
      </c>
      <c r="AG1195" t="e">
        <f>IF(#REF!&gt;=10,"High Risk", IF(#REF!&gt;=5,"Medium Risk","Low Risk"))</f>
        <v>#REF!</v>
      </c>
      <c r="AH1195" t="e">
        <f>#REF! + #REF! + #REF! + #REF!</f>
        <v>#REF!</v>
      </c>
    </row>
    <row r="1196" spans="1:34" x14ac:dyDescent="0.35">
      <c r="A1196">
        <v>1195</v>
      </c>
      <c r="B1196" t="s">
        <v>46</v>
      </c>
      <c r="C1196">
        <v>133</v>
      </c>
      <c r="D1196" t="s">
        <v>25</v>
      </c>
      <c r="E1196" t="s">
        <v>22</v>
      </c>
      <c r="F1196" t="s">
        <v>22</v>
      </c>
      <c r="G1196">
        <v>0</v>
      </c>
      <c r="H1196">
        <v>162.1</v>
      </c>
      <c r="I1196">
        <v>91</v>
      </c>
      <c r="J1196">
        <v>27.56</v>
      </c>
      <c r="K1196">
        <v>212.1</v>
      </c>
      <c r="L1196">
        <v>94</v>
      </c>
      <c r="M1196">
        <v>18.03</v>
      </c>
      <c r="N1196">
        <v>260.39999999999998</v>
      </c>
      <c r="O1196">
        <v>78</v>
      </c>
      <c r="P1196">
        <v>11.72</v>
      </c>
      <c r="Q1196">
        <v>12.2</v>
      </c>
      <c r="R1196">
        <v>5</v>
      </c>
      <c r="S1196">
        <v>3.29</v>
      </c>
      <c r="T1196">
        <v>1</v>
      </c>
      <c r="U1196" t="s">
        <v>22</v>
      </c>
      <c r="V1196" t="e">
        <f>IF(#REF! = "yes", 1, 0)</f>
        <v>#REF!</v>
      </c>
      <c r="W1196" t="e">
        <f>IF(#REF! &lt;= 1, "0-1 Calls", IF(#REF! &lt;= 3, "2-3 Calls", IF(#REF! &lt;=5, "4-5 Calls", "6+ Calls")))</f>
        <v>#REF!</v>
      </c>
      <c r="X1196" t="e">
        <f>IF(#REF! &lt;= 50, "0-50", IF(#REF! &lt;=100, "51-100", IF(#REF! &lt;= 150, "101-150", "151+")))</f>
        <v>#REF!</v>
      </c>
      <c r="Y1196" t="e">
        <f>IF(#REF! &lt;= 3, "Low Charges", "High Charges")</f>
        <v>#REF!</v>
      </c>
      <c r="Z1196" t="e">
        <f>IF(#REF!&lt;=80,"Low Calls",
IF(#REF!&lt;=120,"Medium Calls","High Calls"))</f>
        <v>#REF!</v>
      </c>
      <c r="AA1196" t="e">
        <f>IF(#REF!&lt;=15,"Low Charges",
IF(#REF!&lt;=20,"Medium Charges","High Charges"))</f>
        <v>#REF!</v>
      </c>
      <c r="AB1196" t="e">
        <f>IF(AND(#REF!&gt;180, #REF!&gt;200), "Heavy Doemstic User", IF(#REF!&gt;10, "Interntional User", IF(AND(#REF!&lt;180, #REF!&lt;200,#REF!&lt;200), "Light User", "Balanced User")))</f>
        <v>#REF!</v>
      </c>
      <c r="AC1196" t="e">
        <f>IF(#REF! = 0, "No Usage", IF(#REF! &lt;= 20, "Low Usage", IF(#REF! &lt;= 40, "Medium Usgae", "High Usage")))</f>
        <v>#REF!</v>
      </c>
      <c r="AD1196" t="e">
        <f>IF(#REF!&lt;=150,"Low Usage", IF(#REF!&lt;=200,"Medium Usage", IF(#REF!&lt;=250,"High Usage","Very High Usage")))</f>
        <v>#REF!</v>
      </c>
      <c r="AE1196" t="e">
        <f>IF(#REF!&lt;=5,"Low Calls", IF(#REF!&lt;=10, "Medium Calls", "High Calls"))</f>
        <v>#REF!</v>
      </c>
      <c r="AF1196" t="e">
        <f xml:space="preserve">
IF(#REF!&gt;=4,4,0)+
IF(#REF!="yes",3,0)+
IF(#REF!="High Charges",3,0)+
IF(#REF!&gt;250,4,0)+
IF(#REF!="no",1,0)+
IF(#REF!="Heavy Domestic User",2,0)</f>
        <v>#REF!</v>
      </c>
      <c r="AG1196" t="e">
        <f>IF(#REF!&gt;=10,"High Risk", IF(#REF!&gt;=5,"Medium Risk","Low Risk"))</f>
        <v>#REF!</v>
      </c>
      <c r="AH1196" t="e">
        <f>#REF! + #REF! + #REF! + #REF!</f>
        <v>#REF!</v>
      </c>
    </row>
    <row r="1197" spans="1:34" x14ac:dyDescent="0.35">
      <c r="A1197">
        <v>1196</v>
      </c>
      <c r="B1197" t="s">
        <v>58</v>
      </c>
      <c r="C1197">
        <v>103</v>
      </c>
      <c r="D1197" t="s">
        <v>28</v>
      </c>
      <c r="E1197" t="s">
        <v>22</v>
      </c>
      <c r="F1197" t="s">
        <v>22</v>
      </c>
      <c r="G1197">
        <v>0</v>
      </c>
      <c r="H1197">
        <v>166.6</v>
      </c>
      <c r="I1197">
        <v>84</v>
      </c>
      <c r="J1197">
        <v>28.32</v>
      </c>
      <c r="K1197">
        <v>192.4</v>
      </c>
      <c r="L1197">
        <v>91</v>
      </c>
      <c r="M1197">
        <v>16.350000000000001</v>
      </c>
      <c r="N1197">
        <v>167.9</v>
      </c>
      <c r="O1197">
        <v>115</v>
      </c>
      <c r="P1197">
        <v>7.56</v>
      </c>
      <c r="Q1197">
        <v>7.7</v>
      </c>
      <c r="R1197">
        <v>6</v>
      </c>
      <c r="S1197">
        <v>2.08</v>
      </c>
      <c r="T1197">
        <v>1</v>
      </c>
      <c r="U1197" t="s">
        <v>22</v>
      </c>
      <c r="V1197" t="e">
        <f>IF(#REF! = "yes", 1, 0)</f>
        <v>#REF!</v>
      </c>
      <c r="W1197" t="e">
        <f>IF(#REF! &lt;= 1, "0-1 Calls", IF(#REF! &lt;= 3, "2-3 Calls", IF(#REF! &lt;=5, "4-5 Calls", "6+ Calls")))</f>
        <v>#REF!</v>
      </c>
      <c r="X1197" t="e">
        <f>IF(#REF! &lt;= 50, "0-50", IF(#REF! &lt;=100, "51-100", IF(#REF! &lt;= 150, "101-150", "151+")))</f>
        <v>#REF!</v>
      </c>
      <c r="Y1197" t="e">
        <f>IF(#REF! &lt;= 3, "Low Charges", "High Charges")</f>
        <v>#REF!</v>
      </c>
      <c r="Z1197" t="e">
        <f>IF(#REF!&lt;=80,"Low Calls",
IF(#REF!&lt;=120,"Medium Calls","High Calls"))</f>
        <v>#REF!</v>
      </c>
      <c r="AA1197" t="e">
        <f>IF(#REF!&lt;=15,"Low Charges",
IF(#REF!&lt;=20,"Medium Charges","High Charges"))</f>
        <v>#REF!</v>
      </c>
      <c r="AB1197" t="e">
        <f>IF(AND(#REF!&gt;180, #REF!&gt;200), "Heavy Doemstic User", IF(#REF!&gt;10, "Interntional User", IF(AND(#REF!&lt;180, #REF!&lt;200,#REF!&lt;200), "Light User", "Balanced User")))</f>
        <v>#REF!</v>
      </c>
      <c r="AC1197" t="e">
        <f>IF(#REF! = 0, "No Usage", IF(#REF! &lt;= 20, "Low Usage", IF(#REF! &lt;= 40, "Medium Usgae", "High Usage")))</f>
        <v>#REF!</v>
      </c>
      <c r="AD1197" t="e">
        <f>IF(#REF!&lt;=150,"Low Usage", IF(#REF!&lt;=200,"Medium Usage", IF(#REF!&lt;=250,"High Usage","Very High Usage")))</f>
        <v>#REF!</v>
      </c>
      <c r="AE1197" t="e">
        <f>IF(#REF!&lt;=5,"Low Calls", IF(#REF!&lt;=10, "Medium Calls", "High Calls"))</f>
        <v>#REF!</v>
      </c>
      <c r="AF1197" t="e">
        <f xml:space="preserve">
IF(#REF!&gt;=4,4,0)+
IF(#REF!="yes",3,0)+
IF(#REF!="High Charges",3,0)+
IF(#REF!&gt;250,4,0)+
IF(#REF!="no",1,0)+
IF(#REF!="Heavy Domestic User",2,0)</f>
        <v>#REF!</v>
      </c>
      <c r="AG1197" t="e">
        <f>IF(#REF!&gt;=10,"High Risk", IF(#REF!&gt;=5,"Medium Risk","Low Risk"))</f>
        <v>#REF!</v>
      </c>
      <c r="AH1197" t="e">
        <f>#REF! + #REF! + #REF! + #REF!</f>
        <v>#REF!</v>
      </c>
    </row>
    <row r="1198" spans="1:34" x14ac:dyDescent="0.35">
      <c r="A1198">
        <v>1197</v>
      </c>
      <c r="B1198" t="s">
        <v>35</v>
      </c>
      <c r="C1198">
        <v>131</v>
      </c>
      <c r="D1198" t="s">
        <v>21</v>
      </c>
      <c r="E1198" t="s">
        <v>22</v>
      </c>
      <c r="F1198" t="s">
        <v>23</v>
      </c>
      <c r="G1198">
        <v>24</v>
      </c>
      <c r="H1198">
        <v>135.9</v>
      </c>
      <c r="I1198">
        <v>60</v>
      </c>
      <c r="J1198">
        <v>23.1</v>
      </c>
      <c r="K1198">
        <v>233.2</v>
      </c>
      <c r="L1198">
        <v>78</v>
      </c>
      <c r="M1198">
        <v>19.82</v>
      </c>
      <c r="N1198">
        <v>210.6</v>
      </c>
      <c r="O1198">
        <v>121</v>
      </c>
      <c r="P1198">
        <v>9.48</v>
      </c>
      <c r="Q1198">
        <v>9.4</v>
      </c>
      <c r="R1198">
        <v>4</v>
      </c>
      <c r="S1198">
        <v>2.54</v>
      </c>
      <c r="T1198">
        <v>1</v>
      </c>
      <c r="U1198" t="s">
        <v>22</v>
      </c>
      <c r="V1198" t="e">
        <f>IF(#REF! = "yes", 1, 0)</f>
        <v>#REF!</v>
      </c>
      <c r="W1198" t="e">
        <f>IF(#REF! &lt;= 1, "0-1 Calls", IF(#REF! &lt;= 3, "2-3 Calls", IF(#REF! &lt;=5, "4-5 Calls", "6+ Calls")))</f>
        <v>#REF!</v>
      </c>
      <c r="X1198" t="e">
        <f>IF(#REF! &lt;= 50, "0-50", IF(#REF! &lt;=100, "51-100", IF(#REF! &lt;= 150, "101-150", "151+")))</f>
        <v>#REF!</v>
      </c>
      <c r="Y1198" t="e">
        <f>IF(#REF! &lt;= 3, "Low Charges", "High Charges")</f>
        <v>#REF!</v>
      </c>
      <c r="Z1198" t="e">
        <f>IF(#REF!&lt;=80,"Low Calls",
IF(#REF!&lt;=120,"Medium Calls","High Calls"))</f>
        <v>#REF!</v>
      </c>
      <c r="AA1198" t="e">
        <f>IF(#REF!&lt;=15,"Low Charges",
IF(#REF!&lt;=20,"Medium Charges","High Charges"))</f>
        <v>#REF!</v>
      </c>
      <c r="AB1198" t="e">
        <f>IF(AND(#REF!&gt;180, #REF!&gt;200), "Heavy Doemstic User", IF(#REF!&gt;10, "Interntional User", IF(AND(#REF!&lt;180, #REF!&lt;200,#REF!&lt;200), "Light User", "Balanced User")))</f>
        <v>#REF!</v>
      </c>
      <c r="AC1198" t="e">
        <f>IF(#REF! = 0, "No Usage", IF(#REF! &lt;= 20, "Low Usage", IF(#REF! &lt;= 40, "Medium Usgae", "High Usage")))</f>
        <v>#REF!</v>
      </c>
      <c r="AD1198" t="e">
        <f>IF(#REF!&lt;=150,"Low Usage", IF(#REF!&lt;=200,"Medium Usage", IF(#REF!&lt;=250,"High Usage","Very High Usage")))</f>
        <v>#REF!</v>
      </c>
      <c r="AE1198" t="e">
        <f>IF(#REF!&lt;=5,"Low Calls", IF(#REF!&lt;=10, "Medium Calls", "High Calls"))</f>
        <v>#REF!</v>
      </c>
      <c r="AF1198" t="e">
        <f xml:space="preserve">
IF(#REF!&gt;=4,4,0)+
IF(#REF!="yes",3,0)+
IF(#REF!="High Charges",3,0)+
IF(#REF!&gt;250,4,0)+
IF(#REF!="no",1,0)+
IF(#REF!="Heavy Domestic User",2,0)</f>
        <v>#REF!</v>
      </c>
      <c r="AG1198" t="e">
        <f>IF(#REF!&gt;=10,"High Risk", IF(#REF!&gt;=5,"Medium Risk","Low Risk"))</f>
        <v>#REF!</v>
      </c>
      <c r="AH1198" t="e">
        <f>#REF! + #REF! + #REF! + #REF!</f>
        <v>#REF!</v>
      </c>
    </row>
    <row r="1199" spans="1:34" x14ac:dyDescent="0.35">
      <c r="A1199">
        <v>1198</v>
      </c>
      <c r="B1199" t="s">
        <v>57</v>
      </c>
      <c r="C1199">
        <v>95</v>
      </c>
      <c r="D1199" t="s">
        <v>25</v>
      </c>
      <c r="E1199" t="s">
        <v>22</v>
      </c>
      <c r="F1199" t="s">
        <v>23</v>
      </c>
      <c r="G1199">
        <v>20</v>
      </c>
      <c r="H1199">
        <v>165.7</v>
      </c>
      <c r="I1199">
        <v>78</v>
      </c>
      <c r="J1199">
        <v>28.17</v>
      </c>
      <c r="K1199">
        <v>215.6</v>
      </c>
      <c r="L1199">
        <v>94</v>
      </c>
      <c r="M1199">
        <v>18.329999999999998</v>
      </c>
      <c r="N1199">
        <v>243.3</v>
      </c>
      <c r="O1199">
        <v>91</v>
      </c>
      <c r="P1199">
        <v>10.95</v>
      </c>
      <c r="Q1199">
        <v>9.8000000000000007</v>
      </c>
      <c r="R1199">
        <v>6</v>
      </c>
      <c r="S1199">
        <v>2.65</v>
      </c>
      <c r="T1199">
        <v>0</v>
      </c>
      <c r="U1199" t="s">
        <v>22</v>
      </c>
      <c r="V1199" t="e">
        <f>IF(#REF! = "yes", 1, 0)</f>
        <v>#REF!</v>
      </c>
      <c r="W1199" t="e">
        <f>IF(#REF! &lt;= 1, "0-1 Calls", IF(#REF! &lt;= 3, "2-3 Calls", IF(#REF! &lt;=5, "4-5 Calls", "6+ Calls")))</f>
        <v>#REF!</v>
      </c>
      <c r="X1199" t="e">
        <f>IF(#REF! &lt;= 50, "0-50", IF(#REF! &lt;=100, "51-100", IF(#REF! &lt;= 150, "101-150", "151+")))</f>
        <v>#REF!</v>
      </c>
      <c r="Y1199" t="e">
        <f>IF(#REF! &lt;= 3, "Low Charges", "High Charges")</f>
        <v>#REF!</v>
      </c>
      <c r="Z1199" t="e">
        <f>IF(#REF!&lt;=80,"Low Calls",
IF(#REF!&lt;=120,"Medium Calls","High Calls"))</f>
        <v>#REF!</v>
      </c>
      <c r="AA1199" t="e">
        <f>IF(#REF!&lt;=15,"Low Charges",
IF(#REF!&lt;=20,"Medium Charges","High Charges"))</f>
        <v>#REF!</v>
      </c>
      <c r="AB1199" t="e">
        <f>IF(AND(#REF!&gt;180, #REF!&gt;200), "Heavy Doemstic User", IF(#REF!&gt;10, "Interntional User", IF(AND(#REF!&lt;180, #REF!&lt;200,#REF!&lt;200), "Light User", "Balanced User")))</f>
        <v>#REF!</v>
      </c>
      <c r="AC1199" t="e">
        <f>IF(#REF! = 0, "No Usage", IF(#REF! &lt;= 20, "Low Usage", IF(#REF! &lt;= 40, "Medium Usgae", "High Usage")))</f>
        <v>#REF!</v>
      </c>
      <c r="AD1199" t="e">
        <f>IF(#REF!&lt;=150,"Low Usage", IF(#REF!&lt;=200,"Medium Usage", IF(#REF!&lt;=250,"High Usage","Very High Usage")))</f>
        <v>#REF!</v>
      </c>
      <c r="AE1199" t="e">
        <f>IF(#REF!&lt;=5,"Low Calls", IF(#REF!&lt;=10, "Medium Calls", "High Calls"))</f>
        <v>#REF!</v>
      </c>
      <c r="AF1199" t="e">
        <f xml:space="preserve">
IF(#REF!&gt;=4,4,0)+
IF(#REF!="yes",3,0)+
IF(#REF!="High Charges",3,0)+
IF(#REF!&gt;250,4,0)+
IF(#REF!="no",1,0)+
IF(#REF!="Heavy Domestic User",2,0)</f>
        <v>#REF!</v>
      </c>
      <c r="AG1199" t="e">
        <f>IF(#REF!&gt;=10,"High Risk", IF(#REF!&gt;=5,"Medium Risk","Low Risk"))</f>
        <v>#REF!</v>
      </c>
      <c r="AH1199" t="e">
        <f>#REF! + #REF! + #REF! + #REF!</f>
        <v>#REF!</v>
      </c>
    </row>
    <row r="1200" spans="1:34" x14ac:dyDescent="0.35">
      <c r="A1200">
        <v>1199</v>
      </c>
      <c r="B1200" t="s">
        <v>38</v>
      </c>
      <c r="C1200">
        <v>182</v>
      </c>
      <c r="D1200" t="s">
        <v>21</v>
      </c>
      <c r="E1200" t="s">
        <v>22</v>
      </c>
      <c r="F1200" t="s">
        <v>22</v>
      </c>
      <c r="G1200">
        <v>0</v>
      </c>
      <c r="H1200">
        <v>176.1</v>
      </c>
      <c r="I1200">
        <v>90</v>
      </c>
      <c r="J1200">
        <v>29.94</v>
      </c>
      <c r="K1200">
        <v>174.9</v>
      </c>
      <c r="L1200">
        <v>106</v>
      </c>
      <c r="M1200">
        <v>14.87</v>
      </c>
      <c r="N1200">
        <v>234.7</v>
      </c>
      <c r="O1200">
        <v>134</v>
      </c>
      <c r="P1200">
        <v>10.56</v>
      </c>
      <c r="Q1200">
        <v>9.6999999999999993</v>
      </c>
      <c r="R1200">
        <v>4</v>
      </c>
      <c r="S1200">
        <v>2.62</v>
      </c>
      <c r="T1200">
        <v>1</v>
      </c>
      <c r="U1200" t="s">
        <v>22</v>
      </c>
      <c r="V1200" t="e">
        <f>IF(#REF! = "yes", 1, 0)</f>
        <v>#REF!</v>
      </c>
      <c r="W1200" t="e">
        <f>IF(#REF! &lt;= 1, "0-1 Calls", IF(#REF! &lt;= 3, "2-3 Calls", IF(#REF! &lt;=5, "4-5 Calls", "6+ Calls")))</f>
        <v>#REF!</v>
      </c>
      <c r="X1200" t="e">
        <f>IF(#REF! &lt;= 50, "0-50", IF(#REF! &lt;=100, "51-100", IF(#REF! &lt;= 150, "101-150", "151+")))</f>
        <v>#REF!</v>
      </c>
      <c r="Y1200" t="e">
        <f>IF(#REF! &lt;= 3, "Low Charges", "High Charges")</f>
        <v>#REF!</v>
      </c>
      <c r="Z1200" t="e">
        <f>IF(#REF!&lt;=80,"Low Calls",
IF(#REF!&lt;=120,"Medium Calls","High Calls"))</f>
        <v>#REF!</v>
      </c>
      <c r="AA1200" t="e">
        <f>IF(#REF!&lt;=15,"Low Charges",
IF(#REF!&lt;=20,"Medium Charges","High Charges"))</f>
        <v>#REF!</v>
      </c>
      <c r="AB1200" t="e">
        <f>IF(AND(#REF!&gt;180, #REF!&gt;200), "Heavy Doemstic User", IF(#REF!&gt;10, "Interntional User", IF(AND(#REF!&lt;180, #REF!&lt;200,#REF!&lt;200), "Light User", "Balanced User")))</f>
        <v>#REF!</v>
      </c>
      <c r="AC1200" t="e">
        <f>IF(#REF! = 0, "No Usage", IF(#REF! &lt;= 20, "Low Usage", IF(#REF! &lt;= 40, "Medium Usgae", "High Usage")))</f>
        <v>#REF!</v>
      </c>
      <c r="AD1200" t="e">
        <f>IF(#REF!&lt;=150,"Low Usage", IF(#REF!&lt;=200,"Medium Usage", IF(#REF!&lt;=250,"High Usage","Very High Usage")))</f>
        <v>#REF!</v>
      </c>
      <c r="AE1200" t="e">
        <f>IF(#REF!&lt;=5,"Low Calls", IF(#REF!&lt;=10, "Medium Calls", "High Calls"))</f>
        <v>#REF!</v>
      </c>
      <c r="AF1200" t="e">
        <f xml:space="preserve">
IF(#REF!&gt;=4,4,0)+
IF(#REF!="yes",3,0)+
IF(#REF!="High Charges",3,0)+
IF(#REF!&gt;250,4,0)+
IF(#REF!="no",1,0)+
IF(#REF!="Heavy Domestic User",2,0)</f>
        <v>#REF!</v>
      </c>
      <c r="AG1200" t="e">
        <f>IF(#REF!&gt;=10,"High Risk", IF(#REF!&gt;=5,"Medium Risk","Low Risk"))</f>
        <v>#REF!</v>
      </c>
      <c r="AH1200" t="e">
        <f>#REF! + #REF! + #REF! + #REF!</f>
        <v>#REF!</v>
      </c>
    </row>
    <row r="1201" spans="1:34" x14ac:dyDescent="0.35">
      <c r="A1201">
        <v>1200</v>
      </c>
      <c r="B1201" t="s">
        <v>30</v>
      </c>
      <c r="C1201">
        <v>99</v>
      </c>
      <c r="D1201" t="s">
        <v>28</v>
      </c>
      <c r="E1201" t="s">
        <v>22</v>
      </c>
      <c r="F1201" t="s">
        <v>22</v>
      </c>
      <c r="G1201">
        <v>0</v>
      </c>
      <c r="H1201">
        <v>142.30000000000001</v>
      </c>
      <c r="I1201">
        <v>89</v>
      </c>
      <c r="J1201">
        <v>24.19</v>
      </c>
      <c r="K1201">
        <v>204.5</v>
      </c>
      <c r="L1201">
        <v>95</v>
      </c>
      <c r="M1201">
        <v>17.38</v>
      </c>
      <c r="N1201">
        <v>203.1</v>
      </c>
      <c r="O1201">
        <v>114</v>
      </c>
      <c r="P1201">
        <v>9.14</v>
      </c>
      <c r="Q1201">
        <v>9.1</v>
      </c>
      <c r="R1201">
        <v>1</v>
      </c>
      <c r="S1201">
        <v>2.46</v>
      </c>
      <c r="T1201">
        <v>0</v>
      </c>
      <c r="U1201" t="s">
        <v>22</v>
      </c>
      <c r="V1201" t="e">
        <f>IF(#REF! = "yes", 1, 0)</f>
        <v>#REF!</v>
      </c>
      <c r="W1201" t="e">
        <f>IF(#REF! &lt;= 1, "0-1 Calls", IF(#REF! &lt;= 3, "2-3 Calls", IF(#REF! &lt;=5, "4-5 Calls", "6+ Calls")))</f>
        <v>#REF!</v>
      </c>
      <c r="X1201" t="e">
        <f>IF(#REF! &lt;= 50, "0-50", IF(#REF! &lt;=100, "51-100", IF(#REF! &lt;= 150, "101-150", "151+")))</f>
        <v>#REF!</v>
      </c>
      <c r="Y1201" t="e">
        <f>IF(#REF! &lt;= 3, "Low Charges", "High Charges")</f>
        <v>#REF!</v>
      </c>
      <c r="Z1201" t="e">
        <f>IF(#REF!&lt;=80,"Low Calls",
IF(#REF!&lt;=120,"Medium Calls","High Calls"))</f>
        <v>#REF!</v>
      </c>
      <c r="AA1201" t="e">
        <f>IF(#REF!&lt;=15,"Low Charges",
IF(#REF!&lt;=20,"Medium Charges","High Charges"))</f>
        <v>#REF!</v>
      </c>
      <c r="AB1201" t="e">
        <f>IF(AND(#REF!&gt;180, #REF!&gt;200), "Heavy Doemstic User", IF(#REF!&gt;10, "Interntional User", IF(AND(#REF!&lt;180, #REF!&lt;200,#REF!&lt;200), "Light User", "Balanced User")))</f>
        <v>#REF!</v>
      </c>
      <c r="AC1201" t="e">
        <f>IF(#REF! = 0, "No Usage", IF(#REF! &lt;= 20, "Low Usage", IF(#REF! &lt;= 40, "Medium Usgae", "High Usage")))</f>
        <v>#REF!</v>
      </c>
      <c r="AD1201" t="e">
        <f>IF(#REF!&lt;=150,"Low Usage", IF(#REF!&lt;=200,"Medium Usage", IF(#REF!&lt;=250,"High Usage","Very High Usage")))</f>
        <v>#REF!</v>
      </c>
      <c r="AE1201" t="e">
        <f>IF(#REF!&lt;=5,"Low Calls", IF(#REF!&lt;=10, "Medium Calls", "High Calls"))</f>
        <v>#REF!</v>
      </c>
      <c r="AF1201" t="e">
        <f xml:space="preserve">
IF(#REF!&gt;=4,4,0)+
IF(#REF!="yes",3,0)+
IF(#REF!="High Charges",3,0)+
IF(#REF!&gt;250,4,0)+
IF(#REF!="no",1,0)+
IF(#REF!="Heavy Domestic User",2,0)</f>
        <v>#REF!</v>
      </c>
      <c r="AG1201" t="e">
        <f>IF(#REF!&gt;=10,"High Risk", IF(#REF!&gt;=5,"Medium Risk","Low Risk"))</f>
        <v>#REF!</v>
      </c>
      <c r="AH1201" t="e">
        <f>#REF! + #REF! + #REF! + #REF!</f>
        <v>#REF!</v>
      </c>
    </row>
    <row r="1202" spans="1:34" x14ac:dyDescent="0.35">
      <c r="A1202">
        <v>1201</v>
      </c>
      <c r="B1202" t="s">
        <v>47</v>
      </c>
      <c r="C1202">
        <v>141</v>
      </c>
      <c r="D1202" t="s">
        <v>25</v>
      </c>
      <c r="E1202" t="s">
        <v>22</v>
      </c>
      <c r="F1202" t="s">
        <v>22</v>
      </c>
      <c r="G1202">
        <v>0</v>
      </c>
      <c r="H1202">
        <v>83.2</v>
      </c>
      <c r="I1202">
        <v>74</v>
      </c>
      <c r="J1202">
        <v>14.14</v>
      </c>
      <c r="K1202">
        <v>190.6</v>
      </c>
      <c r="L1202">
        <v>104</v>
      </c>
      <c r="M1202">
        <v>16.2</v>
      </c>
      <c r="N1202">
        <v>150.5</v>
      </c>
      <c r="O1202">
        <v>79</v>
      </c>
      <c r="P1202">
        <v>6.77</v>
      </c>
      <c r="Q1202">
        <v>10.7</v>
      </c>
      <c r="R1202">
        <v>7</v>
      </c>
      <c r="S1202">
        <v>2.89</v>
      </c>
      <c r="T1202">
        <v>1</v>
      </c>
      <c r="U1202" t="s">
        <v>22</v>
      </c>
      <c r="V1202" t="e">
        <f>IF(#REF! = "yes", 1, 0)</f>
        <v>#REF!</v>
      </c>
      <c r="W1202" t="e">
        <f>IF(#REF! &lt;= 1, "0-1 Calls", IF(#REF! &lt;= 3, "2-3 Calls", IF(#REF! &lt;=5, "4-5 Calls", "6+ Calls")))</f>
        <v>#REF!</v>
      </c>
      <c r="X1202" t="e">
        <f>IF(#REF! &lt;= 50, "0-50", IF(#REF! &lt;=100, "51-100", IF(#REF! &lt;= 150, "101-150", "151+")))</f>
        <v>#REF!</v>
      </c>
      <c r="Y1202" t="e">
        <f>IF(#REF! &lt;= 3, "Low Charges", "High Charges")</f>
        <v>#REF!</v>
      </c>
      <c r="Z1202" t="e">
        <f>IF(#REF!&lt;=80,"Low Calls",
IF(#REF!&lt;=120,"Medium Calls","High Calls"))</f>
        <v>#REF!</v>
      </c>
      <c r="AA1202" t="e">
        <f>IF(#REF!&lt;=15,"Low Charges",
IF(#REF!&lt;=20,"Medium Charges","High Charges"))</f>
        <v>#REF!</v>
      </c>
      <c r="AB1202" t="e">
        <f>IF(AND(#REF!&gt;180, #REF!&gt;200), "Heavy Doemstic User", IF(#REF!&gt;10, "Interntional User", IF(AND(#REF!&lt;180, #REF!&lt;200,#REF!&lt;200), "Light User", "Balanced User")))</f>
        <v>#REF!</v>
      </c>
      <c r="AC1202" t="e">
        <f>IF(#REF! = 0, "No Usage", IF(#REF! &lt;= 20, "Low Usage", IF(#REF! &lt;= 40, "Medium Usgae", "High Usage")))</f>
        <v>#REF!</v>
      </c>
      <c r="AD1202" t="e">
        <f>IF(#REF!&lt;=150,"Low Usage", IF(#REF!&lt;=200,"Medium Usage", IF(#REF!&lt;=250,"High Usage","Very High Usage")))</f>
        <v>#REF!</v>
      </c>
      <c r="AE1202" t="e">
        <f>IF(#REF!&lt;=5,"Low Calls", IF(#REF!&lt;=10, "Medium Calls", "High Calls"))</f>
        <v>#REF!</v>
      </c>
      <c r="AF1202" t="e">
        <f xml:space="preserve">
IF(#REF!&gt;=4,4,0)+
IF(#REF!="yes",3,0)+
IF(#REF!="High Charges",3,0)+
IF(#REF!&gt;250,4,0)+
IF(#REF!="no",1,0)+
IF(#REF!="Heavy Domestic User",2,0)</f>
        <v>#REF!</v>
      </c>
      <c r="AG1202" t="e">
        <f>IF(#REF!&gt;=10,"High Risk", IF(#REF!&gt;=5,"Medium Risk","Low Risk"))</f>
        <v>#REF!</v>
      </c>
      <c r="AH1202" t="e">
        <f>#REF! + #REF! + #REF! + #REF!</f>
        <v>#REF!</v>
      </c>
    </row>
    <row r="1203" spans="1:34" x14ac:dyDescent="0.35">
      <c r="A1203">
        <v>1202</v>
      </c>
      <c r="B1203" t="s">
        <v>20</v>
      </c>
      <c r="C1203">
        <v>29</v>
      </c>
      <c r="D1203" t="s">
        <v>21</v>
      </c>
      <c r="E1203" t="s">
        <v>23</v>
      </c>
      <c r="F1203" t="s">
        <v>23</v>
      </c>
      <c r="G1203">
        <v>37</v>
      </c>
      <c r="H1203">
        <v>235</v>
      </c>
      <c r="I1203">
        <v>101</v>
      </c>
      <c r="J1203">
        <v>39.950000000000003</v>
      </c>
      <c r="K1203">
        <v>183.3</v>
      </c>
      <c r="L1203">
        <v>79</v>
      </c>
      <c r="M1203">
        <v>15.58</v>
      </c>
      <c r="N1203">
        <v>139.80000000000001</v>
      </c>
      <c r="O1203">
        <v>106</v>
      </c>
      <c r="P1203">
        <v>6.29</v>
      </c>
      <c r="Q1203">
        <v>5.7</v>
      </c>
      <c r="R1203">
        <v>7</v>
      </c>
      <c r="S1203">
        <v>1.54</v>
      </c>
      <c r="T1203">
        <v>2</v>
      </c>
      <c r="U1203" t="s">
        <v>22</v>
      </c>
      <c r="V1203" t="e">
        <f>IF(#REF! = "yes", 1, 0)</f>
        <v>#REF!</v>
      </c>
      <c r="W1203" t="e">
        <f>IF(#REF! &lt;= 1, "0-1 Calls", IF(#REF! &lt;= 3, "2-3 Calls", IF(#REF! &lt;=5, "4-5 Calls", "6+ Calls")))</f>
        <v>#REF!</v>
      </c>
      <c r="X1203" t="e">
        <f>IF(#REF! &lt;= 50, "0-50", IF(#REF! &lt;=100, "51-100", IF(#REF! &lt;= 150, "101-150", "151+")))</f>
        <v>#REF!</v>
      </c>
      <c r="Y1203" t="e">
        <f>IF(#REF! &lt;= 3, "Low Charges", "High Charges")</f>
        <v>#REF!</v>
      </c>
      <c r="Z1203" t="e">
        <f>IF(#REF!&lt;=80,"Low Calls",
IF(#REF!&lt;=120,"Medium Calls","High Calls"))</f>
        <v>#REF!</v>
      </c>
      <c r="AA1203" t="e">
        <f>IF(#REF!&lt;=15,"Low Charges",
IF(#REF!&lt;=20,"Medium Charges","High Charges"))</f>
        <v>#REF!</v>
      </c>
      <c r="AB1203" t="e">
        <f>IF(AND(#REF!&gt;180, #REF!&gt;200), "Heavy Doemstic User", IF(#REF!&gt;10, "Interntional User", IF(AND(#REF!&lt;180, #REF!&lt;200,#REF!&lt;200), "Light User", "Balanced User")))</f>
        <v>#REF!</v>
      </c>
      <c r="AC1203" t="e">
        <f>IF(#REF! = 0, "No Usage", IF(#REF! &lt;= 20, "Low Usage", IF(#REF! &lt;= 40, "Medium Usgae", "High Usage")))</f>
        <v>#REF!</v>
      </c>
      <c r="AD1203" t="e">
        <f>IF(#REF!&lt;=150,"Low Usage", IF(#REF!&lt;=200,"Medium Usage", IF(#REF!&lt;=250,"High Usage","Very High Usage")))</f>
        <v>#REF!</v>
      </c>
      <c r="AE1203" t="e">
        <f>IF(#REF!&lt;=5,"Low Calls", IF(#REF!&lt;=10, "Medium Calls", "High Calls"))</f>
        <v>#REF!</v>
      </c>
      <c r="AF1203" t="e">
        <f xml:space="preserve">
IF(#REF!&gt;=4,4,0)+
IF(#REF!="yes",3,0)+
IF(#REF!="High Charges",3,0)+
IF(#REF!&gt;250,4,0)+
IF(#REF!="no",1,0)+
IF(#REF!="Heavy Domestic User",2,0)</f>
        <v>#REF!</v>
      </c>
      <c r="AG1203" t="e">
        <f>IF(#REF!&gt;=10,"High Risk", IF(#REF!&gt;=5,"Medium Risk","Low Risk"))</f>
        <v>#REF!</v>
      </c>
      <c r="AH1203" t="e">
        <f>#REF! + #REF! + #REF! + #REF!</f>
        <v>#REF!</v>
      </c>
    </row>
    <row r="1204" spans="1:34" x14ac:dyDescent="0.35">
      <c r="A1204">
        <v>1203</v>
      </c>
      <c r="B1204" t="s">
        <v>61</v>
      </c>
      <c r="C1204">
        <v>65</v>
      </c>
      <c r="D1204" t="s">
        <v>21</v>
      </c>
      <c r="E1204" t="s">
        <v>22</v>
      </c>
      <c r="F1204" t="s">
        <v>22</v>
      </c>
      <c r="G1204">
        <v>0</v>
      </c>
      <c r="H1204">
        <v>105.7</v>
      </c>
      <c r="I1204">
        <v>95</v>
      </c>
      <c r="J1204">
        <v>17.97</v>
      </c>
      <c r="K1204">
        <v>141.80000000000001</v>
      </c>
      <c r="L1204">
        <v>100</v>
      </c>
      <c r="M1204">
        <v>12.05</v>
      </c>
      <c r="N1204">
        <v>180.5</v>
      </c>
      <c r="O1204">
        <v>105</v>
      </c>
      <c r="P1204">
        <v>8.1199999999999992</v>
      </c>
      <c r="Q1204">
        <v>6.6</v>
      </c>
      <c r="R1204">
        <v>12</v>
      </c>
      <c r="S1204">
        <v>1.78</v>
      </c>
      <c r="T1204">
        <v>2</v>
      </c>
      <c r="U1204" t="s">
        <v>22</v>
      </c>
      <c r="V1204" t="e">
        <f>IF(#REF! = "yes", 1, 0)</f>
        <v>#REF!</v>
      </c>
      <c r="W1204" t="e">
        <f>IF(#REF! &lt;= 1, "0-1 Calls", IF(#REF! &lt;= 3, "2-3 Calls", IF(#REF! &lt;=5, "4-5 Calls", "6+ Calls")))</f>
        <v>#REF!</v>
      </c>
      <c r="X1204" t="e">
        <f>IF(#REF! &lt;= 50, "0-50", IF(#REF! &lt;=100, "51-100", IF(#REF! &lt;= 150, "101-150", "151+")))</f>
        <v>#REF!</v>
      </c>
      <c r="Y1204" t="e">
        <f>IF(#REF! &lt;= 3, "Low Charges", "High Charges")</f>
        <v>#REF!</v>
      </c>
      <c r="Z1204" t="e">
        <f>IF(#REF!&lt;=80,"Low Calls",
IF(#REF!&lt;=120,"Medium Calls","High Calls"))</f>
        <v>#REF!</v>
      </c>
      <c r="AA1204" t="e">
        <f>IF(#REF!&lt;=15,"Low Charges",
IF(#REF!&lt;=20,"Medium Charges","High Charges"))</f>
        <v>#REF!</v>
      </c>
      <c r="AB1204" t="e">
        <f>IF(AND(#REF!&gt;180, #REF!&gt;200), "Heavy Doemstic User", IF(#REF!&gt;10, "Interntional User", IF(AND(#REF!&lt;180, #REF!&lt;200,#REF!&lt;200), "Light User", "Balanced User")))</f>
        <v>#REF!</v>
      </c>
      <c r="AC1204" t="e">
        <f>IF(#REF! = 0, "No Usage", IF(#REF! &lt;= 20, "Low Usage", IF(#REF! &lt;= 40, "Medium Usgae", "High Usage")))</f>
        <v>#REF!</v>
      </c>
      <c r="AD1204" t="e">
        <f>IF(#REF!&lt;=150,"Low Usage", IF(#REF!&lt;=200,"Medium Usage", IF(#REF!&lt;=250,"High Usage","Very High Usage")))</f>
        <v>#REF!</v>
      </c>
      <c r="AE1204" t="e">
        <f>IF(#REF!&lt;=5,"Low Calls", IF(#REF!&lt;=10, "Medium Calls", "High Calls"))</f>
        <v>#REF!</v>
      </c>
      <c r="AF1204" t="e">
        <f xml:space="preserve">
IF(#REF!&gt;=4,4,0)+
IF(#REF!="yes",3,0)+
IF(#REF!="High Charges",3,0)+
IF(#REF!&gt;250,4,0)+
IF(#REF!="no",1,0)+
IF(#REF!="Heavy Domestic User",2,0)</f>
        <v>#REF!</v>
      </c>
      <c r="AG1204" t="e">
        <f>IF(#REF!&gt;=10,"High Risk", IF(#REF!&gt;=5,"Medium Risk","Low Risk"))</f>
        <v>#REF!</v>
      </c>
      <c r="AH1204" t="e">
        <f>#REF! + #REF! + #REF! + #REF!</f>
        <v>#REF!</v>
      </c>
    </row>
    <row r="1205" spans="1:34" x14ac:dyDescent="0.35">
      <c r="A1205">
        <v>1204</v>
      </c>
      <c r="B1205" t="s">
        <v>53</v>
      </c>
      <c r="C1205">
        <v>81</v>
      </c>
      <c r="D1205" t="s">
        <v>21</v>
      </c>
      <c r="E1205" t="s">
        <v>23</v>
      </c>
      <c r="F1205" t="s">
        <v>22</v>
      </c>
      <c r="G1205">
        <v>0</v>
      </c>
      <c r="H1205">
        <v>149.4</v>
      </c>
      <c r="I1205">
        <v>68</v>
      </c>
      <c r="J1205">
        <v>25.4</v>
      </c>
      <c r="K1205">
        <v>171.9</v>
      </c>
      <c r="L1205">
        <v>98</v>
      </c>
      <c r="M1205">
        <v>14.61</v>
      </c>
      <c r="N1205">
        <v>214.5</v>
      </c>
      <c r="O1205">
        <v>97</v>
      </c>
      <c r="P1205">
        <v>9.65</v>
      </c>
      <c r="Q1205">
        <v>17.899999999999999</v>
      </c>
      <c r="R1205">
        <v>3</v>
      </c>
      <c r="S1205">
        <v>4.83</v>
      </c>
      <c r="T1205">
        <v>3</v>
      </c>
      <c r="U1205" t="s">
        <v>23</v>
      </c>
      <c r="V1205" t="e">
        <f>IF(#REF! = "yes", 1, 0)</f>
        <v>#REF!</v>
      </c>
      <c r="W1205" t="e">
        <f>IF(#REF! &lt;= 1, "0-1 Calls", IF(#REF! &lt;= 3, "2-3 Calls", IF(#REF! &lt;=5, "4-5 Calls", "6+ Calls")))</f>
        <v>#REF!</v>
      </c>
      <c r="X1205" t="e">
        <f>IF(#REF! &lt;= 50, "0-50", IF(#REF! &lt;=100, "51-100", IF(#REF! &lt;= 150, "101-150", "151+")))</f>
        <v>#REF!</v>
      </c>
      <c r="Y1205" t="e">
        <f>IF(#REF! &lt;= 3, "Low Charges", "High Charges")</f>
        <v>#REF!</v>
      </c>
      <c r="Z1205" t="e">
        <f>IF(#REF!&lt;=80,"Low Calls",
IF(#REF!&lt;=120,"Medium Calls","High Calls"))</f>
        <v>#REF!</v>
      </c>
      <c r="AA1205" t="e">
        <f>IF(#REF!&lt;=15,"Low Charges",
IF(#REF!&lt;=20,"Medium Charges","High Charges"))</f>
        <v>#REF!</v>
      </c>
      <c r="AB1205" t="e">
        <f>IF(AND(#REF!&gt;180, #REF!&gt;200), "Heavy Doemstic User", IF(#REF!&gt;10, "Interntional User", IF(AND(#REF!&lt;180, #REF!&lt;200,#REF!&lt;200), "Light User", "Balanced User")))</f>
        <v>#REF!</v>
      </c>
      <c r="AC1205" t="e">
        <f>IF(#REF! = 0, "No Usage", IF(#REF! &lt;= 20, "Low Usage", IF(#REF! &lt;= 40, "Medium Usgae", "High Usage")))</f>
        <v>#REF!</v>
      </c>
      <c r="AD1205" t="e">
        <f>IF(#REF!&lt;=150,"Low Usage", IF(#REF!&lt;=200,"Medium Usage", IF(#REF!&lt;=250,"High Usage","Very High Usage")))</f>
        <v>#REF!</v>
      </c>
      <c r="AE1205" t="e">
        <f>IF(#REF!&lt;=5,"Low Calls", IF(#REF!&lt;=10, "Medium Calls", "High Calls"))</f>
        <v>#REF!</v>
      </c>
      <c r="AF1205" t="e">
        <f xml:space="preserve">
IF(#REF!&gt;=4,4,0)+
IF(#REF!="yes",3,0)+
IF(#REF!="High Charges",3,0)+
IF(#REF!&gt;250,4,0)+
IF(#REF!="no",1,0)+
IF(#REF!="Heavy Domestic User",2,0)</f>
        <v>#REF!</v>
      </c>
      <c r="AG1205" t="e">
        <f>IF(#REF!&gt;=10,"High Risk", IF(#REF!&gt;=5,"Medium Risk","Low Risk"))</f>
        <v>#REF!</v>
      </c>
      <c r="AH1205" t="e">
        <f>#REF! + #REF! + #REF! + #REF!</f>
        <v>#REF!</v>
      </c>
    </row>
    <row r="1206" spans="1:34" x14ac:dyDescent="0.35">
      <c r="A1206">
        <v>1205</v>
      </c>
      <c r="B1206" t="s">
        <v>60</v>
      </c>
      <c r="C1206">
        <v>37</v>
      </c>
      <c r="D1206" t="s">
        <v>21</v>
      </c>
      <c r="E1206" t="s">
        <v>22</v>
      </c>
      <c r="F1206" t="s">
        <v>23</v>
      </c>
      <c r="G1206">
        <v>20</v>
      </c>
      <c r="H1206">
        <v>264.7</v>
      </c>
      <c r="I1206">
        <v>81</v>
      </c>
      <c r="J1206">
        <v>45</v>
      </c>
      <c r="K1206">
        <v>216.5</v>
      </c>
      <c r="L1206">
        <v>110</v>
      </c>
      <c r="M1206">
        <v>18.399999999999999</v>
      </c>
      <c r="N1206">
        <v>210.7</v>
      </c>
      <c r="O1206">
        <v>102</v>
      </c>
      <c r="P1206">
        <v>9.48</v>
      </c>
      <c r="Q1206">
        <v>10.4</v>
      </c>
      <c r="R1206">
        <v>7</v>
      </c>
      <c r="S1206">
        <v>2.81</v>
      </c>
      <c r="T1206">
        <v>0</v>
      </c>
      <c r="U1206" t="s">
        <v>22</v>
      </c>
      <c r="V1206" t="e">
        <f>IF(#REF! = "yes", 1, 0)</f>
        <v>#REF!</v>
      </c>
      <c r="W1206" t="e">
        <f>IF(#REF! &lt;= 1, "0-1 Calls", IF(#REF! &lt;= 3, "2-3 Calls", IF(#REF! &lt;=5, "4-5 Calls", "6+ Calls")))</f>
        <v>#REF!</v>
      </c>
      <c r="X1206" t="e">
        <f>IF(#REF! &lt;= 50, "0-50", IF(#REF! &lt;=100, "51-100", IF(#REF! &lt;= 150, "101-150", "151+")))</f>
        <v>#REF!</v>
      </c>
      <c r="Y1206" t="e">
        <f>IF(#REF! &lt;= 3, "Low Charges", "High Charges")</f>
        <v>#REF!</v>
      </c>
      <c r="Z1206" t="e">
        <f>IF(#REF!&lt;=80,"Low Calls",
IF(#REF!&lt;=120,"Medium Calls","High Calls"))</f>
        <v>#REF!</v>
      </c>
      <c r="AA1206" t="e">
        <f>IF(#REF!&lt;=15,"Low Charges",
IF(#REF!&lt;=20,"Medium Charges","High Charges"))</f>
        <v>#REF!</v>
      </c>
      <c r="AB1206" t="e">
        <f>IF(AND(#REF!&gt;180, #REF!&gt;200), "Heavy Doemstic User", IF(#REF!&gt;10, "Interntional User", IF(AND(#REF!&lt;180, #REF!&lt;200,#REF!&lt;200), "Light User", "Balanced User")))</f>
        <v>#REF!</v>
      </c>
      <c r="AC1206" t="e">
        <f>IF(#REF! = 0, "No Usage", IF(#REF! &lt;= 20, "Low Usage", IF(#REF! &lt;= 40, "Medium Usgae", "High Usage")))</f>
        <v>#REF!</v>
      </c>
      <c r="AD1206" t="e">
        <f>IF(#REF!&lt;=150,"Low Usage", IF(#REF!&lt;=200,"Medium Usage", IF(#REF!&lt;=250,"High Usage","Very High Usage")))</f>
        <v>#REF!</v>
      </c>
      <c r="AE1206" t="e">
        <f>IF(#REF!&lt;=5,"Low Calls", IF(#REF!&lt;=10, "Medium Calls", "High Calls"))</f>
        <v>#REF!</v>
      </c>
      <c r="AF1206" t="e">
        <f xml:space="preserve">
IF(#REF!&gt;=4,4,0)+
IF(#REF!="yes",3,0)+
IF(#REF!="High Charges",3,0)+
IF(#REF!&gt;250,4,0)+
IF(#REF!="no",1,0)+
IF(#REF!="Heavy Domestic User",2,0)</f>
        <v>#REF!</v>
      </c>
      <c r="AG1206" t="e">
        <f>IF(#REF!&gt;=10,"High Risk", IF(#REF!&gt;=5,"Medium Risk","Low Risk"))</f>
        <v>#REF!</v>
      </c>
      <c r="AH1206" t="e">
        <f>#REF! + #REF! + #REF! + #REF!</f>
        <v>#REF!</v>
      </c>
    </row>
    <row r="1207" spans="1:34" x14ac:dyDescent="0.35">
      <c r="A1207">
        <v>1206</v>
      </c>
      <c r="B1207" t="s">
        <v>44</v>
      </c>
      <c r="C1207">
        <v>107</v>
      </c>
      <c r="D1207" t="s">
        <v>28</v>
      </c>
      <c r="E1207" t="s">
        <v>22</v>
      </c>
      <c r="F1207" t="s">
        <v>23</v>
      </c>
      <c r="G1207">
        <v>31</v>
      </c>
      <c r="H1207">
        <v>160.30000000000001</v>
      </c>
      <c r="I1207">
        <v>45</v>
      </c>
      <c r="J1207">
        <v>27.25</v>
      </c>
      <c r="K1207">
        <v>221.5</v>
      </c>
      <c r="L1207">
        <v>70</v>
      </c>
      <c r="M1207">
        <v>18.829999999999998</v>
      </c>
      <c r="N1207">
        <v>261.60000000000002</v>
      </c>
      <c r="O1207">
        <v>109</v>
      </c>
      <c r="P1207">
        <v>11.77</v>
      </c>
      <c r="Q1207">
        <v>5.6</v>
      </c>
      <c r="R1207">
        <v>1</v>
      </c>
      <c r="S1207">
        <v>1.51</v>
      </c>
      <c r="T1207">
        <v>1</v>
      </c>
      <c r="U1207" t="s">
        <v>22</v>
      </c>
      <c r="V1207" t="e">
        <f>IF(#REF! = "yes", 1, 0)</f>
        <v>#REF!</v>
      </c>
      <c r="W1207" t="e">
        <f>IF(#REF! &lt;= 1, "0-1 Calls", IF(#REF! &lt;= 3, "2-3 Calls", IF(#REF! &lt;=5, "4-5 Calls", "6+ Calls")))</f>
        <v>#REF!</v>
      </c>
      <c r="X1207" t="e">
        <f>IF(#REF! &lt;= 50, "0-50", IF(#REF! &lt;=100, "51-100", IF(#REF! &lt;= 150, "101-150", "151+")))</f>
        <v>#REF!</v>
      </c>
      <c r="Y1207" t="e">
        <f>IF(#REF! &lt;= 3, "Low Charges", "High Charges")</f>
        <v>#REF!</v>
      </c>
      <c r="Z1207" t="e">
        <f>IF(#REF!&lt;=80,"Low Calls",
IF(#REF!&lt;=120,"Medium Calls","High Calls"))</f>
        <v>#REF!</v>
      </c>
      <c r="AA1207" t="e">
        <f>IF(#REF!&lt;=15,"Low Charges",
IF(#REF!&lt;=20,"Medium Charges","High Charges"))</f>
        <v>#REF!</v>
      </c>
      <c r="AB1207" t="e">
        <f>IF(AND(#REF!&gt;180, #REF!&gt;200), "Heavy Doemstic User", IF(#REF!&gt;10, "Interntional User", IF(AND(#REF!&lt;180, #REF!&lt;200,#REF!&lt;200), "Light User", "Balanced User")))</f>
        <v>#REF!</v>
      </c>
      <c r="AC1207" t="e">
        <f>IF(#REF! = 0, "No Usage", IF(#REF! &lt;= 20, "Low Usage", IF(#REF! &lt;= 40, "Medium Usgae", "High Usage")))</f>
        <v>#REF!</v>
      </c>
      <c r="AD1207" t="e">
        <f>IF(#REF!&lt;=150,"Low Usage", IF(#REF!&lt;=200,"Medium Usage", IF(#REF!&lt;=250,"High Usage","Very High Usage")))</f>
        <v>#REF!</v>
      </c>
      <c r="AE1207" t="e">
        <f>IF(#REF!&lt;=5,"Low Calls", IF(#REF!&lt;=10, "Medium Calls", "High Calls"))</f>
        <v>#REF!</v>
      </c>
      <c r="AF1207" t="e">
        <f xml:space="preserve">
IF(#REF!&gt;=4,4,0)+
IF(#REF!="yes",3,0)+
IF(#REF!="High Charges",3,0)+
IF(#REF!&gt;250,4,0)+
IF(#REF!="no",1,0)+
IF(#REF!="Heavy Domestic User",2,0)</f>
        <v>#REF!</v>
      </c>
      <c r="AG1207" t="e">
        <f>IF(#REF!&gt;=10,"High Risk", IF(#REF!&gt;=5,"Medium Risk","Low Risk"))</f>
        <v>#REF!</v>
      </c>
      <c r="AH1207" t="e">
        <f>#REF! + #REF! + #REF! + #REF!</f>
        <v>#REF!</v>
      </c>
    </row>
    <row r="1208" spans="1:34" x14ac:dyDescent="0.35">
      <c r="A1208">
        <v>1207</v>
      </c>
      <c r="B1208" t="s">
        <v>44</v>
      </c>
      <c r="C1208">
        <v>127</v>
      </c>
      <c r="D1208" t="s">
        <v>21</v>
      </c>
      <c r="E1208" t="s">
        <v>23</v>
      </c>
      <c r="F1208" t="s">
        <v>23</v>
      </c>
      <c r="G1208">
        <v>28</v>
      </c>
      <c r="H1208">
        <v>95.9</v>
      </c>
      <c r="I1208">
        <v>117</v>
      </c>
      <c r="J1208">
        <v>16.3</v>
      </c>
      <c r="K1208">
        <v>159.5</v>
      </c>
      <c r="L1208">
        <v>131</v>
      </c>
      <c r="M1208">
        <v>13.56</v>
      </c>
      <c r="N1208">
        <v>152.80000000000001</v>
      </c>
      <c r="O1208">
        <v>132</v>
      </c>
      <c r="P1208">
        <v>6.88</v>
      </c>
      <c r="Q1208">
        <v>10.4</v>
      </c>
      <c r="R1208">
        <v>3</v>
      </c>
      <c r="S1208">
        <v>2.81</v>
      </c>
      <c r="T1208">
        <v>1</v>
      </c>
      <c r="U1208" t="s">
        <v>22</v>
      </c>
      <c r="V1208" t="e">
        <f>IF(#REF! = "yes", 1, 0)</f>
        <v>#REF!</v>
      </c>
      <c r="W1208" t="e">
        <f>IF(#REF! &lt;= 1, "0-1 Calls", IF(#REF! &lt;= 3, "2-3 Calls", IF(#REF! &lt;=5, "4-5 Calls", "6+ Calls")))</f>
        <v>#REF!</v>
      </c>
      <c r="X1208" t="e">
        <f>IF(#REF! &lt;= 50, "0-50", IF(#REF! &lt;=100, "51-100", IF(#REF! &lt;= 150, "101-150", "151+")))</f>
        <v>#REF!</v>
      </c>
      <c r="Y1208" t="e">
        <f>IF(#REF! &lt;= 3, "Low Charges", "High Charges")</f>
        <v>#REF!</v>
      </c>
      <c r="Z1208" t="e">
        <f>IF(#REF!&lt;=80,"Low Calls",
IF(#REF!&lt;=120,"Medium Calls","High Calls"))</f>
        <v>#REF!</v>
      </c>
      <c r="AA1208" t="e">
        <f>IF(#REF!&lt;=15,"Low Charges",
IF(#REF!&lt;=20,"Medium Charges","High Charges"))</f>
        <v>#REF!</v>
      </c>
      <c r="AB1208" t="e">
        <f>IF(AND(#REF!&gt;180, #REF!&gt;200), "Heavy Doemstic User", IF(#REF!&gt;10, "Interntional User", IF(AND(#REF!&lt;180, #REF!&lt;200,#REF!&lt;200), "Light User", "Balanced User")))</f>
        <v>#REF!</v>
      </c>
      <c r="AC1208" t="e">
        <f>IF(#REF! = 0, "No Usage", IF(#REF! &lt;= 20, "Low Usage", IF(#REF! &lt;= 40, "Medium Usgae", "High Usage")))</f>
        <v>#REF!</v>
      </c>
      <c r="AD1208" t="e">
        <f>IF(#REF!&lt;=150,"Low Usage", IF(#REF!&lt;=200,"Medium Usage", IF(#REF!&lt;=250,"High Usage","Very High Usage")))</f>
        <v>#REF!</v>
      </c>
      <c r="AE1208" t="e">
        <f>IF(#REF!&lt;=5,"Low Calls", IF(#REF!&lt;=10, "Medium Calls", "High Calls"))</f>
        <v>#REF!</v>
      </c>
      <c r="AF1208" t="e">
        <f xml:space="preserve">
IF(#REF!&gt;=4,4,0)+
IF(#REF!="yes",3,0)+
IF(#REF!="High Charges",3,0)+
IF(#REF!&gt;250,4,0)+
IF(#REF!="no",1,0)+
IF(#REF!="Heavy Domestic User",2,0)</f>
        <v>#REF!</v>
      </c>
      <c r="AG1208" t="e">
        <f>IF(#REF!&gt;=10,"High Risk", IF(#REF!&gt;=5,"Medium Risk","Low Risk"))</f>
        <v>#REF!</v>
      </c>
      <c r="AH1208" t="e">
        <f>#REF! + #REF! + #REF! + #REF!</f>
        <v>#REF!</v>
      </c>
    </row>
    <row r="1209" spans="1:34" x14ac:dyDescent="0.35">
      <c r="A1209">
        <v>1208</v>
      </c>
      <c r="B1209" t="s">
        <v>59</v>
      </c>
      <c r="C1209">
        <v>78</v>
      </c>
      <c r="D1209" t="s">
        <v>25</v>
      </c>
      <c r="E1209" t="s">
        <v>22</v>
      </c>
      <c r="F1209" t="s">
        <v>22</v>
      </c>
      <c r="G1209">
        <v>0</v>
      </c>
      <c r="H1209">
        <v>140.69999999999999</v>
      </c>
      <c r="I1209">
        <v>77</v>
      </c>
      <c r="J1209">
        <v>23.92</v>
      </c>
      <c r="K1209">
        <v>195.2</v>
      </c>
      <c r="L1209">
        <v>114</v>
      </c>
      <c r="M1209">
        <v>16.59</v>
      </c>
      <c r="N1209">
        <v>252.9</v>
      </c>
      <c r="O1209">
        <v>107</v>
      </c>
      <c r="P1209">
        <v>11.38</v>
      </c>
      <c r="Q1209">
        <v>11.7</v>
      </c>
      <c r="R1209">
        <v>5</v>
      </c>
      <c r="S1209">
        <v>3.16</v>
      </c>
      <c r="T1209">
        <v>0</v>
      </c>
      <c r="U1209" t="s">
        <v>22</v>
      </c>
      <c r="V1209" t="e">
        <f>IF(#REF! = "yes", 1, 0)</f>
        <v>#REF!</v>
      </c>
      <c r="W1209" t="e">
        <f>IF(#REF! &lt;= 1, "0-1 Calls", IF(#REF! &lt;= 3, "2-3 Calls", IF(#REF! &lt;=5, "4-5 Calls", "6+ Calls")))</f>
        <v>#REF!</v>
      </c>
      <c r="X1209" t="e">
        <f>IF(#REF! &lt;= 50, "0-50", IF(#REF! &lt;=100, "51-100", IF(#REF! &lt;= 150, "101-150", "151+")))</f>
        <v>#REF!</v>
      </c>
      <c r="Y1209" t="e">
        <f>IF(#REF! &lt;= 3, "Low Charges", "High Charges")</f>
        <v>#REF!</v>
      </c>
      <c r="Z1209" t="e">
        <f>IF(#REF!&lt;=80,"Low Calls",
IF(#REF!&lt;=120,"Medium Calls","High Calls"))</f>
        <v>#REF!</v>
      </c>
      <c r="AA1209" t="e">
        <f>IF(#REF!&lt;=15,"Low Charges",
IF(#REF!&lt;=20,"Medium Charges","High Charges"))</f>
        <v>#REF!</v>
      </c>
      <c r="AB1209" t="e">
        <f>IF(AND(#REF!&gt;180, #REF!&gt;200), "Heavy Doemstic User", IF(#REF!&gt;10, "Interntional User", IF(AND(#REF!&lt;180, #REF!&lt;200,#REF!&lt;200), "Light User", "Balanced User")))</f>
        <v>#REF!</v>
      </c>
      <c r="AC1209" t="e">
        <f>IF(#REF! = 0, "No Usage", IF(#REF! &lt;= 20, "Low Usage", IF(#REF! &lt;= 40, "Medium Usgae", "High Usage")))</f>
        <v>#REF!</v>
      </c>
      <c r="AD1209" t="e">
        <f>IF(#REF!&lt;=150,"Low Usage", IF(#REF!&lt;=200,"Medium Usage", IF(#REF!&lt;=250,"High Usage","Very High Usage")))</f>
        <v>#REF!</v>
      </c>
      <c r="AE1209" t="e">
        <f>IF(#REF!&lt;=5,"Low Calls", IF(#REF!&lt;=10, "Medium Calls", "High Calls"))</f>
        <v>#REF!</v>
      </c>
      <c r="AF1209" t="e">
        <f xml:space="preserve">
IF(#REF!&gt;=4,4,0)+
IF(#REF!="yes",3,0)+
IF(#REF!="High Charges",3,0)+
IF(#REF!&gt;250,4,0)+
IF(#REF!="no",1,0)+
IF(#REF!="Heavy Domestic User",2,0)</f>
        <v>#REF!</v>
      </c>
      <c r="AG1209" t="e">
        <f>IF(#REF!&gt;=10,"High Risk", IF(#REF!&gt;=5,"Medium Risk","Low Risk"))</f>
        <v>#REF!</v>
      </c>
      <c r="AH1209" t="e">
        <f>#REF! + #REF! + #REF! + #REF!</f>
        <v>#REF!</v>
      </c>
    </row>
    <row r="1210" spans="1:34" x14ac:dyDescent="0.35">
      <c r="A1210">
        <v>1209</v>
      </c>
      <c r="B1210" t="s">
        <v>61</v>
      </c>
      <c r="C1210">
        <v>55</v>
      </c>
      <c r="D1210" t="s">
        <v>28</v>
      </c>
      <c r="E1210" t="s">
        <v>22</v>
      </c>
      <c r="F1210" t="s">
        <v>22</v>
      </c>
      <c r="G1210">
        <v>0</v>
      </c>
      <c r="H1210">
        <v>119.7</v>
      </c>
      <c r="I1210">
        <v>148</v>
      </c>
      <c r="J1210">
        <v>20.350000000000001</v>
      </c>
      <c r="K1210">
        <v>231.8</v>
      </c>
      <c r="L1210">
        <v>96</v>
      </c>
      <c r="M1210">
        <v>19.7</v>
      </c>
      <c r="N1210">
        <v>222.3</v>
      </c>
      <c r="O1210">
        <v>113</v>
      </c>
      <c r="P1210">
        <v>10</v>
      </c>
      <c r="Q1210">
        <v>4.5999999999999996</v>
      </c>
      <c r="R1210">
        <v>2</v>
      </c>
      <c r="S1210">
        <v>1.24</v>
      </c>
      <c r="T1210">
        <v>2</v>
      </c>
      <c r="U1210" t="s">
        <v>22</v>
      </c>
      <c r="V1210" t="e">
        <f>IF(#REF! = "yes", 1, 0)</f>
        <v>#REF!</v>
      </c>
      <c r="W1210" t="e">
        <f>IF(#REF! &lt;= 1, "0-1 Calls", IF(#REF! &lt;= 3, "2-3 Calls", IF(#REF! &lt;=5, "4-5 Calls", "6+ Calls")))</f>
        <v>#REF!</v>
      </c>
      <c r="X1210" t="e">
        <f>IF(#REF! &lt;= 50, "0-50", IF(#REF! &lt;=100, "51-100", IF(#REF! &lt;= 150, "101-150", "151+")))</f>
        <v>#REF!</v>
      </c>
      <c r="Y1210" t="e">
        <f>IF(#REF! &lt;= 3, "Low Charges", "High Charges")</f>
        <v>#REF!</v>
      </c>
      <c r="Z1210" t="e">
        <f>IF(#REF!&lt;=80,"Low Calls",
IF(#REF!&lt;=120,"Medium Calls","High Calls"))</f>
        <v>#REF!</v>
      </c>
      <c r="AA1210" t="e">
        <f>IF(#REF!&lt;=15,"Low Charges",
IF(#REF!&lt;=20,"Medium Charges","High Charges"))</f>
        <v>#REF!</v>
      </c>
      <c r="AB1210" t="e">
        <f>IF(AND(#REF!&gt;180, #REF!&gt;200), "Heavy Doemstic User", IF(#REF!&gt;10, "Interntional User", IF(AND(#REF!&lt;180, #REF!&lt;200,#REF!&lt;200), "Light User", "Balanced User")))</f>
        <v>#REF!</v>
      </c>
      <c r="AC1210" t="e">
        <f>IF(#REF! = 0, "No Usage", IF(#REF! &lt;= 20, "Low Usage", IF(#REF! &lt;= 40, "Medium Usgae", "High Usage")))</f>
        <v>#REF!</v>
      </c>
      <c r="AD1210" t="e">
        <f>IF(#REF!&lt;=150,"Low Usage", IF(#REF!&lt;=200,"Medium Usage", IF(#REF!&lt;=250,"High Usage","Very High Usage")))</f>
        <v>#REF!</v>
      </c>
      <c r="AE1210" t="e">
        <f>IF(#REF!&lt;=5,"Low Calls", IF(#REF!&lt;=10, "Medium Calls", "High Calls"))</f>
        <v>#REF!</v>
      </c>
      <c r="AF1210" t="e">
        <f xml:space="preserve">
IF(#REF!&gt;=4,4,0)+
IF(#REF!="yes",3,0)+
IF(#REF!="High Charges",3,0)+
IF(#REF!&gt;250,4,0)+
IF(#REF!="no",1,0)+
IF(#REF!="Heavy Domestic User",2,0)</f>
        <v>#REF!</v>
      </c>
      <c r="AG1210" t="e">
        <f>IF(#REF!&gt;=10,"High Risk", IF(#REF!&gt;=5,"Medium Risk","Low Risk"))</f>
        <v>#REF!</v>
      </c>
      <c r="AH1210" t="e">
        <f>#REF! + #REF! + #REF! + #REF!</f>
        <v>#REF!</v>
      </c>
    </row>
    <row r="1211" spans="1:34" x14ac:dyDescent="0.35">
      <c r="A1211">
        <v>1210</v>
      </c>
      <c r="B1211" t="s">
        <v>38</v>
      </c>
      <c r="C1211">
        <v>86</v>
      </c>
      <c r="D1211" t="s">
        <v>21</v>
      </c>
      <c r="E1211" t="s">
        <v>22</v>
      </c>
      <c r="F1211" t="s">
        <v>23</v>
      </c>
      <c r="G1211">
        <v>30</v>
      </c>
      <c r="H1211">
        <v>99.9</v>
      </c>
      <c r="I1211">
        <v>84</v>
      </c>
      <c r="J1211">
        <v>16.98</v>
      </c>
      <c r="K1211">
        <v>263.5</v>
      </c>
      <c r="L1211">
        <v>125</v>
      </c>
      <c r="M1211">
        <v>22.4</v>
      </c>
      <c r="N1211">
        <v>254.7</v>
      </c>
      <c r="O1211">
        <v>90</v>
      </c>
      <c r="P1211">
        <v>11.46</v>
      </c>
      <c r="Q1211">
        <v>9.8000000000000007</v>
      </c>
      <c r="R1211">
        <v>7</v>
      </c>
      <c r="S1211">
        <v>2.65</v>
      </c>
      <c r="T1211">
        <v>2</v>
      </c>
      <c r="U1211" t="s">
        <v>22</v>
      </c>
      <c r="V1211" t="e">
        <f>IF(#REF! = "yes", 1, 0)</f>
        <v>#REF!</v>
      </c>
      <c r="W1211" t="e">
        <f>IF(#REF! &lt;= 1, "0-1 Calls", IF(#REF! &lt;= 3, "2-3 Calls", IF(#REF! &lt;=5, "4-5 Calls", "6+ Calls")))</f>
        <v>#REF!</v>
      </c>
      <c r="X1211" t="e">
        <f>IF(#REF! &lt;= 50, "0-50", IF(#REF! &lt;=100, "51-100", IF(#REF! &lt;= 150, "101-150", "151+")))</f>
        <v>#REF!</v>
      </c>
      <c r="Y1211" t="e">
        <f>IF(#REF! &lt;= 3, "Low Charges", "High Charges")</f>
        <v>#REF!</v>
      </c>
      <c r="Z1211" t="e">
        <f>IF(#REF!&lt;=80,"Low Calls",
IF(#REF!&lt;=120,"Medium Calls","High Calls"))</f>
        <v>#REF!</v>
      </c>
      <c r="AA1211" t="e">
        <f>IF(#REF!&lt;=15,"Low Charges",
IF(#REF!&lt;=20,"Medium Charges","High Charges"))</f>
        <v>#REF!</v>
      </c>
      <c r="AB1211" t="e">
        <f>IF(AND(#REF!&gt;180, #REF!&gt;200), "Heavy Doemstic User", IF(#REF!&gt;10, "Interntional User", IF(AND(#REF!&lt;180, #REF!&lt;200,#REF!&lt;200), "Light User", "Balanced User")))</f>
        <v>#REF!</v>
      </c>
      <c r="AC1211" t="e">
        <f>IF(#REF! = 0, "No Usage", IF(#REF! &lt;= 20, "Low Usage", IF(#REF! &lt;= 40, "Medium Usgae", "High Usage")))</f>
        <v>#REF!</v>
      </c>
      <c r="AD1211" t="e">
        <f>IF(#REF!&lt;=150,"Low Usage", IF(#REF!&lt;=200,"Medium Usage", IF(#REF!&lt;=250,"High Usage","Very High Usage")))</f>
        <v>#REF!</v>
      </c>
      <c r="AE1211" t="e">
        <f>IF(#REF!&lt;=5,"Low Calls", IF(#REF!&lt;=10, "Medium Calls", "High Calls"))</f>
        <v>#REF!</v>
      </c>
      <c r="AF1211" t="e">
        <f xml:space="preserve">
IF(#REF!&gt;=4,4,0)+
IF(#REF!="yes",3,0)+
IF(#REF!="High Charges",3,0)+
IF(#REF!&gt;250,4,0)+
IF(#REF!="no",1,0)+
IF(#REF!="Heavy Domestic User",2,0)</f>
        <v>#REF!</v>
      </c>
      <c r="AG1211" t="e">
        <f>IF(#REF!&gt;=10,"High Risk", IF(#REF!&gt;=5,"Medium Risk","Low Risk"))</f>
        <v>#REF!</v>
      </c>
      <c r="AH1211" t="e">
        <f>#REF! + #REF! + #REF! + #REF!</f>
        <v>#REF!</v>
      </c>
    </row>
    <row r="1212" spans="1:34" x14ac:dyDescent="0.35">
      <c r="A1212">
        <v>1211</v>
      </c>
      <c r="B1212" t="s">
        <v>33</v>
      </c>
      <c r="C1212">
        <v>176</v>
      </c>
      <c r="D1212" t="s">
        <v>21</v>
      </c>
      <c r="E1212" t="s">
        <v>22</v>
      </c>
      <c r="F1212" t="s">
        <v>22</v>
      </c>
      <c r="G1212">
        <v>0</v>
      </c>
      <c r="H1212">
        <v>250.9</v>
      </c>
      <c r="I1212">
        <v>108</v>
      </c>
      <c r="J1212">
        <v>42.65</v>
      </c>
      <c r="K1212">
        <v>171.4</v>
      </c>
      <c r="L1212">
        <v>100</v>
      </c>
      <c r="M1212">
        <v>14.57</v>
      </c>
      <c r="N1212">
        <v>148.6</v>
      </c>
      <c r="O1212">
        <v>85</v>
      </c>
      <c r="P1212">
        <v>6.69</v>
      </c>
      <c r="Q1212">
        <v>9.6</v>
      </c>
      <c r="R1212">
        <v>6</v>
      </c>
      <c r="S1212">
        <v>2.59</v>
      </c>
      <c r="T1212">
        <v>2</v>
      </c>
      <c r="U1212" t="s">
        <v>22</v>
      </c>
      <c r="V1212" t="e">
        <f>IF(#REF! = "yes", 1, 0)</f>
        <v>#REF!</v>
      </c>
      <c r="W1212" t="e">
        <f>IF(#REF! &lt;= 1, "0-1 Calls", IF(#REF! &lt;= 3, "2-3 Calls", IF(#REF! &lt;=5, "4-5 Calls", "6+ Calls")))</f>
        <v>#REF!</v>
      </c>
      <c r="X1212" t="e">
        <f>IF(#REF! &lt;= 50, "0-50", IF(#REF! &lt;=100, "51-100", IF(#REF! &lt;= 150, "101-150", "151+")))</f>
        <v>#REF!</v>
      </c>
      <c r="Y1212" t="e">
        <f>IF(#REF! &lt;= 3, "Low Charges", "High Charges")</f>
        <v>#REF!</v>
      </c>
      <c r="Z1212" t="e">
        <f>IF(#REF!&lt;=80,"Low Calls",
IF(#REF!&lt;=120,"Medium Calls","High Calls"))</f>
        <v>#REF!</v>
      </c>
      <c r="AA1212" t="e">
        <f>IF(#REF!&lt;=15,"Low Charges",
IF(#REF!&lt;=20,"Medium Charges","High Charges"))</f>
        <v>#REF!</v>
      </c>
      <c r="AB1212" t="e">
        <f>IF(AND(#REF!&gt;180, #REF!&gt;200), "Heavy Doemstic User", IF(#REF!&gt;10, "Interntional User", IF(AND(#REF!&lt;180, #REF!&lt;200,#REF!&lt;200), "Light User", "Balanced User")))</f>
        <v>#REF!</v>
      </c>
      <c r="AC1212" t="e">
        <f>IF(#REF! = 0, "No Usage", IF(#REF! &lt;= 20, "Low Usage", IF(#REF! &lt;= 40, "Medium Usgae", "High Usage")))</f>
        <v>#REF!</v>
      </c>
      <c r="AD1212" t="e">
        <f>IF(#REF!&lt;=150,"Low Usage", IF(#REF!&lt;=200,"Medium Usage", IF(#REF!&lt;=250,"High Usage","Very High Usage")))</f>
        <v>#REF!</v>
      </c>
      <c r="AE1212" t="e">
        <f>IF(#REF!&lt;=5,"Low Calls", IF(#REF!&lt;=10, "Medium Calls", "High Calls"))</f>
        <v>#REF!</v>
      </c>
      <c r="AF1212" t="e">
        <f xml:space="preserve">
IF(#REF!&gt;=4,4,0)+
IF(#REF!="yes",3,0)+
IF(#REF!="High Charges",3,0)+
IF(#REF!&gt;250,4,0)+
IF(#REF!="no",1,0)+
IF(#REF!="Heavy Domestic User",2,0)</f>
        <v>#REF!</v>
      </c>
      <c r="AG1212" t="e">
        <f>IF(#REF!&gt;=10,"High Risk", IF(#REF!&gt;=5,"Medium Risk","Low Risk"))</f>
        <v>#REF!</v>
      </c>
      <c r="AH1212" t="e">
        <f>#REF! + #REF! + #REF! + #REF!</f>
        <v>#REF!</v>
      </c>
    </row>
    <row r="1213" spans="1:34" x14ac:dyDescent="0.35">
      <c r="A1213">
        <v>1212</v>
      </c>
      <c r="B1213" t="s">
        <v>68</v>
      </c>
      <c r="C1213">
        <v>96</v>
      </c>
      <c r="D1213" t="s">
        <v>21</v>
      </c>
      <c r="E1213" t="s">
        <v>23</v>
      </c>
      <c r="F1213" t="s">
        <v>22</v>
      </c>
      <c r="G1213">
        <v>0</v>
      </c>
      <c r="H1213">
        <v>200.6</v>
      </c>
      <c r="I1213">
        <v>117</v>
      </c>
      <c r="J1213">
        <v>34.1</v>
      </c>
      <c r="K1213">
        <v>289.5</v>
      </c>
      <c r="L1213">
        <v>120</v>
      </c>
      <c r="M1213">
        <v>24.61</v>
      </c>
      <c r="N1213">
        <v>98.3</v>
      </c>
      <c r="O1213">
        <v>95</v>
      </c>
      <c r="P1213">
        <v>4.42</v>
      </c>
      <c r="Q1213">
        <v>11.2</v>
      </c>
      <c r="R1213">
        <v>5</v>
      </c>
      <c r="S1213">
        <v>3.02</v>
      </c>
      <c r="T1213">
        <v>2</v>
      </c>
      <c r="U1213" t="s">
        <v>22</v>
      </c>
      <c r="V1213" t="e">
        <f>IF(#REF! = "yes", 1, 0)</f>
        <v>#REF!</v>
      </c>
      <c r="W1213" t="e">
        <f>IF(#REF! &lt;= 1, "0-1 Calls", IF(#REF! &lt;= 3, "2-3 Calls", IF(#REF! &lt;=5, "4-5 Calls", "6+ Calls")))</f>
        <v>#REF!</v>
      </c>
      <c r="X1213" t="e">
        <f>IF(#REF! &lt;= 50, "0-50", IF(#REF! &lt;=100, "51-100", IF(#REF! &lt;= 150, "101-150", "151+")))</f>
        <v>#REF!</v>
      </c>
      <c r="Y1213" t="e">
        <f>IF(#REF! &lt;= 3, "Low Charges", "High Charges")</f>
        <v>#REF!</v>
      </c>
      <c r="Z1213" t="e">
        <f>IF(#REF!&lt;=80,"Low Calls",
IF(#REF!&lt;=120,"Medium Calls","High Calls"))</f>
        <v>#REF!</v>
      </c>
      <c r="AA1213" t="e">
        <f>IF(#REF!&lt;=15,"Low Charges",
IF(#REF!&lt;=20,"Medium Charges","High Charges"))</f>
        <v>#REF!</v>
      </c>
      <c r="AB1213" t="e">
        <f>IF(AND(#REF!&gt;180, #REF!&gt;200), "Heavy Doemstic User", IF(#REF!&gt;10, "Interntional User", IF(AND(#REF!&lt;180, #REF!&lt;200,#REF!&lt;200), "Light User", "Balanced User")))</f>
        <v>#REF!</v>
      </c>
      <c r="AC1213" t="e">
        <f>IF(#REF! = 0, "No Usage", IF(#REF! &lt;= 20, "Low Usage", IF(#REF! &lt;= 40, "Medium Usgae", "High Usage")))</f>
        <v>#REF!</v>
      </c>
      <c r="AD1213" t="e">
        <f>IF(#REF!&lt;=150,"Low Usage", IF(#REF!&lt;=200,"Medium Usage", IF(#REF!&lt;=250,"High Usage","Very High Usage")))</f>
        <v>#REF!</v>
      </c>
      <c r="AE1213" t="e">
        <f>IF(#REF!&lt;=5,"Low Calls", IF(#REF!&lt;=10, "Medium Calls", "High Calls"))</f>
        <v>#REF!</v>
      </c>
      <c r="AF1213" t="e">
        <f xml:space="preserve">
IF(#REF!&gt;=4,4,0)+
IF(#REF!="yes",3,0)+
IF(#REF!="High Charges",3,0)+
IF(#REF!&gt;250,4,0)+
IF(#REF!="no",1,0)+
IF(#REF!="Heavy Domestic User",2,0)</f>
        <v>#REF!</v>
      </c>
      <c r="AG1213" t="e">
        <f>IF(#REF!&gt;=10,"High Risk", IF(#REF!&gt;=5,"Medium Risk","Low Risk"))</f>
        <v>#REF!</v>
      </c>
      <c r="AH1213" t="e">
        <f>#REF! + #REF! + #REF! + #REF!</f>
        <v>#REF!</v>
      </c>
    </row>
    <row r="1214" spans="1:34" x14ac:dyDescent="0.35">
      <c r="A1214">
        <v>1213</v>
      </c>
      <c r="B1214" t="s">
        <v>31</v>
      </c>
      <c r="C1214">
        <v>11</v>
      </c>
      <c r="D1214" t="s">
        <v>28</v>
      </c>
      <c r="E1214" t="s">
        <v>22</v>
      </c>
      <c r="F1214" t="s">
        <v>23</v>
      </c>
      <c r="G1214">
        <v>38</v>
      </c>
      <c r="H1214">
        <v>209.8</v>
      </c>
      <c r="I1214">
        <v>130</v>
      </c>
      <c r="J1214">
        <v>35.67</v>
      </c>
      <c r="K1214">
        <v>196.6</v>
      </c>
      <c r="L1214">
        <v>84</v>
      </c>
      <c r="M1214">
        <v>16.71</v>
      </c>
      <c r="N1214">
        <v>233</v>
      </c>
      <c r="O1214">
        <v>79</v>
      </c>
      <c r="P1214">
        <v>10.49</v>
      </c>
      <c r="Q1214">
        <v>7</v>
      </c>
      <c r="R1214">
        <v>7</v>
      </c>
      <c r="S1214">
        <v>1.89</v>
      </c>
      <c r="T1214">
        <v>1</v>
      </c>
      <c r="U1214" t="s">
        <v>22</v>
      </c>
      <c r="V1214" t="e">
        <f>IF(#REF! = "yes", 1, 0)</f>
        <v>#REF!</v>
      </c>
      <c r="W1214" t="e">
        <f>IF(#REF! &lt;= 1, "0-1 Calls", IF(#REF! &lt;= 3, "2-3 Calls", IF(#REF! &lt;=5, "4-5 Calls", "6+ Calls")))</f>
        <v>#REF!</v>
      </c>
      <c r="X1214" t="e">
        <f>IF(#REF! &lt;= 50, "0-50", IF(#REF! &lt;=100, "51-100", IF(#REF! &lt;= 150, "101-150", "151+")))</f>
        <v>#REF!</v>
      </c>
      <c r="Y1214" t="e">
        <f>IF(#REF! &lt;= 3, "Low Charges", "High Charges")</f>
        <v>#REF!</v>
      </c>
      <c r="Z1214" t="e">
        <f>IF(#REF!&lt;=80,"Low Calls",
IF(#REF!&lt;=120,"Medium Calls","High Calls"))</f>
        <v>#REF!</v>
      </c>
      <c r="AA1214" t="e">
        <f>IF(#REF!&lt;=15,"Low Charges",
IF(#REF!&lt;=20,"Medium Charges","High Charges"))</f>
        <v>#REF!</v>
      </c>
      <c r="AB1214" t="e">
        <f>IF(AND(#REF!&gt;180, #REF!&gt;200), "Heavy Doemstic User", IF(#REF!&gt;10, "Interntional User", IF(AND(#REF!&lt;180, #REF!&lt;200,#REF!&lt;200), "Light User", "Balanced User")))</f>
        <v>#REF!</v>
      </c>
      <c r="AC1214" t="e">
        <f>IF(#REF! = 0, "No Usage", IF(#REF! &lt;= 20, "Low Usage", IF(#REF! &lt;= 40, "Medium Usgae", "High Usage")))</f>
        <v>#REF!</v>
      </c>
      <c r="AD1214" t="e">
        <f>IF(#REF!&lt;=150,"Low Usage", IF(#REF!&lt;=200,"Medium Usage", IF(#REF!&lt;=250,"High Usage","Very High Usage")))</f>
        <v>#REF!</v>
      </c>
      <c r="AE1214" t="e">
        <f>IF(#REF!&lt;=5,"Low Calls", IF(#REF!&lt;=10, "Medium Calls", "High Calls"))</f>
        <v>#REF!</v>
      </c>
      <c r="AF1214" t="e">
        <f xml:space="preserve">
IF(#REF!&gt;=4,4,0)+
IF(#REF!="yes",3,0)+
IF(#REF!="High Charges",3,0)+
IF(#REF!&gt;250,4,0)+
IF(#REF!="no",1,0)+
IF(#REF!="Heavy Domestic User",2,0)</f>
        <v>#REF!</v>
      </c>
      <c r="AG1214" t="e">
        <f>IF(#REF!&gt;=10,"High Risk", IF(#REF!&gt;=5,"Medium Risk","Low Risk"))</f>
        <v>#REF!</v>
      </c>
      <c r="AH1214" t="e">
        <f>#REF! + #REF! + #REF! + #REF!</f>
        <v>#REF!</v>
      </c>
    </row>
    <row r="1215" spans="1:34" x14ac:dyDescent="0.35">
      <c r="A1215">
        <v>1214</v>
      </c>
      <c r="B1215" t="s">
        <v>31</v>
      </c>
      <c r="C1215">
        <v>48</v>
      </c>
      <c r="D1215" t="s">
        <v>21</v>
      </c>
      <c r="E1215" t="s">
        <v>22</v>
      </c>
      <c r="F1215" t="s">
        <v>23</v>
      </c>
      <c r="G1215">
        <v>34</v>
      </c>
      <c r="H1215">
        <v>198</v>
      </c>
      <c r="I1215">
        <v>70</v>
      </c>
      <c r="J1215">
        <v>33.659999999999997</v>
      </c>
      <c r="K1215">
        <v>273.7</v>
      </c>
      <c r="L1215">
        <v>121</v>
      </c>
      <c r="M1215">
        <v>23.26</v>
      </c>
      <c r="N1215">
        <v>217.9</v>
      </c>
      <c r="O1215">
        <v>71</v>
      </c>
      <c r="P1215">
        <v>9.81</v>
      </c>
      <c r="Q1215">
        <v>7.6</v>
      </c>
      <c r="R1215">
        <v>4</v>
      </c>
      <c r="S1215">
        <v>2.0499999999999998</v>
      </c>
      <c r="T1215">
        <v>1</v>
      </c>
      <c r="U1215" t="s">
        <v>22</v>
      </c>
      <c r="V1215" t="e">
        <f>IF(#REF! = "yes", 1, 0)</f>
        <v>#REF!</v>
      </c>
      <c r="W1215" t="e">
        <f>IF(#REF! &lt;= 1, "0-1 Calls", IF(#REF! &lt;= 3, "2-3 Calls", IF(#REF! &lt;=5, "4-5 Calls", "6+ Calls")))</f>
        <v>#REF!</v>
      </c>
      <c r="X1215" t="e">
        <f>IF(#REF! &lt;= 50, "0-50", IF(#REF! &lt;=100, "51-100", IF(#REF! &lt;= 150, "101-150", "151+")))</f>
        <v>#REF!</v>
      </c>
      <c r="Y1215" t="e">
        <f>IF(#REF! &lt;= 3, "Low Charges", "High Charges")</f>
        <v>#REF!</v>
      </c>
      <c r="Z1215" t="e">
        <f>IF(#REF!&lt;=80,"Low Calls",
IF(#REF!&lt;=120,"Medium Calls","High Calls"))</f>
        <v>#REF!</v>
      </c>
      <c r="AA1215" t="e">
        <f>IF(#REF!&lt;=15,"Low Charges",
IF(#REF!&lt;=20,"Medium Charges","High Charges"))</f>
        <v>#REF!</v>
      </c>
      <c r="AB1215" t="e">
        <f>IF(AND(#REF!&gt;180, #REF!&gt;200), "Heavy Doemstic User", IF(#REF!&gt;10, "Interntional User", IF(AND(#REF!&lt;180, #REF!&lt;200,#REF!&lt;200), "Light User", "Balanced User")))</f>
        <v>#REF!</v>
      </c>
      <c r="AC1215" t="e">
        <f>IF(#REF! = 0, "No Usage", IF(#REF! &lt;= 20, "Low Usage", IF(#REF! &lt;= 40, "Medium Usgae", "High Usage")))</f>
        <v>#REF!</v>
      </c>
      <c r="AD1215" t="e">
        <f>IF(#REF!&lt;=150,"Low Usage", IF(#REF!&lt;=200,"Medium Usage", IF(#REF!&lt;=250,"High Usage","Very High Usage")))</f>
        <v>#REF!</v>
      </c>
      <c r="AE1215" t="e">
        <f>IF(#REF!&lt;=5,"Low Calls", IF(#REF!&lt;=10, "Medium Calls", "High Calls"))</f>
        <v>#REF!</v>
      </c>
      <c r="AF1215" t="e">
        <f xml:space="preserve">
IF(#REF!&gt;=4,4,0)+
IF(#REF!="yes",3,0)+
IF(#REF!="High Charges",3,0)+
IF(#REF!&gt;250,4,0)+
IF(#REF!="no",1,0)+
IF(#REF!="Heavy Domestic User",2,0)</f>
        <v>#REF!</v>
      </c>
      <c r="AG1215" t="e">
        <f>IF(#REF!&gt;=10,"High Risk", IF(#REF!&gt;=5,"Medium Risk","Low Risk"))</f>
        <v>#REF!</v>
      </c>
      <c r="AH1215" t="e">
        <f>#REF! + #REF! + #REF! + #REF!</f>
        <v>#REF!</v>
      </c>
    </row>
    <row r="1216" spans="1:34" x14ac:dyDescent="0.35">
      <c r="A1216">
        <v>1215</v>
      </c>
      <c r="B1216" t="s">
        <v>24</v>
      </c>
      <c r="C1216">
        <v>127</v>
      </c>
      <c r="D1216" t="s">
        <v>28</v>
      </c>
      <c r="E1216" t="s">
        <v>22</v>
      </c>
      <c r="F1216" t="s">
        <v>22</v>
      </c>
      <c r="G1216">
        <v>0</v>
      </c>
      <c r="H1216">
        <v>239.8</v>
      </c>
      <c r="I1216">
        <v>107</v>
      </c>
      <c r="J1216">
        <v>40.770000000000003</v>
      </c>
      <c r="K1216">
        <v>128.9</v>
      </c>
      <c r="L1216">
        <v>121</v>
      </c>
      <c r="M1216">
        <v>10.96</v>
      </c>
      <c r="N1216">
        <v>249.9</v>
      </c>
      <c r="O1216">
        <v>110</v>
      </c>
      <c r="P1216">
        <v>11.25</v>
      </c>
      <c r="Q1216">
        <v>11.3</v>
      </c>
      <c r="R1216">
        <v>5</v>
      </c>
      <c r="S1216">
        <v>3.05</v>
      </c>
      <c r="T1216">
        <v>1</v>
      </c>
      <c r="U1216" t="s">
        <v>22</v>
      </c>
      <c r="V1216" t="e">
        <f>IF(#REF! = "yes", 1, 0)</f>
        <v>#REF!</v>
      </c>
      <c r="W1216" t="e">
        <f>IF(#REF! &lt;= 1, "0-1 Calls", IF(#REF! &lt;= 3, "2-3 Calls", IF(#REF! &lt;=5, "4-5 Calls", "6+ Calls")))</f>
        <v>#REF!</v>
      </c>
      <c r="X1216" t="e">
        <f>IF(#REF! &lt;= 50, "0-50", IF(#REF! &lt;=100, "51-100", IF(#REF! &lt;= 150, "101-150", "151+")))</f>
        <v>#REF!</v>
      </c>
      <c r="Y1216" t="e">
        <f>IF(#REF! &lt;= 3, "Low Charges", "High Charges")</f>
        <v>#REF!</v>
      </c>
      <c r="Z1216" t="e">
        <f>IF(#REF!&lt;=80,"Low Calls",
IF(#REF!&lt;=120,"Medium Calls","High Calls"))</f>
        <v>#REF!</v>
      </c>
      <c r="AA1216" t="e">
        <f>IF(#REF!&lt;=15,"Low Charges",
IF(#REF!&lt;=20,"Medium Charges","High Charges"))</f>
        <v>#REF!</v>
      </c>
      <c r="AB1216" t="e">
        <f>IF(AND(#REF!&gt;180, #REF!&gt;200), "Heavy Doemstic User", IF(#REF!&gt;10, "Interntional User", IF(AND(#REF!&lt;180, #REF!&lt;200,#REF!&lt;200), "Light User", "Balanced User")))</f>
        <v>#REF!</v>
      </c>
      <c r="AC1216" t="e">
        <f>IF(#REF! = 0, "No Usage", IF(#REF! &lt;= 20, "Low Usage", IF(#REF! &lt;= 40, "Medium Usgae", "High Usage")))</f>
        <v>#REF!</v>
      </c>
      <c r="AD1216" t="e">
        <f>IF(#REF!&lt;=150,"Low Usage", IF(#REF!&lt;=200,"Medium Usage", IF(#REF!&lt;=250,"High Usage","Very High Usage")))</f>
        <v>#REF!</v>
      </c>
      <c r="AE1216" t="e">
        <f>IF(#REF!&lt;=5,"Low Calls", IF(#REF!&lt;=10, "Medium Calls", "High Calls"))</f>
        <v>#REF!</v>
      </c>
      <c r="AF1216" t="e">
        <f xml:space="preserve">
IF(#REF!&gt;=4,4,0)+
IF(#REF!="yes",3,0)+
IF(#REF!="High Charges",3,0)+
IF(#REF!&gt;250,4,0)+
IF(#REF!="no",1,0)+
IF(#REF!="Heavy Domestic User",2,0)</f>
        <v>#REF!</v>
      </c>
      <c r="AG1216" t="e">
        <f>IF(#REF!&gt;=10,"High Risk", IF(#REF!&gt;=5,"Medium Risk","Low Risk"))</f>
        <v>#REF!</v>
      </c>
      <c r="AH1216" t="e">
        <f>#REF! + #REF! + #REF! + #REF!</f>
        <v>#REF!</v>
      </c>
    </row>
    <row r="1217" spans="1:34" x14ac:dyDescent="0.35">
      <c r="A1217">
        <v>1216</v>
      </c>
      <c r="B1217" t="s">
        <v>53</v>
      </c>
      <c r="C1217">
        <v>79</v>
      </c>
      <c r="D1217" t="s">
        <v>28</v>
      </c>
      <c r="E1217" t="s">
        <v>22</v>
      </c>
      <c r="F1217" t="s">
        <v>22</v>
      </c>
      <c r="G1217">
        <v>0</v>
      </c>
      <c r="H1217">
        <v>220.9</v>
      </c>
      <c r="I1217">
        <v>107</v>
      </c>
      <c r="J1217">
        <v>37.549999999999997</v>
      </c>
      <c r="K1217">
        <v>192.2</v>
      </c>
      <c r="L1217">
        <v>97</v>
      </c>
      <c r="M1217">
        <v>16.34</v>
      </c>
      <c r="N1217">
        <v>161</v>
      </c>
      <c r="O1217">
        <v>74</v>
      </c>
      <c r="P1217">
        <v>7.25</v>
      </c>
      <c r="Q1217">
        <v>12.2</v>
      </c>
      <c r="R1217">
        <v>2</v>
      </c>
      <c r="S1217">
        <v>3.29</v>
      </c>
      <c r="T1217">
        <v>1</v>
      </c>
      <c r="U1217" t="s">
        <v>22</v>
      </c>
      <c r="V1217" t="e">
        <f>IF(#REF! = "yes", 1, 0)</f>
        <v>#REF!</v>
      </c>
      <c r="W1217" t="e">
        <f>IF(#REF! &lt;= 1, "0-1 Calls", IF(#REF! &lt;= 3, "2-3 Calls", IF(#REF! &lt;=5, "4-5 Calls", "6+ Calls")))</f>
        <v>#REF!</v>
      </c>
      <c r="X1217" t="e">
        <f>IF(#REF! &lt;= 50, "0-50", IF(#REF! &lt;=100, "51-100", IF(#REF! &lt;= 150, "101-150", "151+")))</f>
        <v>#REF!</v>
      </c>
      <c r="Y1217" t="e">
        <f>IF(#REF! &lt;= 3, "Low Charges", "High Charges")</f>
        <v>#REF!</v>
      </c>
      <c r="Z1217" t="e">
        <f>IF(#REF!&lt;=80,"Low Calls",
IF(#REF!&lt;=120,"Medium Calls","High Calls"))</f>
        <v>#REF!</v>
      </c>
      <c r="AA1217" t="e">
        <f>IF(#REF!&lt;=15,"Low Charges",
IF(#REF!&lt;=20,"Medium Charges","High Charges"))</f>
        <v>#REF!</v>
      </c>
      <c r="AB1217" t="e">
        <f>IF(AND(#REF!&gt;180, #REF!&gt;200), "Heavy Doemstic User", IF(#REF!&gt;10, "Interntional User", IF(AND(#REF!&lt;180, #REF!&lt;200,#REF!&lt;200), "Light User", "Balanced User")))</f>
        <v>#REF!</v>
      </c>
      <c r="AC1217" t="e">
        <f>IF(#REF! = 0, "No Usage", IF(#REF! &lt;= 20, "Low Usage", IF(#REF! &lt;= 40, "Medium Usgae", "High Usage")))</f>
        <v>#REF!</v>
      </c>
      <c r="AD1217" t="e">
        <f>IF(#REF!&lt;=150,"Low Usage", IF(#REF!&lt;=200,"Medium Usage", IF(#REF!&lt;=250,"High Usage","Very High Usage")))</f>
        <v>#REF!</v>
      </c>
      <c r="AE1217" t="e">
        <f>IF(#REF!&lt;=5,"Low Calls", IF(#REF!&lt;=10, "Medium Calls", "High Calls"))</f>
        <v>#REF!</v>
      </c>
      <c r="AF1217" t="e">
        <f xml:space="preserve">
IF(#REF!&gt;=4,4,0)+
IF(#REF!="yes",3,0)+
IF(#REF!="High Charges",3,0)+
IF(#REF!&gt;250,4,0)+
IF(#REF!="no",1,0)+
IF(#REF!="Heavy Domestic User",2,0)</f>
        <v>#REF!</v>
      </c>
      <c r="AG1217" t="e">
        <f>IF(#REF!&gt;=10,"High Risk", IF(#REF!&gt;=5,"Medium Risk","Low Risk"))</f>
        <v>#REF!</v>
      </c>
      <c r="AH1217" t="e">
        <f>#REF! + #REF! + #REF! + #REF!</f>
        <v>#REF!</v>
      </c>
    </row>
    <row r="1218" spans="1:34" x14ac:dyDescent="0.35">
      <c r="A1218">
        <v>1217</v>
      </c>
      <c r="B1218" t="s">
        <v>53</v>
      </c>
      <c r="C1218">
        <v>83</v>
      </c>
      <c r="D1218" t="s">
        <v>28</v>
      </c>
      <c r="E1218" t="s">
        <v>22</v>
      </c>
      <c r="F1218" t="s">
        <v>23</v>
      </c>
      <c r="G1218">
        <v>26</v>
      </c>
      <c r="H1218">
        <v>226.4</v>
      </c>
      <c r="I1218">
        <v>117</v>
      </c>
      <c r="J1218">
        <v>38.49</v>
      </c>
      <c r="K1218">
        <v>234.7</v>
      </c>
      <c r="L1218">
        <v>97</v>
      </c>
      <c r="M1218">
        <v>19.95</v>
      </c>
      <c r="N1218">
        <v>133.6</v>
      </c>
      <c r="O1218">
        <v>82</v>
      </c>
      <c r="P1218">
        <v>6.01</v>
      </c>
      <c r="Q1218">
        <v>10.8</v>
      </c>
      <c r="R1218">
        <v>7</v>
      </c>
      <c r="S1218">
        <v>2.92</v>
      </c>
      <c r="T1218">
        <v>1</v>
      </c>
      <c r="U1218" t="s">
        <v>22</v>
      </c>
      <c r="V1218" t="e">
        <f>IF(#REF! = "yes", 1, 0)</f>
        <v>#REF!</v>
      </c>
      <c r="W1218" t="e">
        <f>IF(#REF! &lt;= 1, "0-1 Calls", IF(#REF! &lt;= 3, "2-3 Calls", IF(#REF! &lt;=5, "4-5 Calls", "6+ Calls")))</f>
        <v>#REF!</v>
      </c>
      <c r="X1218" t="e">
        <f>IF(#REF! &lt;= 50, "0-50", IF(#REF! &lt;=100, "51-100", IF(#REF! &lt;= 150, "101-150", "151+")))</f>
        <v>#REF!</v>
      </c>
      <c r="Y1218" t="e">
        <f>IF(#REF! &lt;= 3, "Low Charges", "High Charges")</f>
        <v>#REF!</v>
      </c>
      <c r="Z1218" t="e">
        <f>IF(#REF!&lt;=80,"Low Calls",
IF(#REF!&lt;=120,"Medium Calls","High Calls"))</f>
        <v>#REF!</v>
      </c>
      <c r="AA1218" t="e">
        <f>IF(#REF!&lt;=15,"Low Charges",
IF(#REF!&lt;=20,"Medium Charges","High Charges"))</f>
        <v>#REF!</v>
      </c>
      <c r="AB1218" t="e">
        <f>IF(AND(#REF!&gt;180, #REF!&gt;200), "Heavy Doemstic User", IF(#REF!&gt;10, "Interntional User", IF(AND(#REF!&lt;180, #REF!&lt;200,#REF!&lt;200), "Light User", "Balanced User")))</f>
        <v>#REF!</v>
      </c>
      <c r="AC1218" t="e">
        <f>IF(#REF! = 0, "No Usage", IF(#REF! &lt;= 20, "Low Usage", IF(#REF! &lt;= 40, "Medium Usgae", "High Usage")))</f>
        <v>#REF!</v>
      </c>
      <c r="AD1218" t="e">
        <f>IF(#REF!&lt;=150,"Low Usage", IF(#REF!&lt;=200,"Medium Usage", IF(#REF!&lt;=250,"High Usage","Very High Usage")))</f>
        <v>#REF!</v>
      </c>
      <c r="AE1218" t="e">
        <f>IF(#REF!&lt;=5,"Low Calls", IF(#REF!&lt;=10, "Medium Calls", "High Calls"))</f>
        <v>#REF!</v>
      </c>
      <c r="AF1218" t="e">
        <f xml:space="preserve">
IF(#REF!&gt;=4,4,0)+
IF(#REF!="yes",3,0)+
IF(#REF!="High Charges",3,0)+
IF(#REF!&gt;250,4,0)+
IF(#REF!="no",1,0)+
IF(#REF!="Heavy Domestic User",2,0)</f>
        <v>#REF!</v>
      </c>
      <c r="AG1218" t="e">
        <f>IF(#REF!&gt;=10,"High Risk", IF(#REF!&gt;=5,"Medium Risk","Low Risk"))</f>
        <v>#REF!</v>
      </c>
      <c r="AH1218" t="e">
        <f>#REF! + #REF! + #REF! + #REF!</f>
        <v>#REF!</v>
      </c>
    </row>
    <row r="1219" spans="1:34" x14ac:dyDescent="0.35">
      <c r="A1219">
        <v>1218</v>
      </c>
      <c r="B1219" t="s">
        <v>75</v>
      </c>
      <c r="C1219">
        <v>60</v>
      </c>
      <c r="D1219" t="s">
        <v>28</v>
      </c>
      <c r="E1219" t="s">
        <v>22</v>
      </c>
      <c r="F1219" t="s">
        <v>22</v>
      </c>
      <c r="G1219">
        <v>0</v>
      </c>
      <c r="H1219">
        <v>203.2</v>
      </c>
      <c r="I1219">
        <v>99</v>
      </c>
      <c r="J1219">
        <v>34.54</v>
      </c>
      <c r="K1219">
        <v>235.8</v>
      </c>
      <c r="L1219">
        <v>131</v>
      </c>
      <c r="M1219">
        <v>20.04</v>
      </c>
      <c r="N1219">
        <v>224.9</v>
      </c>
      <c r="O1219">
        <v>112</v>
      </c>
      <c r="P1219">
        <v>10.119999999999999</v>
      </c>
      <c r="Q1219">
        <v>15.1</v>
      </c>
      <c r="R1219">
        <v>6</v>
      </c>
      <c r="S1219">
        <v>4.08</v>
      </c>
      <c r="T1219">
        <v>2</v>
      </c>
      <c r="U1219" t="s">
        <v>22</v>
      </c>
      <c r="V1219" t="e">
        <f>IF(#REF! = "yes", 1, 0)</f>
        <v>#REF!</v>
      </c>
      <c r="W1219" t="e">
        <f>IF(#REF! &lt;= 1, "0-1 Calls", IF(#REF! &lt;= 3, "2-3 Calls", IF(#REF! &lt;=5, "4-5 Calls", "6+ Calls")))</f>
        <v>#REF!</v>
      </c>
      <c r="X1219" t="e">
        <f>IF(#REF! &lt;= 50, "0-50", IF(#REF! &lt;=100, "51-100", IF(#REF! &lt;= 150, "101-150", "151+")))</f>
        <v>#REF!</v>
      </c>
      <c r="Y1219" t="e">
        <f>IF(#REF! &lt;= 3, "Low Charges", "High Charges")</f>
        <v>#REF!</v>
      </c>
      <c r="Z1219" t="e">
        <f>IF(#REF!&lt;=80,"Low Calls",
IF(#REF!&lt;=120,"Medium Calls","High Calls"))</f>
        <v>#REF!</v>
      </c>
      <c r="AA1219" t="e">
        <f>IF(#REF!&lt;=15,"Low Charges",
IF(#REF!&lt;=20,"Medium Charges","High Charges"))</f>
        <v>#REF!</v>
      </c>
      <c r="AB1219" t="e">
        <f>IF(AND(#REF!&gt;180, #REF!&gt;200), "Heavy Doemstic User", IF(#REF!&gt;10, "Interntional User", IF(AND(#REF!&lt;180, #REF!&lt;200,#REF!&lt;200), "Light User", "Balanced User")))</f>
        <v>#REF!</v>
      </c>
      <c r="AC1219" t="e">
        <f>IF(#REF! = 0, "No Usage", IF(#REF! &lt;= 20, "Low Usage", IF(#REF! &lt;= 40, "Medium Usgae", "High Usage")))</f>
        <v>#REF!</v>
      </c>
      <c r="AD1219" t="e">
        <f>IF(#REF!&lt;=150,"Low Usage", IF(#REF!&lt;=200,"Medium Usage", IF(#REF!&lt;=250,"High Usage","Very High Usage")))</f>
        <v>#REF!</v>
      </c>
      <c r="AE1219" t="e">
        <f>IF(#REF!&lt;=5,"Low Calls", IF(#REF!&lt;=10, "Medium Calls", "High Calls"))</f>
        <v>#REF!</v>
      </c>
      <c r="AF1219" t="e">
        <f xml:space="preserve">
IF(#REF!&gt;=4,4,0)+
IF(#REF!="yes",3,0)+
IF(#REF!="High Charges",3,0)+
IF(#REF!&gt;250,4,0)+
IF(#REF!="no",1,0)+
IF(#REF!="Heavy Domestic User",2,0)</f>
        <v>#REF!</v>
      </c>
      <c r="AG1219" t="e">
        <f>IF(#REF!&gt;=10,"High Risk", IF(#REF!&gt;=5,"Medium Risk","Low Risk"))</f>
        <v>#REF!</v>
      </c>
      <c r="AH1219" t="e">
        <f>#REF! + #REF! + #REF! + #REF!</f>
        <v>#REF!</v>
      </c>
    </row>
    <row r="1220" spans="1:34" x14ac:dyDescent="0.35">
      <c r="A1220">
        <v>1219</v>
      </c>
      <c r="B1220" t="s">
        <v>64</v>
      </c>
      <c r="C1220">
        <v>122</v>
      </c>
      <c r="D1220" t="s">
        <v>21</v>
      </c>
      <c r="E1220" t="s">
        <v>22</v>
      </c>
      <c r="F1220" t="s">
        <v>22</v>
      </c>
      <c r="G1220">
        <v>0</v>
      </c>
      <c r="H1220">
        <v>136.69999999999999</v>
      </c>
      <c r="I1220">
        <v>115</v>
      </c>
      <c r="J1220">
        <v>23.24</v>
      </c>
      <c r="K1220">
        <v>243.1</v>
      </c>
      <c r="L1220">
        <v>137</v>
      </c>
      <c r="M1220">
        <v>20.66</v>
      </c>
      <c r="N1220">
        <v>188.9</v>
      </c>
      <c r="O1220">
        <v>110</v>
      </c>
      <c r="P1220">
        <v>8.5</v>
      </c>
      <c r="Q1220">
        <v>8.6</v>
      </c>
      <c r="R1220">
        <v>4</v>
      </c>
      <c r="S1220">
        <v>2.3199999999999998</v>
      </c>
      <c r="T1220">
        <v>0</v>
      </c>
      <c r="U1220" t="s">
        <v>22</v>
      </c>
      <c r="V1220" t="e">
        <f>IF(#REF! = "yes", 1, 0)</f>
        <v>#REF!</v>
      </c>
      <c r="W1220" t="e">
        <f>IF(#REF! &lt;= 1, "0-1 Calls", IF(#REF! &lt;= 3, "2-3 Calls", IF(#REF! &lt;=5, "4-5 Calls", "6+ Calls")))</f>
        <v>#REF!</v>
      </c>
      <c r="X1220" t="e">
        <f>IF(#REF! &lt;= 50, "0-50", IF(#REF! &lt;=100, "51-100", IF(#REF! &lt;= 150, "101-150", "151+")))</f>
        <v>#REF!</v>
      </c>
      <c r="Y1220" t="e">
        <f>IF(#REF! &lt;= 3, "Low Charges", "High Charges")</f>
        <v>#REF!</v>
      </c>
      <c r="Z1220" t="e">
        <f>IF(#REF!&lt;=80,"Low Calls",
IF(#REF!&lt;=120,"Medium Calls","High Calls"))</f>
        <v>#REF!</v>
      </c>
      <c r="AA1220" t="e">
        <f>IF(#REF!&lt;=15,"Low Charges",
IF(#REF!&lt;=20,"Medium Charges","High Charges"))</f>
        <v>#REF!</v>
      </c>
      <c r="AB1220" t="e">
        <f>IF(AND(#REF!&gt;180, #REF!&gt;200), "Heavy Doemstic User", IF(#REF!&gt;10, "Interntional User", IF(AND(#REF!&lt;180, #REF!&lt;200,#REF!&lt;200), "Light User", "Balanced User")))</f>
        <v>#REF!</v>
      </c>
      <c r="AC1220" t="e">
        <f>IF(#REF! = 0, "No Usage", IF(#REF! &lt;= 20, "Low Usage", IF(#REF! &lt;= 40, "Medium Usgae", "High Usage")))</f>
        <v>#REF!</v>
      </c>
      <c r="AD1220" t="e">
        <f>IF(#REF!&lt;=150,"Low Usage", IF(#REF!&lt;=200,"Medium Usage", IF(#REF!&lt;=250,"High Usage","Very High Usage")))</f>
        <v>#REF!</v>
      </c>
      <c r="AE1220" t="e">
        <f>IF(#REF!&lt;=5,"Low Calls", IF(#REF!&lt;=10, "Medium Calls", "High Calls"))</f>
        <v>#REF!</v>
      </c>
      <c r="AF1220" t="e">
        <f xml:space="preserve">
IF(#REF!&gt;=4,4,0)+
IF(#REF!="yes",3,0)+
IF(#REF!="High Charges",3,0)+
IF(#REF!&gt;250,4,0)+
IF(#REF!="no",1,0)+
IF(#REF!="Heavy Domestic User",2,0)</f>
        <v>#REF!</v>
      </c>
      <c r="AG1220" t="e">
        <f>IF(#REF!&gt;=10,"High Risk", IF(#REF!&gt;=5,"Medium Risk","Low Risk"))</f>
        <v>#REF!</v>
      </c>
      <c r="AH1220" t="e">
        <f>#REF! + #REF! + #REF! + #REF!</f>
        <v>#REF!</v>
      </c>
    </row>
    <row r="1221" spans="1:34" x14ac:dyDescent="0.35">
      <c r="A1221">
        <v>1220</v>
      </c>
      <c r="B1221" t="s">
        <v>59</v>
      </c>
      <c r="C1221">
        <v>136</v>
      </c>
      <c r="D1221" t="s">
        <v>25</v>
      </c>
      <c r="E1221" t="s">
        <v>22</v>
      </c>
      <c r="F1221" t="s">
        <v>22</v>
      </c>
      <c r="G1221">
        <v>0</v>
      </c>
      <c r="H1221">
        <v>152.6</v>
      </c>
      <c r="I1221">
        <v>97</v>
      </c>
      <c r="J1221">
        <v>25.94</v>
      </c>
      <c r="K1221">
        <v>208.9</v>
      </c>
      <c r="L1221">
        <v>85</v>
      </c>
      <c r="M1221">
        <v>17.760000000000002</v>
      </c>
      <c r="N1221">
        <v>119.1</v>
      </c>
      <c r="O1221">
        <v>99</v>
      </c>
      <c r="P1221">
        <v>5.36</v>
      </c>
      <c r="Q1221">
        <v>5</v>
      </c>
      <c r="R1221">
        <v>10</v>
      </c>
      <c r="S1221">
        <v>1.35</v>
      </c>
      <c r="T1221">
        <v>1</v>
      </c>
      <c r="U1221" t="s">
        <v>22</v>
      </c>
      <c r="V1221" t="e">
        <f>IF(#REF! = "yes", 1, 0)</f>
        <v>#REF!</v>
      </c>
      <c r="W1221" t="e">
        <f>IF(#REF! &lt;= 1, "0-1 Calls", IF(#REF! &lt;= 3, "2-3 Calls", IF(#REF! &lt;=5, "4-5 Calls", "6+ Calls")))</f>
        <v>#REF!</v>
      </c>
      <c r="X1221" t="e">
        <f>IF(#REF! &lt;= 50, "0-50", IF(#REF! &lt;=100, "51-100", IF(#REF! &lt;= 150, "101-150", "151+")))</f>
        <v>#REF!</v>
      </c>
      <c r="Y1221" t="e">
        <f>IF(#REF! &lt;= 3, "Low Charges", "High Charges")</f>
        <v>#REF!</v>
      </c>
      <c r="Z1221" t="e">
        <f>IF(#REF!&lt;=80,"Low Calls",
IF(#REF!&lt;=120,"Medium Calls","High Calls"))</f>
        <v>#REF!</v>
      </c>
      <c r="AA1221" t="e">
        <f>IF(#REF!&lt;=15,"Low Charges",
IF(#REF!&lt;=20,"Medium Charges","High Charges"))</f>
        <v>#REF!</v>
      </c>
      <c r="AB1221" t="e">
        <f>IF(AND(#REF!&gt;180, #REF!&gt;200), "Heavy Doemstic User", IF(#REF!&gt;10, "Interntional User", IF(AND(#REF!&lt;180, #REF!&lt;200,#REF!&lt;200), "Light User", "Balanced User")))</f>
        <v>#REF!</v>
      </c>
      <c r="AC1221" t="e">
        <f>IF(#REF! = 0, "No Usage", IF(#REF! &lt;= 20, "Low Usage", IF(#REF! &lt;= 40, "Medium Usgae", "High Usage")))</f>
        <v>#REF!</v>
      </c>
      <c r="AD1221" t="e">
        <f>IF(#REF!&lt;=150,"Low Usage", IF(#REF!&lt;=200,"Medium Usage", IF(#REF!&lt;=250,"High Usage","Very High Usage")))</f>
        <v>#REF!</v>
      </c>
      <c r="AE1221" t="e">
        <f>IF(#REF!&lt;=5,"Low Calls", IF(#REF!&lt;=10, "Medium Calls", "High Calls"))</f>
        <v>#REF!</v>
      </c>
      <c r="AF1221" t="e">
        <f xml:space="preserve">
IF(#REF!&gt;=4,4,0)+
IF(#REF!="yes",3,0)+
IF(#REF!="High Charges",3,0)+
IF(#REF!&gt;250,4,0)+
IF(#REF!="no",1,0)+
IF(#REF!="Heavy Domestic User",2,0)</f>
        <v>#REF!</v>
      </c>
      <c r="AG1221" t="e">
        <f>IF(#REF!&gt;=10,"High Risk", IF(#REF!&gt;=5,"Medium Risk","Low Risk"))</f>
        <v>#REF!</v>
      </c>
      <c r="AH1221" t="e">
        <f>#REF! + #REF! + #REF! + #REF!</f>
        <v>#REF!</v>
      </c>
    </row>
    <row r="1222" spans="1:34" x14ac:dyDescent="0.35">
      <c r="A1222">
        <v>1221</v>
      </c>
      <c r="B1222" t="s">
        <v>58</v>
      </c>
      <c r="C1222">
        <v>172</v>
      </c>
      <c r="D1222" t="s">
        <v>25</v>
      </c>
      <c r="E1222" t="s">
        <v>22</v>
      </c>
      <c r="F1222" t="s">
        <v>23</v>
      </c>
      <c r="G1222">
        <v>47</v>
      </c>
      <c r="H1222">
        <v>274.89999999999998</v>
      </c>
      <c r="I1222">
        <v>102</v>
      </c>
      <c r="J1222">
        <v>46.73</v>
      </c>
      <c r="K1222">
        <v>186.6</v>
      </c>
      <c r="L1222">
        <v>118</v>
      </c>
      <c r="M1222">
        <v>15.86</v>
      </c>
      <c r="N1222">
        <v>245</v>
      </c>
      <c r="O1222">
        <v>123</v>
      </c>
      <c r="P1222">
        <v>11.03</v>
      </c>
      <c r="Q1222">
        <v>8.8000000000000007</v>
      </c>
      <c r="R1222">
        <v>2</v>
      </c>
      <c r="S1222">
        <v>2.38</v>
      </c>
      <c r="T1222">
        <v>1</v>
      </c>
      <c r="U1222" t="s">
        <v>22</v>
      </c>
      <c r="V1222" t="e">
        <f>IF(#REF! = "yes", 1, 0)</f>
        <v>#REF!</v>
      </c>
      <c r="W1222" t="e">
        <f>IF(#REF! &lt;= 1, "0-1 Calls", IF(#REF! &lt;= 3, "2-3 Calls", IF(#REF! &lt;=5, "4-5 Calls", "6+ Calls")))</f>
        <v>#REF!</v>
      </c>
      <c r="X1222" t="e">
        <f>IF(#REF! &lt;= 50, "0-50", IF(#REF! &lt;=100, "51-100", IF(#REF! &lt;= 150, "101-150", "151+")))</f>
        <v>#REF!</v>
      </c>
      <c r="Y1222" t="e">
        <f>IF(#REF! &lt;= 3, "Low Charges", "High Charges")</f>
        <v>#REF!</v>
      </c>
      <c r="Z1222" t="e">
        <f>IF(#REF!&lt;=80,"Low Calls",
IF(#REF!&lt;=120,"Medium Calls","High Calls"))</f>
        <v>#REF!</v>
      </c>
      <c r="AA1222" t="e">
        <f>IF(#REF!&lt;=15,"Low Charges",
IF(#REF!&lt;=20,"Medium Charges","High Charges"))</f>
        <v>#REF!</v>
      </c>
      <c r="AB1222" t="e">
        <f>IF(AND(#REF!&gt;180, #REF!&gt;200), "Heavy Doemstic User", IF(#REF!&gt;10, "Interntional User", IF(AND(#REF!&lt;180, #REF!&lt;200,#REF!&lt;200), "Light User", "Balanced User")))</f>
        <v>#REF!</v>
      </c>
      <c r="AC1222" t="e">
        <f>IF(#REF! = 0, "No Usage", IF(#REF! &lt;= 20, "Low Usage", IF(#REF! &lt;= 40, "Medium Usgae", "High Usage")))</f>
        <v>#REF!</v>
      </c>
      <c r="AD1222" t="e">
        <f>IF(#REF!&lt;=150,"Low Usage", IF(#REF!&lt;=200,"Medium Usage", IF(#REF!&lt;=250,"High Usage","Very High Usage")))</f>
        <v>#REF!</v>
      </c>
      <c r="AE1222" t="e">
        <f>IF(#REF!&lt;=5,"Low Calls", IF(#REF!&lt;=10, "Medium Calls", "High Calls"))</f>
        <v>#REF!</v>
      </c>
      <c r="AF1222" t="e">
        <f xml:space="preserve">
IF(#REF!&gt;=4,4,0)+
IF(#REF!="yes",3,0)+
IF(#REF!="High Charges",3,0)+
IF(#REF!&gt;250,4,0)+
IF(#REF!="no",1,0)+
IF(#REF!="Heavy Domestic User",2,0)</f>
        <v>#REF!</v>
      </c>
      <c r="AG1222" t="e">
        <f>IF(#REF!&gt;=10,"High Risk", IF(#REF!&gt;=5,"Medium Risk","Low Risk"))</f>
        <v>#REF!</v>
      </c>
      <c r="AH1222" t="e">
        <f>#REF! + #REF! + #REF! + #REF!</f>
        <v>#REF!</v>
      </c>
    </row>
    <row r="1223" spans="1:34" x14ac:dyDescent="0.35">
      <c r="A1223">
        <v>1222</v>
      </c>
      <c r="B1223" t="s">
        <v>31</v>
      </c>
      <c r="C1223">
        <v>79</v>
      </c>
      <c r="D1223" t="s">
        <v>21</v>
      </c>
      <c r="E1223" t="s">
        <v>22</v>
      </c>
      <c r="F1223" t="s">
        <v>22</v>
      </c>
      <c r="G1223">
        <v>0</v>
      </c>
      <c r="H1223">
        <v>222.3</v>
      </c>
      <c r="I1223">
        <v>99</v>
      </c>
      <c r="J1223">
        <v>37.79</v>
      </c>
      <c r="K1223">
        <v>146.19999999999999</v>
      </c>
      <c r="L1223">
        <v>82</v>
      </c>
      <c r="M1223">
        <v>12.43</v>
      </c>
      <c r="N1223">
        <v>275.60000000000002</v>
      </c>
      <c r="O1223">
        <v>82</v>
      </c>
      <c r="P1223">
        <v>12.4</v>
      </c>
      <c r="Q1223">
        <v>8.9</v>
      </c>
      <c r="R1223">
        <v>4</v>
      </c>
      <c r="S1223">
        <v>2.4</v>
      </c>
      <c r="T1223">
        <v>3</v>
      </c>
      <c r="U1223" t="s">
        <v>22</v>
      </c>
      <c r="V1223" t="e">
        <f>IF(#REF! = "yes", 1, 0)</f>
        <v>#REF!</v>
      </c>
      <c r="W1223" t="e">
        <f>IF(#REF! &lt;= 1, "0-1 Calls", IF(#REF! &lt;= 3, "2-3 Calls", IF(#REF! &lt;=5, "4-5 Calls", "6+ Calls")))</f>
        <v>#REF!</v>
      </c>
      <c r="X1223" t="e">
        <f>IF(#REF! &lt;= 50, "0-50", IF(#REF! &lt;=100, "51-100", IF(#REF! &lt;= 150, "101-150", "151+")))</f>
        <v>#REF!</v>
      </c>
      <c r="Y1223" t="e">
        <f>IF(#REF! &lt;= 3, "Low Charges", "High Charges")</f>
        <v>#REF!</v>
      </c>
      <c r="Z1223" t="e">
        <f>IF(#REF!&lt;=80,"Low Calls",
IF(#REF!&lt;=120,"Medium Calls","High Calls"))</f>
        <v>#REF!</v>
      </c>
      <c r="AA1223" t="e">
        <f>IF(#REF!&lt;=15,"Low Charges",
IF(#REF!&lt;=20,"Medium Charges","High Charges"))</f>
        <v>#REF!</v>
      </c>
      <c r="AB1223" t="e">
        <f>IF(AND(#REF!&gt;180, #REF!&gt;200), "Heavy Doemstic User", IF(#REF!&gt;10, "Interntional User", IF(AND(#REF!&lt;180, #REF!&lt;200,#REF!&lt;200), "Light User", "Balanced User")))</f>
        <v>#REF!</v>
      </c>
      <c r="AC1223" t="e">
        <f>IF(#REF! = 0, "No Usage", IF(#REF! &lt;= 20, "Low Usage", IF(#REF! &lt;= 40, "Medium Usgae", "High Usage")))</f>
        <v>#REF!</v>
      </c>
      <c r="AD1223" t="e">
        <f>IF(#REF!&lt;=150,"Low Usage", IF(#REF!&lt;=200,"Medium Usage", IF(#REF!&lt;=250,"High Usage","Very High Usage")))</f>
        <v>#REF!</v>
      </c>
      <c r="AE1223" t="e">
        <f>IF(#REF!&lt;=5,"Low Calls", IF(#REF!&lt;=10, "Medium Calls", "High Calls"))</f>
        <v>#REF!</v>
      </c>
      <c r="AF1223" t="e">
        <f xml:space="preserve">
IF(#REF!&gt;=4,4,0)+
IF(#REF!="yes",3,0)+
IF(#REF!="High Charges",3,0)+
IF(#REF!&gt;250,4,0)+
IF(#REF!="no",1,0)+
IF(#REF!="Heavy Domestic User",2,0)</f>
        <v>#REF!</v>
      </c>
      <c r="AG1223" t="e">
        <f>IF(#REF!&gt;=10,"High Risk", IF(#REF!&gt;=5,"Medium Risk","Low Risk"))</f>
        <v>#REF!</v>
      </c>
      <c r="AH1223" t="e">
        <f>#REF! + #REF! + #REF! + #REF!</f>
        <v>#REF!</v>
      </c>
    </row>
    <row r="1224" spans="1:34" x14ac:dyDescent="0.35">
      <c r="A1224">
        <v>1223</v>
      </c>
      <c r="B1224" t="s">
        <v>37</v>
      </c>
      <c r="C1224">
        <v>55</v>
      </c>
      <c r="D1224" t="s">
        <v>28</v>
      </c>
      <c r="E1224" t="s">
        <v>22</v>
      </c>
      <c r="F1224" t="s">
        <v>23</v>
      </c>
      <c r="G1224">
        <v>8</v>
      </c>
      <c r="H1224">
        <v>222.5</v>
      </c>
      <c r="I1224">
        <v>104</v>
      </c>
      <c r="J1224">
        <v>37.83</v>
      </c>
      <c r="K1224">
        <v>171.5</v>
      </c>
      <c r="L1224">
        <v>94</v>
      </c>
      <c r="M1224">
        <v>14.58</v>
      </c>
      <c r="N1224">
        <v>377.5</v>
      </c>
      <c r="O1224">
        <v>114</v>
      </c>
      <c r="P1224">
        <v>16.989999999999998</v>
      </c>
      <c r="Q1224">
        <v>9.6999999999999993</v>
      </c>
      <c r="R1224">
        <v>2</v>
      </c>
      <c r="S1224">
        <v>2.62</v>
      </c>
      <c r="T1224">
        <v>1</v>
      </c>
      <c r="U1224" t="s">
        <v>22</v>
      </c>
      <c r="V1224" t="e">
        <f>IF(#REF! = "yes", 1, 0)</f>
        <v>#REF!</v>
      </c>
      <c r="W1224" t="e">
        <f>IF(#REF! &lt;= 1, "0-1 Calls", IF(#REF! &lt;= 3, "2-3 Calls", IF(#REF! &lt;=5, "4-5 Calls", "6+ Calls")))</f>
        <v>#REF!</v>
      </c>
      <c r="X1224" t="e">
        <f>IF(#REF! &lt;= 50, "0-50", IF(#REF! &lt;=100, "51-100", IF(#REF! &lt;= 150, "101-150", "151+")))</f>
        <v>#REF!</v>
      </c>
      <c r="Y1224" t="e">
        <f>IF(#REF! &lt;= 3, "Low Charges", "High Charges")</f>
        <v>#REF!</v>
      </c>
      <c r="Z1224" t="e">
        <f>IF(#REF!&lt;=80,"Low Calls",
IF(#REF!&lt;=120,"Medium Calls","High Calls"))</f>
        <v>#REF!</v>
      </c>
      <c r="AA1224" t="e">
        <f>IF(#REF!&lt;=15,"Low Charges",
IF(#REF!&lt;=20,"Medium Charges","High Charges"))</f>
        <v>#REF!</v>
      </c>
      <c r="AB1224" t="e">
        <f>IF(AND(#REF!&gt;180, #REF!&gt;200), "Heavy Doemstic User", IF(#REF!&gt;10, "Interntional User", IF(AND(#REF!&lt;180, #REF!&lt;200,#REF!&lt;200), "Light User", "Balanced User")))</f>
        <v>#REF!</v>
      </c>
      <c r="AC1224" t="e">
        <f>IF(#REF! = 0, "No Usage", IF(#REF! &lt;= 20, "Low Usage", IF(#REF! &lt;= 40, "Medium Usgae", "High Usage")))</f>
        <v>#REF!</v>
      </c>
      <c r="AD1224" t="e">
        <f>IF(#REF!&lt;=150,"Low Usage", IF(#REF!&lt;=200,"Medium Usage", IF(#REF!&lt;=250,"High Usage","Very High Usage")))</f>
        <v>#REF!</v>
      </c>
      <c r="AE1224" t="e">
        <f>IF(#REF!&lt;=5,"Low Calls", IF(#REF!&lt;=10, "Medium Calls", "High Calls"))</f>
        <v>#REF!</v>
      </c>
      <c r="AF1224" t="e">
        <f xml:space="preserve">
IF(#REF!&gt;=4,4,0)+
IF(#REF!="yes",3,0)+
IF(#REF!="High Charges",3,0)+
IF(#REF!&gt;250,4,0)+
IF(#REF!="no",1,0)+
IF(#REF!="Heavy Domestic User",2,0)</f>
        <v>#REF!</v>
      </c>
      <c r="AG1224" t="e">
        <f>IF(#REF!&gt;=10,"High Risk", IF(#REF!&gt;=5,"Medium Risk","Low Risk"))</f>
        <v>#REF!</v>
      </c>
      <c r="AH1224" t="e">
        <f>#REF! + #REF! + #REF! + #REF!</f>
        <v>#REF!</v>
      </c>
    </row>
    <row r="1225" spans="1:34" x14ac:dyDescent="0.35">
      <c r="A1225">
        <v>1224</v>
      </c>
      <c r="B1225" t="s">
        <v>30</v>
      </c>
      <c r="C1225">
        <v>111</v>
      </c>
      <c r="D1225" t="s">
        <v>21</v>
      </c>
      <c r="E1225" t="s">
        <v>22</v>
      </c>
      <c r="F1225" t="s">
        <v>23</v>
      </c>
      <c r="G1225">
        <v>28</v>
      </c>
      <c r="H1225">
        <v>128.80000000000001</v>
      </c>
      <c r="I1225">
        <v>104</v>
      </c>
      <c r="J1225">
        <v>21.9</v>
      </c>
      <c r="K1225">
        <v>157.30000000000001</v>
      </c>
      <c r="L1225">
        <v>52</v>
      </c>
      <c r="M1225">
        <v>13.37</v>
      </c>
      <c r="N1225">
        <v>147.4</v>
      </c>
      <c r="O1225">
        <v>76</v>
      </c>
      <c r="P1225">
        <v>6.63</v>
      </c>
      <c r="Q1225">
        <v>10.3</v>
      </c>
      <c r="R1225">
        <v>2</v>
      </c>
      <c r="S1225">
        <v>2.78</v>
      </c>
      <c r="T1225">
        <v>2</v>
      </c>
      <c r="U1225" t="s">
        <v>22</v>
      </c>
      <c r="V1225" t="e">
        <f>IF(#REF! = "yes", 1, 0)</f>
        <v>#REF!</v>
      </c>
      <c r="W1225" t="e">
        <f>IF(#REF! &lt;= 1, "0-1 Calls", IF(#REF! &lt;= 3, "2-3 Calls", IF(#REF! &lt;=5, "4-5 Calls", "6+ Calls")))</f>
        <v>#REF!</v>
      </c>
      <c r="X1225" t="e">
        <f>IF(#REF! &lt;= 50, "0-50", IF(#REF! &lt;=100, "51-100", IF(#REF! &lt;= 150, "101-150", "151+")))</f>
        <v>#REF!</v>
      </c>
      <c r="Y1225" t="e">
        <f>IF(#REF! &lt;= 3, "Low Charges", "High Charges")</f>
        <v>#REF!</v>
      </c>
      <c r="Z1225" t="e">
        <f>IF(#REF!&lt;=80,"Low Calls",
IF(#REF!&lt;=120,"Medium Calls","High Calls"))</f>
        <v>#REF!</v>
      </c>
      <c r="AA1225" t="e">
        <f>IF(#REF!&lt;=15,"Low Charges",
IF(#REF!&lt;=20,"Medium Charges","High Charges"))</f>
        <v>#REF!</v>
      </c>
      <c r="AB1225" t="e">
        <f>IF(AND(#REF!&gt;180, #REF!&gt;200), "Heavy Doemstic User", IF(#REF!&gt;10, "Interntional User", IF(AND(#REF!&lt;180, #REF!&lt;200,#REF!&lt;200), "Light User", "Balanced User")))</f>
        <v>#REF!</v>
      </c>
      <c r="AC1225" t="e">
        <f>IF(#REF! = 0, "No Usage", IF(#REF! &lt;= 20, "Low Usage", IF(#REF! &lt;= 40, "Medium Usgae", "High Usage")))</f>
        <v>#REF!</v>
      </c>
      <c r="AD1225" t="e">
        <f>IF(#REF!&lt;=150,"Low Usage", IF(#REF!&lt;=200,"Medium Usage", IF(#REF!&lt;=250,"High Usage","Very High Usage")))</f>
        <v>#REF!</v>
      </c>
      <c r="AE1225" t="e">
        <f>IF(#REF!&lt;=5,"Low Calls", IF(#REF!&lt;=10, "Medium Calls", "High Calls"))</f>
        <v>#REF!</v>
      </c>
      <c r="AF1225" t="e">
        <f xml:space="preserve">
IF(#REF!&gt;=4,4,0)+
IF(#REF!="yes",3,0)+
IF(#REF!="High Charges",3,0)+
IF(#REF!&gt;250,4,0)+
IF(#REF!="no",1,0)+
IF(#REF!="Heavy Domestic User",2,0)</f>
        <v>#REF!</v>
      </c>
      <c r="AG1225" t="e">
        <f>IF(#REF!&gt;=10,"High Risk", IF(#REF!&gt;=5,"Medium Risk","Low Risk"))</f>
        <v>#REF!</v>
      </c>
      <c r="AH1225" t="e">
        <f>#REF! + #REF! + #REF! + #REF!</f>
        <v>#REF!</v>
      </c>
    </row>
    <row r="1226" spans="1:34" x14ac:dyDescent="0.35">
      <c r="A1226">
        <v>1225</v>
      </c>
      <c r="B1226" t="s">
        <v>48</v>
      </c>
      <c r="C1226">
        <v>160</v>
      </c>
      <c r="D1226" t="s">
        <v>21</v>
      </c>
      <c r="E1226" t="s">
        <v>22</v>
      </c>
      <c r="F1226" t="s">
        <v>22</v>
      </c>
      <c r="G1226">
        <v>0</v>
      </c>
      <c r="H1226">
        <v>174.3</v>
      </c>
      <c r="I1226">
        <v>105</v>
      </c>
      <c r="J1226">
        <v>29.63</v>
      </c>
      <c r="K1226">
        <v>171.3</v>
      </c>
      <c r="L1226">
        <v>107</v>
      </c>
      <c r="M1226">
        <v>14.56</v>
      </c>
      <c r="N1226">
        <v>220.8</v>
      </c>
      <c r="O1226">
        <v>131</v>
      </c>
      <c r="P1226">
        <v>9.94</v>
      </c>
      <c r="Q1226">
        <v>8.3000000000000007</v>
      </c>
      <c r="R1226">
        <v>2</v>
      </c>
      <c r="S1226">
        <v>2.2400000000000002</v>
      </c>
      <c r="T1226">
        <v>0</v>
      </c>
      <c r="U1226" t="s">
        <v>22</v>
      </c>
      <c r="V1226" t="e">
        <f>IF(#REF! = "yes", 1, 0)</f>
        <v>#REF!</v>
      </c>
      <c r="W1226" t="e">
        <f>IF(#REF! &lt;= 1, "0-1 Calls", IF(#REF! &lt;= 3, "2-3 Calls", IF(#REF! &lt;=5, "4-5 Calls", "6+ Calls")))</f>
        <v>#REF!</v>
      </c>
      <c r="X1226" t="e">
        <f>IF(#REF! &lt;= 50, "0-50", IF(#REF! &lt;=100, "51-100", IF(#REF! &lt;= 150, "101-150", "151+")))</f>
        <v>#REF!</v>
      </c>
      <c r="Y1226" t="e">
        <f>IF(#REF! &lt;= 3, "Low Charges", "High Charges")</f>
        <v>#REF!</v>
      </c>
      <c r="Z1226" t="e">
        <f>IF(#REF!&lt;=80,"Low Calls",
IF(#REF!&lt;=120,"Medium Calls","High Calls"))</f>
        <v>#REF!</v>
      </c>
      <c r="AA1226" t="e">
        <f>IF(#REF!&lt;=15,"Low Charges",
IF(#REF!&lt;=20,"Medium Charges","High Charges"))</f>
        <v>#REF!</v>
      </c>
      <c r="AB1226" t="e">
        <f>IF(AND(#REF!&gt;180, #REF!&gt;200), "Heavy Doemstic User", IF(#REF!&gt;10, "Interntional User", IF(AND(#REF!&lt;180, #REF!&lt;200,#REF!&lt;200), "Light User", "Balanced User")))</f>
        <v>#REF!</v>
      </c>
      <c r="AC1226" t="e">
        <f>IF(#REF! = 0, "No Usage", IF(#REF! &lt;= 20, "Low Usage", IF(#REF! &lt;= 40, "Medium Usgae", "High Usage")))</f>
        <v>#REF!</v>
      </c>
      <c r="AD1226" t="e">
        <f>IF(#REF!&lt;=150,"Low Usage", IF(#REF!&lt;=200,"Medium Usage", IF(#REF!&lt;=250,"High Usage","Very High Usage")))</f>
        <v>#REF!</v>
      </c>
      <c r="AE1226" t="e">
        <f>IF(#REF!&lt;=5,"Low Calls", IF(#REF!&lt;=10, "Medium Calls", "High Calls"))</f>
        <v>#REF!</v>
      </c>
      <c r="AF1226" t="e">
        <f xml:space="preserve">
IF(#REF!&gt;=4,4,0)+
IF(#REF!="yes",3,0)+
IF(#REF!="High Charges",3,0)+
IF(#REF!&gt;250,4,0)+
IF(#REF!="no",1,0)+
IF(#REF!="Heavy Domestic User",2,0)</f>
        <v>#REF!</v>
      </c>
      <c r="AG1226" t="e">
        <f>IF(#REF!&gt;=10,"High Risk", IF(#REF!&gt;=5,"Medium Risk","Low Risk"))</f>
        <v>#REF!</v>
      </c>
      <c r="AH1226" t="e">
        <f>#REF! + #REF! + #REF! + #REF!</f>
        <v>#REF!</v>
      </c>
    </row>
    <row r="1227" spans="1:34" x14ac:dyDescent="0.35">
      <c r="A1227">
        <v>1226</v>
      </c>
      <c r="B1227" t="s">
        <v>40</v>
      </c>
      <c r="C1227">
        <v>110</v>
      </c>
      <c r="D1227" t="s">
        <v>21</v>
      </c>
      <c r="E1227" t="s">
        <v>22</v>
      </c>
      <c r="F1227" t="s">
        <v>22</v>
      </c>
      <c r="G1227">
        <v>0</v>
      </c>
      <c r="H1227">
        <v>242.5</v>
      </c>
      <c r="I1227">
        <v>110</v>
      </c>
      <c r="J1227">
        <v>41.23</v>
      </c>
      <c r="K1227">
        <v>162.30000000000001</v>
      </c>
      <c r="L1227">
        <v>140</v>
      </c>
      <c r="M1227">
        <v>13.8</v>
      </c>
      <c r="N1227">
        <v>184.1</v>
      </c>
      <c r="O1227">
        <v>86</v>
      </c>
      <c r="P1227">
        <v>8.2799999999999994</v>
      </c>
      <c r="Q1227">
        <v>7.8</v>
      </c>
      <c r="R1227">
        <v>3</v>
      </c>
      <c r="S1227">
        <v>2.11</v>
      </c>
      <c r="T1227">
        <v>4</v>
      </c>
      <c r="U1227" t="s">
        <v>22</v>
      </c>
      <c r="V1227" t="e">
        <f>IF(#REF! = "yes", 1, 0)</f>
        <v>#REF!</v>
      </c>
      <c r="W1227" t="e">
        <f>IF(#REF! &lt;= 1, "0-1 Calls", IF(#REF! &lt;= 3, "2-3 Calls", IF(#REF! &lt;=5, "4-5 Calls", "6+ Calls")))</f>
        <v>#REF!</v>
      </c>
      <c r="X1227" t="e">
        <f>IF(#REF! &lt;= 50, "0-50", IF(#REF! &lt;=100, "51-100", IF(#REF! &lt;= 150, "101-150", "151+")))</f>
        <v>#REF!</v>
      </c>
      <c r="Y1227" t="e">
        <f>IF(#REF! &lt;= 3, "Low Charges", "High Charges")</f>
        <v>#REF!</v>
      </c>
      <c r="Z1227" t="e">
        <f>IF(#REF!&lt;=80,"Low Calls",
IF(#REF!&lt;=120,"Medium Calls","High Calls"))</f>
        <v>#REF!</v>
      </c>
      <c r="AA1227" t="e">
        <f>IF(#REF!&lt;=15,"Low Charges",
IF(#REF!&lt;=20,"Medium Charges","High Charges"))</f>
        <v>#REF!</v>
      </c>
      <c r="AB1227" t="e">
        <f>IF(AND(#REF!&gt;180, #REF!&gt;200), "Heavy Doemstic User", IF(#REF!&gt;10, "Interntional User", IF(AND(#REF!&lt;180, #REF!&lt;200,#REF!&lt;200), "Light User", "Balanced User")))</f>
        <v>#REF!</v>
      </c>
      <c r="AC1227" t="e">
        <f>IF(#REF! = 0, "No Usage", IF(#REF! &lt;= 20, "Low Usage", IF(#REF! &lt;= 40, "Medium Usgae", "High Usage")))</f>
        <v>#REF!</v>
      </c>
      <c r="AD1227" t="e">
        <f>IF(#REF!&lt;=150,"Low Usage", IF(#REF!&lt;=200,"Medium Usage", IF(#REF!&lt;=250,"High Usage","Very High Usage")))</f>
        <v>#REF!</v>
      </c>
      <c r="AE1227" t="e">
        <f>IF(#REF!&lt;=5,"Low Calls", IF(#REF!&lt;=10, "Medium Calls", "High Calls"))</f>
        <v>#REF!</v>
      </c>
      <c r="AF1227" t="e">
        <f xml:space="preserve">
IF(#REF!&gt;=4,4,0)+
IF(#REF!="yes",3,0)+
IF(#REF!="High Charges",3,0)+
IF(#REF!&gt;250,4,0)+
IF(#REF!="no",1,0)+
IF(#REF!="Heavy Domestic User",2,0)</f>
        <v>#REF!</v>
      </c>
      <c r="AG1227" t="e">
        <f>IF(#REF!&gt;=10,"High Risk", IF(#REF!&gt;=5,"Medium Risk","Low Risk"))</f>
        <v>#REF!</v>
      </c>
      <c r="AH1227" t="e">
        <f>#REF! + #REF! + #REF! + #REF!</f>
        <v>#REF!</v>
      </c>
    </row>
    <row r="1228" spans="1:34" x14ac:dyDescent="0.35">
      <c r="A1228">
        <v>1227</v>
      </c>
      <c r="B1228" t="s">
        <v>41</v>
      </c>
      <c r="C1228">
        <v>192</v>
      </c>
      <c r="D1228" t="s">
        <v>21</v>
      </c>
      <c r="E1228" t="s">
        <v>22</v>
      </c>
      <c r="F1228" t="s">
        <v>22</v>
      </c>
      <c r="G1228">
        <v>0</v>
      </c>
      <c r="H1228">
        <v>221.6</v>
      </c>
      <c r="I1228">
        <v>101</v>
      </c>
      <c r="J1228">
        <v>37.67</v>
      </c>
      <c r="K1228">
        <v>285.2</v>
      </c>
      <c r="L1228">
        <v>50</v>
      </c>
      <c r="M1228">
        <v>24.24</v>
      </c>
      <c r="N1228">
        <v>167.4</v>
      </c>
      <c r="O1228">
        <v>83</v>
      </c>
      <c r="P1228">
        <v>7.53</v>
      </c>
      <c r="Q1228">
        <v>12.7</v>
      </c>
      <c r="R1228">
        <v>6</v>
      </c>
      <c r="S1228">
        <v>3.43</v>
      </c>
      <c r="T1228">
        <v>4</v>
      </c>
      <c r="U1228" t="s">
        <v>22</v>
      </c>
      <c r="V1228" t="e">
        <f>IF(#REF! = "yes", 1, 0)</f>
        <v>#REF!</v>
      </c>
      <c r="W1228" t="e">
        <f>IF(#REF! &lt;= 1, "0-1 Calls", IF(#REF! &lt;= 3, "2-3 Calls", IF(#REF! &lt;=5, "4-5 Calls", "6+ Calls")))</f>
        <v>#REF!</v>
      </c>
      <c r="X1228" t="e">
        <f>IF(#REF! &lt;= 50, "0-50", IF(#REF! &lt;=100, "51-100", IF(#REF! &lt;= 150, "101-150", "151+")))</f>
        <v>#REF!</v>
      </c>
      <c r="Y1228" t="e">
        <f>IF(#REF! &lt;= 3, "Low Charges", "High Charges")</f>
        <v>#REF!</v>
      </c>
      <c r="Z1228" t="e">
        <f>IF(#REF!&lt;=80,"Low Calls",
IF(#REF!&lt;=120,"Medium Calls","High Calls"))</f>
        <v>#REF!</v>
      </c>
      <c r="AA1228" t="e">
        <f>IF(#REF!&lt;=15,"Low Charges",
IF(#REF!&lt;=20,"Medium Charges","High Charges"))</f>
        <v>#REF!</v>
      </c>
      <c r="AB1228" t="e">
        <f>IF(AND(#REF!&gt;180, #REF!&gt;200), "Heavy Doemstic User", IF(#REF!&gt;10, "Interntional User", IF(AND(#REF!&lt;180, #REF!&lt;200,#REF!&lt;200), "Light User", "Balanced User")))</f>
        <v>#REF!</v>
      </c>
      <c r="AC1228" t="e">
        <f>IF(#REF! = 0, "No Usage", IF(#REF! &lt;= 20, "Low Usage", IF(#REF! &lt;= 40, "Medium Usgae", "High Usage")))</f>
        <v>#REF!</v>
      </c>
      <c r="AD1228" t="e">
        <f>IF(#REF!&lt;=150,"Low Usage", IF(#REF!&lt;=200,"Medium Usage", IF(#REF!&lt;=250,"High Usage","Very High Usage")))</f>
        <v>#REF!</v>
      </c>
      <c r="AE1228" t="e">
        <f>IF(#REF!&lt;=5,"Low Calls", IF(#REF!&lt;=10, "Medium Calls", "High Calls"))</f>
        <v>#REF!</v>
      </c>
      <c r="AF1228" t="e">
        <f xml:space="preserve">
IF(#REF!&gt;=4,4,0)+
IF(#REF!="yes",3,0)+
IF(#REF!="High Charges",3,0)+
IF(#REF!&gt;250,4,0)+
IF(#REF!="no",1,0)+
IF(#REF!="Heavy Domestic User",2,0)</f>
        <v>#REF!</v>
      </c>
      <c r="AG1228" t="e">
        <f>IF(#REF!&gt;=10,"High Risk", IF(#REF!&gt;=5,"Medium Risk","Low Risk"))</f>
        <v>#REF!</v>
      </c>
      <c r="AH1228" t="e">
        <f>#REF! + #REF! + #REF! + #REF!</f>
        <v>#REF!</v>
      </c>
    </row>
    <row r="1229" spans="1:34" x14ac:dyDescent="0.35">
      <c r="A1229">
        <v>1228</v>
      </c>
      <c r="B1229" t="s">
        <v>62</v>
      </c>
      <c r="C1229">
        <v>93</v>
      </c>
      <c r="D1229" t="s">
        <v>25</v>
      </c>
      <c r="E1229" t="s">
        <v>22</v>
      </c>
      <c r="F1229" t="s">
        <v>22</v>
      </c>
      <c r="G1229">
        <v>0</v>
      </c>
      <c r="H1229">
        <v>114.3</v>
      </c>
      <c r="I1229">
        <v>100</v>
      </c>
      <c r="J1229">
        <v>19.43</v>
      </c>
      <c r="K1229">
        <v>221.1</v>
      </c>
      <c r="L1229">
        <v>103</v>
      </c>
      <c r="M1229">
        <v>18.79</v>
      </c>
      <c r="N1229">
        <v>126.3</v>
      </c>
      <c r="O1229">
        <v>88</v>
      </c>
      <c r="P1229">
        <v>5.68</v>
      </c>
      <c r="Q1229">
        <v>10.9</v>
      </c>
      <c r="R1229">
        <v>9</v>
      </c>
      <c r="S1229">
        <v>2.94</v>
      </c>
      <c r="T1229">
        <v>0</v>
      </c>
      <c r="U1229" t="s">
        <v>22</v>
      </c>
      <c r="V1229" t="e">
        <f>IF(#REF! = "yes", 1, 0)</f>
        <v>#REF!</v>
      </c>
      <c r="W1229" t="e">
        <f>IF(#REF! &lt;= 1, "0-1 Calls", IF(#REF! &lt;= 3, "2-3 Calls", IF(#REF! &lt;=5, "4-5 Calls", "6+ Calls")))</f>
        <v>#REF!</v>
      </c>
      <c r="X1229" t="e">
        <f>IF(#REF! &lt;= 50, "0-50", IF(#REF! &lt;=100, "51-100", IF(#REF! &lt;= 150, "101-150", "151+")))</f>
        <v>#REF!</v>
      </c>
      <c r="Y1229" t="e">
        <f>IF(#REF! &lt;= 3, "Low Charges", "High Charges")</f>
        <v>#REF!</v>
      </c>
      <c r="Z1229" t="e">
        <f>IF(#REF!&lt;=80,"Low Calls",
IF(#REF!&lt;=120,"Medium Calls","High Calls"))</f>
        <v>#REF!</v>
      </c>
      <c r="AA1229" t="e">
        <f>IF(#REF!&lt;=15,"Low Charges",
IF(#REF!&lt;=20,"Medium Charges","High Charges"))</f>
        <v>#REF!</v>
      </c>
      <c r="AB1229" t="e">
        <f>IF(AND(#REF!&gt;180, #REF!&gt;200), "Heavy Doemstic User", IF(#REF!&gt;10, "Interntional User", IF(AND(#REF!&lt;180, #REF!&lt;200,#REF!&lt;200), "Light User", "Balanced User")))</f>
        <v>#REF!</v>
      </c>
      <c r="AC1229" t="e">
        <f>IF(#REF! = 0, "No Usage", IF(#REF! &lt;= 20, "Low Usage", IF(#REF! &lt;= 40, "Medium Usgae", "High Usage")))</f>
        <v>#REF!</v>
      </c>
      <c r="AD1229" t="e">
        <f>IF(#REF!&lt;=150,"Low Usage", IF(#REF!&lt;=200,"Medium Usage", IF(#REF!&lt;=250,"High Usage","Very High Usage")))</f>
        <v>#REF!</v>
      </c>
      <c r="AE1229" t="e">
        <f>IF(#REF!&lt;=5,"Low Calls", IF(#REF!&lt;=10, "Medium Calls", "High Calls"))</f>
        <v>#REF!</v>
      </c>
      <c r="AF1229" t="e">
        <f xml:space="preserve">
IF(#REF!&gt;=4,4,0)+
IF(#REF!="yes",3,0)+
IF(#REF!="High Charges",3,0)+
IF(#REF!&gt;250,4,0)+
IF(#REF!="no",1,0)+
IF(#REF!="Heavy Domestic User",2,0)</f>
        <v>#REF!</v>
      </c>
      <c r="AG1229" t="e">
        <f>IF(#REF!&gt;=10,"High Risk", IF(#REF!&gt;=5,"Medium Risk","Low Risk"))</f>
        <v>#REF!</v>
      </c>
      <c r="AH1229" t="e">
        <f>#REF! + #REF! + #REF! + #REF!</f>
        <v>#REF!</v>
      </c>
    </row>
    <row r="1230" spans="1:34" x14ac:dyDescent="0.35">
      <c r="A1230">
        <v>1229</v>
      </c>
      <c r="B1230" t="s">
        <v>38</v>
      </c>
      <c r="C1230">
        <v>77</v>
      </c>
      <c r="D1230" t="s">
        <v>28</v>
      </c>
      <c r="E1230" t="s">
        <v>22</v>
      </c>
      <c r="F1230" t="s">
        <v>22</v>
      </c>
      <c r="G1230">
        <v>0</v>
      </c>
      <c r="H1230">
        <v>144.9</v>
      </c>
      <c r="I1230">
        <v>136</v>
      </c>
      <c r="J1230">
        <v>24.63</v>
      </c>
      <c r="K1230">
        <v>151.30000000000001</v>
      </c>
      <c r="L1230">
        <v>115</v>
      </c>
      <c r="M1230">
        <v>12.86</v>
      </c>
      <c r="N1230">
        <v>252.4</v>
      </c>
      <c r="O1230">
        <v>73</v>
      </c>
      <c r="P1230">
        <v>11.36</v>
      </c>
      <c r="Q1230">
        <v>12.3</v>
      </c>
      <c r="R1230">
        <v>3</v>
      </c>
      <c r="S1230">
        <v>3.32</v>
      </c>
      <c r="T1230">
        <v>2</v>
      </c>
      <c r="U1230" t="s">
        <v>22</v>
      </c>
      <c r="V1230" t="e">
        <f>IF(#REF! = "yes", 1, 0)</f>
        <v>#REF!</v>
      </c>
      <c r="W1230" t="e">
        <f>IF(#REF! &lt;= 1, "0-1 Calls", IF(#REF! &lt;= 3, "2-3 Calls", IF(#REF! &lt;=5, "4-5 Calls", "6+ Calls")))</f>
        <v>#REF!</v>
      </c>
      <c r="X1230" t="e">
        <f>IF(#REF! &lt;= 50, "0-50", IF(#REF! &lt;=100, "51-100", IF(#REF! &lt;= 150, "101-150", "151+")))</f>
        <v>#REF!</v>
      </c>
      <c r="Y1230" t="e">
        <f>IF(#REF! &lt;= 3, "Low Charges", "High Charges")</f>
        <v>#REF!</v>
      </c>
      <c r="Z1230" t="e">
        <f>IF(#REF!&lt;=80,"Low Calls",
IF(#REF!&lt;=120,"Medium Calls","High Calls"))</f>
        <v>#REF!</v>
      </c>
      <c r="AA1230" t="e">
        <f>IF(#REF!&lt;=15,"Low Charges",
IF(#REF!&lt;=20,"Medium Charges","High Charges"))</f>
        <v>#REF!</v>
      </c>
      <c r="AB1230" t="e">
        <f>IF(AND(#REF!&gt;180, #REF!&gt;200), "Heavy Doemstic User", IF(#REF!&gt;10, "Interntional User", IF(AND(#REF!&lt;180, #REF!&lt;200,#REF!&lt;200), "Light User", "Balanced User")))</f>
        <v>#REF!</v>
      </c>
      <c r="AC1230" t="e">
        <f>IF(#REF! = 0, "No Usage", IF(#REF! &lt;= 20, "Low Usage", IF(#REF! &lt;= 40, "Medium Usgae", "High Usage")))</f>
        <v>#REF!</v>
      </c>
      <c r="AD1230" t="e">
        <f>IF(#REF!&lt;=150,"Low Usage", IF(#REF!&lt;=200,"Medium Usage", IF(#REF!&lt;=250,"High Usage","Very High Usage")))</f>
        <v>#REF!</v>
      </c>
      <c r="AE1230" t="e">
        <f>IF(#REF!&lt;=5,"Low Calls", IF(#REF!&lt;=10, "Medium Calls", "High Calls"))</f>
        <v>#REF!</v>
      </c>
      <c r="AF1230" t="e">
        <f xml:space="preserve">
IF(#REF!&gt;=4,4,0)+
IF(#REF!="yes",3,0)+
IF(#REF!="High Charges",3,0)+
IF(#REF!&gt;250,4,0)+
IF(#REF!="no",1,0)+
IF(#REF!="Heavy Domestic User",2,0)</f>
        <v>#REF!</v>
      </c>
      <c r="AG1230" t="e">
        <f>IF(#REF!&gt;=10,"High Risk", IF(#REF!&gt;=5,"Medium Risk","Low Risk"))</f>
        <v>#REF!</v>
      </c>
      <c r="AH1230" t="e">
        <f>#REF! + #REF! + #REF! + #REF!</f>
        <v>#REF!</v>
      </c>
    </row>
    <row r="1231" spans="1:34" x14ac:dyDescent="0.35">
      <c r="A1231">
        <v>1230</v>
      </c>
      <c r="B1231" t="s">
        <v>55</v>
      </c>
      <c r="C1231">
        <v>105</v>
      </c>
      <c r="D1231" t="s">
        <v>21</v>
      </c>
      <c r="E1231" t="s">
        <v>22</v>
      </c>
      <c r="F1231" t="s">
        <v>23</v>
      </c>
      <c r="G1231">
        <v>40</v>
      </c>
      <c r="H1231">
        <v>236.5</v>
      </c>
      <c r="I1231">
        <v>111</v>
      </c>
      <c r="J1231">
        <v>40.21</v>
      </c>
      <c r="K1231">
        <v>117</v>
      </c>
      <c r="L1231">
        <v>110</v>
      </c>
      <c r="M1231">
        <v>9.9499999999999993</v>
      </c>
      <c r="N1231">
        <v>221.1</v>
      </c>
      <c r="O1231">
        <v>115</v>
      </c>
      <c r="P1231">
        <v>9.9499999999999993</v>
      </c>
      <c r="Q1231">
        <v>8.1</v>
      </c>
      <c r="R1231">
        <v>3</v>
      </c>
      <c r="S1231">
        <v>2.19</v>
      </c>
      <c r="T1231">
        <v>2</v>
      </c>
      <c r="U1231" t="s">
        <v>22</v>
      </c>
      <c r="V1231" t="e">
        <f>IF(#REF! = "yes", 1, 0)</f>
        <v>#REF!</v>
      </c>
      <c r="W1231" t="e">
        <f>IF(#REF! &lt;= 1, "0-1 Calls", IF(#REF! &lt;= 3, "2-3 Calls", IF(#REF! &lt;=5, "4-5 Calls", "6+ Calls")))</f>
        <v>#REF!</v>
      </c>
      <c r="X1231" t="e">
        <f>IF(#REF! &lt;= 50, "0-50", IF(#REF! &lt;=100, "51-100", IF(#REF! &lt;= 150, "101-150", "151+")))</f>
        <v>#REF!</v>
      </c>
      <c r="Y1231" t="e">
        <f>IF(#REF! &lt;= 3, "Low Charges", "High Charges")</f>
        <v>#REF!</v>
      </c>
      <c r="Z1231" t="e">
        <f>IF(#REF!&lt;=80,"Low Calls",
IF(#REF!&lt;=120,"Medium Calls","High Calls"))</f>
        <v>#REF!</v>
      </c>
      <c r="AA1231" t="e">
        <f>IF(#REF!&lt;=15,"Low Charges",
IF(#REF!&lt;=20,"Medium Charges","High Charges"))</f>
        <v>#REF!</v>
      </c>
      <c r="AB1231" t="e">
        <f>IF(AND(#REF!&gt;180, #REF!&gt;200), "Heavy Doemstic User", IF(#REF!&gt;10, "Interntional User", IF(AND(#REF!&lt;180, #REF!&lt;200,#REF!&lt;200), "Light User", "Balanced User")))</f>
        <v>#REF!</v>
      </c>
      <c r="AC1231" t="e">
        <f>IF(#REF! = 0, "No Usage", IF(#REF! &lt;= 20, "Low Usage", IF(#REF! &lt;= 40, "Medium Usgae", "High Usage")))</f>
        <v>#REF!</v>
      </c>
      <c r="AD1231" t="e">
        <f>IF(#REF!&lt;=150,"Low Usage", IF(#REF!&lt;=200,"Medium Usage", IF(#REF!&lt;=250,"High Usage","Very High Usage")))</f>
        <v>#REF!</v>
      </c>
      <c r="AE1231" t="e">
        <f>IF(#REF!&lt;=5,"Low Calls", IF(#REF!&lt;=10, "Medium Calls", "High Calls"))</f>
        <v>#REF!</v>
      </c>
      <c r="AF1231" t="e">
        <f xml:space="preserve">
IF(#REF!&gt;=4,4,0)+
IF(#REF!="yes",3,0)+
IF(#REF!="High Charges",3,0)+
IF(#REF!&gt;250,4,0)+
IF(#REF!="no",1,0)+
IF(#REF!="Heavy Domestic User",2,0)</f>
        <v>#REF!</v>
      </c>
      <c r="AG1231" t="e">
        <f>IF(#REF!&gt;=10,"High Risk", IF(#REF!&gt;=5,"Medium Risk","Low Risk"))</f>
        <v>#REF!</v>
      </c>
      <c r="AH1231" t="e">
        <f>#REF! + #REF! + #REF! + #REF!</f>
        <v>#REF!</v>
      </c>
    </row>
    <row r="1232" spans="1:34" x14ac:dyDescent="0.35">
      <c r="A1232">
        <v>1231</v>
      </c>
      <c r="B1232" t="s">
        <v>55</v>
      </c>
      <c r="C1232">
        <v>133</v>
      </c>
      <c r="D1232" t="s">
        <v>25</v>
      </c>
      <c r="E1232" t="s">
        <v>22</v>
      </c>
      <c r="F1232" t="s">
        <v>23</v>
      </c>
      <c r="G1232">
        <v>44</v>
      </c>
      <c r="H1232">
        <v>174</v>
      </c>
      <c r="I1232">
        <v>80</v>
      </c>
      <c r="J1232">
        <v>29.58</v>
      </c>
      <c r="K1232">
        <v>209.4</v>
      </c>
      <c r="L1232">
        <v>113</v>
      </c>
      <c r="M1232">
        <v>17.8</v>
      </c>
      <c r="N1232">
        <v>224.1</v>
      </c>
      <c r="O1232">
        <v>87</v>
      </c>
      <c r="P1232">
        <v>10.08</v>
      </c>
      <c r="Q1232">
        <v>14.1</v>
      </c>
      <c r="R1232">
        <v>7</v>
      </c>
      <c r="S1232">
        <v>3.81</v>
      </c>
      <c r="T1232">
        <v>2</v>
      </c>
      <c r="U1232" t="s">
        <v>23</v>
      </c>
      <c r="V1232" t="e">
        <f>IF(#REF! = "yes", 1, 0)</f>
        <v>#REF!</v>
      </c>
      <c r="W1232" t="e">
        <f>IF(#REF! &lt;= 1, "0-1 Calls", IF(#REF! &lt;= 3, "2-3 Calls", IF(#REF! &lt;=5, "4-5 Calls", "6+ Calls")))</f>
        <v>#REF!</v>
      </c>
      <c r="X1232" t="e">
        <f>IF(#REF! &lt;= 50, "0-50", IF(#REF! &lt;=100, "51-100", IF(#REF! &lt;= 150, "101-150", "151+")))</f>
        <v>#REF!</v>
      </c>
      <c r="Y1232" t="e">
        <f>IF(#REF! &lt;= 3, "Low Charges", "High Charges")</f>
        <v>#REF!</v>
      </c>
      <c r="Z1232" t="e">
        <f>IF(#REF!&lt;=80,"Low Calls",
IF(#REF!&lt;=120,"Medium Calls","High Calls"))</f>
        <v>#REF!</v>
      </c>
      <c r="AA1232" t="e">
        <f>IF(#REF!&lt;=15,"Low Charges",
IF(#REF!&lt;=20,"Medium Charges","High Charges"))</f>
        <v>#REF!</v>
      </c>
      <c r="AB1232" t="e">
        <f>IF(AND(#REF!&gt;180, #REF!&gt;200), "Heavy Doemstic User", IF(#REF!&gt;10, "Interntional User", IF(AND(#REF!&lt;180, #REF!&lt;200,#REF!&lt;200), "Light User", "Balanced User")))</f>
        <v>#REF!</v>
      </c>
      <c r="AC1232" t="e">
        <f>IF(#REF! = 0, "No Usage", IF(#REF! &lt;= 20, "Low Usage", IF(#REF! &lt;= 40, "Medium Usgae", "High Usage")))</f>
        <v>#REF!</v>
      </c>
      <c r="AD1232" t="e">
        <f>IF(#REF!&lt;=150,"Low Usage", IF(#REF!&lt;=200,"Medium Usage", IF(#REF!&lt;=250,"High Usage","Very High Usage")))</f>
        <v>#REF!</v>
      </c>
      <c r="AE1232" t="e">
        <f>IF(#REF!&lt;=5,"Low Calls", IF(#REF!&lt;=10, "Medium Calls", "High Calls"))</f>
        <v>#REF!</v>
      </c>
      <c r="AF1232" t="e">
        <f xml:space="preserve">
IF(#REF!&gt;=4,4,0)+
IF(#REF!="yes",3,0)+
IF(#REF!="High Charges",3,0)+
IF(#REF!&gt;250,4,0)+
IF(#REF!="no",1,0)+
IF(#REF!="Heavy Domestic User",2,0)</f>
        <v>#REF!</v>
      </c>
      <c r="AG1232" t="e">
        <f>IF(#REF!&gt;=10,"High Risk", IF(#REF!&gt;=5,"Medium Risk","Low Risk"))</f>
        <v>#REF!</v>
      </c>
      <c r="AH1232" t="e">
        <f>#REF! + #REF! + #REF! + #REF!</f>
        <v>#REF!</v>
      </c>
    </row>
    <row r="1233" spans="1:34" x14ac:dyDescent="0.35">
      <c r="A1233">
        <v>1232</v>
      </c>
      <c r="B1233" t="s">
        <v>29</v>
      </c>
      <c r="C1233">
        <v>131</v>
      </c>
      <c r="D1233" t="s">
        <v>25</v>
      </c>
      <c r="E1233" t="s">
        <v>22</v>
      </c>
      <c r="F1233" t="s">
        <v>22</v>
      </c>
      <c r="G1233">
        <v>0</v>
      </c>
      <c r="H1233">
        <v>109.5</v>
      </c>
      <c r="I1233">
        <v>95</v>
      </c>
      <c r="J1233">
        <v>18.62</v>
      </c>
      <c r="K1233">
        <v>332.1</v>
      </c>
      <c r="L1233">
        <v>48</v>
      </c>
      <c r="M1233">
        <v>28.23</v>
      </c>
      <c r="N1233">
        <v>258.60000000000002</v>
      </c>
      <c r="O1233">
        <v>108</v>
      </c>
      <c r="P1233">
        <v>11.64</v>
      </c>
      <c r="Q1233">
        <v>6.6</v>
      </c>
      <c r="R1233">
        <v>7</v>
      </c>
      <c r="S1233">
        <v>1.78</v>
      </c>
      <c r="T1233">
        <v>1</v>
      </c>
      <c r="U1233" t="s">
        <v>22</v>
      </c>
      <c r="V1233" t="e">
        <f>IF(#REF! = "yes", 1, 0)</f>
        <v>#REF!</v>
      </c>
      <c r="W1233" t="e">
        <f>IF(#REF! &lt;= 1, "0-1 Calls", IF(#REF! &lt;= 3, "2-3 Calls", IF(#REF! &lt;=5, "4-5 Calls", "6+ Calls")))</f>
        <v>#REF!</v>
      </c>
      <c r="X1233" t="e">
        <f>IF(#REF! &lt;= 50, "0-50", IF(#REF! &lt;=100, "51-100", IF(#REF! &lt;= 150, "101-150", "151+")))</f>
        <v>#REF!</v>
      </c>
      <c r="Y1233" t="e">
        <f>IF(#REF! &lt;= 3, "Low Charges", "High Charges")</f>
        <v>#REF!</v>
      </c>
      <c r="Z1233" t="e">
        <f>IF(#REF!&lt;=80,"Low Calls",
IF(#REF!&lt;=120,"Medium Calls","High Calls"))</f>
        <v>#REF!</v>
      </c>
      <c r="AA1233" t="e">
        <f>IF(#REF!&lt;=15,"Low Charges",
IF(#REF!&lt;=20,"Medium Charges","High Charges"))</f>
        <v>#REF!</v>
      </c>
      <c r="AB1233" t="e">
        <f>IF(AND(#REF!&gt;180, #REF!&gt;200), "Heavy Doemstic User", IF(#REF!&gt;10, "Interntional User", IF(AND(#REF!&lt;180, #REF!&lt;200,#REF!&lt;200), "Light User", "Balanced User")))</f>
        <v>#REF!</v>
      </c>
      <c r="AC1233" t="e">
        <f>IF(#REF! = 0, "No Usage", IF(#REF! &lt;= 20, "Low Usage", IF(#REF! &lt;= 40, "Medium Usgae", "High Usage")))</f>
        <v>#REF!</v>
      </c>
      <c r="AD1233" t="e">
        <f>IF(#REF!&lt;=150,"Low Usage", IF(#REF!&lt;=200,"Medium Usage", IF(#REF!&lt;=250,"High Usage","Very High Usage")))</f>
        <v>#REF!</v>
      </c>
      <c r="AE1233" t="e">
        <f>IF(#REF!&lt;=5,"Low Calls", IF(#REF!&lt;=10, "Medium Calls", "High Calls"))</f>
        <v>#REF!</v>
      </c>
      <c r="AF1233" t="e">
        <f xml:space="preserve">
IF(#REF!&gt;=4,4,0)+
IF(#REF!="yes",3,0)+
IF(#REF!="High Charges",3,0)+
IF(#REF!&gt;250,4,0)+
IF(#REF!="no",1,0)+
IF(#REF!="Heavy Domestic User",2,0)</f>
        <v>#REF!</v>
      </c>
      <c r="AG1233" t="e">
        <f>IF(#REF!&gt;=10,"High Risk", IF(#REF!&gt;=5,"Medium Risk","Low Risk"))</f>
        <v>#REF!</v>
      </c>
      <c r="AH1233" t="e">
        <f>#REF! + #REF! + #REF! + #REF!</f>
        <v>#REF!</v>
      </c>
    </row>
    <row r="1234" spans="1:34" x14ac:dyDescent="0.35">
      <c r="A1234">
        <v>1233</v>
      </c>
      <c r="B1234" t="s">
        <v>45</v>
      </c>
      <c r="C1234">
        <v>118</v>
      </c>
      <c r="D1234" t="s">
        <v>21</v>
      </c>
      <c r="E1234" t="s">
        <v>22</v>
      </c>
      <c r="F1234" t="s">
        <v>22</v>
      </c>
      <c r="G1234">
        <v>0</v>
      </c>
      <c r="H1234">
        <v>133.4</v>
      </c>
      <c r="I1234">
        <v>113</v>
      </c>
      <c r="J1234">
        <v>22.68</v>
      </c>
      <c r="K1234">
        <v>121</v>
      </c>
      <c r="L1234">
        <v>92</v>
      </c>
      <c r="M1234">
        <v>10.29</v>
      </c>
      <c r="N1234">
        <v>254.7</v>
      </c>
      <c r="O1234">
        <v>129</v>
      </c>
      <c r="P1234">
        <v>11.46</v>
      </c>
      <c r="Q1234">
        <v>5.9</v>
      </c>
      <c r="R1234">
        <v>4</v>
      </c>
      <c r="S1234">
        <v>1.59</v>
      </c>
      <c r="T1234">
        <v>1</v>
      </c>
      <c r="U1234" t="s">
        <v>22</v>
      </c>
      <c r="V1234" t="e">
        <f>IF(#REF! = "yes", 1, 0)</f>
        <v>#REF!</v>
      </c>
      <c r="W1234" t="e">
        <f>IF(#REF! &lt;= 1, "0-1 Calls", IF(#REF! &lt;= 3, "2-3 Calls", IF(#REF! &lt;=5, "4-5 Calls", "6+ Calls")))</f>
        <v>#REF!</v>
      </c>
      <c r="X1234" t="e">
        <f>IF(#REF! &lt;= 50, "0-50", IF(#REF! &lt;=100, "51-100", IF(#REF! &lt;= 150, "101-150", "151+")))</f>
        <v>#REF!</v>
      </c>
      <c r="Y1234" t="e">
        <f>IF(#REF! &lt;= 3, "Low Charges", "High Charges")</f>
        <v>#REF!</v>
      </c>
      <c r="Z1234" t="e">
        <f>IF(#REF!&lt;=80,"Low Calls",
IF(#REF!&lt;=120,"Medium Calls","High Calls"))</f>
        <v>#REF!</v>
      </c>
      <c r="AA1234" t="e">
        <f>IF(#REF!&lt;=15,"Low Charges",
IF(#REF!&lt;=20,"Medium Charges","High Charges"))</f>
        <v>#REF!</v>
      </c>
      <c r="AB1234" t="e">
        <f>IF(AND(#REF!&gt;180, #REF!&gt;200), "Heavy Doemstic User", IF(#REF!&gt;10, "Interntional User", IF(AND(#REF!&lt;180, #REF!&lt;200,#REF!&lt;200), "Light User", "Balanced User")))</f>
        <v>#REF!</v>
      </c>
      <c r="AC1234" t="e">
        <f>IF(#REF! = 0, "No Usage", IF(#REF! &lt;= 20, "Low Usage", IF(#REF! &lt;= 40, "Medium Usgae", "High Usage")))</f>
        <v>#REF!</v>
      </c>
      <c r="AD1234" t="e">
        <f>IF(#REF!&lt;=150,"Low Usage", IF(#REF!&lt;=200,"Medium Usage", IF(#REF!&lt;=250,"High Usage","Very High Usage")))</f>
        <v>#REF!</v>
      </c>
      <c r="AE1234" t="e">
        <f>IF(#REF!&lt;=5,"Low Calls", IF(#REF!&lt;=10, "Medium Calls", "High Calls"))</f>
        <v>#REF!</v>
      </c>
      <c r="AF1234" t="e">
        <f xml:space="preserve">
IF(#REF!&gt;=4,4,0)+
IF(#REF!="yes",3,0)+
IF(#REF!="High Charges",3,0)+
IF(#REF!&gt;250,4,0)+
IF(#REF!="no",1,0)+
IF(#REF!="Heavy Domestic User",2,0)</f>
        <v>#REF!</v>
      </c>
      <c r="AG1234" t="e">
        <f>IF(#REF!&gt;=10,"High Risk", IF(#REF!&gt;=5,"Medium Risk","Low Risk"))</f>
        <v>#REF!</v>
      </c>
      <c r="AH1234" t="e">
        <f>#REF! + #REF! + #REF! + #REF!</f>
        <v>#REF!</v>
      </c>
    </row>
    <row r="1235" spans="1:34" x14ac:dyDescent="0.35">
      <c r="A1235">
        <v>1234</v>
      </c>
      <c r="B1235" t="s">
        <v>49</v>
      </c>
      <c r="C1235">
        <v>125</v>
      </c>
      <c r="D1235" t="s">
        <v>25</v>
      </c>
      <c r="E1235" t="s">
        <v>22</v>
      </c>
      <c r="F1235" t="s">
        <v>22</v>
      </c>
      <c r="G1235">
        <v>0</v>
      </c>
      <c r="H1235">
        <v>137.1</v>
      </c>
      <c r="I1235">
        <v>94</v>
      </c>
      <c r="J1235">
        <v>23.31</v>
      </c>
      <c r="K1235">
        <v>209.8</v>
      </c>
      <c r="L1235">
        <v>83</v>
      </c>
      <c r="M1235">
        <v>17.829999999999998</v>
      </c>
      <c r="N1235">
        <v>238.4</v>
      </c>
      <c r="O1235">
        <v>114</v>
      </c>
      <c r="P1235">
        <v>10.73</v>
      </c>
      <c r="Q1235">
        <v>8.6</v>
      </c>
      <c r="R1235">
        <v>4</v>
      </c>
      <c r="S1235">
        <v>2.3199999999999998</v>
      </c>
      <c r="T1235">
        <v>1</v>
      </c>
      <c r="U1235" t="s">
        <v>22</v>
      </c>
      <c r="V1235" t="e">
        <f>IF(#REF! = "yes", 1, 0)</f>
        <v>#REF!</v>
      </c>
      <c r="W1235" t="e">
        <f>IF(#REF! &lt;= 1, "0-1 Calls", IF(#REF! &lt;= 3, "2-3 Calls", IF(#REF! &lt;=5, "4-5 Calls", "6+ Calls")))</f>
        <v>#REF!</v>
      </c>
      <c r="X1235" t="e">
        <f>IF(#REF! &lt;= 50, "0-50", IF(#REF! &lt;=100, "51-100", IF(#REF! &lt;= 150, "101-150", "151+")))</f>
        <v>#REF!</v>
      </c>
      <c r="Y1235" t="e">
        <f>IF(#REF! &lt;= 3, "Low Charges", "High Charges")</f>
        <v>#REF!</v>
      </c>
      <c r="Z1235" t="e">
        <f>IF(#REF!&lt;=80,"Low Calls",
IF(#REF!&lt;=120,"Medium Calls","High Calls"))</f>
        <v>#REF!</v>
      </c>
      <c r="AA1235" t="e">
        <f>IF(#REF!&lt;=15,"Low Charges",
IF(#REF!&lt;=20,"Medium Charges","High Charges"))</f>
        <v>#REF!</v>
      </c>
      <c r="AB1235" t="e">
        <f>IF(AND(#REF!&gt;180, #REF!&gt;200), "Heavy Doemstic User", IF(#REF!&gt;10, "Interntional User", IF(AND(#REF!&lt;180, #REF!&lt;200,#REF!&lt;200), "Light User", "Balanced User")))</f>
        <v>#REF!</v>
      </c>
      <c r="AC1235" t="e">
        <f>IF(#REF! = 0, "No Usage", IF(#REF! &lt;= 20, "Low Usage", IF(#REF! &lt;= 40, "Medium Usgae", "High Usage")))</f>
        <v>#REF!</v>
      </c>
      <c r="AD1235" t="e">
        <f>IF(#REF!&lt;=150,"Low Usage", IF(#REF!&lt;=200,"Medium Usage", IF(#REF!&lt;=250,"High Usage","Very High Usage")))</f>
        <v>#REF!</v>
      </c>
      <c r="AE1235" t="e">
        <f>IF(#REF!&lt;=5,"Low Calls", IF(#REF!&lt;=10, "Medium Calls", "High Calls"))</f>
        <v>#REF!</v>
      </c>
      <c r="AF1235" t="e">
        <f xml:space="preserve">
IF(#REF!&gt;=4,4,0)+
IF(#REF!="yes",3,0)+
IF(#REF!="High Charges",3,0)+
IF(#REF!&gt;250,4,0)+
IF(#REF!="no",1,0)+
IF(#REF!="Heavy Domestic User",2,0)</f>
        <v>#REF!</v>
      </c>
      <c r="AG1235" t="e">
        <f>IF(#REF!&gt;=10,"High Risk", IF(#REF!&gt;=5,"Medium Risk","Low Risk"))</f>
        <v>#REF!</v>
      </c>
      <c r="AH1235" t="e">
        <f>#REF! + #REF! + #REF! + #REF!</f>
        <v>#REF!</v>
      </c>
    </row>
    <row r="1236" spans="1:34" x14ac:dyDescent="0.35">
      <c r="A1236">
        <v>1235</v>
      </c>
      <c r="B1236" t="s">
        <v>38</v>
      </c>
      <c r="C1236">
        <v>95</v>
      </c>
      <c r="D1236" t="s">
        <v>21</v>
      </c>
      <c r="E1236" t="s">
        <v>22</v>
      </c>
      <c r="F1236" t="s">
        <v>22</v>
      </c>
      <c r="G1236">
        <v>0</v>
      </c>
      <c r="H1236">
        <v>197</v>
      </c>
      <c r="I1236">
        <v>88</v>
      </c>
      <c r="J1236">
        <v>33.49</v>
      </c>
      <c r="K1236">
        <v>190.4</v>
      </c>
      <c r="L1236">
        <v>68</v>
      </c>
      <c r="M1236">
        <v>16.18</v>
      </c>
      <c r="N1236">
        <v>211.9</v>
      </c>
      <c r="O1236">
        <v>104</v>
      </c>
      <c r="P1236">
        <v>9.5399999999999991</v>
      </c>
      <c r="Q1236">
        <v>16.100000000000001</v>
      </c>
      <c r="R1236">
        <v>8</v>
      </c>
      <c r="S1236">
        <v>4.3499999999999996</v>
      </c>
      <c r="T1236">
        <v>0</v>
      </c>
      <c r="U1236" t="s">
        <v>22</v>
      </c>
      <c r="V1236" t="e">
        <f>IF(#REF! = "yes", 1, 0)</f>
        <v>#REF!</v>
      </c>
      <c r="W1236" t="e">
        <f>IF(#REF! &lt;= 1, "0-1 Calls", IF(#REF! &lt;= 3, "2-3 Calls", IF(#REF! &lt;=5, "4-5 Calls", "6+ Calls")))</f>
        <v>#REF!</v>
      </c>
      <c r="X1236" t="e">
        <f>IF(#REF! &lt;= 50, "0-50", IF(#REF! &lt;=100, "51-100", IF(#REF! &lt;= 150, "101-150", "151+")))</f>
        <v>#REF!</v>
      </c>
      <c r="Y1236" t="e">
        <f>IF(#REF! &lt;= 3, "Low Charges", "High Charges")</f>
        <v>#REF!</v>
      </c>
      <c r="Z1236" t="e">
        <f>IF(#REF!&lt;=80,"Low Calls",
IF(#REF!&lt;=120,"Medium Calls","High Calls"))</f>
        <v>#REF!</v>
      </c>
      <c r="AA1236" t="e">
        <f>IF(#REF!&lt;=15,"Low Charges",
IF(#REF!&lt;=20,"Medium Charges","High Charges"))</f>
        <v>#REF!</v>
      </c>
      <c r="AB1236" t="e">
        <f>IF(AND(#REF!&gt;180, #REF!&gt;200), "Heavy Doemstic User", IF(#REF!&gt;10, "Interntional User", IF(AND(#REF!&lt;180, #REF!&lt;200,#REF!&lt;200), "Light User", "Balanced User")))</f>
        <v>#REF!</v>
      </c>
      <c r="AC1236" t="e">
        <f>IF(#REF! = 0, "No Usage", IF(#REF! &lt;= 20, "Low Usage", IF(#REF! &lt;= 40, "Medium Usgae", "High Usage")))</f>
        <v>#REF!</v>
      </c>
      <c r="AD1236" t="e">
        <f>IF(#REF!&lt;=150,"Low Usage", IF(#REF!&lt;=200,"Medium Usage", IF(#REF!&lt;=250,"High Usage","Very High Usage")))</f>
        <v>#REF!</v>
      </c>
      <c r="AE1236" t="e">
        <f>IF(#REF!&lt;=5,"Low Calls", IF(#REF!&lt;=10, "Medium Calls", "High Calls"))</f>
        <v>#REF!</v>
      </c>
      <c r="AF1236" t="e">
        <f xml:space="preserve">
IF(#REF!&gt;=4,4,0)+
IF(#REF!="yes",3,0)+
IF(#REF!="High Charges",3,0)+
IF(#REF!&gt;250,4,0)+
IF(#REF!="no",1,0)+
IF(#REF!="Heavy Domestic User",2,0)</f>
        <v>#REF!</v>
      </c>
      <c r="AG1236" t="e">
        <f>IF(#REF!&gt;=10,"High Risk", IF(#REF!&gt;=5,"Medium Risk","Low Risk"))</f>
        <v>#REF!</v>
      </c>
      <c r="AH1236" t="e">
        <f>#REF! + #REF! + #REF! + #REF!</f>
        <v>#REF!</v>
      </c>
    </row>
    <row r="1237" spans="1:34" x14ac:dyDescent="0.35">
      <c r="A1237">
        <v>1236</v>
      </c>
      <c r="B1237" t="s">
        <v>35</v>
      </c>
      <c r="C1237">
        <v>80</v>
      </c>
      <c r="D1237" t="s">
        <v>21</v>
      </c>
      <c r="E1237" t="s">
        <v>22</v>
      </c>
      <c r="F1237" t="s">
        <v>22</v>
      </c>
      <c r="G1237">
        <v>0</v>
      </c>
      <c r="H1237">
        <v>198.1</v>
      </c>
      <c r="I1237">
        <v>160</v>
      </c>
      <c r="J1237">
        <v>33.68</v>
      </c>
      <c r="K1237">
        <v>156.69999999999999</v>
      </c>
      <c r="L1237">
        <v>87</v>
      </c>
      <c r="M1237">
        <v>13.32</v>
      </c>
      <c r="N1237">
        <v>182.1</v>
      </c>
      <c r="O1237">
        <v>76</v>
      </c>
      <c r="P1237">
        <v>8.19</v>
      </c>
      <c r="Q1237">
        <v>9.3000000000000007</v>
      </c>
      <c r="R1237">
        <v>3</v>
      </c>
      <c r="S1237">
        <v>2.5099999999999998</v>
      </c>
      <c r="T1237">
        <v>3</v>
      </c>
      <c r="U1237" t="s">
        <v>22</v>
      </c>
      <c r="V1237" t="e">
        <f>IF(#REF! = "yes", 1, 0)</f>
        <v>#REF!</v>
      </c>
      <c r="W1237" t="e">
        <f>IF(#REF! &lt;= 1, "0-1 Calls", IF(#REF! &lt;= 3, "2-3 Calls", IF(#REF! &lt;=5, "4-5 Calls", "6+ Calls")))</f>
        <v>#REF!</v>
      </c>
      <c r="X1237" t="e">
        <f>IF(#REF! &lt;= 50, "0-50", IF(#REF! &lt;=100, "51-100", IF(#REF! &lt;= 150, "101-150", "151+")))</f>
        <v>#REF!</v>
      </c>
      <c r="Y1237" t="e">
        <f>IF(#REF! &lt;= 3, "Low Charges", "High Charges")</f>
        <v>#REF!</v>
      </c>
      <c r="Z1237" t="e">
        <f>IF(#REF!&lt;=80,"Low Calls",
IF(#REF!&lt;=120,"Medium Calls","High Calls"))</f>
        <v>#REF!</v>
      </c>
      <c r="AA1237" t="e">
        <f>IF(#REF!&lt;=15,"Low Charges",
IF(#REF!&lt;=20,"Medium Charges","High Charges"))</f>
        <v>#REF!</v>
      </c>
      <c r="AB1237" t="e">
        <f>IF(AND(#REF!&gt;180, #REF!&gt;200), "Heavy Doemstic User", IF(#REF!&gt;10, "Interntional User", IF(AND(#REF!&lt;180, #REF!&lt;200,#REF!&lt;200), "Light User", "Balanced User")))</f>
        <v>#REF!</v>
      </c>
      <c r="AC1237" t="e">
        <f>IF(#REF! = 0, "No Usage", IF(#REF! &lt;= 20, "Low Usage", IF(#REF! &lt;= 40, "Medium Usgae", "High Usage")))</f>
        <v>#REF!</v>
      </c>
      <c r="AD1237" t="e">
        <f>IF(#REF!&lt;=150,"Low Usage", IF(#REF!&lt;=200,"Medium Usage", IF(#REF!&lt;=250,"High Usage","Very High Usage")))</f>
        <v>#REF!</v>
      </c>
      <c r="AE1237" t="e">
        <f>IF(#REF!&lt;=5,"Low Calls", IF(#REF!&lt;=10, "Medium Calls", "High Calls"))</f>
        <v>#REF!</v>
      </c>
      <c r="AF1237" t="e">
        <f xml:space="preserve">
IF(#REF!&gt;=4,4,0)+
IF(#REF!="yes",3,0)+
IF(#REF!="High Charges",3,0)+
IF(#REF!&gt;250,4,0)+
IF(#REF!="no",1,0)+
IF(#REF!="Heavy Domestic User",2,0)</f>
        <v>#REF!</v>
      </c>
      <c r="AG1237" t="e">
        <f>IF(#REF!&gt;=10,"High Risk", IF(#REF!&gt;=5,"Medium Risk","Low Risk"))</f>
        <v>#REF!</v>
      </c>
      <c r="AH1237" t="e">
        <f>#REF! + #REF! + #REF! + #REF!</f>
        <v>#REF!</v>
      </c>
    </row>
    <row r="1238" spans="1:34" x14ac:dyDescent="0.35">
      <c r="A1238">
        <v>1237</v>
      </c>
      <c r="B1238" t="s">
        <v>43</v>
      </c>
      <c r="C1238">
        <v>145</v>
      </c>
      <c r="D1238" t="s">
        <v>25</v>
      </c>
      <c r="E1238" t="s">
        <v>22</v>
      </c>
      <c r="F1238" t="s">
        <v>22</v>
      </c>
      <c r="G1238">
        <v>0</v>
      </c>
      <c r="H1238">
        <v>39.5</v>
      </c>
      <c r="I1238">
        <v>78</v>
      </c>
      <c r="J1238">
        <v>6.72</v>
      </c>
      <c r="K1238">
        <v>264.3</v>
      </c>
      <c r="L1238">
        <v>106</v>
      </c>
      <c r="M1238">
        <v>22.47</v>
      </c>
      <c r="N1238">
        <v>185.8</v>
      </c>
      <c r="O1238">
        <v>90</v>
      </c>
      <c r="P1238">
        <v>8.36</v>
      </c>
      <c r="Q1238">
        <v>10</v>
      </c>
      <c r="R1238">
        <v>6</v>
      </c>
      <c r="S1238">
        <v>2.7</v>
      </c>
      <c r="T1238">
        <v>0</v>
      </c>
      <c r="U1238" t="s">
        <v>22</v>
      </c>
      <c r="V1238" t="e">
        <f>IF(#REF! = "yes", 1, 0)</f>
        <v>#REF!</v>
      </c>
      <c r="W1238" t="e">
        <f>IF(#REF! &lt;= 1, "0-1 Calls", IF(#REF! &lt;= 3, "2-3 Calls", IF(#REF! &lt;=5, "4-5 Calls", "6+ Calls")))</f>
        <v>#REF!</v>
      </c>
      <c r="X1238" t="e">
        <f>IF(#REF! &lt;= 50, "0-50", IF(#REF! &lt;=100, "51-100", IF(#REF! &lt;= 150, "101-150", "151+")))</f>
        <v>#REF!</v>
      </c>
      <c r="Y1238" t="e">
        <f>IF(#REF! &lt;= 3, "Low Charges", "High Charges")</f>
        <v>#REF!</v>
      </c>
      <c r="Z1238" t="e">
        <f>IF(#REF!&lt;=80,"Low Calls",
IF(#REF!&lt;=120,"Medium Calls","High Calls"))</f>
        <v>#REF!</v>
      </c>
      <c r="AA1238" t="e">
        <f>IF(#REF!&lt;=15,"Low Charges",
IF(#REF!&lt;=20,"Medium Charges","High Charges"))</f>
        <v>#REF!</v>
      </c>
      <c r="AB1238" t="e">
        <f>IF(AND(#REF!&gt;180, #REF!&gt;200), "Heavy Doemstic User", IF(#REF!&gt;10, "Interntional User", IF(AND(#REF!&lt;180, #REF!&lt;200,#REF!&lt;200), "Light User", "Balanced User")))</f>
        <v>#REF!</v>
      </c>
      <c r="AC1238" t="e">
        <f>IF(#REF! = 0, "No Usage", IF(#REF! &lt;= 20, "Low Usage", IF(#REF! &lt;= 40, "Medium Usgae", "High Usage")))</f>
        <v>#REF!</v>
      </c>
      <c r="AD1238" t="e">
        <f>IF(#REF!&lt;=150,"Low Usage", IF(#REF!&lt;=200,"Medium Usage", IF(#REF!&lt;=250,"High Usage","Very High Usage")))</f>
        <v>#REF!</v>
      </c>
      <c r="AE1238" t="e">
        <f>IF(#REF!&lt;=5,"Low Calls", IF(#REF!&lt;=10, "Medium Calls", "High Calls"))</f>
        <v>#REF!</v>
      </c>
      <c r="AF1238" t="e">
        <f xml:space="preserve">
IF(#REF!&gt;=4,4,0)+
IF(#REF!="yes",3,0)+
IF(#REF!="High Charges",3,0)+
IF(#REF!&gt;250,4,0)+
IF(#REF!="no",1,0)+
IF(#REF!="Heavy Domestic User",2,0)</f>
        <v>#REF!</v>
      </c>
      <c r="AG1238" t="e">
        <f>IF(#REF!&gt;=10,"High Risk", IF(#REF!&gt;=5,"Medium Risk","Low Risk"))</f>
        <v>#REF!</v>
      </c>
      <c r="AH1238" t="e">
        <f>#REF! + #REF! + #REF! + #REF!</f>
        <v>#REF!</v>
      </c>
    </row>
    <row r="1239" spans="1:34" x14ac:dyDescent="0.35">
      <c r="A1239">
        <v>1238</v>
      </c>
      <c r="B1239" t="s">
        <v>41</v>
      </c>
      <c r="C1239">
        <v>37</v>
      </c>
      <c r="D1239" t="s">
        <v>25</v>
      </c>
      <c r="E1239" t="s">
        <v>22</v>
      </c>
      <c r="F1239" t="s">
        <v>22</v>
      </c>
      <c r="G1239">
        <v>0</v>
      </c>
      <c r="H1239">
        <v>199.5</v>
      </c>
      <c r="I1239">
        <v>107</v>
      </c>
      <c r="J1239">
        <v>33.92</v>
      </c>
      <c r="K1239">
        <v>207.5</v>
      </c>
      <c r="L1239">
        <v>110</v>
      </c>
      <c r="M1239">
        <v>17.64</v>
      </c>
      <c r="N1239">
        <v>83.9</v>
      </c>
      <c r="O1239">
        <v>123</v>
      </c>
      <c r="P1239">
        <v>3.78</v>
      </c>
      <c r="Q1239">
        <v>8.1</v>
      </c>
      <c r="R1239">
        <v>4</v>
      </c>
      <c r="S1239">
        <v>2.19</v>
      </c>
      <c r="T1239">
        <v>2</v>
      </c>
      <c r="U1239" t="s">
        <v>22</v>
      </c>
      <c r="V1239" t="e">
        <f>IF(#REF! = "yes", 1, 0)</f>
        <v>#REF!</v>
      </c>
      <c r="W1239" t="e">
        <f>IF(#REF! &lt;= 1, "0-1 Calls", IF(#REF! &lt;= 3, "2-3 Calls", IF(#REF! &lt;=5, "4-5 Calls", "6+ Calls")))</f>
        <v>#REF!</v>
      </c>
      <c r="X1239" t="e">
        <f>IF(#REF! &lt;= 50, "0-50", IF(#REF! &lt;=100, "51-100", IF(#REF! &lt;= 150, "101-150", "151+")))</f>
        <v>#REF!</v>
      </c>
      <c r="Y1239" t="e">
        <f>IF(#REF! &lt;= 3, "Low Charges", "High Charges")</f>
        <v>#REF!</v>
      </c>
      <c r="Z1239" t="e">
        <f>IF(#REF!&lt;=80,"Low Calls",
IF(#REF!&lt;=120,"Medium Calls","High Calls"))</f>
        <v>#REF!</v>
      </c>
      <c r="AA1239" t="e">
        <f>IF(#REF!&lt;=15,"Low Charges",
IF(#REF!&lt;=20,"Medium Charges","High Charges"))</f>
        <v>#REF!</v>
      </c>
      <c r="AB1239" t="e">
        <f>IF(AND(#REF!&gt;180, #REF!&gt;200), "Heavy Doemstic User", IF(#REF!&gt;10, "Interntional User", IF(AND(#REF!&lt;180, #REF!&lt;200,#REF!&lt;200), "Light User", "Balanced User")))</f>
        <v>#REF!</v>
      </c>
      <c r="AC1239" t="e">
        <f>IF(#REF! = 0, "No Usage", IF(#REF! &lt;= 20, "Low Usage", IF(#REF! &lt;= 40, "Medium Usgae", "High Usage")))</f>
        <v>#REF!</v>
      </c>
      <c r="AD1239" t="e">
        <f>IF(#REF!&lt;=150,"Low Usage", IF(#REF!&lt;=200,"Medium Usage", IF(#REF!&lt;=250,"High Usage","Very High Usage")))</f>
        <v>#REF!</v>
      </c>
      <c r="AE1239" t="e">
        <f>IF(#REF!&lt;=5,"Low Calls", IF(#REF!&lt;=10, "Medium Calls", "High Calls"))</f>
        <v>#REF!</v>
      </c>
      <c r="AF1239" t="e">
        <f xml:space="preserve">
IF(#REF!&gt;=4,4,0)+
IF(#REF!="yes",3,0)+
IF(#REF!="High Charges",3,0)+
IF(#REF!&gt;250,4,0)+
IF(#REF!="no",1,0)+
IF(#REF!="Heavy Domestic User",2,0)</f>
        <v>#REF!</v>
      </c>
      <c r="AG1239" t="e">
        <f>IF(#REF!&gt;=10,"High Risk", IF(#REF!&gt;=5,"Medium Risk","Low Risk"))</f>
        <v>#REF!</v>
      </c>
      <c r="AH1239" t="e">
        <f>#REF! + #REF! + #REF! + #REF!</f>
        <v>#REF!</v>
      </c>
    </row>
    <row r="1240" spans="1:34" x14ac:dyDescent="0.35">
      <c r="A1240">
        <v>1239</v>
      </c>
      <c r="B1240" t="s">
        <v>37</v>
      </c>
      <c r="C1240">
        <v>87</v>
      </c>
      <c r="D1240" t="s">
        <v>21</v>
      </c>
      <c r="E1240" t="s">
        <v>22</v>
      </c>
      <c r="F1240" t="s">
        <v>22</v>
      </c>
      <c r="G1240">
        <v>0</v>
      </c>
      <c r="H1240">
        <v>156.80000000000001</v>
      </c>
      <c r="I1240">
        <v>93</v>
      </c>
      <c r="J1240">
        <v>26.66</v>
      </c>
      <c r="K1240">
        <v>215.8</v>
      </c>
      <c r="L1240">
        <v>68</v>
      </c>
      <c r="M1240">
        <v>18.34</v>
      </c>
      <c r="N1240">
        <v>223.3</v>
      </c>
      <c r="O1240">
        <v>77</v>
      </c>
      <c r="P1240">
        <v>10.050000000000001</v>
      </c>
      <c r="Q1240">
        <v>7.6</v>
      </c>
      <c r="R1240">
        <v>6</v>
      </c>
      <c r="S1240">
        <v>2.0499999999999998</v>
      </c>
      <c r="T1240">
        <v>1</v>
      </c>
      <c r="U1240" t="s">
        <v>22</v>
      </c>
      <c r="V1240" t="e">
        <f>IF(#REF! = "yes", 1, 0)</f>
        <v>#REF!</v>
      </c>
      <c r="W1240" t="e">
        <f>IF(#REF! &lt;= 1, "0-1 Calls", IF(#REF! &lt;= 3, "2-3 Calls", IF(#REF! &lt;=5, "4-5 Calls", "6+ Calls")))</f>
        <v>#REF!</v>
      </c>
      <c r="X1240" t="e">
        <f>IF(#REF! &lt;= 50, "0-50", IF(#REF! &lt;=100, "51-100", IF(#REF! &lt;= 150, "101-150", "151+")))</f>
        <v>#REF!</v>
      </c>
      <c r="Y1240" t="e">
        <f>IF(#REF! &lt;= 3, "Low Charges", "High Charges")</f>
        <v>#REF!</v>
      </c>
      <c r="Z1240" t="e">
        <f>IF(#REF!&lt;=80,"Low Calls",
IF(#REF!&lt;=120,"Medium Calls","High Calls"))</f>
        <v>#REF!</v>
      </c>
      <c r="AA1240" t="e">
        <f>IF(#REF!&lt;=15,"Low Charges",
IF(#REF!&lt;=20,"Medium Charges","High Charges"))</f>
        <v>#REF!</v>
      </c>
      <c r="AB1240" t="e">
        <f>IF(AND(#REF!&gt;180, #REF!&gt;200), "Heavy Doemstic User", IF(#REF!&gt;10, "Interntional User", IF(AND(#REF!&lt;180, #REF!&lt;200,#REF!&lt;200), "Light User", "Balanced User")))</f>
        <v>#REF!</v>
      </c>
      <c r="AC1240" t="e">
        <f>IF(#REF! = 0, "No Usage", IF(#REF! &lt;= 20, "Low Usage", IF(#REF! &lt;= 40, "Medium Usgae", "High Usage")))</f>
        <v>#REF!</v>
      </c>
      <c r="AD1240" t="e">
        <f>IF(#REF!&lt;=150,"Low Usage", IF(#REF!&lt;=200,"Medium Usage", IF(#REF!&lt;=250,"High Usage","Very High Usage")))</f>
        <v>#REF!</v>
      </c>
      <c r="AE1240" t="e">
        <f>IF(#REF!&lt;=5,"Low Calls", IF(#REF!&lt;=10, "Medium Calls", "High Calls"))</f>
        <v>#REF!</v>
      </c>
      <c r="AF1240" t="e">
        <f xml:space="preserve">
IF(#REF!&gt;=4,4,0)+
IF(#REF!="yes",3,0)+
IF(#REF!="High Charges",3,0)+
IF(#REF!&gt;250,4,0)+
IF(#REF!="no",1,0)+
IF(#REF!="Heavy Domestic User",2,0)</f>
        <v>#REF!</v>
      </c>
      <c r="AG1240" t="e">
        <f>IF(#REF!&gt;=10,"High Risk", IF(#REF!&gt;=5,"Medium Risk","Low Risk"))</f>
        <v>#REF!</v>
      </c>
      <c r="AH1240" t="e">
        <f>#REF! + #REF! + #REF! + #REF!</f>
        <v>#REF!</v>
      </c>
    </row>
    <row r="1241" spans="1:34" x14ac:dyDescent="0.35">
      <c r="A1241">
        <v>1240</v>
      </c>
      <c r="B1241" t="s">
        <v>55</v>
      </c>
      <c r="C1241">
        <v>195</v>
      </c>
      <c r="D1241" t="s">
        <v>21</v>
      </c>
      <c r="E1241" t="s">
        <v>22</v>
      </c>
      <c r="F1241" t="s">
        <v>22</v>
      </c>
      <c r="G1241">
        <v>0</v>
      </c>
      <c r="H1241">
        <v>63.2</v>
      </c>
      <c r="I1241">
        <v>108</v>
      </c>
      <c r="J1241">
        <v>10.74</v>
      </c>
      <c r="K1241">
        <v>220.2</v>
      </c>
      <c r="L1241">
        <v>88</v>
      </c>
      <c r="M1241">
        <v>18.72</v>
      </c>
      <c r="N1241">
        <v>184</v>
      </c>
      <c r="O1241">
        <v>99</v>
      </c>
      <c r="P1241">
        <v>8.2799999999999994</v>
      </c>
      <c r="Q1241">
        <v>5.0999999999999996</v>
      </c>
      <c r="R1241">
        <v>3</v>
      </c>
      <c r="S1241">
        <v>1.38</v>
      </c>
      <c r="T1241">
        <v>0</v>
      </c>
      <c r="U1241" t="s">
        <v>22</v>
      </c>
      <c r="V1241" t="e">
        <f>IF(#REF! = "yes", 1, 0)</f>
        <v>#REF!</v>
      </c>
      <c r="W1241" t="e">
        <f>IF(#REF! &lt;= 1, "0-1 Calls", IF(#REF! &lt;= 3, "2-3 Calls", IF(#REF! &lt;=5, "4-5 Calls", "6+ Calls")))</f>
        <v>#REF!</v>
      </c>
      <c r="X1241" t="e">
        <f>IF(#REF! &lt;= 50, "0-50", IF(#REF! &lt;=100, "51-100", IF(#REF! &lt;= 150, "101-150", "151+")))</f>
        <v>#REF!</v>
      </c>
      <c r="Y1241" t="e">
        <f>IF(#REF! &lt;= 3, "Low Charges", "High Charges")</f>
        <v>#REF!</v>
      </c>
      <c r="Z1241" t="e">
        <f>IF(#REF!&lt;=80,"Low Calls",
IF(#REF!&lt;=120,"Medium Calls","High Calls"))</f>
        <v>#REF!</v>
      </c>
      <c r="AA1241" t="e">
        <f>IF(#REF!&lt;=15,"Low Charges",
IF(#REF!&lt;=20,"Medium Charges","High Charges"))</f>
        <v>#REF!</v>
      </c>
      <c r="AB1241" t="e">
        <f>IF(AND(#REF!&gt;180, #REF!&gt;200), "Heavy Doemstic User", IF(#REF!&gt;10, "Interntional User", IF(AND(#REF!&lt;180, #REF!&lt;200,#REF!&lt;200), "Light User", "Balanced User")))</f>
        <v>#REF!</v>
      </c>
      <c r="AC1241" t="e">
        <f>IF(#REF! = 0, "No Usage", IF(#REF! &lt;= 20, "Low Usage", IF(#REF! &lt;= 40, "Medium Usgae", "High Usage")))</f>
        <v>#REF!</v>
      </c>
      <c r="AD1241" t="e">
        <f>IF(#REF!&lt;=150,"Low Usage", IF(#REF!&lt;=200,"Medium Usage", IF(#REF!&lt;=250,"High Usage","Very High Usage")))</f>
        <v>#REF!</v>
      </c>
      <c r="AE1241" t="e">
        <f>IF(#REF!&lt;=5,"Low Calls", IF(#REF!&lt;=10, "Medium Calls", "High Calls"))</f>
        <v>#REF!</v>
      </c>
      <c r="AF1241" t="e">
        <f xml:space="preserve">
IF(#REF!&gt;=4,4,0)+
IF(#REF!="yes",3,0)+
IF(#REF!="High Charges",3,0)+
IF(#REF!&gt;250,4,0)+
IF(#REF!="no",1,0)+
IF(#REF!="Heavy Domestic User",2,0)</f>
        <v>#REF!</v>
      </c>
      <c r="AG1241" t="e">
        <f>IF(#REF!&gt;=10,"High Risk", IF(#REF!&gt;=5,"Medium Risk","Low Risk"))</f>
        <v>#REF!</v>
      </c>
      <c r="AH1241" t="e">
        <f>#REF! + #REF! + #REF! + #REF!</f>
        <v>#REF!</v>
      </c>
    </row>
    <row r="1242" spans="1:34" x14ac:dyDescent="0.35">
      <c r="A1242">
        <v>1241</v>
      </c>
      <c r="B1242" t="s">
        <v>33</v>
      </c>
      <c r="C1242">
        <v>123</v>
      </c>
      <c r="D1242" t="s">
        <v>21</v>
      </c>
      <c r="E1242" t="s">
        <v>22</v>
      </c>
      <c r="F1242" t="s">
        <v>23</v>
      </c>
      <c r="G1242">
        <v>27</v>
      </c>
      <c r="H1242">
        <v>218.7</v>
      </c>
      <c r="I1242">
        <v>79</v>
      </c>
      <c r="J1242">
        <v>37.18</v>
      </c>
      <c r="K1242">
        <v>163.4</v>
      </c>
      <c r="L1242">
        <v>78</v>
      </c>
      <c r="M1242">
        <v>13.89</v>
      </c>
      <c r="N1242">
        <v>173.8</v>
      </c>
      <c r="O1242">
        <v>116</v>
      </c>
      <c r="P1242">
        <v>7.82</v>
      </c>
      <c r="Q1242">
        <v>15</v>
      </c>
      <c r="R1242">
        <v>1</v>
      </c>
      <c r="S1242">
        <v>4.05</v>
      </c>
      <c r="T1242">
        <v>0</v>
      </c>
      <c r="U1242" t="s">
        <v>22</v>
      </c>
      <c r="V1242" t="e">
        <f>IF(#REF! = "yes", 1, 0)</f>
        <v>#REF!</v>
      </c>
      <c r="W1242" t="e">
        <f>IF(#REF! &lt;= 1, "0-1 Calls", IF(#REF! &lt;= 3, "2-3 Calls", IF(#REF! &lt;=5, "4-5 Calls", "6+ Calls")))</f>
        <v>#REF!</v>
      </c>
      <c r="X1242" t="e">
        <f>IF(#REF! &lt;= 50, "0-50", IF(#REF! &lt;=100, "51-100", IF(#REF! &lt;= 150, "101-150", "151+")))</f>
        <v>#REF!</v>
      </c>
      <c r="Y1242" t="e">
        <f>IF(#REF! &lt;= 3, "Low Charges", "High Charges")</f>
        <v>#REF!</v>
      </c>
      <c r="Z1242" t="e">
        <f>IF(#REF!&lt;=80,"Low Calls",
IF(#REF!&lt;=120,"Medium Calls","High Calls"))</f>
        <v>#REF!</v>
      </c>
      <c r="AA1242" t="e">
        <f>IF(#REF!&lt;=15,"Low Charges",
IF(#REF!&lt;=20,"Medium Charges","High Charges"))</f>
        <v>#REF!</v>
      </c>
      <c r="AB1242" t="e">
        <f>IF(AND(#REF!&gt;180, #REF!&gt;200), "Heavy Doemstic User", IF(#REF!&gt;10, "Interntional User", IF(AND(#REF!&lt;180, #REF!&lt;200,#REF!&lt;200), "Light User", "Balanced User")))</f>
        <v>#REF!</v>
      </c>
      <c r="AC1242" t="e">
        <f>IF(#REF! = 0, "No Usage", IF(#REF! &lt;= 20, "Low Usage", IF(#REF! &lt;= 40, "Medium Usgae", "High Usage")))</f>
        <v>#REF!</v>
      </c>
      <c r="AD1242" t="e">
        <f>IF(#REF!&lt;=150,"Low Usage", IF(#REF!&lt;=200,"Medium Usage", IF(#REF!&lt;=250,"High Usage","Very High Usage")))</f>
        <v>#REF!</v>
      </c>
      <c r="AE1242" t="e">
        <f>IF(#REF!&lt;=5,"Low Calls", IF(#REF!&lt;=10, "Medium Calls", "High Calls"))</f>
        <v>#REF!</v>
      </c>
      <c r="AF1242" t="e">
        <f xml:space="preserve">
IF(#REF!&gt;=4,4,0)+
IF(#REF!="yes",3,0)+
IF(#REF!="High Charges",3,0)+
IF(#REF!&gt;250,4,0)+
IF(#REF!="no",1,0)+
IF(#REF!="Heavy Domestic User",2,0)</f>
        <v>#REF!</v>
      </c>
      <c r="AG1242" t="e">
        <f>IF(#REF!&gt;=10,"High Risk", IF(#REF!&gt;=5,"Medium Risk","Low Risk"))</f>
        <v>#REF!</v>
      </c>
      <c r="AH1242" t="e">
        <f>#REF! + #REF! + #REF! + #REF!</f>
        <v>#REF!</v>
      </c>
    </row>
    <row r="1243" spans="1:34" x14ac:dyDescent="0.35">
      <c r="A1243">
        <v>1242</v>
      </c>
      <c r="B1243" t="s">
        <v>40</v>
      </c>
      <c r="C1243">
        <v>41</v>
      </c>
      <c r="D1243" t="s">
        <v>21</v>
      </c>
      <c r="E1243" t="s">
        <v>22</v>
      </c>
      <c r="F1243" t="s">
        <v>23</v>
      </c>
      <c r="G1243">
        <v>41</v>
      </c>
      <c r="H1243">
        <v>207.3</v>
      </c>
      <c r="I1243">
        <v>95</v>
      </c>
      <c r="J1243">
        <v>35.24</v>
      </c>
      <c r="K1243">
        <v>137.30000000000001</v>
      </c>
      <c r="L1243">
        <v>120</v>
      </c>
      <c r="M1243">
        <v>11.67</v>
      </c>
      <c r="N1243">
        <v>115.7</v>
      </c>
      <c r="O1243">
        <v>74</v>
      </c>
      <c r="P1243">
        <v>5.21</v>
      </c>
      <c r="Q1243">
        <v>5.9</v>
      </c>
      <c r="R1243">
        <v>3</v>
      </c>
      <c r="S1243">
        <v>1.59</v>
      </c>
      <c r="T1243">
        <v>1</v>
      </c>
      <c r="U1243" t="s">
        <v>22</v>
      </c>
      <c r="V1243" t="e">
        <f>IF(#REF! = "yes", 1, 0)</f>
        <v>#REF!</v>
      </c>
      <c r="W1243" t="e">
        <f>IF(#REF! &lt;= 1, "0-1 Calls", IF(#REF! &lt;= 3, "2-3 Calls", IF(#REF! &lt;=5, "4-5 Calls", "6+ Calls")))</f>
        <v>#REF!</v>
      </c>
      <c r="X1243" t="e">
        <f>IF(#REF! &lt;= 50, "0-50", IF(#REF! &lt;=100, "51-100", IF(#REF! &lt;= 150, "101-150", "151+")))</f>
        <v>#REF!</v>
      </c>
      <c r="Y1243" t="e">
        <f>IF(#REF! &lt;= 3, "Low Charges", "High Charges")</f>
        <v>#REF!</v>
      </c>
      <c r="Z1243" t="e">
        <f>IF(#REF!&lt;=80,"Low Calls",
IF(#REF!&lt;=120,"Medium Calls","High Calls"))</f>
        <v>#REF!</v>
      </c>
      <c r="AA1243" t="e">
        <f>IF(#REF!&lt;=15,"Low Charges",
IF(#REF!&lt;=20,"Medium Charges","High Charges"))</f>
        <v>#REF!</v>
      </c>
      <c r="AB1243" t="e">
        <f>IF(AND(#REF!&gt;180, #REF!&gt;200), "Heavy Doemstic User", IF(#REF!&gt;10, "Interntional User", IF(AND(#REF!&lt;180, #REF!&lt;200,#REF!&lt;200), "Light User", "Balanced User")))</f>
        <v>#REF!</v>
      </c>
      <c r="AC1243" t="e">
        <f>IF(#REF! = 0, "No Usage", IF(#REF! &lt;= 20, "Low Usage", IF(#REF! &lt;= 40, "Medium Usgae", "High Usage")))</f>
        <v>#REF!</v>
      </c>
      <c r="AD1243" t="e">
        <f>IF(#REF!&lt;=150,"Low Usage", IF(#REF!&lt;=200,"Medium Usage", IF(#REF!&lt;=250,"High Usage","Very High Usage")))</f>
        <v>#REF!</v>
      </c>
      <c r="AE1243" t="e">
        <f>IF(#REF!&lt;=5,"Low Calls", IF(#REF!&lt;=10, "Medium Calls", "High Calls"))</f>
        <v>#REF!</v>
      </c>
      <c r="AF1243" t="e">
        <f xml:space="preserve">
IF(#REF!&gt;=4,4,0)+
IF(#REF!="yes",3,0)+
IF(#REF!="High Charges",3,0)+
IF(#REF!&gt;250,4,0)+
IF(#REF!="no",1,0)+
IF(#REF!="Heavy Domestic User",2,0)</f>
        <v>#REF!</v>
      </c>
      <c r="AG1243" t="e">
        <f>IF(#REF!&gt;=10,"High Risk", IF(#REF!&gt;=5,"Medium Risk","Low Risk"))</f>
        <v>#REF!</v>
      </c>
      <c r="AH1243" t="e">
        <f>#REF! + #REF! + #REF! + #REF!</f>
        <v>#REF!</v>
      </c>
    </row>
    <row r="1244" spans="1:34" x14ac:dyDescent="0.35">
      <c r="A1244">
        <v>1243</v>
      </c>
      <c r="B1244" t="s">
        <v>49</v>
      </c>
      <c r="C1244">
        <v>76</v>
      </c>
      <c r="D1244" t="s">
        <v>21</v>
      </c>
      <c r="E1244" t="s">
        <v>23</v>
      </c>
      <c r="F1244" t="s">
        <v>22</v>
      </c>
      <c r="G1244">
        <v>0</v>
      </c>
      <c r="H1244">
        <v>273.3</v>
      </c>
      <c r="I1244">
        <v>66</v>
      </c>
      <c r="J1244">
        <v>46.46</v>
      </c>
      <c r="K1244">
        <v>263.60000000000002</v>
      </c>
      <c r="L1244">
        <v>121</v>
      </c>
      <c r="M1244">
        <v>22.41</v>
      </c>
      <c r="N1244">
        <v>165.2</v>
      </c>
      <c r="O1244">
        <v>84</v>
      </c>
      <c r="P1244">
        <v>7.43</v>
      </c>
      <c r="Q1244">
        <v>12</v>
      </c>
      <c r="R1244">
        <v>7</v>
      </c>
      <c r="S1244">
        <v>3.24</v>
      </c>
      <c r="T1244">
        <v>1</v>
      </c>
      <c r="U1244" t="s">
        <v>23</v>
      </c>
      <c r="V1244" t="e">
        <f>IF(#REF! = "yes", 1, 0)</f>
        <v>#REF!</v>
      </c>
      <c r="W1244" t="e">
        <f>IF(#REF! &lt;= 1, "0-1 Calls", IF(#REF! &lt;= 3, "2-3 Calls", IF(#REF! &lt;=5, "4-5 Calls", "6+ Calls")))</f>
        <v>#REF!</v>
      </c>
      <c r="X1244" t="e">
        <f>IF(#REF! &lt;= 50, "0-50", IF(#REF! &lt;=100, "51-100", IF(#REF! &lt;= 150, "101-150", "151+")))</f>
        <v>#REF!</v>
      </c>
      <c r="Y1244" t="e">
        <f>IF(#REF! &lt;= 3, "Low Charges", "High Charges")</f>
        <v>#REF!</v>
      </c>
      <c r="Z1244" t="e">
        <f>IF(#REF!&lt;=80,"Low Calls",
IF(#REF!&lt;=120,"Medium Calls","High Calls"))</f>
        <v>#REF!</v>
      </c>
      <c r="AA1244" t="e">
        <f>IF(#REF!&lt;=15,"Low Charges",
IF(#REF!&lt;=20,"Medium Charges","High Charges"))</f>
        <v>#REF!</v>
      </c>
      <c r="AB1244" t="e">
        <f>IF(AND(#REF!&gt;180, #REF!&gt;200), "Heavy Doemstic User", IF(#REF!&gt;10, "Interntional User", IF(AND(#REF!&lt;180, #REF!&lt;200,#REF!&lt;200), "Light User", "Balanced User")))</f>
        <v>#REF!</v>
      </c>
      <c r="AC1244" t="e">
        <f>IF(#REF! = 0, "No Usage", IF(#REF! &lt;= 20, "Low Usage", IF(#REF! &lt;= 40, "Medium Usgae", "High Usage")))</f>
        <v>#REF!</v>
      </c>
      <c r="AD1244" t="e">
        <f>IF(#REF!&lt;=150,"Low Usage", IF(#REF!&lt;=200,"Medium Usage", IF(#REF!&lt;=250,"High Usage","Very High Usage")))</f>
        <v>#REF!</v>
      </c>
      <c r="AE1244" t="e">
        <f>IF(#REF!&lt;=5,"Low Calls", IF(#REF!&lt;=10, "Medium Calls", "High Calls"))</f>
        <v>#REF!</v>
      </c>
      <c r="AF1244" t="e">
        <f xml:space="preserve">
IF(#REF!&gt;=4,4,0)+
IF(#REF!="yes",3,0)+
IF(#REF!="High Charges",3,0)+
IF(#REF!&gt;250,4,0)+
IF(#REF!="no",1,0)+
IF(#REF!="Heavy Domestic User",2,0)</f>
        <v>#REF!</v>
      </c>
      <c r="AG1244" t="e">
        <f>IF(#REF!&gt;=10,"High Risk", IF(#REF!&gt;=5,"Medium Risk","Low Risk"))</f>
        <v>#REF!</v>
      </c>
      <c r="AH1244" t="e">
        <f>#REF! + #REF! + #REF! + #REF!</f>
        <v>#REF!</v>
      </c>
    </row>
    <row r="1245" spans="1:34" x14ac:dyDescent="0.35">
      <c r="A1245">
        <v>1244</v>
      </c>
      <c r="B1245" t="s">
        <v>72</v>
      </c>
      <c r="C1245">
        <v>86</v>
      </c>
      <c r="D1245" t="s">
        <v>21</v>
      </c>
      <c r="E1245" t="s">
        <v>23</v>
      </c>
      <c r="F1245" t="s">
        <v>22</v>
      </c>
      <c r="G1245">
        <v>0</v>
      </c>
      <c r="H1245">
        <v>266.10000000000002</v>
      </c>
      <c r="I1245">
        <v>120</v>
      </c>
      <c r="J1245">
        <v>45.24</v>
      </c>
      <c r="K1245">
        <v>182</v>
      </c>
      <c r="L1245">
        <v>92</v>
      </c>
      <c r="M1245">
        <v>15.47</v>
      </c>
      <c r="N1245">
        <v>206.5</v>
      </c>
      <c r="O1245">
        <v>103</v>
      </c>
      <c r="P1245">
        <v>9.2899999999999991</v>
      </c>
      <c r="Q1245">
        <v>10.3</v>
      </c>
      <c r="R1245">
        <v>4</v>
      </c>
      <c r="S1245">
        <v>2.78</v>
      </c>
      <c r="T1245">
        <v>1</v>
      </c>
      <c r="U1245" t="s">
        <v>22</v>
      </c>
      <c r="V1245" t="e">
        <f>IF(#REF! = "yes", 1, 0)</f>
        <v>#REF!</v>
      </c>
      <c r="W1245" t="e">
        <f>IF(#REF! &lt;= 1, "0-1 Calls", IF(#REF! &lt;= 3, "2-3 Calls", IF(#REF! &lt;=5, "4-5 Calls", "6+ Calls")))</f>
        <v>#REF!</v>
      </c>
      <c r="X1245" t="e">
        <f>IF(#REF! &lt;= 50, "0-50", IF(#REF! &lt;=100, "51-100", IF(#REF! &lt;= 150, "101-150", "151+")))</f>
        <v>#REF!</v>
      </c>
      <c r="Y1245" t="e">
        <f>IF(#REF! &lt;= 3, "Low Charges", "High Charges")</f>
        <v>#REF!</v>
      </c>
      <c r="Z1245" t="e">
        <f>IF(#REF!&lt;=80,"Low Calls",
IF(#REF!&lt;=120,"Medium Calls","High Calls"))</f>
        <v>#REF!</v>
      </c>
      <c r="AA1245" t="e">
        <f>IF(#REF!&lt;=15,"Low Charges",
IF(#REF!&lt;=20,"Medium Charges","High Charges"))</f>
        <v>#REF!</v>
      </c>
      <c r="AB1245" t="e">
        <f>IF(AND(#REF!&gt;180, #REF!&gt;200), "Heavy Doemstic User", IF(#REF!&gt;10, "Interntional User", IF(AND(#REF!&lt;180, #REF!&lt;200,#REF!&lt;200), "Light User", "Balanced User")))</f>
        <v>#REF!</v>
      </c>
      <c r="AC1245" t="e">
        <f>IF(#REF! = 0, "No Usage", IF(#REF! &lt;= 20, "Low Usage", IF(#REF! &lt;= 40, "Medium Usgae", "High Usage")))</f>
        <v>#REF!</v>
      </c>
      <c r="AD1245" t="e">
        <f>IF(#REF!&lt;=150,"Low Usage", IF(#REF!&lt;=200,"Medium Usage", IF(#REF!&lt;=250,"High Usage","Very High Usage")))</f>
        <v>#REF!</v>
      </c>
      <c r="AE1245" t="e">
        <f>IF(#REF!&lt;=5,"Low Calls", IF(#REF!&lt;=10, "Medium Calls", "High Calls"))</f>
        <v>#REF!</v>
      </c>
      <c r="AF1245" t="e">
        <f xml:space="preserve">
IF(#REF!&gt;=4,4,0)+
IF(#REF!="yes",3,0)+
IF(#REF!="High Charges",3,0)+
IF(#REF!&gt;250,4,0)+
IF(#REF!="no",1,0)+
IF(#REF!="Heavy Domestic User",2,0)</f>
        <v>#REF!</v>
      </c>
      <c r="AG1245" t="e">
        <f>IF(#REF!&gt;=10,"High Risk", IF(#REF!&gt;=5,"Medium Risk","Low Risk"))</f>
        <v>#REF!</v>
      </c>
      <c r="AH1245" t="e">
        <f>#REF! + #REF! + #REF! + #REF!</f>
        <v>#REF!</v>
      </c>
    </row>
    <row r="1246" spans="1:34" x14ac:dyDescent="0.35">
      <c r="A1246">
        <v>1245</v>
      </c>
      <c r="B1246" t="s">
        <v>73</v>
      </c>
      <c r="C1246">
        <v>140</v>
      </c>
      <c r="D1246" t="s">
        <v>25</v>
      </c>
      <c r="E1246" t="s">
        <v>22</v>
      </c>
      <c r="F1246" t="s">
        <v>22</v>
      </c>
      <c r="G1246">
        <v>0</v>
      </c>
      <c r="H1246">
        <v>112.8</v>
      </c>
      <c r="I1246">
        <v>89</v>
      </c>
      <c r="J1246">
        <v>19.18</v>
      </c>
      <c r="K1246">
        <v>156.69999999999999</v>
      </c>
      <c r="L1246">
        <v>65</v>
      </c>
      <c r="M1246">
        <v>13.32</v>
      </c>
      <c r="N1246">
        <v>249.6</v>
      </c>
      <c r="O1246">
        <v>85</v>
      </c>
      <c r="P1246">
        <v>11.23</v>
      </c>
      <c r="Q1246">
        <v>16.3</v>
      </c>
      <c r="R1246">
        <v>6</v>
      </c>
      <c r="S1246">
        <v>4.4000000000000004</v>
      </c>
      <c r="T1246">
        <v>0</v>
      </c>
      <c r="U1246" t="s">
        <v>22</v>
      </c>
      <c r="V1246" t="e">
        <f>IF(#REF! = "yes", 1, 0)</f>
        <v>#REF!</v>
      </c>
      <c r="W1246" t="e">
        <f>IF(#REF! &lt;= 1, "0-1 Calls", IF(#REF! &lt;= 3, "2-3 Calls", IF(#REF! &lt;=5, "4-5 Calls", "6+ Calls")))</f>
        <v>#REF!</v>
      </c>
      <c r="X1246" t="e">
        <f>IF(#REF! &lt;= 50, "0-50", IF(#REF! &lt;=100, "51-100", IF(#REF! &lt;= 150, "101-150", "151+")))</f>
        <v>#REF!</v>
      </c>
      <c r="Y1246" t="e">
        <f>IF(#REF! &lt;= 3, "Low Charges", "High Charges")</f>
        <v>#REF!</v>
      </c>
      <c r="Z1246" t="e">
        <f>IF(#REF!&lt;=80,"Low Calls",
IF(#REF!&lt;=120,"Medium Calls","High Calls"))</f>
        <v>#REF!</v>
      </c>
      <c r="AA1246" t="e">
        <f>IF(#REF!&lt;=15,"Low Charges",
IF(#REF!&lt;=20,"Medium Charges","High Charges"))</f>
        <v>#REF!</v>
      </c>
      <c r="AB1246" t="e">
        <f>IF(AND(#REF!&gt;180, #REF!&gt;200), "Heavy Doemstic User", IF(#REF!&gt;10, "Interntional User", IF(AND(#REF!&lt;180, #REF!&lt;200,#REF!&lt;200), "Light User", "Balanced User")))</f>
        <v>#REF!</v>
      </c>
      <c r="AC1246" t="e">
        <f>IF(#REF! = 0, "No Usage", IF(#REF! &lt;= 20, "Low Usage", IF(#REF! &lt;= 40, "Medium Usgae", "High Usage")))</f>
        <v>#REF!</v>
      </c>
      <c r="AD1246" t="e">
        <f>IF(#REF!&lt;=150,"Low Usage", IF(#REF!&lt;=200,"Medium Usage", IF(#REF!&lt;=250,"High Usage","Very High Usage")))</f>
        <v>#REF!</v>
      </c>
      <c r="AE1246" t="e">
        <f>IF(#REF!&lt;=5,"Low Calls", IF(#REF!&lt;=10, "Medium Calls", "High Calls"))</f>
        <v>#REF!</v>
      </c>
      <c r="AF1246" t="e">
        <f xml:space="preserve">
IF(#REF!&gt;=4,4,0)+
IF(#REF!="yes",3,0)+
IF(#REF!="High Charges",3,0)+
IF(#REF!&gt;250,4,0)+
IF(#REF!="no",1,0)+
IF(#REF!="Heavy Domestic User",2,0)</f>
        <v>#REF!</v>
      </c>
      <c r="AG1246" t="e">
        <f>IF(#REF!&gt;=10,"High Risk", IF(#REF!&gt;=5,"Medium Risk","Low Risk"))</f>
        <v>#REF!</v>
      </c>
      <c r="AH1246" t="e">
        <f>#REF! + #REF! + #REF! + #REF!</f>
        <v>#REF!</v>
      </c>
    </row>
    <row r="1247" spans="1:34" x14ac:dyDescent="0.35">
      <c r="A1247">
        <v>1246</v>
      </c>
      <c r="B1247" t="s">
        <v>42</v>
      </c>
      <c r="C1247">
        <v>70</v>
      </c>
      <c r="D1247" t="s">
        <v>21</v>
      </c>
      <c r="E1247" t="s">
        <v>22</v>
      </c>
      <c r="F1247" t="s">
        <v>22</v>
      </c>
      <c r="G1247">
        <v>0</v>
      </c>
      <c r="H1247">
        <v>104.7</v>
      </c>
      <c r="I1247">
        <v>112</v>
      </c>
      <c r="J1247">
        <v>17.8</v>
      </c>
      <c r="K1247">
        <v>82.2</v>
      </c>
      <c r="L1247">
        <v>104</v>
      </c>
      <c r="M1247">
        <v>6.99</v>
      </c>
      <c r="N1247">
        <v>169.4</v>
      </c>
      <c r="O1247">
        <v>110</v>
      </c>
      <c r="P1247">
        <v>7.62</v>
      </c>
      <c r="Q1247">
        <v>15.8</v>
      </c>
      <c r="R1247">
        <v>7</v>
      </c>
      <c r="S1247">
        <v>4.2699999999999996</v>
      </c>
      <c r="T1247">
        <v>3</v>
      </c>
      <c r="U1247" t="s">
        <v>22</v>
      </c>
      <c r="V1247" t="e">
        <f>IF(#REF! = "yes", 1, 0)</f>
        <v>#REF!</v>
      </c>
      <c r="W1247" t="e">
        <f>IF(#REF! &lt;= 1, "0-1 Calls", IF(#REF! &lt;= 3, "2-3 Calls", IF(#REF! &lt;=5, "4-5 Calls", "6+ Calls")))</f>
        <v>#REF!</v>
      </c>
      <c r="X1247" t="e">
        <f>IF(#REF! &lt;= 50, "0-50", IF(#REF! &lt;=100, "51-100", IF(#REF! &lt;= 150, "101-150", "151+")))</f>
        <v>#REF!</v>
      </c>
      <c r="Y1247" t="e">
        <f>IF(#REF! &lt;= 3, "Low Charges", "High Charges")</f>
        <v>#REF!</v>
      </c>
      <c r="Z1247" t="e">
        <f>IF(#REF!&lt;=80,"Low Calls",
IF(#REF!&lt;=120,"Medium Calls","High Calls"))</f>
        <v>#REF!</v>
      </c>
      <c r="AA1247" t="e">
        <f>IF(#REF!&lt;=15,"Low Charges",
IF(#REF!&lt;=20,"Medium Charges","High Charges"))</f>
        <v>#REF!</v>
      </c>
      <c r="AB1247" t="e">
        <f>IF(AND(#REF!&gt;180, #REF!&gt;200), "Heavy Doemstic User", IF(#REF!&gt;10, "Interntional User", IF(AND(#REF!&lt;180, #REF!&lt;200,#REF!&lt;200), "Light User", "Balanced User")))</f>
        <v>#REF!</v>
      </c>
      <c r="AC1247" t="e">
        <f>IF(#REF! = 0, "No Usage", IF(#REF! &lt;= 20, "Low Usage", IF(#REF! &lt;= 40, "Medium Usgae", "High Usage")))</f>
        <v>#REF!</v>
      </c>
      <c r="AD1247" t="e">
        <f>IF(#REF!&lt;=150,"Low Usage", IF(#REF!&lt;=200,"Medium Usage", IF(#REF!&lt;=250,"High Usage","Very High Usage")))</f>
        <v>#REF!</v>
      </c>
      <c r="AE1247" t="e">
        <f>IF(#REF!&lt;=5,"Low Calls", IF(#REF!&lt;=10, "Medium Calls", "High Calls"))</f>
        <v>#REF!</v>
      </c>
      <c r="AF1247" t="e">
        <f xml:space="preserve">
IF(#REF!&gt;=4,4,0)+
IF(#REF!="yes",3,0)+
IF(#REF!="High Charges",3,0)+
IF(#REF!&gt;250,4,0)+
IF(#REF!="no",1,0)+
IF(#REF!="Heavy Domestic User",2,0)</f>
        <v>#REF!</v>
      </c>
      <c r="AG1247" t="e">
        <f>IF(#REF!&gt;=10,"High Risk", IF(#REF!&gt;=5,"Medium Risk","Low Risk"))</f>
        <v>#REF!</v>
      </c>
      <c r="AH1247" t="e">
        <f>#REF! + #REF! + #REF! + #REF!</f>
        <v>#REF!</v>
      </c>
    </row>
    <row r="1248" spans="1:34" x14ac:dyDescent="0.35">
      <c r="A1248">
        <v>1247</v>
      </c>
      <c r="B1248" t="s">
        <v>46</v>
      </c>
      <c r="C1248">
        <v>121</v>
      </c>
      <c r="D1248" t="s">
        <v>28</v>
      </c>
      <c r="E1248" t="s">
        <v>22</v>
      </c>
      <c r="F1248" t="s">
        <v>23</v>
      </c>
      <c r="G1248">
        <v>35</v>
      </c>
      <c r="H1248">
        <v>193.8</v>
      </c>
      <c r="I1248">
        <v>62</v>
      </c>
      <c r="J1248">
        <v>32.950000000000003</v>
      </c>
      <c r="K1248">
        <v>197.6</v>
      </c>
      <c r="L1248">
        <v>97</v>
      </c>
      <c r="M1248">
        <v>16.8</v>
      </c>
      <c r="N1248">
        <v>218.8</v>
      </c>
      <c r="O1248">
        <v>95</v>
      </c>
      <c r="P1248">
        <v>9.85</v>
      </c>
      <c r="Q1248">
        <v>5.9</v>
      </c>
      <c r="R1248">
        <v>4</v>
      </c>
      <c r="S1248">
        <v>1.59</v>
      </c>
      <c r="T1248">
        <v>0</v>
      </c>
      <c r="U1248" t="s">
        <v>22</v>
      </c>
      <c r="V1248" t="e">
        <f>IF(#REF! = "yes", 1, 0)</f>
        <v>#REF!</v>
      </c>
      <c r="W1248" t="e">
        <f>IF(#REF! &lt;= 1, "0-1 Calls", IF(#REF! &lt;= 3, "2-3 Calls", IF(#REF! &lt;=5, "4-5 Calls", "6+ Calls")))</f>
        <v>#REF!</v>
      </c>
      <c r="X1248" t="e">
        <f>IF(#REF! &lt;= 50, "0-50", IF(#REF! &lt;=100, "51-100", IF(#REF! &lt;= 150, "101-150", "151+")))</f>
        <v>#REF!</v>
      </c>
      <c r="Y1248" t="e">
        <f>IF(#REF! &lt;= 3, "Low Charges", "High Charges")</f>
        <v>#REF!</v>
      </c>
      <c r="Z1248" t="e">
        <f>IF(#REF!&lt;=80,"Low Calls",
IF(#REF!&lt;=120,"Medium Calls","High Calls"))</f>
        <v>#REF!</v>
      </c>
      <c r="AA1248" t="e">
        <f>IF(#REF!&lt;=15,"Low Charges",
IF(#REF!&lt;=20,"Medium Charges","High Charges"))</f>
        <v>#REF!</v>
      </c>
      <c r="AB1248" t="e">
        <f>IF(AND(#REF!&gt;180, #REF!&gt;200), "Heavy Doemstic User", IF(#REF!&gt;10, "Interntional User", IF(AND(#REF!&lt;180, #REF!&lt;200,#REF!&lt;200), "Light User", "Balanced User")))</f>
        <v>#REF!</v>
      </c>
      <c r="AC1248" t="e">
        <f>IF(#REF! = 0, "No Usage", IF(#REF! &lt;= 20, "Low Usage", IF(#REF! &lt;= 40, "Medium Usgae", "High Usage")))</f>
        <v>#REF!</v>
      </c>
      <c r="AD1248" t="e">
        <f>IF(#REF!&lt;=150,"Low Usage", IF(#REF!&lt;=200,"Medium Usage", IF(#REF!&lt;=250,"High Usage","Very High Usage")))</f>
        <v>#REF!</v>
      </c>
      <c r="AE1248" t="e">
        <f>IF(#REF!&lt;=5,"Low Calls", IF(#REF!&lt;=10, "Medium Calls", "High Calls"))</f>
        <v>#REF!</v>
      </c>
      <c r="AF1248" t="e">
        <f xml:space="preserve">
IF(#REF!&gt;=4,4,0)+
IF(#REF!="yes",3,0)+
IF(#REF!="High Charges",3,0)+
IF(#REF!&gt;250,4,0)+
IF(#REF!="no",1,0)+
IF(#REF!="Heavy Domestic User",2,0)</f>
        <v>#REF!</v>
      </c>
      <c r="AG1248" t="e">
        <f>IF(#REF!&gt;=10,"High Risk", IF(#REF!&gt;=5,"Medium Risk","Low Risk"))</f>
        <v>#REF!</v>
      </c>
      <c r="AH1248" t="e">
        <f>#REF! + #REF! + #REF! + #REF!</f>
        <v>#REF!</v>
      </c>
    </row>
    <row r="1249" spans="1:34" x14ac:dyDescent="0.35">
      <c r="A1249">
        <v>1248</v>
      </c>
      <c r="B1249" t="s">
        <v>33</v>
      </c>
      <c r="C1249">
        <v>112</v>
      </c>
      <c r="D1249" t="s">
        <v>21</v>
      </c>
      <c r="E1249" t="s">
        <v>22</v>
      </c>
      <c r="F1249" t="s">
        <v>22</v>
      </c>
      <c r="G1249">
        <v>0</v>
      </c>
      <c r="H1249">
        <v>168.6</v>
      </c>
      <c r="I1249">
        <v>102</v>
      </c>
      <c r="J1249">
        <v>28.66</v>
      </c>
      <c r="K1249">
        <v>298</v>
      </c>
      <c r="L1249">
        <v>117</v>
      </c>
      <c r="M1249">
        <v>25.33</v>
      </c>
      <c r="N1249">
        <v>194.7</v>
      </c>
      <c r="O1249">
        <v>110</v>
      </c>
      <c r="P1249">
        <v>8.76</v>
      </c>
      <c r="Q1249">
        <v>9.8000000000000007</v>
      </c>
      <c r="R1249">
        <v>5</v>
      </c>
      <c r="S1249">
        <v>2.65</v>
      </c>
      <c r="T1249">
        <v>1</v>
      </c>
      <c r="U1249" t="s">
        <v>22</v>
      </c>
      <c r="V1249" t="e">
        <f>IF(#REF! = "yes", 1, 0)</f>
        <v>#REF!</v>
      </c>
      <c r="W1249" t="e">
        <f>IF(#REF! &lt;= 1, "0-1 Calls", IF(#REF! &lt;= 3, "2-3 Calls", IF(#REF! &lt;=5, "4-5 Calls", "6+ Calls")))</f>
        <v>#REF!</v>
      </c>
      <c r="X1249" t="e">
        <f>IF(#REF! &lt;= 50, "0-50", IF(#REF! &lt;=100, "51-100", IF(#REF! &lt;= 150, "101-150", "151+")))</f>
        <v>#REF!</v>
      </c>
      <c r="Y1249" t="e">
        <f>IF(#REF! &lt;= 3, "Low Charges", "High Charges")</f>
        <v>#REF!</v>
      </c>
      <c r="Z1249" t="e">
        <f>IF(#REF!&lt;=80,"Low Calls",
IF(#REF!&lt;=120,"Medium Calls","High Calls"))</f>
        <v>#REF!</v>
      </c>
      <c r="AA1249" t="e">
        <f>IF(#REF!&lt;=15,"Low Charges",
IF(#REF!&lt;=20,"Medium Charges","High Charges"))</f>
        <v>#REF!</v>
      </c>
      <c r="AB1249" t="e">
        <f>IF(AND(#REF!&gt;180, #REF!&gt;200), "Heavy Doemstic User", IF(#REF!&gt;10, "Interntional User", IF(AND(#REF!&lt;180, #REF!&lt;200,#REF!&lt;200), "Light User", "Balanced User")))</f>
        <v>#REF!</v>
      </c>
      <c r="AC1249" t="e">
        <f>IF(#REF! = 0, "No Usage", IF(#REF! &lt;= 20, "Low Usage", IF(#REF! &lt;= 40, "Medium Usgae", "High Usage")))</f>
        <v>#REF!</v>
      </c>
      <c r="AD1249" t="e">
        <f>IF(#REF!&lt;=150,"Low Usage", IF(#REF!&lt;=200,"Medium Usage", IF(#REF!&lt;=250,"High Usage","Very High Usage")))</f>
        <v>#REF!</v>
      </c>
      <c r="AE1249" t="e">
        <f>IF(#REF!&lt;=5,"Low Calls", IF(#REF!&lt;=10, "Medium Calls", "High Calls"))</f>
        <v>#REF!</v>
      </c>
      <c r="AF1249" t="e">
        <f xml:space="preserve">
IF(#REF!&gt;=4,4,0)+
IF(#REF!="yes",3,0)+
IF(#REF!="High Charges",3,0)+
IF(#REF!&gt;250,4,0)+
IF(#REF!="no",1,0)+
IF(#REF!="Heavy Domestic User",2,0)</f>
        <v>#REF!</v>
      </c>
      <c r="AG1249" t="e">
        <f>IF(#REF!&gt;=10,"High Risk", IF(#REF!&gt;=5,"Medium Risk","Low Risk"))</f>
        <v>#REF!</v>
      </c>
      <c r="AH1249" t="e">
        <f>#REF! + #REF! + #REF! + #REF!</f>
        <v>#REF!</v>
      </c>
    </row>
    <row r="1250" spans="1:34" x14ac:dyDescent="0.35">
      <c r="A1250">
        <v>1249</v>
      </c>
      <c r="B1250" t="s">
        <v>45</v>
      </c>
      <c r="C1250">
        <v>118</v>
      </c>
      <c r="D1250" t="s">
        <v>21</v>
      </c>
      <c r="E1250" t="s">
        <v>22</v>
      </c>
      <c r="F1250" t="s">
        <v>22</v>
      </c>
      <c r="G1250">
        <v>0</v>
      </c>
      <c r="H1250">
        <v>253.2</v>
      </c>
      <c r="I1250">
        <v>122</v>
      </c>
      <c r="J1250">
        <v>43.04</v>
      </c>
      <c r="K1250">
        <v>201</v>
      </c>
      <c r="L1250">
        <v>78</v>
      </c>
      <c r="M1250">
        <v>17.09</v>
      </c>
      <c r="N1250">
        <v>195.3</v>
      </c>
      <c r="O1250">
        <v>108</v>
      </c>
      <c r="P1250">
        <v>8.7899999999999991</v>
      </c>
      <c r="Q1250">
        <v>9.6999999999999993</v>
      </c>
      <c r="R1250">
        <v>7</v>
      </c>
      <c r="S1250">
        <v>2.62</v>
      </c>
      <c r="T1250">
        <v>2</v>
      </c>
      <c r="U1250" t="s">
        <v>22</v>
      </c>
      <c r="V1250" t="e">
        <f>IF(#REF! = "yes", 1, 0)</f>
        <v>#REF!</v>
      </c>
      <c r="W1250" t="e">
        <f>IF(#REF! &lt;= 1, "0-1 Calls", IF(#REF! &lt;= 3, "2-3 Calls", IF(#REF! &lt;=5, "4-5 Calls", "6+ Calls")))</f>
        <v>#REF!</v>
      </c>
      <c r="X1250" t="e">
        <f>IF(#REF! &lt;= 50, "0-50", IF(#REF! &lt;=100, "51-100", IF(#REF! &lt;= 150, "101-150", "151+")))</f>
        <v>#REF!</v>
      </c>
      <c r="Y1250" t="e">
        <f>IF(#REF! &lt;= 3, "Low Charges", "High Charges")</f>
        <v>#REF!</v>
      </c>
      <c r="Z1250" t="e">
        <f>IF(#REF!&lt;=80,"Low Calls",
IF(#REF!&lt;=120,"Medium Calls","High Calls"))</f>
        <v>#REF!</v>
      </c>
      <c r="AA1250" t="e">
        <f>IF(#REF!&lt;=15,"Low Charges",
IF(#REF!&lt;=20,"Medium Charges","High Charges"))</f>
        <v>#REF!</v>
      </c>
      <c r="AB1250" t="e">
        <f>IF(AND(#REF!&gt;180, #REF!&gt;200), "Heavy Doemstic User", IF(#REF!&gt;10, "Interntional User", IF(AND(#REF!&lt;180, #REF!&lt;200,#REF!&lt;200), "Light User", "Balanced User")))</f>
        <v>#REF!</v>
      </c>
      <c r="AC1250" t="e">
        <f>IF(#REF! = 0, "No Usage", IF(#REF! &lt;= 20, "Low Usage", IF(#REF! &lt;= 40, "Medium Usgae", "High Usage")))</f>
        <v>#REF!</v>
      </c>
      <c r="AD1250" t="e">
        <f>IF(#REF!&lt;=150,"Low Usage", IF(#REF!&lt;=200,"Medium Usage", IF(#REF!&lt;=250,"High Usage","Very High Usage")))</f>
        <v>#REF!</v>
      </c>
      <c r="AE1250" t="e">
        <f>IF(#REF!&lt;=5,"Low Calls", IF(#REF!&lt;=10, "Medium Calls", "High Calls"))</f>
        <v>#REF!</v>
      </c>
      <c r="AF1250" t="e">
        <f xml:space="preserve">
IF(#REF!&gt;=4,4,0)+
IF(#REF!="yes",3,0)+
IF(#REF!="High Charges",3,0)+
IF(#REF!&gt;250,4,0)+
IF(#REF!="no",1,0)+
IF(#REF!="Heavy Domestic User",2,0)</f>
        <v>#REF!</v>
      </c>
      <c r="AG1250" t="e">
        <f>IF(#REF!&gt;=10,"High Risk", IF(#REF!&gt;=5,"Medium Risk","Low Risk"))</f>
        <v>#REF!</v>
      </c>
      <c r="AH1250" t="e">
        <f>#REF! + #REF! + #REF! + #REF!</f>
        <v>#REF!</v>
      </c>
    </row>
    <row r="1251" spans="1:34" x14ac:dyDescent="0.35">
      <c r="A1251">
        <v>1250</v>
      </c>
      <c r="B1251" t="s">
        <v>24</v>
      </c>
      <c r="C1251">
        <v>66</v>
      </c>
      <c r="D1251" t="s">
        <v>21</v>
      </c>
      <c r="E1251" t="s">
        <v>22</v>
      </c>
      <c r="F1251" t="s">
        <v>23</v>
      </c>
      <c r="G1251">
        <v>16</v>
      </c>
      <c r="H1251">
        <v>174.7</v>
      </c>
      <c r="I1251">
        <v>92</v>
      </c>
      <c r="J1251">
        <v>29.7</v>
      </c>
      <c r="K1251">
        <v>232.1</v>
      </c>
      <c r="L1251">
        <v>105</v>
      </c>
      <c r="M1251">
        <v>19.73</v>
      </c>
      <c r="N1251">
        <v>305.39999999999998</v>
      </c>
      <c r="O1251">
        <v>98</v>
      </c>
      <c r="P1251">
        <v>13.74</v>
      </c>
      <c r="Q1251">
        <v>8.9</v>
      </c>
      <c r="R1251">
        <v>2</v>
      </c>
      <c r="S1251">
        <v>2.4</v>
      </c>
      <c r="T1251">
        <v>1</v>
      </c>
      <c r="U1251" t="s">
        <v>22</v>
      </c>
      <c r="V1251" t="e">
        <f>IF(#REF! = "yes", 1, 0)</f>
        <v>#REF!</v>
      </c>
      <c r="W1251" t="e">
        <f>IF(#REF! &lt;= 1, "0-1 Calls", IF(#REF! &lt;= 3, "2-3 Calls", IF(#REF! &lt;=5, "4-5 Calls", "6+ Calls")))</f>
        <v>#REF!</v>
      </c>
      <c r="X1251" t="e">
        <f>IF(#REF! &lt;= 50, "0-50", IF(#REF! &lt;=100, "51-100", IF(#REF! &lt;= 150, "101-150", "151+")))</f>
        <v>#REF!</v>
      </c>
      <c r="Y1251" t="e">
        <f>IF(#REF! &lt;= 3, "Low Charges", "High Charges")</f>
        <v>#REF!</v>
      </c>
      <c r="Z1251" t="e">
        <f>IF(#REF!&lt;=80,"Low Calls",
IF(#REF!&lt;=120,"Medium Calls","High Calls"))</f>
        <v>#REF!</v>
      </c>
      <c r="AA1251" t="e">
        <f>IF(#REF!&lt;=15,"Low Charges",
IF(#REF!&lt;=20,"Medium Charges","High Charges"))</f>
        <v>#REF!</v>
      </c>
      <c r="AB1251" t="e">
        <f>IF(AND(#REF!&gt;180, #REF!&gt;200), "Heavy Doemstic User", IF(#REF!&gt;10, "Interntional User", IF(AND(#REF!&lt;180, #REF!&lt;200,#REF!&lt;200), "Light User", "Balanced User")))</f>
        <v>#REF!</v>
      </c>
      <c r="AC1251" t="e">
        <f>IF(#REF! = 0, "No Usage", IF(#REF! &lt;= 20, "Low Usage", IF(#REF! &lt;= 40, "Medium Usgae", "High Usage")))</f>
        <v>#REF!</v>
      </c>
      <c r="AD1251" t="e">
        <f>IF(#REF!&lt;=150,"Low Usage", IF(#REF!&lt;=200,"Medium Usage", IF(#REF!&lt;=250,"High Usage","Very High Usage")))</f>
        <v>#REF!</v>
      </c>
      <c r="AE1251" t="e">
        <f>IF(#REF!&lt;=5,"Low Calls", IF(#REF!&lt;=10, "Medium Calls", "High Calls"))</f>
        <v>#REF!</v>
      </c>
      <c r="AF1251" t="e">
        <f xml:space="preserve">
IF(#REF!&gt;=4,4,0)+
IF(#REF!="yes",3,0)+
IF(#REF!="High Charges",3,0)+
IF(#REF!&gt;250,4,0)+
IF(#REF!="no",1,0)+
IF(#REF!="Heavy Domestic User",2,0)</f>
        <v>#REF!</v>
      </c>
      <c r="AG1251" t="e">
        <f>IF(#REF!&gt;=10,"High Risk", IF(#REF!&gt;=5,"Medium Risk","Low Risk"))</f>
        <v>#REF!</v>
      </c>
      <c r="AH1251" t="e">
        <f>#REF! + #REF! + #REF! + #REF!</f>
        <v>#REF!</v>
      </c>
    </row>
    <row r="1252" spans="1:34" x14ac:dyDescent="0.35">
      <c r="A1252">
        <v>1251</v>
      </c>
      <c r="B1252" t="s">
        <v>49</v>
      </c>
      <c r="C1252">
        <v>129</v>
      </c>
      <c r="D1252" t="s">
        <v>21</v>
      </c>
      <c r="E1252" t="s">
        <v>22</v>
      </c>
      <c r="F1252" t="s">
        <v>23</v>
      </c>
      <c r="G1252">
        <v>34</v>
      </c>
      <c r="H1252">
        <v>204.5</v>
      </c>
      <c r="I1252">
        <v>79</v>
      </c>
      <c r="J1252">
        <v>34.770000000000003</v>
      </c>
      <c r="K1252">
        <v>132.80000000000001</v>
      </c>
      <c r="L1252">
        <v>113</v>
      </c>
      <c r="M1252">
        <v>11.29</v>
      </c>
      <c r="N1252">
        <v>190.1</v>
      </c>
      <c r="O1252">
        <v>117</v>
      </c>
      <c r="P1252">
        <v>8.5500000000000007</v>
      </c>
      <c r="Q1252">
        <v>14.8</v>
      </c>
      <c r="R1252">
        <v>9</v>
      </c>
      <c r="S1252">
        <v>4</v>
      </c>
      <c r="T1252">
        <v>2</v>
      </c>
      <c r="U1252" t="s">
        <v>22</v>
      </c>
      <c r="V1252" t="e">
        <f>IF(#REF! = "yes", 1, 0)</f>
        <v>#REF!</v>
      </c>
      <c r="W1252" t="e">
        <f>IF(#REF! &lt;= 1, "0-1 Calls", IF(#REF! &lt;= 3, "2-3 Calls", IF(#REF! &lt;=5, "4-5 Calls", "6+ Calls")))</f>
        <v>#REF!</v>
      </c>
      <c r="X1252" t="e">
        <f>IF(#REF! &lt;= 50, "0-50", IF(#REF! &lt;=100, "51-100", IF(#REF! &lt;= 150, "101-150", "151+")))</f>
        <v>#REF!</v>
      </c>
      <c r="Y1252" t="e">
        <f>IF(#REF! &lt;= 3, "Low Charges", "High Charges")</f>
        <v>#REF!</v>
      </c>
      <c r="Z1252" t="e">
        <f>IF(#REF!&lt;=80,"Low Calls",
IF(#REF!&lt;=120,"Medium Calls","High Calls"))</f>
        <v>#REF!</v>
      </c>
      <c r="AA1252" t="e">
        <f>IF(#REF!&lt;=15,"Low Charges",
IF(#REF!&lt;=20,"Medium Charges","High Charges"))</f>
        <v>#REF!</v>
      </c>
      <c r="AB1252" t="e">
        <f>IF(AND(#REF!&gt;180, #REF!&gt;200), "Heavy Doemstic User", IF(#REF!&gt;10, "Interntional User", IF(AND(#REF!&lt;180, #REF!&lt;200,#REF!&lt;200), "Light User", "Balanced User")))</f>
        <v>#REF!</v>
      </c>
      <c r="AC1252" t="e">
        <f>IF(#REF! = 0, "No Usage", IF(#REF! &lt;= 20, "Low Usage", IF(#REF! &lt;= 40, "Medium Usgae", "High Usage")))</f>
        <v>#REF!</v>
      </c>
      <c r="AD1252" t="e">
        <f>IF(#REF!&lt;=150,"Low Usage", IF(#REF!&lt;=200,"Medium Usage", IF(#REF!&lt;=250,"High Usage","Very High Usage")))</f>
        <v>#REF!</v>
      </c>
      <c r="AE1252" t="e">
        <f>IF(#REF!&lt;=5,"Low Calls", IF(#REF!&lt;=10, "Medium Calls", "High Calls"))</f>
        <v>#REF!</v>
      </c>
      <c r="AF1252" t="e">
        <f xml:space="preserve">
IF(#REF!&gt;=4,4,0)+
IF(#REF!="yes",3,0)+
IF(#REF!="High Charges",3,0)+
IF(#REF!&gt;250,4,0)+
IF(#REF!="no",1,0)+
IF(#REF!="Heavy Domestic User",2,0)</f>
        <v>#REF!</v>
      </c>
      <c r="AG1252" t="e">
        <f>IF(#REF!&gt;=10,"High Risk", IF(#REF!&gt;=5,"Medium Risk","Low Risk"))</f>
        <v>#REF!</v>
      </c>
      <c r="AH1252" t="e">
        <f>#REF! + #REF! + #REF! + #REF!</f>
        <v>#REF!</v>
      </c>
    </row>
    <row r="1253" spans="1:34" x14ac:dyDescent="0.35">
      <c r="A1253">
        <v>1252</v>
      </c>
      <c r="B1253" t="s">
        <v>52</v>
      </c>
      <c r="C1253">
        <v>6</v>
      </c>
      <c r="D1253" t="s">
        <v>25</v>
      </c>
      <c r="E1253" t="s">
        <v>22</v>
      </c>
      <c r="F1253" t="s">
        <v>22</v>
      </c>
      <c r="G1253">
        <v>0</v>
      </c>
      <c r="H1253">
        <v>226.5</v>
      </c>
      <c r="I1253">
        <v>93</v>
      </c>
      <c r="J1253">
        <v>38.51</v>
      </c>
      <c r="K1253">
        <v>152.1</v>
      </c>
      <c r="L1253">
        <v>122</v>
      </c>
      <c r="M1253">
        <v>12.93</v>
      </c>
      <c r="N1253">
        <v>164.4</v>
      </c>
      <c r="O1253">
        <v>98</v>
      </c>
      <c r="P1253">
        <v>7.4</v>
      </c>
      <c r="Q1253">
        <v>9.4</v>
      </c>
      <c r="R1253">
        <v>4</v>
      </c>
      <c r="S1253">
        <v>2.54</v>
      </c>
      <c r="T1253">
        <v>3</v>
      </c>
      <c r="U1253" t="s">
        <v>22</v>
      </c>
      <c r="V1253" t="e">
        <f>IF(#REF! = "yes", 1, 0)</f>
        <v>#REF!</v>
      </c>
      <c r="W1253" t="e">
        <f>IF(#REF! &lt;= 1, "0-1 Calls", IF(#REF! &lt;= 3, "2-3 Calls", IF(#REF! &lt;=5, "4-5 Calls", "6+ Calls")))</f>
        <v>#REF!</v>
      </c>
      <c r="X1253" t="e">
        <f>IF(#REF! &lt;= 50, "0-50", IF(#REF! &lt;=100, "51-100", IF(#REF! &lt;= 150, "101-150", "151+")))</f>
        <v>#REF!</v>
      </c>
      <c r="Y1253" t="e">
        <f>IF(#REF! &lt;= 3, "Low Charges", "High Charges")</f>
        <v>#REF!</v>
      </c>
      <c r="Z1253" t="e">
        <f>IF(#REF!&lt;=80,"Low Calls",
IF(#REF!&lt;=120,"Medium Calls","High Calls"))</f>
        <v>#REF!</v>
      </c>
      <c r="AA1253" t="e">
        <f>IF(#REF!&lt;=15,"Low Charges",
IF(#REF!&lt;=20,"Medium Charges","High Charges"))</f>
        <v>#REF!</v>
      </c>
      <c r="AB1253" t="e">
        <f>IF(AND(#REF!&gt;180, #REF!&gt;200), "Heavy Doemstic User", IF(#REF!&gt;10, "Interntional User", IF(AND(#REF!&lt;180, #REF!&lt;200,#REF!&lt;200), "Light User", "Balanced User")))</f>
        <v>#REF!</v>
      </c>
      <c r="AC1253" t="e">
        <f>IF(#REF! = 0, "No Usage", IF(#REF! &lt;= 20, "Low Usage", IF(#REF! &lt;= 40, "Medium Usgae", "High Usage")))</f>
        <v>#REF!</v>
      </c>
      <c r="AD1253" t="e">
        <f>IF(#REF!&lt;=150,"Low Usage", IF(#REF!&lt;=200,"Medium Usage", IF(#REF!&lt;=250,"High Usage","Very High Usage")))</f>
        <v>#REF!</v>
      </c>
      <c r="AE1253" t="e">
        <f>IF(#REF!&lt;=5,"Low Calls", IF(#REF!&lt;=10, "Medium Calls", "High Calls"))</f>
        <v>#REF!</v>
      </c>
      <c r="AF1253" t="e">
        <f xml:space="preserve">
IF(#REF!&gt;=4,4,0)+
IF(#REF!="yes",3,0)+
IF(#REF!="High Charges",3,0)+
IF(#REF!&gt;250,4,0)+
IF(#REF!="no",1,0)+
IF(#REF!="Heavy Domestic User",2,0)</f>
        <v>#REF!</v>
      </c>
      <c r="AG1253" t="e">
        <f>IF(#REF!&gt;=10,"High Risk", IF(#REF!&gt;=5,"Medium Risk","Low Risk"))</f>
        <v>#REF!</v>
      </c>
      <c r="AH1253" t="e">
        <f>#REF! + #REF! + #REF! + #REF!</f>
        <v>#REF!</v>
      </c>
    </row>
    <row r="1254" spans="1:34" x14ac:dyDescent="0.35">
      <c r="A1254">
        <v>1253</v>
      </c>
      <c r="B1254" t="s">
        <v>62</v>
      </c>
      <c r="C1254">
        <v>107</v>
      </c>
      <c r="D1254" t="s">
        <v>28</v>
      </c>
      <c r="E1254" t="s">
        <v>23</v>
      </c>
      <c r="F1254" t="s">
        <v>22</v>
      </c>
      <c r="G1254">
        <v>0</v>
      </c>
      <c r="H1254">
        <v>234.1</v>
      </c>
      <c r="I1254">
        <v>91</v>
      </c>
      <c r="J1254">
        <v>39.799999999999997</v>
      </c>
      <c r="K1254">
        <v>163.1</v>
      </c>
      <c r="L1254">
        <v>105</v>
      </c>
      <c r="M1254">
        <v>13.86</v>
      </c>
      <c r="N1254">
        <v>282.5</v>
      </c>
      <c r="O1254">
        <v>100</v>
      </c>
      <c r="P1254">
        <v>12.71</v>
      </c>
      <c r="Q1254">
        <v>10</v>
      </c>
      <c r="R1254">
        <v>3</v>
      </c>
      <c r="S1254">
        <v>2.7</v>
      </c>
      <c r="T1254">
        <v>1</v>
      </c>
      <c r="U1254" t="s">
        <v>22</v>
      </c>
      <c r="V1254" t="e">
        <f>IF(#REF! = "yes", 1, 0)</f>
        <v>#REF!</v>
      </c>
      <c r="W1254" t="e">
        <f>IF(#REF! &lt;= 1, "0-1 Calls", IF(#REF! &lt;= 3, "2-3 Calls", IF(#REF! &lt;=5, "4-5 Calls", "6+ Calls")))</f>
        <v>#REF!</v>
      </c>
      <c r="X1254" t="e">
        <f>IF(#REF! &lt;= 50, "0-50", IF(#REF! &lt;=100, "51-100", IF(#REF! &lt;= 150, "101-150", "151+")))</f>
        <v>#REF!</v>
      </c>
      <c r="Y1254" t="e">
        <f>IF(#REF! &lt;= 3, "Low Charges", "High Charges")</f>
        <v>#REF!</v>
      </c>
      <c r="Z1254" t="e">
        <f>IF(#REF!&lt;=80,"Low Calls",
IF(#REF!&lt;=120,"Medium Calls","High Calls"))</f>
        <v>#REF!</v>
      </c>
      <c r="AA1254" t="e">
        <f>IF(#REF!&lt;=15,"Low Charges",
IF(#REF!&lt;=20,"Medium Charges","High Charges"))</f>
        <v>#REF!</v>
      </c>
      <c r="AB1254" t="e">
        <f>IF(AND(#REF!&gt;180, #REF!&gt;200), "Heavy Doemstic User", IF(#REF!&gt;10, "Interntional User", IF(AND(#REF!&lt;180, #REF!&lt;200,#REF!&lt;200), "Light User", "Balanced User")))</f>
        <v>#REF!</v>
      </c>
      <c r="AC1254" t="e">
        <f>IF(#REF! = 0, "No Usage", IF(#REF! &lt;= 20, "Low Usage", IF(#REF! &lt;= 40, "Medium Usgae", "High Usage")))</f>
        <v>#REF!</v>
      </c>
      <c r="AD1254" t="e">
        <f>IF(#REF!&lt;=150,"Low Usage", IF(#REF!&lt;=200,"Medium Usage", IF(#REF!&lt;=250,"High Usage","Very High Usage")))</f>
        <v>#REF!</v>
      </c>
      <c r="AE1254" t="e">
        <f>IF(#REF!&lt;=5,"Low Calls", IF(#REF!&lt;=10, "Medium Calls", "High Calls"))</f>
        <v>#REF!</v>
      </c>
      <c r="AF1254" t="e">
        <f xml:space="preserve">
IF(#REF!&gt;=4,4,0)+
IF(#REF!="yes",3,0)+
IF(#REF!="High Charges",3,0)+
IF(#REF!&gt;250,4,0)+
IF(#REF!="no",1,0)+
IF(#REF!="Heavy Domestic User",2,0)</f>
        <v>#REF!</v>
      </c>
      <c r="AG1254" t="e">
        <f>IF(#REF!&gt;=10,"High Risk", IF(#REF!&gt;=5,"Medium Risk","Low Risk"))</f>
        <v>#REF!</v>
      </c>
      <c r="AH1254" t="e">
        <f>#REF! + #REF! + #REF! + #REF!</f>
        <v>#REF!</v>
      </c>
    </row>
    <row r="1255" spans="1:34" x14ac:dyDescent="0.35">
      <c r="A1255">
        <v>1254</v>
      </c>
      <c r="B1255" t="s">
        <v>50</v>
      </c>
      <c r="C1255">
        <v>107</v>
      </c>
      <c r="D1255" t="s">
        <v>21</v>
      </c>
      <c r="E1255" t="s">
        <v>23</v>
      </c>
      <c r="F1255" t="s">
        <v>22</v>
      </c>
      <c r="G1255">
        <v>0</v>
      </c>
      <c r="H1255">
        <v>133.30000000000001</v>
      </c>
      <c r="I1255">
        <v>106</v>
      </c>
      <c r="J1255">
        <v>22.66</v>
      </c>
      <c r="K1255">
        <v>182.9</v>
      </c>
      <c r="L1255">
        <v>89</v>
      </c>
      <c r="M1255">
        <v>15.55</v>
      </c>
      <c r="N1255">
        <v>241.1</v>
      </c>
      <c r="O1255">
        <v>123</v>
      </c>
      <c r="P1255">
        <v>10.85</v>
      </c>
      <c r="Q1255">
        <v>12.9</v>
      </c>
      <c r="R1255">
        <v>2</v>
      </c>
      <c r="S1255">
        <v>3.48</v>
      </c>
      <c r="T1255">
        <v>3</v>
      </c>
      <c r="U1255" t="s">
        <v>23</v>
      </c>
      <c r="V1255" t="e">
        <f>IF(#REF! = "yes", 1, 0)</f>
        <v>#REF!</v>
      </c>
      <c r="W1255" t="e">
        <f>IF(#REF! &lt;= 1, "0-1 Calls", IF(#REF! &lt;= 3, "2-3 Calls", IF(#REF! &lt;=5, "4-5 Calls", "6+ Calls")))</f>
        <v>#REF!</v>
      </c>
      <c r="X1255" t="e">
        <f>IF(#REF! &lt;= 50, "0-50", IF(#REF! &lt;=100, "51-100", IF(#REF! &lt;= 150, "101-150", "151+")))</f>
        <v>#REF!</v>
      </c>
      <c r="Y1255" t="e">
        <f>IF(#REF! &lt;= 3, "Low Charges", "High Charges")</f>
        <v>#REF!</v>
      </c>
      <c r="Z1255" t="e">
        <f>IF(#REF!&lt;=80,"Low Calls",
IF(#REF!&lt;=120,"Medium Calls","High Calls"))</f>
        <v>#REF!</v>
      </c>
      <c r="AA1255" t="e">
        <f>IF(#REF!&lt;=15,"Low Charges",
IF(#REF!&lt;=20,"Medium Charges","High Charges"))</f>
        <v>#REF!</v>
      </c>
      <c r="AB1255" t="e">
        <f>IF(AND(#REF!&gt;180, #REF!&gt;200), "Heavy Doemstic User", IF(#REF!&gt;10, "Interntional User", IF(AND(#REF!&lt;180, #REF!&lt;200,#REF!&lt;200), "Light User", "Balanced User")))</f>
        <v>#REF!</v>
      </c>
      <c r="AC1255" t="e">
        <f>IF(#REF! = 0, "No Usage", IF(#REF! &lt;= 20, "Low Usage", IF(#REF! &lt;= 40, "Medium Usgae", "High Usage")))</f>
        <v>#REF!</v>
      </c>
      <c r="AD1255" t="e">
        <f>IF(#REF!&lt;=150,"Low Usage", IF(#REF!&lt;=200,"Medium Usage", IF(#REF!&lt;=250,"High Usage","Very High Usage")))</f>
        <v>#REF!</v>
      </c>
      <c r="AE1255" t="e">
        <f>IF(#REF!&lt;=5,"Low Calls", IF(#REF!&lt;=10, "Medium Calls", "High Calls"))</f>
        <v>#REF!</v>
      </c>
      <c r="AF1255" t="e">
        <f xml:space="preserve">
IF(#REF!&gt;=4,4,0)+
IF(#REF!="yes",3,0)+
IF(#REF!="High Charges",3,0)+
IF(#REF!&gt;250,4,0)+
IF(#REF!="no",1,0)+
IF(#REF!="Heavy Domestic User",2,0)</f>
        <v>#REF!</v>
      </c>
      <c r="AG1255" t="e">
        <f>IF(#REF!&gt;=10,"High Risk", IF(#REF!&gt;=5,"Medium Risk","Low Risk"))</f>
        <v>#REF!</v>
      </c>
      <c r="AH1255" t="e">
        <f>#REF! + #REF! + #REF! + #REF!</f>
        <v>#REF!</v>
      </c>
    </row>
    <row r="1256" spans="1:34" x14ac:dyDescent="0.35">
      <c r="A1256">
        <v>1255</v>
      </c>
      <c r="B1256" t="s">
        <v>35</v>
      </c>
      <c r="C1256">
        <v>138</v>
      </c>
      <c r="D1256" t="s">
        <v>21</v>
      </c>
      <c r="E1256" t="s">
        <v>22</v>
      </c>
      <c r="F1256" t="s">
        <v>22</v>
      </c>
      <c r="G1256">
        <v>0</v>
      </c>
      <c r="H1256">
        <v>133.9</v>
      </c>
      <c r="I1256">
        <v>87</v>
      </c>
      <c r="J1256">
        <v>22.76</v>
      </c>
      <c r="K1256">
        <v>166.4</v>
      </c>
      <c r="L1256">
        <v>110</v>
      </c>
      <c r="M1256">
        <v>14.14</v>
      </c>
      <c r="N1256">
        <v>193.5</v>
      </c>
      <c r="O1256">
        <v>139</v>
      </c>
      <c r="P1256">
        <v>8.7100000000000009</v>
      </c>
      <c r="Q1256">
        <v>15.4</v>
      </c>
      <c r="R1256">
        <v>3</v>
      </c>
      <c r="S1256">
        <v>4.16</v>
      </c>
      <c r="T1256">
        <v>1</v>
      </c>
      <c r="U1256" t="s">
        <v>22</v>
      </c>
      <c r="V1256" t="e">
        <f>IF(#REF! = "yes", 1, 0)</f>
        <v>#REF!</v>
      </c>
      <c r="W1256" t="e">
        <f>IF(#REF! &lt;= 1, "0-1 Calls", IF(#REF! &lt;= 3, "2-3 Calls", IF(#REF! &lt;=5, "4-5 Calls", "6+ Calls")))</f>
        <v>#REF!</v>
      </c>
      <c r="X1256" t="e">
        <f>IF(#REF! &lt;= 50, "0-50", IF(#REF! &lt;=100, "51-100", IF(#REF! &lt;= 150, "101-150", "151+")))</f>
        <v>#REF!</v>
      </c>
      <c r="Y1256" t="e">
        <f>IF(#REF! &lt;= 3, "Low Charges", "High Charges")</f>
        <v>#REF!</v>
      </c>
      <c r="Z1256" t="e">
        <f>IF(#REF!&lt;=80,"Low Calls",
IF(#REF!&lt;=120,"Medium Calls","High Calls"))</f>
        <v>#REF!</v>
      </c>
      <c r="AA1256" t="e">
        <f>IF(#REF!&lt;=15,"Low Charges",
IF(#REF!&lt;=20,"Medium Charges","High Charges"))</f>
        <v>#REF!</v>
      </c>
      <c r="AB1256" t="e">
        <f>IF(AND(#REF!&gt;180, #REF!&gt;200), "Heavy Doemstic User", IF(#REF!&gt;10, "Interntional User", IF(AND(#REF!&lt;180, #REF!&lt;200,#REF!&lt;200), "Light User", "Balanced User")))</f>
        <v>#REF!</v>
      </c>
      <c r="AC1256" t="e">
        <f>IF(#REF! = 0, "No Usage", IF(#REF! &lt;= 20, "Low Usage", IF(#REF! &lt;= 40, "Medium Usgae", "High Usage")))</f>
        <v>#REF!</v>
      </c>
      <c r="AD1256" t="e">
        <f>IF(#REF!&lt;=150,"Low Usage", IF(#REF!&lt;=200,"Medium Usage", IF(#REF!&lt;=250,"High Usage","Very High Usage")))</f>
        <v>#REF!</v>
      </c>
      <c r="AE1256" t="e">
        <f>IF(#REF!&lt;=5,"Low Calls", IF(#REF!&lt;=10, "Medium Calls", "High Calls"))</f>
        <v>#REF!</v>
      </c>
      <c r="AF1256" t="e">
        <f xml:space="preserve">
IF(#REF!&gt;=4,4,0)+
IF(#REF!="yes",3,0)+
IF(#REF!="High Charges",3,0)+
IF(#REF!&gt;250,4,0)+
IF(#REF!="no",1,0)+
IF(#REF!="Heavy Domestic User",2,0)</f>
        <v>#REF!</v>
      </c>
      <c r="AG1256" t="e">
        <f>IF(#REF!&gt;=10,"High Risk", IF(#REF!&gt;=5,"Medium Risk","Low Risk"))</f>
        <v>#REF!</v>
      </c>
      <c r="AH1256" t="e">
        <f>#REF! + #REF! + #REF! + #REF!</f>
        <v>#REF!</v>
      </c>
    </row>
    <row r="1257" spans="1:34" x14ac:dyDescent="0.35">
      <c r="A1257">
        <v>1256</v>
      </c>
      <c r="B1257" t="s">
        <v>74</v>
      </c>
      <c r="C1257">
        <v>103</v>
      </c>
      <c r="D1257" t="s">
        <v>28</v>
      </c>
      <c r="E1257" t="s">
        <v>22</v>
      </c>
      <c r="F1257" t="s">
        <v>22</v>
      </c>
      <c r="G1257">
        <v>0</v>
      </c>
      <c r="H1257">
        <v>160.19999999999999</v>
      </c>
      <c r="I1257">
        <v>104</v>
      </c>
      <c r="J1257">
        <v>27.23</v>
      </c>
      <c r="K1257">
        <v>138.9</v>
      </c>
      <c r="L1257">
        <v>70</v>
      </c>
      <c r="M1257">
        <v>11.81</v>
      </c>
      <c r="N1257">
        <v>312.5</v>
      </c>
      <c r="O1257">
        <v>97</v>
      </c>
      <c r="P1257">
        <v>14.06</v>
      </c>
      <c r="Q1257">
        <v>9.6999999999999993</v>
      </c>
      <c r="R1257">
        <v>2</v>
      </c>
      <c r="S1257">
        <v>2.62</v>
      </c>
      <c r="T1257">
        <v>0</v>
      </c>
      <c r="U1257" t="s">
        <v>22</v>
      </c>
      <c r="V1257" t="e">
        <f>IF(#REF! = "yes", 1, 0)</f>
        <v>#REF!</v>
      </c>
      <c r="W1257" t="e">
        <f>IF(#REF! &lt;= 1, "0-1 Calls", IF(#REF! &lt;= 3, "2-3 Calls", IF(#REF! &lt;=5, "4-5 Calls", "6+ Calls")))</f>
        <v>#REF!</v>
      </c>
      <c r="X1257" t="e">
        <f>IF(#REF! &lt;= 50, "0-50", IF(#REF! &lt;=100, "51-100", IF(#REF! &lt;= 150, "101-150", "151+")))</f>
        <v>#REF!</v>
      </c>
      <c r="Y1257" t="e">
        <f>IF(#REF! &lt;= 3, "Low Charges", "High Charges")</f>
        <v>#REF!</v>
      </c>
      <c r="Z1257" t="e">
        <f>IF(#REF!&lt;=80,"Low Calls",
IF(#REF!&lt;=120,"Medium Calls","High Calls"))</f>
        <v>#REF!</v>
      </c>
      <c r="AA1257" t="e">
        <f>IF(#REF!&lt;=15,"Low Charges",
IF(#REF!&lt;=20,"Medium Charges","High Charges"))</f>
        <v>#REF!</v>
      </c>
      <c r="AB1257" t="e">
        <f>IF(AND(#REF!&gt;180, #REF!&gt;200), "Heavy Doemstic User", IF(#REF!&gt;10, "Interntional User", IF(AND(#REF!&lt;180, #REF!&lt;200,#REF!&lt;200), "Light User", "Balanced User")))</f>
        <v>#REF!</v>
      </c>
      <c r="AC1257" t="e">
        <f>IF(#REF! = 0, "No Usage", IF(#REF! &lt;= 20, "Low Usage", IF(#REF! &lt;= 40, "Medium Usgae", "High Usage")))</f>
        <v>#REF!</v>
      </c>
      <c r="AD1257" t="e">
        <f>IF(#REF!&lt;=150,"Low Usage", IF(#REF!&lt;=200,"Medium Usage", IF(#REF!&lt;=250,"High Usage","Very High Usage")))</f>
        <v>#REF!</v>
      </c>
      <c r="AE1257" t="e">
        <f>IF(#REF!&lt;=5,"Low Calls", IF(#REF!&lt;=10, "Medium Calls", "High Calls"))</f>
        <v>#REF!</v>
      </c>
      <c r="AF1257" t="e">
        <f xml:space="preserve">
IF(#REF!&gt;=4,4,0)+
IF(#REF!="yes",3,0)+
IF(#REF!="High Charges",3,0)+
IF(#REF!&gt;250,4,0)+
IF(#REF!="no",1,0)+
IF(#REF!="Heavy Domestic User",2,0)</f>
        <v>#REF!</v>
      </c>
      <c r="AG1257" t="e">
        <f>IF(#REF!&gt;=10,"High Risk", IF(#REF!&gt;=5,"Medium Risk","Low Risk"))</f>
        <v>#REF!</v>
      </c>
      <c r="AH1257" t="e">
        <f>#REF! + #REF! + #REF! + #REF!</f>
        <v>#REF!</v>
      </c>
    </row>
    <row r="1258" spans="1:34" x14ac:dyDescent="0.35">
      <c r="A1258">
        <v>1257</v>
      </c>
      <c r="B1258" t="s">
        <v>55</v>
      </c>
      <c r="C1258">
        <v>116</v>
      </c>
      <c r="D1258" t="s">
        <v>21</v>
      </c>
      <c r="E1258" t="s">
        <v>22</v>
      </c>
      <c r="F1258" t="s">
        <v>23</v>
      </c>
      <c r="G1258">
        <v>44</v>
      </c>
      <c r="H1258">
        <v>230.6</v>
      </c>
      <c r="I1258">
        <v>94</v>
      </c>
      <c r="J1258">
        <v>39.200000000000003</v>
      </c>
      <c r="K1258">
        <v>224.1</v>
      </c>
      <c r="L1258">
        <v>103</v>
      </c>
      <c r="M1258">
        <v>19.05</v>
      </c>
      <c r="N1258">
        <v>244</v>
      </c>
      <c r="O1258">
        <v>76</v>
      </c>
      <c r="P1258">
        <v>10.98</v>
      </c>
      <c r="Q1258">
        <v>11.1</v>
      </c>
      <c r="R1258">
        <v>2</v>
      </c>
      <c r="S1258">
        <v>3</v>
      </c>
      <c r="T1258">
        <v>0</v>
      </c>
      <c r="U1258" t="s">
        <v>22</v>
      </c>
      <c r="V1258" t="e">
        <f>IF(#REF! = "yes", 1, 0)</f>
        <v>#REF!</v>
      </c>
      <c r="W1258" t="e">
        <f>IF(#REF! &lt;= 1, "0-1 Calls", IF(#REF! &lt;= 3, "2-3 Calls", IF(#REF! &lt;=5, "4-5 Calls", "6+ Calls")))</f>
        <v>#REF!</v>
      </c>
      <c r="X1258" t="e">
        <f>IF(#REF! &lt;= 50, "0-50", IF(#REF! &lt;=100, "51-100", IF(#REF! &lt;= 150, "101-150", "151+")))</f>
        <v>#REF!</v>
      </c>
      <c r="Y1258" t="e">
        <f>IF(#REF! &lt;= 3, "Low Charges", "High Charges")</f>
        <v>#REF!</v>
      </c>
      <c r="Z1258" t="e">
        <f>IF(#REF!&lt;=80,"Low Calls",
IF(#REF!&lt;=120,"Medium Calls","High Calls"))</f>
        <v>#REF!</v>
      </c>
      <c r="AA1258" t="e">
        <f>IF(#REF!&lt;=15,"Low Charges",
IF(#REF!&lt;=20,"Medium Charges","High Charges"))</f>
        <v>#REF!</v>
      </c>
      <c r="AB1258" t="e">
        <f>IF(AND(#REF!&gt;180, #REF!&gt;200), "Heavy Doemstic User", IF(#REF!&gt;10, "Interntional User", IF(AND(#REF!&lt;180, #REF!&lt;200,#REF!&lt;200), "Light User", "Balanced User")))</f>
        <v>#REF!</v>
      </c>
      <c r="AC1258" t="e">
        <f>IF(#REF! = 0, "No Usage", IF(#REF! &lt;= 20, "Low Usage", IF(#REF! &lt;= 40, "Medium Usgae", "High Usage")))</f>
        <v>#REF!</v>
      </c>
      <c r="AD1258" t="e">
        <f>IF(#REF!&lt;=150,"Low Usage", IF(#REF!&lt;=200,"Medium Usage", IF(#REF!&lt;=250,"High Usage","Very High Usage")))</f>
        <v>#REF!</v>
      </c>
      <c r="AE1258" t="e">
        <f>IF(#REF!&lt;=5,"Low Calls", IF(#REF!&lt;=10, "Medium Calls", "High Calls"))</f>
        <v>#REF!</v>
      </c>
      <c r="AF1258" t="e">
        <f xml:space="preserve">
IF(#REF!&gt;=4,4,0)+
IF(#REF!="yes",3,0)+
IF(#REF!="High Charges",3,0)+
IF(#REF!&gt;250,4,0)+
IF(#REF!="no",1,0)+
IF(#REF!="Heavy Domestic User",2,0)</f>
        <v>#REF!</v>
      </c>
      <c r="AG1258" t="e">
        <f>IF(#REF!&gt;=10,"High Risk", IF(#REF!&gt;=5,"Medium Risk","Low Risk"))</f>
        <v>#REF!</v>
      </c>
      <c r="AH1258" t="e">
        <f>#REF! + #REF! + #REF! + #REF!</f>
        <v>#REF!</v>
      </c>
    </row>
    <row r="1259" spans="1:34" x14ac:dyDescent="0.35">
      <c r="A1259">
        <v>1258</v>
      </c>
      <c r="B1259" t="s">
        <v>62</v>
      </c>
      <c r="C1259">
        <v>161</v>
      </c>
      <c r="D1259" t="s">
        <v>21</v>
      </c>
      <c r="E1259" t="s">
        <v>22</v>
      </c>
      <c r="F1259" t="s">
        <v>22</v>
      </c>
      <c r="G1259">
        <v>0</v>
      </c>
      <c r="H1259">
        <v>72.8</v>
      </c>
      <c r="I1259">
        <v>120</v>
      </c>
      <c r="J1259">
        <v>12.38</v>
      </c>
      <c r="K1259">
        <v>267.10000000000002</v>
      </c>
      <c r="L1259">
        <v>120</v>
      </c>
      <c r="M1259">
        <v>22.7</v>
      </c>
      <c r="N1259">
        <v>222.5</v>
      </c>
      <c r="O1259">
        <v>91</v>
      </c>
      <c r="P1259">
        <v>10.01</v>
      </c>
      <c r="Q1259">
        <v>11.8</v>
      </c>
      <c r="R1259">
        <v>2</v>
      </c>
      <c r="S1259">
        <v>3.19</v>
      </c>
      <c r="T1259">
        <v>2</v>
      </c>
      <c r="U1259" t="s">
        <v>22</v>
      </c>
      <c r="V1259" t="e">
        <f>IF(#REF! = "yes", 1, 0)</f>
        <v>#REF!</v>
      </c>
      <c r="W1259" t="e">
        <f>IF(#REF! &lt;= 1, "0-1 Calls", IF(#REF! &lt;= 3, "2-3 Calls", IF(#REF! &lt;=5, "4-5 Calls", "6+ Calls")))</f>
        <v>#REF!</v>
      </c>
      <c r="X1259" t="e">
        <f>IF(#REF! &lt;= 50, "0-50", IF(#REF! &lt;=100, "51-100", IF(#REF! &lt;= 150, "101-150", "151+")))</f>
        <v>#REF!</v>
      </c>
      <c r="Y1259" t="e">
        <f>IF(#REF! &lt;= 3, "Low Charges", "High Charges")</f>
        <v>#REF!</v>
      </c>
      <c r="Z1259" t="e">
        <f>IF(#REF!&lt;=80,"Low Calls",
IF(#REF!&lt;=120,"Medium Calls","High Calls"))</f>
        <v>#REF!</v>
      </c>
      <c r="AA1259" t="e">
        <f>IF(#REF!&lt;=15,"Low Charges",
IF(#REF!&lt;=20,"Medium Charges","High Charges"))</f>
        <v>#REF!</v>
      </c>
      <c r="AB1259" t="e">
        <f>IF(AND(#REF!&gt;180, #REF!&gt;200), "Heavy Doemstic User", IF(#REF!&gt;10, "Interntional User", IF(AND(#REF!&lt;180, #REF!&lt;200,#REF!&lt;200), "Light User", "Balanced User")))</f>
        <v>#REF!</v>
      </c>
      <c r="AC1259" t="e">
        <f>IF(#REF! = 0, "No Usage", IF(#REF! &lt;= 20, "Low Usage", IF(#REF! &lt;= 40, "Medium Usgae", "High Usage")))</f>
        <v>#REF!</v>
      </c>
      <c r="AD1259" t="e">
        <f>IF(#REF!&lt;=150,"Low Usage", IF(#REF!&lt;=200,"Medium Usage", IF(#REF!&lt;=250,"High Usage","Very High Usage")))</f>
        <v>#REF!</v>
      </c>
      <c r="AE1259" t="e">
        <f>IF(#REF!&lt;=5,"Low Calls", IF(#REF!&lt;=10, "Medium Calls", "High Calls"))</f>
        <v>#REF!</v>
      </c>
      <c r="AF1259" t="e">
        <f xml:space="preserve">
IF(#REF!&gt;=4,4,0)+
IF(#REF!="yes",3,0)+
IF(#REF!="High Charges",3,0)+
IF(#REF!&gt;250,4,0)+
IF(#REF!="no",1,0)+
IF(#REF!="Heavy Domestic User",2,0)</f>
        <v>#REF!</v>
      </c>
      <c r="AG1259" t="e">
        <f>IF(#REF!&gt;=10,"High Risk", IF(#REF!&gt;=5,"Medium Risk","Low Risk"))</f>
        <v>#REF!</v>
      </c>
      <c r="AH1259" t="e">
        <f>#REF! + #REF! + #REF! + #REF!</f>
        <v>#REF!</v>
      </c>
    </row>
    <row r="1260" spans="1:34" x14ac:dyDescent="0.35">
      <c r="A1260">
        <v>1259</v>
      </c>
      <c r="B1260" t="s">
        <v>71</v>
      </c>
      <c r="C1260">
        <v>1</v>
      </c>
      <c r="D1260" t="s">
        <v>21</v>
      </c>
      <c r="E1260" t="s">
        <v>22</v>
      </c>
      <c r="F1260" t="s">
        <v>22</v>
      </c>
      <c r="G1260">
        <v>0</v>
      </c>
      <c r="H1260">
        <v>196.1</v>
      </c>
      <c r="I1260">
        <v>107</v>
      </c>
      <c r="J1260">
        <v>33.340000000000003</v>
      </c>
      <c r="K1260">
        <v>296.5</v>
      </c>
      <c r="L1260">
        <v>82</v>
      </c>
      <c r="M1260">
        <v>25.2</v>
      </c>
      <c r="N1260">
        <v>211.5</v>
      </c>
      <c r="O1260">
        <v>91</v>
      </c>
      <c r="P1260">
        <v>9.52</v>
      </c>
      <c r="Q1260">
        <v>7</v>
      </c>
      <c r="R1260">
        <v>2</v>
      </c>
      <c r="S1260">
        <v>1.89</v>
      </c>
      <c r="T1260">
        <v>1</v>
      </c>
      <c r="U1260" t="s">
        <v>22</v>
      </c>
      <c r="V1260" t="e">
        <f>IF(#REF! = "yes", 1, 0)</f>
        <v>#REF!</v>
      </c>
      <c r="W1260" t="e">
        <f>IF(#REF! &lt;= 1, "0-1 Calls", IF(#REF! &lt;= 3, "2-3 Calls", IF(#REF! &lt;=5, "4-5 Calls", "6+ Calls")))</f>
        <v>#REF!</v>
      </c>
      <c r="X1260" t="e">
        <f>IF(#REF! &lt;= 50, "0-50", IF(#REF! &lt;=100, "51-100", IF(#REF! &lt;= 150, "101-150", "151+")))</f>
        <v>#REF!</v>
      </c>
      <c r="Y1260" t="e">
        <f>IF(#REF! &lt;= 3, "Low Charges", "High Charges")</f>
        <v>#REF!</v>
      </c>
      <c r="Z1260" t="e">
        <f>IF(#REF!&lt;=80,"Low Calls",
IF(#REF!&lt;=120,"Medium Calls","High Calls"))</f>
        <v>#REF!</v>
      </c>
      <c r="AA1260" t="e">
        <f>IF(#REF!&lt;=15,"Low Charges",
IF(#REF!&lt;=20,"Medium Charges","High Charges"))</f>
        <v>#REF!</v>
      </c>
      <c r="AB1260" t="e">
        <f>IF(AND(#REF!&gt;180, #REF!&gt;200), "Heavy Doemstic User", IF(#REF!&gt;10, "Interntional User", IF(AND(#REF!&lt;180, #REF!&lt;200,#REF!&lt;200), "Light User", "Balanced User")))</f>
        <v>#REF!</v>
      </c>
      <c r="AC1260" t="e">
        <f>IF(#REF! = 0, "No Usage", IF(#REF! &lt;= 20, "Low Usage", IF(#REF! &lt;= 40, "Medium Usgae", "High Usage")))</f>
        <v>#REF!</v>
      </c>
      <c r="AD1260" t="e">
        <f>IF(#REF!&lt;=150,"Low Usage", IF(#REF!&lt;=200,"Medium Usage", IF(#REF!&lt;=250,"High Usage","Very High Usage")))</f>
        <v>#REF!</v>
      </c>
      <c r="AE1260" t="e">
        <f>IF(#REF!&lt;=5,"Low Calls", IF(#REF!&lt;=10, "Medium Calls", "High Calls"))</f>
        <v>#REF!</v>
      </c>
      <c r="AF1260" t="e">
        <f xml:space="preserve">
IF(#REF!&gt;=4,4,0)+
IF(#REF!="yes",3,0)+
IF(#REF!="High Charges",3,0)+
IF(#REF!&gt;250,4,0)+
IF(#REF!="no",1,0)+
IF(#REF!="Heavy Domestic User",2,0)</f>
        <v>#REF!</v>
      </c>
      <c r="AG1260" t="e">
        <f>IF(#REF!&gt;=10,"High Risk", IF(#REF!&gt;=5,"Medium Risk","Low Risk"))</f>
        <v>#REF!</v>
      </c>
      <c r="AH1260" t="e">
        <f>#REF! + #REF! + #REF! + #REF!</f>
        <v>#REF!</v>
      </c>
    </row>
    <row r="1261" spans="1:34" x14ac:dyDescent="0.35">
      <c r="A1261">
        <v>1260</v>
      </c>
      <c r="B1261" t="s">
        <v>54</v>
      </c>
      <c r="C1261">
        <v>89</v>
      </c>
      <c r="D1261" t="s">
        <v>25</v>
      </c>
      <c r="E1261" t="s">
        <v>22</v>
      </c>
      <c r="F1261" t="s">
        <v>22</v>
      </c>
      <c r="G1261">
        <v>0</v>
      </c>
      <c r="H1261">
        <v>197.1</v>
      </c>
      <c r="I1261">
        <v>110</v>
      </c>
      <c r="J1261">
        <v>33.51</v>
      </c>
      <c r="K1261">
        <v>165.9</v>
      </c>
      <c r="L1261">
        <v>115</v>
      </c>
      <c r="M1261">
        <v>14.1</v>
      </c>
      <c r="N1261">
        <v>227.3</v>
      </c>
      <c r="O1261">
        <v>106</v>
      </c>
      <c r="P1261">
        <v>10.23</v>
      </c>
      <c r="Q1261">
        <v>12.8</v>
      </c>
      <c r="R1261">
        <v>3</v>
      </c>
      <c r="S1261">
        <v>3.46</v>
      </c>
      <c r="T1261">
        <v>1</v>
      </c>
      <c r="U1261" t="s">
        <v>22</v>
      </c>
      <c r="V1261" t="e">
        <f>IF(#REF! = "yes", 1, 0)</f>
        <v>#REF!</v>
      </c>
      <c r="W1261" t="e">
        <f>IF(#REF! &lt;= 1, "0-1 Calls", IF(#REF! &lt;= 3, "2-3 Calls", IF(#REF! &lt;=5, "4-5 Calls", "6+ Calls")))</f>
        <v>#REF!</v>
      </c>
      <c r="X1261" t="e">
        <f>IF(#REF! &lt;= 50, "0-50", IF(#REF! &lt;=100, "51-100", IF(#REF! &lt;= 150, "101-150", "151+")))</f>
        <v>#REF!</v>
      </c>
      <c r="Y1261" t="e">
        <f>IF(#REF! &lt;= 3, "Low Charges", "High Charges")</f>
        <v>#REF!</v>
      </c>
      <c r="Z1261" t="e">
        <f>IF(#REF!&lt;=80,"Low Calls",
IF(#REF!&lt;=120,"Medium Calls","High Calls"))</f>
        <v>#REF!</v>
      </c>
      <c r="AA1261" t="e">
        <f>IF(#REF!&lt;=15,"Low Charges",
IF(#REF!&lt;=20,"Medium Charges","High Charges"))</f>
        <v>#REF!</v>
      </c>
      <c r="AB1261" t="e">
        <f>IF(AND(#REF!&gt;180, #REF!&gt;200), "Heavy Doemstic User", IF(#REF!&gt;10, "Interntional User", IF(AND(#REF!&lt;180, #REF!&lt;200,#REF!&lt;200), "Light User", "Balanced User")))</f>
        <v>#REF!</v>
      </c>
      <c r="AC1261" t="e">
        <f>IF(#REF! = 0, "No Usage", IF(#REF! &lt;= 20, "Low Usage", IF(#REF! &lt;= 40, "Medium Usgae", "High Usage")))</f>
        <v>#REF!</v>
      </c>
      <c r="AD1261" t="e">
        <f>IF(#REF!&lt;=150,"Low Usage", IF(#REF!&lt;=200,"Medium Usage", IF(#REF!&lt;=250,"High Usage","Very High Usage")))</f>
        <v>#REF!</v>
      </c>
      <c r="AE1261" t="e">
        <f>IF(#REF!&lt;=5,"Low Calls", IF(#REF!&lt;=10, "Medium Calls", "High Calls"))</f>
        <v>#REF!</v>
      </c>
      <c r="AF1261" t="e">
        <f xml:space="preserve">
IF(#REF!&gt;=4,4,0)+
IF(#REF!="yes",3,0)+
IF(#REF!="High Charges",3,0)+
IF(#REF!&gt;250,4,0)+
IF(#REF!="no",1,0)+
IF(#REF!="Heavy Domestic User",2,0)</f>
        <v>#REF!</v>
      </c>
      <c r="AG1261" t="e">
        <f>IF(#REF!&gt;=10,"High Risk", IF(#REF!&gt;=5,"Medium Risk","Low Risk"))</f>
        <v>#REF!</v>
      </c>
      <c r="AH1261" t="e">
        <f>#REF! + #REF! + #REF! + #REF!</f>
        <v>#REF!</v>
      </c>
    </row>
    <row r="1262" spans="1:34" x14ac:dyDescent="0.35">
      <c r="A1262">
        <v>1261</v>
      </c>
      <c r="B1262" t="s">
        <v>36</v>
      </c>
      <c r="C1262">
        <v>64</v>
      </c>
      <c r="D1262" t="s">
        <v>25</v>
      </c>
      <c r="E1262" t="s">
        <v>22</v>
      </c>
      <c r="F1262" t="s">
        <v>22</v>
      </c>
      <c r="G1262">
        <v>0</v>
      </c>
      <c r="H1262">
        <v>219.6</v>
      </c>
      <c r="I1262">
        <v>126</v>
      </c>
      <c r="J1262">
        <v>37.33</v>
      </c>
      <c r="K1262">
        <v>303.3</v>
      </c>
      <c r="L1262">
        <v>100</v>
      </c>
      <c r="M1262">
        <v>25.78</v>
      </c>
      <c r="N1262">
        <v>154.5</v>
      </c>
      <c r="O1262">
        <v>65</v>
      </c>
      <c r="P1262">
        <v>6.95</v>
      </c>
      <c r="Q1262">
        <v>9.6999999999999993</v>
      </c>
      <c r="R1262">
        <v>5</v>
      </c>
      <c r="S1262">
        <v>2.62</v>
      </c>
      <c r="T1262">
        <v>1</v>
      </c>
      <c r="U1262" t="s">
        <v>22</v>
      </c>
      <c r="V1262" t="e">
        <f>IF(#REF! = "yes", 1, 0)</f>
        <v>#REF!</v>
      </c>
      <c r="W1262" t="e">
        <f>IF(#REF! &lt;= 1, "0-1 Calls", IF(#REF! &lt;= 3, "2-3 Calls", IF(#REF! &lt;=5, "4-5 Calls", "6+ Calls")))</f>
        <v>#REF!</v>
      </c>
      <c r="X1262" t="e">
        <f>IF(#REF! &lt;= 50, "0-50", IF(#REF! &lt;=100, "51-100", IF(#REF! &lt;= 150, "101-150", "151+")))</f>
        <v>#REF!</v>
      </c>
      <c r="Y1262" t="e">
        <f>IF(#REF! &lt;= 3, "Low Charges", "High Charges")</f>
        <v>#REF!</v>
      </c>
      <c r="Z1262" t="e">
        <f>IF(#REF!&lt;=80,"Low Calls",
IF(#REF!&lt;=120,"Medium Calls","High Calls"))</f>
        <v>#REF!</v>
      </c>
      <c r="AA1262" t="e">
        <f>IF(#REF!&lt;=15,"Low Charges",
IF(#REF!&lt;=20,"Medium Charges","High Charges"))</f>
        <v>#REF!</v>
      </c>
      <c r="AB1262" t="e">
        <f>IF(AND(#REF!&gt;180, #REF!&gt;200), "Heavy Doemstic User", IF(#REF!&gt;10, "Interntional User", IF(AND(#REF!&lt;180, #REF!&lt;200,#REF!&lt;200), "Light User", "Balanced User")))</f>
        <v>#REF!</v>
      </c>
      <c r="AC1262" t="e">
        <f>IF(#REF! = 0, "No Usage", IF(#REF! &lt;= 20, "Low Usage", IF(#REF! &lt;= 40, "Medium Usgae", "High Usage")))</f>
        <v>#REF!</v>
      </c>
      <c r="AD1262" t="e">
        <f>IF(#REF!&lt;=150,"Low Usage", IF(#REF!&lt;=200,"Medium Usage", IF(#REF!&lt;=250,"High Usage","Very High Usage")))</f>
        <v>#REF!</v>
      </c>
      <c r="AE1262" t="e">
        <f>IF(#REF!&lt;=5,"Low Calls", IF(#REF!&lt;=10, "Medium Calls", "High Calls"))</f>
        <v>#REF!</v>
      </c>
      <c r="AF1262" t="e">
        <f xml:space="preserve">
IF(#REF!&gt;=4,4,0)+
IF(#REF!="yes",3,0)+
IF(#REF!="High Charges",3,0)+
IF(#REF!&gt;250,4,0)+
IF(#REF!="no",1,0)+
IF(#REF!="Heavy Domestic User",2,0)</f>
        <v>#REF!</v>
      </c>
      <c r="AG1262" t="e">
        <f>IF(#REF!&gt;=10,"High Risk", IF(#REF!&gt;=5,"Medium Risk","Low Risk"))</f>
        <v>#REF!</v>
      </c>
      <c r="AH1262" t="e">
        <f>#REF! + #REF! + #REF! + #REF!</f>
        <v>#REF!</v>
      </c>
    </row>
    <row r="1263" spans="1:34" x14ac:dyDescent="0.35">
      <c r="A1263">
        <v>1262</v>
      </c>
      <c r="B1263" t="s">
        <v>34</v>
      </c>
      <c r="C1263">
        <v>129</v>
      </c>
      <c r="D1263" t="s">
        <v>21</v>
      </c>
      <c r="E1263" t="s">
        <v>22</v>
      </c>
      <c r="F1263" t="s">
        <v>22</v>
      </c>
      <c r="G1263">
        <v>0</v>
      </c>
      <c r="H1263">
        <v>216</v>
      </c>
      <c r="I1263">
        <v>85</v>
      </c>
      <c r="J1263">
        <v>36.72</v>
      </c>
      <c r="K1263">
        <v>186.9</v>
      </c>
      <c r="L1263">
        <v>114</v>
      </c>
      <c r="M1263">
        <v>15.89</v>
      </c>
      <c r="N1263">
        <v>210.7</v>
      </c>
      <c r="O1263">
        <v>109</v>
      </c>
      <c r="P1263">
        <v>9.48</v>
      </c>
      <c r="Q1263">
        <v>4.9000000000000004</v>
      </c>
      <c r="R1263">
        <v>10</v>
      </c>
      <c r="S1263">
        <v>1.32</v>
      </c>
      <c r="T1263">
        <v>2</v>
      </c>
      <c r="U1263" t="s">
        <v>22</v>
      </c>
      <c r="V1263" t="e">
        <f>IF(#REF! = "yes", 1, 0)</f>
        <v>#REF!</v>
      </c>
      <c r="W1263" t="e">
        <f>IF(#REF! &lt;= 1, "0-1 Calls", IF(#REF! &lt;= 3, "2-3 Calls", IF(#REF! &lt;=5, "4-5 Calls", "6+ Calls")))</f>
        <v>#REF!</v>
      </c>
      <c r="X1263" t="e">
        <f>IF(#REF! &lt;= 50, "0-50", IF(#REF! &lt;=100, "51-100", IF(#REF! &lt;= 150, "101-150", "151+")))</f>
        <v>#REF!</v>
      </c>
      <c r="Y1263" t="e">
        <f>IF(#REF! &lt;= 3, "Low Charges", "High Charges")</f>
        <v>#REF!</v>
      </c>
      <c r="Z1263" t="e">
        <f>IF(#REF!&lt;=80,"Low Calls",
IF(#REF!&lt;=120,"Medium Calls","High Calls"))</f>
        <v>#REF!</v>
      </c>
      <c r="AA1263" t="e">
        <f>IF(#REF!&lt;=15,"Low Charges",
IF(#REF!&lt;=20,"Medium Charges","High Charges"))</f>
        <v>#REF!</v>
      </c>
      <c r="AB1263" t="e">
        <f>IF(AND(#REF!&gt;180, #REF!&gt;200), "Heavy Doemstic User", IF(#REF!&gt;10, "Interntional User", IF(AND(#REF!&lt;180, #REF!&lt;200,#REF!&lt;200), "Light User", "Balanced User")))</f>
        <v>#REF!</v>
      </c>
      <c r="AC1263" t="e">
        <f>IF(#REF! = 0, "No Usage", IF(#REF! &lt;= 20, "Low Usage", IF(#REF! &lt;= 40, "Medium Usgae", "High Usage")))</f>
        <v>#REF!</v>
      </c>
      <c r="AD1263" t="e">
        <f>IF(#REF!&lt;=150,"Low Usage", IF(#REF!&lt;=200,"Medium Usage", IF(#REF!&lt;=250,"High Usage","Very High Usage")))</f>
        <v>#REF!</v>
      </c>
      <c r="AE1263" t="e">
        <f>IF(#REF!&lt;=5,"Low Calls", IF(#REF!&lt;=10, "Medium Calls", "High Calls"))</f>
        <v>#REF!</v>
      </c>
      <c r="AF1263" t="e">
        <f xml:space="preserve">
IF(#REF!&gt;=4,4,0)+
IF(#REF!="yes",3,0)+
IF(#REF!="High Charges",3,0)+
IF(#REF!&gt;250,4,0)+
IF(#REF!="no",1,0)+
IF(#REF!="Heavy Domestic User",2,0)</f>
        <v>#REF!</v>
      </c>
      <c r="AG1263" t="e">
        <f>IF(#REF!&gt;=10,"High Risk", IF(#REF!&gt;=5,"Medium Risk","Low Risk"))</f>
        <v>#REF!</v>
      </c>
      <c r="AH1263" t="e">
        <f>#REF! + #REF! + #REF! + #REF!</f>
        <v>#REF!</v>
      </c>
    </row>
    <row r="1264" spans="1:34" x14ac:dyDescent="0.35">
      <c r="A1264">
        <v>1263</v>
      </c>
      <c r="B1264" t="s">
        <v>64</v>
      </c>
      <c r="C1264">
        <v>128</v>
      </c>
      <c r="D1264" t="s">
        <v>28</v>
      </c>
      <c r="E1264" t="s">
        <v>22</v>
      </c>
      <c r="F1264" t="s">
        <v>23</v>
      </c>
      <c r="G1264">
        <v>32</v>
      </c>
      <c r="H1264">
        <v>222.9</v>
      </c>
      <c r="I1264">
        <v>136</v>
      </c>
      <c r="J1264">
        <v>37.89</v>
      </c>
      <c r="K1264">
        <v>262</v>
      </c>
      <c r="L1264">
        <v>80</v>
      </c>
      <c r="M1264">
        <v>22.27</v>
      </c>
      <c r="N1264">
        <v>191.4</v>
      </c>
      <c r="O1264">
        <v>101</v>
      </c>
      <c r="P1264">
        <v>8.61</v>
      </c>
      <c r="Q1264">
        <v>10.8</v>
      </c>
      <c r="R1264">
        <v>4</v>
      </c>
      <c r="S1264">
        <v>2.92</v>
      </c>
      <c r="T1264">
        <v>0</v>
      </c>
      <c r="U1264" t="s">
        <v>22</v>
      </c>
      <c r="V1264" t="e">
        <f>IF(#REF! = "yes", 1, 0)</f>
        <v>#REF!</v>
      </c>
      <c r="W1264" t="e">
        <f>IF(#REF! &lt;= 1, "0-1 Calls", IF(#REF! &lt;= 3, "2-3 Calls", IF(#REF! &lt;=5, "4-5 Calls", "6+ Calls")))</f>
        <v>#REF!</v>
      </c>
      <c r="X1264" t="e">
        <f>IF(#REF! &lt;= 50, "0-50", IF(#REF! &lt;=100, "51-100", IF(#REF! &lt;= 150, "101-150", "151+")))</f>
        <v>#REF!</v>
      </c>
      <c r="Y1264" t="e">
        <f>IF(#REF! &lt;= 3, "Low Charges", "High Charges")</f>
        <v>#REF!</v>
      </c>
      <c r="Z1264" t="e">
        <f>IF(#REF!&lt;=80,"Low Calls",
IF(#REF!&lt;=120,"Medium Calls","High Calls"))</f>
        <v>#REF!</v>
      </c>
      <c r="AA1264" t="e">
        <f>IF(#REF!&lt;=15,"Low Charges",
IF(#REF!&lt;=20,"Medium Charges","High Charges"))</f>
        <v>#REF!</v>
      </c>
      <c r="AB1264" t="e">
        <f>IF(AND(#REF!&gt;180, #REF!&gt;200), "Heavy Doemstic User", IF(#REF!&gt;10, "Interntional User", IF(AND(#REF!&lt;180, #REF!&lt;200,#REF!&lt;200), "Light User", "Balanced User")))</f>
        <v>#REF!</v>
      </c>
      <c r="AC1264" t="e">
        <f>IF(#REF! = 0, "No Usage", IF(#REF! &lt;= 20, "Low Usage", IF(#REF! &lt;= 40, "Medium Usgae", "High Usage")))</f>
        <v>#REF!</v>
      </c>
      <c r="AD1264" t="e">
        <f>IF(#REF!&lt;=150,"Low Usage", IF(#REF!&lt;=200,"Medium Usage", IF(#REF!&lt;=250,"High Usage","Very High Usage")))</f>
        <v>#REF!</v>
      </c>
      <c r="AE1264" t="e">
        <f>IF(#REF!&lt;=5,"Low Calls", IF(#REF!&lt;=10, "Medium Calls", "High Calls"))</f>
        <v>#REF!</v>
      </c>
      <c r="AF1264" t="e">
        <f xml:space="preserve">
IF(#REF!&gt;=4,4,0)+
IF(#REF!="yes",3,0)+
IF(#REF!="High Charges",3,0)+
IF(#REF!&gt;250,4,0)+
IF(#REF!="no",1,0)+
IF(#REF!="Heavy Domestic User",2,0)</f>
        <v>#REF!</v>
      </c>
      <c r="AG1264" t="e">
        <f>IF(#REF!&gt;=10,"High Risk", IF(#REF!&gt;=5,"Medium Risk","Low Risk"))</f>
        <v>#REF!</v>
      </c>
      <c r="AH1264" t="e">
        <f>#REF! + #REF! + #REF! + #REF!</f>
        <v>#REF!</v>
      </c>
    </row>
    <row r="1265" spans="1:34" x14ac:dyDescent="0.35">
      <c r="A1265">
        <v>1264</v>
      </c>
      <c r="B1265" t="s">
        <v>30</v>
      </c>
      <c r="C1265">
        <v>81</v>
      </c>
      <c r="D1265" t="s">
        <v>21</v>
      </c>
      <c r="E1265" t="s">
        <v>22</v>
      </c>
      <c r="F1265" t="s">
        <v>23</v>
      </c>
      <c r="G1265">
        <v>36</v>
      </c>
      <c r="H1265">
        <v>115.9</v>
      </c>
      <c r="I1265">
        <v>120</v>
      </c>
      <c r="J1265">
        <v>19.7</v>
      </c>
      <c r="K1265">
        <v>236.6</v>
      </c>
      <c r="L1265">
        <v>95</v>
      </c>
      <c r="M1265">
        <v>20.11</v>
      </c>
      <c r="N1265">
        <v>255</v>
      </c>
      <c r="O1265">
        <v>90</v>
      </c>
      <c r="P1265">
        <v>11.48</v>
      </c>
      <c r="Q1265">
        <v>11.7</v>
      </c>
      <c r="R1265">
        <v>6</v>
      </c>
      <c r="S1265">
        <v>3.16</v>
      </c>
      <c r="T1265">
        <v>3</v>
      </c>
      <c r="U1265" t="s">
        <v>22</v>
      </c>
      <c r="V1265" t="e">
        <f>IF(#REF! = "yes", 1, 0)</f>
        <v>#REF!</v>
      </c>
      <c r="W1265" t="e">
        <f>IF(#REF! &lt;= 1, "0-1 Calls", IF(#REF! &lt;= 3, "2-3 Calls", IF(#REF! &lt;=5, "4-5 Calls", "6+ Calls")))</f>
        <v>#REF!</v>
      </c>
      <c r="X1265" t="e">
        <f>IF(#REF! &lt;= 50, "0-50", IF(#REF! &lt;=100, "51-100", IF(#REF! &lt;= 150, "101-150", "151+")))</f>
        <v>#REF!</v>
      </c>
      <c r="Y1265" t="e">
        <f>IF(#REF! &lt;= 3, "Low Charges", "High Charges")</f>
        <v>#REF!</v>
      </c>
      <c r="Z1265" t="e">
        <f>IF(#REF!&lt;=80,"Low Calls",
IF(#REF!&lt;=120,"Medium Calls","High Calls"))</f>
        <v>#REF!</v>
      </c>
      <c r="AA1265" t="e">
        <f>IF(#REF!&lt;=15,"Low Charges",
IF(#REF!&lt;=20,"Medium Charges","High Charges"))</f>
        <v>#REF!</v>
      </c>
      <c r="AB1265" t="e">
        <f>IF(AND(#REF!&gt;180, #REF!&gt;200), "Heavy Doemstic User", IF(#REF!&gt;10, "Interntional User", IF(AND(#REF!&lt;180, #REF!&lt;200,#REF!&lt;200), "Light User", "Balanced User")))</f>
        <v>#REF!</v>
      </c>
      <c r="AC1265" t="e">
        <f>IF(#REF! = 0, "No Usage", IF(#REF! &lt;= 20, "Low Usage", IF(#REF! &lt;= 40, "Medium Usgae", "High Usage")))</f>
        <v>#REF!</v>
      </c>
      <c r="AD1265" t="e">
        <f>IF(#REF!&lt;=150,"Low Usage", IF(#REF!&lt;=200,"Medium Usage", IF(#REF!&lt;=250,"High Usage","Very High Usage")))</f>
        <v>#REF!</v>
      </c>
      <c r="AE1265" t="e">
        <f>IF(#REF!&lt;=5,"Low Calls", IF(#REF!&lt;=10, "Medium Calls", "High Calls"))</f>
        <v>#REF!</v>
      </c>
      <c r="AF1265" t="e">
        <f xml:space="preserve">
IF(#REF!&gt;=4,4,0)+
IF(#REF!="yes",3,0)+
IF(#REF!="High Charges",3,0)+
IF(#REF!&gt;250,4,0)+
IF(#REF!="no",1,0)+
IF(#REF!="Heavy Domestic User",2,0)</f>
        <v>#REF!</v>
      </c>
      <c r="AG1265" t="e">
        <f>IF(#REF!&gt;=10,"High Risk", IF(#REF!&gt;=5,"Medium Risk","Low Risk"))</f>
        <v>#REF!</v>
      </c>
      <c r="AH1265" t="e">
        <f>#REF! + #REF! + #REF! + #REF!</f>
        <v>#REF!</v>
      </c>
    </row>
    <row r="1266" spans="1:34" x14ac:dyDescent="0.35">
      <c r="A1266">
        <v>1265</v>
      </c>
      <c r="B1266" t="s">
        <v>35</v>
      </c>
      <c r="C1266">
        <v>114</v>
      </c>
      <c r="D1266" t="s">
        <v>28</v>
      </c>
      <c r="E1266" t="s">
        <v>22</v>
      </c>
      <c r="F1266" t="s">
        <v>22</v>
      </c>
      <c r="G1266">
        <v>0</v>
      </c>
      <c r="H1266">
        <v>189.8</v>
      </c>
      <c r="I1266">
        <v>101</v>
      </c>
      <c r="J1266">
        <v>32.270000000000003</v>
      </c>
      <c r="K1266">
        <v>147.69999999999999</v>
      </c>
      <c r="L1266">
        <v>80</v>
      </c>
      <c r="M1266">
        <v>12.55</v>
      </c>
      <c r="N1266">
        <v>172.7</v>
      </c>
      <c r="O1266">
        <v>121</v>
      </c>
      <c r="P1266">
        <v>7.77</v>
      </c>
      <c r="Q1266">
        <v>10.6</v>
      </c>
      <c r="R1266">
        <v>5</v>
      </c>
      <c r="S1266">
        <v>2.86</v>
      </c>
      <c r="T1266">
        <v>1</v>
      </c>
      <c r="U1266" t="s">
        <v>22</v>
      </c>
      <c r="V1266" t="e">
        <f>IF(#REF! = "yes", 1, 0)</f>
        <v>#REF!</v>
      </c>
      <c r="W1266" t="e">
        <f>IF(#REF! &lt;= 1, "0-1 Calls", IF(#REF! &lt;= 3, "2-3 Calls", IF(#REF! &lt;=5, "4-5 Calls", "6+ Calls")))</f>
        <v>#REF!</v>
      </c>
      <c r="X1266" t="e">
        <f>IF(#REF! &lt;= 50, "0-50", IF(#REF! &lt;=100, "51-100", IF(#REF! &lt;= 150, "101-150", "151+")))</f>
        <v>#REF!</v>
      </c>
      <c r="Y1266" t="e">
        <f>IF(#REF! &lt;= 3, "Low Charges", "High Charges")</f>
        <v>#REF!</v>
      </c>
      <c r="Z1266" t="e">
        <f>IF(#REF!&lt;=80,"Low Calls",
IF(#REF!&lt;=120,"Medium Calls","High Calls"))</f>
        <v>#REF!</v>
      </c>
      <c r="AA1266" t="e">
        <f>IF(#REF!&lt;=15,"Low Charges",
IF(#REF!&lt;=20,"Medium Charges","High Charges"))</f>
        <v>#REF!</v>
      </c>
      <c r="AB1266" t="e">
        <f>IF(AND(#REF!&gt;180, #REF!&gt;200), "Heavy Doemstic User", IF(#REF!&gt;10, "Interntional User", IF(AND(#REF!&lt;180, #REF!&lt;200,#REF!&lt;200), "Light User", "Balanced User")))</f>
        <v>#REF!</v>
      </c>
      <c r="AC1266" t="e">
        <f>IF(#REF! = 0, "No Usage", IF(#REF! &lt;= 20, "Low Usage", IF(#REF! &lt;= 40, "Medium Usgae", "High Usage")))</f>
        <v>#REF!</v>
      </c>
      <c r="AD1266" t="e">
        <f>IF(#REF!&lt;=150,"Low Usage", IF(#REF!&lt;=200,"Medium Usage", IF(#REF!&lt;=250,"High Usage","Very High Usage")))</f>
        <v>#REF!</v>
      </c>
      <c r="AE1266" t="e">
        <f>IF(#REF!&lt;=5,"Low Calls", IF(#REF!&lt;=10, "Medium Calls", "High Calls"))</f>
        <v>#REF!</v>
      </c>
      <c r="AF1266" t="e">
        <f xml:space="preserve">
IF(#REF!&gt;=4,4,0)+
IF(#REF!="yes",3,0)+
IF(#REF!="High Charges",3,0)+
IF(#REF!&gt;250,4,0)+
IF(#REF!="no",1,0)+
IF(#REF!="Heavy Domestic User",2,0)</f>
        <v>#REF!</v>
      </c>
      <c r="AG1266" t="e">
        <f>IF(#REF!&gt;=10,"High Risk", IF(#REF!&gt;=5,"Medium Risk","Low Risk"))</f>
        <v>#REF!</v>
      </c>
      <c r="AH1266" t="e">
        <f>#REF! + #REF! + #REF! + #REF!</f>
        <v>#REF!</v>
      </c>
    </row>
    <row r="1267" spans="1:34" x14ac:dyDescent="0.35">
      <c r="A1267">
        <v>1266</v>
      </c>
      <c r="B1267" t="s">
        <v>31</v>
      </c>
      <c r="C1267">
        <v>86</v>
      </c>
      <c r="D1267" t="s">
        <v>21</v>
      </c>
      <c r="E1267" t="s">
        <v>22</v>
      </c>
      <c r="F1267" t="s">
        <v>22</v>
      </c>
      <c r="G1267">
        <v>0</v>
      </c>
      <c r="H1267">
        <v>136.4</v>
      </c>
      <c r="I1267">
        <v>104</v>
      </c>
      <c r="J1267">
        <v>23.19</v>
      </c>
      <c r="K1267">
        <v>202.5</v>
      </c>
      <c r="L1267">
        <v>110</v>
      </c>
      <c r="M1267">
        <v>17.21</v>
      </c>
      <c r="N1267">
        <v>230.7</v>
      </c>
      <c r="O1267">
        <v>86</v>
      </c>
      <c r="P1267">
        <v>10.38</v>
      </c>
      <c r="Q1267">
        <v>11.5</v>
      </c>
      <c r="R1267">
        <v>1</v>
      </c>
      <c r="S1267">
        <v>3.11</v>
      </c>
      <c r="T1267">
        <v>3</v>
      </c>
      <c r="U1267" t="s">
        <v>22</v>
      </c>
      <c r="V1267" t="e">
        <f>IF(#REF! = "yes", 1, 0)</f>
        <v>#REF!</v>
      </c>
      <c r="W1267" t="e">
        <f>IF(#REF! &lt;= 1, "0-1 Calls", IF(#REF! &lt;= 3, "2-3 Calls", IF(#REF! &lt;=5, "4-5 Calls", "6+ Calls")))</f>
        <v>#REF!</v>
      </c>
      <c r="X1267" t="e">
        <f>IF(#REF! &lt;= 50, "0-50", IF(#REF! &lt;=100, "51-100", IF(#REF! &lt;= 150, "101-150", "151+")))</f>
        <v>#REF!</v>
      </c>
      <c r="Y1267" t="e">
        <f>IF(#REF! &lt;= 3, "Low Charges", "High Charges")</f>
        <v>#REF!</v>
      </c>
      <c r="Z1267" t="e">
        <f>IF(#REF!&lt;=80,"Low Calls",
IF(#REF!&lt;=120,"Medium Calls","High Calls"))</f>
        <v>#REF!</v>
      </c>
      <c r="AA1267" t="e">
        <f>IF(#REF!&lt;=15,"Low Charges",
IF(#REF!&lt;=20,"Medium Charges","High Charges"))</f>
        <v>#REF!</v>
      </c>
      <c r="AB1267" t="e">
        <f>IF(AND(#REF!&gt;180, #REF!&gt;200), "Heavy Doemstic User", IF(#REF!&gt;10, "Interntional User", IF(AND(#REF!&lt;180, #REF!&lt;200,#REF!&lt;200), "Light User", "Balanced User")))</f>
        <v>#REF!</v>
      </c>
      <c r="AC1267" t="e">
        <f>IF(#REF! = 0, "No Usage", IF(#REF! &lt;= 20, "Low Usage", IF(#REF! &lt;= 40, "Medium Usgae", "High Usage")))</f>
        <v>#REF!</v>
      </c>
      <c r="AD1267" t="e">
        <f>IF(#REF!&lt;=150,"Low Usage", IF(#REF!&lt;=200,"Medium Usage", IF(#REF!&lt;=250,"High Usage","Very High Usage")))</f>
        <v>#REF!</v>
      </c>
      <c r="AE1267" t="e">
        <f>IF(#REF!&lt;=5,"Low Calls", IF(#REF!&lt;=10, "Medium Calls", "High Calls"))</f>
        <v>#REF!</v>
      </c>
      <c r="AF1267" t="e">
        <f xml:space="preserve">
IF(#REF!&gt;=4,4,0)+
IF(#REF!="yes",3,0)+
IF(#REF!="High Charges",3,0)+
IF(#REF!&gt;250,4,0)+
IF(#REF!="no",1,0)+
IF(#REF!="Heavy Domestic User",2,0)</f>
        <v>#REF!</v>
      </c>
      <c r="AG1267" t="e">
        <f>IF(#REF!&gt;=10,"High Risk", IF(#REF!&gt;=5,"Medium Risk","Low Risk"))</f>
        <v>#REF!</v>
      </c>
      <c r="AH1267" t="e">
        <f>#REF! + #REF! + #REF! + #REF!</f>
        <v>#REF!</v>
      </c>
    </row>
    <row r="1268" spans="1:34" x14ac:dyDescent="0.35">
      <c r="A1268">
        <v>1267</v>
      </c>
      <c r="B1268" t="s">
        <v>37</v>
      </c>
      <c r="C1268">
        <v>96</v>
      </c>
      <c r="D1268" t="s">
        <v>25</v>
      </c>
      <c r="E1268" t="s">
        <v>22</v>
      </c>
      <c r="F1268" t="s">
        <v>22</v>
      </c>
      <c r="G1268">
        <v>0</v>
      </c>
      <c r="H1268">
        <v>170.5</v>
      </c>
      <c r="I1268">
        <v>86</v>
      </c>
      <c r="J1268">
        <v>28.99</v>
      </c>
      <c r="K1268">
        <v>277.5</v>
      </c>
      <c r="L1268">
        <v>88</v>
      </c>
      <c r="M1268">
        <v>23.59</v>
      </c>
      <c r="N1268">
        <v>162.5</v>
      </c>
      <c r="O1268">
        <v>117</v>
      </c>
      <c r="P1268">
        <v>7.31</v>
      </c>
      <c r="Q1268">
        <v>12.2</v>
      </c>
      <c r="R1268">
        <v>6</v>
      </c>
      <c r="S1268">
        <v>3.29</v>
      </c>
      <c r="T1268">
        <v>1</v>
      </c>
      <c r="U1268" t="s">
        <v>22</v>
      </c>
      <c r="V1268" t="e">
        <f>IF(#REF! = "yes", 1, 0)</f>
        <v>#REF!</v>
      </c>
      <c r="W1268" t="e">
        <f>IF(#REF! &lt;= 1, "0-1 Calls", IF(#REF! &lt;= 3, "2-3 Calls", IF(#REF! &lt;=5, "4-5 Calls", "6+ Calls")))</f>
        <v>#REF!</v>
      </c>
      <c r="X1268" t="e">
        <f>IF(#REF! &lt;= 50, "0-50", IF(#REF! &lt;=100, "51-100", IF(#REF! &lt;= 150, "101-150", "151+")))</f>
        <v>#REF!</v>
      </c>
      <c r="Y1268" t="e">
        <f>IF(#REF! &lt;= 3, "Low Charges", "High Charges")</f>
        <v>#REF!</v>
      </c>
      <c r="Z1268" t="e">
        <f>IF(#REF!&lt;=80,"Low Calls",
IF(#REF!&lt;=120,"Medium Calls","High Calls"))</f>
        <v>#REF!</v>
      </c>
      <c r="AA1268" t="e">
        <f>IF(#REF!&lt;=15,"Low Charges",
IF(#REF!&lt;=20,"Medium Charges","High Charges"))</f>
        <v>#REF!</v>
      </c>
      <c r="AB1268" t="e">
        <f>IF(AND(#REF!&gt;180, #REF!&gt;200), "Heavy Doemstic User", IF(#REF!&gt;10, "Interntional User", IF(AND(#REF!&lt;180, #REF!&lt;200,#REF!&lt;200), "Light User", "Balanced User")))</f>
        <v>#REF!</v>
      </c>
      <c r="AC1268" t="e">
        <f>IF(#REF! = 0, "No Usage", IF(#REF! &lt;= 20, "Low Usage", IF(#REF! &lt;= 40, "Medium Usgae", "High Usage")))</f>
        <v>#REF!</v>
      </c>
      <c r="AD1268" t="e">
        <f>IF(#REF!&lt;=150,"Low Usage", IF(#REF!&lt;=200,"Medium Usage", IF(#REF!&lt;=250,"High Usage","Very High Usage")))</f>
        <v>#REF!</v>
      </c>
      <c r="AE1268" t="e">
        <f>IF(#REF!&lt;=5,"Low Calls", IF(#REF!&lt;=10, "Medium Calls", "High Calls"))</f>
        <v>#REF!</v>
      </c>
      <c r="AF1268" t="e">
        <f xml:space="preserve">
IF(#REF!&gt;=4,4,0)+
IF(#REF!="yes",3,0)+
IF(#REF!="High Charges",3,0)+
IF(#REF!&gt;250,4,0)+
IF(#REF!="no",1,0)+
IF(#REF!="Heavy Domestic User",2,0)</f>
        <v>#REF!</v>
      </c>
      <c r="AG1268" t="e">
        <f>IF(#REF!&gt;=10,"High Risk", IF(#REF!&gt;=5,"Medium Risk","Low Risk"))</f>
        <v>#REF!</v>
      </c>
      <c r="AH1268" t="e">
        <f>#REF! + #REF! + #REF! + #REF!</f>
        <v>#REF!</v>
      </c>
    </row>
    <row r="1269" spans="1:34" x14ac:dyDescent="0.35">
      <c r="A1269">
        <v>1268</v>
      </c>
      <c r="B1269" t="s">
        <v>42</v>
      </c>
      <c r="C1269">
        <v>72</v>
      </c>
      <c r="D1269" t="s">
        <v>28</v>
      </c>
      <c r="E1269" t="s">
        <v>22</v>
      </c>
      <c r="F1269" t="s">
        <v>22</v>
      </c>
      <c r="G1269">
        <v>0</v>
      </c>
      <c r="H1269">
        <v>272.39999999999998</v>
      </c>
      <c r="I1269">
        <v>88</v>
      </c>
      <c r="J1269">
        <v>46.31</v>
      </c>
      <c r="K1269">
        <v>107.9</v>
      </c>
      <c r="L1269">
        <v>125</v>
      </c>
      <c r="M1269">
        <v>9.17</v>
      </c>
      <c r="N1269">
        <v>185.5</v>
      </c>
      <c r="O1269">
        <v>81</v>
      </c>
      <c r="P1269">
        <v>8.35</v>
      </c>
      <c r="Q1269">
        <v>12.7</v>
      </c>
      <c r="R1269">
        <v>2</v>
      </c>
      <c r="S1269">
        <v>3.43</v>
      </c>
      <c r="T1269">
        <v>0</v>
      </c>
      <c r="U1269" t="s">
        <v>22</v>
      </c>
      <c r="V1269" t="e">
        <f>IF(#REF! = "yes", 1, 0)</f>
        <v>#REF!</v>
      </c>
      <c r="W1269" t="e">
        <f>IF(#REF! &lt;= 1, "0-1 Calls", IF(#REF! &lt;= 3, "2-3 Calls", IF(#REF! &lt;=5, "4-5 Calls", "6+ Calls")))</f>
        <v>#REF!</v>
      </c>
      <c r="X1269" t="e">
        <f>IF(#REF! &lt;= 50, "0-50", IF(#REF! &lt;=100, "51-100", IF(#REF! &lt;= 150, "101-150", "151+")))</f>
        <v>#REF!</v>
      </c>
      <c r="Y1269" t="e">
        <f>IF(#REF! &lt;= 3, "Low Charges", "High Charges")</f>
        <v>#REF!</v>
      </c>
      <c r="Z1269" t="e">
        <f>IF(#REF!&lt;=80,"Low Calls",
IF(#REF!&lt;=120,"Medium Calls","High Calls"))</f>
        <v>#REF!</v>
      </c>
      <c r="AA1269" t="e">
        <f>IF(#REF!&lt;=15,"Low Charges",
IF(#REF!&lt;=20,"Medium Charges","High Charges"))</f>
        <v>#REF!</v>
      </c>
      <c r="AB1269" t="e">
        <f>IF(AND(#REF!&gt;180, #REF!&gt;200), "Heavy Doemstic User", IF(#REF!&gt;10, "Interntional User", IF(AND(#REF!&lt;180, #REF!&lt;200,#REF!&lt;200), "Light User", "Balanced User")))</f>
        <v>#REF!</v>
      </c>
      <c r="AC1269" t="e">
        <f>IF(#REF! = 0, "No Usage", IF(#REF! &lt;= 20, "Low Usage", IF(#REF! &lt;= 40, "Medium Usgae", "High Usage")))</f>
        <v>#REF!</v>
      </c>
      <c r="AD1269" t="e">
        <f>IF(#REF!&lt;=150,"Low Usage", IF(#REF!&lt;=200,"Medium Usage", IF(#REF!&lt;=250,"High Usage","Very High Usage")))</f>
        <v>#REF!</v>
      </c>
      <c r="AE1269" t="e">
        <f>IF(#REF!&lt;=5,"Low Calls", IF(#REF!&lt;=10, "Medium Calls", "High Calls"))</f>
        <v>#REF!</v>
      </c>
      <c r="AF1269" t="e">
        <f xml:space="preserve">
IF(#REF!&gt;=4,4,0)+
IF(#REF!="yes",3,0)+
IF(#REF!="High Charges",3,0)+
IF(#REF!&gt;250,4,0)+
IF(#REF!="no",1,0)+
IF(#REF!="Heavy Domestic User",2,0)</f>
        <v>#REF!</v>
      </c>
      <c r="AG1269" t="e">
        <f>IF(#REF!&gt;=10,"High Risk", IF(#REF!&gt;=5,"Medium Risk","Low Risk"))</f>
        <v>#REF!</v>
      </c>
      <c r="AH1269" t="e">
        <f>#REF! + #REF! + #REF! + #REF!</f>
        <v>#REF!</v>
      </c>
    </row>
    <row r="1270" spans="1:34" x14ac:dyDescent="0.35">
      <c r="A1270">
        <v>1269</v>
      </c>
      <c r="B1270" t="s">
        <v>43</v>
      </c>
      <c r="C1270">
        <v>64</v>
      </c>
      <c r="D1270" t="s">
        <v>28</v>
      </c>
      <c r="E1270" t="s">
        <v>22</v>
      </c>
      <c r="F1270" t="s">
        <v>23</v>
      </c>
      <c r="G1270">
        <v>40</v>
      </c>
      <c r="H1270">
        <v>210</v>
      </c>
      <c r="I1270">
        <v>116</v>
      </c>
      <c r="J1270">
        <v>35.700000000000003</v>
      </c>
      <c r="K1270">
        <v>232.7</v>
      </c>
      <c r="L1270">
        <v>89</v>
      </c>
      <c r="M1270">
        <v>19.78</v>
      </c>
      <c r="N1270">
        <v>168.8</v>
      </c>
      <c r="O1270">
        <v>94</v>
      </c>
      <c r="P1270">
        <v>7.6</v>
      </c>
      <c r="Q1270">
        <v>5.9</v>
      </c>
      <c r="R1270">
        <v>4</v>
      </c>
      <c r="S1270">
        <v>1.59</v>
      </c>
      <c r="T1270">
        <v>8</v>
      </c>
      <c r="U1270" t="s">
        <v>22</v>
      </c>
      <c r="V1270" t="e">
        <f>IF(#REF! = "yes", 1, 0)</f>
        <v>#REF!</v>
      </c>
      <c r="W1270" t="e">
        <f>IF(#REF! &lt;= 1, "0-1 Calls", IF(#REF! &lt;= 3, "2-3 Calls", IF(#REF! &lt;=5, "4-5 Calls", "6+ Calls")))</f>
        <v>#REF!</v>
      </c>
      <c r="X1270" t="e">
        <f>IF(#REF! &lt;= 50, "0-50", IF(#REF! &lt;=100, "51-100", IF(#REF! &lt;= 150, "101-150", "151+")))</f>
        <v>#REF!</v>
      </c>
      <c r="Y1270" t="e">
        <f>IF(#REF! &lt;= 3, "Low Charges", "High Charges")</f>
        <v>#REF!</v>
      </c>
      <c r="Z1270" t="e">
        <f>IF(#REF!&lt;=80,"Low Calls",
IF(#REF!&lt;=120,"Medium Calls","High Calls"))</f>
        <v>#REF!</v>
      </c>
      <c r="AA1270" t="e">
        <f>IF(#REF!&lt;=15,"Low Charges",
IF(#REF!&lt;=20,"Medium Charges","High Charges"))</f>
        <v>#REF!</v>
      </c>
      <c r="AB1270" t="e">
        <f>IF(AND(#REF!&gt;180, #REF!&gt;200), "Heavy Doemstic User", IF(#REF!&gt;10, "Interntional User", IF(AND(#REF!&lt;180, #REF!&lt;200,#REF!&lt;200), "Light User", "Balanced User")))</f>
        <v>#REF!</v>
      </c>
      <c r="AC1270" t="e">
        <f>IF(#REF! = 0, "No Usage", IF(#REF! &lt;= 20, "Low Usage", IF(#REF! &lt;= 40, "Medium Usgae", "High Usage")))</f>
        <v>#REF!</v>
      </c>
      <c r="AD1270" t="e">
        <f>IF(#REF!&lt;=150,"Low Usage", IF(#REF!&lt;=200,"Medium Usage", IF(#REF!&lt;=250,"High Usage","Very High Usage")))</f>
        <v>#REF!</v>
      </c>
      <c r="AE1270" t="e">
        <f>IF(#REF!&lt;=5,"Low Calls", IF(#REF!&lt;=10, "Medium Calls", "High Calls"))</f>
        <v>#REF!</v>
      </c>
      <c r="AF1270" t="e">
        <f xml:space="preserve">
IF(#REF!&gt;=4,4,0)+
IF(#REF!="yes",3,0)+
IF(#REF!="High Charges",3,0)+
IF(#REF!&gt;250,4,0)+
IF(#REF!="no",1,0)+
IF(#REF!="Heavy Domestic User",2,0)</f>
        <v>#REF!</v>
      </c>
      <c r="AG1270" t="e">
        <f>IF(#REF!&gt;=10,"High Risk", IF(#REF!&gt;=5,"Medium Risk","Low Risk"))</f>
        <v>#REF!</v>
      </c>
      <c r="AH1270" t="e">
        <f>#REF! + #REF! + #REF! + #REF!</f>
        <v>#REF!</v>
      </c>
    </row>
    <row r="1271" spans="1:34" x14ac:dyDescent="0.35">
      <c r="A1271">
        <v>1270</v>
      </c>
      <c r="B1271" t="s">
        <v>20</v>
      </c>
      <c r="C1271">
        <v>65</v>
      </c>
      <c r="D1271" t="s">
        <v>28</v>
      </c>
      <c r="E1271" t="s">
        <v>22</v>
      </c>
      <c r="F1271" t="s">
        <v>22</v>
      </c>
      <c r="G1271">
        <v>0</v>
      </c>
      <c r="H1271">
        <v>153.9</v>
      </c>
      <c r="I1271">
        <v>117</v>
      </c>
      <c r="J1271">
        <v>26.16</v>
      </c>
      <c r="K1271">
        <v>220.1</v>
      </c>
      <c r="L1271">
        <v>122</v>
      </c>
      <c r="M1271">
        <v>18.71</v>
      </c>
      <c r="N1271">
        <v>280.5</v>
      </c>
      <c r="O1271">
        <v>147</v>
      </c>
      <c r="P1271">
        <v>12.62</v>
      </c>
      <c r="Q1271">
        <v>8.5</v>
      </c>
      <c r="R1271">
        <v>3</v>
      </c>
      <c r="S1271">
        <v>2.2999999999999998</v>
      </c>
      <c r="T1271">
        <v>2</v>
      </c>
      <c r="U1271" t="s">
        <v>22</v>
      </c>
      <c r="V1271" t="e">
        <f>IF(#REF! = "yes", 1, 0)</f>
        <v>#REF!</v>
      </c>
      <c r="W1271" t="e">
        <f>IF(#REF! &lt;= 1, "0-1 Calls", IF(#REF! &lt;= 3, "2-3 Calls", IF(#REF! &lt;=5, "4-5 Calls", "6+ Calls")))</f>
        <v>#REF!</v>
      </c>
      <c r="X1271" t="e">
        <f>IF(#REF! &lt;= 50, "0-50", IF(#REF! &lt;=100, "51-100", IF(#REF! &lt;= 150, "101-150", "151+")))</f>
        <v>#REF!</v>
      </c>
      <c r="Y1271" t="e">
        <f>IF(#REF! &lt;= 3, "Low Charges", "High Charges")</f>
        <v>#REF!</v>
      </c>
      <c r="Z1271" t="e">
        <f>IF(#REF!&lt;=80,"Low Calls",
IF(#REF!&lt;=120,"Medium Calls","High Calls"))</f>
        <v>#REF!</v>
      </c>
      <c r="AA1271" t="e">
        <f>IF(#REF!&lt;=15,"Low Charges",
IF(#REF!&lt;=20,"Medium Charges","High Charges"))</f>
        <v>#REF!</v>
      </c>
      <c r="AB1271" t="e">
        <f>IF(AND(#REF!&gt;180, #REF!&gt;200), "Heavy Doemstic User", IF(#REF!&gt;10, "Interntional User", IF(AND(#REF!&lt;180, #REF!&lt;200,#REF!&lt;200), "Light User", "Balanced User")))</f>
        <v>#REF!</v>
      </c>
      <c r="AC1271" t="e">
        <f>IF(#REF! = 0, "No Usage", IF(#REF! &lt;= 20, "Low Usage", IF(#REF! &lt;= 40, "Medium Usgae", "High Usage")))</f>
        <v>#REF!</v>
      </c>
      <c r="AD1271" t="e">
        <f>IF(#REF!&lt;=150,"Low Usage", IF(#REF!&lt;=200,"Medium Usage", IF(#REF!&lt;=250,"High Usage","Very High Usage")))</f>
        <v>#REF!</v>
      </c>
      <c r="AE1271" t="e">
        <f>IF(#REF!&lt;=5,"Low Calls", IF(#REF!&lt;=10, "Medium Calls", "High Calls"))</f>
        <v>#REF!</v>
      </c>
      <c r="AF1271" t="e">
        <f xml:space="preserve">
IF(#REF!&gt;=4,4,0)+
IF(#REF!="yes",3,0)+
IF(#REF!="High Charges",3,0)+
IF(#REF!&gt;250,4,0)+
IF(#REF!="no",1,0)+
IF(#REF!="Heavy Domestic User",2,0)</f>
        <v>#REF!</v>
      </c>
      <c r="AG1271" t="e">
        <f>IF(#REF!&gt;=10,"High Risk", IF(#REF!&gt;=5,"Medium Risk","Low Risk"))</f>
        <v>#REF!</v>
      </c>
      <c r="AH1271" t="e">
        <f>#REF! + #REF! + #REF! + #REF!</f>
        <v>#REF!</v>
      </c>
    </row>
    <row r="1272" spans="1:34" x14ac:dyDescent="0.35">
      <c r="A1272">
        <v>1271</v>
      </c>
      <c r="B1272" t="s">
        <v>49</v>
      </c>
      <c r="C1272">
        <v>136</v>
      </c>
      <c r="D1272" t="s">
        <v>21</v>
      </c>
      <c r="E1272" t="s">
        <v>22</v>
      </c>
      <c r="F1272" t="s">
        <v>22</v>
      </c>
      <c r="G1272">
        <v>0</v>
      </c>
      <c r="H1272">
        <v>252.4</v>
      </c>
      <c r="I1272">
        <v>74</v>
      </c>
      <c r="J1272">
        <v>42.91</v>
      </c>
      <c r="K1272">
        <v>167.9</v>
      </c>
      <c r="L1272">
        <v>81</v>
      </c>
      <c r="M1272">
        <v>14.27</v>
      </c>
      <c r="N1272">
        <v>248.3</v>
      </c>
      <c r="O1272">
        <v>110</v>
      </c>
      <c r="P1272">
        <v>11.17</v>
      </c>
      <c r="Q1272">
        <v>10.7</v>
      </c>
      <c r="R1272">
        <v>3</v>
      </c>
      <c r="S1272">
        <v>2.89</v>
      </c>
      <c r="T1272">
        <v>2</v>
      </c>
      <c r="U1272" t="s">
        <v>22</v>
      </c>
      <c r="V1272" t="e">
        <f>IF(#REF! = "yes", 1, 0)</f>
        <v>#REF!</v>
      </c>
      <c r="W1272" t="e">
        <f>IF(#REF! &lt;= 1, "0-1 Calls", IF(#REF! &lt;= 3, "2-3 Calls", IF(#REF! &lt;=5, "4-5 Calls", "6+ Calls")))</f>
        <v>#REF!</v>
      </c>
      <c r="X1272" t="e">
        <f>IF(#REF! &lt;= 50, "0-50", IF(#REF! &lt;=100, "51-100", IF(#REF! &lt;= 150, "101-150", "151+")))</f>
        <v>#REF!</v>
      </c>
      <c r="Y1272" t="e">
        <f>IF(#REF! &lt;= 3, "Low Charges", "High Charges")</f>
        <v>#REF!</v>
      </c>
      <c r="Z1272" t="e">
        <f>IF(#REF!&lt;=80,"Low Calls",
IF(#REF!&lt;=120,"Medium Calls","High Calls"))</f>
        <v>#REF!</v>
      </c>
      <c r="AA1272" t="e">
        <f>IF(#REF!&lt;=15,"Low Charges",
IF(#REF!&lt;=20,"Medium Charges","High Charges"))</f>
        <v>#REF!</v>
      </c>
      <c r="AB1272" t="e">
        <f>IF(AND(#REF!&gt;180, #REF!&gt;200), "Heavy Doemstic User", IF(#REF!&gt;10, "Interntional User", IF(AND(#REF!&lt;180, #REF!&lt;200,#REF!&lt;200), "Light User", "Balanced User")))</f>
        <v>#REF!</v>
      </c>
      <c r="AC1272" t="e">
        <f>IF(#REF! = 0, "No Usage", IF(#REF! &lt;= 20, "Low Usage", IF(#REF! &lt;= 40, "Medium Usgae", "High Usage")))</f>
        <v>#REF!</v>
      </c>
      <c r="AD1272" t="e">
        <f>IF(#REF!&lt;=150,"Low Usage", IF(#REF!&lt;=200,"Medium Usage", IF(#REF!&lt;=250,"High Usage","Very High Usage")))</f>
        <v>#REF!</v>
      </c>
      <c r="AE1272" t="e">
        <f>IF(#REF!&lt;=5,"Low Calls", IF(#REF!&lt;=10, "Medium Calls", "High Calls"))</f>
        <v>#REF!</v>
      </c>
      <c r="AF1272" t="e">
        <f xml:space="preserve">
IF(#REF!&gt;=4,4,0)+
IF(#REF!="yes",3,0)+
IF(#REF!="High Charges",3,0)+
IF(#REF!&gt;250,4,0)+
IF(#REF!="no",1,0)+
IF(#REF!="Heavy Domestic User",2,0)</f>
        <v>#REF!</v>
      </c>
      <c r="AG1272" t="e">
        <f>IF(#REF!&gt;=10,"High Risk", IF(#REF!&gt;=5,"Medium Risk","Low Risk"))</f>
        <v>#REF!</v>
      </c>
      <c r="AH1272" t="e">
        <f>#REF! + #REF! + #REF! + #REF!</f>
        <v>#REF!</v>
      </c>
    </row>
    <row r="1273" spans="1:34" x14ac:dyDescent="0.35">
      <c r="A1273">
        <v>1272</v>
      </c>
      <c r="B1273" t="s">
        <v>60</v>
      </c>
      <c r="C1273">
        <v>116</v>
      </c>
      <c r="D1273" t="s">
        <v>25</v>
      </c>
      <c r="E1273" t="s">
        <v>22</v>
      </c>
      <c r="F1273" t="s">
        <v>22</v>
      </c>
      <c r="G1273">
        <v>0</v>
      </c>
      <c r="H1273">
        <v>197.9</v>
      </c>
      <c r="I1273">
        <v>84</v>
      </c>
      <c r="J1273">
        <v>33.64</v>
      </c>
      <c r="K1273">
        <v>168.1</v>
      </c>
      <c r="L1273">
        <v>113</v>
      </c>
      <c r="M1273">
        <v>14.29</v>
      </c>
      <c r="N1273">
        <v>239.8</v>
      </c>
      <c r="O1273">
        <v>145</v>
      </c>
      <c r="P1273">
        <v>10.79</v>
      </c>
      <c r="Q1273">
        <v>12</v>
      </c>
      <c r="R1273">
        <v>6</v>
      </c>
      <c r="S1273">
        <v>3.24</v>
      </c>
      <c r="T1273">
        <v>1</v>
      </c>
      <c r="U1273" t="s">
        <v>22</v>
      </c>
      <c r="V1273" t="e">
        <f>IF(#REF! = "yes", 1, 0)</f>
        <v>#REF!</v>
      </c>
      <c r="W1273" t="e">
        <f>IF(#REF! &lt;= 1, "0-1 Calls", IF(#REF! &lt;= 3, "2-3 Calls", IF(#REF! &lt;=5, "4-5 Calls", "6+ Calls")))</f>
        <v>#REF!</v>
      </c>
      <c r="X1273" t="e">
        <f>IF(#REF! &lt;= 50, "0-50", IF(#REF! &lt;=100, "51-100", IF(#REF! &lt;= 150, "101-150", "151+")))</f>
        <v>#REF!</v>
      </c>
      <c r="Y1273" t="e">
        <f>IF(#REF! &lt;= 3, "Low Charges", "High Charges")</f>
        <v>#REF!</v>
      </c>
      <c r="Z1273" t="e">
        <f>IF(#REF!&lt;=80,"Low Calls",
IF(#REF!&lt;=120,"Medium Calls","High Calls"))</f>
        <v>#REF!</v>
      </c>
      <c r="AA1273" t="e">
        <f>IF(#REF!&lt;=15,"Low Charges",
IF(#REF!&lt;=20,"Medium Charges","High Charges"))</f>
        <v>#REF!</v>
      </c>
      <c r="AB1273" t="e">
        <f>IF(AND(#REF!&gt;180, #REF!&gt;200), "Heavy Doemstic User", IF(#REF!&gt;10, "Interntional User", IF(AND(#REF!&lt;180, #REF!&lt;200,#REF!&lt;200), "Light User", "Balanced User")))</f>
        <v>#REF!</v>
      </c>
      <c r="AC1273" t="e">
        <f>IF(#REF! = 0, "No Usage", IF(#REF! &lt;= 20, "Low Usage", IF(#REF! &lt;= 40, "Medium Usgae", "High Usage")))</f>
        <v>#REF!</v>
      </c>
      <c r="AD1273" t="e">
        <f>IF(#REF!&lt;=150,"Low Usage", IF(#REF!&lt;=200,"Medium Usage", IF(#REF!&lt;=250,"High Usage","Very High Usage")))</f>
        <v>#REF!</v>
      </c>
      <c r="AE1273" t="e">
        <f>IF(#REF!&lt;=5,"Low Calls", IF(#REF!&lt;=10, "Medium Calls", "High Calls"))</f>
        <v>#REF!</v>
      </c>
      <c r="AF1273" t="e">
        <f xml:space="preserve">
IF(#REF!&gt;=4,4,0)+
IF(#REF!="yes",3,0)+
IF(#REF!="High Charges",3,0)+
IF(#REF!&gt;250,4,0)+
IF(#REF!="no",1,0)+
IF(#REF!="Heavy Domestic User",2,0)</f>
        <v>#REF!</v>
      </c>
      <c r="AG1273" t="e">
        <f>IF(#REF!&gt;=10,"High Risk", IF(#REF!&gt;=5,"Medium Risk","Low Risk"))</f>
        <v>#REF!</v>
      </c>
      <c r="AH1273" t="e">
        <f>#REF! + #REF! + #REF! + #REF!</f>
        <v>#REF!</v>
      </c>
    </row>
    <row r="1274" spans="1:34" x14ac:dyDescent="0.35">
      <c r="A1274">
        <v>1273</v>
      </c>
      <c r="B1274" t="s">
        <v>69</v>
      </c>
      <c r="C1274">
        <v>93</v>
      </c>
      <c r="D1274" t="s">
        <v>25</v>
      </c>
      <c r="E1274" t="s">
        <v>22</v>
      </c>
      <c r="F1274" t="s">
        <v>22</v>
      </c>
      <c r="G1274">
        <v>0</v>
      </c>
      <c r="H1274">
        <v>152.4</v>
      </c>
      <c r="I1274">
        <v>74</v>
      </c>
      <c r="J1274">
        <v>25.91</v>
      </c>
      <c r="K1274">
        <v>274.60000000000002</v>
      </c>
      <c r="L1274">
        <v>88</v>
      </c>
      <c r="M1274">
        <v>23.34</v>
      </c>
      <c r="N1274">
        <v>252.2</v>
      </c>
      <c r="O1274">
        <v>120</v>
      </c>
      <c r="P1274">
        <v>11.35</v>
      </c>
      <c r="Q1274">
        <v>6.6</v>
      </c>
      <c r="R1274">
        <v>5</v>
      </c>
      <c r="S1274">
        <v>1.78</v>
      </c>
      <c r="T1274">
        <v>3</v>
      </c>
      <c r="U1274" t="s">
        <v>22</v>
      </c>
      <c r="V1274" t="e">
        <f>IF(#REF! = "yes", 1, 0)</f>
        <v>#REF!</v>
      </c>
      <c r="W1274" t="e">
        <f>IF(#REF! &lt;= 1, "0-1 Calls", IF(#REF! &lt;= 3, "2-3 Calls", IF(#REF! &lt;=5, "4-5 Calls", "6+ Calls")))</f>
        <v>#REF!</v>
      </c>
      <c r="X1274" t="e">
        <f>IF(#REF! &lt;= 50, "0-50", IF(#REF! &lt;=100, "51-100", IF(#REF! &lt;= 150, "101-150", "151+")))</f>
        <v>#REF!</v>
      </c>
      <c r="Y1274" t="e">
        <f>IF(#REF! &lt;= 3, "Low Charges", "High Charges")</f>
        <v>#REF!</v>
      </c>
      <c r="Z1274" t="e">
        <f>IF(#REF!&lt;=80,"Low Calls",
IF(#REF!&lt;=120,"Medium Calls","High Calls"))</f>
        <v>#REF!</v>
      </c>
      <c r="AA1274" t="e">
        <f>IF(#REF!&lt;=15,"Low Charges",
IF(#REF!&lt;=20,"Medium Charges","High Charges"))</f>
        <v>#REF!</v>
      </c>
      <c r="AB1274" t="e">
        <f>IF(AND(#REF!&gt;180, #REF!&gt;200), "Heavy Doemstic User", IF(#REF!&gt;10, "Interntional User", IF(AND(#REF!&lt;180, #REF!&lt;200,#REF!&lt;200), "Light User", "Balanced User")))</f>
        <v>#REF!</v>
      </c>
      <c r="AC1274" t="e">
        <f>IF(#REF! = 0, "No Usage", IF(#REF! &lt;= 20, "Low Usage", IF(#REF! &lt;= 40, "Medium Usgae", "High Usage")))</f>
        <v>#REF!</v>
      </c>
      <c r="AD1274" t="e">
        <f>IF(#REF!&lt;=150,"Low Usage", IF(#REF!&lt;=200,"Medium Usage", IF(#REF!&lt;=250,"High Usage","Very High Usage")))</f>
        <v>#REF!</v>
      </c>
      <c r="AE1274" t="e">
        <f>IF(#REF!&lt;=5,"Low Calls", IF(#REF!&lt;=10, "Medium Calls", "High Calls"))</f>
        <v>#REF!</v>
      </c>
      <c r="AF1274" t="e">
        <f xml:space="preserve">
IF(#REF!&gt;=4,4,0)+
IF(#REF!="yes",3,0)+
IF(#REF!="High Charges",3,0)+
IF(#REF!&gt;250,4,0)+
IF(#REF!="no",1,0)+
IF(#REF!="Heavy Domestic User",2,0)</f>
        <v>#REF!</v>
      </c>
      <c r="AG1274" t="e">
        <f>IF(#REF!&gt;=10,"High Risk", IF(#REF!&gt;=5,"Medium Risk","Low Risk"))</f>
        <v>#REF!</v>
      </c>
      <c r="AH1274" t="e">
        <f>#REF! + #REF! + #REF! + #REF!</f>
        <v>#REF!</v>
      </c>
    </row>
    <row r="1275" spans="1:34" x14ac:dyDescent="0.35">
      <c r="A1275">
        <v>1274</v>
      </c>
      <c r="B1275" t="s">
        <v>60</v>
      </c>
      <c r="C1275">
        <v>142</v>
      </c>
      <c r="D1275" t="s">
        <v>28</v>
      </c>
      <c r="E1275" t="s">
        <v>22</v>
      </c>
      <c r="F1275" t="s">
        <v>23</v>
      </c>
      <c r="G1275">
        <v>40</v>
      </c>
      <c r="H1275">
        <v>237.4</v>
      </c>
      <c r="I1275">
        <v>105</v>
      </c>
      <c r="J1275">
        <v>40.36</v>
      </c>
      <c r="K1275">
        <v>175.9</v>
      </c>
      <c r="L1275">
        <v>93</v>
      </c>
      <c r="M1275">
        <v>14.95</v>
      </c>
      <c r="N1275">
        <v>210.3</v>
      </c>
      <c r="O1275">
        <v>110</v>
      </c>
      <c r="P1275">
        <v>9.4600000000000009</v>
      </c>
      <c r="Q1275">
        <v>9.1999999999999993</v>
      </c>
      <c r="R1275">
        <v>3</v>
      </c>
      <c r="S1275">
        <v>2.48</v>
      </c>
      <c r="T1275">
        <v>3</v>
      </c>
      <c r="U1275" t="s">
        <v>22</v>
      </c>
      <c r="V1275" t="e">
        <f>IF(#REF! = "yes", 1, 0)</f>
        <v>#REF!</v>
      </c>
      <c r="W1275" t="e">
        <f>IF(#REF! &lt;= 1, "0-1 Calls", IF(#REF! &lt;= 3, "2-3 Calls", IF(#REF! &lt;=5, "4-5 Calls", "6+ Calls")))</f>
        <v>#REF!</v>
      </c>
      <c r="X1275" t="e">
        <f>IF(#REF! &lt;= 50, "0-50", IF(#REF! &lt;=100, "51-100", IF(#REF! &lt;= 150, "101-150", "151+")))</f>
        <v>#REF!</v>
      </c>
      <c r="Y1275" t="e">
        <f>IF(#REF! &lt;= 3, "Low Charges", "High Charges")</f>
        <v>#REF!</v>
      </c>
      <c r="Z1275" t="e">
        <f>IF(#REF!&lt;=80,"Low Calls",
IF(#REF!&lt;=120,"Medium Calls","High Calls"))</f>
        <v>#REF!</v>
      </c>
      <c r="AA1275" t="e">
        <f>IF(#REF!&lt;=15,"Low Charges",
IF(#REF!&lt;=20,"Medium Charges","High Charges"))</f>
        <v>#REF!</v>
      </c>
      <c r="AB1275" t="e">
        <f>IF(AND(#REF!&gt;180, #REF!&gt;200), "Heavy Doemstic User", IF(#REF!&gt;10, "Interntional User", IF(AND(#REF!&lt;180, #REF!&lt;200,#REF!&lt;200), "Light User", "Balanced User")))</f>
        <v>#REF!</v>
      </c>
      <c r="AC1275" t="e">
        <f>IF(#REF! = 0, "No Usage", IF(#REF! &lt;= 20, "Low Usage", IF(#REF! &lt;= 40, "Medium Usgae", "High Usage")))</f>
        <v>#REF!</v>
      </c>
      <c r="AD1275" t="e">
        <f>IF(#REF!&lt;=150,"Low Usage", IF(#REF!&lt;=200,"Medium Usage", IF(#REF!&lt;=250,"High Usage","Very High Usage")))</f>
        <v>#REF!</v>
      </c>
      <c r="AE1275" t="e">
        <f>IF(#REF!&lt;=5,"Low Calls", IF(#REF!&lt;=10, "Medium Calls", "High Calls"))</f>
        <v>#REF!</v>
      </c>
      <c r="AF1275" t="e">
        <f xml:space="preserve">
IF(#REF!&gt;=4,4,0)+
IF(#REF!="yes",3,0)+
IF(#REF!="High Charges",3,0)+
IF(#REF!&gt;250,4,0)+
IF(#REF!="no",1,0)+
IF(#REF!="Heavy Domestic User",2,0)</f>
        <v>#REF!</v>
      </c>
      <c r="AG1275" t="e">
        <f>IF(#REF!&gt;=10,"High Risk", IF(#REF!&gt;=5,"Medium Risk","Low Risk"))</f>
        <v>#REF!</v>
      </c>
      <c r="AH1275" t="e">
        <f>#REF! + #REF! + #REF! + #REF!</f>
        <v>#REF!</v>
      </c>
    </row>
    <row r="1276" spans="1:34" x14ac:dyDescent="0.35">
      <c r="A1276">
        <v>1275</v>
      </c>
      <c r="B1276" t="s">
        <v>36</v>
      </c>
      <c r="C1276">
        <v>92</v>
      </c>
      <c r="D1276" t="s">
        <v>25</v>
      </c>
      <c r="E1276" t="s">
        <v>22</v>
      </c>
      <c r="F1276" t="s">
        <v>22</v>
      </c>
      <c r="G1276">
        <v>0</v>
      </c>
      <c r="H1276">
        <v>265.60000000000002</v>
      </c>
      <c r="I1276">
        <v>82</v>
      </c>
      <c r="J1276">
        <v>45.15</v>
      </c>
      <c r="K1276">
        <v>180.7</v>
      </c>
      <c r="L1276">
        <v>75</v>
      </c>
      <c r="M1276">
        <v>15.36</v>
      </c>
      <c r="N1276">
        <v>211.1</v>
      </c>
      <c r="O1276">
        <v>113</v>
      </c>
      <c r="P1276">
        <v>9.5</v>
      </c>
      <c r="Q1276">
        <v>8.6</v>
      </c>
      <c r="R1276">
        <v>2</v>
      </c>
      <c r="S1276">
        <v>2.3199999999999998</v>
      </c>
      <c r="T1276">
        <v>1</v>
      </c>
      <c r="U1276" t="s">
        <v>22</v>
      </c>
      <c r="V1276" t="e">
        <f>IF(#REF! = "yes", 1, 0)</f>
        <v>#REF!</v>
      </c>
      <c r="W1276" t="e">
        <f>IF(#REF! &lt;= 1, "0-1 Calls", IF(#REF! &lt;= 3, "2-3 Calls", IF(#REF! &lt;=5, "4-5 Calls", "6+ Calls")))</f>
        <v>#REF!</v>
      </c>
      <c r="X1276" t="e">
        <f>IF(#REF! &lt;= 50, "0-50", IF(#REF! &lt;=100, "51-100", IF(#REF! &lt;= 150, "101-150", "151+")))</f>
        <v>#REF!</v>
      </c>
      <c r="Y1276" t="e">
        <f>IF(#REF! &lt;= 3, "Low Charges", "High Charges")</f>
        <v>#REF!</v>
      </c>
      <c r="Z1276" t="e">
        <f>IF(#REF!&lt;=80,"Low Calls",
IF(#REF!&lt;=120,"Medium Calls","High Calls"))</f>
        <v>#REF!</v>
      </c>
      <c r="AA1276" t="e">
        <f>IF(#REF!&lt;=15,"Low Charges",
IF(#REF!&lt;=20,"Medium Charges","High Charges"))</f>
        <v>#REF!</v>
      </c>
      <c r="AB1276" t="e">
        <f>IF(AND(#REF!&gt;180, #REF!&gt;200), "Heavy Doemstic User", IF(#REF!&gt;10, "Interntional User", IF(AND(#REF!&lt;180, #REF!&lt;200,#REF!&lt;200), "Light User", "Balanced User")))</f>
        <v>#REF!</v>
      </c>
      <c r="AC1276" t="e">
        <f>IF(#REF! = 0, "No Usage", IF(#REF! &lt;= 20, "Low Usage", IF(#REF! &lt;= 40, "Medium Usgae", "High Usage")))</f>
        <v>#REF!</v>
      </c>
      <c r="AD1276" t="e">
        <f>IF(#REF!&lt;=150,"Low Usage", IF(#REF!&lt;=200,"Medium Usage", IF(#REF!&lt;=250,"High Usage","Very High Usage")))</f>
        <v>#REF!</v>
      </c>
      <c r="AE1276" t="e">
        <f>IF(#REF!&lt;=5,"Low Calls", IF(#REF!&lt;=10, "Medium Calls", "High Calls"))</f>
        <v>#REF!</v>
      </c>
      <c r="AF1276" t="e">
        <f xml:space="preserve">
IF(#REF!&gt;=4,4,0)+
IF(#REF!="yes",3,0)+
IF(#REF!="High Charges",3,0)+
IF(#REF!&gt;250,4,0)+
IF(#REF!="no",1,0)+
IF(#REF!="Heavy Domestic User",2,0)</f>
        <v>#REF!</v>
      </c>
      <c r="AG1276" t="e">
        <f>IF(#REF!&gt;=10,"High Risk", IF(#REF!&gt;=5,"Medium Risk","Low Risk"))</f>
        <v>#REF!</v>
      </c>
      <c r="AH1276" t="e">
        <f>#REF! + #REF! + #REF! + #REF!</f>
        <v>#REF!</v>
      </c>
    </row>
    <row r="1277" spans="1:34" x14ac:dyDescent="0.35">
      <c r="A1277">
        <v>1276</v>
      </c>
      <c r="B1277" t="s">
        <v>45</v>
      </c>
      <c r="C1277">
        <v>70</v>
      </c>
      <c r="D1277" t="s">
        <v>21</v>
      </c>
      <c r="E1277" t="s">
        <v>22</v>
      </c>
      <c r="F1277" t="s">
        <v>22</v>
      </c>
      <c r="G1277">
        <v>0</v>
      </c>
      <c r="H1277">
        <v>197.3</v>
      </c>
      <c r="I1277">
        <v>91</v>
      </c>
      <c r="J1277">
        <v>33.54</v>
      </c>
      <c r="K1277">
        <v>305.8</v>
      </c>
      <c r="L1277">
        <v>81</v>
      </c>
      <c r="M1277">
        <v>25.99</v>
      </c>
      <c r="N1277">
        <v>171</v>
      </c>
      <c r="O1277">
        <v>105</v>
      </c>
      <c r="P1277">
        <v>7.69</v>
      </c>
      <c r="Q1277">
        <v>6.7</v>
      </c>
      <c r="R1277">
        <v>6</v>
      </c>
      <c r="S1277">
        <v>1.81</v>
      </c>
      <c r="T1277">
        <v>1</v>
      </c>
      <c r="U1277" t="s">
        <v>22</v>
      </c>
      <c r="V1277" t="e">
        <f>IF(#REF! = "yes", 1, 0)</f>
        <v>#REF!</v>
      </c>
      <c r="W1277" t="e">
        <f>IF(#REF! &lt;= 1, "0-1 Calls", IF(#REF! &lt;= 3, "2-3 Calls", IF(#REF! &lt;=5, "4-5 Calls", "6+ Calls")))</f>
        <v>#REF!</v>
      </c>
      <c r="X1277" t="e">
        <f>IF(#REF! &lt;= 50, "0-50", IF(#REF! &lt;=100, "51-100", IF(#REF! &lt;= 150, "101-150", "151+")))</f>
        <v>#REF!</v>
      </c>
      <c r="Y1277" t="e">
        <f>IF(#REF! &lt;= 3, "Low Charges", "High Charges")</f>
        <v>#REF!</v>
      </c>
      <c r="Z1277" t="e">
        <f>IF(#REF!&lt;=80,"Low Calls",
IF(#REF!&lt;=120,"Medium Calls","High Calls"))</f>
        <v>#REF!</v>
      </c>
      <c r="AA1277" t="e">
        <f>IF(#REF!&lt;=15,"Low Charges",
IF(#REF!&lt;=20,"Medium Charges","High Charges"))</f>
        <v>#REF!</v>
      </c>
      <c r="AB1277" t="e">
        <f>IF(AND(#REF!&gt;180, #REF!&gt;200), "Heavy Doemstic User", IF(#REF!&gt;10, "Interntional User", IF(AND(#REF!&lt;180, #REF!&lt;200,#REF!&lt;200), "Light User", "Balanced User")))</f>
        <v>#REF!</v>
      </c>
      <c r="AC1277" t="e">
        <f>IF(#REF! = 0, "No Usage", IF(#REF! &lt;= 20, "Low Usage", IF(#REF! &lt;= 40, "Medium Usgae", "High Usage")))</f>
        <v>#REF!</v>
      </c>
      <c r="AD1277" t="e">
        <f>IF(#REF!&lt;=150,"Low Usage", IF(#REF!&lt;=200,"Medium Usage", IF(#REF!&lt;=250,"High Usage","Very High Usage")))</f>
        <v>#REF!</v>
      </c>
      <c r="AE1277" t="e">
        <f>IF(#REF!&lt;=5,"Low Calls", IF(#REF!&lt;=10, "Medium Calls", "High Calls"))</f>
        <v>#REF!</v>
      </c>
      <c r="AF1277" t="e">
        <f xml:space="preserve">
IF(#REF!&gt;=4,4,0)+
IF(#REF!="yes",3,0)+
IF(#REF!="High Charges",3,0)+
IF(#REF!&gt;250,4,0)+
IF(#REF!="no",1,0)+
IF(#REF!="Heavy Domestic User",2,0)</f>
        <v>#REF!</v>
      </c>
      <c r="AG1277" t="e">
        <f>IF(#REF!&gt;=10,"High Risk", IF(#REF!&gt;=5,"Medium Risk","Low Risk"))</f>
        <v>#REF!</v>
      </c>
      <c r="AH1277" t="e">
        <f>#REF! + #REF! + #REF! + #REF!</f>
        <v>#REF!</v>
      </c>
    </row>
    <row r="1278" spans="1:34" x14ac:dyDescent="0.35">
      <c r="A1278">
        <v>1277</v>
      </c>
      <c r="B1278" t="s">
        <v>29</v>
      </c>
      <c r="C1278">
        <v>22</v>
      </c>
      <c r="D1278" t="s">
        <v>25</v>
      </c>
      <c r="E1278" t="s">
        <v>22</v>
      </c>
      <c r="F1278" t="s">
        <v>23</v>
      </c>
      <c r="G1278">
        <v>14</v>
      </c>
      <c r="H1278">
        <v>199.1</v>
      </c>
      <c r="I1278">
        <v>100</v>
      </c>
      <c r="J1278">
        <v>33.85</v>
      </c>
      <c r="K1278">
        <v>221.8</v>
      </c>
      <c r="L1278">
        <v>103</v>
      </c>
      <c r="M1278">
        <v>18.850000000000001</v>
      </c>
      <c r="N1278">
        <v>65.7</v>
      </c>
      <c r="O1278">
        <v>91</v>
      </c>
      <c r="P1278">
        <v>2.96</v>
      </c>
      <c r="Q1278">
        <v>4.2</v>
      </c>
      <c r="R1278">
        <v>1</v>
      </c>
      <c r="S1278">
        <v>1.1299999999999999</v>
      </c>
      <c r="T1278">
        <v>1</v>
      </c>
      <c r="U1278" t="s">
        <v>22</v>
      </c>
      <c r="V1278" t="e">
        <f>IF(#REF! = "yes", 1, 0)</f>
        <v>#REF!</v>
      </c>
      <c r="W1278" t="e">
        <f>IF(#REF! &lt;= 1, "0-1 Calls", IF(#REF! &lt;= 3, "2-3 Calls", IF(#REF! &lt;=5, "4-5 Calls", "6+ Calls")))</f>
        <v>#REF!</v>
      </c>
      <c r="X1278" t="e">
        <f>IF(#REF! &lt;= 50, "0-50", IF(#REF! &lt;=100, "51-100", IF(#REF! &lt;= 150, "101-150", "151+")))</f>
        <v>#REF!</v>
      </c>
      <c r="Y1278" t="e">
        <f>IF(#REF! &lt;= 3, "Low Charges", "High Charges")</f>
        <v>#REF!</v>
      </c>
      <c r="Z1278" t="e">
        <f>IF(#REF!&lt;=80,"Low Calls",
IF(#REF!&lt;=120,"Medium Calls","High Calls"))</f>
        <v>#REF!</v>
      </c>
      <c r="AA1278" t="e">
        <f>IF(#REF!&lt;=15,"Low Charges",
IF(#REF!&lt;=20,"Medium Charges","High Charges"))</f>
        <v>#REF!</v>
      </c>
      <c r="AB1278" t="e">
        <f>IF(AND(#REF!&gt;180, #REF!&gt;200), "Heavy Doemstic User", IF(#REF!&gt;10, "Interntional User", IF(AND(#REF!&lt;180, #REF!&lt;200,#REF!&lt;200), "Light User", "Balanced User")))</f>
        <v>#REF!</v>
      </c>
      <c r="AC1278" t="e">
        <f>IF(#REF! = 0, "No Usage", IF(#REF! &lt;= 20, "Low Usage", IF(#REF! &lt;= 40, "Medium Usgae", "High Usage")))</f>
        <v>#REF!</v>
      </c>
      <c r="AD1278" t="e">
        <f>IF(#REF!&lt;=150,"Low Usage", IF(#REF!&lt;=200,"Medium Usage", IF(#REF!&lt;=250,"High Usage","Very High Usage")))</f>
        <v>#REF!</v>
      </c>
      <c r="AE1278" t="e">
        <f>IF(#REF!&lt;=5,"Low Calls", IF(#REF!&lt;=10, "Medium Calls", "High Calls"))</f>
        <v>#REF!</v>
      </c>
      <c r="AF1278" t="e">
        <f xml:space="preserve">
IF(#REF!&gt;=4,4,0)+
IF(#REF!="yes",3,0)+
IF(#REF!="High Charges",3,0)+
IF(#REF!&gt;250,4,0)+
IF(#REF!="no",1,0)+
IF(#REF!="Heavy Domestic User",2,0)</f>
        <v>#REF!</v>
      </c>
      <c r="AG1278" t="e">
        <f>IF(#REF!&gt;=10,"High Risk", IF(#REF!&gt;=5,"Medium Risk","Low Risk"))</f>
        <v>#REF!</v>
      </c>
      <c r="AH1278" t="e">
        <f>#REF! + #REF! + #REF! + #REF!</f>
        <v>#REF!</v>
      </c>
    </row>
    <row r="1279" spans="1:34" x14ac:dyDescent="0.35">
      <c r="A1279">
        <v>1278</v>
      </c>
      <c r="B1279" t="s">
        <v>62</v>
      </c>
      <c r="C1279">
        <v>37</v>
      </c>
      <c r="D1279" t="s">
        <v>21</v>
      </c>
      <c r="E1279" t="s">
        <v>22</v>
      </c>
      <c r="F1279" t="s">
        <v>22</v>
      </c>
      <c r="G1279">
        <v>0</v>
      </c>
      <c r="H1279">
        <v>233.7</v>
      </c>
      <c r="I1279">
        <v>114</v>
      </c>
      <c r="J1279">
        <v>39.729999999999997</v>
      </c>
      <c r="K1279">
        <v>207.9</v>
      </c>
      <c r="L1279">
        <v>109</v>
      </c>
      <c r="M1279">
        <v>17.670000000000002</v>
      </c>
      <c r="N1279">
        <v>212.7</v>
      </c>
      <c r="O1279">
        <v>101</v>
      </c>
      <c r="P1279">
        <v>9.57</v>
      </c>
      <c r="Q1279">
        <v>12</v>
      </c>
      <c r="R1279">
        <v>2</v>
      </c>
      <c r="S1279">
        <v>3.24</v>
      </c>
      <c r="T1279">
        <v>2</v>
      </c>
      <c r="U1279" t="s">
        <v>22</v>
      </c>
      <c r="V1279" t="e">
        <f>IF(#REF! = "yes", 1, 0)</f>
        <v>#REF!</v>
      </c>
      <c r="W1279" t="e">
        <f>IF(#REF! &lt;= 1, "0-1 Calls", IF(#REF! &lt;= 3, "2-3 Calls", IF(#REF! &lt;=5, "4-5 Calls", "6+ Calls")))</f>
        <v>#REF!</v>
      </c>
      <c r="X1279" t="e">
        <f>IF(#REF! &lt;= 50, "0-50", IF(#REF! &lt;=100, "51-100", IF(#REF! &lt;= 150, "101-150", "151+")))</f>
        <v>#REF!</v>
      </c>
      <c r="Y1279" t="e">
        <f>IF(#REF! &lt;= 3, "Low Charges", "High Charges")</f>
        <v>#REF!</v>
      </c>
      <c r="Z1279" t="e">
        <f>IF(#REF!&lt;=80,"Low Calls",
IF(#REF!&lt;=120,"Medium Calls","High Calls"))</f>
        <v>#REF!</v>
      </c>
      <c r="AA1279" t="e">
        <f>IF(#REF!&lt;=15,"Low Charges",
IF(#REF!&lt;=20,"Medium Charges","High Charges"))</f>
        <v>#REF!</v>
      </c>
      <c r="AB1279" t="e">
        <f>IF(AND(#REF!&gt;180, #REF!&gt;200), "Heavy Doemstic User", IF(#REF!&gt;10, "Interntional User", IF(AND(#REF!&lt;180, #REF!&lt;200,#REF!&lt;200), "Light User", "Balanced User")))</f>
        <v>#REF!</v>
      </c>
      <c r="AC1279" t="e">
        <f>IF(#REF! = 0, "No Usage", IF(#REF! &lt;= 20, "Low Usage", IF(#REF! &lt;= 40, "Medium Usgae", "High Usage")))</f>
        <v>#REF!</v>
      </c>
      <c r="AD1279" t="e">
        <f>IF(#REF!&lt;=150,"Low Usage", IF(#REF!&lt;=200,"Medium Usage", IF(#REF!&lt;=250,"High Usage","Very High Usage")))</f>
        <v>#REF!</v>
      </c>
      <c r="AE1279" t="e">
        <f>IF(#REF!&lt;=5,"Low Calls", IF(#REF!&lt;=10, "Medium Calls", "High Calls"))</f>
        <v>#REF!</v>
      </c>
      <c r="AF1279" t="e">
        <f xml:space="preserve">
IF(#REF!&gt;=4,4,0)+
IF(#REF!="yes",3,0)+
IF(#REF!="High Charges",3,0)+
IF(#REF!&gt;250,4,0)+
IF(#REF!="no",1,0)+
IF(#REF!="Heavy Domestic User",2,0)</f>
        <v>#REF!</v>
      </c>
      <c r="AG1279" t="e">
        <f>IF(#REF!&gt;=10,"High Risk", IF(#REF!&gt;=5,"Medium Risk","Low Risk"))</f>
        <v>#REF!</v>
      </c>
      <c r="AH1279" t="e">
        <f>#REF! + #REF! + #REF! + #REF!</f>
        <v>#REF!</v>
      </c>
    </row>
    <row r="1280" spans="1:34" x14ac:dyDescent="0.35">
      <c r="A1280">
        <v>1279</v>
      </c>
      <c r="B1280" t="s">
        <v>27</v>
      </c>
      <c r="C1280">
        <v>51</v>
      </c>
      <c r="D1280" t="s">
        <v>21</v>
      </c>
      <c r="E1280" t="s">
        <v>22</v>
      </c>
      <c r="F1280" t="s">
        <v>22</v>
      </c>
      <c r="G1280">
        <v>0</v>
      </c>
      <c r="H1280">
        <v>183.1</v>
      </c>
      <c r="I1280">
        <v>99</v>
      </c>
      <c r="J1280">
        <v>31.13</v>
      </c>
      <c r="K1280">
        <v>160.1</v>
      </c>
      <c r="L1280">
        <v>107</v>
      </c>
      <c r="M1280">
        <v>13.61</v>
      </c>
      <c r="N1280">
        <v>311.8</v>
      </c>
      <c r="O1280">
        <v>121</v>
      </c>
      <c r="P1280">
        <v>14.03</v>
      </c>
      <c r="Q1280">
        <v>7</v>
      </c>
      <c r="R1280">
        <v>3</v>
      </c>
      <c r="S1280">
        <v>1.89</v>
      </c>
      <c r="T1280">
        <v>1</v>
      </c>
      <c r="U1280" t="s">
        <v>22</v>
      </c>
      <c r="V1280" t="e">
        <f>IF(#REF! = "yes", 1, 0)</f>
        <v>#REF!</v>
      </c>
      <c r="W1280" t="e">
        <f>IF(#REF! &lt;= 1, "0-1 Calls", IF(#REF! &lt;= 3, "2-3 Calls", IF(#REF! &lt;=5, "4-5 Calls", "6+ Calls")))</f>
        <v>#REF!</v>
      </c>
      <c r="X1280" t="e">
        <f>IF(#REF! &lt;= 50, "0-50", IF(#REF! &lt;=100, "51-100", IF(#REF! &lt;= 150, "101-150", "151+")))</f>
        <v>#REF!</v>
      </c>
      <c r="Y1280" t="e">
        <f>IF(#REF! &lt;= 3, "Low Charges", "High Charges")</f>
        <v>#REF!</v>
      </c>
      <c r="Z1280" t="e">
        <f>IF(#REF!&lt;=80,"Low Calls",
IF(#REF!&lt;=120,"Medium Calls","High Calls"))</f>
        <v>#REF!</v>
      </c>
      <c r="AA1280" t="e">
        <f>IF(#REF!&lt;=15,"Low Charges",
IF(#REF!&lt;=20,"Medium Charges","High Charges"))</f>
        <v>#REF!</v>
      </c>
      <c r="AB1280" t="e">
        <f>IF(AND(#REF!&gt;180, #REF!&gt;200), "Heavy Doemstic User", IF(#REF!&gt;10, "Interntional User", IF(AND(#REF!&lt;180, #REF!&lt;200,#REF!&lt;200), "Light User", "Balanced User")))</f>
        <v>#REF!</v>
      </c>
      <c r="AC1280" t="e">
        <f>IF(#REF! = 0, "No Usage", IF(#REF! &lt;= 20, "Low Usage", IF(#REF! &lt;= 40, "Medium Usgae", "High Usage")))</f>
        <v>#REF!</v>
      </c>
      <c r="AD1280" t="e">
        <f>IF(#REF!&lt;=150,"Low Usage", IF(#REF!&lt;=200,"Medium Usage", IF(#REF!&lt;=250,"High Usage","Very High Usage")))</f>
        <v>#REF!</v>
      </c>
      <c r="AE1280" t="e">
        <f>IF(#REF!&lt;=5,"Low Calls", IF(#REF!&lt;=10, "Medium Calls", "High Calls"))</f>
        <v>#REF!</v>
      </c>
      <c r="AF1280" t="e">
        <f xml:space="preserve">
IF(#REF!&gt;=4,4,0)+
IF(#REF!="yes",3,0)+
IF(#REF!="High Charges",3,0)+
IF(#REF!&gt;250,4,0)+
IF(#REF!="no",1,0)+
IF(#REF!="Heavy Domestic User",2,0)</f>
        <v>#REF!</v>
      </c>
      <c r="AG1280" t="e">
        <f>IF(#REF!&gt;=10,"High Risk", IF(#REF!&gt;=5,"Medium Risk","Low Risk"))</f>
        <v>#REF!</v>
      </c>
      <c r="AH1280" t="e">
        <f>#REF! + #REF! + #REF! + #REF!</f>
        <v>#REF!</v>
      </c>
    </row>
    <row r="1281" spans="1:34" x14ac:dyDescent="0.35">
      <c r="A1281">
        <v>1280</v>
      </c>
      <c r="B1281" t="s">
        <v>40</v>
      </c>
      <c r="C1281">
        <v>130</v>
      </c>
      <c r="D1281" t="s">
        <v>21</v>
      </c>
      <c r="E1281" t="s">
        <v>22</v>
      </c>
      <c r="F1281" t="s">
        <v>22</v>
      </c>
      <c r="G1281">
        <v>0</v>
      </c>
      <c r="H1281">
        <v>207.1</v>
      </c>
      <c r="I1281">
        <v>70</v>
      </c>
      <c r="J1281">
        <v>35.21</v>
      </c>
      <c r="K1281">
        <v>200.1</v>
      </c>
      <c r="L1281">
        <v>115</v>
      </c>
      <c r="M1281">
        <v>17.010000000000002</v>
      </c>
      <c r="N1281">
        <v>194.2</v>
      </c>
      <c r="O1281">
        <v>100</v>
      </c>
      <c r="P1281">
        <v>8.74</v>
      </c>
      <c r="Q1281">
        <v>12.4</v>
      </c>
      <c r="R1281">
        <v>2</v>
      </c>
      <c r="S1281">
        <v>3.35</v>
      </c>
      <c r="T1281">
        <v>1</v>
      </c>
      <c r="U1281" t="s">
        <v>22</v>
      </c>
      <c r="V1281" t="e">
        <f>IF(#REF! = "yes", 1, 0)</f>
        <v>#REF!</v>
      </c>
      <c r="W1281" t="e">
        <f>IF(#REF! &lt;= 1, "0-1 Calls", IF(#REF! &lt;= 3, "2-3 Calls", IF(#REF! &lt;=5, "4-5 Calls", "6+ Calls")))</f>
        <v>#REF!</v>
      </c>
      <c r="X1281" t="e">
        <f>IF(#REF! &lt;= 50, "0-50", IF(#REF! &lt;=100, "51-100", IF(#REF! &lt;= 150, "101-150", "151+")))</f>
        <v>#REF!</v>
      </c>
      <c r="Y1281" t="e">
        <f>IF(#REF! &lt;= 3, "Low Charges", "High Charges")</f>
        <v>#REF!</v>
      </c>
      <c r="Z1281" t="e">
        <f>IF(#REF!&lt;=80,"Low Calls",
IF(#REF!&lt;=120,"Medium Calls","High Calls"))</f>
        <v>#REF!</v>
      </c>
      <c r="AA1281" t="e">
        <f>IF(#REF!&lt;=15,"Low Charges",
IF(#REF!&lt;=20,"Medium Charges","High Charges"))</f>
        <v>#REF!</v>
      </c>
      <c r="AB1281" t="e">
        <f>IF(AND(#REF!&gt;180, #REF!&gt;200), "Heavy Doemstic User", IF(#REF!&gt;10, "Interntional User", IF(AND(#REF!&lt;180, #REF!&lt;200,#REF!&lt;200), "Light User", "Balanced User")))</f>
        <v>#REF!</v>
      </c>
      <c r="AC1281" t="e">
        <f>IF(#REF! = 0, "No Usage", IF(#REF! &lt;= 20, "Low Usage", IF(#REF! &lt;= 40, "Medium Usgae", "High Usage")))</f>
        <v>#REF!</v>
      </c>
      <c r="AD1281" t="e">
        <f>IF(#REF!&lt;=150,"Low Usage", IF(#REF!&lt;=200,"Medium Usage", IF(#REF!&lt;=250,"High Usage","Very High Usage")))</f>
        <v>#REF!</v>
      </c>
      <c r="AE1281" t="e">
        <f>IF(#REF!&lt;=5,"Low Calls", IF(#REF!&lt;=10, "Medium Calls", "High Calls"))</f>
        <v>#REF!</v>
      </c>
      <c r="AF1281" t="e">
        <f xml:space="preserve">
IF(#REF!&gt;=4,4,0)+
IF(#REF!="yes",3,0)+
IF(#REF!="High Charges",3,0)+
IF(#REF!&gt;250,4,0)+
IF(#REF!="no",1,0)+
IF(#REF!="Heavy Domestic User",2,0)</f>
        <v>#REF!</v>
      </c>
      <c r="AG1281" t="e">
        <f>IF(#REF!&gt;=10,"High Risk", IF(#REF!&gt;=5,"Medium Risk","Low Risk"))</f>
        <v>#REF!</v>
      </c>
      <c r="AH1281" t="e">
        <f>#REF! + #REF! + #REF! + #REF!</f>
        <v>#REF!</v>
      </c>
    </row>
    <row r="1282" spans="1:34" x14ac:dyDescent="0.35">
      <c r="A1282">
        <v>1281</v>
      </c>
      <c r="B1282" t="s">
        <v>59</v>
      </c>
      <c r="C1282">
        <v>104</v>
      </c>
      <c r="D1282" t="s">
        <v>21</v>
      </c>
      <c r="E1282" t="s">
        <v>22</v>
      </c>
      <c r="F1282" t="s">
        <v>22</v>
      </c>
      <c r="G1282">
        <v>0</v>
      </c>
      <c r="H1282">
        <v>139.69999999999999</v>
      </c>
      <c r="I1282">
        <v>78</v>
      </c>
      <c r="J1282">
        <v>23.75</v>
      </c>
      <c r="K1282">
        <v>202.6</v>
      </c>
      <c r="L1282">
        <v>119</v>
      </c>
      <c r="M1282">
        <v>17.22</v>
      </c>
      <c r="N1282">
        <v>203.6</v>
      </c>
      <c r="O1282">
        <v>102</v>
      </c>
      <c r="P1282">
        <v>9.16</v>
      </c>
      <c r="Q1282">
        <v>11.3</v>
      </c>
      <c r="R1282">
        <v>5</v>
      </c>
      <c r="S1282">
        <v>3.05</v>
      </c>
      <c r="T1282">
        <v>2</v>
      </c>
      <c r="U1282" t="s">
        <v>22</v>
      </c>
      <c r="V1282" t="e">
        <f>IF(#REF! = "yes", 1, 0)</f>
        <v>#REF!</v>
      </c>
      <c r="W1282" t="e">
        <f>IF(#REF! &lt;= 1, "0-1 Calls", IF(#REF! &lt;= 3, "2-3 Calls", IF(#REF! &lt;=5, "4-5 Calls", "6+ Calls")))</f>
        <v>#REF!</v>
      </c>
      <c r="X1282" t="e">
        <f>IF(#REF! &lt;= 50, "0-50", IF(#REF! &lt;=100, "51-100", IF(#REF! &lt;= 150, "101-150", "151+")))</f>
        <v>#REF!</v>
      </c>
      <c r="Y1282" t="e">
        <f>IF(#REF! &lt;= 3, "Low Charges", "High Charges")</f>
        <v>#REF!</v>
      </c>
      <c r="Z1282" t="e">
        <f>IF(#REF!&lt;=80,"Low Calls",
IF(#REF!&lt;=120,"Medium Calls","High Calls"))</f>
        <v>#REF!</v>
      </c>
      <c r="AA1282" t="e">
        <f>IF(#REF!&lt;=15,"Low Charges",
IF(#REF!&lt;=20,"Medium Charges","High Charges"))</f>
        <v>#REF!</v>
      </c>
      <c r="AB1282" t="e">
        <f>IF(AND(#REF!&gt;180, #REF!&gt;200), "Heavy Doemstic User", IF(#REF!&gt;10, "Interntional User", IF(AND(#REF!&lt;180, #REF!&lt;200,#REF!&lt;200), "Light User", "Balanced User")))</f>
        <v>#REF!</v>
      </c>
      <c r="AC1282" t="e">
        <f>IF(#REF! = 0, "No Usage", IF(#REF! &lt;= 20, "Low Usage", IF(#REF! &lt;= 40, "Medium Usgae", "High Usage")))</f>
        <v>#REF!</v>
      </c>
      <c r="AD1282" t="e">
        <f>IF(#REF!&lt;=150,"Low Usage", IF(#REF!&lt;=200,"Medium Usage", IF(#REF!&lt;=250,"High Usage","Very High Usage")))</f>
        <v>#REF!</v>
      </c>
      <c r="AE1282" t="e">
        <f>IF(#REF!&lt;=5,"Low Calls", IF(#REF!&lt;=10, "Medium Calls", "High Calls"))</f>
        <v>#REF!</v>
      </c>
      <c r="AF1282" t="e">
        <f xml:space="preserve">
IF(#REF!&gt;=4,4,0)+
IF(#REF!="yes",3,0)+
IF(#REF!="High Charges",3,0)+
IF(#REF!&gt;250,4,0)+
IF(#REF!="no",1,0)+
IF(#REF!="Heavy Domestic User",2,0)</f>
        <v>#REF!</v>
      </c>
      <c r="AG1282" t="e">
        <f>IF(#REF!&gt;=10,"High Risk", IF(#REF!&gt;=5,"Medium Risk","Low Risk"))</f>
        <v>#REF!</v>
      </c>
      <c r="AH1282" t="e">
        <f>#REF! + #REF! + #REF! + #REF!</f>
        <v>#REF!</v>
      </c>
    </row>
    <row r="1283" spans="1:34" x14ac:dyDescent="0.35">
      <c r="A1283">
        <v>1282</v>
      </c>
      <c r="B1283" t="s">
        <v>74</v>
      </c>
      <c r="C1283">
        <v>134</v>
      </c>
      <c r="D1283" t="s">
        <v>25</v>
      </c>
      <c r="E1283" t="s">
        <v>22</v>
      </c>
      <c r="F1283" t="s">
        <v>22</v>
      </c>
      <c r="G1283">
        <v>0</v>
      </c>
      <c r="H1283">
        <v>177.2</v>
      </c>
      <c r="I1283">
        <v>91</v>
      </c>
      <c r="J1283">
        <v>30.12</v>
      </c>
      <c r="K1283">
        <v>228.7</v>
      </c>
      <c r="L1283">
        <v>105</v>
      </c>
      <c r="M1283">
        <v>19.440000000000001</v>
      </c>
      <c r="N1283">
        <v>194.3</v>
      </c>
      <c r="O1283">
        <v>113</v>
      </c>
      <c r="P1283">
        <v>8.74</v>
      </c>
      <c r="Q1283">
        <v>8.9</v>
      </c>
      <c r="R1283">
        <v>3</v>
      </c>
      <c r="S1283">
        <v>2.4</v>
      </c>
      <c r="T1283">
        <v>2</v>
      </c>
      <c r="U1283" t="s">
        <v>22</v>
      </c>
      <c r="V1283" t="e">
        <f>IF(#REF! = "yes", 1, 0)</f>
        <v>#REF!</v>
      </c>
      <c r="W1283" t="e">
        <f>IF(#REF! &lt;= 1, "0-1 Calls", IF(#REF! &lt;= 3, "2-3 Calls", IF(#REF! &lt;=5, "4-5 Calls", "6+ Calls")))</f>
        <v>#REF!</v>
      </c>
      <c r="X1283" t="e">
        <f>IF(#REF! &lt;= 50, "0-50", IF(#REF! &lt;=100, "51-100", IF(#REF! &lt;= 150, "101-150", "151+")))</f>
        <v>#REF!</v>
      </c>
      <c r="Y1283" t="e">
        <f>IF(#REF! &lt;= 3, "Low Charges", "High Charges")</f>
        <v>#REF!</v>
      </c>
      <c r="Z1283" t="e">
        <f>IF(#REF!&lt;=80,"Low Calls",
IF(#REF!&lt;=120,"Medium Calls","High Calls"))</f>
        <v>#REF!</v>
      </c>
      <c r="AA1283" t="e">
        <f>IF(#REF!&lt;=15,"Low Charges",
IF(#REF!&lt;=20,"Medium Charges","High Charges"))</f>
        <v>#REF!</v>
      </c>
      <c r="AB1283" t="e">
        <f>IF(AND(#REF!&gt;180, #REF!&gt;200), "Heavy Doemstic User", IF(#REF!&gt;10, "Interntional User", IF(AND(#REF!&lt;180, #REF!&lt;200,#REF!&lt;200), "Light User", "Balanced User")))</f>
        <v>#REF!</v>
      </c>
      <c r="AC1283" t="e">
        <f>IF(#REF! = 0, "No Usage", IF(#REF! &lt;= 20, "Low Usage", IF(#REF! &lt;= 40, "Medium Usgae", "High Usage")))</f>
        <v>#REF!</v>
      </c>
      <c r="AD1283" t="e">
        <f>IF(#REF!&lt;=150,"Low Usage", IF(#REF!&lt;=200,"Medium Usage", IF(#REF!&lt;=250,"High Usage","Very High Usage")))</f>
        <v>#REF!</v>
      </c>
      <c r="AE1283" t="e">
        <f>IF(#REF!&lt;=5,"Low Calls", IF(#REF!&lt;=10, "Medium Calls", "High Calls"))</f>
        <v>#REF!</v>
      </c>
      <c r="AF1283" t="e">
        <f xml:space="preserve">
IF(#REF!&gt;=4,4,0)+
IF(#REF!="yes",3,0)+
IF(#REF!="High Charges",3,0)+
IF(#REF!&gt;250,4,0)+
IF(#REF!="no",1,0)+
IF(#REF!="Heavy Domestic User",2,0)</f>
        <v>#REF!</v>
      </c>
      <c r="AG1283" t="e">
        <f>IF(#REF!&gt;=10,"High Risk", IF(#REF!&gt;=5,"Medium Risk","Low Risk"))</f>
        <v>#REF!</v>
      </c>
      <c r="AH1283" t="e">
        <f>#REF! + #REF! + #REF! + #REF!</f>
        <v>#REF!</v>
      </c>
    </row>
    <row r="1284" spans="1:34" x14ac:dyDescent="0.35">
      <c r="A1284">
        <v>1283</v>
      </c>
      <c r="B1284" t="s">
        <v>65</v>
      </c>
      <c r="C1284">
        <v>108</v>
      </c>
      <c r="D1284" t="s">
        <v>21</v>
      </c>
      <c r="E1284" t="s">
        <v>22</v>
      </c>
      <c r="F1284" t="s">
        <v>23</v>
      </c>
      <c r="G1284">
        <v>35</v>
      </c>
      <c r="H1284">
        <v>169.8</v>
      </c>
      <c r="I1284">
        <v>136</v>
      </c>
      <c r="J1284">
        <v>28.87</v>
      </c>
      <c r="K1284">
        <v>173.7</v>
      </c>
      <c r="L1284">
        <v>101</v>
      </c>
      <c r="M1284">
        <v>14.76</v>
      </c>
      <c r="N1284">
        <v>214.6</v>
      </c>
      <c r="O1284">
        <v>105</v>
      </c>
      <c r="P1284">
        <v>9.66</v>
      </c>
      <c r="Q1284">
        <v>9.5</v>
      </c>
      <c r="R1284">
        <v>7</v>
      </c>
      <c r="S1284">
        <v>2.57</v>
      </c>
      <c r="T1284">
        <v>2</v>
      </c>
      <c r="U1284" t="s">
        <v>22</v>
      </c>
      <c r="V1284" t="e">
        <f>IF(#REF! = "yes", 1, 0)</f>
        <v>#REF!</v>
      </c>
      <c r="W1284" t="e">
        <f>IF(#REF! &lt;= 1, "0-1 Calls", IF(#REF! &lt;= 3, "2-3 Calls", IF(#REF! &lt;=5, "4-5 Calls", "6+ Calls")))</f>
        <v>#REF!</v>
      </c>
      <c r="X1284" t="e">
        <f>IF(#REF! &lt;= 50, "0-50", IF(#REF! &lt;=100, "51-100", IF(#REF! &lt;= 150, "101-150", "151+")))</f>
        <v>#REF!</v>
      </c>
      <c r="Y1284" t="e">
        <f>IF(#REF! &lt;= 3, "Low Charges", "High Charges")</f>
        <v>#REF!</v>
      </c>
      <c r="Z1284" t="e">
        <f>IF(#REF!&lt;=80,"Low Calls",
IF(#REF!&lt;=120,"Medium Calls","High Calls"))</f>
        <v>#REF!</v>
      </c>
      <c r="AA1284" t="e">
        <f>IF(#REF!&lt;=15,"Low Charges",
IF(#REF!&lt;=20,"Medium Charges","High Charges"))</f>
        <v>#REF!</v>
      </c>
      <c r="AB1284" t="e">
        <f>IF(AND(#REF!&gt;180, #REF!&gt;200), "Heavy Doemstic User", IF(#REF!&gt;10, "Interntional User", IF(AND(#REF!&lt;180, #REF!&lt;200,#REF!&lt;200), "Light User", "Balanced User")))</f>
        <v>#REF!</v>
      </c>
      <c r="AC1284" t="e">
        <f>IF(#REF! = 0, "No Usage", IF(#REF! &lt;= 20, "Low Usage", IF(#REF! &lt;= 40, "Medium Usgae", "High Usage")))</f>
        <v>#REF!</v>
      </c>
      <c r="AD1284" t="e">
        <f>IF(#REF!&lt;=150,"Low Usage", IF(#REF!&lt;=200,"Medium Usage", IF(#REF!&lt;=250,"High Usage","Very High Usage")))</f>
        <v>#REF!</v>
      </c>
      <c r="AE1284" t="e">
        <f>IF(#REF!&lt;=5,"Low Calls", IF(#REF!&lt;=10, "Medium Calls", "High Calls"))</f>
        <v>#REF!</v>
      </c>
      <c r="AF1284" t="e">
        <f xml:space="preserve">
IF(#REF!&gt;=4,4,0)+
IF(#REF!="yes",3,0)+
IF(#REF!="High Charges",3,0)+
IF(#REF!&gt;250,4,0)+
IF(#REF!="no",1,0)+
IF(#REF!="Heavy Domestic User",2,0)</f>
        <v>#REF!</v>
      </c>
      <c r="AG1284" t="e">
        <f>IF(#REF!&gt;=10,"High Risk", IF(#REF!&gt;=5,"Medium Risk","Low Risk"))</f>
        <v>#REF!</v>
      </c>
      <c r="AH1284" t="e">
        <f>#REF! + #REF! + #REF! + #REF!</f>
        <v>#REF!</v>
      </c>
    </row>
    <row r="1285" spans="1:34" x14ac:dyDescent="0.35">
      <c r="A1285">
        <v>1284</v>
      </c>
      <c r="B1285" t="s">
        <v>61</v>
      </c>
      <c r="C1285">
        <v>103</v>
      </c>
      <c r="D1285" t="s">
        <v>21</v>
      </c>
      <c r="E1285" t="s">
        <v>22</v>
      </c>
      <c r="F1285" t="s">
        <v>22</v>
      </c>
      <c r="G1285">
        <v>0</v>
      </c>
      <c r="H1285">
        <v>173.5</v>
      </c>
      <c r="I1285">
        <v>83</v>
      </c>
      <c r="J1285">
        <v>29.5</v>
      </c>
      <c r="K1285">
        <v>244.3</v>
      </c>
      <c r="L1285">
        <v>65</v>
      </c>
      <c r="M1285">
        <v>20.77</v>
      </c>
      <c r="N1285">
        <v>221.6</v>
      </c>
      <c r="O1285">
        <v>66</v>
      </c>
      <c r="P1285">
        <v>9.9700000000000006</v>
      </c>
      <c r="Q1285">
        <v>9.6999999999999993</v>
      </c>
      <c r="R1285">
        <v>2</v>
      </c>
      <c r="S1285">
        <v>2.62</v>
      </c>
      <c r="T1285">
        <v>3</v>
      </c>
      <c r="U1285" t="s">
        <v>22</v>
      </c>
      <c r="V1285" t="e">
        <f>IF(#REF! = "yes", 1, 0)</f>
        <v>#REF!</v>
      </c>
      <c r="W1285" t="e">
        <f>IF(#REF! &lt;= 1, "0-1 Calls", IF(#REF! &lt;= 3, "2-3 Calls", IF(#REF! &lt;=5, "4-5 Calls", "6+ Calls")))</f>
        <v>#REF!</v>
      </c>
      <c r="X1285" t="e">
        <f>IF(#REF! &lt;= 50, "0-50", IF(#REF! &lt;=100, "51-100", IF(#REF! &lt;= 150, "101-150", "151+")))</f>
        <v>#REF!</v>
      </c>
      <c r="Y1285" t="e">
        <f>IF(#REF! &lt;= 3, "Low Charges", "High Charges")</f>
        <v>#REF!</v>
      </c>
      <c r="Z1285" t="e">
        <f>IF(#REF!&lt;=80,"Low Calls",
IF(#REF!&lt;=120,"Medium Calls","High Calls"))</f>
        <v>#REF!</v>
      </c>
      <c r="AA1285" t="e">
        <f>IF(#REF!&lt;=15,"Low Charges",
IF(#REF!&lt;=20,"Medium Charges","High Charges"))</f>
        <v>#REF!</v>
      </c>
      <c r="AB1285" t="e">
        <f>IF(AND(#REF!&gt;180, #REF!&gt;200), "Heavy Doemstic User", IF(#REF!&gt;10, "Interntional User", IF(AND(#REF!&lt;180, #REF!&lt;200,#REF!&lt;200), "Light User", "Balanced User")))</f>
        <v>#REF!</v>
      </c>
      <c r="AC1285" t="e">
        <f>IF(#REF! = 0, "No Usage", IF(#REF! &lt;= 20, "Low Usage", IF(#REF! &lt;= 40, "Medium Usgae", "High Usage")))</f>
        <v>#REF!</v>
      </c>
      <c r="AD1285" t="e">
        <f>IF(#REF!&lt;=150,"Low Usage", IF(#REF!&lt;=200,"Medium Usage", IF(#REF!&lt;=250,"High Usage","Very High Usage")))</f>
        <v>#REF!</v>
      </c>
      <c r="AE1285" t="e">
        <f>IF(#REF!&lt;=5,"Low Calls", IF(#REF!&lt;=10, "Medium Calls", "High Calls"))</f>
        <v>#REF!</v>
      </c>
      <c r="AF1285" t="e">
        <f xml:space="preserve">
IF(#REF!&gt;=4,4,0)+
IF(#REF!="yes",3,0)+
IF(#REF!="High Charges",3,0)+
IF(#REF!&gt;250,4,0)+
IF(#REF!="no",1,0)+
IF(#REF!="Heavy Domestic User",2,0)</f>
        <v>#REF!</v>
      </c>
      <c r="AG1285" t="e">
        <f>IF(#REF!&gt;=10,"High Risk", IF(#REF!&gt;=5,"Medium Risk","Low Risk"))</f>
        <v>#REF!</v>
      </c>
      <c r="AH1285" t="e">
        <f>#REF! + #REF! + #REF! + #REF!</f>
        <v>#REF!</v>
      </c>
    </row>
    <row r="1286" spans="1:34" x14ac:dyDescent="0.35">
      <c r="A1286">
        <v>1285</v>
      </c>
      <c r="B1286" t="s">
        <v>75</v>
      </c>
      <c r="C1286">
        <v>62</v>
      </c>
      <c r="D1286" t="s">
        <v>28</v>
      </c>
      <c r="E1286" t="s">
        <v>22</v>
      </c>
      <c r="F1286" t="s">
        <v>22</v>
      </c>
      <c r="G1286">
        <v>0</v>
      </c>
      <c r="H1286">
        <v>159.9</v>
      </c>
      <c r="I1286">
        <v>100</v>
      </c>
      <c r="J1286">
        <v>27.18</v>
      </c>
      <c r="K1286">
        <v>172.2</v>
      </c>
      <c r="L1286">
        <v>99</v>
      </c>
      <c r="M1286">
        <v>14.64</v>
      </c>
      <c r="N1286">
        <v>263.2</v>
      </c>
      <c r="O1286">
        <v>109</v>
      </c>
      <c r="P1286">
        <v>11.84</v>
      </c>
      <c r="Q1286">
        <v>5.6</v>
      </c>
      <c r="R1286">
        <v>4</v>
      </c>
      <c r="S1286">
        <v>1.51</v>
      </c>
      <c r="T1286">
        <v>1</v>
      </c>
      <c r="U1286" t="s">
        <v>22</v>
      </c>
      <c r="V1286" t="e">
        <f>IF(#REF! = "yes", 1, 0)</f>
        <v>#REF!</v>
      </c>
      <c r="W1286" t="e">
        <f>IF(#REF! &lt;= 1, "0-1 Calls", IF(#REF! &lt;= 3, "2-3 Calls", IF(#REF! &lt;=5, "4-5 Calls", "6+ Calls")))</f>
        <v>#REF!</v>
      </c>
      <c r="X1286" t="e">
        <f>IF(#REF! &lt;= 50, "0-50", IF(#REF! &lt;=100, "51-100", IF(#REF! &lt;= 150, "101-150", "151+")))</f>
        <v>#REF!</v>
      </c>
      <c r="Y1286" t="e">
        <f>IF(#REF! &lt;= 3, "Low Charges", "High Charges")</f>
        <v>#REF!</v>
      </c>
      <c r="Z1286" t="e">
        <f>IF(#REF!&lt;=80,"Low Calls",
IF(#REF!&lt;=120,"Medium Calls","High Calls"))</f>
        <v>#REF!</v>
      </c>
      <c r="AA1286" t="e">
        <f>IF(#REF!&lt;=15,"Low Charges",
IF(#REF!&lt;=20,"Medium Charges","High Charges"))</f>
        <v>#REF!</v>
      </c>
      <c r="AB1286" t="e">
        <f>IF(AND(#REF!&gt;180, #REF!&gt;200), "Heavy Doemstic User", IF(#REF!&gt;10, "Interntional User", IF(AND(#REF!&lt;180, #REF!&lt;200,#REF!&lt;200), "Light User", "Balanced User")))</f>
        <v>#REF!</v>
      </c>
      <c r="AC1286" t="e">
        <f>IF(#REF! = 0, "No Usage", IF(#REF! &lt;= 20, "Low Usage", IF(#REF! &lt;= 40, "Medium Usgae", "High Usage")))</f>
        <v>#REF!</v>
      </c>
      <c r="AD1286" t="e">
        <f>IF(#REF!&lt;=150,"Low Usage", IF(#REF!&lt;=200,"Medium Usage", IF(#REF!&lt;=250,"High Usage","Very High Usage")))</f>
        <v>#REF!</v>
      </c>
      <c r="AE1286" t="e">
        <f>IF(#REF!&lt;=5,"Low Calls", IF(#REF!&lt;=10, "Medium Calls", "High Calls"))</f>
        <v>#REF!</v>
      </c>
      <c r="AF1286" t="e">
        <f xml:space="preserve">
IF(#REF!&gt;=4,4,0)+
IF(#REF!="yes",3,0)+
IF(#REF!="High Charges",3,0)+
IF(#REF!&gt;250,4,0)+
IF(#REF!="no",1,0)+
IF(#REF!="Heavy Domestic User",2,0)</f>
        <v>#REF!</v>
      </c>
      <c r="AG1286" t="e">
        <f>IF(#REF!&gt;=10,"High Risk", IF(#REF!&gt;=5,"Medium Risk","Low Risk"))</f>
        <v>#REF!</v>
      </c>
      <c r="AH1286" t="e">
        <f>#REF! + #REF! + #REF! + #REF!</f>
        <v>#REF!</v>
      </c>
    </row>
    <row r="1287" spans="1:34" x14ac:dyDescent="0.35">
      <c r="A1287">
        <v>1286</v>
      </c>
      <c r="B1287" t="s">
        <v>62</v>
      </c>
      <c r="C1287">
        <v>162</v>
      </c>
      <c r="D1287" t="s">
        <v>21</v>
      </c>
      <c r="E1287" t="s">
        <v>22</v>
      </c>
      <c r="F1287" t="s">
        <v>22</v>
      </c>
      <c r="G1287">
        <v>0</v>
      </c>
      <c r="H1287">
        <v>115.1</v>
      </c>
      <c r="I1287">
        <v>89</v>
      </c>
      <c r="J1287">
        <v>19.57</v>
      </c>
      <c r="K1287">
        <v>196.8</v>
      </c>
      <c r="L1287">
        <v>111</v>
      </c>
      <c r="M1287">
        <v>16.73</v>
      </c>
      <c r="N1287">
        <v>212.4</v>
      </c>
      <c r="O1287">
        <v>98</v>
      </c>
      <c r="P1287">
        <v>9.56</v>
      </c>
      <c r="Q1287">
        <v>11.4</v>
      </c>
      <c r="R1287">
        <v>3</v>
      </c>
      <c r="S1287">
        <v>3.08</v>
      </c>
      <c r="T1287">
        <v>2</v>
      </c>
      <c r="U1287" t="s">
        <v>22</v>
      </c>
      <c r="V1287" t="e">
        <f>IF(#REF! = "yes", 1, 0)</f>
        <v>#REF!</v>
      </c>
      <c r="W1287" t="e">
        <f>IF(#REF! &lt;= 1, "0-1 Calls", IF(#REF! &lt;= 3, "2-3 Calls", IF(#REF! &lt;=5, "4-5 Calls", "6+ Calls")))</f>
        <v>#REF!</v>
      </c>
      <c r="X1287" t="e">
        <f>IF(#REF! &lt;= 50, "0-50", IF(#REF! &lt;=100, "51-100", IF(#REF! &lt;= 150, "101-150", "151+")))</f>
        <v>#REF!</v>
      </c>
      <c r="Y1287" t="e">
        <f>IF(#REF! &lt;= 3, "Low Charges", "High Charges")</f>
        <v>#REF!</v>
      </c>
      <c r="Z1287" t="e">
        <f>IF(#REF!&lt;=80,"Low Calls",
IF(#REF!&lt;=120,"Medium Calls","High Calls"))</f>
        <v>#REF!</v>
      </c>
      <c r="AA1287" t="e">
        <f>IF(#REF!&lt;=15,"Low Charges",
IF(#REF!&lt;=20,"Medium Charges","High Charges"))</f>
        <v>#REF!</v>
      </c>
      <c r="AB1287" t="e">
        <f>IF(AND(#REF!&gt;180, #REF!&gt;200), "Heavy Doemstic User", IF(#REF!&gt;10, "Interntional User", IF(AND(#REF!&lt;180, #REF!&lt;200,#REF!&lt;200), "Light User", "Balanced User")))</f>
        <v>#REF!</v>
      </c>
      <c r="AC1287" t="e">
        <f>IF(#REF! = 0, "No Usage", IF(#REF! &lt;= 20, "Low Usage", IF(#REF! &lt;= 40, "Medium Usgae", "High Usage")))</f>
        <v>#REF!</v>
      </c>
      <c r="AD1287" t="e">
        <f>IF(#REF!&lt;=150,"Low Usage", IF(#REF!&lt;=200,"Medium Usage", IF(#REF!&lt;=250,"High Usage","Very High Usage")))</f>
        <v>#REF!</v>
      </c>
      <c r="AE1287" t="e">
        <f>IF(#REF!&lt;=5,"Low Calls", IF(#REF!&lt;=10, "Medium Calls", "High Calls"))</f>
        <v>#REF!</v>
      </c>
      <c r="AF1287" t="e">
        <f xml:space="preserve">
IF(#REF!&gt;=4,4,0)+
IF(#REF!="yes",3,0)+
IF(#REF!="High Charges",3,0)+
IF(#REF!&gt;250,4,0)+
IF(#REF!="no",1,0)+
IF(#REF!="Heavy Domestic User",2,0)</f>
        <v>#REF!</v>
      </c>
      <c r="AG1287" t="e">
        <f>IF(#REF!&gt;=10,"High Risk", IF(#REF!&gt;=5,"Medium Risk","Low Risk"))</f>
        <v>#REF!</v>
      </c>
      <c r="AH1287" t="e">
        <f>#REF! + #REF! + #REF! + #REF!</f>
        <v>#REF!</v>
      </c>
    </row>
    <row r="1288" spans="1:34" x14ac:dyDescent="0.35">
      <c r="A1288">
        <v>1287</v>
      </c>
      <c r="B1288" t="s">
        <v>37</v>
      </c>
      <c r="C1288">
        <v>42</v>
      </c>
      <c r="D1288" t="s">
        <v>21</v>
      </c>
      <c r="E1288" t="s">
        <v>22</v>
      </c>
      <c r="F1288" t="s">
        <v>22</v>
      </c>
      <c r="G1288">
        <v>0</v>
      </c>
      <c r="H1288">
        <v>92.2</v>
      </c>
      <c r="I1288">
        <v>108</v>
      </c>
      <c r="J1288">
        <v>15.67</v>
      </c>
      <c r="K1288">
        <v>211.2</v>
      </c>
      <c r="L1288">
        <v>120</v>
      </c>
      <c r="M1288">
        <v>17.95</v>
      </c>
      <c r="N1288">
        <v>129.1</v>
      </c>
      <c r="O1288">
        <v>73</v>
      </c>
      <c r="P1288">
        <v>5.81</v>
      </c>
      <c r="Q1288">
        <v>13.1</v>
      </c>
      <c r="R1288">
        <v>6</v>
      </c>
      <c r="S1288">
        <v>3.54</v>
      </c>
      <c r="T1288">
        <v>1</v>
      </c>
      <c r="U1288" t="s">
        <v>22</v>
      </c>
      <c r="V1288" t="e">
        <f>IF(#REF! = "yes", 1, 0)</f>
        <v>#REF!</v>
      </c>
      <c r="W1288" t="e">
        <f>IF(#REF! &lt;= 1, "0-1 Calls", IF(#REF! &lt;= 3, "2-3 Calls", IF(#REF! &lt;=5, "4-5 Calls", "6+ Calls")))</f>
        <v>#REF!</v>
      </c>
      <c r="X1288" t="e">
        <f>IF(#REF! &lt;= 50, "0-50", IF(#REF! &lt;=100, "51-100", IF(#REF! &lt;= 150, "101-150", "151+")))</f>
        <v>#REF!</v>
      </c>
      <c r="Y1288" t="e">
        <f>IF(#REF! &lt;= 3, "Low Charges", "High Charges")</f>
        <v>#REF!</v>
      </c>
      <c r="Z1288" t="e">
        <f>IF(#REF!&lt;=80,"Low Calls",
IF(#REF!&lt;=120,"Medium Calls","High Calls"))</f>
        <v>#REF!</v>
      </c>
      <c r="AA1288" t="e">
        <f>IF(#REF!&lt;=15,"Low Charges",
IF(#REF!&lt;=20,"Medium Charges","High Charges"))</f>
        <v>#REF!</v>
      </c>
      <c r="AB1288" t="e">
        <f>IF(AND(#REF!&gt;180, #REF!&gt;200), "Heavy Doemstic User", IF(#REF!&gt;10, "Interntional User", IF(AND(#REF!&lt;180, #REF!&lt;200,#REF!&lt;200), "Light User", "Balanced User")))</f>
        <v>#REF!</v>
      </c>
      <c r="AC1288" t="e">
        <f>IF(#REF! = 0, "No Usage", IF(#REF! &lt;= 20, "Low Usage", IF(#REF! &lt;= 40, "Medium Usgae", "High Usage")))</f>
        <v>#REF!</v>
      </c>
      <c r="AD1288" t="e">
        <f>IF(#REF!&lt;=150,"Low Usage", IF(#REF!&lt;=200,"Medium Usage", IF(#REF!&lt;=250,"High Usage","Very High Usage")))</f>
        <v>#REF!</v>
      </c>
      <c r="AE1288" t="e">
        <f>IF(#REF!&lt;=5,"Low Calls", IF(#REF!&lt;=10, "Medium Calls", "High Calls"))</f>
        <v>#REF!</v>
      </c>
      <c r="AF1288" t="e">
        <f xml:space="preserve">
IF(#REF!&gt;=4,4,0)+
IF(#REF!="yes",3,0)+
IF(#REF!="High Charges",3,0)+
IF(#REF!&gt;250,4,0)+
IF(#REF!="no",1,0)+
IF(#REF!="Heavy Domestic User",2,0)</f>
        <v>#REF!</v>
      </c>
      <c r="AG1288" t="e">
        <f>IF(#REF!&gt;=10,"High Risk", IF(#REF!&gt;=5,"Medium Risk","Low Risk"))</f>
        <v>#REF!</v>
      </c>
      <c r="AH1288" t="e">
        <f>#REF! + #REF! + #REF! + #REF!</f>
        <v>#REF!</v>
      </c>
    </row>
    <row r="1289" spans="1:34" x14ac:dyDescent="0.35">
      <c r="A1289">
        <v>1288</v>
      </c>
      <c r="B1289" t="s">
        <v>34</v>
      </c>
      <c r="C1289">
        <v>36</v>
      </c>
      <c r="D1289" t="s">
        <v>28</v>
      </c>
      <c r="E1289" t="s">
        <v>22</v>
      </c>
      <c r="F1289" t="s">
        <v>22</v>
      </c>
      <c r="G1289">
        <v>0</v>
      </c>
      <c r="H1289">
        <v>117.1</v>
      </c>
      <c r="I1289">
        <v>94</v>
      </c>
      <c r="J1289">
        <v>19.91</v>
      </c>
      <c r="K1289">
        <v>235.4</v>
      </c>
      <c r="L1289">
        <v>117</v>
      </c>
      <c r="M1289">
        <v>20.010000000000002</v>
      </c>
      <c r="N1289">
        <v>221.3</v>
      </c>
      <c r="O1289">
        <v>108</v>
      </c>
      <c r="P1289">
        <v>9.9600000000000009</v>
      </c>
      <c r="Q1289">
        <v>9</v>
      </c>
      <c r="R1289">
        <v>2</v>
      </c>
      <c r="S1289">
        <v>2.4300000000000002</v>
      </c>
      <c r="T1289">
        <v>0</v>
      </c>
      <c r="U1289" t="s">
        <v>22</v>
      </c>
      <c r="V1289" t="e">
        <f>IF(#REF! = "yes", 1, 0)</f>
        <v>#REF!</v>
      </c>
      <c r="W1289" t="e">
        <f>IF(#REF! &lt;= 1, "0-1 Calls", IF(#REF! &lt;= 3, "2-3 Calls", IF(#REF! &lt;=5, "4-5 Calls", "6+ Calls")))</f>
        <v>#REF!</v>
      </c>
      <c r="X1289" t="e">
        <f>IF(#REF! &lt;= 50, "0-50", IF(#REF! &lt;=100, "51-100", IF(#REF! &lt;= 150, "101-150", "151+")))</f>
        <v>#REF!</v>
      </c>
      <c r="Y1289" t="e">
        <f>IF(#REF! &lt;= 3, "Low Charges", "High Charges")</f>
        <v>#REF!</v>
      </c>
      <c r="Z1289" t="e">
        <f>IF(#REF!&lt;=80,"Low Calls",
IF(#REF!&lt;=120,"Medium Calls","High Calls"))</f>
        <v>#REF!</v>
      </c>
      <c r="AA1289" t="e">
        <f>IF(#REF!&lt;=15,"Low Charges",
IF(#REF!&lt;=20,"Medium Charges","High Charges"))</f>
        <v>#REF!</v>
      </c>
      <c r="AB1289" t="e">
        <f>IF(AND(#REF!&gt;180, #REF!&gt;200), "Heavy Doemstic User", IF(#REF!&gt;10, "Interntional User", IF(AND(#REF!&lt;180, #REF!&lt;200,#REF!&lt;200), "Light User", "Balanced User")))</f>
        <v>#REF!</v>
      </c>
      <c r="AC1289" t="e">
        <f>IF(#REF! = 0, "No Usage", IF(#REF! &lt;= 20, "Low Usage", IF(#REF! &lt;= 40, "Medium Usgae", "High Usage")))</f>
        <v>#REF!</v>
      </c>
      <c r="AD1289" t="e">
        <f>IF(#REF!&lt;=150,"Low Usage", IF(#REF!&lt;=200,"Medium Usage", IF(#REF!&lt;=250,"High Usage","Very High Usage")))</f>
        <v>#REF!</v>
      </c>
      <c r="AE1289" t="e">
        <f>IF(#REF!&lt;=5,"Low Calls", IF(#REF!&lt;=10, "Medium Calls", "High Calls"))</f>
        <v>#REF!</v>
      </c>
      <c r="AF1289" t="e">
        <f xml:space="preserve">
IF(#REF!&gt;=4,4,0)+
IF(#REF!="yes",3,0)+
IF(#REF!="High Charges",3,0)+
IF(#REF!&gt;250,4,0)+
IF(#REF!="no",1,0)+
IF(#REF!="Heavy Domestic User",2,0)</f>
        <v>#REF!</v>
      </c>
      <c r="AG1289" t="e">
        <f>IF(#REF!&gt;=10,"High Risk", IF(#REF!&gt;=5,"Medium Risk","Low Risk"))</f>
        <v>#REF!</v>
      </c>
      <c r="AH1289" t="e">
        <f>#REF! + #REF! + #REF! + #REF!</f>
        <v>#REF!</v>
      </c>
    </row>
    <row r="1290" spans="1:34" x14ac:dyDescent="0.35">
      <c r="A1290">
        <v>1289</v>
      </c>
      <c r="B1290" t="s">
        <v>20</v>
      </c>
      <c r="C1290">
        <v>143</v>
      </c>
      <c r="D1290" t="s">
        <v>21</v>
      </c>
      <c r="E1290" t="s">
        <v>22</v>
      </c>
      <c r="F1290" t="s">
        <v>22</v>
      </c>
      <c r="G1290">
        <v>0</v>
      </c>
      <c r="H1290">
        <v>223.3</v>
      </c>
      <c r="I1290">
        <v>99</v>
      </c>
      <c r="J1290">
        <v>37.96</v>
      </c>
      <c r="K1290">
        <v>167.1</v>
      </c>
      <c r="L1290">
        <v>128</v>
      </c>
      <c r="M1290">
        <v>14.2</v>
      </c>
      <c r="N1290">
        <v>203</v>
      </c>
      <c r="O1290">
        <v>84</v>
      </c>
      <c r="P1290">
        <v>9.14</v>
      </c>
      <c r="Q1290">
        <v>4.5</v>
      </c>
      <c r="R1290">
        <v>4</v>
      </c>
      <c r="S1290">
        <v>1.22</v>
      </c>
      <c r="T1290">
        <v>0</v>
      </c>
      <c r="U1290" t="s">
        <v>23</v>
      </c>
      <c r="V1290" t="e">
        <f>IF(#REF! = "yes", 1, 0)</f>
        <v>#REF!</v>
      </c>
      <c r="W1290" t="e">
        <f>IF(#REF! &lt;= 1, "0-1 Calls", IF(#REF! &lt;= 3, "2-3 Calls", IF(#REF! &lt;=5, "4-5 Calls", "6+ Calls")))</f>
        <v>#REF!</v>
      </c>
      <c r="X1290" t="e">
        <f>IF(#REF! &lt;= 50, "0-50", IF(#REF! &lt;=100, "51-100", IF(#REF! &lt;= 150, "101-150", "151+")))</f>
        <v>#REF!</v>
      </c>
      <c r="Y1290" t="e">
        <f>IF(#REF! &lt;= 3, "Low Charges", "High Charges")</f>
        <v>#REF!</v>
      </c>
      <c r="Z1290" t="e">
        <f>IF(#REF!&lt;=80,"Low Calls",
IF(#REF!&lt;=120,"Medium Calls","High Calls"))</f>
        <v>#REF!</v>
      </c>
      <c r="AA1290" t="e">
        <f>IF(#REF!&lt;=15,"Low Charges",
IF(#REF!&lt;=20,"Medium Charges","High Charges"))</f>
        <v>#REF!</v>
      </c>
      <c r="AB1290" t="e">
        <f>IF(AND(#REF!&gt;180, #REF!&gt;200), "Heavy Doemstic User", IF(#REF!&gt;10, "Interntional User", IF(AND(#REF!&lt;180, #REF!&lt;200,#REF!&lt;200), "Light User", "Balanced User")))</f>
        <v>#REF!</v>
      </c>
      <c r="AC1290" t="e">
        <f>IF(#REF! = 0, "No Usage", IF(#REF! &lt;= 20, "Low Usage", IF(#REF! &lt;= 40, "Medium Usgae", "High Usage")))</f>
        <v>#REF!</v>
      </c>
      <c r="AD1290" t="e">
        <f>IF(#REF!&lt;=150,"Low Usage", IF(#REF!&lt;=200,"Medium Usage", IF(#REF!&lt;=250,"High Usage","Very High Usage")))</f>
        <v>#REF!</v>
      </c>
      <c r="AE1290" t="e">
        <f>IF(#REF!&lt;=5,"Low Calls", IF(#REF!&lt;=10, "Medium Calls", "High Calls"))</f>
        <v>#REF!</v>
      </c>
      <c r="AF1290" t="e">
        <f xml:space="preserve">
IF(#REF!&gt;=4,4,0)+
IF(#REF!="yes",3,0)+
IF(#REF!="High Charges",3,0)+
IF(#REF!&gt;250,4,0)+
IF(#REF!="no",1,0)+
IF(#REF!="Heavy Domestic User",2,0)</f>
        <v>#REF!</v>
      </c>
      <c r="AG1290" t="e">
        <f>IF(#REF!&gt;=10,"High Risk", IF(#REF!&gt;=5,"Medium Risk","Low Risk"))</f>
        <v>#REF!</v>
      </c>
      <c r="AH1290" t="e">
        <f>#REF! + #REF! + #REF! + #REF!</f>
        <v>#REF!</v>
      </c>
    </row>
    <row r="1291" spans="1:34" x14ac:dyDescent="0.35">
      <c r="A1291">
        <v>1290</v>
      </c>
      <c r="B1291" t="s">
        <v>24</v>
      </c>
      <c r="C1291">
        <v>197</v>
      </c>
      <c r="D1291" t="s">
        <v>28</v>
      </c>
      <c r="E1291" t="s">
        <v>22</v>
      </c>
      <c r="F1291" t="s">
        <v>22</v>
      </c>
      <c r="G1291">
        <v>0</v>
      </c>
      <c r="H1291">
        <v>154.80000000000001</v>
      </c>
      <c r="I1291">
        <v>111</v>
      </c>
      <c r="J1291">
        <v>26.32</v>
      </c>
      <c r="K1291">
        <v>171.5</v>
      </c>
      <c r="L1291">
        <v>102</v>
      </c>
      <c r="M1291">
        <v>14.58</v>
      </c>
      <c r="N1291">
        <v>227.3</v>
      </c>
      <c r="O1291">
        <v>86</v>
      </c>
      <c r="P1291">
        <v>10.23</v>
      </c>
      <c r="Q1291">
        <v>10.6</v>
      </c>
      <c r="R1291">
        <v>2</v>
      </c>
      <c r="S1291">
        <v>2.86</v>
      </c>
      <c r="T1291">
        <v>3</v>
      </c>
      <c r="U1291" t="s">
        <v>22</v>
      </c>
      <c r="V1291" t="e">
        <f>IF(#REF! = "yes", 1, 0)</f>
        <v>#REF!</v>
      </c>
      <c r="W1291" t="e">
        <f>IF(#REF! &lt;= 1, "0-1 Calls", IF(#REF! &lt;= 3, "2-3 Calls", IF(#REF! &lt;=5, "4-5 Calls", "6+ Calls")))</f>
        <v>#REF!</v>
      </c>
      <c r="X1291" t="e">
        <f>IF(#REF! &lt;= 50, "0-50", IF(#REF! &lt;=100, "51-100", IF(#REF! &lt;= 150, "101-150", "151+")))</f>
        <v>#REF!</v>
      </c>
      <c r="Y1291" t="e">
        <f>IF(#REF! &lt;= 3, "Low Charges", "High Charges")</f>
        <v>#REF!</v>
      </c>
      <c r="Z1291" t="e">
        <f>IF(#REF!&lt;=80,"Low Calls",
IF(#REF!&lt;=120,"Medium Calls","High Calls"))</f>
        <v>#REF!</v>
      </c>
      <c r="AA1291" t="e">
        <f>IF(#REF!&lt;=15,"Low Charges",
IF(#REF!&lt;=20,"Medium Charges","High Charges"))</f>
        <v>#REF!</v>
      </c>
      <c r="AB1291" t="e">
        <f>IF(AND(#REF!&gt;180, #REF!&gt;200), "Heavy Doemstic User", IF(#REF!&gt;10, "Interntional User", IF(AND(#REF!&lt;180, #REF!&lt;200,#REF!&lt;200), "Light User", "Balanced User")))</f>
        <v>#REF!</v>
      </c>
      <c r="AC1291" t="e">
        <f>IF(#REF! = 0, "No Usage", IF(#REF! &lt;= 20, "Low Usage", IF(#REF! &lt;= 40, "Medium Usgae", "High Usage")))</f>
        <v>#REF!</v>
      </c>
      <c r="AD1291" t="e">
        <f>IF(#REF!&lt;=150,"Low Usage", IF(#REF!&lt;=200,"Medium Usage", IF(#REF!&lt;=250,"High Usage","Very High Usage")))</f>
        <v>#REF!</v>
      </c>
      <c r="AE1291" t="e">
        <f>IF(#REF!&lt;=5,"Low Calls", IF(#REF!&lt;=10, "Medium Calls", "High Calls"))</f>
        <v>#REF!</v>
      </c>
      <c r="AF1291" t="e">
        <f xml:space="preserve">
IF(#REF!&gt;=4,4,0)+
IF(#REF!="yes",3,0)+
IF(#REF!="High Charges",3,0)+
IF(#REF!&gt;250,4,0)+
IF(#REF!="no",1,0)+
IF(#REF!="Heavy Domestic User",2,0)</f>
        <v>#REF!</v>
      </c>
      <c r="AG1291" t="e">
        <f>IF(#REF!&gt;=10,"High Risk", IF(#REF!&gt;=5,"Medium Risk","Low Risk"))</f>
        <v>#REF!</v>
      </c>
      <c r="AH1291" t="e">
        <f>#REF! + #REF! + #REF! + #REF!</f>
        <v>#REF!</v>
      </c>
    </row>
    <row r="1292" spans="1:34" x14ac:dyDescent="0.35">
      <c r="A1292">
        <v>1291</v>
      </c>
      <c r="B1292" t="s">
        <v>34</v>
      </c>
      <c r="C1292">
        <v>81</v>
      </c>
      <c r="D1292" t="s">
        <v>28</v>
      </c>
      <c r="E1292" t="s">
        <v>22</v>
      </c>
      <c r="F1292" t="s">
        <v>22</v>
      </c>
      <c r="G1292">
        <v>0</v>
      </c>
      <c r="H1292">
        <v>261.39999999999998</v>
      </c>
      <c r="I1292">
        <v>141</v>
      </c>
      <c r="J1292">
        <v>44.44</v>
      </c>
      <c r="K1292">
        <v>215.7</v>
      </c>
      <c r="L1292">
        <v>102</v>
      </c>
      <c r="M1292">
        <v>18.329999999999998</v>
      </c>
      <c r="N1292">
        <v>271.8</v>
      </c>
      <c r="O1292">
        <v>96</v>
      </c>
      <c r="P1292">
        <v>12.23</v>
      </c>
      <c r="Q1292">
        <v>8</v>
      </c>
      <c r="R1292">
        <v>6</v>
      </c>
      <c r="S1292">
        <v>2.16</v>
      </c>
      <c r="T1292">
        <v>1</v>
      </c>
      <c r="U1292" t="s">
        <v>23</v>
      </c>
      <c r="V1292" t="e">
        <f>IF(#REF! = "yes", 1, 0)</f>
        <v>#REF!</v>
      </c>
      <c r="W1292" t="e">
        <f>IF(#REF! &lt;= 1, "0-1 Calls", IF(#REF! &lt;= 3, "2-3 Calls", IF(#REF! &lt;=5, "4-5 Calls", "6+ Calls")))</f>
        <v>#REF!</v>
      </c>
      <c r="X1292" t="e">
        <f>IF(#REF! &lt;= 50, "0-50", IF(#REF! &lt;=100, "51-100", IF(#REF! &lt;= 150, "101-150", "151+")))</f>
        <v>#REF!</v>
      </c>
      <c r="Y1292" t="e">
        <f>IF(#REF! &lt;= 3, "Low Charges", "High Charges")</f>
        <v>#REF!</v>
      </c>
      <c r="Z1292" t="e">
        <f>IF(#REF!&lt;=80,"Low Calls",
IF(#REF!&lt;=120,"Medium Calls","High Calls"))</f>
        <v>#REF!</v>
      </c>
      <c r="AA1292" t="e">
        <f>IF(#REF!&lt;=15,"Low Charges",
IF(#REF!&lt;=20,"Medium Charges","High Charges"))</f>
        <v>#REF!</v>
      </c>
      <c r="AB1292" t="e">
        <f>IF(AND(#REF!&gt;180, #REF!&gt;200), "Heavy Doemstic User", IF(#REF!&gt;10, "Interntional User", IF(AND(#REF!&lt;180, #REF!&lt;200,#REF!&lt;200), "Light User", "Balanced User")))</f>
        <v>#REF!</v>
      </c>
      <c r="AC1292" t="e">
        <f>IF(#REF! = 0, "No Usage", IF(#REF! &lt;= 20, "Low Usage", IF(#REF! &lt;= 40, "Medium Usgae", "High Usage")))</f>
        <v>#REF!</v>
      </c>
      <c r="AD1292" t="e">
        <f>IF(#REF!&lt;=150,"Low Usage", IF(#REF!&lt;=200,"Medium Usage", IF(#REF!&lt;=250,"High Usage","Very High Usage")))</f>
        <v>#REF!</v>
      </c>
      <c r="AE1292" t="e">
        <f>IF(#REF!&lt;=5,"Low Calls", IF(#REF!&lt;=10, "Medium Calls", "High Calls"))</f>
        <v>#REF!</v>
      </c>
      <c r="AF1292" t="e">
        <f xml:space="preserve">
IF(#REF!&gt;=4,4,0)+
IF(#REF!="yes",3,0)+
IF(#REF!="High Charges",3,0)+
IF(#REF!&gt;250,4,0)+
IF(#REF!="no",1,0)+
IF(#REF!="Heavy Domestic User",2,0)</f>
        <v>#REF!</v>
      </c>
      <c r="AG1292" t="e">
        <f>IF(#REF!&gt;=10,"High Risk", IF(#REF!&gt;=5,"Medium Risk","Low Risk"))</f>
        <v>#REF!</v>
      </c>
      <c r="AH1292" t="e">
        <f>#REF! + #REF! + #REF! + #REF!</f>
        <v>#REF!</v>
      </c>
    </row>
    <row r="1293" spans="1:34" x14ac:dyDescent="0.35">
      <c r="A1293">
        <v>1292</v>
      </c>
      <c r="B1293" t="s">
        <v>54</v>
      </c>
      <c r="C1293">
        <v>138</v>
      </c>
      <c r="D1293" t="s">
        <v>28</v>
      </c>
      <c r="E1293" t="s">
        <v>23</v>
      </c>
      <c r="F1293" t="s">
        <v>22</v>
      </c>
      <c r="G1293">
        <v>0</v>
      </c>
      <c r="H1293">
        <v>46.5</v>
      </c>
      <c r="I1293">
        <v>104</v>
      </c>
      <c r="J1293">
        <v>7.91</v>
      </c>
      <c r="K1293">
        <v>186</v>
      </c>
      <c r="L1293">
        <v>114</v>
      </c>
      <c r="M1293">
        <v>15.81</v>
      </c>
      <c r="N1293">
        <v>167.5</v>
      </c>
      <c r="O1293">
        <v>95</v>
      </c>
      <c r="P1293">
        <v>7.54</v>
      </c>
      <c r="Q1293">
        <v>9.6</v>
      </c>
      <c r="R1293">
        <v>4</v>
      </c>
      <c r="S1293">
        <v>2.59</v>
      </c>
      <c r="T1293">
        <v>4</v>
      </c>
      <c r="U1293" t="s">
        <v>23</v>
      </c>
      <c r="V1293" t="e">
        <f>IF(#REF! = "yes", 1, 0)</f>
        <v>#REF!</v>
      </c>
      <c r="W1293" t="e">
        <f>IF(#REF! &lt;= 1, "0-1 Calls", IF(#REF! &lt;= 3, "2-3 Calls", IF(#REF! &lt;=5, "4-5 Calls", "6+ Calls")))</f>
        <v>#REF!</v>
      </c>
      <c r="X1293" t="e">
        <f>IF(#REF! &lt;= 50, "0-50", IF(#REF! &lt;=100, "51-100", IF(#REF! &lt;= 150, "101-150", "151+")))</f>
        <v>#REF!</v>
      </c>
      <c r="Y1293" t="e">
        <f>IF(#REF! &lt;= 3, "Low Charges", "High Charges")</f>
        <v>#REF!</v>
      </c>
      <c r="Z1293" t="e">
        <f>IF(#REF!&lt;=80,"Low Calls",
IF(#REF!&lt;=120,"Medium Calls","High Calls"))</f>
        <v>#REF!</v>
      </c>
      <c r="AA1293" t="e">
        <f>IF(#REF!&lt;=15,"Low Charges",
IF(#REF!&lt;=20,"Medium Charges","High Charges"))</f>
        <v>#REF!</v>
      </c>
      <c r="AB1293" t="e">
        <f>IF(AND(#REF!&gt;180, #REF!&gt;200), "Heavy Doemstic User", IF(#REF!&gt;10, "Interntional User", IF(AND(#REF!&lt;180, #REF!&lt;200,#REF!&lt;200), "Light User", "Balanced User")))</f>
        <v>#REF!</v>
      </c>
      <c r="AC1293" t="e">
        <f>IF(#REF! = 0, "No Usage", IF(#REF! &lt;= 20, "Low Usage", IF(#REF! &lt;= 40, "Medium Usgae", "High Usage")))</f>
        <v>#REF!</v>
      </c>
      <c r="AD1293" t="e">
        <f>IF(#REF!&lt;=150,"Low Usage", IF(#REF!&lt;=200,"Medium Usage", IF(#REF!&lt;=250,"High Usage","Very High Usage")))</f>
        <v>#REF!</v>
      </c>
      <c r="AE1293" t="e">
        <f>IF(#REF!&lt;=5,"Low Calls", IF(#REF!&lt;=10, "Medium Calls", "High Calls"))</f>
        <v>#REF!</v>
      </c>
      <c r="AF1293" t="e">
        <f xml:space="preserve">
IF(#REF!&gt;=4,4,0)+
IF(#REF!="yes",3,0)+
IF(#REF!="High Charges",3,0)+
IF(#REF!&gt;250,4,0)+
IF(#REF!="no",1,0)+
IF(#REF!="Heavy Domestic User",2,0)</f>
        <v>#REF!</v>
      </c>
      <c r="AG1293" t="e">
        <f>IF(#REF!&gt;=10,"High Risk", IF(#REF!&gt;=5,"Medium Risk","Low Risk"))</f>
        <v>#REF!</v>
      </c>
      <c r="AH1293" t="e">
        <f>#REF! + #REF! + #REF! + #REF!</f>
        <v>#REF!</v>
      </c>
    </row>
    <row r="1294" spans="1:34" x14ac:dyDescent="0.35">
      <c r="A1294">
        <v>1293</v>
      </c>
      <c r="B1294" t="s">
        <v>56</v>
      </c>
      <c r="C1294">
        <v>103</v>
      </c>
      <c r="D1294" t="s">
        <v>21</v>
      </c>
      <c r="E1294" t="s">
        <v>22</v>
      </c>
      <c r="F1294" t="s">
        <v>23</v>
      </c>
      <c r="G1294">
        <v>18</v>
      </c>
      <c r="H1294">
        <v>149.9</v>
      </c>
      <c r="I1294">
        <v>84</v>
      </c>
      <c r="J1294">
        <v>25.48</v>
      </c>
      <c r="K1294">
        <v>170.9</v>
      </c>
      <c r="L1294">
        <v>84</v>
      </c>
      <c r="M1294">
        <v>14.53</v>
      </c>
      <c r="N1294">
        <v>171.5</v>
      </c>
      <c r="O1294">
        <v>112</v>
      </c>
      <c r="P1294">
        <v>7.72</v>
      </c>
      <c r="Q1294">
        <v>11.5</v>
      </c>
      <c r="R1294">
        <v>7</v>
      </c>
      <c r="S1294">
        <v>3.11</v>
      </c>
      <c r="T1294">
        <v>0</v>
      </c>
      <c r="U1294" t="s">
        <v>23</v>
      </c>
      <c r="V1294" t="e">
        <f>IF(#REF! = "yes", 1, 0)</f>
        <v>#REF!</v>
      </c>
      <c r="W1294" t="e">
        <f>IF(#REF! &lt;= 1, "0-1 Calls", IF(#REF! &lt;= 3, "2-3 Calls", IF(#REF! &lt;=5, "4-5 Calls", "6+ Calls")))</f>
        <v>#REF!</v>
      </c>
      <c r="X1294" t="e">
        <f>IF(#REF! &lt;= 50, "0-50", IF(#REF! &lt;=100, "51-100", IF(#REF! &lt;= 150, "101-150", "151+")))</f>
        <v>#REF!</v>
      </c>
      <c r="Y1294" t="e">
        <f>IF(#REF! &lt;= 3, "Low Charges", "High Charges")</f>
        <v>#REF!</v>
      </c>
      <c r="Z1294" t="e">
        <f>IF(#REF!&lt;=80,"Low Calls",
IF(#REF!&lt;=120,"Medium Calls","High Calls"))</f>
        <v>#REF!</v>
      </c>
      <c r="AA1294" t="e">
        <f>IF(#REF!&lt;=15,"Low Charges",
IF(#REF!&lt;=20,"Medium Charges","High Charges"))</f>
        <v>#REF!</v>
      </c>
      <c r="AB1294" t="e">
        <f>IF(AND(#REF!&gt;180, #REF!&gt;200), "Heavy Doemstic User", IF(#REF!&gt;10, "Interntional User", IF(AND(#REF!&lt;180, #REF!&lt;200,#REF!&lt;200), "Light User", "Balanced User")))</f>
        <v>#REF!</v>
      </c>
      <c r="AC1294" t="e">
        <f>IF(#REF! = 0, "No Usage", IF(#REF! &lt;= 20, "Low Usage", IF(#REF! &lt;= 40, "Medium Usgae", "High Usage")))</f>
        <v>#REF!</v>
      </c>
      <c r="AD1294" t="e">
        <f>IF(#REF!&lt;=150,"Low Usage", IF(#REF!&lt;=200,"Medium Usage", IF(#REF!&lt;=250,"High Usage","Very High Usage")))</f>
        <v>#REF!</v>
      </c>
      <c r="AE1294" t="e">
        <f>IF(#REF!&lt;=5,"Low Calls", IF(#REF!&lt;=10, "Medium Calls", "High Calls"))</f>
        <v>#REF!</v>
      </c>
      <c r="AF1294" t="e">
        <f xml:space="preserve">
IF(#REF!&gt;=4,4,0)+
IF(#REF!="yes",3,0)+
IF(#REF!="High Charges",3,0)+
IF(#REF!&gt;250,4,0)+
IF(#REF!="no",1,0)+
IF(#REF!="Heavy Domestic User",2,0)</f>
        <v>#REF!</v>
      </c>
      <c r="AG1294" t="e">
        <f>IF(#REF!&gt;=10,"High Risk", IF(#REF!&gt;=5,"Medium Risk","Low Risk"))</f>
        <v>#REF!</v>
      </c>
      <c r="AH1294" t="e">
        <f>#REF! + #REF! + #REF! + #REF!</f>
        <v>#REF!</v>
      </c>
    </row>
    <row r="1295" spans="1:34" x14ac:dyDescent="0.35">
      <c r="A1295">
        <v>1294</v>
      </c>
      <c r="B1295" t="s">
        <v>44</v>
      </c>
      <c r="C1295">
        <v>127</v>
      </c>
      <c r="D1295" t="s">
        <v>28</v>
      </c>
      <c r="E1295" t="s">
        <v>23</v>
      </c>
      <c r="F1295" t="s">
        <v>22</v>
      </c>
      <c r="G1295">
        <v>0</v>
      </c>
      <c r="H1295">
        <v>242.2</v>
      </c>
      <c r="I1295">
        <v>102</v>
      </c>
      <c r="J1295">
        <v>41.17</v>
      </c>
      <c r="K1295">
        <v>226.1</v>
      </c>
      <c r="L1295">
        <v>80</v>
      </c>
      <c r="M1295">
        <v>19.22</v>
      </c>
      <c r="N1295">
        <v>252</v>
      </c>
      <c r="O1295">
        <v>96</v>
      </c>
      <c r="P1295">
        <v>11.34</v>
      </c>
      <c r="Q1295">
        <v>13.9</v>
      </c>
      <c r="R1295">
        <v>5</v>
      </c>
      <c r="S1295">
        <v>3.75</v>
      </c>
      <c r="T1295">
        <v>2</v>
      </c>
      <c r="U1295" t="s">
        <v>23</v>
      </c>
      <c r="V1295" t="e">
        <f>IF(#REF! = "yes", 1, 0)</f>
        <v>#REF!</v>
      </c>
      <c r="W1295" t="e">
        <f>IF(#REF! &lt;= 1, "0-1 Calls", IF(#REF! &lt;= 3, "2-3 Calls", IF(#REF! &lt;=5, "4-5 Calls", "6+ Calls")))</f>
        <v>#REF!</v>
      </c>
      <c r="X1295" t="e">
        <f>IF(#REF! &lt;= 50, "0-50", IF(#REF! &lt;=100, "51-100", IF(#REF! &lt;= 150, "101-150", "151+")))</f>
        <v>#REF!</v>
      </c>
      <c r="Y1295" t="e">
        <f>IF(#REF! &lt;= 3, "Low Charges", "High Charges")</f>
        <v>#REF!</v>
      </c>
      <c r="Z1295" t="e">
        <f>IF(#REF!&lt;=80,"Low Calls",
IF(#REF!&lt;=120,"Medium Calls","High Calls"))</f>
        <v>#REF!</v>
      </c>
      <c r="AA1295" t="e">
        <f>IF(#REF!&lt;=15,"Low Charges",
IF(#REF!&lt;=20,"Medium Charges","High Charges"))</f>
        <v>#REF!</v>
      </c>
      <c r="AB1295" t="e">
        <f>IF(AND(#REF!&gt;180, #REF!&gt;200), "Heavy Doemstic User", IF(#REF!&gt;10, "Interntional User", IF(AND(#REF!&lt;180, #REF!&lt;200,#REF!&lt;200), "Light User", "Balanced User")))</f>
        <v>#REF!</v>
      </c>
      <c r="AC1295" t="e">
        <f>IF(#REF! = 0, "No Usage", IF(#REF! &lt;= 20, "Low Usage", IF(#REF! &lt;= 40, "Medium Usgae", "High Usage")))</f>
        <v>#REF!</v>
      </c>
      <c r="AD1295" t="e">
        <f>IF(#REF!&lt;=150,"Low Usage", IF(#REF!&lt;=200,"Medium Usage", IF(#REF!&lt;=250,"High Usage","Very High Usage")))</f>
        <v>#REF!</v>
      </c>
      <c r="AE1295" t="e">
        <f>IF(#REF!&lt;=5,"Low Calls", IF(#REF!&lt;=10, "Medium Calls", "High Calls"))</f>
        <v>#REF!</v>
      </c>
      <c r="AF1295" t="e">
        <f xml:space="preserve">
IF(#REF!&gt;=4,4,0)+
IF(#REF!="yes",3,0)+
IF(#REF!="High Charges",3,0)+
IF(#REF!&gt;250,4,0)+
IF(#REF!="no",1,0)+
IF(#REF!="Heavy Domestic User",2,0)</f>
        <v>#REF!</v>
      </c>
      <c r="AG1295" t="e">
        <f>IF(#REF!&gt;=10,"High Risk", IF(#REF!&gt;=5,"Medium Risk","Low Risk"))</f>
        <v>#REF!</v>
      </c>
      <c r="AH1295" t="e">
        <f>#REF! + #REF! + #REF! + #REF!</f>
        <v>#REF!</v>
      </c>
    </row>
    <row r="1296" spans="1:34" x14ac:dyDescent="0.35">
      <c r="A1296">
        <v>1295</v>
      </c>
      <c r="B1296" t="s">
        <v>66</v>
      </c>
      <c r="C1296">
        <v>99</v>
      </c>
      <c r="D1296" t="s">
        <v>21</v>
      </c>
      <c r="E1296" t="s">
        <v>22</v>
      </c>
      <c r="F1296" t="s">
        <v>22</v>
      </c>
      <c r="G1296">
        <v>0</v>
      </c>
      <c r="H1296">
        <v>222.4</v>
      </c>
      <c r="I1296">
        <v>102</v>
      </c>
      <c r="J1296">
        <v>37.81</v>
      </c>
      <c r="K1296">
        <v>185.8</v>
      </c>
      <c r="L1296">
        <v>89</v>
      </c>
      <c r="M1296">
        <v>15.79</v>
      </c>
      <c r="N1296">
        <v>237.7</v>
      </c>
      <c r="O1296">
        <v>81</v>
      </c>
      <c r="P1296">
        <v>10.7</v>
      </c>
      <c r="Q1296">
        <v>12</v>
      </c>
      <c r="R1296">
        <v>8</v>
      </c>
      <c r="S1296">
        <v>3.24</v>
      </c>
      <c r="T1296">
        <v>2</v>
      </c>
      <c r="U1296" t="s">
        <v>22</v>
      </c>
      <c r="V1296" t="e">
        <f>IF(#REF! = "yes", 1, 0)</f>
        <v>#REF!</v>
      </c>
      <c r="W1296" t="e">
        <f>IF(#REF! &lt;= 1, "0-1 Calls", IF(#REF! &lt;= 3, "2-3 Calls", IF(#REF! &lt;=5, "4-5 Calls", "6+ Calls")))</f>
        <v>#REF!</v>
      </c>
      <c r="X1296" t="e">
        <f>IF(#REF! &lt;= 50, "0-50", IF(#REF! &lt;=100, "51-100", IF(#REF! &lt;= 150, "101-150", "151+")))</f>
        <v>#REF!</v>
      </c>
      <c r="Y1296" t="e">
        <f>IF(#REF! &lt;= 3, "Low Charges", "High Charges")</f>
        <v>#REF!</v>
      </c>
      <c r="Z1296" t="e">
        <f>IF(#REF!&lt;=80,"Low Calls",
IF(#REF!&lt;=120,"Medium Calls","High Calls"))</f>
        <v>#REF!</v>
      </c>
      <c r="AA1296" t="e">
        <f>IF(#REF!&lt;=15,"Low Charges",
IF(#REF!&lt;=20,"Medium Charges","High Charges"))</f>
        <v>#REF!</v>
      </c>
      <c r="AB1296" t="e">
        <f>IF(AND(#REF!&gt;180, #REF!&gt;200), "Heavy Doemstic User", IF(#REF!&gt;10, "Interntional User", IF(AND(#REF!&lt;180, #REF!&lt;200,#REF!&lt;200), "Light User", "Balanced User")))</f>
        <v>#REF!</v>
      </c>
      <c r="AC1296" t="e">
        <f>IF(#REF! = 0, "No Usage", IF(#REF! &lt;= 20, "Low Usage", IF(#REF! &lt;= 40, "Medium Usgae", "High Usage")))</f>
        <v>#REF!</v>
      </c>
      <c r="AD1296" t="e">
        <f>IF(#REF!&lt;=150,"Low Usage", IF(#REF!&lt;=200,"Medium Usage", IF(#REF!&lt;=250,"High Usage","Very High Usage")))</f>
        <v>#REF!</v>
      </c>
      <c r="AE1296" t="e">
        <f>IF(#REF!&lt;=5,"Low Calls", IF(#REF!&lt;=10, "Medium Calls", "High Calls"))</f>
        <v>#REF!</v>
      </c>
      <c r="AF1296" t="e">
        <f xml:space="preserve">
IF(#REF!&gt;=4,4,0)+
IF(#REF!="yes",3,0)+
IF(#REF!="High Charges",3,0)+
IF(#REF!&gt;250,4,0)+
IF(#REF!="no",1,0)+
IF(#REF!="Heavy Domestic User",2,0)</f>
        <v>#REF!</v>
      </c>
      <c r="AG1296" t="e">
        <f>IF(#REF!&gt;=10,"High Risk", IF(#REF!&gt;=5,"Medium Risk","Low Risk"))</f>
        <v>#REF!</v>
      </c>
      <c r="AH1296" t="e">
        <f>#REF! + #REF! + #REF! + #REF!</f>
        <v>#REF!</v>
      </c>
    </row>
    <row r="1297" spans="1:34" x14ac:dyDescent="0.35">
      <c r="A1297">
        <v>1296</v>
      </c>
      <c r="B1297" t="s">
        <v>50</v>
      </c>
      <c r="C1297">
        <v>95</v>
      </c>
      <c r="D1297" t="s">
        <v>21</v>
      </c>
      <c r="E1297" t="s">
        <v>22</v>
      </c>
      <c r="F1297" t="s">
        <v>22</v>
      </c>
      <c r="G1297">
        <v>0</v>
      </c>
      <c r="H1297">
        <v>69.400000000000006</v>
      </c>
      <c r="I1297">
        <v>79</v>
      </c>
      <c r="J1297">
        <v>11.8</v>
      </c>
      <c r="K1297">
        <v>190.8</v>
      </c>
      <c r="L1297">
        <v>109</v>
      </c>
      <c r="M1297">
        <v>16.22</v>
      </c>
      <c r="N1297">
        <v>219.9</v>
      </c>
      <c r="O1297">
        <v>102</v>
      </c>
      <c r="P1297">
        <v>9.9</v>
      </c>
      <c r="Q1297">
        <v>8.9</v>
      </c>
      <c r="R1297">
        <v>5</v>
      </c>
      <c r="S1297">
        <v>2.4</v>
      </c>
      <c r="T1297">
        <v>0</v>
      </c>
      <c r="U1297" t="s">
        <v>22</v>
      </c>
      <c r="V1297" t="e">
        <f>IF(#REF! = "yes", 1, 0)</f>
        <v>#REF!</v>
      </c>
      <c r="W1297" t="e">
        <f>IF(#REF! &lt;= 1, "0-1 Calls", IF(#REF! &lt;= 3, "2-3 Calls", IF(#REF! &lt;=5, "4-5 Calls", "6+ Calls")))</f>
        <v>#REF!</v>
      </c>
      <c r="X1297" t="e">
        <f>IF(#REF! &lt;= 50, "0-50", IF(#REF! &lt;=100, "51-100", IF(#REF! &lt;= 150, "101-150", "151+")))</f>
        <v>#REF!</v>
      </c>
      <c r="Y1297" t="e">
        <f>IF(#REF! &lt;= 3, "Low Charges", "High Charges")</f>
        <v>#REF!</v>
      </c>
      <c r="Z1297" t="e">
        <f>IF(#REF!&lt;=80,"Low Calls",
IF(#REF!&lt;=120,"Medium Calls","High Calls"))</f>
        <v>#REF!</v>
      </c>
      <c r="AA1297" t="e">
        <f>IF(#REF!&lt;=15,"Low Charges",
IF(#REF!&lt;=20,"Medium Charges","High Charges"))</f>
        <v>#REF!</v>
      </c>
      <c r="AB1297" t="e">
        <f>IF(AND(#REF!&gt;180, #REF!&gt;200), "Heavy Doemstic User", IF(#REF!&gt;10, "Interntional User", IF(AND(#REF!&lt;180, #REF!&lt;200,#REF!&lt;200), "Light User", "Balanced User")))</f>
        <v>#REF!</v>
      </c>
      <c r="AC1297" t="e">
        <f>IF(#REF! = 0, "No Usage", IF(#REF! &lt;= 20, "Low Usage", IF(#REF! &lt;= 40, "Medium Usgae", "High Usage")))</f>
        <v>#REF!</v>
      </c>
      <c r="AD1297" t="e">
        <f>IF(#REF!&lt;=150,"Low Usage", IF(#REF!&lt;=200,"Medium Usage", IF(#REF!&lt;=250,"High Usage","Very High Usage")))</f>
        <v>#REF!</v>
      </c>
      <c r="AE1297" t="e">
        <f>IF(#REF!&lt;=5,"Low Calls", IF(#REF!&lt;=10, "Medium Calls", "High Calls"))</f>
        <v>#REF!</v>
      </c>
      <c r="AF1297" t="e">
        <f xml:space="preserve">
IF(#REF!&gt;=4,4,0)+
IF(#REF!="yes",3,0)+
IF(#REF!="High Charges",3,0)+
IF(#REF!&gt;250,4,0)+
IF(#REF!="no",1,0)+
IF(#REF!="Heavy Domestic User",2,0)</f>
        <v>#REF!</v>
      </c>
      <c r="AG1297" t="e">
        <f>IF(#REF!&gt;=10,"High Risk", IF(#REF!&gt;=5,"Medium Risk","Low Risk"))</f>
        <v>#REF!</v>
      </c>
      <c r="AH1297" t="e">
        <f>#REF! + #REF! + #REF! + #REF!</f>
        <v>#REF!</v>
      </c>
    </row>
    <row r="1298" spans="1:34" x14ac:dyDescent="0.35">
      <c r="A1298">
        <v>1297</v>
      </c>
      <c r="B1298" t="s">
        <v>31</v>
      </c>
      <c r="C1298">
        <v>113</v>
      </c>
      <c r="D1298" t="s">
        <v>21</v>
      </c>
      <c r="E1298" t="s">
        <v>22</v>
      </c>
      <c r="F1298" t="s">
        <v>22</v>
      </c>
      <c r="G1298">
        <v>0</v>
      </c>
      <c r="H1298">
        <v>61.2</v>
      </c>
      <c r="I1298">
        <v>111</v>
      </c>
      <c r="J1298">
        <v>10.4</v>
      </c>
      <c r="K1298">
        <v>92.3</v>
      </c>
      <c r="L1298">
        <v>88</v>
      </c>
      <c r="M1298">
        <v>7.85</v>
      </c>
      <c r="N1298">
        <v>197.4</v>
      </c>
      <c r="O1298">
        <v>114</v>
      </c>
      <c r="P1298">
        <v>8.8800000000000008</v>
      </c>
      <c r="Q1298">
        <v>13.7</v>
      </c>
      <c r="R1298">
        <v>3</v>
      </c>
      <c r="S1298">
        <v>3.7</v>
      </c>
      <c r="T1298">
        <v>5</v>
      </c>
      <c r="U1298" t="s">
        <v>23</v>
      </c>
      <c r="V1298" t="e">
        <f>IF(#REF! = "yes", 1, 0)</f>
        <v>#REF!</v>
      </c>
      <c r="W1298" t="e">
        <f>IF(#REF! &lt;= 1, "0-1 Calls", IF(#REF! &lt;= 3, "2-3 Calls", IF(#REF! &lt;=5, "4-5 Calls", "6+ Calls")))</f>
        <v>#REF!</v>
      </c>
      <c r="X1298" t="e">
        <f>IF(#REF! &lt;= 50, "0-50", IF(#REF! &lt;=100, "51-100", IF(#REF! &lt;= 150, "101-150", "151+")))</f>
        <v>#REF!</v>
      </c>
      <c r="Y1298" t="e">
        <f>IF(#REF! &lt;= 3, "Low Charges", "High Charges")</f>
        <v>#REF!</v>
      </c>
      <c r="Z1298" t="e">
        <f>IF(#REF!&lt;=80,"Low Calls",
IF(#REF!&lt;=120,"Medium Calls","High Calls"))</f>
        <v>#REF!</v>
      </c>
      <c r="AA1298" t="e">
        <f>IF(#REF!&lt;=15,"Low Charges",
IF(#REF!&lt;=20,"Medium Charges","High Charges"))</f>
        <v>#REF!</v>
      </c>
      <c r="AB1298" t="e">
        <f>IF(AND(#REF!&gt;180, #REF!&gt;200), "Heavy Doemstic User", IF(#REF!&gt;10, "Interntional User", IF(AND(#REF!&lt;180, #REF!&lt;200,#REF!&lt;200), "Light User", "Balanced User")))</f>
        <v>#REF!</v>
      </c>
      <c r="AC1298" t="e">
        <f>IF(#REF! = 0, "No Usage", IF(#REF! &lt;= 20, "Low Usage", IF(#REF! &lt;= 40, "Medium Usgae", "High Usage")))</f>
        <v>#REF!</v>
      </c>
      <c r="AD1298" t="e">
        <f>IF(#REF!&lt;=150,"Low Usage", IF(#REF!&lt;=200,"Medium Usage", IF(#REF!&lt;=250,"High Usage","Very High Usage")))</f>
        <v>#REF!</v>
      </c>
      <c r="AE1298" t="e">
        <f>IF(#REF!&lt;=5,"Low Calls", IF(#REF!&lt;=10, "Medium Calls", "High Calls"))</f>
        <v>#REF!</v>
      </c>
      <c r="AF1298" t="e">
        <f xml:space="preserve">
IF(#REF!&gt;=4,4,0)+
IF(#REF!="yes",3,0)+
IF(#REF!="High Charges",3,0)+
IF(#REF!&gt;250,4,0)+
IF(#REF!="no",1,0)+
IF(#REF!="Heavy Domestic User",2,0)</f>
        <v>#REF!</v>
      </c>
      <c r="AG1298" t="e">
        <f>IF(#REF!&gt;=10,"High Risk", IF(#REF!&gt;=5,"Medium Risk","Low Risk"))</f>
        <v>#REF!</v>
      </c>
      <c r="AH1298" t="e">
        <f>#REF! + #REF! + #REF! + #REF!</f>
        <v>#REF!</v>
      </c>
    </row>
    <row r="1299" spans="1:34" x14ac:dyDescent="0.35">
      <c r="A1299">
        <v>1298</v>
      </c>
      <c r="B1299" t="s">
        <v>73</v>
      </c>
      <c r="C1299">
        <v>128</v>
      </c>
      <c r="D1299" t="s">
        <v>25</v>
      </c>
      <c r="E1299" t="s">
        <v>23</v>
      </c>
      <c r="F1299" t="s">
        <v>22</v>
      </c>
      <c r="G1299">
        <v>0</v>
      </c>
      <c r="H1299">
        <v>245.2</v>
      </c>
      <c r="I1299">
        <v>112</v>
      </c>
      <c r="J1299">
        <v>41.68</v>
      </c>
      <c r="K1299">
        <v>101.5</v>
      </c>
      <c r="L1299">
        <v>101</v>
      </c>
      <c r="M1299">
        <v>8.6300000000000008</v>
      </c>
      <c r="N1299">
        <v>152.30000000000001</v>
      </c>
      <c r="O1299">
        <v>116</v>
      </c>
      <c r="P1299">
        <v>6.85</v>
      </c>
      <c r="Q1299">
        <v>10.7</v>
      </c>
      <c r="R1299">
        <v>5</v>
      </c>
      <c r="S1299">
        <v>2.89</v>
      </c>
      <c r="T1299">
        <v>0</v>
      </c>
      <c r="U1299" t="s">
        <v>22</v>
      </c>
      <c r="V1299" t="e">
        <f>IF(#REF! = "yes", 1, 0)</f>
        <v>#REF!</v>
      </c>
      <c r="W1299" t="e">
        <f>IF(#REF! &lt;= 1, "0-1 Calls", IF(#REF! &lt;= 3, "2-3 Calls", IF(#REF! &lt;=5, "4-5 Calls", "6+ Calls")))</f>
        <v>#REF!</v>
      </c>
      <c r="X1299" t="e">
        <f>IF(#REF! &lt;= 50, "0-50", IF(#REF! &lt;=100, "51-100", IF(#REF! &lt;= 150, "101-150", "151+")))</f>
        <v>#REF!</v>
      </c>
      <c r="Y1299" t="e">
        <f>IF(#REF! &lt;= 3, "Low Charges", "High Charges")</f>
        <v>#REF!</v>
      </c>
      <c r="Z1299" t="e">
        <f>IF(#REF!&lt;=80,"Low Calls",
IF(#REF!&lt;=120,"Medium Calls","High Calls"))</f>
        <v>#REF!</v>
      </c>
      <c r="AA1299" t="e">
        <f>IF(#REF!&lt;=15,"Low Charges",
IF(#REF!&lt;=20,"Medium Charges","High Charges"))</f>
        <v>#REF!</v>
      </c>
      <c r="AB1299" t="e">
        <f>IF(AND(#REF!&gt;180, #REF!&gt;200), "Heavy Doemstic User", IF(#REF!&gt;10, "Interntional User", IF(AND(#REF!&lt;180, #REF!&lt;200,#REF!&lt;200), "Light User", "Balanced User")))</f>
        <v>#REF!</v>
      </c>
      <c r="AC1299" t="e">
        <f>IF(#REF! = 0, "No Usage", IF(#REF! &lt;= 20, "Low Usage", IF(#REF! &lt;= 40, "Medium Usgae", "High Usage")))</f>
        <v>#REF!</v>
      </c>
      <c r="AD1299" t="e">
        <f>IF(#REF!&lt;=150,"Low Usage", IF(#REF!&lt;=200,"Medium Usage", IF(#REF!&lt;=250,"High Usage","Very High Usage")))</f>
        <v>#REF!</v>
      </c>
      <c r="AE1299" t="e">
        <f>IF(#REF!&lt;=5,"Low Calls", IF(#REF!&lt;=10, "Medium Calls", "High Calls"))</f>
        <v>#REF!</v>
      </c>
      <c r="AF1299" t="e">
        <f xml:space="preserve">
IF(#REF!&gt;=4,4,0)+
IF(#REF!="yes",3,0)+
IF(#REF!="High Charges",3,0)+
IF(#REF!&gt;250,4,0)+
IF(#REF!="no",1,0)+
IF(#REF!="Heavy Domestic User",2,0)</f>
        <v>#REF!</v>
      </c>
      <c r="AG1299" t="e">
        <f>IF(#REF!&gt;=10,"High Risk", IF(#REF!&gt;=5,"Medium Risk","Low Risk"))</f>
        <v>#REF!</v>
      </c>
      <c r="AH1299" t="e">
        <f>#REF! + #REF! + #REF! + #REF!</f>
        <v>#REF!</v>
      </c>
    </row>
    <row r="1300" spans="1:34" x14ac:dyDescent="0.35">
      <c r="A1300">
        <v>1299</v>
      </c>
      <c r="B1300" t="s">
        <v>63</v>
      </c>
      <c r="C1300">
        <v>81</v>
      </c>
      <c r="D1300" t="s">
        <v>28</v>
      </c>
      <c r="E1300" t="s">
        <v>23</v>
      </c>
      <c r="F1300" t="s">
        <v>22</v>
      </c>
      <c r="G1300">
        <v>0</v>
      </c>
      <c r="H1300">
        <v>227.4</v>
      </c>
      <c r="I1300">
        <v>105</v>
      </c>
      <c r="J1300">
        <v>38.659999999999997</v>
      </c>
      <c r="K1300">
        <v>211.5</v>
      </c>
      <c r="L1300">
        <v>120</v>
      </c>
      <c r="M1300">
        <v>17.98</v>
      </c>
      <c r="N1300">
        <v>258.2</v>
      </c>
      <c r="O1300">
        <v>113</v>
      </c>
      <c r="P1300">
        <v>11.62</v>
      </c>
      <c r="Q1300">
        <v>11.9</v>
      </c>
      <c r="R1300">
        <v>3</v>
      </c>
      <c r="S1300">
        <v>3.21</v>
      </c>
      <c r="T1300">
        <v>0</v>
      </c>
      <c r="U1300" t="s">
        <v>22</v>
      </c>
      <c r="V1300" t="e">
        <f>IF(#REF! = "yes", 1, 0)</f>
        <v>#REF!</v>
      </c>
      <c r="W1300" t="e">
        <f>IF(#REF! &lt;= 1, "0-1 Calls", IF(#REF! &lt;= 3, "2-3 Calls", IF(#REF! &lt;=5, "4-5 Calls", "6+ Calls")))</f>
        <v>#REF!</v>
      </c>
      <c r="X1300" t="e">
        <f>IF(#REF! &lt;= 50, "0-50", IF(#REF! &lt;=100, "51-100", IF(#REF! &lt;= 150, "101-150", "151+")))</f>
        <v>#REF!</v>
      </c>
      <c r="Y1300" t="e">
        <f>IF(#REF! &lt;= 3, "Low Charges", "High Charges")</f>
        <v>#REF!</v>
      </c>
      <c r="Z1300" t="e">
        <f>IF(#REF!&lt;=80,"Low Calls",
IF(#REF!&lt;=120,"Medium Calls","High Calls"))</f>
        <v>#REF!</v>
      </c>
      <c r="AA1300" t="e">
        <f>IF(#REF!&lt;=15,"Low Charges",
IF(#REF!&lt;=20,"Medium Charges","High Charges"))</f>
        <v>#REF!</v>
      </c>
      <c r="AB1300" t="e">
        <f>IF(AND(#REF!&gt;180, #REF!&gt;200), "Heavy Doemstic User", IF(#REF!&gt;10, "Interntional User", IF(AND(#REF!&lt;180, #REF!&lt;200,#REF!&lt;200), "Light User", "Balanced User")))</f>
        <v>#REF!</v>
      </c>
      <c r="AC1300" t="e">
        <f>IF(#REF! = 0, "No Usage", IF(#REF! &lt;= 20, "Low Usage", IF(#REF! &lt;= 40, "Medium Usgae", "High Usage")))</f>
        <v>#REF!</v>
      </c>
      <c r="AD1300" t="e">
        <f>IF(#REF!&lt;=150,"Low Usage", IF(#REF!&lt;=200,"Medium Usage", IF(#REF!&lt;=250,"High Usage","Very High Usage")))</f>
        <v>#REF!</v>
      </c>
      <c r="AE1300" t="e">
        <f>IF(#REF!&lt;=5,"Low Calls", IF(#REF!&lt;=10, "Medium Calls", "High Calls"))</f>
        <v>#REF!</v>
      </c>
      <c r="AF1300" t="e">
        <f xml:space="preserve">
IF(#REF!&gt;=4,4,0)+
IF(#REF!="yes",3,0)+
IF(#REF!="High Charges",3,0)+
IF(#REF!&gt;250,4,0)+
IF(#REF!="no",1,0)+
IF(#REF!="Heavy Domestic User",2,0)</f>
        <v>#REF!</v>
      </c>
      <c r="AG1300" t="e">
        <f>IF(#REF!&gt;=10,"High Risk", IF(#REF!&gt;=5,"Medium Risk","Low Risk"))</f>
        <v>#REF!</v>
      </c>
      <c r="AH1300" t="e">
        <f>#REF! + #REF! + #REF! + #REF!</f>
        <v>#REF!</v>
      </c>
    </row>
    <row r="1301" spans="1:34" x14ac:dyDescent="0.35">
      <c r="A1301">
        <v>1300</v>
      </c>
      <c r="B1301" t="s">
        <v>50</v>
      </c>
      <c r="C1301">
        <v>57</v>
      </c>
      <c r="D1301" t="s">
        <v>28</v>
      </c>
      <c r="E1301" t="s">
        <v>22</v>
      </c>
      <c r="F1301" t="s">
        <v>22</v>
      </c>
      <c r="G1301">
        <v>0</v>
      </c>
      <c r="H1301">
        <v>192.8</v>
      </c>
      <c r="I1301">
        <v>68</v>
      </c>
      <c r="J1301">
        <v>32.78</v>
      </c>
      <c r="K1301">
        <v>158</v>
      </c>
      <c r="L1301">
        <v>86</v>
      </c>
      <c r="M1301">
        <v>13.43</v>
      </c>
      <c r="N1301">
        <v>235.5</v>
      </c>
      <c r="O1301">
        <v>105</v>
      </c>
      <c r="P1301">
        <v>10.6</v>
      </c>
      <c r="Q1301">
        <v>12.7</v>
      </c>
      <c r="R1301">
        <v>6</v>
      </c>
      <c r="S1301">
        <v>3.43</v>
      </c>
      <c r="T1301">
        <v>1</v>
      </c>
      <c r="U1301" t="s">
        <v>22</v>
      </c>
      <c r="V1301" t="e">
        <f>IF(#REF! = "yes", 1, 0)</f>
        <v>#REF!</v>
      </c>
      <c r="W1301" t="e">
        <f>IF(#REF! &lt;= 1, "0-1 Calls", IF(#REF! &lt;= 3, "2-3 Calls", IF(#REF! &lt;=5, "4-5 Calls", "6+ Calls")))</f>
        <v>#REF!</v>
      </c>
      <c r="X1301" t="e">
        <f>IF(#REF! &lt;= 50, "0-50", IF(#REF! &lt;=100, "51-100", IF(#REF! &lt;= 150, "101-150", "151+")))</f>
        <v>#REF!</v>
      </c>
      <c r="Y1301" t="e">
        <f>IF(#REF! &lt;= 3, "Low Charges", "High Charges")</f>
        <v>#REF!</v>
      </c>
      <c r="Z1301" t="e">
        <f>IF(#REF!&lt;=80,"Low Calls",
IF(#REF!&lt;=120,"Medium Calls","High Calls"))</f>
        <v>#REF!</v>
      </c>
      <c r="AA1301" t="e">
        <f>IF(#REF!&lt;=15,"Low Charges",
IF(#REF!&lt;=20,"Medium Charges","High Charges"))</f>
        <v>#REF!</v>
      </c>
      <c r="AB1301" t="e">
        <f>IF(AND(#REF!&gt;180, #REF!&gt;200), "Heavy Doemstic User", IF(#REF!&gt;10, "Interntional User", IF(AND(#REF!&lt;180, #REF!&lt;200,#REF!&lt;200), "Light User", "Balanced User")))</f>
        <v>#REF!</v>
      </c>
      <c r="AC1301" t="e">
        <f>IF(#REF! = 0, "No Usage", IF(#REF! &lt;= 20, "Low Usage", IF(#REF! &lt;= 40, "Medium Usgae", "High Usage")))</f>
        <v>#REF!</v>
      </c>
      <c r="AD1301" t="e">
        <f>IF(#REF!&lt;=150,"Low Usage", IF(#REF!&lt;=200,"Medium Usage", IF(#REF!&lt;=250,"High Usage","Very High Usage")))</f>
        <v>#REF!</v>
      </c>
      <c r="AE1301" t="e">
        <f>IF(#REF!&lt;=5,"Low Calls", IF(#REF!&lt;=10, "Medium Calls", "High Calls"))</f>
        <v>#REF!</v>
      </c>
      <c r="AF1301" t="e">
        <f xml:space="preserve">
IF(#REF!&gt;=4,4,0)+
IF(#REF!="yes",3,0)+
IF(#REF!="High Charges",3,0)+
IF(#REF!&gt;250,4,0)+
IF(#REF!="no",1,0)+
IF(#REF!="Heavy Domestic User",2,0)</f>
        <v>#REF!</v>
      </c>
      <c r="AG1301" t="e">
        <f>IF(#REF!&gt;=10,"High Risk", IF(#REF!&gt;=5,"Medium Risk","Low Risk"))</f>
        <v>#REF!</v>
      </c>
      <c r="AH1301" t="e">
        <f>#REF! + #REF! + #REF! + #REF!</f>
        <v>#REF!</v>
      </c>
    </row>
    <row r="1302" spans="1:34" x14ac:dyDescent="0.35">
      <c r="A1302">
        <v>1301</v>
      </c>
      <c r="B1302" t="s">
        <v>67</v>
      </c>
      <c r="C1302">
        <v>140</v>
      </c>
      <c r="D1302" t="s">
        <v>25</v>
      </c>
      <c r="E1302" t="s">
        <v>22</v>
      </c>
      <c r="F1302" t="s">
        <v>22</v>
      </c>
      <c r="G1302">
        <v>0</v>
      </c>
      <c r="H1302">
        <v>162.6</v>
      </c>
      <c r="I1302">
        <v>98</v>
      </c>
      <c r="J1302">
        <v>27.64</v>
      </c>
      <c r="K1302">
        <v>206.2</v>
      </c>
      <c r="L1302">
        <v>109</v>
      </c>
      <c r="M1302">
        <v>17.53</v>
      </c>
      <c r="N1302">
        <v>141.6</v>
      </c>
      <c r="O1302">
        <v>66</v>
      </c>
      <c r="P1302">
        <v>6.37</v>
      </c>
      <c r="Q1302">
        <v>8.1999999999999993</v>
      </c>
      <c r="R1302">
        <v>2</v>
      </c>
      <c r="S1302">
        <v>2.21</v>
      </c>
      <c r="T1302">
        <v>1</v>
      </c>
      <c r="U1302" t="s">
        <v>22</v>
      </c>
      <c r="V1302" t="e">
        <f>IF(#REF! = "yes", 1, 0)</f>
        <v>#REF!</v>
      </c>
      <c r="W1302" t="e">
        <f>IF(#REF! &lt;= 1, "0-1 Calls", IF(#REF! &lt;= 3, "2-3 Calls", IF(#REF! &lt;=5, "4-5 Calls", "6+ Calls")))</f>
        <v>#REF!</v>
      </c>
      <c r="X1302" t="e">
        <f>IF(#REF! &lt;= 50, "0-50", IF(#REF! &lt;=100, "51-100", IF(#REF! &lt;= 150, "101-150", "151+")))</f>
        <v>#REF!</v>
      </c>
      <c r="Y1302" t="e">
        <f>IF(#REF! &lt;= 3, "Low Charges", "High Charges")</f>
        <v>#REF!</v>
      </c>
      <c r="Z1302" t="e">
        <f>IF(#REF!&lt;=80,"Low Calls",
IF(#REF!&lt;=120,"Medium Calls","High Calls"))</f>
        <v>#REF!</v>
      </c>
      <c r="AA1302" t="e">
        <f>IF(#REF!&lt;=15,"Low Charges",
IF(#REF!&lt;=20,"Medium Charges","High Charges"))</f>
        <v>#REF!</v>
      </c>
      <c r="AB1302" t="e">
        <f>IF(AND(#REF!&gt;180, #REF!&gt;200), "Heavy Doemstic User", IF(#REF!&gt;10, "Interntional User", IF(AND(#REF!&lt;180, #REF!&lt;200,#REF!&lt;200), "Light User", "Balanced User")))</f>
        <v>#REF!</v>
      </c>
      <c r="AC1302" t="e">
        <f>IF(#REF! = 0, "No Usage", IF(#REF! &lt;= 20, "Low Usage", IF(#REF! &lt;= 40, "Medium Usgae", "High Usage")))</f>
        <v>#REF!</v>
      </c>
      <c r="AD1302" t="e">
        <f>IF(#REF!&lt;=150,"Low Usage", IF(#REF!&lt;=200,"Medium Usage", IF(#REF!&lt;=250,"High Usage","Very High Usage")))</f>
        <v>#REF!</v>
      </c>
      <c r="AE1302" t="e">
        <f>IF(#REF!&lt;=5,"Low Calls", IF(#REF!&lt;=10, "Medium Calls", "High Calls"))</f>
        <v>#REF!</v>
      </c>
      <c r="AF1302" t="e">
        <f xml:space="preserve">
IF(#REF!&gt;=4,4,0)+
IF(#REF!="yes",3,0)+
IF(#REF!="High Charges",3,0)+
IF(#REF!&gt;250,4,0)+
IF(#REF!="no",1,0)+
IF(#REF!="Heavy Domestic User",2,0)</f>
        <v>#REF!</v>
      </c>
      <c r="AG1302" t="e">
        <f>IF(#REF!&gt;=10,"High Risk", IF(#REF!&gt;=5,"Medium Risk","Low Risk"))</f>
        <v>#REF!</v>
      </c>
      <c r="AH1302" t="e">
        <f>#REF! + #REF! + #REF! + #REF!</f>
        <v>#REF!</v>
      </c>
    </row>
    <row r="1303" spans="1:34" x14ac:dyDescent="0.35">
      <c r="A1303">
        <v>1302</v>
      </c>
      <c r="B1303" t="s">
        <v>49</v>
      </c>
      <c r="C1303">
        <v>102</v>
      </c>
      <c r="D1303" t="s">
        <v>21</v>
      </c>
      <c r="E1303" t="s">
        <v>22</v>
      </c>
      <c r="F1303" t="s">
        <v>22</v>
      </c>
      <c r="G1303">
        <v>0</v>
      </c>
      <c r="H1303">
        <v>271.10000000000002</v>
      </c>
      <c r="I1303">
        <v>80</v>
      </c>
      <c r="J1303">
        <v>46.09</v>
      </c>
      <c r="K1303">
        <v>172</v>
      </c>
      <c r="L1303">
        <v>133</v>
      </c>
      <c r="M1303">
        <v>14.62</v>
      </c>
      <c r="N1303">
        <v>169.2</v>
      </c>
      <c r="O1303">
        <v>105</v>
      </c>
      <c r="P1303">
        <v>7.61</v>
      </c>
      <c r="Q1303">
        <v>10.3</v>
      </c>
      <c r="R1303">
        <v>5</v>
      </c>
      <c r="S1303">
        <v>2.78</v>
      </c>
      <c r="T1303">
        <v>1</v>
      </c>
      <c r="U1303" t="s">
        <v>22</v>
      </c>
      <c r="V1303" t="e">
        <f>IF(#REF! = "yes", 1, 0)</f>
        <v>#REF!</v>
      </c>
      <c r="W1303" t="e">
        <f>IF(#REF! &lt;= 1, "0-1 Calls", IF(#REF! &lt;= 3, "2-3 Calls", IF(#REF! &lt;=5, "4-5 Calls", "6+ Calls")))</f>
        <v>#REF!</v>
      </c>
      <c r="X1303" t="e">
        <f>IF(#REF! &lt;= 50, "0-50", IF(#REF! &lt;=100, "51-100", IF(#REF! &lt;= 150, "101-150", "151+")))</f>
        <v>#REF!</v>
      </c>
      <c r="Y1303" t="e">
        <f>IF(#REF! &lt;= 3, "Low Charges", "High Charges")</f>
        <v>#REF!</v>
      </c>
      <c r="Z1303" t="e">
        <f>IF(#REF!&lt;=80,"Low Calls",
IF(#REF!&lt;=120,"Medium Calls","High Calls"))</f>
        <v>#REF!</v>
      </c>
      <c r="AA1303" t="e">
        <f>IF(#REF!&lt;=15,"Low Charges",
IF(#REF!&lt;=20,"Medium Charges","High Charges"))</f>
        <v>#REF!</v>
      </c>
      <c r="AB1303" t="e">
        <f>IF(AND(#REF!&gt;180, #REF!&gt;200), "Heavy Doemstic User", IF(#REF!&gt;10, "Interntional User", IF(AND(#REF!&lt;180, #REF!&lt;200,#REF!&lt;200), "Light User", "Balanced User")))</f>
        <v>#REF!</v>
      </c>
      <c r="AC1303" t="e">
        <f>IF(#REF! = 0, "No Usage", IF(#REF! &lt;= 20, "Low Usage", IF(#REF! &lt;= 40, "Medium Usgae", "High Usage")))</f>
        <v>#REF!</v>
      </c>
      <c r="AD1303" t="e">
        <f>IF(#REF!&lt;=150,"Low Usage", IF(#REF!&lt;=200,"Medium Usage", IF(#REF!&lt;=250,"High Usage","Very High Usage")))</f>
        <v>#REF!</v>
      </c>
      <c r="AE1303" t="e">
        <f>IF(#REF!&lt;=5,"Low Calls", IF(#REF!&lt;=10, "Medium Calls", "High Calls"))</f>
        <v>#REF!</v>
      </c>
      <c r="AF1303" t="e">
        <f xml:space="preserve">
IF(#REF!&gt;=4,4,0)+
IF(#REF!="yes",3,0)+
IF(#REF!="High Charges",3,0)+
IF(#REF!&gt;250,4,0)+
IF(#REF!="no",1,0)+
IF(#REF!="Heavy Domestic User",2,0)</f>
        <v>#REF!</v>
      </c>
      <c r="AG1303" t="e">
        <f>IF(#REF!&gt;=10,"High Risk", IF(#REF!&gt;=5,"Medium Risk","Low Risk"))</f>
        <v>#REF!</v>
      </c>
      <c r="AH1303" t="e">
        <f>#REF! + #REF! + #REF! + #REF!</f>
        <v>#REF!</v>
      </c>
    </row>
    <row r="1304" spans="1:34" x14ac:dyDescent="0.35">
      <c r="A1304">
        <v>1303</v>
      </c>
      <c r="B1304" t="s">
        <v>74</v>
      </c>
      <c r="C1304">
        <v>107</v>
      </c>
      <c r="D1304" t="s">
        <v>25</v>
      </c>
      <c r="E1304" t="s">
        <v>22</v>
      </c>
      <c r="F1304" t="s">
        <v>22</v>
      </c>
      <c r="G1304">
        <v>0</v>
      </c>
      <c r="H1304">
        <v>103.4</v>
      </c>
      <c r="I1304">
        <v>94</v>
      </c>
      <c r="J1304">
        <v>17.579999999999998</v>
      </c>
      <c r="K1304">
        <v>189.3</v>
      </c>
      <c r="L1304">
        <v>125</v>
      </c>
      <c r="M1304">
        <v>16.09</v>
      </c>
      <c r="N1304">
        <v>227.2</v>
      </c>
      <c r="O1304">
        <v>125</v>
      </c>
      <c r="P1304">
        <v>10.220000000000001</v>
      </c>
      <c r="Q1304">
        <v>14.4</v>
      </c>
      <c r="R1304">
        <v>3</v>
      </c>
      <c r="S1304">
        <v>3.89</v>
      </c>
      <c r="T1304">
        <v>1</v>
      </c>
      <c r="U1304" t="s">
        <v>22</v>
      </c>
      <c r="V1304" t="e">
        <f>IF(#REF! = "yes", 1, 0)</f>
        <v>#REF!</v>
      </c>
      <c r="W1304" t="e">
        <f>IF(#REF! &lt;= 1, "0-1 Calls", IF(#REF! &lt;= 3, "2-3 Calls", IF(#REF! &lt;=5, "4-5 Calls", "6+ Calls")))</f>
        <v>#REF!</v>
      </c>
      <c r="X1304" t="e">
        <f>IF(#REF! &lt;= 50, "0-50", IF(#REF! &lt;=100, "51-100", IF(#REF! &lt;= 150, "101-150", "151+")))</f>
        <v>#REF!</v>
      </c>
      <c r="Y1304" t="e">
        <f>IF(#REF! &lt;= 3, "Low Charges", "High Charges")</f>
        <v>#REF!</v>
      </c>
      <c r="Z1304" t="e">
        <f>IF(#REF!&lt;=80,"Low Calls",
IF(#REF!&lt;=120,"Medium Calls","High Calls"))</f>
        <v>#REF!</v>
      </c>
      <c r="AA1304" t="e">
        <f>IF(#REF!&lt;=15,"Low Charges",
IF(#REF!&lt;=20,"Medium Charges","High Charges"))</f>
        <v>#REF!</v>
      </c>
      <c r="AB1304" t="e">
        <f>IF(AND(#REF!&gt;180, #REF!&gt;200), "Heavy Doemstic User", IF(#REF!&gt;10, "Interntional User", IF(AND(#REF!&lt;180, #REF!&lt;200,#REF!&lt;200), "Light User", "Balanced User")))</f>
        <v>#REF!</v>
      </c>
      <c r="AC1304" t="e">
        <f>IF(#REF! = 0, "No Usage", IF(#REF! &lt;= 20, "Low Usage", IF(#REF! &lt;= 40, "Medium Usgae", "High Usage")))</f>
        <v>#REF!</v>
      </c>
      <c r="AD1304" t="e">
        <f>IF(#REF!&lt;=150,"Low Usage", IF(#REF!&lt;=200,"Medium Usage", IF(#REF!&lt;=250,"High Usage","Very High Usage")))</f>
        <v>#REF!</v>
      </c>
      <c r="AE1304" t="e">
        <f>IF(#REF!&lt;=5,"Low Calls", IF(#REF!&lt;=10, "Medium Calls", "High Calls"))</f>
        <v>#REF!</v>
      </c>
      <c r="AF1304" t="e">
        <f xml:space="preserve">
IF(#REF!&gt;=4,4,0)+
IF(#REF!="yes",3,0)+
IF(#REF!="High Charges",3,0)+
IF(#REF!&gt;250,4,0)+
IF(#REF!="no",1,0)+
IF(#REF!="Heavy Domestic User",2,0)</f>
        <v>#REF!</v>
      </c>
      <c r="AG1304" t="e">
        <f>IF(#REF!&gt;=10,"High Risk", IF(#REF!&gt;=5,"Medium Risk","Low Risk"))</f>
        <v>#REF!</v>
      </c>
      <c r="AH1304" t="e">
        <f>#REF! + #REF! + #REF! + #REF!</f>
        <v>#REF!</v>
      </c>
    </row>
    <row r="1305" spans="1:34" x14ac:dyDescent="0.35">
      <c r="A1305">
        <v>1304</v>
      </c>
      <c r="B1305" t="s">
        <v>43</v>
      </c>
      <c r="C1305">
        <v>106</v>
      </c>
      <c r="D1305" t="s">
        <v>25</v>
      </c>
      <c r="E1305" t="s">
        <v>22</v>
      </c>
      <c r="F1305" t="s">
        <v>22</v>
      </c>
      <c r="G1305">
        <v>0</v>
      </c>
      <c r="H1305">
        <v>52.2</v>
      </c>
      <c r="I1305">
        <v>106</v>
      </c>
      <c r="J1305">
        <v>8.8699999999999992</v>
      </c>
      <c r="K1305">
        <v>220.1</v>
      </c>
      <c r="L1305">
        <v>113</v>
      </c>
      <c r="M1305">
        <v>18.71</v>
      </c>
      <c r="N1305">
        <v>112.3</v>
      </c>
      <c r="O1305">
        <v>95</v>
      </c>
      <c r="P1305">
        <v>5.05</v>
      </c>
      <c r="Q1305">
        <v>11.4</v>
      </c>
      <c r="R1305">
        <v>2</v>
      </c>
      <c r="S1305">
        <v>3.08</v>
      </c>
      <c r="T1305">
        <v>2</v>
      </c>
      <c r="U1305" t="s">
        <v>22</v>
      </c>
      <c r="V1305" t="e">
        <f>IF(#REF! = "yes", 1, 0)</f>
        <v>#REF!</v>
      </c>
      <c r="W1305" t="e">
        <f>IF(#REF! &lt;= 1, "0-1 Calls", IF(#REF! &lt;= 3, "2-3 Calls", IF(#REF! &lt;=5, "4-5 Calls", "6+ Calls")))</f>
        <v>#REF!</v>
      </c>
      <c r="X1305" t="e">
        <f>IF(#REF! &lt;= 50, "0-50", IF(#REF! &lt;=100, "51-100", IF(#REF! &lt;= 150, "101-150", "151+")))</f>
        <v>#REF!</v>
      </c>
      <c r="Y1305" t="e">
        <f>IF(#REF! &lt;= 3, "Low Charges", "High Charges")</f>
        <v>#REF!</v>
      </c>
      <c r="Z1305" t="e">
        <f>IF(#REF!&lt;=80,"Low Calls",
IF(#REF!&lt;=120,"Medium Calls","High Calls"))</f>
        <v>#REF!</v>
      </c>
      <c r="AA1305" t="e">
        <f>IF(#REF!&lt;=15,"Low Charges",
IF(#REF!&lt;=20,"Medium Charges","High Charges"))</f>
        <v>#REF!</v>
      </c>
      <c r="AB1305" t="e">
        <f>IF(AND(#REF!&gt;180, #REF!&gt;200), "Heavy Doemstic User", IF(#REF!&gt;10, "Interntional User", IF(AND(#REF!&lt;180, #REF!&lt;200,#REF!&lt;200), "Light User", "Balanced User")))</f>
        <v>#REF!</v>
      </c>
      <c r="AC1305" t="e">
        <f>IF(#REF! = 0, "No Usage", IF(#REF! &lt;= 20, "Low Usage", IF(#REF! &lt;= 40, "Medium Usgae", "High Usage")))</f>
        <v>#REF!</v>
      </c>
      <c r="AD1305" t="e">
        <f>IF(#REF!&lt;=150,"Low Usage", IF(#REF!&lt;=200,"Medium Usage", IF(#REF!&lt;=250,"High Usage","Very High Usage")))</f>
        <v>#REF!</v>
      </c>
      <c r="AE1305" t="e">
        <f>IF(#REF!&lt;=5,"Low Calls", IF(#REF!&lt;=10, "Medium Calls", "High Calls"))</f>
        <v>#REF!</v>
      </c>
      <c r="AF1305" t="e">
        <f xml:space="preserve">
IF(#REF!&gt;=4,4,0)+
IF(#REF!="yes",3,0)+
IF(#REF!="High Charges",3,0)+
IF(#REF!&gt;250,4,0)+
IF(#REF!="no",1,0)+
IF(#REF!="Heavy Domestic User",2,0)</f>
        <v>#REF!</v>
      </c>
      <c r="AG1305" t="e">
        <f>IF(#REF!&gt;=10,"High Risk", IF(#REF!&gt;=5,"Medium Risk","Low Risk"))</f>
        <v>#REF!</v>
      </c>
      <c r="AH1305" t="e">
        <f>#REF! + #REF! + #REF! + #REF!</f>
        <v>#REF!</v>
      </c>
    </row>
    <row r="1306" spans="1:34" x14ac:dyDescent="0.35">
      <c r="A1306">
        <v>1305</v>
      </c>
      <c r="B1306" t="s">
        <v>53</v>
      </c>
      <c r="C1306">
        <v>225</v>
      </c>
      <c r="D1306" t="s">
        <v>21</v>
      </c>
      <c r="E1306" t="s">
        <v>22</v>
      </c>
      <c r="F1306" t="s">
        <v>22</v>
      </c>
      <c r="G1306">
        <v>0</v>
      </c>
      <c r="H1306">
        <v>165.4</v>
      </c>
      <c r="I1306">
        <v>106</v>
      </c>
      <c r="J1306">
        <v>28.12</v>
      </c>
      <c r="K1306">
        <v>273.7</v>
      </c>
      <c r="L1306">
        <v>109</v>
      </c>
      <c r="M1306">
        <v>23.26</v>
      </c>
      <c r="N1306">
        <v>210</v>
      </c>
      <c r="O1306">
        <v>93</v>
      </c>
      <c r="P1306">
        <v>9.4499999999999993</v>
      </c>
      <c r="Q1306">
        <v>8.6999999999999993</v>
      </c>
      <c r="R1306">
        <v>3</v>
      </c>
      <c r="S1306">
        <v>2.35</v>
      </c>
      <c r="T1306">
        <v>0</v>
      </c>
      <c r="U1306" t="s">
        <v>23</v>
      </c>
      <c r="V1306" t="e">
        <f>IF(#REF! = "yes", 1, 0)</f>
        <v>#REF!</v>
      </c>
      <c r="W1306" t="e">
        <f>IF(#REF! &lt;= 1, "0-1 Calls", IF(#REF! &lt;= 3, "2-3 Calls", IF(#REF! &lt;=5, "4-5 Calls", "6+ Calls")))</f>
        <v>#REF!</v>
      </c>
      <c r="X1306" t="e">
        <f>IF(#REF! &lt;= 50, "0-50", IF(#REF! &lt;=100, "51-100", IF(#REF! &lt;= 150, "101-150", "151+")))</f>
        <v>#REF!</v>
      </c>
      <c r="Y1306" t="e">
        <f>IF(#REF! &lt;= 3, "Low Charges", "High Charges")</f>
        <v>#REF!</v>
      </c>
      <c r="Z1306" t="e">
        <f>IF(#REF!&lt;=80,"Low Calls",
IF(#REF!&lt;=120,"Medium Calls","High Calls"))</f>
        <v>#REF!</v>
      </c>
      <c r="AA1306" t="e">
        <f>IF(#REF!&lt;=15,"Low Charges",
IF(#REF!&lt;=20,"Medium Charges","High Charges"))</f>
        <v>#REF!</v>
      </c>
      <c r="AB1306" t="e">
        <f>IF(AND(#REF!&gt;180, #REF!&gt;200), "Heavy Doemstic User", IF(#REF!&gt;10, "Interntional User", IF(AND(#REF!&lt;180, #REF!&lt;200,#REF!&lt;200), "Light User", "Balanced User")))</f>
        <v>#REF!</v>
      </c>
      <c r="AC1306" t="e">
        <f>IF(#REF! = 0, "No Usage", IF(#REF! &lt;= 20, "Low Usage", IF(#REF! &lt;= 40, "Medium Usgae", "High Usage")))</f>
        <v>#REF!</v>
      </c>
      <c r="AD1306" t="e">
        <f>IF(#REF!&lt;=150,"Low Usage", IF(#REF!&lt;=200,"Medium Usage", IF(#REF!&lt;=250,"High Usage","Very High Usage")))</f>
        <v>#REF!</v>
      </c>
      <c r="AE1306" t="e">
        <f>IF(#REF!&lt;=5,"Low Calls", IF(#REF!&lt;=10, "Medium Calls", "High Calls"))</f>
        <v>#REF!</v>
      </c>
      <c r="AF1306" t="e">
        <f xml:space="preserve">
IF(#REF!&gt;=4,4,0)+
IF(#REF!="yes",3,0)+
IF(#REF!="High Charges",3,0)+
IF(#REF!&gt;250,4,0)+
IF(#REF!="no",1,0)+
IF(#REF!="Heavy Domestic User",2,0)</f>
        <v>#REF!</v>
      </c>
      <c r="AG1306" t="e">
        <f>IF(#REF!&gt;=10,"High Risk", IF(#REF!&gt;=5,"Medium Risk","Low Risk"))</f>
        <v>#REF!</v>
      </c>
      <c r="AH1306" t="e">
        <f>#REF! + #REF! + #REF! + #REF!</f>
        <v>#REF!</v>
      </c>
    </row>
    <row r="1307" spans="1:34" x14ac:dyDescent="0.35">
      <c r="A1307">
        <v>1306</v>
      </c>
      <c r="B1307" t="s">
        <v>57</v>
      </c>
      <c r="C1307">
        <v>75</v>
      </c>
      <c r="D1307" t="s">
        <v>25</v>
      </c>
      <c r="E1307" t="s">
        <v>22</v>
      </c>
      <c r="F1307" t="s">
        <v>22</v>
      </c>
      <c r="G1307">
        <v>0</v>
      </c>
      <c r="H1307">
        <v>147.5</v>
      </c>
      <c r="I1307">
        <v>110</v>
      </c>
      <c r="J1307">
        <v>25.08</v>
      </c>
      <c r="K1307">
        <v>191.7</v>
      </c>
      <c r="L1307">
        <v>97</v>
      </c>
      <c r="M1307">
        <v>16.29</v>
      </c>
      <c r="N1307">
        <v>135</v>
      </c>
      <c r="O1307">
        <v>68</v>
      </c>
      <c r="P1307">
        <v>6.08</v>
      </c>
      <c r="Q1307">
        <v>16.399999999999999</v>
      </c>
      <c r="R1307">
        <v>3</v>
      </c>
      <c r="S1307">
        <v>4.43</v>
      </c>
      <c r="T1307">
        <v>2</v>
      </c>
      <c r="U1307" t="s">
        <v>22</v>
      </c>
      <c r="V1307" t="e">
        <f>IF(#REF! = "yes", 1, 0)</f>
        <v>#REF!</v>
      </c>
      <c r="W1307" t="e">
        <f>IF(#REF! &lt;= 1, "0-1 Calls", IF(#REF! &lt;= 3, "2-3 Calls", IF(#REF! &lt;=5, "4-5 Calls", "6+ Calls")))</f>
        <v>#REF!</v>
      </c>
      <c r="X1307" t="e">
        <f>IF(#REF! &lt;= 50, "0-50", IF(#REF! &lt;=100, "51-100", IF(#REF! &lt;= 150, "101-150", "151+")))</f>
        <v>#REF!</v>
      </c>
      <c r="Y1307" t="e">
        <f>IF(#REF! &lt;= 3, "Low Charges", "High Charges")</f>
        <v>#REF!</v>
      </c>
      <c r="Z1307" t="e">
        <f>IF(#REF!&lt;=80,"Low Calls",
IF(#REF!&lt;=120,"Medium Calls","High Calls"))</f>
        <v>#REF!</v>
      </c>
      <c r="AA1307" t="e">
        <f>IF(#REF!&lt;=15,"Low Charges",
IF(#REF!&lt;=20,"Medium Charges","High Charges"))</f>
        <v>#REF!</v>
      </c>
      <c r="AB1307" t="e">
        <f>IF(AND(#REF!&gt;180, #REF!&gt;200), "Heavy Doemstic User", IF(#REF!&gt;10, "Interntional User", IF(AND(#REF!&lt;180, #REF!&lt;200,#REF!&lt;200), "Light User", "Balanced User")))</f>
        <v>#REF!</v>
      </c>
      <c r="AC1307" t="e">
        <f>IF(#REF! = 0, "No Usage", IF(#REF! &lt;= 20, "Low Usage", IF(#REF! &lt;= 40, "Medium Usgae", "High Usage")))</f>
        <v>#REF!</v>
      </c>
      <c r="AD1307" t="e">
        <f>IF(#REF!&lt;=150,"Low Usage", IF(#REF!&lt;=200,"Medium Usage", IF(#REF!&lt;=250,"High Usage","Very High Usage")))</f>
        <v>#REF!</v>
      </c>
      <c r="AE1307" t="e">
        <f>IF(#REF!&lt;=5,"Low Calls", IF(#REF!&lt;=10, "Medium Calls", "High Calls"))</f>
        <v>#REF!</v>
      </c>
      <c r="AF1307" t="e">
        <f xml:space="preserve">
IF(#REF!&gt;=4,4,0)+
IF(#REF!="yes",3,0)+
IF(#REF!="High Charges",3,0)+
IF(#REF!&gt;250,4,0)+
IF(#REF!="no",1,0)+
IF(#REF!="Heavy Domestic User",2,0)</f>
        <v>#REF!</v>
      </c>
      <c r="AG1307" t="e">
        <f>IF(#REF!&gt;=10,"High Risk", IF(#REF!&gt;=5,"Medium Risk","Low Risk"))</f>
        <v>#REF!</v>
      </c>
      <c r="AH1307" t="e">
        <f>#REF! + #REF! + #REF! + #REF!</f>
        <v>#REF!</v>
      </c>
    </row>
    <row r="1308" spans="1:34" x14ac:dyDescent="0.35">
      <c r="A1308">
        <v>1307</v>
      </c>
      <c r="B1308" t="s">
        <v>41</v>
      </c>
      <c r="C1308">
        <v>86</v>
      </c>
      <c r="D1308" t="s">
        <v>21</v>
      </c>
      <c r="E1308" t="s">
        <v>22</v>
      </c>
      <c r="F1308" t="s">
        <v>22</v>
      </c>
      <c r="G1308">
        <v>0</v>
      </c>
      <c r="H1308">
        <v>217.8</v>
      </c>
      <c r="I1308">
        <v>93</v>
      </c>
      <c r="J1308">
        <v>37.03</v>
      </c>
      <c r="K1308">
        <v>214.7</v>
      </c>
      <c r="L1308">
        <v>95</v>
      </c>
      <c r="M1308">
        <v>18.25</v>
      </c>
      <c r="N1308">
        <v>228.7</v>
      </c>
      <c r="O1308">
        <v>70</v>
      </c>
      <c r="P1308">
        <v>10.29</v>
      </c>
      <c r="Q1308">
        <v>11.3</v>
      </c>
      <c r="R1308">
        <v>7</v>
      </c>
      <c r="S1308">
        <v>3.05</v>
      </c>
      <c r="T1308">
        <v>0</v>
      </c>
      <c r="U1308" t="s">
        <v>22</v>
      </c>
      <c r="V1308" t="e">
        <f>IF(#REF! = "yes", 1, 0)</f>
        <v>#REF!</v>
      </c>
      <c r="W1308" t="e">
        <f>IF(#REF! &lt;= 1, "0-1 Calls", IF(#REF! &lt;= 3, "2-3 Calls", IF(#REF! &lt;=5, "4-5 Calls", "6+ Calls")))</f>
        <v>#REF!</v>
      </c>
      <c r="X1308" t="e">
        <f>IF(#REF! &lt;= 50, "0-50", IF(#REF! &lt;=100, "51-100", IF(#REF! &lt;= 150, "101-150", "151+")))</f>
        <v>#REF!</v>
      </c>
      <c r="Y1308" t="e">
        <f>IF(#REF! &lt;= 3, "Low Charges", "High Charges")</f>
        <v>#REF!</v>
      </c>
      <c r="Z1308" t="e">
        <f>IF(#REF!&lt;=80,"Low Calls",
IF(#REF!&lt;=120,"Medium Calls","High Calls"))</f>
        <v>#REF!</v>
      </c>
      <c r="AA1308" t="e">
        <f>IF(#REF!&lt;=15,"Low Charges",
IF(#REF!&lt;=20,"Medium Charges","High Charges"))</f>
        <v>#REF!</v>
      </c>
      <c r="AB1308" t="e">
        <f>IF(AND(#REF!&gt;180, #REF!&gt;200), "Heavy Doemstic User", IF(#REF!&gt;10, "Interntional User", IF(AND(#REF!&lt;180, #REF!&lt;200,#REF!&lt;200), "Light User", "Balanced User")))</f>
        <v>#REF!</v>
      </c>
      <c r="AC1308" t="e">
        <f>IF(#REF! = 0, "No Usage", IF(#REF! &lt;= 20, "Low Usage", IF(#REF! &lt;= 40, "Medium Usgae", "High Usage")))</f>
        <v>#REF!</v>
      </c>
      <c r="AD1308" t="e">
        <f>IF(#REF!&lt;=150,"Low Usage", IF(#REF!&lt;=200,"Medium Usage", IF(#REF!&lt;=250,"High Usage","Very High Usage")))</f>
        <v>#REF!</v>
      </c>
      <c r="AE1308" t="e">
        <f>IF(#REF!&lt;=5,"Low Calls", IF(#REF!&lt;=10, "Medium Calls", "High Calls"))</f>
        <v>#REF!</v>
      </c>
      <c r="AF1308" t="e">
        <f xml:space="preserve">
IF(#REF!&gt;=4,4,0)+
IF(#REF!="yes",3,0)+
IF(#REF!="High Charges",3,0)+
IF(#REF!&gt;250,4,0)+
IF(#REF!="no",1,0)+
IF(#REF!="Heavy Domestic User",2,0)</f>
        <v>#REF!</v>
      </c>
      <c r="AG1308" t="e">
        <f>IF(#REF!&gt;=10,"High Risk", IF(#REF!&gt;=5,"Medium Risk","Low Risk"))</f>
        <v>#REF!</v>
      </c>
      <c r="AH1308" t="e">
        <f>#REF! + #REF! + #REF! + #REF!</f>
        <v>#REF!</v>
      </c>
    </row>
    <row r="1309" spans="1:34" x14ac:dyDescent="0.35">
      <c r="A1309">
        <v>1308</v>
      </c>
      <c r="B1309" t="s">
        <v>37</v>
      </c>
      <c r="C1309">
        <v>169</v>
      </c>
      <c r="D1309" t="s">
        <v>21</v>
      </c>
      <c r="E1309" t="s">
        <v>22</v>
      </c>
      <c r="F1309" t="s">
        <v>22</v>
      </c>
      <c r="G1309">
        <v>0</v>
      </c>
      <c r="H1309">
        <v>235.7</v>
      </c>
      <c r="I1309">
        <v>79</v>
      </c>
      <c r="J1309">
        <v>40.07</v>
      </c>
      <c r="K1309">
        <v>136.9</v>
      </c>
      <c r="L1309">
        <v>85</v>
      </c>
      <c r="M1309">
        <v>11.64</v>
      </c>
      <c r="N1309">
        <v>220.9</v>
      </c>
      <c r="O1309">
        <v>97</v>
      </c>
      <c r="P1309">
        <v>9.94</v>
      </c>
      <c r="Q1309">
        <v>13.3</v>
      </c>
      <c r="R1309">
        <v>10</v>
      </c>
      <c r="S1309">
        <v>3.59</v>
      </c>
      <c r="T1309">
        <v>1</v>
      </c>
      <c r="U1309" t="s">
        <v>22</v>
      </c>
      <c r="V1309" t="e">
        <f>IF(#REF! = "yes", 1, 0)</f>
        <v>#REF!</v>
      </c>
      <c r="W1309" t="e">
        <f>IF(#REF! &lt;= 1, "0-1 Calls", IF(#REF! &lt;= 3, "2-3 Calls", IF(#REF! &lt;=5, "4-5 Calls", "6+ Calls")))</f>
        <v>#REF!</v>
      </c>
      <c r="X1309" t="e">
        <f>IF(#REF! &lt;= 50, "0-50", IF(#REF! &lt;=100, "51-100", IF(#REF! &lt;= 150, "101-150", "151+")))</f>
        <v>#REF!</v>
      </c>
      <c r="Y1309" t="e">
        <f>IF(#REF! &lt;= 3, "Low Charges", "High Charges")</f>
        <v>#REF!</v>
      </c>
      <c r="Z1309" t="e">
        <f>IF(#REF!&lt;=80,"Low Calls",
IF(#REF!&lt;=120,"Medium Calls","High Calls"))</f>
        <v>#REF!</v>
      </c>
      <c r="AA1309" t="e">
        <f>IF(#REF!&lt;=15,"Low Charges",
IF(#REF!&lt;=20,"Medium Charges","High Charges"))</f>
        <v>#REF!</v>
      </c>
      <c r="AB1309" t="e">
        <f>IF(AND(#REF!&gt;180, #REF!&gt;200), "Heavy Doemstic User", IF(#REF!&gt;10, "Interntional User", IF(AND(#REF!&lt;180, #REF!&lt;200,#REF!&lt;200), "Light User", "Balanced User")))</f>
        <v>#REF!</v>
      </c>
      <c r="AC1309" t="e">
        <f>IF(#REF! = 0, "No Usage", IF(#REF! &lt;= 20, "Low Usage", IF(#REF! &lt;= 40, "Medium Usgae", "High Usage")))</f>
        <v>#REF!</v>
      </c>
      <c r="AD1309" t="e">
        <f>IF(#REF!&lt;=150,"Low Usage", IF(#REF!&lt;=200,"Medium Usage", IF(#REF!&lt;=250,"High Usage","Very High Usage")))</f>
        <v>#REF!</v>
      </c>
      <c r="AE1309" t="e">
        <f>IF(#REF!&lt;=5,"Low Calls", IF(#REF!&lt;=10, "Medium Calls", "High Calls"))</f>
        <v>#REF!</v>
      </c>
      <c r="AF1309" t="e">
        <f xml:space="preserve">
IF(#REF!&gt;=4,4,0)+
IF(#REF!="yes",3,0)+
IF(#REF!="High Charges",3,0)+
IF(#REF!&gt;250,4,0)+
IF(#REF!="no",1,0)+
IF(#REF!="Heavy Domestic User",2,0)</f>
        <v>#REF!</v>
      </c>
      <c r="AG1309" t="e">
        <f>IF(#REF!&gt;=10,"High Risk", IF(#REF!&gt;=5,"Medium Risk","Low Risk"))</f>
        <v>#REF!</v>
      </c>
      <c r="AH1309" t="e">
        <f>#REF! + #REF! + #REF! + #REF!</f>
        <v>#REF!</v>
      </c>
    </row>
    <row r="1310" spans="1:34" x14ac:dyDescent="0.35">
      <c r="A1310">
        <v>1309</v>
      </c>
      <c r="B1310" t="s">
        <v>42</v>
      </c>
      <c r="C1310">
        <v>122</v>
      </c>
      <c r="D1310" t="s">
        <v>28</v>
      </c>
      <c r="E1310" t="s">
        <v>22</v>
      </c>
      <c r="F1310" t="s">
        <v>23</v>
      </c>
      <c r="G1310">
        <v>22</v>
      </c>
      <c r="H1310">
        <v>204.5</v>
      </c>
      <c r="I1310">
        <v>92</v>
      </c>
      <c r="J1310">
        <v>34.770000000000003</v>
      </c>
      <c r="K1310">
        <v>139.6</v>
      </c>
      <c r="L1310">
        <v>121</v>
      </c>
      <c r="M1310">
        <v>11.87</v>
      </c>
      <c r="N1310">
        <v>205</v>
      </c>
      <c r="O1310">
        <v>103</v>
      </c>
      <c r="P1310">
        <v>9.23</v>
      </c>
      <c r="Q1310">
        <v>8.6</v>
      </c>
      <c r="R1310">
        <v>5</v>
      </c>
      <c r="S1310">
        <v>2.3199999999999998</v>
      </c>
      <c r="T1310">
        <v>2</v>
      </c>
      <c r="U1310" t="s">
        <v>22</v>
      </c>
      <c r="V1310" t="e">
        <f>IF(#REF! = "yes", 1, 0)</f>
        <v>#REF!</v>
      </c>
      <c r="W1310" t="e">
        <f>IF(#REF! &lt;= 1, "0-1 Calls", IF(#REF! &lt;= 3, "2-3 Calls", IF(#REF! &lt;=5, "4-5 Calls", "6+ Calls")))</f>
        <v>#REF!</v>
      </c>
      <c r="X1310" t="e">
        <f>IF(#REF! &lt;= 50, "0-50", IF(#REF! &lt;=100, "51-100", IF(#REF! &lt;= 150, "101-150", "151+")))</f>
        <v>#REF!</v>
      </c>
      <c r="Y1310" t="e">
        <f>IF(#REF! &lt;= 3, "Low Charges", "High Charges")</f>
        <v>#REF!</v>
      </c>
      <c r="Z1310" t="e">
        <f>IF(#REF!&lt;=80,"Low Calls",
IF(#REF!&lt;=120,"Medium Calls","High Calls"))</f>
        <v>#REF!</v>
      </c>
      <c r="AA1310" t="e">
        <f>IF(#REF!&lt;=15,"Low Charges",
IF(#REF!&lt;=20,"Medium Charges","High Charges"))</f>
        <v>#REF!</v>
      </c>
      <c r="AB1310" t="e">
        <f>IF(AND(#REF!&gt;180, #REF!&gt;200), "Heavy Doemstic User", IF(#REF!&gt;10, "Interntional User", IF(AND(#REF!&lt;180, #REF!&lt;200,#REF!&lt;200), "Light User", "Balanced User")))</f>
        <v>#REF!</v>
      </c>
      <c r="AC1310" t="e">
        <f>IF(#REF! = 0, "No Usage", IF(#REF! &lt;= 20, "Low Usage", IF(#REF! &lt;= 40, "Medium Usgae", "High Usage")))</f>
        <v>#REF!</v>
      </c>
      <c r="AD1310" t="e">
        <f>IF(#REF!&lt;=150,"Low Usage", IF(#REF!&lt;=200,"Medium Usage", IF(#REF!&lt;=250,"High Usage","Very High Usage")))</f>
        <v>#REF!</v>
      </c>
      <c r="AE1310" t="e">
        <f>IF(#REF!&lt;=5,"Low Calls", IF(#REF!&lt;=10, "Medium Calls", "High Calls"))</f>
        <v>#REF!</v>
      </c>
      <c r="AF1310" t="e">
        <f xml:space="preserve">
IF(#REF!&gt;=4,4,0)+
IF(#REF!="yes",3,0)+
IF(#REF!="High Charges",3,0)+
IF(#REF!&gt;250,4,0)+
IF(#REF!="no",1,0)+
IF(#REF!="Heavy Domestic User",2,0)</f>
        <v>#REF!</v>
      </c>
      <c r="AG1310" t="e">
        <f>IF(#REF!&gt;=10,"High Risk", IF(#REF!&gt;=5,"Medium Risk","Low Risk"))</f>
        <v>#REF!</v>
      </c>
      <c r="AH1310" t="e">
        <f>#REF! + #REF! + #REF! + #REF!</f>
        <v>#REF!</v>
      </c>
    </row>
    <row r="1311" spans="1:34" x14ac:dyDescent="0.35">
      <c r="A1311">
        <v>1310</v>
      </c>
      <c r="B1311" t="s">
        <v>40</v>
      </c>
      <c r="C1311">
        <v>106</v>
      </c>
      <c r="D1311" t="s">
        <v>25</v>
      </c>
      <c r="E1311" t="s">
        <v>22</v>
      </c>
      <c r="F1311" t="s">
        <v>22</v>
      </c>
      <c r="G1311">
        <v>0</v>
      </c>
      <c r="H1311">
        <v>178.4</v>
      </c>
      <c r="I1311">
        <v>143</v>
      </c>
      <c r="J1311">
        <v>30.33</v>
      </c>
      <c r="K1311">
        <v>247</v>
      </c>
      <c r="L1311">
        <v>123</v>
      </c>
      <c r="M1311">
        <v>21</v>
      </c>
      <c r="N1311">
        <v>259.89999999999998</v>
      </c>
      <c r="O1311">
        <v>105</v>
      </c>
      <c r="P1311">
        <v>11.7</v>
      </c>
      <c r="Q1311">
        <v>9.6</v>
      </c>
      <c r="R1311">
        <v>2</v>
      </c>
      <c r="S1311">
        <v>2.59</v>
      </c>
      <c r="T1311">
        <v>0</v>
      </c>
      <c r="U1311" t="s">
        <v>22</v>
      </c>
      <c r="V1311" t="e">
        <f>IF(#REF! = "yes", 1, 0)</f>
        <v>#REF!</v>
      </c>
      <c r="W1311" t="e">
        <f>IF(#REF! &lt;= 1, "0-1 Calls", IF(#REF! &lt;= 3, "2-3 Calls", IF(#REF! &lt;=5, "4-5 Calls", "6+ Calls")))</f>
        <v>#REF!</v>
      </c>
      <c r="X1311" t="e">
        <f>IF(#REF! &lt;= 50, "0-50", IF(#REF! &lt;=100, "51-100", IF(#REF! &lt;= 150, "101-150", "151+")))</f>
        <v>#REF!</v>
      </c>
      <c r="Y1311" t="e">
        <f>IF(#REF! &lt;= 3, "Low Charges", "High Charges")</f>
        <v>#REF!</v>
      </c>
      <c r="Z1311" t="e">
        <f>IF(#REF!&lt;=80,"Low Calls",
IF(#REF!&lt;=120,"Medium Calls","High Calls"))</f>
        <v>#REF!</v>
      </c>
      <c r="AA1311" t="e">
        <f>IF(#REF!&lt;=15,"Low Charges",
IF(#REF!&lt;=20,"Medium Charges","High Charges"))</f>
        <v>#REF!</v>
      </c>
      <c r="AB1311" t="e">
        <f>IF(AND(#REF!&gt;180, #REF!&gt;200), "Heavy Doemstic User", IF(#REF!&gt;10, "Interntional User", IF(AND(#REF!&lt;180, #REF!&lt;200,#REF!&lt;200), "Light User", "Balanced User")))</f>
        <v>#REF!</v>
      </c>
      <c r="AC1311" t="e">
        <f>IF(#REF! = 0, "No Usage", IF(#REF! &lt;= 20, "Low Usage", IF(#REF! &lt;= 40, "Medium Usgae", "High Usage")))</f>
        <v>#REF!</v>
      </c>
      <c r="AD1311" t="e">
        <f>IF(#REF!&lt;=150,"Low Usage", IF(#REF!&lt;=200,"Medium Usage", IF(#REF!&lt;=250,"High Usage","Very High Usage")))</f>
        <v>#REF!</v>
      </c>
      <c r="AE1311" t="e">
        <f>IF(#REF!&lt;=5,"Low Calls", IF(#REF!&lt;=10, "Medium Calls", "High Calls"))</f>
        <v>#REF!</v>
      </c>
      <c r="AF1311" t="e">
        <f xml:space="preserve">
IF(#REF!&gt;=4,4,0)+
IF(#REF!="yes",3,0)+
IF(#REF!="High Charges",3,0)+
IF(#REF!&gt;250,4,0)+
IF(#REF!="no",1,0)+
IF(#REF!="Heavy Domestic User",2,0)</f>
        <v>#REF!</v>
      </c>
      <c r="AG1311" t="e">
        <f>IF(#REF!&gt;=10,"High Risk", IF(#REF!&gt;=5,"Medium Risk","Low Risk"))</f>
        <v>#REF!</v>
      </c>
      <c r="AH1311" t="e">
        <f>#REF! + #REF! + #REF! + #REF!</f>
        <v>#REF!</v>
      </c>
    </row>
    <row r="1312" spans="1:34" x14ac:dyDescent="0.35">
      <c r="A1312">
        <v>1311</v>
      </c>
      <c r="B1312" t="s">
        <v>60</v>
      </c>
      <c r="C1312">
        <v>52</v>
      </c>
      <c r="D1312" t="s">
        <v>21</v>
      </c>
      <c r="E1312" t="s">
        <v>22</v>
      </c>
      <c r="F1312" t="s">
        <v>23</v>
      </c>
      <c r="G1312">
        <v>32</v>
      </c>
      <c r="H1312">
        <v>130.1</v>
      </c>
      <c r="I1312">
        <v>68</v>
      </c>
      <c r="J1312">
        <v>22.12</v>
      </c>
      <c r="K1312">
        <v>247.2</v>
      </c>
      <c r="L1312">
        <v>77</v>
      </c>
      <c r="M1312">
        <v>21.01</v>
      </c>
      <c r="N1312">
        <v>289.39999999999998</v>
      </c>
      <c r="O1312">
        <v>87</v>
      </c>
      <c r="P1312">
        <v>13.02</v>
      </c>
      <c r="Q1312">
        <v>13.5</v>
      </c>
      <c r="R1312">
        <v>5</v>
      </c>
      <c r="S1312">
        <v>3.65</v>
      </c>
      <c r="T1312">
        <v>2</v>
      </c>
      <c r="U1312" t="s">
        <v>22</v>
      </c>
      <c r="V1312" t="e">
        <f>IF(#REF! = "yes", 1, 0)</f>
        <v>#REF!</v>
      </c>
      <c r="W1312" t="e">
        <f>IF(#REF! &lt;= 1, "0-1 Calls", IF(#REF! &lt;= 3, "2-3 Calls", IF(#REF! &lt;=5, "4-5 Calls", "6+ Calls")))</f>
        <v>#REF!</v>
      </c>
      <c r="X1312" t="e">
        <f>IF(#REF! &lt;= 50, "0-50", IF(#REF! &lt;=100, "51-100", IF(#REF! &lt;= 150, "101-150", "151+")))</f>
        <v>#REF!</v>
      </c>
      <c r="Y1312" t="e">
        <f>IF(#REF! &lt;= 3, "Low Charges", "High Charges")</f>
        <v>#REF!</v>
      </c>
      <c r="Z1312" t="e">
        <f>IF(#REF!&lt;=80,"Low Calls",
IF(#REF!&lt;=120,"Medium Calls","High Calls"))</f>
        <v>#REF!</v>
      </c>
      <c r="AA1312" t="e">
        <f>IF(#REF!&lt;=15,"Low Charges",
IF(#REF!&lt;=20,"Medium Charges","High Charges"))</f>
        <v>#REF!</v>
      </c>
      <c r="AB1312" t="e">
        <f>IF(AND(#REF!&gt;180, #REF!&gt;200), "Heavy Doemstic User", IF(#REF!&gt;10, "Interntional User", IF(AND(#REF!&lt;180, #REF!&lt;200,#REF!&lt;200), "Light User", "Balanced User")))</f>
        <v>#REF!</v>
      </c>
      <c r="AC1312" t="e">
        <f>IF(#REF! = 0, "No Usage", IF(#REF! &lt;= 20, "Low Usage", IF(#REF! &lt;= 40, "Medium Usgae", "High Usage")))</f>
        <v>#REF!</v>
      </c>
      <c r="AD1312" t="e">
        <f>IF(#REF!&lt;=150,"Low Usage", IF(#REF!&lt;=200,"Medium Usage", IF(#REF!&lt;=250,"High Usage","Very High Usage")))</f>
        <v>#REF!</v>
      </c>
      <c r="AE1312" t="e">
        <f>IF(#REF!&lt;=5,"Low Calls", IF(#REF!&lt;=10, "Medium Calls", "High Calls"))</f>
        <v>#REF!</v>
      </c>
      <c r="AF1312" t="e">
        <f xml:space="preserve">
IF(#REF!&gt;=4,4,0)+
IF(#REF!="yes",3,0)+
IF(#REF!="High Charges",3,0)+
IF(#REF!&gt;250,4,0)+
IF(#REF!="no",1,0)+
IF(#REF!="Heavy Domestic User",2,0)</f>
        <v>#REF!</v>
      </c>
      <c r="AG1312" t="e">
        <f>IF(#REF!&gt;=10,"High Risk", IF(#REF!&gt;=5,"Medium Risk","Low Risk"))</f>
        <v>#REF!</v>
      </c>
      <c r="AH1312" t="e">
        <f>#REF! + #REF! + #REF! + #REF!</f>
        <v>#REF!</v>
      </c>
    </row>
    <row r="1313" spans="1:34" x14ac:dyDescent="0.35">
      <c r="A1313">
        <v>1312</v>
      </c>
      <c r="B1313" t="s">
        <v>54</v>
      </c>
      <c r="C1313">
        <v>79</v>
      </c>
      <c r="D1313" t="s">
        <v>21</v>
      </c>
      <c r="E1313" t="s">
        <v>22</v>
      </c>
      <c r="F1313" t="s">
        <v>23</v>
      </c>
      <c r="G1313">
        <v>34</v>
      </c>
      <c r="H1313">
        <v>103.7</v>
      </c>
      <c r="I1313">
        <v>100</v>
      </c>
      <c r="J1313">
        <v>17.63</v>
      </c>
      <c r="K1313">
        <v>236.3</v>
      </c>
      <c r="L1313">
        <v>78</v>
      </c>
      <c r="M1313">
        <v>20.09</v>
      </c>
      <c r="N1313">
        <v>256.60000000000002</v>
      </c>
      <c r="O1313">
        <v>102</v>
      </c>
      <c r="P1313">
        <v>11.55</v>
      </c>
      <c r="Q1313">
        <v>14.8</v>
      </c>
      <c r="R1313">
        <v>4</v>
      </c>
      <c r="S1313">
        <v>4</v>
      </c>
      <c r="T1313">
        <v>2</v>
      </c>
      <c r="U1313" t="s">
        <v>22</v>
      </c>
      <c r="V1313" t="e">
        <f>IF(#REF! = "yes", 1, 0)</f>
        <v>#REF!</v>
      </c>
      <c r="W1313" t="e">
        <f>IF(#REF! &lt;= 1, "0-1 Calls", IF(#REF! &lt;= 3, "2-3 Calls", IF(#REF! &lt;=5, "4-5 Calls", "6+ Calls")))</f>
        <v>#REF!</v>
      </c>
      <c r="X1313" t="e">
        <f>IF(#REF! &lt;= 50, "0-50", IF(#REF! &lt;=100, "51-100", IF(#REF! &lt;= 150, "101-150", "151+")))</f>
        <v>#REF!</v>
      </c>
      <c r="Y1313" t="e">
        <f>IF(#REF! &lt;= 3, "Low Charges", "High Charges")</f>
        <v>#REF!</v>
      </c>
      <c r="Z1313" t="e">
        <f>IF(#REF!&lt;=80,"Low Calls",
IF(#REF!&lt;=120,"Medium Calls","High Calls"))</f>
        <v>#REF!</v>
      </c>
      <c r="AA1313" t="e">
        <f>IF(#REF!&lt;=15,"Low Charges",
IF(#REF!&lt;=20,"Medium Charges","High Charges"))</f>
        <v>#REF!</v>
      </c>
      <c r="AB1313" t="e">
        <f>IF(AND(#REF!&gt;180, #REF!&gt;200), "Heavy Doemstic User", IF(#REF!&gt;10, "Interntional User", IF(AND(#REF!&lt;180, #REF!&lt;200,#REF!&lt;200), "Light User", "Balanced User")))</f>
        <v>#REF!</v>
      </c>
      <c r="AC1313" t="e">
        <f>IF(#REF! = 0, "No Usage", IF(#REF! &lt;= 20, "Low Usage", IF(#REF! &lt;= 40, "Medium Usgae", "High Usage")))</f>
        <v>#REF!</v>
      </c>
      <c r="AD1313" t="e">
        <f>IF(#REF!&lt;=150,"Low Usage", IF(#REF!&lt;=200,"Medium Usage", IF(#REF!&lt;=250,"High Usage","Very High Usage")))</f>
        <v>#REF!</v>
      </c>
      <c r="AE1313" t="e">
        <f>IF(#REF!&lt;=5,"Low Calls", IF(#REF!&lt;=10, "Medium Calls", "High Calls"))</f>
        <v>#REF!</v>
      </c>
      <c r="AF1313" t="e">
        <f xml:space="preserve">
IF(#REF!&gt;=4,4,0)+
IF(#REF!="yes",3,0)+
IF(#REF!="High Charges",3,0)+
IF(#REF!&gt;250,4,0)+
IF(#REF!="no",1,0)+
IF(#REF!="Heavy Domestic User",2,0)</f>
        <v>#REF!</v>
      </c>
      <c r="AG1313" t="e">
        <f>IF(#REF!&gt;=10,"High Risk", IF(#REF!&gt;=5,"Medium Risk","Low Risk"))</f>
        <v>#REF!</v>
      </c>
      <c r="AH1313" t="e">
        <f>#REF! + #REF! + #REF! + #REF!</f>
        <v>#REF!</v>
      </c>
    </row>
    <row r="1314" spans="1:34" x14ac:dyDescent="0.35">
      <c r="A1314">
        <v>1313</v>
      </c>
      <c r="B1314" t="s">
        <v>53</v>
      </c>
      <c r="C1314">
        <v>135</v>
      </c>
      <c r="D1314" t="s">
        <v>21</v>
      </c>
      <c r="E1314" t="s">
        <v>22</v>
      </c>
      <c r="F1314" t="s">
        <v>22</v>
      </c>
      <c r="G1314">
        <v>0</v>
      </c>
      <c r="H1314">
        <v>239.9</v>
      </c>
      <c r="I1314">
        <v>91</v>
      </c>
      <c r="J1314">
        <v>40.78</v>
      </c>
      <c r="K1314">
        <v>177.1</v>
      </c>
      <c r="L1314">
        <v>104</v>
      </c>
      <c r="M1314">
        <v>15.05</v>
      </c>
      <c r="N1314">
        <v>217.2</v>
      </c>
      <c r="O1314">
        <v>118</v>
      </c>
      <c r="P1314">
        <v>9.77</v>
      </c>
      <c r="Q1314">
        <v>5.9</v>
      </c>
      <c r="R1314">
        <v>3</v>
      </c>
      <c r="S1314">
        <v>1.59</v>
      </c>
      <c r="T1314">
        <v>2</v>
      </c>
      <c r="U1314" t="s">
        <v>22</v>
      </c>
      <c r="V1314" t="e">
        <f>IF(#REF! = "yes", 1, 0)</f>
        <v>#REF!</v>
      </c>
      <c r="W1314" t="e">
        <f>IF(#REF! &lt;= 1, "0-1 Calls", IF(#REF! &lt;= 3, "2-3 Calls", IF(#REF! &lt;=5, "4-5 Calls", "6+ Calls")))</f>
        <v>#REF!</v>
      </c>
      <c r="X1314" t="e">
        <f>IF(#REF! &lt;= 50, "0-50", IF(#REF! &lt;=100, "51-100", IF(#REF! &lt;= 150, "101-150", "151+")))</f>
        <v>#REF!</v>
      </c>
      <c r="Y1314" t="e">
        <f>IF(#REF! &lt;= 3, "Low Charges", "High Charges")</f>
        <v>#REF!</v>
      </c>
      <c r="Z1314" t="e">
        <f>IF(#REF!&lt;=80,"Low Calls",
IF(#REF!&lt;=120,"Medium Calls","High Calls"))</f>
        <v>#REF!</v>
      </c>
      <c r="AA1314" t="e">
        <f>IF(#REF!&lt;=15,"Low Charges",
IF(#REF!&lt;=20,"Medium Charges","High Charges"))</f>
        <v>#REF!</v>
      </c>
      <c r="AB1314" t="e">
        <f>IF(AND(#REF!&gt;180, #REF!&gt;200), "Heavy Doemstic User", IF(#REF!&gt;10, "Interntional User", IF(AND(#REF!&lt;180, #REF!&lt;200,#REF!&lt;200), "Light User", "Balanced User")))</f>
        <v>#REF!</v>
      </c>
      <c r="AC1314" t="e">
        <f>IF(#REF! = 0, "No Usage", IF(#REF! &lt;= 20, "Low Usage", IF(#REF! &lt;= 40, "Medium Usgae", "High Usage")))</f>
        <v>#REF!</v>
      </c>
      <c r="AD1314" t="e">
        <f>IF(#REF!&lt;=150,"Low Usage", IF(#REF!&lt;=200,"Medium Usage", IF(#REF!&lt;=250,"High Usage","Very High Usage")))</f>
        <v>#REF!</v>
      </c>
      <c r="AE1314" t="e">
        <f>IF(#REF!&lt;=5,"Low Calls", IF(#REF!&lt;=10, "Medium Calls", "High Calls"))</f>
        <v>#REF!</v>
      </c>
      <c r="AF1314" t="e">
        <f xml:space="preserve">
IF(#REF!&gt;=4,4,0)+
IF(#REF!="yes",3,0)+
IF(#REF!="High Charges",3,0)+
IF(#REF!&gt;250,4,0)+
IF(#REF!="no",1,0)+
IF(#REF!="Heavy Domestic User",2,0)</f>
        <v>#REF!</v>
      </c>
      <c r="AG1314" t="e">
        <f>IF(#REF!&gt;=10,"High Risk", IF(#REF!&gt;=5,"Medium Risk","Low Risk"))</f>
        <v>#REF!</v>
      </c>
      <c r="AH1314" t="e">
        <f>#REF! + #REF! + #REF! + #REF!</f>
        <v>#REF!</v>
      </c>
    </row>
    <row r="1315" spans="1:34" x14ac:dyDescent="0.35">
      <c r="A1315">
        <v>1314</v>
      </c>
      <c r="B1315" t="s">
        <v>67</v>
      </c>
      <c r="C1315">
        <v>70</v>
      </c>
      <c r="D1315" t="s">
        <v>25</v>
      </c>
      <c r="E1315" t="s">
        <v>22</v>
      </c>
      <c r="F1315" t="s">
        <v>22</v>
      </c>
      <c r="G1315">
        <v>0</v>
      </c>
      <c r="H1315">
        <v>148.4</v>
      </c>
      <c r="I1315">
        <v>110</v>
      </c>
      <c r="J1315">
        <v>25.23</v>
      </c>
      <c r="K1315">
        <v>267.10000000000002</v>
      </c>
      <c r="L1315">
        <v>90</v>
      </c>
      <c r="M1315">
        <v>22.7</v>
      </c>
      <c r="N1315">
        <v>151.5</v>
      </c>
      <c r="O1315">
        <v>101</v>
      </c>
      <c r="P1315">
        <v>6.82</v>
      </c>
      <c r="Q1315">
        <v>8.9</v>
      </c>
      <c r="R1315">
        <v>4</v>
      </c>
      <c r="S1315">
        <v>2.4</v>
      </c>
      <c r="T1315">
        <v>0</v>
      </c>
      <c r="U1315" t="s">
        <v>22</v>
      </c>
      <c r="V1315" t="e">
        <f>IF(#REF! = "yes", 1, 0)</f>
        <v>#REF!</v>
      </c>
      <c r="W1315" t="e">
        <f>IF(#REF! &lt;= 1, "0-1 Calls", IF(#REF! &lt;= 3, "2-3 Calls", IF(#REF! &lt;=5, "4-5 Calls", "6+ Calls")))</f>
        <v>#REF!</v>
      </c>
      <c r="X1315" t="e">
        <f>IF(#REF! &lt;= 50, "0-50", IF(#REF! &lt;=100, "51-100", IF(#REF! &lt;= 150, "101-150", "151+")))</f>
        <v>#REF!</v>
      </c>
      <c r="Y1315" t="e">
        <f>IF(#REF! &lt;= 3, "Low Charges", "High Charges")</f>
        <v>#REF!</v>
      </c>
      <c r="Z1315" t="e">
        <f>IF(#REF!&lt;=80,"Low Calls",
IF(#REF!&lt;=120,"Medium Calls","High Calls"))</f>
        <v>#REF!</v>
      </c>
      <c r="AA1315" t="e">
        <f>IF(#REF!&lt;=15,"Low Charges",
IF(#REF!&lt;=20,"Medium Charges","High Charges"))</f>
        <v>#REF!</v>
      </c>
      <c r="AB1315" t="e">
        <f>IF(AND(#REF!&gt;180, #REF!&gt;200), "Heavy Doemstic User", IF(#REF!&gt;10, "Interntional User", IF(AND(#REF!&lt;180, #REF!&lt;200,#REF!&lt;200), "Light User", "Balanced User")))</f>
        <v>#REF!</v>
      </c>
      <c r="AC1315" t="e">
        <f>IF(#REF! = 0, "No Usage", IF(#REF! &lt;= 20, "Low Usage", IF(#REF! &lt;= 40, "Medium Usgae", "High Usage")))</f>
        <v>#REF!</v>
      </c>
      <c r="AD1315" t="e">
        <f>IF(#REF!&lt;=150,"Low Usage", IF(#REF!&lt;=200,"Medium Usage", IF(#REF!&lt;=250,"High Usage","Very High Usage")))</f>
        <v>#REF!</v>
      </c>
      <c r="AE1315" t="e">
        <f>IF(#REF!&lt;=5,"Low Calls", IF(#REF!&lt;=10, "Medium Calls", "High Calls"))</f>
        <v>#REF!</v>
      </c>
      <c r="AF1315" t="e">
        <f xml:space="preserve">
IF(#REF!&gt;=4,4,0)+
IF(#REF!="yes",3,0)+
IF(#REF!="High Charges",3,0)+
IF(#REF!&gt;250,4,0)+
IF(#REF!="no",1,0)+
IF(#REF!="Heavy Domestic User",2,0)</f>
        <v>#REF!</v>
      </c>
      <c r="AG1315" t="e">
        <f>IF(#REF!&gt;=10,"High Risk", IF(#REF!&gt;=5,"Medium Risk","Low Risk"))</f>
        <v>#REF!</v>
      </c>
      <c r="AH1315" t="e">
        <f>#REF! + #REF! + #REF! + #REF!</f>
        <v>#REF!</v>
      </c>
    </row>
    <row r="1316" spans="1:34" x14ac:dyDescent="0.35">
      <c r="A1316">
        <v>1315</v>
      </c>
      <c r="B1316" t="s">
        <v>27</v>
      </c>
      <c r="C1316">
        <v>80</v>
      </c>
      <c r="D1316" t="s">
        <v>25</v>
      </c>
      <c r="E1316" t="s">
        <v>22</v>
      </c>
      <c r="F1316" t="s">
        <v>22</v>
      </c>
      <c r="G1316">
        <v>0</v>
      </c>
      <c r="H1316">
        <v>148.6</v>
      </c>
      <c r="I1316">
        <v>106</v>
      </c>
      <c r="J1316">
        <v>25.26</v>
      </c>
      <c r="K1316">
        <v>210.8</v>
      </c>
      <c r="L1316">
        <v>65</v>
      </c>
      <c r="M1316">
        <v>17.920000000000002</v>
      </c>
      <c r="N1316">
        <v>203.7</v>
      </c>
      <c r="O1316">
        <v>86</v>
      </c>
      <c r="P1316">
        <v>9.17</v>
      </c>
      <c r="Q1316">
        <v>10</v>
      </c>
      <c r="R1316">
        <v>2</v>
      </c>
      <c r="S1316">
        <v>2.7</v>
      </c>
      <c r="T1316">
        <v>2</v>
      </c>
      <c r="U1316" t="s">
        <v>22</v>
      </c>
      <c r="V1316" t="e">
        <f>IF(#REF! = "yes", 1, 0)</f>
        <v>#REF!</v>
      </c>
      <c r="W1316" t="e">
        <f>IF(#REF! &lt;= 1, "0-1 Calls", IF(#REF! &lt;= 3, "2-3 Calls", IF(#REF! &lt;=5, "4-5 Calls", "6+ Calls")))</f>
        <v>#REF!</v>
      </c>
      <c r="X1316" t="e">
        <f>IF(#REF! &lt;= 50, "0-50", IF(#REF! &lt;=100, "51-100", IF(#REF! &lt;= 150, "101-150", "151+")))</f>
        <v>#REF!</v>
      </c>
      <c r="Y1316" t="e">
        <f>IF(#REF! &lt;= 3, "Low Charges", "High Charges")</f>
        <v>#REF!</v>
      </c>
      <c r="Z1316" t="e">
        <f>IF(#REF!&lt;=80,"Low Calls",
IF(#REF!&lt;=120,"Medium Calls","High Calls"))</f>
        <v>#REF!</v>
      </c>
      <c r="AA1316" t="e">
        <f>IF(#REF!&lt;=15,"Low Charges",
IF(#REF!&lt;=20,"Medium Charges","High Charges"))</f>
        <v>#REF!</v>
      </c>
      <c r="AB1316" t="e">
        <f>IF(AND(#REF!&gt;180, #REF!&gt;200), "Heavy Doemstic User", IF(#REF!&gt;10, "Interntional User", IF(AND(#REF!&lt;180, #REF!&lt;200,#REF!&lt;200), "Light User", "Balanced User")))</f>
        <v>#REF!</v>
      </c>
      <c r="AC1316" t="e">
        <f>IF(#REF! = 0, "No Usage", IF(#REF! &lt;= 20, "Low Usage", IF(#REF! &lt;= 40, "Medium Usgae", "High Usage")))</f>
        <v>#REF!</v>
      </c>
      <c r="AD1316" t="e">
        <f>IF(#REF!&lt;=150,"Low Usage", IF(#REF!&lt;=200,"Medium Usage", IF(#REF!&lt;=250,"High Usage","Very High Usage")))</f>
        <v>#REF!</v>
      </c>
      <c r="AE1316" t="e">
        <f>IF(#REF!&lt;=5,"Low Calls", IF(#REF!&lt;=10, "Medium Calls", "High Calls"))</f>
        <v>#REF!</v>
      </c>
      <c r="AF1316" t="e">
        <f xml:space="preserve">
IF(#REF!&gt;=4,4,0)+
IF(#REF!="yes",3,0)+
IF(#REF!="High Charges",3,0)+
IF(#REF!&gt;250,4,0)+
IF(#REF!="no",1,0)+
IF(#REF!="Heavy Domestic User",2,0)</f>
        <v>#REF!</v>
      </c>
      <c r="AG1316" t="e">
        <f>IF(#REF!&gt;=10,"High Risk", IF(#REF!&gt;=5,"Medium Risk","Low Risk"))</f>
        <v>#REF!</v>
      </c>
      <c r="AH1316" t="e">
        <f>#REF! + #REF! + #REF! + #REF!</f>
        <v>#REF!</v>
      </c>
    </row>
    <row r="1317" spans="1:34" x14ac:dyDescent="0.35">
      <c r="A1317">
        <v>1316</v>
      </c>
      <c r="B1317" t="s">
        <v>56</v>
      </c>
      <c r="C1317">
        <v>37</v>
      </c>
      <c r="D1317" t="s">
        <v>21</v>
      </c>
      <c r="E1317" t="s">
        <v>22</v>
      </c>
      <c r="F1317" t="s">
        <v>22</v>
      </c>
      <c r="G1317">
        <v>0</v>
      </c>
      <c r="H1317">
        <v>191.1</v>
      </c>
      <c r="I1317">
        <v>69</v>
      </c>
      <c r="J1317">
        <v>32.49</v>
      </c>
      <c r="K1317">
        <v>129.19999999999999</v>
      </c>
      <c r="L1317">
        <v>113</v>
      </c>
      <c r="M1317">
        <v>10.98</v>
      </c>
      <c r="N1317">
        <v>207.5</v>
      </c>
      <c r="O1317">
        <v>117</v>
      </c>
      <c r="P1317">
        <v>9.34</v>
      </c>
      <c r="Q1317">
        <v>12.9</v>
      </c>
      <c r="R1317">
        <v>1</v>
      </c>
      <c r="S1317">
        <v>3.48</v>
      </c>
      <c r="T1317">
        <v>0</v>
      </c>
      <c r="U1317" t="s">
        <v>22</v>
      </c>
      <c r="V1317" t="e">
        <f>IF(#REF! = "yes", 1, 0)</f>
        <v>#REF!</v>
      </c>
      <c r="W1317" t="e">
        <f>IF(#REF! &lt;= 1, "0-1 Calls", IF(#REF! &lt;= 3, "2-3 Calls", IF(#REF! &lt;=5, "4-5 Calls", "6+ Calls")))</f>
        <v>#REF!</v>
      </c>
      <c r="X1317" t="e">
        <f>IF(#REF! &lt;= 50, "0-50", IF(#REF! &lt;=100, "51-100", IF(#REF! &lt;= 150, "101-150", "151+")))</f>
        <v>#REF!</v>
      </c>
      <c r="Y1317" t="e">
        <f>IF(#REF! &lt;= 3, "Low Charges", "High Charges")</f>
        <v>#REF!</v>
      </c>
      <c r="Z1317" t="e">
        <f>IF(#REF!&lt;=80,"Low Calls",
IF(#REF!&lt;=120,"Medium Calls","High Calls"))</f>
        <v>#REF!</v>
      </c>
      <c r="AA1317" t="e">
        <f>IF(#REF!&lt;=15,"Low Charges",
IF(#REF!&lt;=20,"Medium Charges","High Charges"))</f>
        <v>#REF!</v>
      </c>
      <c r="AB1317" t="e">
        <f>IF(AND(#REF!&gt;180, #REF!&gt;200), "Heavy Doemstic User", IF(#REF!&gt;10, "Interntional User", IF(AND(#REF!&lt;180, #REF!&lt;200,#REF!&lt;200), "Light User", "Balanced User")))</f>
        <v>#REF!</v>
      </c>
      <c r="AC1317" t="e">
        <f>IF(#REF! = 0, "No Usage", IF(#REF! &lt;= 20, "Low Usage", IF(#REF! &lt;= 40, "Medium Usgae", "High Usage")))</f>
        <v>#REF!</v>
      </c>
      <c r="AD1317" t="e">
        <f>IF(#REF!&lt;=150,"Low Usage", IF(#REF!&lt;=200,"Medium Usage", IF(#REF!&lt;=250,"High Usage","Very High Usage")))</f>
        <v>#REF!</v>
      </c>
      <c r="AE1317" t="e">
        <f>IF(#REF!&lt;=5,"Low Calls", IF(#REF!&lt;=10, "Medium Calls", "High Calls"))</f>
        <v>#REF!</v>
      </c>
      <c r="AF1317" t="e">
        <f xml:space="preserve">
IF(#REF!&gt;=4,4,0)+
IF(#REF!="yes",3,0)+
IF(#REF!="High Charges",3,0)+
IF(#REF!&gt;250,4,0)+
IF(#REF!="no",1,0)+
IF(#REF!="Heavy Domestic User",2,0)</f>
        <v>#REF!</v>
      </c>
      <c r="AG1317" t="e">
        <f>IF(#REF!&gt;=10,"High Risk", IF(#REF!&gt;=5,"Medium Risk","Low Risk"))</f>
        <v>#REF!</v>
      </c>
      <c r="AH1317" t="e">
        <f>#REF! + #REF! + #REF! + #REF!</f>
        <v>#REF!</v>
      </c>
    </row>
    <row r="1318" spans="1:34" x14ac:dyDescent="0.35">
      <c r="A1318">
        <v>1317</v>
      </c>
      <c r="B1318" t="s">
        <v>60</v>
      </c>
      <c r="C1318">
        <v>161</v>
      </c>
      <c r="D1318" t="s">
        <v>21</v>
      </c>
      <c r="E1318" t="s">
        <v>22</v>
      </c>
      <c r="F1318" t="s">
        <v>23</v>
      </c>
      <c r="G1318">
        <v>39</v>
      </c>
      <c r="H1318">
        <v>218.5</v>
      </c>
      <c r="I1318">
        <v>76</v>
      </c>
      <c r="J1318">
        <v>37.15</v>
      </c>
      <c r="K1318">
        <v>112.7</v>
      </c>
      <c r="L1318">
        <v>94</v>
      </c>
      <c r="M1318">
        <v>9.58</v>
      </c>
      <c r="N1318">
        <v>205.1</v>
      </c>
      <c r="O1318">
        <v>121</v>
      </c>
      <c r="P1318">
        <v>9.23</v>
      </c>
      <c r="Q1318">
        <v>7.3</v>
      </c>
      <c r="R1318">
        <v>4</v>
      </c>
      <c r="S1318">
        <v>1.97</v>
      </c>
      <c r="T1318">
        <v>1</v>
      </c>
      <c r="U1318" t="s">
        <v>22</v>
      </c>
      <c r="V1318" t="e">
        <f>IF(#REF! = "yes", 1, 0)</f>
        <v>#REF!</v>
      </c>
      <c r="W1318" t="e">
        <f>IF(#REF! &lt;= 1, "0-1 Calls", IF(#REF! &lt;= 3, "2-3 Calls", IF(#REF! &lt;=5, "4-5 Calls", "6+ Calls")))</f>
        <v>#REF!</v>
      </c>
      <c r="X1318" t="e">
        <f>IF(#REF! &lt;= 50, "0-50", IF(#REF! &lt;=100, "51-100", IF(#REF! &lt;= 150, "101-150", "151+")))</f>
        <v>#REF!</v>
      </c>
      <c r="Y1318" t="e">
        <f>IF(#REF! &lt;= 3, "Low Charges", "High Charges")</f>
        <v>#REF!</v>
      </c>
      <c r="Z1318" t="e">
        <f>IF(#REF!&lt;=80,"Low Calls",
IF(#REF!&lt;=120,"Medium Calls","High Calls"))</f>
        <v>#REF!</v>
      </c>
      <c r="AA1318" t="e">
        <f>IF(#REF!&lt;=15,"Low Charges",
IF(#REF!&lt;=20,"Medium Charges","High Charges"))</f>
        <v>#REF!</v>
      </c>
      <c r="AB1318" t="e">
        <f>IF(AND(#REF!&gt;180, #REF!&gt;200), "Heavy Doemstic User", IF(#REF!&gt;10, "Interntional User", IF(AND(#REF!&lt;180, #REF!&lt;200,#REF!&lt;200), "Light User", "Balanced User")))</f>
        <v>#REF!</v>
      </c>
      <c r="AC1318" t="e">
        <f>IF(#REF! = 0, "No Usage", IF(#REF! &lt;= 20, "Low Usage", IF(#REF! &lt;= 40, "Medium Usgae", "High Usage")))</f>
        <v>#REF!</v>
      </c>
      <c r="AD1318" t="e">
        <f>IF(#REF!&lt;=150,"Low Usage", IF(#REF!&lt;=200,"Medium Usage", IF(#REF!&lt;=250,"High Usage","Very High Usage")))</f>
        <v>#REF!</v>
      </c>
      <c r="AE1318" t="e">
        <f>IF(#REF!&lt;=5,"Low Calls", IF(#REF!&lt;=10, "Medium Calls", "High Calls"))</f>
        <v>#REF!</v>
      </c>
      <c r="AF1318" t="e">
        <f xml:space="preserve">
IF(#REF!&gt;=4,4,0)+
IF(#REF!="yes",3,0)+
IF(#REF!="High Charges",3,0)+
IF(#REF!&gt;250,4,0)+
IF(#REF!="no",1,0)+
IF(#REF!="Heavy Domestic User",2,0)</f>
        <v>#REF!</v>
      </c>
      <c r="AG1318" t="e">
        <f>IF(#REF!&gt;=10,"High Risk", IF(#REF!&gt;=5,"Medium Risk","Low Risk"))</f>
        <v>#REF!</v>
      </c>
      <c r="AH1318" t="e">
        <f>#REF! + #REF! + #REF! + #REF!</f>
        <v>#REF!</v>
      </c>
    </row>
    <row r="1319" spans="1:34" x14ac:dyDescent="0.35">
      <c r="A1319">
        <v>1318</v>
      </c>
      <c r="B1319" t="s">
        <v>64</v>
      </c>
      <c r="C1319">
        <v>137</v>
      </c>
      <c r="D1319" t="s">
        <v>28</v>
      </c>
      <c r="E1319" t="s">
        <v>22</v>
      </c>
      <c r="F1319" t="s">
        <v>22</v>
      </c>
      <c r="G1319">
        <v>0</v>
      </c>
      <c r="H1319">
        <v>97.5</v>
      </c>
      <c r="I1319">
        <v>95</v>
      </c>
      <c r="J1319">
        <v>16.579999999999998</v>
      </c>
      <c r="K1319">
        <v>195.8</v>
      </c>
      <c r="L1319">
        <v>82</v>
      </c>
      <c r="M1319">
        <v>16.64</v>
      </c>
      <c r="N1319">
        <v>288.8</v>
      </c>
      <c r="O1319">
        <v>78</v>
      </c>
      <c r="P1319">
        <v>13</v>
      </c>
      <c r="Q1319">
        <v>0</v>
      </c>
      <c r="R1319">
        <v>0</v>
      </c>
      <c r="S1319">
        <v>0</v>
      </c>
      <c r="T1319">
        <v>1</v>
      </c>
      <c r="U1319" t="s">
        <v>22</v>
      </c>
      <c r="V1319" t="e">
        <f>IF(#REF! = "yes", 1, 0)</f>
        <v>#REF!</v>
      </c>
      <c r="W1319" t="e">
        <f>IF(#REF! &lt;= 1, "0-1 Calls", IF(#REF! &lt;= 3, "2-3 Calls", IF(#REF! &lt;=5, "4-5 Calls", "6+ Calls")))</f>
        <v>#REF!</v>
      </c>
      <c r="X1319" t="e">
        <f>IF(#REF! &lt;= 50, "0-50", IF(#REF! &lt;=100, "51-100", IF(#REF! &lt;= 150, "101-150", "151+")))</f>
        <v>#REF!</v>
      </c>
      <c r="Y1319" t="e">
        <f>IF(#REF! &lt;= 3, "Low Charges", "High Charges")</f>
        <v>#REF!</v>
      </c>
      <c r="Z1319" t="e">
        <f>IF(#REF!&lt;=80,"Low Calls",
IF(#REF!&lt;=120,"Medium Calls","High Calls"))</f>
        <v>#REF!</v>
      </c>
      <c r="AA1319" t="e">
        <f>IF(#REF!&lt;=15,"Low Charges",
IF(#REF!&lt;=20,"Medium Charges","High Charges"))</f>
        <v>#REF!</v>
      </c>
      <c r="AB1319" t="e">
        <f>IF(AND(#REF!&gt;180, #REF!&gt;200), "Heavy Doemstic User", IF(#REF!&gt;10, "Interntional User", IF(AND(#REF!&lt;180, #REF!&lt;200,#REF!&lt;200), "Light User", "Balanced User")))</f>
        <v>#REF!</v>
      </c>
      <c r="AC1319" t="e">
        <f>IF(#REF! = 0, "No Usage", IF(#REF! &lt;= 20, "Low Usage", IF(#REF! &lt;= 40, "Medium Usgae", "High Usage")))</f>
        <v>#REF!</v>
      </c>
      <c r="AD1319" t="e">
        <f>IF(#REF!&lt;=150,"Low Usage", IF(#REF!&lt;=200,"Medium Usage", IF(#REF!&lt;=250,"High Usage","Very High Usage")))</f>
        <v>#REF!</v>
      </c>
      <c r="AE1319" t="e">
        <f>IF(#REF!&lt;=5,"Low Calls", IF(#REF!&lt;=10, "Medium Calls", "High Calls"))</f>
        <v>#REF!</v>
      </c>
      <c r="AF1319" t="e">
        <f xml:space="preserve">
IF(#REF!&gt;=4,4,0)+
IF(#REF!="yes",3,0)+
IF(#REF!="High Charges",3,0)+
IF(#REF!&gt;250,4,0)+
IF(#REF!="no",1,0)+
IF(#REF!="Heavy Domestic User",2,0)</f>
        <v>#REF!</v>
      </c>
      <c r="AG1319" t="e">
        <f>IF(#REF!&gt;=10,"High Risk", IF(#REF!&gt;=5,"Medium Risk","Low Risk"))</f>
        <v>#REF!</v>
      </c>
      <c r="AH1319" t="e">
        <f>#REF! + #REF! + #REF! + #REF!</f>
        <v>#REF!</v>
      </c>
    </row>
    <row r="1320" spans="1:34" x14ac:dyDescent="0.35">
      <c r="A1320">
        <v>1319</v>
      </c>
      <c r="B1320" t="s">
        <v>74</v>
      </c>
      <c r="C1320">
        <v>123</v>
      </c>
      <c r="D1320" t="s">
        <v>21</v>
      </c>
      <c r="E1320" t="s">
        <v>22</v>
      </c>
      <c r="F1320" t="s">
        <v>22</v>
      </c>
      <c r="G1320">
        <v>0</v>
      </c>
      <c r="H1320">
        <v>128.69999999999999</v>
      </c>
      <c r="I1320">
        <v>126</v>
      </c>
      <c r="J1320">
        <v>21.88</v>
      </c>
      <c r="K1320">
        <v>117.6</v>
      </c>
      <c r="L1320">
        <v>94</v>
      </c>
      <c r="M1320">
        <v>10</v>
      </c>
      <c r="N1320">
        <v>198.4</v>
      </c>
      <c r="O1320">
        <v>132</v>
      </c>
      <c r="P1320">
        <v>8.93</v>
      </c>
      <c r="Q1320">
        <v>10.8</v>
      </c>
      <c r="R1320">
        <v>5</v>
      </c>
      <c r="S1320">
        <v>2.92</v>
      </c>
      <c r="T1320">
        <v>0</v>
      </c>
      <c r="U1320" t="s">
        <v>22</v>
      </c>
      <c r="V1320" t="e">
        <f>IF(#REF! = "yes", 1, 0)</f>
        <v>#REF!</v>
      </c>
      <c r="W1320" t="e">
        <f>IF(#REF! &lt;= 1, "0-1 Calls", IF(#REF! &lt;= 3, "2-3 Calls", IF(#REF! &lt;=5, "4-5 Calls", "6+ Calls")))</f>
        <v>#REF!</v>
      </c>
      <c r="X1320" t="e">
        <f>IF(#REF! &lt;= 50, "0-50", IF(#REF! &lt;=100, "51-100", IF(#REF! &lt;= 150, "101-150", "151+")))</f>
        <v>#REF!</v>
      </c>
      <c r="Y1320" t="e">
        <f>IF(#REF! &lt;= 3, "Low Charges", "High Charges")</f>
        <v>#REF!</v>
      </c>
      <c r="Z1320" t="e">
        <f>IF(#REF!&lt;=80,"Low Calls",
IF(#REF!&lt;=120,"Medium Calls","High Calls"))</f>
        <v>#REF!</v>
      </c>
      <c r="AA1320" t="e">
        <f>IF(#REF!&lt;=15,"Low Charges",
IF(#REF!&lt;=20,"Medium Charges","High Charges"))</f>
        <v>#REF!</v>
      </c>
      <c r="AB1320" t="e">
        <f>IF(AND(#REF!&gt;180, #REF!&gt;200), "Heavy Doemstic User", IF(#REF!&gt;10, "Interntional User", IF(AND(#REF!&lt;180, #REF!&lt;200,#REF!&lt;200), "Light User", "Balanced User")))</f>
        <v>#REF!</v>
      </c>
      <c r="AC1320" t="e">
        <f>IF(#REF! = 0, "No Usage", IF(#REF! &lt;= 20, "Low Usage", IF(#REF! &lt;= 40, "Medium Usgae", "High Usage")))</f>
        <v>#REF!</v>
      </c>
      <c r="AD1320" t="e">
        <f>IF(#REF!&lt;=150,"Low Usage", IF(#REF!&lt;=200,"Medium Usage", IF(#REF!&lt;=250,"High Usage","Very High Usage")))</f>
        <v>#REF!</v>
      </c>
      <c r="AE1320" t="e">
        <f>IF(#REF!&lt;=5,"Low Calls", IF(#REF!&lt;=10, "Medium Calls", "High Calls"))</f>
        <v>#REF!</v>
      </c>
      <c r="AF1320" t="e">
        <f xml:space="preserve">
IF(#REF!&gt;=4,4,0)+
IF(#REF!="yes",3,0)+
IF(#REF!="High Charges",3,0)+
IF(#REF!&gt;250,4,0)+
IF(#REF!="no",1,0)+
IF(#REF!="Heavy Domestic User",2,0)</f>
        <v>#REF!</v>
      </c>
      <c r="AG1320" t="e">
        <f>IF(#REF!&gt;=10,"High Risk", IF(#REF!&gt;=5,"Medium Risk","Low Risk"))</f>
        <v>#REF!</v>
      </c>
      <c r="AH1320" t="e">
        <f>#REF! + #REF! + #REF! + #REF!</f>
        <v>#REF!</v>
      </c>
    </row>
    <row r="1321" spans="1:34" x14ac:dyDescent="0.35">
      <c r="A1321">
        <v>1320</v>
      </c>
      <c r="B1321" t="s">
        <v>31</v>
      </c>
      <c r="C1321">
        <v>80</v>
      </c>
      <c r="D1321" t="s">
        <v>21</v>
      </c>
      <c r="E1321" t="s">
        <v>22</v>
      </c>
      <c r="F1321" t="s">
        <v>23</v>
      </c>
      <c r="G1321">
        <v>38</v>
      </c>
      <c r="H1321">
        <v>236.6</v>
      </c>
      <c r="I1321">
        <v>69</v>
      </c>
      <c r="J1321">
        <v>40.22</v>
      </c>
      <c r="K1321">
        <v>197.5</v>
      </c>
      <c r="L1321">
        <v>68</v>
      </c>
      <c r="M1321">
        <v>16.79</v>
      </c>
      <c r="N1321">
        <v>209.5</v>
      </c>
      <c r="O1321">
        <v>102</v>
      </c>
      <c r="P1321">
        <v>9.43</v>
      </c>
      <c r="Q1321">
        <v>9.5</v>
      </c>
      <c r="R1321">
        <v>10</v>
      </c>
      <c r="S1321">
        <v>2.57</v>
      </c>
      <c r="T1321">
        <v>2</v>
      </c>
      <c r="U1321" t="s">
        <v>22</v>
      </c>
      <c r="V1321" t="e">
        <f>IF(#REF! = "yes", 1, 0)</f>
        <v>#REF!</v>
      </c>
      <c r="W1321" t="e">
        <f>IF(#REF! &lt;= 1, "0-1 Calls", IF(#REF! &lt;= 3, "2-3 Calls", IF(#REF! &lt;=5, "4-5 Calls", "6+ Calls")))</f>
        <v>#REF!</v>
      </c>
      <c r="X1321" t="e">
        <f>IF(#REF! &lt;= 50, "0-50", IF(#REF! &lt;=100, "51-100", IF(#REF! &lt;= 150, "101-150", "151+")))</f>
        <v>#REF!</v>
      </c>
      <c r="Y1321" t="e">
        <f>IF(#REF! &lt;= 3, "Low Charges", "High Charges")</f>
        <v>#REF!</v>
      </c>
      <c r="Z1321" t="e">
        <f>IF(#REF!&lt;=80,"Low Calls",
IF(#REF!&lt;=120,"Medium Calls","High Calls"))</f>
        <v>#REF!</v>
      </c>
      <c r="AA1321" t="e">
        <f>IF(#REF!&lt;=15,"Low Charges",
IF(#REF!&lt;=20,"Medium Charges","High Charges"))</f>
        <v>#REF!</v>
      </c>
      <c r="AB1321" t="e">
        <f>IF(AND(#REF!&gt;180, #REF!&gt;200), "Heavy Doemstic User", IF(#REF!&gt;10, "Interntional User", IF(AND(#REF!&lt;180, #REF!&lt;200,#REF!&lt;200), "Light User", "Balanced User")))</f>
        <v>#REF!</v>
      </c>
      <c r="AC1321" t="e">
        <f>IF(#REF! = 0, "No Usage", IF(#REF! &lt;= 20, "Low Usage", IF(#REF! &lt;= 40, "Medium Usgae", "High Usage")))</f>
        <v>#REF!</v>
      </c>
      <c r="AD1321" t="e">
        <f>IF(#REF!&lt;=150,"Low Usage", IF(#REF!&lt;=200,"Medium Usage", IF(#REF!&lt;=250,"High Usage","Very High Usage")))</f>
        <v>#REF!</v>
      </c>
      <c r="AE1321" t="e">
        <f>IF(#REF!&lt;=5,"Low Calls", IF(#REF!&lt;=10, "Medium Calls", "High Calls"))</f>
        <v>#REF!</v>
      </c>
      <c r="AF1321" t="e">
        <f xml:space="preserve">
IF(#REF!&gt;=4,4,0)+
IF(#REF!="yes",3,0)+
IF(#REF!="High Charges",3,0)+
IF(#REF!&gt;250,4,0)+
IF(#REF!="no",1,0)+
IF(#REF!="Heavy Domestic User",2,0)</f>
        <v>#REF!</v>
      </c>
      <c r="AG1321" t="e">
        <f>IF(#REF!&gt;=10,"High Risk", IF(#REF!&gt;=5,"Medium Risk","Low Risk"))</f>
        <v>#REF!</v>
      </c>
      <c r="AH1321" t="e">
        <f>#REF! + #REF! + #REF! + #REF!</f>
        <v>#REF!</v>
      </c>
    </row>
    <row r="1322" spans="1:34" x14ac:dyDescent="0.35">
      <c r="A1322">
        <v>1321</v>
      </c>
      <c r="B1322" t="s">
        <v>31</v>
      </c>
      <c r="C1322">
        <v>94</v>
      </c>
      <c r="D1322" t="s">
        <v>21</v>
      </c>
      <c r="E1322" t="s">
        <v>22</v>
      </c>
      <c r="F1322" t="s">
        <v>22</v>
      </c>
      <c r="G1322">
        <v>0</v>
      </c>
      <c r="H1322">
        <v>85.9</v>
      </c>
      <c r="I1322">
        <v>113</v>
      </c>
      <c r="J1322">
        <v>14.6</v>
      </c>
      <c r="K1322">
        <v>226.7</v>
      </c>
      <c r="L1322">
        <v>91</v>
      </c>
      <c r="M1322">
        <v>19.27</v>
      </c>
      <c r="N1322">
        <v>279.60000000000002</v>
      </c>
      <c r="O1322">
        <v>110</v>
      </c>
      <c r="P1322">
        <v>12.58</v>
      </c>
      <c r="Q1322">
        <v>15.6</v>
      </c>
      <c r="R1322">
        <v>16</v>
      </c>
      <c r="S1322">
        <v>4.21</v>
      </c>
      <c r="T1322">
        <v>0</v>
      </c>
      <c r="U1322" t="s">
        <v>22</v>
      </c>
      <c r="V1322" t="e">
        <f>IF(#REF! = "yes", 1, 0)</f>
        <v>#REF!</v>
      </c>
      <c r="W1322" t="e">
        <f>IF(#REF! &lt;= 1, "0-1 Calls", IF(#REF! &lt;= 3, "2-3 Calls", IF(#REF! &lt;=5, "4-5 Calls", "6+ Calls")))</f>
        <v>#REF!</v>
      </c>
      <c r="X1322" t="e">
        <f>IF(#REF! &lt;= 50, "0-50", IF(#REF! &lt;=100, "51-100", IF(#REF! &lt;= 150, "101-150", "151+")))</f>
        <v>#REF!</v>
      </c>
      <c r="Y1322" t="e">
        <f>IF(#REF! &lt;= 3, "Low Charges", "High Charges")</f>
        <v>#REF!</v>
      </c>
      <c r="Z1322" t="e">
        <f>IF(#REF!&lt;=80,"Low Calls",
IF(#REF!&lt;=120,"Medium Calls","High Calls"))</f>
        <v>#REF!</v>
      </c>
      <c r="AA1322" t="e">
        <f>IF(#REF!&lt;=15,"Low Charges",
IF(#REF!&lt;=20,"Medium Charges","High Charges"))</f>
        <v>#REF!</v>
      </c>
      <c r="AB1322" t="e">
        <f>IF(AND(#REF!&gt;180, #REF!&gt;200), "Heavy Doemstic User", IF(#REF!&gt;10, "Interntional User", IF(AND(#REF!&lt;180, #REF!&lt;200,#REF!&lt;200), "Light User", "Balanced User")))</f>
        <v>#REF!</v>
      </c>
      <c r="AC1322" t="e">
        <f>IF(#REF! = 0, "No Usage", IF(#REF! &lt;= 20, "Low Usage", IF(#REF! &lt;= 40, "Medium Usgae", "High Usage")))</f>
        <v>#REF!</v>
      </c>
      <c r="AD1322" t="e">
        <f>IF(#REF!&lt;=150,"Low Usage", IF(#REF!&lt;=200,"Medium Usage", IF(#REF!&lt;=250,"High Usage","Very High Usage")))</f>
        <v>#REF!</v>
      </c>
      <c r="AE1322" t="e">
        <f>IF(#REF!&lt;=5,"Low Calls", IF(#REF!&lt;=10, "Medium Calls", "High Calls"))</f>
        <v>#REF!</v>
      </c>
      <c r="AF1322" t="e">
        <f xml:space="preserve">
IF(#REF!&gt;=4,4,0)+
IF(#REF!="yes",3,0)+
IF(#REF!="High Charges",3,0)+
IF(#REF!&gt;250,4,0)+
IF(#REF!="no",1,0)+
IF(#REF!="Heavy Domestic User",2,0)</f>
        <v>#REF!</v>
      </c>
      <c r="AG1322" t="e">
        <f>IF(#REF!&gt;=10,"High Risk", IF(#REF!&gt;=5,"Medium Risk","Low Risk"))</f>
        <v>#REF!</v>
      </c>
      <c r="AH1322" t="e">
        <f>#REF! + #REF! + #REF! + #REF!</f>
        <v>#REF!</v>
      </c>
    </row>
    <row r="1323" spans="1:34" x14ac:dyDescent="0.35">
      <c r="A1323">
        <v>1322</v>
      </c>
      <c r="B1323" t="s">
        <v>69</v>
      </c>
      <c r="C1323">
        <v>105</v>
      </c>
      <c r="D1323" t="s">
        <v>21</v>
      </c>
      <c r="E1323" t="s">
        <v>22</v>
      </c>
      <c r="F1323" t="s">
        <v>23</v>
      </c>
      <c r="G1323">
        <v>27</v>
      </c>
      <c r="H1323">
        <v>141.19999999999999</v>
      </c>
      <c r="I1323">
        <v>96</v>
      </c>
      <c r="J1323">
        <v>24</v>
      </c>
      <c r="K1323">
        <v>167.7</v>
      </c>
      <c r="L1323">
        <v>94</v>
      </c>
      <c r="M1323">
        <v>14.25</v>
      </c>
      <c r="N1323">
        <v>274.39999999999998</v>
      </c>
      <c r="O1323">
        <v>101</v>
      </c>
      <c r="P1323">
        <v>12.35</v>
      </c>
      <c r="Q1323">
        <v>11.4</v>
      </c>
      <c r="R1323">
        <v>2</v>
      </c>
      <c r="S1323">
        <v>3.08</v>
      </c>
      <c r="T1323">
        <v>1</v>
      </c>
      <c r="U1323" t="s">
        <v>22</v>
      </c>
      <c r="V1323" t="e">
        <f>IF(#REF! = "yes", 1, 0)</f>
        <v>#REF!</v>
      </c>
      <c r="W1323" t="e">
        <f>IF(#REF! &lt;= 1, "0-1 Calls", IF(#REF! &lt;= 3, "2-3 Calls", IF(#REF! &lt;=5, "4-5 Calls", "6+ Calls")))</f>
        <v>#REF!</v>
      </c>
      <c r="X1323" t="e">
        <f>IF(#REF! &lt;= 50, "0-50", IF(#REF! &lt;=100, "51-100", IF(#REF! &lt;= 150, "101-150", "151+")))</f>
        <v>#REF!</v>
      </c>
      <c r="Y1323" t="e">
        <f>IF(#REF! &lt;= 3, "Low Charges", "High Charges")</f>
        <v>#REF!</v>
      </c>
      <c r="Z1323" t="e">
        <f>IF(#REF!&lt;=80,"Low Calls",
IF(#REF!&lt;=120,"Medium Calls","High Calls"))</f>
        <v>#REF!</v>
      </c>
      <c r="AA1323" t="e">
        <f>IF(#REF!&lt;=15,"Low Charges",
IF(#REF!&lt;=20,"Medium Charges","High Charges"))</f>
        <v>#REF!</v>
      </c>
      <c r="AB1323" t="e">
        <f>IF(AND(#REF!&gt;180, #REF!&gt;200), "Heavy Doemstic User", IF(#REF!&gt;10, "Interntional User", IF(AND(#REF!&lt;180, #REF!&lt;200,#REF!&lt;200), "Light User", "Balanced User")))</f>
        <v>#REF!</v>
      </c>
      <c r="AC1323" t="e">
        <f>IF(#REF! = 0, "No Usage", IF(#REF! &lt;= 20, "Low Usage", IF(#REF! &lt;= 40, "Medium Usgae", "High Usage")))</f>
        <v>#REF!</v>
      </c>
      <c r="AD1323" t="e">
        <f>IF(#REF!&lt;=150,"Low Usage", IF(#REF!&lt;=200,"Medium Usage", IF(#REF!&lt;=250,"High Usage","Very High Usage")))</f>
        <v>#REF!</v>
      </c>
      <c r="AE1323" t="e">
        <f>IF(#REF!&lt;=5,"Low Calls", IF(#REF!&lt;=10, "Medium Calls", "High Calls"))</f>
        <v>#REF!</v>
      </c>
      <c r="AF1323" t="e">
        <f xml:space="preserve">
IF(#REF!&gt;=4,4,0)+
IF(#REF!="yes",3,0)+
IF(#REF!="High Charges",3,0)+
IF(#REF!&gt;250,4,0)+
IF(#REF!="no",1,0)+
IF(#REF!="Heavy Domestic User",2,0)</f>
        <v>#REF!</v>
      </c>
      <c r="AG1323" t="e">
        <f>IF(#REF!&gt;=10,"High Risk", IF(#REF!&gt;=5,"Medium Risk","Low Risk"))</f>
        <v>#REF!</v>
      </c>
      <c r="AH1323" t="e">
        <f>#REF! + #REF! + #REF! + #REF!</f>
        <v>#REF!</v>
      </c>
    </row>
    <row r="1324" spans="1:34" x14ac:dyDescent="0.35">
      <c r="A1324">
        <v>1323</v>
      </c>
      <c r="B1324" t="s">
        <v>58</v>
      </c>
      <c r="C1324">
        <v>73</v>
      </c>
      <c r="D1324" t="s">
        <v>21</v>
      </c>
      <c r="E1324" t="s">
        <v>22</v>
      </c>
      <c r="F1324" t="s">
        <v>23</v>
      </c>
      <c r="G1324">
        <v>31</v>
      </c>
      <c r="H1324">
        <v>194.4</v>
      </c>
      <c r="I1324">
        <v>104</v>
      </c>
      <c r="J1324">
        <v>33.049999999999997</v>
      </c>
      <c r="K1324">
        <v>176</v>
      </c>
      <c r="L1324">
        <v>84</v>
      </c>
      <c r="M1324">
        <v>14.96</v>
      </c>
      <c r="N1324">
        <v>230.1</v>
      </c>
      <c r="O1324">
        <v>110</v>
      </c>
      <c r="P1324">
        <v>10.35</v>
      </c>
      <c r="Q1324">
        <v>11.5</v>
      </c>
      <c r="R1324">
        <v>3</v>
      </c>
      <c r="S1324">
        <v>3.11</v>
      </c>
      <c r="T1324">
        <v>0</v>
      </c>
      <c r="U1324" t="s">
        <v>22</v>
      </c>
      <c r="V1324" t="e">
        <f>IF(#REF! = "yes", 1, 0)</f>
        <v>#REF!</v>
      </c>
      <c r="W1324" t="e">
        <f>IF(#REF! &lt;= 1, "0-1 Calls", IF(#REF! &lt;= 3, "2-3 Calls", IF(#REF! &lt;=5, "4-5 Calls", "6+ Calls")))</f>
        <v>#REF!</v>
      </c>
      <c r="X1324" t="e">
        <f>IF(#REF! &lt;= 50, "0-50", IF(#REF! &lt;=100, "51-100", IF(#REF! &lt;= 150, "101-150", "151+")))</f>
        <v>#REF!</v>
      </c>
      <c r="Y1324" t="e">
        <f>IF(#REF! &lt;= 3, "Low Charges", "High Charges")</f>
        <v>#REF!</v>
      </c>
      <c r="Z1324" t="e">
        <f>IF(#REF!&lt;=80,"Low Calls",
IF(#REF!&lt;=120,"Medium Calls","High Calls"))</f>
        <v>#REF!</v>
      </c>
      <c r="AA1324" t="e">
        <f>IF(#REF!&lt;=15,"Low Charges",
IF(#REF!&lt;=20,"Medium Charges","High Charges"))</f>
        <v>#REF!</v>
      </c>
      <c r="AB1324" t="e">
        <f>IF(AND(#REF!&gt;180, #REF!&gt;200), "Heavy Doemstic User", IF(#REF!&gt;10, "Interntional User", IF(AND(#REF!&lt;180, #REF!&lt;200,#REF!&lt;200), "Light User", "Balanced User")))</f>
        <v>#REF!</v>
      </c>
      <c r="AC1324" t="e">
        <f>IF(#REF! = 0, "No Usage", IF(#REF! &lt;= 20, "Low Usage", IF(#REF! &lt;= 40, "Medium Usgae", "High Usage")))</f>
        <v>#REF!</v>
      </c>
      <c r="AD1324" t="e">
        <f>IF(#REF!&lt;=150,"Low Usage", IF(#REF!&lt;=200,"Medium Usage", IF(#REF!&lt;=250,"High Usage","Very High Usage")))</f>
        <v>#REF!</v>
      </c>
      <c r="AE1324" t="e">
        <f>IF(#REF!&lt;=5,"Low Calls", IF(#REF!&lt;=10, "Medium Calls", "High Calls"))</f>
        <v>#REF!</v>
      </c>
      <c r="AF1324" t="e">
        <f xml:space="preserve">
IF(#REF!&gt;=4,4,0)+
IF(#REF!="yes",3,0)+
IF(#REF!="High Charges",3,0)+
IF(#REF!&gt;250,4,0)+
IF(#REF!="no",1,0)+
IF(#REF!="Heavy Domestic User",2,0)</f>
        <v>#REF!</v>
      </c>
      <c r="AG1324" t="e">
        <f>IF(#REF!&gt;=10,"High Risk", IF(#REF!&gt;=5,"Medium Risk","Low Risk"))</f>
        <v>#REF!</v>
      </c>
      <c r="AH1324" t="e">
        <f>#REF! + #REF! + #REF! + #REF!</f>
        <v>#REF!</v>
      </c>
    </row>
    <row r="1325" spans="1:34" x14ac:dyDescent="0.35">
      <c r="A1325">
        <v>1324</v>
      </c>
      <c r="B1325" t="s">
        <v>69</v>
      </c>
      <c r="C1325">
        <v>112</v>
      </c>
      <c r="D1325" t="s">
        <v>21</v>
      </c>
      <c r="E1325" t="s">
        <v>22</v>
      </c>
      <c r="F1325" t="s">
        <v>22</v>
      </c>
      <c r="G1325">
        <v>0</v>
      </c>
      <c r="H1325">
        <v>167.6</v>
      </c>
      <c r="I1325">
        <v>100</v>
      </c>
      <c r="J1325">
        <v>28.49</v>
      </c>
      <c r="K1325">
        <v>154.5</v>
      </c>
      <c r="L1325">
        <v>90</v>
      </c>
      <c r="M1325">
        <v>13.13</v>
      </c>
      <c r="N1325">
        <v>281.39999999999998</v>
      </c>
      <c r="O1325">
        <v>107</v>
      </c>
      <c r="P1325">
        <v>12.66</v>
      </c>
      <c r="Q1325">
        <v>17.3</v>
      </c>
      <c r="R1325">
        <v>3</v>
      </c>
      <c r="S1325">
        <v>4.67</v>
      </c>
      <c r="T1325">
        <v>2</v>
      </c>
      <c r="U1325" t="s">
        <v>22</v>
      </c>
      <c r="V1325" t="e">
        <f>IF(#REF! = "yes", 1, 0)</f>
        <v>#REF!</v>
      </c>
      <c r="W1325" t="e">
        <f>IF(#REF! &lt;= 1, "0-1 Calls", IF(#REF! &lt;= 3, "2-3 Calls", IF(#REF! &lt;=5, "4-5 Calls", "6+ Calls")))</f>
        <v>#REF!</v>
      </c>
      <c r="X1325" t="e">
        <f>IF(#REF! &lt;= 50, "0-50", IF(#REF! &lt;=100, "51-100", IF(#REF! &lt;= 150, "101-150", "151+")))</f>
        <v>#REF!</v>
      </c>
      <c r="Y1325" t="e">
        <f>IF(#REF! &lt;= 3, "Low Charges", "High Charges")</f>
        <v>#REF!</v>
      </c>
      <c r="Z1325" t="e">
        <f>IF(#REF!&lt;=80,"Low Calls",
IF(#REF!&lt;=120,"Medium Calls","High Calls"))</f>
        <v>#REF!</v>
      </c>
      <c r="AA1325" t="e">
        <f>IF(#REF!&lt;=15,"Low Charges",
IF(#REF!&lt;=20,"Medium Charges","High Charges"))</f>
        <v>#REF!</v>
      </c>
      <c r="AB1325" t="e">
        <f>IF(AND(#REF!&gt;180, #REF!&gt;200), "Heavy Doemstic User", IF(#REF!&gt;10, "Interntional User", IF(AND(#REF!&lt;180, #REF!&lt;200,#REF!&lt;200), "Light User", "Balanced User")))</f>
        <v>#REF!</v>
      </c>
      <c r="AC1325" t="e">
        <f>IF(#REF! = 0, "No Usage", IF(#REF! &lt;= 20, "Low Usage", IF(#REF! &lt;= 40, "Medium Usgae", "High Usage")))</f>
        <v>#REF!</v>
      </c>
      <c r="AD1325" t="e">
        <f>IF(#REF!&lt;=150,"Low Usage", IF(#REF!&lt;=200,"Medium Usage", IF(#REF!&lt;=250,"High Usage","Very High Usage")))</f>
        <v>#REF!</v>
      </c>
      <c r="AE1325" t="e">
        <f>IF(#REF!&lt;=5,"Low Calls", IF(#REF!&lt;=10, "Medium Calls", "High Calls"))</f>
        <v>#REF!</v>
      </c>
      <c r="AF1325" t="e">
        <f xml:space="preserve">
IF(#REF!&gt;=4,4,0)+
IF(#REF!="yes",3,0)+
IF(#REF!="High Charges",3,0)+
IF(#REF!&gt;250,4,0)+
IF(#REF!="no",1,0)+
IF(#REF!="Heavy Domestic User",2,0)</f>
        <v>#REF!</v>
      </c>
      <c r="AG1325" t="e">
        <f>IF(#REF!&gt;=10,"High Risk", IF(#REF!&gt;=5,"Medium Risk","Low Risk"))</f>
        <v>#REF!</v>
      </c>
      <c r="AH1325" t="e">
        <f>#REF! + #REF! + #REF! + #REF!</f>
        <v>#REF!</v>
      </c>
    </row>
    <row r="1326" spans="1:34" x14ac:dyDescent="0.35">
      <c r="A1326">
        <v>1325</v>
      </c>
      <c r="B1326" t="s">
        <v>72</v>
      </c>
      <c r="C1326">
        <v>179</v>
      </c>
      <c r="D1326" t="s">
        <v>25</v>
      </c>
      <c r="E1326" t="s">
        <v>22</v>
      </c>
      <c r="F1326" t="s">
        <v>22</v>
      </c>
      <c r="G1326">
        <v>0</v>
      </c>
      <c r="H1326">
        <v>234.5</v>
      </c>
      <c r="I1326">
        <v>134</v>
      </c>
      <c r="J1326">
        <v>39.869999999999997</v>
      </c>
      <c r="K1326">
        <v>164.2</v>
      </c>
      <c r="L1326">
        <v>94</v>
      </c>
      <c r="M1326">
        <v>13.96</v>
      </c>
      <c r="N1326">
        <v>191.4</v>
      </c>
      <c r="O1326">
        <v>72</v>
      </c>
      <c r="P1326">
        <v>8.61</v>
      </c>
      <c r="Q1326">
        <v>6.1</v>
      </c>
      <c r="R1326">
        <v>4</v>
      </c>
      <c r="S1326">
        <v>1.65</v>
      </c>
      <c r="T1326">
        <v>1</v>
      </c>
      <c r="U1326" t="s">
        <v>22</v>
      </c>
      <c r="V1326" t="e">
        <f>IF(#REF! = "yes", 1, 0)</f>
        <v>#REF!</v>
      </c>
      <c r="W1326" t="e">
        <f>IF(#REF! &lt;= 1, "0-1 Calls", IF(#REF! &lt;= 3, "2-3 Calls", IF(#REF! &lt;=5, "4-5 Calls", "6+ Calls")))</f>
        <v>#REF!</v>
      </c>
      <c r="X1326" t="e">
        <f>IF(#REF! &lt;= 50, "0-50", IF(#REF! &lt;=100, "51-100", IF(#REF! &lt;= 150, "101-150", "151+")))</f>
        <v>#REF!</v>
      </c>
      <c r="Y1326" t="e">
        <f>IF(#REF! &lt;= 3, "Low Charges", "High Charges")</f>
        <v>#REF!</v>
      </c>
      <c r="Z1326" t="e">
        <f>IF(#REF!&lt;=80,"Low Calls",
IF(#REF!&lt;=120,"Medium Calls","High Calls"))</f>
        <v>#REF!</v>
      </c>
      <c r="AA1326" t="e">
        <f>IF(#REF!&lt;=15,"Low Charges",
IF(#REF!&lt;=20,"Medium Charges","High Charges"))</f>
        <v>#REF!</v>
      </c>
      <c r="AB1326" t="e">
        <f>IF(AND(#REF!&gt;180, #REF!&gt;200), "Heavy Doemstic User", IF(#REF!&gt;10, "Interntional User", IF(AND(#REF!&lt;180, #REF!&lt;200,#REF!&lt;200), "Light User", "Balanced User")))</f>
        <v>#REF!</v>
      </c>
      <c r="AC1326" t="e">
        <f>IF(#REF! = 0, "No Usage", IF(#REF! &lt;= 20, "Low Usage", IF(#REF! &lt;= 40, "Medium Usgae", "High Usage")))</f>
        <v>#REF!</v>
      </c>
      <c r="AD1326" t="e">
        <f>IF(#REF!&lt;=150,"Low Usage", IF(#REF!&lt;=200,"Medium Usage", IF(#REF!&lt;=250,"High Usage","Very High Usage")))</f>
        <v>#REF!</v>
      </c>
      <c r="AE1326" t="e">
        <f>IF(#REF!&lt;=5,"Low Calls", IF(#REF!&lt;=10, "Medium Calls", "High Calls"))</f>
        <v>#REF!</v>
      </c>
      <c r="AF1326" t="e">
        <f xml:space="preserve">
IF(#REF!&gt;=4,4,0)+
IF(#REF!="yes",3,0)+
IF(#REF!="High Charges",3,0)+
IF(#REF!&gt;250,4,0)+
IF(#REF!="no",1,0)+
IF(#REF!="Heavy Domestic User",2,0)</f>
        <v>#REF!</v>
      </c>
      <c r="AG1326" t="e">
        <f>IF(#REF!&gt;=10,"High Risk", IF(#REF!&gt;=5,"Medium Risk","Low Risk"))</f>
        <v>#REF!</v>
      </c>
      <c r="AH1326" t="e">
        <f>#REF! + #REF! + #REF! + #REF!</f>
        <v>#REF!</v>
      </c>
    </row>
    <row r="1327" spans="1:34" x14ac:dyDescent="0.35">
      <c r="A1327">
        <v>1326</v>
      </c>
      <c r="B1327" t="s">
        <v>27</v>
      </c>
      <c r="C1327">
        <v>57</v>
      </c>
      <c r="D1327" t="s">
        <v>28</v>
      </c>
      <c r="E1327" t="s">
        <v>22</v>
      </c>
      <c r="F1327" t="s">
        <v>22</v>
      </c>
      <c r="G1327">
        <v>0</v>
      </c>
      <c r="H1327">
        <v>154.19999999999999</v>
      </c>
      <c r="I1327">
        <v>78</v>
      </c>
      <c r="J1327">
        <v>26.21</v>
      </c>
      <c r="K1327">
        <v>196.7</v>
      </c>
      <c r="L1327">
        <v>85</v>
      </c>
      <c r="M1327">
        <v>16.72</v>
      </c>
      <c r="N1327">
        <v>253.5</v>
      </c>
      <c r="O1327">
        <v>97</v>
      </c>
      <c r="P1327">
        <v>11.41</v>
      </c>
      <c r="Q1327">
        <v>10.1</v>
      </c>
      <c r="R1327">
        <v>9</v>
      </c>
      <c r="S1327">
        <v>2.73</v>
      </c>
      <c r="T1327">
        <v>1</v>
      </c>
      <c r="U1327" t="s">
        <v>22</v>
      </c>
      <c r="V1327" t="e">
        <f>IF(#REF! = "yes", 1, 0)</f>
        <v>#REF!</v>
      </c>
      <c r="W1327" t="e">
        <f>IF(#REF! &lt;= 1, "0-1 Calls", IF(#REF! &lt;= 3, "2-3 Calls", IF(#REF! &lt;=5, "4-5 Calls", "6+ Calls")))</f>
        <v>#REF!</v>
      </c>
      <c r="X1327" t="e">
        <f>IF(#REF! &lt;= 50, "0-50", IF(#REF! &lt;=100, "51-100", IF(#REF! &lt;= 150, "101-150", "151+")))</f>
        <v>#REF!</v>
      </c>
      <c r="Y1327" t="e">
        <f>IF(#REF! &lt;= 3, "Low Charges", "High Charges")</f>
        <v>#REF!</v>
      </c>
      <c r="Z1327" t="e">
        <f>IF(#REF!&lt;=80,"Low Calls",
IF(#REF!&lt;=120,"Medium Calls","High Calls"))</f>
        <v>#REF!</v>
      </c>
      <c r="AA1327" t="e">
        <f>IF(#REF!&lt;=15,"Low Charges",
IF(#REF!&lt;=20,"Medium Charges","High Charges"))</f>
        <v>#REF!</v>
      </c>
      <c r="AB1327" t="e">
        <f>IF(AND(#REF!&gt;180, #REF!&gt;200), "Heavy Doemstic User", IF(#REF!&gt;10, "Interntional User", IF(AND(#REF!&lt;180, #REF!&lt;200,#REF!&lt;200), "Light User", "Balanced User")))</f>
        <v>#REF!</v>
      </c>
      <c r="AC1327" t="e">
        <f>IF(#REF! = 0, "No Usage", IF(#REF! &lt;= 20, "Low Usage", IF(#REF! &lt;= 40, "Medium Usgae", "High Usage")))</f>
        <v>#REF!</v>
      </c>
      <c r="AD1327" t="e">
        <f>IF(#REF!&lt;=150,"Low Usage", IF(#REF!&lt;=200,"Medium Usage", IF(#REF!&lt;=250,"High Usage","Very High Usage")))</f>
        <v>#REF!</v>
      </c>
      <c r="AE1327" t="e">
        <f>IF(#REF!&lt;=5,"Low Calls", IF(#REF!&lt;=10, "Medium Calls", "High Calls"))</f>
        <v>#REF!</v>
      </c>
      <c r="AF1327" t="e">
        <f xml:space="preserve">
IF(#REF!&gt;=4,4,0)+
IF(#REF!="yes",3,0)+
IF(#REF!="High Charges",3,0)+
IF(#REF!&gt;250,4,0)+
IF(#REF!="no",1,0)+
IF(#REF!="Heavy Domestic User",2,0)</f>
        <v>#REF!</v>
      </c>
      <c r="AG1327" t="e">
        <f>IF(#REF!&gt;=10,"High Risk", IF(#REF!&gt;=5,"Medium Risk","Low Risk"))</f>
        <v>#REF!</v>
      </c>
      <c r="AH1327" t="e">
        <f>#REF! + #REF! + #REF! + #REF!</f>
        <v>#REF!</v>
      </c>
    </row>
    <row r="1328" spans="1:34" x14ac:dyDescent="0.35">
      <c r="A1328">
        <v>1327</v>
      </c>
      <c r="B1328" t="s">
        <v>42</v>
      </c>
      <c r="C1328">
        <v>127</v>
      </c>
      <c r="D1328" t="s">
        <v>21</v>
      </c>
      <c r="E1328" t="s">
        <v>22</v>
      </c>
      <c r="F1328" t="s">
        <v>23</v>
      </c>
      <c r="G1328">
        <v>14</v>
      </c>
      <c r="H1328">
        <v>143.19999999999999</v>
      </c>
      <c r="I1328">
        <v>99</v>
      </c>
      <c r="J1328">
        <v>24.34</v>
      </c>
      <c r="K1328">
        <v>169.9</v>
      </c>
      <c r="L1328">
        <v>91</v>
      </c>
      <c r="M1328">
        <v>14.44</v>
      </c>
      <c r="N1328">
        <v>221.6</v>
      </c>
      <c r="O1328">
        <v>77</v>
      </c>
      <c r="P1328">
        <v>9.9700000000000006</v>
      </c>
      <c r="Q1328">
        <v>11.6</v>
      </c>
      <c r="R1328">
        <v>1</v>
      </c>
      <c r="S1328">
        <v>3.13</v>
      </c>
      <c r="T1328">
        <v>1</v>
      </c>
      <c r="U1328" t="s">
        <v>22</v>
      </c>
      <c r="V1328" t="e">
        <f>IF(#REF! = "yes", 1, 0)</f>
        <v>#REF!</v>
      </c>
      <c r="W1328" t="e">
        <f>IF(#REF! &lt;= 1, "0-1 Calls", IF(#REF! &lt;= 3, "2-3 Calls", IF(#REF! &lt;=5, "4-5 Calls", "6+ Calls")))</f>
        <v>#REF!</v>
      </c>
      <c r="X1328" t="e">
        <f>IF(#REF! &lt;= 50, "0-50", IF(#REF! &lt;=100, "51-100", IF(#REF! &lt;= 150, "101-150", "151+")))</f>
        <v>#REF!</v>
      </c>
      <c r="Y1328" t="e">
        <f>IF(#REF! &lt;= 3, "Low Charges", "High Charges")</f>
        <v>#REF!</v>
      </c>
      <c r="Z1328" t="e">
        <f>IF(#REF!&lt;=80,"Low Calls",
IF(#REF!&lt;=120,"Medium Calls","High Calls"))</f>
        <v>#REF!</v>
      </c>
      <c r="AA1328" t="e">
        <f>IF(#REF!&lt;=15,"Low Charges",
IF(#REF!&lt;=20,"Medium Charges","High Charges"))</f>
        <v>#REF!</v>
      </c>
      <c r="AB1328" t="e">
        <f>IF(AND(#REF!&gt;180, #REF!&gt;200), "Heavy Doemstic User", IF(#REF!&gt;10, "Interntional User", IF(AND(#REF!&lt;180, #REF!&lt;200,#REF!&lt;200), "Light User", "Balanced User")))</f>
        <v>#REF!</v>
      </c>
      <c r="AC1328" t="e">
        <f>IF(#REF! = 0, "No Usage", IF(#REF! &lt;= 20, "Low Usage", IF(#REF! &lt;= 40, "Medium Usgae", "High Usage")))</f>
        <v>#REF!</v>
      </c>
      <c r="AD1328" t="e">
        <f>IF(#REF!&lt;=150,"Low Usage", IF(#REF!&lt;=200,"Medium Usage", IF(#REF!&lt;=250,"High Usage","Very High Usage")))</f>
        <v>#REF!</v>
      </c>
      <c r="AE1328" t="e">
        <f>IF(#REF!&lt;=5,"Low Calls", IF(#REF!&lt;=10, "Medium Calls", "High Calls"))</f>
        <v>#REF!</v>
      </c>
      <c r="AF1328" t="e">
        <f xml:space="preserve">
IF(#REF!&gt;=4,4,0)+
IF(#REF!="yes",3,0)+
IF(#REF!="High Charges",3,0)+
IF(#REF!&gt;250,4,0)+
IF(#REF!="no",1,0)+
IF(#REF!="Heavy Domestic User",2,0)</f>
        <v>#REF!</v>
      </c>
      <c r="AG1328" t="e">
        <f>IF(#REF!&gt;=10,"High Risk", IF(#REF!&gt;=5,"Medium Risk","Low Risk"))</f>
        <v>#REF!</v>
      </c>
      <c r="AH1328" t="e">
        <f>#REF! + #REF! + #REF! + #REF!</f>
        <v>#REF!</v>
      </c>
    </row>
    <row r="1329" spans="1:34" x14ac:dyDescent="0.35">
      <c r="A1329">
        <v>1328</v>
      </c>
      <c r="B1329" t="s">
        <v>57</v>
      </c>
      <c r="C1329">
        <v>122</v>
      </c>
      <c r="D1329" t="s">
        <v>21</v>
      </c>
      <c r="E1329" t="s">
        <v>23</v>
      </c>
      <c r="F1329" t="s">
        <v>23</v>
      </c>
      <c r="G1329">
        <v>40</v>
      </c>
      <c r="H1329">
        <v>216.4</v>
      </c>
      <c r="I1329">
        <v>80</v>
      </c>
      <c r="J1329">
        <v>36.79</v>
      </c>
      <c r="K1329">
        <v>249.7</v>
      </c>
      <c r="L1329">
        <v>90</v>
      </c>
      <c r="M1329">
        <v>21.22</v>
      </c>
      <c r="N1329">
        <v>185.9</v>
      </c>
      <c r="O1329">
        <v>99</v>
      </c>
      <c r="P1329">
        <v>8.3699999999999992</v>
      </c>
      <c r="Q1329">
        <v>12.7</v>
      </c>
      <c r="R1329">
        <v>4</v>
      </c>
      <c r="S1329">
        <v>3.43</v>
      </c>
      <c r="T1329">
        <v>1</v>
      </c>
      <c r="U1329" t="s">
        <v>22</v>
      </c>
      <c r="V1329" t="e">
        <f>IF(#REF! = "yes", 1, 0)</f>
        <v>#REF!</v>
      </c>
      <c r="W1329" t="e">
        <f>IF(#REF! &lt;= 1, "0-1 Calls", IF(#REF! &lt;= 3, "2-3 Calls", IF(#REF! &lt;=5, "4-5 Calls", "6+ Calls")))</f>
        <v>#REF!</v>
      </c>
      <c r="X1329" t="e">
        <f>IF(#REF! &lt;= 50, "0-50", IF(#REF! &lt;=100, "51-100", IF(#REF! &lt;= 150, "101-150", "151+")))</f>
        <v>#REF!</v>
      </c>
      <c r="Y1329" t="e">
        <f>IF(#REF! &lt;= 3, "Low Charges", "High Charges")</f>
        <v>#REF!</v>
      </c>
      <c r="Z1329" t="e">
        <f>IF(#REF!&lt;=80,"Low Calls",
IF(#REF!&lt;=120,"Medium Calls","High Calls"))</f>
        <v>#REF!</v>
      </c>
      <c r="AA1329" t="e">
        <f>IF(#REF!&lt;=15,"Low Charges",
IF(#REF!&lt;=20,"Medium Charges","High Charges"))</f>
        <v>#REF!</v>
      </c>
      <c r="AB1329" t="e">
        <f>IF(AND(#REF!&gt;180, #REF!&gt;200), "Heavy Doemstic User", IF(#REF!&gt;10, "Interntional User", IF(AND(#REF!&lt;180, #REF!&lt;200,#REF!&lt;200), "Light User", "Balanced User")))</f>
        <v>#REF!</v>
      </c>
      <c r="AC1329" t="e">
        <f>IF(#REF! = 0, "No Usage", IF(#REF! &lt;= 20, "Low Usage", IF(#REF! &lt;= 40, "Medium Usgae", "High Usage")))</f>
        <v>#REF!</v>
      </c>
      <c r="AD1329" t="e">
        <f>IF(#REF!&lt;=150,"Low Usage", IF(#REF!&lt;=200,"Medium Usage", IF(#REF!&lt;=250,"High Usage","Very High Usage")))</f>
        <v>#REF!</v>
      </c>
      <c r="AE1329" t="e">
        <f>IF(#REF!&lt;=5,"Low Calls", IF(#REF!&lt;=10, "Medium Calls", "High Calls"))</f>
        <v>#REF!</v>
      </c>
      <c r="AF1329" t="e">
        <f xml:space="preserve">
IF(#REF!&gt;=4,4,0)+
IF(#REF!="yes",3,0)+
IF(#REF!="High Charges",3,0)+
IF(#REF!&gt;250,4,0)+
IF(#REF!="no",1,0)+
IF(#REF!="Heavy Domestic User",2,0)</f>
        <v>#REF!</v>
      </c>
      <c r="AG1329" t="e">
        <f>IF(#REF!&gt;=10,"High Risk", IF(#REF!&gt;=5,"Medium Risk","Low Risk"))</f>
        <v>#REF!</v>
      </c>
      <c r="AH1329" t="e">
        <f>#REF! + #REF! + #REF! + #REF!</f>
        <v>#REF!</v>
      </c>
    </row>
    <row r="1330" spans="1:34" x14ac:dyDescent="0.35">
      <c r="A1330">
        <v>1329</v>
      </c>
      <c r="B1330" t="s">
        <v>35</v>
      </c>
      <c r="C1330">
        <v>33</v>
      </c>
      <c r="D1330" t="s">
        <v>28</v>
      </c>
      <c r="E1330" t="s">
        <v>22</v>
      </c>
      <c r="F1330" t="s">
        <v>23</v>
      </c>
      <c r="G1330">
        <v>35</v>
      </c>
      <c r="H1330">
        <v>161.9</v>
      </c>
      <c r="I1330">
        <v>85</v>
      </c>
      <c r="J1330">
        <v>27.52</v>
      </c>
      <c r="K1330">
        <v>151.19999999999999</v>
      </c>
      <c r="L1330">
        <v>82</v>
      </c>
      <c r="M1330">
        <v>12.85</v>
      </c>
      <c r="N1330">
        <v>191</v>
      </c>
      <c r="O1330">
        <v>131</v>
      </c>
      <c r="P1330">
        <v>8.59</v>
      </c>
      <c r="Q1330">
        <v>8.5</v>
      </c>
      <c r="R1330">
        <v>2</v>
      </c>
      <c r="S1330">
        <v>2.2999999999999998</v>
      </c>
      <c r="T1330">
        <v>1</v>
      </c>
      <c r="U1330" t="s">
        <v>22</v>
      </c>
      <c r="V1330" t="e">
        <f>IF(#REF! = "yes", 1, 0)</f>
        <v>#REF!</v>
      </c>
      <c r="W1330" t="e">
        <f>IF(#REF! &lt;= 1, "0-1 Calls", IF(#REF! &lt;= 3, "2-3 Calls", IF(#REF! &lt;=5, "4-5 Calls", "6+ Calls")))</f>
        <v>#REF!</v>
      </c>
      <c r="X1330" t="e">
        <f>IF(#REF! &lt;= 50, "0-50", IF(#REF! &lt;=100, "51-100", IF(#REF! &lt;= 150, "101-150", "151+")))</f>
        <v>#REF!</v>
      </c>
      <c r="Y1330" t="e">
        <f>IF(#REF! &lt;= 3, "Low Charges", "High Charges")</f>
        <v>#REF!</v>
      </c>
      <c r="Z1330" t="e">
        <f>IF(#REF!&lt;=80,"Low Calls",
IF(#REF!&lt;=120,"Medium Calls","High Calls"))</f>
        <v>#REF!</v>
      </c>
      <c r="AA1330" t="e">
        <f>IF(#REF!&lt;=15,"Low Charges",
IF(#REF!&lt;=20,"Medium Charges","High Charges"))</f>
        <v>#REF!</v>
      </c>
      <c r="AB1330" t="e">
        <f>IF(AND(#REF!&gt;180, #REF!&gt;200), "Heavy Doemstic User", IF(#REF!&gt;10, "Interntional User", IF(AND(#REF!&lt;180, #REF!&lt;200,#REF!&lt;200), "Light User", "Balanced User")))</f>
        <v>#REF!</v>
      </c>
      <c r="AC1330" t="e">
        <f>IF(#REF! = 0, "No Usage", IF(#REF! &lt;= 20, "Low Usage", IF(#REF! &lt;= 40, "Medium Usgae", "High Usage")))</f>
        <v>#REF!</v>
      </c>
      <c r="AD1330" t="e">
        <f>IF(#REF!&lt;=150,"Low Usage", IF(#REF!&lt;=200,"Medium Usage", IF(#REF!&lt;=250,"High Usage","Very High Usage")))</f>
        <v>#REF!</v>
      </c>
      <c r="AE1330" t="e">
        <f>IF(#REF!&lt;=5,"Low Calls", IF(#REF!&lt;=10, "Medium Calls", "High Calls"))</f>
        <v>#REF!</v>
      </c>
      <c r="AF1330" t="e">
        <f xml:space="preserve">
IF(#REF!&gt;=4,4,0)+
IF(#REF!="yes",3,0)+
IF(#REF!="High Charges",3,0)+
IF(#REF!&gt;250,4,0)+
IF(#REF!="no",1,0)+
IF(#REF!="Heavy Domestic User",2,0)</f>
        <v>#REF!</v>
      </c>
      <c r="AG1330" t="e">
        <f>IF(#REF!&gt;=10,"High Risk", IF(#REF!&gt;=5,"Medium Risk","Low Risk"))</f>
        <v>#REF!</v>
      </c>
      <c r="AH1330" t="e">
        <f>#REF! + #REF! + #REF! + #REF!</f>
        <v>#REF!</v>
      </c>
    </row>
    <row r="1331" spans="1:34" x14ac:dyDescent="0.35">
      <c r="A1331">
        <v>1330</v>
      </c>
      <c r="B1331" t="s">
        <v>64</v>
      </c>
      <c r="C1331">
        <v>94</v>
      </c>
      <c r="D1331" t="s">
        <v>25</v>
      </c>
      <c r="E1331" t="s">
        <v>22</v>
      </c>
      <c r="F1331" t="s">
        <v>22</v>
      </c>
      <c r="G1331">
        <v>0</v>
      </c>
      <c r="H1331">
        <v>118.7</v>
      </c>
      <c r="I1331">
        <v>90</v>
      </c>
      <c r="J1331">
        <v>20.18</v>
      </c>
      <c r="K1331">
        <v>205.1</v>
      </c>
      <c r="L1331">
        <v>57</v>
      </c>
      <c r="M1331">
        <v>17.43</v>
      </c>
      <c r="N1331">
        <v>172.2</v>
      </c>
      <c r="O1331">
        <v>100</v>
      </c>
      <c r="P1331">
        <v>7.75</v>
      </c>
      <c r="Q1331">
        <v>10.4</v>
      </c>
      <c r="R1331">
        <v>6</v>
      </c>
      <c r="S1331">
        <v>2.81</v>
      </c>
      <c r="T1331">
        <v>3</v>
      </c>
      <c r="U1331" t="s">
        <v>22</v>
      </c>
      <c r="V1331" t="e">
        <f>IF(#REF! = "yes", 1, 0)</f>
        <v>#REF!</v>
      </c>
      <c r="W1331" t="e">
        <f>IF(#REF! &lt;= 1, "0-1 Calls", IF(#REF! &lt;= 3, "2-3 Calls", IF(#REF! &lt;=5, "4-5 Calls", "6+ Calls")))</f>
        <v>#REF!</v>
      </c>
      <c r="X1331" t="e">
        <f>IF(#REF! &lt;= 50, "0-50", IF(#REF! &lt;=100, "51-100", IF(#REF! &lt;= 150, "101-150", "151+")))</f>
        <v>#REF!</v>
      </c>
      <c r="Y1331" t="e">
        <f>IF(#REF! &lt;= 3, "Low Charges", "High Charges")</f>
        <v>#REF!</v>
      </c>
      <c r="Z1331" t="e">
        <f>IF(#REF!&lt;=80,"Low Calls",
IF(#REF!&lt;=120,"Medium Calls","High Calls"))</f>
        <v>#REF!</v>
      </c>
      <c r="AA1331" t="e">
        <f>IF(#REF!&lt;=15,"Low Charges",
IF(#REF!&lt;=20,"Medium Charges","High Charges"))</f>
        <v>#REF!</v>
      </c>
      <c r="AB1331" t="e">
        <f>IF(AND(#REF!&gt;180, #REF!&gt;200), "Heavy Doemstic User", IF(#REF!&gt;10, "Interntional User", IF(AND(#REF!&lt;180, #REF!&lt;200,#REF!&lt;200), "Light User", "Balanced User")))</f>
        <v>#REF!</v>
      </c>
      <c r="AC1331" t="e">
        <f>IF(#REF! = 0, "No Usage", IF(#REF! &lt;= 20, "Low Usage", IF(#REF! &lt;= 40, "Medium Usgae", "High Usage")))</f>
        <v>#REF!</v>
      </c>
      <c r="AD1331" t="e">
        <f>IF(#REF!&lt;=150,"Low Usage", IF(#REF!&lt;=200,"Medium Usage", IF(#REF!&lt;=250,"High Usage","Very High Usage")))</f>
        <v>#REF!</v>
      </c>
      <c r="AE1331" t="e">
        <f>IF(#REF!&lt;=5,"Low Calls", IF(#REF!&lt;=10, "Medium Calls", "High Calls"))</f>
        <v>#REF!</v>
      </c>
      <c r="AF1331" t="e">
        <f xml:space="preserve">
IF(#REF!&gt;=4,4,0)+
IF(#REF!="yes",3,0)+
IF(#REF!="High Charges",3,0)+
IF(#REF!&gt;250,4,0)+
IF(#REF!="no",1,0)+
IF(#REF!="Heavy Domestic User",2,0)</f>
        <v>#REF!</v>
      </c>
      <c r="AG1331" t="e">
        <f>IF(#REF!&gt;=10,"High Risk", IF(#REF!&gt;=5,"Medium Risk","Low Risk"))</f>
        <v>#REF!</v>
      </c>
      <c r="AH1331" t="e">
        <f>#REF! + #REF! + #REF! + #REF!</f>
        <v>#REF!</v>
      </c>
    </row>
    <row r="1332" spans="1:34" x14ac:dyDescent="0.35">
      <c r="A1332">
        <v>1331</v>
      </c>
      <c r="B1332" t="s">
        <v>55</v>
      </c>
      <c r="C1332">
        <v>100</v>
      </c>
      <c r="D1332" t="s">
        <v>25</v>
      </c>
      <c r="E1332" t="s">
        <v>22</v>
      </c>
      <c r="F1332" t="s">
        <v>22</v>
      </c>
      <c r="G1332">
        <v>0</v>
      </c>
      <c r="H1332">
        <v>179.1</v>
      </c>
      <c r="I1332">
        <v>123</v>
      </c>
      <c r="J1332">
        <v>30.45</v>
      </c>
      <c r="K1332">
        <v>196.6</v>
      </c>
      <c r="L1332">
        <v>132</v>
      </c>
      <c r="M1332">
        <v>16.71</v>
      </c>
      <c r="N1332">
        <v>186.7</v>
      </c>
      <c r="O1332">
        <v>116</v>
      </c>
      <c r="P1332">
        <v>8.4</v>
      </c>
      <c r="Q1332">
        <v>10.199999999999999</v>
      </c>
      <c r="R1332">
        <v>10</v>
      </c>
      <c r="S1332">
        <v>2.75</v>
      </c>
      <c r="T1332">
        <v>1</v>
      </c>
      <c r="U1332" t="s">
        <v>22</v>
      </c>
      <c r="V1332" t="e">
        <f>IF(#REF! = "yes", 1, 0)</f>
        <v>#REF!</v>
      </c>
      <c r="W1332" t="e">
        <f>IF(#REF! &lt;= 1, "0-1 Calls", IF(#REF! &lt;= 3, "2-3 Calls", IF(#REF! &lt;=5, "4-5 Calls", "6+ Calls")))</f>
        <v>#REF!</v>
      </c>
      <c r="X1332" t="e">
        <f>IF(#REF! &lt;= 50, "0-50", IF(#REF! &lt;=100, "51-100", IF(#REF! &lt;= 150, "101-150", "151+")))</f>
        <v>#REF!</v>
      </c>
      <c r="Y1332" t="e">
        <f>IF(#REF! &lt;= 3, "Low Charges", "High Charges")</f>
        <v>#REF!</v>
      </c>
      <c r="Z1332" t="e">
        <f>IF(#REF!&lt;=80,"Low Calls",
IF(#REF!&lt;=120,"Medium Calls","High Calls"))</f>
        <v>#REF!</v>
      </c>
      <c r="AA1332" t="e">
        <f>IF(#REF!&lt;=15,"Low Charges",
IF(#REF!&lt;=20,"Medium Charges","High Charges"))</f>
        <v>#REF!</v>
      </c>
      <c r="AB1332" t="e">
        <f>IF(AND(#REF!&gt;180, #REF!&gt;200), "Heavy Doemstic User", IF(#REF!&gt;10, "Interntional User", IF(AND(#REF!&lt;180, #REF!&lt;200,#REF!&lt;200), "Light User", "Balanced User")))</f>
        <v>#REF!</v>
      </c>
      <c r="AC1332" t="e">
        <f>IF(#REF! = 0, "No Usage", IF(#REF! &lt;= 20, "Low Usage", IF(#REF! &lt;= 40, "Medium Usgae", "High Usage")))</f>
        <v>#REF!</v>
      </c>
      <c r="AD1332" t="e">
        <f>IF(#REF!&lt;=150,"Low Usage", IF(#REF!&lt;=200,"Medium Usage", IF(#REF!&lt;=250,"High Usage","Very High Usage")))</f>
        <v>#REF!</v>
      </c>
      <c r="AE1332" t="e">
        <f>IF(#REF!&lt;=5,"Low Calls", IF(#REF!&lt;=10, "Medium Calls", "High Calls"))</f>
        <v>#REF!</v>
      </c>
      <c r="AF1332" t="e">
        <f xml:space="preserve">
IF(#REF!&gt;=4,4,0)+
IF(#REF!="yes",3,0)+
IF(#REF!="High Charges",3,0)+
IF(#REF!&gt;250,4,0)+
IF(#REF!="no",1,0)+
IF(#REF!="Heavy Domestic User",2,0)</f>
        <v>#REF!</v>
      </c>
      <c r="AG1332" t="e">
        <f>IF(#REF!&gt;=10,"High Risk", IF(#REF!&gt;=5,"Medium Risk","Low Risk"))</f>
        <v>#REF!</v>
      </c>
      <c r="AH1332" t="e">
        <f>#REF! + #REF! + #REF! + #REF!</f>
        <v>#REF!</v>
      </c>
    </row>
    <row r="1333" spans="1:34" x14ac:dyDescent="0.35">
      <c r="A1333">
        <v>1332</v>
      </c>
      <c r="B1333" t="s">
        <v>45</v>
      </c>
      <c r="C1333">
        <v>106</v>
      </c>
      <c r="D1333" t="s">
        <v>21</v>
      </c>
      <c r="E1333" t="s">
        <v>22</v>
      </c>
      <c r="F1333" t="s">
        <v>22</v>
      </c>
      <c r="G1333">
        <v>0</v>
      </c>
      <c r="H1333">
        <v>147.9</v>
      </c>
      <c r="I1333">
        <v>97</v>
      </c>
      <c r="J1333">
        <v>25.14</v>
      </c>
      <c r="K1333">
        <v>209.3</v>
      </c>
      <c r="L1333">
        <v>99</v>
      </c>
      <c r="M1333">
        <v>17.79</v>
      </c>
      <c r="N1333">
        <v>162.1</v>
      </c>
      <c r="O1333">
        <v>80</v>
      </c>
      <c r="P1333">
        <v>7.29</v>
      </c>
      <c r="Q1333">
        <v>8.8000000000000007</v>
      </c>
      <c r="R1333">
        <v>5</v>
      </c>
      <c r="S1333">
        <v>2.38</v>
      </c>
      <c r="T1333">
        <v>2</v>
      </c>
      <c r="U1333" t="s">
        <v>22</v>
      </c>
      <c r="V1333" t="e">
        <f>IF(#REF! = "yes", 1, 0)</f>
        <v>#REF!</v>
      </c>
      <c r="W1333" t="e">
        <f>IF(#REF! &lt;= 1, "0-1 Calls", IF(#REF! &lt;= 3, "2-3 Calls", IF(#REF! &lt;=5, "4-5 Calls", "6+ Calls")))</f>
        <v>#REF!</v>
      </c>
      <c r="X1333" t="e">
        <f>IF(#REF! &lt;= 50, "0-50", IF(#REF! &lt;=100, "51-100", IF(#REF! &lt;= 150, "101-150", "151+")))</f>
        <v>#REF!</v>
      </c>
      <c r="Y1333" t="e">
        <f>IF(#REF! &lt;= 3, "Low Charges", "High Charges")</f>
        <v>#REF!</v>
      </c>
      <c r="Z1333" t="e">
        <f>IF(#REF!&lt;=80,"Low Calls",
IF(#REF!&lt;=120,"Medium Calls","High Calls"))</f>
        <v>#REF!</v>
      </c>
      <c r="AA1333" t="e">
        <f>IF(#REF!&lt;=15,"Low Charges",
IF(#REF!&lt;=20,"Medium Charges","High Charges"))</f>
        <v>#REF!</v>
      </c>
      <c r="AB1333" t="e">
        <f>IF(AND(#REF!&gt;180, #REF!&gt;200), "Heavy Doemstic User", IF(#REF!&gt;10, "Interntional User", IF(AND(#REF!&lt;180, #REF!&lt;200,#REF!&lt;200), "Light User", "Balanced User")))</f>
        <v>#REF!</v>
      </c>
      <c r="AC1333" t="e">
        <f>IF(#REF! = 0, "No Usage", IF(#REF! &lt;= 20, "Low Usage", IF(#REF! &lt;= 40, "Medium Usgae", "High Usage")))</f>
        <v>#REF!</v>
      </c>
      <c r="AD1333" t="e">
        <f>IF(#REF!&lt;=150,"Low Usage", IF(#REF!&lt;=200,"Medium Usage", IF(#REF!&lt;=250,"High Usage","Very High Usage")))</f>
        <v>#REF!</v>
      </c>
      <c r="AE1333" t="e">
        <f>IF(#REF!&lt;=5,"Low Calls", IF(#REF!&lt;=10, "Medium Calls", "High Calls"))</f>
        <v>#REF!</v>
      </c>
      <c r="AF1333" t="e">
        <f xml:space="preserve">
IF(#REF!&gt;=4,4,0)+
IF(#REF!="yes",3,0)+
IF(#REF!="High Charges",3,0)+
IF(#REF!&gt;250,4,0)+
IF(#REF!="no",1,0)+
IF(#REF!="Heavy Domestic User",2,0)</f>
        <v>#REF!</v>
      </c>
      <c r="AG1333" t="e">
        <f>IF(#REF!&gt;=10,"High Risk", IF(#REF!&gt;=5,"Medium Risk","Low Risk"))</f>
        <v>#REF!</v>
      </c>
      <c r="AH1333" t="e">
        <f>#REF! + #REF! + #REF! + #REF!</f>
        <v>#REF!</v>
      </c>
    </row>
    <row r="1334" spans="1:34" x14ac:dyDescent="0.35">
      <c r="A1334">
        <v>1333</v>
      </c>
      <c r="B1334" t="s">
        <v>63</v>
      </c>
      <c r="C1334">
        <v>148</v>
      </c>
      <c r="D1334" t="s">
        <v>21</v>
      </c>
      <c r="E1334" t="s">
        <v>22</v>
      </c>
      <c r="F1334" t="s">
        <v>23</v>
      </c>
      <c r="G1334">
        <v>38</v>
      </c>
      <c r="H1334">
        <v>209.2</v>
      </c>
      <c r="I1334">
        <v>110</v>
      </c>
      <c r="J1334">
        <v>35.56</v>
      </c>
      <c r="K1334">
        <v>116.6</v>
      </c>
      <c r="L1334">
        <v>73</v>
      </c>
      <c r="M1334">
        <v>9.91</v>
      </c>
      <c r="N1334">
        <v>109.6</v>
      </c>
      <c r="O1334">
        <v>105</v>
      </c>
      <c r="P1334">
        <v>4.93</v>
      </c>
      <c r="Q1334">
        <v>16.5</v>
      </c>
      <c r="R1334">
        <v>4</v>
      </c>
      <c r="S1334">
        <v>4.46</v>
      </c>
      <c r="T1334">
        <v>2</v>
      </c>
      <c r="U1334" t="s">
        <v>22</v>
      </c>
      <c r="V1334" t="e">
        <f>IF(#REF! = "yes", 1, 0)</f>
        <v>#REF!</v>
      </c>
      <c r="W1334" t="e">
        <f>IF(#REF! &lt;= 1, "0-1 Calls", IF(#REF! &lt;= 3, "2-3 Calls", IF(#REF! &lt;=5, "4-5 Calls", "6+ Calls")))</f>
        <v>#REF!</v>
      </c>
      <c r="X1334" t="e">
        <f>IF(#REF! &lt;= 50, "0-50", IF(#REF! &lt;=100, "51-100", IF(#REF! &lt;= 150, "101-150", "151+")))</f>
        <v>#REF!</v>
      </c>
      <c r="Y1334" t="e">
        <f>IF(#REF! &lt;= 3, "Low Charges", "High Charges")</f>
        <v>#REF!</v>
      </c>
      <c r="Z1334" t="e">
        <f>IF(#REF!&lt;=80,"Low Calls",
IF(#REF!&lt;=120,"Medium Calls","High Calls"))</f>
        <v>#REF!</v>
      </c>
      <c r="AA1334" t="e">
        <f>IF(#REF!&lt;=15,"Low Charges",
IF(#REF!&lt;=20,"Medium Charges","High Charges"))</f>
        <v>#REF!</v>
      </c>
      <c r="AB1334" t="e">
        <f>IF(AND(#REF!&gt;180, #REF!&gt;200), "Heavy Doemstic User", IF(#REF!&gt;10, "Interntional User", IF(AND(#REF!&lt;180, #REF!&lt;200,#REF!&lt;200), "Light User", "Balanced User")))</f>
        <v>#REF!</v>
      </c>
      <c r="AC1334" t="e">
        <f>IF(#REF! = 0, "No Usage", IF(#REF! &lt;= 20, "Low Usage", IF(#REF! &lt;= 40, "Medium Usgae", "High Usage")))</f>
        <v>#REF!</v>
      </c>
      <c r="AD1334" t="e">
        <f>IF(#REF!&lt;=150,"Low Usage", IF(#REF!&lt;=200,"Medium Usage", IF(#REF!&lt;=250,"High Usage","Very High Usage")))</f>
        <v>#REF!</v>
      </c>
      <c r="AE1334" t="e">
        <f>IF(#REF!&lt;=5,"Low Calls", IF(#REF!&lt;=10, "Medium Calls", "High Calls"))</f>
        <v>#REF!</v>
      </c>
      <c r="AF1334" t="e">
        <f xml:space="preserve">
IF(#REF!&gt;=4,4,0)+
IF(#REF!="yes",3,0)+
IF(#REF!="High Charges",3,0)+
IF(#REF!&gt;250,4,0)+
IF(#REF!="no",1,0)+
IF(#REF!="Heavy Domestic User",2,0)</f>
        <v>#REF!</v>
      </c>
      <c r="AG1334" t="e">
        <f>IF(#REF!&gt;=10,"High Risk", IF(#REF!&gt;=5,"Medium Risk","Low Risk"))</f>
        <v>#REF!</v>
      </c>
      <c r="AH1334" t="e">
        <f>#REF! + #REF! + #REF! + #REF!</f>
        <v>#REF!</v>
      </c>
    </row>
    <row r="1335" spans="1:34" x14ac:dyDescent="0.35">
      <c r="A1335">
        <v>1334</v>
      </c>
      <c r="B1335" t="s">
        <v>51</v>
      </c>
      <c r="C1335">
        <v>120</v>
      </c>
      <c r="D1335" t="s">
        <v>21</v>
      </c>
      <c r="E1335" t="s">
        <v>22</v>
      </c>
      <c r="F1335" t="s">
        <v>23</v>
      </c>
      <c r="G1335">
        <v>29</v>
      </c>
      <c r="H1335">
        <v>244.3</v>
      </c>
      <c r="I1335">
        <v>140</v>
      </c>
      <c r="J1335">
        <v>41.53</v>
      </c>
      <c r="K1335">
        <v>322.3</v>
      </c>
      <c r="L1335">
        <v>89</v>
      </c>
      <c r="M1335">
        <v>27.4</v>
      </c>
      <c r="N1335">
        <v>166.8</v>
      </c>
      <c r="O1335">
        <v>83</v>
      </c>
      <c r="P1335">
        <v>7.51</v>
      </c>
      <c r="Q1335">
        <v>10.6</v>
      </c>
      <c r="R1335">
        <v>6</v>
      </c>
      <c r="S1335">
        <v>2.86</v>
      </c>
      <c r="T1335">
        <v>0</v>
      </c>
      <c r="U1335" t="s">
        <v>22</v>
      </c>
      <c r="V1335" t="e">
        <f>IF(#REF! = "yes", 1, 0)</f>
        <v>#REF!</v>
      </c>
      <c r="W1335" t="e">
        <f>IF(#REF! &lt;= 1, "0-1 Calls", IF(#REF! &lt;= 3, "2-3 Calls", IF(#REF! &lt;=5, "4-5 Calls", "6+ Calls")))</f>
        <v>#REF!</v>
      </c>
      <c r="X1335" t="e">
        <f>IF(#REF! &lt;= 50, "0-50", IF(#REF! &lt;=100, "51-100", IF(#REF! &lt;= 150, "101-150", "151+")))</f>
        <v>#REF!</v>
      </c>
      <c r="Y1335" t="e">
        <f>IF(#REF! &lt;= 3, "Low Charges", "High Charges")</f>
        <v>#REF!</v>
      </c>
      <c r="Z1335" t="e">
        <f>IF(#REF!&lt;=80,"Low Calls",
IF(#REF!&lt;=120,"Medium Calls","High Calls"))</f>
        <v>#REF!</v>
      </c>
      <c r="AA1335" t="e">
        <f>IF(#REF!&lt;=15,"Low Charges",
IF(#REF!&lt;=20,"Medium Charges","High Charges"))</f>
        <v>#REF!</v>
      </c>
      <c r="AB1335" t="e">
        <f>IF(AND(#REF!&gt;180, #REF!&gt;200), "Heavy Doemstic User", IF(#REF!&gt;10, "Interntional User", IF(AND(#REF!&lt;180, #REF!&lt;200,#REF!&lt;200), "Light User", "Balanced User")))</f>
        <v>#REF!</v>
      </c>
      <c r="AC1335" t="e">
        <f>IF(#REF! = 0, "No Usage", IF(#REF! &lt;= 20, "Low Usage", IF(#REF! &lt;= 40, "Medium Usgae", "High Usage")))</f>
        <v>#REF!</v>
      </c>
      <c r="AD1335" t="e">
        <f>IF(#REF!&lt;=150,"Low Usage", IF(#REF!&lt;=200,"Medium Usage", IF(#REF!&lt;=250,"High Usage","Very High Usage")))</f>
        <v>#REF!</v>
      </c>
      <c r="AE1335" t="e">
        <f>IF(#REF!&lt;=5,"Low Calls", IF(#REF!&lt;=10, "Medium Calls", "High Calls"))</f>
        <v>#REF!</v>
      </c>
      <c r="AF1335" t="e">
        <f xml:space="preserve">
IF(#REF!&gt;=4,4,0)+
IF(#REF!="yes",3,0)+
IF(#REF!="High Charges",3,0)+
IF(#REF!&gt;250,4,0)+
IF(#REF!="no",1,0)+
IF(#REF!="Heavy Domestic User",2,0)</f>
        <v>#REF!</v>
      </c>
      <c r="AG1335" t="e">
        <f>IF(#REF!&gt;=10,"High Risk", IF(#REF!&gt;=5,"Medium Risk","Low Risk"))</f>
        <v>#REF!</v>
      </c>
      <c r="AH1335" t="e">
        <f>#REF! + #REF! + #REF! + #REF!</f>
        <v>#REF!</v>
      </c>
    </row>
    <row r="1336" spans="1:34" x14ac:dyDescent="0.35">
      <c r="A1336">
        <v>1335</v>
      </c>
      <c r="B1336" t="s">
        <v>55</v>
      </c>
      <c r="C1336">
        <v>91</v>
      </c>
      <c r="D1336" t="s">
        <v>21</v>
      </c>
      <c r="E1336" t="s">
        <v>22</v>
      </c>
      <c r="F1336" t="s">
        <v>23</v>
      </c>
      <c r="G1336">
        <v>34</v>
      </c>
      <c r="H1336">
        <v>175.3</v>
      </c>
      <c r="I1336">
        <v>96</v>
      </c>
      <c r="J1336">
        <v>29.8</v>
      </c>
      <c r="K1336">
        <v>262.3</v>
      </c>
      <c r="L1336">
        <v>122</v>
      </c>
      <c r="M1336">
        <v>22.3</v>
      </c>
      <c r="N1336">
        <v>143.9</v>
      </c>
      <c r="O1336">
        <v>76</v>
      </c>
      <c r="P1336">
        <v>6.48</v>
      </c>
      <c r="Q1336">
        <v>5.6</v>
      </c>
      <c r="R1336">
        <v>11</v>
      </c>
      <c r="S1336">
        <v>1.51</v>
      </c>
      <c r="T1336">
        <v>1</v>
      </c>
      <c r="U1336" t="s">
        <v>22</v>
      </c>
      <c r="V1336" t="e">
        <f>IF(#REF! = "yes", 1, 0)</f>
        <v>#REF!</v>
      </c>
      <c r="W1336" t="e">
        <f>IF(#REF! &lt;= 1, "0-1 Calls", IF(#REF! &lt;= 3, "2-3 Calls", IF(#REF! &lt;=5, "4-5 Calls", "6+ Calls")))</f>
        <v>#REF!</v>
      </c>
      <c r="X1336" t="e">
        <f>IF(#REF! &lt;= 50, "0-50", IF(#REF! &lt;=100, "51-100", IF(#REF! &lt;= 150, "101-150", "151+")))</f>
        <v>#REF!</v>
      </c>
      <c r="Y1336" t="e">
        <f>IF(#REF! &lt;= 3, "Low Charges", "High Charges")</f>
        <v>#REF!</v>
      </c>
      <c r="Z1336" t="e">
        <f>IF(#REF!&lt;=80,"Low Calls",
IF(#REF!&lt;=120,"Medium Calls","High Calls"))</f>
        <v>#REF!</v>
      </c>
      <c r="AA1336" t="e">
        <f>IF(#REF!&lt;=15,"Low Charges",
IF(#REF!&lt;=20,"Medium Charges","High Charges"))</f>
        <v>#REF!</v>
      </c>
      <c r="AB1336" t="e">
        <f>IF(AND(#REF!&gt;180, #REF!&gt;200), "Heavy Doemstic User", IF(#REF!&gt;10, "Interntional User", IF(AND(#REF!&lt;180, #REF!&lt;200,#REF!&lt;200), "Light User", "Balanced User")))</f>
        <v>#REF!</v>
      </c>
      <c r="AC1336" t="e">
        <f>IF(#REF! = 0, "No Usage", IF(#REF! &lt;= 20, "Low Usage", IF(#REF! &lt;= 40, "Medium Usgae", "High Usage")))</f>
        <v>#REF!</v>
      </c>
      <c r="AD1336" t="e">
        <f>IF(#REF!&lt;=150,"Low Usage", IF(#REF!&lt;=200,"Medium Usage", IF(#REF!&lt;=250,"High Usage","Very High Usage")))</f>
        <v>#REF!</v>
      </c>
      <c r="AE1336" t="e">
        <f>IF(#REF!&lt;=5,"Low Calls", IF(#REF!&lt;=10, "Medium Calls", "High Calls"))</f>
        <v>#REF!</v>
      </c>
      <c r="AF1336" t="e">
        <f xml:space="preserve">
IF(#REF!&gt;=4,4,0)+
IF(#REF!="yes",3,0)+
IF(#REF!="High Charges",3,0)+
IF(#REF!&gt;250,4,0)+
IF(#REF!="no",1,0)+
IF(#REF!="Heavy Domestic User",2,0)</f>
        <v>#REF!</v>
      </c>
      <c r="AG1336" t="e">
        <f>IF(#REF!&gt;=10,"High Risk", IF(#REF!&gt;=5,"Medium Risk","Low Risk"))</f>
        <v>#REF!</v>
      </c>
      <c r="AH1336" t="e">
        <f>#REF! + #REF! + #REF! + #REF!</f>
        <v>#REF!</v>
      </c>
    </row>
    <row r="1337" spans="1:34" x14ac:dyDescent="0.35">
      <c r="A1337">
        <v>1336</v>
      </c>
      <c r="B1337" t="s">
        <v>59</v>
      </c>
      <c r="C1337">
        <v>86</v>
      </c>
      <c r="D1337" t="s">
        <v>28</v>
      </c>
      <c r="E1337" t="s">
        <v>22</v>
      </c>
      <c r="F1337" t="s">
        <v>22</v>
      </c>
      <c r="G1337">
        <v>0</v>
      </c>
      <c r="H1337">
        <v>150.5</v>
      </c>
      <c r="I1337">
        <v>92</v>
      </c>
      <c r="J1337">
        <v>25.59</v>
      </c>
      <c r="K1337">
        <v>120.3</v>
      </c>
      <c r="L1337">
        <v>95</v>
      </c>
      <c r="M1337">
        <v>10.23</v>
      </c>
      <c r="N1337">
        <v>271.2</v>
      </c>
      <c r="O1337">
        <v>96</v>
      </c>
      <c r="P1337">
        <v>12.2</v>
      </c>
      <c r="Q1337">
        <v>9</v>
      </c>
      <c r="R1337">
        <v>2</v>
      </c>
      <c r="S1337">
        <v>2.4300000000000002</v>
      </c>
      <c r="T1337">
        <v>1</v>
      </c>
      <c r="U1337" t="s">
        <v>22</v>
      </c>
      <c r="V1337" t="e">
        <f>IF(#REF! = "yes", 1, 0)</f>
        <v>#REF!</v>
      </c>
      <c r="W1337" t="e">
        <f>IF(#REF! &lt;= 1, "0-1 Calls", IF(#REF! &lt;= 3, "2-3 Calls", IF(#REF! &lt;=5, "4-5 Calls", "6+ Calls")))</f>
        <v>#REF!</v>
      </c>
      <c r="X1337" t="e">
        <f>IF(#REF! &lt;= 50, "0-50", IF(#REF! &lt;=100, "51-100", IF(#REF! &lt;= 150, "101-150", "151+")))</f>
        <v>#REF!</v>
      </c>
      <c r="Y1337" t="e">
        <f>IF(#REF! &lt;= 3, "Low Charges", "High Charges")</f>
        <v>#REF!</v>
      </c>
      <c r="Z1337" t="e">
        <f>IF(#REF!&lt;=80,"Low Calls",
IF(#REF!&lt;=120,"Medium Calls","High Calls"))</f>
        <v>#REF!</v>
      </c>
      <c r="AA1337" t="e">
        <f>IF(#REF!&lt;=15,"Low Charges",
IF(#REF!&lt;=20,"Medium Charges","High Charges"))</f>
        <v>#REF!</v>
      </c>
      <c r="AB1337" t="e">
        <f>IF(AND(#REF!&gt;180, #REF!&gt;200), "Heavy Doemstic User", IF(#REF!&gt;10, "Interntional User", IF(AND(#REF!&lt;180, #REF!&lt;200,#REF!&lt;200), "Light User", "Balanced User")))</f>
        <v>#REF!</v>
      </c>
      <c r="AC1337" t="e">
        <f>IF(#REF! = 0, "No Usage", IF(#REF! &lt;= 20, "Low Usage", IF(#REF! &lt;= 40, "Medium Usgae", "High Usage")))</f>
        <v>#REF!</v>
      </c>
      <c r="AD1337" t="e">
        <f>IF(#REF!&lt;=150,"Low Usage", IF(#REF!&lt;=200,"Medium Usage", IF(#REF!&lt;=250,"High Usage","Very High Usage")))</f>
        <v>#REF!</v>
      </c>
      <c r="AE1337" t="e">
        <f>IF(#REF!&lt;=5,"Low Calls", IF(#REF!&lt;=10, "Medium Calls", "High Calls"))</f>
        <v>#REF!</v>
      </c>
      <c r="AF1337" t="e">
        <f xml:space="preserve">
IF(#REF!&gt;=4,4,0)+
IF(#REF!="yes",3,0)+
IF(#REF!="High Charges",3,0)+
IF(#REF!&gt;250,4,0)+
IF(#REF!="no",1,0)+
IF(#REF!="Heavy Domestic User",2,0)</f>
        <v>#REF!</v>
      </c>
      <c r="AG1337" t="e">
        <f>IF(#REF!&gt;=10,"High Risk", IF(#REF!&gt;=5,"Medium Risk","Low Risk"))</f>
        <v>#REF!</v>
      </c>
      <c r="AH1337" t="e">
        <f>#REF! + #REF! + #REF! + #REF!</f>
        <v>#REF!</v>
      </c>
    </row>
    <row r="1338" spans="1:34" x14ac:dyDescent="0.35">
      <c r="A1338">
        <v>1337</v>
      </c>
      <c r="B1338" t="s">
        <v>35</v>
      </c>
      <c r="C1338">
        <v>94</v>
      </c>
      <c r="D1338" t="s">
        <v>28</v>
      </c>
      <c r="E1338" t="s">
        <v>22</v>
      </c>
      <c r="F1338" t="s">
        <v>22</v>
      </c>
      <c r="G1338">
        <v>0</v>
      </c>
      <c r="H1338">
        <v>163.5</v>
      </c>
      <c r="I1338">
        <v>136</v>
      </c>
      <c r="J1338">
        <v>27.8</v>
      </c>
      <c r="K1338">
        <v>143.69999999999999</v>
      </c>
      <c r="L1338">
        <v>111</v>
      </c>
      <c r="M1338">
        <v>12.21</v>
      </c>
      <c r="N1338">
        <v>253.4</v>
      </c>
      <c r="O1338">
        <v>82</v>
      </c>
      <c r="P1338">
        <v>11.4</v>
      </c>
      <c r="Q1338">
        <v>12.6</v>
      </c>
      <c r="R1338">
        <v>5</v>
      </c>
      <c r="S1338">
        <v>3.4</v>
      </c>
      <c r="T1338">
        <v>1</v>
      </c>
      <c r="U1338" t="s">
        <v>22</v>
      </c>
      <c r="V1338" t="e">
        <f>IF(#REF! = "yes", 1, 0)</f>
        <v>#REF!</v>
      </c>
      <c r="W1338" t="e">
        <f>IF(#REF! &lt;= 1, "0-1 Calls", IF(#REF! &lt;= 3, "2-3 Calls", IF(#REF! &lt;=5, "4-5 Calls", "6+ Calls")))</f>
        <v>#REF!</v>
      </c>
      <c r="X1338" t="e">
        <f>IF(#REF! &lt;= 50, "0-50", IF(#REF! &lt;=100, "51-100", IF(#REF! &lt;= 150, "101-150", "151+")))</f>
        <v>#REF!</v>
      </c>
      <c r="Y1338" t="e">
        <f>IF(#REF! &lt;= 3, "Low Charges", "High Charges")</f>
        <v>#REF!</v>
      </c>
      <c r="Z1338" t="e">
        <f>IF(#REF!&lt;=80,"Low Calls",
IF(#REF!&lt;=120,"Medium Calls","High Calls"))</f>
        <v>#REF!</v>
      </c>
      <c r="AA1338" t="e">
        <f>IF(#REF!&lt;=15,"Low Charges",
IF(#REF!&lt;=20,"Medium Charges","High Charges"))</f>
        <v>#REF!</v>
      </c>
      <c r="AB1338" t="e">
        <f>IF(AND(#REF!&gt;180, #REF!&gt;200), "Heavy Doemstic User", IF(#REF!&gt;10, "Interntional User", IF(AND(#REF!&lt;180, #REF!&lt;200,#REF!&lt;200), "Light User", "Balanced User")))</f>
        <v>#REF!</v>
      </c>
      <c r="AC1338" t="e">
        <f>IF(#REF! = 0, "No Usage", IF(#REF! &lt;= 20, "Low Usage", IF(#REF! &lt;= 40, "Medium Usgae", "High Usage")))</f>
        <v>#REF!</v>
      </c>
      <c r="AD1338" t="e">
        <f>IF(#REF!&lt;=150,"Low Usage", IF(#REF!&lt;=200,"Medium Usage", IF(#REF!&lt;=250,"High Usage","Very High Usage")))</f>
        <v>#REF!</v>
      </c>
      <c r="AE1338" t="e">
        <f>IF(#REF!&lt;=5,"Low Calls", IF(#REF!&lt;=10, "Medium Calls", "High Calls"))</f>
        <v>#REF!</v>
      </c>
      <c r="AF1338" t="e">
        <f xml:space="preserve">
IF(#REF!&gt;=4,4,0)+
IF(#REF!="yes",3,0)+
IF(#REF!="High Charges",3,0)+
IF(#REF!&gt;250,4,0)+
IF(#REF!="no",1,0)+
IF(#REF!="Heavy Domestic User",2,0)</f>
        <v>#REF!</v>
      </c>
      <c r="AG1338" t="e">
        <f>IF(#REF!&gt;=10,"High Risk", IF(#REF!&gt;=5,"Medium Risk","Low Risk"))</f>
        <v>#REF!</v>
      </c>
      <c r="AH1338" t="e">
        <f>#REF! + #REF! + #REF! + #REF!</f>
        <v>#REF!</v>
      </c>
    </row>
    <row r="1339" spans="1:34" x14ac:dyDescent="0.35">
      <c r="A1339">
        <v>1338</v>
      </c>
      <c r="B1339" t="s">
        <v>24</v>
      </c>
      <c r="C1339">
        <v>85</v>
      </c>
      <c r="D1339" t="s">
        <v>21</v>
      </c>
      <c r="E1339" t="s">
        <v>22</v>
      </c>
      <c r="F1339" t="s">
        <v>22</v>
      </c>
      <c r="G1339">
        <v>0</v>
      </c>
      <c r="H1339">
        <v>236.9</v>
      </c>
      <c r="I1339">
        <v>93</v>
      </c>
      <c r="J1339">
        <v>40.270000000000003</v>
      </c>
      <c r="K1339">
        <v>197.7</v>
      </c>
      <c r="L1339">
        <v>113</v>
      </c>
      <c r="M1339">
        <v>16.8</v>
      </c>
      <c r="N1339">
        <v>309.10000000000002</v>
      </c>
      <c r="O1339">
        <v>78</v>
      </c>
      <c r="P1339">
        <v>13.91</v>
      </c>
      <c r="Q1339">
        <v>11.4</v>
      </c>
      <c r="R1339">
        <v>7</v>
      </c>
      <c r="S1339">
        <v>3.08</v>
      </c>
      <c r="T1339">
        <v>2</v>
      </c>
      <c r="U1339" t="s">
        <v>23</v>
      </c>
      <c r="V1339" t="e">
        <f>IF(#REF! = "yes", 1, 0)</f>
        <v>#REF!</v>
      </c>
      <c r="W1339" t="e">
        <f>IF(#REF! &lt;= 1, "0-1 Calls", IF(#REF! &lt;= 3, "2-3 Calls", IF(#REF! &lt;=5, "4-5 Calls", "6+ Calls")))</f>
        <v>#REF!</v>
      </c>
      <c r="X1339" t="e">
        <f>IF(#REF! &lt;= 50, "0-50", IF(#REF! &lt;=100, "51-100", IF(#REF! &lt;= 150, "101-150", "151+")))</f>
        <v>#REF!</v>
      </c>
      <c r="Y1339" t="e">
        <f>IF(#REF! &lt;= 3, "Low Charges", "High Charges")</f>
        <v>#REF!</v>
      </c>
      <c r="Z1339" t="e">
        <f>IF(#REF!&lt;=80,"Low Calls",
IF(#REF!&lt;=120,"Medium Calls","High Calls"))</f>
        <v>#REF!</v>
      </c>
      <c r="AA1339" t="e">
        <f>IF(#REF!&lt;=15,"Low Charges",
IF(#REF!&lt;=20,"Medium Charges","High Charges"))</f>
        <v>#REF!</v>
      </c>
      <c r="AB1339" t="e">
        <f>IF(AND(#REF!&gt;180, #REF!&gt;200), "Heavy Doemstic User", IF(#REF!&gt;10, "Interntional User", IF(AND(#REF!&lt;180, #REF!&lt;200,#REF!&lt;200), "Light User", "Balanced User")))</f>
        <v>#REF!</v>
      </c>
      <c r="AC1339" t="e">
        <f>IF(#REF! = 0, "No Usage", IF(#REF! &lt;= 20, "Low Usage", IF(#REF! &lt;= 40, "Medium Usgae", "High Usage")))</f>
        <v>#REF!</v>
      </c>
      <c r="AD1339" t="e">
        <f>IF(#REF!&lt;=150,"Low Usage", IF(#REF!&lt;=200,"Medium Usage", IF(#REF!&lt;=250,"High Usage","Very High Usage")))</f>
        <v>#REF!</v>
      </c>
      <c r="AE1339" t="e">
        <f>IF(#REF!&lt;=5,"Low Calls", IF(#REF!&lt;=10, "Medium Calls", "High Calls"))</f>
        <v>#REF!</v>
      </c>
      <c r="AF1339" t="e">
        <f xml:space="preserve">
IF(#REF!&gt;=4,4,0)+
IF(#REF!="yes",3,0)+
IF(#REF!="High Charges",3,0)+
IF(#REF!&gt;250,4,0)+
IF(#REF!="no",1,0)+
IF(#REF!="Heavy Domestic User",2,0)</f>
        <v>#REF!</v>
      </c>
      <c r="AG1339" t="e">
        <f>IF(#REF!&gt;=10,"High Risk", IF(#REF!&gt;=5,"Medium Risk","Low Risk"))</f>
        <v>#REF!</v>
      </c>
      <c r="AH1339" t="e">
        <f>#REF! + #REF! + #REF! + #REF!</f>
        <v>#REF!</v>
      </c>
    </row>
    <row r="1340" spans="1:34" x14ac:dyDescent="0.35">
      <c r="A1340">
        <v>1339</v>
      </c>
      <c r="B1340" t="s">
        <v>74</v>
      </c>
      <c r="C1340">
        <v>89</v>
      </c>
      <c r="D1340" t="s">
        <v>21</v>
      </c>
      <c r="E1340" t="s">
        <v>22</v>
      </c>
      <c r="F1340" t="s">
        <v>22</v>
      </c>
      <c r="G1340">
        <v>0</v>
      </c>
      <c r="H1340">
        <v>82.3</v>
      </c>
      <c r="I1340">
        <v>77</v>
      </c>
      <c r="J1340">
        <v>13.99</v>
      </c>
      <c r="K1340">
        <v>167.2</v>
      </c>
      <c r="L1340">
        <v>80</v>
      </c>
      <c r="M1340">
        <v>14.21</v>
      </c>
      <c r="N1340">
        <v>194.7</v>
      </c>
      <c r="O1340">
        <v>70</v>
      </c>
      <c r="P1340">
        <v>8.76</v>
      </c>
      <c r="Q1340">
        <v>7.2</v>
      </c>
      <c r="R1340">
        <v>4</v>
      </c>
      <c r="S1340">
        <v>1.94</v>
      </c>
      <c r="T1340">
        <v>1</v>
      </c>
      <c r="U1340" t="s">
        <v>22</v>
      </c>
      <c r="V1340" t="e">
        <f>IF(#REF! = "yes", 1, 0)</f>
        <v>#REF!</v>
      </c>
      <c r="W1340" t="e">
        <f>IF(#REF! &lt;= 1, "0-1 Calls", IF(#REF! &lt;= 3, "2-3 Calls", IF(#REF! &lt;=5, "4-5 Calls", "6+ Calls")))</f>
        <v>#REF!</v>
      </c>
      <c r="X1340" t="e">
        <f>IF(#REF! &lt;= 50, "0-50", IF(#REF! &lt;=100, "51-100", IF(#REF! &lt;= 150, "101-150", "151+")))</f>
        <v>#REF!</v>
      </c>
      <c r="Y1340" t="e">
        <f>IF(#REF! &lt;= 3, "Low Charges", "High Charges")</f>
        <v>#REF!</v>
      </c>
      <c r="Z1340" t="e">
        <f>IF(#REF!&lt;=80,"Low Calls",
IF(#REF!&lt;=120,"Medium Calls","High Calls"))</f>
        <v>#REF!</v>
      </c>
      <c r="AA1340" t="e">
        <f>IF(#REF!&lt;=15,"Low Charges",
IF(#REF!&lt;=20,"Medium Charges","High Charges"))</f>
        <v>#REF!</v>
      </c>
      <c r="AB1340" t="e">
        <f>IF(AND(#REF!&gt;180, #REF!&gt;200), "Heavy Doemstic User", IF(#REF!&gt;10, "Interntional User", IF(AND(#REF!&lt;180, #REF!&lt;200,#REF!&lt;200), "Light User", "Balanced User")))</f>
        <v>#REF!</v>
      </c>
      <c r="AC1340" t="e">
        <f>IF(#REF! = 0, "No Usage", IF(#REF! &lt;= 20, "Low Usage", IF(#REF! &lt;= 40, "Medium Usgae", "High Usage")))</f>
        <v>#REF!</v>
      </c>
      <c r="AD1340" t="e">
        <f>IF(#REF!&lt;=150,"Low Usage", IF(#REF!&lt;=200,"Medium Usage", IF(#REF!&lt;=250,"High Usage","Very High Usage")))</f>
        <v>#REF!</v>
      </c>
      <c r="AE1340" t="e">
        <f>IF(#REF!&lt;=5,"Low Calls", IF(#REF!&lt;=10, "Medium Calls", "High Calls"))</f>
        <v>#REF!</v>
      </c>
      <c r="AF1340" t="e">
        <f xml:space="preserve">
IF(#REF!&gt;=4,4,0)+
IF(#REF!="yes",3,0)+
IF(#REF!="High Charges",3,0)+
IF(#REF!&gt;250,4,0)+
IF(#REF!="no",1,0)+
IF(#REF!="Heavy Domestic User",2,0)</f>
        <v>#REF!</v>
      </c>
      <c r="AG1340" t="e">
        <f>IF(#REF!&gt;=10,"High Risk", IF(#REF!&gt;=5,"Medium Risk","Low Risk"))</f>
        <v>#REF!</v>
      </c>
      <c r="AH1340" t="e">
        <f>#REF! + #REF! + #REF! + #REF!</f>
        <v>#REF!</v>
      </c>
    </row>
    <row r="1341" spans="1:34" x14ac:dyDescent="0.35">
      <c r="A1341">
        <v>1340</v>
      </c>
      <c r="B1341" t="s">
        <v>38</v>
      </c>
      <c r="C1341">
        <v>128</v>
      </c>
      <c r="D1341" t="s">
        <v>21</v>
      </c>
      <c r="E1341" t="s">
        <v>22</v>
      </c>
      <c r="F1341" t="s">
        <v>22</v>
      </c>
      <c r="G1341">
        <v>0</v>
      </c>
      <c r="H1341">
        <v>216</v>
      </c>
      <c r="I1341">
        <v>111</v>
      </c>
      <c r="J1341">
        <v>36.72</v>
      </c>
      <c r="K1341">
        <v>153.69999999999999</v>
      </c>
      <c r="L1341">
        <v>115</v>
      </c>
      <c r="M1341">
        <v>13.06</v>
      </c>
      <c r="N1341">
        <v>227</v>
      </c>
      <c r="O1341">
        <v>74</v>
      </c>
      <c r="P1341">
        <v>10.220000000000001</v>
      </c>
      <c r="Q1341">
        <v>12.7</v>
      </c>
      <c r="R1341">
        <v>4</v>
      </c>
      <c r="S1341">
        <v>3.43</v>
      </c>
      <c r="T1341">
        <v>1</v>
      </c>
      <c r="U1341" t="s">
        <v>22</v>
      </c>
      <c r="V1341" t="e">
        <f>IF(#REF! = "yes", 1, 0)</f>
        <v>#REF!</v>
      </c>
      <c r="W1341" t="e">
        <f>IF(#REF! &lt;= 1, "0-1 Calls", IF(#REF! &lt;= 3, "2-3 Calls", IF(#REF! &lt;=5, "4-5 Calls", "6+ Calls")))</f>
        <v>#REF!</v>
      </c>
      <c r="X1341" t="e">
        <f>IF(#REF! &lt;= 50, "0-50", IF(#REF! &lt;=100, "51-100", IF(#REF! &lt;= 150, "101-150", "151+")))</f>
        <v>#REF!</v>
      </c>
      <c r="Y1341" t="e">
        <f>IF(#REF! &lt;= 3, "Low Charges", "High Charges")</f>
        <v>#REF!</v>
      </c>
      <c r="Z1341" t="e">
        <f>IF(#REF!&lt;=80,"Low Calls",
IF(#REF!&lt;=120,"Medium Calls","High Calls"))</f>
        <v>#REF!</v>
      </c>
      <c r="AA1341" t="e">
        <f>IF(#REF!&lt;=15,"Low Charges",
IF(#REF!&lt;=20,"Medium Charges","High Charges"))</f>
        <v>#REF!</v>
      </c>
      <c r="AB1341" t="e">
        <f>IF(AND(#REF!&gt;180, #REF!&gt;200), "Heavy Doemstic User", IF(#REF!&gt;10, "Interntional User", IF(AND(#REF!&lt;180, #REF!&lt;200,#REF!&lt;200), "Light User", "Balanced User")))</f>
        <v>#REF!</v>
      </c>
      <c r="AC1341" t="e">
        <f>IF(#REF! = 0, "No Usage", IF(#REF! &lt;= 20, "Low Usage", IF(#REF! &lt;= 40, "Medium Usgae", "High Usage")))</f>
        <v>#REF!</v>
      </c>
      <c r="AD1341" t="e">
        <f>IF(#REF!&lt;=150,"Low Usage", IF(#REF!&lt;=200,"Medium Usage", IF(#REF!&lt;=250,"High Usage","Very High Usage")))</f>
        <v>#REF!</v>
      </c>
      <c r="AE1341" t="e">
        <f>IF(#REF!&lt;=5,"Low Calls", IF(#REF!&lt;=10, "Medium Calls", "High Calls"))</f>
        <v>#REF!</v>
      </c>
      <c r="AF1341" t="e">
        <f xml:space="preserve">
IF(#REF!&gt;=4,4,0)+
IF(#REF!="yes",3,0)+
IF(#REF!="High Charges",3,0)+
IF(#REF!&gt;250,4,0)+
IF(#REF!="no",1,0)+
IF(#REF!="Heavy Domestic User",2,0)</f>
        <v>#REF!</v>
      </c>
      <c r="AG1341" t="e">
        <f>IF(#REF!&gt;=10,"High Risk", IF(#REF!&gt;=5,"Medium Risk","Low Risk"))</f>
        <v>#REF!</v>
      </c>
      <c r="AH1341" t="e">
        <f>#REF! + #REF! + #REF! + #REF!</f>
        <v>#REF!</v>
      </c>
    </row>
    <row r="1342" spans="1:34" x14ac:dyDescent="0.35">
      <c r="A1342">
        <v>1341</v>
      </c>
      <c r="B1342" t="s">
        <v>58</v>
      </c>
      <c r="C1342">
        <v>115</v>
      </c>
      <c r="D1342" t="s">
        <v>21</v>
      </c>
      <c r="E1342" t="s">
        <v>23</v>
      </c>
      <c r="F1342" t="s">
        <v>22</v>
      </c>
      <c r="G1342">
        <v>0</v>
      </c>
      <c r="H1342">
        <v>180</v>
      </c>
      <c r="I1342">
        <v>119</v>
      </c>
      <c r="J1342">
        <v>30.6</v>
      </c>
      <c r="K1342">
        <v>198.8</v>
      </c>
      <c r="L1342">
        <v>126</v>
      </c>
      <c r="M1342">
        <v>16.899999999999999</v>
      </c>
      <c r="N1342">
        <v>217.1</v>
      </c>
      <c r="O1342">
        <v>70</v>
      </c>
      <c r="P1342">
        <v>9.77</v>
      </c>
      <c r="Q1342">
        <v>12.4</v>
      </c>
      <c r="R1342">
        <v>3</v>
      </c>
      <c r="S1342">
        <v>3.35</v>
      </c>
      <c r="T1342">
        <v>1</v>
      </c>
      <c r="U1342" t="s">
        <v>22</v>
      </c>
      <c r="V1342" t="e">
        <f>IF(#REF! = "yes", 1, 0)</f>
        <v>#REF!</v>
      </c>
      <c r="W1342" t="e">
        <f>IF(#REF! &lt;= 1, "0-1 Calls", IF(#REF! &lt;= 3, "2-3 Calls", IF(#REF! &lt;=5, "4-5 Calls", "6+ Calls")))</f>
        <v>#REF!</v>
      </c>
      <c r="X1342" t="e">
        <f>IF(#REF! &lt;= 50, "0-50", IF(#REF! &lt;=100, "51-100", IF(#REF! &lt;= 150, "101-150", "151+")))</f>
        <v>#REF!</v>
      </c>
      <c r="Y1342" t="e">
        <f>IF(#REF! &lt;= 3, "Low Charges", "High Charges")</f>
        <v>#REF!</v>
      </c>
      <c r="Z1342" t="e">
        <f>IF(#REF!&lt;=80,"Low Calls",
IF(#REF!&lt;=120,"Medium Calls","High Calls"))</f>
        <v>#REF!</v>
      </c>
      <c r="AA1342" t="e">
        <f>IF(#REF!&lt;=15,"Low Charges",
IF(#REF!&lt;=20,"Medium Charges","High Charges"))</f>
        <v>#REF!</v>
      </c>
      <c r="AB1342" t="e">
        <f>IF(AND(#REF!&gt;180, #REF!&gt;200), "Heavy Doemstic User", IF(#REF!&gt;10, "Interntional User", IF(AND(#REF!&lt;180, #REF!&lt;200,#REF!&lt;200), "Light User", "Balanced User")))</f>
        <v>#REF!</v>
      </c>
      <c r="AC1342" t="e">
        <f>IF(#REF! = 0, "No Usage", IF(#REF! &lt;= 20, "Low Usage", IF(#REF! &lt;= 40, "Medium Usgae", "High Usage")))</f>
        <v>#REF!</v>
      </c>
      <c r="AD1342" t="e">
        <f>IF(#REF!&lt;=150,"Low Usage", IF(#REF!&lt;=200,"Medium Usage", IF(#REF!&lt;=250,"High Usage","Very High Usage")))</f>
        <v>#REF!</v>
      </c>
      <c r="AE1342" t="e">
        <f>IF(#REF!&lt;=5,"Low Calls", IF(#REF!&lt;=10, "Medium Calls", "High Calls"))</f>
        <v>#REF!</v>
      </c>
      <c r="AF1342" t="e">
        <f xml:space="preserve">
IF(#REF!&gt;=4,4,0)+
IF(#REF!="yes",3,0)+
IF(#REF!="High Charges",3,0)+
IF(#REF!&gt;250,4,0)+
IF(#REF!="no",1,0)+
IF(#REF!="Heavy Domestic User",2,0)</f>
        <v>#REF!</v>
      </c>
      <c r="AG1342" t="e">
        <f>IF(#REF!&gt;=10,"High Risk", IF(#REF!&gt;=5,"Medium Risk","Low Risk"))</f>
        <v>#REF!</v>
      </c>
      <c r="AH1342" t="e">
        <f>#REF! + #REF! + #REF! + #REF!</f>
        <v>#REF!</v>
      </c>
    </row>
    <row r="1343" spans="1:34" x14ac:dyDescent="0.35">
      <c r="A1343">
        <v>1342</v>
      </c>
      <c r="B1343" t="s">
        <v>47</v>
      </c>
      <c r="C1343">
        <v>76</v>
      </c>
      <c r="D1343" t="s">
        <v>21</v>
      </c>
      <c r="E1343" t="s">
        <v>22</v>
      </c>
      <c r="F1343" t="s">
        <v>22</v>
      </c>
      <c r="G1343">
        <v>0</v>
      </c>
      <c r="H1343">
        <v>143.69999999999999</v>
      </c>
      <c r="I1343">
        <v>55</v>
      </c>
      <c r="J1343">
        <v>24.43</v>
      </c>
      <c r="K1343">
        <v>173.1</v>
      </c>
      <c r="L1343">
        <v>108</v>
      </c>
      <c r="M1343">
        <v>14.71</v>
      </c>
      <c r="N1343">
        <v>239.1</v>
      </c>
      <c r="O1343">
        <v>95</v>
      </c>
      <c r="P1343">
        <v>10.76</v>
      </c>
      <c r="Q1343">
        <v>5.8</v>
      </c>
      <c r="R1343">
        <v>6</v>
      </c>
      <c r="S1343">
        <v>1.57</v>
      </c>
      <c r="T1343">
        <v>1</v>
      </c>
      <c r="U1343" t="s">
        <v>22</v>
      </c>
      <c r="V1343" t="e">
        <f>IF(#REF! = "yes", 1, 0)</f>
        <v>#REF!</v>
      </c>
      <c r="W1343" t="e">
        <f>IF(#REF! &lt;= 1, "0-1 Calls", IF(#REF! &lt;= 3, "2-3 Calls", IF(#REF! &lt;=5, "4-5 Calls", "6+ Calls")))</f>
        <v>#REF!</v>
      </c>
      <c r="X1343" t="e">
        <f>IF(#REF! &lt;= 50, "0-50", IF(#REF! &lt;=100, "51-100", IF(#REF! &lt;= 150, "101-150", "151+")))</f>
        <v>#REF!</v>
      </c>
      <c r="Y1343" t="e">
        <f>IF(#REF! &lt;= 3, "Low Charges", "High Charges")</f>
        <v>#REF!</v>
      </c>
      <c r="Z1343" t="e">
        <f>IF(#REF!&lt;=80,"Low Calls",
IF(#REF!&lt;=120,"Medium Calls","High Calls"))</f>
        <v>#REF!</v>
      </c>
      <c r="AA1343" t="e">
        <f>IF(#REF!&lt;=15,"Low Charges",
IF(#REF!&lt;=20,"Medium Charges","High Charges"))</f>
        <v>#REF!</v>
      </c>
      <c r="AB1343" t="e">
        <f>IF(AND(#REF!&gt;180, #REF!&gt;200), "Heavy Doemstic User", IF(#REF!&gt;10, "Interntional User", IF(AND(#REF!&lt;180, #REF!&lt;200,#REF!&lt;200), "Light User", "Balanced User")))</f>
        <v>#REF!</v>
      </c>
      <c r="AC1343" t="e">
        <f>IF(#REF! = 0, "No Usage", IF(#REF! &lt;= 20, "Low Usage", IF(#REF! &lt;= 40, "Medium Usgae", "High Usage")))</f>
        <v>#REF!</v>
      </c>
      <c r="AD1343" t="e">
        <f>IF(#REF!&lt;=150,"Low Usage", IF(#REF!&lt;=200,"Medium Usage", IF(#REF!&lt;=250,"High Usage","Very High Usage")))</f>
        <v>#REF!</v>
      </c>
      <c r="AE1343" t="e">
        <f>IF(#REF!&lt;=5,"Low Calls", IF(#REF!&lt;=10, "Medium Calls", "High Calls"))</f>
        <v>#REF!</v>
      </c>
      <c r="AF1343" t="e">
        <f xml:space="preserve">
IF(#REF!&gt;=4,4,0)+
IF(#REF!="yes",3,0)+
IF(#REF!="High Charges",3,0)+
IF(#REF!&gt;250,4,0)+
IF(#REF!="no",1,0)+
IF(#REF!="Heavy Domestic User",2,0)</f>
        <v>#REF!</v>
      </c>
      <c r="AG1343" t="e">
        <f>IF(#REF!&gt;=10,"High Risk", IF(#REF!&gt;=5,"Medium Risk","Low Risk"))</f>
        <v>#REF!</v>
      </c>
      <c r="AH1343" t="e">
        <f>#REF! + #REF! + #REF! + #REF!</f>
        <v>#REF!</v>
      </c>
    </row>
    <row r="1344" spans="1:34" x14ac:dyDescent="0.35">
      <c r="A1344">
        <v>1343</v>
      </c>
      <c r="B1344" t="s">
        <v>72</v>
      </c>
      <c r="C1344">
        <v>90</v>
      </c>
      <c r="D1344" t="s">
        <v>21</v>
      </c>
      <c r="E1344" t="s">
        <v>22</v>
      </c>
      <c r="F1344" t="s">
        <v>23</v>
      </c>
      <c r="G1344">
        <v>29</v>
      </c>
      <c r="H1344">
        <v>185.6</v>
      </c>
      <c r="I1344">
        <v>106</v>
      </c>
      <c r="J1344">
        <v>31.55</v>
      </c>
      <c r="K1344">
        <v>219.7</v>
      </c>
      <c r="L1344">
        <v>113</v>
      </c>
      <c r="M1344">
        <v>18.670000000000002</v>
      </c>
      <c r="N1344">
        <v>152.1</v>
      </c>
      <c r="O1344">
        <v>120</v>
      </c>
      <c r="P1344">
        <v>6.84</v>
      </c>
      <c r="Q1344">
        <v>11.1</v>
      </c>
      <c r="R1344">
        <v>5</v>
      </c>
      <c r="S1344">
        <v>3</v>
      </c>
      <c r="T1344">
        <v>2</v>
      </c>
      <c r="U1344" t="s">
        <v>22</v>
      </c>
      <c r="V1344" t="e">
        <f>IF(#REF! = "yes", 1, 0)</f>
        <v>#REF!</v>
      </c>
      <c r="W1344" t="e">
        <f>IF(#REF! &lt;= 1, "0-1 Calls", IF(#REF! &lt;= 3, "2-3 Calls", IF(#REF! &lt;=5, "4-5 Calls", "6+ Calls")))</f>
        <v>#REF!</v>
      </c>
      <c r="X1344" t="e">
        <f>IF(#REF! &lt;= 50, "0-50", IF(#REF! &lt;=100, "51-100", IF(#REF! &lt;= 150, "101-150", "151+")))</f>
        <v>#REF!</v>
      </c>
      <c r="Y1344" t="e">
        <f>IF(#REF! &lt;= 3, "Low Charges", "High Charges")</f>
        <v>#REF!</v>
      </c>
      <c r="Z1344" t="e">
        <f>IF(#REF!&lt;=80,"Low Calls",
IF(#REF!&lt;=120,"Medium Calls","High Calls"))</f>
        <v>#REF!</v>
      </c>
      <c r="AA1344" t="e">
        <f>IF(#REF!&lt;=15,"Low Charges",
IF(#REF!&lt;=20,"Medium Charges","High Charges"))</f>
        <v>#REF!</v>
      </c>
      <c r="AB1344" t="e">
        <f>IF(AND(#REF!&gt;180, #REF!&gt;200), "Heavy Doemstic User", IF(#REF!&gt;10, "Interntional User", IF(AND(#REF!&lt;180, #REF!&lt;200,#REF!&lt;200), "Light User", "Balanced User")))</f>
        <v>#REF!</v>
      </c>
      <c r="AC1344" t="e">
        <f>IF(#REF! = 0, "No Usage", IF(#REF! &lt;= 20, "Low Usage", IF(#REF! &lt;= 40, "Medium Usgae", "High Usage")))</f>
        <v>#REF!</v>
      </c>
      <c r="AD1344" t="e">
        <f>IF(#REF!&lt;=150,"Low Usage", IF(#REF!&lt;=200,"Medium Usage", IF(#REF!&lt;=250,"High Usage","Very High Usage")))</f>
        <v>#REF!</v>
      </c>
      <c r="AE1344" t="e">
        <f>IF(#REF!&lt;=5,"Low Calls", IF(#REF!&lt;=10, "Medium Calls", "High Calls"))</f>
        <v>#REF!</v>
      </c>
      <c r="AF1344" t="e">
        <f xml:space="preserve">
IF(#REF!&gt;=4,4,0)+
IF(#REF!="yes",3,0)+
IF(#REF!="High Charges",3,0)+
IF(#REF!&gt;250,4,0)+
IF(#REF!="no",1,0)+
IF(#REF!="Heavy Domestic User",2,0)</f>
        <v>#REF!</v>
      </c>
      <c r="AG1344" t="e">
        <f>IF(#REF!&gt;=10,"High Risk", IF(#REF!&gt;=5,"Medium Risk","Low Risk"))</f>
        <v>#REF!</v>
      </c>
      <c r="AH1344" t="e">
        <f>#REF! + #REF! + #REF! + #REF!</f>
        <v>#REF!</v>
      </c>
    </row>
    <row r="1345" spans="1:34" x14ac:dyDescent="0.35">
      <c r="A1345">
        <v>1344</v>
      </c>
      <c r="B1345" t="s">
        <v>74</v>
      </c>
      <c r="C1345">
        <v>30</v>
      </c>
      <c r="D1345" t="s">
        <v>25</v>
      </c>
      <c r="E1345" t="s">
        <v>22</v>
      </c>
      <c r="F1345" t="s">
        <v>22</v>
      </c>
      <c r="G1345">
        <v>0</v>
      </c>
      <c r="H1345">
        <v>137.6</v>
      </c>
      <c r="I1345">
        <v>108</v>
      </c>
      <c r="J1345">
        <v>23.39</v>
      </c>
      <c r="K1345">
        <v>162</v>
      </c>
      <c r="L1345">
        <v>80</v>
      </c>
      <c r="M1345">
        <v>13.77</v>
      </c>
      <c r="N1345">
        <v>187.7</v>
      </c>
      <c r="O1345">
        <v>126</v>
      </c>
      <c r="P1345">
        <v>8.4499999999999993</v>
      </c>
      <c r="Q1345">
        <v>5.8</v>
      </c>
      <c r="R1345">
        <v>10</v>
      </c>
      <c r="S1345">
        <v>1.57</v>
      </c>
      <c r="T1345">
        <v>3</v>
      </c>
      <c r="U1345" t="s">
        <v>22</v>
      </c>
      <c r="V1345" t="e">
        <f>IF(#REF! = "yes", 1, 0)</f>
        <v>#REF!</v>
      </c>
      <c r="W1345" t="e">
        <f>IF(#REF! &lt;= 1, "0-1 Calls", IF(#REF! &lt;= 3, "2-3 Calls", IF(#REF! &lt;=5, "4-5 Calls", "6+ Calls")))</f>
        <v>#REF!</v>
      </c>
      <c r="X1345" t="e">
        <f>IF(#REF! &lt;= 50, "0-50", IF(#REF! &lt;=100, "51-100", IF(#REF! &lt;= 150, "101-150", "151+")))</f>
        <v>#REF!</v>
      </c>
      <c r="Y1345" t="e">
        <f>IF(#REF! &lt;= 3, "Low Charges", "High Charges")</f>
        <v>#REF!</v>
      </c>
      <c r="Z1345" t="e">
        <f>IF(#REF!&lt;=80,"Low Calls",
IF(#REF!&lt;=120,"Medium Calls","High Calls"))</f>
        <v>#REF!</v>
      </c>
      <c r="AA1345" t="e">
        <f>IF(#REF!&lt;=15,"Low Charges",
IF(#REF!&lt;=20,"Medium Charges","High Charges"))</f>
        <v>#REF!</v>
      </c>
      <c r="AB1345" t="e">
        <f>IF(AND(#REF!&gt;180, #REF!&gt;200), "Heavy Doemstic User", IF(#REF!&gt;10, "Interntional User", IF(AND(#REF!&lt;180, #REF!&lt;200,#REF!&lt;200), "Light User", "Balanced User")))</f>
        <v>#REF!</v>
      </c>
      <c r="AC1345" t="e">
        <f>IF(#REF! = 0, "No Usage", IF(#REF! &lt;= 20, "Low Usage", IF(#REF! &lt;= 40, "Medium Usgae", "High Usage")))</f>
        <v>#REF!</v>
      </c>
      <c r="AD1345" t="e">
        <f>IF(#REF!&lt;=150,"Low Usage", IF(#REF!&lt;=200,"Medium Usage", IF(#REF!&lt;=250,"High Usage","Very High Usage")))</f>
        <v>#REF!</v>
      </c>
      <c r="AE1345" t="e">
        <f>IF(#REF!&lt;=5,"Low Calls", IF(#REF!&lt;=10, "Medium Calls", "High Calls"))</f>
        <v>#REF!</v>
      </c>
      <c r="AF1345" t="e">
        <f xml:space="preserve">
IF(#REF!&gt;=4,4,0)+
IF(#REF!="yes",3,0)+
IF(#REF!="High Charges",3,0)+
IF(#REF!&gt;250,4,0)+
IF(#REF!="no",1,0)+
IF(#REF!="Heavy Domestic User",2,0)</f>
        <v>#REF!</v>
      </c>
      <c r="AG1345" t="e">
        <f>IF(#REF!&gt;=10,"High Risk", IF(#REF!&gt;=5,"Medium Risk","Low Risk"))</f>
        <v>#REF!</v>
      </c>
      <c r="AH1345" t="e">
        <f>#REF! + #REF! + #REF! + #REF!</f>
        <v>#REF!</v>
      </c>
    </row>
    <row r="1346" spans="1:34" x14ac:dyDescent="0.35">
      <c r="A1346">
        <v>1345</v>
      </c>
      <c r="B1346" t="s">
        <v>70</v>
      </c>
      <c r="C1346">
        <v>105</v>
      </c>
      <c r="D1346" t="s">
        <v>21</v>
      </c>
      <c r="E1346" t="s">
        <v>23</v>
      </c>
      <c r="F1346" t="s">
        <v>22</v>
      </c>
      <c r="G1346">
        <v>0</v>
      </c>
      <c r="H1346">
        <v>273.89999999999998</v>
      </c>
      <c r="I1346">
        <v>119</v>
      </c>
      <c r="J1346">
        <v>46.56</v>
      </c>
      <c r="K1346">
        <v>278.60000000000002</v>
      </c>
      <c r="L1346">
        <v>103</v>
      </c>
      <c r="M1346">
        <v>23.68</v>
      </c>
      <c r="N1346">
        <v>255.3</v>
      </c>
      <c r="O1346">
        <v>90</v>
      </c>
      <c r="P1346">
        <v>11.49</v>
      </c>
      <c r="Q1346">
        <v>10.9</v>
      </c>
      <c r="R1346">
        <v>7</v>
      </c>
      <c r="S1346">
        <v>2.94</v>
      </c>
      <c r="T1346">
        <v>1</v>
      </c>
      <c r="U1346" t="s">
        <v>23</v>
      </c>
      <c r="V1346" t="e">
        <f>IF(#REF! = "yes", 1, 0)</f>
        <v>#REF!</v>
      </c>
      <c r="W1346" t="e">
        <f>IF(#REF! &lt;= 1, "0-1 Calls", IF(#REF! &lt;= 3, "2-3 Calls", IF(#REF! &lt;=5, "4-5 Calls", "6+ Calls")))</f>
        <v>#REF!</v>
      </c>
      <c r="X1346" t="e">
        <f>IF(#REF! &lt;= 50, "0-50", IF(#REF! &lt;=100, "51-100", IF(#REF! &lt;= 150, "101-150", "151+")))</f>
        <v>#REF!</v>
      </c>
      <c r="Y1346" t="e">
        <f>IF(#REF! &lt;= 3, "Low Charges", "High Charges")</f>
        <v>#REF!</v>
      </c>
      <c r="Z1346" t="e">
        <f>IF(#REF!&lt;=80,"Low Calls",
IF(#REF!&lt;=120,"Medium Calls","High Calls"))</f>
        <v>#REF!</v>
      </c>
      <c r="AA1346" t="e">
        <f>IF(#REF!&lt;=15,"Low Charges",
IF(#REF!&lt;=20,"Medium Charges","High Charges"))</f>
        <v>#REF!</v>
      </c>
      <c r="AB1346" t="e">
        <f>IF(AND(#REF!&gt;180, #REF!&gt;200), "Heavy Doemstic User", IF(#REF!&gt;10, "Interntional User", IF(AND(#REF!&lt;180, #REF!&lt;200,#REF!&lt;200), "Light User", "Balanced User")))</f>
        <v>#REF!</v>
      </c>
      <c r="AC1346" t="e">
        <f>IF(#REF! = 0, "No Usage", IF(#REF! &lt;= 20, "Low Usage", IF(#REF! &lt;= 40, "Medium Usgae", "High Usage")))</f>
        <v>#REF!</v>
      </c>
      <c r="AD1346" t="e">
        <f>IF(#REF!&lt;=150,"Low Usage", IF(#REF!&lt;=200,"Medium Usage", IF(#REF!&lt;=250,"High Usage","Very High Usage")))</f>
        <v>#REF!</v>
      </c>
      <c r="AE1346" t="e">
        <f>IF(#REF!&lt;=5,"Low Calls", IF(#REF!&lt;=10, "Medium Calls", "High Calls"))</f>
        <v>#REF!</v>
      </c>
      <c r="AF1346" t="e">
        <f xml:space="preserve">
IF(#REF!&gt;=4,4,0)+
IF(#REF!="yes",3,0)+
IF(#REF!="High Charges",3,0)+
IF(#REF!&gt;250,4,0)+
IF(#REF!="no",1,0)+
IF(#REF!="Heavy Domestic User",2,0)</f>
        <v>#REF!</v>
      </c>
      <c r="AG1346" t="e">
        <f>IF(#REF!&gt;=10,"High Risk", IF(#REF!&gt;=5,"Medium Risk","Low Risk"))</f>
        <v>#REF!</v>
      </c>
      <c r="AH1346" t="e">
        <f>#REF! + #REF! + #REF! + #REF!</f>
        <v>#REF!</v>
      </c>
    </row>
    <row r="1347" spans="1:34" x14ac:dyDescent="0.35">
      <c r="A1347">
        <v>1346</v>
      </c>
      <c r="B1347" t="s">
        <v>27</v>
      </c>
      <c r="C1347">
        <v>102</v>
      </c>
      <c r="D1347" t="s">
        <v>21</v>
      </c>
      <c r="E1347" t="s">
        <v>22</v>
      </c>
      <c r="F1347" t="s">
        <v>23</v>
      </c>
      <c r="G1347">
        <v>31</v>
      </c>
      <c r="H1347">
        <v>125.3</v>
      </c>
      <c r="I1347">
        <v>92</v>
      </c>
      <c r="J1347">
        <v>21.3</v>
      </c>
      <c r="K1347">
        <v>141.19999999999999</v>
      </c>
      <c r="L1347">
        <v>108</v>
      </c>
      <c r="M1347">
        <v>12</v>
      </c>
      <c r="N1347">
        <v>168.2</v>
      </c>
      <c r="O1347">
        <v>68</v>
      </c>
      <c r="P1347">
        <v>7.57</v>
      </c>
      <c r="Q1347">
        <v>6.3</v>
      </c>
      <c r="R1347">
        <v>2</v>
      </c>
      <c r="S1347">
        <v>1.7</v>
      </c>
      <c r="T1347">
        <v>3</v>
      </c>
      <c r="U1347" t="s">
        <v>22</v>
      </c>
      <c r="V1347" t="e">
        <f>IF(#REF! = "yes", 1, 0)</f>
        <v>#REF!</v>
      </c>
      <c r="W1347" t="e">
        <f>IF(#REF! &lt;= 1, "0-1 Calls", IF(#REF! &lt;= 3, "2-3 Calls", IF(#REF! &lt;=5, "4-5 Calls", "6+ Calls")))</f>
        <v>#REF!</v>
      </c>
      <c r="X1347" t="e">
        <f>IF(#REF! &lt;= 50, "0-50", IF(#REF! &lt;=100, "51-100", IF(#REF! &lt;= 150, "101-150", "151+")))</f>
        <v>#REF!</v>
      </c>
      <c r="Y1347" t="e">
        <f>IF(#REF! &lt;= 3, "Low Charges", "High Charges")</f>
        <v>#REF!</v>
      </c>
      <c r="Z1347" t="e">
        <f>IF(#REF!&lt;=80,"Low Calls",
IF(#REF!&lt;=120,"Medium Calls","High Calls"))</f>
        <v>#REF!</v>
      </c>
      <c r="AA1347" t="e">
        <f>IF(#REF!&lt;=15,"Low Charges",
IF(#REF!&lt;=20,"Medium Charges","High Charges"))</f>
        <v>#REF!</v>
      </c>
      <c r="AB1347" t="e">
        <f>IF(AND(#REF!&gt;180, #REF!&gt;200), "Heavy Doemstic User", IF(#REF!&gt;10, "Interntional User", IF(AND(#REF!&lt;180, #REF!&lt;200,#REF!&lt;200), "Light User", "Balanced User")))</f>
        <v>#REF!</v>
      </c>
      <c r="AC1347" t="e">
        <f>IF(#REF! = 0, "No Usage", IF(#REF! &lt;= 20, "Low Usage", IF(#REF! &lt;= 40, "Medium Usgae", "High Usage")))</f>
        <v>#REF!</v>
      </c>
      <c r="AD1347" t="e">
        <f>IF(#REF!&lt;=150,"Low Usage", IF(#REF!&lt;=200,"Medium Usage", IF(#REF!&lt;=250,"High Usage","Very High Usage")))</f>
        <v>#REF!</v>
      </c>
      <c r="AE1347" t="e">
        <f>IF(#REF!&lt;=5,"Low Calls", IF(#REF!&lt;=10, "Medium Calls", "High Calls"))</f>
        <v>#REF!</v>
      </c>
      <c r="AF1347" t="e">
        <f xml:space="preserve">
IF(#REF!&gt;=4,4,0)+
IF(#REF!="yes",3,0)+
IF(#REF!="High Charges",3,0)+
IF(#REF!&gt;250,4,0)+
IF(#REF!="no",1,0)+
IF(#REF!="Heavy Domestic User",2,0)</f>
        <v>#REF!</v>
      </c>
      <c r="AG1347" t="e">
        <f>IF(#REF!&gt;=10,"High Risk", IF(#REF!&gt;=5,"Medium Risk","Low Risk"))</f>
        <v>#REF!</v>
      </c>
      <c r="AH1347" t="e">
        <f>#REF! + #REF! + #REF! + #REF!</f>
        <v>#REF!</v>
      </c>
    </row>
    <row r="1348" spans="1:34" x14ac:dyDescent="0.35">
      <c r="A1348">
        <v>1347</v>
      </c>
      <c r="B1348" t="s">
        <v>50</v>
      </c>
      <c r="C1348">
        <v>63</v>
      </c>
      <c r="D1348" t="s">
        <v>28</v>
      </c>
      <c r="E1348" t="s">
        <v>22</v>
      </c>
      <c r="F1348" t="s">
        <v>23</v>
      </c>
      <c r="G1348">
        <v>49</v>
      </c>
      <c r="H1348">
        <v>214.9</v>
      </c>
      <c r="I1348">
        <v>86</v>
      </c>
      <c r="J1348">
        <v>36.53</v>
      </c>
      <c r="K1348">
        <v>198.2</v>
      </c>
      <c r="L1348">
        <v>89</v>
      </c>
      <c r="M1348">
        <v>16.850000000000001</v>
      </c>
      <c r="N1348">
        <v>170.8</v>
      </c>
      <c r="O1348">
        <v>139</v>
      </c>
      <c r="P1348">
        <v>7.69</v>
      </c>
      <c r="Q1348">
        <v>8.1999999999999993</v>
      </c>
      <c r="R1348">
        <v>5</v>
      </c>
      <c r="S1348">
        <v>2.21</v>
      </c>
      <c r="T1348">
        <v>0</v>
      </c>
      <c r="U1348" t="s">
        <v>22</v>
      </c>
      <c r="V1348" t="e">
        <f>IF(#REF! = "yes", 1, 0)</f>
        <v>#REF!</v>
      </c>
      <c r="W1348" t="e">
        <f>IF(#REF! &lt;= 1, "0-1 Calls", IF(#REF! &lt;= 3, "2-3 Calls", IF(#REF! &lt;=5, "4-5 Calls", "6+ Calls")))</f>
        <v>#REF!</v>
      </c>
      <c r="X1348" t="e">
        <f>IF(#REF! &lt;= 50, "0-50", IF(#REF! &lt;=100, "51-100", IF(#REF! &lt;= 150, "101-150", "151+")))</f>
        <v>#REF!</v>
      </c>
      <c r="Y1348" t="e">
        <f>IF(#REF! &lt;= 3, "Low Charges", "High Charges")</f>
        <v>#REF!</v>
      </c>
      <c r="Z1348" t="e">
        <f>IF(#REF!&lt;=80,"Low Calls",
IF(#REF!&lt;=120,"Medium Calls","High Calls"))</f>
        <v>#REF!</v>
      </c>
      <c r="AA1348" t="e">
        <f>IF(#REF!&lt;=15,"Low Charges",
IF(#REF!&lt;=20,"Medium Charges","High Charges"))</f>
        <v>#REF!</v>
      </c>
      <c r="AB1348" t="e">
        <f>IF(AND(#REF!&gt;180, #REF!&gt;200), "Heavy Doemstic User", IF(#REF!&gt;10, "Interntional User", IF(AND(#REF!&lt;180, #REF!&lt;200,#REF!&lt;200), "Light User", "Balanced User")))</f>
        <v>#REF!</v>
      </c>
      <c r="AC1348" t="e">
        <f>IF(#REF! = 0, "No Usage", IF(#REF! &lt;= 20, "Low Usage", IF(#REF! &lt;= 40, "Medium Usgae", "High Usage")))</f>
        <v>#REF!</v>
      </c>
      <c r="AD1348" t="e">
        <f>IF(#REF!&lt;=150,"Low Usage", IF(#REF!&lt;=200,"Medium Usage", IF(#REF!&lt;=250,"High Usage","Very High Usage")))</f>
        <v>#REF!</v>
      </c>
      <c r="AE1348" t="e">
        <f>IF(#REF!&lt;=5,"Low Calls", IF(#REF!&lt;=10, "Medium Calls", "High Calls"))</f>
        <v>#REF!</v>
      </c>
      <c r="AF1348" t="e">
        <f xml:space="preserve">
IF(#REF!&gt;=4,4,0)+
IF(#REF!="yes",3,0)+
IF(#REF!="High Charges",3,0)+
IF(#REF!&gt;250,4,0)+
IF(#REF!="no",1,0)+
IF(#REF!="Heavy Domestic User",2,0)</f>
        <v>#REF!</v>
      </c>
      <c r="AG1348" t="e">
        <f>IF(#REF!&gt;=10,"High Risk", IF(#REF!&gt;=5,"Medium Risk","Low Risk"))</f>
        <v>#REF!</v>
      </c>
      <c r="AH1348" t="e">
        <f>#REF! + #REF! + #REF! + #REF!</f>
        <v>#REF!</v>
      </c>
    </row>
    <row r="1349" spans="1:34" x14ac:dyDescent="0.35">
      <c r="A1349">
        <v>1348</v>
      </c>
      <c r="B1349" t="s">
        <v>67</v>
      </c>
      <c r="C1349">
        <v>155</v>
      </c>
      <c r="D1349" t="s">
        <v>25</v>
      </c>
      <c r="E1349" t="s">
        <v>22</v>
      </c>
      <c r="F1349" t="s">
        <v>22</v>
      </c>
      <c r="G1349">
        <v>0</v>
      </c>
      <c r="H1349">
        <v>163</v>
      </c>
      <c r="I1349">
        <v>93</v>
      </c>
      <c r="J1349">
        <v>27.71</v>
      </c>
      <c r="K1349">
        <v>203.9</v>
      </c>
      <c r="L1349">
        <v>102</v>
      </c>
      <c r="M1349">
        <v>17.329999999999998</v>
      </c>
      <c r="N1349">
        <v>159</v>
      </c>
      <c r="O1349">
        <v>109</v>
      </c>
      <c r="P1349">
        <v>7.15</v>
      </c>
      <c r="Q1349">
        <v>15.1</v>
      </c>
      <c r="R1349">
        <v>4</v>
      </c>
      <c r="S1349">
        <v>4.08</v>
      </c>
      <c r="T1349">
        <v>2</v>
      </c>
      <c r="U1349" t="s">
        <v>22</v>
      </c>
      <c r="V1349" t="e">
        <f>IF(#REF! = "yes", 1, 0)</f>
        <v>#REF!</v>
      </c>
      <c r="W1349" t="e">
        <f>IF(#REF! &lt;= 1, "0-1 Calls", IF(#REF! &lt;= 3, "2-3 Calls", IF(#REF! &lt;=5, "4-5 Calls", "6+ Calls")))</f>
        <v>#REF!</v>
      </c>
      <c r="X1349" t="e">
        <f>IF(#REF! &lt;= 50, "0-50", IF(#REF! &lt;=100, "51-100", IF(#REF! &lt;= 150, "101-150", "151+")))</f>
        <v>#REF!</v>
      </c>
      <c r="Y1349" t="e">
        <f>IF(#REF! &lt;= 3, "Low Charges", "High Charges")</f>
        <v>#REF!</v>
      </c>
      <c r="Z1349" t="e">
        <f>IF(#REF!&lt;=80,"Low Calls",
IF(#REF!&lt;=120,"Medium Calls","High Calls"))</f>
        <v>#REF!</v>
      </c>
      <c r="AA1349" t="e">
        <f>IF(#REF!&lt;=15,"Low Charges",
IF(#REF!&lt;=20,"Medium Charges","High Charges"))</f>
        <v>#REF!</v>
      </c>
      <c r="AB1349" t="e">
        <f>IF(AND(#REF!&gt;180, #REF!&gt;200), "Heavy Doemstic User", IF(#REF!&gt;10, "Interntional User", IF(AND(#REF!&lt;180, #REF!&lt;200,#REF!&lt;200), "Light User", "Balanced User")))</f>
        <v>#REF!</v>
      </c>
      <c r="AC1349" t="e">
        <f>IF(#REF! = 0, "No Usage", IF(#REF! &lt;= 20, "Low Usage", IF(#REF! &lt;= 40, "Medium Usgae", "High Usage")))</f>
        <v>#REF!</v>
      </c>
      <c r="AD1349" t="e">
        <f>IF(#REF!&lt;=150,"Low Usage", IF(#REF!&lt;=200,"Medium Usage", IF(#REF!&lt;=250,"High Usage","Very High Usage")))</f>
        <v>#REF!</v>
      </c>
      <c r="AE1349" t="e">
        <f>IF(#REF!&lt;=5,"Low Calls", IF(#REF!&lt;=10, "Medium Calls", "High Calls"))</f>
        <v>#REF!</v>
      </c>
      <c r="AF1349" t="e">
        <f xml:space="preserve">
IF(#REF!&gt;=4,4,0)+
IF(#REF!="yes",3,0)+
IF(#REF!="High Charges",3,0)+
IF(#REF!&gt;250,4,0)+
IF(#REF!="no",1,0)+
IF(#REF!="Heavy Domestic User",2,0)</f>
        <v>#REF!</v>
      </c>
      <c r="AG1349" t="e">
        <f>IF(#REF!&gt;=10,"High Risk", IF(#REF!&gt;=5,"Medium Risk","Low Risk"))</f>
        <v>#REF!</v>
      </c>
      <c r="AH1349" t="e">
        <f>#REF! + #REF! + #REF! + #REF!</f>
        <v>#REF!</v>
      </c>
    </row>
    <row r="1350" spans="1:34" x14ac:dyDescent="0.35">
      <c r="A1350">
        <v>1349</v>
      </c>
      <c r="B1350" t="s">
        <v>75</v>
      </c>
      <c r="C1350">
        <v>82</v>
      </c>
      <c r="D1350" t="s">
        <v>21</v>
      </c>
      <c r="E1350" t="s">
        <v>22</v>
      </c>
      <c r="F1350" t="s">
        <v>23</v>
      </c>
      <c r="G1350">
        <v>29</v>
      </c>
      <c r="H1350">
        <v>163.80000000000001</v>
      </c>
      <c r="I1350">
        <v>77</v>
      </c>
      <c r="J1350">
        <v>27.85</v>
      </c>
      <c r="K1350">
        <v>134.9</v>
      </c>
      <c r="L1350">
        <v>112</v>
      </c>
      <c r="M1350">
        <v>11.47</v>
      </c>
      <c r="N1350">
        <v>79.3</v>
      </c>
      <c r="O1350">
        <v>95</v>
      </c>
      <c r="P1350">
        <v>3.57</v>
      </c>
      <c r="Q1350">
        <v>8.8000000000000007</v>
      </c>
      <c r="R1350">
        <v>2</v>
      </c>
      <c r="S1350">
        <v>2.38</v>
      </c>
      <c r="T1350">
        <v>2</v>
      </c>
      <c r="U1350" t="s">
        <v>22</v>
      </c>
      <c r="V1350" t="e">
        <f>IF(#REF! = "yes", 1, 0)</f>
        <v>#REF!</v>
      </c>
      <c r="W1350" t="e">
        <f>IF(#REF! &lt;= 1, "0-1 Calls", IF(#REF! &lt;= 3, "2-3 Calls", IF(#REF! &lt;=5, "4-5 Calls", "6+ Calls")))</f>
        <v>#REF!</v>
      </c>
      <c r="X1350" t="e">
        <f>IF(#REF! &lt;= 50, "0-50", IF(#REF! &lt;=100, "51-100", IF(#REF! &lt;= 150, "101-150", "151+")))</f>
        <v>#REF!</v>
      </c>
      <c r="Y1350" t="e">
        <f>IF(#REF! &lt;= 3, "Low Charges", "High Charges")</f>
        <v>#REF!</v>
      </c>
      <c r="Z1350" t="e">
        <f>IF(#REF!&lt;=80,"Low Calls",
IF(#REF!&lt;=120,"Medium Calls","High Calls"))</f>
        <v>#REF!</v>
      </c>
      <c r="AA1350" t="e">
        <f>IF(#REF!&lt;=15,"Low Charges",
IF(#REF!&lt;=20,"Medium Charges","High Charges"))</f>
        <v>#REF!</v>
      </c>
      <c r="AB1350" t="e">
        <f>IF(AND(#REF!&gt;180, #REF!&gt;200), "Heavy Doemstic User", IF(#REF!&gt;10, "Interntional User", IF(AND(#REF!&lt;180, #REF!&lt;200,#REF!&lt;200), "Light User", "Balanced User")))</f>
        <v>#REF!</v>
      </c>
      <c r="AC1350" t="e">
        <f>IF(#REF! = 0, "No Usage", IF(#REF! &lt;= 20, "Low Usage", IF(#REF! &lt;= 40, "Medium Usgae", "High Usage")))</f>
        <v>#REF!</v>
      </c>
      <c r="AD1350" t="e">
        <f>IF(#REF!&lt;=150,"Low Usage", IF(#REF!&lt;=200,"Medium Usage", IF(#REF!&lt;=250,"High Usage","Very High Usage")))</f>
        <v>#REF!</v>
      </c>
      <c r="AE1350" t="e">
        <f>IF(#REF!&lt;=5,"Low Calls", IF(#REF!&lt;=10, "Medium Calls", "High Calls"))</f>
        <v>#REF!</v>
      </c>
      <c r="AF1350" t="e">
        <f xml:space="preserve">
IF(#REF!&gt;=4,4,0)+
IF(#REF!="yes",3,0)+
IF(#REF!="High Charges",3,0)+
IF(#REF!&gt;250,4,0)+
IF(#REF!="no",1,0)+
IF(#REF!="Heavy Domestic User",2,0)</f>
        <v>#REF!</v>
      </c>
      <c r="AG1350" t="e">
        <f>IF(#REF!&gt;=10,"High Risk", IF(#REF!&gt;=5,"Medium Risk","Low Risk"))</f>
        <v>#REF!</v>
      </c>
      <c r="AH1350" t="e">
        <f>#REF! + #REF! + #REF! + #REF!</f>
        <v>#REF!</v>
      </c>
    </row>
    <row r="1351" spans="1:34" x14ac:dyDescent="0.35">
      <c r="A1351">
        <v>1350</v>
      </c>
      <c r="B1351" t="s">
        <v>32</v>
      </c>
      <c r="C1351">
        <v>87</v>
      </c>
      <c r="D1351" t="s">
        <v>28</v>
      </c>
      <c r="E1351" t="s">
        <v>22</v>
      </c>
      <c r="F1351" t="s">
        <v>22</v>
      </c>
      <c r="G1351">
        <v>0</v>
      </c>
      <c r="H1351">
        <v>189.5</v>
      </c>
      <c r="I1351">
        <v>113</v>
      </c>
      <c r="J1351">
        <v>32.22</v>
      </c>
      <c r="K1351">
        <v>204.9</v>
      </c>
      <c r="L1351">
        <v>100</v>
      </c>
      <c r="M1351">
        <v>17.420000000000002</v>
      </c>
      <c r="N1351">
        <v>221.7</v>
      </c>
      <c r="O1351">
        <v>93</v>
      </c>
      <c r="P1351">
        <v>9.98</v>
      </c>
      <c r="Q1351">
        <v>13.4</v>
      </c>
      <c r="R1351">
        <v>3</v>
      </c>
      <c r="S1351">
        <v>3.62</v>
      </c>
      <c r="T1351">
        <v>1</v>
      </c>
      <c r="U1351" t="s">
        <v>22</v>
      </c>
      <c r="V1351" t="e">
        <f>IF(#REF! = "yes", 1, 0)</f>
        <v>#REF!</v>
      </c>
      <c r="W1351" t="e">
        <f>IF(#REF! &lt;= 1, "0-1 Calls", IF(#REF! &lt;= 3, "2-3 Calls", IF(#REF! &lt;=5, "4-5 Calls", "6+ Calls")))</f>
        <v>#REF!</v>
      </c>
      <c r="X1351" t="e">
        <f>IF(#REF! &lt;= 50, "0-50", IF(#REF! &lt;=100, "51-100", IF(#REF! &lt;= 150, "101-150", "151+")))</f>
        <v>#REF!</v>
      </c>
      <c r="Y1351" t="e">
        <f>IF(#REF! &lt;= 3, "Low Charges", "High Charges")</f>
        <v>#REF!</v>
      </c>
      <c r="Z1351" t="e">
        <f>IF(#REF!&lt;=80,"Low Calls",
IF(#REF!&lt;=120,"Medium Calls","High Calls"))</f>
        <v>#REF!</v>
      </c>
      <c r="AA1351" t="e">
        <f>IF(#REF!&lt;=15,"Low Charges",
IF(#REF!&lt;=20,"Medium Charges","High Charges"))</f>
        <v>#REF!</v>
      </c>
      <c r="AB1351" t="e">
        <f>IF(AND(#REF!&gt;180, #REF!&gt;200), "Heavy Doemstic User", IF(#REF!&gt;10, "Interntional User", IF(AND(#REF!&lt;180, #REF!&lt;200,#REF!&lt;200), "Light User", "Balanced User")))</f>
        <v>#REF!</v>
      </c>
      <c r="AC1351" t="e">
        <f>IF(#REF! = 0, "No Usage", IF(#REF! &lt;= 20, "Low Usage", IF(#REF! &lt;= 40, "Medium Usgae", "High Usage")))</f>
        <v>#REF!</v>
      </c>
      <c r="AD1351" t="e">
        <f>IF(#REF!&lt;=150,"Low Usage", IF(#REF!&lt;=200,"Medium Usage", IF(#REF!&lt;=250,"High Usage","Very High Usage")))</f>
        <v>#REF!</v>
      </c>
      <c r="AE1351" t="e">
        <f>IF(#REF!&lt;=5,"Low Calls", IF(#REF!&lt;=10, "Medium Calls", "High Calls"))</f>
        <v>#REF!</v>
      </c>
      <c r="AF1351" t="e">
        <f xml:space="preserve">
IF(#REF!&gt;=4,4,0)+
IF(#REF!="yes",3,0)+
IF(#REF!="High Charges",3,0)+
IF(#REF!&gt;250,4,0)+
IF(#REF!="no",1,0)+
IF(#REF!="Heavy Domestic User",2,0)</f>
        <v>#REF!</v>
      </c>
      <c r="AG1351" t="e">
        <f>IF(#REF!&gt;=10,"High Risk", IF(#REF!&gt;=5,"Medium Risk","Low Risk"))</f>
        <v>#REF!</v>
      </c>
      <c r="AH1351" t="e">
        <f>#REF! + #REF! + #REF! + #REF!</f>
        <v>#REF!</v>
      </c>
    </row>
    <row r="1352" spans="1:34" x14ac:dyDescent="0.35">
      <c r="A1352">
        <v>1351</v>
      </c>
      <c r="B1352" t="s">
        <v>53</v>
      </c>
      <c r="C1352">
        <v>115</v>
      </c>
      <c r="D1352" t="s">
        <v>21</v>
      </c>
      <c r="E1352" t="s">
        <v>22</v>
      </c>
      <c r="F1352" t="s">
        <v>23</v>
      </c>
      <c r="G1352">
        <v>26</v>
      </c>
      <c r="H1352">
        <v>155.19999999999999</v>
      </c>
      <c r="I1352">
        <v>110</v>
      </c>
      <c r="J1352">
        <v>26.38</v>
      </c>
      <c r="K1352">
        <v>230.9</v>
      </c>
      <c r="L1352">
        <v>133</v>
      </c>
      <c r="M1352">
        <v>19.63</v>
      </c>
      <c r="N1352">
        <v>261.60000000000002</v>
      </c>
      <c r="O1352">
        <v>100</v>
      </c>
      <c r="P1352">
        <v>11.77</v>
      </c>
      <c r="Q1352">
        <v>4.5</v>
      </c>
      <c r="R1352">
        <v>4</v>
      </c>
      <c r="S1352">
        <v>1.22</v>
      </c>
      <c r="T1352">
        <v>0</v>
      </c>
      <c r="U1352" t="s">
        <v>22</v>
      </c>
      <c r="V1352" t="e">
        <f>IF(#REF! = "yes", 1, 0)</f>
        <v>#REF!</v>
      </c>
      <c r="W1352" t="e">
        <f>IF(#REF! &lt;= 1, "0-1 Calls", IF(#REF! &lt;= 3, "2-3 Calls", IF(#REF! &lt;=5, "4-5 Calls", "6+ Calls")))</f>
        <v>#REF!</v>
      </c>
      <c r="X1352" t="e">
        <f>IF(#REF! &lt;= 50, "0-50", IF(#REF! &lt;=100, "51-100", IF(#REF! &lt;= 150, "101-150", "151+")))</f>
        <v>#REF!</v>
      </c>
      <c r="Y1352" t="e">
        <f>IF(#REF! &lt;= 3, "Low Charges", "High Charges")</f>
        <v>#REF!</v>
      </c>
      <c r="Z1352" t="e">
        <f>IF(#REF!&lt;=80,"Low Calls",
IF(#REF!&lt;=120,"Medium Calls","High Calls"))</f>
        <v>#REF!</v>
      </c>
      <c r="AA1352" t="e">
        <f>IF(#REF!&lt;=15,"Low Charges",
IF(#REF!&lt;=20,"Medium Charges","High Charges"))</f>
        <v>#REF!</v>
      </c>
      <c r="AB1352" t="e">
        <f>IF(AND(#REF!&gt;180, #REF!&gt;200), "Heavy Doemstic User", IF(#REF!&gt;10, "Interntional User", IF(AND(#REF!&lt;180, #REF!&lt;200,#REF!&lt;200), "Light User", "Balanced User")))</f>
        <v>#REF!</v>
      </c>
      <c r="AC1352" t="e">
        <f>IF(#REF! = 0, "No Usage", IF(#REF! &lt;= 20, "Low Usage", IF(#REF! &lt;= 40, "Medium Usgae", "High Usage")))</f>
        <v>#REF!</v>
      </c>
      <c r="AD1352" t="e">
        <f>IF(#REF!&lt;=150,"Low Usage", IF(#REF!&lt;=200,"Medium Usage", IF(#REF!&lt;=250,"High Usage","Very High Usage")))</f>
        <v>#REF!</v>
      </c>
      <c r="AE1352" t="e">
        <f>IF(#REF!&lt;=5,"Low Calls", IF(#REF!&lt;=10, "Medium Calls", "High Calls"))</f>
        <v>#REF!</v>
      </c>
      <c r="AF1352" t="e">
        <f xml:space="preserve">
IF(#REF!&gt;=4,4,0)+
IF(#REF!="yes",3,0)+
IF(#REF!="High Charges",3,0)+
IF(#REF!&gt;250,4,0)+
IF(#REF!="no",1,0)+
IF(#REF!="Heavy Domestic User",2,0)</f>
        <v>#REF!</v>
      </c>
      <c r="AG1352" t="e">
        <f>IF(#REF!&gt;=10,"High Risk", IF(#REF!&gt;=5,"Medium Risk","Low Risk"))</f>
        <v>#REF!</v>
      </c>
      <c r="AH1352" t="e">
        <f>#REF! + #REF! + #REF! + #REF!</f>
        <v>#REF!</v>
      </c>
    </row>
    <row r="1353" spans="1:34" x14ac:dyDescent="0.35">
      <c r="A1353">
        <v>1352</v>
      </c>
      <c r="B1353" t="s">
        <v>64</v>
      </c>
      <c r="C1353">
        <v>121</v>
      </c>
      <c r="D1353" t="s">
        <v>21</v>
      </c>
      <c r="E1353" t="s">
        <v>23</v>
      </c>
      <c r="F1353" t="s">
        <v>23</v>
      </c>
      <c r="G1353">
        <v>44</v>
      </c>
      <c r="H1353">
        <v>254.1</v>
      </c>
      <c r="I1353">
        <v>127</v>
      </c>
      <c r="J1353">
        <v>43.2</v>
      </c>
      <c r="K1353">
        <v>180.2</v>
      </c>
      <c r="L1353">
        <v>108</v>
      </c>
      <c r="M1353">
        <v>15.32</v>
      </c>
      <c r="N1353">
        <v>196.2</v>
      </c>
      <c r="O1353">
        <v>129</v>
      </c>
      <c r="P1353">
        <v>8.83</v>
      </c>
      <c r="Q1353">
        <v>8.6999999999999993</v>
      </c>
      <c r="R1353">
        <v>4</v>
      </c>
      <c r="S1353">
        <v>2.35</v>
      </c>
      <c r="T1353">
        <v>3</v>
      </c>
      <c r="U1353" t="s">
        <v>22</v>
      </c>
      <c r="V1353" t="e">
        <f>IF(#REF! = "yes", 1, 0)</f>
        <v>#REF!</v>
      </c>
      <c r="W1353" t="e">
        <f>IF(#REF! &lt;= 1, "0-1 Calls", IF(#REF! &lt;= 3, "2-3 Calls", IF(#REF! &lt;=5, "4-5 Calls", "6+ Calls")))</f>
        <v>#REF!</v>
      </c>
      <c r="X1353" t="e">
        <f>IF(#REF! &lt;= 50, "0-50", IF(#REF! &lt;=100, "51-100", IF(#REF! &lt;= 150, "101-150", "151+")))</f>
        <v>#REF!</v>
      </c>
      <c r="Y1353" t="e">
        <f>IF(#REF! &lt;= 3, "Low Charges", "High Charges")</f>
        <v>#REF!</v>
      </c>
      <c r="Z1353" t="e">
        <f>IF(#REF!&lt;=80,"Low Calls",
IF(#REF!&lt;=120,"Medium Calls","High Calls"))</f>
        <v>#REF!</v>
      </c>
      <c r="AA1353" t="e">
        <f>IF(#REF!&lt;=15,"Low Charges",
IF(#REF!&lt;=20,"Medium Charges","High Charges"))</f>
        <v>#REF!</v>
      </c>
      <c r="AB1353" t="e">
        <f>IF(AND(#REF!&gt;180, #REF!&gt;200), "Heavy Doemstic User", IF(#REF!&gt;10, "Interntional User", IF(AND(#REF!&lt;180, #REF!&lt;200,#REF!&lt;200), "Light User", "Balanced User")))</f>
        <v>#REF!</v>
      </c>
      <c r="AC1353" t="e">
        <f>IF(#REF! = 0, "No Usage", IF(#REF! &lt;= 20, "Low Usage", IF(#REF! &lt;= 40, "Medium Usgae", "High Usage")))</f>
        <v>#REF!</v>
      </c>
      <c r="AD1353" t="e">
        <f>IF(#REF!&lt;=150,"Low Usage", IF(#REF!&lt;=200,"Medium Usage", IF(#REF!&lt;=250,"High Usage","Very High Usage")))</f>
        <v>#REF!</v>
      </c>
      <c r="AE1353" t="e">
        <f>IF(#REF!&lt;=5,"Low Calls", IF(#REF!&lt;=10, "Medium Calls", "High Calls"))</f>
        <v>#REF!</v>
      </c>
      <c r="AF1353" t="e">
        <f xml:space="preserve">
IF(#REF!&gt;=4,4,0)+
IF(#REF!="yes",3,0)+
IF(#REF!="High Charges",3,0)+
IF(#REF!&gt;250,4,0)+
IF(#REF!="no",1,0)+
IF(#REF!="Heavy Domestic User",2,0)</f>
        <v>#REF!</v>
      </c>
      <c r="AG1353" t="e">
        <f>IF(#REF!&gt;=10,"High Risk", IF(#REF!&gt;=5,"Medium Risk","Low Risk"))</f>
        <v>#REF!</v>
      </c>
      <c r="AH1353" t="e">
        <f>#REF! + #REF! + #REF! + #REF!</f>
        <v>#REF!</v>
      </c>
    </row>
    <row r="1354" spans="1:34" x14ac:dyDescent="0.35">
      <c r="A1354">
        <v>1353</v>
      </c>
      <c r="B1354" t="s">
        <v>31</v>
      </c>
      <c r="C1354">
        <v>54</v>
      </c>
      <c r="D1354" t="s">
        <v>28</v>
      </c>
      <c r="E1354" t="s">
        <v>22</v>
      </c>
      <c r="F1354" t="s">
        <v>23</v>
      </c>
      <c r="G1354">
        <v>33</v>
      </c>
      <c r="H1354">
        <v>112</v>
      </c>
      <c r="I1354">
        <v>90</v>
      </c>
      <c r="J1354">
        <v>19.04</v>
      </c>
      <c r="K1354">
        <v>208</v>
      </c>
      <c r="L1354">
        <v>112</v>
      </c>
      <c r="M1354">
        <v>17.68</v>
      </c>
      <c r="N1354">
        <v>150.30000000000001</v>
      </c>
      <c r="O1354">
        <v>83</v>
      </c>
      <c r="P1354">
        <v>6.76</v>
      </c>
      <c r="Q1354">
        <v>11.3</v>
      </c>
      <c r="R1354">
        <v>4</v>
      </c>
      <c r="S1354">
        <v>3.05</v>
      </c>
      <c r="T1354">
        <v>2</v>
      </c>
      <c r="U1354" t="s">
        <v>22</v>
      </c>
      <c r="V1354" t="e">
        <f>IF(#REF! = "yes", 1, 0)</f>
        <v>#REF!</v>
      </c>
      <c r="W1354" t="e">
        <f>IF(#REF! &lt;= 1, "0-1 Calls", IF(#REF! &lt;= 3, "2-3 Calls", IF(#REF! &lt;=5, "4-5 Calls", "6+ Calls")))</f>
        <v>#REF!</v>
      </c>
      <c r="X1354" t="e">
        <f>IF(#REF! &lt;= 50, "0-50", IF(#REF! &lt;=100, "51-100", IF(#REF! &lt;= 150, "101-150", "151+")))</f>
        <v>#REF!</v>
      </c>
      <c r="Y1354" t="e">
        <f>IF(#REF! &lt;= 3, "Low Charges", "High Charges")</f>
        <v>#REF!</v>
      </c>
      <c r="Z1354" t="e">
        <f>IF(#REF!&lt;=80,"Low Calls",
IF(#REF!&lt;=120,"Medium Calls","High Calls"))</f>
        <v>#REF!</v>
      </c>
      <c r="AA1354" t="e">
        <f>IF(#REF!&lt;=15,"Low Charges",
IF(#REF!&lt;=20,"Medium Charges","High Charges"))</f>
        <v>#REF!</v>
      </c>
      <c r="AB1354" t="e">
        <f>IF(AND(#REF!&gt;180, #REF!&gt;200), "Heavy Doemstic User", IF(#REF!&gt;10, "Interntional User", IF(AND(#REF!&lt;180, #REF!&lt;200,#REF!&lt;200), "Light User", "Balanced User")))</f>
        <v>#REF!</v>
      </c>
      <c r="AC1354" t="e">
        <f>IF(#REF! = 0, "No Usage", IF(#REF! &lt;= 20, "Low Usage", IF(#REF! &lt;= 40, "Medium Usgae", "High Usage")))</f>
        <v>#REF!</v>
      </c>
      <c r="AD1354" t="e">
        <f>IF(#REF!&lt;=150,"Low Usage", IF(#REF!&lt;=200,"Medium Usage", IF(#REF!&lt;=250,"High Usage","Very High Usage")))</f>
        <v>#REF!</v>
      </c>
      <c r="AE1354" t="e">
        <f>IF(#REF!&lt;=5,"Low Calls", IF(#REF!&lt;=10, "Medium Calls", "High Calls"))</f>
        <v>#REF!</v>
      </c>
      <c r="AF1354" t="e">
        <f xml:space="preserve">
IF(#REF!&gt;=4,4,0)+
IF(#REF!="yes",3,0)+
IF(#REF!="High Charges",3,0)+
IF(#REF!&gt;250,4,0)+
IF(#REF!="no",1,0)+
IF(#REF!="Heavy Domestic User",2,0)</f>
        <v>#REF!</v>
      </c>
      <c r="AG1354" t="e">
        <f>IF(#REF!&gt;=10,"High Risk", IF(#REF!&gt;=5,"Medium Risk","Low Risk"))</f>
        <v>#REF!</v>
      </c>
      <c r="AH1354" t="e">
        <f>#REF! + #REF! + #REF! + #REF!</f>
        <v>#REF!</v>
      </c>
    </row>
    <row r="1355" spans="1:34" x14ac:dyDescent="0.35">
      <c r="A1355">
        <v>1354</v>
      </c>
      <c r="B1355" t="s">
        <v>66</v>
      </c>
      <c r="C1355">
        <v>105</v>
      </c>
      <c r="D1355" t="s">
        <v>25</v>
      </c>
      <c r="E1355" t="s">
        <v>22</v>
      </c>
      <c r="F1355" t="s">
        <v>22</v>
      </c>
      <c r="G1355">
        <v>0</v>
      </c>
      <c r="H1355">
        <v>115.5</v>
      </c>
      <c r="I1355">
        <v>73</v>
      </c>
      <c r="J1355">
        <v>19.64</v>
      </c>
      <c r="K1355">
        <v>267.3</v>
      </c>
      <c r="L1355">
        <v>83</v>
      </c>
      <c r="M1355">
        <v>22.72</v>
      </c>
      <c r="N1355">
        <v>114.2</v>
      </c>
      <c r="O1355">
        <v>90</v>
      </c>
      <c r="P1355">
        <v>5.14</v>
      </c>
      <c r="Q1355">
        <v>13.3</v>
      </c>
      <c r="R1355">
        <v>5</v>
      </c>
      <c r="S1355">
        <v>3.59</v>
      </c>
      <c r="T1355">
        <v>3</v>
      </c>
      <c r="U1355" t="s">
        <v>22</v>
      </c>
      <c r="V1355" t="e">
        <f>IF(#REF! = "yes", 1, 0)</f>
        <v>#REF!</v>
      </c>
      <c r="W1355" t="e">
        <f>IF(#REF! &lt;= 1, "0-1 Calls", IF(#REF! &lt;= 3, "2-3 Calls", IF(#REF! &lt;=5, "4-5 Calls", "6+ Calls")))</f>
        <v>#REF!</v>
      </c>
      <c r="X1355" t="e">
        <f>IF(#REF! &lt;= 50, "0-50", IF(#REF! &lt;=100, "51-100", IF(#REF! &lt;= 150, "101-150", "151+")))</f>
        <v>#REF!</v>
      </c>
      <c r="Y1355" t="e">
        <f>IF(#REF! &lt;= 3, "Low Charges", "High Charges")</f>
        <v>#REF!</v>
      </c>
      <c r="Z1355" t="e">
        <f>IF(#REF!&lt;=80,"Low Calls",
IF(#REF!&lt;=120,"Medium Calls","High Calls"))</f>
        <v>#REF!</v>
      </c>
      <c r="AA1355" t="e">
        <f>IF(#REF!&lt;=15,"Low Charges",
IF(#REF!&lt;=20,"Medium Charges","High Charges"))</f>
        <v>#REF!</v>
      </c>
      <c r="AB1355" t="e">
        <f>IF(AND(#REF!&gt;180, #REF!&gt;200), "Heavy Doemstic User", IF(#REF!&gt;10, "Interntional User", IF(AND(#REF!&lt;180, #REF!&lt;200,#REF!&lt;200), "Light User", "Balanced User")))</f>
        <v>#REF!</v>
      </c>
      <c r="AC1355" t="e">
        <f>IF(#REF! = 0, "No Usage", IF(#REF! &lt;= 20, "Low Usage", IF(#REF! &lt;= 40, "Medium Usgae", "High Usage")))</f>
        <v>#REF!</v>
      </c>
      <c r="AD1355" t="e">
        <f>IF(#REF!&lt;=150,"Low Usage", IF(#REF!&lt;=200,"Medium Usage", IF(#REF!&lt;=250,"High Usage","Very High Usage")))</f>
        <v>#REF!</v>
      </c>
      <c r="AE1355" t="e">
        <f>IF(#REF!&lt;=5,"Low Calls", IF(#REF!&lt;=10, "Medium Calls", "High Calls"))</f>
        <v>#REF!</v>
      </c>
      <c r="AF1355" t="e">
        <f xml:space="preserve">
IF(#REF!&gt;=4,4,0)+
IF(#REF!="yes",3,0)+
IF(#REF!="High Charges",3,0)+
IF(#REF!&gt;250,4,0)+
IF(#REF!="no",1,0)+
IF(#REF!="Heavy Domestic User",2,0)</f>
        <v>#REF!</v>
      </c>
      <c r="AG1355" t="e">
        <f>IF(#REF!&gt;=10,"High Risk", IF(#REF!&gt;=5,"Medium Risk","Low Risk"))</f>
        <v>#REF!</v>
      </c>
      <c r="AH1355" t="e">
        <f>#REF! + #REF! + #REF! + #REF!</f>
        <v>#REF!</v>
      </c>
    </row>
    <row r="1356" spans="1:34" x14ac:dyDescent="0.35">
      <c r="A1356">
        <v>1355</v>
      </c>
      <c r="B1356" t="s">
        <v>34</v>
      </c>
      <c r="C1356">
        <v>73</v>
      </c>
      <c r="D1356" t="s">
        <v>21</v>
      </c>
      <c r="E1356" t="s">
        <v>22</v>
      </c>
      <c r="F1356" t="s">
        <v>22</v>
      </c>
      <c r="G1356">
        <v>0</v>
      </c>
      <c r="H1356">
        <v>137.1</v>
      </c>
      <c r="I1356">
        <v>102</v>
      </c>
      <c r="J1356">
        <v>23.31</v>
      </c>
      <c r="K1356">
        <v>210.8</v>
      </c>
      <c r="L1356">
        <v>114</v>
      </c>
      <c r="M1356">
        <v>17.920000000000002</v>
      </c>
      <c r="N1356">
        <v>191.4</v>
      </c>
      <c r="O1356">
        <v>120</v>
      </c>
      <c r="P1356">
        <v>8.61</v>
      </c>
      <c r="Q1356">
        <v>11.1</v>
      </c>
      <c r="R1356">
        <v>4</v>
      </c>
      <c r="S1356">
        <v>3</v>
      </c>
      <c r="T1356">
        <v>1</v>
      </c>
      <c r="U1356" t="s">
        <v>22</v>
      </c>
      <c r="V1356" t="e">
        <f>IF(#REF! = "yes", 1, 0)</f>
        <v>#REF!</v>
      </c>
      <c r="W1356" t="e">
        <f>IF(#REF! &lt;= 1, "0-1 Calls", IF(#REF! &lt;= 3, "2-3 Calls", IF(#REF! &lt;=5, "4-5 Calls", "6+ Calls")))</f>
        <v>#REF!</v>
      </c>
      <c r="X1356" t="e">
        <f>IF(#REF! &lt;= 50, "0-50", IF(#REF! &lt;=100, "51-100", IF(#REF! &lt;= 150, "101-150", "151+")))</f>
        <v>#REF!</v>
      </c>
      <c r="Y1356" t="e">
        <f>IF(#REF! &lt;= 3, "Low Charges", "High Charges")</f>
        <v>#REF!</v>
      </c>
      <c r="Z1356" t="e">
        <f>IF(#REF!&lt;=80,"Low Calls",
IF(#REF!&lt;=120,"Medium Calls","High Calls"))</f>
        <v>#REF!</v>
      </c>
      <c r="AA1356" t="e">
        <f>IF(#REF!&lt;=15,"Low Charges",
IF(#REF!&lt;=20,"Medium Charges","High Charges"))</f>
        <v>#REF!</v>
      </c>
      <c r="AB1356" t="e">
        <f>IF(AND(#REF!&gt;180, #REF!&gt;200), "Heavy Doemstic User", IF(#REF!&gt;10, "Interntional User", IF(AND(#REF!&lt;180, #REF!&lt;200,#REF!&lt;200), "Light User", "Balanced User")))</f>
        <v>#REF!</v>
      </c>
      <c r="AC1356" t="e">
        <f>IF(#REF! = 0, "No Usage", IF(#REF! &lt;= 20, "Low Usage", IF(#REF! &lt;= 40, "Medium Usgae", "High Usage")))</f>
        <v>#REF!</v>
      </c>
      <c r="AD1356" t="e">
        <f>IF(#REF!&lt;=150,"Low Usage", IF(#REF!&lt;=200,"Medium Usage", IF(#REF!&lt;=250,"High Usage","Very High Usage")))</f>
        <v>#REF!</v>
      </c>
      <c r="AE1356" t="e">
        <f>IF(#REF!&lt;=5,"Low Calls", IF(#REF!&lt;=10, "Medium Calls", "High Calls"))</f>
        <v>#REF!</v>
      </c>
      <c r="AF1356" t="e">
        <f xml:space="preserve">
IF(#REF!&gt;=4,4,0)+
IF(#REF!="yes",3,0)+
IF(#REF!="High Charges",3,0)+
IF(#REF!&gt;250,4,0)+
IF(#REF!="no",1,0)+
IF(#REF!="Heavy Domestic User",2,0)</f>
        <v>#REF!</v>
      </c>
      <c r="AG1356" t="e">
        <f>IF(#REF!&gt;=10,"High Risk", IF(#REF!&gt;=5,"Medium Risk","Low Risk"))</f>
        <v>#REF!</v>
      </c>
      <c r="AH1356" t="e">
        <f>#REF! + #REF! + #REF! + #REF!</f>
        <v>#REF!</v>
      </c>
    </row>
    <row r="1357" spans="1:34" x14ac:dyDescent="0.35">
      <c r="A1357">
        <v>1356</v>
      </c>
      <c r="B1357" t="s">
        <v>74</v>
      </c>
      <c r="C1357">
        <v>95</v>
      </c>
      <c r="D1357" t="s">
        <v>21</v>
      </c>
      <c r="E1357" t="s">
        <v>22</v>
      </c>
      <c r="F1357" t="s">
        <v>22</v>
      </c>
      <c r="G1357">
        <v>0</v>
      </c>
      <c r="H1357">
        <v>198.4</v>
      </c>
      <c r="I1357">
        <v>113</v>
      </c>
      <c r="J1357">
        <v>33.729999999999997</v>
      </c>
      <c r="K1357">
        <v>235.9</v>
      </c>
      <c r="L1357">
        <v>144</v>
      </c>
      <c r="M1357">
        <v>20.05</v>
      </c>
      <c r="N1357">
        <v>325.60000000000002</v>
      </c>
      <c r="O1357">
        <v>99</v>
      </c>
      <c r="P1357">
        <v>14.65</v>
      </c>
      <c r="Q1357">
        <v>10.1</v>
      </c>
      <c r="R1357">
        <v>3</v>
      </c>
      <c r="S1357">
        <v>2.73</v>
      </c>
      <c r="T1357">
        <v>0</v>
      </c>
      <c r="U1357" t="s">
        <v>22</v>
      </c>
      <c r="V1357" t="e">
        <f>IF(#REF! = "yes", 1, 0)</f>
        <v>#REF!</v>
      </c>
      <c r="W1357" t="e">
        <f>IF(#REF! &lt;= 1, "0-1 Calls", IF(#REF! &lt;= 3, "2-3 Calls", IF(#REF! &lt;=5, "4-5 Calls", "6+ Calls")))</f>
        <v>#REF!</v>
      </c>
      <c r="X1357" t="e">
        <f>IF(#REF! &lt;= 50, "0-50", IF(#REF! &lt;=100, "51-100", IF(#REF! &lt;= 150, "101-150", "151+")))</f>
        <v>#REF!</v>
      </c>
      <c r="Y1357" t="e">
        <f>IF(#REF! &lt;= 3, "Low Charges", "High Charges")</f>
        <v>#REF!</v>
      </c>
      <c r="Z1357" t="e">
        <f>IF(#REF!&lt;=80,"Low Calls",
IF(#REF!&lt;=120,"Medium Calls","High Calls"))</f>
        <v>#REF!</v>
      </c>
      <c r="AA1357" t="e">
        <f>IF(#REF!&lt;=15,"Low Charges",
IF(#REF!&lt;=20,"Medium Charges","High Charges"))</f>
        <v>#REF!</v>
      </c>
      <c r="AB1357" t="e">
        <f>IF(AND(#REF!&gt;180, #REF!&gt;200), "Heavy Doemstic User", IF(#REF!&gt;10, "Interntional User", IF(AND(#REF!&lt;180, #REF!&lt;200,#REF!&lt;200), "Light User", "Balanced User")))</f>
        <v>#REF!</v>
      </c>
      <c r="AC1357" t="e">
        <f>IF(#REF! = 0, "No Usage", IF(#REF! &lt;= 20, "Low Usage", IF(#REF! &lt;= 40, "Medium Usgae", "High Usage")))</f>
        <v>#REF!</v>
      </c>
      <c r="AD1357" t="e">
        <f>IF(#REF!&lt;=150,"Low Usage", IF(#REF!&lt;=200,"Medium Usage", IF(#REF!&lt;=250,"High Usage","Very High Usage")))</f>
        <v>#REF!</v>
      </c>
      <c r="AE1357" t="e">
        <f>IF(#REF!&lt;=5,"Low Calls", IF(#REF!&lt;=10, "Medium Calls", "High Calls"))</f>
        <v>#REF!</v>
      </c>
      <c r="AF1357" t="e">
        <f xml:space="preserve">
IF(#REF!&gt;=4,4,0)+
IF(#REF!="yes",3,0)+
IF(#REF!="High Charges",3,0)+
IF(#REF!&gt;250,4,0)+
IF(#REF!="no",1,0)+
IF(#REF!="Heavy Domestic User",2,0)</f>
        <v>#REF!</v>
      </c>
      <c r="AG1357" t="e">
        <f>IF(#REF!&gt;=10,"High Risk", IF(#REF!&gt;=5,"Medium Risk","Low Risk"))</f>
        <v>#REF!</v>
      </c>
      <c r="AH1357" t="e">
        <f>#REF! + #REF! + #REF! + #REF!</f>
        <v>#REF!</v>
      </c>
    </row>
    <row r="1358" spans="1:34" x14ac:dyDescent="0.35">
      <c r="A1358">
        <v>1357</v>
      </c>
      <c r="B1358" t="s">
        <v>61</v>
      </c>
      <c r="C1358">
        <v>21</v>
      </c>
      <c r="D1358" t="s">
        <v>21</v>
      </c>
      <c r="E1358" t="s">
        <v>22</v>
      </c>
      <c r="F1358" t="s">
        <v>23</v>
      </c>
      <c r="G1358">
        <v>19</v>
      </c>
      <c r="H1358">
        <v>132.69999999999999</v>
      </c>
      <c r="I1358">
        <v>94</v>
      </c>
      <c r="J1358">
        <v>22.56</v>
      </c>
      <c r="K1358">
        <v>204.6</v>
      </c>
      <c r="L1358">
        <v>101</v>
      </c>
      <c r="M1358">
        <v>17.39</v>
      </c>
      <c r="N1358">
        <v>154.69999999999999</v>
      </c>
      <c r="O1358">
        <v>78</v>
      </c>
      <c r="P1358">
        <v>6.96</v>
      </c>
      <c r="Q1358">
        <v>12.9</v>
      </c>
      <c r="R1358">
        <v>7</v>
      </c>
      <c r="S1358">
        <v>3.48</v>
      </c>
      <c r="T1358">
        <v>3</v>
      </c>
      <c r="U1358" t="s">
        <v>22</v>
      </c>
      <c r="V1358" t="e">
        <f>IF(#REF! = "yes", 1, 0)</f>
        <v>#REF!</v>
      </c>
      <c r="W1358" t="e">
        <f>IF(#REF! &lt;= 1, "0-1 Calls", IF(#REF! &lt;= 3, "2-3 Calls", IF(#REF! &lt;=5, "4-5 Calls", "6+ Calls")))</f>
        <v>#REF!</v>
      </c>
      <c r="X1358" t="e">
        <f>IF(#REF! &lt;= 50, "0-50", IF(#REF! &lt;=100, "51-100", IF(#REF! &lt;= 150, "101-150", "151+")))</f>
        <v>#REF!</v>
      </c>
      <c r="Y1358" t="e">
        <f>IF(#REF! &lt;= 3, "Low Charges", "High Charges")</f>
        <v>#REF!</v>
      </c>
      <c r="Z1358" t="e">
        <f>IF(#REF!&lt;=80,"Low Calls",
IF(#REF!&lt;=120,"Medium Calls","High Calls"))</f>
        <v>#REF!</v>
      </c>
      <c r="AA1358" t="e">
        <f>IF(#REF!&lt;=15,"Low Charges",
IF(#REF!&lt;=20,"Medium Charges","High Charges"))</f>
        <v>#REF!</v>
      </c>
      <c r="AB1358" t="e">
        <f>IF(AND(#REF!&gt;180, #REF!&gt;200), "Heavy Doemstic User", IF(#REF!&gt;10, "Interntional User", IF(AND(#REF!&lt;180, #REF!&lt;200,#REF!&lt;200), "Light User", "Balanced User")))</f>
        <v>#REF!</v>
      </c>
      <c r="AC1358" t="e">
        <f>IF(#REF! = 0, "No Usage", IF(#REF! &lt;= 20, "Low Usage", IF(#REF! &lt;= 40, "Medium Usgae", "High Usage")))</f>
        <v>#REF!</v>
      </c>
      <c r="AD1358" t="e">
        <f>IF(#REF!&lt;=150,"Low Usage", IF(#REF!&lt;=200,"Medium Usage", IF(#REF!&lt;=250,"High Usage","Very High Usage")))</f>
        <v>#REF!</v>
      </c>
      <c r="AE1358" t="e">
        <f>IF(#REF!&lt;=5,"Low Calls", IF(#REF!&lt;=10, "Medium Calls", "High Calls"))</f>
        <v>#REF!</v>
      </c>
      <c r="AF1358" t="e">
        <f xml:space="preserve">
IF(#REF!&gt;=4,4,0)+
IF(#REF!="yes",3,0)+
IF(#REF!="High Charges",3,0)+
IF(#REF!&gt;250,4,0)+
IF(#REF!="no",1,0)+
IF(#REF!="Heavy Domestic User",2,0)</f>
        <v>#REF!</v>
      </c>
      <c r="AG1358" t="e">
        <f>IF(#REF!&gt;=10,"High Risk", IF(#REF!&gt;=5,"Medium Risk","Low Risk"))</f>
        <v>#REF!</v>
      </c>
      <c r="AH1358" t="e">
        <f>#REF! + #REF! + #REF! + #REF!</f>
        <v>#REF!</v>
      </c>
    </row>
    <row r="1359" spans="1:34" x14ac:dyDescent="0.35">
      <c r="A1359">
        <v>1358</v>
      </c>
      <c r="B1359" t="s">
        <v>52</v>
      </c>
      <c r="C1359">
        <v>163</v>
      </c>
      <c r="D1359" t="s">
        <v>25</v>
      </c>
      <c r="E1359" t="s">
        <v>22</v>
      </c>
      <c r="F1359" t="s">
        <v>23</v>
      </c>
      <c r="G1359">
        <v>25</v>
      </c>
      <c r="H1359">
        <v>219.6</v>
      </c>
      <c r="I1359">
        <v>99</v>
      </c>
      <c r="J1359">
        <v>37.33</v>
      </c>
      <c r="K1359">
        <v>210.4</v>
      </c>
      <c r="L1359">
        <v>99</v>
      </c>
      <c r="M1359">
        <v>17.88</v>
      </c>
      <c r="N1359">
        <v>242.7</v>
      </c>
      <c r="O1359">
        <v>88</v>
      </c>
      <c r="P1359">
        <v>10.92</v>
      </c>
      <c r="Q1359">
        <v>13.8</v>
      </c>
      <c r="R1359">
        <v>8</v>
      </c>
      <c r="S1359">
        <v>3.73</v>
      </c>
      <c r="T1359">
        <v>2</v>
      </c>
      <c r="U1359" t="s">
        <v>22</v>
      </c>
      <c r="V1359" t="e">
        <f>IF(#REF! = "yes", 1, 0)</f>
        <v>#REF!</v>
      </c>
      <c r="W1359" t="e">
        <f>IF(#REF! &lt;= 1, "0-1 Calls", IF(#REF! &lt;= 3, "2-3 Calls", IF(#REF! &lt;=5, "4-5 Calls", "6+ Calls")))</f>
        <v>#REF!</v>
      </c>
      <c r="X1359" t="e">
        <f>IF(#REF! &lt;= 50, "0-50", IF(#REF! &lt;=100, "51-100", IF(#REF! &lt;= 150, "101-150", "151+")))</f>
        <v>#REF!</v>
      </c>
      <c r="Y1359" t="e">
        <f>IF(#REF! &lt;= 3, "Low Charges", "High Charges")</f>
        <v>#REF!</v>
      </c>
      <c r="Z1359" t="e">
        <f>IF(#REF!&lt;=80,"Low Calls",
IF(#REF!&lt;=120,"Medium Calls","High Calls"))</f>
        <v>#REF!</v>
      </c>
      <c r="AA1359" t="e">
        <f>IF(#REF!&lt;=15,"Low Charges",
IF(#REF!&lt;=20,"Medium Charges","High Charges"))</f>
        <v>#REF!</v>
      </c>
      <c r="AB1359" t="e">
        <f>IF(AND(#REF!&gt;180, #REF!&gt;200), "Heavy Doemstic User", IF(#REF!&gt;10, "Interntional User", IF(AND(#REF!&lt;180, #REF!&lt;200,#REF!&lt;200), "Light User", "Balanced User")))</f>
        <v>#REF!</v>
      </c>
      <c r="AC1359" t="e">
        <f>IF(#REF! = 0, "No Usage", IF(#REF! &lt;= 20, "Low Usage", IF(#REF! &lt;= 40, "Medium Usgae", "High Usage")))</f>
        <v>#REF!</v>
      </c>
      <c r="AD1359" t="e">
        <f>IF(#REF!&lt;=150,"Low Usage", IF(#REF!&lt;=200,"Medium Usage", IF(#REF!&lt;=250,"High Usage","Very High Usage")))</f>
        <v>#REF!</v>
      </c>
      <c r="AE1359" t="e">
        <f>IF(#REF!&lt;=5,"Low Calls", IF(#REF!&lt;=10, "Medium Calls", "High Calls"))</f>
        <v>#REF!</v>
      </c>
      <c r="AF1359" t="e">
        <f xml:space="preserve">
IF(#REF!&gt;=4,4,0)+
IF(#REF!="yes",3,0)+
IF(#REF!="High Charges",3,0)+
IF(#REF!&gt;250,4,0)+
IF(#REF!="no",1,0)+
IF(#REF!="Heavy Domestic User",2,0)</f>
        <v>#REF!</v>
      </c>
      <c r="AG1359" t="e">
        <f>IF(#REF!&gt;=10,"High Risk", IF(#REF!&gt;=5,"Medium Risk","Low Risk"))</f>
        <v>#REF!</v>
      </c>
      <c r="AH1359" t="e">
        <f>#REF! + #REF! + #REF! + #REF!</f>
        <v>#REF!</v>
      </c>
    </row>
    <row r="1360" spans="1:34" x14ac:dyDescent="0.35">
      <c r="A1360">
        <v>1359</v>
      </c>
      <c r="B1360" t="s">
        <v>64</v>
      </c>
      <c r="C1360">
        <v>57</v>
      </c>
      <c r="D1360" t="s">
        <v>21</v>
      </c>
      <c r="E1360" t="s">
        <v>22</v>
      </c>
      <c r="F1360" t="s">
        <v>22</v>
      </c>
      <c r="G1360">
        <v>0</v>
      </c>
      <c r="H1360">
        <v>169.6</v>
      </c>
      <c r="I1360">
        <v>96</v>
      </c>
      <c r="J1360">
        <v>28.83</v>
      </c>
      <c r="K1360">
        <v>234.7</v>
      </c>
      <c r="L1360">
        <v>112</v>
      </c>
      <c r="M1360">
        <v>19.95</v>
      </c>
      <c r="N1360">
        <v>285.39999999999998</v>
      </c>
      <c r="O1360">
        <v>83</v>
      </c>
      <c r="P1360">
        <v>12.84</v>
      </c>
      <c r="Q1360">
        <v>11.2</v>
      </c>
      <c r="R1360">
        <v>4</v>
      </c>
      <c r="S1360">
        <v>3.02</v>
      </c>
      <c r="T1360">
        <v>0</v>
      </c>
      <c r="U1360" t="s">
        <v>22</v>
      </c>
      <c r="V1360" t="e">
        <f>IF(#REF! = "yes", 1, 0)</f>
        <v>#REF!</v>
      </c>
      <c r="W1360" t="e">
        <f>IF(#REF! &lt;= 1, "0-1 Calls", IF(#REF! &lt;= 3, "2-3 Calls", IF(#REF! &lt;=5, "4-5 Calls", "6+ Calls")))</f>
        <v>#REF!</v>
      </c>
      <c r="X1360" t="e">
        <f>IF(#REF! &lt;= 50, "0-50", IF(#REF! &lt;=100, "51-100", IF(#REF! &lt;= 150, "101-150", "151+")))</f>
        <v>#REF!</v>
      </c>
      <c r="Y1360" t="e">
        <f>IF(#REF! &lt;= 3, "Low Charges", "High Charges")</f>
        <v>#REF!</v>
      </c>
      <c r="Z1360" t="e">
        <f>IF(#REF!&lt;=80,"Low Calls",
IF(#REF!&lt;=120,"Medium Calls","High Calls"))</f>
        <v>#REF!</v>
      </c>
      <c r="AA1360" t="e">
        <f>IF(#REF!&lt;=15,"Low Charges",
IF(#REF!&lt;=20,"Medium Charges","High Charges"))</f>
        <v>#REF!</v>
      </c>
      <c r="AB1360" t="e">
        <f>IF(AND(#REF!&gt;180, #REF!&gt;200), "Heavy Doemstic User", IF(#REF!&gt;10, "Interntional User", IF(AND(#REF!&lt;180, #REF!&lt;200,#REF!&lt;200), "Light User", "Balanced User")))</f>
        <v>#REF!</v>
      </c>
      <c r="AC1360" t="e">
        <f>IF(#REF! = 0, "No Usage", IF(#REF! &lt;= 20, "Low Usage", IF(#REF! &lt;= 40, "Medium Usgae", "High Usage")))</f>
        <v>#REF!</v>
      </c>
      <c r="AD1360" t="e">
        <f>IF(#REF!&lt;=150,"Low Usage", IF(#REF!&lt;=200,"Medium Usage", IF(#REF!&lt;=250,"High Usage","Very High Usage")))</f>
        <v>#REF!</v>
      </c>
      <c r="AE1360" t="e">
        <f>IF(#REF!&lt;=5,"Low Calls", IF(#REF!&lt;=10, "Medium Calls", "High Calls"))</f>
        <v>#REF!</v>
      </c>
      <c r="AF1360" t="e">
        <f xml:space="preserve">
IF(#REF!&gt;=4,4,0)+
IF(#REF!="yes",3,0)+
IF(#REF!="High Charges",3,0)+
IF(#REF!&gt;250,4,0)+
IF(#REF!="no",1,0)+
IF(#REF!="Heavy Domestic User",2,0)</f>
        <v>#REF!</v>
      </c>
      <c r="AG1360" t="e">
        <f>IF(#REF!&gt;=10,"High Risk", IF(#REF!&gt;=5,"Medium Risk","Low Risk"))</f>
        <v>#REF!</v>
      </c>
      <c r="AH1360" t="e">
        <f>#REF! + #REF! + #REF! + #REF!</f>
        <v>#REF!</v>
      </c>
    </row>
    <row r="1361" spans="1:34" x14ac:dyDescent="0.35">
      <c r="A1361">
        <v>1360</v>
      </c>
      <c r="B1361" t="s">
        <v>33</v>
      </c>
      <c r="C1361">
        <v>104</v>
      </c>
      <c r="D1361" t="s">
        <v>25</v>
      </c>
      <c r="E1361" t="s">
        <v>23</v>
      </c>
      <c r="F1361" t="s">
        <v>22</v>
      </c>
      <c r="G1361">
        <v>0</v>
      </c>
      <c r="H1361">
        <v>160.4</v>
      </c>
      <c r="I1361">
        <v>73</v>
      </c>
      <c r="J1361">
        <v>27.27</v>
      </c>
      <c r="K1361">
        <v>293.89999999999998</v>
      </c>
      <c r="L1361">
        <v>103</v>
      </c>
      <c r="M1361">
        <v>24.98</v>
      </c>
      <c r="N1361">
        <v>306.60000000000002</v>
      </c>
      <c r="O1361">
        <v>90</v>
      </c>
      <c r="P1361">
        <v>13.8</v>
      </c>
      <c r="Q1361">
        <v>12.6</v>
      </c>
      <c r="R1361">
        <v>5</v>
      </c>
      <c r="S1361">
        <v>3.4</v>
      </c>
      <c r="T1361">
        <v>4</v>
      </c>
      <c r="U1361" t="s">
        <v>22</v>
      </c>
      <c r="V1361" t="e">
        <f>IF(#REF! = "yes", 1, 0)</f>
        <v>#REF!</v>
      </c>
      <c r="W1361" t="e">
        <f>IF(#REF! &lt;= 1, "0-1 Calls", IF(#REF! &lt;= 3, "2-3 Calls", IF(#REF! &lt;=5, "4-5 Calls", "6+ Calls")))</f>
        <v>#REF!</v>
      </c>
      <c r="X1361" t="e">
        <f>IF(#REF! &lt;= 50, "0-50", IF(#REF! &lt;=100, "51-100", IF(#REF! &lt;= 150, "101-150", "151+")))</f>
        <v>#REF!</v>
      </c>
      <c r="Y1361" t="e">
        <f>IF(#REF! &lt;= 3, "Low Charges", "High Charges")</f>
        <v>#REF!</v>
      </c>
      <c r="Z1361" t="e">
        <f>IF(#REF!&lt;=80,"Low Calls",
IF(#REF!&lt;=120,"Medium Calls","High Calls"))</f>
        <v>#REF!</v>
      </c>
      <c r="AA1361" t="e">
        <f>IF(#REF!&lt;=15,"Low Charges",
IF(#REF!&lt;=20,"Medium Charges","High Charges"))</f>
        <v>#REF!</v>
      </c>
      <c r="AB1361" t="e">
        <f>IF(AND(#REF!&gt;180, #REF!&gt;200), "Heavy Doemstic User", IF(#REF!&gt;10, "Interntional User", IF(AND(#REF!&lt;180, #REF!&lt;200,#REF!&lt;200), "Light User", "Balanced User")))</f>
        <v>#REF!</v>
      </c>
      <c r="AC1361" t="e">
        <f>IF(#REF! = 0, "No Usage", IF(#REF! &lt;= 20, "Low Usage", IF(#REF! &lt;= 40, "Medium Usgae", "High Usage")))</f>
        <v>#REF!</v>
      </c>
      <c r="AD1361" t="e">
        <f>IF(#REF!&lt;=150,"Low Usage", IF(#REF!&lt;=200,"Medium Usage", IF(#REF!&lt;=250,"High Usage","Very High Usage")))</f>
        <v>#REF!</v>
      </c>
      <c r="AE1361" t="e">
        <f>IF(#REF!&lt;=5,"Low Calls", IF(#REF!&lt;=10, "Medium Calls", "High Calls"))</f>
        <v>#REF!</v>
      </c>
      <c r="AF1361" t="e">
        <f xml:space="preserve">
IF(#REF!&gt;=4,4,0)+
IF(#REF!="yes",3,0)+
IF(#REF!="High Charges",3,0)+
IF(#REF!&gt;250,4,0)+
IF(#REF!="no",1,0)+
IF(#REF!="Heavy Domestic User",2,0)</f>
        <v>#REF!</v>
      </c>
      <c r="AG1361" t="e">
        <f>IF(#REF!&gt;=10,"High Risk", IF(#REF!&gt;=5,"Medium Risk","Low Risk"))</f>
        <v>#REF!</v>
      </c>
      <c r="AH1361" t="e">
        <f>#REF! + #REF! + #REF! + #REF!</f>
        <v>#REF!</v>
      </c>
    </row>
    <row r="1362" spans="1:34" x14ac:dyDescent="0.35">
      <c r="A1362">
        <v>1361</v>
      </c>
      <c r="B1362" t="s">
        <v>68</v>
      </c>
      <c r="C1362">
        <v>95</v>
      </c>
      <c r="D1362" t="s">
        <v>21</v>
      </c>
      <c r="E1362" t="s">
        <v>22</v>
      </c>
      <c r="F1362" t="s">
        <v>22</v>
      </c>
      <c r="G1362">
        <v>0</v>
      </c>
      <c r="H1362">
        <v>194.6</v>
      </c>
      <c r="I1362">
        <v>114</v>
      </c>
      <c r="J1362">
        <v>33.08</v>
      </c>
      <c r="K1362">
        <v>232.8</v>
      </c>
      <c r="L1362">
        <v>106</v>
      </c>
      <c r="M1362">
        <v>19.79</v>
      </c>
      <c r="N1362">
        <v>173.4</v>
      </c>
      <c r="O1362">
        <v>92</v>
      </c>
      <c r="P1362">
        <v>7.8</v>
      </c>
      <c r="Q1362">
        <v>3.8</v>
      </c>
      <c r="R1362">
        <v>2</v>
      </c>
      <c r="S1362">
        <v>1.03</v>
      </c>
      <c r="T1362">
        <v>3</v>
      </c>
      <c r="U1362" t="s">
        <v>22</v>
      </c>
      <c r="V1362" t="e">
        <f>IF(#REF! = "yes", 1, 0)</f>
        <v>#REF!</v>
      </c>
      <c r="W1362" t="e">
        <f>IF(#REF! &lt;= 1, "0-1 Calls", IF(#REF! &lt;= 3, "2-3 Calls", IF(#REF! &lt;=5, "4-5 Calls", "6+ Calls")))</f>
        <v>#REF!</v>
      </c>
      <c r="X1362" t="e">
        <f>IF(#REF! &lt;= 50, "0-50", IF(#REF! &lt;=100, "51-100", IF(#REF! &lt;= 150, "101-150", "151+")))</f>
        <v>#REF!</v>
      </c>
      <c r="Y1362" t="e">
        <f>IF(#REF! &lt;= 3, "Low Charges", "High Charges")</f>
        <v>#REF!</v>
      </c>
      <c r="Z1362" t="e">
        <f>IF(#REF!&lt;=80,"Low Calls",
IF(#REF!&lt;=120,"Medium Calls","High Calls"))</f>
        <v>#REF!</v>
      </c>
      <c r="AA1362" t="e">
        <f>IF(#REF!&lt;=15,"Low Charges",
IF(#REF!&lt;=20,"Medium Charges","High Charges"))</f>
        <v>#REF!</v>
      </c>
      <c r="AB1362" t="e">
        <f>IF(AND(#REF!&gt;180, #REF!&gt;200), "Heavy Doemstic User", IF(#REF!&gt;10, "Interntional User", IF(AND(#REF!&lt;180, #REF!&lt;200,#REF!&lt;200), "Light User", "Balanced User")))</f>
        <v>#REF!</v>
      </c>
      <c r="AC1362" t="e">
        <f>IF(#REF! = 0, "No Usage", IF(#REF! &lt;= 20, "Low Usage", IF(#REF! &lt;= 40, "Medium Usgae", "High Usage")))</f>
        <v>#REF!</v>
      </c>
      <c r="AD1362" t="e">
        <f>IF(#REF!&lt;=150,"Low Usage", IF(#REF!&lt;=200,"Medium Usage", IF(#REF!&lt;=250,"High Usage","Very High Usage")))</f>
        <v>#REF!</v>
      </c>
      <c r="AE1362" t="e">
        <f>IF(#REF!&lt;=5,"Low Calls", IF(#REF!&lt;=10, "Medium Calls", "High Calls"))</f>
        <v>#REF!</v>
      </c>
      <c r="AF1362" t="e">
        <f xml:space="preserve">
IF(#REF!&gt;=4,4,0)+
IF(#REF!="yes",3,0)+
IF(#REF!="High Charges",3,0)+
IF(#REF!&gt;250,4,0)+
IF(#REF!="no",1,0)+
IF(#REF!="Heavy Domestic User",2,0)</f>
        <v>#REF!</v>
      </c>
      <c r="AG1362" t="e">
        <f>IF(#REF!&gt;=10,"High Risk", IF(#REF!&gt;=5,"Medium Risk","Low Risk"))</f>
        <v>#REF!</v>
      </c>
      <c r="AH1362" t="e">
        <f>#REF! + #REF! + #REF! + #REF!</f>
        <v>#REF!</v>
      </c>
    </row>
    <row r="1363" spans="1:34" x14ac:dyDescent="0.35">
      <c r="A1363">
        <v>1362</v>
      </c>
      <c r="B1363" t="s">
        <v>74</v>
      </c>
      <c r="C1363">
        <v>74</v>
      </c>
      <c r="D1363" t="s">
        <v>25</v>
      </c>
      <c r="E1363" t="s">
        <v>22</v>
      </c>
      <c r="F1363" t="s">
        <v>22</v>
      </c>
      <c r="G1363">
        <v>0</v>
      </c>
      <c r="H1363">
        <v>157.1</v>
      </c>
      <c r="I1363">
        <v>95</v>
      </c>
      <c r="J1363">
        <v>26.71</v>
      </c>
      <c r="K1363">
        <v>213.1</v>
      </c>
      <c r="L1363">
        <v>36</v>
      </c>
      <c r="M1363">
        <v>18.11</v>
      </c>
      <c r="N1363">
        <v>280.39999999999998</v>
      </c>
      <c r="O1363">
        <v>77</v>
      </c>
      <c r="P1363">
        <v>12.62</v>
      </c>
      <c r="Q1363">
        <v>7.6</v>
      </c>
      <c r="R1363">
        <v>3</v>
      </c>
      <c r="S1363">
        <v>2.0499999999999998</v>
      </c>
      <c r="T1363">
        <v>2</v>
      </c>
      <c r="U1363" t="s">
        <v>22</v>
      </c>
      <c r="V1363" t="e">
        <f>IF(#REF! = "yes", 1, 0)</f>
        <v>#REF!</v>
      </c>
      <c r="W1363" t="e">
        <f>IF(#REF! &lt;= 1, "0-1 Calls", IF(#REF! &lt;= 3, "2-3 Calls", IF(#REF! &lt;=5, "4-5 Calls", "6+ Calls")))</f>
        <v>#REF!</v>
      </c>
      <c r="X1363" t="e">
        <f>IF(#REF! &lt;= 50, "0-50", IF(#REF! &lt;=100, "51-100", IF(#REF! &lt;= 150, "101-150", "151+")))</f>
        <v>#REF!</v>
      </c>
      <c r="Y1363" t="e">
        <f>IF(#REF! &lt;= 3, "Low Charges", "High Charges")</f>
        <v>#REF!</v>
      </c>
      <c r="Z1363" t="e">
        <f>IF(#REF!&lt;=80,"Low Calls",
IF(#REF!&lt;=120,"Medium Calls","High Calls"))</f>
        <v>#REF!</v>
      </c>
      <c r="AA1363" t="e">
        <f>IF(#REF!&lt;=15,"Low Charges",
IF(#REF!&lt;=20,"Medium Charges","High Charges"))</f>
        <v>#REF!</v>
      </c>
      <c r="AB1363" t="e">
        <f>IF(AND(#REF!&gt;180, #REF!&gt;200), "Heavy Doemstic User", IF(#REF!&gt;10, "Interntional User", IF(AND(#REF!&lt;180, #REF!&lt;200,#REF!&lt;200), "Light User", "Balanced User")))</f>
        <v>#REF!</v>
      </c>
      <c r="AC1363" t="e">
        <f>IF(#REF! = 0, "No Usage", IF(#REF! &lt;= 20, "Low Usage", IF(#REF! &lt;= 40, "Medium Usgae", "High Usage")))</f>
        <v>#REF!</v>
      </c>
      <c r="AD1363" t="e">
        <f>IF(#REF!&lt;=150,"Low Usage", IF(#REF!&lt;=200,"Medium Usage", IF(#REF!&lt;=250,"High Usage","Very High Usage")))</f>
        <v>#REF!</v>
      </c>
      <c r="AE1363" t="e">
        <f>IF(#REF!&lt;=5,"Low Calls", IF(#REF!&lt;=10, "Medium Calls", "High Calls"))</f>
        <v>#REF!</v>
      </c>
      <c r="AF1363" t="e">
        <f xml:space="preserve">
IF(#REF!&gt;=4,4,0)+
IF(#REF!="yes",3,0)+
IF(#REF!="High Charges",3,0)+
IF(#REF!&gt;250,4,0)+
IF(#REF!="no",1,0)+
IF(#REF!="Heavy Domestic User",2,0)</f>
        <v>#REF!</v>
      </c>
      <c r="AG1363" t="e">
        <f>IF(#REF!&gt;=10,"High Risk", IF(#REF!&gt;=5,"Medium Risk","Low Risk"))</f>
        <v>#REF!</v>
      </c>
      <c r="AH1363" t="e">
        <f>#REF! + #REF! + #REF! + #REF!</f>
        <v>#REF!</v>
      </c>
    </row>
    <row r="1364" spans="1:34" x14ac:dyDescent="0.35">
      <c r="A1364">
        <v>1363</v>
      </c>
      <c r="B1364" t="s">
        <v>71</v>
      </c>
      <c r="C1364">
        <v>67</v>
      </c>
      <c r="D1364" t="s">
        <v>21</v>
      </c>
      <c r="E1364" t="s">
        <v>22</v>
      </c>
      <c r="F1364" t="s">
        <v>22</v>
      </c>
      <c r="G1364">
        <v>0</v>
      </c>
      <c r="H1364">
        <v>179.8</v>
      </c>
      <c r="I1364">
        <v>125</v>
      </c>
      <c r="J1364">
        <v>30.57</v>
      </c>
      <c r="K1364">
        <v>173.2</v>
      </c>
      <c r="L1364">
        <v>86</v>
      </c>
      <c r="M1364">
        <v>14.72</v>
      </c>
      <c r="N1364">
        <v>272.8</v>
      </c>
      <c r="O1364">
        <v>97</v>
      </c>
      <c r="P1364">
        <v>12.28</v>
      </c>
      <c r="Q1364">
        <v>10.9</v>
      </c>
      <c r="R1364">
        <v>4</v>
      </c>
      <c r="S1364">
        <v>2.94</v>
      </c>
      <c r="T1364">
        <v>0</v>
      </c>
      <c r="U1364" t="s">
        <v>22</v>
      </c>
      <c r="V1364" t="e">
        <f>IF(#REF! = "yes", 1, 0)</f>
        <v>#REF!</v>
      </c>
      <c r="W1364" t="e">
        <f>IF(#REF! &lt;= 1, "0-1 Calls", IF(#REF! &lt;= 3, "2-3 Calls", IF(#REF! &lt;=5, "4-5 Calls", "6+ Calls")))</f>
        <v>#REF!</v>
      </c>
      <c r="X1364" t="e">
        <f>IF(#REF! &lt;= 50, "0-50", IF(#REF! &lt;=100, "51-100", IF(#REF! &lt;= 150, "101-150", "151+")))</f>
        <v>#REF!</v>
      </c>
      <c r="Y1364" t="e">
        <f>IF(#REF! &lt;= 3, "Low Charges", "High Charges")</f>
        <v>#REF!</v>
      </c>
      <c r="Z1364" t="e">
        <f>IF(#REF!&lt;=80,"Low Calls",
IF(#REF!&lt;=120,"Medium Calls","High Calls"))</f>
        <v>#REF!</v>
      </c>
      <c r="AA1364" t="e">
        <f>IF(#REF!&lt;=15,"Low Charges",
IF(#REF!&lt;=20,"Medium Charges","High Charges"))</f>
        <v>#REF!</v>
      </c>
      <c r="AB1364" t="e">
        <f>IF(AND(#REF!&gt;180, #REF!&gt;200), "Heavy Doemstic User", IF(#REF!&gt;10, "Interntional User", IF(AND(#REF!&lt;180, #REF!&lt;200,#REF!&lt;200), "Light User", "Balanced User")))</f>
        <v>#REF!</v>
      </c>
      <c r="AC1364" t="e">
        <f>IF(#REF! = 0, "No Usage", IF(#REF! &lt;= 20, "Low Usage", IF(#REF! &lt;= 40, "Medium Usgae", "High Usage")))</f>
        <v>#REF!</v>
      </c>
      <c r="AD1364" t="e">
        <f>IF(#REF!&lt;=150,"Low Usage", IF(#REF!&lt;=200,"Medium Usage", IF(#REF!&lt;=250,"High Usage","Very High Usage")))</f>
        <v>#REF!</v>
      </c>
      <c r="AE1364" t="e">
        <f>IF(#REF!&lt;=5,"Low Calls", IF(#REF!&lt;=10, "Medium Calls", "High Calls"))</f>
        <v>#REF!</v>
      </c>
      <c r="AF1364" t="e">
        <f xml:space="preserve">
IF(#REF!&gt;=4,4,0)+
IF(#REF!="yes",3,0)+
IF(#REF!="High Charges",3,0)+
IF(#REF!&gt;250,4,0)+
IF(#REF!="no",1,0)+
IF(#REF!="Heavy Domestic User",2,0)</f>
        <v>#REF!</v>
      </c>
      <c r="AG1364" t="e">
        <f>IF(#REF!&gt;=10,"High Risk", IF(#REF!&gt;=5,"Medium Risk","Low Risk"))</f>
        <v>#REF!</v>
      </c>
      <c r="AH1364" t="e">
        <f>#REF! + #REF! + #REF! + #REF!</f>
        <v>#REF!</v>
      </c>
    </row>
    <row r="1365" spans="1:34" x14ac:dyDescent="0.35">
      <c r="A1365">
        <v>1364</v>
      </c>
      <c r="B1365" t="s">
        <v>37</v>
      </c>
      <c r="C1365">
        <v>104</v>
      </c>
      <c r="D1365" t="s">
        <v>21</v>
      </c>
      <c r="E1365" t="s">
        <v>23</v>
      </c>
      <c r="F1365" t="s">
        <v>22</v>
      </c>
      <c r="G1365">
        <v>0</v>
      </c>
      <c r="H1365">
        <v>148.19999999999999</v>
      </c>
      <c r="I1365">
        <v>108</v>
      </c>
      <c r="J1365">
        <v>25.19</v>
      </c>
      <c r="K1365">
        <v>161.80000000000001</v>
      </c>
      <c r="L1365">
        <v>113</v>
      </c>
      <c r="M1365">
        <v>13.75</v>
      </c>
      <c r="N1365">
        <v>259.3</v>
      </c>
      <c r="O1365">
        <v>103</v>
      </c>
      <c r="P1365">
        <v>11.67</v>
      </c>
      <c r="Q1365">
        <v>11</v>
      </c>
      <c r="R1365">
        <v>4</v>
      </c>
      <c r="S1365">
        <v>2.97</v>
      </c>
      <c r="T1365">
        <v>0</v>
      </c>
      <c r="U1365" t="s">
        <v>22</v>
      </c>
      <c r="V1365" t="e">
        <f>IF(#REF! = "yes", 1, 0)</f>
        <v>#REF!</v>
      </c>
      <c r="W1365" t="e">
        <f>IF(#REF! &lt;= 1, "0-1 Calls", IF(#REF! &lt;= 3, "2-3 Calls", IF(#REF! &lt;=5, "4-5 Calls", "6+ Calls")))</f>
        <v>#REF!</v>
      </c>
      <c r="X1365" t="e">
        <f>IF(#REF! &lt;= 50, "0-50", IF(#REF! &lt;=100, "51-100", IF(#REF! &lt;= 150, "101-150", "151+")))</f>
        <v>#REF!</v>
      </c>
      <c r="Y1365" t="e">
        <f>IF(#REF! &lt;= 3, "Low Charges", "High Charges")</f>
        <v>#REF!</v>
      </c>
      <c r="Z1365" t="e">
        <f>IF(#REF!&lt;=80,"Low Calls",
IF(#REF!&lt;=120,"Medium Calls","High Calls"))</f>
        <v>#REF!</v>
      </c>
      <c r="AA1365" t="e">
        <f>IF(#REF!&lt;=15,"Low Charges",
IF(#REF!&lt;=20,"Medium Charges","High Charges"))</f>
        <v>#REF!</v>
      </c>
      <c r="AB1365" t="e">
        <f>IF(AND(#REF!&gt;180, #REF!&gt;200), "Heavy Doemstic User", IF(#REF!&gt;10, "Interntional User", IF(AND(#REF!&lt;180, #REF!&lt;200,#REF!&lt;200), "Light User", "Balanced User")))</f>
        <v>#REF!</v>
      </c>
      <c r="AC1365" t="e">
        <f>IF(#REF! = 0, "No Usage", IF(#REF! &lt;= 20, "Low Usage", IF(#REF! &lt;= 40, "Medium Usgae", "High Usage")))</f>
        <v>#REF!</v>
      </c>
      <c r="AD1365" t="e">
        <f>IF(#REF!&lt;=150,"Low Usage", IF(#REF!&lt;=200,"Medium Usage", IF(#REF!&lt;=250,"High Usage","Very High Usage")))</f>
        <v>#REF!</v>
      </c>
      <c r="AE1365" t="e">
        <f>IF(#REF!&lt;=5,"Low Calls", IF(#REF!&lt;=10, "Medium Calls", "High Calls"))</f>
        <v>#REF!</v>
      </c>
      <c r="AF1365" t="e">
        <f xml:space="preserve">
IF(#REF!&gt;=4,4,0)+
IF(#REF!="yes",3,0)+
IF(#REF!="High Charges",3,0)+
IF(#REF!&gt;250,4,0)+
IF(#REF!="no",1,0)+
IF(#REF!="Heavy Domestic User",2,0)</f>
        <v>#REF!</v>
      </c>
      <c r="AG1365" t="e">
        <f>IF(#REF!&gt;=10,"High Risk", IF(#REF!&gt;=5,"Medium Risk","Low Risk"))</f>
        <v>#REF!</v>
      </c>
      <c r="AH1365" t="e">
        <f>#REF! + #REF! + #REF! + #REF!</f>
        <v>#REF!</v>
      </c>
    </row>
    <row r="1366" spans="1:34" x14ac:dyDescent="0.35">
      <c r="A1366">
        <v>1365</v>
      </c>
      <c r="B1366" t="s">
        <v>39</v>
      </c>
      <c r="C1366">
        <v>71</v>
      </c>
      <c r="D1366" t="s">
        <v>21</v>
      </c>
      <c r="E1366" t="s">
        <v>22</v>
      </c>
      <c r="F1366" t="s">
        <v>23</v>
      </c>
      <c r="G1366">
        <v>39</v>
      </c>
      <c r="H1366">
        <v>183.2</v>
      </c>
      <c r="I1366">
        <v>103</v>
      </c>
      <c r="J1366">
        <v>31.14</v>
      </c>
      <c r="K1366">
        <v>209.4</v>
      </c>
      <c r="L1366">
        <v>111</v>
      </c>
      <c r="M1366">
        <v>17.8</v>
      </c>
      <c r="N1366">
        <v>172.4</v>
      </c>
      <c r="O1366">
        <v>109</v>
      </c>
      <c r="P1366">
        <v>7.76</v>
      </c>
      <c r="Q1366">
        <v>11.9</v>
      </c>
      <c r="R1366">
        <v>6</v>
      </c>
      <c r="S1366">
        <v>3.21</v>
      </c>
      <c r="T1366">
        <v>1</v>
      </c>
      <c r="U1366" t="s">
        <v>22</v>
      </c>
      <c r="V1366" t="e">
        <f>IF(#REF! = "yes", 1, 0)</f>
        <v>#REF!</v>
      </c>
      <c r="W1366" t="e">
        <f>IF(#REF! &lt;= 1, "0-1 Calls", IF(#REF! &lt;= 3, "2-3 Calls", IF(#REF! &lt;=5, "4-5 Calls", "6+ Calls")))</f>
        <v>#REF!</v>
      </c>
      <c r="X1366" t="e">
        <f>IF(#REF! &lt;= 50, "0-50", IF(#REF! &lt;=100, "51-100", IF(#REF! &lt;= 150, "101-150", "151+")))</f>
        <v>#REF!</v>
      </c>
      <c r="Y1366" t="e">
        <f>IF(#REF! &lt;= 3, "Low Charges", "High Charges")</f>
        <v>#REF!</v>
      </c>
      <c r="Z1366" t="e">
        <f>IF(#REF!&lt;=80,"Low Calls",
IF(#REF!&lt;=120,"Medium Calls","High Calls"))</f>
        <v>#REF!</v>
      </c>
      <c r="AA1366" t="e">
        <f>IF(#REF!&lt;=15,"Low Charges",
IF(#REF!&lt;=20,"Medium Charges","High Charges"))</f>
        <v>#REF!</v>
      </c>
      <c r="AB1366" t="e">
        <f>IF(AND(#REF!&gt;180, #REF!&gt;200), "Heavy Doemstic User", IF(#REF!&gt;10, "Interntional User", IF(AND(#REF!&lt;180, #REF!&lt;200,#REF!&lt;200), "Light User", "Balanced User")))</f>
        <v>#REF!</v>
      </c>
      <c r="AC1366" t="e">
        <f>IF(#REF! = 0, "No Usage", IF(#REF! &lt;= 20, "Low Usage", IF(#REF! &lt;= 40, "Medium Usgae", "High Usage")))</f>
        <v>#REF!</v>
      </c>
      <c r="AD1366" t="e">
        <f>IF(#REF!&lt;=150,"Low Usage", IF(#REF!&lt;=200,"Medium Usage", IF(#REF!&lt;=250,"High Usage","Very High Usage")))</f>
        <v>#REF!</v>
      </c>
      <c r="AE1366" t="e">
        <f>IF(#REF!&lt;=5,"Low Calls", IF(#REF!&lt;=10, "Medium Calls", "High Calls"))</f>
        <v>#REF!</v>
      </c>
      <c r="AF1366" t="e">
        <f xml:space="preserve">
IF(#REF!&gt;=4,4,0)+
IF(#REF!="yes",3,0)+
IF(#REF!="High Charges",3,0)+
IF(#REF!&gt;250,4,0)+
IF(#REF!="no",1,0)+
IF(#REF!="Heavy Domestic User",2,0)</f>
        <v>#REF!</v>
      </c>
      <c r="AG1366" t="e">
        <f>IF(#REF!&gt;=10,"High Risk", IF(#REF!&gt;=5,"Medium Risk","Low Risk"))</f>
        <v>#REF!</v>
      </c>
      <c r="AH1366" t="e">
        <f>#REF! + #REF! + #REF! + #REF!</f>
        <v>#REF!</v>
      </c>
    </row>
    <row r="1367" spans="1:34" x14ac:dyDescent="0.35">
      <c r="A1367">
        <v>1366</v>
      </c>
      <c r="B1367" t="s">
        <v>46</v>
      </c>
      <c r="C1367">
        <v>149</v>
      </c>
      <c r="D1367" t="s">
        <v>21</v>
      </c>
      <c r="E1367" t="s">
        <v>22</v>
      </c>
      <c r="F1367" t="s">
        <v>22</v>
      </c>
      <c r="G1367">
        <v>0</v>
      </c>
      <c r="H1367">
        <v>119.2</v>
      </c>
      <c r="I1367">
        <v>88</v>
      </c>
      <c r="J1367">
        <v>20.260000000000002</v>
      </c>
      <c r="K1367">
        <v>168.3</v>
      </c>
      <c r="L1367">
        <v>110</v>
      </c>
      <c r="M1367">
        <v>14.31</v>
      </c>
      <c r="N1367">
        <v>204.7</v>
      </c>
      <c r="O1367">
        <v>119</v>
      </c>
      <c r="P1367">
        <v>9.2100000000000009</v>
      </c>
      <c r="Q1367">
        <v>12.2</v>
      </c>
      <c r="R1367">
        <v>6</v>
      </c>
      <c r="S1367">
        <v>3.29</v>
      </c>
      <c r="T1367">
        <v>4</v>
      </c>
      <c r="U1367" t="s">
        <v>23</v>
      </c>
      <c r="V1367" t="e">
        <f>IF(#REF! = "yes", 1, 0)</f>
        <v>#REF!</v>
      </c>
      <c r="W1367" t="e">
        <f>IF(#REF! &lt;= 1, "0-1 Calls", IF(#REF! &lt;= 3, "2-3 Calls", IF(#REF! &lt;=5, "4-5 Calls", "6+ Calls")))</f>
        <v>#REF!</v>
      </c>
      <c r="X1367" t="e">
        <f>IF(#REF! &lt;= 50, "0-50", IF(#REF! &lt;=100, "51-100", IF(#REF! &lt;= 150, "101-150", "151+")))</f>
        <v>#REF!</v>
      </c>
      <c r="Y1367" t="e">
        <f>IF(#REF! &lt;= 3, "Low Charges", "High Charges")</f>
        <v>#REF!</v>
      </c>
      <c r="Z1367" t="e">
        <f>IF(#REF!&lt;=80,"Low Calls",
IF(#REF!&lt;=120,"Medium Calls","High Calls"))</f>
        <v>#REF!</v>
      </c>
      <c r="AA1367" t="e">
        <f>IF(#REF!&lt;=15,"Low Charges",
IF(#REF!&lt;=20,"Medium Charges","High Charges"))</f>
        <v>#REF!</v>
      </c>
      <c r="AB1367" t="e">
        <f>IF(AND(#REF!&gt;180, #REF!&gt;200), "Heavy Doemstic User", IF(#REF!&gt;10, "Interntional User", IF(AND(#REF!&lt;180, #REF!&lt;200,#REF!&lt;200), "Light User", "Balanced User")))</f>
        <v>#REF!</v>
      </c>
      <c r="AC1367" t="e">
        <f>IF(#REF! = 0, "No Usage", IF(#REF! &lt;= 20, "Low Usage", IF(#REF! &lt;= 40, "Medium Usgae", "High Usage")))</f>
        <v>#REF!</v>
      </c>
      <c r="AD1367" t="e">
        <f>IF(#REF!&lt;=150,"Low Usage", IF(#REF!&lt;=200,"Medium Usage", IF(#REF!&lt;=250,"High Usage","Very High Usage")))</f>
        <v>#REF!</v>
      </c>
      <c r="AE1367" t="e">
        <f>IF(#REF!&lt;=5,"Low Calls", IF(#REF!&lt;=10, "Medium Calls", "High Calls"))</f>
        <v>#REF!</v>
      </c>
      <c r="AF1367" t="e">
        <f xml:space="preserve">
IF(#REF!&gt;=4,4,0)+
IF(#REF!="yes",3,0)+
IF(#REF!="High Charges",3,0)+
IF(#REF!&gt;250,4,0)+
IF(#REF!="no",1,0)+
IF(#REF!="Heavy Domestic User",2,0)</f>
        <v>#REF!</v>
      </c>
      <c r="AG1367" t="e">
        <f>IF(#REF!&gt;=10,"High Risk", IF(#REF!&gt;=5,"Medium Risk","Low Risk"))</f>
        <v>#REF!</v>
      </c>
      <c r="AH1367" t="e">
        <f>#REF! + #REF! + #REF! + #REF!</f>
        <v>#REF!</v>
      </c>
    </row>
    <row r="1368" spans="1:34" x14ac:dyDescent="0.35">
      <c r="A1368">
        <v>1367</v>
      </c>
      <c r="B1368" t="s">
        <v>75</v>
      </c>
      <c r="C1368">
        <v>154</v>
      </c>
      <c r="D1368" t="s">
        <v>25</v>
      </c>
      <c r="E1368" t="s">
        <v>22</v>
      </c>
      <c r="F1368" t="s">
        <v>23</v>
      </c>
      <c r="G1368">
        <v>35</v>
      </c>
      <c r="H1368">
        <v>224</v>
      </c>
      <c r="I1368">
        <v>102</v>
      </c>
      <c r="J1368">
        <v>38.08</v>
      </c>
      <c r="K1368">
        <v>192</v>
      </c>
      <c r="L1368">
        <v>99</v>
      </c>
      <c r="M1368">
        <v>16.32</v>
      </c>
      <c r="N1368">
        <v>163.1</v>
      </c>
      <c r="O1368">
        <v>100</v>
      </c>
      <c r="P1368">
        <v>7.34</v>
      </c>
      <c r="Q1368">
        <v>9.6</v>
      </c>
      <c r="R1368">
        <v>2</v>
      </c>
      <c r="S1368">
        <v>2.59</v>
      </c>
      <c r="T1368">
        <v>0</v>
      </c>
      <c r="U1368" t="s">
        <v>22</v>
      </c>
      <c r="V1368" t="e">
        <f>IF(#REF! = "yes", 1, 0)</f>
        <v>#REF!</v>
      </c>
      <c r="W1368" t="e">
        <f>IF(#REF! &lt;= 1, "0-1 Calls", IF(#REF! &lt;= 3, "2-3 Calls", IF(#REF! &lt;=5, "4-5 Calls", "6+ Calls")))</f>
        <v>#REF!</v>
      </c>
      <c r="X1368" t="e">
        <f>IF(#REF! &lt;= 50, "0-50", IF(#REF! &lt;=100, "51-100", IF(#REF! &lt;= 150, "101-150", "151+")))</f>
        <v>#REF!</v>
      </c>
      <c r="Y1368" t="e">
        <f>IF(#REF! &lt;= 3, "Low Charges", "High Charges")</f>
        <v>#REF!</v>
      </c>
      <c r="Z1368" t="e">
        <f>IF(#REF!&lt;=80,"Low Calls",
IF(#REF!&lt;=120,"Medium Calls","High Calls"))</f>
        <v>#REF!</v>
      </c>
      <c r="AA1368" t="e">
        <f>IF(#REF!&lt;=15,"Low Charges",
IF(#REF!&lt;=20,"Medium Charges","High Charges"))</f>
        <v>#REF!</v>
      </c>
      <c r="AB1368" t="e">
        <f>IF(AND(#REF!&gt;180, #REF!&gt;200), "Heavy Doemstic User", IF(#REF!&gt;10, "Interntional User", IF(AND(#REF!&lt;180, #REF!&lt;200,#REF!&lt;200), "Light User", "Balanced User")))</f>
        <v>#REF!</v>
      </c>
      <c r="AC1368" t="e">
        <f>IF(#REF! = 0, "No Usage", IF(#REF! &lt;= 20, "Low Usage", IF(#REF! &lt;= 40, "Medium Usgae", "High Usage")))</f>
        <v>#REF!</v>
      </c>
      <c r="AD1368" t="e">
        <f>IF(#REF!&lt;=150,"Low Usage", IF(#REF!&lt;=200,"Medium Usage", IF(#REF!&lt;=250,"High Usage","Very High Usage")))</f>
        <v>#REF!</v>
      </c>
      <c r="AE1368" t="e">
        <f>IF(#REF!&lt;=5,"Low Calls", IF(#REF!&lt;=10, "Medium Calls", "High Calls"))</f>
        <v>#REF!</v>
      </c>
      <c r="AF1368" t="e">
        <f xml:space="preserve">
IF(#REF!&gt;=4,4,0)+
IF(#REF!="yes",3,0)+
IF(#REF!="High Charges",3,0)+
IF(#REF!&gt;250,4,0)+
IF(#REF!="no",1,0)+
IF(#REF!="Heavy Domestic User",2,0)</f>
        <v>#REF!</v>
      </c>
      <c r="AG1368" t="e">
        <f>IF(#REF!&gt;=10,"High Risk", IF(#REF!&gt;=5,"Medium Risk","Low Risk"))</f>
        <v>#REF!</v>
      </c>
      <c r="AH1368" t="e">
        <f>#REF! + #REF! + #REF! + #REF!</f>
        <v>#REF!</v>
      </c>
    </row>
    <row r="1369" spans="1:34" x14ac:dyDescent="0.35">
      <c r="A1369">
        <v>1368</v>
      </c>
      <c r="B1369" t="s">
        <v>70</v>
      </c>
      <c r="C1369">
        <v>117</v>
      </c>
      <c r="D1369" t="s">
        <v>21</v>
      </c>
      <c r="E1369" t="s">
        <v>22</v>
      </c>
      <c r="F1369" t="s">
        <v>22</v>
      </c>
      <c r="G1369">
        <v>0</v>
      </c>
      <c r="H1369">
        <v>184.8</v>
      </c>
      <c r="I1369">
        <v>83</v>
      </c>
      <c r="J1369">
        <v>31.42</v>
      </c>
      <c r="K1369">
        <v>248.6</v>
      </c>
      <c r="L1369">
        <v>101</v>
      </c>
      <c r="M1369">
        <v>21.13</v>
      </c>
      <c r="N1369">
        <v>133.1</v>
      </c>
      <c r="O1369">
        <v>113</v>
      </c>
      <c r="P1369">
        <v>5.99</v>
      </c>
      <c r="Q1369">
        <v>9.6</v>
      </c>
      <c r="R1369">
        <v>8</v>
      </c>
      <c r="S1369">
        <v>2.59</v>
      </c>
      <c r="T1369">
        <v>1</v>
      </c>
      <c r="U1369" t="s">
        <v>22</v>
      </c>
      <c r="V1369" t="e">
        <f>IF(#REF! = "yes", 1, 0)</f>
        <v>#REF!</v>
      </c>
      <c r="W1369" t="e">
        <f>IF(#REF! &lt;= 1, "0-1 Calls", IF(#REF! &lt;= 3, "2-3 Calls", IF(#REF! &lt;=5, "4-5 Calls", "6+ Calls")))</f>
        <v>#REF!</v>
      </c>
      <c r="X1369" t="e">
        <f>IF(#REF! &lt;= 50, "0-50", IF(#REF! &lt;=100, "51-100", IF(#REF! &lt;= 150, "101-150", "151+")))</f>
        <v>#REF!</v>
      </c>
      <c r="Y1369" t="e">
        <f>IF(#REF! &lt;= 3, "Low Charges", "High Charges")</f>
        <v>#REF!</v>
      </c>
      <c r="Z1369" t="e">
        <f>IF(#REF!&lt;=80,"Low Calls",
IF(#REF!&lt;=120,"Medium Calls","High Calls"))</f>
        <v>#REF!</v>
      </c>
      <c r="AA1369" t="e">
        <f>IF(#REF!&lt;=15,"Low Charges",
IF(#REF!&lt;=20,"Medium Charges","High Charges"))</f>
        <v>#REF!</v>
      </c>
      <c r="AB1369" t="e">
        <f>IF(AND(#REF!&gt;180, #REF!&gt;200), "Heavy Doemstic User", IF(#REF!&gt;10, "Interntional User", IF(AND(#REF!&lt;180, #REF!&lt;200,#REF!&lt;200), "Light User", "Balanced User")))</f>
        <v>#REF!</v>
      </c>
      <c r="AC1369" t="e">
        <f>IF(#REF! = 0, "No Usage", IF(#REF! &lt;= 20, "Low Usage", IF(#REF! &lt;= 40, "Medium Usgae", "High Usage")))</f>
        <v>#REF!</v>
      </c>
      <c r="AD1369" t="e">
        <f>IF(#REF!&lt;=150,"Low Usage", IF(#REF!&lt;=200,"Medium Usage", IF(#REF!&lt;=250,"High Usage","Very High Usage")))</f>
        <v>#REF!</v>
      </c>
      <c r="AE1369" t="e">
        <f>IF(#REF!&lt;=5,"Low Calls", IF(#REF!&lt;=10, "Medium Calls", "High Calls"))</f>
        <v>#REF!</v>
      </c>
      <c r="AF1369" t="e">
        <f xml:space="preserve">
IF(#REF!&gt;=4,4,0)+
IF(#REF!="yes",3,0)+
IF(#REF!="High Charges",3,0)+
IF(#REF!&gt;250,4,0)+
IF(#REF!="no",1,0)+
IF(#REF!="Heavy Domestic User",2,0)</f>
        <v>#REF!</v>
      </c>
      <c r="AG1369" t="e">
        <f>IF(#REF!&gt;=10,"High Risk", IF(#REF!&gt;=5,"Medium Risk","Low Risk"))</f>
        <v>#REF!</v>
      </c>
      <c r="AH1369" t="e">
        <f>#REF! + #REF! + #REF! + #REF!</f>
        <v>#REF!</v>
      </c>
    </row>
    <row r="1370" spans="1:34" x14ac:dyDescent="0.35">
      <c r="A1370">
        <v>1369</v>
      </c>
      <c r="B1370" t="s">
        <v>66</v>
      </c>
      <c r="C1370">
        <v>130</v>
      </c>
      <c r="D1370" t="s">
        <v>25</v>
      </c>
      <c r="E1370" t="s">
        <v>22</v>
      </c>
      <c r="F1370" t="s">
        <v>22</v>
      </c>
      <c r="G1370">
        <v>0</v>
      </c>
      <c r="H1370">
        <v>176.3</v>
      </c>
      <c r="I1370">
        <v>140</v>
      </c>
      <c r="J1370">
        <v>29.97</v>
      </c>
      <c r="K1370">
        <v>201</v>
      </c>
      <c r="L1370">
        <v>104</v>
      </c>
      <c r="M1370">
        <v>17.09</v>
      </c>
      <c r="N1370">
        <v>161.9</v>
      </c>
      <c r="O1370">
        <v>123</v>
      </c>
      <c r="P1370">
        <v>7.29</v>
      </c>
      <c r="Q1370">
        <v>11.3</v>
      </c>
      <c r="R1370">
        <v>5</v>
      </c>
      <c r="S1370">
        <v>3.05</v>
      </c>
      <c r="T1370">
        <v>1</v>
      </c>
      <c r="U1370" t="s">
        <v>22</v>
      </c>
      <c r="V1370" t="e">
        <f>IF(#REF! = "yes", 1, 0)</f>
        <v>#REF!</v>
      </c>
      <c r="W1370" t="e">
        <f>IF(#REF! &lt;= 1, "0-1 Calls", IF(#REF! &lt;= 3, "2-3 Calls", IF(#REF! &lt;=5, "4-5 Calls", "6+ Calls")))</f>
        <v>#REF!</v>
      </c>
      <c r="X1370" t="e">
        <f>IF(#REF! &lt;= 50, "0-50", IF(#REF! &lt;=100, "51-100", IF(#REF! &lt;= 150, "101-150", "151+")))</f>
        <v>#REF!</v>
      </c>
      <c r="Y1370" t="e">
        <f>IF(#REF! &lt;= 3, "Low Charges", "High Charges")</f>
        <v>#REF!</v>
      </c>
      <c r="Z1370" t="e">
        <f>IF(#REF!&lt;=80,"Low Calls",
IF(#REF!&lt;=120,"Medium Calls","High Calls"))</f>
        <v>#REF!</v>
      </c>
      <c r="AA1370" t="e">
        <f>IF(#REF!&lt;=15,"Low Charges",
IF(#REF!&lt;=20,"Medium Charges","High Charges"))</f>
        <v>#REF!</v>
      </c>
      <c r="AB1370" t="e">
        <f>IF(AND(#REF!&gt;180, #REF!&gt;200), "Heavy Doemstic User", IF(#REF!&gt;10, "Interntional User", IF(AND(#REF!&lt;180, #REF!&lt;200,#REF!&lt;200), "Light User", "Balanced User")))</f>
        <v>#REF!</v>
      </c>
      <c r="AC1370" t="e">
        <f>IF(#REF! = 0, "No Usage", IF(#REF! &lt;= 20, "Low Usage", IF(#REF! &lt;= 40, "Medium Usgae", "High Usage")))</f>
        <v>#REF!</v>
      </c>
      <c r="AD1370" t="e">
        <f>IF(#REF!&lt;=150,"Low Usage", IF(#REF!&lt;=200,"Medium Usage", IF(#REF!&lt;=250,"High Usage","Very High Usage")))</f>
        <v>#REF!</v>
      </c>
      <c r="AE1370" t="e">
        <f>IF(#REF!&lt;=5,"Low Calls", IF(#REF!&lt;=10, "Medium Calls", "High Calls"))</f>
        <v>#REF!</v>
      </c>
      <c r="AF1370" t="e">
        <f xml:space="preserve">
IF(#REF!&gt;=4,4,0)+
IF(#REF!="yes",3,0)+
IF(#REF!="High Charges",3,0)+
IF(#REF!&gt;250,4,0)+
IF(#REF!="no",1,0)+
IF(#REF!="Heavy Domestic User",2,0)</f>
        <v>#REF!</v>
      </c>
      <c r="AG1370" t="e">
        <f>IF(#REF!&gt;=10,"High Risk", IF(#REF!&gt;=5,"Medium Risk","Low Risk"))</f>
        <v>#REF!</v>
      </c>
      <c r="AH1370" t="e">
        <f>#REF! + #REF! + #REF! + #REF!</f>
        <v>#REF!</v>
      </c>
    </row>
    <row r="1371" spans="1:34" x14ac:dyDescent="0.35">
      <c r="A1371">
        <v>1370</v>
      </c>
      <c r="B1371" t="s">
        <v>33</v>
      </c>
      <c r="C1371">
        <v>73</v>
      </c>
      <c r="D1371" t="s">
        <v>21</v>
      </c>
      <c r="E1371" t="s">
        <v>22</v>
      </c>
      <c r="F1371" t="s">
        <v>22</v>
      </c>
      <c r="G1371">
        <v>0</v>
      </c>
      <c r="H1371">
        <v>241.7</v>
      </c>
      <c r="I1371">
        <v>115</v>
      </c>
      <c r="J1371">
        <v>41.09</v>
      </c>
      <c r="K1371">
        <v>168.5</v>
      </c>
      <c r="L1371">
        <v>133</v>
      </c>
      <c r="M1371">
        <v>14.32</v>
      </c>
      <c r="N1371">
        <v>169.8</v>
      </c>
      <c r="O1371">
        <v>122</v>
      </c>
      <c r="P1371">
        <v>7.64</v>
      </c>
      <c r="Q1371">
        <v>11.1</v>
      </c>
      <c r="R1371">
        <v>2</v>
      </c>
      <c r="S1371">
        <v>3</v>
      </c>
      <c r="T1371">
        <v>2</v>
      </c>
      <c r="U1371" t="s">
        <v>22</v>
      </c>
      <c r="V1371" t="e">
        <f>IF(#REF! = "yes", 1, 0)</f>
        <v>#REF!</v>
      </c>
      <c r="W1371" t="e">
        <f>IF(#REF! &lt;= 1, "0-1 Calls", IF(#REF! &lt;= 3, "2-3 Calls", IF(#REF! &lt;=5, "4-5 Calls", "6+ Calls")))</f>
        <v>#REF!</v>
      </c>
      <c r="X1371" t="e">
        <f>IF(#REF! &lt;= 50, "0-50", IF(#REF! &lt;=100, "51-100", IF(#REF! &lt;= 150, "101-150", "151+")))</f>
        <v>#REF!</v>
      </c>
      <c r="Y1371" t="e">
        <f>IF(#REF! &lt;= 3, "Low Charges", "High Charges")</f>
        <v>#REF!</v>
      </c>
      <c r="Z1371" t="e">
        <f>IF(#REF!&lt;=80,"Low Calls",
IF(#REF!&lt;=120,"Medium Calls","High Calls"))</f>
        <v>#REF!</v>
      </c>
      <c r="AA1371" t="e">
        <f>IF(#REF!&lt;=15,"Low Charges",
IF(#REF!&lt;=20,"Medium Charges","High Charges"))</f>
        <v>#REF!</v>
      </c>
      <c r="AB1371" t="e">
        <f>IF(AND(#REF!&gt;180, #REF!&gt;200), "Heavy Doemstic User", IF(#REF!&gt;10, "Interntional User", IF(AND(#REF!&lt;180, #REF!&lt;200,#REF!&lt;200), "Light User", "Balanced User")))</f>
        <v>#REF!</v>
      </c>
      <c r="AC1371" t="e">
        <f>IF(#REF! = 0, "No Usage", IF(#REF! &lt;= 20, "Low Usage", IF(#REF! &lt;= 40, "Medium Usgae", "High Usage")))</f>
        <v>#REF!</v>
      </c>
      <c r="AD1371" t="e">
        <f>IF(#REF!&lt;=150,"Low Usage", IF(#REF!&lt;=200,"Medium Usage", IF(#REF!&lt;=250,"High Usage","Very High Usage")))</f>
        <v>#REF!</v>
      </c>
      <c r="AE1371" t="e">
        <f>IF(#REF!&lt;=5,"Low Calls", IF(#REF!&lt;=10, "Medium Calls", "High Calls"))</f>
        <v>#REF!</v>
      </c>
      <c r="AF1371" t="e">
        <f xml:space="preserve">
IF(#REF!&gt;=4,4,0)+
IF(#REF!="yes",3,0)+
IF(#REF!="High Charges",3,0)+
IF(#REF!&gt;250,4,0)+
IF(#REF!="no",1,0)+
IF(#REF!="Heavy Domestic User",2,0)</f>
        <v>#REF!</v>
      </c>
      <c r="AG1371" t="e">
        <f>IF(#REF!&gt;=10,"High Risk", IF(#REF!&gt;=5,"Medium Risk","Low Risk"))</f>
        <v>#REF!</v>
      </c>
      <c r="AH1371" t="e">
        <f>#REF! + #REF! + #REF! + #REF!</f>
        <v>#REF!</v>
      </c>
    </row>
    <row r="1372" spans="1:34" x14ac:dyDescent="0.35">
      <c r="A1372">
        <v>1371</v>
      </c>
      <c r="B1372" t="s">
        <v>51</v>
      </c>
      <c r="C1372">
        <v>100</v>
      </c>
      <c r="D1372" t="s">
        <v>28</v>
      </c>
      <c r="E1372" t="s">
        <v>22</v>
      </c>
      <c r="F1372" t="s">
        <v>23</v>
      </c>
      <c r="G1372">
        <v>38</v>
      </c>
      <c r="H1372">
        <v>224.7</v>
      </c>
      <c r="I1372">
        <v>121</v>
      </c>
      <c r="J1372">
        <v>38.200000000000003</v>
      </c>
      <c r="K1372">
        <v>294</v>
      </c>
      <c r="L1372">
        <v>131</v>
      </c>
      <c r="M1372">
        <v>24.99</v>
      </c>
      <c r="N1372">
        <v>290</v>
      </c>
      <c r="O1372">
        <v>61</v>
      </c>
      <c r="P1372">
        <v>13.05</v>
      </c>
      <c r="Q1372">
        <v>9.8000000000000007</v>
      </c>
      <c r="R1372">
        <v>6</v>
      </c>
      <c r="S1372">
        <v>2.65</v>
      </c>
      <c r="T1372">
        <v>0</v>
      </c>
      <c r="U1372" t="s">
        <v>22</v>
      </c>
      <c r="V1372" t="e">
        <f>IF(#REF! = "yes", 1, 0)</f>
        <v>#REF!</v>
      </c>
      <c r="W1372" t="e">
        <f>IF(#REF! &lt;= 1, "0-1 Calls", IF(#REF! &lt;= 3, "2-3 Calls", IF(#REF! &lt;=5, "4-5 Calls", "6+ Calls")))</f>
        <v>#REF!</v>
      </c>
      <c r="X1372" t="e">
        <f>IF(#REF! &lt;= 50, "0-50", IF(#REF! &lt;=100, "51-100", IF(#REF! &lt;= 150, "101-150", "151+")))</f>
        <v>#REF!</v>
      </c>
      <c r="Y1372" t="e">
        <f>IF(#REF! &lt;= 3, "Low Charges", "High Charges")</f>
        <v>#REF!</v>
      </c>
      <c r="Z1372" t="e">
        <f>IF(#REF!&lt;=80,"Low Calls",
IF(#REF!&lt;=120,"Medium Calls","High Calls"))</f>
        <v>#REF!</v>
      </c>
      <c r="AA1372" t="e">
        <f>IF(#REF!&lt;=15,"Low Charges",
IF(#REF!&lt;=20,"Medium Charges","High Charges"))</f>
        <v>#REF!</v>
      </c>
      <c r="AB1372" t="e">
        <f>IF(AND(#REF!&gt;180, #REF!&gt;200), "Heavy Doemstic User", IF(#REF!&gt;10, "Interntional User", IF(AND(#REF!&lt;180, #REF!&lt;200,#REF!&lt;200), "Light User", "Balanced User")))</f>
        <v>#REF!</v>
      </c>
      <c r="AC1372" t="e">
        <f>IF(#REF! = 0, "No Usage", IF(#REF! &lt;= 20, "Low Usage", IF(#REF! &lt;= 40, "Medium Usgae", "High Usage")))</f>
        <v>#REF!</v>
      </c>
      <c r="AD1372" t="e">
        <f>IF(#REF!&lt;=150,"Low Usage", IF(#REF!&lt;=200,"Medium Usage", IF(#REF!&lt;=250,"High Usage","Very High Usage")))</f>
        <v>#REF!</v>
      </c>
      <c r="AE1372" t="e">
        <f>IF(#REF!&lt;=5,"Low Calls", IF(#REF!&lt;=10, "Medium Calls", "High Calls"))</f>
        <v>#REF!</v>
      </c>
      <c r="AF1372" t="e">
        <f xml:space="preserve">
IF(#REF!&gt;=4,4,0)+
IF(#REF!="yes",3,0)+
IF(#REF!="High Charges",3,0)+
IF(#REF!&gt;250,4,0)+
IF(#REF!="no",1,0)+
IF(#REF!="Heavy Domestic User",2,0)</f>
        <v>#REF!</v>
      </c>
      <c r="AG1372" t="e">
        <f>IF(#REF!&gt;=10,"High Risk", IF(#REF!&gt;=5,"Medium Risk","Low Risk"))</f>
        <v>#REF!</v>
      </c>
      <c r="AH1372" t="e">
        <f>#REF! + #REF! + #REF! + #REF!</f>
        <v>#REF!</v>
      </c>
    </row>
    <row r="1373" spans="1:34" x14ac:dyDescent="0.35">
      <c r="A1373">
        <v>1372</v>
      </c>
      <c r="B1373" t="s">
        <v>58</v>
      </c>
      <c r="C1373">
        <v>149</v>
      </c>
      <c r="D1373" t="s">
        <v>28</v>
      </c>
      <c r="E1373" t="s">
        <v>22</v>
      </c>
      <c r="F1373" t="s">
        <v>22</v>
      </c>
      <c r="G1373">
        <v>0</v>
      </c>
      <c r="H1373">
        <v>207.3</v>
      </c>
      <c r="I1373">
        <v>115</v>
      </c>
      <c r="J1373">
        <v>35.24</v>
      </c>
      <c r="K1373">
        <v>198.4</v>
      </c>
      <c r="L1373">
        <v>82</v>
      </c>
      <c r="M1373">
        <v>16.86</v>
      </c>
      <c r="N1373">
        <v>114.1</v>
      </c>
      <c r="O1373">
        <v>83</v>
      </c>
      <c r="P1373">
        <v>5.13</v>
      </c>
      <c r="Q1373">
        <v>8.6</v>
      </c>
      <c r="R1373">
        <v>4</v>
      </c>
      <c r="S1373">
        <v>2.3199999999999998</v>
      </c>
      <c r="T1373">
        <v>1</v>
      </c>
      <c r="U1373" t="s">
        <v>22</v>
      </c>
      <c r="V1373" t="e">
        <f>IF(#REF! = "yes", 1, 0)</f>
        <v>#REF!</v>
      </c>
      <c r="W1373" t="e">
        <f>IF(#REF! &lt;= 1, "0-1 Calls", IF(#REF! &lt;= 3, "2-3 Calls", IF(#REF! &lt;=5, "4-5 Calls", "6+ Calls")))</f>
        <v>#REF!</v>
      </c>
      <c r="X1373" t="e">
        <f>IF(#REF! &lt;= 50, "0-50", IF(#REF! &lt;=100, "51-100", IF(#REF! &lt;= 150, "101-150", "151+")))</f>
        <v>#REF!</v>
      </c>
      <c r="Y1373" t="e">
        <f>IF(#REF! &lt;= 3, "Low Charges", "High Charges")</f>
        <v>#REF!</v>
      </c>
      <c r="Z1373" t="e">
        <f>IF(#REF!&lt;=80,"Low Calls",
IF(#REF!&lt;=120,"Medium Calls","High Calls"))</f>
        <v>#REF!</v>
      </c>
      <c r="AA1373" t="e">
        <f>IF(#REF!&lt;=15,"Low Charges",
IF(#REF!&lt;=20,"Medium Charges","High Charges"))</f>
        <v>#REF!</v>
      </c>
      <c r="AB1373" t="e">
        <f>IF(AND(#REF!&gt;180, #REF!&gt;200), "Heavy Doemstic User", IF(#REF!&gt;10, "Interntional User", IF(AND(#REF!&lt;180, #REF!&lt;200,#REF!&lt;200), "Light User", "Balanced User")))</f>
        <v>#REF!</v>
      </c>
      <c r="AC1373" t="e">
        <f>IF(#REF! = 0, "No Usage", IF(#REF! &lt;= 20, "Low Usage", IF(#REF! &lt;= 40, "Medium Usgae", "High Usage")))</f>
        <v>#REF!</v>
      </c>
      <c r="AD1373" t="e">
        <f>IF(#REF!&lt;=150,"Low Usage", IF(#REF!&lt;=200,"Medium Usage", IF(#REF!&lt;=250,"High Usage","Very High Usage")))</f>
        <v>#REF!</v>
      </c>
      <c r="AE1373" t="e">
        <f>IF(#REF!&lt;=5,"Low Calls", IF(#REF!&lt;=10, "Medium Calls", "High Calls"))</f>
        <v>#REF!</v>
      </c>
      <c r="AF1373" t="e">
        <f xml:space="preserve">
IF(#REF!&gt;=4,4,0)+
IF(#REF!="yes",3,0)+
IF(#REF!="High Charges",3,0)+
IF(#REF!&gt;250,4,0)+
IF(#REF!="no",1,0)+
IF(#REF!="Heavy Domestic User",2,0)</f>
        <v>#REF!</v>
      </c>
      <c r="AG1373" t="e">
        <f>IF(#REF!&gt;=10,"High Risk", IF(#REF!&gt;=5,"Medium Risk","Low Risk"))</f>
        <v>#REF!</v>
      </c>
      <c r="AH1373" t="e">
        <f>#REF! + #REF! + #REF! + #REF!</f>
        <v>#REF!</v>
      </c>
    </row>
    <row r="1374" spans="1:34" x14ac:dyDescent="0.35">
      <c r="A1374">
        <v>1373</v>
      </c>
      <c r="B1374" t="s">
        <v>20</v>
      </c>
      <c r="C1374">
        <v>29</v>
      </c>
      <c r="D1374" t="s">
        <v>25</v>
      </c>
      <c r="E1374" t="s">
        <v>22</v>
      </c>
      <c r="F1374" t="s">
        <v>22</v>
      </c>
      <c r="G1374">
        <v>0</v>
      </c>
      <c r="H1374">
        <v>196.8</v>
      </c>
      <c r="I1374">
        <v>81</v>
      </c>
      <c r="J1374">
        <v>33.46</v>
      </c>
      <c r="K1374">
        <v>168</v>
      </c>
      <c r="L1374">
        <v>110</v>
      </c>
      <c r="M1374">
        <v>14.28</v>
      </c>
      <c r="N1374">
        <v>132.6</v>
      </c>
      <c r="O1374">
        <v>98</v>
      </c>
      <c r="P1374">
        <v>5.97</v>
      </c>
      <c r="Q1374">
        <v>12.7</v>
      </c>
      <c r="R1374">
        <v>7</v>
      </c>
      <c r="S1374">
        <v>3.43</v>
      </c>
      <c r="T1374">
        <v>2</v>
      </c>
      <c r="U1374" t="s">
        <v>22</v>
      </c>
      <c r="V1374" t="e">
        <f>IF(#REF! = "yes", 1, 0)</f>
        <v>#REF!</v>
      </c>
      <c r="W1374" t="e">
        <f>IF(#REF! &lt;= 1, "0-1 Calls", IF(#REF! &lt;= 3, "2-3 Calls", IF(#REF! &lt;=5, "4-5 Calls", "6+ Calls")))</f>
        <v>#REF!</v>
      </c>
      <c r="X1374" t="e">
        <f>IF(#REF! &lt;= 50, "0-50", IF(#REF! &lt;=100, "51-100", IF(#REF! &lt;= 150, "101-150", "151+")))</f>
        <v>#REF!</v>
      </c>
      <c r="Y1374" t="e">
        <f>IF(#REF! &lt;= 3, "Low Charges", "High Charges")</f>
        <v>#REF!</v>
      </c>
      <c r="Z1374" t="e">
        <f>IF(#REF!&lt;=80,"Low Calls",
IF(#REF!&lt;=120,"Medium Calls","High Calls"))</f>
        <v>#REF!</v>
      </c>
      <c r="AA1374" t="e">
        <f>IF(#REF!&lt;=15,"Low Charges",
IF(#REF!&lt;=20,"Medium Charges","High Charges"))</f>
        <v>#REF!</v>
      </c>
      <c r="AB1374" t="e">
        <f>IF(AND(#REF!&gt;180, #REF!&gt;200), "Heavy Doemstic User", IF(#REF!&gt;10, "Interntional User", IF(AND(#REF!&lt;180, #REF!&lt;200,#REF!&lt;200), "Light User", "Balanced User")))</f>
        <v>#REF!</v>
      </c>
      <c r="AC1374" t="e">
        <f>IF(#REF! = 0, "No Usage", IF(#REF! &lt;= 20, "Low Usage", IF(#REF! &lt;= 40, "Medium Usgae", "High Usage")))</f>
        <v>#REF!</v>
      </c>
      <c r="AD1374" t="e">
        <f>IF(#REF!&lt;=150,"Low Usage", IF(#REF!&lt;=200,"Medium Usage", IF(#REF!&lt;=250,"High Usage","Very High Usage")))</f>
        <v>#REF!</v>
      </c>
      <c r="AE1374" t="e">
        <f>IF(#REF!&lt;=5,"Low Calls", IF(#REF!&lt;=10, "Medium Calls", "High Calls"))</f>
        <v>#REF!</v>
      </c>
      <c r="AF1374" t="e">
        <f xml:space="preserve">
IF(#REF!&gt;=4,4,0)+
IF(#REF!="yes",3,0)+
IF(#REF!="High Charges",3,0)+
IF(#REF!&gt;250,4,0)+
IF(#REF!="no",1,0)+
IF(#REF!="Heavy Domestic User",2,0)</f>
        <v>#REF!</v>
      </c>
      <c r="AG1374" t="e">
        <f>IF(#REF!&gt;=10,"High Risk", IF(#REF!&gt;=5,"Medium Risk","Low Risk"))</f>
        <v>#REF!</v>
      </c>
      <c r="AH1374" t="e">
        <f>#REF! + #REF! + #REF! + #REF!</f>
        <v>#REF!</v>
      </c>
    </row>
    <row r="1375" spans="1:34" x14ac:dyDescent="0.35">
      <c r="A1375">
        <v>1374</v>
      </c>
      <c r="B1375" t="s">
        <v>44</v>
      </c>
      <c r="C1375">
        <v>131</v>
      </c>
      <c r="D1375" t="s">
        <v>28</v>
      </c>
      <c r="E1375" t="s">
        <v>22</v>
      </c>
      <c r="F1375" t="s">
        <v>22</v>
      </c>
      <c r="G1375">
        <v>0</v>
      </c>
      <c r="H1375">
        <v>110.9</v>
      </c>
      <c r="I1375">
        <v>74</v>
      </c>
      <c r="J1375">
        <v>18.850000000000001</v>
      </c>
      <c r="K1375">
        <v>115.6</v>
      </c>
      <c r="L1375">
        <v>90</v>
      </c>
      <c r="M1375">
        <v>9.83</v>
      </c>
      <c r="N1375">
        <v>190.5</v>
      </c>
      <c r="O1375">
        <v>114</v>
      </c>
      <c r="P1375">
        <v>8.57</v>
      </c>
      <c r="Q1375">
        <v>15.8</v>
      </c>
      <c r="R1375">
        <v>9</v>
      </c>
      <c r="S1375">
        <v>4.2699999999999996</v>
      </c>
      <c r="T1375">
        <v>1</v>
      </c>
      <c r="U1375" t="s">
        <v>22</v>
      </c>
      <c r="V1375" t="e">
        <f>IF(#REF! = "yes", 1, 0)</f>
        <v>#REF!</v>
      </c>
      <c r="W1375" t="e">
        <f>IF(#REF! &lt;= 1, "0-1 Calls", IF(#REF! &lt;= 3, "2-3 Calls", IF(#REF! &lt;=5, "4-5 Calls", "6+ Calls")))</f>
        <v>#REF!</v>
      </c>
      <c r="X1375" t="e">
        <f>IF(#REF! &lt;= 50, "0-50", IF(#REF! &lt;=100, "51-100", IF(#REF! &lt;= 150, "101-150", "151+")))</f>
        <v>#REF!</v>
      </c>
      <c r="Y1375" t="e">
        <f>IF(#REF! &lt;= 3, "Low Charges", "High Charges")</f>
        <v>#REF!</v>
      </c>
      <c r="Z1375" t="e">
        <f>IF(#REF!&lt;=80,"Low Calls",
IF(#REF!&lt;=120,"Medium Calls","High Calls"))</f>
        <v>#REF!</v>
      </c>
      <c r="AA1375" t="e">
        <f>IF(#REF!&lt;=15,"Low Charges",
IF(#REF!&lt;=20,"Medium Charges","High Charges"))</f>
        <v>#REF!</v>
      </c>
      <c r="AB1375" t="e">
        <f>IF(AND(#REF!&gt;180, #REF!&gt;200), "Heavy Doemstic User", IF(#REF!&gt;10, "Interntional User", IF(AND(#REF!&lt;180, #REF!&lt;200,#REF!&lt;200), "Light User", "Balanced User")))</f>
        <v>#REF!</v>
      </c>
      <c r="AC1375" t="e">
        <f>IF(#REF! = 0, "No Usage", IF(#REF! &lt;= 20, "Low Usage", IF(#REF! &lt;= 40, "Medium Usgae", "High Usage")))</f>
        <v>#REF!</v>
      </c>
      <c r="AD1375" t="e">
        <f>IF(#REF!&lt;=150,"Low Usage", IF(#REF!&lt;=200,"Medium Usage", IF(#REF!&lt;=250,"High Usage","Very High Usage")))</f>
        <v>#REF!</v>
      </c>
      <c r="AE1375" t="e">
        <f>IF(#REF!&lt;=5,"Low Calls", IF(#REF!&lt;=10, "Medium Calls", "High Calls"))</f>
        <v>#REF!</v>
      </c>
      <c r="AF1375" t="e">
        <f xml:space="preserve">
IF(#REF!&gt;=4,4,0)+
IF(#REF!="yes",3,0)+
IF(#REF!="High Charges",3,0)+
IF(#REF!&gt;250,4,0)+
IF(#REF!="no",1,0)+
IF(#REF!="Heavy Domestic User",2,0)</f>
        <v>#REF!</v>
      </c>
      <c r="AG1375" t="e">
        <f>IF(#REF!&gt;=10,"High Risk", IF(#REF!&gt;=5,"Medium Risk","Low Risk"))</f>
        <v>#REF!</v>
      </c>
      <c r="AH1375" t="e">
        <f>#REF! + #REF! + #REF! + #REF!</f>
        <v>#REF!</v>
      </c>
    </row>
    <row r="1376" spans="1:34" x14ac:dyDescent="0.35">
      <c r="A1376">
        <v>1375</v>
      </c>
      <c r="B1376" t="s">
        <v>24</v>
      </c>
      <c r="C1376">
        <v>153</v>
      </c>
      <c r="D1376" t="s">
        <v>28</v>
      </c>
      <c r="E1376" t="s">
        <v>22</v>
      </c>
      <c r="F1376" t="s">
        <v>22</v>
      </c>
      <c r="G1376">
        <v>0</v>
      </c>
      <c r="H1376">
        <v>122.5</v>
      </c>
      <c r="I1376">
        <v>145</v>
      </c>
      <c r="J1376">
        <v>20.83</v>
      </c>
      <c r="K1376">
        <v>273.3</v>
      </c>
      <c r="L1376">
        <v>103</v>
      </c>
      <c r="M1376">
        <v>23.23</v>
      </c>
      <c r="N1376">
        <v>197.8</v>
      </c>
      <c r="O1376">
        <v>71</v>
      </c>
      <c r="P1376">
        <v>8.9</v>
      </c>
      <c r="Q1376">
        <v>8</v>
      </c>
      <c r="R1376">
        <v>3</v>
      </c>
      <c r="S1376">
        <v>2.16</v>
      </c>
      <c r="T1376">
        <v>2</v>
      </c>
      <c r="U1376" t="s">
        <v>22</v>
      </c>
      <c r="V1376" t="e">
        <f>IF(#REF! = "yes", 1, 0)</f>
        <v>#REF!</v>
      </c>
      <c r="W1376" t="e">
        <f>IF(#REF! &lt;= 1, "0-1 Calls", IF(#REF! &lt;= 3, "2-3 Calls", IF(#REF! &lt;=5, "4-5 Calls", "6+ Calls")))</f>
        <v>#REF!</v>
      </c>
      <c r="X1376" t="e">
        <f>IF(#REF! &lt;= 50, "0-50", IF(#REF! &lt;=100, "51-100", IF(#REF! &lt;= 150, "101-150", "151+")))</f>
        <v>#REF!</v>
      </c>
      <c r="Y1376" t="e">
        <f>IF(#REF! &lt;= 3, "Low Charges", "High Charges")</f>
        <v>#REF!</v>
      </c>
      <c r="Z1376" t="e">
        <f>IF(#REF!&lt;=80,"Low Calls",
IF(#REF!&lt;=120,"Medium Calls","High Calls"))</f>
        <v>#REF!</v>
      </c>
      <c r="AA1376" t="e">
        <f>IF(#REF!&lt;=15,"Low Charges",
IF(#REF!&lt;=20,"Medium Charges","High Charges"))</f>
        <v>#REF!</v>
      </c>
      <c r="AB1376" t="e">
        <f>IF(AND(#REF!&gt;180, #REF!&gt;200), "Heavy Doemstic User", IF(#REF!&gt;10, "Interntional User", IF(AND(#REF!&lt;180, #REF!&lt;200,#REF!&lt;200), "Light User", "Balanced User")))</f>
        <v>#REF!</v>
      </c>
      <c r="AC1376" t="e">
        <f>IF(#REF! = 0, "No Usage", IF(#REF! &lt;= 20, "Low Usage", IF(#REF! &lt;= 40, "Medium Usgae", "High Usage")))</f>
        <v>#REF!</v>
      </c>
      <c r="AD1376" t="e">
        <f>IF(#REF!&lt;=150,"Low Usage", IF(#REF!&lt;=200,"Medium Usage", IF(#REF!&lt;=250,"High Usage","Very High Usage")))</f>
        <v>#REF!</v>
      </c>
      <c r="AE1376" t="e">
        <f>IF(#REF!&lt;=5,"Low Calls", IF(#REF!&lt;=10, "Medium Calls", "High Calls"))</f>
        <v>#REF!</v>
      </c>
      <c r="AF1376" t="e">
        <f xml:space="preserve">
IF(#REF!&gt;=4,4,0)+
IF(#REF!="yes",3,0)+
IF(#REF!="High Charges",3,0)+
IF(#REF!&gt;250,4,0)+
IF(#REF!="no",1,0)+
IF(#REF!="Heavy Domestic User",2,0)</f>
        <v>#REF!</v>
      </c>
      <c r="AG1376" t="e">
        <f>IF(#REF!&gt;=10,"High Risk", IF(#REF!&gt;=5,"Medium Risk","Low Risk"))</f>
        <v>#REF!</v>
      </c>
      <c r="AH1376" t="e">
        <f>#REF! + #REF! + #REF! + #REF!</f>
        <v>#REF!</v>
      </c>
    </row>
    <row r="1377" spans="1:34" x14ac:dyDescent="0.35">
      <c r="A1377">
        <v>1376</v>
      </c>
      <c r="B1377" t="s">
        <v>51</v>
      </c>
      <c r="C1377">
        <v>133</v>
      </c>
      <c r="D1377" t="s">
        <v>28</v>
      </c>
      <c r="E1377" t="s">
        <v>22</v>
      </c>
      <c r="F1377" t="s">
        <v>22</v>
      </c>
      <c r="G1377">
        <v>0</v>
      </c>
      <c r="H1377">
        <v>187</v>
      </c>
      <c r="I1377">
        <v>65</v>
      </c>
      <c r="J1377">
        <v>31.79</v>
      </c>
      <c r="K1377">
        <v>141.4</v>
      </c>
      <c r="L1377">
        <v>128</v>
      </c>
      <c r="M1377">
        <v>12.02</v>
      </c>
      <c r="N1377">
        <v>238.2</v>
      </c>
      <c r="O1377">
        <v>108</v>
      </c>
      <c r="P1377">
        <v>10.72</v>
      </c>
      <c r="Q1377">
        <v>10</v>
      </c>
      <c r="R1377">
        <v>8</v>
      </c>
      <c r="S1377">
        <v>2.7</v>
      </c>
      <c r="T1377">
        <v>2</v>
      </c>
      <c r="U1377" t="s">
        <v>22</v>
      </c>
      <c r="V1377" t="e">
        <f>IF(#REF! = "yes", 1, 0)</f>
        <v>#REF!</v>
      </c>
      <c r="W1377" t="e">
        <f>IF(#REF! &lt;= 1, "0-1 Calls", IF(#REF! &lt;= 3, "2-3 Calls", IF(#REF! &lt;=5, "4-5 Calls", "6+ Calls")))</f>
        <v>#REF!</v>
      </c>
      <c r="X1377" t="e">
        <f>IF(#REF! &lt;= 50, "0-50", IF(#REF! &lt;=100, "51-100", IF(#REF! &lt;= 150, "101-150", "151+")))</f>
        <v>#REF!</v>
      </c>
      <c r="Y1377" t="e">
        <f>IF(#REF! &lt;= 3, "Low Charges", "High Charges")</f>
        <v>#REF!</v>
      </c>
      <c r="Z1377" t="e">
        <f>IF(#REF!&lt;=80,"Low Calls",
IF(#REF!&lt;=120,"Medium Calls","High Calls"))</f>
        <v>#REF!</v>
      </c>
      <c r="AA1377" t="e">
        <f>IF(#REF!&lt;=15,"Low Charges",
IF(#REF!&lt;=20,"Medium Charges","High Charges"))</f>
        <v>#REF!</v>
      </c>
      <c r="AB1377" t="e">
        <f>IF(AND(#REF!&gt;180, #REF!&gt;200), "Heavy Doemstic User", IF(#REF!&gt;10, "Interntional User", IF(AND(#REF!&lt;180, #REF!&lt;200,#REF!&lt;200), "Light User", "Balanced User")))</f>
        <v>#REF!</v>
      </c>
      <c r="AC1377" t="e">
        <f>IF(#REF! = 0, "No Usage", IF(#REF! &lt;= 20, "Low Usage", IF(#REF! &lt;= 40, "Medium Usgae", "High Usage")))</f>
        <v>#REF!</v>
      </c>
      <c r="AD1377" t="e">
        <f>IF(#REF!&lt;=150,"Low Usage", IF(#REF!&lt;=200,"Medium Usage", IF(#REF!&lt;=250,"High Usage","Very High Usage")))</f>
        <v>#REF!</v>
      </c>
      <c r="AE1377" t="e">
        <f>IF(#REF!&lt;=5,"Low Calls", IF(#REF!&lt;=10, "Medium Calls", "High Calls"))</f>
        <v>#REF!</v>
      </c>
      <c r="AF1377" t="e">
        <f xml:space="preserve">
IF(#REF!&gt;=4,4,0)+
IF(#REF!="yes",3,0)+
IF(#REF!="High Charges",3,0)+
IF(#REF!&gt;250,4,0)+
IF(#REF!="no",1,0)+
IF(#REF!="Heavy Domestic User",2,0)</f>
        <v>#REF!</v>
      </c>
      <c r="AG1377" t="e">
        <f>IF(#REF!&gt;=10,"High Risk", IF(#REF!&gt;=5,"Medium Risk","Low Risk"))</f>
        <v>#REF!</v>
      </c>
      <c r="AH1377" t="e">
        <f>#REF! + #REF! + #REF! + #REF!</f>
        <v>#REF!</v>
      </c>
    </row>
    <row r="1378" spans="1:34" x14ac:dyDescent="0.35">
      <c r="A1378">
        <v>1377</v>
      </c>
      <c r="B1378" t="s">
        <v>65</v>
      </c>
      <c r="C1378">
        <v>112</v>
      </c>
      <c r="D1378" t="s">
        <v>21</v>
      </c>
      <c r="E1378" t="s">
        <v>22</v>
      </c>
      <c r="F1378" t="s">
        <v>22</v>
      </c>
      <c r="G1378">
        <v>0</v>
      </c>
      <c r="H1378">
        <v>170.5</v>
      </c>
      <c r="I1378">
        <v>113</v>
      </c>
      <c r="J1378">
        <v>28.99</v>
      </c>
      <c r="K1378">
        <v>193.2</v>
      </c>
      <c r="L1378">
        <v>129</v>
      </c>
      <c r="M1378">
        <v>16.420000000000002</v>
      </c>
      <c r="N1378">
        <v>188</v>
      </c>
      <c r="O1378">
        <v>91</v>
      </c>
      <c r="P1378">
        <v>8.4600000000000009</v>
      </c>
      <c r="Q1378">
        <v>11.2</v>
      </c>
      <c r="R1378">
        <v>6</v>
      </c>
      <c r="S1378">
        <v>3.02</v>
      </c>
      <c r="T1378">
        <v>0</v>
      </c>
      <c r="U1378" t="s">
        <v>22</v>
      </c>
      <c r="V1378" t="e">
        <f>IF(#REF! = "yes", 1, 0)</f>
        <v>#REF!</v>
      </c>
      <c r="W1378" t="e">
        <f>IF(#REF! &lt;= 1, "0-1 Calls", IF(#REF! &lt;= 3, "2-3 Calls", IF(#REF! &lt;=5, "4-5 Calls", "6+ Calls")))</f>
        <v>#REF!</v>
      </c>
      <c r="X1378" t="e">
        <f>IF(#REF! &lt;= 50, "0-50", IF(#REF! &lt;=100, "51-100", IF(#REF! &lt;= 150, "101-150", "151+")))</f>
        <v>#REF!</v>
      </c>
      <c r="Y1378" t="e">
        <f>IF(#REF! &lt;= 3, "Low Charges", "High Charges")</f>
        <v>#REF!</v>
      </c>
      <c r="Z1378" t="e">
        <f>IF(#REF!&lt;=80,"Low Calls",
IF(#REF!&lt;=120,"Medium Calls","High Calls"))</f>
        <v>#REF!</v>
      </c>
      <c r="AA1378" t="e">
        <f>IF(#REF!&lt;=15,"Low Charges",
IF(#REF!&lt;=20,"Medium Charges","High Charges"))</f>
        <v>#REF!</v>
      </c>
      <c r="AB1378" t="e">
        <f>IF(AND(#REF!&gt;180, #REF!&gt;200), "Heavy Doemstic User", IF(#REF!&gt;10, "Interntional User", IF(AND(#REF!&lt;180, #REF!&lt;200,#REF!&lt;200), "Light User", "Balanced User")))</f>
        <v>#REF!</v>
      </c>
      <c r="AC1378" t="e">
        <f>IF(#REF! = 0, "No Usage", IF(#REF! &lt;= 20, "Low Usage", IF(#REF! &lt;= 40, "Medium Usgae", "High Usage")))</f>
        <v>#REF!</v>
      </c>
      <c r="AD1378" t="e">
        <f>IF(#REF!&lt;=150,"Low Usage", IF(#REF!&lt;=200,"Medium Usage", IF(#REF!&lt;=250,"High Usage","Very High Usage")))</f>
        <v>#REF!</v>
      </c>
      <c r="AE1378" t="e">
        <f>IF(#REF!&lt;=5,"Low Calls", IF(#REF!&lt;=10, "Medium Calls", "High Calls"))</f>
        <v>#REF!</v>
      </c>
      <c r="AF1378" t="e">
        <f xml:space="preserve">
IF(#REF!&gt;=4,4,0)+
IF(#REF!="yes",3,0)+
IF(#REF!="High Charges",3,0)+
IF(#REF!&gt;250,4,0)+
IF(#REF!="no",1,0)+
IF(#REF!="Heavy Domestic User",2,0)</f>
        <v>#REF!</v>
      </c>
      <c r="AG1378" t="e">
        <f>IF(#REF!&gt;=10,"High Risk", IF(#REF!&gt;=5,"Medium Risk","Low Risk"))</f>
        <v>#REF!</v>
      </c>
      <c r="AH1378" t="e">
        <f>#REF! + #REF! + #REF! + #REF!</f>
        <v>#REF!</v>
      </c>
    </row>
    <row r="1379" spans="1:34" x14ac:dyDescent="0.35">
      <c r="A1379">
        <v>1378</v>
      </c>
      <c r="B1379" t="s">
        <v>36</v>
      </c>
      <c r="C1379">
        <v>87</v>
      </c>
      <c r="D1379" t="s">
        <v>21</v>
      </c>
      <c r="E1379" t="s">
        <v>22</v>
      </c>
      <c r="F1379" t="s">
        <v>22</v>
      </c>
      <c r="G1379">
        <v>0</v>
      </c>
      <c r="H1379">
        <v>204.8</v>
      </c>
      <c r="I1379">
        <v>101</v>
      </c>
      <c r="J1379">
        <v>34.82</v>
      </c>
      <c r="K1379">
        <v>161</v>
      </c>
      <c r="L1379">
        <v>80</v>
      </c>
      <c r="M1379">
        <v>13.69</v>
      </c>
      <c r="N1379">
        <v>285.7</v>
      </c>
      <c r="O1379">
        <v>89</v>
      </c>
      <c r="P1379">
        <v>12.86</v>
      </c>
      <c r="Q1379">
        <v>9.5</v>
      </c>
      <c r="R1379">
        <v>3</v>
      </c>
      <c r="S1379">
        <v>2.57</v>
      </c>
      <c r="T1379">
        <v>0</v>
      </c>
      <c r="U1379" t="s">
        <v>22</v>
      </c>
      <c r="V1379" t="e">
        <f>IF(#REF! = "yes", 1, 0)</f>
        <v>#REF!</v>
      </c>
      <c r="W1379" t="e">
        <f>IF(#REF! &lt;= 1, "0-1 Calls", IF(#REF! &lt;= 3, "2-3 Calls", IF(#REF! &lt;=5, "4-5 Calls", "6+ Calls")))</f>
        <v>#REF!</v>
      </c>
      <c r="X1379" t="e">
        <f>IF(#REF! &lt;= 50, "0-50", IF(#REF! &lt;=100, "51-100", IF(#REF! &lt;= 150, "101-150", "151+")))</f>
        <v>#REF!</v>
      </c>
      <c r="Y1379" t="e">
        <f>IF(#REF! &lt;= 3, "Low Charges", "High Charges")</f>
        <v>#REF!</v>
      </c>
      <c r="Z1379" t="e">
        <f>IF(#REF!&lt;=80,"Low Calls",
IF(#REF!&lt;=120,"Medium Calls","High Calls"))</f>
        <v>#REF!</v>
      </c>
      <c r="AA1379" t="e">
        <f>IF(#REF!&lt;=15,"Low Charges",
IF(#REF!&lt;=20,"Medium Charges","High Charges"))</f>
        <v>#REF!</v>
      </c>
      <c r="AB1379" t="e">
        <f>IF(AND(#REF!&gt;180, #REF!&gt;200), "Heavy Doemstic User", IF(#REF!&gt;10, "Interntional User", IF(AND(#REF!&lt;180, #REF!&lt;200,#REF!&lt;200), "Light User", "Balanced User")))</f>
        <v>#REF!</v>
      </c>
      <c r="AC1379" t="e">
        <f>IF(#REF! = 0, "No Usage", IF(#REF! &lt;= 20, "Low Usage", IF(#REF! &lt;= 40, "Medium Usgae", "High Usage")))</f>
        <v>#REF!</v>
      </c>
      <c r="AD1379" t="e">
        <f>IF(#REF!&lt;=150,"Low Usage", IF(#REF!&lt;=200,"Medium Usage", IF(#REF!&lt;=250,"High Usage","Very High Usage")))</f>
        <v>#REF!</v>
      </c>
      <c r="AE1379" t="e">
        <f>IF(#REF!&lt;=5,"Low Calls", IF(#REF!&lt;=10, "Medium Calls", "High Calls"))</f>
        <v>#REF!</v>
      </c>
      <c r="AF1379" t="e">
        <f xml:space="preserve">
IF(#REF!&gt;=4,4,0)+
IF(#REF!="yes",3,0)+
IF(#REF!="High Charges",3,0)+
IF(#REF!&gt;250,4,0)+
IF(#REF!="no",1,0)+
IF(#REF!="Heavy Domestic User",2,0)</f>
        <v>#REF!</v>
      </c>
      <c r="AG1379" t="e">
        <f>IF(#REF!&gt;=10,"High Risk", IF(#REF!&gt;=5,"Medium Risk","Low Risk"))</f>
        <v>#REF!</v>
      </c>
      <c r="AH1379" t="e">
        <f>#REF! + #REF! + #REF! + #REF!</f>
        <v>#REF!</v>
      </c>
    </row>
    <row r="1380" spans="1:34" x14ac:dyDescent="0.35">
      <c r="A1380">
        <v>1379</v>
      </c>
      <c r="B1380" t="s">
        <v>42</v>
      </c>
      <c r="C1380">
        <v>66</v>
      </c>
      <c r="D1380" t="s">
        <v>28</v>
      </c>
      <c r="E1380" t="s">
        <v>22</v>
      </c>
      <c r="F1380" t="s">
        <v>22</v>
      </c>
      <c r="G1380">
        <v>0</v>
      </c>
      <c r="H1380">
        <v>154</v>
      </c>
      <c r="I1380">
        <v>133</v>
      </c>
      <c r="J1380">
        <v>26.18</v>
      </c>
      <c r="K1380">
        <v>198.9</v>
      </c>
      <c r="L1380">
        <v>121</v>
      </c>
      <c r="M1380">
        <v>16.91</v>
      </c>
      <c r="N1380">
        <v>151.9</v>
      </c>
      <c r="O1380">
        <v>100</v>
      </c>
      <c r="P1380">
        <v>6.84</v>
      </c>
      <c r="Q1380">
        <v>9.5</v>
      </c>
      <c r="R1380">
        <v>3</v>
      </c>
      <c r="S1380">
        <v>2.57</v>
      </c>
      <c r="T1380">
        <v>4</v>
      </c>
      <c r="U1380" t="s">
        <v>23</v>
      </c>
      <c r="V1380" t="e">
        <f>IF(#REF! = "yes", 1, 0)</f>
        <v>#REF!</v>
      </c>
      <c r="W1380" t="e">
        <f>IF(#REF! &lt;= 1, "0-1 Calls", IF(#REF! &lt;= 3, "2-3 Calls", IF(#REF! &lt;=5, "4-5 Calls", "6+ Calls")))</f>
        <v>#REF!</v>
      </c>
      <c r="X1380" t="e">
        <f>IF(#REF! &lt;= 50, "0-50", IF(#REF! &lt;=100, "51-100", IF(#REF! &lt;= 150, "101-150", "151+")))</f>
        <v>#REF!</v>
      </c>
      <c r="Y1380" t="e">
        <f>IF(#REF! &lt;= 3, "Low Charges", "High Charges")</f>
        <v>#REF!</v>
      </c>
      <c r="Z1380" t="e">
        <f>IF(#REF!&lt;=80,"Low Calls",
IF(#REF!&lt;=120,"Medium Calls","High Calls"))</f>
        <v>#REF!</v>
      </c>
      <c r="AA1380" t="e">
        <f>IF(#REF!&lt;=15,"Low Charges",
IF(#REF!&lt;=20,"Medium Charges","High Charges"))</f>
        <v>#REF!</v>
      </c>
      <c r="AB1380" t="e">
        <f>IF(AND(#REF!&gt;180, #REF!&gt;200), "Heavy Doemstic User", IF(#REF!&gt;10, "Interntional User", IF(AND(#REF!&lt;180, #REF!&lt;200,#REF!&lt;200), "Light User", "Balanced User")))</f>
        <v>#REF!</v>
      </c>
      <c r="AC1380" t="e">
        <f>IF(#REF! = 0, "No Usage", IF(#REF! &lt;= 20, "Low Usage", IF(#REF! &lt;= 40, "Medium Usgae", "High Usage")))</f>
        <v>#REF!</v>
      </c>
      <c r="AD1380" t="e">
        <f>IF(#REF!&lt;=150,"Low Usage", IF(#REF!&lt;=200,"Medium Usage", IF(#REF!&lt;=250,"High Usage","Very High Usage")))</f>
        <v>#REF!</v>
      </c>
      <c r="AE1380" t="e">
        <f>IF(#REF!&lt;=5,"Low Calls", IF(#REF!&lt;=10, "Medium Calls", "High Calls"))</f>
        <v>#REF!</v>
      </c>
      <c r="AF1380" t="e">
        <f xml:space="preserve">
IF(#REF!&gt;=4,4,0)+
IF(#REF!="yes",3,0)+
IF(#REF!="High Charges",3,0)+
IF(#REF!&gt;250,4,0)+
IF(#REF!="no",1,0)+
IF(#REF!="Heavy Domestic User",2,0)</f>
        <v>#REF!</v>
      </c>
      <c r="AG1380" t="e">
        <f>IF(#REF!&gt;=10,"High Risk", IF(#REF!&gt;=5,"Medium Risk","Low Risk"))</f>
        <v>#REF!</v>
      </c>
      <c r="AH1380" t="e">
        <f>#REF! + #REF! + #REF! + #REF!</f>
        <v>#REF!</v>
      </c>
    </row>
    <row r="1381" spans="1:34" x14ac:dyDescent="0.35">
      <c r="A1381">
        <v>1380</v>
      </c>
      <c r="B1381" t="s">
        <v>41</v>
      </c>
      <c r="C1381">
        <v>74</v>
      </c>
      <c r="D1381" t="s">
        <v>21</v>
      </c>
      <c r="E1381" t="s">
        <v>22</v>
      </c>
      <c r="F1381" t="s">
        <v>22</v>
      </c>
      <c r="G1381">
        <v>0</v>
      </c>
      <c r="H1381">
        <v>225.2</v>
      </c>
      <c r="I1381">
        <v>93</v>
      </c>
      <c r="J1381">
        <v>38.28</v>
      </c>
      <c r="K1381">
        <v>215.1</v>
      </c>
      <c r="L1381">
        <v>120</v>
      </c>
      <c r="M1381">
        <v>18.28</v>
      </c>
      <c r="N1381">
        <v>241.8</v>
      </c>
      <c r="O1381">
        <v>95</v>
      </c>
      <c r="P1381">
        <v>10.88</v>
      </c>
      <c r="Q1381">
        <v>9.1</v>
      </c>
      <c r="R1381">
        <v>2</v>
      </c>
      <c r="S1381">
        <v>2.46</v>
      </c>
      <c r="T1381">
        <v>2</v>
      </c>
      <c r="U1381" t="s">
        <v>22</v>
      </c>
      <c r="V1381" t="e">
        <f>IF(#REF! = "yes", 1, 0)</f>
        <v>#REF!</v>
      </c>
      <c r="W1381" t="e">
        <f>IF(#REF! &lt;= 1, "0-1 Calls", IF(#REF! &lt;= 3, "2-3 Calls", IF(#REF! &lt;=5, "4-5 Calls", "6+ Calls")))</f>
        <v>#REF!</v>
      </c>
      <c r="X1381" t="e">
        <f>IF(#REF! &lt;= 50, "0-50", IF(#REF! &lt;=100, "51-100", IF(#REF! &lt;= 150, "101-150", "151+")))</f>
        <v>#REF!</v>
      </c>
      <c r="Y1381" t="e">
        <f>IF(#REF! &lt;= 3, "Low Charges", "High Charges")</f>
        <v>#REF!</v>
      </c>
      <c r="Z1381" t="e">
        <f>IF(#REF!&lt;=80,"Low Calls",
IF(#REF!&lt;=120,"Medium Calls","High Calls"))</f>
        <v>#REF!</v>
      </c>
      <c r="AA1381" t="e">
        <f>IF(#REF!&lt;=15,"Low Charges",
IF(#REF!&lt;=20,"Medium Charges","High Charges"))</f>
        <v>#REF!</v>
      </c>
      <c r="AB1381" t="e">
        <f>IF(AND(#REF!&gt;180, #REF!&gt;200), "Heavy Doemstic User", IF(#REF!&gt;10, "Interntional User", IF(AND(#REF!&lt;180, #REF!&lt;200,#REF!&lt;200), "Light User", "Balanced User")))</f>
        <v>#REF!</v>
      </c>
      <c r="AC1381" t="e">
        <f>IF(#REF! = 0, "No Usage", IF(#REF! &lt;= 20, "Low Usage", IF(#REF! &lt;= 40, "Medium Usgae", "High Usage")))</f>
        <v>#REF!</v>
      </c>
      <c r="AD1381" t="e">
        <f>IF(#REF!&lt;=150,"Low Usage", IF(#REF!&lt;=200,"Medium Usage", IF(#REF!&lt;=250,"High Usage","Very High Usage")))</f>
        <v>#REF!</v>
      </c>
      <c r="AE1381" t="e">
        <f>IF(#REF!&lt;=5,"Low Calls", IF(#REF!&lt;=10, "Medium Calls", "High Calls"))</f>
        <v>#REF!</v>
      </c>
      <c r="AF1381" t="e">
        <f xml:space="preserve">
IF(#REF!&gt;=4,4,0)+
IF(#REF!="yes",3,0)+
IF(#REF!="High Charges",3,0)+
IF(#REF!&gt;250,4,0)+
IF(#REF!="no",1,0)+
IF(#REF!="Heavy Domestic User",2,0)</f>
        <v>#REF!</v>
      </c>
      <c r="AG1381" t="e">
        <f>IF(#REF!&gt;=10,"High Risk", IF(#REF!&gt;=5,"Medium Risk","Low Risk"))</f>
        <v>#REF!</v>
      </c>
      <c r="AH1381" t="e">
        <f>#REF! + #REF! + #REF! + #REF!</f>
        <v>#REF!</v>
      </c>
    </row>
    <row r="1382" spans="1:34" x14ac:dyDescent="0.35">
      <c r="A1382">
        <v>1381</v>
      </c>
      <c r="B1382" t="s">
        <v>49</v>
      </c>
      <c r="C1382">
        <v>116</v>
      </c>
      <c r="D1382" t="s">
        <v>25</v>
      </c>
      <c r="E1382" t="s">
        <v>22</v>
      </c>
      <c r="F1382" t="s">
        <v>22</v>
      </c>
      <c r="G1382">
        <v>0</v>
      </c>
      <c r="H1382">
        <v>159.4</v>
      </c>
      <c r="I1382">
        <v>79</v>
      </c>
      <c r="J1382">
        <v>27.1</v>
      </c>
      <c r="K1382">
        <v>179.5</v>
      </c>
      <c r="L1382">
        <v>88</v>
      </c>
      <c r="M1382">
        <v>15.26</v>
      </c>
      <c r="N1382">
        <v>167.8</v>
      </c>
      <c r="O1382">
        <v>71</v>
      </c>
      <c r="P1382">
        <v>7.55</v>
      </c>
      <c r="Q1382">
        <v>9.6999999999999993</v>
      </c>
      <c r="R1382">
        <v>2</v>
      </c>
      <c r="S1382">
        <v>2.62</v>
      </c>
      <c r="T1382">
        <v>6</v>
      </c>
      <c r="U1382" t="s">
        <v>23</v>
      </c>
      <c r="V1382" t="e">
        <f>IF(#REF! = "yes", 1, 0)</f>
        <v>#REF!</v>
      </c>
      <c r="W1382" t="e">
        <f>IF(#REF! &lt;= 1, "0-1 Calls", IF(#REF! &lt;= 3, "2-3 Calls", IF(#REF! &lt;=5, "4-5 Calls", "6+ Calls")))</f>
        <v>#REF!</v>
      </c>
      <c r="X1382" t="e">
        <f>IF(#REF! &lt;= 50, "0-50", IF(#REF! &lt;=100, "51-100", IF(#REF! &lt;= 150, "101-150", "151+")))</f>
        <v>#REF!</v>
      </c>
      <c r="Y1382" t="e">
        <f>IF(#REF! &lt;= 3, "Low Charges", "High Charges")</f>
        <v>#REF!</v>
      </c>
      <c r="Z1382" t="e">
        <f>IF(#REF!&lt;=80,"Low Calls",
IF(#REF!&lt;=120,"Medium Calls","High Calls"))</f>
        <v>#REF!</v>
      </c>
      <c r="AA1382" t="e">
        <f>IF(#REF!&lt;=15,"Low Charges",
IF(#REF!&lt;=20,"Medium Charges","High Charges"))</f>
        <v>#REF!</v>
      </c>
      <c r="AB1382" t="e">
        <f>IF(AND(#REF!&gt;180, #REF!&gt;200), "Heavy Doemstic User", IF(#REF!&gt;10, "Interntional User", IF(AND(#REF!&lt;180, #REF!&lt;200,#REF!&lt;200), "Light User", "Balanced User")))</f>
        <v>#REF!</v>
      </c>
      <c r="AC1382" t="e">
        <f>IF(#REF! = 0, "No Usage", IF(#REF! &lt;= 20, "Low Usage", IF(#REF! &lt;= 40, "Medium Usgae", "High Usage")))</f>
        <v>#REF!</v>
      </c>
      <c r="AD1382" t="e">
        <f>IF(#REF!&lt;=150,"Low Usage", IF(#REF!&lt;=200,"Medium Usage", IF(#REF!&lt;=250,"High Usage","Very High Usage")))</f>
        <v>#REF!</v>
      </c>
      <c r="AE1382" t="e">
        <f>IF(#REF!&lt;=5,"Low Calls", IF(#REF!&lt;=10, "Medium Calls", "High Calls"))</f>
        <v>#REF!</v>
      </c>
      <c r="AF1382" t="e">
        <f xml:space="preserve">
IF(#REF!&gt;=4,4,0)+
IF(#REF!="yes",3,0)+
IF(#REF!="High Charges",3,0)+
IF(#REF!&gt;250,4,0)+
IF(#REF!="no",1,0)+
IF(#REF!="Heavy Domestic User",2,0)</f>
        <v>#REF!</v>
      </c>
      <c r="AG1382" t="e">
        <f>IF(#REF!&gt;=10,"High Risk", IF(#REF!&gt;=5,"Medium Risk","Low Risk"))</f>
        <v>#REF!</v>
      </c>
      <c r="AH1382" t="e">
        <f>#REF! + #REF! + #REF! + #REF!</f>
        <v>#REF!</v>
      </c>
    </row>
    <row r="1383" spans="1:34" x14ac:dyDescent="0.35">
      <c r="A1383">
        <v>1382</v>
      </c>
      <c r="B1383" t="s">
        <v>50</v>
      </c>
      <c r="C1383">
        <v>68</v>
      </c>
      <c r="D1383" t="s">
        <v>28</v>
      </c>
      <c r="E1383" t="s">
        <v>22</v>
      </c>
      <c r="F1383" t="s">
        <v>22</v>
      </c>
      <c r="G1383">
        <v>0</v>
      </c>
      <c r="H1383">
        <v>172.7</v>
      </c>
      <c r="I1383">
        <v>95</v>
      </c>
      <c r="J1383">
        <v>29.36</v>
      </c>
      <c r="K1383">
        <v>139.1</v>
      </c>
      <c r="L1383">
        <v>90</v>
      </c>
      <c r="M1383">
        <v>11.82</v>
      </c>
      <c r="N1383">
        <v>174.3</v>
      </c>
      <c r="O1383">
        <v>99</v>
      </c>
      <c r="P1383">
        <v>7.84</v>
      </c>
      <c r="Q1383">
        <v>11.7</v>
      </c>
      <c r="R1383">
        <v>1</v>
      </c>
      <c r="S1383">
        <v>3.16</v>
      </c>
      <c r="T1383">
        <v>2</v>
      </c>
      <c r="U1383" t="s">
        <v>22</v>
      </c>
      <c r="V1383" t="e">
        <f>IF(#REF! = "yes", 1, 0)</f>
        <v>#REF!</v>
      </c>
      <c r="W1383" t="e">
        <f>IF(#REF! &lt;= 1, "0-1 Calls", IF(#REF! &lt;= 3, "2-3 Calls", IF(#REF! &lt;=5, "4-5 Calls", "6+ Calls")))</f>
        <v>#REF!</v>
      </c>
      <c r="X1383" t="e">
        <f>IF(#REF! &lt;= 50, "0-50", IF(#REF! &lt;=100, "51-100", IF(#REF! &lt;= 150, "101-150", "151+")))</f>
        <v>#REF!</v>
      </c>
      <c r="Y1383" t="e">
        <f>IF(#REF! &lt;= 3, "Low Charges", "High Charges")</f>
        <v>#REF!</v>
      </c>
      <c r="Z1383" t="e">
        <f>IF(#REF!&lt;=80,"Low Calls",
IF(#REF!&lt;=120,"Medium Calls","High Calls"))</f>
        <v>#REF!</v>
      </c>
      <c r="AA1383" t="e">
        <f>IF(#REF!&lt;=15,"Low Charges",
IF(#REF!&lt;=20,"Medium Charges","High Charges"))</f>
        <v>#REF!</v>
      </c>
      <c r="AB1383" t="e">
        <f>IF(AND(#REF!&gt;180, #REF!&gt;200), "Heavy Doemstic User", IF(#REF!&gt;10, "Interntional User", IF(AND(#REF!&lt;180, #REF!&lt;200,#REF!&lt;200), "Light User", "Balanced User")))</f>
        <v>#REF!</v>
      </c>
      <c r="AC1383" t="e">
        <f>IF(#REF! = 0, "No Usage", IF(#REF! &lt;= 20, "Low Usage", IF(#REF! &lt;= 40, "Medium Usgae", "High Usage")))</f>
        <v>#REF!</v>
      </c>
      <c r="AD1383" t="e">
        <f>IF(#REF!&lt;=150,"Low Usage", IF(#REF!&lt;=200,"Medium Usage", IF(#REF!&lt;=250,"High Usage","Very High Usage")))</f>
        <v>#REF!</v>
      </c>
      <c r="AE1383" t="e">
        <f>IF(#REF!&lt;=5,"Low Calls", IF(#REF!&lt;=10, "Medium Calls", "High Calls"))</f>
        <v>#REF!</v>
      </c>
      <c r="AF1383" t="e">
        <f xml:space="preserve">
IF(#REF!&gt;=4,4,0)+
IF(#REF!="yes",3,0)+
IF(#REF!="High Charges",3,0)+
IF(#REF!&gt;250,4,0)+
IF(#REF!="no",1,0)+
IF(#REF!="Heavy Domestic User",2,0)</f>
        <v>#REF!</v>
      </c>
      <c r="AG1383" t="e">
        <f>IF(#REF!&gt;=10,"High Risk", IF(#REF!&gt;=5,"Medium Risk","Low Risk"))</f>
        <v>#REF!</v>
      </c>
      <c r="AH1383" t="e">
        <f>#REF! + #REF! + #REF! + #REF!</f>
        <v>#REF!</v>
      </c>
    </row>
    <row r="1384" spans="1:34" x14ac:dyDescent="0.35">
      <c r="A1384">
        <v>1383</v>
      </c>
      <c r="B1384" t="s">
        <v>71</v>
      </c>
      <c r="C1384">
        <v>68</v>
      </c>
      <c r="D1384" t="s">
        <v>21</v>
      </c>
      <c r="E1384" t="s">
        <v>22</v>
      </c>
      <c r="F1384" t="s">
        <v>22</v>
      </c>
      <c r="G1384">
        <v>0</v>
      </c>
      <c r="H1384">
        <v>222.8</v>
      </c>
      <c r="I1384">
        <v>99</v>
      </c>
      <c r="J1384">
        <v>37.880000000000003</v>
      </c>
      <c r="K1384">
        <v>175.8</v>
      </c>
      <c r="L1384">
        <v>85</v>
      </c>
      <c r="M1384">
        <v>14.94</v>
      </c>
      <c r="N1384">
        <v>202</v>
      </c>
      <c r="O1384">
        <v>111</v>
      </c>
      <c r="P1384">
        <v>9.09</v>
      </c>
      <c r="Q1384">
        <v>11</v>
      </c>
      <c r="R1384">
        <v>3</v>
      </c>
      <c r="S1384">
        <v>2.97</v>
      </c>
      <c r="T1384">
        <v>3</v>
      </c>
      <c r="U1384" t="s">
        <v>22</v>
      </c>
      <c r="V1384" t="e">
        <f>IF(#REF! = "yes", 1, 0)</f>
        <v>#REF!</v>
      </c>
      <c r="W1384" t="e">
        <f>IF(#REF! &lt;= 1, "0-1 Calls", IF(#REF! &lt;= 3, "2-3 Calls", IF(#REF! &lt;=5, "4-5 Calls", "6+ Calls")))</f>
        <v>#REF!</v>
      </c>
      <c r="X1384" t="e">
        <f>IF(#REF! &lt;= 50, "0-50", IF(#REF! &lt;=100, "51-100", IF(#REF! &lt;= 150, "101-150", "151+")))</f>
        <v>#REF!</v>
      </c>
      <c r="Y1384" t="e">
        <f>IF(#REF! &lt;= 3, "Low Charges", "High Charges")</f>
        <v>#REF!</v>
      </c>
      <c r="Z1384" t="e">
        <f>IF(#REF!&lt;=80,"Low Calls",
IF(#REF!&lt;=120,"Medium Calls","High Calls"))</f>
        <v>#REF!</v>
      </c>
      <c r="AA1384" t="e">
        <f>IF(#REF!&lt;=15,"Low Charges",
IF(#REF!&lt;=20,"Medium Charges","High Charges"))</f>
        <v>#REF!</v>
      </c>
      <c r="AB1384" t="e">
        <f>IF(AND(#REF!&gt;180, #REF!&gt;200), "Heavy Doemstic User", IF(#REF!&gt;10, "Interntional User", IF(AND(#REF!&lt;180, #REF!&lt;200,#REF!&lt;200), "Light User", "Balanced User")))</f>
        <v>#REF!</v>
      </c>
      <c r="AC1384" t="e">
        <f>IF(#REF! = 0, "No Usage", IF(#REF! &lt;= 20, "Low Usage", IF(#REF! &lt;= 40, "Medium Usgae", "High Usage")))</f>
        <v>#REF!</v>
      </c>
      <c r="AD1384" t="e">
        <f>IF(#REF!&lt;=150,"Low Usage", IF(#REF!&lt;=200,"Medium Usage", IF(#REF!&lt;=250,"High Usage","Very High Usage")))</f>
        <v>#REF!</v>
      </c>
      <c r="AE1384" t="e">
        <f>IF(#REF!&lt;=5,"Low Calls", IF(#REF!&lt;=10, "Medium Calls", "High Calls"))</f>
        <v>#REF!</v>
      </c>
      <c r="AF1384" t="e">
        <f xml:space="preserve">
IF(#REF!&gt;=4,4,0)+
IF(#REF!="yes",3,0)+
IF(#REF!="High Charges",3,0)+
IF(#REF!&gt;250,4,0)+
IF(#REF!="no",1,0)+
IF(#REF!="Heavy Domestic User",2,0)</f>
        <v>#REF!</v>
      </c>
      <c r="AG1384" t="e">
        <f>IF(#REF!&gt;=10,"High Risk", IF(#REF!&gt;=5,"Medium Risk","Low Risk"))</f>
        <v>#REF!</v>
      </c>
      <c r="AH1384" t="e">
        <f>#REF! + #REF! + #REF! + #REF!</f>
        <v>#REF!</v>
      </c>
    </row>
    <row r="1385" spans="1:34" x14ac:dyDescent="0.35">
      <c r="A1385">
        <v>1384</v>
      </c>
      <c r="B1385" t="s">
        <v>54</v>
      </c>
      <c r="C1385">
        <v>54</v>
      </c>
      <c r="D1385" t="s">
        <v>21</v>
      </c>
      <c r="E1385" t="s">
        <v>23</v>
      </c>
      <c r="F1385" t="s">
        <v>22</v>
      </c>
      <c r="G1385">
        <v>0</v>
      </c>
      <c r="H1385">
        <v>214.1</v>
      </c>
      <c r="I1385">
        <v>77</v>
      </c>
      <c r="J1385">
        <v>36.4</v>
      </c>
      <c r="K1385">
        <v>240.5</v>
      </c>
      <c r="L1385">
        <v>94</v>
      </c>
      <c r="M1385">
        <v>20.440000000000001</v>
      </c>
      <c r="N1385">
        <v>188.9</v>
      </c>
      <c r="O1385">
        <v>75</v>
      </c>
      <c r="P1385">
        <v>8.5</v>
      </c>
      <c r="Q1385">
        <v>10.1</v>
      </c>
      <c r="R1385">
        <v>3</v>
      </c>
      <c r="S1385">
        <v>2.73</v>
      </c>
      <c r="T1385">
        <v>1</v>
      </c>
      <c r="U1385" t="s">
        <v>22</v>
      </c>
      <c r="V1385" t="e">
        <f>IF(#REF! = "yes", 1, 0)</f>
        <v>#REF!</v>
      </c>
      <c r="W1385" t="e">
        <f>IF(#REF! &lt;= 1, "0-1 Calls", IF(#REF! &lt;= 3, "2-3 Calls", IF(#REF! &lt;=5, "4-5 Calls", "6+ Calls")))</f>
        <v>#REF!</v>
      </c>
      <c r="X1385" t="e">
        <f>IF(#REF! &lt;= 50, "0-50", IF(#REF! &lt;=100, "51-100", IF(#REF! &lt;= 150, "101-150", "151+")))</f>
        <v>#REF!</v>
      </c>
      <c r="Y1385" t="e">
        <f>IF(#REF! &lt;= 3, "Low Charges", "High Charges")</f>
        <v>#REF!</v>
      </c>
      <c r="Z1385" t="e">
        <f>IF(#REF!&lt;=80,"Low Calls",
IF(#REF!&lt;=120,"Medium Calls","High Calls"))</f>
        <v>#REF!</v>
      </c>
      <c r="AA1385" t="e">
        <f>IF(#REF!&lt;=15,"Low Charges",
IF(#REF!&lt;=20,"Medium Charges","High Charges"))</f>
        <v>#REF!</v>
      </c>
      <c r="AB1385" t="e">
        <f>IF(AND(#REF!&gt;180, #REF!&gt;200), "Heavy Doemstic User", IF(#REF!&gt;10, "Interntional User", IF(AND(#REF!&lt;180, #REF!&lt;200,#REF!&lt;200), "Light User", "Balanced User")))</f>
        <v>#REF!</v>
      </c>
      <c r="AC1385" t="e">
        <f>IF(#REF! = 0, "No Usage", IF(#REF! &lt;= 20, "Low Usage", IF(#REF! &lt;= 40, "Medium Usgae", "High Usage")))</f>
        <v>#REF!</v>
      </c>
      <c r="AD1385" t="e">
        <f>IF(#REF!&lt;=150,"Low Usage", IF(#REF!&lt;=200,"Medium Usage", IF(#REF!&lt;=250,"High Usage","Very High Usage")))</f>
        <v>#REF!</v>
      </c>
      <c r="AE1385" t="e">
        <f>IF(#REF!&lt;=5,"Low Calls", IF(#REF!&lt;=10, "Medium Calls", "High Calls"))</f>
        <v>#REF!</v>
      </c>
      <c r="AF1385" t="e">
        <f xml:space="preserve">
IF(#REF!&gt;=4,4,0)+
IF(#REF!="yes",3,0)+
IF(#REF!="High Charges",3,0)+
IF(#REF!&gt;250,4,0)+
IF(#REF!="no",1,0)+
IF(#REF!="Heavy Domestic User",2,0)</f>
        <v>#REF!</v>
      </c>
      <c r="AG1385" t="e">
        <f>IF(#REF!&gt;=10,"High Risk", IF(#REF!&gt;=5,"Medium Risk","Low Risk"))</f>
        <v>#REF!</v>
      </c>
      <c r="AH1385" t="e">
        <f>#REF! + #REF! + #REF! + #REF!</f>
        <v>#REF!</v>
      </c>
    </row>
    <row r="1386" spans="1:34" x14ac:dyDescent="0.35">
      <c r="A1386">
        <v>1385</v>
      </c>
      <c r="B1386" t="s">
        <v>51</v>
      </c>
      <c r="C1386">
        <v>107</v>
      </c>
      <c r="D1386" t="s">
        <v>25</v>
      </c>
      <c r="E1386" t="s">
        <v>22</v>
      </c>
      <c r="F1386" t="s">
        <v>22</v>
      </c>
      <c r="G1386">
        <v>0</v>
      </c>
      <c r="H1386">
        <v>134</v>
      </c>
      <c r="I1386">
        <v>104</v>
      </c>
      <c r="J1386">
        <v>22.78</v>
      </c>
      <c r="K1386">
        <v>174.5</v>
      </c>
      <c r="L1386">
        <v>94</v>
      </c>
      <c r="M1386">
        <v>14.83</v>
      </c>
      <c r="N1386">
        <v>311.10000000000002</v>
      </c>
      <c r="O1386">
        <v>79</v>
      </c>
      <c r="P1386">
        <v>14</v>
      </c>
      <c r="Q1386">
        <v>7.3</v>
      </c>
      <c r="R1386">
        <v>3</v>
      </c>
      <c r="S1386">
        <v>1.97</v>
      </c>
      <c r="T1386">
        <v>3</v>
      </c>
      <c r="U1386" t="s">
        <v>22</v>
      </c>
      <c r="V1386" t="e">
        <f>IF(#REF! = "yes", 1, 0)</f>
        <v>#REF!</v>
      </c>
      <c r="W1386" t="e">
        <f>IF(#REF! &lt;= 1, "0-1 Calls", IF(#REF! &lt;= 3, "2-3 Calls", IF(#REF! &lt;=5, "4-5 Calls", "6+ Calls")))</f>
        <v>#REF!</v>
      </c>
      <c r="X1386" t="e">
        <f>IF(#REF! &lt;= 50, "0-50", IF(#REF! &lt;=100, "51-100", IF(#REF! &lt;= 150, "101-150", "151+")))</f>
        <v>#REF!</v>
      </c>
      <c r="Y1386" t="e">
        <f>IF(#REF! &lt;= 3, "Low Charges", "High Charges")</f>
        <v>#REF!</v>
      </c>
      <c r="Z1386" t="e">
        <f>IF(#REF!&lt;=80,"Low Calls",
IF(#REF!&lt;=120,"Medium Calls","High Calls"))</f>
        <v>#REF!</v>
      </c>
      <c r="AA1386" t="e">
        <f>IF(#REF!&lt;=15,"Low Charges",
IF(#REF!&lt;=20,"Medium Charges","High Charges"))</f>
        <v>#REF!</v>
      </c>
      <c r="AB1386" t="e">
        <f>IF(AND(#REF!&gt;180, #REF!&gt;200), "Heavy Doemstic User", IF(#REF!&gt;10, "Interntional User", IF(AND(#REF!&lt;180, #REF!&lt;200,#REF!&lt;200), "Light User", "Balanced User")))</f>
        <v>#REF!</v>
      </c>
      <c r="AC1386" t="e">
        <f>IF(#REF! = 0, "No Usage", IF(#REF! &lt;= 20, "Low Usage", IF(#REF! &lt;= 40, "Medium Usgae", "High Usage")))</f>
        <v>#REF!</v>
      </c>
      <c r="AD1386" t="e">
        <f>IF(#REF!&lt;=150,"Low Usage", IF(#REF!&lt;=200,"Medium Usage", IF(#REF!&lt;=250,"High Usage","Very High Usage")))</f>
        <v>#REF!</v>
      </c>
      <c r="AE1386" t="e">
        <f>IF(#REF!&lt;=5,"Low Calls", IF(#REF!&lt;=10, "Medium Calls", "High Calls"))</f>
        <v>#REF!</v>
      </c>
      <c r="AF1386" t="e">
        <f xml:space="preserve">
IF(#REF!&gt;=4,4,0)+
IF(#REF!="yes",3,0)+
IF(#REF!="High Charges",3,0)+
IF(#REF!&gt;250,4,0)+
IF(#REF!="no",1,0)+
IF(#REF!="Heavy Domestic User",2,0)</f>
        <v>#REF!</v>
      </c>
      <c r="AG1386" t="e">
        <f>IF(#REF!&gt;=10,"High Risk", IF(#REF!&gt;=5,"Medium Risk","Low Risk"))</f>
        <v>#REF!</v>
      </c>
      <c r="AH1386" t="e">
        <f>#REF! + #REF! + #REF! + #REF!</f>
        <v>#REF!</v>
      </c>
    </row>
    <row r="1387" spans="1:34" x14ac:dyDescent="0.35">
      <c r="A1387">
        <v>1386</v>
      </c>
      <c r="B1387" t="s">
        <v>31</v>
      </c>
      <c r="C1387">
        <v>124</v>
      </c>
      <c r="D1387" t="s">
        <v>28</v>
      </c>
      <c r="E1387" t="s">
        <v>22</v>
      </c>
      <c r="F1387" t="s">
        <v>22</v>
      </c>
      <c r="G1387">
        <v>0</v>
      </c>
      <c r="H1387">
        <v>184.8</v>
      </c>
      <c r="I1387">
        <v>74</v>
      </c>
      <c r="J1387">
        <v>31.42</v>
      </c>
      <c r="K1387">
        <v>175.1</v>
      </c>
      <c r="L1387">
        <v>84</v>
      </c>
      <c r="M1387">
        <v>14.88</v>
      </c>
      <c r="N1387">
        <v>158.19999999999999</v>
      </c>
      <c r="O1387">
        <v>95</v>
      </c>
      <c r="P1387">
        <v>7.12</v>
      </c>
      <c r="Q1387">
        <v>10.5</v>
      </c>
      <c r="R1387">
        <v>6</v>
      </c>
      <c r="S1387">
        <v>2.84</v>
      </c>
      <c r="T1387">
        <v>1</v>
      </c>
      <c r="U1387" t="s">
        <v>22</v>
      </c>
      <c r="V1387" t="e">
        <f>IF(#REF! = "yes", 1, 0)</f>
        <v>#REF!</v>
      </c>
      <c r="W1387" t="e">
        <f>IF(#REF! &lt;= 1, "0-1 Calls", IF(#REF! &lt;= 3, "2-3 Calls", IF(#REF! &lt;=5, "4-5 Calls", "6+ Calls")))</f>
        <v>#REF!</v>
      </c>
      <c r="X1387" t="e">
        <f>IF(#REF! &lt;= 50, "0-50", IF(#REF! &lt;=100, "51-100", IF(#REF! &lt;= 150, "101-150", "151+")))</f>
        <v>#REF!</v>
      </c>
      <c r="Y1387" t="e">
        <f>IF(#REF! &lt;= 3, "Low Charges", "High Charges")</f>
        <v>#REF!</v>
      </c>
      <c r="Z1387" t="e">
        <f>IF(#REF!&lt;=80,"Low Calls",
IF(#REF!&lt;=120,"Medium Calls","High Calls"))</f>
        <v>#REF!</v>
      </c>
      <c r="AA1387" t="e">
        <f>IF(#REF!&lt;=15,"Low Charges",
IF(#REF!&lt;=20,"Medium Charges","High Charges"))</f>
        <v>#REF!</v>
      </c>
      <c r="AB1387" t="e">
        <f>IF(AND(#REF!&gt;180, #REF!&gt;200), "Heavy Doemstic User", IF(#REF!&gt;10, "Interntional User", IF(AND(#REF!&lt;180, #REF!&lt;200,#REF!&lt;200), "Light User", "Balanced User")))</f>
        <v>#REF!</v>
      </c>
      <c r="AC1387" t="e">
        <f>IF(#REF! = 0, "No Usage", IF(#REF! &lt;= 20, "Low Usage", IF(#REF! &lt;= 40, "Medium Usgae", "High Usage")))</f>
        <v>#REF!</v>
      </c>
      <c r="AD1387" t="e">
        <f>IF(#REF!&lt;=150,"Low Usage", IF(#REF!&lt;=200,"Medium Usage", IF(#REF!&lt;=250,"High Usage","Very High Usage")))</f>
        <v>#REF!</v>
      </c>
      <c r="AE1387" t="e">
        <f>IF(#REF!&lt;=5,"Low Calls", IF(#REF!&lt;=10, "Medium Calls", "High Calls"))</f>
        <v>#REF!</v>
      </c>
      <c r="AF1387" t="e">
        <f xml:space="preserve">
IF(#REF!&gt;=4,4,0)+
IF(#REF!="yes",3,0)+
IF(#REF!="High Charges",3,0)+
IF(#REF!&gt;250,4,0)+
IF(#REF!="no",1,0)+
IF(#REF!="Heavy Domestic User",2,0)</f>
        <v>#REF!</v>
      </c>
      <c r="AG1387" t="e">
        <f>IF(#REF!&gt;=10,"High Risk", IF(#REF!&gt;=5,"Medium Risk","Low Risk"))</f>
        <v>#REF!</v>
      </c>
      <c r="AH1387" t="e">
        <f>#REF! + #REF! + #REF! + #REF!</f>
        <v>#REF!</v>
      </c>
    </row>
    <row r="1388" spans="1:34" x14ac:dyDescent="0.35">
      <c r="A1388">
        <v>1387</v>
      </c>
      <c r="B1388" t="s">
        <v>74</v>
      </c>
      <c r="C1388">
        <v>95</v>
      </c>
      <c r="D1388" t="s">
        <v>21</v>
      </c>
      <c r="E1388" t="s">
        <v>22</v>
      </c>
      <c r="F1388" t="s">
        <v>23</v>
      </c>
      <c r="G1388">
        <v>36</v>
      </c>
      <c r="H1388">
        <v>283.10000000000002</v>
      </c>
      <c r="I1388">
        <v>112</v>
      </c>
      <c r="J1388">
        <v>48.13</v>
      </c>
      <c r="K1388">
        <v>286.2</v>
      </c>
      <c r="L1388">
        <v>86</v>
      </c>
      <c r="M1388">
        <v>24.33</v>
      </c>
      <c r="N1388">
        <v>261.7</v>
      </c>
      <c r="O1388">
        <v>129</v>
      </c>
      <c r="P1388">
        <v>11.78</v>
      </c>
      <c r="Q1388">
        <v>11.3</v>
      </c>
      <c r="R1388">
        <v>3</v>
      </c>
      <c r="S1388">
        <v>3.05</v>
      </c>
      <c r="T1388">
        <v>3</v>
      </c>
      <c r="U1388" t="s">
        <v>22</v>
      </c>
      <c r="V1388" t="e">
        <f>IF(#REF! = "yes", 1, 0)</f>
        <v>#REF!</v>
      </c>
      <c r="W1388" t="e">
        <f>IF(#REF! &lt;= 1, "0-1 Calls", IF(#REF! &lt;= 3, "2-3 Calls", IF(#REF! &lt;=5, "4-5 Calls", "6+ Calls")))</f>
        <v>#REF!</v>
      </c>
      <c r="X1388" t="e">
        <f>IF(#REF! &lt;= 50, "0-50", IF(#REF! &lt;=100, "51-100", IF(#REF! &lt;= 150, "101-150", "151+")))</f>
        <v>#REF!</v>
      </c>
      <c r="Y1388" t="e">
        <f>IF(#REF! &lt;= 3, "Low Charges", "High Charges")</f>
        <v>#REF!</v>
      </c>
      <c r="Z1388" t="e">
        <f>IF(#REF!&lt;=80,"Low Calls",
IF(#REF!&lt;=120,"Medium Calls","High Calls"))</f>
        <v>#REF!</v>
      </c>
      <c r="AA1388" t="e">
        <f>IF(#REF!&lt;=15,"Low Charges",
IF(#REF!&lt;=20,"Medium Charges","High Charges"))</f>
        <v>#REF!</v>
      </c>
      <c r="AB1388" t="e">
        <f>IF(AND(#REF!&gt;180, #REF!&gt;200), "Heavy Doemstic User", IF(#REF!&gt;10, "Interntional User", IF(AND(#REF!&lt;180, #REF!&lt;200,#REF!&lt;200), "Light User", "Balanced User")))</f>
        <v>#REF!</v>
      </c>
      <c r="AC1388" t="e">
        <f>IF(#REF! = 0, "No Usage", IF(#REF! &lt;= 20, "Low Usage", IF(#REF! &lt;= 40, "Medium Usgae", "High Usage")))</f>
        <v>#REF!</v>
      </c>
      <c r="AD1388" t="e">
        <f>IF(#REF!&lt;=150,"Low Usage", IF(#REF!&lt;=200,"Medium Usage", IF(#REF!&lt;=250,"High Usage","Very High Usage")))</f>
        <v>#REF!</v>
      </c>
      <c r="AE1388" t="e">
        <f>IF(#REF!&lt;=5,"Low Calls", IF(#REF!&lt;=10, "Medium Calls", "High Calls"))</f>
        <v>#REF!</v>
      </c>
      <c r="AF1388" t="e">
        <f xml:space="preserve">
IF(#REF!&gt;=4,4,0)+
IF(#REF!="yes",3,0)+
IF(#REF!="High Charges",3,0)+
IF(#REF!&gt;250,4,0)+
IF(#REF!="no",1,0)+
IF(#REF!="Heavy Domestic User",2,0)</f>
        <v>#REF!</v>
      </c>
      <c r="AG1388" t="e">
        <f>IF(#REF!&gt;=10,"High Risk", IF(#REF!&gt;=5,"Medium Risk","Low Risk"))</f>
        <v>#REF!</v>
      </c>
      <c r="AH1388" t="e">
        <f>#REF! + #REF! + #REF! + #REF!</f>
        <v>#REF!</v>
      </c>
    </row>
    <row r="1389" spans="1:34" x14ac:dyDescent="0.35">
      <c r="A1389">
        <v>1388</v>
      </c>
      <c r="B1389" t="s">
        <v>60</v>
      </c>
      <c r="C1389">
        <v>173</v>
      </c>
      <c r="D1389" t="s">
        <v>28</v>
      </c>
      <c r="E1389" t="s">
        <v>22</v>
      </c>
      <c r="F1389" t="s">
        <v>22</v>
      </c>
      <c r="G1389">
        <v>0</v>
      </c>
      <c r="H1389">
        <v>291.8</v>
      </c>
      <c r="I1389">
        <v>143</v>
      </c>
      <c r="J1389">
        <v>49.61</v>
      </c>
      <c r="K1389">
        <v>214.3</v>
      </c>
      <c r="L1389">
        <v>134</v>
      </c>
      <c r="M1389">
        <v>18.22</v>
      </c>
      <c r="N1389">
        <v>151.19999999999999</v>
      </c>
      <c r="O1389">
        <v>119</v>
      </c>
      <c r="P1389">
        <v>6.8</v>
      </c>
      <c r="Q1389">
        <v>9.9</v>
      </c>
      <c r="R1389">
        <v>2</v>
      </c>
      <c r="S1389">
        <v>2.67</v>
      </c>
      <c r="T1389">
        <v>0</v>
      </c>
      <c r="U1389" t="s">
        <v>23</v>
      </c>
      <c r="V1389" t="e">
        <f>IF(#REF! = "yes", 1, 0)</f>
        <v>#REF!</v>
      </c>
      <c r="W1389" t="e">
        <f>IF(#REF! &lt;= 1, "0-1 Calls", IF(#REF! &lt;= 3, "2-3 Calls", IF(#REF! &lt;=5, "4-5 Calls", "6+ Calls")))</f>
        <v>#REF!</v>
      </c>
      <c r="X1389" t="e">
        <f>IF(#REF! &lt;= 50, "0-50", IF(#REF! &lt;=100, "51-100", IF(#REF! &lt;= 150, "101-150", "151+")))</f>
        <v>#REF!</v>
      </c>
      <c r="Y1389" t="e">
        <f>IF(#REF! &lt;= 3, "Low Charges", "High Charges")</f>
        <v>#REF!</v>
      </c>
      <c r="Z1389" t="e">
        <f>IF(#REF!&lt;=80,"Low Calls",
IF(#REF!&lt;=120,"Medium Calls","High Calls"))</f>
        <v>#REF!</v>
      </c>
      <c r="AA1389" t="e">
        <f>IF(#REF!&lt;=15,"Low Charges",
IF(#REF!&lt;=20,"Medium Charges","High Charges"))</f>
        <v>#REF!</v>
      </c>
      <c r="AB1389" t="e">
        <f>IF(AND(#REF!&gt;180, #REF!&gt;200), "Heavy Doemstic User", IF(#REF!&gt;10, "Interntional User", IF(AND(#REF!&lt;180, #REF!&lt;200,#REF!&lt;200), "Light User", "Balanced User")))</f>
        <v>#REF!</v>
      </c>
      <c r="AC1389" t="e">
        <f>IF(#REF! = 0, "No Usage", IF(#REF! &lt;= 20, "Low Usage", IF(#REF! &lt;= 40, "Medium Usgae", "High Usage")))</f>
        <v>#REF!</v>
      </c>
      <c r="AD1389" t="e">
        <f>IF(#REF!&lt;=150,"Low Usage", IF(#REF!&lt;=200,"Medium Usage", IF(#REF!&lt;=250,"High Usage","Very High Usage")))</f>
        <v>#REF!</v>
      </c>
      <c r="AE1389" t="e">
        <f>IF(#REF!&lt;=5,"Low Calls", IF(#REF!&lt;=10, "Medium Calls", "High Calls"))</f>
        <v>#REF!</v>
      </c>
      <c r="AF1389" t="e">
        <f xml:space="preserve">
IF(#REF!&gt;=4,4,0)+
IF(#REF!="yes",3,0)+
IF(#REF!="High Charges",3,0)+
IF(#REF!&gt;250,4,0)+
IF(#REF!="no",1,0)+
IF(#REF!="Heavy Domestic User",2,0)</f>
        <v>#REF!</v>
      </c>
      <c r="AG1389" t="e">
        <f>IF(#REF!&gt;=10,"High Risk", IF(#REF!&gt;=5,"Medium Risk","Low Risk"))</f>
        <v>#REF!</v>
      </c>
      <c r="AH1389" t="e">
        <f>#REF! + #REF! + #REF! + #REF!</f>
        <v>#REF!</v>
      </c>
    </row>
    <row r="1390" spans="1:34" x14ac:dyDescent="0.35">
      <c r="A1390">
        <v>1389</v>
      </c>
      <c r="B1390" t="s">
        <v>29</v>
      </c>
      <c r="C1390">
        <v>110</v>
      </c>
      <c r="D1390" t="s">
        <v>25</v>
      </c>
      <c r="E1390" t="s">
        <v>22</v>
      </c>
      <c r="F1390" t="s">
        <v>22</v>
      </c>
      <c r="G1390">
        <v>0</v>
      </c>
      <c r="H1390">
        <v>222.7</v>
      </c>
      <c r="I1390">
        <v>94</v>
      </c>
      <c r="J1390">
        <v>37.86</v>
      </c>
      <c r="K1390">
        <v>105.8</v>
      </c>
      <c r="L1390">
        <v>98</v>
      </c>
      <c r="M1390">
        <v>8.99</v>
      </c>
      <c r="N1390">
        <v>214.8</v>
      </c>
      <c r="O1390">
        <v>78</v>
      </c>
      <c r="P1390">
        <v>9.67</v>
      </c>
      <c r="Q1390">
        <v>13.5</v>
      </c>
      <c r="R1390">
        <v>4</v>
      </c>
      <c r="S1390">
        <v>3.65</v>
      </c>
      <c r="T1390">
        <v>1</v>
      </c>
      <c r="U1390" t="s">
        <v>22</v>
      </c>
      <c r="V1390" t="e">
        <f>IF(#REF! = "yes", 1, 0)</f>
        <v>#REF!</v>
      </c>
      <c r="W1390" t="e">
        <f>IF(#REF! &lt;= 1, "0-1 Calls", IF(#REF! &lt;= 3, "2-3 Calls", IF(#REF! &lt;=5, "4-5 Calls", "6+ Calls")))</f>
        <v>#REF!</v>
      </c>
      <c r="X1390" t="e">
        <f>IF(#REF! &lt;= 50, "0-50", IF(#REF! &lt;=100, "51-100", IF(#REF! &lt;= 150, "101-150", "151+")))</f>
        <v>#REF!</v>
      </c>
      <c r="Y1390" t="e">
        <f>IF(#REF! &lt;= 3, "Low Charges", "High Charges")</f>
        <v>#REF!</v>
      </c>
      <c r="Z1390" t="e">
        <f>IF(#REF!&lt;=80,"Low Calls",
IF(#REF!&lt;=120,"Medium Calls","High Calls"))</f>
        <v>#REF!</v>
      </c>
      <c r="AA1390" t="e">
        <f>IF(#REF!&lt;=15,"Low Charges",
IF(#REF!&lt;=20,"Medium Charges","High Charges"))</f>
        <v>#REF!</v>
      </c>
      <c r="AB1390" t="e">
        <f>IF(AND(#REF!&gt;180, #REF!&gt;200), "Heavy Doemstic User", IF(#REF!&gt;10, "Interntional User", IF(AND(#REF!&lt;180, #REF!&lt;200,#REF!&lt;200), "Light User", "Balanced User")))</f>
        <v>#REF!</v>
      </c>
      <c r="AC1390" t="e">
        <f>IF(#REF! = 0, "No Usage", IF(#REF! &lt;= 20, "Low Usage", IF(#REF! &lt;= 40, "Medium Usgae", "High Usage")))</f>
        <v>#REF!</v>
      </c>
      <c r="AD1390" t="e">
        <f>IF(#REF!&lt;=150,"Low Usage", IF(#REF!&lt;=200,"Medium Usage", IF(#REF!&lt;=250,"High Usage","Very High Usage")))</f>
        <v>#REF!</v>
      </c>
      <c r="AE1390" t="e">
        <f>IF(#REF!&lt;=5,"Low Calls", IF(#REF!&lt;=10, "Medium Calls", "High Calls"))</f>
        <v>#REF!</v>
      </c>
      <c r="AF1390" t="e">
        <f xml:space="preserve">
IF(#REF!&gt;=4,4,0)+
IF(#REF!="yes",3,0)+
IF(#REF!="High Charges",3,0)+
IF(#REF!&gt;250,4,0)+
IF(#REF!="no",1,0)+
IF(#REF!="Heavy Domestic User",2,0)</f>
        <v>#REF!</v>
      </c>
      <c r="AG1390" t="e">
        <f>IF(#REF!&gt;=10,"High Risk", IF(#REF!&gt;=5,"Medium Risk","Low Risk"))</f>
        <v>#REF!</v>
      </c>
      <c r="AH1390" t="e">
        <f>#REF! + #REF! + #REF! + #REF!</f>
        <v>#REF!</v>
      </c>
    </row>
    <row r="1391" spans="1:34" x14ac:dyDescent="0.35">
      <c r="A1391">
        <v>1390</v>
      </c>
      <c r="B1391" t="s">
        <v>38</v>
      </c>
      <c r="C1391">
        <v>102</v>
      </c>
      <c r="D1391" t="s">
        <v>28</v>
      </c>
      <c r="E1391" t="s">
        <v>22</v>
      </c>
      <c r="F1391" t="s">
        <v>22</v>
      </c>
      <c r="G1391">
        <v>0</v>
      </c>
      <c r="H1391">
        <v>174.5</v>
      </c>
      <c r="I1391">
        <v>79</v>
      </c>
      <c r="J1391">
        <v>29.67</v>
      </c>
      <c r="K1391">
        <v>236.8</v>
      </c>
      <c r="L1391">
        <v>136</v>
      </c>
      <c r="M1391">
        <v>20.13</v>
      </c>
      <c r="N1391">
        <v>270.39999999999998</v>
      </c>
      <c r="O1391">
        <v>110</v>
      </c>
      <c r="P1391">
        <v>12.17</v>
      </c>
      <c r="Q1391">
        <v>8.5</v>
      </c>
      <c r="R1391">
        <v>5</v>
      </c>
      <c r="S1391">
        <v>2.2999999999999998</v>
      </c>
      <c r="T1391">
        <v>0</v>
      </c>
      <c r="U1391" t="s">
        <v>22</v>
      </c>
      <c r="V1391" t="e">
        <f>IF(#REF! = "yes", 1, 0)</f>
        <v>#REF!</v>
      </c>
      <c r="W1391" t="e">
        <f>IF(#REF! &lt;= 1, "0-1 Calls", IF(#REF! &lt;= 3, "2-3 Calls", IF(#REF! &lt;=5, "4-5 Calls", "6+ Calls")))</f>
        <v>#REF!</v>
      </c>
      <c r="X1391" t="e">
        <f>IF(#REF! &lt;= 50, "0-50", IF(#REF! &lt;=100, "51-100", IF(#REF! &lt;= 150, "101-150", "151+")))</f>
        <v>#REF!</v>
      </c>
      <c r="Y1391" t="e">
        <f>IF(#REF! &lt;= 3, "Low Charges", "High Charges")</f>
        <v>#REF!</v>
      </c>
      <c r="Z1391" t="e">
        <f>IF(#REF!&lt;=80,"Low Calls",
IF(#REF!&lt;=120,"Medium Calls","High Calls"))</f>
        <v>#REF!</v>
      </c>
      <c r="AA1391" t="e">
        <f>IF(#REF!&lt;=15,"Low Charges",
IF(#REF!&lt;=20,"Medium Charges","High Charges"))</f>
        <v>#REF!</v>
      </c>
      <c r="AB1391" t="e">
        <f>IF(AND(#REF!&gt;180, #REF!&gt;200), "Heavy Doemstic User", IF(#REF!&gt;10, "Interntional User", IF(AND(#REF!&lt;180, #REF!&lt;200,#REF!&lt;200), "Light User", "Balanced User")))</f>
        <v>#REF!</v>
      </c>
      <c r="AC1391" t="e">
        <f>IF(#REF! = 0, "No Usage", IF(#REF! &lt;= 20, "Low Usage", IF(#REF! &lt;= 40, "Medium Usgae", "High Usage")))</f>
        <v>#REF!</v>
      </c>
      <c r="AD1391" t="e">
        <f>IF(#REF!&lt;=150,"Low Usage", IF(#REF!&lt;=200,"Medium Usage", IF(#REF!&lt;=250,"High Usage","Very High Usage")))</f>
        <v>#REF!</v>
      </c>
      <c r="AE1391" t="e">
        <f>IF(#REF!&lt;=5,"Low Calls", IF(#REF!&lt;=10, "Medium Calls", "High Calls"))</f>
        <v>#REF!</v>
      </c>
      <c r="AF1391" t="e">
        <f xml:space="preserve">
IF(#REF!&gt;=4,4,0)+
IF(#REF!="yes",3,0)+
IF(#REF!="High Charges",3,0)+
IF(#REF!&gt;250,4,0)+
IF(#REF!="no",1,0)+
IF(#REF!="Heavy Domestic User",2,0)</f>
        <v>#REF!</v>
      </c>
      <c r="AG1391" t="e">
        <f>IF(#REF!&gt;=10,"High Risk", IF(#REF!&gt;=5,"Medium Risk","Low Risk"))</f>
        <v>#REF!</v>
      </c>
      <c r="AH1391" t="e">
        <f>#REF! + #REF! + #REF! + #REF!</f>
        <v>#REF!</v>
      </c>
    </row>
    <row r="1392" spans="1:34" x14ac:dyDescent="0.35">
      <c r="A1392">
        <v>1391</v>
      </c>
      <c r="B1392" t="s">
        <v>46</v>
      </c>
      <c r="C1392">
        <v>130</v>
      </c>
      <c r="D1392" t="s">
        <v>25</v>
      </c>
      <c r="E1392" t="s">
        <v>22</v>
      </c>
      <c r="F1392" t="s">
        <v>22</v>
      </c>
      <c r="G1392">
        <v>0</v>
      </c>
      <c r="H1392">
        <v>68.400000000000006</v>
      </c>
      <c r="I1392">
        <v>86</v>
      </c>
      <c r="J1392">
        <v>11.63</v>
      </c>
      <c r="K1392">
        <v>193.3</v>
      </c>
      <c r="L1392">
        <v>110</v>
      </c>
      <c r="M1392">
        <v>16.43</v>
      </c>
      <c r="N1392">
        <v>171.5</v>
      </c>
      <c r="O1392">
        <v>139</v>
      </c>
      <c r="P1392">
        <v>7.72</v>
      </c>
      <c r="Q1392">
        <v>10.4</v>
      </c>
      <c r="R1392">
        <v>4</v>
      </c>
      <c r="S1392">
        <v>2.81</v>
      </c>
      <c r="T1392">
        <v>0</v>
      </c>
      <c r="U1392" t="s">
        <v>22</v>
      </c>
      <c r="V1392" t="e">
        <f>IF(#REF! = "yes", 1, 0)</f>
        <v>#REF!</v>
      </c>
      <c r="W1392" t="e">
        <f>IF(#REF! &lt;= 1, "0-1 Calls", IF(#REF! &lt;= 3, "2-3 Calls", IF(#REF! &lt;=5, "4-5 Calls", "6+ Calls")))</f>
        <v>#REF!</v>
      </c>
      <c r="X1392" t="e">
        <f>IF(#REF! &lt;= 50, "0-50", IF(#REF! &lt;=100, "51-100", IF(#REF! &lt;= 150, "101-150", "151+")))</f>
        <v>#REF!</v>
      </c>
      <c r="Y1392" t="e">
        <f>IF(#REF! &lt;= 3, "Low Charges", "High Charges")</f>
        <v>#REF!</v>
      </c>
      <c r="Z1392" t="e">
        <f>IF(#REF!&lt;=80,"Low Calls",
IF(#REF!&lt;=120,"Medium Calls","High Calls"))</f>
        <v>#REF!</v>
      </c>
      <c r="AA1392" t="e">
        <f>IF(#REF!&lt;=15,"Low Charges",
IF(#REF!&lt;=20,"Medium Charges","High Charges"))</f>
        <v>#REF!</v>
      </c>
      <c r="AB1392" t="e">
        <f>IF(AND(#REF!&gt;180, #REF!&gt;200), "Heavy Doemstic User", IF(#REF!&gt;10, "Interntional User", IF(AND(#REF!&lt;180, #REF!&lt;200,#REF!&lt;200), "Light User", "Balanced User")))</f>
        <v>#REF!</v>
      </c>
      <c r="AC1392" t="e">
        <f>IF(#REF! = 0, "No Usage", IF(#REF! &lt;= 20, "Low Usage", IF(#REF! &lt;= 40, "Medium Usgae", "High Usage")))</f>
        <v>#REF!</v>
      </c>
      <c r="AD1392" t="e">
        <f>IF(#REF!&lt;=150,"Low Usage", IF(#REF!&lt;=200,"Medium Usage", IF(#REF!&lt;=250,"High Usage","Very High Usage")))</f>
        <v>#REF!</v>
      </c>
      <c r="AE1392" t="e">
        <f>IF(#REF!&lt;=5,"Low Calls", IF(#REF!&lt;=10, "Medium Calls", "High Calls"))</f>
        <v>#REF!</v>
      </c>
      <c r="AF1392" t="e">
        <f xml:space="preserve">
IF(#REF!&gt;=4,4,0)+
IF(#REF!="yes",3,0)+
IF(#REF!="High Charges",3,0)+
IF(#REF!&gt;250,4,0)+
IF(#REF!="no",1,0)+
IF(#REF!="Heavy Domestic User",2,0)</f>
        <v>#REF!</v>
      </c>
      <c r="AG1392" t="e">
        <f>IF(#REF!&gt;=10,"High Risk", IF(#REF!&gt;=5,"Medium Risk","Low Risk"))</f>
        <v>#REF!</v>
      </c>
      <c r="AH1392" t="e">
        <f>#REF! + #REF! + #REF! + #REF!</f>
        <v>#REF!</v>
      </c>
    </row>
    <row r="1393" spans="1:34" x14ac:dyDescent="0.35">
      <c r="A1393">
        <v>1392</v>
      </c>
      <c r="B1393" t="s">
        <v>26</v>
      </c>
      <c r="C1393">
        <v>91</v>
      </c>
      <c r="D1393" t="s">
        <v>25</v>
      </c>
      <c r="E1393" t="s">
        <v>22</v>
      </c>
      <c r="F1393" t="s">
        <v>23</v>
      </c>
      <c r="G1393">
        <v>31</v>
      </c>
      <c r="H1393">
        <v>273</v>
      </c>
      <c r="I1393">
        <v>78</v>
      </c>
      <c r="J1393">
        <v>46.41</v>
      </c>
      <c r="K1393">
        <v>215.5</v>
      </c>
      <c r="L1393">
        <v>98</v>
      </c>
      <c r="M1393">
        <v>18.32</v>
      </c>
      <c r="N1393">
        <v>104.7</v>
      </c>
      <c r="O1393">
        <v>114</v>
      </c>
      <c r="P1393">
        <v>4.71</v>
      </c>
      <c r="Q1393">
        <v>9.6</v>
      </c>
      <c r="R1393">
        <v>2</v>
      </c>
      <c r="S1393">
        <v>2.59</v>
      </c>
      <c r="T1393">
        <v>1</v>
      </c>
      <c r="U1393" t="s">
        <v>22</v>
      </c>
      <c r="V1393" t="e">
        <f>IF(#REF! = "yes", 1, 0)</f>
        <v>#REF!</v>
      </c>
      <c r="W1393" t="e">
        <f>IF(#REF! &lt;= 1, "0-1 Calls", IF(#REF! &lt;= 3, "2-3 Calls", IF(#REF! &lt;=5, "4-5 Calls", "6+ Calls")))</f>
        <v>#REF!</v>
      </c>
      <c r="X1393" t="e">
        <f>IF(#REF! &lt;= 50, "0-50", IF(#REF! &lt;=100, "51-100", IF(#REF! &lt;= 150, "101-150", "151+")))</f>
        <v>#REF!</v>
      </c>
      <c r="Y1393" t="e">
        <f>IF(#REF! &lt;= 3, "Low Charges", "High Charges")</f>
        <v>#REF!</v>
      </c>
      <c r="Z1393" t="e">
        <f>IF(#REF!&lt;=80,"Low Calls",
IF(#REF!&lt;=120,"Medium Calls","High Calls"))</f>
        <v>#REF!</v>
      </c>
      <c r="AA1393" t="e">
        <f>IF(#REF!&lt;=15,"Low Charges",
IF(#REF!&lt;=20,"Medium Charges","High Charges"))</f>
        <v>#REF!</v>
      </c>
      <c r="AB1393" t="e">
        <f>IF(AND(#REF!&gt;180, #REF!&gt;200), "Heavy Doemstic User", IF(#REF!&gt;10, "Interntional User", IF(AND(#REF!&lt;180, #REF!&lt;200,#REF!&lt;200), "Light User", "Balanced User")))</f>
        <v>#REF!</v>
      </c>
      <c r="AC1393" t="e">
        <f>IF(#REF! = 0, "No Usage", IF(#REF! &lt;= 20, "Low Usage", IF(#REF! &lt;= 40, "Medium Usgae", "High Usage")))</f>
        <v>#REF!</v>
      </c>
      <c r="AD1393" t="e">
        <f>IF(#REF!&lt;=150,"Low Usage", IF(#REF!&lt;=200,"Medium Usage", IF(#REF!&lt;=250,"High Usage","Very High Usage")))</f>
        <v>#REF!</v>
      </c>
      <c r="AE1393" t="e">
        <f>IF(#REF!&lt;=5,"Low Calls", IF(#REF!&lt;=10, "Medium Calls", "High Calls"))</f>
        <v>#REF!</v>
      </c>
      <c r="AF1393" t="e">
        <f xml:space="preserve">
IF(#REF!&gt;=4,4,0)+
IF(#REF!="yes",3,0)+
IF(#REF!="High Charges",3,0)+
IF(#REF!&gt;250,4,0)+
IF(#REF!="no",1,0)+
IF(#REF!="Heavy Domestic User",2,0)</f>
        <v>#REF!</v>
      </c>
      <c r="AG1393" t="e">
        <f>IF(#REF!&gt;=10,"High Risk", IF(#REF!&gt;=5,"Medium Risk","Low Risk"))</f>
        <v>#REF!</v>
      </c>
      <c r="AH1393" t="e">
        <f>#REF! + #REF! + #REF! + #REF!</f>
        <v>#REF!</v>
      </c>
    </row>
    <row r="1394" spans="1:34" x14ac:dyDescent="0.35">
      <c r="A1394">
        <v>1393</v>
      </c>
      <c r="B1394" t="s">
        <v>74</v>
      </c>
      <c r="C1394">
        <v>64</v>
      </c>
      <c r="D1394" t="s">
        <v>21</v>
      </c>
      <c r="E1394" t="s">
        <v>23</v>
      </c>
      <c r="F1394" t="s">
        <v>22</v>
      </c>
      <c r="G1394">
        <v>0</v>
      </c>
      <c r="H1394">
        <v>225.3</v>
      </c>
      <c r="I1394">
        <v>134</v>
      </c>
      <c r="J1394">
        <v>38.299999999999997</v>
      </c>
      <c r="K1394">
        <v>108.2</v>
      </c>
      <c r="L1394">
        <v>87</v>
      </c>
      <c r="M1394">
        <v>9.1999999999999993</v>
      </c>
      <c r="N1394">
        <v>139.6</v>
      </c>
      <c r="O1394">
        <v>132</v>
      </c>
      <c r="P1394">
        <v>6.28</v>
      </c>
      <c r="Q1394">
        <v>17.3</v>
      </c>
      <c r="R1394">
        <v>9</v>
      </c>
      <c r="S1394">
        <v>4.67</v>
      </c>
      <c r="T1394">
        <v>1</v>
      </c>
      <c r="U1394" t="s">
        <v>23</v>
      </c>
      <c r="V1394" t="e">
        <f>IF(#REF! = "yes", 1, 0)</f>
        <v>#REF!</v>
      </c>
      <c r="W1394" t="e">
        <f>IF(#REF! &lt;= 1, "0-1 Calls", IF(#REF! &lt;= 3, "2-3 Calls", IF(#REF! &lt;=5, "4-5 Calls", "6+ Calls")))</f>
        <v>#REF!</v>
      </c>
      <c r="X1394" t="e">
        <f>IF(#REF! &lt;= 50, "0-50", IF(#REF! &lt;=100, "51-100", IF(#REF! &lt;= 150, "101-150", "151+")))</f>
        <v>#REF!</v>
      </c>
      <c r="Y1394" t="e">
        <f>IF(#REF! &lt;= 3, "Low Charges", "High Charges")</f>
        <v>#REF!</v>
      </c>
      <c r="Z1394" t="e">
        <f>IF(#REF!&lt;=80,"Low Calls",
IF(#REF!&lt;=120,"Medium Calls","High Calls"))</f>
        <v>#REF!</v>
      </c>
      <c r="AA1394" t="e">
        <f>IF(#REF!&lt;=15,"Low Charges",
IF(#REF!&lt;=20,"Medium Charges","High Charges"))</f>
        <v>#REF!</v>
      </c>
      <c r="AB1394" t="e">
        <f>IF(AND(#REF!&gt;180, #REF!&gt;200), "Heavy Doemstic User", IF(#REF!&gt;10, "Interntional User", IF(AND(#REF!&lt;180, #REF!&lt;200,#REF!&lt;200), "Light User", "Balanced User")))</f>
        <v>#REF!</v>
      </c>
      <c r="AC1394" t="e">
        <f>IF(#REF! = 0, "No Usage", IF(#REF! &lt;= 20, "Low Usage", IF(#REF! &lt;= 40, "Medium Usgae", "High Usage")))</f>
        <v>#REF!</v>
      </c>
      <c r="AD1394" t="e">
        <f>IF(#REF!&lt;=150,"Low Usage", IF(#REF!&lt;=200,"Medium Usage", IF(#REF!&lt;=250,"High Usage","Very High Usage")))</f>
        <v>#REF!</v>
      </c>
      <c r="AE1394" t="e">
        <f>IF(#REF!&lt;=5,"Low Calls", IF(#REF!&lt;=10, "Medium Calls", "High Calls"))</f>
        <v>#REF!</v>
      </c>
      <c r="AF1394" t="e">
        <f xml:space="preserve">
IF(#REF!&gt;=4,4,0)+
IF(#REF!="yes",3,0)+
IF(#REF!="High Charges",3,0)+
IF(#REF!&gt;250,4,0)+
IF(#REF!="no",1,0)+
IF(#REF!="Heavy Domestic User",2,0)</f>
        <v>#REF!</v>
      </c>
      <c r="AG1394" t="e">
        <f>IF(#REF!&gt;=10,"High Risk", IF(#REF!&gt;=5,"Medium Risk","Low Risk"))</f>
        <v>#REF!</v>
      </c>
      <c r="AH1394" t="e">
        <f>#REF! + #REF! + #REF! + #REF!</f>
        <v>#REF!</v>
      </c>
    </row>
    <row r="1395" spans="1:34" x14ac:dyDescent="0.35">
      <c r="A1395">
        <v>1394</v>
      </c>
      <c r="B1395" t="s">
        <v>71</v>
      </c>
      <c r="C1395">
        <v>176</v>
      </c>
      <c r="D1395" t="s">
        <v>21</v>
      </c>
      <c r="E1395" t="s">
        <v>22</v>
      </c>
      <c r="F1395" t="s">
        <v>23</v>
      </c>
      <c r="G1395">
        <v>23</v>
      </c>
      <c r="H1395">
        <v>283.2</v>
      </c>
      <c r="I1395">
        <v>130</v>
      </c>
      <c r="J1395">
        <v>48.14</v>
      </c>
      <c r="K1395">
        <v>162.6</v>
      </c>
      <c r="L1395">
        <v>74</v>
      </c>
      <c r="M1395">
        <v>13.82</v>
      </c>
      <c r="N1395">
        <v>177.7</v>
      </c>
      <c r="O1395">
        <v>104</v>
      </c>
      <c r="P1395">
        <v>8</v>
      </c>
      <c r="Q1395">
        <v>7.2</v>
      </c>
      <c r="R1395">
        <v>6</v>
      </c>
      <c r="S1395">
        <v>1.94</v>
      </c>
      <c r="T1395">
        <v>1</v>
      </c>
      <c r="U1395" t="s">
        <v>22</v>
      </c>
      <c r="V1395" t="e">
        <f>IF(#REF! = "yes", 1, 0)</f>
        <v>#REF!</v>
      </c>
      <c r="W1395" t="e">
        <f>IF(#REF! &lt;= 1, "0-1 Calls", IF(#REF! &lt;= 3, "2-3 Calls", IF(#REF! &lt;=5, "4-5 Calls", "6+ Calls")))</f>
        <v>#REF!</v>
      </c>
      <c r="X1395" t="e">
        <f>IF(#REF! &lt;= 50, "0-50", IF(#REF! &lt;=100, "51-100", IF(#REF! &lt;= 150, "101-150", "151+")))</f>
        <v>#REF!</v>
      </c>
      <c r="Y1395" t="e">
        <f>IF(#REF! &lt;= 3, "Low Charges", "High Charges")</f>
        <v>#REF!</v>
      </c>
      <c r="Z1395" t="e">
        <f>IF(#REF!&lt;=80,"Low Calls",
IF(#REF!&lt;=120,"Medium Calls","High Calls"))</f>
        <v>#REF!</v>
      </c>
      <c r="AA1395" t="e">
        <f>IF(#REF!&lt;=15,"Low Charges",
IF(#REF!&lt;=20,"Medium Charges","High Charges"))</f>
        <v>#REF!</v>
      </c>
      <c r="AB1395" t="e">
        <f>IF(AND(#REF!&gt;180, #REF!&gt;200), "Heavy Doemstic User", IF(#REF!&gt;10, "Interntional User", IF(AND(#REF!&lt;180, #REF!&lt;200,#REF!&lt;200), "Light User", "Balanced User")))</f>
        <v>#REF!</v>
      </c>
      <c r="AC1395" t="e">
        <f>IF(#REF! = 0, "No Usage", IF(#REF! &lt;= 20, "Low Usage", IF(#REF! &lt;= 40, "Medium Usgae", "High Usage")))</f>
        <v>#REF!</v>
      </c>
      <c r="AD1395" t="e">
        <f>IF(#REF!&lt;=150,"Low Usage", IF(#REF!&lt;=200,"Medium Usage", IF(#REF!&lt;=250,"High Usage","Very High Usage")))</f>
        <v>#REF!</v>
      </c>
      <c r="AE1395" t="e">
        <f>IF(#REF!&lt;=5,"Low Calls", IF(#REF!&lt;=10, "Medium Calls", "High Calls"))</f>
        <v>#REF!</v>
      </c>
      <c r="AF1395" t="e">
        <f xml:space="preserve">
IF(#REF!&gt;=4,4,0)+
IF(#REF!="yes",3,0)+
IF(#REF!="High Charges",3,0)+
IF(#REF!&gt;250,4,0)+
IF(#REF!="no",1,0)+
IF(#REF!="Heavy Domestic User",2,0)</f>
        <v>#REF!</v>
      </c>
      <c r="AG1395" t="e">
        <f>IF(#REF!&gt;=10,"High Risk", IF(#REF!&gt;=5,"Medium Risk","Low Risk"))</f>
        <v>#REF!</v>
      </c>
      <c r="AH1395" t="e">
        <f>#REF! + #REF! + #REF! + #REF!</f>
        <v>#REF!</v>
      </c>
    </row>
    <row r="1396" spans="1:34" x14ac:dyDescent="0.35">
      <c r="A1396">
        <v>1395</v>
      </c>
      <c r="B1396" t="s">
        <v>49</v>
      </c>
      <c r="C1396">
        <v>93</v>
      </c>
      <c r="D1396" t="s">
        <v>28</v>
      </c>
      <c r="E1396" t="s">
        <v>23</v>
      </c>
      <c r="F1396" t="s">
        <v>22</v>
      </c>
      <c r="G1396">
        <v>0</v>
      </c>
      <c r="H1396">
        <v>131.4</v>
      </c>
      <c r="I1396">
        <v>78</v>
      </c>
      <c r="J1396">
        <v>22.34</v>
      </c>
      <c r="K1396">
        <v>219.7</v>
      </c>
      <c r="L1396">
        <v>106</v>
      </c>
      <c r="M1396">
        <v>18.670000000000002</v>
      </c>
      <c r="N1396">
        <v>155.69999999999999</v>
      </c>
      <c r="O1396">
        <v>103</v>
      </c>
      <c r="P1396">
        <v>7.01</v>
      </c>
      <c r="Q1396">
        <v>11.1</v>
      </c>
      <c r="R1396">
        <v>2</v>
      </c>
      <c r="S1396">
        <v>3</v>
      </c>
      <c r="T1396">
        <v>1</v>
      </c>
      <c r="U1396" t="s">
        <v>23</v>
      </c>
      <c r="V1396" t="e">
        <f>IF(#REF! = "yes", 1, 0)</f>
        <v>#REF!</v>
      </c>
      <c r="W1396" t="e">
        <f>IF(#REF! &lt;= 1, "0-1 Calls", IF(#REF! &lt;= 3, "2-3 Calls", IF(#REF! &lt;=5, "4-5 Calls", "6+ Calls")))</f>
        <v>#REF!</v>
      </c>
      <c r="X1396" t="e">
        <f>IF(#REF! &lt;= 50, "0-50", IF(#REF! &lt;=100, "51-100", IF(#REF! &lt;= 150, "101-150", "151+")))</f>
        <v>#REF!</v>
      </c>
      <c r="Y1396" t="e">
        <f>IF(#REF! &lt;= 3, "Low Charges", "High Charges")</f>
        <v>#REF!</v>
      </c>
      <c r="Z1396" t="e">
        <f>IF(#REF!&lt;=80,"Low Calls",
IF(#REF!&lt;=120,"Medium Calls","High Calls"))</f>
        <v>#REF!</v>
      </c>
      <c r="AA1396" t="e">
        <f>IF(#REF!&lt;=15,"Low Charges",
IF(#REF!&lt;=20,"Medium Charges","High Charges"))</f>
        <v>#REF!</v>
      </c>
      <c r="AB1396" t="e">
        <f>IF(AND(#REF!&gt;180, #REF!&gt;200), "Heavy Doemstic User", IF(#REF!&gt;10, "Interntional User", IF(AND(#REF!&lt;180, #REF!&lt;200,#REF!&lt;200), "Light User", "Balanced User")))</f>
        <v>#REF!</v>
      </c>
      <c r="AC1396" t="e">
        <f>IF(#REF! = 0, "No Usage", IF(#REF! &lt;= 20, "Low Usage", IF(#REF! &lt;= 40, "Medium Usgae", "High Usage")))</f>
        <v>#REF!</v>
      </c>
      <c r="AD1396" t="e">
        <f>IF(#REF!&lt;=150,"Low Usage", IF(#REF!&lt;=200,"Medium Usage", IF(#REF!&lt;=250,"High Usage","Very High Usage")))</f>
        <v>#REF!</v>
      </c>
      <c r="AE1396" t="e">
        <f>IF(#REF!&lt;=5,"Low Calls", IF(#REF!&lt;=10, "Medium Calls", "High Calls"))</f>
        <v>#REF!</v>
      </c>
      <c r="AF1396" t="e">
        <f xml:space="preserve">
IF(#REF!&gt;=4,4,0)+
IF(#REF!="yes",3,0)+
IF(#REF!="High Charges",3,0)+
IF(#REF!&gt;250,4,0)+
IF(#REF!="no",1,0)+
IF(#REF!="Heavy Domestic User",2,0)</f>
        <v>#REF!</v>
      </c>
      <c r="AG1396" t="e">
        <f>IF(#REF!&gt;=10,"High Risk", IF(#REF!&gt;=5,"Medium Risk","Low Risk"))</f>
        <v>#REF!</v>
      </c>
      <c r="AH1396" t="e">
        <f>#REF! + #REF! + #REF! + #REF!</f>
        <v>#REF!</v>
      </c>
    </row>
    <row r="1397" spans="1:34" x14ac:dyDescent="0.35">
      <c r="A1397">
        <v>1396</v>
      </c>
      <c r="B1397" t="s">
        <v>51</v>
      </c>
      <c r="C1397">
        <v>84</v>
      </c>
      <c r="D1397" t="s">
        <v>28</v>
      </c>
      <c r="E1397" t="s">
        <v>22</v>
      </c>
      <c r="F1397" t="s">
        <v>23</v>
      </c>
      <c r="G1397">
        <v>12</v>
      </c>
      <c r="H1397">
        <v>89.7</v>
      </c>
      <c r="I1397">
        <v>87</v>
      </c>
      <c r="J1397">
        <v>15.25</v>
      </c>
      <c r="K1397">
        <v>138.6</v>
      </c>
      <c r="L1397">
        <v>73</v>
      </c>
      <c r="M1397">
        <v>11.78</v>
      </c>
      <c r="N1397">
        <v>165.8</v>
      </c>
      <c r="O1397">
        <v>114</v>
      </c>
      <c r="P1397">
        <v>7.46</v>
      </c>
      <c r="Q1397">
        <v>10.7</v>
      </c>
      <c r="R1397">
        <v>2</v>
      </c>
      <c r="S1397">
        <v>2.89</v>
      </c>
      <c r="T1397">
        <v>1</v>
      </c>
      <c r="U1397" t="s">
        <v>22</v>
      </c>
      <c r="V1397" t="e">
        <f>IF(#REF! = "yes", 1, 0)</f>
        <v>#REF!</v>
      </c>
      <c r="W1397" t="e">
        <f>IF(#REF! &lt;= 1, "0-1 Calls", IF(#REF! &lt;= 3, "2-3 Calls", IF(#REF! &lt;=5, "4-5 Calls", "6+ Calls")))</f>
        <v>#REF!</v>
      </c>
      <c r="X1397" t="e">
        <f>IF(#REF! &lt;= 50, "0-50", IF(#REF! &lt;=100, "51-100", IF(#REF! &lt;= 150, "101-150", "151+")))</f>
        <v>#REF!</v>
      </c>
      <c r="Y1397" t="e">
        <f>IF(#REF! &lt;= 3, "Low Charges", "High Charges")</f>
        <v>#REF!</v>
      </c>
      <c r="Z1397" t="e">
        <f>IF(#REF!&lt;=80,"Low Calls",
IF(#REF!&lt;=120,"Medium Calls","High Calls"))</f>
        <v>#REF!</v>
      </c>
      <c r="AA1397" t="e">
        <f>IF(#REF!&lt;=15,"Low Charges",
IF(#REF!&lt;=20,"Medium Charges","High Charges"))</f>
        <v>#REF!</v>
      </c>
      <c r="AB1397" t="e">
        <f>IF(AND(#REF!&gt;180, #REF!&gt;200), "Heavy Doemstic User", IF(#REF!&gt;10, "Interntional User", IF(AND(#REF!&lt;180, #REF!&lt;200,#REF!&lt;200), "Light User", "Balanced User")))</f>
        <v>#REF!</v>
      </c>
      <c r="AC1397" t="e">
        <f>IF(#REF! = 0, "No Usage", IF(#REF! &lt;= 20, "Low Usage", IF(#REF! &lt;= 40, "Medium Usgae", "High Usage")))</f>
        <v>#REF!</v>
      </c>
      <c r="AD1397" t="e">
        <f>IF(#REF!&lt;=150,"Low Usage", IF(#REF!&lt;=200,"Medium Usage", IF(#REF!&lt;=250,"High Usage","Very High Usage")))</f>
        <v>#REF!</v>
      </c>
      <c r="AE1397" t="e">
        <f>IF(#REF!&lt;=5,"Low Calls", IF(#REF!&lt;=10, "Medium Calls", "High Calls"))</f>
        <v>#REF!</v>
      </c>
      <c r="AF1397" t="e">
        <f xml:space="preserve">
IF(#REF!&gt;=4,4,0)+
IF(#REF!="yes",3,0)+
IF(#REF!="High Charges",3,0)+
IF(#REF!&gt;250,4,0)+
IF(#REF!="no",1,0)+
IF(#REF!="Heavy Domestic User",2,0)</f>
        <v>#REF!</v>
      </c>
      <c r="AG1397" t="e">
        <f>IF(#REF!&gt;=10,"High Risk", IF(#REF!&gt;=5,"Medium Risk","Low Risk"))</f>
        <v>#REF!</v>
      </c>
      <c r="AH1397" t="e">
        <f>#REF! + #REF! + #REF! + #REF!</f>
        <v>#REF!</v>
      </c>
    </row>
    <row r="1398" spans="1:34" x14ac:dyDescent="0.35">
      <c r="A1398">
        <v>1397</v>
      </c>
      <c r="B1398" t="s">
        <v>57</v>
      </c>
      <c r="C1398">
        <v>138</v>
      </c>
      <c r="D1398" t="s">
        <v>28</v>
      </c>
      <c r="E1398" t="s">
        <v>22</v>
      </c>
      <c r="F1398" t="s">
        <v>22</v>
      </c>
      <c r="G1398">
        <v>0</v>
      </c>
      <c r="H1398">
        <v>127.1</v>
      </c>
      <c r="I1398">
        <v>102</v>
      </c>
      <c r="J1398">
        <v>21.61</v>
      </c>
      <c r="K1398">
        <v>247.7</v>
      </c>
      <c r="L1398">
        <v>106</v>
      </c>
      <c r="M1398">
        <v>21.05</v>
      </c>
      <c r="N1398">
        <v>207.7</v>
      </c>
      <c r="O1398">
        <v>75</v>
      </c>
      <c r="P1398">
        <v>9.35</v>
      </c>
      <c r="Q1398">
        <v>5</v>
      </c>
      <c r="R1398">
        <v>3</v>
      </c>
      <c r="S1398">
        <v>1.35</v>
      </c>
      <c r="T1398">
        <v>3</v>
      </c>
      <c r="U1398" t="s">
        <v>22</v>
      </c>
      <c r="V1398" t="e">
        <f>IF(#REF! = "yes", 1, 0)</f>
        <v>#REF!</v>
      </c>
      <c r="W1398" t="e">
        <f>IF(#REF! &lt;= 1, "0-1 Calls", IF(#REF! &lt;= 3, "2-3 Calls", IF(#REF! &lt;=5, "4-5 Calls", "6+ Calls")))</f>
        <v>#REF!</v>
      </c>
      <c r="X1398" t="e">
        <f>IF(#REF! &lt;= 50, "0-50", IF(#REF! &lt;=100, "51-100", IF(#REF! &lt;= 150, "101-150", "151+")))</f>
        <v>#REF!</v>
      </c>
      <c r="Y1398" t="e">
        <f>IF(#REF! &lt;= 3, "Low Charges", "High Charges")</f>
        <v>#REF!</v>
      </c>
      <c r="Z1398" t="e">
        <f>IF(#REF!&lt;=80,"Low Calls",
IF(#REF!&lt;=120,"Medium Calls","High Calls"))</f>
        <v>#REF!</v>
      </c>
      <c r="AA1398" t="e">
        <f>IF(#REF!&lt;=15,"Low Charges",
IF(#REF!&lt;=20,"Medium Charges","High Charges"))</f>
        <v>#REF!</v>
      </c>
      <c r="AB1398" t="e">
        <f>IF(AND(#REF!&gt;180, #REF!&gt;200), "Heavy Doemstic User", IF(#REF!&gt;10, "Interntional User", IF(AND(#REF!&lt;180, #REF!&lt;200,#REF!&lt;200), "Light User", "Balanced User")))</f>
        <v>#REF!</v>
      </c>
      <c r="AC1398" t="e">
        <f>IF(#REF! = 0, "No Usage", IF(#REF! &lt;= 20, "Low Usage", IF(#REF! &lt;= 40, "Medium Usgae", "High Usage")))</f>
        <v>#REF!</v>
      </c>
      <c r="AD1398" t="e">
        <f>IF(#REF!&lt;=150,"Low Usage", IF(#REF!&lt;=200,"Medium Usage", IF(#REF!&lt;=250,"High Usage","Very High Usage")))</f>
        <v>#REF!</v>
      </c>
      <c r="AE1398" t="e">
        <f>IF(#REF!&lt;=5,"Low Calls", IF(#REF!&lt;=10, "Medium Calls", "High Calls"))</f>
        <v>#REF!</v>
      </c>
      <c r="AF1398" t="e">
        <f xml:space="preserve">
IF(#REF!&gt;=4,4,0)+
IF(#REF!="yes",3,0)+
IF(#REF!="High Charges",3,0)+
IF(#REF!&gt;250,4,0)+
IF(#REF!="no",1,0)+
IF(#REF!="Heavy Domestic User",2,0)</f>
        <v>#REF!</v>
      </c>
      <c r="AG1398" t="e">
        <f>IF(#REF!&gt;=10,"High Risk", IF(#REF!&gt;=5,"Medium Risk","Low Risk"))</f>
        <v>#REF!</v>
      </c>
      <c r="AH1398" t="e">
        <f>#REF! + #REF! + #REF! + #REF!</f>
        <v>#REF!</v>
      </c>
    </row>
    <row r="1399" spans="1:34" x14ac:dyDescent="0.35">
      <c r="A1399">
        <v>1398</v>
      </c>
      <c r="B1399" t="s">
        <v>75</v>
      </c>
      <c r="C1399">
        <v>101</v>
      </c>
      <c r="D1399" t="s">
        <v>21</v>
      </c>
      <c r="E1399" t="s">
        <v>22</v>
      </c>
      <c r="F1399" t="s">
        <v>23</v>
      </c>
      <c r="G1399">
        <v>28</v>
      </c>
      <c r="H1399">
        <v>105.9</v>
      </c>
      <c r="I1399">
        <v>132</v>
      </c>
      <c r="J1399">
        <v>18</v>
      </c>
      <c r="K1399">
        <v>231.7</v>
      </c>
      <c r="L1399">
        <v>107</v>
      </c>
      <c r="M1399">
        <v>19.690000000000001</v>
      </c>
      <c r="N1399">
        <v>281.3</v>
      </c>
      <c r="O1399">
        <v>120</v>
      </c>
      <c r="P1399">
        <v>12.66</v>
      </c>
      <c r="Q1399">
        <v>10.7</v>
      </c>
      <c r="R1399">
        <v>5</v>
      </c>
      <c r="S1399">
        <v>2.89</v>
      </c>
      <c r="T1399">
        <v>1</v>
      </c>
      <c r="U1399" t="s">
        <v>22</v>
      </c>
      <c r="V1399" t="e">
        <f>IF(#REF! = "yes", 1, 0)</f>
        <v>#REF!</v>
      </c>
      <c r="W1399" t="e">
        <f>IF(#REF! &lt;= 1, "0-1 Calls", IF(#REF! &lt;= 3, "2-3 Calls", IF(#REF! &lt;=5, "4-5 Calls", "6+ Calls")))</f>
        <v>#REF!</v>
      </c>
      <c r="X1399" t="e">
        <f>IF(#REF! &lt;= 50, "0-50", IF(#REF! &lt;=100, "51-100", IF(#REF! &lt;= 150, "101-150", "151+")))</f>
        <v>#REF!</v>
      </c>
      <c r="Y1399" t="e">
        <f>IF(#REF! &lt;= 3, "Low Charges", "High Charges")</f>
        <v>#REF!</v>
      </c>
      <c r="Z1399" t="e">
        <f>IF(#REF!&lt;=80,"Low Calls",
IF(#REF!&lt;=120,"Medium Calls","High Calls"))</f>
        <v>#REF!</v>
      </c>
      <c r="AA1399" t="e">
        <f>IF(#REF!&lt;=15,"Low Charges",
IF(#REF!&lt;=20,"Medium Charges","High Charges"))</f>
        <v>#REF!</v>
      </c>
      <c r="AB1399" t="e">
        <f>IF(AND(#REF!&gt;180, #REF!&gt;200), "Heavy Doemstic User", IF(#REF!&gt;10, "Interntional User", IF(AND(#REF!&lt;180, #REF!&lt;200,#REF!&lt;200), "Light User", "Balanced User")))</f>
        <v>#REF!</v>
      </c>
      <c r="AC1399" t="e">
        <f>IF(#REF! = 0, "No Usage", IF(#REF! &lt;= 20, "Low Usage", IF(#REF! &lt;= 40, "Medium Usgae", "High Usage")))</f>
        <v>#REF!</v>
      </c>
      <c r="AD1399" t="e">
        <f>IF(#REF!&lt;=150,"Low Usage", IF(#REF!&lt;=200,"Medium Usage", IF(#REF!&lt;=250,"High Usage","Very High Usage")))</f>
        <v>#REF!</v>
      </c>
      <c r="AE1399" t="e">
        <f>IF(#REF!&lt;=5,"Low Calls", IF(#REF!&lt;=10, "Medium Calls", "High Calls"))</f>
        <v>#REF!</v>
      </c>
      <c r="AF1399" t="e">
        <f xml:space="preserve">
IF(#REF!&gt;=4,4,0)+
IF(#REF!="yes",3,0)+
IF(#REF!="High Charges",3,0)+
IF(#REF!&gt;250,4,0)+
IF(#REF!="no",1,0)+
IF(#REF!="Heavy Domestic User",2,0)</f>
        <v>#REF!</v>
      </c>
      <c r="AG1399" t="e">
        <f>IF(#REF!&gt;=10,"High Risk", IF(#REF!&gt;=5,"Medium Risk","Low Risk"))</f>
        <v>#REF!</v>
      </c>
      <c r="AH1399" t="e">
        <f>#REF! + #REF! + #REF! + #REF!</f>
        <v>#REF!</v>
      </c>
    </row>
    <row r="1400" spans="1:34" x14ac:dyDescent="0.35">
      <c r="A1400">
        <v>1399</v>
      </c>
      <c r="B1400" t="s">
        <v>38</v>
      </c>
      <c r="C1400">
        <v>136</v>
      </c>
      <c r="D1400" t="s">
        <v>25</v>
      </c>
      <c r="E1400" t="s">
        <v>22</v>
      </c>
      <c r="F1400" t="s">
        <v>22</v>
      </c>
      <c r="G1400">
        <v>0</v>
      </c>
      <c r="H1400">
        <v>142.30000000000001</v>
      </c>
      <c r="I1400">
        <v>79</v>
      </c>
      <c r="J1400">
        <v>24.19</v>
      </c>
      <c r="K1400">
        <v>158</v>
      </c>
      <c r="L1400">
        <v>113</v>
      </c>
      <c r="M1400">
        <v>13.43</v>
      </c>
      <c r="N1400">
        <v>177.5</v>
      </c>
      <c r="O1400">
        <v>75</v>
      </c>
      <c r="P1400">
        <v>7.99</v>
      </c>
      <c r="Q1400">
        <v>6</v>
      </c>
      <c r="R1400">
        <v>11</v>
      </c>
      <c r="S1400">
        <v>1.62</v>
      </c>
      <c r="T1400">
        <v>2</v>
      </c>
      <c r="U1400" t="s">
        <v>22</v>
      </c>
      <c r="V1400" t="e">
        <f>IF(#REF! = "yes", 1, 0)</f>
        <v>#REF!</v>
      </c>
      <c r="W1400" t="e">
        <f>IF(#REF! &lt;= 1, "0-1 Calls", IF(#REF! &lt;= 3, "2-3 Calls", IF(#REF! &lt;=5, "4-5 Calls", "6+ Calls")))</f>
        <v>#REF!</v>
      </c>
      <c r="X1400" t="e">
        <f>IF(#REF! &lt;= 50, "0-50", IF(#REF! &lt;=100, "51-100", IF(#REF! &lt;= 150, "101-150", "151+")))</f>
        <v>#REF!</v>
      </c>
      <c r="Y1400" t="e">
        <f>IF(#REF! &lt;= 3, "Low Charges", "High Charges")</f>
        <v>#REF!</v>
      </c>
      <c r="Z1400" t="e">
        <f>IF(#REF!&lt;=80,"Low Calls",
IF(#REF!&lt;=120,"Medium Calls","High Calls"))</f>
        <v>#REF!</v>
      </c>
      <c r="AA1400" t="e">
        <f>IF(#REF!&lt;=15,"Low Charges",
IF(#REF!&lt;=20,"Medium Charges","High Charges"))</f>
        <v>#REF!</v>
      </c>
      <c r="AB1400" t="e">
        <f>IF(AND(#REF!&gt;180, #REF!&gt;200), "Heavy Doemstic User", IF(#REF!&gt;10, "Interntional User", IF(AND(#REF!&lt;180, #REF!&lt;200,#REF!&lt;200), "Light User", "Balanced User")))</f>
        <v>#REF!</v>
      </c>
      <c r="AC1400" t="e">
        <f>IF(#REF! = 0, "No Usage", IF(#REF! &lt;= 20, "Low Usage", IF(#REF! &lt;= 40, "Medium Usgae", "High Usage")))</f>
        <v>#REF!</v>
      </c>
      <c r="AD1400" t="e">
        <f>IF(#REF!&lt;=150,"Low Usage", IF(#REF!&lt;=200,"Medium Usage", IF(#REF!&lt;=250,"High Usage","Very High Usage")))</f>
        <v>#REF!</v>
      </c>
      <c r="AE1400" t="e">
        <f>IF(#REF!&lt;=5,"Low Calls", IF(#REF!&lt;=10, "Medium Calls", "High Calls"))</f>
        <v>#REF!</v>
      </c>
      <c r="AF1400" t="e">
        <f xml:space="preserve">
IF(#REF!&gt;=4,4,0)+
IF(#REF!="yes",3,0)+
IF(#REF!="High Charges",3,0)+
IF(#REF!&gt;250,4,0)+
IF(#REF!="no",1,0)+
IF(#REF!="Heavy Domestic User",2,0)</f>
        <v>#REF!</v>
      </c>
      <c r="AG1400" t="e">
        <f>IF(#REF!&gt;=10,"High Risk", IF(#REF!&gt;=5,"Medium Risk","Low Risk"))</f>
        <v>#REF!</v>
      </c>
      <c r="AH1400" t="e">
        <f>#REF! + #REF! + #REF! + #REF!</f>
        <v>#REF!</v>
      </c>
    </row>
    <row r="1401" spans="1:34" x14ac:dyDescent="0.35">
      <c r="A1401">
        <v>1400</v>
      </c>
      <c r="B1401" t="s">
        <v>27</v>
      </c>
      <c r="C1401">
        <v>132</v>
      </c>
      <c r="D1401" t="s">
        <v>25</v>
      </c>
      <c r="E1401" t="s">
        <v>22</v>
      </c>
      <c r="F1401" t="s">
        <v>23</v>
      </c>
      <c r="G1401">
        <v>36</v>
      </c>
      <c r="H1401">
        <v>201.9</v>
      </c>
      <c r="I1401">
        <v>93</v>
      </c>
      <c r="J1401">
        <v>34.32</v>
      </c>
      <c r="K1401">
        <v>156.30000000000001</v>
      </c>
      <c r="L1401">
        <v>75</v>
      </c>
      <c r="M1401">
        <v>13.29</v>
      </c>
      <c r="N1401">
        <v>131.30000000000001</v>
      </c>
      <c r="O1401">
        <v>92</v>
      </c>
      <c r="P1401">
        <v>5.91</v>
      </c>
      <c r="Q1401">
        <v>13.7</v>
      </c>
      <c r="R1401">
        <v>5</v>
      </c>
      <c r="S1401">
        <v>3.7</v>
      </c>
      <c r="T1401">
        <v>0</v>
      </c>
      <c r="U1401" t="s">
        <v>22</v>
      </c>
      <c r="V1401" t="e">
        <f>IF(#REF! = "yes", 1, 0)</f>
        <v>#REF!</v>
      </c>
      <c r="W1401" t="e">
        <f>IF(#REF! &lt;= 1, "0-1 Calls", IF(#REF! &lt;= 3, "2-3 Calls", IF(#REF! &lt;=5, "4-5 Calls", "6+ Calls")))</f>
        <v>#REF!</v>
      </c>
      <c r="X1401" t="e">
        <f>IF(#REF! &lt;= 50, "0-50", IF(#REF! &lt;=100, "51-100", IF(#REF! &lt;= 150, "101-150", "151+")))</f>
        <v>#REF!</v>
      </c>
      <c r="Y1401" t="e">
        <f>IF(#REF! &lt;= 3, "Low Charges", "High Charges")</f>
        <v>#REF!</v>
      </c>
      <c r="Z1401" t="e">
        <f>IF(#REF!&lt;=80,"Low Calls",
IF(#REF!&lt;=120,"Medium Calls","High Calls"))</f>
        <v>#REF!</v>
      </c>
      <c r="AA1401" t="e">
        <f>IF(#REF!&lt;=15,"Low Charges",
IF(#REF!&lt;=20,"Medium Charges","High Charges"))</f>
        <v>#REF!</v>
      </c>
      <c r="AB1401" t="e">
        <f>IF(AND(#REF!&gt;180, #REF!&gt;200), "Heavy Doemstic User", IF(#REF!&gt;10, "Interntional User", IF(AND(#REF!&lt;180, #REF!&lt;200,#REF!&lt;200), "Light User", "Balanced User")))</f>
        <v>#REF!</v>
      </c>
      <c r="AC1401" t="e">
        <f>IF(#REF! = 0, "No Usage", IF(#REF! &lt;= 20, "Low Usage", IF(#REF! &lt;= 40, "Medium Usgae", "High Usage")))</f>
        <v>#REF!</v>
      </c>
      <c r="AD1401" t="e">
        <f>IF(#REF!&lt;=150,"Low Usage", IF(#REF!&lt;=200,"Medium Usage", IF(#REF!&lt;=250,"High Usage","Very High Usage")))</f>
        <v>#REF!</v>
      </c>
      <c r="AE1401" t="e">
        <f>IF(#REF!&lt;=5,"Low Calls", IF(#REF!&lt;=10, "Medium Calls", "High Calls"))</f>
        <v>#REF!</v>
      </c>
      <c r="AF1401" t="e">
        <f xml:space="preserve">
IF(#REF!&gt;=4,4,0)+
IF(#REF!="yes",3,0)+
IF(#REF!="High Charges",3,0)+
IF(#REF!&gt;250,4,0)+
IF(#REF!="no",1,0)+
IF(#REF!="Heavy Domestic User",2,0)</f>
        <v>#REF!</v>
      </c>
      <c r="AG1401" t="e">
        <f>IF(#REF!&gt;=10,"High Risk", IF(#REF!&gt;=5,"Medium Risk","Low Risk"))</f>
        <v>#REF!</v>
      </c>
      <c r="AH1401" t="e">
        <f>#REF! + #REF! + #REF! + #REF!</f>
        <v>#REF!</v>
      </c>
    </row>
    <row r="1402" spans="1:34" x14ac:dyDescent="0.35">
      <c r="A1402">
        <v>1401</v>
      </c>
      <c r="B1402" t="s">
        <v>57</v>
      </c>
      <c r="C1402">
        <v>128</v>
      </c>
      <c r="D1402" t="s">
        <v>21</v>
      </c>
      <c r="E1402" t="s">
        <v>22</v>
      </c>
      <c r="F1402" t="s">
        <v>22</v>
      </c>
      <c r="G1402">
        <v>0</v>
      </c>
      <c r="H1402">
        <v>247.3</v>
      </c>
      <c r="I1402">
        <v>91</v>
      </c>
      <c r="J1402">
        <v>42.04</v>
      </c>
      <c r="K1402">
        <v>182.7</v>
      </c>
      <c r="L1402">
        <v>60</v>
      </c>
      <c r="M1402">
        <v>15.53</v>
      </c>
      <c r="N1402">
        <v>143.19999999999999</v>
      </c>
      <c r="O1402">
        <v>112</v>
      </c>
      <c r="P1402">
        <v>6.44</v>
      </c>
      <c r="Q1402">
        <v>14.7</v>
      </c>
      <c r="R1402">
        <v>2</v>
      </c>
      <c r="S1402">
        <v>3.97</v>
      </c>
      <c r="T1402">
        <v>3</v>
      </c>
      <c r="U1402" t="s">
        <v>22</v>
      </c>
      <c r="V1402" t="e">
        <f>IF(#REF! = "yes", 1, 0)</f>
        <v>#REF!</v>
      </c>
      <c r="W1402" t="e">
        <f>IF(#REF! &lt;= 1, "0-1 Calls", IF(#REF! &lt;= 3, "2-3 Calls", IF(#REF! &lt;=5, "4-5 Calls", "6+ Calls")))</f>
        <v>#REF!</v>
      </c>
      <c r="X1402" t="e">
        <f>IF(#REF! &lt;= 50, "0-50", IF(#REF! &lt;=100, "51-100", IF(#REF! &lt;= 150, "101-150", "151+")))</f>
        <v>#REF!</v>
      </c>
      <c r="Y1402" t="e">
        <f>IF(#REF! &lt;= 3, "Low Charges", "High Charges")</f>
        <v>#REF!</v>
      </c>
      <c r="Z1402" t="e">
        <f>IF(#REF!&lt;=80,"Low Calls",
IF(#REF!&lt;=120,"Medium Calls","High Calls"))</f>
        <v>#REF!</v>
      </c>
      <c r="AA1402" t="e">
        <f>IF(#REF!&lt;=15,"Low Charges",
IF(#REF!&lt;=20,"Medium Charges","High Charges"))</f>
        <v>#REF!</v>
      </c>
      <c r="AB1402" t="e">
        <f>IF(AND(#REF!&gt;180, #REF!&gt;200), "Heavy Doemstic User", IF(#REF!&gt;10, "Interntional User", IF(AND(#REF!&lt;180, #REF!&lt;200,#REF!&lt;200), "Light User", "Balanced User")))</f>
        <v>#REF!</v>
      </c>
      <c r="AC1402" t="e">
        <f>IF(#REF! = 0, "No Usage", IF(#REF! &lt;= 20, "Low Usage", IF(#REF! &lt;= 40, "Medium Usgae", "High Usage")))</f>
        <v>#REF!</v>
      </c>
      <c r="AD1402" t="e">
        <f>IF(#REF!&lt;=150,"Low Usage", IF(#REF!&lt;=200,"Medium Usage", IF(#REF!&lt;=250,"High Usage","Very High Usage")))</f>
        <v>#REF!</v>
      </c>
      <c r="AE1402" t="e">
        <f>IF(#REF!&lt;=5,"Low Calls", IF(#REF!&lt;=10, "Medium Calls", "High Calls"))</f>
        <v>#REF!</v>
      </c>
      <c r="AF1402" t="e">
        <f xml:space="preserve">
IF(#REF!&gt;=4,4,0)+
IF(#REF!="yes",3,0)+
IF(#REF!="High Charges",3,0)+
IF(#REF!&gt;250,4,0)+
IF(#REF!="no",1,0)+
IF(#REF!="Heavy Domestic User",2,0)</f>
        <v>#REF!</v>
      </c>
      <c r="AG1402" t="e">
        <f>IF(#REF!&gt;=10,"High Risk", IF(#REF!&gt;=5,"Medium Risk","Low Risk"))</f>
        <v>#REF!</v>
      </c>
      <c r="AH1402" t="e">
        <f>#REF! + #REF! + #REF! + #REF!</f>
        <v>#REF!</v>
      </c>
    </row>
    <row r="1403" spans="1:34" x14ac:dyDescent="0.35">
      <c r="A1403">
        <v>1402</v>
      </c>
      <c r="B1403" t="s">
        <v>68</v>
      </c>
      <c r="C1403">
        <v>92</v>
      </c>
      <c r="D1403" t="s">
        <v>25</v>
      </c>
      <c r="E1403" t="s">
        <v>22</v>
      </c>
      <c r="F1403" t="s">
        <v>23</v>
      </c>
      <c r="G1403">
        <v>38</v>
      </c>
      <c r="H1403">
        <v>242.2</v>
      </c>
      <c r="I1403">
        <v>96</v>
      </c>
      <c r="J1403">
        <v>41.17</v>
      </c>
      <c r="K1403">
        <v>159.69999999999999</v>
      </c>
      <c r="L1403">
        <v>144</v>
      </c>
      <c r="M1403">
        <v>13.57</v>
      </c>
      <c r="N1403">
        <v>210</v>
      </c>
      <c r="O1403">
        <v>108</v>
      </c>
      <c r="P1403">
        <v>9.4499999999999993</v>
      </c>
      <c r="Q1403">
        <v>8.9</v>
      </c>
      <c r="R1403">
        <v>1</v>
      </c>
      <c r="S1403">
        <v>2.4</v>
      </c>
      <c r="T1403">
        <v>1</v>
      </c>
      <c r="U1403" t="s">
        <v>22</v>
      </c>
      <c r="V1403" t="e">
        <f>IF(#REF! = "yes", 1, 0)</f>
        <v>#REF!</v>
      </c>
      <c r="W1403" t="e">
        <f>IF(#REF! &lt;= 1, "0-1 Calls", IF(#REF! &lt;= 3, "2-3 Calls", IF(#REF! &lt;=5, "4-5 Calls", "6+ Calls")))</f>
        <v>#REF!</v>
      </c>
      <c r="X1403" t="e">
        <f>IF(#REF! &lt;= 50, "0-50", IF(#REF! &lt;=100, "51-100", IF(#REF! &lt;= 150, "101-150", "151+")))</f>
        <v>#REF!</v>
      </c>
      <c r="Y1403" t="e">
        <f>IF(#REF! &lt;= 3, "Low Charges", "High Charges")</f>
        <v>#REF!</v>
      </c>
      <c r="Z1403" t="e">
        <f>IF(#REF!&lt;=80,"Low Calls",
IF(#REF!&lt;=120,"Medium Calls","High Calls"))</f>
        <v>#REF!</v>
      </c>
      <c r="AA1403" t="e">
        <f>IF(#REF!&lt;=15,"Low Charges",
IF(#REF!&lt;=20,"Medium Charges","High Charges"))</f>
        <v>#REF!</v>
      </c>
      <c r="AB1403" t="e">
        <f>IF(AND(#REF!&gt;180, #REF!&gt;200), "Heavy Doemstic User", IF(#REF!&gt;10, "Interntional User", IF(AND(#REF!&lt;180, #REF!&lt;200,#REF!&lt;200), "Light User", "Balanced User")))</f>
        <v>#REF!</v>
      </c>
      <c r="AC1403" t="e">
        <f>IF(#REF! = 0, "No Usage", IF(#REF! &lt;= 20, "Low Usage", IF(#REF! &lt;= 40, "Medium Usgae", "High Usage")))</f>
        <v>#REF!</v>
      </c>
      <c r="AD1403" t="e">
        <f>IF(#REF!&lt;=150,"Low Usage", IF(#REF!&lt;=200,"Medium Usage", IF(#REF!&lt;=250,"High Usage","Very High Usage")))</f>
        <v>#REF!</v>
      </c>
      <c r="AE1403" t="e">
        <f>IF(#REF!&lt;=5,"Low Calls", IF(#REF!&lt;=10, "Medium Calls", "High Calls"))</f>
        <v>#REF!</v>
      </c>
      <c r="AF1403" t="e">
        <f xml:space="preserve">
IF(#REF!&gt;=4,4,0)+
IF(#REF!="yes",3,0)+
IF(#REF!="High Charges",3,0)+
IF(#REF!&gt;250,4,0)+
IF(#REF!="no",1,0)+
IF(#REF!="Heavy Domestic User",2,0)</f>
        <v>#REF!</v>
      </c>
      <c r="AG1403" t="e">
        <f>IF(#REF!&gt;=10,"High Risk", IF(#REF!&gt;=5,"Medium Risk","Low Risk"))</f>
        <v>#REF!</v>
      </c>
      <c r="AH1403" t="e">
        <f>#REF! + #REF! + #REF! + #REF!</f>
        <v>#REF!</v>
      </c>
    </row>
    <row r="1404" spans="1:34" x14ac:dyDescent="0.35">
      <c r="A1404">
        <v>1403</v>
      </c>
      <c r="B1404" t="s">
        <v>68</v>
      </c>
      <c r="C1404">
        <v>197</v>
      </c>
      <c r="D1404" t="s">
        <v>21</v>
      </c>
      <c r="E1404" t="s">
        <v>23</v>
      </c>
      <c r="F1404" t="s">
        <v>22</v>
      </c>
      <c r="G1404">
        <v>0</v>
      </c>
      <c r="H1404">
        <v>127.3</v>
      </c>
      <c r="I1404">
        <v>80</v>
      </c>
      <c r="J1404">
        <v>21.64</v>
      </c>
      <c r="K1404">
        <v>222.3</v>
      </c>
      <c r="L1404">
        <v>115</v>
      </c>
      <c r="M1404">
        <v>18.899999999999999</v>
      </c>
      <c r="N1404">
        <v>173.9</v>
      </c>
      <c r="O1404">
        <v>95</v>
      </c>
      <c r="P1404">
        <v>7.83</v>
      </c>
      <c r="Q1404">
        <v>13.7</v>
      </c>
      <c r="R1404">
        <v>5</v>
      </c>
      <c r="S1404">
        <v>3.7</v>
      </c>
      <c r="T1404">
        <v>5</v>
      </c>
      <c r="U1404" t="s">
        <v>23</v>
      </c>
      <c r="V1404" t="e">
        <f>IF(#REF! = "yes", 1, 0)</f>
        <v>#REF!</v>
      </c>
      <c r="W1404" t="e">
        <f>IF(#REF! &lt;= 1, "0-1 Calls", IF(#REF! &lt;= 3, "2-3 Calls", IF(#REF! &lt;=5, "4-5 Calls", "6+ Calls")))</f>
        <v>#REF!</v>
      </c>
      <c r="X1404" t="e">
        <f>IF(#REF! &lt;= 50, "0-50", IF(#REF! &lt;=100, "51-100", IF(#REF! &lt;= 150, "101-150", "151+")))</f>
        <v>#REF!</v>
      </c>
      <c r="Y1404" t="e">
        <f>IF(#REF! &lt;= 3, "Low Charges", "High Charges")</f>
        <v>#REF!</v>
      </c>
      <c r="Z1404" t="e">
        <f>IF(#REF!&lt;=80,"Low Calls",
IF(#REF!&lt;=120,"Medium Calls","High Calls"))</f>
        <v>#REF!</v>
      </c>
      <c r="AA1404" t="e">
        <f>IF(#REF!&lt;=15,"Low Charges",
IF(#REF!&lt;=20,"Medium Charges","High Charges"))</f>
        <v>#REF!</v>
      </c>
      <c r="AB1404" t="e">
        <f>IF(AND(#REF!&gt;180, #REF!&gt;200), "Heavy Doemstic User", IF(#REF!&gt;10, "Interntional User", IF(AND(#REF!&lt;180, #REF!&lt;200,#REF!&lt;200), "Light User", "Balanced User")))</f>
        <v>#REF!</v>
      </c>
      <c r="AC1404" t="e">
        <f>IF(#REF! = 0, "No Usage", IF(#REF! &lt;= 20, "Low Usage", IF(#REF! &lt;= 40, "Medium Usgae", "High Usage")))</f>
        <v>#REF!</v>
      </c>
      <c r="AD1404" t="e">
        <f>IF(#REF!&lt;=150,"Low Usage", IF(#REF!&lt;=200,"Medium Usage", IF(#REF!&lt;=250,"High Usage","Very High Usage")))</f>
        <v>#REF!</v>
      </c>
      <c r="AE1404" t="e">
        <f>IF(#REF!&lt;=5,"Low Calls", IF(#REF!&lt;=10, "Medium Calls", "High Calls"))</f>
        <v>#REF!</v>
      </c>
      <c r="AF1404" t="e">
        <f xml:space="preserve">
IF(#REF!&gt;=4,4,0)+
IF(#REF!="yes",3,0)+
IF(#REF!="High Charges",3,0)+
IF(#REF!&gt;250,4,0)+
IF(#REF!="no",1,0)+
IF(#REF!="Heavy Domestic User",2,0)</f>
        <v>#REF!</v>
      </c>
      <c r="AG1404" t="e">
        <f>IF(#REF!&gt;=10,"High Risk", IF(#REF!&gt;=5,"Medium Risk","Low Risk"))</f>
        <v>#REF!</v>
      </c>
      <c r="AH1404" t="e">
        <f>#REF! + #REF! + #REF! + #REF!</f>
        <v>#REF!</v>
      </c>
    </row>
    <row r="1405" spans="1:34" x14ac:dyDescent="0.35">
      <c r="A1405">
        <v>1404</v>
      </c>
      <c r="B1405" t="s">
        <v>31</v>
      </c>
      <c r="C1405">
        <v>191</v>
      </c>
      <c r="D1405" t="s">
        <v>25</v>
      </c>
      <c r="E1405" t="s">
        <v>22</v>
      </c>
      <c r="F1405" t="s">
        <v>22</v>
      </c>
      <c r="G1405">
        <v>0</v>
      </c>
      <c r="H1405">
        <v>162</v>
      </c>
      <c r="I1405">
        <v>104</v>
      </c>
      <c r="J1405">
        <v>27.54</v>
      </c>
      <c r="K1405">
        <v>241.2</v>
      </c>
      <c r="L1405">
        <v>120</v>
      </c>
      <c r="M1405">
        <v>20.5</v>
      </c>
      <c r="N1405">
        <v>210.4</v>
      </c>
      <c r="O1405">
        <v>83</v>
      </c>
      <c r="P1405">
        <v>9.4700000000000006</v>
      </c>
      <c r="Q1405">
        <v>10.9</v>
      </c>
      <c r="R1405">
        <v>7</v>
      </c>
      <c r="S1405">
        <v>2.94</v>
      </c>
      <c r="T1405">
        <v>1</v>
      </c>
      <c r="U1405" t="s">
        <v>22</v>
      </c>
      <c r="V1405" t="e">
        <f>IF(#REF! = "yes", 1, 0)</f>
        <v>#REF!</v>
      </c>
      <c r="W1405" t="e">
        <f>IF(#REF! &lt;= 1, "0-1 Calls", IF(#REF! &lt;= 3, "2-3 Calls", IF(#REF! &lt;=5, "4-5 Calls", "6+ Calls")))</f>
        <v>#REF!</v>
      </c>
      <c r="X1405" t="e">
        <f>IF(#REF! &lt;= 50, "0-50", IF(#REF! &lt;=100, "51-100", IF(#REF! &lt;= 150, "101-150", "151+")))</f>
        <v>#REF!</v>
      </c>
      <c r="Y1405" t="e">
        <f>IF(#REF! &lt;= 3, "Low Charges", "High Charges")</f>
        <v>#REF!</v>
      </c>
      <c r="Z1405" t="e">
        <f>IF(#REF!&lt;=80,"Low Calls",
IF(#REF!&lt;=120,"Medium Calls","High Calls"))</f>
        <v>#REF!</v>
      </c>
      <c r="AA1405" t="e">
        <f>IF(#REF!&lt;=15,"Low Charges",
IF(#REF!&lt;=20,"Medium Charges","High Charges"))</f>
        <v>#REF!</v>
      </c>
      <c r="AB1405" t="e">
        <f>IF(AND(#REF!&gt;180, #REF!&gt;200), "Heavy Doemstic User", IF(#REF!&gt;10, "Interntional User", IF(AND(#REF!&lt;180, #REF!&lt;200,#REF!&lt;200), "Light User", "Balanced User")))</f>
        <v>#REF!</v>
      </c>
      <c r="AC1405" t="e">
        <f>IF(#REF! = 0, "No Usage", IF(#REF! &lt;= 20, "Low Usage", IF(#REF! &lt;= 40, "Medium Usgae", "High Usage")))</f>
        <v>#REF!</v>
      </c>
      <c r="AD1405" t="e">
        <f>IF(#REF!&lt;=150,"Low Usage", IF(#REF!&lt;=200,"Medium Usage", IF(#REF!&lt;=250,"High Usage","Very High Usage")))</f>
        <v>#REF!</v>
      </c>
      <c r="AE1405" t="e">
        <f>IF(#REF!&lt;=5,"Low Calls", IF(#REF!&lt;=10, "Medium Calls", "High Calls"))</f>
        <v>#REF!</v>
      </c>
      <c r="AF1405" t="e">
        <f xml:space="preserve">
IF(#REF!&gt;=4,4,0)+
IF(#REF!="yes",3,0)+
IF(#REF!="High Charges",3,0)+
IF(#REF!&gt;250,4,0)+
IF(#REF!="no",1,0)+
IF(#REF!="Heavy Domestic User",2,0)</f>
        <v>#REF!</v>
      </c>
      <c r="AG1405" t="e">
        <f>IF(#REF!&gt;=10,"High Risk", IF(#REF!&gt;=5,"Medium Risk","Low Risk"))</f>
        <v>#REF!</v>
      </c>
      <c r="AH1405" t="e">
        <f>#REF! + #REF! + #REF! + #REF!</f>
        <v>#REF!</v>
      </c>
    </row>
    <row r="1406" spans="1:34" x14ac:dyDescent="0.35">
      <c r="A1406">
        <v>1405</v>
      </c>
      <c r="B1406" t="s">
        <v>43</v>
      </c>
      <c r="C1406">
        <v>99</v>
      </c>
      <c r="D1406" t="s">
        <v>21</v>
      </c>
      <c r="E1406" t="s">
        <v>22</v>
      </c>
      <c r="F1406" t="s">
        <v>23</v>
      </c>
      <c r="G1406">
        <v>33</v>
      </c>
      <c r="H1406">
        <v>179.1</v>
      </c>
      <c r="I1406">
        <v>93</v>
      </c>
      <c r="J1406">
        <v>30.45</v>
      </c>
      <c r="K1406">
        <v>238.3</v>
      </c>
      <c r="L1406">
        <v>102</v>
      </c>
      <c r="M1406">
        <v>20.260000000000002</v>
      </c>
      <c r="N1406">
        <v>165.7</v>
      </c>
      <c r="O1406">
        <v>96</v>
      </c>
      <c r="P1406">
        <v>7.46</v>
      </c>
      <c r="Q1406">
        <v>10.6</v>
      </c>
      <c r="R1406">
        <v>1</v>
      </c>
      <c r="S1406">
        <v>2.86</v>
      </c>
      <c r="T1406">
        <v>2</v>
      </c>
      <c r="U1406" t="s">
        <v>22</v>
      </c>
      <c r="V1406" t="e">
        <f>IF(#REF! = "yes", 1, 0)</f>
        <v>#REF!</v>
      </c>
      <c r="W1406" t="e">
        <f>IF(#REF! &lt;= 1, "0-1 Calls", IF(#REF! &lt;= 3, "2-3 Calls", IF(#REF! &lt;=5, "4-5 Calls", "6+ Calls")))</f>
        <v>#REF!</v>
      </c>
      <c r="X1406" t="e">
        <f>IF(#REF! &lt;= 50, "0-50", IF(#REF! &lt;=100, "51-100", IF(#REF! &lt;= 150, "101-150", "151+")))</f>
        <v>#REF!</v>
      </c>
      <c r="Y1406" t="e">
        <f>IF(#REF! &lt;= 3, "Low Charges", "High Charges")</f>
        <v>#REF!</v>
      </c>
      <c r="Z1406" t="e">
        <f>IF(#REF!&lt;=80,"Low Calls",
IF(#REF!&lt;=120,"Medium Calls","High Calls"))</f>
        <v>#REF!</v>
      </c>
      <c r="AA1406" t="e">
        <f>IF(#REF!&lt;=15,"Low Charges",
IF(#REF!&lt;=20,"Medium Charges","High Charges"))</f>
        <v>#REF!</v>
      </c>
      <c r="AB1406" t="e">
        <f>IF(AND(#REF!&gt;180, #REF!&gt;200), "Heavy Doemstic User", IF(#REF!&gt;10, "Interntional User", IF(AND(#REF!&lt;180, #REF!&lt;200,#REF!&lt;200), "Light User", "Balanced User")))</f>
        <v>#REF!</v>
      </c>
      <c r="AC1406" t="e">
        <f>IF(#REF! = 0, "No Usage", IF(#REF! &lt;= 20, "Low Usage", IF(#REF! &lt;= 40, "Medium Usgae", "High Usage")))</f>
        <v>#REF!</v>
      </c>
      <c r="AD1406" t="e">
        <f>IF(#REF!&lt;=150,"Low Usage", IF(#REF!&lt;=200,"Medium Usage", IF(#REF!&lt;=250,"High Usage","Very High Usage")))</f>
        <v>#REF!</v>
      </c>
      <c r="AE1406" t="e">
        <f>IF(#REF!&lt;=5,"Low Calls", IF(#REF!&lt;=10, "Medium Calls", "High Calls"))</f>
        <v>#REF!</v>
      </c>
      <c r="AF1406" t="e">
        <f xml:space="preserve">
IF(#REF!&gt;=4,4,0)+
IF(#REF!="yes",3,0)+
IF(#REF!="High Charges",3,0)+
IF(#REF!&gt;250,4,0)+
IF(#REF!="no",1,0)+
IF(#REF!="Heavy Domestic User",2,0)</f>
        <v>#REF!</v>
      </c>
      <c r="AG1406" t="e">
        <f>IF(#REF!&gt;=10,"High Risk", IF(#REF!&gt;=5,"Medium Risk","Low Risk"))</f>
        <v>#REF!</v>
      </c>
      <c r="AH1406" t="e">
        <f>#REF! + #REF! + #REF! + #REF!</f>
        <v>#REF!</v>
      </c>
    </row>
    <row r="1407" spans="1:34" x14ac:dyDescent="0.35">
      <c r="A1407">
        <v>1406</v>
      </c>
      <c r="B1407" t="s">
        <v>55</v>
      </c>
      <c r="C1407">
        <v>78</v>
      </c>
      <c r="D1407" t="s">
        <v>21</v>
      </c>
      <c r="E1407" t="s">
        <v>22</v>
      </c>
      <c r="F1407" t="s">
        <v>22</v>
      </c>
      <c r="G1407">
        <v>0</v>
      </c>
      <c r="H1407">
        <v>193.1</v>
      </c>
      <c r="I1407">
        <v>85</v>
      </c>
      <c r="J1407">
        <v>32.83</v>
      </c>
      <c r="K1407">
        <v>172.1</v>
      </c>
      <c r="L1407">
        <v>105</v>
      </c>
      <c r="M1407">
        <v>14.63</v>
      </c>
      <c r="N1407">
        <v>129.6</v>
      </c>
      <c r="O1407">
        <v>119</v>
      </c>
      <c r="P1407">
        <v>5.83</v>
      </c>
      <c r="Q1407">
        <v>10.199999999999999</v>
      </c>
      <c r="R1407">
        <v>1</v>
      </c>
      <c r="S1407">
        <v>2.75</v>
      </c>
      <c r="T1407">
        <v>0</v>
      </c>
      <c r="U1407" t="s">
        <v>22</v>
      </c>
      <c r="V1407" t="e">
        <f>IF(#REF! = "yes", 1, 0)</f>
        <v>#REF!</v>
      </c>
      <c r="W1407" t="e">
        <f>IF(#REF! &lt;= 1, "0-1 Calls", IF(#REF! &lt;= 3, "2-3 Calls", IF(#REF! &lt;=5, "4-5 Calls", "6+ Calls")))</f>
        <v>#REF!</v>
      </c>
      <c r="X1407" t="e">
        <f>IF(#REF! &lt;= 50, "0-50", IF(#REF! &lt;=100, "51-100", IF(#REF! &lt;= 150, "101-150", "151+")))</f>
        <v>#REF!</v>
      </c>
      <c r="Y1407" t="e">
        <f>IF(#REF! &lt;= 3, "Low Charges", "High Charges")</f>
        <v>#REF!</v>
      </c>
      <c r="Z1407" t="e">
        <f>IF(#REF!&lt;=80,"Low Calls",
IF(#REF!&lt;=120,"Medium Calls","High Calls"))</f>
        <v>#REF!</v>
      </c>
      <c r="AA1407" t="e">
        <f>IF(#REF!&lt;=15,"Low Charges",
IF(#REF!&lt;=20,"Medium Charges","High Charges"))</f>
        <v>#REF!</v>
      </c>
      <c r="AB1407" t="e">
        <f>IF(AND(#REF!&gt;180, #REF!&gt;200), "Heavy Doemstic User", IF(#REF!&gt;10, "Interntional User", IF(AND(#REF!&lt;180, #REF!&lt;200,#REF!&lt;200), "Light User", "Balanced User")))</f>
        <v>#REF!</v>
      </c>
      <c r="AC1407" t="e">
        <f>IF(#REF! = 0, "No Usage", IF(#REF! &lt;= 20, "Low Usage", IF(#REF! &lt;= 40, "Medium Usgae", "High Usage")))</f>
        <v>#REF!</v>
      </c>
      <c r="AD1407" t="e">
        <f>IF(#REF!&lt;=150,"Low Usage", IF(#REF!&lt;=200,"Medium Usage", IF(#REF!&lt;=250,"High Usage","Very High Usage")))</f>
        <v>#REF!</v>
      </c>
      <c r="AE1407" t="e">
        <f>IF(#REF!&lt;=5,"Low Calls", IF(#REF!&lt;=10, "Medium Calls", "High Calls"))</f>
        <v>#REF!</v>
      </c>
      <c r="AF1407" t="e">
        <f xml:space="preserve">
IF(#REF!&gt;=4,4,0)+
IF(#REF!="yes",3,0)+
IF(#REF!="High Charges",3,0)+
IF(#REF!&gt;250,4,0)+
IF(#REF!="no",1,0)+
IF(#REF!="Heavy Domestic User",2,0)</f>
        <v>#REF!</v>
      </c>
      <c r="AG1407" t="e">
        <f>IF(#REF!&gt;=10,"High Risk", IF(#REF!&gt;=5,"Medium Risk","Low Risk"))</f>
        <v>#REF!</v>
      </c>
      <c r="AH1407" t="e">
        <f>#REF! + #REF! + #REF! + #REF!</f>
        <v>#REF!</v>
      </c>
    </row>
    <row r="1408" spans="1:34" x14ac:dyDescent="0.35">
      <c r="A1408">
        <v>1407</v>
      </c>
      <c r="B1408" t="s">
        <v>36</v>
      </c>
      <c r="C1408">
        <v>98</v>
      </c>
      <c r="D1408" t="s">
        <v>25</v>
      </c>
      <c r="E1408" t="s">
        <v>22</v>
      </c>
      <c r="F1408" t="s">
        <v>22</v>
      </c>
      <c r="G1408">
        <v>0</v>
      </c>
      <c r="H1408">
        <v>171.7</v>
      </c>
      <c r="I1408">
        <v>99</v>
      </c>
      <c r="J1408">
        <v>29.19</v>
      </c>
      <c r="K1408">
        <v>174.8</v>
      </c>
      <c r="L1408">
        <v>87</v>
      </c>
      <c r="M1408">
        <v>14.86</v>
      </c>
      <c r="N1408">
        <v>189.6</v>
      </c>
      <c r="O1408">
        <v>130</v>
      </c>
      <c r="P1408">
        <v>8.5299999999999994</v>
      </c>
      <c r="Q1408">
        <v>7.8</v>
      </c>
      <c r="R1408">
        <v>6</v>
      </c>
      <c r="S1408">
        <v>2.11</v>
      </c>
      <c r="T1408">
        <v>1</v>
      </c>
      <c r="U1408" t="s">
        <v>22</v>
      </c>
      <c r="V1408" t="e">
        <f>IF(#REF! = "yes", 1, 0)</f>
        <v>#REF!</v>
      </c>
      <c r="W1408" t="e">
        <f>IF(#REF! &lt;= 1, "0-1 Calls", IF(#REF! &lt;= 3, "2-3 Calls", IF(#REF! &lt;=5, "4-5 Calls", "6+ Calls")))</f>
        <v>#REF!</v>
      </c>
      <c r="X1408" t="e">
        <f>IF(#REF! &lt;= 50, "0-50", IF(#REF! &lt;=100, "51-100", IF(#REF! &lt;= 150, "101-150", "151+")))</f>
        <v>#REF!</v>
      </c>
      <c r="Y1408" t="e">
        <f>IF(#REF! &lt;= 3, "Low Charges", "High Charges")</f>
        <v>#REF!</v>
      </c>
      <c r="Z1408" t="e">
        <f>IF(#REF!&lt;=80,"Low Calls",
IF(#REF!&lt;=120,"Medium Calls","High Calls"))</f>
        <v>#REF!</v>
      </c>
      <c r="AA1408" t="e">
        <f>IF(#REF!&lt;=15,"Low Charges",
IF(#REF!&lt;=20,"Medium Charges","High Charges"))</f>
        <v>#REF!</v>
      </c>
      <c r="AB1408" t="e">
        <f>IF(AND(#REF!&gt;180, #REF!&gt;200), "Heavy Doemstic User", IF(#REF!&gt;10, "Interntional User", IF(AND(#REF!&lt;180, #REF!&lt;200,#REF!&lt;200), "Light User", "Balanced User")))</f>
        <v>#REF!</v>
      </c>
      <c r="AC1408" t="e">
        <f>IF(#REF! = 0, "No Usage", IF(#REF! &lt;= 20, "Low Usage", IF(#REF! &lt;= 40, "Medium Usgae", "High Usage")))</f>
        <v>#REF!</v>
      </c>
      <c r="AD1408" t="e">
        <f>IF(#REF!&lt;=150,"Low Usage", IF(#REF!&lt;=200,"Medium Usage", IF(#REF!&lt;=250,"High Usage","Very High Usage")))</f>
        <v>#REF!</v>
      </c>
      <c r="AE1408" t="e">
        <f>IF(#REF!&lt;=5,"Low Calls", IF(#REF!&lt;=10, "Medium Calls", "High Calls"))</f>
        <v>#REF!</v>
      </c>
      <c r="AF1408" t="e">
        <f xml:space="preserve">
IF(#REF!&gt;=4,4,0)+
IF(#REF!="yes",3,0)+
IF(#REF!="High Charges",3,0)+
IF(#REF!&gt;250,4,0)+
IF(#REF!="no",1,0)+
IF(#REF!="Heavy Domestic User",2,0)</f>
        <v>#REF!</v>
      </c>
      <c r="AG1408" t="e">
        <f>IF(#REF!&gt;=10,"High Risk", IF(#REF!&gt;=5,"Medium Risk","Low Risk"))</f>
        <v>#REF!</v>
      </c>
      <c r="AH1408" t="e">
        <f>#REF! + #REF! + #REF! + #REF!</f>
        <v>#REF!</v>
      </c>
    </row>
    <row r="1409" spans="1:34" x14ac:dyDescent="0.35">
      <c r="A1409">
        <v>1408</v>
      </c>
      <c r="B1409" t="s">
        <v>46</v>
      </c>
      <c r="C1409">
        <v>56</v>
      </c>
      <c r="D1409" t="s">
        <v>21</v>
      </c>
      <c r="E1409" t="s">
        <v>22</v>
      </c>
      <c r="F1409" t="s">
        <v>23</v>
      </c>
      <c r="G1409">
        <v>24</v>
      </c>
      <c r="H1409">
        <v>121.7</v>
      </c>
      <c r="I1409">
        <v>87</v>
      </c>
      <c r="J1409">
        <v>20.69</v>
      </c>
      <c r="K1409">
        <v>184</v>
      </c>
      <c r="L1409">
        <v>76</v>
      </c>
      <c r="M1409">
        <v>15.64</v>
      </c>
      <c r="N1409">
        <v>266.60000000000002</v>
      </c>
      <c r="O1409">
        <v>98</v>
      </c>
      <c r="P1409">
        <v>12</v>
      </c>
      <c r="Q1409">
        <v>12.7</v>
      </c>
      <c r="R1409">
        <v>3</v>
      </c>
      <c r="S1409">
        <v>3.43</v>
      </c>
      <c r="T1409">
        <v>1</v>
      </c>
      <c r="U1409" t="s">
        <v>22</v>
      </c>
      <c r="V1409" t="e">
        <f>IF(#REF! = "yes", 1, 0)</f>
        <v>#REF!</v>
      </c>
      <c r="W1409" t="e">
        <f>IF(#REF! &lt;= 1, "0-1 Calls", IF(#REF! &lt;= 3, "2-3 Calls", IF(#REF! &lt;=5, "4-5 Calls", "6+ Calls")))</f>
        <v>#REF!</v>
      </c>
      <c r="X1409" t="e">
        <f>IF(#REF! &lt;= 50, "0-50", IF(#REF! &lt;=100, "51-100", IF(#REF! &lt;= 150, "101-150", "151+")))</f>
        <v>#REF!</v>
      </c>
      <c r="Y1409" t="e">
        <f>IF(#REF! &lt;= 3, "Low Charges", "High Charges")</f>
        <v>#REF!</v>
      </c>
      <c r="Z1409" t="e">
        <f>IF(#REF!&lt;=80,"Low Calls",
IF(#REF!&lt;=120,"Medium Calls","High Calls"))</f>
        <v>#REF!</v>
      </c>
      <c r="AA1409" t="e">
        <f>IF(#REF!&lt;=15,"Low Charges",
IF(#REF!&lt;=20,"Medium Charges","High Charges"))</f>
        <v>#REF!</v>
      </c>
      <c r="AB1409" t="e">
        <f>IF(AND(#REF!&gt;180, #REF!&gt;200), "Heavy Doemstic User", IF(#REF!&gt;10, "Interntional User", IF(AND(#REF!&lt;180, #REF!&lt;200,#REF!&lt;200), "Light User", "Balanced User")))</f>
        <v>#REF!</v>
      </c>
      <c r="AC1409" t="e">
        <f>IF(#REF! = 0, "No Usage", IF(#REF! &lt;= 20, "Low Usage", IF(#REF! &lt;= 40, "Medium Usgae", "High Usage")))</f>
        <v>#REF!</v>
      </c>
      <c r="AD1409" t="e">
        <f>IF(#REF!&lt;=150,"Low Usage", IF(#REF!&lt;=200,"Medium Usage", IF(#REF!&lt;=250,"High Usage","Very High Usage")))</f>
        <v>#REF!</v>
      </c>
      <c r="AE1409" t="e">
        <f>IF(#REF!&lt;=5,"Low Calls", IF(#REF!&lt;=10, "Medium Calls", "High Calls"))</f>
        <v>#REF!</v>
      </c>
      <c r="AF1409" t="e">
        <f xml:space="preserve">
IF(#REF!&gt;=4,4,0)+
IF(#REF!="yes",3,0)+
IF(#REF!="High Charges",3,0)+
IF(#REF!&gt;250,4,0)+
IF(#REF!="no",1,0)+
IF(#REF!="Heavy Domestic User",2,0)</f>
        <v>#REF!</v>
      </c>
      <c r="AG1409" t="e">
        <f>IF(#REF!&gt;=10,"High Risk", IF(#REF!&gt;=5,"Medium Risk","Low Risk"))</f>
        <v>#REF!</v>
      </c>
      <c r="AH1409" t="e">
        <f>#REF! + #REF! + #REF! + #REF!</f>
        <v>#REF!</v>
      </c>
    </row>
    <row r="1410" spans="1:34" x14ac:dyDescent="0.35">
      <c r="A1410">
        <v>1409</v>
      </c>
      <c r="B1410" t="s">
        <v>38</v>
      </c>
      <c r="C1410">
        <v>84</v>
      </c>
      <c r="D1410" t="s">
        <v>21</v>
      </c>
      <c r="E1410" t="s">
        <v>22</v>
      </c>
      <c r="F1410" t="s">
        <v>22</v>
      </c>
      <c r="G1410">
        <v>0</v>
      </c>
      <c r="H1410">
        <v>130.19999999999999</v>
      </c>
      <c r="I1410">
        <v>105</v>
      </c>
      <c r="J1410">
        <v>22.13</v>
      </c>
      <c r="K1410">
        <v>278</v>
      </c>
      <c r="L1410">
        <v>60</v>
      </c>
      <c r="M1410">
        <v>23.63</v>
      </c>
      <c r="N1410">
        <v>305.39999999999998</v>
      </c>
      <c r="O1410">
        <v>74</v>
      </c>
      <c r="P1410">
        <v>13.74</v>
      </c>
      <c r="Q1410">
        <v>14</v>
      </c>
      <c r="R1410">
        <v>6</v>
      </c>
      <c r="S1410">
        <v>3.78</v>
      </c>
      <c r="T1410">
        <v>2</v>
      </c>
      <c r="U1410" t="s">
        <v>22</v>
      </c>
      <c r="V1410" t="e">
        <f>IF(#REF! = "yes", 1, 0)</f>
        <v>#REF!</v>
      </c>
      <c r="W1410" t="e">
        <f>IF(#REF! &lt;= 1, "0-1 Calls", IF(#REF! &lt;= 3, "2-3 Calls", IF(#REF! &lt;=5, "4-5 Calls", "6+ Calls")))</f>
        <v>#REF!</v>
      </c>
      <c r="X1410" t="e">
        <f>IF(#REF! &lt;= 50, "0-50", IF(#REF! &lt;=100, "51-100", IF(#REF! &lt;= 150, "101-150", "151+")))</f>
        <v>#REF!</v>
      </c>
      <c r="Y1410" t="e">
        <f>IF(#REF! &lt;= 3, "Low Charges", "High Charges")</f>
        <v>#REF!</v>
      </c>
      <c r="Z1410" t="e">
        <f>IF(#REF!&lt;=80,"Low Calls",
IF(#REF!&lt;=120,"Medium Calls","High Calls"))</f>
        <v>#REF!</v>
      </c>
      <c r="AA1410" t="e">
        <f>IF(#REF!&lt;=15,"Low Charges",
IF(#REF!&lt;=20,"Medium Charges","High Charges"))</f>
        <v>#REF!</v>
      </c>
      <c r="AB1410" t="e">
        <f>IF(AND(#REF!&gt;180, #REF!&gt;200), "Heavy Doemstic User", IF(#REF!&gt;10, "Interntional User", IF(AND(#REF!&lt;180, #REF!&lt;200,#REF!&lt;200), "Light User", "Balanced User")))</f>
        <v>#REF!</v>
      </c>
      <c r="AC1410" t="e">
        <f>IF(#REF! = 0, "No Usage", IF(#REF! &lt;= 20, "Low Usage", IF(#REF! &lt;= 40, "Medium Usgae", "High Usage")))</f>
        <v>#REF!</v>
      </c>
      <c r="AD1410" t="e">
        <f>IF(#REF!&lt;=150,"Low Usage", IF(#REF!&lt;=200,"Medium Usage", IF(#REF!&lt;=250,"High Usage","Very High Usage")))</f>
        <v>#REF!</v>
      </c>
      <c r="AE1410" t="e">
        <f>IF(#REF!&lt;=5,"Low Calls", IF(#REF!&lt;=10, "Medium Calls", "High Calls"))</f>
        <v>#REF!</v>
      </c>
      <c r="AF1410" t="e">
        <f xml:space="preserve">
IF(#REF!&gt;=4,4,0)+
IF(#REF!="yes",3,0)+
IF(#REF!="High Charges",3,0)+
IF(#REF!&gt;250,4,0)+
IF(#REF!="no",1,0)+
IF(#REF!="Heavy Domestic User",2,0)</f>
        <v>#REF!</v>
      </c>
      <c r="AG1410" t="e">
        <f>IF(#REF!&gt;=10,"High Risk", IF(#REF!&gt;=5,"Medium Risk","Low Risk"))</f>
        <v>#REF!</v>
      </c>
      <c r="AH1410" t="e">
        <f>#REF! + #REF! + #REF! + #REF!</f>
        <v>#REF!</v>
      </c>
    </row>
    <row r="1411" spans="1:34" x14ac:dyDescent="0.35">
      <c r="A1411">
        <v>1410</v>
      </c>
      <c r="B1411" t="s">
        <v>64</v>
      </c>
      <c r="C1411">
        <v>95</v>
      </c>
      <c r="D1411" t="s">
        <v>28</v>
      </c>
      <c r="E1411" t="s">
        <v>22</v>
      </c>
      <c r="F1411" t="s">
        <v>22</v>
      </c>
      <c r="G1411">
        <v>0</v>
      </c>
      <c r="H1411">
        <v>203.4</v>
      </c>
      <c r="I1411">
        <v>96</v>
      </c>
      <c r="J1411">
        <v>34.58</v>
      </c>
      <c r="K1411">
        <v>168.6</v>
      </c>
      <c r="L1411">
        <v>61</v>
      </c>
      <c r="M1411">
        <v>14.33</v>
      </c>
      <c r="N1411">
        <v>173</v>
      </c>
      <c r="O1411">
        <v>105</v>
      </c>
      <c r="P1411">
        <v>7.79</v>
      </c>
      <c r="Q1411">
        <v>13.7</v>
      </c>
      <c r="R1411">
        <v>3</v>
      </c>
      <c r="S1411">
        <v>3.7</v>
      </c>
      <c r="T1411">
        <v>2</v>
      </c>
      <c r="U1411" t="s">
        <v>22</v>
      </c>
      <c r="V1411" t="e">
        <f>IF(#REF! = "yes", 1, 0)</f>
        <v>#REF!</v>
      </c>
      <c r="W1411" t="e">
        <f>IF(#REF! &lt;= 1, "0-1 Calls", IF(#REF! &lt;= 3, "2-3 Calls", IF(#REF! &lt;=5, "4-5 Calls", "6+ Calls")))</f>
        <v>#REF!</v>
      </c>
      <c r="X1411" t="e">
        <f>IF(#REF! &lt;= 50, "0-50", IF(#REF! &lt;=100, "51-100", IF(#REF! &lt;= 150, "101-150", "151+")))</f>
        <v>#REF!</v>
      </c>
      <c r="Y1411" t="e">
        <f>IF(#REF! &lt;= 3, "Low Charges", "High Charges")</f>
        <v>#REF!</v>
      </c>
      <c r="Z1411" t="e">
        <f>IF(#REF!&lt;=80,"Low Calls",
IF(#REF!&lt;=120,"Medium Calls","High Calls"))</f>
        <v>#REF!</v>
      </c>
      <c r="AA1411" t="e">
        <f>IF(#REF!&lt;=15,"Low Charges",
IF(#REF!&lt;=20,"Medium Charges","High Charges"))</f>
        <v>#REF!</v>
      </c>
      <c r="AB1411" t="e">
        <f>IF(AND(#REF!&gt;180, #REF!&gt;200), "Heavy Doemstic User", IF(#REF!&gt;10, "Interntional User", IF(AND(#REF!&lt;180, #REF!&lt;200,#REF!&lt;200), "Light User", "Balanced User")))</f>
        <v>#REF!</v>
      </c>
      <c r="AC1411" t="e">
        <f>IF(#REF! = 0, "No Usage", IF(#REF! &lt;= 20, "Low Usage", IF(#REF! &lt;= 40, "Medium Usgae", "High Usage")))</f>
        <v>#REF!</v>
      </c>
      <c r="AD1411" t="e">
        <f>IF(#REF!&lt;=150,"Low Usage", IF(#REF!&lt;=200,"Medium Usage", IF(#REF!&lt;=250,"High Usage","Very High Usage")))</f>
        <v>#REF!</v>
      </c>
      <c r="AE1411" t="e">
        <f>IF(#REF!&lt;=5,"Low Calls", IF(#REF!&lt;=10, "Medium Calls", "High Calls"))</f>
        <v>#REF!</v>
      </c>
      <c r="AF1411" t="e">
        <f xml:space="preserve">
IF(#REF!&gt;=4,4,0)+
IF(#REF!="yes",3,0)+
IF(#REF!="High Charges",3,0)+
IF(#REF!&gt;250,4,0)+
IF(#REF!="no",1,0)+
IF(#REF!="Heavy Domestic User",2,0)</f>
        <v>#REF!</v>
      </c>
      <c r="AG1411" t="e">
        <f>IF(#REF!&gt;=10,"High Risk", IF(#REF!&gt;=5,"Medium Risk","Low Risk"))</f>
        <v>#REF!</v>
      </c>
      <c r="AH1411" t="e">
        <f>#REF! + #REF! + #REF! + #REF!</f>
        <v>#REF!</v>
      </c>
    </row>
    <row r="1412" spans="1:34" x14ac:dyDescent="0.35">
      <c r="A1412">
        <v>1411</v>
      </c>
      <c r="B1412" t="s">
        <v>44</v>
      </c>
      <c r="C1412">
        <v>16</v>
      </c>
      <c r="D1412" t="s">
        <v>21</v>
      </c>
      <c r="E1412" t="s">
        <v>22</v>
      </c>
      <c r="F1412" t="s">
        <v>22</v>
      </c>
      <c r="G1412">
        <v>0</v>
      </c>
      <c r="H1412">
        <v>174.7</v>
      </c>
      <c r="I1412">
        <v>83</v>
      </c>
      <c r="J1412">
        <v>29.7</v>
      </c>
      <c r="K1412">
        <v>280.8</v>
      </c>
      <c r="L1412">
        <v>122</v>
      </c>
      <c r="M1412">
        <v>23.87</v>
      </c>
      <c r="N1412">
        <v>171.7</v>
      </c>
      <c r="O1412">
        <v>80</v>
      </c>
      <c r="P1412">
        <v>7.73</v>
      </c>
      <c r="Q1412">
        <v>10.5</v>
      </c>
      <c r="R1412">
        <v>8</v>
      </c>
      <c r="S1412">
        <v>2.84</v>
      </c>
      <c r="T1412">
        <v>5</v>
      </c>
      <c r="U1412" t="s">
        <v>22</v>
      </c>
      <c r="V1412" t="e">
        <f>IF(#REF! = "yes", 1, 0)</f>
        <v>#REF!</v>
      </c>
      <c r="W1412" t="e">
        <f>IF(#REF! &lt;= 1, "0-1 Calls", IF(#REF! &lt;= 3, "2-3 Calls", IF(#REF! &lt;=5, "4-5 Calls", "6+ Calls")))</f>
        <v>#REF!</v>
      </c>
      <c r="X1412" t="e">
        <f>IF(#REF! &lt;= 50, "0-50", IF(#REF! &lt;=100, "51-100", IF(#REF! &lt;= 150, "101-150", "151+")))</f>
        <v>#REF!</v>
      </c>
      <c r="Y1412" t="e">
        <f>IF(#REF! &lt;= 3, "Low Charges", "High Charges")</f>
        <v>#REF!</v>
      </c>
      <c r="Z1412" t="e">
        <f>IF(#REF!&lt;=80,"Low Calls",
IF(#REF!&lt;=120,"Medium Calls","High Calls"))</f>
        <v>#REF!</v>
      </c>
      <c r="AA1412" t="e">
        <f>IF(#REF!&lt;=15,"Low Charges",
IF(#REF!&lt;=20,"Medium Charges","High Charges"))</f>
        <v>#REF!</v>
      </c>
      <c r="AB1412" t="e">
        <f>IF(AND(#REF!&gt;180, #REF!&gt;200), "Heavy Doemstic User", IF(#REF!&gt;10, "Interntional User", IF(AND(#REF!&lt;180, #REF!&lt;200,#REF!&lt;200), "Light User", "Balanced User")))</f>
        <v>#REF!</v>
      </c>
      <c r="AC1412" t="e">
        <f>IF(#REF! = 0, "No Usage", IF(#REF! &lt;= 20, "Low Usage", IF(#REF! &lt;= 40, "Medium Usgae", "High Usage")))</f>
        <v>#REF!</v>
      </c>
      <c r="AD1412" t="e">
        <f>IF(#REF!&lt;=150,"Low Usage", IF(#REF!&lt;=200,"Medium Usage", IF(#REF!&lt;=250,"High Usage","Very High Usage")))</f>
        <v>#REF!</v>
      </c>
      <c r="AE1412" t="e">
        <f>IF(#REF!&lt;=5,"Low Calls", IF(#REF!&lt;=10, "Medium Calls", "High Calls"))</f>
        <v>#REF!</v>
      </c>
      <c r="AF1412" t="e">
        <f xml:space="preserve">
IF(#REF!&gt;=4,4,0)+
IF(#REF!="yes",3,0)+
IF(#REF!="High Charges",3,0)+
IF(#REF!&gt;250,4,0)+
IF(#REF!="no",1,0)+
IF(#REF!="Heavy Domestic User",2,0)</f>
        <v>#REF!</v>
      </c>
      <c r="AG1412" t="e">
        <f>IF(#REF!&gt;=10,"High Risk", IF(#REF!&gt;=5,"Medium Risk","Low Risk"))</f>
        <v>#REF!</v>
      </c>
      <c r="AH1412" t="e">
        <f>#REF! + #REF! + #REF! + #REF!</f>
        <v>#REF!</v>
      </c>
    </row>
    <row r="1413" spans="1:34" x14ac:dyDescent="0.35">
      <c r="A1413">
        <v>1412</v>
      </c>
      <c r="B1413" t="s">
        <v>62</v>
      </c>
      <c r="C1413">
        <v>76</v>
      </c>
      <c r="D1413" t="s">
        <v>28</v>
      </c>
      <c r="E1413" t="s">
        <v>23</v>
      </c>
      <c r="F1413" t="s">
        <v>22</v>
      </c>
      <c r="G1413">
        <v>0</v>
      </c>
      <c r="H1413">
        <v>241</v>
      </c>
      <c r="I1413">
        <v>120</v>
      </c>
      <c r="J1413">
        <v>40.97</v>
      </c>
      <c r="K1413">
        <v>231.8</v>
      </c>
      <c r="L1413">
        <v>96</v>
      </c>
      <c r="M1413">
        <v>19.7</v>
      </c>
      <c r="N1413">
        <v>220.2</v>
      </c>
      <c r="O1413">
        <v>67</v>
      </c>
      <c r="P1413">
        <v>9.91</v>
      </c>
      <c r="Q1413">
        <v>9.9</v>
      </c>
      <c r="R1413">
        <v>1</v>
      </c>
      <c r="S1413">
        <v>2.67</v>
      </c>
      <c r="T1413">
        <v>1</v>
      </c>
      <c r="U1413" t="s">
        <v>23</v>
      </c>
      <c r="V1413" t="e">
        <f>IF(#REF! = "yes", 1, 0)</f>
        <v>#REF!</v>
      </c>
      <c r="W1413" t="e">
        <f>IF(#REF! &lt;= 1, "0-1 Calls", IF(#REF! &lt;= 3, "2-3 Calls", IF(#REF! &lt;=5, "4-5 Calls", "6+ Calls")))</f>
        <v>#REF!</v>
      </c>
      <c r="X1413" t="e">
        <f>IF(#REF! &lt;= 50, "0-50", IF(#REF! &lt;=100, "51-100", IF(#REF! &lt;= 150, "101-150", "151+")))</f>
        <v>#REF!</v>
      </c>
      <c r="Y1413" t="e">
        <f>IF(#REF! &lt;= 3, "Low Charges", "High Charges")</f>
        <v>#REF!</v>
      </c>
      <c r="Z1413" t="e">
        <f>IF(#REF!&lt;=80,"Low Calls",
IF(#REF!&lt;=120,"Medium Calls","High Calls"))</f>
        <v>#REF!</v>
      </c>
      <c r="AA1413" t="e">
        <f>IF(#REF!&lt;=15,"Low Charges",
IF(#REF!&lt;=20,"Medium Charges","High Charges"))</f>
        <v>#REF!</v>
      </c>
      <c r="AB1413" t="e">
        <f>IF(AND(#REF!&gt;180, #REF!&gt;200), "Heavy Doemstic User", IF(#REF!&gt;10, "Interntional User", IF(AND(#REF!&lt;180, #REF!&lt;200,#REF!&lt;200), "Light User", "Balanced User")))</f>
        <v>#REF!</v>
      </c>
      <c r="AC1413" t="e">
        <f>IF(#REF! = 0, "No Usage", IF(#REF! &lt;= 20, "Low Usage", IF(#REF! &lt;= 40, "Medium Usgae", "High Usage")))</f>
        <v>#REF!</v>
      </c>
      <c r="AD1413" t="e">
        <f>IF(#REF!&lt;=150,"Low Usage", IF(#REF!&lt;=200,"Medium Usage", IF(#REF!&lt;=250,"High Usage","Very High Usage")))</f>
        <v>#REF!</v>
      </c>
      <c r="AE1413" t="e">
        <f>IF(#REF!&lt;=5,"Low Calls", IF(#REF!&lt;=10, "Medium Calls", "High Calls"))</f>
        <v>#REF!</v>
      </c>
      <c r="AF1413" t="e">
        <f xml:space="preserve">
IF(#REF!&gt;=4,4,0)+
IF(#REF!="yes",3,0)+
IF(#REF!="High Charges",3,0)+
IF(#REF!&gt;250,4,0)+
IF(#REF!="no",1,0)+
IF(#REF!="Heavy Domestic User",2,0)</f>
        <v>#REF!</v>
      </c>
      <c r="AG1413" t="e">
        <f>IF(#REF!&gt;=10,"High Risk", IF(#REF!&gt;=5,"Medium Risk","Low Risk"))</f>
        <v>#REF!</v>
      </c>
      <c r="AH1413" t="e">
        <f>#REF! + #REF! + #REF! + #REF!</f>
        <v>#REF!</v>
      </c>
    </row>
    <row r="1414" spans="1:34" x14ac:dyDescent="0.35">
      <c r="A1414">
        <v>1413</v>
      </c>
      <c r="B1414" t="s">
        <v>31</v>
      </c>
      <c r="C1414">
        <v>93</v>
      </c>
      <c r="D1414" t="s">
        <v>21</v>
      </c>
      <c r="E1414" t="s">
        <v>22</v>
      </c>
      <c r="F1414" t="s">
        <v>22</v>
      </c>
      <c r="G1414">
        <v>0</v>
      </c>
      <c r="H1414">
        <v>141.69999999999999</v>
      </c>
      <c r="I1414">
        <v>95</v>
      </c>
      <c r="J1414">
        <v>24.09</v>
      </c>
      <c r="K1414">
        <v>221</v>
      </c>
      <c r="L1414">
        <v>100</v>
      </c>
      <c r="M1414">
        <v>18.79</v>
      </c>
      <c r="N1414">
        <v>227.1</v>
      </c>
      <c r="O1414">
        <v>71</v>
      </c>
      <c r="P1414">
        <v>10.220000000000001</v>
      </c>
      <c r="Q1414">
        <v>10.199999999999999</v>
      </c>
      <c r="R1414">
        <v>3</v>
      </c>
      <c r="S1414">
        <v>2.75</v>
      </c>
      <c r="T1414">
        <v>0</v>
      </c>
      <c r="U1414" t="s">
        <v>22</v>
      </c>
      <c r="V1414" t="e">
        <f>IF(#REF! = "yes", 1, 0)</f>
        <v>#REF!</v>
      </c>
      <c r="W1414" t="e">
        <f>IF(#REF! &lt;= 1, "0-1 Calls", IF(#REF! &lt;= 3, "2-3 Calls", IF(#REF! &lt;=5, "4-5 Calls", "6+ Calls")))</f>
        <v>#REF!</v>
      </c>
      <c r="X1414" t="e">
        <f>IF(#REF! &lt;= 50, "0-50", IF(#REF! &lt;=100, "51-100", IF(#REF! &lt;= 150, "101-150", "151+")))</f>
        <v>#REF!</v>
      </c>
      <c r="Y1414" t="e">
        <f>IF(#REF! &lt;= 3, "Low Charges", "High Charges")</f>
        <v>#REF!</v>
      </c>
      <c r="Z1414" t="e">
        <f>IF(#REF!&lt;=80,"Low Calls",
IF(#REF!&lt;=120,"Medium Calls","High Calls"))</f>
        <v>#REF!</v>
      </c>
      <c r="AA1414" t="e">
        <f>IF(#REF!&lt;=15,"Low Charges",
IF(#REF!&lt;=20,"Medium Charges","High Charges"))</f>
        <v>#REF!</v>
      </c>
      <c r="AB1414" t="e">
        <f>IF(AND(#REF!&gt;180, #REF!&gt;200), "Heavy Doemstic User", IF(#REF!&gt;10, "Interntional User", IF(AND(#REF!&lt;180, #REF!&lt;200,#REF!&lt;200), "Light User", "Balanced User")))</f>
        <v>#REF!</v>
      </c>
      <c r="AC1414" t="e">
        <f>IF(#REF! = 0, "No Usage", IF(#REF! &lt;= 20, "Low Usage", IF(#REF! &lt;= 40, "Medium Usgae", "High Usage")))</f>
        <v>#REF!</v>
      </c>
      <c r="AD1414" t="e">
        <f>IF(#REF!&lt;=150,"Low Usage", IF(#REF!&lt;=200,"Medium Usage", IF(#REF!&lt;=250,"High Usage","Very High Usage")))</f>
        <v>#REF!</v>
      </c>
      <c r="AE1414" t="e">
        <f>IF(#REF!&lt;=5,"Low Calls", IF(#REF!&lt;=10, "Medium Calls", "High Calls"))</f>
        <v>#REF!</v>
      </c>
      <c r="AF1414" t="e">
        <f xml:space="preserve">
IF(#REF!&gt;=4,4,0)+
IF(#REF!="yes",3,0)+
IF(#REF!="High Charges",3,0)+
IF(#REF!&gt;250,4,0)+
IF(#REF!="no",1,0)+
IF(#REF!="Heavy Domestic User",2,0)</f>
        <v>#REF!</v>
      </c>
      <c r="AG1414" t="e">
        <f>IF(#REF!&gt;=10,"High Risk", IF(#REF!&gt;=5,"Medium Risk","Low Risk"))</f>
        <v>#REF!</v>
      </c>
      <c r="AH1414" t="e">
        <f>#REF! + #REF! + #REF! + #REF!</f>
        <v>#REF!</v>
      </c>
    </row>
    <row r="1415" spans="1:34" x14ac:dyDescent="0.35">
      <c r="A1415">
        <v>1414</v>
      </c>
      <c r="B1415" t="s">
        <v>59</v>
      </c>
      <c r="C1415">
        <v>83</v>
      </c>
      <c r="D1415" t="s">
        <v>25</v>
      </c>
      <c r="E1415" t="s">
        <v>22</v>
      </c>
      <c r="F1415" t="s">
        <v>22</v>
      </c>
      <c r="G1415">
        <v>0</v>
      </c>
      <c r="H1415">
        <v>134.80000000000001</v>
      </c>
      <c r="I1415">
        <v>96</v>
      </c>
      <c r="J1415">
        <v>22.92</v>
      </c>
      <c r="K1415">
        <v>167.2</v>
      </c>
      <c r="L1415">
        <v>78</v>
      </c>
      <c r="M1415">
        <v>14.21</v>
      </c>
      <c r="N1415">
        <v>161.5</v>
      </c>
      <c r="O1415">
        <v>123</v>
      </c>
      <c r="P1415">
        <v>7.27</v>
      </c>
      <c r="Q1415">
        <v>7.7</v>
      </c>
      <c r="R1415">
        <v>5</v>
      </c>
      <c r="S1415">
        <v>2.08</v>
      </c>
      <c r="T1415">
        <v>2</v>
      </c>
      <c r="U1415" t="s">
        <v>22</v>
      </c>
      <c r="V1415" t="e">
        <f>IF(#REF! = "yes", 1, 0)</f>
        <v>#REF!</v>
      </c>
      <c r="W1415" t="e">
        <f>IF(#REF! &lt;= 1, "0-1 Calls", IF(#REF! &lt;= 3, "2-3 Calls", IF(#REF! &lt;=5, "4-5 Calls", "6+ Calls")))</f>
        <v>#REF!</v>
      </c>
      <c r="X1415" t="e">
        <f>IF(#REF! &lt;= 50, "0-50", IF(#REF! &lt;=100, "51-100", IF(#REF! &lt;= 150, "101-150", "151+")))</f>
        <v>#REF!</v>
      </c>
      <c r="Y1415" t="e">
        <f>IF(#REF! &lt;= 3, "Low Charges", "High Charges")</f>
        <v>#REF!</v>
      </c>
      <c r="Z1415" t="e">
        <f>IF(#REF!&lt;=80,"Low Calls",
IF(#REF!&lt;=120,"Medium Calls","High Calls"))</f>
        <v>#REF!</v>
      </c>
      <c r="AA1415" t="e">
        <f>IF(#REF!&lt;=15,"Low Charges",
IF(#REF!&lt;=20,"Medium Charges","High Charges"))</f>
        <v>#REF!</v>
      </c>
      <c r="AB1415" t="e">
        <f>IF(AND(#REF!&gt;180, #REF!&gt;200), "Heavy Doemstic User", IF(#REF!&gt;10, "Interntional User", IF(AND(#REF!&lt;180, #REF!&lt;200,#REF!&lt;200), "Light User", "Balanced User")))</f>
        <v>#REF!</v>
      </c>
      <c r="AC1415" t="e">
        <f>IF(#REF! = 0, "No Usage", IF(#REF! &lt;= 20, "Low Usage", IF(#REF! &lt;= 40, "Medium Usgae", "High Usage")))</f>
        <v>#REF!</v>
      </c>
      <c r="AD1415" t="e">
        <f>IF(#REF!&lt;=150,"Low Usage", IF(#REF!&lt;=200,"Medium Usage", IF(#REF!&lt;=250,"High Usage","Very High Usage")))</f>
        <v>#REF!</v>
      </c>
      <c r="AE1415" t="e">
        <f>IF(#REF!&lt;=5,"Low Calls", IF(#REF!&lt;=10, "Medium Calls", "High Calls"))</f>
        <v>#REF!</v>
      </c>
      <c r="AF1415" t="e">
        <f xml:space="preserve">
IF(#REF!&gt;=4,4,0)+
IF(#REF!="yes",3,0)+
IF(#REF!="High Charges",3,0)+
IF(#REF!&gt;250,4,0)+
IF(#REF!="no",1,0)+
IF(#REF!="Heavy Domestic User",2,0)</f>
        <v>#REF!</v>
      </c>
      <c r="AG1415" t="e">
        <f>IF(#REF!&gt;=10,"High Risk", IF(#REF!&gt;=5,"Medium Risk","Low Risk"))</f>
        <v>#REF!</v>
      </c>
      <c r="AH1415" t="e">
        <f>#REF! + #REF! + #REF! + #REF!</f>
        <v>#REF!</v>
      </c>
    </row>
    <row r="1416" spans="1:34" x14ac:dyDescent="0.35">
      <c r="A1416">
        <v>1415</v>
      </c>
      <c r="B1416" t="s">
        <v>70</v>
      </c>
      <c r="C1416">
        <v>123</v>
      </c>
      <c r="D1416" t="s">
        <v>21</v>
      </c>
      <c r="E1416" t="s">
        <v>22</v>
      </c>
      <c r="F1416" t="s">
        <v>22</v>
      </c>
      <c r="G1416">
        <v>0</v>
      </c>
      <c r="H1416">
        <v>163.1</v>
      </c>
      <c r="I1416">
        <v>119</v>
      </c>
      <c r="J1416">
        <v>27.73</v>
      </c>
      <c r="K1416">
        <v>249.4</v>
      </c>
      <c r="L1416">
        <v>51</v>
      </c>
      <c r="M1416">
        <v>21.2</v>
      </c>
      <c r="N1416">
        <v>168.2</v>
      </c>
      <c r="O1416">
        <v>77</v>
      </c>
      <c r="P1416">
        <v>7.57</v>
      </c>
      <c r="Q1416">
        <v>9</v>
      </c>
      <c r="R1416">
        <v>10</v>
      </c>
      <c r="S1416">
        <v>2.4300000000000002</v>
      </c>
      <c r="T1416">
        <v>1</v>
      </c>
      <c r="U1416" t="s">
        <v>22</v>
      </c>
      <c r="V1416" t="e">
        <f>IF(#REF! = "yes", 1, 0)</f>
        <v>#REF!</v>
      </c>
      <c r="W1416" t="e">
        <f>IF(#REF! &lt;= 1, "0-1 Calls", IF(#REF! &lt;= 3, "2-3 Calls", IF(#REF! &lt;=5, "4-5 Calls", "6+ Calls")))</f>
        <v>#REF!</v>
      </c>
      <c r="X1416" t="e">
        <f>IF(#REF! &lt;= 50, "0-50", IF(#REF! &lt;=100, "51-100", IF(#REF! &lt;= 150, "101-150", "151+")))</f>
        <v>#REF!</v>
      </c>
      <c r="Y1416" t="e">
        <f>IF(#REF! &lt;= 3, "Low Charges", "High Charges")</f>
        <v>#REF!</v>
      </c>
      <c r="Z1416" t="e">
        <f>IF(#REF!&lt;=80,"Low Calls",
IF(#REF!&lt;=120,"Medium Calls","High Calls"))</f>
        <v>#REF!</v>
      </c>
      <c r="AA1416" t="e">
        <f>IF(#REF!&lt;=15,"Low Charges",
IF(#REF!&lt;=20,"Medium Charges","High Charges"))</f>
        <v>#REF!</v>
      </c>
      <c r="AB1416" t="e">
        <f>IF(AND(#REF!&gt;180, #REF!&gt;200), "Heavy Doemstic User", IF(#REF!&gt;10, "Interntional User", IF(AND(#REF!&lt;180, #REF!&lt;200,#REF!&lt;200), "Light User", "Balanced User")))</f>
        <v>#REF!</v>
      </c>
      <c r="AC1416" t="e">
        <f>IF(#REF! = 0, "No Usage", IF(#REF! &lt;= 20, "Low Usage", IF(#REF! &lt;= 40, "Medium Usgae", "High Usage")))</f>
        <v>#REF!</v>
      </c>
      <c r="AD1416" t="e">
        <f>IF(#REF!&lt;=150,"Low Usage", IF(#REF!&lt;=200,"Medium Usage", IF(#REF!&lt;=250,"High Usage","Very High Usage")))</f>
        <v>#REF!</v>
      </c>
      <c r="AE1416" t="e">
        <f>IF(#REF!&lt;=5,"Low Calls", IF(#REF!&lt;=10, "Medium Calls", "High Calls"))</f>
        <v>#REF!</v>
      </c>
      <c r="AF1416" t="e">
        <f xml:space="preserve">
IF(#REF!&gt;=4,4,0)+
IF(#REF!="yes",3,0)+
IF(#REF!="High Charges",3,0)+
IF(#REF!&gt;250,4,0)+
IF(#REF!="no",1,0)+
IF(#REF!="Heavy Domestic User",2,0)</f>
        <v>#REF!</v>
      </c>
      <c r="AG1416" t="e">
        <f>IF(#REF!&gt;=10,"High Risk", IF(#REF!&gt;=5,"Medium Risk","Low Risk"))</f>
        <v>#REF!</v>
      </c>
      <c r="AH1416" t="e">
        <f>#REF! + #REF! + #REF! + #REF!</f>
        <v>#REF!</v>
      </c>
    </row>
    <row r="1417" spans="1:34" x14ac:dyDescent="0.35">
      <c r="A1417">
        <v>1416</v>
      </c>
      <c r="B1417" t="s">
        <v>26</v>
      </c>
      <c r="C1417">
        <v>82</v>
      </c>
      <c r="D1417" t="s">
        <v>28</v>
      </c>
      <c r="E1417" t="s">
        <v>22</v>
      </c>
      <c r="F1417" t="s">
        <v>22</v>
      </c>
      <c r="G1417">
        <v>0</v>
      </c>
      <c r="H1417">
        <v>329.8</v>
      </c>
      <c r="I1417">
        <v>73</v>
      </c>
      <c r="J1417">
        <v>56.07</v>
      </c>
      <c r="K1417">
        <v>208.3</v>
      </c>
      <c r="L1417">
        <v>120</v>
      </c>
      <c r="M1417">
        <v>17.71</v>
      </c>
      <c r="N1417">
        <v>267.10000000000002</v>
      </c>
      <c r="O1417">
        <v>102</v>
      </c>
      <c r="P1417">
        <v>12.02</v>
      </c>
      <c r="Q1417">
        <v>10.6</v>
      </c>
      <c r="R1417">
        <v>6</v>
      </c>
      <c r="S1417">
        <v>2.86</v>
      </c>
      <c r="T1417">
        <v>0</v>
      </c>
      <c r="U1417" t="s">
        <v>23</v>
      </c>
      <c r="V1417" t="e">
        <f>IF(#REF! = "yes", 1, 0)</f>
        <v>#REF!</v>
      </c>
      <c r="W1417" t="e">
        <f>IF(#REF! &lt;= 1, "0-1 Calls", IF(#REF! &lt;= 3, "2-3 Calls", IF(#REF! &lt;=5, "4-5 Calls", "6+ Calls")))</f>
        <v>#REF!</v>
      </c>
      <c r="X1417" t="e">
        <f>IF(#REF! &lt;= 50, "0-50", IF(#REF! &lt;=100, "51-100", IF(#REF! &lt;= 150, "101-150", "151+")))</f>
        <v>#REF!</v>
      </c>
      <c r="Y1417" t="e">
        <f>IF(#REF! &lt;= 3, "Low Charges", "High Charges")</f>
        <v>#REF!</v>
      </c>
      <c r="Z1417" t="e">
        <f>IF(#REF!&lt;=80,"Low Calls",
IF(#REF!&lt;=120,"Medium Calls","High Calls"))</f>
        <v>#REF!</v>
      </c>
      <c r="AA1417" t="e">
        <f>IF(#REF!&lt;=15,"Low Charges",
IF(#REF!&lt;=20,"Medium Charges","High Charges"))</f>
        <v>#REF!</v>
      </c>
      <c r="AB1417" t="e">
        <f>IF(AND(#REF!&gt;180, #REF!&gt;200), "Heavy Doemstic User", IF(#REF!&gt;10, "Interntional User", IF(AND(#REF!&lt;180, #REF!&lt;200,#REF!&lt;200), "Light User", "Balanced User")))</f>
        <v>#REF!</v>
      </c>
      <c r="AC1417" t="e">
        <f>IF(#REF! = 0, "No Usage", IF(#REF! &lt;= 20, "Low Usage", IF(#REF! &lt;= 40, "Medium Usgae", "High Usage")))</f>
        <v>#REF!</v>
      </c>
      <c r="AD1417" t="e">
        <f>IF(#REF!&lt;=150,"Low Usage", IF(#REF!&lt;=200,"Medium Usage", IF(#REF!&lt;=250,"High Usage","Very High Usage")))</f>
        <v>#REF!</v>
      </c>
      <c r="AE1417" t="e">
        <f>IF(#REF!&lt;=5,"Low Calls", IF(#REF!&lt;=10, "Medium Calls", "High Calls"))</f>
        <v>#REF!</v>
      </c>
      <c r="AF1417" t="e">
        <f xml:space="preserve">
IF(#REF!&gt;=4,4,0)+
IF(#REF!="yes",3,0)+
IF(#REF!="High Charges",3,0)+
IF(#REF!&gt;250,4,0)+
IF(#REF!="no",1,0)+
IF(#REF!="Heavy Domestic User",2,0)</f>
        <v>#REF!</v>
      </c>
      <c r="AG1417" t="e">
        <f>IF(#REF!&gt;=10,"High Risk", IF(#REF!&gt;=5,"Medium Risk","Low Risk"))</f>
        <v>#REF!</v>
      </c>
      <c r="AH1417" t="e">
        <f>#REF! + #REF! + #REF! + #REF!</f>
        <v>#REF!</v>
      </c>
    </row>
    <row r="1418" spans="1:34" x14ac:dyDescent="0.35">
      <c r="A1418">
        <v>1417</v>
      </c>
      <c r="B1418" t="s">
        <v>41</v>
      </c>
      <c r="C1418">
        <v>110</v>
      </c>
      <c r="D1418" t="s">
        <v>28</v>
      </c>
      <c r="E1418" t="s">
        <v>22</v>
      </c>
      <c r="F1418" t="s">
        <v>22</v>
      </c>
      <c r="G1418">
        <v>0</v>
      </c>
      <c r="H1418">
        <v>131.9</v>
      </c>
      <c r="I1418">
        <v>93</v>
      </c>
      <c r="J1418">
        <v>22.42</v>
      </c>
      <c r="K1418">
        <v>272.7</v>
      </c>
      <c r="L1418">
        <v>106</v>
      </c>
      <c r="M1418">
        <v>23.18</v>
      </c>
      <c r="N1418">
        <v>192.8</v>
      </c>
      <c r="O1418">
        <v>105</v>
      </c>
      <c r="P1418">
        <v>8.68</v>
      </c>
      <c r="Q1418">
        <v>7.1</v>
      </c>
      <c r="R1418">
        <v>4</v>
      </c>
      <c r="S1418">
        <v>1.92</v>
      </c>
      <c r="T1418">
        <v>1</v>
      </c>
      <c r="U1418" t="s">
        <v>22</v>
      </c>
      <c r="V1418" t="e">
        <f>IF(#REF! = "yes", 1, 0)</f>
        <v>#REF!</v>
      </c>
      <c r="W1418" t="e">
        <f>IF(#REF! &lt;= 1, "0-1 Calls", IF(#REF! &lt;= 3, "2-3 Calls", IF(#REF! &lt;=5, "4-5 Calls", "6+ Calls")))</f>
        <v>#REF!</v>
      </c>
      <c r="X1418" t="e">
        <f>IF(#REF! &lt;= 50, "0-50", IF(#REF! &lt;=100, "51-100", IF(#REF! &lt;= 150, "101-150", "151+")))</f>
        <v>#REF!</v>
      </c>
      <c r="Y1418" t="e">
        <f>IF(#REF! &lt;= 3, "Low Charges", "High Charges")</f>
        <v>#REF!</v>
      </c>
      <c r="Z1418" t="e">
        <f>IF(#REF!&lt;=80,"Low Calls",
IF(#REF!&lt;=120,"Medium Calls","High Calls"))</f>
        <v>#REF!</v>
      </c>
      <c r="AA1418" t="e">
        <f>IF(#REF!&lt;=15,"Low Charges",
IF(#REF!&lt;=20,"Medium Charges","High Charges"))</f>
        <v>#REF!</v>
      </c>
      <c r="AB1418" t="e">
        <f>IF(AND(#REF!&gt;180, #REF!&gt;200), "Heavy Doemstic User", IF(#REF!&gt;10, "Interntional User", IF(AND(#REF!&lt;180, #REF!&lt;200,#REF!&lt;200), "Light User", "Balanced User")))</f>
        <v>#REF!</v>
      </c>
      <c r="AC1418" t="e">
        <f>IF(#REF! = 0, "No Usage", IF(#REF! &lt;= 20, "Low Usage", IF(#REF! &lt;= 40, "Medium Usgae", "High Usage")))</f>
        <v>#REF!</v>
      </c>
      <c r="AD1418" t="e">
        <f>IF(#REF!&lt;=150,"Low Usage", IF(#REF!&lt;=200,"Medium Usage", IF(#REF!&lt;=250,"High Usage","Very High Usage")))</f>
        <v>#REF!</v>
      </c>
      <c r="AE1418" t="e">
        <f>IF(#REF!&lt;=5,"Low Calls", IF(#REF!&lt;=10, "Medium Calls", "High Calls"))</f>
        <v>#REF!</v>
      </c>
      <c r="AF1418" t="e">
        <f xml:space="preserve">
IF(#REF!&gt;=4,4,0)+
IF(#REF!="yes",3,0)+
IF(#REF!="High Charges",3,0)+
IF(#REF!&gt;250,4,0)+
IF(#REF!="no",1,0)+
IF(#REF!="Heavy Domestic User",2,0)</f>
        <v>#REF!</v>
      </c>
      <c r="AG1418" t="e">
        <f>IF(#REF!&gt;=10,"High Risk", IF(#REF!&gt;=5,"Medium Risk","Low Risk"))</f>
        <v>#REF!</v>
      </c>
      <c r="AH1418" t="e">
        <f>#REF! + #REF! + #REF! + #REF!</f>
        <v>#REF!</v>
      </c>
    </row>
    <row r="1419" spans="1:34" x14ac:dyDescent="0.35">
      <c r="A1419">
        <v>1418</v>
      </c>
      <c r="B1419" t="s">
        <v>47</v>
      </c>
      <c r="C1419">
        <v>96</v>
      </c>
      <c r="D1419" t="s">
        <v>25</v>
      </c>
      <c r="E1419" t="s">
        <v>22</v>
      </c>
      <c r="F1419" t="s">
        <v>23</v>
      </c>
      <c r="G1419">
        <v>29</v>
      </c>
      <c r="H1419">
        <v>150</v>
      </c>
      <c r="I1419">
        <v>91</v>
      </c>
      <c r="J1419">
        <v>25.5</v>
      </c>
      <c r="K1419">
        <v>159.4</v>
      </c>
      <c r="L1419">
        <v>75</v>
      </c>
      <c r="M1419">
        <v>13.55</v>
      </c>
      <c r="N1419">
        <v>228.1</v>
      </c>
      <c r="O1419">
        <v>55</v>
      </c>
      <c r="P1419">
        <v>10.26</v>
      </c>
      <c r="Q1419">
        <v>8.5</v>
      </c>
      <c r="R1419">
        <v>3</v>
      </c>
      <c r="S1419">
        <v>2.2999999999999998</v>
      </c>
      <c r="T1419">
        <v>1</v>
      </c>
      <c r="U1419" t="s">
        <v>22</v>
      </c>
      <c r="V1419" t="e">
        <f>IF(#REF! = "yes", 1, 0)</f>
        <v>#REF!</v>
      </c>
      <c r="W1419" t="e">
        <f>IF(#REF! &lt;= 1, "0-1 Calls", IF(#REF! &lt;= 3, "2-3 Calls", IF(#REF! &lt;=5, "4-5 Calls", "6+ Calls")))</f>
        <v>#REF!</v>
      </c>
      <c r="X1419" t="e">
        <f>IF(#REF! &lt;= 50, "0-50", IF(#REF! &lt;=100, "51-100", IF(#REF! &lt;= 150, "101-150", "151+")))</f>
        <v>#REF!</v>
      </c>
      <c r="Y1419" t="e">
        <f>IF(#REF! &lt;= 3, "Low Charges", "High Charges")</f>
        <v>#REF!</v>
      </c>
      <c r="Z1419" t="e">
        <f>IF(#REF!&lt;=80,"Low Calls",
IF(#REF!&lt;=120,"Medium Calls","High Calls"))</f>
        <v>#REF!</v>
      </c>
      <c r="AA1419" t="e">
        <f>IF(#REF!&lt;=15,"Low Charges",
IF(#REF!&lt;=20,"Medium Charges","High Charges"))</f>
        <v>#REF!</v>
      </c>
      <c r="AB1419" t="e">
        <f>IF(AND(#REF!&gt;180, #REF!&gt;200), "Heavy Doemstic User", IF(#REF!&gt;10, "Interntional User", IF(AND(#REF!&lt;180, #REF!&lt;200,#REF!&lt;200), "Light User", "Balanced User")))</f>
        <v>#REF!</v>
      </c>
      <c r="AC1419" t="e">
        <f>IF(#REF! = 0, "No Usage", IF(#REF! &lt;= 20, "Low Usage", IF(#REF! &lt;= 40, "Medium Usgae", "High Usage")))</f>
        <v>#REF!</v>
      </c>
      <c r="AD1419" t="e">
        <f>IF(#REF!&lt;=150,"Low Usage", IF(#REF!&lt;=200,"Medium Usage", IF(#REF!&lt;=250,"High Usage","Very High Usage")))</f>
        <v>#REF!</v>
      </c>
      <c r="AE1419" t="e">
        <f>IF(#REF!&lt;=5,"Low Calls", IF(#REF!&lt;=10, "Medium Calls", "High Calls"))</f>
        <v>#REF!</v>
      </c>
      <c r="AF1419" t="e">
        <f xml:space="preserve">
IF(#REF!&gt;=4,4,0)+
IF(#REF!="yes",3,0)+
IF(#REF!="High Charges",3,0)+
IF(#REF!&gt;250,4,0)+
IF(#REF!="no",1,0)+
IF(#REF!="Heavy Domestic User",2,0)</f>
        <v>#REF!</v>
      </c>
      <c r="AG1419" t="e">
        <f>IF(#REF!&gt;=10,"High Risk", IF(#REF!&gt;=5,"Medium Risk","Low Risk"))</f>
        <v>#REF!</v>
      </c>
      <c r="AH1419" t="e">
        <f>#REF! + #REF! + #REF! + #REF!</f>
        <v>#REF!</v>
      </c>
    </row>
    <row r="1420" spans="1:34" x14ac:dyDescent="0.35">
      <c r="A1420">
        <v>1419</v>
      </c>
      <c r="B1420" t="s">
        <v>71</v>
      </c>
      <c r="C1420">
        <v>47</v>
      </c>
      <c r="D1420" t="s">
        <v>21</v>
      </c>
      <c r="E1420" t="s">
        <v>22</v>
      </c>
      <c r="F1420" t="s">
        <v>23</v>
      </c>
      <c r="G1420">
        <v>30</v>
      </c>
      <c r="H1420">
        <v>196.6</v>
      </c>
      <c r="I1420">
        <v>93</v>
      </c>
      <c r="J1420">
        <v>33.42</v>
      </c>
      <c r="K1420">
        <v>241.4</v>
      </c>
      <c r="L1420">
        <v>140</v>
      </c>
      <c r="M1420">
        <v>20.52</v>
      </c>
      <c r="N1420">
        <v>226</v>
      </c>
      <c r="O1420">
        <v>118</v>
      </c>
      <c r="P1420">
        <v>10.17</v>
      </c>
      <c r="Q1420">
        <v>12.9</v>
      </c>
      <c r="R1420">
        <v>4</v>
      </c>
      <c r="S1420">
        <v>3.48</v>
      </c>
      <c r="T1420">
        <v>2</v>
      </c>
      <c r="U1420" t="s">
        <v>22</v>
      </c>
      <c r="V1420" t="e">
        <f>IF(#REF! = "yes", 1, 0)</f>
        <v>#REF!</v>
      </c>
      <c r="W1420" t="e">
        <f>IF(#REF! &lt;= 1, "0-1 Calls", IF(#REF! &lt;= 3, "2-3 Calls", IF(#REF! &lt;=5, "4-5 Calls", "6+ Calls")))</f>
        <v>#REF!</v>
      </c>
      <c r="X1420" t="e">
        <f>IF(#REF! &lt;= 50, "0-50", IF(#REF! &lt;=100, "51-100", IF(#REF! &lt;= 150, "101-150", "151+")))</f>
        <v>#REF!</v>
      </c>
      <c r="Y1420" t="e">
        <f>IF(#REF! &lt;= 3, "Low Charges", "High Charges")</f>
        <v>#REF!</v>
      </c>
      <c r="Z1420" t="e">
        <f>IF(#REF!&lt;=80,"Low Calls",
IF(#REF!&lt;=120,"Medium Calls","High Calls"))</f>
        <v>#REF!</v>
      </c>
      <c r="AA1420" t="e">
        <f>IF(#REF!&lt;=15,"Low Charges",
IF(#REF!&lt;=20,"Medium Charges","High Charges"))</f>
        <v>#REF!</v>
      </c>
      <c r="AB1420" t="e">
        <f>IF(AND(#REF!&gt;180, #REF!&gt;200), "Heavy Doemstic User", IF(#REF!&gt;10, "Interntional User", IF(AND(#REF!&lt;180, #REF!&lt;200,#REF!&lt;200), "Light User", "Balanced User")))</f>
        <v>#REF!</v>
      </c>
      <c r="AC1420" t="e">
        <f>IF(#REF! = 0, "No Usage", IF(#REF! &lt;= 20, "Low Usage", IF(#REF! &lt;= 40, "Medium Usgae", "High Usage")))</f>
        <v>#REF!</v>
      </c>
      <c r="AD1420" t="e">
        <f>IF(#REF!&lt;=150,"Low Usage", IF(#REF!&lt;=200,"Medium Usage", IF(#REF!&lt;=250,"High Usage","Very High Usage")))</f>
        <v>#REF!</v>
      </c>
      <c r="AE1420" t="e">
        <f>IF(#REF!&lt;=5,"Low Calls", IF(#REF!&lt;=10, "Medium Calls", "High Calls"))</f>
        <v>#REF!</v>
      </c>
      <c r="AF1420" t="e">
        <f xml:space="preserve">
IF(#REF!&gt;=4,4,0)+
IF(#REF!="yes",3,0)+
IF(#REF!="High Charges",3,0)+
IF(#REF!&gt;250,4,0)+
IF(#REF!="no",1,0)+
IF(#REF!="Heavy Domestic User",2,0)</f>
        <v>#REF!</v>
      </c>
      <c r="AG1420" t="e">
        <f>IF(#REF!&gt;=10,"High Risk", IF(#REF!&gt;=5,"Medium Risk","Low Risk"))</f>
        <v>#REF!</v>
      </c>
      <c r="AH1420" t="e">
        <f>#REF! + #REF! + #REF! + #REF!</f>
        <v>#REF!</v>
      </c>
    </row>
    <row r="1421" spans="1:34" x14ac:dyDescent="0.35">
      <c r="A1421">
        <v>1420</v>
      </c>
      <c r="B1421" t="s">
        <v>65</v>
      </c>
      <c r="C1421">
        <v>115</v>
      </c>
      <c r="D1421" t="s">
        <v>28</v>
      </c>
      <c r="E1421" t="s">
        <v>22</v>
      </c>
      <c r="F1421" t="s">
        <v>22</v>
      </c>
      <c r="G1421">
        <v>0</v>
      </c>
      <c r="H1421">
        <v>99.7</v>
      </c>
      <c r="I1421">
        <v>107</v>
      </c>
      <c r="J1421">
        <v>16.95</v>
      </c>
      <c r="K1421">
        <v>145.1</v>
      </c>
      <c r="L1421">
        <v>96</v>
      </c>
      <c r="M1421">
        <v>12.33</v>
      </c>
      <c r="N1421">
        <v>149.4</v>
      </c>
      <c r="O1421">
        <v>99</v>
      </c>
      <c r="P1421">
        <v>6.72</v>
      </c>
      <c r="Q1421">
        <v>14.1</v>
      </c>
      <c r="R1421">
        <v>4</v>
      </c>
      <c r="S1421">
        <v>3.81</v>
      </c>
      <c r="T1421">
        <v>2</v>
      </c>
      <c r="U1421" t="s">
        <v>22</v>
      </c>
      <c r="V1421" t="e">
        <f>IF(#REF! = "yes", 1, 0)</f>
        <v>#REF!</v>
      </c>
      <c r="W1421" t="e">
        <f>IF(#REF! &lt;= 1, "0-1 Calls", IF(#REF! &lt;= 3, "2-3 Calls", IF(#REF! &lt;=5, "4-5 Calls", "6+ Calls")))</f>
        <v>#REF!</v>
      </c>
      <c r="X1421" t="e">
        <f>IF(#REF! &lt;= 50, "0-50", IF(#REF! &lt;=100, "51-100", IF(#REF! &lt;= 150, "101-150", "151+")))</f>
        <v>#REF!</v>
      </c>
      <c r="Y1421" t="e">
        <f>IF(#REF! &lt;= 3, "Low Charges", "High Charges")</f>
        <v>#REF!</v>
      </c>
      <c r="Z1421" t="e">
        <f>IF(#REF!&lt;=80,"Low Calls",
IF(#REF!&lt;=120,"Medium Calls","High Calls"))</f>
        <v>#REF!</v>
      </c>
      <c r="AA1421" t="e">
        <f>IF(#REF!&lt;=15,"Low Charges",
IF(#REF!&lt;=20,"Medium Charges","High Charges"))</f>
        <v>#REF!</v>
      </c>
      <c r="AB1421" t="e">
        <f>IF(AND(#REF!&gt;180, #REF!&gt;200), "Heavy Doemstic User", IF(#REF!&gt;10, "Interntional User", IF(AND(#REF!&lt;180, #REF!&lt;200,#REF!&lt;200), "Light User", "Balanced User")))</f>
        <v>#REF!</v>
      </c>
      <c r="AC1421" t="e">
        <f>IF(#REF! = 0, "No Usage", IF(#REF! &lt;= 20, "Low Usage", IF(#REF! &lt;= 40, "Medium Usgae", "High Usage")))</f>
        <v>#REF!</v>
      </c>
      <c r="AD1421" t="e">
        <f>IF(#REF!&lt;=150,"Low Usage", IF(#REF!&lt;=200,"Medium Usage", IF(#REF!&lt;=250,"High Usage","Very High Usage")))</f>
        <v>#REF!</v>
      </c>
      <c r="AE1421" t="e">
        <f>IF(#REF!&lt;=5,"Low Calls", IF(#REF!&lt;=10, "Medium Calls", "High Calls"))</f>
        <v>#REF!</v>
      </c>
      <c r="AF1421" t="e">
        <f xml:space="preserve">
IF(#REF!&gt;=4,4,0)+
IF(#REF!="yes",3,0)+
IF(#REF!="High Charges",3,0)+
IF(#REF!&gt;250,4,0)+
IF(#REF!="no",1,0)+
IF(#REF!="Heavy Domestic User",2,0)</f>
        <v>#REF!</v>
      </c>
      <c r="AG1421" t="e">
        <f>IF(#REF!&gt;=10,"High Risk", IF(#REF!&gt;=5,"Medium Risk","Low Risk"))</f>
        <v>#REF!</v>
      </c>
      <c r="AH1421" t="e">
        <f>#REF! + #REF! + #REF! + #REF!</f>
        <v>#REF!</v>
      </c>
    </row>
    <row r="1422" spans="1:34" x14ac:dyDescent="0.35">
      <c r="A1422">
        <v>1421</v>
      </c>
      <c r="B1422" t="s">
        <v>73</v>
      </c>
      <c r="C1422">
        <v>69</v>
      </c>
      <c r="D1422" t="s">
        <v>21</v>
      </c>
      <c r="E1422" t="s">
        <v>22</v>
      </c>
      <c r="F1422" t="s">
        <v>22</v>
      </c>
      <c r="G1422">
        <v>0</v>
      </c>
      <c r="H1422">
        <v>143.6</v>
      </c>
      <c r="I1422">
        <v>88</v>
      </c>
      <c r="J1422">
        <v>24.41</v>
      </c>
      <c r="K1422">
        <v>141.80000000000001</v>
      </c>
      <c r="L1422">
        <v>86</v>
      </c>
      <c r="M1422">
        <v>12.05</v>
      </c>
      <c r="N1422">
        <v>194</v>
      </c>
      <c r="O1422">
        <v>83</v>
      </c>
      <c r="P1422">
        <v>8.73</v>
      </c>
      <c r="Q1422">
        <v>10.8</v>
      </c>
      <c r="R1422">
        <v>5</v>
      </c>
      <c r="S1422">
        <v>2.92</v>
      </c>
      <c r="T1422">
        <v>3</v>
      </c>
      <c r="U1422" t="s">
        <v>22</v>
      </c>
      <c r="V1422" t="e">
        <f>IF(#REF! = "yes", 1, 0)</f>
        <v>#REF!</v>
      </c>
      <c r="W1422" t="e">
        <f>IF(#REF! &lt;= 1, "0-1 Calls", IF(#REF! &lt;= 3, "2-3 Calls", IF(#REF! &lt;=5, "4-5 Calls", "6+ Calls")))</f>
        <v>#REF!</v>
      </c>
      <c r="X1422" t="e">
        <f>IF(#REF! &lt;= 50, "0-50", IF(#REF! &lt;=100, "51-100", IF(#REF! &lt;= 150, "101-150", "151+")))</f>
        <v>#REF!</v>
      </c>
      <c r="Y1422" t="e">
        <f>IF(#REF! &lt;= 3, "Low Charges", "High Charges")</f>
        <v>#REF!</v>
      </c>
      <c r="Z1422" t="e">
        <f>IF(#REF!&lt;=80,"Low Calls",
IF(#REF!&lt;=120,"Medium Calls","High Calls"))</f>
        <v>#REF!</v>
      </c>
      <c r="AA1422" t="e">
        <f>IF(#REF!&lt;=15,"Low Charges",
IF(#REF!&lt;=20,"Medium Charges","High Charges"))</f>
        <v>#REF!</v>
      </c>
      <c r="AB1422" t="e">
        <f>IF(AND(#REF!&gt;180, #REF!&gt;200), "Heavy Doemstic User", IF(#REF!&gt;10, "Interntional User", IF(AND(#REF!&lt;180, #REF!&lt;200,#REF!&lt;200), "Light User", "Balanced User")))</f>
        <v>#REF!</v>
      </c>
      <c r="AC1422" t="e">
        <f>IF(#REF! = 0, "No Usage", IF(#REF! &lt;= 20, "Low Usage", IF(#REF! &lt;= 40, "Medium Usgae", "High Usage")))</f>
        <v>#REF!</v>
      </c>
      <c r="AD1422" t="e">
        <f>IF(#REF!&lt;=150,"Low Usage", IF(#REF!&lt;=200,"Medium Usage", IF(#REF!&lt;=250,"High Usage","Very High Usage")))</f>
        <v>#REF!</v>
      </c>
      <c r="AE1422" t="e">
        <f>IF(#REF!&lt;=5,"Low Calls", IF(#REF!&lt;=10, "Medium Calls", "High Calls"))</f>
        <v>#REF!</v>
      </c>
      <c r="AF1422" t="e">
        <f xml:space="preserve">
IF(#REF!&gt;=4,4,0)+
IF(#REF!="yes",3,0)+
IF(#REF!="High Charges",3,0)+
IF(#REF!&gt;250,4,0)+
IF(#REF!="no",1,0)+
IF(#REF!="Heavy Domestic User",2,0)</f>
        <v>#REF!</v>
      </c>
      <c r="AG1422" t="e">
        <f>IF(#REF!&gt;=10,"High Risk", IF(#REF!&gt;=5,"Medium Risk","Low Risk"))</f>
        <v>#REF!</v>
      </c>
      <c r="AH1422" t="e">
        <f>#REF! + #REF! + #REF! + #REF!</f>
        <v>#REF!</v>
      </c>
    </row>
    <row r="1423" spans="1:34" x14ac:dyDescent="0.35">
      <c r="A1423">
        <v>1422</v>
      </c>
      <c r="B1423" t="s">
        <v>74</v>
      </c>
      <c r="C1423">
        <v>163</v>
      </c>
      <c r="D1423" t="s">
        <v>25</v>
      </c>
      <c r="E1423" t="s">
        <v>22</v>
      </c>
      <c r="F1423" t="s">
        <v>23</v>
      </c>
      <c r="G1423">
        <v>40</v>
      </c>
      <c r="H1423">
        <v>231.9</v>
      </c>
      <c r="I1423">
        <v>56</v>
      </c>
      <c r="J1423">
        <v>39.42</v>
      </c>
      <c r="K1423">
        <v>211.8</v>
      </c>
      <c r="L1423">
        <v>91</v>
      </c>
      <c r="M1423">
        <v>18</v>
      </c>
      <c r="N1423">
        <v>268.5</v>
      </c>
      <c r="O1423">
        <v>74</v>
      </c>
      <c r="P1423">
        <v>12.08</v>
      </c>
      <c r="Q1423">
        <v>12.3</v>
      </c>
      <c r="R1423">
        <v>3</v>
      </c>
      <c r="S1423">
        <v>3.32</v>
      </c>
      <c r="T1423">
        <v>2</v>
      </c>
      <c r="U1423" t="s">
        <v>22</v>
      </c>
      <c r="V1423" t="e">
        <f>IF(#REF! = "yes", 1, 0)</f>
        <v>#REF!</v>
      </c>
      <c r="W1423" t="e">
        <f>IF(#REF! &lt;= 1, "0-1 Calls", IF(#REF! &lt;= 3, "2-3 Calls", IF(#REF! &lt;=5, "4-5 Calls", "6+ Calls")))</f>
        <v>#REF!</v>
      </c>
      <c r="X1423" t="e">
        <f>IF(#REF! &lt;= 50, "0-50", IF(#REF! &lt;=100, "51-100", IF(#REF! &lt;= 150, "101-150", "151+")))</f>
        <v>#REF!</v>
      </c>
      <c r="Y1423" t="e">
        <f>IF(#REF! &lt;= 3, "Low Charges", "High Charges")</f>
        <v>#REF!</v>
      </c>
      <c r="Z1423" t="e">
        <f>IF(#REF!&lt;=80,"Low Calls",
IF(#REF!&lt;=120,"Medium Calls","High Calls"))</f>
        <v>#REF!</v>
      </c>
      <c r="AA1423" t="e">
        <f>IF(#REF!&lt;=15,"Low Charges",
IF(#REF!&lt;=20,"Medium Charges","High Charges"))</f>
        <v>#REF!</v>
      </c>
      <c r="AB1423" t="e">
        <f>IF(AND(#REF!&gt;180, #REF!&gt;200), "Heavy Doemstic User", IF(#REF!&gt;10, "Interntional User", IF(AND(#REF!&lt;180, #REF!&lt;200,#REF!&lt;200), "Light User", "Balanced User")))</f>
        <v>#REF!</v>
      </c>
      <c r="AC1423" t="e">
        <f>IF(#REF! = 0, "No Usage", IF(#REF! &lt;= 20, "Low Usage", IF(#REF! &lt;= 40, "Medium Usgae", "High Usage")))</f>
        <v>#REF!</v>
      </c>
      <c r="AD1423" t="e">
        <f>IF(#REF!&lt;=150,"Low Usage", IF(#REF!&lt;=200,"Medium Usage", IF(#REF!&lt;=250,"High Usage","Very High Usage")))</f>
        <v>#REF!</v>
      </c>
      <c r="AE1423" t="e">
        <f>IF(#REF!&lt;=5,"Low Calls", IF(#REF!&lt;=10, "Medium Calls", "High Calls"))</f>
        <v>#REF!</v>
      </c>
      <c r="AF1423" t="e">
        <f xml:space="preserve">
IF(#REF!&gt;=4,4,0)+
IF(#REF!="yes",3,0)+
IF(#REF!="High Charges",3,0)+
IF(#REF!&gt;250,4,0)+
IF(#REF!="no",1,0)+
IF(#REF!="Heavy Domestic User",2,0)</f>
        <v>#REF!</v>
      </c>
      <c r="AG1423" t="e">
        <f>IF(#REF!&gt;=10,"High Risk", IF(#REF!&gt;=5,"Medium Risk","Low Risk"))</f>
        <v>#REF!</v>
      </c>
      <c r="AH1423" t="e">
        <f>#REF! + #REF! + #REF! + #REF!</f>
        <v>#REF!</v>
      </c>
    </row>
    <row r="1424" spans="1:34" x14ac:dyDescent="0.35">
      <c r="A1424">
        <v>1423</v>
      </c>
      <c r="B1424" t="s">
        <v>60</v>
      </c>
      <c r="C1424">
        <v>98</v>
      </c>
      <c r="D1424" t="s">
        <v>21</v>
      </c>
      <c r="E1424" t="s">
        <v>22</v>
      </c>
      <c r="F1424" t="s">
        <v>22</v>
      </c>
      <c r="G1424">
        <v>0</v>
      </c>
      <c r="H1424">
        <v>72.8</v>
      </c>
      <c r="I1424">
        <v>107</v>
      </c>
      <c r="J1424">
        <v>12.38</v>
      </c>
      <c r="K1424">
        <v>186.4</v>
      </c>
      <c r="L1424">
        <v>103</v>
      </c>
      <c r="M1424">
        <v>15.84</v>
      </c>
      <c r="N1424">
        <v>175.3</v>
      </c>
      <c r="O1424">
        <v>110</v>
      </c>
      <c r="P1424">
        <v>7.89</v>
      </c>
      <c r="Q1424">
        <v>10.5</v>
      </c>
      <c r="R1424">
        <v>4</v>
      </c>
      <c r="S1424">
        <v>2.84</v>
      </c>
      <c r="T1424">
        <v>3</v>
      </c>
      <c r="U1424" t="s">
        <v>22</v>
      </c>
      <c r="V1424" t="e">
        <f>IF(#REF! = "yes", 1, 0)</f>
        <v>#REF!</v>
      </c>
      <c r="W1424" t="e">
        <f>IF(#REF! &lt;= 1, "0-1 Calls", IF(#REF! &lt;= 3, "2-3 Calls", IF(#REF! &lt;=5, "4-5 Calls", "6+ Calls")))</f>
        <v>#REF!</v>
      </c>
      <c r="X1424" t="e">
        <f>IF(#REF! &lt;= 50, "0-50", IF(#REF! &lt;=100, "51-100", IF(#REF! &lt;= 150, "101-150", "151+")))</f>
        <v>#REF!</v>
      </c>
      <c r="Y1424" t="e">
        <f>IF(#REF! &lt;= 3, "Low Charges", "High Charges")</f>
        <v>#REF!</v>
      </c>
      <c r="Z1424" t="e">
        <f>IF(#REF!&lt;=80,"Low Calls",
IF(#REF!&lt;=120,"Medium Calls","High Calls"))</f>
        <v>#REF!</v>
      </c>
      <c r="AA1424" t="e">
        <f>IF(#REF!&lt;=15,"Low Charges",
IF(#REF!&lt;=20,"Medium Charges","High Charges"))</f>
        <v>#REF!</v>
      </c>
      <c r="AB1424" t="e">
        <f>IF(AND(#REF!&gt;180, #REF!&gt;200), "Heavy Doemstic User", IF(#REF!&gt;10, "Interntional User", IF(AND(#REF!&lt;180, #REF!&lt;200,#REF!&lt;200), "Light User", "Balanced User")))</f>
        <v>#REF!</v>
      </c>
      <c r="AC1424" t="e">
        <f>IF(#REF! = 0, "No Usage", IF(#REF! &lt;= 20, "Low Usage", IF(#REF! &lt;= 40, "Medium Usgae", "High Usage")))</f>
        <v>#REF!</v>
      </c>
      <c r="AD1424" t="e">
        <f>IF(#REF!&lt;=150,"Low Usage", IF(#REF!&lt;=200,"Medium Usage", IF(#REF!&lt;=250,"High Usage","Very High Usage")))</f>
        <v>#REF!</v>
      </c>
      <c r="AE1424" t="e">
        <f>IF(#REF!&lt;=5,"Low Calls", IF(#REF!&lt;=10, "Medium Calls", "High Calls"))</f>
        <v>#REF!</v>
      </c>
      <c r="AF1424" t="e">
        <f xml:space="preserve">
IF(#REF!&gt;=4,4,0)+
IF(#REF!="yes",3,0)+
IF(#REF!="High Charges",3,0)+
IF(#REF!&gt;250,4,0)+
IF(#REF!="no",1,0)+
IF(#REF!="Heavy Domestic User",2,0)</f>
        <v>#REF!</v>
      </c>
      <c r="AG1424" t="e">
        <f>IF(#REF!&gt;=10,"High Risk", IF(#REF!&gt;=5,"Medium Risk","Low Risk"))</f>
        <v>#REF!</v>
      </c>
      <c r="AH1424" t="e">
        <f>#REF! + #REF! + #REF! + #REF!</f>
        <v>#REF!</v>
      </c>
    </row>
    <row r="1425" spans="1:34" x14ac:dyDescent="0.35">
      <c r="A1425">
        <v>1424</v>
      </c>
      <c r="B1425" t="s">
        <v>73</v>
      </c>
      <c r="C1425">
        <v>174</v>
      </c>
      <c r="D1425" t="s">
        <v>21</v>
      </c>
      <c r="E1425" t="s">
        <v>22</v>
      </c>
      <c r="F1425" t="s">
        <v>23</v>
      </c>
      <c r="G1425">
        <v>15</v>
      </c>
      <c r="H1425">
        <v>221.8</v>
      </c>
      <c r="I1425">
        <v>143</v>
      </c>
      <c r="J1425">
        <v>37.71</v>
      </c>
      <c r="K1425">
        <v>210.6</v>
      </c>
      <c r="L1425">
        <v>115</v>
      </c>
      <c r="M1425">
        <v>17.899999999999999</v>
      </c>
      <c r="N1425">
        <v>221.8</v>
      </c>
      <c r="O1425">
        <v>109</v>
      </c>
      <c r="P1425">
        <v>9.98</v>
      </c>
      <c r="Q1425">
        <v>12.4</v>
      </c>
      <c r="R1425">
        <v>9</v>
      </c>
      <c r="S1425">
        <v>3.35</v>
      </c>
      <c r="T1425">
        <v>1</v>
      </c>
      <c r="U1425" t="s">
        <v>22</v>
      </c>
      <c r="V1425" t="e">
        <f>IF(#REF! = "yes", 1, 0)</f>
        <v>#REF!</v>
      </c>
      <c r="W1425" t="e">
        <f>IF(#REF! &lt;= 1, "0-1 Calls", IF(#REF! &lt;= 3, "2-3 Calls", IF(#REF! &lt;=5, "4-5 Calls", "6+ Calls")))</f>
        <v>#REF!</v>
      </c>
      <c r="X1425" t="e">
        <f>IF(#REF! &lt;= 50, "0-50", IF(#REF! &lt;=100, "51-100", IF(#REF! &lt;= 150, "101-150", "151+")))</f>
        <v>#REF!</v>
      </c>
      <c r="Y1425" t="e">
        <f>IF(#REF! &lt;= 3, "Low Charges", "High Charges")</f>
        <v>#REF!</v>
      </c>
      <c r="Z1425" t="e">
        <f>IF(#REF!&lt;=80,"Low Calls",
IF(#REF!&lt;=120,"Medium Calls","High Calls"))</f>
        <v>#REF!</v>
      </c>
      <c r="AA1425" t="e">
        <f>IF(#REF!&lt;=15,"Low Charges",
IF(#REF!&lt;=20,"Medium Charges","High Charges"))</f>
        <v>#REF!</v>
      </c>
      <c r="AB1425" t="e">
        <f>IF(AND(#REF!&gt;180, #REF!&gt;200), "Heavy Doemstic User", IF(#REF!&gt;10, "Interntional User", IF(AND(#REF!&lt;180, #REF!&lt;200,#REF!&lt;200), "Light User", "Balanced User")))</f>
        <v>#REF!</v>
      </c>
      <c r="AC1425" t="e">
        <f>IF(#REF! = 0, "No Usage", IF(#REF! &lt;= 20, "Low Usage", IF(#REF! &lt;= 40, "Medium Usgae", "High Usage")))</f>
        <v>#REF!</v>
      </c>
      <c r="AD1425" t="e">
        <f>IF(#REF!&lt;=150,"Low Usage", IF(#REF!&lt;=200,"Medium Usage", IF(#REF!&lt;=250,"High Usage","Very High Usage")))</f>
        <v>#REF!</v>
      </c>
      <c r="AE1425" t="e">
        <f>IF(#REF!&lt;=5,"Low Calls", IF(#REF!&lt;=10, "Medium Calls", "High Calls"))</f>
        <v>#REF!</v>
      </c>
      <c r="AF1425" t="e">
        <f xml:space="preserve">
IF(#REF!&gt;=4,4,0)+
IF(#REF!="yes",3,0)+
IF(#REF!="High Charges",3,0)+
IF(#REF!&gt;250,4,0)+
IF(#REF!="no",1,0)+
IF(#REF!="Heavy Domestic User",2,0)</f>
        <v>#REF!</v>
      </c>
      <c r="AG1425" t="e">
        <f>IF(#REF!&gt;=10,"High Risk", IF(#REF!&gt;=5,"Medium Risk","Low Risk"))</f>
        <v>#REF!</v>
      </c>
      <c r="AH1425" t="e">
        <f>#REF! + #REF! + #REF! + #REF!</f>
        <v>#REF!</v>
      </c>
    </row>
    <row r="1426" spans="1:34" x14ac:dyDescent="0.35">
      <c r="A1426">
        <v>1425</v>
      </c>
      <c r="B1426" t="s">
        <v>52</v>
      </c>
      <c r="C1426">
        <v>95</v>
      </c>
      <c r="D1426" t="s">
        <v>21</v>
      </c>
      <c r="E1426" t="s">
        <v>22</v>
      </c>
      <c r="F1426" t="s">
        <v>22</v>
      </c>
      <c r="G1426">
        <v>0</v>
      </c>
      <c r="H1426">
        <v>269</v>
      </c>
      <c r="I1426">
        <v>120</v>
      </c>
      <c r="J1426">
        <v>45.73</v>
      </c>
      <c r="K1426">
        <v>233.7</v>
      </c>
      <c r="L1426">
        <v>120</v>
      </c>
      <c r="M1426">
        <v>19.86</v>
      </c>
      <c r="N1426">
        <v>179.3</v>
      </c>
      <c r="O1426">
        <v>61</v>
      </c>
      <c r="P1426">
        <v>8.07</v>
      </c>
      <c r="Q1426">
        <v>7.3</v>
      </c>
      <c r="R1426">
        <v>4</v>
      </c>
      <c r="S1426">
        <v>1.97</v>
      </c>
      <c r="T1426">
        <v>2</v>
      </c>
      <c r="U1426" t="s">
        <v>23</v>
      </c>
      <c r="V1426" t="e">
        <f>IF(#REF! = "yes", 1, 0)</f>
        <v>#REF!</v>
      </c>
      <c r="W1426" t="e">
        <f>IF(#REF! &lt;= 1, "0-1 Calls", IF(#REF! &lt;= 3, "2-3 Calls", IF(#REF! &lt;=5, "4-5 Calls", "6+ Calls")))</f>
        <v>#REF!</v>
      </c>
      <c r="X1426" t="e">
        <f>IF(#REF! &lt;= 50, "0-50", IF(#REF! &lt;=100, "51-100", IF(#REF! &lt;= 150, "101-150", "151+")))</f>
        <v>#REF!</v>
      </c>
      <c r="Y1426" t="e">
        <f>IF(#REF! &lt;= 3, "Low Charges", "High Charges")</f>
        <v>#REF!</v>
      </c>
      <c r="Z1426" t="e">
        <f>IF(#REF!&lt;=80,"Low Calls",
IF(#REF!&lt;=120,"Medium Calls","High Calls"))</f>
        <v>#REF!</v>
      </c>
      <c r="AA1426" t="e">
        <f>IF(#REF!&lt;=15,"Low Charges",
IF(#REF!&lt;=20,"Medium Charges","High Charges"))</f>
        <v>#REF!</v>
      </c>
      <c r="AB1426" t="e">
        <f>IF(AND(#REF!&gt;180, #REF!&gt;200), "Heavy Doemstic User", IF(#REF!&gt;10, "Interntional User", IF(AND(#REF!&lt;180, #REF!&lt;200,#REF!&lt;200), "Light User", "Balanced User")))</f>
        <v>#REF!</v>
      </c>
      <c r="AC1426" t="e">
        <f>IF(#REF! = 0, "No Usage", IF(#REF! &lt;= 20, "Low Usage", IF(#REF! &lt;= 40, "Medium Usgae", "High Usage")))</f>
        <v>#REF!</v>
      </c>
      <c r="AD1426" t="e">
        <f>IF(#REF!&lt;=150,"Low Usage", IF(#REF!&lt;=200,"Medium Usage", IF(#REF!&lt;=250,"High Usage","Very High Usage")))</f>
        <v>#REF!</v>
      </c>
      <c r="AE1426" t="e">
        <f>IF(#REF!&lt;=5,"Low Calls", IF(#REF!&lt;=10, "Medium Calls", "High Calls"))</f>
        <v>#REF!</v>
      </c>
      <c r="AF1426" t="e">
        <f xml:space="preserve">
IF(#REF!&gt;=4,4,0)+
IF(#REF!="yes",3,0)+
IF(#REF!="High Charges",3,0)+
IF(#REF!&gt;250,4,0)+
IF(#REF!="no",1,0)+
IF(#REF!="Heavy Domestic User",2,0)</f>
        <v>#REF!</v>
      </c>
      <c r="AG1426" t="e">
        <f>IF(#REF!&gt;=10,"High Risk", IF(#REF!&gt;=5,"Medium Risk","Low Risk"))</f>
        <v>#REF!</v>
      </c>
      <c r="AH1426" t="e">
        <f>#REF! + #REF! + #REF! + #REF!</f>
        <v>#REF!</v>
      </c>
    </row>
    <row r="1427" spans="1:34" x14ac:dyDescent="0.35">
      <c r="A1427">
        <v>1426</v>
      </c>
      <c r="B1427" t="s">
        <v>73</v>
      </c>
      <c r="C1427">
        <v>79</v>
      </c>
      <c r="D1427" t="s">
        <v>21</v>
      </c>
      <c r="E1427" t="s">
        <v>22</v>
      </c>
      <c r="F1427" t="s">
        <v>22</v>
      </c>
      <c r="G1427">
        <v>0</v>
      </c>
      <c r="H1427">
        <v>268.3</v>
      </c>
      <c r="I1427">
        <v>114</v>
      </c>
      <c r="J1427">
        <v>45.61</v>
      </c>
      <c r="K1427">
        <v>185.5</v>
      </c>
      <c r="L1427">
        <v>111</v>
      </c>
      <c r="M1427">
        <v>15.77</v>
      </c>
      <c r="N1427">
        <v>264.60000000000002</v>
      </c>
      <c r="O1427">
        <v>88</v>
      </c>
      <c r="P1427">
        <v>11.91</v>
      </c>
      <c r="Q1427">
        <v>6.3</v>
      </c>
      <c r="R1427">
        <v>7</v>
      </c>
      <c r="S1427">
        <v>1.7</v>
      </c>
      <c r="T1427">
        <v>1</v>
      </c>
      <c r="U1427" t="s">
        <v>23</v>
      </c>
      <c r="V1427" t="e">
        <f>IF(#REF! = "yes", 1, 0)</f>
        <v>#REF!</v>
      </c>
      <c r="W1427" t="e">
        <f>IF(#REF! &lt;= 1, "0-1 Calls", IF(#REF! &lt;= 3, "2-3 Calls", IF(#REF! &lt;=5, "4-5 Calls", "6+ Calls")))</f>
        <v>#REF!</v>
      </c>
      <c r="X1427" t="e">
        <f>IF(#REF! &lt;= 50, "0-50", IF(#REF! &lt;=100, "51-100", IF(#REF! &lt;= 150, "101-150", "151+")))</f>
        <v>#REF!</v>
      </c>
      <c r="Y1427" t="e">
        <f>IF(#REF! &lt;= 3, "Low Charges", "High Charges")</f>
        <v>#REF!</v>
      </c>
      <c r="Z1427" t="e">
        <f>IF(#REF!&lt;=80,"Low Calls",
IF(#REF!&lt;=120,"Medium Calls","High Calls"))</f>
        <v>#REF!</v>
      </c>
      <c r="AA1427" t="e">
        <f>IF(#REF!&lt;=15,"Low Charges",
IF(#REF!&lt;=20,"Medium Charges","High Charges"))</f>
        <v>#REF!</v>
      </c>
      <c r="AB1427" t="e">
        <f>IF(AND(#REF!&gt;180, #REF!&gt;200), "Heavy Doemstic User", IF(#REF!&gt;10, "Interntional User", IF(AND(#REF!&lt;180, #REF!&lt;200,#REF!&lt;200), "Light User", "Balanced User")))</f>
        <v>#REF!</v>
      </c>
      <c r="AC1427" t="e">
        <f>IF(#REF! = 0, "No Usage", IF(#REF! &lt;= 20, "Low Usage", IF(#REF! &lt;= 40, "Medium Usgae", "High Usage")))</f>
        <v>#REF!</v>
      </c>
      <c r="AD1427" t="e">
        <f>IF(#REF!&lt;=150,"Low Usage", IF(#REF!&lt;=200,"Medium Usage", IF(#REF!&lt;=250,"High Usage","Very High Usage")))</f>
        <v>#REF!</v>
      </c>
      <c r="AE1427" t="e">
        <f>IF(#REF!&lt;=5,"Low Calls", IF(#REF!&lt;=10, "Medium Calls", "High Calls"))</f>
        <v>#REF!</v>
      </c>
      <c r="AF1427" t="e">
        <f xml:space="preserve">
IF(#REF!&gt;=4,4,0)+
IF(#REF!="yes",3,0)+
IF(#REF!="High Charges",3,0)+
IF(#REF!&gt;250,4,0)+
IF(#REF!="no",1,0)+
IF(#REF!="Heavy Domestic User",2,0)</f>
        <v>#REF!</v>
      </c>
      <c r="AG1427" t="e">
        <f>IF(#REF!&gt;=10,"High Risk", IF(#REF!&gt;=5,"Medium Risk","Low Risk"))</f>
        <v>#REF!</v>
      </c>
      <c r="AH1427" t="e">
        <f>#REF! + #REF! + #REF! + #REF!</f>
        <v>#REF!</v>
      </c>
    </row>
    <row r="1428" spans="1:34" x14ac:dyDescent="0.35">
      <c r="A1428">
        <v>1427</v>
      </c>
      <c r="B1428" t="s">
        <v>26</v>
      </c>
      <c r="C1428">
        <v>123</v>
      </c>
      <c r="D1428" t="s">
        <v>21</v>
      </c>
      <c r="E1428" t="s">
        <v>22</v>
      </c>
      <c r="F1428" t="s">
        <v>23</v>
      </c>
      <c r="G1428">
        <v>27</v>
      </c>
      <c r="H1428">
        <v>198.7</v>
      </c>
      <c r="I1428">
        <v>127</v>
      </c>
      <c r="J1428">
        <v>33.78</v>
      </c>
      <c r="K1428">
        <v>249</v>
      </c>
      <c r="L1428">
        <v>105</v>
      </c>
      <c r="M1428">
        <v>21.17</v>
      </c>
      <c r="N1428">
        <v>173.2</v>
      </c>
      <c r="O1428">
        <v>124</v>
      </c>
      <c r="P1428">
        <v>7.79</v>
      </c>
      <c r="Q1428">
        <v>12.5</v>
      </c>
      <c r="R1428">
        <v>5</v>
      </c>
      <c r="S1428">
        <v>3.38</v>
      </c>
      <c r="T1428">
        <v>1</v>
      </c>
      <c r="U1428" t="s">
        <v>22</v>
      </c>
      <c r="V1428" t="e">
        <f>IF(#REF! = "yes", 1, 0)</f>
        <v>#REF!</v>
      </c>
      <c r="W1428" t="e">
        <f>IF(#REF! &lt;= 1, "0-1 Calls", IF(#REF! &lt;= 3, "2-3 Calls", IF(#REF! &lt;=5, "4-5 Calls", "6+ Calls")))</f>
        <v>#REF!</v>
      </c>
      <c r="X1428" t="e">
        <f>IF(#REF! &lt;= 50, "0-50", IF(#REF! &lt;=100, "51-100", IF(#REF! &lt;= 150, "101-150", "151+")))</f>
        <v>#REF!</v>
      </c>
      <c r="Y1428" t="e">
        <f>IF(#REF! &lt;= 3, "Low Charges", "High Charges")</f>
        <v>#REF!</v>
      </c>
      <c r="Z1428" t="e">
        <f>IF(#REF!&lt;=80,"Low Calls",
IF(#REF!&lt;=120,"Medium Calls","High Calls"))</f>
        <v>#REF!</v>
      </c>
      <c r="AA1428" t="e">
        <f>IF(#REF!&lt;=15,"Low Charges",
IF(#REF!&lt;=20,"Medium Charges","High Charges"))</f>
        <v>#REF!</v>
      </c>
      <c r="AB1428" t="e">
        <f>IF(AND(#REF!&gt;180, #REF!&gt;200), "Heavy Doemstic User", IF(#REF!&gt;10, "Interntional User", IF(AND(#REF!&lt;180, #REF!&lt;200,#REF!&lt;200), "Light User", "Balanced User")))</f>
        <v>#REF!</v>
      </c>
      <c r="AC1428" t="e">
        <f>IF(#REF! = 0, "No Usage", IF(#REF! &lt;= 20, "Low Usage", IF(#REF! &lt;= 40, "Medium Usgae", "High Usage")))</f>
        <v>#REF!</v>
      </c>
      <c r="AD1428" t="e">
        <f>IF(#REF!&lt;=150,"Low Usage", IF(#REF!&lt;=200,"Medium Usage", IF(#REF!&lt;=250,"High Usage","Very High Usage")))</f>
        <v>#REF!</v>
      </c>
      <c r="AE1428" t="e">
        <f>IF(#REF!&lt;=5,"Low Calls", IF(#REF!&lt;=10, "Medium Calls", "High Calls"))</f>
        <v>#REF!</v>
      </c>
      <c r="AF1428" t="e">
        <f xml:space="preserve">
IF(#REF!&gt;=4,4,0)+
IF(#REF!="yes",3,0)+
IF(#REF!="High Charges",3,0)+
IF(#REF!&gt;250,4,0)+
IF(#REF!="no",1,0)+
IF(#REF!="Heavy Domestic User",2,0)</f>
        <v>#REF!</v>
      </c>
      <c r="AG1428" t="e">
        <f>IF(#REF!&gt;=10,"High Risk", IF(#REF!&gt;=5,"Medium Risk","Low Risk"))</f>
        <v>#REF!</v>
      </c>
      <c r="AH1428" t="e">
        <f>#REF! + #REF! + #REF! + #REF!</f>
        <v>#REF!</v>
      </c>
    </row>
    <row r="1429" spans="1:34" x14ac:dyDescent="0.35">
      <c r="A1429">
        <v>1428</v>
      </c>
      <c r="B1429" t="s">
        <v>64</v>
      </c>
      <c r="C1429">
        <v>99</v>
      </c>
      <c r="D1429" t="s">
        <v>21</v>
      </c>
      <c r="E1429" t="s">
        <v>22</v>
      </c>
      <c r="F1429" t="s">
        <v>22</v>
      </c>
      <c r="G1429">
        <v>0</v>
      </c>
      <c r="H1429">
        <v>115.5</v>
      </c>
      <c r="I1429">
        <v>75</v>
      </c>
      <c r="J1429">
        <v>19.64</v>
      </c>
      <c r="K1429">
        <v>218.1</v>
      </c>
      <c r="L1429">
        <v>111</v>
      </c>
      <c r="M1429">
        <v>18.54</v>
      </c>
      <c r="N1429">
        <v>254.9</v>
      </c>
      <c r="O1429">
        <v>98</v>
      </c>
      <c r="P1429">
        <v>11.47</v>
      </c>
      <c r="Q1429">
        <v>11.5</v>
      </c>
      <c r="R1429">
        <v>7</v>
      </c>
      <c r="S1429">
        <v>3.11</v>
      </c>
      <c r="T1429">
        <v>7</v>
      </c>
      <c r="U1429" t="s">
        <v>23</v>
      </c>
      <c r="V1429" t="e">
        <f>IF(#REF! = "yes", 1, 0)</f>
        <v>#REF!</v>
      </c>
      <c r="W1429" t="e">
        <f>IF(#REF! &lt;= 1, "0-1 Calls", IF(#REF! &lt;= 3, "2-3 Calls", IF(#REF! &lt;=5, "4-5 Calls", "6+ Calls")))</f>
        <v>#REF!</v>
      </c>
      <c r="X1429" t="e">
        <f>IF(#REF! &lt;= 50, "0-50", IF(#REF! &lt;=100, "51-100", IF(#REF! &lt;= 150, "101-150", "151+")))</f>
        <v>#REF!</v>
      </c>
      <c r="Y1429" t="e">
        <f>IF(#REF! &lt;= 3, "Low Charges", "High Charges")</f>
        <v>#REF!</v>
      </c>
      <c r="Z1429" t="e">
        <f>IF(#REF!&lt;=80,"Low Calls",
IF(#REF!&lt;=120,"Medium Calls","High Calls"))</f>
        <v>#REF!</v>
      </c>
      <c r="AA1429" t="e">
        <f>IF(#REF!&lt;=15,"Low Charges",
IF(#REF!&lt;=20,"Medium Charges","High Charges"))</f>
        <v>#REF!</v>
      </c>
      <c r="AB1429" t="e">
        <f>IF(AND(#REF!&gt;180, #REF!&gt;200), "Heavy Doemstic User", IF(#REF!&gt;10, "Interntional User", IF(AND(#REF!&lt;180, #REF!&lt;200,#REF!&lt;200), "Light User", "Balanced User")))</f>
        <v>#REF!</v>
      </c>
      <c r="AC1429" t="e">
        <f>IF(#REF! = 0, "No Usage", IF(#REF! &lt;= 20, "Low Usage", IF(#REF! &lt;= 40, "Medium Usgae", "High Usage")))</f>
        <v>#REF!</v>
      </c>
      <c r="AD1429" t="e">
        <f>IF(#REF!&lt;=150,"Low Usage", IF(#REF!&lt;=200,"Medium Usage", IF(#REF!&lt;=250,"High Usage","Very High Usage")))</f>
        <v>#REF!</v>
      </c>
      <c r="AE1429" t="e">
        <f>IF(#REF!&lt;=5,"Low Calls", IF(#REF!&lt;=10, "Medium Calls", "High Calls"))</f>
        <v>#REF!</v>
      </c>
      <c r="AF1429" t="e">
        <f xml:space="preserve">
IF(#REF!&gt;=4,4,0)+
IF(#REF!="yes",3,0)+
IF(#REF!="High Charges",3,0)+
IF(#REF!&gt;250,4,0)+
IF(#REF!="no",1,0)+
IF(#REF!="Heavy Domestic User",2,0)</f>
        <v>#REF!</v>
      </c>
      <c r="AG1429" t="e">
        <f>IF(#REF!&gt;=10,"High Risk", IF(#REF!&gt;=5,"Medium Risk","Low Risk"))</f>
        <v>#REF!</v>
      </c>
      <c r="AH1429" t="e">
        <f>#REF! + #REF! + #REF! + #REF!</f>
        <v>#REF!</v>
      </c>
    </row>
    <row r="1430" spans="1:34" x14ac:dyDescent="0.35">
      <c r="A1430">
        <v>1429</v>
      </c>
      <c r="B1430" t="s">
        <v>73</v>
      </c>
      <c r="C1430">
        <v>141</v>
      </c>
      <c r="D1430" t="s">
        <v>28</v>
      </c>
      <c r="E1430" t="s">
        <v>22</v>
      </c>
      <c r="F1430" t="s">
        <v>22</v>
      </c>
      <c r="G1430">
        <v>0</v>
      </c>
      <c r="H1430">
        <v>215.6</v>
      </c>
      <c r="I1430">
        <v>113</v>
      </c>
      <c r="J1430">
        <v>36.65</v>
      </c>
      <c r="K1430">
        <v>200.6</v>
      </c>
      <c r="L1430">
        <v>81</v>
      </c>
      <c r="M1430">
        <v>17.05</v>
      </c>
      <c r="N1430">
        <v>153.80000000000001</v>
      </c>
      <c r="O1430">
        <v>107</v>
      </c>
      <c r="P1430">
        <v>6.92</v>
      </c>
      <c r="Q1430">
        <v>12.4</v>
      </c>
      <c r="R1430">
        <v>6</v>
      </c>
      <c r="S1430">
        <v>3.35</v>
      </c>
      <c r="T1430">
        <v>1</v>
      </c>
      <c r="U1430" t="s">
        <v>22</v>
      </c>
      <c r="V1430" t="e">
        <f>IF(#REF! = "yes", 1, 0)</f>
        <v>#REF!</v>
      </c>
      <c r="W1430" t="e">
        <f>IF(#REF! &lt;= 1, "0-1 Calls", IF(#REF! &lt;= 3, "2-3 Calls", IF(#REF! &lt;=5, "4-5 Calls", "6+ Calls")))</f>
        <v>#REF!</v>
      </c>
      <c r="X1430" t="e">
        <f>IF(#REF! &lt;= 50, "0-50", IF(#REF! &lt;=100, "51-100", IF(#REF! &lt;= 150, "101-150", "151+")))</f>
        <v>#REF!</v>
      </c>
      <c r="Y1430" t="e">
        <f>IF(#REF! &lt;= 3, "Low Charges", "High Charges")</f>
        <v>#REF!</v>
      </c>
      <c r="Z1430" t="e">
        <f>IF(#REF!&lt;=80,"Low Calls",
IF(#REF!&lt;=120,"Medium Calls","High Calls"))</f>
        <v>#REF!</v>
      </c>
      <c r="AA1430" t="e">
        <f>IF(#REF!&lt;=15,"Low Charges",
IF(#REF!&lt;=20,"Medium Charges","High Charges"))</f>
        <v>#REF!</v>
      </c>
      <c r="AB1430" t="e">
        <f>IF(AND(#REF!&gt;180, #REF!&gt;200), "Heavy Doemstic User", IF(#REF!&gt;10, "Interntional User", IF(AND(#REF!&lt;180, #REF!&lt;200,#REF!&lt;200), "Light User", "Balanced User")))</f>
        <v>#REF!</v>
      </c>
      <c r="AC1430" t="e">
        <f>IF(#REF! = 0, "No Usage", IF(#REF! &lt;= 20, "Low Usage", IF(#REF! &lt;= 40, "Medium Usgae", "High Usage")))</f>
        <v>#REF!</v>
      </c>
      <c r="AD1430" t="e">
        <f>IF(#REF!&lt;=150,"Low Usage", IF(#REF!&lt;=200,"Medium Usage", IF(#REF!&lt;=250,"High Usage","Very High Usage")))</f>
        <v>#REF!</v>
      </c>
      <c r="AE1430" t="e">
        <f>IF(#REF!&lt;=5,"Low Calls", IF(#REF!&lt;=10, "Medium Calls", "High Calls"))</f>
        <v>#REF!</v>
      </c>
      <c r="AF1430" t="e">
        <f xml:space="preserve">
IF(#REF!&gt;=4,4,0)+
IF(#REF!="yes",3,0)+
IF(#REF!="High Charges",3,0)+
IF(#REF!&gt;250,4,0)+
IF(#REF!="no",1,0)+
IF(#REF!="Heavy Domestic User",2,0)</f>
        <v>#REF!</v>
      </c>
      <c r="AG1430" t="e">
        <f>IF(#REF!&gt;=10,"High Risk", IF(#REF!&gt;=5,"Medium Risk","Low Risk"))</f>
        <v>#REF!</v>
      </c>
      <c r="AH1430" t="e">
        <f>#REF! + #REF! + #REF! + #REF!</f>
        <v>#REF!</v>
      </c>
    </row>
    <row r="1431" spans="1:34" x14ac:dyDescent="0.35">
      <c r="A1431">
        <v>1430</v>
      </c>
      <c r="B1431" t="s">
        <v>61</v>
      </c>
      <c r="C1431">
        <v>132</v>
      </c>
      <c r="D1431" t="s">
        <v>25</v>
      </c>
      <c r="E1431" t="s">
        <v>22</v>
      </c>
      <c r="F1431" t="s">
        <v>22</v>
      </c>
      <c r="G1431">
        <v>0</v>
      </c>
      <c r="H1431">
        <v>169.9</v>
      </c>
      <c r="I1431">
        <v>107</v>
      </c>
      <c r="J1431">
        <v>28.88</v>
      </c>
      <c r="K1431">
        <v>209.4</v>
      </c>
      <c r="L1431">
        <v>121</v>
      </c>
      <c r="M1431">
        <v>17.8</v>
      </c>
      <c r="N1431">
        <v>206.1</v>
      </c>
      <c r="O1431">
        <v>79</v>
      </c>
      <c r="P1431">
        <v>9.27</v>
      </c>
      <c r="Q1431">
        <v>11.5</v>
      </c>
      <c r="R1431">
        <v>2</v>
      </c>
      <c r="S1431">
        <v>3.11</v>
      </c>
      <c r="T1431">
        <v>1</v>
      </c>
      <c r="U1431" t="s">
        <v>22</v>
      </c>
      <c r="V1431" t="e">
        <f>IF(#REF! = "yes", 1, 0)</f>
        <v>#REF!</v>
      </c>
      <c r="W1431" t="e">
        <f>IF(#REF! &lt;= 1, "0-1 Calls", IF(#REF! &lt;= 3, "2-3 Calls", IF(#REF! &lt;=5, "4-5 Calls", "6+ Calls")))</f>
        <v>#REF!</v>
      </c>
      <c r="X1431" t="e">
        <f>IF(#REF! &lt;= 50, "0-50", IF(#REF! &lt;=100, "51-100", IF(#REF! &lt;= 150, "101-150", "151+")))</f>
        <v>#REF!</v>
      </c>
      <c r="Y1431" t="e">
        <f>IF(#REF! &lt;= 3, "Low Charges", "High Charges")</f>
        <v>#REF!</v>
      </c>
      <c r="Z1431" t="e">
        <f>IF(#REF!&lt;=80,"Low Calls",
IF(#REF!&lt;=120,"Medium Calls","High Calls"))</f>
        <v>#REF!</v>
      </c>
      <c r="AA1431" t="e">
        <f>IF(#REF!&lt;=15,"Low Charges",
IF(#REF!&lt;=20,"Medium Charges","High Charges"))</f>
        <v>#REF!</v>
      </c>
      <c r="AB1431" t="e">
        <f>IF(AND(#REF!&gt;180, #REF!&gt;200), "Heavy Doemstic User", IF(#REF!&gt;10, "Interntional User", IF(AND(#REF!&lt;180, #REF!&lt;200,#REF!&lt;200), "Light User", "Balanced User")))</f>
        <v>#REF!</v>
      </c>
      <c r="AC1431" t="e">
        <f>IF(#REF! = 0, "No Usage", IF(#REF! &lt;= 20, "Low Usage", IF(#REF! &lt;= 40, "Medium Usgae", "High Usage")))</f>
        <v>#REF!</v>
      </c>
      <c r="AD1431" t="e">
        <f>IF(#REF!&lt;=150,"Low Usage", IF(#REF!&lt;=200,"Medium Usage", IF(#REF!&lt;=250,"High Usage","Very High Usage")))</f>
        <v>#REF!</v>
      </c>
      <c r="AE1431" t="e">
        <f>IF(#REF!&lt;=5,"Low Calls", IF(#REF!&lt;=10, "Medium Calls", "High Calls"))</f>
        <v>#REF!</v>
      </c>
      <c r="AF1431" t="e">
        <f xml:space="preserve">
IF(#REF!&gt;=4,4,0)+
IF(#REF!="yes",3,0)+
IF(#REF!="High Charges",3,0)+
IF(#REF!&gt;250,4,0)+
IF(#REF!="no",1,0)+
IF(#REF!="Heavy Domestic User",2,0)</f>
        <v>#REF!</v>
      </c>
      <c r="AG1431" t="e">
        <f>IF(#REF!&gt;=10,"High Risk", IF(#REF!&gt;=5,"Medium Risk","Low Risk"))</f>
        <v>#REF!</v>
      </c>
      <c r="AH1431" t="e">
        <f>#REF! + #REF! + #REF! + #REF!</f>
        <v>#REF!</v>
      </c>
    </row>
    <row r="1432" spans="1:34" x14ac:dyDescent="0.35">
      <c r="A1432">
        <v>1431</v>
      </c>
      <c r="B1432" t="s">
        <v>40</v>
      </c>
      <c r="C1432">
        <v>133</v>
      </c>
      <c r="D1432" t="s">
        <v>28</v>
      </c>
      <c r="E1432" t="s">
        <v>22</v>
      </c>
      <c r="F1432" t="s">
        <v>22</v>
      </c>
      <c r="G1432">
        <v>0</v>
      </c>
      <c r="H1432">
        <v>201.7</v>
      </c>
      <c r="I1432">
        <v>85</v>
      </c>
      <c r="J1432">
        <v>34.29</v>
      </c>
      <c r="K1432">
        <v>169.4</v>
      </c>
      <c r="L1432">
        <v>116</v>
      </c>
      <c r="M1432">
        <v>14.4</v>
      </c>
      <c r="N1432">
        <v>286.3</v>
      </c>
      <c r="O1432">
        <v>80</v>
      </c>
      <c r="P1432">
        <v>12.88</v>
      </c>
      <c r="Q1432">
        <v>6</v>
      </c>
      <c r="R1432">
        <v>4</v>
      </c>
      <c r="S1432">
        <v>1.62</v>
      </c>
      <c r="T1432">
        <v>0</v>
      </c>
      <c r="U1432" t="s">
        <v>22</v>
      </c>
      <c r="V1432" t="e">
        <f>IF(#REF! = "yes", 1, 0)</f>
        <v>#REF!</v>
      </c>
      <c r="W1432" t="e">
        <f>IF(#REF! &lt;= 1, "0-1 Calls", IF(#REF! &lt;= 3, "2-3 Calls", IF(#REF! &lt;=5, "4-5 Calls", "6+ Calls")))</f>
        <v>#REF!</v>
      </c>
      <c r="X1432" t="e">
        <f>IF(#REF! &lt;= 50, "0-50", IF(#REF! &lt;=100, "51-100", IF(#REF! &lt;= 150, "101-150", "151+")))</f>
        <v>#REF!</v>
      </c>
      <c r="Y1432" t="e">
        <f>IF(#REF! &lt;= 3, "Low Charges", "High Charges")</f>
        <v>#REF!</v>
      </c>
      <c r="Z1432" t="e">
        <f>IF(#REF!&lt;=80,"Low Calls",
IF(#REF!&lt;=120,"Medium Calls","High Calls"))</f>
        <v>#REF!</v>
      </c>
      <c r="AA1432" t="e">
        <f>IF(#REF!&lt;=15,"Low Charges",
IF(#REF!&lt;=20,"Medium Charges","High Charges"))</f>
        <v>#REF!</v>
      </c>
      <c r="AB1432" t="e">
        <f>IF(AND(#REF!&gt;180, #REF!&gt;200), "Heavy Doemstic User", IF(#REF!&gt;10, "Interntional User", IF(AND(#REF!&lt;180, #REF!&lt;200,#REF!&lt;200), "Light User", "Balanced User")))</f>
        <v>#REF!</v>
      </c>
      <c r="AC1432" t="e">
        <f>IF(#REF! = 0, "No Usage", IF(#REF! &lt;= 20, "Low Usage", IF(#REF! &lt;= 40, "Medium Usgae", "High Usage")))</f>
        <v>#REF!</v>
      </c>
      <c r="AD1432" t="e">
        <f>IF(#REF!&lt;=150,"Low Usage", IF(#REF!&lt;=200,"Medium Usage", IF(#REF!&lt;=250,"High Usage","Very High Usage")))</f>
        <v>#REF!</v>
      </c>
      <c r="AE1432" t="e">
        <f>IF(#REF!&lt;=5,"Low Calls", IF(#REF!&lt;=10, "Medium Calls", "High Calls"))</f>
        <v>#REF!</v>
      </c>
      <c r="AF1432" t="e">
        <f xml:space="preserve">
IF(#REF!&gt;=4,4,0)+
IF(#REF!="yes",3,0)+
IF(#REF!="High Charges",3,0)+
IF(#REF!&gt;250,4,0)+
IF(#REF!="no",1,0)+
IF(#REF!="Heavy Domestic User",2,0)</f>
        <v>#REF!</v>
      </c>
      <c r="AG1432" t="e">
        <f>IF(#REF!&gt;=10,"High Risk", IF(#REF!&gt;=5,"Medium Risk","Low Risk"))</f>
        <v>#REF!</v>
      </c>
      <c r="AH1432" t="e">
        <f>#REF! + #REF! + #REF! + #REF!</f>
        <v>#REF!</v>
      </c>
    </row>
    <row r="1433" spans="1:34" x14ac:dyDescent="0.35">
      <c r="A1433">
        <v>1432</v>
      </c>
      <c r="B1433" t="s">
        <v>39</v>
      </c>
      <c r="C1433">
        <v>133</v>
      </c>
      <c r="D1433" t="s">
        <v>25</v>
      </c>
      <c r="E1433" t="s">
        <v>22</v>
      </c>
      <c r="F1433" t="s">
        <v>22</v>
      </c>
      <c r="G1433">
        <v>0</v>
      </c>
      <c r="H1433">
        <v>221.1</v>
      </c>
      <c r="I1433">
        <v>133</v>
      </c>
      <c r="J1433">
        <v>37.590000000000003</v>
      </c>
      <c r="K1433">
        <v>160.19999999999999</v>
      </c>
      <c r="L1433">
        <v>140</v>
      </c>
      <c r="M1433">
        <v>13.62</v>
      </c>
      <c r="N1433">
        <v>161.80000000000001</v>
      </c>
      <c r="O1433">
        <v>84</v>
      </c>
      <c r="P1433">
        <v>7.28</v>
      </c>
      <c r="Q1433">
        <v>8.4</v>
      </c>
      <c r="R1433">
        <v>3</v>
      </c>
      <c r="S1433">
        <v>2.27</v>
      </c>
      <c r="T1433">
        <v>4</v>
      </c>
      <c r="U1433" t="s">
        <v>22</v>
      </c>
      <c r="V1433" t="e">
        <f>IF(#REF! = "yes", 1, 0)</f>
        <v>#REF!</v>
      </c>
      <c r="W1433" t="e">
        <f>IF(#REF! &lt;= 1, "0-1 Calls", IF(#REF! &lt;= 3, "2-3 Calls", IF(#REF! &lt;=5, "4-5 Calls", "6+ Calls")))</f>
        <v>#REF!</v>
      </c>
      <c r="X1433" t="e">
        <f>IF(#REF! &lt;= 50, "0-50", IF(#REF! &lt;=100, "51-100", IF(#REF! &lt;= 150, "101-150", "151+")))</f>
        <v>#REF!</v>
      </c>
      <c r="Y1433" t="e">
        <f>IF(#REF! &lt;= 3, "Low Charges", "High Charges")</f>
        <v>#REF!</v>
      </c>
      <c r="Z1433" t="e">
        <f>IF(#REF!&lt;=80,"Low Calls",
IF(#REF!&lt;=120,"Medium Calls","High Calls"))</f>
        <v>#REF!</v>
      </c>
      <c r="AA1433" t="e">
        <f>IF(#REF!&lt;=15,"Low Charges",
IF(#REF!&lt;=20,"Medium Charges","High Charges"))</f>
        <v>#REF!</v>
      </c>
      <c r="AB1433" t="e">
        <f>IF(AND(#REF!&gt;180, #REF!&gt;200), "Heavy Doemstic User", IF(#REF!&gt;10, "Interntional User", IF(AND(#REF!&lt;180, #REF!&lt;200,#REF!&lt;200), "Light User", "Balanced User")))</f>
        <v>#REF!</v>
      </c>
      <c r="AC1433" t="e">
        <f>IF(#REF! = 0, "No Usage", IF(#REF! &lt;= 20, "Low Usage", IF(#REF! &lt;= 40, "Medium Usgae", "High Usage")))</f>
        <v>#REF!</v>
      </c>
      <c r="AD1433" t="e">
        <f>IF(#REF!&lt;=150,"Low Usage", IF(#REF!&lt;=200,"Medium Usage", IF(#REF!&lt;=250,"High Usage","Very High Usage")))</f>
        <v>#REF!</v>
      </c>
      <c r="AE1433" t="e">
        <f>IF(#REF!&lt;=5,"Low Calls", IF(#REF!&lt;=10, "Medium Calls", "High Calls"))</f>
        <v>#REF!</v>
      </c>
      <c r="AF1433" t="e">
        <f xml:space="preserve">
IF(#REF!&gt;=4,4,0)+
IF(#REF!="yes",3,0)+
IF(#REF!="High Charges",3,0)+
IF(#REF!&gt;250,4,0)+
IF(#REF!="no",1,0)+
IF(#REF!="Heavy Domestic User",2,0)</f>
        <v>#REF!</v>
      </c>
      <c r="AG1433" t="e">
        <f>IF(#REF!&gt;=10,"High Risk", IF(#REF!&gt;=5,"Medium Risk","Low Risk"))</f>
        <v>#REF!</v>
      </c>
      <c r="AH1433" t="e">
        <f>#REF! + #REF! + #REF! + #REF!</f>
        <v>#REF!</v>
      </c>
    </row>
    <row r="1434" spans="1:34" x14ac:dyDescent="0.35">
      <c r="A1434">
        <v>1433</v>
      </c>
      <c r="B1434" t="s">
        <v>64</v>
      </c>
      <c r="C1434">
        <v>93</v>
      </c>
      <c r="D1434" t="s">
        <v>28</v>
      </c>
      <c r="E1434" t="s">
        <v>22</v>
      </c>
      <c r="F1434" t="s">
        <v>23</v>
      </c>
      <c r="G1434">
        <v>32</v>
      </c>
      <c r="H1434">
        <v>218.7</v>
      </c>
      <c r="I1434">
        <v>117</v>
      </c>
      <c r="J1434">
        <v>37.18</v>
      </c>
      <c r="K1434">
        <v>115</v>
      </c>
      <c r="L1434">
        <v>61</v>
      </c>
      <c r="M1434">
        <v>9.7799999999999994</v>
      </c>
      <c r="N1434">
        <v>192.7</v>
      </c>
      <c r="O1434">
        <v>85</v>
      </c>
      <c r="P1434">
        <v>8.67</v>
      </c>
      <c r="Q1434">
        <v>9.4</v>
      </c>
      <c r="R1434">
        <v>5</v>
      </c>
      <c r="S1434">
        <v>2.54</v>
      </c>
      <c r="T1434">
        <v>2</v>
      </c>
      <c r="U1434" t="s">
        <v>22</v>
      </c>
      <c r="V1434" t="e">
        <f>IF(#REF! = "yes", 1, 0)</f>
        <v>#REF!</v>
      </c>
      <c r="W1434" t="e">
        <f>IF(#REF! &lt;= 1, "0-1 Calls", IF(#REF! &lt;= 3, "2-3 Calls", IF(#REF! &lt;=5, "4-5 Calls", "6+ Calls")))</f>
        <v>#REF!</v>
      </c>
      <c r="X1434" t="e">
        <f>IF(#REF! &lt;= 50, "0-50", IF(#REF! &lt;=100, "51-100", IF(#REF! &lt;= 150, "101-150", "151+")))</f>
        <v>#REF!</v>
      </c>
      <c r="Y1434" t="e">
        <f>IF(#REF! &lt;= 3, "Low Charges", "High Charges")</f>
        <v>#REF!</v>
      </c>
      <c r="Z1434" t="e">
        <f>IF(#REF!&lt;=80,"Low Calls",
IF(#REF!&lt;=120,"Medium Calls","High Calls"))</f>
        <v>#REF!</v>
      </c>
      <c r="AA1434" t="e">
        <f>IF(#REF!&lt;=15,"Low Charges",
IF(#REF!&lt;=20,"Medium Charges","High Charges"))</f>
        <v>#REF!</v>
      </c>
      <c r="AB1434" t="e">
        <f>IF(AND(#REF!&gt;180, #REF!&gt;200), "Heavy Doemstic User", IF(#REF!&gt;10, "Interntional User", IF(AND(#REF!&lt;180, #REF!&lt;200,#REF!&lt;200), "Light User", "Balanced User")))</f>
        <v>#REF!</v>
      </c>
      <c r="AC1434" t="e">
        <f>IF(#REF! = 0, "No Usage", IF(#REF! &lt;= 20, "Low Usage", IF(#REF! &lt;= 40, "Medium Usgae", "High Usage")))</f>
        <v>#REF!</v>
      </c>
      <c r="AD1434" t="e">
        <f>IF(#REF!&lt;=150,"Low Usage", IF(#REF!&lt;=200,"Medium Usage", IF(#REF!&lt;=250,"High Usage","Very High Usage")))</f>
        <v>#REF!</v>
      </c>
      <c r="AE1434" t="e">
        <f>IF(#REF!&lt;=5,"Low Calls", IF(#REF!&lt;=10, "Medium Calls", "High Calls"))</f>
        <v>#REF!</v>
      </c>
      <c r="AF1434" t="e">
        <f xml:space="preserve">
IF(#REF!&gt;=4,4,0)+
IF(#REF!="yes",3,0)+
IF(#REF!="High Charges",3,0)+
IF(#REF!&gt;250,4,0)+
IF(#REF!="no",1,0)+
IF(#REF!="Heavy Domestic User",2,0)</f>
        <v>#REF!</v>
      </c>
      <c r="AG1434" t="e">
        <f>IF(#REF!&gt;=10,"High Risk", IF(#REF!&gt;=5,"Medium Risk","Low Risk"))</f>
        <v>#REF!</v>
      </c>
      <c r="AH1434" t="e">
        <f>#REF! + #REF! + #REF! + #REF!</f>
        <v>#REF!</v>
      </c>
    </row>
    <row r="1435" spans="1:34" x14ac:dyDescent="0.35">
      <c r="A1435">
        <v>1434</v>
      </c>
      <c r="B1435" t="s">
        <v>27</v>
      </c>
      <c r="C1435">
        <v>34</v>
      </c>
      <c r="D1435" t="s">
        <v>21</v>
      </c>
      <c r="E1435" t="s">
        <v>22</v>
      </c>
      <c r="F1435" t="s">
        <v>22</v>
      </c>
      <c r="G1435">
        <v>0</v>
      </c>
      <c r="H1435">
        <v>293.7</v>
      </c>
      <c r="I1435">
        <v>89</v>
      </c>
      <c r="J1435">
        <v>49.93</v>
      </c>
      <c r="K1435">
        <v>272.5</v>
      </c>
      <c r="L1435">
        <v>71</v>
      </c>
      <c r="M1435">
        <v>23.16</v>
      </c>
      <c r="N1435">
        <v>178.2</v>
      </c>
      <c r="O1435">
        <v>76</v>
      </c>
      <c r="P1435">
        <v>8.02</v>
      </c>
      <c r="Q1435">
        <v>11</v>
      </c>
      <c r="R1435">
        <v>10</v>
      </c>
      <c r="S1435">
        <v>2.97</v>
      </c>
      <c r="T1435">
        <v>2</v>
      </c>
      <c r="U1435" t="s">
        <v>23</v>
      </c>
      <c r="V1435" t="e">
        <f>IF(#REF! = "yes", 1, 0)</f>
        <v>#REF!</v>
      </c>
      <c r="W1435" t="e">
        <f>IF(#REF! &lt;= 1, "0-1 Calls", IF(#REF! &lt;= 3, "2-3 Calls", IF(#REF! &lt;=5, "4-5 Calls", "6+ Calls")))</f>
        <v>#REF!</v>
      </c>
      <c r="X1435" t="e">
        <f>IF(#REF! &lt;= 50, "0-50", IF(#REF! &lt;=100, "51-100", IF(#REF! &lt;= 150, "101-150", "151+")))</f>
        <v>#REF!</v>
      </c>
      <c r="Y1435" t="e">
        <f>IF(#REF! &lt;= 3, "Low Charges", "High Charges")</f>
        <v>#REF!</v>
      </c>
      <c r="Z1435" t="e">
        <f>IF(#REF!&lt;=80,"Low Calls",
IF(#REF!&lt;=120,"Medium Calls","High Calls"))</f>
        <v>#REF!</v>
      </c>
      <c r="AA1435" t="e">
        <f>IF(#REF!&lt;=15,"Low Charges",
IF(#REF!&lt;=20,"Medium Charges","High Charges"))</f>
        <v>#REF!</v>
      </c>
      <c r="AB1435" t="e">
        <f>IF(AND(#REF!&gt;180, #REF!&gt;200), "Heavy Doemstic User", IF(#REF!&gt;10, "Interntional User", IF(AND(#REF!&lt;180, #REF!&lt;200,#REF!&lt;200), "Light User", "Balanced User")))</f>
        <v>#REF!</v>
      </c>
      <c r="AC1435" t="e">
        <f>IF(#REF! = 0, "No Usage", IF(#REF! &lt;= 20, "Low Usage", IF(#REF! &lt;= 40, "Medium Usgae", "High Usage")))</f>
        <v>#REF!</v>
      </c>
      <c r="AD1435" t="e">
        <f>IF(#REF!&lt;=150,"Low Usage", IF(#REF!&lt;=200,"Medium Usage", IF(#REF!&lt;=250,"High Usage","Very High Usage")))</f>
        <v>#REF!</v>
      </c>
      <c r="AE1435" t="e">
        <f>IF(#REF!&lt;=5,"Low Calls", IF(#REF!&lt;=10, "Medium Calls", "High Calls"))</f>
        <v>#REF!</v>
      </c>
      <c r="AF1435" t="e">
        <f xml:space="preserve">
IF(#REF!&gt;=4,4,0)+
IF(#REF!="yes",3,0)+
IF(#REF!="High Charges",3,0)+
IF(#REF!&gt;250,4,0)+
IF(#REF!="no",1,0)+
IF(#REF!="Heavy Domestic User",2,0)</f>
        <v>#REF!</v>
      </c>
      <c r="AG1435" t="e">
        <f>IF(#REF!&gt;=10,"High Risk", IF(#REF!&gt;=5,"Medium Risk","Low Risk"))</f>
        <v>#REF!</v>
      </c>
      <c r="AH1435" t="e">
        <f>#REF! + #REF! + #REF! + #REF!</f>
        <v>#REF!</v>
      </c>
    </row>
    <row r="1436" spans="1:34" x14ac:dyDescent="0.35">
      <c r="A1436">
        <v>1435</v>
      </c>
      <c r="B1436" t="s">
        <v>54</v>
      </c>
      <c r="C1436">
        <v>96</v>
      </c>
      <c r="D1436" t="s">
        <v>21</v>
      </c>
      <c r="E1436" t="s">
        <v>22</v>
      </c>
      <c r="F1436" t="s">
        <v>23</v>
      </c>
      <c r="G1436">
        <v>26</v>
      </c>
      <c r="H1436">
        <v>175.8</v>
      </c>
      <c r="I1436">
        <v>96</v>
      </c>
      <c r="J1436">
        <v>29.89</v>
      </c>
      <c r="K1436">
        <v>206.6</v>
      </c>
      <c r="L1436">
        <v>84</v>
      </c>
      <c r="M1436">
        <v>17.559999999999999</v>
      </c>
      <c r="N1436">
        <v>178</v>
      </c>
      <c r="O1436">
        <v>105</v>
      </c>
      <c r="P1436">
        <v>8.01</v>
      </c>
      <c r="Q1436">
        <v>11.1</v>
      </c>
      <c r="R1436">
        <v>2</v>
      </c>
      <c r="S1436">
        <v>3</v>
      </c>
      <c r="T1436">
        <v>2</v>
      </c>
      <c r="U1436" t="s">
        <v>22</v>
      </c>
      <c r="V1436" t="e">
        <f>IF(#REF! = "yes", 1, 0)</f>
        <v>#REF!</v>
      </c>
      <c r="W1436" t="e">
        <f>IF(#REF! &lt;= 1, "0-1 Calls", IF(#REF! &lt;= 3, "2-3 Calls", IF(#REF! &lt;=5, "4-5 Calls", "6+ Calls")))</f>
        <v>#REF!</v>
      </c>
      <c r="X1436" t="e">
        <f>IF(#REF! &lt;= 50, "0-50", IF(#REF! &lt;=100, "51-100", IF(#REF! &lt;= 150, "101-150", "151+")))</f>
        <v>#REF!</v>
      </c>
      <c r="Y1436" t="e">
        <f>IF(#REF! &lt;= 3, "Low Charges", "High Charges")</f>
        <v>#REF!</v>
      </c>
      <c r="Z1436" t="e">
        <f>IF(#REF!&lt;=80,"Low Calls",
IF(#REF!&lt;=120,"Medium Calls","High Calls"))</f>
        <v>#REF!</v>
      </c>
      <c r="AA1436" t="e">
        <f>IF(#REF!&lt;=15,"Low Charges",
IF(#REF!&lt;=20,"Medium Charges","High Charges"))</f>
        <v>#REF!</v>
      </c>
      <c r="AB1436" t="e">
        <f>IF(AND(#REF!&gt;180, #REF!&gt;200), "Heavy Doemstic User", IF(#REF!&gt;10, "Interntional User", IF(AND(#REF!&lt;180, #REF!&lt;200,#REF!&lt;200), "Light User", "Balanced User")))</f>
        <v>#REF!</v>
      </c>
      <c r="AC1436" t="e">
        <f>IF(#REF! = 0, "No Usage", IF(#REF! &lt;= 20, "Low Usage", IF(#REF! &lt;= 40, "Medium Usgae", "High Usage")))</f>
        <v>#REF!</v>
      </c>
      <c r="AD1436" t="e">
        <f>IF(#REF!&lt;=150,"Low Usage", IF(#REF!&lt;=200,"Medium Usage", IF(#REF!&lt;=250,"High Usage","Very High Usage")))</f>
        <v>#REF!</v>
      </c>
      <c r="AE1436" t="e">
        <f>IF(#REF!&lt;=5,"Low Calls", IF(#REF!&lt;=10, "Medium Calls", "High Calls"))</f>
        <v>#REF!</v>
      </c>
      <c r="AF1436" t="e">
        <f xml:space="preserve">
IF(#REF!&gt;=4,4,0)+
IF(#REF!="yes",3,0)+
IF(#REF!="High Charges",3,0)+
IF(#REF!&gt;250,4,0)+
IF(#REF!="no",1,0)+
IF(#REF!="Heavy Domestic User",2,0)</f>
        <v>#REF!</v>
      </c>
      <c r="AG1436" t="e">
        <f>IF(#REF!&gt;=10,"High Risk", IF(#REF!&gt;=5,"Medium Risk","Low Risk"))</f>
        <v>#REF!</v>
      </c>
      <c r="AH1436" t="e">
        <f>#REF! + #REF! + #REF! + #REF!</f>
        <v>#REF!</v>
      </c>
    </row>
    <row r="1437" spans="1:34" x14ac:dyDescent="0.35">
      <c r="A1437">
        <v>1436</v>
      </c>
      <c r="B1437" t="s">
        <v>40</v>
      </c>
      <c r="C1437">
        <v>144</v>
      </c>
      <c r="D1437" t="s">
        <v>28</v>
      </c>
      <c r="E1437" t="s">
        <v>22</v>
      </c>
      <c r="F1437" t="s">
        <v>22</v>
      </c>
      <c r="G1437">
        <v>0</v>
      </c>
      <c r="H1437">
        <v>278.5</v>
      </c>
      <c r="I1437">
        <v>95</v>
      </c>
      <c r="J1437">
        <v>47.35</v>
      </c>
      <c r="K1437">
        <v>240.7</v>
      </c>
      <c r="L1437">
        <v>90</v>
      </c>
      <c r="M1437">
        <v>20.46</v>
      </c>
      <c r="N1437">
        <v>120</v>
      </c>
      <c r="O1437">
        <v>90</v>
      </c>
      <c r="P1437">
        <v>5.4</v>
      </c>
      <c r="Q1437">
        <v>11.6</v>
      </c>
      <c r="R1437">
        <v>5</v>
      </c>
      <c r="S1437">
        <v>3.13</v>
      </c>
      <c r="T1437">
        <v>1</v>
      </c>
      <c r="U1437" t="s">
        <v>23</v>
      </c>
      <c r="V1437" t="e">
        <f>IF(#REF! = "yes", 1, 0)</f>
        <v>#REF!</v>
      </c>
      <c r="W1437" t="e">
        <f>IF(#REF! &lt;= 1, "0-1 Calls", IF(#REF! &lt;= 3, "2-3 Calls", IF(#REF! &lt;=5, "4-5 Calls", "6+ Calls")))</f>
        <v>#REF!</v>
      </c>
      <c r="X1437" t="e">
        <f>IF(#REF! &lt;= 50, "0-50", IF(#REF! &lt;=100, "51-100", IF(#REF! &lt;= 150, "101-150", "151+")))</f>
        <v>#REF!</v>
      </c>
      <c r="Y1437" t="e">
        <f>IF(#REF! &lt;= 3, "Low Charges", "High Charges")</f>
        <v>#REF!</v>
      </c>
      <c r="Z1437" t="e">
        <f>IF(#REF!&lt;=80,"Low Calls",
IF(#REF!&lt;=120,"Medium Calls","High Calls"))</f>
        <v>#REF!</v>
      </c>
      <c r="AA1437" t="e">
        <f>IF(#REF!&lt;=15,"Low Charges",
IF(#REF!&lt;=20,"Medium Charges","High Charges"))</f>
        <v>#REF!</v>
      </c>
      <c r="AB1437" t="e">
        <f>IF(AND(#REF!&gt;180, #REF!&gt;200), "Heavy Doemstic User", IF(#REF!&gt;10, "Interntional User", IF(AND(#REF!&lt;180, #REF!&lt;200,#REF!&lt;200), "Light User", "Balanced User")))</f>
        <v>#REF!</v>
      </c>
      <c r="AC1437" t="e">
        <f>IF(#REF! = 0, "No Usage", IF(#REF! &lt;= 20, "Low Usage", IF(#REF! &lt;= 40, "Medium Usgae", "High Usage")))</f>
        <v>#REF!</v>
      </c>
      <c r="AD1437" t="e">
        <f>IF(#REF!&lt;=150,"Low Usage", IF(#REF!&lt;=200,"Medium Usage", IF(#REF!&lt;=250,"High Usage","Very High Usage")))</f>
        <v>#REF!</v>
      </c>
      <c r="AE1437" t="e">
        <f>IF(#REF!&lt;=5,"Low Calls", IF(#REF!&lt;=10, "Medium Calls", "High Calls"))</f>
        <v>#REF!</v>
      </c>
      <c r="AF1437" t="e">
        <f xml:space="preserve">
IF(#REF!&gt;=4,4,0)+
IF(#REF!="yes",3,0)+
IF(#REF!="High Charges",3,0)+
IF(#REF!&gt;250,4,0)+
IF(#REF!="no",1,0)+
IF(#REF!="Heavy Domestic User",2,0)</f>
        <v>#REF!</v>
      </c>
      <c r="AG1437" t="e">
        <f>IF(#REF!&gt;=10,"High Risk", IF(#REF!&gt;=5,"Medium Risk","Low Risk"))</f>
        <v>#REF!</v>
      </c>
      <c r="AH1437" t="e">
        <f>#REF! + #REF! + #REF! + #REF!</f>
        <v>#REF!</v>
      </c>
    </row>
    <row r="1438" spans="1:34" x14ac:dyDescent="0.35">
      <c r="A1438">
        <v>1437</v>
      </c>
      <c r="B1438" t="s">
        <v>37</v>
      </c>
      <c r="C1438">
        <v>24</v>
      </c>
      <c r="D1438" t="s">
        <v>25</v>
      </c>
      <c r="E1438" t="s">
        <v>22</v>
      </c>
      <c r="F1438" t="s">
        <v>23</v>
      </c>
      <c r="G1438">
        <v>29</v>
      </c>
      <c r="H1438">
        <v>236.3</v>
      </c>
      <c r="I1438">
        <v>105</v>
      </c>
      <c r="J1438">
        <v>40.17</v>
      </c>
      <c r="K1438">
        <v>190.8</v>
      </c>
      <c r="L1438">
        <v>114</v>
      </c>
      <c r="M1438">
        <v>16.22</v>
      </c>
      <c r="N1438">
        <v>129</v>
      </c>
      <c r="O1438">
        <v>105</v>
      </c>
      <c r="P1438">
        <v>5.81</v>
      </c>
      <c r="Q1438">
        <v>7.2</v>
      </c>
      <c r="R1438">
        <v>2</v>
      </c>
      <c r="S1438">
        <v>1.94</v>
      </c>
      <c r="T1438">
        <v>3</v>
      </c>
      <c r="U1438" t="s">
        <v>22</v>
      </c>
      <c r="V1438" t="e">
        <f>IF(#REF! = "yes", 1, 0)</f>
        <v>#REF!</v>
      </c>
      <c r="W1438" t="e">
        <f>IF(#REF! &lt;= 1, "0-1 Calls", IF(#REF! &lt;= 3, "2-3 Calls", IF(#REF! &lt;=5, "4-5 Calls", "6+ Calls")))</f>
        <v>#REF!</v>
      </c>
      <c r="X1438" t="e">
        <f>IF(#REF! &lt;= 50, "0-50", IF(#REF! &lt;=100, "51-100", IF(#REF! &lt;= 150, "101-150", "151+")))</f>
        <v>#REF!</v>
      </c>
      <c r="Y1438" t="e">
        <f>IF(#REF! &lt;= 3, "Low Charges", "High Charges")</f>
        <v>#REF!</v>
      </c>
      <c r="Z1438" t="e">
        <f>IF(#REF!&lt;=80,"Low Calls",
IF(#REF!&lt;=120,"Medium Calls","High Calls"))</f>
        <v>#REF!</v>
      </c>
      <c r="AA1438" t="e">
        <f>IF(#REF!&lt;=15,"Low Charges",
IF(#REF!&lt;=20,"Medium Charges","High Charges"))</f>
        <v>#REF!</v>
      </c>
      <c r="AB1438" t="e">
        <f>IF(AND(#REF!&gt;180, #REF!&gt;200), "Heavy Doemstic User", IF(#REF!&gt;10, "Interntional User", IF(AND(#REF!&lt;180, #REF!&lt;200,#REF!&lt;200), "Light User", "Balanced User")))</f>
        <v>#REF!</v>
      </c>
      <c r="AC1438" t="e">
        <f>IF(#REF! = 0, "No Usage", IF(#REF! &lt;= 20, "Low Usage", IF(#REF! &lt;= 40, "Medium Usgae", "High Usage")))</f>
        <v>#REF!</v>
      </c>
      <c r="AD1438" t="e">
        <f>IF(#REF!&lt;=150,"Low Usage", IF(#REF!&lt;=200,"Medium Usage", IF(#REF!&lt;=250,"High Usage","Very High Usage")))</f>
        <v>#REF!</v>
      </c>
      <c r="AE1438" t="e">
        <f>IF(#REF!&lt;=5,"Low Calls", IF(#REF!&lt;=10, "Medium Calls", "High Calls"))</f>
        <v>#REF!</v>
      </c>
      <c r="AF1438" t="e">
        <f xml:space="preserve">
IF(#REF!&gt;=4,4,0)+
IF(#REF!="yes",3,0)+
IF(#REF!="High Charges",3,0)+
IF(#REF!&gt;250,4,0)+
IF(#REF!="no",1,0)+
IF(#REF!="Heavy Domestic User",2,0)</f>
        <v>#REF!</v>
      </c>
      <c r="AG1438" t="e">
        <f>IF(#REF!&gt;=10,"High Risk", IF(#REF!&gt;=5,"Medium Risk","Low Risk"))</f>
        <v>#REF!</v>
      </c>
      <c r="AH1438" t="e">
        <f>#REF! + #REF! + #REF! + #REF!</f>
        <v>#REF!</v>
      </c>
    </row>
    <row r="1439" spans="1:34" x14ac:dyDescent="0.35">
      <c r="A1439">
        <v>1438</v>
      </c>
      <c r="B1439" t="s">
        <v>49</v>
      </c>
      <c r="C1439">
        <v>54</v>
      </c>
      <c r="D1439" t="s">
        <v>21</v>
      </c>
      <c r="E1439" t="s">
        <v>22</v>
      </c>
      <c r="F1439" t="s">
        <v>22</v>
      </c>
      <c r="G1439">
        <v>0</v>
      </c>
      <c r="H1439">
        <v>273.8</v>
      </c>
      <c r="I1439">
        <v>113</v>
      </c>
      <c r="J1439">
        <v>46.55</v>
      </c>
      <c r="K1439">
        <v>119.6</v>
      </c>
      <c r="L1439">
        <v>156</v>
      </c>
      <c r="M1439">
        <v>10.17</v>
      </c>
      <c r="N1439">
        <v>267.60000000000002</v>
      </c>
      <c r="O1439">
        <v>117</v>
      </c>
      <c r="P1439">
        <v>12.04</v>
      </c>
      <c r="Q1439">
        <v>11.7</v>
      </c>
      <c r="R1439">
        <v>3</v>
      </c>
      <c r="S1439">
        <v>3.16</v>
      </c>
      <c r="T1439">
        <v>1</v>
      </c>
      <c r="U1439" t="s">
        <v>22</v>
      </c>
      <c r="V1439" t="e">
        <f>IF(#REF! = "yes", 1, 0)</f>
        <v>#REF!</v>
      </c>
      <c r="W1439" t="e">
        <f>IF(#REF! &lt;= 1, "0-1 Calls", IF(#REF! &lt;= 3, "2-3 Calls", IF(#REF! &lt;=5, "4-5 Calls", "6+ Calls")))</f>
        <v>#REF!</v>
      </c>
      <c r="X1439" t="e">
        <f>IF(#REF! &lt;= 50, "0-50", IF(#REF! &lt;=100, "51-100", IF(#REF! &lt;= 150, "101-150", "151+")))</f>
        <v>#REF!</v>
      </c>
      <c r="Y1439" t="e">
        <f>IF(#REF! &lt;= 3, "Low Charges", "High Charges")</f>
        <v>#REF!</v>
      </c>
      <c r="Z1439" t="e">
        <f>IF(#REF!&lt;=80,"Low Calls",
IF(#REF!&lt;=120,"Medium Calls","High Calls"))</f>
        <v>#REF!</v>
      </c>
      <c r="AA1439" t="e">
        <f>IF(#REF!&lt;=15,"Low Charges",
IF(#REF!&lt;=20,"Medium Charges","High Charges"))</f>
        <v>#REF!</v>
      </c>
      <c r="AB1439" t="e">
        <f>IF(AND(#REF!&gt;180, #REF!&gt;200), "Heavy Doemstic User", IF(#REF!&gt;10, "Interntional User", IF(AND(#REF!&lt;180, #REF!&lt;200,#REF!&lt;200), "Light User", "Balanced User")))</f>
        <v>#REF!</v>
      </c>
      <c r="AC1439" t="e">
        <f>IF(#REF! = 0, "No Usage", IF(#REF! &lt;= 20, "Low Usage", IF(#REF! &lt;= 40, "Medium Usgae", "High Usage")))</f>
        <v>#REF!</v>
      </c>
      <c r="AD1439" t="e">
        <f>IF(#REF!&lt;=150,"Low Usage", IF(#REF!&lt;=200,"Medium Usage", IF(#REF!&lt;=250,"High Usage","Very High Usage")))</f>
        <v>#REF!</v>
      </c>
      <c r="AE1439" t="e">
        <f>IF(#REF!&lt;=5,"Low Calls", IF(#REF!&lt;=10, "Medium Calls", "High Calls"))</f>
        <v>#REF!</v>
      </c>
      <c r="AF1439" t="e">
        <f xml:space="preserve">
IF(#REF!&gt;=4,4,0)+
IF(#REF!="yes",3,0)+
IF(#REF!="High Charges",3,0)+
IF(#REF!&gt;250,4,0)+
IF(#REF!="no",1,0)+
IF(#REF!="Heavy Domestic User",2,0)</f>
        <v>#REF!</v>
      </c>
      <c r="AG1439" t="e">
        <f>IF(#REF!&gt;=10,"High Risk", IF(#REF!&gt;=5,"Medium Risk","Low Risk"))</f>
        <v>#REF!</v>
      </c>
      <c r="AH1439" t="e">
        <f>#REF! + #REF! + #REF! + #REF!</f>
        <v>#REF!</v>
      </c>
    </row>
    <row r="1440" spans="1:34" x14ac:dyDescent="0.35">
      <c r="A1440">
        <v>1439</v>
      </c>
      <c r="B1440" t="s">
        <v>31</v>
      </c>
      <c r="C1440">
        <v>50</v>
      </c>
      <c r="D1440" t="s">
        <v>25</v>
      </c>
      <c r="E1440" t="s">
        <v>22</v>
      </c>
      <c r="F1440" t="s">
        <v>22</v>
      </c>
      <c r="G1440">
        <v>0</v>
      </c>
      <c r="H1440">
        <v>131.1</v>
      </c>
      <c r="I1440">
        <v>129</v>
      </c>
      <c r="J1440">
        <v>22.29</v>
      </c>
      <c r="K1440">
        <v>160.5</v>
      </c>
      <c r="L1440">
        <v>94</v>
      </c>
      <c r="M1440">
        <v>13.64</v>
      </c>
      <c r="N1440">
        <v>206.9</v>
      </c>
      <c r="O1440">
        <v>88</v>
      </c>
      <c r="P1440">
        <v>9.31</v>
      </c>
      <c r="Q1440">
        <v>5.6</v>
      </c>
      <c r="R1440">
        <v>9</v>
      </c>
      <c r="S1440">
        <v>1.51</v>
      </c>
      <c r="T1440">
        <v>5</v>
      </c>
      <c r="U1440" t="s">
        <v>23</v>
      </c>
      <c r="V1440" t="e">
        <f>IF(#REF! = "yes", 1, 0)</f>
        <v>#REF!</v>
      </c>
      <c r="W1440" t="e">
        <f>IF(#REF! &lt;= 1, "0-1 Calls", IF(#REF! &lt;= 3, "2-3 Calls", IF(#REF! &lt;=5, "4-5 Calls", "6+ Calls")))</f>
        <v>#REF!</v>
      </c>
      <c r="X1440" t="e">
        <f>IF(#REF! &lt;= 50, "0-50", IF(#REF! &lt;=100, "51-100", IF(#REF! &lt;= 150, "101-150", "151+")))</f>
        <v>#REF!</v>
      </c>
      <c r="Y1440" t="e">
        <f>IF(#REF! &lt;= 3, "Low Charges", "High Charges")</f>
        <v>#REF!</v>
      </c>
      <c r="Z1440" t="e">
        <f>IF(#REF!&lt;=80,"Low Calls",
IF(#REF!&lt;=120,"Medium Calls","High Calls"))</f>
        <v>#REF!</v>
      </c>
      <c r="AA1440" t="e">
        <f>IF(#REF!&lt;=15,"Low Charges",
IF(#REF!&lt;=20,"Medium Charges","High Charges"))</f>
        <v>#REF!</v>
      </c>
      <c r="AB1440" t="e">
        <f>IF(AND(#REF!&gt;180, #REF!&gt;200), "Heavy Doemstic User", IF(#REF!&gt;10, "Interntional User", IF(AND(#REF!&lt;180, #REF!&lt;200,#REF!&lt;200), "Light User", "Balanced User")))</f>
        <v>#REF!</v>
      </c>
      <c r="AC1440" t="e">
        <f>IF(#REF! = 0, "No Usage", IF(#REF! &lt;= 20, "Low Usage", IF(#REF! &lt;= 40, "Medium Usgae", "High Usage")))</f>
        <v>#REF!</v>
      </c>
      <c r="AD1440" t="e">
        <f>IF(#REF!&lt;=150,"Low Usage", IF(#REF!&lt;=200,"Medium Usage", IF(#REF!&lt;=250,"High Usage","Very High Usage")))</f>
        <v>#REF!</v>
      </c>
      <c r="AE1440" t="e">
        <f>IF(#REF!&lt;=5,"Low Calls", IF(#REF!&lt;=10, "Medium Calls", "High Calls"))</f>
        <v>#REF!</v>
      </c>
      <c r="AF1440" t="e">
        <f xml:space="preserve">
IF(#REF!&gt;=4,4,0)+
IF(#REF!="yes",3,0)+
IF(#REF!="High Charges",3,0)+
IF(#REF!&gt;250,4,0)+
IF(#REF!="no",1,0)+
IF(#REF!="Heavy Domestic User",2,0)</f>
        <v>#REF!</v>
      </c>
      <c r="AG1440" t="e">
        <f>IF(#REF!&gt;=10,"High Risk", IF(#REF!&gt;=5,"Medium Risk","Low Risk"))</f>
        <v>#REF!</v>
      </c>
      <c r="AH1440" t="e">
        <f>#REF! + #REF! + #REF! + #REF!</f>
        <v>#REF!</v>
      </c>
    </row>
    <row r="1441" spans="1:34" x14ac:dyDescent="0.35">
      <c r="A1441">
        <v>1440</v>
      </c>
      <c r="B1441" t="s">
        <v>37</v>
      </c>
      <c r="C1441">
        <v>92</v>
      </c>
      <c r="D1441" t="s">
        <v>21</v>
      </c>
      <c r="E1441" t="s">
        <v>22</v>
      </c>
      <c r="F1441" t="s">
        <v>23</v>
      </c>
      <c r="G1441">
        <v>23</v>
      </c>
      <c r="H1441">
        <v>167.4</v>
      </c>
      <c r="I1441">
        <v>83</v>
      </c>
      <c r="J1441">
        <v>28.46</v>
      </c>
      <c r="K1441">
        <v>258.60000000000002</v>
      </c>
      <c r="L1441">
        <v>129</v>
      </c>
      <c r="M1441">
        <v>21.98</v>
      </c>
      <c r="N1441">
        <v>116.4</v>
      </c>
      <c r="O1441">
        <v>110</v>
      </c>
      <c r="P1441">
        <v>5.24</v>
      </c>
      <c r="Q1441">
        <v>11.2</v>
      </c>
      <c r="R1441">
        <v>3</v>
      </c>
      <c r="S1441">
        <v>3.02</v>
      </c>
      <c r="T1441">
        <v>4</v>
      </c>
      <c r="U1441" t="s">
        <v>22</v>
      </c>
      <c r="V1441" t="e">
        <f>IF(#REF! = "yes", 1, 0)</f>
        <v>#REF!</v>
      </c>
      <c r="W1441" t="e">
        <f>IF(#REF! &lt;= 1, "0-1 Calls", IF(#REF! &lt;= 3, "2-3 Calls", IF(#REF! &lt;=5, "4-5 Calls", "6+ Calls")))</f>
        <v>#REF!</v>
      </c>
      <c r="X1441" t="e">
        <f>IF(#REF! &lt;= 50, "0-50", IF(#REF! &lt;=100, "51-100", IF(#REF! &lt;= 150, "101-150", "151+")))</f>
        <v>#REF!</v>
      </c>
      <c r="Y1441" t="e">
        <f>IF(#REF! &lt;= 3, "Low Charges", "High Charges")</f>
        <v>#REF!</v>
      </c>
      <c r="Z1441" t="e">
        <f>IF(#REF!&lt;=80,"Low Calls",
IF(#REF!&lt;=120,"Medium Calls","High Calls"))</f>
        <v>#REF!</v>
      </c>
      <c r="AA1441" t="e">
        <f>IF(#REF!&lt;=15,"Low Charges",
IF(#REF!&lt;=20,"Medium Charges","High Charges"))</f>
        <v>#REF!</v>
      </c>
      <c r="AB1441" t="e">
        <f>IF(AND(#REF!&gt;180, #REF!&gt;200), "Heavy Doemstic User", IF(#REF!&gt;10, "Interntional User", IF(AND(#REF!&lt;180, #REF!&lt;200,#REF!&lt;200), "Light User", "Balanced User")))</f>
        <v>#REF!</v>
      </c>
      <c r="AC1441" t="e">
        <f>IF(#REF! = 0, "No Usage", IF(#REF! &lt;= 20, "Low Usage", IF(#REF! &lt;= 40, "Medium Usgae", "High Usage")))</f>
        <v>#REF!</v>
      </c>
      <c r="AD1441" t="e">
        <f>IF(#REF!&lt;=150,"Low Usage", IF(#REF!&lt;=200,"Medium Usage", IF(#REF!&lt;=250,"High Usage","Very High Usage")))</f>
        <v>#REF!</v>
      </c>
      <c r="AE1441" t="e">
        <f>IF(#REF!&lt;=5,"Low Calls", IF(#REF!&lt;=10, "Medium Calls", "High Calls"))</f>
        <v>#REF!</v>
      </c>
      <c r="AF1441" t="e">
        <f xml:space="preserve">
IF(#REF!&gt;=4,4,0)+
IF(#REF!="yes",3,0)+
IF(#REF!="High Charges",3,0)+
IF(#REF!&gt;250,4,0)+
IF(#REF!="no",1,0)+
IF(#REF!="Heavy Domestic User",2,0)</f>
        <v>#REF!</v>
      </c>
      <c r="AG1441" t="e">
        <f>IF(#REF!&gt;=10,"High Risk", IF(#REF!&gt;=5,"Medium Risk","Low Risk"))</f>
        <v>#REF!</v>
      </c>
      <c r="AH1441" t="e">
        <f>#REF! + #REF! + #REF! + #REF!</f>
        <v>#REF!</v>
      </c>
    </row>
    <row r="1442" spans="1:34" x14ac:dyDescent="0.35">
      <c r="A1442">
        <v>1441</v>
      </c>
      <c r="B1442" t="s">
        <v>62</v>
      </c>
      <c r="C1442">
        <v>96</v>
      </c>
      <c r="D1442" t="s">
        <v>25</v>
      </c>
      <c r="E1442" t="s">
        <v>22</v>
      </c>
      <c r="F1442" t="s">
        <v>22</v>
      </c>
      <c r="G1442">
        <v>0</v>
      </c>
      <c r="H1442">
        <v>197.7</v>
      </c>
      <c r="I1442">
        <v>68</v>
      </c>
      <c r="J1442">
        <v>33.61</v>
      </c>
      <c r="K1442">
        <v>250.5</v>
      </c>
      <c r="L1442">
        <v>53</v>
      </c>
      <c r="M1442">
        <v>21.29</v>
      </c>
      <c r="N1442">
        <v>181.2</v>
      </c>
      <c r="O1442">
        <v>67</v>
      </c>
      <c r="P1442">
        <v>8.15</v>
      </c>
      <c r="Q1442">
        <v>10.5</v>
      </c>
      <c r="R1442">
        <v>3</v>
      </c>
      <c r="S1442">
        <v>2.84</v>
      </c>
      <c r="T1442">
        <v>3</v>
      </c>
      <c r="U1442" t="s">
        <v>22</v>
      </c>
      <c r="V1442" t="e">
        <f>IF(#REF! = "yes", 1, 0)</f>
        <v>#REF!</v>
      </c>
      <c r="W1442" t="e">
        <f>IF(#REF! &lt;= 1, "0-1 Calls", IF(#REF! &lt;= 3, "2-3 Calls", IF(#REF! &lt;=5, "4-5 Calls", "6+ Calls")))</f>
        <v>#REF!</v>
      </c>
      <c r="X1442" t="e">
        <f>IF(#REF! &lt;= 50, "0-50", IF(#REF! &lt;=100, "51-100", IF(#REF! &lt;= 150, "101-150", "151+")))</f>
        <v>#REF!</v>
      </c>
      <c r="Y1442" t="e">
        <f>IF(#REF! &lt;= 3, "Low Charges", "High Charges")</f>
        <v>#REF!</v>
      </c>
      <c r="Z1442" t="e">
        <f>IF(#REF!&lt;=80,"Low Calls",
IF(#REF!&lt;=120,"Medium Calls","High Calls"))</f>
        <v>#REF!</v>
      </c>
      <c r="AA1442" t="e">
        <f>IF(#REF!&lt;=15,"Low Charges",
IF(#REF!&lt;=20,"Medium Charges","High Charges"))</f>
        <v>#REF!</v>
      </c>
      <c r="AB1442" t="e">
        <f>IF(AND(#REF!&gt;180, #REF!&gt;200), "Heavy Doemstic User", IF(#REF!&gt;10, "Interntional User", IF(AND(#REF!&lt;180, #REF!&lt;200,#REF!&lt;200), "Light User", "Balanced User")))</f>
        <v>#REF!</v>
      </c>
      <c r="AC1442" t="e">
        <f>IF(#REF! = 0, "No Usage", IF(#REF! &lt;= 20, "Low Usage", IF(#REF! &lt;= 40, "Medium Usgae", "High Usage")))</f>
        <v>#REF!</v>
      </c>
      <c r="AD1442" t="e">
        <f>IF(#REF!&lt;=150,"Low Usage", IF(#REF!&lt;=200,"Medium Usage", IF(#REF!&lt;=250,"High Usage","Very High Usage")))</f>
        <v>#REF!</v>
      </c>
      <c r="AE1442" t="e">
        <f>IF(#REF!&lt;=5,"Low Calls", IF(#REF!&lt;=10, "Medium Calls", "High Calls"))</f>
        <v>#REF!</v>
      </c>
      <c r="AF1442" t="e">
        <f xml:space="preserve">
IF(#REF!&gt;=4,4,0)+
IF(#REF!="yes",3,0)+
IF(#REF!="High Charges",3,0)+
IF(#REF!&gt;250,4,0)+
IF(#REF!="no",1,0)+
IF(#REF!="Heavy Domestic User",2,0)</f>
        <v>#REF!</v>
      </c>
      <c r="AG1442" t="e">
        <f>IF(#REF!&gt;=10,"High Risk", IF(#REF!&gt;=5,"Medium Risk","Low Risk"))</f>
        <v>#REF!</v>
      </c>
      <c r="AH1442" t="e">
        <f>#REF! + #REF! + #REF! + #REF!</f>
        <v>#REF!</v>
      </c>
    </row>
    <row r="1443" spans="1:34" x14ac:dyDescent="0.35">
      <c r="A1443">
        <v>1442</v>
      </c>
      <c r="B1443" t="s">
        <v>20</v>
      </c>
      <c r="C1443">
        <v>146</v>
      </c>
      <c r="D1443" t="s">
        <v>21</v>
      </c>
      <c r="E1443" t="s">
        <v>22</v>
      </c>
      <c r="F1443" t="s">
        <v>22</v>
      </c>
      <c r="G1443">
        <v>0</v>
      </c>
      <c r="H1443">
        <v>169.5</v>
      </c>
      <c r="I1443">
        <v>93</v>
      </c>
      <c r="J1443">
        <v>28.82</v>
      </c>
      <c r="K1443">
        <v>230.9</v>
      </c>
      <c r="L1443">
        <v>71</v>
      </c>
      <c r="M1443">
        <v>19.63</v>
      </c>
      <c r="N1443">
        <v>269.8</v>
      </c>
      <c r="O1443">
        <v>115</v>
      </c>
      <c r="P1443">
        <v>12.14</v>
      </c>
      <c r="Q1443">
        <v>9</v>
      </c>
      <c r="R1443">
        <v>7</v>
      </c>
      <c r="S1443">
        <v>2.4300000000000002</v>
      </c>
      <c r="T1443">
        <v>2</v>
      </c>
      <c r="U1443" t="s">
        <v>22</v>
      </c>
      <c r="V1443" t="e">
        <f>IF(#REF! = "yes", 1, 0)</f>
        <v>#REF!</v>
      </c>
      <c r="W1443" t="e">
        <f>IF(#REF! &lt;= 1, "0-1 Calls", IF(#REF! &lt;= 3, "2-3 Calls", IF(#REF! &lt;=5, "4-5 Calls", "6+ Calls")))</f>
        <v>#REF!</v>
      </c>
      <c r="X1443" t="e">
        <f>IF(#REF! &lt;= 50, "0-50", IF(#REF! &lt;=100, "51-100", IF(#REF! &lt;= 150, "101-150", "151+")))</f>
        <v>#REF!</v>
      </c>
      <c r="Y1443" t="e">
        <f>IF(#REF! &lt;= 3, "Low Charges", "High Charges")</f>
        <v>#REF!</v>
      </c>
      <c r="Z1443" t="e">
        <f>IF(#REF!&lt;=80,"Low Calls",
IF(#REF!&lt;=120,"Medium Calls","High Calls"))</f>
        <v>#REF!</v>
      </c>
      <c r="AA1443" t="e">
        <f>IF(#REF!&lt;=15,"Low Charges",
IF(#REF!&lt;=20,"Medium Charges","High Charges"))</f>
        <v>#REF!</v>
      </c>
      <c r="AB1443" t="e">
        <f>IF(AND(#REF!&gt;180, #REF!&gt;200), "Heavy Doemstic User", IF(#REF!&gt;10, "Interntional User", IF(AND(#REF!&lt;180, #REF!&lt;200,#REF!&lt;200), "Light User", "Balanced User")))</f>
        <v>#REF!</v>
      </c>
      <c r="AC1443" t="e">
        <f>IF(#REF! = 0, "No Usage", IF(#REF! &lt;= 20, "Low Usage", IF(#REF! &lt;= 40, "Medium Usgae", "High Usage")))</f>
        <v>#REF!</v>
      </c>
      <c r="AD1443" t="e">
        <f>IF(#REF!&lt;=150,"Low Usage", IF(#REF!&lt;=200,"Medium Usage", IF(#REF!&lt;=250,"High Usage","Very High Usage")))</f>
        <v>#REF!</v>
      </c>
      <c r="AE1443" t="e">
        <f>IF(#REF!&lt;=5,"Low Calls", IF(#REF!&lt;=10, "Medium Calls", "High Calls"))</f>
        <v>#REF!</v>
      </c>
      <c r="AF1443" t="e">
        <f xml:space="preserve">
IF(#REF!&gt;=4,4,0)+
IF(#REF!="yes",3,0)+
IF(#REF!="High Charges",3,0)+
IF(#REF!&gt;250,4,0)+
IF(#REF!="no",1,0)+
IF(#REF!="Heavy Domestic User",2,0)</f>
        <v>#REF!</v>
      </c>
      <c r="AG1443" t="e">
        <f>IF(#REF!&gt;=10,"High Risk", IF(#REF!&gt;=5,"Medium Risk","Low Risk"))</f>
        <v>#REF!</v>
      </c>
      <c r="AH1443" t="e">
        <f>#REF! + #REF! + #REF! + #REF!</f>
        <v>#REF!</v>
      </c>
    </row>
    <row r="1444" spans="1:34" x14ac:dyDescent="0.35">
      <c r="A1444">
        <v>1443</v>
      </c>
      <c r="B1444" t="s">
        <v>37</v>
      </c>
      <c r="C1444">
        <v>138</v>
      </c>
      <c r="D1444" t="s">
        <v>21</v>
      </c>
      <c r="E1444" t="s">
        <v>23</v>
      </c>
      <c r="F1444" t="s">
        <v>23</v>
      </c>
      <c r="G1444">
        <v>17</v>
      </c>
      <c r="H1444">
        <v>225.2</v>
      </c>
      <c r="I1444">
        <v>116</v>
      </c>
      <c r="J1444">
        <v>38.28</v>
      </c>
      <c r="K1444">
        <v>173.4</v>
      </c>
      <c r="L1444">
        <v>88</v>
      </c>
      <c r="M1444">
        <v>14.74</v>
      </c>
      <c r="N1444">
        <v>145.80000000000001</v>
      </c>
      <c r="O1444">
        <v>99</v>
      </c>
      <c r="P1444">
        <v>6.56</v>
      </c>
      <c r="Q1444">
        <v>11.7</v>
      </c>
      <c r="R1444">
        <v>4</v>
      </c>
      <c r="S1444">
        <v>3.16</v>
      </c>
      <c r="T1444">
        <v>0</v>
      </c>
      <c r="U1444" t="s">
        <v>22</v>
      </c>
      <c r="V1444" t="e">
        <f>IF(#REF! = "yes", 1, 0)</f>
        <v>#REF!</v>
      </c>
      <c r="W1444" t="e">
        <f>IF(#REF! &lt;= 1, "0-1 Calls", IF(#REF! &lt;= 3, "2-3 Calls", IF(#REF! &lt;=5, "4-5 Calls", "6+ Calls")))</f>
        <v>#REF!</v>
      </c>
      <c r="X1444" t="e">
        <f>IF(#REF! &lt;= 50, "0-50", IF(#REF! &lt;=100, "51-100", IF(#REF! &lt;= 150, "101-150", "151+")))</f>
        <v>#REF!</v>
      </c>
      <c r="Y1444" t="e">
        <f>IF(#REF! &lt;= 3, "Low Charges", "High Charges")</f>
        <v>#REF!</v>
      </c>
      <c r="Z1444" t="e">
        <f>IF(#REF!&lt;=80,"Low Calls",
IF(#REF!&lt;=120,"Medium Calls","High Calls"))</f>
        <v>#REF!</v>
      </c>
      <c r="AA1444" t="e">
        <f>IF(#REF!&lt;=15,"Low Charges",
IF(#REF!&lt;=20,"Medium Charges","High Charges"))</f>
        <v>#REF!</v>
      </c>
      <c r="AB1444" t="e">
        <f>IF(AND(#REF!&gt;180, #REF!&gt;200), "Heavy Doemstic User", IF(#REF!&gt;10, "Interntional User", IF(AND(#REF!&lt;180, #REF!&lt;200,#REF!&lt;200), "Light User", "Balanced User")))</f>
        <v>#REF!</v>
      </c>
      <c r="AC1444" t="e">
        <f>IF(#REF! = 0, "No Usage", IF(#REF! &lt;= 20, "Low Usage", IF(#REF! &lt;= 40, "Medium Usgae", "High Usage")))</f>
        <v>#REF!</v>
      </c>
      <c r="AD1444" t="e">
        <f>IF(#REF!&lt;=150,"Low Usage", IF(#REF!&lt;=200,"Medium Usage", IF(#REF!&lt;=250,"High Usage","Very High Usage")))</f>
        <v>#REF!</v>
      </c>
      <c r="AE1444" t="e">
        <f>IF(#REF!&lt;=5,"Low Calls", IF(#REF!&lt;=10, "Medium Calls", "High Calls"))</f>
        <v>#REF!</v>
      </c>
      <c r="AF1444" t="e">
        <f xml:space="preserve">
IF(#REF!&gt;=4,4,0)+
IF(#REF!="yes",3,0)+
IF(#REF!="High Charges",3,0)+
IF(#REF!&gt;250,4,0)+
IF(#REF!="no",1,0)+
IF(#REF!="Heavy Domestic User",2,0)</f>
        <v>#REF!</v>
      </c>
      <c r="AG1444" t="e">
        <f>IF(#REF!&gt;=10,"High Risk", IF(#REF!&gt;=5,"Medium Risk","Low Risk"))</f>
        <v>#REF!</v>
      </c>
      <c r="AH1444" t="e">
        <f>#REF! + #REF! + #REF! + #REF!</f>
        <v>#REF!</v>
      </c>
    </row>
    <row r="1445" spans="1:34" x14ac:dyDescent="0.35">
      <c r="A1445">
        <v>1444</v>
      </c>
      <c r="B1445" t="s">
        <v>29</v>
      </c>
      <c r="C1445">
        <v>76</v>
      </c>
      <c r="D1445" t="s">
        <v>28</v>
      </c>
      <c r="E1445" t="s">
        <v>22</v>
      </c>
      <c r="F1445" t="s">
        <v>22</v>
      </c>
      <c r="G1445">
        <v>0</v>
      </c>
      <c r="H1445">
        <v>129.69999999999999</v>
      </c>
      <c r="I1445">
        <v>84</v>
      </c>
      <c r="J1445">
        <v>22.05</v>
      </c>
      <c r="K1445">
        <v>177.5</v>
      </c>
      <c r="L1445">
        <v>80</v>
      </c>
      <c r="M1445">
        <v>15.09</v>
      </c>
      <c r="N1445">
        <v>228.9</v>
      </c>
      <c r="O1445">
        <v>87</v>
      </c>
      <c r="P1445">
        <v>10.3</v>
      </c>
      <c r="Q1445">
        <v>7.5</v>
      </c>
      <c r="R1445">
        <v>3</v>
      </c>
      <c r="S1445">
        <v>2.0299999999999998</v>
      </c>
      <c r="T1445">
        <v>5</v>
      </c>
      <c r="U1445" t="s">
        <v>23</v>
      </c>
      <c r="V1445" t="e">
        <f>IF(#REF! = "yes", 1, 0)</f>
        <v>#REF!</v>
      </c>
      <c r="W1445" t="e">
        <f>IF(#REF! &lt;= 1, "0-1 Calls", IF(#REF! &lt;= 3, "2-3 Calls", IF(#REF! &lt;=5, "4-5 Calls", "6+ Calls")))</f>
        <v>#REF!</v>
      </c>
      <c r="X1445" t="e">
        <f>IF(#REF! &lt;= 50, "0-50", IF(#REF! &lt;=100, "51-100", IF(#REF! &lt;= 150, "101-150", "151+")))</f>
        <v>#REF!</v>
      </c>
      <c r="Y1445" t="e">
        <f>IF(#REF! &lt;= 3, "Low Charges", "High Charges")</f>
        <v>#REF!</v>
      </c>
      <c r="Z1445" t="e">
        <f>IF(#REF!&lt;=80,"Low Calls",
IF(#REF!&lt;=120,"Medium Calls","High Calls"))</f>
        <v>#REF!</v>
      </c>
      <c r="AA1445" t="e">
        <f>IF(#REF!&lt;=15,"Low Charges",
IF(#REF!&lt;=20,"Medium Charges","High Charges"))</f>
        <v>#REF!</v>
      </c>
      <c r="AB1445" t="e">
        <f>IF(AND(#REF!&gt;180, #REF!&gt;200), "Heavy Doemstic User", IF(#REF!&gt;10, "Interntional User", IF(AND(#REF!&lt;180, #REF!&lt;200,#REF!&lt;200), "Light User", "Balanced User")))</f>
        <v>#REF!</v>
      </c>
      <c r="AC1445" t="e">
        <f>IF(#REF! = 0, "No Usage", IF(#REF! &lt;= 20, "Low Usage", IF(#REF! &lt;= 40, "Medium Usgae", "High Usage")))</f>
        <v>#REF!</v>
      </c>
      <c r="AD1445" t="e">
        <f>IF(#REF!&lt;=150,"Low Usage", IF(#REF!&lt;=200,"Medium Usage", IF(#REF!&lt;=250,"High Usage","Very High Usage")))</f>
        <v>#REF!</v>
      </c>
      <c r="AE1445" t="e">
        <f>IF(#REF!&lt;=5,"Low Calls", IF(#REF!&lt;=10, "Medium Calls", "High Calls"))</f>
        <v>#REF!</v>
      </c>
      <c r="AF1445" t="e">
        <f xml:space="preserve">
IF(#REF!&gt;=4,4,0)+
IF(#REF!="yes",3,0)+
IF(#REF!="High Charges",3,0)+
IF(#REF!&gt;250,4,0)+
IF(#REF!="no",1,0)+
IF(#REF!="Heavy Domestic User",2,0)</f>
        <v>#REF!</v>
      </c>
      <c r="AG1445" t="e">
        <f>IF(#REF!&gt;=10,"High Risk", IF(#REF!&gt;=5,"Medium Risk","Low Risk"))</f>
        <v>#REF!</v>
      </c>
      <c r="AH1445" t="e">
        <f>#REF! + #REF! + #REF! + #REF!</f>
        <v>#REF!</v>
      </c>
    </row>
    <row r="1446" spans="1:34" x14ac:dyDescent="0.35">
      <c r="A1446">
        <v>1445</v>
      </c>
      <c r="B1446" t="s">
        <v>69</v>
      </c>
      <c r="C1446">
        <v>99</v>
      </c>
      <c r="D1446" t="s">
        <v>21</v>
      </c>
      <c r="E1446" t="s">
        <v>22</v>
      </c>
      <c r="F1446" t="s">
        <v>22</v>
      </c>
      <c r="G1446">
        <v>0</v>
      </c>
      <c r="H1446">
        <v>200</v>
      </c>
      <c r="I1446">
        <v>66</v>
      </c>
      <c r="J1446">
        <v>34</v>
      </c>
      <c r="K1446">
        <v>107.9</v>
      </c>
      <c r="L1446">
        <v>104</v>
      </c>
      <c r="M1446">
        <v>9.17</v>
      </c>
      <c r="N1446">
        <v>233.7</v>
      </c>
      <c r="O1446">
        <v>82</v>
      </c>
      <c r="P1446">
        <v>10.52</v>
      </c>
      <c r="Q1446">
        <v>11.4</v>
      </c>
      <c r="R1446">
        <v>2</v>
      </c>
      <c r="S1446">
        <v>3.08</v>
      </c>
      <c r="T1446">
        <v>3</v>
      </c>
      <c r="U1446" t="s">
        <v>22</v>
      </c>
      <c r="V1446" t="e">
        <f>IF(#REF! = "yes", 1, 0)</f>
        <v>#REF!</v>
      </c>
      <c r="W1446" t="e">
        <f>IF(#REF! &lt;= 1, "0-1 Calls", IF(#REF! &lt;= 3, "2-3 Calls", IF(#REF! &lt;=5, "4-5 Calls", "6+ Calls")))</f>
        <v>#REF!</v>
      </c>
      <c r="X1446" t="e">
        <f>IF(#REF! &lt;= 50, "0-50", IF(#REF! &lt;=100, "51-100", IF(#REF! &lt;= 150, "101-150", "151+")))</f>
        <v>#REF!</v>
      </c>
      <c r="Y1446" t="e">
        <f>IF(#REF! &lt;= 3, "Low Charges", "High Charges")</f>
        <v>#REF!</v>
      </c>
      <c r="Z1446" t="e">
        <f>IF(#REF!&lt;=80,"Low Calls",
IF(#REF!&lt;=120,"Medium Calls","High Calls"))</f>
        <v>#REF!</v>
      </c>
      <c r="AA1446" t="e">
        <f>IF(#REF!&lt;=15,"Low Charges",
IF(#REF!&lt;=20,"Medium Charges","High Charges"))</f>
        <v>#REF!</v>
      </c>
      <c r="AB1446" t="e">
        <f>IF(AND(#REF!&gt;180, #REF!&gt;200), "Heavy Doemstic User", IF(#REF!&gt;10, "Interntional User", IF(AND(#REF!&lt;180, #REF!&lt;200,#REF!&lt;200), "Light User", "Balanced User")))</f>
        <v>#REF!</v>
      </c>
      <c r="AC1446" t="e">
        <f>IF(#REF! = 0, "No Usage", IF(#REF! &lt;= 20, "Low Usage", IF(#REF! &lt;= 40, "Medium Usgae", "High Usage")))</f>
        <v>#REF!</v>
      </c>
      <c r="AD1446" t="e">
        <f>IF(#REF!&lt;=150,"Low Usage", IF(#REF!&lt;=200,"Medium Usage", IF(#REF!&lt;=250,"High Usage","Very High Usage")))</f>
        <v>#REF!</v>
      </c>
      <c r="AE1446" t="e">
        <f>IF(#REF!&lt;=5,"Low Calls", IF(#REF!&lt;=10, "Medium Calls", "High Calls"))</f>
        <v>#REF!</v>
      </c>
      <c r="AF1446" t="e">
        <f xml:space="preserve">
IF(#REF!&gt;=4,4,0)+
IF(#REF!="yes",3,0)+
IF(#REF!="High Charges",3,0)+
IF(#REF!&gt;250,4,0)+
IF(#REF!="no",1,0)+
IF(#REF!="Heavy Domestic User",2,0)</f>
        <v>#REF!</v>
      </c>
      <c r="AG1446" t="e">
        <f>IF(#REF!&gt;=10,"High Risk", IF(#REF!&gt;=5,"Medium Risk","Low Risk"))</f>
        <v>#REF!</v>
      </c>
      <c r="AH1446" t="e">
        <f>#REF! + #REF! + #REF! + #REF!</f>
        <v>#REF!</v>
      </c>
    </row>
    <row r="1447" spans="1:34" x14ac:dyDescent="0.35">
      <c r="A1447">
        <v>1446</v>
      </c>
      <c r="B1447" t="s">
        <v>58</v>
      </c>
      <c r="C1447">
        <v>83</v>
      </c>
      <c r="D1447" t="s">
        <v>28</v>
      </c>
      <c r="E1447" t="s">
        <v>22</v>
      </c>
      <c r="F1447" t="s">
        <v>23</v>
      </c>
      <c r="G1447">
        <v>36</v>
      </c>
      <c r="H1447">
        <v>95.9</v>
      </c>
      <c r="I1447">
        <v>87</v>
      </c>
      <c r="J1447">
        <v>16.3</v>
      </c>
      <c r="K1447">
        <v>261.60000000000002</v>
      </c>
      <c r="L1447">
        <v>105</v>
      </c>
      <c r="M1447">
        <v>22.24</v>
      </c>
      <c r="N1447">
        <v>228.6</v>
      </c>
      <c r="O1447">
        <v>109</v>
      </c>
      <c r="P1447">
        <v>10.29</v>
      </c>
      <c r="Q1447">
        <v>13.3</v>
      </c>
      <c r="R1447">
        <v>4</v>
      </c>
      <c r="S1447">
        <v>3.59</v>
      </c>
      <c r="T1447">
        <v>0</v>
      </c>
      <c r="U1447" t="s">
        <v>22</v>
      </c>
      <c r="V1447" t="e">
        <f>IF(#REF! = "yes", 1, 0)</f>
        <v>#REF!</v>
      </c>
      <c r="W1447" t="e">
        <f>IF(#REF! &lt;= 1, "0-1 Calls", IF(#REF! &lt;= 3, "2-3 Calls", IF(#REF! &lt;=5, "4-5 Calls", "6+ Calls")))</f>
        <v>#REF!</v>
      </c>
      <c r="X1447" t="e">
        <f>IF(#REF! &lt;= 50, "0-50", IF(#REF! &lt;=100, "51-100", IF(#REF! &lt;= 150, "101-150", "151+")))</f>
        <v>#REF!</v>
      </c>
      <c r="Y1447" t="e">
        <f>IF(#REF! &lt;= 3, "Low Charges", "High Charges")</f>
        <v>#REF!</v>
      </c>
      <c r="Z1447" t="e">
        <f>IF(#REF!&lt;=80,"Low Calls",
IF(#REF!&lt;=120,"Medium Calls","High Calls"))</f>
        <v>#REF!</v>
      </c>
      <c r="AA1447" t="e">
        <f>IF(#REF!&lt;=15,"Low Charges",
IF(#REF!&lt;=20,"Medium Charges","High Charges"))</f>
        <v>#REF!</v>
      </c>
      <c r="AB1447" t="e">
        <f>IF(AND(#REF!&gt;180, #REF!&gt;200), "Heavy Doemstic User", IF(#REF!&gt;10, "Interntional User", IF(AND(#REF!&lt;180, #REF!&lt;200,#REF!&lt;200), "Light User", "Balanced User")))</f>
        <v>#REF!</v>
      </c>
      <c r="AC1447" t="e">
        <f>IF(#REF! = 0, "No Usage", IF(#REF! &lt;= 20, "Low Usage", IF(#REF! &lt;= 40, "Medium Usgae", "High Usage")))</f>
        <v>#REF!</v>
      </c>
      <c r="AD1447" t="e">
        <f>IF(#REF!&lt;=150,"Low Usage", IF(#REF!&lt;=200,"Medium Usage", IF(#REF!&lt;=250,"High Usage","Very High Usage")))</f>
        <v>#REF!</v>
      </c>
      <c r="AE1447" t="e">
        <f>IF(#REF!&lt;=5,"Low Calls", IF(#REF!&lt;=10, "Medium Calls", "High Calls"))</f>
        <v>#REF!</v>
      </c>
      <c r="AF1447" t="e">
        <f xml:space="preserve">
IF(#REF!&gt;=4,4,0)+
IF(#REF!="yes",3,0)+
IF(#REF!="High Charges",3,0)+
IF(#REF!&gt;250,4,0)+
IF(#REF!="no",1,0)+
IF(#REF!="Heavy Domestic User",2,0)</f>
        <v>#REF!</v>
      </c>
      <c r="AG1447" t="e">
        <f>IF(#REF!&gt;=10,"High Risk", IF(#REF!&gt;=5,"Medium Risk","Low Risk"))</f>
        <v>#REF!</v>
      </c>
      <c r="AH1447" t="e">
        <f>#REF! + #REF! + #REF! + #REF!</f>
        <v>#REF!</v>
      </c>
    </row>
    <row r="1448" spans="1:34" x14ac:dyDescent="0.35">
      <c r="A1448">
        <v>1447</v>
      </c>
      <c r="B1448" t="s">
        <v>66</v>
      </c>
      <c r="C1448">
        <v>36</v>
      </c>
      <c r="D1448" t="s">
        <v>28</v>
      </c>
      <c r="E1448" t="s">
        <v>22</v>
      </c>
      <c r="F1448" t="s">
        <v>23</v>
      </c>
      <c r="G1448">
        <v>25</v>
      </c>
      <c r="H1448">
        <v>152.80000000000001</v>
      </c>
      <c r="I1448">
        <v>110</v>
      </c>
      <c r="J1448">
        <v>25.98</v>
      </c>
      <c r="K1448">
        <v>242.8</v>
      </c>
      <c r="L1448">
        <v>67</v>
      </c>
      <c r="M1448">
        <v>20.64</v>
      </c>
      <c r="N1448">
        <v>147.4</v>
      </c>
      <c r="O1448">
        <v>74</v>
      </c>
      <c r="P1448">
        <v>6.63</v>
      </c>
      <c r="Q1448">
        <v>9.1</v>
      </c>
      <c r="R1448">
        <v>2</v>
      </c>
      <c r="S1448">
        <v>2.46</v>
      </c>
      <c r="T1448">
        <v>1</v>
      </c>
      <c r="U1448" t="s">
        <v>22</v>
      </c>
      <c r="V1448" t="e">
        <f>IF(#REF! = "yes", 1, 0)</f>
        <v>#REF!</v>
      </c>
      <c r="W1448" t="e">
        <f>IF(#REF! &lt;= 1, "0-1 Calls", IF(#REF! &lt;= 3, "2-3 Calls", IF(#REF! &lt;=5, "4-5 Calls", "6+ Calls")))</f>
        <v>#REF!</v>
      </c>
      <c r="X1448" t="e">
        <f>IF(#REF! &lt;= 50, "0-50", IF(#REF! &lt;=100, "51-100", IF(#REF! &lt;= 150, "101-150", "151+")))</f>
        <v>#REF!</v>
      </c>
      <c r="Y1448" t="e">
        <f>IF(#REF! &lt;= 3, "Low Charges", "High Charges")</f>
        <v>#REF!</v>
      </c>
      <c r="Z1448" t="e">
        <f>IF(#REF!&lt;=80,"Low Calls",
IF(#REF!&lt;=120,"Medium Calls","High Calls"))</f>
        <v>#REF!</v>
      </c>
      <c r="AA1448" t="e">
        <f>IF(#REF!&lt;=15,"Low Charges",
IF(#REF!&lt;=20,"Medium Charges","High Charges"))</f>
        <v>#REF!</v>
      </c>
      <c r="AB1448" t="e">
        <f>IF(AND(#REF!&gt;180, #REF!&gt;200), "Heavy Doemstic User", IF(#REF!&gt;10, "Interntional User", IF(AND(#REF!&lt;180, #REF!&lt;200,#REF!&lt;200), "Light User", "Balanced User")))</f>
        <v>#REF!</v>
      </c>
      <c r="AC1448" t="e">
        <f>IF(#REF! = 0, "No Usage", IF(#REF! &lt;= 20, "Low Usage", IF(#REF! &lt;= 40, "Medium Usgae", "High Usage")))</f>
        <v>#REF!</v>
      </c>
      <c r="AD1448" t="e">
        <f>IF(#REF!&lt;=150,"Low Usage", IF(#REF!&lt;=200,"Medium Usage", IF(#REF!&lt;=250,"High Usage","Very High Usage")))</f>
        <v>#REF!</v>
      </c>
      <c r="AE1448" t="e">
        <f>IF(#REF!&lt;=5,"Low Calls", IF(#REF!&lt;=10, "Medium Calls", "High Calls"))</f>
        <v>#REF!</v>
      </c>
      <c r="AF1448" t="e">
        <f xml:space="preserve">
IF(#REF!&gt;=4,4,0)+
IF(#REF!="yes",3,0)+
IF(#REF!="High Charges",3,0)+
IF(#REF!&gt;250,4,0)+
IF(#REF!="no",1,0)+
IF(#REF!="Heavy Domestic User",2,0)</f>
        <v>#REF!</v>
      </c>
      <c r="AG1448" t="e">
        <f>IF(#REF!&gt;=10,"High Risk", IF(#REF!&gt;=5,"Medium Risk","Low Risk"))</f>
        <v>#REF!</v>
      </c>
      <c r="AH1448" t="e">
        <f>#REF! + #REF! + #REF! + #REF!</f>
        <v>#REF!</v>
      </c>
    </row>
    <row r="1449" spans="1:34" x14ac:dyDescent="0.35">
      <c r="A1449">
        <v>1448</v>
      </c>
      <c r="B1449" t="s">
        <v>42</v>
      </c>
      <c r="C1449">
        <v>109</v>
      </c>
      <c r="D1449" t="s">
        <v>21</v>
      </c>
      <c r="E1449" t="s">
        <v>23</v>
      </c>
      <c r="F1449" t="s">
        <v>22</v>
      </c>
      <c r="G1449">
        <v>0</v>
      </c>
      <c r="H1449">
        <v>268.39999999999998</v>
      </c>
      <c r="I1449">
        <v>85</v>
      </c>
      <c r="J1449">
        <v>45.63</v>
      </c>
      <c r="K1449">
        <v>150.6</v>
      </c>
      <c r="L1449">
        <v>131</v>
      </c>
      <c r="M1449">
        <v>12.8</v>
      </c>
      <c r="N1449">
        <v>297.89999999999998</v>
      </c>
      <c r="O1449">
        <v>84</v>
      </c>
      <c r="P1449">
        <v>13.41</v>
      </c>
      <c r="Q1449">
        <v>9.6999999999999993</v>
      </c>
      <c r="R1449">
        <v>8</v>
      </c>
      <c r="S1449">
        <v>2.62</v>
      </c>
      <c r="T1449">
        <v>2</v>
      </c>
      <c r="U1449" t="s">
        <v>23</v>
      </c>
      <c r="V1449" t="e">
        <f>IF(#REF! = "yes", 1, 0)</f>
        <v>#REF!</v>
      </c>
      <c r="W1449" t="e">
        <f>IF(#REF! &lt;= 1, "0-1 Calls", IF(#REF! &lt;= 3, "2-3 Calls", IF(#REF! &lt;=5, "4-5 Calls", "6+ Calls")))</f>
        <v>#REF!</v>
      </c>
      <c r="X1449" t="e">
        <f>IF(#REF! &lt;= 50, "0-50", IF(#REF! &lt;=100, "51-100", IF(#REF! &lt;= 150, "101-150", "151+")))</f>
        <v>#REF!</v>
      </c>
      <c r="Y1449" t="e">
        <f>IF(#REF! &lt;= 3, "Low Charges", "High Charges")</f>
        <v>#REF!</v>
      </c>
      <c r="Z1449" t="e">
        <f>IF(#REF!&lt;=80,"Low Calls",
IF(#REF!&lt;=120,"Medium Calls","High Calls"))</f>
        <v>#REF!</v>
      </c>
      <c r="AA1449" t="e">
        <f>IF(#REF!&lt;=15,"Low Charges",
IF(#REF!&lt;=20,"Medium Charges","High Charges"))</f>
        <v>#REF!</v>
      </c>
      <c r="AB1449" t="e">
        <f>IF(AND(#REF!&gt;180, #REF!&gt;200), "Heavy Doemstic User", IF(#REF!&gt;10, "Interntional User", IF(AND(#REF!&lt;180, #REF!&lt;200,#REF!&lt;200), "Light User", "Balanced User")))</f>
        <v>#REF!</v>
      </c>
      <c r="AC1449" t="e">
        <f>IF(#REF! = 0, "No Usage", IF(#REF! &lt;= 20, "Low Usage", IF(#REF! &lt;= 40, "Medium Usgae", "High Usage")))</f>
        <v>#REF!</v>
      </c>
      <c r="AD1449" t="e">
        <f>IF(#REF!&lt;=150,"Low Usage", IF(#REF!&lt;=200,"Medium Usage", IF(#REF!&lt;=250,"High Usage","Very High Usage")))</f>
        <v>#REF!</v>
      </c>
      <c r="AE1449" t="e">
        <f>IF(#REF!&lt;=5,"Low Calls", IF(#REF!&lt;=10, "Medium Calls", "High Calls"))</f>
        <v>#REF!</v>
      </c>
      <c r="AF1449" t="e">
        <f xml:space="preserve">
IF(#REF!&gt;=4,4,0)+
IF(#REF!="yes",3,0)+
IF(#REF!="High Charges",3,0)+
IF(#REF!&gt;250,4,0)+
IF(#REF!="no",1,0)+
IF(#REF!="Heavy Domestic User",2,0)</f>
        <v>#REF!</v>
      </c>
      <c r="AG1449" t="e">
        <f>IF(#REF!&gt;=10,"High Risk", IF(#REF!&gt;=5,"Medium Risk","Low Risk"))</f>
        <v>#REF!</v>
      </c>
      <c r="AH1449" t="e">
        <f>#REF! + #REF! + #REF! + #REF!</f>
        <v>#REF!</v>
      </c>
    </row>
    <row r="1450" spans="1:34" x14ac:dyDescent="0.35">
      <c r="A1450">
        <v>1449</v>
      </c>
      <c r="B1450" t="s">
        <v>42</v>
      </c>
      <c r="C1450">
        <v>100</v>
      </c>
      <c r="D1450" t="s">
        <v>21</v>
      </c>
      <c r="E1450" t="s">
        <v>22</v>
      </c>
      <c r="F1450" t="s">
        <v>22</v>
      </c>
      <c r="G1450">
        <v>0</v>
      </c>
      <c r="H1450">
        <v>188.5</v>
      </c>
      <c r="I1450">
        <v>152</v>
      </c>
      <c r="J1450">
        <v>32.049999999999997</v>
      </c>
      <c r="K1450">
        <v>148.30000000000001</v>
      </c>
      <c r="L1450">
        <v>115</v>
      </c>
      <c r="M1450">
        <v>12.61</v>
      </c>
      <c r="N1450">
        <v>179.8</v>
      </c>
      <c r="O1450">
        <v>88</v>
      </c>
      <c r="P1450">
        <v>8.09</v>
      </c>
      <c r="Q1450">
        <v>15.2</v>
      </c>
      <c r="R1450">
        <v>5</v>
      </c>
      <c r="S1450">
        <v>4.0999999999999996</v>
      </c>
      <c r="T1450">
        <v>2</v>
      </c>
      <c r="U1450" t="s">
        <v>22</v>
      </c>
      <c r="V1450" t="e">
        <f>IF(#REF! = "yes", 1, 0)</f>
        <v>#REF!</v>
      </c>
      <c r="W1450" t="e">
        <f>IF(#REF! &lt;= 1, "0-1 Calls", IF(#REF! &lt;= 3, "2-3 Calls", IF(#REF! &lt;=5, "4-5 Calls", "6+ Calls")))</f>
        <v>#REF!</v>
      </c>
      <c r="X1450" t="e">
        <f>IF(#REF! &lt;= 50, "0-50", IF(#REF! &lt;=100, "51-100", IF(#REF! &lt;= 150, "101-150", "151+")))</f>
        <v>#REF!</v>
      </c>
      <c r="Y1450" t="e">
        <f>IF(#REF! &lt;= 3, "Low Charges", "High Charges")</f>
        <v>#REF!</v>
      </c>
      <c r="Z1450" t="e">
        <f>IF(#REF!&lt;=80,"Low Calls",
IF(#REF!&lt;=120,"Medium Calls","High Calls"))</f>
        <v>#REF!</v>
      </c>
      <c r="AA1450" t="e">
        <f>IF(#REF!&lt;=15,"Low Charges",
IF(#REF!&lt;=20,"Medium Charges","High Charges"))</f>
        <v>#REF!</v>
      </c>
      <c r="AB1450" t="e">
        <f>IF(AND(#REF!&gt;180, #REF!&gt;200), "Heavy Doemstic User", IF(#REF!&gt;10, "Interntional User", IF(AND(#REF!&lt;180, #REF!&lt;200,#REF!&lt;200), "Light User", "Balanced User")))</f>
        <v>#REF!</v>
      </c>
      <c r="AC1450" t="e">
        <f>IF(#REF! = 0, "No Usage", IF(#REF! &lt;= 20, "Low Usage", IF(#REF! &lt;= 40, "Medium Usgae", "High Usage")))</f>
        <v>#REF!</v>
      </c>
      <c r="AD1450" t="e">
        <f>IF(#REF!&lt;=150,"Low Usage", IF(#REF!&lt;=200,"Medium Usage", IF(#REF!&lt;=250,"High Usage","Very High Usage")))</f>
        <v>#REF!</v>
      </c>
      <c r="AE1450" t="e">
        <f>IF(#REF!&lt;=5,"Low Calls", IF(#REF!&lt;=10, "Medium Calls", "High Calls"))</f>
        <v>#REF!</v>
      </c>
      <c r="AF1450" t="e">
        <f xml:space="preserve">
IF(#REF!&gt;=4,4,0)+
IF(#REF!="yes",3,0)+
IF(#REF!="High Charges",3,0)+
IF(#REF!&gt;250,4,0)+
IF(#REF!="no",1,0)+
IF(#REF!="Heavy Domestic User",2,0)</f>
        <v>#REF!</v>
      </c>
      <c r="AG1450" t="e">
        <f>IF(#REF!&gt;=10,"High Risk", IF(#REF!&gt;=5,"Medium Risk","Low Risk"))</f>
        <v>#REF!</v>
      </c>
      <c r="AH1450" t="e">
        <f>#REF! + #REF! + #REF! + #REF!</f>
        <v>#REF!</v>
      </c>
    </row>
    <row r="1451" spans="1:34" x14ac:dyDescent="0.35">
      <c r="A1451">
        <v>1450</v>
      </c>
      <c r="B1451" t="s">
        <v>45</v>
      </c>
      <c r="C1451">
        <v>104</v>
      </c>
      <c r="D1451" t="s">
        <v>25</v>
      </c>
      <c r="E1451" t="s">
        <v>22</v>
      </c>
      <c r="F1451" t="s">
        <v>22</v>
      </c>
      <c r="G1451">
        <v>0</v>
      </c>
      <c r="H1451">
        <v>170.6</v>
      </c>
      <c r="I1451">
        <v>97</v>
      </c>
      <c r="J1451">
        <v>29</v>
      </c>
      <c r="K1451">
        <v>162.1</v>
      </c>
      <c r="L1451">
        <v>111</v>
      </c>
      <c r="M1451">
        <v>13.78</v>
      </c>
      <c r="N1451">
        <v>210.7</v>
      </c>
      <c r="O1451">
        <v>131</v>
      </c>
      <c r="P1451">
        <v>9.48</v>
      </c>
      <c r="Q1451">
        <v>6.1</v>
      </c>
      <c r="R1451">
        <v>1</v>
      </c>
      <c r="S1451">
        <v>1.65</v>
      </c>
      <c r="T1451">
        <v>1</v>
      </c>
      <c r="U1451" t="s">
        <v>22</v>
      </c>
      <c r="V1451" t="e">
        <f>IF(#REF! = "yes", 1, 0)</f>
        <v>#REF!</v>
      </c>
      <c r="W1451" t="e">
        <f>IF(#REF! &lt;= 1, "0-1 Calls", IF(#REF! &lt;= 3, "2-3 Calls", IF(#REF! &lt;=5, "4-5 Calls", "6+ Calls")))</f>
        <v>#REF!</v>
      </c>
      <c r="X1451" t="e">
        <f>IF(#REF! &lt;= 50, "0-50", IF(#REF! &lt;=100, "51-100", IF(#REF! &lt;= 150, "101-150", "151+")))</f>
        <v>#REF!</v>
      </c>
      <c r="Y1451" t="e">
        <f>IF(#REF! &lt;= 3, "Low Charges", "High Charges")</f>
        <v>#REF!</v>
      </c>
      <c r="Z1451" t="e">
        <f>IF(#REF!&lt;=80,"Low Calls",
IF(#REF!&lt;=120,"Medium Calls","High Calls"))</f>
        <v>#REF!</v>
      </c>
      <c r="AA1451" t="e">
        <f>IF(#REF!&lt;=15,"Low Charges",
IF(#REF!&lt;=20,"Medium Charges","High Charges"))</f>
        <v>#REF!</v>
      </c>
      <c r="AB1451" t="e">
        <f>IF(AND(#REF!&gt;180, #REF!&gt;200), "Heavy Doemstic User", IF(#REF!&gt;10, "Interntional User", IF(AND(#REF!&lt;180, #REF!&lt;200,#REF!&lt;200), "Light User", "Balanced User")))</f>
        <v>#REF!</v>
      </c>
      <c r="AC1451" t="e">
        <f>IF(#REF! = 0, "No Usage", IF(#REF! &lt;= 20, "Low Usage", IF(#REF! &lt;= 40, "Medium Usgae", "High Usage")))</f>
        <v>#REF!</v>
      </c>
      <c r="AD1451" t="e">
        <f>IF(#REF!&lt;=150,"Low Usage", IF(#REF!&lt;=200,"Medium Usage", IF(#REF!&lt;=250,"High Usage","Very High Usage")))</f>
        <v>#REF!</v>
      </c>
      <c r="AE1451" t="e">
        <f>IF(#REF!&lt;=5,"Low Calls", IF(#REF!&lt;=10, "Medium Calls", "High Calls"))</f>
        <v>#REF!</v>
      </c>
      <c r="AF1451" t="e">
        <f xml:space="preserve">
IF(#REF!&gt;=4,4,0)+
IF(#REF!="yes",3,0)+
IF(#REF!="High Charges",3,0)+
IF(#REF!&gt;250,4,0)+
IF(#REF!="no",1,0)+
IF(#REF!="Heavy Domestic User",2,0)</f>
        <v>#REF!</v>
      </c>
      <c r="AG1451" t="e">
        <f>IF(#REF!&gt;=10,"High Risk", IF(#REF!&gt;=5,"Medium Risk","Low Risk"))</f>
        <v>#REF!</v>
      </c>
      <c r="AH1451" t="e">
        <f>#REF! + #REF! + #REF! + #REF!</f>
        <v>#REF!</v>
      </c>
    </row>
    <row r="1452" spans="1:34" x14ac:dyDescent="0.35">
      <c r="A1452">
        <v>1451</v>
      </c>
      <c r="B1452" t="s">
        <v>24</v>
      </c>
      <c r="C1452">
        <v>106</v>
      </c>
      <c r="D1452" t="s">
        <v>21</v>
      </c>
      <c r="E1452" t="s">
        <v>22</v>
      </c>
      <c r="F1452" t="s">
        <v>22</v>
      </c>
      <c r="G1452">
        <v>0</v>
      </c>
      <c r="H1452">
        <v>191.4</v>
      </c>
      <c r="I1452">
        <v>124</v>
      </c>
      <c r="J1452">
        <v>32.54</v>
      </c>
      <c r="K1452">
        <v>200.7</v>
      </c>
      <c r="L1452">
        <v>116</v>
      </c>
      <c r="M1452">
        <v>17.059999999999999</v>
      </c>
      <c r="N1452">
        <v>230.1</v>
      </c>
      <c r="O1452">
        <v>76</v>
      </c>
      <c r="P1452">
        <v>10.35</v>
      </c>
      <c r="Q1452">
        <v>8.1999999999999993</v>
      </c>
      <c r="R1452">
        <v>3</v>
      </c>
      <c r="S1452">
        <v>2.21</v>
      </c>
      <c r="T1452">
        <v>1</v>
      </c>
      <c r="U1452" t="s">
        <v>22</v>
      </c>
      <c r="V1452" t="e">
        <f>IF(#REF! = "yes", 1, 0)</f>
        <v>#REF!</v>
      </c>
      <c r="W1452" t="e">
        <f>IF(#REF! &lt;= 1, "0-1 Calls", IF(#REF! &lt;= 3, "2-3 Calls", IF(#REF! &lt;=5, "4-5 Calls", "6+ Calls")))</f>
        <v>#REF!</v>
      </c>
      <c r="X1452" t="e">
        <f>IF(#REF! &lt;= 50, "0-50", IF(#REF! &lt;=100, "51-100", IF(#REF! &lt;= 150, "101-150", "151+")))</f>
        <v>#REF!</v>
      </c>
      <c r="Y1452" t="e">
        <f>IF(#REF! &lt;= 3, "Low Charges", "High Charges")</f>
        <v>#REF!</v>
      </c>
      <c r="Z1452" t="e">
        <f>IF(#REF!&lt;=80,"Low Calls",
IF(#REF!&lt;=120,"Medium Calls","High Calls"))</f>
        <v>#REF!</v>
      </c>
      <c r="AA1452" t="e">
        <f>IF(#REF!&lt;=15,"Low Charges",
IF(#REF!&lt;=20,"Medium Charges","High Charges"))</f>
        <v>#REF!</v>
      </c>
      <c r="AB1452" t="e">
        <f>IF(AND(#REF!&gt;180, #REF!&gt;200), "Heavy Doemstic User", IF(#REF!&gt;10, "Interntional User", IF(AND(#REF!&lt;180, #REF!&lt;200,#REF!&lt;200), "Light User", "Balanced User")))</f>
        <v>#REF!</v>
      </c>
      <c r="AC1452" t="e">
        <f>IF(#REF! = 0, "No Usage", IF(#REF! &lt;= 20, "Low Usage", IF(#REF! &lt;= 40, "Medium Usgae", "High Usage")))</f>
        <v>#REF!</v>
      </c>
      <c r="AD1452" t="e">
        <f>IF(#REF!&lt;=150,"Low Usage", IF(#REF!&lt;=200,"Medium Usage", IF(#REF!&lt;=250,"High Usage","Very High Usage")))</f>
        <v>#REF!</v>
      </c>
      <c r="AE1452" t="e">
        <f>IF(#REF!&lt;=5,"Low Calls", IF(#REF!&lt;=10, "Medium Calls", "High Calls"))</f>
        <v>#REF!</v>
      </c>
      <c r="AF1452" t="e">
        <f xml:space="preserve">
IF(#REF!&gt;=4,4,0)+
IF(#REF!="yes",3,0)+
IF(#REF!="High Charges",3,0)+
IF(#REF!&gt;250,4,0)+
IF(#REF!="no",1,0)+
IF(#REF!="Heavy Domestic User",2,0)</f>
        <v>#REF!</v>
      </c>
      <c r="AG1452" t="e">
        <f>IF(#REF!&gt;=10,"High Risk", IF(#REF!&gt;=5,"Medium Risk","Low Risk"))</f>
        <v>#REF!</v>
      </c>
      <c r="AH1452" t="e">
        <f>#REF! + #REF! + #REF! + #REF!</f>
        <v>#REF!</v>
      </c>
    </row>
    <row r="1453" spans="1:34" x14ac:dyDescent="0.35">
      <c r="A1453">
        <v>1452</v>
      </c>
      <c r="B1453" t="s">
        <v>43</v>
      </c>
      <c r="C1453">
        <v>100</v>
      </c>
      <c r="D1453" t="s">
        <v>28</v>
      </c>
      <c r="E1453" t="s">
        <v>22</v>
      </c>
      <c r="F1453" t="s">
        <v>22</v>
      </c>
      <c r="G1453">
        <v>0</v>
      </c>
      <c r="H1453">
        <v>115.9</v>
      </c>
      <c r="I1453">
        <v>87</v>
      </c>
      <c r="J1453">
        <v>19.7</v>
      </c>
      <c r="K1453">
        <v>111.3</v>
      </c>
      <c r="L1453">
        <v>56</v>
      </c>
      <c r="M1453">
        <v>9.4600000000000009</v>
      </c>
      <c r="N1453">
        <v>170.2</v>
      </c>
      <c r="O1453">
        <v>77</v>
      </c>
      <c r="P1453">
        <v>7.66</v>
      </c>
      <c r="Q1453">
        <v>7.1</v>
      </c>
      <c r="R1453">
        <v>4</v>
      </c>
      <c r="S1453">
        <v>1.92</v>
      </c>
      <c r="T1453">
        <v>1</v>
      </c>
      <c r="U1453" t="s">
        <v>22</v>
      </c>
      <c r="V1453" t="e">
        <f>IF(#REF! = "yes", 1, 0)</f>
        <v>#REF!</v>
      </c>
      <c r="W1453" t="e">
        <f>IF(#REF! &lt;= 1, "0-1 Calls", IF(#REF! &lt;= 3, "2-3 Calls", IF(#REF! &lt;=5, "4-5 Calls", "6+ Calls")))</f>
        <v>#REF!</v>
      </c>
      <c r="X1453" t="e">
        <f>IF(#REF! &lt;= 50, "0-50", IF(#REF! &lt;=100, "51-100", IF(#REF! &lt;= 150, "101-150", "151+")))</f>
        <v>#REF!</v>
      </c>
      <c r="Y1453" t="e">
        <f>IF(#REF! &lt;= 3, "Low Charges", "High Charges")</f>
        <v>#REF!</v>
      </c>
      <c r="Z1453" t="e">
        <f>IF(#REF!&lt;=80,"Low Calls",
IF(#REF!&lt;=120,"Medium Calls","High Calls"))</f>
        <v>#REF!</v>
      </c>
      <c r="AA1453" t="e">
        <f>IF(#REF!&lt;=15,"Low Charges",
IF(#REF!&lt;=20,"Medium Charges","High Charges"))</f>
        <v>#REF!</v>
      </c>
      <c r="AB1453" t="e">
        <f>IF(AND(#REF!&gt;180, #REF!&gt;200), "Heavy Doemstic User", IF(#REF!&gt;10, "Interntional User", IF(AND(#REF!&lt;180, #REF!&lt;200,#REF!&lt;200), "Light User", "Balanced User")))</f>
        <v>#REF!</v>
      </c>
      <c r="AC1453" t="e">
        <f>IF(#REF! = 0, "No Usage", IF(#REF! &lt;= 20, "Low Usage", IF(#REF! &lt;= 40, "Medium Usgae", "High Usage")))</f>
        <v>#REF!</v>
      </c>
      <c r="AD1453" t="e">
        <f>IF(#REF!&lt;=150,"Low Usage", IF(#REF!&lt;=200,"Medium Usage", IF(#REF!&lt;=250,"High Usage","Very High Usage")))</f>
        <v>#REF!</v>
      </c>
      <c r="AE1453" t="e">
        <f>IF(#REF!&lt;=5,"Low Calls", IF(#REF!&lt;=10, "Medium Calls", "High Calls"))</f>
        <v>#REF!</v>
      </c>
      <c r="AF1453" t="e">
        <f xml:space="preserve">
IF(#REF!&gt;=4,4,0)+
IF(#REF!="yes",3,0)+
IF(#REF!="High Charges",3,0)+
IF(#REF!&gt;250,4,0)+
IF(#REF!="no",1,0)+
IF(#REF!="Heavy Domestic User",2,0)</f>
        <v>#REF!</v>
      </c>
      <c r="AG1453" t="e">
        <f>IF(#REF!&gt;=10,"High Risk", IF(#REF!&gt;=5,"Medium Risk","Low Risk"))</f>
        <v>#REF!</v>
      </c>
      <c r="AH1453" t="e">
        <f>#REF! + #REF! + #REF! + #REF!</f>
        <v>#REF!</v>
      </c>
    </row>
    <row r="1454" spans="1:34" x14ac:dyDescent="0.35">
      <c r="A1454">
        <v>1453</v>
      </c>
      <c r="B1454" t="s">
        <v>60</v>
      </c>
      <c r="C1454">
        <v>99</v>
      </c>
      <c r="D1454" t="s">
        <v>25</v>
      </c>
      <c r="E1454" t="s">
        <v>22</v>
      </c>
      <c r="F1454" t="s">
        <v>22</v>
      </c>
      <c r="G1454">
        <v>0</v>
      </c>
      <c r="H1454">
        <v>128.80000000000001</v>
      </c>
      <c r="I1454">
        <v>86</v>
      </c>
      <c r="J1454">
        <v>21.9</v>
      </c>
      <c r="K1454">
        <v>203.9</v>
      </c>
      <c r="L1454">
        <v>105</v>
      </c>
      <c r="M1454">
        <v>17.329999999999998</v>
      </c>
      <c r="N1454">
        <v>282.60000000000002</v>
      </c>
      <c r="O1454">
        <v>131</v>
      </c>
      <c r="P1454">
        <v>12.72</v>
      </c>
      <c r="Q1454">
        <v>14.1</v>
      </c>
      <c r="R1454">
        <v>4</v>
      </c>
      <c r="S1454">
        <v>3.81</v>
      </c>
      <c r="T1454">
        <v>2</v>
      </c>
      <c r="U1454" t="s">
        <v>22</v>
      </c>
      <c r="V1454" t="e">
        <f>IF(#REF! = "yes", 1, 0)</f>
        <v>#REF!</v>
      </c>
      <c r="W1454" t="e">
        <f>IF(#REF! &lt;= 1, "0-1 Calls", IF(#REF! &lt;= 3, "2-3 Calls", IF(#REF! &lt;=5, "4-5 Calls", "6+ Calls")))</f>
        <v>#REF!</v>
      </c>
      <c r="X1454" t="e">
        <f>IF(#REF! &lt;= 50, "0-50", IF(#REF! &lt;=100, "51-100", IF(#REF! &lt;= 150, "101-150", "151+")))</f>
        <v>#REF!</v>
      </c>
      <c r="Y1454" t="e">
        <f>IF(#REF! &lt;= 3, "Low Charges", "High Charges")</f>
        <v>#REF!</v>
      </c>
      <c r="Z1454" t="e">
        <f>IF(#REF!&lt;=80,"Low Calls",
IF(#REF!&lt;=120,"Medium Calls","High Calls"))</f>
        <v>#REF!</v>
      </c>
      <c r="AA1454" t="e">
        <f>IF(#REF!&lt;=15,"Low Charges",
IF(#REF!&lt;=20,"Medium Charges","High Charges"))</f>
        <v>#REF!</v>
      </c>
      <c r="AB1454" t="e">
        <f>IF(AND(#REF!&gt;180, #REF!&gt;200), "Heavy Doemstic User", IF(#REF!&gt;10, "Interntional User", IF(AND(#REF!&lt;180, #REF!&lt;200,#REF!&lt;200), "Light User", "Balanced User")))</f>
        <v>#REF!</v>
      </c>
      <c r="AC1454" t="e">
        <f>IF(#REF! = 0, "No Usage", IF(#REF! &lt;= 20, "Low Usage", IF(#REF! &lt;= 40, "Medium Usgae", "High Usage")))</f>
        <v>#REF!</v>
      </c>
      <c r="AD1454" t="e">
        <f>IF(#REF!&lt;=150,"Low Usage", IF(#REF!&lt;=200,"Medium Usage", IF(#REF!&lt;=250,"High Usage","Very High Usage")))</f>
        <v>#REF!</v>
      </c>
      <c r="AE1454" t="e">
        <f>IF(#REF!&lt;=5,"Low Calls", IF(#REF!&lt;=10, "Medium Calls", "High Calls"))</f>
        <v>#REF!</v>
      </c>
      <c r="AF1454" t="e">
        <f xml:space="preserve">
IF(#REF!&gt;=4,4,0)+
IF(#REF!="yes",3,0)+
IF(#REF!="High Charges",3,0)+
IF(#REF!&gt;250,4,0)+
IF(#REF!="no",1,0)+
IF(#REF!="Heavy Domestic User",2,0)</f>
        <v>#REF!</v>
      </c>
      <c r="AG1454" t="e">
        <f>IF(#REF!&gt;=10,"High Risk", IF(#REF!&gt;=5,"Medium Risk","Low Risk"))</f>
        <v>#REF!</v>
      </c>
      <c r="AH1454" t="e">
        <f>#REF! + #REF! + #REF! + #REF!</f>
        <v>#REF!</v>
      </c>
    </row>
    <row r="1455" spans="1:34" x14ac:dyDescent="0.35">
      <c r="A1455">
        <v>1454</v>
      </c>
      <c r="B1455" t="s">
        <v>31</v>
      </c>
      <c r="C1455">
        <v>50</v>
      </c>
      <c r="D1455" t="s">
        <v>28</v>
      </c>
      <c r="E1455" t="s">
        <v>22</v>
      </c>
      <c r="F1455" t="s">
        <v>22</v>
      </c>
      <c r="G1455">
        <v>0</v>
      </c>
      <c r="H1455">
        <v>131.69999999999999</v>
      </c>
      <c r="I1455">
        <v>108</v>
      </c>
      <c r="J1455">
        <v>22.39</v>
      </c>
      <c r="K1455">
        <v>216.5</v>
      </c>
      <c r="L1455">
        <v>103</v>
      </c>
      <c r="M1455">
        <v>18.399999999999999</v>
      </c>
      <c r="N1455">
        <v>196.1</v>
      </c>
      <c r="O1455">
        <v>126</v>
      </c>
      <c r="P1455">
        <v>8.82</v>
      </c>
      <c r="Q1455">
        <v>11</v>
      </c>
      <c r="R1455">
        <v>5</v>
      </c>
      <c r="S1455">
        <v>2.97</v>
      </c>
      <c r="T1455">
        <v>1</v>
      </c>
      <c r="U1455" t="s">
        <v>22</v>
      </c>
      <c r="V1455" t="e">
        <f>IF(#REF! = "yes", 1, 0)</f>
        <v>#REF!</v>
      </c>
      <c r="W1455" t="e">
        <f>IF(#REF! &lt;= 1, "0-1 Calls", IF(#REF! &lt;= 3, "2-3 Calls", IF(#REF! &lt;=5, "4-5 Calls", "6+ Calls")))</f>
        <v>#REF!</v>
      </c>
      <c r="X1455" t="e">
        <f>IF(#REF! &lt;= 50, "0-50", IF(#REF! &lt;=100, "51-100", IF(#REF! &lt;= 150, "101-150", "151+")))</f>
        <v>#REF!</v>
      </c>
      <c r="Y1455" t="e">
        <f>IF(#REF! &lt;= 3, "Low Charges", "High Charges")</f>
        <v>#REF!</v>
      </c>
      <c r="Z1455" t="e">
        <f>IF(#REF!&lt;=80,"Low Calls",
IF(#REF!&lt;=120,"Medium Calls","High Calls"))</f>
        <v>#REF!</v>
      </c>
      <c r="AA1455" t="e">
        <f>IF(#REF!&lt;=15,"Low Charges",
IF(#REF!&lt;=20,"Medium Charges","High Charges"))</f>
        <v>#REF!</v>
      </c>
      <c r="AB1455" t="e">
        <f>IF(AND(#REF!&gt;180, #REF!&gt;200), "Heavy Doemstic User", IF(#REF!&gt;10, "Interntional User", IF(AND(#REF!&lt;180, #REF!&lt;200,#REF!&lt;200), "Light User", "Balanced User")))</f>
        <v>#REF!</v>
      </c>
      <c r="AC1455" t="e">
        <f>IF(#REF! = 0, "No Usage", IF(#REF! &lt;= 20, "Low Usage", IF(#REF! &lt;= 40, "Medium Usgae", "High Usage")))</f>
        <v>#REF!</v>
      </c>
      <c r="AD1455" t="e">
        <f>IF(#REF!&lt;=150,"Low Usage", IF(#REF!&lt;=200,"Medium Usage", IF(#REF!&lt;=250,"High Usage","Very High Usage")))</f>
        <v>#REF!</v>
      </c>
      <c r="AE1455" t="e">
        <f>IF(#REF!&lt;=5,"Low Calls", IF(#REF!&lt;=10, "Medium Calls", "High Calls"))</f>
        <v>#REF!</v>
      </c>
      <c r="AF1455" t="e">
        <f xml:space="preserve">
IF(#REF!&gt;=4,4,0)+
IF(#REF!="yes",3,0)+
IF(#REF!="High Charges",3,0)+
IF(#REF!&gt;250,4,0)+
IF(#REF!="no",1,0)+
IF(#REF!="Heavy Domestic User",2,0)</f>
        <v>#REF!</v>
      </c>
      <c r="AG1455" t="e">
        <f>IF(#REF!&gt;=10,"High Risk", IF(#REF!&gt;=5,"Medium Risk","Low Risk"))</f>
        <v>#REF!</v>
      </c>
      <c r="AH1455" t="e">
        <f>#REF! + #REF! + #REF! + #REF!</f>
        <v>#REF!</v>
      </c>
    </row>
    <row r="1456" spans="1:34" x14ac:dyDescent="0.35">
      <c r="A1456">
        <v>1455</v>
      </c>
      <c r="B1456" t="s">
        <v>67</v>
      </c>
      <c r="C1456">
        <v>105</v>
      </c>
      <c r="D1456" t="s">
        <v>21</v>
      </c>
      <c r="E1456" t="s">
        <v>22</v>
      </c>
      <c r="F1456" t="s">
        <v>22</v>
      </c>
      <c r="G1456">
        <v>0</v>
      </c>
      <c r="H1456">
        <v>101.4</v>
      </c>
      <c r="I1456">
        <v>48</v>
      </c>
      <c r="J1456">
        <v>17.239999999999998</v>
      </c>
      <c r="K1456">
        <v>159.1</v>
      </c>
      <c r="L1456">
        <v>119</v>
      </c>
      <c r="M1456">
        <v>13.52</v>
      </c>
      <c r="N1456">
        <v>259.2</v>
      </c>
      <c r="O1456">
        <v>53</v>
      </c>
      <c r="P1456">
        <v>11.66</v>
      </c>
      <c r="Q1456">
        <v>12.2</v>
      </c>
      <c r="R1456">
        <v>2</v>
      </c>
      <c r="S1456">
        <v>3.29</v>
      </c>
      <c r="T1456">
        <v>1</v>
      </c>
      <c r="U1456" t="s">
        <v>22</v>
      </c>
      <c r="V1456" t="e">
        <f>IF(#REF! = "yes", 1, 0)</f>
        <v>#REF!</v>
      </c>
      <c r="W1456" t="e">
        <f>IF(#REF! &lt;= 1, "0-1 Calls", IF(#REF! &lt;= 3, "2-3 Calls", IF(#REF! &lt;=5, "4-5 Calls", "6+ Calls")))</f>
        <v>#REF!</v>
      </c>
      <c r="X1456" t="e">
        <f>IF(#REF! &lt;= 50, "0-50", IF(#REF! &lt;=100, "51-100", IF(#REF! &lt;= 150, "101-150", "151+")))</f>
        <v>#REF!</v>
      </c>
      <c r="Y1456" t="e">
        <f>IF(#REF! &lt;= 3, "Low Charges", "High Charges")</f>
        <v>#REF!</v>
      </c>
      <c r="Z1456" t="e">
        <f>IF(#REF!&lt;=80,"Low Calls",
IF(#REF!&lt;=120,"Medium Calls","High Calls"))</f>
        <v>#REF!</v>
      </c>
      <c r="AA1456" t="e">
        <f>IF(#REF!&lt;=15,"Low Charges",
IF(#REF!&lt;=20,"Medium Charges","High Charges"))</f>
        <v>#REF!</v>
      </c>
      <c r="AB1456" t="e">
        <f>IF(AND(#REF!&gt;180, #REF!&gt;200), "Heavy Doemstic User", IF(#REF!&gt;10, "Interntional User", IF(AND(#REF!&lt;180, #REF!&lt;200,#REF!&lt;200), "Light User", "Balanced User")))</f>
        <v>#REF!</v>
      </c>
      <c r="AC1456" t="e">
        <f>IF(#REF! = 0, "No Usage", IF(#REF! &lt;= 20, "Low Usage", IF(#REF! &lt;= 40, "Medium Usgae", "High Usage")))</f>
        <v>#REF!</v>
      </c>
      <c r="AD1456" t="e">
        <f>IF(#REF!&lt;=150,"Low Usage", IF(#REF!&lt;=200,"Medium Usage", IF(#REF!&lt;=250,"High Usage","Very High Usage")))</f>
        <v>#REF!</v>
      </c>
      <c r="AE1456" t="e">
        <f>IF(#REF!&lt;=5,"Low Calls", IF(#REF!&lt;=10, "Medium Calls", "High Calls"))</f>
        <v>#REF!</v>
      </c>
      <c r="AF1456" t="e">
        <f xml:space="preserve">
IF(#REF!&gt;=4,4,0)+
IF(#REF!="yes",3,0)+
IF(#REF!="High Charges",3,0)+
IF(#REF!&gt;250,4,0)+
IF(#REF!="no",1,0)+
IF(#REF!="Heavy Domestic User",2,0)</f>
        <v>#REF!</v>
      </c>
      <c r="AG1456" t="e">
        <f>IF(#REF!&gt;=10,"High Risk", IF(#REF!&gt;=5,"Medium Risk","Low Risk"))</f>
        <v>#REF!</v>
      </c>
      <c r="AH1456" t="e">
        <f>#REF! + #REF! + #REF! + #REF!</f>
        <v>#REF!</v>
      </c>
    </row>
    <row r="1457" spans="1:34" x14ac:dyDescent="0.35">
      <c r="A1457">
        <v>1456</v>
      </c>
      <c r="B1457" t="s">
        <v>61</v>
      </c>
      <c r="C1457">
        <v>161</v>
      </c>
      <c r="D1457" t="s">
        <v>25</v>
      </c>
      <c r="E1457" t="s">
        <v>22</v>
      </c>
      <c r="F1457" t="s">
        <v>22</v>
      </c>
      <c r="G1457">
        <v>0</v>
      </c>
      <c r="H1457">
        <v>107.5</v>
      </c>
      <c r="I1457">
        <v>121</v>
      </c>
      <c r="J1457">
        <v>18.28</v>
      </c>
      <c r="K1457">
        <v>256.39999999999998</v>
      </c>
      <c r="L1457">
        <v>46</v>
      </c>
      <c r="M1457">
        <v>21.79</v>
      </c>
      <c r="N1457">
        <v>247.2</v>
      </c>
      <c r="O1457">
        <v>131</v>
      </c>
      <c r="P1457">
        <v>11.12</v>
      </c>
      <c r="Q1457">
        <v>12.6</v>
      </c>
      <c r="R1457">
        <v>3</v>
      </c>
      <c r="S1457">
        <v>3.4</v>
      </c>
      <c r="T1457">
        <v>2</v>
      </c>
      <c r="U1457" t="s">
        <v>22</v>
      </c>
      <c r="V1457" t="e">
        <f>IF(#REF! = "yes", 1, 0)</f>
        <v>#REF!</v>
      </c>
      <c r="W1457" t="e">
        <f>IF(#REF! &lt;= 1, "0-1 Calls", IF(#REF! &lt;= 3, "2-3 Calls", IF(#REF! &lt;=5, "4-5 Calls", "6+ Calls")))</f>
        <v>#REF!</v>
      </c>
      <c r="X1457" t="e">
        <f>IF(#REF! &lt;= 50, "0-50", IF(#REF! &lt;=100, "51-100", IF(#REF! &lt;= 150, "101-150", "151+")))</f>
        <v>#REF!</v>
      </c>
      <c r="Y1457" t="e">
        <f>IF(#REF! &lt;= 3, "Low Charges", "High Charges")</f>
        <v>#REF!</v>
      </c>
      <c r="Z1457" t="e">
        <f>IF(#REF!&lt;=80,"Low Calls",
IF(#REF!&lt;=120,"Medium Calls","High Calls"))</f>
        <v>#REF!</v>
      </c>
      <c r="AA1457" t="e">
        <f>IF(#REF!&lt;=15,"Low Charges",
IF(#REF!&lt;=20,"Medium Charges","High Charges"))</f>
        <v>#REF!</v>
      </c>
      <c r="AB1457" t="e">
        <f>IF(AND(#REF!&gt;180, #REF!&gt;200), "Heavy Doemstic User", IF(#REF!&gt;10, "Interntional User", IF(AND(#REF!&lt;180, #REF!&lt;200,#REF!&lt;200), "Light User", "Balanced User")))</f>
        <v>#REF!</v>
      </c>
      <c r="AC1457" t="e">
        <f>IF(#REF! = 0, "No Usage", IF(#REF! &lt;= 20, "Low Usage", IF(#REF! &lt;= 40, "Medium Usgae", "High Usage")))</f>
        <v>#REF!</v>
      </c>
      <c r="AD1457" t="e">
        <f>IF(#REF!&lt;=150,"Low Usage", IF(#REF!&lt;=200,"Medium Usage", IF(#REF!&lt;=250,"High Usage","Very High Usage")))</f>
        <v>#REF!</v>
      </c>
      <c r="AE1457" t="e">
        <f>IF(#REF!&lt;=5,"Low Calls", IF(#REF!&lt;=10, "Medium Calls", "High Calls"))</f>
        <v>#REF!</v>
      </c>
      <c r="AF1457" t="e">
        <f xml:space="preserve">
IF(#REF!&gt;=4,4,0)+
IF(#REF!="yes",3,0)+
IF(#REF!="High Charges",3,0)+
IF(#REF!&gt;250,4,0)+
IF(#REF!="no",1,0)+
IF(#REF!="Heavy Domestic User",2,0)</f>
        <v>#REF!</v>
      </c>
      <c r="AG1457" t="e">
        <f>IF(#REF!&gt;=10,"High Risk", IF(#REF!&gt;=5,"Medium Risk","Low Risk"))</f>
        <v>#REF!</v>
      </c>
      <c r="AH1457" t="e">
        <f>#REF! + #REF! + #REF! + #REF!</f>
        <v>#REF!</v>
      </c>
    </row>
    <row r="1458" spans="1:34" x14ac:dyDescent="0.35">
      <c r="A1458">
        <v>1457</v>
      </c>
      <c r="B1458" t="s">
        <v>45</v>
      </c>
      <c r="C1458">
        <v>97</v>
      </c>
      <c r="D1458" t="s">
        <v>21</v>
      </c>
      <c r="E1458" t="s">
        <v>22</v>
      </c>
      <c r="F1458" t="s">
        <v>23</v>
      </c>
      <c r="G1458">
        <v>43</v>
      </c>
      <c r="H1458">
        <v>121.1</v>
      </c>
      <c r="I1458">
        <v>105</v>
      </c>
      <c r="J1458">
        <v>20.59</v>
      </c>
      <c r="K1458">
        <v>260.2</v>
      </c>
      <c r="L1458">
        <v>115</v>
      </c>
      <c r="M1458">
        <v>22.12</v>
      </c>
      <c r="N1458">
        <v>222.4</v>
      </c>
      <c r="O1458">
        <v>100</v>
      </c>
      <c r="P1458">
        <v>10.01</v>
      </c>
      <c r="Q1458">
        <v>8.3000000000000007</v>
      </c>
      <c r="R1458">
        <v>5</v>
      </c>
      <c r="S1458">
        <v>2.2400000000000002</v>
      </c>
      <c r="T1458">
        <v>3</v>
      </c>
      <c r="U1458" t="s">
        <v>22</v>
      </c>
      <c r="V1458" t="e">
        <f>IF(#REF! = "yes", 1, 0)</f>
        <v>#REF!</v>
      </c>
      <c r="W1458" t="e">
        <f>IF(#REF! &lt;= 1, "0-1 Calls", IF(#REF! &lt;= 3, "2-3 Calls", IF(#REF! &lt;=5, "4-5 Calls", "6+ Calls")))</f>
        <v>#REF!</v>
      </c>
      <c r="X1458" t="e">
        <f>IF(#REF! &lt;= 50, "0-50", IF(#REF! &lt;=100, "51-100", IF(#REF! &lt;= 150, "101-150", "151+")))</f>
        <v>#REF!</v>
      </c>
      <c r="Y1458" t="e">
        <f>IF(#REF! &lt;= 3, "Low Charges", "High Charges")</f>
        <v>#REF!</v>
      </c>
      <c r="Z1458" t="e">
        <f>IF(#REF!&lt;=80,"Low Calls",
IF(#REF!&lt;=120,"Medium Calls","High Calls"))</f>
        <v>#REF!</v>
      </c>
      <c r="AA1458" t="e">
        <f>IF(#REF!&lt;=15,"Low Charges",
IF(#REF!&lt;=20,"Medium Charges","High Charges"))</f>
        <v>#REF!</v>
      </c>
      <c r="AB1458" t="e">
        <f>IF(AND(#REF!&gt;180, #REF!&gt;200), "Heavy Doemstic User", IF(#REF!&gt;10, "Interntional User", IF(AND(#REF!&lt;180, #REF!&lt;200,#REF!&lt;200), "Light User", "Balanced User")))</f>
        <v>#REF!</v>
      </c>
      <c r="AC1458" t="e">
        <f>IF(#REF! = 0, "No Usage", IF(#REF! &lt;= 20, "Low Usage", IF(#REF! &lt;= 40, "Medium Usgae", "High Usage")))</f>
        <v>#REF!</v>
      </c>
      <c r="AD1458" t="e">
        <f>IF(#REF!&lt;=150,"Low Usage", IF(#REF!&lt;=200,"Medium Usage", IF(#REF!&lt;=250,"High Usage","Very High Usage")))</f>
        <v>#REF!</v>
      </c>
      <c r="AE1458" t="e">
        <f>IF(#REF!&lt;=5,"Low Calls", IF(#REF!&lt;=10, "Medium Calls", "High Calls"))</f>
        <v>#REF!</v>
      </c>
      <c r="AF1458" t="e">
        <f xml:space="preserve">
IF(#REF!&gt;=4,4,0)+
IF(#REF!="yes",3,0)+
IF(#REF!="High Charges",3,0)+
IF(#REF!&gt;250,4,0)+
IF(#REF!="no",1,0)+
IF(#REF!="Heavy Domestic User",2,0)</f>
        <v>#REF!</v>
      </c>
      <c r="AG1458" t="e">
        <f>IF(#REF!&gt;=10,"High Risk", IF(#REF!&gt;=5,"Medium Risk","Low Risk"))</f>
        <v>#REF!</v>
      </c>
      <c r="AH1458" t="e">
        <f>#REF! + #REF! + #REF! + #REF!</f>
        <v>#REF!</v>
      </c>
    </row>
    <row r="1459" spans="1:34" x14ac:dyDescent="0.35">
      <c r="A1459">
        <v>1458</v>
      </c>
      <c r="B1459" t="s">
        <v>59</v>
      </c>
      <c r="C1459">
        <v>130</v>
      </c>
      <c r="D1459" t="s">
        <v>28</v>
      </c>
      <c r="E1459" t="s">
        <v>22</v>
      </c>
      <c r="F1459" t="s">
        <v>22</v>
      </c>
      <c r="G1459">
        <v>0</v>
      </c>
      <c r="H1459">
        <v>124.3</v>
      </c>
      <c r="I1459">
        <v>70</v>
      </c>
      <c r="J1459">
        <v>21.13</v>
      </c>
      <c r="K1459">
        <v>270.7</v>
      </c>
      <c r="L1459">
        <v>99</v>
      </c>
      <c r="M1459">
        <v>23.01</v>
      </c>
      <c r="N1459">
        <v>239.5</v>
      </c>
      <c r="O1459">
        <v>83</v>
      </c>
      <c r="P1459">
        <v>10.78</v>
      </c>
      <c r="Q1459">
        <v>3.5</v>
      </c>
      <c r="R1459">
        <v>6</v>
      </c>
      <c r="S1459">
        <v>0.95</v>
      </c>
      <c r="T1459">
        <v>0</v>
      </c>
      <c r="U1459" t="s">
        <v>22</v>
      </c>
      <c r="V1459" t="e">
        <f>IF(#REF! = "yes", 1, 0)</f>
        <v>#REF!</v>
      </c>
      <c r="W1459" t="e">
        <f>IF(#REF! &lt;= 1, "0-1 Calls", IF(#REF! &lt;= 3, "2-3 Calls", IF(#REF! &lt;=5, "4-5 Calls", "6+ Calls")))</f>
        <v>#REF!</v>
      </c>
      <c r="X1459" t="e">
        <f>IF(#REF! &lt;= 50, "0-50", IF(#REF! &lt;=100, "51-100", IF(#REF! &lt;= 150, "101-150", "151+")))</f>
        <v>#REF!</v>
      </c>
      <c r="Y1459" t="e">
        <f>IF(#REF! &lt;= 3, "Low Charges", "High Charges")</f>
        <v>#REF!</v>
      </c>
      <c r="Z1459" t="e">
        <f>IF(#REF!&lt;=80,"Low Calls",
IF(#REF!&lt;=120,"Medium Calls","High Calls"))</f>
        <v>#REF!</v>
      </c>
      <c r="AA1459" t="e">
        <f>IF(#REF!&lt;=15,"Low Charges",
IF(#REF!&lt;=20,"Medium Charges","High Charges"))</f>
        <v>#REF!</v>
      </c>
      <c r="AB1459" t="e">
        <f>IF(AND(#REF!&gt;180, #REF!&gt;200), "Heavy Doemstic User", IF(#REF!&gt;10, "Interntional User", IF(AND(#REF!&lt;180, #REF!&lt;200,#REF!&lt;200), "Light User", "Balanced User")))</f>
        <v>#REF!</v>
      </c>
      <c r="AC1459" t="e">
        <f>IF(#REF! = 0, "No Usage", IF(#REF! &lt;= 20, "Low Usage", IF(#REF! &lt;= 40, "Medium Usgae", "High Usage")))</f>
        <v>#REF!</v>
      </c>
      <c r="AD1459" t="e">
        <f>IF(#REF!&lt;=150,"Low Usage", IF(#REF!&lt;=200,"Medium Usage", IF(#REF!&lt;=250,"High Usage","Very High Usage")))</f>
        <v>#REF!</v>
      </c>
      <c r="AE1459" t="e">
        <f>IF(#REF!&lt;=5,"Low Calls", IF(#REF!&lt;=10, "Medium Calls", "High Calls"))</f>
        <v>#REF!</v>
      </c>
      <c r="AF1459" t="e">
        <f xml:space="preserve">
IF(#REF!&gt;=4,4,0)+
IF(#REF!="yes",3,0)+
IF(#REF!="High Charges",3,0)+
IF(#REF!&gt;250,4,0)+
IF(#REF!="no",1,0)+
IF(#REF!="Heavy Domestic User",2,0)</f>
        <v>#REF!</v>
      </c>
      <c r="AG1459" t="e">
        <f>IF(#REF!&gt;=10,"High Risk", IF(#REF!&gt;=5,"Medium Risk","Low Risk"))</f>
        <v>#REF!</v>
      </c>
      <c r="AH1459" t="e">
        <f>#REF! + #REF! + #REF! + #REF!</f>
        <v>#REF!</v>
      </c>
    </row>
    <row r="1460" spans="1:34" x14ac:dyDescent="0.35">
      <c r="A1460">
        <v>1459</v>
      </c>
      <c r="B1460" t="s">
        <v>51</v>
      </c>
      <c r="C1460">
        <v>92</v>
      </c>
      <c r="D1460" t="s">
        <v>21</v>
      </c>
      <c r="E1460" t="s">
        <v>22</v>
      </c>
      <c r="F1460" t="s">
        <v>22</v>
      </c>
      <c r="G1460">
        <v>0</v>
      </c>
      <c r="H1460">
        <v>157.69999999999999</v>
      </c>
      <c r="I1460">
        <v>101</v>
      </c>
      <c r="J1460">
        <v>26.81</v>
      </c>
      <c r="K1460">
        <v>298.60000000000002</v>
      </c>
      <c r="L1460">
        <v>100</v>
      </c>
      <c r="M1460">
        <v>25.38</v>
      </c>
      <c r="N1460">
        <v>216.9</v>
      </c>
      <c r="O1460">
        <v>99</v>
      </c>
      <c r="P1460">
        <v>9.76</v>
      </c>
      <c r="Q1460">
        <v>13.8</v>
      </c>
      <c r="R1460">
        <v>3</v>
      </c>
      <c r="S1460">
        <v>3.73</v>
      </c>
      <c r="T1460">
        <v>1</v>
      </c>
      <c r="U1460" t="s">
        <v>22</v>
      </c>
      <c r="V1460" t="e">
        <f>IF(#REF! = "yes", 1, 0)</f>
        <v>#REF!</v>
      </c>
      <c r="W1460" t="e">
        <f>IF(#REF! &lt;= 1, "0-1 Calls", IF(#REF! &lt;= 3, "2-3 Calls", IF(#REF! &lt;=5, "4-5 Calls", "6+ Calls")))</f>
        <v>#REF!</v>
      </c>
      <c r="X1460" t="e">
        <f>IF(#REF! &lt;= 50, "0-50", IF(#REF! &lt;=100, "51-100", IF(#REF! &lt;= 150, "101-150", "151+")))</f>
        <v>#REF!</v>
      </c>
      <c r="Y1460" t="e">
        <f>IF(#REF! &lt;= 3, "Low Charges", "High Charges")</f>
        <v>#REF!</v>
      </c>
      <c r="Z1460" t="e">
        <f>IF(#REF!&lt;=80,"Low Calls",
IF(#REF!&lt;=120,"Medium Calls","High Calls"))</f>
        <v>#REF!</v>
      </c>
      <c r="AA1460" t="e">
        <f>IF(#REF!&lt;=15,"Low Charges",
IF(#REF!&lt;=20,"Medium Charges","High Charges"))</f>
        <v>#REF!</v>
      </c>
      <c r="AB1460" t="e">
        <f>IF(AND(#REF!&gt;180, #REF!&gt;200), "Heavy Doemstic User", IF(#REF!&gt;10, "Interntional User", IF(AND(#REF!&lt;180, #REF!&lt;200,#REF!&lt;200), "Light User", "Balanced User")))</f>
        <v>#REF!</v>
      </c>
      <c r="AC1460" t="e">
        <f>IF(#REF! = 0, "No Usage", IF(#REF! &lt;= 20, "Low Usage", IF(#REF! &lt;= 40, "Medium Usgae", "High Usage")))</f>
        <v>#REF!</v>
      </c>
      <c r="AD1460" t="e">
        <f>IF(#REF!&lt;=150,"Low Usage", IF(#REF!&lt;=200,"Medium Usage", IF(#REF!&lt;=250,"High Usage","Very High Usage")))</f>
        <v>#REF!</v>
      </c>
      <c r="AE1460" t="e">
        <f>IF(#REF!&lt;=5,"Low Calls", IF(#REF!&lt;=10, "Medium Calls", "High Calls"))</f>
        <v>#REF!</v>
      </c>
      <c r="AF1460" t="e">
        <f xml:space="preserve">
IF(#REF!&gt;=4,4,0)+
IF(#REF!="yes",3,0)+
IF(#REF!="High Charges",3,0)+
IF(#REF!&gt;250,4,0)+
IF(#REF!="no",1,0)+
IF(#REF!="Heavy Domestic User",2,0)</f>
        <v>#REF!</v>
      </c>
      <c r="AG1460" t="e">
        <f>IF(#REF!&gt;=10,"High Risk", IF(#REF!&gt;=5,"Medium Risk","Low Risk"))</f>
        <v>#REF!</v>
      </c>
      <c r="AH1460" t="e">
        <f>#REF! + #REF! + #REF! + #REF!</f>
        <v>#REF!</v>
      </c>
    </row>
    <row r="1461" spans="1:34" x14ac:dyDescent="0.35">
      <c r="A1461">
        <v>1460</v>
      </c>
      <c r="B1461" t="s">
        <v>41</v>
      </c>
      <c r="C1461">
        <v>119</v>
      </c>
      <c r="D1461" t="s">
        <v>25</v>
      </c>
      <c r="E1461" t="s">
        <v>22</v>
      </c>
      <c r="F1461" t="s">
        <v>22</v>
      </c>
      <c r="G1461">
        <v>0</v>
      </c>
      <c r="H1461">
        <v>124.3</v>
      </c>
      <c r="I1461">
        <v>68</v>
      </c>
      <c r="J1461">
        <v>21.13</v>
      </c>
      <c r="K1461">
        <v>207.1</v>
      </c>
      <c r="L1461">
        <v>88</v>
      </c>
      <c r="M1461">
        <v>17.600000000000001</v>
      </c>
      <c r="N1461">
        <v>157.4</v>
      </c>
      <c r="O1461">
        <v>93</v>
      </c>
      <c r="P1461">
        <v>7.08</v>
      </c>
      <c r="Q1461">
        <v>14.8</v>
      </c>
      <c r="R1461">
        <v>1</v>
      </c>
      <c r="S1461">
        <v>4</v>
      </c>
      <c r="T1461">
        <v>0</v>
      </c>
      <c r="U1461" t="s">
        <v>22</v>
      </c>
      <c r="V1461" t="e">
        <f>IF(#REF! = "yes", 1, 0)</f>
        <v>#REF!</v>
      </c>
      <c r="W1461" t="e">
        <f>IF(#REF! &lt;= 1, "0-1 Calls", IF(#REF! &lt;= 3, "2-3 Calls", IF(#REF! &lt;=5, "4-5 Calls", "6+ Calls")))</f>
        <v>#REF!</v>
      </c>
      <c r="X1461" t="e">
        <f>IF(#REF! &lt;= 50, "0-50", IF(#REF! &lt;=100, "51-100", IF(#REF! &lt;= 150, "101-150", "151+")))</f>
        <v>#REF!</v>
      </c>
      <c r="Y1461" t="e">
        <f>IF(#REF! &lt;= 3, "Low Charges", "High Charges")</f>
        <v>#REF!</v>
      </c>
      <c r="Z1461" t="e">
        <f>IF(#REF!&lt;=80,"Low Calls",
IF(#REF!&lt;=120,"Medium Calls","High Calls"))</f>
        <v>#REF!</v>
      </c>
      <c r="AA1461" t="e">
        <f>IF(#REF!&lt;=15,"Low Charges",
IF(#REF!&lt;=20,"Medium Charges","High Charges"))</f>
        <v>#REF!</v>
      </c>
      <c r="AB1461" t="e">
        <f>IF(AND(#REF!&gt;180, #REF!&gt;200), "Heavy Doemstic User", IF(#REF!&gt;10, "Interntional User", IF(AND(#REF!&lt;180, #REF!&lt;200,#REF!&lt;200), "Light User", "Balanced User")))</f>
        <v>#REF!</v>
      </c>
      <c r="AC1461" t="e">
        <f>IF(#REF! = 0, "No Usage", IF(#REF! &lt;= 20, "Low Usage", IF(#REF! &lt;= 40, "Medium Usgae", "High Usage")))</f>
        <v>#REF!</v>
      </c>
      <c r="AD1461" t="e">
        <f>IF(#REF!&lt;=150,"Low Usage", IF(#REF!&lt;=200,"Medium Usage", IF(#REF!&lt;=250,"High Usage","Very High Usage")))</f>
        <v>#REF!</v>
      </c>
      <c r="AE1461" t="e">
        <f>IF(#REF!&lt;=5,"Low Calls", IF(#REF!&lt;=10, "Medium Calls", "High Calls"))</f>
        <v>#REF!</v>
      </c>
      <c r="AF1461" t="e">
        <f xml:space="preserve">
IF(#REF!&gt;=4,4,0)+
IF(#REF!="yes",3,0)+
IF(#REF!="High Charges",3,0)+
IF(#REF!&gt;250,4,0)+
IF(#REF!="no",1,0)+
IF(#REF!="Heavy Domestic User",2,0)</f>
        <v>#REF!</v>
      </c>
      <c r="AG1461" t="e">
        <f>IF(#REF!&gt;=10,"High Risk", IF(#REF!&gt;=5,"Medium Risk","Low Risk"))</f>
        <v>#REF!</v>
      </c>
      <c r="AH1461" t="e">
        <f>#REF! + #REF! + #REF! + #REF!</f>
        <v>#REF!</v>
      </c>
    </row>
    <row r="1462" spans="1:34" x14ac:dyDescent="0.35">
      <c r="A1462">
        <v>1461</v>
      </c>
      <c r="B1462" t="s">
        <v>62</v>
      </c>
      <c r="C1462">
        <v>115</v>
      </c>
      <c r="D1462" t="s">
        <v>21</v>
      </c>
      <c r="E1462" t="s">
        <v>22</v>
      </c>
      <c r="F1462" t="s">
        <v>22</v>
      </c>
      <c r="G1462">
        <v>0</v>
      </c>
      <c r="H1462">
        <v>286.39999999999998</v>
      </c>
      <c r="I1462">
        <v>125</v>
      </c>
      <c r="J1462">
        <v>48.69</v>
      </c>
      <c r="K1462">
        <v>205.7</v>
      </c>
      <c r="L1462">
        <v>74</v>
      </c>
      <c r="M1462">
        <v>17.48</v>
      </c>
      <c r="N1462">
        <v>191.4</v>
      </c>
      <c r="O1462">
        <v>141</v>
      </c>
      <c r="P1462">
        <v>8.61</v>
      </c>
      <c r="Q1462">
        <v>6.9</v>
      </c>
      <c r="R1462">
        <v>6</v>
      </c>
      <c r="S1462">
        <v>1.86</v>
      </c>
      <c r="T1462">
        <v>1</v>
      </c>
      <c r="U1462" t="s">
        <v>23</v>
      </c>
      <c r="V1462" t="e">
        <f>IF(#REF! = "yes", 1, 0)</f>
        <v>#REF!</v>
      </c>
      <c r="W1462" t="e">
        <f>IF(#REF! &lt;= 1, "0-1 Calls", IF(#REF! &lt;= 3, "2-3 Calls", IF(#REF! &lt;=5, "4-5 Calls", "6+ Calls")))</f>
        <v>#REF!</v>
      </c>
      <c r="X1462" t="e">
        <f>IF(#REF! &lt;= 50, "0-50", IF(#REF! &lt;=100, "51-100", IF(#REF! &lt;= 150, "101-150", "151+")))</f>
        <v>#REF!</v>
      </c>
      <c r="Y1462" t="e">
        <f>IF(#REF! &lt;= 3, "Low Charges", "High Charges")</f>
        <v>#REF!</v>
      </c>
      <c r="Z1462" t="e">
        <f>IF(#REF!&lt;=80,"Low Calls",
IF(#REF!&lt;=120,"Medium Calls","High Calls"))</f>
        <v>#REF!</v>
      </c>
      <c r="AA1462" t="e">
        <f>IF(#REF!&lt;=15,"Low Charges",
IF(#REF!&lt;=20,"Medium Charges","High Charges"))</f>
        <v>#REF!</v>
      </c>
      <c r="AB1462" t="e">
        <f>IF(AND(#REF!&gt;180, #REF!&gt;200), "Heavy Doemstic User", IF(#REF!&gt;10, "Interntional User", IF(AND(#REF!&lt;180, #REF!&lt;200,#REF!&lt;200), "Light User", "Balanced User")))</f>
        <v>#REF!</v>
      </c>
      <c r="AC1462" t="e">
        <f>IF(#REF! = 0, "No Usage", IF(#REF! &lt;= 20, "Low Usage", IF(#REF! &lt;= 40, "Medium Usgae", "High Usage")))</f>
        <v>#REF!</v>
      </c>
      <c r="AD1462" t="e">
        <f>IF(#REF!&lt;=150,"Low Usage", IF(#REF!&lt;=200,"Medium Usage", IF(#REF!&lt;=250,"High Usage","Very High Usage")))</f>
        <v>#REF!</v>
      </c>
      <c r="AE1462" t="e">
        <f>IF(#REF!&lt;=5,"Low Calls", IF(#REF!&lt;=10, "Medium Calls", "High Calls"))</f>
        <v>#REF!</v>
      </c>
      <c r="AF1462" t="e">
        <f xml:space="preserve">
IF(#REF!&gt;=4,4,0)+
IF(#REF!="yes",3,0)+
IF(#REF!="High Charges",3,0)+
IF(#REF!&gt;250,4,0)+
IF(#REF!="no",1,0)+
IF(#REF!="Heavy Domestic User",2,0)</f>
        <v>#REF!</v>
      </c>
      <c r="AG1462" t="e">
        <f>IF(#REF!&gt;=10,"High Risk", IF(#REF!&gt;=5,"Medium Risk","Low Risk"))</f>
        <v>#REF!</v>
      </c>
      <c r="AH1462" t="e">
        <f>#REF! + #REF! + #REF! + #REF!</f>
        <v>#REF!</v>
      </c>
    </row>
    <row r="1463" spans="1:34" x14ac:dyDescent="0.35">
      <c r="A1463">
        <v>1462</v>
      </c>
      <c r="B1463" t="s">
        <v>33</v>
      </c>
      <c r="C1463">
        <v>134</v>
      </c>
      <c r="D1463" t="s">
        <v>21</v>
      </c>
      <c r="E1463" t="s">
        <v>22</v>
      </c>
      <c r="F1463" t="s">
        <v>22</v>
      </c>
      <c r="G1463">
        <v>0</v>
      </c>
      <c r="H1463">
        <v>141.69999999999999</v>
      </c>
      <c r="I1463">
        <v>95</v>
      </c>
      <c r="J1463">
        <v>24.09</v>
      </c>
      <c r="K1463">
        <v>205.6</v>
      </c>
      <c r="L1463">
        <v>101</v>
      </c>
      <c r="M1463">
        <v>17.48</v>
      </c>
      <c r="N1463">
        <v>218.5</v>
      </c>
      <c r="O1463">
        <v>60</v>
      </c>
      <c r="P1463">
        <v>9.83</v>
      </c>
      <c r="Q1463">
        <v>8.8000000000000007</v>
      </c>
      <c r="R1463">
        <v>6</v>
      </c>
      <c r="S1463">
        <v>2.38</v>
      </c>
      <c r="T1463">
        <v>0</v>
      </c>
      <c r="U1463" t="s">
        <v>22</v>
      </c>
      <c r="V1463" t="e">
        <f>IF(#REF! = "yes", 1, 0)</f>
        <v>#REF!</v>
      </c>
      <c r="W1463" t="e">
        <f>IF(#REF! &lt;= 1, "0-1 Calls", IF(#REF! &lt;= 3, "2-3 Calls", IF(#REF! &lt;=5, "4-5 Calls", "6+ Calls")))</f>
        <v>#REF!</v>
      </c>
      <c r="X1463" t="e">
        <f>IF(#REF! &lt;= 50, "0-50", IF(#REF! &lt;=100, "51-100", IF(#REF! &lt;= 150, "101-150", "151+")))</f>
        <v>#REF!</v>
      </c>
      <c r="Y1463" t="e">
        <f>IF(#REF! &lt;= 3, "Low Charges", "High Charges")</f>
        <v>#REF!</v>
      </c>
      <c r="Z1463" t="e">
        <f>IF(#REF!&lt;=80,"Low Calls",
IF(#REF!&lt;=120,"Medium Calls","High Calls"))</f>
        <v>#REF!</v>
      </c>
      <c r="AA1463" t="e">
        <f>IF(#REF!&lt;=15,"Low Charges",
IF(#REF!&lt;=20,"Medium Charges","High Charges"))</f>
        <v>#REF!</v>
      </c>
      <c r="AB1463" t="e">
        <f>IF(AND(#REF!&gt;180, #REF!&gt;200), "Heavy Doemstic User", IF(#REF!&gt;10, "Interntional User", IF(AND(#REF!&lt;180, #REF!&lt;200,#REF!&lt;200), "Light User", "Balanced User")))</f>
        <v>#REF!</v>
      </c>
      <c r="AC1463" t="e">
        <f>IF(#REF! = 0, "No Usage", IF(#REF! &lt;= 20, "Low Usage", IF(#REF! &lt;= 40, "Medium Usgae", "High Usage")))</f>
        <v>#REF!</v>
      </c>
      <c r="AD1463" t="e">
        <f>IF(#REF!&lt;=150,"Low Usage", IF(#REF!&lt;=200,"Medium Usage", IF(#REF!&lt;=250,"High Usage","Very High Usage")))</f>
        <v>#REF!</v>
      </c>
      <c r="AE1463" t="e">
        <f>IF(#REF!&lt;=5,"Low Calls", IF(#REF!&lt;=10, "Medium Calls", "High Calls"))</f>
        <v>#REF!</v>
      </c>
      <c r="AF1463" t="e">
        <f xml:space="preserve">
IF(#REF!&gt;=4,4,0)+
IF(#REF!="yes",3,0)+
IF(#REF!="High Charges",3,0)+
IF(#REF!&gt;250,4,0)+
IF(#REF!="no",1,0)+
IF(#REF!="Heavy Domestic User",2,0)</f>
        <v>#REF!</v>
      </c>
      <c r="AG1463" t="e">
        <f>IF(#REF!&gt;=10,"High Risk", IF(#REF!&gt;=5,"Medium Risk","Low Risk"))</f>
        <v>#REF!</v>
      </c>
      <c r="AH1463" t="e">
        <f>#REF! + #REF! + #REF! + #REF!</f>
        <v>#REF!</v>
      </c>
    </row>
    <row r="1464" spans="1:34" x14ac:dyDescent="0.35">
      <c r="A1464">
        <v>1463</v>
      </c>
      <c r="B1464" t="s">
        <v>38</v>
      </c>
      <c r="C1464">
        <v>127</v>
      </c>
      <c r="D1464" t="s">
        <v>25</v>
      </c>
      <c r="E1464" t="s">
        <v>22</v>
      </c>
      <c r="F1464" t="s">
        <v>23</v>
      </c>
      <c r="G1464">
        <v>25</v>
      </c>
      <c r="H1464">
        <v>173</v>
      </c>
      <c r="I1464">
        <v>91</v>
      </c>
      <c r="J1464">
        <v>29.41</v>
      </c>
      <c r="K1464">
        <v>245.8</v>
      </c>
      <c r="L1464">
        <v>64</v>
      </c>
      <c r="M1464">
        <v>20.89</v>
      </c>
      <c r="N1464">
        <v>300</v>
      </c>
      <c r="O1464">
        <v>99</v>
      </c>
      <c r="P1464">
        <v>13.5</v>
      </c>
      <c r="Q1464">
        <v>4.8</v>
      </c>
      <c r="R1464">
        <v>3</v>
      </c>
      <c r="S1464">
        <v>1.3</v>
      </c>
      <c r="T1464">
        <v>0</v>
      </c>
      <c r="U1464" t="s">
        <v>22</v>
      </c>
      <c r="V1464" t="e">
        <f>IF(#REF! = "yes", 1, 0)</f>
        <v>#REF!</v>
      </c>
      <c r="W1464" t="e">
        <f>IF(#REF! &lt;= 1, "0-1 Calls", IF(#REF! &lt;= 3, "2-3 Calls", IF(#REF! &lt;=5, "4-5 Calls", "6+ Calls")))</f>
        <v>#REF!</v>
      </c>
      <c r="X1464" t="e">
        <f>IF(#REF! &lt;= 50, "0-50", IF(#REF! &lt;=100, "51-100", IF(#REF! &lt;= 150, "101-150", "151+")))</f>
        <v>#REF!</v>
      </c>
      <c r="Y1464" t="e">
        <f>IF(#REF! &lt;= 3, "Low Charges", "High Charges")</f>
        <v>#REF!</v>
      </c>
      <c r="Z1464" t="e">
        <f>IF(#REF!&lt;=80,"Low Calls",
IF(#REF!&lt;=120,"Medium Calls","High Calls"))</f>
        <v>#REF!</v>
      </c>
      <c r="AA1464" t="e">
        <f>IF(#REF!&lt;=15,"Low Charges",
IF(#REF!&lt;=20,"Medium Charges","High Charges"))</f>
        <v>#REF!</v>
      </c>
      <c r="AB1464" t="e">
        <f>IF(AND(#REF!&gt;180, #REF!&gt;200), "Heavy Doemstic User", IF(#REF!&gt;10, "Interntional User", IF(AND(#REF!&lt;180, #REF!&lt;200,#REF!&lt;200), "Light User", "Balanced User")))</f>
        <v>#REF!</v>
      </c>
      <c r="AC1464" t="e">
        <f>IF(#REF! = 0, "No Usage", IF(#REF! &lt;= 20, "Low Usage", IF(#REF! &lt;= 40, "Medium Usgae", "High Usage")))</f>
        <v>#REF!</v>
      </c>
      <c r="AD1464" t="e">
        <f>IF(#REF!&lt;=150,"Low Usage", IF(#REF!&lt;=200,"Medium Usage", IF(#REF!&lt;=250,"High Usage","Very High Usage")))</f>
        <v>#REF!</v>
      </c>
      <c r="AE1464" t="e">
        <f>IF(#REF!&lt;=5,"Low Calls", IF(#REF!&lt;=10, "Medium Calls", "High Calls"))</f>
        <v>#REF!</v>
      </c>
      <c r="AF1464" t="e">
        <f xml:space="preserve">
IF(#REF!&gt;=4,4,0)+
IF(#REF!="yes",3,0)+
IF(#REF!="High Charges",3,0)+
IF(#REF!&gt;250,4,0)+
IF(#REF!="no",1,0)+
IF(#REF!="Heavy Domestic User",2,0)</f>
        <v>#REF!</v>
      </c>
      <c r="AG1464" t="e">
        <f>IF(#REF!&gt;=10,"High Risk", IF(#REF!&gt;=5,"Medium Risk","Low Risk"))</f>
        <v>#REF!</v>
      </c>
      <c r="AH1464" t="e">
        <f>#REF! + #REF! + #REF! + #REF!</f>
        <v>#REF!</v>
      </c>
    </row>
    <row r="1465" spans="1:34" x14ac:dyDescent="0.35">
      <c r="A1465">
        <v>1464</v>
      </c>
      <c r="B1465" t="s">
        <v>24</v>
      </c>
      <c r="C1465">
        <v>80</v>
      </c>
      <c r="D1465" t="s">
        <v>21</v>
      </c>
      <c r="E1465" t="s">
        <v>22</v>
      </c>
      <c r="F1465" t="s">
        <v>22</v>
      </c>
      <c r="G1465">
        <v>0</v>
      </c>
      <c r="H1465">
        <v>268.7</v>
      </c>
      <c r="I1465">
        <v>120</v>
      </c>
      <c r="J1465">
        <v>45.68</v>
      </c>
      <c r="K1465">
        <v>301</v>
      </c>
      <c r="L1465">
        <v>147</v>
      </c>
      <c r="M1465">
        <v>25.59</v>
      </c>
      <c r="N1465">
        <v>167</v>
      </c>
      <c r="O1465">
        <v>140</v>
      </c>
      <c r="P1465">
        <v>7.52</v>
      </c>
      <c r="Q1465">
        <v>5.8</v>
      </c>
      <c r="R1465">
        <v>1</v>
      </c>
      <c r="S1465">
        <v>1.57</v>
      </c>
      <c r="T1465">
        <v>2</v>
      </c>
      <c r="U1465" t="s">
        <v>23</v>
      </c>
      <c r="V1465" t="e">
        <f>IF(#REF! = "yes", 1, 0)</f>
        <v>#REF!</v>
      </c>
      <c r="W1465" t="e">
        <f>IF(#REF! &lt;= 1, "0-1 Calls", IF(#REF! &lt;= 3, "2-3 Calls", IF(#REF! &lt;=5, "4-5 Calls", "6+ Calls")))</f>
        <v>#REF!</v>
      </c>
      <c r="X1465" t="e">
        <f>IF(#REF! &lt;= 50, "0-50", IF(#REF! &lt;=100, "51-100", IF(#REF! &lt;= 150, "101-150", "151+")))</f>
        <v>#REF!</v>
      </c>
      <c r="Y1465" t="e">
        <f>IF(#REF! &lt;= 3, "Low Charges", "High Charges")</f>
        <v>#REF!</v>
      </c>
      <c r="Z1465" t="e">
        <f>IF(#REF!&lt;=80,"Low Calls",
IF(#REF!&lt;=120,"Medium Calls","High Calls"))</f>
        <v>#REF!</v>
      </c>
      <c r="AA1465" t="e">
        <f>IF(#REF!&lt;=15,"Low Charges",
IF(#REF!&lt;=20,"Medium Charges","High Charges"))</f>
        <v>#REF!</v>
      </c>
      <c r="AB1465" t="e">
        <f>IF(AND(#REF!&gt;180, #REF!&gt;200), "Heavy Doemstic User", IF(#REF!&gt;10, "Interntional User", IF(AND(#REF!&lt;180, #REF!&lt;200,#REF!&lt;200), "Light User", "Balanced User")))</f>
        <v>#REF!</v>
      </c>
      <c r="AC1465" t="e">
        <f>IF(#REF! = 0, "No Usage", IF(#REF! &lt;= 20, "Low Usage", IF(#REF! &lt;= 40, "Medium Usgae", "High Usage")))</f>
        <v>#REF!</v>
      </c>
      <c r="AD1465" t="e">
        <f>IF(#REF!&lt;=150,"Low Usage", IF(#REF!&lt;=200,"Medium Usage", IF(#REF!&lt;=250,"High Usage","Very High Usage")))</f>
        <v>#REF!</v>
      </c>
      <c r="AE1465" t="e">
        <f>IF(#REF!&lt;=5,"Low Calls", IF(#REF!&lt;=10, "Medium Calls", "High Calls"))</f>
        <v>#REF!</v>
      </c>
      <c r="AF1465" t="e">
        <f xml:space="preserve">
IF(#REF!&gt;=4,4,0)+
IF(#REF!="yes",3,0)+
IF(#REF!="High Charges",3,0)+
IF(#REF!&gt;250,4,0)+
IF(#REF!="no",1,0)+
IF(#REF!="Heavy Domestic User",2,0)</f>
        <v>#REF!</v>
      </c>
      <c r="AG1465" t="e">
        <f>IF(#REF!&gt;=10,"High Risk", IF(#REF!&gt;=5,"Medium Risk","Low Risk"))</f>
        <v>#REF!</v>
      </c>
      <c r="AH1465" t="e">
        <f>#REF! + #REF! + #REF! + #REF!</f>
        <v>#REF!</v>
      </c>
    </row>
    <row r="1466" spans="1:34" x14ac:dyDescent="0.35">
      <c r="A1466">
        <v>1465</v>
      </c>
      <c r="B1466" t="s">
        <v>75</v>
      </c>
      <c r="C1466">
        <v>153</v>
      </c>
      <c r="D1466" t="s">
        <v>21</v>
      </c>
      <c r="E1466" t="s">
        <v>22</v>
      </c>
      <c r="F1466" t="s">
        <v>23</v>
      </c>
      <c r="G1466">
        <v>31</v>
      </c>
      <c r="H1466">
        <v>218.5</v>
      </c>
      <c r="I1466">
        <v>130</v>
      </c>
      <c r="J1466">
        <v>37.15</v>
      </c>
      <c r="K1466">
        <v>134.19999999999999</v>
      </c>
      <c r="L1466">
        <v>103</v>
      </c>
      <c r="M1466">
        <v>11.41</v>
      </c>
      <c r="N1466">
        <v>118.9</v>
      </c>
      <c r="O1466">
        <v>105</v>
      </c>
      <c r="P1466">
        <v>5.35</v>
      </c>
      <c r="Q1466">
        <v>9.4</v>
      </c>
      <c r="R1466">
        <v>6</v>
      </c>
      <c r="S1466">
        <v>2.54</v>
      </c>
      <c r="T1466">
        <v>0</v>
      </c>
      <c r="U1466" t="s">
        <v>22</v>
      </c>
      <c r="V1466" t="e">
        <f>IF(#REF! = "yes", 1, 0)</f>
        <v>#REF!</v>
      </c>
      <c r="W1466" t="e">
        <f>IF(#REF! &lt;= 1, "0-1 Calls", IF(#REF! &lt;= 3, "2-3 Calls", IF(#REF! &lt;=5, "4-5 Calls", "6+ Calls")))</f>
        <v>#REF!</v>
      </c>
      <c r="X1466" t="e">
        <f>IF(#REF! &lt;= 50, "0-50", IF(#REF! &lt;=100, "51-100", IF(#REF! &lt;= 150, "101-150", "151+")))</f>
        <v>#REF!</v>
      </c>
      <c r="Y1466" t="e">
        <f>IF(#REF! &lt;= 3, "Low Charges", "High Charges")</f>
        <v>#REF!</v>
      </c>
      <c r="Z1466" t="e">
        <f>IF(#REF!&lt;=80,"Low Calls",
IF(#REF!&lt;=120,"Medium Calls","High Calls"))</f>
        <v>#REF!</v>
      </c>
      <c r="AA1466" t="e">
        <f>IF(#REF!&lt;=15,"Low Charges",
IF(#REF!&lt;=20,"Medium Charges","High Charges"))</f>
        <v>#REF!</v>
      </c>
      <c r="AB1466" t="e">
        <f>IF(AND(#REF!&gt;180, #REF!&gt;200), "Heavy Doemstic User", IF(#REF!&gt;10, "Interntional User", IF(AND(#REF!&lt;180, #REF!&lt;200,#REF!&lt;200), "Light User", "Balanced User")))</f>
        <v>#REF!</v>
      </c>
      <c r="AC1466" t="e">
        <f>IF(#REF! = 0, "No Usage", IF(#REF! &lt;= 20, "Low Usage", IF(#REF! &lt;= 40, "Medium Usgae", "High Usage")))</f>
        <v>#REF!</v>
      </c>
      <c r="AD1466" t="e">
        <f>IF(#REF!&lt;=150,"Low Usage", IF(#REF!&lt;=200,"Medium Usage", IF(#REF!&lt;=250,"High Usage","Very High Usage")))</f>
        <v>#REF!</v>
      </c>
      <c r="AE1466" t="e">
        <f>IF(#REF!&lt;=5,"Low Calls", IF(#REF!&lt;=10, "Medium Calls", "High Calls"))</f>
        <v>#REF!</v>
      </c>
      <c r="AF1466" t="e">
        <f xml:space="preserve">
IF(#REF!&gt;=4,4,0)+
IF(#REF!="yes",3,0)+
IF(#REF!="High Charges",3,0)+
IF(#REF!&gt;250,4,0)+
IF(#REF!="no",1,0)+
IF(#REF!="Heavy Domestic User",2,0)</f>
        <v>#REF!</v>
      </c>
      <c r="AG1466" t="e">
        <f>IF(#REF!&gt;=10,"High Risk", IF(#REF!&gt;=5,"Medium Risk","Low Risk"))</f>
        <v>#REF!</v>
      </c>
      <c r="AH1466" t="e">
        <f>#REF! + #REF! + #REF! + #REF!</f>
        <v>#REF!</v>
      </c>
    </row>
    <row r="1467" spans="1:34" x14ac:dyDescent="0.35">
      <c r="A1467">
        <v>1466</v>
      </c>
      <c r="B1467" t="s">
        <v>60</v>
      </c>
      <c r="C1467">
        <v>85</v>
      </c>
      <c r="D1467" t="s">
        <v>21</v>
      </c>
      <c r="E1467" t="s">
        <v>22</v>
      </c>
      <c r="F1467" t="s">
        <v>22</v>
      </c>
      <c r="G1467">
        <v>0</v>
      </c>
      <c r="H1467">
        <v>255.3</v>
      </c>
      <c r="I1467">
        <v>114</v>
      </c>
      <c r="J1467">
        <v>43.4</v>
      </c>
      <c r="K1467">
        <v>194.6</v>
      </c>
      <c r="L1467">
        <v>83</v>
      </c>
      <c r="M1467">
        <v>16.54</v>
      </c>
      <c r="N1467">
        <v>276.60000000000002</v>
      </c>
      <c r="O1467">
        <v>78</v>
      </c>
      <c r="P1467">
        <v>12.45</v>
      </c>
      <c r="Q1467">
        <v>3.7</v>
      </c>
      <c r="R1467">
        <v>5</v>
      </c>
      <c r="S1467">
        <v>1</v>
      </c>
      <c r="T1467">
        <v>3</v>
      </c>
      <c r="U1467" t="s">
        <v>22</v>
      </c>
      <c r="V1467" t="e">
        <f>IF(#REF! = "yes", 1, 0)</f>
        <v>#REF!</v>
      </c>
      <c r="W1467" t="e">
        <f>IF(#REF! &lt;= 1, "0-1 Calls", IF(#REF! &lt;= 3, "2-3 Calls", IF(#REF! &lt;=5, "4-5 Calls", "6+ Calls")))</f>
        <v>#REF!</v>
      </c>
      <c r="X1467" t="e">
        <f>IF(#REF! &lt;= 50, "0-50", IF(#REF! &lt;=100, "51-100", IF(#REF! &lt;= 150, "101-150", "151+")))</f>
        <v>#REF!</v>
      </c>
      <c r="Y1467" t="e">
        <f>IF(#REF! &lt;= 3, "Low Charges", "High Charges")</f>
        <v>#REF!</v>
      </c>
      <c r="Z1467" t="e">
        <f>IF(#REF!&lt;=80,"Low Calls",
IF(#REF!&lt;=120,"Medium Calls","High Calls"))</f>
        <v>#REF!</v>
      </c>
      <c r="AA1467" t="e">
        <f>IF(#REF!&lt;=15,"Low Charges",
IF(#REF!&lt;=20,"Medium Charges","High Charges"))</f>
        <v>#REF!</v>
      </c>
      <c r="AB1467" t="e">
        <f>IF(AND(#REF!&gt;180, #REF!&gt;200), "Heavy Doemstic User", IF(#REF!&gt;10, "Interntional User", IF(AND(#REF!&lt;180, #REF!&lt;200,#REF!&lt;200), "Light User", "Balanced User")))</f>
        <v>#REF!</v>
      </c>
      <c r="AC1467" t="e">
        <f>IF(#REF! = 0, "No Usage", IF(#REF! &lt;= 20, "Low Usage", IF(#REF! &lt;= 40, "Medium Usgae", "High Usage")))</f>
        <v>#REF!</v>
      </c>
      <c r="AD1467" t="e">
        <f>IF(#REF!&lt;=150,"Low Usage", IF(#REF!&lt;=200,"Medium Usage", IF(#REF!&lt;=250,"High Usage","Very High Usage")))</f>
        <v>#REF!</v>
      </c>
      <c r="AE1467" t="e">
        <f>IF(#REF!&lt;=5,"Low Calls", IF(#REF!&lt;=10, "Medium Calls", "High Calls"))</f>
        <v>#REF!</v>
      </c>
      <c r="AF1467" t="e">
        <f xml:space="preserve">
IF(#REF!&gt;=4,4,0)+
IF(#REF!="yes",3,0)+
IF(#REF!="High Charges",3,0)+
IF(#REF!&gt;250,4,0)+
IF(#REF!="no",1,0)+
IF(#REF!="Heavy Domestic User",2,0)</f>
        <v>#REF!</v>
      </c>
      <c r="AG1467" t="e">
        <f>IF(#REF!&gt;=10,"High Risk", IF(#REF!&gt;=5,"Medium Risk","Low Risk"))</f>
        <v>#REF!</v>
      </c>
      <c r="AH1467" t="e">
        <f>#REF! + #REF! + #REF! + #REF!</f>
        <v>#REF!</v>
      </c>
    </row>
    <row r="1468" spans="1:34" x14ac:dyDescent="0.35">
      <c r="A1468">
        <v>1467</v>
      </c>
      <c r="B1468" t="s">
        <v>45</v>
      </c>
      <c r="C1468">
        <v>79</v>
      </c>
      <c r="D1468" t="s">
        <v>21</v>
      </c>
      <c r="E1468" t="s">
        <v>22</v>
      </c>
      <c r="F1468" t="s">
        <v>22</v>
      </c>
      <c r="G1468">
        <v>0</v>
      </c>
      <c r="H1468">
        <v>41.9</v>
      </c>
      <c r="I1468">
        <v>124</v>
      </c>
      <c r="J1468">
        <v>7.12</v>
      </c>
      <c r="K1468">
        <v>211</v>
      </c>
      <c r="L1468">
        <v>95</v>
      </c>
      <c r="M1468">
        <v>17.940000000000001</v>
      </c>
      <c r="N1468">
        <v>237.9</v>
      </c>
      <c r="O1468">
        <v>55</v>
      </c>
      <c r="P1468">
        <v>10.71</v>
      </c>
      <c r="Q1468">
        <v>11.4</v>
      </c>
      <c r="R1468">
        <v>5</v>
      </c>
      <c r="S1468">
        <v>3.08</v>
      </c>
      <c r="T1468">
        <v>1</v>
      </c>
      <c r="U1468" t="s">
        <v>22</v>
      </c>
      <c r="V1468" t="e">
        <f>IF(#REF! = "yes", 1, 0)</f>
        <v>#REF!</v>
      </c>
      <c r="W1468" t="e">
        <f>IF(#REF! &lt;= 1, "0-1 Calls", IF(#REF! &lt;= 3, "2-3 Calls", IF(#REF! &lt;=5, "4-5 Calls", "6+ Calls")))</f>
        <v>#REF!</v>
      </c>
      <c r="X1468" t="e">
        <f>IF(#REF! &lt;= 50, "0-50", IF(#REF! &lt;=100, "51-100", IF(#REF! &lt;= 150, "101-150", "151+")))</f>
        <v>#REF!</v>
      </c>
      <c r="Y1468" t="e">
        <f>IF(#REF! &lt;= 3, "Low Charges", "High Charges")</f>
        <v>#REF!</v>
      </c>
      <c r="Z1468" t="e">
        <f>IF(#REF!&lt;=80,"Low Calls",
IF(#REF!&lt;=120,"Medium Calls","High Calls"))</f>
        <v>#REF!</v>
      </c>
      <c r="AA1468" t="e">
        <f>IF(#REF!&lt;=15,"Low Charges",
IF(#REF!&lt;=20,"Medium Charges","High Charges"))</f>
        <v>#REF!</v>
      </c>
      <c r="AB1468" t="e">
        <f>IF(AND(#REF!&gt;180, #REF!&gt;200), "Heavy Doemstic User", IF(#REF!&gt;10, "Interntional User", IF(AND(#REF!&lt;180, #REF!&lt;200,#REF!&lt;200), "Light User", "Balanced User")))</f>
        <v>#REF!</v>
      </c>
      <c r="AC1468" t="e">
        <f>IF(#REF! = 0, "No Usage", IF(#REF! &lt;= 20, "Low Usage", IF(#REF! &lt;= 40, "Medium Usgae", "High Usage")))</f>
        <v>#REF!</v>
      </c>
      <c r="AD1468" t="e">
        <f>IF(#REF!&lt;=150,"Low Usage", IF(#REF!&lt;=200,"Medium Usage", IF(#REF!&lt;=250,"High Usage","Very High Usage")))</f>
        <v>#REF!</v>
      </c>
      <c r="AE1468" t="e">
        <f>IF(#REF!&lt;=5,"Low Calls", IF(#REF!&lt;=10, "Medium Calls", "High Calls"))</f>
        <v>#REF!</v>
      </c>
      <c r="AF1468" t="e">
        <f xml:space="preserve">
IF(#REF!&gt;=4,4,0)+
IF(#REF!="yes",3,0)+
IF(#REF!="High Charges",3,0)+
IF(#REF!&gt;250,4,0)+
IF(#REF!="no",1,0)+
IF(#REF!="Heavy Domestic User",2,0)</f>
        <v>#REF!</v>
      </c>
      <c r="AG1468" t="e">
        <f>IF(#REF!&gt;=10,"High Risk", IF(#REF!&gt;=5,"Medium Risk","Low Risk"))</f>
        <v>#REF!</v>
      </c>
      <c r="AH1468" t="e">
        <f>#REF! + #REF! + #REF! + #REF!</f>
        <v>#REF!</v>
      </c>
    </row>
    <row r="1469" spans="1:34" x14ac:dyDescent="0.35">
      <c r="A1469">
        <v>1468</v>
      </c>
      <c r="B1469" t="s">
        <v>75</v>
      </c>
      <c r="C1469">
        <v>35</v>
      </c>
      <c r="D1469" t="s">
        <v>21</v>
      </c>
      <c r="E1469" t="s">
        <v>22</v>
      </c>
      <c r="F1469" t="s">
        <v>22</v>
      </c>
      <c r="G1469">
        <v>0</v>
      </c>
      <c r="H1469">
        <v>260.8</v>
      </c>
      <c r="I1469">
        <v>87</v>
      </c>
      <c r="J1469">
        <v>44.34</v>
      </c>
      <c r="K1469">
        <v>258.10000000000002</v>
      </c>
      <c r="L1469">
        <v>78</v>
      </c>
      <c r="M1469">
        <v>21.94</v>
      </c>
      <c r="N1469">
        <v>131.30000000000001</v>
      </c>
      <c r="O1469">
        <v>123</v>
      </c>
      <c r="P1469">
        <v>5.91</v>
      </c>
      <c r="Q1469">
        <v>5.8</v>
      </c>
      <c r="R1469">
        <v>2</v>
      </c>
      <c r="S1469">
        <v>1.57</v>
      </c>
      <c r="T1469">
        <v>1</v>
      </c>
      <c r="U1469" t="s">
        <v>22</v>
      </c>
      <c r="V1469" t="e">
        <f>IF(#REF! = "yes", 1, 0)</f>
        <v>#REF!</v>
      </c>
      <c r="W1469" t="e">
        <f>IF(#REF! &lt;= 1, "0-1 Calls", IF(#REF! &lt;= 3, "2-3 Calls", IF(#REF! &lt;=5, "4-5 Calls", "6+ Calls")))</f>
        <v>#REF!</v>
      </c>
      <c r="X1469" t="e">
        <f>IF(#REF! &lt;= 50, "0-50", IF(#REF! &lt;=100, "51-100", IF(#REF! &lt;= 150, "101-150", "151+")))</f>
        <v>#REF!</v>
      </c>
      <c r="Y1469" t="e">
        <f>IF(#REF! &lt;= 3, "Low Charges", "High Charges")</f>
        <v>#REF!</v>
      </c>
      <c r="Z1469" t="e">
        <f>IF(#REF!&lt;=80,"Low Calls",
IF(#REF!&lt;=120,"Medium Calls","High Calls"))</f>
        <v>#REF!</v>
      </c>
      <c r="AA1469" t="e">
        <f>IF(#REF!&lt;=15,"Low Charges",
IF(#REF!&lt;=20,"Medium Charges","High Charges"))</f>
        <v>#REF!</v>
      </c>
      <c r="AB1469" t="e">
        <f>IF(AND(#REF!&gt;180, #REF!&gt;200), "Heavy Doemstic User", IF(#REF!&gt;10, "Interntional User", IF(AND(#REF!&lt;180, #REF!&lt;200,#REF!&lt;200), "Light User", "Balanced User")))</f>
        <v>#REF!</v>
      </c>
      <c r="AC1469" t="e">
        <f>IF(#REF! = 0, "No Usage", IF(#REF! &lt;= 20, "Low Usage", IF(#REF! &lt;= 40, "Medium Usgae", "High Usage")))</f>
        <v>#REF!</v>
      </c>
      <c r="AD1469" t="e">
        <f>IF(#REF!&lt;=150,"Low Usage", IF(#REF!&lt;=200,"Medium Usage", IF(#REF!&lt;=250,"High Usage","Very High Usage")))</f>
        <v>#REF!</v>
      </c>
      <c r="AE1469" t="e">
        <f>IF(#REF!&lt;=5,"Low Calls", IF(#REF!&lt;=10, "Medium Calls", "High Calls"))</f>
        <v>#REF!</v>
      </c>
      <c r="AF1469" t="e">
        <f xml:space="preserve">
IF(#REF!&gt;=4,4,0)+
IF(#REF!="yes",3,0)+
IF(#REF!="High Charges",3,0)+
IF(#REF!&gt;250,4,0)+
IF(#REF!="no",1,0)+
IF(#REF!="Heavy Domestic User",2,0)</f>
        <v>#REF!</v>
      </c>
      <c r="AG1469" t="e">
        <f>IF(#REF!&gt;=10,"High Risk", IF(#REF!&gt;=5,"Medium Risk","Low Risk"))</f>
        <v>#REF!</v>
      </c>
      <c r="AH1469" t="e">
        <f>#REF! + #REF! + #REF! + #REF!</f>
        <v>#REF!</v>
      </c>
    </row>
    <row r="1470" spans="1:34" x14ac:dyDescent="0.35">
      <c r="A1470">
        <v>1469</v>
      </c>
      <c r="B1470" t="s">
        <v>51</v>
      </c>
      <c r="C1470">
        <v>120</v>
      </c>
      <c r="D1470" t="s">
        <v>25</v>
      </c>
      <c r="E1470" t="s">
        <v>22</v>
      </c>
      <c r="F1470" t="s">
        <v>23</v>
      </c>
      <c r="G1470">
        <v>26</v>
      </c>
      <c r="H1470">
        <v>239.4</v>
      </c>
      <c r="I1470">
        <v>94</v>
      </c>
      <c r="J1470">
        <v>40.700000000000003</v>
      </c>
      <c r="K1470">
        <v>259.39999999999998</v>
      </c>
      <c r="L1470">
        <v>88</v>
      </c>
      <c r="M1470">
        <v>22.05</v>
      </c>
      <c r="N1470">
        <v>238</v>
      </c>
      <c r="O1470">
        <v>132</v>
      </c>
      <c r="P1470">
        <v>10.71</v>
      </c>
      <c r="Q1470">
        <v>7.7</v>
      </c>
      <c r="R1470">
        <v>3</v>
      </c>
      <c r="S1470">
        <v>2.08</v>
      </c>
      <c r="T1470">
        <v>0</v>
      </c>
      <c r="U1470" t="s">
        <v>22</v>
      </c>
      <c r="V1470" t="e">
        <f>IF(#REF! = "yes", 1, 0)</f>
        <v>#REF!</v>
      </c>
      <c r="W1470" t="e">
        <f>IF(#REF! &lt;= 1, "0-1 Calls", IF(#REF! &lt;= 3, "2-3 Calls", IF(#REF! &lt;=5, "4-5 Calls", "6+ Calls")))</f>
        <v>#REF!</v>
      </c>
      <c r="X1470" t="e">
        <f>IF(#REF! &lt;= 50, "0-50", IF(#REF! &lt;=100, "51-100", IF(#REF! &lt;= 150, "101-150", "151+")))</f>
        <v>#REF!</v>
      </c>
      <c r="Y1470" t="e">
        <f>IF(#REF! &lt;= 3, "Low Charges", "High Charges")</f>
        <v>#REF!</v>
      </c>
      <c r="Z1470" t="e">
        <f>IF(#REF!&lt;=80,"Low Calls",
IF(#REF!&lt;=120,"Medium Calls","High Calls"))</f>
        <v>#REF!</v>
      </c>
      <c r="AA1470" t="e">
        <f>IF(#REF!&lt;=15,"Low Charges",
IF(#REF!&lt;=20,"Medium Charges","High Charges"))</f>
        <v>#REF!</v>
      </c>
      <c r="AB1470" t="e">
        <f>IF(AND(#REF!&gt;180, #REF!&gt;200), "Heavy Doemstic User", IF(#REF!&gt;10, "Interntional User", IF(AND(#REF!&lt;180, #REF!&lt;200,#REF!&lt;200), "Light User", "Balanced User")))</f>
        <v>#REF!</v>
      </c>
      <c r="AC1470" t="e">
        <f>IF(#REF! = 0, "No Usage", IF(#REF! &lt;= 20, "Low Usage", IF(#REF! &lt;= 40, "Medium Usgae", "High Usage")))</f>
        <v>#REF!</v>
      </c>
      <c r="AD1470" t="e">
        <f>IF(#REF!&lt;=150,"Low Usage", IF(#REF!&lt;=200,"Medium Usage", IF(#REF!&lt;=250,"High Usage","Very High Usage")))</f>
        <v>#REF!</v>
      </c>
      <c r="AE1470" t="e">
        <f>IF(#REF!&lt;=5,"Low Calls", IF(#REF!&lt;=10, "Medium Calls", "High Calls"))</f>
        <v>#REF!</v>
      </c>
      <c r="AF1470" t="e">
        <f xml:space="preserve">
IF(#REF!&gt;=4,4,0)+
IF(#REF!="yes",3,0)+
IF(#REF!="High Charges",3,0)+
IF(#REF!&gt;250,4,0)+
IF(#REF!="no",1,0)+
IF(#REF!="Heavy Domestic User",2,0)</f>
        <v>#REF!</v>
      </c>
      <c r="AG1470" t="e">
        <f>IF(#REF!&gt;=10,"High Risk", IF(#REF!&gt;=5,"Medium Risk","Low Risk"))</f>
        <v>#REF!</v>
      </c>
      <c r="AH1470" t="e">
        <f>#REF! + #REF! + #REF! + #REF!</f>
        <v>#REF!</v>
      </c>
    </row>
    <row r="1471" spans="1:34" x14ac:dyDescent="0.35">
      <c r="A1471">
        <v>1470</v>
      </c>
      <c r="B1471" t="s">
        <v>60</v>
      </c>
      <c r="C1471">
        <v>68</v>
      </c>
      <c r="D1471" t="s">
        <v>28</v>
      </c>
      <c r="E1471" t="s">
        <v>22</v>
      </c>
      <c r="F1471" t="s">
        <v>22</v>
      </c>
      <c r="G1471">
        <v>0</v>
      </c>
      <c r="H1471">
        <v>226.7</v>
      </c>
      <c r="I1471">
        <v>94</v>
      </c>
      <c r="J1471">
        <v>38.54</v>
      </c>
      <c r="K1471">
        <v>168.4</v>
      </c>
      <c r="L1471">
        <v>129</v>
      </c>
      <c r="M1471">
        <v>14.31</v>
      </c>
      <c r="N1471">
        <v>188.7</v>
      </c>
      <c r="O1471">
        <v>117</v>
      </c>
      <c r="P1471">
        <v>8.49</v>
      </c>
      <c r="Q1471">
        <v>10.199999999999999</v>
      </c>
      <c r="R1471">
        <v>1</v>
      </c>
      <c r="S1471">
        <v>2.75</v>
      </c>
      <c r="T1471">
        <v>0</v>
      </c>
      <c r="U1471" t="s">
        <v>22</v>
      </c>
      <c r="V1471" t="e">
        <f>IF(#REF! = "yes", 1, 0)</f>
        <v>#REF!</v>
      </c>
      <c r="W1471" t="e">
        <f>IF(#REF! &lt;= 1, "0-1 Calls", IF(#REF! &lt;= 3, "2-3 Calls", IF(#REF! &lt;=5, "4-5 Calls", "6+ Calls")))</f>
        <v>#REF!</v>
      </c>
      <c r="X1471" t="e">
        <f>IF(#REF! &lt;= 50, "0-50", IF(#REF! &lt;=100, "51-100", IF(#REF! &lt;= 150, "101-150", "151+")))</f>
        <v>#REF!</v>
      </c>
      <c r="Y1471" t="e">
        <f>IF(#REF! &lt;= 3, "Low Charges", "High Charges")</f>
        <v>#REF!</v>
      </c>
      <c r="Z1471" t="e">
        <f>IF(#REF!&lt;=80,"Low Calls",
IF(#REF!&lt;=120,"Medium Calls","High Calls"))</f>
        <v>#REF!</v>
      </c>
      <c r="AA1471" t="e">
        <f>IF(#REF!&lt;=15,"Low Charges",
IF(#REF!&lt;=20,"Medium Charges","High Charges"))</f>
        <v>#REF!</v>
      </c>
      <c r="AB1471" t="e">
        <f>IF(AND(#REF!&gt;180, #REF!&gt;200), "Heavy Doemstic User", IF(#REF!&gt;10, "Interntional User", IF(AND(#REF!&lt;180, #REF!&lt;200,#REF!&lt;200), "Light User", "Balanced User")))</f>
        <v>#REF!</v>
      </c>
      <c r="AC1471" t="e">
        <f>IF(#REF! = 0, "No Usage", IF(#REF! &lt;= 20, "Low Usage", IF(#REF! &lt;= 40, "Medium Usgae", "High Usage")))</f>
        <v>#REF!</v>
      </c>
      <c r="AD1471" t="e">
        <f>IF(#REF!&lt;=150,"Low Usage", IF(#REF!&lt;=200,"Medium Usage", IF(#REF!&lt;=250,"High Usage","Very High Usage")))</f>
        <v>#REF!</v>
      </c>
      <c r="AE1471" t="e">
        <f>IF(#REF!&lt;=5,"Low Calls", IF(#REF!&lt;=10, "Medium Calls", "High Calls"))</f>
        <v>#REF!</v>
      </c>
      <c r="AF1471" t="e">
        <f xml:space="preserve">
IF(#REF!&gt;=4,4,0)+
IF(#REF!="yes",3,0)+
IF(#REF!="High Charges",3,0)+
IF(#REF!&gt;250,4,0)+
IF(#REF!="no",1,0)+
IF(#REF!="Heavy Domestic User",2,0)</f>
        <v>#REF!</v>
      </c>
      <c r="AG1471" t="e">
        <f>IF(#REF!&gt;=10,"High Risk", IF(#REF!&gt;=5,"Medium Risk","Low Risk"))</f>
        <v>#REF!</v>
      </c>
      <c r="AH1471" t="e">
        <f>#REF! + #REF! + #REF! + #REF!</f>
        <v>#REF!</v>
      </c>
    </row>
    <row r="1472" spans="1:34" x14ac:dyDescent="0.35">
      <c r="A1472">
        <v>1471</v>
      </c>
      <c r="B1472" t="s">
        <v>70</v>
      </c>
      <c r="C1472">
        <v>120</v>
      </c>
      <c r="D1472" t="s">
        <v>28</v>
      </c>
      <c r="E1472" t="s">
        <v>22</v>
      </c>
      <c r="F1472" t="s">
        <v>22</v>
      </c>
      <c r="G1472">
        <v>0</v>
      </c>
      <c r="H1472">
        <v>158</v>
      </c>
      <c r="I1472">
        <v>110</v>
      </c>
      <c r="J1472">
        <v>26.86</v>
      </c>
      <c r="K1472">
        <v>197</v>
      </c>
      <c r="L1472">
        <v>103</v>
      </c>
      <c r="M1472">
        <v>16.75</v>
      </c>
      <c r="N1472">
        <v>154.9</v>
      </c>
      <c r="O1472">
        <v>132</v>
      </c>
      <c r="P1472">
        <v>6.97</v>
      </c>
      <c r="Q1472">
        <v>10</v>
      </c>
      <c r="R1472">
        <v>5</v>
      </c>
      <c r="S1472">
        <v>2.7</v>
      </c>
      <c r="T1472">
        <v>1</v>
      </c>
      <c r="U1472" t="s">
        <v>22</v>
      </c>
      <c r="V1472" t="e">
        <f>IF(#REF! = "yes", 1, 0)</f>
        <v>#REF!</v>
      </c>
      <c r="W1472" t="e">
        <f>IF(#REF! &lt;= 1, "0-1 Calls", IF(#REF! &lt;= 3, "2-3 Calls", IF(#REF! &lt;=5, "4-5 Calls", "6+ Calls")))</f>
        <v>#REF!</v>
      </c>
      <c r="X1472" t="e">
        <f>IF(#REF! &lt;= 50, "0-50", IF(#REF! &lt;=100, "51-100", IF(#REF! &lt;= 150, "101-150", "151+")))</f>
        <v>#REF!</v>
      </c>
      <c r="Y1472" t="e">
        <f>IF(#REF! &lt;= 3, "Low Charges", "High Charges")</f>
        <v>#REF!</v>
      </c>
      <c r="Z1472" t="e">
        <f>IF(#REF!&lt;=80,"Low Calls",
IF(#REF!&lt;=120,"Medium Calls","High Calls"))</f>
        <v>#REF!</v>
      </c>
      <c r="AA1472" t="e">
        <f>IF(#REF!&lt;=15,"Low Charges",
IF(#REF!&lt;=20,"Medium Charges","High Charges"))</f>
        <v>#REF!</v>
      </c>
      <c r="AB1472" t="e">
        <f>IF(AND(#REF!&gt;180, #REF!&gt;200), "Heavy Doemstic User", IF(#REF!&gt;10, "Interntional User", IF(AND(#REF!&lt;180, #REF!&lt;200,#REF!&lt;200), "Light User", "Balanced User")))</f>
        <v>#REF!</v>
      </c>
      <c r="AC1472" t="e">
        <f>IF(#REF! = 0, "No Usage", IF(#REF! &lt;= 20, "Low Usage", IF(#REF! &lt;= 40, "Medium Usgae", "High Usage")))</f>
        <v>#REF!</v>
      </c>
      <c r="AD1472" t="e">
        <f>IF(#REF!&lt;=150,"Low Usage", IF(#REF!&lt;=200,"Medium Usage", IF(#REF!&lt;=250,"High Usage","Very High Usage")))</f>
        <v>#REF!</v>
      </c>
      <c r="AE1472" t="e">
        <f>IF(#REF!&lt;=5,"Low Calls", IF(#REF!&lt;=10, "Medium Calls", "High Calls"))</f>
        <v>#REF!</v>
      </c>
      <c r="AF1472" t="e">
        <f xml:space="preserve">
IF(#REF!&gt;=4,4,0)+
IF(#REF!="yes",3,0)+
IF(#REF!="High Charges",3,0)+
IF(#REF!&gt;250,4,0)+
IF(#REF!="no",1,0)+
IF(#REF!="Heavy Domestic User",2,0)</f>
        <v>#REF!</v>
      </c>
      <c r="AG1472" t="e">
        <f>IF(#REF!&gt;=10,"High Risk", IF(#REF!&gt;=5,"Medium Risk","Low Risk"))</f>
        <v>#REF!</v>
      </c>
      <c r="AH1472" t="e">
        <f>#REF! + #REF! + #REF! + #REF!</f>
        <v>#REF!</v>
      </c>
    </row>
    <row r="1473" spans="1:34" x14ac:dyDescent="0.35">
      <c r="A1473">
        <v>1472</v>
      </c>
      <c r="B1473" t="s">
        <v>66</v>
      </c>
      <c r="C1473">
        <v>23</v>
      </c>
      <c r="D1473" t="s">
        <v>28</v>
      </c>
      <c r="E1473" t="s">
        <v>22</v>
      </c>
      <c r="F1473" t="s">
        <v>22</v>
      </c>
      <c r="G1473">
        <v>0</v>
      </c>
      <c r="H1473">
        <v>113.1</v>
      </c>
      <c r="I1473">
        <v>74</v>
      </c>
      <c r="J1473">
        <v>19.23</v>
      </c>
      <c r="K1473">
        <v>168.8</v>
      </c>
      <c r="L1473">
        <v>95</v>
      </c>
      <c r="M1473">
        <v>14.35</v>
      </c>
      <c r="N1473">
        <v>262.89999999999998</v>
      </c>
      <c r="O1473">
        <v>126</v>
      </c>
      <c r="P1473">
        <v>11.83</v>
      </c>
      <c r="Q1473">
        <v>6.9</v>
      </c>
      <c r="R1473">
        <v>2</v>
      </c>
      <c r="S1473">
        <v>1.86</v>
      </c>
      <c r="T1473">
        <v>1</v>
      </c>
      <c r="U1473" t="s">
        <v>23</v>
      </c>
      <c r="V1473" t="e">
        <f>IF(#REF! = "yes", 1, 0)</f>
        <v>#REF!</v>
      </c>
      <c r="W1473" t="e">
        <f>IF(#REF! &lt;= 1, "0-1 Calls", IF(#REF! &lt;= 3, "2-3 Calls", IF(#REF! &lt;=5, "4-5 Calls", "6+ Calls")))</f>
        <v>#REF!</v>
      </c>
      <c r="X1473" t="e">
        <f>IF(#REF! &lt;= 50, "0-50", IF(#REF! &lt;=100, "51-100", IF(#REF! &lt;= 150, "101-150", "151+")))</f>
        <v>#REF!</v>
      </c>
      <c r="Y1473" t="e">
        <f>IF(#REF! &lt;= 3, "Low Charges", "High Charges")</f>
        <v>#REF!</v>
      </c>
      <c r="Z1473" t="e">
        <f>IF(#REF!&lt;=80,"Low Calls",
IF(#REF!&lt;=120,"Medium Calls","High Calls"))</f>
        <v>#REF!</v>
      </c>
      <c r="AA1473" t="e">
        <f>IF(#REF!&lt;=15,"Low Charges",
IF(#REF!&lt;=20,"Medium Charges","High Charges"))</f>
        <v>#REF!</v>
      </c>
      <c r="AB1473" t="e">
        <f>IF(AND(#REF!&gt;180, #REF!&gt;200), "Heavy Doemstic User", IF(#REF!&gt;10, "Interntional User", IF(AND(#REF!&lt;180, #REF!&lt;200,#REF!&lt;200), "Light User", "Balanced User")))</f>
        <v>#REF!</v>
      </c>
      <c r="AC1473" t="e">
        <f>IF(#REF! = 0, "No Usage", IF(#REF! &lt;= 20, "Low Usage", IF(#REF! &lt;= 40, "Medium Usgae", "High Usage")))</f>
        <v>#REF!</v>
      </c>
      <c r="AD1473" t="e">
        <f>IF(#REF!&lt;=150,"Low Usage", IF(#REF!&lt;=200,"Medium Usage", IF(#REF!&lt;=250,"High Usage","Very High Usage")))</f>
        <v>#REF!</v>
      </c>
      <c r="AE1473" t="e">
        <f>IF(#REF!&lt;=5,"Low Calls", IF(#REF!&lt;=10, "Medium Calls", "High Calls"))</f>
        <v>#REF!</v>
      </c>
      <c r="AF1473" t="e">
        <f xml:space="preserve">
IF(#REF!&gt;=4,4,0)+
IF(#REF!="yes",3,0)+
IF(#REF!="High Charges",3,0)+
IF(#REF!&gt;250,4,0)+
IF(#REF!="no",1,0)+
IF(#REF!="Heavy Domestic User",2,0)</f>
        <v>#REF!</v>
      </c>
      <c r="AG1473" t="e">
        <f>IF(#REF!&gt;=10,"High Risk", IF(#REF!&gt;=5,"Medium Risk","Low Risk"))</f>
        <v>#REF!</v>
      </c>
      <c r="AH1473" t="e">
        <f>#REF! + #REF! + #REF! + #REF!</f>
        <v>#REF!</v>
      </c>
    </row>
    <row r="1474" spans="1:34" x14ac:dyDescent="0.35">
      <c r="A1474">
        <v>1473</v>
      </c>
      <c r="B1474" t="s">
        <v>44</v>
      </c>
      <c r="C1474">
        <v>225</v>
      </c>
      <c r="D1474" t="s">
        <v>21</v>
      </c>
      <c r="E1474" t="s">
        <v>22</v>
      </c>
      <c r="F1474" t="s">
        <v>22</v>
      </c>
      <c r="G1474">
        <v>0</v>
      </c>
      <c r="H1474">
        <v>182.7</v>
      </c>
      <c r="I1474">
        <v>142</v>
      </c>
      <c r="J1474">
        <v>31.06</v>
      </c>
      <c r="K1474">
        <v>246.5</v>
      </c>
      <c r="L1474">
        <v>63</v>
      </c>
      <c r="M1474">
        <v>20.95</v>
      </c>
      <c r="N1474">
        <v>218</v>
      </c>
      <c r="O1474">
        <v>103</v>
      </c>
      <c r="P1474">
        <v>9.81</v>
      </c>
      <c r="Q1474">
        <v>8.8000000000000007</v>
      </c>
      <c r="R1474">
        <v>2</v>
      </c>
      <c r="S1474">
        <v>2.38</v>
      </c>
      <c r="T1474">
        <v>1</v>
      </c>
      <c r="U1474" t="s">
        <v>22</v>
      </c>
      <c r="V1474" t="e">
        <f>IF(#REF! = "yes", 1, 0)</f>
        <v>#REF!</v>
      </c>
      <c r="W1474" t="e">
        <f>IF(#REF! &lt;= 1, "0-1 Calls", IF(#REF! &lt;= 3, "2-3 Calls", IF(#REF! &lt;=5, "4-5 Calls", "6+ Calls")))</f>
        <v>#REF!</v>
      </c>
      <c r="X1474" t="e">
        <f>IF(#REF! &lt;= 50, "0-50", IF(#REF! &lt;=100, "51-100", IF(#REF! &lt;= 150, "101-150", "151+")))</f>
        <v>#REF!</v>
      </c>
      <c r="Y1474" t="e">
        <f>IF(#REF! &lt;= 3, "Low Charges", "High Charges")</f>
        <v>#REF!</v>
      </c>
      <c r="Z1474" t="e">
        <f>IF(#REF!&lt;=80,"Low Calls",
IF(#REF!&lt;=120,"Medium Calls","High Calls"))</f>
        <v>#REF!</v>
      </c>
      <c r="AA1474" t="e">
        <f>IF(#REF!&lt;=15,"Low Charges",
IF(#REF!&lt;=20,"Medium Charges","High Charges"))</f>
        <v>#REF!</v>
      </c>
      <c r="AB1474" t="e">
        <f>IF(AND(#REF!&gt;180, #REF!&gt;200), "Heavy Doemstic User", IF(#REF!&gt;10, "Interntional User", IF(AND(#REF!&lt;180, #REF!&lt;200,#REF!&lt;200), "Light User", "Balanced User")))</f>
        <v>#REF!</v>
      </c>
      <c r="AC1474" t="e">
        <f>IF(#REF! = 0, "No Usage", IF(#REF! &lt;= 20, "Low Usage", IF(#REF! &lt;= 40, "Medium Usgae", "High Usage")))</f>
        <v>#REF!</v>
      </c>
      <c r="AD1474" t="e">
        <f>IF(#REF!&lt;=150,"Low Usage", IF(#REF!&lt;=200,"Medium Usage", IF(#REF!&lt;=250,"High Usage","Very High Usage")))</f>
        <v>#REF!</v>
      </c>
      <c r="AE1474" t="e">
        <f>IF(#REF!&lt;=5,"Low Calls", IF(#REF!&lt;=10, "Medium Calls", "High Calls"))</f>
        <v>#REF!</v>
      </c>
      <c r="AF1474" t="e">
        <f xml:space="preserve">
IF(#REF!&gt;=4,4,0)+
IF(#REF!="yes",3,0)+
IF(#REF!="High Charges",3,0)+
IF(#REF!&gt;250,4,0)+
IF(#REF!="no",1,0)+
IF(#REF!="Heavy Domestic User",2,0)</f>
        <v>#REF!</v>
      </c>
      <c r="AG1474" t="e">
        <f>IF(#REF!&gt;=10,"High Risk", IF(#REF!&gt;=5,"Medium Risk","Low Risk"))</f>
        <v>#REF!</v>
      </c>
      <c r="AH1474" t="e">
        <f>#REF! + #REF! + #REF! + #REF!</f>
        <v>#REF!</v>
      </c>
    </row>
    <row r="1475" spans="1:34" x14ac:dyDescent="0.35">
      <c r="A1475">
        <v>1474</v>
      </c>
      <c r="B1475" t="s">
        <v>36</v>
      </c>
      <c r="C1475">
        <v>181</v>
      </c>
      <c r="D1475" t="s">
        <v>21</v>
      </c>
      <c r="E1475" t="s">
        <v>23</v>
      </c>
      <c r="F1475" t="s">
        <v>22</v>
      </c>
      <c r="G1475">
        <v>0</v>
      </c>
      <c r="H1475">
        <v>161.30000000000001</v>
      </c>
      <c r="I1475">
        <v>83</v>
      </c>
      <c r="J1475">
        <v>27.42</v>
      </c>
      <c r="K1475">
        <v>124.4</v>
      </c>
      <c r="L1475">
        <v>83</v>
      </c>
      <c r="M1475">
        <v>10.57</v>
      </c>
      <c r="N1475">
        <v>262</v>
      </c>
      <c r="O1475">
        <v>98</v>
      </c>
      <c r="P1475">
        <v>11.79</v>
      </c>
      <c r="Q1475">
        <v>14.1</v>
      </c>
      <c r="R1475">
        <v>3</v>
      </c>
      <c r="S1475">
        <v>3.81</v>
      </c>
      <c r="T1475">
        <v>0</v>
      </c>
      <c r="U1475" t="s">
        <v>23</v>
      </c>
      <c r="V1475" t="e">
        <f>IF(#REF! = "yes", 1, 0)</f>
        <v>#REF!</v>
      </c>
      <c r="W1475" t="e">
        <f>IF(#REF! &lt;= 1, "0-1 Calls", IF(#REF! &lt;= 3, "2-3 Calls", IF(#REF! &lt;=5, "4-5 Calls", "6+ Calls")))</f>
        <v>#REF!</v>
      </c>
      <c r="X1475" t="e">
        <f>IF(#REF! &lt;= 50, "0-50", IF(#REF! &lt;=100, "51-100", IF(#REF! &lt;= 150, "101-150", "151+")))</f>
        <v>#REF!</v>
      </c>
      <c r="Y1475" t="e">
        <f>IF(#REF! &lt;= 3, "Low Charges", "High Charges")</f>
        <v>#REF!</v>
      </c>
      <c r="Z1475" t="e">
        <f>IF(#REF!&lt;=80,"Low Calls",
IF(#REF!&lt;=120,"Medium Calls","High Calls"))</f>
        <v>#REF!</v>
      </c>
      <c r="AA1475" t="e">
        <f>IF(#REF!&lt;=15,"Low Charges",
IF(#REF!&lt;=20,"Medium Charges","High Charges"))</f>
        <v>#REF!</v>
      </c>
      <c r="AB1475" t="e">
        <f>IF(AND(#REF!&gt;180, #REF!&gt;200), "Heavy Doemstic User", IF(#REF!&gt;10, "Interntional User", IF(AND(#REF!&lt;180, #REF!&lt;200,#REF!&lt;200), "Light User", "Balanced User")))</f>
        <v>#REF!</v>
      </c>
      <c r="AC1475" t="e">
        <f>IF(#REF! = 0, "No Usage", IF(#REF! &lt;= 20, "Low Usage", IF(#REF! &lt;= 40, "Medium Usgae", "High Usage")))</f>
        <v>#REF!</v>
      </c>
      <c r="AD1475" t="e">
        <f>IF(#REF!&lt;=150,"Low Usage", IF(#REF!&lt;=200,"Medium Usage", IF(#REF!&lt;=250,"High Usage","Very High Usage")))</f>
        <v>#REF!</v>
      </c>
      <c r="AE1475" t="e">
        <f>IF(#REF!&lt;=5,"Low Calls", IF(#REF!&lt;=10, "Medium Calls", "High Calls"))</f>
        <v>#REF!</v>
      </c>
      <c r="AF1475" t="e">
        <f xml:space="preserve">
IF(#REF!&gt;=4,4,0)+
IF(#REF!="yes",3,0)+
IF(#REF!="High Charges",3,0)+
IF(#REF!&gt;250,4,0)+
IF(#REF!="no",1,0)+
IF(#REF!="Heavy Domestic User",2,0)</f>
        <v>#REF!</v>
      </c>
      <c r="AG1475" t="e">
        <f>IF(#REF!&gt;=10,"High Risk", IF(#REF!&gt;=5,"Medium Risk","Low Risk"))</f>
        <v>#REF!</v>
      </c>
      <c r="AH1475" t="e">
        <f>#REF! + #REF! + #REF! + #REF!</f>
        <v>#REF!</v>
      </c>
    </row>
    <row r="1476" spans="1:34" x14ac:dyDescent="0.35">
      <c r="A1476">
        <v>1475</v>
      </c>
      <c r="B1476" t="s">
        <v>64</v>
      </c>
      <c r="C1476">
        <v>63</v>
      </c>
      <c r="D1476" t="s">
        <v>21</v>
      </c>
      <c r="E1476" t="s">
        <v>22</v>
      </c>
      <c r="F1476" t="s">
        <v>22</v>
      </c>
      <c r="G1476">
        <v>0</v>
      </c>
      <c r="H1476">
        <v>142.5</v>
      </c>
      <c r="I1476">
        <v>92</v>
      </c>
      <c r="J1476">
        <v>24.23</v>
      </c>
      <c r="K1476">
        <v>208.3</v>
      </c>
      <c r="L1476">
        <v>102</v>
      </c>
      <c r="M1476">
        <v>17.71</v>
      </c>
      <c r="N1476">
        <v>228.9</v>
      </c>
      <c r="O1476">
        <v>120</v>
      </c>
      <c r="P1476">
        <v>10.3</v>
      </c>
      <c r="Q1476">
        <v>7.5</v>
      </c>
      <c r="R1476">
        <v>2</v>
      </c>
      <c r="S1476">
        <v>2.0299999999999998</v>
      </c>
      <c r="T1476">
        <v>2</v>
      </c>
      <c r="U1476" t="s">
        <v>22</v>
      </c>
      <c r="V1476" t="e">
        <f>IF(#REF! = "yes", 1, 0)</f>
        <v>#REF!</v>
      </c>
      <c r="W1476" t="e">
        <f>IF(#REF! &lt;= 1, "0-1 Calls", IF(#REF! &lt;= 3, "2-3 Calls", IF(#REF! &lt;=5, "4-5 Calls", "6+ Calls")))</f>
        <v>#REF!</v>
      </c>
      <c r="X1476" t="e">
        <f>IF(#REF! &lt;= 50, "0-50", IF(#REF! &lt;=100, "51-100", IF(#REF! &lt;= 150, "101-150", "151+")))</f>
        <v>#REF!</v>
      </c>
      <c r="Y1476" t="e">
        <f>IF(#REF! &lt;= 3, "Low Charges", "High Charges")</f>
        <v>#REF!</v>
      </c>
      <c r="Z1476" t="e">
        <f>IF(#REF!&lt;=80,"Low Calls",
IF(#REF!&lt;=120,"Medium Calls","High Calls"))</f>
        <v>#REF!</v>
      </c>
      <c r="AA1476" t="e">
        <f>IF(#REF!&lt;=15,"Low Charges",
IF(#REF!&lt;=20,"Medium Charges","High Charges"))</f>
        <v>#REF!</v>
      </c>
      <c r="AB1476" t="e">
        <f>IF(AND(#REF!&gt;180, #REF!&gt;200), "Heavy Doemstic User", IF(#REF!&gt;10, "Interntional User", IF(AND(#REF!&lt;180, #REF!&lt;200,#REF!&lt;200), "Light User", "Balanced User")))</f>
        <v>#REF!</v>
      </c>
      <c r="AC1476" t="e">
        <f>IF(#REF! = 0, "No Usage", IF(#REF! &lt;= 20, "Low Usage", IF(#REF! &lt;= 40, "Medium Usgae", "High Usage")))</f>
        <v>#REF!</v>
      </c>
      <c r="AD1476" t="e">
        <f>IF(#REF!&lt;=150,"Low Usage", IF(#REF!&lt;=200,"Medium Usage", IF(#REF!&lt;=250,"High Usage","Very High Usage")))</f>
        <v>#REF!</v>
      </c>
      <c r="AE1476" t="e">
        <f>IF(#REF!&lt;=5,"Low Calls", IF(#REF!&lt;=10, "Medium Calls", "High Calls"))</f>
        <v>#REF!</v>
      </c>
      <c r="AF1476" t="e">
        <f xml:space="preserve">
IF(#REF!&gt;=4,4,0)+
IF(#REF!="yes",3,0)+
IF(#REF!="High Charges",3,0)+
IF(#REF!&gt;250,4,0)+
IF(#REF!="no",1,0)+
IF(#REF!="Heavy Domestic User",2,0)</f>
        <v>#REF!</v>
      </c>
      <c r="AG1476" t="e">
        <f>IF(#REF!&gt;=10,"High Risk", IF(#REF!&gt;=5,"Medium Risk","Low Risk"))</f>
        <v>#REF!</v>
      </c>
      <c r="AH1476" t="e">
        <f>#REF! + #REF! + #REF! + #REF!</f>
        <v>#REF!</v>
      </c>
    </row>
    <row r="1477" spans="1:34" x14ac:dyDescent="0.35">
      <c r="A1477">
        <v>1476</v>
      </c>
      <c r="B1477" t="s">
        <v>58</v>
      </c>
      <c r="C1477">
        <v>54</v>
      </c>
      <c r="D1477" t="s">
        <v>21</v>
      </c>
      <c r="E1477" t="s">
        <v>23</v>
      </c>
      <c r="F1477" t="s">
        <v>22</v>
      </c>
      <c r="G1477">
        <v>0</v>
      </c>
      <c r="H1477">
        <v>190.5</v>
      </c>
      <c r="I1477">
        <v>108</v>
      </c>
      <c r="J1477">
        <v>32.39</v>
      </c>
      <c r="K1477">
        <v>259.7</v>
      </c>
      <c r="L1477">
        <v>108</v>
      </c>
      <c r="M1477">
        <v>22.07</v>
      </c>
      <c r="N1477">
        <v>141.5</v>
      </c>
      <c r="O1477">
        <v>111</v>
      </c>
      <c r="P1477">
        <v>6.37</v>
      </c>
      <c r="Q1477">
        <v>9.6999999999999993</v>
      </c>
      <c r="R1477">
        <v>2</v>
      </c>
      <c r="S1477">
        <v>2.62</v>
      </c>
      <c r="T1477">
        <v>2</v>
      </c>
      <c r="U1477" t="s">
        <v>23</v>
      </c>
      <c r="V1477" t="e">
        <f>IF(#REF! = "yes", 1, 0)</f>
        <v>#REF!</v>
      </c>
      <c r="W1477" t="e">
        <f>IF(#REF! &lt;= 1, "0-1 Calls", IF(#REF! &lt;= 3, "2-3 Calls", IF(#REF! &lt;=5, "4-5 Calls", "6+ Calls")))</f>
        <v>#REF!</v>
      </c>
      <c r="X1477" t="e">
        <f>IF(#REF! &lt;= 50, "0-50", IF(#REF! &lt;=100, "51-100", IF(#REF! &lt;= 150, "101-150", "151+")))</f>
        <v>#REF!</v>
      </c>
      <c r="Y1477" t="e">
        <f>IF(#REF! &lt;= 3, "Low Charges", "High Charges")</f>
        <v>#REF!</v>
      </c>
      <c r="Z1477" t="e">
        <f>IF(#REF!&lt;=80,"Low Calls",
IF(#REF!&lt;=120,"Medium Calls","High Calls"))</f>
        <v>#REF!</v>
      </c>
      <c r="AA1477" t="e">
        <f>IF(#REF!&lt;=15,"Low Charges",
IF(#REF!&lt;=20,"Medium Charges","High Charges"))</f>
        <v>#REF!</v>
      </c>
      <c r="AB1477" t="e">
        <f>IF(AND(#REF!&gt;180, #REF!&gt;200), "Heavy Doemstic User", IF(#REF!&gt;10, "Interntional User", IF(AND(#REF!&lt;180, #REF!&lt;200,#REF!&lt;200), "Light User", "Balanced User")))</f>
        <v>#REF!</v>
      </c>
      <c r="AC1477" t="e">
        <f>IF(#REF! = 0, "No Usage", IF(#REF! &lt;= 20, "Low Usage", IF(#REF! &lt;= 40, "Medium Usgae", "High Usage")))</f>
        <v>#REF!</v>
      </c>
      <c r="AD1477" t="e">
        <f>IF(#REF!&lt;=150,"Low Usage", IF(#REF!&lt;=200,"Medium Usage", IF(#REF!&lt;=250,"High Usage","Very High Usage")))</f>
        <v>#REF!</v>
      </c>
      <c r="AE1477" t="e">
        <f>IF(#REF!&lt;=5,"Low Calls", IF(#REF!&lt;=10, "Medium Calls", "High Calls"))</f>
        <v>#REF!</v>
      </c>
      <c r="AF1477" t="e">
        <f xml:space="preserve">
IF(#REF!&gt;=4,4,0)+
IF(#REF!="yes",3,0)+
IF(#REF!="High Charges",3,0)+
IF(#REF!&gt;250,4,0)+
IF(#REF!="no",1,0)+
IF(#REF!="Heavy Domestic User",2,0)</f>
        <v>#REF!</v>
      </c>
      <c r="AG1477" t="e">
        <f>IF(#REF!&gt;=10,"High Risk", IF(#REF!&gt;=5,"Medium Risk","Low Risk"))</f>
        <v>#REF!</v>
      </c>
      <c r="AH1477" t="e">
        <f>#REF! + #REF! + #REF! + #REF!</f>
        <v>#REF!</v>
      </c>
    </row>
    <row r="1478" spans="1:34" x14ac:dyDescent="0.35">
      <c r="A1478">
        <v>1477</v>
      </c>
      <c r="B1478" t="s">
        <v>29</v>
      </c>
      <c r="C1478">
        <v>80</v>
      </c>
      <c r="D1478" t="s">
        <v>25</v>
      </c>
      <c r="E1478" t="s">
        <v>23</v>
      </c>
      <c r="F1478" t="s">
        <v>23</v>
      </c>
      <c r="G1478">
        <v>15</v>
      </c>
      <c r="H1478">
        <v>159.30000000000001</v>
      </c>
      <c r="I1478">
        <v>110</v>
      </c>
      <c r="J1478">
        <v>27.08</v>
      </c>
      <c r="K1478">
        <v>170.6</v>
      </c>
      <c r="L1478">
        <v>120</v>
      </c>
      <c r="M1478">
        <v>14.5</v>
      </c>
      <c r="N1478">
        <v>141.19999999999999</v>
      </c>
      <c r="O1478">
        <v>82</v>
      </c>
      <c r="P1478">
        <v>6.35</v>
      </c>
      <c r="Q1478">
        <v>11.9</v>
      </c>
      <c r="R1478">
        <v>5</v>
      </c>
      <c r="S1478">
        <v>3.21</v>
      </c>
      <c r="T1478">
        <v>1</v>
      </c>
      <c r="U1478" t="s">
        <v>22</v>
      </c>
      <c r="V1478" t="e">
        <f>IF(#REF! = "yes", 1, 0)</f>
        <v>#REF!</v>
      </c>
      <c r="W1478" t="e">
        <f>IF(#REF! &lt;= 1, "0-1 Calls", IF(#REF! &lt;= 3, "2-3 Calls", IF(#REF! &lt;=5, "4-5 Calls", "6+ Calls")))</f>
        <v>#REF!</v>
      </c>
      <c r="X1478" t="e">
        <f>IF(#REF! &lt;= 50, "0-50", IF(#REF! &lt;=100, "51-100", IF(#REF! &lt;= 150, "101-150", "151+")))</f>
        <v>#REF!</v>
      </c>
      <c r="Y1478" t="e">
        <f>IF(#REF! &lt;= 3, "Low Charges", "High Charges")</f>
        <v>#REF!</v>
      </c>
      <c r="Z1478" t="e">
        <f>IF(#REF!&lt;=80,"Low Calls",
IF(#REF!&lt;=120,"Medium Calls","High Calls"))</f>
        <v>#REF!</v>
      </c>
      <c r="AA1478" t="e">
        <f>IF(#REF!&lt;=15,"Low Charges",
IF(#REF!&lt;=20,"Medium Charges","High Charges"))</f>
        <v>#REF!</v>
      </c>
      <c r="AB1478" t="e">
        <f>IF(AND(#REF!&gt;180, #REF!&gt;200), "Heavy Doemstic User", IF(#REF!&gt;10, "Interntional User", IF(AND(#REF!&lt;180, #REF!&lt;200,#REF!&lt;200), "Light User", "Balanced User")))</f>
        <v>#REF!</v>
      </c>
      <c r="AC1478" t="e">
        <f>IF(#REF! = 0, "No Usage", IF(#REF! &lt;= 20, "Low Usage", IF(#REF! &lt;= 40, "Medium Usgae", "High Usage")))</f>
        <v>#REF!</v>
      </c>
      <c r="AD1478" t="e">
        <f>IF(#REF!&lt;=150,"Low Usage", IF(#REF!&lt;=200,"Medium Usage", IF(#REF!&lt;=250,"High Usage","Very High Usage")))</f>
        <v>#REF!</v>
      </c>
      <c r="AE1478" t="e">
        <f>IF(#REF!&lt;=5,"Low Calls", IF(#REF!&lt;=10, "Medium Calls", "High Calls"))</f>
        <v>#REF!</v>
      </c>
      <c r="AF1478" t="e">
        <f xml:space="preserve">
IF(#REF!&gt;=4,4,0)+
IF(#REF!="yes",3,0)+
IF(#REF!="High Charges",3,0)+
IF(#REF!&gt;250,4,0)+
IF(#REF!="no",1,0)+
IF(#REF!="Heavy Domestic User",2,0)</f>
        <v>#REF!</v>
      </c>
      <c r="AG1478" t="e">
        <f>IF(#REF!&gt;=10,"High Risk", IF(#REF!&gt;=5,"Medium Risk","Low Risk"))</f>
        <v>#REF!</v>
      </c>
      <c r="AH1478" t="e">
        <f>#REF! + #REF! + #REF! + #REF!</f>
        <v>#REF!</v>
      </c>
    </row>
    <row r="1479" spans="1:34" x14ac:dyDescent="0.35">
      <c r="A1479">
        <v>1478</v>
      </c>
      <c r="B1479" t="s">
        <v>58</v>
      </c>
      <c r="C1479">
        <v>118</v>
      </c>
      <c r="D1479" t="s">
        <v>25</v>
      </c>
      <c r="E1479" t="s">
        <v>23</v>
      </c>
      <c r="F1479" t="s">
        <v>23</v>
      </c>
      <c r="G1479">
        <v>39</v>
      </c>
      <c r="H1479">
        <v>153.80000000000001</v>
      </c>
      <c r="I1479">
        <v>106</v>
      </c>
      <c r="J1479">
        <v>26.15</v>
      </c>
      <c r="K1479">
        <v>123.3</v>
      </c>
      <c r="L1479">
        <v>111</v>
      </c>
      <c r="M1479">
        <v>10.48</v>
      </c>
      <c r="N1479">
        <v>117.8</v>
      </c>
      <c r="O1479">
        <v>103</v>
      </c>
      <c r="P1479">
        <v>5.3</v>
      </c>
      <c r="Q1479">
        <v>9.1999999999999993</v>
      </c>
      <c r="R1479">
        <v>6</v>
      </c>
      <c r="S1479">
        <v>2.48</v>
      </c>
      <c r="T1479">
        <v>1</v>
      </c>
      <c r="U1479" t="s">
        <v>22</v>
      </c>
      <c r="V1479" t="e">
        <f>IF(#REF! = "yes", 1, 0)</f>
        <v>#REF!</v>
      </c>
      <c r="W1479" t="e">
        <f>IF(#REF! &lt;= 1, "0-1 Calls", IF(#REF! &lt;= 3, "2-3 Calls", IF(#REF! &lt;=5, "4-5 Calls", "6+ Calls")))</f>
        <v>#REF!</v>
      </c>
      <c r="X1479" t="e">
        <f>IF(#REF! &lt;= 50, "0-50", IF(#REF! &lt;=100, "51-100", IF(#REF! &lt;= 150, "101-150", "151+")))</f>
        <v>#REF!</v>
      </c>
      <c r="Y1479" t="e">
        <f>IF(#REF! &lt;= 3, "Low Charges", "High Charges")</f>
        <v>#REF!</v>
      </c>
      <c r="Z1479" t="e">
        <f>IF(#REF!&lt;=80,"Low Calls",
IF(#REF!&lt;=120,"Medium Calls","High Calls"))</f>
        <v>#REF!</v>
      </c>
      <c r="AA1479" t="e">
        <f>IF(#REF!&lt;=15,"Low Charges",
IF(#REF!&lt;=20,"Medium Charges","High Charges"))</f>
        <v>#REF!</v>
      </c>
      <c r="AB1479" t="e">
        <f>IF(AND(#REF!&gt;180, #REF!&gt;200), "Heavy Doemstic User", IF(#REF!&gt;10, "Interntional User", IF(AND(#REF!&lt;180, #REF!&lt;200,#REF!&lt;200), "Light User", "Balanced User")))</f>
        <v>#REF!</v>
      </c>
      <c r="AC1479" t="e">
        <f>IF(#REF! = 0, "No Usage", IF(#REF! &lt;= 20, "Low Usage", IF(#REF! &lt;= 40, "Medium Usgae", "High Usage")))</f>
        <v>#REF!</v>
      </c>
      <c r="AD1479" t="e">
        <f>IF(#REF!&lt;=150,"Low Usage", IF(#REF!&lt;=200,"Medium Usage", IF(#REF!&lt;=250,"High Usage","Very High Usage")))</f>
        <v>#REF!</v>
      </c>
      <c r="AE1479" t="e">
        <f>IF(#REF!&lt;=5,"Low Calls", IF(#REF!&lt;=10, "Medium Calls", "High Calls"))</f>
        <v>#REF!</v>
      </c>
      <c r="AF1479" t="e">
        <f xml:space="preserve">
IF(#REF!&gt;=4,4,0)+
IF(#REF!="yes",3,0)+
IF(#REF!="High Charges",3,0)+
IF(#REF!&gt;250,4,0)+
IF(#REF!="no",1,0)+
IF(#REF!="Heavy Domestic User",2,0)</f>
        <v>#REF!</v>
      </c>
      <c r="AG1479" t="e">
        <f>IF(#REF!&gt;=10,"High Risk", IF(#REF!&gt;=5,"Medium Risk","Low Risk"))</f>
        <v>#REF!</v>
      </c>
      <c r="AH1479" t="e">
        <f>#REF! + #REF! + #REF! + #REF!</f>
        <v>#REF!</v>
      </c>
    </row>
    <row r="1480" spans="1:34" x14ac:dyDescent="0.35">
      <c r="A1480">
        <v>1479</v>
      </c>
      <c r="B1480" t="s">
        <v>24</v>
      </c>
      <c r="C1480">
        <v>42</v>
      </c>
      <c r="D1480" t="s">
        <v>25</v>
      </c>
      <c r="E1480" t="s">
        <v>23</v>
      </c>
      <c r="F1480" t="s">
        <v>22</v>
      </c>
      <c r="G1480">
        <v>0</v>
      </c>
      <c r="H1480">
        <v>180.7</v>
      </c>
      <c r="I1480">
        <v>127</v>
      </c>
      <c r="J1480">
        <v>30.72</v>
      </c>
      <c r="K1480">
        <v>174.6</v>
      </c>
      <c r="L1480">
        <v>94</v>
      </c>
      <c r="M1480">
        <v>14.84</v>
      </c>
      <c r="N1480">
        <v>165.3</v>
      </c>
      <c r="O1480">
        <v>114</v>
      </c>
      <c r="P1480">
        <v>7.44</v>
      </c>
      <c r="Q1480">
        <v>12</v>
      </c>
      <c r="R1480">
        <v>6</v>
      </c>
      <c r="S1480">
        <v>3.24</v>
      </c>
      <c r="T1480">
        <v>2</v>
      </c>
      <c r="U1480" t="s">
        <v>22</v>
      </c>
      <c r="V1480" t="e">
        <f>IF(#REF! = "yes", 1, 0)</f>
        <v>#REF!</v>
      </c>
      <c r="W1480" t="e">
        <f>IF(#REF! &lt;= 1, "0-1 Calls", IF(#REF! &lt;= 3, "2-3 Calls", IF(#REF! &lt;=5, "4-5 Calls", "6+ Calls")))</f>
        <v>#REF!</v>
      </c>
      <c r="X1480" t="e">
        <f>IF(#REF! &lt;= 50, "0-50", IF(#REF! &lt;=100, "51-100", IF(#REF! &lt;= 150, "101-150", "151+")))</f>
        <v>#REF!</v>
      </c>
      <c r="Y1480" t="e">
        <f>IF(#REF! &lt;= 3, "Low Charges", "High Charges")</f>
        <v>#REF!</v>
      </c>
      <c r="Z1480" t="e">
        <f>IF(#REF!&lt;=80,"Low Calls",
IF(#REF!&lt;=120,"Medium Calls","High Calls"))</f>
        <v>#REF!</v>
      </c>
      <c r="AA1480" t="e">
        <f>IF(#REF!&lt;=15,"Low Charges",
IF(#REF!&lt;=20,"Medium Charges","High Charges"))</f>
        <v>#REF!</v>
      </c>
      <c r="AB1480" t="e">
        <f>IF(AND(#REF!&gt;180, #REF!&gt;200), "Heavy Doemstic User", IF(#REF!&gt;10, "Interntional User", IF(AND(#REF!&lt;180, #REF!&lt;200,#REF!&lt;200), "Light User", "Balanced User")))</f>
        <v>#REF!</v>
      </c>
      <c r="AC1480" t="e">
        <f>IF(#REF! = 0, "No Usage", IF(#REF! &lt;= 20, "Low Usage", IF(#REF! &lt;= 40, "Medium Usgae", "High Usage")))</f>
        <v>#REF!</v>
      </c>
      <c r="AD1480" t="e">
        <f>IF(#REF!&lt;=150,"Low Usage", IF(#REF!&lt;=200,"Medium Usage", IF(#REF!&lt;=250,"High Usage","Very High Usage")))</f>
        <v>#REF!</v>
      </c>
      <c r="AE1480" t="e">
        <f>IF(#REF!&lt;=5,"Low Calls", IF(#REF!&lt;=10, "Medium Calls", "High Calls"))</f>
        <v>#REF!</v>
      </c>
      <c r="AF1480" t="e">
        <f xml:space="preserve">
IF(#REF!&gt;=4,4,0)+
IF(#REF!="yes",3,0)+
IF(#REF!="High Charges",3,0)+
IF(#REF!&gt;250,4,0)+
IF(#REF!="no",1,0)+
IF(#REF!="Heavy Domestic User",2,0)</f>
        <v>#REF!</v>
      </c>
      <c r="AG1480" t="e">
        <f>IF(#REF!&gt;=10,"High Risk", IF(#REF!&gt;=5,"Medium Risk","Low Risk"))</f>
        <v>#REF!</v>
      </c>
      <c r="AH1480" t="e">
        <f>#REF! + #REF! + #REF! + #REF!</f>
        <v>#REF!</v>
      </c>
    </row>
    <row r="1481" spans="1:34" x14ac:dyDescent="0.35">
      <c r="A1481">
        <v>1480</v>
      </c>
      <c r="B1481" t="s">
        <v>20</v>
      </c>
      <c r="C1481">
        <v>134</v>
      </c>
      <c r="D1481" t="s">
        <v>25</v>
      </c>
      <c r="E1481" t="s">
        <v>22</v>
      </c>
      <c r="F1481" t="s">
        <v>22</v>
      </c>
      <c r="G1481">
        <v>0</v>
      </c>
      <c r="H1481">
        <v>202.7</v>
      </c>
      <c r="I1481">
        <v>105</v>
      </c>
      <c r="J1481">
        <v>34.46</v>
      </c>
      <c r="K1481">
        <v>224.9</v>
      </c>
      <c r="L1481">
        <v>90</v>
      </c>
      <c r="M1481">
        <v>19.12</v>
      </c>
      <c r="N1481">
        <v>253.9</v>
      </c>
      <c r="O1481">
        <v>108</v>
      </c>
      <c r="P1481">
        <v>11.43</v>
      </c>
      <c r="Q1481">
        <v>12.1</v>
      </c>
      <c r="R1481">
        <v>7</v>
      </c>
      <c r="S1481">
        <v>3.27</v>
      </c>
      <c r="T1481">
        <v>0</v>
      </c>
      <c r="U1481" t="s">
        <v>22</v>
      </c>
      <c r="V1481" t="e">
        <f>IF(#REF! = "yes", 1, 0)</f>
        <v>#REF!</v>
      </c>
      <c r="W1481" t="e">
        <f>IF(#REF! &lt;= 1, "0-1 Calls", IF(#REF! &lt;= 3, "2-3 Calls", IF(#REF! &lt;=5, "4-5 Calls", "6+ Calls")))</f>
        <v>#REF!</v>
      </c>
      <c r="X1481" t="e">
        <f>IF(#REF! &lt;= 50, "0-50", IF(#REF! &lt;=100, "51-100", IF(#REF! &lt;= 150, "101-150", "151+")))</f>
        <v>#REF!</v>
      </c>
      <c r="Y1481" t="e">
        <f>IF(#REF! &lt;= 3, "Low Charges", "High Charges")</f>
        <v>#REF!</v>
      </c>
      <c r="Z1481" t="e">
        <f>IF(#REF!&lt;=80,"Low Calls",
IF(#REF!&lt;=120,"Medium Calls","High Calls"))</f>
        <v>#REF!</v>
      </c>
      <c r="AA1481" t="e">
        <f>IF(#REF!&lt;=15,"Low Charges",
IF(#REF!&lt;=20,"Medium Charges","High Charges"))</f>
        <v>#REF!</v>
      </c>
      <c r="AB1481" t="e">
        <f>IF(AND(#REF!&gt;180, #REF!&gt;200), "Heavy Doemstic User", IF(#REF!&gt;10, "Interntional User", IF(AND(#REF!&lt;180, #REF!&lt;200,#REF!&lt;200), "Light User", "Balanced User")))</f>
        <v>#REF!</v>
      </c>
      <c r="AC1481" t="e">
        <f>IF(#REF! = 0, "No Usage", IF(#REF! &lt;= 20, "Low Usage", IF(#REF! &lt;= 40, "Medium Usgae", "High Usage")))</f>
        <v>#REF!</v>
      </c>
      <c r="AD1481" t="e">
        <f>IF(#REF!&lt;=150,"Low Usage", IF(#REF!&lt;=200,"Medium Usage", IF(#REF!&lt;=250,"High Usage","Very High Usage")))</f>
        <v>#REF!</v>
      </c>
      <c r="AE1481" t="e">
        <f>IF(#REF!&lt;=5,"Low Calls", IF(#REF!&lt;=10, "Medium Calls", "High Calls"))</f>
        <v>#REF!</v>
      </c>
      <c r="AF1481" t="e">
        <f xml:space="preserve">
IF(#REF!&gt;=4,4,0)+
IF(#REF!="yes",3,0)+
IF(#REF!="High Charges",3,0)+
IF(#REF!&gt;250,4,0)+
IF(#REF!="no",1,0)+
IF(#REF!="Heavy Domestic User",2,0)</f>
        <v>#REF!</v>
      </c>
      <c r="AG1481" t="e">
        <f>IF(#REF!&gt;=10,"High Risk", IF(#REF!&gt;=5,"Medium Risk","Low Risk"))</f>
        <v>#REF!</v>
      </c>
      <c r="AH1481" t="e">
        <f>#REF! + #REF! + #REF! + #REF!</f>
        <v>#REF!</v>
      </c>
    </row>
    <row r="1482" spans="1:34" x14ac:dyDescent="0.35">
      <c r="A1482">
        <v>1481</v>
      </c>
      <c r="B1482" t="s">
        <v>39</v>
      </c>
      <c r="C1482">
        <v>66</v>
      </c>
      <c r="D1482" t="s">
        <v>21</v>
      </c>
      <c r="E1482" t="s">
        <v>22</v>
      </c>
      <c r="F1482" t="s">
        <v>23</v>
      </c>
      <c r="G1482">
        <v>35</v>
      </c>
      <c r="H1482">
        <v>190.8</v>
      </c>
      <c r="I1482">
        <v>100</v>
      </c>
      <c r="J1482">
        <v>32.44</v>
      </c>
      <c r="K1482">
        <v>261.3</v>
      </c>
      <c r="L1482">
        <v>93</v>
      </c>
      <c r="M1482">
        <v>22.21</v>
      </c>
      <c r="N1482">
        <v>209.5</v>
      </c>
      <c r="O1482">
        <v>108</v>
      </c>
      <c r="P1482">
        <v>9.43</v>
      </c>
      <c r="Q1482">
        <v>8.9</v>
      </c>
      <c r="R1482">
        <v>6</v>
      </c>
      <c r="S1482">
        <v>2.4</v>
      </c>
      <c r="T1482">
        <v>0</v>
      </c>
      <c r="U1482" t="s">
        <v>22</v>
      </c>
      <c r="V1482" t="e">
        <f>IF(#REF! = "yes", 1, 0)</f>
        <v>#REF!</v>
      </c>
      <c r="W1482" t="e">
        <f>IF(#REF! &lt;= 1, "0-1 Calls", IF(#REF! &lt;= 3, "2-3 Calls", IF(#REF! &lt;=5, "4-5 Calls", "6+ Calls")))</f>
        <v>#REF!</v>
      </c>
      <c r="X1482" t="e">
        <f>IF(#REF! &lt;= 50, "0-50", IF(#REF! &lt;=100, "51-100", IF(#REF! &lt;= 150, "101-150", "151+")))</f>
        <v>#REF!</v>
      </c>
      <c r="Y1482" t="e">
        <f>IF(#REF! &lt;= 3, "Low Charges", "High Charges")</f>
        <v>#REF!</v>
      </c>
      <c r="Z1482" t="e">
        <f>IF(#REF!&lt;=80,"Low Calls",
IF(#REF!&lt;=120,"Medium Calls","High Calls"))</f>
        <v>#REF!</v>
      </c>
      <c r="AA1482" t="e">
        <f>IF(#REF!&lt;=15,"Low Charges",
IF(#REF!&lt;=20,"Medium Charges","High Charges"))</f>
        <v>#REF!</v>
      </c>
      <c r="AB1482" t="e">
        <f>IF(AND(#REF!&gt;180, #REF!&gt;200), "Heavy Doemstic User", IF(#REF!&gt;10, "Interntional User", IF(AND(#REF!&lt;180, #REF!&lt;200,#REF!&lt;200), "Light User", "Balanced User")))</f>
        <v>#REF!</v>
      </c>
      <c r="AC1482" t="e">
        <f>IF(#REF! = 0, "No Usage", IF(#REF! &lt;= 20, "Low Usage", IF(#REF! &lt;= 40, "Medium Usgae", "High Usage")))</f>
        <v>#REF!</v>
      </c>
      <c r="AD1482" t="e">
        <f>IF(#REF!&lt;=150,"Low Usage", IF(#REF!&lt;=200,"Medium Usage", IF(#REF!&lt;=250,"High Usage","Very High Usage")))</f>
        <v>#REF!</v>
      </c>
      <c r="AE1482" t="e">
        <f>IF(#REF!&lt;=5,"Low Calls", IF(#REF!&lt;=10, "Medium Calls", "High Calls"))</f>
        <v>#REF!</v>
      </c>
      <c r="AF1482" t="e">
        <f xml:space="preserve">
IF(#REF!&gt;=4,4,0)+
IF(#REF!="yes",3,0)+
IF(#REF!="High Charges",3,0)+
IF(#REF!&gt;250,4,0)+
IF(#REF!="no",1,0)+
IF(#REF!="Heavy Domestic User",2,0)</f>
        <v>#REF!</v>
      </c>
      <c r="AG1482" t="e">
        <f>IF(#REF!&gt;=10,"High Risk", IF(#REF!&gt;=5,"Medium Risk","Low Risk"))</f>
        <v>#REF!</v>
      </c>
      <c r="AH1482" t="e">
        <f>#REF! + #REF! + #REF! + #REF!</f>
        <v>#REF!</v>
      </c>
    </row>
    <row r="1483" spans="1:34" x14ac:dyDescent="0.35">
      <c r="A1483">
        <v>1482</v>
      </c>
      <c r="B1483" t="s">
        <v>71</v>
      </c>
      <c r="C1483">
        <v>127</v>
      </c>
      <c r="D1483" t="s">
        <v>21</v>
      </c>
      <c r="E1483" t="s">
        <v>22</v>
      </c>
      <c r="F1483" t="s">
        <v>23</v>
      </c>
      <c r="G1483">
        <v>28</v>
      </c>
      <c r="H1483">
        <v>235.6</v>
      </c>
      <c r="I1483">
        <v>124</v>
      </c>
      <c r="J1483">
        <v>40.049999999999997</v>
      </c>
      <c r="K1483">
        <v>236.8</v>
      </c>
      <c r="L1483">
        <v>113</v>
      </c>
      <c r="M1483">
        <v>20.13</v>
      </c>
      <c r="N1483">
        <v>241.2</v>
      </c>
      <c r="O1483">
        <v>127</v>
      </c>
      <c r="P1483">
        <v>10.85</v>
      </c>
      <c r="Q1483">
        <v>7.7</v>
      </c>
      <c r="R1483">
        <v>2</v>
      </c>
      <c r="S1483">
        <v>2.08</v>
      </c>
      <c r="T1483">
        <v>1</v>
      </c>
      <c r="U1483" t="s">
        <v>22</v>
      </c>
      <c r="V1483" t="e">
        <f>IF(#REF! = "yes", 1, 0)</f>
        <v>#REF!</v>
      </c>
      <c r="W1483" t="e">
        <f>IF(#REF! &lt;= 1, "0-1 Calls", IF(#REF! &lt;= 3, "2-3 Calls", IF(#REF! &lt;=5, "4-5 Calls", "6+ Calls")))</f>
        <v>#REF!</v>
      </c>
      <c r="X1483" t="e">
        <f>IF(#REF! &lt;= 50, "0-50", IF(#REF! &lt;=100, "51-100", IF(#REF! &lt;= 150, "101-150", "151+")))</f>
        <v>#REF!</v>
      </c>
      <c r="Y1483" t="e">
        <f>IF(#REF! &lt;= 3, "Low Charges", "High Charges")</f>
        <v>#REF!</v>
      </c>
      <c r="Z1483" t="e">
        <f>IF(#REF!&lt;=80,"Low Calls",
IF(#REF!&lt;=120,"Medium Calls","High Calls"))</f>
        <v>#REF!</v>
      </c>
      <c r="AA1483" t="e">
        <f>IF(#REF!&lt;=15,"Low Charges",
IF(#REF!&lt;=20,"Medium Charges","High Charges"))</f>
        <v>#REF!</v>
      </c>
      <c r="AB1483" t="e">
        <f>IF(AND(#REF!&gt;180, #REF!&gt;200), "Heavy Doemstic User", IF(#REF!&gt;10, "Interntional User", IF(AND(#REF!&lt;180, #REF!&lt;200,#REF!&lt;200), "Light User", "Balanced User")))</f>
        <v>#REF!</v>
      </c>
      <c r="AC1483" t="e">
        <f>IF(#REF! = 0, "No Usage", IF(#REF! &lt;= 20, "Low Usage", IF(#REF! &lt;= 40, "Medium Usgae", "High Usage")))</f>
        <v>#REF!</v>
      </c>
      <c r="AD1483" t="e">
        <f>IF(#REF!&lt;=150,"Low Usage", IF(#REF!&lt;=200,"Medium Usage", IF(#REF!&lt;=250,"High Usage","Very High Usage")))</f>
        <v>#REF!</v>
      </c>
      <c r="AE1483" t="e">
        <f>IF(#REF!&lt;=5,"Low Calls", IF(#REF!&lt;=10, "Medium Calls", "High Calls"))</f>
        <v>#REF!</v>
      </c>
      <c r="AF1483" t="e">
        <f xml:space="preserve">
IF(#REF!&gt;=4,4,0)+
IF(#REF!="yes",3,0)+
IF(#REF!="High Charges",3,0)+
IF(#REF!&gt;250,4,0)+
IF(#REF!="no",1,0)+
IF(#REF!="Heavy Domestic User",2,0)</f>
        <v>#REF!</v>
      </c>
      <c r="AG1483" t="e">
        <f>IF(#REF!&gt;=10,"High Risk", IF(#REF!&gt;=5,"Medium Risk","Low Risk"))</f>
        <v>#REF!</v>
      </c>
      <c r="AH1483" t="e">
        <f>#REF! + #REF! + #REF! + #REF!</f>
        <v>#REF!</v>
      </c>
    </row>
    <row r="1484" spans="1:34" x14ac:dyDescent="0.35">
      <c r="A1484">
        <v>1483</v>
      </c>
      <c r="B1484" t="s">
        <v>45</v>
      </c>
      <c r="C1484">
        <v>146</v>
      </c>
      <c r="D1484" t="s">
        <v>28</v>
      </c>
      <c r="E1484" t="s">
        <v>22</v>
      </c>
      <c r="F1484" t="s">
        <v>22</v>
      </c>
      <c r="G1484">
        <v>0</v>
      </c>
      <c r="H1484">
        <v>189.3</v>
      </c>
      <c r="I1484">
        <v>77</v>
      </c>
      <c r="J1484">
        <v>32.18</v>
      </c>
      <c r="K1484">
        <v>155.9</v>
      </c>
      <c r="L1484">
        <v>128</v>
      </c>
      <c r="M1484">
        <v>13.25</v>
      </c>
      <c r="N1484">
        <v>186</v>
      </c>
      <c r="O1484">
        <v>83</v>
      </c>
      <c r="P1484">
        <v>8.3699999999999992</v>
      </c>
      <c r="Q1484">
        <v>7.4</v>
      </c>
      <c r="R1484">
        <v>3</v>
      </c>
      <c r="S1484">
        <v>2</v>
      </c>
      <c r="T1484">
        <v>0</v>
      </c>
      <c r="U1484" t="s">
        <v>22</v>
      </c>
      <c r="V1484" t="e">
        <f>IF(#REF! = "yes", 1, 0)</f>
        <v>#REF!</v>
      </c>
      <c r="W1484" t="e">
        <f>IF(#REF! &lt;= 1, "0-1 Calls", IF(#REF! &lt;= 3, "2-3 Calls", IF(#REF! &lt;=5, "4-5 Calls", "6+ Calls")))</f>
        <v>#REF!</v>
      </c>
      <c r="X1484" t="e">
        <f>IF(#REF! &lt;= 50, "0-50", IF(#REF! &lt;=100, "51-100", IF(#REF! &lt;= 150, "101-150", "151+")))</f>
        <v>#REF!</v>
      </c>
      <c r="Y1484" t="e">
        <f>IF(#REF! &lt;= 3, "Low Charges", "High Charges")</f>
        <v>#REF!</v>
      </c>
      <c r="Z1484" t="e">
        <f>IF(#REF!&lt;=80,"Low Calls",
IF(#REF!&lt;=120,"Medium Calls","High Calls"))</f>
        <v>#REF!</v>
      </c>
      <c r="AA1484" t="e">
        <f>IF(#REF!&lt;=15,"Low Charges",
IF(#REF!&lt;=20,"Medium Charges","High Charges"))</f>
        <v>#REF!</v>
      </c>
      <c r="AB1484" t="e">
        <f>IF(AND(#REF!&gt;180, #REF!&gt;200), "Heavy Doemstic User", IF(#REF!&gt;10, "Interntional User", IF(AND(#REF!&lt;180, #REF!&lt;200,#REF!&lt;200), "Light User", "Balanced User")))</f>
        <v>#REF!</v>
      </c>
      <c r="AC1484" t="e">
        <f>IF(#REF! = 0, "No Usage", IF(#REF! &lt;= 20, "Low Usage", IF(#REF! &lt;= 40, "Medium Usgae", "High Usage")))</f>
        <v>#REF!</v>
      </c>
      <c r="AD1484" t="e">
        <f>IF(#REF!&lt;=150,"Low Usage", IF(#REF!&lt;=200,"Medium Usage", IF(#REF!&lt;=250,"High Usage","Very High Usage")))</f>
        <v>#REF!</v>
      </c>
      <c r="AE1484" t="e">
        <f>IF(#REF!&lt;=5,"Low Calls", IF(#REF!&lt;=10, "Medium Calls", "High Calls"))</f>
        <v>#REF!</v>
      </c>
      <c r="AF1484" t="e">
        <f xml:space="preserve">
IF(#REF!&gt;=4,4,0)+
IF(#REF!="yes",3,0)+
IF(#REF!="High Charges",3,0)+
IF(#REF!&gt;250,4,0)+
IF(#REF!="no",1,0)+
IF(#REF!="Heavy Domestic User",2,0)</f>
        <v>#REF!</v>
      </c>
      <c r="AG1484" t="e">
        <f>IF(#REF!&gt;=10,"High Risk", IF(#REF!&gt;=5,"Medium Risk","Low Risk"))</f>
        <v>#REF!</v>
      </c>
      <c r="AH1484" t="e">
        <f>#REF! + #REF! + #REF! + #REF!</f>
        <v>#REF!</v>
      </c>
    </row>
    <row r="1485" spans="1:34" x14ac:dyDescent="0.35">
      <c r="A1485">
        <v>1484</v>
      </c>
      <c r="B1485" t="s">
        <v>44</v>
      </c>
      <c r="C1485">
        <v>93</v>
      </c>
      <c r="D1485" t="s">
        <v>25</v>
      </c>
      <c r="E1485" t="s">
        <v>22</v>
      </c>
      <c r="F1485" t="s">
        <v>23</v>
      </c>
      <c r="G1485">
        <v>42</v>
      </c>
      <c r="H1485">
        <v>166.9</v>
      </c>
      <c r="I1485">
        <v>101</v>
      </c>
      <c r="J1485">
        <v>28.37</v>
      </c>
      <c r="K1485">
        <v>273.2</v>
      </c>
      <c r="L1485">
        <v>84</v>
      </c>
      <c r="M1485">
        <v>23.22</v>
      </c>
      <c r="N1485">
        <v>171</v>
      </c>
      <c r="O1485">
        <v>106</v>
      </c>
      <c r="P1485">
        <v>7.69</v>
      </c>
      <c r="Q1485">
        <v>11.5</v>
      </c>
      <c r="R1485">
        <v>1</v>
      </c>
      <c r="S1485">
        <v>3.11</v>
      </c>
      <c r="T1485">
        <v>1</v>
      </c>
      <c r="U1485" t="s">
        <v>22</v>
      </c>
      <c r="V1485" t="e">
        <f>IF(#REF! = "yes", 1, 0)</f>
        <v>#REF!</v>
      </c>
      <c r="W1485" t="e">
        <f>IF(#REF! &lt;= 1, "0-1 Calls", IF(#REF! &lt;= 3, "2-3 Calls", IF(#REF! &lt;=5, "4-5 Calls", "6+ Calls")))</f>
        <v>#REF!</v>
      </c>
      <c r="X1485" t="e">
        <f>IF(#REF! &lt;= 50, "0-50", IF(#REF! &lt;=100, "51-100", IF(#REF! &lt;= 150, "101-150", "151+")))</f>
        <v>#REF!</v>
      </c>
      <c r="Y1485" t="e">
        <f>IF(#REF! &lt;= 3, "Low Charges", "High Charges")</f>
        <v>#REF!</v>
      </c>
      <c r="Z1485" t="e">
        <f>IF(#REF!&lt;=80,"Low Calls",
IF(#REF!&lt;=120,"Medium Calls","High Calls"))</f>
        <v>#REF!</v>
      </c>
      <c r="AA1485" t="e">
        <f>IF(#REF!&lt;=15,"Low Charges",
IF(#REF!&lt;=20,"Medium Charges","High Charges"))</f>
        <v>#REF!</v>
      </c>
      <c r="AB1485" t="e">
        <f>IF(AND(#REF!&gt;180, #REF!&gt;200), "Heavy Doemstic User", IF(#REF!&gt;10, "Interntional User", IF(AND(#REF!&lt;180, #REF!&lt;200,#REF!&lt;200), "Light User", "Balanced User")))</f>
        <v>#REF!</v>
      </c>
      <c r="AC1485" t="e">
        <f>IF(#REF! = 0, "No Usage", IF(#REF! &lt;= 20, "Low Usage", IF(#REF! &lt;= 40, "Medium Usgae", "High Usage")))</f>
        <v>#REF!</v>
      </c>
      <c r="AD1485" t="e">
        <f>IF(#REF!&lt;=150,"Low Usage", IF(#REF!&lt;=200,"Medium Usage", IF(#REF!&lt;=250,"High Usage","Very High Usage")))</f>
        <v>#REF!</v>
      </c>
      <c r="AE1485" t="e">
        <f>IF(#REF!&lt;=5,"Low Calls", IF(#REF!&lt;=10, "Medium Calls", "High Calls"))</f>
        <v>#REF!</v>
      </c>
      <c r="AF1485" t="e">
        <f xml:space="preserve">
IF(#REF!&gt;=4,4,0)+
IF(#REF!="yes",3,0)+
IF(#REF!="High Charges",3,0)+
IF(#REF!&gt;250,4,0)+
IF(#REF!="no",1,0)+
IF(#REF!="Heavy Domestic User",2,0)</f>
        <v>#REF!</v>
      </c>
      <c r="AG1485" t="e">
        <f>IF(#REF!&gt;=10,"High Risk", IF(#REF!&gt;=5,"Medium Risk","Low Risk"))</f>
        <v>#REF!</v>
      </c>
      <c r="AH1485" t="e">
        <f>#REF! + #REF! + #REF! + #REF!</f>
        <v>#REF!</v>
      </c>
    </row>
    <row r="1486" spans="1:34" x14ac:dyDescent="0.35">
      <c r="A1486">
        <v>1485</v>
      </c>
      <c r="B1486" t="s">
        <v>74</v>
      </c>
      <c r="C1486">
        <v>77</v>
      </c>
      <c r="D1486" t="s">
        <v>21</v>
      </c>
      <c r="E1486" t="s">
        <v>22</v>
      </c>
      <c r="F1486" t="s">
        <v>22</v>
      </c>
      <c r="G1486">
        <v>0</v>
      </c>
      <c r="H1486">
        <v>245.2</v>
      </c>
      <c r="I1486">
        <v>87</v>
      </c>
      <c r="J1486">
        <v>41.68</v>
      </c>
      <c r="K1486">
        <v>254.1</v>
      </c>
      <c r="L1486">
        <v>83</v>
      </c>
      <c r="M1486">
        <v>21.6</v>
      </c>
      <c r="N1486">
        <v>239.4</v>
      </c>
      <c r="O1486">
        <v>91</v>
      </c>
      <c r="P1486">
        <v>10.77</v>
      </c>
      <c r="Q1486">
        <v>7.5</v>
      </c>
      <c r="R1486">
        <v>4</v>
      </c>
      <c r="S1486">
        <v>2.0299999999999998</v>
      </c>
      <c r="T1486">
        <v>0</v>
      </c>
      <c r="U1486" t="s">
        <v>23</v>
      </c>
      <c r="V1486" t="e">
        <f>IF(#REF! = "yes", 1, 0)</f>
        <v>#REF!</v>
      </c>
      <c r="W1486" t="e">
        <f>IF(#REF! &lt;= 1, "0-1 Calls", IF(#REF! &lt;= 3, "2-3 Calls", IF(#REF! &lt;=5, "4-5 Calls", "6+ Calls")))</f>
        <v>#REF!</v>
      </c>
      <c r="X1486" t="e">
        <f>IF(#REF! &lt;= 50, "0-50", IF(#REF! &lt;=100, "51-100", IF(#REF! &lt;= 150, "101-150", "151+")))</f>
        <v>#REF!</v>
      </c>
      <c r="Y1486" t="e">
        <f>IF(#REF! &lt;= 3, "Low Charges", "High Charges")</f>
        <v>#REF!</v>
      </c>
      <c r="Z1486" t="e">
        <f>IF(#REF!&lt;=80,"Low Calls",
IF(#REF!&lt;=120,"Medium Calls","High Calls"))</f>
        <v>#REF!</v>
      </c>
      <c r="AA1486" t="e">
        <f>IF(#REF!&lt;=15,"Low Charges",
IF(#REF!&lt;=20,"Medium Charges","High Charges"))</f>
        <v>#REF!</v>
      </c>
      <c r="AB1486" t="e">
        <f>IF(AND(#REF!&gt;180, #REF!&gt;200), "Heavy Doemstic User", IF(#REF!&gt;10, "Interntional User", IF(AND(#REF!&lt;180, #REF!&lt;200,#REF!&lt;200), "Light User", "Balanced User")))</f>
        <v>#REF!</v>
      </c>
      <c r="AC1486" t="e">
        <f>IF(#REF! = 0, "No Usage", IF(#REF! &lt;= 20, "Low Usage", IF(#REF! &lt;= 40, "Medium Usgae", "High Usage")))</f>
        <v>#REF!</v>
      </c>
      <c r="AD1486" t="e">
        <f>IF(#REF!&lt;=150,"Low Usage", IF(#REF!&lt;=200,"Medium Usage", IF(#REF!&lt;=250,"High Usage","Very High Usage")))</f>
        <v>#REF!</v>
      </c>
      <c r="AE1486" t="e">
        <f>IF(#REF!&lt;=5,"Low Calls", IF(#REF!&lt;=10, "Medium Calls", "High Calls"))</f>
        <v>#REF!</v>
      </c>
      <c r="AF1486" t="e">
        <f xml:space="preserve">
IF(#REF!&gt;=4,4,0)+
IF(#REF!="yes",3,0)+
IF(#REF!="High Charges",3,0)+
IF(#REF!&gt;250,4,0)+
IF(#REF!="no",1,0)+
IF(#REF!="Heavy Domestic User",2,0)</f>
        <v>#REF!</v>
      </c>
      <c r="AG1486" t="e">
        <f>IF(#REF!&gt;=10,"High Risk", IF(#REF!&gt;=5,"Medium Risk","Low Risk"))</f>
        <v>#REF!</v>
      </c>
      <c r="AH1486" t="e">
        <f>#REF! + #REF! + #REF! + #REF!</f>
        <v>#REF!</v>
      </c>
    </row>
    <row r="1487" spans="1:34" x14ac:dyDescent="0.35">
      <c r="A1487">
        <v>1486</v>
      </c>
      <c r="B1487" t="s">
        <v>61</v>
      </c>
      <c r="C1487">
        <v>111</v>
      </c>
      <c r="D1487" t="s">
        <v>21</v>
      </c>
      <c r="E1487" t="s">
        <v>22</v>
      </c>
      <c r="F1487" t="s">
        <v>22</v>
      </c>
      <c r="G1487">
        <v>0</v>
      </c>
      <c r="H1487">
        <v>132.6</v>
      </c>
      <c r="I1487">
        <v>125</v>
      </c>
      <c r="J1487">
        <v>22.54</v>
      </c>
      <c r="K1487">
        <v>221.1</v>
      </c>
      <c r="L1487">
        <v>67</v>
      </c>
      <c r="M1487">
        <v>18.79</v>
      </c>
      <c r="N1487">
        <v>127.9</v>
      </c>
      <c r="O1487">
        <v>101</v>
      </c>
      <c r="P1487">
        <v>5.76</v>
      </c>
      <c r="Q1487">
        <v>12.7</v>
      </c>
      <c r="R1487">
        <v>2</v>
      </c>
      <c r="S1487">
        <v>3.43</v>
      </c>
      <c r="T1487">
        <v>4</v>
      </c>
      <c r="U1487" t="s">
        <v>23</v>
      </c>
      <c r="V1487" t="e">
        <f>IF(#REF! = "yes", 1, 0)</f>
        <v>#REF!</v>
      </c>
      <c r="W1487" t="e">
        <f>IF(#REF! &lt;= 1, "0-1 Calls", IF(#REF! &lt;= 3, "2-3 Calls", IF(#REF! &lt;=5, "4-5 Calls", "6+ Calls")))</f>
        <v>#REF!</v>
      </c>
      <c r="X1487" t="e">
        <f>IF(#REF! &lt;= 50, "0-50", IF(#REF! &lt;=100, "51-100", IF(#REF! &lt;= 150, "101-150", "151+")))</f>
        <v>#REF!</v>
      </c>
      <c r="Y1487" t="e">
        <f>IF(#REF! &lt;= 3, "Low Charges", "High Charges")</f>
        <v>#REF!</v>
      </c>
      <c r="Z1487" t="e">
        <f>IF(#REF!&lt;=80,"Low Calls",
IF(#REF!&lt;=120,"Medium Calls","High Calls"))</f>
        <v>#REF!</v>
      </c>
      <c r="AA1487" t="e">
        <f>IF(#REF!&lt;=15,"Low Charges",
IF(#REF!&lt;=20,"Medium Charges","High Charges"))</f>
        <v>#REF!</v>
      </c>
      <c r="AB1487" t="e">
        <f>IF(AND(#REF!&gt;180, #REF!&gt;200), "Heavy Doemstic User", IF(#REF!&gt;10, "Interntional User", IF(AND(#REF!&lt;180, #REF!&lt;200,#REF!&lt;200), "Light User", "Balanced User")))</f>
        <v>#REF!</v>
      </c>
      <c r="AC1487" t="e">
        <f>IF(#REF! = 0, "No Usage", IF(#REF! &lt;= 20, "Low Usage", IF(#REF! &lt;= 40, "Medium Usgae", "High Usage")))</f>
        <v>#REF!</v>
      </c>
      <c r="AD1487" t="e">
        <f>IF(#REF!&lt;=150,"Low Usage", IF(#REF!&lt;=200,"Medium Usage", IF(#REF!&lt;=250,"High Usage","Very High Usage")))</f>
        <v>#REF!</v>
      </c>
      <c r="AE1487" t="e">
        <f>IF(#REF!&lt;=5,"Low Calls", IF(#REF!&lt;=10, "Medium Calls", "High Calls"))</f>
        <v>#REF!</v>
      </c>
      <c r="AF1487" t="e">
        <f xml:space="preserve">
IF(#REF!&gt;=4,4,0)+
IF(#REF!="yes",3,0)+
IF(#REF!="High Charges",3,0)+
IF(#REF!&gt;250,4,0)+
IF(#REF!="no",1,0)+
IF(#REF!="Heavy Domestic User",2,0)</f>
        <v>#REF!</v>
      </c>
      <c r="AG1487" t="e">
        <f>IF(#REF!&gt;=10,"High Risk", IF(#REF!&gt;=5,"Medium Risk","Low Risk"))</f>
        <v>#REF!</v>
      </c>
      <c r="AH1487" t="e">
        <f>#REF! + #REF! + #REF! + #REF!</f>
        <v>#REF!</v>
      </c>
    </row>
    <row r="1488" spans="1:34" x14ac:dyDescent="0.35">
      <c r="A1488">
        <v>1487</v>
      </c>
      <c r="B1488" t="s">
        <v>24</v>
      </c>
      <c r="C1488">
        <v>125</v>
      </c>
      <c r="D1488" t="s">
        <v>21</v>
      </c>
      <c r="E1488" t="s">
        <v>22</v>
      </c>
      <c r="F1488" t="s">
        <v>22</v>
      </c>
      <c r="G1488">
        <v>0</v>
      </c>
      <c r="H1488">
        <v>182.3</v>
      </c>
      <c r="I1488">
        <v>64</v>
      </c>
      <c r="J1488">
        <v>30.99</v>
      </c>
      <c r="K1488">
        <v>139.80000000000001</v>
      </c>
      <c r="L1488">
        <v>121</v>
      </c>
      <c r="M1488">
        <v>11.88</v>
      </c>
      <c r="N1488">
        <v>171.6</v>
      </c>
      <c r="O1488">
        <v>96</v>
      </c>
      <c r="P1488">
        <v>7.72</v>
      </c>
      <c r="Q1488">
        <v>11.6</v>
      </c>
      <c r="R1488">
        <v>7</v>
      </c>
      <c r="S1488">
        <v>3.13</v>
      </c>
      <c r="T1488">
        <v>2</v>
      </c>
      <c r="U1488" t="s">
        <v>22</v>
      </c>
      <c r="V1488" t="e">
        <f>IF(#REF! = "yes", 1, 0)</f>
        <v>#REF!</v>
      </c>
      <c r="W1488" t="e">
        <f>IF(#REF! &lt;= 1, "0-1 Calls", IF(#REF! &lt;= 3, "2-3 Calls", IF(#REF! &lt;=5, "4-5 Calls", "6+ Calls")))</f>
        <v>#REF!</v>
      </c>
      <c r="X1488" t="e">
        <f>IF(#REF! &lt;= 50, "0-50", IF(#REF! &lt;=100, "51-100", IF(#REF! &lt;= 150, "101-150", "151+")))</f>
        <v>#REF!</v>
      </c>
      <c r="Y1488" t="e">
        <f>IF(#REF! &lt;= 3, "Low Charges", "High Charges")</f>
        <v>#REF!</v>
      </c>
      <c r="Z1488" t="e">
        <f>IF(#REF!&lt;=80,"Low Calls",
IF(#REF!&lt;=120,"Medium Calls","High Calls"))</f>
        <v>#REF!</v>
      </c>
      <c r="AA1488" t="e">
        <f>IF(#REF!&lt;=15,"Low Charges",
IF(#REF!&lt;=20,"Medium Charges","High Charges"))</f>
        <v>#REF!</v>
      </c>
      <c r="AB1488" t="e">
        <f>IF(AND(#REF!&gt;180, #REF!&gt;200), "Heavy Doemstic User", IF(#REF!&gt;10, "Interntional User", IF(AND(#REF!&lt;180, #REF!&lt;200,#REF!&lt;200), "Light User", "Balanced User")))</f>
        <v>#REF!</v>
      </c>
      <c r="AC1488" t="e">
        <f>IF(#REF! = 0, "No Usage", IF(#REF! &lt;= 20, "Low Usage", IF(#REF! &lt;= 40, "Medium Usgae", "High Usage")))</f>
        <v>#REF!</v>
      </c>
      <c r="AD1488" t="e">
        <f>IF(#REF!&lt;=150,"Low Usage", IF(#REF!&lt;=200,"Medium Usage", IF(#REF!&lt;=250,"High Usage","Very High Usage")))</f>
        <v>#REF!</v>
      </c>
      <c r="AE1488" t="e">
        <f>IF(#REF!&lt;=5,"Low Calls", IF(#REF!&lt;=10, "Medium Calls", "High Calls"))</f>
        <v>#REF!</v>
      </c>
      <c r="AF1488" t="e">
        <f xml:space="preserve">
IF(#REF!&gt;=4,4,0)+
IF(#REF!="yes",3,0)+
IF(#REF!="High Charges",3,0)+
IF(#REF!&gt;250,4,0)+
IF(#REF!="no",1,0)+
IF(#REF!="Heavy Domestic User",2,0)</f>
        <v>#REF!</v>
      </c>
      <c r="AG1488" t="e">
        <f>IF(#REF!&gt;=10,"High Risk", IF(#REF!&gt;=5,"Medium Risk","Low Risk"))</f>
        <v>#REF!</v>
      </c>
      <c r="AH1488" t="e">
        <f>#REF! + #REF! + #REF! + #REF!</f>
        <v>#REF!</v>
      </c>
    </row>
    <row r="1489" spans="1:34" x14ac:dyDescent="0.35">
      <c r="A1489">
        <v>1488</v>
      </c>
      <c r="B1489" t="s">
        <v>68</v>
      </c>
      <c r="C1489">
        <v>115</v>
      </c>
      <c r="D1489" t="s">
        <v>28</v>
      </c>
      <c r="E1489" t="s">
        <v>22</v>
      </c>
      <c r="F1489" t="s">
        <v>23</v>
      </c>
      <c r="G1489">
        <v>14</v>
      </c>
      <c r="H1489">
        <v>192.3</v>
      </c>
      <c r="I1489">
        <v>86</v>
      </c>
      <c r="J1489">
        <v>32.69</v>
      </c>
      <c r="K1489">
        <v>88.7</v>
      </c>
      <c r="L1489">
        <v>90</v>
      </c>
      <c r="M1489">
        <v>7.54</v>
      </c>
      <c r="N1489">
        <v>229.4</v>
      </c>
      <c r="O1489">
        <v>120</v>
      </c>
      <c r="P1489">
        <v>10.32</v>
      </c>
      <c r="Q1489">
        <v>10.5</v>
      </c>
      <c r="R1489">
        <v>3</v>
      </c>
      <c r="S1489">
        <v>2.84</v>
      </c>
      <c r="T1489">
        <v>2</v>
      </c>
      <c r="U1489" t="s">
        <v>22</v>
      </c>
      <c r="V1489" t="e">
        <f>IF(#REF! = "yes", 1, 0)</f>
        <v>#REF!</v>
      </c>
      <c r="W1489" t="e">
        <f>IF(#REF! &lt;= 1, "0-1 Calls", IF(#REF! &lt;= 3, "2-3 Calls", IF(#REF! &lt;=5, "4-5 Calls", "6+ Calls")))</f>
        <v>#REF!</v>
      </c>
      <c r="X1489" t="e">
        <f>IF(#REF! &lt;= 50, "0-50", IF(#REF! &lt;=100, "51-100", IF(#REF! &lt;= 150, "101-150", "151+")))</f>
        <v>#REF!</v>
      </c>
      <c r="Y1489" t="e">
        <f>IF(#REF! &lt;= 3, "Low Charges", "High Charges")</f>
        <v>#REF!</v>
      </c>
      <c r="Z1489" t="e">
        <f>IF(#REF!&lt;=80,"Low Calls",
IF(#REF!&lt;=120,"Medium Calls","High Calls"))</f>
        <v>#REF!</v>
      </c>
      <c r="AA1489" t="e">
        <f>IF(#REF!&lt;=15,"Low Charges",
IF(#REF!&lt;=20,"Medium Charges","High Charges"))</f>
        <v>#REF!</v>
      </c>
      <c r="AB1489" t="e">
        <f>IF(AND(#REF!&gt;180, #REF!&gt;200), "Heavy Doemstic User", IF(#REF!&gt;10, "Interntional User", IF(AND(#REF!&lt;180, #REF!&lt;200,#REF!&lt;200), "Light User", "Balanced User")))</f>
        <v>#REF!</v>
      </c>
      <c r="AC1489" t="e">
        <f>IF(#REF! = 0, "No Usage", IF(#REF! &lt;= 20, "Low Usage", IF(#REF! &lt;= 40, "Medium Usgae", "High Usage")))</f>
        <v>#REF!</v>
      </c>
      <c r="AD1489" t="e">
        <f>IF(#REF!&lt;=150,"Low Usage", IF(#REF!&lt;=200,"Medium Usage", IF(#REF!&lt;=250,"High Usage","Very High Usage")))</f>
        <v>#REF!</v>
      </c>
      <c r="AE1489" t="e">
        <f>IF(#REF!&lt;=5,"Low Calls", IF(#REF!&lt;=10, "Medium Calls", "High Calls"))</f>
        <v>#REF!</v>
      </c>
      <c r="AF1489" t="e">
        <f xml:space="preserve">
IF(#REF!&gt;=4,4,0)+
IF(#REF!="yes",3,0)+
IF(#REF!="High Charges",3,0)+
IF(#REF!&gt;250,4,0)+
IF(#REF!="no",1,0)+
IF(#REF!="Heavy Domestic User",2,0)</f>
        <v>#REF!</v>
      </c>
      <c r="AG1489" t="e">
        <f>IF(#REF!&gt;=10,"High Risk", IF(#REF!&gt;=5,"Medium Risk","Low Risk"))</f>
        <v>#REF!</v>
      </c>
      <c r="AH1489" t="e">
        <f>#REF! + #REF! + #REF! + #REF!</f>
        <v>#REF!</v>
      </c>
    </row>
    <row r="1490" spans="1:34" x14ac:dyDescent="0.35">
      <c r="A1490">
        <v>1489</v>
      </c>
      <c r="B1490" t="s">
        <v>60</v>
      </c>
      <c r="C1490">
        <v>115</v>
      </c>
      <c r="D1490" t="s">
        <v>28</v>
      </c>
      <c r="E1490" t="s">
        <v>23</v>
      </c>
      <c r="F1490" t="s">
        <v>22</v>
      </c>
      <c r="G1490">
        <v>0</v>
      </c>
      <c r="H1490">
        <v>122</v>
      </c>
      <c r="I1490">
        <v>110</v>
      </c>
      <c r="J1490">
        <v>20.74</v>
      </c>
      <c r="K1490">
        <v>220.2</v>
      </c>
      <c r="L1490">
        <v>100</v>
      </c>
      <c r="M1490">
        <v>18.72</v>
      </c>
      <c r="N1490">
        <v>179.7</v>
      </c>
      <c r="O1490">
        <v>124</v>
      </c>
      <c r="P1490">
        <v>8.09</v>
      </c>
      <c r="Q1490">
        <v>10.8</v>
      </c>
      <c r="R1490">
        <v>2</v>
      </c>
      <c r="S1490">
        <v>2.92</v>
      </c>
      <c r="T1490">
        <v>2</v>
      </c>
      <c r="U1490" t="s">
        <v>23</v>
      </c>
      <c r="V1490" t="e">
        <f>IF(#REF! = "yes", 1, 0)</f>
        <v>#REF!</v>
      </c>
      <c r="W1490" t="e">
        <f>IF(#REF! &lt;= 1, "0-1 Calls", IF(#REF! &lt;= 3, "2-3 Calls", IF(#REF! &lt;=5, "4-5 Calls", "6+ Calls")))</f>
        <v>#REF!</v>
      </c>
      <c r="X1490" t="e">
        <f>IF(#REF! &lt;= 50, "0-50", IF(#REF! &lt;=100, "51-100", IF(#REF! &lt;= 150, "101-150", "151+")))</f>
        <v>#REF!</v>
      </c>
      <c r="Y1490" t="e">
        <f>IF(#REF! &lt;= 3, "Low Charges", "High Charges")</f>
        <v>#REF!</v>
      </c>
      <c r="Z1490" t="e">
        <f>IF(#REF!&lt;=80,"Low Calls",
IF(#REF!&lt;=120,"Medium Calls","High Calls"))</f>
        <v>#REF!</v>
      </c>
      <c r="AA1490" t="e">
        <f>IF(#REF!&lt;=15,"Low Charges",
IF(#REF!&lt;=20,"Medium Charges","High Charges"))</f>
        <v>#REF!</v>
      </c>
      <c r="AB1490" t="e">
        <f>IF(AND(#REF!&gt;180, #REF!&gt;200), "Heavy Doemstic User", IF(#REF!&gt;10, "Interntional User", IF(AND(#REF!&lt;180, #REF!&lt;200,#REF!&lt;200), "Light User", "Balanced User")))</f>
        <v>#REF!</v>
      </c>
      <c r="AC1490" t="e">
        <f>IF(#REF! = 0, "No Usage", IF(#REF! &lt;= 20, "Low Usage", IF(#REF! &lt;= 40, "Medium Usgae", "High Usage")))</f>
        <v>#REF!</v>
      </c>
      <c r="AD1490" t="e">
        <f>IF(#REF!&lt;=150,"Low Usage", IF(#REF!&lt;=200,"Medium Usage", IF(#REF!&lt;=250,"High Usage","Very High Usage")))</f>
        <v>#REF!</v>
      </c>
      <c r="AE1490" t="e">
        <f>IF(#REF!&lt;=5,"Low Calls", IF(#REF!&lt;=10, "Medium Calls", "High Calls"))</f>
        <v>#REF!</v>
      </c>
      <c r="AF1490" t="e">
        <f xml:space="preserve">
IF(#REF!&gt;=4,4,0)+
IF(#REF!="yes",3,0)+
IF(#REF!="High Charges",3,0)+
IF(#REF!&gt;250,4,0)+
IF(#REF!="no",1,0)+
IF(#REF!="Heavy Domestic User",2,0)</f>
        <v>#REF!</v>
      </c>
      <c r="AG1490" t="e">
        <f>IF(#REF!&gt;=10,"High Risk", IF(#REF!&gt;=5,"Medium Risk","Low Risk"))</f>
        <v>#REF!</v>
      </c>
      <c r="AH1490" t="e">
        <f>#REF! + #REF! + #REF! + #REF!</f>
        <v>#REF!</v>
      </c>
    </row>
    <row r="1491" spans="1:34" x14ac:dyDescent="0.35">
      <c r="A1491">
        <v>1490</v>
      </c>
      <c r="B1491" t="s">
        <v>58</v>
      </c>
      <c r="C1491">
        <v>114</v>
      </c>
      <c r="D1491" t="s">
        <v>25</v>
      </c>
      <c r="E1491" t="s">
        <v>22</v>
      </c>
      <c r="F1491" t="s">
        <v>22</v>
      </c>
      <c r="G1491">
        <v>0</v>
      </c>
      <c r="H1491">
        <v>193</v>
      </c>
      <c r="I1491">
        <v>101</v>
      </c>
      <c r="J1491">
        <v>32.81</v>
      </c>
      <c r="K1491">
        <v>250</v>
      </c>
      <c r="L1491">
        <v>81</v>
      </c>
      <c r="M1491">
        <v>21.25</v>
      </c>
      <c r="N1491">
        <v>133.30000000000001</v>
      </c>
      <c r="O1491">
        <v>79</v>
      </c>
      <c r="P1491">
        <v>6</v>
      </c>
      <c r="Q1491">
        <v>9.6</v>
      </c>
      <c r="R1491">
        <v>2</v>
      </c>
      <c r="S1491">
        <v>2.59</v>
      </c>
      <c r="T1491">
        <v>2</v>
      </c>
      <c r="U1491" t="s">
        <v>22</v>
      </c>
      <c r="V1491" t="e">
        <f>IF(#REF! = "yes", 1, 0)</f>
        <v>#REF!</v>
      </c>
      <c r="W1491" t="e">
        <f>IF(#REF! &lt;= 1, "0-1 Calls", IF(#REF! &lt;= 3, "2-3 Calls", IF(#REF! &lt;=5, "4-5 Calls", "6+ Calls")))</f>
        <v>#REF!</v>
      </c>
      <c r="X1491" t="e">
        <f>IF(#REF! &lt;= 50, "0-50", IF(#REF! &lt;=100, "51-100", IF(#REF! &lt;= 150, "101-150", "151+")))</f>
        <v>#REF!</v>
      </c>
      <c r="Y1491" t="e">
        <f>IF(#REF! &lt;= 3, "Low Charges", "High Charges")</f>
        <v>#REF!</v>
      </c>
      <c r="Z1491" t="e">
        <f>IF(#REF!&lt;=80,"Low Calls",
IF(#REF!&lt;=120,"Medium Calls","High Calls"))</f>
        <v>#REF!</v>
      </c>
      <c r="AA1491" t="e">
        <f>IF(#REF!&lt;=15,"Low Charges",
IF(#REF!&lt;=20,"Medium Charges","High Charges"))</f>
        <v>#REF!</v>
      </c>
      <c r="AB1491" t="e">
        <f>IF(AND(#REF!&gt;180, #REF!&gt;200), "Heavy Doemstic User", IF(#REF!&gt;10, "Interntional User", IF(AND(#REF!&lt;180, #REF!&lt;200,#REF!&lt;200), "Light User", "Balanced User")))</f>
        <v>#REF!</v>
      </c>
      <c r="AC1491" t="e">
        <f>IF(#REF! = 0, "No Usage", IF(#REF! &lt;= 20, "Low Usage", IF(#REF! &lt;= 40, "Medium Usgae", "High Usage")))</f>
        <v>#REF!</v>
      </c>
      <c r="AD1491" t="e">
        <f>IF(#REF!&lt;=150,"Low Usage", IF(#REF!&lt;=200,"Medium Usage", IF(#REF!&lt;=250,"High Usage","Very High Usage")))</f>
        <v>#REF!</v>
      </c>
      <c r="AE1491" t="e">
        <f>IF(#REF!&lt;=5,"Low Calls", IF(#REF!&lt;=10, "Medium Calls", "High Calls"))</f>
        <v>#REF!</v>
      </c>
      <c r="AF1491" t="e">
        <f xml:space="preserve">
IF(#REF!&gt;=4,4,0)+
IF(#REF!="yes",3,0)+
IF(#REF!="High Charges",3,0)+
IF(#REF!&gt;250,4,0)+
IF(#REF!="no",1,0)+
IF(#REF!="Heavy Domestic User",2,0)</f>
        <v>#REF!</v>
      </c>
      <c r="AG1491" t="e">
        <f>IF(#REF!&gt;=10,"High Risk", IF(#REF!&gt;=5,"Medium Risk","Low Risk"))</f>
        <v>#REF!</v>
      </c>
      <c r="AH1491" t="e">
        <f>#REF! + #REF! + #REF! + #REF!</f>
        <v>#REF!</v>
      </c>
    </row>
    <row r="1492" spans="1:34" x14ac:dyDescent="0.35">
      <c r="A1492">
        <v>1491</v>
      </c>
      <c r="B1492" t="s">
        <v>75</v>
      </c>
      <c r="C1492">
        <v>118</v>
      </c>
      <c r="D1492" t="s">
        <v>21</v>
      </c>
      <c r="E1492" t="s">
        <v>22</v>
      </c>
      <c r="F1492" t="s">
        <v>23</v>
      </c>
      <c r="G1492">
        <v>39</v>
      </c>
      <c r="H1492">
        <v>91.5</v>
      </c>
      <c r="I1492">
        <v>125</v>
      </c>
      <c r="J1492">
        <v>15.56</v>
      </c>
      <c r="K1492">
        <v>219.9</v>
      </c>
      <c r="L1492">
        <v>113</v>
      </c>
      <c r="M1492">
        <v>18.690000000000001</v>
      </c>
      <c r="N1492">
        <v>229</v>
      </c>
      <c r="O1492">
        <v>99</v>
      </c>
      <c r="P1492">
        <v>10.31</v>
      </c>
      <c r="Q1492">
        <v>12.7</v>
      </c>
      <c r="R1492">
        <v>8</v>
      </c>
      <c r="S1492">
        <v>3.43</v>
      </c>
      <c r="T1492">
        <v>2</v>
      </c>
      <c r="U1492" t="s">
        <v>22</v>
      </c>
      <c r="V1492" t="e">
        <f>IF(#REF! = "yes", 1, 0)</f>
        <v>#REF!</v>
      </c>
      <c r="W1492" t="e">
        <f>IF(#REF! &lt;= 1, "0-1 Calls", IF(#REF! &lt;= 3, "2-3 Calls", IF(#REF! &lt;=5, "4-5 Calls", "6+ Calls")))</f>
        <v>#REF!</v>
      </c>
      <c r="X1492" t="e">
        <f>IF(#REF! &lt;= 50, "0-50", IF(#REF! &lt;=100, "51-100", IF(#REF! &lt;= 150, "101-150", "151+")))</f>
        <v>#REF!</v>
      </c>
      <c r="Y1492" t="e">
        <f>IF(#REF! &lt;= 3, "Low Charges", "High Charges")</f>
        <v>#REF!</v>
      </c>
      <c r="Z1492" t="e">
        <f>IF(#REF!&lt;=80,"Low Calls",
IF(#REF!&lt;=120,"Medium Calls","High Calls"))</f>
        <v>#REF!</v>
      </c>
      <c r="AA1492" t="e">
        <f>IF(#REF!&lt;=15,"Low Charges",
IF(#REF!&lt;=20,"Medium Charges","High Charges"))</f>
        <v>#REF!</v>
      </c>
      <c r="AB1492" t="e">
        <f>IF(AND(#REF!&gt;180, #REF!&gt;200), "Heavy Doemstic User", IF(#REF!&gt;10, "Interntional User", IF(AND(#REF!&lt;180, #REF!&lt;200,#REF!&lt;200), "Light User", "Balanced User")))</f>
        <v>#REF!</v>
      </c>
      <c r="AC1492" t="e">
        <f>IF(#REF! = 0, "No Usage", IF(#REF! &lt;= 20, "Low Usage", IF(#REF! &lt;= 40, "Medium Usgae", "High Usage")))</f>
        <v>#REF!</v>
      </c>
      <c r="AD1492" t="e">
        <f>IF(#REF!&lt;=150,"Low Usage", IF(#REF!&lt;=200,"Medium Usage", IF(#REF!&lt;=250,"High Usage","Very High Usage")))</f>
        <v>#REF!</v>
      </c>
      <c r="AE1492" t="e">
        <f>IF(#REF!&lt;=5,"Low Calls", IF(#REF!&lt;=10, "Medium Calls", "High Calls"))</f>
        <v>#REF!</v>
      </c>
      <c r="AF1492" t="e">
        <f xml:space="preserve">
IF(#REF!&gt;=4,4,0)+
IF(#REF!="yes",3,0)+
IF(#REF!="High Charges",3,0)+
IF(#REF!&gt;250,4,0)+
IF(#REF!="no",1,0)+
IF(#REF!="Heavy Domestic User",2,0)</f>
        <v>#REF!</v>
      </c>
      <c r="AG1492" t="e">
        <f>IF(#REF!&gt;=10,"High Risk", IF(#REF!&gt;=5,"Medium Risk","Low Risk"))</f>
        <v>#REF!</v>
      </c>
      <c r="AH1492" t="e">
        <f>#REF! + #REF! + #REF! + #REF!</f>
        <v>#REF!</v>
      </c>
    </row>
    <row r="1493" spans="1:34" x14ac:dyDescent="0.35">
      <c r="A1493">
        <v>1492</v>
      </c>
      <c r="B1493" t="s">
        <v>36</v>
      </c>
      <c r="C1493">
        <v>21</v>
      </c>
      <c r="D1493" t="s">
        <v>21</v>
      </c>
      <c r="E1493" t="s">
        <v>22</v>
      </c>
      <c r="F1493" t="s">
        <v>22</v>
      </c>
      <c r="G1493">
        <v>0</v>
      </c>
      <c r="H1493">
        <v>244.7</v>
      </c>
      <c r="I1493">
        <v>81</v>
      </c>
      <c r="J1493">
        <v>41.6</v>
      </c>
      <c r="K1493">
        <v>168</v>
      </c>
      <c r="L1493">
        <v>117</v>
      </c>
      <c r="M1493">
        <v>14.28</v>
      </c>
      <c r="N1493">
        <v>281.5</v>
      </c>
      <c r="O1493">
        <v>87</v>
      </c>
      <c r="P1493">
        <v>12.67</v>
      </c>
      <c r="Q1493">
        <v>6.6</v>
      </c>
      <c r="R1493">
        <v>1</v>
      </c>
      <c r="S1493">
        <v>1.78</v>
      </c>
      <c r="T1493">
        <v>1</v>
      </c>
      <c r="U1493" t="s">
        <v>22</v>
      </c>
      <c r="V1493" t="e">
        <f>IF(#REF! = "yes", 1, 0)</f>
        <v>#REF!</v>
      </c>
      <c r="W1493" t="e">
        <f>IF(#REF! &lt;= 1, "0-1 Calls", IF(#REF! &lt;= 3, "2-3 Calls", IF(#REF! &lt;=5, "4-5 Calls", "6+ Calls")))</f>
        <v>#REF!</v>
      </c>
      <c r="X1493" t="e">
        <f>IF(#REF! &lt;= 50, "0-50", IF(#REF! &lt;=100, "51-100", IF(#REF! &lt;= 150, "101-150", "151+")))</f>
        <v>#REF!</v>
      </c>
      <c r="Y1493" t="e">
        <f>IF(#REF! &lt;= 3, "Low Charges", "High Charges")</f>
        <v>#REF!</v>
      </c>
      <c r="Z1493" t="e">
        <f>IF(#REF!&lt;=80,"Low Calls",
IF(#REF!&lt;=120,"Medium Calls","High Calls"))</f>
        <v>#REF!</v>
      </c>
      <c r="AA1493" t="e">
        <f>IF(#REF!&lt;=15,"Low Charges",
IF(#REF!&lt;=20,"Medium Charges","High Charges"))</f>
        <v>#REF!</v>
      </c>
      <c r="AB1493" t="e">
        <f>IF(AND(#REF!&gt;180, #REF!&gt;200), "Heavy Doemstic User", IF(#REF!&gt;10, "Interntional User", IF(AND(#REF!&lt;180, #REF!&lt;200,#REF!&lt;200), "Light User", "Balanced User")))</f>
        <v>#REF!</v>
      </c>
      <c r="AC1493" t="e">
        <f>IF(#REF! = 0, "No Usage", IF(#REF! &lt;= 20, "Low Usage", IF(#REF! &lt;= 40, "Medium Usgae", "High Usage")))</f>
        <v>#REF!</v>
      </c>
      <c r="AD1493" t="e">
        <f>IF(#REF!&lt;=150,"Low Usage", IF(#REF!&lt;=200,"Medium Usage", IF(#REF!&lt;=250,"High Usage","Very High Usage")))</f>
        <v>#REF!</v>
      </c>
      <c r="AE1493" t="e">
        <f>IF(#REF!&lt;=5,"Low Calls", IF(#REF!&lt;=10, "Medium Calls", "High Calls"))</f>
        <v>#REF!</v>
      </c>
      <c r="AF1493" t="e">
        <f xml:space="preserve">
IF(#REF!&gt;=4,4,0)+
IF(#REF!="yes",3,0)+
IF(#REF!="High Charges",3,0)+
IF(#REF!&gt;250,4,0)+
IF(#REF!="no",1,0)+
IF(#REF!="Heavy Domestic User",2,0)</f>
        <v>#REF!</v>
      </c>
      <c r="AG1493" t="e">
        <f>IF(#REF!&gt;=10,"High Risk", IF(#REF!&gt;=5,"Medium Risk","Low Risk"))</f>
        <v>#REF!</v>
      </c>
      <c r="AH1493" t="e">
        <f>#REF! + #REF! + #REF! + #REF!</f>
        <v>#REF!</v>
      </c>
    </row>
    <row r="1494" spans="1:34" x14ac:dyDescent="0.35">
      <c r="A1494">
        <v>1493</v>
      </c>
      <c r="B1494" t="s">
        <v>51</v>
      </c>
      <c r="C1494">
        <v>142</v>
      </c>
      <c r="D1494" t="s">
        <v>25</v>
      </c>
      <c r="E1494" t="s">
        <v>22</v>
      </c>
      <c r="F1494" t="s">
        <v>23</v>
      </c>
      <c r="G1494">
        <v>24</v>
      </c>
      <c r="H1494">
        <v>239.8</v>
      </c>
      <c r="I1494">
        <v>103</v>
      </c>
      <c r="J1494">
        <v>40.770000000000003</v>
      </c>
      <c r="K1494">
        <v>285.89999999999998</v>
      </c>
      <c r="L1494">
        <v>65</v>
      </c>
      <c r="M1494">
        <v>24.3</v>
      </c>
      <c r="N1494">
        <v>256.7</v>
      </c>
      <c r="O1494">
        <v>106</v>
      </c>
      <c r="P1494">
        <v>11.55</v>
      </c>
      <c r="Q1494">
        <v>9.5</v>
      </c>
      <c r="R1494">
        <v>4</v>
      </c>
      <c r="S1494">
        <v>2.57</v>
      </c>
      <c r="T1494">
        <v>0</v>
      </c>
      <c r="U1494" t="s">
        <v>22</v>
      </c>
      <c r="V1494" t="e">
        <f>IF(#REF! = "yes", 1, 0)</f>
        <v>#REF!</v>
      </c>
      <c r="W1494" t="e">
        <f>IF(#REF! &lt;= 1, "0-1 Calls", IF(#REF! &lt;= 3, "2-3 Calls", IF(#REF! &lt;=5, "4-5 Calls", "6+ Calls")))</f>
        <v>#REF!</v>
      </c>
      <c r="X1494" t="e">
        <f>IF(#REF! &lt;= 50, "0-50", IF(#REF! &lt;=100, "51-100", IF(#REF! &lt;= 150, "101-150", "151+")))</f>
        <v>#REF!</v>
      </c>
      <c r="Y1494" t="e">
        <f>IF(#REF! &lt;= 3, "Low Charges", "High Charges")</f>
        <v>#REF!</v>
      </c>
      <c r="Z1494" t="e">
        <f>IF(#REF!&lt;=80,"Low Calls",
IF(#REF!&lt;=120,"Medium Calls","High Calls"))</f>
        <v>#REF!</v>
      </c>
      <c r="AA1494" t="e">
        <f>IF(#REF!&lt;=15,"Low Charges",
IF(#REF!&lt;=20,"Medium Charges","High Charges"))</f>
        <v>#REF!</v>
      </c>
      <c r="AB1494" t="e">
        <f>IF(AND(#REF!&gt;180, #REF!&gt;200), "Heavy Doemstic User", IF(#REF!&gt;10, "Interntional User", IF(AND(#REF!&lt;180, #REF!&lt;200,#REF!&lt;200), "Light User", "Balanced User")))</f>
        <v>#REF!</v>
      </c>
      <c r="AC1494" t="e">
        <f>IF(#REF! = 0, "No Usage", IF(#REF! &lt;= 20, "Low Usage", IF(#REF! &lt;= 40, "Medium Usgae", "High Usage")))</f>
        <v>#REF!</v>
      </c>
      <c r="AD1494" t="e">
        <f>IF(#REF!&lt;=150,"Low Usage", IF(#REF!&lt;=200,"Medium Usage", IF(#REF!&lt;=250,"High Usage","Very High Usage")))</f>
        <v>#REF!</v>
      </c>
      <c r="AE1494" t="e">
        <f>IF(#REF!&lt;=5,"Low Calls", IF(#REF!&lt;=10, "Medium Calls", "High Calls"))</f>
        <v>#REF!</v>
      </c>
      <c r="AF1494" t="e">
        <f xml:space="preserve">
IF(#REF!&gt;=4,4,0)+
IF(#REF!="yes",3,0)+
IF(#REF!="High Charges",3,0)+
IF(#REF!&gt;250,4,0)+
IF(#REF!="no",1,0)+
IF(#REF!="Heavy Domestic User",2,0)</f>
        <v>#REF!</v>
      </c>
      <c r="AG1494" t="e">
        <f>IF(#REF!&gt;=10,"High Risk", IF(#REF!&gt;=5,"Medium Risk","Low Risk"))</f>
        <v>#REF!</v>
      </c>
      <c r="AH1494" t="e">
        <f>#REF! + #REF! + #REF! + #REF!</f>
        <v>#REF!</v>
      </c>
    </row>
    <row r="1495" spans="1:34" x14ac:dyDescent="0.35">
      <c r="A1495">
        <v>1494</v>
      </c>
      <c r="B1495" t="s">
        <v>44</v>
      </c>
      <c r="C1495">
        <v>62</v>
      </c>
      <c r="D1495" t="s">
        <v>21</v>
      </c>
      <c r="E1495" t="s">
        <v>22</v>
      </c>
      <c r="F1495" t="s">
        <v>22</v>
      </c>
      <c r="G1495">
        <v>0</v>
      </c>
      <c r="H1495">
        <v>172.4</v>
      </c>
      <c r="I1495">
        <v>132</v>
      </c>
      <c r="J1495">
        <v>29.31</v>
      </c>
      <c r="K1495">
        <v>230.5</v>
      </c>
      <c r="L1495">
        <v>100</v>
      </c>
      <c r="M1495">
        <v>19.59</v>
      </c>
      <c r="N1495">
        <v>228.2</v>
      </c>
      <c r="O1495">
        <v>109</v>
      </c>
      <c r="P1495">
        <v>10.27</v>
      </c>
      <c r="Q1495">
        <v>11</v>
      </c>
      <c r="R1495">
        <v>5</v>
      </c>
      <c r="S1495">
        <v>2.97</v>
      </c>
      <c r="T1495">
        <v>0</v>
      </c>
      <c r="U1495" t="s">
        <v>22</v>
      </c>
      <c r="V1495" t="e">
        <f>IF(#REF! = "yes", 1, 0)</f>
        <v>#REF!</v>
      </c>
      <c r="W1495" t="e">
        <f>IF(#REF! &lt;= 1, "0-1 Calls", IF(#REF! &lt;= 3, "2-3 Calls", IF(#REF! &lt;=5, "4-5 Calls", "6+ Calls")))</f>
        <v>#REF!</v>
      </c>
      <c r="X1495" t="e">
        <f>IF(#REF! &lt;= 50, "0-50", IF(#REF! &lt;=100, "51-100", IF(#REF! &lt;= 150, "101-150", "151+")))</f>
        <v>#REF!</v>
      </c>
      <c r="Y1495" t="e">
        <f>IF(#REF! &lt;= 3, "Low Charges", "High Charges")</f>
        <v>#REF!</v>
      </c>
      <c r="Z1495" t="e">
        <f>IF(#REF!&lt;=80,"Low Calls",
IF(#REF!&lt;=120,"Medium Calls","High Calls"))</f>
        <v>#REF!</v>
      </c>
      <c r="AA1495" t="e">
        <f>IF(#REF!&lt;=15,"Low Charges",
IF(#REF!&lt;=20,"Medium Charges","High Charges"))</f>
        <v>#REF!</v>
      </c>
      <c r="AB1495" t="e">
        <f>IF(AND(#REF!&gt;180, #REF!&gt;200), "Heavy Doemstic User", IF(#REF!&gt;10, "Interntional User", IF(AND(#REF!&lt;180, #REF!&lt;200,#REF!&lt;200), "Light User", "Balanced User")))</f>
        <v>#REF!</v>
      </c>
      <c r="AC1495" t="e">
        <f>IF(#REF! = 0, "No Usage", IF(#REF! &lt;= 20, "Low Usage", IF(#REF! &lt;= 40, "Medium Usgae", "High Usage")))</f>
        <v>#REF!</v>
      </c>
      <c r="AD1495" t="e">
        <f>IF(#REF!&lt;=150,"Low Usage", IF(#REF!&lt;=200,"Medium Usage", IF(#REF!&lt;=250,"High Usage","Very High Usage")))</f>
        <v>#REF!</v>
      </c>
      <c r="AE1495" t="e">
        <f>IF(#REF!&lt;=5,"Low Calls", IF(#REF!&lt;=10, "Medium Calls", "High Calls"))</f>
        <v>#REF!</v>
      </c>
      <c r="AF1495" t="e">
        <f xml:space="preserve">
IF(#REF!&gt;=4,4,0)+
IF(#REF!="yes",3,0)+
IF(#REF!="High Charges",3,0)+
IF(#REF!&gt;250,4,0)+
IF(#REF!="no",1,0)+
IF(#REF!="Heavy Domestic User",2,0)</f>
        <v>#REF!</v>
      </c>
      <c r="AG1495" t="e">
        <f>IF(#REF!&gt;=10,"High Risk", IF(#REF!&gt;=5,"Medium Risk","Low Risk"))</f>
        <v>#REF!</v>
      </c>
      <c r="AH1495" t="e">
        <f>#REF! + #REF! + #REF! + #REF!</f>
        <v>#REF!</v>
      </c>
    </row>
    <row r="1496" spans="1:34" x14ac:dyDescent="0.35">
      <c r="A1496">
        <v>1495</v>
      </c>
      <c r="B1496" t="s">
        <v>52</v>
      </c>
      <c r="C1496">
        <v>149</v>
      </c>
      <c r="D1496" t="s">
        <v>21</v>
      </c>
      <c r="E1496" t="s">
        <v>22</v>
      </c>
      <c r="F1496" t="s">
        <v>22</v>
      </c>
      <c r="G1496">
        <v>0</v>
      </c>
      <c r="H1496">
        <v>242.5</v>
      </c>
      <c r="I1496">
        <v>83</v>
      </c>
      <c r="J1496">
        <v>41.23</v>
      </c>
      <c r="K1496">
        <v>245.4</v>
      </c>
      <c r="L1496">
        <v>97</v>
      </c>
      <c r="M1496">
        <v>20.86</v>
      </c>
      <c r="N1496">
        <v>219.6</v>
      </c>
      <c r="O1496">
        <v>80</v>
      </c>
      <c r="P1496">
        <v>9.8800000000000008</v>
      </c>
      <c r="Q1496">
        <v>10</v>
      </c>
      <c r="R1496">
        <v>3</v>
      </c>
      <c r="S1496">
        <v>2.7</v>
      </c>
      <c r="T1496">
        <v>3</v>
      </c>
      <c r="U1496" t="s">
        <v>23</v>
      </c>
      <c r="V1496" t="e">
        <f>IF(#REF! = "yes", 1, 0)</f>
        <v>#REF!</v>
      </c>
      <c r="W1496" t="e">
        <f>IF(#REF! &lt;= 1, "0-1 Calls", IF(#REF! &lt;= 3, "2-3 Calls", IF(#REF! &lt;=5, "4-5 Calls", "6+ Calls")))</f>
        <v>#REF!</v>
      </c>
      <c r="X1496" t="e">
        <f>IF(#REF! &lt;= 50, "0-50", IF(#REF! &lt;=100, "51-100", IF(#REF! &lt;= 150, "101-150", "151+")))</f>
        <v>#REF!</v>
      </c>
      <c r="Y1496" t="e">
        <f>IF(#REF! &lt;= 3, "Low Charges", "High Charges")</f>
        <v>#REF!</v>
      </c>
      <c r="Z1496" t="e">
        <f>IF(#REF!&lt;=80,"Low Calls",
IF(#REF!&lt;=120,"Medium Calls","High Calls"))</f>
        <v>#REF!</v>
      </c>
      <c r="AA1496" t="e">
        <f>IF(#REF!&lt;=15,"Low Charges",
IF(#REF!&lt;=20,"Medium Charges","High Charges"))</f>
        <v>#REF!</v>
      </c>
      <c r="AB1496" t="e">
        <f>IF(AND(#REF!&gt;180, #REF!&gt;200), "Heavy Doemstic User", IF(#REF!&gt;10, "Interntional User", IF(AND(#REF!&lt;180, #REF!&lt;200,#REF!&lt;200), "Light User", "Balanced User")))</f>
        <v>#REF!</v>
      </c>
      <c r="AC1496" t="e">
        <f>IF(#REF! = 0, "No Usage", IF(#REF! &lt;= 20, "Low Usage", IF(#REF! &lt;= 40, "Medium Usgae", "High Usage")))</f>
        <v>#REF!</v>
      </c>
      <c r="AD1496" t="e">
        <f>IF(#REF!&lt;=150,"Low Usage", IF(#REF!&lt;=200,"Medium Usage", IF(#REF!&lt;=250,"High Usage","Very High Usage")))</f>
        <v>#REF!</v>
      </c>
      <c r="AE1496" t="e">
        <f>IF(#REF!&lt;=5,"Low Calls", IF(#REF!&lt;=10, "Medium Calls", "High Calls"))</f>
        <v>#REF!</v>
      </c>
      <c r="AF1496" t="e">
        <f xml:space="preserve">
IF(#REF!&gt;=4,4,0)+
IF(#REF!="yes",3,0)+
IF(#REF!="High Charges",3,0)+
IF(#REF!&gt;250,4,0)+
IF(#REF!="no",1,0)+
IF(#REF!="Heavy Domestic User",2,0)</f>
        <v>#REF!</v>
      </c>
      <c r="AG1496" t="e">
        <f>IF(#REF!&gt;=10,"High Risk", IF(#REF!&gt;=5,"Medium Risk","Low Risk"))</f>
        <v>#REF!</v>
      </c>
      <c r="AH1496" t="e">
        <f>#REF! + #REF! + #REF! + #REF!</f>
        <v>#REF!</v>
      </c>
    </row>
    <row r="1497" spans="1:34" x14ac:dyDescent="0.35">
      <c r="A1497">
        <v>1496</v>
      </c>
      <c r="B1497" t="s">
        <v>41</v>
      </c>
      <c r="C1497">
        <v>54</v>
      </c>
      <c r="D1497" t="s">
        <v>28</v>
      </c>
      <c r="E1497" t="s">
        <v>22</v>
      </c>
      <c r="F1497" t="s">
        <v>23</v>
      </c>
      <c r="G1497">
        <v>39</v>
      </c>
      <c r="H1497">
        <v>117.6</v>
      </c>
      <c r="I1497">
        <v>82</v>
      </c>
      <c r="J1497">
        <v>19.989999999999998</v>
      </c>
      <c r="K1497">
        <v>159.19999999999999</v>
      </c>
      <c r="L1497">
        <v>60</v>
      </c>
      <c r="M1497">
        <v>13.53</v>
      </c>
      <c r="N1497">
        <v>236.4</v>
      </c>
      <c r="O1497">
        <v>113</v>
      </c>
      <c r="P1497">
        <v>10.64</v>
      </c>
      <c r="Q1497">
        <v>11.3</v>
      </c>
      <c r="R1497">
        <v>10</v>
      </c>
      <c r="S1497">
        <v>3.05</v>
      </c>
      <c r="T1497">
        <v>2</v>
      </c>
      <c r="U1497" t="s">
        <v>22</v>
      </c>
      <c r="V1497" t="e">
        <f>IF(#REF! = "yes", 1, 0)</f>
        <v>#REF!</v>
      </c>
      <c r="W1497" t="e">
        <f>IF(#REF! &lt;= 1, "0-1 Calls", IF(#REF! &lt;= 3, "2-3 Calls", IF(#REF! &lt;=5, "4-5 Calls", "6+ Calls")))</f>
        <v>#REF!</v>
      </c>
      <c r="X1497" t="e">
        <f>IF(#REF! &lt;= 50, "0-50", IF(#REF! &lt;=100, "51-100", IF(#REF! &lt;= 150, "101-150", "151+")))</f>
        <v>#REF!</v>
      </c>
      <c r="Y1497" t="e">
        <f>IF(#REF! &lt;= 3, "Low Charges", "High Charges")</f>
        <v>#REF!</v>
      </c>
      <c r="Z1497" t="e">
        <f>IF(#REF!&lt;=80,"Low Calls",
IF(#REF!&lt;=120,"Medium Calls","High Calls"))</f>
        <v>#REF!</v>
      </c>
      <c r="AA1497" t="e">
        <f>IF(#REF!&lt;=15,"Low Charges",
IF(#REF!&lt;=20,"Medium Charges","High Charges"))</f>
        <v>#REF!</v>
      </c>
      <c r="AB1497" t="e">
        <f>IF(AND(#REF!&gt;180, #REF!&gt;200), "Heavy Doemstic User", IF(#REF!&gt;10, "Interntional User", IF(AND(#REF!&lt;180, #REF!&lt;200,#REF!&lt;200), "Light User", "Balanced User")))</f>
        <v>#REF!</v>
      </c>
      <c r="AC1497" t="e">
        <f>IF(#REF! = 0, "No Usage", IF(#REF! &lt;= 20, "Low Usage", IF(#REF! &lt;= 40, "Medium Usgae", "High Usage")))</f>
        <v>#REF!</v>
      </c>
      <c r="AD1497" t="e">
        <f>IF(#REF!&lt;=150,"Low Usage", IF(#REF!&lt;=200,"Medium Usage", IF(#REF!&lt;=250,"High Usage","Very High Usage")))</f>
        <v>#REF!</v>
      </c>
      <c r="AE1497" t="e">
        <f>IF(#REF!&lt;=5,"Low Calls", IF(#REF!&lt;=10, "Medium Calls", "High Calls"))</f>
        <v>#REF!</v>
      </c>
      <c r="AF1497" t="e">
        <f xml:space="preserve">
IF(#REF!&gt;=4,4,0)+
IF(#REF!="yes",3,0)+
IF(#REF!="High Charges",3,0)+
IF(#REF!&gt;250,4,0)+
IF(#REF!="no",1,0)+
IF(#REF!="Heavy Domestic User",2,0)</f>
        <v>#REF!</v>
      </c>
      <c r="AG1497" t="e">
        <f>IF(#REF!&gt;=10,"High Risk", IF(#REF!&gt;=5,"Medium Risk","Low Risk"))</f>
        <v>#REF!</v>
      </c>
      <c r="AH1497" t="e">
        <f>#REF! + #REF! + #REF! + #REF!</f>
        <v>#REF!</v>
      </c>
    </row>
    <row r="1498" spans="1:34" x14ac:dyDescent="0.35">
      <c r="A1498">
        <v>1497</v>
      </c>
      <c r="B1498" t="s">
        <v>30</v>
      </c>
      <c r="C1498">
        <v>112</v>
      </c>
      <c r="D1498" t="s">
        <v>28</v>
      </c>
      <c r="E1498" t="s">
        <v>22</v>
      </c>
      <c r="F1498" t="s">
        <v>22</v>
      </c>
      <c r="G1498">
        <v>0</v>
      </c>
      <c r="H1498">
        <v>174.5</v>
      </c>
      <c r="I1498">
        <v>127</v>
      </c>
      <c r="J1498">
        <v>29.67</v>
      </c>
      <c r="K1498">
        <v>259.3</v>
      </c>
      <c r="L1498">
        <v>71</v>
      </c>
      <c r="M1498">
        <v>22.04</v>
      </c>
      <c r="N1498">
        <v>170.5</v>
      </c>
      <c r="O1498">
        <v>120</v>
      </c>
      <c r="P1498">
        <v>7.67</v>
      </c>
      <c r="Q1498">
        <v>11.3</v>
      </c>
      <c r="R1498">
        <v>7</v>
      </c>
      <c r="S1498">
        <v>3.05</v>
      </c>
      <c r="T1498">
        <v>1</v>
      </c>
      <c r="U1498" t="s">
        <v>22</v>
      </c>
      <c r="V1498" t="e">
        <f>IF(#REF! = "yes", 1, 0)</f>
        <v>#REF!</v>
      </c>
      <c r="W1498" t="e">
        <f>IF(#REF! &lt;= 1, "0-1 Calls", IF(#REF! &lt;= 3, "2-3 Calls", IF(#REF! &lt;=5, "4-5 Calls", "6+ Calls")))</f>
        <v>#REF!</v>
      </c>
      <c r="X1498" t="e">
        <f>IF(#REF! &lt;= 50, "0-50", IF(#REF! &lt;=100, "51-100", IF(#REF! &lt;= 150, "101-150", "151+")))</f>
        <v>#REF!</v>
      </c>
      <c r="Y1498" t="e">
        <f>IF(#REF! &lt;= 3, "Low Charges", "High Charges")</f>
        <v>#REF!</v>
      </c>
      <c r="Z1498" t="e">
        <f>IF(#REF!&lt;=80,"Low Calls",
IF(#REF!&lt;=120,"Medium Calls","High Calls"))</f>
        <v>#REF!</v>
      </c>
      <c r="AA1498" t="e">
        <f>IF(#REF!&lt;=15,"Low Charges",
IF(#REF!&lt;=20,"Medium Charges","High Charges"))</f>
        <v>#REF!</v>
      </c>
      <c r="AB1498" t="e">
        <f>IF(AND(#REF!&gt;180, #REF!&gt;200), "Heavy Doemstic User", IF(#REF!&gt;10, "Interntional User", IF(AND(#REF!&lt;180, #REF!&lt;200,#REF!&lt;200), "Light User", "Balanced User")))</f>
        <v>#REF!</v>
      </c>
      <c r="AC1498" t="e">
        <f>IF(#REF! = 0, "No Usage", IF(#REF! &lt;= 20, "Low Usage", IF(#REF! &lt;= 40, "Medium Usgae", "High Usage")))</f>
        <v>#REF!</v>
      </c>
      <c r="AD1498" t="e">
        <f>IF(#REF!&lt;=150,"Low Usage", IF(#REF!&lt;=200,"Medium Usage", IF(#REF!&lt;=250,"High Usage","Very High Usage")))</f>
        <v>#REF!</v>
      </c>
      <c r="AE1498" t="e">
        <f>IF(#REF!&lt;=5,"Low Calls", IF(#REF!&lt;=10, "Medium Calls", "High Calls"))</f>
        <v>#REF!</v>
      </c>
      <c r="AF1498" t="e">
        <f xml:space="preserve">
IF(#REF!&gt;=4,4,0)+
IF(#REF!="yes",3,0)+
IF(#REF!="High Charges",3,0)+
IF(#REF!&gt;250,4,0)+
IF(#REF!="no",1,0)+
IF(#REF!="Heavy Domestic User",2,0)</f>
        <v>#REF!</v>
      </c>
      <c r="AG1498" t="e">
        <f>IF(#REF!&gt;=10,"High Risk", IF(#REF!&gt;=5,"Medium Risk","Low Risk"))</f>
        <v>#REF!</v>
      </c>
      <c r="AH1498" t="e">
        <f>#REF! + #REF! + #REF! + #REF!</f>
        <v>#REF!</v>
      </c>
    </row>
    <row r="1499" spans="1:34" x14ac:dyDescent="0.35">
      <c r="A1499">
        <v>1498</v>
      </c>
      <c r="B1499" t="s">
        <v>68</v>
      </c>
      <c r="C1499">
        <v>68</v>
      </c>
      <c r="D1499" t="s">
        <v>28</v>
      </c>
      <c r="E1499" t="s">
        <v>22</v>
      </c>
      <c r="F1499" t="s">
        <v>22</v>
      </c>
      <c r="G1499">
        <v>0</v>
      </c>
      <c r="H1499">
        <v>157.30000000000001</v>
      </c>
      <c r="I1499">
        <v>83</v>
      </c>
      <c r="J1499">
        <v>26.74</v>
      </c>
      <c r="K1499">
        <v>220.9</v>
      </c>
      <c r="L1499">
        <v>85</v>
      </c>
      <c r="M1499">
        <v>18.78</v>
      </c>
      <c r="N1499">
        <v>218.9</v>
      </c>
      <c r="O1499">
        <v>129</v>
      </c>
      <c r="P1499">
        <v>9.85</v>
      </c>
      <c r="Q1499">
        <v>12</v>
      </c>
      <c r="R1499">
        <v>7</v>
      </c>
      <c r="S1499">
        <v>3.24</v>
      </c>
      <c r="T1499">
        <v>1</v>
      </c>
      <c r="U1499" t="s">
        <v>22</v>
      </c>
      <c r="V1499" t="e">
        <f>IF(#REF! = "yes", 1, 0)</f>
        <v>#REF!</v>
      </c>
      <c r="W1499" t="e">
        <f>IF(#REF! &lt;= 1, "0-1 Calls", IF(#REF! &lt;= 3, "2-3 Calls", IF(#REF! &lt;=5, "4-5 Calls", "6+ Calls")))</f>
        <v>#REF!</v>
      </c>
      <c r="X1499" t="e">
        <f>IF(#REF! &lt;= 50, "0-50", IF(#REF! &lt;=100, "51-100", IF(#REF! &lt;= 150, "101-150", "151+")))</f>
        <v>#REF!</v>
      </c>
      <c r="Y1499" t="e">
        <f>IF(#REF! &lt;= 3, "Low Charges", "High Charges")</f>
        <v>#REF!</v>
      </c>
      <c r="Z1499" t="e">
        <f>IF(#REF!&lt;=80,"Low Calls",
IF(#REF!&lt;=120,"Medium Calls","High Calls"))</f>
        <v>#REF!</v>
      </c>
      <c r="AA1499" t="e">
        <f>IF(#REF!&lt;=15,"Low Charges",
IF(#REF!&lt;=20,"Medium Charges","High Charges"))</f>
        <v>#REF!</v>
      </c>
      <c r="AB1499" t="e">
        <f>IF(AND(#REF!&gt;180, #REF!&gt;200), "Heavy Doemstic User", IF(#REF!&gt;10, "Interntional User", IF(AND(#REF!&lt;180, #REF!&lt;200,#REF!&lt;200), "Light User", "Balanced User")))</f>
        <v>#REF!</v>
      </c>
      <c r="AC1499" t="e">
        <f>IF(#REF! = 0, "No Usage", IF(#REF! &lt;= 20, "Low Usage", IF(#REF! &lt;= 40, "Medium Usgae", "High Usage")))</f>
        <v>#REF!</v>
      </c>
      <c r="AD1499" t="e">
        <f>IF(#REF!&lt;=150,"Low Usage", IF(#REF!&lt;=200,"Medium Usage", IF(#REF!&lt;=250,"High Usage","Very High Usage")))</f>
        <v>#REF!</v>
      </c>
      <c r="AE1499" t="e">
        <f>IF(#REF!&lt;=5,"Low Calls", IF(#REF!&lt;=10, "Medium Calls", "High Calls"))</f>
        <v>#REF!</v>
      </c>
      <c r="AF1499" t="e">
        <f xml:space="preserve">
IF(#REF!&gt;=4,4,0)+
IF(#REF!="yes",3,0)+
IF(#REF!="High Charges",3,0)+
IF(#REF!&gt;250,4,0)+
IF(#REF!="no",1,0)+
IF(#REF!="Heavy Domestic User",2,0)</f>
        <v>#REF!</v>
      </c>
      <c r="AG1499" t="e">
        <f>IF(#REF!&gt;=10,"High Risk", IF(#REF!&gt;=5,"Medium Risk","Low Risk"))</f>
        <v>#REF!</v>
      </c>
      <c r="AH1499" t="e">
        <f>#REF! + #REF! + #REF! + #REF!</f>
        <v>#REF!</v>
      </c>
    </row>
    <row r="1500" spans="1:34" x14ac:dyDescent="0.35">
      <c r="A1500">
        <v>1499</v>
      </c>
      <c r="B1500" t="s">
        <v>39</v>
      </c>
      <c r="C1500">
        <v>201</v>
      </c>
      <c r="D1500" t="s">
        <v>21</v>
      </c>
      <c r="E1500" t="s">
        <v>22</v>
      </c>
      <c r="F1500" t="s">
        <v>23</v>
      </c>
      <c r="G1500">
        <v>21</v>
      </c>
      <c r="H1500">
        <v>192</v>
      </c>
      <c r="I1500">
        <v>97</v>
      </c>
      <c r="J1500">
        <v>32.64</v>
      </c>
      <c r="K1500">
        <v>239.1</v>
      </c>
      <c r="L1500">
        <v>81</v>
      </c>
      <c r="M1500">
        <v>20.32</v>
      </c>
      <c r="N1500">
        <v>116.1</v>
      </c>
      <c r="O1500">
        <v>125</v>
      </c>
      <c r="P1500">
        <v>5.22</v>
      </c>
      <c r="Q1500">
        <v>15.1</v>
      </c>
      <c r="R1500">
        <v>3</v>
      </c>
      <c r="S1500">
        <v>4.08</v>
      </c>
      <c r="T1500">
        <v>1</v>
      </c>
      <c r="U1500" t="s">
        <v>22</v>
      </c>
      <c r="V1500" t="e">
        <f>IF(#REF! = "yes", 1, 0)</f>
        <v>#REF!</v>
      </c>
      <c r="W1500" t="e">
        <f>IF(#REF! &lt;= 1, "0-1 Calls", IF(#REF! &lt;= 3, "2-3 Calls", IF(#REF! &lt;=5, "4-5 Calls", "6+ Calls")))</f>
        <v>#REF!</v>
      </c>
      <c r="X1500" t="e">
        <f>IF(#REF! &lt;= 50, "0-50", IF(#REF! &lt;=100, "51-100", IF(#REF! &lt;= 150, "101-150", "151+")))</f>
        <v>#REF!</v>
      </c>
      <c r="Y1500" t="e">
        <f>IF(#REF! &lt;= 3, "Low Charges", "High Charges")</f>
        <v>#REF!</v>
      </c>
      <c r="Z1500" t="e">
        <f>IF(#REF!&lt;=80,"Low Calls",
IF(#REF!&lt;=120,"Medium Calls","High Calls"))</f>
        <v>#REF!</v>
      </c>
      <c r="AA1500" t="e">
        <f>IF(#REF!&lt;=15,"Low Charges",
IF(#REF!&lt;=20,"Medium Charges","High Charges"))</f>
        <v>#REF!</v>
      </c>
      <c r="AB1500" t="e">
        <f>IF(AND(#REF!&gt;180, #REF!&gt;200), "Heavy Doemstic User", IF(#REF!&gt;10, "Interntional User", IF(AND(#REF!&lt;180, #REF!&lt;200,#REF!&lt;200), "Light User", "Balanced User")))</f>
        <v>#REF!</v>
      </c>
      <c r="AC1500" t="e">
        <f>IF(#REF! = 0, "No Usage", IF(#REF! &lt;= 20, "Low Usage", IF(#REF! &lt;= 40, "Medium Usgae", "High Usage")))</f>
        <v>#REF!</v>
      </c>
      <c r="AD1500" t="e">
        <f>IF(#REF!&lt;=150,"Low Usage", IF(#REF!&lt;=200,"Medium Usage", IF(#REF!&lt;=250,"High Usage","Very High Usage")))</f>
        <v>#REF!</v>
      </c>
      <c r="AE1500" t="e">
        <f>IF(#REF!&lt;=5,"Low Calls", IF(#REF!&lt;=10, "Medium Calls", "High Calls"))</f>
        <v>#REF!</v>
      </c>
      <c r="AF1500" t="e">
        <f xml:space="preserve">
IF(#REF!&gt;=4,4,0)+
IF(#REF!="yes",3,0)+
IF(#REF!="High Charges",3,0)+
IF(#REF!&gt;250,4,0)+
IF(#REF!="no",1,0)+
IF(#REF!="Heavy Domestic User",2,0)</f>
        <v>#REF!</v>
      </c>
      <c r="AG1500" t="e">
        <f>IF(#REF!&gt;=10,"High Risk", IF(#REF!&gt;=5,"Medium Risk","Low Risk"))</f>
        <v>#REF!</v>
      </c>
      <c r="AH1500" t="e">
        <f>#REF! + #REF! + #REF! + #REF!</f>
        <v>#REF!</v>
      </c>
    </row>
    <row r="1501" spans="1:34" x14ac:dyDescent="0.35">
      <c r="A1501">
        <v>1500</v>
      </c>
      <c r="B1501" t="s">
        <v>73</v>
      </c>
      <c r="C1501">
        <v>88</v>
      </c>
      <c r="D1501" t="s">
        <v>28</v>
      </c>
      <c r="E1501" t="s">
        <v>22</v>
      </c>
      <c r="F1501" t="s">
        <v>22</v>
      </c>
      <c r="G1501">
        <v>0</v>
      </c>
      <c r="H1501">
        <v>218.2</v>
      </c>
      <c r="I1501">
        <v>76</v>
      </c>
      <c r="J1501">
        <v>37.090000000000003</v>
      </c>
      <c r="K1501">
        <v>169.3</v>
      </c>
      <c r="L1501">
        <v>60</v>
      </c>
      <c r="M1501">
        <v>14.39</v>
      </c>
      <c r="N1501">
        <v>141.1</v>
      </c>
      <c r="O1501">
        <v>99</v>
      </c>
      <c r="P1501">
        <v>6.35</v>
      </c>
      <c r="Q1501">
        <v>8</v>
      </c>
      <c r="R1501">
        <v>1</v>
      </c>
      <c r="S1501">
        <v>2.16</v>
      </c>
      <c r="T1501">
        <v>1</v>
      </c>
      <c r="U1501" t="s">
        <v>22</v>
      </c>
      <c r="V1501" t="e">
        <f>IF(#REF! = "yes", 1, 0)</f>
        <v>#REF!</v>
      </c>
      <c r="W1501" t="e">
        <f>IF(#REF! &lt;= 1, "0-1 Calls", IF(#REF! &lt;= 3, "2-3 Calls", IF(#REF! &lt;=5, "4-5 Calls", "6+ Calls")))</f>
        <v>#REF!</v>
      </c>
      <c r="X1501" t="e">
        <f>IF(#REF! &lt;= 50, "0-50", IF(#REF! &lt;=100, "51-100", IF(#REF! &lt;= 150, "101-150", "151+")))</f>
        <v>#REF!</v>
      </c>
      <c r="Y1501" t="e">
        <f>IF(#REF! &lt;= 3, "Low Charges", "High Charges")</f>
        <v>#REF!</v>
      </c>
      <c r="Z1501" t="e">
        <f>IF(#REF!&lt;=80,"Low Calls",
IF(#REF!&lt;=120,"Medium Calls","High Calls"))</f>
        <v>#REF!</v>
      </c>
      <c r="AA1501" t="e">
        <f>IF(#REF!&lt;=15,"Low Charges",
IF(#REF!&lt;=20,"Medium Charges","High Charges"))</f>
        <v>#REF!</v>
      </c>
      <c r="AB1501" t="e">
        <f>IF(AND(#REF!&gt;180, #REF!&gt;200), "Heavy Doemstic User", IF(#REF!&gt;10, "Interntional User", IF(AND(#REF!&lt;180, #REF!&lt;200,#REF!&lt;200), "Light User", "Balanced User")))</f>
        <v>#REF!</v>
      </c>
      <c r="AC1501" t="e">
        <f>IF(#REF! = 0, "No Usage", IF(#REF! &lt;= 20, "Low Usage", IF(#REF! &lt;= 40, "Medium Usgae", "High Usage")))</f>
        <v>#REF!</v>
      </c>
      <c r="AD1501" t="e">
        <f>IF(#REF!&lt;=150,"Low Usage", IF(#REF!&lt;=200,"Medium Usage", IF(#REF!&lt;=250,"High Usage","Very High Usage")))</f>
        <v>#REF!</v>
      </c>
      <c r="AE1501" t="e">
        <f>IF(#REF!&lt;=5,"Low Calls", IF(#REF!&lt;=10, "Medium Calls", "High Calls"))</f>
        <v>#REF!</v>
      </c>
      <c r="AF1501" t="e">
        <f xml:space="preserve">
IF(#REF!&gt;=4,4,0)+
IF(#REF!="yes",3,0)+
IF(#REF!="High Charges",3,0)+
IF(#REF!&gt;250,4,0)+
IF(#REF!="no",1,0)+
IF(#REF!="Heavy Domestic User",2,0)</f>
        <v>#REF!</v>
      </c>
      <c r="AG1501" t="e">
        <f>IF(#REF!&gt;=10,"High Risk", IF(#REF!&gt;=5,"Medium Risk","Low Risk"))</f>
        <v>#REF!</v>
      </c>
      <c r="AH1501" t="e">
        <f>#REF! + #REF! + #REF! + #REF!</f>
        <v>#REF!</v>
      </c>
    </row>
    <row r="1502" spans="1:34" x14ac:dyDescent="0.35">
      <c r="A1502">
        <v>1501</v>
      </c>
      <c r="B1502" t="s">
        <v>72</v>
      </c>
      <c r="C1502">
        <v>85</v>
      </c>
      <c r="D1502" t="s">
        <v>21</v>
      </c>
      <c r="E1502" t="s">
        <v>22</v>
      </c>
      <c r="F1502" t="s">
        <v>23</v>
      </c>
      <c r="G1502">
        <v>29</v>
      </c>
      <c r="H1502">
        <v>144.6</v>
      </c>
      <c r="I1502">
        <v>97</v>
      </c>
      <c r="J1502">
        <v>24.58</v>
      </c>
      <c r="K1502">
        <v>140</v>
      </c>
      <c r="L1502">
        <v>102</v>
      </c>
      <c r="M1502">
        <v>11.9</v>
      </c>
      <c r="N1502">
        <v>165.4</v>
      </c>
      <c r="O1502">
        <v>148</v>
      </c>
      <c r="P1502">
        <v>7.44</v>
      </c>
      <c r="Q1502">
        <v>10.9</v>
      </c>
      <c r="R1502">
        <v>3</v>
      </c>
      <c r="S1502">
        <v>2.94</v>
      </c>
      <c r="T1502">
        <v>1</v>
      </c>
      <c r="U1502" t="s">
        <v>22</v>
      </c>
      <c r="V1502" t="e">
        <f>IF(#REF! = "yes", 1, 0)</f>
        <v>#REF!</v>
      </c>
      <c r="W1502" t="e">
        <f>IF(#REF! &lt;= 1, "0-1 Calls", IF(#REF! &lt;= 3, "2-3 Calls", IF(#REF! &lt;=5, "4-5 Calls", "6+ Calls")))</f>
        <v>#REF!</v>
      </c>
      <c r="X1502" t="e">
        <f>IF(#REF! &lt;= 50, "0-50", IF(#REF! &lt;=100, "51-100", IF(#REF! &lt;= 150, "101-150", "151+")))</f>
        <v>#REF!</v>
      </c>
      <c r="Y1502" t="e">
        <f>IF(#REF! &lt;= 3, "Low Charges", "High Charges")</f>
        <v>#REF!</v>
      </c>
      <c r="Z1502" t="e">
        <f>IF(#REF!&lt;=80,"Low Calls",
IF(#REF!&lt;=120,"Medium Calls","High Calls"))</f>
        <v>#REF!</v>
      </c>
      <c r="AA1502" t="e">
        <f>IF(#REF!&lt;=15,"Low Charges",
IF(#REF!&lt;=20,"Medium Charges","High Charges"))</f>
        <v>#REF!</v>
      </c>
      <c r="AB1502" t="e">
        <f>IF(AND(#REF!&gt;180, #REF!&gt;200), "Heavy Doemstic User", IF(#REF!&gt;10, "Interntional User", IF(AND(#REF!&lt;180, #REF!&lt;200,#REF!&lt;200), "Light User", "Balanced User")))</f>
        <v>#REF!</v>
      </c>
      <c r="AC1502" t="e">
        <f>IF(#REF! = 0, "No Usage", IF(#REF! &lt;= 20, "Low Usage", IF(#REF! &lt;= 40, "Medium Usgae", "High Usage")))</f>
        <v>#REF!</v>
      </c>
      <c r="AD1502" t="e">
        <f>IF(#REF!&lt;=150,"Low Usage", IF(#REF!&lt;=200,"Medium Usage", IF(#REF!&lt;=250,"High Usage","Very High Usage")))</f>
        <v>#REF!</v>
      </c>
      <c r="AE1502" t="e">
        <f>IF(#REF!&lt;=5,"Low Calls", IF(#REF!&lt;=10, "Medium Calls", "High Calls"))</f>
        <v>#REF!</v>
      </c>
      <c r="AF1502" t="e">
        <f xml:space="preserve">
IF(#REF!&gt;=4,4,0)+
IF(#REF!="yes",3,0)+
IF(#REF!="High Charges",3,0)+
IF(#REF!&gt;250,4,0)+
IF(#REF!="no",1,0)+
IF(#REF!="Heavy Domestic User",2,0)</f>
        <v>#REF!</v>
      </c>
      <c r="AG1502" t="e">
        <f>IF(#REF!&gt;=10,"High Risk", IF(#REF!&gt;=5,"Medium Risk","Low Risk"))</f>
        <v>#REF!</v>
      </c>
      <c r="AH1502" t="e">
        <f>#REF! + #REF! + #REF! + #REF!</f>
        <v>#REF!</v>
      </c>
    </row>
    <row r="1503" spans="1:34" x14ac:dyDescent="0.35">
      <c r="A1503">
        <v>1502</v>
      </c>
      <c r="B1503" t="s">
        <v>54</v>
      </c>
      <c r="C1503">
        <v>51</v>
      </c>
      <c r="D1503" t="s">
        <v>21</v>
      </c>
      <c r="E1503" t="s">
        <v>23</v>
      </c>
      <c r="F1503" t="s">
        <v>22</v>
      </c>
      <c r="G1503">
        <v>0</v>
      </c>
      <c r="H1503">
        <v>153.6</v>
      </c>
      <c r="I1503">
        <v>108</v>
      </c>
      <c r="J1503">
        <v>26.11</v>
      </c>
      <c r="K1503">
        <v>232.9</v>
      </c>
      <c r="L1503">
        <v>85</v>
      </c>
      <c r="M1503">
        <v>19.8</v>
      </c>
      <c r="N1503">
        <v>214.2</v>
      </c>
      <c r="O1503">
        <v>92</v>
      </c>
      <c r="P1503">
        <v>9.64</v>
      </c>
      <c r="Q1503">
        <v>14.1</v>
      </c>
      <c r="R1503">
        <v>4</v>
      </c>
      <c r="S1503">
        <v>3.81</v>
      </c>
      <c r="T1503">
        <v>0</v>
      </c>
      <c r="U1503" t="s">
        <v>23</v>
      </c>
      <c r="V1503" t="e">
        <f>IF(#REF! = "yes", 1, 0)</f>
        <v>#REF!</v>
      </c>
      <c r="W1503" t="e">
        <f>IF(#REF! &lt;= 1, "0-1 Calls", IF(#REF! &lt;= 3, "2-3 Calls", IF(#REF! &lt;=5, "4-5 Calls", "6+ Calls")))</f>
        <v>#REF!</v>
      </c>
      <c r="X1503" t="e">
        <f>IF(#REF! &lt;= 50, "0-50", IF(#REF! &lt;=100, "51-100", IF(#REF! &lt;= 150, "101-150", "151+")))</f>
        <v>#REF!</v>
      </c>
      <c r="Y1503" t="e">
        <f>IF(#REF! &lt;= 3, "Low Charges", "High Charges")</f>
        <v>#REF!</v>
      </c>
      <c r="Z1503" t="e">
        <f>IF(#REF!&lt;=80,"Low Calls",
IF(#REF!&lt;=120,"Medium Calls","High Calls"))</f>
        <v>#REF!</v>
      </c>
      <c r="AA1503" t="e">
        <f>IF(#REF!&lt;=15,"Low Charges",
IF(#REF!&lt;=20,"Medium Charges","High Charges"))</f>
        <v>#REF!</v>
      </c>
      <c r="AB1503" t="e">
        <f>IF(AND(#REF!&gt;180, #REF!&gt;200), "Heavy Doemstic User", IF(#REF!&gt;10, "Interntional User", IF(AND(#REF!&lt;180, #REF!&lt;200,#REF!&lt;200), "Light User", "Balanced User")))</f>
        <v>#REF!</v>
      </c>
      <c r="AC1503" t="e">
        <f>IF(#REF! = 0, "No Usage", IF(#REF! &lt;= 20, "Low Usage", IF(#REF! &lt;= 40, "Medium Usgae", "High Usage")))</f>
        <v>#REF!</v>
      </c>
      <c r="AD1503" t="e">
        <f>IF(#REF!&lt;=150,"Low Usage", IF(#REF!&lt;=200,"Medium Usage", IF(#REF!&lt;=250,"High Usage","Very High Usage")))</f>
        <v>#REF!</v>
      </c>
      <c r="AE1503" t="e">
        <f>IF(#REF!&lt;=5,"Low Calls", IF(#REF!&lt;=10, "Medium Calls", "High Calls"))</f>
        <v>#REF!</v>
      </c>
      <c r="AF1503" t="e">
        <f xml:space="preserve">
IF(#REF!&gt;=4,4,0)+
IF(#REF!="yes",3,0)+
IF(#REF!="High Charges",3,0)+
IF(#REF!&gt;250,4,0)+
IF(#REF!="no",1,0)+
IF(#REF!="Heavy Domestic User",2,0)</f>
        <v>#REF!</v>
      </c>
      <c r="AG1503" t="e">
        <f>IF(#REF!&gt;=10,"High Risk", IF(#REF!&gt;=5,"Medium Risk","Low Risk"))</f>
        <v>#REF!</v>
      </c>
      <c r="AH1503" t="e">
        <f>#REF! + #REF! + #REF! + #REF!</f>
        <v>#REF!</v>
      </c>
    </row>
    <row r="1504" spans="1:34" x14ac:dyDescent="0.35">
      <c r="A1504">
        <v>1503</v>
      </c>
      <c r="B1504" t="s">
        <v>29</v>
      </c>
      <c r="C1504">
        <v>45</v>
      </c>
      <c r="D1504" t="s">
        <v>28</v>
      </c>
      <c r="E1504" t="s">
        <v>22</v>
      </c>
      <c r="F1504" t="s">
        <v>23</v>
      </c>
      <c r="G1504">
        <v>29</v>
      </c>
      <c r="H1504">
        <v>135.80000000000001</v>
      </c>
      <c r="I1504">
        <v>104</v>
      </c>
      <c r="J1504">
        <v>23.09</v>
      </c>
      <c r="K1504">
        <v>222.5</v>
      </c>
      <c r="L1504">
        <v>101</v>
      </c>
      <c r="M1504">
        <v>18.91</v>
      </c>
      <c r="N1504">
        <v>235.6</v>
      </c>
      <c r="O1504">
        <v>92</v>
      </c>
      <c r="P1504">
        <v>10.6</v>
      </c>
      <c r="Q1504">
        <v>7.9</v>
      </c>
      <c r="R1504">
        <v>6</v>
      </c>
      <c r="S1504">
        <v>2.13</v>
      </c>
      <c r="T1504">
        <v>2</v>
      </c>
      <c r="U1504" t="s">
        <v>22</v>
      </c>
      <c r="V1504" t="e">
        <f>IF(#REF! = "yes", 1, 0)</f>
        <v>#REF!</v>
      </c>
      <c r="W1504" t="e">
        <f>IF(#REF! &lt;= 1, "0-1 Calls", IF(#REF! &lt;= 3, "2-3 Calls", IF(#REF! &lt;=5, "4-5 Calls", "6+ Calls")))</f>
        <v>#REF!</v>
      </c>
      <c r="X1504" t="e">
        <f>IF(#REF! &lt;= 50, "0-50", IF(#REF! &lt;=100, "51-100", IF(#REF! &lt;= 150, "101-150", "151+")))</f>
        <v>#REF!</v>
      </c>
      <c r="Y1504" t="e">
        <f>IF(#REF! &lt;= 3, "Low Charges", "High Charges")</f>
        <v>#REF!</v>
      </c>
      <c r="Z1504" t="e">
        <f>IF(#REF!&lt;=80,"Low Calls",
IF(#REF!&lt;=120,"Medium Calls","High Calls"))</f>
        <v>#REF!</v>
      </c>
      <c r="AA1504" t="e">
        <f>IF(#REF!&lt;=15,"Low Charges",
IF(#REF!&lt;=20,"Medium Charges","High Charges"))</f>
        <v>#REF!</v>
      </c>
      <c r="AB1504" t="e">
        <f>IF(AND(#REF!&gt;180, #REF!&gt;200), "Heavy Doemstic User", IF(#REF!&gt;10, "Interntional User", IF(AND(#REF!&lt;180, #REF!&lt;200,#REF!&lt;200), "Light User", "Balanced User")))</f>
        <v>#REF!</v>
      </c>
      <c r="AC1504" t="e">
        <f>IF(#REF! = 0, "No Usage", IF(#REF! &lt;= 20, "Low Usage", IF(#REF! &lt;= 40, "Medium Usgae", "High Usage")))</f>
        <v>#REF!</v>
      </c>
      <c r="AD1504" t="e">
        <f>IF(#REF!&lt;=150,"Low Usage", IF(#REF!&lt;=200,"Medium Usage", IF(#REF!&lt;=250,"High Usage","Very High Usage")))</f>
        <v>#REF!</v>
      </c>
      <c r="AE1504" t="e">
        <f>IF(#REF!&lt;=5,"Low Calls", IF(#REF!&lt;=10, "Medium Calls", "High Calls"))</f>
        <v>#REF!</v>
      </c>
      <c r="AF1504" t="e">
        <f xml:space="preserve">
IF(#REF!&gt;=4,4,0)+
IF(#REF!="yes",3,0)+
IF(#REF!="High Charges",3,0)+
IF(#REF!&gt;250,4,0)+
IF(#REF!="no",1,0)+
IF(#REF!="Heavy Domestic User",2,0)</f>
        <v>#REF!</v>
      </c>
      <c r="AG1504" t="e">
        <f>IF(#REF!&gt;=10,"High Risk", IF(#REF!&gt;=5,"Medium Risk","Low Risk"))</f>
        <v>#REF!</v>
      </c>
      <c r="AH1504" t="e">
        <f>#REF! + #REF! + #REF! + #REF!</f>
        <v>#REF!</v>
      </c>
    </row>
    <row r="1505" spans="1:34" x14ac:dyDescent="0.35">
      <c r="A1505">
        <v>1504</v>
      </c>
      <c r="B1505" t="s">
        <v>50</v>
      </c>
      <c r="C1505">
        <v>116</v>
      </c>
      <c r="D1505" t="s">
        <v>28</v>
      </c>
      <c r="E1505" t="s">
        <v>22</v>
      </c>
      <c r="F1505" t="s">
        <v>22</v>
      </c>
      <c r="G1505">
        <v>0</v>
      </c>
      <c r="H1505">
        <v>160.69999999999999</v>
      </c>
      <c r="I1505">
        <v>69</v>
      </c>
      <c r="J1505">
        <v>27.32</v>
      </c>
      <c r="K1505">
        <v>146.80000000000001</v>
      </c>
      <c r="L1505">
        <v>106</v>
      </c>
      <c r="M1505">
        <v>12.48</v>
      </c>
      <c r="N1505">
        <v>287.8</v>
      </c>
      <c r="O1505">
        <v>144</v>
      </c>
      <c r="P1505">
        <v>12.95</v>
      </c>
      <c r="Q1505">
        <v>8.1999999999999993</v>
      </c>
      <c r="R1505">
        <v>5</v>
      </c>
      <c r="S1505">
        <v>2.21</v>
      </c>
      <c r="T1505">
        <v>0</v>
      </c>
      <c r="U1505" t="s">
        <v>22</v>
      </c>
      <c r="V1505" t="e">
        <f>IF(#REF! = "yes", 1, 0)</f>
        <v>#REF!</v>
      </c>
      <c r="W1505" t="e">
        <f>IF(#REF! &lt;= 1, "0-1 Calls", IF(#REF! &lt;= 3, "2-3 Calls", IF(#REF! &lt;=5, "4-5 Calls", "6+ Calls")))</f>
        <v>#REF!</v>
      </c>
      <c r="X1505" t="e">
        <f>IF(#REF! &lt;= 50, "0-50", IF(#REF! &lt;=100, "51-100", IF(#REF! &lt;= 150, "101-150", "151+")))</f>
        <v>#REF!</v>
      </c>
      <c r="Y1505" t="e">
        <f>IF(#REF! &lt;= 3, "Low Charges", "High Charges")</f>
        <v>#REF!</v>
      </c>
      <c r="Z1505" t="e">
        <f>IF(#REF!&lt;=80,"Low Calls",
IF(#REF!&lt;=120,"Medium Calls","High Calls"))</f>
        <v>#REF!</v>
      </c>
      <c r="AA1505" t="e">
        <f>IF(#REF!&lt;=15,"Low Charges",
IF(#REF!&lt;=20,"Medium Charges","High Charges"))</f>
        <v>#REF!</v>
      </c>
      <c r="AB1505" t="e">
        <f>IF(AND(#REF!&gt;180, #REF!&gt;200), "Heavy Doemstic User", IF(#REF!&gt;10, "Interntional User", IF(AND(#REF!&lt;180, #REF!&lt;200,#REF!&lt;200), "Light User", "Balanced User")))</f>
        <v>#REF!</v>
      </c>
      <c r="AC1505" t="e">
        <f>IF(#REF! = 0, "No Usage", IF(#REF! &lt;= 20, "Low Usage", IF(#REF! &lt;= 40, "Medium Usgae", "High Usage")))</f>
        <v>#REF!</v>
      </c>
      <c r="AD1505" t="e">
        <f>IF(#REF!&lt;=150,"Low Usage", IF(#REF!&lt;=200,"Medium Usage", IF(#REF!&lt;=250,"High Usage","Very High Usage")))</f>
        <v>#REF!</v>
      </c>
      <c r="AE1505" t="e">
        <f>IF(#REF!&lt;=5,"Low Calls", IF(#REF!&lt;=10, "Medium Calls", "High Calls"))</f>
        <v>#REF!</v>
      </c>
      <c r="AF1505" t="e">
        <f xml:space="preserve">
IF(#REF!&gt;=4,4,0)+
IF(#REF!="yes",3,0)+
IF(#REF!="High Charges",3,0)+
IF(#REF!&gt;250,4,0)+
IF(#REF!="no",1,0)+
IF(#REF!="Heavy Domestic User",2,0)</f>
        <v>#REF!</v>
      </c>
      <c r="AG1505" t="e">
        <f>IF(#REF!&gt;=10,"High Risk", IF(#REF!&gt;=5,"Medium Risk","Low Risk"))</f>
        <v>#REF!</v>
      </c>
      <c r="AH1505" t="e">
        <f>#REF! + #REF! + #REF! + #REF!</f>
        <v>#REF!</v>
      </c>
    </row>
    <row r="1506" spans="1:34" x14ac:dyDescent="0.35">
      <c r="A1506">
        <v>1505</v>
      </c>
      <c r="B1506" t="s">
        <v>20</v>
      </c>
      <c r="C1506">
        <v>146</v>
      </c>
      <c r="D1506" t="s">
        <v>25</v>
      </c>
      <c r="E1506" t="s">
        <v>22</v>
      </c>
      <c r="F1506" t="s">
        <v>23</v>
      </c>
      <c r="G1506">
        <v>31</v>
      </c>
      <c r="H1506">
        <v>202.5</v>
      </c>
      <c r="I1506">
        <v>91</v>
      </c>
      <c r="J1506">
        <v>34.43</v>
      </c>
      <c r="K1506">
        <v>241.4</v>
      </c>
      <c r="L1506">
        <v>108</v>
      </c>
      <c r="M1506">
        <v>20.52</v>
      </c>
      <c r="N1506">
        <v>169.6</v>
      </c>
      <c r="O1506">
        <v>77</v>
      </c>
      <c r="P1506">
        <v>7.63</v>
      </c>
      <c r="Q1506">
        <v>7.8</v>
      </c>
      <c r="R1506">
        <v>2</v>
      </c>
      <c r="S1506">
        <v>2.11</v>
      </c>
      <c r="T1506">
        <v>1</v>
      </c>
      <c r="U1506" t="s">
        <v>22</v>
      </c>
      <c r="V1506" t="e">
        <f>IF(#REF! = "yes", 1, 0)</f>
        <v>#REF!</v>
      </c>
      <c r="W1506" t="e">
        <f>IF(#REF! &lt;= 1, "0-1 Calls", IF(#REF! &lt;= 3, "2-3 Calls", IF(#REF! &lt;=5, "4-5 Calls", "6+ Calls")))</f>
        <v>#REF!</v>
      </c>
      <c r="X1506" t="e">
        <f>IF(#REF! &lt;= 50, "0-50", IF(#REF! &lt;=100, "51-100", IF(#REF! &lt;= 150, "101-150", "151+")))</f>
        <v>#REF!</v>
      </c>
      <c r="Y1506" t="e">
        <f>IF(#REF! &lt;= 3, "Low Charges", "High Charges")</f>
        <v>#REF!</v>
      </c>
      <c r="Z1506" t="e">
        <f>IF(#REF!&lt;=80,"Low Calls",
IF(#REF!&lt;=120,"Medium Calls","High Calls"))</f>
        <v>#REF!</v>
      </c>
      <c r="AA1506" t="e">
        <f>IF(#REF!&lt;=15,"Low Charges",
IF(#REF!&lt;=20,"Medium Charges","High Charges"))</f>
        <v>#REF!</v>
      </c>
      <c r="AB1506" t="e">
        <f>IF(AND(#REF!&gt;180, #REF!&gt;200), "Heavy Doemstic User", IF(#REF!&gt;10, "Interntional User", IF(AND(#REF!&lt;180, #REF!&lt;200,#REF!&lt;200), "Light User", "Balanced User")))</f>
        <v>#REF!</v>
      </c>
      <c r="AC1506" t="e">
        <f>IF(#REF! = 0, "No Usage", IF(#REF! &lt;= 20, "Low Usage", IF(#REF! &lt;= 40, "Medium Usgae", "High Usage")))</f>
        <v>#REF!</v>
      </c>
      <c r="AD1506" t="e">
        <f>IF(#REF!&lt;=150,"Low Usage", IF(#REF!&lt;=200,"Medium Usage", IF(#REF!&lt;=250,"High Usage","Very High Usage")))</f>
        <v>#REF!</v>
      </c>
      <c r="AE1506" t="e">
        <f>IF(#REF!&lt;=5,"Low Calls", IF(#REF!&lt;=10, "Medium Calls", "High Calls"))</f>
        <v>#REF!</v>
      </c>
      <c r="AF1506" t="e">
        <f xml:space="preserve">
IF(#REF!&gt;=4,4,0)+
IF(#REF!="yes",3,0)+
IF(#REF!="High Charges",3,0)+
IF(#REF!&gt;250,4,0)+
IF(#REF!="no",1,0)+
IF(#REF!="Heavy Domestic User",2,0)</f>
        <v>#REF!</v>
      </c>
      <c r="AG1506" t="e">
        <f>IF(#REF!&gt;=10,"High Risk", IF(#REF!&gt;=5,"Medium Risk","Low Risk"))</f>
        <v>#REF!</v>
      </c>
      <c r="AH1506" t="e">
        <f>#REF! + #REF! + #REF! + #REF!</f>
        <v>#REF!</v>
      </c>
    </row>
    <row r="1507" spans="1:34" x14ac:dyDescent="0.35">
      <c r="A1507">
        <v>1506</v>
      </c>
      <c r="B1507" t="s">
        <v>51</v>
      </c>
      <c r="C1507">
        <v>63</v>
      </c>
      <c r="D1507" t="s">
        <v>28</v>
      </c>
      <c r="E1507" t="s">
        <v>22</v>
      </c>
      <c r="F1507" t="s">
        <v>23</v>
      </c>
      <c r="G1507">
        <v>34</v>
      </c>
      <c r="H1507">
        <v>152.19999999999999</v>
      </c>
      <c r="I1507">
        <v>119</v>
      </c>
      <c r="J1507">
        <v>25.87</v>
      </c>
      <c r="K1507">
        <v>227.1</v>
      </c>
      <c r="L1507">
        <v>91</v>
      </c>
      <c r="M1507">
        <v>19.3</v>
      </c>
      <c r="N1507">
        <v>195.7</v>
      </c>
      <c r="O1507">
        <v>103</v>
      </c>
      <c r="P1507">
        <v>8.81</v>
      </c>
      <c r="Q1507">
        <v>12.3</v>
      </c>
      <c r="R1507">
        <v>5</v>
      </c>
      <c r="S1507">
        <v>3.32</v>
      </c>
      <c r="T1507">
        <v>1</v>
      </c>
      <c r="U1507" t="s">
        <v>22</v>
      </c>
      <c r="V1507" t="e">
        <f>IF(#REF! = "yes", 1, 0)</f>
        <v>#REF!</v>
      </c>
      <c r="W1507" t="e">
        <f>IF(#REF! &lt;= 1, "0-1 Calls", IF(#REF! &lt;= 3, "2-3 Calls", IF(#REF! &lt;=5, "4-5 Calls", "6+ Calls")))</f>
        <v>#REF!</v>
      </c>
      <c r="X1507" t="e">
        <f>IF(#REF! &lt;= 50, "0-50", IF(#REF! &lt;=100, "51-100", IF(#REF! &lt;= 150, "101-150", "151+")))</f>
        <v>#REF!</v>
      </c>
      <c r="Y1507" t="e">
        <f>IF(#REF! &lt;= 3, "Low Charges", "High Charges")</f>
        <v>#REF!</v>
      </c>
      <c r="Z1507" t="e">
        <f>IF(#REF!&lt;=80,"Low Calls",
IF(#REF!&lt;=120,"Medium Calls","High Calls"))</f>
        <v>#REF!</v>
      </c>
      <c r="AA1507" t="e">
        <f>IF(#REF!&lt;=15,"Low Charges",
IF(#REF!&lt;=20,"Medium Charges","High Charges"))</f>
        <v>#REF!</v>
      </c>
      <c r="AB1507" t="e">
        <f>IF(AND(#REF!&gt;180, #REF!&gt;200), "Heavy Doemstic User", IF(#REF!&gt;10, "Interntional User", IF(AND(#REF!&lt;180, #REF!&lt;200,#REF!&lt;200), "Light User", "Balanced User")))</f>
        <v>#REF!</v>
      </c>
      <c r="AC1507" t="e">
        <f>IF(#REF! = 0, "No Usage", IF(#REF! &lt;= 20, "Low Usage", IF(#REF! &lt;= 40, "Medium Usgae", "High Usage")))</f>
        <v>#REF!</v>
      </c>
      <c r="AD1507" t="e">
        <f>IF(#REF!&lt;=150,"Low Usage", IF(#REF!&lt;=200,"Medium Usage", IF(#REF!&lt;=250,"High Usage","Very High Usage")))</f>
        <v>#REF!</v>
      </c>
      <c r="AE1507" t="e">
        <f>IF(#REF!&lt;=5,"Low Calls", IF(#REF!&lt;=10, "Medium Calls", "High Calls"))</f>
        <v>#REF!</v>
      </c>
      <c r="AF1507" t="e">
        <f xml:space="preserve">
IF(#REF!&gt;=4,4,0)+
IF(#REF!="yes",3,0)+
IF(#REF!="High Charges",3,0)+
IF(#REF!&gt;250,4,0)+
IF(#REF!="no",1,0)+
IF(#REF!="Heavy Domestic User",2,0)</f>
        <v>#REF!</v>
      </c>
      <c r="AG1507" t="e">
        <f>IF(#REF!&gt;=10,"High Risk", IF(#REF!&gt;=5,"Medium Risk","Low Risk"))</f>
        <v>#REF!</v>
      </c>
      <c r="AH1507" t="e">
        <f>#REF! + #REF! + #REF! + #REF!</f>
        <v>#REF!</v>
      </c>
    </row>
    <row r="1508" spans="1:34" x14ac:dyDescent="0.35">
      <c r="A1508">
        <v>1507</v>
      </c>
      <c r="B1508" t="s">
        <v>48</v>
      </c>
      <c r="C1508">
        <v>133</v>
      </c>
      <c r="D1508" t="s">
        <v>28</v>
      </c>
      <c r="E1508" t="s">
        <v>22</v>
      </c>
      <c r="F1508" t="s">
        <v>22</v>
      </c>
      <c r="G1508">
        <v>0</v>
      </c>
      <c r="H1508">
        <v>227.4</v>
      </c>
      <c r="I1508">
        <v>90</v>
      </c>
      <c r="J1508">
        <v>38.659999999999997</v>
      </c>
      <c r="K1508">
        <v>73.2</v>
      </c>
      <c r="L1508">
        <v>135</v>
      </c>
      <c r="M1508">
        <v>6.22</v>
      </c>
      <c r="N1508">
        <v>114.3</v>
      </c>
      <c r="O1508">
        <v>99</v>
      </c>
      <c r="P1508">
        <v>5.14</v>
      </c>
      <c r="Q1508">
        <v>4.7</v>
      </c>
      <c r="R1508">
        <v>7</v>
      </c>
      <c r="S1508">
        <v>1.27</v>
      </c>
      <c r="T1508">
        <v>0</v>
      </c>
      <c r="U1508" t="s">
        <v>22</v>
      </c>
      <c r="V1508" t="e">
        <f>IF(#REF! = "yes", 1, 0)</f>
        <v>#REF!</v>
      </c>
      <c r="W1508" t="e">
        <f>IF(#REF! &lt;= 1, "0-1 Calls", IF(#REF! &lt;= 3, "2-3 Calls", IF(#REF! &lt;=5, "4-5 Calls", "6+ Calls")))</f>
        <v>#REF!</v>
      </c>
      <c r="X1508" t="e">
        <f>IF(#REF! &lt;= 50, "0-50", IF(#REF! &lt;=100, "51-100", IF(#REF! &lt;= 150, "101-150", "151+")))</f>
        <v>#REF!</v>
      </c>
      <c r="Y1508" t="e">
        <f>IF(#REF! &lt;= 3, "Low Charges", "High Charges")</f>
        <v>#REF!</v>
      </c>
      <c r="Z1508" t="e">
        <f>IF(#REF!&lt;=80,"Low Calls",
IF(#REF!&lt;=120,"Medium Calls","High Calls"))</f>
        <v>#REF!</v>
      </c>
      <c r="AA1508" t="e">
        <f>IF(#REF!&lt;=15,"Low Charges",
IF(#REF!&lt;=20,"Medium Charges","High Charges"))</f>
        <v>#REF!</v>
      </c>
      <c r="AB1508" t="e">
        <f>IF(AND(#REF!&gt;180, #REF!&gt;200), "Heavy Doemstic User", IF(#REF!&gt;10, "Interntional User", IF(AND(#REF!&lt;180, #REF!&lt;200,#REF!&lt;200), "Light User", "Balanced User")))</f>
        <v>#REF!</v>
      </c>
      <c r="AC1508" t="e">
        <f>IF(#REF! = 0, "No Usage", IF(#REF! &lt;= 20, "Low Usage", IF(#REF! &lt;= 40, "Medium Usgae", "High Usage")))</f>
        <v>#REF!</v>
      </c>
      <c r="AD1508" t="e">
        <f>IF(#REF!&lt;=150,"Low Usage", IF(#REF!&lt;=200,"Medium Usage", IF(#REF!&lt;=250,"High Usage","Very High Usage")))</f>
        <v>#REF!</v>
      </c>
      <c r="AE1508" t="e">
        <f>IF(#REF!&lt;=5,"Low Calls", IF(#REF!&lt;=10, "Medium Calls", "High Calls"))</f>
        <v>#REF!</v>
      </c>
      <c r="AF1508" t="e">
        <f xml:space="preserve">
IF(#REF!&gt;=4,4,0)+
IF(#REF!="yes",3,0)+
IF(#REF!="High Charges",3,0)+
IF(#REF!&gt;250,4,0)+
IF(#REF!="no",1,0)+
IF(#REF!="Heavy Domestic User",2,0)</f>
        <v>#REF!</v>
      </c>
      <c r="AG1508" t="e">
        <f>IF(#REF!&gt;=10,"High Risk", IF(#REF!&gt;=5,"Medium Risk","Low Risk"))</f>
        <v>#REF!</v>
      </c>
      <c r="AH1508" t="e">
        <f>#REF! + #REF! + #REF! + #REF!</f>
        <v>#REF!</v>
      </c>
    </row>
    <row r="1509" spans="1:34" x14ac:dyDescent="0.35">
      <c r="A1509">
        <v>1508</v>
      </c>
      <c r="B1509" t="s">
        <v>65</v>
      </c>
      <c r="C1509">
        <v>125</v>
      </c>
      <c r="D1509" t="s">
        <v>25</v>
      </c>
      <c r="E1509" t="s">
        <v>22</v>
      </c>
      <c r="F1509" t="s">
        <v>22</v>
      </c>
      <c r="G1509">
        <v>0</v>
      </c>
      <c r="H1509">
        <v>191.6</v>
      </c>
      <c r="I1509">
        <v>115</v>
      </c>
      <c r="J1509">
        <v>32.57</v>
      </c>
      <c r="K1509">
        <v>205.6</v>
      </c>
      <c r="L1509">
        <v>108</v>
      </c>
      <c r="M1509">
        <v>17.48</v>
      </c>
      <c r="N1509">
        <v>210.2</v>
      </c>
      <c r="O1509">
        <v>123</v>
      </c>
      <c r="P1509">
        <v>9.4600000000000009</v>
      </c>
      <c r="Q1509">
        <v>9.1999999999999993</v>
      </c>
      <c r="R1509">
        <v>3</v>
      </c>
      <c r="S1509">
        <v>2.48</v>
      </c>
      <c r="T1509">
        <v>2</v>
      </c>
      <c r="U1509" t="s">
        <v>22</v>
      </c>
      <c r="V1509" t="e">
        <f>IF(#REF! = "yes", 1, 0)</f>
        <v>#REF!</v>
      </c>
      <c r="W1509" t="e">
        <f>IF(#REF! &lt;= 1, "0-1 Calls", IF(#REF! &lt;= 3, "2-3 Calls", IF(#REF! &lt;=5, "4-5 Calls", "6+ Calls")))</f>
        <v>#REF!</v>
      </c>
      <c r="X1509" t="e">
        <f>IF(#REF! &lt;= 50, "0-50", IF(#REF! &lt;=100, "51-100", IF(#REF! &lt;= 150, "101-150", "151+")))</f>
        <v>#REF!</v>
      </c>
      <c r="Y1509" t="e">
        <f>IF(#REF! &lt;= 3, "Low Charges", "High Charges")</f>
        <v>#REF!</v>
      </c>
      <c r="Z1509" t="e">
        <f>IF(#REF!&lt;=80,"Low Calls",
IF(#REF!&lt;=120,"Medium Calls","High Calls"))</f>
        <v>#REF!</v>
      </c>
      <c r="AA1509" t="e">
        <f>IF(#REF!&lt;=15,"Low Charges",
IF(#REF!&lt;=20,"Medium Charges","High Charges"))</f>
        <v>#REF!</v>
      </c>
      <c r="AB1509" t="e">
        <f>IF(AND(#REF!&gt;180, #REF!&gt;200), "Heavy Doemstic User", IF(#REF!&gt;10, "Interntional User", IF(AND(#REF!&lt;180, #REF!&lt;200,#REF!&lt;200), "Light User", "Balanced User")))</f>
        <v>#REF!</v>
      </c>
      <c r="AC1509" t="e">
        <f>IF(#REF! = 0, "No Usage", IF(#REF! &lt;= 20, "Low Usage", IF(#REF! &lt;= 40, "Medium Usgae", "High Usage")))</f>
        <v>#REF!</v>
      </c>
      <c r="AD1509" t="e">
        <f>IF(#REF!&lt;=150,"Low Usage", IF(#REF!&lt;=200,"Medium Usage", IF(#REF!&lt;=250,"High Usage","Very High Usage")))</f>
        <v>#REF!</v>
      </c>
      <c r="AE1509" t="e">
        <f>IF(#REF!&lt;=5,"Low Calls", IF(#REF!&lt;=10, "Medium Calls", "High Calls"))</f>
        <v>#REF!</v>
      </c>
      <c r="AF1509" t="e">
        <f xml:space="preserve">
IF(#REF!&gt;=4,4,0)+
IF(#REF!="yes",3,0)+
IF(#REF!="High Charges",3,0)+
IF(#REF!&gt;250,4,0)+
IF(#REF!="no",1,0)+
IF(#REF!="Heavy Domestic User",2,0)</f>
        <v>#REF!</v>
      </c>
      <c r="AG1509" t="e">
        <f>IF(#REF!&gt;=10,"High Risk", IF(#REF!&gt;=5,"Medium Risk","Low Risk"))</f>
        <v>#REF!</v>
      </c>
      <c r="AH1509" t="e">
        <f>#REF! + #REF! + #REF! + #REF!</f>
        <v>#REF!</v>
      </c>
    </row>
    <row r="1510" spans="1:34" x14ac:dyDescent="0.35">
      <c r="A1510">
        <v>1509</v>
      </c>
      <c r="B1510" t="s">
        <v>20</v>
      </c>
      <c r="C1510">
        <v>72</v>
      </c>
      <c r="D1510" t="s">
        <v>28</v>
      </c>
      <c r="E1510" t="s">
        <v>22</v>
      </c>
      <c r="F1510" t="s">
        <v>22</v>
      </c>
      <c r="G1510">
        <v>0</v>
      </c>
      <c r="H1510">
        <v>138.9</v>
      </c>
      <c r="I1510">
        <v>111</v>
      </c>
      <c r="J1510">
        <v>23.61</v>
      </c>
      <c r="K1510">
        <v>211.6</v>
      </c>
      <c r="L1510">
        <v>102</v>
      </c>
      <c r="M1510">
        <v>17.989999999999998</v>
      </c>
      <c r="N1510">
        <v>179.5</v>
      </c>
      <c r="O1510">
        <v>91</v>
      </c>
      <c r="P1510">
        <v>8.08</v>
      </c>
      <c r="Q1510">
        <v>10.8</v>
      </c>
      <c r="R1510">
        <v>3</v>
      </c>
      <c r="S1510">
        <v>2.92</v>
      </c>
      <c r="T1510">
        <v>1</v>
      </c>
      <c r="U1510" t="s">
        <v>22</v>
      </c>
      <c r="V1510" t="e">
        <f>IF(#REF! = "yes", 1, 0)</f>
        <v>#REF!</v>
      </c>
      <c r="W1510" t="e">
        <f>IF(#REF! &lt;= 1, "0-1 Calls", IF(#REF! &lt;= 3, "2-3 Calls", IF(#REF! &lt;=5, "4-5 Calls", "6+ Calls")))</f>
        <v>#REF!</v>
      </c>
      <c r="X1510" t="e">
        <f>IF(#REF! &lt;= 50, "0-50", IF(#REF! &lt;=100, "51-100", IF(#REF! &lt;= 150, "101-150", "151+")))</f>
        <v>#REF!</v>
      </c>
      <c r="Y1510" t="e">
        <f>IF(#REF! &lt;= 3, "Low Charges", "High Charges")</f>
        <v>#REF!</v>
      </c>
      <c r="Z1510" t="e">
        <f>IF(#REF!&lt;=80,"Low Calls",
IF(#REF!&lt;=120,"Medium Calls","High Calls"))</f>
        <v>#REF!</v>
      </c>
      <c r="AA1510" t="e">
        <f>IF(#REF!&lt;=15,"Low Charges",
IF(#REF!&lt;=20,"Medium Charges","High Charges"))</f>
        <v>#REF!</v>
      </c>
      <c r="AB1510" t="e">
        <f>IF(AND(#REF!&gt;180, #REF!&gt;200), "Heavy Doemstic User", IF(#REF!&gt;10, "Interntional User", IF(AND(#REF!&lt;180, #REF!&lt;200,#REF!&lt;200), "Light User", "Balanced User")))</f>
        <v>#REF!</v>
      </c>
      <c r="AC1510" t="e">
        <f>IF(#REF! = 0, "No Usage", IF(#REF! &lt;= 20, "Low Usage", IF(#REF! &lt;= 40, "Medium Usgae", "High Usage")))</f>
        <v>#REF!</v>
      </c>
      <c r="AD1510" t="e">
        <f>IF(#REF!&lt;=150,"Low Usage", IF(#REF!&lt;=200,"Medium Usage", IF(#REF!&lt;=250,"High Usage","Very High Usage")))</f>
        <v>#REF!</v>
      </c>
      <c r="AE1510" t="e">
        <f>IF(#REF!&lt;=5,"Low Calls", IF(#REF!&lt;=10, "Medium Calls", "High Calls"))</f>
        <v>#REF!</v>
      </c>
      <c r="AF1510" t="e">
        <f xml:space="preserve">
IF(#REF!&gt;=4,4,0)+
IF(#REF!="yes",3,0)+
IF(#REF!="High Charges",3,0)+
IF(#REF!&gt;250,4,0)+
IF(#REF!="no",1,0)+
IF(#REF!="Heavy Domestic User",2,0)</f>
        <v>#REF!</v>
      </c>
      <c r="AG1510" t="e">
        <f>IF(#REF!&gt;=10,"High Risk", IF(#REF!&gt;=5,"Medium Risk","Low Risk"))</f>
        <v>#REF!</v>
      </c>
      <c r="AH1510" t="e">
        <f>#REF! + #REF! + #REF! + #REF!</f>
        <v>#REF!</v>
      </c>
    </row>
    <row r="1511" spans="1:34" x14ac:dyDescent="0.35">
      <c r="A1511">
        <v>1510</v>
      </c>
      <c r="B1511" t="s">
        <v>71</v>
      </c>
      <c r="C1511">
        <v>130</v>
      </c>
      <c r="D1511" t="s">
        <v>25</v>
      </c>
      <c r="E1511" t="s">
        <v>22</v>
      </c>
      <c r="F1511" t="s">
        <v>22</v>
      </c>
      <c r="G1511">
        <v>0</v>
      </c>
      <c r="H1511">
        <v>127</v>
      </c>
      <c r="I1511">
        <v>102</v>
      </c>
      <c r="J1511">
        <v>21.59</v>
      </c>
      <c r="K1511">
        <v>206.9</v>
      </c>
      <c r="L1511">
        <v>107</v>
      </c>
      <c r="M1511">
        <v>17.59</v>
      </c>
      <c r="N1511">
        <v>231.7</v>
      </c>
      <c r="O1511">
        <v>99</v>
      </c>
      <c r="P1511">
        <v>10.43</v>
      </c>
      <c r="Q1511">
        <v>6.1</v>
      </c>
      <c r="R1511">
        <v>6</v>
      </c>
      <c r="S1511">
        <v>1.65</v>
      </c>
      <c r="T1511">
        <v>0</v>
      </c>
      <c r="U1511" t="s">
        <v>22</v>
      </c>
      <c r="V1511" t="e">
        <f>IF(#REF! = "yes", 1, 0)</f>
        <v>#REF!</v>
      </c>
      <c r="W1511" t="e">
        <f>IF(#REF! &lt;= 1, "0-1 Calls", IF(#REF! &lt;= 3, "2-3 Calls", IF(#REF! &lt;=5, "4-5 Calls", "6+ Calls")))</f>
        <v>#REF!</v>
      </c>
      <c r="X1511" t="e">
        <f>IF(#REF! &lt;= 50, "0-50", IF(#REF! &lt;=100, "51-100", IF(#REF! &lt;= 150, "101-150", "151+")))</f>
        <v>#REF!</v>
      </c>
      <c r="Y1511" t="e">
        <f>IF(#REF! &lt;= 3, "Low Charges", "High Charges")</f>
        <v>#REF!</v>
      </c>
      <c r="Z1511" t="e">
        <f>IF(#REF!&lt;=80,"Low Calls",
IF(#REF!&lt;=120,"Medium Calls","High Calls"))</f>
        <v>#REF!</v>
      </c>
      <c r="AA1511" t="e">
        <f>IF(#REF!&lt;=15,"Low Charges",
IF(#REF!&lt;=20,"Medium Charges","High Charges"))</f>
        <v>#REF!</v>
      </c>
      <c r="AB1511" t="e">
        <f>IF(AND(#REF!&gt;180, #REF!&gt;200), "Heavy Doemstic User", IF(#REF!&gt;10, "Interntional User", IF(AND(#REF!&lt;180, #REF!&lt;200,#REF!&lt;200), "Light User", "Balanced User")))</f>
        <v>#REF!</v>
      </c>
      <c r="AC1511" t="e">
        <f>IF(#REF! = 0, "No Usage", IF(#REF! &lt;= 20, "Low Usage", IF(#REF! &lt;= 40, "Medium Usgae", "High Usage")))</f>
        <v>#REF!</v>
      </c>
      <c r="AD1511" t="e">
        <f>IF(#REF!&lt;=150,"Low Usage", IF(#REF!&lt;=200,"Medium Usage", IF(#REF!&lt;=250,"High Usage","Very High Usage")))</f>
        <v>#REF!</v>
      </c>
      <c r="AE1511" t="e">
        <f>IF(#REF!&lt;=5,"Low Calls", IF(#REF!&lt;=10, "Medium Calls", "High Calls"))</f>
        <v>#REF!</v>
      </c>
      <c r="AF1511" t="e">
        <f xml:space="preserve">
IF(#REF!&gt;=4,4,0)+
IF(#REF!="yes",3,0)+
IF(#REF!="High Charges",3,0)+
IF(#REF!&gt;250,4,0)+
IF(#REF!="no",1,0)+
IF(#REF!="Heavy Domestic User",2,0)</f>
        <v>#REF!</v>
      </c>
      <c r="AG1511" t="e">
        <f>IF(#REF!&gt;=10,"High Risk", IF(#REF!&gt;=5,"Medium Risk","Low Risk"))</f>
        <v>#REF!</v>
      </c>
      <c r="AH1511" t="e">
        <f>#REF! + #REF! + #REF! + #REF!</f>
        <v>#REF!</v>
      </c>
    </row>
    <row r="1512" spans="1:34" x14ac:dyDescent="0.35">
      <c r="A1512">
        <v>1511</v>
      </c>
      <c r="B1512" t="s">
        <v>57</v>
      </c>
      <c r="C1512">
        <v>97</v>
      </c>
      <c r="D1512" t="s">
        <v>21</v>
      </c>
      <c r="E1512" t="s">
        <v>22</v>
      </c>
      <c r="F1512" t="s">
        <v>22</v>
      </c>
      <c r="G1512">
        <v>0</v>
      </c>
      <c r="H1512">
        <v>168.6</v>
      </c>
      <c r="I1512">
        <v>87</v>
      </c>
      <c r="J1512">
        <v>28.66</v>
      </c>
      <c r="K1512">
        <v>259.2</v>
      </c>
      <c r="L1512">
        <v>105</v>
      </c>
      <c r="M1512">
        <v>22.03</v>
      </c>
      <c r="N1512">
        <v>279.8</v>
      </c>
      <c r="O1512">
        <v>123</v>
      </c>
      <c r="P1512">
        <v>12.59</v>
      </c>
      <c r="Q1512">
        <v>7.3</v>
      </c>
      <c r="R1512">
        <v>4</v>
      </c>
      <c r="S1512">
        <v>1.97</v>
      </c>
      <c r="T1512">
        <v>1</v>
      </c>
      <c r="U1512" t="s">
        <v>22</v>
      </c>
      <c r="V1512" t="e">
        <f>IF(#REF! = "yes", 1, 0)</f>
        <v>#REF!</v>
      </c>
      <c r="W1512" t="e">
        <f>IF(#REF! &lt;= 1, "0-1 Calls", IF(#REF! &lt;= 3, "2-3 Calls", IF(#REF! &lt;=5, "4-5 Calls", "6+ Calls")))</f>
        <v>#REF!</v>
      </c>
      <c r="X1512" t="e">
        <f>IF(#REF! &lt;= 50, "0-50", IF(#REF! &lt;=100, "51-100", IF(#REF! &lt;= 150, "101-150", "151+")))</f>
        <v>#REF!</v>
      </c>
      <c r="Y1512" t="e">
        <f>IF(#REF! &lt;= 3, "Low Charges", "High Charges")</f>
        <v>#REF!</v>
      </c>
      <c r="Z1512" t="e">
        <f>IF(#REF!&lt;=80,"Low Calls",
IF(#REF!&lt;=120,"Medium Calls","High Calls"))</f>
        <v>#REF!</v>
      </c>
      <c r="AA1512" t="e">
        <f>IF(#REF!&lt;=15,"Low Charges",
IF(#REF!&lt;=20,"Medium Charges","High Charges"))</f>
        <v>#REF!</v>
      </c>
      <c r="AB1512" t="e">
        <f>IF(AND(#REF!&gt;180, #REF!&gt;200), "Heavy Doemstic User", IF(#REF!&gt;10, "Interntional User", IF(AND(#REF!&lt;180, #REF!&lt;200,#REF!&lt;200), "Light User", "Balanced User")))</f>
        <v>#REF!</v>
      </c>
      <c r="AC1512" t="e">
        <f>IF(#REF! = 0, "No Usage", IF(#REF! &lt;= 20, "Low Usage", IF(#REF! &lt;= 40, "Medium Usgae", "High Usage")))</f>
        <v>#REF!</v>
      </c>
      <c r="AD1512" t="e">
        <f>IF(#REF!&lt;=150,"Low Usage", IF(#REF!&lt;=200,"Medium Usage", IF(#REF!&lt;=250,"High Usage","Very High Usage")))</f>
        <v>#REF!</v>
      </c>
      <c r="AE1512" t="e">
        <f>IF(#REF!&lt;=5,"Low Calls", IF(#REF!&lt;=10, "Medium Calls", "High Calls"))</f>
        <v>#REF!</v>
      </c>
      <c r="AF1512" t="e">
        <f xml:space="preserve">
IF(#REF!&gt;=4,4,0)+
IF(#REF!="yes",3,0)+
IF(#REF!="High Charges",3,0)+
IF(#REF!&gt;250,4,0)+
IF(#REF!="no",1,0)+
IF(#REF!="Heavy Domestic User",2,0)</f>
        <v>#REF!</v>
      </c>
      <c r="AG1512" t="e">
        <f>IF(#REF!&gt;=10,"High Risk", IF(#REF!&gt;=5,"Medium Risk","Low Risk"))</f>
        <v>#REF!</v>
      </c>
      <c r="AH1512" t="e">
        <f>#REF! + #REF! + #REF! + #REF!</f>
        <v>#REF!</v>
      </c>
    </row>
    <row r="1513" spans="1:34" x14ac:dyDescent="0.35">
      <c r="A1513">
        <v>1512</v>
      </c>
      <c r="B1513" t="s">
        <v>36</v>
      </c>
      <c r="C1513">
        <v>54</v>
      </c>
      <c r="D1513" t="s">
        <v>21</v>
      </c>
      <c r="E1513" t="s">
        <v>22</v>
      </c>
      <c r="F1513" t="s">
        <v>22</v>
      </c>
      <c r="G1513">
        <v>0</v>
      </c>
      <c r="H1513">
        <v>286.60000000000002</v>
      </c>
      <c r="I1513">
        <v>73</v>
      </c>
      <c r="J1513">
        <v>48.72</v>
      </c>
      <c r="K1513">
        <v>223.2</v>
      </c>
      <c r="L1513">
        <v>108</v>
      </c>
      <c r="M1513">
        <v>18.97</v>
      </c>
      <c r="N1513">
        <v>203.7</v>
      </c>
      <c r="O1513">
        <v>107</v>
      </c>
      <c r="P1513">
        <v>9.17</v>
      </c>
      <c r="Q1513">
        <v>11.5</v>
      </c>
      <c r="R1513">
        <v>5</v>
      </c>
      <c r="S1513">
        <v>3.11</v>
      </c>
      <c r="T1513">
        <v>1</v>
      </c>
      <c r="U1513" t="s">
        <v>23</v>
      </c>
      <c r="V1513" t="e">
        <f>IF(#REF! = "yes", 1, 0)</f>
        <v>#REF!</v>
      </c>
      <c r="W1513" t="e">
        <f>IF(#REF! &lt;= 1, "0-1 Calls", IF(#REF! &lt;= 3, "2-3 Calls", IF(#REF! &lt;=5, "4-5 Calls", "6+ Calls")))</f>
        <v>#REF!</v>
      </c>
      <c r="X1513" t="e">
        <f>IF(#REF! &lt;= 50, "0-50", IF(#REF! &lt;=100, "51-100", IF(#REF! &lt;= 150, "101-150", "151+")))</f>
        <v>#REF!</v>
      </c>
      <c r="Y1513" t="e">
        <f>IF(#REF! &lt;= 3, "Low Charges", "High Charges")</f>
        <v>#REF!</v>
      </c>
      <c r="Z1513" t="e">
        <f>IF(#REF!&lt;=80,"Low Calls",
IF(#REF!&lt;=120,"Medium Calls","High Calls"))</f>
        <v>#REF!</v>
      </c>
      <c r="AA1513" t="e">
        <f>IF(#REF!&lt;=15,"Low Charges",
IF(#REF!&lt;=20,"Medium Charges","High Charges"))</f>
        <v>#REF!</v>
      </c>
      <c r="AB1513" t="e">
        <f>IF(AND(#REF!&gt;180, #REF!&gt;200), "Heavy Doemstic User", IF(#REF!&gt;10, "Interntional User", IF(AND(#REF!&lt;180, #REF!&lt;200,#REF!&lt;200), "Light User", "Balanced User")))</f>
        <v>#REF!</v>
      </c>
      <c r="AC1513" t="e">
        <f>IF(#REF! = 0, "No Usage", IF(#REF! &lt;= 20, "Low Usage", IF(#REF! &lt;= 40, "Medium Usgae", "High Usage")))</f>
        <v>#REF!</v>
      </c>
      <c r="AD1513" t="e">
        <f>IF(#REF!&lt;=150,"Low Usage", IF(#REF!&lt;=200,"Medium Usage", IF(#REF!&lt;=250,"High Usage","Very High Usage")))</f>
        <v>#REF!</v>
      </c>
      <c r="AE1513" t="e">
        <f>IF(#REF!&lt;=5,"Low Calls", IF(#REF!&lt;=10, "Medium Calls", "High Calls"))</f>
        <v>#REF!</v>
      </c>
      <c r="AF1513" t="e">
        <f xml:space="preserve">
IF(#REF!&gt;=4,4,0)+
IF(#REF!="yes",3,0)+
IF(#REF!="High Charges",3,0)+
IF(#REF!&gt;250,4,0)+
IF(#REF!="no",1,0)+
IF(#REF!="Heavy Domestic User",2,0)</f>
        <v>#REF!</v>
      </c>
      <c r="AG1513" t="e">
        <f>IF(#REF!&gt;=10,"High Risk", IF(#REF!&gt;=5,"Medium Risk","Low Risk"))</f>
        <v>#REF!</v>
      </c>
      <c r="AH1513" t="e">
        <f>#REF! + #REF! + #REF! + #REF!</f>
        <v>#REF!</v>
      </c>
    </row>
    <row r="1514" spans="1:34" x14ac:dyDescent="0.35">
      <c r="A1514">
        <v>1513</v>
      </c>
      <c r="B1514" t="s">
        <v>48</v>
      </c>
      <c r="C1514">
        <v>160</v>
      </c>
      <c r="D1514" t="s">
        <v>21</v>
      </c>
      <c r="E1514" t="s">
        <v>22</v>
      </c>
      <c r="F1514" t="s">
        <v>23</v>
      </c>
      <c r="G1514">
        <v>29</v>
      </c>
      <c r="H1514">
        <v>164.6</v>
      </c>
      <c r="I1514">
        <v>121</v>
      </c>
      <c r="J1514">
        <v>27.98</v>
      </c>
      <c r="K1514">
        <v>262.8</v>
      </c>
      <c r="L1514">
        <v>108</v>
      </c>
      <c r="M1514">
        <v>22.34</v>
      </c>
      <c r="N1514">
        <v>123.8</v>
      </c>
      <c r="O1514">
        <v>131</v>
      </c>
      <c r="P1514">
        <v>5.57</v>
      </c>
      <c r="Q1514">
        <v>15.2</v>
      </c>
      <c r="R1514">
        <v>4</v>
      </c>
      <c r="S1514">
        <v>4.0999999999999996</v>
      </c>
      <c r="T1514">
        <v>1</v>
      </c>
      <c r="U1514" t="s">
        <v>22</v>
      </c>
      <c r="V1514" t="e">
        <f>IF(#REF! = "yes", 1, 0)</f>
        <v>#REF!</v>
      </c>
      <c r="W1514" t="e">
        <f>IF(#REF! &lt;= 1, "0-1 Calls", IF(#REF! &lt;= 3, "2-3 Calls", IF(#REF! &lt;=5, "4-5 Calls", "6+ Calls")))</f>
        <v>#REF!</v>
      </c>
      <c r="X1514" t="e">
        <f>IF(#REF! &lt;= 50, "0-50", IF(#REF! &lt;=100, "51-100", IF(#REF! &lt;= 150, "101-150", "151+")))</f>
        <v>#REF!</v>
      </c>
      <c r="Y1514" t="e">
        <f>IF(#REF! &lt;= 3, "Low Charges", "High Charges")</f>
        <v>#REF!</v>
      </c>
      <c r="Z1514" t="e">
        <f>IF(#REF!&lt;=80,"Low Calls",
IF(#REF!&lt;=120,"Medium Calls","High Calls"))</f>
        <v>#REF!</v>
      </c>
      <c r="AA1514" t="e">
        <f>IF(#REF!&lt;=15,"Low Charges",
IF(#REF!&lt;=20,"Medium Charges","High Charges"))</f>
        <v>#REF!</v>
      </c>
      <c r="AB1514" t="e">
        <f>IF(AND(#REF!&gt;180, #REF!&gt;200), "Heavy Doemstic User", IF(#REF!&gt;10, "Interntional User", IF(AND(#REF!&lt;180, #REF!&lt;200,#REF!&lt;200), "Light User", "Balanced User")))</f>
        <v>#REF!</v>
      </c>
      <c r="AC1514" t="e">
        <f>IF(#REF! = 0, "No Usage", IF(#REF! &lt;= 20, "Low Usage", IF(#REF! &lt;= 40, "Medium Usgae", "High Usage")))</f>
        <v>#REF!</v>
      </c>
      <c r="AD1514" t="e">
        <f>IF(#REF!&lt;=150,"Low Usage", IF(#REF!&lt;=200,"Medium Usage", IF(#REF!&lt;=250,"High Usage","Very High Usage")))</f>
        <v>#REF!</v>
      </c>
      <c r="AE1514" t="e">
        <f>IF(#REF!&lt;=5,"Low Calls", IF(#REF!&lt;=10, "Medium Calls", "High Calls"))</f>
        <v>#REF!</v>
      </c>
      <c r="AF1514" t="e">
        <f xml:space="preserve">
IF(#REF!&gt;=4,4,0)+
IF(#REF!="yes",3,0)+
IF(#REF!="High Charges",3,0)+
IF(#REF!&gt;250,4,0)+
IF(#REF!="no",1,0)+
IF(#REF!="Heavy Domestic User",2,0)</f>
        <v>#REF!</v>
      </c>
      <c r="AG1514" t="e">
        <f>IF(#REF!&gt;=10,"High Risk", IF(#REF!&gt;=5,"Medium Risk","Low Risk"))</f>
        <v>#REF!</v>
      </c>
      <c r="AH1514" t="e">
        <f>#REF! + #REF! + #REF! + #REF!</f>
        <v>#REF!</v>
      </c>
    </row>
    <row r="1515" spans="1:34" x14ac:dyDescent="0.35">
      <c r="A1515">
        <v>1514</v>
      </c>
      <c r="B1515" t="s">
        <v>39</v>
      </c>
      <c r="C1515">
        <v>79</v>
      </c>
      <c r="D1515" t="s">
        <v>21</v>
      </c>
      <c r="E1515" t="s">
        <v>22</v>
      </c>
      <c r="F1515" t="s">
        <v>22</v>
      </c>
      <c r="G1515">
        <v>0</v>
      </c>
      <c r="H1515">
        <v>144</v>
      </c>
      <c r="I1515">
        <v>90</v>
      </c>
      <c r="J1515">
        <v>24.48</v>
      </c>
      <c r="K1515">
        <v>135.80000000000001</v>
      </c>
      <c r="L1515">
        <v>91</v>
      </c>
      <c r="M1515">
        <v>11.54</v>
      </c>
      <c r="N1515">
        <v>212.4</v>
      </c>
      <c r="O1515">
        <v>129</v>
      </c>
      <c r="P1515">
        <v>9.56</v>
      </c>
      <c r="Q1515">
        <v>13</v>
      </c>
      <c r="R1515">
        <v>4</v>
      </c>
      <c r="S1515">
        <v>3.51</v>
      </c>
      <c r="T1515">
        <v>1</v>
      </c>
      <c r="U1515" t="s">
        <v>22</v>
      </c>
      <c r="V1515" t="e">
        <f>IF(#REF! = "yes", 1, 0)</f>
        <v>#REF!</v>
      </c>
      <c r="W1515" t="e">
        <f>IF(#REF! &lt;= 1, "0-1 Calls", IF(#REF! &lt;= 3, "2-3 Calls", IF(#REF! &lt;=5, "4-5 Calls", "6+ Calls")))</f>
        <v>#REF!</v>
      </c>
      <c r="X1515" t="e">
        <f>IF(#REF! &lt;= 50, "0-50", IF(#REF! &lt;=100, "51-100", IF(#REF! &lt;= 150, "101-150", "151+")))</f>
        <v>#REF!</v>
      </c>
      <c r="Y1515" t="e">
        <f>IF(#REF! &lt;= 3, "Low Charges", "High Charges")</f>
        <v>#REF!</v>
      </c>
      <c r="Z1515" t="e">
        <f>IF(#REF!&lt;=80,"Low Calls",
IF(#REF!&lt;=120,"Medium Calls","High Calls"))</f>
        <v>#REF!</v>
      </c>
      <c r="AA1515" t="e">
        <f>IF(#REF!&lt;=15,"Low Charges",
IF(#REF!&lt;=20,"Medium Charges","High Charges"))</f>
        <v>#REF!</v>
      </c>
      <c r="AB1515" t="e">
        <f>IF(AND(#REF!&gt;180, #REF!&gt;200), "Heavy Doemstic User", IF(#REF!&gt;10, "Interntional User", IF(AND(#REF!&lt;180, #REF!&lt;200,#REF!&lt;200), "Light User", "Balanced User")))</f>
        <v>#REF!</v>
      </c>
      <c r="AC1515" t="e">
        <f>IF(#REF! = 0, "No Usage", IF(#REF! &lt;= 20, "Low Usage", IF(#REF! &lt;= 40, "Medium Usgae", "High Usage")))</f>
        <v>#REF!</v>
      </c>
      <c r="AD1515" t="e">
        <f>IF(#REF!&lt;=150,"Low Usage", IF(#REF!&lt;=200,"Medium Usage", IF(#REF!&lt;=250,"High Usage","Very High Usage")))</f>
        <v>#REF!</v>
      </c>
      <c r="AE1515" t="e">
        <f>IF(#REF!&lt;=5,"Low Calls", IF(#REF!&lt;=10, "Medium Calls", "High Calls"))</f>
        <v>#REF!</v>
      </c>
      <c r="AF1515" t="e">
        <f xml:space="preserve">
IF(#REF!&gt;=4,4,0)+
IF(#REF!="yes",3,0)+
IF(#REF!="High Charges",3,0)+
IF(#REF!&gt;250,4,0)+
IF(#REF!="no",1,0)+
IF(#REF!="Heavy Domestic User",2,0)</f>
        <v>#REF!</v>
      </c>
      <c r="AG1515" t="e">
        <f>IF(#REF!&gt;=10,"High Risk", IF(#REF!&gt;=5,"Medium Risk","Low Risk"))</f>
        <v>#REF!</v>
      </c>
      <c r="AH1515" t="e">
        <f>#REF! + #REF! + #REF! + #REF!</f>
        <v>#REF!</v>
      </c>
    </row>
    <row r="1516" spans="1:34" x14ac:dyDescent="0.35">
      <c r="A1516">
        <v>1515</v>
      </c>
      <c r="B1516" t="s">
        <v>31</v>
      </c>
      <c r="C1516">
        <v>92</v>
      </c>
      <c r="D1516" t="s">
        <v>21</v>
      </c>
      <c r="E1516" t="s">
        <v>22</v>
      </c>
      <c r="F1516" t="s">
        <v>23</v>
      </c>
      <c r="G1516">
        <v>47</v>
      </c>
      <c r="H1516">
        <v>141.6</v>
      </c>
      <c r="I1516">
        <v>95</v>
      </c>
      <c r="J1516">
        <v>24.07</v>
      </c>
      <c r="K1516">
        <v>207.9</v>
      </c>
      <c r="L1516">
        <v>130</v>
      </c>
      <c r="M1516">
        <v>17.670000000000002</v>
      </c>
      <c r="N1516">
        <v>203.6</v>
      </c>
      <c r="O1516">
        <v>95</v>
      </c>
      <c r="P1516">
        <v>9.16</v>
      </c>
      <c r="Q1516">
        <v>10.199999999999999</v>
      </c>
      <c r="R1516">
        <v>11</v>
      </c>
      <c r="S1516">
        <v>2.75</v>
      </c>
      <c r="T1516">
        <v>0</v>
      </c>
      <c r="U1516" t="s">
        <v>22</v>
      </c>
      <c r="V1516" t="e">
        <f>IF(#REF! = "yes", 1, 0)</f>
        <v>#REF!</v>
      </c>
      <c r="W1516" t="e">
        <f>IF(#REF! &lt;= 1, "0-1 Calls", IF(#REF! &lt;= 3, "2-3 Calls", IF(#REF! &lt;=5, "4-5 Calls", "6+ Calls")))</f>
        <v>#REF!</v>
      </c>
      <c r="X1516" t="e">
        <f>IF(#REF! &lt;= 50, "0-50", IF(#REF! &lt;=100, "51-100", IF(#REF! &lt;= 150, "101-150", "151+")))</f>
        <v>#REF!</v>
      </c>
      <c r="Y1516" t="e">
        <f>IF(#REF! &lt;= 3, "Low Charges", "High Charges")</f>
        <v>#REF!</v>
      </c>
      <c r="Z1516" t="e">
        <f>IF(#REF!&lt;=80,"Low Calls",
IF(#REF!&lt;=120,"Medium Calls","High Calls"))</f>
        <v>#REF!</v>
      </c>
      <c r="AA1516" t="e">
        <f>IF(#REF!&lt;=15,"Low Charges",
IF(#REF!&lt;=20,"Medium Charges","High Charges"))</f>
        <v>#REF!</v>
      </c>
      <c r="AB1516" t="e">
        <f>IF(AND(#REF!&gt;180, #REF!&gt;200), "Heavy Doemstic User", IF(#REF!&gt;10, "Interntional User", IF(AND(#REF!&lt;180, #REF!&lt;200,#REF!&lt;200), "Light User", "Balanced User")))</f>
        <v>#REF!</v>
      </c>
      <c r="AC1516" t="e">
        <f>IF(#REF! = 0, "No Usage", IF(#REF! &lt;= 20, "Low Usage", IF(#REF! &lt;= 40, "Medium Usgae", "High Usage")))</f>
        <v>#REF!</v>
      </c>
      <c r="AD1516" t="e">
        <f>IF(#REF!&lt;=150,"Low Usage", IF(#REF!&lt;=200,"Medium Usage", IF(#REF!&lt;=250,"High Usage","Very High Usage")))</f>
        <v>#REF!</v>
      </c>
      <c r="AE1516" t="e">
        <f>IF(#REF!&lt;=5,"Low Calls", IF(#REF!&lt;=10, "Medium Calls", "High Calls"))</f>
        <v>#REF!</v>
      </c>
      <c r="AF1516" t="e">
        <f xml:space="preserve">
IF(#REF!&gt;=4,4,0)+
IF(#REF!="yes",3,0)+
IF(#REF!="High Charges",3,0)+
IF(#REF!&gt;250,4,0)+
IF(#REF!="no",1,0)+
IF(#REF!="Heavy Domestic User",2,0)</f>
        <v>#REF!</v>
      </c>
      <c r="AG1516" t="e">
        <f>IF(#REF!&gt;=10,"High Risk", IF(#REF!&gt;=5,"Medium Risk","Low Risk"))</f>
        <v>#REF!</v>
      </c>
      <c r="AH1516" t="e">
        <f>#REF! + #REF! + #REF! + #REF!</f>
        <v>#REF!</v>
      </c>
    </row>
    <row r="1517" spans="1:34" x14ac:dyDescent="0.35">
      <c r="A1517">
        <v>1516</v>
      </c>
      <c r="B1517" t="s">
        <v>75</v>
      </c>
      <c r="C1517">
        <v>132</v>
      </c>
      <c r="D1517" t="s">
        <v>28</v>
      </c>
      <c r="E1517" t="s">
        <v>22</v>
      </c>
      <c r="F1517" t="s">
        <v>22</v>
      </c>
      <c r="G1517">
        <v>0</v>
      </c>
      <c r="H1517">
        <v>163.19999999999999</v>
      </c>
      <c r="I1517">
        <v>80</v>
      </c>
      <c r="J1517">
        <v>27.74</v>
      </c>
      <c r="K1517">
        <v>167.6</v>
      </c>
      <c r="L1517">
        <v>90</v>
      </c>
      <c r="M1517">
        <v>14.25</v>
      </c>
      <c r="N1517">
        <v>87.5</v>
      </c>
      <c r="O1517">
        <v>90</v>
      </c>
      <c r="P1517">
        <v>3.94</v>
      </c>
      <c r="Q1517">
        <v>6.2</v>
      </c>
      <c r="R1517">
        <v>10</v>
      </c>
      <c r="S1517">
        <v>1.67</v>
      </c>
      <c r="T1517">
        <v>1</v>
      </c>
      <c r="U1517" t="s">
        <v>22</v>
      </c>
      <c r="V1517" t="e">
        <f>IF(#REF! = "yes", 1, 0)</f>
        <v>#REF!</v>
      </c>
      <c r="W1517" t="e">
        <f>IF(#REF! &lt;= 1, "0-1 Calls", IF(#REF! &lt;= 3, "2-3 Calls", IF(#REF! &lt;=5, "4-5 Calls", "6+ Calls")))</f>
        <v>#REF!</v>
      </c>
      <c r="X1517" t="e">
        <f>IF(#REF! &lt;= 50, "0-50", IF(#REF! &lt;=100, "51-100", IF(#REF! &lt;= 150, "101-150", "151+")))</f>
        <v>#REF!</v>
      </c>
      <c r="Y1517" t="e">
        <f>IF(#REF! &lt;= 3, "Low Charges", "High Charges")</f>
        <v>#REF!</v>
      </c>
      <c r="Z1517" t="e">
        <f>IF(#REF!&lt;=80,"Low Calls",
IF(#REF!&lt;=120,"Medium Calls","High Calls"))</f>
        <v>#REF!</v>
      </c>
      <c r="AA1517" t="e">
        <f>IF(#REF!&lt;=15,"Low Charges",
IF(#REF!&lt;=20,"Medium Charges","High Charges"))</f>
        <v>#REF!</v>
      </c>
      <c r="AB1517" t="e">
        <f>IF(AND(#REF!&gt;180, #REF!&gt;200), "Heavy Doemstic User", IF(#REF!&gt;10, "Interntional User", IF(AND(#REF!&lt;180, #REF!&lt;200,#REF!&lt;200), "Light User", "Balanced User")))</f>
        <v>#REF!</v>
      </c>
      <c r="AC1517" t="e">
        <f>IF(#REF! = 0, "No Usage", IF(#REF! &lt;= 20, "Low Usage", IF(#REF! &lt;= 40, "Medium Usgae", "High Usage")))</f>
        <v>#REF!</v>
      </c>
      <c r="AD1517" t="e">
        <f>IF(#REF!&lt;=150,"Low Usage", IF(#REF!&lt;=200,"Medium Usage", IF(#REF!&lt;=250,"High Usage","Very High Usage")))</f>
        <v>#REF!</v>
      </c>
      <c r="AE1517" t="e">
        <f>IF(#REF!&lt;=5,"Low Calls", IF(#REF!&lt;=10, "Medium Calls", "High Calls"))</f>
        <v>#REF!</v>
      </c>
      <c r="AF1517" t="e">
        <f xml:space="preserve">
IF(#REF!&gt;=4,4,0)+
IF(#REF!="yes",3,0)+
IF(#REF!="High Charges",3,0)+
IF(#REF!&gt;250,4,0)+
IF(#REF!="no",1,0)+
IF(#REF!="Heavy Domestic User",2,0)</f>
        <v>#REF!</v>
      </c>
      <c r="AG1517" t="e">
        <f>IF(#REF!&gt;=10,"High Risk", IF(#REF!&gt;=5,"Medium Risk","Low Risk"))</f>
        <v>#REF!</v>
      </c>
      <c r="AH1517" t="e">
        <f>#REF! + #REF! + #REF! + #REF!</f>
        <v>#REF!</v>
      </c>
    </row>
    <row r="1518" spans="1:34" x14ac:dyDescent="0.35">
      <c r="A1518">
        <v>1517</v>
      </c>
      <c r="B1518" t="s">
        <v>57</v>
      </c>
      <c r="C1518">
        <v>93</v>
      </c>
      <c r="D1518" t="s">
        <v>21</v>
      </c>
      <c r="E1518" t="s">
        <v>22</v>
      </c>
      <c r="F1518" t="s">
        <v>22</v>
      </c>
      <c r="G1518">
        <v>0</v>
      </c>
      <c r="H1518">
        <v>176.1</v>
      </c>
      <c r="I1518">
        <v>103</v>
      </c>
      <c r="J1518">
        <v>29.94</v>
      </c>
      <c r="K1518">
        <v>199.7</v>
      </c>
      <c r="L1518">
        <v>130</v>
      </c>
      <c r="M1518">
        <v>16.97</v>
      </c>
      <c r="N1518">
        <v>263.89999999999998</v>
      </c>
      <c r="O1518">
        <v>96</v>
      </c>
      <c r="P1518">
        <v>11.88</v>
      </c>
      <c r="Q1518">
        <v>8.5</v>
      </c>
      <c r="R1518">
        <v>6</v>
      </c>
      <c r="S1518">
        <v>2.2999999999999998</v>
      </c>
      <c r="T1518">
        <v>2</v>
      </c>
      <c r="U1518" t="s">
        <v>22</v>
      </c>
      <c r="V1518" t="e">
        <f>IF(#REF! = "yes", 1, 0)</f>
        <v>#REF!</v>
      </c>
      <c r="W1518" t="e">
        <f>IF(#REF! &lt;= 1, "0-1 Calls", IF(#REF! &lt;= 3, "2-3 Calls", IF(#REF! &lt;=5, "4-5 Calls", "6+ Calls")))</f>
        <v>#REF!</v>
      </c>
      <c r="X1518" t="e">
        <f>IF(#REF! &lt;= 50, "0-50", IF(#REF! &lt;=100, "51-100", IF(#REF! &lt;= 150, "101-150", "151+")))</f>
        <v>#REF!</v>
      </c>
      <c r="Y1518" t="e">
        <f>IF(#REF! &lt;= 3, "Low Charges", "High Charges")</f>
        <v>#REF!</v>
      </c>
      <c r="Z1518" t="e">
        <f>IF(#REF!&lt;=80,"Low Calls",
IF(#REF!&lt;=120,"Medium Calls","High Calls"))</f>
        <v>#REF!</v>
      </c>
      <c r="AA1518" t="e">
        <f>IF(#REF!&lt;=15,"Low Charges",
IF(#REF!&lt;=20,"Medium Charges","High Charges"))</f>
        <v>#REF!</v>
      </c>
      <c r="AB1518" t="e">
        <f>IF(AND(#REF!&gt;180, #REF!&gt;200), "Heavy Doemstic User", IF(#REF!&gt;10, "Interntional User", IF(AND(#REF!&lt;180, #REF!&lt;200,#REF!&lt;200), "Light User", "Balanced User")))</f>
        <v>#REF!</v>
      </c>
      <c r="AC1518" t="e">
        <f>IF(#REF! = 0, "No Usage", IF(#REF! &lt;= 20, "Low Usage", IF(#REF! &lt;= 40, "Medium Usgae", "High Usage")))</f>
        <v>#REF!</v>
      </c>
      <c r="AD1518" t="e">
        <f>IF(#REF!&lt;=150,"Low Usage", IF(#REF!&lt;=200,"Medium Usage", IF(#REF!&lt;=250,"High Usage","Very High Usage")))</f>
        <v>#REF!</v>
      </c>
      <c r="AE1518" t="e">
        <f>IF(#REF!&lt;=5,"Low Calls", IF(#REF!&lt;=10, "Medium Calls", "High Calls"))</f>
        <v>#REF!</v>
      </c>
      <c r="AF1518" t="e">
        <f xml:space="preserve">
IF(#REF!&gt;=4,4,0)+
IF(#REF!="yes",3,0)+
IF(#REF!="High Charges",3,0)+
IF(#REF!&gt;250,4,0)+
IF(#REF!="no",1,0)+
IF(#REF!="Heavy Domestic User",2,0)</f>
        <v>#REF!</v>
      </c>
      <c r="AG1518" t="e">
        <f>IF(#REF!&gt;=10,"High Risk", IF(#REF!&gt;=5,"Medium Risk","Low Risk"))</f>
        <v>#REF!</v>
      </c>
      <c r="AH1518" t="e">
        <f>#REF! + #REF! + #REF! + #REF!</f>
        <v>#REF!</v>
      </c>
    </row>
    <row r="1519" spans="1:34" x14ac:dyDescent="0.35">
      <c r="A1519">
        <v>1518</v>
      </c>
      <c r="B1519" t="s">
        <v>47</v>
      </c>
      <c r="C1519">
        <v>101</v>
      </c>
      <c r="D1519" t="s">
        <v>28</v>
      </c>
      <c r="E1519" t="s">
        <v>22</v>
      </c>
      <c r="F1519" t="s">
        <v>22</v>
      </c>
      <c r="G1519">
        <v>0</v>
      </c>
      <c r="H1519">
        <v>174.9</v>
      </c>
      <c r="I1519">
        <v>105</v>
      </c>
      <c r="J1519">
        <v>29.73</v>
      </c>
      <c r="K1519">
        <v>262</v>
      </c>
      <c r="L1519">
        <v>75</v>
      </c>
      <c r="M1519">
        <v>22.27</v>
      </c>
      <c r="N1519">
        <v>210</v>
      </c>
      <c r="O1519">
        <v>93</v>
      </c>
      <c r="P1519">
        <v>9.4499999999999993</v>
      </c>
      <c r="Q1519">
        <v>8.5</v>
      </c>
      <c r="R1519">
        <v>5</v>
      </c>
      <c r="S1519">
        <v>2.2999999999999998</v>
      </c>
      <c r="T1519">
        <v>1</v>
      </c>
      <c r="U1519" t="s">
        <v>22</v>
      </c>
      <c r="V1519" t="e">
        <f>IF(#REF! = "yes", 1, 0)</f>
        <v>#REF!</v>
      </c>
      <c r="W1519" t="e">
        <f>IF(#REF! &lt;= 1, "0-1 Calls", IF(#REF! &lt;= 3, "2-3 Calls", IF(#REF! &lt;=5, "4-5 Calls", "6+ Calls")))</f>
        <v>#REF!</v>
      </c>
      <c r="X1519" t="e">
        <f>IF(#REF! &lt;= 50, "0-50", IF(#REF! &lt;=100, "51-100", IF(#REF! &lt;= 150, "101-150", "151+")))</f>
        <v>#REF!</v>
      </c>
      <c r="Y1519" t="e">
        <f>IF(#REF! &lt;= 3, "Low Charges", "High Charges")</f>
        <v>#REF!</v>
      </c>
      <c r="Z1519" t="e">
        <f>IF(#REF!&lt;=80,"Low Calls",
IF(#REF!&lt;=120,"Medium Calls","High Calls"))</f>
        <v>#REF!</v>
      </c>
      <c r="AA1519" t="e">
        <f>IF(#REF!&lt;=15,"Low Charges",
IF(#REF!&lt;=20,"Medium Charges","High Charges"))</f>
        <v>#REF!</v>
      </c>
      <c r="AB1519" t="e">
        <f>IF(AND(#REF!&gt;180, #REF!&gt;200), "Heavy Doemstic User", IF(#REF!&gt;10, "Interntional User", IF(AND(#REF!&lt;180, #REF!&lt;200,#REF!&lt;200), "Light User", "Balanced User")))</f>
        <v>#REF!</v>
      </c>
      <c r="AC1519" t="e">
        <f>IF(#REF! = 0, "No Usage", IF(#REF! &lt;= 20, "Low Usage", IF(#REF! &lt;= 40, "Medium Usgae", "High Usage")))</f>
        <v>#REF!</v>
      </c>
      <c r="AD1519" t="e">
        <f>IF(#REF!&lt;=150,"Low Usage", IF(#REF!&lt;=200,"Medium Usage", IF(#REF!&lt;=250,"High Usage","Very High Usage")))</f>
        <v>#REF!</v>
      </c>
      <c r="AE1519" t="e">
        <f>IF(#REF!&lt;=5,"Low Calls", IF(#REF!&lt;=10, "Medium Calls", "High Calls"))</f>
        <v>#REF!</v>
      </c>
      <c r="AF1519" t="e">
        <f xml:space="preserve">
IF(#REF!&gt;=4,4,0)+
IF(#REF!="yes",3,0)+
IF(#REF!="High Charges",3,0)+
IF(#REF!&gt;250,4,0)+
IF(#REF!="no",1,0)+
IF(#REF!="Heavy Domestic User",2,0)</f>
        <v>#REF!</v>
      </c>
      <c r="AG1519" t="e">
        <f>IF(#REF!&gt;=10,"High Risk", IF(#REF!&gt;=5,"Medium Risk","Low Risk"))</f>
        <v>#REF!</v>
      </c>
      <c r="AH1519" t="e">
        <f>#REF! + #REF! + #REF! + #REF!</f>
        <v>#REF!</v>
      </c>
    </row>
    <row r="1520" spans="1:34" x14ac:dyDescent="0.35">
      <c r="A1520">
        <v>1519</v>
      </c>
      <c r="B1520" t="s">
        <v>74</v>
      </c>
      <c r="C1520">
        <v>125</v>
      </c>
      <c r="D1520" t="s">
        <v>21</v>
      </c>
      <c r="E1520" t="s">
        <v>23</v>
      </c>
      <c r="F1520" t="s">
        <v>22</v>
      </c>
      <c r="G1520">
        <v>0</v>
      </c>
      <c r="H1520">
        <v>187.3</v>
      </c>
      <c r="I1520">
        <v>118</v>
      </c>
      <c r="J1520">
        <v>31.84</v>
      </c>
      <c r="K1520">
        <v>160.69999999999999</v>
      </c>
      <c r="L1520">
        <v>111</v>
      </c>
      <c r="M1520">
        <v>13.66</v>
      </c>
      <c r="N1520">
        <v>263.8</v>
      </c>
      <c r="O1520">
        <v>112</v>
      </c>
      <c r="P1520">
        <v>11.87</v>
      </c>
      <c r="Q1520">
        <v>9.6</v>
      </c>
      <c r="R1520">
        <v>2</v>
      </c>
      <c r="S1520">
        <v>2.59</v>
      </c>
      <c r="T1520">
        <v>0</v>
      </c>
      <c r="U1520" t="s">
        <v>23</v>
      </c>
      <c r="V1520" t="e">
        <f>IF(#REF! = "yes", 1, 0)</f>
        <v>#REF!</v>
      </c>
      <c r="W1520" t="e">
        <f>IF(#REF! &lt;= 1, "0-1 Calls", IF(#REF! &lt;= 3, "2-3 Calls", IF(#REF! &lt;=5, "4-5 Calls", "6+ Calls")))</f>
        <v>#REF!</v>
      </c>
      <c r="X1520" t="e">
        <f>IF(#REF! &lt;= 50, "0-50", IF(#REF! &lt;=100, "51-100", IF(#REF! &lt;= 150, "101-150", "151+")))</f>
        <v>#REF!</v>
      </c>
      <c r="Y1520" t="e">
        <f>IF(#REF! &lt;= 3, "Low Charges", "High Charges")</f>
        <v>#REF!</v>
      </c>
      <c r="Z1520" t="e">
        <f>IF(#REF!&lt;=80,"Low Calls",
IF(#REF!&lt;=120,"Medium Calls","High Calls"))</f>
        <v>#REF!</v>
      </c>
      <c r="AA1520" t="e">
        <f>IF(#REF!&lt;=15,"Low Charges",
IF(#REF!&lt;=20,"Medium Charges","High Charges"))</f>
        <v>#REF!</v>
      </c>
      <c r="AB1520" t="e">
        <f>IF(AND(#REF!&gt;180, #REF!&gt;200), "Heavy Doemstic User", IF(#REF!&gt;10, "Interntional User", IF(AND(#REF!&lt;180, #REF!&lt;200,#REF!&lt;200), "Light User", "Balanced User")))</f>
        <v>#REF!</v>
      </c>
      <c r="AC1520" t="e">
        <f>IF(#REF! = 0, "No Usage", IF(#REF! &lt;= 20, "Low Usage", IF(#REF! &lt;= 40, "Medium Usgae", "High Usage")))</f>
        <v>#REF!</v>
      </c>
      <c r="AD1520" t="e">
        <f>IF(#REF!&lt;=150,"Low Usage", IF(#REF!&lt;=200,"Medium Usage", IF(#REF!&lt;=250,"High Usage","Very High Usage")))</f>
        <v>#REF!</v>
      </c>
      <c r="AE1520" t="e">
        <f>IF(#REF!&lt;=5,"Low Calls", IF(#REF!&lt;=10, "Medium Calls", "High Calls"))</f>
        <v>#REF!</v>
      </c>
      <c r="AF1520" t="e">
        <f xml:space="preserve">
IF(#REF!&gt;=4,4,0)+
IF(#REF!="yes",3,0)+
IF(#REF!="High Charges",3,0)+
IF(#REF!&gt;250,4,0)+
IF(#REF!="no",1,0)+
IF(#REF!="Heavy Domestic User",2,0)</f>
        <v>#REF!</v>
      </c>
      <c r="AG1520" t="e">
        <f>IF(#REF!&gt;=10,"High Risk", IF(#REF!&gt;=5,"Medium Risk","Low Risk"))</f>
        <v>#REF!</v>
      </c>
      <c r="AH1520" t="e">
        <f>#REF! + #REF! + #REF! + #REF!</f>
        <v>#REF!</v>
      </c>
    </row>
    <row r="1521" spans="1:34" x14ac:dyDescent="0.35">
      <c r="A1521">
        <v>1520</v>
      </c>
      <c r="B1521" t="s">
        <v>41</v>
      </c>
      <c r="C1521">
        <v>63</v>
      </c>
      <c r="D1521" t="s">
        <v>21</v>
      </c>
      <c r="E1521" t="s">
        <v>22</v>
      </c>
      <c r="F1521" t="s">
        <v>22</v>
      </c>
      <c r="G1521">
        <v>0</v>
      </c>
      <c r="H1521">
        <v>211.8</v>
      </c>
      <c r="I1521">
        <v>84</v>
      </c>
      <c r="J1521">
        <v>36.01</v>
      </c>
      <c r="K1521">
        <v>230.9</v>
      </c>
      <c r="L1521">
        <v>137</v>
      </c>
      <c r="M1521">
        <v>19.63</v>
      </c>
      <c r="N1521">
        <v>217.1</v>
      </c>
      <c r="O1521">
        <v>99</v>
      </c>
      <c r="P1521">
        <v>9.77</v>
      </c>
      <c r="Q1521">
        <v>10.7</v>
      </c>
      <c r="R1521">
        <v>9</v>
      </c>
      <c r="S1521">
        <v>2.89</v>
      </c>
      <c r="T1521">
        <v>3</v>
      </c>
      <c r="U1521" t="s">
        <v>22</v>
      </c>
      <c r="V1521" t="e">
        <f>IF(#REF! = "yes", 1, 0)</f>
        <v>#REF!</v>
      </c>
      <c r="W1521" t="e">
        <f>IF(#REF! &lt;= 1, "0-1 Calls", IF(#REF! &lt;= 3, "2-3 Calls", IF(#REF! &lt;=5, "4-5 Calls", "6+ Calls")))</f>
        <v>#REF!</v>
      </c>
      <c r="X1521" t="e">
        <f>IF(#REF! &lt;= 50, "0-50", IF(#REF! &lt;=100, "51-100", IF(#REF! &lt;= 150, "101-150", "151+")))</f>
        <v>#REF!</v>
      </c>
      <c r="Y1521" t="e">
        <f>IF(#REF! &lt;= 3, "Low Charges", "High Charges")</f>
        <v>#REF!</v>
      </c>
      <c r="Z1521" t="e">
        <f>IF(#REF!&lt;=80,"Low Calls",
IF(#REF!&lt;=120,"Medium Calls","High Calls"))</f>
        <v>#REF!</v>
      </c>
      <c r="AA1521" t="e">
        <f>IF(#REF!&lt;=15,"Low Charges",
IF(#REF!&lt;=20,"Medium Charges","High Charges"))</f>
        <v>#REF!</v>
      </c>
      <c r="AB1521" t="e">
        <f>IF(AND(#REF!&gt;180, #REF!&gt;200), "Heavy Doemstic User", IF(#REF!&gt;10, "Interntional User", IF(AND(#REF!&lt;180, #REF!&lt;200,#REF!&lt;200), "Light User", "Balanced User")))</f>
        <v>#REF!</v>
      </c>
      <c r="AC1521" t="e">
        <f>IF(#REF! = 0, "No Usage", IF(#REF! &lt;= 20, "Low Usage", IF(#REF! &lt;= 40, "Medium Usgae", "High Usage")))</f>
        <v>#REF!</v>
      </c>
      <c r="AD1521" t="e">
        <f>IF(#REF!&lt;=150,"Low Usage", IF(#REF!&lt;=200,"Medium Usage", IF(#REF!&lt;=250,"High Usage","Very High Usage")))</f>
        <v>#REF!</v>
      </c>
      <c r="AE1521" t="e">
        <f>IF(#REF!&lt;=5,"Low Calls", IF(#REF!&lt;=10, "Medium Calls", "High Calls"))</f>
        <v>#REF!</v>
      </c>
      <c r="AF1521" t="e">
        <f xml:space="preserve">
IF(#REF!&gt;=4,4,0)+
IF(#REF!="yes",3,0)+
IF(#REF!="High Charges",3,0)+
IF(#REF!&gt;250,4,0)+
IF(#REF!="no",1,0)+
IF(#REF!="Heavy Domestic User",2,0)</f>
        <v>#REF!</v>
      </c>
      <c r="AG1521" t="e">
        <f>IF(#REF!&gt;=10,"High Risk", IF(#REF!&gt;=5,"Medium Risk","Low Risk"))</f>
        <v>#REF!</v>
      </c>
      <c r="AH1521" t="e">
        <f>#REF! + #REF! + #REF! + #REF!</f>
        <v>#REF!</v>
      </c>
    </row>
    <row r="1522" spans="1:34" x14ac:dyDescent="0.35">
      <c r="A1522">
        <v>1521</v>
      </c>
      <c r="B1522" t="s">
        <v>49</v>
      </c>
      <c r="C1522">
        <v>107</v>
      </c>
      <c r="D1522" t="s">
        <v>21</v>
      </c>
      <c r="E1522" t="s">
        <v>22</v>
      </c>
      <c r="F1522" t="s">
        <v>22</v>
      </c>
      <c r="G1522">
        <v>0</v>
      </c>
      <c r="H1522">
        <v>241.9</v>
      </c>
      <c r="I1522">
        <v>102</v>
      </c>
      <c r="J1522">
        <v>41.12</v>
      </c>
      <c r="K1522">
        <v>126.9</v>
      </c>
      <c r="L1522">
        <v>117</v>
      </c>
      <c r="M1522">
        <v>10.79</v>
      </c>
      <c r="N1522">
        <v>185.6</v>
      </c>
      <c r="O1522">
        <v>92</v>
      </c>
      <c r="P1522">
        <v>8.35</v>
      </c>
      <c r="Q1522">
        <v>11.7</v>
      </c>
      <c r="R1522">
        <v>6</v>
      </c>
      <c r="S1522">
        <v>3.16</v>
      </c>
      <c r="T1522">
        <v>0</v>
      </c>
      <c r="U1522" t="s">
        <v>22</v>
      </c>
      <c r="V1522" t="e">
        <f>IF(#REF! = "yes", 1, 0)</f>
        <v>#REF!</v>
      </c>
      <c r="W1522" t="e">
        <f>IF(#REF! &lt;= 1, "0-1 Calls", IF(#REF! &lt;= 3, "2-3 Calls", IF(#REF! &lt;=5, "4-5 Calls", "6+ Calls")))</f>
        <v>#REF!</v>
      </c>
      <c r="X1522" t="e">
        <f>IF(#REF! &lt;= 50, "0-50", IF(#REF! &lt;=100, "51-100", IF(#REF! &lt;= 150, "101-150", "151+")))</f>
        <v>#REF!</v>
      </c>
      <c r="Y1522" t="e">
        <f>IF(#REF! &lt;= 3, "Low Charges", "High Charges")</f>
        <v>#REF!</v>
      </c>
      <c r="Z1522" t="e">
        <f>IF(#REF!&lt;=80,"Low Calls",
IF(#REF!&lt;=120,"Medium Calls","High Calls"))</f>
        <v>#REF!</v>
      </c>
      <c r="AA1522" t="e">
        <f>IF(#REF!&lt;=15,"Low Charges",
IF(#REF!&lt;=20,"Medium Charges","High Charges"))</f>
        <v>#REF!</v>
      </c>
      <c r="AB1522" t="e">
        <f>IF(AND(#REF!&gt;180, #REF!&gt;200), "Heavy Doemstic User", IF(#REF!&gt;10, "Interntional User", IF(AND(#REF!&lt;180, #REF!&lt;200,#REF!&lt;200), "Light User", "Balanced User")))</f>
        <v>#REF!</v>
      </c>
      <c r="AC1522" t="e">
        <f>IF(#REF! = 0, "No Usage", IF(#REF! &lt;= 20, "Low Usage", IF(#REF! &lt;= 40, "Medium Usgae", "High Usage")))</f>
        <v>#REF!</v>
      </c>
      <c r="AD1522" t="e">
        <f>IF(#REF!&lt;=150,"Low Usage", IF(#REF!&lt;=200,"Medium Usage", IF(#REF!&lt;=250,"High Usage","Very High Usage")))</f>
        <v>#REF!</v>
      </c>
      <c r="AE1522" t="e">
        <f>IF(#REF!&lt;=5,"Low Calls", IF(#REF!&lt;=10, "Medium Calls", "High Calls"))</f>
        <v>#REF!</v>
      </c>
      <c r="AF1522" t="e">
        <f xml:space="preserve">
IF(#REF!&gt;=4,4,0)+
IF(#REF!="yes",3,0)+
IF(#REF!="High Charges",3,0)+
IF(#REF!&gt;250,4,0)+
IF(#REF!="no",1,0)+
IF(#REF!="Heavy Domestic User",2,0)</f>
        <v>#REF!</v>
      </c>
      <c r="AG1522" t="e">
        <f>IF(#REF!&gt;=10,"High Risk", IF(#REF!&gt;=5,"Medium Risk","Low Risk"))</f>
        <v>#REF!</v>
      </c>
      <c r="AH1522" t="e">
        <f>#REF! + #REF! + #REF! + #REF!</f>
        <v>#REF!</v>
      </c>
    </row>
    <row r="1523" spans="1:34" x14ac:dyDescent="0.35">
      <c r="A1523">
        <v>1522</v>
      </c>
      <c r="B1523" t="s">
        <v>75</v>
      </c>
      <c r="C1523">
        <v>110</v>
      </c>
      <c r="D1523" t="s">
        <v>25</v>
      </c>
      <c r="E1523" t="s">
        <v>22</v>
      </c>
      <c r="F1523" t="s">
        <v>22</v>
      </c>
      <c r="G1523">
        <v>0</v>
      </c>
      <c r="H1523">
        <v>196.1</v>
      </c>
      <c r="I1523">
        <v>103</v>
      </c>
      <c r="J1523">
        <v>33.340000000000003</v>
      </c>
      <c r="K1523">
        <v>199.7</v>
      </c>
      <c r="L1523">
        <v>123</v>
      </c>
      <c r="M1523">
        <v>16.97</v>
      </c>
      <c r="N1523">
        <v>135.9</v>
      </c>
      <c r="O1523">
        <v>71</v>
      </c>
      <c r="P1523">
        <v>6.12</v>
      </c>
      <c r="Q1523">
        <v>12.9</v>
      </c>
      <c r="R1523">
        <v>1</v>
      </c>
      <c r="S1523">
        <v>3.48</v>
      </c>
      <c r="T1523">
        <v>3</v>
      </c>
      <c r="U1523" t="s">
        <v>22</v>
      </c>
      <c r="V1523" t="e">
        <f>IF(#REF! = "yes", 1, 0)</f>
        <v>#REF!</v>
      </c>
      <c r="W1523" t="e">
        <f>IF(#REF! &lt;= 1, "0-1 Calls", IF(#REF! &lt;= 3, "2-3 Calls", IF(#REF! &lt;=5, "4-5 Calls", "6+ Calls")))</f>
        <v>#REF!</v>
      </c>
      <c r="X1523" t="e">
        <f>IF(#REF! &lt;= 50, "0-50", IF(#REF! &lt;=100, "51-100", IF(#REF! &lt;= 150, "101-150", "151+")))</f>
        <v>#REF!</v>
      </c>
      <c r="Y1523" t="e">
        <f>IF(#REF! &lt;= 3, "Low Charges", "High Charges")</f>
        <v>#REF!</v>
      </c>
      <c r="Z1523" t="e">
        <f>IF(#REF!&lt;=80,"Low Calls",
IF(#REF!&lt;=120,"Medium Calls","High Calls"))</f>
        <v>#REF!</v>
      </c>
      <c r="AA1523" t="e">
        <f>IF(#REF!&lt;=15,"Low Charges",
IF(#REF!&lt;=20,"Medium Charges","High Charges"))</f>
        <v>#REF!</v>
      </c>
      <c r="AB1523" t="e">
        <f>IF(AND(#REF!&gt;180, #REF!&gt;200), "Heavy Doemstic User", IF(#REF!&gt;10, "Interntional User", IF(AND(#REF!&lt;180, #REF!&lt;200,#REF!&lt;200), "Light User", "Balanced User")))</f>
        <v>#REF!</v>
      </c>
      <c r="AC1523" t="e">
        <f>IF(#REF! = 0, "No Usage", IF(#REF! &lt;= 20, "Low Usage", IF(#REF! &lt;= 40, "Medium Usgae", "High Usage")))</f>
        <v>#REF!</v>
      </c>
      <c r="AD1523" t="e">
        <f>IF(#REF!&lt;=150,"Low Usage", IF(#REF!&lt;=200,"Medium Usage", IF(#REF!&lt;=250,"High Usage","Very High Usage")))</f>
        <v>#REF!</v>
      </c>
      <c r="AE1523" t="e">
        <f>IF(#REF!&lt;=5,"Low Calls", IF(#REF!&lt;=10, "Medium Calls", "High Calls"))</f>
        <v>#REF!</v>
      </c>
      <c r="AF1523" t="e">
        <f xml:space="preserve">
IF(#REF!&gt;=4,4,0)+
IF(#REF!="yes",3,0)+
IF(#REF!="High Charges",3,0)+
IF(#REF!&gt;250,4,0)+
IF(#REF!="no",1,0)+
IF(#REF!="Heavy Domestic User",2,0)</f>
        <v>#REF!</v>
      </c>
      <c r="AG1523" t="e">
        <f>IF(#REF!&gt;=10,"High Risk", IF(#REF!&gt;=5,"Medium Risk","Low Risk"))</f>
        <v>#REF!</v>
      </c>
      <c r="AH1523" t="e">
        <f>#REF! + #REF! + #REF! + #REF!</f>
        <v>#REF!</v>
      </c>
    </row>
    <row r="1524" spans="1:34" x14ac:dyDescent="0.35">
      <c r="A1524">
        <v>1523</v>
      </c>
      <c r="B1524" t="s">
        <v>46</v>
      </c>
      <c r="C1524">
        <v>83</v>
      </c>
      <c r="D1524" t="s">
        <v>21</v>
      </c>
      <c r="E1524" t="s">
        <v>22</v>
      </c>
      <c r="F1524" t="s">
        <v>22</v>
      </c>
      <c r="G1524">
        <v>0</v>
      </c>
      <c r="H1524">
        <v>231.3</v>
      </c>
      <c r="I1524">
        <v>100</v>
      </c>
      <c r="J1524">
        <v>39.32</v>
      </c>
      <c r="K1524">
        <v>210.4</v>
      </c>
      <c r="L1524">
        <v>84</v>
      </c>
      <c r="M1524">
        <v>17.88</v>
      </c>
      <c r="N1524">
        <v>217.4</v>
      </c>
      <c r="O1524">
        <v>106</v>
      </c>
      <c r="P1524">
        <v>9.7799999999999994</v>
      </c>
      <c r="Q1524">
        <v>12.4</v>
      </c>
      <c r="R1524">
        <v>2</v>
      </c>
      <c r="S1524">
        <v>3.35</v>
      </c>
      <c r="T1524">
        <v>3</v>
      </c>
      <c r="U1524" t="s">
        <v>22</v>
      </c>
      <c r="V1524" t="e">
        <f>IF(#REF! = "yes", 1, 0)</f>
        <v>#REF!</v>
      </c>
      <c r="W1524" t="e">
        <f>IF(#REF! &lt;= 1, "0-1 Calls", IF(#REF! &lt;= 3, "2-3 Calls", IF(#REF! &lt;=5, "4-5 Calls", "6+ Calls")))</f>
        <v>#REF!</v>
      </c>
      <c r="X1524" t="e">
        <f>IF(#REF! &lt;= 50, "0-50", IF(#REF! &lt;=100, "51-100", IF(#REF! &lt;= 150, "101-150", "151+")))</f>
        <v>#REF!</v>
      </c>
      <c r="Y1524" t="e">
        <f>IF(#REF! &lt;= 3, "Low Charges", "High Charges")</f>
        <v>#REF!</v>
      </c>
      <c r="Z1524" t="e">
        <f>IF(#REF!&lt;=80,"Low Calls",
IF(#REF!&lt;=120,"Medium Calls","High Calls"))</f>
        <v>#REF!</v>
      </c>
      <c r="AA1524" t="e">
        <f>IF(#REF!&lt;=15,"Low Charges",
IF(#REF!&lt;=20,"Medium Charges","High Charges"))</f>
        <v>#REF!</v>
      </c>
      <c r="AB1524" t="e">
        <f>IF(AND(#REF!&gt;180, #REF!&gt;200), "Heavy Doemstic User", IF(#REF!&gt;10, "Interntional User", IF(AND(#REF!&lt;180, #REF!&lt;200,#REF!&lt;200), "Light User", "Balanced User")))</f>
        <v>#REF!</v>
      </c>
      <c r="AC1524" t="e">
        <f>IF(#REF! = 0, "No Usage", IF(#REF! &lt;= 20, "Low Usage", IF(#REF! &lt;= 40, "Medium Usgae", "High Usage")))</f>
        <v>#REF!</v>
      </c>
      <c r="AD1524" t="e">
        <f>IF(#REF!&lt;=150,"Low Usage", IF(#REF!&lt;=200,"Medium Usage", IF(#REF!&lt;=250,"High Usage","Very High Usage")))</f>
        <v>#REF!</v>
      </c>
      <c r="AE1524" t="e">
        <f>IF(#REF!&lt;=5,"Low Calls", IF(#REF!&lt;=10, "Medium Calls", "High Calls"))</f>
        <v>#REF!</v>
      </c>
      <c r="AF1524" t="e">
        <f xml:space="preserve">
IF(#REF!&gt;=4,4,0)+
IF(#REF!="yes",3,0)+
IF(#REF!="High Charges",3,0)+
IF(#REF!&gt;250,4,0)+
IF(#REF!="no",1,0)+
IF(#REF!="Heavy Domestic User",2,0)</f>
        <v>#REF!</v>
      </c>
      <c r="AG1524" t="e">
        <f>IF(#REF!&gt;=10,"High Risk", IF(#REF!&gt;=5,"Medium Risk","Low Risk"))</f>
        <v>#REF!</v>
      </c>
      <c r="AH1524" t="e">
        <f>#REF! + #REF! + #REF! + #REF!</f>
        <v>#REF!</v>
      </c>
    </row>
    <row r="1525" spans="1:34" x14ac:dyDescent="0.35">
      <c r="A1525">
        <v>1524</v>
      </c>
      <c r="B1525" t="s">
        <v>60</v>
      </c>
      <c r="C1525">
        <v>117</v>
      </c>
      <c r="D1525" t="s">
        <v>25</v>
      </c>
      <c r="E1525" t="s">
        <v>22</v>
      </c>
      <c r="F1525" t="s">
        <v>22</v>
      </c>
      <c r="G1525">
        <v>0</v>
      </c>
      <c r="H1525">
        <v>161.6</v>
      </c>
      <c r="I1525">
        <v>104</v>
      </c>
      <c r="J1525">
        <v>27.47</v>
      </c>
      <c r="K1525">
        <v>196.3</v>
      </c>
      <c r="L1525">
        <v>119</v>
      </c>
      <c r="M1525">
        <v>16.690000000000001</v>
      </c>
      <c r="N1525">
        <v>294.8</v>
      </c>
      <c r="O1525">
        <v>111</v>
      </c>
      <c r="P1525">
        <v>13.27</v>
      </c>
      <c r="Q1525">
        <v>13.8</v>
      </c>
      <c r="R1525">
        <v>2</v>
      </c>
      <c r="S1525">
        <v>3.73</v>
      </c>
      <c r="T1525">
        <v>1</v>
      </c>
      <c r="U1525" t="s">
        <v>22</v>
      </c>
      <c r="V1525" t="e">
        <f>IF(#REF! = "yes", 1, 0)</f>
        <v>#REF!</v>
      </c>
      <c r="W1525" t="e">
        <f>IF(#REF! &lt;= 1, "0-1 Calls", IF(#REF! &lt;= 3, "2-3 Calls", IF(#REF! &lt;=5, "4-5 Calls", "6+ Calls")))</f>
        <v>#REF!</v>
      </c>
      <c r="X1525" t="e">
        <f>IF(#REF! &lt;= 50, "0-50", IF(#REF! &lt;=100, "51-100", IF(#REF! &lt;= 150, "101-150", "151+")))</f>
        <v>#REF!</v>
      </c>
      <c r="Y1525" t="e">
        <f>IF(#REF! &lt;= 3, "Low Charges", "High Charges")</f>
        <v>#REF!</v>
      </c>
      <c r="Z1525" t="e">
        <f>IF(#REF!&lt;=80,"Low Calls",
IF(#REF!&lt;=120,"Medium Calls","High Calls"))</f>
        <v>#REF!</v>
      </c>
      <c r="AA1525" t="e">
        <f>IF(#REF!&lt;=15,"Low Charges",
IF(#REF!&lt;=20,"Medium Charges","High Charges"))</f>
        <v>#REF!</v>
      </c>
      <c r="AB1525" t="e">
        <f>IF(AND(#REF!&gt;180, #REF!&gt;200), "Heavy Doemstic User", IF(#REF!&gt;10, "Interntional User", IF(AND(#REF!&lt;180, #REF!&lt;200,#REF!&lt;200), "Light User", "Balanced User")))</f>
        <v>#REF!</v>
      </c>
      <c r="AC1525" t="e">
        <f>IF(#REF! = 0, "No Usage", IF(#REF! &lt;= 20, "Low Usage", IF(#REF! &lt;= 40, "Medium Usgae", "High Usage")))</f>
        <v>#REF!</v>
      </c>
      <c r="AD1525" t="e">
        <f>IF(#REF!&lt;=150,"Low Usage", IF(#REF!&lt;=200,"Medium Usage", IF(#REF!&lt;=250,"High Usage","Very High Usage")))</f>
        <v>#REF!</v>
      </c>
      <c r="AE1525" t="e">
        <f>IF(#REF!&lt;=5,"Low Calls", IF(#REF!&lt;=10, "Medium Calls", "High Calls"))</f>
        <v>#REF!</v>
      </c>
      <c r="AF1525" t="e">
        <f xml:space="preserve">
IF(#REF!&gt;=4,4,0)+
IF(#REF!="yes",3,0)+
IF(#REF!="High Charges",3,0)+
IF(#REF!&gt;250,4,0)+
IF(#REF!="no",1,0)+
IF(#REF!="Heavy Domestic User",2,0)</f>
        <v>#REF!</v>
      </c>
      <c r="AG1525" t="e">
        <f>IF(#REF!&gt;=10,"High Risk", IF(#REF!&gt;=5,"Medium Risk","Low Risk"))</f>
        <v>#REF!</v>
      </c>
      <c r="AH1525" t="e">
        <f>#REF! + #REF! + #REF! + #REF!</f>
        <v>#REF!</v>
      </c>
    </row>
    <row r="1526" spans="1:34" x14ac:dyDescent="0.35">
      <c r="A1526">
        <v>1525</v>
      </c>
      <c r="B1526" t="s">
        <v>65</v>
      </c>
      <c r="C1526">
        <v>124</v>
      </c>
      <c r="D1526" t="s">
        <v>21</v>
      </c>
      <c r="E1526" t="s">
        <v>22</v>
      </c>
      <c r="F1526" t="s">
        <v>22</v>
      </c>
      <c r="G1526">
        <v>0</v>
      </c>
      <c r="H1526">
        <v>194</v>
      </c>
      <c r="I1526">
        <v>103</v>
      </c>
      <c r="J1526">
        <v>32.979999999999997</v>
      </c>
      <c r="K1526">
        <v>241</v>
      </c>
      <c r="L1526">
        <v>116</v>
      </c>
      <c r="M1526">
        <v>20.49</v>
      </c>
      <c r="N1526">
        <v>227.5</v>
      </c>
      <c r="O1526">
        <v>153</v>
      </c>
      <c r="P1526">
        <v>10.24</v>
      </c>
      <c r="Q1526">
        <v>11.9</v>
      </c>
      <c r="R1526">
        <v>5</v>
      </c>
      <c r="S1526">
        <v>3.21</v>
      </c>
      <c r="T1526">
        <v>0</v>
      </c>
      <c r="U1526" t="s">
        <v>22</v>
      </c>
      <c r="V1526" t="e">
        <f>IF(#REF! = "yes", 1, 0)</f>
        <v>#REF!</v>
      </c>
      <c r="W1526" t="e">
        <f>IF(#REF! &lt;= 1, "0-1 Calls", IF(#REF! &lt;= 3, "2-3 Calls", IF(#REF! &lt;=5, "4-5 Calls", "6+ Calls")))</f>
        <v>#REF!</v>
      </c>
      <c r="X1526" t="e">
        <f>IF(#REF! &lt;= 50, "0-50", IF(#REF! &lt;=100, "51-100", IF(#REF! &lt;= 150, "101-150", "151+")))</f>
        <v>#REF!</v>
      </c>
      <c r="Y1526" t="e">
        <f>IF(#REF! &lt;= 3, "Low Charges", "High Charges")</f>
        <v>#REF!</v>
      </c>
      <c r="Z1526" t="e">
        <f>IF(#REF!&lt;=80,"Low Calls",
IF(#REF!&lt;=120,"Medium Calls","High Calls"))</f>
        <v>#REF!</v>
      </c>
      <c r="AA1526" t="e">
        <f>IF(#REF!&lt;=15,"Low Charges",
IF(#REF!&lt;=20,"Medium Charges","High Charges"))</f>
        <v>#REF!</v>
      </c>
      <c r="AB1526" t="e">
        <f>IF(AND(#REF!&gt;180, #REF!&gt;200), "Heavy Doemstic User", IF(#REF!&gt;10, "Interntional User", IF(AND(#REF!&lt;180, #REF!&lt;200,#REF!&lt;200), "Light User", "Balanced User")))</f>
        <v>#REF!</v>
      </c>
      <c r="AC1526" t="e">
        <f>IF(#REF! = 0, "No Usage", IF(#REF! &lt;= 20, "Low Usage", IF(#REF! &lt;= 40, "Medium Usgae", "High Usage")))</f>
        <v>#REF!</v>
      </c>
      <c r="AD1526" t="e">
        <f>IF(#REF!&lt;=150,"Low Usage", IF(#REF!&lt;=200,"Medium Usage", IF(#REF!&lt;=250,"High Usage","Very High Usage")))</f>
        <v>#REF!</v>
      </c>
      <c r="AE1526" t="e">
        <f>IF(#REF!&lt;=5,"Low Calls", IF(#REF!&lt;=10, "Medium Calls", "High Calls"))</f>
        <v>#REF!</v>
      </c>
      <c r="AF1526" t="e">
        <f xml:space="preserve">
IF(#REF!&gt;=4,4,0)+
IF(#REF!="yes",3,0)+
IF(#REF!="High Charges",3,0)+
IF(#REF!&gt;250,4,0)+
IF(#REF!="no",1,0)+
IF(#REF!="Heavy Domestic User",2,0)</f>
        <v>#REF!</v>
      </c>
      <c r="AG1526" t="e">
        <f>IF(#REF!&gt;=10,"High Risk", IF(#REF!&gt;=5,"Medium Risk","Low Risk"))</f>
        <v>#REF!</v>
      </c>
      <c r="AH1526" t="e">
        <f>#REF! + #REF! + #REF! + #REF!</f>
        <v>#REF!</v>
      </c>
    </row>
    <row r="1527" spans="1:34" x14ac:dyDescent="0.35">
      <c r="A1527">
        <v>1526</v>
      </c>
      <c r="B1527" t="s">
        <v>46</v>
      </c>
      <c r="C1527">
        <v>115</v>
      </c>
      <c r="D1527" t="s">
        <v>28</v>
      </c>
      <c r="E1527" t="s">
        <v>22</v>
      </c>
      <c r="F1527" t="s">
        <v>22</v>
      </c>
      <c r="G1527">
        <v>0</v>
      </c>
      <c r="H1527">
        <v>109.7</v>
      </c>
      <c r="I1527">
        <v>148</v>
      </c>
      <c r="J1527">
        <v>18.649999999999999</v>
      </c>
      <c r="K1527">
        <v>223.8</v>
      </c>
      <c r="L1527">
        <v>87</v>
      </c>
      <c r="M1527">
        <v>19.02</v>
      </c>
      <c r="N1527">
        <v>240.3</v>
      </c>
      <c r="O1527">
        <v>96</v>
      </c>
      <c r="P1527">
        <v>10.81</v>
      </c>
      <c r="Q1527">
        <v>15.4</v>
      </c>
      <c r="R1527">
        <v>8</v>
      </c>
      <c r="S1527">
        <v>4.16</v>
      </c>
      <c r="T1527">
        <v>3</v>
      </c>
      <c r="U1527" t="s">
        <v>22</v>
      </c>
      <c r="V1527" t="e">
        <f>IF(#REF! = "yes", 1, 0)</f>
        <v>#REF!</v>
      </c>
      <c r="W1527" t="e">
        <f>IF(#REF! &lt;= 1, "0-1 Calls", IF(#REF! &lt;= 3, "2-3 Calls", IF(#REF! &lt;=5, "4-5 Calls", "6+ Calls")))</f>
        <v>#REF!</v>
      </c>
      <c r="X1527" t="e">
        <f>IF(#REF! &lt;= 50, "0-50", IF(#REF! &lt;=100, "51-100", IF(#REF! &lt;= 150, "101-150", "151+")))</f>
        <v>#REF!</v>
      </c>
      <c r="Y1527" t="e">
        <f>IF(#REF! &lt;= 3, "Low Charges", "High Charges")</f>
        <v>#REF!</v>
      </c>
      <c r="Z1527" t="e">
        <f>IF(#REF!&lt;=80,"Low Calls",
IF(#REF!&lt;=120,"Medium Calls","High Calls"))</f>
        <v>#REF!</v>
      </c>
      <c r="AA1527" t="e">
        <f>IF(#REF!&lt;=15,"Low Charges",
IF(#REF!&lt;=20,"Medium Charges","High Charges"))</f>
        <v>#REF!</v>
      </c>
      <c r="AB1527" t="e">
        <f>IF(AND(#REF!&gt;180, #REF!&gt;200), "Heavy Doemstic User", IF(#REF!&gt;10, "Interntional User", IF(AND(#REF!&lt;180, #REF!&lt;200,#REF!&lt;200), "Light User", "Balanced User")))</f>
        <v>#REF!</v>
      </c>
      <c r="AC1527" t="e">
        <f>IF(#REF! = 0, "No Usage", IF(#REF! &lt;= 20, "Low Usage", IF(#REF! &lt;= 40, "Medium Usgae", "High Usage")))</f>
        <v>#REF!</v>
      </c>
      <c r="AD1527" t="e">
        <f>IF(#REF!&lt;=150,"Low Usage", IF(#REF!&lt;=200,"Medium Usage", IF(#REF!&lt;=250,"High Usage","Very High Usage")))</f>
        <v>#REF!</v>
      </c>
      <c r="AE1527" t="e">
        <f>IF(#REF!&lt;=5,"Low Calls", IF(#REF!&lt;=10, "Medium Calls", "High Calls"))</f>
        <v>#REF!</v>
      </c>
      <c r="AF1527" t="e">
        <f xml:space="preserve">
IF(#REF!&gt;=4,4,0)+
IF(#REF!="yes",3,0)+
IF(#REF!="High Charges",3,0)+
IF(#REF!&gt;250,4,0)+
IF(#REF!="no",1,0)+
IF(#REF!="Heavy Domestic User",2,0)</f>
        <v>#REF!</v>
      </c>
      <c r="AG1527" t="e">
        <f>IF(#REF!&gt;=10,"High Risk", IF(#REF!&gt;=5,"Medium Risk","Low Risk"))</f>
        <v>#REF!</v>
      </c>
      <c r="AH1527" t="e">
        <f>#REF! + #REF! + #REF! + #REF!</f>
        <v>#REF!</v>
      </c>
    </row>
    <row r="1528" spans="1:34" x14ac:dyDescent="0.35">
      <c r="A1528">
        <v>1527</v>
      </c>
      <c r="B1528" t="s">
        <v>41</v>
      </c>
      <c r="C1528">
        <v>156</v>
      </c>
      <c r="D1528" t="s">
        <v>25</v>
      </c>
      <c r="E1528" t="s">
        <v>23</v>
      </c>
      <c r="F1528" t="s">
        <v>22</v>
      </c>
      <c r="G1528">
        <v>0</v>
      </c>
      <c r="H1528">
        <v>277</v>
      </c>
      <c r="I1528">
        <v>119</v>
      </c>
      <c r="J1528">
        <v>47.09</v>
      </c>
      <c r="K1528">
        <v>238.3</v>
      </c>
      <c r="L1528">
        <v>106</v>
      </c>
      <c r="M1528">
        <v>20.260000000000002</v>
      </c>
      <c r="N1528">
        <v>94.4</v>
      </c>
      <c r="O1528">
        <v>96</v>
      </c>
      <c r="P1528">
        <v>4.25</v>
      </c>
      <c r="Q1528">
        <v>8.3000000000000007</v>
      </c>
      <c r="R1528">
        <v>3</v>
      </c>
      <c r="S1528">
        <v>2.2400000000000002</v>
      </c>
      <c r="T1528">
        <v>1</v>
      </c>
      <c r="U1528" t="s">
        <v>22</v>
      </c>
      <c r="V1528" t="e">
        <f>IF(#REF! = "yes", 1, 0)</f>
        <v>#REF!</v>
      </c>
      <c r="W1528" t="e">
        <f>IF(#REF! &lt;= 1, "0-1 Calls", IF(#REF! &lt;= 3, "2-3 Calls", IF(#REF! &lt;=5, "4-5 Calls", "6+ Calls")))</f>
        <v>#REF!</v>
      </c>
      <c r="X1528" t="e">
        <f>IF(#REF! &lt;= 50, "0-50", IF(#REF! &lt;=100, "51-100", IF(#REF! &lt;= 150, "101-150", "151+")))</f>
        <v>#REF!</v>
      </c>
      <c r="Y1528" t="e">
        <f>IF(#REF! &lt;= 3, "Low Charges", "High Charges")</f>
        <v>#REF!</v>
      </c>
      <c r="Z1528" t="e">
        <f>IF(#REF!&lt;=80,"Low Calls",
IF(#REF!&lt;=120,"Medium Calls","High Calls"))</f>
        <v>#REF!</v>
      </c>
      <c r="AA1528" t="e">
        <f>IF(#REF!&lt;=15,"Low Charges",
IF(#REF!&lt;=20,"Medium Charges","High Charges"))</f>
        <v>#REF!</v>
      </c>
      <c r="AB1528" t="e">
        <f>IF(AND(#REF!&gt;180, #REF!&gt;200), "Heavy Doemstic User", IF(#REF!&gt;10, "Interntional User", IF(AND(#REF!&lt;180, #REF!&lt;200,#REF!&lt;200), "Light User", "Balanced User")))</f>
        <v>#REF!</v>
      </c>
      <c r="AC1528" t="e">
        <f>IF(#REF! = 0, "No Usage", IF(#REF! &lt;= 20, "Low Usage", IF(#REF! &lt;= 40, "Medium Usgae", "High Usage")))</f>
        <v>#REF!</v>
      </c>
      <c r="AD1528" t="e">
        <f>IF(#REF!&lt;=150,"Low Usage", IF(#REF!&lt;=200,"Medium Usage", IF(#REF!&lt;=250,"High Usage","Very High Usage")))</f>
        <v>#REF!</v>
      </c>
      <c r="AE1528" t="e">
        <f>IF(#REF!&lt;=5,"Low Calls", IF(#REF!&lt;=10, "Medium Calls", "High Calls"))</f>
        <v>#REF!</v>
      </c>
      <c r="AF1528" t="e">
        <f xml:space="preserve">
IF(#REF!&gt;=4,4,0)+
IF(#REF!="yes",3,0)+
IF(#REF!="High Charges",3,0)+
IF(#REF!&gt;250,4,0)+
IF(#REF!="no",1,0)+
IF(#REF!="Heavy Domestic User",2,0)</f>
        <v>#REF!</v>
      </c>
      <c r="AG1528" t="e">
        <f>IF(#REF!&gt;=10,"High Risk", IF(#REF!&gt;=5,"Medium Risk","Low Risk"))</f>
        <v>#REF!</v>
      </c>
      <c r="AH1528" t="e">
        <f>#REF! + #REF! + #REF! + #REF!</f>
        <v>#REF!</v>
      </c>
    </row>
    <row r="1529" spans="1:34" x14ac:dyDescent="0.35">
      <c r="A1529">
        <v>1528</v>
      </c>
      <c r="B1529" t="s">
        <v>65</v>
      </c>
      <c r="C1529">
        <v>89</v>
      </c>
      <c r="D1529" t="s">
        <v>25</v>
      </c>
      <c r="E1529" t="s">
        <v>22</v>
      </c>
      <c r="F1529" t="s">
        <v>22</v>
      </c>
      <c r="G1529">
        <v>0</v>
      </c>
      <c r="H1529">
        <v>192.1</v>
      </c>
      <c r="I1529">
        <v>83</v>
      </c>
      <c r="J1529">
        <v>32.659999999999997</v>
      </c>
      <c r="K1529">
        <v>163.6</v>
      </c>
      <c r="L1529">
        <v>88</v>
      </c>
      <c r="M1529">
        <v>13.91</v>
      </c>
      <c r="N1529">
        <v>169.7</v>
      </c>
      <c r="O1529">
        <v>138</v>
      </c>
      <c r="P1529">
        <v>7.64</v>
      </c>
      <c r="Q1529">
        <v>6.1</v>
      </c>
      <c r="R1529">
        <v>3</v>
      </c>
      <c r="S1529">
        <v>1.65</v>
      </c>
      <c r="T1529">
        <v>0</v>
      </c>
      <c r="U1529" t="s">
        <v>22</v>
      </c>
      <c r="V1529" t="e">
        <f>IF(#REF! = "yes", 1, 0)</f>
        <v>#REF!</v>
      </c>
      <c r="W1529" t="e">
        <f>IF(#REF! &lt;= 1, "0-1 Calls", IF(#REF! &lt;= 3, "2-3 Calls", IF(#REF! &lt;=5, "4-5 Calls", "6+ Calls")))</f>
        <v>#REF!</v>
      </c>
      <c r="X1529" t="e">
        <f>IF(#REF! &lt;= 50, "0-50", IF(#REF! &lt;=100, "51-100", IF(#REF! &lt;= 150, "101-150", "151+")))</f>
        <v>#REF!</v>
      </c>
      <c r="Y1529" t="e">
        <f>IF(#REF! &lt;= 3, "Low Charges", "High Charges")</f>
        <v>#REF!</v>
      </c>
      <c r="Z1529" t="e">
        <f>IF(#REF!&lt;=80,"Low Calls",
IF(#REF!&lt;=120,"Medium Calls","High Calls"))</f>
        <v>#REF!</v>
      </c>
      <c r="AA1529" t="e">
        <f>IF(#REF!&lt;=15,"Low Charges",
IF(#REF!&lt;=20,"Medium Charges","High Charges"))</f>
        <v>#REF!</v>
      </c>
      <c r="AB1529" t="e">
        <f>IF(AND(#REF!&gt;180, #REF!&gt;200), "Heavy Doemstic User", IF(#REF!&gt;10, "Interntional User", IF(AND(#REF!&lt;180, #REF!&lt;200,#REF!&lt;200), "Light User", "Balanced User")))</f>
        <v>#REF!</v>
      </c>
      <c r="AC1529" t="e">
        <f>IF(#REF! = 0, "No Usage", IF(#REF! &lt;= 20, "Low Usage", IF(#REF! &lt;= 40, "Medium Usgae", "High Usage")))</f>
        <v>#REF!</v>
      </c>
      <c r="AD1529" t="e">
        <f>IF(#REF!&lt;=150,"Low Usage", IF(#REF!&lt;=200,"Medium Usage", IF(#REF!&lt;=250,"High Usage","Very High Usage")))</f>
        <v>#REF!</v>
      </c>
      <c r="AE1529" t="e">
        <f>IF(#REF!&lt;=5,"Low Calls", IF(#REF!&lt;=10, "Medium Calls", "High Calls"))</f>
        <v>#REF!</v>
      </c>
      <c r="AF1529" t="e">
        <f xml:space="preserve">
IF(#REF!&gt;=4,4,0)+
IF(#REF!="yes",3,0)+
IF(#REF!="High Charges",3,0)+
IF(#REF!&gt;250,4,0)+
IF(#REF!="no",1,0)+
IF(#REF!="Heavy Domestic User",2,0)</f>
        <v>#REF!</v>
      </c>
      <c r="AG1529" t="e">
        <f>IF(#REF!&gt;=10,"High Risk", IF(#REF!&gt;=5,"Medium Risk","Low Risk"))</f>
        <v>#REF!</v>
      </c>
      <c r="AH1529" t="e">
        <f>#REF! + #REF! + #REF! + #REF!</f>
        <v>#REF!</v>
      </c>
    </row>
    <row r="1530" spans="1:34" x14ac:dyDescent="0.35">
      <c r="A1530">
        <v>1529</v>
      </c>
      <c r="B1530" t="s">
        <v>65</v>
      </c>
      <c r="C1530">
        <v>72</v>
      </c>
      <c r="D1530" t="s">
        <v>21</v>
      </c>
      <c r="E1530" t="s">
        <v>22</v>
      </c>
      <c r="F1530" t="s">
        <v>22</v>
      </c>
      <c r="G1530">
        <v>0</v>
      </c>
      <c r="H1530">
        <v>198.4</v>
      </c>
      <c r="I1530">
        <v>147</v>
      </c>
      <c r="J1530">
        <v>33.729999999999997</v>
      </c>
      <c r="K1530">
        <v>216.9</v>
      </c>
      <c r="L1530">
        <v>121</v>
      </c>
      <c r="M1530">
        <v>18.440000000000001</v>
      </c>
      <c r="N1530">
        <v>112.8</v>
      </c>
      <c r="O1530">
        <v>125</v>
      </c>
      <c r="P1530">
        <v>5.08</v>
      </c>
      <c r="Q1530">
        <v>13.1</v>
      </c>
      <c r="R1530">
        <v>4</v>
      </c>
      <c r="S1530">
        <v>3.54</v>
      </c>
      <c r="T1530">
        <v>0</v>
      </c>
      <c r="U1530" t="s">
        <v>22</v>
      </c>
      <c r="V1530" t="e">
        <f>IF(#REF! = "yes", 1, 0)</f>
        <v>#REF!</v>
      </c>
      <c r="W1530" t="e">
        <f>IF(#REF! &lt;= 1, "0-1 Calls", IF(#REF! &lt;= 3, "2-3 Calls", IF(#REF! &lt;=5, "4-5 Calls", "6+ Calls")))</f>
        <v>#REF!</v>
      </c>
      <c r="X1530" t="e">
        <f>IF(#REF! &lt;= 50, "0-50", IF(#REF! &lt;=100, "51-100", IF(#REF! &lt;= 150, "101-150", "151+")))</f>
        <v>#REF!</v>
      </c>
      <c r="Y1530" t="e">
        <f>IF(#REF! &lt;= 3, "Low Charges", "High Charges")</f>
        <v>#REF!</v>
      </c>
      <c r="Z1530" t="e">
        <f>IF(#REF!&lt;=80,"Low Calls",
IF(#REF!&lt;=120,"Medium Calls","High Calls"))</f>
        <v>#REF!</v>
      </c>
      <c r="AA1530" t="e">
        <f>IF(#REF!&lt;=15,"Low Charges",
IF(#REF!&lt;=20,"Medium Charges","High Charges"))</f>
        <v>#REF!</v>
      </c>
      <c r="AB1530" t="e">
        <f>IF(AND(#REF!&gt;180, #REF!&gt;200), "Heavy Doemstic User", IF(#REF!&gt;10, "Interntional User", IF(AND(#REF!&lt;180, #REF!&lt;200,#REF!&lt;200), "Light User", "Balanced User")))</f>
        <v>#REF!</v>
      </c>
      <c r="AC1530" t="e">
        <f>IF(#REF! = 0, "No Usage", IF(#REF! &lt;= 20, "Low Usage", IF(#REF! &lt;= 40, "Medium Usgae", "High Usage")))</f>
        <v>#REF!</v>
      </c>
      <c r="AD1530" t="e">
        <f>IF(#REF!&lt;=150,"Low Usage", IF(#REF!&lt;=200,"Medium Usage", IF(#REF!&lt;=250,"High Usage","Very High Usage")))</f>
        <v>#REF!</v>
      </c>
      <c r="AE1530" t="e">
        <f>IF(#REF!&lt;=5,"Low Calls", IF(#REF!&lt;=10, "Medium Calls", "High Calls"))</f>
        <v>#REF!</v>
      </c>
      <c r="AF1530" t="e">
        <f xml:space="preserve">
IF(#REF!&gt;=4,4,0)+
IF(#REF!="yes",3,0)+
IF(#REF!="High Charges",3,0)+
IF(#REF!&gt;250,4,0)+
IF(#REF!="no",1,0)+
IF(#REF!="Heavy Domestic User",2,0)</f>
        <v>#REF!</v>
      </c>
      <c r="AG1530" t="e">
        <f>IF(#REF!&gt;=10,"High Risk", IF(#REF!&gt;=5,"Medium Risk","Low Risk"))</f>
        <v>#REF!</v>
      </c>
      <c r="AH1530" t="e">
        <f>#REF! + #REF! + #REF! + #REF!</f>
        <v>#REF!</v>
      </c>
    </row>
    <row r="1531" spans="1:34" x14ac:dyDescent="0.35">
      <c r="A1531">
        <v>1530</v>
      </c>
      <c r="B1531" t="s">
        <v>32</v>
      </c>
      <c r="C1531">
        <v>101</v>
      </c>
      <c r="D1531" t="s">
        <v>21</v>
      </c>
      <c r="E1531" t="s">
        <v>22</v>
      </c>
      <c r="F1531" t="s">
        <v>23</v>
      </c>
      <c r="G1531">
        <v>42</v>
      </c>
      <c r="H1531">
        <v>209.2</v>
      </c>
      <c r="I1531">
        <v>82</v>
      </c>
      <c r="J1531">
        <v>35.56</v>
      </c>
      <c r="K1531">
        <v>159.69999999999999</v>
      </c>
      <c r="L1531">
        <v>74</v>
      </c>
      <c r="M1531">
        <v>13.57</v>
      </c>
      <c r="N1531">
        <v>181.6</v>
      </c>
      <c r="O1531">
        <v>100</v>
      </c>
      <c r="P1531">
        <v>8.17</v>
      </c>
      <c r="Q1531">
        <v>9.5</v>
      </c>
      <c r="R1531">
        <v>3</v>
      </c>
      <c r="S1531">
        <v>2.57</v>
      </c>
      <c r="T1531">
        <v>0</v>
      </c>
      <c r="U1531" t="s">
        <v>22</v>
      </c>
      <c r="V1531" t="e">
        <f>IF(#REF! = "yes", 1, 0)</f>
        <v>#REF!</v>
      </c>
      <c r="W1531" t="e">
        <f>IF(#REF! &lt;= 1, "0-1 Calls", IF(#REF! &lt;= 3, "2-3 Calls", IF(#REF! &lt;=5, "4-5 Calls", "6+ Calls")))</f>
        <v>#REF!</v>
      </c>
      <c r="X1531" t="e">
        <f>IF(#REF! &lt;= 50, "0-50", IF(#REF! &lt;=100, "51-100", IF(#REF! &lt;= 150, "101-150", "151+")))</f>
        <v>#REF!</v>
      </c>
      <c r="Y1531" t="e">
        <f>IF(#REF! &lt;= 3, "Low Charges", "High Charges")</f>
        <v>#REF!</v>
      </c>
      <c r="Z1531" t="e">
        <f>IF(#REF!&lt;=80,"Low Calls",
IF(#REF!&lt;=120,"Medium Calls","High Calls"))</f>
        <v>#REF!</v>
      </c>
      <c r="AA1531" t="e">
        <f>IF(#REF!&lt;=15,"Low Charges",
IF(#REF!&lt;=20,"Medium Charges","High Charges"))</f>
        <v>#REF!</v>
      </c>
      <c r="AB1531" t="e">
        <f>IF(AND(#REF!&gt;180, #REF!&gt;200), "Heavy Doemstic User", IF(#REF!&gt;10, "Interntional User", IF(AND(#REF!&lt;180, #REF!&lt;200,#REF!&lt;200), "Light User", "Balanced User")))</f>
        <v>#REF!</v>
      </c>
      <c r="AC1531" t="e">
        <f>IF(#REF! = 0, "No Usage", IF(#REF! &lt;= 20, "Low Usage", IF(#REF! &lt;= 40, "Medium Usgae", "High Usage")))</f>
        <v>#REF!</v>
      </c>
      <c r="AD1531" t="e">
        <f>IF(#REF!&lt;=150,"Low Usage", IF(#REF!&lt;=200,"Medium Usage", IF(#REF!&lt;=250,"High Usage","Very High Usage")))</f>
        <v>#REF!</v>
      </c>
      <c r="AE1531" t="e">
        <f>IF(#REF!&lt;=5,"Low Calls", IF(#REF!&lt;=10, "Medium Calls", "High Calls"))</f>
        <v>#REF!</v>
      </c>
      <c r="AF1531" t="e">
        <f xml:space="preserve">
IF(#REF!&gt;=4,4,0)+
IF(#REF!="yes",3,0)+
IF(#REF!="High Charges",3,0)+
IF(#REF!&gt;250,4,0)+
IF(#REF!="no",1,0)+
IF(#REF!="Heavy Domestic User",2,0)</f>
        <v>#REF!</v>
      </c>
      <c r="AG1531" t="e">
        <f>IF(#REF!&gt;=10,"High Risk", IF(#REF!&gt;=5,"Medium Risk","Low Risk"))</f>
        <v>#REF!</v>
      </c>
      <c r="AH1531" t="e">
        <f>#REF! + #REF! + #REF! + #REF!</f>
        <v>#REF!</v>
      </c>
    </row>
    <row r="1532" spans="1:34" x14ac:dyDescent="0.35">
      <c r="A1532">
        <v>1531</v>
      </c>
      <c r="B1532" t="s">
        <v>52</v>
      </c>
      <c r="C1532">
        <v>53</v>
      </c>
      <c r="D1532" t="s">
        <v>21</v>
      </c>
      <c r="E1532" t="s">
        <v>22</v>
      </c>
      <c r="F1532" t="s">
        <v>22</v>
      </c>
      <c r="G1532">
        <v>0</v>
      </c>
      <c r="H1532">
        <v>184.8</v>
      </c>
      <c r="I1532">
        <v>98</v>
      </c>
      <c r="J1532">
        <v>31.42</v>
      </c>
      <c r="K1532">
        <v>216.4</v>
      </c>
      <c r="L1532">
        <v>125</v>
      </c>
      <c r="M1532">
        <v>18.39</v>
      </c>
      <c r="N1532">
        <v>141.1</v>
      </c>
      <c r="O1532">
        <v>116</v>
      </c>
      <c r="P1532">
        <v>6.35</v>
      </c>
      <c r="Q1532">
        <v>18.399999999999999</v>
      </c>
      <c r="R1532">
        <v>3</v>
      </c>
      <c r="S1532">
        <v>4.97</v>
      </c>
      <c r="T1532">
        <v>2</v>
      </c>
      <c r="U1532" t="s">
        <v>22</v>
      </c>
      <c r="V1532" t="e">
        <f>IF(#REF! = "yes", 1, 0)</f>
        <v>#REF!</v>
      </c>
      <c r="W1532" t="e">
        <f>IF(#REF! &lt;= 1, "0-1 Calls", IF(#REF! &lt;= 3, "2-3 Calls", IF(#REF! &lt;=5, "4-5 Calls", "6+ Calls")))</f>
        <v>#REF!</v>
      </c>
      <c r="X1532" t="e">
        <f>IF(#REF! &lt;= 50, "0-50", IF(#REF! &lt;=100, "51-100", IF(#REF! &lt;= 150, "101-150", "151+")))</f>
        <v>#REF!</v>
      </c>
      <c r="Y1532" t="e">
        <f>IF(#REF! &lt;= 3, "Low Charges", "High Charges")</f>
        <v>#REF!</v>
      </c>
      <c r="Z1532" t="e">
        <f>IF(#REF!&lt;=80,"Low Calls",
IF(#REF!&lt;=120,"Medium Calls","High Calls"))</f>
        <v>#REF!</v>
      </c>
      <c r="AA1532" t="e">
        <f>IF(#REF!&lt;=15,"Low Charges",
IF(#REF!&lt;=20,"Medium Charges","High Charges"))</f>
        <v>#REF!</v>
      </c>
      <c r="AB1532" t="e">
        <f>IF(AND(#REF!&gt;180, #REF!&gt;200), "Heavy Doemstic User", IF(#REF!&gt;10, "Interntional User", IF(AND(#REF!&lt;180, #REF!&lt;200,#REF!&lt;200), "Light User", "Balanced User")))</f>
        <v>#REF!</v>
      </c>
      <c r="AC1532" t="e">
        <f>IF(#REF! = 0, "No Usage", IF(#REF! &lt;= 20, "Low Usage", IF(#REF! &lt;= 40, "Medium Usgae", "High Usage")))</f>
        <v>#REF!</v>
      </c>
      <c r="AD1532" t="e">
        <f>IF(#REF!&lt;=150,"Low Usage", IF(#REF!&lt;=200,"Medium Usage", IF(#REF!&lt;=250,"High Usage","Very High Usage")))</f>
        <v>#REF!</v>
      </c>
      <c r="AE1532" t="e">
        <f>IF(#REF!&lt;=5,"Low Calls", IF(#REF!&lt;=10, "Medium Calls", "High Calls"))</f>
        <v>#REF!</v>
      </c>
      <c r="AF1532" t="e">
        <f xml:space="preserve">
IF(#REF!&gt;=4,4,0)+
IF(#REF!="yes",3,0)+
IF(#REF!="High Charges",3,0)+
IF(#REF!&gt;250,4,0)+
IF(#REF!="no",1,0)+
IF(#REF!="Heavy Domestic User",2,0)</f>
        <v>#REF!</v>
      </c>
      <c r="AG1532" t="e">
        <f>IF(#REF!&gt;=10,"High Risk", IF(#REF!&gt;=5,"Medium Risk","Low Risk"))</f>
        <v>#REF!</v>
      </c>
      <c r="AH1532" t="e">
        <f>#REF! + #REF! + #REF! + #REF!</f>
        <v>#REF!</v>
      </c>
    </row>
    <row r="1533" spans="1:34" x14ac:dyDescent="0.35">
      <c r="A1533">
        <v>1532</v>
      </c>
      <c r="B1533" t="s">
        <v>57</v>
      </c>
      <c r="C1533">
        <v>116</v>
      </c>
      <c r="D1533" t="s">
        <v>25</v>
      </c>
      <c r="E1533" t="s">
        <v>22</v>
      </c>
      <c r="F1533" t="s">
        <v>22</v>
      </c>
      <c r="G1533">
        <v>0</v>
      </c>
      <c r="H1533">
        <v>167.8</v>
      </c>
      <c r="I1533">
        <v>119</v>
      </c>
      <c r="J1533">
        <v>28.53</v>
      </c>
      <c r="K1533">
        <v>142</v>
      </c>
      <c r="L1533">
        <v>123</v>
      </c>
      <c r="M1533">
        <v>12.07</v>
      </c>
      <c r="N1533">
        <v>190.7</v>
      </c>
      <c r="O1533">
        <v>128</v>
      </c>
      <c r="P1533">
        <v>8.58</v>
      </c>
      <c r="Q1533">
        <v>7.3</v>
      </c>
      <c r="R1533">
        <v>4</v>
      </c>
      <c r="S1533">
        <v>1.97</v>
      </c>
      <c r="T1533">
        <v>2</v>
      </c>
      <c r="U1533" t="s">
        <v>22</v>
      </c>
      <c r="V1533" t="e">
        <f>IF(#REF! = "yes", 1, 0)</f>
        <v>#REF!</v>
      </c>
      <c r="W1533" t="e">
        <f>IF(#REF! &lt;= 1, "0-1 Calls", IF(#REF! &lt;= 3, "2-3 Calls", IF(#REF! &lt;=5, "4-5 Calls", "6+ Calls")))</f>
        <v>#REF!</v>
      </c>
      <c r="X1533" t="e">
        <f>IF(#REF! &lt;= 50, "0-50", IF(#REF! &lt;=100, "51-100", IF(#REF! &lt;= 150, "101-150", "151+")))</f>
        <v>#REF!</v>
      </c>
      <c r="Y1533" t="e">
        <f>IF(#REF! &lt;= 3, "Low Charges", "High Charges")</f>
        <v>#REF!</v>
      </c>
      <c r="Z1533" t="e">
        <f>IF(#REF!&lt;=80,"Low Calls",
IF(#REF!&lt;=120,"Medium Calls","High Calls"))</f>
        <v>#REF!</v>
      </c>
      <c r="AA1533" t="e">
        <f>IF(#REF!&lt;=15,"Low Charges",
IF(#REF!&lt;=20,"Medium Charges","High Charges"))</f>
        <v>#REF!</v>
      </c>
      <c r="AB1533" t="e">
        <f>IF(AND(#REF!&gt;180, #REF!&gt;200), "Heavy Doemstic User", IF(#REF!&gt;10, "Interntional User", IF(AND(#REF!&lt;180, #REF!&lt;200,#REF!&lt;200), "Light User", "Balanced User")))</f>
        <v>#REF!</v>
      </c>
      <c r="AC1533" t="e">
        <f>IF(#REF! = 0, "No Usage", IF(#REF! &lt;= 20, "Low Usage", IF(#REF! &lt;= 40, "Medium Usgae", "High Usage")))</f>
        <v>#REF!</v>
      </c>
      <c r="AD1533" t="e">
        <f>IF(#REF!&lt;=150,"Low Usage", IF(#REF!&lt;=200,"Medium Usage", IF(#REF!&lt;=250,"High Usage","Very High Usage")))</f>
        <v>#REF!</v>
      </c>
      <c r="AE1533" t="e">
        <f>IF(#REF!&lt;=5,"Low Calls", IF(#REF!&lt;=10, "Medium Calls", "High Calls"))</f>
        <v>#REF!</v>
      </c>
      <c r="AF1533" t="e">
        <f xml:space="preserve">
IF(#REF!&gt;=4,4,0)+
IF(#REF!="yes",3,0)+
IF(#REF!="High Charges",3,0)+
IF(#REF!&gt;250,4,0)+
IF(#REF!="no",1,0)+
IF(#REF!="Heavy Domestic User",2,0)</f>
        <v>#REF!</v>
      </c>
      <c r="AG1533" t="e">
        <f>IF(#REF!&gt;=10,"High Risk", IF(#REF!&gt;=5,"Medium Risk","Low Risk"))</f>
        <v>#REF!</v>
      </c>
      <c r="AH1533" t="e">
        <f>#REF! + #REF! + #REF! + #REF!</f>
        <v>#REF!</v>
      </c>
    </row>
    <row r="1534" spans="1:34" x14ac:dyDescent="0.35">
      <c r="A1534">
        <v>1533</v>
      </c>
      <c r="B1534" t="s">
        <v>54</v>
      </c>
      <c r="C1534">
        <v>78</v>
      </c>
      <c r="D1534" t="s">
        <v>25</v>
      </c>
      <c r="E1534" t="s">
        <v>22</v>
      </c>
      <c r="F1534" t="s">
        <v>22</v>
      </c>
      <c r="G1534">
        <v>0</v>
      </c>
      <c r="H1534">
        <v>139.19999999999999</v>
      </c>
      <c r="I1534">
        <v>140</v>
      </c>
      <c r="J1534">
        <v>23.66</v>
      </c>
      <c r="K1534">
        <v>191.4</v>
      </c>
      <c r="L1534">
        <v>113</v>
      </c>
      <c r="M1534">
        <v>16.27</v>
      </c>
      <c r="N1534">
        <v>286.5</v>
      </c>
      <c r="O1534">
        <v>125</v>
      </c>
      <c r="P1534">
        <v>12.89</v>
      </c>
      <c r="Q1534">
        <v>11.8</v>
      </c>
      <c r="R1534">
        <v>3</v>
      </c>
      <c r="S1534">
        <v>3.19</v>
      </c>
      <c r="T1534">
        <v>3</v>
      </c>
      <c r="U1534" t="s">
        <v>22</v>
      </c>
      <c r="V1534" t="e">
        <f>IF(#REF! = "yes", 1, 0)</f>
        <v>#REF!</v>
      </c>
      <c r="W1534" t="e">
        <f>IF(#REF! &lt;= 1, "0-1 Calls", IF(#REF! &lt;= 3, "2-3 Calls", IF(#REF! &lt;=5, "4-5 Calls", "6+ Calls")))</f>
        <v>#REF!</v>
      </c>
      <c r="X1534" t="e">
        <f>IF(#REF! &lt;= 50, "0-50", IF(#REF! &lt;=100, "51-100", IF(#REF! &lt;= 150, "101-150", "151+")))</f>
        <v>#REF!</v>
      </c>
      <c r="Y1534" t="e">
        <f>IF(#REF! &lt;= 3, "Low Charges", "High Charges")</f>
        <v>#REF!</v>
      </c>
      <c r="Z1534" t="e">
        <f>IF(#REF!&lt;=80,"Low Calls",
IF(#REF!&lt;=120,"Medium Calls","High Calls"))</f>
        <v>#REF!</v>
      </c>
      <c r="AA1534" t="e">
        <f>IF(#REF!&lt;=15,"Low Charges",
IF(#REF!&lt;=20,"Medium Charges","High Charges"))</f>
        <v>#REF!</v>
      </c>
      <c r="AB1534" t="e">
        <f>IF(AND(#REF!&gt;180, #REF!&gt;200), "Heavy Doemstic User", IF(#REF!&gt;10, "Interntional User", IF(AND(#REF!&lt;180, #REF!&lt;200,#REF!&lt;200), "Light User", "Balanced User")))</f>
        <v>#REF!</v>
      </c>
      <c r="AC1534" t="e">
        <f>IF(#REF! = 0, "No Usage", IF(#REF! &lt;= 20, "Low Usage", IF(#REF! &lt;= 40, "Medium Usgae", "High Usage")))</f>
        <v>#REF!</v>
      </c>
      <c r="AD1534" t="e">
        <f>IF(#REF!&lt;=150,"Low Usage", IF(#REF!&lt;=200,"Medium Usage", IF(#REF!&lt;=250,"High Usage","Very High Usage")))</f>
        <v>#REF!</v>
      </c>
      <c r="AE1534" t="e">
        <f>IF(#REF!&lt;=5,"Low Calls", IF(#REF!&lt;=10, "Medium Calls", "High Calls"))</f>
        <v>#REF!</v>
      </c>
      <c r="AF1534" t="e">
        <f xml:space="preserve">
IF(#REF!&gt;=4,4,0)+
IF(#REF!="yes",3,0)+
IF(#REF!="High Charges",3,0)+
IF(#REF!&gt;250,4,0)+
IF(#REF!="no",1,0)+
IF(#REF!="Heavy Domestic User",2,0)</f>
        <v>#REF!</v>
      </c>
      <c r="AG1534" t="e">
        <f>IF(#REF!&gt;=10,"High Risk", IF(#REF!&gt;=5,"Medium Risk","Low Risk"))</f>
        <v>#REF!</v>
      </c>
      <c r="AH1534" t="e">
        <f>#REF! + #REF! + #REF! + #REF!</f>
        <v>#REF!</v>
      </c>
    </row>
    <row r="1535" spans="1:34" x14ac:dyDescent="0.35">
      <c r="A1535">
        <v>1534</v>
      </c>
      <c r="B1535" t="s">
        <v>69</v>
      </c>
      <c r="C1535">
        <v>56</v>
      </c>
      <c r="D1535" t="s">
        <v>28</v>
      </c>
      <c r="E1535" t="s">
        <v>22</v>
      </c>
      <c r="F1535" t="s">
        <v>22</v>
      </c>
      <c r="G1535">
        <v>0</v>
      </c>
      <c r="H1535">
        <v>121.6</v>
      </c>
      <c r="I1535">
        <v>84</v>
      </c>
      <c r="J1535">
        <v>20.67</v>
      </c>
      <c r="K1535">
        <v>165.3</v>
      </c>
      <c r="L1535">
        <v>115</v>
      </c>
      <c r="M1535">
        <v>14.05</v>
      </c>
      <c r="N1535">
        <v>243.9</v>
      </c>
      <c r="O1535">
        <v>95</v>
      </c>
      <c r="P1535">
        <v>10.98</v>
      </c>
      <c r="Q1535">
        <v>8.9</v>
      </c>
      <c r="R1535">
        <v>2</v>
      </c>
      <c r="S1535">
        <v>2.4</v>
      </c>
      <c r="T1535">
        <v>1</v>
      </c>
      <c r="U1535" t="s">
        <v>22</v>
      </c>
      <c r="V1535" t="e">
        <f>IF(#REF! = "yes", 1, 0)</f>
        <v>#REF!</v>
      </c>
      <c r="W1535" t="e">
        <f>IF(#REF! &lt;= 1, "0-1 Calls", IF(#REF! &lt;= 3, "2-3 Calls", IF(#REF! &lt;=5, "4-5 Calls", "6+ Calls")))</f>
        <v>#REF!</v>
      </c>
      <c r="X1535" t="e">
        <f>IF(#REF! &lt;= 50, "0-50", IF(#REF! &lt;=100, "51-100", IF(#REF! &lt;= 150, "101-150", "151+")))</f>
        <v>#REF!</v>
      </c>
      <c r="Y1535" t="e">
        <f>IF(#REF! &lt;= 3, "Low Charges", "High Charges")</f>
        <v>#REF!</v>
      </c>
      <c r="Z1535" t="e">
        <f>IF(#REF!&lt;=80,"Low Calls",
IF(#REF!&lt;=120,"Medium Calls","High Calls"))</f>
        <v>#REF!</v>
      </c>
      <c r="AA1535" t="e">
        <f>IF(#REF!&lt;=15,"Low Charges",
IF(#REF!&lt;=20,"Medium Charges","High Charges"))</f>
        <v>#REF!</v>
      </c>
      <c r="AB1535" t="e">
        <f>IF(AND(#REF!&gt;180, #REF!&gt;200), "Heavy Doemstic User", IF(#REF!&gt;10, "Interntional User", IF(AND(#REF!&lt;180, #REF!&lt;200,#REF!&lt;200), "Light User", "Balanced User")))</f>
        <v>#REF!</v>
      </c>
      <c r="AC1535" t="e">
        <f>IF(#REF! = 0, "No Usage", IF(#REF! &lt;= 20, "Low Usage", IF(#REF! &lt;= 40, "Medium Usgae", "High Usage")))</f>
        <v>#REF!</v>
      </c>
      <c r="AD1535" t="e">
        <f>IF(#REF!&lt;=150,"Low Usage", IF(#REF!&lt;=200,"Medium Usage", IF(#REF!&lt;=250,"High Usage","Very High Usage")))</f>
        <v>#REF!</v>
      </c>
      <c r="AE1535" t="e">
        <f>IF(#REF!&lt;=5,"Low Calls", IF(#REF!&lt;=10, "Medium Calls", "High Calls"))</f>
        <v>#REF!</v>
      </c>
      <c r="AF1535" t="e">
        <f xml:space="preserve">
IF(#REF!&gt;=4,4,0)+
IF(#REF!="yes",3,0)+
IF(#REF!="High Charges",3,0)+
IF(#REF!&gt;250,4,0)+
IF(#REF!="no",1,0)+
IF(#REF!="Heavy Domestic User",2,0)</f>
        <v>#REF!</v>
      </c>
      <c r="AG1535" t="e">
        <f>IF(#REF!&gt;=10,"High Risk", IF(#REF!&gt;=5,"Medium Risk","Low Risk"))</f>
        <v>#REF!</v>
      </c>
      <c r="AH1535" t="e">
        <f>#REF! + #REF! + #REF! + #REF!</f>
        <v>#REF!</v>
      </c>
    </row>
    <row r="1536" spans="1:34" x14ac:dyDescent="0.35">
      <c r="A1536">
        <v>1535</v>
      </c>
      <c r="B1536" t="s">
        <v>20</v>
      </c>
      <c r="C1536">
        <v>123</v>
      </c>
      <c r="D1536" t="s">
        <v>25</v>
      </c>
      <c r="E1536" t="s">
        <v>22</v>
      </c>
      <c r="F1536" t="s">
        <v>23</v>
      </c>
      <c r="G1536">
        <v>39</v>
      </c>
      <c r="H1536">
        <v>270.39999999999998</v>
      </c>
      <c r="I1536">
        <v>99</v>
      </c>
      <c r="J1536">
        <v>45.97</v>
      </c>
      <c r="K1536">
        <v>245.1</v>
      </c>
      <c r="L1536">
        <v>110</v>
      </c>
      <c r="M1536">
        <v>20.83</v>
      </c>
      <c r="N1536">
        <v>108.9</v>
      </c>
      <c r="O1536">
        <v>113</v>
      </c>
      <c r="P1536">
        <v>4.9000000000000004</v>
      </c>
      <c r="Q1536">
        <v>15.4</v>
      </c>
      <c r="R1536">
        <v>7</v>
      </c>
      <c r="S1536">
        <v>4.16</v>
      </c>
      <c r="T1536">
        <v>1</v>
      </c>
      <c r="U1536" t="s">
        <v>22</v>
      </c>
      <c r="V1536" t="e">
        <f>IF(#REF! = "yes", 1, 0)</f>
        <v>#REF!</v>
      </c>
      <c r="W1536" t="e">
        <f>IF(#REF! &lt;= 1, "0-1 Calls", IF(#REF! &lt;= 3, "2-3 Calls", IF(#REF! &lt;=5, "4-5 Calls", "6+ Calls")))</f>
        <v>#REF!</v>
      </c>
      <c r="X1536" t="e">
        <f>IF(#REF! &lt;= 50, "0-50", IF(#REF! &lt;=100, "51-100", IF(#REF! &lt;= 150, "101-150", "151+")))</f>
        <v>#REF!</v>
      </c>
      <c r="Y1536" t="e">
        <f>IF(#REF! &lt;= 3, "Low Charges", "High Charges")</f>
        <v>#REF!</v>
      </c>
      <c r="Z1536" t="e">
        <f>IF(#REF!&lt;=80,"Low Calls",
IF(#REF!&lt;=120,"Medium Calls","High Calls"))</f>
        <v>#REF!</v>
      </c>
      <c r="AA1536" t="e">
        <f>IF(#REF!&lt;=15,"Low Charges",
IF(#REF!&lt;=20,"Medium Charges","High Charges"))</f>
        <v>#REF!</v>
      </c>
      <c r="AB1536" t="e">
        <f>IF(AND(#REF!&gt;180, #REF!&gt;200), "Heavy Doemstic User", IF(#REF!&gt;10, "Interntional User", IF(AND(#REF!&lt;180, #REF!&lt;200,#REF!&lt;200), "Light User", "Balanced User")))</f>
        <v>#REF!</v>
      </c>
      <c r="AC1536" t="e">
        <f>IF(#REF! = 0, "No Usage", IF(#REF! &lt;= 20, "Low Usage", IF(#REF! &lt;= 40, "Medium Usgae", "High Usage")))</f>
        <v>#REF!</v>
      </c>
      <c r="AD1536" t="e">
        <f>IF(#REF!&lt;=150,"Low Usage", IF(#REF!&lt;=200,"Medium Usage", IF(#REF!&lt;=250,"High Usage","Very High Usage")))</f>
        <v>#REF!</v>
      </c>
      <c r="AE1536" t="e">
        <f>IF(#REF!&lt;=5,"Low Calls", IF(#REF!&lt;=10, "Medium Calls", "High Calls"))</f>
        <v>#REF!</v>
      </c>
      <c r="AF1536" t="e">
        <f xml:space="preserve">
IF(#REF!&gt;=4,4,0)+
IF(#REF!="yes",3,0)+
IF(#REF!="High Charges",3,0)+
IF(#REF!&gt;250,4,0)+
IF(#REF!="no",1,0)+
IF(#REF!="Heavy Domestic User",2,0)</f>
        <v>#REF!</v>
      </c>
      <c r="AG1536" t="e">
        <f>IF(#REF!&gt;=10,"High Risk", IF(#REF!&gt;=5,"Medium Risk","Low Risk"))</f>
        <v>#REF!</v>
      </c>
      <c r="AH1536" t="e">
        <f>#REF! + #REF! + #REF! + #REF!</f>
        <v>#REF!</v>
      </c>
    </row>
    <row r="1537" spans="1:34" x14ac:dyDescent="0.35">
      <c r="A1537">
        <v>1536</v>
      </c>
      <c r="B1537" t="s">
        <v>20</v>
      </c>
      <c r="C1537">
        <v>127</v>
      </c>
      <c r="D1537" t="s">
        <v>25</v>
      </c>
      <c r="E1537" t="s">
        <v>22</v>
      </c>
      <c r="F1537" t="s">
        <v>22</v>
      </c>
      <c r="G1537">
        <v>0</v>
      </c>
      <c r="H1537">
        <v>139.6</v>
      </c>
      <c r="I1537">
        <v>94</v>
      </c>
      <c r="J1537">
        <v>23.73</v>
      </c>
      <c r="K1537">
        <v>240.9</v>
      </c>
      <c r="L1537">
        <v>112</v>
      </c>
      <c r="M1537">
        <v>20.48</v>
      </c>
      <c r="N1537">
        <v>127.1</v>
      </c>
      <c r="O1537">
        <v>88</v>
      </c>
      <c r="P1537">
        <v>5.72</v>
      </c>
      <c r="Q1537">
        <v>8.8000000000000007</v>
      </c>
      <c r="R1537">
        <v>4</v>
      </c>
      <c r="S1537">
        <v>2.38</v>
      </c>
      <c r="T1537">
        <v>2</v>
      </c>
      <c r="U1537" t="s">
        <v>22</v>
      </c>
      <c r="V1537" t="e">
        <f>IF(#REF! = "yes", 1, 0)</f>
        <v>#REF!</v>
      </c>
      <c r="W1537" t="e">
        <f>IF(#REF! &lt;= 1, "0-1 Calls", IF(#REF! &lt;= 3, "2-3 Calls", IF(#REF! &lt;=5, "4-5 Calls", "6+ Calls")))</f>
        <v>#REF!</v>
      </c>
      <c r="X1537" t="e">
        <f>IF(#REF! &lt;= 50, "0-50", IF(#REF! &lt;=100, "51-100", IF(#REF! &lt;= 150, "101-150", "151+")))</f>
        <v>#REF!</v>
      </c>
      <c r="Y1537" t="e">
        <f>IF(#REF! &lt;= 3, "Low Charges", "High Charges")</f>
        <v>#REF!</v>
      </c>
      <c r="Z1537" t="e">
        <f>IF(#REF!&lt;=80,"Low Calls",
IF(#REF!&lt;=120,"Medium Calls","High Calls"))</f>
        <v>#REF!</v>
      </c>
      <c r="AA1537" t="e">
        <f>IF(#REF!&lt;=15,"Low Charges",
IF(#REF!&lt;=20,"Medium Charges","High Charges"))</f>
        <v>#REF!</v>
      </c>
      <c r="AB1537" t="e">
        <f>IF(AND(#REF!&gt;180, #REF!&gt;200), "Heavy Doemstic User", IF(#REF!&gt;10, "Interntional User", IF(AND(#REF!&lt;180, #REF!&lt;200,#REF!&lt;200), "Light User", "Balanced User")))</f>
        <v>#REF!</v>
      </c>
      <c r="AC1537" t="e">
        <f>IF(#REF! = 0, "No Usage", IF(#REF! &lt;= 20, "Low Usage", IF(#REF! &lt;= 40, "Medium Usgae", "High Usage")))</f>
        <v>#REF!</v>
      </c>
      <c r="AD1537" t="e">
        <f>IF(#REF!&lt;=150,"Low Usage", IF(#REF!&lt;=200,"Medium Usage", IF(#REF!&lt;=250,"High Usage","Very High Usage")))</f>
        <v>#REF!</v>
      </c>
      <c r="AE1537" t="e">
        <f>IF(#REF!&lt;=5,"Low Calls", IF(#REF!&lt;=10, "Medium Calls", "High Calls"))</f>
        <v>#REF!</v>
      </c>
      <c r="AF1537" t="e">
        <f xml:space="preserve">
IF(#REF!&gt;=4,4,0)+
IF(#REF!="yes",3,0)+
IF(#REF!="High Charges",3,0)+
IF(#REF!&gt;250,4,0)+
IF(#REF!="no",1,0)+
IF(#REF!="Heavy Domestic User",2,0)</f>
        <v>#REF!</v>
      </c>
      <c r="AG1537" t="e">
        <f>IF(#REF!&gt;=10,"High Risk", IF(#REF!&gt;=5,"Medium Risk","Low Risk"))</f>
        <v>#REF!</v>
      </c>
      <c r="AH1537" t="e">
        <f>#REF! + #REF! + #REF! + #REF!</f>
        <v>#REF!</v>
      </c>
    </row>
    <row r="1538" spans="1:34" x14ac:dyDescent="0.35">
      <c r="A1538">
        <v>1537</v>
      </c>
      <c r="B1538" t="s">
        <v>50</v>
      </c>
      <c r="C1538">
        <v>116</v>
      </c>
      <c r="D1538" t="s">
        <v>21</v>
      </c>
      <c r="E1538" t="s">
        <v>22</v>
      </c>
      <c r="F1538" t="s">
        <v>23</v>
      </c>
      <c r="G1538">
        <v>23</v>
      </c>
      <c r="H1538">
        <v>253</v>
      </c>
      <c r="I1538">
        <v>78</v>
      </c>
      <c r="J1538">
        <v>43.01</v>
      </c>
      <c r="K1538">
        <v>138.9</v>
      </c>
      <c r="L1538">
        <v>121</v>
      </c>
      <c r="M1538">
        <v>11.81</v>
      </c>
      <c r="N1538">
        <v>277.8</v>
      </c>
      <c r="O1538">
        <v>104</v>
      </c>
      <c r="P1538">
        <v>12.5</v>
      </c>
      <c r="Q1538">
        <v>11.8</v>
      </c>
      <c r="R1538">
        <v>3</v>
      </c>
      <c r="S1538">
        <v>3.19</v>
      </c>
      <c r="T1538">
        <v>2</v>
      </c>
      <c r="U1538" t="s">
        <v>22</v>
      </c>
      <c r="V1538" t="e">
        <f>IF(#REF! = "yes", 1, 0)</f>
        <v>#REF!</v>
      </c>
      <c r="W1538" t="e">
        <f>IF(#REF! &lt;= 1, "0-1 Calls", IF(#REF! &lt;= 3, "2-3 Calls", IF(#REF! &lt;=5, "4-5 Calls", "6+ Calls")))</f>
        <v>#REF!</v>
      </c>
      <c r="X1538" t="e">
        <f>IF(#REF! &lt;= 50, "0-50", IF(#REF! &lt;=100, "51-100", IF(#REF! &lt;= 150, "101-150", "151+")))</f>
        <v>#REF!</v>
      </c>
      <c r="Y1538" t="e">
        <f>IF(#REF! &lt;= 3, "Low Charges", "High Charges")</f>
        <v>#REF!</v>
      </c>
      <c r="Z1538" t="e">
        <f>IF(#REF!&lt;=80,"Low Calls",
IF(#REF!&lt;=120,"Medium Calls","High Calls"))</f>
        <v>#REF!</v>
      </c>
      <c r="AA1538" t="e">
        <f>IF(#REF!&lt;=15,"Low Charges",
IF(#REF!&lt;=20,"Medium Charges","High Charges"))</f>
        <v>#REF!</v>
      </c>
      <c r="AB1538" t="e">
        <f>IF(AND(#REF!&gt;180, #REF!&gt;200), "Heavy Doemstic User", IF(#REF!&gt;10, "Interntional User", IF(AND(#REF!&lt;180, #REF!&lt;200,#REF!&lt;200), "Light User", "Balanced User")))</f>
        <v>#REF!</v>
      </c>
      <c r="AC1538" t="e">
        <f>IF(#REF! = 0, "No Usage", IF(#REF! &lt;= 20, "Low Usage", IF(#REF! &lt;= 40, "Medium Usgae", "High Usage")))</f>
        <v>#REF!</v>
      </c>
      <c r="AD1538" t="e">
        <f>IF(#REF!&lt;=150,"Low Usage", IF(#REF!&lt;=200,"Medium Usage", IF(#REF!&lt;=250,"High Usage","Very High Usage")))</f>
        <v>#REF!</v>
      </c>
      <c r="AE1538" t="e">
        <f>IF(#REF!&lt;=5,"Low Calls", IF(#REF!&lt;=10, "Medium Calls", "High Calls"))</f>
        <v>#REF!</v>
      </c>
      <c r="AF1538" t="e">
        <f xml:space="preserve">
IF(#REF!&gt;=4,4,0)+
IF(#REF!="yes",3,0)+
IF(#REF!="High Charges",3,0)+
IF(#REF!&gt;250,4,0)+
IF(#REF!="no",1,0)+
IF(#REF!="Heavy Domestic User",2,0)</f>
        <v>#REF!</v>
      </c>
      <c r="AG1538" t="e">
        <f>IF(#REF!&gt;=10,"High Risk", IF(#REF!&gt;=5,"Medium Risk","Low Risk"))</f>
        <v>#REF!</v>
      </c>
      <c r="AH1538" t="e">
        <f>#REF! + #REF! + #REF! + #REF!</f>
        <v>#REF!</v>
      </c>
    </row>
    <row r="1539" spans="1:34" x14ac:dyDescent="0.35">
      <c r="A1539">
        <v>1538</v>
      </c>
      <c r="B1539" t="s">
        <v>70</v>
      </c>
      <c r="C1539">
        <v>138</v>
      </c>
      <c r="D1539" t="s">
        <v>28</v>
      </c>
      <c r="E1539" t="s">
        <v>22</v>
      </c>
      <c r="F1539" t="s">
        <v>23</v>
      </c>
      <c r="G1539">
        <v>26</v>
      </c>
      <c r="H1539">
        <v>183.9</v>
      </c>
      <c r="I1539">
        <v>83</v>
      </c>
      <c r="J1539">
        <v>31.26</v>
      </c>
      <c r="K1539">
        <v>240.7</v>
      </c>
      <c r="L1539">
        <v>93</v>
      </c>
      <c r="M1539">
        <v>20.46</v>
      </c>
      <c r="N1539">
        <v>185.7</v>
      </c>
      <c r="O1539">
        <v>125</v>
      </c>
      <c r="P1539">
        <v>8.36</v>
      </c>
      <c r="Q1539">
        <v>15</v>
      </c>
      <c r="R1539">
        <v>3</v>
      </c>
      <c r="S1539">
        <v>4.05</v>
      </c>
      <c r="T1539">
        <v>1</v>
      </c>
      <c r="U1539" t="s">
        <v>22</v>
      </c>
      <c r="V1539" t="e">
        <f>IF(#REF! = "yes", 1, 0)</f>
        <v>#REF!</v>
      </c>
      <c r="W1539" t="e">
        <f>IF(#REF! &lt;= 1, "0-1 Calls", IF(#REF! &lt;= 3, "2-3 Calls", IF(#REF! &lt;=5, "4-5 Calls", "6+ Calls")))</f>
        <v>#REF!</v>
      </c>
      <c r="X1539" t="e">
        <f>IF(#REF! &lt;= 50, "0-50", IF(#REF! &lt;=100, "51-100", IF(#REF! &lt;= 150, "101-150", "151+")))</f>
        <v>#REF!</v>
      </c>
      <c r="Y1539" t="e">
        <f>IF(#REF! &lt;= 3, "Low Charges", "High Charges")</f>
        <v>#REF!</v>
      </c>
      <c r="Z1539" t="e">
        <f>IF(#REF!&lt;=80,"Low Calls",
IF(#REF!&lt;=120,"Medium Calls","High Calls"))</f>
        <v>#REF!</v>
      </c>
      <c r="AA1539" t="e">
        <f>IF(#REF!&lt;=15,"Low Charges",
IF(#REF!&lt;=20,"Medium Charges","High Charges"))</f>
        <v>#REF!</v>
      </c>
      <c r="AB1539" t="e">
        <f>IF(AND(#REF!&gt;180, #REF!&gt;200), "Heavy Doemstic User", IF(#REF!&gt;10, "Interntional User", IF(AND(#REF!&lt;180, #REF!&lt;200,#REF!&lt;200), "Light User", "Balanced User")))</f>
        <v>#REF!</v>
      </c>
      <c r="AC1539" t="e">
        <f>IF(#REF! = 0, "No Usage", IF(#REF! &lt;= 20, "Low Usage", IF(#REF! &lt;= 40, "Medium Usgae", "High Usage")))</f>
        <v>#REF!</v>
      </c>
      <c r="AD1539" t="e">
        <f>IF(#REF!&lt;=150,"Low Usage", IF(#REF!&lt;=200,"Medium Usage", IF(#REF!&lt;=250,"High Usage","Very High Usage")))</f>
        <v>#REF!</v>
      </c>
      <c r="AE1539" t="e">
        <f>IF(#REF!&lt;=5,"Low Calls", IF(#REF!&lt;=10, "Medium Calls", "High Calls"))</f>
        <v>#REF!</v>
      </c>
      <c r="AF1539" t="e">
        <f xml:space="preserve">
IF(#REF!&gt;=4,4,0)+
IF(#REF!="yes",3,0)+
IF(#REF!="High Charges",3,0)+
IF(#REF!&gt;250,4,0)+
IF(#REF!="no",1,0)+
IF(#REF!="Heavy Domestic User",2,0)</f>
        <v>#REF!</v>
      </c>
      <c r="AG1539" t="e">
        <f>IF(#REF!&gt;=10,"High Risk", IF(#REF!&gt;=5,"Medium Risk","Low Risk"))</f>
        <v>#REF!</v>
      </c>
      <c r="AH1539" t="e">
        <f>#REF! + #REF! + #REF! + #REF!</f>
        <v>#REF!</v>
      </c>
    </row>
    <row r="1540" spans="1:34" x14ac:dyDescent="0.35">
      <c r="A1540">
        <v>1539</v>
      </c>
      <c r="B1540" t="s">
        <v>39</v>
      </c>
      <c r="C1540">
        <v>120</v>
      </c>
      <c r="D1540" t="s">
        <v>21</v>
      </c>
      <c r="E1540" t="s">
        <v>22</v>
      </c>
      <c r="F1540" t="s">
        <v>22</v>
      </c>
      <c r="G1540">
        <v>0</v>
      </c>
      <c r="H1540">
        <v>203.3</v>
      </c>
      <c r="I1540">
        <v>108</v>
      </c>
      <c r="J1540">
        <v>34.56</v>
      </c>
      <c r="K1540">
        <v>259.89999999999998</v>
      </c>
      <c r="L1540">
        <v>66</v>
      </c>
      <c r="M1540">
        <v>22.09</v>
      </c>
      <c r="N1540">
        <v>115.9</v>
      </c>
      <c r="O1540">
        <v>103</v>
      </c>
      <c r="P1540">
        <v>5.22</v>
      </c>
      <c r="Q1540">
        <v>7.8</v>
      </c>
      <c r="R1540">
        <v>2</v>
      </c>
      <c r="S1540">
        <v>2.11</v>
      </c>
      <c r="T1540">
        <v>3</v>
      </c>
      <c r="U1540" t="s">
        <v>22</v>
      </c>
      <c r="V1540" t="e">
        <f>IF(#REF! = "yes", 1, 0)</f>
        <v>#REF!</v>
      </c>
      <c r="W1540" t="e">
        <f>IF(#REF! &lt;= 1, "0-1 Calls", IF(#REF! &lt;= 3, "2-3 Calls", IF(#REF! &lt;=5, "4-5 Calls", "6+ Calls")))</f>
        <v>#REF!</v>
      </c>
      <c r="X1540" t="e">
        <f>IF(#REF! &lt;= 50, "0-50", IF(#REF! &lt;=100, "51-100", IF(#REF! &lt;= 150, "101-150", "151+")))</f>
        <v>#REF!</v>
      </c>
      <c r="Y1540" t="e">
        <f>IF(#REF! &lt;= 3, "Low Charges", "High Charges")</f>
        <v>#REF!</v>
      </c>
      <c r="Z1540" t="e">
        <f>IF(#REF!&lt;=80,"Low Calls",
IF(#REF!&lt;=120,"Medium Calls","High Calls"))</f>
        <v>#REF!</v>
      </c>
      <c r="AA1540" t="e">
        <f>IF(#REF!&lt;=15,"Low Charges",
IF(#REF!&lt;=20,"Medium Charges","High Charges"))</f>
        <v>#REF!</v>
      </c>
      <c r="AB1540" t="e">
        <f>IF(AND(#REF!&gt;180, #REF!&gt;200), "Heavy Doemstic User", IF(#REF!&gt;10, "Interntional User", IF(AND(#REF!&lt;180, #REF!&lt;200,#REF!&lt;200), "Light User", "Balanced User")))</f>
        <v>#REF!</v>
      </c>
      <c r="AC1540" t="e">
        <f>IF(#REF! = 0, "No Usage", IF(#REF! &lt;= 20, "Low Usage", IF(#REF! &lt;= 40, "Medium Usgae", "High Usage")))</f>
        <v>#REF!</v>
      </c>
      <c r="AD1540" t="e">
        <f>IF(#REF!&lt;=150,"Low Usage", IF(#REF!&lt;=200,"Medium Usage", IF(#REF!&lt;=250,"High Usage","Very High Usage")))</f>
        <v>#REF!</v>
      </c>
      <c r="AE1540" t="e">
        <f>IF(#REF!&lt;=5,"Low Calls", IF(#REF!&lt;=10, "Medium Calls", "High Calls"))</f>
        <v>#REF!</v>
      </c>
      <c r="AF1540" t="e">
        <f xml:space="preserve">
IF(#REF!&gt;=4,4,0)+
IF(#REF!="yes",3,0)+
IF(#REF!="High Charges",3,0)+
IF(#REF!&gt;250,4,0)+
IF(#REF!="no",1,0)+
IF(#REF!="Heavy Domestic User",2,0)</f>
        <v>#REF!</v>
      </c>
      <c r="AG1540" t="e">
        <f>IF(#REF!&gt;=10,"High Risk", IF(#REF!&gt;=5,"Medium Risk","Low Risk"))</f>
        <v>#REF!</v>
      </c>
      <c r="AH1540" t="e">
        <f>#REF! + #REF! + #REF! + #REF!</f>
        <v>#REF!</v>
      </c>
    </row>
    <row r="1541" spans="1:34" x14ac:dyDescent="0.35">
      <c r="A1541">
        <v>1540</v>
      </c>
      <c r="B1541" t="s">
        <v>51</v>
      </c>
      <c r="C1541">
        <v>102</v>
      </c>
      <c r="D1541" t="s">
        <v>25</v>
      </c>
      <c r="E1541" t="s">
        <v>22</v>
      </c>
      <c r="F1541" t="s">
        <v>22</v>
      </c>
      <c r="G1541">
        <v>0</v>
      </c>
      <c r="H1541">
        <v>200.6</v>
      </c>
      <c r="I1541">
        <v>106</v>
      </c>
      <c r="J1541">
        <v>34.1</v>
      </c>
      <c r="K1541">
        <v>152.5</v>
      </c>
      <c r="L1541">
        <v>127</v>
      </c>
      <c r="M1541">
        <v>12.96</v>
      </c>
      <c r="N1541">
        <v>199.4</v>
      </c>
      <c r="O1541">
        <v>128</v>
      </c>
      <c r="P1541">
        <v>8.9700000000000006</v>
      </c>
      <c r="Q1541">
        <v>7.7</v>
      </c>
      <c r="R1541">
        <v>2</v>
      </c>
      <c r="S1541">
        <v>2.08</v>
      </c>
      <c r="T1541">
        <v>3</v>
      </c>
      <c r="U1541" t="s">
        <v>22</v>
      </c>
      <c r="V1541" t="e">
        <f>IF(#REF! = "yes", 1, 0)</f>
        <v>#REF!</v>
      </c>
      <c r="W1541" t="e">
        <f>IF(#REF! &lt;= 1, "0-1 Calls", IF(#REF! &lt;= 3, "2-3 Calls", IF(#REF! &lt;=5, "4-5 Calls", "6+ Calls")))</f>
        <v>#REF!</v>
      </c>
      <c r="X1541" t="e">
        <f>IF(#REF! &lt;= 50, "0-50", IF(#REF! &lt;=100, "51-100", IF(#REF! &lt;= 150, "101-150", "151+")))</f>
        <v>#REF!</v>
      </c>
      <c r="Y1541" t="e">
        <f>IF(#REF! &lt;= 3, "Low Charges", "High Charges")</f>
        <v>#REF!</v>
      </c>
      <c r="Z1541" t="e">
        <f>IF(#REF!&lt;=80,"Low Calls",
IF(#REF!&lt;=120,"Medium Calls","High Calls"))</f>
        <v>#REF!</v>
      </c>
      <c r="AA1541" t="e">
        <f>IF(#REF!&lt;=15,"Low Charges",
IF(#REF!&lt;=20,"Medium Charges","High Charges"))</f>
        <v>#REF!</v>
      </c>
      <c r="AB1541" t="e">
        <f>IF(AND(#REF!&gt;180, #REF!&gt;200), "Heavy Doemstic User", IF(#REF!&gt;10, "Interntional User", IF(AND(#REF!&lt;180, #REF!&lt;200,#REF!&lt;200), "Light User", "Balanced User")))</f>
        <v>#REF!</v>
      </c>
      <c r="AC1541" t="e">
        <f>IF(#REF! = 0, "No Usage", IF(#REF! &lt;= 20, "Low Usage", IF(#REF! &lt;= 40, "Medium Usgae", "High Usage")))</f>
        <v>#REF!</v>
      </c>
      <c r="AD1541" t="e">
        <f>IF(#REF!&lt;=150,"Low Usage", IF(#REF!&lt;=200,"Medium Usage", IF(#REF!&lt;=250,"High Usage","Very High Usage")))</f>
        <v>#REF!</v>
      </c>
      <c r="AE1541" t="e">
        <f>IF(#REF!&lt;=5,"Low Calls", IF(#REF!&lt;=10, "Medium Calls", "High Calls"))</f>
        <v>#REF!</v>
      </c>
      <c r="AF1541" t="e">
        <f xml:space="preserve">
IF(#REF!&gt;=4,4,0)+
IF(#REF!="yes",3,0)+
IF(#REF!="High Charges",3,0)+
IF(#REF!&gt;250,4,0)+
IF(#REF!="no",1,0)+
IF(#REF!="Heavy Domestic User",2,0)</f>
        <v>#REF!</v>
      </c>
      <c r="AG1541" t="e">
        <f>IF(#REF!&gt;=10,"High Risk", IF(#REF!&gt;=5,"Medium Risk","Low Risk"))</f>
        <v>#REF!</v>
      </c>
      <c r="AH1541" t="e">
        <f>#REF! + #REF! + #REF! + #REF!</f>
        <v>#REF!</v>
      </c>
    </row>
    <row r="1542" spans="1:34" x14ac:dyDescent="0.35">
      <c r="A1542">
        <v>1541</v>
      </c>
      <c r="B1542" t="s">
        <v>52</v>
      </c>
      <c r="C1542">
        <v>95</v>
      </c>
      <c r="D1542" t="s">
        <v>21</v>
      </c>
      <c r="E1542" t="s">
        <v>22</v>
      </c>
      <c r="F1542" t="s">
        <v>22</v>
      </c>
      <c r="G1542">
        <v>0</v>
      </c>
      <c r="H1542">
        <v>167.6</v>
      </c>
      <c r="I1542">
        <v>96</v>
      </c>
      <c r="J1542">
        <v>28.49</v>
      </c>
      <c r="K1542">
        <v>176</v>
      </c>
      <c r="L1542">
        <v>89</v>
      </c>
      <c r="M1542">
        <v>14.96</v>
      </c>
      <c r="N1542">
        <v>250.9</v>
      </c>
      <c r="O1542">
        <v>113</v>
      </c>
      <c r="P1542">
        <v>11.29</v>
      </c>
      <c r="Q1542">
        <v>13.4</v>
      </c>
      <c r="R1542">
        <v>6</v>
      </c>
      <c r="S1542">
        <v>3.62</v>
      </c>
      <c r="T1542">
        <v>2</v>
      </c>
      <c r="U1542" t="s">
        <v>22</v>
      </c>
      <c r="V1542" t="e">
        <f>IF(#REF! = "yes", 1, 0)</f>
        <v>#REF!</v>
      </c>
      <c r="W1542" t="e">
        <f>IF(#REF! &lt;= 1, "0-1 Calls", IF(#REF! &lt;= 3, "2-3 Calls", IF(#REF! &lt;=5, "4-5 Calls", "6+ Calls")))</f>
        <v>#REF!</v>
      </c>
      <c r="X1542" t="e">
        <f>IF(#REF! &lt;= 50, "0-50", IF(#REF! &lt;=100, "51-100", IF(#REF! &lt;= 150, "101-150", "151+")))</f>
        <v>#REF!</v>
      </c>
      <c r="Y1542" t="e">
        <f>IF(#REF! &lt;= 3, "Low Charges", "High Charges")</f>
        <v>#REF!</v>
      </c>
      <c r="Z1542" t="e">
        <f>IF(#REF!&lt;=80,"Low Calls",
IF(#REF!&lt;=120,"Medium Calls","High Calls"))</f>
        <v>#REF!</v>
      </c>
      <c r="AA1542" t="e">
        <f>IF(#REF!&lt;=15,"Low Charges",
IF(#REF!&lt;=20,"Medium Charges","High Charges"))</f>
        <v>#REF!</v>
      </c>
      <c r="AB1542" t="e">
        <f>IF(AND(#REF!&gt;180, #REF!&gt;200), "Heavy Doemstic User", IF(#REF!&gt;10, "Interntional User", IF(AND(#REF!&lt;180, #REF!&lt;200,#REF!&lt;200), "Light User", "Balanced User")))</f>
        <v>#REF!</v>
      </c>
      <c r="AC1542" t="e">
        <f>IF(#REF! = 0, "No Usage", IF(#REF! &lt;= 20, "Low Usage", IF(#REF! &lt;= 40, "Medium Usgae", "High Usage")))</f>
        <v>#REF!</v>
      </c>
      <c r="AD1542" t="e">
        <f>IF(#REF!&lt;=150,"Low Usage", IF(#REF!&lt;=200,"Medium Usage", IF(#REF!&lt;=250,"High Usage","Very High Usage")))</f>
        <v>#REF!</v>
      </c>
      <c r="AE1542" t="e">
        <f>IF(#REF!&lt;=5,"Low Calls", IF(#REF!&lt;=10, "Medium Calls", "High Calls"))</f>
        <v>#REF!</v>
      </c>
      <c r="AF1542" t="e">
        <f xml:space="preserve">
IF(#REF!&gt;=4,4,0)+
IF(#REF!="yes",3,0)+
IF(#REF!="High Charges",3,0)+
IF(#REF!&gt;250,4,0)+
IF(#REF!="no",1,0)+
IF(#REF!="Heavy Domestic User",2,0)</f>
        <v>#REF!</v>
      </c>
      <c r="AG1542" t="e">
        <f>IF(#REF!&gt;=10,"High Risk", IF(#REF!&gt;=5,"Medium Risk","Low Risk"))</f>
        <v>#REF!</v>
      </c>
      <c r="AH1542" t="e">
        <f>#REF! + #REF! + #REF! + #REF!</f>
        <v>#REF!</v>
      </c>
    </row>
    <row r="1543" spans="1:34" x14ac:dyDescent="0.35">
      <c r="A1543">
        <v>1542</v>
      </c>
      <c r="B1543" t="s">
        <v>38</v>
      </c>
      <c r="C1543">
        <v>102</v>
      </c>
      <c r="D1543" t="s">
        <v>25</v>
      </c>
      <c r="E1543" t="s">
        <v>22</v>
      </c>
      <c r="F1543" t="s">
        <v>22</v>
      </c>
      <c r="G1543">
        <v>0</v>
      </c>
      <c r="H1543">
        <v>156.5</v>
      </c>
      <c r="I1543">
        <v>67</v>
      </c>
      <c r="J1543">
        <v>26.61</v>
      </c>
      <c r="K1543">
        <v>204.3</v>
      </c>
      <c r="L1543">
        <v>103</v>
      </c>
      <c r="M1543">
        <v>17.37</v>
      </c>
      <c r="N1543">
        <v>141.9</v>
      </c>
      <c r="O1543">
        <v>72</v>
      </c>
      <c r="P1543">
        <v>6.39</v>
      </c>
      <c r="Q1543">
        <v>9.9</v>
      </c>
      <c r="R1543">
        <v>2</v>
      </c>
      <c r="S1543">
        <v>2.67</v>
      </c>
      <c r="T1543">
        <v>2</v>
      </c>
      <c r="U1543" t="s">
        <v>22</v>
      </c>
      <c r="V1543" t="e">
        <f>IF(#REF! = "yes", 1, 0)</f>
        <v>#REF!</v>
      </c>
      <c r="W1543" t="e">
        <f>IF(#REF! &lt;= 1, "0-1 Calls", IF(#REF! &lt;= 3, "2-3 Calls", IF(#REF! &lt;=5, "4-5 Calls", "6+ Calls")))</f>
        <v>#REF!</v>
      </c>
      <c r="X1543" t="e">
        <f>IF(#REF! &lt;= 50, "0-50", IF(#REF! &lt;=100, "51-100", IF(#REF! &lt;= 150, "101-150", "151+")))</f>
        <v>#REF!</v>
      </c>
      <c r="Y1543" t="e">
        <f>IF(#REF! &lt;= 3, "Low Charges", "High Charges")</f>
        <v>#REF!</v>
      </c>
      <c r="Z1543" t="e">
        <f>IF(#REF!&lt;=80,"Low Calls",
IF(#REF!&lt;=120,"Medium Calls","High Calls"))</f>
        <v>#REF!</v>
      </c>
      <c r="AA1543" t="e">
        <f>IF(#REF!&lt;=15,"Low Charges",
IF(#REF!&lt;=20,"Medium Charges","High Charges"))</f>
        <v>#REF!</v>
      </c>
      <c r="AB1543" t="e">
        <f>IF(AND(#REF!&gt;180, #REF!&gt;200), "Heavy Doemstic User", IF(#REF!&gt;10, "Interntional User", IF(AND(#REF!&lt;180, #REF!&lt;200,#REF!&lt;200), "Light User", "Balanced User")))</f>
        <v>#REF!</v>
      </c>
      <c r="AC1543" t="e">
        <f>IF(#REF! = 0, "No Usage", IF(#REF! &lt;= 20, "Low Usage", IF(#REF! &lt;= 40, "Medium Usgae", "High Usage")))</f>
        <v>#REF!</v>
      </c>
      <c r="AD1543" t="e">
        <f>IF(#REF!&lt;=150,"Low Usage", IF(#REF!&lt;=200,"Medium Usage", IF(#REF!&lt;=250,"High Usage","Very High Usage")))</f>
        <v>#REF!</v>
      </c>
      <c r="AE1543" t="e">
        <f>IF(#REF!&lt;=5,"Low Calls", IF(#REF!&lt;=10, "Medium Calls", "High Calls"))</f>
        <v>#REF!</v>
      </c>
      <c r="AF1543" t="e">
        <f xml:space="preserve">
IF(#REF!&gt;=4,4,0)+
IF(#REF!="yes",3,0)+
IF(#REF!="High Charges",3,0)+
IF(#REF!&gt;250,4,0)+
IF(#REF!="no",1,0)+
IF(#REF!="Heavy Domestic User",2,0)</f>
        <v>#REF!</v>
      </c>
      <c r="AG1543" t="e">
        <f>IF(#REF!&gt;=10,"High Risk", IF(#REF!&gt;=5,"Medium Risk","Low Risk"))</f>
        <v>#REF!</v>
      </c>
      <c r="AH1543" t="e">
        <f>#REF! + #REF! + #REF! + #REF!</f>
        <v>#REF!</v>
      </c>
    </row>
    <row r="1544" spans="1:34" x14ac:dyDescent="0.35">
      <c r="A1544">
        <v>1543</v>
      </c>
      <c r="B1544" t="s">
        <v>50</v>
      </c>
      <c r="C1544">
        <v>89</v>
      </c>
      <c r="D1544" t="s">
        <v>21</v>
      </c>
      <c r="E1544" t="s">
        <v>22</v>
      </c>
      <c r="F1544" t="s">
        <v>23</v>
      </c>
      <c r="G1544">
        <v>25</v>
      </c>
      <c r="H1544">
        <v>215.1</v>
      </c>
      <c r="I1544">
        <v>140</v>
      </c>
      <c r="J1544">
        <v>36.57</v>
      </c>
      <c r="K1544">
        <v>197.4</v>
      </c>
      <c r="L1544">
        <v>69</v>
      </c>
      <c r="M1544">
        <v>16.78</v>
      </c>
      <c r="N1544">
        <v>162.1</v>
      </c>
      <c r="O1544">
        <v>117</v>
      </c>
      <c r="P1544">
        <v>7.29</v>
      </c>
      <c r="Q1544">
        <v>10.6</v>
      </c>
      <c r="R1544">
        <v>10</v>
      </c>
      <c r="S1544">
        <v>2.86</v>
      </c>
      <c r="T1544">
        <v>1</v>
      </c>
      <c r="U1544" t="s">
        <v>22</v>
      </c>
      <c r="V1544" t="e">
        <f>IF(#REF! = "yes", 1, 0)</f>
        <v>#REF!</v>
      </c>
      <c r="W1544" t="e">
        <f>IF(#REF! &lt;= 1, "0-1 Calls", IF(#REF! &lt;= 3, "2-3 Calls", IF(#REF! &lt;=5, "4-5 Calls", "6+ Calls")))</f>
        <v>#REF!</v>
      </c>
      <c r="X1544" t="e">
        <f>IF(#REF! &lt;= 50, "0-50", IF(#REF! &lt;=100, "51-100", IF(#REF! &lt;= 150, "101-150", "151+")))</f>
        <v>#REF!</v>
      </c>
      <c r="Y1544" t="e">
        <f>IF(#REF! &lt;= 3, "Low Charges", "High Charges")</f>
        <v>#REF!</v>
      </c>
      <c r="Z1544" t="e">
        <f>IF(#REF!&lt;=80,"Low Calls",
IF(#REF!&lt;=120,"Medium Calls","High Calls"))</f>
        <v>#REF!</v>
      </c>
      <c r="AA1544" t="e">
        <f>IF(#REF!&lt;=15,"Low Charges",
IF(#REF!&lt;=20,"Medium Charges","High Charges"))</f>
        <v>#REF!</v>
      </c>
      <c r="AB1544" t="e">
        <f>IF(AND(#REF!&gt;180, #REF!&gt;200), "Heavy Doemstic User", IF(#REF!&gt;10, "Interntional User", IF(AND(#REF!&lt;180, #REF!&lt;200,#REF!&lt;200), "Light User", "Balanced User")))</f>
        <v>#REF!</v>
      </c>
      <c r="AC1544" t="e">
        <f>IF(#REF! = 0, "No Usage", IF(#REF! &lt;= 20, "Low Usage", IF(#REF! &lt;= 40, "Medium Usgae", "High Usage")))</f>
        <v>#REF!</v>
      </c>
      <c r="AD1544" t="e">
        <f>IF(#REF!&lt;=150,"Low Usage", IF(#REF!&lt;=200,"Medium Usage", IF(#REF!&lt;=250,"High Usage","Very High Usage")))</f>
        <v>#REF!</v>
      </c>
      <c r="AE1544" t="e">
        <f>IF(#REF!&lt;=5,"Low Calls", IF(#REF!&lt;=10, "Medium Calls", "High Calls"))</f>
        <v>#REF!</v>
      </c>
      <c r="AF1544" t="e">
        <f xml:space="preserve">
IF(#REF!&gt;=4,4,0)+
IF(#REF!="yes",3,0)+
IF(#REF!="High Charges",3,0)+
IF(#REF!&gt;250,4,0)+
IF(#REF!="no",1,0)+
IF(#REF!="Heavy Domestic User",2,0)</f>
        <v>#REF!</v>
      </c>
      <c r="AG1544" t="e">
        <f>IF(#REF!&gt;=10,"High Risk", IF(#REF!&gt;=5,"Medium Risk","Low Risk"))</f>
        <v>#REF!</v>
      </c>
      <c r="AH1544" t="e">
        <f>#REF! + #REF! + #REF! + #REF!</f>
        <v>#REF!</v>
      </c>
    </row>
    <row r="1545" spans="1:34" x14ac:dyDescent="0.35">
      <c r="A1545">
        <v>1544</v>
      </c>
      <c r="B1545" t="s">
        <v>74</v>
      </c>
      <c r="C1545">
        <v>50</v>
      </c>
      <c r="D1545" t="s">
        <v>25</v>
      </c>
      <c r="E1545" t="s">
        <v>22</v>
      </c>
      <c r="F1545" t="s">
        <v>22</v>
      </c>
      <c r="G1545">
        <v>0</v>
      </c>
      <c r="H1545">
        <v>301.7</v>
      </c>
      <c r="I1545">
        <v>82</v>
      </c>
      <c r="J1545">
        <v>51.29</v>
      </c>
      <c r="K1545">
        <v>167.1</v>
      </c>
      <c r="L1545">
        <v>118</v>
      </c>
      <c r="M1545">
        <v>14.2</v>
      </c>
      <c r="N1545">
        <v>72.2</v>
      </c>
      <c r="O1545">
        <v>89</v>
      </c>
      <c r="P1545">
        <v>3.25</v>
      </c>
      <c r="Q1545">
        <v>10.5</v>
      </c>
      <c r="R1545">
        <v>6</v>
      </c>
      <c r="S1545">
        <v>2.84</v>
      </c>
      <c r="T1545">
        <v>1</v>
      </c>
      <c r="U1545" t="s">
        <v>22</v>
      </c>
      <c r="V1545" t="e">
        <f>IF(#REF! = "yes", 1, 0)</f>
        <v>#REF!</v>
      </c>
      <c r="W1545" t="e">
        <f>IF(#REF! &lt;= 1, "0-1 Calls", IF(#REF! &lt;= 3, "2-3 Calls", IF(#REF! &lt;=5, "4-5 Calls", "6+ Calls")))</f>
        <v>#REF!</v>
      </c>
      <c r="X1545" t="e">
        <f>IF(#REF! &lt;= 50, "0-50", IF(#REF! &lt;=100, "51-100", IF(#REF! &lt;= 150, "101-150", "151+")))</f>
        <v>#REF!</v>
      </c>
      <c r="Y1545" t="e">
        <f>IF(#REF! &lt;= 3, "Low Charges", "High Charges")</f>
        <v>#REF!</v>
      </c>
      <c r="Z1545" t="e">
        <f>IF(#REF!&lt;=80,"Low Calls",
IF(#REF!&lt;=120,"Medium Calls","High Calls"))</f>
        <v>#REF!</v>
      </c>
      <c r="AA1545" t="e">
        <f>IF(#REF!&lt;=15,"Low Charges",
IF(#REF!&lt;=20,"Medium Charges","High Charges"))</f>
        <v>#REF!</v>
      </c>
      <c r="AB1545" t="e">
        <f>IF(AND(#REF!&gt;180, #REF!&gt;200), "Heavy Doemstic User", IF(#REF!&gt;10, "Interntional User", IF(AND(#REF!&lt;180, #REF!&lt;200,#REF!&lt;200), "Light User", "Balanced User")))</f>
        <v>#REF!</v>
      </c>
      <c r="AC1545" t="e">
        <f>IF(#REF! = 0, "No Usage", IF(#REF! &lt;= 20, "Low Usage", IF(#REF! &lt;= 40, "Medium Usgae", "High Usage")))</f>
        <v>#REF!</v>
      </c>
      <c r="AD1545" t="e">
        <f>IF(#REF!&lt;=150,"Low Usage", IF(#REF!&lt;=200,"Medium Usage", IF(#REF!&lt;=250,"High Usage","Very High Usage")))</f>
        <v>#REF!</v>
      </c>
      <c r="AE1545" t="e">
        <f>IF(#REF!&lt;=5,"Low Calls", IF(#REF!&lt;=10, "Medium Calls", "High Calls"))</f>
        <v>#REF!</v>
      </c>
      <c r="AF1545" t="e">
        <f xml:space="preserve">
IF(#REF!&gt;=4,4,0)+
IF(#REF!="yes",3,0)+
IF(#REF!="High Charges",3,0)+
IF(#REF!&gt;250,4,0)+
IF(#REF!="no",1,0)+
IF(#REF!="Heavy Domestic User",2,0)</f>
        <v>#REF!</v>
      </c>
      <c r="AG1545" t="e">
        <f>IF(#REF!&gt;=10,"High Risk", IF(#REF!&gt;=5,"Medium Risk","Low Risk"))</f>
        <v>#REF!</v>
      </c>
      <c r="AH1545" t="e">
        <f>#REF! + #REF! + #REF! + #REF!</f>
        <v>#REF!</v>
      </c>
    </row>
    <row r="1546" spans="1:34" x14ac:dyDescent="0.35">
      <c r="A1546">
        <v>1545</v>
      </c>
      <c r="B1546" t="s">
        <v>20</v>
      </c>
      <c r="C1546">
        <v>93</v>
      </c>
      <c r="D1546" t="s">
        <v>21</v>
      </c>
      <c r="E1546" t="s">
        <v>22</v>
      </c>
      <c r="F1546" t="s">
        <v>23</v>
      </c>
      <c r="G1546">
        <v>42</v>
      </c>
      <c r="H1546">
        <v>152.30000000000001</v>
      </c>
      <c r="I1546">
        <v>90</v>
      </c>
      <c r="J1546">
        <v>25.89</v>
      </c>
      <c r="K1546">
        <v>267.5</v>
      </c>
      <c r="L1546">
        <v>102</v>
      </c>
      <c r="M1546">
        <v>22.74</v>
      </c>
      <c r="N1546">
        <v>266.89999999999998</v>
      </c>
      <c r="O1546">
        <v>130</v>
      </c>
      <c r="P1546">
        <v>12.01</v>
      </c>
      <c r="Q1546">
        <v>11.3</v>
      </c>
      <c r="R1546">
        <v>5</v>
      </c>
      <c r="S1546">
        <v>3.05</v>
      </c>
      <c r="T1546">
        <v>7</v>
      </c>
      <c r="U1546" t="s">
        <v>22</v>
      </c>
      <c r="V1546" t="e">
        <f>IF(#REF! = "yes", 1, 0)</f>
        <v>#REF!</v>
      </c>
      <c r="W1546" t="e">
        <f>IF(#REF! &lt;= 1, "0-1 Calls", IF(#REF! &lt;= 3, "2-3 Calls", IF(#REF! &lt;=5, "4-5 Calls", "6+ Calls")))</f>
        <v>#REF!</v>
      </c>
      <c r="X1546" t="e">
        <f>IF(#REF! &lt;= 50, "0-50", IF(#REF! &lt;=100, "51-100", IF(#REF! &lt;= 150, "101-150", "151+")))</f>
        <v>#REF!</v>
      </c>
      <c r="Y1546" t="e">
        <f>IF(#REF! &lt;= 3, "Low Charges", "High Charges")</f>
        <v>#REF!</v>
      </c>
      <c r="Z1546" t="e">
        <f>IF(#REF!&lt;=80,"Low Calls",
IF(#REF!&lt;=120,"Medium Calls","High Calls"))</f>
        <v>#REF!</v>
      </c>
      <c r="AA1546" t="e">
        <f>IF(#REF!&lt;=15,"Low Charges",
IF(#REF!&lt;=20,"Medium Charges","High Charges"))</f>
        <v>#REF!</v>
      </c>
      <c r="AB1546" t="e">
        <f>IF(AND(#REF!&gt;180, #REF!&gt;200), "Heavy Doemstic User", IF(#REF!&gt;10, "Interntional User", IF(AND(#REF!&lt;180, #REF!&lt;200,#REF!&lt;200), "Light User", "Balanced User")))</f>
        <v>#REF!</v>
      </c>
      <c r="AC1546" t="e">
        <f>IF(#REF! = 0, "No Usage", IF(#REF! &lt;= 20, "Low Usage", IF(#REF! &lt;= 40, "Medium Usgae", "High Usage")))</f>
        <v>#REF!</v>
      </c>
      <c r="AD1546" t="e">
        <f>IF(#REF!&lt;=150,"Low Usage", IF(#REF!&lt;=200,"Medium Usage", IF(#REF!&lt;=250,"High Usage","Very High Usage")))</f>
        <v>#REF!</v>
      </c>
      <c r="AE1546" t="e">
        <f>IF(#REF!&lt;=5,"Low Calls", IF(#REF!&lt;=10, "Medium Calls", "High Calls"))</f>
        <v>#REF!</v>
      </c>
      <c r="AF1546" t="e">
        <f xml:space="preserve">
IF(#REF!&gt;=4,4,0)+
IF(#REF!="yes",3,0)+
IF(#REF!="High Charges",3,0)+
IF(#REF!&gt;250,4,0)+
IF(#REF!="no",1,0)+
IF(#REF!="Heavy Domestic User",2,0)</f>
        <v>#REF!</v>
      </c>
      <c r="AG1546" t="e">
        <f>IF(#REF!&gt;=10,"High Risk", IF(#REF!&gt;=5,"Medium Risk","Low Risk"))</f>
        <v>#REF!</v>
      </c>
      <c r="AH1546" t="e">
        <f>#REF! + #REF! + #REF! + #REF!</f>
        <v>#REF!</v>
      </c>
    </row>
    <row r="1547" spans="1:34" x14ac:dyDescent="0.35">
      <c r="A1547">
        <v>1546</v>
      </c>
      <c r="B1547" t="s">
        <v>44</v>
      </c>
      <c r="C1547">
        <v>68</v>
      </c>
      <c r="D1547" t="s">
        <v>28</v>
      </c>
      <c r="E1547" t="s">
        <v>22</v>
      </c>
      <c r="F1547" t="s">
        <v>22</v>
      </c>
      <c r="G1547">
        <v>0</v>
      </c>
      <c r="H1547">
        <v>195.4</v>
      </c>
      <c r="I1547">
        <v>116</v>
      </c>
      <c r="J1547">
        <v>33.22</v>
      </c>
      <c r="K1547">
        <v>212.1</v>
      </c>
      <c r="L1547">
        <v>101</v>
      </c>
      <c r="M1547">
        <v>18.03</v>
      </c>
      <c r="N1547">
        <v>138.4</v>
      </c>
      <c r="O1547">
        <v>134</v>
      </c>
      <c r="P1547">
        <v>6.23</v>
      </c>
      <c r="Q1547">
        <v>15.1</v>
      </c>
      <c r="R1547">
        <v>11</v>
      </c>
      <c r="S1547">
        <v>4.08</v>
      </c>
      <c r="T1547">
        <v>1</v>
      </c>
      <c r="U1547" t="s">
        <v>22</v>
      </c>
      <c r="V1547" t="e">
        <f>IF(#REF! = "yes", 1, 0)</f>
        <v>#REF!</v>
      </c>
      <c r="W1547" t="e">
        <f>IF(#REF! &lt;= 1, "0-1 Calls", IF(#REF! &lt;= 3, "2-3 Calls", IF(#REF! &lt;=5, "4-5 Calls", "6+ Calls")))</f>
        <v>#REF!</v>
      </c>
      <c r="X1547" t="e">
        <f>IF(#REF! &lt;= 50, "0-50", IF(#REF! &lt;=100, "51-100", IF(#REF! &lt;= 150, "101-150", "151+")))</f>
        <v>#REF!</v>
      </c>
      <c r="Y1547" t="e">
        <f>IF(#REF! &lt;= 3, "Low Charges", "High Charges")</f>
        <v>#REF!</v>
      </c>
      <c r="Z1547" t="e">
        <f>IF(#REF!&lt;=80,"Low Calls",
IF(#REF!&lt;=120,"Medium Calls","High Calls"))</f>
        <v>#REF!</v>
      </c>
      <c r="AA1547" t="e">
        <f>IF(#REF!&lt;=15,"Low Charges",
IF(#REF!&lt;=20,"Medium Charges","High Charges"))</f>
        <v>#REF!</v>
      </c>
      <c r="AB1547" t="e">
        <f>IF(AND(#REF!&gt;180, #REF!&gt;200), "Heavy Doemstic User", IF(#REF!&gt;10, "Interntional User", IF(AND(#REF!&lt;180, #REF!&lt;200,#REF!&lt;200), "Light User", "Balanced User")))</f>
        <v>#REF!</v>
      </c>
      <c r="AC1547" t="e">
        <f>IF(#REF! = 0, "No Usage", IF(#REF! &lt;= 20, "Low Usage", IF(#REF! &lt;= 40, "Medium Usgae", "High Usage")))</f>
        <v>#REF!</v>
      </c>
      <c r="AD1547" t="e">
        <f>IF(#REF!&lt;=150,"Low Usage", IF(#REF!&lt;=200,"Medium Usage", IF(#REF!&lt;=250,"High Usage","Very High Usage")))</f>
        <v>#REF!</v>
      </c>
      <c r="AE1547" t="e">
        <f>IF(#REF!&lt;=5,"Low Calls", IF(#REF!&lt;=10, "Medium Calls", "High Calls"))</f>
        <v>#REF!</v>
      </c>
      <c r="AF1547" t="e">
        <f xml:space="preserve">
IF(#REF!&gt;=4,4,0)+
IF(#REF!="yes",3,0)+
IF(#REF!="High Charges",3,0)+
IF(#REF!&gt;250,4,0)+
IF(#REF!="no",1,0)+
IF(#REF!="Heavy Domestic User",2,0)</f>
        <v>#REF!</v>
      </c>
      <c r="AG1547" t="e">
        <f>IF(#REF!&gt;=10,"High Risk", IF(#REF!&gt;=5,"Medium Risk","Low Risk"))</f>
        <v>#REF!</v>
      </c>
      <c r="AH1547" t="e">
        <f>#REF! + #REF! + #REF! + #REF!</f>
        <v>#REF!</v>
      </c>
    </row>
    <row r="1548" spans="1:34" x14ac:dyDescent="0.35">
      <c r="A1548">
        <v>1547</v>
      </c>
      <c r="B1548" t="s">
        <v>72</v>
      </c>
      <c r="C1548">
        <v>70</v>
      </c>
      <c r="D1548" t="s">
        <v>25</v>
      </c>
      <c r="E1548" t="s">
        <v>22</v>
      </c>
      <c r="F1548" t="s">
        <v>22</v>
      </c>
      <c r="G1548">
        <v>0</v>
      </c>
      <c r="H1548">
        <v>208.7</v>
      </c>
      <c r="I1548">
        <v>97</v>
      </c>
      <c r="J1548">
        <v>35.479999999999997</v>
      </c>
      <c r="K1548">
        <v>275.5</v>
      </c>
      <c r="L1548">
        <v>83</v>
      </c>
      <c r="M1548">
        <v>23.42</v>
      </c>
      <c r="N1548">
        <v>182.5</v>
      </c>
      <c r="O1548">
        <v>122</v>
      </c>
      <c r="P1548">
        <v>8.2100000000000009</v>
      </c>
      <c r="Q1548">
        <v>8</v>
      </c>
      <c r="R1548">
        <v>3</v>
      </c>
      <c r="S1548">
        <v>2.16</v>
      </c>
      <c r="T1548">
        <v>2</v>
      </c>
      <c r="U1548" t="s">
        <v>22</v>
      </c>
      <c r="V1548" t="e">
        <f>IF(#REF! = "yes", 1, 0)</f>
        <v>#REF!</v>
      </c>
      <c r="W1548" t="e">
        <f>IF(#REF! &lt;= 1, "0-1 Calls", IF(#REF! &lt;= 3, "2-3 Calls", IF(#REF! &lt;=5, "4-5 Calls", "6+ Calls")))</f>
        <v>#REF!</v>
      </c>
      <c r="X1548" t="e">
        <f>IF(#REF! &lt;= 50, "0-50", IF(#REF! &lt;=100, "51-100", IF(#REF! &lt;= 150, "101-150", "151+")))</f>
        <v>#REF!</v>
      </c>
      <c r="Y1548" t="e">
        <f>IF(#REF! &lt;= 3, "Low Charges", "High Charges")</f>
        <v>#REF!</v>
      </c>
      <c r="Z1548" t="e">
        <f>IF(#REF!&lt;=80,"Low Calls",
IF(#REF!&lt;=120,"Medium Calls","High Calls"))</f>
        <v>#REF!</v>
      </c>
      <c r="AA1548" t="e">
        <f>IF(#REF!&lt;=15,"Low Charges",
IF(#REF!&lt;=20,"Medium Charges","High Charges"))</f>
        <v>#REF!</v>
      </c>
      <c r="AB1548" t="e">
        <f>IF(AND(#REF!&gt;180, #REF!&gt;200), "Heavy Doemstic User", IF(#REF!&gt;10, "Interntional User", IF(AND(#REF!&lt;180, #REF!&lt;200,#REF!&lt;200), "Light User", "Balanced User")))</f>
        <v>#REF!</v>
      </c>
      <c r="AC1548" t="e">
        <f>IF(#REF! = 0, "No Usage", IF(#REF! &lt;= 20, "Low Usage", IF(#REF! &lt;= 40, "Medium Usgae", "High Usage")))</f>
        <v>#REF!</v>
      </c>
      <c r="AD1548" t="e">
        <f>IF(#REF!&lt;=150,"Low Usage", IF(#REF!&lt;=200,"Medium Usage", IF(#REF!&lt;=250,"High Usage","Very High Usage")))</f>
        <v>#REF!</v>
      </c>
      <c r="AE1548" t="e">
        <f>IF(#REF!&lt;=5,"Low Calls", IF(#REF!&lt;=10, "Medium Calls", "High Calls"))</f>
        <v>#REF!</v>
      </c>
      <c r="AF1548" t="e">
        <f xml:space="preserve">
IF(#REF!&gt;=4,4,0)+
IF(#REF!="yes",3,0)+
IF(#REF!="High Charges",3,0)+
IF(#REF!&gt;250,4,0)+
IF(#REF!="no",1,0)+
IF(#REF!="Heavy Domestic User",2,0)</f>
        <v>#REF!</v>
      </c>
      <c r="AG1548" t="e">
        <f>IF(#REF!&gt;=10,"High Risk", IF(#REF!&gt;=5,"Medium Risk","Low Risk"))</f>
        <v>#REF!</v>
      </c>
      <c r="AH1548" t="e">
        <f>#REF! + #REF! + #REF! + #REF!</f>
        <v>#REF!</v>
      </c>
    </row>
    <row r="1549" spans="1:34" x14ac:dyDescent="0.35">
      <c r="A1549">
        <v>1548</v>
      </c>
      <c r="B1549" t="s">
        <v>63</v>
      </c>
      <c r="C1549">
        <v>141</v>
      </c>
      <c r="D1549" t="s">
        <v>21</v>
      </c>
      <c r="E1549" t="s">
        <v>22</v>
      </c>
      <c r="F1549" t="s">
        <v>23</v>
      </c>
      <c r="G1549">
        <v>37</v>
      </c>
      <c r="H1549">
        <v>185.4</v>
      </c>
      <c r="I1549">
        <v>87</v>
      </c>
      <c r="J1549">
        <v>31.52</v>
      </c>
      <c r="K1549">
        <v>178.5</v>
      </c>
      <c r="L1549">
        <v>128</v>
      </c>
      <c r="M1549">
        <v>15.17</v>
      </c>
      <c r="N1549">
        <v>218.3</v>
      </c>
      <c r="O1549">
        <v>107</v>
      </c>
      <c r="P1549">
        <v>9.82</v>
      </c>
      <c r="Q1549">
        <v>8</v>
      </c>
      <c r="R1549">
        <v>3</v>
      </c>
      <c r="S1549">
        <v>2.16</v>
      </c>
      <c r="T1549">
        <v>4</v>
      </c>
      <c r="U1549" t="s">
        <v>22</v>
      </c>
      <c r="V1549" t="e">
        <f>IF(#REF! = "yes", 1, 0)</f>
        <v>#REF!</v>
      </c>
      <c r="W1549" t="e">
        <f>IF(#REF! &lt;= 1, "0-1 Calls", IF(#REF! &lt;= 3, "2-3 Calls", IF(#REF! &lt;=5, "4-5 Calls", "6+ Calls")))</f>
        <v>#REF!</v>
      </c>
      <c r="X1549" t="e">
        <f>IF(#REF! &lt;= 50, "0-50", IF(#REF! &lt;=100, "51-100", IF(#REF! &lt;= 150, "101-150", "151+")))</f>
        <v>#REF!</v>
      </c>
      <c r="Y1549" t="e">
        <f>IF(#REF! &lt;= 3, "Low Charges", "High Charges")</f>
        <v>#REF!</v>
      </c>
      <c r="Z1549" t="e">
        <f>IF(#REF!&lt;=80,"Low Calls",
IF(#REF!&lt;=120,"Medium Calls","High Calls"))</f>
        <v>#REF!</v>
      </c>
      <c r="AA1549" t="e">
        <f>IF(#REF!&lt;=15,"Low Charges",
IF(#REF!&lt;=20,"Medium Charges","High Charges"))</f>
        <v>#REF!</v>
      </c>
      <c r="AB1549" t="e">
        <f>IF(AND(#REF!&gt;180, #REF!&gt;200), "Heavy Doemstic User", IF(#REF!&gt;10, "Interntional User", IF(AND(#REF!&lt;180, #REF!&lt;200,#REF!&lt;200), "Light User", "Balanced User")))</f>
        <v>#REF!</v>
      </c>
      <c r="AC1549" t="e">
        <f>IF(#REF! = 0, "No Usage", IF(#REF! &lt;= 20, "Low Usage", IF(#REF! &lt;= 40, "Medium Usgae", "High Usage")))</f>
        <v>#REF!</v>
      </c>
      <c r="AD1549" t="e">
        <f>IF(#REF!&lt;=150,"Low Usage", IF(#REF!&lt;=200,"Medium Usage", IF(#REF!&lt;=250,"High Usage","Very High Usage")))</f>
        <v>#REF!</v>
      </c>
      <c r="AE1549" t="e">
        <f>IF(#REF!&lt;=5,"Low Calls", IF(#REF!&lt;=10, "Medium Calls", "High Calls"))</f>
        <v>#REF!</v>
      </c>
      <c r="AF1549" t="e">
        <f xml:space="preserve">
IF(#REF!&gt;=4,4,0)+
IF(#REF!="yes",3,0)+
IF(#REF!="High Charges",3,0)+
IF(#REF!&gt;250,4,0)+
IF(#REF!="no",1,0)+
IF(#REF!="Heavy Domestic User",2,0)</f>
        <v>#REF!</v>
      </c>
      <c r="AG1549" t="e">
        <f>IF(#REF!&gt;=10,"High Risk", IF(#REF!&gt;=5,"Medium Risk","Low Risk"))</f>
        <v>#REF!</v>
      </c>
      <c r="AH1549" t="e">
        <f>#REF! + #REF! + #REF! + #REF!</f>
        <v>#REF!</v>
      </c>
    </row>
    <row r="1550" spans="1:34" x14ac:dyDescent="0.35">
      <c r="A1550">
        <v>1549</v>
      </c>
      <c r="B1550" t="s">
        <v>27</v>
      </c>
      <c r="C1550">
        <v>112</v>
      </c>
      <c r="D1550" t="s">
        <v>21</v>
      </c>
      <c r="E1550" t="s">
        <v>22</v>
      </c>
      <c r="F1550" t="s">
        <v>23</v>
      </c>
      <c r="G1550">
        <v>17</v>
      </c>
      <c r="H1550">
        <v>183.2</v>
      </c>
      <c r="I1550">
        <v>95</v>
      </c>
      <c r="J1550">
        <v>31.14</v>
      </c>
      <c r="K1550">
        <v>252.8</v>
      </c>
      <c r="L1550">
        <v>125</v>
      </c>
      <c r="M1550">
        <v>21.49</v>
      </c>
      <c r="N1550">
        <v>156.69999999999999</v>
      </c>
      <c r="O1550">
        <v>95</v>
      </c>
      <c r="P1550">
        <v>7.05</v>
      </c>
      <c r="Q1550">
        <v>9.6999999999999993</v>
      </c>
      <c r="R1550">
        <v>3</v>
      </c>
      <c r="S1550">
        <v>2.62</v>
      </c>
      <c r="T1550">
        <v>0</v>
      </c>
      <c r="U1550" t="s">
        <v>22</v>
      </c>
      <c r="V1550" t="e">
        <f>IF(#REF! = "yes", 1, 0)</f>
        <v>#REF!</v>
      </c>
      <c r="W1550" t="e">
        <f>IF(#REF! &lt;= 1, "0-1 Calls", IF(#REF! &lt;= 3, "2-3 Calls", IF(#REF! &lt;=5, "4-5 Calls", "6+ Calls")))</f>
        <v>#REF!</v>
      </c>
      <c r="X1550" t="e">
        <f>IF(#REF! &lt;= 50, "0-50", IF(#REF! &lt;=100, "51-100", IF(#REF! &lt;= 150, "101-150", "151+")))</f>
        <v>#REF!</v>
      </c>
      <c r="Y1550" t="e">
        <f>IF(#REF! &lt;= 3, "Low Charges", "High Charges")</f>
        <v>#REF!</v>
      </c>
      <c r="Z1550" t="e">
        <f>IF(#REF!&lt;=80,"Low Calls",
IF(#REF!&lt;=120,"Medium Calls","High Calls"))</f>
        <v>#REF!</v>
      </c>
      <c r="AA1550" t="e">
        <f>IF(#REF!&lt;=15,"Low Charges",
IF(#REF!&lt;=20,"Medium Charges","High Charges"))</f>
        <v>#REF!</v>
      </c>
      <c r="AB1550" t="e">
        <f>IF(AND(#REF!&gt;180, #REF!&gt;200), "Heavy Doemstic User", IF(#REF!&gt;10, "Interntional User", IF(AND(#REF!&lt;180, #REF!&lt;200,#REF!&lt;200), "Light User", "Balanced User")))</f>
        <v>#REF!</v>
      </c>
      <c r="AC1550" t="e">
        <f>IF(#REF! = 0, "No Usage", IF(#REF! &lt;= 20, "Low Usage", IF(#REF! &lt;= 40, "Medium Usgae", "High Usage")))</f>
        <v>#REF!</v>
      </c>
      <c r="AD1550" t="e">
        <f>IF(#REF!&lt;=150,"Low Usage", IF(#REF!&lt;=200,"Medium Usage", IF(#REF!&lt;=250,"High Usage","Very High Usage")))</f>
        <v>#REF!</v>
      </c>
      <c r="AE1550" t="e">
        <f>IF(#REF!&lt;=5,"Low Calls", IF(#REF!&lt;=10, "Medium Calls", "High Calls"))</f>
        <v>#REF!</v>
      </c>
      <c r="AF1550" t="e">
        <f xml:space="preserve">
IF(#REF!&gt;=4,4,0)+
IF(#REF!="yes",3,0)+
IF(#REF!="High Charges",3,0)+
IF(#REF!&gt;250,4,0)+
IF(#REF!="no",1,0)+
IF(#REF!="Heavy Domestic User",2,0)</f>
        <v>#REF!</v>
      </c>
      <c r="AG1550" t="e">
        <f>IF(#REF!&gt;=10,"High Risk", IF(#REF!&gt;=5,"Medium Risk","Low Risk"))</f>
        <v>#REF!</v>
      </c>
      <c r="AH1550" t="e">
        <f>#REF! + #REF! + #REF! + #REF!</f>
        <v>#REF!</v>
      </c>
    </row>
    <row r="1551" spans="1:34" x14ac:dyDescent="0.35">
      <c r="A1551">
        <v>1550</v>
      </c>
      <c r="B1551" t="s">
        <v>46</v>
      </c>
      <c r="C1551">
        <v>117</v>
      </c>
      <c r="D1551" t="s">
        <v>28</v>
      </c>
      <c r="E1551" t="s">
        <v>23</v>
      </c>
      <c r="F1551" t="s">
        <v>22</v>
      </c>
      <c r="G1551">
        <v>0</v>
      </c>
      <c r="H1551">
        <v>54.2</v>
      </c>
      <c r="I1551">
        <v>100</v>
      </c>
      <c r="J1551">
        <v>9.2100000000000009</v>
      </c>
      <c r="K1551">
        <v>303.2</v>
      </c>
      <c r="L1551">
        <v>84</v>
      </c>
      <c r="M1551">
        <v>25.77</v>
      </c>
      <c r="N1551">
        <v>171.8</v>
      </c>
      <c r="O1551">
        <v>84</v>
      </c>
      <c r="P1551">
        <v>7.73</v>
      </c>
      <c r="Q1551">
        <v>8.6</v>
      </c>
      <c r="R1551">
        <v>2</v>
      </c>
      <c r="S1551">
        <v>2.3199999999999998</v>
      </c>
      <c r="T1551">
        <v>1</v>
      </c>
      <c r="U1551" t="s">
        <v>23</v>
      </c>
      <c r="V1551" t="e">
        <f>IF(#REF! = "yes", 1, 0)</f>
        <v>#REF!</v>
      </c>
      <c r="W1551" t="e">
        <f>IF(#REF! &lt;= 1, "0-1 Calls", IF(#REF! &lt;= 3, "2-3 Calls", IF(#REF! &lt;=5, "4-5 Calls", "6+ Calls")))</f>
        <v>#REF!</v>
      </c>
      <c r="X1551" t="e">
        <f>IF(#REF! &lt;= 50, "0-50", IF(#REF! &lt;=100, "51-100", IF(#REF! &lt;= 150, "101-150", "151+")))</f>
        <v>#REF!</v>
      </c>
      <c r="Y1551" t="e">
        <f>IF(#REF! &lt;= 3, "Low Charges", "High Charges")</f>
        <v>#REF!</v>
      </c>
      <c r="Z1551" t="e">
        <f>IF(#REF!&lt;=80,"Low Calls",
IF(#REF!&lt;=120,"Medium Calls","High Calls"))</f>
        <v>#REF!</v>
      </c>
      <c r="AA1551" t="e">
        <f>IF(#REF!&lt;=15,"Low Charges",
IF(#REF!&lt;=20,"Medium Charges","High Charges"))</f>
        <v>#REF!</v>
      </c>
      <c r="AB1551" t="e">
        <f>IF(AND(#REF!&gt;180, #REF!&gt;200), "Heavy Doemstic User", IF(#REF!&gt;10, "Interntional User", IF(AND(#REF!&lt;180, #REF!&lt;200,#REF!&lt;200), "Light User", "Balanced User")))</f>
        <v>#REF!</v>
      </c>
      <c r="AC1551" t="e">
        <f>IF(#REF! = 0, "No Usage", IF(#REF! &lt;= 20, "Low Usage", IF(#REF! &lt;= 40, "Medium Usgae", "High Usage")))</f>
        <v>#REF!</v>
      </c>
      <c r="AD1551" t="e">
        <f>IF(#REF!&lt;=150,"Low Usage", IF(#REF!&lt;=200,"Medium Usage", IF(#REF!&lt;=250,"High Usage","Very High Usage")))</f>
        <v>#REF!</v>
      </c>
      <c r="AE1551" t="e">
        <f>IF(#REF!&lt;=5,"Low Calls", IF(#REF!&lt;=10, "Medium Calls", "High Calls"))</f>
        <v>#REF!</v>
      </c>
      <c r="AF1551" t="e">
        <f xml:space="preserve">
IF(#REF!&gt;=4,4,0)+
IF(#REF!="yes",3,0)+
IF(#REF!="High Charges",3,0)+
IF(#REF!&gt;250,4,0)+
IF(#REF!="no",1,0)+
IF(#REF!="Heavy Domestic User",2,0)</f>
        <v>#REF!</v>
      </c>
      <c r="AG1551" t="e">
        <f>IF(#REF!&gt;=10,"High Risk", IF(#REF!&gt;=5,"Medium Risk","Low Risk"))</f>
        <v>#REF!</v>
      </c>
      <c r="AH1551" t="e">
        <f>#REF! + #REF! + #REF! + #REF!</f>
        <v>#REF!</v>
      </c>
    </row>
    <row r="1552" spans="1:34" x14ac:dyDescent="0.35">
      <c r="A1552">
        <v>1551</v>
      </c>
      <c r="B1552" t="s">
        <v>34</v>
      </c>
      <c r="C1552">
        <v>1</v>
      </c>
      <c r="D1552" t="s">
        <v>25</v>
      </c>
      <c r="E1552" t="s">
        <v>22</v>
      </c>
      <c r="F1552" t="s">
        <v>23</v>
      </c>
      <c r="G1552">
        <v>26</v>
      </c>
      <c r="H1552">
        <v>208</v>
      </c>
      <c r="I1552">
        <v>115</v>
      </c>
      <c r="J1552">
        <v>35.36</v>
      </c>
      <c r="K1552">
        <v>185</v>
      </c>
      <c r="L1552">
        <v>113</v>
      </c>
      <c r="M1552">
        <v>15.73</v>
      </c>
      <c r="N1552">
        <v>177.7</v>
      </c>
      <c r="O1552">
        <v>144</v>
      </c>
      <c r="P1552">
        <v>8</v>
      </c>
      <c r="Q1552">
        <v>8.1</v>
      </c>
      <c r="R1552">
        <v>9</v>
      </c>
      <c r="S1552">
        <v>2.19</v>
      </c>
      <c r="T1552">
        <v>1</v>
      </c>
      <c r="U1552" t="s">
        <v>22</v>
      </c>
      <c r="V1552" t="e">
        <f>IF(#REF! = "yes", 1, 0)</f>
        <v>#REF!</v>
      </c>
      <c r="W1552" t="e">
        <f>IF(#REF! &lt;= 1, "0-1 Calls", IF(#REF! &lt;= 3, "2-3 Calls", IF(#REF! &lt;=5, "4-5 Calls", "6+ Calls")))</f>
        <v>#REF!</v>
      </c>
      <c r="X1552" t="e">
        <f>IF(#REF! &lt;= 50, "0-50", IF(#REF! &lt;=100, "51-100", IF(#REF! &lt;= 150, "101-150", "151+")))</f>
        <v>#REF!</v>
      </c>
      <c r="Y1552" t="e">
        <f>IF(#REF! &lt;= 3, "Low Charges", "High Charges")</f>
        <v>#REF!</v>
      </c>
      <c r="Z1552" t="e">
        <f>IF(#REF!&lt;=80,"Low Calls",
IF(#REF!&lt;=120,"Medium Calls","High Calls"))</f>
        <v>#REF!</v>
      </c>
      <c r="AA1552" t="e">
        <f>IF(#REF!&lt;=15,"Low Charges",
IF(#REF!&lt;=20,"Medium Charges","High Charges"))</f>
        <v>#REF!</v>
      </c>
      <c r="AB1552" t="e">
        <f>IF(AND(#REF!&gt;180, #REF!&gt;200), "Heavy Doemstic User", IF(#REF!&gt;10, "Interntional User", IF(AND(#REF!&lt;180, #REF!&lt;200,#REF!&lt;200), "Light User", "Balanced User")))</f>
        <v>#REF!</v>
      </c>
      <c r="AC1552" t="e">
        <f>IF(#REF! = 0, "No Usage", IF(#REF! &lt;= 20, "Low Usage", IF(#REF! &lt;= 40, "Medium Usgae", "High Usage")))</f>
        <v>#REF!</v>
      </c>
      <c r="AD1552" t="e">
        <f>IF(#REF!&lt;=150,"Low Usage", IF(#REF!&lt;=200,"Medium Usage", IF(#REF!&lt;=250,"High Usage","Very High Usage")))</f>
        <v>#REF!</v>
      </c>
      <c r="AE1552" t="e">
        <f>IF(#REF!&lt;=5,"Low Calls", IF(#REF!&lt;=10, "Medium Calls", "High Calls"))</f>
        <v>#REF!</v>
      </c>
      <c r="AF1552" t="e">
        <f xml:space="preserve">
IF(#REF!&gt;=4,4,0)+
IF(#REF!="yes",3,0)+
IF(#REF!="High Charges",3,0)+
IF(#REF!&gt;250,4,0)+
IF(#REF!="no",1,0)+
IF(#REF!="Heavy Domestic User",2,0)</f>
        <v>#REF!</v>
      </c>
      <c r="AG1552" t="e">
        <f>IF(#REF!&gt;=10,"High Risk", IF(#REF!&gt;=5,"Medium Risk","Low Risk"))</f>
        <v>#REF!</v>
      </c>
      <c r="AH1552" t="e">
        <f>#REF! + #REF! + #REF! + #REF!</f>
        <v>#REF!</v>
      </c>
    </row>
    <row r="1553" spans="1:34" x14ac:dyDescent="0.35">
      <c r="A1553">
        <v>1552</v>
      </c>
      <c r="B1553" t="s">
        <v>68</v>
      </c>
      <c r="C1553">
        <v>70</v>
      </c>
      <c r="D1553" t="s">
        <v>21</v>
      </c>
      <c r="E1553" t="s">
        <v>22</v>
      </c>
      <c r="F1553" t="s">
        <v>22</v>
      </c>
      <c r="G1553">
        <v>0</v>
      </c>
      <c r="H1553">
        <v>230.3</v>
      </c>
      <c r="I1553">
        <v>110</v>
      </c>
      <c r="J1553">
        <v>39.15</v>
      </c>
      <c r="K1553">
        <v>77.900000000000006</v>
      </c>
      <c r="L1553">
        <v>87</v>
      </c>
      <c r="M1553">
        <v>6.62</v>
      </c>
      <c r="N1553">
        <v>247.1</v>
      </c>
      <c r="O1553">
        <v>105</v>
      </c>
      <c r="P1553">
        <v>11.12</v>
      </c>
      <c r="Q1553">
        <v>13.2</v>
      </c>
      <c r="R1553">
        <v>4</v>
      </c>
      <c r="S1553">
        <v>3.56</v>
      </c>
      <c r="T1553">
        <v>1</v>
      </c>
      <c r="U1553" t="s">
        <v>22</v>
      </c>
      <c r="V1553" t="e">
        <f>IF(#REF! = "yes", 1, 0)</f>
        <v>#REF!</v>
      </c>
      <c r="W1553" t="e">
        <f>IF(#REF! &lt;= 1, "0-1 Calls", IF(#REF! &lt;= 3, "2-3 Calls", IF(#REF! &lt;=5, "4-5 Calls", "6+ Calls")))</f>
        <v>#REF!</v>
      </c>
      <c r="X1553" t="e">
        <f>IF(#REF! &lt;= 50, "0-50", IF(#REF! &lt;=100, "51-100", IF(#REF! &lt;= 150, "101-150", "151+")))</f>
        <v>#REF!</v>
      </c>
      <c r="Y1553" t="e">
        <f>IF(#REF! &lt;= 3, "Low Charges", "High Charges")</f>
        <v>#REF!</v>
      </c>
      <c r="Z1553" t="e">
        <f>IF(#REF!&lt;=80,"Low Calls",
IF(#REF!&lt;=120,"Medium Calls","High Calls"))</f>
        <v>#REF!</v>
      </c>
      <c r="AA1553" t="e">
        <f>IF(#REF!&lt;=15,"Low Charges",
IF(#REF!&lt;=20,"Medium Charges","High Charges"))</f>
        <v>#REF!</v>
      </c>
      <c r="AB1553" t="e">
        <f>IF(AND(#REF!&gt;180, #REF!&gt;200), "Heavy Doemstic User", IF(#REF!&gt;10, "Interntional User", IF(AND(#REF!&lt;180, #REF!&lt;200,#REF!&lt;200), "Light User", "Balanced User")))</f>
        <v>#REF!</v>
      </c>
      <c r="AC1553" t="e">
        <f>IF(#REF! = 0, "No Usage", IF(#REF! &lt;= 20, "Low Usage", IF(#REF! &lt;= 40, "Medium Usgae", "High Usage")))</f>
        <v>#REF!</v>
      </c>
      <c r="AD1553" t="e">
        <f>IF(#REF!&lt;=150,"Low Usage", IF(#REF!&lt;=200,"Medium Usage", IF(#REF!&lt;=250,"High Usage","Very High Usage")))</f>
        <v>#REF!</v>
      </c>
      <c r="AE1553" t="e">
        <f>IF(#REF!&lt;=5,"Low Calls", IF(#REF!&lt;=10, "Medium Calls", "High Calls"))</f>
        <v>#REF!</v>
      </c>
      <c r="AF1553" t="e">
        <f xml:space="preserve">
IF(#REF!&gt;=4,4,0)+
IF(#REF!="yes",3,0)+
IF(#REF!="High Charges",3,0)+
IF(#REF!&gt;250,4,0)+
IF(#REF!="no",1,0)+
IF(#REF!="Heavy Domestic User",2,0)</f>
        <v>#REF!</v>
      </c>
      <c r="AG1553" t="e">
        <f>IF(#REF!&gt;=10,"High Risk", IF(#REF!&gt;=5,"Medium Risk","Low Risk"))</f>
        <v>#REF!</v>
      </c>
      <c r="AH1553" t="e">
        <f>#REF! + #REF! + #REF! + #REF!</f>
        <v>#REF!</v>
      </c>
    </row>
    <row r="1554" spans="1:34" x14ac:dyDescent="0.35">
      <c r="A1554">
        <v>1553</v>
      </c>
      <c r="B1554" t="s">
        <v>52</v>
      </c>
      <c r="C1554">
        <v>87</v>
      </c>
      <c r="D1554" t="s">
        <v>28</v>
      </c>
      <c r="E1554" t="s">
        <v>22</v>
      </c>
      <c r="F1554" t="s">
        <v>23</v>
      </c>
      <c r="G1554">
        <v>22</v>
      </c>
      <c r="H1554">
        <v>240.8</v>
      </c>
      <c r="I1554">
        <v>102</v>
      </c>
      <c r="J1554">
        <v>40.94</v>
      </c>
      <c r="K1554">
        <v>75.900000000000006</v>
      </c>
      <c r="L1554">
        <v>106</v>
      </c>
      <c r="M1554">
        <v>6.45</v>
      </c>
      <c r="N1554">
        <v>224.6</v>
      </c>
      <c r="O1554">
        <v>115</v>
      </c>
      <c r="P1554">
        <v>10.11</v>
      </c>
      <c r="Q1554">
        <v>7.1</v>
      </c>
      <c r="R1554">
        <v>3</v>
      </c>
      <c r="S1554">
        <v>1.92</v>
      </c>
      <c r="T1554">
        <v>2</v>
      </c>
      <c r="U1554" t="s">
        <v>22</v>
      </c>
      <c r="V1554" t="e">
        <f>IF(#REF! = "yes", 1, 0)</f>
        <v>#REF!</v>
      </c>
      <c r="W1554" t="e">
        <f>IF(#REF! &lt;= 1, "0-1 Calls", IF(#REF! &lt;= 3, "2-3 Calls", IF(#REF! &lt;=5, "4-5 Calls", "6+ Calls")))</f>
        <v>#REF!</v>
      </c>
      <c r="X1554" t="e">
        <f>IF(#REF! &lt;= 50, "0-50", IF(#REF! &lt;=100, "51-100", IF(#REF! &lt;= 150, "101-150", "151+")))</f>
        <v>#REF!</v>
      </c>
      <c r="Y1554" t="e">
        <f>IF(#REF! &lt;= 3, "Low Charges", "High Charges")</f>
        <v>#REF!</v>
      </c>
      <c r="Z1554" t="e">
        <f>IF(#REF!&lt;=80,"Low Calls",
IF(#REF!&lt;=120,"Medium Calls","High Calls"))</f>
        <v>#REF!</v>
      </c>
      <c r="AA1554" t="e">
        <f>IF(#REF!&lt;=15,"Low Charges",
IF(#REF!&lt;=20,"Medium Charges","High Charges"))</f>
        <v>#REF!</v>
      </c>
      <c r="AB1554" t="e">
        <f>IF(AND(#REF!&gt;180, #REF!&gt;200), "Heavy Doemstic User", IF(#REF!&gt;10, "Interntional User", IF(AND(#REF!&lt;180, #REF!&lt;200,#REF!&lt;200), "Light User", "Balanced User")))</f>
        <v>#REF!</v>
      </c>
      <c r="AC1554" t="e">
        <f>IF(#REF! = 0, "No Usage", IF(#REF! &lt;= 20, "Low Usage", IF(#REF! &lt;= 40, "Medium Usgae", "High Usage")))</f>
        <v>#REF!</v>
      </c>
      <c r="AD1554" t="e">
        <f>IF(#REF!&lt;=150,"Low Usage", IF(#REF!&lt;=200,"Medium Usage", IF(#REF!&lt;=250,"High Usage","Very High Usage")))</f>
        <v>#REF!</v>
      </c>
      <c r="AE1554" t="e">
        <f>IF(#REF!&lt;=5,"Low Calls", IF(#REF!&lt;=10, "Medium Calls", "High Calls"))</f>
        <v>#REF!</v>
      </c>
      <c r="AF1554" t="e">
        <f xml:space="preserve">
IF(#REF!&gt;=4,4,0)+
IF(#REF!="yes",3,0)+
IF(#REF!="High Charges",3,0)+
IF(#REF!&gt;250,4,0)+
IF(#REF!="no",1,0)+
IF(#REF!="Heavy Domestic User",2,0)</f>
        <v>#REF!</v>
      </c>
      <c r="AG1554" t="e">
        <f>IF(#REF!&gt;=10,"High Risk", IF(#REF!&gt;=5,"Medium Risk","Low Risk"))</f>
        <v>#REF!</v>
      </c>
      <c r="AH1554" t="e">
        <f>#REF! + #REF! + #REF! + #REF!</f>
        <v>#REF!</v>
      </c>
    </row>
    <row r="1555" spans="1:34" x14ac:dyDescent="0.35">
      <c r="A1555">
        <v>1554</v>
      </c>
      <c r="B1555" t="s">
        <v>31</v>
      </c>
      <c r="C1555">
        <v>52</v>
      </c>
      <c r="D1555" t="s">
        <v>28</v>
      </c>
      <c r="E1555" t="s">
        <v>22</v>
      </c>
      <c r="F1555" t="s">
        <v>23</v>
      </c>
      <c r="G1555">
        <v>21</v>
      </c>
      <c r="H1555">
        <v>195.7</v>
      </c>
      <c r="I1555">
        <v>119</v>
      </c>
      <c r="J1555">
        <v>33.270000000000003</v>
      </c>
      <c r="K1555">
        <v>106.2</v>
      </c>
      <c r="L1555">
        <v>95</v>
      </c>
      <c r="M1555">
        <v>9.0299999999999994</v>
      </c>
      <c r="N1555">
        <v>157.4</v>
      </c>
      <c r="O1555">
        <v>94</v>
      </c>
      <c r="P1555">
        <v>7.08</v>
      </c>
      <c r="Q1555">
        <v>5.3</v>
      </c>
      <c r="R1555">
        <v>3</v>
      </c>
      <c r="S1555">
        <v>1.43</v>
      </c>
      <c r="T1555">
        <v>2</v>
      </c>
      <c r="U1555" t="s">
        <v>22</v>
      </c>
      <c r="V1555" t="e">
        <f>IF(#REF! = "yes", 1, 0)</f>
        <v>#REF!</v>
      </c>
      <c r="W1555" t="e">
        <f>IF(#REF! &lt;= 1, "0-1 Calls", IF(#REF! &lt;= 3, "2-3 Calls", IF(#REF! &lt;=5, "4-5 Calls", "6+ Calls")))</f>
        <v>#REF!</v>
      </c>
      <c r="X1555" t="e">
        <f>IF(#REF! &lt;= 50, "0-50", IF(#REF! &lt;=100, "51-100", IF(#REF! &lt;= 150, "101-150", "151+")))</f>
        <v>#REF!</v>
      </c>
      <c r="Y1555" t="e">
        <f>IF(#REF! &lt;= 3, "Low Charges", "High Charges")</f>
        <v>#REF!</v>
      </c>
      <c r="Z1555" t="e">
        <f>IF(#REF!&lt;=80,"Low Calls",
IF(#REF!&lt;=120,"Medium Calls","High Calls"))</f>
        <v>#REF!</v>
      </c>
      <c r="AA1555" t="e">
        <f>IF(#REF!&lt;=15,"Low Charges",
IF(#REF!&lt;=20,"Medium Charges","High Charges"))</f>
        <v>#REF!</v>
      </c>
      <c r="AB1555" t="e">
        <f>IF(AND(#REF!&gt;180, #REF!&gt;200), "Heavy Doemstic User", IF(#REF!&gt;10, "Interntional User", IF(AND(#REF!&lt;180, #REF!&lt;200,#REF!&lt;200), "Light User", "Balanced User")))</f>
        <v>#REF!</v>
      </c>
      <c r="AC1555" t="e">
        <f>IF(#REF! = 0, "No Usage", IF(#REF! &lt;= 20, "Low Usage", IF(#REF! &lt;= 40, "Medium Usgae", "High Usage")))</f>
        <v>#REF!</v>
      </c>
      <c r="AD1555" t="e">
        <f>IF(#REF!&lt;=150,"Low Usage", IF(#REF!&lt;=200,"Medium Usage", IF(#REF!&lt;=250,"High Usage","Very High Usage")))</f>
        <v>#REF!</v>
      </c>
      <c r="AE1555" t="e">
        <f>IF(#REF!&lt;=5,"Low Calls", IF(#REF!&lt;=10, "Medium Calls", "High Calls"))</f>
        <v>#REF!</v>
      </c>
      <c r="AF1555" t="e">
        <f xml:space="preserve">
IF(#REF!&gt;=4,4,0)+
IF(#REF!="yes",3,0)+
IF(#REF!="High Charges",3,0)+
IF(#REF!&gt;250,4,0)+
IF(#REF!="no",1,0)+
IF(#REF!="Heavy Domestic User",2,0)</f>
        <v>#REF!</v>
      </c>
      <c r="AG1555" t="e">
        <f>IF(#REF!&gt;=10,"High Risk", IF(#REF!&gt;=5,"Medium Risk","Low Risk"))</f>
        <v>#REF!</v>
      </c>
      <c r="AH1555" t="e">
        <f>#REF! + #REF! + #REF! + #REF!</f>
        <v>#REF!</v>
      </c>
    </row>
    <row r="1556" spans="1:34" x14ac:dyDescent="0.35">
      <c r="A1556">
        <v>1555</v>
      </c>
      <c r="B1556" t="s">
        <v>59</v>
      </c>
      <c r="C1556">
        <v>97</v>
      </c>
      <c r="D1556" t="s">
        <v>25</v>
      </c>
      <c r="E1556" t="s">
        <v>22</v>
      </c>
      <c r="F1556" t="s">
        <v>22</v>
      </c>
      <c r="G1556">
        <v>0</v>
      </c>
      <c r="H1556">
        <v>276.10000000000002</v>
      </c>
      <c r="I1556">
        <v>82</v>
      </c>
      <c r="J1556">
        <v>46.94</v>
      </c>
      <c r="K1556">
        <v>201.1</v>
      </c>
      <c r="L1556">
        <v>106</v>
      </c>
      <c r="M1556">
        <v>17.09</v>
      </c>
      <c r="N1556">
        <v>231.3</v>
      </c>
      <c r="O1556">
        <v>73</v>
      </c>
      <c r="P1556">
        <v>10.41</v>
      </c>
      <c r="Q1556">
        <v>8.9</v>
      </c>
      <c r="R1556">
        <v>4</v>
      </c>
      <c r="S1556">
        <v>2.4</v>
      </c>
      <c r="T1556">
        <v>0</v>
      </c>
      <c r="U1556" t="s">
        <v>23</v>
      </c>
      <c r="V1556" t="e">
        <f>IF(#REF! = "yes", 1, 0)</f>
        <v>#REF!</v>
      </c>
      <c r="W1556" t="e">
        <f>IF(#REF! &lt;= 1, "0-1 Calls", IF(#REF! &lt;= 3, "2-3 Calls", IF(#REF! &lt;=5, "4-5 Calls", "6+ Calls")))</f>
        <v>#REF!</v>
      </c>
      <c r="X1556" t="e">
        <f>IF(#REF! &lt;= 50, "0-50", IF(#REF! &lt;=100, "51-100", IF(#REF! &lt;= 150, "101-150", "151+")))</f>
        <v>#REF!</v>
      </c>
      <c r="Y1556" t="e">
        <f>IF(#REF! &lt;= 3, "Low Charges", "High Charges")</f>
        <v>#REF!</v>
      </c>
      <c r="Z1556" t="e">
        <f>IF(#REF!&lt;=80,"Low Calls",
IF(#REF!&lt;=120,"Medium Calls","High Calls"))</f>
        <v>#REF!</v>
      </c>
      <c r="AA1556" t="e">
        <f>IF(#REF!&lt;=15,"Low Charges",
IF(#REF!&lt;=20,"Medium Charges","High Charges"))</f>
        <v>#REF!</v>
      </c>
      <c r="AB1556" t="e">
        <f>IF(AND(#REF!&gt;180, #REF!&gt;200), "Heavy Doemstic User", IF(#REF!&gt;10, "Interntional User", IF(AND(#REF!&lt;180, #REF!&lt;200,#REF!&lt;200), "Light User", "Balanced User")))</f>
        <v>#REF!</v>
      </c>
      <c r="AC1556" t="e">
        <f>IF(#REF! = 0, "No Usage", IF(#REF! &lt;= 20, "Low Usage", IF(#REF! &lt;= 40, "Medium Usgae", "High Usage")))</f>
        <v>#REF!</v>
      </c>
      <c r="AD1556" t="e">
        <f>IF(#REF!&lt;=150,"Low Usage", IF(#REF!&lt;=200,"Medium Usage", IF(#REF!&lt;=250,"High Usage","Very High Usage")))</f>
        <v>#REF!</v>
      </c>
      <c r="AE1556" t="e">
        <f>IF(#REF!&lt;=5,"Low Calls", IF(#REF!&lt;=10, "Medium Calls", "High Calls"))</f>
        <v>#REF!</v>
      </c>
      <c r="AF1556" t="e">
        <f xml:space="preserve">
IF(#REF!&gt;=4,4,0)+
IF(#REF!="yes",3,0)+
IF(#REF!="High Charges",3,0)+
IF(#REF!&gt;250,4,0)+
IF(#REF!="no",1,0)+
IF(#REF!="Heavy Domestic User",2,0)</f>
        <v>#REF!</v>
      </c>
      <c r="AG1556" t="e">
        <f>IF(#REF!&gt;=10,"High Risk", IF(#REF!&gt;=5,"Medium Risk","Low Risk"))</f>
        <v>#REF!</v>
      </c>
      <c r="AH1556" t="e">
        <f>#REF! + #REF! + #REF! + #REF!</f>
        <v>#REF!</v>
      </c>
    </row>
    <row r="1557" spans="1:34" x14ac:dyDescent="0.35">
      <c r="A1557">
        <v>1556</v>
      </c>
      <c r="B1557" t="s">
        <v>62</v>
      </c>
      <c r="C1557">
        <v>105</v>
      </c>
      <c r="D1557" t="s">
        <v>25</v>
      </c>
      <c r="E1557" t="s">
        <v>22</v>
      </c>
      <c r="F1557" t="s">
        <v>22</v>
      </c>
      <c r="G1557">
        <v>0</v>
      </c>
      <c r="H1557">
        <v>166.1</v>
      </c>
      <c r="I1557">
        <v>93</v>
      </c>
      <c r="J1557">
        <v>28.24</v>
      </c>
      <c r="K1557">
        <v>175.9</v>
      </c>
      <c r="L1557">
        <v>106</v>
      </c>
      <c r="M1557">
        <v>14.95</v>
      </c>
      <c r="N1557">
        <v>243.5</v>
      </c>
      <c r="O1557">
        <v>55</v>
      </c>
      <c r="P1557">
        <v>10.96</v>
      </c>
      <c r="Q1557">
        <v>16.2</v>
      </c>
      <c r="R1557">
        <v>3</v>
      </c>
      <c r="S1557">
        <v>4.37</v>
      </c>
      <c r="T1557">
        <v>2</v>
      </c>
      <c r="U1557" t="s">
        <v>22</v>
      </c>
      <c r="V1557" t="e">
        <f>IF(#REF! = "yes", 1, 0)</f>
        <v>#REF!</v>
      </c>
      <c r="W1557" t="e">
        <f>IF(#REF! &lt;= 1, "0-1 Calls", IF(#REF! &lt;= 3, "2-3 Calls", IF(#REF! &lt;=5, "4-5 Calls", "6+ Calls")))</f>
        <v>#REF!</v>
      </c>
      <c r="X1557" t="e">
        <f>IF(#REF! &lt;= 50, "0-50", IF(#REF! &lt;=100, "51-100", IF(#REF! &lt;= 150, "101-150", "151+")))</f>
        <v>#REF!</v>
      </c>
      <c r="Y1557" t="e">
        <f>IF(#REF! &lt;= 3, "Low Charges", "High Charges")</f>
        <v>#REF!</v>
      </c>
      <c r="Z1557" t="e">
        <f>IF(#REF!&lt;=80,"Low Calls",
IF(#REF!&lt;=120,"Medium Calls","High Calls"))</f>
        <v>#REF!</v>
      </c>
      <c r="AA1557" t="e">
        <f>IF(#REF!&lt;=15,"Low Charges",
IF(#REF!&lt;=20,"Medium Charges","High Charges"))</f>
        <v>#REF!</v>
      </c>
      <c r="AB1557" t="e">
        <f>IF(AND(#REF!&gt;180, #REF!&gt;200), "Heavy Doemstic User", IF(#REF!&gt;10, "Interntional User", IF(AND(#REF!&lt;180, #REF!&lt;200,#REF!&lt;200), "Light User", "Balanced User")))</f>
        <v>#REF!</v>
      </c>
      <c r="AC1557" t="e">
        <f>IF(#REF! = 0, "No Usage", IF(#REF! &lt;= 20, "Low Usage", IF(#REF! &lt;= 40, "Medium Usgae", "High Usage")))</f>
        <v>#REF!</v>
      </c>
      <c r="AD1557" t="e">
        <f>IF(#REF!&lt;=150,"Low Usage", IF(#REF!&lt;=200,"Medium Usage", IF(#REF!&lt;=250,"High Usage","Very High Usage")))</f>
        <v>#REF!</v>
      </c>
      <c r="AE1557" t="e">
        <f>IF(#REF!&lt;=5,"Low Calls", IF(#REF!&lt;=10, "Medium Calls", "High Calls"))</f>
        <v>#REF!</v>
      </c>
      <c r="AF1557" t="e">
        <f xml:space="preserve">
IF(#REF!&gt;=4,4,0)+
IF(#REF!="yes",3,0)+
IF(#REF!="High Charges",3,0)+
IF(#REF!&gt;250,4,0)+
IF(#REF!="no",1,0)+
IF(#REF!="Heavy Domestic User",2,0)</f>
        <v>#REF!</v>
      </c>
      <c r="AG1557" t="e">
        <f>IF(#REF!&gt;=10,"High Risk", IF(#REF!&gt;=5,"Medium Risk","Low Risk"))</f>
        <v>#REF!</v>
      </c>
      <c r="AH1557" t="e">
        <f>#REF! + #REF! + #REF! + #REF!</f>
        <v>#REF!</v>
      </c>
    </row>
    <row r="1558" spans="1:34" x14ac:dyDescent="0.35">
      <c r="A1558">
        <v>1557</v>
      </c>
      <c r="B1558" t="s">
        <v>43</v>
      </c>
      <c r="C1558">
        <v>77</v>
      </c>
      <c r="D1558" t="s">
        <v>28</v>
      </c>
      <c r="E1558" t="s">
        <v>22</v>
      </c>
      <c r="F1558" t="s">
        <v>23</v>
      </c>
      <c r="G1558">
        <v>28</v>
      </c>
      <c r="H1558">
        <v>135.9</v>
      </c>
      <c r="I1558">
        <v>117</v>
      </c>
      <c r="J1558">
        <v>23.1</v>
      </c>
      <c r="K1558">
        <v>244.5</v>
      </c>
      <c r="L1558">
        <v>102</v>
      </c>
      <c r="M1558">
        <v>20.78</v>
      </c>
      <c r="N1558">
        <v>207.5</v>
      </c>
      <c r="O1558">
        <v>74</v>
      </c>
      <c r="P1558">
        <v>9.34</v>
      </c>
      <c r="Q1558">
        <v>11.5</v>
      </c>
      <c r="R1558">
        <v>3</v>
      </c>
      <c r="S1558">
        <v>3.11</v>
      </c>
      <c r="T1558">
        <v>4</v>
      </c>
      <c r="U1558" t="s">
        <v>23</v>
      </c>
      <c r="V1558" t="e">
        <f>IF(#REF! = "yes", 1, 0)</f>
        <v>#REF!</v>
      </c>
      <c r="W1558" t="e">
        <f>IF(#REF! &lt;= 1, "0-1 Calls", IF(#REF! &lt;= 3, "2-3 Calls", IF(#REF! &lt;=5, "4-5 Calls", "6+ Calls")))</f>
        <v>#REF!</v>
      </c>
      <c r="X1558" t="e">
        <f>IF(#REF! &lt;= 50, "0-50", IF(#REF! &lt;=100, "51-100", IF(#REF! &lt;= 150, "101-150", "151+")))</f>
        <v>#REF!</v>
      </c>
      <c r="Y1558" t="e">
        <f>IF(#REF! &lt;= 3, "Low Charges", "High Charges")</f>
        <v>#REF!</v>
      </c>
      <c r="Z1558" t="e">
        <f>IF(#REF!&lt;=80,"Low Calls",
IF(#REF!&lt;=120,"Medium Calls","High Calls"))</f>
        <v>#REF!</v>
      </c>
      <c r="AA1558" t="e">
        <f>IF(#REF!&lt;=15,"Low Charges",
IF(#REF!&lt;=20,"Medium Charges","High Charges"))</f>
        <v>#REF!</v>
      </c>
      <c r="AB1558" t="e">
        <f>IF(AND(#REF!&gt;180, #REF!&gt;200), "Heavy Doemstic User", IF(#REF!&gt;10, "Interntional User", IF(AND(#REF!&lt;180, #REF!&lt;200,#REF!&lt;200), "Light User", "Balanced User")))</f>
        <v>#REF!</v>
      </c>
      <c r="AC1558" t="e">
        <f>IF(#REF! = 0, "No Usage", IF(#REF! &lt;= 20, "Low Usage", IF(#REF! &lt;= 40, "Medium Usgae", "High Usage")))</f>
        <v>#REF!</v>
      </c>
      <c r="AD1558" t="e">
        <f>IF(#REF!&lt;=150,"Low Usage", IF(#REF!&lt;=200,"Medium Usage", IF(#REF!&lt;=250,"High Usage","Very High Usage")))</f>
        <v>#REF!</v>
      </c>
      <c r="AE1558" t="e">
        <f>IF(#REF!&lt;=5,"Low Calls", IF(#REF!&lt;=10, "Medium Calls", "High Calls"))</f>
        <v>#REF!</v>
      </c>
      <c r="AF1558" t="e">
        <f xml:space="preserve">
IF(#REF!&gt;=4,4,0)+
IF(#REF!="yes",3,0)+
IF(#REF!="High Charges",3,0)+
IF(#REF!&gt;250,4,0)+
IF(#REF!="no",1,0)+
IF(#REF!="Heavy Domestic User",2,0)</f>
        <v>#REF!</v>
      </c>
      <c r="AG1558" t="e">
        <f>IF(#REF!&gt;=10,"High Risk", IF(#REF!&gt;=5,"Medium Risk","Low Risk"))</f>
        <v>#REF!</v>
      </c>
      <c r="AH1558" t="e">
        <f>#REF! + #REF! + #REF! + #REF!</f>
        <v>#REF!</v>
      </c>
    </row>
    <row r="1559" spans="1:34" x14ac:dyDescent="0.35">
      <c r="A1559">
        <v>1558</v>
      </c>
      <c r="B1559" t="s">
        <v>58</v>
      </c>
      <c r="C1559">
        <v>80</v>
      </c>
      <c r="D1559" t="s">
        <v>21</v>
      </c>
      <c r="E1559" t="s">
        <v>23</v>
      </c>
      <c r="F1559" t="s">
        <v>22</v>
      </c>
      <c r="G1559">
        <v>0</v>
      </c>
      <c r="H1559">
        <v>189.1</v>
      </c>
      <c r="I1559">
        <v>122</v>
      </c>
      <c r="J1559">
        <v>32.15</v>
      </c>
      <c r="K1559">
        <v>223.2</v>
      </c>
      <c r="L1559">
        <v>92</v>
      </c>
      <c r="M1559">
        <v>18.97</v>
      </c>
      <c r="N1559">
        <v>269</v>
      </c>
      <c r="O1559">
        <v>116</v>
      </c>
      <c r="P1559">
        <v>12.11</v>
      </c>
      <c r="Q1559">
        <v>13.9</v>
      </c>
      <c r="R1559">
        <v>3</v>
      </c>
      <c r="S1559">
        <v>3.75</v>
      </c>
      <c r="T1559">
        <v>2</v>
      </c>
      <c r="U1559" t="s">
        <v>23</v>
      </c>
      <c r="V1559" t="e">
        <f>IF(#REF! = "yes", 1, 0)</f>
        <v>#REF!</v>
      </c>
      <c r="W1559" t="e">
        <f>IF(#REF! &lt;= 1, "0-1 Calls", IF(#REF! &lt;= 3, "2-3 Calls", IF(#REF! &lt;=5, "4-5 Calls", "6+ Calls")))</f>
        <v>#REF!</v>
      </c>
      <c r="X1559" t="e">
        <f>IF(#REF! &lt;= 50, "0-50", IF(#REF! &lt;=100, "51-100", IF(#REF! &lt;= 150, "101-150", "151+")))</f>
        <v>#REF!</v>
      </c>
      <c r="Y1559" t="e">
        <f>IF(#REF! &lt;= 3, "Low Charges", "High Charges")</f>
        <v>#REF!</v>
      </c>
      <c r="Z1559" t="e">
        <f>IF(#REF!&lt;=80,"Low Calls",
IF(#REF!&lt;=120,"Medium Calls","High Calls"))</f>
        <v>#REF!</v>
      </c>
      <c r="AA1559" t="e">
        <f>IF(#REF!&lt;=15,"Low Charges",
IF(#REF!&lt;=20,"Medium Charges","High Charges"))</f>
        <v>#REF!</v>
      </c>
      <c r="AB1559" t="e">
        <f>IF(AND(#REF!&gt;180, #REF!&gt;200), "Heavy Doemstic User", IF(#REF!&gt;10, "Interntional User", IF(AND(#REF!&lt;180, #REF!&lt;200,#REF!&lt;200), "Light User", "Balanced User")))</f>
        <v>#REF!</v>
      </c>
      <c r="AC1559" t="e">
        <f>IF(#REF! = 0, "No Usage", IF(#REF! &lt;= 20, "Low Usage", IF(#REF! &lt;= 40, "Medium Usgae", "High Usage")))</f>
        <v>#REF!</v>
      </c>
      <c r="AD1559" t="e">
        <f>IF(#REF!&lt;=150,"Low Usage", IF(#REF!&lt;=200,"Medium Usage", IF(#REF!&lt;=250,"High Usage","Very High Usage")))</f>
        <v>#REF!</v>
      </c>
      <c r="AE1559" t="e">
        <f>IF(#REF!&lt;=5,"Low Calls", IF(#REF!&lt;=10, "Medium Calls", "High Calls"))</f>
        <v>#REF!</v>
      </c>
      <c r="AF1559" t="e">
        <f xml:space="preserve">
IF(#REF!&gt;=4,4,0)+
IF(#REF!="yes",3,0)+
IF(#REF!="High Charges",3,0)+
IF(#REF!&gt;250,4,0)+
IF(#REF!="no",1,0)+
IF(#REF!="Heavy Domestic User",2,0)</f>
        <v>#REF!</v>
      </c>
      <c r="AG1559" t="e">
        <f>IF(#REF!&gt;=10,"High Risk", IF(#REF!&gt;=5,"Medium Risk","Low Risk"))</f>
        <v>#REF!</v>
      </c>
      <c r="AH1559" t="e">
        <f>#REF! + #REF! + #REF! + #REF!</f>
        <v>#REF!</v>
      </c>
    </row>
    <row r="1560" spans="1:34" x14ac:dyDescent="0.35">
      <c r="A1560">
        <v>1559</v>
      </c>
      <c r="B1560" t="s">
        <v>46</v>
      </c>
      <c r="C1560">
        <v>120</v>
      </c>
      <c r="D1560" t="s">
        <v>28</v>
      </c>
      <c r="E1560" t="s">
        <v>22</v>
      </c>
      <c r="F1560" t="s">
        <v>23</v>
      </c>
      <c r="G1560">
        <v>43</v>
      </c>
      <c r="H1560">
        <v>177.9</v>
      </c>
      <c r="I1560">
        <v>117</v>
      </c>
      <c r="J1560">
        <v>30.24</v>
      </c>
      <c r="K1560">
        <v>175.1</v>
      </c>
      <c r="L1560">
        <v>70</v>
      </c>
      <c r="M1560">
        <v>14.88</v>
      </c>
      <c r="N1560">
        <v>161.30000000000001</v>
      </c>
      <c r="O1560">
        <v>117</v>
      </c>
      <c r="P1560">
        <v>7.26</v>
      </c>
      <c r="Q1560">
        <v>11.5</v>
      </c>
      <c r="R1560">
        <v>4</v>
      </c>
      <c r="S1560">
        <v>3.11</v>
      </c>
      <c r="T1560">
        <v>1</v>
      </c>
      <c r="U1560" t="s">
        <v>22</v>
      </c>
      <c r="V1560" t="e">
        <f>IF(#REF! = "yes", 1, 0)</f>
        <v>#REF!</v>
      </c>
      <c r="W1560" t="e">
        <f>IF(#REF! &lt;= 1, "0-1 Calls", IF(#REF! &lt;= 3, "2-3 Calls", IF(#REF! &lt;=5, "4-5 Calls", "6+ Calls")))</f>
        <v>#REF!</v>
      </c>
      <c r="X1560" t="e">
        <f>IF(#REF! &lt;= 50, "0-50", IF(#REF! &lt;=100, "51-100", IF(#REF! &lt;= 150, "101-150", "151+")))</f>
        <v>#REF!</v>
      </c>
      <c r="Y1560" t="e">
        <f>IF(#REF! &lt;= 3, "Low Charges", "High Charges")</f>
        <v>#REF!</v>
      </c>
      <c r="Z1560" t="e">
        <f>IF(#REF!&lt;=80,"Low Calls",
IF(#REF!&lt;=120,"Medium Calls","High Calls"))</f>
        <v>#REF!</v>
      </c>
      <c r="AA1560" t="e">
        <f>IF(#REF!&lt;=15,"Low Charges",
IF(#REF!&lt;=20,"Medium Charges","High Charges"))</f>
        <v>#REF!</v>
      </c>
      <c r="AB1560" t="e">
        <f>IF(AND(#REF!&gt;180, #REF!&gt;200), "Heavy Doemstic User", IF(#REF!&gt;10, "Interntional User", IF(AND(#REF!&lt;180, #REF!&lt;200,#REF!&lt;200), "Light User", "Balanced User")))</f>
        <v>#REF!</v>
      </c>
      <c r="AC1560" t="e">
        <f>IF(#REF! = 0, "No Usage", IF(#REF! &lt;= 20, "Low Usage", IF(#REF! &lt;= 40, "Medium Usgae", "High Usage")))</f>
        <v>#REF!</v>
      </c>
      <c r="AD1560" t="e">
        <f>IF(#REF!&lt;=150,"Low Usage", IF(#REF!&lt;=200,"Medium Usage", IF(#REF!&lt;=250,"High Usage","Very High Usage")))</f>
        <v>#REF!</v>
      </c>
      <c r="AE1560" t="e">
        <f>IF(#REF!&lt;=5,"Low Calls", IF(#REF!&lt;=10, "Medium Calls", "High Calls"))</f>
        <v>#REF!</v>
      </c>
      <c r="AF1560" t="e">
        <f xml:space="preserve">
IF(#REF!&gt;=4,4,0)+
IF(#REF!="yes",3,0)+
IF(#REF!="High Charges",3,0)+
IF(#REF!&gt;250,4,0)+
IF(#REF!="no",1,0)+
IF(#REF!="Heavy Domestic User",2,0)</f>
        <v>#REF!</v>
      </c>
      <c r="AG1560" t="e">
        <f>IF(#REF!&gt;=10,"High Risk", IF(#REF!&gt;=5,"Medium Risk","Low Risk"))</f>
        <v>#REF!</v>
      </c>
      <c r="AH1560" t="e">
        <f>#REF! + #REF! + #REF! + #REF!</f>
        <v>#REF!</v>
      </c>
    </row>
    <row r="1561" spans="1:34" x14ac:dyDescent="0.35">
      <c r="A1561">
        <v>1560</v>
      </c>
      <c r="B1561" t="s">
        <v>44</v>
      </c>
      <c r="C1561">
        <v>54</v>
      </c>
      <c r="D1561" t="s">
        <v>25</v>
      </c>
      <c r="E1561" t="s">
        <v>22</v>
      </c>
      <c r="F1561" t="s">
        <v>23</v>
      </c>
      <c r="G1561">
        <v>39</v>
      </c>
      <c r="H1561">
        <v>143.9</v>
      </c>
      <c r="I1561">
        <v>73</v>
      </c>
      <c r="J1561">
        <v>24.46</v>
      </c>
      <c r="K1561">
        <v>210.3</v>
      </c>
      <c r="L1561">
        <v>117</v>
      </c>
      <c r="M1561">
        <v>17.88</v>
      </c>
      <c r="N1561">
        <v>129.19999999999999</v>
      </c>
      <c r="O1561">
        <v>117</v>
      </c>
      <c r="P1561">
        <v>5.81</v>
      </c>
      <c r="Q1561">
        <v>12.5</v>
      </c>
      <c r="R1561">
        <v>8</v>
      </c>
      <c r="S1561">
        <v>3.38</v>
      </c>
      <c r="T1561">
        <v>2</v>
      </c>
      <c r="U1561" t="s">
        <v>22</v>
      </c>
      <c r="V1561" t="e">
        <f>IF(#REF! = "yes", 1, 0)</f>
        <v>#REF!</v>
      </c>
      <c r="W1561" t="e">
        <f>IF(#REF! &lt;= 1, "0-1 Calls", IF(#REF! &lt;= 3, "2-3 Calls", IF(#REF! &lt;=5, "4-5 Calls", "6+ Calls")))</f>
        <v>#REF!</v>
      </c>
      <c r="X1561" t="e">
        <f>IF(#REF! &lt;= 50, "0-50", IF(#REF! &lt;=100, "51-100", IF(#REF! &lt;= 150, "101-150", "151+")))</f>
        <v>#REF!</v>
      </c>
      <c r="Y1561" t="e">
        <f>IF(#REF! &lt;= 3, "Low Charges", "High Charges")</f>
        <v>#REF!</v>
      </c>
      <c r="Z1561" t="e">
        <f>IF(#REF!&lt;=80,"Low Calls",
IF(#REF!&lt;=120,"Medium Calls","High Calls"))</f>
        <v>#REF!</v>
      </c>
      <c r="AA1561" t="e">
        <f>IF(#REF!&lt;=15,"Low Charges",
IF(#REF!&lt;=20,"Medium Charges","High Charges"))</f>
        <v>#REF!</v>
      </c>
      <c r="AB1561" t="e">
        <f>IF(AND(#REF!&gt;180, #REF!&gt;200), "Heavy Doemstic User", IF(#REF!&gt;10, "Interntional User", IF(AND(#REF!&lt;180, #REF!&lt;200,#REF!&lt;200), "Light User", "Balanced User")))</f>
        <v>#REF!</v>
      </c>
      <c r="AC1561" t="e">
        <f>IF(#REF! = 0, "No Usage", IF(#REF! &lt;= 20, "Low Usage", IF(#REF! &lt;= 40, "Medium Usgae", "High Usage")))</f>
        <v>#REF!</v>
      </c>
      <c r="AD1561" t="e">
        <f>IF(#REF!&lt;=150,"Low Usage", IF(#REF!&lt;=200,"Medium Usage", IF(#REF!&lt;=250,"High Usage","Very High Usage")))</f>
        <v>#REF!</v>
      </c>
      <c r="AE1561" t="e">
        <f>IF(#REF!&lt;=5,"Low Calls", IF(#REF!&lt;=10, "Medium Calls", "High Calls"))</f>
        <v>#REF!</v>
      </c>
      <c r="AF1561" t="e">
        <f xml:space="preserve">
IF(#REF!&gt;=4,4,0)+
IF(#REF!="yes",3,0)+
IF(#REF!="High Charges",3,0)+
IF(#REF!&gt;250,4,0)+
IF(#REF!="no",1,0)+
IF(#REF!="Heavy Domestic User",2,0)</f>
        <v>#REF!</v>
      </c>
      <c r="AG1561" t="e">
        <f>IF(#REF!&gt;=10,"High Risk", IF(#REF!&gt;=5,"Medium Risk","Low Risk"))</f>
        <v>#REF!</v>
      </c>
      <c r="AH1561" t="e">
        <f>#REF! + #REF! + #REF! + #REF!</f>
        <v>#REF!</v>
      </c>
    </row>
    <row r="1562" spans="1:34" x14ac:dyDescent="0.35">
      <c r="A1562">
        <v>1561</v>
      </c>
      <c r="B1562" t="s">
        <v>40</v>
      </c>
      <c r="C1562">
        <v>148</v>
      </c>
      <c r="D1562" t="s">
        <v>28</v>
      </c>
      <c r="E1562" t="s">
        <v>23</v>
      </c>
      <c r="F1562" t="s">
        <v>22</v>
      </c>
      <c r="G1562">
        <v>0</v>
      </c>
      <c r="H1562">
        <v>148.19999999999999</v>
      </c>
      <c r="I1562">
        <v>138</v>
      </c>
      <c r="J1562">
        <v>25.19</v>
      </c>
      <c r="K1562">
        <v>159.6</v>
      </c>
      <c r="L1562">
        <v>123</v>
      </c>
      <c r="M1562">
        <v>13.57</v>
      </c>
      <c r="N1562">
        <v>197.4</v>
      </c>
      <c r="O1562">
        <v>62</v>
      </c>
      <c r="P1562">
        <v>8.8800000000000008</v>
      </c>
      <c r="Q1562">
        <v>8.6</v>
      </c>
      <c r="R1562">
        <v>3</v>
      </c>
      <c r="S1562">
        <v>2.3199999999999998</v>
      </c>
      <c r="T1562">
        <v>2</v>
      </c>
      <c r="U1562" t="s">
        <v>22</v>
      </c>
      <c r="V1562" t="e">
        <f>IF(#REF! = "yes", 1, 0)</f>
        <v>#REF!</v>
      </c>
      <c r="W1562" t="e">
        <f>IF(#REF! &lt;= 1, "0-1 Calls", IF(#REF! &lt;= 3, "2-3 Calls", IF(#REF! &lt;=5, "4-5 Calls", "6+ Calls")))</f>
        <v>#REF!</v>
      </c>
      <c r="X1562" t="e">
        <f>IF(#REF! &lt;= 50, "0-50", IF(#REF! &lt;=100, "51-100", IF(#REF! &lt;= 150, "101-150", "151+")))</f>
        <v>#REF!</v>
      </c>
      <c r="Y1562" t="e">
        <f>IF(#REF! &lt;= 3, "Low Charges", "High Charges")</f>
        <v>#REF!</v>
      </c>
      <c r="Z1562" t="e">
        <f>IF(#REF!&lt;=80,"Low Calls",
IF(#REF!&lt;=120,"Medium Calls","High Calls"))</f>
        <v>#REF!</v>
      </c>
      <c r="AA1562" t="e">
        <f>IF(#REF!&lt;=15,"Low Charges",
IF(#REF!&lt;=20,"Medium Charges","High Charges"))</f>
        <v>#REF!</v>
      </c>
      <c r="AB1562" t="e">
        <f>IF(AND(#REF!&gt;180, #REF!&gt;200), "Heavy Doemstic User", IF(#REF!&gt;10, "Interntional User", IF(AND(#REF!&lt;180, #REF!&lt;200,#REF!&lt;200), "Light User", "Balanced User")))</f>
        <v>#REF!</v>
      </c>
      <c r="AC1562" t="e">
        <f>IF(#REF! = 0, "No Usage", IF(#REF! &lt;= 20, "Low Usage", IF(#REF! &lt;= 40, "Medium Usgae", "High Usage")))</f>
        <v>#REF!</v>
      </c>
      <c r="AD1562" t="e">
        <f>IF(#REF!&lt;=150,"Low Usage", IF(#REF!&lt;=200,"Medium Usage", IF(#REF!&lt;=250,"High Usage","Very High Usage")))</f>
        <v>#REF!</v>
      </c>
      <c r="AE1562" t="e">
        <f>IF(#REF!&lt;=5,"Low Calls", IF(#REF!&lt;=10, "Medium Calls", "High Calls"))</f>
        <v>#REF!</v>
      </c>
      <c r="AF1562" t="e">
        <f xml:space="preserve">
IF(#REF!&gt;=4,4,0)+
IF(#REF!="yes",3,0)+
IF(#REF!="High Charges",3,0)+
IF(#REF!&gt;250,4,0)+
IF(#REF!="no",1,0)+
IF(#REF!="Heavy Domestic User",2,0)</f>
        <v>#REF!</v>
      </c>
      <c r="AG1562" t="e">
        <f>IF(#REF!&gt;=10,"High Risk", IF(#REF!&gt;=5,"Medium Risk","Low Risk"))</f>
        <v>#REF!</v>
      </c>
      <c r="AH1562" t="e">
        <f>#REF! + #REF! + #REF! + #REF!</f>
        <v>#REF!</v>
      </c>
    </row>
    <row r="1563" spans="1:34" x14ac:dyDescent="0.35">
      <c r="A1563">
        <v>1562</v>
      </c>
      <c r="B1563" t="s">
        <v>73</v>
      </c>
      <c r="C1563">
        <v>119</v>
      </c>
      <c r="D1563" t="s">
        <v>25</v>
      </c>
      <c r="E1563" t="s">
        <v>22</v>
      </c>
      <c r="F1563" t="s">
        <v>22</v>
      </c>
      <c r="G1563">
        <v>0</v>
      </c>
      <c r="H1563">
        <v>287.10000000000002</v>
      </c>
      <c r="I1563">
        <v>115</v>
      </c>
      <c r="J1563">
        <v>48.81</v>
      </c>
      <c r="K1563">
        <v>159.30000000000001</v>
      </c>
      <c r="L1563">
        <v>99</v>
      </c>
      <c r="M1563">
        <v>13.54</v>
      </c>
      <c r="N1563">
        <v>216.8</v>
      </c>
      <c r="O1563">
        <v>86</v>
      </c>
      <c r="P1563">
        <v>9.76</v>
      </c>
      <c r="Q1563">
        <v>13.9</v>
      </c>
      <c r="R1563">
        <v>1</v>
      </c>
      <c r="S1563">
        <v>3.75</v>
      </c>
      <c r="T1563">
        <v>2</v>
      </c>
      <c r="U1563" t="s">
        <v>23</v>
      </c>
      <c r="V1563" t="e">
        <f>IF(#REF! = "yes", 1, 0)</f>
        <v>#REF!</v>
      </c>
      <c r="W1563" t="e">
        <f>IF(#REF! &lt;= 1, "0-1 Calls", IF(#REF! &lt;= 3, "2-3 Calls", IF(#REF! &lt;=5, "4-5 Calls", "6+ Calls")))</f>
        <v>#REF!</v>
      </c>
      <c r="X1563" t="e">
        <f>IF(#REF! &lt;= 50, "0-50", IF(#REF! &lt;=100, "51-100", IF(#REF! &lt;= 150, "101-150", "151+")))</f>
        <v>#REF!</v>
      </c>
      <c r="Y1563" t="e">
        <f>IF(#REF! &lt;= 3, "Low Charges", "High Charges")</f>
        <v>#REF!</v>
      </c>
      <c r="Z1563" t="e">
        <f>IF(#REF!&lt;=80,"Low Calls",
IF(#REF!&lt;=120,"Medium Calls","High Calls"))</f>
        <v>#REF!</v>
      </c>
      <c r="AA1563" t="e">
        <f>IF(#REF!&lt;=15,"Low Charges",
IF(#REF!&lt;=20,"Medium Charges","High Charges"))</f>
        <v>#REF!</v>
      </c>
      <c r="AB1563" t="e">
        <f>IF(AND(#REF!&gt;180, #REF!&gt;200), "Heavy Doemstic User", IF(#REF!&gt;10, "Interntional User", IF(AND(#REF!&lt;180, #REF!&lt;200,#REF!&lt;200), "Light User", "Balanced User")))</f>
        <v>#REF!</v>
      </c>
      <c r="AC1563" t="e">
        <f>IF(#REF! = 0, "No Usage", IF(#REF! &lt;= 20, "Low Usage", IF(#REF! &lt;= 40, "Medium Usgae", "High Usage")))</f>
        <v>#REF!</v>
      </c>
      <c r="AD1563" t="e">
        <f>IF(#REF!&lt;=150,"Low Usage", IF(#REF!&lt;=200,"Medium Usage", IF(#REF!&lt;=250,"High Usage","Very High Usage")))</f>
        <v>#REF!</v>
      </c>
      <c r="AE1563" t="e">
        <f>IF(#REF!&lt;=5,"Low Calls", IF(#REF!&lt;=10, "Medium Calls", "High Calls"))</f>
        <v>#REF!</v>
      </c>
      <c r="AF1563" t="e">
        <f xml:space="preserve">
IF(#REF!&gt;=4,4,0)+
IF(#REF!="yes",3,0)+
IF(#REF!="High Charges",3,0)+
IF(#REF!&gt;250,4,0)+
IF(#REF!="no",1,0)+
IF(#REF!="Heavy Domestic User",2,0)</f>
        <v>#REF!</v>
      </c>
      <c r="AG1563" t="e">
        <f>IF(#REF!&gt;=10,"High Risk", IF(#REF!&gt;=5,"Medium Risk","Low Risk"))</f>
        <v>#REF!</v>
      </c>
      <c r="AH1563" t="e">
        <f>#REF! + #REF! + #REF! + #REF!</f>
        <v>#REF!</v>
      </c>
    </row>
    <row r="1564" spans="1:34" x14ac:dyDescent="0.35">
      <c r="A1564">
        <v>1563</v>
      </c>
      <c r="B1564" t="s">
        <v>58</v>
      </c>
      <c r="C1564">
        <v>162</v>
      </c>
      <c r="D1564" t="s">
        <v>25</v>
      </c>
      <c r="E1564" t="s">
        <v>22</v>
      </c>
      <c r="F1564" t="s">
        <v>23</v>
      </c>
      <c r="G1564">
        <v>26</v>
      </c>
      <c r="H1564">
        <v>179.7</v>
      </c>
      <c r="I1564">
        <v>144</v>
      </c>
      <c r="J1564">
        <v>30.55</v>
      </c>
      <c r="K1564">
        <v>218.1</v>
      </c>
      <c r="L1564">
        <v>129</v>
      </c>
      <c r="M1564">
        <v>18.54</v>
      </c>
      <c r="N1564">
        <v>212.3</v>
      </c>
      <c r="O1564">
        <v>105</v>
      </c>
      <c r="P1564">
        <v>9.5500000000000007</v>
      </c>
      <c r="Q1564">
        <v>9.3000000000000007</v>
      </c>
      <c r="R1564">
        <v>8</v>
      </c>
      <c r="S1564">
        <v>2.5099999999999998</v>
      </c>
      <c r="T1564">
        <v>1</v>
      </c>
      <c r="U1564" t="s">
        <v>23</v>
      </c>
      <c r="V1564" t="e">
        <f>IF(#REF! = "yes", 1, 0)</f>
        <v>#REF!</v>
      </c>
      <c r="W1564" t="e">
        <f>IF(#REF! &lt;= 1, "0-1 Calls", IF(#REF! &lt;= 3, "2-3 Calls", IF(#REF! &lt;=5, "4-5 Calls", "6+ Calls")))</f>
        <v>#REF!</v>
      </c>
      <c r="X1564" t="e">
        <f>IF(#REF! &lt;= 50, "0-50", IF(#REF! &lt;=100, "51-100", IF(#REF! &lt;= 150, "101-150", "151+")))</f>
        <v>#REF!</v>
      </c>
      <c r="Y1564" t="e">
        <f>IF(#REF! &lt;= 3, "Low Charges", "High Charges")</f>
        <v>#REF!</v>
      </c>
      <c r="Z1564" t="e">
        <f>IF(#REF!&lt;=80,"Low Calls",
IF(#REF!&lt;=120,"Medium Calls","High Calls"))</f>
        <v>#REF!</v>
      </c>
      <c r="AA1564" t="e">
        <f>IF(#REF!&lt;=15,"Low Charges",
IF(#REF!&lt;=20,"Medium Charges","High Charges"))</f>
        <v>#REF!</v>
      </c>
      <c r="AB1564" t="e">
        <f>IF(AND(#REF!&gt;180, #REF!&gt;200), "Heavy Doemstic User", IF(#REF!&gt;10, "Interntional User", IF(AND(#REF!&lt;180, #REF!&lt;200,#REF!&lt;200), "Light User", "Balanced User")))</f>
        <v>#REF!</v>
      </c>
      <c r="AC1564" t="e">
        <f>IF(#REF! = 0, "No Usage", IF(#REF! &lt;= 20, "Low Usage", IF(#REF! &lt;= 40, "Medium Usgae", "High Usage")))</f>
        <v>#REF!</v>
      </c>
      <c r="AD1564" t="e">
        <f>IF(#REF!&lt;=150,"Low Usage", IF(#REF!&lt;=200,"Medium Usage", IF(#REF!&lt;=250,"High Usage","Very High Usage")))</f>
        <v>#REF!</v>
      </c>
      <c r="AE1564" t="e">
        <f>IF(#REF!&lt;=5,"Low Calls", IF(#REF!&lt;=10, "Medium Calls", "High Calls"))</f>
        <v>#REF!</v>
      </c>
      <c r="AF1564" t="e">
        <f xml:space="preserve">
IF(#REF!&gt;=4,4,0)+
IF(#REF!="yes",3,0)+
IF(#REF!="High Charges",3,0)+
IF(#REF!&gt;250,4,0)+
IF(#REF!="no",1,0)+
IF(#REF!="Heavy Domestic User",2,0)</f>
        <v>#REF!</v>
      </c>
      <c r="AG1564" t="e">
        <f>IF(#REF!&gt;=10,"High Risk", IF(#REF!&gt;=5,"Medium Risk","Low Risk"))</f>
        <v>#REF!</v>
      </c>
      <c r="AH1564" t="e">
        <f>#REF! + #REF! + #REF! + #REF!</f>
        <v>#REF!</v>
      </c>
    </row>
    <row r="1565" spans="1:34" x14ac:dyDescent="0.35">
      <c r="A1565">
        <v>1564</v>
      </c>
      <c r="B1565" t="s">
        <v>29</v>
      </c>
      <c r="C1565">
        <v>85</v>
      </c>
      <c r="D1565" t="s">
        <v>28</v>
      </c>
      <c r="E1565" t="s">
        <v>22</v>
      </c>
      <c r="F1565" t="s">
        <v>22</v>
      </c>
      <c r="G1565">
        <v>0</v>
      </c>
      <c r="H1565">
        <v>165.8</v>
      </c>
      <c r="I1565">
        <v>96</v>
      </c>
      <c r="J1565">
        <v>28.19</v>
      </c>
      <c r="K1565">
        <v>190</v>
      </c>
      <c r="L1565">
        <v>141</v>
      </c>
      <c r="M1565">
        <v>16.149999999999999</v>
      </c>
      <c r="N1565">
        <v>144</v>
      </c>
      <c r="O1565">
        <v>116</v>
      </c>
      <c r="P1565">
        <v>6.48</v>
      </c>
      <c r="Q1565">
        <v>10.9</v>
      </c>
      <c r="R1565">
        <v>3</v>
      </c>
      <c r="S1565">
        <v>2.94</v>
      </c>
      <c r="T1565">
        <v>5</v>
      </c>
      <c r="U1565" t="s">
        <v>23</v>
      </c>
      <c r="V1565" t="e">
        <f>IF(#REF! = "yes", 1, 0)</f>
        <v>#REF!</v>
      </c>
      <c r="W1565" t="e">
        <f>IF(#REF! &lt;= 1, "0-1 Calls", IF(#REF! &lt;= 3, "2-3 Calls", IF(#REF! &lt;=5, "4-5 Calls", "6+ Calls")))</f>
        <v>#REF!</v>
      </c>
      <c r="X1565" t="e">
        <f>IF(#REF! &lt;= 50, "0-50", IF(#REF! &lt;=100, "51-100", IF(#REF! &lt;= 150, "101-150", "151+")))</f>
        <v>#REF!</v>
      </c>
      <c r="Y1565" t="e">
        <f>IF(#REF! &lt;= 3, "Low Charges", "High Charges")</f>
        <v>#REF!</v>
      </c>
      <c r="Z1565" t="e">
        <f>IF(#REF!&lt;=80,"Low Calls",
IF(#REF!&lt;=120,"Medium Calls","High Calls"))</f>
        <v>#REF!</v>
      </c>
      <c r="AA1565" t="e">
        <f>IF(#REF!&lt;=15,"Low Charges",
IF(#REF!&lt;=20,"Medium Charges","High Charges"))</f>
        <v>#REF!</v>
      </c>
      <c r="AB1565" t="e">
        <f>IF(AND(#REF!&gt;180, #REF!&gt;200), "Heavy Doemstic User", IF(#REF!&gt;10, "Interntional User", IF(AND(#REF!&lt;180, #REF!&lt;200,#REF!&lt;200), "Light User", "Balanced User")))</f>
        <v>#REF!</v>
      </c>
      <c r="AC1565" t="e">
        <f>IF(#REF! = 0, "No Usage", IF(#REF! &lt;= 20, "Low Usage", IF(#REF! &lt;= 40, "Medium Usgae", "High Usage")))</f>
        <v>#REF!</v>
      </c>
      <c r="AD1565" t="e">
        <f>IF(#REF!&lt;=150,"Low Usage", IF(#REF!&lt;=200,"Medium Usage", IF(#REF!&lt;=250,"High Usage","Very High Usage")))</f>
        <v>#REF!</v>
      </c>
      <c r="AE1565" t="e">
        <f>IF(#REF!&lt;=5,"Low Calls", IF(#REF!&lt;=10, "Medium Calls", "High Calls"))</f>
        <v>#REF!</v>
      </c>
      <c r="AF1565" t="e">
        <f xml:space="preserve">
IF(#REF!&gt;=4,4,0)+
IF(#REF!="yes",3,0)+
IF(#REF!="High Charges",3,0)+
IF(#REF!&gt;250,4,0)+
IF(#REF!="no",1,0)+
IF(#REF!="Heavy Domestic User",2,0)</f>
        <v>#REF!</v>
      </c>
      <c r="AG1565" t="e">
        <f>IF(#REF!&gt;=10,"High Risk", IF(#REF!&gt;=5,"Medium Risk","Low Risk"))</f>
        <v>#REF!</v>
      </c>
      <c r="AH1565" t="e">
        <f>#REF! + #REF! + #REF! + #REF!</f>
        <v>#REF!</v>
      </c>
    </row>
    <row r="1566" spans="1:34" x14ac:dyDescent="0.35">
      <c r="A1566">
        <v>1565</v>
      </c>
      <c r="B1566" t="s">
        <v>70</v>
      </c>
      <c r="C1566">
        <v>101</v>
      </c>
      <c r="D1566" t="s">
        <v>28</v>
      </c>
      <c r="E1566" t="s">
        <v>22</v>
      </c>
      <c r="F1566" t="s">
        <v>23</v>
      </c>
      <c r="G1566">
        <v>25</v>
      </c>
      <c r="H1566">
        <v>144.1</v>
      </c>
      <c r="I1566">
        <v>144</v>
      </c>
      <c r="J1566">
        <v>24.5</v>
      </c>
      <c r="K1566">
        <v>167.6</v>
      </c>
      <c r="L1566">
        <v>105</v>
      </c>
      <c r="M1566">
        <v>14.25</v>
      </c>
      <c r="N1566">
        <v>240</v>
      </c>
      <c r="O1566">
        <v>107</v>
      </c>
      <c r="P1566">
        <v>10.8</v>
      </c>
      <c r="Q1566">
        <v>14.5</v>
      </c>
      <c r="R1566">
        <v>3</v>
      </c>
      <c r="S1566">
        <v>3.92</v>
      </c>
      <c r="T1566">
        <v>1</v>
      </c>
      <c r="U1566" t="s">
        <v>22</v>
      </c>
      <c r="V1566" t="e">
        <f>IF(#REF! = "yes", 1, 0)</f>
        <v>#REF!</v>
      </c>
      <c r="W1566" t="e">
        <f>IF(#REF! &lt;= 1, "0-1 Calls", IF(#REF! &lt;= 3, "2-3 Calls", IF(#REF! &lt;=5, "4-5 Calls", "6+ Calls")))</f>
        <v>#REF!</v>
      </c>
      <c r="X1566" t="e">
        <f>IF(#REF! &lt;= 50, "0-50", IF(#REF! &lt;=100, "51-100", IF(#REF! &lt;= 150, "101-150", "151+")))</f>
        <v>#REF!</v>
      </c>
      <c r="Y1566" t="e">
        <f>IF(#REF! &lt;= 3, "Low Charges", "High Charges")</f>
        <v>#REF!</v>
      </c>
      <c r="Z1566" t="e">
        <f>IF(#REF!&lt;=80,"Low Calls",
IF(#REF!&lt;=120,"Medium Calls","High Calls"))</f>
        <v>#REF!</v>
      </c>
      <c r="AA1566" t="e">
        <f>IF(#REF!&lt;=15,"Low Charges",
IF(#REF!&lt;=20,"Medium Charges","High Charges"))</f>
        <v>#REF!</v>
      </c>
      <c r="AB1566" t="e">
        <f>IF(AND(#REF!&gt;180, #REF!&gt;200), "Heavy Doemstic User", IF(#REF!&gt;10, "Interntional User", IF(AND(#REF!&lt;180, #REF!&lt;200,#REF!&lt;200), "Light User", "Balanced User")))</f>
        <v>#REF!</v>
      </c>
      <c r="AC1566" t="e">
        <f>IF(#REF! = 0, "No Usage", IF(#REF! &lt;= 20, "Low Usage", IF(#REF! &lt;= 40, "Medium Usgae", "High Usage")))</f>
        <v>#REF!</v>
      </c>
      <c r="AD1566" t="e">
        <f>IF(#REF!&lt;=150,"Low Usage", IF(#REF!&lt;=200,"Medium Usage", IF(#REF!&lt;=250,"High Usage","Very High Usage")))</f>
        <v>#REF!</v>
      </c>
      <c r="AE1566" t="e">
        <f>IF(#REF!&lt;=5,"Low Calls", IF(#REF!&lt;=10, "Medium Calls", "High Calls"))</f>
        <v>#REF!</v>
      </c>
      <c r="AF1566" t="e">
        <f xml:space="preserve">
IF(#REF!&gt;=4,4,0)+
IF(#REF!="yes",3,0)+
IF(#REF!="High Charges",3,0)+
IF(#REF!&gt;250,4,0)+
IF(#REF!="no",1,0)+
IF(#REF!="Heavy Domestic User",2,0)</f>
        <v>#REF!</v>
      </c>
      <c r="AG1566" t="e">
        <f>IF(#REF!&gt;=10,"High Risk", IF(#REF!&gt;=5,"Medium Risk","Low Risk"))</f>
        <v>#REF!</v>
      </c>
      <c r="AH1566" t="e">
        <f>#REF! + #REF! + #REF! + #REF!</f>
        <v>#REF!</v>
      </c>
    </row>
    <row r="1567" spans="1:34" x14ac:dyDescent="0.35">
      <c r="A1567">
        <v>1566</v>
      </c>
      <c r="B1567" t="s">
        <v>65</v>
      </c>
      <c r="C1567">
        <v>172</v>
      </c>
      <c r="D1567" t="s">
        <v>21</v>
      </c>
      <c r="E1567" t="s">
        <v>22</v>
      </c>
      <c r="F1567" t="s">
        <v>22</v>
      </c>
      <c r="G1567">
        <v>0</v>
      </c>
      <c r="H1567">
        <v>172.5</v>
      </c>
      <c r="I1567">
        <v>85</v>
      </c>
      <c r="J1567">
        <v>29.33</v>
      </c>
      <c r="K1567">
        <v>253.1</v>
      </c>
      <c r="L1567">
        <v>71</v>
      </c>
      <c r="M1567">
        <v>21.51</v>
      </c>
      <c r="N1567">
        <v>221.6</v>
      </c>
      <c r="O1567">
        <v>113</v>
      </c>
      <c r="P1567">
        <v>9.9700000000000006</v>
      </c>
      <c r="Q1567">
        <v>5.9</v>
      </c>
      <c r="R1567">
        <v>6</v>
      </c>
      <c r="S1567">
        <v>1.59</v>
      </c>
      <c r="T1567">
        <v>0</v>
      </c>
      <c r="U1567" t="s">
        <v>22</v>
      </c>
      <c r="V1567" t="e">
        <f>IF(#REF! = "yes", 1, 0)</f>
        <v>#REF!</v>
      </c>
      <c r="W1567" t="e">
        <f>IF(#REF! &lt;= 1, "0-1 Calls", IF(#REF! &lt;= 3, "2-3 Calls", IF(#REF! &lt;=5, "4-5 Calls", "6+ Calls")))</f>
        <v>#REF!</v>
      </c>
      <c r="X1567" t="e">
        <f>IF(#REF! &lt;= 50, "0-50", IF(#REF! &lt;=100, "51-100", IF(#REF! &lt;= 150, "101-150", "151+")))</f>
        <v>#REF!</v>
      </c>
      <c r="Y1567" t="e">
        <f>IF(#REF! &lt;= 3, "Low Charges", "High Charges")</f>
        <v>#REF!</v>
      </c>
      <c r="Z1567" t="e">
        <f>IF(#REF!&lt;=80,"Low Calls",
IF(#REF!&lt;=120,"Medium Calls","High Calls"))</f>
        <v>#REF!</v>
      </c>
      <c r="AA1567" t="e">
        <f>IF(#REF!&lt;=15,"Low Charges",
IF(#REF!&lt;=20,"Medium Charges","High Charges"))</f>
        <v>#REF!</v>
      </c>
      <c r="AB1567" t="e">
        <f>IF(AND(#REF!&gt;180, #REF!&gt;200), "Heavy Doemstic User", IF(#REF!&gt;10, "Interntional User", IF(AND(#REF!&lt;180, #REF!&lt;200,#REF!&lt;200), "Light User", "Balanced User")))</f>
        <v>#REF!</v>
      </c>
      <c r="AC1567" t="e">
        <f>IF(#REF! = 0, "No Usage", IF(#REF! &lt;= 20, "Low Usage", IF(#REF! &lt;= 40, "Medium Usgae", "High Usage")))</f>
        <v>#REF!</v>
      </c>
      <c r="AD1567" t="e">
        <f>IF(#REF!&lt;=150,"Low Usage", IF(#REF!&lt;=200,"Medium Usage", IF(#REF!&lt;=250,"High Usage","Very High Usage")))</f>
        <v>#REF!</v>
      </c>
      <c r="AE1567" t="e">
        <f>IF(#REF!&lt;=5,"Low Calls", IF(#REF!&lt;=10, "Medium Calls", "High Calls"))</f>
        <v>#REF!</v>
      </c>
      <c r="AF1567" t="e">
        <f xml:space="preserve">
IF(#REF!&gt;=4,4,0)+
IF(#REF!="yes",3,0)+
IF(#REF!="High Charges",3,0)+
IF(#REF!&gt;250,4,0)+
IF(#REF!="no",1,0)+
IF(#REF!="Heavy Domestic User",2,0)</f>
        <v>#REF!</v>
      </c>
      <c r="AG1567" t="e">
        <f>IF(#REF!&gt;=10,"High Risk", IF(#REF!&gt;=5,"Medium Risk","Low Risk"))</f>
        <v>#REF!</v>
      </c>
      <c r="AH1567" t="e">
        <f>#REF! + #REF! + #REF! + #REF!</f>
        <v>#REF!</v>
      </c>
    </row>
    <row r="1568" spans="1:34" x14ac:dyDescent="0.35">
      <c r="A1568">
        <v>1567</v>
      </c>
      <c r="B1568" t="s">
        <v>51</v>
      </c>
      <c r="C1568">
        <v>67</v>
      </c>
      <c r="D1568" t="s">
        <v>28</v>
      </c>
      <c r="E1568" t="s">
        <v>22</v>
      </c>
      <c r="F1568" t="s">
        <v>22</v>
      </c>
      <c r="G1568">
        <v>0</v>
      </c>
      <c r="H1568">
        <v>109.1</v>
      </c>
      <c r="I1568">
        <v>134</v>
      </c>
      <c r="J1568">
        <v>18.55</v>
      </c>
      <c r="K1568">
        <v>142.30000000000001</v>
      </c>
      <c r="L1568">
        <v>76</v>
      </c>
      <c r="M1568">
        <v>12.1</v>
      </c>
      <c r="N1568">
        <v>91.2</v>
      </c>
      <c r="O1568">
        <v>86</v>
      </c>
      <c r="P1568">
        <v>4.0999999999999996</v>
      </c>
      <c r="Q1568">
        <v>10.9</v>
      </c>
      <c r="R1568">
        <v>5</v>
      </c>
      <c r="S1568">
        <v>2.94</v>
      </c>
      <c r="T1568">
        <v>2</v>
      </c>
      <c r="U1568" t="s">
        <v>22</v>
      </c>
      <c r="V1568" t="e">
        <f>IF(#REF! = "yes", 1, 0)</f>
        <v>#REF!</v>
      </c>
      <c r="W1568" t="e">
        <f>IF(#REF! &lt;= 1, "0-1 Calls", IF(#REF! &lt;= 3, "2-3 Calls", IF(#REF! &lt;=5, "4-5 Calls", "6+ Calls")))</f>
        <v>#REF!</v>
      </c>
      <c r="X1568" t="e">
        <f>IF(#REF! &lt;= 50, "0-50", IF(#REF! &lt;=100, "51-100", IF(#REF! &lt;= 150, "101-150", "151+")))</f>
        <v>#REF!</v>
      </c>
      <c r="Y1568" t="e">
        <f>IF(#REF! &lt;= 3, "Low Charges", "High Charges")</f>
        <v>#REF!</v>
      </c>
      <c r="Z1568" t="e">
        <f>IF(#REF!&lt;=80,"Low Calls",
IF(#REF!&lt;=120,"Medium Calls","High Calls"))</f>
        <v>#REF!</v>
      </c>
      <c r="AA1568" t="e">
        <f>IF(#REF!&lt;=15,"Low Charges",
IF(#REF!&lt;=20,"Medium Charges","High Charges"))</f>
        <v>#REF!</v>
      </c>
      <c r="AB1568" t="e">
        <f>IF(AND(#REF!&gt;180, #REF!&gt;200), "Heavy Doemstic User", IF(#REF!&gt;10, "Interntional User", IF(AND(#REF!&lt;180, #REF!&lt;200,#REF!&lt;200), "Light User", "Balanced User")))</f>
        <v>#REF!</v>
      </c>
      <c r="AC1568" t="e">
        <f>IF(#REF! = 0, "No Usage", IF(#REF! &lt;= 20, "Low Usage", IF(#REF! &lt;= 40, "Medium Usgae", "High Usage")))</f>
        <v>#REF!</v>
      </c>
      <c r="AD1568" t="e">
        <f>IF(#REF!&lt;=150,"Low Usage", IF(#REF!&lt;=200,"Medium Usage", IF(#REF!&lt;=250,"High Usage","Very High Usage")))</f>
        <v>#REF!</v>
      </c>
      <c r="AE1568" t="e">
        <f>IF(#REF!&lt;=5,"Low Calls", IF(#REF!&lt;=10, "Medium Calls", "High Calls"))</f>
        <v>#REF!</v>
      </c>
      <c r="AF1568" t="e">
        <f xml:space="preserve">
IF(#REF!&gt;=4,4,0)+
IF(#REF!="yes",3,0)+
IF(#REF!="High Charges",3,0)+
IF(#REF!&gt;250,4,0)+
IF(#REF!="no",1,0)+
IF(#REF!="Heavy Domestic User",2,0)</f>
        <v>#REF!</v>
      </c>
      <c r="AG1568" t="e">
        <f>IF(#REF!&gt;=10,"High Risk", IF(#REF!&gt;=5,"Medium Risk","Low Risk"))</f>
        <v>#REF!</v>
      </c>
      <c r="AH1568" t="e">
        <f>#REF! + #REF! + #REF! + #REF!</f>
        <v>#REF!</v>
      </c>
    </row>
    <row r="1569" spans="1:34" x14ac:dyDescent="0.35">
      <c r="A1569">
        <v>1568</v>
      </c>
      <c r="B1569" t="s">
        <v>41</v>
      </c>
      <c r="C1569">
        <v>86</v>
      </c>
      <c r="D1569" t="s">
        <v>25</v>
      </c>
      <c r="E1569" t="s">
        <v>22</v>
      </c>
      <c r="F1569" t="s">
        <v>22</v>
      </c>
      <c r="G1569">
        <v>0</v>
      </c>
      <c r="H1569">
        <v>171.8</v>
      </c>
      <c r="I1569">
        <v>106</v>
      </c>
      <c r="J1569">
        <v>29.21</v>
      </c>
      <c r="K1569">
        <v>301.7</v>
      </c>
      <c r="L1569">
        <v>44</v>
      </c>
      <c r="M1569">
        <v>25.64</v>
      </c>
      <c r="N1569">
        <v>139.4</v>
      </c>
      <c r="O1569">
        <v>108</v>
      </c>
      <c r="P1569">
        <v>6.27</v>
      </c>
      <c r="Q1569">
        <v>9.6999999999999993</v>
      </c>
      <c r="R1569">
        <v>5</v>
      </c>
      <c r="S1569">
        <v>2.62</v>
      </c>
      <c r="T1569">
        <v>1</v>
      </c>
      <c r="U1569" t="s">
        <v>22</v>
      </c>
      <c r="V1569" t="e">
        <f>IF(#REF! = "yes", 1, 0)</f>
        <v>#REF!</v>
      </c>
      <c r="W1569" t="e">
        <f>IF(#REF! &lt;= 1, "0-1 Calls", IF(#REF! &lt;= 3, "2-3 Calls", IF(#REF! &lt;=5, "4-5 Calls", "6+ Calls")))</f>
        <v>#REF!</v>
      </c>
      <c r="X1569" t="e">
        <f>IF(#REF! &lt;= 50, "0-50", IF(#REF! &lt;=100, "51-100", IF(#REF! &lt;= 150, "101-150", "151+")))</f>
        <v>#REF!</v>
      </c>
      <c r="Y1569" t="e">
        <f>IF(#REF! &lt;= 3, "Low Charges", "High Charges")</f>
        <v>#REF!</v>
      </c>
      <c r="Z1569" t="e">
        <f>IF(#REF!&lt;=80,"Low Calls",
IF(#REF!&lt;=120,"Medium Calls","High Calls"))</f>
        <v>#REF!</v>
      </c>
      <c r="AA1569" t="e">
        <f>IF(#REF!&lt;=15,"Low Charges",
IF(#REF!&lt;=20,"Medium Charges","High Charges"))</f>
        <v>#REF!</v>
      </c>
      <c r="AB1569" t="e">
        <f>IF(AND(#REF!&gt;180, #REF!&gt;200), "Heavy Doemstic User", IF(#REF!&gt;10, "Interntional User", IF(AND(#REF!&lt;180, #REF!&lt;200,#REF!&lt;200), "Light User", "Balanced User")))</f>
        <v>#REF!</v>
      </c>
      <c r="AC1569" t="e">
        <f>IF(#REF! = 0, "No Usage", IF(#REF! &lt;= 20, "Low Usage", IF(#REF! &lt;= 40, "Medium Usgae", "High Usage")))</f>
        <v>#REF!</v>
      </c>
      <c r="AD1569" t="e">
        <f>IF(#REF!&lt;=150,"Low Usage", IF(#REF!&lt;=200,"Medium Usage", IF(#REF!&lt;=250,"High Usage","Very High Usage")))</f>
        <v>#REF!</v>
      </c>
      <c r="AE1569" t="e">
        <f>IF(#REF!&lt;=5,"Low Calls", IF(#REF!&lt;=10, "Medium Calls", "High Calls"))</f>
        <v>#REF!</v>
      </c>
      <c r="AF1569" t="e">
        <f xml:space="preserve">
IF(#REF!&gt;=4,4,0)+
IF(#REF!="yes",3,0)+
IF(#REF!="High Charges",3,0)+
IF(#REF!&gt;250,4,0)+
IF(#REF!="no",1,0)+
IF(#REF!="Heavy Domestic User",2,0)</f>
        <v>#REF!</v>
      </c>
      <c r="AG1569" t="e">
        <f>IF(#REF!&gt;=10,"High Risk", IF(#REF!&gt;=5,"Medium Risk","Low Risk"))</f>
        <v>#REF!</v>
      </c>
      <c r="AH1569" t="e">
        <f>#REF! + #REF! + #REF! + #REF!</f>
        <v>#REF!</v>
      </c>
    </row>
    <row r="1570" spans="1:34" x14ac:dyDescent="0.35">
      <c r="A1570">
        <v>1569</v>
      </c>
      <c r="B1570" t="s">
        <v>61</v>
      </c>
      <c r="C1570">
        <v>107</v>
      </c>
      <c r="D1570" t="s">
        <v>21</v>
      </c>
      <c r="E1570" t="s">
        <v>22</v>
      </c>
      <c r="F1570" t="s">
        <v>22</v>
      </c>
      <c r="G1570">
        <v>0</v>
      </c>
      <c r="H1570">
        <v>222.3</v>
      </c>
      <c r="I1570">
        <v>101</v>
      </c>
      <c r="J1570">
        <v>37.79</v>
      </c>
      <c r="K1570">
        <v>286</v>
      </c>
      <c r="L1570">
        <v>111</v>
      </c>
      <c r="M1570">
        <v>24.31</v>
      </c>
      <c r="N1570">
        <v>249.4</v>
      </c>
      <c r="O1570">
        <v>117</v>
      </c>
      <c r="P1570">
        <v>11.22</v>
      </c>
      <c r="Q1570">
        <v>12.1</v>
      </c>
      <c r="R1570">
        <v>4</v>
      </c>
      <c r="S1570">
        <v>3.27</v>
      </c>
      <c r="T1570">
        <v>1</v>
      </c>
      <c r="U1570" t="s">
        <v>23</v>
      </c>
      <c r="V1570" t="e">
        <f>IF(#REF! = "yes", 1, 0)</f>
        <v>#REF!</v>
      </c>
      <c r="W1570" t="e">
        <f>IF(#REF! &lt;= 1, "0-1 Calls", IF(#REF! &lt;= 3, "2-3 Calls", IF(#REF! &lt;=5, "4-5 Calls", "6+ Calls")))</f>
        <v>#REF!</v>
      </c>
      <c r="X1570" t="e">
        <f>IF(#REF! &lt;= 50, "0-50", IF(#REF! &lt;=100, "51-100", IF(#REF! &lt;= 150, "101-150", "151+")))</f>
        <v>#REF!</v>
      </c>
      <c r="Y1570" t="e">
        <f>IF(#REF! &lt;= 3, "Low Charges", "High Charges")</f>
        <v>#REF!</v>
      </c>
      <c r="Z1570" t="e">
        <f>IF(#REF!&lt;=80,"Low Calls",
IF(#REF!&lt;=120,"Medium Calls","High Calls"))</f>
        <v>#REF!</v>
      </c>
      <c r="AA1570" t="e">
        <f>IF(#REF!&lt;=15,"Low Charges",
IF(#REF!&lt;=20,"Medium Charges","High Charges"))</f>
        <v>#REF!</v>
      </c>
      <c r="AB1570" t="e">
        <f>IF(AND(#REF!&gt;180, #REF!&gt;200), "Heavy Doemstic User", IF(#REF!&gt;10, "Interntional User", IF(AND(#REF!&lt;180, #REF!&lt;200,#REF!&lt;200), "Light User", "Balanced User")))</f>
        <v>#REF!</v>
      </c>
      <c r="AC1570" t="e">
        <f>IF(#REF! = 0, "No Usage", IF(#REF! &lt;= 20, "Low Usage", IF(#REF! &lt;= 40, "Medium Usgae", "High Usage")))</f>
        <v>#REF!</v>
      </c>
      <c r="AD1570" t="e">
        <f>IF(#REF!&lt;=150,"Low Usage", IF(#REF!&lt;=200,"Medium Usage", IF(#REF!&lt;=250,"High Usage","Very High Usage")))</f>
        <v>#REF!</v>
      </c>
      <c r="AE1570" t="e">
        <f>IF(#REF!&lt;=5,"Low Calls", IF(#REF!&lt;=10, "Medium Calls", "High Calls"))</f>
        <v>#REF!</v>
      </c>
      <c r="AF1570" t="e">
        <f xml:space="preserve">
IF(#REF!&gt;=4,4,0)+
IF(#REF!="yes",3,0)+
IF(#REF!="High Charges",3,0)+
IF(#REF!&gt;250,4,0)+
IF(#REF!="no",1,0)+
IF(#REF!="Heavy Domestic User",2,0)</f>
        <v>#REF!</v>
      </c>
      <c r="AG1570" t="e">
        <f>IF(#REF!&gt;=10,"High Risk", IF(#REF!&gt;=5,"Medium Risk","Low Risk"))</f>
        <v>#REF!</v>
      </c>
      <c r="AH1570" t="e">
        <f>#REF! + #REF! + #REF! + #REF!</f>
        <v>#REF!</v>
      </c>
    </row>
    <row r="1571" spans="1:34" x14ac:dyDescent="0.35">
      <c r="A1571">
        <v>1570</v>
      </c>
      <c r="B1571" t="s">
        <v>72</v>
      </c>
      <c r="C1571">
        <v>116</v>
      </c>
      <c r="D1571" t="s">
        <v>28</v>
      </c>
      <c r="E1571" t="s">
        <v>22</v>
      </c>
      <c r="F1571" t="s">
        <v>22</v>
      </c>
      <c r="G1571">
        <v>0</v>
      </c>
      <c r="H1571">
        <v>164.6</v>
      </c>
      <c r="I1571">
        <v>110</v>
      </c>
      <c r="J1571">
        <v>27.98</v>
      </c>
      <c r="K1571">
        <v>270.60000000000002</v>
      </c>
      <c r="L1571">
        <v>103</v>
      </c>
      <c r="M1571">
        <v>23</v>
      </c>
      <c r="N1571">
        <v>230.4</v>
      </c>
      <c r="O1571">
        <v>109</v>
      </c>
      <c r="P1571">
        <v>10.37</v>
      </c>
      <c r="Q1571">
        <v>8</v>
      </c>
      <c r="R1571">
        <v>3</v>
      </c>
      <c r="S1571">
        <v>2.16</v>
      </c>
      <c r="T1571">
        <v>0</v>
      </c>
      <c r="U1571" t="s">
        <v>22</v>
      </c>
      <c r="V1571" t="e">
        <f>IF(#REF! = "yes", 1, 0)</f>
        <v>#REF!</v>
      </c>
      <c r="W1571" t="e">
        <f>IF(#REF! &lt;= 1, "0-1 Calls", IF(#REF! &lt;= 3, "2-3 Calls", IF(#REF! &lt;=5, "4-5 Calls", "6+ Calls")))</f>
        <v>#REF!</v>
      </c>
      <c r="X1571" t="e">
        <f>IF(#REF! &lt;= 50, "0-50", IF(#REF! &lt;=100, "51-100", IF(#REF! &lt;= 150, "101-150", "151+")))</f>
        <v>#REF!</v>
      </c>
      <c r="Y1571" t="e">
        <f>IF(#REF! &lt;= 3, "Low Charges", "High Charges")</f>
        <v>#REF!</v>
      </c>
      <c r="Z1571" t="e">
        <f>IF(#REF!&lt;=80,"Low Calls",
IF(#REF!&lt;=120,"Medium Calls","High Calls"))</f>
        <v>#REF!</v>
      </c>
      <c r="AA1571" t="e">
        <f>IF(#REF!&lt;=15,"Low Charges",
IF(#REF!&lt;=20,"Medium Charges","High Charges"))</f>
        <v>#REF!</v>
      </c>
      <c r="AB1571" t="e">
        <f>IF(AND(#REF!&gt;180, #REF!&gt;200), "Heavy Doemstic User", IF(#REF!&gt;10, "Interntional User", IF(AND(#REF!&lt;180, #REF!&lt;200,#REF!&lt;200), "Light User", "Balanced User")))</f>
        <v>#REF!</v>
      </c>
      <c r="AC1571" t="e">
        <f>IF(#REF! = 0, "No Usage", IF(#REF! &lt;= 20, "Low Usage", IF(#REF! &lt;= 40, "Medium Usgae", "High Usage")))</f>
        <v>#REF!</v>
      </c>
      <c r="AD1571" t="e">
        <f>IF(#REF!&lt;=150,"Low Usage", IF(#REF!&lt;=200,"Medium Usage", IF(#REF!&lt;=250,"High Usage","Very High Usage")))</f>
        <v>#REF!</v>
      </c>
      <c r="AE1571" t="e">
        <f>IF(#REF!&lt;=5,"Low Calls", IF(#REF!&lt;=10, "Medium Calls", "High Calls"))</f>
        <v>#REF!</v>
      </c>
      <c r="AF1571" t="e">
        <f xml:space="preserve">
IF(#REF!&gt;=4,4,0)+
IF(#REF!="yes",3,0)+
IF(#REF!="High Charges",3,0)+
IF(#REF!&gt;250,4,0)+
IF(#REF!="no",1,0)+
IF(#REF!="Heavy Domestic User",2,0)</f>
        <v>#REF!</v>
      </c>
      <c r="AG1571" t="e">
        <f>IF(#REF!&gt;=10,"High Risk", IF(#REF!&gt;=5,"Medium Risk","Low Risk"))</f>
        <v>#REF!</v>
      </c>
      <c r="AH1571" t="e">
        <f>#REF! + #REF! + #REF! + #REF!</f>
        <v>#REF!</v>
      </c>
    </row>
    <row r="1572" spans="1:34" x14ac:dyDescent="0.35">
      <c r="A1572">
        <v>1571</v>
      </c>
      <c r="B1572" t="s">
        <v>59</v>
      </c>
      <c r="C1572">
        <v>63</v>
      </c>
      <c r="D1572" t="s">
        <v>25</v>
      </c>
      <c r="E1572" t="s">
        <v>22</v>
      </c>
      <c r="F1572" t="s">
        <v>22</v>
      </c>
      <c r="G1572">
        <v>0</v>
      </c>
      <c r="H1572">
        <v>211.7</v>
      </c>
      <c r="I1572">
        <v>107</v>
      </c>
      <c r="J1572">
        <v>35.99</v>
      </c>
      <c r="K1572">
        <v>271.7</v>
      </c>
      <c r="L1572">
        <v>77</v>
      </c>
      <c r="M1572">
        <v>23.09</v>
      </c>
      <c r="N1572">
        <v>203.3</v>
      </c>
      <c r="O1572">
        <v>108</v>
      </c>
      <c r="P1572">
        <v>9.15</v>
      </c>
      <c r="Q1572">
        <v>7.4</v>
      </c>
      <c r="R1572">
        <v>7</v>
      </c>
      <c r="S1572">
        <v>2</v>
      </c>
      <c r="T1572">
        <v>0</v>
      </c>
      <c r="U1572" t="s">
        <v>22</v>
      </c>
      <c r="V1572" t="e">
        <f>IF(#REF! = "yes", 1, 0)</f>
        <v>#REF!</v>
      </c>
      <c r="W1572" t="e">
        <f>IF(#REF! &lt;= 1, "0-1 Calls", IF(#REF! &lt;= 3, "2-3 Calls", IF(#REF! &lt;=5, "4-5 Calls", "6+ Calls")))</f>
        <v>#REF!</v>
      </c>
      <c r="X1572" t="e">
        <f>IF(#REF! &lt;= 50, "0-50", IF(#REF! &lt;=100, "51-100", IF(#REF! &lt;= 150, "101-150", "151+")))</f>
        <v>#REF!</v>
      </c>
      <c r="Y1572" t="e">
        <f>IF(#REF! &lt;= 3, "Low Charges", "High Charges")</f>
        <v>#REF!</v>
      </c>
      <c r="Z1572" t="e">
        <f>IF(#REF!&lt;=80,"Low Calls",
IF(#REF!&lt;=120,"Medium Calls","High Calls"))</f>
        <v>#REF!</v>
      </c>
      <c r="AA1572" t="e">
        <f>IF(#REF!&lt;=15,"Low Charges",
IF(#REF!&lt;=20,"Medium Charges","High Charges"))</f>
        <v>#REF!</v>
      </c>
      <c r="AB1572" t="e">
        <f>IF(AND(#REF!&gt;180, #REF!&gt;200), "Heavy Doemstic User", IF(#REF!&gt;10, "Interntional User", IF(AND(#REF!&lt;180, #REF!&lt;200,#REF!&lt;200), "Light User", "Balanced User")))</f>
        <v>#REF!</v>
      </c>
      <c r="AC1572" t="e">
        <f>IF(#REF! = 0, "No Usage", IF(#REF! &lt;= 20, "Low Usage", IF(#REF! &lt;= 40, "Medium Usgae", "High Usage")))</f>
        <v>#REF!</v>
      </c>
      <c r="AD1572" t="e">
        <f>IF(#REF!&lt;=150,"Low Usage", IF(#REF!&lt;=200,"Medium Usage", IF(#REF!&lt;=250,"High Usage","Very High Usage")))</f>
        <v>#REF!</v>
      </c>
      <c r="AE1572" t="e">
        <f>IF(#REF!&lt;=5,"Low Calls", IF(#REF!&lt;=10, "Medium Calls", "High Calls"))</f>
        <v>#REF!</v>
      </c>
      <c r="AF1572" t="e">
        <f xml:space="preserve">
IF(#REF!&gt;=4,4,0)+
IF(#REF!="yes",3,0)+
IF(#REF!="High Charges",3,0)+
IF(#REF!&gt;250,4,0)+
IF(#REF!="no",1,0)+
IF(#REF!="Heavy Domestic User",2,0)</f>
        <v>#REF!</v>
      </c>
      <c r="AG1572" t="e">
        <f>IF(#REF!&gt;=10,"High Risk", IF(#REF!&gt;=5,"Medium Risk","Low Risk"))</f>
        <v>#REF!</v>
      </c>
      <c r="AH1572" t="e">
        <f>#REF! + #REF! + #REF! + #REF!</f>
        <v>#REF!</v>
      </c>
    </row>
    <row r="1573" spans="1:34" x14ac:dyDescent="0.35">
      <c r="A1573">
        <v>1572</v>
      </c>
      <c r="B1573" t="s">
        <v>27</v>
      </c>
      <c r="C1573">
        <v>119</v>
      </c>
      <c r="D1573" t="s">
        <v>25</v>
      </c>
      <c r="E1573" t="s">
        <v>23</v>
      </c>
      <c r="F1573" t="s">
        <v>23</v>
      </c>
      <c r="G1573">
        <v>16</v>
      </c>
      <c r="H1573">
        <v>147.19999999999999</v>
      </c>
      <c r="I1573">
        <v>103</v>
      </c>
      <c r="J1573">
        <v>25.02</v>
      </c>
      <c r="K1573">
        <v>160.1</v>
      </c>
      <c r="L1573">
        <v>96</v>
      </c>
      <c r="M1573">
        <v>13.61</v>
      </c>
      <c r="N1573">
        <v>184</v>
      </c>
      <c r="O1573">
        <v>120</v>
      </c>
      <c r="P1573">
        <v>8.2799999999999994</v>
      </c>
      <c r="Q1573">
        <v>7.7</v>
      </c>
      <c r="R1573">
        <v>2</v>
      </c>
      <c r="S1573">
        <v>2.08</v>
      </c>
      <c r="T1573">
        <v>0</v>
      </c>
      <c r="U1573" t="s">
        <v>23</v>
      </c>
      <c r="V1573" t="e">
        <f>IF(#REF! = "yes", 1, 0)</f>
        <v>#REF!</v>
      </c>
      <c r="W1573" t="e">
        <f>IF(#REF! &lt;= 1, "0-1 Calls", IF(#REF! &lt;= 3, "2-3 Calls", IF(#REF! &lt;=5, "4-5 Calls", "6+ Calls")))</f>
        <v>#REF!</v>
      </c>
      <c r="X1573" t="e">
        <f>IF(#REF! &lt;= 50, "0-50", IF(#REF! &lt;=100, "51-100", IF(#REF! &lt;= 150, "101-150", "151+")))</f>
        <v>#REF!</v>
      </c>
      <c r="Y1573" t="e">
        <f>IF(#REF! &lt;= 3, "Low Charges", "High Charges")</f>
        <v>#REF!</v>
      </c>
      <c r="Z1573" t="e">
        <f>IF(#REF!&lt;=80,"Low Calls",
IF(#REF!&lt;=120,"Medium Calls","High Calls"))</f>
        <v>#REF!</v>
      </c>
      <c r="AA1573" t="e">
        <f>IF(#REF!&lt;=15,"Low Charges",
IF(#REF!&lt;=20,"Medium Charges","High Charges"))</f>
        <v>#REF!</v>
      </c>
      <c r="AB1573" t="e">
        <f>IF(AND(#REF!&gt;180, #REF!&gt;200), "Heavy Doemstic User", IF(#REF!&gt;10, "Interntional User", IF(AND(#REF!&lt;180, #REF!&lt;200,#REF!&lt;200), "Light User", "Balanced User")))</f>
        <v>#REF!</v>
      </c>
      <c r="AC1573" t="e">
        <f>IF(#REF! = 0, "No Usage", IF(#REF! &lt;= 20, "Low Usage", IF(#REF! &lt;= 40, "Medium Usgae", "High Usage")))</f>
        <v>#REF!</v>
      </c>
      <c r="AD1573" t="e">
        <f>IF(#REF!&lt;=150,"Low Usage", IF(#REF!&lt;=200,"Medium Usage", IF(#REF!&lt;=250,"High Usage","Very High Usage")))</f>
        <v>#REF!</v>
      </c>
      <c r="AE1573" t="e">
        <f>IF(#REF!&lt;=5,"Low Calls", IF(#REF!&lt;=10, "Medium Calls", "High Calls"))</f>
        <v>#REF!</v>
      </c>
      <c r="AF1573" t="e">
        <f xml:space="preserve">
IF(#REF!&gt;=4,4,0)+
IF(#REF!="yes",3,0)+
IF(#REF!="High Charges",3,0)+
IF(#REF!&gt;250,4,0)+
IF(#REF!="no",1,0)+
IF(#REF!="Heavy Domestic User",2,0)</f>
        <v>#REF!</v>
      </c>
      <c r="AG1573" t="e">
        <f>IF(#REF!&gt;=10,"High Risk", IF(#REF!&gt;=5,"Medium Risk","Low Risk"))</f>
        <v>#REF!</v>
      </c>
      <c r="AH1573" t="e">
        <f>#REF! + #REF! + #REF! + #REF!</f>
        <v>#REF!</v>
      </c>
    </row>
    <row r="1574" spans="1:34" x14ac:dyDescent="0.35">
      <c r="A1574">
        <v>1573</v>
      </c>
      <c r="B1574" t="s">
        <v>20</v>
      </c>
      <c r="C1574">
        <v>133</v>
      </c>
      <c r="D1574" t="s">
        <v>25</v>
      </c>
      <c r="E1574" t="s">
        <v>23</v>
      </c>
      <c r="F1574" t="s">
        <v>22</v>
      </c>
      <c r="G1574">
        <v>0</v>
      </c>
      <c r="H1574">
        <v>254.7</v>
      </c>
      <c r="I1574">
        <v>103</v>
      </c>
      <c r="J1574">
        <v>43.3</v>
      </c>
      <c r="K1574">
        <v>252.2</v>
      </c>
      <c r="L1574">
        <v>80</v>
      </c>
      <c r="M1574">
        <v>21.44</v>
      </c>
      <c r="N1574">
        <v>178.1</v>
      </c>
      <c r="O1574">
        <v>103</v>
      </c>
      <c r="P1574">
        <v>8.01</v>
      </c>
      <c r="Q1574">
        <v>8</v>
      </c>
      <c r="R1574">
        <v>3</v>
      </c>
      <c r="S1574">
        <v>2.16</v>
      </c>
      <c r="T1574">
        <v>0</v>
      </c>
      <c r="U1574" t="s">
        <v>23</v>
      </c>
      <c r="V1574" t="e">
        <f>IF(#REF! = "yes", 1, 0)</f>
        <v>#REF!</v>
      </c>
      <c r="W1574" t="e">
        <f>IF(#REF! &lt;= 1, "0-1 Calls", IF(#REF! &lt;= 3, "2-3 Calls", IF(#REF! &lt;=5, "4-5 Calls", "6+ Calls")))</f>
        <v>#REF!</v>
      </c>
      <c r="X1574" t="e">
        <f>IF(#REF! &lt;= 50, "0-50", IF(#REF! &lt;=100, "51-100", IF(#REF! &lt;= 150, "101-150", "151+")))</f>
        <v>#REF!</v>
      </c>
      <c r="Y1574" t="e">
        <f>IF(#REF! &lt;= 3, "Low Charges", "High Charges")</f>
        <v>#REF!</v>
      </c>
      <c r="Z1574" t="e">
        <f>IF(#REF!&lt;=80,"Low Calls",
IF(#REF!&lt;=120,"Medium Calls","High Calls"))</f>
        <v>#REF!</v>
      </c>
      <c r="AA1574" t="e">
        <f>IF(#REF!&lt;=15,"Low Charges",
IF(#REF!&lt;=20,"Medium Charges","High Charges"))</f>
        <v>#REF!</v>
      </c>
      <c r="AB1574" t="e">
        <f>IF(AND(#REF!&gt;180, #REF!&gt;200), "Heavy Doemstic User", IF(#REF!&gt;10, "Interntional User", IF(AND(#REF!&lt;180, #REF!&lt;200,#REF!&lt;200), "Light User", "Balanced User")))</f>
        <v>#REF!</v>
      </c>
      <c r="AC1574" t="e">
        <f>IF(#REF! = 0, "No Usage", IF(#REF! &lt;= 20, "Low Usage", IF(#REF! &lt;= 40, "Medium Usgae", "High Usage")))</f>
        <v>#REF!</v>
      </c>
      <c r="AD1574" t="e">
        <f>IF(#REF!&lt;=150,"Low Usage", IF(#REF!&lt;=200,"Medium Usage", IF(#REF!&lt;=250,"High Usage","Very High Usage")))</f>
        <v>#REF!</v>
      </c>
      <c r="AE1574" t="e">
        <f>IF(#REF!&lt;=5,"Low Calls", IF(#REF!&lt;=10, "Medium Calls", "High Calls"))</f>
        <v>#REF!</v>
      </c>
      <c r="AF1574" t="e">
        <f xml:space="preserve">
IF(#REF!&gt;=4,4,0)+
IF(#REF!="yes",3,0)+
IF(#REF!="High Charges",3,0)+
IF(#REF!&gt;250,4,0)+
IF(#REF!="no",1,0)+
IF(#REF!="Heavy Domestic User",2,0)</f>
        <v>#REF!</v>
      </c>
      <c r="AG1574" t="e">
        <f>IF(#REF!&gt;=10,"High Risk", IF(#REF!&gt;=5,"Medium Risk","Low Risk"))</f>
        <v>#REF!</v>
      </c>
      <c r="AH1574" t="e">
        <f>#REF! + #REF! + #REF! + #REF!</f>
        <v>#REF!</v>
      </c>
    </row>
    <row r="1575" spans="1:34" x14ac:dyDescent="0.35">
      <c r="A1575">
        <v>1574</v>
      </c>
      <c r="B1575" t="s">
        <v>71</v>
      </c>
      <c r="C1575">
        <v>94</v>
      </c>
      <c r="D1575" t="s">
        <v>25</v>
      </c>
      <c r="E1575" t="s">
        <v>23</v>
      </c>
      <c r="F1575" t="s">
        <v>22</v>
      </c>
      <c r="G1575">
        <v>0</v>
      </c>
      <c r="H1575">
        <v>170.1</v>
      </c>
      <c r="I1575">
        <v>113</v>
      </c>
      <c r="J1575">
        <v>28.92</v>
      </c>
      <c r="K1575">
        <v>271.8</v>
      </c>
      <c r="L1575">
        <v>94</v>
      </c>
      <c r="M1575">
        <v>23.1</v>
      </c>
      <c r="N1575">
        <v>110.7</v>
      </c>
      <c r="O1575">
        <v>78</v>
      </c>
      <c r="P1575">
        <v>4.9800000000000004</v>
      </c>
      <c r="Q1575">
        <v>8.6999999999999993</v>
      </c>
      <c r="R1575">
        <v>4</v>
      </c>
      <c r="S1575">
        <v>2.35</v>
      </c>
      <c r="T1575">
        <v>1</v>
      </c>
      <c r="U1575" t="s">
        <v>22</v>
      </c>
      <c r="V1575" t="e">
        <f>IF(#REF! = "yes", 1, 0)</f>
        <v>#REF!</v>
      </c>
      <c r="W1575" t="e">
        <f>IF(#REF! &lt;= 1, "0-1 Calls", IF(#REF! &lt;= 3, "2-3 Calls", IF(#REF! &lt;=5, "4-5 Calls", "6+ Calls")))</f>
        <v>#REF!</v>
      </c>
      <c r="X1575" t="e">
        <f>IF(#REF! &lt;= 50, "0-50", IF(#REF! &lt;=100, "51-100", IF(#REF! &lt;= 150, "101-150", "151+")))</f>
        <v>#REF!</v>
      </c>
      <c r="Y1575" t="e">
        <f>IF(#REF! &lt;= 3, "Low Charges", "High Charges")</f>
        <v>#REF!</v>
      </c>
      <c r="Z1575" t="e">
        <f>IF(#REF!&lt;=80,"Low Calls",
IF(#REF!&lt;=120,"Medium Calls","High Calls"))</f>
        <v>#REF!</v>
      </c>
      <c r="AA1575" t="e">
        <f>IF(#REF!&lt;=15,"Low Charges",
IF(#REF!&lt;=20,"Medium Charges","High Charges"))</f>
        <v>#REF!</v>
      </c>
      <c r="AB1575" t="e">
        <f>IF(AND(#REF!&gt;180, #REF!&gt;200), "Heavy Doemstic User", IF(#REF!&gt;10, "Interntional User", IF(AND(#REF!&lt;180, #REF!&lt;200,#REF!&lt;200), "Light User", "Balanced User")))</f>
        <v>#REF!</v>
      </c>
      <c r="AC1575" t="e">
        <f>IF(#REF! = 0, "No Usage", IF(#REF! &lt;= 20, "Low Usage", IF(#REF! &lt;= 40, "Medium Usgae", "High Usage")))</f>
        <v>#REF!</v>
      </c>
      <c r="AD1575" t="e">
        <f>IF(#REF!&lt;=150,"Low Usage", IF(#REF!&lt;=200,"Medium Usage", IF(#REF!&lt;=250,"High Usage","Very High Usage")))</f>
        <v>#REF!</v>
      </c>
      <c r="AE1575" t="e">
        <f>IF(#REF!&lt;=5,"Low Calls", IF(#REF!&lt;=10, "Medium Calls", "High Calls"))</f>
        <v>#REF!</v>
      </c>
      <c r="AF1575" t="e">
        <f xml:space="preserve">
IF(#REF!&gt;=4,4,0)+
IF(#REF!="yes",3,0)+
IF(#REF!="High Charges",3,0)+
IF(#REF!&gt;250,4,0)+
IF(#REF!="no",1,0)+
IF(#REF!="Heavy Domestic User",2,0)</f>
        <v>#REF!</v>
      </c>
      <c r="AG1575" t="e">
        <f>IF(#REF!&gt;=10,"High Risk", IF(#REF!&gt;=5,"Medium Risk","Low Risk"))</f>
        <v>#REF!</v>
      </c>
      <c r="AH1575" t="e">
        <f>#REF! + #REF! + #REF! + #REF!</f>
        <v>#REF!</v>
      </c>
    </row>
    <row r="1576" spans="1:34" x14ac:dyDescent="0.35">
      <c r="A1576">
        <v>1575</v>
      </c>
      <c r="B1576" t="s">
        <v>27</v>
      </c>
      <c r="C1576">
        <v>69</v>
      </c>
      <c r="D1576" t="s">
        <v>28</v>
      </c>
      <c r="E1576" t="s">
        <v>22</v>
      </c>
      <c r="F1576" t="s">
        <v>22</v>
      </c>
      <c r="G1576">
        <v>0</v>
      </c>
      <c r="H1576">
        <v>195.1</v>
      </c>
      <c r="I1576">
        <v>91</v>
      </c>
      <c r="J1576">
        <v>33.17</v>
      </c>
      <c r="K1576">
        <v>261.5</v>
      </c>
      <c r="L1576">
        <v>57</v>
      </c>
      <c r="M1576">
        <v>22.23</v>
      </c>
      <c r="N1576">
        <v>203.8</v>
      </c>
      <c r="O1576">
        <v>90</v>
      </c>
      <c r="P1576">
        <v>9.17</v>
      </c>
      <c r="Q1576">
        <v>11.4</v>
      </c>
      <c r="R1576">
        <v>5</v>
      </c>
      <c r="S1576">
        <v>3.08</v>
      </c>
      <c r="T1576">
        <v>0</v>
      </c>
      <c r="U1576" t="s">
        <v>22</v>
      </c>
      <c r="V1576" t="e">
        <f>IF(#REF! = "yes", 1, 0)</f>
        <v>#REF!</v>
      </c>
      <c r="W1576" t="e">
        <f>IF(#REF! &lt;= 1, "0-1 Calls", IF(#REF! &lt;= 3, "2-3 Calls", IF(#REF! &lt;=5, "4-5 Calls", "6+ Calls")))</f>
        <v>#REF!</v>
      </c>
      <c r="X1576" t="e">
        <f>IF(#REF! &lt;= 50, "0-50", IF(#REF! &lt;=100, "51-100", IF(#REF! &lt;= 150, "101-150", "151+")))</f>
        <v>#REF!</v>
      </c>
      <c r="Y1576" t="e">
        <f>IF(#REF! &lt;= 3, "Low Charges", "High Charges")</f>
        <v>#REF!</v>
      </c>
      <c r="Z1576" t="e">
        <f>IF(#REF!&lt;=80,"Low Calls",
IF(#REF!&lt;=120,"Medium Calls","High Calls"))</f>
        <v>#REF!</v>
      </c>
      <c r="AA1576" t="e">
        <f>IF(#REF!&lt;=15,"Low Charges",
IF(#REF!&lt;=20,"Medium Charges","High Charges"))</f>
        <v>#REF!</v>
      </c>
      <c r="AB1576" t="e">
        <f>IF(AND(#REF!&gt;180, #REF!&gt;200), "Heavy Doemstic User", IF(#REF!&gt;10, "Interntional User", IF(AND(#REF!&lt;180, #REF!&lt;200,#REF!&lt;200), "Light User", "Balanced User")))</f>
        <v>#REF!</v>
      </c>
      <c r="AC1576" t="e">
        <f>IF(#REF! = 0, "No Usage", IF(#REF! &lt;= 20, "Low Usage", IF(#REF! &lt;= 40, "Medium Usgae", "High Usage")))</f>
        <v>#REF!</v>
      </c>
      <c r="AD1576" t="e">
        <f>IF(#REF!&lt;=150,"Low Usage", IF(#REF!&lt;=200,"Medium Usage", IF(#REF!&lt;=250,"High Usage","Very High Usage")))</f>
        <v>#REF!</v>
      </c>
      <c r="AE1576" t="e">
        <f>IF(#REF!&lt;=5,"Low Calls", IF(#REF!&lt;=10, "Medium Calls", "High Calls"))</f>
        <v>#REF!</v>
      </c>
      <c r="AF1576" t="e">
        <f xml:space="preserve">
IF(#REF!&gt;=4,4,0)+
IF(#REF!="yes",3,0)+
IF(#REF!="High Charges",3,0)+
IF(#REF!&gt;250,4,0)+
IF(#REF!="no",1,0)+
IF(#REF!="Heavy Domestic User",2,0)</f>
        <v>#REF!</v>
      </c>
      <c r="AG1576" t="e">
        <f>IF(#REF!&gt;=10,"High Risk", IF(#REF!&gt;=5,"Medium Risk","Low Risk"))</f>
        <v>#REF!</v>
      </c>
      <c r="AH1576" t="e">
        <f>#REF! + #REF! + #REF! + #REF!</f>
        <v>#REF!</v>
      </c>
    </row>
    <row r="1577" spans="1:34" x14ac:dyDescent="0.35">
      <c r="A1577">
        <v>1576</v>
      </c>
      <c r="B1577" t="s">
        <v>53</v>
      </c>
      <c r="C1577">
        <v>146</v>
      </c>
      <c r="D1577" t="s">
        <v>25</v>
      </c>
      <c r="E1577" t="s">
        <v>22</v>
      </c>
      <c r="F1577" t="s">
        <v>22</v>
      </c>
      <c r="G1577">
        <v>0</v>
      </c>
      <c r="H1577">
        <v>149.30000000000001</v>
      </c>
      <c r="I1577">
        <v>83</v>
      </c>
      <c r="J1577">
        <v>25.38</v>
      </c>
      <c r="K1577">
        <v>187.1</v>
      </c>
      <c r="L1577">
        <v>130</v>
      </c>
      <c r="M1577">
        <v>15.9</v>
      </c>
      <c r="N1577">
        <v>149.80000000000001</v>
      </c>
      <c r="O1577">
        <v>100</v>
      </c>
      <c r="P1577">
        <v>6.74</v>
      </c>
      <c r="Q1577">
        <v>7.9</v>
      </c>
      <c r="R1577">
        <v>4</v>
      </c>
      <c r="S1577">
        <v>2.13</v>
      </c>
      <c r="T1577">
        <v>7</v>
      </c>
      <c r="U1577" t="s">
        <v>23</v>
      </c>
      <c r="V1577" t="e">
        <f>IF(#REF! = "yes", 1, 0)</f>
        <v>#REF!</v>
      </c>
      <c r="W1577" t="e">
        <f>IF(#REF! &lt;= 1, "0-1 Calls", IF(#REF! &lt;= 3, "2-3 Calls", IF(#REF! &lt;=5, "4-5 Calls", "6+ Calls")))</f>
        <v>#REF!</v>
      </c>
      <c r="X1577" t="e">
        <f>IF(#REF! &lt;= 50, "0-50", IF(#REF! &lt;=100, "51-100", IF(#REF! &lt;= 150, "101-150", "151+")))</f>
        <v>#REF!</v>
      </c>
      <c r="Y1577" t="e">
        <f>IF(#REF! &lt;= 3, "Low Charges", "High Charges")</f>
        <v>#REF!</v>
      </c>
      <c r="Z1577" t="e">
        <f>IF(#REF!&lt;=80,"Low Calls",
IF(#REF!&lt;=120,"Medium Calls","High Calls"))</f>
        <v>#REF!</v>
      </c>
      <c r="AA1577" t="e">
        <f>IF(#REF!&lt;=15,"Low Charges",
IF(#REF!&lt;=20,"Medium Charges","High Charges"))</f>
        <v>#REF!</v>
      </c>
      <c r="AB1577" t="e">
        <f>IF(AND(#REF!&gt;180, #REF!&gt;200), "Heavy Doemstic User", IF(#REF!&gt;10, "Interntional User", IF(AND(#REF!&lt;180, #REF!&lt;200,#REF!&lt;200), "Light User", "Balanced User")))</f>
        <v>#REF!</v>
      </c>
      <c r="AC1577" t="e">
        <f>IF(#REF! = 0, "No Usage", IF(#REF! &lt;= 20, "Low Usage", IF(#REF! &lt;= 40, "Medium Usgae", "High Usage")))</f>
        <v>#REF!</v>
      </c>
      <c r="AD1577" t="e">
        <f>IF(#REF!&lt;=150,"Low Usage", IF(#REF!&lt;=200,"Medium Usage", IF(#REF!&lt;=250,"High Usage","Very High Usage")))</f>
        <v>#REF!</v>
      </c>
      <c r="AE1577" t="e">
        <f>IF(#REF!&lt;=5,"Low Calls", IF(#REF!&lt;=10, "Medium Calls", "High Calls"))</f>
        <v>#REF!</v>
      </c>
      <c r="AF1577" t="e">
        <f xml:space="preserve">
IF(#REF!&gt;=4,4,0)+
IF(#REF!="yes",3,0)+
IF(#REF!="High Charges",3,0)+
IF(#REF!&gt;250,4,0)+
IF(#REF!="no",1,0)+
IF(#REF!="Heavy Domestic User",2,0)</f>
        <v>#REF!</v>
      </c>
      <c r="AG1577" t="e">
        <f>IF(#REF!&gt;=10,"High Risk", IF(#REF!&gt;=5,"Medium Risk","Low Risk"))</f>
        <v>#REF!</v>
      </c>
      <c r="AH1577" t="e">
        <f>#REF! + #REF! + #REF! + #REF!</f>
        <v>#REF!</v>
      </c>
    </row>
    <row r="1578" spans="1:34" x14ac:dyDescent="0.35">
      <c r="A1578">
        <v>1577</v>
      </c>
      <c r="B1578" t="s">
        <v>39</v>
      </c>
      <c r="C1578">
        <v>119</v>
      </c>
      <c r="D1578" t="s">
        <v>28</v>
      </c>
      <c r="E1578" t="s">
        <v>22</v>
      </c>
      <c r="F1578" t="s">
        <v>22</v>
      </c>
      <c r="G1578">
        <v>0</v>
      </c>
      <c r="H1578">
        <v>81.900000000000006</v>
      </c>
      <c r="I1578">
        <v>75</v>
      </c>
      <c r="J1578">
        <v>13.92</v>
      </c>
      <c r="K1578">
        <v>253.8</v>
      </c>
      <c r="L1578">
        <v>114</v>
      </c>
      <c r="M1578">
        <v>21.57</v>
      </c>
      <c r="N1578">
        <v>213.1</v>
      </c>
      <c r="O1578">
        <v>125</v>
      </c>
      <c r="P1578">
        <v>9.59</v>
      </c>
      <c r="Q1578">
        <v>8.9</v>
      </c>
      <c r="R1578">
        <v>1</v>
      </c>
      <c r="S1578">
        <v>2.4</v>
      </c>
      <c r="T1578">
        <v>2</v>
      </c>
      <c r="U1578" t="s">
        <v>23</v>
      </c>
      <c r="V1578" t="e">
        <f>IF(#REF! = "yes", 1, 0)</f>
        <v>#REF!</v>
      </c>
      <c r="W1578" t="e">
        <f>IF(#REF! &lt;= 1, "0-1 Calls", IF(#REF! &lt;= 3, "2-3 Calls", IF(#REF! &lt;=5, "4-5 Calls", "6+ Calls")))</f>
        <v>#REF!</v>
      </c>
      <c r="X1578" t="e">
        <f>IF(#REF! &lt;= 50, "0-50", IF(#REF! &lt;=100, "51-100", IF(#REF! &lt;= 150, "101-150", "151+")))</f>
        <v>#REF!</v>
      </c>
      <c r="Y1578" t="e">
        <f>IF(#REF! &lt;= 3, "Low Charges", "High Charges")</f>
        <v>#REF!</v>
      </c>
      <c r="Z1578" t="e">
        <f>IF(#REF!&lt;=80,"Low Calls",
IF(#REF!&lt;=120,"Medium Calls","High Calls"))</f>
        <v>#REF!</v>
      </c>
      <c r="AA1578" t="e">
        <f>IF(#REF!&lt;=15,"Low Charges",
IF(#REF!&lt;=20,"Medium Charges","High Charges"))</f>
        <v>#REF!</v>
      </c>
      <c r="AB1578" t="e">
        <f>IF(AND(#REF!&gt;180, #REF!&gt;200), "Heavy Doemstic User", IF(#REF!&gt;10, "Interntional User", IF(AND(#REF!&lt;180, #REF!&lt;200,#REF!&lt;200), "Light User", "Balanced User")))</f>
        <v>#REF!</v>
      </c>
      <c r="AC1578" t="e">
        <f>IF(#REF! = 0, "No Usage", IF(#REF! &lt;= 20, "Low Usage", IF(#REF! &lt;= 40, "Medium Usgae", "High Usage")))</f>
        <v>#REF!</v>
      </c>
      <c r="AD1578" t="e">
        <f>IF(#REF!&lt;=150,"Low Usage", IF(#REF!&lt;=200,"Medium Usage", IF(#REF!&lt;=250,"High Usage","Very High Usage")))</f>
        <v>#REF!</v>
      </c>
      <c r="AE1578" t="e">
        <f>IF(#REF!&lt;=5,"Low Calls", IF(#REF!&lt;=10, "Medium Calls", "High Calls"))</f>
        <v>#REF!</v>
      </c>
      <c r="AF1578" t="e">
        <f xml:space="preserve">
IF(#REF!&gt;=4,4,0)+
IF(#REF!="yes",3,0)+
IF(#REF!="High Charges",3,0)+
IF(#REF!&gt;250,4,0)+
IF(#REF!="no",1,0)+
IF(#REF!="Heavy Domestic User",2,0)</f>
        <v>#REF!</v>
      </c>
      <c r="AG1578" t="e">
        <f>IF(#REF!&gt;=10,"High Risk", IF(#REF!&gt;=5,"Medium Risk","Low Risk"))</f>
        <v>#REF!</v>
      </c>
      <c r="AH1578" t="e">
        <f>#REF! + #REF! + #REF! + #REF!</f>
        <v>#REF!</v>
      </c>
    </row>
    <row r="1579" spans="1:34" x14ac:dyDescent="0.35">
      <c r="A1579">
        <v>1578</v>
      </c>
      <c r="B1579" t="s">
        <v>46</v>
      </c>
      <c r="C1579">
        <v>142</v>
      </c>
      <c r="D1579" t="s">
        <v>25</v>
      </c>
      <c r="E1579" t="s">
        <v>23</v>
      </c>
      <c r="F1579" t="s">
        <v>23</v>
      </c>
      <c r="G1579">
        <v>25</v>
      </c>
      <c r="H1579">
        <v>191.1</v>
      </c>
      <c r="I1579">
        <v>109</v>
      </c>
      <c r="J1579">
        <v>32.49</v>
      </c>
      <c r="K1579">
        <v>149.6</v>
      </c>
      <c r="L1579">
        <v>120</v>
      </c>
      <c r="M1579">
        <v>12.72</v>
      </c>
      <c r="N1579">
        <v>227.8</v>
      </c>
      <c r="O1579">
        <v>60</v>
      </c>
      <c r="P1579">
        <v>10.25</v>
      </c>
      <c r="Q1579">
        <v>9.8000000000000007</v>
      </c>
      <c r="R1579">
        <v>3</v>
      </c>
      <c r="S1579">
        <v>2.65</v>
      </c>
      <c r="T1579">
        <v>0</v>
      </c>
      <c r="U1579" t="s">
        <v>22</v>
      </c>
      <c r="V1579" t="e">
        <f>IF(#REF! = "yes", 1, 0)</f>
        <v>#REF!</v>
      </c>
      <c r="W1579" t="e">
        <f>IF(#REF! &lt;= 1, "0-1 Calls", IF(#REF! &lt;= 3, "2-3 Calls", IF(#REF! &lt;=5, "4-5 Calls", "6+ Calls")))</f>
        <v>#REF!</v>
      </c>
      <c r="X1579" t="e">
        <f>IF(#REF! &lt;= 50, "0-50", IF(#REF! &lt;=100, "51-100", IF(#REF! &lt;= 150, "101-150", "151+")))</f>
        <v>#REF!</v>
      </c>
      <c r="Y1579" t="e">
        <f>IF(#REF! &lt;= 3, "Low Charges", "High Charges")</f>
        <v>#REF!</v>
      </c>
      <c r="Z1579" t="e">
        <f>IF(#REF!&lt;=80,"Low Calls",
IF(#REF!&lt;=120,"Medium Calls","High Calls"))</f>
        <v>#REF!</v>
      </c>
      <c r="AA1579" t="e">
        <f>IF(#REF!&lt;=15,"Low Charges",
IF(#REF!&lt;=20,"Medium Charges","High Charges"))</f>
        <v>#REF!</v>
      </c>
      <c r="AB1579" t="e">
        <f>IF(AND(#REF!&gt;180, #REF!&gt;200), "Heavy Doemstic User", IF(#REF!&gt;10, "Interntional User", IF(AND(#REF!&lt;180, #REF!&lt;200,#REF!&lt;200), "Light User", "Balanced User")))</f>
        <v>#REF!</v>
      </c>
      <c r="AC1579" t="e">
        <f>IF(#REF! = 0, "No Usage", IF(#REF! &lt;= 20, "Low Usage", IF(#REF! &lt;= 40, "Medium Usgae", "High Usage")))</f>
        <v>#REF!</v>
      </c>
      <c r="AD1579" t="e">
        <f>IF(#REF!&lt;=150,"Low Usage", IF(#REF!&lt;=200,"Medium Usage", IF(#REF!&lt;=250,"High Usage","Very High Usage")))</f>
        <v>#REF!</v>
      </c>
      <c r="AE1579" t="e">
        <f>IF(#REF!&lt;=5,"Low Calls", IF(#REF!&lt;=10, "Medium Calls", "High Calls"))</f>
        <v>#REF!</v>
      </c>
      <c r="AF1579" t="e">
        <f xml:space="preserve">
IF(#REF!&gt;=4,4,0)+
IF(#REF!="yes",3,0)+
IF(#REF!="High Charges",3,0)+
IF(#REF!&gt;250,4,0)+
IF(#REF!="no",1,0)+
IF(#REF!="Heavy Domestic User",2,0)</f>
        <v>#REF!</v>
      </c>
      <c r="AG1579" t="e">
        <f>IF(#REF!&gt;=10,"High Risk", IF(#REF!&gt;=5,"Medium Risk","Low Risk"))</f>
        <v>#REF!</v>
      </c>
      <c r="AH1579" t="e">
        <f>#REF! + #REF! + #REF! + #REF!</f>
        <v>#REF!</v>
      </c>
    </row>
    <row r="1580" spans="1:34" x14ac:dyDescent="0.35">
      <c r="A1580">
        <v>1579</v>
      </c>
      <c r="B1580" t="s">
        <v>67</v>
      </c>
      <c r="C1580">
        <v>101</v>
      </c>
      <c r="D1580" t="s">
        <v>25</v>
      </c>
      <c r="E1580" t="s">
        <v>22</v>
      </c>
      <c r="F1580" t="s">
        <v>22</v>
      </c>
      <c r="G1580">
        <v>0</v>
      </c>
      <c r="H1580">
        <v>239</v>
      </c>
      <c r="I1580">
        <v>156</v>
      </c>
      <c r="J1580">
        <v>40.630000000000003</v>
      </c>
      <c r="K1580">
        <v>273</v>
      </c>
      <c r="L1580">
        <v>106</v>
      </c>
      <c r="M1580">
        <v>23.21</v>
      </c>
      <c r="N1580">
        <v>278.2</v>
      </c>
      <c r="O1580">
        <v>93</v>
      </c>
      <c r="P1580">
        <v>12.52</v>
      </c>
      <c r="Q1580">
        <v>13.5</v>
      </c>
      <c r="R1580">
        <v>8</v>
      </c>
      <c r="S1580">
        <v>3.65</v>
      </c>
      <c r="T1580">
        <v>1</v>
      </c>
      <c r="U1580" t="s">
        <v>23</v>
      </c>
      <c r="V1580" t="e">
        <f>IF(#REF! = "yes", 1, 0)</f>
        <v>#REF!</v>
      </c>
      <c r="W1580" t="e">
        <f>IF(#REF! &lt;= 1, "0-1 Calls", IF(#REF! &lt;= 3, "2-3 Calls", IF(#REF! &lt;=5, "4-5 Calls", "6+ Calls")))</f>
        <v>#REF!</v>
      </c>
      <c r="X1580" t="e">
        <f>IF(#REF! &lt;= 50, "0-50", IF(#REF! &lt;=100, "51-100", IF(#REF! &lt;= 150, "101-150", "151+")))</f>
        <v>#REF!</v>
      </c>
      <c r="Y1580" t="e">
        <f>IF(#REF! &lt;= 3, "Low Charges", "High Charges")</f>
        <v>#REF!</v>
      </c>
      <c r="Z1580" t="e">
        <f>IF(#REF!&lt;=80,"Low Calls",
IF(#REF!&lt;=120,"Medium Calls","High Calls"))</f>
        <v>#REF!</v>
      </c>
      <c r="AA1580" t="e">
        <f>IF(#REF!&lt;=15,"Low Charges",
IF(#REF!&lt;=20,"Medium Charges","High Charges"))</f>
        <v>#REF!</v>
      </c>
      <c r="AB1580" t="e">
        <f>IF(AND(#REF!&gt;180, #REF!&gt;200), "Heavy Doemstic User", IF(#REF!&gt;10, "Interntional User", IF(AND(#REF!&lt;180, #REF!&lt;200,#REF!&lt;200), "Light User", "Balanced User")))</f>
        <v>#REF!</v>
      </c>
      <c r="AC1580" t="e">
        <f>IF(#REF! = 0, "No Usage", IF(#REF! &lt;= 20, "Low Usage", IF(#REF! &lt;= 40, "Medium Usgae", "High Usage")))</f>
        <v>#REF!</v>
      </c>
      <c r="AD1580" t="e">
        <f>IF(#REF!&lt;=150,"Low Usage", IF(#REF!&lt;=200,"Medium Usage", IF(#REF!&lt;=250,"High Usage","Very High Usage")))</f>
        <v>#REF!</v>
      </c>
      <c r="AE1580" t="e">
        <f>IF(#REF!&lt;=5,"Low Calls", IF(#REF!&lt;=10, "Medium Calls", "High Calls"))</f>
        <v>#REF!</v>
      </c>
      <c r="AF1580" t="e">
        <f xml:space="preserve">
IF(#REF!&gt;=4,4,0)+
IF(#REF!="yes",3,0)+
IF(#REF!="High Charges",3,0)+
IF(#REF!&gt;250,4,0)+
IF(#REF!="no",1,0)+
IF(#REF!="Heavy Domestic User",2,0)</f>
        <v>#REF!</v>
      </c>
      <c r="AG1580" t="e">
        <f>IF(#REF!&gt;=10,"High Risk", IF(#REF!&gt;=5,"Medium Risk","Low Risk"))</f>
        <v>#REF!</v>
      </c>
      <c r="AH1580" t="e">
        <f>#REF! + #REF! + #REF! + #REF!</f>
        <v>#REF!</v>
      </c>
    </row>
    <row r="1581" spans="1:34" x14ac:dyDescent="0.35">
      <c r="A1581">
        <v>1580</v>
      </c>
      <c r="B1581" t="s">
        <v>42</v>
      </c>
      <c r="C1581">
        <v>43</v>
      </c>
      <c r="D1581" t="s">
        <v>21</v>
      </c>
      <c r="E1581" t="s">
        <v>22</v>
      </c>
      <c r="F1581" t="s">
        <v>22</v>
      </c>
      <c r="G1581">
        <v>0</v>
      </c>
      <c r="H1581">
        <v>179.3</v>
      </c>
      <c r="I1581">
        <v>97</v>
      </c>
      <c r="J1581">
        <v>30.48</v>
      </c>
      <c r="K1581">
        <v>252.7</v>
      </c>
      <c r="L1581">
        <v>126</v>
      </c>
      <c r="M1581">
        <v>21.48</v>
      </c>
      <c r="N1581">
        <v>227.5</v>
      </c>
      <c r="O1581">
        <v>114</v>
      </c>
      <c r="P1581">
        <v>10.24</v>
      </c>
      <c r="Q1581">
        <v>8</v>
      </c>
      <c r="R1581">
        <v>5</v>
      </c>
      <c r="S1581">
        <v>2.16</v>
      </c>
      <c r="T1581">
        <v>0</v>
      </c>
      <c r="U1581" t="s">
        <v>22</v>
      </c>
      <c r="V1581" t="e">
        <f>IF(#REF! = "yes", 1, 0)</f>
        <v>#REF!</v>
      </c>
      <c r="W1581" t="e">
        <f>IF(#REF! &lt;= 1, "0-1 Calls", IF(#REF! &lt;= 3, "2-3 Calls", IF(#REF! &lt;=5, "4-5 Calls", "6+ Calls")))</f>
        <v>#REF!</v>
      </c>
      <c r="X1581" t="e">
        <f>IF(#REF! &lt;= 50, "0-50", IF(#REF! &lt;=100, "51-100", IF(#REF! &lt;= 150, "101-150", "151+")))</f>
        <v>#REF!</v>
      </c>
      <c r="Y1581" t="e">
        <f>IF(#REF! &lt;= 3, "Low Charges", "High Charges")</f>
        <v>#REF!</v>
      </c>
      <c r="Z1581" t="e">
        <f>IF(#REF!&lt;=80,"Low Calls",
IF(#REF!&lt;=120,"Medium Calls","High Calls"))</f>
        <v>#REF!</v>
      </c>
      <c r="AA1581" t="e">
        <f>IF(#REF!&lt;=15,"Low Charges",
IF(#REF!&lt;=20,"Medium Charges","High Charges"))</f>
        <v>#REF!</v>
      </c>
      <c r="AB1581" t="e">
        <f>IF(AND(#REF!&gt;180, #REF!&gt;200), "Heavy Doemstic User", IF(#REF!&gt;10, "Interntional User", IF(AND(#REF!&lt;180, #REF!&lt;200,#REF!&lt;200), "Light User", "Balanced User")))</f>
        <v>#REF!</v>
      </c>
      <c r="AC1581" t="e">
        <f>IF(#REF! = 0, "No Usage", IF(#REF! &lt;= 20, "Low Usage", IF(#REF! &lt;= 40, "Medium Usgae", "High Usage")))</f>
        <v>#REF!</v>
      </c>
      <c r="AD1581" t="e">
        <f>IF(#REF!&lt;=150,"Low Usage", IF(#REF!&lt;=200,"Medium Usage", IF(#REF!&lt;=250,"High Usage","Very High Usage")))</f>
        <v>#REF!</v>
      </c>
      <c r="AE1581" t="e">
        <f>IF(#REF!&lt;=5,"Low Calls", IF(#REF!&lt;=10, "Medium Calls", "High Calls"))</f>
        <v>#REF!</v>
      </c>
      <c r="AF1581" t="e">
        <f xml:space="preserve">
IF(#REF!&gt;=4,4,0)+
IF(#REF!="yes",3,0)+
IF(#REF!="High Charges",3,0)+
IF(#REF!&gt;250,4,0)+
IF(#REF!="no",1,0)+
IF(#REF!="Heavy Domestic User",2,0)</f>
        <v>#REF!</v>
      </c>
      <c r="AG1581" t="e">
        <f>IF(#REF!&gt;=10,"High Risk", IF(#REF!&gt;=5,"Medium Risk","Low Risk"))</f>
        <v>#REF!</v>
      </c>
      <c r="AH1581" t="e">
        <f>#REF! + #REF! + #REF! + #REF!</f>
        <v>#REF!</v>
      </c>
    </row>
    <row r="1582" spans="1:34" x14ac:dyDescent="0.35">
      <c r="A1582">
        <v>1581</v>
      </c>
      <c r="B1582" t="s">
        <v>32</v>
      </c>
      <c r="C1582">
        <v>69</v>
      </c>
      <c r="D1582" t="s">
        <v>25</v>
      </c>
      <c r="E1582" t="s">
        <v>22</v>
      </c>
      <c r="F1582" t="s">
        <v>22</v>
      </c>
      <c r="G1582">
        <v>0</v>
      </c>
      <c r="H1582">
        <v>185.3</v>
      </c>
      <c r="I1582">
        <v>91</v>
      </c>
      <c r="J1582">
        <v>31.5</v>
      </c>
      <c r="K1582">
        <v>219.1</v>
      </c>
      <c r="L1582">
        <v>88</v>
      </c>
      <c r="M1582">
        <v>18.62</v>
      </c>
      <c r="N1582">
        <v>243.6</v>
      </c>
      <c r="O1582">
        <v>107</v>
      </c>
      <c r="P1582">
        <v>10.96</v>
      </c>
      <c r="Q1582">
        <v>5.5</v>
      </c>
      <c r="R1582">
        <v>5</v>
      </c>
      <c r="S1582">
        <v>1.49</v>
      </c>
      <c r="T1582">
        <v>0</v>
      </c>
      <c r="U1582" t="s">
        <v>22</v>
      </c>
      <c r="V1582" t="e">
        <f>IF(#REF! = "yes", 1, 0)</f>
        <v>#REF!</v>
      </c>
      <c r="W1582" t="e">
        <f>IF(#REF! &lt;= 1, "0-1 Calls", IF(#REF! &lt;= 3, "2-3 Calls", IF(#REF! &lt;=5, "4-5 Calls", "6+ Calls")))</f>
        <v>#REF!</v>
      </c>
      <c r="X1582" t="e">
        <f>IF(#REF! &lt;= 50, "0-50", IF(#REF! &lt;=100, "51-100", IF(#REF! &lt;= 150, "101-150", "151+")))</f>
        <v>#REF!</v>
      </c>
      <c r="Y1582" t="e">
        <f>IF(#REF! &lt;= 3, "Low Charges", "High Charges")</f>
        <v>#REF!</v>
      </c>
      <c r="Z1582" t="e">
        <f>IF(#REF!&lt;=80,"Low Calls",
IF(#REF!&lt;=120,"Medium Calls","High Calls"))</f>
        <v>#REF!</v>
      </c>
      <c r="AA1582" t="e">
        <f>IF(#REF!&lt;=15,"Low Charges",
IF(#REF!&lt;=20,"Medium Charges","High Charges"))</f>
        <v>#REF!</v>
      </c>
      <c r="AB1582" t="e">
        <f>IF(AND(#REF!&gt;180, #REF!&gt;200), "Heavy Doemstic User", IF(#REF!&gt;10, "Interntional User", IF(AND(#REF!&lt;180, #REF!&lt;200,#REF!&lt;200), "Light User", "Balanced User")))</f>
        <v>#REF!</v>
      </c>
      <c r="AC1582" t="e">
        <f>IF(#REF! = 0, "No Usage", IF(#REF! &lt;= 20, "Low Usage", IF(#REF! &lt;= 40, "Medium Usgae", "High Usage")))</f>
        <v>#REF!</v>
      </c>
      <c r="AD1582" t="e">
        <f>IF(#REF!&lt;=150,"Low Usage", IF(#REF!&lt;=200,"Medium Usage", IF(#REF!&lt;=250,"High Usage","Very High Usage")))</f>
        <v>#REF!</v>
      </c>
      <c r="AE1582" t="e">
        <f>IF(#REF!&lt;=5,"Low Calls", IF(#REF!&lt;=10, "Medium Calls", "High Calls"))</f>
        <v>#REF!</v>
      </c>
      <c r="AF1582" t="e">
        <f xml:space="preserve">
IF(#REF!&gt;=4,4,0)+
IF(#REF!="yes",3,0)+
IF(#REF!="High Charges",3,0)+
IF(#REF!&gt;250,4,0)+
IF(#REF!="no",1,0)+
IF(#REF!="Heavy Domestic User",2,0)</f>
        <v>#REF!</v>
      </c>
      <c r="AG1582" t="e">
        <f>IF(#REF!&gt;=10,"High Risk", IF(#REF!&gt;=5,"Medium Risk","Low Risk"))</f>
        <v>#REF!</v>
      </c>
      <c r="AH1582" t="e">
        <f>#REF! + #REF! + #REF! + #REF!</f>
        <v>#REF!</v>
      </c>
    </row>
    <row r="1583" spans="1:34" x14ac:dyDescent="0.35">
      <c r="A1583">
        <v>1582</v>
      </c>
      <c r="B1583" t="s">
        <v>36</v>
      </c>
      <c r="C1583">
        <v>15</v>
      </c>
      <c r="D1583" t="s">
        <v>28</v>
      </c>
      <c r="E1583" t="s">
        <v>23</v>
      </c>
      <c r="F1583" t="s">
        <v>22</v>
      </c>
      <c r="G1583">
        <v>0</v>
      </c>
      <c r="H1583">
        <v>141.4</v>
      </c>
      <c r="I1583">
        <v>80</v>
      </c>
      <c r="J1583">
        <v>24.04</v>
      </c>
      <c r="K1583">
        <v>123.9</v>
      </c>
      <c r="L1583">
        <v>76</v>
      </c>
      <c r="M1583">
        <v>10.53</v>
      </c>
      <c r="N1583">
        <v>323.5</v>
      </c>
      <c r="O1583">
        <v>88</v>
      </c>
      <c r="P1583">
        <v>14.56</v>
      </c>
      <c r="Q1583">
        <v>8.1</v>
      </c>
      <c r="R1583">
        <v>3</v>
      </c>
      <c r="S1583">
        <v>2.19</v>
      </c>
      <c r="T1583">
        <v>2</v>
      </c>
      <c r="U1583" t="s">
        <v>22</v>
      </c>
      <c r="V1583" t="e">
        <f>IF(#REF! = "yes", 1, 0)</f>
        <v>#REF!</v>
      </c>
      <c r="W1583" t="e">
        <f>IF(#REF! &lt;= 1, "0-1 Calls", IF(#REF! &lt;= 3, "2-3 Calls", IF(#REF! &lt;=5, "4-5 Calls", "6+ Calls")))</f>
        <v>#REF!</v>
      </c>
      <c r="X1583" t="e">
        <f>IF(#REF! &lt;= 50, "0-50", IF(#REF! &lt;=100, "51-100", IF(#REF! &lt;= 150, "101-150", "151+")))</f>
        <v>#REF!</v>
      </c>
      <c r="Y1583" t="e">
        <f>IF(#REF! &lt;= 3, "Low Charges", "High Charges")</f>
        <v>#REF!</v>
      </c>
      <c r="Z1583" t="e">
        <f>IF(#REF!&lt;=80,"Low Calls",
IF(#REF!&lt;=120,"Medium Calls","High Calls"))</f>
        <v>#REF!</v>
      </c>
      <c r="AA1583" t="e">
        <f>IF(#REF!&lt;=15,"Low Charges",
IF(#REF!&lt;=20,"Medium Charges","High Charges"))</f>
        <v>#REF!</v>
      </c>
      <c r="AB1583" t="e">
        <f>IF(AND(#REF!&gt;180, #REF!&gt;200), "Heavy Doemstic User", IF(#REF!&gt;10, "Interntional User", IF(AND(#REF!&lt;180, #REF!&lt;200,#REF!&lt;200), "Light User", "Balanced User")))</f>
        <v>#REF!</v>
      </c>
      <c r="AC1583" t="e">
        <f>IF(#REF! = 0, "No Usage", IF(#REF! &lt;= 20, "Low Usage", IF(#REF! &lt;= 40, "Medium Usgae", "High Usage")))</f>
        <v>#REF!</v>
      </c>
      <c r="AD1583" t="e">
        <f>IF(#REF!&lt;=150,"Low Usage", IF(#REF!&lt;=200,"Medium Usage", IF(#REF!&lt;=250,"High Usage","Very High Usage")))</f>
        <v>#REF!</v>
      </c>
      <c r="AE1583" t="e">
        <f>IF(#REF!&lt;=5,"Low Calls", IF(#REF!&lt;=10, "Medium Calls", "High Calls"))</f>
        <v>#REF!</v>
      </c>
      <c r="AF1583" t="e">
        <f xml:space="preserve">
IF(#REF!&gt;=4,4,0)+
IF(#REF!="yes",3,0)+
IF(#REF!="High Charges",3,0)+
IF(#REF!&gt;250,4,0)+
IF(#REF!="no",1,0)+
IF(#REF!="Heavy Domestic User",2,0)</f>
        <v>#REF!</v>
      </c>
      <c r="AG1583" t="e">
        <f>IF(#REF!&gt;=10,"High Risk", IF(#REF!&gt;=5,"Medium Risk","Low Risk"))</f>
        <v>#REF!</v>
      </c>
      <c r="AH1583" t="e">
        <f>#REF! + #REF! + #REF! + #REF!</f>
        <v>#REF!</v>
      </c>
    </row>
    <row r="1584" spans="1:34" x14ac:dyDescent="0.35">
      <c r="A1584">
        <v>1583</v>
      </c>
      <c r="B1584" t="s">
        <v>51</v>
      </c>
      <c r="C1584">
        <v>107</v>
      </c>
      <c r="D1584" t="s">
        <v>28</v>
      </c>
      <c r="E1584" t="s">
        <v>22</v>
      </c>
      <c r="F1584" t="s">
        <v>23</v>
      </c>
      <c r="G1584">
        <v>25</v>
      </c>
      <c r="H1584">
        <v>248.6</v>
      </c>
      <c r="I1584">
        <v>91</v>
      </c>
      <c r="J1584">
        <v>42.26</v>
      </c>
      <c r="K1584">
        <v>119.3</v>
      </c>
      <c r="L1584">
        <v>115</v>
      </c>
      <c r="M1584">
        <v>10.14</v>
      </c>
      <c r="N1584">
        <v>194.3</v>
      </c>
      <c r="O1584">
        <v>83</v>
      </c>
      <c r="P1584">
        <v>8.74</v>
      </c>
      <c r="Q1584">
        <v>12</v>
      </c>
      <c r="R1584">
        <v>1</v>
      </c>
      <c r="S1584">
        <v>3.24</v>
      </c>
      <c r="T1584">
        <v>1</v>
      </c>
      <c r="U1584" t="s">
        <v>22</v>
      </c>
      <c r="V1584" t="e">
        <f>IF(#REF! = "yes", 1, 0)</f>
        <v>#REF!</v>
      </c>
      <c r="W1584" t="e">
        <f>IF(#REF! &lt;= 1, "0-1 Calls", IF(#REF! &lt;= 3, "2-3 Calls", IF(#REF! &lt;=5, "4-5 Calls", "6+ Calls")))</f>
        <v>#REF!</v>
      </c>
      <c r="X1584" t="e">
        <f>IF(#REF! &lt;= 50, "0-50", IF(#REF! &lt;=100, "51-100", IF(#REF! &lt;= 150, "101-150", "151+")))</f>
        <v>#REF!</v>
      </c>
      <c r="Y1584" t="e">
        <f>IF(#REF! &lt;= 3, "Low Charges", "High Charges")</f>
        <v>#REF!</v>
      </c>
      <c r="Z1584" t="e">
        <f>IF(#REF!&lt;=80,"Low Calls",
IF(#REF!&lt;=120,"Medium Calls","High Calls"))</f>
        <v>#REF!</v>
      </c>
      <c r="AA1584" t="e">
        <f>IF(#REF!&lt;=15,"Low Charges",
IF(#REF!&lt;=20,"Medium Charges","High Charges"))</f>
        <v>#REF!</v>
      </c>
      <c r="AB1584" t="e">
        <f>IF(AND(#REF!&gt;180, #REF!&gt;200), "Heavy Doemstic User", IF(#REF!&gt;10, "Interntional User", IF(AND(#REF!&lt;180, #REF!&lt;200,#REF!&lt;200), "Light User", "Balanced User")))</f>
        <v>#REF!</v>
      </c>
      <c r="AC1584" t="e">
        <f>IF(#REF! = 0, "No Usage", IF(#REF! &lt;= 20, "Low Usage", IF(#REF! &lt;= 40, "Medium Usgae", "High Usage")))</f>
        <v>#REF!</v>
      </c>
      <c r="AD1584" t="e">
        <f>IF(#REF!&lt;=150,"Low Usage", IF(#REF!&lt;=200,"Medium Usage", IF(#REF!&lt;=250,"High Usage","Very High Usage")))</f>
        <v>#REF!</v>
      </c>
      <c r="AE1584" t="e">
        <f>IF(#REF!&lt;=5,"Low Calls", IF(#REF!&lt;=10, "Medium Calls", "High Calls"))</f>
        <v>#REF!</v>
      </c>
      <c r="AF1584" t="e">
        <f xml:space="preserve">
IF(#REF!&gt;=4,4,0)+
IF(#REF!="yes",3,0)+
IF(#REF!="High Charges",3,0)+
IF(#REF!&gt;250,4,0)+
IF(#REF!="no",1,0)+
IF(#REF!="Heavy Domestic User",2,0)</f>
        <v>#REF!</v>
      </c>
      <c r="AG1584" t="e">
        <f>IF(#REF!&gt;=10,"High Risk", IF(#REF!&gt;=5,"Medium Risk","Low Risk"))</f>
        <v>#REF!</v>
      </c>
      <c r="AH1584" t="e">
        <f>#REF! + #REF! + #REF! + #REF!</f>
        <v>#REF!</v>
      </c>
    </row>
    <row r="1585" spans="1:34" x14ac:dyDescent="0.35">
      <c r="A1585">
        <v>1584</v>
      </c>
      <c r="B1585" t="s">
        <v>31</v>
      </c>
      <c r="C1585">
        <v>67</v>
      </c>
      <c r="D1585" t="s">
        <v>28</v>
      </c>
      <c r="E1585" t="s">
        <v>22</v>
      </c>
      <c r="F1585" t="s">
        <v>22</v>
      </c>
      <c r="G1585">
        <v>0</v>
      </c>
      <c r="H1585">
        <v>152.5</v>
      </c>
      <c r="I1585">
        <v>131</v>
      </c>
      <c r="J1585">
        <v>25.93</v>
      </c>
      <c r="K1585">
        <v>252.4</v>
      </c>
      <c r="L1585">
        <v>107</v>
      </c>
      <c r="M1585">
        <v>21.45</v>
      </c>
      <c r="N1585">
        <v>185.4</v>
      </c>
      <c r="O1585">
        <v>104</v>
      </c>
      <c r="P1585">
        <v>8.34</v>
      </c>
      <c r="Q1585">
        <v>4.9000000000000004</v>
      </c>
      <c r="R1585">
        <v>3</v>
      </c>
      <c r="S1585">
        <v>1.32</v>
      </c>
      <c r="T1585">
        <v>2</v>
      </c>
      <c r="U1585" t="s">
        <v>22</v>
      </c>
      <c r="V1585" t="e">
        <f>IF(#REF! = "yes", 1, 0)</f>
        <v>#REF!</v>
      </c>
      <c r="W1585" t="e">
        <f>IF(#REF! &lt;= 1, "0-1 Calls", IF(#REF! &lt;= 3, "2-3 Calls", IF(#REF! &lt;=5, "4-5 Calls", "6+ Calls")))</f>
        <v>#REF!</v>
      </c>
      <c r="X1585" t="e">
        <f>IF(#REF! &lt;= 50, "0-50", IF(#REF! &lt;=100, "51-100", IF(#REF! &lt;= 150, "101-150", "151+")))</f>
        <v>#REF!</v>
      </c>
      <c r="Y1585" t="e">
        <f>IF(#REF! &lt;= 3, "Low Charges", "High Charges")</f>
        <v>#REF!</v>
      </c>
      <c r="Z1585" t="e">
        <f>IF(#REF!&lt;=80,"Low Calls",
IF(#REF!&lt;=120,"Medium Calls","High Calls"))</f>
        <v>#REF!</v>
      </c>
      <c r="AA1585" t="e">
        <f>IF(#REF!&lt;=15,"Low Charges",
IF(#REF!&lt;=20,"Medium Charges","High Charges"))</f>
        <v>#REF!</v>
      </c>
      <c r="AB1585" t="e">
        <f>IF(AND(#REF!&gt;180, #REF!&gt;200), "Heavy Doemstic User", IF(#REF!&gt;10, "Interntional User", IF(AND(#REF!&lt;180, #REF!&lt;200,#REF!&lt;200), "Light User", "Balanced User")))</f>
        <v>#REF!</v>
      </c>
      <c r="AC1585" t="e">
        <f>IF(#REF! = 0, "No Usage", IF(#REF! &lt;= 20, "Low Usage", IF(#REF! &lt;= 40, "Medium Usgae", "High Usage")))</f>
        <v>#REF!</v>
      </c>
      <c r="AD1585" t="e">
        <f>IF(#REF!&lt;=150,"Low Usage", IF(#REF!&lt;=200,"Medium Usage", IF(#REF!&lt;=250,"High Usage","Very High Usage")))</f>
        <v>#REF!</v>
      </c>
      <c r="AE1585" t="e">
        <f>IF(#REF!&lt;=5,"Low Calls", IF(#REF!&lt;=10, "Medium Calls", "High Calls"))</f>
        <v>#REF!</v>
      </c>
      <c r="AF1585" t="e">
        <f xml:space="preserve">
IF(#REF!&gt;=4,4,0)+
IF(#REF!="yes",3,0)+
IF(#REF!="High Charges",3,0)+
IF(#REF!&gt;250,4,0)+
IF(#REF!="no",1,0)+
IF(#REF!="Heavy Domestic User",2,0)</f>
        <v>#REF!</v>
      </c>
      <c r="AG1585" t="e">
        <f>IF(#REF!&gt;=10,"High Risk", IF(#REF!&gt;=5,"Medium Risk","Low Risk"))</f>
        <v>#REF!</v>
      </c>
      <c r="AH1585" t="e">
        <f>#REF! + #REF! + #REF! + #REF!</f>
        <v>#REF!</v>
      </c>
    </row>
    <row r="1586" spans="1:34" x14ac:dyDescent="0.35">
      <c r="A1586">
        <v>1585</v>
      </c>
      <c r="B1586" t="s">
        <v>36</v>
      </c>
      <c r="C1586">
        <v>99</v>
      </c>
      <c r="D1586" t="s">
        <v>21</v>
      </c>
      <c r="E1586" t="s">
        <v>22</v>
      </c>
      <c r="F1586" t="s">
        <v>22</v>
      </c>
      <c r="G1586">
        <v>0</v>
      </c>
      <c r="H1586">
        <v>145.6</v>
      </c>
      <c r="I1586">
        <v>102</v>
      </c>
      <c r="J1586">
        <v>24.75</v>
      </c>
      <c r="K1586">
        <v>230.9</v>
      </c>
      <c r="L1586">
        <v>87</v>
      </c>
      <c r="M1586">
        <v>19.63</v>
      </c>
      <c r="N1586">
        <v>181.5</v>
      </c>
      <c r="O1586">
        <v>86</v>
      </c>
      <c r="P1586">
        <v>8.17</v>
      </c>
      <c r="Q1586">
        <v>11.4</v>
      </c>
      <c r="R1586">
        <v>7</v>
      </c>
      <c r="S1586">
        <v>3.08</v>
      </c>
      <c r="T1586">
        <v>1</v>
      </c>
      <c r="U1586" t="s">
        <v>22</v>
      </c>
      <c r="V1586" t="e">
        <f>IF(#REF! = "yes", 1, 0)</f>
        <v>#REF!</v>
      </c>
      <c r="W1586" t="e">
        <f>IF(#REF! &lt;= 1, "0-1 Calls", IF(#REF! &lt;= 3, "2-3 Calls", IF(#REF! &lt;=5, "4-5 Calls", "6+ Calls")))</f>
        <v>#REF!</v>
      </c>
      <c r="X1586" t="e">
        <f>IF(#REF! &lt;= 50, "0-50", IF(#REF! &lt;=100, "51-100", IF(#REF! &lt;= 150, "101-150", "151+")))</f>
        <v>#REF!</v>
      </c>
      <c r="Y1586" t="e">
        <f>IF(#REF! &lt;= 3, "Low Charges", "High Charges")</f>
        <v>#REF!</v>
      </c>
      <c r="Z1586" t="e">
        <f>IF(#REF!&lt;=80,"Low Calls",
IF(#REF!&lt;=120,"Medium Calls","High Calls"))</f>
        <v>#REF!</v>
      </c>
      <c r="AA1586" t="e">
        <f>IF(#REF!&lt;=15,"Low Charges",
IF(#REF!&lt;=20,"Medium Charges","High Charges"))</f>
        <v>#REF!</v>
      </c>
      <c r="AB1586" t="e">
        <f>IF(AND(#REF!&gt;180, #REF!&gt;200), "Heavy Doemstic User", IF(#REF!&gt;10, "Interntional User", IF(AND(#REF!&lt;180, #REF!&lt;200,#REF!&lt;200), "Light User", "Balanced User")))</f>
        <v>#REF!</v>
      </c>
      <c r="AC1586" t="e">
        <f>IF(#REF! = 0, "No Usage", IF(#REF! &lt;= 20, "Low Usage", IF(#REF! &lt;= 40, "Medium Usgae", "High Usage")))</f>
        <v>#REF!</v>
      </c>
      <c r="AD1586" t="e">
        <f>IF(#REF!&lt;=150,"Low Usage", IF(#REF!&lt;=200,"Medium Usage", IF(#REF!&lt;=250,"High Usage","Very High Usage")))</f>
        <v>#REF!</v>
      </c>
      <c r="AE1586" t="e">
        <f>IF(#REF!&lt;=5,"Low Calls", IF(#REF!&lt;=10, "Medium Calls", "High Calls"))</f>
        <v>#REF!</v>
      </c>
      <c r="AF1586" t="e">
        <f xml:space="preserve">
IF(#REF!&gt;=4,4,0)+
IF(#REF!="yes",3,0)+
IF(#REF!="High Charges",3,0)+
IF(#REF!&gt;250,4,0)+
IF(#REF!="no",1,0)+
IF(#REF!="Heavy Domestic User",2,0)</f>
        <v>#REF!</v>
      </c>
      <c r="AG1586" t="e">
        <f>IF(#REF!&gt;=10,"High Risk", IF(#REF!&gt;=5,"Medium Risk","Low Risk"))</f>
        <v>#REF!</v>
      </c>
      <c r="AH1586" t="e">
        <f>#REF! + #REF! + #REF! + #REF!</f>
        <v>#REF!</v>
      </c>
    </row>
    <row r="1587" spans="1:34" x14ac:dyDescent="0.35">
      <c r="A1587">
        <v>1586</v>
      </c>
      <c r="B1587" t="s">
        <v>26</v>
      </c>
      <c r="C1587">
        <v>46</v>
      </c>
      <c r="D1587" t="s">
        <v>21</v>
      </c>
      <c r="E1587" t="s">
        <v>22</v>
      </c>
      <c r="F1587" t="s">
        <v>22</v>
      </c>
      <c r="G1587">
        <v>0</v>
      </c>
      <c r="H1587">
        <v>164.2</v>
      </c>
      <c r="I1587">
        <v>116</v>
      </c>
      <c r="J1587">
        <v>27.91</v>
      </c>
      <c r="K1587">
        <v>196.2</v>
      </c>
      <c r="L1587">
        <v>153</v>
      </c>
      <c r="M1587">
        <v>16.68</v>
      </c>
      <c r="N1587">
        <v>236.1</v>
      </c>
      <c r="O1587">
        <v>119</v>
      </c>
      <c r="P1587">
        <v>10.62</v>
      </c>
      <c r="Q1587">
        <v>8.1</v>
      </c>
      <c r="R1587">
        <v>1</v>
      </c>
      <c r="S1587">
        <v>2.19</v>
      </c>
      <c r="T1587">
        <v>1</v>
      </c>
      <c r="U1587" t="s">
        <v>22</v>
      </c>
      <c r="V1587" t="e">
        <f>IF(#REF! = "yes", 1, 0)</f>
        <v>#REF!</v>
      </c>
      <c r="W1587" t="e">
        <f>IF(#REF! &lt;= 1, "0-1 Calls", IF(#REF! &lt;= 3, "2-3 Calls", IF(#REF! &lt;=5, "4-5 Calls", "6+ Calls")))</f>
        <v>#REF!</v>
      </c>
      <c r="X1587" t="e">
        <f>IF(#REF! &lt;= 50, "0-50", IF(#REF! &lt;=100, "51-100", IF(#REF! &lt;= 150, "101-150", "151+")))</f>
        <v>#REF!</v>
      </c>
      <c r="Y1587" t="e">
        <f>IF(#REF! &lt;= 3, "Low Charges", "High Charges")</f>
        <v>#REF!</v>
      </c>
      <c r="Z1587" t="e">
        <f>IF(#REF!&lt;=80,"Low Calls",
IF(#REF!&lt;=120,"Medium Calls","High Calls"))</f>
        <v>#REF!</v>
      </c>
      <c r="AA1587" t="e">
        <f>IF(#REF!&lt;=15,"Low Charges",
IF(#REF!&lt;=20,"Medium Charges","High Charges"))</f>
        <v>#REF!</v>
      </c>
      <c r="AB1587" t="e">
        <f>IF(AND(#REF!&gt;180, #REF!&gt;200), "Heavy Doemstic User", IF(#REF!&gt;10, "Interntional User", IF(AND(#REF!&lt;180, #REF!&lt;200,#REF!&lt;200), "Light User", "Balanced User")))</f>
        <v>#REF!</v>
      </c>
      <c r="AC1587" t="e">
        <f>IF(#REF! = 0, "No Usage", IF(#REF! &lt;= 20, "Low Usage", IF(#REF! &lt;= 40, "Medium Usgae", "High Usage")))</f>
        <v>#REF!</v>
      </c>
      <c r="AD1587" t="e">
        <f>IF(#REF!&lt;=150,"Low Usage", IF(#REF!&lt;=200,"Medium Usage", IF(#REF!&lt;=250,"High Usage","Very High Usage")))</f>
        <v>#REF!</v>
      </c>
      <c r="AE1587" t="e">
        <f>IF(#REF!&lt;=5,"Low Calls", IF(#REF!&lt;=10, "Medium Calls", "High Calls"))</f>
        <v>#REF!</v>
      </c>
      <c r="AF1587" t="e">
        <f xml:space="preserve">
IF(#REF!&gt;=4,4,0)+
IF(#REF!="yes",3,0)+
IF(#REF!="High Charges",3,0)+
IF(#REF!&gt;250,4,0)+
IF(#REF!="no",1,0)+
IF(#REF!="Heavy Domestic User",2,0)</f>
        <v>#REF!</v>
      </c>
      <c r="AG1587" t="e">
        <f>IF(#REF!&gt;=10,"High Risk", IF(#REF!&gt;=5,"Medium Risk","Low Risk"))</f>
        <v>#REF!</v>
      </c>
      <c r="AH1587" t="e">
        <f>#REF! + #REF! + #REF! + #REF!</f>
        <v>#REF!</v>
      </c>
    </row>
    <row r="1588" spans="1:34" x14ac:dyDescent="0.35">
      <c r="A1588">
        <v>1587</v>
      </c>
      <c r="B1588" t="s">
        <v>58</v>
      </c>
      <c r="C1588">
        <v>55</v>
      </c>
      <c r="D1588" t="s">
        <v>25</v>
      </c>
      <c r="E1588" t="s">
        <v>23</v>
      </c>
      <c r="F1588" t="s">
        <v>22</v>
      </c>
      <c r="G1588">
        <v>0</v>
      </c>
      <c r="H1588">
        <v>221</v>
      </c>
      <c r="I1588">
        <v>115</v>
      </c>
      <c r="J1588">
        <v>37.57</v>
      </c>
      <c r="K1588">
        <v>165.4</v>
      </c>
      <c r="L1588">
        <v>97</v>
      </c>
      <c r="M1588">
        <v>14.06</v>
      </c>
      <c r="N1588">
        <v>235.4</v>
      </c>
      <c r="O1588">
        <v>117</v>
      </c>
      <c r="P1588">
        <v>10.59</v>
      </c>
      <c r="Q1588">
        <v>9.6999999999999993</v>
      </c>
      <c r="R1588">
        <v>4</v>
      </c>
      <c r="S1588">
        <v>2.62</v>
      </c>
      <c r="T1588">
        <v>1</v>
      </c>
      <c r="U1588" t="s">
        <v>22</v>
      </c>
      <c r="V1588" t="e">
        <f>IF(#REF! = "yes", 1, 0)</f>
        <v>#REF!</v>
      </c>
      <c r="W1588" t="e">
        <f>IF(#REF! &lt;= 1, "0-1 Calls", IF(#REF! &lt;= 3, "2-3 Calls", IF(#REF! &lt;=5, "4-5 Calls", "6+ Calls")))</f>
        <v>#REF!</v>
      </c>
      <c r="X1588" t="e">
        <f>IF(#REF! &lt;= 50, "0-50", IF(#REF! &lt;=100, "51-100", IF(#REF! &lt;= 150, "101-150", "151+")))</f>
        <v>#REF!</v>
      </c>
      <c r="Y1588" t="e">
        <f>IF(#REF! &lt;= 3, "Low Charges", "High Charges")</f>
        <v>#REF!</v>
      </c>
      <c r="Z1588" t="e">
        <f>IF(#REF!&lt;=80,"Low Calls",
IF(#REF!&lt;=120,"Medium Calls","High Calls"))</f>
        <v>#REF!</v>
      </c>
      <c r="AA1588" t="e">
        <f>IF(#REF!&lt;=15,"Low Charges",
IF(#REF!&lt;=20,"Medium Charges","High Charges"))</f>
        <v>#REF!</v>
      </c>
      <c r="AB1588" t="e">
        <f>IF(AND(#REF!&gt;180, #REF!&gt;200), "Heavy Doemstic User", IF(#REF!&gt;10, "Interntional User", IF(AND(#REF!&lt;180, #REF!&lt;200,#REF!&lt;200), "Light User", "Balanced User")))</f>
        <v>#REF!</v>
      </c>
      <c r="AC1588" t="e">
        <f>IF(#REF! = 0, "No Usage", IF(#REF! &lt;= 20, "Low Usage", IF(#REF! &lt;= 40, "Medium Usgae", "High Usage")))</f>
        <v>#REF!</v>
      </c>
      <c r="AD1588" t="e">
        <f>IF(#REF!&lt;=150,"Low Usage", IF(#REF!&lt;=200,"Medium Usage", IF(#REF!&lt;=250,"High Usage","Very High Usage")))</f>
        <v>#REF!</v>
      </c>
      <c r="AE1588" t="e">
        <f>IF(#REF!&lt;=5,"Low Calls", IF(#REF!&lt;=10, "Medium Calls", "High Calls"))</f>
        <v>#REF!</v>
      </c>
      <c r="AF1588" t="e">
        <f xml:space="preserve">
IF(#REF!&gt;=4,4,0)+
IF(#REF!="yes",3,0)+
IF(#REF!="High Charges",3,0)+
IF(#REF!&gt;250,4,0)+
IF(#REF!="no",1,0)+
IF(#REF!="Heavy Domestic User",2,0)</f>
        <v>#REF!</v>
      </c>
      <c r="AG1588" t="e">
        <f>IF(#REF!&gt;=10,"High Risk", IF(#REF!&gt;=5,"Medium Risk","Low Risk"))</f>
        <v>#REF!</v>
      </c>
      <c r="AH1588" t="e">
        <f>#REF! + #REF! + #REF! + #REF!</f>
        <v>#REF!</v>
      </c>
    </row>
    <row r="1589" spans="1:34" x14ac:dyDescent="0.35">
      <c r="A1589">
        <v>1588</v>
      </c>
      <c r="B1589" t="s">
        <v>74</v>
      </c>
      <c r="C1589">
        <v>56</v>
      </c>
      <c r="D1589" t="s">
        <v>21</v>
      </c>
      <c r="E1589" t="s">
        <v>22</v>
      </c>
      <c r="F1589" t="s">
        <v>22</v>
      </c>
      <c r="G1589">
        <v>0</v>
      </c>
      <c r="H1589">
        <v>162.30000000000001</v>
      </c>
      <c r="I1589">
        <v>99</v>
      </c>
      <c r="J1589">
        <v>27.59</v>
      </c>
      <c r="K1589">
        <v>149.1</v>
      </c>
      <c r="L1589">
        <v>78</v>
      </c>
      <c r="M1589">
        <v>12.67</v>
      </c>
      <c r="N1589">
        <v>255.5</v>
      </c>
      <c r="O1589">
        <v>115</v>
      </c>
      <c r="P1589">
        <v>11.5</v>
      </c>
      <c r="Q1589">
        <v>14.8</v>
      </c>
      <c r="R1589">
        <v>1</v>
      </c>
      <c r="S1589">
        <v>4</v>
      </c>
      <c r="T1589">
        <v>4</v>
      </c>
      <c r="U1589" t="s">
        <v>23</v>
      </c>
      <c r="V1589" t="e">
        <f>IF(#REF! = "yes", 1, 0)</f>
        <v>#REF!</v>
      </c>
      <c r="W1589" t="e">
        <f>IF(#REF! &lt;= 1, "0-1 Calls", IF(#REF! &lt;= 3, "2-3 Calls", IF(#REF! &lt;=5, "4-5 Calls", "6+ Calls")))</f>
        <v>#REF!</v>
      </c>
      <c r="X1589" t="e">
        <f>IF(#REF! &lt;= 50, "0-50", IF(#REF! &lt;=100, "51-100", IF(#REF! &lt;= 150, "101-150", "151+")))</f>
        <v>#REF!</v>
      </c>
      <c r="Y1589" t="e">
        <f>IF(#REF! &lt;= 3, "Low Charges", "High Charges")</f>
        <v>#REF!</v>
      </c>
      <c r="Z1589" t="e">
        <f>IF(#REF!&lt;=80,"Low Calls",
IF(#REF!&lt;=120,"Medium Calls","High Calls"))</f>
        <v>#REF!</v>
      </c>
      <c r="AA1589" t="e">
        <f>IF(#REF!&lt;=15,"Low Charges",
IF(#REF!&lt;=20,"Medium Charges","High Charges"))</f>
        <v>#REF!</v>
      </c>
      <c r="AB1589" t="e">
        <f>IF(AND(#REF!&gt;180, #REF!&gt;200), "Heavy Doemstic User", IF(#REF!&gt;10, "Interntional User", IF(AND(#REF!&lt;180, #REF!&lt;200,#REF!&lt;200), "Light User", "Balanced User")))</f>
        <v>#REF!</v>
      </c>
      <c r="AC1589" t="e">
        <f>IF(#REF! = 0, "No Usage", IF(#REF! &lt;= 20, "Low Usage", IF(#REF! &lt;= 40, "Medium Usgae", "High Usage")))</f>
        <v>#REF!</v>
      </c>
      <c r="AD1589" t="e">
        <f>IF(#REF!&lt;=150,"Low Usage", IF(#REF!&lt;=200,"Medium Usage", IF(#REF!&lt;=250,"High Usage","Very High Usage")))</f>
        <v>#REF!</v>
      </c>
      <c r="AE1589" t="e">
        <f>IF(#REF!&lt;=5,"Low Calls", IF(#REF!&lt;=10, "Medium Calls", "High Calls"))</f>
        <v>#REF!</v>
      </c>
      <c r="AF1589" t="e">
        <f xml:space="preserve">
IF(#REF!&gt;=4,4,0)+
IF(#REF!="yes",3,0)+
IF(#REF!="High Charges",3,0)+
IF(#REF!&gt;250,4,0)+
IF(#REF!="no",1,0)+
IF(#REF!="Heavy Domestic User",2,0)</f>
        <v>#REF!</v>
      </c>
      <c r="AG1589" t="e">
        <f>IF(#REF!&gt;=10,"High Risk", IF(#REF!&gt;=5,"Medium Risk","Low Risk"))</f>
        <v>#REF!</v>
      </c>
      <c r="AH1589" t="e">
        <f>#REF! + #REF! + #REF! + #REF!</f>
        <v>#REF!</v>
      </c>
    </row>
    <row r="1590" spans="1:34" x14ac:dyDescent="0.35">
      <c r="A1590">
        <v>1589</v>
      </c>
      <c r="B1590" t="s">
        <v>69</v>
      </c>
      <c r="C1590">
        <v>76</v>
      </c>
      <c r="D1590" t="s">
        <v>21</v>
      </c>
      <c r="E1590" t="s">
        <v>22</v>
      </c>
      <c r="F1590" t="s">
        <v>22</v>
      </c>
      <c r="G1590">
        <v>0</v>
      </c>
      <c r="H1590">
        <v>272.7</v>
      </c>
      <c r="I1590">
        <v>97</v>
      </c>
      <c r="J1590">
        <v>46.36</v>
      </c>
      <c r="K1590">
        <v>236.4</v>
      </c>
      <c r="L1590">
        <v>95</v>
      </c>
      <c r="M1590">
        <v>20.09</v>
      </c>
      <c r="N1590">
        <v>235.5</v>
      </c>
      <c r="O1590">
        <v>105</v>
      </c>
      <c r="P1590">
        <v>10.6</v>
      </c>
      <c r="Q1590">
        <v>7.7</v>
      </c>
      <c r="R1590">
        <v>2</v>
      </c>
      <c r="S1590">
        <v>2.08</v>
      </c>
      <c r="T1590">
        <v>0</v>
      </c>
      <c r="U1590" t="s">
        <v>23</v>
      </c>
      <c r="V1590" t="e">
        <f>IF(#REF! = "yes", 1, 0)</f>
        <v>#REF!</v>
      </c>
      <c r="W1590" t="e">
        <f>IF(#REF! &lt;= 1, "0-1 Calls", IF(#REF! &lt;= 3, "2-3 Calls", IF(#REF! &lt;=5, "4-5 Calls", "6+ Calls")))</f>
        <v>#REF!</v>
      </c>
      <c r="X1590" t="e">
        <f>IF(#REF! &lt;= 50, "0-50", IF(#REF! &lt;=100, "51-100", IF(#REF! &lt;= 150, "101-150", "151+")))</f>
        <v>#REF!</v>
      </c>
      <c r="Y1590" t="e">
        <f>IF(#REF! &lt;= 3, "Low Charges", "High Charges")</f>
        <v>#REF!</v>
      </c>
      <c r="Z1590" t="e">
        <f>IF(#REF!&lt;=80,"Low Calls",
IF(#REF!&lt;=120,"Medium Calls","High Calls"))</f>
        <v>#REF!</v>
      </c>
      <c r="AA1590" t="e">
        <f>IF(#REF!&lt;=15,"Low Charges",
IF(#REF!&lt;=20,"Medium Charges","High Charges"))</f>
        <v>#REF!</v>
      </c>
      <c r="AB1590" t="e">
        <f>IF(AND(#REF!&gt;180, #REF!&gt;200), "Heavy Doemstic User", IF(#REF!&gt;10, "Interntional User", IF(AND(#REF!&lt;180, #REF!&lt;200,#REF!&lt;200), "Light User", "Balanced User")))</f>
        <v>#REF!</v>
      </c>
      <c r="AC1590" t="e">
        <f>IF(#REF! = 0, "No Usage", IF(#REF! &lt;= 20, "Low Usage", IF(#REF! &lt;= 40, "Medium Usgae", "High Usage")))</f>
        <v>#REF!</v>
      </c>
      <c r="AD1590" t="e">
        <f>IF(#REF!&lt;=150,"Low Usage", IF(#REF!&lt;=200,"Medium Usage", IF(#REF!&lt;=250,"High Usage","Very High Usage")))</f>
        <v>#REF!</v>
      </c>
      <c r="AE1590" t="e">
        <f>IF(#REF!&lt;=5,"Low Calls", IF(#REF!&lt;=10, "Medium Calls", "High Calls"))</f>
        <v>#REF!</v>
      </c>
      <c r="AF1590" t="e">
        <f xml:space="preserve">
IF(#REF!&gt;=4,4,0)+
IF(#REF!="yes",3,0)+
IF(#REF!="High Charges",3,0)+
IF(#REF!&gt;250,4,0)+
IF(#REF!="no",1,0)+
IF(#REF!="Heavy Domestic User",2,0)</f>
        <v>#REF!</v>
      </c>
      <c r="AG1590" t="e">
        <f>IF(#REF!&gt;=10,"High Risk", IF(#REF!&gt;=5,"Medium Risk","Low Risk"))</f>
        <v>#REF!</v>
      </c>
      <c r="AH1590" t="e">
        <f>#REF! + #REF! + #REF! + #REF!</f>
        <v>#REF!</v>
      </c>
    </row>
    <row r="1591" spans="1:34" x14ac:dyDescent="0.35">
      <c r="A1591">
        <v>1590</v>
      </c>
      <c r="B1591" t="s">
        <v>45</v>
      </c>
      <c r="C1591">
        <v>132</v>
      </c>
      <c r="D1591" t="s">
        <v>25</v>
      </c>
      <c r="E1591" t="s">
        <v>23</v>
      </c>
      <c r="F1591" t="s">
        <v>23</v>
      </c>
      <c r="G1591">
        <v>33</v>
      </c>
      <c r="H1591">
        <v>200.3</v>
      </c>
      <c r="I1591">
        <v>75</v>
      </c>
      <c r="J1591">
        <v>34.049999999999997</v>
      </c>
      <c r="K1591">
        <v>226.6</v>
      </c>
      <c r="L1591">
        <v>67</v>
      </c>
      <c r="M1591">
        <v>19.260000000000002</v>
      </c>
      <c r="N1591">
        <v>198.8</v>
      </c>
      <c r="O1591">
        <v>91</v>
      </c>
      <c r="P1591">
        <v>8.9499999999999993</v>
      </c>
      <c r="Q1591">
        <v>12.9</v>
      </c>
      <c r="R1591">
        <v>3</v>
      </c>
      <c r="S1591">
        <v>3.48</v>
      </c>
      <c r="T1591">
        <v>2</v>
      </c>
      <c r="U1591" t="s">
        <v>22</v>
      </c>
      <c r="V1591" t="e">
        <f>IF(#REF! = "yes", 1, 0)</f>
        <v>#REF!</v>
      </c>
      <c r="W1591" t="e">
        <f>IF(#REF! &lt;= 1, "0-1 Calls", IF(#REF! &lt;= 3, "2-3 Calls", IF(#REF! &lt;=5, "4-5 Calls", "6+ Calls")))</f>
        <v>#REF!</v>
      </c>
      <c r="X1591" t="e">
        <f>IF(#REF! &lt;= 50, "0-50", IF(#REF! &lt;=100, "51-100", IF(#REF! &lt;= 150, "101-150", "151+")))</f>
        <v>#REF!</v>
      </c>
      <c r="Y1591" t="e">
        <f>IF(#REF! &lt;= 3, "Low Charges", "High Charges")</f>
        <v>#REF!</v>
      </c>
      <c r="Z1591" t="e">
        <f>IF(#REF!&lt;=80,"Low Calls",
IF(#REF!&lt;=120,"Medium Calls","High Calls"))</f>
        <v>#REF!</v>
      </c>
      <c r="AA1591" t="e">
        <f>IF(#REF!&lt;=15,"Low Charges",
IF(#REF!&lt;=20,"Medium Charges","High Charges"))</f>
        <v>#REF!</v>
      </c>
      <c r="AB1591" t="e">
        <f>IF(AND(#REF!&gt;180, #REF!&gt;200), "Heavy Doemstic User", IF(#REF!&gt;10, "Interntional User", IF(AND(#REF!&lt;180, #REF!&lt;200,#REF!&lt;200), "Light User", "Balanced User")))</f>
        <v>#REF!</v>
      </c>
      <c r="AC1591" t="e">
        <f>IF(#REF! = 0, "No Usage", IF(#REF! &lt;= 20, "Low Usage", IF(#REF! &lt;= 40, "Medium Usgae", "High Usage")))</f>
        <v>#REF!</v>
      </c>
      <c r="AD1591" t="e">
        <f>IF(#REF!&lt;=150,"Low Usage", IF(#REF!&lt;=200,"Medium Usage", IF(#REF!&lt;=250,"High Usage","Very High Usage")))</f>
        <v>#REF!</v>
      </c>
      <c r="AE1591" t="e">
        <f>IF(#REF!&lt;=5,"Low Calls", IF(#REF!&lt;=10, "Medium Calls", "High Calls"))</f>
        <v>#REF!</v>
      </c>
      <c r="AF1591" t="e">
        <f xml:space="preserve">
IF(#REF!&gt;=4,4,0)+
IF(#REF!="yes",3,0)+
IF(#REF!="High Charges",3,0)+
IF(#REF!&gt;250,4,0)+
IF(#REF!="no",1,0)+
IF(#REF!="Heavy Domestic User",2,0)</f>
        <v>#REF!</v>
      </c>
      <c r="AG1591" t="e">
        <f>IF(#REF!&gt;=10,"High Risk", IF(#REF!&gt;=5,"Medium Risk","Low Risk"))</f>
        <v>#REF!</v>
      </c>
      <c r="AH1591" t="e">
        <f>#REF! + #REF! + #REF! + #REF!</f>
        <v>#REF!</v>
      </c>
    </row>
    <row r="1592" spans="1:34" x14ac:dyDescent="0.35">
      <c r="A1592">
        <v>1591</v>
      </c>
      <c r="B1592" t="s">
        <v>43</v>
      </c>
      <c r="C1592">
        <v>140</v>
      </c>
      <c r="D1592" t="s">
        <v>28</v>
      </c>
      <c r="E1592" t="s">
        <v>22</v>
      </c>
      <c r="F1592" t="s">
        <v>23</v>
      </c>
      <c r="G1592">
        <v>28</v>
      </c>
      <c r="H1592">
        <v>157.1</v>
      </c>
      <c r="I1592">
        <v>77</v>
      </c>
      <c r="J1592">
        <v>26.71</v>
      </c>
      <c r="K1592">
        <v>172.4</v>
      </c>
      <c r="L1592">
        <v>97</v>
      </c>
      <c r="M1592">
        <v>14.65</v>
      </c>
      <c r="N1592">
        <v>184.5</v>
      </c>
      <c r="O1592">
        <v>94</v>
      </c>
      <c r="P1592">
        <v>8.3000000000000007</v>
      </c>
      <c r="Q1592">
        <v>11.1</v>
      </c>
      <c r="R1592">
        <v>9</v>
      </c>
      <c r="S1592">
        <v>3</v>
      </c>
      <c r="T1592">
        <v>1</v>
      </c>
      <c r="U1592" t="s">
        <v>22</v>
      </c>
      <c r="V1592" t="e">
        <f>IF(#REF! = "yes", 1, 0)</f>
        <v>#REF!</v>
      </c>
      <c r="W1592" t="e">
        <f>IF(#REF! &lt;= 1, "0-1 Calls", IF(#REF! &lt;= 3, "2-3 Calls", IF(#REF! &lt;=5, "4-5 Calls", "6+ Calls")))</f>
        <v>#REF!</v>
      </c>
      <c r="X1592" t="e">
        <f>IF(#REF! &lt;= 50, "0-50", IF(#REF! &lt;=100, "51-100", IF(#REF! &lt;= 150, "101-150", "151+")))</f>
        <v>#REF!</v>
      </c>
      <c r="Y1592" t="e">
        <f>IF(#REF! &lt;= 3, "Low Charges", "High Charges")</f>
        <v>#REF!</v>
      </c>
      <c r="Z1592" t="e">
        <f>IF(#REF!&lt;=80,"Low Calls",
IF(#REF!&lt;=120,"Medium Calls","High Calls"))</f>
        <v>#REF!</v>
      </c>
      <c r="AA1592" t="e">
        <f>IF(#REF!&lt;=15,"Low Charges",
IF(#REF!&lt;=20,"Medium Charges","High Charges"))</f>
        <v>#REF!</v>
      </c>
      <c r="AB1592" t="e">
        <f>IF(AND(#REF!&gt;180, #REF!&gt;200), "Heavy Doemstic User", IF(#REF!&gt;10, "Interntional User", IF(AND(#REF!&lt;180, #REF!&lt;200,#REF!&lt;200), "Light User", "Balanced User")))</f>
        <v>#REF!</v>
      </c>
      <c r="AC1592" t="e">
        <f>IF(#REF! = 0, "No Usage", IF(#REF! &lt;= 20, "Low Usage", IF(#REF! &lt;= 40, "Medium Usgae", "High Usage")))</f>
        <v>#REF!</v>
      </c>
      <c r="AD1592" t="e">
        <f>IF(#REF!&lt;=150,"Low Usage", IF(#REF!&lt;=200,"Medium Usage", IF(#REF!&lt;=250,"High Usage","Very High Usage")))</f>
        <v>#REF!</v>
      </c>
      <c r="AE1592" t="e">
        <f>IF(#REF!&lt;=5,"Low Calls", IF(#REF!&lt;=10, "Medium Calls", "High Calls"))</f>
        <v>#REF!</v>
      </c>
      <c r="AF1592" t="e">
        <f xml:space="preserve">
IF(#REF!&gt;=4,4,0)+
IF(#REF!="yes",3,0)+
IF(#REF!="High Charges",3,0)+
IF(#REF!&gt;250,4,0)+
IF(#REF!="no",1,0)+
IF(#REF!="Heavy Domestic User",2,0)</f>
        <v>#REF!</v>
      </c>
      <c r="AG1592" t="e">
        <f>IF(#REF!&gt;=10,"High Risk", IF(#REF!&gt;=5,"Medium Risk","Low Risk"))</f>
        <v>#REF!</v>
      </c>
      <c r="AH1592" t="e">
        <f>#REF! + #REF! + #REF! + #REF!</f>
        <v>#REF!</v>
      </c>
    </row>
    <row r="1593" spans="1:34" x14ac:dyDescent="0.35">
      <c r="A1593">
        <v>1592</v>
      </c>
      <c r="B1593" t="s">
        <v>47</v>
      </c>
      <c r="C1593">
        <v>51</v>
      </c>
      <c r="D1593" t="s">
        <v>28</v>
      </c>
      <c r="E1593" t="s">
        <v>23</v>
      </c>
      <c r="F1593" t="s">
        <v>23</v>
      </c>
      <c r="G1593">
        <v>12</v>
      </c>
      <c r="H1593">
        <v>135.80000000000001</v>
      </c>
      <c r="I1593">
        <v>60</v>
      </c>
      <c r="J1593">
        <v>23.09</v>
      </c>
      <c r="K1593">
        <v>200.6</v>
      </c>
      <c r="L1593">
        <v>134</v>
      </c>
      <c r="M1593">
        <v>17.05</v>
      </c>
      <c r="N1593">
        <v>192.4</v>
      </c>
      <c r="O1593">
        <v>98</v>
      </c>
      <c r="P1593">
        <v>8.66</v>
      </c>
      <c r="Q1593">
        <v>12.3</v>
      </c>
      <c r="R1593">
        <v>7</v>
      </c>
      <c r="S1593">
        <v>3.32</v>
      </c>
      <c r="T1593">
        <v>2</v>
      </c>
      <c r="U1593" t="s">
        <v>22</v>
      </c>
      <c r="V1593" t="e">
        <f>IF(#REF! = "yes", 1, 0)</f>
        <v>#REF!</v>
      </c>
      <c r="W1593" t="e">
        <f>IF(#REF! &lt;= 1, "0-1 Calls", IF(#REF! &lt;= 3, "2-3 Calls", IF(#REF! &lt;=5, "4-5 Calls", "6+ Calls")))</f>
        <v>#REF!</v>
      </c>
      <c r="X1593" t="e">
        <f>IF(#REF! &lt;= 50, "0-50", IF(#REF! &lt;=100, "51-100", IF(#REF! &lt;= 150, "101-150", "151+")))</f>
        <v>#REF!</v>
      </c>
      <c r="Y1593" t="e">
        <f>IF(#REF! &lt;= 3, "Low Charges", "High Charges")</f>
        <v>#REF!</v>
      </c>
      <c r="Z1593" t="e">
        <f>IF(#REF!&lt;=80,"Low Calls",
IF(#REF!&lt;=120,"Medium Calls","High Calls"))</f>
        <v>#REF!</v>
      </c>
      <c r="AA1593" t="e">
        <f>IF(#REF!&lt;=15,"Low Charges",
IF(#REF!&lt;=20,"Medium Charges","High Charges"))</f>
        <v>#REF!</v>
      </c>
      <c r="AB1593" t="e">
        <f>IF(AND(#REF!&gt;180, #REF!&gt;200), "Heavy Doemstic User", IF(#REF!&gt;10, "Interntional User", IF(AND(#REF!&lt;180, #REF!&lt;200,#REF!&lt;200), "Light User", "Balanced User")))</f>
        <v>#REF!</v>
      </c>
      <c r="AC1593" t="e">
        <f>IF(#REF! = 0, "No Usage", IF(#REF! &lt;= 20, "Low Usage", IF(#REF! &lt;= 40, "Medium Usgae", "High Usage")))</f>
        <v>#REF!</v>
      </c>
      <c r="AD1593" t="e">
        <f>IF(#REF!&lt;=150,"Low Usage", IF(#REF!&lt;=200,"Medium Usage", IF(#REF!&lt;=250,"High Usage","Very High Usage")))</f>
        <v>#REF!</v>
      </c>
      <c r="AE1593" t="e">
        <f>IF(#REF!&lt;=5,"Low Calls", IF(#REF!&lt;=10, "Medium Calls", "High Calls"))</f>
        <v>#REF!</v>
      </c>
      <c r="AF1593" t="e">
        <f xml:space="preserve">
IF(#REF!&gt;=4,4,0)+
IF(#REF!="yes",3,0)+
IF(#REF!="High Charges",3,0)+
IF(#REF!&gt;250,4,0)+
IF(#REF!="no",1,0)+
IF(#REF!="Heavy Domestic User",2,0)</f>
        <v>#REF!</v>
      </c>
      <c r="AG1593" t="e">
        <f>IF(#REF!&gt;=10,"High Risk", IF(#REF!&gt;=5,"Medium Risk","Low Risk"))</f>
        <v>#REF!</v>
      </c>
      <c r="AH1593" t="e">
        <f>#REF! + #REF! + #REF! + #REF!</f>
        <v>#REF!</v>
      </c>
    </row>
    <row r="1594" spans="1:34" x14ac:dyDescent="0.35">
      <c r="A1594">
        <v>1593</v>
      </c>
      <c r="B1594" t="s">
        <v>57</v>
      </c>
      <c r="C1594">
        <v>27</v>
      </c>
      <c r="D1594" t="s">
        <v>25</v>
      </c>
      <c r="E1594" t="s">
        <v>22</v>
      </c>
      <c r="F1594" t="s">
        <v>22</v>
      </c>
      <c r="G1594">
        <v>0</v>
      </c>
      <c r="H1594">
        <v>236.7</v>
      </c>
      <c r="I1594">
        <v>110</v>
      </c>
      <c r="J1594">
        <v>40.24</v>
      </c>
      <c r="K1594">
        <v>231.9</v>
      </c>
      <c r="L1594">
        <v>92</v>
      </c>
      <c r="M1594">
        <v>19.71</v>
      </c>
      <c r="N1594">
        <v>164.7</v>
      </c>
      <c r="O1594">
        <v>85</v>
      </c>
      <c r="P1594">
        <v>7.41</v>
      </c>
      <c r="Q1594">
        <v>12.7</v>
      </c>
      <c r="R1594">
        <v>6</v>
      </c>
      <c r="S1594">
        <v>3.43</v>
      </c>
      <c r="T1594">
        <v>1</v>
      </c>
      <c r="U1594" t="s">
        <v>22</v>
      </c>
      <c r="V1594" t="e">
        <f>IF(#REF! = "yes", 1, 0)</f>
        <v>#REF!</v>
      </c>
      <c r="W1594" t="e">
        <f>IF(#REF! &lt;= 1, "0-1 Calls", IF(#REF! &lt;= 3, "2-3 Calls", IF(#REF! &lt;=5, "4-5 Calls", "6+ Calls")))</f>
        <v>#REF!</v>
      </c>
      <c r="X1594" t="e">
        <f>IF(#REF! &lt;= 50, "0-50", IF(#REF! &lt;=100, "51-100", IF(#REF! &lt;= 150, "101-150", "151+")))</f>
        <v>#REF!</v>
      </c>
      <c r="Y1594" t="e">
        <f>IF(#REF! &lt;= 3, "Low Charges", "High Charges")</f>
        <v>#REF!</v>
      </c>
      <c r="Z1594" t="e">
        <f>IF(#REF!&lt;=80,"Low Calls",
IF(#REF!&lt;=120,"Medium Calls","High Calls"))</f>
        <v>#REF!</v>
      </c>
      <c r="AA1594" t="e">
        <f>IF(#REF!&lt;=15,"Low Charges",
IF(#REF!&lt;=20,"Medium Charges","High Charges"))</f>
        <v>#REF!</v>
      </c>
      <c r="AB1594" t="e">
        <f>IF(AND(#REF!&gt;180, #REF!&gt;200), "Heavy Doemstic User", IF(#REF!&gt;10, "Interntional User", IF(AND(#REF!&lt;180, #REF!&lt;200,#REF!&lt;200), "Light User", "Balanced User")))</f>
        <v>#REF!</v>
      </c>
      <c r="AC1594" t="e">
        <f>IF(#REF! = 0, "No Usage", IF(#REF! &lt;= 20, "Low Usage", IF(#REF! &lt;= 40, "Medium Usgae", "High Usage")))</f>
        <v>#REF!</v>
      </c>
      <c r="AD1594" t="e">
        <f>IF(#REF!&lt;=150,"Low Usage", IF(#REF!&lt;=200,"Medium Usage", IF(#REF!&lt;=250,"High Usage","Very High Usage")))</f>
        <v>#REF!</v>
      </c>
      <c r="AE1594" t="e">
        <f>IF(#REF!&lt;=5,"Low Calls", IF(#REF!&lt;=10, "Medium Calls", "High Calls"))</f>
        <v>#REF!</v>
      </c>
      <c r="AF1594" t="e">
        <f xml:space="preserve">
IF(#REF!&gt;=4,4,0)+
IF(#REF!="yes",3,0)+
IF(#REF!="High Charges",3,0)+
IF(#REF!&gt;250,4,0)+
IF(#REF!="no",1,0)+
IF(#REF!="Heavy Domestic User",2,0)</f>
        <v>#REF!</v>
      </c>
      <c r="AG1594" t="e">
        <f>IF(#REF!&gt;=10,"High Risk", IF(#REF!&gt;=5,"Medium Risk","Low Risk"))</f>
        <v>#REF!</v>
      </c>
      <c r="AH1594" t="e">
        <f>#REF! + #REF! + #REF! + #REF!</f>
        <v>#REF!</v>
      </c>
    </row>
    <row r="1595" spans="1:34" x14ac:dyDescent="0.35">
      <c r="A1595">
        <v>1594</v>
      </c>
      <c r="B1595" t="s">
        <v>37</v>
      </c>
      <c r="C1595">
        <v>224</v>
      </c>
      <c r="D1595" t="s">
        <v>28</v>
      </c>
      <c r="E1595" t="s">
        <v>22</v>
      </c>
      <c r="F1595" t="s">
        <v>22</v>
      </c>
      <c r="G1595">
        <v>0</v>
      </c>
      <c r="H1595">
        <v>111.4</v>
      </c>
      <c r="I1595">
        <v>133</v>
      </c>
      <c r="J1595">
        <v>18.940000000000001</v>
      </c>
      <c r="K1595">
        <v>175</v>
      </c>
      <c r="L1595">
        <v>66</v>
      </c>
      <c r="M1595">
        <v>14.88</v>
      </c>
      <c r="N1595">
        <v>217.2</v>
      </c>
      <c r="O1595">
        <v>106</v>
      </c>
      <c r="P1595">
        <v>9.77</v>
      </c>
      <c r="Q1595">
        <v>5.5</v>
      </c>
      <c r="R1595">
        <v>6</v>
      </c>
      <c r="S1595">
        <v>1.49</v>
      </c>
      <c r="T1595">
        <v>3</v>
      </c>
      <c r="U1595" t="s">
        <v>22</v>
      </c>
      <c r="V1595" t="e">
        <f>IF(#REF! = "yes", 1, 0)</f>
        <v>#REF!</v>
      </c>
      <c r="W1595" t="e">
        <f>IF(#REF! &lt;= 1, "0-1 Calls", IF(#REF! &lt;= 3, "2-3 Calls", IF(#REF! &lt;=5, "4-5 Calls", "6+ Calls")))</f>
        <v>#REF!</v>
      </c>
      <c r="X1595" t="e">
        <f>IF(#REF! &lt;= 50, "0-50", IF(#REF! &lt;=100, "51-100", IF(#REF! &lt;= 150, "101-150", "151+")))</f>
        <v>#REF!</v>
      </c>
      <c r="Y1595" t="e">
        <f>IF(#REF! &lt;= 3, "Low Charges", "High Charges")</f>
        <v>#REF!</v>
      </c>
      <c r="Z1595" t="e">
        <f>IF(#REF!&lt;=80,"Low Calls",
IF(#REF!&lt;=120,"Medium Calls","High Calls"))</f>
        <v>#REF!</v>
      </c>
      <c r="AA1595" t="e">
        <f>IF(#REF!&lt;=15,"Low Charges",
IF(#REF!&lt;=20,"Medium Charges","High Charges"))</f>
        <v>#REF!</v>
      </c>
      <c r="AB1595" t="e">
        <f>IF(AND(#REF!&gt;180, #REF!&gt;200), "Heavy Doemstic User", IF(#REF!&gt;10, "Interntional User", IF(AND(#REF!&lt;180, #REF!&lt;200,#REF!&lt;200), "Light User", "Balanced User")))</f>
        <v>#REF!</v>
      </c>
      <c r="AC1595" t="e">
        <f>IF(#REF! = 0, "No Usage", IF(#REF! &lt;= 20, "Low Usage", IF(#REF! &lt;= 40, "Medium Usgae", "High Usage")))</f>
        <v>#REF!</v>
      </c>
      <c r="AD1595" t="e">
        <f>IF(#REF!&lt;=150,"Low Usage", IF(#REF!&lt;=200,"Medium Usage", IF(#REF!&lt;=250,"High Usage","Very High Usage")))</f>
        <v>#REF!</v>
      </c>
      <c r="AE1595" t="e">
        <f>IF(#REF!&lt;=5,"Low Calls", IF(#REF!&lt;=10, "Medium Calls", "High Calls"))</f>
        <v>#REF!</v>
      </c>
      <c r="AF1595" t="e">
        <f xml:space="preserve">
IF(#REF!&gt;=4,4,0)+
IF(#REF!="yes",3,0)+
IF(#REF!="High Charges",3,0)+
IF(#REF!&gt;250,4,0)+
IF(#REF!="no",1,0)+
IF(#REF!="Heavy Domestic User",2,0)</f>
        <v>#REF!</v>
      </c>
      <c r="AG1595" t="e">
        <f>IF(#REF!&gt;=10,"High Risk", IF(#REF!&gt;=5,"Medium Risk","Low Risk"))</f>
        <v>#REF!</v>
      </c>
      <c r="AH1595" t="e">
        <f>#REF! + #REF! + #REF! + #REF!</f>
        <v>#REF!</v>
      </c>
    </row>
    <row r="1596" spans="1:34" x14ac:dyDescent="0.35">
      <c r="A1596">
        <v>1595</v>
      </c>
      <c r="B1596" t="s">
        <v>26</v>
      </c>
      <c r="C1596">
        <v>105</v>
      </c>
      <c r="D1596" t="s">
        <v>28</v>
      </c>
      <c r="E1596" t="s">
        <v>23</v>
      </c>
      <c r="F1596" t="s">
        <v>23</v>
      </c>
      <c r="G1596">
        <v>28</v>
      </c>
      <c r="H1596">
        <v>156.1</v>
      </c>
      <c r="I1596">
        <v>89</v>
      </c>
      <c r="J1596">
        <v>26.54</v>
      </c>
      <c r="K1596">
        <v>107.1</v>
      </c>
      <c r="L1596">
        <v>114</v>
      </c>
      <c r="M1596">
        <v>9.1</v>
      </c>
      <c r="N1596">
        <v>167.7</v>
      </c>
      <c r="O1596">
        <v>95</v>
      </c>
      <c r="P1596">
        <v>7.55</v>
      </c>
      <c r="Q1596">
        <v>14.7</v>
      </c>
      <c r="R1596">
        <v>3</v>
      </c>
      <c r="S1596">
        <v>3.97</v>
      </c>
      <c r="T1596">
        <v>0</v>
      </c>
      <c r="U1596" t="s">
        <v>23</v>
      </c>
      <c r="V1596" t="e">
        <f>IF(#REF! = "yes", 1, 0)</f>
        <v>#REF!</v>
      </c>
      <c r="W1596" t="e">
        <f>IF(#REF! &lt;= 1, "0-1 Calls", IF(#REF! &lt;= 3, "2-3 Calls", IF(#REF! &lt;=5, "4-5 Calls", "6+ Calls")))</f>
        <v>#REF!</v>
      </c>
      <c r="X1596" t="e">
        <f>IF(#REF! &lt;= 50, "0-50", IF(#REF! &lt;=100, "51-100", IF(#REF! &lt;= 150, "101-150", "151+")))</f>
        <v>#REF!</v>
      </c>
      <c r="Y1596" t="e">
        <f>IF(#REF! &lt;= 3, "Low Charges", "High Charges")</f>
        <v>#REF!</v>
      </c>
      <c r="Z1596" t="e">
        <f>IF(#REF!&lt;=80,"Low Calls",
IF(#REF!&lt;=120,"Medium Calls","High Calls"))</f>
        <v>#REF!</v>
      </c>
      <c r="AA1596" t="e">
        <f>IF(#REF!&lt;=15,"Low Charges",
IF(#REF!&lt;=20,"Medium Charges","High Charges"))</f>
        <v>#REF!</v>
      </c>
      <c r="AB1596" t="e">
        <f>IF(AND(#REF!&gt;180, #REF!&gt;200), "Heavy Doemstic User", IF(#REF!&gt;10, "Interntional User", IF(AND(#REF!&lt;180, #REF!&lt;200,#REF!&lt;200), "Light User", "Balanced User")))</f>
        <v>#REF!</v>
      </c>
      <c r="AC1596" t="e">
        <f>IF(#REF! = 0, "No Usage", IF(#REF! &lt;= 20, "Low Usage", IF(#REF! &lt;= 40, "Medium Usgae", "High Usage")))</f>
        <v>#REF!</v>
      </c>
      <c r="AD1596" t="e">
        <f>IF(#REF!&lt;=150,"Low Usage", IF(#REF!&lt;=200,"Medium Usage", IF(#REF!&lt;=250,"High Usage","Very High Usage")))</f>
        <v>#REF!</v>
      </c>
      <c r="AE1596" t="e">
        <f>IF(#REF!&lt;=5,"Low Calls", IF(#REF!&lt;=10, "Medium Calls", "High Calls"))</f>
        <v>#REF!</v>
      </c>
      <c r="AF1596" t="e">
        <f xml:space="preserve">
IF(#REF!&gt;=4,4,0)+
IF(#REF!="yes",3,0)+
IF(#REF!="High Charges",3,0)+
IF(#REF!&gt;250,4,0)+
IF(#REF!="no",1,0)+
IF(#REF!="Heavy Domestic User",2,0)</f>
        <v>#REF!</v>
      </c>
      <c r="AG1596" t="e">
        <f>IF(#REF!&gt;=10,"High Risk", IF(#REF!&gt;=5,"Medium Risk","Low Risk"))</f>
        <v>#REF!</v>
      </c>
      <c r="AH1596" t="e">
        <f>#REF! + #REF! + #REF! + #REF!</f>
        <v>#REF!</v>
      </c>
    </row>
    <row r="1597" spans="1:34" x14ac:dyDescent="0.35">
      <c r="A1597">
        <v>1596</v>
      </c>
      <c r="B1597" t="s">
        <v>59</v>
      </c>
      <c r="C1597">
        <v>117</v>
      </c>
      <c r="D1597" t="s">
        <v>25</v>
      </c>
      <c r="E1597" t="s">
        <v>22</v>
      </c>
      <c r="F1597" t="s">
        <v>22</v>
      </c>
      <c r="G1597">
        <v>0</v>
      </c>
      <c r="H1597">
        <v>191.1</v>
      </c>
      <c r="I1597">
        <v>93</v>
      </c>
      <c r="J1597">
        <v>32.49</v>
      </c>
      <c r="K1597">
        <v>282.8</v>
      </c>
      <c r="L1597">
        <v>56</v>
      </c>
      <c r="M1597">
        <v>24.04</v>
      </c>
      <c r="N1597">
        <v>84.8</v>
      </c>
      <c r="O1597">
        <v>118</v>
      </c>
      <c r="P1597">
        <v>3.82</v>
      </c>
      <c r="Q1597">
        <v>12</v>
      </c>
      <c r="R1597">
        <v>4</v>
      </c>
      <c r="S1597">
        <v>3.24</v>
      </c>
      <c r="T1597">
        <v>2</v>
      </c>
      <c r="U1597" t="s">
        <v>22</v>
      </c>
      <c r="V1597" t="e">
        <f>IF(#REF! = "yes", 1, 0)</f>
        <v>#REF!</v>
      </c>
      <c r="W1597" t="e">
        <f>IF(#REF! &lt;= 1, "0-1 Calls", IF(#REF! &lt;= 3, "2-3 Calls", IF(#REF! &lt;=5, "4-5 Calls", "6+ Calls")))</f>
        <v>#REF!</v>
      </c>
      <c r="X1597" t="e">
        <f>IF(#REF! &lt;= 50, "0-50", IF(#REF! &lt;=100, "51-100", IF(#REF! &lt;= 150, "101-150", "151+")))</f>
        <v>#REF!</v>
      </c>
      <c r="Y1597" t="e">
        <f>IF(#REF! &lt;= 3, "Low Charges", "High Charges")</f>
        <v>#REF!</v>
      </c>
      <c r="Z1597" t="e">
        <f>IF(#REF!&lt;=80,"Low Calls",
IF(#REF!&lt;=120,"Medium Calls","High Calls"))</f>
        <v>#REF!</v>
      </c>
      <c r="AA1597" t="e">
        <f>IF(#REF!&lt;=15,"Low Charges",
IF(#REF!&lt;=20,"Medium Charges","High Charges"))</f>
        <v>#REF!</v>
      </c>
      <c r="AB1597" t="e">
        <f>IF(AND(#REF!&gt;180, #REF!&gt;200), "Heavy Doemstic User", IF(#REF!&gt;10, "Interntional User", IF(AND(#REF!&lt;180, #REF!&lt;200,#REF!&lt;200), "Light User", "Balanced User")))</f>
        <v>#REF!</v>
      </c>
      <c r="AC1597" t="e">
        <f>IF(#REF! = 0, "No Usage", IF(#REF! &lt;= 20, "Low Usage", IF(#REF! &lt;= 40, "Medium Usgae", "High Usage")))</f>
        <v>#REF!</v>
      </c>
      <c r="AD1597" t="e">
        <f>IF(#REF!&lt;=150,"Low Usage", IF(#REF!&lt;=200,"Medium Usage", IF(#REF!&lt;=250,"High Usage","Very High Usage")))</f>
        <v>#REF!</v>
      </c>
      <c r="AE1597" t="e">
        <f>IF(#REF!&lt;=5,"Low Calls", IF(#REF!&lt;=10, "Medium Calls", "High Calls"))</f>
        <v>#REF!</v>
      </c>
      <c r="AF1597" t="e">
        <f xml:space="preserve">
IF(#REF!&gt;=4,4,0)+
IF(#REF!="yes",3,0)+
IF(#REF!="High Charges",3,0)+
IF(#REF!&gt;250,4,0)+
IF(#REF!="no",1,0)+
IF(#REF!="Heavy Domestic User",2,0)</f>
        <v>#REF!</v>
      </c>
      <c r="AG1597" t="e">
        <f>IF(#REF!&gt;=10,"High Risk", IF(#REF!&gt;=5,"Medium Risk","Low Risk"))</f>
        <v>#REF!</v>
      </c>
      <c r="AH1597" t="e">
        <f>#REF! + #REF! + #REF! + #REF!</f>
        <v>#REF!</v>
      </c>
    </row>
    <row r="1598" spans="1:34" x14ac:dyDescent="0.35">
      <c r="A1598">
        <v>1597</v>
      </c>
      <c r="B1598" t="s">
        <v>57</v>
      </c>
      <c r="C1598">
        <v>91</v>
      </c>
      <c r="D1598" t="s">
        <v>21</v>
      </c>
      <c r="E1598" t="s">
        <v>22</v>
      </c>
      <c r="F1598" t="s">
        <v>22</v>
      </c>
      <c r="G1598">
        <v>0</v>
      </c>
      <c r="H1598">
        <v>153</v>
      </c>
      <c r="I1598">
        <v>123</v>
      </c>
      <c r="J1598">
        <v>26.01</v>
      </c>
      <c r="K1598">
        <v>141.1</v>
      </c>
      <c r="L1598">
        <v>127</v>
      </c>
      <c r="M1598">
        <v>11.99</v>
      </c>
      <c r="N1598">
        <v>171.5</v>
      </c>
      <c r="O1598">
        <v>76</v>
      </c>
      <c r="P1598">
        <v>7.72</v>
      </c>
      <c r="Q1598">
        <v>10.3</v>
      </c>
      <c r="R1598">
        <v>15</v>
      </c>
      <c r="S1598">
        <v>2.78</v>
      </c>
      <c r="T1598">
        <v>1</v>
      </c>
      <c r="U1598" t="s">
        <v>23</v>
      </c>
      <c r="V1598" t="e">
        <f>IF(#REF! = "yes", 1, 0)</f>
        <v>#REF!</v>
      </c>
      <c r="W1598" t="e">
        <f>IF(#REF! &lt;= 1, "0-1 Calls", IF(#REF! &lt;= 3, "2-3 Calls", IF(#REF! &lt;=5, "4-5 Calls", "6+ Calls")))</f>
        <v>#REF!</v>
      </c>
      <c r="X1598" t="e">
        <f>IF(#REF! &lt;= 50, "0-50", IF(#REF! &lt;=100, "51-100", IF(#REF! &lt;= 150, "101-150", "151+")))</f>
        <v>#REF!</v>
      </c>
      <c r="Y1598" t="e">
        <f>IF(#REF! &lt;= 3, "Low Charges", "High Charges")</f>
        <v>#REF!</v>
      </c>
      <c r="Z1598" t="e">
        <f>IF(#REF!&lt;=80,"Low Calls",
IF(#REF!&lt;=120,"Medium Calls","High Calls"))</f>
        <v>#REF!</v>
      </c>
      <c r="AA1598" t="e">
        <f>IF(#REF!&lt;=15,"Low Charges",
IF(#REF!&lt;=20,"Medium Charges","High Charges"))</f>
        <v>#REF!</v>
      </c>
      <c r="AB1598" t="e">
        <f>IF(AND(#REF!&gt;180, #REF!&gt;200), "Heavy Doemstic User", IF(#REF!&gt;10, "Interntional User", IF(AND(#REF!&lt;180, #REF!&lt;200,#REF!&lt;200), "Light User", "Balanced User")))</f>
        <v>#REF!</v>
      </c>
      <c r="AC1598" t="e">
        <f>IF(#REF! = 0, "No Usage", IF(#REF! &lt;= 20, "Low Usage", IF(#REF! &lt;= 40, "Medium Usgae", "High Usage")))</f>
        <v>#REF!</v>
      </c>
      <c r="AD1598" t="e">
        <f>IF(#REF!&lt;=150,"Low Usage", IF(#REF!&lt;=200,"Medium Usage", IF(#REF!&lt;=250,"High Usage","Very High Usage")))</f>
        <v>#REF!</v>
      </c>
      <c r="AE1598" t="e">
        <f>IF(#REF!&lt;=5,"Low Calls", IF(#REF!&lt;=10, "Medium Calls", "High Calls"))</f>
        <v>#REF!</v>
      </c>
      <c r="AF1598" t="e">
        <f xml:space="preserve">
IF(#REF!&gt;=4,4,0)+
IF(#REF!="yes",3,0)+
IF(#REF!="High Charges",3,0)+
IF(#REF!&gt;250,4,0)+
IF(#REF!="no",1,0)+
IF(#REF!="Heavy Domestic User",2,0)</f>
        <v>#REF!</v>
      </c>
      <c r="AG1598" t="e">
        <f>IF(#REF!&gt;=10,"High Risk", IF(#REF!&gt;=5,"Medium Risk","Low Risk"))</f>
        <v>#REF!</v>
      </c>
      <c r="AH1598" t="e">
        <f>#REF! + #REF! + #REF! + #REF!</f>
        <v>#REF!</v>
      </c>
    </row>
    <row r="1599" spans="1:34" x14ac:dyDescent="0.35">
      <c r="A1599">
        <v>1598</v>
      </c>
      <c r="B1599" t="s">
        <v>20</v>
      </c>
      <c r="C1599">
        <v>135</v>
      </c>
      <c r="D1599" t="s">
        <v>21</v>
      </c>
      <c r="E1599" t="s">
        <v>22</v>
      </c>
      <c r="F1599" t="s">
        <v>22</v>
      </c>
      <c r="G1599">
        <v>0</v>
      </c>
      <c r="H1599">
        <v>218.8</v>
      </c>
      <c r="I1599">
        <v>123</v>
      </c>
      <c r="J1599">
        <v>37.200000000000003</v>
      </c>
      <c r="K1599">
        <v>242.8</v>
      </c>
      <c r="L1599">
        <v>64</v>
      </c>
      <c r="M1599">
        <v>20.64</v>
      </c>
      <c r="N1599">
        <v>85.8</v>
      </c>
      <c r="O1599">
        <v>80</v>
      </c>
      <c r="P1599">
        <v>3.86</v>
      </c>
      <c r="Q1599">
        <v>10.3</v>
      </c>
      <c r="R1599">
        <v>3</v>
      </c>
      <c r="S1599">
        <v>2.78</v>
      </c>
      <c r="T1599">
        <v>4</v>
      </c>
      <c r="U1599" t="s">
        <v>22</v>
      </c>
      <c r="V1599" t="e">
        <f>IF(#REF! = "yes", 1, 0)</f>
        <v>#REF!</v>
      </c>
      <c r="W1599" t="e">
        <f>IF(#REF! &lt;= 1, "0-1 Calls", IF(#REF! &lt;= 3, "2-3 Calls", IF(#REF! &lt;=5, "4-5 Calls", "6+ Calls")))</f>
        <v>#REF!</v>
      </c>
      <c r="X1599" t="e">
        <f>IF(#REF! &lt;= 50, "0-50", IF(#REF! &lt;=100, "51-100", IF(#REF! &lt;= 150, "101-150", "151+")))</f>
        <v>#REF!</v>
      </c>
      <c r="Y1599" t="e">
        <f>IF(#REF! &lt;= 3, "Low Charges", "High Charges")</f>
        <v>#REF!</v>
      </c>
      <c r="Z1599" t="e">
        <f>IF(#REF!&lt;=80,"Low Calls",
IF(#REF!&lt;=120,"Medium Calls","High Calls"))</f>
        <v>#REF!</v>
      </c>
      <c r="AA1599" t="e">
        <f>IF(#REF!&lt;=15,"Low Charges",
IF(#REF!&lt;=20,"Medium Charges","High Charges"))</f>
        <v>#REF!</v>
      </c>
      <c r="AB1599" t="e">
        <f>IF(AND(#REF!&gt;180, #REF!&gt;200), "Heavy Doemstic User", IF(#REF!&gt;10, "Interntional User", IF(AND(#REF!&lt;180, #REF!&lt;200,#REF!&lt;200), "Light User", "Balanced User")))</f>
        <v>#REF!</v>
      </c>
      <c r="AC1599" t="e">
        <f>IF(#REF! = 0, "No Usage", IF(#REF! &lt;= 20, "Low Usage", IF(#REF! &lt;= 40, "Medium Usgae", "High Usage")))</f>
        <v>#REF!</v>
      </c>
      <c r="AD1599" t="e">
        <f>IF(#REF!&lt;=150,"Low Usage", IF(#REF!&lt;=200,"Medium Usage", IF(#REF!&lt;=250,"High Usage","Very High Usage")))</f>
        <v>#REF!</v>
      </c>
      <c r="AE1599" t="e">
        <f>IF(#REF!&lt;=5,"Low Calls", IF(#REF!&lt;=10, "Medium Calls", "High Calls"))</f>
        <v>#REF!</v>
      </c>
      <c r="AF1599" t="e">
        <f xml:space="preserve">
IF(#REF!&gt;=4,4,0)+
IF(#REF!="yes",3,0)+
IF(#REF!="High Charges",3,0)+
IF(#REF!&gt;250,4,0)+
IF(#REF!="no",1,0)+
IF(#REF!="Heavy Domestic User",2,0)</f>
        <v>#REF!</v>
      </c>
      <c r="AG1599" t="e">
        <f>IF(#REF!&gt;=10,"High Risk", IF(#REF!&gt;=5,"Medium Risk","Low Risk"))</f>
        <v>#REF!</v>
      </c>
      <c r="AH1599" t="e">
        <f>#REF! + #REF! + #REF! + #REF!</f>
        <v>#REF!</v>
      </c>
    </row>
    <row r="1600" spans="1:34" x14ac:dyDescent="0.35">
      <c r="A1600">
        <v>1599</v>
      </c>
      <c r="B1600" t="s">
        <v>38</v>
      </c>
      <c r="C1600">
        <v>146</v>
      </c>
      <c r="D1600" t="s">
        <v>21</v>
      </c>
      <c r="E1600" t="s">
        <v>22</v>
      </c>
      <c r="F1600" t="s">
        <v>22</v>
      </c>
      <c r="G1600">
        <v>0</v>
      </c>
      <c r="H1600">
        <v>205.4</v>
      </c>
      <c r="I1600">
        <v>101</v>
      </c>
      <c r="J1600">
        <v>34.92</v>
      </c>
      <c r="K1600">
        <v>134.9</v>
      </c>
      <c r="L1600">
        <v>77</v>
      </c>
      <c r="M1600">
        <v>11.47</v>
      </c>
      <c r="N1600">
        <v>310.5</v>
      </c>
      <c r="O1600">
        <v>83</v>
      </c>
      <c r="P1600">
        <v>13.97</v>
      </c>
      <c r="Q1600">
        <v>10.3</v>
      </c>
      <c r="R1600">
        <v>2</v>
      </c>
      <c r="S1600">
        <v>2.78</v>
      </c>
      <c r="T1600">
        <v>3</v>
      </c>
      <c r="U1600" t="s">
        <v>22</v>
      </c>
      <c r="V1600" t="e">
        <f>IF(#REF! = "yes", 1, 0)</f>
        <v>#REF!</v>
      </c>
      <c r="W1600" t="e">
        <f>IF(#REF! &lt;= 1, "0-1 Calls", IF(#REF! &lt;= 3, "2-3 Calls", IF(#REF! &lt;=5, "4-5 Calls", "6+ Calls")))</f>
        <v>#REF!</v>
      </c>
      <c r="X1600" t="e">
        <f>IF(#REF! &lt;= 50, "0-50", IF(#REF! &lt;=100, "51-100", IF(#REF! &lt;= 150, "101-150", "151+")))</f>
        <v>#REF!</v>
      </c>
      <c r="Y1600" t="e">
        <f>IF(#REF! &lt;= 3, "Low Charges", "High Charges")</f>
        <v>#REF!</v>
      </c>
      <c r="Z1600" t="e">
        <f>IF(#REF!&lt;=80,"Low Calls",
IF(#REF!&lt;=120,"Medium Calls","High Calls"))</f>
        <v>#REF!</v>
      </c>
      <c r="AA1600" t="e">
        <f>IF(#REF!&lt;=15,"Low Charges",
IF(#REF!&lt;=20,"Medium Charges","High Charges"))</f>
        <v>#REF!</v>
      </c>
      <c r="AB1600" t="e">
        <f>IF(AND(#REF!&gt;180, #REF!&gt;200), "Heavy Doemstic User", IF(#REF!&gt;10, "Interntional User", IF(AND(#REF!&lt;180, #REF!&lt;200,#REF!&lt;200), "Light User", "Balanced User")))</f>
        <v>#REF!</v>
      </c>
      <c r="AC1600" t="e">
        <f>IF(#REF! = 0, "No Usage", IF(#REF! &lt;= 20, "Low Usage", IF(#REF! &lt;= 40, "Medium Usgae", "High Usage")))</f>
        <v>#REF!</v>
      </c>
      <c r="AD1600" t="e">
        <f>IF(#REF!&lt;=150,"Low Usage", IF(#REF!&lt;=200,"Medium Usage", IF(#REF!&lt;=250,"High Usage","Very High Usage")))</f>
        <v>#REF!</v>
      </c>
      <c r="AE1600" t="e">
        <f>IF(#REF!&lt;=5,"Low Calls", IF(#REF!&lt;=10, "Medium Calls", "High Calls"))</f>
        <v>#REF!</v>
      </c>
      <c r="AF1600" t="e">
        <f xml:space="preserve">
IF(#REF!&gt;=4,4,0)+
IF(#REF!="yes",3,0)+
IF(#REF!="High Charges",3,0)+
IF(#REF!&gt;250,4,0)+
IF(#REF!="no",1,0)+
IF(#REF!="Heavy Domestic User",2,0)</f>
        <v>#REF!</v>
      </c>
      <c r="AG1600" t="e">
        <f>IF(#REF!&gt;=10,"High Risk", IF(#REF!&gt;=5,"Medium Risk","Low Risk"))</f>
        <v>#REF!</v>
      </c>
      <c r="AH1600" t="e">
        <f>#REF! + #REF! + #REF! + #REF!</f>
        <v>#REF!</v>
      </c>
    </row>
    <row r="1601" spans="1:34" x14ac:dyDescent="0.35">
      <c r="A1601">
        <v>1600</v>
      </c>
      <c r="B1601" t="s">
        <v>51</v>
      </c>
      <c r="C1601">
        <v>147</v>
      </c>
      <c r="D1601" t="s">
        <v>21</v>
      </c>
      <c r="E1601" t="s">
        <v>23</v>
      </c>
      <c r="F1601" t="s">
        <v>22</v>
      </c>
      <c r="G1601">
        <v>0</v>
      </c>
      <c r="H1601">
        <v>225.2</v>
      </c>
      <c r="I1601">
        <v>111</v>
      </c>
      <c r="J1601">
        <v>38.28</v>
      </c>
      <c r="K1601">
        <v>184.9</v>
      </c>
      <c r="L1601">
        <v>98</v>
      </c>
      <c r="M1601">
        <v>15.72</v>
      </c>
      <c r="N1601">
        <v>143.19999999999999</v>
      </c>
      <c r="O1601">
        <v>146</v>
      </c>
      <c r="P1601">
        <v>6.44</v>
      </c>
      <c r="Q1601">
        <v>9.9</v>
      </c>
      <c r="R1601">
        <v>1</v>
      </c>
      <c r="S1601">
        <v>2.67</v>
      </c>
      <c r="T1601">
        <v>0</v>
      </c>
      <c r="U1601" t="s">
        <v>23</v>
      </c>
      <c r="V1601" t="e">
        <f>IF(#REF! = "yes", 1, 0)</f>
        <v>#REF!</v>
      </c>
      <c r="W1601" t="e">
        <f>IF(#REF! &lt;= 1, "0-1 Calls", IF(#REF! &lt;= 3, "2-3 Calls", IF(#REF! &lt;=5, "4-5 Calls", "6+ Calls")))</f>
        <v>#REF!</v>
      </c>
      <c r="X1601" t="e">
        <f>IF(#REF! &lt;= 50, "0-50", IF(#REF! &lt;=100, "51-100", IF(#REF! &lt;= 150, "101-150", "151+")))</f>
        <v>#REF!</v>
      </c>
      <c r="Y1601" t="e">
        <f>IF(#REF! &lt;= 3, "Low Charges", "High Charges")</f>
        <v>#REF!</v>
      </c>
      <c r="Z1601" t="e">
        <f>IF(#REF!&lt;=80,"Low Calls",
IF(#REF!&lt;=120,"Medium Calls","High Calls"))</f>
        <v>#REF!</v>
      </c>
      <c r="AA1601" t="e">
        <f>IF(#REF!&lt;=15,"Low Charges",
IF(#REF!&lt;=20,"Medium Charges","High Charges"))</f>
        <v>#REF!</v>
      </c>
      <c r="AB1601" t="e">
        <f>IF(AND(#REF!&gt;180, #REF!&gt;200), "Heavy Doemstic User", IF(#REF!&gt;10, "Interntional User", IF(AND(#REF!&lt;180, #REF!&lt;200,#REF!&lt;200), "Light User", "Balanced User")))</f>
        <v>#REF!</v>
      </c>
      <c r="AC1601" t="e">
        <f>IF(#REF! = 0, "No Usage", IF(#REF! &lt;= 20, "Low Usage", IF(#REF! &lt;= 40, "Medium Usgae", "High Usage")))</f>
        <v>#REF!</v>
      </c>
      <c r="AD1601" t="e">
        <f>IF(#REF!&lt;=150,"Low Usage", IF(#REF!&lt;=200,"Medium Usage", IF(#REF!&lt;=250,"High Usage","Very High Usage")))</f>
        <v>#REF!</v>
      </c>
      <c r="AE1601" t="e">
        <f>IF(#REF!&lt;=5,"Low Calls", IF(#REF!&lt;=10, "Medium Calls", "High Calls"))</f>
        <v>#REF!</v>
      </c>
      <c r="AF1601" t="e">
        <f xml:space="preserve">
IF(#REF!&gt;=4,4,0)+
IF(#REF!="yes",3,0)+
IF(#REF!="High Charges",3,0)+
IF(#REF!&gt;250,4,0)+
IF(#REF!="no",1,0)+
IF(#REF!="Heavy Domestic User",2,0)</f>
        <v>#REF!</v>
      </c>
      <c r="AG1601" t="e">
        <f>IF(#REF!&gt;=10,"High Risk", IF(#REF!&gt;=5,"Medium Risk","Low Risk"))</f>
        <v>#REF!</v>
      </c>
      <c r="AH1601" t="e">
        <f>#REF! + #REF! + #REF! + #REF!</f>
        <v>#REF!</v>
      </c>
    </row>
    <row r="1602" spans="1:34" x14ac:dyDescent="0.35">
      <c r="A1602">
        <v>1601</v>
      </c>
      <c r="B1602" t="s">
        <v>32</v>
      </c>
      <c r="C1602">
        <v>68</v>
      </c>
      <c r="D1602" t="s">
        <v>28</v>
      </c>
      <c r="E1602" t="s">
        <v>22</v>
      </c>
      <c r="F1602" t="s">
        <v>22</v>
      </c>
      <c r="G1602">
        <v>0</v>
      </c>
      <c r="H1602">
        <v>249.9</v>
      </c>
      <c r="I1602">
        <v>127</v>
      </c>
      <c r="J1602">
        <v>42.48</v>
      </c>
      <c r="K1602">
        <v>254.5</v>
      </c>
      <c r="L1602">
        <v>118</v>
      </c>
      <c r="M1602">
        <v>21.63</v>
      </c>
      <c r="N1602">
        <v>273.2</v>
      </c>
      <c r="O1602">
        <v>98</v>
      </c>
      <c r="P1602">
        <v>12.29</v>
      </c>
      <c r="Q1602">
        <v>8.9</v>
      </c>
      <c r="R1602">
        <v>6</v>
      </c>
      <c r="S1602">
        <v>2.4</v>
      </c>
      <c r="T1602">
        <v>2</v>
      </c>
      <c r="U1602" t="s">
        <v>23</v>
      </c>
      <c r="V1602" t="e">
        <f>IF(#REF! = "yes", 1, 0)</f>
        <v>#REF!</v>
      </c>
      <c r="W1602" t="e">
        <f>IF(#REF! &lt;= 1, "0-1 Calls", IF(#REF! &lt;= 3, "2-3 Calls", IF(#REF! &lt;=5, "4-5 Calls", "6+ Calls")))</f>
        <v>#REF!</v>
      </c>
      <c r="X1602" t="e">
        <f>IF(#REF! &lt;= 50, "0-50", IF(#REF! &lt;=100, "51-100", IF(#REF! &lt;= 150, "101-150", "151+")))</f>
        <v>#REF!</v>
      </c>
      <c r="Y1602" t="e">
        <f>IF(#REF! &lt;= 3, "Low Charges", "High Charges")</f>
        <v>#REF!</v>
      </c>
      <c r="Z1602" t="e">
        <f>IF(#REF!&lt;=80,"Low Calls",
IF(#REF!&lt;=120,"Medium Calls","High Calls"))</f>
        <v>#REF!</v>
      </c>
      <c r="AA1602" t="e">
        <f>IF(#REF!&lt;=15,"Low Charges",
IF(#REF!&lt;=20,"Medium Charges","High Charges"))</f>
        <v>#REF!</v>
      </c>
      <c r="AB1602" t="e">
        <f>IF(AND(#REF!&gt;180, #REF!&gt;200), "Heavy Doemstic User", IF(#REF!&gt;10, "Interntional User", IF(AND(#REF!&lt;180, #REF!&lt;200,#REF!&lt;200), "Light User", "Balanced User")))</f>
        <v>#REF!</v>
      </c>
      <c r="AC1602" t="e">
        <f>IF(#REF! = 0, "No Usage", IF(#REF! &lt;= 20, "Low Usage", IF(#REF! &lt;= 40, "Medium Usgae", "High Usage")))</f>
        <v>#REF!</v>
      </c>
      <c r="AD1602" t="e">
        <f>IF(#REF!&lt;=150,"Low Usage", IF(#REF!&lt;=200,"Medium Usage", IF(#REF!&lt;=250,"High Usage","Very High Usage")))</f>
        <v>#REF!</v>
      </c>
      <c r="AE1602" t="e">
        <f>IF(#REF!&lt;=5,"Low Calls", IF(#REF!&lt;=10, "Medium Calls", "High Calls"))</f>
        <v>#REF!</v>
      </c>
      <c r="AF1602" t="e">
        <f xml:space="preserve">
IF(#REF!&gt;=4,4,0)+
IF(#REF!="yes",3,0)+
IF(#REF!="High Charges",3,0)+
IF(#REF!&gt;250,4,0)+
IF(#REF!="no",1,0)+
IF(#REF!="Heavy Domestic User",2,0)</f>
        <v>#REF!</v>
      </c>
      <c r="AG1602" t="e">
        <f>IF(#REF!&gt;=10,"High Risk", IF(#REF!&gt;=5,"Medium Risk","Low Risk"))</f>
        <v>#REF!</v>
      </c>
      <c r="AH1602" t="e">
        <f>#REF! + #REF! + #REF! + #REF!</f>
        <v>#REF!</v>
      </c>
    </row>
    <row r="1603" spans="1:34" x14ac:dyDescent="0.35">
      <c r="A1603">
        <v>1602</v>
      </c>
      <c r="B1603" t="s">
        <v>61</v>
      </c>
      <c r="C1603">
        <v>68</v>
      </c>
      <c r="D1603" t="s">
        <v>25</v>
      </c>
      <c r="E1603" t="s">
        <v>22</v>
      </c>
      <c r="F1603" t="s">
        <v>22</v>
      </c>
      <c r="G1603">
        <v>0</v>
      </c>
      <c r="H1603">
        <v>131.6</v>
      </c>
      <c r="I1603">
        <v>89</v>
      </c>
      <c r="J1603">
        <v>22.37</v>
      </c>
      <c r="K1603">
        <v>137</v>
      </c>
      <c r="L1603">
        <v>109</v>
      </c>
      <c r="M1603">
        <v>11.65</v>
      </c>
      <c r="N1603">
        <v>256.3</v>
      </c>
      <c r="O1603">
        <v>107</v>
      </c>
      <c r="P1603">
        <v>11.53</v>
      </c>
      <c r="Q1603">
        <v>10.199999999999999</v>
      </c>
      <c r="R1603">
        <v>5</v>
      </c>
      <c r="S1603">
        <v>2.75</v>
      </c>
      <c r="T1603">
        <v>3</v>
      </c>
      <c r="U1603" t="s">
        <v>22</v>
      </c>
      <c r="V1603" t="e">
        <f>IF(#REF! = "yes", 1, 0)</f>
        <v>#REF!</v>
      </c>
      <c r="W1603" t="e">
        <f>IF(#REF! &lt;= 1, "0-1 Calls", IF(#REF! &lt;= 3, "2-3 Calls", IF(#REF! &lt;=5, "4-5 Calls", "6+ Calls")))</f>
        <v>#REF!</v>
      </c>
      <c r="X1603" t="e">
        <f>IF(#REF! &lt;= 50, "0-50", IF(#REF! &lt;=100, "51-100", IF(#REF! &lt;= 150, "101-150", "151+")))</f>
        <v>#REF!</v>
      </c>
      <c r="Y1603" t="e">
        <f>IF(#REF! &lt;= 3, "Low Charges", "High Charges")</f>
        <v>#REF!</v>
      </c>
      <c r="Z1603" t="e">
        <f>IF(#REF!&lt;=80,"Low Calls",
IF(#REF!&lt;=120,"Medium Calls","High Calls"))</f>
        <v>#REF!</v>
      </c>
      <c r="AA1603" t="e">
        <f>IF(#REF!&lt;=15,"Low Charges",
IF(#REF!&lt;=20,"Medium Charges","High Charges"))</f>
        <v>#REF!</v>
      </c>
      <c r="AB1603" t="e">
        <f>IF(AND(#REF!&gt;180, #REF!&gt;200), "Heavy Doemstic User", IF(#REF!&gt;10, "Interntional User", IF(AND(#REF!&lt;180, #REF!&lt;200,#REF!&lt;200), "Light User", "Balanced User")))</f>
        <v>#REF!</v>
      </c>
      <c r="AC1603" t="e">
        <f>IF(#REF! = 0, "No Usage", IF(#REF! &lt;= 20, "Low Usage", IF(#REF! &lt;= 40, "Medium Usgae", "High Usage")))</f>
        <v>#REF!</v>
      </c>
      <c r="AD1603" t="e">
        <f>IF(#REF!&lt;=150,"Low Usage", IF(#REF!&lt;=200,"Medium Usage", IF(#REF!&lt;=250,"High Usage","Very High Usage")))</f>
        <v>#REF!</v>
      </c>
      <c r="AE1603" t="e">
        <f>IF(#REF!&lt;=5,"Low Calls", IF(#REF!&lt;=10, "Medium Calls", "High Calls"))</f>
        <v>#REF!</v>
      </c>
      <c r="AF1603" t="e">
        <f xml:space="preserve">
IF(#REF!&gt;=4,4,0)+
IF(#REF!="yes",3,0)+
IF(#REF!="High Charges",3,0)+
IF(#REF!&gt;250,4,0)+
IF(#REF!="no",1,0)+
IF(#REF!="Heavy Domestic User",2,0)</f>
        <v>#REF!</v>
      </c>
      <c r="AG1603" t="e">
        <f>IF(#REF!&gt;=10,"High Risk", IF(#REF!&gt;=5,"Medium Risk","Low Risk"))</f>
        <v>#REF!</v>
      </c>
      <c r="AH1603" t="e">
        <f>#REF! + #REF! + #REF! + #REF!</f>
        <v>#REF!</v>
      </c>
    </row>
    <row r="1604" spans="1:34" x14ac:dyDescent="0.35">
      <c r="A1604">
        <v>1603</v>
      </c>
      <c r="B1604" t="s">
        <v>45</v>
      </c>
      <c r="C1604">
        <v>86</v>
      </c>
      <c r="D1604" t="s">
        <v>25</v>
      </c>
      <c r="E1604" t="s">
        <v>22</v>
      </c>
      <c r="F1604" t="s">
        <v>23</v>
      </c>
      <c r="G1604">
        <v>21</v>
      </c>
      <c r="H1604">
        <v>197.9</v>
      </c>
      <c r="I1604">
        <v>99</v>
      </c>
      <c r="J1604">
        <v>33.64</v>
      </c>
      <c r="K1604">
        <v>165.6</v>
      </c>
      <c r="L1604">
        <v>100</v>
      </c>
      <c r="M1604">
        <v>14.08</v>
      </c>
      <c r="N1604">
        <v>208</v>
      </c>
      <c r="O1604">
        <v>120</v>
      </c>
      <c r="P1604">
        <v>9.36</v>
      </c>
      <c r="Q1604">
        <v>10.1</v>
      </c>
      <c r="R1604">
        <v>9</v>
      </c>
      <c r="S1604">
        <v>2.73</v>
      </c>
      <c r="T1604">
        <v>0</v>
      </c>
      <c r="U1604" t="s">
        <v>22</v>
      </c>
      <c r="V1604" t="e">
        <f>IF(#REF! = "yes", 1, 0)</f>
        <v>#REF!</v>
      </c>
      <c r="W1604" t="e">
        <f>IF(#REF! &lt;= 1, "0-1 Calls", IF(#REF! &lt;= 3, "2-3 Calls", IF(#REF! &lt;=5, "4-5 Calls", "6+ Calls")))</f>
        <v>#REF!</v>
      </c>
      <c r="X1604" t="e">
        <f>IF(#REF! &lt;= 50, "0-50", IF(#REF! &lt;=100, "51-100", IF(#REF! &lt;= 150, "101-150", "151+")))</f>
        <v>#REF!</v>
      </c>
      <c r="Y1604" t="e">
        <f>IF(#REF! &lt;= 3, "Low Charges", "High Charges")</f>
        <v>#REF!</v>
      </c>
      <c r="Z1604" t="e">
        <f>IF(#REF!&lt;=80,"Low Calls",
IF(#REF!&lt;=120,"Medium Calls","High Calls"))</f>
        <v>#REF!</v>
      </c>
      <c r="AA1604" t="e">
        <f>IF(#REF!&lt;=15,"Low Charges",
IF(#REF!&lt;=20,"Medium Charges","High Charges"))</f>
        <v>#REF!</v>
      </c>
      <c r="AB1604" t="e">
        <f>IF(AND(#REF!&gt;180, #REF!&gt;200), "Heavy Doemstic User", IF(#REF!&gt;10, "Interntional User", IF(AND(#REF!&lt;180, #REF!&lt;200,#REF!&lt;200), "Light User", "Balanced User")))</f>
        <v>#REF!</v>
      </c>
      <c r="AC1604" t="e">
        <f>IF(#REF! = 0, "No Usage", IF(#REF! &lt;= 20, "Low Usage", IF(#REF! &lt;= 40, "Medium Usgae", "High Usage")))</f>
        <v>#REF!</v>
      </c>
      <c r="AD1604" t="e">
        <f>IF(#REF!&lt;=150,"Low Usage", IF(#REF!&lt;=200,"Medium Usage", IF(#REF!&lt;=250,"High Usage","Very High Usage")))</f>
        <v>#REF!</v>
      </c>
      <c r="AE1604" t="e">
        <f>IF(#REF!&lt;=5,"Low Calls", IF(#REF!&lt;=10, "Medium Calls", "High Calls"))</f>
        <v>#REF!</v>
      </c>
      <c r="AF1604" t="e">
        <f xml:space="preserve">
IF(#REF!&gt;=4,4,0)+
IF(#REF!="yes",3,0)+
IF(#REF!="High Charges",3,0)+
IF(#REF!&gt;250,4,0)+
IF(#REF!="no",1,0)+
IF(#REF!="Heavy Domestic User",2,0)</f>
        <v>#REF!</v>
      </c>
      <c r="AG1604" t="e">
        <f>IF(#REF!&gt;=10,"High Risk", IF(#REF!&gt;=5,"Medium Risk","Low Risk"))</f>
        <v>#REF!</v>
      </c>
      <c r="AH1604" t="e">
        <f>#REF! + #REF! + #REF! + #REF!</f>
        <v>#REF!</v>
      </c>
    </row>
    <row r="1605" spans="1:34" x14ac:dyDescent="0.35">
      <c r="A1605">
        <v>1604</v>
      </c>
      <c r="B1605" t="s">
        <v>65</v>
      </c>
      <c r="C1605">
        <v>131</v>
      </c>
      <c r="D1605" t="s">
        <v>21</v>
      </c>
      <c r="E1605" t="s">
        <v>22</v>
      </c>
      <c r="F1605" t="s">
        <v>22</v>
      </c>
      <c r="G1605">
        <v>0</v>
      </c>
      <c r="H1605">
        <v>166.5</v>
      </c>
      <c r="I1605">
        <v>129</v>
      </c>
      <c r="J1605">
        <v>28.31</v>
      </c>
      <c r="K1605">
        <v>210.2</v>
      </c>
      <c r="L1605">
        <v>107</v>
      </c>
      <c r="M1605">
        <v>17.87</v>
      </c>
      <c r="N1605">
        <v>257.2</v>
      </c>
      <c r="O1605">
        <v>93</v>
      </c>
      <c r="P1605">
        <v>11.57</v>
      </c>
      <c r="Q1605">
        <v>9.9</v>
      </c>
      <c r="R1605">
        <v>5</v>
      </c>
      <c r="S1605">
        <v>2.67</v>
      </c>
      <c r="T1605">
        <v>1</v>
      </c>
      <c r="U1605" t="s">
        <v>22</v>
      </c>
      <c r="V1605" t="e">
        <f>IF(#REF! = "yes", 1, 0)</f>
        <v>#REF!</v>
      </c>
      <c r="W1605" t="e">
        <f>IF(#REF! &lt;= 1, "0-1 Calls", IF(#REF! &lt;= 3, "2-3 Calls", IF(#REF! &lt;=5, "4-5 Calls", "6+ Calls")))</f>
        <v>#REF!</v>
      </c>
      <c r="X1605" t="e">
        <f>IF(#REF! &lt;= 50, "0-50", IF(#REF! &lt;=100, "51-100", IF(#REF! &lt;= 150, "101-150", "151+")))</f>
        <v>#REF!</v>
      </c>
      <c r="Y1605" t="e">
        <f>IF(#REF! &lt;= 3, "Low Charges", "High Charges")</f>
        <v>#REF!</v>
      </c>
      <c r="Z1605" t="e">
        <f>IF(#REF!&lt;=80,"Low Calls",
IF(#REF!&lt;=120,"Medium Calls","High Calls"))</f>
        <v>#REF!</v>
      </c>
      <c r="AA1605" t="e">
        <f>IF(#REF!&lt;=15,"Low Charges",
IF(#REF!&lt;=20,"Medium Charges","High Charges"))</f>
        <v>#REF!</v>
      </c>
      <c r="AB1605" t="e">
        <f>IF(AND(#REF!&gt;180, #REF!&gt;200), "Heavy Doemstic User", IF(#REF!&gt;10, "Interntional User", IF(AND(#REF!&lt;180, #REF!&lt;200,#REF!&lt;200), "Light User", "Balanced User")))</f>
        <v>#REF!</v>
      </c>
      <c r="AC1605" t="e">
        <f>IF(#REF! = 0, "No Usage", IF(#REF! &lt;= 20, "Low Usage", IF(#REF! &lt;= 40, "Medium Usgae", "High Usage")))</f>
        <v>#REF!</v>
      </c>
      <c r="AD1605" t="e">
        <f>IF(#REF!&lt;=150,"Low Usage", IF(#REF!&lt;=200,"Medium Usage", IF(#REF!&lt;=250,"High Usage","Very High Usage")))</f>
        <v>#REF!</v>
      </c>
      <c r="AE1605" t="e">
        <f>IF(#REF!&lt;=5,"Low Calls", IF(#REF!&lt;=10, "Medium Calls", "High Calls"))</f>
        <v>#REF!</v>
      </c>
      <c r="AF1605" t="e">
        <f xml:space="preserve">
IF(#REF!&gt;=4,4,0)+
IF(#REF!="yes",3,0)+
IF(#REF!="High Charges",3,0)+
IF(#REF!&gt;250,4,0)+
IF(#REF!="no",1,0)+
IF(#REF!="Heavy Domestic User",2,0)</f>
        <v>#REF!</v>
      </c>
      <c r="AG1605" t="e">
        <f>IF(#REF!&gt;=10,"High Risk", IF(#REF!&gt;=5,"Medium Risk","Low Risk"))</f>
        <v>#REF!</v>
      </c>
      <c r="AH1605" t="e">
        <f>#REF! + #REF! + #REF! + #REF!</f>
        <v>#REF!</v>
      </c>
    </row>
    <row r="1606" spans="1:34" x14ac:dyDescent="0.35">
      <c r="A1606">
        <v>1605</v>
      </c>
      <c r="B1606" t="s">
        <v>20</v>
      </c>
      <c r="C1606">
        <v>86</v>
      </c>
      <c r="D1606" t="s">
        <v>21</v>
      </c>
      <c r="E1606" t="s">
        <v>22</v>
      </c>
      <c r="F1606" t="s">
        <v>23</v>
      </c>
      <c r="G1606">
        <v>29</v>
      </c>
      <c r="H1606">
        <v>225.4</v>
      </c>
      <c r="I1606">
        <v>79</v>
      </c>
      <c r="J1606">
        <v>38.32</v>
      </c>
      <c r="K1606">
        <v>187.1</v>
      </c>
      <c r="L1606">
        <v>112</v>
      </c>
      <c r="M1606">
        <v>15.9</v>
      </c>
      <c r="N1606">
        <v>281.10000000000002</v>
      </c>
      <c r="O1606">
        <v>112</v>
      </c>
      <c r="P1606">
        <v>12.65</v>
      </c>
      <c r="Q1606">
        <v>12.9</v>
      </c>
      <c r="R1606">
        <v>3</v>
      </c>
      <c r="S1606">
        <v>3.48</v>
      </c>
      <c r="T1606">
        <v>1</v>
      </c>
      <c r="U1606" t="s">
        <v>22</v>
      </c>
      <c r="V1606" t="e">
        <f>IF(#REF! = "yes", 1, 0)</f>
        <v>#REF!</v>
      </c>
      <c r="W1606" t="e">
        <f>IF(#REF! &lt;= 1, "0-1 Calls", IF(#REF! &lt;= 3, "2-3 Calls", IF(#REF! &lt;=5, "4-5 Calls", "6+ Calls")))</f>
        <v>#REF!</v>
      </c>
      <c r="X1606" t="e">
        <f>IF(#REF! &lt;= 50, "0-50", IF(#REF! &lt;=100, "51-100", IF(#REF! &lt;= 150, "101-150", "151+")))</f>
        <v>#REF!</v>
      </c>
      <c r="Y1606" t="e">
        <f>IF(#REF! &lt;= 3, "Low Charges", "High Charges")</f>
        <v>#REF!</v>
      </c>
      <c r="Z1606" t="e">
        <f>IF(#REF!&lt;=80,"Low Calls",
IF(#REF!&lt;=120,"Medium Calls","High Calls"))</f>
        <v>#REF!</v>
      </c>
      <c r="AA1606" t="e">
        <f>IF(#REF!&lt;=15,"Low Charges",
IF(#REF!&lt;=20,"Medium Charges","High Charges"))</f>
        <v>#REF!</v>
      </c>
      <c r="AB1606" t="e">
        <f>IF(AND(#REF!&gt;180, #REF!&gt;200), "Heavy Doemstic User", IF(#REF!&gt;10, "Interntional User", IF(AND(#REF!&lt;180, #REF!&lt;200,#REF!&lt;200), "Light User", "Balanced User")))</f>
        <v>#REF!</v>
      </c>
      <c r="AC1606" t="e">
        <f>IF(#REF! = 0, "No Usage", IF(#REF! &lt;= 20, "Low Usage", IF(#REF! &lt;= 40, "Medium Usgae", "High Usage")))</f>
        <v>#REF!</v>
      </c>
      <c r="AD1606" t="e">
        <f>IF(#REF!&lt;=150,"Low Usage", IF(#REF!&lt;=200,"Medium Usage", IF(#REF!&lt;=250,"High Usage","Very High Usage")))</f>
        <v>#REF!</v>
      </c>
      <c r="AE1606" t="e">
        <f>IF(#REF!&lt;=5,"Low Calls", IF(#REF!&lt;=10, "Medium Calls", "High Calls"))</f>
        <v>#REF!</v>
      </c>
      <c r="AF1606" t="e">
        <f xml:space="preserve">
IF(#REF!&gt;=4,4,0)+
IF(#REF!="yes",3,0)+
IF(#REF!="High Charges",3,0)+
IF(#REF!&gt;250,4,0)+
IF(#REF!="no",1,0)+
IF(#REF!="Heavy Domestic User",2,0)</f>
        <v>#REF!</v>
      </c>
      <c r="AG1606" t="e">
        <f>IF(#REF!&gt;=10,"High Risk", IF(#REF!&gt;=5,"Medium Risk","Low Risk"))</f>
        <v>#REF!</v>
      </c>
      <c r="AH1606" t="e">
        <f>#REF! + #REF! + #REF! + #REF!</f>
        <v>#REF!</v>
      </c>
    </row>
    <row r="1607" spans="1:34" x14ac:dyDescent="0.35">
      <c r="A1607">
        <v>1606</v>
      </c>
      <c r="B1607" t="s">
        <v>64</v>
      </c>
      <c r="C1607">
        <v>159</v>
      </c>
      <c r="D1607" t="s">
        <v>21</v>
      </c>
      <c r="E1607" t="s">
        <v>22</v>
      </c>
      <c r="F1607" t="s">
        <v>22</v>
      </c>
      <c r="G1607">
        <v>0</v>
      </c>
      <c r="H1607">
        <v>275.8</v>
      </c>
      <c r="I1607">
        <v>103</v>
      </c>
      <c r="J1607">
        <v>46.89</v>
      </c>
      <c r="K1607">
        <v>189.5</v>
      </c>
      <c r="L1607">
        <v>108</v>
      </c>
      <c r="M1607">
        <v>16.11</v>
      </c>
      <c r="N1607">
        <v>223.9</v>
      </c>
      <c r="O1607">
        <v>93</v>
      </c>
      <c r="P1607">
        <v>10.08</v>
      </c>
      <c r="Q1607">
        <v>7.4</v>
      </c>
      <c r="R1607">
        <v>5</v>
      </c>
      <c r="S1607">
        <v>2</v>
      </c>
      <c r="T1607">
        <v>2</v>
      </c>
      <c r="U1607" t="s">
        <v>23</v>
      </c>
      <c r="V1607" t="e">
        <f>IF(#REF! = "yes", 1, 0)</f>
        <v>#REF!</v>
      </c>
      <c r="W1607" t="e">
        <f>IF(#REF! &lt;= 1, "0-1 Calls", IF(#REF! &lt;= 3, "2-3 Calls", IF(#REF! &lt;=5, "4-5 Calls", "6+ Calls")))</f>
        <v>#REF!</v>
      </c>
      <c r="X1607" t="e">
        <f>IF(#REF! &lt;= 50, "0-50", IF(#REF! &lt;=100, "51-100", IF(#REF! &lt;= 150, "101-150", "151+")))</f>
        <v>#REF!</v>
      </c>
      <c r="Y1607" t="e">
        <f>IF(#REF! &lt;= 3, "Low Charges", "High Charges")</f>
        <v>#REF!</v>
      </c>
      <c r="Z1607" t="e">
        <f>IF(#REF!&lt;=80,"Low Calls",
IF(#REF!&lt;=120,"Medium Calls","High Calls"))</f>
        <v>#REF!</v>
      </c>
      <c r="AA1607" t="e">
        <f>IF(#REF!&lt;=15,"Low Charges",
IF(#REF!&lt;=20,"Medium Charges","High Charges"))</f>
        <v>#REF!</v>
      </c>
      <c r="AB1607" t="e">
        <f>IF(AND(#REF!&gt;180, #REF!&gt;200), "Heavy Doemstic User", IF(#REF!&gt;10, "Interntional User", IF(AND(#REF!&lt;180, #REF!&lt;200,#REF!&lt;200), "Light User", "Balanced User")))</f>
        <v>#REF!</v>
      </c>
      <c r="AC1607" t="e">
        <f>IF(#REF! = 0, "No Usage", IF(#REF! &lt;= 20, "Low Usage", IF(#REF! &lt;= 40, "Medium Usgae", "High Usage")))</f>
        <v>#REF!</v>
      </c>
      <c r="AD1607" t="e">
        <f>IF(#REF!&lt;=150,"Low Usage", IF(#REF!&lt;=200,"Medium Usage", IF(#REF!&lt;=250,"High Usage","Very High Usage")))</f>
        <v>#REF!</v>
      </c>
      <c r="AE1607" t="e">
        <f>IF(#REF!&lt;=5,"Low Calls", IF(#REF!&lt;=10, "Medium Calls", "High Calls"))</f>
        <v>#REF!</v>
      </c>
      <c r="AF1607" t="e">
        <f xml:space="preserve">
IF(#REF!&gt;=4,4,0)+
IF(#REF!="yes",3,0)+
IF(#REF!="High Charges",3,0)+
IF(#REF!&gt;250,4,0)+
IF(#REF!="no",1,0)+
IF(#REF!="Heavy Domestic User",2,0)</f>
        <v>#REF!</v>
      </c>
      <c r="AG1607" t="e">
        <f>IF(#REF!&gt;=10,"High Risk", IF(#REF!&gt;=5,"Medium Risk","Low Risk"))</f>
        <v>#REF!</v>
      </c>
      <c r="AH1607" t="e">
        <f>#REF! + #REF! + #REF! + #REF!</f>
        <v>#REF!</v>
      </c>
    </row>
    <row r="1608" spans="1:34" x14ac:dyDescent="0.35">
      <c r="A1608">
        <v>1607</v>
      </c>
      <c r="B1608" t="s">
        <v>42</v>
      </c>
      <c r="C1608">
        <v>134</v>
      </c>
      <c r="D1608" t="s">
        <v>21</v>
      </c>
      <c r="E1608" t="s">
        <v>22</v>
      </c>
      <c r="F1608" t="s">
        <v>23</v>
      </c>
      <c r="G1608">
        <v>40</v>
      </c>
      <c r="H1608">
        <v>142.9</v>
      </c>
      <c r="I1608">
        <v>105</v>
      </c>
      <c r="J1608">
        <v>24.29</v>
      </c>
      <c r="K1608">
        <v>88.6</v>
      </c>
      <c r="L1608">
        <v>61</v>
      </c>
      <c r="M1608">
        <v>7.53</v>
      </c>
      <c r="N1608">
        <v>290</v>
      </c>
      <c r="O1608">
        <v>96</v>
      </c>
      <c r="P1608">
        <v>13.05</v>
      </c>
      <c r="Q1608">
        <v>10.8</v>
      </c>
      <c r="R1608">
        <v>6</v>
      </c>
      <c r="S1608">
        <v>2.92</v>
      </c>
      <c r="T1608">
        <v>1</v>
      </c>
      <c r="U1608" t="s">
        <v>22</v>
      </c>
      <c r="V1608" t="e">
        <f>IF(#REF! = "yes", 1, 0)</f>
        <v>#REF!</v>
      </c>
      <c r="W1608" t="e">
        <f>IF(#REF! &lt;= 1, "0-1 Calls", IF(#REF! &lt;= 3, "2-3 Calls", IF(#REF! &lt;=5, "4-5 Calls", "6+ Calls")))</f>
        <v>#REF!</v>
      </c>
      <c r="X1608" t="e">
        <f>IF(#REF! &lt;= 50, "0-50", IF(#REF! &lt;=100, "51-100", IF(#REF! &lt;= 150, "101-150", "151+")))</f>
        <v>#REF!</v>
      </c>
      <c r="Y1608" t="e">
        <f>IF(#REF! &lt;= 3, "Low Charges", "High Charges")</f>
        <v>#REF!</v>
      </c>
      <c r="Z1608" t="e">
        <f>IF(#REF!&lt;=80,"Low Calls",
IF(#REF!&lt;=120,"Medium Calls","High Calls"))</f>
        <v>#REF!</v>
      </c>
      <c r="AA1608" t="e">
        <f>IF(#REF!&lt;=15,"Low Charges",
IF(#REF!&lt;=20,"Medium Charges","High Charges"))</f>
        <v>#REF!</v>
      </c>
      <c r="AB1608" t="e">
        <f>IF(AND(#REF!&gt;180, #REF!&gt;200), "Heavy Doemstic User", IF(#REF!&gt;10, "Interntional User", IF(AND(#REF!&lt;180, #REF!&lt;200,#REF!&lt;200), "Light User", "Balanced User")))</f>
        <v>#REF!</v>
      </c>
      <c r="AC1608" t="e">
        <f>IF(#REF! = 0, "No Usage", IF(#REF! &lt;= 20, "Low Usage", IF(#REF! &lt;= 40, "Medium Usgae", "High Usage")))</f>
        <v>#REF!</v>
      </c>
      <c r="AD1608" t="e">
        <f>IF(#REF!&lt;=150,"Low Usage", IF(#REF!&lt;=200,"Medium Usage", IF(#REF!&lt;=250,"High Usage","Very High Usage")))</f>
        <v>#REF!</v>
      </c>
      <c r="AE1608" t="e">
        <f>IF(#REF!&lt;=5,"Low Calls", IF(#REF!&lt;=10, "Medium Calls", "High Calls"))</f>
        <v>#REF!</v>
      </c>
      <c r="AF1608" t="e">
        <f xml:space="preserve">
IF(#REF!&gt;=4,4,0)+
IF(#REF!="yes",3,0)+
IF(#REF!="High Charges",3,0)+
IF(#REF!&gt;250,4,0)+
IF(#REF!="no",1,0)+
IF(#REF!="Heavy Domestic User",2,0)</f>
        <v>#REF!</v>
      </c>
      <c r="AG1608" t="e">
        <f>IF(#REF!&gt;=10,"High Risk", IF(#REF!&gt;=5,"Medium Risk","Low Risk"))</f>
        <v>#REF!</v>
      </c>
      <c r="AH1608" t="e">
        <f>#REF! + #REF! + #REF! + #REF!</f>
        <v>#REF!</v>
      </c>
    </row>
    <row r="1609" spans="1:34" x14ac:dyDescent="0.35">
      <c r="A1609">
        <v>1608</v>
      </c>
      <c r="B1609" t="s">
        <v>64</v>
      </c>
      <c r="C1609">
        <v>113</v>
      </c>
      <c r="D1609" t="s">
        <v>28</v>
      </c>
      <c r="E1609" t="s">
        <v>22</v>
      </c>
      <c r="F1609" t="s">
        <v>22</v>
      </c>
      <c r="G1609">
        <v>0</v>
      </c>
      <c r="H1609">
        <v>207.2</v>
      </c>
      <c r="I1609">
        <v>113</v>
      </c>
      <c r="J1609">
        <v>35.22</v>
      </c>
      <c r="K1609">
        <v>256</v>
      </c>
      <c r="L1609">
        <v>80</v>
      </c>
      <c r="M1609">
        <v>21.76</v>
      </c>
      <c r="N1609">
        <v>211</v>
      </c>
      <c r="O1609">
        <v>87</v>
      </c>
      <c r="P1609">
        <v>9.49</v>
      </c>
      <c r="Q1609">
        <v>9.9</v>
      </c>
      <c r="R1609">
        <v>1</v>
      </c>
      <c r="S1609">
        <v>2.67</v>
      </c>
      <c r="T1609">
        <v>1</v>
      </c>
      <c r="U1609" t="s">
        <v>22</v>
      </c>
      <c r="V1609" t="e">
        <f>IF(#REF! = "yes", 1, 0)</f>
        <v>#REF!</v>
      </c>
      <c r="W1609" t="e">
        <f>IF(#REF! &lt;= 1, "0-1 Calls", IF(#REF! &lt;= 3, "2-3 Calls", IF(#REF! &lt;=5, "4-5 Calls", "6+ Calls")))</f>
        <v>#REF!</v>
      </c>
      <c r="X1609" t="e">
        <f>IF(#REF! &lt;= 50, "0-50", IF(#REF! &lt;=100, "51-100", IF(#REF! &lt;= 150, "101-150", "151+")))</f>
        <v>#REF!</v>
      </c>
      <c r="Y1609" t="e">
        <f>IF(#REF! &lt;= 3, "Low Charges", "High Charges")</f>
        <v>#REF!</v>
      </c>
      <c r="Z1609" t="e">
        <f>IF(#REF!&lt;=80,"Low Calls",
IF(#REF!&lt;=120,"Medium Calls","High Calls"))</f>
        <v>#REF!</v>
      </c>
      <c r="AA1609" t="e">
        <f>IF(#REF!&lt;=15,"Low Charges",
IF(#REF!&lt;=20,"Medium Charges","High Charges"))</f>
        <v>#REF!</v>
      </c>
      <c r="AB1609" t="e">
        <f>IF(AND(#REF!&gt;180, #REF!&gt;200), "Heavy Doemstic User", IF(#REF!&gt;10, "Interntional User", IF(AND(#REF!&lt;180, #REF!&lt;200,#REF!&lt;200), "Light User", "Balanced User")))</f>
        <v>#REF!</v>
      </c>
      <c r="AC1609" t="e">
        <f>IF(#REF! = 0, "No Usage", IF(#REF! &lt;= 20, "Low Usage", IF(#REF! &lt;= 40, "Medium Usgae", "High Usage")))</f>
        <v>#REF!</v>
      </c>
      <c r="AD1609" t="e">
        <f>IF(#REF!&lt;=150,"Low Usage", IF(#REF!&lt;=200,"Medium Usage", IF(#REF!&lt;=250,"High Usage","Very High Usage")))</f>
        <v>#REF!</v>
      </c>
      <c r="AE1609" t="e">
        <f>IF(#REF!&lt;=5,"Low Calls", IF(#REF!&lt;=10, "Medium Calls", "High Calls"))</f>
        <v>#REF!</v>
      </c>
      <c r="AF1609" t="e">
        <f xml:space="preserve">
IF(#REF!&gt;=4,4,0)+
IF(#REF!="yes",3,0)+
IF(#REF!="High Charges",3,0)+
IF(#REF!&gt;250,4,0)+
IF(#REF!="no",1,0)+
IF(#REF!="Heavy Domestic User",2,0)</f>
        <v>#REF!</v>
      </c>
      <c r="AG1609" t="e">
        <f>IF(#REF!&gt;=10,"High Risk", IF(#REF!&gt;=5,"Medium Risk","Low Risk"))</f>
        <v>#REF!</v>
      </c>
      <c r="AH1609" t="e">
        <f>#REF! + #REF! + #REF! + #REF!</f>
        <v>#REF!</v>
      </c>
    </row>
    <row r="1610" spans="1:34" x14ac:dyDescent="0.35">
      <c r="A1610">
        <v>1609</v>
      </c>
      <c r="B1610" t="s">
        <v>29</v>
      </c>
      <c r="C1610">
        <v>132</v>
      </c>
      <c r="D1610" t="s">
        <v>25</v>
      </c>
      <c r="E1610" t="s">
        <v>22</v>
      </c>
      <c r="F1610" t="s">
        <v>22</v>
      </c>
      <c r="G1610">
        <v>0</v>
      </c>
      <c r="H1610">
        <v>206.2</v>
      </c>
      <c r="I1610">
        <v>100</v>
      </c>
      <c r="J1610">
        <v>35.049999999999997</v>
      </c>
      <c r="K1610">
        <v>211.2</v>
      </c>
      <c r="L1610">
        <v>118</v>
      </c>
      <c r="M1610">
        <v>17.95</v>
      </c>
      <c r="N1610">
        <v>196.2</v>
      </c>
      <c r="O1610">
        <v>122</v>
      </c>
      <c r="P1610">
        <v>8.83</v>
      </c>
      <c r="Q1610">
        <v>10.199999999999999</v>
      </c>
      <c r="R1610">
        <v>6</v>
      </c>
      <c r="S1610">
        <v>2.75</v>
      </c>
      <c r="T1610">
        <v>1</v>
      </c>
      <c r="U1610" t="s">
        <v>22</v>
      </c>
      <c r="V1610" t="e">
        <f>IF(#REF! = "yes", 1, 0)</f>
        <v>#REF!</v>
      </c>
      <c r="W1610" t="e">
        <f>IF(#REF! &lt;= 1, "0-1 Calls", IF(#REF! &lt;= 3, "2-3 Calls", IF(#REF! &lt;=5, "4-5 Calls", "6+ Calls")))</f>
        <v>#REF!</v>
      </c>
      <c r="X1610" t="e">
        <f>IF(#REF! &lt;= 50, "0-50", IF(#REF! &lt;=100, "51-100", IF(#REF! &lt;= 150, "101-150", "151+")))</f>
        <v>#REF!</v>
      </c>
      <c r="Y1610" t="e">
        <f>IF(#REF! &lt;= 3, "Low Charges", "High Charges")</f>
        <v>#REF!</v>
      </c>
      <c r="Z1610" t="e">
        <f>IF(#REF!&lt;=80,"Low Calls",
IF(#REF!&lt;=120,"Medium Calls","High Calls"))</f>
        <v>#REF!</v>
      </c>
      <c r="AA1610" t="e">
        <f>IF(#REF!&lt;=15,"Low Charges",
IF(#REF!&lt;=20,"Medium Charges","High Charges"))</f>
        <v>#REF!</v>
      </c>
      <c r="AB1610" t="e">
        <f>IF(AND(#REF!&gt;180, #REF!&gt;200), "Heavy Doemstic User", IF(#REF!&gt;10, "Interntional User", IF(AND(#REF!&lt;180, #REF!&lt;200,#REF!&lt;200), "Light User", "Balanced User")))</f>
        <v>#REF!</v>
      </c>
      <c r="AC1610" t="e">
        <f>IF(#REF! = 0, "No Usage", IF(#REF! &lt;= 20, "Low Usage", IF(#REF! &lt;= 40, "Medium Usgae", "High Usage")))</f>
        <v>#REF!</v>
      </c>
      <c r="AD1610" t="e">
        <f>IF(#REF!&lt;=150,"Low Usage", IF(#REF!&lt;=200,"Medium Usage", IF(#REF!&lt;=250,"High Usage","Very High Usage")))</f>
        <v>#REF!</v>
      </c>
      <c r="AE1610" t="e">
        <f>IF(#REF!&lt;=5,"Low Calls", IF(#REF!&lt;=10, "Medium Calls", "High Calls"))</f>
        <v>#REF!</v>
      </c>
      <c r="AF1610" t="e">
        <f xml:space="preserve">
IF(#REF!&gt;=4,4,0)+
IF(#REF!="yes",3,0)+
IF(#REF!="High Charges",3,0)+
IF(#REF!&gt;250,4,0)+
IF(#REF!="no",1,0)+
IF(#REF!="Heavy Domestic User",2,0)</f>
        <v>#REF!</v>
      </c>
      <c r="AG1610" t="e">
        <f>IF(#REF!&gt;=10,"High Risk", IF(#REF!&gt;=5,"Medium Risk","Low Risk"))</f>
        <v>#REF!</v>
      </c>
      <c r="AH1610" t="e">
        <f>#REF! + #REF! + #REF! + #REF!</f>
        <v>#REF!</v>
      </c>
    </row>
    <row r="1611" spans="1:34" x14ac:dyDescent="0.35">
      <c r="A1611">
        <v>1610</v>
      </c>
      <c r="B1611" t="s">
        <v>68</v>
      </c>
      <c r="C1611">
        <v>85</v>
      </c>
      <c r="D1611" t="s">
        <v>21</v>
      </c>
      <c r="E1611" t="s">
        <v>22</v>
      </c>
      <c r="F1611" t="s">
        <v>22</v>
      </c>
      <c r="G1611">
        <v>0</v>
      </c>
      <c r="H1611">
        <v>210.3</v>
      </c>
      <c r="I1611">
        <v>66</v>
      </c>
      <c r="J1611">
        <v>35.75</v>
      </c>
      <c r="K1611">
        <v>195.8</v>
      </c>
      <c r="L1611">
        <v>76</v>
      </c>
      <c r="M1611">
        <v>16.64</v>
      </c>
      <c r="N1611">
        <v>221.6</v>
      </c>
      <c r="O1611">
        <v>82</v>
      </c>
      <c r="P1611">
        <v>9.9700000000000006</v>
      </c>
      <c r="Q1611">
        <v>11.2</v>
      </c>
      <c r="R1611">
        <v>7</v>
      </c>
      <c r="S1611">
        <v>3.02</v>
      </c>
      <c r="T1611">
        <v>1</v>
      </c>
      <c r="U1611" t="s">
        <v>22</v>
      </c>
      <c r="V1611" t="e">
        <f>IF(#REF! = "yes", 1, 0)</f>
        <v>#REF!</v>
      </c>
      <c r="W1611" t="e">
        <f>IF(#REF! &lt;= 1, "0-1 Calls", IF(#REF! &lt;= 3, "2-3 Calls", IF(#REF! &lt;=5, "4-5 Calls", "6+ Calls")))</f>
        <v>#REF!</v>
      </c>
      <c r="X1611" t="e">
        <f>IF(#REF! &lt;= 50, "0-50", IF(#REF! &lt;=100, "51-100", IF(#REF! &lt;= 150, "101-150", "151+")))</f>
        <v>#REF!</v>
      </c>
      <c r="Y1611" t="e">
        <f>IF(#REF! &lt;= 3, "Low Charges", "High Charges")</f>
        <v>#REF!</v>
      </c>
      <c r="Z1611" t="e">
        <f>IF(#REF!&lt;=80,"Low Calls",
IF(#REF!&lt;=120,"Medium Calls","High Calls"))</f>
        <v>#REF!</v>
      </c>
      <c r="AA1611" t="e">
        <f>IF(#REF!&lt;=15,"Low Charges",
IF(#REF!&lt;=20,"Medium Charges","High Charges"))</f>
        <v>#REF!</v>
      </c>
      <c r="AB1611" t="e">
        <f>IF(AND(#REF!&gt;180, #REF!&gt;200), "Heavy Doemstic User", IF(#REF!&gt;10, "Interntional User", IF(AND(#REF!&lt;180, #REF!&lt;200,#REF!&lt;200), "Light User", "Balanced User")))</f>
        <v>#REF!</v>
      </c>
      <c r="AC1611" t="e">
        <f>IF(#REF! = 0, "No Usage", IF(#REF! &lt;= 20, "Low Usage", IF(#REF! &lt;= 40, "Medium Usgae", "High Usage")))</f>
        <v>#REF!</v>
      </c>
      <c r="AD1611" t="e">
        <f>IF(#REF!&lt;=150,"Low Usage", IF(#REF!&lt;=200,"Medium Usage", IF(#REF!&lt;=250,"High Usage","Very High Usage")))</f>
        <v>#REF!</v>
      </c>
      <c r="AE1611" t="e">
        <f>IF(#REF!&lt;=5,"Low Calls", IF(#REF!&lt;=10, "Medium Calls", "High Calls"))</f>
        <v>#REF!</v>
      </c>
      <c r="AF1611" t="e">
        <f xml:space="preserve">
IF(#REF!&gt;=4,4,0)+
IF(#REF!="yes",3,0)+
IF(#REF!="High Charges",3,0)+
IF(#REF!&gt;250,4,0)+
IF(#REF!="no",1,0)+
IF(#REF!="Heavy Domestic User",2,0)</f>
        <v>#REF!</v>
      </c>
      <c r="AG1611" t="e">
        <f>IF(#REF!&gt;=10,"High Risk", IF(#REF!&gt;=5,"Medium Risk","Low Risk"))</f>
        <v>#REF!</v>
      </c>
      <c r="AH1611" t="e">
        <f>#REF! + #REF! + #REF! + #REF!</f>
        <v>#REF!</v>
      </c>
    </row>
    <row r="1612" spans="1:34" x14ac:dyDescent="0.35">
      <c r="A1612">
        <v>1611</v>
      </c>
      <c r="B1612" t="s">
        <v>24</v>
      </c>
      <c r="C1612">
        <v>93</v>
      </c>
      <c r="D1612" t="s">
        <v>28</v>
      </c>
      <c r="E1612" t="s">
        <v>23</v>
      </c>
      <c r="F1612" t="s">
        <v>23</v>
      </c>
      <c r="G1612">
        <v>38</v>
      </c>
      <c r="H1612">
        <v>225.7</v>
      </c>
      <c r="I1612">
        <v>117</v>
      </c>
      <c r="J1612">
        <v>38.369999999999997</v>
      </c>
      <c r="K1612">
        <v>119.6</v>
      </c>
      <c r="L1612">
        <v>122</v>
      </c>
      <c r="M1612">
        <v>10.17</v>
      </c>
      <c r="N1612">
        <v>193.2</v>
      </c>
      <c r="O1612">
        <v>125</v>
      </c>
      <c r="P1612">
        <v>8.69</v>
      </c>
      <c r="Q1612">
        <v>14</v>
      </c>
      <c r="R1612">
        <v>7</v>
      </c>
      <c r="S1612">
        <v>3.78</v>
      </c>
      <c r="T1612">
        <v>1</v>
      </c>
      <c r="U1612" t="s">
        <v>23</v>
      </c>
      <c r="V1612" t="e">
        <f>IF(#REF! = "yes", 1, 0)</f>
        <v>#REF!</v>
      </c>
      <c r="W1612" t="e">
        <f>IF(#REF! &lt;= 1, "0-1 Calls", IF(#REF! &lt;= 3, "2-3 Calls", IF(#REF! &lt;=5, "4-5 Calls", "6+ Calls")))</f>
        <v>#REF!</v>
      </c>
      <c r="X1612" t="e">
        <f>IF(#REF! &lt;= 50, "0-50", IF(#REF! &lt;=100, "51-100", IF(#REF! &lt;= 150, "101-150", "151+")))</f>
        <v>#REF!</v>
      </c>
      <c r="Y1612" t="e">
        <f>IF(#REF! &lt;= 3, "Low Charges", "High Charges")</f>
        <v>#REF!</v>
      </c>
      <c r="Z1612" t="e">
        <f>IF(#REF!&lt;=80,"Low Calls",
IF(#REF!&lt;=120,"Medium Calls","High Calls"))</f>
        <v>#REF!</v>
      </c>
      <c r="AA1612" t="e">
        <f>IF(#REF!&lt;=15,"Low Charges",
IF(#REF!&lt;=20,"Medium Charges","High Charges"))</f>
        <v>#REF!</v>
      </c>
      <c r="AB1612" t="e">
        <f>IF(AND(#REF!&gt;180, #REF!&gt;200), "Heavy Doemstic User", IF(#REF!&gt;10, "Interntional User", IF(AND(#REF!&lt;180, #REF!&lt;200,#REF!&lt;200), "Light User", "Balanced User")))</f>
        <v>#REF!</v>
      </c>
      <c r="AC1612" t="e">
        <f>IF(#REF! = 0, "No Usage", IF(#REF! &lt;= 20, "Low Usage", IF(#REF! &lt;= 40, "Medium Usgae", "High Usage")))</f>
        <v>#REF!</v>
      </c>
      <c r="AD1612" t="e">
        <f>IF(#REF!&lt;=150,"Low Usage", IF(#REF!&lt;=200,"Medium Usage", IF(#REF!&lt;=250,"High Usage","Very High Usage")))</f>
        <v>#REF!</v>
      </c>
      <c r="AE1612" t="e">
        <f>IF(#REF!&lt;=5,"Low Calls", IF(#REF!&lt;=10, "Medium Calls", "High Calls"))</f>
        <v>#REF!</v>
      </c>
      <c r="AF1612" t="e">
        <f xml:space="preserve">
IF(#REF!&gt;=4,4,0)+
IF(#REF!="yes",3,0)+
IF(#REF!="High Charges",3,0)+
IF(#REF!&gt;250,4,0)+
IF(#REF!="no",1,0)+
IF(#REF!="Heavy Domestic User",2,0)</f>
        <v>#REF!</v>
      </c>
      <c r="AG1612" t="e">
        <f>IF(#REF!&gt;=10,"High Risk", IF(#REF!&gt;=5,"Medium Risk","Low Risk"))</f>
        <v>#REF!</v>
      </c>
      <c r="AH1612" t="e">
        <f>#REF! + #REF! + #REF! + #REF!</f>
        <v>#REF!</v>
      </c>
    </row>
    <row r="1613" spans="1:34" x14ac:dyDescent="0.35">
      <c r="A1613">
        <v>1612</v>
      </c>
      <c r="B1613" t="s">
        <v>59</v>
      </c>
      <c r="C1613">
        <v>174</v>
      </c>
      <c r="D1613" t="s">
        <v>25</v>
      </c>
      <c r="E1613" t="s">
        <v>22</v>
      </c>
      <c r="F1613" t="s">
        <v>23</v>
      </c>
      <c r="G1613">
        <v>33</v>
      </c>
      <c r="H1613">
        <v>167.8</v>
      </c>
      <c r="I1613">
        <v>91</v>
      </c>
      <c r="J1613">
        <v>28.53</v>
      </c>
      <c r="K1613">
        <v>205.3</v>
      </c>
      <c r="L1613">
        <v>91</v>
      </c>
      <c r="M1613">
        <v>17.45</v>
      </c>
      <c r="N1613">
        <v>130</v>
      </c>
      <c r="O1613">
        <v>132</v>
      </c>
      <c r="P1613">
        <v>5.85</v>
      </c>
      <c r="Q1613">
        <v>14.5</v>
      </c>
      <c r="R1613">
        <v>4</v>
      </c>
      <c r="S1613">
        <v>3.92</v>
      </c>
      <c r="T1613">
        <v>4</v>
      </c>
      <c r="U1613" t="s">
        <v>23</v>
      </c>
      <c r="V1613" t="e">
        <f>IF(#REF! = "yes", 1, 0)</f>
        <v>#REF!</v>
      </c>
      <c r="W1613" t="e">
        <f>IF(#REF! &lt;= 1, "0-1 Calls", IF(#REF! &lt;= 3, "2-3 Calls", IF(#REF! &lt;=5, "4-5 Calls", "6+ Calls")))</f>
        <v>#REF!</v>
      </c>
      <c r="X1613" t="e">
        <f>IF(#REF! &lt;= 50, "0-50", IF(#REF! &lt;=100, "51-100", IF(#REF! &lt;= 150, "101-150", "151+")))</f>
        <v>#REF!</v>
      </c>
      <c r="Y1613" t="e">
        <f>IF(#REF! &lt;= 3, "Low Charges", "High Charges")</f>
        <v>#REF!</v>
      </c>
      <c r="Z1613" t="e">
        <f>IF(#REF!&lt;=80,"Low Calls",
IF(#REF!&lt;=120,"Medium Calls","High Calls"))</f>
        <v>#REF!</v>
      </c>
      <c r="AA1613" t="e">
        <f>IF(#REF!&lt;=15,"Low Charges",
IF(#REF!&lt;=20,"Medium Charges","High Charges"))</f>
        <v>#REF!</v>
      </c>
      <c r="AB1613" t="e">
        <f>IF(AND(#REF!&gt;180, #REF!&gt;200), "Heavy Doemstic User", IF(#REF!&gt;10, "Interntional User", IF(AND(#REF!&lt;180, #REF!&lt;200,#REF!&lt;200), "Light User", "Balanced User")))</f>
        <v>#REF!</v>
      </c>
      <c r="AC1613" t="e">
        <f>IF(#REF! = 0, "No Usage", IF(#REF! &lt;= 20, "Low Usage", IF(#REF! &lt;= 40, "Medium Usgae", "High Usage")))</f>
        <v>#REF!</v>
      </c>
      <c r="AD1613" t="e">
        <f>IF(#REF!&lt;=150,"Low Usage", IF(#REF!&lt;=200,"Medium Usage", IF(#REF!&lt;=250,"High Usage","Very High Usage")))</f>
        <v>#REF!</v>
      </c>
      <c r="AE1613" t="e">
        <f>IF(#REF!&lt;=5,"Low Calls", IF(#REF!&lt;=10, "Medium Calls", "High Calls"))</f>
        <v>#REF!</v>
      </c>
      <c r="AF1613" t="e">
        <f xml:space="preserve">
IF(#REF!&gt;=4,4,0)+
IF(#REF!="yes",3,0)+
IF(#REF!="High Charges",3,0)+
IF(#REF!&gt;250,4,0)+
IF(#REF!="no",1,0)+
IF(#REF!="Heavy Domestic User",2,0)</f>
        <v>#REF!</v>
      </c>
      <c r="AG1613" t="e">
        <f>IF(#REF!&gt;=10,"High Risk", IF(#REF!&gt;=5,"Medium Risk","Low Risk"))</f>
        <v>#REF!</v>
      </c>
      <c r="AH1613" t="e">
        <f>#REF! + #REF! + #REF! + #REF!</f>
        <v>#REF!</v>
      </c>
    </row>
    <row r="1614" spans="1:34" x14ac:dyDescent="0.35">
      <c r="A1614">
        <v>1613</v>
      </c>
      <c r="B1614" t="s">
        <v>36</v>
      </c>
      <c r="C1614">
        <v>61</v>
      </c>
      <c r="D1614" t="s">
        <v>21</v>
      </c>
      <c r="E1614" t="s">
        <v>22</v>
      </c>
      <c r="F1614" t="s">
        <v>22</v>
      </c>
      <c r="G1614">
        <v>0</v>
      </c>
      <c r="H1614">
        <v>197.7</v>
      </c>
      <c r="I1614">
        <v>118</v>
      </c>
      <c r="J1614">
        <v>33.61</v>
      </c>
      <c r="K1614">
        <v>152.19999999999999</v>
      </c>
      <c r="L1614">
        <v>96</v>
      </c>
      <c r="M1614">
        <v>12.94</v>
      </c>
      <c r="N1614">
        <v>221</v>
      </c>
      <c r="O1614">
        <v>93</v>
      </c>
      <c r="P1614">
        <v>9.9499999999999993</v>
      </c>
      <c r="Q1614">
        <v>7</v>
      </c>
      <c r="R1614">
        <v>3</v>
      </c>
      <c r="S1614">
        <v>1.89</v>
      </c>
      <c r="T1614">
        <v>2</v>
      </c>
      <c r="U1614" t="s">
        <v>22</v>
      </c>
      <c r="V1614" t="e">
        <f>IF(#REF! = "yes", 1, 0)</f>
        <v>#REF!</v>
      </c>
      <c r="W1614" t="e">
        <f>IF(#REF! &lt;= 1, "0-1 Calls", IF(#REF! &lt;= 3, "2-3 Calls", IF(#REF! &lt;=5, "4-5 Calls", "6+ Calls")))</f>
        <v>#REF!</v>
      </c>
      <c r="X1614" t="e">
        <f>IF(#REF! &lt;= 50, "0-50", IF(#REF! &lt;=100, "51-100", IF(#REF! &lt;= 150, "101-150", "151+")))</f>
        <v>#REF!</v>
      </c>
      <c r="Y1614" t="e">
        <f>IF(#REF! &lt;= 3, "Low Charges", "High Charges")</f>
        <v>#REF!</v>
      </c>
      <c r="Z1614" t="e">
        <f>IF(#REF!&lt;=80,"Low Calls",
IF(#REF!&lt;=120,"Medium Calls","High Calls"))</f>
        <v>#REF!</v>
      </c>
      <c r="AA1614" t="e">
        <f>IF(#REF!&lt;=15,"Low Charges",
IF(#REF!&lt;=20,"Medium Charges","High Charges"))</f>
        <v>#REF!</v>
      </c>
      <c r="AB1614" t="e">
        <f>IF(AND(#REF!&gt;180, #REF!&gt;200), "Heavy Doemstic User", IF(#REF!&gt;10, "Interntional User", IF(AND(#REF!&lt;180, #REF!&lt;200,#REF!&lt;200), "Light User", "Balanced User")))</f>
        <v>#REF!</v>
      </c>
      <c r="AC1614" t="e">
        <f>IF(#REF! = 0, "No Usage", IF(#REF! &lt;= 20, "Low Usage", IF(#REF! &lt;= 40, "Medium Usgae", "High Usage")))</f>
        <v>#REF!</v>
      </c>
      <c r="AD1614" t="e">
        <f>IF(#REF!&lt;=150,"Low Usage", IF(#REF!&lt;=200,"Medium Usage", IF(#REF!&lt;=250,"High Usage","Very High Usage")))</f>
        <v>#REF!</v>
      </c>
      <c r="AE1614" t="e">
        <f>IF(#REF!&lt;=5,"Low Calls", IF(#REF!&lt;=10, "Medium Calls", "High Calls"))</f>
        <v>#REF!</v>
      </c>
      <c r="AF1614" t="e">
        <f xml:space="preserve">
IF(#REF!&gt;=4,4,0)+
IF(#REF!="yes",3,0)+
IF(#REF!="High Charges",3,0)+
IF(#REF!&gt;250,4,0)+
IF(#REF!="no",1,0)+
IF(#REF!="Heavy Domestic User",2,0)</f>
        <v>#REF!</v>
      </c>
      <c r="AG1614" t="e">
        <f>IF(#REF!&gt;=10,"High Risk", IF(#REF!&gt;=5,"Medium Risk","Low Risk"))</f>
        <v>#REF!</v>
      </c>
      <c r="AH1614" t="e">
        <f>#REF! + #REF! + #REF! + #REF!</f>
        <v>#REF!</v>
      </c>
    </row>
    <row r="1615" spans="1:34" x14ac:dyDescent="0.35">
      <c r="A1615">
        <v>1614</v>
      </c>
      <c r="B1615" t="s">
        <v>63</v>
      </c>
      <c r="C1615">
        <v>91</v>
      </c>
      <c r="D1615" t="s">
        <v>21</v>
      </c>
      <c r="E1615" t="s">
        <v>22</v>
      </c>
      <c r="F1615" t="s">
        <v>23</v>
      </c>
      <c r="G1615">
        <v>39</v>
      </c>
      <c r="H1615">
        <v>169.8</v>
      </c>
      <c r="I1615">
        <v>105</v>
      </c>
      <c r="J1615">
        <v>28.87</v>
      </c>
      <c r="K1615">
        <v>65.2</v>
      </c>
      <c r="L1615">
        <v>116</v>
      </c>
      <c r="M1615">
        <v>5.54</v>
      </c>
      <c r="N1615">
        <v>144.4</v>
      </c>
      <c r="O1615">
        <v>92</v>
      </c>
      <c r="P1615">
        <v>6.5</v>
      </c>
      <c r="Q1615">
        <v>10.9</v>
      </c>
      <c r="R1615">
        <v>4</v>
      </c>
      <c r="S1615">
        <v>2.94</v>
      </c>
      <c r="T1615">
        <v>1</v>
      </c>
      <c r="U1615" t="s">
        <v>22</v>
      </c>
      <c r="V1615" t="e">
        <f>IF(#REF! = "yes", 1, 0)</f>
        <v>#REF!</v>
      </c>
      <c r="W1615" t="e">
        <f>IF(#REF! &lt;= 1, "0-1 Calls", IF(#REF! &lt;= 3, "2-3 Calls", IF(#REF! &lt;=5, "4-5 Calls", "6+ Calls")))</f>
        <v>#REF!</v>
      </c>
      <c r="X1615" t="e">
        <f>IF(#REF! &lt;= 50, "0-50", IF(#REF! &lt;=100, "51-100", IF(#REF! &lt;= 150, "101-150", "151+")))</f>
        <v>#REF!</v>
      </c>
      <c r="Y1615" t="e">
        <f>IF(#REF! &lt;= 3, "Low Charges", "High Charges")</f>
        <v>#REF!</v>
      </c>
      <c r="Z1615" t="e">
        <f>IF(#REF!&lt;=80,"Low Calls",
IF(#REF!&lt;=120,"Medium Calls","High Calls"))</f>
        <v>#REF!</v>
      </c>
      <c r="AA1615" t="e">
        <f>IF(#REF!&lt;=15,"Low Charges",
IF(#REF!&lt;=20,"Medium Charges","High Charges"))</f>
        <v>#REF!</v>
      </c>
      <c r="AB1615" t="e">
        <f>IF(AND(#REF!&gt;180, #REF!&gt;200), "Heavy Doemstic User", IF(#REF!&gt;10, "Interntional User", IF(AND(#REF!&lt;180, #REF!&lt;200,#REF!&lt;200), "Light User", "Balanced User")))</f>
        <v>#REF!</v>
      </c>
      <c r="AC1615" t="e">
        <f>IF(#REF! = 0, "No Usage", IF(#REF! &lt;= 20, "Low Usage", IF(#REF! &lt;= 40, "Medium Usgae", "High Usage")))</f>
        <v>#REF!</v>
      </c>
      <c r="AD1615" t="e">
        <f>IF(#REF!&lt;=150,"Low Usage", IF(#REF!&lt;=200,"Medium Usage", IF(#REF!&lt;=250,"High Usage","Very High Usage")))</f>
        <v>#REF!</v>
      </c>
      <c r="AE1615" t="e">
        <f>IF(#REF!&lt;=5,"Low Calls", IF(#REF!&lt;=10, "Medium Calls", "High Calls"))</f>
        <v>#REF!</v>
      </c>
      <c r="AF1615" t="e">
        <f xml:space="preserve">
IF(#REF!&gt;=4,4,0)+
IF(#REF!="yes",3,0)+
IF(#REF!="High Charges",3,0)+
IF(#REF!&gt;250,4,0)+
IF(#REF!="no",1,0)+
IF(#REF!="Heavy Domestic User",2,0)</f>
        <v>#REF!</v>
      </c>
      <c r="AG1615" t="e">
        <f>IF(#REF!&gt;=10,"High Risk", IF(#REF!&gt;=5,"Medium Risk","Low Risk"))</f>
        <v>#REF!</v>
      </c>
      <c r="AH1615" t="e">
        <f>#REF! + #REF! + #REF! + #REF!</f>
        <v>#REF!</v>
      </c>
    </row>
    <row r="1616" spans="1:34" x14ac:dyDescent="0.35">
      <c r="A1616">
        <v>1615</v>
      </c>
      <c r="B1616" t="s">
        <v>69</v>
      </c>
      <c r="C1616">
        <v>88</v>
      </c>
      <c r="D1616" t="s">
        <v>25</v>
      </c>
      <c r="E1616" t="s">
        <v>22</v>
      </c>
      <c r="F1616" t="s">
        <v>23</v>
      </c>
      <c r="G1616">
        <v>28</v>
      </c>
      <c r="H1616">
        <v>190.6</v>
      </c>
      <c r="I1616">
        <v>104</v>
      </c>
      <c r="J1616">
        <v>32.4</v>
      </c>
      <c r="K1616">
        <v>237.3</v>
      </c>
      <c r="L1616">
        <v>105</v>
      </c>
      <c r="M1616">
        <v>20.170000000000002</v>
      </c>
      <c r="N1616">
        <v>211.6</v>
      </c>
      <c r="O1616">
        <v>116</v>
      </c>
      <c r="P1616">
        <v>9.52</v>
      </c>
      <c r="Q1616">
        <v>9.8000000000000007</v>
      </c>
      <c r="R1616">
        <v>1</v>
      </c>
      <c r="S1616">
        <v>2.65</v>
      </c>
      <c r="T1616">
        <v>2</v>
      </c>
      <c r="U1616" t="s">
        <v>22</v>
      </c>
      <c r="V1616" t="e">
        <f>IF(#REF! = "yes", 1, 0)</f>
        <v>#REF!</v>
      </c>
      <c r="W1616" t="e">
        <f>IF(#REF! &lt;= 1, "0-1 Calls", IF(#REF! &lt;= 3, "2-3 Calls", IF(#REF! &lt;=5, "4-5 Calls", "6+ Calls")))</f>
        <v>#REF!</v>
      </c>
      <c r="X1616" t="e">
        <f>IF(#REF! &lt;= 50, "0-50", IF(#REF! &lt;=100, "51-100", IF(#REF! &lt;= 150, "101-150", "151+")))</f>
        <v>#REF!</v>
      </c>
      <c r="Y1616" t="e">
        <f>IF(#REF! &lt;= 3, "Low Charges", "High Charges")</f>
        <v>#REF!</v>
      </c>
      <c r="Z1616" t="e">
        <f>IF(#REF!&lt;=80,"Low Calls",
IF(#REF!&lt;=120,"Medium Calls","High Calls"))</f>
        <v>#REF!</v>
      </c>
      <c r="AA1616" t="e">
        <f>IF(#REF!&lt;=15,"Low Charges",
IF(#REF!&lt;=20,"Medium Charges","High Charges"))</f>
        <v>#REF!</v>
      </c>
      <c r="AB1616" t="e">
        <f>IF(AND(#REF!&gt;180, #REF!&gt;200), "Heavy Doemstic User", IF(#REF!&gt;10, "Interntional User", IF(AND(#REF!&lt;180, #REF!&lt;200,#REF!&lt;200), "Light User", "Balanced User")))</f>
        <v>#REF!</v>
      </c>
      <c r="AC1616" t="e">
        <f>IF(#REF! = 0, "No Usage", IF(#REF! &lt;= 20, "Low Usage", IF(#REF! &lt;= 40, "Medium Usgae", "High Usage")))</f>
        <v>#REF!</v>
      </c>
      <c r="AD1616" t="e">
        <f>IF(#REF!&lt;=150,"Low Usage", IF(#REF!&lt;=200,"Medium Usage", IF(#REF!&lt;=250,"High Usage","Very High Usage")))</f>
        <v>#REF!</v>
      </c>
      <c r="AE1616" t="e">
        <f>IF(#REF!&lt;=5,"Low Calls", IF(#REF!&lt;=10, "Medium Calls", "High Calls"))</f>
        <v>#REF!</v>
      </c>
      <c r="AF1616" t="e">
        <f xml:space="preserve">
IF(#REF!&gt;=4,4,0)+
IF(#REF!="yes",3,0)+
IF(#REF!="High Charges",3,0)+
IF(#REF!&gt;250,4,0)+
IF(#REF!="no",1,0)+
IF(#REF!="Heavy Domestic User",2,0)</f>
        <v>#REF!</v>
      </c>
      <c r="AG1616" t="e">
        <f>IF(#REF!&gt;=10,"High Risk", IF(#REF!&gt;=5,"Medium Risk","Low Risk"))</f>
        <v>#REF!</v>
      </c>
      <c r="AH1616" t="e">
        <f>#REF! + #REF! + #REF! + #REF!</f>
        <v>#REF!</v>
      </c>
    </row>
    <row r="1617" spans="1:34" x14ac:dyDescent="0.35">
      <c r="A1617">
        <v>1616</v>
      </c>
      <c r="B1617" t="s">
        <v>27</v>
      </c>
      <c r="C1617">
        <v>88</v>
      </c>
      <c r="D1617" t="s">
        <v>25</v>
      </c>
      <c r="E1617" t="s">
        <v>22</v>
      </c>
      <c r="F1617" t="s">
        <v>23</v>
      </c>
      <c r="G1617">
        <v>45</v>
      </c>
      <c r="H1617">
        <v>80.3</v>
      </c>
      <c r="I1617">
        <v>140</v>
      </c>
      <c r="J1617">
        <v>13.65</v>
      </c>
      <c r="K1617">
        <v>153.30000000000001</v>
      </c>
      <c r="L1617">
        <v>101</v>
      </c>
      <c r="M1617">
        <v>13.03</v>
      </c>
      <c r="N1617">
        <v>309.2</v>
      </c>
      <c r="O1617">
        <v>123</v>
      </c>
      <c r="P1617">
        <v>13.91</v>
      </c>
      <c r="Q1617">
        <v>12.8</v>
      </c>
      <c r="R1617">
        <v>3</v>
      </c>
      <c r="S1617">
        <v>3.46</v>
      </c>
      <c r="T1617">
        <v>2</v>
      </c>
      <c r="U1617" t="s">
        <v>22</v>
      </c>
      <c r="V1617" t="e">
        <f>IF(#REF! = "yes", 1, 0)</f>
        <v>#REF!</v>
      </c>
      <c r="W1617" t="e">
        <f>IF(#REF! &lt;= 1, "0-1 Calls", IF(#REF! &lt;= 3, "2-3 Calls", IF(#REF! &lt;=5, "4-5 Calls", "6+ Calls")))</f>
        <v>#REF!</v>
      </c>
      <c r="X1617" t="e">
        <f>IF(#REF! &lt;= 50, "0-50", IF(#REF! &lt;=100, "51-100", IF(#REF! &lt;= 150, "101-150", "151+")))</f>
        <v>#REF!</v>
      </c>
      <c r="Y1617" t="e">
        <f>IF(#REF! &lt;= 3, "Low Charges", "High Charges")</f>
        <v>#REF!</v>
      </c>
      <c r="Z1617" t="e">
        <f>IF(#REF!&lt;=80,"Low Calls",
IF(#REF!&lt;=120,"Medium Calls","High Calls"))</f>
        <v>#REF!</v>
      </c>
      <c r="AA1617" t="e">
        <f>IF(#REF!&lt;=15,"Low Charges",
IF(#REF!&lt;=20,"Medium Charges","High Charges"))</f>
        <v>#REF!</v>
      </c>
      <c r="AB1617" t="e">
        <f>IF(AND(#REF!&gt;180, #REF!&gt;200), "Heavy Doemstic User", IF(#REF!&gt;10, "Interntional User", IF(AND(#REF!&lt;180, #REF!&lt;200,#REF!&lt;200), "Light User", "Balanced User")))</f>
        <v>#REF!</v>
      </c>
      <c r="AC1617" t="e">
        <f>IF(#REF! = 0, "No Usage", IF(#REF! &lt;= 20, "Low Usage", IF(#REF! &lt;= 40, "Medium Usgae", "High Usage")))</f>
        <v>#REF!</v>
      </c>
      <c r="AD1617" t="e">
        <f>IF(#REF!&lt;=150,"Low Usage", IF(#REF!&lt;=200,"Medium Usage", IF(#REF!&lt;=250,"High Usage","Very High Usage")))</f>
        <v>#REF!</v>
      </c>
      <c r="AE1617" t="e">
        <f>IF(#REF!&lt;=5,"Low Calls", IF(#REF!&lt;=10, "Medium Calls", "High Calls"))</f>
        <v>#REF!</v>
      </c>
      <c r="AF1617" t="e">
        <f xml:space="preserve">
IF(#REF!&gt;=4,4,0)+
IF(#REF!="yes",3,0)+
IF(#REF!="High Charges",3,0)+
IF(#REF!&gt;250,4,0)+
IF(#REF!="no",1,0)+
IF(#REF!="Heavy Domestic User",2,0)</f>
        <v>#REF!</v>
      </c>
      <c r="AG1617" t="e">
        <f>IF(#REF!&gt;=10,"High Risk", IF(#REF!&gt;=5,"Medium Risk","Low Risk"))</f>
        <v>#REF!</v>
      </c>
      <c r="AH1617" t="e">
        <f>#REF! + #REF! + #REF! + #REF!</f>
        <v>#REF!</v>
      </c>
    </row>
    <row r="1618" spans="1:34" x14ac:dyDescent="0.35">
      <c r="A1618">
        <v>1617</v>
      </c>
      <c r="B1618" t="s">
        <v>64</v>
      </c>
      <c r="C1618">
        <v>195</v>
      </c>
      <c r="D1618" t="s">
        <v>21</v>
      </c>
      <c r="E1618" t="s">
        <v>22</v>
      </c>
      <c r="F1618" t="s">
        <v>23</v>
      </c>
      <c r="G1618">
        <v>36</v>
      </c>
      <c r="H1618">
        <v>231.7</v>
      </c>
      <c r="I1618">
        <v>110</v>
      </c>
      <c r="J1618">
        <v>39.39</v>
      </c>
      <c r="K1618">
        <v>225.1</v>
      </c>
      <c r="L1618">
        <v>88</v>
      </c>
      <c r="M1618">
        <v>19.13</v>
      </c>
      <c r="N1618">
        <v>201.7</v>
      </c>
      <c r="O1618">
        <v>89</v>
      </c>
      <c r="P1618">
        <v>9.08</v>
      </c>
      <c r="Q1618">
        <v>12.1</v>
      </c>
      <c r="R1618">
        <v>2</v>
      </c>
      <c r="S1618">
        <v>3.27</v>
      </c>
      <c r="T1618">
        <v>0</v>
      </c>
      <c r="U1618" t="s">
        <v>22</v>
      </c>
      <c r="V1618" t="e">
        <f>IF(#REF! = "yes", 1, 0)</f>
        <v>#REF!</v>
      </c>
      <c r="W1618" t="e">
        <f>IF(#REF! &lt;= 1, "0-1 Calls", IF(#REF! &lt;= 3, "2-3 Calls", IF(#REF! &lt;=5, "4-5 Calls", "6+ Calls")))</f>
        <v>#REF!</v>
      </c>
      <c r="X1618" t="e">
        <f>IF(#REF! &lt;= 50, "0-50", IF(#REF! &lt;=100, "51-100", IF(#REF! &lt;= 150, "101-150", "151+")))</f>
        <v>#REF!</v>
      </c>
      <c r="Y1618" t="e">
        <f>IF(#REF! &lt;= 3, "Low Charges", "High Charges")</f>
        <v>#REF!</v>
      </c>
      <c r="Z1618" t="e">
        <f>IF(#REF!&lt;=80,"Low Calls",
IF(#REF!&lt;=120,"Medium Calls","High Calls"))</f>
        <v>#REF!</v>
      </c>
      <c r="AA1618" t="e">
        <f>IF(#REF!&lt;=15,"Low Charges",
IF(#REF!&lt;=20,"Medium Charges","High Charges"))</f>
        <v>#REF!</v>
      </c>
      <c r="AB1618" t="e">
        <f>IF(AND(#REF!&gt;180, #REF!&gt;200), "Heavy Doemstic User", IF(#REF!&gt;10, "Interntional User", IF(AND(#REF!&lt;180, #REF!&lt;200,#REF!&lt;200), "Light User", "Balanced User")))</f>
        <v>#REF!</v>
      </c>
      <c r="AC1618" t="e">
        <f>IF(#REF! = 0, "No Usage", IF(#REF! &lt;= 20, "Low Usage", IF(#REF! &lt;= 40, "Medium Usgae", "High Usage")))</f>
        <v>#REF!</v>
      </c>
      <c r="AD1618" t="e">
        <f>IF(#REF!&lt;=150,"Low Usage", IF(#REF!&lt;=200,"Medium Usage", IF(#REF!&lt;=250,"High Usage","Very High Usage")))</f>
        <v>#REF!</v>
      </c>
      <c r="AE1618" t="e">
        <f>IF(#REF!&lt;=5,"Low Calls", IF(#REF!&lt;=10, "Medium Calls", "High Calls"))</f>
        <v>#REF!</v>
      </c>
      <c r="AF1618" t="e">
        <f xml:space="preserve">
IF(#REF!&gt;=4,4,0)+
IF(#REF!="yes",3,0)+
IF(#REF!="High Charges",3,0)+
IF(#REF!&gt;250,4,0)+
IF(#REF!="no",1,0)+
IF(#REF!="Heavy Domestic User",2,0)</f>
        <v>#REF!</v>
      </c>
      <c r="AG1618" t="e">
        <f>IF(#REF!&gt;=10,"High Risk", IF(#REF!&gt;=5,"Medium Risk","Low Risk"))</f>
        <v>#REF!</v>
      </c>
      <c r="AH1618" t="e">
        <f>#REF! + #REF! + #REF! + #REF!</f>
        <v>#REF!</v>
      </c>
    </row>
    <row r="1619" spans="1:34" x14ac:dyDescent="0.35">
      <c r="A1619">
        <v>1618</v>
      </c>
      <c r="B1619" t="s">
        <v>61</v>
      </c>
      <c r="C1619">
        <v>182</v>
      </c>
      <c r="D1619" t="s">
        <v>21</v>
      </c>
      <c r="E1619" t="s">
        <v>22</v>
      </c>
      <c r="F1619" t="s">
        <v>22</v>
      </c>
      <c r="G1619">
        <v>0</v>
      </c>
      <c r="H1619">
        <v>69.099999999999994</v>
      </c>
      <c r="I1619">
        <v>114</v>
      </c>
      <c r="J1619">
        <v>11.75</v>
      </c>
      <c r="K1619">
        <v>230.3</v>
      </c>
      <c r="L1619">
        <v>109</v>
      </c>
      <c r="M1619">
        <v>19.579999999999998</v>
      </c>
      <c r="N1619">
        <v>256.7</v>
      </c>
      <c r="O1619">
        <v>96</v>
      </c>
      <c r="P1619">
        <v>11.55</v>
      </c>
      <c r="Q1619">
        <v>6.5</v>
      </c>
      <c r="R1619">
        <v>4</v>
      </c>
      <c r="S1619">
        <v>1.76</v>
      </c>
      <c r="T1619">
        <v>0</v>
      </c>
      <c r="U1619" t="s">
        <v>22</v>
      </c>
      <c r="V1619" t="e">
        <f>IF(#REF! = "yes", 1, 0)</f>
        <v>#REF!</v>
      </c>
      <c r="W1619" t="e">
        <f>IF(#REF! &lt;= 1, "0-1 Calls", IF(#REF! &lt;= 3, "2-3 Calls", IF(#REF! &lt;=5, "4-5 Calls", "6+ Calls")))</f>
        <v>#REF!</v>
      </c>
      <c r="X1619" t="e">
        <f>IF(#REF! &lt;= 50, "0-50", IF(#REF! &lt;=100, "51-100", IF(#REF! &lt;= 150, "101-150", "151+")))</f>
        <v>#REF!</v>
      </c>
      <c r="Y1619" t="e">
        <f>IF(#REF! &lt;= 3, "Low Charges", "High Charges")</f>
        <v>#REF!</v>
      </c>
      <c r="Z1619" t="e">
        <f>IF(#REF!&lt;=80,"Low Calls",
IF(#REF!&lt;=120,"Medium Calls","High Calls"))</f>
        <v>#REF!</v>
      </c>
      <c r="AA1619" t="e">
        <f>IF(#REF!&lt;=15,"Low Charges",
IF(#REF!&lt;=20,"Medium Charges","High Charges"))</f>
        <v>#REF!</v>
      </c>
      <c r="AB1619" t="e">
        <f>IF(AND(#REF!&gt;180, #REF!&gt;200), "Heavy Doemstic User", IF(#REF!&gt;10, "Interntional User", IF(AND(#REF!&lt;180, #REF!&lt;200,#REF!&lt;200), "Light User", "Balanced User")))</f>
        <v>#REF!</v>
      </c>
      <c r="AC1619" t="e">
        <f>IF(#REF! = 0, "No Usage", IF(#REF! &lt;= 20, "Low Usage", IF(#REF! &lt;= 40, "Medium Usgae", "High Usage")))</f>
        <v>#REF!</v>
      </c>
      <c r="AD1619" t="e">
        <f>IF(#REF!&lt;=150,"Low Usage", IF(#REF!&lt;=200,"Medium Usage", IF(#REF!&lt;=250,"High Usage","Very High Usage")))</f>
        <v>#REF!</v>
      </c>
      <c r="AE1619" t="e">
        <f>IF(#REF!&lt;=5,"Low Calls", IF(#REF!&lt;=10, "Medium Calls", "High Calls"))</f>
        <v>#REF!</v>
      </c>
      <c r="AF1619" t="e">
        <f xml:space="preserve">
IF(#REF!&gt;=4,4,0)+
IF(#REF!="yes",3,0)+
IF(#REF!="High Charges",3,0)+
IF(#REF!&gt;250,4,0)+
IF(#REF!="no",1,0)+
IF(#REF!="Heavy Domestic User",2,0)</f>
        <v>#REF!</v>
      </c>
      <c r="AG1619" t="e">
        <f>IF(#REF!&gt;=10,"High Risk", IF(#REF!&gt;=5,"Medium Risk","Low Risk"))</f>
        <v>#REF!</v>
      </c>
      <c r="AH1619" t="e">
        <f>#REF! + #REF! + #REF! + #REF!</f>
        <v>#REF!</v>
      </c>
    </row>
    <row r="1620" spans="1:34" x14ac:dyDescent="0.35">
      <c r="A1620">
        <v>1619</v>
      </c>
      <c r="B1620" t="s">
        <v>41</v>
      </c>
      <c r="C1620">
        <v>118</v>
      </c>
      <c r="D1620" t="s">
        <v>25</v>
      </c>
      <c r="E1620" t="s">
        <v>22</v>
      </c>
      <c r="F1620" t="s">
        <v>22</v>
      </c>
      <c r="G1620">
        <v>0</v>
      </c>
      <c r="H1620">
        <v>188.8</v>
      </c>
      <c r="I1620">
        <v>60</v>
      </c>
      <c r="J1620">
        <v>32.1</v>
      </c>
      <c r="K1620">
        <v>217.4</v>
      </c>
      <c r="L1620">
        <v>64</v>
      </c>
      <c r="M1620">
        <v>18.48</v>
      </c>
      <c r="N1620">
        <v>220.1</v>
      </c>
      <c r="O1620">
        <v>100</v>
      </c>
      <c r="P1620">
        <v>9.9</v>
      </c>
      <c r="Q1620">
        <v>8.1999999999999993</v>
      </c>
      <c r="R1620">
        <v>7</v>
      </c>
      <c r="S1620">
        <v>2.21</v>
      </c>
      <c r="T1620">
        <v>4</v>
      </c>
      <c r="U1620" t="s">
        <v>22</v>
      </c>
      <c r="V1620" t="e">
        <f>IF(#REF! = "yes", 1, 0)</f>
        <v>#REF!</v>
      </c>
      <c r="W1620" t="e">
        <f>IF(#REF! &lt;= 1, "0-1 Calls", IF(#REF! &lt;= 3, "2-3 Calls", IF(#REF! &lt;=5, "4-5 Calls", "6+ Calls")))</f>
        <v>#REF!</v>
      </c>
      <c r="X1620" t="e">
        <f>IF(#REF! &lt;= 50, "0-50", IF(#REF! &lt;=100, "51-100", IF(#REF! &lt;= 150, "101-150", "151+")))</f>
        <v>#REF!</v>
      </c>
      <c r="Y1620" t="e">
        <f>IF(#REF! &lt;= 3, "Low Charges", "High Charges")</f>
        <v>#REF!</v>
      </c>
      <c r="Z1620" t="e">
        <f>IF(#REF!&lt;=80,"Low Calls",
IF(#REF!&lt;=120,"Medium Calls","High Calls"))</f>
        <v>#REF!</v>
      </c>
      <c r="AA1620" t="e">
        <f>IF(#REF!&lt;=15,"Low Charges",
IF(#REF!&lt;=20,"Medium Charges","High Charges"))</f>
        <v>#REF!</v>
      </c>
      <c r="AB1620" t="e">
        <f>IF(AND(#REF!&gt;180, #REF!&gt;200), "Heavy Doemstic User", IF(#REF!&gt;10, "Interntional User", IF(AND(#REF!&lt;180, #REF!&lt;200,#REF!&lt;200), "Light User", "Balanced User")))</f>
        <v>#REF!</v>
      </c>
      <c r="AC1620" t="e">
        <f>IF(#REF! = 0, "No Usage", IF(#REF! &lt;= 20, "Low Usage", IF(#REF! &lt;= 40, "Medium Usgae", "High Usage")))</f>
        <v>#REF!</v>
      </c>
      <c r="AD1620" t="e">
        <f>IF(#REF!&lt;=150,"Low Usage", IF(#REF!&lt;=200,"Medium Usage", IF(#REF!&lt;=250,"High Usage","Very High Usage")))</f>
        <v>#REF!</v>
      </c>
      <c r="AE1620" t="e">
        <f>IF(#REF!&lt;=5,"Low Calls", IF(#REF!&lt;=10, "Medium Calls", "High Calls"))</f>
        <v>#REF!</v>
      </c>
      <c r="AF1620" t="e">
        <f xml:space="preserve">
IF(#REF!&gt;=4,4,0)+
IF(#REF!="yes",3,0)+
IF(#REF!="High Charges",3,0)+
IF(#REF!&gt;250,4,0)+
IF(#REF!="no",1,0)+
IF(#REF!="Heavy Domestic User",2,0)</f>
        <v>#REF!</v>
      </c>
      <c r="AG1620" t="e">
        <f>IF(#REF!&gt;=10,"High Risk", IF(#REF!&gt;=5,"Medium Risk","Low Risk"))</f>
        <v>#REF!</v>
      </c>
      <c r="AH1620" t="e">
        <f>#REF! + #REF! + #REF! + #REF!</f>
        <v>#REF!</v>
      </c>
    </row>
    <row r="1621" spans="1:34" x14ac:dyDescent="0.35">
      <c r="A1621">
        <v>1620</v>
      </c>
      <c r="B1621" t="s">
        <v>46</v>
      </c>
      <c r="C1621">
        <v>103</v>
      </c>
      <c r="D1621" t="s">
        <v>25</v>
      </c>
      <c r="E1621" t="s">
        <v>22</v>
      </c>
      <c r="F1621" t="s">
        <v>22</v>
      </c>
      <c r="G1621">
        <v>0</v>
      </c>
      <c r="H1621">
        <v>150.6</v>
      </c>
      <c r="I1621">
        <v>125</v>
      </c>
      <c r="J1621">
        <v>25.6</v>
      </c>
      <c r="K1621">
        <v>169.1</v>
      </c>
      <c r="L1621">
        <v>126</v>
      </c>
      <c r="M1621">
        <v>14.37</v>
      </c>
      <c r="N1621">
        <v>221.2</v>
      </c>
      <c r="O1621">
        <v>104</v>
      </c>
      <c r="P1621">
        <v>9.9499999999999993</v>
      </c>
      <c r="Q1621">
        <v>10.4</v>
      </c>
      <c r="R1621">
        <v>8</v>
      </c>
      <c r="S1621">
        <v>2.81</v>
      </c>
      <c r="T1621">
        <v>8</v>
      </c>
      <c r="U1621" t="s">
        <v>23</v>
      </c>
      <c r="V1621" t="e">
        <f>IF(#REF! = "yes", 1, 0)</f>
        <v>#REF!</v>
      </c>
      <c r="W1621" t="e">
        <f>IF(#REF! &lt;= 1, "0-1 Calls", IF(#REF! &lt;= 3, "2-3 Calls", IF(#REF! &lt;=5, "4-5 Calls", "6+ Calls")))</f>
        <v>#REF!</v>
      </c>
      <c r="X1621" t="e">
        <f>IF(#REF! &lt;= 50, "0-50", IF(#REF! &lt;=100, "51-100", IF(#REF! &lt;= 150, "101-150", "151+")))</f>
        <v>#REF!</v>
      </c>
      <c r="Y1621" t="e">
        <f>IF(#REF! &lt;= 3, "Low Charges", "High Charges")</f>
        <v>#REF!</v>
      </c>
      <c r="Z1621" t="e">
        <f>IF(#REF!&lt;=80,"Low Calls",
IF(#REF!&lt;=120,"Medium Calls","High Calls"))</f>
        <v>#REF!</v>
      </c>
      <c r="AA1621" t="e">
        <f>IF(#REF!&lt;=15,"Low Charges",
IF(#REF!&lt;=20,"Medium Charges","High Charges"))</f>
        <v>#REF!</v>
      </c>
      <c r="AB1621" t="e">
        <f>IF(AND(#REF!&gt;180, #REF!&gt;200), "Heavy Doemstic User", IF(#REF!&gt;10, "Interntional User", IF(AND(#REF!&lt;180, #REF!&lt;200,#REF!&lt;200), "Light User", "Balanced User")))</f>
        <v>#REF!</v>
      </c>
      <c r="AC1621" t="e">
        <f>IF(#REF! = 0, "No Usage", IF(#REF! &lt;= 20, "Low Usage", IF(#REF! &lt;= 40, "Medium Usgae", "High Usage")))</f>
        <v>#REF!</v>
      </c>
      <c r="AD1621" t="e">
        <f>IF(#REF!&lt;=150,"Low Usage", IF(#REF!&lt;=200,"Medium Usage", IF(#REF!&lt;=250,"High Usage","Very High Usage")))</f>
        <v>#REF!</v>
      </c>
      <c r="AE1621" t="e">
        <f>IF(#REF!&lt;=5,"Low Calls", IF(#REF!&lt;=10, "Medium Calls", "High Calls"))</f>
        <v>#REF!</v>
      </c>
      <c r="AF1621" t="e">
        <f xml:space="preserve">
IF(#REF!&gt;=4,4,0)+
IF(#REF!="yes",3,0)+
IF(#REF!="High Charges",3,0)+
IF(#REF!&gt;250,4,0)+
IF(#REF!="no",1,0)+
IF(#REF!="Heavy Domestic User",2,0)</f>
        <v>#REF!</v>
      </c>
      <c r="AG1621" t="e">
        <f>IF(#REF!&gt;=10,"High Risk", IF(#REF!&gt;=5,"Medium Risk","Low Risk"))</f>
        <v>#REF!</v>
      </c>
      <c r="AH1621" t="e">
        <f>#REF! + #REF! + #REF! + #REF!</f>
        <v>#REF!</v>
      </c>
    </row>
    <row r="1622" spans="1:34" x14ac:dyDescent="0.35">
      <c r="A1622">
        <v>1621</v>
      </c>
      <c r="B1622" t="s">
        <v>55</v>
      </c>
      <c r="C1622">
        <v>61</v>
      </c>
      <c r="D1622" t="s">
        <v>25</v>
      </c>
      <c r="E1622" t="s">
        <v>22</v>
      </c>
      <c r="F1622" t="s">
        <v>23</v>
      </c>
      <c r="G1622">
        <v>25</v>
      </c>
      <c r="H1622">
        <v>163.69999999999999</v>
      </c>
      <c r="I1622">
        <v>78</v>
      </c>
      <c r="J1622">
        <v>27.83</v>
      </c>
      <c r="K1622">
        <v>113.2</v>
      </c>
      <c r="L1622">
        <v>112</v>
      </c>
      <c r="M1622">
        <v>9.6199999999999992</v>
      </c>
      <c r="N1622">
        <v>134.1</v>
      </c>
      <c r="O1622">
        <v>118</v>
      </c>
      <c r="P1622">
        <v>6.03</v>
      </c>
      <c r="Q1622">
        <v>9.9</v>
      </c>
      <c r="R1622">
        <v>3</v>
      </c>
      <c r="S1622">
        <v>2.67</v>
      </c>
      <c r="T1622">
        <v>3</v>
      </c>
      <c r="U1622" t="s">
        <v>22</v>
      </c>
      <c r="V1622" t="e">
        <f>IF(#REF! = "yes", 1, 0)</f>
        <v>#REF!</v>
      </c>
      <c r="W1622" t="e">
        <f>IF(#REF! &lt;= 1, "0-1 Calls", IF(#REF! &lt;= 3, "2-3 Calls", IF(#REF! &lt;=5, "4-5 Calls", "6+ Calls")))</f>
        <v>#REF!</v>
      </c>
      <c r="X1622" t="e">
        <f>IF(#REF! &lt;= 50, "0-50", IF(#REF! &lt;=100, "51-100", IF(#REF! &lt;= 150, "101-150", "151+")))</f>
        <v>#REF!</v>
      </c>
      <c r="Y1622" t="e">
        <f>IF(#REF! &lt;= 3, "Low Charges", "High Charges")</f>
        <v>#REF!</v>
      </c>
      <c r="Z1622" t="e">
        <f>IF(#REF!&lt;=80,"Low Calls",
IF(#REF!&lt;=120,"Medium Calls","High Calls"))</f>
        <v>#REF!</v>
      </c>
      <c r="AA1622" t="e">
        <f>IF(#REF!&lt;=15,"Low Charges",
IF(#REF!&lt;=20,"Medium Charges","High Charges"))</f>
        <v>#REF!</v>
      </c>
      <c r="AB1622" t="e">
        <f>IF(AND(#REF!&gt;180, #REF!&gt;200), "Heavy Doemstic User", IF(#REF!&gt;10, "Interntional User", IF(AND(#REF!&lt;180, #REF!&lt;200,#REF!&lt;200), "Light User", "Balanced User")))</f>
        <v>#REF!</v>
      </c>
      <c r="AC1622" t="e">
        <f>IF(#REF! = 0, "No Usage", IF(#REF! &lt;= 20, "Low Usage", IF(#REF! &lt;= 40, "Medium Usgae", "High Usage")))</f>
        <v>#REF!</v>
      </c>
      <c r="AD1622" t="e">
        <f>IF(#REF!&lt;=150,"Low Usage", IF(#REF!&lt;=200,"Medium Usage", IF(#REF!&lt;=250,"High Usage","Very High Usage")))</f>
        <v>#REF!</v>
      </c>
      <c r="AE1622" t="e">
        <f>IF(#REF!&lt;=5,"Low Calls", IF(#REF!&lt;=10, "Medium Calls", "High Calls"))</f>
        <v>#REF!</v>
      </c>
      <c r="AF1622" t="e">
        <f xml:space="preserve">
IF(#REF!&gt;=4,4,0)+
IF(#REF!="yes",3,0)+
IF(#REF!="High Charges",3,0)+
IF(#REF!&gt;250,4,0)+
IF(#REF!="no",1,0)+
IF(#REF!="Heavy Domestic User",2,0)</f>
        <v>#REF!</v>
      </c>
      <c r="AG1622" t="e">
        <f>IF(#REF!&gt;=10,"High Risk", IF(#REF!&gt;=5,"Medium Risk","Low Risk"))</f>
        <v>#REF!</v>
      </c>
      <c r="AH1622" t="e">
        <f>#REF! + #REF! + #REF! + #REF!</f>
        <v>#REF!</v>
      </c>
    </row>
    <row r="1623" spans="1:34" x14ac:dyDescent="0.35">
      <c r="A1623">
        <v>1622</v>
      </c>
      <c r="B1623" t="s">
        <v>31</v>
      </c>
      <c r="C1623">
        <v>172</v>
      </c>
      <c r="D1623" t="s">
        <v>21</v>
      </c>
      <c r="E1623" t="s">
        <v>22</v>
      </c>
      <c r="F1623" t="s">
        <v>22</v>
      </c>
      <c r="G1623">
        <v>0</v>
      </c>
      <c r="H1623">
        <v>211.7</v>
      </c>
      <c r="I1623">
        <v>100</v>
      </c>
      <c r="J1623">
        <v>35.99</v>
      </c>
      <c r="K1623">
        <v>198.7</v>
      </c>
      <c r="L1623">
        <v>101</v>
      </c>
      <c r="M1623">
        <v>16.89</v>
      </c>
      <c r="N1623">
        <v>301.7</v>
      </c>
      <c r="O1623">
        <v>136</v>
      </c>
      <c r="P1623">
        <v>13.58</v>
      </c>
      <c r="Q1623">
        <v>6.5</v>
      </c>
      <c r="R1623">
        <v>9</v>
      </c>
      <c r="S1623">
        <v>1.76</v>
      </c>
      <c r="T1623">
        <v>1</v>
      </c>
      <c r="U1623" t="s">
        <v>22</v>
      </c>
      <c r="V1623" t="e">
        <f>IF(#REF! = "yes", 1, 0)</f>
        <v>#REF!</v>
      </c>
      <c r="W1623" t="e">
        <f>IF(#REF! &lt;= 1, "0-1 Calls", IF(#REF! &lt;= 3, "2-3 Calls", IF(#REF! &lt;=5, "4-5 Calls", "6+ Calls")))</f>
        <v>#REF!</v>
      </c>
      <c r="X1623" t="e">
        <f>IF(#REF! &lt;= 50, "0-50", IF(#REF! &lt;=100, "51-100", IF(#REF! &lt;= 150, "101-150", "151+")))</f>
        <v>#REF!</v>
      </c>
      <c r="Y1623" t="e">
        <f>IF(#REF! &lt;= 3, "Low Charges", "High Charges")</f>
        <v>#REF!</v>
      </c>
      <c r="Z1623" t="e">
        <f>IF(#REF!&lt;=80,"Low Calls",
IF(#REF!&lt;=120,"Medium Calls","High Calls"))</f>
        <v>#REF!</v>
      </c>
      <c r="AA1623" t="e">
        <f>IF(#REF!&lt;=15,"Low Charges",
IF(#REF!&lt;=20,"Medium Charges","High Charges"))</f>
        <v>#REF!</v>
      </c>
      <c r="AB1623" t="e">
        <f>IF(AND(#REF!&gt;180, #REF!&gt;200), "Heavy Doemstic User", IF(#REF!&gt;10, "Interntional User", IF(AND(#REF!&lt;180, #REF!&lt;200,#REF!&lt;200), "Light User", "Balanced User")))</f>
        <v>#REF!</v>
      </c>
      <c r="AC1623" t="e">
        <f>IF(#REF! = 0, "No Usage", IF(#REF! &lt;= 20, "Low Usage", IF(#REF! &lt;= 40, "Medium Usgae", "High Usage")))</f>
        <v>#REF!</v>
      </c>
      <c r="AD1623" t="e">
        <f>IF(#REF!&lt;=150,"Low Usage", IF(#REF!&lt;=200,"Medium Usage", IF(#REF!&lt;=250,"High Usage","Very High Usage")))</f>
        <v>#REF!</v>
      </c>
      <c r="AE1623" t="e">
        <f>IF(#REF!&lt;=5,"Low Calls", IF(#REF!&lt;=10, "Medium Calls", "High Calls"))</f>
        <v>#REF!</v>
      </c>
      <c r="AF1623" t="e">
        <f xml:space="preserve">
IF(#REF!&gt;=4,4,0)+
IF(#REF!="yes",3,0)+
IF(#REF!="High Charges",3,0)+
IF(#REF!&gt;250,4,0)+
IF(#REF!="no",1,0)+
IF(#REF!="Heavy Domestic User",2,0)</f>
        <v>#REF!</v>
      </c>
      <c r="AG1623" t="e">
        <f>IF(#REF!&gt;=10,"High Risk", IF(#REF!&gt;=5,"Medium Risk","Low Risk"))</f>
        <v>#REF!</v>
      </c>
      <c r="AH1623" t="e">
        <f>#REF! + #REF! + #REF! + #REF!</f>
        <v>#REF!</v>
      </c>
    </row>
    <row r="1624" spans="1:34" x14ac:dyDescent="0.35">
      <c r="A1624">
        <v>1623</v>
      </c>
      <c r="B1624" t="s">
        <v>24</v>
      </c>
      <c r="C1624">
        <v>72</v>
      </c>
      <c r="D1624" t="s">
        <v>21</v>
      </c>
      <c r="E1624" t="s">
        <v>22</v>
      </c>
      <c r="F1624" t="s">
        <v>22</v>
      </c>
      <c r="G1624">
        <v>0</v>
      </c>
      <c r="H1624">
        <v>175.5</v>
      </c>
      <c r="I1624">
        <v>103</v>
      </c>
      <c r="J1624">
        <v>29.84</v>
      </c>
      <c r="K1624">
        <v>132.30000000000001</v>
      </c>
      <c r="L1624">
        <v>120</v>
      </c>
      <c r="M1624">
        <v>11.25</v>
      </c>
      <c r="N1624">
        <v>242.9</v>
      </c>
      <c r="O1624">
        <v>96</v>
      </c>
      <c r="P1624">
        <v>10.93</v>
      </c>
      <c r="Q1624">
        <v>11.8</v>
      </c>
      <c r="R1624">
        <v>3</v>
      </c>
      <c r="S1624">
        <v>3.19</v>
      </c>
      <c r="T1624">
        <v>1</v>
      </c>
      <c r="U1624" t="s">
        <v>22</v>
      </c>
      <c r="V1624" t="e">
        <f>IF(#REF! = "yes", 1, 0)</f>
        <v>#REF!</v>
      </c>
      <c r="W1624" t="e">
        <f>IF(#REF! &lt;= 1, "0-1 Calls", IF(#REF! &lt;= 3, "2-3 Calls", IF(#REF! &lt;=5, "4-5 Calls", "6+ Calls")))</f>
        <v>#REF!</v>
      </c>
      <c r="X1624" t="e">
        <f>IF(#REF! &lt;= 50, "0-50", IF(#REF! &lt;=100, "51-100", IF(#REF! &lt;= 150, "101-150", "151+")))</f>
        <v>#REF!</v>
      </c>
      <c r="Y1624" t="e">
        <f>IF(#REF! &lt;= 3, "Low Charges", "High Charges")</f>
        <v>#REF!</v>
      </c>
      <c r="Z1624" t="e">
        <f>IF(#REF!&lt;=80,"Low Calls",
IF(#REF!&lt;=120,"Medium Calls","High Calls"))</f>
        <v>#REF!</v>
      </c>
      <c r="AA1624" t="e">
        <f>IF(#REF!&lt;=15,"Low Charges",
IF(#REF!&lt;=20,"Medium Charges","High Charges"))</f>
        <v>#REF!</v>
      </c>
      <c r="AB1624" t="e">
        <f>IF(AND(#REF!&gt;180, #REF!&gt;200), "Heavy Doemstic User", IF(#REF!&gt;10, "Interntional User", IF(AND(#REF!&lt;180, #REF!&lt;200,#REF!&lt;200), "Light User", "Balanced User")))</f>
        <v>#REF!</v>
      </c>
      <c r="AC1624" t="e">
        <f>IF(#REF! = 0, "No Usage", IF(#REF! &lt;= 20, "Low Usage", IF(#REF! &lt;= 40, "Medium Usgae", "High Usage")))</f>
        <v>#REF!</v>
      </c>
      <c r="AD1624" t="e">
        <f>IF(#REF!&lt;=150,"Low Usage", IF(#REF!&lt;=200,"Medium Usage", IF(#REF!&lt;=250,"High Usage","Very High Usage")))</f>
        <v>#REF!</v>
      </c>
      <c r="AE1624" t="e">
        <f>IF(#REF!&lt;=5,"Low Calls", IF(#REF!&lt;=10, "Medium Calls", "High Calls"))</f>
        <v>#REF!</v>
      </c>
      <c r="AF1624" t="e">
        <f xml:space="preserve">
IF(#REF!&gt;=4,4,0)+
IF(#REF!="yes",3,0)+
IF(#REF!="High Charges",3,0)+
IF(#REF!&gt;250,4,0)+
IF(#REF!="no",1,0)+
IF(#REF!="Heavy Domestic User",2,0)</f>
        <v>#REF!</v>
      </c>
      <c r="AG1624" t="e">
        <f>IF(#REF!&gt;=10,"High Risk", IF(#REF!&gt;=5,"Medium Risk","Low Risk"))</f>
        <v>#REF!</v>
      </c>
      <c r="AH1624" t="e">
        <f>#REF! + #REF! + #REF! + #REF!</f>
        <v>#REF!</v>
      </c>
    </row>
    <row r="1625" spans="1:34" x14ac:dyDescent="0.35">
      <c r="A1625">
        <v>1624</v>
      </c>
      <c r="B1625" t="s">
        <v>61</v>
      </c>
      <c r="C1625">
        <v>113</v>
      </c>
      <c r="D1625" t="s">
        <v>28</v>
      </c>
      <c r="E1625" t="s">
        <v>22</v>
      </c>
      <c r="F1625" t="s">
        <v>22</v>
      </c>
      <c r="G1625">
        <v>0</v>
      </c>
      <c r="H1625">
        <v>150.1</v>
      </c>
      <c r="I1625">
        <v>120</v>
      </c>
      <c r="J1625">
        <v>25.52</v>
      </c>
      <c r="K1625">
        <v>200.1</v>
      </c>
      <c r="L1625">
        <v>85</v>
      </c>
      <c r="M1625">
        <v>17.010000000000002</v>
      </c>
      <c r="N1625">
        <v>266.7</v>
      </c>
      <c r="O1625">
        <v>105</v>
      </c>
      <c r="P1625">
        <v>12</v>
      </c>
      <c r="Q1625">
        <v>11</v>
      </c>
      <c r="R1625">
        <v>3</v>
      </c>
      <c r="S1625">
        <v>2.97</v>
      </c>
      <c r="T1625">
        <v>2</v>
      </c>
      <c r="U1625" t="s">
        <v>22</v>
      </c>
      <c r="V1625" t="e">
        <f>IF(#REF! = "yes", 1, 0)</f>
        <v>#REF!</v>
      </c>
      <c r="W1625" t="e">
        <f>IF(#REF! &lt;= 1, "0-1 Calls", IF(#REF! &lt;= 3, "2-3 Calls", IF(#REF! &lt;=5, "4-5 Calls", "6+ Calls")))</f>
        <v>#REF!</v>
      </c>
      <c r="X1625" t="e">
        <f>IF(#REF! &lt;= 50, "0-50", IF(#REF! &lt;=100, "51-100", IF(#REF! &lt;= 150, "101-150", "151+")))</f>
        <v>#REF!</v>
      </c>
      <c r="Y1625" t="e">
        <f>IF(#REF! &lt;= 3, "Low Charges", "High Charges")</f>
        <v>#REF!</v>
      </c>
      <c r="Z1625" t="e">
        <f>IF(#REF!&lt;=80,"Low Calls",
IF(#REF!&lt;=120,"Medium Calls","High Calls"))</f>
        <v>#REF!</v>
      </c>
      <c r="AA1625" t="e">
        <f>IF(#REF!&lt;=15,"Low Charges",
IF(#REF!&lt;=20,"Medium Charges","High Charges"))</f>
        <v>#REF!</v>
      </c>
      <c r="AB1625" t="e">
        <f>IF(AND(#REF!&gt;180, #REF!&gt;200), "Heavy Doemstic User", IF(#REF!&gt;10, "Interntional User", IF(AND(#REF!&lt;180, #REF!&lt;200,#REF!&lt;200), "Light User", "Balanced User")))</f>
        <v>#REF!</v>
      </c>
      <c r="AC1625" t="e">
        <f>IF(#REF! = 0, "No Usage", IF(#REF! &lt;= 20, "Low Usage", IF(#REF! &lt;= 40, "Medium Usgae", "High Usage")))</f>
        <v>#REF!</v>
      </c>
      <c r="AD1625" t="e">
        <f>IF(#REF!&lt;=150,"Low Usage", IF(#REF!&lt;=200,"Medium Usage", IF(#REF!&lt;=250,"High Usage","Very High Usage")))</f>
        <v>#REF!</v>
      </c>
      <c r="AE1625" t="e">
        <f>IF(#REF!&lt;=5,"Low Calls", IF(#REF!&lt;=10, "Medium Calls", "High Calls"))</f>
        <v>#REF!</v>
      </c>
      <c r="AF1625" t="e">
        <f xml:space="preserve">
IF(#REF!&gt;=4,4,0)+
IF(#REF!="yes",3,0)+
IF(#REF!="High Charges",3,0)+
IF(#REF!&gt;250,4,0)+
IF(#REF!="no",1,0)+
IF(#REF!="Heavy Domestic User",2,0)</f>
        <v>#REF!</v>
      </c>
      <c r="AG1625" t="e">
        <f>IF(#REF!&gt;=10,"High Risk", IF(#REF!&gt;=5,"Medium Risk","Low Risk"))</f>
        <v>#REF!</v>
      </c>
      <c r="AH1625" t="e">
        <f>#REF! + #REF! + #REF! + #REF!</f>
        <v>#REF!</v>
      </c>
    </row>
    <row r="1626" spans="1:34" x14ac:dyDescent="0.35">
      <c r="A1626">
        <v>1625</v>
      </c>
      <c r="B1626" t="s">
        <v>75</v>
      </c>
      <c r="C1626">
        <v>177</v>
      </c>
      <c r="D1626" t="s">
        <v>25</v>
      </c>
      <c r="E1626" t="s">
        <v>22</v>
      </c>
      <c r="F1626" t="s">
        <v>22</v>
      </c>
      <c r="G1626">
        <v>0</v>
      </c>
      <c r="H1626">
        <v>189.5</v>
      </c>
      <c r="I1626">
        <v>99</v>
      </c>
      <c r="J1626">
        <v>32.22</v>
      </c>
      <c r="K1626">
        <v>176.3</v>
      </c>
      <c r="L1626">
        <v>117</v>
      </c>
      <c r="M1626">
        <v>14.99</v>
      </c>
      <c r="N1626">
        <v>225.9</v>
      </c>
      <c r="O1626">
        <v>112</v>
      </c>
      <c r="P1626">
        <v>10.17</v>
      </c>
      <c r="Q1626">
        <v>14.2</v>
      </c>
      <c r="R1626">
        <v>2</v>
      </c>
      <c r="S1626">
        <v>3.83</v>
      </c>
      <c r="T1626">
        <v>1</v>
      </c>
      <c r="U1626" t="s">
        <v>22</v>
      </c>
      <c r="V1626" t="e">
        <f>IF(#REF! = "yes", 1, 0)</f>
        <v>#REF!</v>
      </c>
      <c r="W1626" t="e">
        <f>IF(#REF! &lt;= 1, "0-1 Calls", IF(#REF! &lt;= 3, "2-3 Calls", IF(#REF! &lt;=5, "4-5 Calls", "6+ Calls")))</f>
        <v>#REF!</v>
      </c>
      <c r="X1626" t="e">
        <f>IF(#REF! &lt;= 50, "0-50", IF(#REF! &lt;=100, "51-100", IF(#REF! &lt;= 150, "101-150", "151+")))</f>
        <v>#REF!</v>
      </c>
      <c r="Y1626" t="e">
        <f>IF(#REF! &lt;= 3, "Low Charges", "High Charges")</f>
        <v>#REF!</v>
      </c>
      <c r="Z1626" t="e">
        <f>IF(#REF!&lt;=80,"Low Calls",
IF(#REF!&lt;=120,"Medium Calls","High Calls"))</f>
        <v>#REF!</v>
      </c>
      <c r="AA1626" t="e">
        <f>IF(#REF!&lt;=15,"Low Charges",
IF(#REF!&lt;=20,"Medium Charges","High Charges"))</f>
        <v>#REF!</v>
      </c>
      <c r="AB1626" t="e">
        <f>IF(AND(#REF!&gt;180, #REF!&gt;200), "Heavy Doemstic User", IF(#REF!&gt;10, "Interntional User", IF(AND(#REF!&lt;180, #REF!&lt;200,#REF!&lt;200), "Light User", "Balanced User")))</f>
        <v>#REF!</v>
      </c>
      <c r="AC1626" t="e">
        <f>IF(#REF! = 0, "No Usage", IF(#REF! &lt;= 20, "Low Usage", IF(#REF! &lt;= 40, "Medium Usgae", "High Usage")))</f>
        <v>#REF!</v>
      </c>
      <c r="AD1626" t="e">
        <f>IF(#REF!&lt;=150,"Low Usage", IF(#REF!&lt;=200,"Medium Usage", IF(#REF!&lt;=250,"High Usage","Very High Usage")))</f>
        <v>#REF!</v>
      </c>
      <c r="AE1626" t="e">
        <f>IF(#REF!&lt;=5,"Low Calls", IF(#REF!&lt;=10, "Medium Calls", "High Calls"))</f>
        <v>#REF!</v>
      </c>
      <c r="AF1626" t="e">
        <f xml:space="preserve">
IF(#REF!&gt;=4,4,0)+
IF(#REF!="yes",3,0)+
IF(#REF!="High Charges",3,0)+
IF(#REF!&gt;250,4,0)+
IF(#REF!="no",1,0)+
IF(#REF!="Heavy Domestic User",2,0)</f>
        <v>#REF!</v>
      </c>
      <c r="AG1626" t="e">
        <f>IF(#REF!&gt;=10,"High Risk", IF(#REF!&gt;=5,"Medium Risk","Low Risk"))</f>
        <v>#REF!</v>
      </c>
      <c r="AH1626" t="e">
        <f>#REF! + #REF! + #REF! + #REF!</f>
        <v>#REF!</v>
      </c>
    </row>
    <row r="1627" spans="1:34" x14ac:dyDescent="0.35">
      <c r="A1627">
        <v>1626</v>
      </c>
      <c r="B1627" t="s">
        <v>59</v>
      </c>
      <c r="C1627">
        <v>100</v>
      </c>
      <c r="D1627" t="s">
        <v>25</v>
      </c>
      <c r="E1627" t="s">
        <v>22</v>
      </c>
      <c r="F1627" t="s">
        <v>22</v>
      </c>
      <c r="G1627">
        <v>0</v>
      </c>
      <c r="H1627">
        <v>70.8</v>
      </c>
      <c r="I1627">
        <v>94</v>
      </c>
      <c r="J1627">
        <v>12.04</v>
      </c>
      <c r="K1627">
        <v>215.6</v>
      </c>
      <c r="L1627">
        <v>102</v>
      </c>
      <c r="M1627">
        <v>18.329999999999998</v>
      </c>
      <c r="N1627">
        <v>230.8</v>
      </c>
      <c r="O1627">
        <v>125</v>
      </c>
      <c r="P1627">
        <v>10.39</v>
      </c>
      <c r="Q1627">
        <v>9.5</v>
      </c>
      <c r="R1627">
        <v>1</v>
      </c>
      <c r="S1627">
        <v>2.57</v>
      </c>
      <c r="T1627">
        <v>6</v>
      </c>
      <c r="U1627" t="s">
        <v>23</v>
      </c>
      <c r="V1627" t="e">
        <f>IF(#REF! = "yes", 1, 0)</f>
        <v>#REF!</v>
      </c>
      <c r="W1627" t="e">
        <f>IF(#REF! &lt;= 1, "0-1 Calls", IF(#REF! &lt;= 3, "2-3 Calls", IF(#REF! &lt;=5, "4-5 Calls", "6+ Calls")))</f>
        <v>#REF!</v>
      </c>
      <c r="X1627" t="e">
        <f>IF(#REF! &lt;= 50, "0-50", IF(#REF! &lt;=100, "51-100", IF(#REF! &lt;= 150, "101-150", "151+")))</f>
        <v>#REF!</v>
      </c>
      <c r="Y1627" t="e">
        <f>IF(#REF! &lt;= 3, "Low Charges", "High Charges")</f>
        <v>#REF!</v>
      </c>
      <c r="Z1627" t="e">
        <f>IF(#REF!&lt;=80,"Low Calls",
IF(#REF!&lt;=120,"Medium Calls","High Calls"))</f>
        <v>#REF!</v>
      </c>
      <c r="AA1627" t="e">
        <f>IF(#REF!&lt;=15,"Low Charges",
IF(#REF!&lt;=20,"Medium Charges","High Charges"))</f>
        <v>#REF!</v>
      </c>
      <c r="AB1627" t="e">
        <f>IF(AND(#REF!&gt;180, #REF!&gt;200), "Heavy Doemstic User", IF(#REF!&gt;10, "Interntional User", IF(AND(#REF!&lt;180, #REF!&lt;200,#REF!&lt;200), "Light User", "Balanced User")))</f>
        <v>#REF!</v>
      </c>
      <c r="AC1627" t="e">
        <f>IF(#REF! = 0, "No Usage", IF(#REF! &lt;= 20, "Low Usage", IF(#REF! &lt;= 40, "Medium Usgae", "High Usage")))</f>
        <v>#REF!</v>
      </c>
      <c r="AD1627" t="e">
        <f>IF(#REF!&lt;=150,"Low Usage", IF(#REF!&lt;=200,"Medium Usage", IF(#REF!&lt;=250,"High Usage","Very High Usage")))</f>
        <v>#REF!</v>
      </c>
      <c r="AE1627" t="e">
        <f>IF(#REF!&lt;=5,"Low Calls", IF(#REF!&lt;=10, "Medium Calls", "High Calls"))</f>
        <v>#REF!</v>
      </c>
      <c r="AF1627" t="e">
        <f xml:space="preserve">
IF(#REF!&gt;=4,4,0)+
IF(#REF!="yes",3,0)+
IF(#REF!="High Charges",3,0)+
IF(#REF!&gt;250,4,0)+
IF(#REF!="no",1,0)+
IF(#REF!="Heavy Domestic User",2,0)</f>
        <v>#REF!</v>
      </c>
      <c r="AG1627" t="e">
        <f>IF(#REF!&gt;=10,"High Risk", IF(#REF!&gt;=5,"Medium Risk","Low Risk"))</f>
        <v>#REF!</v>
      </c>
      <c r="AH1627" t="e">
        <f>#REF! + #REF! + #REF! + #REF!</f>
        <v>#REF!</v>
      </c>
    </row>
    <row r="1628" spans="1:34" x14ac:dyDescent="0.35">
      <c r="A1628">
        <v>1627</v>
      </c>
      <c r="B1628" t="s">
        <v>54</v>
      </c>
      <c r="C1628">
        <v>136</v>
      </c>
      <c r="D1628" t="s">
        <v>21</v>
      </c>
      <c r="E1628" t="s">
        <v>22</v>
      </c>
      <c r="F1628" t="s">
        <v>22</v>
      </c>
      <c r="G1628">
        <v>0</v>
      </c>
      <c r="H1628">
        <v>101.7</v>
      </c>
      <c r="I1628">
        <v>105</v>
      </c>
      <c r="J1628">
        <v>17.29</v>
      </c>
      <c r="K1628">
        <v>202.8</v>
      </c>
      <c r="L1628">
        <v>99</v>
      </c>
      <c r="M1628">
        <v>17.239999999999998</v>
      </c>
      <c r="N1628">
        <v>136.19999999999999</v>
      </c>
      <c r="O1628">
        <v>119</v>
      </c>
      <c r="P1628">
        <v>6.13</v>
      </c>
      <c r="Q1628">
        <v>9.4</v>
      </c>
      <c r="R1628">
        <v>6</v>
      </c>
      <c r="S1628">
        <v>2.54</v>
      </c>
      <c r="T1628">
        <v>3</v>
      </c>
      <c r="U1628" t="s">
        <v>22</v>
      </c>
      <c r="V1628" t="e">
        <f>IF(#REF! = "yes", 1, 0)</f>
        <v>#REF!</v>
      </c>
      <c r="W1628" t="e">
        <f>IF(#REF! &lt;= 1, "0-1 Calls", IF(#REF! &lt;= 3, "2-3 Calls", IF(#REF! &lt;=5, "4-5 Calls", "6+ Calls")))</f>
        <v>#REF!</v>
      </c>
      <c r="X1628" t="e">
        <f>IF(#REF! &lt;= 50, "0-50", IF(#REF! &lt;=100, "51-100", IF(#REF! &lt;= 150, "101-150", "151+")))</f>
        <v>#REF!</v>
      </c>
      <c r="Y1628" t="e">
        <f>IF(#REF! &lt;= 3, "Low Charges", "High Charges")</f>
        <v>#REF!</v>
      </c>
      <c r="Z1628" t="e">
        <f>IF(#REF!&lt;=80,"Low Calls",
IF(#REF!&lt;=120,"Medium Calls","High Calls"))</f>
        <v>#REF!</v>
      </c>
      <c r="AA1628" t="e">
        <f>IF(#REF!&lt;=15,"Low Charges",
IF(#REF!&lt;=20,"Medium Charges","High Charges"))</f>
        <v>#REF!</v>
      </c>
      <c r="AB1628" t="e">
        <f>IF(AND(#REF!&gt;180, #REF!&gt;200), "Heavy Doemstic User", IF(#REF!&gt;10, "Interntional User", IF(AND(#REF!&lt;180, #REF!&lt;200,#REF!&lt;200), "Light User", "Balanced User")))</f>
        <v>#REF!</v>
      </c>
      <c r="AC1628" t="e">
        <f>IF(#REF! = 0, "No Usage", IF(#REF! &lt;= 20, "Low Usage", IF(#REF! &lt;= 40, "Medium Usgae", "High Usage")))</f>
        <v>#REF!</v>
      </c>
      <c r="AD1628" t="e">
        <f>IF(#REF!&lt;=150,"Low Usage", IF(#REF!&lt;=200,"Medium Usage", IF(#REF!&lt;=250,"High Usage","Very High Usage")))</f>
        <v>#REF!</v>
      </c>
      <c r="AE1628" t="e">
        <f>IF(#REF!&lt;=5,"Low Calls", IF(#REF!&lt;=10, "Medium Calls", "High Calls"))</f>
        <v>#REF!</v>
      </c>
      <c r="AF1628" t="e">
        <f xml:space="preserve">
IF(#REF!&gt;=4,4,0)+
IF(#REF!="yes",3,0)+
IF(#REF!="High Charges",3,0)+
IF(#REF!&gt;250,4,0)+
IF(#REF!="no",1,0)+
IF(#REF!="Heavy Domestic User",2,0)</f>
        <v>#REF!</v>
      </c>
      <c r="AG1628" t="e">
        <f>IF(#REF!&gt;=10,"High Risk", IF(#REF!&gt;=5,"Medium Risk","Low Risk"))</f>
        <v>#REF!</v>
      </c>
      <c r="AH1628" t="e">
        <f>#REF! + #REF! + #REF! + #REF!</f>
        <v>#REF!</v>
      </c>
    </row>
    <row r="1629" spans="1:34" x14ac:dyDescent="0.35">
      <c r="A1629">
        <v>1628</v>
      </c>
      <c r="B1629" t="s">
        <v>48</v>
      </c>
      <c r="C1629">
        <v>71</v>
      </c>
      <c r="D1629" t="s">
        <v>21</v>
      </c>
      <c r="E1629" t="s">
        <v>22</v>
      </c>
      <c r="F1629" t="s">
        <v>22</v>
      </c>
      <c r="G1629">
        <v>0</v>
      </c>
      <c r="H1629">
        <v>258.39999999999998</v>
      </c>
      <c r="I1629">
        <v>132</v>
      </c>
      <c r="J1629">
        <v>43.93</v>
      </c>
      <c r="K1629">
        <v>126.8</v>
      </c>
      <c r="L1629">
        <v>119</v>
      </c>
      <c r="M1629">
        <v>10.78</v>
      </c>
      <c r="N1629">
        <v>182.4</v>
      </c>
      <c r="O1629">
        <v>87</v>
      </c>
      <c r="P1629">
        <v>8.2100000000000009</v>
      </c>
      <c r="Q1629">
        <v>9.6999999999999993</v>
      </c>
      <c r="R1629">
        <v>8</v>
      </c>
      <c r="S1629">
        <v>2.62</v>
      </c>
      <c r="T1629">
        <v>4</v>
      </c>
      <c r="U1629" t="s">
        <v>22</v>
      </c>
      <c r="V1629" t="e">
        <f>IF(#REF! = "yes", 1, 0)</f>
        <v>#REF!</v>
      </c>
      <c r="W1629" t="e">
        <f>IF(#REF! &lt;= 1, "0-1 Calls", IF(#REF! &lt;= 3, "2-3 Calls", IF(#REF! &lt;=5, "4-5 Calls", "6+ Calls")))</f>
        <v>#REF!</v>
      </c>
      <c r="X1629" t="e">
        <f>IF(#REF! &lt;= 50, "0-50", IF(#REF! &lt;=100, "51-100", IF(#REF! &lt;= 150, "101-150", "151+")))</f>
        <v>#REF!</v>
      </c>
      <c r="Y1629" t="e">
        <f>IF(#REF! &lt;= 3, "Low Charges", "High Charges")</f>
        <v>#REF!</v>
      </c>
      <c r="Z1629" t="e">
        <f>IF(#REF!&lt;=80,"Low Calls",
IF(#REF!&lt;=120,"Medium Calls","High Calls"))</f>
        <v>#REF!</v>
      </c>
      <c r="AA1629" t="e">
        <f>IF(#REF!&lt;=15,"Low Charges",
IF(#REF!&lt;=20,"Medium Charges","High Charges"))</f>
        <v>#REF!</v>
      </c>
      <c r="AB1629" t="e">
        <f>IF(AND(#REF!&gt;180, #REF!&gt;200), "Heavy Doemstic User", IF(#REF!&gt;10, "Interntional User", IF(AND(#REF!&lt;180, #REF!&lt;200,#REF!&lt;200), "Light User", "Balanced User")))</f>
        <v>#REF!</v>
      </c>
      <c r="AC1629" t="e">
        <f>IF(#REF! = 0, "No Usage", IF(#REF! &lt;= 20, "Low Usage", IF(#REF! &lt;= 40, "Medium Usgae", "High Usage")))</f>
        <v>#REF!</v>
      </c>
      <c r="AD1629" t="e">
        <f>IF(#REF!&lt;=150,"Low Usage", IF(#REF!&lt;=200,"Medium Usage", IF(#REF!&lt;=250,"High Usage","Very High Usage")))</f>
        <v>#REF!</v>
      </c>
      <c r="AE1629" t="e">
        <f>IF(#REF!&lt;=5,"Low Calls", IF(#REF!&lt;=10, "Medium Calls", "High Calls"))</f>
        <v>#REF!</v>
      </c>
      <c r="AF1629" t="e">
        <f xml:space="preserve">
IF(#REF!&gt;=4,4,0)+
IF(#REF!="yes",3,0)+
IF(#REF!="High Charges",3,0)+
IF(#REF!&gt;250,4,0)+
IF(#REF!="no",1,0)+
IF(#REF!="Heavy Domestic User",2,0)</f>
        <v>#REF!</v>
      </c>
      <c r="AG1629" t="e">
        <f>IF(#REF!&gt;=10,"High Risk", IF(#REF!&gt;=5,"Medium Risk","Low Risk"))</f>
        <v>#REF!</v>
      </c>
      <c r="AH1629" t="e">
        <f>#REF! + #REF! + #REF! + #REF!</f>
        <v>#REF!</v>
      </c>
    </row>
    <row r="1630" spans="1:34" x14ac:dyDescent="0.35">
      <c r="A1630">
        <v>1629</v>
      </c>
      <c r="B1630" t="s">
        <v>45</v>
      </c>
      <c r="C1630">
        <v>134</v>
      </c>
      <c r="D1630" t="s">
        <v>25</v>
      </c>
      <c r="E1630" t="s">
        <v>22</v>
      </c>
      <c r="F1630" t="s">
        <v>22</v>
      </c>
      <c r="G1630">
        <v>0</v>
      </c>
      <c r="H1630">
        <v>242.4</v>
      </c>
      <c r="I1630">
        <v>126</v>
      </c>
      <c r="J1630">
        <v>41.21</v>
      </c>
      <c r="K1630">
        <v>152.9</v>
      </c>
      <c r="L1630">
        <v>115</v>
      </c>
      <c r="M1630">
        <v>13</v>
      </c>
      <c r="N1630">
        <v>318.3</v>
      </c>
      <c r="O1630">
        <v>115</v>
      </c>
      <c r="P1630">
        <v>14.32</v>
      </c>
      <c r="Q1630">
        <v>11.8</v>
      </c>
      <c r="R1630">
        <v>6</v>
      </c>
      <c r="S1630">
        <v>3.19</v>
      </c>
      <c r="T1630">
        <v>1</v>
      </c>
      <c r="U1630" t="s">
        <v>22</v>
      </c>
      <c r="V1630" t="e">
        <f>IF(#REF! = "yes", 1, 0)</f>
        <v>#REF!</v>
      </c>
      <c r="W1630" t="e">
        <f>IF(#REF! &lt;= 1, "0-1 Calls", IF(#REF! &lt;= 3, "2-3 Calls", IF(#REF! &lt;=5, "4-5 Calls", "6+ Calls")))</f>
        <v>#REF!</v>
      </c>
      <c r="X1630" t="e">
        <f>IF(#REF! &lt;= 50, "0-50", IF(#REF! &lt;=100, "51-100", IF(#REF! &lt;= 150, "101-150", "151+")))</f>
        <v>#REF!</v>
      </c>
      <c r="Y1630" t="e">
        <f>IF(#REF! &lt;= 3, "Low Charges", "High Charges")</f>
        <v>#REF!</v>
      </c>
      <c r="Z1630" t="e">
        <f>IF(#REF!&lt;=80,"Low Calls",
IF(#REF!&lt;=120,"Medium Calls","High Calls"))</f>
        <v>#REF!</v>
      </c>
      <c r="AA1630" t="e">
        <f>IF(#REF!&lt;=15,"Low Charges",
IF(#REF!&lt;=20,"Medium Charges","High Charges"))</f>
        <v>#REF!</v>
      </c>
      <c r="AB1630" t="e">
        <f>IF(AND(#REF!&gt;180, #REF!&gt;200), "Heavy Doemstic User", IF(#REF!&gt;10, "Interntional User", IF(AND(#REF!&lt;180, #REF!&lt;200,#REF!&lt;200), "Light User", "Balanced User")))</f>
        <v>#REF!</v>
      </c>
      <c r="AC1630" t="e">
        <f>IF(#REF! = 0, "No Usage", IF(#REF! &lt;= 20, "Low Usage", IF(#REF! &lt;= 40, "Medium Usgae", "High Usage")))</f>
        <v>#REF!</v>
      </c>
      <c r="AD1630" t="e">
        <f>IF(#REF!&lt;=150,"Low Usage", IF(#REF!&lt;=200,"Medium Usage", IF(#REF!&lt;=250,"High Usage","Very High Usage")))</f>
        <v>#REF!</v>
      </c>
      <c r="AE1630" t="e">
        <f>IF(#REF!&lt;=5,"Low Calls", IF(#REF!&lt;=10, "Medium Calls", "High Calls"))</f>
        <v>#REF!</v>
      </c>
      <c r="AF1630" t="e">
        <f xml:space="preserve">
IF(#REF!&gt;=4,4,0)+
IF(#REF!="yes",3,0)+
IF(#REF!="High Charges",3,0)+
IF(#REF!&gt;250,4,0)+
IF(#REF!="no",1,0)+
IF(#REF!="Heavy Domestic User",2,0)</f>
        <v>#REF!</v>
      </c>
      <c r="AG1630" t="e">
        <f>IF(#REF!&gt;=10,"High Risk", IF(#REF!&gt;=5,"Medium Risk","Low Risk"))</f>
        <v>#REF!</v>
      </c>
      <c r="AH1630" t="e">
        <f>#REF! + #REF! + #REF! + #REF!</f>
        <v>#REF!</v>
      </c>
    </row>
    <row r="1631" spans="1:34" x14ac:dyDescent="0.35">
      <c r="A1631">
        <v>1630</v>
      </c>
      <c r="B1631" t="s">
        <v>66</v>
      </c>
      <c r="C1631">
        <v>39</v>
      </c>
      <c r="D1631" t="s">
        <v>25</v>
      </c>
      <c r="E1631" t="s">
        <v>22</v>
      </c>
      <c r="F1631" t="s">
        <v>22</v>
      </c>
      <c r="G1631">
        <v>0</v>
      </c>
      <c r="H1631">
        <v>154.1</v>
      </c>
      <c r="I1631">
        <v>104</v>
      </c>
      <c r="J1631">
        <v>26.2</v>
      </c>
      <c r="K1631">
        <v>204.2</v>
      </c>
      <c r="L1631">
        <v>112</v>
      </c>
      <c r="M1631">
        <v>17.36</v>
      </c>
      <c r="N1631">
        <v>196.2</v>
      </c>
      <c r="O1631">
        <v>92</v>
      </c>
      <c r="P1631">
        <v>8.83</v>
      </c>
      <c r="Q1631">
        <v>9.8000000000000007</v>
      </c>
      <c r="R1631">
        <v>4</v>
      </c>
      <c r="S1631">
        <v>2.65</v>
      </c>
      <c r="T1631">
        <v>2</v>
      </c>
      <c r="U1631" t="s">
        <v>22</v>
      </c>
      <c r="V1631" t="e">
        <f>IF(#REF! = "yes", 1, 0)</f>
        <v>#REF!</v>
      </c>
      <c r="W1631" t="e">
        <f>IF(#REF! &lt;= 1, "0-1 Calls", IF(#REF! &lt;= 3, "2-3 Calls", IF(#REF! &lt;=5, "4-5 Calls", "6+ Calls")))</f>
        <v>#REF!</v>
      </c>
      <c r="X1631" t="e">
        <f>IF(#REF! &lt;= 50, "0-50", IF(#REF! &lt;=100, "51-100", IF(#REF! &lt;= 150, "101-150", "151+")))</f>
        <v>#REF!</v>
      </c>
      <c r="Y1631" t="e">
        <f>IF(#REF! &lt;= 3, "Low Charges", "High Charges")</f>
        <v>#REF!</v>
      </c>
      <c r="Z1631" t="e">
        <f>IF(#REF!&lt;=80,"Low Calls",
IF(#REF!&lt;=120,"Medium Calls","High Calls"))</f>
        <v>#REF!</v>
      </c>
      <c r="AA1631" t="e">
        <f>IF(#REF!&lt;=15,"Low Charges",
IF(#REF!&lt;=20,"Medium Charges","High Charges"))</f>
        <v>#REF!</v>
      </c>
      <c r="AB1631" t="e">
        <f>IF(AND(#REF!&gt;180, #REF!&gt;200), "Heavy Doemstic User", IF(#REF!&gt;10, "Interntional User", IF(AND(#REF!&lt;180, #REF!&lt;200,#REF!&lt;200), "Light User", "Balanced User")))</f>
        <v>#REF!</v>
      </c>
      <c r="AC1631" t="e">
        <f>IF(#REF! = 0, "No Usage", IF(#REF! &lt;= 20, "Low Usage", IF(#REF! &lt;= 40, "Medium Usgae", "High Usage")))</f>
        <v>#REF!</v>
      </c>
      <c r="AD1631" t="e">
        <f>IF(#REF!&lt;=150,"Low Usage", IF(#REF!&lt;=200,"Medium Usage", IF(#REF!&lt;=250,"High Usage","Very High Usage")))</f>
        <v>#REF!</v>
      </c>
      <c r="AE1631" t="e">
        <f>IF(#REF!&lt;=5,"Low Calls", IF(#REF!&lt;=10, "Medium Calls", "High Calls"))</f>
        <v>#REF!</v>
      </c>
      <c r="AF1631" t="e">
        <f xml:space="preserve">
IF(#REF!&gt;=4,4,0)+
IF(#REF!="yes",3,0)+
IF(#REF!="High Charges",3,0)+
IF(#REF!&gt;250,4,0)+
IF(#REF!="no",1,0)+
IF(#REF!="Heavy Domestic User",2,0)</f>
        <v>#REF!</v>
      </c>
      <c r="AG1631" t="e">
        <f>IF(#REF!&gt;=10,"High Risk", IF(#REF!&gt;=5,"Medium Risk","Low Risk"))</f>
        <v>#REF!</v>
      </c>
      <c r="AH1631" t="e">
        <f>#REF! + #REF! + #REF! + #REF!</f>
        <v>#REF!</v>
      </c>
    </row>
    <row r="1632" spans="1:34" x14ac:dyDescent="0.35">
      <c r="A1632">
        <v>1631</v>
      </c>
      <c r="B1632" t="s">
        <v>26</v>
      </c>
      <c r="C1632">
        <v>110</v>
      </c>
      <c r="D1632" t="s">
        <v>28</v>
      </c>
      <c r="E1632" t="s">
        <v>22</v>
      </c>
      <c r="F1632" t="s">
        <v>22</v>
      </c>
      <c r="G1632">
        <v>0</v>
      </c>
      <c r="H1632">
        <v>188</v>
      </c>
      <c r="I1632">
        <v>127</v>
      </c>
      <c r="J1632">
        <v>31.96</v>
      </c>
      <c r="K1632">
        <v>90.5</v>
      </c>
      <c r="L1632">
        <v>118</v>
      </c>
      <c r="M1632">
        <v>7.69</v>
      </c>
      <c r="N1632">
        <v>150.30000000000001</v>
      </c>
      <c r="O1632">
        <v>64</v>
      </c>
      <c r="P1632">
        <v>6.76</v>
      </c>
      <c r="Q1632">
        <v>15.3</v>
      </c>
      <c r="R1632">
        <v>3</v>
      </c>
      <c r="S1632">
        <v>4.13</v>
      </c>
      <c r="T1632">
        <v>3</v>
      </c>
      <c r="U1632" t="s">
        <v>22</v>
      </c>
      <c r="V1632" t="e">
        <f>IF(#REF! = "yes", 1, 0)</f>
        <v>#REF!</v>
      </c>
      <c r="W1632" t="e">
        <f>IF(#REF! &lt;= 1, "0-1 Calls", IF(#REF! &lt;= 3, "2-3 Calls", IF(#REF! &lt;=5, "4-5 Calls", "6+ Calls")))</f>
        <v>#REF!</v>
      </c>
      <c r="X1632" t="e">
        <f>IF(#REF! &lt;= 50, "0-50", IF(#REF! &lt;=100, "51-100", IF(#REF! &lt;= 150, "101-150", "151+")))</f>
        <v>#REF!</v>
      </c>
      <c r="Y1632" t="e">
        <f>IF(#REF! &lt;= 3, "Low Charges", "High Charges")</f>
        <v>#REF!</v>
      </c>
      <c r="Z1632" t="e">
        <f>IF(#REF!&lt;=80,"Low Calls",
IF(#REF!&lt;=120,"Medium Calls","High Calls"))</f>
        <v>#REF!</v>
      </c>
      <c r="AA1632" t="e">
        <f>IF(#REF!&lt;=15,"Low Charges",
IF(#REF!&lt;=20,"Medium Charges","High Charges"))</f>
        <v>#REF!</v>
      </c>
      <c r="AB1632" t="e">
        <f>IF(AND(#REF!&gt;180, #REF!&gt;200), "Heavy Doemstic User", IF(#REF!&gt;10, "Interntional User", IF(AND(#REF!&lt;180, #REF!&lt;200,#REF!&lt;200), "Light User", "Balanced User")))</f>
        <v>#REF!</v>
      </c>
      <c r="AC1632" t="e">
        <f>IF(#REF! = 0, "No Usage", IF(#REF! &lt;= 20, "Low Usage", IF(#REF! &lt;= 40, "Medium Usgae", "High Usage")))</f>
        <v>#REF!</v>
      </c>
      <c r="AD1632" t="e">
        <f>IF(#REF!&lt;=150,"Low Usage", IF(#REF!&lt;=200,"Medium Usage", IF(#REF!&lt;=250,"High Usage","Very High Usage")))</f>
        <v>#REF!</v>
      </c>
      <c r="AE1632" t="e">
        <f>IF(#REF!&lt;=5,"Low Calls", IF(#REF!&lt;=10, "Medium Calls", "High Calls"))</f>
        <v>#REF!</v>
      </c>
      <c r="AF1632" t="e">
        <f xml:space="preserve">
IF(#REF!&gt;=4,4,0)+
IF(#REF!="yes",3,0)+
IF(#REF!="High Charges",3,0)+
IF(#REF!&gt;250,4,0)+
IF(#REF!="no",1,0)+
IF(#REF!="Heavy Domestic User",2,0)</f>
        <v>#REF!</v>
      </c>
      <c r="AG1632" t="e">
        <f>IF(#REF!&gt;=10,"High Risk", IF(#REF!&gt;=5,"Medium Risk","Low Risk"))</f>
        <v>#REF!</v>
      </c>
      <c r="AH1632" t="e">
        <f>#REF! + #REF! + #REF! + #REF!</f>
        <v>#REF!</v>
      </c>
    </row>
    <row r="1633" spans="1:34" x14ac:dyDescent="0.35">
      <c r="A1633">
        <v>1632</v>
      </c>
      <c r="B1633" t="s">
        <v>71</v>
      </c>
      <c r="C1633">
        <v>102</v>
      </c>
      <c r="D1633" t="s">
        <v>28</v>
      </c>
      <c r="E1633" t="s">
        <v>22</v>
      </c>
      <c r="F1633" t="s">
        <v>22</v>
      </c>
      <c r="G1633">
        <v>0</v>
      </c>
      <c r="H1633">
        <v>103.1</v>
      </c>
      <c r="I1633">
        <v>70</v>
      </c>
      <c r="J1633">
        <v>17.53</v>
      </c>
      <c r="K1633">
        <v>275</v>
      </c>
      <c r="L1633">
        <v>129</v>
      </c>
      <c r="M1633">
        <v>23.38</v>
      </c>
      <c r="N1633">
        <v>141.1</v>
      </c>
      <c r="O1633">
        <v>92</v>
      </c>
      <c r="P1633">
        <v>6.35</v>
      </c>
      <c r="Q1633">
        <v>11.2</v>
      </c>
      <c r="R1633">
        <v>5</v>
      </c>
      <c r="S1633">
        <v>3.02</v>
      </c>
      <c r="T1633">
        <v>1</v>
      </c>
      <c r="U1633" t="s">
        <v>22</v>
      </c>
      <c r="V1633" t="e">
        <f>IF(#REF! = "yes", 1, 0)</f>
        <v>#REF!</v>
      </c>
      <c r="W1633" t="e">
        <f>IF(#REF! &lt;= 1, "0-1 Calls", IF(#REF! &lt;= 3, "2-3 Calls", IF(#REF! &lt;=5, "4-5 Calls", "6+ Calls")))</f>
        <v>#REF!</v>
      </c>
      <c r="X1633" t="e">
        <f>IF(#REF! &lt;= 50, "0-50", IF(#REF! &lt;=100, "51-100", IF(#REF! &lt;= 150, "101-150", "151+")))</f>
        <v>#REF!</v>
      </c>
      <c r="Y1633" t="e">
        <f>IF(#REF! &lt;= 3, "Low Charges", "High Charges")</f>
        <v>#REF!</v>
      </c>
      <c r="Z1633" t="e">
        <f>IF(#REF!&lt;=80,"Low Calls",
IF(#REF!&lt;=120,"Medium Calls","High Calls"))</f>
        <v>#REF!</v>
      </c>
      <c r="AA1633" t="e">
        <f>IF(#REF!&lt;=15,"Low Charges",
IF(#REF!&lt;=20,"Medium Charges","High Charges"))</f>
        <v>#REF!</v>
      </c>
      <c r="AB1633" t="e">
        <f>IF(AND(#REF!&gt;180, #REF!&gt;200), "Heavy Doemstic User", IF(#REF!&gt;10, "Interntional User", IF(AND(#REF!&lt;180, #REF!&lt;200,#REF!&lt;200), "Light User", "Balanced User")))</f>
        <v>#REF!</v>
      </c>
      <c r="AC1633" t="e">
        <f>IF(#REF! = 0, "No Usage", IF(#REF! &lt;= 20, "Low Usage", IF(#REF! &lt;= 40, "Medium Usgae", "High Usage")))</f>
        <v>#REF!</v>
      </c>
      <c r="AD1633" t="e">
        <f>IF(#REF!&lt;=150,"Low Usage", IF(#REF!&lt;=200,"Medium Usage", IF(#REF!&lt;=250,"High Usage","Very High Usage")))</f>
        <v>#REF!</v>
      </c>
      <c r="AE1633" t="e">
        <f>IF(#REF!&lt;=5,"Low Calls", IF(#REF!&lt;=10, "Medium Calls", "High Calls"))</f>
        <v>#REF!</v>
      </c>
      <c r="AF1633" t="e">
        <f xml:space="preserve">
IF(#REF!&gt;=4,4,0)+
IF(#REF!="yes",3,0)+
IF(#REF!="High Charges",3,0)+
IF(#REF!&gt;250,4,0)+
IF(#REF!="no",1,0)+
IF(#REF!="Heavy Domestic User",2,0)</f>
        <v>#REF!</v>
      </c>
      <c r="AG1633" t="e">
        <f>IF(#REF!&gt;=10,"High Risk", IF(#REF!&gt;=5,"Medium Risk","Low Risk"))</f>
        <v>#REF!</v>
      </c>
      <c r="AH1633" t="e">
        <f>#REF! + #REF! + #REF! + #REF!</f>
        <v>#REF!</v>
      </c>
    </row>
    <row r="1634" spans="1:34" x14ac:dyDescent="0.35">
      <c r="A1634">
        <v>1633</v>
      </c>
      <c r="B1634" t="s">
        <v>44</v>
      </c>
      <c r="C1634">
        <v>70</v>
      </c>
      <c r="D1634" t="s">
        <v>21</v>
      </c>
      <c r="E1634" t="s">
        <v>22</v>
      </c>
      <c r="F1634" t="s">
        <v>22</v>
      </c>
      <c r="G1634">
        <v>0</v>
      </c>
      <c r="H1634">
        <v>175.4</v>
      </c>
      <c r="I1634">
        <v>130</v>
      </c>
      <c r="J1634">
        <v>29.82</v>
      </c>
      <c r="K1634">
        <v>159.5</v>
      </c>
      <c r="L1634">
        <v>130</v>
      </c>
      <c r="M1634">
        <v>13.56</v>
      </c>
      <c r="N1634">
        <v>260.60000000000002</v>
      </c>
      <c r="O1634">
        <v>96</v>
      </c>
      <c r="P1634">
        <v>11.73</v>
      </c>
      <c r="Q1634">
        <v>11.6</v>
      </c>
      <c r="R1634">
        <v>4</v>
      </c>
      <c r="S1634">
        <v>3.13</v>
      </c>
      <c r="T1634">
        <v>0</v>
      </c>
      <c r="U1634" t="s">
        <v>22</v>
      </c>
      <c r="V1634" t="e">
        <f>IF(#REF! = "yes", 1, 0)</f>
        <v>#REF!</v>
      </c>
      <c r="W1634" t="e">
        <f>IF(#REF! &lt;= 1, "0-1 Calls", IF(#REF! &lt;= 3, "2-3 Calls", IF(#REF! &lt;=5, "4-5 Calls", "6+ Calls")))</f>
        <v>#REF!</v>
      </c>
      <c r="X1634" t="e">
        <f>IF(#REF! &lt;= 50, "0-50", IF(#REF! &lt;=100, "51-100", IF(#REF! &lt;= 150, "101-150", "151+")))</f>
        <v>#REF!</v>
      </c>
      <c r="Y1634" t="e">
        <f>IF(#REF! &lt;= 3, "Low Charges", "High Charges")</f>
        <v>#REF!</v>
      </c>
      <c r="Z1634" t="e">
        <f>IF(#REF!&lt;=80,"Low Calls",
IF(#REF!&lt;=120,"Medium Calls","High Calls"))</f>
        <v>#REF!</v>
      </c>
      <c r="AA1634" t="e">
        <f>IF(#REF!&lt;=15,"Low Charges",
IF(#REF!&lt;=20,"Medium Charges","High Charges"))</f>
        <v>#REF!</v>
      </c>
      <c r="AB1634" t="e">
        <f>IF(AND(#REF!&gt;180, #REF!&gt;200), "Heavy Doemstic User", IF(#REF!&gt;10, "Interntional User", IF(AND(#REF!&lt;180, #REF!&lt;200,#REF!&lt;200), "Light User", "Balanced User")))</f>
        <v>#REF!</v>
      </c>
      <c r="AC1634" t="e">
        <f>IF(#REF! = 0, "No Usage", IF(#REF! &lt;= 20, "Low Usage", IF(#REF! &lt;= 40, "Medium Usgae", "High Usage")))</f>
        <v>#REF!</v>
      </c>
      <c r="AD1634" t="e">
        <f>IF(#REF!&lt;=150,"Low Usage", IF(#REF!&lt;=200,"Medium Usage", IF(#REF!&lt;=250,"High Usage","Very High Usage")))</f>
        <v>#REF!</v>
      </c>
      <c r="AE1634" t="e">
        <f>IF(#REF!&lt;=5,"Low Calls", IF(#REF!&lt;=10, "Medium Calls", "High Calls"))</f>
        <v>#REF!</v>
      </c>
      <c r="AF1634" t="e">
        <f xml:space="preserve">
IF(#REF!&gt;=4,4,0)+
IF(#REF!="yes",3,0)+
IF(#REF!="High Charges",3,0)+
IF(#REF!&gt;250,4,0)+
IF(#REF!="no",1,0)+
IF(#REF!="Heavy Domestic User",2,0)</f>
        <v>#REF!</v>
      </c>
      <c r="AG1634" t="e">
        <f>IF(#REF!&gt;=10,"High Risk", IF(#REF!&gt;=5,"Medium Risk","Low Risk"))</f>
        <v>#REF!</v>
      </c>
      <c r="AH1634" t="e">
        <f>#REF! + #REF! + #REF! + #REF!</f>
        <v>#REF!</v>
      </c>
    </row>
    <row r="1635" spans="1:34" x14ac:dyDescent="0.35">
      <c r="A1635">
        <v>1634</v>
      </c>
      <c r="B1635" t="s">
        <v>36</v>
      </c>
      <c r="C1635">
        <v>142</v>
      </c>
      <c r="D1635" t="s">
        <v>21</v>
      </c>
      <c r="E1635" t="s">
        <v>22</v>
      </c>
      <c r="F1635" t="s">
        <v>22</v>
      </c>
      <c r="G1635">
        <v>0</v>
      </c>
      <c r="H1635">
        <v>145.4</v>
      </c>
      <c r="I1635">
        <v>93</v>
      </c>
      <c r="J1635">
        <v>24.72</v>
      </c>
      <c r="K1635">
        <v>209.1</v>
      </c>
      <c r="L1635">
        <v>98</v>
      </c>
      <c r="M1635">
        <v>17.77</v>
      </c>
      <c r="N1635">
        <v>214</v>
      </c>
      <c r="O1635">
        <v>96</v>
      </c>
      <c r="P1635">
        <v>9.6300000000000008</v>
      </c>
      <c r="Q1635">
        <v>10.9</v>
      </c>
      <c r="R1635">
        <v>1</v>
      </c>
      <c r="S1635">
        <v>2.94</v>
      </c>
      <c r="T1635">
        <v>1</v>
      </c>
      <c r="U1635" t="s">
        <v>22</v>
      </c>
      <c r="V1635" t="e">
        <f>IF(#REF! = "yes", 1, 0)</f>
        <v>#REF!</v>
      </c>
      <c r="W1635" t="e">
        <f>IF(#REF! &lt;= 1, "0-1 Calls", IF(#REF! &lt;= 3, "2-3 Calls", IF(#REF! &lt;=5, "4-5 Calls", "6+ Calls")))</f>
        <v>#REF!</v>
      </c>
      <c r="X1635" t="e">
        <f>IF(#REF! &lt;= 50, "0-50", IF(#REF! &lt;=100, "51-100", IF(#REF! &lt;= 150, "101-150", "151+")))</f>
        <v>#REF!</v>
      </c>
      <c r="Y1635" t="e">
        <f>IF(#REF! &lt;= 3, "Low Charges", "High Charges")</f>
        <v>#REF!</v>
      </c>
      <c r="Z1635" t="e">
        <f>IF(#REF!&lt;=80,"Low Calls",
IF(#REF!&lt;=120,"Medium Calls","High Calls"))</f>
        <v>#REF!</v>
      </c>
      <c r="AA1635" t="e">
        <f>IF(#REF!&lt;=15,"Low Charges",
IF(#REF!&lt;=20,"Medium Charges","High Charges"))</f>
        <v>#REF!</v>
      </c>
      <c r="AB1635" t="e">
        <f>IF(AND(#REF!&gt;180, #REF!&gt;200), "Heavy Doemstic User", IF(#REF!&gt;10, "Interntional User", IF(AND(#REF!&lt;180, #REF!&lt;200,#REF!&lt;200), "Light User", "Balanced User")))</f>
        <v>#REF!</v>
      </c>
      <c r="AC1635" t="e">
        <f>IF(#REF! = 0, "No Usage", IF(#REF! &lt;= 20, "Low Usage", IF(#REF! &lt;= 40, "Medium Usgae", "High Usage")))</f>
        <v>#REF!</v>
      </c>
      <c r="AD1635" t="e">
        <f>IF(#REF!&lt;=150,"Low Usage", IF(#REF!&lt;=200,"Medium Usage", IF(#REF!&lt;=250,"High Usage","Very High Usage")))</f>
        <v>#REF!</v>
      </c>
      <c r="AE1635" t="e">
        <f>IF(#REF!&lt;=5,"Low Calls", IF(#REF!&lt;=10, "Medium Calls", "High Calls"))</f>
        <v>#REF!</v>
      </c>
      <c r="AF1635" t="e">
        <f xml:space="preserve">
IF(#REF!&gt;=4,4,0)+
IF(#REF!="yes",3,0)+
IF(#REF!="High Charges",3,0)+
IF(#REF!&gt;250,4,0)+
IF(#REF!="no",1,0)+
IF(#REF!="Heavy Domestic User",2,0)</f>
        <v>#REF!</v>
      </c>
      <c r="AG1635" t="e">
        <f>IF(#REF!&gt;=10,"High Risk", IF(#REF!&gt;=5,"Medium Risk","Low Risk"))</f>
        <v>#REF!</v>
      </c>
      <c r="AH1635" t="e">
        <f>#REF! + #REF! + #REF! + #REF!</f>
        <v>#REF!</v>
      </c>
    </row>
    <row r="1636" spans="1:34" x14ac:dyDescent="0.35">
      <c r="A1636">
        <v>1635</v>
      </c>
      <c r="B1636" t="s">
        <v>54</v>
      </c>
      <c r="C1636">
        <v>81</v>
      </c>
      <c r="D1636" t="s">
        <v>28</v>
      </c>
      <c r="E1636" t="s">
        <v>23</v>
      </c>
      <c r="F1636" t="s">
        <v>22</v>
      </c>
      <c r="G1636">
        <v>0</v>
      </c>
      <c r="H1636">
        <v>250.6</v>
      </c>
      <c r="I1636">
        <v>85</v>
      </c>
      <c r="J1636">
        <v>42.6</v>
      </c>
      <c r="K1636">
        <v>187.9</v>
      </c>
      <c r="L1636">
        <v>50</v>
      </c>
      <c r="M1636">
        <v>15.97</v>
      </c>
      <c r="N1636">
        <v>120.3</v>
      </c>
      <c r="O1636">
        <v>131</v>
      </c>
      <c r="P1636">
        <v>5.41</v>
      </c>
      <c r="Q1636">
        <v>7.8</v>
      </c>
      <c r="R1636">
        <v>5</v>
      </c>
      <c r="S1636">
        <v>2.11</v>
      </c>
      <c r="T1636">
        <v>1</v>
      </c>
      <c r="U1636" t="s">
        <v>22</v>
      </c>
      <c r="V1636" t="e">
        <f>IF(#REF! = "yes", 1, 0)</f>
        <v>#REF!</v>
      </c>
      <c r="W1636" t="e">
        <f>IF(#REF! &lt;= 1, "0-1 Calls", IF(#REF! &lt;= 3, "2-3 Calls", IF(#REF! &lt;=5, "4-5 Calls", "6+ Calls")))</f>
        <v>#REF!</v>
      </c>
      <c r="X1636" t="e">
        <f>IF(#REF! &lt;= 50, "0-50", IF(#REF! &lt;=100, "51-100", IF(#REF! &lt;= 150, "101-150", "151+")))</f>
        <v>#REF!</v>
      </c>
      <c r="Y1636" t="e">
        <f>IF(#REF! &lt;= 3, "Low Charges", "High Charges")</f>
        <v>#REF!</v>
      </c>
      <c r="Z1636" t="e">
        <f>IF(#REF!&lt;=80,"Low Calls",
IF(#REF!&lt;=120,"Medium Calls","High Calls"))</f>
        <v>#REF!</v>
      </c>
      <c r="AA1636" t="e">
        <f>IF(#REF!&lt;=15,"Low Charges",
IF(#REF!&lt;=20,"Medium Charges","High Charges"))</f>
        <v>#REF!</v>
      </c>
      <c r="AB1636" t="e">
        <f>IF(AND(#REF!&gt;180, #REF!&gt;200), "Heavy Doemstic User", IF(#REF!&gt;10, "Interntional User", IF(AND(#REF!&lt;180, #REF!&lt;200,#REF!&lt;200), "Light User", "Balanced User")))</f>
        <v>#REF!</v>
      </c>
      <c r="AC1636" t="e">
        <f>IF(#REF! = 0, "No Usage", IF(#REF! &lt;= 20, "Low Usage", IF(#REF! &lt;= 40, "Medium Usgae", "High Usage")))</f>
        <v>#REF!</v>
      </c>
      <c r="AD1636" t="e">
        <f>IF(#REF!&lt;=150,"Low Usage", IF(#REF!&lt;=200,"Medium Usage", IF(#REF!&lt;=250,"High Usage","Very High Usage")))</f>
        <v>#REF!</v>
      </c>
      <c r="AE1636" t="e">
        <f>IF(#REF!&lt;=5,"Low Calls", IF(#REF!&lt;=10, "Medium Calls", "High Calls"))</f>
        <v>#REF!</v>
      </c>
      <c r="AF1636" t="e">
        <f xml:space="preserve">
IF(#REF!&gt;=4,4,0)+
IF(#REF!="yes",3,0)+
IF(#REF!="High Charges",3,0)+
IF(#REF!&gt;250,4,0)+
IF(#REF!="no",1,0)+
IF(#REF!="Heavy Domestic User",2,0)</f>
        <v>#REF!</v>
      </c>
      <c r="AG1636" t="e">
        <f>IF(#REF!&gt;=10,"High Risk", IF(#REF!&gt;=5,"Medium Risk","Low Risk"))</f>
        <v>#REF!</v>
      </c>
      <c r="AH1636" t="e">
        <f>#REF! + #REF! + #REF! + #REF!</f>
        <v>#REF!</v>
      </c>
    </row>
    <row r="1637" spans="1:34" x14ac:dyDescent="0.35">
      <c r="A1637">
        <v>1636</v>
      </c>
      <c r="B1637" t="s">
        <v>33</v>
      </c>
      <c r="C1637">
        <v>17</v>
      </c>
      <c r="D1637" t="s">
        <v>21</v>
      </c>
      <c r="E1637" t="s">
        <v>22</v>
      </c>
      <c r="F1637" t="s">
        <v>22</v>
      </c>
      <c r="G1637">
        <v>0</v>
      </c>
      <c r="H1637">
        <v>161.5</v>
      </c>
      <c r="I1637">
        <v>123</v>
      </c>
      <c r="J1637">
        <v>27.46</v>
      </c>
      <c r="K1637">
        <v>214.2</v>
      </c>
      <c r="L1637">
        <v>81</v>
      </c>
      <c r="M1637">
        <v>18.21</v>
      </c>
      <c r="N1637">
        <v>315</v>
      </c>
      <c r="O1637">
        <v>106</v>
      </c>
      <c r="P1637">
        <v>14.18</v>
      </c>
      <c r="Q1637">
        <v>8.6</v>
      </c>
      <c r="R1637">
        <v>5</v>
      </c>
      <c r="S1637">
        <v>2.3199999999999998</v>
      </c>
      <c r="T1637">
        <v>1</v>
      </c>
      <c r="U1637" t="s">
        <v>22</v>
      </c>
      <c r="V1637" t="e">
        <f>IF(#REF! = "yes", 1, 0)</f>
        <v>#REF!</v>
      </c>
      <c r="W1637" t="e">
        <f>IF(#REF! &lt;= 1, "0-1 Calls", IF(#REF! &lt;= 3, "2-3 Calls", IF(#REF! &lt;=5, "4-5 Calls", "6+ Calls")))</f>
        <v>#REF!</v>
      </c>
      <c r="X1637" t="e">
        <f>IF(#REF! &lt;= 50, "0-50", IF(#REF! &lt;=100, "51-100", IF(#REF! &lt;= 150, "101-150", "151+")))</f>
        <v>#REF!</v>
      </c>
      <c r="Y1637" t="e">
        <f>IF(#REF! &lt;= 3, "Low Charges", "High Charges")</f>
        <v>#REF!</v>
      </c>
      <c r="Z1637" t="e">
        <f>IF(#REF!&lt;=80,"Low Calls",
IF(#REF!&lt;=120,"Medium Calls","High Calls"))</f>
        <v>#REF!</v>
      </c>
      <c r="AA1637" t="e">
        <f>IF(#REF!&lt;=15,"Low Charges",
IF(#REF!&lt;=20,"Medium Charges","High Charges"))</f>
        <v>#REF!</v>
      </c>
      <c r="AB1637" t="e">
        <f>IF(AND(#REF!&gt;180, #REF!&gt;200), "Heavy Doemstic User", IF(#REF!&gt;10, "Interntional User", IF(AND(#REF!&lt;180, #REF!&lt;200,#REF!&lt;200), "Light User", "Balanced User")))</f>
        <v>#REF!</v>
      </c>
      <c r="AC1637" t="e">
        <f>IF(#REF! = 0, "No Usage", IF(#REF! &lt;= 20, "Low Usage", IF(#REF! &lt;= 40, "Medium Usgae", "High Usage")))</f>
        <v>#REF!</v>
      </c>
      <c r="AD1637" t="e">
        <f>IF(#REF!&lt;=150,"Low Usage", IF(#REF!&lt;=200,"Medium Usage", IF(#REF!&lt;=250,"High Usage","Very High Usage")))</f>
        <v>#REF!</v>
      </c>
      <c r="AE1637" t="e">
        <f>IF(#REF!&lt;=5,"Low Calls", IF(#REF!&lt;=10, "Medium Calls", "High Calls"))</f>
        <v>#REF!</v>
      </c>
      <c r="AF1637" t="e">
        <f xml:space="preserve">
IF(#REF!&gt;=4,4,0)+
IF(#REF!="yes",3,0)+
IF(#REF!="High Charges",3,0)+
IF(#REF!&gt;250,4,0)+
IF(#REF!="no",1,0)+
IF(#REF!="Heavy Domestic User",2,0)</f>
        <v>#REF!</v>
      </c>
      <c r="AG1637" t="e">
        <f>IF(#REF!&gt;=10,"High Risk", IF(#REF!&gt;=5,"Medium Risk","Low Risk"))</f>
        <v>#REF!</v>
      </c>
      <c r="AH1637" t="e">
        <f>#REF! + #REF! + #REF! + #REF!</f>
        <v>#REF!</v>
      </c>
    </row>
    <row r="1638" spans="1:34" x14ac:dyDescent="0.35">
      <c r="A1638">
        <v>1637</v>
      </c>
      <c r="B1638" t="s">
        <v>73</v>
      </c>
      <c r="C1638">
        <v>119</v>
      </c>
      <c r="D1638" t="s">
        <v>25</v>
      </c>
      <c r="E1638" t="s">
        <v>22</v>
      </c>
      <c r="F1638" t="s">
        <v>22</v>
      </c>
      <c r="G1638">
        <v>0</v>
      </c>
      <c r="H1638">
        <v>260.10000000000002</v>
      </c>
      <c r="I1638">
        <v>101</v>
      </c>
      <c r="J1638">
        <v>44.22</v>
      </c>
      <c r="K1638">
        <v>256.5</v>
      </c>
      <c r="L1638">
        <v>68</v>
      </c>
      <c r="M1638">
        <v>21.8</v>
      </c>
      <c r="N1638">
        <v>229.1</v>
      </c>
      <c r="O1638">
        <v>89</v>
      </c>
      <c r="P1638">
        <v>10.31</v>
      </c>
      <c r="Q1638">
        <v>10</v>
      </c>
      <c r="R1638">
        <v>2</v>
      </c>
      <c r="S1638">
        <v>2.7</v>
      </c>
      <c r="T1638">
        <v>1</v>
      </c>
      <c r="U1638" t="s">
        <v>23</v>
      </c>
      <c r="V1638" t="e">
        <f>IF(#REF! = "yes", 1, 0)</f>
        <v>#REF!</v>
      </c>
      <c r="W1638" t="e">
        <f>IF(#REF! &lt;= 1, "0-1 Calls", IF(#REF! &lt;= 3, "2-3 Calls", IF(#REF! &lt;=5, "4-5 Calls", "6+ Calls")))</f>
        <v>#REF!</v>
      </c>
      <c r="X1638" t="e">
        <f>IF(#REF! &lt;= 50, "0-50", IF(#REF! &lt;=100, "51-100", IF(#REF! &lt;= 150, "101-150", "151+")))</f>
        <v>#REF!</v>
      </c>
      <c r="Y1638" t="e">
        <f>IF(#REF! &lt;= 3, "Low Charges", "High Charges")</f>
        <v>#REF!</v>
      </c>
      <c r="Z1638" t="e">
        <f>IF(#REF!&lt;=80,"Low Calls",
IF(#REF!&lt;=120,"Medium Calls","High Calls"))</f>
        <v>#REF!</v>
      </c>
      <c r="AA1638" t="e">
        <f>IF(#REF!&lt;=15,"Low Charges",
IF(#REF!&lt;=20,"Medium Charges","High Charges"))</f>
        <v>#REF!</v>
      </c>
      <c r="AB1638" t="e">
        <f>IF(AND(#REF!&gt;180, #REF!&gt;200), "Heavy Doemstic User", IF(#REF!&gt;10, "Interntional User", IF(AND(#REF!&lt;180, #REF!&lt;200,#REF!&lt;200), "Light User", "Balanced User")))</f>
        <v>#REF!</v>
      </c>
      <c r="AC1638" t="e">
        <f>IF(#REF! = 0, "No Usage", IF(#REF! &lt;= 20, "Low Usage", IF(#REF! &lt;= 40, "Medium Usgae", "High Usage")))</f>
        <v>#REF!</v>
      </c>
      <c r="AD1638" t="e">
        <f>IF(#REF!&lt;=150,"Low Usage", IF(#REF!&lt;=200,"Medium Usage", IF(#REF!&lt;=250,"High Usage","Very High Usage")))</f>
        <v>#REF!</v>
      </c>
      <c r="AE1638" t="e">
        <f>IF(#REF!&lt;=5,"Low Calls", IF(#REF!&lt;=10, "Medium Calls", "High Calls"))</f>
        <v>#REF!</v>
      </c>
      <c r="AF1638" t="e">
        <f xml:space="preserve">
IF(#REF!&gt;=4,4,0)+
IF(#REF!="yes",3,0)+
IF(#REF!="High Charges",3,0)+
IF(#REF!&gt;250,4,0)+
IF(#REF!="no",1,0)+
IF(#REF!="Heavy Domestic User",2,0)</f>
        <v>#REF!</v>
      </c>
      <c r="AG1638" t="e">
        <f>IF(#REF!&gt;=10,"High Risk", IF(#REF!&gt;=5,"Medium Risk","Low Risk"))</f>
        <v>#REF!</v>
      </c>
      <c r="AH1638" t="e">
        <f>#REF! + #REF! + #REF! + #REF!</f>
        <v>#REF!</v>
      </c>
    </row>
    <row r="1639" spans="1:34" x14ac:dyDescent="0.35">
      <c r="A1639">
        <v>1638</v>
      </c>
      <c r="B1639" t="s">
        <v>45</v>
      </c>
      <c r="C1639">
        <v>105</v>
      </c>
      <c r="D1639" t="s">
        <v>21</v>
      </c>
      <c r="E1639" t="s">
        <v>22</v>
      </c>
      <c r="F1639" t="s">
        <v>22</v>
      </c>
      <c r="G1639">
        <v>0</v>
      </c>
      <c r="H1639">
        <v>281.3</v>
      </c>
      <c r="I1639">
        <v>124</v>
      </c>
      <c r="J1639">
        <v>47.82</v>
      </c>
      <c r="K1639">
        <v>301.5</v>
      </c>
      <c r="L1639">
        <v>96</v>
      </c>
      <c r="M1639">
        <v>25.63</v>
      </c>
      <c r="N1639">
        <v>202.8</v>
      </c>
      <c r="O1639">
        <v>109</v>
      </c>
      <c r="P1639">
        <v>9.1300000000000008</v>
      </c>
      <c r="Q1639">
        <v>8.6999999999999993</v>
      </c>
      <c r="R1639">
        <v>3</v>
      </c>
      <c r="S1639">
        <v>2.35</v>
      </c>
      <c r="T1639">
        <v>0</v>
      </c>
      <c r="U1639" t="s">
        <v>23</v>
      </c>
      <c r="V1639" t="e">
        <f>IF(#REF! = "yes", 1, 0)</f>
        <v>#REF!</v>
      </c>
      <c r="W1639" t="e">
        <f>IF(#REF! &lt;= 1, "0-1 Calls", IF(#REF! &lt;= 3, "2-3 Calls", IF(#REF! &lt;=5, "4-5 Calls", "6+ Calls")))</f>
        <v>#REF!</v>
      </c>
      <c r="X1639" t="e">
        <f>IF(#REF! &lt;= 50, "0-50", IF(#REF! &lt;=100, "51-100", IF(#REF! &lt;= 150, "101-150", "151+")))</f>
        <v>#REF!</v>
      </c>
      <c r="Y1639" t="e">
        <f>IF(#REF! &lt;= 3, "Low Charges", "High Charges")</f>
        <v>#REF!</v>
      </c>
      <c r="Z1639" t="e">
        <f>IF(#REF!&lt;=80,"Low Calls",
IF(#REF!&lt;=120,"Medium Calls","High Calls"))</f>
        <v>#REF!</v>
      </c>
      <c r="AA1639" t="e">
        <f>IF(#REF!&lt;=15,"Low Charges",
IF(#REF!&lt;=20,"Medium Charges","High Charges"))</f>
        <v>#REF!</v>
      </c>
      <c r="AB1639" t="e">
        <f>IF(AND(#REF!&gt;180, #REF!&gt;200), "Heavy Doemstic User", IF(#REF!&gt;10, "Interntional User", IF(AND(#REF!&lt;180, #REF!&lt;200,#REF!&lt;200), "Light User", "Balanced User")))</f>
        <v>#REF!</v>
      </c>
      <c r="AC1639" t="e">
        <f>IF(#REF! = 0, "No Usage", IF(#REF! &lt;= 20, "Low Usage", IF(#REF! &lt;= 40, "Medium Usgae", "High Usage")))</f>
        <v>#REF!</v>
      </c>
      <c r="AD1639" t="e">
        <f>IF(#REF!&lt;=150,"Low Usage", IF(#REF!&lt;=200,"Medium Usage", IF(#REF!&lt;=250,"High Usage","Very High Usage")))</f>
        <v>#REF!</v>
      </c>
      <c r="AE1639" t="e">
        <f>IF(#REF!&lt;=5,"Low Calls", IF(#REF!&lt;=10, "Medium Calls", "High Calls"))</f>
        <v>#REF!</v>
      </c>
      <c r="AF1639" t="e">
        <f xml:space="preserve">
IF(#REF!&gt;=4,4,0)+
IF(#REF!="yes",3,0)+
IF(#REF!="High Charges",3,0)+
IF(#REF!&gt;250,4,0)+
IF(#REF!="no",1,0)+
IF(#REF!="Heavy Domestic User",2,0)</f>
        <v>#REF!</v>
      </c>
      <c r="AG1639" t="e">
        <f>IF(#REF!&gt;=10,"High Risk", IF(#REF!&gt;=5,"Medium Risk","Low Risk"))</f>
        <v>#REF!</v>
      </c>
      <c r="AH1639" t="e">
        <f>#REF! + #REF! + #REF! + #REF!</f>
        <v>#REF!</v>
      </c>
    </row>
    <row r="1640" spans="1:34" x14ac:dyDescent="0.35">
      <c r="A1640">
        <v>1639</v>
      </c>
      <c r="B1640" t="s">
        <v>49</v>
      </c>
      <c r="C1640">
        <v>108</v>
      </c>
      <c r="D1640" t="s">
        <v>21</v>
      </c>
      <c r="E1640" t="s">
        <v>23</v>
      </c>
      <c r="F1640" t="s">
        <v>23</v>
      </c>
      <c r="G1640">
        <v>42</v>
      </c>
      <c r="H1640">
        <v>130.1</v>
      </c>
      <c r="I1640">
        <v>90</v>
      </c>
      <c r="J1640">
        <v>22.12</v>
      </c>
      <c r="K1640">
        <v>167</v>
      </c>
      <c r="L1640">
        <v>128</v>
      </c>
      <c r="M1640">
        <v>14.2</v>
      </c>
      <c r="N1640">
        <v>244.7</v>
      </c>
      <c r="O1640">
        <v>80</v>
      </c>
      <c r="P1640">
        <v>11.01</v>
      </c>
      <c r="Q1640">
        <v>13.6</v>
      </c>
      <c r="R1640">
        <v>5</v>
      </c>
      <c r="S1640">
        <v>3.67</v>
      </c>
      <c r="T1640">
        <v>3</v>
      </c>
      <c r="U1640" t="s">
        <v>23</v>
      </c>
      <c r="V1640" t="e">
        <f>IF(#REF! = "yes", 1, 0)</f>
        <v>#REF!</v>
      </c>
      <c r="W1640" t="e">
        <f>IF(#REF! &lt;= 1, "0-1 Calls", IF(#REF! &lt;= 3, "2-3 Calls", IF(#REF! &lt;=5, "4-5 Calls", "6+ Calls")))</f>
        <v>#REF!</v>
      </c>
      <c r="X1640" t="e">
        <f>IF(#REF! &lt;= 50, "0-50", IF(#REF! &lt;=100, "51-100", IF(#REF! &lt;= 150, "101-150", "151+")))</f>
        <v>#REF!</v>
      </c>
      <c r="Y1640" t="e">
        <f>IF(#REF! &lt;= 3, "Low Charges", "High Charges")</f>
        <v>#REF!</v>
      </c>
      <c r="Z1640" t="e">
        <f>IF(#REF!&lt;=80,"Low Calls",
IF(#REF!&lt;=120,"Medium Calls","High Calls"))</f>
        <v>#REF!</v>
      </c>
      <c r="AA1640" t="e">
        <f>IF(#REF!&lt;=15,"Low Charges",
IF(#REF!&lt;=20,"Medium Charges","High Charges"))</f>
        <v>#REF!</v>
      </c>
      <c r="AB1640" t="e">
        <f>IF(AND(#REF!&gt;180, #REF!&gt;200), "Heavy Doemstic User", IF(#REF!&gt;10, "Interntional User", IF(AND(#REF!&lt;180, #REF!&lt;200,#REF!&lt;200), "Light User", "Balanced User")))</f>
        <v>#REF!</v>
      </c>
      <c r="AC1640" t="e">
        <f>IF(#REF! = 0, "No Usage", IF(#REF! &lt;= 20, "Low Usage", IF(#REF! &lt;= 40, "Medium Usgae", "High Usage")))</f>
        <v>#REF!</v>
      </c>
      <c r="AD1640" t="e">
        <f>IF(#REF!&lt;=150,"Low Usage", IF(#REF!&lt;=200,"Medium Usage", IF(#REF!&lt;=250,"High Usage","Very High Usage")))</f>
        <v>#REF!</v>
      </c>
      <c r="AE1640" t="e">
        <f>IF(#REF!&lt;=5,"Low Calls", IF(#REF!&lt;=10, "Medium Calls", "High Calls"))</f>
        <v>#REF!</v>
      </c>
      <c r="AF1640" t="e">
        <f xml:space="preserve">
IF(#REF!&gt;=4,4,0)+
IF(#REF!="yes",3,0)+
IF(#REF!="High Charges",3,0)+
IF(#REF!&gt;250,4,0)+
IF(#REF!="no",1,0)+
IF(#REF!="Heavy Domestic User",2,0)</f>
        <v>#REF!</v>
      </c>
      <c r="AG1640" t="e">
        <f>IF(#REF!&gt;=10,"High Risk", IF(#REF!&gt;=5,"Medium Risk","Low Risk"))</f>
        <v>#REF!</v>
      </c>
      <c r="AH1640" t="e">
        <f>#REF! + #REF! + #REF! + #REF!</f>
        <v>#REF!</v>
      </c>
    </row>
    <row r="1641" spans="1:34" x14ac:dyDescent="0.35">
      <c r="A1641">
        <v>1640</v>
      </c>
      <c r="B1641" t="s">
        <v>38</v>
      </c>
      <c r="C1641">
        <v>90</v>
      </c>
      <c r="D1641" t="s">
        <v>21</v>
      </c>
      <c r="E1641" t="s">
        <v>22</v>
      </c>
      <c r="F1641" t="s">
        <v>22</v>
      </c>
      <c r="G1641">
        <v>0</v>
      </c>
      <c r="H1641">
        <v>102</v>
      </c>
      <c r="I1641">
        <v>118</v>
      </c>
      <c r="J1641">
        <v>17.34</v>
      </c>
      <c r="K1641">
        <v>113.3</v>
      </c>
      <c r="L1641">
        <v>134</v>
      </c>
      <c r="M1641">
        <v>9.6300000000000008</v>
      </c>
      <c r="N1641">
        <v>188.6</v>
      </c>
      <c r="O1641">
        <v>105</v>
      </c>
      <c r="P1641">
        <v>8.49</v>
      </c>
      <c r="Q1641">
        <v>11.4</v>
      </c>
      <c r="R1641">
        <v>3</v>
      </c>
      <c r="S1641">
        <v>3.08</v>
      </c>
      <c r="T1641">
        <v>2</v>
      </c>
      <c r="U1641" t="s">
        <v>22</v>
      </c>
      <c r="V1641" t="e">
        <f>IF(#REF! = "yes", 1, 0)</f>
        <v>#REF!</v>
      </c>
      <c r="W1641" t="e">
        <f>IF(#REF! &lt;= 1, "0-1 Calls", IF(#REF! &lt;= 3, "2-3 Calls", IF(#REF! &lt;=5, "4-5 Calls", "6+ Calls")))</f>
        <v>#REF!</v>
      </c>
      <c r="X1641" t="e">
        <f>IF(#REF! &lt;= 50, "0-50", IF(#REF! &lt;=100, "51-100", IF(#REF! &lt;= 150, "101-150", "151+")))</f>
        <v>#REF!</v>
      </c>
      <c r="Y1641" t="e">
        <f>IF(#REF! &lt;= 3, "Low Charges", "High Charges")</f>
        <v>#REF!</v>
      </c>
      <c r="Z1641" t="e">
        <f>IF(#REF!&lt;=80,"Low Calls",
IF(#REF!&lt;=120,"Medium Calls","High Calls"))</f>
        <v>#REF!</v>
      </c>
      <c r="AA1641" t="e">
        <f>IF(#REF!&lt;=15,"Low Charges",
IF(#REF!&lt;=20,"Medium Charges","High Charges"))</f>
        <v>#REF!</v>
      </c>
      <c r="AB1641" t="e">
        <f>IF(AND(#REF!&gt;180, #REF!&gt;200), "Heavy Doemstic User", IF(#REF!&gt;10, "Interntional User", IF(AND(#REF!&lt;180, #REF!&lt;200,#REF!&lt;200), "Light User", "Balanced User")))</f>
        <v>#REF!</v>
      </c>
      <c r="AC1641" t="e">
        <f>IF(#REF! = 0, "No Usage", IF(#REF! &lt;= 20, "Low Usage", IF(#REF! &lt;= 40, "Medium Usgae", "High Usage")))</f>
        <v>#REF!</v>
      </c>
      <c r="AD1641" t="e">
        <f>IF(#REF!&lt;=150,"Low Usage", IF(#REF!&lt;=200,"Medium Usage", IF(#REF!&lt;=250,"High Usage","Very High Usage")))</f>
        <v>#REF!</v>
      </c>
      <c r="AE1641" t="e">
        <f>IF(#REF!&lt;=5,"Low Calls", IF(#REF!&lt;=10, "Medium Calls", "High Calls"))</f>
        <v>#REF!</v>
      </c>
      <c r="AF1641" t="e">
        <f xml:space="preserve">
IF(#REF!&gt;=4,4,0)+
IF(#REF!="yes",3,0)+
IF(#REF!="High Charges",3,0)+
IF(#REF!&gt;250,4,0)+
IF(#REF!="no",1,0)+
IF(#REF!="Heavy Domestic User",2,0)</f>
        <v>#REF!</v>
      </c>
      <c r="AG1641" t="e">
        <f>IF(#REF!&gt;=10,"High Risk", IF(#REF!&gt;=5,"Medium Risk","Low Risk"))</f>
        <v>#REF!</v>
      </c>
      <c r="AH1641" t="e">
        <f>#REF! + #REF! + #REF! + #REF!</f>
        <v>#REF!</v>
      </c>
    </row>
    <row r="1642" spans="1:34" x14ac:dyDescent="0.35">
      <c r="A1642">
        <v>1641</v>
      </c>
      <c r="B1642" t="s">
        <v>32</v>
      </c>
      <c r="C1642">
        <v>100</v>
      </c>
      <c r="D1642" t="s">
        <v>21</v>
      </c>
      <c r="E1642" t="s">
        <v>22</v>
      </c>
      <c r="F1642" t="s">
        <v>23</v>
      </c>
      <c r="G1642">
        <v>33</v>
      </c>
      <c r="H1642">
        <v>218.7</v>
      </c>
      <c r="I1642">
        <v>104</v>
      </c>
      <c r="J1642">
        <v>37.18</v>
      </c>
      <c r="K1642">
        <v>155</v>
      </c>
      <c r="L1642">
        <v>144</v>
      </c>
      <c r="M1642">
        <v>13.18</v>
      </c>
      <c r="N1642">
        <v>99</v>
      </c>
      <c r="O1642">
        <v>117</v>
      </c>
      <c r="P1642">
        <v>4.46</v>
      </c>
      <c r="Q1642">
        <v>12.1</v>
      </c>
      <c r="R1642">
        <v>4</v>
      </c>
      <c r="S1642">
        <v>3.27</v>
      </c>
      <c r="T1642">
        <v>1</v>
      </c>
      <c r="U1642" t="s">
        <v>22</v>
      </c>
      <c r="V1642" t="e">
        <f>IF(#REF! = "yes", 1, 0)</f>
        <v>#REF!</v>
      </c>
      <c r="W1642" t="e">
        <f>IF(#REF! &lt;= 1, "0-1 Calls", IF(#REF! &lt;= 3, "2-3 Calls", IF(#REF! &lt;=5, "4-5 Calls", "6+ Calls")))</f>
        <v>#REF!</v>
      </c>
      <c r="X1642" t="e">
        <f>IF(#REF! &lt;= 50, "0-50", IF(#REF! &lt;=100, "51-100", IF(#REF! &lt;= 150, "101-150", "151+")))</f>
        <v>#REF!</v>
      </c>
      <c r="Y1642" t="e">
        <f>IF(#REF! &lt;= 3, "Low Charges", "High Charges")</f>
        <v>#REF!</v>
      </c>
      <c r="Z1642" t="e">
        <f>IF(#REF!&lt;=80,"Low Calls",
IF(#REF!&lt;=120,"Medium Calls","High Calls"))</f>
        <v>#REF!</v>
      </c>
      <c r="AA1642" t="e">
        <f>IF(#REF!&lt;=15,"Low Charges",
IF(#REF!&lt;=20,"Medium Charges","High Charges"))</f>
        <v>#REF!</v>
      </c>
      <c r="AB1642" t="e">
        <f>IF(AND(#REF!&gt;180, #REF!&gt;200), "Heavy Doemstic User", IF(#REF!&gt;10, "Interntional User", IF(AND(#REF!&lt;180, #REF!&lt;200,#REF!&lt;200), "Light User", "Balanced User")))</f>
        <v>#REF!</v>
      </c>
      <c r="AC1642" t="e">
        <f>IF(#REF! = 0, "No Usage", IF(#REF! &lt;= 20, "Low Usage", IF(#REF! &lt;= 40, "Medium Usgae", "High Usage")))</f>
        <v>#REF!</v>
      </c>
      <c r="AD1642" t="e">
        <f>IF(#REF!&lt;=150,"Low Usage", IF(#REF!&lt;=200,"Medium Usage", IF(#REF!&lt;=250,"High Usage","Very High Usage")))</f>
        <v>#REF!</v>
      </c>
      <c r="AE1642" t="e">
        <f>IF(#REF!&lt;=5,"Low Calls", IF(#REF!&lt;=10, "Medium Calls", "High Calls"))</f>
        <v>#REF!</v>
      </c>
      <c r="AF1642" t="e">
        <f xml:space="preserve">
IF(#REF!&gt;=4,4,0)+
IF(#REF!="yes",3,0)+
IF(#REF!="High Charges",3,0)+
IF(#REF!&gt;250,4,0)+
IF(#REF!="no",1,0)+
IF(#REF!="Heavy Domestic User",2,0)</f>
        <v>#REF!</v>
      </c>
      <c r="AG1642" t="e">
        <f>IF(#REF!&gt;=10,"High Risk", IF(#REF!&gt;=5,"Medium Risk","Low Risk"))</f>
        <v>#REF!</v>
      </c>
      <c r="AH1642" t="e">
        <f>#REF! + #REF! + #REF! + #REF!</f>
        <v>#REF!</v>
      </c>
    </row>
    <row r="1643" spans="1:34" x14ac:dyDescent="0.35">
      <c r="A1643">
        <v>1642</v>
      </c>
      <c r="B1643" t="s">
        <v>52</v>
      </c>
      <c r="C1643">
        <v>155</v>
      </c>
      <c r="D1643" t="s">
        <v>25</v>
      </c>
      <c r="E1643" t="s">
        <v>22</v>
      </c>
      <c r="F1643" t="s">
        <v>23</v>
      </c>
      <c r="G1643">
        <v>30</v>
      </c>
      <c r="H1643">
        <v>128.5</v>
      </c>
      <c r="I1643">
        <v>86</v>
      </c>
      <c r="J1643">
        <v>21.85</v>
      </c>
      <c r="K1643">
        <v>188.4</v>
      </c>
      <c r="L1643">
        <v>91</v>
      </c>
      <c r="M1643">
        <v>16.010000000000002</v>
      </c>
      <c r="N1643">
        <v>254.4</v>
      </c>
      <c r="O1643">
        <v>85</v>
      </c>
      <c r="P1643">
        <v>11.45</v>
      </c>
      <c r="Q1643">
        <v>6.8</v>
      </c>
      <c r="R1643">
        <v>6</v>
      </c>
      <c r="S1643">
        <v>1.84</v>
      </c>
      <c r="T1643">
        <v>1</v>
      </c>
      <c r="U1643" t="s">
        <v>22</v>
      </c>
      <c r="V1643" t="e">
        <f>IF(#REF! = "yes", 1, 0)</f>
        <v>#REF!</v>
      </c>
      <c r="W1643" t="e">
        <f>IF(#REF! &lt;= 1, "0-1 Calls", IF(#REF! &lt;= 3, "2-3 Calls", IF(#REF! &lt;=5, "4-5 Calls", "6+ Calls")))</f>
        <v>#REF!</v>
      </c>
      <c r="X1643" t="e">
        <f>IF(#REF! &lt;= 50, "0-50", IF(#REF! &lt;=100, "51-100", IF(#REF! &lt;= 150, "101-150", "151+")))</f>
        <v>#REF!</v>
      </c>
      <c r="Y1643" t="e">
        <f>IF(#REF! &lt;= 3, "Low Charges", "High Charges")</f>
        <v>#REF!</v>
      </c>
      <c r="Z1643" t="e">
        <f>IF(#REF!&lt;=80,"Low Calls",
IF(#REF!&lt;=120,"Medium Calls","High Calls"))</f>
        <v>#REF!</v>
      </c>
      <c r="AA1643" t="e">
        <f>IF(#REF!&lt;=15,"Low Charges",
IF(#REF!&lt;=20,"Medium Charges","High Charges"))</f>
        <v>#REF!</v>
      </c>
      <c r="AB1643" t="e">
        <f>IF(AND(#REF!&gt;180, #REF!&gt;200), "Heavy Doemstic User", IF(#REF!&gt;10, "Interntional User", IF(AND(#REF!&lt;180, #REF!&lt;200,#REF!&lt;200), "Light User", "Balanced User")))</f>
        <v>#REF!</v>
      </c>
      <c r="AC1643" t="e">
        <f>IF(#REF! = 0, "No Usage", IF(#REF! &lt;= 20, "Low Usage", IF(#REF! &lt;= 40, "Medium Usgae", "High Usage")))</f>
        <v>#REF!</v>
      </c>
      <c r="AD1643" t="e">
        <f>IF(#REF!&lt;=150,"Low Usage", IF(#REF!&lt;=200,"Medium Usage", IF(#REF!&lt;=250,"High Usage","Very High Usage")))</f>
        <v>#REF!</v>
      </c>
      <c r="AE1643" t="e">
        <f>IF(#REF!&lt;=5,"Low Calls", IF(#REF!&lt;=10, "Medium Calls", "High Calls"))</f>
        <v>#REF!</v>
      </c>
      <c r="AF1643" t="e">
        <f xml:space="preserve">
IF(#REF!&gt;=4,4,0)+
IF(#REF!="yes",3,0)+
IF(#REF!="High Charges",3,0)+
IF(#REF!&gt;250,4,0)+
IF(#REF!="no",1,0)+
IF(#REF!="Heavy Domestic User",2,0)</f>
        <v>#REF!</v>
      </c>
      <c r="AG1643" t="e">
        <f>IF(#REF!&gt;=10,"High Risk", IF(#REF!&gt;=5,"Medium Risk","Low Risk"))</f>
        <v>#REF!</v>
      </c>
      <c r="AH1643" t="e">
        <f>#REF! + #REF! + #REF! + #REF!</f>
        <v>#REF!</v>
      </c>
    </row>
    <row r="1644" spans="1:34" x14ac:dyDescent="0.35">
      <c r="A1644">
        <v>1643</v>
      </c>
      <c r="B1644" t="s">
        <v>42</v>
      </c>
      <c r="C1644">
        <v>113</v>
      </c>
      <c r="D1644" t="s">
        <v>28</v>
      </c>
      <c r="E1644" t="s">
        <v>22</v>
      </c>
      <c r="F1644" t="s">
        <v>22</v>
      </c>
      <c r="G1644">
        <v>0</v>
      </c>
      <c r="H1644">
        <v>128.69999999999999</v>
      </c>
      <c r="I1644">
        <v>100</v>
      </c>
      <c r="J1644">
        <v>21.88</v>
      </c>
      <c r="K1644">
        <v>227.1</v>
      </c>
      <c r="L1644">
        <v>67</v>
      </c>
      <c r="M1644">
        <v>19.3</v>
      </c>
      <c r="N1644">
        <v>178.1</v>
      </c>
      <c r="O1644">
        <v>135</v>
      </c>
      <c r="P1644">
        <v>8.01</v>
      </c>
      <c r="Q1644">
        <v>9.1999999999999993</v>
      </c>
      <c r="R1644">
        <v>4</v>
      </c>
      <c r="S1644">
        <v>2.48</v>
      </c>
      <c r="T1644">
        <v>2</v>
      </c>
      <c r="U1644" t="s">
        <v>23</v>
      </c>
      <c r="V1644" t="e">
        <f>IF(#REF! = "yes", 1, 0)</f>
        <v>#REF!</v>
      </c>
      <c r="W1644" t="e">
        <f>IF(#REF! &lt;= 1, "0-1 Calls", IF(#REF! &lt;= 3, "2-3 Calls", IF(#REF! &lt;=5, "4-5 Calls", "6+ Calls")))</f>
        <v>#REF!</v>
      </c>
      <c r="X1644" t="e">
        <f>IF(#REF! &lt;= 50, "0-50", IF(#REF! &lt;=100, "51-100", IF(#REF! &lt;= 150, "101-150", "151+")))</f>
        <v>#REF!</v>
      </c>
      <c r="Y1644" t="e">
        <f>IF(#REF! &lt;= 3, "Low Charges", "High Charges")</f>
        <v>#REF!</v>
      </c>
      <c r="Z1644" t="e">
        <f>IF(#REF!&lt;=80,"Low Calls",
IF(#REF!&lt;=120,"Medium Calls","High Calls"))</f>
        <v>#REF!</v>
      </c>
      <c r="AA1644" t="e">
        <f>IF(#REF!&lt;=15,"Low Charges",
IF(#REF!&lt;=20,"Medium Charges","High Charges"))</f>
        <v>#REF!</v>
      </c>
      <c r="AB1644" t="e">
        <f>IF(AND(#REF!&gt;180, #REF!&gt;200), "Heavy Doemstic User", IF(#REF!&gt;10, "Interntional User", IF(AND(#REF!&lt;180, #REF!&lt;200,#REF!&lt;200), "Light User", "Balanced User")))</f>
        <v>#REF!</v>
      </c>
      <c r="AC1644" t="e">
        <f>IF(#REF! = 0, "No Usage", IF(#REF! &lt;= 20, "Low Usage", IF(#REF! &lt;= 40, "Medium Usgae", "High Usage")))</f>
        <v>#REF!</v>
      </c>
      <c r="AD1644" t="e">
        <f>IF(#REF!&lt;=150,"Low Usage", IF(#REF!&lt;=200,"Medium Usage", IF(#REF!&lt;=250,"High Usage","Very High Usage")))</f>
        <v>#REF!</v>
      </c>
      <c r="AE1644" t="e">
        <f>IF(#REF!&lt;=5,"Low Calls", IF(#REF!&lt;=10, "Medium Calls", "High Calls"))</f>
        <v>#REF!</v>
      </c>
      <c r="AF1644" t="e">
        <f xml:space="preserve">
IF(#REF!&gt;=4,4,0)+
IF(#REF!="yes",3,0)+
IF(#REF!="High Charges",3,0)+
IF(#REF!&gt;250,4,0)+
IF(#REF!="no",1,0)+
IF(#REF!="Heavy Domestic User",2,0)</f>
        <v>#REF!</v>
      </c>
      <c r="AG1644" t="e">
        <f>IF(#REF!&gt;=10,"High Risk", IF(#REF!&gt;=5,"Medium Risk","Low Risk"))</f>
        <v>#REF!</v>
      </c>
      <c r="AH1644" t="e">
        <f>#REF! + #REF! + #REF! + #REF!</f>
        <v>#REF!</v>
      </c>
    </row>
    <row r="1645" spans="1:34" x14ac:dyDescent="0.35">
      <c r="A1645">
        <v>1644</v>
      </c>
      <c r="B1645" t="s">
        <v>51</v>
      </c>
      <c r="C1645">
        <v>123</v>
      </c>
      <c r="D1645" t="s">
        <v>21</v>
      </c>
      <c r="E1645" t="s">
        <v>22</v>
      </c>
      <c r="F1645" t="s">
        <v>22</v>
      </c>
      <c r="G1645">
        <v>0</v>
      </c>
      <c r="H1645">
        <v>172.2</v>
      </c>
      <c r="I1645">
        <v>92</v>
      </c>
      <c r="J1645">
        <v>29.27</v>
      </c>
      <c r="K1645">
        <v>162.6</v>
      </c>
      <c r="L1645">
        <v>76</v>
      </c>
      <c r="M1645">
        <v>13.82</v>
      </c>
      <c r="N1645">
        <v>250.3</v>
      </c>
      <c r="O1645">
        <v>101</v>
      </c>
      <c r="P1645">
        <v>11.26</v>
      </c>
      <c r="Q1645">
        <v>8.6999999999999993</v>
      </c>
      <c r="R1645">
        <v>4</v>
      </c>
      <c r="S1645">
        <v>2.35</v>
      </c>
      <c r="T1645">
        <v>1</v>
      </c>
      <c r="U1645" t="s">
        <v>22</v>
      </c>
      <c r="V1645" t="e">
        <f>IF(#REF! = "yes", 1, 0)</f>
        <v>#REF!</v>
      </c>
      <c r="W1645" t="e">
        <f>IF(#REF! &lt;= 1, "0-1 Calls", IF(#REF! &lt;= 3, "2-3 Calls", IF(#REF! &lt;=5, "4-5 Calls", "6+ Calls")))</f>
        <v>#REF!</v>
      </c>
      <c r="X1645" t="e">
        <f>IF(#REF! &lt;= 50, "0-50", IF(#REF! &lt;=100, "51-100", IF(#REF! &lt;= 150, "101-150", "151+")))</f>
        <v>#REF!</v>
      </c>
      <c r="Y1645" t="e">
        <f>IF(#REF! &lt;= 3, "Low Charges", "High Charges")</f>
        <v>#REF!</v>
      </c>
      <c r="Z1645" t="e">
        <f>IF(#REF!&lt;=80,"Low Calls",
IF(#REF!&lt;=120,"Medium Calls","High Calls"))</f>
        <v>#REF!</v>
      </c>
      <c r="AA1645" t="e">
        <f>IF(#REF!&lt;=15,"Low Charges",
IF(#REF!&lt;=20,"Medium Charges","High Charges"))</f>
        <v>#REF!</v>
      </c>
      <c r="AB1645" t="e">
        <f>IF(AND(#REF!&gt;180, #REF!&gt;200), "Heavy Doemstic User", IF(#REF!&gt;10, "Interntional User", IF(AND(#REF!&lt;180, #REF!&lt;200,#REF!&lt;200), "Light User", "Balanced User")))</f>
        <v>#REF!</v>
      </c>
      <c r="AC1645" t="e">
        <f>IF(#REF! = 0, "No Usage", IF(#REF! &lt;= 20, "Low Usage", IF(#REF! &lt;= 40, "Medium Usgae", "High Usage")))</f>
        <v>#REF!</v>
      </c>
      <c r="AD1645" t="e">
        <f>IF(#REF!&lt;=150,"Low Usage", IF(#REF!&lt;=200,"Medium Usage", IF(#REF!&lt;=250,"High Usage","Very High Usage")))</f>
        <v>#REF!</v>
      </c>
      <c r="AE1645" t="e">
        <f>IF(#REF!&lt;=5,"Low Calls", IF(#REF!&lt;=10, "Medium Calls", "High Calls"))</f>
        <v>#REF!</v>
      </c>
      <c r="AF1645" t="e">
        <f xml:space="preserve">
IF(#REF!&gt;=4,4,0)+
IF(#REF!="yes",3,0)+
IF(#REF!="High Charges",3,0)+
IF(#REF!&gt;250,4,0)+
IF(#REF!="no",1,0)+
IF(#REF!="Heavy Domestic User",2,0)</f>
        <v>#REF!</v>
      </c>
      <c r="AG1645" t="e">
        <f>IF(#REF!&gt;=10,"High Risk", IF(#REF!&gt;=5,"Medium Risk","Low Risk"))</f>
        <v>#REF!</v>
      </c>
      <c r="AH1645" t="e">
        <f>#REF! + #REF! + #REF! + #REF!</f>
        <v>#REF!</v>
      </c>
    </row>
    <row r="1646" spans="1:34" x14ac:dyDescent="0.35">
      <c r="A1646">
        <v>1645</v>
      </c>
      <c r="B1646" t="s">
        <v>29</v>
      </c>
      <c r="C1646">
        <v>42</v>
      </c>
      <c r="D1646" t="s">
        <v>21</v>
      </c>
      <c r="E1646" t="s">
        <v>22</v>
      </c>
      <c r="F1646" t="s">
        <v>22</v>
      </c>
      <c r="G1646">
        <v>0</v>
      </c>
      <c r="H1646">
        <v>184.5</v>
      </c>
      <c r="I1646">
        <v>98</v>
      </c>
      <c r="J1646">
        <v>31.37</v>
      </c>
      <c r="K1646">
        <v>200.5</v>
      </c>
      <c r="L1646">
        <v>93</v>
      </c>
      <c r="M1646">
        <v>17.04</v>
      </c>
      <c r="N1646">
        <v>279.2</v>
      </c>
      <c r="O1646">
        <v>91</v>
      </c>
      <c r="P1646">
        <v>12.56</v>
      </c>
      <c r="Q1646">
        <v>8.8000000000000007</v>
      </c>
      <c r="R1646">
        <v>3</v>
      </c>
      <c r="S1646">
        <v>2.38</v>
      </c>
      <c r="T1646">
        <v>2</v>
      </c>
      <c r="U1646" t="s">
        <v>22</v>
      </c>
      <c r="V1646" t="e">
        <f>IF(#REF! = "yes", 1, 0)</f>
        <v>#REF!</v>
      </c>
      <c r="W1646" t="e">
        <f>IF(#REF! &lt;= 1, "0-1 Calls", IF(#REF! &lt;= 3, "2-3 Calls", IF(#REF! &lt;=5, "4-5 Calls", "6+ Calls")))</f>
        <v>#REF!</v>
      </c>
      <c r="X1646" t="e">
        <f>IF(#REF! &lt;= 50, "0-50", IF(#REF! &lt;=100, "51-100", IF(#REF! &lt;= 150, "101-150", "151+")))</f>
        <v>#REF!</v>
      </c>
      <c r="Y1646" t="e">
        <f>IF(#REF! &lt;= 3, "Low Charges", "High Charges")</f>
        <v>#REF!</v>
      </c>
      <c r="Z1646" t="e">
        <f>IF(#REF!&lt;=80,"Low Calls",
IF(#REF!&lt;=120,"Medium Calls","High Calls"))</f>
        <v>#REF!</v>
      </c>
      <c r="AA1646" t="e">
        <f>IF(#REF!&lt;=15,"Low Charges",
IF(#REF!&lt;=20,"Medium Charges","High Charges"))</f>
        <v>#REF!</v>
      </c>
      <c r="AB1646" t="e">
        <f>IF(AND(#REF!&gt;180, #REF!&gt;200), "Heavy Doemstic User", IF(#REF!&gt;10, "Interntional User", IF(AND(#REF!&lt;180, #REF!&lt;200,#REF!&lt;200), "Light User", "Balanced User")))</f>
        <v>#REF!</v>
      </c>
      <c r="AC1646" t="e">
        <f>IF(#REF! = 0, "No Usage", IF(#REF! &lt;= 20, "Low Usage", IF(#REF! &lt;= 40, "Medium Usgae", "High Usage")))</f>
        <v>#REF!</v>
      </c>
      <c r="AD1646" t="e">
        <f>IF(#REF!&lt;=150,"Low Usage", IF(#REF!&lt;=200,"Medium Usage", IF(#REF!&lt;=250,"High Usage","Very High Usage")))</f>
        <v>#REF!</v>
      </c>
      <c r="AE1646" t="e">
        <f>IF(#REF!&lt;=5,"Low Calls", IF(#REF!&lt;=10, "Medium Calls", "High Calls"))</f>
        <v>#REF!</v>
      </c>
      <c r="AF1646" t="e">
        <f xml:space="preserve">
IF(#REF!&gt;=4,4,0)+
IF(#REF!="yes",3,0)+
IF(#REF!="High Charges",3,0)+
IF(#REF!&gt;250,4,0)+
IF(#REF!="no",1,0)+
IF(#REF!="Heavy Domestic User",2,0)</f>
        <v>#REF!</v>
      </c>
      <c r="AG1646" t="e">
        <f>IF(#REF!&gt;=10,"High Risk", IF(#REF!&gt;=5,"Medium Risk","Low Risk"))</f>
        <v>#REF!</v>
      </c>
      <c r="AH1646" t="e">
        <f>#REF! + #REF! + #REF! + #REF!</f>
        <v>#REF!</v>
      </c>
    </row>
    <row r="1647" spans="1:34" x14ac:dyDescent="0.35">
      <c r="A1647">
        <v>1646</v>
      </c>
      <c r="B1647" t="s">
        <v>62</v>
      </c>
      <c r="C1647">
        <v>125</v>
      </c>
      <c r="D1647" t="s">
        <v>28</v>
      </c>
      <c r="E1647" t="s">
        <v>22</v>
      </c>
      <c r="F1647" t="s">
        <v>22</v>
      </c>
      <c r="G1647">
        <v>0</v>
      </c>
      <c r="H1647">
        <v>168.6</v>
      </c>
      <c r="I1647">
        <v>99</v>
      </c>
      <c r="J1647">
        <v>28.66</v>
      </c>
      <c r="K1647">
        <v>175.6</v>
      </c>
      <c r="L1647">
        <v>107</v>
      </c>
      <c r="M1647">
        <v>14.93</v>
      </c>
      <c r="N1647">
        <v>243.3</v>
      </c>
      <c r="O1647">
        <v>92</v>
      </c>
      <c r="P1647">
        <v>10.95</v>
      </c>
      <c r="Q1647">
        <v>10.9</v>
      </c>
      <c r="R1647">
        <v>7</v>
      </c>
      <c r="S1647">
        <v>2.94</v>
      </c>
      <c r="T1647">
        <v>0</v>
      </c>
      <c r="U1647" t="s">
        <v>22</v>
      </c>
      <c r="V1647" t="e">
        <f>IF(#REF! = "yes", 1, 0)</f>
        <v>#REF!</v>
      </c>
      <c r="W1647" t="e">
        <f>IF(#REF! &lt;= 1, "0-1 Calls", IF(#REF! &lt;= 3, "2-3 Calls", IF(#REF! &lt;=5, "4-5 Calls", "6+ Calls")))</f>
        <v>#REF!</v>
      </c>
      <c r="X1647" t="e">
        <f>IF(#REF! &lt;= 50, "0-50", IF(#REF! &lt;=100, "51-100", IF(#REF! &lt;= 150, "101-150", "151+")))</f>
        <v>#REF!</v>
      </c>
      <c r="Y1647" t="e">
        <f>IF(#REF! &lt;= 3, "Low Charges", "High Charges")</f>
        <v>#REF!</v>
      </c>
      <c r="Z1647" t="e">
        <f>IF(#REF!&lt;=80,"Low Calls",
IF(#REF!&lt;=120,"Medium Calls","High Calls"))</f>
        <v>#REF!</v>
      </c>
      <c r="AA1647" t="e">
        <f>IF(#REF!&lt;=15,"Low Charges",
IF(#REF!&lt;=20,"Medium Charges","High Charges"))</f>
        <v>#REF!</v>
      </c>
      <c r="AB1647" t="e">
        <f>IF(AND(#REF!&gt;180, #REF!&gt;200), "Heavy Doemstic User", IF(#REF!&gt;10, "Interntional User", IF(AND(#REF!&lt;180, #REF!&lt;200,#REF!&lt;200), "Light User", "Balanced User")))</f>
        <v>#REF!</v>
      </c>
      <c r="AC1647" t="e">
        <f>IF(#REF! = 0, "No Usage", IF(#REF! &lt;= 20, "Low Usage", IF(#REF! &lt;= 40, "Medium Usgae", "High Usage")))</f>
        <v>#REF!</v>
      </c>
      <c r="AD1647" t="e">
        <f>IF(#REF!&lt;=150,"Low Usage", IF(#REF!&lt;=200,"Medium Usage", IF(#REF!&lt;=250,"High Usage","Very High Usage")))</f>
        <v>#REF!</v>
      </c>
      <c r="AE1647" t="e">
        <f>IF(#REF!&lt;=5,"Low Calls", IF(#REF!&lt;=10, "Medium Calls", "High Calls"))</f>
        <v>#REF!</v>
      </c>
      <c r="AF1647" t="e">
        <f xml:space="preserve">
IF(#REF!&gt;=4,4,0)+
IF(#REF!="yes",3,0)+
IF(#REF!="High Charges",3,0)+
IF(#REF!&gt;250,4,0)+
IF(#REF!="no",1,0)+
IF(#REF!="Heavy Domestic User",2,0)</f>
        <v>#REF!</v>
      </c>
      <c r="AG1647" t="e">
        <f>IF(#REF!&gt;=10,"High Risk", IF(#REF!&gt;=5,"Medium Risk","Low Risk"))</f>
        <v>#REF!</v>
      </c>
      <c r="AH1647" t="e">
        <f>#REF! + #REF! + #REF! + #REF!</f>
        <v>#REF!</v>
      </c>
    </row>
    <row r="1648" spans="1:34" x14ac:dyDescent="0.35">
      <c r="A1648">
        <v>1647</v>
      </c>
      <c r="B1648" t="s">
        <v>45</v>
      </c>
      <c r="C1648">
        <v>131</v>
      </c>
      <c r="D1648" t="s">
        <v>21</v>
      </c>
      <c r="E1648" t="s">
        <v>22</v>
      </c>
      <c r="F1648" t="s">
        <v>23</v>
      </c>
      <c r="G1648">
        <v>30</v>
      </c>
      <c r="H1648">
        <v>174</v>
      </c>
      <c r="I1648">
        <v>118</v>
      </c>
      <c r="J1648">
        <v>29.58</v>
      </c>
      <c r="K1648">
        <v>205.3</v>
      </c>
      <c r="L1648">
        <v>81</v>
      </c>
      <c r="M1648">
        <v>17.45</v>
      </c>
      <c r="N1648">
        <v>218.2</v>
      </c>
      <c r="O1648">
        <v>90</v>
      </c>
      <c r="P1648">
        <v>9.82</v>
      </c>
      <c r="Q1648">
        <v>6.7</v>
      </c>
      <c r="R1648">
        <v>3</v>
      </c>
      <c r="S1648">
        <v>1.81</v>
      </c>
      <c r="T1648">
        <v>1</v>
      </c>
      <c r="U1648" t="s">
        <v>22</v>
      </c>
      <c r="V1648" t="e">
        <f>IF(#REF! = "yes", 1, 0)</f>
        <v>#REF!</v>
      </c>
      <c r="W1648" t="e">
        <f>IF(#REF! &lt;= 1, "0-1 Calls", IF(#REF! &lt;= 3, "2-3 Calls", IF(#REF! &lt;=5, "4-5 Calls", "6+ Calls")))</f>
        <v>#REF!</v>
      </c>
      <c r="X1648" t="e">
        <f>IF(#REF! &lt;= 50, "0-50", IF(#REF! &lt;=100, "51-100", IF(#REF! &lt;= 150, "101-150", "151+")))</f>
        <v>#REF!</v>
      </c>
      <c r="Y1648" t="e">
        <f>IF(#REF! &lt;= 3, "Low Charges", "High Charges")</f>
        <v>#REF!</v>
      </c>
      <c r="Z1648" t="e">
        <f>IF(#REF!&lt;=80,"Low Calls",
IF(#REF!&lt;=120,"Medium Calls","High Calls"))</f>
        <v>#REF!</v>
      </c>
      <c r="AA1648" t="e">
        <f>IF(#REF!&lt;=15,"Low Charges",
IF(#REF!&lt;=20,"Medium Charges","High Charges"))</f>
        <v>#REF!</v>
      </c>
      <c r="AB1648" t="e">
        <f>IF(AND(#REF!&gt;180, #REF!&gt;200), "Heavy Doemstic User", IF(#REF!&gt;10, "Interntional User", IF(AND(#REF!&lt;180, #REF!&lt;200,#REF!&lt;200), "Light User", "Balanced User")))</f>
        <v>#REF!</v>
      </c>
      <c r="AC1648" t="e">
        <f>IF(#REF! = 0, "No Usage", IF(#REF! &lt;= 20, "Low Usage", IF(#REF! &lt;= 40, "Medium Usgae", "High Usage")))</f>
        <v>#REF!</v>
      </c>
      <c r="AD1648" t="e">
        <f>IF(#REF!&lt;=150,"Low Usage", IF(#REF!&lt;=200,"Medium Usage", IF(#REF!&lt;=250,"High Usage","Very High Usage")))</f>
        <v>#REF!</v>
      </c>
      <c r="AE1648" t="e">
        <f>IF(#REF!&lt;=5,"Low Calls", IF(#REF!&lt;=10, "Medium Calls", "High Calls"))</f>
        <v>#REF!</v>
      </c>
      <c r="AF1648" t="e">
        <f xml:space="preserve">
IF(#REF!&gt;=4,4,0)+
IF(#REF!="yes",3,0)+
IF(#REF!="High Charges",3,0)+
IF(#REF!&gt;250,4,0)+
IF(#REF!="no",1,0)+
IF(#REF!="Heavy Domestic User",2,0)</f>
        <v>#REF!</v>
      </c>
      <c r="AG1648" t="e">
        <f>IF(#REF!&gt;=10,"High Risk", IF(#REF!&gt;=5,"Medium Risk","Low Risk"))</f>
        <v>#REF!</v>
      </c>
      <c r="AH1648" t="e">
        <f>#REF! + #REF! + #REF! + #REF!</f>
        <v>#REF!</v>
      </c>
    </row>
    <row r="1649" spans="1:34" x14ac:dyDescent="0.35">
      <c r="A1649">
        <v>1648</v>
      </c>
      <c r="B1649" t="s">
        <v>59</v>
      </c>
      <c r="C1649">
        <v>107</v>
      </c>
      <c r="D1649" t="s">
        <v>21</v>
      </c>
      <c r="E1649" t="s">
        <v>22</v>
      </c>
      <c r="F1649" t="s">
        <v>22</v>
      </c>
      <c r="G1649">
        <v>0</v>
      </c>
      <c r="H1649">
        <v>230.4</v>
      </c>
      <c r="I1649">
        <v>65</v>
      </c>
      <c r="J1649">
        <v>39.17</v>
      </c>
      <c r="K1649">
        <v>257.39999999999998</v>
      </c>
      <c r="L1649">
        <v>80</v>
      </c>
      <c r="M1649">
        <v>21.88</v>
      </c>
      <c r="N1649">
        <v>107.3</v>
      </c>
      <c r="O1649">
        <v>88</v>
      </c>
      <c r="P1649">
        <v>4.83</v>
      </c>
      <c r="Q1649">
        <v>8.5</v>
      </c>
      <c r="R1649">
        <v>3</v>
      </c>
      <c r="S1649">
        <v>2.2999999999999998</v>
      </c>
      <c r="T1649">
        <v>1</v>
      </c>
      <c r="U1649" t="s">
        <v>22</v>
      </c>
      <c r="V1649" t="e">
        <f>IF(#REF! = "yes", 1, 0)</f>
        <v>#REF!</v>
      </c>
      <c r="W1649" t="e">
        <f>IF(#REF! &lt;= 1, "0-1 Calls", IF(#REF! &lt;= 3, "2-3 Calls", IF(#REF! &lt;=5, "4-5 Calls", "6+ Calls")))</f>
        <v>#REF!</v>
      </c>
      <c r="X1649" t="e">
        <f>IF(#REF! &lt;= 50, "0-50", IF(#REF! &lt;=100, "51-100", IF(#REF! &lt;= 150, "101-150", "151+")))</f>
        <v>#REF!</v>
      </c>
      <c r="Y1649" t="e">
        <f>IF(#REF! &lt;= 3, "Low Charges", "High Charges")</f>
        <v>#REF!</v>
      </c>
      <c r="Z1649" t="e">
        <f>IF(#REF!&lt;=80,"Low Calls",
IF(#REF!&lt;=120,"Medium Calls","High Calls"))</f>
        <v>#REF!</v>
      </c>
      <c r="AA1649" t="e">
        <f>IF(#REF!&lt;=15,"Low Charges",
IF(#REF!&lt;=20,"Medium Charges","High Charges"))</f>
        <v>#REF!</v>
      </c>
      <c r="AB1649" t="e">
        <f>IF(AND(#REF!&gt;180, #REF!&gt;200), "Heavy Doemstic User", IF(#REF!&gt;10, "Interntional User", IF(AND(#REF!&lt;180, #REF!&lt;200,#REF!&lt;200), "Light User", "Balanced User")))</f>
        <v>#REF!</v>
      </c>
      <c r="AC1649" t="e">
        <f>IF(#REF! = 0, "No Usage", IF(#REF! &lt;= 20, "Low Usage", IF(#REF! &lt;= 40, "Medium Usgae", "High Usage")))</f>
        <v>#REF!</v>
      </c>
      <c r="AD1649" t="e">
        <f>IF(#REF!&lt;=150,"Low Usage", IF(#REF!&lt;=200,"Medium Usage", IF(#REF!&lt;=250,"High Usage","Very High Usage")))</f>
        <v>#REF!</v>
      </c>
      <c r="AE1649" t="e">
        <f>IF(#REF!&lt;=5,"Low Calls", IF(#REF!&lt;=10, "Medium Calls", "High Calls"))</f>
        <v>#REF!</v>
      </c>
      <c r="AF1649" t="e">
        <f xml:space="preserve">
IF(#REF!&gt;=4,4,0)+
IF(#REF!="yes",3,0)+
IF(#REF!="High Charges",3,0)+
IF(#REF!&gt;250,4,0)+
IF(#REF!="no",1,0)+
IF(#REF!="Heavy Domestic User",2,0)</f>
        <v>#REF!</v>
      </c>
      <c r="AG1649" t="e">
        <f>IF(#REF!&gt;=10,"High Risk", IF(#REF!&gt;=5,"Medium Risk","Low Risk"))</f>
        <v>#REF!</v>
      </c>
      <c r="AH1649" t="e">
        <f>#REF! + #REF! + #REF! + #REF!</f>
        <v>#REF!</v>
      </c>
    </row>
    <row r="1650" spans="1:34" x14ac:dyDescent="0.35">
      <c r="A1650">
        <v>1649</v>
      </c>
      <c r="B1650" t="s">
        <v>72</v>
      </c>
      <c r="C1650">
        <v>48</v>
      </c>
      <c r="D1650" t="s">
        <v>25</v>
      </c>
      <c r="E1650" t="s">
        <v>22</v>
      </c>
      <c r="F1650" t="s">
        <v>22</v>
      </c>
      <c r="G1650">
        <v>0</v>
      </c>
      <c r="H1650">
        <v>198.2</v>
      </c>
      <c r="I1650">
        <v>73</v>
      </c>
      <c r="J1650">
        <v>33.69</v>
      </c>
      <c r="K1650">
        <v>202.8</v>
      </c>
      <c r="L1650">
        <v>115</v>
      </c>
      <c r="M1650">
        <v>17.239999999999998</v>
      </c>
      <c r="N1650">
        <v>146.4</v>
      </c>
      <c r="O1650">
        <v>73</v>
      </c>
      <c r="P1650">
        <v>6.59</v>
      </c>
      <c r="Q1650">
        <v>5.0999999999999996</v>
      </c>
      <c r="R1650">
        <v>5</v>
      </c>
      <c r="S1650">
        <v>1.38</v>
      </c>
      <c r="T1650">
        <v>1</v>
      </c>
      <c r="U1650" t="s">
        <v>22</v>
      </c>
      <c r="V1650" t="e">
        <f>IF(#REF! = "yes", 1, 0)</f>
        <v>#REF!</v>
      </c>
      <c r="W1650" t="e">
        <f>IF(#REF! &lt;= 1, "0-1 Calls", IF(#REF! &lt;= 3, "2-3 Calls", IF(#REF! &lt;=5, "4-5 Calls", "6+ Calls")))</f>
        <v>#REF!</v>
      </c>
      <c r="X1650" t="e">
        <f>IF(#REF! &lt;= 50, "0-50", IF(#REF! &lt;=100, "51-100", IF(#REF! &lt;= 150, "101-150", "151+")))</f>
        <v>#REF!</v>
      </c>
      <c r="Y1650" t="e">
        <f>IF(#REF! &lt;= 3, "Low Charges", "High Charges")</f>
        <v>#REF!</v>
      </c>
      <c r="Z1650" t="e">
        <f>IF(#REF!&lt;=80,"Low Calls",
IF(#REF!&lt;=120,"Medium Calls","High Calls"))</f>
        <v>#REF!</v>
      </c>
      <c r="AA1650" t="e">
        <f>IF(#REF!&lt;=15,"Low Charges",
IF(#REF!&lt;=20,"Medium Charges","High Charges"))</f>
        <v>#REF!</v>
      </c>
      <c r="AB1650" t="e">
        <f>IF(AND(#REF!&gt;180, #REF!&gt;200), "Heavy Doemstic User", IF(#REF!&gt;10, "Interntional User", IF(AND(#REF!&lt;180, #REF!&lt;200,#REF!&lt;200), "Light User", "Balanced User")))</f>
        <v>#REF!</v>
      </c>
      <c r="AC1650" t="e">
        <f>IF(#REF! = 0, "No Usage", IF(#REF! &lt;= 20, "Low Usage", IF(#REF! &lt;= 40, "Medium Usgae", "High Usage")))</f>
        <v>#REF!</v>
      </c>
      <c r="AD1650" t="e">
        <f>IF(#REF!&lt;=150,"Low Usage", IF(#REF!&lt;=200,"Medium Usage", IF(#REF!&lt;=250,"High Usage","Very High Usage")))</f>
        <v>#REF!</v>
      </c>
      <c r="AE1650" t="e">
        <f>IF(#REF!&lt;=5,"Low Calls", IF(#REF!&lt;=10, "Medium Calls", "High Calls"))</f>
        <v>#REF!</v>
      </c>
      <c r="AF1650" t="e">
        <f xml:space="preserve">
IF(#REF!&gt;=4,4,0)+
IF(#REF!="yes",3,0)+
IF(#REF!="High Charges",3,0)+
IF(#REF!&gt;250,4,0)+
IF(#REF!="no",1,0)+
IF(#REF!="Heavy Domestic User",2,0)</f>
        <v>#REF!</v>
      </c>
      <c r="AG1650" t="e">
        <f>IF(#REF!&gt;=10,"High Risk", IF(#REF!&gt;=5,"Medium Risk","Low Risk"))</f>
        <v>#REF!</v>
      </c>
      <c r="AH1650" t="e">
        <f>#REF! + #REF! + #REF! + #REF!</f>
        <v>#REF!</v>
      </c>
    </row>
    <row r="1651" spans="1:34" x14ac:dyDescent="0.35">
      <c r="A1651">
        <v>1650</v>
      </c>
      <c r="B1651" t="s">
        <v>72</v>
      </c>
      <c r="C1651">
        <v>76</v>
      </c>
      <c r="D1651" t="s">
        <v>28</v>
      </c>
      <c r="E1651" t="s">
        <v>22</v>
      </c>
      <c r="F1651" t="s">
        <v>22</v>
      </c>
      <c r="G1651">
        <v>0</v>
      </c>
      <c r="H1651">
        <v>186.1</v>
      </c>
      <c r="I1651">
        <v>96</v>
      </c>
      <c r="J1651">
        <v>31.64</v>
      </c>
      <c r="K1651">
        <v>211.6</v>
      </c>
      <c r="L1651">
        <v>100</v>
      </c>
      <c r="M1651">
        <v>17.989999999999998</v>
      </c>
      <c r="N1651">
        <v>230.6</v>
      </c>
      <c r="O1651">
        <v>100</v>
      </c>
      <c r="P1651">
        <v>10.38</v>
      </c>
      <c r="Q1651">
        <v>8</v>
      </c>
      <c r="R1651">
        <v>4</v>
      </c>
      <c r="S1651">
        <v>2.16</v>
      </c>
      <c r="T1651">
        <v>0</v>
      </c>
      <c r="U1651" t="s">
        <v>22</v>
      </c>
      <c r="V1651" t="e">
        <f>IF(#REF! = "yes", 1, 0)</f>
        <v>#REF!</v>
      </c>
      <c r="W1651" t="e">
        <f>IF(#REF! &lt;= 1, "0-1 Calls", IF(#REF! &lt;= 3, "2-3 Calls", IF(#REF! &lt;=5, "4-5 Calls", "6+ Calls")))</f>
        <v>#REF!</v>
      </c>
      <c r="X1651" t="e">
        <f>IF(#REF! &lt;= 50, "0-50", IF(#REF! &lt;=100, "51-100", IF(#REF! &lt;= 150, "101-150", "151+")))</f>
        <v>#REF!</v>
      </c>
      <c r="Y1651" t="e">
        <f>IF(#REF! &lt;= 3, "Low Charges", "High Charges")</f>
        <v>#REF!</v>
      </c>
      <c r="Z1651" t="e">
        <f>IF(#REF!&lt;=80,"Low Calls",
IF(#REF!&lt;=120,"Medium Calls","High Calls"))</f>
        <v>#REF!</v>
      </c>
      <c r="AA1651" t="e">
        <f>IF(#REF!&lt;=15,"Low Charges",
IF(#REF!&lt;=20,"Medium Charges","High Charges"))</f>
        <v>#REF!</v>
      </c>
      <c r="AB1651" t="e">
        <f>IF(AND(#REF!&gt;180, #REF!&gt;200), "Heavy Doemstic User", IF(#REF!&gt;10, "Interntional User", IF(AND(#REF!&lt;180, #REF!&lt;200,#REF!&lt;200), "Light User", "Balanced User")))</f>
        <v>#REF!</v>
      </c>
      <c r="AC1651" t="e">
        <f>IF(#REF! = 0, "No Usage", IF(#REF! &lt;= 20, "Low Usage", IF(#REF! &lt;= 40, "Medium Usgae", "High Usage")))</f>
        <v>#REF!</v>
      </c>
      <c r="AD1651" t="e">
        <f>IF(#REF!&lt;=150,"Low Usage", IF(#REF!&lt;=200,"Medium Usage", IF(#REF!&lt;=250,"High Usage","Very High Usage")))</f>
        <v>#REF!</v>
      </c>
      <c r="AE1651" t="e">
        <f>IF(#REF!&lt;=5,"Low Calls", IF(#REF!&lt;=10, "Medium Calls", "High Calls"))</f>
        <v>#REF!</v>
      </c>
      <c r="AF1651" t="e">
        <f xml:space="preserve">
IF(#REF!&gt;=4,4,0)+
IF(#REF!="yes",3,0)+
IF(#REF!="High Charges",3,0)+
IF(#REF!&gt;250,4,0)+
IF(#REF!="no",1,0)+
IF(#REF!="Heavy Domestic User",2,0)</f>
        <v>#REF!</v>
      </c>
      <c r="AG1651" t="e">
        <f>IF(#REF!&gt;=10,"High Risk", IF(#REF!&gt;=5,"Medium Risk","Low Risk"))</f>
        <v>#REF!</v>
      </c>
      <c r="AH1651" t="e">
        <f>#REF! + #REF! + #REF! + #REF!</f>
        <v>#REF!</v>
      </c>
    </row>
    <row r="1652" spans="1:34" x14ac:dyDescent="0.35">
      <c r="A1652">
        <v>1651</v>
      </c>
      <c r="B1652" t="s">
        <v>30</v>
      </c>
      <c r="C1652">
        <v>128</v>
      </c>
      <c r="D1652" t="s">
        <v>21</v>
      </c>
      <c r="E1652" t="s">
        <v>22</v>
      </c>
      <c r="F1652" t="s">
        <v>22</v>
      </c>
      <c r="G1652">
        <v>0</v>
      </c>
      <c r="H1652">
        <v>148.5</v>
      </c>
      <c r="I1652">
        <v>105</v>
      </c>
      <c r="J1652">
        <v>25.25</v>
      </c>
      <c r="K1652">
        <v>243</v>
      </c>
      <c r="L1652">
        <v>106</v>
      </c>
      <c r="M1652">
        <v>20.66</v>
      </c>
      <c r="N1652">
        <v>255.2</v>
      </c>
      <c r="O1652">
        <v>114</v>
      </c>
      <c r="P1652">
        <v>11.48</v>
      </c>
      <c r="Q1652">
        <v>6.8</v>
      </c>
      <c r="R1652">
        <v>2</v>
      </c>
      <c r="S1652">
        <v>1.84</v>
      </c>
      <c r="T1652">
        <v>1</v>
      </c>
      <c r="U1652" t="s">
        <v>22</v>
      </c>
      <c r="V1652" t="e">
        <f>IF(#REF! = "yes", 1, 0)</f>
        <v>#REF!</v>
      </c>
      <c r="W1652" t="e">
        <f>IF(#REF! &lt;= 1, "0-1 Calls", IF(#REF! &lt;= 3, "2-3 Calls", IF(#REF! &lt;=5, "4-5 Calls", "6+ Calls")))</f>
        <v>#REF!</v>
      </c>
      <c r="X1652" t="e">
        <f>IF(#REF! &lt;= 50, "0-50", IF(#REF! &lt;=100, "51-100", IF(#REF! &lt;= 150, "101-150", "151+")))</f>
        <v>#REF!</v>
      </c>
      <c r="Y1652" t="e">
        <f>IF(#REF! &lt;= 3, "Low Charges", "High Charges")</f>
        <v>#REF!</v>
      </c>
      <c r="Z1652" t="e">
        <f>IF(#REF!&lt;=80,"Low Calls",
IF(#REF!&lt;=120,"Medium Calls","High Calls"))</f>
        <v>#REF!</v>
      </c>
      <c r="AA1652" t="e">
        <f>IF(#REF!&lt;=15,"Low Charges",
IF(#REF!&lt;=20,"Medium Charges","High Charges"))</f>
        <v>#REF!</v>
      </c>
      <c r="AB1652" t="e">
        <f>IF(AND(#REF!&gt;180, #REF!&gt;200), "Heavy Doemstic User", IF(#REF!&gt;10, "Interntional User", IF(AND(#REF!&lt;180, #REF!&lt;200,#REF!&lt;200), "Light User", "Balanced User")))</f>
        <v>#REF!</v>
      </c>
      <c r="AC1652" t="e">
        <f>IF(#REF! = 0, "No Usage", IF(#REF! &lt;= 20, "Low Usage", IF(#REF! &lt;= 40, "Medium Usgae", "High Usage")))</f>
        <v>#REF!</v>
      </c>
      <c r="AD1652" t="e">
        <f>IF(#REF!&lt;=150,"Low Usage", IF(#REF!&lt;=200,"Medium Usage", IF(#REF!&lt;=250,"High Usage","Very High Usage")))</f>
        <v>#REF!</v>
      </c>
      <c r="AE1652" t="e">
        <f>IF(#REF!&lt;=5,"Low Calls", IF(#REF!&lt;=10, "Medium Calls", "High Calls"))</f>
        <v>#REF!</v>
      </c>
      <c r="AF1652" t="e">
        <f xml:space="preserve">
IF(#REF!&gt;=4,4,0)+
IF(#REF!="yes",3,0)+
IF(#REF!="High Charges",3,0)+
IF(#REF!&gt;250,4,0)+
IF(#REF!="no",1,0)+
IF(#REF!="Heavy Domestic User",2,0)</f>
        <v>#REF!</v>
      </c>
      <c r="AG1652" t="e">
        <f>IF(#REF!&gt;=10,"High Risk", IF(#REF!&gt;=5,"Medium Risk","Low Risk"))</f>
        <v>#REF!</v>
      </c>
      <c r="AH1652" t="e">
        <f>#REF! + #REF! + #REF! + #REF!</f>
        <v>#REF!</v>
      </c>
    </row>
    <row r="1653" spans="1:34" x14ac:dyDescent="0.35">
      <c r="A1653">
        <v>1652</v>
      </c>
      <c r="B1653" t="s">
        <v>51</v>
      </c>
      <c r="C1653">
        <v>73</v>
      </c>
      <c r="D1653" t="s">
        <v>21</v>
      </c>
      <c r="E1653" t="s">
        <v>22</v>
      </c>
      <c r="F1653" t="s">
        <v>22</v>
      </c>
      <c r="G1653">
        <v>0</v>
      </c>
      <c r="H1653">
        <v>157.1</v>
      </c>
      <c r="I1653">
        <v>109</v>
      </c>
      <c r="J1653">
        <v>26.71</v>
      </c>
      <c r="K1653">
        <v>268.8</v>
      </c>
      <c r="L1653">
        <v>83</v>
      </c>
      <c r="M1653">
        <v>22.85</v>
      </c>
      <c r="N1653">
        <v>181.5</v>
      </c>
      <c r="O1653">
        <v>91</v>
      </c>
      <c r="P1653">
        <v>8.17</v>
      </c>
      <c r="Q1653">
        <v>10</v>
      </c>
      <c r="R1653">
        <v>8</v>
      </c>
      <c r="S1653">
        <v>2.7</v>
      </c>
      <c r="T1653">
        <v>0</v>
      </c>
      <c r="U1653" t="s">
        <v>22</v>
      </c>
      <c r="V1653" t="e">
        <f>IF(#REF! = "yes", 1, 0)</f>
        <v>#REF!</v>
      </c>
      <c r="W1653" t="e">
        <f>IF(#REF! &lt;= 1, "0-1 Calls", IF(#REF! &lt;= 3, "2-3 Calls", IF(#REF! &lt;=5, "4-5 Calls", "6+ Calls")))</f>
        <v>#REF!</v>
      </c>
      <c r="X1653" t="e">
        <f>IF(#REF! &lt;= 50, "0-50", IF(#REF! &lt;=100, "51-100", IF(#REF! &lt;= 150, "101-150", "151+")))</f>
        <v>#REF!</v>
      </c>
      <c r="Y1653" t="e">
        <f>IF(#REF! &lt;= 3, "Low Charges", "High Charges")</f>
        <v>#REF!</v>
      </c>
      <c r="Z1653" t="e">
        <f>IF(#REF!&lt;=80,"Low Calls",
IF(#REF!&lt;=120,"Medium Calls","High Calls"))</f>
        <v>#REF!</v>
      </c>
      <c r="AA1653" t="e">
        <f>IF(#REF!&lt;=15,"Low Charges",
IF(#REF!&lt;=20,"Medium Charges","High Charges"))</f>
        <v>#REF!</v>
      </c>
      <c r="AB1653" t="e">
        <f>IF(AND(#REF!&gt;180, #REF!&gt;200), "Heavy Doemstic User", IF(#REF!&gt;10, "Interntional User", IF(AND(#REF!&lt;180, #REF!&lt;200,#REF!&lt;200), "Light User", "Balanced User")))</f>
        <v>#REF!</v>
      </c>
      <c r="AC1653" t="e">
        <f>IF(#REF! = 0, "No Usage", IF(#REF! &lt;= 20, "Low Usage", IF(#REF! &lt;= 40, "Medium Usgae", "High Usage")))</f>
        <v>#REF!</v>
      </c>
      <c r="AD1653" t="e">
        <f>IF(#REF!&lt;=150,"Low Usage", IF(#REF!&lt;=200,"Medium Usage", IF(#REF!&lt;=250,"High Usage","Very High Usage")))</f>
        <v>#REF!</v>
      </c>
      <c r="AE1653" t="e">
        <f>IF(#REF!&lt;=5,"Low Calls", IF(#REF!&lt;=10, "Medium Calls", "High Calls"))</f>
        <v>#REF!</v>
      </c>
      <c r="AF1653" t="e">
        <f xml:space="preserve">
IF(#REF!&gt;=4,4,0)+
IF(#REF!="yes",3,0)+
IF(#REF!="High Charges",3,0)+
IF(#REF!&gt;250,4,0)+
IF(#REF!="no",1,0)+
IF(#REF!="Heavy Domestic User",2,0)</f>
        <v>#REF!</v>
      </c>
      <c r="AG1653" t="e">
        <f>IF(#REF!&gt;=10,"High Risk", IF(#REF!&gt;=5,"Medium Risk","Low Risk"))</f>
        <v>#REF!</v>
      </c>
      <c r="AH1653" t="e">
        <f>#REF! + #REF! + #REF! + #REF!</f>
        <v>#REF!</v>
      </c>
    </row>
    <row r="1654" spans="1:34" x14ac:dyDescent="0.35">
      <c r="A1654">
        <v>1653</v>
      </c>
      <c r="B1654" t="s">
        <v>39</v>
      </c>
      <c r="C1654">
        <v>52</v>
      </c>
      <c r="D1654" t="s">
        <v>21</v>
      </c>
      <c r="E1654" t="s">
        <v>22</v>
      </c>
      <c r="F1654" t="s">
        <v>22</v>
      </c>
      <c r="G1654">
        <v>0</v>
      </c>
      <c r="H1654">
        <v>155</v>
      </c>
      <c r="I1654">
        <v>110</v>
      </c>
      <c r="J1654">
        <v>26.35</v>
      </c>
      <c r="K1654">
        <v>133.4</v>
      </c>
      <c r="L1654">
        <v>104</v>
      </c>
      <c r="M1654">
        <v>11.34</v>
      </c>
      <c r="N1654">
        <v>176.1</v>
      </c>
      <c r="O1654">
        <v>84</v>
      </c>
      <c r="P1654">
        <v>7.92</v>
      </c>
      <c r="Q1654">
        <v>7</v>
      </c>
      <c r="R1654">
        <v>4</v>
      </c>
      <c r="S1654">
        <v>1.89</v>
      </c>
      <c r="T1654">
        <v>4</v>
      </c>
      <c r="U1654" t="s">
        <v>23</v>
      </c>
      <c r="V1654" t="e">
        <f>IF(#REF! = "yes", 1, 0)</f>
        <v>#REF!</v>
      </c>
      <c r="W1654" t="e">
        <f>IF(#REF! &lt;= 1, "0-1 Calls", IF(#REF! &lt;= 3, "2-3 Calls", IF(#REF! &lt;=5, "4-5 Calls", "6+ Calls")))</f>
        <v>#REF!</v>
      </c>
      <c r="X1654" t="e">
        <f>IF(#REF! &lt;= 50, "0-50", IF(#REF! &lt;=100, "51-100", IF(#REF! &lt;= 150, "101-150", "151+")))</f>
        <v>#REF!</v>
      </c>
      <c r="Y1654" t="e">
        <f>IF(#REF! &lt;= 3, "Low Charges", "High Charges")</f>
        <v>#REF!</v>
      </c>
      <c r="Z1654" t="e">
        <f>IF(#REF!&lt;=80,"Low Calls",
IF(#REF!&lt;=120,"Medium Calls","High Calls"))</f>
        <v>#REF!</v>
      </c>
      <c r="AA1654" t="e">
        <f>IF(#REF!&lt;=15,"Low Charges",
IF(#REF!&lt;=20,"Medium Charges","High Charges"))</f>
        <v>#REF!</v>
      </c>
      <c r="AB1654" t="e">
        <f>IF(AND(#REF!&gt;180, #REF!&gt;200), "Heavy Doemstic User", IF(#REF!&gt;10, "Interntional User", IF(AND(#REF!&lt;180, #REF!&lt;200,#REF!&lt;200), "Light User", "Balanced User")))</f>
        <v>#REF!</v>
      </c>
      <c r="AC1654" t="e">
        <f>IF(#REF! = 0, "No Usage", IF(#REF! &lt;= 20, "Low Usage", IF(#REF! &lt;= 40, "Medium Usgae", "High Usage")))</f>
        <v>#REF!</v>
      </c>
      <c r="AD1654" t="e">
        <f>IF(#REF!&lt;=150,"Low Usage", IF(#REF!&lt;=200,"Medium Usage", IF(#REF!&lt;=250,"High Usage","Very High Usage")))</f>
        <v>#REF!</v>
      </c>
      <c r="AE1654" t="e">
        <f>IF(#REF!&lt;=5,"Low Calls", IF(#REF!&lt;=10, "Medium Calls", "High Calls"))</f>
        <v>#REF!</v>
      </c>
      <c r="AF1654" t="e">
        <f xml:space="preserve">
IF(#REF!&gt;=4,4,0)+
IF(#REF!="yes",3,0)+
IF(#REF!="High Charges",3,0)+
IF(#REF!&gt;250,4,0)+
IF(#REF!="no",1,0)+
IF(#REF!="Heavy Domestic User",2,0)</f>
        <v>#REF!</v>
      </c>
      <c r="AG1654" t="e">
        <f>IF(#REF!&gt;=10,"High Risk", IF(#REF!&gt;=5,"Medium Risk","Low Risk"))</f>
        <v>#REF!</v>
      </c>
      <c r="AH1654" t="e">
        <f>#REF! + #REF! + #REF! + #REF!</f>
        <v>#REF!</v>
      </c>
    </row>
    <row r="1655" spans="1:34" x14ac:dyDescent="0.35">
      <c r="A1655">
        <v>1654</v>
      </c>
      <c r="B1655" t="s">
        <v>53</v>
      </c>
      <c r="C1655">
        <v>126</v>
      </c>
      <c r="D1655" t="s">
        <v>21</v>
      </c>
      <c r="E1655" t="s">
        <v>23</v>
      </c>
      <c r="F1655" t="s">
        <v>23</v>
      </c>
      <c r="G1655">
        <v>26</v>
      </c>
      <c r="H1655">
        <v>129.30000000000001</v>
      </c>
      <c r="I1655">
        <v>123</v>
      </c>
      <c r="J1655">
        <v>21.98</v>
      </c>
      <c r="K1655">
        <v>176.5</v>
      </c>
      <c r="L1655">
        <v>114</v>
      </c>
      <c r="M1655">
        <v>15</v>
      </c>
      <c r="N1655">
        <v>154.5</v>
      </c>
      <c r="O1655">
        <v>102</v>
      </c>
      <c r="P1655">
        <v>6.95</v>
      </c>
      <c r="Q1655">
        <v>9.6</v>
      </c>
      <c r="R1655">
        <v>7</v>
      </c>
      <c r="S1655">
        <v>2.59</v>
      </c>
      <c r="T1655">
        <v>1</v>
      </c>
      <c r="U1655" t="s">
        <v>22</v>
      </c>
      <c r="V1655" t="e">
        <f>IF(#REF! = "yes", 1, 0)</f>
        <v>#REF!</v>
      </c>
      <c r="W1655" t="e">
        <f>IF(#REF! &lt;= 1, "0-1 Calls", IF(#REF! &lt;= 3, "2-3 Calls", IF(#REF! &lt;=5, "4-5 Calls", "6+ Calls")))</f>
        <v>#REF!</v>
      </c>
      <c r="X1655" t="e">
        <f>IF(#REF! &lt;= 50, "0-50", IF(#REF! &lt;=100, "51-100", IF(#REF! &lt;= 150, "101-150", "151+")))</f>
        <v>#REF!</v>
      </c>
      <c r="Y1655" t="e">
        <f>IF(#REF! &lt;= 3, "Low Charges", "High Charges")</f>
        <v>#REF!</v>
      </c>
      <c r="Z1655" t="e">
        <f>IF(#REF!&lt;=80,"Low Calls",
IF(#REF!&lt;=120,"Medium Calls","High Calls"))</f>
        <v>#REF!</v>
      </c>
      <c r="AA1655" t="e">
        <f>IF(#REF!&lt;=15,"Low Charges",
IF(#REF!&lt;=20,"Medium Charges","High Charges"))</f>
        <v>#REF!</v>
      </c>
      <c r="AB1655" t="e">
        <f>IF(AND(#REF!&gt;180, #REF!&gt;200), "Heavy Doemstic User", IF(#REF!&gt;10, "Interntional User", IF(AND(#REF!&lt;180, #REF!&lt;200,#REF!&lt;200), "Light User", "Balanced User")))</f>
        <v>#REF!</v>
      </c>
      <c r="AC1655" t="e">
        <f>IF(#REF! = 0, "No Usage", IF(#REF! &lt;= 20, "Low Usage", IF(#REF! &lt;= 40, "Medium Usgae", "High Usage")))</f>
        <v>#REF!</v>
      </c>
      <c r="AD1655" t="e">
        <f>IF(#REF!&lt;=150,"Low Usage", IF(#REF!&lt;=200,"Medium Usage", IF(#REF!&lt;=250,"High Usage","Very High Usage")))</f>
        <v>#REF!</v>
      </c>
      <c r="AE1655" t="e">
        <f>IF(#REF!&lt;=5,"Low Calls", IF(#REF!&lt;=10, "Medium Calls", "High Calls"))</f>
        <v>#REF!</v>
      </c>
      <c r="AF1655" t="e">
        <f xml:space="preserve">
IF(#REF!&gt;=4,4,0)+
IF(#REF!="yes",3,0)+
IF(#REF!="High Charges",3,0)+
IF(#REF!&gt;250,4,0)+
IF(#REF!="no",1,0)+
IF(#REF!="Heavy Domestic User",2,0)</f>
        <v>#REF!</v>
      </c>
      <c r="AG1655" t="e">
        <f>IF(#REF!&gt;=10,"High Risk", IF(#REF!&gt;=5,"Medium Risk","Low Risk"))</f>
        <v>#REF!</v>
      </c>
      <c r="AH1655" t="e">
        <f>#REF! + #REF! + #REF! + #REF!</f>
        <v>#REF!</v>
      </c>
    </row>
    <row r="1656" spans="1:34" x14ac:dyDescent="0.35">
      <c r="A1656">
        <v>1655</v>
      </c>
      <c r="B1656" t="s">
        <v>59</v>
      </c>
      <c r="C1656">
        <v>137</v>
      </c>
      <c r="D1656" t="s">
        <v>25</v>
      </c>
      <c r="E1656" t="s">
        <v>22</v>
      </c>
      <c r="F1656" t="s">
        <v>22</v>
      </c>
      <c r="G1656">
        <v>0</v>
      </c>
      <c r="H1656">
        <v>208.8</v>
      </c>
      <c r="I1656">
        <v>120</v>
      </c>
      <c r="J1656">
        <v>35.5</v>
      </c>
      <c r="K1656">
        <v>225.3</v>
      </c>
      <c r="L1656">
        <v>100</v>
      </c>
      <c r="M1656">
        <v>19.149999999999999</v>
      </c>
      <c r="N1656">
        <v>221.6</v>
      </c>
      <c r="O1656">
        <v>130</v>
      </c>
      <c r="P1656">
        <v>9.9700000000000006</v>
      </c>
      <c r="Q1656">
        <v>11.1</v>
      </c>
      <c r="R1656">
        <v>5</v>
      </c>
      <c r="S1656">
        <v>3</v>
      </c>
      <c r="T1656">
        <v>0</v>
      </c>
      <c r="U1656" t="s">
        <v>22</v>
      </c>
      <c r="V1656" t="e">
        <f>IF(#REF! = "yes", 1, 0)</f>
        <v>#REF!</v>
      </c>
      <c r="W1656" t="e">
        <f>IF(#REF! &lt;= 1, "0-1 Calls", IF(#REF! &lt;= 3, "2-3 Calls", IF(#REF! &lt;=5, "4-5 Calls", "6+ Calls")))</f>
        <v>#REF!</v>
      </c>
      <c r="X1656" t="e">
        <f>IF(#REF! &lt;= 50, "0-50", IF(#REF! &lt;=100, "51-100", IF(#REF! &lt;= 150, "101-150", "151+")))</f>
        <v>#REF!</v>
      </c>
      <c r="Y1656" t="e">
        <f>IF(#REF! &lt;= 3, "Low Charges", "High Charges")</f>
        <v>#REF!</v>
      </c>
      <c r="Z1656" t="e">
        <f>IF(#REF!&lt;=80,"Low Calls",
IF(#REF!&lt;=120,"Medium Calls","High Calls"))</f>
        <v>#REF!</v>
      </c>
      <c r="AA1656" t="e">
        <f>IF(#REF!&lt;=15,"Low Charges",
IF(#REF!&lt;=20,"Medium Charges","High Charges"))</f>
        <v>#REF!</v>
      </c>
      <c r="AB1656" t="e">
        <f>IF(AND(#REF!&gt;180, #REF!&gt;200), "Heavy Doemstic User", IF(#REF!&gt;10, "Interntional User", IF(AND(#REF!&lt;180, #REF!&lt;200,#REF!&lt;200), "Light User", "Balanced User")))</f>
        <v>#REF!</v>
      </c>
      <c r="AC1656" t="e">
        <f>IF(#REF! = 0, "No Usage", IF(#REF! &lt;= 20, "Low Usage", IF(#REF! &lt;= 40, "Medium Usgae", "High Usage")))</f>
        <v>#REF!</v>
      </c>
      <c r="AD1656" t="e">
        <f>IF(#REF!&lt;=150,"Low Usage", IF(#REF!&lt;=200,"Medium Usage", IF(#REF!&lt;=250,"High Usage","Very High Usage")))</f>
        <v>#REF!</v>
      </c>
      <c r="AE1656" t="e">
        <f>IF(#REF!&lt;=5,"Low Calls", IF(#REF!&lt;=10, "Medium Calls", "High Calls"))</f>
        <v>#REF!</v>
      </c>
      <c r="AF1656" t="e">
        <f xml:space="preserve">
IF(#REF!&gt;=4,4,0)+
IF(#REF!="yes",3,0)+
IF(#REF!="High Charges",3,0)+
IF(#REF!&gt;250,4,0)+
IF(#REF!="no",1,0)+
IF(#REF!="Heavy Domestic User",2,0)</f>
        <v>#REF!</v>
      </c>
      <c r="AG1656" t="e">
        <f>IF(#REF!&gt;=10,"High Risk", IF(#REF!&gt;=5,"Medium Risk","Low Risk"))</f>
        <v>#REF!</v>
      </c>
      <c r="AH1656" t="e">
        <f>#REF! + #REF! + #REF! + #REF!</f>
        <v>#REF!</v>
      </c>
    </row>
    <row r="1657" spans="1:34" x14ac:dyDescent="0.35">
      <c r="A1657">
        <v>1656</v>
      </c>
      <c r="B1657" t="s">
        <v>75</v>
      </c>
      <c r="C1657">
        <v>71</v>
      </c>
      <c r="D1657" t="s">
        <v>28</v>
      </c>
      <c r="E1657" t="s">
        <v>22</v>
      </c>
      <c r="F1657" t="s">
        <v>22</v>
      </c>
      <c r="G1657">
        <v>0</v>
      </c>
      <c r="H1657">
        <v>238</v>
      </c>
      <c r="I1657">
        <v>82</v>
      </c>
      <c r="J1657">
        <v>40.46</v>
      </c>
      <c r="K1657">
        <v>278.5</v>
      </c>
      <c r="L1657">
        <v>94</v>
      </c>
      <c r="M1657">
        <v>23.67</v>
      </c>
      <c r="N1657">
        <v>193.1</v>
      </c>
      <c r="O1657">
        <v>134</v>
      </c>
      <c r="P1657">
        <v>8.69</v>
      </c>
      <c r="Q1657">
        <v>11.8</v>
      </c>
      <c r="R1657">
        <v>10</v>
      </c>
      <c r="S1657">
        <v>3.19</v>
      </c>
      <c r="T1657">
        <v>0</v>
      </c>
      <c r="U1657" t="s">
        <v>23</v>
      </c>
      <c r="V1657" t="e">
        <f>IF(#REF! = "yes", 1, 0)</f>
        <v>#REF!</v>
      </c>
      <c r="W1657" t="e">
        <f>IF(#REF! &lt;= 1, "0-1 Calls", IF(#REF! &lt;= 3, "2-3 Calls", IF(#REF! &lt;=5, "4-5 Calls", "6+ Calls")))</f>
        <v>#REF!</v>
      </c>
      <c r="X1657" t="e">
        <f>IF(#REF! &lt;= 50, "0-50", IF(#REF! &lt;=100, "51-100", IF(#REF! &lt;= 150, "101-150", "151+")))</f>
        <v>#REF!</v>
      </c>
      <c r="Y1657" t="e">
        <f>IF(#REF! &lt;= 3, "Low Charges", "High Charges")</f>
        <v>#REF!</v>
      </c>
      <c r="Z1657" t="e">
        <f>IF(#REF!&lt;=80,"Low Calls",
IF(#REF!&lt;=120,"Medium Calls","High Calls"))</f>
        <v>#REF!</v>
      </c>
      <c r="AA1657" t="e">
        <f>IF(#REF!&lt;=15,"Low Charges",
IF(#REF!&lt;=20,"Medium Charges","High Charges"))</f>
        <v>#REF!</v>
      </c>
      <c r="AB1657" t="e">
        <f>IF(AND(#REF!&gt;180, #REF!&gt;200), "Heavy Doemstic User", IF(#REF!&gt;10, "Interntional User", IF(AND(#REF!&lt;180, #REF!&lt;200,#REF!&lt;200), "Light User", "Balanced User")))</f>
        <v>#REF!</v>
      </c>
      <c r="AC1657" t="e">
        <f>IF(#REF! = 0, "No Usage", IF(#REF! &lt;= 20, "Low Usage", IF(#REF! &lt;= 40, "Medium Usgae", "High Usage")))</f>
        <v>#REF!</v>
      </c>
      <c r="AD1657" t="e">
        <f>IF(#REF!&lt;=150,"Low Usage", IF(#REF!&lt;=200,"Medium Usage", IF(#REF!&lt;=250,"High Usage","Very High Usage")))</f>
        <v>#REF!</v>
      </c>
      <c r="AE1657" t="e">
        <f>IF(#REF!&lt;=5,"Low Calls", IF(#REF!&lt;=10, "Medium Calls", "High Calls"))</f>
        <v>#REF!</v>
      </c>
      <c r="AF1657" t="e">
        <f xml:space="preserve">
IF(#REF!&gt;=4,4,0)+
IF(#REF!="yes",3,0)+
IF(#REF!="High Charges",3,0)+
IF(#REF!&gt;250,4,0)+
IF(#REF!="no",1,0)+
IF(#REF!="Heavy Domestic User",2,0)</f>
        <v>#REF!</v>
      </c>
      <c r="AG1657" t="e">
        <f>IF(#REF!&gt;=10,"High Risk", IF(#REF!&gt;=5,"Medium Risk","Low Risk"))</f>
        <v>#REF!</v>
      </c>
      <c r="AH1657" t="e">
        <f>#REF! + #REF! + #REF! + #REF!</f>
        <v>#REF!</v>
      </c>
    </row>
    <row r="1658" spans="1:34" x14ac:dyDescent="0.35">
      <c r="A1658">
        <v>1657</v>
      </c>
      <c r="B1658" t="s">
        <v>69</v>
      </c>
      <c r="C1658">
        <v>139</v>
      </c>
      <c r="D1658" t="s">
        <v>21</v>
      </c>
      <c r="E1658" t="s">
        <v>22</v>
      </c>
      <c r="F1658" t="s">
        <v>22</v>
      </c>
      <c r="G1658">
        <v>0</v>
      </c>
      <c r="H1658">
        <v>211.1</v>
      </c>
      <c r="I1658">
        <v>103</v>
      </c>
      <c r="J1658">
        <v>35.89</v>
      </c>
      <c r="K1658">
        <v>206.9</v>
      </c>
      <c r="L1658">
        <v>108</v>
      </c>
      <c r="M1658">
        <v>17.59</v>
      </c>
      <c r="N1658">
        <v>193.9</v>
      </c>
      <c r="O1658">
        <v>70</v>
      </c>
      <c r="P1658">
        <v>8.73</v>
      </c>
      <c r="Q1658">
        <v>5.6</v>
      </c>
      <c r="R1658">
        <v>4</v>
      </c>
      <c r="S1658">
        <v>1.51</v>
      </c>
      <c r="T1658">
        <v>0</v>
      </c>
      <c r="U1658" t="s">
        <v>22</v>
      </c>
      <c r="V1658" t="e">
        <f>IF(#REF! = "yes", 1, 0)</f>
        <v>#REF!</v>
      </c>
      <c r="W1658" t="e">
        <f>IF(#REF! &lt;= 1, "0-1 Calls", IF(#REF! &lt;= 3, "2-3 Calls", IF(#REF! &lt;=5, "4-5 Calls", "6+ Calls")))</f>
        <v>#REF!</v>
      </c>
      <c r="X1658" t="e">
        <f>IF(#REF! &lt;= 50, "0-50", IF(#REF! &lt;=100, "51-100", IF(#REF! &lt;= 150, "101-150", "151+")))</f>
        <v>#REF!</v>
      </c>
      <c r="Y1658" t="e">
        <f>IF(#REF! &lt;= 3, "Low Charges", "High Charges")</f>
        <v>#REF!</v>
      </c>
      <c r="Z1658" t="e">
        <f>IF(#REF!&lt;=80,"Low Calls",
IF(#REF!&lt;=120,"Medium Calls","High Calls"))</f>
        <v>#REF!</v>
      </c>
      <c r="AA1658" t="e">
        <f>IF(#REF!&lt;=15,"Low Charges",
IF(#REF!&lt;=20,"Medium Charges","High Charges"))</f>
        <v>#REF!</v>
      </c>
      <c r="AB1658" t="e">
        <f>IF(AND(#REF!&gt;180, #REF!&gt;200), "Heavy Doemstic User", IF(#REF!&gt;10, "Interntional User", IF(AND(#REF!&lt;180, #REF!&lt;200,#REF!&lt;200), "Light User", "Balanced User")))</f>
        <v>#REF!</v>
      </c>
      <c r="AC1658" t="e">
        <f>IF(#REF! = 0, "No Usage", IF(#REF! &lt;= 20, "Low Usage", IF(#REF! &lt;= 40, "Medium Usgae", "High Usage")))</f>
        <v>#REF!</v>
      </c>
      <c r="AD1658" t="e">
        <f>IF(#REF!&lt;=150,"Low Usage", IF(#REF!&lt;=200,"Medium Usage", IF(#REF!&lt;=250,"High Usage","Very High Usage")))</f>
        <v>#REF!</v>
      </c>
      <c r="AE1658" t="e">
        <f>IF(#REF!&lt;=5,"Low Calls", IF(#REF!&lt;=10, "Medium Calls", "High Calls"))</f>
        <v>#REF!</v>
      </c>
      <c r="AF1658" t="e">
        <f xml:space="preserve">
IF(#REF!&gt;=4,4,0)+
IF(#REF!="yes",3,0)+
IF(#REF!="High Charges",3,0)+
IF(#REF!&gt;250,4,0)+
IF(#REF!="no",1,0)+
IF(#REF!="Heavy Domestic User",2,0)</f>
        <v>#REF!</v>
      </c>
      <c r="AG1658" t="e">
        <f>IF(#REF!&gt;=10,"High Risk", IF(#REF!&gt;=5,"Medium Risk","Low Risk"))</f>
        <v>#REF!</v>
      </c>
      <c r="AH1658" t="e">
        <f>#REF! + #REF! + #REF! + #REF!</f>
        <v>#REF!</v>
      </c>
    </row>
    <row r="1659" spans="1:34" x14ac:dyDescent="0.35">
      <c r="A1659">
        <v>1658</v>
      </c>
      <c r="B1659" t="s">
        <v>67</v>
      </c>
      <c r="C1659">
        <v>107</v>
      </c>
      <c r="D1659" t="s">
        <v>28</v>
      </c>
      <c r="E1659" t="s">
        <v>22</v>
      </c>
      <c r="F1659" t="s">
        <v>23</v>
      </c>
      <c r="G1659">
        <v>30</v>
      </c>
      <c r="H1659">
        <v>198.9</v>
      </c>
      <c r="I1659">
        <v>87</v>
      </c>
      <c r="J1659">
        <v>33.81</v>
      </c>
      <c r="K1659">
        <v>207</v>
      </c>
      <c r="L1659">
        <v>90</v>
      </c>
      <c r="M1659">
        <v>17.600000000000001</v>
      </c>
      <c r="N1659">
        <v>159.80000000000001</v>
      </c>
      <c r="O1659">
        <v>76</v>
      </c>
      <c r="P1659">
        <v>7.19</v>
      </c>
      <c r="Q1659">
        <v>12.6</v>
      </c>
      <c r="R1659">
        <v>4</v>
      </c>
      <c r="S1659">
        <v>3.4</v>
      </c>
      <c r="T1659">
        <v>3</v>
      </c>
      <c r="U1659" t="s">
        <v>22</v>
      </c>
      <c r="V1659" t="e">
        <f>IF(#REF! = "yes", 1, 0)</f>
        <v>#REF!</v>
      </c>
      <c r="W1659" t="e">
        <f>IF(#REF! &lt;= 1, "0-1 Calls", IF(#REF! &lt;= 3, "2-3 Calls", IF(#REF! &lt;=5, "4-5 Calls", "6+ Calls")))</f>
        <v>#REF!</v>
      </c>
      <c r="X1659" t="e">
        <f>IF(#REF! &lt;= 50, "0-50", IF(#REF! &lt;=100, "51-100", IF(#REF! &lt;= 150, "101-150", "151+")))</f>
        <v>#REF!</v>
      </c>
      <c r="Y1659" t="e">
        <f>IF(#REF! &lt;= 3, "Low Charges", "High Charges")</f>
        <v>#REF!</v>
      </c>
      <c r="Z1659" t="e">
        <f>IF(#REF!&lt;=80,"Low Calls",
IF(#REF!&lt;=120,"Medium Calls","High Calls"))</f>
        <v>#REF!</v>
      </c>
      <c r="AA1659" t="e">
        <f>IF(#REF!&lt;=15,"Low Charges",
IF(#REF!&lt;=20,"Medium Charges","High Charges"))</f>
        <v>#REF!</v>
      </c>
      <c r="AB1659" t="e">
        <f>IF(AND(#REF!&gt;180, #REF!&gt;200), "Heavy Doemstic User", IF(#REF!&gt;10, "Interntional User", IF(AND(#REF!&lt;180, #REF!&lt;200,#REF!&lt;200), "Light User", "Balanced User")))</f>
        <v>#REF!</v>
      </c>
      <c r="AC1659" t="e">
        <f>IF(#REF! = 0, "No Usage", IF(#REF! &lt;= 20, "Low Usage", IF(#REF! &lt;= 40, "Medium Usgae", "High Usage")))</f>
        <v>#REF!</v>
      </c>
      <c r="AD1659" t="e">
        <f>IF(#REF!&lt;=150,"Low Usage", IF(#REF!&lt;=200,"Medium Usage", IF(#REF!&lt;=250,"High Usage","Very High Usage")))</f>
        <v>#REF!</v>
      </c>
      <c r="AE1659" t="e">
        <f>IF(#REF!&lt;=5,"Low Calls", IF(#REF!&lt;=10, "Medium Calls", "High Calls"))</f>
        <v>#REF!</v>
      </c>
      <c r="AF1659" t="e">
        <f xml:space="preserve">
IF(#REF!&gt;=4,4,0)+
IF(#REF!="yes",3,0)+
IF(#REF!="High Charges",3,0)+
IF(#REF!&gt;250,4,0)+
IF(#REF!="no",1,0)+
IF(#REF!="Heavy Domestic User",2,0)</f>
        <v>#REF!</v>
      </c>
      <c r="AG1659" t="e">
        <f>IF(#REF!&gt;=10,"High Risk", IF(#REF!&gt;=5,"Medium Risk","Low Risk"))</f>
        <v>#REF!</v>
      </c>
      <c r="AH1659" t="e">
        <f>#REF! + #REF! + #REF! + #REF!</f>
        <v>#REF!</v>
      </c>
    </row>
    <row r="1660" spans="1:34" x14ac:dyDescent="0.35">
      <c r="A1660">
        <v>1659</v>
      </c>
      <c r="B1660" t="s">
        <v>65</v>
      </c>
      <c r="C1660">
        <v>147</v>
      </c>
      <c r="D1660" t="s">
        <v>25</v>
      </c>
      <c r="E1660" t="s">
        <v>22</v>
      </c>
      <c r="F1660" t="s">
        <v>22</v>
      </c>
      <c r="G1660">
        <v>0</v>
      </c>
      <c r="H1660">
        <v>212.8</v>
      </c>
      <c r="I1660">
        <v>79</v>
      </c>
      <c r="J1660">
        <v>36.18</v>
      </c>
      <c r="K1660">
        <v>204.1</v>
      </c>
      <c r="L1660">
        <v>91</v>
      </c>
      <c r="M1660">
        <v>17.350000000000001</v>
      </c>
      <c r="N1660">
        <v>156.19999999999999</v>
      </c>
      <c r="O1660">
        <v>113</v>
      </c>
      <c r="P1660">
        <v>7.03</v>
      </c>
      <c r="Q1660">
        <v>10.199999999999999</v>
      </c>
      <c r="R1660">
        <v>2</v>
      </c>
      <c r="S1660">
        <v>2.75</v>
      </c>
      <c r="T1660">
        <v>1</v>
      </c>
      <c r="U1660" t="s">
        <v>22</v>
      </c>
      <c r="V1660" t="e">
        <f>IF(#REF! = "yes", 1, 0)</f>
        <v>#REF!</v>
      </c>
      <c r="W1660" t="e">
        <f>IF(#REF! &lt;= 1, "0-1 Calls", IF(#REF! &lt;= 3, "2-3 Calls", IF(#REF! &lt;=5, "4-5 Calls", "6+ Calls")))</f>
        <v>#REF!</v>
      </c>
      <c r="X1660" t="e">
        <f>IF(#REF! &lt;= 50, "0-50", IF(#REF! &lt;=100, "51-100", IF(#REF! &lt;= 150, "101-150", "151+")))</f>
        <v>#REF!</v>
      </c>
      <c r="Y1660" t="e">
        <f>IF(#REF! &lt;= 3, "Low Charges", "High Charges")</f>
        <v>#REF!</v>
      </c>
      <c r="Z1660" t="e">
        <f>IF(#REF!&lt;=80,"Low Calls",
IF(#REF!&lt;=120,"Medium Calls","High Calls"))</f>
        <v>#REF!</v>
      </c>
      <c r="AA1660" t="e">
        <f>IF(#REF!&lt;=15,"Low Charges",
IF(#REF!&lt;=20,"Medium Charges","High Charges"))</f>
        <v>#REF!</v>
      </c>
      <c r="AB1660" t="e">
        <f>IF(AND(#REF!&gt;180, #REF!&gt;200), "Heavy Doemstic User", IF(#REF!&gt;10, "Interntional User", IF(AND(#REF!&lt;180, #REF!&lt;200,#REF!&lt;200), "Light User", "Balanced User")))</f>
        <v>#REF!</v>
      </c>
      <c r="AC1660" t="e">
        <f>IF(#REF! = 0, "No Usage", IF(#REF! &lt;= 20, "Low Usage", IF(#REF! &lt;= 40, "Medium Usgae", "High Usage")))</f>
        <v>#REF!</v>
      </c>
      <c r="AD1660" t="e">
        <f>IF(#REF!&lt;=150,"Low Usage", IF(#REF!&lt;=200,"Medium Usage", IF(#REF!&lt;=250,"High Usage","Very High Usage")))</f>
        <v>#REF!</v>
      </c>
      <c r="AE1660" t="e">
        <f>IF(#REF!&lt;=5,"Low Calls", IF(#REF!&lt;=10, "Medium Calls", "High Calls"))</f>
        <v>#REF!</v>
      </c>
      <c r="AF1660" t="e">
        <f xml:space="preserve">
IF(#REF!&gt;=4,4,0)+
IF(#REF!="yes",3,0)+
IF(#REF!="High Charges",3,0)+
IF(#REF!&gt;250,4,0)+
IF(#REF!="no",1,0)+
IF(#REF!="Heavy Domestic User",2,0)</f>
        <v>#REF!</v>
      </c>
      <c r="AG1660" t="e">
        <f>IF(#REF!&gt;=10,"High Risk", IF(#REF!&gt;=5,"Medium Risk","Low Risk"))</f>
        <v>#REF!</v>
      </c>
      <c r="AH1660" t="e">
        <f>#REF! + #REF! + #REF! + #REF!</f>
        <v>#REF!</v>
      </c>
    </row>
    <row r="1661" spans="1:34" x14ac:dyDescent="0.35">
      <c r="A1661">
        <v>1660</v>
      </c>
      <c r="B1661" t="s">
        <v>33</v>
      </c>
      <c r="C1661">
        <v>116</v>
      </c>
      <c r="D1661" t="s">
        <v>28</v>
      </c>
      <c r="E1661" t="s">
        <v>22</v>
      </c>
      <c r="F1661" t="s">
        <v>22</v>
      </c>
      <c r="G1661">
        <v>0</v>
      </c>
      <c r="H1661">
        <v>137.4</v>
      </c>
      <c r="I1661">
        <v>126</v>
      </c>
      <c r="J1661">
        <v>23.36</v>
      </c>
      <c r="K1661">
        <v>120</v>
      </c>
      <c r="L1661">
        <v>94</v>
      </c>
      <c r="M1661">
        <v>10.199999999999999</v>
      </c>
      <c r="N1661">
        <v>130.30000000000001</v>
      </c>
      <c r="O1661">
        <v>64</v>
      </c>
      <c r="P1661">
        <v>5.86</v>
      </c>
      <c r="Q1661">
        <v>12.4</v>
      </c>
      <c r="R1661">
        <v>2</v>
      </c>
      <c r="S1661">
        <v>3.35</v>
      </c>
      <c r="T1661">
        <v>3</v>
      </c>
      <c r="U1661" t="s">
        <v>22</v>
      </c>
      <c r="V1661" t="e">
        <f>IF(#REF! = "yes", 1, 0)</f>
        <v>#REF!</v>
      </c>
      <c r="W1661" t="e">
        <f>IF(#REF! &lt;= 1, "0-1 Calls", IF(#REF! &lt;= 3, "2-3 Calls", IF(#REF! &lt;=5, "4-5 Calls", "6+ Calls")))</f>
        <v>#REF!</v>
      </c>
      <c r="X1661" t="e">
        <f>IF(#REF! &lt;= 50, "0-50", IF(#REF! &lt;=100, "51-100", IF(#REF! &lt;= 150, "101-150", "151+")))</f>
        <v>#REF!</v>
      </c>
      <c r="Y1661" t="e">
        <f>IF(#REF! &lt;= 3, "Low Charges", "High Charges")</f>
        <v>#REF!</v>
      </c>
      <c r="Z1661" t="e">
        <f>IF(#REF!&lt;=80,"Low Calls",
IF(#REF!&lt;=120,"Medium Calls","High Calls"))</f>
        <v>#REF!</v>
      </c>
      <c r="AA1661" t="e">
        <f>IF(#REF!&lt;=15,"Low Charges",
IF(#REF!&lt;=20,"Medium Charges","High Charges"))</f>
        <v>#REF!</v>
      </c>
      <c r="AB1661" t="e">
        <f>IF(AND(#REF!&gt;180, #REF!&gt;200), "Heavy Doemstic User", IF(#REF!&gt;10, "Interntional User", IF(AND(#REF!&lt;180, #REF!&lt;200,#REF!&lt;200), "Light User", "Balanced User")))</f>
        <v>#REF!</v>
      </c>
      <c r="AC1661" t="e">
        <f>IF(#REF! = 0, "No Usage", IF(#REF! &lt;= 20, "Low Usage", IF(#REF! &lt;= 40, "Medium Usgae", "High Usage")))</f>
        <v>#REF!</v>
      </c>
      <c r="AD1661" t="e">
        <f>IF(#REF!&lt;=150,"Low Usage", IF(#REF!&lt;=200,"Medium Usage", IF(#REF!&lt;=250,"High Usage","Very High Usage")))</f>
        <v>#REF!</v>
      </c>
      <c r="AE1661" t="e">
        <f>IF(#REF!&lt;=5,"Low Calls", IF(#REF!&lt;=10, "Medium Calls", "High Calls"))</f>
        <v>#REF!</v>
      </c>
      <c r="AF1661" t="e">
        <f xml:space="preserve">
IF(#REF!&gt;=4,4,0)+
IF(#REF!="yes",3,0)+
IF(#REF!="High Charges",3,0)+
IF(#REF!&gt;250,4,0)+
IF(#REF!="no",1,0)+
IF(#REF!="Heavy Domestic User",2,0)</f>
        <v>#REF!</v>
      </c>
      <c r="AG1661" t="e">
        <f>IF(#REF!&gt;=10,"High Risk", IF(#REF!&gt;=5,"Medium Risk","Low Risk"))</f>
        <v>#REF!</v>
      </c>
      <c r="AH1661" t="e">
        <f>#REF! + #REF! + #REF! + #REF!</f>
        <v>#REF!</v>
      </c>
    </row>
    <row r="1662" spans="1:34" x14ac:dyDescent="0.35">
      <c r="A1662">
        <v>1661</v>
      </c>
      <c r="B1662" t="s">
        <v>36</v>
      </c>
      <c r="C1662">
        <v>60</v>
      </c>
      <c r="D1662" t="s">
        <v>28</v>
      </c>
      <c r="E1662" t="s">
        <v>22</v>
      </c>
      <c r="F1662" t="s">
        <v>23</v>
      </c>
      <c r="G1662">
        <v>31</v>
      </c>
      <c r="H1662">
        <v>191.8</v>
      </c>
      <c r="I1662">
        <v>75</v>
      </c>
      <c r="J1662">
        <v>32.61</v>
      </c>
      <c r="K1662">
        <v>267.8</v>
      </c>
      <c r="L1662">
        <v>135</v>
      </c>
      <c r="M1662">
        <v>22.76</v>
      </c>
      <c r="N1662">
        <v>200.5</v>
      </c>
      <c r="O1662">
        <v>62</v>
      </c>
      <c r="P1662">
        <v>9.02</v>
      </c>
      <c r="Q1662">
        <v>12.8</v>
      </c>
      <c r="R1662">
        <v>3</v>
      </c>
      <c r="S1662">
        <v>3.46</v>
      </c>
      <c r="T1662">
        <v>2</v>
      </c>
      <c r="U1662" t="s">
        <v>22</v>
      </c>
      <c r="V1662" t="e">
        <f>IF(#REF! = "yes", 1, 0)</f>
        <v>#REF!</v>
      </c>
      <c r="W1662" t="e">
        <f>IF(#REF! &lt;= 1, "0-1 Calls", IF(#REF! &lt;= 3, "2-3 Calls", IF(#REF! &lt;=5, "4-5 Calls", "6+ Calls")))</f>
        <v>#REF!</v>
      </c>
      <c r="X1662" t="e">
        <f>IF(#REF! &lt;= 50, "0-50", IF(#REF! &lt;=100, "51-100", IF(#REF! &lt;= 150, "101-150", "151+")))</f>
        <v>#REF!</v>
      </c>
      <c r="Y1662" t="e">
        <f>IF(#REF! &lt;= 3, "Low Charges", "High Charges")</f>
        <v>#REF!</v>
      </c>
      <c r="Z1662" t="e">
        <f>IF(#REF!&lt;=80,"Low Calls",
IF(#REF!&lt;=120,"Medium Calls","High Calls"))</f>
        <v>#REF!</v>
      </c>
      <c r="AA1662" t="e">
        <f>IF(#REF!&lt;=15,"Low Charges",
IF(#REF!&lt;=20,"Medium Charges","High Charges"))</f>
        <v>#REF!</v>
      </c>
      <c r="AB1662" t="e">
        <f>IF(AND(#REF!&gt;180, #REF!&gt;200), "Heavy Doemstic User", IF(#REF!&gt;10, "Interntional User", IF(AND(#REF!&lt;180, #REF!&lt;200,#REF!&lt;200), "Light User", "Balanced User")))</f>
        <v>#REF!</v>
      </c>
      <c r="AC1662" t="e">
        <f>IF(#REF! = 0, "No Usage", IF(#REF! &lt;= 20, "Low Usage", IF(#REF! &lt;= 40, "Medium Usgae", "High Usage")))</f>
        <v>#REF!</v>
      </c>
      <c r="AD1662" t="e">
        <f>IF(#REF!&lt;=150,"Low Usage", IF(#REF!&lt;=200,"Medium Usage", IF(#REF!&lt;=250,"High Usage","Very High Usage")))</f>
        <v>#REF!</v>
      </c>
      <c r="AE1662" t="e">
        <f>IF(#REF!&lt;=5,"Low Calls", IF(#REF!&lt;=10, "Medium Calls", "High Calls"))</f>
        <v>#REF!</v>
      </c>
      <c r="AF1662" t="e">
        <f xml:space="preserve">
IF(#REF!&gt;=4,4,0)+
IF(#REF!="yes",3,0)+
IF(#REF!="High Charges",3,0)+
IF(#REF!&gt;250,4,0)+
IF(#REF!="no",1,0)+
IF(#REF!="Heavy Domestic User",2,0)</f>
        <v>#REF!</v>
      </c>
      <c r="AG1662" t="e">
        <f>IF(#REF!&gt;=10,"High Risk", IF(#REF!&gt;=5,"Medium Risk","Low Risk"))</f>
        <v>#REF!</v>
      </c>
      <c r="AH1662" t="e">
        <f>#REF! + #REF! + #REF! + #REF!</f>
        <v>#REF!</v>
      </c>
    </row>
    <row r="1663" spans="1:34" x14ac:dyDescent="0.35">
      <c r="A1663">
        <v>1662</v>
      </c>
      <c r="B1663" t="s">
        <v>39</v>
      </c>
      <c r="C1663">
        <v>38</v>
      </c>
      <c r="D1663" t="s">
        <v>28</v>
      </c>
      <c r="E1663" t="s">
        <v>22</v>
      </c>
      <c r="F1663" t="s">
        <v>22</v>
      </c>
      <c r="G1663">
        <v>0</v>
      </c>
      <c r="H1663">
        <v>149</v>
      </c>
      <c r="I1663">
        <v>92</v>
      </c>
      <c r="J1663">
        <v>25.33</v>
      </c>
      <c r="K1663">
        <v>49.2</v>
      </c>
      <c r="L1663">
        <v>78</v>
      </c>
      <c r="M1663">
        <v>4.18</v>
      </c>
      <c r="N1663">
        <v>163.30000000000001</v>
      </c>
      <c r="O1663">
        <v>93</v>
      </c>
      <c r="P1663">
        <v>7.35</v>
      </c>
      <c r="Q1663">
        <v>13.9</v>
      </c>
      <c r="R1663">
        <v>11</v>
      </c>
      <c r="S1663">
        <v>3.75</v>
      </c>
      <c r="T1663">
        <v>0</v>
      </c>
      <c r="U1663" t="s">
        <v>22</v>
      </c>
      <c r="V1663" t="e">
        <f>IF(#REF! = "yes", 1, 0)</f>
        <v>#REF!</v>
      </c>
      <c r="W1663" t="e">
        <f>IF(#REF! &lt;= 1, "0-1 Calls", IF(#REF! &lt;= 3, "2-3 Calls", IF(#REF! &lt;=5, "4-5 Calls", "6+ Calls")))</f>
        <v>#REF!</v>
      </c>
      <c r="X1663" t="e">
        <f>IF(#REF! &lt;= 50, "0-50", IF(#REF! &lt;=100, "51-100", IF(#REF! &lt;= 150, "101-150", "151+")))</f>
        <v>#REF!</v>
      </c>
      <c r="Y1663" t="e">
        <f>IF(#REF! &lt;= 3, "Low Charges", "High Charges")</f>
        <v>#REF!</v>
      </c>
      <c r="Z1663" t="e">
        <f>IF(#REF!&lt;=80,"Low Calls",
IF(#REF!&lt;=120,"Medium Calls","High Calls"))</f>
        <v>#REF!</v>
      </c>
      <c r="AA1663" t="e">
        <f>IF(#REF!&lt;=15,"Low Charges",
IF(#REF!&lt;=20,"Medium Charges","High Charges"))</f>
        <v>#REF!</v>
      </c>
      <c r="AB1663" t="e">
        <f>IF(AND(#REF!&gt;180, #REF!&gt;200), "Heavy Doemstic User", IF(#REF!&gt;10, "Interntional User", IF(AND(#REF!&lt;180, #REF!&lt;200,#REF!&lt;200), "Light User", "Balanced User")))</f>
        <v>#REF!</v>
      </c>
      <c r="AC1663" t="e">
        <f>IF(#REF! = 0, "No Usage", IF(#REF! &lt;= 20, "Low Usage", IF(#REF! &lt;= 40, "Medium Usgae", "High Usage")))</f>
        <v>#REF!</v>
      </c>
      <c r="AD1663" t="e">
        <f>IF(#REF!&lt;=150,"Low Usage", IF(#REF!&lt;=200,"Medium Usage", IF(#REF!&lt;=250,"High Usage","Very High Usage")))</f>
        <v>#REF!</v>
      </c>
      <c r="AE1663" t="e">
        <f>IF(#REF!&lt;=5,"Low Calls", IF(#REF!&lt;=10, "Medium Calls", "High Calls"))</f>
        <v>#REF!</v>
      </c>
      <c r="AF1663" t="e">
        <f xml:space="preserve">
IF(#REF!&gt;=4,4,0)+
IF(#REF!="yes",3,0)+
IF(#REF!="High Charges",3,0)+
IF(#REF!&gt;250,4,0)+
IF(#REF!="no",1,0)+
IF(#REF!="Heavy Domestic User",2,0)</f>
        <v>#REF!</v>
      </c>
      <c r="AG1663" t="e">
        <f>IF(#REF!&gt;=10,"High Risk", IF(#REF!&gt;=5,"Medium Risk","Low Risk"))</f>
        <v>#REF!</v>
      </c>
      <c r="AH1663" t="e">
        <f>#REF! + #REF! + #REF! + #REF!</f>
        <v>#REF!</v>
      </c>
    </row>
    <row r="1664" spans="1:34" x14ac:dyDescent="0.35">
      <c r="A1664">
        <v>1663</v>
      </c>
      <c r="B1664" t="s">
        <v>54</v>
      </c>
      <c r="C1664">
        <v>63</v>
      </c>
      <c r="D1664" t="s">
        <v>25</v>
      </c>
      <c r="E1664" t="s">
        <v>22</v>
      </c>
      <c r="F1664" t="s">
        <v>22</v>
      </c>
      <c r="G1664">
        <v>0</v>
      </c>
      <c r="H1664">
        <v>117.1</v>
      </c>
      <c r="I1664">
        <v>118</v>
      </c>
      <c r="J1664">
        <v>19.91</v>
      </c>
      <c r="K1664">
        <v>249.6</v>
      </c>
      <c r="L1664">
        <v>90</v>
      </c>
      <c r="M1664">
        <v>21.22</v>
      </c>
      <c r="N1664">
        <v>162.19999999999999</v>
      </c>
      <c r="O1664">
        <v>84</v>
      </c>
      <c r="P1664">
        <v>7.3</v>
      </c>
      <c r="Q1664">
        <v>11.1</v>
      </c>
      <c r="R1664">
        <v>4</v>
      </c>
      <c r="S1664">
        <v>3</v>
      </c>
      <c r="T1664">
        <v>3</v>
      </c>
      <c r="U1664" t="s">
        <v>22</v>
      </c>
      <c r="V1664" t="e">
        <f>IF(#REF! = "yes", 1, 0)</f>
        <v>#REF!</v>
      </c>
      <c r="W1664" t="e">
        <f>IF(#REF! &lt;= 1, "0-1 Calls", IF(#REF! &lt;= 3, "2-3 Calls", IF(#REF! &lt;=5, "4-5 Calls", "6+ Calls")))</f>
        <v>#REF!</v>
      </c>
      <c r="X1664" t="e">
        <f>IF(#REF! &lt;= 50, "0-50", IF(#REF! &lt;=100, "51-100", IF(#REF! &lt;= 150, "101-150", "151+")))</f>
        <v>#REF!</v>
      </c>
      <c r="Y1664" t="e">
        <f>IF(#REF! &lt;= 3, "Low Charges", "High Charges")</f>
        <v>#REF!</v>
      </c>
      <c r="Z1664" t="e">
        <f>IF(#REF!&lt;=80,"Low Calls",
IF(#REF!&lt;=120,"Medium Calls","High Calls"))</f>
        <v>#REF!</v>
      </c>
      <c r="AA1664" t="e">
        <f>IF(#REF!&lt;=15,"Low Charges",
IF(#REF!&lt;=20,"Medium Charges","High Charges"))</f>
        <v>#REF!</v>
      </c>
      <c r="AB1664" t="e">
        <f>IF(AND(#REF!&gt;180, #REF!&gt;200), "Heavy Doemstic User", IF(#REF!&gt;10, "Interntional User", IF(AND(#REF!&lt;180, #REF!&lt;200,#REF!&lt;200), "Light User", "Balanced User")))</f>
        <v>#REF!</v>
      </c>
      <c r="AC1664" t="e">
        <f>IF(#REF! = 0, "No Usage", IF(#REF! &lt;= 20, "Low Usage", IF(#REF! &lt;= 40, "Medium Usgae", "High Usage")))</f>
        <v>#REF!</v>
      </c>
      <c r="AD1664" t="e">
        <f>IF(#REF!&lt;=150,"Low Usage", IF(#REF!&lt;=200,"Medium Usage", IF(#REF!&lt;=250,"High Usage","Very High Usage")))</f>
        <v>#REF!</v>
      </c>
      <c r="AE1664" t="e">
        <f>IF(#REF!&lt;=5,"Low Calls", IF(#REF!&lt;=10, "Medium Calls", "High Calls"))</f>
        <v>#REF!</v>
      </c>
      <c r="AF1664" t="e">
        <f xml:space="preserve">
IF(#REF!&gt;=4,4,0)+
IF(#REF!="yes",3,0)+
IF(#REF!="High Charges",3,0)+
IF(#REF!&gt;250,4,0)+
IF(#REF!="no",1,0)+
IF(#REF!="Heavy Domestic User",2,0)</f>
        <v>#REF!</v>
      </c>
      <c r="AG1664" t="e">
        <f>IF(#REF!&gt;=10,"High Risk", IF(#REF!&gt;=5,"Medium Risk","Low Risk"))</f>
        <v>#REF!</v>
      </c>
      <c r="AH1664" t="e">
        <f>#REF! + #REF! + #REF! + #REF!</f>
        <v>#REF!</v>
      </c>
    </row>
    <row r="1665" spans="1:34" x14ac:dyDescent="0.35">
      <c r="A1665">
        <v>1664</v>
      </c>
      <c r="B1665" t="s">
        <v>33</v>
      </c>
      <c r="C1665">
        <v>131</v>
      </c>
      <c r="D1665" t="s">
        <v>21</v>
      </c>
      <c r="E1665" t="s">
        <v>22</v>
      </c>
      <c r="F1665" t="s">
        <v>22</v>
      </c>
      <c r="G1665">
        <v>0</v>
      </c>
      <c r="H1665">
        <v>112.8</v>
      </c>
      <c r="I1665">
        <v>133</v>
      </c>
      <c r="J1665">
        <v>19.18</v>
      </c>
      <c r="K1665">
        <v>199.4</v>
      </c>
      <c r="L1665">
        <v>116</v>
      </c>
      <c r="M1665">
        <v>16.95</v>
      </c>
      <c r="N1665">
        <v>142.69999999999999</v>
      </c>
      <c r="O1665">
        <v>105</v>
      </c>
      <c r="P1665">
        <v>6.42</v>
      </c>
      <c r="Q1665">
        <v>10.1</v>
      </c>
      <c r="R1665">
        <v>5</v>
      </c>
      <c r="S1665">
        <v>2.73</v>
      </c>
      <c r="T1665">
        <v>0</v>
      </c>
      <c r="U1665" t="s">
        <v>22</v>
      </c>
      <c r="V1665" t="e">
        <f>IF(#REF! = "yes", 1, 0)</f>
        <v>#REF!</v>
      </c>
      <c r="W1665" t="e">
        <f>IF(#REF! &lt;= 1, "0-1 Calls", IF(#REF! &lt;= 3, "2-3 Calls", IF(#REF! &lt;=5, "4-5 Calls", "6+ Calls")))</f>
        <v>#REF!</v>
      </c>
      <c r="X1665" t="e">
        <f>IF(#REF! &lt;= 50, "0-50", IF(#REF! &lt;=100, "51-100", IF(#REF! &lt;= 150, "101-150", "151+")))</f>
        <v>#REF!</v>
      </c>
      <c r="Y1665" t="e">
        <f>IF(#REF! &lt;= 3, "Low Charges", "High Charges")</f>
        <v>#REF!</v>
      </c>
      <c r="Z1665" t="e">
        <f>IF(#REF!&lt;=80,"Low Calls",
IF(#REF!&lt;=120,"Medium Calls","High Calls"))</f>
        <v>#REF!</v>
      </c>
      <c r="AA1665" t="e">
        <f>IF(#REF!&lt;=15,"Low Charges",
IF(#REF!&lt;=20,"Medium Charges","High Charges"))</f>
        <v>#REF!</v>
      </c>
      <c r="AB1665" t="e">
        <f>IF(AND(#REF!&gt;180, #REF!&gt;200), "Heavy Doemstic User", IF(#REF!&gt;10, "Interntional User", IF(AND(#REF!&lt;180, #REF!&lt;200,#REF!&lt;200), "Light User", "Balanced User")))</f>
        <v>#REF!</v>
      </c>
      <c r="AC1665" t="e">
        <f>IF(#REF! = 0, "No Usage", IF(#REF! &lt;= 20, "Low Usage", IF(#REF! &lt;= 40, "Medium Usgae", "High Usage")))</f>
        <v>#REF!</v>
      </c>
      <c r="AD1665" t="e">
        <f>IF(#REF!&lt;=150,"Low Usage", IF(#REF!&lt;=200,"Medium Usage", IF(#REF!&lt;=250,"High Usage","Very High Usage")))</f>
        <v>#REF!</v>
      </c>
      <c r="AE1665" t="e">
        <f>IF(#REF!&lt;=5,"Low Calls", IF(#REF!&lt;=10, "Medium Calls", "High Calls"))</f>
        <v>#REF!</v>
      </c>
      <c r="AF1665" t="e">
        <f xml:space="preserve">
IF(#REF!&gt;=4,4,0)+
IF(#REF!="yes",3,0)+
IF(#REF!="High Charges",3,0)+
IF(#REF!&gt;250,4,0)+
IF(#REF!="no",1,0)+
IF(#REF!="Heavy Domestic User",2,0)</f>
        <v>#REF!</v>
      </c>
      <c r="AG1665" t="e">
        <f>IF(#REF!&gt;=10,"High Risk", IF(#REF!&gt;=5,"Medium Risk","Low Risk"))</f>
        <v>#REF!</v>
      </c>
      <c r="AH1665" t="e">
        <f>#REF! + #REF! + #REF! + #REF!</f>
        <v>#REF!</v>
      </c>
    </row>
    <row r="1666" spans="1:34" x14ac:dyDescent="0.35">
      <c r="A1666">
        <v>1665</v>
      </c>
      <c r="B1666" t="s">
        <v>67</v>
      </c>
      <c r="C1666">
        <v>158</v>
      </c>
      <c r="D1666" t="s">
        <v>28</v>
      </c>
      <c r="E1666" t="s">
        <v>22</v>
      </c>
      <c r="F1666" t="s">
        <v>22</v>
      </c>
      <c r="G1666">
        <v>0</v>
      </c>
      <c r="H1666">
        <v>175.9</v>
      </c>
      <c r="I1666">
        <v>105</v>
      </c>
      <c r="J1666">
        <v>29.9</v>
      </c>
      <c r="K1666">
        <v>188.3</v>
      </c>
      <c r="L1666">
        <v>88</v>
      </c>
      <c r="M1666">
        <v>16.010000000000002</v>
      </c>
      <c r="N1666">
        <v>188.3</v>
      </c>
      <c r="O1666">
        <v>98</v>
      </c>
      <c r="P1666">
        <v>8.4700000000000006</v>
      </c>
      <c r="Q1666">
        <v>11</v>
      </c>
      <c r="R1666">
        <v>6</v>
      </c>
      <c r="S1666">
        <v>2.97</v>
      </c>
      <c r="T1666">
        <v>1</v>
      </c>
      <c r="U1666" t="s">
        <v>22</v>
      </c>
      <c r="V1666" t="e">
        <f>IF(#REF! = "yes", 1, 0)</f>
        <v>#REF!</v>
      </c>
      <c r="W1666" t="e">
        <f>IF(#REF! &lt;= 1, "0-1 Calls", IF(#REF! &lt;= 3, "2-3 Calls", IF(#REF! &lt;=5, "4-5 Calls", "6+ Calls")))</f>
        <v>#REF!</v>
      </c>
      <c r="X1666" t="e">
        <f>IF(#REF! &lt;= 50, "0-50", IF(#REF! &lt;=100, "51-100", IF(#REF! &lt;= 150, "101-150", "151+")))</f>
        <v>#REF!</v>
      </c>
      <c r="Y1666" t="e">
        <f>IF(#REF! &lt;= 3, "Low Charges", "High Charges")</f>
        <v>#REF!</v>
      </c>
      <c r="Z1666" t="e">
        <f>IF(#REF!&lt;=80,"Low Calls",
IF(#REF!&lt;=120,"Medium Calls","High Calls"))</f>
        <v>#REF!</v>
      </c>
      <c r="AA1666" t="e">
        <f>IF(#REF!&lt;=15,"Low Charges",
IF(#REF!&lt;=20,"Medium Charges","High Charges"))</f>
        <v>#REF!</v>
      </c>
      <c r="AB1666" t="e">
        <f>IF(AND(#REF!&gt;180, #REF!&gt;200), "Heavy Doemstic User", IF(#REF!&gt;10, "Interntional User", IF(AND(#REF!&lt;180, #REF!&lt;200,#REF!&lt;200), "Light User", "Balanced User")))</f>
        <v>#REF!</v>
      </c>
      <c r="AC1666" t="e">
        <f>IF(#REF! = 0, "No Usage", IF(#REF! &lt;= 20, "Low Usage", IF(#REF! &lt;= 40, "Medium Usgae", "High Usage")))</f>
        <v>#REF!</v>
      </c>
      <c r="AD1666" t="e">
        <f>IF(#REF!&lt;=150,"Low Usage", IF(#REF!&lt;=200,"Medium Usage", IF(#REF!&lt;=250,"High Usage","Very High Usage")))</f>
        <v>#REF!</v>
      </c>
      <c r="AE1666" t="e">
        <f>IF(#REF!&lt;=5,"Low Calls", IF(#REF!&lt;=10, "Medium Calls", "High Calls"))</f>
        <v>#REF!</v>
      </c>
      <c r="AF1666" t="e">
        <f xml:space="preserve">
IF(#REF!&gt;=4,4,0)+
IF(#REF!="yes",3,0)+
IF(#REF!="High Charges",3,0)+
IF(#REF!&gt;250,4,0)+
IF(#REF!="no",1,0)+
IF(#REF!="Heavy Domestic User",2,0)</f>
        <v>#REF!</v>
      </c>
      <c r="AG1666" t="e">
        <f>IF(#REF!&gt;=10,"High Risk", IF(#REF!&gt;=5,"Medium Risk","Low Risk"))</f>
        <v>#REF!</v>
      </c>
      <c r="AH1666" t="e">
        <f>#REF! + #REF! + #REF! + #REF!</f>
        <v>#REF!</v>
      </c>
    </row>
    <row r="1667" spans="1:34" x14ac:dyDescent="0.35">
      <c r="A1667">
        <v>1666</v>
      </c>
      <c r="B1667" t="s">
        <v>36</v>
      </c>
      <c r="C1667">
        <v>139</v>
      </c>
      <c r="D1667" t="s">
        <v>28</v>
      </c>
      <c r="E1667" t="s">
        <v>22</v>
      </c>
      <c r="F1667" t="s">
        <v>22</v>
      </c>
      <c r="G1667">
        <v>0</v>
      </c>
      <c r="H1667">
        <v>236.6</v>
      </c>
      <c r="I1667">
        <v>109</v>
      </c>
      <c r="J1667">
        <v>40.22</v>
      </c>
      <c r="K1667">
        <v>169.9</v>
      </c>
      <c r="L1667">
        <v>107</v>
      </c>
      <c r="M1667">
        <v>14.44</v>
      </c>
      <c r="N1667">
        <v>212.3</v>
      </c>
      <c r="O1667">
        <v>118</v>
      </c>
      <c r="P1667">
        <v>9.5500000000000007</v>
      </c>
      <c r="Q1667">
        <v>11.1</v>
      </c>
      <c r="R1667">
        <v>2</v>
      </c>
      <c r="S1667">
        <v>3</v>
      </c>
      <c r="T1667">
        <v>1</v>
      </c>
      <c r="U1667" t="s">
        <v>23</v>
      </c>
      <c r="V1667" t="e">
        <f>IF(#REF! = "yes", 1, 0)</f>
        <v>#REF!</v>
      </c>
      <c r="W1667" t="e">
        <f>IF(#REF! &lt;= 1, "0-1 Calls", IF(#REF! &lt;= 3, "2-3 Calls", IF(#REF! &lt;=5, "4-5 Calls", "6+ Calls")))</f>
        <v>#REF!</v>
      </c>
      <c r="X1667" t="e">
        <f>IF(#REF! &lt;= 50, "0-50", IF(#REF! &lt;=100, "51-100", IF(#REF! &lt;= 150, "101-150", "151+")))</f>
        <v>#REF!</v>
      </c>
      <c r="Y1667" t="e">
        <f>IF(#REF! &lt;= 3, "Low Charges", "High Charges")</f>
        <v>#REF!</v>
      </c>
      <c r="Z1667" t="e">
        <f>IF(#REF!&lt;=80,"Low Calls",
IF(#REF!&lt;=120,"Medium Calls","High Calls"))</f>
        <v>#REF!</v>
      </c>
      <c r="AA1667" t="e">
        <f>IF(#REF!&lt;=15,"Low Charges",
IF(#REF!&lt;=20,"Medium Charges","High Charges"))</f>
        <v>#REF!</v>
      </c>
      <c r="AB1667" t="e">
        <f>IF(AND(#REF!&gt;180, #REF!&gt;200), "Heavy Doemstic User", IF(#REF!&gt;10, "Interntional User", IF(AND(#REF!&lt;180, #REF!&lt;200,#REF!&lt;200), "Light User", "Balanced User")))</f>
        <v>#REF!</v>
      </c>
      <c r="AC1667" t="e">
        <f>IF(#REF! = 0, "No Usage", IF(#REF! &lt;= 20, "Low Usage", IF(#REF! &lt;= 40, "Medium Usgae", "High Usage")))</f>
        <v>#REF!</v>
      </c>
      <c r="AD1667" t="e">
        <f>IF(#REF!&lt;=150,"Low Usage", IF(#REF!&lt;=200,"Medium Usage", IF(#REF!&lt;=250,"High Usage","Very High Usage")))</f>
        <v>#REF!</v>
      </c>
      <c r="AE1667" t="e">
        <f>IF(#REF!&lt;=5,"Low Calls", IF(#REF!&lt;=10, "Medium Calls", "High Calls"))</f>
        <v>#REF!</v>
      </c>
      <c r="AF1667" t="e">
        <f xml:space="preserve">
IF(#REF!&gt;=4,4,0)+
IF(#REF!="yes",3,0)+
IF(#REF!="High Charges",3,0)+
IF(#REF!&gt;250,4,0)+
IF(#REF!="no",1,0)+
IF(#REF!="Heavy Domestic User",2,0)</f>
        <v>#REF!</v>
      </c>
      <c r="AG1667" t="e">
        <f>IF(#REF!&gt;=10,"High Risk", IF(#REF!&gt;=5,"Medium Risk","Low Risk"))</f>
        <v>#REF!</v>
      </c>
      <c r="AH1667" t="e">
        <f>#REF! + #REF! + #REF! + #REF!</f>
        <v>#REF!</v>
      </c>
    </row>
    <row r="1668" spans="1:34" x14ac:dyDescent="0.35">
      <c r="A1668">
        <v>1667</v>
      </c>
      <c r="B1668" t="s">
        <v>69</v>
      </c>
      <c r="C1668">
        <v>77</v>
      </c>
      <c r="D1668" t="s">
        <v>21</v>
      </c>
      <c r="E1668" t="s">
        <v>22</v>
      </c>
      <c r="F1668" t="s">
        <v>22</v>
      </c>
      <c r="G1668">
        <v>0</v>
      </c>
      <c r="H1668">
        <v>169.4</v>
      </c>
      <c r="I1668">
        <v>102</v>
      </c>
      <c r="J1668">
        <v>28.8</v>
      </c>
      <c r="K1668">
        <v>184.9</v>
      </c>
      <c r="L1668">
        <v>144</v>
      </c>
      <c r="M1668">
        <v>15.72</v>
      </c>
      <c r="N1668">
        <v>234.3</v>
      </c>
      <c r="O1668">
        <v>89</v>
      </c>
      <c r="P1668">
        <v>10.54</v>
      </c>
      <c r="Q1668">
        <v>2</v>
      </c>
      <c r="R1668">
        <v>7</v>
      </c>
      <c r="S1668">
        <v>0.54</v>
      </c>
      <c r="T1668">
        <v>1</v>
      </c>
      <c r="U1668" t="s">
        <v>22</v>
      </c>
      <c r="V1668" t="e">
        <f>IF(#REF! = "yes", 1, 0)</f>
        <v>#REF!</v>
      </c>
      <c r="W1668" t="e">
        <f>IF(#REF! &lt;= 1, "0-1 Calls", IF(#REF! &lt;= 3, "2-3 Calls", IF(#REF! &lt;=5, "4-5 Calls", "6+ Calls")))</f>
        <v>#REF!</v>
      </c>
      <c r="X1668" t="e">
        <f>IF(#REF! &lt;= 50, "0-50", IF(#REF! &lt;=100, "51-100", IF(#REF! &lt;= 150, "101-150", "151+")))</f>
        <v>#REF!</v>
      </c>
      <c r="Y1668" t="e">
        <f>IF(#REF! &lt;= 3, "Low Charges", "High Charges")</f>
        <v>#REF!</v>
      </c>
      <c r="Z1668" t="e">
        <f>IF(#REF!&lt;=80,"Low Calls",
IF(#REF!&lt;=120,"Medium Calls","High Calls"))</f>
        <v>#REF!</v>
      </c>
      <c r="AA1668" t="e">
        <f>IF(#REF!&lt;=15,"Low Charges",
IF(#REF!&lt;=20,"Medium Charges","High Charges"))</f>
        <v>#REF!</v>
      </c>
      <c r="AB1668" t="e">
        <f>IF(AND(#REF!&gt;180, #REF!&gt;200), "Heavy Doemstic User", IF(#REF!&gt;10, "Interntional User", IF(AND(#REF!&lt;180, #REF!&lt;200,#REF!&lt;200), "Light User", "Balanced User")))</f>
        <v>#REF!</v>
      </c>
      <c r="AC1668" t="e">
        <f>IF(#REF! = 0, "No Usage", IF(#REF! &lt;= 20, "Low Usage", IF(#REF! &lt;= 40, "Medium Usgae", "High Usage")))</f>
        <v>#REF!</v>
      </c>
      <c r="AD1668" t="e">
        <f>IF(#REF!&lt;=150,"Low Usage", IF(#REF!&lt;=200,"Medium Usage", IF(#REF!&lt;=250,"High Usage","Very High Usage")))</f>
        <v>#REF!</v>
      </c>
      <c r="AE1668" t="e">
        <f>IF(#REF!&lt;=5,"Low Calls", IF(#REF!&lt;=10, "Medium Calls", "High Calls"))</f>
        <v>#REF!</v>
      </c>
      <c r="AF1668" t="e">
        <f xml:space="preserve">
IF(#REF!&gt;=4,4,0)+
IF(#REF!="yes",3,0)+
IF(#REF!="High Charges",3,0)+
IF(#REF!&gt;250,4,0)+
IF(#REF!="no",1,0)+
IF(#REF!="Heavy Domestic User",2,0)</f>
        <v>#REF!</v>
      </c>
      <c r="AG1668" t="e">
        <f>IF(#REF!&gt;=10,"High Risk", IF(#REF!&gt;=5,"Medium Risk","Low Risk"))</f>
        <v>#REF!</v>
      </c>
      <c r="AH1668" t="e">
        <f>#REF! + #REF! + #REF! + #REF!</f>
        <v>#REF!</v>
      </c>
    </row>
    <row r="1669" spans="1:34" x14ac:dyDescent="0.35">
      <c r="A1669">
        <v>1668</v>
      </c>
      <c r="B1669" t="s">
        <v>51</v>
      </c>
      <c r="C1669">
        <v>140</v>
      </c>
      <c r="D1669" t="s">
        <v>21</v>
      </c>
      <c r="E1669" t="s">
        <v>22</v>
      </c>
      <c r="F1669" t="s">
        <v>22</v>
      </c>
      <c r="G1669">
        <v>0</v>
      </c>
      <c r="H1669">
        <v>129.6</v>
      </c>
      <c r="I1669">
        <v>79</v>
      </c>
      <c r="J1669">
        <v>22.03</v>
      </c>
      <c r="K1669">
        <v>246.2</v>
      </c>
      <c r="L1669">
        <v>99</v>
      </c>
      <c r="M1669">
        <v>20.93</v>
      </c>
      <c r="N1669">
        <v>172.1</v>
      </c>
      <c r="O1669">
        <v>124</v>
      </c>
      <c r="P1669">
        <v>7.74</v>
      </c>
      <c r="Q1669">
        <v>9.4</v>
      </c>
      <c r="R1669">
        <v>10</v>
      </c>
      <c r="S1669">
        <v>2.54</v>
      </c>
      <c r="T1669">
        <v>3</v>
      </c>
      <c r="U1669" t="s">
        <v>22</v>
      </c>
      <c r="V1669" t="e">
        <f>IF(#REF! = "yes", 1, 0)</f>
        <v>#REF!</v>
      </c>
      <c r="W1669" t="e">
        <f>IF(#REF! &lt;= 1, "0-1 Calls", IF(#REF! &lt;= 3, "2-3 Calls", IF(#REF! &lt;=5, "4-5 Calls", "6+ Calls")))</f>
        <v>#REF!</v>
      </c>
      <c r="X1669" t="e">
        <f>IF(#REF! &lt;= 50, "0-50", IF(#REF! &lt;=100, "51-100", IF(#REF! &lt;= 150, "101-150", "151+")))</f>
        <v>#REF!</v>
      </c>
      <c r="Y1669" t="e">
        <f>IF(#REF! &lt;= 3, "Low Charges", "High Charges")</f>
        <v>#REF!</v>
      </c>
      <c r="Z1669" t="e">
        <f>IF(#REF!&lt;=80,"Low Calls",
IF(#REF!&lt;=120,"Medium Calls","High Calls"))</f>
        <v>#REF!</v>
      </c>
      <c r="AA1669" t="e">
        <f>IF(#REF!&lt;=15,"Low Charges",
IF(#REF!&lt;=20,"Medium Charges","High Charges"))</f>
        <v>#REF!</v>
      </c>
      <c r="AB1669" t="e">
        <f>IF(AND(#REF!&gt;180, #REF!&gt;200), "Heavy Doemstic User", IF(#REF!&gt;10, "Interntional User", IF(AND(#REF!&lt;180, #REF!&lt;200,#REF!&lt;200), "Light User", "Balanced User")))</f>
        <v>#REF!</v>
      </c>
      <c r="AC1669" t="e">
        <f>IF(#REF! = 0, "No Usage", IF(#REF! &lt;= 20, "Low Usage", IF(#REF! &lt;= 40, "Medium Usgae", "High Usage")))</f>
        <v>#REF!</v>
      </c>
      <c r="AD1669" t="e">
        <f>IF(#REF!&lt;=150,"Low Usage", IF(#REF!&lt;=200,"Medium Usage", IF(#REF!&lt;=250,"High Usage","Very High Usage")))</f>
        <v>#REF!</v>
      </c>
      <c r="AE1669" t="e">
        <f>IF(#REF!&lt;=5,"Low Calls", IF(#REF!&lt;=10, "Medium Calls", "High Calls"))</f>
        <v>#REF!</v>
      </c>
      <c r="AF1669" t="e">
        <f xml:space="preserve">
IF(#REF!&gt;=4,4,0)+
IF(#REF!="yes",3,0)+
IF(#REF!="High Charges",3,0)+
IF(#REF!&gt;250,4,0)+
IF(#REF!="no",1,0)+
IF(#REF!="Heavy Domestic User",2,0)</f>
        <v>#REF!</v>
      </c>
      <c r="AG1669" t="e">
        <f>IF(#REF!&gt;=10,"High Risk", IF(#REF!&gt;=5,"Medium Risk","Low Risk"))</f>
        <v>#REF!</v>
      </c>
      <c r="AH1669" t="e">
        <f>#REF! + #REF! + #REF! + #REF!</f>
        <v>#REF!</v>
      </c>
    </row>
    <row r="1670" spans="1:34" x14ac:dyDescent="0.35">
      <c r="A1670">
        <v>1669</v>
      </c>
      <c r="B1670" t="s">
        <v>57</v>
      </c>
      <c r="C1670">
        <v>52</v>
      </c>
      <c r="D1670" t="s">
        <v>28</v>
      </c>
      <c r="E1670" t="s">
        <v>22</v>
      </c>
      <c r="F1670" t="s">
        <v>23</v>
      </c>
      <c r="G1670">
        <v>20</v>
      </c>
      <c r="H1670">
        <v>133.30000000000001</v>
      </c>
      <c r="I1670">
        <v>63</v>
      </c>
      <c r="J1670">
        <v>22.66</v>
      </c>
      <c r="K1670">
        <v>184.1</v>
      </c>
      <c r="L1670">
        <v>123</v>
      </c>
      <c r="M1670">
        <v>15.65</v>
      </c>
      <c r="N1670">
        <v>272.89999999999998</v>
      </c>
      <c r="O1670">
        <v>107</v>
      </c>
      <c r="P1670">
        <v>12.28</v>
      </c>
      <c r="Q1670">
        <v>13.5</v>
      </c>
      <c r="R1670">
        <v>2</v>
      </c>
      <c r="S1670">
        <v>3.65</v>
      </c>
      <c r="T1670">
        <v>1</v>
      </c>
      <c r="U1670" t="s">
        <v>22</v>
      </c>
      <c r="V1670" t="e">
        <f>IF(#REF! = "yes", 1, 0)</f>
        <v>#REF!</v>
      </c>
      <c r="W1670" t="e">
        <f>IF(#REF! &lt;= 1, "0-1 Calls", IF(#REF! &lt;= 3, "2-3 Calls", IF(#REF! &lt;=5, "4-5 Calls", "6+ Calls")))</f>
        <v>#REF!</v>
      </c>
      <c r="X1670" t="e">
        <f>IF(#REF! &lt;= 50, "0-50", IF(#REF! &lt;=100, "51-100", IF(#REF! &lt;= 150, "101-150", "151+")))</f>
        <v>#REF!</v>
      </c>
      <c r="Y1670" t="e">
        <f>IF(#REF! &lt;= 3, "Low Charges", "High Charges")</f>
        <v>#REF!</v>
      </c>
      <c r="Z1670" t="e">
        <f>IF(#REF!&lt;=80,"Low Calls",
IF(#REF!&lt;=120,"Medium Calls","High Calls"))</f>
        <v>#REF!</v>
      </c>
      <c r="AA1670" t="e">
        <f>IF(#REF!&lt;=15,"Low Charges",
IF(#REF!&lt;=20,"Medium Charges","High Charges"))</f>
        <v>#REF!</v>
      </c>
      <c r="AB1670" t="e">
        <f>IF(AND(#REF!&gt;180, #REF!&gt;200), "Heavy Doemstic User", IF(#REF!&gt;10, "Interntional User", IF(AND(#REF!&lt;180, #REF!&lt;200,#REF!&lt;200), "Light User", "Balanced User")))</f>
        <v>#REF!</v>
      </c>
      <c r="AC1670" t="e">
        <f>IF(#REF! = 0, "No Usage", IF(#REF! &lt;= 20, "Low Usage", IF(#REF! &lt;= 40, "Medium Usgae", "High Usage")))</f>
        <v>#REF!</v>
      </c>
      <c r="AD1670" t="e">
        <f>IF(#REF!&lt;=150,"Low Usage", IF(#REF!&lt;=200,"Medium Usage", IF(#REF!&lt;=250,"High Usage","Very High Usage")))</f>
        <v>#REF!</v>
      </c>
      <c r="AE1670" t="e">
        <f>IF(#REF!&lt;=5,"Low Calls", IF(#REF!&lt;=10, "Medium Calls", "High Calls"))</f>
        <v>#REF!</v>
      </c>
      <c r="AF1670" t="e">
        <f xml:space="preserve">
IF(#REF!&gt;=4,4,0)+
IF(#REF!="yes",3,0)+
IF(#REF!="High Charges",3,0)+
IF(#REF!&gt;250,4,0)+
IF(#REF!="no",1,0)+
IF(#REF!="Heavy Domestic User",2,0)</f>
        <v>#REF!</v>
      </c>
      <c r="AG1670" t="e">
        <f>IF(#REF!&gt;=10,"High Risk", IF(#REF!&gt;=5,"Medium Risk","Low Risk"))</f>
        <v>#REF!</v>
      </c>
      <c r="AH1670" t="e">
        <f>#REF! + #REF! + #REF! + #REF!</f>
        <v>#REF!</v>
      </c>
    </row>
    <row r="1671" spans="1:34" x14ac:dyDescent="0.35">
      <c r="A1671">
        <v>1670</v>
      </c>
      <c r="B1671" t="s">
        <v>38</v>
      </c>
      <c r="C1671">
        <v>103</v>
      </c>
      <c r="D1671" t="s">
        <v>28</v>
      </c>
      <c r="E1671" t="s">
        <v>22</v>
      </c>
      <c r="F1671" t="s">
        <v>22</v>
      </c>
      <c r="G1671">
        <v>0</v>
      </c>
      <c r="H1671">
        <v>167.8</v>
      </c>
      <c r="I1671">
        <v>121</v>
      </c>
      <c r="J1671">
        <v>28.53</v>
      </c>
      <c r="K1671">
        <v>212.9</v>
      </c>
      <c r="L1671">
        <v>123</v>
      </c>
      <c r="M1671">
        <v>18.100000000000001</v>
      </c>
      <c r="N1671">
        <v>208.2</v>
      </c>
      <c r="O1671">
        <v>73</v>
      </c>
      <c r="P1671">
        <v>9.3699999999999992</v>
      </c>
      <c r="Q1671">
        <v>13</v>
      </c>
      <c r="R1671">
        <v>3</v>
      </c>
      <c r="S1671">
        <v>3.51</v>
      </c>
      <c r="T1671">
        <v>5</v>
      </c>
      <c r="U1671" t="s">
        <v>22</v>
      </c>
      <c r="V1671" t="e">
        <f>IF(#REF! = "yes", 1, 0)</f>
        <v>#REF!</v>
      </c>
      <c r="W1671" t="e">
        <f>IF(#REF! &lt;= 1, "0-1 Calls", IF(#REF! &lt;= 3, "2-3 Calls", IF(#REF! &lt;=5, "4-5 Calls", "6+ Calls")))</f>
        <v>#REF!</v>
      </c>
      <c r="X1671" t="e">
        <f>IF(#REF! &lt;= 50, "0-50", IF(#REF! &lt;=100, "51-100", IF(#REF! &lt;= 150, "101-150", "151+")))</f>
        <v>#REF!</v>
      </c>
      <c r="Y1671" t="e">
        <f>IF(#REF! &lt;= 3, "Low Charges", "High Charges")</f>
        <v>#REF!</v>
      </c>
      <c r="Z1671" t="e">
        <f>IF(#REF!&lt;=80,"Low Calls",
IF(#REF!&lt;=120,"Medium Calls","High Calls"))</f>
        <v>#REF!</v>
      </c>
      <c r="AA1671" t="e">
        <f>IF(#REF!&lt;=15,"Low Charges",
IF(#REF!&lt;=20,"Medium Charges","High Charges"))</f>
        <v>#REF!</v>
      </c>
      <c r="AB1671" t="e">
        <f>IF(AND(#REF!&gt;180, #REF!&gt;200), "Heavy Doemstic User", IF(#REF!&gt;10, "Interntional User", IF(AND(#REF!&lt;180, #REF!&lt;200,#REF!&lt;200), "Light User", "Balanced User")))</f>
        <v>#REF!</v>
      </c>
      <c r="AC1671" t="e">
        <f>IF(#REF! = 0, "No Usage", IF(#REF! &lt;= 20, "Low Usage", IF(#REF! &lt;= 40, "Medium Usgae", "High Usage")))</f>
        <v>#REF!</v>
      </c>
      <c r="AD1671" t="e">
        <f>IF(#REF!&lt;=150,"Low Usage", IF(#REF!&lt;=200,"Medium Usage", IF(#REF!&lt;=250,"High Usage","Very High Usage")))</f>
        <v>#REF!</v>
      </c>
      <c r="AE1671" t="e">
        <f>IF(#REF!&lt;=5,"Low Calls", IF(#REF!&lt;=10, "Medium Calls", "High Calls"))</f>
        <v>#REF!</v>
      </c>
      <c r="AF1671" t="e">
        <f xml:space="preserve">
IF(#REF!&gt;=4,4,0)+
IF(#REF!="yes",3,0)+
IF(#REF!="High Charges",3,0)+
IF(#REF!&gt;250,4,0)+
IF(#REF!="no",1,0)+
IF(#REF!="Heavy Domestic User",2,0)</f>
        <v>#REF!</v>
      </c>
      <c r="AG1671" t="e">
        <f>IF(#REF!&gt;=10,"High Risk", IF(#REF!&gt;=5,"Medium Risk","Low Risk"))</f>
        <v>#REF!</v>
      </c>
      <c r="AH1671" t="e">
        <f>#REF! + #REF! + #REF! + #REF!</f>
        <v>#REF!</v>
      </c>
    </row>
    <row r="1672" spans="1:34" x14ac:dyDescent="0.35">
      <c r="A1672">
        <v>1671</v>
      </c>
      <c r="B1672" t="s">
        <v>70</v>
      </c>
      <c r="C1672">
        <v>74</v>
      </c>
      <c r="D1672" t="s">
        <v>21</v>
      </c>
      <c r="E1672" t="s">
        <v>22</v>
      </c>
      <c r="F1672" t="s">
        <v>23</v>
      </c>
      <c r="G1672">
        <v>32</v>
      </c>
      <c r="H1672">
        <v>174.6</v>
      </c>
      <c r="I1672">
        <v>107</v>
      </c>
      <c r="J1672">
        <v>29.68</v>
      </c>
      <c r="K1672">
        <v>310.60000000000002</v>
      </c>
      <c r="L1672">
        <v>115</v>
      </c>
      <c r="M1672">
        <v>26.4</v>
      </c>
      <c r="N1672">
        <v>234.7</v>
      </c>
      <c r="O1672">
        <v>92</v>
      </c>
      <c r="P1672">
        <v>10.56</v>
      </c>
      <c r="Q1672">
        <v>9</v>
      </c>
      <c r="R1672">
        <v>4</v>
      </c>
      <c r="S1672">
        <v>2.4300000000000002</v>
      </c>
      <c r="T1672">
        <v>1</v>
      </c>
      <c r="U1672" t="s">
        <v>22</v>
      </c>
      <c r="V1672" t="e">
        <f>IF(#REF! = "yes", 1, 0)</f>
        <v>#REF!</v>
      </c>
      <c r="W1672" t="e">
        <f>IF(#REF! &lt;= 1, "0-1 Calls", IF(#REF! &lt;= 3, "2-3 Calls", IF(#REF! &lt;=5, "4-5 Calls", "6+ Calls")))</f>
        <v>#REF!</v>
      </c>
      <c r="X1672" t="e">
        <f>IF(#REF! &lt;= 50, "0-50", IF(#REF! &lt;=100, "51-100", IF(#REF! &lt;= 150, "101-150", "151+")))</f>
        <v>#REF!</v>
      </c>
      <c r="Y1672" t="e">
        <f>IF(#REF! &lt;= 3, "Low Charges", "High Charges")</f>
        <v>#REF!</v>
      </c>
      <c r="Z1672" t="e">
        <f>IF(#REF!&lt;=80,"Low Calls",
IF(#REF!&lt;=120,"Medium Calls","High Calls"))</f>
        <v>#REF!</v>
      </c>
      <c r="AA1672" t="e">
        <f>IF(#REF!&lt;=15,"Low Charges",
IF(#REF!&lt;=20,"Medium Charges","High Charges"))</f>
        <v>#REF!</v>
      </c>
      <c r="AB1672" t="e">
        <f>IF(AND(#REF!&gt;180, #REF!&gt;200), "Heavy Doemstic User", IF(#REF!&gt;10, "Interntional User", IF(AND(#REF!&lt;180, #REF!&lt;200,#REF!&lt;200), "Light User", "Balanced User")))</f>
        <v>#REF!</v>
      </c>
      <c r="AC1672" t="e">
        <f>IF(#REF! = 0, "No Usage", IF(#REF! &lt;= 20, "Low Usage", IF(#REF! &lt;= 40, "Medium Usgae", "High Usage")))</f>
        <v>#REF!</v>
      </c>
      <c r="AD1672" t="e">
        <f>IF(#REF!&lt;=150,"Low Usage", IF(#REF!&lt;=200,"Medium Usage", IF(#REF!&lt;=250,"High Usage","Very High Usage")))</f>
        <v>#REF!</v>
      </c>
      <c r="AE1672" t="e">
        <f>IF(#REF!&lt;=5,"Low Calls", IF(#REF!&lt;=10, "Medium Calls", "High Calls"))</f>
        <v>#REF!</v>
      </c>
      <c r="AF1672" t="e">
        <f xml:space="preserve">
IF(#REF!&gt;=4,4,0)+
IF(#REF!="yes",3,0)+
IF(#REF!="High Charges",3,0)+
IF(#REF!&gt;250,4,0)+
IF(#REF!="no",1,0)+
IF(#REF!="Heavy Domestic User",2,0)</f>
        <v>#REF!</v>
      </c>
      <c r="AG1672" t="e">
        <f>IF(#REF!&gt;=10,"High Risk", IF(#REF!&gt;=5,"Medium Risk","Low Risk"))</f>
        <v>#REF!</v>
      </c>
      <c r="AH1672" t="e">
        <f>#REF! + #REF! + #REF! + #REF!</f>
        <v>#REF!</v>
      </c>
    </row>
    <row r="1673" spans="1:34" x14ac:dyDescent="0.35">
      <c r="A1673">
        <v>1672</v>
      </c>
      <c r="B1673" t="s">
        <v>75</v>
      </c>
      <c r="C1673">
        <v>124</v>
      </c>
      <c r="D1673" t="s">
        <v>21</v>
      </c>
      <c r="E1673" t="s">
        <v>22</v>
      </c>
      <c r="F1673" t="s">
        <v>22</v>
      </c>
      <c r="G1673">
        <v>0</v>
      </c>
      <c r="H1673">
        <v>150.30000000000001</v>
      </c>
      <c r="I1673">
        <v>101</v>
      </c>
      <c r="J1673">
        <v>25.55</v>
      </c>
      <c r="K1673">
        <v>255.9</v>
      </c>
      <c r="L1673">
        <v>112</v>
      </c>
      <c r="M1673">
        <v>21.75</v>
      </c>
      <c r="N1673">
        <v>136.69999999999999</v>
      </c>
      <c r="O1673">
        <v>62</v>
      </c>
      <c r="P1673">
        <v>6.15</v>
      </c>
      <c r="Q1673">
        <v>12.5</v>
      </c>
      <c r="R1673">
        <v>4</v>
      </c>
      <c r="S1673">
        <v>3.38</v>
      </c>
      <c r="T1673">
        <v>2</v>
      </c>
      <c r="U1673" t="s">
        <v>22</v>
      </c>
      <c r="V1673" t="e">
        <f>IF(#REF! = "yes", 1, 0)</f>
        <v>#REF!</v>
      </c>
      <c r="W1673" t="e">
        <f>IF(#REF! &lt;= 1, "0-1 Calls", IF(#REF! &lt;= 3, "2-3 Calls", IF(#REF! &lt;=5, "4-5 Calls", "6+ Calls")))</f>
        <v>#REF!</v>
      </c>
      <c r="X1673" t="e">
        <f>IF(#REF! &lt;= 50, "0-50", IF(#REF! &lt;=100, "51-100", IF(#REF! &lt;= 150, "101-150", "151+")))</f>
        <v>#REF!</v>
      </c>
      <c r="Y1673" t="e">
        <f>IF(#REF! &lt;= 3, "Low Charges", "High Charges")</f>
        <v>#REF!</v>
      </c>
      <c r="Z1673" t="e">
        <f>IF(#REF!&lt;=80,"Low Calls",
IF(#REF!&lt;=120,"Medium Calls","High Calls"))</f>
        <v>#REF!</v>
      </c>
      <c r="AA1673" t="e">
        <f>IF(#REF!&lt;=15,"Low Charges",
IF(#REF!&lt;=20,"Medium Charges","High Charges"))</f>
        <v>#REF!</v>
      </c>
      <c r="AB1673" t="e">
        <f>IF(AND(#REF!&gt;180, #REF!&gt;200), "Heavy Doemstic User", IF(#REF!&gt;10, "Interntional User", IF(AND(#REF!&lt;180, #REF!&lt;200,#REF!&lt;200), "Light User", "Balanced User")))</f>
        <v>#REF!</v>
      </c>
      <c r="AC1673" t="e">
        <f>IF(#REF! = 0, "No Usage", IF(#REF! &lt;= 20, "Low Usage", IF(#REF! &lt;= 40, "Medium Usgae", "High Usage")))</f>
        <v>#REF!</v>
      </c>
      <c r="AD1673" t="e">
        <f>IF(#REF!&lt;=150,"Low Usage", IF(#REF!&lt;=200,"Medium Usage", IF(#REF!&lt;=250,"High Usage","Very High Usage")))</f>
        <v>#REF!</v>
      </c>
      <c r="AE1673" t="e">
        <f>IF(#REF!&lt;=5,"Low Calls", IF(#REF!&lt;=10, "Medium Calls", "High Calls"))</f>
        <v>#REF!</v>
      </c>
      <c r="AF1673" t="e">
        <f xml:space="preserve">
IF(#REF!&gt;=4,4,0)+
IF(#REF!="yes",3,0)+
IF(#REF!="High Charges",3,0)+
IF(#REF!&gt;250,4,0)+
IF(#REF!="no",1,0)+
IF(#REF!="Heavy Domestic User",2,0)</f>
        <v>#REF!</v>
      </c>
      <c r="AG1673" t="e">
        <f>IF(#REF!&gt;=10,"High Risk", IF(#REF!&gt;=5,"Medium Risk","Low Risk"))</f>
        <v>#REF!</v>
      </c>
      <c r="AH1673" t="e">
        <f>#REF! + #REF! + #REF! + #REF!</f>
        <v>#REF!</v>
      </c>
    </row>
    <row r="1674" spans="1:34" x14ac:dyDescent="0.35">
      <c r="A1674">
        <v>1673</v>
      </c>
      <c r="B1674" t="s">
        <v>41</v>
      </c>
      <c r="C1674">
        <v>85</v>
      </c>
      <c r="D1674" t="s">
        <v>28</v>
      </c>
      <c r="E1674" t="s">
        <v>22</v>
      </c>
      <c r="F1674" t="s">
        <v>23</v>
      </c>
      <c r="G1674">
        <v>21</v>
      </c>
      <c r="H1674">
        <v>283.2</v>
      </c>
      <c r="I1674">
        <v>110</v>
      </c>
      <c r="J1674">
        <v>48.14</v>
      </c>
      <c r="K1674">
        <v>239.7</v>
      </c>
      <c r="L1674">
        <v>108</v>
      </c>
      <c r="M1674">
        <v>20.37</v>
      </c>
      <c r="N1674">
        <v>149.5</v>
      </c>
      <c r="O1674">
        <v>80</v>
      </c>
      <c r="P1674">
        <v>6.73</v>
      </c>
      <c r="Q1674">
        <v>6.3</v>
      </c>
      <c r="R1674">
        <v>1</v>
      </c>
      <c r="S1674">
        <v>1.7</v>
      </c>
      <c r="T1674">
        <v>5</v>
      </c>
      <c r="U1674" t="s">
        <v>22</v>
      </c>
      <c r="V1674" t="e">
        <f>IF(#REF! = "yes", 1, 0)</f>
        <v>#REF!</v>
      </c>
      <c r="W1674" t="e">
        <f>IF(#REF! &lt;= 1, "0-1 Calls", IF(#REF! &lt;= 3, "2-3 Calls", IF(#REF! &lt;=5, "4-5 Calls", "6+ Calls")))</f>
        <v>#REF!</v>
      </c>
      <c r="X1674" t="e">
        <f>IF(#REF! &lt;= 50, "0-50", IF(#REF! &lt;=100, "51-100", IF(#REF! &lt;= 150, "101-150", "151+")))</f>
        <v>#REF!</v>
      </c>
      <c r="Y1674" t="e">
        <f>IF(#REF! &lt;= 3, "Low Charges", "High Charges")</f>
        <v>#REF!</v>
      </c>
      <c r="Z1674" t="e">
        <f>IF(#REF!&lt;=80,"Low Calls",
IF(#REF!&lt;=120,"Medium Calls","High Calls"))</f>
        <v>#REF!</v>
      </c>
      <c r="AA1674" t="e">
        <f>IF(#REF!&lt;=15,"Low Charges",
IF(#REF!&lt;=20,"Medium Charges","High Charges"))</f>
        <v>#REF!</v>
      </c>
      <c r="AB1674" t="e">
        <f>IF(AND(#REF!&gt;180, #REF!&gt;200), "Heavy Doemstic User", IF(#REF!&gt;10, "Interntional User", IF(AND(#REF!&lt;180, #REF!&lt;200,#REF!&lt;200), "Light User", "Balanced User")))</f>
        <v>#REF!</v>
      </c>
      <c r="AC1674" t="e">
        <f>IF(#REF! = 0, "No Usage", IF(#REF! &lt;= 20, "Low Usage", IF(#REF! &lt;= 40, "Medium Usgae", "High Usage")))</f>
        <v>#REF!</v>
      </c>
      <c r="AD1674" t="e">
        <f>IF(#REF!&lt;=150,"Low Usage", IF(#REF!&lt;=200,"Medium Usage", IF(#REF!&lt;=250,"High Usage","Very High Usage")))</f>
        <v>#REF!</v>
      </c>
      <c r="AE1674" t="e">
        <f>IF(#REF!&lt;=5,"Low Calls", IF(#REF!&lt;=10, "Medium Calls", "High Calls"))</f>
        <v>#REF!</v>
      </c>
      <c r="AF1674" t="e">
        <f xml:space="preserve">
IF(#REF!&gt;=4,4,0)+
IF(#REF!="yes",3,0)+
IF(#REF!="High Charges",3,0)+
IF(#REF!&gt;250,4,0)+
IF(#REF!="no",1,0)+
IF(#REF!="Heavy Domestic User",2,0)</f>
        <v>#REF!</v>
      </c>
      <c r="AG1674" t="e">
        <f>IF(#REF!&gt;=10,"High Risk", IF(#REF!&gt;=5,"Medium Risk","Low Risk"))</f>
        <v>#REF!</v>
      </c>
      <c r="AH1674" t="e">
        <f>#REF! + #REF! + #REF! + #REF!</f>
        <v>#REF!</v>
      </c>
    </row>
    <row r="1675" spans="1:34" x14ac:dyDescent="0.35">
      <c r="A1675">
        <v>1674</v>
      </c>
      <c r="B1675" t="s">
        <v>65</v>
      </c>
      <c r="C1675">
        <v>113</v>
      </c>
      <c r="D1675" t="s">
        <v>25</v>
      </c>
      <c r="E1675" t="s">
        <v>22</v>
      </c>
      <c r="F1675" t="s">
        <v>23</v>
      </c>
      <c r="G1675">
        <v>20</v>
      </c>
      <c r="H1675">
        <v>157.80000000000001</v>
      </c>
      <c r="I1675">
        <v>83</v>
      </c>
      <c r="J1675">
        <v>26.83</v>
      </c>
      <c r="K1675">
        <v>161.5</v>
      </c>
      <c r="L1675">
        <v>56</v>
      </c>
      <c r="M1675">
        <v>13.73</v>
      </c>
      <c r="N1675">
        <v>271.5</v>
      </c>
      <c r="O1675">
        <v>100</v>
      </c>
      <c r="P1675">
        <v>12.22</v>
      </c>
      <c r="Q1675">
        <v>8.6999999999999993</v>
      </c>
      <c r="R1675">
        <v>2</v>
      </c>
      <c r="S1675">
        <v>2.35</v>
      </c>
      <c r="T1675">
        <v>5</v>
      </c>
      <c r="U1675" t="s">
        <v>23</v>
      </c>
      <c r="V1675" t="e">
        <f>IF(#REF! = "yes", 1, 0)</f>
        <v>#REF!</v>
      </c>
      <c r="W1675" t="e">
        <f>IF(#REF! &lt;= 1, "0-1 Calls", IF(#REF! &lt;= 3, "2-3 Calls", IF(#REF! &lt;=5, "4-5 Calls", "6+ Calls")))</f>
        <v>#REF!</v>
      </c>
      <c r="X1675" t="e">
        <f>IF(#REF! &lt;= 50, "0-50", IF(#REF! &lt;=100, "51-100", IF(#REF! &lt;= 150, "101-150", "151+")))</f>
        <v>#REF!</v>
      </c>
      <c r="Y1675" t="e">
        <f>IF(#REF! &lt;= 3, "Low Charges", "High Charges")</f>
        <v>#REF!</v>
      </c>
      <c r="Z1675" t="e">
        <f>IF(#REF!&lt;=80,"Low Calls",
IF(#REF!&lt;=120,"Medium Calls","High Calls"))</f>
        <v>#REF!</v>
      </c>
      <c r="AA1675" t="e">
        <f>IF(#REF!&lt;=15,"Low Charges",
IF(#REF!&lt;=20,"Medium Charges","High Charges"))</f>
        <v>#REF!</v>
      </c>
      <c r="AB1675" t="e">
        <f>IF(AND(#REF!&gt;180, #REF!&gt;200), "Heavy Doemstic User", IF(#REF!&gt;10, "Interntional User", IF(AND(#REF!&lt;180, #REF!&lt;200,#REF!&lt;200), "Light User", "Balanced User")))</f>
        <v>#REF!</v>
      </c>
      <c r="AC1675" t="e">
        <f>IF(#REF! = 0, "No Usage", IF(#REF! &lt;= 20, "Low Usage", IF(#REF! &lt;= 40, "Medium Usgae", "High Usage")))</f>
        <v>#REF!</v>
      </c>
      <c r="AD1675" t="e">
        <f>IF(#REF!&lt;=150,"Low Usage", IF(#REF!&lt;=200,"Medium Usage", IF(#REF!&lt;=250,"High Usage","Very High Usage")))</f>
        <v>#REF!</v>
      </c>
      <c r="AE1675" t="e">
        <f>IF(#REF!&lt;=5,"Low Calls", IF(#REF!&lt;=10, "Medium Calls", "High Calls"))</f>
        <v>#REF!</v>
      </c>
      <c r="AF1675" t="e">
        <f xml:space="preserve">
IF(#REF!&gt;=4,4,0)+
IF(#REF!="yes",3,0)+
IF(#REF!="High Charges",3,0)+
IF(#REF!&gt;250,4,0)+
IF(#REF!="no",1,0)+
IF(#REF!="Heavy Domestic User",2,0)</f>
        <v>#REF!</v>
      </c>
      <c r="AG1675" t="e">
        <f>IF(#REF!&gt;=10,"High Risk", IF(#REF!&gt;=5,"Medium Risk","Low Risk"))</f>
        <v>#REF!</v>
      </c>
      <c r="AH1675" t="e">
        <f>#REF! + #REF! + #REF! + #REF!</f>
        <v>#REF!</v>
      </c>
    </row>
    <row r="1676" spans="1:34" x14ac:dyDescent="0.35">
      <c r="A1676">
        <v>1675</v>
      </c>
      <c r="B1676" t="s">
        <v>59</v>
      </c>
      <c r="C1676">
        <v>71</v>
      </c>
      <c r="D1676" t="s">
        <v>25</v>
      </c>
      <c r="E1676" t="s">
        <v>22</v>
      </c>
      <c r="F1676" t="s">
        <v>22</v>
      </c>
      <c r="G1676">
        <v>0</v>
      </c>
      <c r="H1676">
        <v>141.19999999999999</v>
      </c>
      <c r="I1676">
        <v>132</v>
      </c>
      <c r="J1676">
        <v>24</v>
      </c>
      <c r="K1676">
        <v>149.1</v>
      </c>
      <c r="L1676">
        <v>90</v>
      </c>
      <c r="M1676">
        <v>12.67</v>
      </c>
      <c r="N1676">
        <v>171.4</v>
      </c>
      <c r="O1676">
        <v>72</v>
      </c>
      <c r="P1676">
        <v>7.71</v>
      </c>
      <c r="Q1676">
        <v>7</v>
      </c>
      <c r="R1676">
        <v>2</v>
      </c>
      <c r="S1676">
        <v>1.89</v>
      </c>
      <c r="T1676">
        <v>2</v>
      </c>
      <c r="U1676" t="s">
        <v>22</v>
      </c>
      <c r="V1676" t="e">
        <f>IF(#REF! = "yes", 1, 0)</f>
        <v>#REF!</v>
      </c>
      <c r="W1676" t="e">
        <f>IF(#REF! &lt;= 1, "0-1 Calls", IF(#REF! &lt;= 3, "2-3 Calls", IF(#REF! &lt;=5, "4-5 Calls", "6+ Calls")))</f>
        <v>#REF!</v>
      </c>
      <c r="X1676" t="e">
        <f>IF(#REF! &lt;= 50, "0-50", IF(#REF! &lt;=100, "51-100", IF(#REF! &lt;= 150, "101-150", "151+")))</f>
        <v>#REF!</v>
      </c>
      <c r="Y1676" t="e">
        <f>IF(#REF! &lt;= 3, "Low Charges", "High Charges")</f>
        <v>#REF!</v>
      </c>
      <c r="Z1676" t="e">
        <f>IF(#REF!&lt;=80,"Low Calls",
IF(#REF!&lt;=120,"Medium Calls","High Calls"))</f>
        <v>#REF!</v>
      </c>
      <c r="AA1676" t="e">
        <f>IF(#REF!&lt;=15,"Low Charges",
IF(#REF!&lt;=20,"Medium Charges","High Charges"))</f>
        <v>#REF!</v>
      </c>
      <c r="AB1676" t="e">
        <f>IF(AND(#REF!&gt;180, #REF!&gt;200), "Heavy Doemstic User", IF(#REF!&gt;10, "Interntional User", IF(AND(#REF!&lt;180, #REF!&lt;200,#REF!&lt;200), "Light User", "Balanced User")))</f>
        <v>#REF!</v>
      </c>
      <c r="AC1676" t="e">
        <f>IF(#REF! = 0, "No Usage", IF(#REF! &lt;= 20, "Low Usage", IF(#REF! &lt;= 40, "Medium Usgae", "High Usage")))</f>
        <v>#REF!</v>
      </c>
      <c r="AD1676" t="e">
        <f>IF(#REF!&lt;=150,"Low Usage", IF(#REF!&lt;=200,"Medium Usage", IF(#REF!&lt;=250,"High Usage","Very High Usage")))</f>
        <v>#REF!</v>
      </c>
      <c r="AE1676" t="e">
        <f>IF(#REF!&lt;=5,"Low Calls", IF(#REF!&lt;=10, "Medium Calls", "High Calls"))</f>
        <v>#REF!</v>
      </c>
      <c r="AF1676" t="e">
        <f xml:space="preserve">
IF(#REF!&gt;=4,4,0)+
IF(#REF!="yes",3,0)+
IF(#REF!="High Charges",3,0)+
IF(#REF!&gt;250,4,0)+
IF(#REF!="no",1,0)+
IF(#REF!="Heavy Domestic User",2,0)</f>
        <v>#REF!</v>
      </c>
      <c r="AG1676" t="e">
        <f>IF(#REF!&gt;=10,"High Risk", IF(#REF!&gt;=5,"Medium Risk","Low Risk"))</f>
        <v>#REF!</v>
      </c>
      <c r="AH1676" t="e">
        <f>#REF! + #REF! + #REF! + #REF!</f>
        <v>#REF!</v>
      </c>
    </row>
    <row r="1677" spans="1:34" x14ac:dyDescent="0.35">
      <c r="A1677">
        <v>1676</v>
      </c>
      <c r="B1677" t="s">
        <v>43</v>
      </c>
      <c r="C1677">
        <v>49</v>
      </c>
      <c r="D1677" t="s">
        <v>21</v>
      </c>
      <c r="E1677" t="s">
        <v>23</v>
      </c>
      <c r="F1677" t="s">
        <v>22</v>
      </c>
      <c r="G1677">
        <v>0</v>
      </c>
      <c r="H1677">
        <v>237.8</v>
      </c>
      <c r="I1677">
        <v>92</v>
      </c>
      <c r="J1677">
        <v>40.43</v>
      </c>
      <c r="K1677">
        <v>208.9</v>
      </c>
      <c r="L1677">
        <v>119</v>
      </c>
      <c r="M1677">
        <v>17.760000000000002</v>
      </c>
      <c r="N1677">
        <v>167.8</v>
      </c>
      <c r="O1677">
        <v>86</v>
      </c>
      <c r="P1677">
        <v>7.55</v>
      </c>
      <c r="Q1677">
        <v>15.6</v>
      </c>
      <c r="R1677">
        <v>6</v>
      </c>
      <c r="S1677">
        <v>4.21</v>
      </c>
      <c r="T1677">
        <v>2</v>
      </c>
      <c r="U1677" t="s">
        <v>23</v>
      </c>
      <c r="V1677" t="e">
        <f>IF(#REF! = "yes", 1, 0)</f>
        <v>#REF!</v>
      </c>
      <c r="W1677" t="e">
        <f>IF(#REF! &lt;= 1, "0-1 Calls", IF(#REF! &lt;= 3, "2-3 Calls", IF(#REF! &lt;=5, "4-5 Calls", "6+ Calls")))</f>
        <v>#REF!</v>
      </c>
      <c r="X1677" t="e">
        <f>IF(#REF! &lt;= 50, "0-50", IF(#REF! &lt;=100, "51-100", IF(#REF! &lt;= 150, "101-150", "151+")))</f>
        <v>#REF!</v>
      </c>
      <c r="Y1677" t="e">
        <f>IF(#REF! &lt;= 3, "Low Charges", "High Charges")</f>
        <v>#REF!</v>
      </c>
      <c r="Z1677" t="e">
        <f>IF(#REF!&lt;=80,"Low Calls",
IF(#REF!&lt;=120,"Medium Calls","High Calls"))</f>
        <v>#REF!</v>
      </c>
      <c r="AA1677" t="e">
        <f>IF(#REF!&lt;=15,"Low Charges",
IF(#REF!&lt;=20,"Medium Charges","High Charges"))</f>
        <v>#REF!</v>
      </c>
      <c r="AB1677" t="e">
        <f>IF(AND(#REF!&gt;180, #REF!&gt;200), "Heavy Doemstic User", IF(#REF!&gt;10, "Interntional User", IF(AND(#REF!&lt;180, #REF!&lt;200,#REF!&lt;200), "Light User", "Balanced User")))</f>
        <v>#REF!</v>
      </c>
      <c r="AC1677" t="e">
        <f>IF(#REF! = 0, "No Usage", IF(#REF! &lt;= 20, "Low Usage", IF(#REF! &lt;= 40, "Medium Usgae", "High Usage")))</f>
        <v>#REF!</v>
      </c>
      <c r="AD1677" t="e">
        <f>IF(#REF!&lt;=150,"Low Usage", IF(#REF!&lt;=200,"Medium Usage", IF(#REF!&lt;=250,"High Usage","Very High Usage")))</f>
        <v>#REF!</v>
      </c>
      <c r="AE1677" t="e">
        <f>IF(#REF!&lt;=5,"Low Calls", IF(#REF!&lt;=10, "Medium Calls", "High Calls"))</f>
        <v>#REF!</v>
      </c>
      <c r="AF1677" t="e">
        <f xml:space="preserve">
IF(#REF!&gt;=4,4,0)+
IF(#REF!="yes",3,0)+
IF(#REF!="High Charges",3,0)+
IF(#REF!&gt;250,4,0)+
IF(#REF!="no",1,0)+
IF(#REF!="Heavy Domestic User",2,0)</f>
        <v>#REF!</v>
      </c>
      <c r="AG1677" t="e">
        <f>IF(#REF!&gt;=10,"High Risk", IF(#REF!&gt;=5,"Medium Risk","Low Risk"))</f>
        <v>#REF!</v>
      </c>
      <c r="AH1677" t="e">
        <f>#REF! + #REF! + #REF! + #REF!</f>
        <v>#REF!</v>
      </c>
    </row>
    <row r="1678" spans="1:34" x14ac:dyDescent="0.35">
      <c r="A1678">
        <v>1677</v>
      </c>
      <c r="B1678" t="s">
        <v>33</v>
      </c>
      <c r="C1678">
        <v>106</v>
      </c>
      <c r="D1678" t="s">
        <v>28</v>
      </c>
      <c r="E1678" t="s">
        <v>23</v>
      </c>
      <c r="F1678" t="s">
        <v>22</v>
      </c>
      <c r="G1678">
        <v>0</v>
      </c>
      <c r="H1678">
        <v>204</v>
      </c>
      <c r="I1678">
        <v>84</v>
      </c>
      <c r="J1678">
        <v>34.68</v>
      </c>
      <c r="K1678">
        <v>168.5</v>
      </c>
      <c r="L1678">
        <v>61</v>
      </c>
      <c r="M1678">
        <v>14.32</v>
      </c>
      <c r="N1678">
        <v>164</v>
      </c>
      <c r="O1678">
        <v>102</v>
      </c>
      <c r="P1678">
        <v>7.38</v>
      </c>
      <c r="Q1678">
        <v>13.3</v>
      </c>
      <c r="R1678">
        <v>3</v>
      </c>
      <c r="S1678">
        <v>3.59</v>
      </c>
      <c r="T1678">
        <v>3</v>
      </c>
      <c r="U1678" t="s">
        <v>23</v>
      </c>
      <c r="V1678" t="e">
        <f>IF(#REF! = "yes", 1, 0)</f>
        <v>#REF!</v>
      </c>
      <c r="W1678" t="e">
        <f>IF(#REF! &lt;= 1, "0-1 Calls", IF(#REF! &lt;= 3, "2-3 Calls", IF(#REF! &lt;=5, "4-5 Calls", "6+ Calls")))</f>
        <v>#REF!</v>
      </c>
      <c r="X1678" t="e">
        <f>IF(#REF! &lt;= 50, "0-50", IF(#REF! &lt;=100, "51-100", IF(#REF! &lt;= 150, "101-150", "151+")))</f>
        <v>#REF!</v>
      </c>
      <c r="Y1678" t="e">
        <f>IF(#REF! &lt;= 3, "Low Charges", "High Charges")</f>
        <v>#REF!</v>
      </c>
      <c r="Z1678" t="e">
        <f>IF(#REF!&lt;=80,"Low Calls",
IF(#REF!&lt;=120,"Medium Calls","High Calls"))</f>
        <v>#REF!</v>
      </c>
      <c r="AA1678" t="e">
        <f>IF(#REF!&lt;=15,"Low Charges",
IF(#REF!&lt;=20,"Medium Charges","High Charges"))</f>
        <v>#REF!</v>
      </c>
      <c r="AB1678" t="e">
        <f>IF(AND(#REF!&gt;180, #REF!&gt;200), "Heavy Doemstic User", IF(#REF!&gt;10, "Interntional User", IF(AND(#REF!&lt;180, #REF!&lt;200,#REF!&lt;200), "Light User", "Balanced User")))</f>
        <v>#REF!</v>
      </c>
      <c r="AC1678" t="e">
        <f>IF(#REF! = 0, "No Usage", IF(#REF! &lt;= 20, "Low Usage", IF(#REF! &lt;= 40, "Medium Usgae", "High Usage")))</f>
        <v>#REF!</v>
      </c>
      <c r="AD1678" t="e">
        <f>IF(#REF!&lt;=150,"Low Usage", IF(#REF!&lt;=200,"Medium Usage", IF(#REF!&lt;=250,"High Usage","Very High Usage")))</f>
        <v>#REF!</v>
      </c>
      <c r="AE1678" t="e">
        <f>IF(#REF!&lt;=5,"Low Calls", IF(#REF!&lt;=10, "Medium Calls", "High Calls"))</f>
        <v>#REF!</v>
      </c>
      <c r="AF1678" t="e">
        <f xml:space="preserve">
IF(#REF!&gt;=4,4,0)+
IF(#REF!="yes",3,0)+
IF(#REF!="High Charges",3,0)+
IF(#REF!&gt;250,4,0)+
IF(#REF!="no",1,0)+
IF(#REF!="Heavy Domestic User",2,0)</f>
        <v>#REF!</v>
      </c>
      <c r="AG1678" t="e">
        <f>IF(#REF!&gt;=10,"High Risk", IF(#REF!&gt;=5,"Medium Risk","Low Risk"))</f>
        <v>#REF!</v>
      </c>
      <c r="AH1678" t="e">
        <f>#REF! + #REF! + #REF! + #REF!</f>
        <v>#REF!</v>
      </c>
    </row>
    <row r="1679" spans="1:34" x14ac:dyDescent="0.35">
      <c r="A1679">
        <v>1678</v>
      </c>
      <c r="B1679" t="s">
        <v>37</v>
      </c>
      <c r="C1679">
        <v>60</v>
      </c>
      <c r="D1679" t="s">
        <v>28</v>
      </c>
      <c r="E1679" t="s">
        <v>22</v>
      </c>
      <c r="F1679" t="s">
        <v>22</v>
      </c>
      <c r="G1679">
        <v>0</v>
      </c>
      <c r="H1679">
        <v>221.1</v>
      </c>
      <c r="I1679">
        <v>106</v>
      </c>
      <c r="J1679">
        <v>37.590000000000003</v>
      </c>
      <c r="K1679">
        <v>178.6</v>
      </c>
      <c r="L1679">
        <v>48</v>
      </c>
      <c r="M1679">
        <v>15.18</v>
      </c>
      <c r="N1679">
        <v>202.7</v>
      </c>
      <c r="O1679">
        <v>90</v>
      </c>
      <c r="P1679">
        <v>9.1199999999999992</v>
      </c>
      <c r="Q1679">
        <v>7.4</v>
      </c>
      <c r="R1679">
        <v>3</v>
      </c>
      <c r="S1679">
        <v>2</v>
      </c>
      <c r="T1679">
        <v>1</v>
      </c>
      <c r="U1679" t="s">
        <v>22</v>
      </c>
      <c r="V1679" t="e">
        <f>IF(#REF! = "yes", 1, 0)</f>
        <v>#REF!</v>
      </c>
      <c r="W1679" t="e">
        <f>IF(#REF! &lt;= 1, "0-1 Calls", IF(#REF! &lt;= 3, "2-3 Calls", IF(#REF! &lt;=5, "4-5 Calls", "6+ Calls")))</f>
        <v>#REF!</v>
      </c>
      <c r="X1679" t="e">
        <f>IF(#REF! &lt;= 50, "0-50", IF(#REF! &lt;=100, "51-100", IF(#REF! &lt;= 150, "101-150", "151+")))</f>
        <v>#REF!</v>
      </c>
      <c r="Y1679" t="e">
        <f>IF(#REF! &lt;= 3, "Low Charges", "High Charges")</f>
        <v>#REF!</v>
      </c>
      <c r="Z1679" t="e">
        <f>IF(#REF!&lt;=80,"Low Calls",
IF(#REF!&lt;=120,"Medium Calls","High Calls"))</f>
        <v>#REF!</v>
      </c>
      <c r="AA1679" t="e">
        <f>IF(#REF!&lt;=15,"Low Charges",
IF(#REF!&lt;=20,"Medium Charges","High Charges"))</f>
        <v>#REF!</v>
      </c>
      <c r="AB1679" t="e">
        <f>IF(AND(#REF!&gt;180, #REF!&gt;200), "Heavy Doemstic User", IF(#REF!&gt;10, "Interntional User", IF(AND(#REF!&lt;180, #REF!&lt;200,#REF!&lt;200), "Light User", "Balanced User")))</f>
        <v>#REF!</v>
      </c>
      <c r="AC1679" t="e">
        <f>IF(#REF! = 0, "No Usage", IF(#REF! &lt;= 20, "Low Usage", IF(#REF! &lt;= 40, "Medium Usgae", "High Usage")))</f>
        <v>#REF!</v>
      </c>
      <c r="AD1679" t="e">
        <f>IF(#REF!&lt;=150,"Low Usage", IF(#REF!&lt;=200,"Medium Usage", IF(#REF!&lt;=250,"High Usage","Very High Usage")))</f>
        <v>#REF!</v>
      </c>
      <c r="AE1679" t="e">
        <f>IF(#REF!&lt;=5,"Low Calls", IF(#REF!&lt;=10, "Medium Calls", "High Calls"))</f>
        <v>#REF!</v>
      </c>
      <c r="AF1679" t="e">
        <f xml:space="preserve">
IF(#REF!&gt;=4,4,0)+
IF(#REF!="yes",3,0)+
IF(#REF!="High Charges",3,0)+
IF(#REF!&gt;250,4,0)+
IF(#REF!="no",1,0)+
IF(#REF!="Heavy Domestic User",2,0)</f>
        <v>#REF!</v>
      </c>
      <c r="AG1679" t="e">
        <f>IF(#REF!&gt;=10,"High Risk", IF(#REF!&gt;=5,"Medium Risk","Low Risk"))</f>
        <v>#REF!</v>
      </c>
      <c r="AH1679" t="e">
        <f>#REF! + #REF! + #REF! + #REF!</f>
        <v>#REF!</v>
      </c>
    </row>
    <row r="1680" spans="1:34" x14ac:dyDescent="0.35">
      <c r="A1680">
        <v>1679</v>
      </c>
      <c r="B1680" t="s">
        <v>66</v>
      </c>
      <c r="C1680">
        <v>66</v>
      </c>
      <c r="D1680" t="s">
        <v>28</v>
      </c>
      <c r="E1680" t="s">
        <v>22</v>
      </c>
      <c r="F1680" t="s">
        <v>22</v>
      </c>
      <c r="G1680">
        <v>0</v>
      </c>
      <c r="H1680">
        <v>118</v>
      </c>
      <c r="I1680">
        <v>133</v>
      </c>
      <c r="J1680">
        <v>20.059999999999999</v>
      </c>
      <c r="K1680">
        <v>248.1</v>
      </c>
      <c r="L1680">
        <v>99</v>
      </c>
      <c r="M1680">
        <v>21.09</v>
      </c>
      <c r="N1680">
        <v>214.4</v>
      </c>
      <c r="O1680">
        <v>122</v>
      </c>
      <c r="P1680">
        <v>9.65</v>
      </c>
      <c r="Q1680">
        <v>5.3</v>
      </c>
      <c r="R1680">
        <v>5</v>
      </c>
      <c r="S1680">
        <v>1.43</v>
      </c>
      <c r="T1680">
        <v>1</v>
      </c>
      <c r="U1680" t="s">
        <v>22</v>
      </c>
      <c r="V1680" t="e">
        <f>IF(#REF! = "yes", 1, 0)</f>
        <v>#REF!</v>
      </c>
      <c r="W1680" t="e">
        <f>IF(#REF! &lt;= 1, "0-1 Calls", IF(#REF! &lt;= 3, "2-3 Calls", IF(#REF! &lt;=5, "4-5 Calls", "6+ Calls")))</f>
        <v>#REF!</v>
      </c>
      <c r="X1680" t="e">
        <f>IF(#REF! &lt;= 50, "0-50", IF(#REF! &lt;=100, "51-100", IF(#REF! &lt;= 150, "101-150", "151+")))</f>
        <v>#REF!</v>
      </c>
      <c r="Y1680" t="e">
        <f>IF(#REF! &lt;= 3, "Low Charges", "High Charges")</f>
        <v>#REF!</v>
      </c>
      <c r="Z1680" t="e">
        <f>IF(#REF!&lt;=80,"Low Calls",
IF(#REF!&lt;=120,"Medium Calls","High Calls"))</f>
        <v>#REF!</v>
      </c>
      <c r="AA1680" t="e">
        <f>IF(#REF!&lt;=15,"Low Charges",
IF(#REF!&lt;=20,"Medium Charges","High Charges"))</f>
        <v>#REF!</v>
      </c>
      <c r="AB1680" t="e">
        <f>IF(AND(#REF!&gt;180, #REF!&gt;200), "Heavy Doemstic User", IF(#REF!&gt;10, "Interntional User", IF(AND(#REF!&lt;180, #REF!&lt;200,#REF!&lt;200), "Light User", "Balanced User")))</f>
        <v>#REF!</v>
      </c>
      <c r="AC1680" t="e">
        <f>IF(#REF! = 0, "No Usage", IF(#REF! &lt;= 20, "Low Usage", IF(#REF! &lt;= 40, "Medium Usgae", "High Usage")))</f>
        <v>#REF!</v>
      </c>
      <c r="AD1680" t="e">
        <f>IF(#REF!&lt;=150,"Low Usage", IF(#REF!&lt;=200,"Medium Usage", IF(#REF!&lt;=250,"High Usage","Very High Usage")))</f>
        <v>#REF!</v>
      </c>
      <c r="AE1680" t="e">
        <f>IF(#REF!&lt;=5,"Low Calls", IF(#REF!&lt;=10, "Medium Calls", "High Calls"))</f>
        <v>#REF!</v>
      </c>
      <c r="AF1680" t="e">
        <f xml:space="preserve">
IF(#REF!&gt;=4,4,0)+
IF(#REF!="yes",3,0)+
IF(#REF!="High Charges",3,0)+
IF(#REF!&gt;250,4,0)+
IF(#REF!="no",1,0)+
IF(#REF!="Heavy Domestic User",2,0)</f>
        <v>#REF!</v>
      </c>
      <c r="AG1680" t="e">
        <f>IF(#REF!&gt;=10,"High Risk", IF(#REF!&gt;=5,"Medium Risk","Low Risk"))</f>
        <v>#REF!</v>
      </c>
      <c r="AH1680" t="e">
        <f>#REF! + #REF! + #REF! + #REF!</f>
        <v>#REF!</v>
      </c>
    </row>
    <row r="1681" spans="1:34" x14ac:dyDescent="0.35">
      <c r="A1681">
        <v>1680</v>
      </c>
      <c r="B1681" t="s">
        <v>57</v>
      </c>
      <c r="C1681">
        <v>125</v>
      </c>
      <c r="D1681" t="s">
        <v>21</v>
      </c>
      <c r="E1681" t="s">
        <v>22</v>
      </c>
      <c r="F1681" t="s">
        <v>22</v>
      </c>
      <c r="G1681">
        <v>0</v>
      </c>
      <c r="H1681">
        <v>163.80000000000001</v>
      </c>
      <c r="I1681">
        <v>73</v>
      </c>
      <c r="J1681">
        <v>27.85</v>
      </c>
      <c r="K1681">
        <v>255.6</v>
      </c>
      <c r="L1681">
        <v>85</v>
      </c>
      <c r="M1681">
        <v>21.73</v>
      </c>
      <c r="N1681">
        <v>192.9</v>
      </c>
      <c r="O1681">
        <v>95</v>
      </c>
      <c r="P1681">
        <v>8.68</v>
      </c>
      <c r="Q1681">
        <v>15.7</v>
      </c>
      <c r="R1681">
        <v>4</v>
      </c>
      <c r="S1681">
        <v>4.24</v>
      </c>
      <c r="T1681">
        <v>0</v>
      </c>
      <c r="U1681" t="s">
        <v>22</v>
      </c>
      <c r="V1681" t="e">
        <f>IF(#REF! = "yes", 1, 0)</f>
        <v>#REF!</v>
      </c>
      <c r="W1681" t="e">
        <f>IF(#REF! &lt;= 1, "0-1 Calls", IF(#REF! &lt;= 3, "2-3 Calls", IF(#REF! &lt;=5, "4-5 Calls", "6+ Calls")))</f>
        <v>#REF!</v>
      </c>
      <c r="X1681" t="e">
        <f>IF(#REF! &lt;= 50, "0-50", IF(#REF! &lt;=100, "51-100", IF(#REF! &lt;= 150, "101-150", "151+")))</f>
        <v>#REF!</v>
      </c>
      <c r="Y1681" t="e">
        <f>IF(#REF! &lt;= 3, "Low Charges", "High Charges")</f>
        <v>#REF!</v>
      </c>
      <c r="Z1681" t="e">
        <f>IF(#REF!&lt;=80,"Low Calls",
IF(#REF!&lt;=120,"Medium Calls","High Calls"))</f>
        <v>#REF!</v>
      </c>
      <c r="AA1681" t="e">
        <f>IF(#REF!&lt;=15,"Low Charges",
IF(#REF!&lt;=20,"Medium Charges","High Charges"))</f>
        <v>#REF!</v>
      </c>
      <c r="AB1681" t="e">
        <f>IF(AND(#REF!&gt;180, #REF!&gt;200), "Heavy Doemstic User", IF(#REF!&gt;10, "Interntional User", IF(AND(#REF!&lt;180, #REF!&lt;200,#REF!&lt;200), "Light User", "Balanced User")))</f>
        <v>#REF!</v>
      </c>
      <c r="AC1681" t="e">
        <f>IF(#REF! = 0, "No Usage", IF(#REF! &lt;= 20, "Low Usage", IF(#REF! &lt;= 40, "Medium Usgae", "High Usage")))</f>
        <v>#REF!</v>
      </c>
      <c r="AD1681" t="e">
        <f>IF(#REF!&lt;=150,"Low Usage", IF(#REF!&lt;=200,"Medium Usage", IF(#REF!&lt;=250,"High Usage","Very High Usage")))</f>
        <v>#REF!</v>
      </c>
      <c r="AE1681" t="e">
        <f>IF(#REF!&lt;=5,"Low Calls", IF(#REF!&lt;=10, "Medium Calls", "High Calls"))</f>
        <v>#REF!</v>
      </c>
      <c r="AF1681" t="e">
        <f xml:space="preserve">
IF(#REF!&gt;=4,4,0)+
IF(#REF!="yes",3,0)+
IF(#REF!="High Charges",3,0)+
IF(#REF!&gt;250,4,0)+
IF(#REF!="no",1,0)+
IF(#REF!="Heavy Domestic User",2,0)</f>
        <v>#REF!</v>
      </c>
      <c r="AG1681" t="e">
        <f>IF(#REF!&gt;=10,"High Risk", IF(#REF!&gt;=5,"Medium Risk","Low Risk"))</f>
        <v>#REF!</v>
      </c>
      <c r="AH1681" t="e">
        <f>#REF! + #REF! + #REF! + #REF!</f>
        <v>#REF!</v>
      </c>
    </row>
    <row r="1682" spans="1:34" x14ac:dyDescent="0.35">
      <c r="A1682">
        <v>1681</v>
      </c>
      <c r="B1682" t="s">
        <v>43</v>
      </c>
      <c r="C1682">
        <v>114</v>
      </c>
      <c r="D1682" t="s">
        <v>28</v>
      </c>
      <c r="E1682" t="s">
        <v>22</v>
      </c>
      <c r="F1682" t="s">
        <v>23</v>
      </c>
      <c r="G1682">
        <v>4</v>
      </c>
      <c r="H1682">
        <v>141.30000000000001</v>
      </c>
      <c r="I1682">
        <v>96</v>
      </c>
      <c r="J1682">
        <v>24.02</v>
      </c>
      <c r="K1682">
        <v>230.4</v>
      </c>
      <c r="L1682">
        <v>88</v>
      </c>
      <c r="M1682">
        <v>19.579999999999998</v>
      </c>
      <c r="N1682">
        <v>223.7</v>
      </c>
      <c r="O1682">
        <v>85</v>
      </c>
      <c r="P1682">
        <v>10.07</v>
      </c>
      <c r="Q1682">
        <v>9.4</v>
      </c>
      <c r="R1682">
        <v>3</v>
      </c>
      <c r="S1682">
        <v>2.54</v>
      </c>
      <c r="T1682">
        <v>3</v>
      </c>
      <c r="U1682" t="s">
        <v>22</v>
      </c>
      <c r="V1682" t="e">
        <f>IF(#REF! = "yes", 1, 0)</f>
        <v>#REF!</v>
      </c>
      <c r="W1682" t="e">
        <f>IF(#REF! &lt;= 1, "0-1 Calls", IF(#REF! &lt;= 3, "2-3 Calls", IF(#REF! &lt;=5, "4-5 Calls", "6+ Calls")))</f>
        <v>#REF!</v>
      </c>
      <c r="X1682" t="e">
        <f>IF(#REF! &lt;= 50, "0-50", IF(#REF! &lt;=100, "51-100", IF(#REF! &lt;= 150, "101-150", "151+")))</f>
        <v>#REF!</v>
      </c>
      <c r="Y1682" t="e">
        <f>IF(#REF! &lt;= 3, "Low Charges", "High Charges")</f>
        <v>#REF!</v>
      </c>
      <c r="Z1682" t="e">
        <f>IF(#REF!&lt;=80,"Low Calls",
IF(#REF!&lt;=120,"Medium Calls","High Calls"))</f>
        <v>#REF!</v>
      </c>
      <c r="AA1682" t="e">
        <f>IF(#REF!&lt;=15,"Low Charges",
IF(#REF!&lt;=20,"Medium Charges","High Charges"))</f>
        <v>#REF!</v>
      </c>
      <c r="AB1682" t="e">
        <f>IF(AND(#REF!&gt;180, #REF!&gt;200), "Heavy Doemstic User", IF(#REF!&gt;10, "Interntional User", IF(AND(#REF!&lt;180, #REF!&lt;200,#REF!&lt;200), "Light User", "Balanced User")))</f>
        <v>#REF!</v>
      </c>
      <c r="AC1682" t="e">
        <f>IF(#REF! = 0, "No Usage", IF(#REF! &lt;= 20, "Low Usage", IF(#REF! &lt;= 40, "Medium Usgae", "High Usage")))</f>
        <v>#REF!</v>
      </c>
      <c r="AD1682" t="e">
        <f>IF(#REF!&lt;=150,"Low Usage", IF(#REF!&lt;=200,"Medium Usage", IF(#REF!&lt;=250,"High Usage","Very High Usage")))</f>
        <v>#REF!</v>
      </c>
      <c r="AE1682" t="e">
        <f>IF(#REF!&lt;=5,"Low Calls", IF(#REF!&lt;=10, "Medium Calls", "High Calls"))</f>
        <v>#REF!</v>
      </c>
      <c r="AF1682" t="e">
        <f xml:space="preserve">
IF(#REF!&gt;=4,4,0)+
IF(#REF!="yes",3,0)+
IF(#REF!="High Charges",3,0)+
IF(#REF!&gt;250,4,0)+
IF(#REF!="no",1,0)+
IF(#REF!="Heavy Domestic User",2,0)</f>
        <v>#REF!</v>
      </c>
      <c r="AG1682" t="e">
        <f>IF(#REF!&gt;=10,"High Risk", IF(#REF!&gt;=5,"Medium Risk","Low Risk"))</f>
        <v>#REF!</v>
      </c>
      <c r="AH1682" t="e">
        <f>#REF! + #REF! + #REF! + #REF!</f>
        <v>#REF!</v>
      </c>
    </row>
    <row r="1683" spans="1:34" x14ac:dyDescent="0.35">
      <c r="A1683">
        <v>1682</v>
      </c>
      <c r="B1683" t="s">
        <v>71</v>
      </c>
      <c r="C1683">
        <v>112</v>
      </c>
      <c r="D1683" t="s">
        <v>21</v>
      </c>
      <c r="E1683" t="s">
        <v>22</v>
      </c>
      <c r="F1683" t="s">
        <v>22</v>
      </c>
      <c r="G1683">
        <v>0</v>
      </c>
      <c r="H1683">
        <v>272.5</v>
      </c>
      <c r="I1683">
        <v>119</v>
      </c>
      <c r="J1683">
        <v>46.33</v>
      </c>
      <c r="K1683">
        <v>226.1</v>
      </c>
      <c r="L1683">
        <v>94</v>
      </c>
      <c r="M1683">
        <v>19.22</v>
      </c>
      <c r="N1683">
        <v>159.1</v>
      </c>
      <c r="O1683">
        <v>94</v>
      </c>
      <c r="P1683">
        <v>7.16</v>
      </c>
      <c r="Q1683">
        <v>16.399999999999999</v>
      </c>
      <c r="R1683">
        <v>5</v>
      </c>
      <c r="S1683">
        <v>4.43</v>
      </c>
      <c r="T1683">
        <v>3</v>
      </c>
      <c r="U1683" t="s">
        <v>23</v>
      </c>
      <c r="V1683" t="e">
        <f>IF(#REF! = "yes", 1, 0)</f>
        <v>#REF!</v>
      </c>
      <c r="W1683" t="e">
        <f>IF(#REF! &lt;= 1, "0-1 Calls", IF(#REF! &lt;= 3, "2-3 Calls", IF(#REF! &lt;=5, "4-5 Calls", "6+ Calls")))</f>
        <v>#REF!</v>
      </c>
      <c r="X1683" t="e">
        <f>IF(#REF! &lt;= 50, "0-50", IF(#REF! &lt;=100, "51-100", IF(#REF! &lt;= 150, "101-150", "151+")))</f>
        <v>#REF!</v>
      </c>
      <c r="Y1683" t="e">
        <f>IF(#REF! &lt;= 3, "Low Charges", "High Charges")</f>
        <v>#REF!</v>
      </c>
      <c r="Z1683" t="e">
        <f>IF(#REF!&lt;=80,"Low Calls",
IF(#REF!&lt;=120,"Medium Calls","High Calls"))</f>
        <v>#REF!</v>
      </c>
      <c r="AA1683" t="e">
        <f>IF(#REF!&lt;=15,"Low Charges",
IF(#REF!&lt;=20,"Medium Charges","High Charges"))</f>
        <v>#REF!</v>
      </c>
      <c r="AB1683" t="e">
        <f>IF(AND(#REF!&gt;180, #REF!&gt;200), "Heavy Doemstic User", IF(#REF!&gt;10, "Interntional User", IF(AND(#REF!&lt;180, #REF!&lt;200,#REF!&lt;200), "Light User", "Balanced User")))</f>
        <v>#REF!</v>
      </c>
      <c r="AC1683" t="e">
        <f>IF(#REF! = 0, "No Usage", IF(#REF! &lt;= 20, "Low Usage", IF(#REF! &lt;= 40, "Medium Usgae", "High Usage")))</f>
        <v>#REF!</v>
      </c>
      <c r="AD1683" t="e">
        <f>IF(#REF!&lt;=150,"Low Usage", IF(#REF!&lt;=200,"Medium Usage", IF(#REF!&lt;=250,"High Usage","Very High Usage")))</f>
        <v>#REF!</v>
      </c>
      <c r="AE1683" t="e">
        <f>IF(#REF!&lt;=5,"Low Calls", IF(#REF!&lt;=10, "Medium Calls", "High Calls"))</f>
        <v>#REF!</v>
      </c>
      <c r="AF1683" t="e">
        <f xml:space="preserve">
IF(#REF!&gt;=4,4,0)+
IF(#REF!="yes",3,0)+
IF(#REF!="High Charges",3,0)+
IF(#REF!&gt;250,4,0)+
IF(#REF!="no",1,0)+
IF(#REF!="Heavy Domestic User",2,0)</f>
        <v>#REF!</v>
      </c>
      <c r="AG1683" t="e">
        <f>IF(#REF!&gt;=10,"High Risk", IF(#REF!&gt;=5,"Medium Risk","Low Risk"))</f>
        <v>#REF!</v>
      </c>
      <c r="AH1683" t="e">
        <f>#REF! + #REF! + #REF! + #REF!</f>
        <v>#REF!</v>
      </c>
    </row>
    <row r="1684" spans="1:34" x14ac:dyDescent="0.35">
      <c r="A1684">
        <v>1683</v>
      </c>
      <c r="B1684" t="s">
        <v>35</v>
      </c>
      <c r="C1684">
        <v>101</v>
      </c>
      <c r="D1684" t="s">
        <v>25</v>
      </c>
      <c r="E1684" t="s">
        <v>22</v>
      </c>
      <c r="F1684" t="s">
        <v>23</v>
      </c>
      <c r="G1684">
        <v>16</v>
      </c>
      <c r="H1684">
        <v>118.9</v>
      </c>
      <c r="I1684">
        <v>112</v>
      </c>
      <c r="J1684">
        <v>20.21</v>
      </c>
      <c r="K1684">
        <v>228.3</v>
      </c>
      <c r="L1684">
        <v>97</v>
      </c>
      <c r="M1684">
        <v>19.41</v>
      </c>
      <c r="N1684">
        <v>180.1</v>
      </c>
      <c r="O1684">
        <v>111</v>
      </c>
      <c r="P1684">
        <v>8.1</v>
      </c>
      <c r="Q1684">
        <v>8.1999999999999993</v>
      </c>
      <c r="R1684">
        <v>5</v>
      </c>
      <c r="S1684">
        <v>2.21</v>
      </c>
      <c r="T1684">
        <v>2</v>
      </c>
      <c r="U1684" t="s">
        <v>22</v>
      </c>
      <c r="V1684" t="e">
        <f>IF(#REF! = "yes", 1, 0)</f>
        <v>#REF!</v>
      </c>
      <c r="W1684" t="e">
        <f>IF(#REF! &lt;= 1, "0-1 Calls", IF(#REF! &lt;= 3, "2-3 Calls", IF(#REF! &lt;=5, "4-5 Calls", "6+ Calls")))</f>
        <v>#REF!</v>
      </c>
      <c r="X1684" t="e">
        <f>IF(#REF! &lt;= 50, "0-50", IF(#REF! &lt;=100, "51-100", IF(#REF! &lt;= 150, "101-150", "151+")))</f>
        <v>#REF!</v>
      </c>
      <c r="Y1684" t="e">
        <f>IF(#REF! &lt;= 3, "Low Charges", "High Charges")</f>
        <v>#REF!</v>
      </c>
      <c r="Z1684" t="e">
        <f>IF(#REF!&lt;=80,"Low Calls",
IF(#REF!&lt;=120,"Medium Calls","High Calls"))</f>
        <v>#REF!</v>
      </c>
      <c r="AA1684" t="e">
        <f>IF(#REF!&lt;=15,"Low Charges",
IF(#REF!&lt;=20,"Medium Charges","High Charges"))</f>
        <v>#REF!</v>
      </c>
      <c r="AB1684" t="e">
        <f>IF(AND(#REF!&gt;180, #REF!&gt;200), "Heavy Doemstic User", IF(#REF!&gt;10, "Interntional User", IF(AND(#REF!&lt;180, #REF!&lt;200,#REF!&lt;200), "Light User", "Balanced User")))</f>
        <v>#REF!</v>
      </c>
      <c r="AC1684" t="e">
        <f>IF(#REF! = 0, "No Usage", IF(#REF! &lt;= 20, "Low Usage", IF(#REF! &lt;= 40, "Medium Usgae", "High Usage")))</f>
        <v>#REF!</v>
      </c>
      <c r="AD1684" t="e">
        <f>IF(#REF!&lt;=150,"Low Usage", IF(#REF!&lt;=200,"Medium Usage", IF(#REF!&lt;=250,"High Usage","Very High Usage")))</f>
        <v>#REF!</v>
      </c>
      <c r="AE1684" t="e">
        <f>IF(#REF!&lt;=5,"Low Calls", IF(#REF!&lt;=10, "Medium Calls", "High Calls"))</f>
        <v>#REF!</v>
      </c>
      <c r="AF1684" t="e">
        <f xml:space="preserve">
IF(#REF!&gt;=4,4,0)+
IF(#REF!="yes",3,0)+
IF(#REF!="High Charges",3,0)+
IF(#REF!&gt;250,4,0)+
IF(#REF!="no",1,0)+
IF(#REF!="Heavy Domestic User",2,0)</f>
        <v>#REF!</v>
      </c>
      <c r="AG1684" t="e">
        <f>IF(#REF!&gt;=10,"High Risk", IF(#REF!&gt;=5,"Medium Risk","Low Risk"))</f>
        <v>#REF!</v>
      </c>
      <c r="AH1684" t="e">
        <f>#REF! + #REF! + #REF! + #REF!</f>
        <v>#REF!</v>
      </c>
    </row>
    <row r="1685" spans="1:34" x14ac:dyDescent="0.35">
      <c r="A1685">
        <v>1684</v>
      </c>
      <c r="B1685" t="s">
        <v>51</v>
      </c>
      <c r="C1685">
        <v>70</v>
      </c>
      <c r="D1685" t="s">
        <v>21</v>
      </c>
      <c r="E1685" t="s">
        <v>22</v>
      </c>
      <c r="F1685" t="s">
        <v>22</v>
      </c>
      <c r="G1685">
        <v>0</v>
      </c>
      <c r="H1685">
        <v>7.9</v>
      </c>
      <c r="I1685">
        <v>100</v>
      </c>
      <c r="J1685">
        <v>1.34</v>
      </c>
      <c r="K1685">
        <v>136.4</v>
      </c>
      <c r="L1685">
        <v>83</v>
      </c>
      <c r="M1685">
        <v>11.59</v>
      </c>
      <c r="N1685">
        <v>156.6</v>
      </c>
      <c r="O1685">
        <v>89</v>
      </c>
      <c r="P1685">
        <v>7.05</v>
      </c>
      <c r="Q1685">
        <v>12.1</v>
      </c>
      <c r="R1685">
        <v>1</v>
      </c>
      <c r="S1685">
        <v>3.27</v>
      </c>
      <c r="T1685">
        <v>0</v>
      </c>
      <c r="U1685" t="s">
        <v>22</v>
      </c>
      <c r="V1685" t="e">
        <f>IF(#REF! = "yes", 1, 0)</f>
        <v>#REF!</v>
      </c>
      <c r="W1685" t="e">
        <f>IF(#REF! &lt;= 1, "0-1 Calls", IF(#REF! &lt;= 3, "2-3 Calls", IF(#REF! &lt;=5, "4-5 Calls", "6+ Calls")))</f>
        <v>#REF!</v>
      </c>
      <c r="X1685" t="e">
        <f>IF(#REF! &lt;= 50, "0-50", IF(#REF! &lt;=100, "51-100", IF(#REF! &lt;= 150, "101-150", "151+")))</f>
        <v>#REF!</v>
      </c>
      <c r="Y1685" t="e">
        <f>IF(#REF! &lt;= 3, "Low Charges", "High Charges")</f>
        <v>#REF!</v>
      </c>
      <c r="Z1685" t="e">
        <f>IF(#REF!&lt;=80,"Low Calls",
IF(#REF!&lt;=120,"Medium Calls","High Calls"))</f>
        <v>#REF!</v>
      </c>
      <c r="AA1685" t="e">
        <f>IF(#REF!&lt;=15,"Low Charges",
IF(#REF!&lt;=20,"Medium Charges","High Charges"))</f>
        <v>#REF!</v>
      </c>
      <c r="AB1685" t="e">
        <f>IF(AND(#REF!&gt;180, #REF!&gt;200), "Heavy Doemstic User", IF(#REF!&gt;10, "Interntional User", IF(AND(#REF!&lt;180, #REF!&lt;200,#REF!&lt;200), "Light User", "Balanced User")))</f>
        <v>#REF!</v>
      </c>
      <c r="AC1685" t="e">
        <f>IF(#REF! = 0, "No Usage", IF(#REF! &lt;= 20, "Low Usage", IF(#REF! &lt;= 40, "Medium Usgae", "High Usage")))</f>
        <v>#REF!</v>
      </c>
      <c r="AD1685" t="e">
        <f>IF(#REF!&lt;=150,"Low Usage", IF(#REF!&lt;=200,"Medium Usage", IF(#REF!&lt;=250,"High Usage","Very High Usage")))</f>
        <v>#REF!</v>
      </c>
      <c r="AE1685" t="e">
        <f>IF(#REF!&lt;=5,"Low Calls", IF(#REF!&lt;=10, "Medium Calls", "High Calls"))</f>
        <v>#REF!</v>
      </c>
      <c r="AF1685" t="e">
        <f xml:space="preserve">
IF(#REF!&gt;=4,4,0)+
IF(#REF!="yes",3,0)+
IF(#REF!="High Charges",3,0)+
IF(#REF!&gt;250,4,0)+
IF(#REF!="no",1,0)+
IF(#REF!="Heavy Domestic User",2,0)</f>
        <v>#REF!</v>
      </c>
      <c r="AG1685" t="e">
        <f>IF(#REF!&gt;=10,"High Risk", IF(#REF!&gt;=5,"Medium Risk","Low Risk"))</f>
        <v>#REF!</v>
      </c>
      <c r="AH1685" t="e">
        <f>#REF! + #REF! + #REF! + #REF!</f>
        <v>#REF!</v>
      </c>
    </row>
    <row r="1686" spans="1:34" x14ac:dyDescent="0.35">
      <c r="A1686">
        <v>1685</v>
      </c>
      <c r="B1686" t="s">
        <v>47</v>
      </c>
      <c r="C1686">
        <v>59</v>
      </c>
      <c r="D1686" t="s">
        <v>25</v>
      </c>
      <c r="E1686" t="s">
        <v>22</v>
      </c>
      <c r="F1686" t="s">
        <v>22</v>
      </c>
      <c r="G1686">
        <v>0</v>
      </c>
      <c r="H1686">
        <v>159.5</v>
      </c>
      <c r="I1686">
        <v>96</v>
      </c>
      <c r="J1686">
        <v>27.12</v>
      </c>
      <c r="K1686">
        <v>167.2</v>
      </c>
      <c r="L1686">
        <v>123</v>
      </c>
      <c r="M1686">
        <v>14.21</v>
      </c>
      <c r="N1686">
        <v>138.6</v>
      </c>
      <c r="O1686">
        <v>106</v>
      </c>
      <c r="P1686">
        <v>6.24</v>
      </c>
      <c r="Q1686">
        <v>10.199999999999999</v>
      </c>
      <c r="R1686">
        <v>4</v>
      </c>
      <c r="S1686">
        <v>2.75</v>
      </c>
      <c r="T1686">
        <v>0</v>
      </c>
      <c r="U1686" t="s">
        <v>22</v>
      </c>
      <c r="V1686" t="e">
        <f>IF(#REF! = "yes", 1, 0)</f>
        <v>#REF!</v>
      </c>
      <c r="W1686" t="e">
        <f>IF(#REF! &lt;= 1, "0-1 Calls", IF(#REF! &lt;= 3, "2-3 Calls", IF(#REF! &lt;=5, "4-5 Calls", "6+ Calls")))</f>
        <v>#REF!</v>
      </c>
      <c r="X1686" t="e">
        <f>IF(#REF! &lt;= 50, "0-50", IF(#REF! &lt;=100, "51-100", IF(#REF! &lt;= 150, "101-150", "151+")))</f>
        <v>#REF!</v>
      </c>
      <c r="Y1686" t="e">
        <f>IF(#REF! &lt;= 3, "Low Charges", "High Charges")</f>
        <v>#REF!</v>
      </c>
      <c r="Z1686" t="e">
        <f>IF(#REF!&lt;=80,"Low Calls",
IF(#REF!&lt;=120,"Medium Calls","High Calls"))</f>
        <v>#REF!</v>
      </c>
      <c r="AA1686" t="e">
        <f>IF(#REF!&lt;=15,"Low Charges",
IF(#REF!&lt;=20,"Medium Charges","High Charges"))</f>
        <v>#REF!</v>
      </c>
      <c r="AB1686" t="e">
        <f>IF(AND(#REF!&gt;180, #REF!&gt;200), "Heavy Doemstic User", IF(#REF!&gt;10, "Interntional User", IF(AND(#REF!&lt;180, #REF!&lt;200,#REF!&lt;200), "Light User", "Balanced User")))</f>
        <v>#REF!</v>
      </c>
      <c r="AC1686" t="e">
        <f>IF(#REF! = 0, "No Usage", IF(#REF! &lt;= 20, "Low Usage", IF(#REF! &lt;= 40, "Medium Usgae", "High Usage")))</f>
        <v>#REF!</v>
      </c>
      <c r="AD1686" t="e">
        <f>IF(#REF!&lt;=150,"Low Usage", IF(#REF!&lt;=200,"Medium Usage", IF(#REF!&lt;=250,"High Usage","Very High Usage")))</f>
        <v>#REF!</v>
      </c>
      <c r="AE1686" t="e">
        <f>IF(#REF!&lt;=5,"Low Calls", IF(#REF!&lt;=10, "Medium Calls", "High Calls"))</f>
        <v>#REF!</v>
      </c>
      <c r="AF1686" t="e">
        <f xml:space="preserve">
IF(#REF!&gt;=4,4,0)+
IF(#REF!="yes",3,0)+
IF(#REF!="High Charges",3,0)+
IF(#REF!&gt;250,4,0)+
IF(#REF!="no",1,0)+
IF(#REF!="Heavy Domestic User",2,0)</f>
        <v>#REF!</v>
      </c>
      <c r="AG1686" t="e">
        <f>IF(#REF!&gt;=10,"High Risk", IF(#REF!&gt;=5,"Medium Risk","Low Risk"))</f>
        <v>#REF!</v>
      </c>
      <c r="AH1686" t="e">
        <f>#REF! + #REF! + #REF! + #REF!</f>
        <v>#REF!</v>
      </c>
    </row>
    <row r="1687" spans="1:34" x14ac:dyDescent="0.35">
      <c r="A1687">
        <v>1686</v>
      </c>
      <c r="B1687" t="s">
        <v>42</v>
      </c>
      <c r="C1687">
        <v>59</v>
      </c>
      <c r="D1687" t="s">
        <v>25</v>
      </c>
      <c r="E1687" t="s">
        <v>22</v>
      </c>
      <c r="F1687" t="s">
        <v>22</v>
      </c>
      <c r="G1687">
        <v>0</v>
      </c>
      <c r="H1687">
        <v>150.19999999999999</v>
      </c>
      <c r="I1687">
        <v>70</v>
      </c>
      <c r="J1687">
        <v>25.53</v>
      </c>
      <c r="K1687">
        <v>185.7</v>
      </c>
      <c r="L1687">
        <v>98</v>
      </c>
      <c r="M1687">
        <v>15.78</v>
      </c>
      <c r="N1687">
        <v>212.5</v>
      </c>
      <c r="O1687">
        <v>128</v>
      </c>
      <c r="P1687">
        <v>9.56</v>
      </c>
      <c r="Q1687">
        <v>12.1</v>
      </c>
      <c r="R1687">
        <v>2</v>
      </c>
      <c r="S1687">
        <v>3.27</v>
      </c>
      <c r="T1687">
        <v>1</v>
      </c>
      <c r="U1687" t="s">
        <v>22</v>
      </c>
      <c r="V1687" t="e">
        <f>IF(#REF! = "yes", 1, 0)</f>
        <v>#REF!</v>
      </c>
      <c r="W1687" t="e">
        <f>IF(#REF! &lt;= 1, "0-1 Calls", IF(#REF! &lt;= 3, "2-3 Calls", IF(#REF! &lt;=5, "4-5 Calls", "6+ Calls")))</f>
        <v>#REF!</v>
      </c>
      <c r="X1687" t="e">
        <f>IF(#REF! &lt;= 50, "0-50", IF(#REF! &lt;=100, "51-100", IF(#REF! &lt;= 150, "101-150", "151+")))</f>
        <v>#REF!</v>
      </c>
      <c r="Y1687" t="e">
        <f>IF(#REF! &lt;= 3, "Low Charges", "High Charges")</f>
        <v>#REF!</v>
      </c>
      <c r="Z1687" t="e">
        <f>IF(#REF!&lt;=80,"Low Calls",
IF(#REF!&lt;=120,"Medium Calls","High Calls"))</f>
        <v>#REF!</v>
      </c>
      <c r="AA1687" t="e">
        <f>IF(#REF!&lt;=15,"Low Charges",
IF(#REF!&lt;=20,"Medium Charges","High Charges"))</f>
        <v>#REF!</v>
      </c>
      <c r="AB1687" t="e">
        <f>IF(AND(#REF!&gt;180, #REF!&gt;200), "Heavy Doemstic User", IF(#REF!&gt;10, "Interntional User", IF(AND(#REF!&lt;180, #REF!&lt;200,#REF!&lt;200), "Light User", "Balanced User")))</f>
        <v>#REF!</v>
      </c>
      <c r="AC1687" t="e">
        <f>IF(#REF! = 0, "No Usage", IF(#REF! &lt;= 20, "Low Usage", IF(#REF! &lt;= 40, "Medium Usgae", "High Usage")))</f>
        <v>#REF!</v>
      </c>
      <c r="AD1687" t="e">
        <f>IF(#REF!&lt;=150,"Low Usage", IF(#REF!&lt;=200,"Medium Usage", IF(#REF!&lt;=250,"High Usage","Very High Usage")))</f>
        <v>#REF!</v>
      </c>
      <c r="AE1687" t="e">
        <f>IF(#REF!&lt;=5,"Low Calls", IF(#REF!&lt;=10, "Medium Calls", "High Calls"))</f>
        <v>#REF!</v>
      </c>
      <c r="AF1687" t="e">
        <f xml:space="preserve">
IF(#REF!&gt;=4,4,0)+
IF(#REF!="yes",3,0)+
IF(#REF!="High Charges",3,0)+
IF(#REF!&gt;250,4,0)+
IF(#REF!="no",1,0)+
IF(#REF!="Heavy Domestic User",2,0)</f>
        <v>#REF!</v>
      </c>
      <c r="AG1687" t="e">
        <f>IF(#REF!&gt;=10,"High Risk", IF(#REF!&gt;=5,"Medium Risk","Low Risk"))</f>
        <v>#REF!</v>
      </c>
      <c r="AH1687" t="e">
        <f>#REF! + #REF! + #REF! + #REF!</f>
        <v>#REF!</v>
      </c>
    </row>
    <row r="1688" spans="1:34" x14ac:dyDescent="0.35">
      <c r="A1688">
        <v>1687</v>
      </c>
      <c r="B1688" t="s">
        <v>35</v>
      </c>
      <c r="C1688">
        <v>124</v>
      </c>
      <c r="D1688" t="s">
        <v>21</v>
      </c>
      <c r="E1688" t="s">
        <v>22</v>
      </c>
      <c r="F1688" t="s">
        <v>23</v>
      </c>
      <c r="G1688">
        <v>30</v>
      </c>
      <c r="H1688">
        <v>144.5</v>
      </c>
      <c r="I1688">
        <v>35</v>
      </c>
      <c r="J1688">
        <v>24.57</v>
      </c>
      <c r="K1688">
        <v>262.3</v>
      </c>
      <c r="L1688">
        <v>101</v>
      </c>
      <c r="M1688">
        <v>22.3</v>
      </c>
      <c r="N1688">
        <v>226.5</v>
      </c>
      <c r="O1688">
        <v>82</v>
      </c>
      <c r="P1688">
        <v>10.19</v>
      </c>
      <c r="Q1688">
        <v>12</v>
      </c>
      <c r="R1688">
        <v>7</v>
      </c>
      <c r="S1688">
        <v>3.24</v>
      </c>
      <c r="T1688">
        <v>2</v>
      </c>
      <c r="U1688" t="s">
        <v>22</v>
      </c>
      <c r="V1688" t="e">
        <f>IF(#REF! = "yes", 1, 0)</f>
        <v>#REF!</v>
      </c>
      <c r="W1688" t="e">
        <f>IF(#REF! &lt;= 1, "0-1 Calls", IF(#REF! &lt;= 3, "2-3 Calls", IF(#REF! &lt;=5, "4-5 Calls", "6+ Calls")))</f>
        <v>#REF!</v>
      </c>
      <c r="X1688" t="e">
        <f>IF(#REF! &lt;= 50, "0-50", IF(#REF! &lt;=100, "51-100", IF(#REF! &lt;= 150, "101-150", "151+")))</f>
        <v>#REF!</v>
      </c>
      <c r="Y1688" t="e">
        <f>IF(#REF! &lt;= 3, "Low Charges", "High Charges")</f>
        <v>#REF!</v>
      </c>
      <c r="Z1688" t="e">
        <f>IF(#REF!&lt;=80,"Low Calls",
IF(#REF!&lt;=120,"Medium Calls","High Calls"))</f>
        <v>#REF!</v>
      </c>
      <c r="AA1688" t="e">
        <f>IF(#REF!&lt;=15,"Low Charges",
IF(#REF!&lt;=20,"Medium Charges","High Charges"))</f>
        <v>#REF!</v>
      </c>
      <c r="AB1688" t="e">
        <f>IF(AND(#REF!&gt;180, #REF!&gt;200), "Heavy Doemstic User", IF(#REF!&gt;10, "Interntional User", IF(AND(#REF!&lt;180, #REF!&lt;200,#REF!&lt;200), "Light User", "Balanced User")))</f>
        <v>#REF!</v>
      </c>
      <c r="AC1688" t="e">
        <f>IF(#REF! = 0, "No Usage", IF(#REF! &lt;= 20, "Low Usage", IF(#REF! &lt;= 40, "Medium Usgae", "High Usage")))</f>
        <v>#REF!</v>
      </c>
      <c r="AD1688" t="e">
        <f>IF(#REF!&lt;=150,"Low Usage", IF(#REF!&lt;=200,"Medium Usage", IF(#REF!&lt;=250,"High Usage","Very High Usage")))</f>
        <v>#REF!</v>
      </c>
      <c r="AE1688" t="e">
        <f>IF(#REF!&lt;=5,"Low Calls", IF(#REF!&lt;=10, "Medium Calls", "High Calls"))</f>
        <v>#REF!</v>
      </c>
      <c r="AF1688" t="e">
        <f xml:space="preserve">
IF(#REF!&gt;=4,4,0)+
IF(#REF!="yes",3,0)+
IF(#REF!="High Charges",3,0)+
IF(#REF!&gt;250,4,0)+
IF(#REF!="no",1,0)+
IF(#REF!="Heavy Domestic User",2,0)</f>
        <v>#REF!</v>
      </c>
      <c r="AG1688" t="e">
        <f>IF(#REF!&gt;=10,"High Risk", IF(#REF!&gt;=5,"Medium Risk","Low Risk"))</f>
        <v>#REF!</v>
      </c>
      <c r="AH1688" t="e">
        <f>#REF! + #REF! + #REF! + #REF!</f>
        <v>#REF!</v>
      </c>
    </row>
    <row r="1689" spans="1:34" x14ac:dyDescent="0.35">
      <c r="A1689">
        <v>1688</v>
      </c>
      <c r="B1689" t="s">
        <v>27</v>
      </c>
      <c r="C1689">
        <v>81</v>
      </c>
      <c r="D1689" t="s">
        <v>28</v>
      </c>
      <c r="E1689" t="s">
        <v>22</v>
      </c>
      <c r="F1689" t="s">
        <v>22</v>
      </c>
      <c r="G1689">
        <v>0</v>
      </c>
      <c r="H1689">
        <v>220.8</v>
      </c>
      <c r="I1689">
        <v>77</v>
      </c>
      <c r="J1689">
        <v>37.54</v>
      </c>
      <c r="K1689">
        <v>148.5</v>
      </c>
      <c r="L1689">
        <v>87</v>
      </c>
      <c r="M1689">
        <v>12.62</v>
      </c>
      <c r="N1689">
        <v>183.9</v>
      </c>
      <c r="O1689">
        <v>100</v>
      </c>
      <c r="P1689">
        <v>8.2799999999999994</v>
      </c>
      <c r="Q1689">
        <v>7.6</v>
      </c>
      <c r="R1689">
        <v>3</v>
      </c>
      <c r="S1689">
        <v>2.0499999999999998</v>
      </c>
      <c r="T1689">
        <v>2</v>
      </c>
      <c r="U1689" t="s">
        <v>22</v>
      </c>
      <c r="V1689" t="e">
        <f>IF(#REF! = "yes", 1, 0)</f>
        <v>#REF!</v>
      </c>
      <c r="W1689" t="e">
        <f>IF(#REF! &lt;= 1, "0-1 Calls", IF(#REF! &lt;= 3, "2-3 Calls", IF(#REF! &lt;=5, "4-5 Calls", "6+ Calls")))</f>
        <v>#REF!</v>
      </c>
      <c r="X1689" t="e">
        <f>IF(#REF! &lt;= 50, "0-50", IF(#REF! &lt;=100, "51-100", IF(#REF! &lt;= 150, "101-150", "151+")))</f>
        <v>#REF!</v>
      </c>
      <c r="Y1689" t="e">
        <f>IF(#REF! &lt;= 3, "Low Charges", "High Charges")</f>
        <v>#REF!</v>
      </c>
      <c r="Z1689" t="e">
        <f>IF(#REF!&lt;=80,"Low Calls",
IF(#REF!&lt;=120,"Medium Calls","High Calls"))</f>
        <v>#REF!</v>
      </c>
      <c r="AA1689" t="e">
        <f>IF(#REF!&lt;=15,"Low Charges",
IF(#REF!&lt;=20,"Medium Charges","High Charges"))</f>
        <v>#REF!</v>
      </c>
      <c r="AB1689" t="e">
        <f>IF(AND(#REF!&gt;180, #REF!&gt;200), "Heavy Doemstic User", IF(#REF!&gt;10, "Interntional User", IF(AND(#REF!&lt;180, #REF!&lt;200,#REF!&lt;200), "Light User", "Balanced User")))</f>
        <v>#REF!</v>
      </c>
      <c r="AC1689" t="e">
        <f>IF(#REF! = 0, "No Usage", IF(#REF! &lt;= 20, "Low Usage", IF(#REF! &lt;= 40, "Medium Usgae", "High Usage")))</f>
        <v>#REF!</v>
      </c>
      <c r="AD1689" t="e">
        <f>IF(#REF!&lt;=150,"Low Usage", IF(#REF!&lt;=200,"Medium Usage", IF(#REF!&lt;=250,"High Usage","Very High Usage")))</f>
        <v>#REF!</v>
      </c>
      <c r="AE1689" t="e">
        <f>IF(#REF!&lt;=5,"Low Calls", IF(#REF!&lt;=10, "Medium Calls", "High Calls"))</f>
        <v>#REF!</v>
      </c>
      <c r="AF1689" t="e">
        <f xml:space="preserve">
IF(#REF!&gt;=4,4,0)+
IF(#REF!="yes",3,0)+
IF(#REF!="High Charges",3,0)+
IF(#REF!&gt;250,4,0)+
IF(#REF!="no",1,0)+
IF(#REF!="Heavy Domestic User",2,0)</f>
        <v>#REF!</v>
      </c>
      <c r="AG1689" t="e">
        <f>IF(#REF!&gt;=10,"High Risk", IF(#REF!&gt;=5,"Medium Risk","Low Risk"))</f>
        <v>#REF!</v>
      </c>
      <c r="AH1689" t="e">
        <f>#REF! + #REF! + #REF! + #REF!</f>
        <v>#REF!</v>
      </c>
    </row>
    <row r="1690" spans="1:34" x14ac:dyDescent="0.35">
      <c r="A1690">
        <v>1689</v>
      </c>
      <c r="B1690" t="s">
        <v>32</v>
      </c>
      <c r="C1690">
        <v>86</v>
      </c>
      <c r="D1690" t="s">
        <v>28</v>
      </c>
      <c r="E1690" t="s">
        <v>22</v>
      </c>
      <c r="F1690" t="s">
        <v>22</v>
      </c>
      <c r="G1690">
        <v>0</v>
      </c>
      <c r="H1690">
        <v>216.3</v>
      </c>
      <c r="I1690">
        <v>96</v>
      </c>
      <c r="J1690">
        <v>36.770000000000003</v>
      </c>
      <c r="K1690">
        <v>266.3</v>
      </c>
      <c r="L1690">
        <v>77</v>
      </c>
      <c r="M1690">
        <v>22.64</v>
      </c>
      <c r="N1690">
        <v>214</v>
      </c>
      <c r="O1690">
        <v>110</v>
      </c>
      <c r="P1690">
        <v>9.6300000000000008</v>
      </c>
      <c r="Q1690">
        <v>4.5</v>
      </c>
      <c r="R1690">
        <v>3</v>
      </c>
      <c r="S1690">
        <v>1.22</v>
      </c>
      <c r="T1690">
        <v>0</v>
      </c>
      <c r="U1690" t="s">
        <v>22</v>
      </c>
      <c r="V1690" t="e">
        <f>IF(#REF! = "yes", 1, 0)</f>
        <v>#REF!</v>
      </c>
      <c r="W1690" t="e">
        <f>IF(#REF! &lt;= 1, "0-1 Calls", IF(#REF! &lt;= 3, "2-3 Calls", IF(#REF! &lt;=5, "4-5 Calls", "6+ Calls")))</f>
        <v>#REF!</v>
      </c>
      <c r="X1690" t="e">
        <f>IF(#REF! &lt;= 50, "0-50", IF(#REF! &lt;=100, "51-100", IF(#REF! &lt;= 150, "101-150", "151+")))</f>
        <v>#REF!</v>
      </c>
      <c r="Y1690" t="e">
        <f>IF(#REF! &lt;= 3, "Low Charges", "High Charges")</f>
        <v>#REF!</v>
      </c>
      <c r="Z1690" t="e">
        <f>IF(#REF!&lt;=80,"Low Calls",
IF(#REF!&lt;=120,"Medium Calls","High Calls"))</f>
        <v>#REF!</v>
      </c>
      <c r="AA1690" t="e">
        <f>IF(#REF!&lt;=15,"Low Charges",
IF(#REF!&lt;=20,"Medium Charges","High Charges"))</f>
        <v>#REF!</v>
      </c>
      <c r="AB1690" t="e">
        <f>IF(AND(#REF!&gt;180, #REF!&gt;200), "Heavy Doemstic User", IF(#REF!&gt;10, "Interntional User", IF(AND(#REF!&lt;180, #REF!&lt;200,#REF!&lt;200), "Light User", "Balanced User")))</f>
        <v>#REF!</v>
      </c>
      <c r="AC1690" t="e">
        <f>IF(#REF! = 0, "No Usage", IF(#REF! &lt;= 20, "Low Usage", IF(#REF! &lt;= 40, "Medium Usgae", "High Usage")))</f>
        <v>#REF!</v>
      </c>
      <c r="AD1690" t="e">
        <f>IF(#REF!&lt;=150,"Low Usage", IF(#REF!&lt;=200,"Medium Usage", IF(#REF!&lt;=250,"High Usage","Very High Usage")))</f>
        <v>#REF!</v>
      </c>
      <c r="AE1690" t="e">
        <f>IF(#REF!&lt;=5,"Low Calls", IF(#REF!&lt;=10, "Medium Calls", "High Calls"))</f>
        <v>#REF!</v>
      </c>
      <c r="AF1690" t="e">
        <f xml:space="preserve">
IF(#REF!&gt;=4,4,0)+
IF(#REF!="yes",3,0)+
IF(#REF!="High Charges",3,0)+
IF(#REF!&gt;250,4,0)+
IF(#REF!="no",1,0)+
IF(#REF!="Heavy Domestic User",2,0)</f>
        <v>#REF!</v>
      </c>
      <c r="AG1690" t="e">
        <f>IF(#REF!&gt;=10,"High Risk", IF(#REF!&gt;=5,"Medium Risk","Low Risk"))</f>
        <v>#REF!</v>
      </c>
      <c r="AH1690" t="e">
        <f>#REF! + #REF! + #REF! + #REF!</f>
        <v>#REF!</v>
      </c>
    </row>
    <row r="1691" spans="1:34" x14ac:dyDescent="0.35">
      <c r="A1691">
        <v>1690</v>
      </c>
      <c r="B1691" t="s">
        <v>49</v>
      </c>
      <c r="C1691">
        <v>84</v>
      </c>
      <c r="D1691" t="s">
        <v>28</v>
      </c>
      <c r="E1691" t="s">
        <v>22</v>
      </c>
      <c r="F1691" t="s">
        <v>22</v>
      </c>
      <c r="G1691">
        <v>0</v>
      </c>
      <c r="H1691">
        <v>169.5</v>
      </c>
      <c r="I1691">
        <v>96</v>
      </c>
      <c r="J1691">
        <v>28.82</v>
      </c>
      <c r="K1691">
        <v>157.6</v>
      </c>
      <c r="L1691">
        <v>94</v>
      </c>
      <c r="M1691">
        <v>13.4</v>
      </c>
      <c r="N1691">
        <v>98.2</v>
      </c>
      <c r="O1691">
        <v>70</v>
      </c>
      <c r="P1691">
        <v>4.42</v>
      </c>
      <c r="Q1691">
        <v>10.6</v>
      </c>
      <c r="R1691">
        <v>7</v>
      </c>
      <c r="S1691">
        <v>2.86</v>
      </c>
      <c r="T1691">
        <v>0</v>
      </c>
      <c r="U1691" t="s">
        <v>22</v>
      </c>
      <c r="V1691" t="e">
        <f>IF(#REF! = "yes", 1, 0)</f>
        <v>#REF!</v>
      </c>
      <c r="W1691" t="e">
        <f>IF(#REF! &lt;= 1, "0-1 Calls", IF(#REF! &lt;= 3, "2-3 Calls", IF(#REF! &lt;=5, "4-5 Calls", "6+ Calls")))</f>
        <v>#REF!</v>
      </c>
      <c r="X1691" t="e">
        <f>IF(#REF! &lt;= 50, "0-50", IF(#REF! &lt;=100, "51-100", IF(#REF! &lt;= 150, "101-150", "151+")))</f>
        <v>#REF!</v>
      </c>
      <c r="Y1691" t="e">
        <f>IF(#REF! &lt;= 3, "Low Charges", "High Charges")</f>
        <v>#REF!</v>
      </c>
      <c r="Z1691" t="e">
        <f>IF(#REF!&lt;=80,"Low Calls",
IF(#REF!&lt;=120,"Medium Calls","High Calls"))</f>
        <v>#REF!</v>
      </c>
      <c r="AA1691" t="e">
        <f>IF(#REF!&lt;=15,"Low Charges",
IF(#REF!&lt;=20,"Medium Charges","High Charges"))</f>
        <v>#REF!</v>
      </c>
      <c r="AB1691" t="e">
        <f>IF(AND(#REF!&gt;180, #REF!&gt;200), "Heavy Doemstic User", IF(#REF!&gt;10, "Interntional User", IF(AND(#REF!&lt;180, #REF!&lt;200,#REF!&lt;200), "Light User", "Balanced User")))</f>
        <v>#REF!</v>
      </c>
      <c r="AC1691" t="e">
        <f>IF(#REF! = 0, "No Usage", IF(#REF! &lt;= 20, "Low Usage", IF(#REF! &lt;= 40, "Medium Usgae", "High Usage")))</f>
        <v>#REF!</v>
      </c>
      <c r="AD1691" t="e">
        <f>IF(#REF!&lt;=150,"Low Usage", IF(#REF!&lt;=200,"Medium Usage", IF(#REF!&lt;=250,"High Usage","Very High Usage")))</f>
        <v>#REF!</v>
      </c>
      <c r="AE1691" t="e">
        <f>IF(#REF!&lt;=5,"Low Calls", IF(#REF!&lt;=10, "Medium Calls", "High Calls"))</f>
        <v>#REF!</v>
      </c>
      <c r="AF1691" t="e">
        <f xml:space="preserve">
IF(#REF!&gt;=4,4,0)+
IF(#REF!="yes",3,0)+
IF(#REF!="High Charges",3,0)+
IF(#REF!&gt;250,4,0)+
IF(#REF!="no",1,0)+
IF(#REF!="Heavy Domestic User",2,0)</f>
        <v>#REF!</v>
      </c>
      <c r="AG1691" t="e">
        <f>IF(#REF!&gt;=10,"High Risk", IF(#REF!&gt;=5,"Medium Risk","Low Risk"))</f>
        <v>#REF!</v>
      </c>
      <c r="AH1691" t="e">
        <f>#REF! + #REF! + #REF! + #REF!</f>
        <v>#REF!</v>
      </c>
    </row>
    <row r="1692" spans="1:34" x14ac:dyDescent="0.35">
      <c r="A1692">
        <v>1691</v>
      </c>
      <c r="B1692" t="s">
        <v>62</v>
      </c>
      <c r="C1692">
        <v>118</v>
      </c>
      <c r="D1692" t="s">
        <v>28</v>
      </c>
      <c r="E1692" t="s">
        <v>22</v>
      </c>
      <c r="F1692" t="s">
        <v>23</v>
      </c>
      <c r="G1692">
        <v>35</v>
      </c>
      <c r="H1692">
        <v>256.3</v>
      </c>
      <c r="I1692">
        <v>119</v>
      </c>
      <c r="J1692">
        <v>43.57</v>
      </c>
      <c r="K1692">
        <v>258.10000000000002</v>
      </c>
      <c r="L1692">
        <v>91</v>
      </c>
      <c r="M1692">
        <v>21.94</v>
      </c>
      <c r="N1692">
        <v>215.5</v>
      </c>
      <c r="O1692">
        <v>130</v>
      </c>
      <c r="P1692">
        <v>9.6999999999999993</v>
      </c>
      <c r="Q1692">
        <v>11.7</v>
      </c>
      <c r="R1692">
        <v>1</v>
      </c>
      <c r="S1692">
        <v>3.16</v>
      </c>
      <c r="T1692">
        <v>1</v>
      </c>
      <c r="U1692" t="s">
        <v>22</v>
      </c>
      <c r="V1692" t="e">
        <f>IF(#REF! = "yes", 1, 0)</f>
        <v>#REF!</v>
      </c>
      <c r="W1692" t="e">
        <f>IF(#REF! &lt;= 1, "0-1 Calls", IF(#REF! &lt;= 3, "2-3 Calls", IF(#REF! &lt;=5, "4-5 Calls", "6+ Calls")))</f>
        <v>#REF!</v>
      </c>
      <c r="X1692" t="e">
        <f>IF(#REF! &lt;= 50, "0-50", IF(#REF! &lt;=100, "51-100", IF(#REF! &lt;= 150, "101-150", "151+")))</f>
        <v>#REF!</v>
      </c>
      <c r="Y1692" t="e">
        <f>IF(#REF! &lt;= 3, "Low Charges", "High Charges")</f>
        <v>#REF!</v>
      </c>
      <c r="Z1692" t="e">
        <f>IF(#REF!&lt;=80,"Low Calls",
IF(#REF!&lt;=120,"Medium Calls","High Calls"))</f>
        <v>#REF!</v>
      </c>
      <c r="AA1692" t="e">
        <f>IF(#REF!&lt;=15,"Low Charges",
IF(#REF!&lt;=20,"Medium Charges","High Charges"))</f>
        <v>#REF!</v>
      </c>
      <c r="AB1692" t="e">
        <f>IF(AND(#REF!&gt;180, #REF!&gt;200), "Heavy Doemstic User", IF(#REF!&gt;10, "Interntional User", IF(AND(#REF!&lt;180, #REF!&lt;200,#REF!&lt;200), "Light User", "Balanced User")))</f>
        <v>#REF!</v>
      </c>
      <c r="AC1692" t="e">
        <f>IF(#REF! = 0, "No Usage", IF(#REF! &lt;= 20, "Low Usage", IF(#REF! &lt;= 40, "Medium Usgae", "High Usage")))</f>
        <v>#REF!</v>
      </c>
      <c r="AD1692" t="e">
        <f>IF(#REF!&lt;=150,"Low Usage", IF(#REF!&lt;=200,"Medium Usage", IF(#REF!&lt;=250,"High Usage","Very High Usage")))</f>
        <v>#REF!</v>
      </c>
      <c r="AE1692" t="e">
        <f>IF(#REF!&lt;=5,"Low Calls", IF(#REF!&lt;=10, "Medium Calls", "High Calls"))</f>
        <v>#REF!</v>
      </c>
      <c r="AF1692" t="e">
        <f xml:space="preserve">
IF(#REF!&gt;=4,4,0)+
IF(#REF!="yes",3,0)+
IF(#REF!="High Charges",3,0)+
IF(#REF!&gt;250,4,0)+
IF(#REF!="no",1,0)+
IF(#REF!="Heavy Domestic User",2,0)</f>
        <v>#REF!</v>
      </c>
      <c r="AG1692" t="e">
        <f>IF(#REF!&gt;=10,"High Risk", IF(#REF!&gt;=5,"Medium Risk","Low Risk"))</f>
        <v>#REF!</v>
      </c>
      <c r="AH1692" t="e">
        <f>#REF! + #REF! + #REF! + #REF!</f>
        <v>#REF!</v>
      </c>
    </row>
    <row r="1693" spans="1:34" x14ac:dyDescent="0.35">
      <c r="A1693">
        <v>1692</v>
      </c>
      <c r="B1693" t="s">
        <v>41</v>
      </c>
      <c r="C1693">
        <v>89</v>
      </c>
      <c r="D1693" t="s">
        <v>21</v>
      </c>
      <c r="E1693" t="s">
        <v>22</v>
      </c>
      <c r="F1693" t="s">
        <v>22</v>
      </c>
      <c r="G1693">
        <v>0</v>
      </c>
      <c r="H1693">
        <v>179.7</v>
      </c>
      <c r="I1693">
        <v>128</v>
      </c>
      <c r="J1693">
        <v>30.55</v>
      </c>
      <c r="K1693">
        <v>299.8</v>
      </c>
      <c r="L1693">
        <v>92</v>
      </c>
      <c r="M1693">
        <v>25.48</v>
      </c>
      <c r="N1693">
        <v>185.3</v>
      </c>
      <c r="O1693">
        <v>120</v>
      </c>
      <c r="P1693">
        <v>8.34</v>
      </c>
      <c r="Q1693">
        <v>7.6</v>
      </c>
      <c r="R1693">
        <v>3</v>
      </c>
      <c r="S1693">
        <v>2.0499999999999998</v>
      </c>
      <c r="T1693">
        <v>1</v>
      </c>
      <c r="U1693" t="s">
        <v>22</v>
      </c>
      <c r="V1693" t="e">
        <f>IF(#REF! = "yes", 1, 0)</f>
        <v>#REF!</v>
      </c>
      <c r="W1693" t="e">
        <f>IF(#REF! &lt;= 1, "0-1 Calls", IF(#REF! &lt;= 3, "2-3 Calls", IF(#REF! &lt;=5, "4-5 Calls", "6+ Calls")))</f>
        <v>#REF!</v>
      </c>
      <c r="X1693" t="e">
        <f>IF(#REF! &lt;= 50, "0-50", IF(#REF! &lt;=100, "51-100", IF(#REF! &lt;= 150, "101-150", "151+")))</f>
        <v>#REF!</v>
      </c>
      <c r="Y1693" t="e">
        <f>IF(#REF! &lt;= 3, "Low Charges", "High Charges")</f>
        <v>#REF!</v>
      </c>
      <c r="Z1693" t="e">
        <f>IF(#REF!&lt;=80,"Low Calls",
IF(#REF!&lt;=120,"Medium Calls","High Calls"))</f>
        <v>#REF!</v>
      </c>
      <c r="AA1693" t="e">
        <f>IF(#REF!&lt;=15,"Low Charges",
IF(#REF!&lt;=20,"Medium Charges","High Charges"))</f>
        <v>#REF!</v>
      </c>
      <c r="AB1693" t="e">
        <f>IF(AND(#REF!&gt;180, #REF!&gt;200), "Heavy Doemstic User", IF(#REF!&gt;10, "Interntional User", IF(AND(#REF!&lt;180, #REF!&lt;200,#REF!&lt;200), "Light User", "Balanced User")))</f>
        <v>#REF!</v>
      </c>
      <c r="AC1693" t="e">
        <f>IF(#REF! = 0, "No Usage", IF(#REF! &lt;= 20, "Low Usage", IF(#REF! &lt;= 40, "Medium Usgae", "High Usage")))</f>
        <v>#REF!</v>
      </c>
      <c r="AD1693" t="e">
        <f>IF(#REF!&lt;=150,"Low Usage", IF(#REF!&lt;=200,"Medium Usage", IF(#REF!&lt;=250,"High Usage","Very High Usage")))</f>
        <v>#REF!</v>
      </c>
      <c r="AE1693" t="e">
        <f>IF(#REF!&lt;=5,"Low Calls", IF(#REF!&lt;=10, "Medium Calls", "High Calls"))</f>
        <v>#REF!</v>
      </c>
      <c r="AF1693" t="e">
        <f xml:space="preserve">
IF(#REF!&gt;=4,4,0)+
IF(#REF!="yes",3,0)+
IF(#REF!="High Charges",3,0)+
IF(#REF!&gt;250,4,0)+
IF(#REF!="no",1,0)+
IF(#REF!="Heavy Domestic User",2,0)</f>
        <v>#REF!</v>
      </c>
      <c r="AG1693" t="e">
        <f>IF(#REF!&gt;=10,"High Risk", IF(#REF!&gt;=5,"Medium Risk","Low Risk"))</f>
        <v>#REF!</v>
      </c>
      <c r="AH1693" t="e">
        <f>#REF! + #REF! + #REF! + #REF!</f>
        <v>#REF!</v>
      </c>
    </row>
    <row r="1694" spans="1:34" x14ac:dyDescent="0.35">
      <c r="A1694">
        <v>1693</v>
      </c>
      <c r="B1694" t="s">
        <v>70</v>
      </c>
      <c r="C1694">
        <v>93</v>
      </c>
      <c r="D1694" t="s">
        <v>21</v>
      </c>
      <c r="E1694" t="s">
        <v>22</v>
      </c>
      <c r="F1694" t="s">
        <v>22</v>
      </c>
      <c r="G1694">
        <v>0</v>
      </c>
      <c r="H1694">
        <v>266</v>
      </c>
      <c r="I1694">
        <v>120</v>
      </c>
      <c r="J1694">
        <v>45.22</v>
      </c>
      <c r="K1694">
        <v>130.1</v>
      </c>
      <c r="L1694">
        <v>84</v>
      </c>
      <c r="M1694">
        <v>11.06</v>
      </c>
      <c r="N1694">
        <v>165.8</v>
      </c>
      <c r="O1694">
        <v>63</v>
      </c>
      <c r="P1694">
        <v>7.46</v>
      </c>
      <c r="Q1694">
        <v>13.1</v>
      </c>
      <c r="R1694">
        <v>6</v>
      </c>
      <c r="S1694">
        <v>3.54</v>
      </c>
      <c r="T1694">
        <v>3</v>
      </c>
      <c r="U1694" t="s">
        <v>22</v>
      </c>
      <c r="V1694" t="e">
        <f>IF(#REF! = "yes", 1, 0)</f>
        <v>#REF!</v>
      </c>
      <c r="W1694" t="e">
        <f>IF(#REF! &lt;= 1, "0-1 Calls", IF(#REF! &lt;= 3, "2-3 Calls", IF(#REF! &lt;=5, "4-5 Calls", "6+ Calls")))</f>
        <v>#REF!</v>
      </c>
      <c r="X1694" t="e">
        <f>IF(#REF! &lt;= 50, "0-50", IF(#REF! &lt;=100, "51-100", IF(#REF! &lt;= 150, "101-150", "151+")))</f>
        <v>#REF!</v>
      </c>
      <c r="Y1694" t="e">
        <f>IF(#REF! &lt;= 3, "Low Charges", "High Charges")</f>
        <v>#REF!</v>
      </c>
      <c r="Z1694" t="e">
        <f>IF(#REF!&lt;=80,"Low Calls",
IF(#REF!&lt;=120,"Medium Calls","High Calls"))</f>
        <v>#REF!</v>
      </c>
      <c r="AA1694" t="e">
        <f>IF(#REF!&lt;=15,"Low Charges",
IF(#REF!&lt;=20,"Medium Charges","High Charges"))</f>
        <v>#REF!</v>
      </c>
      <c r="AB1694" t="e">
        <f>IF(AND(#REF!&gt;180, #REF!&gt;200), "Heavy Doemstic User", IF(#REF!&gt;10, "Interntional User", IF(AND(#REF!&lt;180, #REF!&lt;200,#REF!&lt;200), "Light User", "Balanced User")))</f>
        <v>#REF!</v>
      </c>
      <c r="AC1694" t="e">
        <f>IF(#REF! = 0, "No Usage", IF(#REF! &lt;= 20, "Low Usage", IF(#REF! &lt;= 40, "Medium Usgae", "High Usage")))</f>
        <v>#REF!</v>
      </c>
      <c r="AD1694" t="e">
        <f>IF(#REF!&lt;=150,"Low Usage", IF(#REF!&lt;=200,"Medium Usage", IF(#REF!&lt;=250,"High Usage","Very High Usage")))</f>
        <v>#REF!</v>
      </c>
      <c r="AE1694" t="e">
        <f>IF(#REF!&lt;=5,"Low Calls", IF(#REF!&lt;=10, "Medium Calls", "High Calls"))</f>
        <v>#REF!</v>
      </c>
      <c r="AF1694" t="e">
        <f xml:space="preserve">
IF(#REF!&gt;=4,4,0)+
IF(#REF!="yes",3,0)+
IF(#REF!="High Charges",3,0)+
IF(#REF!&gt;250,4,0)+
IF(#REF!="no",1,0)+
IF(#REF!="Heavy Domestic User",2,0)</f>
        <v>#REF!</v>
      </c>
      <c r="AG1694" t="e">
        <f>IF(#REF!&gt;=10,"High Risk", IF(#REF!&gt;=5,"Medium Risk","Low Risk"))</f>
        <v>#REF!</v>
      </c>
      <c r="AH1694" t="e">
        <f>#REF! + #REF! + #REF! + #REF!</f>
        <v>#REF!</v>
      </c>
    </row>
    <row r="1695" spans="1:34" x14ac:dyDescent="0.35">
      <c r="A1695">
        <v>1694</v>
      </c>
      <c r="B1695" t="s">
        <v>50</v>
      </c>
      <c r="C1695">
        <v>85</v>
      </c>
      <c r="D1695" t="s">
        <v>21</v>
      </c>
      <c r="E1695" t="s">
        <v>22</v>
      </c>
      <c r="F1695" t="s">
        <v>22</v>
      </c>
      <c r="G1695">
        <v>0</v>
      </c>
      <c r="H1695">
        <v>96.7</v>
      </c>
      <c r="I1695">
        <v>97</v>
      </c>
      <c r="J1695">
        <v>16.440000000000001</v>
      </c>
      <c r="K1695">
        <v>193.8</v>
      </c>
      <c r="L1695">
        <v>95</v>
      </c>
      <c r="M1695">
        <v>16.47</v>
      </c>
      <c r="N1695">
        <v>171.7</v>
      </c>
      <c r="O1695">
        <v>88</v>
      </c>
      <c r="P1695">
        <v>7.73</v>
      </c>
      <c r="Q1695">
        <v>9.6999999999999993</v>
      </c>
      <c r="R1695">
        <v>3</v>
      </c>
      <c r="S1695">
        <v>2.62</v>
      </c>
      <c r="T1695">
        <v>2</v>
      </c>
      <c r="U1695" t="s">
        <v>22</v>
      </c>
      <c r="V1695" t="e">
        <f>IF(#REF! = "yes", 1, 0)</f>
        <v>#REF!</v>
      </c>
      <c r="W1695" t="e">
        <f>IF(#REF! &lt;= 1, "0-1 Calls", IF(#REF! &lt;= 3, "2-3 Calls", IF(#REF! &lt;=5, "4-5 Calls", "6+ Calls")))</f>
        <v>#REF!</v>
      </c>
      <c r="X1695" t="e">
        <f>IF(#REF! &lt;= 50, "0-50", IF(#REF! &lt;=100, "51-100", IF(#REF! &lt;= 150, "101-150", "151+")))</f>
        <v>#REF!</v>
      </c>
      <c r="Y1695" t="e">
        <f>IF(#REF! &lt;= 3, "Low Charges", "High Charges")</f>
        <v>#REF!</v>
      </c>
      <c r="Z1695" t="e">
        <f>IF(#REF!&lt;=80,"Low Calls",
IF(#REF!&lt;=120,"Medium Calls","High Calls"))</f>
        <v>#REF!</v>
      </c>
      <c r="AA1695" t="e">
        <f>IF(#REF!&lt;=15,"Low Charges",
IF(#REF!&lt;=20,"Medium Charges","High Charges"))</f>
        <v>#REF!</v>
      </c>
      <c r="AB1695" t="e">
        <f>IF(AND(#REF!&gt;180, #REF!&gt;200), "Heavy Doemstic User", IF(#REF!&gt;10, "Interntional User", IF(AND(#REF!&lt;180, #REF!&lt;200,#REF!&lt;200), "Light User", "Balanced User")))</f>
        <v>#REF!</v>
      </c>
      <c r="AC1695" t="e">
        <f>IF(#REF! = 0, "No Usage", IF(#REF! &lt;= 20, "Low Usage", IF(#REF! &lt;= 40, "Medium Usgae", "High Usage")))</f>
        <v>#REF!</v>
      </c>
      <c r="AD1695" t="e">
        <f>IF(#REF!&lt;=150,"Low Usage", IF(#REF!&lt;=200,"Medium Usage", IF(#REF!&lt;=250,"High Usage","Very High Usage")))</f>
        <v>#REF!</v>
      </c>
      <c r="AE1695" t="e">
        <f>IF(#REF!&lt;=5,"Low Calls", IF(#REF!&lt;=10, "Medium Calls", "High Calls"))</f>
        <v>#REF!</v>
      </c>
      <c r="AF1695" t="e">
        <f xml:space="preserve">
IF(#REF!&gt;=4,4,0)+
IF(#REF!="yes",3,0)+
IF(#REF!="High Charges",3,0)+
IF(#REF!&gt;250,4,0)+
IF(#REF!="no",1,0)+
IF(#REF!="Heavy Domestic User",2,0)</f>
        <v>#REF!</v>
      </c>
      <c r="AG1695" t="e">
        <f>IF(#REF!&gt;=10,"High Risk", IF(#REF!&gt;=5,"Medium Risk","Low Risk"))</f>
        <v>#REF!</v>
      </c>
      <c r="AH1695" t="e">
        <f>#REF! + #REF! + #REF! + #REF!</f>
        <v>#REF!</v>
      </c>
    </row>
    <row r="1696" spans="1:34" x14ac:dyDescent="0.35">
      <c r="A1696">
        <v>1695</v>
      </c>
      <c r="B1696" t="s">
        <v>44</v>
      </c>
      <c r="C1696">
        <v>160</v>
      </c>
      <c r="D1696" t="s">
        <v>25</v>
      </c>
      <c r="E1696" t="s">
        <v>22</v>
      </c>
      <c r="F1696" t="s">
        <v>22</v>
      </c>
      <c r="G1696">
        <v>0</v>
      </c>
      <c r="H1696">
        <v>82.7</v>
      </c>
      <c r="I1696">
        <v>116</v>
      </c>
      <c r="J1696">
        <v>14.06</v>
      </c>
      <c r="K1696">
        <v>194.6</v>
      </c>
      <c r="L1696">
        <v>95</v>
      </c>
      <c r="M1696">
        <v>16.54</v>
      </c>
      <c r="N1696">
        <v>159</v>
      </c>
      <c r="O1696">
        <v>54</v>
      </c>
      <c r="P1696">
        <v>7.15</v>
      </c>
      <c r="Q1696">
        <v>10.9</v>
      </c>
      <c r="R1696">
        <v>9</v>
      </c>
      <c r="S1696">
        <v>2.94</v>
      </c>
      <c r="T1696">
        <v>0</v>
      </c>
      <c r="U1696" t="s">
        <v>22</v>
      </c>
      <c r="V1696" t="e">
        <f>IF(#REF! = "yes", 1, 0)</f>
        <v>#REF!</v>
      </c>
      <c r="W1696" t="e">
        <f>IF(#REF! &lt;= 1, "0-1 Calls", IF(#REF! &lt;= 3, "2-3 Calls", IF(#REF! &lt;=5, "4-5 Calls", "6+ Calls")))</f>
        <v>#REF!</v>
      </c>
      <c r="X1696" t="e">
        <f>IF(#REF! &lt;= 50, "0-50", IF(#REF! &lt;=100, "51-100", IF(#REF! &lt;= 150, "101-150", "151+")))</f>
        <v>#REF!</v>
      </c>
      <c r="Y1696" t="e">
        <f>IF(#REF! &lt;= 3, "Low Charges", "High Charges")</f>
        <v>#REF!</v>
      </c>
      <c r="Z1696" t="e">
        <f>IF(#REF!&lt;=80,"Low Calls",
IF(#REF!&lt;=120,"Medium Calls","High Calls"))</f>
        <v>#REF!</v>
      </c>
      <c r="AA1696" t="e">
        <f>IF(#REF!&lt;=15,"Low Charges",
IF(#REF!&lt;=20,"Medium Charges","High Charges"))</f>
        <v>#REF!</v>
      </c>
      <c r="AB1696" t="e">
        <f>IF(AND(#REF!&gt;180, #REF!&gt;200), "Heavy Doemstic User", IF(#REF!&gt;10, "Interntional User", IF(AND(#REF!&lt;180, #REF!&lt;200,#REF!&lt;200), "Light User", "Balanced User")))</f>
        <v>#REF!</v>
      </c>
      <c r="AC1696" t="e">
        <f>IF(#REF! = 0, "No Usage", IF(#REF! &lt;= 20, "Low Usage", IF(#REF! &lt;= 40, "Medium Usgae", "High Usage")))</f>
        <v>#REF!</v>
      </c>
      <c r="AD1696" t="e">
        <f>IF(#REF!&lt;=150,"Low Usage", IF(#REF!&lt;=200,"Medium Usage", IF(#REF!&lt;=250,"High Usage","Very High Usage")))</f>
        <v>#REF!</v>
      </c>
      <c r="AE1696" t="e">
        <f>IF(#REF!&lt;=5,"Low Calls", IF(#REF!&lt;=10, "Medium Calls", "High Calls"))</f>
        <v>#REF!</v>
      </c>
      <c r="AF1696" t="e">
        <f xml:space="preserve">
IF(#REF!&gt;=4,4,0)+
IF(#REF!="yes",3,0)+
IF(#REF!="High Charges",3,0)+
IF(#REF!&gt;250,4,0)+
IF(#REF!="no",1,0)+
IF(#REF!="Heavy Domestic User",2,0)</f>
        <v>#REF!</v>
      </c>
      <c r="AG1696" t="e">
        <f>IF(#REF!&gt;=10,"High Risk", IF(#REF!&gt;=5,"Medium Risk","Low Risk"))</f>
        <v>#REF!</v>
      </c>
      <c r="AH1696" t="e">
        <f>#REF! + #REF! + #REF! + #REF!</f>
        <v>#REF!</v>
      </c>
    </row>
    <row r="1697" spans="1:34" x14ac:dyDescent="0.35">
      <c r="A1697">
        <v>1696</v>
      </c>
      <c r="B1697" t="s">
        <v>73</v>
      </c>
      <c r="C1697">
        <v>28</v>
      </c>
      <c r="D1697" t="s">
        <v>21</v>
      </c>
      <c r="E1697" t="s">
        <v>22</v>
      </c>
      <c r="F1697" t="s">
        <v>22</v>
      </c>
      <c r="G1697">
        <v>0</v>
      </c>
      <c r="H1697">
        <v>168.2</v>
      </c>
      <c r="I1697">
        <v>87</v>
      </c>
      <c r="J1697">
        <v>28.59</v>
      </c>
      <c r="K1697">
        <v>161.69999999999999</v>
      </c>
      <c r="L1697">
        <v>92</v>
      </c>
      <c r="M1697">
        <v>13.74</v>
      </c>
      <c r="N1697">
        <v>192.4</v>
      </c>
      <c r="O1697">
        <v>112</v>
      </c>
      <c r="P1697">
        <v>8.66</v>
      </c>
      <c r="Q1697">
        <v>10.1</v>
      </c>
      <c r="R1697">
        <v>3</v>
      </c>
      <c r="S1697">
        <v>2.73</v>
      </c>
      <c r="T1697">
        <v>3</v>
      </c>
      <c r="U1697" t="s">
        <v>22</v>
      </c>
      <c r="V1697" t="e">
        <f>IF(#REF! = "yes", 1, 0)</f>
        <v>#REF!</v>
      </c>
      <c r="W1697" t="e">
        <f>IF(#REF! &lt;= 1, "0-1 Calls", IF(#REF! &lt;= 3, "2-3 Calls", IF(#REF! &lt;=5, "4-5 Calls", "6+ Calls")))</f>
        <v>#REF!</v>
      </c>
      <c r="X1697" t="e">
        <f>IF(#REF! &lt;= 50, "0-50", IF(#REF! &lt;=100, "51-100", IF(#REF! &lt;= 150, "101-150", "151+")))</f>
        <v>#REF!</v>
      </c>
      <c r="Y1697" t="e">
        <f>IF(#REF! &lt;= 3, "Low Charges", "High Charges")</f>
        <v>#REF!</v>
      </c>
      <c r="Z1697" t="e">
        <f>IF(#REF!&lt;=80,"Low Calls",
IF(#REF!&lt;=120,"Medium Calls","High Calls"))</f>
        <v>#REF!</v>
      </c>
      <c r="AA1697" t="e">
        <f>IF(#REF!&lt;=15,"Low Charges",
IF(#REF!&lt;=20,"Medium Charges","High Charges"))</f>
        <v>#REF!</v>
      </c>
      <c r="AB1697" t="e">
        <f>IF(AND(#REF!&gt;180, #REF!&gt;200), "Heavy Doemstic User", IF(#REF!&gt;10, "Interntional User", IF(AND(#REF!&lt;180, #REF!&lt;200,#REF!&lt;200), "Light User", "Balanced User")))</f>
        <v>#REF!</v>
      </c>
      <c r="AC1697" t="e">
        <f>IF(#REF! = 0, "No Usage", IF(#REF! &lt;= 20, "Low Usage", IF(#REF! &lt;= 40, "Medium Usgae", "High Usage")))</f>
        <v>#REF!</v>
      </c>
      <c r="AD1697" t="e">
        <f>IF(#REF!&lt;=150,"Low Usage", IF(#REF!&lt;=200,"Medium Usage", IF(#REF!&lt;=250,"High Usage","Very High Usage")))</f>
        <v>#REF!</v>
      </c>
      <c r="AE1697" t="e">
        <f>IF(#REF!&lt;=5,"Low Calls", IF(#REF!&lt;=10, "Medium Calls", "High Calls"))</f>
        <v>#REF!</v>
      </c>
      <c r="AF1697" t="e">
        <f xml:space="preserve">
IF(#REF!&gt;=4,4,0)+
IF(#REF!="yes",3,0)+
IF(#REF!="High Charges",3,0)+
IF(#REF!&gt;250,4,0)+
IF(#REF!="no",1,0)+
IF(#REF!="Heavy Domestic User",2,0)</f>
        <v>#REF!</v>
      </c>
      <c r="AG1697" t="e">
        <f>IF(#REF!&gt;=10,"High Risk", IF(#REF!&gt;=5,"Medium Risk","Low Risk"))</f>
        <v>#REF!</v>
      </c>
      <c r="AH1697" t="e">
        <f>#REF! + #REF! + #REF! + #REF!</f>
        <v>#REF!</v>
      </c>
    </row>
    <row r="1698" spans="1:34" x14ac:dyDescent="0.35">
      <c r="A1698">
        <v>1697</v>
      </c>
      <c r="B1698" t="s">
        <v>39</v>
      </c>
      <c r="C1698">
        <v>73</v>
      </c>
      <c r="D1698" t="s">
        <v>25</v>
      </c>
      <c r="E1698" t="s">
        <v>22</v>
      </c>
      <c r="F1698" t="s">
        <v>22</v>
      </c>
      <c r="G1698">
        <v>0</v>
      </c>
      <c r="H1698">
        <v>286.39999999999998</v>
      </c>
      <c r="I1698">
        <v>109</v>
      </c>
      <c r="J1698">
        <v>48.69</v>
      </c>
      <c r="K1698">
        <v>178.2</v>
      </c>
      <c r="L1698">
        <v>67</v>
      </c>
      <c r="M1698">
        <v>15.15</v>
      </c>
      <c r="N1698">
        <v>214.2</v>
      </c>
      <c r="O1698">
        <v>152</v>
      </c>
      <c r="P1698">
        <v>9.64</v>
      </c>
      <c r="Q1698">
        <v>10.7</v>
      </c>
      <c r="R1698">
        <v>14</v>
      </c>
      <c r="S1698">
        <v>2.89</v>
      </c>
      <c r="T1698">
        <v>1</v>
      </c>
      <c r="U1698" t="s">
        <v>23</v>
      </c>
      <c r="V1698" t="e">
        <f>IF(#REF! = "yes", 1, 0)</f>
        <v>#REF!</v>
      </c>
      <c r="W1698" t="e">
        <f>IF(#REF! &lt;= 1, "0-1 Calls", IF(#REF! &lt;= 3, "2-3 Calls", IF(#REF! &lt;=5, "4-5 Calls", "6+ Calls")))</f>
        <v>#REF!</v>
      </c>
      <c r="X1698" t="e">
        <f>IF(#REF! &lt;= 50, "0-50", IF(#REF! &lt;=100, "51-100", IF(#REF! &lt;= 150, "101-150", "151+")))</f>
        <v>#REF!</v>
      </c>
      <c r="Y1698" t="e">
        <f>IF(#REF! &lt;= 3, "Low Charges", "High Charges")</f>
        <v>#REF!</v>
      </c>
      <c r="Z1698" t="e">
        <f>IF(#REF!&lt;=80,"Low Calls",
IF(#REF!&lt;=120,"Medium Calls","High Calls"))</f>
        <v>#REF!</v>
      </c>
      <c r="AA1698" t="e">
        <f>IF(#REF!&lt;=15,"Low Charges",
IF(#REF!&lt;=20,"Medium Charges","High Charges"))</f>
        <v>#REF!</v>
      </c>
      <c r="AB1698" t="e">
        <f>IF(AND(#REF!&gt;180, #REF!&gt;200), "Heavy Doemstic User", IF(#REF!&gt;10, "Interntional User", IF(AND(#REF!&lt;180, #REF!&lt;200,#REF!&lt;200), "Light User", "Balanced User")))</f>
        <v>#REF!</v>
      </c>
      <c r="AC1698" t="e">
        <f>IF(#REF! = 0, "No Usage", IF(#REF! &lt;= 20, "Low Usage", IF(#REF! &lt;= 40, "Medium Usgae", "High Usage")))</f>
        <v>#REF!</v>
      </c>
      <c r="AD1698" t="e">
        <f>IF(#REF!&lt;=150,"Low Usage", IF(#REF!&lt;=200,"Medium Usage", IF(#REF!&lt;=250,"High Usage","Very High Usage")))</f>
        <v>#REF!</v>
      </c>
      <c r="AE1698" t="e">
        <f>IF(#REF!&lt;=5,"Low Calls", IF(#REF!&lt;=10, "Medium Calls", "High Calls"))</f>
        <v>#REF!</v>
      </c>
      <c r="AF1698" t="e">
        <f xml:space="preserve">
IF(#REF!&gt;=4,4,0)+
IF(#REF!="yes",3,0)+
IF(#REF!="High Charges",3,0)+
IF(#REF!&gt;250,4,0)+
IF(#REF!="no",1,0)+
IF(#REF!="Heavy Domestic User",2,0)</f>
        <v>#REF!</v>
      </c>
      <c r="AG1698" t="e">
        <f>IF(#REF!&gt;=10,"High Risk", IF(#REF!&gt;=5,"Medium Risk","Low Risk"))</f>
        <v>#REF!</v>
      </c>
      <c r="AH1698" t="e">
        <f>#REF! + #REF! + #REF! + #REF!</f>
        <v>#REF!</v>
      </c>
    </row>
    <row r="1699" spans="1:34" x14ac:dyDescent="0.35">
      <c r="A1699">
        <v>1698</v>
      </c>
      <c r="B1699" t="s">
        <v>36</v>
      </c>
      <c r="C1699">
        <v>156</v>
      </c>
      <c r="D1699" t="s">
        <v>25</v>
      </c>
      <c r="E1699" t="s">
        <v>22</v>
      </c>
      <c r="F1699" t="s">
        <v>22</v>
      </c>
      <c r="G1699">
        <v>0</v>
      </c>
      <c r="H1699">
        <v>174.3</v>
      </c>
      <c r="I1699">
        <v>95</v>
      </c>
      <c r="J1699">
        <v>29.63</v>
      </c>
      <c r="K1699">
        <v>186.6</v>
      </c>
      <c r="L1699">
        <v>128</v>
      </c>
      <c r="M1699">
        <v>15.86</v>
      </c>
      <c r="N1699">
        <v>258.2</v>
      </c>
      <c r="O1699">
        <v>105</v>
      </c>
      <c r="P1699">
        <v>11.62</v>
      </c>
      <c r="Q1699">
        <v>12.9</v>
      </c>
      <c r="R1699">
        <v>5</v>
      </c>
      <c r="S1699">
        <v>3.48</v>
      </c>
      <c r="T1699">
        <v>3</v>
      </c>
      <c r="U1699" t="s">
        <v>22</v>
      </c>
      <c r="V1699" t="e">
        <f>IF(#REF! = "yes", 1, 0)</f>
        <v>#REF!</v>
      </c>
      <c r="W1699" t="e">
        <f>IF(#REF! &lt;= 1, "0-1 Calls", IF(#REF! &lt;= 3, "2-3 Calls", IF(#REF! &lt;=5, "4-5 Calls", "6+ Calls")))</f>
        <v>#REF!</v>
      </c>
      <c r="X1699" t="e">
        <f>IF(#REF! &lt;= 50, "0-50", IF(#REF! &lt;=100, "51-100", IF(#REF! &lt;= 150, "101-150", "151+")))</f>
        <v>#REF!</v>
      </c>
      <c r="Y1699" t="e">
        <f>IF(#REF! &lt;= 3, "Low Charges", "High Charges")</f>
        <v>#REF!</v>
      </c>
      <c r="Z1699" t="e">
        <f>IF(#REF!&lt;=80,"Low Calls",
IF(#REF!&lt;=120,"Medium Calls","High Calls"))</f>
        <v>#REF!</v>
      </c>
      <c r="AA1699" t="e">
        <f>IF(#REF!&lt;=15,"Low Charges",
IF(#REF!&lt;=20,"Medium Charges","High Charges"))</f>
        <v>#REF!</v>
      </c>
      <c r="AB1699" t="e">
        <f>IF(AND(#REF!&gt;180, #REF!&gt;200), "Heavy Doemstic User", IF(#REF!&gt;10, "Interntional User", IF(AND(#REF!&lt;180, #REF!&lt;200,#REF!&lt;200), "Light User", "Balanced User")))</f>
        <v>#REF!</v>
      </c>
      <c r="AC1699" t="e">
        <f>IF(#REF! = 0, "No Usage", IF(#REF! &lt;= 20, "Low Usage", IF(#REF! &lt;= 40, "Medium Usgae", "High Usage")))</f>
        <v>#REF!</v>
      </c>
      <c r="AD1699" t="e">
        <f>IF(#REF!&lt;=150,"Low Usage", IF(#REF!&lt;=200,"Medium Usage", IF(#REF!&lt;=250,"High Usage","Very High Usage")))</f>
        <v>#REF!</v>
      </c>
      <c r="AE1699" t="e">
        <f>IF(#REF!&lt;=5,"Low Calls", IF(#REF!&lt;=10, "Medium Calls", "High Calls"))</f>
        <v>#REF!</v>
      </c>
      <c r="AF1699" t="e">
        <f xml:space="preserve">
IF(#REF!&gt;=4,4,0)+
IF(#REF!="yes",3,0)+
IF(#REF!="High Charges",3,0)+
IF(#REF!&gt;250,4,0)+
IF(#REF!="no",1,0)+
IF(#REF!="Heavy Domestic User",2,0)</f>
        <v>#REF!</v>
      </c>
      <c r="AG1699" t="e">
        <f>IF(#REF!&gt;=10,"High Risk", IF(#REF!&gt;=5,"Medium Risk","Low Risk"))</f>
        <v>#REF!</v>
      </c>
      <c r="AH1699" t="e">
        <f>#REF! + #REF! + #REF! + #REF!</f>
        <v>#REF!</v>
      </c>
    </row>
    <row r="1700" spans="1:34" x14ac:dyDescent="0.35">
      <c r="A1700">
        <v>1699</v>
      </c>
      <c r="B1700" t="s">
        <v>52</v>
      </c>
      <c r="C1700">
        <v>33</v>
      </c>
      <c r="D1700" t="s">
        <v>21</v>
      </c>
      <c r="E1700" t="s">
        <v>23</v>
      </c>
      <c r="F1700" t="s">
        <v>22</v>
      </c>
      <c r="G1700">
        <v>0</v>
      </c>
      <c r="H1700">
        <v>190.6</v>
      </c>
      <c r="I1700">
        <v>100</v>
      </c>
      <c r="J1700">
        <v>32.4</v>
      </c>
      <c r="K1700">
        <v>161.69999999999999</v>
      </c>
      <c r="L1700">
        <v>104</v>
      </c>
      <c r="M1700">
        <v>13.74</v>
      </c>
      <c r="N1700">
        <v>189.9</v>
      </c>
      <c r="O1700">
        <v>136</v>
      </c>
      <c r="P1700">
        <v>8.5500000000000007</v>
      </c>
      <c r="Q1700">
        <v>13</v>
      </c>
      <c r="R1700">
        <v>6</v>
      </c>
      <c r="S1700">
        <v>3.51</v>
      </c>
      <c r="T1700">
        <v>1</v>
      </c>
      <c r="U1700" t="s">
        <v>22</v>
      </c>
      <c r="V1700" t="e">
        <f>IF(#REF! = "yes", 1, 0)</f>
        <v>#REF!</v>
      </c>
      <c r="W1700" t="e">
        <f>IF(#REF! &lt;= 1, "0-1 Calls", IF(#REF! &lt;= 3, "2-3 Calls", IF(#REF! &lt;=5, "4-5 Calls", "6+ Calls")))</f>
        <v>#REF!</v>
      </c>
      <c r="X1700" t="e">
        <f>IF(#REF! &lt;= 50, "0-50", IF(#REF! &lt;=100, "51-100", IF(#REF! &lt;= 150, "101-150", "151+")))</f>
        <v>#REF!</v>
      </c>
      <c r="Y1700" t="e">
        <f>IF(#REF! &lt;= 3, "Low Charges", "High Charges")</f>
        <v>#REF!</v>
      </c>
      <c r="Z1700" t="e">
        <f>IF(#REF!&lt;=80,"Low Calls",
IF(#REF!&lt;=120,"Medium Calls","High Calls"))</f>
        <v>#REF!</v>
      </c>
      <c r="AA1700" t="e">
        <f>IF(#REF!&lt;=15,"Low Charges",
IF(#REF!&lt;=20,"Medium Charges","High Charges"))</f>
        <v>#REF!</v>
      </c>
      <c r="AB1700" t="e">
        <f>IF(AND(#REF!&gt;180, #REF!&gt;200), "Heavy Doemstic User", IF(#REF!&gt;10, "Interntional User", IF(AND(#REF!&lt;180, #REF!&lt;200,#REF!&lt;200), "Light User", "Balanced User")))</f>
        <v>#REF!</v>
      </c>
      <c r="AC1700" t="e">
        <f>IF(#REF! = 0, "No Usage", IF(#REF! &lt;= 20, "Low Usage", IF(#REF! &lt;= 40, "Medium Usgae", "High Usage")))</f>
        <v>#REF!</v>
      </c>
      <c r="AD1700" t="e">
        <f>IF(#REF!&lt;=150,"Low Usage", IF(#REF!&lt;=200,"Medium Usage", IF(#REF!&lt;=250,"High Usage","Very High Usage")))</f>
        <v>#REF!</v>
      </c>
      <c r="AE1700" t="e">
        <f>IF(#REF!&lt;=5,"Low Calls", IF(#REF!&lt;=10, "Medium Calls", "High Calls"))</f>
        <v>#REF!</v>
      </c>
      <c r="AF1700" t="e">
        <f xml:space="preserve">
IF(#REF!&gt;=4,4,0)+
IF(#REF!="yes",3,0)+
IF(#REF!="High Charges",3,0)+
IF(#REF!&gt;250,4,0)+
IF(#REF!="no",1,0)+
IF(#REF!="Heavy Domestic User",2,0)</f>
        <v>#REF!</v>
      </c>
      <c r="AG1700" t="e">
        <f>IF(#REF!&gt;=10,"High Risk", IF(#REF!&gt;=5,"Medium Risk","Low Risk"))</f>
        <v>#REF!</v>
      </c>
      <c r="AH1700" t="e">
        <f>#REF! + #REF! + #REF! + #REF!</f>
        <v>#REF!</v>
      </c>
    </row>
    <row r="1701" spans="1:34" x14ac:dyDescent="0.35">
      <c r="A1701">
        <v>1700</v>
      </c>
      <c r="B1701" t="s">
        <v>36</v>
      </c>
      <c r="C1701">
        <v>119</v>
      </c>
      <c r="D1701" t="s">
        <v>21</v>
      </c>
      <c r="E1701" t="s">
        <v>22</v>
      </c>
      <c r="F1701" t="s">
        <v>22</v>
      </c>
      <c r="G1701">
        <v>0</v>
      </c>
      <c r="H1701">
        <v>133.4</v>
      </c>
      <c r="I1701">
        <v>102</v>
      </c>
      <c r="J1701">
        <v>22.68</v>
      </c>
      <c r="K1701">
        <v>204.6</v>
      </c>
      <c r="L1701">
        <v>71</v>
      </c>
      <c r="M1701">
        <v>17.39</v>
      </c>
      <c r="N1701">
        <v>196.9</v>
      </c>
      <c r="O1701">
        <v>103</v>
      </c>
      <c r="P1701">
        <v>8.86</v>
      </c>
      <c r="Q1701">
        <v>11.1</v>
      </c>
      <c r="R1701">
        <v>7</v>
      </c>
      <c r="S1701">
        <v>3</v>
      </c>
      <c r="T1701">
        <v>1</v>
      </c>
      <c r="U1701" t="s">
        <v>22</v>
      </c>
      <c r="V1701" t="e">
        <f>IF(#REF! = "yes", 1, 0)</f>
        <v>#REF!</v>
      </c>
      <c r="W1701" t="e">
        <f>IF(#REF! &lt;= 1, "0-1 Calls", IF(#REF! &lt;= 3, "2-3 Calls", IF(#REF! &lt;=5, "4-5 Calls", "6+ Calls")))</f>
        <v>#REF!</v>
      </c>
      <c r="X1701" t="e">
        <f>IF(#REF! &lt;= 50, "0-50", IF(#REF! &lt;=100, "51-100", IF(#REF! &lt;= 150, "101-150", "151+")))</f>
        <v>#REF!</v>
      </c>
      <c r="Y1701" t="e">
        <f>IF(#REF! &lt;= 3, "Low Charges", "High Charges")</f>
        <v>#REF!</v>
      </c>
      <c r="Z1701" t="e">
        <f>IF(#REF!&lt;=80,"Low Calls",
IF(#REF!&lt;=120,"Medium Calls","High Calls"))</f>
        <v>#REF!</v>
      </c>
      <c r="AA1701" t="e">
        <f>IF(#REF!&lt;=15,"Low Charges",
IF(#REF!&lt;=20,"Medium Charges","High Charges"))</f>
        <v>#REF!</v>
      </c>
      <c r="AB1701" t="e">
        <f>IF(AND(#REF!&gt;180, #REF!&gt;200), "Heavy Doemstic User", IF(#REF!&gt;10, "Interntional User", IF(AND(#REF!&lt;180, #REF!&lt;200,#REF!&lt;200), "Light User", "Balanced User")))</f>
        <v>#REF!</v>
      </c>
      <c r="AC1701" t="e">
        <f>IF(#REF! = 0, "No Usage", IF(#REF! &lt;= 20, "Low Usage", IF(#REF! &lt;= 40, "Medium Usgae", "High Usage")))</f>
        <v>#REF!</v>
      </c>
      <c r="AD1701" t="e">
        <f>IF(#REF!&lt;=150,"Low Usage", IF(#REF!&lt;=200,"Medium Usage", IF(#REF!&lt;=250,"High Usage","Very High Usage")))</f>
        <v>#REF!</v>
      </c>
      <c r="AE1701" t="e">
        <f>IF(#REF!&lt;=5,"Low Calls", IF(#REF!&lt;=10, "Medium Calls", "High Calls"))</f>
        <v>#REF!</v>
      </c>
      <c r="AF1701" t="e">
        <f xml:space="preserve">
IF(#REF!&gt;=4,4,0)+
IF(#REF!="yes",3,0)+
IF(#REF!="High Charges",3,0)+
IF(#REF!&gt;250,4,0)+
IF(#REF!="no",1,0)+
IF(#REF!="Heavy Domestic User",2,0)</f>
        <v>#REF!</v>
      </c>
      <c r="AG1701" t="e">
        <f>IF(#REF!&gt;=10,"High Risk", IF(#REF!&gt;=5,"Medium Risk","Low Risk"))</f>
        <v>#REF!</v>
      </c>
      <c r="AH1701" t="e">
        <f>#REF! + #REF! + #REF! + #REF!</f>
        <v>#REF!</v>
      </c>
    </row>
    <row r="1702" spans="1:34" x14ac:dyDescent="0.35">
      <c r="A1702">
        <v>1701</v>
      </c>
      <c r="B1702" t="s">
        <v>50</v>
      </c>
      <c r="C1702">
        <v>91</v>
      </c>
      <c r="D1702" t="s">
        <v>28</v>
      </c>
      <c r="E1702" t="s">
        <v>22</v>
      </c>
      <c r="F1702" t="s">
        <v>23</v>
      </c>
      <c r="G1702">
        <v>27</v>
      </c>
      <c r="H1702">
        <v>204.6</v>
      </c>
      <c r="I1702">
        <v>96</v>
      </c>
      <c r="J1702">
        <v>34.78</v>
      </c>
      <c r="K1702">
        <v>136</v>
      </c>
      <c r="L1702">
        <v>93</v>
      </c>
      <c r="M1702">
        <v>11.56</v>
      </c>
      <c r="N1702">
        <v>210.5</v>
      </c>
      <c r="O1702">
        <v>82</v>
      </c>
      <c r="P1702">
        <v>9.4700000000000006</v>
      </c>
      <c r="Q1702">
        <v>6.6</v>
      </c>
      <c r="R1702">
        <v>2</v>
      </c>
      <c r="S1702">
        <v>1.78</v>
      </c>
      <c r="T1702">
        <v>3</v>
      </c>
      <c r="U1702" t="s">
        <v>22</v>
      </c>
      <c r="V1702" t="e">
        <f>IF(#REF! = "yes", 1, 0)</f>
        <v>#REF!</v>
      </c>
      <c r="W1702" t="e">
        <f>IF(#REF! &lt;= 1, "0-1 Calls", IF(#REF! &lt;= 3, "2-3 Calls", IF(#REF! &lt;=5, "4-5 Calls", "6+ Calls")))</f>
        <v>#REF!</v>
      </c>
      <c r="X1702" t="e">
        <f>IF(#REF! &lt;= 50, "0-50", IF(#REF! &lt;=100, "51-100", IF(#REF! &lt;= 150, "101-150", "151+")))</f>
        <v>#REF!</v>
      </c>
      <c r="Y1702" t="e">
        <f>IF(#REF! &lt;= 3, "Low Charges", "High Charges")</f>
        <v>#REF!</v>
      </c>
      <c r="Z1702" t="e">
        <f>IF(#REF!&lt;=80,"Low Calls",
IF(#REF!&lt;=120,"Medium Calls","High Calls"))</f>
        <v>#REF!</v>
      </c>
      <c r="AA1702" t="e">
        <f>IF(#REF!&lt;=15,"Low Charges",
IF(#REF!&lt;=20,"Medium Charges","High Charges"))</f>
        <v>#REF!</v>
      </c>
      <c r="AB1702" t="e">
        <f>IF(AND(#REF!&gt;180, #REF!&gt;200), "Heavy Doemstic User", IF(#REF!&gt;10, "Interntional User", IF(AND(#REF!&lt;180, #REF!&lt;200,#REF!&lt;200), "Light User", "Balanced User")))</f>
        <v>#REF!</v>
      </c>
      <c r="AC1702" t="e">
        <f>IF(#REF! = 0, "No Usage", IF(#REF! &lt;= 20, "Low Usage", IF(#REF! &lt;= 40, "Medium Usgae", "High Usage")))</f>
        <v>#REF!</v>
      </c>
      <c r="AD1702" t="e">
        <f>IF(#REF!&lt;=150,"Low Usage", IF(#REF!&lt;=200,"Medium Usage", IF(#REF!&lt;=250,"High Usage","Very High Usage")))</f>
        <v>#REF!</v>
      </c>
      <c r="AE1702" t="e">
        <f>IF(#REF!&lt;=5,"Low Calls", IF(#REF!&lt;=10, "Medium Calls", "High Calls"))</f>
        <v>#REF!</v>
      </c>
      <c r="AF1702" t="e">
        <f xml:space="preserve">
IF(#REF!&gt;=4,4,0)+
IF(#REF!="yes",3,0)+
IF(#REF!="High Charges",3,0)+
IF(#REF!&gt;250,4,0)+
IF(#REF!="no",1,0)+
IF(#REF!="Heavy Domestic User",2,0)</f>
        <v>#REF!</v>
      </c>
      <c r="AG1702" t="e">
        <f>IF(#REF!&gt;=10,"High Risk", IF(#REF!&gt;=5,"Medium Risk","Low Risk"))</f>
        <v>#REF!</v>
      </c>
      <c r="AH1702" t="e">
        <f>#REF! + #REF! + #REF! + #REF!</f>
        <v>#REF!</v>
      </c>
    </row>
    <row r="1703" spans="1:34" x14ac:dyDescent="0.35">
      <c r="A1703">
        <v>1702</v>
      </c>
      <c r="B1703" t="s">
        <v>53</v>
      </c>
      <c r="C1703">
        <v>102</v>
      </c>
      <c r="D1703" t="s">
        <v>28</v>
      </c>
      <c r="E1703" t="s">
        <v>22</v>
      </c>
      <c r="F1703" t="s">
        <v>22</v>
      </c>
      <c r="G1703">
        <v>0</v>
      </c>
      <c r="H1703">
        <v>242.2</v>
      </c>
      <c r="I1703">
        <v>88</v>
      </c>
      <c r="J1703">
        <v>41.17</v>
      </c>
      <c r="K1703">
        <v>233.2</v>
      </c>
      <c r="L1703">
        <v>89</v>
      </c>
      <c r="M1703">
        <v>19.82</v>
      </c>
      <c r="N1703">
        <v>188.5</v>
      </c>
      <c r="O1703">
        <v>121</v>
      </c>
      <c r="P1703">
        <v>8.48</v>
      </c>
      <c r="Q1703">
        <v>6.2</v>
      </c>
      <c r="R1703">
        <v>6</v>
      </c>
      <c r="S1703">
        <v>1.67</v>
      </c>
      <c r="T1703">
        <v>3</v>
      </c>
      <c r="U1703" t="s">
        <v>22</v>
      </c>
      <c r="V1703" t="e">
        <f>IF(#REF! = "yes", 1, 0)</f>
        <v>#REF!</v>
      </c>
      <c r="W1703" t="e">
        <f>IF(#REF! &lt;= 1, "0-1 Calls", IF(#REF! &lt;= 3, "2-3 Calls", IF(#REF! &lt;=5, "4-5 Calls", "6+ Calls")))</f>
        <v>#REF!</v>
      </c>
      <c r="X1703" t="e">
        <f>IF(#REF! &lt;= 50, "0-50", IF(#REF! &lt;=100, "51-100", IF(#REF! &lt;= 150, "101-150", "151+")))</f>
        <v>#REF!</v>
      </c>
      <c r="Y1703" t="e">
        <f>IF(#REF! &lt;= 3, "Low Charges", "High Charges")</f>
        <v>#REF!</v>
      </c>
      <c r="Z1703" t="e">
        <f>IF(#REF!&lt;=80,"Low Calls",
IF(#REF!&lt;=120,"Medium Calls","High Calls"))</f>
        <v>#REF!</v>
      </c>
      <c r="AA1703" t="e">
        <f>IF(#REF!&lt;=15,"Low Charges",
IF(#REF!&lt;=20,"Medium Charges","High Charges"))</f>
        <v>#REF!</v>
      </c>
      <c r="AB1703" t="e">
        <f>IF(AND(#REF!&gt;180, #REF!&gt;200), "Heavy Doemstic User", IF(#REF!&gt;10, "Interntional User", IF(AND(#REF!&lt;180, #REF!&lt;200,#REF!&lt;200), "Light User", "Balanced User")))</f>
        <v>#REF!</v>
      </c>
      <c r="AC1703" t="e">
        <f>IF(#REF! = 0, "No Usage", IF(#REF! &lt;= 20, "Low Usage", IF(#REF! &lt;= 40, "Medium Usgae", "High Usage")))</f>
        <v>#REF!</v>
      </c>
      <c r="AD1703" t="e">
        <f>IF(#REF!&lt;=150,"Low Usage", IF(#REF!&lt;=200,"Medium Usage", IF(#REF!&lt;=250,"High Usage","Very High Usage")))</f>
        <v>#REF!</v>
      </c>
      <c r="AE1703" t="e">
        <f>IF(#REF!&lt;=5,"Low Calls", IF(#REF!&lt;=10, "Medium Calls", "High Calls"))</f>
        <v>#REF!</v>
      </c>
      <c r="AF1703" t="e">
        <f xml:space="preserve">
IF(#REF!&gt;=4,4,0)+
IF(#REF!="yes",3,0)+
IF(#REF!="High Charges",3,0)+
IF(#REF!&gt;250,4,0)+
IF(#REF!="no",1,0)+
IF(#REF!="Heavy Domestic User",2,0)</f>
        <v>#REF!</v>
      </c>
      <c r="AG1703" t="e">
        <f>IF(#REF!&gt;=10,"High Risk", IF(#REF!&gt;=5,"Medium Risk","Low Risk"))</f>
        <v>#REF!</v>
      </c>
      <c r="AH1703" t="e">
        <f>#REF! + #REF! + #REF! + #REF!</f>
        <v>#REF!</v>
      </c>
    </row>
    <row r="1704" spans="1:34" x14ac:dyDescent="0.35">
      <c r="A1704">
        <v>1703</v>
      </c>
      <c r="B1704" t="s">
        <v>26</v>
      </c>
      <c r="C1704">
        <v>86</v>
      </c>
      <c r="D1704" t="s">
        <v>21</v>
      </c>
      <c r="E1704" t="s">
        <v>22</v>
      </c>
      <c r="F1704" t="s">
        <v>23</v>
      </c>
      <c r="G1704">
        <v>33</v>
      </c>
      <c r="H1704">
        <v>253.1</v>
      </c>
      <c r="I1704">
        <v>112</v>
      </c>
      <c r="J1704">
        <v>43.03</v>
      </c>
      <c r="K1704">
        <v>210.1</v>
      </c>
      <c r="L1704">
        <v>94</v>
      </c>
      <c r="M1704">
        <v>17.86</v>
      </c>
      <c r="N1704">
        <v>95</v>
      </c>
      <c r="O1704">
        <v>98</v>
      </c>
      <c r="P1704">
        <v>4.2699999999999996</v>
      </c>
      <c r="Q1704">
        <v>11.9</v>
      </c>
      <c r="R1704">
        <v>4</v>
      </c>
      <c r="S1704">
        <v>3.21</v>
      </c>
      <c r="T1704">
        <v>3</v>
      </c>
      <c r="U1704" t="s">
        <v>22</v>
      </c>
      <c r="V1704" t="e">
        <f>IF(#REF! = "yes", 1, 0)</f>
        <v>#REF!</v>
      </c>
      <c r="W1704" t="e">
        <f>IF(#REF! &lt;= 1, "0-1 Calls", IF(#REF! &lt;= 3, "2-3 Calls", IF(#REF! &lt;=5, "4-5 Calls", "6+ Calls")))</f>
        <v>#REF!</v>
      </c>
      <c r="X1704" t="e">
        <f>IF(#REF! &lt;= 50, "0-50", IF(#REF! &lt;=100, "51-100", IF(#REF! &lt;= 150, "101-150", "151+")))</f>
        <v>#REF!</v>
      </c>
      <c r="Y1704" t="e">
        <f>IF(#REF! &lt;= 3, "Low Charges", "High Charges")</f>
        <v>#REF!</v>
      </c>
      <c r="Z1704" t="e">
        <f>IF(#REF!&lt;=80,"Low Calls",
IF(#REF!&lt;=120,"Medium Calls","High Calls"))</f>
        <v>#REF!</v>
      </c>
      <c r="AA1704" t="e">
        <f>IF(#REF!&lt;=15,"Low Charges",
IF(#REF!&lt;=20,"Medium Charges","High Charges"))</f>
        <v>#REF!</v>
      </c>
      <c r="AB1704" t="e">
        <f>IF(AND(#REF!&gt;180, #REF!&gt;200), "Heavy Doemstic User", IF(#REF!&gt;10, "Interntional User", IF(AND(#REF!&lt;180, #REF!&lt;200,#REF!&lt;200), "Light User", "Balanced User")))</f>
        <v>#REF!</v>
      </c>
      <c r="AC1704" t="e">
        <f>IF(#REF! = 0, "No Usage", IF(#REF! &lt;= 20, "Low Usage", IF(#REF! &lt;= 40, "Medium Usgae", "High Usage")))</f>
        <v>#REF!</v>
      </c>
      <c r="AD1704" t="e">
        <f>IF(#REF!&lt;=150,"Low Usage", IF(#REF!&lt;=200,"Medium Usage", IF(#REF!&lt;=250,"High Usage","Very High Usage")))</f>
        <v>#REF!</v>
      </c>
      <c r="AE1704" t="e">
        <f>IF(#REF!&lt;=5,"Low Calls", IF(#REF!&lt;=10, "Medium Calls", "High Calls"))</f>
        <v>#REF!</v>
      </c>
      <c r="AF1704" t="e">
        <f xml:space="preserve">
IF(#REF!&gt;=4,4,0)+
IF(#REF!="yes",3,0)+
IF(#REF!="High Charges",3,0)+
IF(#REF!&gt;250,4,0)+
IF(#REF!="no",1,0)+
IF(#REF!="Heavy Domestic User",2,0)</f>
        <v>#REF!</v>
      </c>
      <c r="AG1704" t="e">
        <f>IF(#REF!&gt;=10,"High Risk", IF(#REF!&gt;=5,"Medium Risk","Low Risk"))</f>
        <v>#REF!</v>
      </c>
      <c r="AH1704" t="e">
        <f>#REF! + #REF! + #REF! + #REF!</f>
        <v>#REF!</v>
      </c>
    </row>
    <row r="1705" spans="1:34" x14ac:dyDescent="0.35">
      <c r="A1705">
        <v>1704</v>
      </c>
      <c r="B1705" t="s">
        <v>39</v>
      </c>
      <c r="C1705">
        <v>82</v>
      </c>
      <c r="D1705" t="s">
        <v>21</v>
      </c>
      <c r="E1705" t="s">
        <v>22</v>
      </c>
      <c r="F1705" t="s">
        <v>22</v>
      </c>
      <c r="G1705">
        <v>0</v>
      </c>
      <c r="H1705">
        <v>130</v>
      </c>
      <c r="I1705">
        <v>110</v>
      </c>
      <c r="J1705">
        <v>22.1</v>
      </c>
      <c r="K1705">
        <v>185.3</v>
      </c>
      <c r="L1705">
        <v>88</v>
      </c>
      <c r="M1705">
        <v>15.75</v>
      </c>
      <c r="N1705">
        <v>178.7</v>
      </c>
      <c r="O1705">
        <v>105</v>
      </c>
      <c r="P1705">
        <v>8.0399999999999991</v>
      </c>
      <c r="Q1705">
        <v>8.3000000000000007</v>
      </c>
      <c r="R1705">
        <v>4</v>
      </c>
      <c r="S1705">
        <v>2.2400000000000002</v>
      </c>
      <c r="T1705">
        <v>0</v>
      </c>
      <c r="U1705" t="s">
        <v>22</v>
      </c>
      <c r="V1705" t="e">
        <f>IF(#REF! = "yes", 1, 0)</f>
        <v>#REF!</v>
      </c>
      <c r="W1705" t="e">
        <f>IF(#REF! &lt;= 1, "0-1 Calls", IF(#REF! &lt;= 3, "2-3 Calls", IF(#REF! &lt;=5, "4-5 Calls", "6+ Calls")))</f>
        <v>#REF!</v>
      </c>
      <c r="X1705" t="e">
        <f>IF(#REF! &lt;= 50, "0-50", IF(#REF! &lt;=100, "51-100", IF(#REF! &lt;= 150, "101-150", "151+")))</f>
        <v>#REF!</v>
      </c>
      <c r="Y1705" t="e">
        <f>IF(#REF! &lt;= 3, "Low Charges", "High Charges")</f>
        <v>#REF!</v>
      </c>
      <c r="Z1705" t="e">
        <f>IF(#REF!&lt;=80,"Low Calls",
IF(#REF!&lt;=120,"Medium Calls","High Calls"))</f>
        <v>#REF!</v>
      </c>
      <c r="AA1705" t="e">
        <f>IF(#REF!&lt;=15,"Low Charges",
IF(#REF!&lt;=20,"Medium Charges","High Charges"))</f>
        <v>#REF!</v>
      </c>
      <c r="AB1705" t="e">
        <f>IF(AND(#REF!&gt;180, #REF!&gt;200), "Heavy Doemstic User", IF(#REF!&gt;10, "Interntional User", IF(AND(#REF!&lt;180, #REF!&lt;200,#REF!&lt;200), "Light User", "Balanced User")))</f>
        <v>#REF!</v>
      </c>
      <c r="AC1705" t="e">
        <f>IF(#REF! = 0, "No Usage", IF(#REF! &lt;= 20, "Low Usage", IF(#REF! &lt;= 40, "Medium Usgae", "High Usage")))</f>
        <v>#REF!</v>
      </c>
      <c r="AD1705" t="e">
        <f>IF(#REF!&lt;=150,"Low Usage", IF(#REF!&lt;=200,"Medium Usage", IF(#REF!&lt;=250,"High Usage","Very High Usage")))</f>
        <v>#REF!</v>
      </c>
      <c r="AE1705" t="e">
        <f>IF(#REF!&lt;=5,"Low Calls", IF(#REF!&lt;=10, "Medium Calls", "High Calls"))</f>
        <v>#REF!</v>
      </c>
      <c r="AF1705" t="e">
        <f xml:space="preserve">
IF(#REF!&gt;=4,4,0)+
IF(#REF!="yes",3,0)+
IF(#REF!="High Charges",3,0)+
IF(#REF!&gt;250,4,0)+
IF(#REF!="no",1,0)+
IF(#REF!="Heavy Domestic User",2,0)</f>
        <v>#REF!</v>
      </c>
      <c r="AG1705" t="e">
        <f>IF(#REF!&gt;=10,"High Risk", IF(#REF!&gt;=5,"Medium Risk","Low Risk"))</f>
        <v>#REF!</v>
      </c>
      <c r="AH1705" t="e">
        <f>#REF! + #REF! + #REF! + #REF!</f>
        <v>#REF!</v>
      </c>
    </row>
    <row r="1706" spans="1:34" x14ac:dyDescent="0.35">
      <c r="A1706">
        <v>1705</v>
      </c>
      <c r="B1706" t="s">
        <v>58</v>
      </c>
      <c r="C1706">
        <v>89</v>
      </c>
      <c r="D1706" t="s">
        <v>25</v>
      </c>
      <c r="E1706" t="s">
        <v>22</v>
      </c>
      <c r="F1706" t="s">
        <v>22</v>
      </c>
      <c r="G1706">
        <v>0</v>
      </c>
      <c r="H1706">
        <v>105.9</v>
      </c>
      <c r="I1706">
        <v>151</v>
      </c>
      <c r="J1706">
        <v>18</v>
      </c>
      <c r="K1706">
        <v>189.6</v>
      </c>
      <c r="L1706">
        <v>142</v>
      </c>
      <c r="M1706">
        <v>16.12</v>
      </c>
      <c r="N1706">
        <v>170.9</v>
      </c>
      <c r="O1706">
        <v>67</v>
      </c>
      <c r="P1706">
        <v>7.69</v>
      </c>
      <c r="Q1706">
        <v>12.7</v>
      </c>
      <c r="R1706">
        <v>7</v>
      </c>
      <c r="S1706">
        <v>3.43</v>
      </c>
      <c r="T1706">
        <v>0</v>
      </c>
      <c r="U1706" t="s">
        <v>22</v>
      </c>
      <c r="V1706" t="e">
        <f>IF(#REF! = "yes", 1, 0)</f>
        <v>#REF!</v>
      </c>
      <c r="W1706" t="e">
        <f>IF(#REF! &lt;= 1, "0-1 Calls", IF(#REF! &lt;= 3, "2-3 Calls", IF(#REF! &lt;=5, "4-5 Calls", "6+ Calls")))</f>
        <v>#REF!</v>
      </c>
      <c r="X1706" t="e">
        <f>IF(#REF! &lt;= 50, "0-50", IF(#REF! &lt;=100, "51-100", IF(#REF! &lt;= 150, "101-150", "151+")))</f>
        <v>#REF!</v>
      </c>
      <c r="Y1706" t="e">
        <f>IF(#REF! &lt;= 3, "Low Charges", "High Charges")</f>
        <v>#REF!</v>
      </c>
      <c r="Z1706" t="e">
        <f>IF(#REF!&lt;=80,"Low Calls",
IF(#REF!&lt;=120,"Medium Calls","High Calls"))</f>
        <v>#REF!</v>
      </c>
      <c r="AA1706" t="e">
        <f>IF(#REF!&lt;=15,"Low Charges",
IF(#REF!&lt;=20,"Medium Charges","High Charges"))</f>
        <v>#REF!</v>
      </c>
      <c r="AB1706" t="e">
        <f>IF(AND(#REF!&gt;180, #REF!&gt;200), "Heavy Doemstic User", IF(#REF!&gt;10, "Interntional User", IF(AND(#REF!&lt;180, #REF!&lt;200,#REF!&lt;200), "Light User", "Balanced User")))</f>
        <v>#REF!</v>
      </c>
      <c r="AC1706" t="e">
        <f>IF(#REF! = 0, "No Usage", IF(#REF! &lt;= 20, "Low Usage", IF(#REF! &lt;= 40, "Medium Usgae", "High Usage")))</f>
        <v>#REF!</v>
      </c>
      <c r="AD1706" t="e">
        <f>IF(#REF!&lt;=150,"Low Usage", IF(#REF!&lt;=200,"Medium Usage", IF(#REF!&lt;=250,"High Usage","Very High Usage")))</f>
        <v>#REF!</v>
      </c>
      <c r="AE1706" t="e">
        <f>IF(#REF!&lt;=5,"Low Calls", IF(#REF!&lt;=10, "Medium Calls", "High Calls"))</f>
        <v>#REF!</v>
      </c>
      <c r="AF1706" t="e">
        <f xml:space="preserve">
IF(#REF!&gt;=4,4,0)+
IF(#REF!="yes",3,0)+
IF(#REF!="High Charges",3,0)+
IF(#REF!&gt;250,4,0)+
IF(#REF!="no",1,0)+
IF(#REF!="Heavy Domestic User",2,0)</f>
        <v>#REF!</v>
      </c>
      <c r="AG1706" t="e">
        <f>IF(#REF!&gt;=10,"High Risk", IF(#REF!&gt;=5,"Medium Risk","Low Risk"))</f>
        <v>#REF!</v>
      </c>
      <c r="AH1706" t="e">
        <f>#REF! + #REF! + #REF! + #REF!</f>
        <v>#REF!</v>
      </c>
    </row>
    <row r="1707" spans="1:34" x14ac:dyDescent="0.35">
      <c r="A1707">
        <v>1706</v>
      </c>
      <c r="B1707" t="s">
        <v>72</v>
      </c>
      <c r="C1707">
        <v>134</v>
      </c>
      <c r="D1707" t="s">
        <v>25</v>
      </c>
      <c r="E1707" t="s">
        <v>22</v>
      </c>
      <c r="F1707" t="s">
        <v>22</v>
      </c>
      <c r="G1707">
        <v>0</v>
      </c>
      <c r="H1707">
        <v>183.8</v>
      </c>
      <c r="I1707">
        <v>111</v>
      </c>
      <c r="J1707">
        <v>31.25</v>
      </c>
      <c r="K1707">
        <v>123.5</v>
      </c>
      <c r="L1707">
        <v>92</v>
      </c>
      <c r="M1707">
        <v>10.5</v>
      </c>
      <c r="N1707">
        <v>160.69999999999999</v>
      </c>
      <c r="O1707">
        <v>105</v>
      </c>
      <c r="P1707">
        <v>7.23</v>
      </c>
      <c r="Q1707">
        <v>6.1</v>
      </c>
      <c r="R1707">
        <v>2</v>
      </c>
      <c r="S1707">
        <v>1.65</v>
      </c>
      <c r="T1707">
        <v>1</v>
      </c>
      <c r="U1707" t="s">
        <v>22</v>
      </c>
      <c r="V1707" t="e">
        <f>IF(#REF! = "yes", 1, 0)</f>
        <v>#REF!</v>
      </c>
      <c r="W1707" t="e">
        <f>IF(#REF! &lt;= 1, "0-1 Calls", IF(#REF! &lt;= 3, "2-3 Calls", IF(#REF! &lt;=5, "4-5 Calls", "6+ Calls")))</f>
        <v>#REF!</v>
      </c>
      <c r="X1707" t="e">
        <f>IF(#REF! &lt;= 50, "0-50", IF(#REF! &lt;=100, "51-100", IF(#REF! &lt;= 150, "101-150", "151+")))</f>
        <v>#REF!</v>
      </c>
      <c r="Y1707" t="e">
        <f>IF(#REF! &lt;= 3, "Low Charges", "High Charges")</f>
        <v>#REF!</v>
      </c>
      <c r="Z1707" t="e">
        <f>IF(#REF!&lt;=80,"Low Calls",
IF(#REF!&lt;=120,"Medium Calls","High Calls"))</f>
        <v>#REF!</v>
      </c>
      <c r="AA1707" t="e">
        <f>IF(#REF!&lt;=15,"Low Charges",
IF(#REF!&lt;=20,"Medium Charges","High Charges"))</f>
        <v>#REF!</v>
      </c>
      <c r="AB1707" t="e">
        <f>IF(AND(#REF!&gt;180, #REF!&gt;200), "Heavy Doemstic User", IF(#REF!&gt;10, "Interntional User", IF(AND(#REF!&lt;180, #REF!&lt;200,#REF!&lt;200), "Light User", "Balanced User")))</f>
        <v>#REF!</v>
      </c>
      <c r="AC1707" t="e">
        <f>IF(#REF! = 0, "No Usage", IF(#REF! &lt;= 20, "Low Usage", IF(#REF! &lt;= 40, "Medium Usgae", "High Usage")))</f>
        <v>#REF!</v>
      </c>
      <c r="AD1707" t="e">
        <f>IF(#REF!&lt;=150,"Low Usage", IF(#REF!&lt;=200,"Medium Usage", IF(#REF!&lt;=250,"High Usage","Very High Usage")))</f>
        <v>#REF!</v>
      </c>
      <c r="AE1707" t="e">
        <f>IF(#REF!&lt;=5,"Low Calls", IF(#REF!&lt;=10, "Medium Calls", "High Calls"))</f>
        <v>#REF!</v>
      </c>
      <c r="AF1707" t="e">
        <f xml:space="preserve">
IF(#REF!&gt;=4,4,0)+
IF(#REF!="yes",3,0)+
IF(#REF!="High Charges",3,0)+
IF(#REF!&gt;250,4,0)+
IF(#REF!="no",1,0)+
IF(#REF!="Heavy Domestic User",2,0)</f>
        <v>#REF!</v>
      </c>
      <c r="AG1707" t="e">
        <f>IF(#REF!&gt;=10,"High Risk", IF(#REF!&gt;=5,"Medium Risk","Low Risk"))</f>
        <v>#REF!</v>
      </c>
      <c r="AH1707" t="e">
        <f>#REF! + #REF! + #REF! + #REF!</f>
        <v>#REF!</v>
      </c>
    </row>
    <row r="1708" spans="1:34" x14ac:dyDescent="0.35">
      <c r="A1708">
        <v>1707</v>
      </c>
      <c r="B1708" t="s">
        <v>52</v>
      </c>
      <c r="C1708">
        <v>92</v>
      </c>
      <c r="D1708" t="s">
        <v>21</v>
      </c>
      <c r="E1708" t="s">
        <v>22</v>
      </c>
      <c r="F1708" t="s">
        <v>22</v>
      </c>
      <c r="G1708">
        <v>0</v>
      </c>
      <c r="H1708">
        <v>196.5</v>
      </c>
      <c r="I1708">
        <v>82</v>
      </c>
      <c r="J1708">
        <v>33.409999999999997</v>
      </c>
      <c r="K1708">
        <v>190</v>
      </c>
      <c r="L1708">
        <v>89</v>
      </c>
      <c r="M1708">
        <v>16.149999999999999</v>
      </c>
      <c r="N1708">
        <v>163.19999999999999</v>
      </c>
      <c r="O1708">
        <v>99</v>
      </c>
      <c r="P1708">
        <v>7.34</v>
      </c>
      <c r="Q1708">
        <v>10.8</v>
      </c>
      <c r="R1708">
        <v>2</v>
      </c>
      <c r="S1708">
        <v>2.92</v>
      </c>
      <c r="T1708">
        <v>2</v>
      </c>
      <c r="U1708" t="s">
        <v>22</v>
      </c>
      <c r="V1708" t="e">
        <f>IF(#REF! = "yes", 1, 0)</f>
        <v>#REF!</v>
      </c>
      <c r="W1708" t="e">
        <f>IF(#REF! &lt;= 1, "0-1 Calls", IF(#REF! &lt;= 3, "2-3 Calls", IF(#REF! &lt;=5, "4-5 Calls", "6+ Calls")))</f>
        <v>#REF!</v>
      </c>
      <c r="X1708" t="e">
        <f>IF(#REF! &lt;= 50, "0-50", IF(#REF! &lt;=100, "51-100", IF(#REF! &lt;= 150, "101-150", "151+")))</f>
        <v>#REF!</v>
      </c>
      <c r="Y1708" t="e">
        <f>IF(#REF! &lt;= 3, "Low Charges", "High Charges")</f>
        <v>#REF!</v>
      </c>
      <c r="Z1708" t="e">
        <f>IF(#REF!&lt;=80,"Low Calls",
IF(#REF!&lt;=120,"Medium Calls","High Calls"))</f>
        <v>#REF!</v>
      </c>
      <c r="AA1708" t="e">
        <f>IF(#REF!&lt;=15,"Low Charges",
IF(#REF!&lt;=20,"Medium Charges","High Charges"))</f>
        <v>#REF!</v>
      </c>
      <c r="AB1708" t="e">
        <f>IF(AND(#REF!&gt;180, #REF!&gt;200), "Heavy Doemstic User", IF(#REF!&gt;10, "Interntional User", IF(AND(#REF!&lt;180, #REF!&lt;200,#REF!&lt;200), "Light User", "Balanced User")))</f>
        <v>#REF!</v>
      </c>
      <c r="AC1708" t="e">
        <f>IF(#REF! = 0, "No Usage", IF(#REF! &lt;= 20, "Low Usage", IF(#REF! &lt;= 40, "Medium Usgae", "High Usage")))</f>
        <v>#REF!</v>
      </c>
      <c r="AD1708" t="e">
        <f>IF(#REF!&lt;=150,"Low Usage", IF(#REF!&lt;=200,"Medium Usage", IF(#REF!&lt;=250,"High Usage","Very High Usage")))</f>
        <v>#REF!</v>
      </c>
      <c r="AE1708" t="e">
        <f>IF(#REF!&lt;=5,"Low Calls", IF(#REF!&lt;=10, "Medium Calls", "High Calls"))</f>
        <v>#REF!</v>
      </c>
      <c r="AF1708" t="e">
        <f xml:space="preserve">
IF(#REF!&gt;=4,4,0)+
IF(#REF!="yes",3,0)+
IF(#REF!="High Charges",3,0)+
IF(#REF!&gt;250,4,0)+
IF(#REF!="no",1,0)+
IF(#REF!="Heavy Domestic User",2,0)</f>
        <v>#REF!</v>
      </c>
      <c r="AG1708" t="e">
        <f>IF(#REF!&gt;=10,"High Risk", IF(#REF!&gt;=5,"Medium Risk","Low Risk"))</f>
        <v>#REF!</v>
      </c>
      <c r="AH1708" t="e">
        <f>#REF! + #REF! + #REF! + #REF!</f>
        <v>#REF!</v>
      </c>
    </row>
    <row r="1709" spans="1:34" x14ac:dyDescent="0.35">
      <c r="A1709">
        <v>1708</v>
      </c>
      <c r="B1709" t="s">
        <v>57</v>
      </c>
      <c r="C1709">
        <v>87</v>
      </c>
      <c r="D1709" t="s">
        <v>28</v>
      </c>
      <c r="E1709" t="s">
        <v>22</v>
      </c>
      <c r="F1709" t="s">
        <v>22</v>
      </c>
      <c r="G1709">
        <v>0</v>
      </c>
      <c r="H1709">
        <v>184.5</v>
      </c>
      <c r="I1709">
        <v>81</v>
      </c>
      <c r="J1709">
        <v>31.37</v>
      </c>
      <c r="K1709">
        <v>172</v>
      </c>
      <c r="L1709">
        <v>103</v>
      </c>
      <c r="M1709">
        <v>14.62</v>
      </c>
      <c r="N1709">
        <v>183.4</v>
      </c>
      <c r="O1709">
        <v>96</v>
      </c>
      <c r="P1709">
        <v>8.25</v>
      </c>
      <c r="Q1709">
        <v>13.7</v>
      </c>
      <c r="R1709">
        <v>3</v>
      </c>
      <c r="S1709">
        <v>3.7</v>
      </c>
      <c r="T1709">
        <v>3</v>
      </c>
      <c r="U1709" t="s">
        <v>22</v>
      </c>
      <c r="V1709" t="e">
        <f>IF(#REF! = "yes", 1, 0)</f>
        <v>#REF!</v>
      </c>
      <c r="W1709" t="e">
        <f>IF(#REF! &lt;= 1, "0-1 Calls", IF(#REF! &lt;= 3, "2-3 Calls", IF(#REF! &lt;=5, "4-5 Calls", "6+ Calls")))</f>
        <v>#REF!</v>
      </c>
      <c r="X1709" t="e">
        <f>IF(#REF! &lt;= 50, "0-50", IF(#REF! &lt;=100, "51-100", IF(#REF! &lt;= 150, "101-150", "151+")))</f>
        <v>#REF!</v>
      </c>
      <c r="Y1709" t="e">
        <f>IF(#REF! &lt;= 3, "Low Charges", "High Charges")</f>
        <v>#REF!</v>
      </c>
      <c r="Z1709" t="e">
        <f>IF(#REF!&lt;=80,"Low Calls",
IF(#REF!&lt;=120,"Medium Calls","High Calls"))</f>
        <v>#REF!</v>
      </c>
      <c r="AA1709" t="e">
        <f>IF(#REF!&lt;=15,"Low Charges",
IF(#REF!&lt;=20,"Medium Charges","High Charges"))</f>
        <v>#REF!</v>
      </c>
      <c r="AB1709" t="e">
        <f>IF(AND(#REF!&gt;180, #REF!&gt;200), "Heavy Doemstic User", IF(#REF!&gt;10, "Interntional User", IF(AND(#REF!&lt;180, #REF!&lt;200,#REF!&lt;200), "Light User", "Balanced User")))</f>
        <v>#REF!</v>
      </c>
      <c r="AC1709" t="e">
        <f>IF(#REF! = 0, "No Usage", IF(#REF! &lt;= 20, "Low Usage", IF(#REF! &lt;= 40, "Medium Usgae", "High Usage")))</f>
        <v>#REF!</v>
      </c>
      <c r="AD1709" t="e">
        <f>IF(#REF!&lt;=150,"Low Usage", IF(#REF!&lt;=200,"Medium Usage", IF(#REF!&lt;=250,"High Usage","Very High Usage")))</f>
        <v>#REF!</v>
      </c>
      <c r="AE1709" t="e">
        <f>IF(#REF!&lt;=5,"Low Calls", IF(#REF!&lt;=10, "Medium Calls", "High Calls"))</f>
        <v>#REF!</v>
      </c>
      <c r="AF1709" t="e">
        <f xml:space="preserve">
IF(#REF!&gt;=4,4,0)+
IF(#REF!="yes",3,0)+
IF(#REF!="High Charges",3,0)+
IF(#REF!&gt;250,4,0)+
IF(#REF!="no",1,0)+
IF(#REF!="Heavy Domestic User",2,0)</f>
        <v>#REF!</v>
      </c>
      <c r="AG1709" t="e">
        <f>IF(#REF!&gt;=10,"High Risk", IF(#REF!&gt;=5,"Medium Risk","Low Risk"))</f>
        <v>#REF!</v>
      </c>
      <c r="AH1709" t="e">
        <f>#REF! + #REF! + #REF! + #REF!</f>
        <v>#REF!</v>
      </c>
    </row>
    <row r="1710" spans="1:34" x14ac:dyDescent="0.35">
      <c r="A1710">
        <v>1709</v>
      </c>
      <c r="B1710" t="s">
        <v>69</v>
      </c>
      <c r="C1710">
        <v>64</v>
      </c>
      <c r="D1710" t="s">
        <v>25</v>
      </c>
      <c r="E1710" t="s">
        <v>22</v>
      </c>
      <c r="F1710" t="s">
        <v>22</v>
      </c>
      <c r="G1710">
        <v>0</v>
      </c>
      <c r="H1710">
        <v>261.89999999999998</v>
      </c>
      <c r="I1710">
        <v>113</v>
      </c>
      <c r="J1710">
        <v>44.52</v>
      </c>
      <c r="K1710">
        <v>148.1</v>
      </c>
      <c r="L1710">
        <v>99</v>
      </c>
      <c r="M1710">
        <v>12.59</v>
      </c>
      <c r="N1710">
        <v>145.19999999999999</v>
      </c>
      <c r="O1710">
        <v>74</v>
      </c>
      <c r="P1710">
        <v>6.53</v>
      </c>
      <c r="Q1710">
        <v>13.8</v>
      </c>
      <c r="R1710">
        <v>4</v>
      </c>
      <c r="S1710">
        <v>3.73</v>
      </c>
      <c r="T1710">
        <v>0</v>
      </c>
      <c r="U1710" t="s">
        <v>22</v>
      </c>
      <c r="V1710" t="e">
        <f>IF(#REF! = "yes", 1, 0)</f>
        <v>#REF!</v>
      </c>
      <c r="W1710" t="e">
        <f>IF(#REF! &lt;= 1, "0-1 Calls", IF(#REF! &lt;= 3, "2-3 Calls", IF(#REF! &lt;=5, "4-5 Calls", "6+ Calls")))</f>
        <v>#REF!</v>
      </c>
      <c r="X1710" t="e">
        <f>IF(#REF! &lt;= 50, "0-50", IF(#REF! &lt;=100, "51-100", IF(#REF! &lt;= 150, "101-150", "151+")))</f>
        <v>#REF!</v>
      </c>
      <c r="Y1710" t="e">
        <f>IF(#REF! &lt;= 3, "Low Charges", "High Charges")</f>
        <v>#REF!</v>
      </c>
      <c r="Z1710" t="e">
        <f>IF(#REF!&lt;=80,"Low Calls",
IF(#REF!&lt;=120,"Medium Calls","High Calls"))</f>
        <v>#REF!</v>
      </c>
      <c r="AA1710" t="e">
        <f>IF(#REF!&lt;=15,"Low Charges",
IF(#REF!&lt;=20,"Medium Charges","High Charges"))</f>
        <v>#REF!</v>
      </c>
      <c r="AB1710" t="e">
        <f>IF(AND(#REF!&gt;180, #REF!&gt;200), "Heavy Doemstic User", IF(#REF!&gt;10, "Interntional User", IF(AND(#REF!&lt;180, #REF!&lt;200,#REF!&lt;200), "Light User", "Balanced User")))</f>
        <v>#REF!</v>
      </c>
      <c r="AC1710" t="e">
        <f>IF(#REF! = 0, "No Usage", IF(#REF! &lt;= 20, "Low Usage", IF(#REF! &lt;= 40, "Medium Usgae", "High Usage")))</f>
        <v>#REF!</v>
      </c>
      <c r="AD1710" t="e">
        <f>IF(#REF!&lt;=150,"Low Usage", IF(#REF!&lt;=200,"Medium Usage", IF(#REF!&lt;=250,"High Usage","Very High Usage")))</f>
        <v>#REF!</v>
      </c>
      <c r="AE1710" t="e">
        <f>IF(#REF!&lt;=5,"Low Calls", IF(#REF!&lt;=10, "Medium Calls", "High Calls"))</f>
        <v>#REF!</v>
      </c>
      <c r="AF1710" t="e">
        <f xml:space="preserve">
IF(#REF!&gt;=4,4,0)+
IF(#REF!="yes",3,0)+
IF(#REF!="High Charges",3,0)+
IF(#REF!&gt;250,4,0)+
IF(#REF!="no",1,0)+
IF(#REF!="Heavy Domestic User",2,0)</f>
        <v>#REF!</v>
      </c>
      <c r="AG1710" t="e">
        <f>IF(#REF!&gt;=10,"High Risk", IF(#REF!&gt;=5,"Medium Risk","Low Risk"))</f>
        <v>#REF!</v>
      </c>
      <c r="AH1710" t="e">
        <f>#REF! + #REF! + #REF! + #REF!</f>
        <v>#REF!</v>
      </c>
    </row>
    <row r="1711" spans="1:34" x14ac:dyDescent="0.35">
      <c r="A1711">
        <v>1710</v>
      </c>
      <c r="B1711" t="s">
        <v>33</v>
      </c>
      <c r="C1711">
        <v>80</v>
      </c>
      <c r="D1711" t="s">
        <v>28</v>
      </c>
      <c r="E1711" t="s">
        <v>22</v>
      </c>
      <c r="F1711" t="s">
        <v>22</v>
      </c>
      <c r="G1711">
        <v>0</v>
      </c>
      <c r="H1711">
        <v>202.4</v>
      </c>
      <c r="I1711">
        <v>118</v>
      </c>
      <c r="J1711">
        <v>34.409999999999997</v>
      </c>
      <c r="K1711">
        <v>260.2</v>
      </c>
      <c r="L1711">
        <v>67</v>
      </c>
      <c r="M1711">
        <v>22.12</v>
      </c>
      <c r="N1711">
        <v>177.4</v>
      </c>
      <c r="O1711">
        <v>112</v>
      </c>
      <c r="P1711">
        <v>7.98</v>
      </c>
      <c r="Q1711">
        <v>9.1999999999999993</v>
      </c>
      <c r="R1711">
        <v>5</v>
      </c>
      <c r="S1711">
        <v>2.48</v>
      </c>
      <c r="T1711">
        <v>3</v>
      </c>
      <c r="U1711" t="s">
        <v>22</v>
      </c>
      <c r="V1711" t="e">
        <f>IF(#REF! = "yes", 1, 0)</f>
        <v>#REF!</v>
      </c>
      <c r="W1711" t="e">
        <f>IF(#REF! &lt;= 1, "0-1 Calls", IF(#REF! &lt;= 3, "2-3 Calls", IF(#REF! &lt;=5, "4-5 Calls", "6+ Calls")))</f>
        <v>#REF!</v>
      </c>
      <c r="X1711" t="e">
        <f>IF(#REF! &lt;= 50, "0-50", IF(#REF! &lt;=100, "51-100", IF(#REF! &lt;= 150, "101-150", "151+")))</f>
        <v>#REF!</v>
      </c>
      <c r="Y1711" t="e">
        <f>IF(#REF! &lt;= 3, "Low Charges", "High Charges")</f>
        <v>#REF!</v>
      </c>
      <c r="Z1711" t="e">
        <f>IF(#REF!&lt;=80,"Low Calls",
IF(#REF!&lt;=120,"Medium Calls","High Calls"))</f>
        <v>#REF!</v>
      </c>
      <c r="AA1711" t="e">
        <f>IF(#REF!&lt;=15,"Low Charges",
IF(#REF!&lt;=20,"Medium Charges","High Charges"))</f>
        <v>#REF!</v>
      </c>
      <c r="AB1711" t="e">
        <f>IF(AND(#REF!&gt;180, #REF!&gt;200), "Heavy Doemstic User", IF(#REF!&gt;10, "Interntional User", IF(AND(#REF!&lt;180, #REF!&lt;200,#REF!&lt;200), "Light User", "Balanced User")))</f>
        <v>#REF!</v>
      </c>
      <c r="AC1711" t="e">
        <f>IF(#REF! = 0, "No Usage", IF(#REF! &lt;= 20, "Low Usage", IF(#REF! &lt;= 40, "Medium Usgae", "High Usage")))</f>
        <v>#REF!</v>
      </c>
      <c r="AD1711" t="e">
        <f>IF(#REF!&lt;=150,"Low Usage", IF(#REF!&lt;=200,"Medium Usage", IF(#REF!&lt;=250,"High Usage","Very High Usage")))</f>
        <v>#REF!</v>
      </c>
      <c r="AE1711" t="e">
        <f>IF(#REF!&lt;=5,"Low Calls", IF(#REF!&lt;=10, "Medium Calls", "High Calls"))</f>
        <v>#REF!</v>
      </c>
      <c r="AF1711" t="e">
        <f xml:space="preserve">
IF(#REF!&gt;=4,4,0)+
IF(#REF!="yes",3,0)+
IF(#REF!="High Charges",3,0)+
IF(#REF!&gt;250,4,0)+
IF(#REF!="no",1,0)+
IF(#REF!="Heavy Domestic User",2,0)</f>
        <v>#REF!</v>
      </c>
      <c r="AG1711" t="e">
        <f>IF(#REF!&gt;=10,"High Risk", IF(#REF!&gt;=5,"Medium Risk","Low Risk"))</f>
        <v>#REF!</v>
      </c>
      <c r="AH1711" t="e">
        <f>#REF! + #REF! + #REF! + #REF!</f>
        <v>#REF!</v>
      </c>
    </row>
    <row r="1712" spans="1:34" x14ac:dyDescent="0.35">
      <c r="A1712">
        <v>1711</v>
      </c>
      <c r="B1712" t="s">
        <v>37</v>
      </c>
      <c r="C1712">
        <v>153</v>
      </c>
      <c r="D1712" t="s">
        <v>21</v>
      </c>
      <c r="E1712" t="s">
        <v>22</v>
      </c>
      <c r="F1712" t="s">
        <v>23</v>
      </c>
      <c r="G1712">
        <v>22</v>
      </c>
      <c r="H1712">
        <v>167.7</v>
      </c>
      <c r="I1712">
        <v>104</v>
      </c>
      <c r="J1712">
        <v>28.51</v>
      </c>
      <c r="K1712">
        <v>246.8</v>
      </c>
      <c r="L1712">
        <v>91</v>
      </c>
      <c r="M1712">
        <v>20.98</v>
      </c>
      <c r="N1712">
        <v>203.9</v>
      </c>
      <c r="O1712">
        <v>117</v>
      </c>
      <c r="P1712">
        <v>9.18</v>
      </c>
      <c r="Q1712">
        <v>7.5</v>
      </c>
      <c r="R1712">
        <v>11</v>
      </c>
      <c r="S1712">
        <v>2.0299999999999998</v>
      </c>
      <c r="T1712">
        <v>1</v>
      </c>
      <c r="U1712" t="s">
        <v>22</v>
      </c>
      <c r="V1712" t="e">
        <f>IF(#REF! = "yes", 1, 0)</f>
        <v>#REF!</v>
      </c>
      <c r="W1712" t="e">
        <f>IF(#REF! &lt;= 1, "0-1 Calls", IF(#REF! &lt;= 3, "2-3 Calls", IF(#REF! &lt;=5, "4-5 Calls", "6+ Calls")))</f>
        <v>#REF!</v>
      </c>
      <c r="X1712" t="e">
        <f>IF(#REF! &lt;= 50, "0-50", IF(#REF! &lt;=100, "51-100", IF(#REF! &lt;= 150, "101-150", "151+")))</f>
        <v>#REF!</v>
      </c>
      <c r="Y1712" t="e">
        <f>IF(#REF! &lt;= 3, "Low Charges", "High Charges")</f>
        <v>#REF!</v>
      </c>
      <c r="Z1712" t="e">
        <f>IF(#REF!&lt;=80,"Low Calls",
IF(#REF!&lt;=120,"Medium Calls","High Calls"))</f>
        <v>#REF!</v>
      </c>
      <c r="AA1712" t="e">
        <f>IF(#REF!&lt;=15,"Low Charges",
IF(#REF!&lt;=20,"Medium Charges","High Charges"))</f>
        <v>#REF!</v>
      </c>
      <c r="AB1712" t="e">
        <f>IF(AND(#REF!&gt;180, #REF!&gt;200), "Heavy Doemstic User", IF(#REF!&gt;10, "Interntional User", IF(AND(#REF!&lt;180, #REF!&lt;200,#REF!&lt;200), "Light User", "Balanced User")))</f>
        <v>#REF!</v>
      </c>
      <c r="AC1712" t="e">
        <f>IF(#REF! = 0, "No Usage", IF(#REF! &lt;= 20, "Low Usage", IF(#REF! &lt;= 40, "Medium Usgae", "High Usage")))</f>
        <v>#REF!</v>
      </c>
      <c r="AD1712" t="e">
        <f>IF(#REF!&lt;=150,"Low Usage", IF(#REF!&lt;=200,"Medium Usage", IF(#REF!&lt;=250,"High Usage","Very High Usage")))</f>
        <v>#REF!</v>
      </c>
      <c r="AE1712" t="e">
        <f>IF(#REF!&lt;=5,"Low Calls", IF(#REF!&lt;=10, "Medium Calls", "High Calls"))</f>
        <v>#REF!</v>
      </c>
      <c r="AF1712" t="e">
        <f xml:space="preserve">
IF(#REF!&gt;=4,4,0)+
IF(#REF!="yes",3,0)+
IF(#REF!="High Charges",3,0)+
IF(#REF!&gt;250,4,0)+
IF(#REF!="no",1,0)+
IF(#REF!="Heavy Domestic User",2,0)</f>
        <v>#REF!</v>
      </c>
      <c r="AG1712" t="e">
        <f>IF(#REF!&gt;=10,"High Risk", IF(#REF!&gt;=5,"Medium Risk","Low Risk"))</f>
        <v>#REF!</v>
      </c>
      <c r="AH1712" t="e">
        <f>#REF! + #REF! + #REF! + #REF!</f>
        <v>#REF!</v>
      </c>
    </row>
    <row r="1713" spans="1:34" x14ac:dyDescent="0.35">
      <c r="A1713">
        <v>1712</v>
      </c>
      <c r="B1713" t="s">
        <v>36</v>
      </c>
      <c r="C1713">
        <v>104</v>
      </c>
      <c r="D1713" t="s">
        <v>21</v>
      </c>
      <c r="E1713" t="s">
        <v>22</v>
      </c>
      <c r="F1713" t="s">
        <v>23</v>
      </c>
      <c r="G1713">
        <v>26</v>
      </c>
      <c r="H1713">
        <v>189.1</v>
      </c>
      <c r="I1713">
        <v>112</v>
      </c>
      <c r="J1713">
        <v>32.15</v>
      </c>
      <c r="K1713">
        <v>178.2</v>
      </c>
      <c r="L1713">
        <v>97</v>
      </c>
      <c r="M1713">
        <v>15.15</v>
      </c>
      <c r="N1713">
        <v>199.3</v>
      </c>
      <c r="O1713">
        <v>104</v>
      </c>
      <c r="P1713">
        <v>8.9700000000000006</v>
      </c>
      <c r="Q1713">
        <v>11.1</v>
      </c>
      <c r="R1713">
        <v>4</v>
      </c>
      <c r="S1713">
        <v>3</v>
      </c>
      <c r="T1713">
        <v>1</v>
      </c>
      <c r="U1713" t="s">
        <v>22</v>
      </c>
      <c r="V1713" t="e">
        <f>IF(#REF! = "yes", 1, 0)</f>
        <v>#REF!</v>
      </c>
      <c r="W1713" t="e">
        <f>IF(#REF! &lt;= 1, "0-1 Calls", IF(#REF! &lt;= 3, "2-3 Calls", IF(#REF! &lt;=5, "4-5 Calls", "6+ Calls")))</f>
        <v>#REF!</v>
      </c>
      <c r="X1713" t="e">
        <f>IF(#REF! &lt;= 50, "0-50", IF(#REF! &lt;=100, "51-100", IF(#REF! &lt;= 150, "101-150", "151+")))</f>
        <v>#REF!</v>
      </c>
      <c r="Y1713" t="e">
        <f>IF(#REF! &lt;= 3, "Low Charges", "High Charges")</f>
        <v>#REF!</v>
      </c>
      <c r="Z1713" t="e">
        <f>IF(#REF!&lt;=80,"Low Calls",
IF(#REF!&lt;=120,"Medium Calls","High Calls"))</f>
        <v>#REF!</v>
      </c>
      <c r="AA1713" t="e">
        <f>IF(#REF!&lt;=15,"Low Charges",
IF(#REF!&lt;=20,"Medium Charges","High Charges"))</f>
        <v>#REF!</v>
      </c>
      <c r="AB1713" t="e">
        <f>IF(AND(#REF!&gt;180, #REF!&gt;200), "Heavy Doemstic User", IF(#REF!&gt;10, "Interntional User", IF(AND(#REF!&lt;180, #REF!&lt;200,#REF!&lt;200), "Light User", "Balanced User")))</f>
        <v>#REF!</v>
      </c>
      <c r="AC1713" t="e">
        <f>IF(#REF! = 0, "No Usage", IF(#REF! &lt;= 20, "Low Usage", IF(#REF! &lt;= 40, "Medium Usgae", "High Usage")))</f>
        <v>#REF!</v>
      </c>
      <c r="AD1713" t="e">
        <f>IF(#REF!&lt;=150,"Low Usage", IF(#REF!&lt;=200,"Medium Usage", IF(#REF!&lt;=250,"High Usage","Very High Usage")))</f>
        <v>#REF!</v>
      </c>
      <c r="AE1713" t="e">
        <f>IF(#REF!&lt;=5,"Low Calls", IF(#REF!&lt;=10, "Medium Calls", "High Calls"))</f>
        <v>#REF!</v>
      </c>
      <c r="AF1713" t="e">
        <f xml:space="preserve">
IF(#REF!&gt;=4,4,0)+
IF(#REF!="yes",3,0)+
IF(#REF!="High Charges",3,0)+
IF(#REF!&gt;250,4,0)+
IF(#REF!="no",1,0)+
IF(#REF!="Heavy Domestic User",2,0)</f>
        <v>#REF!</v>
      </c>
      <c r="AG1713" t="e">
        <f>IF(#REF!&gt;=10,"High Risk", IF(#REF!&gt;=5,"Medium Risk","Low Risk"))</f>
        <v>#REF!</v>
      </c>
      <c r="AH1713" t="e">
        <f>#REF! + #REF! + #REF! + #REF!</f>
        <v>#REF!</v>
      </c>
    </row>
    <row r="1714" spans="1:34" x14ac:dyDescent="0.35">
      <c r="A1714">
        <v>1713</v>
      </c>
      <c r="B1714" t="s">
        <v>26</v>
      </c>
      <c r="C1714">
        <v>87</v>
      </c>
      <c r="D1714" t="s">
        <v>21</v>
      </c>
      <c r="E1714" t="s">
        <v>22</v>
      </c>
      <c r="F1714" t="s">
        <v>22</v>
      </c>
      <c r="G1714">
        <v>0</v>
      </c>
      <c r="H1714">
        <v>205.2</v>
      </c>
      <c r="I1714">
        <v>106</v>
      </c>
      <c r="J1714">
        <v>34.880000000000003</v>
      </c>
      <c r="K1714">
        <v>99.5</v>
      </c>
      <c r="L1714">
        <v>122</v>
      </c>
      <c r="M1714">
        <v>8.4600000000000009</v>
      </c>
      <c r="N1714">
        <v>189.5</v>
      </c>
      <c r="O1714">
        <v>75</v>
      </c>
      <c r="P1714">
        <v>8.5299999999999994</v>
      </c>
      <c r="Q1714">
        <v>13.4</v>
      </c>
      <c r="R1714">
        <v>3</v>
      </c>
      <c r="S1714">
        <v>3.62</v>
      </c>
      <c r="T1714">
        <v>1</v>
      </c>
      <c r="U1714" t="s">
        <v>22</v>
      </c>
      <c r="V1714" t="e">
        <f>IF(#REF! = "yes", 1, 0)</f>
        <v>#REF!</v>
      </c>
      <c r="W1714" t="e">
        <f>IF(#REF! &lt;= 1, "0-1 Calls", IF(#REF! &lt;= 3, "2-3 Calls", IF(#REF! &lt;=5, "4-5 Calls", "6+ Calls")))</f>
        <v>#REF!</v>
      </c>
      <c r="X1714" t="e">
        <f>IF(#REF! &lt;= 50, "0-50", IF(#REF! &lt;=100, "51-100", IF(#REF! &lt;= 150, "101-150", "151+")))</f>
        <v>#REF!</v>
      </c>
      <c r="Y1714" t="e">
        <f>IF(#REF! &lt;= 3, "Low Charges", "High Charges")</f>
        <v>#REF!</v>
      </c>
      <c r="Z1714" t="e">
        <f>IF(#REF!&lt;=80,"Low Calls",
IF(#REF!&lt;=120,"Medium Calls","High Calls"))</f>
        <v>#REF!</v>
      </c>
      <c r="AA1714" t="e">
        <f>IF(#REF!&lt;=15,"Low Charges",
IF(#REF!&lt;=20,"Medium Charges","High Charges"))</f>
        <v>#REF!</v>
      </c>
      <c r="AB1714" t="e">
        <f>IF(AND(#REF!&gt;180, #REF!&gt;200), "Heavy Doemstic User", IF(#REF!&gt;10, "Interntional User", IF(AND(#REF!&lt;180, #REF!&lt;200,#REF!&lt;200), "Light User", "Balanced User")))</f>
        <v>#REF!</v>
      </c>
      <c r="AC1714" t="e">
        <f>IF(#REF! = 0, "No Usage", IF(#REF! &lt;= 20, "Low Usage", IF(#REF! &lt;= 40, "Medium Usgae", "High Usage")))</f>
        <v>#REF!</v>
      </c>
      <c r="AD1714" t="e">
        <f>IF(#REF!&lt;=150,"Low Usage", IF(#REF!&lt;=200,"Medium Usage", IF(#REF!&lt;=250,"High Usage","Very High Usage")))</f>
        <v>#REF!</v>
      </c>
      <c r="AE1714" t="e">
        <f>IF(#REF!&lt;=5,"Low Calls", IF(#REF!&lt;=10, "Medium Calls", "High Calls"))</f>
        <v>#REF!</v>
      </c>
      <c r="AF1714" t="e">
        <f xml:space="preserve">
IF(#REF!&gt;=4,4,0)+
IF(#REF!="yes",3,0)+
IF(#REF!="High Charges",3,0)+
IF(#REF!&gt;250,4,0)+
IF(#REF!="no",1,0)+
IF(#REF!="Heavy Domestic User",2,0)</f>
        <v>#REF!</v>
      </c>
      <c r="AG1714" t="e">
        <f>IF(#REF!&gt;=10,"High Risk", IF(#REF!&gt;=5,"Medium Risk","Low Risk"))</f>
        <v>#REF!</v>
      </c>
      <c r="AH1714" t="e">
        <f>#REF! + #REF! + #REF! + #REF!</f>
        <v>#REF!</v>
      </c>
    </row>
    <row r="1715" spans="1:34" x14ac:dyDescent="0.35">
      <c r="A1715">
        <v>1714</v>
      </c>
      <c r="B1715" t="s">
        <v>43</v>
      </c>
      <c r="C1715">
        <v>159</v>
      </c>
      <c r="D1715" t="s">
        <v>21</v>
      </c>
      <c r="E1715" t="s">
        <v>22</v>
      </c>
      <c r="F1715" t="s">
        <v>23</v>
      </c>
      <c r="G1715">
        <v>23</v>
      </c>
      <c r="H1715">
        <v>153.6</v>
      </c>
      <c r="I1715">
        <v>93</v>
      </c>
      <c r="J1715">
        <v>26.11</v>
      </c>
      <c r="K1715">
        <v>216.9</v>
      </c>
      <c r="L1715">
        <v>88</v>
      </c>
      <c r="M1715">
        <v>18.440000000000001</v>
      </c>
      <c r="N1715">
        <v>161.30000000000001</v>
      </c>
      <c r="O1715">
        <v>91</v>
      </c>
      <c r="P1715">
        <v>7.26</v>
      </c>
      <c r="Q1715">
        <v>12.6</v>
      </c>
      <c r="R1715">
        <v>3</v>
      </c>
      <c r="S1715">
        <v>3.4</v>
      </c>
      <c r="T1715">
        <v>2</v>
      </c>
      <c r="U1715" t="s">
        <v>22</v>
      </c>
      <c r="V1715" t="e">
        <f>IF(#REF! = "yes", 1, 0)</f>
        <v>#REF!</v>
      </c>
      <c r="W1715" t="e">
        <f>IF(#REF! &lt;= 1, "0-1 Calls", IF(#REF! &lt;= 3, "2-3 Calls", IF(#REF! &lt;=5, "4-5 Calls", "6+ Calls")))</f>
        <v>#REF!</v>
      </c>
      <c r="X1715" t="e">
        <f>IF(#REF! &lt;= 50, "0-50", IF(#REF! &lt;=100, "51-100", IF(#REF! &lt;= 150, "101-150", "151+")))</f>
        <v>#REF!</v>
      </c>
      <c r="Y1715" t="e">
        <f>IF(#REF! &lt;= 3, "Low Charges", "High Charges")</f>
        <v>#REF!</v>
      </c>
      <c r="Z1715" t="e">
        <f>IF(#REF!&lt;=80,"Low Calls",
IF(#REF!&lt;=120,"Medium Calls","High Calls"))</f>
        <v>#REF!</v>
      </c>
      <c r="AA1715" t="e">
        <f>IF(#REF!&lt;=15,"Low Charges",
IF(#REF!&lt;=20,"Medium Charges","High Charges"))</f>
        <v>#REF!</v>
      </c>
      <c r="AB1715" t="e">
        <f>IF(AND(#REF!&gt;180, #REF!&gt;200), "Heavy Doemstic User", IF(#REF!&gt;10, "Interntional User", IF(AND(#REF!&lt;180, #REF!&lt;200,#REF!&lt;200), "Light User", "Balanced User")))</f>
        <v>#REF!</v>
      </c>
      <c r="AC1715" t="e">
        <f>IF(#REF! = 0, "No Usage", IF(#REF! &lt;= 20, "Low Usage", IF(#REF! &lt;= 40, "Medium Usgae", "High Usage")))</f>
        <v>#REF!</v>
      </c>
      <c r="AD1715" t="e">
        <f>IF(#REF!&lt;=150,"Low Usage", IF(#REF!&lt;=200,"Medium Usage", IF(#REF!&lt;=250,"High Usage","Very High Usage")))</f>
        <v>#REF!</v>
      </c>
      <c r="AE1715" t="e">
        <f>IF(#REF!&lt;=5,"Low Calls", IF(#REF!&lt;=10, "Medium Calls", "High Calls"))</f>
        <v>#REF!</v>
      </c>
      <c r="AF1715" t="e">
        <f xml:space="preserve">
IF(#REF!&gt;=4,4,0)+
IF(#REF!="yes",3,0)+
IF(#REF!="High Charges",3,0)+
IF(#REF!&gt;250,4,0)+
IF(#REF!="no",1,0)+
IF(#REF!="Heavy Domestic User",2,0)</f>
        <v>#REF!</v>
      </c>
      <c r="AG1715" t="e">
        <f>IF(#REF!&gt;=10,"High Risk", IF(#REF!&gt;=5,"Medium Risk","Low Risk"))</f>
        <v>#REF!</v>
      </c>
      <c r="AH1715" t="e">
        <f>#REF! + #REF! + #REF! + #REF!</f>
        <v>#REF!</v>
      </c>
    </row>
    <row r="1716" spans="1:34" x14ac:dyDescent="0.35">
      <c r="A1716">
        <v>1715</v>
      </c>
      <c r="B1716" t="s">
        <v>32</v>
      </c>
      <c r="C1716">
        <v>119</v>
      </c>
      <c r="D1716" t="s">
        <v>28</v>
      </c>
      <c r="E1716" t="s">
        <v>22</v>
      </c>
      <c r="F1716" t="s">
        <v>22</v>
      </c>
      <c r="G1716">
        <v>0</v>
      </c>
      <c r="H1716">
        <v>154.5</v>
      </c>
      <c r="I1716">
        <v>129</v>
      </c>
      <c r="J1716">
        <v>26.27</v>
      </c>
      <c r="K1716">
        <v>193.6</v>
      </c>
      <c r="L1716">
        <v>87</v>
      </c>
      <c r="M1716">
        <v>16.46</v>
      </c>
      <c r="N1716">
        <v>180.9</v>
      </c>
      <c r="O1716">
        <v>145</v>
      </c>
      <c r="P1716">
        <v>8.14</v>
      </c>
      <c r="Q1716">
        <v>13.4</v>
      </c>
      <c r="R1716">
        <v>3</v>
      </c>
      <c r="S1716">
        <v>3.62</v>
      </c>
      <c r="T1716">
        <v>2</v>
      </c>
      <c r="U1716" t="s">
        <v>22</v>
      </c>
      <c r="V1716" t="e">
        <f>IF(#REF! = "yes", 1, 0)</f>
        <v>#REF!</v>
      </c>
      <c r="W1716" t="e">
        <f>IF(#REF! &lt;= 1, "0-1 Calls", IF(#REF! &lt;= 3, "2-3 Calls", IF(#REF! &lt;=5, "4-5 Calls", "6+ Calls")))</f>
        <v>#REF!</v>
      </c>
      <c r="X1716" t="e">
        <f>IF(#REF! &lt;= 50, "0-50", IF(#REF! &lt;=100, "51-100", IF(#REF! &lt;= 150, "101-150", "151+")))</f>
        <v>#REF!</v>
      </c>
      <c r="Y1716" t="e">
        <f>IF(#REF! &lt;= 3, "Low Charges", "High Charges")</f>
        <v>#REF!</v>
      </c>
      <c r="Z1716" t="e">
        <f>IF(#REF!&lt;=80,"Low Calls",
IF(#REF!&lt;=120,"Medium Calls","High Calls"))</f>
        <v>#REF!</v>
      </c>
      <c r="AA1716" t="e">
        <f>IF(#REF!&lt;=15,"Low Charges",
IF(#REF!&lt;=20,"Medium Charges","High Charges"))</f>
        <v>#REF!</v>
      </c>
      <c r="AB1716" t="e">
        <f>IF(AND(#REF!&gt;180, #REF!&gt;200), "Heavy Doemstic User", IF(#REF!&gt;10, "Interntional User", IF(AND(#REF!&lt;180, #REF!&lt;200,#REF!&lt;200), "Light User", "Balanced User")))</f>
        <v>#REF!</v>
      </c>
      <c r="AC1716" t="e">
        <f>IF(#REF! = 0, "No Usage", IF(#REF! &lt;= 20, "Low Usage", IF(#REF! &lt;= 40, "Medium Usgae", "High Usage")))</f>
        <v>#REF!</v>
      </c>
      <c r="AD1716" t="e">
        <f>IF(#REF!&lt;=150,"Low Usage", IF(#REF!&lt;=200,"Medium Usage", IF(#REF!&lt;=250,"High Usage","Very High Usage")))</f>
        <v>#REF!</v>
      </c>
      <c r="AE1716" t="e">
        <f>IF(#REF!&lt;=5,"Low Calls", IF(#REF!&lt;=10, "Medium Calls", "High Calls"))</f>
        <v>#REF!</v>
      </c>
      <c r="AF1716" t="e">
        <f xml:space="preserve">
IF(#REF!&gt;=4,4,0)+
IF(#REF!="yes",3,0)+
IF(#REF!="High Charges",3,0)+
IF(#REF!&gt;250,4,0)+
IF(#REF!="no",1,0)+
IF(#REF!="Heavy Domestic User",2,0)</f>
        <v>#REF!</v>
      </c>
      <c r="AG1716" t="e">
        <f>IF(#REF!&gt;=10,"High Risk", IF(#REF!&gt;=5,"Medium Risk","Low Risk"))</f>
        <v>#REF!</v>
      </c>
      <c r="AH1716" t="e">
        <f>#REF! + #REF! + #REF! + #REF!</f>
        <v>#REF!</v>
      </c>
    </row>
    <row r="1717" spans="1:34" x14ac:dyDescent="0.35">
      <c r="A1717">
        <v>1716</v>
      </c>
      <c r="B1717" t="s">
        <v>62</v>
      </c>
      <c r="C1717">
        <v>69</v>
      </c>
      <c r="D1717" t="s">
        <v>21</v>
      </c>
      <c r="E1717" t="s">
        <v>22</v>
      </c>
      <c r="F1717" t="s">
        <v>22</v>
      </c>
      <c r="G1717">
        <v>0</v>
      </c>
      <c r="H1717">
        <v>153.69999999999999</v>
      </c>
      <c r="I1717">
        <v>109</v>
      </c>
      <c r="J1717">
        <v>26.13</v>
      </c>
      <c r="K1717">
        <v>194</v>
      </c>
      <c r="L1717">
        <v>105</v>
      </c>
      <c r="M1717">
        <v>16.489999999999998</v>
      </c>
      <c r="N1717">
        <v>256.10000000000002</v>
      </c>
      <c r="O1717">
        <v>114</v>
      </c>
      <c r="P1717">
        <v>11.52</v>
      </c>
      <c r="Q1717">
        <v>14.1</v>
      </c>
      <c r="R1717">
        <v>6</v>
      </c>
      <c r="S1717">
        <v>3.81</v>
      </c>
      <c r="T1717">
        <v>1</v>
      </c>
      <c r="U1717" t="s">
        <v>22</v>
      </c>
      <c r="V1717" t="e">
        <f>IF(#REF! = "yes", 1, 0)</f>
        <v>#REF!</v>
      </c>
      <c r="W1717" t="e">
        <f>IF(#REF! &lt;= 1, "0-1 Calls", IF(#REF! &lt;= 3, "2-3 Calls", IF(#REF! &lt;=5, "4-5 Calls", "6+ Calls")))</f>
        <v>#REF!</v>
      </c>
      <c r="X1717" t="e">
        <f>IF(#REF! &lt;= 50, "0-50", IF(#REF! &lt;=100, "51-100", IF(#REF! &lt;= 150, "101-150", "151+")))</f>
        <v>#REF!</v>
      </c>
      <c r="Y1717" t="e">
        <f>IF(#REF! &lt;= 3, "Low Charges", "High Charges")</f>
        <v>#REF!</v>
      </c>
      <c r="Z1717" t="e">
        <f>IF(#REF!&lt;=80,"Low Calls",
IF(#REF!&lt;=120,"Medium Calls","High Calls"))</f>
        <v>#REF!</v>
      </c>
      <c r="AA1717" t="e">
        <f>IF(#REF!&lt;=15,"Low Charges",
IF(#REF!&lt;=20,"Medium Charges","High Charges"))</f>
        <v>#REF!</v>
      </c>
      <c r="AB1717" t="e">
        <f>IF(AND(#REF!&gt;180, #REF!&gt;200), "Heavy Doemstic User", IF(#REF!&gt;10, "Interntional User", IF(AND(#REF!&lt;180, #REF!&lt;200,#REF!&lt;200), "Light User", "Balanced User")))</f>
        <v>#REF!</v>
      </c>
      <c r="AC1717" t="e">
        <f>IF(#REF! = 0, "No Usage", IF(#REF! &lt;= 20, "Low Usage", IF(#REF! &lt;= 40, "Medium Usgae", "High Usage")))</f>
        <v>#REF!</v>
      </c>
      <c r="AD1717" t="e">
        <f>IF(#REF!&lt;=150,"Low Usage", IF(#REF!&lt;=200,"Medium Usage", IF(#REF!&lt;=250,"High Usage","Very High Usage")))</f>
        <v>#REF!</v>
      </c>
      <c r="AE1717" t="e">
        <f>IF(#REF!&lt;=5,"Low Calls", IF(#REF!&lt;=10, "Medium Calls", "High Calls"))</f>
        <v>#REF!</v>
      </c>
      <c r="AF1717" t="e">
        <f xml:space="preserve">
IF(#REF!&gt;=4,4,0)+
IF(#REF!="yes",3,0)+
IF(#REF!="High Charges",3,0)+
IF(#REF!&gt;250,4,0)+
IF(#REF!="no",1,0)+
IF(#REF!="Heavy Domestic User",2,0)</f>
        <v>#REF!</v>
      </c>
      <c r="AG1717" t="e">
        <f>IF(#REF!&gt;=10,"High Risk", IF(#REF!&gt;=5,"Medium Risk","Low Risk"))</f>
        <v>#REF!</v>
      </c>
      <c r="AH1717" t="e">
        <f>#REF! + #REF! + #REF! + #REF!</f>
        <v>#REF!</v>
      </c>
    </row>
    <row r="1718" spans="1:34" x14ac:dyDescent="0.35">
      <c r="A1718">
        <v>1717</v>
      </c>
      <c r="B1718" t="s">
        <v>72</v>
      </c>
      <c r="C1718">
        <v>87</v>
      </c>
      <c r="D1718" t="s">
        <v>25</v>
      </c>
      <c r="E1718" t="s">
        <v>23</v>
      </c>
      <c r="F1718" t="s">
        <v>23</v>
      </c>
      <c r="G1718">
        <v>36</v>
      </c>
      <c r="H1718">
        <v>171.2</v>
      </c>
      <c r="I1718">
        <v>138</v>
      </c>
      <c r="J1718">
        <v>29.1</v>
      </c>
      <c r="K1718">
        <v>185.8</v>
      </c>
      <c r="L1718">
        <v>102</v>
      </c>
      <c r="M1718">
        <v>15.79</v>
      </c>
      <c r="N1718">
        <v>227.6</v>
      </c>
      <c r="O1718">
        <v>97</v>
      </c>
      <c r="P1718">
        <v>10.24</v>
      </c>
      <c r="Q1718">
        <v>10.8</v>
      </c>
      <c r="R1718">
        <v>3</v>
      </c>
      <c r="S1718">
        <v>2.92</v>
      </c>
      <c r="T1718">
        <v>1</v>
      </c>
      <c r="U1718" t="s">
        <v>22</v>
      </c>
      <c r="V1718" t="e">
        <f>IF(#REF! = "yes", 1, 0)</f>
        <v>#REF!</v>
      </c>
      <c r="W1718" t="e">
        <f>IF(#REF! &lt;= 1, "0-1 Calls", IF(#REF! &lt;= 3, "2-3 Calls", IF(#REF! &lt;=5, "4-5 Calls", "6+ Calls")))</f>
        <v>#REF!</v>
      </c>
      <c r="X1718" t="e">
        <f>IF(#REF! &lt;= 50, "0-50", IF(#REF! &lt;=100, "51-100", IF(#REF! &lt;= 150, "101-150", "151+")))</f>
        <v>#REF!</v>
      </c>
      <c r="Y1718" t="e">
        <f>IF(#REF! &lt;= 3, "Low Charges", "High Charges")</f>
        <v>#REF!</v>
      </c>
      <c r="Z1718" t="e">
        <f>IF(#REF!&lt;=80,"Low Calls",
IF(#REF!&lt;=120,"Medium Calls","High Calls"))</f>
        <v>#REF!</v>
      </c>
      <c r="AA1718" t="e">
        <f>IF(#REF!&lt;=15,"Low Charges",
IF(#REF!&lt;=20,"Medium Charges","High Charges"))</f>
        <v>#REF!</v>
      </c>
      <c r="AB1718" t="e">
        <f>IF(AND(#REF!&gt;180, #REF!&gt;200), "Heavy Doemstic User", IF(#REF!&gt;10, "Interntional User", IF(AND(#REF!&lt;180, #REF!&lt;200,#REF!&lt;200), "Light User", "Balanced User")))</f>
        <v>#REF!</v>
      </c>
      <c r="AC1718" t="e">
        <f>IF(#REF! = 0, "No Usage", IF(#REF! &lt;= 20, "Low Usage", IF(#REF! &lt;= 40, "Medium Usgae", "High Usage")))</f>
        <v>#REF!</v>
      </c>
      <c r="AD1718" t="e">
        <f>IF(#REF!&lt;=150,"Low Usage", IF(#REF!&lt;=200,"Medium Usage", IF(#REF!&lt;=250,"High Usage","Very High Usage")))</f>
        <v>#REF!</v>
      </c>
      <c r="AE1718" t="e">
        <f>IF(#REF!&lt;=5,"Low Calls", IF(#REF!&lt;=10, "Medium Calls", "High Calls"))</f>
        <v>#REF!</v>
      </c>
      <c r="AF1718" t="e">
        <f xml:space="preserve">
IF(#REF!&gt;=4,4,0)+
IF(#REF!="yes",3,0)+
IF(#REF!="High Charges",3,0)+
IF(#REF!&gt;250,4,0)+
IF(#REF!="no",1,0)+
IF(#REF!="Heavy Domestic User",2,0)</f>
        <v>#REF!</v>
      </c>
      <c r="AG1718" t="e">
        <f>IF(#REF!&gt;=10,"High Risk", IF(#REF!&gt;=5,"Medium Risk","Low Risk"))</f>
        <v>#REF!</v>
      </c>
      <c r="AH1718" t="e">
        <f>#REF! + #REF! + #REF! + #REF!</f>
        <v>#REF!</v>
      </c>
    </row>
    <row r="1719" spans="1:34" x14ac:dyDescent="0.35">
      <c r="A1719">
        <v>1718</v>
      </c>
      <c r="B1719" t="s">
        <v>57</v>
      </c>
      <c r="C1719">
        <v>93</v>
      </c>
      <c r="D1719" t="s">
        <v>28</v>
      </c>
      <c r="E1719" t="s">
        <v>22</v>
      </c>
      <c r="F1719" t="s">
        <v>22</v>
      </c>
      <c r="G1719">
        <v>0</v>
      </c>
      <c r="H1719">
        <v>328.1</v>
      </c>
      <c r="I1719">
        <v>106</v>
      </c>
      <c r="J1719">
        <v>55.78</v>
      </c>
      <c r="K1719">
        <v>151.69999999999999</v>
      </c>
      <c r="L1719">
        <v>89</v>
      </c>
      <c r="M1719">
        <v>12.89</v>
      </c>
      <c r="N1719">
        <v>303.5</v>
      </c>
      <c r="O1719">
        <v>114</v>
      </c>
      <c r="P1719">
        <v>13.66</v>
      </c>
      <c r="Q1719">
        <v>8.6999999999999993</v>
      </c>
      <c r="R1719">
        <v>3</v>
      </c>
      <c r="S1719">
        <v>2.35</v>
      </c>
      <c r="T1719">
        <v>1</v>
      </c>
      <c r="U1719" t="s">
        <v>23</v>
      </c>
      <c r="V1719" t="e">
        <f>IF(#REF! = "yes", 1, 0)</f>
        <v>#REF!</v>
      </c>
      <c r="W1719" t="e">
        <f>IF(#REF! &lt;= 1, "0-1 Calls", IF(#REF! &lt;= 3, "2-3 Calls", IF(#REF! &lt;=5, "4-5 Calls", "6+ Calls")))</f>
        <v>#REF!</v>
      </c>
      <c r="X1719" t="e">
        <f>IF(#REF! &lt;= 50, "0-50", IF(#REF! &lt;=100, "51-100", IF(#REF! &lt;= 150, "101-150", "151+")))</f>
        <v>#REF!</v>
      </c>
      <c r="Y1719" t="e">
        <f>IF(#REF! &lt;= 3, "Low Charges", "High Charges")</f>
        <v>#REF!</v>
      </c>
      <c r="Z1719" t="e">
        <f>IF(#REF!&lt;=80,"Low Calls",
IF(#REF!&lt;=120,"Medium Calls","High Calls"))</f>
        <v>#REF!</v>
      </c>
      <c r="AA1719" t="e">
        <f>IF(#REF!&lt;=15,"Low Charges",
IF(#REF!&lt;=20,"Medium Charges","High Charges"))</f>
        <v>#REF!</v>
      </c>
      <c r="AB1719" t="e">
        <f>IF(AND(#REF!&gt;180, #REF!&gt;200), "Heavy Doemstic User", IF(#REF!&gt;10, "Interntional User", IF(AND(#REF!&lt;180, #REF!&lt;200,#REF!&lt;200), "Light User", "Balanced User")))</f>
        <v>#REF!</v>
      </c>
      <c r="AC1719" t="e">
        <f>IF(#REF! = 0, "No Usage", IF(#REF! &lt;= 20, "Low Usage", IF(#REF! &lt;= 40, "Medium Usgae", "High Usage")))</f>
        <v>#REF!</v>
      </c>
      <c r="AD1719" t="e">
        <f>IF(#REF!&lt;=150,"Low Usage", IF(#REF!&lt;=200,"Medium Usage", IF(#REF!&lt;=250,"High Usage","Very High Usage")))</f>
        <v>#REF!</v>
      </c>
      <c r="AE1719" t="e">
        <f>IF(#REF!&lt;=5,"Low Calls", IF(#REF!&lt;=10, "Medium Calls", "High Calls"))</f>
        <v>#REF!</v>
      </c>
      <c r="AF1719" t="e">
        <f xml:space="preserve">
IF(#REF!&gt;=4,4,0)+
IF(#REF!="yes",3,0)+
IF(#REF!="High Charges",3,0)+
IF(#REF!&gt;250,4,0)+
IF(#REF!="no",1,0)+
IF(#REF!="Heavy Domestic User",2,0)</f>
        <v>#REF!</v>
      </c>
      <c r="AG1719" t="e">
        <f>IF(#REF!&gt;=10,"High Risk", IF(#REF!&gt;=5,"Medium Risk","Low Risk"))</f>
        <v>#REF!</v>
      </c>
      <c r="AH1719" t="e">
        <f>#REF! + #REF! + #REF! + #REF!</f>
        <v>#REF!</v>
      </c>
    </row>
    <row r="1720" spans="1:34" x14ac:dyDescent="0.35">
      <c r="A1720">
        <v>1719</v>
      </c>
      <c r="B1720" t="s">
        <v>26</v>
      </c>
      <c r="C1720">
        <v>154</v>
      </c>
      <c r="D1720" t="s">
        <v>21</v>
      </c>
      <c r="E1720" t="s">
        <v>23</v>
      </c>
      <c r="F1720" t="s">
        <v>22</v>
      </c>
      <c r="G1720">
        <v>0</v>
      </c>
      <c r="H1720">
        <v>145.9</v>
      </c>
      <c r="I1720">
        <v>69</v>
      </c>
      <c r="J1720">
        <v>24.8</v>
      </c>
      <c r="K1720">
        <v>208.2</v>
      </c>
      <c r="L1720">
        <v>141</v>
      </c>
      <c r="M1720">
        <v>17.7</v>
      </c>
      <c r="N1720">
        <v>180.9</v>
      </c>
      <c r="O1720">
        <v>106</v>
      </c>
      <c r="P1720">
        <v>8.14</v>
      </c>
      <c r="Q1720">
        <v>14.4</v>
      </c>
      <c r="R1720">
        <v>10</v>
      </c>
      <c r="S1720">
        <v>3.89</v>
      </c>
      <c r="T1720">
        <v>0</v>
      </c>
      <c r="U1720" t="s">
        <v>23</v>
      </c>
      <c r="V1720" t="e">
        <f>IF(#REF! = "yes", 1, 0)</f>
        <v>#REF!</v>
      </c>
      <c r="W1720" t="e">
        <f>IF(#REF! &lt;= 1, "0-1 Calls", IF(#REF! &lt;= 3, "2-3 Calls", IF(#REF! &lt;=5, "4-5 Calls", "6+ Calls")))</f>
        <v>#REF!</v>
      </c>
      <c r="X1720" t="e">
        <f>IF(#REF! &lt;= 50, "0-50", IF(#REF! &lt;=100, "51-100", IF(#REF! &lt;= 150, "101-150", "151+")))</f>
        <v>#REF!</v>
      </c>
      <c r="Y1720" t="e">
        <f>IF(#REF! &lt;= 3, "Low Charges", "High Charges")</f>
        <v>#REF!</v>
      </c>
      <c r="Z1720" t="e">
        <f>IF(#REF!&lt;=80,"Low Calls",
IF(#REF!&lt;=120,"Medium Calls","High Calls"))</f>
        <v>#REF!</v>
      </c>
      <c r="AA1720" t="e">
        <f>IF(#REF!&lt;=15,"Low Charges",
IF(#REF!&lt;=20,"Medium Charges","High Charges"))</f>
        <v>#REF!</v>
      </c>
      <c r="AB1720" t="e">
        <f>IF(AND(#REF!&gt;180, #REF!&gt;200), "Heavy Doemstic User", IF(#REF!&gt;10, "Interntional User", IF(AND(#REF!&lt;180, #REF!&lt;200,#REF!&lt;200), "Light User", "Balanced User")))</f>
        <v>#REF!</v>
      </c>
      <c r="AC1720" t="e">
        <f>IF(#REF! = 0, "No Usage", IF(#REF! &lt;= 20, "Low Usage", IF(#REF! &lt;= 40, "Medium Usgae", "High Usage")))</f>
        <v>#REF!</v>
      </c>
      <c r="AD1720" t="e">
        <f>IF(#REF!&lt;=150,"Low Usage", IF(#REF!&lt;=200,"Medium Usage", IF(#REF!&lt;=250,"High Usage","Very High Usage")))</f>
        <v>#REF!</v>
      </c>
      <c r="AE1720" t="e">
        <f>IF(#REF!&lt;=5,"Low Calls", IF(#REF!&lt;=10, "Medium Calls", "High Calls"))</f>
        <v>#REF!</v>
      </c>
      <c r="AF1720" t="e">
        <f xml:space="preserve">
IF(#REF!&gt;=4,4,0)+
IF(#REF!="yes",3,0)+
IF(#REF!="High Charges",3,0)+
IF(#REF!&gt;250,4,0)+
IF(#REF!="no",1,0)+
IF(#REF!="Heavy Domestic User",2,0)</f>
        <v>#REF!</v>
      </c>
      <c r="AG1720" t="e">
        <f>IF(#REF!&gt;=10,"High Risk", IF(#REF!&gt;=5,"Medium Risk","Low Risk"))</f>
        <v>#REF!</v>
      </c>
      <c r="AH1720" t="e">
        <f>#REF! + #REF! + #REF! + #REF!</f>
        <v>#REF!</v>
      </c>
    </row>
    <row r="1721" spans="1:34" x14ac:dyDescent="0.35">
      <c r="A1721">
        <v>1720</v>
      </c>
      <c r="B1721" t="s">
        <v>70</v>
      </c>
      <c r="C1721">
        <v>57</v>
      </c>
      <c r="D1721" t="s">
        <v>21</v>
      </c>
      <c r="E1721" t="s">
        <v>22</v>
      </c>
      <c r="F1721" t="s">
        <v>23</v>
      </c>
      <c r="G1721">
        <v>37</v>
      </c>
      <c r="H1721">
        <v>201.2</v>
      </c>
      <c r="I1721">
        <v>76</v>
      </c>
      <c r="J1721">
        <v>34.200000000000003</v>
      </c>
      <c r="K1721">
        <v>280.10000000000002</v>
      </c>
      <c r="L1721">
        <v>122</v>
      </c>
      <c r="M1721">
        <v>23.81</v>
      </c>
      <c r="N1721">
        <v>154.19999999999999</v>
      </c>
      <c r="O1721">
        <v>110</v>
      </c>
      <c r="P1721">
        <v>6.94</v>
      </c>
      <c r="Q1721">
        <v>11.8</v>
      </c>
      <c r="R1721">
        <v>1</v>
      </c>
      <c r="S1721">
        <v>3.19</v>
      </c>
      <c r="T1721">
        <v>1</v>
      </c>
      <c r="U1721" t="s">
        <v>22</v>
      </c>
      <c r="V1721" t="e">
        <f>IF(#REF! = "yes", 1, 0)</f>
        <v>#REF!</v>
      </c>
      <c r="W1721" t="e">
        <f>IF(#REF! &lt;= 1, "0-1 Calls", IF(#REF! &lt;= 3, "2-3 Calls", IF(#REF! &lt;=5, "4-5 Calls", "6+ Calls")))</f>
        <v>#REF!</v>
      </c>
      <c r="X1721" t="e">
        <f>IF(#REF! &lt;= 50, "0-50", IF(#REF! &lt;=100, "51-100", IF(#REF! &lt;= 150, "101-150", "151+")))</f>
        <v>#REF!</v>
      </c>
      <c r="Y1721" t="e">
        <f>IF(#REF! &lt;= 3, "Low Charges", "High Charges")</f>
        <v>#REF!</v>
      </c>
      <c r="Z1721" t="e">
        <f>IF(#REF!&lt;=80,"Low Calls",
IF(#REF!&lt;=120,"Medium Calls","High Calls"))</f>
        <v>#REF!</v>
      </c>
      <c r="AA1721" t="e">
        <f>IF(#REF!&lt;=15,"Low Charges",
IF(#REF!&lt;=20,"Medium Charges","High Charges"))</f>
        <v>#REF!</v>
      </c>
      <c r="AB1721" t="e">
        <f>IF(AND(#REF!&gt;180, #REF!&gt;200), "Heavy Doemstic User", IF(#REF!&gt;10, "Interntional User", IF(AND(#REF!&lt;180, #REF!&lt;200,#REF!&lt;200), "Light User", "Balanced User")))</f>
        <v>#REF!</v>
      </c>
      <c r="AC1721" t="e">
        <f>IF(#REF! = 0, "No Usage", IF(#REF! &lt;= 20, "Low Usage", IF(#REF! &lt;= 40, "Medium Usgae", "High Usage")))</f>
        <v>#REF!</v>
      </c>
      <c r="AD1721" t="e">
        <f>IF(#REF!&lt;=150,"Low Usage", IF(#REF!&lt;=200,"Medium Usage", IF(#REF!&lt;=250,"High Usage","Very High Usage")))</f>
        <v>#REF!</v>
      </c>
      <c r="AE1721" t="e">
        <f>IF(#REF!&lt;=5,"Low Calls", IF(#REF!&lt;=10, "Medium Calls", "High Calls"))</f>
        <v>#REF!</v>
      </c>
      <c r="AF1721" t="e">
        <f xml:space="preserve">
IF(#REF!&gt;=4,4,0)+
IF(#REF!="yes",3,0)+
IF(#REF!="High Charges",3,0)+
IF(#REF!&gt;250,4,0)+
IF(#REF!="no",1,0)+
IF(#REF!="Heavy Domestic User",2,0)</f>
        <v>#REF!</v>
      </c>
      <c r="AG1721" t="e">
        <f>IF(#REF!&gt;=10,"High Risk", IF(#REF!&gt;=5,"Medium Risk","Low Risk"))</f>
        <v>#REF!</v>
      </c>
      <c r="AH1721" t="e">
        <f>#REF! + #REF! + #REF! + #REF!</f>
        <v>#REF!</v>
      </c>
    </row>
    <row r="1722" spans="1:34" x14ac:dyDescent="0.35">
      <c r="A1722">
        <v>1721</v>
      </c>
      <c r="B1722" t="s">
        <v>34</v>
      </c>
      <c r="C1722">
        <v>130</v>
      </c>
      <c r="D1722" t="s">
        <v>28</v>
      </c>
      <c r="E1722" t="s">
        <v>22</v>
      </c>
      <c r="F1722" t="s">
        <v>22</v>
      </c>
      <c r="G1722">
        <v>0</v>
      </c>
      <c r="H1722">
        <v>139.1</v>
      </c>
      <c r="I1722">
        <v>72</v>
      </c>
      <c r="J1722">
        <v>23.65</v>
      </c>
      <c r="K1722">
        <v>246</v>
      </c>
      <c r="L1722">
        <v>112</v>
      </c>
      <c r="M1722">
        <v>20.91</v>
      </c>
      <c r="N1722">
        <v>207.2</v>
      </c>
      <c r="O1722">
        <v>121</v>
      </c>
      <c r="P1722">
        <v>9.32</v>
      </c>
      <c r="Q1722">
        <v>11.4</v>
      </c>
      <c r="R1722">
        <v>9</v>
      </c>
      <c r="S1722">
        <v>3.08</v>
      </c>
      <c r="T1722">
        <v>5</v>
      </c>
      <c r="U1722" t="s">
        <v>22</v>
      </c>
      <c r="V1722" t="e">
        <f>IF(#REF! = "yes", 1, 0)</f>
        <v>#REF!</v>
      </c>
      <c r="W1722" t="e">
        <f>IF(#REF! &lt;= 1, "0-1 Calls", IF(#REF! &lt;= 3, "2-3 Calls", IF(#REF! &lt;=5, "4-5 Calls", "6+ Calls")))</f>
        <v>#REF!</v>
      </c>
      <c r="X1722" t="e">
        <f>IF(#REF! &lt;= 50, "0-50", IF(#REF! &lt;=100, "51-100", IF(#REF! &lt;= 150, "101-150", "151+")))</f>
        <v>#REF!</v>
      </c>
      <c r="Y1722" t="e">
        <f>IF(#REF! &lt;= 3, "Low Charges", "High Charges")</f>
        <v>#REF!</v>
      </c>
      <c r="Z1722" t="e">
        <f>IF(#REF!&lt;=80,"Low Calls",
IF(#REF!&lt;=120,"Medium Calls","High Calls"))</f>
        <v>#REF!</v>
      </c>
      <c r="AA1722" t="e">
        <f>IF(#REF!&lt;=15,"Low Charges",
IF(#REF!&lt;=20,"Medium Charges","High Charges"))</f>
        <v>#REF!</v>
      </c>
      <c r="AB1722" t="e">
        <f>IF(AND(#REF!&gt;180, #REF!&gt;200), "Heavy Doemstic User", IF(#REF!&gt;10, "Interntional User", IF(AND(#REF!&lt;180, #REF!&lt;200,#REF!&lt;200), "Light User", "Balanced User")))</f>
        <v>#REF!</v>
      </c>
      <c r="AC1722" t="e">
        <f>IF(#REF! = 0, "No Usage", IF(#REF! &lt;= 20, "Low Usage", IF(#REF! &lt;= 40, "Medium Usgae", "High Usage")))</f>
        <v>#REF!</v>
      </c>
      <c r="AD1722" t="e">
        <f>IF(#REF!&lt;=150,"Low Usage", IF(#REF!&lt;=200,"Medium Usage", IF(#REF!&lt;=250,"High Usage","Very High Usage")))</f>
        <v>#REF!</v>
      </c>
      <c r="AE1722" t="e">
        <f>IF(#REF!&lt;=5,"Low Calls", IF(#REF!&lt;=10, "Medium Calls", "High Calls"))</f>
        <v>#REF!</v>
      </c>
      <c r="AF1722" t="e">
        <f xml:space="preserve">
IF(#REF!&gt;=4,4,0)+
IF(#REF!="yes",3,0)+
IF(#REF!="High Charges",3,0)+
IF(#REF!&gt;250,4,0)+
IF(#REF!="no",1,0)+
IF(#REF!="Heavy Domestic User",2,0)</f>
        <v>#REF!</v>
      </c>
      <c r="AG1722" t="e">
        <f>IF(#REF!&gt;=10,"High Risk", IF(#REF!&gt;=5,"Medium Risk","Low Risk"))</f>
        <v>#REF!</v>
      </c>
      <c r="AH1722" t="e">
        <f>#REF! + #REF! + #REF! + #REF!</f>
        <v>#REF!</v>
      </c>
    </row>
    <row r="1723" spans="1:34" x14ac:dyDescent="0.35">
      <c r="A1723">
        <v>1722</v>
      </c>
      <c r="B1723" t="s">
        <v>24</v>
      </c>
      <c r="C1723">
        <v>151</v>
      </c>
      <c r="D1723" t="s">
        <v>21</v>
      </c>
      <c r="E1723" t="s">
        <v>22</v>
      </c>
      <c r="F1723" t="s">
        <v>22</v>
      </c>
      <c r="G1723">
        <v>0</v>
      </c>
      <c r="H1723">
        <v>118.9</v>
      </c>
      <c r="I1723">
        <v>128</v>
      </c>
      <c r="J1723">
        <v>20.21</v>
      </c>
      <c r="K1723">
        <v>278.3</v>
      </c>
      <c r="L1723">
        <v>65</v>
      </c>
      <c r="M1723">
        <v>23.66</v>
      </c>
      <c r="N1723">
        <v>194.8</v>
      </c>
      <c r="O1723">
        <v>61</v>
      </c>
      <c r="P1723">
        <v>8.77</v>
      </c>
      <c r="Q1723">
        <v>13.2</v>
      </c>
      <c r="R1723">
        <v>10</v>
      </c>
      <c r="S1723">
        <v>3.56</v>
      </c>
      <c r="T1723">
        <v>2</v>
      </c>
      <c r="U1723" t="s">
        <v>22</v>
      </c>
      <c r="V1723" t="e">
        <f>IF(#REF! = "yes", 1, 0)</f>
        <v>#REF!</v>
      </c>
      <c r="W1723" t="e">
        <f>IF(#REF! &lt;= 1, "0-1 Calls", IF(#REF! &lt;= 3, "2-3 Calls", IF(#REF! &lt;=5, "4-5 Calls", "6+ Calls")))</f>
        <v>#REF!</v>
      </c>
      <c r="X1723" t="e">
        <f>IF(#REF! &lt;= 50, "0-50", IF(#REF! &lt;=100, "51-100", IF(#REF! &lt;= 150, "101-150", "151+")))</f>
        <v>#REF!</v>
      </c>
      <c r="Y1723" t="e">
        <f>IF(#REF! &lt;= 3, "Low Charges", "High Charges")</f>
        <v>#REF!</v>
      </c>
      <c r="Z1723" t="e">
        <f>IF(#REF!&lt;=80,"Low Calls",
IF(#REF!&lt;=120,"Medium Calls","High Calls"))</f>
        <v>#REF!</v>
      </c>
      <c r="AA1723" t="e">
        <f>IF(#REF!&lt;=15,"Low Charges",
IF(#REF!&lt;=20,"Medium Charges","High Charges"))</f>
        <v>#REF!</v>
      </c>
      <c r="AB1723" t="e">
        <f>IF(AND(#REF!&gt;180, #REF!&gt;200), "Heavy Doemstic User", IF(#REF!&gt;10, "Interntional User", IF(AND(#REF!&lt;180, #REF!&lt;200,#REF!&lt;200), "Light User", "Balanced User")))</f>
        <v>#REF!</v>
      </c>
      <c r="AC1723" t="e">
        <f>IF(#REF! = 0, "No Usage", IF(#REF! &lt;= 20, "Low Usage", IF(#REF! &lt;= 40, "Medium Usgae", "High Usage")))</f>
        <v>#REF!</v>
      </c>
      <c r="AD1723" t="e">
        <f>IF(#REF!&lt;=150,"Low Usage", IF(#REF!&lt;=200,"Medium Usage", IF(#REF!&lt;=250,"High Usage","Very High Usage")))</f>
        <v>#REF!</v>
      </c>
      <c r="AE1723" t="e">
        <f>IF(#REF!&lt;=5,"Low Calls", IF(#REF!&lt;=10, "Medium Calls", "High Calls"))</f>
        <v>#REF!</v>
      </c>
      <c r="AF1723" t="e">
        <f xml:space="preserve">
IF(#REF!&gt;=4,4,0)+
IF(#REF!="yes",3,0)+
IF(#REF!="High Charges",3,0)+
IF(#REF!&gt;250,4,0)+
IF(#REF!="no",1,0)+
IF(#REF!="Heavy Domestic User",2,0)</f>
        <v>#REF!</v>
      </c>
      <c r="AG1723" t="e">
        <f>IF(#REF!&gt;=10,"High Risk", IF(#REF!&gt;=5,"Medium Risk","Low Risk"))</f>
        <v>#REF!</v>
      </c>
      <c r="AH1723" t="e">
        <f>#REF! + #REF! + #REF! + #REF!</f>
        <v>#REF!</v>
      </c>
    </row>
    <row r="1724" spans="1:34" x14ac:dyDescent="0.35">
      <c r="A1724">
        <v>1723</v>
      </c>
      <c r="B1724" t="s">
        <v>24</v>
      </c>
      <c r="C1724">
        <v>162</v>
      </c>
      <c r="D1724" t="s">
        <v>25</v>
      </c>
      <c r="E1724" t="s">
        <v>22</v>
      </c>
      <c r="F1724" t="s">
        <v>22</v>
      </c>
      <c r="G1724">
        <v>0</v>
      </c>
      <c r="H1724">
        <v>217.6</v>
      </c>
      <c r="I1724">
        <v>87</v>
      </c>
      <c r="J1724">
        <v>36.99</v>
      </c>
      <c r="K1724">
        <v>279</v>
      </c>
      <c r="L1724">
        <v>71</v>
      </c>
      <c r="M1724">
        <v>23.72</v>
      </c>
      <c r="N1724">
        <v>250.7</v>
      </c>
      <c r="O1724">
        <v>65</v>
      </c>
      <c r="P1724">
        <v>11.28</v>
      </c>
      <c r="Q1724">
        <v>10.4</v>
      </c>
      <c r="R1724">
        <v>4</v>
      </c>
      <c r="S1724">
        <v>2.81</v>
      </c>
      <c r="T1724">
        <v>2</v>
      </c>
      <c r="U1724" t="s">
        <v>23</v>
      </c>
      <c r="V1724" t="e">
        <f>IF(#REF! = "yes", 1, 0)</f>
        <v>#REF!</v>
      </c>
      <c r="W1724" t="e">
        <f>IF(#REF! &lt;= 1, "0-1 Calls", IF(#REF! &lt;= 3, "2-3 Calls", IF(#REF! &lt;=5, "4-5 Calls", "6+ Calls")))</f>
        <v>#REF!</v>
      </c>
      <c r="X1724" t="e">
        <f>IF(#REF! &lt;= 50, "0-50", IF(#REF! &lt;=100, "51-100", IF(#REF! &lt;= 150, "101-150", "151+")))</f>
        <v>#REF!</v>
      </c>
      <c r="Y1724" t="e">
        <f>IF(#REF! &lt;= 3, "Low Charges", "High Charges")</f>
        <v>#REF!</v>
      </c>
      <c r="Z1724" t="e">
        <f>IF(#REF!&lt;=80,"Low Calls",
IF(#REF!&lt;=120,"Medium Calls","High Calls"))</f>
        <v>#REF!</v>
      </c>
      <c r="AA1724" t="e">
        <f>IF(#REF!&lt;=15,"Low Charges",
IF(#REF!&lt;=20,"Medium Charges","High Charges"))</f>
        <v>#REF!</v>
      </c>
      <c r="AB1724" t="e">
        <f>IF(AND(#REF!&gt;180, #REF!&gt;200), "Heavy Doemstic User", IF(#REF!&gt;10, "Interntional User", IF(AND(#REF!&lt;180, #REF!&lt;200,#REF!&lt;200), "Light User", "Balanced User")))</f>
        <v>#REF!</v>
      </c>
      <c r="AC1724" t="e">
        <f>IF(#REF! = 0, "No Usage", IF(#REF! &lt;= 20, "Low Usage", IF(#REF! &lt;= 40, "Medium Usgae", "High Usage")))</f>
        <v>#REF!</v>
      </c>
      <c r="AD1724" t="e">
        <f>IF(#REF!&lt;=150,"Low Usage", IF(#REF!&lt;=200,"Medium Usage", IF(#REF!&lt;=250,"High Usage","Very High Usage")))</f>
        <v>#REF!</v>
      </c>
      <c r="AE1724" t="e">
        <f>IF(#REF!&lt;=5,"Low Calls", IF(#REF!&lt;=10, "Medium Calls", "High Calls"))</f>
        <v>#REF!</v>
      </c>
      <c r="AF1724" t="e">
        <f xml:space="preserve">
IF(#REF!&gt;=4,4,0)+
IF(#REF!="yes",3,0)+
IF(#REF!="High Charges",3,0)+
IF(#REF!&gt;250,4,0)+
IF(#REF!="no",1,0)+
IF(#REF!="Heavy Domestic User",2,0)</f>
        <v>#REF!</v>
      </c>
      <c r="AG1724" t="e">
        <f>IF(#REF!&gt;=10,"High Risk", IF(#REF!&gt;=5,"Medium Risk","Low Risk"))</f>
        <v>#REF!</v>
      </c>
      <c r="AH1724" t="e">
        <f>#REF! + #REF! + #REF! + #REF!</f>
        <v>#REF!</v>
      </c>
    </row>
    <row r="1725" spans="1:34" x14ac:dyDescent="0.35">
      <c r="A1725">
        <v>1724</v>
      </c>
      <c r="B1725" t="s">
        <v>35</v>
      </c>
      <c r="C1725">
        <v>60</v>
      </c>
      <c r="D1725" t="s">
        <v>21</v>
      </c>
      <c r="E1725" t="s">
        <v>22</v>
      </c>
      <c r="F1725" t="s">
        <v>22</v>
      </c>
      <c r="G1725">
        <v>0</v>
      </c>
      <c r="H1725">
        <v>145</v>
      </c>
      <c r="I1725">
        <v>133</v>
      </c>
      <c r="J1725">
        <v>24.65</v>
      </c>
      <c r="K1725">
        <v>209.1</v>
      </c>
      <c r="L1725">
        <v>92</v>
      </c>
      <c r="M1725">
        <v>17.77</v>
      </c>
      <c r="N1725">
        <v>328.5</v>
      </c>
      <c r="O1725">
        <v>112</v>
      </c>
      <c r="P1725">
        <v>14.78</v>
      </c>
      <c r="Q1725">
        <v>14.6</v>
      </c>
      <c r="R1725">
        <v>2</v>
      </c>
      <c r="S1725">
        <v>3.94</v>
      </c>
      <c r="T1725">
        <v>1</v>
      </c>
      <c r="U1725" t="s">
        <v>22</v>
      </c>
      <c r="V1725" t="e">
        <f>IF(#REF! = "yes", 1, 0)</f>
        <v>#REF!</v>
      </c>
      <c r="W1725" t="e">
        <f>IF(#REF! &lt;= 1, "0-1 Calls", IF(#REF! &lt;= 3, "2-3 Calls", IF(#REF! &lt;=5, "4-5 Calls", "6+ Calls")))</f>
        <v>#REF!</v>
      </c>
      <c r="X1725" t="e">
        <f>IF(#REF! &lt;= 50, "0-50", IF(#REF! &lt;=100, "51-100", IF(#REF! &lt;= 150, "101-150", "151+")))</f>
        <v>#REF!</v>
      </c>
      <c r="Y1725" t="e">
        <f>IF(#REF! &lt;= 3, "Low Charges", "High Charges")</f>
        <v>#REF!</v>
      </c>
      <c r="Z1725" t="e">
        <f>IF(#REF!&lt;=80,"Low Calls",
IF(#REF!&lt;=120,"Medium Calls","High Calls"))</f>
        <v>#REF!</v>
      </c>
      <c r="AA1725" t="e">
        <f>IF(#REF!&lt;=15,"Low Charges",
IF(#REF!&lt;=20,"Medium Charges","High Charges"))</f>
        <v>#REF!</v>
      </c>
      <c r="AB1725" t="e">
        <f>IF(AND(#REF!&gt;180, #REF!&gt;200), "Heavy Doemstic User", IF(#REF!&gt;10, "Interntional User", IF(AND(#REF!&lt;180, #REF!&lt;200,#REF!&lt;200), "Light User", "Balanced User")))</f>
        <v>#REF!</v>
      </c>
      <c r="AC1725" t="e">
        <f>IF(#REF! = 0, "No Usage", IF(#REF! &lt;= 20, "Low Usage", IF(#REF! &lt;= 40, "Medium Usgae", "High Usage")))</f>
        <v>#REF!</v>
      </c>
      <c r="AD1725" t="e">
        <f>IF(#REF!&lt;=150,"Low Usage", IF(#REF!&lt;=200,"Medium Usage", IF(#REF!&lt;=250,"High Usage","Very High Usage")))</f>
        <v>#REF!</v>
      </c>
      <c r="AE1725" t="e">
        <f>IF(#REF!&lt;=5,"Low Calls", IF(#REF!&lt;=10, "Medium Calls", "High Calls"))</f>
        <v>#REF!</v>
      </c>
      <c r="AF1725" t="e">
        <f xml:space="preserve">
IF(#REF!&gt;=4,4,0)+
IF(#REF!="yes",3,0)+
IF(#REF!="High Charges",3,0)+
IF(#REF!&gt;250,4,0)+
IF(#REF!="no",1,0)+
IF(#REF!="Heavy Domestic User",2,0)</f>
        <v>#REF!</v>
      </c>
      <c r="AG1725" t="e">
        <f>IF(#REF!&gt;=10,"High Risk", IF(#REF!&gt;=5,"Medium Risk","Low Risk"))</f>
        <v>#REF!</v>
      </c>
      <c r="AH1725" t="e">
        <f>#REF! + #REF! + #REF! + #REF!</f>
        <v>#REF!</v>
      </c>
    </row>
    <row r="1726" spans="1:34" x14ac:dyDescent="0.35">
      <c r="A1726">
        <v>1725</v>
      </c>
      <c r="B1726" t="s">
        <v>34</v>
      </c>
      <c r="C1726">
        <v>81</v>
      </c>
      <c r="D1726" t="s">
        <v>28</v>
      </c>
      <c r="E1726" t="s">
        <v>22</v>
      </c>
      <c r="F1726" t="s">
        <v>22</v>
      </c>
      <c r="G1726">
        <v>0</v>
      </c>
      <c r="H1726">
        <v>203.5</v>
      </c>
      <c r="I1726">
        <v>89</v>
      </c>
      <c r="J1726">
        <v>34.6</v>
      </c>
      <c r="K1726">
        <v>289.60000000000002</v>
      </c>
      <c r="L1726">
        <v>69</v>
      </c>
      <c r="M1726">
        <v>24.62</v>
      </c>
      <c r="N1726">
        <v>212.9</v>
      </c>
      <c r="O1726">
        <v>71</v>
      </c>
      <c r="P1726">
        <v>9.58</v>
      </c>
      <c r="Q1726">
        <v>8.6999999999999993</v>
      </c>
      <c r="R1726">
        <v>3</v>
      </c>
      <c r="S1726">
        <v>2.35</v>
      </c>
      <c r="T1726">
        <v>3</v>
      </c>
      <c r="U1726" t="s">
        <v>22</v>
      </c>
      <c r="V1726" t="e">
        <f>IF(#REF! = "yes", 1, 0)</f>
        <v>#REF!</v>
      </c>
      <c r="W1726" t="e">
        <f>IF(#REF! &lt;= 1, "0-1 Calls", IF(#REF! &lt;= 3, "2-3 Calls", IF(#REF! &lt;=5, "4-5 Calls", "6+ Calls")))</f>
        <v>#REF!</v>
      </c>
      <c r="X1726" t="e">
        <f>IF(#REF! &lt;= 50, "0-50", IF(#REF! &lt;=100, "51-100", IF(#REF! &lt;= 150, "101-150", "151+")))</f>
        <v>#REF!</v>
      </c>
      <c r="Y1726" t="e">
        <f>IF(#REF! &lt;= 3, "Low Charges", "High Charges")</f>
        <v>#REF!</v>
      </c>
      <c r="Z1726" t="e">
        <f>IF(#REF!&lt;=80,"Low Calls",
IF(#REF!&lt;=120,"Medium Calls","High Calls"))</f>
        <v>#REF!</v>
      </c>
      <c r="AA1726" t="e">
        <f>IF(#REF!&lt;=15,"Low Charges",
IF(#REF!&lt;=20,"Medium Charges","High Charges"))</f>
        <v>#REF!</v>
      </c>
      <c r="AB1726" t="e">
        <f>IF(AND(#REF!&gt;180, #REF!&gt;200), "Heavy Doemstic User", IF(#REF!&gt;10, "Interntional User", IF(AND(#REF!&lt;180, #REF!&lt;200,#REF!&lt;200), "Light User", "Balanced User")))</f>
        <v>#REF!</v>
      </c>
      <c r="AC1726" t="e">
        <f>IF(#REF! = 0, "No Usage", IF(#REF! &lt;= 20, "Low Usage", IF(#REF! &lt;= 40, "Medium Usgae", "High Usage")))</f>
        <v>#REF!</v>
      </c>
      <c r="AD1726" t="e">
        <f>IF(#REF!&lt;=150,"Low Usage", IF(#REF!&lt;=200,"Medium Usage", IF(#REF!&lt;=250,"High Usage","Very High Usage")))</f>
        <v>#REF!</v>
      </c>
      <c r="AE1726" t="e">
        <f>IF(#REF!&lt;=5,"Low Calls", IF(#REF!&lt;=10, "Medium Calls", "High Calls"))</f>
        <v>#REF!</v>
      </c>
      <c r="AF1726" t="e">
        <f xml:space="preserve">
IF(#REF!&gt;=4,4,0)+
IF(#REF!="yes",3,0)+
IF(#REF!="High Charges",3,0)+
IF(#REF!&gt;250,4,0)+
IF(#REF!="no",1,0)+
IF(#REF!="Heavy Domestic User",2,0)</f>
        <v>#REF!</v>
      </c>
      <c r="AG1726" t="e">
        <f>IF(#REF!&gt;=10,"High Risk", IF(#REF!&gt;=5,"Medium Risk","Low Risk"))</f>
        <v>#REF!</v>
      </c>
      <c r="AH1726" t="e">
        <f>#REF! + #REF! + #REF! + #REF!</f>
        <v>#REF!</v>
      </c>
    </row>
    <row r="1727" spans="1:34" x14ac:dyDescent="0.35">
      <c r="A1727">
        <v>1726</v>
      </c>
      <c r="B1727" t="s">
        <v>59</v>
      </c>
      <c r="C1727">
        <v>132</v>
      </c>
      <c r="D1727" t="s">
        <v>21</v>
      </c>
      <c r="E1727" t="s">
        <v>22</v>
      </c>
      <c r="F1727" t="s">
        <v>22</v>
      </c>
      <c r="G1727">
        <v>0</v>
      </c>
      <c r="H1727">
        <v>240.1</v>
      </c>
      <c r="I1727">
        <v>115</v>
      </c>
      <c r="J1727">
        <v>40.82</v>
      </c>
      <c r="K1727">
        <v>180.4</v>
      </c>
      <c r="L1727">
        <v>91</v>
      </c>
      <c r="M1727">
        <v>15.33</v>
      </c>
      <c r="N1727">
        <v>133.4</v>
      </c>
      <c r="O1727">
        <v>122</v>
      </c>
      <c r="P1727">
        <v>6</v>
      </c>
      <c r="Q1727">
        <v>8</v>
      </c>
      <c r="R1727">
        <v>6</v>
      </c>
      <c r="S1727">
        <v>2.16</v>
      </c>
      <c r="T1727">
        <v>3</v>
      </c>
      <c r="U1727" t="s">
        <v>22</v>
      </c>
      <c r="V1727" t="e">
        <f>IF(#REF! = "yes", 1, 0)</f>
        <v>#REF!</v>
      </c>
      <c r="W1727" t="e">
        <f>IF(#REF! &lt;= 1, "0-1 Calls", IF(#REF! &lt;= 3, "2-3 Calls", IF(#REF! &lt;=5, "4-5 Calls", "6+ Calls")))</f>
        <v>#REF!</v>
      </c>
      <c r="X1727" t="e">
        <f>IF(#REF! &lt;= 50, "0-50", IF(#REF! &lt;=100, "51-100", IF(#REF! &lt;= 150, "101-150", "151+")))</f>
        <v>#REF!</v>
      </c>
      <c r="Y1727" t="e">
        <f>IF(#REF! &lt;= 3, "Low Charges", "High Charges")</f>
        <v>#REF!</v>
      </c>
      <c r="Z1727" t="e">
        <f>IF(#REF!&lt;=80,"Low Calls",
IF(#REF!&lt;=120,"Medium Calls","High Calls"))</f>
        <v>#REF!</v>
      </c>
      <c r="AA1727" t="e">
        <f>IF(#REF!&lt;=15,"Low Charges",
IF(#REF!&lt;=20,"Medium Charges","High Charges"))</f>
        <v>#REF!</v>
      </c>
      <c r="AB1727" t="e">
        <f>IF(AND(#REF!&gt;180, #REF!&gt;200), "Heavy Doemstic User", IF(#REF!&gt;10, "Interntional User", IF(AND(#REF!&lt;180, #REF!&lt;200,#REF!&lt;200), "Light User", "Balanced User")))</f>
        <v>#REF!</v>
      </c>
      <c r="AC1727" t="e">
        <f>IF(#REF! = 0, "No Usage", IF(#REF! &lt;= 20, "Low Usage", IF(#REF! &lt;= 40, "Medium Usgae", "High Usage")))</f>
        <v>#REF!</v>
      </c>
      <c r="AD1727" t="e">
        <f>IF(#REF!&lt;=150,"Low Usage", IF(#REF!&lt;=200,"Medium Usage", IF(#REF!&lt;=250,"High Usage","Very High Usage")))</f>
        <v>#REF!</v>
      </c>
      <c r="AE1727" t="e">
        <f>IF(#REF!&lt;=5,"Low Calls", IF(#REF!&lt;=10, "Medium Calls", "High Calls"))</f>
        <v>#REF!</v>
      </c>
      <c r="AF1727" t="e">
        <f xml:space="preserve">
IF(#REF!&gt;=4,4,0)+
IF(#REF!="yes",3,0)+
IF(#REF!="High Charges",3,0)+
IF(#REF!&gt;250,4,0)+
IF(#REF!="no",1,0)+
IF(#REF!="Heavy Domestic User",2,0)</f>
        <v>#REF!</v>
      </c>
      <c r="AG1727" t="e">
        <f>IF(#REF!&gt;=10,"High Risk", IF(#REF!&gt;=5,"Medium Risk","Low Risk"))</f>
        <v>#REF!</v>
      </c>
      <c r="AH1727" t="e">
        <f>#REF! + #REF! + #REF! + #REF!</f>
        <v>#REF!</v>
      </c>
    </row>
    <row r="1728" spans="1:34" x14ac:dyDescent="0.35">
      <c r="A1728">
        <v>1727</v>
      </c>
      <c r="B1728" t="s">
        <v>69</v>
      </c>
      <c r="C1728">
        <v>86</v>
      </c>
      <c r="D1728" t="s">
        <v>25</v>
      </c>
      <c r="E1728" t="s">
        <v>22</v>
      </c>
      <c r="F1728" t="s">
        <v>22</v>
      </c>
      <c r="G1728">
        <v>0</v>
      </c>
      <c r="H1728">
        <v>83.8</v>
      </c>
      <c r="I1728">
        <v>121</v>
      </c>
      <c r="J1728">
        <v>14.25</v>
      </c>
      <c r="K1728">
        <v>240.2</v>
      </c>
      <c r="L1728">
        <v>96</v>
      </c>
      <c r="M1728">
        <v>20.420000000000002</v>
      </c>
      <c r="N1728">
        <v>158.6</v>
      </c>
      <c r="O1728">
        <v>108</v>
      </c>
      <c r="P1728">
        <v>7.14</v>
      </c>
      <c r="Q1728">
        <v>6.7</v>
      </c>
      <c r="R1728">
        <v>8</v>
      </c>
      <c r="S1728">
        <v>1.81</v>
      </c>
      <c r="T1728">
        <v>1</v>
      </c>
      <c r="U1728" t="s">
        <v>22</v>
      </c>
      <c r="V1728" t="e">
        <f>IF(#REF! = "yes", 1, 0)</f>
        <v>#REF!</v>
      </c>
      <c r="W1728" t="e">
        <f>IF(#REF! &lt;= 1, "0-1 Calls", IF(#REF! &lt;= 3, "2-3 Calls", IF(#REF! &lt;=5, "4-5 Calls", "6+ Calls")))</f>
        <v>#REF!</v>
      </c>
      <c r="X1728" t="e">
        <f>IF(#REF! &lt;= 50, "0-50", IF(#REF! &lt;=100, "51-100", IF(#REF! &lt;= 150, "101-150", "151+")))</f>
        <v>#REF!</v>
      </c>
      <c r="Y1728" t="e">
        <f>IF(#REF! &lt;= 3, "Low Charges", "High Charges")</f>
        <v>#REF!</v>
      </c>
      <c r="Z1728" t="e">
        <f>IF(#REF!&lt;=80,"Low Calls",
IF(#REF!&lt;=120,"Medium Calls","High Calls"))</f>
        <v>#REF!</v>
      </c>
      <c r="AA1728" t="e">
        <f>IF(#REF!&lt;=15,"Low Charges",
IF(#REF!&lt;=20,"Medium Charges","High Charges"))</f>
        <v>#REF!</v>
      </c>
      <c r="AB1728" t="e">
        <f>IF(AND(#REF!&gt;180, #REF!&gt;200), "Heavy Doemstic User", IF(#REF!&gt;10, "Interntional User", IF(AND(#REF!&lt;180, #REF!&lt;200,#REF!&lt;200), "Light User", "Balanced User")))</f>
        <v>#REF!</v>
      </c>
      <c r="AC1728" t="e">
        <f>IF(#REF! = 0, "No Usage", IF(#REF! &lt;= 20, "Low Usage", IF(#REF! &lt;= 40, "Medium Usgae", "High Usage")))</f>
        <v>#REF!</v>
      </c>
      <c r="AD1728" t="e">
        <f>IF(#REF!&lt;=150,"Low Usage", IF(#REF!&lt;=200,"Medium Usage", IF(#REF!&lt;=250,"High Usage","Very High Usage")))</f>
        <v>#REF!</v>
      </c>
      <c r="AE1728" t="e">
        <f>IF(#REF!&lt;=5,"Low Calls", IF(#REF!&lt;=10, "Medium Calls", "High Calls"))</f>
        <v>#REF!</v>
      </c>
      <c r="AF1728" t="e">
        <f xml:space="preserve">
IF(#REF!&gt;=4,4,0)+
IF(#REF!="yes",3,0)+
IF(#REF!="High Charges",3,0)+
IF(#REF!&gt;250,4,0)+
IF(#REF!="no",1,0)+
IF(#REF!="Heavy Domestic User",2,0)</f>
        <v>#REF!</v>
      </c>
      <c r="AG1728" t="e">
        <f>IF(#REF!&gt;=10,"High Risk", IF(#REF!&gt;=5,"Medium Risk","Low Risk"))</f>
        <v>#REF!</v>
      </c>
      <c r="AH1728" t="e">
        <f>#REF! + #REF! + #REF! + #REF!</f>
        <v>#REF!</v>
      </c>
    </row>
    <row r="1729" spans="1:34" x14ac:dyDescent="0.35">
      <c r="A1729">
        <v>1728</v>
      </c>
      <c r="B1729" t="s">
        <v>39</v>
      </c>
      <c r="C1729">
        <v>136</v>
      </c>
      <c r="D1729" t="s">
        <v>25</v>
      </c>
      <c r="E1729" t="s">
        <v>22</v>
      </c>
      <c r="F1729" t="s">
        <v>22</v>
      </c>
      <c r="G1729">
        <v>0</v>
      </c>
      <c r="H1729">
        <v>269.8</v>
      </c>
      <c r="I1729">
        <v>106</v>
      </c>
      <c r="J1729">
        <v>45.87</v>
      </c>
      <c r="K1729">
        <v>228.8</v>
      </c>
      <c r="L1729">
        <v>101</v>
      </c>
      <c r="M1729">
        <v>19.45</v>
      </c>
      <c r="N1729">
        <v>257.5</v>
      </c>
      <c r="O1729">
        <v>106</v>
      </c>
      <c r="P1729">
        <v>11.59</v>
      </c>
      <c r="Q1729">
        <v>10.1</v>
      </c>
      <c r="R1729">
        <v>8</v>
      </c>
      <c r="S1729">
        <v>2.73</v>
      </c>
      <c r="T1729">
        <v>1</v>
      </c>
      <c r="U1729" t="s">
        <v>23</v>
      </c>
      <c r="V1729" t="e">
        <f>IF(#REF! = "yes", 1, 0)</f>
        <v>#REF!</v>
      </c>
      <c r="W1729" t="e">
        <f>IF(#REF! &lt;= 1, "0-1 Calls", IF(#REF! &lt;= 3, "2-3 Calls", IF(#REF! &lt;=5, "4-5 Calls", "6+ Calls")))</f>
        <v>#REF!</v>
      </c>
      <c r="X1729" t="e">
        <f>IF(#REF! &lt;= 50, "0-50", IF(#REF! &lt;=100, "51-100", IF(#REF! &lt;= 150, "101-150", "151+")))</f>
        <v>#REF!</v>
      </c>
      <c r="Y1729" t="e">
        <f>IF(#REF! &lt;= 3, "Low Charges", "High Charges")</f>
        <v>#REF!</v>
      </c>
      <c r="Z1729" t="e">
        <f>IF(#REF!&lt;=80,"Low Calls",
IF(#REF!&lt;=120,"Medium Calls","High Calls"))</f>
        <v>#REF!</v>
      </c>
      <c r="AA1729" t="e">
        <f>IF(#REF!&lt;=15,"Low Charges",
IF(#REF!&lt;=20,"Medium Charges","High Charges"))</f>
        <v>#REF!</v>
      </c>
      <c r="AB1729" t="e">
        <f>IF(AND(#REF!&gt;180, #REF!&gt;200), "Heavy Doemstic User", IF(#REF!&gt;10, "Interntional User", IF(AND(#REF!&lt;180, #REF!&lt;200,#REF!&lt;200), "Light User", "Balanced User")))</f>
        <v>#REF!</v>
      </c>
      <c r="AC1729" t="e">
        <f>IF(#REF! = 0, "No Usage", IF(#REF! &lt;= 20, "Low Usage", IF(#REF! &lt;= 40, "Medium Usgae", "High Usage")))</f>
        <v>#REF!</v>
      </c>
      <c r="AD1729" t="e">
        <f>IF(#REF!&lt;=150,"Low Usage", IF(#REF!&lt;=200,"Medium Usage", IF(#REF!&lt;=250,"High Usage","Very High Usage")))</f>
        <v>#REF!</v>
      </c>
      <c r="AE1729" t="e">
        <f>IF(#REF!&lt;=5,"Low Calls", IF(#REF!&lt;=10, "Medium Calls", "High Calls"))</f>
        <v>#REF!</v>
      </c>
      <c r="AF1729" t="e">
        <f xml:space="preserve">
IF(#REF!&gt;=4,4,0)+
IF(#REF!="yes",3,0)+
IF(#REF!="High Charges",3,0)+
IF(#REF!&gt;250,4,0)+
IF(#REF!="no",1,0)+
IF(#REF!="Heavy Domestic User",2,0)</f>
        <v>#REF!</v>
      </c>
      <c r="AG1729" t="e">
        <f>IF(#REF!&gt;=10,"High Risk", IF(#REF!&gt;=5,"Medium Risk","Low Risk"))</f>
        <v>#REF!</v>
      </c>
      <c r="AH1729" t="e">
        <f>#REF! + #REF! + #REF! + #REF!</f>
        <v>#REF!</v>
      </c>
    </row>
    <row r="1730" spans="1:34" x14ac:dyDescent="0.35">
      <c r="A1730">
        <v>1729</v>
      </c>
      <c r="B1730" t="s">
        <v>67</v>
      </c>
      <c r="C1730">
        <v>121</v>
      </c>
      <c r="D1730" t="s">
        <v>21</v>
      </c>
      <c r="E1730" t="s">
        <v>22</v>
      </c>
      <c r="F1730" t="s">
        <v>23</v>
      </c>
      <c r="G1730">
        <v>21</v>
      </c>
      <c r="H1730">
        <v>126.3</v>
      </c>
      <c r="I1730">
        <v>84</v>
      </c>
      <c r="J1730">
        <v>21.47</v>
      </c>
      <c r="K1730">
        <v>209.6</v>
      </c>
      <c r="L1730">
        <v>102</v>
      </c>
      <c r="M1730">
        <v>17.82</v>
      </c>
      <c r="N1730">
        <v>192.5</v>
      </c>
      <c r="O1730">
        <v>129</v>
      </c>
      <c r="P1730">
        <v>8.66</v>
      </c>
      <c r="Q1730">
        <v>10.6</v>
      </c>
      <c r="R1730">
        <v>2</v>
      </c>
      <c r="S1730">
        <v>2.86</v>
      </c>
      <c r="T1730">
        <v>1</v>
      </c>
      <c r="U1730" t="s">
        <v>22</v>
      </c>
      <c r="V1730" t="e">
        <f>IF(#REF! = "yes", 1, 0)</f>
        <v>#REF!</v>
      </c>
      <c r="W1730" t="e">
        <f>IF(#REF! &lt;= 1, "0-1 Calls", IF(#REF! &lt;= 3, "2-3 Calls", IF(#REF! &lt;=5, "4-5 Calls", "6+ Calls")))</f>
        <v>#REF!</v>
      </c>
      <c r="X1730" t="e">
        <f>IF(#REF! &lt;= 50, "0-50", IF(#REF! &lt;=100, "51-100", IF(#REF! &lt;= 150, "101-150", "151+")))</f>
        <v>#REF!</v>
      </c>
      <c r="Y1730" t="e">
        <f>IF(#REF! &lt;= 3, "Low Charges", "High Charges")</f>
        <v>#REF!</v>
      </c>
      <c r="Z1730" t="e">
        <f>IF(#REF!&lt;=80,"Low Calls",
IF(#REF!&lt;=120,"Medium Calls","High Calls"))</f>
        <v>#REF!</v>
      </c>
      <c r="AA1730" t="e">
        <f>IF(#REF!&lt;=15,"Low Charges",
IF(#REF!&lt;=20,"Medium Charges","High Charges"))</f>
        <v>#REF!</v>
      </c>
      <c r="AB1730" t="e">
        <f>IF(AND(#REF!&gt;180, #REF!&gt;200), "Heavy Doemstic User", IF(#REF!&gt;10, "Interntional User", IF(AND(#REF!&lt;180, #REF!&lt;200,#REF!&lt;200), "Light User", "Balanced User")))</f>
        <v>#REF!</v>
      </c>
      <c r="AC1730" t="e">
        <f>IF(#REF! = 0, "No Usage", IF(#REF! &lt;= 20, "Low Usage", IF(#REF! &lt;= 40, "Medium Usgae", "High Usage")))</f>
        <v>#REF!</v>
      </c>
      <c r="AD1730" t="e">
        <f>IF(#REF!&lt;=150,"Low Usage", IF(#REF!&lt;=200,"Medium Usage", IF(#REF!&lt;=250,"High Usage","Very High Usage")))</f>
        <v>#REF!</v>
      </c>
      <c r="AE1730" t="e">
        <f>IF(#REF!&lt;=5,"Low Calls", IF(#REF!&lt;=10, "Medium Calls", "High Calls"))</f>
        <v>#REF!</v>
      </c>
      <c r="AF1730" t="e">
        <f xml:space="preserve">
IF(#REF!&gt;=4,4,0)+
IF(#REF!="yes",3,0)+
IF(#REF!="High Charges",3,0)+
IF(#REF!&gt;250,4,0)+
IF(#REF!="no",1,0)+
IF(#REF!="Heavy Domestic User",2,0)</f>
        <v>#REF!</v>
      </c>
      <c r="AG1730" t="e">
        <f>IF(#REF!&gt;=10,"High Risk", IF(#REF!&gt;=5,"Medium Risk","Low Risk"))</f>
        <v>#REF!</v>
      </c>
      <c r="AH1730" t="e">
        <f>#REF! + #REF! + #REF! + #REF!</f>
        <v>#REF!</v>
      </c>
    </row>
    <row r="1731" spans="1:34" x14ac:dyDescent="0.35">
      <c r="A1731">
        <v>1730</v>
      </c>
      <c r="B1731" t="s">
        <v>34</v>
      </c>
      <c r="C1731">
        <v>105</v>
      </c>
      <c r="D1731" t="s">
        <v>28</v>
      </c>
      <c r="E1731" t="s">
        <v>22</v>
      </c>
      <c r="F1731" t="s">
        <v>23</v>
      </c>
      <c r="G1731">
        <v>15</v>
      </c>
      <c r="H1731">
        <v>88.1</v>
      </c>
      <c r="I1731">
        <v>125</v>
      </c>
      <c r="J1731">
        <v>14.98</v>
      </c>
      <c r="K1731">
        <v>175.9</v>
      </c>
      <c r="L1731">
        <v>142</v>
      </c>
      <c r="M1731">
        <v>14.95</v>
      </c>
      <c r="N1731">
        <v>269.89999999999998</v>
      </c>
      <c r="O1731">
        <v>85</v>
      </c>
      <c r="P1731">
        <v>12.15</v>
      </c>
      <c r="Q1731">
        <v>9.6999999999999993</v>
      </c>
      <c r="R1731">
        <v>1</v>
      </c>
      <c r="S1731">
        <v>2.62</v>
      </c>
      <c r="T1731">
        <v>2</v>
      </c>
      <c r="U1731" t="s">
        <v>22</v>
      </c>
      <c r="V1731" t="e">
        <f>IF(#REF! = "yes", 1, 0)</f>
        <v>#REF!</v>
      </c>
      <c r="W1731" t="e">
        <f>IF(#REF! &lt;= 1, "0-1 Calls", IF(#REF! &lt;= 3, "2-3 Calls", IF(#REF! &lt;=5, "4-5 Calls", "6+ Calls")))</f>
        <v>#REF!</v>
      </c>
      <c r="X1731" t="e">
        <f>IF(#REF! &lt;= 50, "0-50", IF(#REF! &lt;=100, "51-100", IF(#REF! &lt;= 150, "101-150", "151+")))</f>
        <v>#REF!</v>
      </c>
      <c r="Y1731" t="e">
        <f>IF(#REF! &lt;= 3, "Low Charges", "High Charges")</f>
        <v>#REF!</v>
      </c>
      <c r="Z1731" t="e">
        <f>IF(#REF!&lt;=80,"Low Calls",
IF(#REF!&lt;=120,"Medium Calls","High Calls"))</f>
        <v>#REF!</v>
      </c>
      <c r="AA1731" t="e">
        <f>IF(#REF!&lt;=15,"Low Charges",
IF(#REF!&lt;=20,"Medium Charges","High Charges"))</f>
        <v>#REF!</v>
      </c>
      <c r="AB1731" t="e">
        <f>IF(AND(#REF!&gt;180, #REF!&gt;200), "Heavy Doemstic User", IF(#REF!&gt;10, "Interntional User", IF(AND(#REF!&lt;180, #REF!&lt;200,#REF!&lt;200), "Light User", "Balanced User")))</f>
        <v>#REF!</v>
      </c>
      <c r="AC1731" t="e">
        <f>IF(#REF! = 0, "No Usage", IF(#REF! &lt;= 20, "Low Usage", IF(#REF! &lt;= 40, "Medium Usgae", "High Usage")))</f>
        <v>#REF!</v>
      </c>
      <c r="AD1731" t="e">
        <f>IF(#REF!&lt;=150,"Low Usage", IF(#REF!&lt;=200,"Medium Usage", IF(#REF!&lt;=250,"High Usage","Very High Usage")))</f>
        <v>#REF!</v>
      </c>
      <c r="AE1731" t="e">
        <f>IF(#REF!&lt;=5,"Low Calls", IF(#REF!&lt;=10, "Medium Calls", "High Calls"))</f>
        <v>#REF!</v>
      </c>
      <c r="AF1731" t="e">
        <f xml:space="preserve">
IF(#REF!&gt;=4,4,0)+
IF(#REF!="yes",3,0)+
IF(#REF!="High Charges",3,0)+
IF(#REF!&gt;250,4,0)+
IF(#REF!="no",1,0)+
IF(#REF!="Heavy Domestic User",2,0)</f>
        <v>#REF!</v>
      </c>
      <c r="AG1731" t="e">
        <f>IF(#REF!&gt;=10,"High Risk", IF(#REF!&gt;=5,"Medium Risk","Low Risk"))</f>
        <v>#REF!</v>
      </c>
      <c r="AH1731" t="e">
        <f>#REF! + #REF! + #REF! + #REF!</f>
        <v>#REF!</v>
      </c>
    </row>
    <row r="1732" spans="1:34" x14ac:dyDescent="0.35">
      <c r="A1732">
        <v>1731</v>
      </c>
      <c r="B1732" t="s">
        <v>35</v>
      </c>
      <c r="C1732">
        <v>51</v>
      </c>
      <c r="D1732" t="s">
        <v>21</v>
      </c>
      <c r="E1732" t="s">
        <v>22</v>
      </c>
      <c r="F1732" t="s">
        <v>23</v>
      </c>
      <c r="G1732">
        <v>26</v>
      </c>
      <c r="H1732">
        <v>236.8</v>
      </c>
      <c r="I1732">
        <v>61</v>
      </c>
      <c r="J1732">
        <v>40.26</v>
      </c>
      <c r="K1732">
        <v>263.39999999999998</v>
      </c>
      <c r="L1732">
        <v>97</v>
      </c>
      <c r="M1732">
        <v>22.39</v>
      </c>
      <c r="N1732">
        <v>181.1</v>
      </c>
      <c r="O1732">
        <v>91</v>
      </c>
      <c r="P1732">
        <v>8.15</v>
      </c>
      <c r="Q1732">
        <v>11.2</v>
      </c>
      <c r="R1732">
        <v>8</v>
      </c>
      <c r="S1732">
        <v>3.02</v>
      </c>
      <c r="T1732">
        <v>1</v>
      </c>
      <c r="U1732" t="s">
        <v>22</v>
      </c>
      <c r="V1732" t="e">
        <f>IF(#REF! = "yes", 1, 0)</f>
        <v>#REF!</v>
      </c>
      <c r="W1732" t="e">
        <f>IF(#REF! &lt;= 1, "0-1 Calls", IF(#REF! &lt;= 3, "2-3 Calls", IF(#REF! &lt;=5, "4-5 Calls", "6+ Calls")))</f>
        <v>#REF!</v>
      </c>
      <c r="X1732" t="e">
        <f>IF(#REF! &lt;= 50, "0-50", IF(#REF! &lt;=100, "51-100", IF(#REF! &lt;= 150, "101-150", "151+")))</f>
        <v>#REF!</v>
      </c>
      <c r="Y1732" t="e">
        <f>IF(#REF! &lt;= 3, "Low Charges", "High Charges")</f>
        <v>#REF!</v>
      </c>
      <c r="Z1732" t="e">
        <f>IF(#REF!&lt;=80,"Low Calls",
IF(#REF!&lt;=120,"Medium Calls","High Calls"))</f>
        <v>#REF!</v>
      </c>
      <c r="AA1732" t="e">
        <f>IF(#REF!&lt;=15,"Low Charges",
IF(#REF!&lt;=20,"Medium Charges","High Charges"))</f>
        <v>#REF!</v>
      </c>
      <c r="AB1732" t="e">
        <f>IF(AND(#REF!&gt;180, #REF!&gt;200), "Heavy Doemstic User", IF(#REF!&gt;10, "Interntional User", IF(AND(#REF!&lt;180, #REF!&lt;200,#REF!&lt;200), "Light User", "Balanced User")))</f>
        <v>#REF!</v>
      </c>
      <c r="AC1732" t="e">
        <f>IF(#REF! = 0, "No Usage", IF(#REF! &lt;= 20, "Low Usage", IF(#REF! &lt;= 40, "Medium Usgae", "High Usage")))</f>
        <v>#REF!</v>
      </c>
      <c r="AD1732" t="e">
        <f>IF(#REF!&lt;=150,"Low Usage", IF(#REF!&lt;=200,"Medium Usage", IF(#REF!&lt;=250,"High Usage","Very High Usage")))</f>
        <v>#REF!</v>
      </c>
      <c r="AE1732" t="e">
        <f>IF(#REF!&lt;=5,"Low Calls", IF(#REF!&lt;=10, "Medium Calls", "High Calls"))</f>
        <v>#REF!</v>
      </c>
      <c r="AF1732" t="e">
        <f xml:space="preserve">
IF(#REF!&gt;=4,4,0)+
IF(#REF!="yes",3,0)+
IF(#REF!="High Charges",3,0)+
IF(#REF!&gt;250,4,0)+
IF(#REF!="no",1,0)+
IF(#REF!="Heavy Domestic User",2,0)</f>
        <v>#REF!</v>
      </c>
      <c r="AG1732" t="e">
        <f>IF(#REF!&gt;=10,"High Risk", IF(#REF!&gt;=5,"Medium Risk","Low Risk"))</f>
        <v>#REF!</v>
      </c>
      <c r="AH1732" t="e">
        <f>#REF! + #REF! + #REF! + #REF!</f>
        <v>#REF!</v>
      </c>
    </row>
    <row r="1733" spans="1:34" x14ac:dyDescent="0.35">
      <c r="A1733">
        <v>1732</v>
      </c>
      <c r="B1733" t="s">
        <v>48</v>
      </c>
      <c r="C1733">
        <v>64</v>
      </c>
      <c r="D1733" t="s">
        <v>25</v>
      </c>
      <c r="E1733" t="s">
        <v>22</v>
      </c>
      <c r="F1733" t="s">
        <v>22</v>
      </c>
      <c r="G1733">
        <v>0</v>
      </c>
      <c r="H1733">
        <v>124.1</v>
      </c>
      <c r="I1733">
        <v>117</v>
      </c>
      <c r="J1733">
        <v>21.1</v>
      </c>
      <c r="K1733">
        <v>192.8</v>
      </c>
      <c r="L1733">
        <v>108</v>
      </c>
      <c r="M1733">
        <v>16.39</v>
      </c>
      <c r="N1733">
        <v>162.9</v>
      </c>
      <c r="O1733">
        <v>84</v>
      </c>
      <c r="P1733">
        <v>7.33</v>
      </c>
      <c r="Q1733">
        <v>6.4</v>
      </c>
      <c r="R1733">
        <v>5</v>
      </c>
      <c r="S1733">
        <v>1.73</v>
      </c>
      <c r="T1733">
        <v>3</v>
      </c>
      <c r="U1733" t="s">
        <v>22</v>
      </c>
      <c r="V1733" t="e">
        <f>IF(#REF! = "yes", 1, 0)</f>
        <v>#REF!</v>
      </c>
      <c r="W1733" t="e">
        <f>IF(#REF! &lt;= 1, "0-1 Calls", IF(#REF! &lt;= 3, "2-3 Calls", IF(#REF! &lt;=5, "4-5 Calls", "6+ Calls")))</f>
        <v>#REF!</v>
      </c>
      <c r="X1733" t="e">
        <f>IF(#REF! &lt;= 50, "0-50", IF(#REF! &lt;=100, "51-100", IF(#REF! &lt;= 150, "101-150", "151+")))</f>
        <v>#REF!</v>
      </c>
      <c r="Y1733" t="e">
        <f>IF(#REF! &lt;= 3, "Low Charges", "High Charges")</f>
        <v>#REF!</v>
      </c>
      <c r="Z1733" t="e">
        <f>IF(#REF!&lt;=80,"Low Calls",
IF(#REF!&lt;=120,"Medium Calls","High Calls"))</f>
        <v>#REF!</v>
      </c>
      <c r="AA1733" t="e">
        <f>IF(#REF!&lt;=15,"Low Charges",
IF(#REF!&lt;=20,"Medium Charges","High Charges"))</f>
        <v>#REF!</v>
      </c>
      <c r="AB1733" t="e">
        <f>IF(AND(#REF!&gt;180, #REF!&gt;200), "Heavy Doemstic User", IF(#REF!&gt;10, "Interntional User", IF(AND(#REF!&lt;180, #REF!&lt;200,#REF!&lt;200), "Light User", "Balanced User")))</f>
        <v>#REF!</v>
      </c>
      <c r="AC1733" t="e">
        <f>IF(#REF! = 0, "No Usage", IF(#REF! &lt;= 20, "Low Usage", IF(#REF! &lt;= 40, "Medium Usgae", "High Usage")))</f>
        <v>#REF!</v>
      </c>
      <c r="AD1733" t="e">
        <f>IF(#REF!&lt;=150,"Low Usage", IF(#REF!&lt;=200,"Medium Usage", IF(#REF!&lt;=250,"High Usage","Very High Usage")))</f>
        <v>#REF!</v>
      </c>
      <c r="AE1733" t="e">
        <f>IF(#REF!&lt;=5,"Low Calls", IF(#REF!&lt;=10, "Medium Calls", "High Calls"))</f>
        <v>#REF!</v>
      </c>
      <c r="AF1733" t="e">
        <f xml:space="preserve">
IF(#REF!&gt;=4,4,0)+
IF(#REF!="yes",3,0)+
IF(#REF!="High Charges",3,0)+
IF(#REF!&gt;250,4,0)+
IF(#REF!="no",1,0)+
IF(#REF!="Heavy Domestic User",2,0)</f>
        <v>#REF!</v>
      </c>
      <c r="AG1733" t="e">
        <f>IF(#REF!&gt;=10,"High Risk", IF(#REF!&gt;=5,"Medium Risk","Low Risk"))</f>
        <v>#REF!</v>
      </c>
      <c r="AH1733" t="e">
        <f>#REF! + #REF! + #REF! + #REF!</f>
        <v>#REF!</v>
      </c>
    </row>
    <row r="1734" spans="1:34" x14ac:dyDescent="0.35">
      <c r="A1734">
        <v>1733</v>
      </c>
      <c r="B1734" t="s">
        <v>35</v>
      </c>
      <c r="C1734">
        <v>80</v>
      </c>
      <c r="D1734" t="s">
        <v>28</v>
      </c>
      <c r="E1734" t="s">
        <v>23</v>
      </c>
      <c r="F1734" t="s">
        <v>23</v>
      </c>
      <c r="G1734">
        <v>30</v>
      </c>
      <c r="H1734">
        <v>184.2</v>
      </c>
      <c r="I1734">
        <v>132</v>
      </c>
      <c r="J1734">
        <v>31.31</v>
      </c>
      <c r="K1734">
        <v>167.5</v>
      </c>
      <c r="L1734">
        <v>109</v>
      </c>
      <c r="M1734">
        <v>14.24</v>
      </c>
      <c r="N1734">
        <v>212.8</v>
      </c>
      <c r="O1734">
        <v>114</v>
      </c>
      <c r="P1734">
        <v>9.58</v>
      </c>
      <c r="Q1734">
        <v>10</v>
      </c>
      <c r="R1734">
        <v>10</v>
      </c>
      <c r="S1734">
        <v>2.7</v>
      </c>
      <c r="T1734">
        <v>0</v>
      </c>
      <c r="U1734" t="s">
        <v>22</v>
      </c>
      <c r="V1734" t="e">
        <f>IF(#REF! = "yes", 1, 0)</f>
        <v>#REF!</v>
      </c>
      <c r="W1734" t="e">
        <f>IF(#REF! &lt;= 1, "0-1 Calls", IF(#REF! &lt;= 3, "2-3 Calls", IF(#REF! &lt;=5, "4-5 Calls", "6+ Calls")))</f>
        <v>#REF!</v>
      </c>
      <c r="X1734" t="e">
        <f>IF(#REF! &lt;= 50, "0-50", IF(#REF! &lt;=100, "51-100", IF(#REF! &lt;= 150, "101-150", "151+")))</f>
        <v>#REF!</v>
      </c>
      <c r="Y1734" t="e">
        <f>IF(#REF! &lt;= 3, "Low Charges", "High Charges")</f>
        <v>#REF!</v>
      </c>
      <c r="Z1734" t="e">
        <f>IF(#REF!&lt;=80,"Low Calls",
IF(#REF!&lt;=120,"Medium Calls","High Calls"))</f>
        <v>#REF!</v>
      </c>
      <c r="AA1734" t="e">
        <f>IF(#REF!&lt;=15,"Low Charges",
IF(#REF!&lt;=20,"Medium Charges","High Charges"))</f>
        <v>#REF!</v>
      </c>
      <c r="AB1734" t="e">
        <f>IF(AND(#REF!&gt;180, #REF!&gt;200), "Heavy Doemstic User", IF(#REF!&gt;10, "Interntional User", IF(AND(#REF!&lt;180, #REF!&lt;200,#REF!&lt;200), "Light User", "Balanced User")))</f>
        <v>#REF!</v>
      </c>
      <c r="AC1734" t="e">
        <f>IF(#REF! = 0, "No Usage", IF(#REF! &lt;= 20, "Low Usage", IF(#REF! &lt;= 40, "Medium Usgae", "High Usage")))</f>
        <v>#REF!</v>
      </c>
      <c r="AD1734" t="e">
        <f>IF(#REF!&lt;=150,"Low Usage", IF(#REF!&lt;=200,"Medium Usage", IF(#REF!&lt;=250,"High Usage","Very High Usage")))</f>
        <v>#REF!</v>
      </c>
      <c r="AE1734" t="e">
        <f>IF(#REF!&lt;=5,"Low Calls", IF(#REF!&lt;=10, "Medium Calls", "High Calls"))</f>
        <v>#REF!</v>
      </c>
      <c r="AF1734" t="e">
        <f xml:space="preserve">
IF(#REF!&gt;=4,4,0)+
IF(#REF!="yes",3,0)+
IF(#REF!="High Charges",3,0)+
IF(#REF!&gt;250,4,0)+
IF(#REF!="no",1,0)+
IF(#REF!="Heavy Domestic User",2,0)</f>
        <v>#REF!</v>
      </c>
      <c r="AG1734" t="e">
        <f>IF(#REF!&gt;=10,"High Risk", IF(#REF!&gt;=5,"Medium Risk","Low Risk"))</f>
        <v>#REF!</v>
      </c>
      <c r="AH1734" t="e">
        <f>#REF! + #REF! + #REF! + #REF!</f>
        <v>#REF!</v>
      </c>
    </row>
    <row r="1735" spans="1:34" x14ac:dyDescent="0.35">
      <c r="A1735">
        <v>1734</v>
      </c>
      <c r="B1735" t="s">
        <v>75</v>
      </c>
      <c r="C1735">
        <v>56</v>
      </c>
      <c r="D1735" t="s">
        <v>21</v>
      </c>
      <c r="E1735" t="s">
        <v>22</v>
      </c>
      <c r="F1735" t="s">
        <v>22</v>
      </c>
      <c r="G1735">
        <v>0</v>
      </c>
      <c r="H1735">
        <v>222.7</v>
      </c>
      <c r="I1735">
        <v>133</v>
      </c>
      <c r="J1735">
        <v>37.86</v>
      </c>
      <c r="K1735">
        <v>277</v>
      </c>
      <c r="L1735">
        <v>89</v>
      </c>
      <c r="M1735">
        <v>23.55</v>
      </c>
      <c r="N1735">
        <v>101.8</v>
      </c>
      <c r="O1735">
        <v>94</v>
      </c>
      <c r="P1735">
        <v>4.58</v>
      </c>
      <c r="Q1735">
        <v>13.6</v>
      </c>
      <c r="R1735">
        <v>4</v>
      </c>
      <c r="S1735">
        <v>3.67</v>
      </c>
      <c r="T1735">
        <v>4</v>
      </c>
      <c r="U1735" t="s">
        <v>22</v>
      </c>
      <c r="V1735" t="e">
        <f>IF(#REF! = "yes", 1, 0)</f>
        <v>#REF!</v>
      </c>
      <c r="W1735" t="e">
        <f>IF(#REF! &lt;= 1, "0-1 Calls", IF(#REF! &lt;= 3, "2-3 Calls", IF(#REF! &lt;=5, "4-5 Calls", "6+ Calls")))</f>
        <v>#REF!</v>
      </c>
      <c r="X1735" t="e">
        <f>IF(#REF! &lt;= 50, "0-50", IF(#REF! &lt;=100, "51-100", IF(#REF! &lt;= 150, "101-150", "151+")))</f>
        <v>#REF!</v>
      </c>
      <c r="Y1735" t="e">
        <f>IF(#REF! &lt;= 3, "Low Charges", "High Charges")</f>
        <v>#REF!</v>
      </c>
      <c r="Z1735" t="e">
        <f>IF(#REF!&lt;=80,"Low Calls",
IF(#REF!&lt;=120,"Medium Calls","High Calls"))</f>
        <v>#REF!</v>
      </c>
      <c r="AA1735" t="e">
        <f>IF(#REF!&lt;=15,"Low Charges",
IF(#REF!&lt;=20,"Medium Charges","High Charges"))</f>
        <v>#REF!</v>
      </c>
      <c r="AB1735" t="e">
        <f>IF(AND(#REF!&gt;180, #REF!&gt;200), "Heavy Doemstic User", IF(#REF!&gt;10, "Interntional User", IF(AND(#REF!&lt;180, #REF!&lt;200,#REF!&lt;200), "Light User", "Balanced User")))</f>
        <v>#REF!</v>
      </c>
      <c r="AC1735" t="e">
        <f>IF(#REF! = 0, "No Usage", IF(#REF! &lt;= 20, "Low Usage", IF(#REF! &lt;= 40, "Medium Usgae", "High Usage")))</f>
        <v>#REF!</v>
      </c>
      <c r="AD1735" t="e">
        <f>IF(#REF!&lt;=150,"Low Usage", IF(#REF!&lt;=200,"Medium Usage", IF(#REF!&lt;=250,"High Usage","Very High Usage")))</f>
        <v>#REF!</v>
      </c>
      <c r="AE1735" t="e">
        <f>IF(#REF!&lt;=5,"Low Calls", IF(#REF!&lt;=10, "Medium Calls", "High Calls"))</f>
        <v>#REF!</v>
      </c>
      <c r="AF1735" t="e">
        <f xml:space="preserve">
IF(#REF!&gt;=4,4,0)+
IF(#REF!="yes",3,0)+
IF(#REF!="High Charges",3,0)+
IF(#REF!&gt;250,4,0)+
IF(#REF!="no",1,0)+
IF(#REF!="Heavy Domestic User",2,0)</f>
        <v>#REF!</v>
      </c>
      <c r="AG1735" t="e">
        <f>IF(#REF!&gt;=10,"High Risk", IF(#REF!&gt;=5,"Medium Risk","Low Risk"))</f>
        <v>#REF!</v>
      </c>
      <c r="AH1735" t="e">
        <f>#REF! + #REF! + #REF! + #REF!</f>
        <v>#REF!</v>
      </c>
    </row>
    <row r="1736" spans="1:34" x14ac:dyDescent="0.35">
      <c r="A1736">
        <v>1735</v>
      </c>
      <c r="B1736" t="s">
        <v>64</v>
      </c>
      <c r="C1736">
        <v>120</v>
      </c>
      <c r="D1736" t="s">
        <v>21</v>
      </c>
      <c r="E1736" t="s">
        <v>22</v>
      </c>
      <c r="F1736" t="s">
        <v>22</v>
      </c>
      <c r="G1736">
        <v>0</v>
      </c>
      <c r="H1736">
        <v>149.19999999999999</v>
      </c>
      <c r="I1736">
        <v>98</v>
      </c>
      <c r="J1736">
        <v>25.36</v>
      </c>
      <c r="K1736">
        <v>193.6</v>
      </c>
      <c r="L1736">
        <v>88</v>
      </c>
      <c r="M1736">
        <v>16.46</v>
      </c>
      <c r="N1736">
        <v>248.9</v>
      </c>
      <c r="O1736">
        <v>119</v>
      </c>
      <c r="P1736">
        <v>11.2</v>
      </c>
      <c r="Q1736">
        <v>11.1</v>
      </c>
      <c r="R1736">
        <v>5</v>
      </c>
      <c r="S1736">
        <v>3</v>
      </c>
      <c r="T1736">
        <v>1</v>
      </c>
      <c r="U1736" t="s">
        <v>22</v>
      </c>
      <c r="V1736" t="e">
        <f>IF(#REF! = "yes", 1, 0)</f>
        <v>#REF!</v>
      </c>
      <c r="W1736" t="e">
        <f>IF(#REF! &lt;= 1, "0-1 Calls", IF(#REF! &lt;= 3, "2-3 Calls", IF(#REF! &lt;=5, "4-5 Calls", "6+ Calls")))</f>
        <v>#REF!</v>
      </c>
      <c r="X1736" t="e">
        <f>IF(#REF! &lt;= 50, "0-50", IF(#REF! &lt;=100, "51-100", IF(#REF! &lt;= 150, "101-150", "151+")))</f>
        <v>#REF!</v>
      </c>
      <c r="Y1736" t="e">
        <f>IF(#REF! &lt;= 3, "Low Charges", "High Charges")</f>
        <v>#REF!</v>
      </c>
      <c r="Z1736" t="e">
        <f>IF(#REF!&lt;=80,"Low Calls",
IF(#REF!&lt;=120,"Medium Calls","High Calls"))</f>
        <v>#REF!</v>
      </c>
      <c r="AA1736" t="e">
        <f>IF(#REF!&lt;=15,"Low Charges",
IF(#REF!&lt;=20,"Medium Charges","High Charges"))</f>
        <v>#REF!</v>
      </c>
      <c r="AB1736" t="e">
        <f>IF(AND(#REF!&gt;180, #REF!&gt;200), "Heavy Doemstic User", IF(#REF!&gt;10, "Interntional User", IF(AND(#REF!&lt;180, #REF!&lt;200,#REF!&lt;200), "Light User", "Balanced User")))</f>
        <v>#REF!</v>
      </c>
      <c r="AC1736" t="e">
        <f>IF(#REF! = 0, "No Usage", IF(#REF! &lt;= 20, "Low Usage", IF(#REF! &lt;= 40, "Medium Usgae", "High Usage")))</f>
        <v>#REF!</v>
      </c>
      <c r="AD1736" t="e">
        <f>IF(#REF!&lt;=150,"Low Usage", IF(#REF!&lt;=200,"Medium Usage", IF(#REF!&lt;=250,"High Usage","Very High Usage")))</f>
        <v>#REF!</v>
      </c>
      <c r="AE1736" t="e">
        <f>IF(#REF!&lt;=5,"Low Calls", IF(#REF!&lt;=10, "Medium Calls", "High Calls"))</f>
        <v>#REF!</v>
      </c>
      <c r="AF1736" t="e">
        <f xml:space="preserve">
IF(#REF!&gt;=4,4,0)+
IF(#REF!="yes",3,0)+
IF(#REF!="High Charges",3,0)+
IF(#REF!&gt;250,4,0)+
IF(#REF!="no",1,0)+
IF(#REF!="Heavy Domestic User",2,0)</f>
        <v>#REF!</v>
      </c>
      <c r="AG1736" t="e">
        <f>IF(#REF!&gt;=10,"High Risk", IF(#REF!&gt;=5,"Medium Risk","Low Risk"))</f>
        <v>#REF!</v>
      </c>
      <c r="AH1736" t="e">
        <f>#REF! + #REF! + #REF! + #REF!</f>
        <v>#REF!</v>
      </c>
    </row>
    <row r="1737" spans="1:34" x14ac:dyDescent="0.35">
      <c r="A1737">
        <v>1736</v>
      </c>
      <c r="B1737" t="s">
        <v>57</v>
      </c>
      <c r="C1737">
        <v>103</v>
      </c>
      <c r="D1737" t="s">
        <v>28</v>
      </c>
      <c r="E1737" t="s">
        <v>22</v>
      </c>
      <c r="F1737" t="s">
        <v>22</v>
      </c>
      <c r="G1737">
        <v>0</v>
      </c>
      <c r="H1737">
        <v>206.5</v>
      </c>
      <c r="I1737">
        <v>125</v>
      </c>
      <c r="J1737">
        <v>35.11</v>
      </c>
      <c r="K1737">
        <v>180.2</v>
      </c>
      <c r="L1737">
        <v>113</v>
      </c>
      <c r="M1737">
        <v>15.32</v>
      </c>
      <c r="N1737">
        <v>220.6</v>
      </c>
      <c r="O1737">
        <v>95</v>
      </c>
      <c r="P1737">
        <v>9.93</v>
      </c>
      <c r="Q1737">
        <v>12.2</v>
      </c>
      <c r="R1737">
        <v>4</v>
      </c>
      <c r="S1737">
        <v>3.29</v>
      </c>
      <c r="T1737">
        <v>3</v>
      </c>
      <c r="U1737" t="s">
        <v>22</v>
      </c>
      <c r="V1737" t="e">
        <f>IF(#REF! = "yes", 1, 0)</f>
        <v>#REF!</v>
      </c>
      <c r="W1737" t="e">
        <f>IF(#REF! &lt;= 1, "0-1 Calls", IF(#REF! &lt;= 3, "2-3 Calls", IF(#REF! &lt;=5, "4-5 Calls", "6+ Calls")))</f>
        <v>#REF!</v>
      </c>
      <c r="X1737" t="e">
        <f>IF(#REF! &lt;= 50, "0-50", IF(#REF! &lt;=100, "51-100", IF(#REF! &lt;= 150, "101-150", "151+")))</f>
        <v>#REF!</v>
      </c>
      <c r="Y1737" t="e">
        <f>IF(#REF! &lt;= 3, "Low Charges", "High Charges")</f>
        <v>#REF!</v>
      </c>
      <c r="Z1737" t="e">
        <f>IF(#REF!&lt;=80,"Low Calls",
IF(#REF!&lt;=120,"Medium Calls","High Calls"))</f>
        <v>#REF!</v>
      </c>
      <c r="AA1737" t="e">
        <f>IF(#REF!&lt;=15,"Low Charges",
IF(#REF!&lt;=20,"Medium Charges","High Charges"))</f>
        <v>#REF!</v>
      </c>
      <c r="AB1737" t="e">
        <f>IF(AND(#REF!&gt;180, #REF!&gt;200), "Heavy Doemstic User", IF(#REF!&gt;10, "Interntional User", IF(AND(#REF!&lt;180, #REF!&lt;200,#REF!&lt;200), "Light User", "Balanced User")))</f>
        <v>#REF!</v>
      </c>
      <c r="AC1737" t="e">
        <f>IF(#REF! = 0, "No Usage", IF(#REF! &lt;= 20, "Low Usage", IF(#REF! &lt;= 40, "Medium Usgae", "High Usage")))</f>
        <v>#REF!</v>
      </c>
      <c r="AD1737" t="e">
        <f>IF(#REF!&lt;=150,"Low Usage", IF(#REF!&lt;=200,"Medium Usage", IF(#REF!&lt;=250,"High Usage","Very High Usage")))</f>
        <v>#REF!</v>
      </c>
      <c r="AE1737" t="e">
        <f>IF(#REF!&lt;=5,"Low Calls", IF(#REF!&lt;=10, "Medium Calls", "High Calls"))</f>
        <v>#REF!</v>
      </c>
      <c r="AF1737" t="e">
        <f xml:space="preserve">
IF(#REF!&gt;=4,4,0)+
IF(#REF!="yes",3,0)+
IF(#REF!="High Charges",3,0)+
IF(#REF!&gt;250,4,0)+
IF(#REF!="no",1,0)+
IF(#REF!="Heavy Domestic User",2,0)</f>
        <v>#REF!</v>
      </c>
      <c r="AG1737" t="e">
        <f>IF(#REF!&gt;=10,"High Risk", IF(#REF!&gt;=5,"Medium Risk","Low Risk"))</f>
        <v>#REF!</v>
      </c>
      <c r="AH1737" t="e">
        <f>#REF! + #REF! + #REF! + #REF!</f>
        <v>#REF!</v>
      </c>
    </row>
    <row r="1738" spans="1:34" x14ac:dyDescent="0.35">
      <c r="A1738">
        <v>1737</v>
      </c>
      <c r="B1738" t="s">
        <v>20</v>
      </c>
      <c r="C1738">
        <v>164</v>
      </c>
      <c r="D1738" t="s">
        <v>28</v>
      </c>
      <c r="E1738" t="s">
        <v>22</v>
      </c>
      <c r="F1738" t="s">
        <v>23</v>
      </c>
      <c r="G1738">
        <v>27</v>
      </c>
      <c r="H1738">
        <v>159.69999999999999</v>
      </c>
      <c r="I1738">
        <v>102</v>
      </c>
      <c r="J1738">
        <v>27.15</v>
      </c>
      <c r="K1738">
        <v>168.8</v>
      </c>
      <c r="L1738">
        <v>113</v>
      </c>
      <c r="M1738">
        <v>14.35</v>
      </c>
      <c r="N1738">
        <v>244.1</v>
      </c>
      <c r="O1738">
        <v>127</v>
      </c>
      <c r="P1738">
        <v>10.98</v>
      </c>
      <c r="Q1738">
        <v>9.6</v>
      </c>
      <c r="R1738">
        <v>9</v>
      </c>
      <c r="S1738">
        <v>2.59</v>
      </c>
      <c r="T1738">
        <v>3</v>
      </c>
      <c r="U1738" t="s">
        <v>22</v>
      </c>
      <c r="V1738" t="e">
        <f>IF(#REF! = "yes", 1, 0)</f>
        <v>#REF!</v>
      </c>
      <c r="W1738" t="e">
        <f>IF(#REF! &lt;= 1, "0-1 Calls", IF(#REF! &lt;= 3, "2-3 Calls", IF(#REF! &lt;=5, "4-5 Calls", "6+ Calls")))</f>
        <v>#REF!</v>
      </c>
      <c r="X1738" t="e">
        <f>IF(#REF! &lt;= 50, "0-50", IF(#REF! &lt;=100, "51-100", IF(#REF! &lt;= 150, "101-150", "151+")))</f>
        <v>#REF!</v>
      </c>
      <c r="Y1738" t="e">
        <f>IF(#REF! &lt;= 3, "Low Charges", "High Charges")</f>
        <v>#REF!</v>
      </c>
      <c r="Z1738" t="e">
        <f>IF(#REF!&lt;=80,"Low Calls",
IF(#REF!&lt;=120,"Medium Calls","High Calls"))</f>
        <v>#REF!</v>
      </c>
      <c r="AA1738" t="e">
        <f>IF(#REF!&lt;=15,"Low Charges",
IF(#REF!&lt;=20,"Medium Charges","High Charges"))</f>
        <v>#REF!</v>
      </c>
      <c r="AB1738" t="e">
        <f>IF(AND(#REF!&gt;180, #REF!&gt;200), "Heavy Doemstic User", IF(#REF!&gt;10, "Interntional User", IF(AND(#REF!&lt;180, #REF!&lt;200,#REF!&lt;200), "Light User", "Balanced User")))</f>
        <v>#REF!</v>
      </c>
      <c r="AC1738" t="e">
        <f>IF(#REF! = 0, "No Usage", IF(#REF! &lt;= 20, "Low Usage", IF(#REF! &lt;= 40, "Medium Usgae", "High Usage")))</f>
        <v>#REF!</v>
      </c>
      <c r="AD1738" t="e">
        <f>IF(#REF!&lt;=150,"Low Usage", IF(#REF!&lt;=200,"Medium Usage", IF(#REF!&lt;=250,"High Usage","Very High Usage")))</f>
        <v>#REF!</v>
      </c>
      <c r="AE1738" t="e">
        <f>IF(#REF!&lt;=5,"Low Calls", IF(#REF!&lt;=10, "Medium Calls", "High Calls"))</f>
        <v>#REF!</v>
      </c>
      <c r="AF1738" t="e">
        <f xml:space="preserve">
IF(#REF!&gt;=4,4,0)+
IF(#REF!="yes",3,0)+
IF(#REF!="High Charges",3,0)+
IF(#REF!&gt;250,4,0)+
IF(#REF!="no",1,0)+
IF(#REF!="Heavy Domestic User",2,0)</f>
        <v>#REF!</v>
      </c>
      <c r="AG1738" t="e">
        <f>IF(#REF!&gt;=10,"High Risk", IF(#REF!&gt;=5,"Medium Risk","Low Risk"))</f>
        <v>#REF!</v>
      </c>
      <c r="AH1738" t="e">
        <f>#REF! + #REF! + #REF! + #REF!</f>
        <v>#REF!</v>
      </c>
    </row>
    <row r="1739" spans="1:34" x14ac:dyDescent="0.35">
      <c r="A1739">
        <v>1738</v>
      </c>
      <c r="B1739" t="s">
        <v>20</v>
      </c>
      <c r="C1739">
        <v>116</v>
      </c>
      <c r="D1739" t="s">
        <v>21</v>
      </c>
      <c r="E1739" t="s">
        <v>22</v>
      </c>
      <c r="F1739" t="s">
        <v>23</v>
      </c>
      <c r="G1739">
        <v>27</v>
      </c>
      <c r="H1739">
        <v>204.7</v>
      </c>
      <c r="I1739">
        <v>118</v>
      </c>
      <c r="J1739">
        <v>34.799999999999997</v>
      </c>
      <c r="K1739">
        <v>209.4</v>
      </c>
      <c r="L1739">
        <v>91</v>
      </c>
      <c r="M1739">
        <v>17.8</v>
      </c>
      <c r="N1739">
        <v>212.9</v>
      </c>
      <c r="O1739">
        <v>67</v>
      </c>
      <c r="P1739">
        <v>9.58</v>
      </c>
      <c r="Q1739">
        <v>7</v>
      </c>
      <c r="R1739">
        <v>2</v>
      </c>
      <c r="S1739">
        <v>1.89</v>
      </c>
      <c r="T1739">
        <v>2</v>
      </c>
      <c r="U1739" t="s">
        <v>22</v>
      </c>
      <c r="V1739" t="e">
        <f>IF(#REF! = "yes", 1, 0)</f>
        <v>#REF!</v>
      </c>
      <c r="W1739" t="e">
        <f>IF(#REF! &lt;= 1, "0-1 Calls", IF(#REF! &lt;= 3, "2-3 Calls", IF(#REF! &lt;=5, "4-5 Calls", "6+ Calls")))</f>
        <v>#REF!</v>
      </c>
      <c r="X1739" t="e">
        <f>IF(#REF! &lt;= 50, "0-50", IF(#REF! &lt;=100, "51-100", IF(#REF! &lt;= 150, "101-150", "151+")))</f>
        <v>#REF!</v>
      </c>
      <c r="Y1739" t="e">
        <f>IF(#REF! &lt;= 3, "Low Charges", "High Charges")</f>
        <v>#REF!</v>
      </c>
      <c r="Z1739" t="e">
        <f>IF(#REF!&lt;=80,"Low Calls",
IF(#REF!&lt;=120,"Medium Calls","High Calls"))</f>
        <v>#REF!</v>
      </c>
      <c r="AA1739" t="e">
        <f>IF(#REF!&lt;=15,"Low Charges",
IF(#REF!&lt;=20,"Medium Charges","High Charges"))</f>
        <v>#REF!</v>
      </c>
      <c r="AB1739" t="e">
        <f>IF(AND(#REF!&gt;180, #REF!&gt;200), "Heavy Doemstic User", IF(#REF!&gt;10, "Interntional User", IF(AND(#REF!&lt;180, #REF!&lt;200,#REF!&lt;200), "Light User", "Balanced User")))</f>
        <v>#REF!</v>
      </c>
      <c r="AC1739" t="e">
        <f>IF(#REF! = 0, "No Usage", IF(#REF! &lt;= 20, "Low Usage", IF(#REF! &lt;= 40, "Medium Usgae", "High Usage")))</f>
        <v>#REF!</v>
      </c>
      <c r="AD1739" t="e">
        <f>IF(#REF!&lt;=150,"Low Usage", IF(#REF!&lt;=200,"Medium Usage", IF(#REF!&lt;=250,"High Usage","Very High Usage")))</f>
        <v>#REF!</v>
      </c>
      <c r="AE1739" t="e">
        <f>IF(#REF!&lt;=5,"Low Calls", IF(#REF!&lt;=10, "Medium Calls", "High Calls"))</f>
        <v>#REF!</v>
      </c>
      <c r="AF1739" t="e">
        <f xml:space="preserve">
IF(#REF!&gt;=4,4,0)+
IF(#REF!="yes",3,0)+
IF(#REF!="High Charges",3,0)+
IF(#REF!&gt;250,4,0)+
IF(#REF!="no",1,0)+
IF(#REF!="Heavy Domestic User",2,0)</f>
        <v>#REF!</v>
      </c>
      <c r="AG1739" t="e">
        <f>IF(#REF!&gt;=10,"High Risk", IF(#REF!&gt;=5,"Medium Risk","Low Risk"))</f>
        <v>#REF!</v>
      </c>
      <c r="AH1739" t="e">
        <f>#REF! + #REF! + #REF! + #REF!</f>
        <v>#REF!</v>
      </c>
    </row>
    <row r="1740" spans="1:34" x14ac:dyDescent="0.35">
      <c r="A1740">
        <v>1739</v>
      </c>
      <c r="B1740" t="s">
        <v>35</v>
      </c>
      <c r="C1740">
        <v>121</v>
      </c>
      <c r="D1740" t="s">
        <v>25</v>
      </c>
      <c r="E1740" t="s">
        <v>22</v>
      </c>
      <c r="F1740" t="s">
        <v>22</v>
      </c>
      <c r="G1740">
        <v>0</v>
      </c>
      <c r="H1740">
        <v>213.2</v>
      </c>
      <c r="I1740">
        <v>79</v>
      </c>
      <c r="J1740">
        <v>36.24</v>
      </c>
      <c r="K1740">
        <v>120.7</v>
      </c>
      <c r="L1740">
        <v>116</v>
      </c>
      <c r="M1740">
        <v>10.26</v>
      </c>
      <c r="N1740">
        <v>244.4</v>
      </c>
      <c r="O1740">
        <v>102</v>
      </c>
      <c r="P1740">
        <v>11</v>
      </c>
      <c r="Q1740">
        <v>7.5</v>
      </c>
      <c r="R1740">
        <v>4</v>
      </c>
      <c r="S1740">
        <v>2.0299999999999998</v>
      </c>
      <c r="T1740">
        <v>1</v>
      </c>
      <c r="U1740" t="s">
        <v>22</v>
      </c>
      <c r="V1740" t="e">
        <f>IF(#REF! = "yes", 1, 0)</f>
        <v>#REF!</v>
      </c>
      <c r="W1740" t="e">
        <f>IF(#REF! &lt;= 1, "0-1 Calls", IF(#REF! &lt;= 3, "2-3 Calls", IF(#REF! &lt;=5, "4-5 Calls", "6+ Calls")))</f>
        <v>#REF!</v>
      </c>
      <c r="X1740" t="e">
        <f>IF(#REF! &lt;= 50, "0-50", IF(#REF! &lt;=100, "51-100", IF(#REF! &lt;= 150, "101-150", "151+")))</f>
        <v>#REF!</v>
      </c>
      <c r="Y1740" t="e">
        <f>IF(#REF! &lt;= 3, "Low Charges", "High Charges")</f>
        <v>#REF!</v>
      </c>
      <c r="Z1740" t="e">
        <f>IF(#REF!&lt;=80,"Low Calls",
IF(#REF!&lt;=120,"Medium Calls","High Calls"))</f>
        <v>#REF!</v>
      </c>
      <c r="AA1740" t="e">
        <f>IF(#REF!&lt;=15,"Low Charges",
IF(#REF!&lt;=20,"Medium Charges","High Charges"))</f>
        <v>#REF!</v>
      </c>
      <c r="AB1740" t="e">
        <f>IF(AND(#REF!&gt;180, #REF!&gt;200), "Heavy Doemstic User", IF(#REF!&gt;10, "Interntional User", IF(AND(#REF!&lt;180, #REF!&lt;200,#REF!&lt;200), "Light User", "Balanced User")))</f>
        <v>#REF!</v>
      </c>
      <c r="AC1740" t="e">
        <f>IF(#REF! = 0, "No Usage", IF(#REF! &lt;= 20, "Low Usage", IF(#REF! &lt;= 40, "Medium Usgae", "High Usage")))</f>
        <v>#REF!</v>
      </c>
      <c r="AD1740" t="e">
        <f>IF(#REF!&lt;=150,"Low Usage", IF(#REF!&lt;=200,"Medium Usage", IF(#REF!&lt;=250,"High Usage","Very High Usage")))</f>
        <v>#REF!</v>
      </c>
      <c r="AE1740" t="e">
        <f>IF(#REF!&lt;=5,"Low Calls", IF(#REF!&lt;=10, "Medium Calls", "High Calls"))</f>
        <v>#REF!</v>
      </c>
      <c r="AF1740" t="e">
        <f xml:space="preserve">
IF(#REF!&gt;=4,4,0)+
IF(#REF!="yes",3,0)+
IF(#REF!="High Charges",3,0)+
IF(#REF!&gt;250,4,0)+
IF(#REF!="no",1,0)+
IF(#REF!="Heavy Domestic User",2,0)</f>
        <v>#REF!</v>
      </c>
      <c r="AG1740" t="e">
        <f>IF(#REF!&gt;=10,"High Risk", IF(#REF!&gt;=5,"Medium Risk","Low Risk"))</f>
        <v>#REF!</v>
      </c>
      <c r="AH1740" t="e">
        <f>#REF! + #REF! + #REF! + #REF!</f>
        <v>#REF!</v>
      </c>
    </row>
    <row r="1741" spans="1:34" x14ac:dyDescent="0.35">
      <c r="A1741">
        <v>1740</v>
      </c>
      <c r="B1741" t="s">
        <v>72</v>
      </c>
      <c r="C1741">
        <v>55</v>
      </c>
      <c r="D1741" t="s">
        <v>21</v>
      </c>
      <c r="E1741" t="s">
        <v>23</v>
      </c>
      <c r="F1741" t="s">
        <v>22</v>
      </c>
      <c r="G1741">
        <v>0</v>
      </c>
      <c r="H1741">
        <v>269.60000000000002</v>
      </c>
      <c r="I1741">
        <v>121</v>
      </c>
      <c r="J1741">
        <v>45.83</v>
      </c>
      <c r="K1741">
        <v>171.7</v>
      </c>
      <c r="L1741">
        <v>91</v>
      </c>
      <c r="M1741">
        <v>14.59</v>
      </c>
      <c r="N1741">
        <v>219</v>
      </c>
      <c r="O1741">
        <v>98</v>
      </c>
      <c r="P1741">
        <v>9.86</v>
      </c>
      <c r="Q1741">
        <v>8.1999999999999993</v>
      </c>
      <c r="R1741">
        <v>6</v>
      </c>
      <c r="S1741">
        <v>2.21</v>
      </c>
      <c r="T1741">
        <v>1</v>
      </c>
      <c r="U1741" t="s">
        <v>22</v>
      </c>
      <c r="V1741" t="e">
        <f>IF(#REF! = "yes", 1, 0)</f>
        <v>#REF!</v>
      </c>
      <c r="W1741" t="e">
        <f>IF(#REF! &lt;= 1, "0-1 Calls", IF(#REF! &lt;= 3, "2-3 Calls", IF(#REF! &lt;=5, "4-5 Calls", "6+ Calls")))</f>
        <v>#REF!</v>
      </c>
      <c r="X1741" t="e">
        <f>IF(#REF! &lt;= 50, "0-50", IF(#REF! &lt;=100, "51-100", IF(#REF! &lt;= 150, "101-150", "151+")))</f>
        <v>#REF!</v>
      </c>
      <c r="Y1741" t="e">
        <f>IF(#REF! &lt;= 3, "Low Charges", "High Charges")</f>
        <v>#REF!</v>
      </c>
      <c r="Z1741" t="e">
        <f>IF(#REF!&lt;=80,"Low Calls",
IF(#REF!&lt;=120,"Medium Calls","High Calls"))</f>
        <v>#REF!</v>
      </c>
      <c r="AA1741" t="e">
        <f>IF(#REF!&lt;=15,"Low Charges",
IF(#REF!&lt;=20,"Medium Charges","High Charges"))</f>
        <v>#REF!</v>
      </c>
      <c r="AB1741" t="e">
        <f>IF(AND(#REF!&gt;180, #REF!&gt;200), "Heavy Doemstic User", IF(#REF!&gt;10, "Interntional User", IF(AND(#REF!&lt;180, #REF!&lt;200,#REF!&lt;200), "Light User", "Balanced User")))</f>
        <v>#REF!</v>
      </c>
      <c r="AC1741" t="e">
        <f>IF(#REF! = 0, "No Usage", IF(#REF! &lt;= 20, "Low Usage", IF(#REF! &lt;= 40, "Medium Usgae", "High Usage")))</f>
        <v>#REF!</v>
      </c>
      <c r="AD1741" t="e">
        <f>IF(#REF!&lt;=150,"Low Usage", IF(#REF!&lt;=200,"Medium Usage", IF(#REF!&lt;=250,"High Usage","Very High Usage")))</f>
        <v>#REF!</v>
      </c>
      <c r="AE1741" t="e">
        <f>IF(#REF!&lt;=5,"Low Calls", IF(#REF!&lt;=10, "Medium Calls", "High Calls"))</f>
        <v>#REF!</v>
      </c>
      <c r="AF1741" t="e">
        <f xml:space="preserve">
IF(#REF!&gt;=4,4,0)+
IF(#REF!="yes",3,0)+
IF(#REF!="High Charges",3,0)+
IF(#REF!&gt;250,4,0)+
IF(#REF!="no",1,0)+
IF(#REF!="Heavy Domestic User",2,0)</f>
        <v>#REF!</v>
      </c>
      <c r="AG1741" t="e">
        <f>IF(#REF!&gt;=10,"High Risk", IF(#REF!&gt;=5,"Medium Risk","Low Risk"))</f>
        <v>#REF!</v>
      </c>
      <c r="AH1741" t="e">
        <f>#REF! + #REF! + #REF! + #REF!</f>
        <v>#REF!</v>
      </c>
    </row>
    <row r="1742" spans="1:34" x14ac:dyDescent="0.35">
      <c r="A1742">
        <v>1741</v>
      </c>
      <c r="B1742" t="s">
        <v>62</v>
      </c>
      <c r="C1742">
        <v>183</v>
      </c>
      <c r="D1742" t="s">
        <v>21</v>
      </c>
      <c r="E1742" t="s">
        <v>22</v>
      </c>
      <c r="F1742" t="s">
        <v>22</v>
      </c>
      <c r="G1742">
        <v>0</v>
      </c>
      <c r="H1742">
        <v>116.7</v>
      </c>
      <c r="I1742">
        <v>92</v>
      </c>
      <c r="J1742">
        <v>19.84</v>
      </c>
      <c r="K1742">
        <v>213.8</v>
      </c>
      <c r="L1742">
        <v>112</v>
      </c>
      <c r="M1742">
        <v>18.170000000000002</v>
      </c>
      <c r="N1742">
        <v>214.3</v>
      </c>
      <c r="O1742">
        <v>112</v>
      </c>
      <c r="P1742">
        <v>9.64</v>
      </c>
      <c r="Q1742">
        <v>9.6999999999999993</v>
      </c>
      <c r="R1742">
        <v>6</v>
      </c>
      <c r="S1742">
        <v>2.62</v>
      </c>
      <c r="T1742">
        <v>2</v>
      </c>
      <c r="U1742" t="s">
        <v>22</v>
      </c>
      <c r="V1742" t="e">
        <f>IF(#REF! = "yes", 1, 0)</f>
        <v>#REF!</v>
      </c>
      <c r="W1742" t="e">
        <f>IF(#REF! &lt;= 1, "0-1 Calls", IF(#REF! &lt;= 3, "2-3 Calls", IF(#REF! &lt;=5, "4-5 Calls", "6+ Calls")))</f>
        <v>#REF!</v>
      </c>
      <c r="X1742" t="e">
        <f>IF(#REF! &lt;= 50, "0-50", IF(#REF! &lt;=100, "51-100", IF(#REF! &lt;= 150, "101-150", "151+")))</f>
        <v>#REF!</v>
      </c>
      <c r="Y1742" t="e">
        <f>IF(#REF! &lt;= 3, "Low Charges", "High Charges")</f>
        <v>#REF!</v>
      </c>
      <c r="Z1742" t="e">
        <f>IF(#REF!&lt;=80,"Low Calls",
IF(#REF!&lt;=120,"Medium Calls","High Calls"))</f>
        <v>#REF!</v>
      </c>
      <c r="AA1742" t="e">
        <f>IF(#REF!&lt;=15,"Low Charges",
IF(#REF!&lt;=20,"Medium Charges","High Charges"))</f>
        <v>#REF!</v>
      </c>
      <c r="AB1742" t="e">
        <f>IF(AND(#REF!&gt;180, #REF!&gt;200), "Heavy Doemstic User", IF(#REF!&gt;10, "Interntional User", IF(AND(#REF!&lt;180, #REF!&lt;200,#REF!&lt;200), "Light User", "Balanced User")))</f>
        <v>#REF!</v>
      </c>
      <c r="AC1742" t="e">
        <f>IF(#REF! = 0, "No Usage", IF(#REF! &lt;= 20, "Low Usage", IF(#REF! &lt;= 40, "Medium Usgae", "High Usage")))</f>
        <v>#REF!</v>
      </c>
      <c r="AD1742" t="e">
        <f>IF(#REF!&lt;=150,"Low Usage", IF(#REF!&lt;=200,"Medium Usage", IF(#REF!&lt;=250,"High Usage","Very High Usage")))</f>
        <v>#REF!</v>
      </c>
      <c r="AE1742" t="e">
        <f>IF(#REF!&lt;=5,"Low Calls", IF(#REF!&lt;=10, "Medium Calls", "High Calls"))</f>
        <v>#REF!</v>
      </c>
      <c r="AF1742" t="e">
        <f xml:space="preserve">
IF(#REF!&gt;=4,4,0)+
IF(#REF!="yes",3,0)+
IF(#REF!="High Charges",3,0)+
IF(#REF!&gt;250,4,0)+
IF(#REF!="no",1,0)+
IF(#REF!="Heavy Domestic User",2,0)</f>
        <v>#REF!</v>
      </c>
      <c r="AG1742" t="e">
        <f>IF(#REF!&gt;=10,"High Risk", IF(#REF!&gt;=5,"Medium Risk","Low Risk"))</f>
        <v>#REF!</v>
      </c>
      <c r="AH1742" t="e">
        <f>#REF! + #REF! + #REF! + #REF!</f>
        <v>#REF!</v>
      </c>
    </row>
    <row r="1743" spans="1:34" x14ac:dyDescent="0.35">
      <c r="A1743">
        <v>1742</v>
      </c>
      <c r="B1743" t="s">
        <v>46</v>
      </c>
      <c r="C1743">
        <v>90</v>
      </c>
      <c r="D1743" t="s">
        <v>25</v>
      </c>
      <c r="E1743" t="s">
        <v>22</v>
      </c>
      <c r="F1743" t="s">
        <v>22</v>
      </c>
      <c r="G1743">
        <v>0</v>
      </c>
      <c r="H1743">
        <v>140.19999999999999</v>
      </c>
      <c r="I1743">
        <v>97</v>
      </c>
      <c r="J1743">
        <v>23.83</v>
      </c>
      <c r="K1743">
        <v>213.9</v>
      </c>
      <c r="L1743">
        <v>102</v>
      </c>
      <c r="M1743">
        <v>18.18</v>
      </c>
      <c r="N1743">
        <v>120</v>
      </c>
      <c r="O1743">
        <v>126</v>
      </c>
      <c r="P1743">
        <v>5.4</v>
      </c>
      <c r="Q1743">
        <v>7.1</v>
      </c>
      <c r="R1743">
        <v>2</v>
      </c>
      <c r="S1743">
        <v>1.92</v>
      </c>
      <c r="T1743">
        <v>1</v>
      </c>
      <c r="U1743" t="s">
        <v>22</v>
      </c>
      <c r="V1743" t="e">
        <f>IF(#REF! = "yes", 1, 0)</f>
        <v>#REF!</v>
      </c>
      <c r="W1743" t="e">
        <f>IF(#REF! &lt;= 1, "0-1 Calls", IF(#REF! &lt;= 3, "2-3 Calls", IF(#REF! &lt;=5, "4-5 Calls", "6+ Calls")))</f>
        <v>#REF!</v>
      </c>
      <c r="X1743" t="e">
        <f>IF(#REF! &lt;= 50, "0-50", IF(#REF! &lt;=100, "51-100", IF(#REF! &lt;= 150, "101-150", "151+")))</f>
        <v>#REF!</v>
      </c>
      <c r="Y1743" t="e">
        <f>IF(#REF! &lt;= 3, "Low Charges", "High Charges")</f>
        <v>#REF!</v>
      </c>
      <c r="Z1743" t="e">
        <f>IF(#REF!&lt;=80,"Low Calls",
IF(#REF!&lt;=120,"Medium Calls","High Calls"))</f>
        <v>#REF!</v>
      </c>
      <c r="AA1743" t="e">
        <f>IF(#REF!&lt;=15,"Low Charges",
IF(#REF!&lt;=20,"Medium Charges","High Charges"))</f>
        <v>#REF!</v>
      </c>
      <c r="AB1743" t="e">
        <f>IF(AND(#REF!&gt;180, #REF!&gt;200), "Heavy Doemstic User", IF(#REF!&gt;10, "Interntional User", IF(AND(#REF!&lt;180, #REF!&lt;200,#REF!&lt;200), "Light User", "Balanced User")))</f>
        <v>#REF!</v>
      </c>
      <c r="AC1743" t="e">
        <f>IF(#REF! = 0, "No Usage", IF(#REF! &lt;= 20, "Low Usage", IF(#REF! &lt;= 40, "Medium Usgae", "High Usage")))</f>
        <v>#REF!</v>
      </c>
      <c r="AD1743" t="e">
        <f>IF(#REF!&lt;=150,"Low Usage", IF(#REF!&lt;=200,"Medium Usage", IF(#REF!&lt;=250,"High Usage","Very High Usage")))</f>
        <v>#REF!</v>
      </c>
      <c r="AE1743" t="e">
        <f>IF(#REF!&lt;=5,"Low Calls", IF(#REF!&lt;=10, "Medium Calls", "High Calls"))</f>
        <v>#REF!</v>
      </c>
      <c r="AF1743" t="e">
        <f xml:space="preserve">
IF(#REF!&gt;=4,4,0)+
IF(#REF!="yes",3,0)+
IF(#REF!="High Charges",3,0)+
IF(#REF!&gt;250,4,0)+
IF(#REF!="no",1,0)+
IF(#REF!="Heavy Domestic User",2,0)</f>
        <v>#REF!</v>
      </c>
      <c r="AG1743" t="e">
        <f>IF(#REF!&gt;=10,"High Risk", IF(#REF!&gt;=5,"Medium Risk","Low Risk"))</f>
        <v>#REF!</v>
      </c>
      <c r="AH1743" t="e">
        <f>#REF! + #REF! + #REF! + #REF!</f>
        <v>#REF!</v>
      </c>
    </row>
    <row r="1744" spans="1:34" x14ac:dyDescent="0.35">
      <c r="A1744">
        <v>1743</v>
      </c>
      <c r="B1744" t="s">
        <v>64</v>
      </c>
      <c r="C1744">
        <v>101</v>
      </c>
      <c r="D1744" t="s">
        <v>21</v>
      </c>
      <c r="E1744" t="s">
        <v>22</v>
      </c>
      <c r="F1744" t="s">
        <v>22</v>
      </c>
      <c r="G1744">
        <v>0</v>
      </c>
      <c r="H1744">
        <v>136.19999999999999</v>
      </c>
      <c r="I1744">
        <v>92</v>
      </c>
      <c r="J1744">
        <v>23.15</v>
      </c>
      <c r="K1744">
        <v>220.9</v>
      </c>
      <c r="L1744">
        <v>110</v>
      </c>
      <c r="M1744">
        <v>18.78</v>
      </c>
      <c r="N1744">
        <v>196.9</v>
      </c>
      <c r="O1744">
        <v>116</v>
      </c>
      <c r="P1744">
        <v>8.86</v>
      </c>
      <c r="Q1744">
        <v>13.3</v>
      </c>
      <c r="R1744">
        <v>7</v>
      </c>
      <c r="S1744">
        <v>3.59</v>
      </c>
      <c r="T1744">
        <v>3</v>
      </c>
      <c r="U1744" t="s">
        <v>22</v>
      </c>
      <c r="V1744" t="e">
        <f>IF(#REF! = "yes", 1, 0)</f>
        <v>#REF!</v>
      </c>
      <c r="W1744" t="e">
        <f>IF(#REF! &lt;= 1, "0-1 Calls", IF(#REF! &lt;= 3, "2-3 Calls", IF(#REF! &lt;=5, "4-5 Calls", "6+ Calls")))</f>
        <v>#REF!</v>
      </c>
      <c r="X1744" t="e">
        <f>IF(#REF! &lt;= 50, "0-50", IF(#REF! &lt;=100, "51-100", IF(#REF! &lt;= 150, "101-150", "151+")))</f>
        <v>#REF!</v>
      </c>
      <c r="Y1744" t="e">
        <f>IF(#REF! &lt;= 3, "Low Charges", "High Charges")</f>
        <v>#REF!</v>
      </c>
      <c r="Z1744" t="e">
        <f>IF(#REF!&lt;=80,"Low Calls",
IF(#REF!&lt;=120,"Medium Calls","High Calls"))</f>
        <v>#REF!</v>
      </c>
      <c r="AA1744" t="e">
        <f>IF(#REF!&lt;=15,"Low Charges",
IF(#REF!&lt;=20,"Medium Charges","High Charges"))</f>
        <v>#REF!</v>
      </c>
      <c r="AB1744" t="e">
        <f>IF(AND(#REF!&gt;180, #REF!&gt;200), "Heavy Doemstic User", IF(#REF!&gt;10, "Interntional User", IF(AND(#REF!&lt;180, #REF!&lt;200,#REF!&lt;200), "Light User", "Balanced User")))</f>
        <v>#REF!</v>
      </c>
      <c r="AC1744" t="e">
        <f>IF(#REF! = 0, "No Usage", IF(#REF! &lt;= 20, "Low Usage", IF(#REF! &lt;= 40, "Medium Usgae", "High Usage")))</f>
        <v>#REF!</v>
      </c>
      <c r="AD1744" t="e">
        <f>IF(#REF!&lt;=150,"Low Usage", IF(#REF!&lt;=200,"Medium Usage", IF(#REF!&lt;=250,"High Usage","Very High Usage")))</f>
        <v>#REF!</v>
      </c>
      <c r="AE1744" t="e">
        <f>IF(#REF!&lt;=5,"Low Calls", IF(#REF!&lt;=10, "Medium Calls", "High Calls"))</f>
        <v>#REF!</v>
      </c>
      <c r="AF1744" t="e">
        <f xml:space="preserve">
IF(#REF!&gt;=4,4,0)+
IF(#REF!="yes",3,0)+
IF(#REF!="High Charges",3,0)+
IF(#REF!&gt;250,4,0)+
IF(#REF!="no",1,0)+
IF(#REF!="Heavy Domestic User",2,0)</f>
        <v>#REF!</v>
      </c>
      <c r="AG1744" t="e">
        <f>IF(#REF!&gt;=10,"High Risk", IF(#REF!&gt;=5,"Medium Risk","Low Risk"))</f>
        <v>#REF!</v>
      </c>
      <c r="AH1744" t="e">
        <f>#REF! + #REF! + #REF! + #REF!</f>
        <v>#REF!</v>
      </c>
    </row>
    <row r="1745" spans="1:34" x14ac:dyDescent="0.35">
      <c r="A1745">
        <v>1744</v>
      </c>
      <c r="B1745" t="s">
        <v>36</v>
      </c>
      <c r="C1745">
        <v>9</v>
      </c>
      <c r="D1745" t="s">
        <v>21</v>
      </c>
      <c r="E1745" t="s">
        <v>22</v>
      </c>
      <c r="F1745" t="s">
        <v>23</v>
      </c>
      <c r="G1745">
        <v>16</v>
      </c>
      <c r="H1745">
        <v>88.5</v>
      </c>
      <c r="I1745">
        <v>87</v>
      </c>
      <c r="J1745">
        <v>15.05</v>
      </c>
      <c r="K1745">
        <v>178.8</v>
      </c>
      <c r="L1745">
        <v>108</v>
      </c>
      <c r="M1745">
        <v>15.2</v>
      </c>
      <c r="N1745">
        <v>228.7</v>
      </c>
      <c r="O1745">
        <v>96</v>
      </c>
      <c r="P1745">
        <v>10.29</v>
      </c>
      <c r="Q1745">
        <v>11.5</v>
      </c>
      <c r="R1745">
        <v>3</v>
      </c>
      <c r="S1745">
        <v>3.11</v>
      </c>
      <c r="T1745">
        <v>2</v>
      </c>
      <c r="U1745" t="s">
        <v>22</v>
      </c>
      <c r="V1745" t="e">
        <f>IF(#REF! = "yes", 1, 0)</f>
        <v>#REF!</v>
      </c>
      <c r="W1745" t="e">
        <f>IF(#REF! &lt;= 1, "0-1 Calls", IF(#REF! &lt;= 3, "2-3 Calls", IF(#REF! &lt;=5, "4-5 Calls", "6+ Calls")))</f>
        <v>#REF!</v>
      </c>
      <c r="X1745" t="e">
        <f>IF(#REF! &lt;= 50, "0-50", IF(#REF! &lt;=100, "51-100", IF(#REF! &lt;= 150, "101-150", "151+")))</f>
        <v>#REF!</v>
      </c>
      <c r="Y1745" t="e">
        <f>IF(#REF! &lt;= 3, "Low Charges", "High Charges")</f>
        <v>#REF!</v>
      </c>
      <c r="Z1745" t="e">
        <f>IF(#REF!&lt;=80,"Low Calls",
IF(#REF!&lt;=120,"Medium Calls","High Calls"))</f>
        <v>#REF!</v>
      </c>
      <c r="AA1745" t="e">
        <f>IF(#REF!&lt;=15,"Low Charges",
IF(#REF!&lt;=20,"Medium Charges","High Charges"))</f>
        <v>#REF!</v>
      </c>
      <c r="AB1745" t="e">
        <f>IF(AND(#REF!&gt;180, #REF!&gt;200), "Heavy Doemstic User", IF(#REF!&gt;10, "Interntional User", IF(AND(#REF!&lt;180, #REF!&lt;200,#REF!&lt;200), "Light User", "Balanced User")))</f>
        <v>#REF!</v>
      </c>
      <c r="AC1745" t="e">
        <f>IF(#REF! = 0, "No Usage", IF(#REF! &lt;= 20, "Low Usage", IF(#REF! &lt;= 40, "Medium Usgae", "High Usage")))</f>
        <v>#REF!</v>
      </c>
      <c r="AD1745" t="e">
        <f>IF(#REF!&lt;=150,"Low Usage", IF(#REF!&lt;=200,"Medium Usage", IF(#REF!&lt;=250,"High Usage","Very High Usage")))</f>
        <v>#REF!</v>
      </c>
      <c r="AE1745" t="e">
        <f>IF(#REF!&lt;=5,"Low Calls", IF(#REF!&lt;=10, "Medium Calls", "High Calls"))</f>
        <v>#REF!</v>
      </c>
      <c r="AF1745" t="e">
        <f xml:space="preserve">
IF(#REF!&gt;=4,4,0)+
IF(#REF!="yes",3,0)+
IF(#REF!="High Charges",3,0)+
IF(#REF!&gt;250,4,0)+
IF(#REF!="no",1,0)+
IF(#REF!="Heavy Domestic User",2,0)</f>
        <v>#REF!</v>
      </c>
      <c r="AG1745" t="e">
        <f>IF(#REF!&gt;=10,"High Risk", IF(#REF!&gt;=5,"Medium Risk","Low Risk"))</f>
        <v>#REF!</v>
      </c>
      <c r="AH1745" t="e">
        <f>#REF! + #REF! + #REF! + #REF!</f>
        <v>#REF!</v>
      </c>
    </row>
    <row r="1746" spans="1:34" x14ac:dyDescent="0.35">
      <c r="A1746">
        <v>1745</v>
      </c>
      <c r="B1746" t="s">
        <v>74</v>
      </c>
      <c r="C1746">
        <v>97</v>
      </c>
      <c r="D1746" t="s">
        <v>21</v>
      </c>
      <c r="E1746" t="s">
        <v>22</v>
      </c>
      <c r="F1746" t="s">
        <v>22</v>
      </c>
      <c r="G1746">
        <v>0</v>
      </c>
      <c r="H1746">
        <v>215.3</v>
      </c>
      <c r="I1746">
        <v>58</v>
      </c>
      <c r="J1746">
        <v>36.6</v>
      </c>
      <c r="K1746">
        <v>242.4</v>
      </c>
      <c r="L1746">
        <v>91</v>
      </c>
      <c r="M1746">
        <v>20.6</v>
      </c>
      <c r="N1746">
        <v>279.8</v>
      </c>
      <c r="O1746">
        <v>105</v>
      </c>
      <c r="P1746">
        <v>12.59</v>
      </c>
      <c r="Q1746">
        <v>12.1</v>
      </c>
      <c r="R1746">
        <v>9</v>
      </c>
      <c r="S1746">
        <v>3.27</v>
      </c>
      <c r="T1746">
        <v>0</v>
      </c>
      <c r="U1746" t="s">
        <v>22</v>
      </c>
      <c r="V1746" t="e">
        <f>IF(#REF! = "yes", 1, 0)</f>
        <v>#REF!</v>
      </c>
      <c r="W1746" t="e">
        <f>IF(#REF! &lt;= 1, "0-1 Calls", IF(#REF! &lt;= 3, "2-3 Calls", IF(#REF! &lt;=5, "4-5 Calls", "6+ Calls")))</f>
        <v>#REF!</v>
      </c>
      <c r="X1746" t="e">
        <f>IF(#REF! &lt;= 50, "0-50", IF(#REF! &lt;=100, "51-100", IF(#REF! &lt;= 150, "101-150", "151+")))</f>
        <v>#REF!</v>
      </c>
      <c r="Y1746" t="e">
        <f>IF(#REF! &lt;= 3, "Low Charges", "High Charges")</f>
        <v>#REF!</v>
      </c>
      <c r="Z1746" t="e">
        <f>IF(#REF!&lt;=80,"Low Calls",
IF(#REF!&lt;=120,"Medium Calls","High Calls"))</f>
        <v>#REF!</v>
      </c>
      <c r="AA1746" t="e">
        <f>IF(#REF!&lt;=15,"Low Charges",
IF(#REF!&lt;=20,"Medium Charges","High Charges"))</f>
        <v>#REF!</v>
      </c>
      <c r="AB1746" t="e">
        <f>IF(AND(#REF!&gt;180, #REF!&gt;200), "Heavy Doemstic User", IF(#REF!&gt;10, "Interntional User", IF(AND(#REF!&lt;180, #REF!&lt;200,#REF!&lt;200), "Light User", "Balanced User")))</f>
        <v>#REF!</v>
      </c>
      <c r="AC1746" t="e">
        <f>IF(#REF! = 0, "No Usage", IF(#REF! &lt;= 20, "Low Usage", IF(#REF! &lt;= 40, "Medium Usgae", "High Usage")))</f>
        <v>#REF!</v>
      </c>
      <c r="AD1746" t="e">
        <f>IF(#REF!&lt;=150,"Low Usage", IF(#REF!&lt;=200,"Medium Usage", IF(#REF!&lt;=250,"High Usage","Very High Usage")))</f>
        <v>#REF!</v>
      </c>
      <c r="AE1746" t="e">
        <f>IF(#REF!&lt;=5,"Low Calls", IF(#REF!&lt;=10, "Medium Calls", "High Calls"))</f>
        <v>#REF!</v>
      </c>
      <c r="AF1746" t="e">
        <f xml:space="preserve">
IF(#REF!&gt;=4,4,0)+
IF(#REF!="yes",3,0)+
IF(#REF!="High Charges",3,0)+
IF(#REF!&gt;250,4,0)+
IF(#REF!="no",1,0)+
IF(#REF!="Heavy Domestic User",2,0)</f>
        <v>#REF!</v>
      </c>
      <c r="AG1746" t="e">
        <f>IF(#REF!&gt;=10,"High Risk", IF(#REF!&gt;=5,"Medium Risk","Low Risk"))</f>
        <v>#REF!</v>
      </c>
      <c r="AH1746" t="e">
        <f>#REF! + #REF! + #REF! + #REF!</f>
        <v>#REF!</v>
      </c>
    </row>
    <row r="1747" spans="1:34" x14ac:dyDescent="0.35">
      <c r="A1747">
        <v>1746</v>
      </c>
      <c r="B1747" t="s">
        <v>70</v>
      </c>
      <c r="C1747">
        <v>94</v>
      </c>
      <c r="D1747" t="s">
        <v>25</v>
      </c>
      <c r="E1747" t="s">
        <v>22</v>
      </c>
      <c r="F1747" t="s">
        <v>22</v>
      </c>
      <c r="G1747">
        <v>0</v>
      </c>
      <c r="H1747">
        <v>269.2</v>
      </c>
      <c r="I1747">
        <v>104</v>
      </c>
      <c r="J1747">
        <v>45.76</v>
      </c>
      <c r="K1747">
        <v>193.8</v>
      </c>
      <c r="L1747">
        <v>144</v>
      </c>
      <c r="M1747">
        <v>16.47</v>
      </c>
      <c r="N1747">
        <v>257.60000000000002</v>
      </c>
      <c r="O1747">
        <v>61</v>
      </c>
      <c r="P1747">
        <v>11.59</v>
      </c>
      <c r="Q1747">
        <v>8.9</v>
      </c>
      <c r="R1747">
        <v>2</v>
      </c>
      <c r="S1747">
        <v>2.4</v>
      </c>
      <c r="T1747">
        <v>3</v>
      </c>
      <c r="U1747" t="s">
        <v>23</v>
      </c>
      <c r="V1747" t="e">
        <f>IF(#REF! = "yes", 1, 0)</f>
        <v>#REF!</v>
      </c>
      <c r="W1747" t="e">
        <f>IF(#REF! &lt;= 1, "0-1 Calls", IF(#REF! &lt;= 3, "2-3 Calls", IF(#REF! &lt;=5, "4-5 Calls", "6+ Calls")))</f>
        <v>#REF!</v>
      </c>
      <c r="X1747" t="e">
        <f>IF(#REF! &lt;= 50, "0-50", IF(#REF! &lt;=100, "51-100", IF(#REF! &lt;= 150, "101-150", "151+")))</f>
        <v>#REF!</v>
      </c>
      <c r="Y1747" t="e">
        <f>IF(#REF! &lt;= 3, "Low Charges", "High Charges")</f>
        <v>#REF!</v>
      </c>
      <c r="Z1747" t="e">
        <f>IF(#REF!&lt;=80,"Low Calls",
IF(#REF!&lt;=120,"Medium Calls","High Calls"))</f>
        <v>#REF!</v>
      </c>
      <c r="AA1747" t="e">
        <f>IF(#REF!&lt;=15,"Low Charges",
IF(#REF!&lt;=20,"Medium Charges","High Charges"))</f>
        <v>#REF!</v>
      </c>
      <c r="AB1747" t="e">
        <f>IF(AND(#REF!&gt;180, #REF!&gt;200), "Heavy Doemstic User", IF(#REF!&gt;10, "Interntional User", IF(AND(#REF!&lt;180, #REF!&lt;200,#REF!&lt;200), "Light User", "Balanced User")))</f>
        <v>#REF!</v>
      </c>
      <c r="AC1747" t="e">
        <f>IF(#REF! = 0, "No Usage", IF(#REF! &lt;= 20, "Low Usage", IF(#REF! &lt;= 40, "Medium Usgae", "High Usage")))</f>
        <v>#REF!</v>
      </c>
      <c r="AD1747" t="e">
        <f>IF(#REF!&lt;=150,"Low Usage", IF(#REF!&lt;=200,"Medium Usage", IF(#REF!&lt;=250,"High Usage","Very High Usage")))</f>
        <v>#REF!</v>
      </c>
      <c r="AE1747" t="e">
        <f>IF(#REF!&lt;=5,"Low Calls", IF(#REF!&lt;=10, "Medium Calls", "High Calls"))</f>
        <v>#REF!</v>
      </c>
      <c r="AF1747" t="e">
        <f xml:space="preserve">
IF(#REF!&gt;=4,4,0)+
IF(#REF!="yes",3,0)+
IF(#REF!="High Charges",3,0)+
IF(#REF!&gt;250,4,0)+
IF(#REF!="no",1,0)+
IF(#REF!="Heavy Domestic User",2,0)</f>
        <v>#REF!</v>
      </c>
      <c r="AG1747" t="e">
        <f>IF(#REF!&gt;=10,"High Risk", IF(#REF!&gt;=5,"Medium Risk","Low Risk"))</f>
        <v>#REF!</v>
      </c>
      <c r="AH1747" t="e">
        <f>#REF! + #REF! + #REF! + #REF!</f>
        <v>#REF!</v>
      </c>
    </row>
    <row r="1748" spans="1:34" x14ac:dyDescent="0.35">
      <c r="A1748">
        <v>1747</v>
      </c>
      <c r="B1748" t="s">
        <v>53</v>
      </c>
      <c r="C1748">
        <v>127</v>
      </c>
      <c r="D1748" t="s">
        <v>28</v>
      </c>
      <c r="E1748" t="s">
        <v>22</v>
      </c>
      <c r="F1748" t="s">
        <v>23</v>
      </c>
      <c r="G1748">
        <v>25</v>
      </c>
      <c r="H1748">
        <v>203.8</v>
      </c>
      <c r="I1748">
        <v>118</v>
      </c>
      <c r="J1748">
        <v>34.65</v>
      </c>
      <c r="K1748">
        <v>267.10000000000002</v>
      </c>
      <c r="L1748">
        <v>48</v>
      </c>
      <c r="M1748">
        <v>22.7</v>
      </c>
      <c r="N1748">
        <v>225.1</v>
      </c>
      <c r="O1748">
        <v>105</v>
      </c>
      <c r="P1748">
        <v>10.130000000000001</v>
      </c>
      <c r="Q1748">
        <v>7.3</v>
      </c>
      <c r="R1748">
        <v>5</v>
      </c>
      <c r="S1748">
        <v>1.97</v>
      </c>
      <c r="T1748">
        <v>0</v>
      </c>
      <c r="U1748" t="s">
        <v>22</v>
      </c>
      <c r="V1748" t="e">
        <f>IF(#REF! = "yes", 1, 0)</f>
        <v>#REF!</v>
      </c>
      <c r="W1748" t="e">
        <f>IF(#REF! &lt;= 1, "0-1 Calls", IF(#REF! &lt;= 3, "2-3 Calls", IF(#REF! &lt;=5, "4-5 Calls", "6+ Calls")))</f>
        <v>#REF!</v>
      </c>
      <c r="X1748" t="e">
        <f>IF(#REF! &lt;= 50, "0-50", IF(#REF! &lt;=100, "51-100", IF(#REF! &lt;= 150, "101-150", "151+")))</f>
        <v>#REF!</v>
      </c>
      <c r="Y1748" t="e">
        <f>IF(#REF! &lt;= 3, "Low Charges", "High Charges")</f>
        <v>#REF!</v>
      </c>
      <c r="Z1748" t="e">
        <f>IF(#REF!&lt;=80,"Low Calls",
IF(#REF!&lt;=120,"Medium Calls","High Calls"))</f>
        <v>#REF!</v>
      </c>
      <c r="AA1748" t="e">
        <f>IF(#REF!&lt;=15,"Low Charges",
IF(#REF!&lt;=20,"Medium Charges","High Charges"))</f>
        <v>#REF!</v>
      </c>
      <c r="AB1748" t="e">
        <f>IF(AND(#REF!&gt;180, #REF!&gt;200), "Heavy Doemstic User", IF(#REF!&gt;10, "Interntional User", IF(AND(#REF!&lt;180, #REF!&lt;200,#REF!&lt;200), "Light User", "Balanced User")))</f>
        <v>#REF!</v>
      </c>
      <c r="AC1748" t="e">
        <f>IF(#REF! = 0, "No Usage", IF(#REF! &lt;= 20, "Low Usage", IF(#REF! &lt;= 40, "Medium Usgae", "High Usage")))</f>
        <v>#REF!</v>
      </c>
      <c r="AD1748" t="e">
        <f>IF(#REF!&lt;=150,"Low Usage", IF(#REF!&lt;=200,"Medium Usage", IF(#REF!&lt;=250,"High Usage","Very High Usage")))</f>
        <v>#REF!</v>
      </c>
      <c r="AE1748" t="e">
        <f>IF(#REF!&lt;=5,"Low Calls", IF(#REF!&lt;=10, "Medium Calls", "High Calls"))</f>
        <v>#REF!</v>
      </c>
      <c r="AF1748" t="e">
        <f xml:space="preserve">
IF(#REF!&gt;=4,4,0)+
IF(#REF!="yes",3,0)+
IF(#REF!="High Charges",3,0)+
IF(#REF!&gt;250,4,0)+
IF(#REF!="no",1,0)+
IF(#REF!="Heavy Domestic User",2,0)</f>
        <v>#REF!</v>
      </c>
      <c r="AG1748" t="e">
        <f>IF(#REF!&gt;=10,"High Risk", IF(#REF!&gt;=5,"Medium Risk","Low Risk"))</f>
        <v>#REF!</v>
      </c>
      <c r="AH1748" t="e">
        <f>#REF! + #REF! + #REF! + #REF!</f>
        <v>#REF!</v>
      </c>
    </row>
    <row r="1749" spans="1:34" x14ac:dyDescent="0.35">
      <c r="A1749">
        <v>1748</v>
      </c>
      <c r="B1749" t="s">
        <v>57</v>
      </c>
      <c r="C1749">
        <v>125</v>
      </c>
      <c r="D1749" t="s">
        <v>28</v>
      </c>
      <c r="E1749" t="s">
        <v>22</v>
      </c>
      <c r="F1749" t="s">
        <v>23</v>
      </c>
      <c r="G1749">
        <v>34</v>
      </c>
      <c r="H1749">
        <v>268.39999999999998</v>
      </c>
      <c r="I1749">
        <v>112</v>
      </c>
      <c r="J1749">
        <v>45.63</v>
      </c>
      <c r="K1749">
        <v>222.2</v>
      </c>
      <c r="L1749">
        <v>108</v>
      </c>
      <c r="M1749">
        <v>18.89</v>
      </c>
      <c r="N1749">
        <v>117.6</v>
      </c>
      <c r="O1749">
        <v>102</v>
      </c>
      <c r="P1749">
        <v>5.29</v>
      </c>
      <c r="Q1749">
        <v>10.3</v>
      </c>
      <c r="R1749">
        <v>3</v>
      </c>
      <c r="S1749">
        <v>2.78</v>
      </c>
      <c r="T1749">
        <v>0</v>
      </c>
      <c r="U1749" t="s">
        <v>22</v>
      </c>
      <c r="V1749" t="e">
        <f>IF(#REF! = "yes", 1, 0)</f>
        <v>#REF!</v>
      </c>
      <c r="W1749" t="e">
        <f>IF(#REF! &lt;= 1, "0-1 Calls", IF(#REF! &lt;= 3, "2-3 Calls", IF(#REF! &lt;=5, "4-5 Calls", "6+ Calls")))</f>
        <v>#REF!</v>
      </c>
      <c r="X1749" t="e">
        <f>IF(#REF! &lt;= 50, "0-50", IF(#REF! &lt;=100, "51-100", IF(#REF! &lt;= 150, "101-150", "151+")))</f>
        <v>#REF!</v>
      </c>
      <c r="Y1749" t="e">
        <f>IF(#REF! &lt;= 3, "Low Charges", "High Charges")</f>
        <v>#REF!</v>
      </c>
      <c r="Z1749" t="e">
        <f>IF(#REF!&lt;=80,"Low Calls",
IF(#REF!&lt;=120,"Medium Calls","High Calls"))</f>
        <v>#REF!</v>
      </c>
      <c r="AA1749" t="e">
        <f>IF(#REF!&lt;=15,"Low Charges",
IF(#REF!&lt;=20,"Medium Charges","High Charges"))</f>
        <v>#REF!</v>
      </c>
      <c r="AB1749" t="e">
        <f>IF(AND(#REF!&gt;180, #REF!&gt;200), "Heavy Doemstic User", IF(#REF!&gt;10, "Interntional User", IF(AND(#REF!&lt;180, #REF!&lt;200,#REF!&lt;200), "Light User", "Balanced User")))</f>
        <v>#REF!</v>
      </c>
      <c r="AC1749" t="e">
        <f>IF(#REF! = 0, "No Usage", IF(#REF! &lt;= 20, "Low Usage", IF(#REF! &lt;= 40, "Medium Usgae", "High Usage")))</f>
        <v>#REF!</v>
      </c>
      <c r="AD1749" t="e">
        <f>IF(#REF!&lt;=150,"Low Usage", IF(#REF!&lt;=200,"Medium Usage", IF(#REF!&lt;=250,"High Usage","Very High Usage")))</f>
        <v>#REF!</v>
      </c>
      <c r="AE1749" t="e">
        <f>IF(#REF!&lt;=5,"Low Calls", IF(#REF!&lt;=10, "Medium Calls", "High Calls"))</f>
        <v>#REF!</v>
      </c>
      <c r="AF1749" t="e">
        <f xml:space="preserve">
IF(#REF!&gt;=4,4,0)+
IF(#REF!="yes",3,0)+
IF(#REF!="High Charges",3,0)+
IF(#REF!&gt;250,4,0)+
IF(#REF!="no",1,0)+
IF(#REF!="Heavy Domestic User",2,0)</f>
        <v>#REF!</v>
      </c>
      <c r="AG1749" t="e">
        <f>IF(#REF!&gt;=10,"High Risk", IF(#REF!&gt;=5,"Medium Risk","Low Risk"))</f>
        <v>#REF!</v>
      </c>
      <c r="AH1749" t="e">
        <f>#REF! + #REF! + #REF! + #REF!</f>
        <v>#REF!</v>
      </c>
    </row>
    <row r="1750" spans="1:34" x14ac:dyDescent="0.35">
      <c r="A1750">
        <v>1749</v>
      </c>
      <c r="B1750" t="s">
        <v>49</v>
      </c>
      <c r="C1750">
        <v>90</v>
      </c>
      <c r="D1750" t="s">
        <v>21</v>
      </c>
      <c r="E1750" t="s">
        <v>22</v>
      </c>
      <c r="F1750" t="s">
        <v>22</v>
      </c>
      <c r="G1750">
        <v>0</v>
      </c>
      <c r="H1750">
        <v>114.4</v>
      </c>
      <c r="I1750">
        <v>122</v>
      </c>
      <c r="J1750">
        <v>19.45</v>
      </c>
      <c r="K1750">
        <v>127.7</v>
      </c>
      <c r="L1750">
        <v>154</v>
      </c>
      <c r="M1750">
        <v>10.85</v>
      </c>
      <c r="N1750">
        <v>253.1</v>
      </c>
      <c r="O1750">
        <v>109</v>
      </c>
      <c r="P1750">
        <v>11.39</v>
      </c>
      <c r="Q1750">
        <v>10.1</v>
      </c>
      <c r="R1750">
        <v>5</v>
      </c>
      <c r="S1750">
        <v>2.73</v>
      </c>
      <c r="T1750">
        <v>2</v>
      </c>
      <c r="U1750" t="s">
        <v>22</v>
      </c>
      <c r="V1750" t="e">
        <f>IF(#REF! = "yes", 1, 0)</f>
        <v>#REF!</v>
      </c>
      <c r="W1750" t="e">
        <f>IF(#REF! &lt;= 1, "0-1 Calls", IF(#REF! &lt;= 3, "2-3 Calls", IF(#REF! &lt;=5, "4-5 Calls", "6+ Calls")))</f>
        <v>#REF!</v>
      </c>
      <c r="X1750" t="e">
        <f>IF(#REF! &lt;= 50, "0-50", IF(#REF! &lt;=100, "51-100", IF(#REF! &lt;= 150, "101-150", "151+")))</f>
        <v>#REF!</v>
      </c>
      <c r="Y1750" t="e">
        <f>IF(#REF! &lt;= 3, "Low Charges", "High Charges")</f>
        <v>#REF!</v>
      </c>
      <c r="Z1750" t="e">
        <f>IF(#REF!&lt;=80,"Low Calls",
IF(#REF!&lt;=120,"Medium Calls","High Calls"))</f>
        <v>#REF!</v>
      </c>
      <c r="AA1750" t="e">
        <f>IF(#REF!&lt;=15,"Low Charges",
IF(#REF!&lt;=20,"Medium Charges","High Charges"))</f>
        <v>#REF!</v>
      </c>
      <c r="AB1750" t="e">
        <f>IF(AND(#REF!&gt;180, #REF!&gt;200), "Heavy Doemstic User", IF(#REF!&gt;10, "Interntional User", IF(AND(#REF!&lt;180, #REF!&lt;200,#REF!&lt;200), "Light User", "Balanced User")))</f>
        <v>#REF!</v>
      </c>
      <c r="AC1750" t="e">
        <f>IF(#REF! = 0, "No Usage", IF(#REF! &lt;= 20, "Low Usage", IF(#REF! &lt;= 40, "Medium Usgae", "High Usage")))</f>
        <v>#REF!</v>
      </c>
      <c r="AD1750" t="e">
        <f>IF(#REF!&lt;=150,"Low Usage", IF(#REF!&lt;=200,"Medium Usage", IF(#REF!&lt;=250,"High Usage","Very High Usage")))</f>
        <v>#REF!</v>
      </c>
      <c r="AE1750" t="e">
        <f>IF(#REF!&lt;=5,"Low Calls", IF(#REF!&lt;=10, "Medium Calls", "High Calls"))</f>
        <v>#REF!</v>
      </c>
      <c r="AF1750" t="e">
        <f xml:space="preserve">
IF(#REF!&gt;=4,4,0)+
IF(#REF!="yes",3,0)+
IF(#REF!="High Charges",3,0)+
IF(#REF!&gt;250,4,0)+
IF(#REF!="no",1,0)+
IF(#REF!="Heavy Domestic User",2,0)</f>
        <v>#REF!</v>
      </c>
      <c r="AG1750" t="e">
        <f>IF(#REF!&gt;=10,"High Risk", IF(#REF!&gt;=5,"Medium Risk","Low Risk"))</f>
        <v>#REF!</v>
      </c>
      <c r="AH1750" t="e">
        <f>#REF! + #REF! + #REF! + #REF!</f>
        <v>#REF!</v>
      </c>
    </row>
    <row r="1751" spans="1:34" x14ac:dyDescent="0.35">
      <c r="A1751">
        <v>1750</v>
      </c>
      <c r="B1751" t="s">
        <v>38</v>
      </c>
      <c r="C1751">
        <v>67</v>
      </c>
      <c r="D1751" t="s">
        <v>21</v>
      </c>
      <c r="E1751" t="s">
        <v>22</v>
      </c>
      <c r="F1751" t="s">
        <v>22</v>
      </c>
      <c r="G1751">
        <v>0</v>
      </c>
      <c r="H1751">
        <v>138.9</v>
      </c>
      <c r="I1751">
        <v>65</v>
      </c>
      <c r="J1751">
        <v>23.61</v>
      </c>
      <c r="K1751">
        <v>208.9</v>
      </c>
      <c r="L1751">
        <v>109</v>
      </c>
      <c r="M1751">
        <v>17.760000000000002</v>
      </c>
      <c r="N1751">
        <v>232.4</v>
      </c>
      <c r="O1751">
        <v>82</v>
      </c>
      <c r="P1751">
        <v>10.46</v>
      </c>
      <c r="Q1751">
        <v>9.1999999999999993</v>
      </c>
      <c r="R1751">
        <v>3</v>
      </c>
      <c r="S1751">
        <v>2.48</v>
      </c>
      <c r="T1751">
        <v>2</v>
      </c>
      <c r="U1751" t="s">
        <v>22</v>
      </c>
      <c r="V1751" t="e">
        <f>IF(#REF! = "yes", 1, 0)</f>
        <v>#REF!</v>
      </c>
      <c r="W1751" t="e">
        <f>IF(#REF! &lt;= 1, "0-1 Calls", IF(#REF! &lt;= 3, "2-3 Calls", IF(#REF! &lt;=5, "4-5 Calls", "6+ Calls")))</f>
        <v>#REF!</v>
      </c>
      <c r="X1751" t="e">
        <f>IF(#REF! &lt;= 50, "0-50", IF(#REF! &lt;=100, "51-100", IF(#REF! &lt;= 150, "101-150", "151+")))</f>
        <v>#REF!</v>
      </c>
      <c r="Y1751" t="e">
        <f>IF(#REF! &lt;= 3, "Low Charges", "High Charges")</f>
        <v>#REF!</v>
      </c>
      <c r="Z1751" t="e">
        <f>IF(#REF!&lt;=80,"Low Calls",
IF(#REF!&lt;=120,"Medium Calls","High Calls"))</f>
        <v>#REF!</v>
      </c>
      <c r="AA1751" t="e">
        <f>IF(#REF!&lt;=15,"Low Charges",
IF(#REF!&lt;=20,"Medium Charges","High Charges"))</f>
        <v>#REF!</v>
      </c>
      <c r="AB1751" t="e">
        <f>IF(AND(#REF!&gt;180, #REF!&gt;200), "Heavy Doemstic User", IF(#REF!&gt;10, "Interntional User", IF(AND(#REF!&lt;180, #REF!&lt;200,#REF!&lt;200), "Light User", "Balanced User")))</f>
        <v>#REF!</v>
      </c>
      <c r="AC1751" t="e">
        <f>IF(#REF! = 0, "No Usage", IF(#REF! &lt;= 20, "Low Usage", IF(#REF! &lt;= 40, "Medium Usgae", "High Usage")))</f>
        <v>#REF!</v>
      </c>
      <c r="AD1751" t="e">
        <f>IF(#REF!&lt;=150,"Low Usage", IF(#REF!&lt;=200,"Medium Usage", IF(#REF!&lt;=250,"High Usage","Very High Usage")))</f>
        <v>#REF!</v>
      </c>
      <c r="AE1751" t="e">
        <f>IF(#REF!&lt;=5,"Low Calls", IF(#REF!&lt;=10, "Medium Calls", "High Calls"))</f>
        <v>#REF!</v>
      </c>
      <c r="AF1751" t="e">
        <f xml:space="preserve">
IF(#REF!&gt;=4,4,0)+
IF(#REF!="yes",3,0)+
IF(#REF!="High Charges",3,0)+
IF(#REF!&gt;250,4,0)+
IF(#REF!="no",1,0)+
IF(#REF!="Heavy Domestic User",2,0)</f>
        <v>#REF!</v>
      </c>
      <c r="AG1751" t="e">
        <f>IF(#REF!&gt;=10,"High Risk", IF(#REF!&gt;=5,"Medium Risk","Low Risk"))</f>
        <v>#REF!</v>
      </c>
      <c r="AH1751" t="e">
        <f>#REF! + #REF! + #REF! + #REF!</f>
        <v>#REF!</v>
      </c>
    </row>
    <row r="1752" spans="1:34" x14ac:dyDescent="0.35">
      <c r="A1752">
        <v>1751</v>
      </c>
      <c r="B1752" t="s">
        <v>24</v>
      </c>
      <c r="C1752">
        <v>113</v>
      </c>
      <c r="D1752" t="s">
        <v>21</v>
      </c>
      <c r="E1752" t="s">
        <v>22</v>
      </c>
      <c r="F1752" t="s">
        <v>22</v>
      </c>
      <c r="G1752">
        <v>0</v>
      </c>
      <c r="H1752">
        <v>186</v>
      </c>
      <c r="I1752">
        <v>55</v>
      </c>
      <c r="J1752">
        <v>31.62</v>
      </c>
      <c r="K1752">
        <v>237.4</v>
      </c>
      <c r="L1752">
        <v>105</v>
      </c>
      <c r="M1752">
        <v>20.18</v>
      </c>
      <c r="N1752">
        <v>148.1</v>
      </c>
      <c r="O1752">
        <v>83</v>
      </c>
      <c r="P1752">
        <v>6.66</v>
      </c>
      <c r="Q1752">
        <v>12.2</v>
      </c>
      <c r="R1752">
        <v>6</v>
      </c>
      <c r="S1752">
        <v>3.29</v>
      </c>
      <c r="T1752">
        <v>1</v>
      </c>
      <c r="U1752" t="s">
        <v>22</v>
      </c>
      <c r="V1752" t="e">
        <f>IF(#REF! = "yes", 1, 0)</f>
        <v>#REF!</v>
      </c>
      <c r="W1752" t="e">
        <f>IF(#REF! &lt;= 1, "0-1 Calls", IF(#REF! &lt;= 3, "2-3 Calls", IF(#REF! &lt;=5, "4-5 Calls", "6+ Calls")))</f>
        <v>#REF!</v>
      </c>
      <c r="X1752" t="e">
        <f>IF(#REF! &lt;= 50, "0-50", IF(#REF! &lt;=100, "51-100", IF(#REF! &lt;= 150, "101-150", "151+")))</f>
        <v>#REF!</v>
      </c>
      <c r="Y1752" t="e">
        <f>IF(#REF! &lt;= 3, "Low Charges", "High Charges")</f>
        <v>#REF!</v>
      </c>
      <c r="Z1752" t="e">
        <f>IF(#REF!&lt;=80,"Low Calls",
IF(#REF!&lt;=120,"Medium Calls","High Calls"))</f>
        <v>#REF!</v>
      </c>
      <c r="AA1752" t="e">
        <f>IF(#REF!&lt;=15,"Low Charges",
IF(#REF!&lt;=20,"Medium Charges","High Charges"))</f>
        <v>#REF!</v>
      </c>
      <c r="AB1752" t="e">
        <f>IF(AND(#REF!&gt;180, #REF!&gt;200), "Heavy Doemstic User", IF(#REF!&gt;10, "Interntional User", IF(AND(#REF!&lt;180, #REF!&lt;200,#REF!&lt;200), "Light User", "Balanced User")))</f>
        <v>#REF!</v>
      </c>
      <c r="AC1752" t="e">
        <f>IF(#REF! = 0, "No Usage", IF(#REF! &lt;= 20, "Low Usage", IF(#REF! &lt;= 40, "Medium Usgae", "High Usage")))</f>
        <v>#REF!</v>
      </c>
      <c r="AD1752" t="e">
        <f>IF(#REF!&lt;=150,"Low Usage", IF(#REF!&lt;=200,"Medium Usage", IF(#REF!&lt;=250,"High Usage","Very High Usage")))</f>
        <v>#REF!</v>
      </c>
      <c r="AE1752" t="e">
        <f>IF(#REF!&lt;=5,"Low Calls", IF(#REF!&lt;=10, "Medium Calls", "High Calls"))</f>
        <v>#REF!</v>
      </c>
      <c r="AF1752" t="e">
        <f xml:space="preserve">
IF(#REF!&gt;=4,4,0)+
IF(#REF!="yes",3,0)+
IF(#REF!="High Charges",3,0)+
IF(#REF!&gt;250,4,0)+
IF(#REF!="no",1,0)+
IF(#REF!="Heavy Domestic User",2,0)</f>
        <v>#REF!</v>
      </c>
      <c r="AG1752" t="e">
        <f>IF(#REF!&gt;=10,"High Risk", IF(#REF!&gt;=5,"Medium Risk","Low Risk"))</f>
        <v>#REF!</v>
      </c>
      <c r="AH1752" t="e">
        <f>#REF! + #REF! + #REF! + #REF!</f>
        <v>#REF!</v>
      </c>
    </row>
    <row r="1753" spans="1:34" x14ac:dyDescent="0.35">
      <c r="A1753">
        <v>1752</v>
      </c>
      <c r="B1753" t="s">
        <v>71</v>
      </c>
      <c r="C1753">
        <v>121</v>
      </c>
      <c r="D1753" t="s">
        <v>28</v>
      </c>
      <c r="E1753" t="s">
        <v>22</v>
      </c>
      <c r="F1753" t="s">
        <v>23</v>
      </c>
      <c r="G1753">
        <v>26</v>
      </c>
      <c r="H1753">
        <v>170.4</v>
      </c>
      <c r="I1753">
        <v>91</v>
      </c>
      <c r="J1753">
        <v>28.97</v>
      </c>
      <c r="K1753">
        <v>254.5</v>
      </c>
      <c r="L1753">
        <v>90</v>
      </c>
      <c r="M1753">
        <v>21.63</v>
      </c>
      <c r="N1753">
        <v>219.6</v>
      </c>
      <c r="O1753">
        <v>122</v>
      </c>
      <c r="P1753">
        <v>9.8800000000000008</v>
      </c>
      <c r="Q1753">
        <v>15.1</v>
      </c>
      <c r="R1753">
        <v>5</v>
      </c>
      <c r="S1753">
        <v>4.08</v>
      </c>
      <c r="T1753">
        <v>0</v>
      </c>
      <c r="U1753" t="s">
        <v>22</v>
      </c>
      <c r="V1753" t="e">
        <f>IF(#REF! = "yes", 1, 0)</f>
        <v>#REF!</v>
      </c>
      <c r="W1753" t="e">
        <f>IF(#REF! &lt;= 1, "0-1 Calls", IF(#REF! &lt;= 3, "2-3 Calls", IF(#REF! &lt;=5, "4-5 Calls", "6+ Calls")))</f>
        <v>#REF!</v>
      </c>
      <c r="X1753" t="e">
        <f>IF(#REF! &lt;= 50, "0-50", IF(#REF! &lt;=100, "51-100", IF(#REF! &lt;= 150, "101-150", "151+")))</f>
        <v>#REF!</v>
      </c>
      <c r="Y1753" t="e">
        <f>IF(#REF! &lt;= 3, "Low Charges", "High Charges")</f>
        <v>#REF!</v>
      </c>
      <c r="Z1753" t="e">
        <f>IF(#REF!&lt;=80,"Low Calls",
IF(#REF!&lt;=120,"Medium Calls","High Calls"))</f>
        <v>#REF!</v>
      </c>
      <c r="AA1753" t="e">
        <f>IF(#REF!&lt;=15,"Low Charges",
IF(#REF!&lt;=20,"Medium Charges","High Charges"))</f>
        <v>#REF!</v>
      </c>
      <c r="AB1753" t="e">
        <f>IF(AND(#REF!&gt;180, #REF!&gt;200), "Heavy Doemstic User", IF(#REF!&gt;10, "Interntional User", IF(AND(#REF!&lt;180, #REF!&lt;200,#REF!&lt;200), "Light User", "Balanced User")))</f>
        <v>#REF!</v>
      </c>
      <c r="AC1753" t="e">
        <f>IF(#REF! = 0, "No Usage", IF(#REF! &lt;= 20, "Low Usage", IF(#REF! &lt;= 40, "Medium Usgae", "High Usage")))</f>
        <v>#REF!</v>
      </c>
      <c r="AD1753" t="e">
        <f>IF(#REF!&lt;=150,"Low Usage", IF(#REF!&lt;=200,"Medium Usage", IF(#REF!&lt;=250,"High Usage","Very High Usage")))</f>
        <v>#REF!</v>
      </c>
      <c r="AE1753" t="e">
        <f>IF(#REF!&lt;=5,"Low Calls", IF(#REF!&lt;=10, "Medium Calls", "High Calls"))</f>
        <v>#REF!</v>
      </c>
      <c r="AF1753" t="e">
        <f xml:space="preserve">
IF(#REF!&gt;=4,4,0)+
IF(#REF!="yes",3,0)+
IF(#REF!="High Charges",3,0)+
IF(#REF!&gt;250,4,0)+
IF(#REF!="no",1,0)+
IF(#REF!="Heavy Domestic User",2,0)</f>
        <v>#REF!</v>
      </c>
      <c r="AG1753" t="e">
        <f>IF(#REF!&gt;=10,"High Risk", IF(#REF!&gt;=5,"Medium Risk","Low Risk"))</f>
        <v>#REF!</v>
      </c>
      <c r="AH1753" t="e">
        <f>#REF! + #REF! + #REF! + #REF!</f>
        <v>#REF!</v>
      </c>
    </row>
    <row r="1754" spans="1:34" x14ac:dyDescent="0.35">
      <c r="A1754">
        <v>1753</v>
      </c>
      <c r="B1754" t="s">
        <v>63</v>
      </c>
      <c r="C1754">
        <v>93</v>
      </c>
      <c r="D1754" t="s">
        <v>25</v>
      </c>
      <c r="E1754" t="s">
        <v>22</v>
      </c>
      <c r="F1754" t="s">
        <v>22</v>
      </c>
      <c r="G1754">
        <v>0</v>
      </c>
      <c r="H1754">
        <v>164.5</v>
      </c>
      <c r="I1754">
        <v>95</v>
      </c>
      <c r="J1754">
        <v>27.97</v>
      </c>
      <c r="K1754">
        <v>230.9</v>
      </c>
      <c r="L1754">
        <v>87</v>
      </c>
      <c r="M1754">
        <v>19.63</v>
      </c>
      <c r="N1754">
        <v>149.9</v>
      </c>
      <c r="O1754">
        <v>91</v>
      </c>
      <c r="P1754">
        <v>6.75</v>
      </c>
      <c r="Q1754">
        <v>9.9</v>
      </c>
      <c r="R1754">
        <v>3</v>
      </c>
      <c r="S1754">
        <v>2.67</v>
      </c>
      <c r="T1754">
        <v>4</v>
      </c>
      <c r="U1754" t="s">
        <v>22</v>
      </c>
      <c r="V1754" t="e">
        <f>IF(#REF! = "yes", 1, 0)</f>
        <v>#REF!</v>
      </c>
      <c r="W1754" t="e">
        <f>IF(#REF! &lt;= 1, "0-1 Calls", IF(#REF! &lt;= 3, "2-3 Calls", IF(#REF! &lt;=5, "4-5 Calls", "6+ Calls")))</f>
        <v>#REF!</v>
      </c>
      <c r="X1754" t="e">
        <f>IF(#REF! &lt;= 50, "0-50", IF(#REF! &lt;=100, "51-100", IF(#REF! &lt;= 150, "101-150", "151+")))</f>
        <v>#REF!</v>
      </c>
      <c r="Y1754" t="e">
        <f>IF(#REF! &lt;= 3, "Low Charges", "High Charges")</f>
        <v>#REF!</v>
      </c>
      <c r="Z1754" t="e">
        <f>IF(#REF!&lt;=80,"Low Calls",
IF(#REF!&lt;=120,"Medium Calls","High Calls"))</f>
        <v>#REF!</v>
      </c>
      <c r="AA1754" t="e">
        <f>IF(#REF!&lt;=15,"Low Charges",
IF(#REF!&lt;=20,"Medium Charges","High Charges"))</f>
        <v>#REF!</v>
      </c>
      <c r="AB1754" t="e">
        <f>IF(AND(#REF!&gt;180, #REF!&gt;200), "Heavy Doemstic User", IF(#REF!&gt;10, "Interntional User", IF(AND(#REF!&lt;180, #REF!&lt;200,#REF!&lt;200), "Light User", "Balanced User")))</f>
        <v>#REF!</v>
      </c>
      <c r="AC1754" t="e">
        <f>IF(#REF! = 0, "No Usage", IF(#REF! &lt;= 20, "Low Usage", IF(#REF! &lt;= 40, "Medium Usgae", "High Usage")))</f>
        <v>#REF!</v>
      </c>
      <c r="AD1754" t="e">
        <f>IF(#REF!&lt;=150,"Low Usage", IF(#REF!&lt;=200,"Medium Usage", IF(#REF!&lt;=250,"High Usage","Very High Usage")))</f>
        <v>#REF!</v>
      </c>
      <c r="AE1754" t="e">
        <f>IF(#REF!&lt;=5,"Low Calls", IF(#REF!&lt;=10, "Medium Calls", "High Calls"))</f>
        <v>#REF!</v>
      </c>
      <c r="AF1754" t="e">
        <f xml:space="preserve">
IF(#REF!&gt;=4,4,0)+
IF(#REF!="yes",3,0)+
IF(#REF!="High Charges",3,0)+
IF(#REF!&gt;250,4,0)+
IF(#REF!="no",1,0)+
IF(#REF!="Heavy Domestic User",2,0)</f>
        <v>#REF!</v>
      </c>
      <c r="AG1754" t="e">
        <f>IF(#REF!&gt;=10,"High Risk", IF(#REF!&gt;=5,"Medium Risk","Low Risk"))</f>
        <v>#REF!</v>
      </c>
      <c r="AH1754" t="e">
        <f>#REF! + #REF! + #REF! + #REF!</f>
        <v>#REF!</v>
      </c>
    </row>
    <row r="1755" spans="1:34" x14ac:dyDescent="0.35">
      <c r="A1755">
        <v>1754</v>
      </c>
      <c r="B1755" t="s">
        <v>63</v>
      </c>
      <c r="C1755">
        <v>121</v>
      </c>
      <c r="D1755" t="s">
        <v>25</v>
      </c>
      <c r="E1755" t="s">
        <v>22</v>
      </c>
      <c r="F1755" t="s">
        <v>22</v>
      </c>
      <c r="G1755">
        <v>0</v>
      </c>
      <c r="H1755">
        <v>168.6</v>
      </c>
      <c r="I1755">
        <v>121</v>
      </c>
      <c r="J1755">
        <v>28.66</v>
      </c>
      <c r="K1755">
        <v>168.6</v>
      </c>
      <c r="L1755">
        <v>94</v>
      </c>
      <c r="M1755">
        <v>14.33</v>
      </c>
      <c r="N1755">
        <v>95.3</v>
      </c>
      <c r="O1755">
        <v>59</v>
      </c>
      <c r="P1755">
        <v>4.29</v>
      </c>
      <c r="Q1755">
        <v>12.3</v>
      </c>
      <c r="R1755">
        <v>4</v>
      </c>
      <c r="S1755">
        <v>3.32</v>
      </c>
      <c r="T1755">
        <v>1</v>
      </c>
      <c r="U1755" t="s">
        <v>22</v>
      </c>
      <c r="V1755" t="e">
        <f>IF(#REF! = "yes", 1, 0)</f>
        <v>#REF!</v>
      </c>
      <c r="W1755" t="e">
        <f>IF(#REF! &lt;= 1, "0-1 Calls", IF(#REF! &lt;= 3, "2-3 Calls", IF(#REF! &lt;=5, "4-5 Calls", "6+ Calls")))</f>
        <v>#REF!</v>
      </c>
      <c r="X1755" t="e">
        <f>IF(#REF! &lt;= 50, "0-50", IF(#REF! &lt;=100, "51-100", IF(#REF! &lt;= 150, "101-150", "151+")))</f>
        <v>#REF!</v>
      </c>
      <c r="Y1755" t="e">
        <f>IF(#REF! &lt;= 3, "Low Charges", "High Charges")</f>
        <v>#REF!</v>
      </c>
      <c r="Z1755" t="e">
        <f>IF(#REF!&lt;=80,"Low Calls",
IF(#REF!&lt;=120,"Medium Calls","High Calls"))</f>
        <v>#REF!</v>
      </c>
      <c r="AA1755" t="e">
        <f>IF(#REF!&lt;=15,"Low Charges",
IF(#REF!&lt;=20,"Medium Charges","High Charges"))</f>
        <v>#REF!</v>
      </c>
      <c r="AB1755" t="e">
        <f>IF(AND(#REF!&gt;180, #REF!&gt;200), "Heavy Doemstic User", IF(#REF!&gt;10, "Interntional User", IF(AND(#REF!&lt;180, #REF!&lt;200,#REF!&lt;200), "Light User", "Balanced User")))</f>
        <v>#REF!</v>
      </c>
      <c r="AC1755" t="e">
        <f>IF(#REF! = 0, "No Usage", IF(#REF! &lt;= 20, "Low Usage", IF(#REF! &lt;= 40, "Medium Usgae", "High Usage")))</f>
        <v>#REF!</v>
      </c>
      <c r="AD1755" t="e">
        <f>IF(#REF!&lt;=150,"Low Usage", IF(#REF!&lt;=200,"Medium Usage", IF(#REF!&lt;=250,"High Usage","Very High Usage")))</f>
        <v>#REF!</v>
      </c>
      <c r="AE1755" t="e">
        <f>IF(#REF!&lt;=5,"Low Calls", IF(#REF!&lt;=10, "Medium Calls", "High Calls"))</f>
        <v>#REF!</v>
      </c>
      <c r="AF1755" t="e">
        <f xml:space="preserve">
IF(#REF!&gt;=4,4,0)+
IF(#REF!="yes",3,0)+
IF(#REF!="High Charges",3,0)+
IF(#REF!&gt;250,4,0)+
IF(#REF!="no",1,0)+
IF(#REF!="Heavy Domestic User",2,0)</f>
        <v>#REF!</v>
      </c>
      <c r="AG1755" t="e">
        <f>IF(#REF!&gt;=10,"High Risk", IF(#REF!&gt;=5,"Medium Risk","Low Risk"))</f>
        <v>#REF!</v>
      </c>
      <c r="AH1755" t="e">
        <f>#REF! + #REF! + #REF! + #REF!</f>
        <v>#REF!</v>
      </c>
    </row>
    <row r="1756" spans="1:34" x14ac:dyDescent="0.35">
      <c r="A1756">
        <v>1755</v>
      </c>
      <c r="B1756" t="s">
        <v>52</v>
      </c>
      <c r="C1756">
        <v>53</v>
      </c>
      <c r="D1756" t="s">
        <v>25</v>
      </c>
      <c r="E1756" t="s">
        <v>22</v>
      </c>
      <c r="F1756" t="s">
        <v>22</v>
      </c>
      <c r="G1756">
        <v>0</v>
      </c>
      <c r="H1756">
        <v>261.2</v>
      </c>
      <c r="I1756">
        <v>119</v>
      </c>
      <c r="J1756">
        <v>44.4</v>
      </c>
      <c r="K1756">
        <v>250.8</v>
      </c>
      <c r="L1756">
        <v>105</v>
      </c>
      <c r="M1756">
        <v>21.32</v>
      </c>
      <c r="N1756">
        <v>176</v>
      </c>
      <c r="O1756">
        <v>112</v>
      </c>
      <c r="P1756">
        <v>7.92</v>
      </c>
      <c r="Q1756">
        <v>9.8000000000000007</v>
      </c>
      <c r="R1756">
        <v>2</v>
      </c>
      <c r="S1756">
        <v>2.65</v>
      </c>
      <c r="T1756">
        <v>0</v>
      </c>
      <c r="U1756" t="s">
        <v>23</v>
      </c>
      <c r="V1756" t="e">
        <f>IF(#REF! = "yes", 1, 0)</f>
        <v>#REF!</v>
      </c>
      <c r="W1756" t="e">
        <f>IF(#REF! &lt;= 1, "0-1 Calls", IF(#REF! &lt;= 3, "2-3 Calls", IF(#REF! &lt;=5, "4-5 Calls", "6+ Calls")))</f>
        <v>#REF!</v>
      </c>
      <c r="X1756" t="e">
        <f>IF(#REF! &lt;= 50, "0-50", IF(#REF! &lt;=100, "51-100", IF(#REF! &lt;= 150, "101-150", "151+")))</f>
        <v>#REF!</v>
      </c>
      <c r="Y1756" t="e">
        <f>IF(#REF! &lt;= 3, "Low Charges", "High Charges")</f>
        <v>#REF!</v>
      </c>
      <c r="Z1756" t="e">
        <f>IF(#REF!&lt;=80,"Low Calls",
IF(#REF!&lt;=120,"Medium Calls","High Calls"))</f>
        <v>#REF!</v>
      </c>
      <c r="AA1756" t="e">
        <f>IF(#REF!&lt;=15,"Low Charges",
IF(#REF!&lt;=20,"Medium Charges","High Charges"))</f>
        <v>#REF!</v>
      </c>
      <c r="AB1756" t="e">
        <f>IF(AND(#REF!&gt;180, #REF!&gt;200), "Heavy Doemstic User", IF(#REF!&gt;10, "Interntional User", IF(AND(#REF!&lt;180, #REF!&lt;200,#REF!&lt;200), "Light User", "Balanced User")))</f>
        <v>#REF!</v>
      </c>
      <c r="AC1756" t="e">
        <f>IF(#REF! = 0, "No Usage", IF(#REF! &lt;= 20, "Low Usage", IF(#REF! &lt;= 40, "Medium Usgae", "High Usage")))</f>
        <v>#REF!</v>
      </c>
      <c r="AD1756" t="e">
        <f>IF(#REF!&lt;=150,"Low Usage", IF(#REF!&lt;=200,"Medium Usage", IF(#REF!&lt;=250,"High Usage","Very High Usage")))</f>
        <v>#REF!</v>
      </c>
      <c r="AE1756" t="e">
        <f>IF(#REF!&lt;=5,"Low Calls", IF(#REF!&lt;=10, "Medium Calls", "High Calls"))</f>
        <v>#REF!</v>
      </c>
      <c r="AF1756" t="e">
        <f xml:space="preserve">
IF(#REF!&gt;=4,4,0)+
IF(#REF!="yes",3,0)+
IF(#REF!="High Charges",3,0)+
IF(#REF!&gt;250,4,0)+
IF(#REF!="no",1,0)+
IF(#REF!="Heavy Domestic User",2,0)</f>
        <v>#REF!</v>
      </c>
      <c r="AG1756" t="e">
        <f>IF(#REF!&gt;=10,"High Risk", IF(#REF!&gt;=5,"Medium Risk","Low Risk"))</f>
        <v>#REF!</v>
      </c>
      <c r="AH1756" t="e">
        <f>#REF! + #REF! + #REF! + #REF!</f>
        <v>#REF!</v>
      </c>
    </row>
    <row r="1757" spans="1:34" x14ac:dyDescent="0.35">
      <c r="A1757">
        <v>1756</v>
      </c>
      <c r="B1757" t="s">
        <v>33</v>
      </c>
      <c r="C1757">
        <v>75</v>
      </c>
      <c r="D1757" t="s">
        <v>21</v>
      </c>
      <c r="E1757" t="s">
        <v>22</v>
      </c>
      <c r="F1757" t="s">
        <v>22</v>
      </c>
      <c r="G1757">
        <v>0</v>
      </c>
      <c r="H1757">
        <v>190.5</v>
      </c>
      <c r="I1757">
        <v>91</v>
      </c>
      <c r="J1757">
        <v>32.39</v>
      </c>
      <c r="K1757">
        <v>178.4</v>
      </c>
      <c r="L1757">
        <v>75</v>
      </c>
      <c r="M1757">
        <v>15.16</v>
      </c>
      <c r="N1757">
        <v>162.4</v>
      </c>
      <c r="O1757">
        <v>113</v>
      </c>
      <c r="P1757">
        <v>7.31</v>
      </c>
      <c r="Q1757">
        <v>13.1</v>
      </c>
      <c r="R1757">
        <v>5</v>
      </c>
      <c r="S1757">
        <v>3.54</v>
      </c>
      <c r="T1757">
        <v>1</v>
      </c>
      <c r="U1757" t="s">
        <v>22</v>
      </c>
      <c r="V1757" t="e">
        <f>IF(#REF! = "yes", 1, 0)</f>
        <v>#REF!</v>
      </c>
      <c r="W1757" t="e">
        <f>IF(#REF! &lt;= 1, "0-1 Calls", IF(#REF! &lt;= 3, "2-3 Calls", IF(#REF! &lt;=5, "4-5 Calls", "6+ Calls")))</f>
        <v>#REF!</v>
      </c>
      <c r="X1757" t="e">
        <f>IF(#REF! &lt;= 50, "0-50", IF(#REF! &lt;=100, "51-100", IF(#REF! &lt;= 150, "101-150", "151+")))</f>
        <v>#REF!</v>
      </c>
      <c r="Y1757" t="e">
        <f>IF(#REF! &lt;= 3, "Low Charges", "High Charges")</f>
        <v>#REF!</v>
      </c>
      <c r="Z1757" t="e">
        <f>IF(#REF!&lt;=80,"Low Calls",
IF(#REF!&lt;=120,"Medium Calls","High Calls"))</f>
        <v>#REF!</v>
      </c>
      <c r="AA1757" t="e">
        <f>IF(#REF!&lt;=15,"Low Charges",
IF(#REF!&lt;=20,"Medium Charges","High Charges"))</f>
        <v>#REF!</v>
      </c>
      <c r="AB1757" t="e">
        <f>IF(AND(#REF!&gt;180, #REF!&gt;200), "Heavy Doemstic User", IF(#REF!&gt;10, "Interntional User", IF(AND(#REF!&lt;180, #REF!&lt;200,#REF!&lt;200), "Light User", "Balanced User")))</f>
        <v>#REF!</v>
      </c>
      <c r="AC1757" t="e">
        <f>IF(#REF! = 0, "No Usage", IF(#REF! &lt;= 20, "Low Usage", IF(#REF! &lt;= 40, "Medium Usgae", "High Usage")))</f>
        <v>#REF!</v>
      </c>
      <c r="AD1757" t="e">
        <f>IF(#REF!&lt;=150,"Low Usage", IF(#REF!&lt;=200,"Medium Usage", IF(#REF!&lt;=250,"High Usage","Very High Usage")))</f>
        <v>#REF!</v>
      </c>
      <c r="AE1757" t="e">
        <f>IF(#REF!&lt;=5,"Low Calls", IF(#REF!&lt;=10, "Medium Calls", "High Calls"))</f>
        <v>#REF!</v>
      </c>
      <c r="AF1757" t="e">
        <f xml:space="preserve">
IF(#REF!&gt;=4,4,0)+
IF(#REF!="yes",3,0)+
IF(#REF!="High Charges",3,0)+
IF(#REF!&gt;250,4,0)+
IF(#REF!="no",1,0)+
IF(#REF!="Heavy Domestic User",2,0)</f>
        <v>#REF!</v>
      </c>
      <c r="AG1757" t="e">
        <f>IF(#REF!&gt;=10,"High Risk", IF(#REF!&gt;=5,"Medium Risk","Low Risk"))</f>
        <v>#REF!</v>
      </c>
      <c r="AH1757" t="e">
        <f>#REF! + #REF! + #REF! + #REF!</f>
        <v>#REF!</v>
      </c>
    </row>
    <row r="1758" spans="1:34" x14ac:dyDescent="0.35">
      <c r="A1758">
        <v>1757</v>
      </c>
      <c r="B1758" t="s">
        <v>47</v>
      </c>
      <c r="C1758">
        <v>132</v>
      </c>
      <c r="D1758" t="s">
        <v>28</v>
      </c>
      <c r="E1758" t="s">
        <v>22</v>
      </c>
      <c r="F1758" t="s">
        <v>22</v>
      </c>
      <c r="G1758">
        <v>0</v>
      </c>
      <c r="H1758">
        <v>181.1</v>
      </c>
      <c r="I1758">
        <v>121</v>
      </c>
      <c r="J1758">
        <v>30.79</v>
      </c>
      <c r="K1758">
        <v>314.39999999999998</v>
      </c>
      <c r="L1758">
        <v>109</v>
      </c>
      <c r="M1758">
        <v>26.72</v>
      </c>
      <c r="N1758">
        <v>246.7</v>
      </c>
      <c r="O1758">
        <v>81</v>
      </c>
      <c r="P1758">
        <v>11.1</v>
      </c>
      <c r="Q1758">
        <v>4.2</v>
      </c>
      <c r="R1758">
        <v>9</v>
      </c>
      <c r="S1758">
        <v>1.1299999999999999</v>
      </c>
      <c r="T1758">
        <v>2</v>
      </c>
      <c r="U1758" t="s">
        <v>22</v>
      </c>
      <c r="V1758" t="e">
        <f>IF(#REF! = "yes", 1, 0)</f>
        <v>#REF!</v>
      </c>
      <c r="W1758" t="e">
        <f>IF(#REF! &lt;= 1, "0-1 Calls", IF(#REF! &lt;= 3, "2-3 Calls", IF(#REF! &lt;=5, "4-5 Calls", "6+ Calls")))</f>
        <v>#REF!</v>
      </c>
      <c r="X1758" t="e">
        <f>IF(#REF! &lt;= 50, "0-50", IF(#REF! &lt;=100, "51-100", IF(#REF! &lt;= 150, "101-150", "151+")))</f>
        <v>#REF!</v>
      </c>
      <c r="Y1758" t="e">
        <f>IF(#REF! &lt;= 3, "Low Charges", "High Charges")</f>
        <v>#REF!</v>
      </c>
      <c r="Z1758" t="e">
        <f>IF(#REF!&lt;=80,"Low Calls",
IF(#REF!&lt;=120,"Medium Calls","High Calls"))</f>
        <v>#REF!</v>
      </c>
      <c r="AA1758" t="e">
        <f>IF(#REF!&lt;=15,"Low Charges",
IF(#REF!&lt;=20,"Medium Charges","High Charges"))</f>
        <v>#REF!</v>
      </c>
      <c r="AB1758" t="e">
        <f>IF(AND(#REF!&gt;180, #REF!&gt;200), "Heavy Doemstic User", IF(#REF!&gt;10, "Interntional User", IF(AND(#REF!&lt;180, #REF!&lt;200,#REF!&lt;200), "Light User", "Balanced User")))</f>
        <v>#REF!</v>
      </c>
      <c r="AC1758" t="e">
        <f>IF(#REF! = 0, "No Usage", IF(#REF! &lt;= 20, "Low Usage", IF(#REF! &lt;= 40, "Medium Usgae", "High Usage")))</f>
        <v>#REF!</v>
      </c>
      <c r="AD1758" t="e">
        <f>IF(#REF!&lt;=150,"Low Usage", IF(#REF!&lt;=200,"Medium Usage", IF(#REF!&lt;=250,"High Usage","Very High Usage")))</f>
        <v>#REF!</v>
      </c>
      <c r="AE1758" t="e">
        <f>IF(#REF!&lt;=5,"Low Calls", IF(#REF!&lt;=10, "Medium Calls", "High Calls"))</f>
        <v>#REF!</v>
      </c>
      <c r="AF1758" t="e">
        <f xml:space="preserve">
IF(#REF!&gt;=4,4,0)+
IF(#REF!="yes",3,0)+
IF(#REF!="High Charges",3,0)+
IF(#REF!&gt;250,4,0)+
IF(#REF!="no",1,0)+
IF(#REF!="Heavy Domestic User",2,0)</f>
        <v>#REF!</v>
      </c>
      <c r="AG1758" t="e">
        <f>IF(#REF!&gt;=10,"High Risk", IF(#REF!&gt;=5,"Medium Risk","Low Risk"))</f>
        <v>#REF!</v>
      </c>
      <c r="AH1758" t="e">
        <f>#REF! + #REF! + #REF! + #REF!</f>
        <v>#REF!</v>
      </c>
    </row>
    <row r="1759" spans="1:34" x14ac:dyDescent="0.35">
      <c r="A1759">
        <v>1758</v>
      </c>
      <c r="B1759" t="s">
        <v>51</v>
      </c>
      <c r="C1759">
        <v>162</v>
      </c>
      <c r="D1759" t="s">
        <v>25</v>
      </c>
      <c r="E1759" t="s">
        <v>22</v>
      </c>
      <c r="F1759" t="s">
        <v>22</v>
      </c>
      <c r="G1759">
        <v>0</v>
      </c>
      <c r="H1759">
        <v>177.1</v>
      </c>
      <c r="I1759">
        <v>131</v>
      </c>
      <c r="J1759">
        <v>30.11</v>
      </c>
      <c r="K1759">
        <v>114.7</v>
      </c>
      <c r="L1759">
        <v>122</v>
      </c>
      <c r="M1759">
        <v>9.75</v>
      </c>
      <c r="N1759">
        <v>153.6</v>
      </c>
      <c r="O1759">
        <v>88</v>
      </c>
      <c r="P1759">
        <v>6.91</v>
      </c>
      <c r="Q1759">
        <v>6.5</v>
      </c>
      <c r="R1759">
        <v>6</v>
      </c>
      <c r="S1759">
        <v>1.76</v>
      </c>
      <c r="T1759">
        <v>3</v>
      </c>
      <c r="U1759" t="s">
        <v>22</v>
      </c>
      <c r="V1759" t="e">
        <f>IF(#REF! = "yes", 1, 0)</f>
        <v>#REF!</v>
      </c>
      <c r="W1759" t="e">
        <f>IF(#REF! &lt;= 1, "0-1 Calls", IF(#REF! &lt;= 3, "2-3 Calls", IF(#REF! &lt;=5, "4-5 Calls", "6+ Calls")))</f>
        <v>#REF!</v>
      </c>
      <c r="X1759" t="e">
        <f>IF(#REF! &lt;= 50, "0-50", IF(#REF! &lt;=100, "51-100", IF(#REF! &lt;= 150, "101-150", "151+")))</f>
        <v>#REF!</v>
      </c>
      <c r="Y1759" t="e">
        <f>IF(#REF! &lt;= 3, "Low Charges", "High Charges")</f>
        <v>#REF!</v>
      </c>
      <c r="Z1759" t="e">
        <f>IF(#REF!&lt;=80,"Low Calls",
IF(#REF!&lt;=120,"Medium Calls","High Calls"))</f>
        <v>#REF!</v>
      </c>
      <c r="AA1759" t="e">
        <f>IF(#REF!&lt;=15,"Low Charges",
IF(#REF!&lt;=20,"Medium Charges","High Charges"))</f>
        <v>#REF!</v>
      </c>
      <c r="AB1759" t="e">
        <f>IF(AND(#REF!&gt;180, #REF!&gt;200), "Heavy Doemstic User", IF(#REF!&gt;10, "Interntional User", IF(AND(#REF!&lt;180, #REF!&lt;200,#REF!&lt;200), "Light User", "Balanced User")))</f>
        <v>#REF!</v>
      </c>
      <c r="AC1759" t="e">
        <f>IF(#REF! = 0, "No Usage", IF(#REF! &lt;= 20, "Low Usage", IF(#REF! &lt;= 40, "Medium Usgae", "High Usage")))</f>
        <v>#REF!</v>
      </c>
      <c r="AD1759" t="e">
        <f>IF(#REF!&lt;=150,"Low Usage", IF(#REF!&lt;=200,"Medium Usage", IF(#REF!&lt;=250,"High Usage","Very High Usage")))</f>
        <v>#REF!</v>
      </c>
      <c r="AE1759" t="e">
        <f>IF(#REF!&lt;=5,"Low Calls", IF(#REF!&lt;=10, "Medium Calls", "High Calls"))</f>
        <v>#REF!</v>
      </c>
      <c r="AF1759" t="e">
        <f xml:space="preserve">
IF(#REF!&gt;=4,4,0)+
IF(#REF!="yes",3,0)+
IF(#REF!="High Charges",3,0)+
IF(#REF!&gt;250,4,0)+
IF(#REF!="no",1,0)+
IF(#REF!="Heavy Domestic User",2,0)</f>
        <v>#REF!</v>
      </c>
      <c r="AG1759" t="e">
        <f>IF(#REF!&gt;=10,"High Risk", IF(#REF!&gt;=5,"Medium Risk","Low Risk"))</f>
        <v>#REF!</v>
      </c>
      <c r="AH1759" t="e">
        <f>#REF! + #REF! + #REF! + #REF!</f>
        <v>#REF!</v>
      </c>
    </row>
    <row r="1760" spans="1:34" x14ac:dyDescent="0.35">
      <c r="A1760">
        <v>1759</v>
      </c>
      <c r="B1760" t="s">
        <v>32</v>
      </c>
      <c r="C1760">
        <v>140</v>
      </c>
      <c r="D1760" t="s">
        <v>21</v>
      </c>
      <c r="E1760" t="s">
        <v>22</v>
      </c>
      <c r="F1760" t="s">
        <v>22</v>
      </c>
      <c r="G1760">
        <v>0</v>
      </c>
      <c r="H1760">
        <v>160.5</v>
      </c>
      <c r="I1760">
        <v>114</v>
      </c>
      <c r="J1760">
        <v>27.29</v>
      </c>
      <c r="K1760">
        <v>240.5</v>
      </c>
      <c r="L1760">
        <v>103</v>
      </c>
      <c r="M1760">
        <v>20.440000000000001</v>
      </c>
      <c r="N1760">
        <v>233.5</v>
      </c>
      <c r="O1760">
        <v>121</v>
      </c>
      <c r="P1760">
        <v>10.51</v>
      </c>
      <c r="Q1760">
        <v>11.3</v>
      </c>
      <c r="R1760">
        <v>4</v>
      </c>
      <c r="S1760">
        <v>3.05</v>
      </c>
      <c r="T1760">
        <v>1</v>
      </c>
      <c r="U1760" t="s">
        <v>22</v>
      </c>
      <c r="V1760" t="e">
        <f>IF(#REF! = "yes", 1, 0)</f>
        <v>#REF!</v>
      </c>
      <c r="W1760" t="e">
        <f>IF(#REF! &lt;= 1, "0-1 Calls", IF(#REF! &lt;= 3, "2-3 Calls", IF(#REF! &lt;=5, "4-5 Calls", "6+ Calls")))</f>
        <v>#REF!</v>
      </c>
      <c r="X1760" t="e">
        <f>IF(#REF! &lt;= 50, "0-50", IF(#REF! &lt;=100, "51-100", IF(#REF! &lt;= 150, "101-150", "151+")))</f>
        <v>#REF!</v>
      </c>
      <c r="Y1760" t="e">
        <f>IF(#REF! &lt;= 3, "Low Charges", "High Charges")</f>
        <v>#REF!</v>
      </c>
      <c r="Z1760" t="e">
        <f>IF(#REF!&lt;=80,"Low Calls",
IF(#REF!&lt;=120,"Medium Calls","High Calls"))</f>
        <v>#REF!</v>
      </c>
      <c r="AA1760" t="e">
        <f>IF(#REF!&lt;=15,"Low Charges",
IF(#REF!&lt;=20,"Medium Charges","High Charges"))</f>
        <v>#REF!</v>
      </c>
      <c r="AB1760" t="e">
        <f>IF(AND(#REF!&gt;180, #REF!&gt;200), "Heavy Doemstic User", IF(#REF!&gt;10, "Interntional User", IF(AND(#REF!&lt;180, #REF!&lt;200,#REF!&lt;200), "Light User", "Balanced User")))</f>
        <v>#REF!</v>
      </c>
      <c r="AC1760" t="e">
        <f>IF(#REF! = 0, "No Usage", IF(#REF! &lt;= 20, "Low Usage", IF(#REF! &lt;= 40, "Medium Usgae", "High Usage")))</f>
        <v>#REF!</v>
      </c>
      <c r="AD1760" t="e">
        <f>IF(#REF!&lt;=150,"Low Usage", IF(#REF!&lt;=200,"Medium Usage", IF(#REF!&lt;=250,"High Usage","Very High Usage")))</f>
        <v>#REF!</v>
      </c>
      <c r="AE1760" t="e">
        <f>IF(#REF!&lt;=5,"Low Calls", IF(#REF!&lt;=10, "Medium Calls", "High Calls"))</f>
        <v>#REF!</v>
      </c>
      <c r="AF1760" t="e">
        <f xml:space="preserve">
IF(#REF!&gt;=4,4,0)+
IF(#REF!="yes",3,0)+
IF(#REF!="High Charges",3,0)+
IF(#REF!&gt;250,4,0)+
IF(#REF!="no",1,0)+
IF(#REF!="Heavy Domestic User",2,0)</f>
        <v>#REF!</v>
      </c>
      <c r="AG1760" t="e">
        <f>IF(#REF!&gt;=10,"High Risk", IF(#REF!&gt;=5,"Medium Risk","Low Risk"))</f>
        <v>#REF!</v>
      </c>
      <c r="AH1760" t="e">
        <f>#REF! + #REF! + #REF! + #REF!</f>
        <v>#REF!</v>
      </c>
    </row>
    <row r="1761" spans="1:34" x14ac:dyDescent="0.35">
      <c r="A1761">
        <v>1760</v>
      </c>
      <c r="B1761" t="s">
        <v>53</v>
      </c>
      <c r="C1761">
        <v>91</v>
      </c>
      <c r="D1761" t="s">
        <v>25</v>
      </c>
      <c r="E1761" t="s">
        <v>22</v>
      </c>
      <c r="F1761" t="s">
        <v>22</v>
      </c>
      <c r="G1761">
        <v>0</v>
      </c>
      <c r="H1761">
        <v>134.69999999999999</v>
      </c>
      <c r="I1761">
        <v>116</v>
      </c>
      <c r="J1761">
        <v>22.9</v>
      </c>
      <c r="K1761">
        <v>295.3</v>
      </c>
      <c r="L1761">
        <v>98</v>
      </c>
      <c r="M1761">
        <v>25.1</v>
      </c>
      <c r="N1761">
        <v>195.5</v>
      </c>
      <c r="O1761">
        <v>121</v>
      </c>
      <c r="P1761">
        <v>8.8000000000000007</v>
      </c>
      <c r="Q1761">
        <v>6.6</v>
      </c>
      <c r="R1761">
        <v>5</v>
      </c>
      <c r="S1761">
        <v>1.78</v>
      </c>
      <c r="T1761">
        <v>2</v>
      </c>
      <c r="U1761" t="s">
        <v>22</v>
      </c>
      <c r="V1761" t="e">
        <f>IF(#REF! = "yes", 1, 0)</f>
        <v>#REF!</v>
      </c>
      <c r="W1761" t="e">
        <f>IF(#REF! &lt;= 1, "0-1 Calls", IF(#REF! &lt;= 3, "2-3 Calls", IF(#REF! &lt;=5, "4-5 Calls", "6+ Calls")))</f>
        <v>#REF!</v>
      </c>
      <c r="X1761" t="e">
        <f>IF(#REF! &lt;= 50, "0-50", IF(#REF! &lt;=100, "51-100", IF(#REF! &lt;= 150, "101-150", "151+")))</f>
        <v>#REF!</v>
      </c>
      <c r="Y1761" t="e">
        <f>IF(#REF! &lt;= 3, "Low Charges", "High Charges")</f>
        <v>#REF!</v>
      </c>
      <c r="Z1761" t="e">
        <f>IF(#REF!&lt;=80,"Low Calls",
IF(#REF!&lt;=120,"Medium Calls","High Calls"))</f>
        <v>#REF!</v>
      </c>
      <c r="AA1761" t="e">
        <f>IF(#REF!&lt;=15,"Low Charges",
IF(#REF!&lt;=20,"Medium Charges","High Charges"))</f>
        <v>#REF!</v>
      </c>
      <c r="AB1761" t="e">
        <f>IF(AND(#REF!&gt;180, #REF!&gt;200), "Heavy Doemstic User", IF(#REF!&gt;10, "Interntional User", IF(AND(#REF!&lt;180, #REF!&lt;200,#REF!&lt;200), "Light User", "Balanced User")))</f>
        <v>#REF!</v>
      </c>
      <c r="AC1761" t="e">
        <f>IF(#REF! = 0, "No Usage", IF(#REF! &lt;= 20, "Low Usage", IF(#REF! &lt;= 40, "Medium Usgae", "High Usage")))</f>
        <v>#REF!</v>
      </c>
      <c r="AD1761" t="e">
        <f>IF(#REF!&lt;=150,"Low Usage", IF(#REF!&lt;=200,"Medium Usage", IF(#REF!&lt;=250,"High Usage","Very High Usage")))</f>
        <v>#REF!</v>
      </c>
      <c r="AE1761" t="e">
        <f>IF(#REF!&lt;=5,"Low Calls", IF(#REF!&lt;=10, "Medium Calls", "High Calls"))</f>
        <v>#REF!</v>
      </c>
      <c r="AF1761" t="e">
        <f xml:space="preserve">
IF(#REF!&gt;=4,4,0)+
IF(#REF!="yes",3,0)+
IF(#REF!="High Charges",3,0)+
IF(#REF!&gt;250,4,0)+
IF(#REF!="no",1,0)+
IF(#REF!="Heavy Domestic User",2,0)</f>
        <v>#REF!</v>
      </c>
      <c r="AG1761" t="e">
        <f>IF(#REF!&gt;=10,"High Risk", IF(#REF!&gt;=5,"Medium Risk","Low Risk"))</f>
        <v>#REF!</v>
      </c>
      <c r="AH1761" t="e">
        <f>#REF! + #REF! + #REF! + #REF!</f>
        <v>#REF!</v>
      </c>
    </row>
    <row r="1762" spans="1:34" x14ac:dyDescent="0.35">
      <c r="A1762">
        <v>1761</v>
      </c>
      <c r="B1762" t="s">
        <v>37</v>
      </c>
      <c r="C1762">
        <v>73</v>
      </c>
      <c r="D1762" t="s">
        <v>28</v>
      </c>
      <c r="E1762" t="s">
        <v>22</v>
      </c>
      <c r="F1762" t="s">
        <v>23</v>
      </c>
      <c r="G1762">
        <v>28</v>
      </c>
      <c r="H1762">
        <v>198.2</v>
      </c>
      <c r="I1762">
        <v>107</v>
      </c>
      <c r="J1762">
        <v>33.69</v>
      </c>
      <c r="K1762">
        <v>139.1</v>
      </c>
      <c r="L1762">
        <v>123</v>
      </c>
      <c r="M1762">
        <v>11.82</v>
      </c>
      <c r="N1762">
        <v>199.1</v>
      </c>
      <c r="O1762">
        <v>139</v>
      </c>
      <c r="P1762">
        <v>8.9600000000000009</v>
      </c>
      <c r="Q1762">
        <v>8.8000000000000007</v>
      </c>
      <c r="R1762">
        <v>1</v>
      </c>
      <c r="S1762">
        <v>2.38</v>
      </c>
      <c r="T1762">
        <v>2</v>
      </c>
      <c r="U1762" t="s">
        <v>22</v>
      </c>
      <c r="V1762" t="e">
        <f>IF(#REF! = "yes", 1, 0)</f>
        <v>#REF!</v>
      </c>
      <c r="W1762" t="e">
        <f>IF(#REF! &lt;= 1, "0-1 Calls", IF(#REF! &lt;= 3, "2-3 Calls", IF(#REF! &lt;=5, "4-5 Calls", "6+ Calls")))</f>
        <v>#REF!</v>
      </c>
      <c r="X1762" t="e">
        <f>IF(#REF! &lt;= 50, "0-50", IF(#REF! &lt;=100, "51-100", IF(#REF! &lt;= 150, "101-150", "151+")))</f>
        <v>#REF!</v>
      </c>
      <c r="Y1762" t="e">
        <f>IF(#REF! &lt;= 3, "Low Charges", "High Charges")</f>
        <v>#REF!</v>
      </c>
      <c r="Z1762" t="e">
        <f>IF(#REF!&lt;=80,"Low Calls",
IF(#REF!&lt;=120,"Medium Calls","High Calls"))</f>
        <v>#REF!</v>
      </c>
      <c r="AA1762" t="e">
        <f>IF(#REF!&lt;=15,"Low Charges",
IF(#REF!&lt;=20,"Medium Charges","High Charges"))</f>
        <v>#REF!</v>
      </c>
      <c r="AB1762" t="e">
        <f>IF(AND(#REF!&gt;180, #REF!&gt;200), "Heavy Doemstic User", IF(#REF!&gt;10, "Interntional User", IF(AND(#REF!&lt;180, #REF!&lt;200,#REF!&lt;200), "Light User", "Balanced User")))</f>
        <v>#REF!</v>
      </c>
      <c r="AC1762" t="e">
        <f>IF(#REF! = 0, "No Usage", IF(#REF! &lt;= 20, "Low Usage", IF(#REF! &lt;= 40, "Medium Usgae", "High Usage")))</f>
        <v>#REF!</v>
      </c>
      <c r="AD1762" t="e">
        <f>IF(#REF!&lt;=150,"Low Usage", IF(#REF!&lt;=200,"Medium Usage", IF(#REF!&lt;=250,"High Usage","Very High Usage")))</f>
        <v>#REF!</v>
      </c>
      <c r="AE1762" t="e">
        <f>IF(#REF!&lt;=5,"Low Calls", IF(#REF!&lt;=10, "Medium Calls", "High Calls"))</f>
        <v>#REF!</v>
      </c>
      <c r="AF1762" t="e">
        <f xml:space="preserve">
IF(#REF!&gt;=4,4,0)+
IF(#REF!="yes",3,0)+
IF(#REF!="High Charges",3,0)+
IF(#REF!&gt;250,4,0)+
IF(#REF!="no",1,0)+
IF(#REF!="Heavy Domestic User",2,0)</f>
        <v>#REF!</v>
      </c>
      <c r="AG1762" t="e">
        <f>IF(#REF!&gt;=10,"High Risk", IF(#REF!&gt;=5,"Medium Risk","Low Risk"))</f>
        <v>#REF!</v>
      </c>
      <c r="AH1762" t="e">
        <f>#REF! + #REF! + #REF! + #REF!</f>
        <v>#REF!</v>
      </c>
    </row>
    <row r="1763" spans="1:34" x14ac:dyDescent="0.35">
      <c r="A1763">
        <v>1762</v>
      </c>
      <c r="B1763" t="s">
        <v>46</v>
      </c>
      <c r="C1763">
        <v>95</v>
      </c>
      <c r="D1763" t="s">
        <v>25</v>
      </c>
      <c r="E1763" t="s">
        <v>23</v>
      </c>
      <c r="F1763" t="s">
        <v>22</v>
      </c>
      <c r="G1763">
        <v>0</v>
      </c>
      <c r="H1763">
        <v>228.9</v>
      </c>
      <c r="I1763">
        <v>134</v>
      </c>
      <c r="J1763">
        <v>38.909999999999997</v>
      </c>
      <c r="K1763">
        <v>255.7</v>
      </c>
      <c r="L1763">
        <v>71</v>
      </c>
      <c r="M1763">
        <v>21.73</v>
      </c>
      <c r="N1763">
        <v>208</v>
      </c>
      <c r="O1763">
        <v>120</v>
      </c>
      <c r="P1763">
        <v>9.36</v>
      </c>
      <c r="Q1763">
        <v>10.1</v>
      </c>
      <c r="R1763">
        <v>2</v>
      </c>
      <c r="S1763">
        <v>2.73</v>
      </c>
      <c r="T1763">
        <v>4</v>
      </c>
      <c r="U1763" t="s">
        <v>23</v>
      </c>
      <c r="V1763" t="e">
        <f>IF(#REF! = "yes", 1, 0)</f>
        <v>#REF!</v>
      </c>
      <c r="W1763" t="e">
        <f>IF(#REF! &lt;= 1, "0-1 Calls", IF(#REF! &lt;= 3, "2-3 Calls", IF(#REF! &lt;=5, "4-5 Calls", "6+ Calls")))</f>
        <v>#REF!</v>
      </c>
      <c r="X1763" t="e">
        <f>IF(#REF! &lt;= 50, "0-50", IF(#REF! &lt;=100, "51-100", IF(#REF! &lt;= 150, "101-150", "151+")))</f>
        <v>#REF!</v>
      </c>
      <c r="Y1763" t="e">
        <f>IF(#REF! &lt;= 3, "Low Charges", "High Charges")</f>
        <v>#REF!</v>
      </c>
      <c r="Z1763" t="e">
        <f>IF(#REF!&lt;=80,"Low Calls",
IF(#REF!&lt;=120,"Medium Calls","High Calls"))</f>
        <v>#REF!</v>
      </c>
      <c r="AA1763" t="e">
        <f>IF(#REF!&lt;=15,"Low Charges",
IF(#REF!&lt;=20,"Medium Charges","High Charges"))</f>
        <v>#REF!</v>
      </c>
      <c r="AB1763" t="e">
        <f>IF(AND(#REF!&gt;180, #REF!&gt;200), "Heavy Doemstic User", IF(#REF!&gt;10, "Interntional User", IF(AND(#REF!&lt;180, #REF!&lt;200,#REF!&lt;200), "Light User", "Balanced User")))</f>
        <v>#REF!</v>
      </c>
      <c r="AC1763" t="e">
        <f>IF(#REF! = 0, "No Usage", IF(#REF! &lt;= 20, "Low Usage", IF(#REF! &lt;= 40, "Medium Usgae", "High Usage")))</f>
        <v>#REF!</v>
      </c>
      <c r="AD1763" t="e">
        <f>IF(#REF!&lt;=150,"Low Usage", IF(#REF!&lt;=200,"Medium Usage", IF(#REF!&lt;=250,"High Usage","Very High Usage")))</f>
        <v>#REF!</v>
      </c>
      <c r="AE1763" t="e">
        <f>IF(#REF!&lt;=5,"Low Calls", IF(#REF!&lt;=10, "Medium Calls", "High Calls"))</f>
        <v>#REF!</v>
      </c>
      <c r="AF1763" t="e">
        <f xml:space="preserve">
IF(#REF!&gt;=4,4,0)+
IF(#REF!="yes",3,0)+
IF(#REF!="High Charges",3,0)+
IF(#REF!&gt;250,4,0)+
IF(#REF!="no",1,0)+
IF(#REF!="Heavy Domestic User",2,0)</f>
        <v>#REF!</v>
      </c>
      <c r="AG1763" t="e">
        <f>IF(#REF!&gt;=10,"High Risk", IF(#REF!&gt;=5,"Medium Risk","Low Risk"))</f>
        <v>#REF!</v>
      </c>
      <c r="AH1763" t="e">
        <f>#REF! + #REF! + #REF! + #REF!</f>
        <v>#REF!</v>
      </c>
    </row>
    <row r="1764" spans="1:34" x14ac:dyDescent="0.35">
      <c r="A1764">
        <v>1763</v>
      </c>
      <c r="B1764" t="s">
        <v>60</v>
      </c>
      <c r="C1764">
        <v>145</v>
      </c>
      <c r="D1764" t="s">
        <v>25</v>
      </c>
      <c r="E1764" t="s">
        <v>22</v>
      </c>
      <c r="F1764" t="s">
        <v>22</v>
      </c>
      <c r="G1764">
        <v>0</v>
      </c>
      <c r="H1764">
        <v>241.7</v>
      </c>
      <c r="I1764">
        <v>137</v>
      </c>
      <c r="J1764">
        <v>41.09</v>
      </c>
      <c r="K1764">
        <v>135.80000000000001</v>
      </c>
      <c r="L1764">
        <v>100</v>
      </c>
      <c r="M1764">
        <v>11.54</v>
      </c>
      <c r="N1764">
        <v>277.60000000000002</v>
      </c>
      <c r="O1764">
        <v>123</v>
      </c>
      <c r="P1764">
        <v>12.49</v>
      </c>
      <c r="Q1764">
        <v>13.1</v>
      </c>
      <c r="R1764">
        <v>3</v>
      </c>
      <c r="S1764">
        <v>3.54</v>
      </c>
      <c r="T1764">
        <v>0</v>
      </c>
      <c r="U1764" t="s">
        <v>22</v>
      </c>
      <c r="V1764" t="e">
        <f>IF(#REF! = "yes", 1, 0)</f>
        <v>#REF!</v>
      </c>
      <c r="W1764" t="e">
        <f>IF(#REF! &lt;= 1, "0-1 Calls", IF(#REF! &lt;= 3, "2-3 Calls", IF(#REF! &lt;=5, "4-5 Calls", "6+ Calls")))</f>
        <v>#REF!</v>
      </c>
      <c r="X1764" t="e">
        <f>IF(#REF! &lt;= 50, "0-50", IF(#REF! &lt;=100, "51-100", IF(#REF! &lt;= 150, "101-150", "151+")))</f>
        <v>#REF!</v>
      </c>
      <c r="Y1764" t="e">
        <f>IF(#REF! &lt;= 3, "Low Charges", "High Charges")</f>
        <v>#REF!</v>
      </c>
      <c r="Z1764" t="e">
        <f>IF(#REF!&lt;=80,"Low Calls",
IF(#REF!&lt;=120,"Medium Calls","High Calls"))</f>
        <v>#REF!</v>
      </c>
      <c r="AA1764" t="e">
        <f>IF(#REF!&lt;=15,"Low Charges",
IF(#REF!&lt;=20,"Medium Charges","High Charges"))</f>
        <v>#REF!</v>
      </c>
      <c r="AB1764" t="e">
        <f>IF(AND(#REF!&gt;180, #REF!&gt;200), "Heavy Doemstic User", IF(#REF!&gt;10, "Interntional User", IF(AND(#REF!&lt;180, #REF!&lt;200,#REF!&lt;200), "Light User", "Balanced User")))</f>
        <v>#REF!</v>
      </c>
      <c r="AC1764" t="e">
        <f>IF(#REF! = 0, "No Usage", IF(#REF! &lt;= 20, "Low Usage", IF(#REF! &lt;= 40, "Medium Usgae", "High Usage")))</f>
        <v>#REF!</v>
      </c>
      <c r="AD1764" t="e">
        <f>IF(#REF!&lt;=150,"Low Usage", IF(#REF!&lt;=200,"Medium Usage", IF(#REF!&lt;=250,"High Usage","Very High Usage")))</f>
        <v>#REF!</v>
      </c>
      <c r="AE1764" t="e">
        <f>IF(#REF!&lt;=5,"Low Calls", IF(#REF!&lt;=10, "Medium Calls", "High Calls"))</f>
        <v>#REF!</v>
      </c>
      <c r="AF1764" t="e">
        <f xml:space="preserve">
IF(#REF!&gt;=4,4,0)+
IF(#REF!="yes",3,0)+
IF(#REF!="High Charges",3,0)+
IF(#REF!&gt;250,4,0)+
IF(#REF!="no",1,0)+
IF(#REF!="Heavy Domestic User",2,0)</f>
        <v>#REF!</v>
      </c>
      <c r="AG1764" t="e">
        <f>IF(#REF!&gt;=10,"High Risk", IF(#REF!&gt;=5,"Medium Risk","Low Risk"))</f>
        <v>#REF!</v>
      </c>
      <c r="AH1764" t="e">
        <f>#REF! + #REF! + #REF! + #REF!</f>
        <v>#REF!</v>
      </c>
    </row>
    <row r="1765" spans="1:34" x14ac:dyDescent="0.35">
      <c r="A1765">
        <v>1764</v>
      </c>
      <c r="B1765" t="s">
        <v>42</v>
      </c>
      <c r="C1765">
        <v>100</v>
      </c>
      <c r="D1765" t="s">
        <v>21</v>
      </c>
      <c r="E1765" t="s">
        <v>22</v>
      </c>
      <c r="F1765" t="s">
        <v>22</v>
      </c>
      <c r="G1765">
        <v>0</v>
      </c>
      <c r="H1765">
        <v>131.1</v>
      </c>
      <c r="I1765">
        <v>108</v>
      </c>
      <c r="J1765">
        <v>22.29</v>
      </c>
      <c r="K1765">
        <v>176.2</v>
      </c>
      <c r="L1765">
        <v>81</v>
      </c>
      <c r="M1765">
        <v>14.98</v>
      </c>
      <c r="N1765">
        <v>89.7</v>
      </c>
      <c r="O1765">
        <v>81</v>
      </c>
      <c r="P1765">
        <v>4.04</v>
      </c>
      <c r="Q1765">
        <v>4.3</v>
      </c>
      <c r="R1765">
        <v>4</v>
      </c>
      <c r="S1765">
        <v>1.1599999999999999</v>
      </c>
      <c r="T1765">
        <v>1</v>
      </c>
      <c r="U1765" t="s">
        <v>22</v>
      </c>
      <c r="V1765" t="e">
        <f>IF(#REF! = "yes", 1, 0)</f>
        <v>#REF!</v>
      </c>
      <c r="W1765" t="e">
        <f>IF(#REF! &lt;= 1, "0-1 Calls", IF(#REF! &lt;= 3, "2-3 Calls", IF(#REF! &lt;=5, "4-5 Calls", "6+ Calls")))</f>
        <v>#REF!</v>
      </c>
      <c r="X1765" t="e">
        <f>IF(#REF! &lt;= 50, "0-50", IF(#REF! &lt;=100, "51-100", IF(#REF! &lt;= 150, "101-150", "151+")))</f>
        <v>#REF!</v>
      </c>
      <c r="Y1765" t="e">
        <f>IF(#REF! &lt;= 3, "Low Charges", "High Charges")</f>
        <v>#REF!</v>
      </c>
      <c r="Z1765" t="e">
        <f>IF(#REF!&lt;=80,"Low Calls",
IF(#REF!&lt;=120,"Medium Calls","High Calls"))</f>
        <v>#REF!</v>
      </c>
      <c r="AA1765" t="e">
        <f>IF(#REF!&lt;=15,"Low Charges",
IF(#REF!&lt;=20,"Medium Charges","High Charges"))</f>
        <v>#REF!</v>
      </c>
      <c r="AB1765" t="e">
        <f>IF(AND(#REF!&gt;180, #REF!&gt;200), "Heavy Doemstic User", IF(#REF!&gt;10, "Interntional User", IF(AND(#REF!&lt;180, #REF!&lt;200,#REF!&lt;200), "Light User", "Balanced User")))</f>
        <v>#REF!</v>
      </c>
      <c r="AC1765" t="e">
        <f>IF(#REF! = 0, "No Usage", IF(#REF! &lt;= 20, "Low Usage", IF(#REF! &lt;= 40, "Medium Usgae", "High Usage")))</f>
        <v>#REF!</v>
      </c>
      <c r="AD1765" t="e">
        <f>IF(#REF!&lt;=150,"Low Usage", IF(#REF!&lt;=200,"Medium Usage", IF(#REF!&lt;=250,"High Usage","Very High Usage")))</f>
        <v>#REF!</v>
      </c>
      <c r="AE1765" t="e">
        <f>IF(#REF!&lt;=5,"Low Calls", IF(#REF!&lt;=10, "Medium Calls", "High Calls"))</f>
        <v>#REF!</v>
      </c>
      <c r="AF1765" t="e">
        <f xml:space="preserve">
IF(#REF!&gt;=4,4,0)+
IF(#REF!="yes",3,0)+
IF(#REF!="High Charges",3,0)+
IF(#REF!&gt;250,4,0)+
IF(#REF!="no",1,0)+
IF(#REF!="Heavy Domestic User",2,0)</f>
        <v>#REF!</v>
      </c>
      <c r="AG1765" t="e">
        <f>IF(#REF!&gt;=10,"High Risk", IF(#REF!&gt;=5,"Medium Risk","Low Risk"))</f>
        <v>#REF!</v>
      </c>
      <c r="AH1765" t="e">
        <f>#REF! + #REF! + #REF! + #REF!</f>
        <v>#REF!</v>
      </c>
    </row>
    <row r="1766" spans="1:34" x14ac:dyDescent="0.35">
      <c r="A1766">
        <v>1765</v>
      </c>
      <c r="B1766" t="s">
        <v>60</v>
      </c>
      <c r="C1766">
        <v>122</v>
      </c>
      <c r="D1766" t="s">
        <v>21</v>
      </c>
      <c r="E1766" t="s">
        <v>22</v>
      </c>
      <c r="F1766" t="s">
        <v>22</v>
      </c>
      <c r="G1766">
        <v>0</v>
      </c>
      <c r="H1766">
        <v>234.1</v>
      </c>
      <c r="I1766">
        <v>101</v>
      </c>
      <c r="J1766">
        <v>39.799999999999997</v>
      </c>
      <c r="K1766">
        <v>200.2</v>
      </c>
      <c r="L1766">
        <v>121</v>
      </c>
      <c r="M1766">
        <v>17.02</v>
      </c>
      <c r="N1766">
        <v>237.4</v>
      </c>
      <c r="O1766">
        <v>89</v>
      </c>
      <c r="P1766">
        <v>10.68</v>
      </c>
      <c r="Q1766">
        <v>13.1</v>
      </c>
      <c r="R1766">
        <v>9</v>
      </c>
      <c r="S1766">
        <v>3.54</v>
      </c>
      <c r="T1766">
        <v>2</v>
      </c>
      <c r="U1766" t="s">
        <v>22</v>
      </c>
      <c r="V1766" t="e">
        <f>IF(#REF! = "yes", 1, 0)</f>
        <v>#REF!</v>
      </c>
      <c r="W1766" t="e">
        <f>IF(#REF! &lt;= 1, "0-1 Calls", IF(#REF! &lt;= 3, "2-3 Calls", IF(#REF! &lt;=5, "4-5 Calls", "6+ Calls")))</f>
        <v>#REF!</v>
      </c>
      <c r="X1766" t="e">
        <f>IF(#REF! &lt;= 50, "0-50", IF(#REF! &lt;=100, "51-100", IF(#REF! &lt;= 150, "101-150", "151+")))</f>
        <v>#REF!</v>
      </c>
      <c r="Y1766" t="e">
        <f>IF(#REF! &lt;= 3, "Low Charges", "High Charges")</f>
        <v>#REF!</v>
      </c>
      <c r="Z1766" t="e">
        <f>IF(#REF!&lt;=80,"Low Calls",
IF(#REF!&lt;=120,"Medium Calls","High Calls"))</f>
        <v>#REF!</v>
      </c>
      <c r="AA1766" t="e">
        <f>IF(#REF!&lt;=15,"Low Charges",
IF(#REF!&lt;=20,"Medium Charges","High Charges"))</f>
        <v>#REF!</v>
      </c>
      <c r="AB1766" t="e">
        <f>IF(AND(#REF!&gt;180, #REF!&gt;200), "Heavy Doemstic User", IF(#REF!&gt;10, "Interntional User", IF(AND(#REF!&lt;180, #REF!&lt;200,#REF!&lt;200), "Light User", "Balanced User")))</f>
        <v>#REF!</v>
      </c>
      <c r="AC1766" t="e">
        <f>IF(#REF! = 0, "No Usage", IF(#REF! &lt;= 20, "Low Usage", IF(#REF! &lt;= 40, "Medium Usgae", "High Usage")))</f>
        <v>#REF!</v>
      </c>
      <c r="AD1766" t="e">
        <f>IF(#REF!&lt;=150,"Low Usage", IF(#REF!&lt;=200,"Medium Usage", IF(#REF!&lt;=250,"High Usage","Very High Usage")))</f>
        <v>#REF!</v>
      </c>
      <c r="AE1766" t="e">
        <f>IF(#REF!&lt;=5,"Low Calls", IF(#REF!&lt;=10, "Medium Calls", "High Calls"))</f>
        <v>#REF!</v>
      </c>
      <c r="AF1766" t="e">
        <f xml:space="preserve">
IF(#REF!&gt;=4,4,0)+
IF(#REF!="yes",3,0)+
IF(#REF!="High Charges",3,0)+
IF(#REF!&gt;250,4,0)+
IF(#REF!="no",1,0)+
IF(#REF!="Heavy Domestic User",2,0)</f>
        <v>#REF!</v>
      </c>
      <c r="AG1766" t="e">
        <f>IF(#REF!&gt;=10,"High Risk", IF(#REF!&gt;=5,"Medium Risk","Low Risk"))</f>
        <v>#REF!</v>
      </c>
      <c r="AH1766" t="e">
        <f>#REF! + #REF! + #REF! + #REF!</f>
        <v>#REF!</v>
      </c>
    </row>
    <row r="1767" spans="1:34" x14ac:dyDescent="0.35">
      <c r="A1767">
        <v>1766</v>
      </c>
      <c r="B1767" t="s">
        <v>29</v>
      </c>
      <c r="C1767">
        <v>109</v>
      </c>
      <c r="D1767" t="s">
        <v>21</v>
      </c>
      <c r="E1767" t="s">
        <v>22</v>
      </c>
      <c r="F1767" t="s">
        <v>22</v>
      </c>
      <c r="G1767">
        <v>0</v>
      </c>
      <c r="H1767">
        <v>200.1</v>
      </c>
      <c r="I1767">
        <v>72</v>
      </c>
      <c r="J1767">
        <v>34.020000000000003</v>
      </c>
      <c r="K1767">
        <v>300.89999999999998</v>
      </c>
      <c r="L1767">
        <v>120</v>
      </c>
      <c r="M1767">
        <v>25.58</v>
      </c>
      <c r="N1767">
        <v>236</v>
      </c>
      <c r="O1767">
        <v>68</v>
      </c>
      <c r="P1767">
        <v>10.62</v>
      </c>
      <c r="Q1767">
        <v>11.9</v>
      </c>
      <c r="R1767">
        <v>5</v>
      </c>
      <c r="S1767">
        <v>3.21</v>
      </c>
      <c r="T1767">
        <v>0</v>
      </c>
      <c r="U1767" t="s">
        <v>22</v>
      </c>
      <c r="V1767" t="e">
        <f>IF(#REF! = "yes", 1, 0)</f>
        <v>#REF!</v>
      </c>
      <c r="W1767" t="e">
        <f>IF(#REF! &lt;= 1, "0-1 Calls", IF(#REF! &lt;= 3, "2-3 Calls", IF(#REF! &lt;=5, "4-5 Calls", "6+ Calls")))</f>
        <v>#REF!</v>
      </c>
      <c r="X1767" t="e">
        <f>IF(#REF! &lt;= 50, "0-50", IF(#REF! &lt;=100, "51-100", IF(#REF! &lt;= 150, "101-150", "151+")))</f>
        <v>#REF!</v>
      </c>
      <c r="Y1767" t="e">
        <f>IF(#REF! &lt;= 3, "Low Charges", "High Charges")</f>
        <v>#REF!</v>
      </c>
      <c r="Z1767" t="e">
        <f>IF(#REF!&lt;=80,"Low Calls",
IF(#REF!&lt;=120,"Medium Calls","High Calls"))</f>
        <v>#REF!</v>
      </c>
      <c r="AA1767" t="e">
        <f>IF(#REF!&lt;=15,"Low Charges",
IF(#REF!&lt;=20,"Medium Charges","High Charges"))</f>
        <v>#REF!</v>
      </c>
      <c r="AB1767" t="e">
        <f>IF(AND(#REF!&gt;180, #REF!&gt;200), "Heavy Doemstic User", IF(#REF!&gt;10, "Interntional User", IF(AND(#REF!&lt;180, #REF!&lt;200,#REF!&lt;200), "Light User", "Balanced User")))</f>
        <v>#REF!</v>
      </c>
      <c r="AC1767" t="e">
        <f>IF(#REF! = 0, "No Usage", IF(#REF! &lt;= 20, "Low Usage", IF(#REF! &lt;= 40, "Medium Usgae", "High Usage")))</f>
        <v>#REF!</v>
      </c>
      <c r="AD1767" t="e">
        <f>IF(#REF!&lt;=150,"Low Usage", IF(#REF!&lt;=200,"Medium Usage", IF(#REF!&lt;=250,"High Usage","Very High Usage")))</f>
        <v>#REF!</v>
      </c>
      <c r="AE1767" t="e">
        <f>IF(#REF!&lt;=5,"Low Calls", IF(#REF!&lt;=10, "Medium Calls", "High Calls"))</f>
        <v>#REF!</v>
      </c>
      <c r="AF1767" t="e">
        <f xml:space="preserve">
IF(#REF!&gt;=4,4,0)+
IF(#REF!="yes",3,0)+
IF(#REF!="High Charges",3,0)+
IF(#REF!&gt;250,4,0)+
IF(#REF!="no",1,0)+
IF(#REF!="Heavy Domestic User",2,0)</f>
        <v>#REF!</v>
      </c>
      <c r="AG1767" t="e">
        <f>IF(#REF!&gt;=10,"High Risk", IF(#REF!&gt;=5,"Medium Risk","Low Risk"))</f>
        <v>#REF!</v>
      </c>
      <c r="AH1767" t="e">
        <f>#REF! + #REF! + #REF! + #REF!</f>
        <v>#REF!</v>
      </c>
    </row>
    <row r="1768" spans="1:34" x14ac:dyDescent="0.35">
      <c r="A1768">
        <v>1767</v>
      </c>
      <c r="B1768" t="s">
        <v>68</v>
      </c>
      <c r="C1768">
        <v>82</v>
      </c>
      <c r="D1768" t="s">
        <v>25</v>
      </c>
      <c r="E1768" t="s">
        <v>22</v>
      </c>
      <c r="F1768" t="s">
        <v>22</v>
      </c>
      <c r="G1768">
        <v>0</v>
      </c>
      <c r="H1768">
        <v>154</v>
      </c>
      <c r="I1768">
        <v>107</v>
      </c>
      <c r="J1768">
        <v>26.18</v>
      </c>
      <c r="K1768">
        <v>94.4</v>
      </c>
      <c r="L1768">
        <v>114</v>
      </c>
      <c r="M1768">
        <v>8.02</v>
      </c>
      <c r="N1768">
        <v>287.60000000000002</v>
      </c>
      <c r="O1768">
        <v>95</v>
      </c>
      <c r="P1768">
        <v>12.94</v>
      </c>
      <c r="Q1768">
        <v>10.1</v>
      </c>
      <c r="R1768">
        <v>7</v>
      </c>
      <c r="S1768">
        <v>2.73</v>
      </c>
      <c r="T1768">
        <v>1</v>
      </c>
      <c r="U1768" t="s">
        <v>22</v>
      </c>
      <c r="V1768" t="e">
        <f>IF(#REF! = "yes", 1, 0)</f>
        <v>#REF!</v>
      </c>
      <c r="W1768" t="e">
        <f>IF(#REF! &lt;= 1, "0-1 Calls", IF(#REF! &lt;= 3, "2-3 Calls", IF(#REF! &lt;=5, "4-5 Calls", "6+ Calls")))</f>
        <v>#REF!</v>
      </c>
      <c r="X1768" t="e">
        <f>IF(#REF! &lt;= 50, "0-50", IF(#REF! &lt;=100, "51-100", IF(#REF! &lt;= 150, "101-150", "151+")))</f>
        <v>#REF!</v>
      </c>
      <c r="Y1768" t="e">
        <f>IF(#REF! &lt;= 3, "Low Charges", "High Charges")</f>
        <v>#REF!</v>
      </c>
      <c r="Z1768" t="e">
        <f>IF(#REF!&lt;=80,"Low Calls",
IF(#REF!&lt;=120,"Medium Calls","High Calls"))</f>
        <v>#REF!</v>
      </c>
      <c r="AA1768" t="e">
        <f>IF(#REF!&lt;=15,"Low Charges",
IF(#REF!&lt;=20,"Medium Charges","High Charges"))</f>
        <v>#REF!</v>
      </c>
      <c r="AB1768" t="e">
        <f>IF(AND(#REF!&gt;180, #REF!&gt;200), "Heavy Doemstic User", IF(#REF!&gt;10, "Interntional User", IF(AND(#REF!&lt;180, #REF!&lt;200,#REF!&lt;200), "Light User", "Balanced User")))</f>
        <v>#REF!</v>
      </c>
      <c r="AC1768" t="e">
        <f>IF(#REF! = 0, "No Usage", IF(#REF! &lt;= 20, "Low Usage", IF(#REF! &lt;= 40, "Medium Usgae", "High Usage")))</f>
        <v>#REF!</v>
      </c>
      <c r="AD1768" t="e">
        <f>IF(#REF!&lt;=150,"Low Usage", IF(#REF!&lt;=200,"Medium Usage", IF(#REF!&lt;=250,"High Usage","Very High Usage")))</f>
        <v>#REF!</v>
      </c>
      <c r="AE1768" t="e">
        <f>IF(#REF!&lt;=5,"Low Calls", IF(#REF!&lt;=10, "Medium Calls", "High Calls"))</f>
        <v>#REF!</v>
      </c>
      <c r="AF1768" t="e">
        <f xml:space="preserve">
IF(#REF!&gt;=4,4,0)+
IF(#REF!="yes",3,0)+
IF(#REF!="High Charges",3,0)+
IF(#REF!&gt;250,4,0)+
IF(#REF!="no",1,0)+
IF(#REF!="Heavy Domestic User",2,0)</f>
        <v>#REF!</v>
      </c>
      <c r="AG1768" t="e">
        <f>IF(#REF!&gt;=10,"High Risk", IF(#REF!&gt;=5,"Medium Risk","Low Risk"))</f>
        <v>#REF!</v>
      </c>
      <c r="AH1768" t="e">
        <f>#REF! + #REF! + #REF! + #REF!</f>
        <v>#REF!</v>
      </c>
    </row>
    <row r="1769" spans="1:34" x14ac:dyDescent="0.35">
      <c r="A1769">
        <v>1768</v>
      </c>
      <c r="B1769" t="s">
        <v>73</v>
      </c>
      <c r="C1769">
        <v>65</v>
      </c>
      <c r="D1769" t="s">
        <v>21</v>
      </c>
      <c r="E1769" t="s">
        <v>22</v>
      </c>
      <c r="F1769" t="s">
        <v>23</v>
      </c>
      <c r="G1769">
        <v>23</v>
      </c>
      <c r="H1769">
        <v>224.2</v>
      </c>
      <c r="I1769">
        <v>106</v>
      </c>
      <c r="J1769">
        <v>38.11</v>
      </c>
      <c r="K1769">
        <v>189.6</v>
      </c>
      <c r="L1769">
        <v>100</v>
      </c>
      <c r="M1769">
        <v>16.12</v>
      </c>
      <c r="N1769">
        <v>222.8</v>
      </c>
      <c r="O1769">
        <v>75</v>
      </c>
      <c r="P1769">
        <v>10.029999999999999</v>
      </c>
      <c r="Q1769">
        <v>9.8000000000000007</v>
      </c>
      <c r="R1769">
        <v>4</v>
      </c>
      <c r="S1769">
        <v>2.65</v>
      </c>
      <c r="T1769">
        <v>0</v>
      </c>
      <c r="U1769" t="s">
        <v>22</v>
      </c>
      <c r="V1769" t="e">
        <f>IF(#REF! = "yes", 1, 0)</f>
        <v>#REF!</v>
      </c>
      <c r="W1769" t="e">
        <f>IF(#REF! &lt;= 1, "0-1 Calls", IF(#REF! &lt;= 3, "2-3 Calls", IF(#REF! &lt;=5, "4-5 Calls", "6+ Calls")))</f>
        <v>#REF!</v>
      </c>
      <c r="X1769" t="e">
        <f>IF(#REF! &lt;= 50, "0-50", IF(#REF! &lt;=100, "51-100", IF(#REF! &lt;= 150, "101-150", "151+")))</f>
        <v>#REF!</v>
      </c>
      <c r="Y1769" t="e">
        <f>IF(#REF! &lt;= 3, "Low Charges", "High Charges")</f>
        <v>#REF!</v>
      </c>
      <c r="Z1769" t="e">
        <f>IF(#REF!&lt;=80,"Low Calls",
IF(#REF!&lt;=120,"Medium Calls","High Calls"))</f>
        <v>#REF!</v>
      </c>
      <c r="AA1769" t="e">
        <f>IF(#REF!&lt;=15,"Low Charges",
IF(#REF!&lt;=20,"Medium Charges","High Charges"))</f>
        <v>#REF!</v>
      </c>
      <c r="AB1769" t="e">
        <f>IF(AND(#REF!&gt;180, #REF!&gt;200), "Heavy Doemstic User", IF(#REF!&gt;10, "Interntional User", IF(AND(#REF!&lt;180, #REF!&lt;200,#REF!&lt;200), "Light User", "Balanced User")))</f>
        <v>#REF!</v>
      </c>
      <c r="AC1769" t="e">
        <f>IF(#REF! = 0, "No Usage", IF(#REF! &lt;= 20, "Low Usage", IF(#REF! &lt;= 40, "Medium Usgae", "High Usage")))</f>
        <v>#REF!</v>
      </c>
      <c r="AD1769" t="e">
        <f>IF(#REF!&lt;=150,"Low Usage", IF(#REF!&lt;=200,"Medium Usage", IF(#REF!&lt;=250,"High Usage","Very High Usage")))</f>
        <v>#REF!</v>
      </c>
      <c r="AE1769" t="e">
        <f>IF(#REF!&lt;=5,"Low Calls", IF(#REF!&lt;=10, "Medium Calls", "High Calls"))</f>
        <v>#REF!</v>
      </c>
      <c r="AF1769" t="e">
        <f xml:space="preserve">
IF(#REF!&gt;=4,4,0)+
IF(#REF!="yes",3,0)+
IF(#REF!="High Charges",3,0)+
IF(#REF!&gt;250,4,0)+
IF(#REF!="no",1,0)+
IF(#REF!="Heavy Domestic User",2,0)</f>
        <v>#REF!</v>
      </c>
      <c r="AG1769" t="e">
        <f>IF(#REF!&gt;=10,"High Risk", IF(#REF!&gt;=5,"Medium Risk","Low Risk"))</f>
        <v>#REF!</v>
      </c>
      <c r="AH1769" t="e">
        <f>#REF! + #REF! + #REF! + #REF!</f>
        <v>#REF!</v>
      </c>
    </row>
    <row r="1770" spans="1:34" x14ac:dyDescent="0.35">
      <c r="A1770">
        <v>1769</v>
      </c>
      <c r="B1770" t="s">
        <v>47</v>
      </c>
      <c r="C1770">
        <v>52</v>
      </c>
      <c r="D1770" t="s">
        <v>28</v>
      </c>
      <c r="E1770" t="s">
        <v>22</v>
      </c>
      <c r="F1770" t="s">
        <v>22</v>
      </c>
      <c r="G1770">
        <v>0</v>
      </c>
      <c r="H1770">
        <v>148.30000000000001</v>
      </c>
      <c r="I1770">
        <v>83</v>
      </c>
      <c r="J1770">
        <v>25.21</v>
      </c>
      <c r="K1770">
        <v>181.6</v>
      </c>
      <c r="L1770">
        <v>79</v>
      </c>
      <c r="M1770">
        <v>15.44</v>
      </c>
      <c r="N1770">
        <v>155.6</v>
      </c>
      <c r="O1770">
        <v>104</v>
      </c>
      <c r="P1770">
        <v>7</v>
      </c>
      <c r="Q1770">
        <v>8.3000000000000007</v>
      </c>
      <c r="R1770">
        <v>6</v>
      </c>
      <c r="S1770">
        <v>2.2400000000000002</v>
      </c>
      <c r="T1770">
        <v>3</v>
      </c>
      <c r="U1770" t="s">
        <v>22</v>
      </c>
      <c r="V1770" t="e">
        <f>IF(#REF! = "yes", 1, 0)</f>
        <v>#REF!</v>
      </c>
      <c r="W1770" t="e">
        <f>IF(#REF! &lt;= 1, "0-1 Calls", IF(#REF! &lt;= 3, "2-3 Calls", IF(#REF! &lt;=5, "4-5 Calls", "6+ Calls")))</f>
        <v>#REF!</v>
      </c>
      <c r="X1770" t="e">
        <f>IF(#REF! &lt;= 50, "0-50", IF(#REF! &lt;=100, "51-100", IF(#REF! &lt;= 150, "101-150", "151+")))</f>
        <v>#REF!</v>
      </c>
      <c r="Y1770" t="e">
        <f>IF(#REF! &lt;= 3, "Low Charges", "High Charges")</f>
        <v>#REF!</v>
      </c>
      <c r="Z1770" t="e">
        <f>IF(#REF!&lt;=80,"Low Calls",
IF(#REF!&lt;=120,"Medium Calls","High Calls"))</f>
        <v>#REF!</v>
      </c>
      <c r="AA1770" t="e">
        <f>IF(#REF!&lt;=15,"Low Charges",
IF(#REF!&lt;=20,"Medium Charges","High Charges"))</f>
        <v>#REF!</v>
      </c>
      <c r="AB1770" t="e">
        <f>IF(AND(#REF!&gt;180, #REF!&gt;200), "Heavy Doemstic User", IF(#REF!&gt;10, "Interntional User", IF(AND(#REF!&lt;180, #REF!&lt;200,#REF!&lt;200), "Light User", "Balanced User")))</f>
        <v>#REF!</v>
      </c>
      <c r="AC1770" t="e">
        <f>IF(#REF! = 0, "No Usage", IF(#REF! &lt;= 20, "Low Usage", IF(#REF! &lt;= 40, "Medium Usgae", "High Usage")))</f>
        <v>#REF!</v>
      </c>
      <c r="AD1770" t="e">
        <f>IF(#REF!&lt;=150,"Low Usage", IF(#REF!&lt;=200,"Medium Usage", IF(#REF!&lt;=250,"High Usage","Very High Usage")))</f>
        <v>#REF!</v>
      </c>
      <c r="AE1770" t="e">
        <f>IF(#REF!&lt;=5,"Low Calls", IF(#REF!&lt;=10, "Medium Calls", "High Calls"))</f>
        <v>#REF!</v>
      </c>
      <c r="AF1770" t="e">
        <f xml:space="preserve">
IF(#REF!&gt;=4,4,0)+
IF(#REF!="yes",3,0)+
IF(#REF!="High Charges",3,0)+
IF(#REF!&gt;250,4,0)+
IF(#REF!="no",1,0)+
IF(#REF!="Heavy Domestic User",2,0)</f>
        <v>#REF!</v>
      </c>
      <c r="AG1770" t="e">
        <f>IF(#REF!&gt;=10,"High Risk", IF(#REF!&gt;=5,"Medium Risk","Low Risk"))</f>
        <v>#REF!</v>
      </c>
      <c r="AH1770" t="e">
        <f>#REF! + #REF! + #REF! + #REF!</f>
        <v>#REF!</v>
      </c>
    </row>
    <row r="1771" spans="1:34" x14ac:dyDescent="0.35">
      <c r="A1771">
        <v>1770</v>
      </c>
      <c r="B1771" t="s">
        <v>67</v>
      </c>
      <c r="C1771">
        <v>136</v>
      </c>
      <c r="D1771" t="s">
        <v>21</v>
      </c>
      <c r="E1771" t="s">
        <v>22</v>
      </c>
      <c r="F1771" t="s">
        <v>23</v>
      </c>
      <c r="G1771">
        <v>24</v>
      </c>
      <c r="H1771">
        <v>174.6</v>
      </c>
      <c r="I1771">
        <v>76</v>
      </c>
      <c r="J1771">
        <v>29.68</v>
      </c>
      <c r="K1771">
        <v>176.6</v>
      </c>
      <c r="L1771">
        <v>114</v>
      </c>
      <c r="M1771">
        <v>15.01</v>
      </c>
      <c r="N1771">
        <v>214.4</v>
      </c>
      <c r="O1771">
        <v>91</v>
      </c>
      <c r="P1771">
        <v>9.65</v>
      </c>
      <c r="Q1771">
        <v>8.8000000000000007</v>
      </c>
      <c r="R1771">
        <v>5</v>
      </c>
      <c r="S1771">
        <v>2.38</v>
      </c>
      <c r="T1771">
        <v>2</v>
      </c>
      <c r="U1771" t="s">
        <v>22</v>
      </c>
      <c r="V1771" t="e">
        <f>IF(#REF! = "yes", 1, 0)</f>
        <v>#REF!</v>
      </c>
      <c r="W1771" t="e">
        <f>IF(#REF! &lt;= 1, "0-1 Calls", IF(#REF! &lt;= 3, "2-3 Calls", IF(#REF! &lt;=5, "4-5 Calls", "6+ Calls")))</f>
        <v>#REF!</v>
      </c>
      <c r="X1771" t="e">
        <f>IF(#REF! &lt;= 50, "0-50", IF(#REF! &lt;=100, "51-100", IF(#REF! &lt;= 150, "101-150", "151+")))</f>
        <v>#REF!</v>
      </c>
      <c r="Y1771" t="e">
        <f>IF(#REF! &lt;= 3, "Low Charges", "High Charges")</f>
        <v>#REF!</v>
      </c>
      <c r="Z1771" t="e">
        <f>IF(#REF!&lt;=80,"Low Calls",
IF(#REF!&lt;=120,"Medium Calls","High Calls"))</f>
        <v>#REF!</v>
      </c>
      <c r="AA1771" t="e">
        <f>IF(#REF!&lt;=15,"Low Charges",
IF(#REF!&lt;=20,"Medium Charges","High Charges"))</f>
        <v>#REF!</v>
      </c>
      <c r="AB1771" t="e">
        <f>IF(AND(#REF!&gt;180, #REF!&gt;200), "Heavy Doemstic User", IF(#REF!&gt;10, "Interntional User", IF(AND(#REF!&lt;180, #REF!&lt;200,#REF!&lt;200), "Light User", "Balanced User")))</f>
        <v>#REF!</v>
      </c>
      <c r="AC1771" t="e">
        <f>IF(#REF! = 0, "No Usage", IF(#REF! &lt;= 20, "Low Usage", IF(#REF! &lt;= 40, "Medium Usgae", "High Usage")))</f>
        <v>#REF!</v>
      </c>
      <c r="AD1771" t="e">
        <f>IF(#REF!&lt;=150,"Low Usage", IF(#REF!&lt;=200,"Medium Usage", IF(#REF!&lt;=250,"High Usage","Very High Usage")))</f>
        <v>#REF!</v>
      </c>
      <c r="AE1771" t="e">
        <f>IF(#REF!&lt;=5,"Low Calls", IF(#REF!&lt;=10, "Medium Calls", "High Calls"))</f>
        <v>#REF!</v>
      </c>
      <c r="AF1771" t="e">
        <f xml:space="preserve">
IF(#REF!&gt;=4,4,0)+
IF(#REF!="yes",3,0)+
IF(#REF!="High Charges",3,0)+
IF(#REF!&gt;250,4,0)+
IF(#REF!="no",1,0)+
IF(#REF!="Heavy Domestic User",2,0)</f>
        <v>#REF!</v>
      </c>
      <c r="AG1771" t="e">
        <f>IF(#REF!&gt;=10,"High Risk", IF(#REF!&gt;=5,"Medium Risk","Low Risk"))</f>
        <v>#REF!</v>
      </c>
      <c r="AH1771" t="e">
        <f>#REF! + #REF! + #REF! + #REF!</f>
        <v>#REF!</v>
      </c>
    </row>
    <row r="1772" spans="1:34" x14ac:dyDescent="0.35">
      <c r="A1772">
        <v>1771</v>
      </c>
      <c r="B1772" t="s">
        <v>34</v>
      </c>
      <c r="C1772">
        <v>75</v>
      </c>
      <c r="D1772" t="s">
        <v>21</v>
      </c>
      <c r="E1772" t="s">
        <v>22</v>
      </c>
      <c r="F1772" t="s">
        <v>22</v>
      </c>
      <c r="G1772">
        <v>0</v>
      </c>
      <c r="H1772">
        <v>138.5</v>
      </c>
      <c r="I1772">
        <v>110</v>
      </c>
      <c r="J1772">
        <v>23.55</v>
      </c>
      <c r="K1772">
        <v>153.19999999999999</v>
      </c>
      <c r="L1772">
        <v>86</v>
      </c>
      <c r="M1772">
        <v>13.02</v>
      </c>
      <c r="N1772">
        <v>215.6</v>
      </c>
      <c r="O1772">
        <v>103</v>
      </c>
      <c r="P1772">
        <v>9.6999999999999993</v>
      </c>
      <c r="Q1772">
        <v>11.1</v>
      </c>
      <c r="R1772">
        <v>7</v>
      </c>
      <c r="S1772">
        <v>3</v>
      </c>
      <c r="T1772">
        <v>1</v>
      </c>
      <c r="U1772" t="s">
        <v>22</v>
      </c>
      <c r="V1772" t="e">
        <f>IF(#REF! = "yes", 1, 0)</f>
        <v>#REF!</v>
      </c>
      <c r="W1772" t="e">
        <f>IF(#REF! &lt;= 1, "0-1 Calls", IF(#REF! &lt;= 3, "2-3 Calls", IF(#REF! &lt;=5, "4-5 Calls", "6+ Calls")))</f>
        <v>#REF!</v>
      </c>
      <c r="X1772" t="e">
        <f>IF(#REF! &lt;= 50, "0-50", IF(#REF! &lt;=100, "51-100", IF(#REF! &lt;= 150, "101-150", "151+")))</f>
        <v>#REF!</v>
      </c>
      <c r="Y1772" t="e">
        <f>IF(#REF! &lt;= 3, "Low Charges", "High Charges")</f>
        <v>#REF!</v>
      </c>
      <c r="Z1772" t="e">
        <f>IF(#REF!&lt;=80,"Low Calls",
IF(#REF!&lt;=120,"Medium Calls","High Calls"))</f>
        <v>#REF!</v>
      </c>
      <c r="AA1772" t="e">
        <f>IF(#REF!&lt;=15,"Low Charges",
IF(#REF!&lt;=20,"Medium Charges","High Charges"))</f>
        <v>#REF!</v>
      </c>
      <c r="AB1772" t="e">
        <f>IF(AND(#REF!&gt;180, #REF!&gt;200), "Heavy Doemstic User", IF(#REF!&gt;10, "Interntional User", IF(AND(#REF!&lt;180, #REF!&lt;200,#REF!&lt;200), "Light User", "Balanced User")))</f>
        <v>#REF!</v>
      </c>
      <c r="AC1772" t="e">
        <f>IF(#REF! = 0, "No Usage", IF(#REF! &lt;= 20, "Low Usage", IF(#REF! &lt;= 40, "Medium Usgae", "High Usage")))</f>
        <v>#REF!</v>
      </c>
      <c r="AD1772" t="e">
        <f>IF(#REF!&lt;=150,"Low Usage", IF(#REF!&lt;=200,"Medium Usage", IF(#REF!&lt;=250,"High Usage","Very High Usage")))</f>
        <v>#REF!</v>
      </c>
      <c r="AE1772" t="e">
        <f>IF(#REF!&lt;=5,"Low Calls", IF(#REF!&lt;=10, "Medium Calls", "High Calls"))</f>
        <v>#REF!</v>
      </c>
      <c r="AF1772" t="e">
        <f xml:space="preserve">
IF(#REF!&gt;=4,4,0)+
IF(#REF!="yes",3,0)+
IF(#REF!="High Charges",3,0)+
IF(#REF!&gt;250,4,0)+
IF(#REF!="no",1,0)+
IF(#REF!="Heavy Domestic User",2,0)</f>
        <v>#REF!</v>
      </c>
      <c r="AG1772" t="e">
        <f>IF(#REF!&gt;=10,"High Risk", IF(#REF!&gt;=5,"Medium Risk","Low Risk"))</f>
        <v>#REF!</v>
      </c>
      <c r="AH1772" t="e">
        <f>#REF! + #REF! + #REF! + #REF!</f>
        <v>#REF!</v>
      </c>
    </row>
    <row r="1773" spans="1:34" x14ac:dyDescent="0.35">
      <c r="A1773">
        <v>1772</v>
      </c>
      <c r="B1773" t="s">
        <v>44</v>
      </c>
      <c r="C1773">
        <v>146</v>
      </c>
      <c r="D1773" t="s">
        <v>25</v>
      </c>
      <c r="E1773" t="s">
        <v>22</v>
      </c>
      <c r="F1773" t="s">
        <v>22</v>
      </c>
      <c r="G1773">
        <v>0</v>
      </c>
      <c r="H1773">
        <v>109</v>
      </c>
      <c r="I1773">
        <v>69</v>
      </c>
      <c r="J1773">
        <v>18.53</v>
      </c>
      <c r="K1773">
        <v>265.8</v>
      </c>
      <c r="L1773">
        <v>98</v>
      </c>
      <c r="M1773">
        <v>22.59</v>
      </c>
      <c r="N1773">
        <v>228.3</v>
      </c>
      <c r="O1773">
        <v>80</v>
      </c>
      <c r="P1773">
        <v>10.27</v>
      </c>
      <c r="Q1773">
        <v>12.6</v>
      </c>
      <c r="R1773">
        <v>2</v>
      </c>
      <c r="S1773">
        <v>3.4</v>
      </c>
      <c r="T1773">
        <v>1</v>
      </c>
      <c r="U1773" t="s">
        <v>22</v>
      </c>
      <c r="V1773" t="e">
        <f>IF(#REF! = "yes", 1, 0)</f>
        <v>#REF!</v>
      </c>
      <c r="W1773" t="e">
        <f>IF(#REF! &lt;= 1, "0-1 Calls", IF(#REF! &lt;= 3, "2-3 Calls", IF(#REF! &lt;=5, "4-5 Calls", "6+ Calls")))</f>
        <v>#REF!</v>
      </c>
      <c r="X1773" t="e">
        <f>IF(#REF! &lt;= 50, "0-50", IF(#REF! &lt;=100, "51-100", IF(#REF! &lt;= 150, "101-150", "151+")))</f>
        <v>#REF!</v>
      </c>
      <c r="Y1773" t="e">
        <f>IF(#REF! &lt;= 3, "Low Charges", "High Charges")</f>
        <v>#REF!</v>
      </c>
      <c r="Z1773" t="e">
        <f>IF(#REF!&lt;=80,"Low Calls",
IF(#REF!&lt;=120,"Medium Calls","High Calls"))</f>
        <v>#REF!</v>
      </c>
      <c r="AA1773" t="e">
        <f>IF(#REF!&lt;=15,"Low Charges",
IF(#REF!&lt;=20,"Medium Charges","High Charges"))</f>
        <v>#REF!</v>
      </c>
      <c r="AB1773" t="e">
        <f>IF(AND(#REF!&gt;180, #REF!&gt;200), "Heavy Doemstic User", IF(#REF!&gt;10, "Interntional User", IF(AND(#REF!&lt;180, #REF!&lt;200,#REF!&lt;200), "Light User", "Balanced User")))</f>
        <v>#REF!</v>
      </c>
      <c r="AC1773" t="e">
        <f>IF(#REF! = 0, "No Usage", IF(#REF! &lt;= 20, "Low Usage", IF(#REF! &lt;= 40, "Medium Usgae", "High Usage")))</f>
        <v>#REF!</v>
      </c>
      <c r="AD1773" t="e">
        <f>IF(#REF!&lt;=150,"Low Usage", IF(#REF!&lt;=200,"Medium Usage", IF(#REF!&lt;=250,"High Usage","Very High Usage")))</f>
        <v>#REF!</v>
      </c>
      <c r="AE1773" t="e">
        <f>IF(#REF!&lt;=5,"Low Calls", IF(#REF!&lt;=10, "Medium Calls", "High Calls"))</f>
        <v>#REF!</v>
      </c>
      <c r="AF1773" t="e">
        <f xml:space="preserve">
IF(#REF!&gt;=4,4,0)+
IF(#REF!="yes",3,0)+
IF(#REF!="High Charges",3,0)+
IF(#REF!&gt;250,4,0)+
IF(#REF!="no",1,0)+
IF(#REF!="Heavy Domestic User",2,0)</f>
        <v>#REF!</v>
      </c>
      <c r="AG1773" t="e">
        <f>IF(#REF!&gt;=10,"High Risk", IF(#REF!&gt;=5,"Medium Risk","Low Risk"))</f>
        <v>#REF!</v>
      </c>
      <c r="AH1773" t="e">
        <f>#REF! + #REF! + #REF! + #REF!</f>
        <v>#REF!</v>
      </c>
    </row>
    <row r="1774" spans="1:34" x14ac:dyDescent="0.35">
      <c r="A1774">
        <v>1773</v>
      </c>
      <c r="B1774" t="s">
        <v>69</v>
      </c>
      <c r="C1774">
        <v>105</v>
      </c>
      <c r="D1774" t="s">
        <v>25</v>
      </c>
      <c r="E1774" t="s">
        <v>22</v>
      </c>
      <c r="F1774" t="s">
        <v>22</v>
      </c>
      <c r="G1774">
        <v>0</v>
      </c>
      <c r="H1774">
        <v>162.30000000000001</v>
      </c>
      <c r="I1774">
        <v>99</v>
      </c>
      <c r="J1774">
        <v>27.59</v>
      </c>
      <c r="K1774">
        <v>212.5</v>
      </c>
      <c r="L1774">
        <v>95</v>
      </c>
      <c r="M1774">
        <v>18.059999999999999</v>
      </c>
      <c r="N1774">
        <v>214.7</v>
      </c>
      <c r="O1774">
        <v>114</v>
      </c>
      <c r="P1774">
        <v>9.66</v>
      </c>
      <c r="Q1774">
        <v>11.1</v>
      </c>
      <c r="R1774">
        <v>8</v>
      </c>
      <c r="S1774">
        <v>3</v>
      </c>
      <c r="T1774">
        <v>4</v>
      </c>
      <c r="U1774" t="s">
        <v>22</v>
      </c>
      <c r="V1774" t="e">
        <f>IF(#REF! = "yes", 1, 0)</f>
        <v>#REF!</v>
      </c>
      <c r="W1774" t="e">
        <f>IF(#REF! &lt;= 1, "0-1 Calls", IF(#REF! &lt;= 3, "2-3 Calls", IF(#REF! &lt;=5, "4-5 Calls", "6+ Calls")))</f>
        <v>#REF!</v>
      </c>
      <c r="X1774" t="e">
        <f>IF(#REF! &lt;= 50, "0-50", IF(#REF! &lt;=100, "51-100", IF(#REF! &lt;= 150, "101-150", "151+")))</f>
        <v>#REF!</v>
      </c>
      <c r="Y1774" t="e">
        <f>IF(#REF! &lt;= 3, "Low Charges", "High Charges")</f>
        <v>#REF!</v>
      </c>
      <c r="Z1774" t="e">
        <f>IF(#REF!&lt;=80,"Low Calls",
IF(#REF!&lt;=120,"Medium Calls","High Calls"))</f>
        <v>#REF!</v>
      </c>
      <c r="AA1774" t="e">
        <f>IF(#REF!&lt;=15,"Low Charges",
IF(#REF!&lt;=20,"Medium Charges","High Charges"))</f>
        <v>#REF!</v>
      </c>
      <c r="AB1774" t="e">
        <f>IF(AND(#REF!&gt;180, #REF!&gt;200), "Heavy Doemstic User", IF(#REF!&gt;10, "Interntional User", IF(AND(#REF!&lt;180, #REF!&lt;200,#REF!&lt;200), "Light User", "Balanced User")))</f>
        <v>#REF!</v>
      </c>
      <c r="AC1774" t="e">
        <f>IF(#REF! = 0, "No Usage", IF(#REF! &lt;= 20, "Low Usage", IF(#REF! &lt;= 40, "Medium Usgae", "High Usage")))</f>
        <v>#REF!</v>
      </c>
      <c r="AD1774" t="e">
        <f>IF(#REF!&lt;=150,"Low Usage", IF(#REF!&lt;=200,"Medium Usage", IF(#REF!&lt;=250,"High Usage","Very High Usage")))</f>
        <v>#REF!</v>
      </c>
      <c r="AE1774" t="e">
        <f>IF(#REF!&lt;=5,"Low Calls", IF(#REF!&lt;=10, "Medium Calls", "High Calls"))</f>
        <v>#REF!</v>
      </c>
      <c r="AF1774" t="e">
        <f xml:space="preserve">
IF(#REF!&gt;=4,4,0)+
IF(#REF!="yes",3,0)+
IF(#REF!="High Charges",3,0)+
IF(#REF!&gt;250,4,0)+
IF(#REF!="no",1,0)+
IF(#REF!="Heavy Domestic User",2,0)</f>
        <v>#REF!</v>
      </c>
      <c r="AG1774" t="e">
        <f>IF(#REF!&gt;=10,"High Risk", IF(#REF!&gt;=5,"Medium Risk","Low Risk"))</f>
        <v>#REF!</v>
      </c>
      <c r="AH1774" t="e">
        <f>#REF! + #REF! + #REF! + #REF!</f>
        <v>#REF!</v>
      </c>
    </row>
    <row r="1775" spans="1:34" x14ac:dyDescent="0.35">
      <c r="A1775">
        <v>1774</v>
      </c>
      <c r="B1775" t="s">
        <v>75</v>
      </c>
      <c r="C1775">
        <v>48</v>
      </c>
      <c r="D1775" t="s">
        <v>21</v>
      </c>
      <c r="E1775" t="s">
        <v>22</v>
      </c>
      <c r="F1775" t="s">
        <v>22</v>
      </c>
      <c r="G1775">
        <v>0</v>
      </c>
      <c r="H1775">
        <v>210.8</v>
      </c>
      <c r="I1775">
        <v>84</v>
      </c>
      <c r="J1775">
        <v>35.840000000000003</v>
      </c>
      <c r="K1775">
        <v>189.6</v>
      </c>
      <c r="L1775">
        <v>98</v>
      </c>
      <c r="M1775">
        <v>16.12</v>
      </c>
      <c r="N1775">
        <v>157.6</v>
      </c>
      <c r="O1775">
        <v>99</v>
      </c>
      <c r="P1775">
        <v>7.09</v>
      </c>
      <c r="Q1775">
        <v>16.399999999999999</v>
      </c>
      <c r="R1775">
        <v>3</v>
      </c>
      <c r="S1775">
        <v>4.43</v>
      </c>
      <c r="T1775">
        <v>2</v>
      </c>
      <c r="U1775" t="s">
        <v>22</v>
      </c>
      <c r="V1775" t="e">
        <f>IF(#REF! = "yes", 1, 0)</f>
        <v>#REF!</v>
      </c>
      <c r="W1775" t="e">
        <f>IF(#REF! &lt;= 1, "0-1 Calls", IF(#REF! &lt;= 3, "2-3 Calls", IF(#REF! &lt;=5, "4-5 Calls", "6+ Calls")))</f>
        <v>#REF!</v>
      </c>
      <c r="X1775" t="e">
        <f>IF(#REF! &lt;= 50, "0-50", IF(#REF! &lt;=100, "51-100", IF(#REF! &lt;= 150, "101-150", "151+")))</f>
        <v>#REF!</v>
      </c>
      <c r="Y1775" t="e">
        <f>IF(#REF! &lt;= 3, "Low Charges", "High Charges")</f>
        <v>#REF!</v>
      </c>
      <c r="Z1775" t="e">
        <f>IF(#REF!&lt;=80,"Low Calls",
IF(#REF!&lt;=120,"Medium Calls","High Calls"))</f>
        <v>#REF!</v>
      </c>
      <c r="AA1775" t="e">
        <f>IF(#REF!&lt;=15,"Low Charges",
IF(#REF!&lt;=20,"Medium Charges","High Charges"))</f>
        <v>#REF!</v>
      </c>
      <c r="AB1775" t="e">
        <f>IF(AND(#REF!&gt;180, #REF!&gt;200), "Heavy Doemstic User", IF(#REF!&gt;10, "Interntional User", IF(AND(#REF!&lt;180, #REF!&lt;200,#REF!&lt;200), "Light User", "Balanced User")))</f>
        <v>#REF!</v>
      </c>
      <c r="AC1775" t="e">
        <f>IF(#REF! = 0, "No Usage", IF(#REF! &lt;= 20, "Low Usage", IF(#REF! &lt;= 40, "Medium Usgae", "High Usage")))</f>
        <v>#REF!</v>
      </c>
      <c r="AD1775" t="e">
        <f>IF(#REF!&lt;=150,"Low Usage", IF(#REF!&lt;=200,"Medium Usage", IF(#REF!&lt;=250,"High Usage","Very High Usage")))</f>
        <v>#REF!</v>
      </c>
      <c r="AE1775" t="e">
        <f>IF(#REF!&lt;=5,"Low Calls", IF(#REF!&lt;=10, "Medium Calls", "High Calls"))</f>
        <v>#REF!</v>
      </c>
      <c r="AF1775" t="e">
        <f xml:space="preserve">
IF(#REF!&gt;=4,4,0)+
IF(#REF!="yes",3,0)+
IF(#REF!="High Charges",3,0)+
IF(#REF!&gt;250,4,0)+
IF(#REF!="no",1,0)+
IF(#REF!="Heavy Domestic User",2,0)</f>
        <v>#REF!</v>
      </c>
      <c r="AG1775" t="e">
        <f>IF(#REF!&gt;=10,"High Risk", IF(#REF!&gt;=5,"Medium Risk","Low Risk"))</f>
        <v>#REF!</v>
      </c>
      <c r="AH1775" t="e">
        <f>#REF! + #REF! + #REF! + #REF!</f>
        <v>#REF!</v>
      </c>
    </row>
    <row r="1776" spans="1:34" x14ac:dyDescent="0.35">
      <c r="A1776">
        <v>1775</v>
      </c>
      <c r="B1776" t="s">
        <v>74</v>
      </c>
      <c r="C1776">
        <v>45</v>
      </c>
      <c r="D1776" t="s">
        <v>21</v>
      </c>
      <c r="E1776" t="s">
        <v>22</v>
      </c>
      <c r="F1776" t="s">
        <v>22</v>
      </c>
      <c r="G1776">
        <v>0</v>
      </c>
      <c r="H1776">
        <v>142.4</v>
      </c>
      <c r="I1776">
        <v>107</v>
      </c>
      <c r="J1776">
        <v>24.21</v>
      </c>
      <c r="K1776">
        <v>318.7</v>
      </c>
      <c r="L1776">
        <v>78</v>
      </c>
      <c r="M1776">
        <v>27.09</v>
      </c>
      <c r="N1776">
        <v>224.1</v>
      </c>
      <c r="O1776">
        <v>108</v>
      </c>
      <c r="P1776">
        <v>10.08</v>
      </c>
      <c r="Q1776">
        <v>11.1</v>
      </c>
      <c r="R1776">
        <v>7</v>
      </c>
      <c r="S1776">
        <v>3</v>
      </c>
      <c r="T1776">
        <v>1</v>
      </c>
      <c r="U1776" t="s">
        <v>22</v>
      </c>
      <c r="V1776" t="e">
        <f>IF(#REF! = "yes", 1, 0)</f>
        <v>#REF!</v>
      </c>
      <c r="W1776" t="e">
        <f>IF(#REF! &lt;= 1, "0-1 Calls", IF(#REF! &lt;= 3, "2-3 Calls", IF(#REF! &lt;=5, "4-5 Calls", "6+ Calls")))</f>
        <v>#REF!</v>
      </c>
      <c r="X1776" t="e">
        <f>IF(#REF! &lt;= 50, "0-50", IF(#REF! &lt;=100, "51-100", IF(#REF! &lt;= 150, "101-150", "151+")))</f>
        <v>#REF!</v>
      </c>
      <c r="Y1776" t="e">
        <f>IF(#REF! &lt;= 3, "Low Charges", "High Charges")</f>
        <v>#REF!</v>
      </c>
      <c r="Z1776" t="e">
        <f>IF(#REF!&lt;=80,"Low Calls",
IF(#REF!&lt;=120,"Medium Calls","High Calls"))</f>
        <v>#REF!</v>
      </c>
      <c r="AA1776" t="e">
        <f>IF(#REF!&lt;=15,"Low Charges",
IF(#REF!&lt;=20,"Medium Charges","High Charges"))</f>
        <v>#REF!</v>
      </c>
      <c r="AB1776" t="e">
        <f>IF(AND(#REF!&gt;180, #REF!&gt;200), "Heavy Doemstic User", IF(#REF!&gt;10, "Interntional User", IF(AND(#REF!&lt;180, #REF!&lt;200,#REF!&lt;200), "Light User", "Balanced User")))</f>
        <v>#REF!</v>
      </c>
      <c r="AC1776" t="e">
        <f>IF(#REF! = 0, "No Usage", IF(#REF! &lt;= 20, "Low Usage", IF(#REF! &lt;= 40, "Medium Usgae", "High Usage")))</f>
        <v>#REF!</v>
      </c>
      <c r="AD1776" t="e">
        <f>IF(#REF!&lt;=150,"Low Usage", IF(#REF!&lt;=200,"Medium Usage", IF(#REF!&lt;=250,"High Usage","Very High Usage")))</f>
        <v>#REF!</v>
      </c>
      <c r="AE1776" t="e">
        <f>IF(#REF!&lt;=5,"Low Calls", IF(#REF!&lt;=10, "Medium Calls", "High Calls"))</f>
        <v>#REF!</v>
      </c>
      <c r="AF1776" t="e">
        <f xml:space="preserve">
IF(#REF!&gt;=4,4,0)+
IF(#REF!="yes",3,0)+
IF(#REF!="High Charges",3,0)+
IF(#REF!&gt;250,4,0)+
IF(#REF!="no",1,0)+
IF(#REF!="Heavy Domestic User",2,0)</f>
        <v>#REF!</v>
      </c>
      <c r="AG1776" t="e">
        <f>IF(#REF!&gt;=10,"High Risk", IF(#REF!&gt;=5,"Medium Risk","Low Risk"))</f>
        <v>#REF!</v>
      </c>
      <c r="AH1776" t="e">
        <f>#REF! + #REF! + #REF! + #REF!</f>
        <v>#REF!</v>
      </c>
    </row>
    <row r="1777" spans="1:34" x14ac:dyDescent="0.35">
      <c r="A1777">
        <v>1776</v>
      </c>
      <c r="B1777" t="s">
        <v>74</v>
      </c>
      <c r="C1777">
        <v>33</v>
      </c>
      <c r="D1777" t="s">
        <v>28</v>
      </c>
      <c r="E1777" t="s">
        <v>22</v>
      </c>
      <c r="F1777" t="s">
        <v>22</v>
      </c>
      <c r="G1777">
        <v>0</v>
      </c>
      <c r="H1777">
        <v>182.5</v>
      </c>
      <c r="I1777">
        <v>65</v>
      </c>
      <c r="J1777">
        <v>31.03</v>
      </c>
      <c r="K1777">
        <v>232.1</v>
      </c>
      <c r="L1777">
        <v>96</v>
      </c>
      <c r="M1777">
        <v>19.73</v>
      </c>
      <c r="N1777">
        <v>149.19999999999999</v>
      </c>
      <c r="O1777">
        <v>82</v>
      </c>
      <c r="P1777">
        <v>6.71</v>
      </c>
      <c r="Q1777">
        <v>7.5</v>
      </c>
      <c r="R1777">
        <v>2</v>
      </c>
      <c r="S1777">
        <v>2.0299999999999998</v>
      </c>
      <c r="T1777">
        <v>2</v>
      </c>
      <c r="U1777" t="s">
        <v>22</v>
      </c>
      <c r="V1777" t="e">
        <f>IF(#REF! = "yes", 1, 0)</f>
        <v>#REF!</v>
      </c>
      <c r="W1777" t="e">
        <f>IF(#REF! &lt;= 1, "0-1 Calls", IF(#REF! &lt;= 3, "2-3 Calls", IF(#REF! &lt;=5, "4-5 Calls", "6+ Calls")))</f>
        <v>#REF!</v>
      </c>
      <c r="X1777" t="e">
        <f>IF(#REF! &lt;= 50, "0-50", IF(#REF! &lt;=100, "51-100", IF(#REF! &lt;= 150, "101-150", "151+")))</f>
        <v>#REF!</v>
      </c>
      <c r="Y1777" t="e">
        <f>IF(#REF! &lt;= 3, "Low Charges", "High Charges")</f>
        <v>#REF!</v>
      </c>
      <c r="Z1777" t="e">
        <f>IF(#REF!&lt;=80,"Low Calls",
IF(#REF!&lt;=120,"Medium Calls","High Calls"))</f>
        <v>#REF!</v>
      </c>
      <c r="AA1777" t="e">
        <f>IF(#REF!&lt;=15,"Low Charges",
IF(#REF!&lt;=20,"Medium Charges","High Charges"))</f>
        <v>#REF!</v>
      </c>
      <c r="AB1777" t="e">
        <f>IF(AND(#REF!&gt;180, #REF!&gt;200), "Heavy Doemstic User", IF(#REF!&gt;10, "Interntional User", IF(AND(#REF!&lt;180, #REF!&lt;200,#REF!&lt;200), "Light User", "Balanced User")))</f>
        <v>#REF!</v>
      </c>
      <c r="AC1777" t="e">
        <f>IF(#REF! = 0, "No Usage", IF(#REF! &lt;= 20, "Low Usage", IF(#REF! &lt;= 40, "Medium Usgae", "High Usage")))</f>
        <v>#REF!</v>
      </c>
      <c r="AD1777" t="e">
        <f>IF(#REF!&lt;=150,"Low Usage", IF(#REF!&lt;=200,"Medium Usage", IF(#REF!&lt;=250,"High Usage","Very High Usage")))</f>
        <v>#REF!</v>
      </c>
      <c r="AE1777" t="e">
        <f>IF(#REF!&lt;=5,"Low Calls", IF(#REF!&lt;=10, "Medium Calls", "High Calls"))</f>
        <v>#REF!</v>
      </c>
      <c r="AF1777" t="e">
        <f xml:space="preserve">
IF(#REF!&gt;=4,4,0)+
IF(#REF!="yes",3,0)+
IF(#REF!="High Charges",3,0)+
IF(#REF!&gt;250,4,0)+
IF(#REF!="no",1,0)+
IF(#REF!="Heavy Domestic User",2,0)</f>
        <v>#REF!</v>
      </c>
      <c r="AG1777" t="e">
        <f>IF(#REF!&gt;=10,"High Risk", IF(#REF!&gt;=5,"Medium Risk","Low Risk"))</f>
        <v>#REF!</v>
      </c>
      <c r="AH1777" t="e">
        <f>#REF! + #REF! + #REF! + #REF!</f>
        <v>#REF!</v>
      </c>
    </row>
    <row r="1778" spans="1:34" x14ac:dyDescent="0.35">
      <c r="A1778">
        <v>1777</v>
      </c>
      <c r="B1778" t="s">
        <v>75</v>
      </c>
      <c r="C1778">
        <v>68</v>
      </c>
      <c r="D1778" t="s">
        <v>25</v>
      </c>
      <c r="E1778" t="s">
        <v>22</v>
      </c>
      <c r="F1778" t="s">
        <v>22</v>
      </c>
      <c r="G1778">
        <v>0</v>
      </c>
      <c r="H1778">
        <v>219.6</v>
      </c>
      <c r="I1778">
        <v>97</v>
      </c>
      <c r="J1778">
        <v>37.33</v>
      </c>
      <c r="K1778">
        <v>141.1</v>
      </c>
      <c r="L1778">
        <v>144</v>
      </c>
      <c r="M1778">
        <v>11.99</v>
      </c>
      <c r="N1778">
        <v>205.7</v>
      </c>
      <c r="O1778">
        <v>101</v>
      </c>
      <c r="P1778">
        <v>9.26</v>
      </c>
      <c r="Q1778">
        <v>10.8</v>
      </c>
      <c r="R1778">
        <v>4</v>
      </c>
      <c r="S1778">
        <v>2.92</v>
      </c>
      <c r="T1778">
        <v>2</v>
      </c>
      <c r="U1778" t="s">
        <v>22</v>
      </c>
      <c r="V1778" t="e">
        <f>IF(#REF! = "yes", 1, 0)</f>
        <v>#REF!</v>
      </c>
      <c r="W1778" t="e">
        <f>IF(#REF! &lt;= 1, "0-1 Calls", IF(#REF! &lt;= 3, "2-3 Calls", IF(#REF! &lt;=5, "4-5 Calls", "6+ Calls")))</f>
        <v>#REF!</v>
      </c>
      <c r="X1778" t="e">
        <f>IF(#REF! &lt;= 50, "0-50", IF(#REF! &lt;=100, "51-100", IF(#REF! &lt;= 150, "101-150", "151+")))</f>
        <v>#REF!</v>
      </c>
      <c r="Y1778" t="e">
        <f>IF(#REF! &lt;= 3, "Low Charges", "High Charges")</f>
        <v>#REF!</v>
      </c>
      <c r="Z1778" t="e">
        <f>IF(#REF!&lt;=80,"Low Calls",
IF(#REF!&lt;=120,"Medium Calls","High Calls"))</f>
        <v>#REF!</v>
      </c>
      <c r="AA1778" t="e">
        <f>IF(#REF!&lt;=15,"Low Charges",
IF(#REF!&lt;=20,"Medium Charges","High Charges"))</f>
        <v>#REF!</v>
      </c>
      <c r="AB1778" t="e">
        <f>IF(AND(#REF!&gt;180, #REF!&gt;200), "Heavy Doemstic User", IF(#REF!&gt;10, "Interntional User", IF(AND(#REF!&lt;180, #REF!&lt;200,#REF!&lt;200), "Light User", "Balanced User")))</f>
        <v>#REF!</v>
      </c>
      <c r="AC1778" t="e">
        <f>IF(#REF! = 0, "No Usage", IF(#REF! &lt;= 20, "Low Usage", IF(#REF! &lt;= 40, "Medium Usgae", "High Usage")))</f>
        <v>#REF!</v>
      </c>
      <c r="AD1778" t="e">
        <f>IF(#REF!&lt;=150,"Low Usage", IF(#REF!&lt;=200,"Medium Usage", IF(#REF!&lt;=250,"High Usage","Very High Usage")))</f>
        <v>#REF!</v>
      </c>
      <c r="AE1778" t="e">
        <f>IF(#REF!&lt;=5,"Low Calls", IF(#REF!&lt;=10, "Medium Calls", "High Calls"))</f>
        <v>#REF!</v>
      </c>
      <c r="AF1778" t="e">
        <f xml:space="preserve">
IF(#REF!&gt;=4,4,0)+
IF(#REF!="yes",3,0)+
IF(#REF!="High Charges",3,0)+
IF(#REF!&gt;250,4,0)+
IF(#REF!="no",1,0)+
IF(#REF!="Heavy Domestic User",2,0)</f>
        <v>#REF!</v>
      </c>
      <c r="AG1778" t="e">
        <f>IF(#REF!&gt;=10,"High Risk", IF(#REF!&gt;=5,"Medium Risk","Low Risk"))</f>
        <v>#REF!</v>
      </c>
      <c r="AH1778" t="e">
        <f>#REF! + #REF! + #REF! + #REF!</f>
        <v>#REF!</v>
      </c>
    </row>
    <row r="1779" spans="1:34" x14ac:dyDescent="0.35">
      <c r="A1779">
        <v>1778</v>
      </c>
      <c r="B1779" t="s">
        <v>59</v>
      </c>
      <c r="C1779">
        <v>106</v>
      </c>
      <c r="D1779" t="s">
        <v>25</v>
      </c>
      <c r="E1779" t="s">
        <v>22</v>
      </c>
      <c r="F1779" t="s">
        <v>22</v>
      </c>
      <c r="G1779">
        <v>0</v>
      </c>
      <c r="H1779">
        <v>193.6</v>
      </c>
      <c r="I1779">
        <v>66</v>
      </c>
      <c r="J1779">
        <v>32.909999999999997</v>
      </c>
      <c r="K1779">
        <v>238.2</v>
      </c>
      <c r="L1779">
        <v>82</v>
      </c>
      <c r="M1779">
        <v>20.25</v>
      </c>
      <c r="N1779">
        <v>176.4</v>
      </c>
      <c r="O1779">
        <v>107</v>
      </c>
      <c r="P1779">
        <v>7.94</v>
      </c>
      <c r="Q1779">
        <v>12.9</v>
      </c>
      <c r="R1779">
        <v>3</v>
      </c>
      <c r="S1779">
        <v>3.48</v>
      </c>
      <c r="T1779">
        <v>0</v>
      </c>
      <c r="U1779" t="s">
        <v>22</v>
      </c>
      <c r="V1779" t="e">
        <f>IF(#REF! = "yes", 1, 0)</f>
        <v>#REF!</v>
      </c>
      <c r="W1779" t="e">
        <f>IF(#REF! &lt;= 1, "0-1 Calls", IF(#REF! &lt;= 3, "2-3 Calls", IF(#REF! &lt;=5, "4-5 Calls", "6+ Calls")))</f>
        <v>#REF!</v>
      </c>
      <c r="X1779" t="e">
        <f>IF(#REF! &lt;= 50, "0-50", IF(#REF! &lt;=100, "51-100", IF(#REF! &lt;= 150, "101-150", "151+")))</f>
        <v>#REF!</v>
      </c>
      <c r="Y1779" t="e">
        <f>IF(#REF! &lt;= 3, "Low Charges", "High Charges")</f>
        <v>#REF!</v>
      </c>
      <c r="Z1779" t="e">
        <f>IF(#REF!&lt;=80,"Low Calls",
IF(#REF!&lt;=120,"Medium Calls","High Calls"))</f>
        <v>#REF!</v>
      </c>
      <c r="AA1779" t="e">
        <f>IF(#REF!&lt;=15,"Low Charges",
IF(#REF!&lt;=20,"Medium Charges","High Charges"))</f>
        <v>#REF!</v>
      </c>
      <c r="AB1779" t="e">
        <f>IF(AND(#REF!&gt;180, #REF!&gt;200), "Heavy Doemstic User", IF(#REF!&gt;10, "Interntional User", IF(AND(#REF!&lt;180, #REF!&lt;200,#REF!&lt;200), "Light User", "Balanced User")))</f>
        <v>#REF!</v>
      </c>
      <c r="AC1779" t="e">
        <f>IF(#REF! = 0, "No Usage", IF(#REF! &lt;= 20, "Low Usage", IF(#REF! &lt;= 40, "Medium Usgae", "High Usage")))</f>
        <v>#REF!</v>
      </c>
      <c r="AD1779" t="e">
        <f>IF(#REF!&lt;=150,"Low Usage", IF(#REF!&lt;=200,"Medium Usage", IF(#REF!&lt;=250,"High Usage","Very High Usage")))</f>
        <v>#REF!</v>
      </c>
      <c r="AE1779" t="e">
        <f>IF(#REF!&lt;=5,"Low Calls", IF(#REF!&lt;=10, "Medium Calls", "High Calls"))</f>
        <v>#REF!</v>
      </c>
      <c r="AF1779" t="e">
        <f xml:space="preserve">
IF(#REF!&gt;=4,4,0)+
IF(#REF!="yes",3,0)+
IF(#REF!="High Charges",3,0)+
IF(#REF!&gt;250,4,0)+
IF(#REF!="no",1,0)+
IF(#REF!="Heavy Domestic User",2,0)</f>
        <v>#REF!</v>
      </c>
      <c r="AG1779" t="e">
        <f>IF(#REF!&gt;=10,"High Risk", IF(#REF!&gt;=5,"Medium Risk","Low Risk"))</f>
        <v>#REF!</v>
      </c>
      <c r="AH1779" t="e">
        <f>#REF! + #REF! + #REF! + #REF!</f>
        <v>#REF!</v>
      </c>
    </row>
    <row r="1780" spans="1:34" x14ac:dyDescent="0.35">
      <c r="A1780">
        <v>1779</v>
      </c>
      <c r="B1780" t="s">
        <v>70</v>
      </c>
      <c r="C1780">
        <v>94</v>
      </c>
      <c r="D1780" t="s">
        <v>28</v>
      </c>
      <c r="E1780" t="s">
        <v>22</v>
      </c>
      <c r="F1780" t="s">
        <v>23</v>
      </c>
      <c r="G1780">
        <v>28</v>
      </c>
      <c r="H1780">
        <v>233.2</v>
      </c>
      <c r="I1780">
        <v>88</v>
      </c>
      <c r="J1780">
        <v>39.64</v>
      </c>
      <c r="K1780">
        <v>113.3</v>
      </c>
      <c r="L1780">
        <v>102</v>
      </c>
      <c r="M1780">
        <v>9.6300000000000008</v>
      </c>
      <c r="N1780">
        <v>118</v>
      </c>
      <c r="O1780">
        <v>71</v>
      </c>
      <c r="P1780">
        <v>5.31</v>
      </c>
      <c r="Q1780">
        <v>16.100000000000001</v>
      </c>
      <c r="R1780">
        <v>4</v>
      </c>
      <c r="S1780">
        <v>4.3499999999999996</v>
      </c>
      <c r="T1780">
        <v>0</v>
      </c>
      <c r="U1780" t="s">
        <v>22</v>
      </c>
      <c r="V1780" t="e">
        <f>IF(#REF! = "yes", 1, 0)</f>
        <v>#REF!</v>
      </c>
      <c r="W1780" t="e">
        <f>IF(#REF! &lt;= 1, "0-1 Calls", IF(#REF! &lt;= 3, "2-3 Calls", IF(#REF! &lt;=5, "4-5 Calls", "6+ Calls")))</f>
        <v>#REF!</v>
      </c>
      <c r="X1780" t="e">
        <f>IF(#REF! &lt;= 50, "0-50", IF(#REF! &lt;=100, "51-100", IF(#REF! &lt;= 150, "101-150", "151+")))</f>
        <v>#REF!</v>
      </c>
      <c r="Y1780" t="e">
        <f>IF(#REF! &lt;= 3, "Low Charges", "High Charges")</f>
        <v>#REF!</v>
      </c>
      <c r="Z1780" t="e">
        <f>IF(#REF!&lt;=80,"Low Calls",
IF(#REF!&lt;=120,"Medium Calls","High Calls"))</f>
        <v>#REF!</v>
      </c>
      <c r="AA1780" t="e">
        <f>IF(#REF!&lt;=15,"Low Charges",
IF(#REF!&lt;=20,"Medium Charges","High Charges"))</f>
        <v>#REF!</v>
      </c>
      <c r="AB1780" t="e">
        <f>IF(AND(#REF!&gt;180, #REF!&gt;200), "Heavy Doemstic User", IF(#REF!&gt;10, "Interntional User", IF(AND(#REF!&lt;180, #REF!&lt;200,#REF!&lt;200), "Light User", "Balanced User")))</f>
        <v>#REF!</v>
      </c>
      <c r="AC1780" t="e">
        <f>IF(#REF! = 0, "No Usage", IF(#REF! &lt;= 20, "Low Usage", IF(#REF! &lt;= 40, "Medium Usgae", "High Usage")))</f>
        <v>#REF!</v>
      </c>
      <c r="AD1780" t="e">
        <f>IF(#REF!&lt;=150,"Low Usage", IF(#REF!&lt;=200,"Medium Usage", IF(#REF!&lt;=250,"High Usage","Very High Usage")))</f>
        <v>#REF!</v>
      </c>
      <c r="AE1780" t="e">
        <f>IF(#REF!&lt;=5,"Low Calls", IF(#REF!&lt;=10, "Medium Calls", "High Calls"))</f>
        <v>#REF!</v>
      </c>
      <c r="AF1780" t="e">
        <f xml:space="preserve">
IF(#REF!&gt;=4,4,0)+
IF(#REF!="yes",3,0)+
IF(#REF!="High Charges",3,0)+
IF(#REF!&gt;250,4,0)+
IF(#REF!="no",1,0)+
IF(#REF!="Heavy Domestic User",2,0)</f>
        <v>#REF!</v>
      </c>
      <c r="AG1780" t="e">
        <f>IF(#REF!&gt;=10,"High Risk", IF(#REF!&gt;=5,"Medium Risk","Low Risk"))</f>
        <v>#REF!</v>
      </c>
      <c r="AH1780" t="e">
        <f>#REF! + #REF! + #REF! + #REF!</f>
        <v>#REF!</v>
      </c>
    </row>
    <row r="1781" spans="1:34" x14ac:dyDescent="0.35">
      <c r="A1781">
        <v>1780</v>
      </c>
      <c r="B1781" t="s">
        <v>41</v>
      </c>
      <c r="C1781">
        <v>65</v>
      </c>
      <c r="D1781" t="s">
        <v>28</v>
      </c>
      <c r="E1781" t="s">
        <v>22</v>
      </c>
      <c r="F1781" t="s">
        <v>22</v>
      </c>
      <c r="G1781">
        <v>0</v>
      </c>
      <c r="H1781">
        <v>158.80000000000001</v>
      </c>
      <c r="I1781">
        <v>53</v>
      </c>
      <c r="J1781">
        <v>27</v>
      </c>
      <c r="K1781">
        <v>188.5</v>
      </c>
      <c r="L1781">
        <v>132</v>
      </c>
      <c r="M1781">
        <v>16.02</v>
      </c>
      <c r="N1781">
        <v>189.3</v>
      </c>
      <c r="O1781">
        <v>87</v>
      </c>
      <c r="P1781">
        <v>8.52</v>
      </c>
      <c r="Q1781">
        <v>9.8000000000000007</v>
      </c>
      <c r="R1781">
        <v>4</v>
      </c>
      <c r="S1781">
        <v>2.65</v>
      </c>
      <c r="T1781">
        <v>2</v>
      </c>
      <c r="U1781" t="s">
        <v>22</v>
      </c>
      <c r="V1781" t="e">
        <f>IF(#REF! = "yes", 1, 0)</f>
        <v>#REF!</v>
      </c>
      <c r="W1781" t="e">
        <f>IF(#REF! &lt;= 1, "0-1 Calls", IF(#REF! &lt;= 3, "2-3 Calls", IF(#REF! &lt;=5, "4-5 Calls", "6+ Calls")))</f>
        <v>#REF!</v>
      </c>
      <c r="X1781" t="e">
        <f>IF(#REF! &lt;= 50, "0-50", IF(#REF! &lt;=100, "51-100", IF(#REF! &lt;= 150, "101-150", "151+")))</f>
        <v>#REF!</v>
      </c>
      <c r="Y1781" t="e">
        <f>IF(#REF! &lt;= 3, "Low Charges", "High Charges")</f>
        <v>#REF!</v>
      </c>
      <c r="Z1781" t="e">
        <f>IF(#REF!&lt;=80,"Low Calls",
IF(#REF!&lt;=120,"Medium Calls","High Calls"))</f>
        <v>#REF!</v>
      </c>
      <c r="AA1781" t="e">
        <f>IF(#REF!&lt;=15,"Low Charges",
IF(#REF!&lt;=20,"Medium Charges","High Charges"))</f>
        <v>#REF!</v>
      </c>
      <c r="AB1781" t="e">
        <f>IF(AND(#REF!&gt;180, #REF!&gt;200), "Heavy Doemstic User", IF(#REF!&gt;10, "Interntional User", IF(AND(#REF!&lt;180, #REF!&lt;200,#REF!&lt;200), "Light User", "Balanced User")))</f>
        <v>#REF!</v>
      </c>
      <c r="AC1781" t="e">
        <f>IF(#REF! = 0, "No Usage", IF(#REF! &lt;= 20, "Low Usage", IF(#REF! &lt;= 40, "Medium Usgae", "High Usage")))</f>
        <v>#REF!</v>
      </c>
      <c r="AD1781" t="e">
        <f>IF(#REF!&lt;=150,"Low Usage", IF(#REF!&lt;=200,"Medium Usage", IF(#REF!&lt;=250,"High Usage","Very High Usage")))</f>
        <v>#REF!</v>
      </c>
      <c r="AE1781" t="e">
        <f>IF(#REF!&lt;=5,"Low Calls", IF(#REF!&lt;=10, "Medium Calls", "High Calls"))</f>
        <v>#REF!</v>
      </c>
      <c r="AF1781" t="e">
        <f xml:space="preserve">
IF(#REF!&gt;=4,4,0)+
IF(#REF!="yes",3,0)+
IF(#REF!="High Charges",3,0)+
IF(#REF!&gt;250,4,0)+
IF(#REF!="no",1,0)+
IF(#REF!="Heavy Domestic User",2,0)</f>
        <v>#REF!</v>
      </c>
      <c r="AG1781" t="e">
        <f>IF(#REF!&gt;=10,"High Risk", IF(#REF!&gt;=5,"Medium Risk","Low Risk"))</f>
        <v>#REF!</v>
      </c>
      <c r="AH1781" t="e">
        <f>#REF! + #REF! + #REF! + #REF!</f>
        <v>#REF!</v>
      </c>
    </row>
    <row r="1782" spans="1:34" x14ac:dyDescent="0.35">
      <c r="A1782">
        <v>1781</v>
      </c>
      <c r="B1782" t="s">
        <v>29</v>
      </c>
      <c r="C1782">
        <v>85</v>
      </c>
      <c r="D1782" t="s">
        <v>21</v>
      </c>
      <c r="E1782" t="s">
        <v>22</v>
      </c>
      <c r="F1782" t="s">
        <v>22</v>
      </c>
      <c r="G1782">
        <v>0</v>
      </c>
      <c r="H1782">
        <v>126.1</v>
      </c>
      <c r="I1782">
        <v>112</v>
      </c>
      <c r="J1782">
        <v>21.44</v>
      </c>
      <c r="K1782">
        <v>274.7</v>
      </c>
      <c r="L1782">
        <v>126</v>
      </c>
      <c r="M1782">
        <v>23.35</v>
      </c>
      <c r="N1782">
        <v>184.4</v>
      </c>
      <c r="O1782">
        <v>95</v>
      </c>
      <c r="P1782">
        <v>8.3000000000000007</v>
      </c>
      <c r="Q1782">
        <v>9.8000000000000007</v>
      </c>
      <c r="R1782">
        <v>4</v>
      </c>
      <c r="S1782">
        <v>2.65</v>
      </c>
      <c r="T1782">
        <v>1</v>
      </c>
      <c r="U1782" t="s">
        <v>22</v>
      </c>
      <c r="V1782" t="e">
        <f>IF(#REF! = "yes", 1, 0)</f>
        <v>#REF!</v>
      </c>
      <c r="W1782" t="e">
        <f>IF(#REF! &lt;= 1, "0-1 Calls", IF(#REF! &lt;= 3, "2-3 Calls", IF(#REF! &lt;=5, "4-5 Calls", "6+ Calls")))</f>
        <v>#REF!</v>
      </c>
      <c r="X1782" t="e">
        <f>IF(#REF! &lt;= 50, "0-50", IF(#REF! &lt;=100, "51-100", IF(#REF! &lt;= 150, "101-150", "151+")))</f>
        <v>#REF!</v>
      </c>
      <c r="Y1782" t="e">
        <f>IF(#REF! &lt;= 3, "Low Charges", "High Charges")</f>
        <v>#REF!</v>
      </c>
      <c r="Z1782" t="e">
        <f>IF(#REF!&lt;=80,"Low Calls",
IF(#REF!&lt;=120,"Medium Calls","High Calls"))</f>
        <v>#REF!</v>
      </c>
      <c r="AA1782" t="e">
        <f>IF(#REF!&lt;=15,"Low Charges",
IF(#REF!&lt;=20,"Medium Charges","High Charges"))</f>
        <v>#REF!</v>
      </c>
      <c r="AB1782" t="e">
        <f>IF(AND(#REF!&gt;180, #REF!&gt;200), "Heavy Doemstic User", IF(#REF!&gt;10, "Interntional User", IF(AND(#REF!&lt;180, #REF!&lt;200,#REF!&lt;200), "Light User", "Balanced User")))</f>
        <v>#REF!</v>
      </c>
      <c r="AC1782" t="e">
        <f>IF(#REF! = 0, "No Usage", IF(#REF! &lt;= 20, "Low Usage", IF(#REF! &lt;= 40, "Medium Usgae", "High Usage")))</f>
        <v>#REF!</v>
      </c>
      <c r="AD1782" t="e">
        <f>IF(#REF!&lt;=150,"Low Usage", IF(#REF!&lt;=200,"Medium Usage", IF(#REF!&lt;=250,"High Usage","Very High Usage")))</f>
        <v>#REF!</v>
      </c>
      <c r="AE1782" t="e">
        <f>IF(#REF!&lt;=5,"Low Calls", IF(#REF!&lt;=10, "Medium Calls", "High Calls"))</f>
        <v>#REF!</v>
      </c>
      <c r="AF1782" t="e">
        <f xml:space="preserve">
IF(#REF!&gt;=4,4,0)+
IF(#REF!="yes",3,0)+
IF(#REF!="High Charges",3,0)+
IF(#REF!&gt;250,4,0)+
IF(#REF!="no",1,0)+
IF(#REF!="Heavy Domestic User",2,0)</f>
        <v>#REF!</v>
      </c>
      <c r="AG1782" t="e">
        <f>IF(#REF!&gt;=10,"High Risk", IF(#REF!&gt;=5,"Medium Risk","Low Risk"))</f>
        <v>#REF!</v>
      </c>
      <c r="AH1782" t="e">
        <f>#REF! + #REF! + #REF! + #REF!</f>
        <v>#REF!</v>
      </c>
    </row>
    <row r="1783" spans="1:34" x14ac:dyDescent="0.35">
      <c r="A1783">
        <v>1782</v>
      </c>
      <c r="B1783" t="s">
        <v>27</v>
      </c>
      <c r="C1783">
        <v>71</v>
      </c>
      <c r="D1783" t="s">
        <v>28</v>
      </c>
      <c r="E1783" t="s">
        <v>22</v>
      </c>
      <c r="F1783" t="s">
        <v>22</v>
      </c>
      <c r="G1783">
        <v>0</v>
      </c>
      <c r="H1783">
        <v>290.39999999999998</v>
      </c>
      <c r="I1783">
        <v>108</v>
      </c>
      <c r="J1783">
        <v>49.37</v>
      </c>
      <c r="K1783">
        <v>253.9</v>
      </c>
      <c r="L1783">
        <v>92</v>
      </c>
      <c r="M1783">
        <v>21.58</v>
      </c>
      <c r="N1783">
        <v>263.3</v>
      </c>
      <c r="O1783">
        <v>126</v>
      </c>
      <c r="P1783">
        <v>11.85</v>
      </c>
      <c r="Q1783">
        <v>10.1</v>
      </c>
      <c r="R1783">
        <v>5</v>
      </c>
      <c r="S1783">
        <v>2.73</v>
      </c>
      <c r="T1783">
        <v>3</v>
      </c>
      <c r="U1783" t="s">
        <v>23</v>
      </c>
      <c r="V1783" t="e">
        <f>IF(#REF! = "yes", 1, 0)</f>
        <v>#REF!</v>
      </c>
      <c r="W1783" t="e">
        <f>IF(#REF! &lt;= 1, "0-1 Calls", IF(#REF! &lt;= 3, "2-3 Calls", IF(#REF! &lt;=5, "4-5 Calls", "6+ Calls")))</f>
        <v>#REF!</v>
      </c>
      <c r="X1783" t="e">
        <f>IF(#REF! &lt;= 50, "0-50", IF(#REF! &lt;=100, "51-100", IF(#REF! &lt;= 150, "101-150", "151+")))</f>
        <v>#REF!</v>
      </c>
      <c r="Y1783" t="e">
        <f>IF(#REF! &lt;= 3, "Low Charges", "High Charges")</f>
        <v>#REF!</v>
      </c>
      <c r="Z1783" t="e">
        <f>IF(#REF!&lt;=80,"Low Calls",
IF(#REF!&lt;=120,"Medium Calls","High Calls"))</f>
        <v>#REF!</v>
      </c>
      <c r="AA1783" t="e">
        <f>IF(#REF!&lt;=15,"Low Charges",
IF(#REF!&lt;=20,"Medium Charges","High Charges"))</f>
        <v>#REF!</v>
      </c>
      <c r="AB1783" t="e">
        <f>IF(AND(#REF!&gt;180, #REF!&gt;200), "Heavy Doemstic User", IF(#REF!&gt;10, "Interntional User", IF(AND(#REF!&lt;180, #REF!&lt;200,#REF!&lt;200), "Light User", "Balanced User")))</f>
        <v>#REF!</v>
      </c>
      <c r="AC1783" t="e">
        <f>IF(#REF! = 0, "No Usage", IF(#REF! &lt;= 20, "Low Usage", IF(#REF! &lt;= 40, "Medium Usgae", "High Usage")))</f>
        <v>#REF!</v>
      </c>
      <c r="AD1783" t="e">
        <f>IF(#REF!&lt;=150,"Low Usage", IF(#REF!&lt;=200,"Medium Usage", IF(#REF!&lt;=250,"High Usage","Very High Usage")))</f>
        <v>#REF!</v>
      </c>
      <c r="AE1783" t="e">
        <f>IF(#REF!&lt;=5,"Low Calls", IF(#REF!&lt;=10, "Medium Calls", "High Calls"))</f>
        <v>#REF!</v>
      </c>
      <c r="AF1783" t="e">
        <f xml:space="preserve">
IF(#REF!&gt;=4,4,0)+
IF(#REF!="yes",3,0)+
IF(#REF!="High Charges",3,0)+
IF(#REF!&gt;250,4,0)+
IF(#REF!="no",1,0)+
IF(#REF!="Heavy Domestic User",2,0)</f>
        <v>#REF!</v>
      </c>
      <c r="AG1783" t="e">
        <f>IF(#REF!&gt;=10,"High Risk", IF(#REF!&gt;=5,"Medium Risk","Low Risk"))</f>
        <v>#REF!</v>
      </c>
      <c r="AH1783" t="e">
        <f>#REF! + #REF! + #REF! + #REF!</f>
        <v>#REF!</v>
      </c>
    </row>
    <row r="1784" spans="1:34" x14ac:dyDescent="0.35">
      <c r="A1784">
        <v>1783</v>
      </c>
      <c r="B1784" t="s">
        <v>36</v>
      </c>
      <c r="C1784">
        <v>112</v>
      </c>
      <c r="D1784" t="s">
        <v>25</v>
      </c>
      <c r="E1784" t="s">
        <v>22</v>
      </c>
      <c r="F1784" t="s">
        <v>23</v>
      </c>
      <c r="G1784">
        <v>30</v>
      </c>
      <c r="H1784">
        <v>60.6</v>
      </c>
      <c r="I1784">
        <v>113</v>
      </c>
      <c r="J1784">
        <v>10.3</v>
      </c>
      <c r="K1784">
        <v>165.9</v>
      </c>
      <c r="L1784">
        <v>96</v>
      </c>
      <c r="M1784">
        <v>14.1</v>
      </c>
      <c r="N1784">
        <v>132.80000000000001</v>
      </c>
      <c r="O1784">
        <v>99</v>
      </c>
      <c r="P1784">
        <v>5.98</v>
      </c>
      <c r="Q1784">
        <v>13.3</v>
      </c>
      <c r="R1784">
        <v>7</v>
      </c>
      <c r="S1784">
        <v>3.59</v>
      </c>
      <c r="T1784">
        <v>0</v>
      </c>
      <c r="U1784" t="s">
        <v>22</v>
      </c>
      <c r="V1784" t="e">
        <f>IF(#REF! = "yes", 1, 0)</f>
        <v>#REF!</v>
      </c>
      <c r="W1784" t="e">
        <f>IF(#REF! &lt;= 1, "0-1 Calls", IF(#REF! &lt;= 3, "2-3 Calls", IF(#REF! &lt;=5, "4-5 Calls", "6+ Calls")))</f>
        <v>#REF!</v>
      </c>
      <c r="X1784" t="e">
        <f>IF(#REF! &lt;= 50, "0-50", IF(#REF! &lt;=100, "51-100", IF(#REF! &lt;= 150, "101-150", "151+")))</f>
        <v>#REF!</v>
      </c>
      <c r="Y1784" t="e">
        <f>IF(#REF! &lt;= 3, "Low Charges", "High Charges")</f>
        <v>#REF!</v>
      </c>
      <c r="Z1784" t="e">
        <f>IF(#REF!&lt;=80,"Low Calls",
IF(#REF!&lt;=120,"Medium Calls","High Calls"))</f>
        <v>#REF!</v>
      </c>
      <c r="AA1784" t="e">
        <f>IF(#REF!&lt;=15,"Low Charges",
IF(#REF!&lt;=20,"Medium Charges","High Charges"))</f>
        <v>#REF!</v>
      </c>
      <c r="AB1784" t="e">
        <f>IF(AND(#REF!&gt;180, #REF!&gt;200), "Heavy Doemstic User", IF(#REF!&gt;10, "Interntional User", IF(AND(#REF!&lt;180, #REF!&lt;200,#REF!&lt;200), "Light User", "Balanced User")))</f>
        <v>#REF!</v>
      </c>
      <c r="AC1784" t="e">
        <f>IF(#REF! = 0, "No Usage", IF(#REF! &lt;= 20, "Low Usage", IF(#REF! &lt;= 40, "Medium Usgae", "High Usage")))</f>
        <v>#REF!</v>
      </c>
      <c r="AD1784" t="e">
        <f>IF(#REF!&lt;=150,"Low Usage", IF(#REF!&lt;=200,"Medium Usage", IF(#REF!&lt;=250,"High Usage","Very High Usage")))</f>
        <v>#REF!</v>
      </c>
      <c r="AE1784" t="e">
        <f>IF(#REF!&lt;=5,"Low Calls", IF(#REF!&lt;=10, "Medium Calls", "High Calls"))</f>
        <v>#REF!</v>
      </c>
      <c r="AF1784" t="e">
        <f xml:space="preserve">
IF(#REF!&gt;=4,4,0)+
IF(#REF!="yes",3,0)+
IF(#REF!="High Charges",3,0)+
IF(#REF!&gt;250,4,0)+
IF(#REF!="no",1,0)+
IF(#REF!="Heavy Domestic User",2,0)</f>
        <v>#REF!</v>
      </c>
      <c r="AG1784" t="e">
        <f>IF(#REF!&gt;=10,"High Risk", IF(#REF!&gt;=5,"Medium Risk","Low Risk"))</f>
        <v>#REF!</v>
      </c>
      <c r="AH1784" t="e">
        <f>#REF! + #REF! + #REF! + #REF!</f>
        <v>#REF!</v>
      </c>
    </row>
    <row r="1785" spans="1:34" x14ac:dyDescent="0.35">
      <c r="A1785">
        <v>1784</v>
      </c>
      <c r="B1785" t="s">
        <v>47</v>
      </c>
      <c r="C1785">
        <v>110</v>
      </c>
      <c r="D1785" t="s">
        <v>21</v>
      </c>
      <c r="E1785" t="s">
        <v>22</v>
      </c>
      <c r="F1785" t="s">
        <v>22</v>
      </c>
      <c r="G1785">
        <v>0</v>
      </c>
      <c r="H1785">
        <v>148.4</v>
      </c>
      <c r="I1785">
        <v>95</v>
      </c>
      <c r="J1785">
        <v>25.23</v>
      </c>
      <c r="K1785">
        <v>193.8</v>
      </c>
      <c r="L1785">
        <v>98</v>
      </c>
      <c r="M1785">
        <v>16.47</v>
      </c>
      <c r="N1785">
        <v>206</v>
      </c>
      <c r="O1785">
        <v>106</v>
      </c>
      <c r="P1785">
        <v>9.27</v>
      </c>
      <c r="Q1785">
        <v>6.9</v>
      </c>
      <c r="R1785">
        <v>6</v>
      </c>
      <c r="S1785">
        <v>1.86</v>
      </c>
      <c r="T1785">
        <v>0</v>
      </c>
      <c r="U1785" t="s">
        <v>22</v>
      </c>
      <c r="V1785" t="e">
        <f>IF(#REF! = "yes", 1, 0)</f>
        <v>#REF!</v>
      </c>
      <c r="W1785" t="e">
        <f>IF(#REF! &lt;= 1, "0-1 Calls", IF(#REF! &lt;= 3, "2-3 Calls", IF(#REF! &lt;=5, "4-5 Calls", "6+ Calls")))</f>
        <v>#REF!</v>
      </c>
      <c r="X1785" t="e">
        <f>IF(#REF! &lt;= 50, "0-50", IF(#REF! &lt;=100, "51-100", IF(#REF! &lt;= 150, "101-150", "151+")))</f>
        <v>#REF!</v>
      </c>
      <c r="Y1785" t="e">
        <f>IF(#REF! &lt;= 3, "Low Charges", "High Charges")</f>
        <v>#REF!</v>
      </c>
      <c r="Z1785" t="e">
        <f>IF(#REF!&lt;=80,"Low Calls",
IF(#REF!&lt;=120,"Medium Calls","High Calls"))</f>
        <v>#REF!</v>
      </c>
      <c r="AA1785" t="e">
        <f>IF(#REF!&lt;=15,"Low Charges",
IF(#REF!&lt;=20,"Medium Charges","High Charges"))</f>
        <v>#REF!</v>
      </c>
      <c r="AB1785" t="e">
        <f>IF(AND(#REF!&gt;180, #REF!&gt;200), "Heavy Doemstic User", IF(#REF!&gt;10, "Interntional User", IF(AND(#REF!&lt;180, #REF!&lt;200,#REF!&lt;200), "Light User", "Balanced User")))</f>
        <v>#REF!</v>
      </c>
      <c r="AC1785" t="e">
        <f>IF(#REF! = 0, "No Usage", IF(#REF! &lt;= 20, "Low Usage", IF(#REF! &lt;= 40, "Medium Usgae", "High Usage")))</f>
        <v>#REF!</v>
      </c>
      <c r="AD1785" t="e">
        <f>IF(#REF!&lt;=150,"Low Usage", IF(#REF!&lt;=200,"Medium Usage", IF(#REF!&lt;=250,"High Usage","Very High Usage")))</f>
        <v>#REF!</v>
      </c>
      <c r="AE1785" t="e">
        <f>IF(#REF!&lt;=5,"Low Calls", IF(#REF!&lt;=10, "Medium Calls", "High Calls"))</f>
        <v>#REF!</v>
      </c>
      <c r="AF1785" t="e">
        <f xml:space="preserve">
IF(#REF!&gt;=4,4,0)+
IF(#REF!="yes",3,0)+
IF(#REF!="High Charges",3,0)+
IF(#REF!&gt;250,4,0)+
IF(#REF!="no",1,0)+
IF(#REF!="Heavy Domestic User",2,0)</f>
        <v>#REF!</v>
      </c>
      <c r="AG1785" t="e">
        <f>IF(#REF!&gt;=10,"High Risk", IF(#REF!&gt;=5,"Medium Risk","Low Risk"))</f>
        <v>#REF!</v>
      </c>
      <c r="AH1785" t="e">
        <f>#REF! + #REF! + #REF! + #REF!</f>
        <v>#REF!</v>
      </c>
    </row>
    <row r="1786" spans="1:34" x14ac:dyDescent="0.35">
      <c r="A1786">
        <v>1785</v>
      </c>
      <c r="B1786" t="s">
        <v>51</v>
      </c>
      <c r="C1786">
        <v>111</v>
      </c>
      <c r="D1786" t="s">
        <v>21</v>
      </c>
      <c r="E1786" t="s">
        <v>22</v>
      </c>
      <c r="F1786" t="s">
        <v>22</v>
      </c>
      <c r="G1786">
        <v>0</v>
      </c>
      <c r="H1786">
        <v>246.5</v>
      </c>
      <c r="I1786">
        <v>108</v>
      </c>
      <c r="J1786">
        <v>41.91</v>
      </c>
      <c r="K1786">
        <v>216.3</v>
      </c>
      <c r="L1786">
        <v>89</v>
      </c>
      <c r="M1786">
        <v>18.39</v>
      </c>
      <c r="N1786">
        <v>179.6</v>
      </c>
      <c r="O1786">
        <v>99</v>
      </c>
      <c r="P1786">
        <v>8.08</v>
      </c>
      <c r="Q1786">
        <v>12.7</v>
      </c>
      <c r="R1786">
        <v>3</v>
      </c>
      <c r="S1786">
        <v>3.43</v>
      </c>
      <c r="T1786">
        <v>2</v>
      </c>
      <c r="U1786" t="s">
        <v>22</v>
      </c>
      <c r="V1786" t="e">
        <f>IF(#REF! = "yes", 1, 0)</f>
        <v>#REF!</v>
      </c>
      <c r="W1786" t="e">
        <f>IF(#REF! &lt;= 1, "0-1 Calls", IF(#REF! &lt;= 3, "2-3 Calls", IF(#REF! &lt;=5, "4-5 Calls", "6+ Calls")))</f>
        <v>#REF!</v>
      </c>
      <c r="X1786" t="e">
        <f>IF(#REF! &lt;= 50, "0-50", IF(#REF! &lt;=100, "51-100", IF(#REF! &lt;= 150, "101-150", "151+")))</f>
        <v>#REF!</v>
      </c>
      <c r="Y1786" t="e">
        <f>IF(#REF! &lt;= 3, "Low Charges", "High Charges")</f>
        <v>#REF!</v>
      </c>
      <c r="Z1786" t="e">
        <f>IF(#REF!&lt;=80,"Low Calls",
IF(#REF!&lt;=120,"Medium Calls","High Calls"))</f>
        <v>#REF!</v>
      </c>
      <c r="AA1786" t="e">
        <f>IF(#REF!&lt;=15,"Low Charges",
IF(#REF!&lt;=20,"Medium Charges","High Charges"))</f>
        <v>#REF!</v>
      </c>
      <c r="AB1786" t="e">
        <f>IF(AND(#REF!&gt;180, #REF!&gt;200), "Heavy Doemstic User", IF(#REF!&gt;10, "Interntional User", IF(AND(#REF!&lt;180, #REF!&lt;200,#REF!&lt;200), "Light User", "Balanced User")))</f>
        <v>#REF!</v>
      </c>
      <c r="AC1786" t="e">
        <f>IF(#REF! = 0, "No Usage", IF(#REF! &lt;= 20, "Low Usage", IF(#REF! &lt;= 40, "Medium Usgae", "High Usage")))</f>
        <v>#REF!</v>
      </c>
      <c r="AD1786" t="e">
        <f>IF(#REF!&lt;=150,"Low Usage", IF(#REF!&lt;=200,"Medium Usage", IF(#REF!&lt;=250,"High Usage","Very High Usage")))</f>
        <v>#REF!</v>
      </c>
      <c r="AE1786" t="e">
        <f>IF(#REF!&lt;=5,"Low Calls", IF(#REF!&lt;=10, "Medium Calls", "High Calls"))</f>
        <v>#REF!</v>
      </c>
      <c r="AF1786" t="e">
        <f xml:space="preserve">
IF(#REF!&gt;=4,4,0)+
IF(#REF!="yes",3,0)+
IF(#REF!="High Charges",3,0)+
IF(#REF!&gt;250,4,0)+
IF(#REF!="no",1,0)+
IF(#REF!="Heavy Domestic User",2,0)</f>
        <v>#REF!</v>
      </c>
      <c r="AG1786" t="e">
        <f>IF(#REF!&gt;=10,"High Risk", IF(#REF!&gt;=5,"Medium Risk","Low Risk"))</f>
        <v>#REF!</v>
      </c>
      <c r="AH1786" t="e">
        <f>#REF! + #REF! + #REF! + #REF!</f>
        <v>#REF!</v>
      </c>
    </row>
    <row r="1787" spans="1:34" x14ac:dyDescent="0.35">
      <c r="A1787">
        <v>1786</v>
      </c>
      <c r="B1787" t="s">
        <v>46</v>
      </c>
      <c r="C1787">
        <v>74</v>
      </c>
      <c r="D1787" t="s">
        <v>25</v>
      </c>
      <c r="E1787" t="s">
        <v>22</v>
      </c>
      <c r="F1787" t="s">
        <v>22</v>
      </c>
      <c r="G1787">
        <v>0</v>
      </c>
      <c r="H1787">
        <v>298.10000000000002</v>
      </c>
      <c r="I1787">
        <v>112</v>
      </c>
      <c r="J1787">
        <v>50.68</v>
      </c>
      <c r="K1787">
        <v>201.3</v>
      </c>
      <c r="L1787">
        <v>100</v>
      </c>
      <c r="M1787">
        <v>17.11</v>
      </c>
      <c r="N1787">
        <v>214.7</v>
      </c>
      <c r="O1787">
        <v>88</v>
      </c>
      <c r="P1787">
        <v>9.66</v>
      </c>
      <c r="Q1787">
        <v>9.6999999999999993</v>
      </c>
      <c r="R1787">
        <v>4</v>
      </c>
      <c r="S1787">
        <v>2.62</v>
      </c>
      <c r="T1787">
        <v>2</v>
      </c>
      <c r="U1787" t="s">
        <v>23</v>
      </c>
      <c r="V1787" t="e">
        <f>IF(#REF! = "yes", 1, 0)</f>
        <v>#REF!</v>
      </c>
      <c r="W1787" t="e">
        <f>IF(#REF! &lt;= 1, "0-1 Calls", IF(#REF! &lt;= 3, "2-3 Calls", IF(#REF! &lt;=5, "4-5 Calls", "6+ Calls")))</f>
        <v>#REF!</v>
      </c>
      <c r="X1787" t="e">
        <f>IF(#REF! &lt;= 50, "0-50", IF(#REF! &lt;=100, "51-100", IF(#REF! &lt;= 150, "101-150", "151+")))</f>
        <v>#REF!</v>
      </c>
      <c r="Y1787" t="e">
        <f>IF(#REF! &lt;= 3, "Low Charges", "High Charges")</f>
        <v>#REF!</v>
      </c>
      <c r="Z1787" t="e">
        <f>IF(#REF!&lt;=80,"Low Calls",
IF(#REF!&lt;=120,"Medium Calls","High Calls"))</f>
        <v>#REF!</v>
      </c>
      <c r="AA1787" t="e">
        <f>IF(#REF!&lt;=15,"Low Charges",
IF(#REF!&lt;=20,"Medium Charges","High Charges"))</f>
        <v>#REF!</v>
      </c>
      <c r="AB1787" t="e">
        <f>IF(AND(#REF!&gt;180, #REF!&gt;200), "Heavy Doemstic User", IF(#REF!&gt;10, "Interntional User", IF(AND(#REF!&lt;180, #REF!&lt;200,#REF!&lt;200), "Light User", "Balanced User")))</f>
        <v>#REF!</v>
      </c>
      <c r="AC1787" t="e">
        <f>IF(#REF! = 0, "No Usage", IF(#REF! &lt;= 20, "Low Usage", IF(#REF! &lt;= 40, "Medium Usgae", "High Usage")))</f>
        <v>#REF!</v>
      </c>
      <c r="AD1787" t="e">
        <f>IF(#REF!&lt;=150,"Low Usage", IF(#REF!&lt;=200,"Medium Usage", IF(#REF!&lt;=250,"High Usage","Very High Usage")))</f>
        <v>#REF!</v>
      </c>
      <c r="AE1787" t="e">
        <f>IF(#REF!&lt;=5,"Low Calls", IF(#REF!&lt;=10, "Medium Calls", "High Calls"))</f>
        <v>#REF!</v>
      </c>
      <c r="AF1787" t="e">
        <f xml:space="preserve">
IF(#REF!&gt;=4,4,0)+
IF(#REF!="yes",3,0)+
IF(#REF!="High Charges",3,0)+
IF(#REF!&gt;250,4,0)+
IF(#REF!="no",1,0)+
IF(#REF!="Heavy Domestic User",2,0)</f>
        <v>#REF!</v>
      </c>
      <c r="AG1787" t="e">
        <f>IF(#REF!&gt;=10,"High Risk", IF(#REF!&gt;=5,"Medium Risk","Low Risk"))</f>
        <v>#REF!</v>
      </c>
      <c r="AH1787" t="e">
        <f>#REF! + #REF! + #REF! + #REF!</f>
        <v>#REF!</v>
      </c>
    </row>
    <row r="1788" spans="1:34" x14ac:dyDescent="0.35">
      <c r="A1788">
        <v>1787</v>
      </c>
      <c r="B1788" t="s">
        <v>71</v>
      </c>
      <c r="C1788">
        <v>105</v>
      </c>
      <c r="D1788" t="s">
        <v>28</v>
      </c>
      <c r="E1788" t="s">
        <v>22</v>
      </c>
      <c r="F1788" t="s">
        <v>22</v>
      </c>
      <c r="G1788">
        <v>0</v>
      </c>
      <c r="H1788">
        <v>119.3</v>
      </c>
      <c r="I1788">
        <v>82</v>
      </c>
      <c r="J1788">
        <v>20.28</v>
      </c>
      <c r="K1788">
        <v>185.1</v>
      </c>
      <c r="L1788">
        <v>111</v>
      </c>
      <c r="M1788">
        <v>15.73</v>
      </c>
      <c r="N1788">
        <v>157</v>
      </c>
      <c r="O1788">
        <v>74</v>
      </c>
      <c r="P1788">
        <v>7.07</v>
      </c>
      <c r="Q1788">
        <v>10.9</v>
      </c>
      <c r="R1788">
        <v>4</v>
      </c>
      <c r="S1788">
        <v>2.94</v>
      </c>
      <c r="T1788">
        <v>2</v>
      </c>
      <c r="U1788" t="s">
        <v>22</v>
      </c>
      <c r="V1788" t="e">
        <f>IF(#REF! = "yes", 1, 0)</f>
        <v>#REF!</v>
      </c>
      <c r="W1788" t="e">
        <f>IF(#REF! &lt;= 1, "0-1 Calls", IF(#REF! &lt;= 3, "2-3 Calls", IF(#REF! &lt;=5, "4-5 Calls", "6+ Calls")))</f>
        <v>#REF!</v>
      </c>
      <c r="X1788" t="e">
        <f>IF(#REF! &lt;= 50, "0-50", IF(#REF! &lt;=100, "51-100", IF(#REF! &lt;= 150, "101-150", "151+")))</f>
        <v>#REF!</v>
      </c>
      <c r="Y1788" t="e">
        <f>IF(#REF! &lt;= 3, "Low Charges", "High Charges")</f>
        <v>#REF!</v>
      </c>
      <c r="Z1788" t="e">
        <f>IF(#REF!&lt;=80,"Low Calls",
IF(#REF!&lt;=120,"Medium Calls","High Calls"))</f>
        <v>#REF!</v>
      </c>
      <c r="AA1788" t="e">
        <f>IF(#REF!&lt;=15,"Low Charges",
IF(#REF!&lt;=20,"Medium Charges","High Charges"))</f>
        <v>#REF!</v>
      </c>
      <c r="AB1788" t="e">
        <f>IF(AND(#REF!&gt;180, #REF!&gt;200), "Heavy Doemstic User", IF(#REF!&gt;10, "Interntional User", IF(AND(#REF!&lt;180, #REF!&lt;200,#REF!&lt;200), "Light User", "Balanced User")))</f>
        <v>#REF!</v>
      </c>
      <c r="AC1788" t="e">
        <f>IF(#REF! = 0, "No Usage", IF(#REF! &lt;= 20, "Low Usage", IF(#REF! &lt;= 40, "Medium Usgae", "High Usage")))</f>
        <v>#REF!</v>
      </c>
      <c r="AD1788" t="e">
        <f>IF(#REF!&lt;=150,"Low Usage", IF(#REF!&lt;=200,"Medium Usage", IF(#REF!&lt;=250,"High Usage","Very High Usage")))</f>
        <v>#REF!</v>
      </c>
      <c r="AE1788" t="e">
        <f>IF(#REF!&lt;=5,"Low Calls", IF(#REF!&lt;=10, "Medium Calls", "High Calls"))</f>
        <v>#REF!</v>
      </c>
      <c r="AF1788" t="e">
        <f xml:space="preserve">
IF(#REF!&gt;=4,4,0)+
IF(#REF!="yes",3,0)+
IF(#REF!="High Charges",3,0)+
IF(#REF!&gt;250,4,0)+
IF(#REF!="no",1,0)+
IF(#REF!="Heavy Domestic User",2,0)</f>
        <v>#REF!</v>
      </c>
      <c r="AG1788" t="e">
        <f>IF(#REF!&gt;=10,"High Risk", IF(#REF!&gt;=5,"Medium Risk","Low Risk"))</f>
        <v>#REF!</v>
      </c>
      <c r="AH1788" t="e">
        <f>#REF! + #REF! + #REF! + #REF!</f>
        <v>#REF!</v>
      </c>
    </row>
    <row r="1789" spans="1:34" x14ac:dyDescent="0.35">
      <c r="A1789">
        <v>1788</v>
      </c>
      <c r="B1789" t="s">
        <v>36</v>
      </c>
      <c r="C1789">
        <v>40</v>
      </c>
      <c r="D1789" t="s">
        <v>25</v>
      </c>
      <c r="E1789" t="s">
        <v>22</v>
      </c>
      <c r="F1789" t="s">
        <v>22</v>
      </c>
      <c r="G1789">
        <v>0</v>
      </c>
      <c r="H1789">
        <v>242.5</v>
      </c>
      <c r="I1789">
        <v>82</v>
      </c>
      <c r="J1789">
        <v>41.23</v>
      </c>
      <c r="K1789">
        <v>232.9</v>
      </c>
      <c r="L1789">
        <v>97</v>
      </c>
      <c r="M1789">
        <v>19.8</v>
      </c>
      <c r="N1789">
        <v>154</v>
      </c>
      <c r="O1789">
        <v>86</v>
      </c>
      <c r="P1789">
        <v>6.93</v>
      </c>
      <c r="Q1789">
        <v>9.6</v>
      </c>
      <c r="R1789">
        <v>7</v>
      </c>
      <c r="S1789">
        <v>2.59</v>
      </c>
      <c r="T1789">
        <v>0</v>
      </c>
      <c r="U1789" t="s">
        <v>22</v>
      </c>
      <c r="V1789" t="e">
        <f>IF(#REF! = "yes", 1, 0)</f>
        <v>#REF!</v>
      </c>
      <c r="W1789" t="e">
        <f>IF(#REF! &lt;= 1, "0-1 Calls", IF(#REF! &lt;= 3, "2-3 Calls", IF(#REF! &lt;=5, "4-5 Calls", "6+ Calls")))</f>
        <v>#REF!</v>
      </c>
      <c r="X1789" t="e">
        <f>IF(#REF! &lt;= 50, "0-50", IF(#REF! &lt;=100, "51-100", IF(#REF! &lt;= 150, "101-150", "151+")))</f>
        <v>#REF!</v>
      </c>
      <c r="Y1789" t="e">
        <f>IF(#REF! &lt;= 3, "Low Charges", "High Charges")</f>
        <v>#REF!</v>
      </c>
      <c r="Z1789" t="e">
        <f>IF(#REF!&lt;=80,"Low Calls",
IF(#REF!&lt;=120,"Medium Calls","High Calls"))</f>
        <v>#REF!</v>
      </c>
      <c r="AA1789" t="e">
        <f>IF(#REF!&lt;=15,"Low Charges",
IF(#REF!&lt;=20,"Medium Charges","High Charges"))</f>
        <v>#REF!</v>
      </c>
      <c r="AB1789" t="e">
        <f>IF(AND(#REF!&gt;180, #REF!&gt;200), "Heavy Doemstic User", IF(#REF!&gt;10, "Interntional User", IF(AND(#REF!&lt;180, #REF!&lt;200,#REF!&lt;200), "Light User", "Balanced User")))</f>
        <v>#REF!</v>
      </c>
      <c r="AC1789" t="e">
        <f>IF(#REF! = 0, "No Usage", IF(#REF! &lt;= 20, "Low Usage", IF(#REF! &lt;= 40, "Medium Usgae", "High Usage")))</f>
        <v>#REF!</v>
      </c>
      <c r="AD1789" t="e">
        <f>IF(#REF!&lt;=150,"Low Usage", IF(#REF!&lt;=200,"Medium Usage", IF(#REF!&lt;=250,"High Usage","Very High Usage")))</f>
        <v>#REF!</v>
      </c>
      <c r="AE1789" t="e">
        <f>IF(#REF!&lt;=5,"Low Calls", IF(#REF!&lt;=10, "Medium Calls", "High Calls"))</f>
        <v>#REF!</v>
      </c>
      <c r="AF1789" t="e">
        <f xml:space="preserve">
IF(#REF!&gt;=4,4,0)+
IF(#REF!="yes",3,0)+
IF(#REF!="High Charges",3,0)+
IF(#REF!&gt;250,4,0)+
IF(#REF!="no",1,0)+
IF(#REF!="Heavy Domestic User",2,0)</f>
        <v>#REF!</v>
      </c>
      <c r="AG1789" t="e">
        <f>IF(#REF!&gt;=10,"High Risk", IF(#REF!&gt;=5,"Medium Risk","Low Risk"))</f>
        <v>#REF!</v>
      </c>
      <c r="AH1789" t="e">
        <f>#REF! + #REF! + #REF! + #REF!</f>
        <v>#REF!</v>
      </c>
    </row>
    <row r="1790" spans="1:34" x14ac:dyDescent="0.35">
      <c r="A1790">
        <v>1789</v>
      </c>
      <c r="B1790" t="s">
        <v>48</v>
      </c>
      <c r="C1790">
        <v>128</v>
      </c>
      <c r="D1790" t="s">
        <v>25</v>
      </c>
      <c r="E1790" t="s">
        <v>23</v>
      </c>
      <c r="F1790" t="s">
        <v>23</v>
      </c>
      <c r="G1790">
        <v>18</v>
      </c>
      <c r="H1790">
        <v>222.1</v>
      </c>
      <c r="I1790">
        <v>89</v>
      </c>
      <c r="J1790">
        <v>37.76</v>
      </c>
      <c r="K1790">
        <v>160.6</v>
      </c>
      <c r="L1790">
        <v>109</v>
      </c>
      <c r="M1790">
        <v>13.65</v>
      </c>
      <c r="N1790">
        <v>218.8</v>
      </c>
      <c r="O1790">
        <v>102</v>
      </c>
      <c r="P1790">
        <v>9.85</v>
      </c>
      <c r="Q1790">
        <v>13.6</v>
      </c>
      <c r="R1790">
        <v>2</v>
      </c>
      <c r="S1790">
        <v>3.67</v>
      </c>
      <c r="T1790">
        <v>0</v>
      </c>
      <c r="U1790" t="s">
        <v>23</v>
      </c>
      <c r="V1790" t="e">
        <f>IF(#REF! = "yes", 1, 0)</f>
        <v>#REF!</v>
      </c>
      <c r="W1790" t="e">
        <f>IF(#REF! &lt;= 1, "0-1 Calls", IF(#REF! &lt;= 3, "2-3 Calls", IF(#REF! &lt;=5, "4-5 Calls", "6+ Calls")))</f>
        <v>#REF!</v>
      </c>
      <c r="X1790" t="e">
        <f>IF(#REF! &lt;= 50, "0-50", IF(#REF! &lt;=100, "51-100", IF(#REF! &lt;= 150, "101-150", "151+")))</f>
        <v>#REF!</v>
      </c>
      <c r="Y1790" t="e">
        <f>IF(#REF! &lt;= 3, "Low Charges", "High Charges")</f>
        <v>#REF!</v>
      </c>
      <c r="Z1790" t="e">
        <f>IF(#REF!&lt;=80,"Low Calls",
IF(#REF!&lt;=120,"Medium Calls","High Calls"))</f>
        <v>#REF!</v>
      </c>
      <c r="AA1790" t="e">
        <f>IF(#REF!&lt;=15,"Low Charges",
IF(#REF!&lt;=20,"Medium Charges","High Charges"))</f>
        <v>#REF!</v>
      </c>
      <c r="AB1790" t="e">
        <f>IF(AND(#REF!&gt;180, #REF!&gt;200), "Heavy Doemstic User", IF(#REF!&gt;10, "Interntional User", IF(AND(#REF!&lt;180, #REF!&lt;200,#REF!&lt;200), "Light User", "Balanced User")))</f>
        <v>#REF!</v>
      </c>
      <c r="AC1790" t="e">
        <f>IF(#REF! = 0, "No Usage", IF(#REF! &lt;= 20, "Low Usage", IF(#REF! &lt;= 40, "Medium Usgae", "High Usage")))</f>
        <v>#REF!</v>
      </c>
      <c r="AD1790" t="e">
        <f>IF(#REF!&lt;=150,"Low Usage", IF(#REF!&lt;=200,"Medium Usage", IF(#REF!&lt;=250,"High Usage","Very High Usage")))</f>
        <v>#REF!</v>
      </c>
      <c r="AE1790" t="e">
        <f>IF(#REF!&lt;=5,"Low Calls", IF(#REF!&lt;=10, "Medium Calls", "High Calls"))</f>
        <v>#REF!</v>
      </c>
      <c r="AF1790" t="e">
        <f xml:space="preserve">
IF(#REF!&gt;=4,4,0)+
IF(#REF!="yes",3,0)+
IF(#REF!="High Charges",3,0)+
IF(#REF!&gt;250,4,0)+
IF(#REF!="no",1,0)+
IF(#REF!="Heavy Domestic User",2,0)</f>
        <v>#REF!</v>
      </c>
      <c r="AG1790" t="e">
        <f>IF(#REF!&gt;=10,"High Risk", IF(#REF!&gt;=5,"Medium Risk","Low Risk"))</f>
        <v>#REF!</v>
      </c>
      <c r="AH1790" t="e">
        <f>#REF! + #REF! + #REF! + #REF!</f>
        <v>#REF!</v>
      </c>
    </row>
    <row r="1791" spans="1:34" x14ac:dyDescent="0.35">
      <c r="A1791">
        <v>1790</v>
      </c>
      <c r="B1791" t="s">
        <v>60</v>
      </c>
      <c r="C1791">
        <v>123</v>
      </c>
      <c r="D1791" t="s">
        <v>25</v>
      </c>
      <c r="E1791" t="s">
        <v>22</v>
      </c>
      <c r="F1791" t="s">
        <v>22</v>
      </c>
      <c r="G1791">
        <v>0</v>
      </c>
      <c r="H1791">
        <v>236.2</v>
      </c>
      <c r="I1791">
        <v>135</v>
      </c>
      <c r="J1791">
        <v>40.15</v>
      </c>
      <c r="K1791">
        <v>273.89999999999998</v>
      </c>
      <c r="L1791">
        <v>88</v>
      </c>
      <c r="M1791">
        <v>23.28</v>
      </c>
      <c r="N1791">
        <v>227</v>
      </c>
      <c r="O1791">
        <v>77</v>
      </c>
      <c r="P1791">
        <v>10.220000000000001</v>
      </c>
      <c r="Q1791">
        <v>10.1</v>
      </c>
      <c r="R1791">
        <v>6</v>
      </c>
      <c r="S1791">
        <v>2.73</v>
      </c>
      <c r="T1791">
        <v>2</v>
      </c>
      <c r="U1791" t="s">
        <v>23</v>
      </c>
      <c r="V1791" t="e">
        <f>IF(#REF! = "yes", 1, 0)</f>
        <v>#REF!</v>
      </c>
      <c r="W1791" t="e">
        <f>IF(#REF! &lt;= 1, "0-1 Calls", IF(#REF! &lt;= 3, "2-3 Calls", IF(#REF! &lt;=5, "4-5 Calls", "6+ Calls")))</f>
        <v>#REF!</v>
      </c>
      <c r="X1791" t="e">
        <f>IF(#REF! &lt;= 50, "0-50", IF(#REF! &lt;=100, "51-100", IF(#REF! &lt;= 150, "101-150", "151+")))</f>
        <v>#REF!</v>
      </c>
      <c r="Y1791" t="e">
        <f>IF(#REF! &lt;= 3, "Low Charges", "High Charges")</f>
        <v>#REF!</v>
      </c>
      <c r="Z1791" t="e">
        <f>IF(#REF!&lt;=80,"Low Calls",
IF(#REF!&lt;=120,"Medium Calls","High Calls"))</f>
        <v>#REF!</v>
      </c>
      <c r="AA1791" t="e">
        <f>IF(#REF!&lt;=15,"Low Charges",
IF(#REF!&lt;=20,"Medium Charges","High Charges"))</f>
        <v>#REF!</v>
      </c>
      <c r="AB1791" t="e">
        <f>IF(AND(#REF!&gt;180, #REF!&gt;200), "Heavy Doemstic User", IF(#REF!&gt;10, "Interntional User", IF(AND(#REF!&lt;180, #REF!&lt;200,#REF!&lt;200), "Light User", "Balanced User")))</f>
        <v>#REF!</v>
      </c>
      <c r="AC1791" t="e">
        <f>IF(#REF! = 0, "No Usage", IF(#REF! &lt;= 20, "Low Usage", IF(#REF! &lt;= 40, "Medium Usgae", "High Usage")))</f>
        <v>#REF!</v>
      </c>
      <c r="AD1791" t="e">
        <f>IF(#REF!&lt;=150,"Low Usage", IF(#REF!&lt;=200,"Medium Usage", IF(#REF!&lt;=250,"High Usage","Very High Usage")))</f>
        <v>#REF!</v>
      </c>
      <c r="AE1791" t="e">
        <f>IF(#REF!&lt;=5,"Low Calls", IF(#REF!&lt;=10, "Medium Calls", "High Calls"))</f>
        <v>#REF!</v>
      </c>
      <c r="AF1791" t="e">
        <f xml:space="preserve">
IF(#REF!&gt;=4,4,0)+
IF(#REF!="yes",3,0)+
IF(#REF!="High Charges",3,0)+
IF(#REF!&gt;250,4,0)+
IF(#REF!="no",1,0)+
IF(#REF!="Heavy Domestic User",2,0)</f>
        <v>#REF!</v>
      </c>
      <c r="AG1791" t="e">
        <f>IF(#REF!&gt;=10,"High Risk", IF(#REF!&gt;=5,"Medium Risk","Low Risk"))</f>
        <v>#REF!</v>
      </c>
      <c r="AH1791" t="e">
        <f>#REF! + #REF! + #REF! + #REF!</f>
        <v>#REF!</v>
      </c>
    </row>
    <row r="1792" spans="1:34" x14ac:dyDescent="0.35">
      <c r="A1792">
        <v>1791</v>
      </c>
      <c r="B1792" t="s">
        <v>53</v>
      </c>
      <c r="C1792">
        <v>122</v>
      </c>
      <c r="D1792" t="s">
        <v>28</v>
      </c>
      <c r="E1792" t="s">
        <v>22</v>
      </c>
      <c r="F1792" t="s">
        <v>22</v>
      </c>
      <c r="G1792">
        <v>0</v>
      </c>
      <c r="H1792">
        <v>144.19999999999999</v>
      </c>
      <c r="I1792">
        <v>87</v>
      </c>
      <c r="J1792">
        <v>24.51</v>
      </c>
      <c r="K1792">
        <v>212.2</v>
      </c>
      <c r="L1792">
        <v>74</v>
      </c>
      <c r="M1792">
        <v>18.04</v>
      </c>
      <c r="N1792">
        <v>169.3</v>
      </c>
      <c r="O1792">
        <v>87</v>
      </c>
      <c r="P1792">
        <v>7.62</v>
      </c>
      <c r="Q1792">
        <v>9.5</v>
      </c>
      <c r="R1792">
        <v>4</v>
      </c>
      <c r="S1792">
        <v>2.57</v>
      </c>
      <c r="T1792">
        <v>0</v>
      </c>
      <c r="U1792" t="s">
        <v>22</v>
      </c>
      <c r="V1792" t="e">
        <f>IF(#REF! = "yes", 1, 0)</f>
        <v>#REF!</v>
      </c>
      <c r="W1792" t="e">
        <f>IF(#REF! &lt;= 1, "0-1 Calls", IF(#REF! &lt;= 3, "2-3 Calls", IF(#REF! &lt;=5, "4-5 Calls", "6+ Calls")))</f>
        <v>#REF!</v>
      </c>
      <c r="X1792" t="e">
        <f>IF(#REF! &lt;= 50, "0-50", IF(#REF! &lt;=100, "51-100", IF(#REF! &lt;= 150, "101-150", "151+")))</f>
        <v>#REF!</v>
      </c>
      <c r="Y1792" t="e">
        <f>IF(#REF! &lt;= 3, "Low Charges", "High Charges")</f>
        <v>#REF!</v>
      </c>
      <c r="Z1792" t="e">
        <f>IF(#REF!&lt;=80,"Low Calls",
IF(#REF!&lt;=120,"Medium Calls","High Calls"))</f>
        <v>#REF!</v>
      </c>
      <c r="AA1792" t="e">
        <f>IF(#REF!&lt;=15,"Low Charges",
IF(#REF!&lt;=20,"Medium Charges","High Charges"))</f>
        <v>#REF!</v>
      </c>
      <c r="AB1792" t="e">
        <f>IF(AND(#REF!&gt;180, #REF!&gt;200), "Heavy Doemstic User", IF(#REF!&gt;10, "Interntional User", IF(AND(#REF!&lt;180, #REF!&lt;200,#REF!&lt;200), "Light User", "Balanced User")))</f>
        <v>#REF!</v>
      </c>
      <c r="AC1792" t="e">
        <f>IF(#REF! = 0, "No Usage", IF(#REF! &lt;= 20, "Low Usage", IF(#REF! &lt;= 40, "Medium Usgae", "High Usage")))</f>
        <v>#REF!</v>
      </c>
      <c r="AD1792" t="e">
        <f>IF(#REF!&lt;=150,"Low Usage", IF(#REF!&lt;=200,"Medium Usage", IF(#REF!&lt;=250,"High Usage","Very High Usage")))</f>
        <v>#REF!</v>
      </c>
      <c r="AE1792" t="e">
        <f>IF(#REF!&lt;=5,"Low Calls", IF(#REF!&lt;=10, "Medium Calls", "High Calls"))</f>
        <v>#REF!</v>
      </c>
      <c r="AF1792" t="e">
        <f xml:space="preserve">
IF(#REF!&gt;=4,4,0)+
IF(#REF!="yes",3,0)+
IF(#REF!="High Charges",3,0)+
IF(#REF!&gt;250,4,0)+
IF(#REF!="no",1,0)+
IF(#REF!="Heavy Domestic User",2,0)</f>
        <v>#REF!</v>
      </c>
      <c r="AG1792" t="e">
        <f>IF(#REF!&gt;=10,"High Risk", IF(#REF!&gt;=5,"Medium Risk","Low Risk"))</f>
        <v>#REF!</v>
      </c>
      <c r="AH1792" t="e">
        <f>#REF! + #REF! + #REF! + #REF!</f>
        <v>#REF!</v>
      </c>
    </row>
    <row r="1793" spans="1:34" x14ac:dyDescent="0.35">
      <c r="A1793">
        <v>1792</v>
      </c>
      <c r="B1793" t="s">
        <v>37</v>
      </c>
      <c r="C1793">
        <v>114</v>
      </c>
      <c r="D1793" t="s">
        <v>25</v>
      </c>
      <c r="E1793" t="s">
        <v>22</v>
      </c>
      <c r="F1793" t="s">
        <v>23</v>
      </c>
      <c r="G1793">
        <v>19</v>
      </c>
      <c r="H1793">
        <v>154.6</v>
      </c>
      <c r="I1793">
        <v>100</v>
      </c>
      <c r="J1793">
        <v>26.28</v>
      </c>
      <c r="K1793">
        <v>241.6</v>
      </c>
      <c r="L1793">
        <v>109</v>
      </c>
      <c r="M1793">
        <v>20.54</v>
      </c>
      <c r="N1793">
        <v>160</v>
      </c>
      <c r="O1793">
        <v>112</v>
      </c>
      <c r="P1793">
        <v>7.2</v>
      </c>
      <c r="Q1793">
        <v>12.6</v>
      </c>
      <c r="R1793">
        <v>1</v>
      </c>
      <c r="S1793">
        <v>3.4</v>
      </c>
      <c r="T1793">
        <v>3</v>
      </c>
      <c r="U1793" t="s">
        <v>22</v>
      </c>
      <c r="V1793" t="e">
        <f>IF(#REF! = "yes", 1, 0)</f>
        <v>#REF!</v>
      </c>
      <c r="W1793" t="e">
        <f>IF(#REF! &lt;= 1, "0-1 Calls", IF(#REF! &lt;= 3, "2-3 Calls", IF(#REF! &lt;=5, "4-5 Calls", "6+ Calls")))</f>
        <v>#REF!</v>
      </c>
      <c r="X1793" t="e">
        <f>IF(#REF! &lt;= 50, "0-50", IF(#REF! &lt;=100, "51-100", IF(#REF! &lt;= 150, "101-150", "151+")))</f>
        <v>#REF!</v>
      </c>
      <c r="Y1793" t="e">
        <f>IF(#REF! &lt;= 3, "Low Charges", "High Charges")</f>
        <v>#REF!</v>
      </c>
      <c r="Z1793" t="e">
        <f>IF(#REF!&lt;=80,"Low Calls",
IF(#REF!&lt;=120,"Medium Calls","High Calls"))</f>
        <v>#REF!</v>
      </c>
      <c r="AA1793" t="e">
        <f>IF(#REF!&lt;=15,"Low Charges",
IF(#REF!&lt;=20,"Medium Charges","High Charges"))</f>
        <v>#REF!</v>
      </c>
      <c r="AB1793" t="e">
        <f>IF(AND(#REF!&gt;180, #REF!&gt;200), "Heavy Doemstic User", IF(#REF!&gt;10, "Interntional User", IF(AND(#REF!&lt;180, #REF!&lt;200,#REF!&lt;200), "Light User", "Balanced User")))</f>
        <v>#REF!</v>
      </c>
      <c r="AC1793" t="e">
        <f>IF(#REF! = 0, "No Usage", IF(#REF! &lt;= 20, "Low Usage", IF(#REF! &lt;= 40, "Medium Usgae", "High Usage")))</f>
        <v>#REF!</v>
      </c>
      <c r="AD1793" t="e">
        <f>IF(#REF!&lt;=150,"Low Usage", IF(#REF!&lt;=200,"Medium Usage", IF(#REF!&lt;=250,"High Usage","Very High Usage")))</f>
        <v>#REF!</v>
      </c>
      <c r="AE1793" t="e">
        <f>IF(#REF!&lt;=5,"Low Calls", IF(#REF!&lt;=10, "Medium Calls", "High Calls"))</f>
        <v>#REF!</v>
      </c>
      <c r="AF1793" t="e">
        <f xml:space="preserve">
IF(#REF!&gt;=4,4,0)+
IF(#REF!="yes",3,0)+
IF(#REF!="High Charges",3,0)+
IF(#REF!&gt;250,4,0)+
IF(#REF!="no",1,0)+
IF(#REF!="Heavy Domestic User",2,0)</f>
        <v>#REF!</v>
      </c>
      <c r="AG1793" t="e">
        <f>IF(#REF!&gt;=10,"High Risk", IF(#REF!&gt;=5,"Medium Risk","Low Risk"))</f>
        <v>#REF!</v>
      </c>
      <c r="AH1793" t="e">
        <f>#REF! + #REF! + #REF! + #REF!</f>
        <v>#REF!</v>
      </c>
    </row>
    <row r="1794" spans="1:34" x14ac:dyDescent="0.35">
      <c r="A1794">
        <v>1793</v>
      </c>
      <c r="B1794" t="s">
        <v>74</v>
      </c>
      <c r="C1794">
        <v>102</v>
      </c>
      <c r="D1794" t="s">
        <v>21</v>
      </c>
      <c r="E1794" t="s">
        <v>22</v>
      </c>
      <c r="F1794" t="s">
        <v>23</v>
      </c>
      <c r="G1794">
        <v>25</v>
      </c>
      <c r="H1794">
        <v>137.4</v>
      </c>
      <c r="I1794">
        <v>100</v>
      </c>
      <c r="J1794">
        <v>23.36</v>
      </c>
      <c r="K1794">
        <v>176.7</v>
      </c>
      <c r="L1794">
        <v>83</v>
      </c>
      <c r="M1794">
        <v>15.02</v>
      </c>
      <c r="N1794">
        <v>188.2</v>
      </c>
      <c r="O1794">
        <v>93</v>
      </c>
      <c r="P1794">
        <v>8.4700000000000006</v>
      </c>
      <c r="Q1794">
        <v>10.199999999999999</v>
      </c>
      <c r="R1794">
        <v>6</v>
      </c>
      <c r="S1794">
        <v>2.75</v>
      </c>
      <c r="T1794">
        <v>2</v>
      </c>
      <c r="U1794" t="s">
        <v>22</v>
      </c>
      <c r="V1794" t="e">
        <f>IF(#REF! = "yes", 1, 0)</f>
        <v>#REF!</v>
      </c>
      <c r="W1794" t="e">
        <f>IF(#REF! &lt;= 1, "0-1 Calls", IF(#REF! &lt;= 3, "2-3 Calls", IF(#REF! &lt;=5, "4-5 Calls", "6+ Calls")))</f>
        <v>#REF!</v>
      </c>
      <c r="X1794" t="e">
        <f>IF(#REF! &lt;= 50, "0-50", IF(#REF! &lt;=100, "51-100", IF(#REF! &lt;= 150, "101-150", "151+")))</f>
        <v>#REF!</v>
      </c>
      <c r="Y1794" t="e">
        <f>IF(#REF! &lt;= 3, "Low Charges", "High Charges")</f>
        <v>#REF!</v>
      </c>
      <c r="Z1794" t="e">
        <f>IF(#REF!&lt;=80,"Low Calls",
IF(#REF!&lt;=120,"Medium Calls","High Calls"))</f>
        <v>#REF!</v>
      </c>
      <c r="AA1794" t="e">
        <f>IF(#REF!&lt;=15,"Low Charges",
IF(#REF!&lt;=20,"Medium Charges","High Charges"))</f>
        <v>#REF!</v>
      </c>
      <c r="AB1794" t="e">
        <f>IF(AND(#REF!&gt;180, #REF!&gt;200), "Heavy Doemstic User", IF(#REF!&gt;10, "Interntional User", IF(AND(#REF!&lt;180, #REF!&lt;200,#REF!&lt;200), "Light User", "Balanced User")))</f>
        <v>#REF!</v>
      </c>
      <c r="AC1794" t="e">
        <f>IF(#REF! = 0, "No Usage", IF(#REF! &lt;= 20, "Low Usage", IF(#REF! &lt;= 40, "Medium Usgae", "High Usage")))</f>
        <v>#REF!</v>
      </c>
      <c r="AD1794" t="e">
        <f>IF(#REF!&lt;=150,"Low Usage", IF(#REF!&lt;=200,"Medium Usage", IF(#REF!&lt;=250,"High Usage","Very High Usage")))</f>
        <v>#REF!</v>
      </c>
      <c r="AE1794" t="e">
        <f>IF(#REF!&lt;=5,"Low Calls", IF(#REF!&lt;=10, "Medium Calls", "High Calls"))</f>
        <v>#REF!</v>
      </c>
      <c r="AF1794" t="e">
        <f xml:space="preserve">
IF(#REF!&gt;=4,4,0)+
IF(#REF!="yes",3,0)+
IF(#REF!="High Charges",3,0)+
IF(#REF!&gt;250,4,0)+
IF(#REF!="no",1,0)+
IF(#REF!="Heavy Domestic User",2,0)</f>
        <v>#REF!</v>
      </c>
      <c r="AG1794" t="e">
        <f>IF(#REF!&gt;=10,"High Risk", IF(#REF!&gt;=5,"Medium Risk","Low Risk"))</f>
        <v>#REF!</v>
      </c>
      <c r="AH1794" t="e">
        <f>#REF! + #REF! + #REF! + #REF!</f>
        <v>#REF!</v>
      </c>
    </row>
    <row r="1795" spans="1:34" x14ac:dyDescent="0.35">
      <c r="A1795">
        <v>1794</v>
      </c>
      <c r="B1795" t="s">
        <v>58</v>
      </c>
      <c r="C1795">
        <v>126</v>
      </c>
      <c r="D1795" t="s">
        <v>21</v>
      </c>
      <c r="E1795" t="s">
        <v>22</v>
      </c>
      <c r="F1795" t="s">
        <v>22</v>
      </c>
      <c r="G1795">
        <v>0</v>
      </c>
      <c r="H1795">
        <v>103.7</v>
      </c>
      <c r="I1795">
        <v>93</v>
      </c>
      <c r="J1795">
        <v>17.63</v>
      </c>
      <c r="K1795">
        <v>127</v>
      </c>
      <c r="L1795">
        <v>107</v>
      </c>
      <c r="M1795">
        <v>10.8</v>
      </c>
      <c r="N1795">
        <v>329.3</v>
      </c>
      <c r="O1795">
        <v>66</v>
      </c>
      <c r="P1795">
        <v>14.82</v>
      </c>
      <c r="Q1795">
        <v>14.4</v>
      </c>
      <c r="R1795">
        <v>1</v>
      </c>
      <c r="S1795">
        <v>3.89</v>
      </c>
      <c r="T1795">
        <v>0</v>
      </c>
      <c r="U1795" t="s">
        <v>22</v>
      </c>
      <c r="V1795" t="e">
        <f>IF(#REF! = "yes", 1, 0)</f>
        <v>#REF!</v>
      </c>
      <c r="W1795" t="e">
        <f>IF(#REF! &lt;= 1, "0-1 Calls", IF(#REF! &lt;= 3, "2-3 Calls", IF(#REF! &lt;=5, "4-5 Calls", "6+ Calls")))</f>
        <v>#REF!</v>
      </c>
      <c r="X1795" t="e">
        <f>IF(#REF! &lt;= 50, "0-50", IF(#REF! &lt;=100, "51-100", IF(#REF! &lt;= 150, "101-150", "151+")))</f>
        <v>#REF!</v>
      </c>
      <c r="Y1795" t="e">
        <f>IF(#REF! &lt;= 3, "Low Charges", "High Charges")</f>
        <v>#REF!</v>
      </c>
      <c r="Z1795" t="e">
        <f>IF(#REF!&lt;=80,"Low Calls",
IF(#REF!&lt;=120,"Medium Calls","High Calls"))</f>
        <v>#REF!</v>
      </c>
      <c r="AA1795" t="e">
        <f>IF(#REF!&lt;=15,"Low Charges",
IF(#REF!&lt;=20,"Medium Charges","High Charges"))</f>
        <v>#REF!</v>
      </c>
      <c r="AB1795" t="e">
        <f>IF(AND(#REF!&gt;180, #REF!&gt;200), "Heavy Doemstic User", IF(#REF!&gt;10, "Interntional User", IF(AND(#REF!&lt;180, #REF!&lt;200,#REF!&lt;200), "Light User", "Balanced User")))</f>
        <v>#REF!</v>
      </c>
      <c r="AC1795" t="e">
        <f>IF(#REF! = 0, "No Usage", IF(#REF! &lt;= 20, "Low Usage", IF(#REF! &lt;= 40, "Medium Usgae", "High Usage")))</f>
        <v>#REF!</v>
      </c>
      <c r="AD1795" t="e">
        <f>IF(#REF!&lt;=150,"Low Usage", IF(#REF!&lt;=200,"Medium Usage", IF(#REF!&lt;=250,"High Usage","Very High Usage")))</f>
        <v>#REF!</v>
      </c>
      <c r="AE1795" t="e">
        <f>IF(#REF!&lt;=5,"Low Calls", IF(#REF!&lt;=10, "Medium Calls", "High Calls"))</f>
        <v>#REF!</v>
      </c>
      <c r="AF1795" t="e">
        <f xml:space="preserve">
IF(#REF!&gt;=4,4,0)+
IF(#REF!="yes",3,0)+
IF(#REF!="High Charges",3,0)+
IF(#REF!&gt;250,4,0)+
IF(#REF!="no",1,0)+
IF(#REF!="Heavy Domestic User",2,0)</f>
        <v>#REF!</v>
      </c>
      <c r="AG1795" t="e">
        <f>IF(#REF!&gt;=10,"High Risk", IF(#REF!&gt;=5,"Medium Risk","Low Risk"))</f>
        <v>#REF!</v>
      </c>
      <c r="AH1795" t="e">
        <f>#REF! + #REF! + #REF! + #REF!</f>
        <v>#REF!</v>
      </c>
    </row>
    <row r="1796" spans="1:34" x14ac:dyDescent="0.35">
      <c r="A1796">
        <v>1795</v>
      </c>
      <c r="B1796" t="s">
        <v>30</v>
      </c>
      <c r="C1796">
        <v>150</v>
      </c>
      <c r="D1796" t="s">
        <v>21</v>
      </c>
      <c r="E1796" t="s">
        <v>22</v>
      </c>
      <c r="F1796" t="s">
        <v>22</v>
      </c>
      <c r="G1796">
        <v>0</v>
      </c>
      <c r="H1796">
        <v>136.6</v>
      </c>
      <c r="I1796">
        <v>112</v>
      </c>
      <c r="J1796">
        <v>23.22</v>
      </c>
      <c r="K1796">
        <v>209.4</v>
      </c>
      <c r="L1796">
        <v>81</v>
      </c>
      <c r="M1796">
        <v>17.8</v>
      </c>
      <c r="N1796">
        <v>161.1</v>
      </c>
      <c r="O1796">
        <v>78</v>
      </c>
      <c r="P1796">
        <v>7.25</v>
      </c>
      <c r="Q1796">
        <v>12.2</v>
      </c>
      <c r="R1796">
        <v>2</v>
      </c>
      <c r="S1796">
        <v>3.29</v>
      </c>
      <c r="T1796">
        <v>4</v>
      </c>
      <c r="U1796" t="s">
        <v>23</v>
      </c>
      <c r="V1796" t="e">
        <f>IF(#REF! = "yes", 1, 0)</f>
        <v>#REF!</v>
      </c>
      <c r="W1796" t="e">
        <f>IF(#REF! &lt;= 1, "0-1 Calls", IF(#REF! &lt;= 3, "2-3 Calls", IF(#REF! &lt;=5, "4-5 Calls", "6+ Calls")))</f>
        <v>#REF!</v>
      </c>
      <c r="X1796" t="e">
        <f>IF(#REF! &lt;= 50, "0-50", IF(#REF! &lt;=100, "51-100", IF(#REF! &lt;= 150, "101-150", "151+")))</f>
        <v>#REF!</v>
      </c>
      <c r="Y1796" t="e">
        <f>IF(#REF! &lt;= 3, "Low Charges", "High Charges")</f>
        <v>#REF!</v>
      </c>
      <c r="Z1796" t="e">
        <f>IF(#REF!&lt;=80,"Low Calls",
IF(#REF!&lt;=120,"Medium Calls","High Calls"))</f>
        <v>#REF!</v>
      </c>
      <c r="AA1796" t="e">
        <f>IF(#REF!&lt;=15,"Low Charges",
IF(#REF!&lt;=20,"Medium Charges","High Charges"))</f>
        <v>#REF!</v>
      </c>
      <c r="AB1796" t="e">
        <f>IF(AND(#REF!&gt;180, #REF!&gt;200), "Heavy Doemstic User", IF(#REF!&gt;10, "Interntional User", IF(AND(#REF!&lt;180, #REF!&lt;200,#REF!&lt;200), "Light User", "Balanced User")))</f>
        <v>#REF!</v>
      </c>
      <c r="AC1796" t="e">
        <f>IF(#REF! = 0, "No Usage", IF(#REF! &lt;= 20, "Low Usage", IF(#REF! &lt;= 40, "Medium Usgae", "High Usage")))</f>
        <v>#REF!</v>
      </c>
      <c r="AD1796" t="e">
        <f>IF(#REF!&lt;=150,"Low Usage", IF(#REF!&lt;=200,"Medium Usage", IF(#REF!&lt;=250,"High Usage","Very High Usage")))</f>
        <v>#REF!</v>
      </c>
      <c r="AE1796" t="e">
        <f>IF(#REF!&lt;=5,"Low Calls", IF(#REF!&lt;=10, "Medium Calls", "High Calls"))</f>
        <v>#REF!</v>
      </c>
      <c r="AF1796" t="e">
        <f xml:space="preserve">
IF(#REF!&gt;=4,4,0)+
IF(#REF!="yes",3,0)+
IF(#REF!="High Charges",3,0)+
IF(#REF!&gt;250,4,0)+
IF(#REF!="no",1,0)+
IF(#REF!="Heavy Domestic User",2,0)</f>
        <v>#REF!</v>
      </c>
      <c r="AG1796" t="e">
        <f>IF(#REF!&gt;=10,"High Risk", IF(#REF!&gt;=5,"Medium Risk","Low Risk"))</f>
        <v>#REF!</v>
      </c>
      <c r="AH1796" t="e">
        <f>#REF! + #REF! + #REF! + #REF!</f>
        <v>#REF!</v>
      </c>
    </row>
    <row r="1797" spans="1:34" x14ac:dyDescent="0.35">
      <c r="A1797">
        <v>1796</v>
      </c>
      <c r="B1797" t="s">
        <v>24</v>
      </c>
      <c r="C1797">
        <v>60</v>
      </c>
      <c r="D1797" t="s">
        <v>25</v>
      </c>
      <c r="E1797" t="s">
        <v>22</v>
      </c>
      <c r="F1797" t="s">
        <v>22</v>
      </c>
      <c r="G1797">
        <v>0</v>
      </c>
      <c r="H1797">
        <v>289.8</v>
      </c>
      <c r="I1797">
        <v>101</v>
      </c>
      <c r="J1797">
        <v>49.27</v>
      </c>
      <c r="K1797">
        <v>255.6</v>
      </c>
      <c r="L1797">
        <v>115</v>
      </c>
      <c r="M1797">
        <v>21.73</v>
      </c>
      <c r="N1797">
        <v>242.8</v>
      </c>
      <c r="O1797">
        <v>76</v>
      </c>
      <c r="P1797">
        <v>10.93</v>
      </c>
      <c r="Q1797">
        <v>11.7</v>
      </c>
      <c r="R1797">
        <v>4</v>
      </c>
      <c r="S1797">
        <v>3.16</v>
      </c>
      <c r="T1797">
        <v>2</v>
      </c>
      <c r="U1797" t="s">
        <v>23</v>
      </c>
      <c r="V1797" t="e">
        <f>IF(#REF! = "yes", 1, 0)</f>
        <v>#REF!</v>
      </c>
      <c r="W1797" t="e">
        <f>IF(#REF! &lt;= 1, "0-1 Calls", IF(#REF! &lt;= 3, "2-3 Calls", IF(#REF! &lt;=5, "4-5 Calls", "6+ Calls")))</f>
        <v>#REF!</v>
      </c>
      <c r="X1797" t="e">
        <f>IF(#REF! &lt;= 50, "0-50", IF(#REF! &lt;=100, "51-100", IF(#REF! &lt;= 150, "101-150", "151+")))</f>
        <v>#REF!</v>
      </c>
      <c r="Y1797" t="e">
        <f>IF(#REF! &lt;= 3, "Low Charges", "High Charges")</f>
        <v>#REF!</v>
      </c>
      <c r="Z1797" t="e">
        <f>IF(#REF!&lt;=80,"Low Calls",
IF(#REF!&lt;=120,"Medium Calls","High Calls"))</f>
        <v>#REF!</v>
      </c>
      <c r="AA1797" t="e">
        <f>IF(#REF!&lt;=15,"Low Charges",
IF(#REF!&lt;=20,"Medium Charges","High Charges"))</f>
        <v>#REF!</v>
      </c>
      <c r="AB1797" t="e">
        <f>IF(AND(#REF!&gt;180, #REF!&gt;200), "Heavy Doemstic User", IF(#REF!&gt;10, "Interntional User", IF(AND(#REF!&lt;180, #REF!&lt;200,#REF!&lt;200), "Light User", "Balanced User")))</f>
        <v>#REF!</v>
      </c>
      <c r="AC1797" t="e">
        <f>IF(#REF! = 0, "No Usage", IF(#REF! &lt;= 20, "Low Usage", IF(#REF! &lt;= 40, "Medium Usgae", "High Usage")))</f>
        <v>#REF!</v>
      </c>
      <c r="AD1797" t="e">
        <f>IF(#REF!&lt;=150,"Low Usage", IF(#REF!&lt;=200,"Medium Usage", IF(#REF!&lt;=250,"High Usage","Very High Usage")))</f>
        <v>#REF!</v>
      </c>
      <c r="AE1797" t="e">
        <f>IF(#REF!&lt;=5,"Low Calls", IF(#REF!&lt;=10, "Medium Calls", "High Calls"))</f>
        <v>#REF!</v>
      </c>
      <c r="AF1797" t="e">
        <f xml:space="preserve">
IF(#REF!&gt;=4,4,0)+
IF(#REF!="yes",3,0)+
IF(#REF!="High Charges",3,0)+
IF(#REF!&gt;250,4,0)+
IF(#REF!="no",1,0)+
IF(#REF!="Heavy Domestic User",2,0)</f>
        <v>#REF!</v>
      </c>
      <c r="AG1797" t="e">
        <f>IF(#REF!&gt;=10,"High Risk", IF(#REF!&gt;=5,"Medium Risk","Low Risk"))</f>
        <v>#REF!</v>
      </c>
      <c r="AH1797" t="e">
        <f>#REF! + #REF! + #REF! + #REF!</f>
        <v>#REF!</v>
      </c>
    </row>
    <row r="1798" spans="1:34" x14ac:dyDescent="0.35">
      <c r="A1798">
        <v>1797</v>
      </c>
      <c r="B1798" t="s">
        <v>39</v>
      </c>
      <c r="C1798">
        <v>123</v>
      </c>
      <c r="D1798" t="s">
        <v>25</v>
      </c>
      <c r="E1798" t="s">
        <v>22</v>
      </c>
      <c r="F1798" t="s">
        <v>22</v>
      </c>
      <c r="G1798">
        <v>0</v>
      </c>
      <c r="H1798">
        <v>260.89999999999998</v>
      </c>
      <c r="I1798">
        <v>85</v>
      </c>
      <c r="J1798">
        <v>44.35</v>
      </c>
      <c r="K1798">
        <v>168.5</v>
      </c>
      <c r="L1798">
        <v>103</v>
      </c>
      <c r="M1798">
        <v>14.32</v>
      </c>
      <c r="N1798">
        <v>178.3</v>
      </c>
      <c r="O1798">
        <v>91</v>
      </c>
      <c r="P1798">
        <v>8.02</v>
      </c>
      <c r="Q1798">
        <v>13.3</v>
      </c>
      <c r="R1798">
        <v>5</v>
      </c>
      <c r="S1798">
        <v>3.59</v>
      </c>
      <c r="T1798">
        <v>3</v>
      </c>
      <c r="U1798" t="s">
        <v>22</v>
      </c>
      <c r="V1798" t="e">
        <f>IF(#REF! = "yes", 1, 0)</f>
        <v>#REF!</v>
      </c>
      <c r="W1798" t="e">
        <f>IF(#REF! &lt;= 1, "0-1 Calls", IF(#REF! &lt;= 3, "2-3 Calls", IF(#REF! &lt;=5, "4-5 Calls", "6+ Calls")))</f>
        <v>#REF!</v>
      </c>
      <c r="X1798" t="e">
        <f>IF(#REF! &lt;= 50, "0-50", IF(#REF! &lt;=100, "51-100", IF(#REF! &lt;= 150, "101-150", "151+")))</f>
        <v>#REF!</v>
      </c>
      <c r="Y1798" t="e">
        <f>IF(#REF! &lt;= 3, "Low Charges", "High Charges")</f>
        <v>#REF!</v>
      </c>
      <c r="Z1798" t="e">
        <f>IF(#REF!&lt;=80,"Low Calls",
IF(#REF!&lt;=120,"Medium Calls","High Calls"))</f>
        <v>#REF!</v>
      </c>
      <c r="AA1798" t="e">
        <f>IF(#REF!&lt;=15,"Low Charges",
IF(#REF!&lt;=20,"Medium Charges","High Charges"))</f>
        <v>#REF!</v>
      </c>
      <c r="AB1798" t="e">
        <f>IF(AND(#REF!&gt;180, #REF!&gt;200), "Heavy Doemstic User", IF(#REF!&gt;10, "Interntional User", IF(AND(#REF!&lt;180, #REF!&lt;200,#REF!&lt;200), "Light User", "Balanced User")))</f>
        <v>#REF!</v>
      </c>
      <c r="AC1798" t="e">
        <f>IF(#REF! = 0, "No Usage", IF(#REF! &lt;= 20, "Low Usage", IF(#REF! &lt;= 40, "Medium Usgae", "High Usage")))</f>
        <v>#REF!</v>
      </c>
      <c r="AD1798" t="e">
        <f>IF(#REF!&lt;=150,"Low Usage", IF(#REF!&lt;=200,"Medium Usage", IF(#REF!&lt;=250,"High Usage","Very High Usage")))</f>
        <v>#REF!</v>
      </c>
      <c r="AE1798" t="e">
        <f>IF(#REF!&lt;=5,"Low Calls", IF(#REF!&lt;=10, "Medium Calls", "High Calls"))</f>
        <v>#REF!</v>
      </c>
      <c r="AF1798" t="e">
        <f xml:space="preserve">
IF(#REF!&gt;=4,4,0)+
IF(#REF!="yes",3,0)+
IF(#REF!="High Charges",3,0)+
IF(#REF!&gt;250,4,0)+
IF(#REF!="no",1,0)+
IF(#REF!="Heavy Domestic User",2,0)</f>
        <v>#REF!</v>
      </c>
      <c r="AG1798" t="e">
        <f>IF(#REF!&gt;=10,"High Risk", IF(#REF!&gt;=5,"Medium Risk","Low Risk"))</f>
        <v>#REF!</v>
      </c>
      <c r="AH1798" t="e">
        <f>#REF! + #REF! + #REF! + #REF!</f>
        <v>#REF!</v>
      </c>
    </row>
    <row r="1799" spans="1:34" x14ac:dyDescent="0.35">
      <c r="A1799">
        <v>1798</v>
      </c>
      <c r="B1799" t="s">
        <v>49</v>
      </c>
      <c r="C1799">
        <v>29</v>
      </c>
      <c r="D1799" t="s">
        <v>28</v>
      </c>
      <c r="E1799" t="s">
        <v>22</v>
      </c>
      <c r="F1799" t="s">
        <v>22</v>
      </c>
      <c r="G1799">
        <v>0</v>
      </c>
      <c r="H1799">
        <v>195.6</v>
      </c>
      <c r="I1799">
        <v>71</v>
      </c>
      <c r="J1799">
        <v>33.25</v>
      </c>
      <c r="K1799">
        <v>126.4</v>
      </c>
      <c r="L1799">
        <v>74</v>
      </c>
      <c r="M1799">
        <v>10.74</v>
      </c>
      <c r="N1799">
        <v>148.6</v>
      </c>
      <c r="O1799">
        <v>87</v>
      </c>
      <c r="P1799">
        <v>6.69</v>
      </c>
      <c r="Q1799">
        <v>14.2</v>
      </c>
      <c r="R1799">
        <v>4</v>
      </c>
      <c r="S1799">
        <v>3.83</v>
      </c>
      <c r="T1799">
        <v>1</v>
      </c>
      <c r="U1799" t="s">
        <v>22</v>
      </c>
      <c r="V1799" t="e">
        <f>IF(#REF! = "yes", 1, 0)</f>
        <v>#REF!</v>
      </c>
      <c r="W1799" t="e">
        <f>IF(#REF! &lt;= 1, "0-1 Calls", IF(#REF! &lt;= 3, "2-3 Calls", IF(#REF! &lt;=5, "4-5 Calls", "6+ Calls")))</f>
        <v>#REF!</v>
      </c>
      <c r="X1799" t="e">
        <f>IF(#REF! &lt;= 50, "0-50", IF(#REF! &lt;=100, "51-100", IF(#REF! &lt;= 150, "101-150", "151+")))</f>
        <v>#REF!</v>
      </c>
      <c r="Y1799" t="e">
        <f>IF(#REF! &lt;= 3, "Low Charges", "High Charges")</f>
        <v>#REF!</v>
      </c>
      <c r="Z1799" t="e">
        <f>IF(#REF!&lt;=80,"Low Calls",
IF(#REF!&lt;=120,"Medium Calls","High Calls"))</f>
        <v>#REF!</v>
      </c>
      <c r="AA1799" t="e">
        <f>IF(#REF!&lt;=15,"Low Charges",
IF(#REF!&lt;=20,"Medium Charges","High Charges"))</f>
        <v>#REF!</v>
      </c>
      <c r="AB1799" t="e">
        <f>IF(AND(#REF!&gt;180, #REF!&gt;200), "Heavy Doemstic User", IF(#REF!&gt;10, "Interntional User", IF(AND(#REF!&lt;180, #REF!&lt;200,#REF!&lt;200), "Light User", "Balanced User")))</f>
        <v>#REF!</v>
      </c>
      <c r="AC1799" t="e">
        <f>IF(#REF! = 0, "No Usage", IF(#REF! &lt;= 20, "Low Usage", IF(#REF! &lt;= 40, "Medium Usgae", "High Usage")))</f>
        <v>#REF!</v>
      </c>
      <c r="AD1799" t="e">
        <f>IF(#REF!&lt;=150,"Low Usage", IF(#REF!&lt;=200,"Medium Usage", IF(#REF!&lt;=250,"High Usage","Very High Usage")))</f>
        <v>#REF!</v>
      </c>
      <c r="AE1799" t="e">
        <f>IF(#REF!&lt;=5,"Low Calls", IF(#REF!&lt;=10, "Medium Calls", "High Calls"))</f>
        <v>#REF!</v>
      </c>
      <c r="AF1799" t="e">
        <f xml:space="preserve">
IF(#REF!&gt;=4,4,0)+
IF(#REF!="yes",3,0)+
IF(#REF!="High Charges",3,0)+
IF(#REF!&gt;250,4,0)+
IF(#REF!="no",1,0)+
IF(#REF!="Heavy Domestic User",2,0)</f>
        <v>#REF!</v>
      </c>
      <c r="AG1799" t="e">
        <f>IF(#REF!&gt;=10,"High Risk", IF(#REF!&gt;=5,"Medium Risk","Low Risk"))</f>
        <v>#REF!</v>
      </c>
      <c r="AH1799" t="e">
        <f>#REF! + #REF! + #REF! + #REF!</f>
        <v>#REF!</v>
      </c>
    </row>
    <row r="1800" spans="1:34" x14ac:dyDescent="0.35">
      <c r="A1800">
        <v>1799</v>
      </c>
      <c r="B1800" t="s">
        <v>44</v>
      </c>
      <c r="C1800">
        <v>111</v>
      </c>
      <c r="D1800" t="s">
        <v>21</v>
      </c>
      <c r="E1800" t="s">
        <v>22</v>
      </c>
      <c r="F1800" t="s">
        <v>22</v>
      </c>
      <c r="G1800">
        <v>0</v>
      </c>
      <c r="H1800">
        <v>222.2</v>
      </c>
      <c r="I1800">
        <v>96</v>
      </c>
      <c r="J1800">
        <v>37.770000000000003</v>
      </c>
      <c r="K1800">
        <v>162.5</v>
      </c>
      <c r="L1800">
        <v>111</v>
      </c>
      <c r="M1800">
        <v>13.81</v>
      </c>
      <c r="N1800">
        <v>184.9</v>
      </c>
      <c r="O1800">
        <v>120</v>
      </c>
      <c r="P1800">
        <v>8.32</v>
      </c>
      <c r="Q1800">
        <v>11.9</v>
      </c>
      <c r="R1800">
        <v>7</v>
      </c>
      <c r="S1800">
        <v>3.21</v>
      </c>
      <c r="T1800">
        <v>4</v>
      </c>
      <c r="U1800" t="s">
        <v>22</v>
      </c>
      <c r="V1800" t="e">
        <f>IF(#REF! = "yes", 1, 0)</f>
        <v>#REF!</v>
      </c>
      <c r="W1800" t="e">
        <f>IF(#REF! &lt;= 1, "0-1 Calls", IF(#REF! &lt;= 3, "2-3 Calls", IF(#REF! &lt;=5, "4-5 Calls", "6+ Calls")))</f>
        <v>#REF!</v>
      </c>
      <c r="X1800" t="e">
        <f>IF(#REF! &lt;= 50, "0-50", IF(#REF! &lt;=100, "51-100", IF(#REF! &lt;= 150, "101-150", "151+")))</f>
        <v>#REF!</v>
      </c>
      <c r="Y1800" t="e">
        <f>IF(#REF! &lt;= 3, "Low Charges", "High Charges")</f>
        <v>#REF!</v>
      </c>
      <c r="Z1800" t="e">
        <f>IF(#REF!&lt;=80,"Low Calls",
IF(#REF!&lt;=120,"Medium Calls","High Calls"))</f>
        <v>#REF!</v>
      </c>
      <c r="AA1800" t="e">
        <f>IF(#REF!&lt;=15,"Low Charges",
IF(#REF!&lt;=20,"Medium Charges","High Charges"))</f>
        <v>#REF!</v>
      </c>
      <c r="AB1800" t="e">
        <f>IF(AND(#REF!&gt;180, #REF!&gt;200), "Heavy Doemstic User", IF(#REF!&gt;10, "Interntional User", IF(AND(#REF!&lt;180, #REF!&lt;200,#REF!&lt;200), "Light User", "Balanced User")))</f>
        <v>#REF!</v>
      </c>
      <c r="AC1800" t="e">
        <f>IF(#REF! = 0, "No Usage", IF(#REF! &lt;= 20, "Low Usage", IF(#REF! &lt;= 40, "Medium Usgae", "High Usage")))</f>
        <v>#REF!</v>
      </c>
      <c r="AD1800" t="e">
        <f>IF(#REF!&lt;=150,"Low Usage", IF(#REF!&lt;=200,"Medium Usage", IF(#REF!&lt;=250,"High Usage","Very High Usage")))</f>
        <v>#REF!</v>
      </c>
      <c r="AE1800" t="e">
        <f>IF(#REF!&lt;=5,"Low Calls", IF(#REF!&lt;=10, "Medium Calls", "High Calls"))</f>
        <v>#REF!</v>
      </c>
      <c r="AF1800" t="e">
        <f xml:space="preserve">
IF(#REF!&gt;=4,4,0)+
IF(#REF!="yes",3,0)+
IF(#REF!="High Charges",3,0)+
IF(#REF!&gt;250,4,0)+
IF(#REF!="no",1,0)+
IF(#REF!="Heavy Domestic User",2,0)</f>
        <v>#REF!</v>
      </c>
      <c r="AG1800" t="e">
        <f>IF(#REF!&gt;=10,"High Risk", IF(#REF!&gt;=5,"Medium Risk","Low Risk"))</f>
        <v>#REF!</v>
      </c>
      <c r="AH1800" t="e">
        <f>#REF! + #REF! + #REF! + #REF!</f>
        <v>#REF!</v>
      </c>
    </row>
    <row r="1801" spans="1:34" x14ac:dyDescent="0.35">
      <c r="A1801">
        <v>1800</v>
      </c>
      <c r="B1801" t="s">
        <v>39</v>
      </c>
      <c r="C1801">
        <v>37</v>
      </c>
      <c r="D1801" t="s">
        <v>28</v>
      </c>
      <c r="E1801" t="s">
        <v>23</v>
      </c>
      <c r="F1801" t="s">
        <v>22</v>
      </c>
      <c r="G1801">
        <v>0</v>
      </c>
      <c r="H1801">
        <v>172.9</v>
      </c>
      <c r="I1801">
        <v>119</v>
      </c>
      <c r="J1801">
        <v>29.39</v>
      </c>
      <c r="K1801">
        <v>183</v>
      </c>
      <c r="L1801">
        <v>86</v>
      </c>
      <c r="M1801">
        <v>15.56</v>
      </c>
      <c r="N1801">
        <v>226.4</v>
      </c>
      <c r="O1801">
        <v>100</v>
      </c>
      <c r="P1801">
        <v>10.19</v>
      </c>
      <c r="Q1801">
        <v>9.8000000000000007</v>
      </c>
      <c r="R1801">
        <v>1</v>
      </c>
      <c r="S1801">
        <v>2.65</v>
      </c>
      <c r="T1801">
        <v>0</v>
      </c>
      <c r="U1801" t="s">
        <v>23</v>
      </c>
      <c r="V1801" t="e">
        <f>IF(#REF! = "yes", 1, 0)</f>
        <v>#REF!</v>
      </c>
      <c r="W1801" t="e">
        <f>IF(#REF! &lt;= 1, "0-1 Calls", IF(#REF! &lt;= 3, "2-3 Calls", IF(#REF! &lt;=5, "4-5 Calls", "6+ Calls")))</f>
        <v>#REF!</v>
      </c>
      <c r="X1801" t="e">
        <f>IF(#REF! &lt;= 50, "0-50", IF(#REF! &lt;=100, "51-100", IF(#REF! &lt;= 150, "101-150", "151+")))</f>
        <v>#REF!</v>
      </c>
      <c r="Y1801" t="e">
        <f>IF(#REF! &lt;= 3, "Low Charges", "High Charges")</f>
        <v>#REF!</v>
      </c>
      <c r="Z1801" t="e">
        <f>IF(#REF!&lt;=80,"Low Calls",
IF(#REF!&lt;=120,"Medium Calls","High Calls"))</f>
        <v>#REF!</v>
      </c>
      <c r="AA1801" t="e">
        <f>IF(#REF!&lt;=15,"Low Charges",
IF(#REF!&lt;=20,"Medium Charges","High Charges"))</f>
        <v>#REF!</v>
      </c>
      <c r="AB1801" t="e">
        <f>IF(AND(#REF!&gt;180, #REF!&gt;200), "Heavy Doemstic User", IF(#REF!&gt;10, "Interntional User", IF(AND(#REF!&lt;180, #REF!&lt;200,#REF!&lt;200), "Light User", "Balanced User")))</f>
        <v>#REF!</v>
      </c>
      <c r="AC1801" t="e">
        <f>IF(#REF! = 0, "No Usage", IF(#REF! &lt;= 20, "Low Usage", IF(#REF! &lt;= 40, "Medium Usgae", "High Usage")))</f>
        <v>#REF!</v>
      </c>
      <c r="AD1801" t="e">
        <f>IF(#REF!&lt;=150,"Low Usage", IF(#REF!&lt;=200,"Medium Usage", IF(#REF!&lt;=250,"High Usage","Very High Usage")))</f>
        <v>#REF!</v>
      </c>
      <c r="AE1801" t="e">
        <f>IF(#REF!&lt;=5,"Low Calls", IF(#REF!&lt;=10, "Medium Calls", "High Calls"))</f>
        <v>#REF!</v>
      </c>
      <c r="AF1801" t="e">
        <f xml:space="preserve">
IF(#REF!&gt;=4,4,0)+
IF(#REF!="yes",3,0)+
IF(#REF!="High Charges",3,0)+
IF(#REF!&gt;250,4,0)+
IF(#REF!="no",1,0)+
IF(#REF!="Heavy Domestic User",2,0)</f>
        <v>#REF!</v>
      </c>
      <c r="AG1801" t="e">
        <f>IF(#REF!&gt;=10,"High Risk", IF(#REF!&gt;=5,"Medium Risk","Low Risk"))</f>
        <v>#REF!</v>
      </c>
      <c r="AH1801" t="e">
        <f>#REF! + #REF! + #REF! + #REF!</f>
        <v>#REF!</v>
      </c>
    </row>
    <row r="1802" spans="1:34" x14ac:dyDescent="0.35">
      <c r="A1802">
        <v>1801</v>
      </c>
      <c r="B1802" t="s">
        <v>56</v>
      </c>
      <c r="C1802">
        <v>111</v>
      </c>
      <c r="D1802" t="s">
        <v>25</v>
      </c>
      <c r="E1802" t="s">
        <v>22</v>
      </c>
      <c r="F1802" t="s">
        <v>22</v>
      </c>
      <c r="G1802">
        <v>0</v>
      </c>
      <c r="H1802">
        <v>249.8</v>
      </c>
      <c r="I1802">
        <v>109</v>
      </c>
      <c r="J1802">
        <v>42.47</v>
      </c>
      <c r="K1802">
        <v>242.4</v>
      </c>
      <c r="L1802">
        <v>106</v>
      </c>
      <c r="M1802">
        <v>20.6</v>
      </c>
      <c r="N1802">
        <v>231.8</v>
      </c>
      <c r="O1802">
        <v>78</v>
      </c>
      <c r="P1802">
        <v>10.43</v>
      </c>
      <c r="Q1802">
        <v>11.6</v>
      </c>
      <c r="R1802">
        <v>4</v>
      </c>
      <c r="S1802">
        <v>3.13</v>
      </c>
      <c r="T1802">
        <v>0</v>
      </c>
      <c r="U1802" t="s">
        <v>23</v>
      </c>
      <c r="V1802" t="e">
        <f>IF(#REF! = "yes", 1, 0)</f>
        <v>#REF!</v>
      </c>
      <c r="W1802" t="e">
        <f>IF(#REF! &lt;= 1, "0-1 Calls", IF(#REF! &lt;= 3, "2-3 Calls", IF(#REF! &lt;=5, "4-5 Calls", "6+ Calls")))</f>
        <v>#REF!</v>
      </c>
      <c r="X1802" t="e">
        <f>IF(#REF! &lt;= 50, "0-50", IF(#REF! &lt;=100, "51-100", IF(#REF! &lt;= 150, "101-150", "151+")))</f>
        <v>#REF!</v>
      </c>
      <c r="Y1802" t="e">
        <f>IF(#REF! &lt;= 3, "Low Charges", "High Charges")</f>
        <v>#REF!</v>
      </c>
      <c r="Z1802" t="e">
        <f>IF(#REF!&lt;=80,"Low Calls",
IF(#REF!&lt;=120,"Medium Calls","High Calls"))</f>
        <v>#REF!</v>
      </c>
      <c r="AA1802" t="e">
        <f>IF(#REF!&lt;=15,"Low Charges",
IF(#REF!&lt;=20,"Medium Charges","High Charges"))</f>
        <v>#REF!</v>
      </c>
      <c r="AB1802" t="e">
        <f>IF(AND(#REF!&gt;180, #REF!&gt;200), "Heavy Doemstic User", IF(#REF!&gt;10, "Interntional User", IF(AND(#REF!&lt;180, #REF!&lt;200,#REF!&lt;200), "Light User", "Balanced User")))</f>
        <v>#REF!</v>
      </c>
      <c r="AC1802" t="e">
        <f>IF(#REF! = 0, "No Usage", IF(#REF! &lt;= 20, "Low Usage", IF(#REF! &lt;= 40, "Medium Usgae", "High Usage")))</f>
        <v>#REF!</v>
      </c>
      <c r="AD1802" t="e">
        <f>IF(#REF!&lt;=150,"Low Usage", IF(#REF!&lt;=200,"Medium Usage", IF(#REF!&lt;=250,"High Usage","Very High Usage")))</f>
        <v>#REF!</v>
      </c>
      <c r="AE1802" t="e">
        <f>IF(#REF!&lt;=5,"Low Calls", IF(#REF!&lt;=10, "Medium Calls", "High Calls"))</f>
        <v>#REF!</v>
      </c>
      <c r="AF1802" t="e">
        <f xml:space="preserve">
IF(#REF!&gt;=4,4,0)+
IF(#REF!="yes",3,0)+
IF(#REF!="High Charges",3,0)+
IF(#REF!&gt;250,4,0)+
IF(#REF!="no",1,0)+
IF(#REF!="Heavy Domestic User",2,0)</f>
        <v>#REF!</v>
      </c>
      <c r="AG1802" t="e">
        <f>IF(#REF!&gt;=10,"High Risk", IF(#REF!&gt;=5,"Medium Risk","Low Risk"))</f>
        <v>#REF!</v>
      </c>
      <c r="AH1802" t="e">
        <f>#REF! + #REF! + #REF! + #REF!</f>
        <v>#REF!</v>
      </c>
    </row>
    <row r="1803" spans="1:34" x14ac:dyDescent="0.35">
      <c r="A1803">
        <v>1802</v>
      </c>
      <c r="B1803" t="s">
        <v>55</v>
      </c>
      <c r="C1803">
        <v>81</v>
      </c>
      <c r="D1803" t="s">
        <v>28</v>
      </c>
      <c r="E1803" t="s">
        <v>22</v>
      </c>
      <c r="F1803" t="s">
        <v>22</v>
      </c>
      <c r="G1803">
        <v>0</v>
      </c>
      <c r="H1803">
        <v>154.5</v>
      </c>
      <c r="I1803">
        <v>84</v>
      </c>
      <c r="J1803">
        <v>26.27</v>
      </c>
      <c r="K1803">
        <v>216.2</v>
      </c>
      <c r="L1803">
        <v>91</v>
      </c>
      <c r="M1803">
        <v>18.38</v>
      </c>
      <c r="N1803">
        <v>229.8</v>
      </c>
      <c r="O1803">
        <v>82</v>
      </c>
      <c r="P1803">
        <v>10.34</v>
      </c>
      <c r="Q1803">
        <v>13.7</v>
      </c>
      <c r="R1803">
        <v>3</v>
      </c>
      <c r="S1803">
        <v>3.7</v>
      </c>
      <c r="T1803">
        <v>1</v>
      </c>
      <c r="U1803" t="s">
        <v>22</v>
      </c>
      <c r="V1803" t="e">
        <f>IF(#REF! = "yes", 1, 0)</f>
        <v>#REF!</v>
      </c>
      <c r="W1803" t="e">
        <f>IF(#REF! &lt;= 1, "0-1 Calls", IF(#REF! &lt;= 3, "2-3 Calls", IF(#REF! &lt;=5, "4-5 Calls", "6+ Calls")))</f>
        <v>#REF!</v>
      </c>
      <c r="X1803" t="e">
        <f>IF(#REF! &lt;= 50, "0-50", IF(#REF! &lt;=100, "51-100", IF(#REF! &lt;= 150, "101-150", "151+")))</f>
        <v>#REF!</v>
      </c>
      <c r="Y1803" t="e">
        <f>IF(#REF! &lt;= 3, "Low Charges", "High Charges")</f>
        <v>#REF!</v>
      </c>
      <c r="Z1803" t="e">
        <f>IF(#REF!&lt;=80,"Low Calls",
IF(#REF!&lt;=120,"Medium Calls","High Calls"))</f>
        <v>#REF!</v>
      </c>
      <c r="AA1803" t="e">
        <f>IF(#REF!&lt;=15,"Low Charges",
IF(#REF!&lt;=20,"Medium Charges","High Charges"))</f>
        <v>#REF!</v>
      </c>
      <c r="AB1803" t="e">
        <f>IF(AND(#REF!&gt;180, #REF!&gt;200), "Heavy Doemstic User", IF(#REF!&gt;10, "Interntional User", IF(AND(#REF!&lt;180, #REF!&lt;200,#REF!&lt;200), "Light User", "Balanced User")))</f>
        <v>#REF!</v>
      </c>
      <c r="AC1803" t="e">
        <f>IF(#REF! = 0, "No Usage", IF(#REF! &lt;= 20, "Low Usage", IF(#REF! &lt;= 40, "Medium Usgae", "High Usage")))</f>
        <v>#REF!</v>
      </c>
      <c r="AD1803" t="e">
        <f>IF(#REF!&lt;=150,"Low Usage", IF(#REF!&lt;=200,"Medium Usage", IF(#REF!&lt;=250,"High Usage","Very High Usage")))</f>
        <v>#REF!</v>
      </c>
      <c r="AE1803" t="e">
        <f>IF(#REF!&lt;=5,"Low Calls", IF(#REF!&lt;=10, "Medium Calls", "High Calls"))</f>
        <v>#REF!</v>
      </c>
      <c r="AF1803" t="e">
        <f xml:space="preserve">
IF(#REF!&gt;=4,4,0)+
IF(#REF!="yes",3,0)+
IF(#REF!="High Charges",3,0)+
IF(#REF!&gt;250,4,0)+
IF(#REF!="no",1,0)+
IF(#REF!="Heavy Domestic User",2,0)</f>
        <v>#REF!</v>
      </c>
      <c r="AG1803" t="e">
        <f>IF(#REF!&gt;=10,"High Risk", IF(#REF!&gt;=5,"Medium Risk","Low Risk"))</f>
        <v>#REF!</v>
      </c>
      <c r="AH1803" t="e">
        <f>#REF! + #REF! + #REF! + #REF!</f>
        <v>#REF!</v>
      </c>
    </row>
    <row r="1804" spans="1:34" x14ac:dyDescent="0.35">
      <c r="A1804">
        <v>1803</v>
      </c>
      <c r="B1804" t="s">
        <v>59</v>
      </c>
      <c r="C1804">
        <v>46</v>
      </c>
      <c r="D1804" t="s">
        <v>28</v>
      </c>
      <c r="E1804" t="s">
        <v>22</v>
      </c>
      <c r="F1804" t="s">
        <v>22</v>
      </c>
      <c r="G1804">
        <v>0</v>
      </c>
      <c r="H1804">
        <v>90.4</v>
      </c>
      <c r="I1804">
        <v>108</v>
      </c>
      <c r="J1804">
        <v>15.37</v>
      </c>
      <c r="K1804">
        <v>276.2</v>
      </c>
      <c r="L1804">
        <v>77</v>
      </c>
      <c r="M1804">
        <v>23.48</v>
      </c>
      <c r="N1804">
        <v>146.5</v>
      </c>
      <c r="O1804">
        <v>111</v>
      </c>
      <c r="P1804">
        <v>6.59</v>
      </c>
      <c r="Q1804">
        <v>12.7</v>
      </c>
      <c r="R1804">
        <v>2</v>
      </c>
      <c r="S1804">
        <v>3.43</v>
      </c>
      <c r="T1804">
        <v>1</v>
      </c>
      <c r="U1804" t="s">
        <v>22</v>
      </c>
      <c r="V1804" t="e">
        <f>IF(#REF! = "yes", 1, 0)</f>
        <v>#REF!</v>
      </c>
      <c r="W1804" t="e">
        <f>IF(#REF! &lt;= 1, "0-1 Calls", IF(#REF! &lt;= 3, "2-3 Calls", IF(#REF! &lt;=5, "4-5 Calls", "6+ Calls")))</f>
        <v>#REF!</v>
      </c>
      <c r="X1804" t="e">
        <f>IF(#REF! &lt;= 50, "0-50", IF(#REF! &lt;=100, "51-100", IF(#REF! &lt;= 150, "101-150", "151+")))</f>
        <v>#REF!</v>
      </c>
      <c r="Y1804" t="e">
        <f>IF(#REF! &lt;= 3, "Low Charges", "High Charges")</f>
        <v>#REF!</v>
      </c>
      <c r="Z1804" t="e">
        <f>IF(#REF!&lt;=80,"Low Calls",
IF(#REF!&lt;=120,"Medium Calls","High Calls"))</f>
        <v>#REF!</v>
      </c>
      <c r="AA1804" t="e">
        <f>IF(#REF!&lt;=15,"Low Charges",
IF(#REF!&lt;=20,"Medium Charges","High Charges"))</f>
        <v>#REF!</v>
      </c>
      <c r="AB1804" t="e">
        <f>IF(AND(#REF!&gt;180, #REF!&gt;200), "Heavy Doemstic User", IF(#REF!&gt;10, "Interntional User", IF(AND(#REF!&lt;180, #REF!&lt;200,#REF!&lt;200), "Light User", "Balanced User")))</f>
        <v>#REF!</v>
      </c>
      <c r="AC1804" t="e">
        <f>IF(#REF! = 0, "No Usage", IF(#REF! &lt;= 20, "Low Usage", IF(#REF! &lt;= 40, "Medium Usgae", "High Usage")))</f>
        <v>#REF!</v>
      </c>
      <c r="AD1804" t="e">
        <f>IF(#REF!&lt;=150,"Low Usage", IF(#REF!&lt;=200,"Medium Usage", IF(#REF!&lt;=250,"High Usage","Very High Usage")))</f>
        <v>#REF!</v>
      </c>
      <c r="AE1804" t="e">
        <f>IF(#REF!&lt;=5,"Low Calls", IF(#REF!&lt;=10, "Medium Calls", "High Calls"))</f>
        <v>#REF!</v>
      </c>
      <c r="AF1804" t="e">
        <f xml:space="preserve">
IF(#REF!&gt;=4,4,0)+
IF(#REF!="yes",3,0)+
IF(#REF!="High Charges",3,0)+
IF(#REF!&gt;250,4,0)+
IF(#REF!="no",1,0)+
IF(#REF!="Heavy Domestic User",2,0)</f>
        <v>#REF!</v>
      </c>
      <c r="AG1804" t="e">
        <f>IF(#REF!&gt;=10,"High Risk", IF(#REF!&gt;=5,"Medium Risk","Low Risk"))</f>
        <v>#REF!</v>
      </c>
      <c r="AH1804" t="e">
        <f>#REF! + #REF! + #REF! + #REF!</f>
        <v>#REF!</v>
      </c>
    </row>
    <row r="1805" spans="1:34" x14ac:dyDescent="0.35">
      <c r="A1805">
        <v>1804</v>
      </c>
      <c r="B1805" t="s">
        <v>67</v>
      </c>
      <c r="C1805">
        <v>69</v>
      </c>
      <c r="D1805" t="s">
        <v>28</v>
      </c>
      <c r="E1805" t="s">
        <v>22</v>
      </c>
      <c r="F1805" t="s">
        <v>23</v>
      </c>
      <c r="G1805">
        <v>27</v>
      </c>
      <c r="H1805">
        <v>268.8</v>
      </c>
      <c r="I1805">
        <v>78</v>
      </c>
      <c r="J1805">
        <v>45.7</v>
      </c>
      <c r="K1805">
        <v>246.6</v>
      </c>
      <c r="L1805">
        <v>89</v>
      </c>
      <c r="M1805">
        <v>20.96</v>
      </c>
      <c r="N1805">
        <v>271.89999999999998</v>
      </c>
      <c r="O1805">
        <v>102</v>
      </c>
      <c r="P1805">
        <v>12.24</v>
      </c>
      <c r="Q1805">
        <v>16.399999999999999</v>
      </c>
      <c r="R1805">
        <v>3</v>
      </c>
      <c r="S1805">
        <v>4.43</v>
      </c>
      <c r="T1805">
        <v>0</v>
      </c>
      <c r="U1805" t="s">
        <v>22</v>
      </c>
      <c r="V1805" t="e">
        <f>IF(#REF! = "yes", 1, 0)</f>
        <v>#REF!</v>
      </c>
      <c r="W1805" t="e">
        <f>IF(#REF! &lt;= 1, "0-1 Calls", IF(#REF! &lt;= 3, "2-3 Calls", IF(#REF! &lt;=5, "4-5 Calls", "6+ Calls")))</f>
        <v>#REF!</v>
      </c>
      <c r="X1805" t="e">
        <f>IF(#REF! &lt;= 50, "0-50", IF(#REF! &lt;=100, "51-100", IF(#REF! &lt;= 150, "101-150", "151+")))</f>
        <v>#REF!</v>
      </c>
      <c r="Y1805" t="e">
        <f>IF(#REF! &lt;= 3, "Low Charges", "High Charges")</f>
        <v>#REF!</v>
      </c>
      <c r="Z1805" t="e">
        <f>IF(#REF!&lt;=80,"Low Calls",
IF(#REF!&lt;=120,"Medium Calls","High Calls"))</f>
        <v>#REF!</v>
      </c>
      <c r="AA1805" t="e">
        <f>IF(#REF!&lt;=15,"Low Charges",
IF(#REF!&lt;=20,"Medium Charges","High Charges"))</f>
        <v>#REF!</v>
      </c>
      <c r="AB1805" t="e">
        <f>IF(AND(#REF!&gt;180, #REF!&gt;200), "Heavy Doemstic User", IF(#REF!&gt;10, "Interntional User", IF(AND(#REF!&lt;180, #REF!&lt;200,#REF!&lt;200), "Light User", "Balanced User")))</f>
        <v>#REF!</v>
      </c>
      <c r="AC1805" t="e">
        <f>IF(#REF! = 0, "No Usage", IF(#REF! &lt;= 20, "Low Usage", IF(#REF! &lt;= 40, "Medium Usgae", "High Usage")))</f>
        <v>#REF!</v>
      </c>
      <c r="AD1805" t="e">
        <f>IF(#REF!&lt;=150,"Low Usage", IF(#REF!&lt;=200,"Medium Usage", IF(#REF!&lt;=250,"High Usage","Very High Usage")))</f>
        <v>#REF!</v>
      </c>
      <c r="AE1805" t="e">
        <f>IF(#REF!&lt;=5,"Low Calls", IF(#REF!&lt;=10, "Medium Calls", "High Calls"))</f>
        <v>#REF!</v>
      </c>
      <c r="AF1805" t="e">
        <f xml:space="preserve">
IF(#REF!&gt;=4,4,0)+
IF(#REF!="yes",3,0)+
IF(#REF!="High Charges",3,0)+
IF(#REF!&gt;250,4,0)+
IF(#REF!="no",1,0)+
IF(#REF!="Heavy Domestic User",2,0)</f>
        <v>#REF!</v>
      </c>
      <c r="AG1805" t="e">
        <f>IF(#REF!&gt;=10,"High Risk", IF(#REF!&gt;=5,"Medium Risk","Low Risk"))</f>
        <v>#REF!</v>
      </c>
      <c r="AH1805" t="e">
        <f>#REF! + #REF! + #REF! + #REF!</f>
        <v>#REF!</v>
      </c>
    </row>
    <row r="1806" spans="1:34" x14ac:dyDescent="0.35">
      <c r="A1806">
        <v>1805</v>
      </c>
      <c r="B1806" t="s">
        <v>20</v>
      </c>
      <c r="C1806">
        <v>125</v>
      </c>
      <c r="D1806" t="s">
        <v>25</v>
      </c>
      <c r="E1806" t="s">
        <v>22</v>
      </c>
      <c r="F1806" t="s">
        <v>22</v>
      </c>
      <c r="G1806">
        <v>0</v>
      </c>
      <c r="H1806">
        <v>106.1</v>
      </c>
      <c r="I1806">
        <v>95</v>
      </c>
      <c r="J1806">
        <v>18.04</v>
      </c>
      <c r="K1806">
        <v>157.6</v>
      </c>
      <c r="L1806">
        <v>113</v>
      </c>
      <c r="M1806">
        <v>13.4</v>
      </c>
      <c r="N1806">
        <v>192.5</v>
      </c>
      <c r="O1806">
        <v>69</v>
      </c>
      <c r="P1806">
        <v>8.66</v>
      </c>
      <c r="Q1806">
        <v>8.1</v>
      </c>
      <c r="R1806">
        <v>3</v>
      </c>
      <c r="S1806">
        <v>2.19</v>
      </c>
      <c r="T1806">
        <v>1</v>
      </c>
      <c r="U1806" t="s">
        <v>22</v>
      </c>
      <c r="V1806" t="e">
        <f>IF(#REF! = "yes", 1, 0)</f>
        <v>#REF!</v>
      </c>
      <c r="W1806" t="e">
        <f>IF(#REF! &lt;= 1, "0-1 Calls", IF(#REF! &lt;= 3, "2-3 Calls", IF(#REF! &lt;=5, "4-5 Calls", "6+ Calls")))</f>
        <v>#REF!</v>
      </c>
      <c r="X1806" t="e">
        <f>IF(#REF! &lt;= 50, "0-50", IF(#REF! &lt;=100, "51-100", IF(#REF! &lt;= 150, "101-150", "151+")))</f>
        <v>#REF!</v>
      </c>
      <c r="Y1806" t="e">
        <f>IF(#REF! &lt;= 3, "Low Charges", "High Charges")</f>
        <v>#REF!</v>
      </c>
      <c r="Z1806" t="e">
        <f>IF(#REF!&lt;=80,"Low Calls",
IF(#REF!&lt;=120,"Medium Calls","High Calls"))</f>
        <v>#REF!</v>
      </c>
      <c r="AA1806" t="e">
        <f>IF(#REF!&lt;=15,"Low Charges",
IF(#REF!&lt;=20,"Medium Charges","High Charges"))</f>
        <v>#REF!</v>
      </c>
      <c r="AB1806" t="e">
        <f>IF(AND(#REF!&gt;180, #REF!&gt;200), "Heavy Doemstic User", IF(#REF!&gt;10, "Interntional User", IF(AND(#REF!&lt;180, #REF!&lt;200,#REF!&lt;200), "Light User", "Balanced User")))</f>
        <v>#REF!</v>
      </c>
      <c r="AC1806" t="e">
        <f>IF(#REF! = 0, "No Usage", IF(#REF! &lt;= 20, "Low Usage", IF(#REF! &lt;= 40, "Medium Usgae", "High Usage")))</f>
        <v>#REF!</v>
      </c>
      <c r="AD1806" t="e">
        <f>IF(#REF!&lt;=150,"Low Usage", IF(#REF!&lt;=200,"Medium Usage", IF(#REF!&lt;=250,"High Usage","Very High Usage")))</f>
        <v>#REF!</v>
      </c>
      <c r="AE1806" t="e">
        <f>IF(#REF!&lt;=5,"Low Calls", IF(#REF!&lt;=10, "Medium Calls", "High Calls"))</f>
        <v>#REF!</v>
      </c>
      <c r="AF1806" t="e">
        <f xml:space="preserve">
IF(#REF!&gt;=4,4,0)+
IF(#REF!="yes",3,0)+
IF(#REF!="High Charges",3,0)+
IF(#REF!&gt;250,4,0)+
IF(#REF!="no",1,0)+
IF(#REF!="Heavy Domestic User",2,0)</f>
        <v>#REF!</v>
      </c>
      <c r="AG1806" t="e">
        <f>IF(#REF!&gt;=10,"High Risk", IF(#REF!&gt;=5,"Medium Risk","Low Risk"))</f>
        <v>#REF!</v>
      </c>
      <c r="AH1806" t="e">
        <f>#REF! + #REF! + #REF! + #REF!</f>
        <v>#REF!</v>
      </c>
    </row>
    <row r="1807" spans="1:34" x14ac:dyDescent="0.35">
      <c r="A1807">
        <v>1806</v>
      </c>
      <c r="B1807" t="s">
        <v>70</v>
      </c>
      <c r="C1807">
        <v>43</v>
      </c>
      <c r="D1807" t="s">
        <v>21</v>
      </c>
      <c r="E1807" t="s">
        <v>22</v>
      </c>
      <c r="F1807" t="s">
        <v>22</v>
      </c>
      <c r="G1807">
        <v>0</v>
      </c>
      <c r="H1807">
        <v>27</v>
      </c>
      <c r="I1807">
        <v>117</v>
      </c>
      <c r="J1807">
        <v>4.59</v>
      </c>
      <c r="K1807">
        <v>160.9</v>
      </c>
      <c r="L1807">
        <v>97</v>
      </c>
      <c r="M1807">
        <v>13.68</v>
      </c>
      <c r="N1807">
        <v>279.5</v>
      </c>
      <c r="O1807">
        <v>96</v>
      </c>
      <c r="P1807">
        <v>12.58</v>
      </c>
      <c r="Q1807">
        <v>10.7</v>
      </c>
      <c r="R1807">
        <v>3</v>
      </c>
      <c r="S1807">
        <v>2.89</v>
      </c>
      <c r="T1807">
        <v>3</v>
      </c>
      <c r="U1807" t="s">
        <v>22</v>
      </c>
      <c r="V1807" t="e">
        <f>IF(#REF! = "yes", 1, 0)</f>
        <v>#REF!</v>
      </c>
      <c r="W1807" t="e">
        <f>IF(#REF! &lt;= 1, "0-1 Calls", IF(#REF! &lt;= 3, "2-3 Calls", IF(#REF! &lt;=5, "4-5 Calls", "6+ Calls")))</f>
        <v>#REF!</v>
      </c>
      <c r="X1807" t="e">
        <f>IF(#REF! &lt;= 50, "0-50", IF(#REF! &lt;=100, "51-100", IF(#REF! &lt;= 150, "101-150", "151+")))</f>
        <v>#REF!</v>
      </c>
      <c r="Y1807" t="e">
        <f>IF(#REF! &lt;= 3, "Low Charges", "High Charges")</f>
        <v>#REF!</v>
      </c>
      <c r="Z1807" t="e">
        <f>IF(#REF!&lt;=80,"Low Calls",
IF(#REF!&lt;=120,"Medium Calls","High Calls"))</f>
        <v>#REF!</v>
      </c>
      <c r="AA1807" t="e">
        <f>IF(#REF!&lt;=15,"Low Charges",
IF(#REF!&lt;=20,"Medium Charges","High Charges"))</f>
        <v>#REF!</v>
      </c>
      <c r="AB1807" t="e">
        <f>IF(AND(#REF!&gt;180, #REF!&gt;200), "Heavy Doemstic User", IF(#REF!&gt;10, "Interntional User", IF(AND(#REF!&lt;180, #REF!&lt;200,#REF!&lt;200), "Light User", "Balanced User")))</f>
        <v>#REF!</v>
      </c>
      <c r="AC1807" t="e">
        <f>IF(#REF! = 0, "No Usage", IF(#REF! &lt;= 20, "Low Usage", IF(#REF! &lt;= 40, "Medium Usgae", "High Usage")))</f>
        <v>#REF!</v>
      </c>
      <c r="AD1807" t="e">
        <f>IF(#REF!&lt;=150,"Low Usage", IF(#REF!&lt;=200,"Medium Usage", IF(#REF!&lt;=250,"High Usage","Very High Usage")))</f>
        <v>#REF!</v>
      </c>
      <c r="AE1807" t="e">
        <f>IF(#REF!&lt;=5,"Low Calls", IF(#REF!&lt;=10, "Medium Calls", "High Calls"))</f>
        <v>#REF!</v>
      </c>
      <c r="AF1807" t="e">
        <f xml:space="preserve">
IF(#REF!&gt;=4,4,0)+
IF(#REF!="yes",3,0)+
IF(#REF!="High Charges",3,0)+
IF(#REF!&gt;250,4,0)+
IF(#REF!="no",1,0)+
IF(#REF!="Heavy Domestic User",2,0)</f>
        <v>#REF!</v>
      </c>
      <c r="AG1807" t="e">
        <f>IF(#REF!&gt;=10,"High Risk", IF(#REF!&gt;=5,"Medium Risk","Low Risk"))</f>
        <v>#REF!</v>
      </c>
      <c r="AH1807" t="e">
        <f>#REF! + #REF! + #REF! + #REF!</f>
        <v>#REF!</v>
      </c>
    </row>
    <row r="1808" spans="1:34" x14ac:dyDescent="0.35">
      <c r="A1808">
        <v>1807</v>
      </c>
      <c r="B1808" t="s">
        <v>32</v>
      </c>
      <c r="C1808">
        <v>94</v>
      </c>
      <c r="D1808" t="s">
        <v>28</v>
      </c>
      <c r="E1808" t="s">
        <v>22</v>
      </c>
      <c r="F1808" t="s">
        <v>22</v>
      </c>
      <c r="G1808">
        <v>0</v>
      </c>
      <c r="H1808">
        <v>245</v>
      </c>
      <c r="I1808">
        <v>112</v>
      </c>
      <c r="J1808">
        <v>41.65</v>
      </c>
      <c r="K1808">
        <v>180.4</v>
      </c>
      <c r="L1808">
        <v>91</v>
      </c>
      <c r="M1808">
        <v>15.33</v>
      </c>
      <c r="N1808">
        <v>262.89999999999998</v>
      </c>
      <c r="O1808">
        <v>105</v>
      </c>
      <c r="P1808">
        <v>11.83</v>
      </c>
      <c r="Q1808">
        <v>9.6999999999999993</v>
      </c>
      <c r="R1808">
        <v>6</v>
      </c>
      <c r="S1808">
        <v>2.62</v>
      </c>
      <c r="T1808">
        <v>1</v>
      </c>
      <c r="U1808" t="s">
        <v>22</v>
      </c>
      <c r="V1808" t="e">
        <f>IF(#REF! = "yes", 1, 0)</f>
        <v>#REF!</v>
      </c>
      <c r="W1808" t="e">
        <f>IF(#REF! &lt;= 1, "0-1 Calls", IF(#REF! &lt;= 3, "2-3 Calls", IF(#REF! &lt;=5, "4-5 Calls", "6+ Calls")))</f>
        <v>#REF!</v>
      </c>
      <c r="X1808" t="e">
        <f>IF(#REF! &lt;= 50, "0-50", IF(#REF! &lt;=100, "51-100", IF(#REF! &lt;= 150, "101-150", "151+")))</f>
        <v>#REF!</v>
      </c>
      <c r="Y1808" t="e">
        <f>IF(#REF! &lt;= 3, "Low Charges", "High Charges")</f>
        <v>#REF!</v>
      </c>
      <c r="Z1808" t="e">
        <f>IF(#REF!&lt;=80,"Low Calls",
IF(#REF!&lt;=120,"Medium Calls","High Calls"))</f>
        <v>#REF!</v>
      </c>
      <c r="AA1808" t="e">
        <f>IF(#REF!&lt;=15,"Low Charges",
IF(#REF!&lt;=20,"Medium Charges","High Charges"))</f>
        <v>#REF!</v>
      </c>
      <c r="AB1808" t="e">
        <f>IF(AND(#REF!&gt;180, #REF!&gt;200), "Heavy Doemstic User", IF(#REF!&gt;10, "Interntional User", IF(AND(#REF!&lt;180, #REF!&lt;200,#REF!&lt;200), "Light User", "Balanced User")))</f>
        <v>#REF!</v>
      </c>
      <c r="AC1808" t="e">
        <f>IF(#REF! = 0, "No Usage", IF(#REF! &lt;= 20, "Low Usage", IF(#REF! &lt;= 40, "Medium Usgae", "High Usage")))</f>
        <v>#REF!</v>
      </c>
      <c r="AD1808" t="e">
        <f>IF(#REF!&lt;=150,"Low Usage", IF(#REF!&lt;=200,"Medium Usage", IF(#REF!&lt;=250,"High Usage","Very High Usage")))</f>
        <v>#REF!</v>
      </c>
      <c r="AE1808" t="e">
        <f>IF(#REF!&lt;=5,"Low Calls", IF(#REF!&lt;=10, "Medium Calls", "High Calls"))</f>
        <v>#REF!</v>
      </c>
      <c r="AF1808" t="e">
        <f xml:space="preserve">
IF(#REF!&gt;=4,4,0)+
IF(#REF!="yes",3,0)+
IF(#REF!="High Charges",3,0)+
IF(#REF!&gt;250,4,0)+
IF(#REF!="no",1,0)+
IF(#REF!="Heavy Domestic User",2,0)</f>
        <v>#REF!</v>
      </c>
      <c r="AG1808" t="e">
        <f>IF(#REF!&gt;=10,"High Risk", IF(#REF!&gt;=5,"Medium Risk","Low Risk"))</f>
        <v>#REF!</v>
      </c>
      <c r="AH1808" t="e">
        <f>#REF! + #REF! + #REF! + #REF!</f>
        <v>#REF!</v>
      </c>
    </row>
    <row r="1809" spans="1:34" x14ac:dyDescent="0.35">
      <c r="A1809">
        <v>1808</v>
      </c>
      <c r="B1809" t="s">
        <v>64</v>
      </c>
      <c r="C1809">
        <v>46</v>
      </c>
      <c r="D1809" t="s">
        <v>25</v>
      </c>
      <c r="E1809" t="s">
        <v>22</v>
      </c>
      <c r="F1809" t="s">
        <v>22</v>
      </c>
      <c r="G1809">
        <v>0</v>
      </c>
      <c r="H1809">
        <v>196.7</v>
      </c>
      <c r="I1809">
        <v>85</v>
      </c>
      <c r="J1809">
        <v>33.44</v>
      </c>
      <c r="K1809">
        <v>205.9</v>
      </c>
      <c r="L1809">
        <v>74</v>
      </c>
      <c r="M1809">
        <v>17.5</v>
      </c>
      <c r="N1809">
        <v>216.6</v>
      </c>
      <c r="O1809">
        <v>112</v>
      </c>
      <c r="P1809">
        <v>9.75</v>
      </c>
      <c r="Q1809">
        <v>11.2</v>
      </c>
      <c r="R1809">
        <v>5</v>
      </c>
      <c r="S1809">
        <v>3.02</v>
      </c>
      <c r="T1809">
        <v>3</v>
      </c>
      <c r="U1809" t="s">
        <v>22</v>
      </c>
      <c r="V1809" t="e">
        <f>IF(#REF! = "yes", 1, 0)</f>
        <v>#REF!</v>
      </c>
      <c r="W1809" t="e">
        <f>IF(#REF! &lt;= 1, "0-1 Calls", IF(#REF! &lt;= 3, "2-3 Calls", IF(#REF! &lt;=5, "4-5 Calls", "6+ Calls")))</f>
        <v>#REF!</v>
      </c>
      <c r="X1809" t="e">
        <f>IF(#REF! &lt;= 50, "0-50", IF(#REF! &lt;=100, "51-100", IF(#REF! &lt;= 150, "101-150", "151+")))</f>
        <v>#REF!</v>
      </c>
      <c r="Y1809" t="e">
        <f>IF(#REF! &lt;= 3, "Low Charges", "High Charges")</f>
        <v>#REF!</v>
      </c>
      <c r="Z1809" t="e">
        <f>IF(#REF!&lt;=80,"Low Calls",
IF(#REF!&lt;=120,"Medium Calls","High Calls"))</f>
        <v>#REF!</v>
      </c>
      <c r="AA1809" t="e">
        <f>IF(#REF!&lt;=15,"Low Charges",
IF(#REF!&lt;=20,"Medium Charges","High Charges"))</f>
        <v>#REF!</v>
      </c>
      <c r="AB1809" t="e">
        <f>IF(AND(#REF!&gt;180, #REF!&gt;200), "Heavy Doemstic User", IF(#REF!&gt;10, "Interntional User", IF(AND(#REF!&lt;180, #REF!&lt;200,#REF!&lt;200), "Light User", "Balanced User")))</f>
        <v>#REF!</v>
      </c>
      <c r="AC1809" t="e">
        <f>IF(#REF! = 0, "No Usage", IF(#REF! &lt;= 20, "Low Usage", IF(#REF! &lt;= 40, "Medium Usgae", "High Usage")))</f>
        <v>#REF!</v>
      </c>
      <c r="AD1809" t="e">
        <f>IF(#REF!&lt;=150,"Low Usage", IF(#REF!&lt;=200,"Medium Usage", IF(#REF!&lt;=250,"High Usage","Very High Usage")))</f>
        <v>#REF!</v>
      </c>
      <c r="AE1809" t="e">
        <f>IF(#REF!&lt;=5,"Low Calls", IF(#REF!&lt;=10, "Medium Calls", "High Calls"))</f>
        <v>#REF!</v>
      </c>
      <c r="AF1809" t="e">
        <f xml:space="preserve">
IF(#REF!&gt;=4,4,0)+
IF(#REF!="yes",3,0)+
IF(#REF!="High Charges",3,0)+
IF(#REF!&gt;250,4,0)+
IF(#REF!="no",1,0)+
IF(#REF!="Heavy Domestic User",2,0)</f>
        <v>#REF!</v>
      </c>
      <c r="AG1809" t="e">
        <f>IF(#REF!&gt;=10,"High Risk", IF(#REF!&gt;=5,"Medium Risk","Low Risk"))</f>
        <v>#REF!</v>
      </c>
      <c r="AH1809" t="e">
        <f>#REF! + #REF! + #REF! + #REF!</f>
        <v>#REF!</v>
      </c>
    </row>
    <row r="1810" spans="1:34" x14ac:dyDescent="0.35">
      <c r="A1810">
        <v>1809</v>
      </c>
      <c r="B1810" t="s">
        <v>35</v>
      </c>
      <c r="C1810">
        <v>73</v>
      </c>
      <c r="D1810" t="s">
        <v>25</v>
      </c>
      <c r="E1810" t="s">
        <v>22</v>
      </c>
      <c r="F1810" t="s">
        <v>23</v>
      </c>
      <c r="G1810">
        <v>26</v>
      </c>
      <c r="H1810">
        <v>131.19999999999999</v>
      </c>
      <c r="I1810">
        <v>98</v>
      </c>
      <c r="J1810">
        <v>22.3</v>
      </c>
      <c r="K1810">
        <v>106.5</v>
      </c>
      <c r="L1810">
        <v>97</v>
      </c>
      <c r="M1810">
        <v>9.0500000000000007</v>
      </c>
      <c r="N1810">
        <v>221.7</v>
      </c>
      <c r="O1810">
        <v>96</v>
      </c>
      <c r="P1810">
        <v>9.98</v>
      </c>
      <c r="Q1810">
        <v>10.199999999999999</v>
      </c>
      <c r="R1810">
        <v>6</v>
      </c>
      <c r="S1810">
        <v>2.75</v>
      </c>
      <c r="T1810">
        <v>2</v>
      </c>
      <c r="U1810" t="s">
        <v>22</v>
      </c>
      <c r="V1810" t="e">
        <f>IF(#REF! = "yes", 1, 0)</f>
        <v>#REF!</v>
      </c>
      <c r="W1810" t="e">
        <f>IF(#REF! &lt;= 1, "0-1 Calls", IF(#REF! &lt;= 3, "2-3 Calls", IF(#REF! &lt;=5, "4-5 Calls", "6+ Calls")))</f>
        <v>#REF!</v>
      </c>
      <c r="X1810" t="e">
        <f>IF(#REF! &lt;= 50, "0-50", IF(#REF! &lt;=100, "51-100", IF(#REF! &lt;= 150, "101-150", "151+")))</f>
        <v>#REF!</v>
      </c>
      <c r="Y1810" t="e">
        <f>IF(#REF! &lt;= 3, "Low Charges", "High Charges")</f>
        <v>#REF!</v>
      </c>
      <c r="Z1810" t="e">
        <f>IF(#REF!&lt;=80,"Low Calls",
IF(#REF!&lt;=120,"Medium Calls","High Calls"))</f>
        <v>#REF!</v>
      </c>
      <c r="AA1810" t="e">
        <f>IF(#REF!&lt;=15,"Low Charges",
IF(#REF!&lt;=20,"Medium Charges","High Charges"))</f>
        <v>#REF!</v>
      </c>
      <c r="AB1810" t="e">
        <f>IF(AND(#REF!&gt;180, #REF!&gt;200), "Heavy Doemstic User", IF(#REF!&gt;10, "Interntional User", IF(AND(#REF!&lt;180, #REF!&lt;200,#REF!&lt;200), "Light User", "Balanced User")))</f>
        <v>#REF!</v>
      </c>
      <c r="AC1810" t="e">
        <f>IF(#REF! = 0, "No Usage", IF(#REF! &lt;= 20, "Low Usage", IF(#REF! &lt;= 40, "Medium Usgae", "High Usage")))</f>
        <v>#REF!</v>
      </c>
      <c r="AD1810" t="e">
        <f>IF(#REF!&lt;=150,"Low Usage", IF(#REF!&lt;=200,"Medium Usage", IF(#REF!&lt;=250,"High Usage","Very High Usage")))</f>
        <v>#REF!</v>
      </c>
      <c r="AE1810" t="e">
        <f>IF(#REF!&lt;=5,"Low Calls", IF(#REF!&lt;=10, "Medium Calls", "High Calls"))</f>
        <v>#REF!</v>
      </c>
      <c r="AF1810" t="e">
        <f xml:space="preserve">
IF(#REF!&gt;=4,4,0)+
IF(#REF!="yes",3,0)+
IF(#REF!="High Charges",3,0)+
IF(#REF!&gt;250,4,0)+
IF(#REF!="no",1,0)+
IF(#REF!="Heavy Domestic User",2,0)</f>
        <v>#REF!</v>
      </c>
      <c r="AG1810" t="e">
        <f>IF(#REF!&gt;=10,"High Risk", IF(#REF!&gt;=5,"Medium Risk","Low Risk"))</f>
        <v>#REF!</v>
      </c>
      <c r="AH1810" t="e">
        <f>#REF! + #REF! + #REF! + #REF!</f>
        <v>#REF!</v>
      </c>
    </row>
    <row r="1811" spans="1:34" x14ac:dyDescent="0.35">
      <c r="A1811">
        <v>1810</v>
      </c>
      <c r="B1811" t="s">
        <v>74</v>
      </c>
      <c r="C1811">
        <v>146</v>
      </c>
      <c r="D1811" t="s">
        <v>25</v>
      </c>
      <c r="E1811" t="s">
        <v>22</v>
      </c>
      <c r="F1811" t="s">
        <v>23</v>
      </c>
      <c r="G1811">
        <v>23</v>
      </c>
      <c r="H1811">
        <v>149.6</v>
      </c>
      <c r="I1811">
        <v>96</v>
      </c>
      <c r="J1811">
        <v>25.43</v>
      </c>
      <c r="K1811">
        <v>239.8</v>
      </c>
      <c r="L1811">
        <v>124</v>
      </c>
      <c r="M1811">
        <v>20.38</v>
      </c>
      <c r="N1811">
        <v>293.5</v>
      </c>
      <c r="O1811">
        <v>135</v>
      </c>
      <c r="P1811">
        <v>13.21</v>
      </c>
      <c r="Q1811">
        <v>7.4</v>
      </c>
      <c r="R1811">
        <v>4</v>
      </c>
      <c r="S1811">
        <v>2</v>
      </c>
      <c r="T1811">
        <v>2</v>
      </c>
      <c r="U1811" t="s">
        <v>22</v>
      </c>
      <c r="V1811" t="e">
        <f>IF(#REF! = "yes", 1, 0)</f>
        <v>#REF!</v>
      </c>
      <c r="W1811" t="e">
        <f>IF(#REF! &lt;= 1, "0-1 Calls", IF(#REF! &lt;= 3, "2-3 Calls", IF(#REF! &lt;=5, "4-5 Calls", "6+ Calls")))</f>
        <v>#REF!</v>
      </c>
      <c r="X1811" t="e">
        <f>IF(#REF! &lt;= 50, "0-50", IF(#REF! &lt;=100, "51-100", IF(#REF! &lt;= 150, "101-150", "151+")))</f>
        <v>#REF!</v>
      </c>
      <c r="Y1811" t="e">
        <f>IF(#REF! &lt;= 3, "Low Charges", "High Charges")</f>
        <v>#REF!</v>
      </c>
      <c r="Z1811" t="e">
        <f>IF(#REF!&lt;=80,"Low Calls",
IF(#REF!&lt;=120,"Medium Calls","High Calls"))</f>
        <v>#REF!</v>
      </c>
      <c r="AA1811" t="e">
        <f>IF(#REF!&lt;=15,"Low Charges",
IF(#REF!&lt;=20,"Medium Charges","High Charges"))</f>
        <v>#REF!</v>
      </c>
      <c r="AB1811" t="e">
        <f>IF(AND(#REF!&gt;180, #REF!&gt;200), "Heavy Doemstic User", IF(#REF!&gt;10, "Interntional User", IF(AND(#REF!&lt;180, #REF!&lt;200,#REF!&lt;200), "Light User", "Balanced User")))</f>
        <v>#REF!</v>
      </c>
      <c r="AC1811" t="e">
        <f>IF(#REF! = 0, "No Usage", IF(#REF! &lt;= 20, "Low Usage", IF(#REF! &lt;= 40, "Medium Usgae", "High Usage")))</f>
        <v>#REF!</v>
      </c>
      <c r="AD1811" t="e">
        <f>IF(#REF!&lt;=150,"Low Usage", IF(#REF!&lt;=200,"Medium Usage", IF(#REF!&lt;=250,"High Usage","Very High Usage")))</f>
        <v>#REF!</v>
      </c>
      <c r="AE1811" t="e">
        <f>IF(#REF!&lt;=5,"Low Calls", IF(#REF!&lt;=10, "Medium Calls", "High Calls"))</f>
        <v>#REF!</v>
      </c>
      <c r="AF1811" t="e">
        <f xml:space="preserve">
IF(#REF!&gt;=4,4,0)+
IF(#REF!="yes",3,0)+
IF(#REF!="High Charges",3,0)+
IF(#REF!&gt;250,4,0)+
IF(#REF!="no",1,0)+
IF(#REF!="Heavy Domestic User",2,0)</f>
        <v>#REF!</v>
      </c>
      <c r="AG1811" t="e">
        <f>IF(#REF!&gt;=10,"High Risk", IF(#REF!&gt;=5,"Medium Risk","Low Risk"))</f>
        <v>#REF!</v>
      </c>
      <c r="AH1811" t="e">
        <f>#REF! + #REF! + #REF! + #REF!</f>
        <v>#REF!</v>
      </c>
    </row>
    <row r="1812" spans="1:34" x14ac:dyDescent="0.35">
      <c r="A1812">
        <v>1811</v>
      </c>
      <c r="B1812" t="s">
        <v>61</v>
      </c>
      <c r="C1812">
        <v>93</v>
      </c>
      <c r="D1812" t="s">
        <v>21</v>
      </c>
      <c r="E1812" t="s">
        <v>22</v>
      </c>
      <c r="F1812" t="s">
        <v>22</v>
      </c>
      <c r="G1812">
        <v>0</v>
      </c>
      <c r="H1812">
        <v>239.8</v>
      </c>
      <c r="I1812">
        <v>70</v>
      </c>
      <c r="J1812">
        <v>40.770000000000003</v>
      </c>
      <c r="K1812">
        <v>251.8</v>
      </c>
      <c r="L1812">
        <v>99</v>
      </c>
      <c r="M1812">
        <v>21.4</v>
      </c>
      <c r="N1812">
        <v>168.6</v>
      </c>
      <c r="O1812">
        <v>112</v>
      </c>
      <c r="P1812">
        <v>7.59</v>
      </c>
      <c r="Q1812">
        <v>10.9</v>
      </c>
      <c r="R1812">
        <v>10</v>
      </c>
      <c r="S1812">
        <v>2.94</v>
      </c>
      <c r="T1812">
        <v>1</v>
      </c>
      <c r="U1812" t="s">
        <v>22</v>
      </c>
      <c r="V1812" t="e">
        <f>IF(#REF! = "yes", 1, 0)</f>
        <v>#REF!</v>
      </c>
      <c r="W1812" t="e">
        <f>IF(#REF! &lt;= 1, "0-1 Calls", IF(#REF! &lt;= 3, "2-3 Calls", IF(#REF! &lt;=5, "4-5 Calls", "6+ Calls")))</f>
        <v>#REF!</v>
      </c>
      <c r="X1812" t="e">
        <f>IF(#REF! &lt;= 50, "0-50", IF(#REF! &lt;=100, "51-100", IF(#REF! &lt;= 150, "101-150", "151+")))</f>
        <v>#REF!</v>
      </c>
      <c r="Y1812" t="e">
        <f>IF(#REF! &lt;= 3, "Low Charges", "High Charges")</f>
        <v>#REF!</v>
      </c>
      <c r="Z1812" t="e">
        <f>IF(#REF!&lt;=80,"Low Calls",
IF(#REF!&lt;=120,"Medium Calls","High Calls"))</f>
        <v>#REF!</v>
      </c>
      <c r="AA1812" t="e">
        <f>IF(#REF!&lt;=15,"Low Charges",
IF(#REF!&lt;=20,"Medium Charges","High Charges"))</f>
        <v>#REF!</v>
      </c>
      <c r="AB1812" t="e">
        <f>IF(AND(#REF!&gt;180, #REF!&gt;200), "Heavy Doemstic User", IF(#REF!&gt;10, "Interntional User", IF(AND(#REF!&lt;180, #REF!&lt;200,#REF!&lt;200), "Light User", "Balanced User")))</f>
        <v>#REF!</v>
      </c>
      <c r="AC1812" t="e">
        <f>IF(#REF! = 0, "No Usage", IF(#REF! &lt;= 20, "Low Usage", IF(#REF! &lt;= 40, "Medium Usgae", "High Usage")))</f>
        <v>#REF!</v>
      </c>
      <c r="AD1812" t="e">
        <f>IF(#REF!&lt;=150,"Low Usage", IF(#REF!&lt;=200,"Medium Usage", IF(#REF!&lt;=250,"High Usage","Very High Usage")))</f>
        <v>#REF!</v>
      </c>
      <c r="AE1812" t="e">
        <f>IF(#REF!&lt;=5,"Low Calls", IF(#REF!&lt;=10, "Medium Calls", "High Calls"))</f>
        <v>#REF!</v>
      </c>
      <c r="AF1812" t="e">
        <f xml:space="preserve">
IF(#REF!&gt;=4,4,0)+
IF(#REF!="yes",3,0)+
IF(#REF!="High Charges",3,0)+
IF(#REF!&gt;250,4,0)+
IF(#REF!="no",1,0)+
IF(#REF!="Heavy Domestic User",2,0)</f>
        <v>#REF!</v>
      </c>
      <c r="AG1812" t="e">
        <f>IF(#REF!&gt;=10,"High Risk", IF(#REF!&gt;=5,"Medium Risk","Low Risk"))</f>
        <v>#REF!</v>
      </c>
      <c r="AH1812" t="e">
        <f>#REF! + #REF! + #REF! + #REF!</f>
        <v>#REF!</v>
      </c>
    </row>
    <row r="1813" spans="1:34" x14ac:dyDescent="0.35">
      <c r="A1813">
        <v>1812</v>
      </c>
      <c r="B1813" t="s">
        <v>20</v>
      </c>
      <c r="C1813">
        <v>52</v>
      </c>
      <c r="D1813" t="s">
        <v>25</v>
      </c>
      <c r="E1813" t="s">
        <v>22</v>
      </c>
      <c r="F1813" t="s">
        <v>23</v>
      </c>
      <c r="G1813">
        <v>31</v>
      </c>
      <c r="H1813">
        <v>142.1</v>
      </c>
      <c r="I1813">
        <v>77</v>
      </c>
      <c r="J1813">
        <v>24.16</v>
      </c>
      <c r="K1813">
        <v>193</v>
      </c>
      <c r="L1813">
        <v>97</v>
      </c>
      <c r="M1813">
        <v>16.41</v>
      </c>
      <c r="N1813">
        <v>253.4</v>
      </c>
      <c r="O1813">
        <v>88</v>
      </c>
      <c r="P1813">
        <v>11.4</v>
      </c>
      <c r="Q1813">
        <v>11</v>
      </c>
      <c r="R1813">
        <v>4</v>
      </c>
      <c r="S1813">
        <v>2.97</v>
      </c>
      <c r="T1813">
        <v>1</v>
      </c>
      <c r="U1813" t="s">
        <v>22</v>
      </c>
      <c r="V1813" t="e">
        <f>IF(#REF! = "yes", 1, 0)</f>
        <v>#REF!</v>
      </c>
      <c r="W1813" t="e">
        <f>IF(#REF! &lt;= 1, "0-1 Calls", IF(#REF! &lt;= 3, "2-3 Calls", IF(#REF! &lt;=5, "4-5 Calls", "6+ Calls")))</f>
        <v>#REF!</v>
      </c>
      <c r="X1813" t="e">
        <f>IF(#REF! &lt;= 50, "0-50", IF(#REF! &lt;=100, "51-100", IF(#REF! &lt;= 150, "101-150", "151+")))</f>
        <v>#REF!</v>
      </c>
      <c r="Y1813" t="e">
        <f>IF(#REF! &lt;= 3, "Low Charges", "High Charges")</f>
        <v>#REF!</v>
      </c>
      <c r="Z1813" t="e">
        <f>IF(#REF!&lt;=80,"Low Calls",
IF(#REF!&lt;=120,"Medium Calls","High Calls"))</f>
        <v>#REF!</v>
      </c>
      <c r="AA1813" t="e">
        <f>IF(#REF!&lt;=15,"Low Charges",
IF(#REF!&lt;=20,"Medium Charges","High Charges"))</f>
        <v>#REF!</v>
      </c>
      <c r="AB1813" t="e">
        <f>IF(AND(#REF!&gt;180, #REF!&gt;200), "Heavy Doemstic User", IF(#REF!&gt;10, "Interntional User", IF(AND(#REF!&lt;180, #REF!&lt;200,#REF!&lt;200), "Light User", "Balanced User")))</f>
        <v>#REF!</v>
      </c>
      <c r="AC1813" t="e">
        <f>IF(#REF! = 0, "No Usage", IF(#REF! &lt;= 20, "Low Usage", IF(#REF! &lt;= 40, "Medium Usgae", "High Usage")))</f>
        <v>#REF!</v>
      </c>
      <c r="AD1813" t="e">
        <f>IF(#REF!&lt;=150,"Low Usage", IF(#REF!&lt;=200,"Medium Usage", IF(#REF!&lt;=250,"High Usage","Very High Usage")))</f>
        <v>#REF!</v>
      </c>
      <c r="AE1813" t="e">
        <f>IF(#REF!&lt;=5,"Low Calls", IF(#REF!&lt;=10, "Medium Calls", "High Calls"))</f>
        <v>#REF!</v>
      </c>
      <c r="AF1813" t="e">
        <f xml:space="preserve">
IF(#REF!&gt;=4,4,0)+
IF(#REF!="yes",3,0)+
IF(#REF!="High Charges",3,0)+
IF(#REF!&gt;250,4,0)+
IF(#REF!="no",1,0)+
IF(#REF!="Heavy Domestic User",2,0)</f>
        <v>#REF!</v>
      </c>
      <c r="AG1813" t="e">
        <f>IF(#REF!&gt;=10,"High Risk", IF(#REF!&gt;=5,"Medium Risk","Low Risk"))</f>
        <v>#REF!</v>
      </c>
      <c r="AH1813" t="e">
        <f>#REF! + #REF! + #REF! + #REF!</f>
        <v>#REF!</v>
      </c>
    </row>
    <row r="1814" spans="1:34" x14ac:dyDescent="0.35">
      <c r="A1814">
        <v>1813</v>
      </c>
      <c r="B1814" t="s">
        <v>60</v>
      </c>
      <c r="C1814">
        <v>129</v>
      </c>
      <c r="D1814" t="s">
        <v>28</v>
      </c>
      <c r="E1814" t="s">
        <v>22</v>
      </c>
      <c r="F1814" t="s">
        <v>23</v>
      </c>
      <c r="G1814">
        <v>31</v>
      </c>
      <c r="H1814">
        <v>193</v>
      </c>
      <c r="I1814">
        <v>99</v>
      </c>
      <c r="J1814">
        <v>32.81</v>
      </c>
      <c r="K1814">
        <v>224.8</v>
      </c>
      <c r="L1814">
        <v>87</v>
      </c>
      <c r="M1814">
        <v>19.11</v>
      </c>
      <c r="N1814">
        <v>197.6</v>
      </c>
      <c r="O1814">
        <v>91</v>
      </c>
      <c r="P1814">
        <v>8.89</v>
      </c>
      <c r="Q1814">
        <v>10.3</v>
      </c>
      <c r="R1814">
        <v>8</v>
      </c>
      <c r="S1814">
        <v>2.78</v>
      </c>
      <c r="T1814">
        <v>2</v>
      </c>
      <c r="U1814" t="s">
        <v>22</v>
      </c>
      <c r="V1814" t="e">
        <f>IF(#REF! = "yes", 1, 0)</f>
        <v>#REF!</v>
      </c>
      <c r="W1814" t="e">
        <f>IF(#REF! &lt;= 1, "0-1 Calls", IF(#REF! &lt;= 3, "2-3 Calls", IF(#REF! &lt;=5, "4-5 Calls", "6+ Calls")))</f>
        <v>#REF!</v>
      </c>
      <c r="X1814" t="e">
        <f>IF(#REF! &lt;= 50, "0-50", IF(#REF! &lt;=100, "51-100", IF(#REF! &lt;= 150, "101-150", "151+")))</f>
        <v>#REF!</v>
      </c>
      <c r="Y1814" t="e">
        <f>IF(#REF! &lt;= 3, "Low Charges", "High Charges")</f>
        <v>#REF!</v>
      </c>
      <c r="Z1814" t="e">
        <f>IF(#REF!&lt;=80,"Low Calls",
IF(#REF!&lt;=120,"Medium Calls","High Calls"))</f>
        <v>#REF!</v>
      </c>
      <c r="AA1814" t="e">
        <f>IF(#REF!&lt;=15,"Low Charges",
IF(#REF!&lt;=20,"Medium Charges","High Charges"))</f>
        <v>#REF!</v>
      </c>
      <c r="AB1814" t="e">
        <f>IF(AND(#REF!&gt;180, #REF!&gt;200), "Heavy Doemstic User", IF(#REF!&gt;10, "Interntional User", IF(AND(#REF!&lt;180, #REF!&lt;200,#REF!&lt;200), "Light User", "Balanced User")))</f>
        <v>#REF!</v>
      </c>
      <c r="AC1814" t="e">
        <f>IF(#REF! = 0, "No Usage", IF(#REF! &lt;= 20, "Low Usage", IF(#REF! &lt;= 40, "Medium Usgae", "High Usage")))</f>
        <v>#REF!</v>
      </c>
      <c r="AD1814" t="e">
        <f>IF(#REF!&lt;=150,"Low Usage", IF(#REF!&lt;=200,"Medium Usage", IF(#REF!&lt;=250,"High Usage","Very High Usage")))</f>
        <v>#REF!</v>
      </c>
      <c r="AE1814" t="e">
        <f>IF(#REF!&lt;=5,"Low Calls", IF(#REF!&lt;=10, "Medium Calls", "High Calls"))</f>
        <v>#REF!</v>
      </c>
      <c r="AF1814" t="e">
        <f xml:space="preserve">
IF(#REF!&gt;=4,4,0)+
IF(#REF!="yes",3,0)+
IF(#REF!="High Charges",3,0)+
IF(#REF!&gt;250,4,0)+
IF(#REF!="no",1,0)+
IF(#REF!="Heavy Domestic User",2,0)</f>
        <v>#REF!</v>
      </c>
      <c r="AG1814" t="e">
        <f>IF(#REF!&gt;=10,"High Risk", IF(#REF!&gt;=5,"Medium Risk","Low Risk"))</f>
        <v>#REF!</v>
      </c>
      <c r="AH1814" t="e">
        <f>#REF! + #REF! + #REF! + #REF!</f>
        <v>#REF!</v>
      </c>
    </row>
    <row r="1815" spans="1:34" x14ac:dyDescent="0.35">
      <c r="A1815">
        <v>1814</v>
      </c>
      <c r="B1815" t="s">
        <v>74</v>
      </c>
      <c r="C1815">
        <v>94</v>
      </c>
      <c r="D1815" t="s">
        <v>21</v>
      </c>
      <c r="E1815" t="s">
        <v>22</v>
      </c>
      <c r="F1815" t="s">
        <v>22</v>
      </c>
      <c r="G1815">
        <v>0</v>
      </c>
      <c r="H1815">
        <v>206.1</v>
      </c>
      <c r="I1815">
        <v>49</v>
      </c>
      <c r="J1815">
        <v>35.04</v>
      </c>
      <c r="K1815">
        <v>224.6</v>
      </c>
      <c r="L1815">
        <v>115</v>
      </c>
      <c r="M1815">
        <v>19.09</v>
      </c>
      <c r="N1815">
        <v>256.7</v>
      </c>
      <c r="O1815">
        <v>74</v>
      </c>
      <c r="P1815">
        <v>11.55</v>
      </c>
      <c r="Q1815">
        <v>13</v>
      </c>
      <c r="R1815">
        <v>1</v>
      </c>
      <c r="S1815">
        <v>3.51</v>
      </c>
      <c r="T1815">
        <v>1</v>
      </c>
      <c r="U1815" t="s">
        <v>22</v>
      </c>
      <c r="V1815" t="e">
        <f>IF(#REF! = "yes", 1, 0)</f>
        <v>#REF!</v>
      </c>
      <c r="W1815" t="e">
        <f>IF(#REF! &lt;= 1, "0-1 Calls", IF(#REF! &lt;= 3, "2-3 Calls", IF(#REF! &lt;=5, "4-5 Calls", "6+ Calls")))</f>
        <v>#REF!</v>
      </c>
      <c r="X1815" t="e">
        <f>IF(#REF! &lt;= 50, "0-50", IF(#REF! &lt;=100, "51-100", IF(#REF! &lt;= 150, "101-150", "151+")))</f>
        <v>#REF!</v>
      </c>
      <c r="Y1815" t="e">
        <f>IF(#REF! &lt;= 3, "Low Charges", "High Charges")</f>
        <v>#REF!</v>
      </c>
      <c r="Z1815" t="e">
        <f>IF(#REF!&lt;=80,"Low Calls",
IF(#REF!&lt;=120,"Medium Calls","High Calls"))</f>
        <v>#REF!</v>
      </c>
      <c r="AA1815" t="e">
        <f>IF(#REF!&lt;=15,"Low Charges",
IF(#REF!&lt;=20,"Medium Charges","High Charges"))</f>
        <v>#REF!</v>
      </c>
      <c r="AB1815" t="e">
        <f>IF(AND(#REF!&gt;180, #REF!&gt;200), "Heavy Doemstic User", IF(#REF!&gt;10, "Interntional User", IF(AND(#REF!&lt;180, #REF!&lt;200,#REF!&lt;200), "Light User", "Balanced User")))</f>
        <v>#REF!</v>
      </c>
      <c r="AC1815" t="e">
        <f>IF(#REF! = 0, "No Usage", IF(#REF! &lt;= 20, "Low Usage", IF(#REF! &lt;= 40, "Medium Usgae", "High Usage")))</f>
        <v>#REF!</v>
      </c>
      <c r="AD1815" t="e">
        <f>IF(#REF!&lt;=150,"Low Usage", IF(#REF!&lt;=200,"Medium Usage", IF(#REF!&lt;=250,"High Usage","Very High Usage")))</f>
        <v>#REF!</v>
      </c>
      <c r="AE1815" t="e">
        <f>IF(#REF!&lt;=5,"Low Calls", IF(#REF!&lt;=10, "Medium Calls", "High Calls"))</f>
        <v>#REF!</v>
      </c>
      <c r="AF1815" t="e">
        <f xml:space="preserve">
IF(#REF!&gt;=4,4,0)+
IF(#REF!="yes",3,0)+
IF(#REF!="High Charges",3,0)+
IF(#REF!&gt;250,4,0)+
IF(#REF!="no",1,0)+
IF(#REF!="Heavy Domestic User",2,0)</f>
        <v>#REF!</v>
      </c>
      <c r="AG1815" t="e">
        <f>IF(#REF!&gt;=10,"High Risk", IF(#REF!&gt;=5,"Medium Risk","Low Risk"))</f>
        <v>#REF!</v>
      </c>
      <c r="AH1815" t="e">
        <f>#REF! + #REF! + #REF! + #REF!</f>
        <v>#REF!</v>
      </c>
    </row>
    <row r="1816" spans="1:34" x14ac:dyDescent="0.35">
      <c r="A1816">
        <v>1815</v>
      </c>
      <c r="B1816" t="s">
        <v>68</v>
      </c>
      <c r="C1816">
        <v>100</v>
      </c>
      <c r="D1816" t="s">
        <v>21</v>
      </c>
      <c r="E1816" t="s">
        <v>22</v>
      </c>
      <c r="F1816" t="s">
        <v>22</v>
      </c>
      <c r="G1816">
        <v>0</v>
      </c>
      <c r="H1816">
        <v>160.30000000000001</v>
      </c>
      <c r="I1816">
        <v>138</v>
      </c>
      <c r="J1816">
        <v>27.25</v>
      </c>
      <c r="K1816">
        <v>221.3</v>
      </c>
      <c r="L1816">
        <v>92</v>
      </c>
      <c r="M1816">
        <v>18.809999999999999</v>
      </c>
      <c r="N1816">
        <v>150.4</v>
      </c>
      <c r="O1816">
        <v>120</v>
      </c>
      <c r="P1816">
        <v>6.77</v>
      </c>
      <c r="Q1816">
        <v>11.2</v>
      </c>
      <c r="R1816">
        <v>2</v>
      </c>
      <c r="S1816">
        <v>3.02</v>
      </c>
      <c r="T1816">
        <v>0</v>
      </c>
      <c r="U1816" t="s">
        <v>22</v>
      </c>
      <c r="V1816" t="e">
        <f>IF(#REF! = "yes", 1, 0)</f>
        <v>#REF!</v>
      </c>
      <c r="W1816" t="e">
        <f>IF(#REF! &lt;= 1, "0-1 Calls", IF(#REF! &lt;= 3, "2-3 Calls", IF(#REF! &lt;=5, "4-5 Calls", "6+ Calls")))</f>
        <v>#REF!</v>
      </c>
      <c r="X1816" t="e">
        <f>IF(#REF! &lt;= 50, "0-50", IF(#REF! &lt;=100, "51-100", IF(#REF! &lt;= 150, "101-150", "151+")))</f>
        <v>#REF!</v>
      </c>
      <c r="Y1816" t="e">
        <f>IF(#REF! &lt;= 3, "Low Charges", "High Charges")</f>
        <v>#REF!</v>
      </c>
      <c r="Z1816" t="e">
        <f>IF(#REF!&lt;=80,"Low Calls",
IF(#REF!&lt;=120,"Medium Calls","High Calls"))</f>
        <v>#REF!</v>
      </c>
      <c r="AA1816" t="e">
        <f>IF(#REF!&lt;=15,"Low Charges",
IF(#REF!&lt;=20,"Medium Charges","High Charges"))</f>
        <v>#REF!</v>
      </c>
      <c r="AB1816" t="e">
        <f>IF(AND(#REF!&gt;180, #REF!&gt;200), "Heavy Doemstic User", IF(#REF!&gt;10, "Interntional User", IF(AND(#REF!&lt;180, #REF!&lt;200,#REF!&lt;200), "Light User", "Balanced User")))</f>
        <v>#REF!</v>
      </c>
      <c r="AC1816" t="e">
        <f>IF(#REF! = 0, "No Usage", IF(#REF! &lt;= 20, "Low Usage", IF(#REF! &lt;= 40, "Medium Usgae", "High Usage")))</f>
        <v>#REF!</v>
      </c>
      <c r="AD1816" t="e">
        <f>IF(#REF!&lt;=150,"Low Usage", IF(#REF!&lt;=200,"Medium Usage", IF(#REF!&lt;=250,"High Usage","Very High Usage")))</f>
        <v>#REF!</v>
      </c>
      <c r="AE1816" t="e">
        <f>IF(#REF!&lt;=5,"Low Calls", IF(#REF!&lt;=10, "Medium Calls", "High Calls"))</f>
        <v>#REF!</v>
      </c>
      <c r="AF1816" t="e">
        <f xml:space="preserve">
IF(#REF!&gt;=4,4,0)+
IF(#REF!="yes",3,0)+
IF(#REF!="High Charges",3,0)+
IF(#REF!&gt;250,4,0)+
IF(#REF!="no",1,0)+
IF(#REF!="Heavy Domestic User",2,0)</f>
        <v>#REF!</v>
      </c>
      <c r="AG1816" t="e">
        <f>IF(#REF!&gt;=10,"High Risk", IF(#REF!&gt;=5,"Medium Risk","Low Risk"))</f>
        <v>#REF!</v>
      </c>
      <c r="AH1816" t="e">
        <f>#REF! + #REF! + #REF! + #REF!</f>
        <v>#REF!</v>
      </c>
    </row>
    <row r="1817" spans="1:34" x14ac:dyDescent="0.35">
      <c r="A1817">
        <v>1816</v>
      </c>
      <c r="B1817" t="s">
        <v>31</v>
      </c>
      <c r="C1817">
        <v>43</v>
      </c>
      <c r="D1817" t="s">
        <v>21</v>
      </c>
      <c r="E1817" t="s">
        <v>22</v>
      </c>
      <c r="F1817" t="s">
        <v>22</v>
      </c>
      <c r="G1817">
        <v>0</v>
      </c>
      <c r="H1817">
        <v>199.9</v>
      </c>
      <c r="I1817">
        <v>108</v>
      </c>
      <c r="J1817">
        <v>33.979999999999997</v>
      </c>
      <c r="K1817">
        <v>288.39999999999998</v>
      </c>
      <c r="L1817">
        <v>80</v>
      </c>
      <c r="M1817">
        <v>24.51</v>
      </c>
      <c r="N1817">
        <v>180.6</v>
      </c>
      <c r="O1817">
        <v>103</v>
      </c>
      <c r="P1817">
        <v>8.1300000000000008</v>
      </c>
      <c r="Q1817">
        <v>11.3</v>
      </c>
      <c r="R1817">
        <v>7</v>
      </c>
      <c r="S1817">
        <v>3.05</v>
      </c>
      <c r="T1817">
        <v>1</v>
      </c>
      <c r="U1817" t="s">
        <v>22</v>
      </c>
      <c r="V1817" t="e">
        <f>IF(#REF! = "yes", 1, 0)</f>
        <v>#REF!</v>
      </c>
      <c r="W1817" t="e">
        <f>IF(#REF! &lt;= 1, "0-1 Calls", IF(#REF! &lt;= 3, "2-3 Calls", IF(#REF! &lt;=5, "4-5 Calls", "6+ Calls")))</f>
        <v>#REF!</v>
      </c>
      <c r="X1817" t="e">
        <f>IF(#REF! &lt;= 50, "0-50", IF(#REF! &lt;=100, "51-100", IF(#REF! &lt;= 150, "101-150", "151+")))</f>
        <v>#REF!</v>
      </c>
      <c r="Y1817" t="e">
        <f>IF(#REF! &lt;= 3, "Low Charges", "High Charges")</f>
        <v>#REF!</v>
      </c>
      <c r="Z1817" t="e">
        <f>IF(#REF!&lt;=80,"Low Calls",
IF(#REF!&lt;=120,"Medium Calls","High Calls"))</f>
        <v>#REF!</v>
      </c>
      <c r="AA1817" t="e">
        <f>IF(#REF!&lt;=15,"Low Charges",
IF(#REF!&lt;=20,"Medium Charges","High Charges"))</f>
        <v>#REF!</v>
      </c>
      <c r="AB1817" t="e">
        <f>IF(AND(#REF!&gt;180, #REF!&gt;200), "Heavy Doemstic User", IF(#REF!&gt;10, "Interntional User", IF(AND(#REF!&lt;180, #REF!&lt;200,#REF!&lt;200), "Light User", "Balanced User")))</f>
        <v>#REF!</v>
      </c>
      <c r="AC1817" t="e">
        <f>IF(#REF! = 0, "No Usage", IF(#REF! &lt;= 20, "Low Usage", IF(#REF! &lt;= 40, "Medium Usgae", "High Usage")))</f>
        <v>#REF!</v>
      </c>
      <c r="AD1817" t="e">
        <f>IF(#REF!&lt;=150,"Low Usage", IF(#REF!&lt;=200,"Medium Usage", IF(#REF!&lt;=250,"High Usage","Very High Usage")))</f>
        <v>#REF!</v>
      </c>
      <c r="AE1817" t="e">
        <f>IF(#REF!&lt;=5,"Low Calls", IF(#REF!&lt;=10, "Medium Calls", "High Calls"))</f>
        <v>#REF!</v>
      </c>
      <c r="AF1817" t="e">
        <f xml:space="preserve">
IF(#REF!&gt;=4,4,0)+
IF(#REF!="yes",3,0)+
IF(#REF!="High Charges",3,0)+
IF(#REF!&gt;250,4,0)+
IF(#REF!="no",1,0)+
IF(#REF!="Heavy Domestic User",2,0)</f>
        <v>#REF!</v>
      </c>
      <c r="AG1817" t="e">
        <f>IF(#REF!&gt;=10,"High Risk", IF(#REF!&gt;=5,"Medium Risk","Low Risk"))</f>
        <v>#REF!</v>
      </c>
      <c r="AH1817" t="e">
        <f>#REF! + #REF! + #REF! + #REF!</f>
        <v>#REF!</v>
      </c>
    </row>
    <row r="1818" spans="1:34" x14ac:dyDescent="0.35">
      <c r="A1818">
        <v>1817</v>
      </c>
      <c r="B1818" t="s">
        <v>46</v>
      </c>
      <c r="C1818">
        <v>130</v>
      </c>
      <c r="D1818" t="s">
        <v>21</v>
      </c>
      <c r="E1818" t="s">
        <v>22</v>
      </c>
      <c r="F1818" t="s">
        <v>22</v>
      </c>
      <c r="G1818">
        <v>0</v>
      </c>
      <c r="H1818">
        <v>213.1</v>
      </c>
      <c r="I1818">
        <v>105</v>
      </c>
      <c r="J1818">
        <v>36.229999999999997</v>
      </c>
      <c r="K1818">
        <v>206.2</v>
      </c>
      <c r="L1818">
        <v>108</v>
      </c>
      <c r="M1818">
        <v>17.53</v>
      </c>
      <c r="N1818">
        <v>163.4</v>
      </c>
      <c r="O1818">
        <v>93</v>
      </c>
      <c r="P1818">
        <v>7.35</v>
      </c>
      <c r="Q1818">
        <v>8.9</v>
      </c>
      <c r="R1818">
        <v>3</v>
      </c>
      <c r="S1818">
        <v>2.4</v>
      </c>
      <c r="T1818">
        <v>0</v>
      </c>
      <c r="U1818" t="s">
        <v>22</v>
      </c>
      <c r="V1818" t="e">
        <f>IF(#REF! = "yes", 1, 0)</f>
        <v>#REF!</v>
      </c>
      <c r="W1818" t="e">
        <f>IF(#REF! &lt;= 1, "0-1 Calls", IF(#REF! &lt;= 3, "2-3 Calls", IF(#REF! &lt;=5, "4-5 Calls", "6+ Calls")))</f>
        <v>#REF!</v>
      </c>
      <c r="X1818" t="e">
        <f>IF(#REF! &lt;= 50, "0-50", IF(#REF! &lt;=100, "51-100", IF(#REF! &lt;= 150, "101-150", "151+")))</f>
        <v>#REF!</v>
      </c>
      <c r="Y1818" t="e">
        <f>IF(#REF! &lt;= 3, "Low Charges", "High Charges")</f>
        <v>#REF!</v>
      </c>
      <c r="Z1818" t="e">
        <f>IF(#REF!&lt;=80,"Low Calls",
IF(#REF!&lt;=120,"Medium Calls","High Calls"))</f>
        <v>#REF!</v>
      </c>
      <c r="AA1818" t="e">
        <f>IF(#REF!&lt;=15,"Low Charges",
IF(#REF!&lt;=20,"Medium Charges","High Charges"))</f>
        <v>#REF!</v>
      </c>
      <c r="AB1818" t="e">
        <f>IF(AND(#REF!&gt;180, #REF!&gt;200), "Heavy Doemstic User", IF(#REF!&gt;10, "Interntional User", IF(AND(#REF!&lt;180, #REF!&lt;200,#REF!&lt;200), "Light User", "Balanced User")))</f>
        <v>#REF!</v>
      </c>
      <c r="AC1818" t="e">
        <f>IF(#REF! = 0, "No Usage", IF(#REF! &lt;= 20, "Low Usage", IF(#REF! &lt;= 40, "Medium Usgae", "High Usage")))</f>
        <v>#REF!</v>
      </c>
      <c r="AD1818" t="e">
        <f>IF(#REF!&lt;=150,"Low Usage", IF(#REF!&lt;=200,"Medium Usage", IF(#REF!&lt;=250,"High Usage","Very High Usage")))</f>
        <v>#REF!</v>
      </c>
      <c r="AE1818" t="e">
        <f>IF(#REF!&lt;=5,"Low Calls", IF(#REF!&lt;=10, "Medium Calls", "High Calls"))</f>
        <v>#REF!</v>
      </c>
      <c r="AF1818" t="e">
        <f xml:space="preserve">
IF(#REF!&gt;=4,4,0)+
IF(#REF!="yes",3,0)+
IF(#REF!="High Charges",3,0)+
IF(#REF!&gt;250,4,0)+
IF(#REF!="no",1,0)+
IF(#REF!="Heavy Domestic User",2,0)</f>
        <v>#REF!</v>
      </c>
      <c r="AG1818" t="e">
        <f>IF(#REF!&gt;=10,"High Risk", IF(#REF!&gt;=5,"Medium Risk","Low Risk"))</f>
        <v>#REF!</v>
      </c>
      <c r="AH1818" t="e">
        <f>#REF! + #REF! + #REF! + #REF!</f>
        <v>#REF!</v>
      </c>
    </row>
    <row r="1819" spans="1:34" x14ac:dyDescent="0.35">
      <c r="A1819">
        <v>1818</v>
      </c>
      <c r="B1819" t="s">
        <v>44</v>
      </c>
      <c r="C1819">
        <v>124</v>
      </c>
      <c r="D1819" t="s">
        <v>21</v>
      </c>
      <c r="E1819" t="s">
        <v>22</v>
      </c>
      <c r="F1819" t="s">
        <v>22</v>
      </c>
      <c r="G1819">
        <v>0</v>
      </c>
      <c r="H1819">
        <v>178.3</v>
      </c>
      <c r="I1819">
        <v>102</v>
      </c>
      <c r="J1819">
        <v>30.31</v>
      </c>
      <c r="K1819">
        <v>235</v>
      </c>
      <c r="L1819">
        <v>120</v>
      </c>
      <c r="M1819">
        <v>19.98</v>
      </c>
      <c r="N1819">
        <v>239.7</v>
      </c>
      <c r="O1819">
        <v>119</v>
      </c>
      <c r="P1819">
        <v>10.79</v>
      </c>
      <c r="Q1819">
        <v>10.9</v>
      </c>
      <c r="R1819">
        <v>1</v>
      </c>
      <c r="S1819">
        <v>2.94</v>
      </c>
      <c r="T1819">
        <v>3</v>
      </c>
      <c r="U1819" t="s">
        <v>22</v>
      </c>
      <c r="V1819" t="e">
        <f>IF(#REF! = "yes", 1, 0)</f>
        <v>#REF!</v>
      </c>
      <c r="W1819" t="e">
        <f>IF(#REF! &lt;= 1, "0-1 Calls", IF(#REF! &lt;= 3, "2-3 Calls", IF(#REF! &lt;=5, "4-5 Calls", "6+ Calls")))</f>
        <v>#REF!</v>
      </c>
      <c r="X1819" t="e">
        <f>IF(#REF! &lt;= 50, "0-50", IF(#REF! &lt;=100, "51-100", IF(#REF! &lt;= 150, "101-150", "151+")))</f>
        <v>#REF!</v>
      </c>
      <c r="Y1819" t="e">
        <f>IF(#REF! &lt;= 3, "Low Charges", "High Charges")</f>
        <v>#REF!</v>
      </c>
      <c r="Z1819" t="e">
        <f>IF(#REF!&lt;=80,"Low Calls",
IF(#REF!&lt;=120,"Medium Calls","High Calls"))</f>
        <v>#REF!</v>
      </c>
      <c r="AA1819" t="e">
        <f>IF(#REF!&lt;=15,"Low Charges",
IF(#REF!&lt;=20,"Medium Charges","High Charges"))</f>
        <v>#REF!</v>
      </c>
      <c r="AB1819" t="e">
        <f>IF(AND(#REF!&gt;180, #REF!&gt;200), "Heavy Doemstic User", IF(#REF!&gt;10, "Interntional User", IF(AND(#REF!&lt;180, #REF!&lt;200,#REF!&lt;200), "Light User", "Balanced User")))</f>
        <v>#REF!</v>
      </c>
      <c r="AC1819" t="e">
        <f>IF(#REF! = 0, "No Usage", IF(#REF! &lt;= 20, "Low Usage", IF(#REF! &lt;= 40, "Medium Usgae", "High Usage")))</f>
        <v>#REF!</v>
      </c>
      <c r="AD1819" t="e">
        <f>IF(#REF!&lt;=150,"Low Usage", IF(#REF!&lt;=200,"Medium Usage", IF(#REF!&lt;=250,"High Usage","Very High Usage")))</f>
        <v>#REF!</v>
      </c>
      <c r="AE1819" t="e">
        <f>IF(#REF!&lt;=5,"Low Calls", IF(#REF!&lt;=10, "Medium Calls", "High Calls"))</f>
        <v>#REF!</v>
      </c>
      <c r="AF1819" t="e">
        <f xml:space="preserve">
IF(#REF!&gt;=4,4,0)+
IF(#REF!="yes",3,0)+
IF(#REF!="High Charges",3,0)+
IF(#REF!&gt;250,4,0)+
IF(#REF!="no",1,0)+
IF(#REF!="Heavy Domestic User",2,0)</f>
        <v>#REF!</v>
      </c>
      <c r="AG1819" t="e">
        <f>IF(#REF!&gt;=10,"High Risk", IF(#REF!&gt;=5,"Medium Risk","Low Risk"))</f>
        <v>#REF!</v>
      </c>
      <c r="AH1819" t="e">
        <f>#REF! + #REF! + #REF! + #REF!</f>
        <v>#REF!</v>
      </c>
    </row>
    <row r="1820" spans="1:34" x14ac:dyDescent="0.35">
      <c r="A1820">
        <v>1819</v>
      </c>
      <c r="B1820" t="s">
        <v>38</v>
      </c>
      <c r="C1820">
        <v>92</v>
      </c>
      <c r="D1820" t="s">
        <v>28</v>
      </c>
      <c r="E1820" t="s">
        <v>23</v>
      </c>
      <c r="F1820" t="s">
        <v>22</v>
      </c>
      <c r="G1820">
        <v>0</v>
      </c>
      <c r="H1820">
        <v>252.3</v>
      </c>
      <c r="I1820">
        <v>120</v>
      </c>
      <c r="J1820">
        <v>42.89</v>
      </c>
      <c r="K1820">
        <v>207</v>
      </c>
      <c r="L1820">
        <v>112</v>
      </c>
      <c r="M1820">
        <v>17.600000000000001</v>
      </c>
      <c r="N1820">
        <v>284.60000000000002</v>
      </c>
      <c r="O1820">
        <v>95</v>
      </c>
      <c r="P1820">
        <v>12.81</v>
      </c>
      <c r="Q1820">
        <v>12</v>
      </c>
      <c r="R1820">
        <v>5</v>
      </c>
      <c r="S1820">
        <v>3.24</v>
      </c>
      <c r="T1820">
        <v>3</v>
      </c>
      <c r="U1820" t="s">
        <v>23</v>
      </c>
      <c r="V1820" t="e">
        <f>IF(#REF! = "yes", 1, 0)</f>
        <v>#REF!</v>
      </c>
      <c r="W1820" t="e">
        <f>IF(#REF! &lt;= 1, "0-1 Calls", IF(#REF! &lt;= 3, "2-3 Calls", IF(#REF! &lt;=5, "4-5 Calls", "6+ Calls")))</f>
        <v>#REF!</v>
      </c>
      <c r="X1820" t="e">
        <f>IF(#REF! &lt;= 50, "0-50", IF(#REF! &lt;=100, "51-100", IF(#REF! &lt;= 150, "101-150", "151+")))</f>
        <v>#REF!</v>
      </c>
      <c r="Y1820" t="e">
        <f>IF(#REF! &lt;= 3, "Low Charges", "High Charges")</f>
        <v>#REF!</v>
      </c>
      <c r="Z1820" t="e">
        <f>IF(#REF!&lt;=80,"Low Calls",
IF(#REF!&lt;=120,"Medium Calls","High Calls"))</f>
        <v>#REF!</v>
      </c>
      <c r="AA1820" t="e">
        <f>IF(#REF!&lt;=15,"Low Charges",
IF(#REF!&lt;=20,"Medium Charges","High Charges"))</f>
        <v>#REF!</v>
      </c>
      <c r="AB1820" t="e">
        <f>IF(AND(#REF!&gt;180, #REF!&gt;200), "Heavy Doemstic User", IF(#REF!&gt;10, "Interntional User", IF(AND(#REF!&lt;180, #REF!&lt;200,#REF!&lt;200), "Light User", "Balanced User")))</f>
        <v>#REF!</v>
      </c>
      <c r="AC1820" t="e">
        <f>IF(#REF! = 0, "No Usage", IF(#REF! &lt;= 20, "Low Usage", IF(#REF! &lt;= 40, "Medium Usgae", "High Usage")))</f>
        <v>#REF!</v>
      </c>
      <c r="AD1820" t="e">
        <f>IF(#REF!&lt;=150,"Low Usage", IF(#REF!&lt;=200,"Medium Usage", IF(#REF!&lt;=250,"High Usage","Very High Usage")))</f>
        <v>#REF!</v>
      </c>
      <c r="AE1820" t="e">
        <f>IF(#REF!&lt;=5,"Low Calls", IF(#REF!&lt;=10, "Medium Calls", "High Calls"))</f>
        <v>#REF!</v>
      </c>
      <c r="AF1820" t="e">
        <f xml:space="preserve">
IF(#REF!&gt;=4,4,0)+
IF(#REF!="yes",3,0)+
IF(#REF!="High Charges",3,0)+
IF(#REF!&gt;250,4,0)+
IF(#REF!="no",1,0)+
IF(#REF!="Heavy Domestic User",2,0)</f>
        <v>#REF!</v>
      </c>
      <c r="AG1820" t="e">
        <f>IF(#REF!&gt;=10,"High Risk", IF(#REF!&gt;=5,"Medium Risk","Low Risk"))</f>
        <v>#REF!</v>
      </c>
      <c r="AH1820" t="e">
        <f>#REF! + #REF! + #REF! + #REF!</f>
        <v>#REF!</v>
      </c>
    </row>
    <row r="1821" spans="1:34" x14ac:dyDescent="0.35">
      <c r="A1821">
        <v>1820</v>
      </c>
      <c r="B1821" t="s">
        <v>64</v>
      </c>
      <c r="C1821">
        <v>48</v>
      </c>
      <c r="D1821" t="s">
        <v>21</v>
      </c>
      <c r="E1821" t="s">
        <v>22</v>
      </c>
      <c r="F1821" t="s">
        <v>22</v>
      </c>
      <c r="G1821">
        <v>0</v>
      </c>
      <c r="H1821">
        <v>197.7</v>
      </c>
      <c r="I1821">
        <v>64</v>
      </c>
      <c r="J1821">
        <v>33.61</v>
      </c>
      <c r="K1821">
        <v>136.69999999999999</v>
      </c>
      <c r="L1821">
        <v>126</v>
      </c>
      <c r="M1821">
        <v>11.62</v>
      </c>
      <c r="N1821">
        <v>244.4</v>
      </c>
      <c r="O1821">
        <v>81</v>
      </c>
      <c r="P1821">
        <v>11</v>
      </c>
      <c r="Q1821">
        <v>13.2</v>
      </c>
      <c r="R1821">
        <v>5</v>
      </c>
      <c r="S1821">
        <v>3.56</v>
      </c>
      <c r="T1821">
        <v>4</v>
      </c>
      <c r="U1821" t="s">
        <v>22</v>
      </c>
      <c r="V1821" t="e">
        <f>IF(#REF! = "yes", 1, 0)</f>
        <v>#REF!</v>
      </c>
      <c r="W1821" t="e">
        <f>IF(#REF! &lt;= 1, "0-1 Calls", IF(#REF! &lt;= 3, "2-3 Calls", IF(#REF! &lt;=5, "4-5 Calls", "6+ Calls")))</f>
        <v>#REF!</v>
      </c>
      <c r="X1821" t="e">
        <f>IF(#REF! &lt;= 50, "0-50", IF(#REF! &lt;=100, "51-100", IF(#REF! &lt;= 150, "101-150", "151+")))</f>
        <v>#REF!</v>
      </c>
      <c r="Y1821" t="e">
        <f>IF(#REF! &lt;= 3, "Low Charges", "High Charges")</f>
        <v>#REF!</v>
      </c>
      <c r="Z1821" t="e">
        <f>IF(#REF!&lt;=80,"Low Calls",
IF(#REF!&lt;=120,"Medium Calls","High Calls"))</f>
        <v>#REF!</v>
      </c>
      <c r="AA1821" t="e">
        <f>IF(#REF!&lt;=15,"Low Charges",
IF(#REF!&lt;=20,"Medium Charges","High Charges"))</f>
        <v>#REF!</v>
      </c>
      <c r="AB1821" t="e">
        <f>IF(AND(#REF!&gt;180, #REF!&gt;200), "Heavy Doemstic User", IF(#REF!&gt;10, "Interntional User", IF(AND(#REF!&lt;180, #REF!&lt;200,#REF!&lt;200), "Light User", "Balanced User")))</f>
        <v>#REF!</v>
      </c>
      <c r="AC1821" t="e">
        <f>IF(#REF! = 0, "No Usage", IF(#REF! &lt;= 20, "Low Usage", IF(#REF! &lt;= 40, "Medium Usgae", "High Usage")))</f>
        <v>#REF!</v>
      </c>
      <c r="AD1821" t="e">
        <f>IF(#REF!&lt;=150,"Low Usage", IF(#REF!&lt;=200,"Medium Usage", IF(#REF!&lt;=250,"High Usage","Very High Usage")))</f>
        <v>#REF!</v>
      </c>
      <c r="AE1821" t="e">
        <f>IF(#REF!&lt;=5,"Low Calls", IF(#REF!&lt;=10, "Medium Calls", "High Calls"))</f>
        <v>#REF!</v>
      </c>
      <c r="AF1821" t="e">
        <f xml:space="preserve">
IF(#REF!&gt;=4,4,0)+
IF(#REF!="yes",3,0)+
IF(#REF!="High Charges",3,0)+
IF(#REF!&gt;250,4,0)+
IF(#REF!="no",1,0)+
IF(#REF!="Heavy Domestic User",2,0)</f>
        <v>#REF!</v>
      </c>
      <c r="AG1821" t="e">
        <f>IF(#REF!&gt;=10,"High Risk", IF(#REF!&gt;=5,"Medium Risk","Low Risk"))</f>
        <v>#REF!</v>
      </c>
      <c r="AH1821" t="e">
        <f>#REF! + #REF! + #REF! + #REF!</f>
        <v>#REF!</v>
      </c>
    </row>
    <row r="1822" spans="1:34" x14ac:dyDescent="0.35">
      <c r="A1822">
        <v>1821</v>
      </c>
      <c r="B1822" t="s">
        <v>20</v>
      </c>
      <c r="C1822">
        <v>98</v>
      </c>
      <c r="D1822" t="s">
        <v>28</v>
      </c>
      <c r="E1822" t="s">
        <v>22</v>
      </c>
      <c r="F1822" t="s">
        <v>23</v>
      </c>
      <c r="G1822">
        <v>29</v>
      </c>
      <c r="H1822">
        <v>111.1</v>
      </c>
      <c r="I1822">
        <v>105</v>
      </c>
      <c r="J1822">
        <v>18.89</v>
      </c>
      <c r="K1822">
        <v>217.9</v>
      </c>
      <c r="L1822">
        <v>101</v>
      </c>
      <c r="M1822">
        <v>18.52</v>
      </c>
      <c r="N1822">
        <v>248.1</v>
      </c>
      <c r="O1822">
        <v>108</v>
      </c>
      <c r="P1822">
        <v>11.16</v>
      </c>
      <c r="Q1822">
        <v>6.6</v>
      </c>
      <c r="R1822">
        <v>3</v>
      </c>
      <c r="S1822">
        <v>1.78</v>
      </c>
      <c r="T1822">
        <v>2</v>
      </c>
      <c r="U1822" t="s">
        <v>22</v>
      </c>
      <c r="V1822" t="e">
        <f>IF(#REF! = "yes", 1, 0)</f>
        <v>#REF!</v>
      </c>
      <c r="W1822" t="e">
        <f>IF(#REF! &lt;= 1, "0-1 Calls", IF(#REF! &lt;= 3, "2-3 Calls", IF(#REF! &lt;=5, "4-5 Calls", "6+ Calls")))</f>
        <v>#REF!</v>
      </c>
      <c r="X1822" t="e">
        <f>IF(#REF! &lt;= 50, "0-50", IF(#REF! &lt;=100, "51-100", IF(#REF! &lt;= 150, "101-150", "151+")))</f>
        <v>#REF!</v>
      </c>
      <c r="Y1822" t="e">
        <f>IF(#REF! &lt;= 3, "Low Charges", "High Charges")</f>
        <v>#REF!</v>
      </c>
      <c r="Z1822" t="e">
        <f>IF(#REF!&lt;=80,"Low Calls",
IF(#REF!&lt;=120,"Medium Calls","High Calls"))</f>
        <v>#REF!</v>
      </c>
      <c r="AA1822" t="e">
        <f>IF(#REF!&lt;=15,"Low Charges",
IF(#REF!&lt;=20,"Medium Charges","High Charges"))</f>
        <v>#REF!</v>
      </c>
      <c r="AB1822" t="e">
        <f>IF(AND(#REF!&gt;180, #REF!&gt;200), "Heavy Doemstic User", IF(#REF!&gt;10, "Interntional User", IF(AND(#REF!&lt;180, #REF!&lt;200,#REF!&lt;200), "Light User", "Balanced User")))</f>
        <v>#REF!</v>
      </c>
      <c r="AC1822" t="e">
        <f>IF(#REF! = 0, "No Usage", IF(#REF! &lt;= 20, "Low Usage", IF(#REF! &lt;= 40, "Medium Usgae", "High Usage")))</f>
        <v>#REF!</v>
      </c>
      <c r="AD1822" t="e">
        <f>IF(#REF!&lt;=150,"Low Usage", IF(#REF!&lt;=200,"Medium Usage", IF(#REF!&lt;=250,"High Usage","Very High Usage")))</f>
        <v>#REF!</v>
      </c>
      <c r="AE1822" t="e">
        <f>IF(#REF!&lt;=5,"Low Calls", IF(#REF!&lt;=10, "Medium Calls", "High Calls"))</f>
        <v>#REF!</v>
      </c>
      <c r="AF1822" t="e">
        <f xml:space="preserve">
IF(#REF!&gt;=4,4,0)+
IF(#REF!="yes",3,0)+
IF(#REF!="High Charges",3,0)+
IF(#REF!&gt;250,4,0)+
IF(#REF!="no",1,0)+
IF(#REF!="Heavy Domestic User",2,0)</f>
        <v>#REF!</v>
      </c>
      <c r="AG1822" t="e">
        <f>IF(#REF!&gt;=10,"High Risk", IF(#REF!&gt;=5,"Medium Risk","Low Risk"))</f>
        <v>#REF!</v>
      </c>
      <c r="AH1822" t="e">
        <f>#REF! + #REF! + #REF! + #REF!</f>
        <v>#REF!</v>
      </c>
    </row>
    <row r="1823" spans="1:34" x14ac:dyDescent="0.35">
      <c r="A1823">
        <v>1822</v>
      </c>
      <c r="B1823" t="s">
        <v>35</v>
      </c>
      <c r="C1823">
        <v>100</v>
      </c>
      <c r="D1823" t="s">
        <v>21</v>
      </c>
      <c r="E1823" t="s">
        <v>22</v>
      </c>
      <c r="F1823" t="s">
        <v>22</v>
      </c>
      <c r="G1823">
        <v>0</v>
      </c>
      <c r="H1823">
        <v>96.5</v>
      </c>
      <c r="I1823">
        <v>86</v>
      </c>
      <c r="J1823">
        <v>16.41</v>
      </c>
      <c r="K1823">
        <v>210.2</v>
      </c>
      <c r="L1823">
        <v>133</v>
      </c>
      <c r="M1823">
        <v>17.87</v>
      </c>
      <c r="N1823">
        <v>146.4</v>
      </c>
      <c r="O1823">
        <v>106</v>
      </c>
      <c r="P1823">
        <v>6.59</v>
      </c>
      <c r="Q1823">
        <v>12.5</v>
      </c>
      <c r="R1823">
        <v>3</v>
      </c>
      <c r="S1823">
        <v>3.38</v>
      </c>
      <c r="T1823">
        <v>1</v>
      </c>
      <c r="U1823" t="s">
        <v>23</v>
      </c>
      <c r="V1823" t="e">
        <f>IF(#REF! = "yes", 1, 0)</f>
        <v>#REF!</v>
      </c>
      <c r="W1823" t="e">
        <f>IF(#REF! &lt;= 1, "0-1 Calls", IF(#REF! &lt;= 3, "2-3 Calls", IF(#REF! &lt;=5, "4-5 Calls", "6+ Calls")))</f>
        <v>#REF!</v>
      </c>
      <c r="X1823" t="e">
        <f>IF(#REF! &lt;= 50, "0-50", IF(#REF! &lt;=100, "51-100", IF(#REF! &lt;= 150, "101-150", "151+")))</f>
        <v>#REF!</v>
      </c>
      <c r="Y1823" t="e">
        <f>IF(#REF! &lt;= 3, "Low Charges", "High Charges")</f>
        <v>#REF!</v>
      </c>
      <c r="Z1823" t="e">
        <f>IF(#REF!&lt;=80,"Low Calls",
IF(#REF!&lt;=120,"Medium Calls","High Calls"))</f>
        <v>#REF!</v>
      </c>
      <c r="AA1823" t="e">
        <f>IF(#REF!&lt;=15,"Low Charges",
IF(#REF!&lt;=20,"Medium Charges","High Charges"))</f>
        <v>#REF!</v>
      </c>
      <c r="AB1823" t="e">
        <f>IF(AND(#REF!&gt;180, #REF!&gt;200), "Heavy Doemstic User", IF(#REF!&gt;10, "Interntional User", IF(AND(#REF!&lt;180, #REF!&lt;200,#REF!&lt;200), "Light User", "Balanced User")))</f>
        <v>#REF!</v>
      </c>
      <c r="AC1823" t="e">
        <f>IF(#REF! = 0, "No Usage", IF(#REF! &lt;= 20, "Low Usage", IF(#REF! &lt;= 40, "Medium Usgae", "High Usage")))</f>
        <v>#REF!</v>
      </c>
      <c r="AD1823" t="e">
        <f>IF(#REF!&lt;=150,"Low Usage", IF(#REF!&lt;=200,"Medium Usage", IF(#REF!&lt;=250,"High Usage","Very High Usage")))</f>
        <v>#REF!</v>
      </c>
      <c r="AE1823" t="e">
        <f>IF(#REF!&lt;=5,"Low Calls", IF(#REF!&lt;=10, "Medium Calls", "High Calls"))</f>
        <v>#REF!</v>
      </c>
      <c r="AF1823" t="e">
        <f xml:space="preserve">
IF(#REF!&gt;=4,4,0)+
IF(#REF!="yes",3,0)+
IF(#REF!="High Charges",3,0)+
IF(#REF!&gt;250,4,0)+
IF(#REF!="no",1,0)+
IF(#REF!="Heavy Domestic User",2,0)</f>
        <v>#REF!</v>
      </c>
      <c r="AG1823" t="e">
        <f>IF(#REF!&gt;=10,"High Risk", IF(#REF!&gt;=5,"Medium Risk","Low Risk"))</f>
        <v>#REF!</v>
      </c>
      <c r="AH1823" t="e">
        <f>#REF! + #REF! + #REF! + #REF!</f>
        <v>#REF!</v>
      </c>
    </row>
    <row r="1824" spans="1:34" x14ac:dyDescent="0.35">
      <c r="A1824">
        <v>1823</v>
      </c>
      <c r="B1824" t="s">
        <v>38</v>
      </c>
      <c r="C1824">
        <v>164</v>
      </c>
      <c r="D1824" t="s">
        <v>21</v>
      </c>
      <c r="E1824" t="s">
        <v>22</v>
      </c>
      <c r="F1824" t="s">
        <v>22</v>
      </c>
      <c r="G1824">
        <v>0</v>
      </c>
      <c r="H1824">
        <v>123.3</v>
      </c>
      <c r="I1824">
        <v>78</v>
      </c>
      <c r="J1824">
        <v>20.96</v>
      </c>
      <c r="K1824">
        <v>170</v>
      </c>
      <c r="L1824">
        <v>85</v>
      </c>
      <c r="M1824">
        <v>14.45</v>
      </c>
      <c r="N1824">
        <v>165.9</v>
      </c>
      <c r="O1824">
        <v>78</v>
      </c>
      <c r="P1824">
        <v>7.47</v>
      </c>
      <c r="Q1824">
        <v>12.7</v>
      </c>
      <c r="R1824">
        <v>2</v>
      </c>
      <c r="S1824">
        <v>3.43</v>
      </c>
      <c r="T1824">
        <v>1</v>
      </c>
      <c r="U1824" t="s">
        <v>22</v>
      </c>
      <c r="V1824" t="e">
        <f>IF(#REF! = "yes", 1, 0)</f>
        <v>#REF!</v>
      </c>
      <c r="W1824" t="e">
        <f>IF(#REF! &lt;= 1, "0-1 Calls", IF(#REF! &lt;= 3, "2-3 Calls", IF(#REF! &lt;=5, "4-5 Calls", "6+ Calls")))</f>
        <v>#REF!</v>
      </c>
      <c r="X1824" t="e">
        <f>IF(#REF! &lt;= 50, "0-50", IF(#REF! &lt;=100, "51-100", IF(#REF! &lt;= 150, "101-150", "151+")))</f>
        <v>#REF!</v>
      </c>
      <c r="Y1824" t="e">
        <f>IF(#REF! &lt;= 3, "Low Charges", "High Charges")</f>
        <v>#REF!</v>
      </c>
      <c r="Z1824" t="e">
        <f>IF(#REF!&lt;=80,"Low Calls",
IF(#REF!&lt;=120,"Medium Calls","High Calls"))</f>
        <v>#REF!</v>
      </c>
      <c r="AA1824" t="e">
        <f>IF(#REF!&lt;=15,"Low Charges",
IF(#REF!&lt;=20,"Medium Charges","High Charges"))</f>
        <v>#REF!</v>
      </c>
      <c r="AB1824" t="e">
        <f>IF(AND(#REF!&gt;180, #REF!&gt;200), "Heavy Doemstic User", IF(#REF!&gt;10, "Interntional User", IF(AND(#REF!&lt;180, #REF!&lt;200,#REF!&lt;200), "Light User", "Balanced User")))</f>
        <v>#REF!</v>
      </c>
      <c r="AC1824" t="e">
        <f>IF(#REF! = 0, "No Usage", IF(#REF! &lt;= 20, "Low Usage", IF(#REF! &lt;= 40, "Medium Usgae", "High Usage")))</f>
        <v>#REF!</v>
      </c>
      <c r="AD1824" t="e">
        <f>IF(#REF!&lt;=150,"Low Usage", IF(#REF!&lt;=200,"Medium Usage", IF(#REF!&lt;=250,"High Usage","Very High Usage")))</f>
        <v>#REF!</v>
      </c>
      <c r="AE1824" t="e">
        <f>IF(#REF!&lt;=5,"Low Calls", IF(#REF!&lt;=10, "Medium Calls", "High Calls"))</f>
        <v>#REF!</v>
      </c>
      <c r="AF1824" t="e">
        <f xml:space="preserve">
IF(#REF!&gt;=4,4,0)+
IF(#REF!="yes",3,0)+
IF(#REF!="High Charges",3,0)+
IF(#REF!&gt;250,4,0)+
IF(#REF!="no",1,0)+
IF(#REF!="Heavy Domestic User",2,0)</f>
        <v>#REF!</v>
      </c>
      <c r="AG1824" t="e">
        <f>IF(#REF!&gt;=10,"High Risk", IF(#REF!&gt;=5,"Medium Risk","Low Risk"))</f>
        <v>#REF!</v>
      </c>
      <c r="AH1824" t="e">
        <f>#REF! + #REF! + #REF! + #REF!</f>
        <v>#REF!</v>
      </c>
    </row>
    <row r="1825" spans="1:34" x14ac:dyDescent="0.35">
      <c r="A1825">
        <v>1824</v>
      </c>
      <c r="B1825" t="s">
        <v>61</v>
      </c>
      <c r="C1825">
        <v>105</v>
      </c>
      <c r="D1825" t="s">
        <v>21</v>
      </c>
      <c r="E1825" t="s">
        <v>22</v>
      </c>
      <c r="F1825" t="s">
        <v>22</v>
      </c>
      <c r="G1825">
        <v>0</v>
      </c>
      <c r="H1825">
        <v>193.7</v>
      </c>
      <c r="I1825">
        <v>108</v>
      </c>
      <c r="J1825">
        <v>32.93</v>
      </c>
      <c r="K1825">
        <v>183.2</v>
      </c>
      <c r="L1825">
        <v>124</v>
      </c>
      <c r="M1825">
        <v>15.57</v>
      </c>
      <c r="N1825">
        <v>293.7</v>
      </c>
      <c r="O1825">
        <v>72</v>
      </c>
      <c r="P1825">
        <v>13.22</v>
      </c>
      <c r="Q1825">
        <v>10.8</v>
      </c>
      <c r="R1825">
        <v>5</v>
      </c>
      <c r="S1825">
        <v>2.92</v>
      </c>
      <c r="T1825">
        <v>1</v>
      </c>
      <c r="U1825" t="s">
        <v>22</v>
      </c>
      <c r="V1825" t="e">
        <f>IF(#REF! = "yes", 1, 0)</f>
        <v>#REF!</v>
      </c>
      <c r="W1825" t="e">
        <f>IF(#REF! &lt;= 1, "0-1 Calls", IF(#REF! &lt;= 3, "2-3 Calls", IF(#REF! &lt;=5, "4-5 Calls", "6+ Calls")))</f>
        <v>#REF!</v>
      </c>
      <c r="X1825" t="e">
        <f>IF(#REF! &lt;= 50, "0-50", IF(#REF! &lt;=100, "51-100", IF(#REF! &lt;= 150, "101-150", "151+")))</f>
        <v>#REF!</v>
      </c>
      <c r="Y1825" t="e">
        <f>IF(#REF! &lt;= 3, "Low Charges", "High Charges")</f>
        <v>#REF!</v>
      </c>
      <c r="Z1825" t="e">
        <f>IF(#REF!&lt;=80,"Low Calls",
IF(#REF!&lt;=120,"Medium Calls","High Calls"))</f>
        <v>#REF!</v>
      </c>
      <c r="AA1825" t="e">
        <f>IF(#REF!&lt;=15,"Low Charges",
IF(#REF!&lt;=20,"Medium Charges","High Charges"))</f>
        <v>#REF!</v>
      </c>
      <c r="AB1825" t="e">
        <f>IF(AND(#REF!&gt;180, #REF!&gt;200), "Heavy Doemstic User", IF(#REF!&gt;10, "Interntional User", IF(AND(#REF!&lt;180, #REF!&lt;200,#REF!&lt;200), "Light User", "Balanced User")))</f>
        <v>#REF!</v>
      </c>
      <c r="AC1825" t="e">
        <f>IF(#REF! = 0, "No Usage", IF(#REF! &lt;= 20, "Low Usage", IF(#REF! &lt;= 40, "Medium Usgae", "High Usage")))</f>
        <v>#REF!</v>
      </c>
      <c r="AD1825" t="e">
        <f>IF(#REF!&lt;=150,"Low Usage", IF(#REF!&lt;=200,"Medium Usage", IF(#REF!&lt;=250,"High Usage","Very High Usage")))</f>
        <v>#REF!</v>
      </c>
      <c r="AE1825" t="e">
        <f>IF(#REF!&lt;=5,"Low Calls", IF(#REF!&lt;=10, "Medium Calls", "High Calls"))</f>
        <v>#REF!</v>
      </c>
      <c r="AF1825" t="e">
        <f xml:space="preserve">
IF(#REF!&gt;=4,4,0)+
IF(#REF!="yes",3,0)+
IF(#REF!="High Charges",3,0)+
IF(#REF!&gt;250,4,0)+
IF(#REF!="no",1,0)+
IF(#REF!="Heavy Domestic User",2,0)</f>
        <v>#REF!</v>
      </c>
      <c r="AG1825" t="e">
        <f>IF(#REF!&gt;=10,"High Risk", IF(#REF!&gt;=5,"Medium Risk","Low Risk"))</f>
        <v>#REF!</v>
      </c>
      <c r="AH1825" t="e">
        <f>#REF! + #REF! + #REF! + #REF!</f>
        <v>#REF!</v>
      </c>
    </row>
    <row r="1826" spans="1:34" x14ac:dyDescent="0.35">
      <c r="A1826">
        <v>1825</v>
      </c>
      <c r="B1826" t="s">
        <v>50</v>
      </c>
      <c r="C1826">
        <v>89</v>
      </c>
      <c r="D1826" t="s">
        <v>25</v>
      </c>
      <c r="E1826" t="s">
        <v>23</v>
      </c>
      <c r="F1826" t="s">
        <v>22</v>
      </c>
      <c r="G1826">
        <v>0</v>
      </c>
      <c r="H1826">
        <v>206.9</v>
      </c>
      <c r="I1826">
        <v>134</v>
      </c>
      <c r="J1826">
        <v>35.17</v>
      </c>
      <c r="K1826">
        <v>167.7</v>
      </c>
      <c r="L1826">
        <v>105</v>
      </c>
      <c r="M1826">
        <v>14.25</v>
      </c>
      <c r="N1826">
        <v>155.69999999999999</v>
      </c>
      <c r="O1826">
        <v>86</v>
      </c>
      <c r="P1826">
        <v>7.01</v>
      </c>
      <c r="Q1826">
        <v>10.9</v>
      </c>
      <c r="R1826">
        <v>4</v>
      </c>
      <c r="S1826">
        <v>2.94</v>
      </c>
      <c r="T1826">
        <v>0</v>
      </c>
      <c r="U1826" t="s">
        <v>22</v>
      </c>
      <c r="V1826" t="e">
        <f>IF(#REF! = "yes", 1, 0)</f>
        <v>#REF!</v>
      </c>
      <c r="W1826" t="e">
        <f>IF(#REF! &lt;= 1, "0-1 Calls", IF(#REF! &lt;= 3, "2-3 Calls", IF(#REF! &lt;=5, "4-5 Calls", "6+ Calls")))</f>
        <v>#REF!</v>
      </c>
      <c r="X1826" t="e">
        <f>IF(#REF! &lt;= 50, "0-50", IF(#REF! &lt;=100, "51-100", IF(#REF! &lt;= 150, "101-150", "151+")))</f>
        <v>#REF!</v>
      </c>
      <c r="Y1826" t="e">
        <f>IF(#REF! &lt;= 3, "Low Charges", "High Charges")</f>
        <v>#REF!</v>
      </c>
      <c r="Z1826" t="e">
        <f>IF(#REF!&lt;=80,"Low Calls",
IF(#REF!&lt;=120,"Medium Calls","High Calls"))</f>
        <v>#REF!</v>
      </c>
      <c r="AA1826" t="e">
        <f>IF(#REF!&lt;=15,"Low Charges",
IF(#REF!&lt;=20,"Medium Charges","High Charges"))</f>
        <v>#REF!</v>
      </c>
      <c r="AB1826" t="e">
        <f>IF(AND(#REF!&gt;180, #REF!&gt;200), "Heavy Doemstic User", IF(#REF!&gt;10, "Interntional User", IF(AND(#REF!&lt;180, #REF!&lt;200,#REF!&lt;200), "Light User", "Balanced User")))</f>
        <v>#REF!</v>
      </c>
      <c r="AC1826" t="e">
        <f>IF(#REF! = 0, "No Usage", IF(#REF! &lt;= 20, "Low Usage", IF(#REF! &lt;= 40, "Medium Usgae", "High Usage")))</f>
        <v>#REF!</v>
      </c>
      <c r="AD1826" t="e">
        <f>IF(#REF!&lt;=150,"Low Usage", IF(#REF!&lt;=200,"Medium Usage", IF(#REF!&lt;=250,"High Usage","Very High Usage")))</f>
        <v>#REF!</v>
      </c>
      <c r="AE1826" t="e">
        <f>IF(#REF!&lt;=5,"Low Calls", IF(#REF!&lt;=10, "Medium Calls", "High Calls"))</f>
        <v>#REF!</v>
      </c>
      <c r="AF1826" t="e">
        <f xml:space="preserve">
IF(#REF!&gt;=4,4,0)+
IF(#REF!="yes",3,0)+
IF(#REF!="High Charges",3,0)+
IF(#REF!&gt;250,4,0)+
IF(#REF!="no",1,0)+
IF(#REF!="Heavy Domestic User",2,0)</f>
        <v>#REF!</v>
      </c>
      <c r="AG1826" t="e">
        <f>IF(#REF!&gt;=10,"High Risk", IF(#REF!&gt;=5,"Medium Risk","Low Risk"))</f>
        <v>#REF!</v>
      </c>
      <c r="AH1826" t="e">
        <f>#REF! + #REF! + #REF! + #REF!</f>
        <v>#REF!</v>
      </c>
    </row>
    <row r="1827" spans="1:34" x14ac:dyDescent="0.35">
      <c r="A1827">
        <v>1826</v>
      </c>
      <c r="B1827" t="s">
        <v>69</v>
      </c>
      <c r="C1827">
        <v>126</v>
      </c>
      <c r="D1827" t="s">
        <v>21</v>
      </c>
      <c r="E1827" t="s">
        <v>22</v>
      </c>
      <c r="F1827" t="s">
        <v>22</v>
      </c>
      <c r="G1827">
        <v>0</v>
      </c>
      <c r="H1827">
        <v>249.8</v>
      </c>
      <c r="I1827">
        <v>96</v>
      </c>
      <c r="J1827">
        <v>42.47</v>
      </c>
      <c r="K1827">
        <v>261.89999999999998</v>
      </c>
      <c r="L1827">
        <v>92</v>
      </c>
      <c r="M1827">
        <v>22.26</v>
      </c>
      <c r="N1827">
        <v>166.8</v>
      </c>
      <c r="O1827">
        <v>108</v>
      </c>
      <c r="P1827">
        <v>7.51</v>
      </c>
      <c r="Q1827">
        <v>12.7</v>
      </c>
      <c r="R1827">
        <v>4</v>
      </c>
      <c r="S1827">
        <v>3.43</v>
      </c>
      <c r="T1827">
        <v>3</v>
      </c>
      <c r="U1827" t="s">
        <v>23</v>
      </c>
      <c r="V1827" t="e">
        <f>IF(#REF! = "yes", 1, 0)</f>
        <v>#REF!</v>
      </c>
      <c r="W1827" t="e">
        <f>IF(#REF! &lt;= 1, "0-1 Calls", IF(#REF! &lt;= 3, "2-3 Calls", IF(#REF! &lt;=5, "4-5 Calls", "6+ Calls")))</f>
        <v>#REF!</v>
      </c>
      <c r="X1827" t="e">
        <f>IF(#REF! &lt;= 50, "0-50", IF(#REF! &lt;=100, "51-100", IF(#REF! &lt;= 150, "101-150", "151+")))</f>
        <v>#REF!</v>
      </c>
      <c r="Y1827" t="e">
        <f>IF(#REF! &lt;= 3, "Low Charges", "High Charges")</f>
        <v>#REF!</v>
      </c>
      <c r="Z1827" t="e">
        <f>IF(#REF!&lt;=80,"Low Calls",
IF(#REF!&lt;=120,"Medium Calls","High Calls"))</f>
        <v>#REF!</v>
      </c>
      <c r="AA1827" t="e">
        <f>IF(#REF!&lt;=15,"Low Charges",
IF(#REF!&lt;=20,"Medium Charges","High Charges"))</f>
        <v>#REF!</v>
      </c>
      <c r="AB1827" t="e">
        <f>IF(AND(#REF!&gt;180, #REF!&gt;200), "Heavy Doemstic User", IF(#REF!&gt;10, "Interntional User", IF(AND(#REF!&lt;180, #REF!&lt;200,#REF!&lt;200), "Light User", "Balanced User")))</f>
        <v>#REF!</v>
      </c>
      <c r="AC1827" t="e">
        <f>IF(#REF! = 0, "No Usage", IF(#REF! &lt;= 20, "Low Usage", IF(#REF! &lt;= 40, "Medium Usgae", "High Usage")))</f>
        <v>#REF!</v>
      </c>
      <c r="AD1827" t="e">
        <f>IF(#REF!&lt;=150,"Low Usage", IF(#REF!&lt;=200,"Medium Usage", IF(#REF!&lt;=250,"High Usage","Very High Usage")))</f>
        <v>#REF!</v>
      </c>
      <c r="AE1827" t="e">
        <f>IF(#REF!&lt;=5,"Low Calls", IF(#REF!&lt;=10, "Medium Calls", "High Calls"))</f>
        <v>#REF!</v>
      </c>
      <c r="AF1827" t="e">
        <f xml:space="preserve">
IF(#REF!&gt;=4,4,0)+
IF(#REF!="yes",3,0)+
IF(#REF!="High Charges",3,0)+
IF(#REF!&gt;250,4,0)+
IF(#REF!="no",1,0)+
IF(#REF!="Heavy Domestic User",2,0)</f>
        <v>#REF!</v>
      </c>
      <c r="AG1827" t="e">
        <f>IF(#REF!&gt;=10,"High Risk", IF(#REF!&gt;=5,"Medium Risk","Low Risk"))</f>
        <v>#REF!</v>
      </c>
      <c r="AH1827" t="e">
        <f>#REF! + #REF! + #REF! + #REF!</f>
        <v>#REF!</v>
      </c>
    </row>
    <row r="1828" spans="1:34" x14ac:dyDescent="0.35">
      <c r="A1828">
        <v>1827</v>
      </c>
      <c r="B1828" t="s">
        <v>44</v>
      </c>
      <c r="C1828">
        <v>96</v>
      </c>
      <c r="D1828" t="s">
        <v>25</v>
      </c>
      <c r="E1828" t="s">
        <v>22</v>
      </c>
      <c r="F1828" t="s">
        <v>22</v>
      </c>
      <c r="G1828">
        <v>0</v>
      </c>
      <c r="H1828">
        <v>144</v>
      </c>
      <c r="I1828">
        <v>102</v>
      </c>
      <c r="J1828">
        <v>24.48</v>
      </c>
      <c r="K1828">
        <v>224.7</v>
      </c>
      <c r="L1828">
        <v>73</v>
      </c>
      <c r="M1828">
        <v>19.100000000000001</v>
      </c>
      <c r="N1828">
        <v>227.7</v>
      </c>
      <c r="O1828">
        <v>91</v>
      </c>
      <c r="P1828">
        <v>10.25</v>
      </c>
      <c r="Q1828">
        <v>10</v>
      </c>
      <c r="R1828">
        <v>7</v>
      </c>
      <c r="S1828">
        <v>2.7</v>
      </c>
      <c r="T1828">
        <v>1</v>
      </c>
      <c r="U1828" t="s">
        <v>22</v>
      </c>
      <c r="V1828" t="e">
        <f>IF(#REF! = "yes", 1, 0)</f>
        <v>#REF!</v>
      </c>
      <c r="W1828" t="e">
        <f>IF(#REF! &lt;= 1, "0-1 Calls", IF(#REF! &lt;= 3, "2-3 Calls", IF(#REF! &lt;=5, "4-5 Calls", "6+ Calls")))</f>
        <v>#REF!</v>
      </c>
      <c r="X1828" t="e">
        <f>IF(#REF! &lt;= 50, "0-50", IF(#REF! &lt;=100, "51-100", IF(#REF! &lt;= 150, "101-150", "151+")))</f>
        <v>#REF!</v>
      </c>
      <c r="Y1828" t="e">
        <f>IF(#REF! &lt;= 3, "Low Charges", "High Charges")</f>
        <v>#REF!</v>
      </c>
      <c r="Z1828" t="e">
        <f>IF(#REF!&lt;=80,"Low Calls",
IF(#REF!&lt;=120,"Medium Calls","High Calls"))</f>
        <v>#REF!</v>
      </c>
      <c r="AA1828" t="e">
        <f>IF(#REF!&lt;=15,"Low Charges",
IF(#REF!&lt;=20,"Medium Charges","High Charges"))</f>
        <v>#REF!</v>
      </c>
      <c r="AB1828" t="e">
        <f>IF(AND(#REF!&gt;180, #REF!&gt;200), "Heavy Doemstic User", IF(#REF!&gt;10, "Interntional User", IF(AND(#REF!&lt;180, #REF!&lt;200,#REF!&lt;200), "Light User", "Balanced User")))</f>
        <v>#REF!</v>
      </c>
      <c r="AC1828" t="e">
        <f>IF(#REF! = 0, "No Usage", IF(#REF! &lt;= 20, "Low Usage", IF(#REF! &lt;= 40, "Medium Usgae", "High Usage")))</f>
        <v>#REF!</v>
      </c>
      <c r="AD1828" t="e">
        <f>IF(#REF!&lt;=150,"Low Usage", IF(#REF!&lt;=200,"Medium Usage", IF(#REF!&lt;=250,"High Usage","Very High Usage")))</f>
        <v>#REF!</v>
      </c>
      <c r="AE1828" t="e">
        <f>IF(#REF!&lt;=5,"Low Calls", IF(#REF!&lt;=10, "Medium Calls", "High Calls"))</f>
        <v>#REF!</v>
      </c>
      <c r="AF1828" t="e">
        <f xml:space="preserve">
IF(#REF!&gt;=4,4,0)+
IF(#REF!="yes",3,0)+
IF(#REF!="High Charges",3,0)+
IF(#REF!&gt;250,4,0)+
IF(#REF!="no",1,0)+
IF(#REF!="Heavy Domestic User",2,0)</f>
        <v>#REF!</v>
      </c>
      <c r="AG1828" t="e">
        <f>IF(#REF!&gt;=10,"High Risk", IF(#REF!&gt;=5,"Medium Risk","Low Risk"))</f>
        <v>#REF!</v>
      </c>
      <c r="AH1828" t="e">
        <f>#REF! + #REF! + #REF! + #REF!</f>
        <v>#REF!</v>
      </c>
    </row>
    <row r="1829" spans="1:34" x14ac:dyDescent="0.35">
      <c r="A1829">
        <v>1828</v>
      </c>
      <c r="B1829" t="s">
        <v>34</v>
      </c>
      <c r="C1829">
        <v>120</v>
      </c>
      <c r="D1829" t="s">
        <v>21</v>
      </c>
      <c r="E1829" t="s">
        <v>22</v>
      </c>
      <c r="F1829" t="s">
        <v>23</v>
      </c>
      <c r="G1829">
        <v>33</v>
      </c>
      <c r="H1829">
        <v>299.5</v>
      </c>
      <c r="I1829">
        <v>83</v>
      </c>
      <c r="J1829">
        <v>50.92</v>
      </c>
      <c r="K1829">
        <v>163.4</v>
      </c>
      <c r="L1829">
        <v>84</v>
      </c>
      <c r="M1829">
        <v>13.89</v>
      </c>
      <c r="N1829">
        <v>146.69999999999999</v>
      </c>
      <c r="O1829">
        <v>88</v>
      </c>
      <c r="P1829">
        <v>6.6</v>
      </c>
      <c r="Q1829">
        <v>11.6</v>
      </c>
      <c r="R1829">
        <v>5</v>
      </c>
      <c r="S1829">
        <v>3.13</v>
      </c>
      <c r="T1829">
        <v>0</v>
      </c>
      <c r="U1829" t="s">
        <v>22</v>
      </c>
      <c r="V1829" t="e">
        <f>IF(#REF! = "yes", 1, 0)</f>
        <v>#REF!</v>
      </c>
      <c r="W1829" t="e">
        <f>IF(#REF! &lt;= 1, "0-1 Calls", IF(#REF! &lt;= 3, "2-3 Calls", IF(#REF! &lt;=5, "4-5 Calls", "6+ Calls")))</f>
        <v>#REF!</v>
      </c>
      <c r="X1829" t="e">
        <f>IF(#REF! &lt;= 50, "0-50", IF(#REF! &lt;=100, "51-100", IF(#REF! &lt;= 150, "101-150", "151+")))</f>
        <v>#REF!</v>
      </c>
      <c r="Y1829" t="e">
        <f>IF(#REF! &lt;= 3, "Low Charges", "High Charges")</f>
        <v>#REF!</v>
      </c>
      <c r="Z1829" t="e">
        <f>IF(#REF!&lt;=80,"Low Calls",
IF(#REF!&lt;=120,"Medium Calls","High Calls"))</f>
        <v>#REF!</v>
      </c>
      <c r="AA1829" t="e">
        <f>IF(#REF!&lt;=15,"Low Charges",
IF(#REF!&lt;=20,"Medium Charges","High Charges"))</f>
        <v>#REF!</v>
      </c>
      <c r="AB1829" t="e">
        <f>IF(AND(#REF!&gt;180, #REF!&gt;200), "Heavy Doemstic User", IF(#REF!&gt;10, "Interntional User", IF(AND(#REF!&lt;180, #REF!&lt;200,#REF!&lt;200), "Light User", "Balanced User")))</f>
        <v>#REF!</v>
      </c>
      <c r="AC1829" t="e">
        <f>IF(#REF! = 0, "No Usage", IF(#REF! &lt;= 20, "Low Usage", IF(#REF! &lt;= 40, "Medium Usgae", "High Usage")))</f>
        <v>#REF!</v>
      </c>
      <c r="AD1829" t="e">
        <f>IF(#REF!&lt;=150,"Low Usage", IF(#REF!&lt;=200,"Medium Usage", IF(#REF!&lt;=250,"High Usage","Very High Usage")))</f>
        <v>#REF!</v>
      </c>
      <c r="AE1829" t="e">
        <f>IF(#REF!&lt;=5,"Low Calls", IF(#REF!&lt;=10, "Medium Calls", "High Calls"))</f>
        <v>#REF!</v>
      </c>
      <c r="AF1829" t="e">
        <f xml:space="preserve">
IF(#REF!&gt;=4,4,0)+
IF(#REF!="yes",3,0)+
IF(#REF!="High Charges",3,0)+
IF(#REF!&gt;250,4,0)+
IF(#REF!="no",1,0)+
IF(#REF!="Heavy Domestic User",2,0)</f>
        <v>#REF!</v>
      </c>
      <c r="AG1829" t="e">
        <f>IF(#REF!&gt;=10,"High Risk", IF(#REF!&gt;=5,"Medium Risk","Low Risk"))</f>
        <v>#REF!</v>
      </c>
      <c r="AH1829" t="e">
        <f>#REF! + #REF! + #REF! + #REF!</f>
        <v>#REF!</v>
      </c>
    </row>
    <row r="1830" spans="1:34" x14ac:dyDescent="0.35">
      <c r="A1830">
        <v>1829</v>
      </c>
      <c r="B1830" t="s">
        <v>43</v>
      </c>
      <c r="C1830">
        <v>212</v>
      </c>
      <c r="D1830" t="s">
        <v>21</v>
      </c>
      <c r="E1830" t="s">
        <v>22</v>
      </c>
      <c r="F1830" t="s">
        <v>22</v>
      </c>
      <c r="G1830">
        <v>0</v>
      </c>
      <c r="H1830">
        <v>226</v>
      </c>
      <c r="I1830">
        <v>127</v>
      </c>
      <c r="J1830">
        <v>38.42</v>
      </c>
      <c r="K1830">
        <v>304.60000000000002</v>
      </c>
      <c r="L1830">
        <v>83</v>
      </c>
      <c r="M1830">
        <v>25.89</v>
      </c>
      <c r="N1830">
        <v>181.2</v>
      </c>
      <c r="O1830">
        <v>132</v>
      </c>
      <c r="P1830">
        <v>8.15</v>
      </c>
      <c r="Q1830">
        <v>12.6</v>
      </c>
      <c r="R1830">
        <v>4</v>
      </c>
      <c r="S1830">
        <v>3.4</v>
      </c>
      <c r="T1830">
        <v>2</v>
      </c>
      <c r="U1830" t="s">
        <v>23</v>
      </c>
      <c r="V1830" t="e">
        <f>IF(#REF! = "yes", 1, 0)</f>
        <v>#REF!</v>
      </c>
      <c r="W1830" t="e">
        <f>IF(#REF! &lt;= 1, "0-1 Calls", IF(#REF! &lt;= 3, "2-3 Calls", IF(#REF! &lt;=5, "4-5 Calls", "6+ Calls")))</f>
        <v>#REF!</v>
      </c>
      <c r="X1830" t="e">
        <f>IF(#REF! &lt;= 50, "0-50", IF(#REF! &lt;=100, "51-100", IF(#REF! &lt;= 150, "101-150", "151+")))</f>
        <v>#REF!</v>
      </c>
      <c r="Y1830" t="e">
        <f>IF(#REF! &lt;= 3, "Low Charges", "High Charges")</f>
        <v>#REF!</v>
      </c>
      <c r="Z1830" t="e">
        <f>IF(#REF!&lt;=80,"Low Calls",
IF(#REF!&lt;=120,"Medium Calls","High Calls"))</f>
        <v>#REF!</v>
      </c>
      <c r="AA1830" t="e">
        <f>IF(#REF!&lt;=15,"Low Charges",
IF(#REF!&lt;=20,"Medium Charges","High Charges"))</f>
        <v>#REF!</v>
      </c>
      <c r="AB1830" t="e">
        <f>IF(AND(#REF!&gt;180, #REF!&gt;200), "Heavy Doemstic User", IF(#REF!&gt;10, "Interntional User", IF(AND(#REF!&lt;180, #REF!&lt;200,#REF!&lt;200), "Light User", "Balanced User")))</f>
        <v>#REF!</v>
      </c>
      <c r="AC1830" t="e">
        <f>IF(#REF! = 0, "No Usage", IF(#REF! &lt;= 20, "Low Usage", IF(#REF! &lt;= 40, "Medium Usgae", "High Usage")))</f>
        <v>#REF!</v>
      </c>
      <c r="AD1830" t="e">
        <f>IF(#REF!&lt;=150,"Low Usage", IF(#REF!&lt;=200,"Medium Usage", IF(#REF!&lt;=250,"High Usage","Very High Usage")))</f>
        <v>#REF!</v>
      </c>
      <c r="AE1830" t="e">
        <f>IF(#REF!&lt;=5,"Low Calls", IF(#REF!&lt;=10, "Medium Calls", "High Calls"))</f>
        <v>#REF!</v>
      </c>
      <c r="AF1830" t="e">
        <f xml:space="preserve">
IF(#REF!&gt;=4,4,0)+
IF(#REF!="yes",3,0)+
IF(#REF!="High Charges",3,0)+
IF(#REF!&gt;250,4,0)+
IF(#REF!="no",1,0)+
IF(#REF!="Heavy Domestic User",2,0)</f>
        <v>#REF!</v>
      </c>
      <c r="AG1830" t="e">
        <f>IF(#REF!&gt;=10,"High Risk", IF(#REF!&gt;=5,"Medium Risk","Low Risk"))</f>
        <v>#REF!</v>
      </c>
      <c r="AH1830" t="e">
        <f>#REF! + #REF! + #REF! + #REF!</f>
        <v>#REF!</v>
      </c>
    </row>
    <row r="1831" spans="1:34" x14ac:dyDescent="0.35">
      <c r="A1831">
        <v>1830</v>
      </c>
      <c r="B1831" t="s">
        <v>58</v>
      </c>
      <c r="C1831">
        <v>72</v>
      </c>
      <c r="D1831" t="s">
        <v>21</v>
      </c>
      <c r="E1831" t="s">
        <v>22</v>
      </c>
      <c r="F1831" t="s">
        <v>22</v>
      </c>
      <c r="G1831">
        <v>0</v>
      </c>
      <c r="H1831">
        <v>137.6</v>
      </c>
      <c r="I1831">
        <v>106</v>
      </c>
      <c r="J1831">
        <v>23.39</v>
      </c>
      <c r="K1831">
        <v>143.5</v>
      </c>
      <c r="L1831">
        <v>94</v>
      </c>
      <c r="M1831">
        <v>12.2</v>
      </c>
      <c r="N1831">
        <v>273.7</v>
      </c>
      <c r="O1831">
        <v>110</v>
      </c>
      <c r="P1831">
        <v>12.32</v>
      </c>
      <c r="Q1831">
        <v>9.6</v>
      </c>
      <c r="R1831">
        <v>6</v>
      </c>
      <c r="S1831">
        <v>2.59</v>
      </c>
      <c r="T1831">
        <v>2</v>
      </c>
      <c r="U1831" t="s">
        <v>22</v>
      </c>
      <c r="V1831" t="e">
        <f>IF(#REF! = "yes", 1, 0)</f>
        <v>#REF!</v>
      </c>
      <c r="W1831" t="e">
        <f>IF(#REF! &lt;= 1, "0-1 Calls", IF(#REF! &lt;= 3, "2-3 Calls", IF(#REF! &lt;=5, "4-5 Calls", "6+ Calls")))</f>
        <v>#REF!</v>
      </c>
      <c r="X1831" t="e">
        <f>IF(#REF! &lt;= 50, "0-50", IF(#REF! &lt;=100, "51-100", IF(#REF! &lt;= 150, "101-150", "151+")))</f>
        <v>#REF!</v>
      </c>
      <c r="Y1831" t="e">
        <f>IF(#REF! &lt;= 3, "Low Charges", "High Charges")</f>
        <v>#REF!</v>
      </c>
      <c r="Z1831" t="e">
        <f>IF(#REF!&lt;=80,"Low Calls",
IF(#REF!&lt;=120,"Medium Calls","High Calls"))</f>
        <v>#REF!</v>
      </c>
      <c r="AA1831" t="e">
        <f>IF(#REF!&lt;=15,"Low Charges",
IF(#REF!&lt;=20,"Medium Charges","High Charges"))</f>
        <v>#REF!</v>
      </c>
      <c r="AB1831" t="e">
        <f>IF(AND(#REF!&gt;180, #REF!&gt;200), "Heavy Doemstic User", IF(#REF!&gt;10, "Interntional User", IF(AND(#REF!&lt;180, #REF!&lt;200,#REF!&lt;200), "Light User", "Balanced User")))</f>
        <v>#REF!</v>
      </c>
      <c r="AC1831" t="e">
        <f>IF(#REF! = 0, "No Usage", IF(#REF! &lt;= 20, "Low Usage", IF(#REF! &lt;= 40, "Medium Usgae", "High Usage")))</f>
        <v>#REF!</v>
      </c>
      <c r="AD1831" t="e">
        <f>IF(#REF!&lt;=150,"Low Usage", IF(#REF!&lt;=200,"Medium Usage", IF(#REF!&lt;=250,"High Usage","Very High Usage")))</f>
        <v>#REF!</v>
      </c>
      <c r="AE1831" t="e">
        <f>IF(#REF!&lt;=5,"Low Calls", IF(#REF!&lt;=10, "Medium Calls", "High Calls"))</f>
        <v>#REF!</v>
      </c>
      <c r="AF1831" t="e">
        <f xml:space="preserve">
IF(#REF!&gt;=4,4,0)+
IF(#REF!="yes",3,0)+
IF(#REF!="High Charges",3,0)+
IF(#REF!&gt;250,4,0)+
IF(#REF!="no",1,0)+
IF(#REF!="Heavy Domestic User",2,0)</f>
        <v>#REF!</v>
      </c>
      <c r="AG1831" t="e">
        <f>IF(#REF!&gt;=10,"High Risk", IF(#REF!&gt;=5,"Medium Risk","Low Risk"))</f>
        <v>#REF!</v>
      </c>
      <c r="AH1831" t="e">
        <f>#REF! + #REF! + #REF! + #REF!</f>
        <v>#REF!</v>
      </c>
    </row>
    <row r="1832" spans="1:34" x14ac:dyDescent="0.35">
      <c r="A1832">
        <v>1831</v>
      </c>
      <c r="B1832" t="s">
        <v>45</v>
      </c>
      <c r="C1832">
        <v>155</v>
      </c>
      <c r="D1832" t="s">
        <v>21</v>
      </c>
      <c r="E1832" t="s">
        <v>23</v>
      </c>
      <c r="F1832" t="s">
        <v>23</v>
      </c>
      <c r="G1832">
        <v>26</v>
      </c>
      <c r="H1832">
        <v>211.7</v>
      </c>
      <c r="I1832">
        <v>121</v>
      </c>
      <c r="J1832">
        <v>35.99</v>
      </c>
      <c r="K1832">
        <v>139.19999999999999</v>
      </c>
      <c r="L1832">
        <v>123</v>
      </c>
      <c r="M1832">
        <v>11.83</v>
      </c>
      <c r="N1832">
        <v>146.69999999999999</v>
      </c>
      <c r="O1832">
        <v>89</v>
      </c>
      <c r="P1832">
        <v>6.6</v>
      </c>
      <c r="Q1832">
        <v>11.1</v>
      </c>
      <c r="R1832">
        <v>3</v>
      </c>
      <c r="S1832">
        <v>3</v>
      </c>
      <c r="T1832">
        <v>1</v>
      </c>
      <c r="U1832" t="s">
        <v>22</v>
      </c>
      <c r="V1832" t="e">
        <f>IF(#REF! = "yes", 1, 0)</f>
        <v>#REF!</v>
      </c>
      <c r="W1832" t="e">
        <f>IF(#REF! &lt;= 1, "0-1 Calls", IF(#REF! &lt;= 3, "2-3 Calls", IF(#REF! &lt;=5, "4-5 Calls", "6+ Calls")))</f>
        <v>#REF!</v>
      </c>
      <c r="X1832" t="e">
        <f>IF(#REF! &lt;= 50, "0-50", IF(#REF! &lt;=100, "51-100", IF(#REF! &lt;= 150, "101-150", "151+")))</f>
        <v>#REF!</v>
      </c>
      <c r="Y1832" t="e">
        <f>IF(#REF! &lt;= 3, "Low Charges", "High Charges")</f>
        <v>#REF!</v>
      </c>
      <c r="Z1832" t="e">
        <f>IF(#REF!&lt;=80,"Low Calls",
IF(#REF!&lt;=120,"Medium Calls","High Calls"))</f>
        <v>#REF!</v>
      </c>
      <c r="AA1832" t="e">
        <f>IF(#REF!&lt;=15,"Low Charges",
IF(#REF!&lt;=20,"Medium Charges","High Charges"))</f>
        <v>#REF!</v>
      </c>
      <c r="AB1832" t="e">
        <f>IF(AND(#REF!&gt;180, #REF!&gt;200), "Heavy Doemstic User", IF(#REF!&gt;10, "Interntional User", IF(AND(#REF!&lt;180, #REF!&lt;200,#REF!&lt;200), "Light User", "Balanced User")))</f>
        <v>#REF!</v>
      </c>
      <c r="AC1832" t="e">
        <f>IF(#REF! = 0, "No Usage", IF(#REF! &lt;= 20, "Low Usage", IF(#REF! &lt;= 40, "Medium Usgae", "High Usage")))</f>
        <v>#REF!</v>
      </c>
      <c r="AD1832" t="e">
        <f>IF(#REF!&lt;=150,"Low Usage", IF(#REF!&lt;=200,"Medium Usage", IF(#REF!&lt;=250,"High Usage","Very High Usage")))</f>
        <v>#REF!</v>
      </c>
      <c r="AE1832" t="e">
        <f>IF(#REF!&lt;=5,"Low Calls", IF(#REF!&lt;=10, "Medium Calls", "High Calls"))</f>
        <v>#REF!</v>
      </c>
      <c r="AF1832" t="e">
        <f xml:space="preserve">
IF(#REF!&gt;=4,4,0)+
IF(#REF!="yes",3,0)+
IF(#REF!="High Charges",3,0)+
IF(#REF!&gt;250,4,0)+
IF(#REF!="no",1,0)+
IF(#REF!="Heavy Domestic User",2,0)</f>
        <v>#REF!</v>
      </c>
      <c r="AG1832" t="e">
        <f>IF(#REF!&gt;=10,"High Risk", IF(#REF!&gt;=5,"Medium Risk","Low Risk"))</f>
        <v>#REF!</v>
      </c>
      <c r="AH1832" t="e">
        <f>#REF! + #REF! + #REF! + #REF!</f>
        <v>#REF!</v>
      </c>
    </row>
    <row r="1833" spans="1:34" x14ac:dyDescent="0.35">
      <c r="A1833">
        <v>1832</v>
      </c>
      <c r="B1833" t="s">
        <v>55</v>
      </c>
      <c r="C1833">
        <v>89</v>
      </c>
      <c r="D1833" t="s">
        <v>21</v>
      </c>
      <c r="E1833" t="s">
        <v>22</v>
      </c>
      <c r="F1833" t="s">
        <v>22</v>
      </c>
      <c r="G1833">
        <v>0</v>
      </c>
      <c r="H1833">
        <v>89.7</v>
      </c>
      <c r="I1833">
        <v>80</v>
      </c>
      <c r="J1833">
        <v>15.25</v>
      </c>
      <c r="K1833">
        <v>179.8</v>
      </c>
      <c r="L1833">
        <v>81</v>
      </c>
      <c r="M1833">
        <v>15.28</v>
      </c>
      <c r="N1833">
        <v>145.69999999999999</v>
      </c>
      <c r="O1833">
        <v>120</v>
      </c>
      <c r="P1833">
        <v>6.56</v>
      </c>
      <c r="Q1833">
        <v>9.5</v>
      </c>
      <c r="R1833">
        <v>4</v>
      </c>
      <c r="S1833">
        <v>2.57</v>
      </c>
      <c r="T1833">
        <v>2</v>
      </c>
      <c r="U1833" t="s">
        <v>22</v>
      </c>
      <c r="V1833" t="e">
        <f>IF(#REF! = "yes", 1, 0)</f>
        <v>#REF!</v>
      </c>
      <c r="W1833" t="e">
        <f>IF(#REF! &lt;= 1, "0-1 Calls", IF(#REF! &lt;= 3, "2-3 Calls", IF(#REF! &lt;=5, "4-5 Calls", "6+ Calls")))</f>
        <v>#REF!</v>
      </c>
      <c r="X1833" t="e">
        <f>IF(#REF! &lt;= 50, "0-50", IF(#REF! &lt;=100, "51-100", IF(#REF! &lt;= 150, "101-150", "151+")))</f>
        <v>#REF!</v>
      </c>
      <c r="Y1833" t="e">
        <f>IF(#REF! &lt;= 3, "Low Charges", "High Charges")</f>
        <v>#REF!</v>
      </c>
      <c r="Z1833" t="e">
        <f>IF(#REF!&lt;=80,"Low Calls",
IF(#REF!&lt;=120,"Medium Calls","High Calls"))</f>
        <v>#REF!</v>
      </c>
      <c r="AA1833" t="e">
        <f>IF(#REF!&lt;=15,"Low Charges",
IF(#REF!&lt;=20,"Medium Charges","High Charges"))</f>
        <v>#REF!</v>
      </c>
      <c r="AB1833" t="e">
        <f>IF(AND(#REF!&gt;180, #REF!&gt;200), "Heavy Doemstic User", IF(#REF!&gt;10, "Interntional User", IF(AND(#REF!&lt;180, #REF!&lt;200,#REF!&lt;200), "Light User", "Balanced User")))</f>
        <v>#REF!</v>
      </c>
      <c r="AC1833" t="e">
        <f>IF(#REF! = 0, "No Usage", IF(#REF! &lt;= 20, "Low Usage", IF(#REF! &lt;= 40, "Medium Usgae", "High Usage")))</f>
        <v>#REF!</v>
      </c>
      <c r="AD1833" t="e">
        <f>IF(#REF!&lt;=150,"Low Usage", IF(#REF!&lt;=200,"Medium Usage", IF(#REF!&lt;=250,"High Usage","Very High Usage")))</f>
        <v>#REF!</v>
      </c>
      <c r="AE1833" t="e">
        <f>IF(#REF!&lt;=5,"Low Calls", IF(#REF!&lt;=10, "Medium Calls", "High Calls"))</f>
        <v>#REF!</v>
      </c>
      <c r="AF1833" t="e">
        <f xml:space="preserve">
IF(#REF!&gt;=4,4,0)+
IF(#REF!="yes",3,0)+
IF(#REF!="High Charges",3,0)+
IF(#REF!&gt;250,4,0)+
IF(#REF!="no",1,0)+
IF(#REF!="Heavy Domestic User",2,0)</f>
        <v>#REF!</v>
      </c>
      <c r="AG1833" t="e">
        <f>IF(#REF!&gt;=10,"High Risk", IF(#REF!&gt;=5,"Medium Risk","Low Risk"))</f>
        <v>#REF!</v>
      </c>
      <c r="AH1833" t="e">
        <f>#REF! + #REF! + #REF! + #REF!</f>
        <v>#REF!</v>
      </c>
    </row>
    <row r="1834" spans="1:34" x14ac:dyDescent="0.35">
      <c r="A1834">
        <v>1833</v>
      </c>
      <c r="B1834" t="s">
        <v>44</v>
      </c>
      <c r="C1834">
        <v>126</v>
      </c>
      <c r="D1834" t="s">
        <v>25</v>
      </c>
      <c r="E1834" t="s">
        <v>23</v>
      </c>
      <c r="F1834" t="s">
        <v>22</v>
      </c>
      <c r="G1834">
        <v>0</v>
      </c>
      <c r="H1834">
        <v>197.6</v>
      </c>
      <c r="I1834">
        <v>126</v>
      </c>
      <c r="J1834">
        <v>33.590000000000003</v>
      </c>
      <c r="K1834">
        <v>246.5</v>
      </c>
      <c r="L1834">
        <v>112</v>
      </c>
      <c r="M1834">
        <v>20.95</v>
      </c>
      <c r="N1834">
        <v>285.3</v>
      </c>
      <c r="O1834">
        <v>104</v>
      </c>
      <c r="P1834">
        <v>12.84</v>
      </c>
      <c r="Q1834">
        <v>12.5</v>
      </c>
      <c r="R1834">
        <v>8</v>
      </c>
      <c r="S1834">
        <v>3.38</v>
      </c>
      <c r="T1834">
        <v>2</v>
      </c>
      <c r="U1834" t="s">
        <v>22</v>
      </c>
      <c r="V1834" t="e">
        <f>IF(#REF! = "yes", 1, 0)</f>
        <v>#REF!</v>
      </c>
      <c r="W1834" t="e">
        <f>IF(#REF! &lt;= 1, "0-1 Calls", IF(#REF! &lt;= 3, "2-3 Calls", IF(#REF! &lt;=5, "4-5 Calls", "6+ Calls")))</f>
        <v>#REF!</v>
      </c>
      <c r="X1834" t="e">
        <f>IF(#REF! &lt;= 50, "0-50", IF(#REF! &lt;=100, "51-100", IF(#REF! &lt;= 150, "101-150", "151+")))</f>
        <v>#REF!</v>
      </c>
      <c r="Y1834" t="e">
        <f>IF(#REF! &lt;= 3, "Low Charges", "High Charges")</f>
        <v>#REF!</v>
      </c>
      <c r="Z1834" t="e">
        <f>IF(#REF!&lt;=80,"Low Calls",
IF(#REF!&lt;=120,"Medium Calls","High Calls"))</f>
        <v>#REF!</v>
      </c>
      <c r="AA1834" t="e">
        <f>IF(#REF!&lt;=15,"Low Charges",
IF(#REF!&lt;=20,"Medium Charges","High Charges"))</f>
        <v>#REF!</v>
      </c>
      <c r="AB1834" t="e">
        <f>IF(AND(#REF!&gt;180, #REF!&gt;200), "Heavy Doemstic User", IF(#REF!&gt;10, "Interntional User", IF(AND(#REF!&lt;180, #REF!&lt;200,#REF!&lt;200), "Light User", "Balanced User")))</f>
        <v>#REF!</v>
      </c>
      <c r="AC1834" t="e">
        <f>IF(#REF! = 0, "No Usage", IF(#REF! &lt;= 20, "Low Usage", IF(#REF! &lt;= 40, "Medium Usgae", "High Usage")))</f>
        <v>#REF!</v>
      </c>
      <c r="AD1834" t="e">
        <f>IF(#REF!&lt;=150,"Low Usage", IF(#REF!&lt;=200,"Medium Usage", IF(#REF!&lt;=250,"High Usage","Very High Usage")))</f>
        <v>#REF!</v>
      </c>
      <c r="AE1834" t="e">
        <f>IF(#REF!&lt;=5,"Low Calls", IF(#REF!&lt;=10, "Medium Calls", "High Calls"))</f>
        <v>#REF!</v>
      </c>
      <c r="AF1834" t="e">
        <f xml:space="preserve">
IF(#REF!&gt;=4,4,0)+
IF(#REF!="yes",3,0)+
IF(#REF!="High Charges",3,0)+
IF(#REF!&gt;250,4,0)+
IF(#REF!="no",1,0)+
IF(#REF!="Heavy Domestic User",2,0)</f>
        <v>#REF!</v>
      </c>
      <c r="AG1834" t="e">
        <f>IF(#REF!&gt;=10,"High Risk", IF(#REF!&gt;=5,"Medium Risk","Low Risk"))</f>
        <v>#REF!</v>
      </c>
      <c r="AH1834" t="e">
        <f>#REF! + #REF! + #REF! + #REF!</f>
        <v>#REF!</v>
      </c>
    </row>
    <row r="1835" spans="1:34" x14ac:dyDescent="0.35">
      <c r="A1835">
        <v>1834</v>
      </c>
      <c r="B1835" t="s">
        <v>68</v>
      </c>
      <c r="C1835">
        <v>172</v>
      </c>
      <c r="D1835" t="s">
        <v>25</v>
      </c>
      <c r="E1835" t="s">
        <v>22</v>
      </c>
      <c r="F1835" t="s">
        <v>22</v>
      </c>
      <c r="G1835">
        <v>0</v>
      </c>
      <c r="H1835">
        <v>270</v>
      </c>
      <c r="I1835">
        <v>102</v>
      </c>
      <c r="J1835">
        <v>45.9</v>
      </c>
      <c r="K1835">
        <v>256.60000000000002</v>
      </c>
      <c r="L1835">
        <v>111</v>
      </c>
      <c r="M1835">
        <v>21.81</v>
      </c>
      <c r="N1835">
        <v>168.5</v>
      </c>
      <c r="O1835">
        <v>104</v>
      </c>
      <c r="P1835">
        <v>7.58</v>
      </c>
      <c r="Q1835">
        <v>12</v>
      </c>
      <c r="R1835">
        <v>5</v>
      </c>
      <c r="S1835">
        <v>3.24</v>
      </c>
      <c r="T1835">
        <v>2</v>
      </c>
      <c r="U1835" t="s">
        <v>23</v>
      </c>
      <c r="V1835" t="e">
        <f>IF(#REF! = "yes", 1, 0)</f>
        <v>#REF!</v>
      </c>
      <c r="W1835" t="e">
        <f>IF(#REF! &lt;= 1, "0-1 Calls", IF(#REF! &lt;= 3, "2-3 Calls", IF(#REF! &lt;=5, "4-5 Calls", "6+ Calls")))</f>
        <v>#REF!</v>
      </c>
      <c r="X1835" t="e">
        <f>IF(#REF! &lt;= 50, "0-50", IF(#REF! &lt;=100, "51-100", IF(#REF! &lt;= 150, "101-150", "151+")))</f>
        <v>#REF!</v>
      </c>
      <c r="Y1835" t="e">
        <f>IF(#REF! &lt;= 3, "Low Charges", "High Charges")</f>
        <v>#REF!</v>
      </c>
      <c r="Z1835" t="e">
        <f>IF(#REF!&lt;=80,"Low Calls",
IF(#REF!&lt;=120,"Medium Calls","High Calls"))</f>
        <v>#REF!</v>
      </c>
      <c r="AA1835" t="e">
        <f>IF(#REF!&lt;=15,"Low Charges",
IF(#REF!&lt;=20,"Medium Charges","High Charges"))</f>
        <v>#REF!</v>
      </c>
      <c r="AB1835" t="e">
        <f>IF(AND(#REF!&gt;180, #REF!&gt;200), "Heavy Doemstic User", IF(#REF!&gt;10, "Interntional User", IF(AND(#REF!&lt;180, #REF!&lt;200,#REF!&lt;200), "Light User", "Balanced User")))</f>
        <v>#REF!</v>
      </c>
      <c r="AC1835" t="e">
        <f>IF(#REF! = 0, "No Usage", IF(#REF! &lt;= 20, "Low Usage", IF(#REF! &lt;= 40, "Medium Usgae", "High Usage")))</f>
        <v>#REF!</v>
      </c>
      <c r="AD1835" t="e">
        <f>IF(#REF!&lt;=150,"Low Usage", IF(#REF!&lt;=200,"Medium Usage", IF(#REF!&lt;=250,"High Usage","Very High Usage")))</f>
        <v>#REF!</v>
      </c>
      <c r="AE1835" t="e">
        <f>IF(#REF!&lt;=5,"Low Calls", IF(#REF!&lt;=10, "Medium Calls", "High Calls"))</f>
        <v>#REF!</v>
      </c>
      <c r="AF1835" t="e">
        <f xml:space="preserve">
IF(#REF!&gt;=4,4,0)+
IF(#REF!="yes",3,0)+
IF(#REF!="High Charges",3,0)+
IF(#REF!&gt;250,4,0)+
IF(#REF!="no",1,0)+
IF(#REF!="Heavy Domestic User",2,0)</f>
        <v>#REF!</v>
      </c>
      <c r="AG1835" t="e">
        <f>IF(#REF!&gt;=10,"High Risk", IF(#REF!&gt;=5,"Medium Risk","Low Risk"))</f>
        <v>#REF!</v>
      </c>
      <c r="AH1835" t="e">
        <f>#REF! + #REF! + #REF! + #REF!</f>
        <v>#REF!</v>
      </c>
    </row>
    <row r="1836" spans="1:34" x14ac:dyDescent="0.35">
      <c r="A1836">
        <v>1835</v>
      </c>
      <c r="B1836" t="s">
        <v>38</v>
      </c>
      <c r="C1836">
        <v>75</v>
      </c>
      <c r="D1836" t="s">
        <v>21</v>
      </c>
      <c r="E1836" t="s">
        <v>22</v>
      </c>
      <c r="F1836" t="s">
        <v>22</v>
      </c>
      <c r="G1836">
        <v>0</v>
      </c>
      <c r="H1836">
        <v>224.7</v>
      </c>
      <c r="I1836">
        <v>116</v>
      </c>
      <c r="J1836">
        <v>38.200000000000003</v>
      </c>
      <c r="K1836">
        <v>192</v>
      </c>
      <c r="L1836">
        <v>79</v>
      </c>
      <c r="M1836">
        <v>16.32</v>
      </c>
      <c r="N1836">
        <v>212.2</v>
      </c>
      <c r="O1836">
        <v>98</v>
      </c>
      <c r="P1836">
        <v>9.5500000000000007</v>
      </c>
      <c r="Q1836">
        <v>11.3</v>
      </c>
      <c r="R1836">
        <v>11</v>
      </c>
      <c r="S1836">
        <v>3.05</v>
      </c>
      <c r="T1836">
        <v>3</v>
      </c>
      <c r="U1836" t="s">
        <v>22</v>
      </c>
      <c r="V1836" t="e">
        <f>IF(#REF! = "yes", 1, 0)</f>
        <v>#REF!</v>
      </c>
      <c r="W1836" t="e">
        <f>IF(#REF! &lt;= 1, "0-1 Calls", IF(#REF! &lt;= 3, "2-3 Calls", IF(#REF! &lt;=5, "4-5 Calls", "6+ Calls")))</f>
        <v>#REF!</v>
      </c>
      <c r="X1836" t="e">
        <f>IF(#REF! &lt;= 50, "0-50", IF(#REF! &lt;=100, "51-100", IF(#REF! &lt;= 150, "101-150", "151+")))</f>
        <v>#REF!</v>
      </c>
      <c r="Y1836" t="e">
        <f>IF(#REF! &lt;= 3, "Low Charges", "High Charges")</f>
        <v>#REF!</v>
      </c>
      <c r="Z1836" t="e">
        <f>IF(#REF!&lt;=80,"Low Calls",
IF(#REF!&lt;=120,"Medium Calls","High Calls"))</f>
        <v>#REF!</v>
      </c>
      <c r="AA1836" t="e">
        <f>IF(#REF!&lt;=15,"Low Charges",
IF(#REF!&lt;=20,"Medium Charges","High Charges"))</f>
        <v>#REF!</v>
      </c>
      <c r="AB1836" t="e">
        <f>IF(AND(#REF!&gt;180, #REF!&gt;200), "Heavy Doemstic User", IF(#REF!&gt;10, "Interntional User", IF(AND(#REF!&lt;180, #REF!&lt;200,#REF!&lt;200), "Light User", "Balanced User")))</f>
        <v>#REF!</v>
      </c>
      <c r="AC1836" t="e">
        <f>IF(#REF! = 0, "No Usage", IF(#REF! &lt;= 20, "Low Usage", IF(#REF! &lt;= 40, "Medium Usgae", "High Usage")))</f>
        <v>#REF!</v>
      </c>
      <c r="AD1836" t="e">
        <f>IF(#REF!&lt;=150,"Low Usage", IF(#REF!&lt;=200,"Medium Usage", IF(#REF!&lt;=250,"High Usage","Very High Usage")))</f>
        <v>#REF!</v>
      </c>
      <c r="AE1836" t="e">
        <f>IF(#REF!&lt;=5,"Low Calls", IF(#REF!&lt;=10, "Medium Calls", "High Calls"))</f>
        <v>#REF!</v>
      </c>
      <c r="AF1836" t="e">
        <f xml:space="preserve">
IF(#REF!&gt;=4,4,0)+
IF(#REF!="yes",3,0)+
IF(#REF!="High Charges",3,0)+
IF(#REF!&gt;250,4,0)+
IF(#REF!="no",1,0)+
IF(#REF!="Heavy Domestic User",2,0)</f>
        <v>#REF!</v>
      </c>
      <c r="AG1836" t="e">
        <f>IF(#REF!&gt;=10,"High Risk", IF(#REF!&gt;=5,"Medium Risk","Low Risk"))</f>
        <v>#REF!</v>
      </c>
      <c r="AH1836" t="e">
        <f>#REF! + #REF! + #REF! + #REF!</f>
        <v>#REF!</v>
      </c>
    </row>
    <row r="1837" spans="1:34" x14ac:dyDescent="0.35">
      <c r="A1837">
        <v>1836</v>
      </c>
      <c r="B1837" t="s">
        <v>51</v>
      </c>
      <c r="C1837">
        <v>143</v>
      </c>
      <c r="D1837" t="s">
        <v>28</v>
      </c>
      <c r="E1837" t="s">
        <v>22</v>
      </c>
      <c r="F1837" t="s">
        <v>22</v>
      </c>
      <c r="G1837">
        <v>0</v>
      </c>
      <c r="H1837">
        <v>194.3</v>
      </c>
      <c r="I1837">
        <v>99</v>
      </c>
      <c r="J1837">
        <v>33.03</v>
      </c>
      <c r="K1837">
        <v>123.6</v>
      </c>
      <c r="L1837">
        <v>133</v>
      </c>
      <c r="M1837">
        <v>10.51</v>
      </c>
      <c r="N1837">
        <v>229.5</v>
      </c>
      <c r="O1837">
        <v>99</v>
      </c>
      <c r="P1837">
        <v>10.33</v>
      </c>
      <c r="Q1837">
        <v>10.199999999999999</v>
      </c>
      <c r="R1837">
        <v>2</v>
      </c>
      <c r="S1837">
        <v>2.75</v>
      </c>
      <c r="T1837">
        <v>2</v>
      </c>
      <c r="U1837" t="s">
        <v>22</v>
      </c>
      <c r="V1837" t="e">
        <f>IF(#REF! = "yes", 1, 0)</f>
        <v>#REF!</v>
      </c>
      <c r="W1837" t="e">
        <f>IF(#REF! &lt;= 1, "0-1 Calls", IF(#REF! &lt;= 3, "2-3 Calls", IF(#REF! &lt;=5, "4-5 Calls", "6+ Calls")))</f>
        <v>#REF!</v>
      </c>
      <c r="X1837" t="e">
        <f>IF(#REF! &lt;= 50, "0-50", IF(#REF! &lt;=100, "51-100", IF(#REF! &lt;= 150, "101-150", "151+")))</f>
        <v>#REF!</v>
      </c>
      <c r="Y1837" t="e">
        <f>IF(#REF! &lt;= 3, "Low Charges", "High Charges")</f>
        <v>#REF!</v>
      </c>
      <c r="Z1837" t="e">
        <f>IF(#REF!&lt;=80,"Low Calls",
IF(#REF!&lt;=120,"Medium Calls","High Calls"))</f>
        <v>#REF!</v>
      </c>
      <c r="AA1837" t="e">
        <f>IF(#REF!&lt;=15,"Low Charges",
IF(#REF!&lt;=20,"Medium Charges","High Charges"))</f>
        <v>#REF!</v>
      </c>
      <c r="AB1837" t="e">
        <f>IF(AND(#REF!&gt;180, #REF!&gt;200), "Heavy Doemstic User", IF(#REF!&gt;10, "Interntional User", IF(AND(#REF!&lt;180, #REF!&lt;200,#REF!&lt;200), "Light User", "Balanced User")))</f>
        <v>#REF!</v>
      </c>
      <c r="AC1837" t="e">
        <f>IF(#REF! = 0, "No Usage", IF(#REF! &lt;= 20, "Low Usage", IF(#REF! &lt;= 40, "Medium Usgae", "High Usage")))</f>
        <v>#REF!</v>
      </c>
      <c r="AD1837" t="e">
        <f>IF(#REF!&lt;=150,"Low Usage", IF(#REF!&lt;=200,"Medium Usage", IF(#REF!&lt;=250,"High Usage","Very High Usage")))</f>
        <v>#REF!</v>
      </c>
      <c r="AE1837" t="e">
        <f>IF(#REF!&lt;=5,"Low Calls", IF(#REF!&lt;=10, "Medium Calls", "High Calls"))</f>
        <v>#REF!</v>
      </c>
      <c r="AF1837" t="e">
        <f xml:space="preserve">
IF(#REF!&gt;=4,4,0)+
IF(#REF!="yes",3,0)+
IF(#REF!="High Charges",3,0)+
IF(#REF!&gt;250,4,0)+
IF(#REF!="no",1,0)+
IF(#REF!="Heavy Domestic User",2,0)</f>
        <v>#REF!</v>
      </c>
      <c r="AG1837" t="e">
        <f>IF(#REF!&gt;=10,"High Risk", IF(#REF!&gt;=5,"Medium Risk","Low Risk"))</f>
        <v>#REF!</v>
      </c>
      <c r="AH1837" t="e">
        <f>#REF! + #REF! + #REF! + #REF!</f>
        <v>#REF!</v>
      </c>
    </row>
    <row r="1838" spans="1:34" x14ac:dyDescent="0.35">
      <c r="A1838">
        <v>1837</v>
      </c>
      <c r="B1838" t="s">
        <v>40</v>
      </c>
      <c r="C1838">
        <v>166</v>
      </c>
      <c r="D1838" t="s">
        <v>28</v>
      </c>
      <c r="E1838" t="s">
        <v>23</v>
      </c>
      <c r="F1838" t="s">
        <v>22</v>
      </c>
      <c r="G1838">
        <v>0</v>
      </c>
      <c r="H1838">
        <v>47.7</v>
      </c>
      <c r="I1838">
        <v>89</v>
      </c>
      <c r="J1838">
        <v>8.11</v>
      </c>
      <c r="K1838">
        <v>264.39999999999998</v>
      </c>
      <c r="L1838">
        <v>95</v>
      </c>
      <c r="M1838">
        <v>22.47</v>
      </c>
      <c r="N1838">
        <v>235.2</v>
      </c>
      <c r="O1838">
        <v>97</v>
      </c>
      <c r="P1838">
        <v>10.58</v>
      </c>
      <c r="Q1838">
        <v>13.2</v>
      </c>
      <c r="R1838">
        <v>3</v>
      </c>
      <c r="S1838">
        <v>3.56</v>
      </c>
      <c r="T1838">
        <v>0</v>
      </c>
      <c r="U1838" t="s">
        <v>23</v>
      </c>
      <c r="V1838" t="e">
        <f>IF(#REF! = "yes", 1, 0)</f>
        <v>#REF!</v>
      </c>
      <c r="W1838" t="e">
        <f>IF(#REF! &lt;= 1, "0-1 Calls", IF(#REF! &lt;= 3, "2-3 Calls", IF(#REF! &lt;=5, "4-5 Calls", "6+ Calls")))</f>
        <v>#REF!</v>
      </c>
      <c r="X1838" t="e">
        <f>IF(#REF! &lt;= 50, "0-50", IF(#REF! &lt;=100, "51-100", IF(#REF! &lt;= 150, "101-150", "151+")))</f>
        <v>#REF!</v>
      </c>
      <c r="Y1838" t="e">
        <f>IF(#REF! &lt;= 3, "Low Charges", "High Charges")</f>
        <v>#REF!</v>
      </c>
      <c r="Z1838" t="e">
        <f>IF(#REF!&lt;=80,"Low Calls",
IF(#REF!&lt;=120,"Medium Calls","High Calls"))</f>
        <v>#REF!</v>
      </c>
      <c r="AA1838" t="e">
        <f>IF(#REF!&lt;=15,"Low Charges",
IF(#REF!&lt;=20,"Medium Charges","High Charges"))</f>
        <v>#REF!</v>
      </c>
      <c r="AB1838" t="e">
        <f>IF(AND(#REF!&gt;180, #REF!&gt;200), "Heavy Doemstic User", IF(#REF!&gt;10, "Interntional User", IF(AND(#REF!&lt;180, #REF!&lt;200,#REF!&lt;200), "Light User", "Balanced User")))</f>
        <v>#REF!</v>
      </c>
      <c r="AC1838" t="e">
        <f>IF(#REF! = 0, "No Usage", IF(#REF! &lt;= 20, "Low Usage", IF(#REF! &lt;= 40, "Medium Usgae", "High Usage")))</f>
        <v>#REF!</v>
      </c>
      <c r="AD1838" t="e">
        <f>IF(#REF!&lt;=150,"Low Usage", IF(#REF!&lt;=200,"Medium Usage", IF(#REF!&lt;=250,"High Usage","Very High Usage")))</f>
        <v>#REF!</v>
      </c>
      <c r="AE1838" t="e">
        <f>IF(#REF!&lt;=5,"Low Calls", IF(#REF!&lt;=10, "Medium Calls", "High Calls"))</f>
        <v>#REF!</v>
      </c>
      <c r="AF1838" t="e">
        <f xml:space="preserve">
IF(#REF!&gt;=4,4,0)+
IF(#REF!="yes",3,0)+
IF(#REF!="High Charges",3,0)+
IF(#REF!&gt;250,4,0)+
IF(#REF!="no",1,0)+
IF(#REF!="Heavy Domestic User",2,0)</f>
        <v>#REF!</v>
      </c>
      <c r="AG1838" t="e">
        <f>IF(#REF!&gt;=10,"High Risk", IF(#REF!&gt;=5,"Medium Risk","Low Risk"))</f>
        <v>#REF!</v>
      </c>
      <c r="AH1838" t="e">
        <f>#REF! + #REF! + #REF! + #REF!</f>
        <v>#REF!</v>
      </c>
    </row>
    <row r="1839" spans="1:34" x14ac:dyDescent="0.35">
      <c r="A1839">
        <v>1838</v>
      </c>
      <c r="B1839" t="s">
        <v>70</v>
      </c>
      <c r="C1839">
        <v>132</v>
      </c>
      <c r="D1839" t="s">
        <v>21</v>
      </c>
      <c r="E1839" t="s">
        <v>22</v>
      </c>
      <c r="F1839" t="s">
        <v>22</v>
      </c>
      <c r="G1839">
        <v>0</v>
      </c>
      <c r="H1839">
        <v>190.1</v>
      </c>
      <c r="I1839">
        <v>105</v>
      </c>
      <c r="J1839">
        <v>32.32</v>
      </c>
      <c r="K1839">
        <v>182.2</v>
      </c>
      <c r="L1839">
        <v>116</v>
      </c>
      <c r="M1839">
        <v>15.49</v>
      </c>
      <c r="N1839">
        <v>279.8</v>
      </c>
      <c r="O1839">
        <v>105</v>
      </c>
      <c r="P1839">
        <v>12.59</v>
      </c>
      <c r="Q1839">
        <v>13</v>
      </c>
      <c r="R1839">
        <v>2</v>
      </c>
      <c r="S1839">
        <v>3.51</v>
      </c>
      <c r="T1839">
        <v>1</v>
      </c>
      <c r="U1839" t="s">
        <v>22</v>
      </c>
      <c r="V1839" t="e">
        <f>IF(#REF! = "yes", 1, 0)</f>
        <v>#REF!</v>
      </c>
      <c r="W1839" t="e">
        <f>IF(#REF! &lt;= 1, "0-1 Calls", IF(#REF! &lt;= 3, "2-3 Calls", IF(#REF! &lt;=5, "4-5 Calls", "6+ Calls")))</f>
        <v>#REF!</v>
      </c>
      <c r="X1839" t="e">
        <f>IF(#REF! &lt;= 50, "0-50", IF(#REF! &lt;=100, "51-100", IF(#REF! &lt;= 150, "101-150", "151+")))</f>
        <v>#REF!</v>
      </c>
      <c r="Y1839" t="e">
        <f>IF(#REF! &lt;= 3, "Low Charges", "High Charges")</f>
        <v>#REF!</v>
      </c>
      <c r="Z1839" t="e">
        <f>IF(#REF!&lt;=80,"Low Calls",
IF(#REF!&lt;=120,"Medium Calls","High Calls"))</f>
        <v>#REF!</v>
      </c>
      <c r="AA1839" t="e">
        <f>IF(#REF!&lt;=15,"Low Charges",
IF(#REF!&lt;=20,"Medium Charges","High Charges"))</f>
        <v>#REF!</v>
      </c>
      <c r="AB1839" t="e">
        <f>IF(AND(#REF!&gt;180, #REF!&gt;200), "Heavy Doemstic User", IF(#REF!&gt;10, "Interntional User", IF(AND(#REF!&lt;180, #REF!&lt;200,#REF!&lt;200), "Light User", "Balanced User")))</f>
        <v>#REF!</v>
      </c>
      <c r="AC1839" t="e">
        <f>IF(#REF! = 0, "No Usage", IF(#REF! &lt;= 20, "Low Usage", IF(#REF! &lt;= 40, "Medium Usgae", "High Usage")))</f>
        <v>#REF!</v>
      </c>
      <c r="AD1839" t="e">
        <f>IF(#REF!&lt;=150,"Low Usage", IF(#REF!&lt;=200,"Medium Usage", IF(#REF!&lt;=250,"High Usage","Very High Usage")))</f>
        <v>#REF!</v>
      </c>
      <c r="AE1839" t="e">
        <f>IF(#REF!&lt;=5,"Low Calls", IF(#REF!&lt;=10, "Medium Calls", "High Calls"))</f>
        <v>#REF!</v>
      </c>
      <c r="AF1839" t="e">
        <f xml:space="preserve">
IF(#REF!&gt;=4,4,0)+
IF(#REF!="yes",3,0)+
IF(#REF!="High Charges",3,0)+
IF(#REF!&gt;250,4,0)+
IF(#REF!="no",1,0)+
IF(#REF!="Heavy Domestic User",2,0)</f>
        <v>#REF!</v>
      </c>
      <c r="AG1839" t="e">
        <f>IF(#REF!&gt;=10,"High Risk", IF(#REF!&gt;=5,"Medium Risk","Low Risk"))</f>
        <v>#REF!</v>
      </c>
      <c r="AH1839" t="e">
        <f>#REF! + #REF! + #REF! + #REF!</f>
        <v>#REF!</v>
      </c>
    </row>
    <row r="1840" spans="1:34" x14ac:dyDescent="0.35">
      <c r="A1840">
        <v>1839</v>
      </c>
      <c r="B1840" t="s">
        <v>62</v>
      </c>
      <c r="C1840">
        <v>94</v>
      </c>
      <c r="D1840" t="s">
        <v>25</v>
      </c>
      <c r="E1840" t="s">
        <v>23</v>
      </c>
      <c r="F1840" t="s">
        <v>22</v>
      </c>
      <c r="G1840">
        <v>0</v>
      </c>
      <c r="H1840">
        <v>89.5</v>
      </c>
      <c r="I1840">
        <v>94</v>
      </c>
      <c r="J1840">
        <v>15.22</v>
      </c>
      <c r="K1840">
        <v>339.9</v>
      </c>
      <c r="L1840">
        <v>106</v>
      </c>
      <c r="M1840">
        <v>28.89</v>
      </c>
      <c r="N1840">
        <v>172.9</v>
      </c>
      <c r="O1840">
        <v>76</v>
      </c>
      <c r="P1840">
        <v>7.78</v>
      </c>
      <c r="Q1840">
        <v>7.9</v>
      </c>
      <c r="R1840">
        <v>1</v>
      </c>
      <c r="S1840">
        <v>2.13</v>
      </c>
      <c r="T1840">
        <v>1</v>
      </c>
      <c r="U1840" t="s">
        <v>23</v>
      </c>
      <c r="V1840" t="e">
        <f>IF(#REF! = "yes", 1, 0)</f>
        <v>#REF!</v>
      </c>
      <c r="W1840" t="e">
        <f>IF(#REF! &lt;= 1, "0-1 Calls", IF(#REF! &lt;= 3, "2-3 Calls", IF(#REF! &lt;=5, "4-5 Calls", "6+ Calls")))</f>
        <v>#REF!</v>
      </c>
      <c r="X1840" t="e">
        <f>IF(#REF! &lt;= 50, "0-50", IF(#REF! &lt;=100, "51-100", IF(#REF! &lt;= 150, "101-150", "151+")))</f>
        <v>#REF!</v>
      </c>
      <c r="Y1840" t="e">
        <f>IF(#REF! &lt;= 3, "Low Charges", "High Charges")</f>
        <v>#REF!</v>
      </c>
      <c r="Z1840" t="e">
        <f>IF(#REF!&lt;=80,"Low Calls",
IF(#REF!&lt;=120,"Medium Calls","High Calls"))</f>
        <v>#REF!</v>
      </c>
      <c r="AA1840" t="e">
        <f>IF(#REF!&lt;=15,"Low Charges",
IF(#REF!&lt;=20,"Medium Charges","High Charges"))</f>
        <v>#REF!</v>
      </c>
      <c r="AB1840" t="e">
        <f>IF(AND(#REF!&gt;180, #REF!&gt;200), "Heavy Doemstic User", IF(#REF!&gt;10, "Interntional User", IF(AND(#REF!&lt;180, #REF!&lt;200,#REF!&lt;200), "Light User", "Balanced User")))</f>
        <v>#REF!</v>
      </c>
      <c r="AC1840" t="e">
        <f>IF(#REF! = 0, "No Usage", IF(#REF! &lt;= 20, "Low Usage", IF(#REF! &lt;= 40, "Medium Usgae", "High Usage")))</f>
        <v>#REF!</v>
      </c>
      <c r="AD1840" t="e">
        <f>IF(#REF!&lt;=150,"Low Usage", IF(#REF!&lt;=200,"Medium Usage", IF(#REF!&lt;=250,"High Usage","Very High Usage")))</f>
        <v>#REF!</v>
      </c>
      <c r="AE1840" t="e">
        <f>IF(#REF!&lt;=5,"Low Calls", IF(#REF!&lt;=10, "Medium Calls", "High Calls"))</f>
        <v>#REF!</v>
      </c>
      <c r="AF1840" t="e">
        <f xml:space="preserve">
IF(#REF!&gt;=4,4,0)+
IF(#REF!="yes",3,0)+
IF(#REF!="High Charges",3,0)+
IF(#REF!&gt;250,4,0)+
IF(#REF!="no",1,0)+
IF(#REF!="Heavy Domestic User",2,0)</f>
        <v>#REF!</v>
      </c>
      <c r="AG1840" t="e">
        <f>IF(#REF!&gt;=10,"High Risk", IF(#REF!&gt;=5,"Medium Risk","Low Risk"))</f>
        <v>#REF!</v>
      </c>
      <c r="AH1840" t="e">
        <f>#REF! + #REF! + #REF! + #REF!</f>
        <v>#REF!</v>
      </c>
    </row>
    <row r="1841" spans="1:34" x14ac:dyDescent="0.35">
      <c r="A1841">
        <v>1840</v>
      </c>
      <c r="B1841" t="s">
        <v>36</v>
      </c>
      <c r="C1841">
        <v>99</v>
      </c>
      <c r="D1841" t="s">
        <v>21</v>
      </c>
      <c r="E1841" t="s">
        <v>22</v>
      </c>
      <c r="F1841" t="s">
        <v>22</v>
      </c>
      <c r="G1841">
        <v>0</v>
      </c>
      <c r="H1841">
        <v>182.6</v>
      </c>
      <c r="I1841">
        <v>83</v>
      </c>
      <c r="J1841">
        <v>31.04</v>
      </c>
      <c r="K1841">
        <v>154.5</v>
      </c>
      <c r="L1841">
        <v>111</v>
      </c>
      <c r="M1841">
        <v>13.13</v>
      </c>
      <c r="N1841">
        <v>196</v>
      </c>
      <c r="O1841">
        <v>57</v>
      </c>
      <c r="P1841">
        <v>8.82</v>
      </c>
      <c r="Q1841">
        <v>12.1</v>
      </c>
      <c r="R1841">
        <v>5</v>
      </c>
      <c r="S1841">
        <v>3.27</v>
      </c>
      <c r="T1841">
        <v>0</v>
      </c>
      <c r="U1841" t="s">
        <v>22</v>
      </c>
      <c r="V1841" t="e">
        <f>IF(#REF! = "yes", 1, 0)</f>
        <v>#REF!</v>
      </c>
      <c r="W1841" t="e">
        <f>IF(#REF! &lt;= 1, "0-1 Calls", IF(#REF! &lt;= 3, "2-3 Calls", IF(#REF! &lt;=5, "4-5 Calls", "6+ Calls")))</f>
        <v>#REF!</v>
      </c>
      <c r="X1841" t="e">
        <f>IF(#REF! &lt;= 50, "0-50", IF(#REF! &lt;=100, "51-100", IF(#REF! &lt;= 150, "101-150", "151+")))</f>
        <v>#REF!</v>
      </c>
      <c r="Y1841" t="e">
        <f>IF(#REF! &lt;= 3, "Low Charges", "High Charges")</f>
        <v>#REF!</v>
      </c>
      <c r="Z1841" t="e">
        <f>IF(#REF!&lt;=80,"Low Calls",
IF(#REF!&lt;=120,"Medium Calls","High Calls"))</f>
        <v>#REF!</v>
      </c>
      <c r="AA1841" t="e">
        <f>IF(#REF!&lt;=15,"Low Charges",
IF(#REF!&lt;=20,"Medium Charges","High Charges"))</f>
        <v>#REF!</v>
      </c>
      <c r="AB1841" t="e">
        <f>IF(AND(#REF!&gt;180, #REF!&gt;200), "Heavy Doemstic User", IF(#REF!&gt;10, "Interntional User", IF(AND(#REF!&lt;180, #REF!&lt;200,#REF!&lt;200), "Light User", "Balanced User")))</f>
        <v>#REF!</v>
      </c>
      <c r="AC1841" t="e">
        <f>IF(#REF! = 0, "No Usage", IF(#REF! &lt;= 20, "Low Usage", IF(#REF! &lt;= 40, "Medium Usgae", "High Usage")))</f>
        <v>#REF!</v>
      </c>
      <c r="AD1841" t="e">
        <f>IF(#REF!&lt;=150,"Low Usage", IF(#REF!&lt;=200,"Medium Usage", IF(#REF!&lt;=250,"High Usage","Very High Usage")))</f>
        <v>#REF!</v>
      </c>
      <c r="AE1841" t="e">
        <f>IF(#REF!&lt;=5,"Low Calls", IF(#REF!&lt;=10, "Medium Calls", "High Calls"))</f>
        <v>#REF!</v>
      </c>
      <c r="AF1841" t="e">
        <f xml:space="preserve">
IF(#REF!&gt;=4,4,0)+
IF(#REF!="yes",3,0)+
IF(#REF!="High Charges",3,0)+
IF(#REF!&gt;250,4,0)+
IF(#REF!="no",1,0)+
IF(#REF!="Heavy Domestic User",2,0)</f>
        <v>#REF!</v>
      </c>
      <c r="AG1841" t="e">
        <f>IF(#REF!&gt;=10,"High Risk", IF(#REF!&gt;=5,"Medium Risk","Low Risk"))</f>
        <v>#REF!</v>
      </c>
      <c r="AH1841" t="e">
        <f>#REF! + #REF! + #REF! + #REF!</f>
        <v>#REF!</v>
      </c>
    </row>
    <row r="1842" spans="1:34" x14ac:dyDescent="0.35">
      <c r="A1842">
        <v>1841</v>
      </c>
      <c r="B1842" t="s">
        <v>38</v>
      </c>
      <c r="C1842">
        <v>136</v>
      </c>
      <c r="D1842" t="s">
        <v>21</v>
      </c>
      <c r="E1842" t="s">
        <v>22</v>
      </c>
      <c r="F1842" t="s">
        <v>23</v>
      </c>
      <c r="G1842">
        <v>35</v>
      </c>
      <c r="H1842">
        <v>205.5</v>
      </c>
      <c r="I1842">
        <v>86</v>
      </c>
      <c r="J1842">
        <v>34.94</v>
      </c>
      <c r="K1842">
        <v>298.5</v>
      </c>
      <c r="L1842">
        <v>119</v>
      </c>
      <c r="M1842">
        <v>25.37</v>
      </c>
      <c r="N1842">
        <v>214.2</v>
      </c>
      <c r="O1842">
        <v>104</v>
      </c>
      <c r="P1842">
        <v>9.64</v>
      </c>
      <c r="Q1842">
        <v>6.9</v>
      </c>
      <c r="R1842">
        <v>4</v>
      </c>
      <c r="S1842">
        <v>1.86</v>
      </c>
      <c r="T1842">
        <v>1</v>
      </c>
      <c r="U1842" t="s">
        <v>22</v>
      </c>
      <c r="V1842" t="e">
        <f>IF(#REF! = "yes", 1, 0)</f>
        <v>#REF!</v>
      </c>
      <c r="W1842" t="e">
        <f>IF(#REF! &lt;= 1, "0-1 Calls", IF(#REF! &lt;= 3, "2-3 Calls", IF(#REF! &lt;=5, "4-5 Calls", "6+ Calls")))</f>
        <v>#REF!</v>
      </c>
      <c r="X1842" t="e">
        <f>IF(#REF! &lt;= 50, "0-50", IF(#REF! &lt;=100, "51-100", IF(#REF! &lt;= 150, "101-150", "151+")))</f>
        <v>#REF!</v>
      </c>
      <c r="Y1842" t="e">
        <f>IF(#REF! &lt;= 3, "Low Charges", "High Charges")</f>
        <v>#REF!</v>
      </c>
      <c r="Z1842" t="e">
        <f>IF(#REF!&lt;=80,"Low Calls",
IF(#REF!&lt;=120,"Medium Calls","High Calls"))</f>
        <v>#REF!</v>
      </c>
      <c r="AA1842" t="e">
        <f>IF(#REF!&lt;=15,"Low Charges",
IF(#REF!&lt;=20,"Medium Charges","High Charges"))</f>
        <v>#REF!</v>
      </c>
      <c r="AB1842" t="e">
        <f>IF(AND(#REF!&gt;180, #REF!&gt;200), "Heavy Doemstic User", IF(#REF!&gt;10, "Interntional User", IF(AND(#REF!&lt;180, #REF!&lt;200,#REF!&lt;200), "Light User", "Balanced User")))</f>
        <v>#REF!</v>
      </c>
      <c r="AC1842" t="e">
        <f>IF(#REF! = 0, "No Usage", IF(#REF! &lt;= 20, "Low Usage", IF(#REF! &lt;= 40, "Medium Usgae", "High Usage")))</f>
        <v>#REF!</v>
      </c>
      <c r="AD1842" t="e">
        <f>IF(#REF!&lt;=150,"Low Usage", IF(#REF!&lt;=200,"Medium Usage", IF(#REF!&lt;=250,"High Usage","Very High Usage")))</f>
        <v>#REF!</v>
      </c>
      <c r="AE1842" t="e">
        <f>IF(#REF!&lt;=5,"Low Calls", IF(#REF!&lt;=10, "Medium Calls", "High Calls"))</f>
        <v>#REF!</v>
      </c>
      <c r="AF1842" t="e">
        <f xml:space="preserve">
IF(#REF!&gt;=4,4,0)+
IF(#REF!="yes",3,0)+
IF(#REF!="High Charges",3,0)+
IF(#REF!&gt;250,4,0)+
IF(#REF!="no",1,0)+
IF(#REF!="Heavy Domestic User",2,0)</f>
        <v>#REF!</v>
      </c>
      <c r="AG1842" t="e">
        <f>IF(#REF!&gt;=10,"High Risk", IF(#REF!&gt;=5,"Medium Risk","Low Risk"))</f>
        <v>#REF!</v>
      </c>
      <c r="AH1842" t="e">
        <f>#REF! + #REF! + #REF! + #REF!</f>
        <v>#REF!</v>
      </c>
    </row>
    <row r="1843" spans="1:34" x14ac:dyDescent="0.35">
      <c r="A1843">
        <v>1842</v>
      </c>
      <c r="B1843" t="s">
        <v>70</v>
      </c>
      <c r="C1843">
        <v>119</v>
      </c>
      <c r="D1843" t="s">
        <v>21</v>
      </c>
      <c r="E1843" t="s">
        <v>22</v>
      </c>
      <c r="F1843" t="s">
        <v>22</v>
      </c>
      <c r="G1843">
        <v>0</v>
      </c>
      <c r="H1843">
        <v>231.5</v>
      </c>
      <c r="I1843">
        <v>82</v>
      </c>
      <c r="J1843">
        <v>39.36</v>
      </c>
      <c r="K1843">
        <v>266.89999999999998</v>
      </c>
      <c r="L1843">
        <v>97</v>
      </c>
      <c r="M1843">
        <v>22.69</v>
      </c>
      <c r="N1843">
        <v>211</v>
      </c>
      <c r="O1843">
        <v>118</v>
      </c>
      <c r="P1843">
        <v>9.49</v>
      </c>
      <c r="Q1843">
        <v>7.4</v>
      </c>
      <c r="R1843">
        <v>10</v>
      </c>
      <c r="S1843">
        <v>2</v>
      </c>
      <c r="T1843">
        <v>1</v>
      </c>
      <c r="U1843" t="s">
        <v>22</v>
      </c>
      <c r="V1843" t="e">
        <f>IF(#REF! = "yes", 1, 0)</f>
        <v>#REF!</v>
      </c>
      <c r="W1843" t="e">
        <f>IF(#REF! &lt;= 1, "0-1 Calls", IF(#REF! &lt;= 3, "2-3 Calls", IF(#REF! &lt;=5, "4-5 Calls", "6+ Calls")))</f>
        <v>#REF!</v>
      </c>
      <c r="X1843" t="e">
        <f>IF(#REF! &lt;= 50, "0-50", IF(#REF! &lt;=100, "51-100", IF(#REF! &lt;= 150, "101-150", "151+")))</f>
        <v>#REF!</v>
      </c>
      <c r="Y1843" t="e">
        <f>IF(#REF! &lt;= 3, "Low Charges", "High Charges")</f>
        <v>#REF!</v>
      </c>
      <c r="Z1843" t="e">
        <f>IF(#REF!&lt;=80,"Low Calls",
IF(#REF!&lt;=120,"Medium Calls","High Calls"))</f>
        <v>#REF!</v>
      </c>
      <c r="AA1843" t="e">
        <f>IF(#REF!&lt;=15,"Low Charges",
IF(#REF!&lt;=20,"Medium Charges","High Charges"))</f>
        <v>#REF!</v>
      </c>
      <c r="AB1843" t="e">
        <f>IF(AND(#REF!&gt;180, #REF!&gt;200), "Heavy Doemstic User", IF(#REF!&gt;10, "Interntional User", IF(AND(#REF!&lt;180, #REF!&lt;200,#REF!&lt;200), "Light User", "Balanced User")))</f>
        <v>#REF!</v>
      </c>
      <c r="AC1843" t="e">
        <f>IF(#REF! = 0, "No Usage", IF(#REF! &lt;= 20, "Low Usage", IF(#REF! &lt;= 40, "Medium Usgae", "High Usage")))</f>
        <v>#REF!</v>
      </c>
      <c r="AD1843" t="e">
        <f>IF(#REF!&lt;=150,"Low Usage", IF(#REF!&lt;=200,"Medium Usage", IF(#REF!&lt;=250,"High Usage","Very High Usage")))</f>
        <v>#REF!</v>
      </c>
      <c r="AE1843" t="e">
        <f>IF(#REF!&lt;=5,"Low Calls", IF(#REF!&lt;=10, "Medium Calls", "High Calls"))</f>
        <v>#REF!</v>
      </c>
      <c r="AF1843" t="e">
        <f xml:space="preserve">
IF(#REF!&gt;=4,4,0)+
IF(#REF!="yes",3,0)+
IF(#REF!="High Charges",3,0)+
IF(#REF!&gt;250,4,0)+
IF(#REF!="no",1,0)+
IF(#REF!="Heavy Domestic User",2,0)</f>
        <v>#REF!</v>
      </c>
      <c r="AG1843" t="e">
        <f>IF(#REF!&gt;=10,"High Risk", IF(#REF!&gt;=5,"Medium Risk","Low Risk"))</f>
        <v>#REF!</v>
      </c>
      <c r="AH1843" t="e">
        <f>#REF! + #REF! + #REF! + #REF!</f>
        <v>#REF!</v>
      </c>
    </row>
    <row r="1844" spans="1:34" x14ac:dyDescent="0.35">
      <c r="A1844">
        <v>1843</v>
      </c>
      <c r="B1844" t="s">
        <v>58</v>
      </c>
      <c r="C1844">
        <v>115</v>
      </c>
      <c r="D1844" t="s">
        <v>28</v>
      </c>
      <c r="E1844" t="s">
        <v>23</v>
      </c>
      <c r="F1844" t="s">
        <v>22</v>
      </c>
      <c r="G1844">
        <v>0</v>
      </c>
      <c r="H1844">
        <v>251.3</v>
      </c>
      <c r="I1844">
        <v>69</v>
      </c>
      <c r="J1844">
        <v>42.72</v>
      </c>
      <c r="K1844">
        <v>252.5</v>
      </c>
      <c r="L1844">
        <v>96</v>
      </c>
      <c r="M1844">
        <v>21.46</v>
      </c>
      <c r="N1844">
        <v>118.3</v>
      </c>
      <c r="O1844">
        <v>112</v>
      </c>
      <c r="P1844">
        <v>5.32</v>
      </c>
      <c r="Q1844">
        <v>9.9</v>
      </c>
      <c r="R1844">
        <v>1</v>
      </c>
      <c r="S1844">
        <v>2.67</v>
      </c>
      <c r="T1844">
        <v>3</v>
      </c>
      <c r="U1844" t="s">
        <v>23</v>
      </c>
      <c r="V1844" t="e">
        <f>IF(#REF! = "yes", 1, 0)</f>
        <v>#REF!</v>
      </c>
      <c r="W1844" t="e">
        <f>IF(#REF! &lt;= 1, "0-1 Calls", IF(#REF! &lt;= 3, "2-3 Calls", IF(#REF! &lt;=5, "4-5 Calls", "6+ Calls")))</f>
        <v>#REF!</v>
      </c>
      <c r="X1844" t="e">
        <f>IF(#REF! &lt;= 50, "0-50", IF(#REF! &lt;=100, "51-100", IF(#REF! &lt;= 150, "101-150", "151+")))</f>
        <v>#REF!</v>
      </c>
      <c r="Y1844" t="e">
        <f>IF(#REF! &lt;= 3, "Low Charges", "High Charges")</f>
        <v>#REF!</v>
      </c>
      <c r="Z1844" t="e">
        <f>IF(#REF!&lt;=80,"Low Calls",
IF(#REF!&lt;=120,"Medium Calls","High Calls"))</f>
        <v>#REF!</v>
      </c>
      <c r="AA1844" t="e">
        <f>IF(#REF!&lt;=15,"Low Charges",
IF(#REF!&lt;=20,"Medium Charges","High Charges"))</f>
        <v>#REF!</v>
      </c>
      <c r="AB1844" t="e">
        <f>IF(AND(#REF!&gt;180, #REF!&gt;200), "Heavy Doemstic User", IF(#REF!&gt;10, "Interntional User", IF(AND(#REF!&lt;180, #REF!&lt;200,#REF!&lt;200), "Light User", "Balanced User")))</f>
        <v>#REF!</v>
      </c>
      <c r="AC1844" t="e">
        <f>IF(#REF! = 0, "No Usage", IF(#REF! &lt;= 20, "Low Usage", IF(#REF! &lt;= 40, "Medium Usgae", "High Usage")))</f>
        <v>#REF!</v>
      </c>
      <c r="AD1844" t="e">
        <f>IF(#REF!&lt;=150,"Low Usage", IF(#REF!&lt;=200,"Medium Usage", IF(#REF!&lt;=250,"High Usage","Very High Usage")))</f>
        <v>#REF!</v>
      </c>
      <c r="AE1844" t="e">
        <f>IF(#REF!&lt;=5,"Low Calls", IF(#REF!&lt;=10, "Medium Calls", "High Calls"))</f>
        <v>#REF!</v>
      </c>
      <c r="AF1844" t="e">
        <f xml:space="preserve">
IF(#REF!&gt;=4,4,0)+
IF(#REF!="yes",3,0)+
IF(#REF!="High Charges",3,0)+
IF(#REF!&gt;250,4,0)+
IF(#REF!="no",1,0)+
IF(#REF!="Heavy Domestic User",2,0)</f>
        <v>#REF!</v>
      </c>
      <c r="AG1844" t="e">
        <f>IF(#REF!&gt;=10,"High Risk", IF(#REF!&gt;=5,"Medium Risk","Low Risk"))</f>
        <v>#REF!</v>
      </c>
      <c r="AH1844" t="e">
        <f>#REF! + #REF! + #REF! + #REF!</f>
        <v>#REF!</v>
      </c>
    </row>
    <row r="1845" spans="1:34" x14ac:dyDescent="0.35">
      <c r="A1845">
        <v>1844</v>
      </c>
      <c r="B1845" t="s">
        <v>29</v>
      </c>
      <c r="C1845">
        <v>160</v>
      </c>
      <c r="D1845" t="s">
        <v>21</v>
      </c>
      <c r="E1845" t="s">
        <v>22</v>
      </c>
      <c r="F1845" t="s">
        <v>22</v>
      </c>
      <c r="G1845">
        <v>0</v>
      </c>
      <c r="H1845">
        <v>171.2</v>
      </c>
      <c r="I1845">
        <v>103</v>
      </c>
      <c r="J1845">
        <v>29.1</v>
      </c>
      <c r="K1845">
        <v>243.5</v>
      </c>
      <c r="L1845">
        <v>121</v>
      </c>
      <c r="M1845">
        <v>20.7</v>
      </c>
      <c r="N1845">
        <v>178.2</v>
      </c>
      <c r="O1845">
        <v>92</v>
      </c>
      <c r="P1845">
        <v>8.02</v>
      </c>
      <c r="Q1845">
        <v>13</v>
      </c>
      <c r="R1845">
        <v>3</v>
      </c>
      <c r="S1845">
        <v>3.51</v>
      </c>
      <c r="T1845">
        <v>2</v>
      </c>
      <c r="U1845" t="s">
        <v>22</v>
      </c>
      <c r="V1845" t="e">
        <f>IF(#REF! = "yes", 1, 0)</f>
        <v>#REF!</v>
      </c>
      <c r="W1845" t="e">
        <f>IF(#REF! &lt;= 1, "0-1 Calls", IF(#REF! &lt;= 3, "2-3 Calls", IF(#REF! &lt;=5, "4-5 Calls", "6+ Calls")))</f>
        <v>#REF!</v>
      </c>
      <c r="X1845" t="e">
        <f>IF(#REF! &lt;= 50, "0-50", IF(#REF! &lt;=100, "51-100", IF(#REF! &lt;= 150, "101-150", "151+")))</f>
        <v>#REF!</v>
      </c>
      <c r="Y1845" t="e">
        <f>IF(#REF! &lt;= 3, "Low Charges", "High Charges")</f>
        <v>#REF!</v>
      </c>
      <c r="Z1845" t="e">
        <f>IF(#REF!&lt;=80,"Low Calls",
IF(#REF!&lt;=120,"Medium Calls","High Calls"))</f>
        <v>#REF!</v>
      </c>
      <c r="AA1845" t="e">
        <f>IF(#REF!&lt;=15,"Low Charges",
IF(#REF!&lt;=20,"Medium Charges","High Charges"))</f>
        <v>#REF!</v>
      </c>
      <c r="AB1845" t="e">
        <f>IF(AND(#REF!&gt;180, #REF!&gt;200), "Heavy Doemstic User", IF(#REF!&gt;10, "Interntional User", IF(AND(#REF!&lt;180, #REF!&lt;200,#REF!&lt;200), "Light User", "Balanced User")))</f>
        <v>#REF!</v>
      </c>
      <c r="AC1845" t="e">
        <f>IF(#REF! = 0, "No Usage", IF(#REF! &lt;= 20, "Low Usage", IF(#REF! &lt;= 40, "Medium Usgae", "High Usage")))</f>
        <v>#REF!</v>
      </c>
      <c r="AD1845" t="e">
        <f>IF(#REF!&lt;=150,"Low Usage", IF(#REF!&lt;=200,"Medium Usage", IF(#REF!&lt;=250,"High Usage","Very High Usage")))</f>
        <v>#REF!</v>
      </c>
      <c r="AE1845" t="e">
        <f>IF(#REF!&lt;=5,"Low Calls", IF(#REF!&lt;=10, "Medium Calls", "High Calls"))</f>
        <v>#REF!</v>
      </c>
      <c r="AF1845" t="e">
        <f xml:space="preserve">
IF(#REF!&gt;=4,4,0)+
IF(#REF!="yes",3,0)+
IF(#REF!="High Charges",3,0)+
IF(#REF!&gt;250,4,0)+
IF(#REF!="no",1,0)+
IF(#REF!="Heavy Domestic User",2,0)</f>
        <v>#REF!</v>
      </c>
      <c r="AG1845" t="e">
        <f>IF(#REF!&gt;=10,"High Risk", IF(#REF!&gt;=5,"Medium Risk","Low Risk"))</f>
        <v>#REF!</v>
      </c>
      <c r="AH1845" t="e">
        <f>#REF! + #REF! + #REF! + #REF!</f>
        <v>#REF!</v>
      </c>
    </row>
    <row r="1846" spans="1:34" x14ac:dyDescent="0.35">
      <c r="A1846">
        <v>1845</v>
      </c>
      <c r="B1846" t="s">
        <v>56</v>
      </c>
      <c r="C1846">
        <v>120</v>
      </c>
      <c r="D1846" t="s">
        <v>28</v>
      </c>
      <c r="E1846" t="s">
        <v>22</v>
      </c>
      <c r="F1846" t="s">
        <v>22</v>
      </c>
      <c r="G1846">
        <v>0</v>
      </c>
      <c r="H1846">
        <v>134.80000000000001</v>
      </c>
      <c r="I1846">
        <v>94</v>
      </c>
      <c r="J1846">
        <v>22.92</v>
      </c>
      <c r="K1846">
        <v>204.1</v>
      </c>
      <c r="L1846">
        <v>106</v>
      </c>
      <c r="M1846">
        <v>17.350000000000001</v>
      </c>
      <c r="N1846">
        <v>238.4</v>
      </c>
      <c r="O1846">
        <v>109</v>
      </c>
      <c r="P1846">
        <v>10.73</v>
      </c>
      <c r="Q1846">
        <v>6.7</v>
      </c>
      <c r="R1846">
        <v>8</v>
      </c>
      <c r="S1846">
        <v>1.81</v>
      </c>
      <c r="T1846">
        <v>1</v>
      </c>
      <c r="U1846" t="s">
        <v>22</v>
      </c>
      <c r="V1846" t="e">
        <f>IF(#REF! = "yes", 1, 0)</f>
        <v>#REF!</v>
      </c>
      <c r="W1846" t="e">
        <f>IF(#REF! &lt;= 1, "0-1 Calls", IF(#REF! &lt;= 3, "2-3 Calls", IF(#REF! &lt;=5, "4-5 Calls", "6+ Calls")))</f>
        <v>#REF!</v>
      </c>
      <c r="X1846" t="e">
        <f>IF(#REF! &lt;= 50, "0-50", IF(#REF! &lt;=100, "51-100", IF(#REF! &lt;= 150, "101-150", "151+")))</f>
        <v>#REF!</v>
      </c>
      <c r="Y1846" t="e">
        <f>IF(#REF! &lt;= 3, "Low Charges", "High Charges")</f>
        <v>#REF!</v>
      </c>
      <c r="Z1846" t="e">
        <f>IF(#REF!&lt;=80,"Low Calls",
IF(#REF!&lt;=120,"Medium Calls","High Calls"))</f>
        <v>#REF!</v>
      </c>
      <c r="AA1846" t="e">
        <f>IF(#REF!&lt;=15,"Low Charges",
IF(#REF!&lt;=20,"Medium Charges","High Charges"))</f>
        <v>#REF!</v>
      </c>
      <c r="AB1846" t="e">
        <f>IF(AND(#REF!&gt;180, #REF!&gt;200), "Heavy Doemstic User", IF(#REF!&gt;10, "Interntional User", IF(AND(#REF!&lt;180, #REF!&lt;200,#REF!&lt;200), "Light User", "Balanced User")))</f>
        <v>#REF!</v>
      </c>
      <c r="AC1846" t="e">
        <f>IF(#REF! = 0, "No Usage", IF(#REF! &lt;= 20, "Low Usage", IF(#REF! &lt;= 40, "Medium Usgae", "High Usage")))</f>
        <v>#REF!</v>
      </c>
      <c r="AD1846" t="e">
        <f>IF(#REF!&lt;=150,"Low Usage", IF(#REF!&lt;=200,"Medium Usage", IF(#REF!&lt;=250,"High Usage","Very High Usage")))</f>
        <v>#REF!</v>
      </c>
      <c r="AE1846" t="e">
        <f>IF(#REF!&lt;=5,"Low Calls", IF(#REF!&lt;=10, "Medium Calls", "High Calls"))</f>
        <v>#REF!</v>
      </c>
      <c r="AF1846" t="e">
        <f xml:space="preserve">
IF(#REF!&gt;=4,4,0)+
IF(#REF!="yes",3,0)+
IF(#REF!="High Charges",3,0)+
IF(#REF!&gt;250,4,0)+
IF(#REF!="no",1,0)+
IF(#REF!="Heavy Domestic User",2,0)</f>
        <v>#REF!</v>
      </c>
      <c r="AG1846" t="e">
        <f>IF(#REF!&gt;=10,"High Risk", IF(#REF!&gt;=5,"Medium Risk","Low Risk"))</f>
        <v>#REF!</v>
      </c>
      <c r="AH1846" t="e">
        <f>#REF! + #REF! + #REF! + #REF!</f>
        <v>#REF!</v>
      </c>
    </row>
    <row r="1847" spans="1:34" x14ac:dyDescent="0.35">
      <c r="A1847">
        <v>1846</v>
      </c>
      <c r="B1847" t="s">
        <v>31</v>
      </c>
      <c r="C1847">
        <v>173</v>
      </c>
      <c r="D1847" t="s">
        <v>21</v>
      </c>
      <c r="E1847" t="s">
        <v>22</v>
      </c>
      <c r="F1847" t="s">
        <v>22</v>
      </c>
      <c r="G1847">
        <v>0</v>
      </c>
      <c r="H1847">
        <v>191.4</v>
      </c>
      <c r="I1847">
        <v>114</v>
      </c>
      <c r="J1847">
        <v>32.54</v>
      </c>
      <c r="K1847">
        <v>168.5</v>
      </c>
      <c r="L1847">
        <v>138</v>
      </c>
      <c r="M1847">
        <v>14.32</v>
      </c>
      <c r="N1847">
        <v>109.3</v>
      </c>
      <c r="O1847">
        <v>99</v>
      </c>
      <c r="P1847">
        <v>4.92</v>
      </c>
      <c r="Q1847">
        <v>10.3</v>
      </c>
      <c r="R1847">
        <v>3</v>
      </c>
      <c r="S1847">
        <v>2.78</v>
      </c>
      <c r="T1847">
        <v>1</v>
      </c>
      <c r="U1847" t="s">
        <v>22</v>
      </c>
      <c r="V1847" t="e">
        <f>IF(#REF! = "yes", 1, 0)</f>
        <v>#REF!</v>
      </c>
      <c r="W1847" t="e">
        <f>IF(#REF! &lt;= 1, "0-1 Calls", IF(#REF! &lt;= 3, "2-3 Calls", IF(#REF! &lt;=5, "4-5 Calls", "6+ Calls")))</f>
        <v>#REF!</v>
      </c>
      <c r="X1847" t="e">
        <f>IF(#REF! &lt;= 50, "0-50", IF(#REF! &lt;=100, "51-100", IF(#REF! &lt;= 150, "101-150", "151+")))</f>
        <v>#REF!</v>
      </c>
      <c r="Y1847" t="e">
        <f>IF(#REF! &lt;= 3, "Low Charges", "High Charges")</f>
        <v>#REF!</v>
      </c>
      <c r="Z1847" t="e">
        <f>IF(#REF!&lt;=80,"Low Calls",
IF(#REF!&lt;=120,"Medium Calls","High Calls"))</f>
        <v>#REF!</v>
      </c>
      <c r="AA1847" t="e">
        <f>IF(#REF!&lt;=15,"Low Charges",
IF(#REF!&lt;=20,"Medium Charges","High Charges"))</f>
        <v>#REF!</v>
      </c>
      <c r="AB1847" t="e">
        <f>IF(AND(#REF!&gt;180, #REF!&gt;200), "Heavy Doemstic User", IF(#REF!&gt;10, "Interntional User", IF(AND(#REF!&lt;180, #REF!&lt;200,#REF!&lt;200), "Light User", "Balanced User")))</f>
        <v>#REF!</v>
      </c>
      <c r="AC1847" t="e">
        <f>IF(#REF! = 0, "No Usage", IF(#REF! &lt;= 20, "Low Usage", IF(#REF! &lt;= 40, "Medium Usgae", "High Usage")))</f>
        <v>#REF!</v>
      </c>
      <c r="AD1847" t="e">
        <f>IF(#REF!&lt;=150,"Low Usage", IF(#REF!&lt;=200,"Medium Usage", IF(#REF!&lt;=250,"High Usage","Very High Usage")))</f>
        <v>#REF!</v>
      </c>
      <c r="AE1847" t="e">
        <f>IF(#REF!&lt;=5,"Low Calls", IF(#REF!&lt;=10, "Medium Calls", "High Calls"))</f>
        <v>#REF!</v>
      </c>
      <c r="AF1847" t="e">
        <f xml:space="preserve">
IF(#REF!&gt;=4,4,0)+
IF(#REF!="yes",3,0)+
IF(#REF!="High Charges",3,0)+
IF(#REF!&gt;250,4,0)+
IF(#REF!="no",1,0)+
IF(#REF!="Heavy Domestic User",2,0)</f>
        <v>#REF!</v>
      </c>
      <c r="AG1847" t="e">
        <f>IF(#REF!&gt;=10,"High Risk", IF(#REF!&gt;=5,"Medium Risk","Low Risk"))</f>
        <v>#REF!</v>
      </c>
      <c r="AH1847" t="e">
        <f>#REF! + #REF! + #REF! + #REF!</f>
        <v>#REF!</v>
      </c>
    </row>
    <row r="1848" spans="1:34" x14ac:dyDescent="0.35">
      <c r="A1848">
        <v>1847</v>
      </c>
      <c r="B1848" t="s">
        <v>72</v>
      </c>
      <c r="C1848">
        <v>156</v>
      </c>
      <c r="D1848" t="s">
        <v>21</v>
      </c>
      <c r="E1848" t="s">
        <v>22</v>
      </c>
      <c r="F1848" t="s">
        <v>22</v>
      </c>
      <c r="G1848">
        <v>0</v>
      </c>
      <c r="H1848">
        <v>174.5</v>
      </c>
      <c r="I1848">
        <v>65</v>
      </c>
      <c r="J1848">
        <v>29.67</v>
      </c>
      <c r="K1848">
        <v>197.4</v>
      </c>
      <c r="L1848">
        <v>116</v>
      </c>
      <c r="M1848">
        <v>16.78</v>
      </c>
      <c r="N1848">
        <v>238.5</v>
      </c>
      <c r="O1848">
        <v>86</v>
      </c>
      <c r="P1848">
        <v>10.73</v>
      </c>
      <c r="Q1848">
        <v>10.6</v>
      </c>
      <c r="R1848">
        <v>2</v>
      </c>
      <c r="S1848">
        <v>2.86</v>
      </c>
      <c r="T1848">
        <v>0</v>
      </c>
      <c r="U1848" t="s">
        <v>22</v>
      </c>
      <c r="V1848" t="e">
        <f>IF(#REF! = "yes", 1, 0)</f>
        <v>#REF!</v>
      </c>
      <c r="W1848" t="e">
        <f>IF(#REF! &lt;= 1, "0-1 Calls", IF(#REF! &lt;= 3, "2-3 Calls", IF(#REF! &lt;=5, "4-5 Calls", "6+ Calls")))</f>
        <v>#REF!</v>
      </c>
      <c r="X1848" t="e">
        <f>IF(#REF! &lt;= 50, "0-50", IF(#REF! &lt;=100, "51-100", IF(#REF! &lt;= 150, "101-150", "151+")))</f>
        <v>#REF!</v>
      </c>
      <c r="Y1848" t="e">
        <f>IF(#REF! &lt;= 3, "Low Charges", "High Charges")</f>
        <v>#REF!</v>
      </c>
      <c r="Z1848" t="e">
        <f>IF(#REF!&lt;=80,"Low Calls",
IF(#REF!&lt;=120,"Medium Calls","High Calls"))</f>
        <v>#REF!</v>
      </c>
      <c r="AA1848" t="e">
        <f>IF(#REF!&lt;=15,"Low Charges",
IF(#REF!&lt;=20,"Medium Charges","High Charges"))</f>
        <v>#REF!</v>
      </c>
      <c r="AB1848" t="e">
        <f>IF(AND(#REF!&gt;180, #REF!&gt;200), "Heavy Doemstic User", IF(#REF!&gt;10, "Interntional User", IF(AND(#REF!&lt;180, #REF!&lt;200,#REF!&lt;200), "Light User", "Balanced User")))</f>
        <v>#REF!</v>
      </c>
      <c r="AC1848" t="e">
        <f>IF(#REF! = 0, "No Usage", IF(#REF! &lt;= 20, "Low Usage", IF(#REF! &lt;= 40, "Medium Usgae", "High Usage")))</f>
        <v>#REF!</v>
      </c>
      <c r="AD1848" t="e">
        <f>IF(#REF!&lt;=150,"Low Usage", IF(#REF!&lt;=200,"Medium Usage", IF(#REF!&lt;=250,"High Usage","Very High Usage")))</f>
        <v>#REF!</v>
      </c>
      <c r="AE1848" t="e">
        <f>IF(#REF!&lt;=5,"Low Calls", IF(#REF!&lt;=10, "Medium Calls", "High Calls"))</f>
        <v>#REF!</v>
      </c>
      <c r="AF1848" t="e">
        <f xml:space="preserve">
IF(#REF!&gt;=4,4,0)+
IF(#REF!="yes",3,0)+
IF(#REF!="High Charges",3,0)+
IF(#REF!&gt;250,4,0)+
IF(#REF!="no",1,0)+
IF(#REF!="Heavy Domestic User",2,0)</f>
        <v>#REF!</v>
      </c>
      <c r="AG1848" t="e">
        <f>IF(#REF!&gt;=10,"High Risk", IF(#REF!&gt;=5,"Medium Risk","Low Risk"))</f>
        <v>#REF!</v>
      </c>
      <c r="AH1848" t="e">
        <f>#REF! + #REF! + #REF! + #REF!</f>
        <v>#REF!</v>
      </c>
    </row>
    <row r="1849" spans="1:34" x14ac:dyDescent="0.35">
      <c r="A1849">
        <v>1848</v>
      </c>
      <c r="B1849" t="s">
        <v>36</v>
      </c>
      <c r="C1849">
        <v>70</v>
      </c>
      <c r="D1849" t="s">
        <v>21</v>
      </c>
      <c r="E1849" t="s">
        <v>22</v>
      </c>
      <c r="F1849" t="s">
        <v>22</v>
      </c>
      <c r="G1849">
        <v>0</v>
      </c>
      <c r="H1849">
        <v>177.4</v>
      </c>
      <c r="I1849">
        <v>125</v>
      </c>
      <c r="J1849">
        <v>30.16</v>
      </c>
      <c r="K1849">
        <v>226.2</v>
      </c>
      <c r="L1849">
        <v>104</v>
      </c>
      <c r="M1849">
        <v>19.23</v>
      </c>
      <c r="N1849">
        <v>254.1</v>
      </c>
      <c r="O1849">
        <v>72</v>
      </c>
      <c r="P1849">
        <v>11.43</v>
      </c>
      <c r="Q1849">
        <v>10.9</v>
      </c>
      <c r="R1849">
        <v>4</v>
      </c>
      <c r="S1849">
        <v>2.94</v>
      </c>
      <c r="T1849">
        <v>0</v>
      </c>
      <c r="U1849" t="s">
        <v>22</v>
      </c>
      <c r="V1849" t="e">
        <f>IF(#REF! = "yes", 1, 0)</f>
        <v>#REF!</v>
      </c>
      <c r="W1849" t="e">
        <f>IF(#REF! &lt;= 1, "0-1 Calls", IF(#REF! &lt;= 3, "2-3 Calls", IF(#REF! &lt;=5, "4-5 Calls", "6+ Calls")))</f>
        <v>#REF!</v>
      </c>
      <c r="X1849" t="e">
        <f>IF(#REF! &lt;= 50, "0-50", IF(#REF! &lt;=100, "51-100", IF(#REF! &lt;= 150, "101-150", "151+")))</f>
        <v>#REF!</v>
      </c>
      <c r="Y1849" t="e">
        <f>IF(#REF! &lt;= 3, "Low Charges", "High Charges")</f>
        <v>#REF!</v>
      </c>
      <c r="Z1849" t="e">
        <f>IF(#REF!&lt;=80,"Low Calls",
IF(#REF!&lt;=120,"Medium Calls","High Calls"))</f>
        <v>#REF!</v>
      </c>
      <c r="AA1849" t="e">
        <f>IF(#REF!&lt;=15,"Low Charges",
IF(#REF!&lt;=20,"Medium Charges","High Charges"))</f>
        <v>#REF!</v>
      </c>
      <c r="AB1849" t="e">
        <f>IF(AND(#REF!&gt;180, #REF!&gt;200), "Heavy Doemstic User", IF(#REF!&gt;10, "Interntional User", IF(AND(#REF!&lt;180, #REF!&lt;200,#REF!&lt;200), "Light User", "Balanced User")))</f>
        <v>#REF!</v>
      </c>
      <c r="AC1849" t="e">
        <f>IF(#REF! = 0, "No Usage", IF(#REF! &lt;= 20, "Low Usage", IF(#REF! &lt;= 40, "Medium Usgae", "High Usage")))</f>
        <v>#REF!</v>
      </c>
      <c r="AD1849" t="e">
        <f>IF(#REF!&lt;=150,"Low Usage", IF(#REF!&lt;=200,"Medium Usage", IF(#REF!&lt;=250,"High Usage","Very High Usage")))</f>
        <v>#REF!</v>
      </c>
      <c r="AE1849" t="e">
        <f>IF(#REF!&lt;=5,"Low Calls", IF(#REF!&lt;=10, "Medium Calls", "High Calls"))</f>
        <v>#REF!</v>
      </c>
      <c r="AF1849" t="e">
        <f xml:space="preserve">
IF(#REF!&gt;=4,4,0)+
IF(#REF!="yes",3,0)+
IF(#REF!="High Charges",3,0)+
IF(#REF!&gt;250,4,0)+
IF(#REF!="no",1,0)+
IF(#REF!="Heavy Domestic User",2,0)</f>
        <v>#REF!</v>
      </c>
      <c r="AG1849" t="e">
        <f>IF(#REF!&gt;=10,"High Risk", IF(#REF!&gt;=5,"Medium Risk","Low Risk"))</f>
        <v>#REF!</v>
      </c>
      <c r="AH1849" t="e">
        <f>#REF! + #REF! + #REF! + #REF!</f>
        <v>#REF!</v>
      </c>
    </row>
    <row r="1850" spans="1:34" x14ac:dyDescent="0.35">
      <c r="A1850">
        <v>1849</v>
      </c>
      <c r="B1850" t="s">
        <v>62</v>
      </c>
      <c r="C1850">
        <v>41</v>
      </c>
      <c r="D1850" t="s">
        <v>28</v>
      </c>
      <c r="E1850" t="s">
        <v>22</v>
      </c>
      <c r="F1850" t="s">
        <v>22</v>
      </c>
      <c r="G1850">
        <v>0</v>
      </c>
      <c r="H1850">
        <v>182.1</v>
      </c>
      <c r="I1850">
        <v>89</v>
      </c>
      <c r="J1850">
        <v>30.96</v>
      </c>
      <c r="K1850">
        <v>211.5</v>
      </c>
      <c r="L1850">
        <v>104</v>
      </c>
      <c r="M1850">
        <v>17.98</v>
      </c>
      <c r="N1850">
        <v>207.4</v>
      </c>
      <c r="O1850">
        <v>124</v>
      </c>
      <c r="P1850">
        <v>9.33</v>
      </c>
      <c r="Q1850">
        <v>6.8</v>
      </c>
      <c r="R1850">
        <v>1</v>
      </c>
      <c r="S1850">
        <v>1.84</v>
      </c>
      <c r="T1850">
        <v>1</v>
      </c>
      <c r="U1850" t="s">
        <v>22</v>
      </c>
      <c r="V1850" t="e">
        <f>IF(#REF! = "yes", 1, 0)</f>
        <v>#REF!</v>
      </c>
      <c r="W1850" t="e">
        <f>IF(#REF! &lt;= 1, "0-1 Calls", IF(#REF! &lt;= 3, "2-3 Calls", IF(#REF! &lt;=5, "4-5 Calls", "6+ Calls")))</f>
        <v>#REF!</v>
      </c>
      <c r="X1850" t="e">
        <f>IF(#REF! &lt;= 50, "0-50", IF(#REF! &lt;=100, "51-100", IF(#REF! &lt;= 150, "101-150", "151+")))</f>
        <v>#REF!</v>
      </c>
      <c r="Y1850" t="e">
        <f>IF(#REF! &lt;= 3, "Low Charges", "High Charges")</f>
        <v>#REF!</v>
      </c>
      <c r="Z1850" t="e">
        <f>IF(#REF!&lt;=80,"Low Calls",
IF(#REF!&lt;=120,"Medium Calls","High Calls"))</f>
        <v>#REF!</v>
      </c>
      <c r="AA1850" t="e">
        <f>IF(#REF!&lt;=15,"Low Charges",
IF(#REF!&lt;=20,"Medium Charges","High Charges"))</f>
        <v>#REF!</v>
      </c>
      <c r="AB1850" t="e">
        <f>IF(AND(#REF!&gt;180, #REF!&gt;200), "Heavy Doemstic User", IF(#REF!&gt;10, "Interntional User", IF(AND(#REF!&lt;180, #REF!&lt;200,#REF!&lt;200), "Light User", "Balanced User")))</f>
        <v>#REF!</v>
      </c>
      <c r="AC1850" t="e">
        <f>IF(#REF! = 0, "No Usage", IF(#REF! &lt;= 20, "Low Usage", IF(#REF! &lt;= 40, "Medium Usgae", "High Usage")))</f>
        <v>#REF!</v>
      </c>
      <c r="AD1850" t="e">
        <f>IF(#REF!&lt;=150,"Low Usage", IF(#REF!&lt;=200,"Medium Usage", IF(#REF!&lt;=250,"High Usage","Very High Usage")))</f>
        <v>#REF!</v>
      </c>
      <c r="AE1850" t="e">
        <f>IF(#REF!&lt;=5,"Low Calls", IF(#REF!&lt;=10, "Medium Calls", "High Calls"))</f>
        <v>#REF!</v>
      </c>
      <c r="AF1850" t="e">
        <f xml:space="preserve">
IF(#REF!&gt;=4,4,0)+
IF(#REF!="yes",3,0)+
IF(#REF!="High Charges",3,0)+
IF(#REF!&gt;250,4,0)+
IF(#REF!="no",1,0)+
IF(#REF!="Heavy Domestic User",2,0)</f>
        <v>#REF!</v>
      </c>
      <c r="AG1850" t="e">
        <f>IF(#REF!&gt;=10,"High Risk", IF(#REF!&gt;=5,"Medium Risk","Low Risk"))</f>
        <v>#REF!</v>
      </c>
      <c r="AH1850" t="e">
        <f>#REF! + #REF! + #REF! + #REF!</f>
        <v>#REF!</v>
      </c>
    </row>
    <row r="1851" spans="1:34" x14ac:dyDescent="0.35">
      <c r="A1851">
        <v>1850</v>
      </c>
      <c r="B1851" t="s">
        <v>68</v>
      </c>
      <c r="C1851">
        <v>132</v>
      </c>
      <c r="D1851" t="s">
        <v>25</v>
      </c>
      <c r="E1851" t="s">
        <v>22</v>
      </c>
      <c r="F1851" t="s">
        <v>22</v>
      </c>
      <c r="G1851">
        <v>0</v>
      </c>
      <c r="H1851">
        <v>222.4</v>
      </c>
      <c r="I1851">
        <v>85</v>
      </c>
      <c r="J1851">
        <v>37.81</v>
      </c>
      <c r="K1851">
        <v>165.4</v>
      </c>
      <c r="L1851">
        <v>76</v>
      </c>
      <c r="M1851">
        <v>14.06</v>
      </c>
      <c r="N1851">
        <v>208.4</v>
      </c>
      <c r="O1851">
        <v>97</v>
      </c>
      <c r="P1851">
        <v>9.3800000000000008</v>
      </c>
      <c r="Q1851">
        <v>11.2</v>
      </c>
      <c r="R1851">
        <v>4</v>
      </c>
      <c r="S1851">
        <v>3.02</v>
      </c>
      <c r="T1851">
        <v>0</v>
      </c>
      <c r="U1851" t="s">
        <v>22</v>
      </c>
      <c r="V1851" t="e">
        <f>IF(#REF! = "yes", 1, 0)</f>
        <v>#REF!</v>
      </c>
      <c r="W1851" t="e">
        <f>IF(#REF! &lt;= 1, "0-1 Calls", IF(#REF! &lt;= 3, "2-3 Calls", IF(#REF! &lt;=5, "4-5 Calls", "6+ Calls")))</f>
        <v>#REF!</v>
      </c>
      <c r="X1851" t="e">
        <f>IF(#REF! &lt;= 50, "0-50", IF(#REF! &lt;=100, "51-100", IF(#REF! &lt;= 150, "101-150", "151+")))</f>
        <v>#REF!</v>
      </c>
      <c r="Y1851" t="e">
        <f>IF(#REF! &lt;= 3, "Low Charges", "High Charges")</f>
        <v>#REF!</v>
      </c>
      <c r="Z1851" t="e">
        <f>IF(#REF!&lt;=80,"Low Calls",
IF(#REF!&lt;=120,"Medium Calls","High Calls"))</f>
        <v>#REF!</v>
      </c>
      <c r="AA1851" t="e">
        <f>IF(#REF!&lt;=15,"Low Charges",
IF(#REF!&lt;=20,"Medium Charges","High Charges"))</f>
        <v>#REF!</v>
      </c>
      <c r="AB1851" t="e">
        <f>IF(AND(#REF!&gt;180, #REF!&gt;200), "Heavy Doemstic User", IF(#REF!&gt;10, "Interntional User", IF(AND(#REF!&lt;180, #REF!&lt;200,#REF!&lt;200), "Light User", "Balanced User")))</f>
        <v>#REF!</v>
      </c>
      <c r="AC1851" t="e">
        <f>IF(#REF! = 0, "No Usage", IF(#REF! &lt;= 20, "Low Usage", IF(#REF! &lt;= 40, "Medium Usgae", "High Usage")))</f>
        <v>#REF!</v>
      </c>
      <c r="AD1851" t="e">
        <f>IF(#REF!&lt;=150,"Low Usage", IF(#REF!&lt;=200,"Medium Usage", IF(#REF!&lt;=250,"High Usage","Very High Usage")))</f>
        <v>#REF!</v>
      </c>
      <c r="AE1851" t="e">
        <f>IF(#REF!&lt;=5,"Low Calls", IF(#REF!&lt;=10, "Medium Calls", "High Calls"))</f>
        <v>#REF!</v>
      </c>
      <c r="AF1851" t="e">
        <f xml:space="preserve">
IF(#REF!&gt;=4,4,0)+
IF(#REF!="yes",3,0)+
IF(#REF!="High Charges",3,0)+
IF(#REF!&gt;250,4,0)+
IF(#REF!="no",1,0)+
IF(#REF!="Heavy Domestic User",2,0)</f>
        <v>#REF!</v>
      </c>
      <c r="AG1851" t="e">
        <f>IF(#REF!&gt;=10,"High Risk", IF(#REF!&gt;=5,"Medium Risk","Low Risk"))</f>
        <v>#REF!</v>
      </c>
      <c r="AH1851" t="e">
        <f>#REF! + #REF! + #REF! + #REF!</f>
        <v>#REF!</v>
      </c>
    </row>
    <row r="1852" spans="1:34" x14ac:dyDescent="0.35">
      <c r="A1852">
        <v>1851</v>
      </c>
      <c r="B1852" t="s">
        <v>55</v>
      </c>
      <c r="C1852">
        <v>93</v>
      </c>
      <c r="D1852" t="s">
        <v>21</v>
      </c>
      <c r="E1852" t="s">
        <v>22</v>
      </c>
      <c r="F1852" t="s">
        <v>22</v>
      </c>
      <c r="G1852">
        <v>0</v>
      </c>
      <c r="H1852">
        <v>164.9</v>
      </c>
      <c r="I1852">
        <v>68</v>
      </c>
      <c r="J1852">
        <v>28.03</v>
      </c>
      <c r="K1852">
        <v>210.4</v>
      </c>
      <c r="L1852">
        <v>86</v>
      </c>
      <c r="M1852">
        <v>17.88</v>
      </c>
      <c r="N1852">
        <v>229.4</v>
      </c>
      <c r="O1852">
        <v>104</v>
      </c>
      <c r="P1852">
        <v>10.32</v>
      </c>
      <c r="Q1852">
        <v>7.8</v>
      </c>
      <c r="R1852">
        <v>4</v>
      </c>
      <c r="S1852">
        <v>2.11</v>
      </c>
      <c r="T1852">
        <v>2</v>
      </c>
      <c r="U1852" t="s">
        <v>22</v>
      </c>
      <c r="V1852" t="e">
        <f>IF(#REF! = "yes", 1, 0)</f>
        <v>#REF!</v>
      </c>
      <c r="W1852" t="e">
        <f>IF(#REF! &lt;= 1, "0-1 Calls", IF(#REF! &lt;= 3, "2-3 Calls", IF(#REF! &lt;=5, "4-5 Calls", "6+ Calls")))</f>
        <v>#REF!</v>
      </c>
      <c r="X1852" t="e">
        <f>IF(#REF! &lt;= 50, "0-50", IF(#REF! &lt;=100, "51-100", IF(#REF! &lt;= 150, "101-150", "151+")))</f>
        <v>#REF!</v>
      </c>
      <c r="Y1852" t="e">
        <f>IF(#REF! &lt;= 3, "Low Charges", "High Charges")</f>
        <v>#REF!</v>
      </c>
      <c r="Z1852" t="e">
        <f>IF(#REF!&lt;=80,"Low Calls",
IF(#REF!&lt;=120,"Medium Calls","High Calls"))</f>
        <v>#REF!</v>
      </c>
      <c r="AA1852" t="e">
        <f>IF(#REF!&lt;=15,"Low Charges",
IF(#REF!&lt;=20,"Medium Charges","High Charges"))</f>
        <v>#REF!</v>
      </c>
      <c r="AB1852" t="e">
        <f>IF(AND(#REF!&gt;180, #REF!&gt;200), "Heavy Doemstic User", IF(#REF!&gt;10, "Interntional User", IF(AND(#REF!&lt;180, #REF!&lt;200,#REF!&lt;200), "Light User", "Balanced User")))</f>
        <v>#REF!</v>
      </c>
      <c r="AC1852" t="e">
        <f>IF(#REF! = 0, "No Usage", IF(#REF! &lt;= 20, "Low Usage", IF(#REF! &lt;= 40, "Medium Usgae", "High Usage")))</f>
        <v>#REF!</v>
      </c>
      <c r="AD1852" t="e">
        <f>IF(#REF!&lt;=150,"Low Usage", IF(#REF!&lt;=200,"Medium Usage", IF(#REF!&lt;=250,"High Usage","Very High Usage")))</f>
        <v>#REF!</v>
      </c>
      <c r="AE1852" t="e">
        <f>IF(#REF!&lt;=5,"Low Calls", IF(#REF!&lt;=10, "Medium Calls", "High Calls"))</f>
        <v>#REF!</v>
      </c>
      <c r="AF1852" t="e">
        <f xml:space="preserve">
IF(#REF!&gt;=4,4,0)+
IF(#REF!="yes",3,0)+
IF(#REF!="High Charges",3,0)+
IF(#REF!&gt;250,4,0)+
IF(#REF!="no",1,0)+
IF(#REF!="Heavy Domestic User",2,0)</f>
        <v>#REF!</v>
      </c>
      <c r="AG1852" t="e">
        <f>IF(#REF!&gt;=10,"High Risk", IF(#REF!&gt;=5,"Medium Risk","Low Risk"))</f>
        <v>#REF!</v>
      </c>
      <c r="AH1852" t="e">
        <f>#REF! + #REF! + #REF! + #REF!</f>
        <v>#REF!</v>
      </c>
    </row>
    <row r="1853" spans="1:34" x14ac:dyDescent="0.35">
      <c r="A1853">
        <v>1852</v>
      </c>
      <c r="B1853" t="s">
        <v>20</v>
      </c>
      <c r="C1853">
        <v>109</v>
      </c>
      <c r="D1853" t="s">
        <v>21</v>
      </c>
      <c r="E1853" t="s">
        <v>22</v>
      </c>
      <c r="F1853" t="s">
        <v>22</v>
      </c>
      <c r="G1853">
        <v>0</v>
      </c>
      <c r="H1853">
        <v>193.6</v>
      </c>
      <c r="I1853">
        <v>58</v>
      </c>
      <c r="J1853">
        <v>32.909999999999997</v>
      </c>
      <c r="K1853">
        <v>148.69999999999999</v>
      </c>
      <c r="L1853">
        <v>115</v>
      </c>
      <c r="M1853">
        <v>12.64</v>
      </c>
      <c r="N1853">
        <v>282.5</v>
      </c>
      <c r="O1853">
        <v>105</v>
      </c>
      <c r="P1853">
        <v>12.71</v>
      </c>
      <c r="Q1853">
        <v>13.1</v>
      </c>
      <c r="R1853">
        <v>1</v>
      </c>
      <c r="S1853">
        <v>3.54</v>
      </c>
      <c r="T1853">
        <v>2</v>
      </c>
      <c r="U1853" t="s">
        <v>22</v>
      </c>
      <c r="V1853" t="e">
        <f>IF(#REF! = "yes", 1, 0)</f>
        <v>#REF!</v>
      </c>
      <c r="W1853" t="e">
        <f>IF(#REF! &lt;= 1, "0-1 Calls", IF(#REF! &lt;= 3, "2-3 Calls", IF(#REF! &lt;=5, "4-5 Calls", "6+ Calls")))</f>
        <v>#REF!</v>
      </c>
      <c r="X1853" t="e">
        <f>IF(#REF! &lt;= 50, "0-50", IF(#REF! &lt;=100, "51-100", IF(#REF! &lt;= 150, "101-150", "151+")))</f>
        <v>#REF!</v>
      </c>
      <c r="Y1853" t="e">
        <f>IF(#REF! &lt;= 3, "Low Charges", "High Charges")</f>
        <v>#REF!</v>
      </c>
      <c r="Z1853" t="e">
        <f>IF(#REF!&lt;=80,"Low Calls",
IF(#REF!&lt;=120,"Medium Calls","High Calls"))</f>
        <v>#REF!</v>
      </c>
      <c r="AA1853" t="e">
        <f>IF(#REF!&lt;=15,"Low Charges",
IF(#REF!&lt;=20,"Medium Charges","High Charges"))</f>
        <v>#REF!</v>
      </c>
      <c r="AB1853" t="e">
        <f>IF(AND(#REF!&gt;180, #REF!&gt;200), "Heavy Doemstic User", IF(#REF!&gt;10, "Interntional User", IF(AND(#REF!&lt;180, #REF!&lt;200,#REF!&lt;200), "Light User", "Balanced User")))</f>
        <v>#REF!</v>
      </c>
      <c r="AC1853" t="e">
        <f>IF(#REF! = 0, "No Usage", IF(#REF! &lt;= 20, "Low Usage", IF(#REF! &lt;= 40, "Medium Usgae", "High Usage")))</f>
        <v>#REF!</v>
      </c>
      <c r="AD1853" t="e">
        <f>IF(#REF!&lt;=150,"Low Usage", IF(#REF!&lt;=200,"Medium Usage", IF(#REF!&lt;=250,"High Usage","Very High Usage")))</f>
        <v>#REF!</v>
      </c>
      <c r="AE1853" t="e">
        <f>IF(#REF!&lt;=5,"Low Calls", IF(#REF!&lt;=10, "Medium Calls", "High Calls"))</f>
        <v>#REF!</v>
      </c>
      <c r="AF1853" t="e">
        <f xml:space="preserve">
IF(#REF!&gt;=4,4,0)+
IF(#REF!="yes",3,0)+
IF(#REF!="High Charges",3,0)+
IF(#REF!&gt;250,4,0)+
IF(#REF!="no",1,0)+
IF(#REF!="Heavy Domestic User",2,0)</f>
        <v>#REF!</v>
      </c>
      <c r="AG1853" t="e">
        <f>IF(#REF!&gt;=10,"High Risk", IF(#REF!&gt;=5,"Medium Risk","Low Risk"))</f>
        <v>#REF!</v>
      </c>
      <c r="AH1853" t="e">
        <f>#REF! + #REF! + #REF! + #REF!</f>
        <v>#REF!</v>
      </c>
    </row>
    <row r="1854" spans="1:34" x14ac:dyDescent="0.35">
      <c r="A1854">
        <v>1853</v>
      </c>
      <c r="B1854" t="s">
        <v>44</v>
      </c>
      <c r="C1854">
        <v>80</v>
      </c>
      <c r="D1854" t="s">
        <v>28</v>
      </c>
      <c r="E1854" t="s">
        <v>22</v>
      </c>
      <c r="F1854" t="s">
        <v>22</v>
      </c>
      <c r="G1854">
        <v>0</v>
      </c>
      <c r="H1854">
        <v>101.1</v>
      </c>
      <c r="I1854">
        <v>121</v>
      </c>
      <c r="J1854">
        <v>17.190000000000001</v>
      </c>
      <c r="K1854">
        <v>263.2</v>
      </c>
      <c r="L1854">
        <v>110</v>
      </c>
      <c r="M1854">
        <v>22.37</v>
      </c>
      <c r="N1854">
        <v>137.69999999999999</v>
      </c>
      <c r="O1854">
        <v>74</v>
      </c>
      <c r="P1854">
        <v>6.2</v>
      </c>
      <c r="Q1854">
        <v>7.3</v>
      </c>
      <c r="R1854">
        <v>5</v>
      </c>
      <c r="S1854">
        <v>1.97</v>
      </c>
      <c r="T1854">
        <v>0</v>
      </c>
      <c r="U1854" t="s">
        <v>22</v>
      </c>
      <c r="V1854" t="e">
        <f>IF(#REF! = "yes", 1, 0)</f>
        <v>#REF!</v>
      </c>
      <c r="W1854" t="e">
        <f>IF(#REF! &lt;= 1, "0-1 Calls", IF(#REF! &lt;= 3, "2-3 Calls", IF(#REF! &lt;=5, "4-5 Calls", "6+ Calls")))</f>
        <v>#REF!</v>
      </c>
      <c r="X1854" t="e">
        <f>IF(#REF! &lt;= 50, "0-50", IF(#REF! &lt;=100, "51-100", IF(#REF! &lt;= 150, "101-150", "151+")))</f>
        <v>#REF!</v>
      </c>
      <c r="Y1854" t="e">
        <f>IF(#REF! &lt;= 3, "Low Charges", "High Charges")</f>
        <v>#REF!</v>
      </c>
      <c r="Z1854" t="e">
        <f>IF(#REF!&lt;=80,"Low Calls",
IF(#REF!&lt;=120,"Medium Calls","High Calls"))</f>
        <v>#REF!</v>
      </c>
      <c r="AA1854" t="e">
        <f>IF(#REF!&lt;=15,"Low Charges",
IF(#REF!&lt;=20,"Medium Charges","High Charges"))</f>
        <v>#REF!</v>
      </c>
      <c r="AB1854" t="e">
        <f>IF(AND(#REF!&gt;180, #REF!&gt;200), "Heavy Doemstic User", IF(#REF!&gt;10, "Interntional User", IF(AND(#REF!&lt;180, #REF!&lt;200,#REF!&lt;200), "Light User", "Balanced User")))</f>
        <v>#REF!</v>
      </c>
      <c r="AC1854" t="e">
        <f>IF(#REF! = 0, "No Usage", IF(#REF! &lt;= 20, "Low Usage", IF(#REF! &lt;= 40, "Medium Usgae", "High Usage")))</f>
        <v>#REF!</v>
      </c>
      <c r="AD1854" t="e">
        <f>IF(#REF!&lt;=150,"Low Usage", IF(#REF!&lt;=200,"Medium Usage", IF(#REF!&lt;=250,"High Usage","Very High Usage")))</f>
        <v>#REF!</v>
      </c>
      <c r="AE1854" t="e">
        <f>IF(#REF!&lt;=5,"Low Calls", IF(#REF!&lt;=10, "Medium Calls", "High Calls"))</f>
        <v>#REF!</v>
      </c>
      <c r="AF1854" t="e">
        <f xml:space="preserve">
IF(#REF!&gt;=4,4,0)+
IF(#REF!="yes",3,0)+
IF(#REF!="High Charges",3,0)+
IF(#REF!&gt;250,4,0)+
IF(#REF!="no",1,0)+
IF(#REF!="Heavy Domestic User",2,0)</f>
        <v>#REF!</v>
      </c>
      <c r="AG1854" t="e">
        <f>IF(#REF!&gt;=10,"High Risk", IF(#REF!&gt;=5,"Medium Risk","Low Risk"))</f>
        <v>#REF!</v>
      </c>
      <c r="AH1854" t="e">
        <f>#REF! + #REF! + #REF! + #REF!</f>
        <v>#REF!</v>
      </c>
    </row>
    <row r="1855" spans="1:34" x14ac:dyDescent="0.35">
      <c r="A1855">
        <v>1854</v>
      </c>
      <c r="B1855" t="s">
        <v>61</v>
      </c>
      <c r="C1855">
        <v>54</v>
      </c>
      <c r="D1855" t="s">
        <v>21</v>
      </c>
      <c r="E1855" t="s">
        <v>22</v>
      </c>
      <c r="F1855" t="s">
        <v>23</v>
      </c>
      <c r="G1855">
        <v>24</v>
      </c>
      <c r="H1855">
        <v>92.3</v>
      </c>
      <c r="I1855">
        <v>88</v>
      </c>
      <c r="J1855">
        <v>15.69</v>
      </c>
      <c r="K1855">
        <v>193.1</v>
      </c>
      <c r="L1855">
        <v>98</v>
      </c>
      <c r="M1855">
        <v>16.41</v>
      </c>
      <c r="N1855">
        <v>99.3</v>
      </c>
      <c r="O1855">
        <v>119</v>
      </c>
      <c r="P1855">
        <v>4.47</v>
      </c>
      <c r="Q1855">
        <v>11.6</v>
      </c>
      <c r="R1855">
        <v>3</v>
      </c>
      <c r="S1855">
        <v>3.13</v>
      </c>
      <c r="T1855">
        <v>2</v>
      </c>
      <c r="U1855" t="s">
        <v>22</v>
      </c>
      <c r="V1855" t="e">
        <f>IF(#REF! = "yes", 1, 0)</f>
        <v>#REF!</v>
      </c>
      <c r="W1855" t="e">
        <f>IF(#REF! &lt;= 1, "0-1 Calls", IF(#REF! &lt;= 3, "2-3 Calls", IF(#REF! &lt;=5, "4-5 Calls", "6+ Calls")))</f>
        <v>#REF!</v>
      </c>
      <c r="X1855" t="e">
        <f>IF(#REF! &lt;= 50, "0-50", IF(#REF! &lt;=100, "51-100", IF(#REF! &lt;= 150, "101-150", "151+")))</f>
        <v>#REF!</v>
      </c>
      <c r="Y1855" t="e">
        <f>IF(#REF! &lt;= 3, "Low Charges", "High Charges")</f>
        <v>#REF!</v>
      </c>
      <c r="Z1855" t="e">
        <f>IF(#REF!&lt;=80,"Low Calls",
IF(#REF!&lt;=120,"Medium Calls","High Calls"))</f>
        <v>#REF!</v>
      </c>
      <c r="AA1855" t="e">
        <f>IF(#REF!&lt;=15,"Low Charges",
IF(#REF!&lt;=20,"Medium Charges","High Charges"))</f>
        <v>#REF!</v>
      </c>
      <c r="AB1855" t="e">
        <f>IF(AND(#REF!&gt;180, #REF!&gt;200), "Heavy Doemstic User", IF(#REF!&gt;10, "Interntional User", IF(AND(#REF!&lt;180, #REF!&lt;200,#REF!&lt;200), "Light User", "Balanced User")))</f>
        <v>#REF!</v>
      </c>
      <c r="AC1855" t="e">
        <f>IF(#REF! = 0, "No Usage", IF(#REF! &lt;= 20, "Low Usage", IF(#REF! &lt;= 40, "Medium Usgae", "High Usage")))</f>
        <v>#REF!</v>
      </c>
      <c r="AD1855" t="e">
        <f>IF(#REF!&lt;=150,"Low Usage", IF(#REF!&lt;=200,"Medium Usage", IF(#REF!&lt;=250,"High Usage","Very High Usage")))</f>
        <v>#REF!</v>
      </c>
      <c r="AE1855" t="e">
        <f>IF(#REF!&lt;=5,"Low Calls", IF(#REF!&lt;=10, "Medium Calls", "High Calls"))</f>
        <v>#REF!</v>
      </c>
      <c r="AF1855" t="e">
        <f xml:space="preserve">
IF(#REF!&gt;=4,4,0)+
IF(#REF!="yes",3,0)+
IF(#REF!="High Charges",3,0)+
IF(#REF!&gt;250,4,0)+
IF(#REF!="no",1,0)+
IF(#REF!="Heavy Domestic User",2,0)</f>
        <v>#REF!</v>
      </c>
      <c r="AG1855" t="e">
        <f>IF(#REF!&gt;=10,"High Risk", IF(#REF!&gt;=5,"Medium Risk","Low Risk"))</f>
        <v>#REF!</v>
      </c>
      <c r="AH1855" t="e">
        <f>#REF! + #REF! + #REF! + #REF!</f>
        <v>#REF!</v>
      </c>
    </row>
    <row r="1856" spans="1:34" x14ac:dyDescent="0.35">
      <c r="A1856">
        <v>1855</v>
      </c>
      <c r="B1856" t="s">
        <v>68</v>
      </c>
      <c r="C1856">
        <v>121</v>
      </c>
      <c r="D1856" t="s">
        <v>21</v>
      </c>
      <c r="E1856" t="s">
        <v>22</v>
      </c>
      <c r="F1856" t="s">
        <v>22</v>
      </c>
      <c r="G1856">
        <v>0</v>
      </c>
      <c r="H1856">
        <v>168.9</v>
      </c>
      <c r="I1856">
        <v>128</v>
      </c>
      <c r="J1856">
        <v>28.71</v>
      </c>
      <c r="K1856">
        <v>123.9</v>
      </c>
      <c r="L1856">
        <v>99</v>
      </c>
      <c r="M1856">
        <v>10.53</v>
      </c>
      <c r="N1856">
        <v>266.3</v>
      </c>
      <c r="O1856">
        <v>105</v>
      </c>
      <c r="P1856">
        <v>11.98</v>
      </c>
      <c r="Q1856">
        <v>2.9</v>
      </c>
      <c r="R1856">
        <v>7</v>
      </c>
      <c r="S1856">
        <v>0.78</v>
      </c>
      <c r="T1856">
        <v>2</v>
      </c>
      <c r="U1856" t="s">
        <v>22</v>
      </c>
      <c r="V1856" t="e">
        <f>IF(#REF! = "yes", 1, 0)</f>
        <v>#REF!</v>
      </c>
      <c r="W1856" t="e">
        <f>IF(#REF! &lt;= 1, "0-1 Calls", IF(#REF! &lt;= 3, "2-3 Calls", IF(#REF! &lt;=5, "4-5 Calls", "6+ Calls")))</f>
        <v>#REF!</v>
      </c>
      <c r="X1856" t="e">
        <f>IF(#REF! &lt;= 50, "0-50", IF(#REF! &lt;=100, "51-100", IF(#REF! &lt;= 150, "101-150", "151+")))</f>
        <v>#REF!</v>
      </c>
      <c r="Y1856" t="e">
        <f>IF(#REF! &lt;= 3, "Low Charges", "High Charges")</f>
        <v>#REF!</v>
      </c>
      <c r="Z1856" t="e">
        <f>IF(#REF!&lt;=80,"Low Calls",
IF(#REF!&lt;=120,"Medium Calls","High Calls"))</f>
        <v>#REF!</v>
      </c>
      <c r="AA1856" t="e">
        <f>IF(#REF!&lt;=15,"Low Charges",
IF(#REF!&lt;=20,"Medium Charges","High Charges"))</f>
        <v>#REF!</v>
      </c>
      <c r="AB1856" t="e">
        <f>IF(AND(#REF!&gt;180, #REF!&gt;200), "Heavy Doemstic User", IF(#REF!&gt;10, "Interntional User", IF(AND(#REF!&lt;180, #REF!&lt;200,#REF!&lt;200), "Light User", "Balanced User")))</f>
        <v>#REF!</v>
      </c>
      <c r="AC1856" t="e">
        <f>IF(#REF! = 0, "No Usage", IF(#REF! &lt;= 20, "Low Usage", IF(#REF! &lt;= 40, "Medium Usgae", "High Usage")))</f>
        <v>#REF!</v>
      </c>
      <c r="AD1856" t="e">
        <f>IF(#REF!&lt;=150,"Low Usage", IF(#REF!&lt;=200,"Medium Usage", IF(#REF!&lt;=250,"High Usage","Very High Usage")))</f>
        <v>#REF!</v>
      </c>
      <c r="AE1856" t="e">
        <f>IF(#REF!&lt;=5,"Low Calls", IF(#REF!&lt;=10, "Medium Calls", "High Calls"))</f>
        <v>#REF!</v>
      </c>
      <c r="AF1856" t="e">
        <f xml:space="preserve">
IF(#REF!&gt;=4,4,0)+
IF(#REF!="yes",3,0)+
IF(#REF!="High Charges",3,0)+
IF(#REF!&gt;250,4,0)+
IF(#REF!="no",1,0)+
IF(#REF!="Heavy Domestic User",2,0)</f>
        <v>#REF!</v>
      </c>
      <c r="AG1856" t="e">
        <f>IF(#REF!&gt;=10,"High Risk", IF(#REF!&gt;=5,"Medium Risk","Low Risk"))</f>
        <v>#REF!</v>
      </c>
      <c r="AH1856" t="e">
        <f>#REF! + #REF! + #REF! + #REF!</f>
        <v>#REF!</v>
      </c>
    </row>
    <row r="1857" spans="1:34" x14ac:dyDescent="0.35">
      <c r="A1857">
        <v>1856</v>
      </c>
      <c r="B1857" t="s">
        <v>63</v>
      </c>
      <c r="C1857">
        <v>157</v>
      </c>
      <c r="D1857" t="s">
        <v>28</v>
      </c>
      <c r="E1857" t="s">
        <v>22</v>
      </c>
      <c r="F1857" t="s">
        <v>23</v>
      </c>
      <c r="G1857">
        <v>29</v>
      </c>
      <c r="H1857">
        <v>219.2</v>
      </c>
      <c r="I1857">
        <v>102</v>
      </c>
      <c r="J1857">
        <v>37.26</v>
      </c>
      <c r="K1857">
        <v>206</v>
      </c>
      <c r="L1857">
        <v>109</v>
      </c>
      <c r="M1857">
        <v>17.510000000000002</v>
      </c>
      <c r="N1857">
        <v>192.4</v>
      </c>
      <c r="O1857">
        <v>117</v>
      </c>
      <c r="P1857">
        <v>8.66</v>
      </c>
      <c r="Q1857">
        <v>15</v>
      </c>
      <c r="R1857">
        <v>5</v>
      </c>
      <c r="S1857">
        <v>4.05</v>
      </c>
      <c r="T1857">
        <v>1</v>
      </c>
      <c r="U1857" t="s">
        <v>22</v>
      </c>
      <c r="V1857" t="e">
        <f>IF(#REF! = "yes", 1, 0)</f>
        <v>#REF!</v>
      </c>
      <c r="W1857" t="e">
        <f>IF(#REF! &lt;= 1, "0-1 Calls", IF(#REF! &lt;= 3, "2-3 Calls", IF(#REF! &lt;=5, "4-5 Calls", "6+ Calls")))</f>
        <v>#REF!</v>
      </c>
      <c r="X1857" t="e">
        <f>IF(#REF! &lt;= 50, "0-50", IF(#REF! &lt;=100, "51-100", IF(#REF! &lt;= 150, "101-150", "151+")))</f>
        <v>#REF!</v>
      </c>
      <c r="Y1857" t="e">
        <f>IF(#REF! &lt;= 3, "Low Charges", "High Charges")</f>
        <v>#REF!</v>
      </c>
      <c r="Z1857" t="e">
        <f>IF(#REF!&lt;=80,"Low Calls",
IF(#REF!&lt;=120,"Medium Calls","High Calls"))</f>
        <v>#REF!</v>
      </c>
      <c r="AA1857" t="e">
        <f>IF(#REF!&lt;=15,"Low Charges",
IF(#REF!&lt;=20,"Medium Charges","High Charges"))</f>
        <v>#REF!</v>
      </c>
      <c r="AB1857" t="e">
        <f>IF(AND(#REF!&gt;180, #REF!&gt;200), "Heavy Doemstic User", IF(#REF!&gt;10, "Interntional User", IF(AND(#REF!&lt;180, #REF!&lt;200,#REF!&lt;200), "Light User", "Balanced User")))</f>
        <v>#REF!</v>
      </c>
      <c r="AC1857" t="e">
        <f>IF(#REF! = 0, "No Usage", IF(#REF! &lt;= 20, "Low Usage", IF(#REF! &lt;= 40, "Medium Usgae", "High Usage")))</f>
        <v>#REF!</v>
      </c>
      <c r="AD1857" t="e">
        <f>IF(#REF!&lt;=150,"Low Usage", IF(#REF!&lt;=200,"Medium Usage", IF(#REF!&lt;=250,"High Usage","Very High Usage")))</f>
        <v>#REF!</v>
      </c>
      <c r="AE1857" t="e">
        <f>IF(#REF!&lt;=5,"Low Calls", IF(#REF!&lt;=10, "Medium Calls", "High Calls"))</f>
        <v>#REF!</v>
      </c>
      <c r="AF1857" t="e">
        <f xml:space="preserve">
IF(#REF!&gt;=4,4,0)+
IF(#REF!="yes",3,0)+
IF(#REF!="High Charges",3,0)+
IF(#REF!&gt;250,4,0)+
IF(#REF!="no",1,0)+
IF(#REF!="Heavy Domestic User",2,0)</f>
        <v>#REF!</v>
      </c>
      <c r="AG1857" t="e">
        <f>IF(#REF!&gt;=10,"High Risk", IF(#REF!&gt;=5,"Medium Risk","Low Risk"))</f>
        <v>#REF!</v>
      </c>
      <c r="AH1857" t="e">
        <f>#REF! + #REF! + #REF! + #REF!</f>
        <v>#REF!</v>
      </c>
    </row>
    <row r="1858" spans="1:34" x14ac:dyDescent="0.35">
      <c r="A1858">
        <v>1857</v>
      </c>
      <c r="B1858" t="s">
        <v>50</v>
      </c>
      <c r="C1858">
        <v>138</v>
      </c>
      <c r="D1858" t="s">
        <v>28</v>
      </c>
      <c r="E1858" t="s">
        <v>22</v>
      </c>
      <c r="F1858" t="s">
        <v>22</v>
      </c>
      <c r="G1858">
        <v>0</v>
      </c>
      <c r="H1858">
        <v>146.5</v>
      </c>
      <c r="I1858">
        <v>101</v>
      </c>
      <c r="J1858">
        <v>24.91</v>
      </c>
      <c r="K1858">
        <v>284.5</v>
      </c>
      <c r="L1858">
        <v>142</v>
      </c>
      <c r="M1858">
        <v>24.18</v>
      </c>
      <c r="N1858">
        <v>176</v>
      </c>
      <c r="O1858">
        <v>98</v>
      </c>
      <c r="P1858">
        <v>7.92</v>
      </c>
      <c r="Q1858">
        <v>14</v>
      </c>
      <c r="R1858">
        <v>6</v>
      </c>
      <c r="S1858">
        <v>3.78</v>
      </c>
      <c r="T1858">
        <v>3</v>
      </c>
      <c r="U1858" t="s">
        <v>22</v>
      </c>
      <c r="V1858" t="e">
        <f>IF(#REF! = "yes", 1, 0)</f>
        <v>#REF!</v>
      </c>
      <c r="W1858" t="e">
        <f>IF(#REF! &lt;= 1, "0-1 Calls", IF(#REF! &lt;= 3, "2-3 Calls", IF(#REF! &lt;=5, "4-5 Calls", "6+ Calls")))</f>
        <v>#REF!</v>
      </c>
      <c r="X1858" t="e">
        <f>IF(#REF! &lt;= 50, "0-50", IF(#REF! &lt;=100, "51-100", IF(#REF! &lt;= 150, "101-150", "151+")))</f>
        <v>#REF!</v>
      </c>
      <c r="Y1858" t="e">
        <f>IF(#REF! &lt;= 3, "Low Charges", "High Charges")</f>
        <v>#REF!</v>
      </c>
      <c r="Z1858" t="e">
        <f>IF(#REF!&lt;=80,"Low Calls",
IF(#REF!&lt;=120,"Medium Calls","High Calls"))</f>
        <v>#REF!</v>
      </c>
      <c r="AA1858" t="e">
        <f>IF(#REF!&lt;=15,"Low Charges",
IF(#REF!&lt;=20,"Medium Charges","High Charges"))</f>
        <v>#REF!</v>
      </c>
      <c r="AB1858" t="e">
        <f>IF(AND(#REF!&gt;180, #REF!&gt;200), "Heavy Doemstic User", IF(#REF!&gt;10, "Interntional User", IF(AND(#REF!&lt;180, #REF!&lt;200,#REF!&lt;200), "Light User", "Balanced User")))</f>
        <v>#REF!</v>
      </c>
      <c r="AC1858" t="e">
        <f>IF(#REF! = 0, "No Usage", IF(#REF! &lt;= 20, "Low Usage", IF(#REF! &lt;= 40, "Medium Usgae", "High Usage")))</f>
        <v>#REF!</v>
      </c>
      <c r="AD1858" t="e">
        <f>IF(#REF!&lt;=150,"Low Usage", IF(#REF!&lt;=200,"Medium Usage", IF(#REF!&lt;=250,"High Usage","Very High Usage")))</f>
        <v>#REF!</v>
      </c>
      <c r="AE1858" t="e">
        <f>IF(#REF!&lt;=5,"Low Calls", IF(#REF!&lt;=10, "Medium Calls", "High Calls"))</f>
        <v>#REF!</v>
      </c>
      <c r="AF1858" t="e">
        <f xml:space="preserve">
IF(#REF!&gt;=4,4,0)+
IF(#REF!="yes",3,0)+
IF(#REF!="High Charges",3,0)+
IF(#REF!&gt;250,4,0)+
IF(#REF!="no",1,0)+
IF(#REF!="Heavy Domestic User",2,0)</f>
        <v>#REF!</v>
      </c>
      <c r="AG1858" t="e">
        <f>IF(#REF!&gt;=10,"High Risk", IF(#REF!&gt;=5,"Medium Risk","Low Risk"))</f>
        <v>#REF!</v>
      </c>
      <c r="AH1858" t="e">
        <f>#REF! + #REF! + #REF! + #REF!</f>
        <v>#REF!</v>
      </c>
    </row>
    <row r="1859" spans="1:34" x14ac:dyDescent="0.35">
      <c r="A1859">
        <v>1858</v>
      </c>
      <c r="B1859" t="s">
        <v>37</v>
      </c>
      <c r="C1859">
        <v>92</v>
      </c>
      <c r="D1859" t="s">
        <v>21</v>
      </c>
      <c r="E1859" t="s">
        <v>22</v>
      </c>
      <c r="F1859" t="s">
        <v>23</v>
      </c>
      <c r="G1859">
        <v>31</v>
      </c>
      <c r="H1859">
        <v>172.3</v>
      </c>
      <c r="I1859">
        <v>116</v>
      </c>
      <c r="J1859">
        <v>29.29</v>
      </c>
      <c r="K1859">
        <v>266.2</v>
      </c>
      <c r="L1859">
        <v>91</v>
      </c>
      <c r="M1859">
        <v>22.63</v>
      </c>
      <c r="N1859">
        <v>228.2</v>
      </c>
      <c r="O1859">
        <v>90</v>
      </c>
      <c r="P1859">
        <v>10.27</v>
      </c>
      <c r="Q1859">
        <v>11.8</v>
      </c>
      <c r="R1859">
        <v>5</v>
      </c>
      <c r="S1859">
        <v>3.19</v>
      </c>
      <c r="T1859">
        <v>1</v>
      </c>
      <c r="U1859" t="s">
        <v>22</v>
      </c>
      <c r="V1859" t="e">
        <f>IF(#REF! = "yes", 1, 0)</f>
        <v>#REF!</v>
      </c>
      <c r="W1859" t="e">
        <f>IF(#REF! &lt;= 1, "0-1 Calls", IF(#REF! &lt;= 3, "2-3 Calls", IF(#REF! &lt;=5, "4-5 Calls", "6+ Calls")))</f>
        <v>#REF!</v>
      </c>
      <c r="X1859" t="e">
        <f>IF(#REF! &lt;= 50, "0-50", IF(#REF! &lt;=100, "51-100", IF(#REF! &lt;= 150, "101-150", "151+")))</f>
        <v>#REF!</v>
      </c>
      <c r="Y1859" t="e">
        <f>IF(#REF! &lt;= 3, "Low Charges", "High Charges")</f>
        <v>#REF!</v>
      </c>
      <c r="Z1859" t="e">
        <f>IF(#REF!&lt;=80,"Low Calls",
IF(#REF!&lt;=120,"Medium Calls","High Calls"))</f>
        <v>#REF!</v>
      </c>
      <c r="AA1859" t="e">
        <f>IF(#REF!&lt;=15,"Low Charges",
IF(#REF!&lt;=20,"Medium Charges","High Charges"))</f>
        <v>#REF!</v>
      </c>
      <c r="AB1859" t="e">
        <f>IF(AND(#REF!&gt;180, #REF!&gt;200), "Heavy Doemstic User", IF(#REF!&gt;10, "Interntional User", IF(AND(#REF!&lt;180, #REF!&lt;200,#REF!&lt;200), "Light User", "Balanced User")))</f>
        <v>#REF!</v>
      </c>
      <c r="AC1859" t="e">
        <f>IF(#REF! = 0, "No Usage", IF(#REF! &lt;= 20, "Low Usage", IF(#REF! &lt;= 40, "Medium Usgae", "High Usage")))</f>
        <v>#REF!</v>
      </c>
      <c r="AD1859" t="e">
        <f>IF(#REF!&lt;=150,"Low Usage", IF(#REF!&lt;=200,"Medium Usage", IF(#REF!&lt;=250,"High Usage","Very High Usage")))</f>
        <v>#REF!</v>
      </c>
      <c r="AE1859" t="e">
        <f>IF(#REF!&lt;=5,"Low Calls", IF(#REF!&lt;=10, "Medium Calls", "High Calls"))</f>
        <v>#REF!</v>
      </c>
      <c r="AF1859" t="e">
        <f xml:space="preserve">
IF(#REF!&gt;=4,4,0)+
IF(#REF!="yes",3,0)+
IF(#REF!="High Charges",3,0)+
IF(#REF!&gt;250,4,0)+
IF(#REF!="no",1,0)+
IF(#REF!="Heavy Domestic User",2,0)</f>
        <v>#REF!</v>
      </c>
      <c r="AG1859" t="e">
        <f>IF(#REF!&gt;=10,"High Risk", IF(#REF!&gt;=5,"Medium Risk","Low Risk"))</f>
        <v>#REF!</v>
      </c>
      <c r="AH1859" t="e">
        <f>#REF! + #REF! + #REF! + #REF!</f>
        <v>#REF!</v>
      </c>
    </row>
    <row r="1860" spans="1:34" x14ac:dyDescent="0.35">
      <c r="A1860">
        <v>1859</v>
      </c>
      <c r="B1860" t="s">
        <v>39</v>
      </c>
      <c r="C1860">
        <v>126</v>
      </c>
      <c r="D1860" t="s">
        <v>21</v>
      </c>
      <c r="E1860" t="s">
        <v>22</v>
      </c>
      <c r="F1860" t="s">
        <v>22</v>
      </c>
      <c r="G1860">
        <v>0</v>
      </c>
      <c r="H1860">
        <v>190.9</v>
      </c>
      <c r="I1860">
        <v>143</v>
      </c>
      <c r="J1860">
        <v>32.450000000000003</v>
      </c>
      <c r="K1860">
        <v>149.69999999999999</v>
      </c>
      <c r="L1860">
        <v>72</v>
      </c>
      <c r="M1860">
        <v>12.72</v>
      </c>
      <c r="N1860">
        <v>191.4</v>
      </c>
      <c r="O1860">
        <v>87</v>
      </c>
      <c r="P1860">
        <v>8.61</v>
      </c>
      <c r="Q1860">
        <v>13</v>
      </c>
      <c r="R1860">
        <v>3</v>
      </c>
      <c r="S1860">
        <v>3.51</v>
      </c>
      <c r="T1860">
        <v>1</v>
      </c>
      <c r="U1860" t="s">
        <v>22</v>
      </c>
      <c r="V1860" t="e">
        <f>IF(#REF! = "yes", 1, 0)</f>
        <v>#REF!</v>
      </c>
      <c r="W1860" t="e">
        <f>IF(#REF! &lt;= 1, "0-1 Calls", IF(#REF! &lt;= 3, "2-3 Calls", IF(#REF! &lt;=5, "4-5 Calls", "6+ Calls")))</f>
        <v>#REF!</v>
      </c>
      <c r="X1860" t="e">
        <f>IF(#REF! &lt;= 50, "0-50", IF(#REF! &lt;=100, "51-100", IF(#REF! &lt;= 150, "101-150", "151+")))</f>
        <v>#REF!</v>
      </c>
      <c r="Y1860" t="e">
        <f>IF(#REF! &lt;= 3, "Low Charges", "High Charges")</f>
        <v>#REF!</v>
      </c>
      <c r="Z1860" t="e">
        <f>IF(#REF!&lt;=80,"Low Calls",
IF(#REF!&lt;=120,"Medium Calls","High Calls"))</f>
        <v>#REF!</v>
      </c>
      <c r="AA1860" t="e">
        <f>IF(#REF!&lt;=15,"Low Charges",
IF(#REF!&lt;=20,"Medium Charges","High Charges"))</f>
        <v>#REF!</v>
      </c>
      <c r="AB1860" t="e">
        <f>IF(AND(#REF!&gt;180, #REF!&gt;200), "Heavy Doemstic User", IF(#REF!&gt;10, "Interntional User", IF(AND(#REF!&lt;180, #REF!&lt;200,#REF!&lt;200), "Light User", "Balanced User")))</f>
        <v>#REF!</v>
      </c>
      <c r="AC1860" t="e">
        <f>IF(#REF! = 0, "No Usage", IF(#REF! &lt;= 20, "Low Usage", IF(#REF! &lt;= 40, "Medium Usgae", "High Usage")))</f>
        <v>#REF!</v>
      </c>
      <c r="AD1860" t="e">
        <f>IF(#REF!&lt;=150,"Low Usage", IF(#REF!&lt;=200,"Medium Usage", IF(#REF!&lt;=250,"High Usage","Very High Usage")))</f>
        <v>#REF!</v>
      </c>
      <c r="AE1860" t="e">
        <f>IF(#REF!&lt;=5,"Low Calls", IF(#REF!&lt;=10, "Medium Calls", "High Calls"))</f>
        <v>#REF!</v>
      </c>
      <c r="AF1860" t="e">
        <f xml:space="preserve">
IF(#REF!&gt;=4,4,0)+
IF(#REF!="yes",3,0)+
IF(#REF!="High Charges",3,0)+
IF(#REF!&gt;250,4,0)+
IF(#REF!="no",1,0)+
IF(#REF!="Heavy Domestic User",2,0)</f>
        <v>#REF!</v>
      </c>
      <c r="AG1860" t="e">
        <f>IF(#REF!&gt;=10,"High Risk", IF(#REF!&gt;=5,"Medium Risk","Low Risk"))</f>
        <v>#REF!</v>
      </c>
      <c r="AH1860" t="e">
        <f>#REF! + #REF! + #REF! + #REF!</f>
        <v>#REF!</v>
      </c>
    </row>
    <row r="1861" spans="1:34" x14ac:dyDescent="0.35">
      <c r="A1861">
        <v>1860</v>
      </c>
      <c r="B1861" t="s">
        <v>61</v>
      </c>
      <c r="C1861">
        <v>41</v>
      </c>
      <c r="D1861" t="s">
        <v>21</v>
      </c>
      <c r="E1861" t="s">
        <v>22</v>
      </c>
      <c r="F1861" t="s">
        <v>22</v>
      </c>
      <c r="G1861">
        <v>0</v>
      </c>
      <c r="H1861">
        <v>232.1</v>
      </c>
      <c r="I1861">
        <v>74</v>
      </c>
      <c r="J1861">
        <v>39.46</v>
      </c>
      <c r="K1861">
        <v>327.10000000000002</v>
      </c>
      <c r="L1861">
        <v>88</v>
      </c>
      <c r="M1861">
        <v>27.8</v>
      </c>
      <c r="N1861">
        <v>226.5</v>
      </c>
      <c r="O1861">
        <v>119</v>
      </c>
      <c r="P1861">
        <v>10.19</v>
      </c>
      <c r="Q1861">
        <v>10.9</v>
      </c>
      <c r="R1861">
        <v>2</v>
      </c>
      <c r="S1861">
        <v>2.94</v>
      </c>
      <c r="T1861">
        <v>3</v>
      </c>
      <c r="U1861" t="s">
        <v>23</v>
      </c>
      <c r="V1861" t="e">
        <f>IF(#REF! = "yes", 1, 0)</f>
        <v>#REF!</v>
      </c>
      <c r="W1861" t="e">
        <f>IF(#REF! &lt;= 1, "0-1 Calls", IF(#REF! &lt;= 3, "2-3 Calls", IF(#REF! &lt;=5, "4-5 Calls", "6+ Calls")))</f>
        <v>#REF!</v>
      </c>
      <c r="X1861" t="e">
        <f>IF(#REF! &lt;= 50, "0-50", IF(#REF! &lt;=100, "51-100", IF(#REF! &lt;= 150, "101-150", "151+")))</f>
        <v>#REF!</v>
      </c>
      <c r="Y1861" t="e">
        <f>IF(#REF! &lt;= 3, "Low Charges", "High Charges")</f>
        <v>#REF!</v>
      </c>
      <c r="Z1861" t="e">
        <f>IF(#REF!&lt;=80,"Low Calls",
IF(#REF!&lt;=120,"Medium Calls","High Calls"))</f>
        <v>#REF!</v>
      </c>
      <c r="AA1861" t="e">
        <f>IF(#REF!&lt;=15,"Low Charges",
IF(#REF!&lt;=20,"Medium Charges","High Charges"))</f>
        <v>#REF!</v>
      </c>
      <c r="AB1861" t="e">
        <f>IF(AND(#REF!&gt;180, #REF!&gt;200), "Heavy Doemstic User", IF(#REF!&gt;10, "Interntional User", IF(AND(#REF!&lt;180, #REF!&lt;200,#REF!&lt;200), "Light User", "Balanced User")))</f>
        <v>#REF!</v>
      </c>
      <c r="AC1861" t="e">
        <f>IF(#REF! = 0, "No Usage", IF(#REF! &lt;= 20, "Low Usage", IF(#REF! &lt;= 40, "Medium Usgae", "High Usage")))</f>
        <v>#REF!</v>
      </c>
      <c r="AD1861" t="e">
        <f>IF(#REF!&lt;=150,"Low Usage", IF(#REF!&lt;=200,"Medium Usage", IF(#REF!&lt;=250,"High Usage","Very High Usage")))</f>
        <v>#REF!</v>
      </c>
      <c r="AE1861" t="e">
        <f>IF(#REF!&lt;=5,"Low Calls", IF(#REF!&lt;=10, "Medium Calls", "High Calls"))</f>
        <v>#REF!</v>
      </c>
      <c r="AF1861" t="e">
        <f xml:space="preserve">
IF(#REF!&gt;=4,4,0)+
IF(#REF!="yes",3,0)+
IF(#REF!="High Charges",3,0)+
IF(#REF!&gt;250,4,0)+
IF(#REF!="no",1,0)+
IF(#REF!="Heavy Domestic User",2,0)</f>
        <v>#REF!</v>
      </c>
      <c r="AG1861" t="e">
        <f>IF(#REF!&gt;=10,"High Risk", IF(#REF!&gt;=5,"Medium Risk","Low Risk"))</f>
        <v>#REF!</v>
      </c>
      <c r="AH1861" t="e">
        <f>#REF! + #REF! + #REF! + #REF!</f>
        <v>#REF!</v>
      </c>
    </row>
    <row r="1862" spans="1:34" x14ac:dyDescent="0.35">
      <c r="A1862">
        <v>1861</v>
      </c>
      <c r="B1862" t="s">
        <v>59</v>
      </c>
      <c r="C1862">
        <v>167</v>
      </c>
      <c r="D1862" t="s">
        <v>21</v>
      </c>
      <c r="E1862" t="s">
        <v>22</v>
      </c>
      <c r="F1862" t="s">
        <v>22</v>
      </c>
      <c r="G1862">
        <v>0</v>
      </c>
      <c r="H1862">
        <v>169.2</v>
      </c>
      <c r="I1862">
        <v>124</v>
      </c>
      <c r="J1862">
        <v>28.76</v>
      </c>
      <c r="K1862">
        <v>173.3</v>
      </c>
      <c r="L1862">
        <v>108</v>
      </c>
      <c r="M1862">
        <v>14.73</v>
      </c>
      <c r="N1862">
        <v>216.5</v>
      </c>
      <c r="O1862">
        <v>64</v>
      </c>
      <c r="P1862">
        <v>9.74</v>
      </c>
      <c r="Q1862">
        <v>12.4</v>
      </c>
      <c r="R1862">
        <v>4</v>
      </c>
      <c r="S1862">
        <v>3.35</v>
      </c>
      <c r="T1862">
        <v>4</v>
      </c>
      <c r="U1862" t="s">
        <v>23</v>
      </c>
      <c r="V1862" t="e">
        <f>IF(#REF! = "yes", 1, 0)</f>
        <v>#REF!</v>
      </c>
      <c r="W1862" t="e">
        <f>IF(#REF! &lt;= 1, "0-1 Calls", IF(#REF! &lt;= 3, "2-3 Calls", IF(#REF! &lt;=5, "4-5 Calls", "6+ Calls")))</f>
        <v>#REF!</v>
      </c>
      <c r="X1862" t="e">
        <f>IF(#REF! &lt;= 50, "0-50", IF(#REF! &lt;=100, "51-100", IF(#REF! &lt;= 150, "101-150", "151+")))</f>
        <v>#REF!</v>
      </c>
      <c r="Y1862" t="e">
        <f>IF(#REF! &lt;= 3, "Low Charges", "High Charges")</f>
        <v>#REF!</v>
      </c>
      <c r="Z1862" t="e">
        <f>IF(#REF!&lt;=80,"Low Calls",
IF(#REF!&lt;=120,"Medium Calls","High Calls"))</f>
        <v>#REF!</v>
      </c>
      <c r="AA1862" t="e">
        <f>IF(#REF!&lt;=15,"Low Charges",
IF(#REF!&lt;=20,"Medium Charges","High Charges"))</f>
        <v>#REF!</v>
      </c>
      <c r="AB1862" t="e">
        <f>IF(AND(#REF!&gt;180, #REF!&gt;200), "Heavy Doemstic User", IF(#REF!&gt;10, "Interntional User", IF(AND(#REF!&lt;180, #REF!&lt;200,#REF!&lt;200), "Light User", "Balanced User")))</f>
        <v>#REF!</v>
      </c>
      <c r="AC1862" t="e">
        <f>IF(#REF! = 0, "No Usage", IF(#REF! &lt;= 20, "Low Usage", IF(#REF! &lt;= 40, "Medium Usgae", "High Usage")))</f>
        <v>#REF!</v>
      </c>
      <c r="AD1862" t="e">
        <f>IF(#REF!&lt;=150,"Low Usage", IF(#REF!&lt;=200,"Medium Usage", IF(#REF!&lt;=250,"High Usage","Very High Usage")))</f>
        <v>#REF!</v>
      </c>
      <c r="AE1862" t="e">
        <f>IF(#REF!&lt;=5,"Low Calls", IF(#REF!&lt;=10, "Medium Calls", "High Calls"))</f>
        <v>#REF!</v>
      </c>
      <c r="AF1862" t="e">
        <f xml:space="preserve">
IF(#REF!&gt;=4,4,0)+
IF(#REF!="yes",3,0)+
IF(#REF!="High Charges",3,0)+
IF(#REF!&gt;250,4,0)+
IF(#REF!="no",1,0)+
IF(#REF!="Heavy Domestic User",2,0)</f>
        <v>#REF!</v>
      </c>
      <c r="AG1862" t="e">
        <f>IF(#REF!&gt;=10,"High Risk", IF(#REF!&gt;=5,"Medium Risk","Low Risk"))</f>
        <v>#REF!</v>
      </c>
      <c r="AH1862" t="e">
        <f>#REF! + #REF! + #REF! + #REF!</f>
        <v>#REF!</v>
      </c>
    </row>
    <row r="1863" spans="1:34" x14ac:dyDescent="0.35">
      <c r="A1863">
        <v>1862</v>
      </c>
      <c r="B1863" t="s">
        <v>55</v>
      </c>
      <c r="C1863">
        <v>91</v>
      </c>
      <c r="D1863" t="s">
        <v>28</v>
      </c>
      <c r="E1863" t="s">
        <v>22</v>
      </c>
      <c r="F1863" t="s">
        <v>22</v>
      </c>
      <c r="G1863">
        <v>0</v>
      </c>
      <c r="H1863">
        <v>123.8</v>
      </c>
      <c r="I1863">
        <v>107</v>
      </c>
      <c r="J1863">
        <v>21.05</v>
      </c>
      <c r="K1863">
        <v>319</v>
      </c>
      <c r="L1863">
        <v>125</v>
      </c>
      <c r="M1863">
        <v>27.12</v>
      </c>
      <c r="N1863">
        <v>237.6</v>
      </c>
      <c r="O1863">
        <v>78</v>
      </c>
      <c r="P1863">
        <v>10.69</v>
      </c>
      <c r="Q1863">
        <v>7.3</v>
      </c>
      <c r="R1863">
        <v>4</v>
      </c>
      <c r="S1863">
        <v>1.97</v>
      </c>
      <c r="T1863">
        <v>2</v>
      </c>
      <c r="U1863" t="s">
        <v>22</v>
      </c>
      <c r="V1863" t="e">
        <f>IF(#REF! = "yes", 1, 0)</f>
        <v>#REF!</v>
      </c>
      <c r="W1863" t="e">
        <f>IF(#REF! &lt;= 1, "0-1 Calls", IF(#REF! &lt;= 3, "2-3 Calls", IF(#REF! &lt;=5, "4-5 Calls", "6+ Calls")))</f>
        <v>#REF!</v>
      </c>
      <c r="X1863" t="e">
        <f>IF(#REF! &lt;= 50, "0-50", IF(#REF! &lt;=100, "51-100", IF(#REF! &lt;= 150, "101-150", "151+")))</f>
        <v>#REF!</v>
      </c>
      <c r="Y1863" t="e">
        <f>IF(#REF! &lt;= 3, "Low Charges", "High Charges")</f>
        <v>#REF!</v>
      </c>
      <c r="Z1863" t="e">
        <f>IF(#REF!&lt;=80,"Low Calls",
IF(#REF!&lt;=120,"Medium Calls","High Calls"))</f>
        <v>#REF!</v>
      </c>
      <c r="AA1863" t="e">
        <f>IF(#REF!&lt;=15,"Low Charges",
IF(#REF!&lt;=20,"Medium Charges","High Charges"))</f>
        <v>#REF!</v>
      </c>
      <c r="AB1863" t="e">
        <f>IF(AND(#REF!&gt;180, #REF!&gt;200), "Heavy Doemstic User", IF(#REF!&gt;10, "Interntional User", IF(AND(#REF!&lt;180, #REF!&lt;200,#REF!&lt;200), "Light User", "Balanced User")))</f>
        <v>#REF!</v>
      </c>
      <c r="AC1863" t="e">
        <f>IF(#REF! = 0, "No Usage", IF(#REF! &lt;= 20, "Low Usage", IF(#REF! &lt;= 40, "Medium Usgae", "High Usage")))</f>
        <v>#REF!</v>
      </c>
      <c r="AD1863" t="e">
        <f>IF(#REF!&lt;=150,"Low Usage", IF(#REF!&lt;=200,"Medium Usage", IF(#REF!&lt;=250,"High Usage","Very High Usage")))</f>
        <v>#REF!</v>
      </c>
      <c r="AE1863" t="e">
        <f>IF(#REF!&lt;=5,"Low Calls", IF(#REF!&lt;=10, "Medium Calls", "High Calls"))</f>
        <v>#REF!</v>
      </c>
      <c r="AF1863" t="e">
        <f xml:space="preserve">
IF(#REF!&gt;=4,4,0)+
IF(#REF!="yes",3,0)+
IF(#REF!="High Charges",3,0)+
IF(#REF!&gt;250,4,0)+
IF(#REF!="no",1,0)+
IF(#REF!="Heavy Domestic User",2,0)</f>
        <v>#REF!</v>
      </c>
      <c r="AG1863" t="e">
        <f>IF(#REF!&gt;=10,"High Risk", IF(#REF!&gt;=5,"Medium Risk","Low Risk"))</f>
        <v>#REF!</v>
      </c>
      <c r="AH1863" t="e">
        <f>#REF! + #REF! + #REF! + #REF!</f>
        <v>#REF!</v>
      </c>
    </row>
    <row r="1864" spans="1:34" x14ac:dyDescent="0.35">
      <c r="A1864">
        <v>1863</v>
      </c>
      <c r="B1864" t="s">
        <v>33</v>
      </c>
      <c r="C1864">
        <v>127</v>
      </c>
      <c r="D1864" t="s">
        <v>28</v>
      </c>
      <c r="E1864" t="s">
        <v>22</v>
      </c>
      <c r="F1864" t="s">
        <v>22</v>
      </c>
      <c r="G1864">
        <v>0</v>
      </c>
      <c r="H1864">
        <v>96</v>
      </c>
      <c r="I1864">
        <v>117</v>
      </c>
      <c r="J1864">
        <v>16.32</v>
      </c>
      <c r="K1864">
        <v>177</v>
      </c>
      <c r="L1864">
        <v>68</v>
      </c>
      <c r="M1864">
        <v>15.05</v>
      </c>
      <c r="N1864">
        <v>162.19999999999999</v>
      </c>
      <c r="O1864">
        <v>127</v>
      </c>
      <c r="P1864">
        <v>7.3</v>
      </c>
      <c r="Q1864">
        <v>9.6999999999999993</v>
      </c>
      <c r="R1864">
        <v>4</v>
      </c>
      <c r="S1864">
        <v>2.62</v>
      </c>
      <c r="T1864">
        <v>3</v>
      </c>
      <c r="U1864" t="s">
        <v>22</v>
      </c>
      <c r="V1864" t="e">
        <f>IF(#REF! = "yes", 1, 0)</f>
        <v>#REF!</v>
      </c>
      <c r="W1864" t="e">
        <f>IF(#REF! &lt;= 1, "0-1 Calls", IF(#REF! &lt;= 3, "2-3 Calls", IF(#REF! &lt;=5, "4-5 Calls", "6+ Calls")))</f>
        <v>#REF!</v>
      </c>
      <c r="X1864" t="e">
        <f>IF(#REF! &lt;= 50, "0-50", IF(#REF! &lt;=100, "51-100", IF(#REF! &lt;= 150, "101-150", "151+")))</f>
        <v>#REF!</v>
      </c>
      <c r="Y1864" t="e">
        <f>IF(#REF! &lt;= 3, "Low Charges", "High Charges")</f>
        <v>#REF!</v>
      </c>
      <c r="Z1864" t="e">
        <f>IF(#REF!&lt;=80,"Low Calls",
IF(#REF!&lt;=120,"Medium Calls","High Calls"))</f>
        <v>#REF!</v>
      </c>
      <c r="AA1864" t="e">
        <f>IF(#REF!&lt;=15,"Low Charges",
IF(#REF!&lt;=20,"Medium Charges","High Charges"))</f>
        <v>#REF!</v>
      </c>
      <c r="AB1864" t="e">
        <f>IF(AND(#REF!&gt;180, #REF!&gt;200), "Heavy Doemstic User", IF(#REF!&gt;10, "Interntional User", IF(AND(#REF!&lt;180, #REF!&lt;200,#REF!&lt;200), "Light User", "Balanced User")))</f>
        <v>#REF!</v>
      </c>
      <c r="AC1864" t="e">
        <f>IF(#REF! = 0, "No Usage", IF(#REF! &lt;= 20, "Low Usage", IF(#REF! &lt;= 40, "Medium Usgae", "High Usage")))</f>
        <v>#REF!</v>
      </c>
      <c r="AD1864" t="e">
        <f>IF(#REF!&lt;=150,"Low Usage", IF(#REF!&lt;=200,"Medium Usage", IF(#REF!&lt;=250,"High Usage","Very High Usage")))</f>
        <v>#REF!</v>
      </c>
      <c r="AE1864" t="e">
        <f>IF(#REF!&lt;=5,"Low Calls", IF(#REF!&lt;=10, "Medium Calls", "High Calls"))</f>
        <v>#REF!</v>
      </c>
      <c r="AF1864" t="e">
        <f xml:space="preserve">
IF(#REF!&gt;=4,4,0)+
IF(#REF!="yes",3,0)+
IF(#REF!="High Charges",3,0)+
IF(#REF!&gt;250,4,0)+
IF(#REF!="no",1,0)+
IF(#REF!="Heavy Domestic User",2,0)</f>
        <v>#REF!</v>
      </c>
      <c r="AG1864" t="e">
        <f>IF(#REF!&gt;=10,"High Risk", IF(#REF!&gt;=5,"Medium Risk","Low Risk"))</f>
        <v>#REF!</v>
      </c>
      <c r="AH1864" t="e">
        <f>#REF! + #REF! + #REF! + #REF!</f>
        <v>#REF!</v>
      </c>
    </row>
    <row r="1865" spans="1:34" x14ac:dyDescent="0.35">
      <c r="A1865">
        <v>1864</v>
      </c>
      <c r="B1865" t="s">
        <v>58</v>
      </c>
      <c r="C1865">
        <v>88</v>
      </c>
      <c r="D1865" t="s">
        <v>25</v>
      </c>
      <c r="E1865" t="s">
        <v>22</v>
      </c>
      <c r="F1865" t="s">
        <v>23</v>
      </c>
      <c r="G1865">
        <v>27</v>
      </c>
      <c r="H1865">
        <v>93.4</v>
      </c>
      <c r="I1865">
        <v>106</v>
      </c>
      <c r="J1865">
        <v>15.88</v>
      </c>
      <c r="K1865">
        <v>252</v>
      </c>
      <c r="L1865">
        <v>92</v>
      </c>
      <c r="M1865">
        <v>21.42</v>
      </c>
      <c r="N1865">
        <v>189</v>
      </c>
      <c r="O1865">
        <v>104</v>
      </c>
      <c r="P1865">
        <v>8.5</v>
      </c>
      <c r="Q1865">
        <v>10.9</v>
      </c>
      <c r="R1865">
        <v>1</v>
      </c>
      <c r="S1865">
        <v>2.94</v>
      </c>
      <c r="T1865">
        <v>1</v>
      </c>
      <c r="U1865" t="s">
        <v>22</v>
      </c>
      <c r="V1865" t="e">
        <f>IF(#REF! = "yes", 1, 0)</f>
        <v>#REF!</v>
      </c>
      <c r="W1865" t="e">
        <f>IF(#REF! &lt;= 1, "0-1 Calls", IF(#REF! &lt;= 3, "2-3 Calls", IF(#REF! &lt;=5, "4-5 Calls", "6+ Calls")))</f>
        <v>#REF!</v>
      </c>
      <c r="X1865" t="e">
        <f>IF(#REF! &lt;= 50, "0-50", IF(#REF! &lt;=100, "51-100", IF(#REF! &lt;= 150, "101-150", "151+")))</f>
        <v>#REF!</v>
      </c>
      <c r="Y1865" t="e">
        <f>IF(#REF! &lt;= 3, "Low Charges", "High Charges")</f>
        <v>#REF!</v>
      </c>
      <c r="Z1865" t="e">
        <f>IF(#REF!&lt;=80,"Low Calls",
IF(#REF!&lt;=120,"Medium Calls","High Calls"))</f>
        <v>#REF!</v>
      </c>
      <c r="AA1865" t="e">
        <f>IF(#REF!&lt;=15,"Low Charges",
IF(#REF!&lt;=20,"Medium Charges","High Charges"))</f>
        <v>#REF!</v>
      </c>
      <c r="AB1865" t="e">
        <f>IF(AND(#REF!&gt;180, #REF!&gt;200), "Heavy Doemstic User", IF(#REF!&gt;10, "Interntional User", IF(AND(#REF!&lt;180, #REF!&lt;200,#REF!&lt;200), "Light User", "Balanced User")))</f>
        <v>#REF!</v>
      </c>
      <c r="AC1865" t="e">
        <f>IF(#REF! = 0, "No Usage", IF(#REF! &lt;= 20, "Low Usage", IF(#REF! &lt;= 40, "Medium Usgae", "High Usage")))</f>
        <v>#REF!</v>
      </c>
      <c r="AD1865" t="e">
        <f>IF(#REF!&lt;=150,"Low Usage", IF(#REF!&lt;=200,"Medium Usage", IF(#REF!&lt;=250,"High Usage","Very High Usage")))</f>
        <v>#REF!</v>
      </c>
      <c r="AE1865" t="e">
        <f>IF(#REF!&lt;=5,"Low Calls", IF(#REF!&lt;=10, "Medium Calls", "High Calls"))</f>
        <v>#REF!</v>
      </c>
      <c r="AF1865" t="e">
        <f xml:space="preserve">
IF(#REF!&gt;=4,4,0)+
IF(#REF!="yes",3,0)+
IF(#REF!="High Charges",3,0)+
IF(#REF!&gt;250,4,0)+
IF(#REF!="no",1,0)+
IF(#REF!="Heavy Domestic User",2,0)</f>
        <v>#REF!</v>
      </c>
      <c r="AG1865" t="e">
        <f>IF(#REF!&gt;=10,"High Risk", IF(#REF!&gt;=5,"Medium Risk","Low Risk"))</f>
        <v>#REF!</v>
      </c>
      <c r="AH1865" t="e">
        <f>#REF! + #REF! + #REF! + #REF!</f>
        <v>#REF!</v>
      </c>
    </row>
    <row r="1866" spans="1:34" x14ac:dyDescent="0.35">
      <c r="A1866">
        <v>1865</v>
      </c>
      <c r="B1866" t="s">
        <v>33</v>
      </c>
      <c r="C1866">
        <v>113</v>
      </c>
      <c r="D1866" t="s">
        <v>21</v>
      </c>
      <c r="E1866" t="s">
        <v>22</v>
      </c>
      <c r="F1866" t="s">
        <v>22</v>
      </c>
      <c r="G1866">
        <v>0</v>
      </c>
      <c r="H1866">
        <v>90.6</v>
      </c>
      <c r="I1866">
        <v>130</v>
      </c>
      <c r="J1866">
        <v>15.4</v>
      </c>
      <c r="K1866">
        <v>170.6</v>
      </c>
      <c r="L1866">
        <v>100</v>
      </c>
      <c r="M1866">
        <v>14.5</v>
      </c>
      <c r="N1866">
        <v>137.4</v>
      </c>
      <c r="O1866">
        <v>74</v>
      </c>
      <c r="P1866">
        <v>6.18</v>
      </c>
      <c r="Q1866">
        <v>5.4</v>
      </c>
      <c r="R1866">
        <v>9</v>
      </c>
      <c r="S1866">
        <v>1.46</v>
      </c>
      <c r="T1866">
        <v>1</v>
      </c>
      <c r="U1866" t="s">
        <v>22</v>
      </c>
      <c r="V1866" t="e">
        <f>IF(#REF! = "yes", 1, 0)</f>
        <v>#REF!</v>
      </c>
      <c r="W1866" t="e">
        <f>IF(#REF! &lt;= 1, "0-1 Calls", IF(#REF! &lt;= 3, "2-3 Calls", IF(#REF! &lt;=5, "4-5 Calls", "6+ Calls")))</f>
        <v>#REF!</v>
      </c>
      <c r="X1866" t="e">
        <f>IF(#REF! &lt;= 50, "0-50", IF(#REF! &lt;=100, "51-100", IF(#REF! &lt;= 150, "101-150", "151+")))</f>
        <v>#REF!</v>
      </c>
      <c r="Y1866" t="e">
        <f>IF(#REF! &lt;= 3, "Low Charges", "High Charges")</f>
        <v>#REF!</v>
      </c>
      <c r="Z1866" t="e">
        <f>IF(#REF!&lt;=80,"Low Calls",
IF(#REF!&lt;=120,"Medium Calls","High Calls"))</f>
        <v>#REF!</v>
      </c>
      <c r="AA1866" t="e">
        <f>IF(#REF!&lt;=15,"Low Charges",
IF(#REF!&lt;=20,"Medium Charges","High Charges"))</f>
        <v>#REF!</v>
      </c>
      <c r="AB1866" t="e">
        <f>IF(AND(#REF!&gt;180, #REF!&gt;200), "Heavy Doemstic User", IF(#REF!&gt;10, "Interntional User", IF(AND(#REF!&lt;180, #REF!&lt;200,#REF!&lt;200), "Light User", "Balanced User")))</f>
        <v>#REF!</v>
      </c>
      <c r="AC1866" t="e">
        <f>IF(#REF! = 0, "No Usage", IF(#REF! &lt;= 20, "Low Usage", IF(#REF! &lt;= 40, "Medium Usgae", "High Usage")))</f>
        <v>#REF!</v>
      </c>
      <c r="AD1866" t="e">
        <f>IF(#REF!&lt;=150,"Low Usage", IF(#REF!&lt;=200,"Medium Usage", IF(#REF!&lt;=250,"High Usage","Very High Usage")))</f>
        <v>#REF!</v>
      </c>
      <c r="AE1866" t="e">
        <f>IF(#REF!&lt;=5,"Low Calls", IF(#REF!&lt;=10, "Medium Calls", "High Calls"))</f>
        <v>#REF!</v>
      </c>
      <c r="AF1866" t="e">
        <f xml:space="preserve">
IF(#REF!&gt;=4,4,0)+
IF(#REF!="yes",3,0)+
IF(#REF!="High Charges",3,0)+
IF(#REF!&gt;250,4,0)+
IF(#REF!="no",1,0)+
IF(#REF!="Heavy Domestic User",2,0)</f>
        <v>#REF!</v>
      </c>
      <c r="AG1866" t="e">
        <f>IF(#REF!&gt;=10,"High Risk", IF(#REF!&gt;=5,"Medium Risk","Low Risk"))</f>
        <v>#REF!</v>
      </c>
      <c r="AH1866" t="e">
        <f>#REF! + #REF! + #REF! + #REF!</f>
        <v>#REF!</v>
      </c>
    </row>
    <row r="1867" spans="1:34" x14ac:dyDescent="0.35">
      <c r="A1867">
        <v>1866</v>
      </c>
      <c r="B1867" t="s">
        <v>36</v>
      </c>
      <c r="C1867">
        <v>78</v>
      </c>
      <c r="D1867" t="s">
        <v>28</v>
      </c>
      <c r="E1867" t="s">
        <v>22</v>
      </c>
      <c r="F1867" t="s">
        <v>22</v>
      </c>
      <c r="G1867">
        <v>0</v>
      </c>
      <c r="H1867">
        <v>152.9</v>
      </c>
      <c r="I1867">
        <v>81</v>
      </c>
      <c r="J1867">
        <v>25.99</v>
      </c>
      <c r="K1867">
        <v>256.60000000000002</v>
      </c>
      <c r="L1867">
        <v>82</v>
      </c>
      <c r="M1867">
        <v>21.81</v>
      </c>
      <c r="N1867">
        <v>173.6</v>
      </c>
      <c r="O1867">
        <v>112</v>
      </c>
      <c r="P1867">
        <v>7.81</v>
      </c>
      <c r="Q1867">
        <v>5.3</v>
      </c>
      <c r="R1867">
        <v>6</v>
      </c>
      <c r="S1867">
        <v>1.43</v>
      </c>
      <c r="T1867">
        <v>2</v>
      </c>
      <c r="U1867" t="s">
        <v>22</v>
      </c>
      <c r="V1867" t="e">
        <f>IF(#REF! = "yes", 1, 0)</f>
        <v>#REF!</v>
      </c>
      <c r="W1867" t="e">
        <f>IF(#REF! &lt;= 1, "0-1 Calls", IF(#REF! &lt;= 3, "2-3 Calls", IF(#REF! &lt;=5, "4-5 Calls", "6+ Calls")))</f>
        <v>#REF!</v>
      </c>
      <c r="X1867" t="e">
        <f>IF(#REF! &lt;= 50, "0-50", IF(#REF! &lt;=100, "51-100", IF(#REF! &lt;= 150, "101-150", "151+")))</f>
        <v>#REF!</v>
      </c>
      <c r="Y1867" t="e">
        <f>IF(#REF! &lt;= 3, "Low Charges", "High Charges")</f>
        <v>#REF!</v>
      </c>
      <c r="Z1867" t="e">
        <f>IF(#REF!&lt;=80,"Low Calls",
IF(#REF!&lt;=120,"Medium Calls","High Calls"))</f>
        <v>#REF!</v>
      </c>
      <c r="AA1867" t="e">
        <f>IF(#REF!&lt;=15,"Low Charges",
IF(#REF!&lt;=20,"Medium Charges","High Charges"))</f>
        <v>#REF!</v>
      </c>
      <c r="AB1867" t="e">
        <f>IF(AND(#REF!&gt;180, #REF!&gt;200), "Heavy Doemstic User", IF(#REF!&gt;10, "Interntional User", IF(AND(#REF!&lt;180, #REF!&lt;200,#REF!&lt;200), "Light User", "Balanced User")))</f>
        <v>#REF!</v>
      </c>
      <c r="AC1867" t="e">
        <f>IF(#REF! = 0, "No Usage", IF(#REF! &lt;= 20, "Low Usage", IF(#REF! &lt;= 40, "Medium Usgae", "High Usage")))</f>
        <v>#REF!</v>
      </c>
      <c r="AD1867" t="e">
        <f>IF(#REF!&lt;=150,"Low Usage", IF(#REF!&lt;=200,"Medium Usage", IF(#REF!&lt;=250,"High Usage","Very High Usage")))</f>
        <v>#REF!</v>
      </c>
      <c r="AE1867" t="e">
        <f>IF(#REF!&lt;=5,"Low Calls", IF(#REF!&lt;=10, "Medium Calls", "High Calls"))</f>
        <v>#REF!</v>
      </c>
      <c r="AF1867" t="e">
        <f xml:space="preserve">
IF(#REF!&gt;=4,4,0)+
IF(#REF!="yes",3,0)+
IF(#REF!="High Charges",3,0)+
IF(#REF!&gt;250,4,0)+
IF(#REF!="no",1,0)+
IF(#REF!="Heavy Domestic User",2,0)</f>
        <v>#REF!</v>
      </c>
      <c r="AG1867" t="e">
        <f>IF(#REF!&gt;=10,"High Risk", IF(#REF!&gt;=5,"Medium Risk","Low Risk"))</f>
        <v>#REF!</v>
      </c>
      <c r="AH1867" t="e">
        <f>#REF! + #REF! + #REF! + #REF!</f>
        <v>#REF!</v>
      </c>
    </row>
    <row r="1868" spans="1:34" x14ac:dyDescent="0.35">
      <c r="A1868">
        <v>1867</v>
      </c>
      <c r="B1868" t="s">
        <v>54</v>
      </c>
      <c r="C1868">
        <v>136</v>
      </c>
      <c r="D1868" t="s">
        <v>25</v>
      </c>
      <c r="E1868" t="s">
        <v>23</v>
      </c>
      <c r="F1868" t="s">
        <v>23</v>
      </c>
      <c r="G1868">
        <v>29</v>
      </c>
      <c r="H1868">
        <v>85.2</v>
      </c>
      <c r="I1868">
        <v>98</v>
      </c>
      <c r="J1868">
        <v>14.48</v>
      </c>
      <c r="K1868">
        <v>230.4</v>
      </c>
      <c r="L1868">
        <v>85</v>
      </c>
      <c r="M1868">
        <v>19.579999999999998</v>
      </c>
      <c r="N1868">
        <v>243.6</v>
      </c>
      <c r="O1868">
        <v>104</v>
      </c>
      <c r="P1868">
        <v>10.96</v>
      </c>
      <c r="Q1868">
        <v>9</v>
      </c>
      <c r="R1868">
        <v>3</v>
      </c>
      <c r="S1868">
        <v>2.4300000000000002</v>
      </c>
      <c r="T1868">
        <v>2</v>
      </c>
      <c r="U1868" t="s">
        <v>22</v>
      </c>
      <c r="V1868" t="e">
        <f>IF(#REF! = "yes", 1, 0)</f>
        <v>#REF!</v>
      </c>
      <c r="W1868" t="e">
        <f>IF(#REF! &lt;= 1, "0-1 Calls", IF(#REF! &lt;= 3, "2-3 Calls", IF(#REF! &lt;=5, "4-5 Calls", "6+ Calls")))</f>
        <v>#REF!</v>
      </c>
      <c r="X1868" t="e">
        <f>IF(#REF! &lt;= 50, "0-50", IF(#REF! &lt;=100, "51-100", IF(#REF! &lt;= 150, "101-150", "151+")))</f>
        <v>#REF!</v>
      </c>
      <c r="Y1868" t="e">
        <f>IF(#REF! &lt;= 3, "Low Charges", "High Charges")</f>
        <v>#REF!</v>
      </c>
      <c r="Z1868" t="e">
        <f>IF(#REF!&lt;=80,"Low Calls",
IF(#REF!&lt;=120,"Medium Calls","High Calls"))</f>
        <v>#REF!</v>
      </c>
      <c r="AA1868" t="e">
        <f>IF(#REF!&lt;=15,"Low Charges",
IF(#REF!&lt;=20,"Medium Charges","High Charges"))</f>
        <v>#REF!</v>
      </c>
      <c r="AB1868" t="e">
        <f>IF(AND(#REF!&gt;180, #REF!&gt;200), "Heavy Doemstic User", IF(#REF!&gt;10, "Interntional User", IF(AND(#REF!&lt;180, #REF!&lt;200,#REF!&lt;200), "Light User", "Balanced User")))</f>
        <v>#REF!</v>
      </c>
      <c r="AC1868" t="e">
        <f>IF(#REF! = 0, "No Usage", IF(#REF! &lt;= 20, "Low Usage", IF(#REF! &lt;= 40, "Medium Usgae", "High Usage")))</f>
        <v>#REF!</v>
      </c>
      <c r="AD1868" t="e">
        <f>IF(#REF!&lt;=150,"Low Usage", IF(#REF!&lt;=200,"Medium Usage", IF(#REF!&lt;=250,"High Usage","Very High Usage")))</f>
        <v>#REF!</v>
      </c>
      <c r="AE1868" t="e">
        <f>IF(#REF!&lt;=5,"Low Calls", IF(#REF!&lt;=10, "Medium Calls", "High Calls"))</f>
        <v>#REF!</v>
      </c>
      <c r="AF1868" t="e">
        <f xml:space="preserve">
IF(#REF!&gt;=4,4,0)+
IF(#REF!="yes",3,0)+
IF(#REF!="High Charges",3,0)+
IF(#REF!&gt;250,4,0)+
IF(#REF!="no",1,0)+
IF(#REF!="Heavy Domestic User",2,0)</f>
        <v>#REF!</v>
      </c>
      <c r="AG1868" t="e">
        <f>IF(#REF!&gt;=10,"High Risk", IF(#REF!&gt;=5,"Medium Risk","Low Risk"))</f>
        <v>#REF!</v>
      </c>
      <c r="AH1868" t="e">
        <f>#REF! + #REF! + #REF! + #REF!</f>
        <v>#REF!</v>
      </c>
    </row>
    <row r="1869" spans="1:34" x14ac:dyDescent="0.35">
      <c r="A1869">
        <v>1868</v>
      </c>
      <c r="B1869" t="s">
        <v>67</v>
      </c>
      <c r="C1869">
        <v>68</v>
      </c>
      <c r="D1869" t="s">
        <v>21</v>
      </c>
      <c r="E1869" t="s">
        <v>22</v>
      </c>
      <c r="F1869" t="s">
        <v>23</v>
      </c>
      <c r="G1869">
        <v>34</v>
      </c>
      <c r="H1869">
        <v>160</v>
      </c>
      <c r="I1869">
        <v>72</v>
      </c>
      <c r="J1869">
        <v>27.2</v>
      </c>
      <c r="K1869">
        <v>184.5</v>
      </c>
      <c r="L1869">
        <v>119</v>
      </c>
      <c r="M1869">
        <v>15.68</v>
      </c>
      <c r="N1869">
        <v>208.3</v>
      </c>
      <c r="O1869">
        <v>101</v>
      </c>
      <c r="P1869">
        <v>9.3699999999999992</v>
      </c>
      <c r="Q1869">
        <v>6.1</v>
      </c>
      <c r="R1869">
        <v>10</v>
      </c>
      <c r="S1869">
        <v>1.65</v>
      </c>
      <c r="T1869">
        <v>1</v>
      </c>
      <c r="U1869" t="s">
        <v>22</v>
      </c>
      <c r="V1869" t="e">
        <f>IF(#REF! = "yes", 1, 0)</f>
        <v>#REF!</v>
      </c>
      <c r="W1869" t="e">
        <f>IF(#REF! &lt;= 1, "0-1 Calls", IF(#REF! &lt;= 3, "2-3 Calls", IF(#REF! &lt;=5, "4-5 Calls", "6+ Calls")))</f>
        <v>#REF!</v>
      </c>
      <c r="X1869" t="e">
        <f>IF(#REF! &lt;= 50, "0-50", IF(#REF! &lt;=100, "51-100", IF(#REF! &lt;= 150, "101-150", "151+")))</f>
        <v>#REF!</v>
      </c>
      <c r="Y1869" t="e">
        <f>IF(#REF! &lt;= 3, "Low Charges", "High Charges")</f>
        <v>#REF!</v>
      </c>
      <c r="Z1869" t="e">
        <f>IF(#REF!&lt;=80,"Low Calls",
IF(#REF!&lt;=120,"Medium Calls","High Calls"))</f>
        <v>#REF!</v>
      </c>
      <c r="AA1869" t="e">
        <f>IF(#REF!&lt;=15,"Low Charges",
IF(#REF!&lt;=20,"Medium Charges","High Charges"))</f>
        <v>#REF!</v>
      </c>
      <c r="AB1869" t="e">
        <f>IF(AND(#REF!&gt;180, #REF!&gt;200), "Heavy Doemstic User", IF(#REF!&gt;10, "Interntional User", IF(AND(#REF!&lt;180, #REF!&lt;200,#REF!&lt;200), "Light User", "Balanced User")))</f>
        <v>#REF!</v>
      </c>
      <c r="AC1869" t="e">
        <f>IF(#REF! = 0, "No Usage", IF(#REF! &lt;= 20, "Low Usage", IF(#REF! &lt;= 40, "Medium Usgae", "High Usage")))</f>
        <v>#REF!</v>
      </c>
      <c r="AD1869" t="e">
        <f>IF(#REF!&lt;=150,"Low Usage", IF(#REF!&lt;=200,"Medium Usage", IF(#REF!&lt;=250,"High Usage","Very High Usage")))</f>
        <v>#REF!</v>
      </c>
      <c r="AE1869" t="e">
        <f>IF(#REF!&lt;=5,"Low Calls", IF(#REF!&lt;=10, "Medium Calls", "High Calls"))</f>
        <v>#REF!</v>
      </c>
      <c r="AF1869" t="e">
        <f xml:space="preserve">
IF(#REF!&gt;=4,4,0)+
IF(#REF!="yes",3,0)+
IF(#REF!="High Charges",3,0)+
IF(#REF!&gt;250,4,0)+
IF(#REF!="no",1,0)+
IF(#REF!="Heavy Domestic User",2,0)</f>
        <v>#REF!</v>
      </c>
      <c r="AG1869" t="e">
        <f>IF(#REF!&gt;=10,"High Risk", IF(#REF!&gt;=5,"Medium Risk","Low Risk"))</f>
        <v>#REF!</v>
      </c>
      <c r="AH1869" t="e">
        <f>#REF! + #REF! + #REF! + #REF!</f>
        <v>#REF!</v>
      </c>
    </row>
    <row r="1870" spans="1:34" x14ac:dyDescent="0.35">
      <c r="A1870">
        <v>1869</v>
      </c>
      <c r="B1870" t="s">
        <v>20</v>
      </c>
      <c r="C1870">
        <v>132</v>
      </c>
      <c r="D1870" t="s">
        <v>21</v>
      </c>
      <c r="E1870" t="s">
        <v>22</v>
      </c>
      <c r="F1870" t="s">
        <v>23</v>
      </c>
      <c r="G1870">
        <v>10</v>
      </c>
      <c r="H1870">
        <v>182.9</v>
      </c>
      <c r="I1870">
        <v>54</v>
      </c>
      <c r="J1870">
        <v>31.09</v>
      </c>
      <c r="K1870">
        <v>292.39999999999998</v>
      </c>
      <c r="L1870">
        <v>68</v>
      </c>
      <c r="M1870">
        <v>24.85</v>
      </c>
      <c r="N1870">
        <v>142.30000000000001</v>
      </c>
      <c r="O1870">
        <v>116</v>
      </c>
      <c r="P1870">
        <v>6.4</v>
      </c>
      <c r="Q1870">
        <v>11.5</v>
      </c>
      <c r="R1870">
        <v>4</v>
      </c>
      <c r="S1870">
        <v>3.11</v>
      </c>
      <c r="T1870">
        <v>0</v>
      </c>
      <c r="U1870" t="s">
        <v>22</v>
      </c>
      <c r="V1870" t="e">
        <f>IF(#REF! = "yes", 1, 0)</f>
        <v>#REF!</v>
      </c>
      <c r="W1870" t="e">
        <f>IF(#REF! &lt;= 1, "0-1 Calls", IF(#REF! &lt;= 3, "2-3 Calls", IF(#REF! &lt;=5, "4-5 Calls", "6+ Calls")))</f>
        <v>#REF!</v>
      </c>
      <c r="X1870" t="e">
        <f>IF(#REF! &lt;= 50, "0-50", IF(#REF! &lt;=100, "51-100", IF(#REF! &lt;= 150, "101-150", "151+")))</f>
        <v>#REF!</v>
      </c>
      <c r="Y1870" t="e">
        <f>IF(#REF! &lt;= 3, "Low Charges", "High Charges")</f>
        <v>#REF!</v>
      </c>
      <c r="Z1870" t="e">
        <f>IF(#REF!&lt;=80,"Low Calls",
IF(#REF!&lt;=120,"Medium Calls","High Calls"))</f>
        <v>#REF!</v>
      </c>
      <c r="AA1870" t="e">
        <f>IF(#REF!&lt;=15,"Low Charges",
IF(#REF!&lt;=20,"Medium Charges","High Charges"))</f>
        <v>#REF!</v>
      </c>
      <c r="AB1870" t="e">
        <f>IF(AND(#REF!&gt;180, #REF!&gt;200), "Heavy Doemstic User", IF(#REF!&gt;10, "Interntional User", IF(AND(#REF!&lt;180, #REF!&lt;200,#REF!&lt;200), "Light User", "Balanced User")))</f>
        <v>#REF!</v>
      </c>
      <c r="AC1870" t="e">
        <f>IF(#REF! = 0, "No Usage", IF(#REF! &lt;= 20, "Low Usage", IF(#REF! &lt;= 40, "Medium Usgae", "High Usage")))</f>
        <v>#REF!</v>
      </c>
      <c r="AD1870" t="e">
        <f>IF(#REF!&lt;=150,"Low Usage", IF(#REF!&lt;=200,"Medium Usage", IF(#REF!&lt;=250,"High Usage","Very High Usage")))</f>
        <v>#REF!</v>
      </c>
      <c r="AE1870" t="e">
        <f>IF(#REF!&lt;=5,"Low Calls", IF(#REF!&lt;=10, "Medium Calls", "High Calls"))</f>
        <v>#REF!</v>
      </c>
      <c r="AF1870" t="e">
        <f xml:space="preserve">
IF(#REF!&gt;=4,4,0)+
IF(#REF!="yes",3,0)+
IF(#REF!="High Charges",3,0)+
IF(#REF!&gt;250,4,0)+
IF(#REF!="no",1,0)+
IF(#REF!="Heavy Domestic User",2,0)</f>
        <v>#REF!</v>
      </c>
      <c r="AG1870" t="e">
        <f>IF(#REF!&gt;=10,"High Risk", IF(#REF!&gt;=5,"Medium Risk","Low Risk"))</f>
        <v>#REF!</v>
      </c>
      <c r="AH1870" t="e">
        <f>#REF! + #REF! + #REF! + #REF!</f>
        <v>#REF!</v>
      </c>
    </row>
    <row r="1871" spans="1:34" x14ac:dyDescent="0.35">
      <c r="A1871">
        <v>1870</v>
      </c>
      <c r="B1871" t="s">
        <v>59</v>
      </c>
      <c r="C1871">
        <v>110</v>
      </c>
      <c r="D1871" t="s">
        <v>21</v>
      </c>
      <c r="E1871" t="s">
        <v>22</v>
      </c>
      <c r="F1871" t="s">
        <v>22</v>
      </c>
      <c r="G1871">
        <v>0</v>
      </c>
      <c r="H1871">
        <v>241.2</v>
      </c>
      <c r="I1871">
        <v>105</v>
      </c>
      <c r="J1871">
        <v>41</v>
      </c>
      <c r="K1871">
        <v>174.3</v>
      </c>
      <c r="L1871">
        <v>85</v>
      </c>
      <c r="M1871">
        <v>14.82</v>
      </c>
      <c r="N1871">
        <v>245.3</v>
      </c>
      <c r="O1871">
        <v>59</v>
      </c>
      <c r="P1871">
        <v>11.04</v>
      </c>
      <c r="Q1871">
        <v>8.5</v>
      </c>
      <c r="R1871">
        <v>4</v>
      </c>
      <c r="S1871">
        <v>2.2999999999999998</v>
      </c>
      <c r="T1871">
        <v>2</v>
      </c>
      <c r="U1871" t="s">
        <v>22</v>
      </c>
      <c r="V1871" t="e">
        <f>IF(#REF! = "yes", 1, 0)</f>
        <v>#REF!</v>
      </c>
      <c r="W1871" t="e">
        <f>IF(#REF! &lt;= 1, "0-1 Calls", IF(#REF! &lt;= 3, "2-3 Calls", IF(#REF! &lt;=5, "4-5 Calls", "6+ Calls")))</f>
        <v>#REF!</v>
      </c>
      <c r="X1871" t="e">
        <f>IF(#REF! &lt;= 50, "0-50", IF(#REF! &lt;=100, "51-100", IF(#REF! &lt;= 150, "101-150", "151+")))</f>
        <v>#REF!</v>
      </c>
      <c r="Y1871" t="e">
        <f>IF(#REF! &lt;= 3, "Low Charges", "High Charges")</f>
        <v>#REF!</v>
      </c>
      <c r="Z1871" t="e">
        <f>IF(#REF!&lt;=80,"Low Calls",
IF(#REF!&lt;=120,"Medium Calls","High Calls"))</f>
        <v>#REF!</v>
      </c>
      <c r="AA1871" t="e">
        <f>IF(#REF!&lt;=15,"Low Charges",
IF(#REF!&lt;=20,"Medium Charges","High Charges"))</f>
        <v>#REF!</v>
      </c>
      <c r="AB1871" t="e">
        <f>IF(AND(#REF!&gt;180, #REF!&gt;200), "Heavy Doemstic User", IF(#REF!&gt;10, "Interntional User", IF(AND(#REF!&lt;180, #REF!&lt;200,#REF!&lt;200), "Light User", "Balanced User")))</f>
        <v>#REF!</v>
      </c>
      <c r="AC1871" t="e">
        <f>IF(#REF! = 0, "No Usage", IF(#REF! &lt;= 20, "Low Usage", IF(#REF! &lt;= 40, "Medium Usgae", "High Usage")))</f>
        <v>#REF!</v>
      </c>
      <c r="AD1871" t="e">
        <f>IF(#REF!&lt;=150,"Low Usage", IF(#REF!&lt;=200,"Medium Usage", IF(#REF!&lt;=250,"High Usage","Very High Usage")))</f>
        <v>#REF!</v>
      </c>
      <c r="AE1871" t="e">
        <f>IF(#REF!&lt;=5,"Low Calls", IF(#REF!&lt;=10, "Medium Calls", "High Calls"))</f>
        <v>#REF!</v>
      </c>
      <c r="AF1871" t="e">
        <f xml:space="preserve">
IF(#REF!&gt;=4,4,0)+
IF(#REF!="yes",3,0)+
IF(#REF!="High Charges",3,0)+
IF(#REF!&gt;250,4,0)+
IF(#REF!="no",1,0)+
IF(#REF!="Heavy Domestic User",2,0)</f>
        <v>#REF!</v>
      </c>
      <c r="AG1871" t="e">
        <f>IF(#REF!&gt;=10,"High Risk", IF(#REF!&gt;=5,"Medium Risk","Low Risk"))</f>
        <v>#REF!</v>
      </c>
      <c r="AH1871" t="e">
        <f>#REF! + #REF! + #REF! + #REF!</f>
        <v>#REF!</v>
      </c>
    </row>
    <row r="1872" spans="1:34" x14ac:dyDescent="0.35">
      <c r="A1872">
        <v>1871</v>
      </c>
      <c r="B1872" t="s">
        <v>31</v>
      </c>
      <c r="C1872">
        <v>121</v>
      </c>
      <c r="D1872" t="s">
        <v>28</v>
      </c>
      <c r="E1872" t="s">
        <v>22</v>
      </c>
      <c r="F1872" t="s">
        <v>22</v>
      </c>
      <c r="G1872">
        <v>0</v>
      </c>
      <c r="H1872">
        <v>177.2</v>
      </c>
      <c r="I1872">
        <v>142</v>
      </c>
      <c r="J1872">
        <v>30.12</v>
      </c>
      <c r="K1872">
        <v>123.5</v>
      </c>
      <c r="L1872">
        <v>88</v>
      </c>
      <c r="M1872">
        <v>10.5</v>
      </c>
      <c r="N1872">
        <v>213.2</v>
      </c>
      <c r="O1872">
        <v>51</v>
      </c>
      <c r="P1872">
        <v>9.59</v>
      </c>
      <c r="Q1872">
        <v>8.4</v>
      </c>
      <c r="R1872">
        <v>6</v>
      </c>
      <c r="S1872">
        <v>2.27</v>
      </c>
      <c r="T1872">
        <v>1</v>
      </c>
      <c r="U1872" t="s">
        <v>22</v>
      </c>
      <c r="V1872" t="e">
        <f>IF(#REF! = "yes", 1, 0)</f>
        <v>#REF!</v>
      </c>
      <c r="W1872" t="e">
        <f>IF(#REF! &lt;= 1, "0-1 Calls", IF(#REF! &lt;= 3, "2-3 Calls", IF(#REF! &lt;=5, "4-5 Calls", "6+ Calls")))</f>
        <v>#REF!</v>
      </c>
      <c r="X1872" t="e">
        <f>IF(#REF! &lt;= 50, "0-50", IF(#REF! &lt;=100, "51-100", IF(#REF! &lt;= 150, "101-150", "151+")))</f>
        <v>#REF!</v>
      </c>
      <c r="Y1872" t="e">
        <f>IF(#REF! &lt;= 3, "Low Charges", "High Charges")</f>
        <v>#REF!</v>
      </c>
      <c r="Z1872" t="e">
        <f>IF(#REF!&lt;=80,"Low Calls",
IF(#REF!&lt;=120,"Medium Calls","High Calls"))</f>
        <v>#REF!</v>
      </c>
      <c r="AA1872" t="e">
        <f>IF(#REF!&lt;=15,"Low Charges",
IF(#REF!&lt;=20,"Medium Charges","High Charges"))</f>
        <v>#REF!</v>
      </c>
      <c r="AB1872" t="e">
        <f>IF(AND(#REF!&gt;180, #REF!&gt;200), "Heavy Doemstic User", IF(#REF!&gt;10, "Interntional User", IF(AND(#REF!&lt;180, #REF!&lt;200,#REF!&lt;200), "Light User", "Balanced User")))</f>
        <v>#REF!</v>
      </c>
      <c r="AC1872" t="e">
        <f>IF(#REF! = 0, "No Usage", IF(#REF! &lt;= 20, "Low Usage", IF(#REF! &lt;= 40, "Medium Usgae", "High Usage")))</f>
        <v>#REF!</v>
      </c>
      <c r="AD1872" t="e">
        <f>IF(#REF!&lt;=150,"Low Usage", IF(#REF!&lt;=200,"Medium Usage", IF(#REF!&lt;=250,"High Usage","Very High Usage")))</f>
        <v>#REF!</v>
      </c>
      <c r="AE1872" t="e">
        <f>IF(#REF!&lt;=5,"Low Calls", IF(#REF!&lt;=10, "Medium Calls", "High Calls"))</f>
        <v>#REF!</v>
      </c>
      <c r="AF1872" t="e">
        <f xml:space="preserve">
IF(#REF!&gt;=4,4,0)+
IF(#REF!="yes",3,0)+
IF(#REF!="High Charges",3,0)+
IF(#REF!&gt;250,4,0)+
IF(#REF!="no",1,0)+
IF(#REF!="Heavy Domestic User",2,0)</f>
        <v>#REF!</v>
      </c>
      <c r="AG1872" t="e">
        <f>IF(#REF!&gt;=10,"High Risk", IF(#REF!&gt;=5,"Medium Risk","Low Risk"))</f>
        <v>#REF!</v>
      </c>
      <c r="AH1872" t="e">
        <f>#REF! + #REF! + #REF! + #REF!</f>
        <v>#REF!</v>
      </c>
    </row>
    <row r="1873" spans="1:34" x14ac:dyDescent="0.35">
      <c r="A1873">
        <v>1872</v>
      </c>
      <c r="B1873" t="s">
        <v>36</v>
      </c>
      <c r="C1873">
        <v>116</v>
      </c>
      <c r="D1873" t="s">
        <v>28</v>
      </c>
      <c r="E1873" t="s">
        <v>22</v>
      </c>
      <c r="F1873" t="s">
        <v>22</v>
      </c>
      <c r="G1873">
        <v>0</v>
      </c>
      <c r="H1873">
        <v>89.5</v>
      </c>
      <c r="I1873">
        <v>128</v>
      </c>
      <c r="J1873">
        <v>15.22</v>
      </c>
      <c r="K1873">
        <v>180.8</v>
      </c>
      <c r="L1873">
        <v>137</v>
      </c>
      <c r="M1873">
        <v>15.37</v>
      </c>
      <c r="N1873">
        <v>193.1</v>
      </c>
      <c r="O1873">
        <v>94</v>
      </c>
      <c r="P1873">
        <v>8.69</v>
      </c>
      <c r="Q1873">
        <v>14</v>
      </c>
      <c r="R1873">
        <v>3</v>
      </c>
      <c r="S1873">
        <v>3.78</v>
      </c>
      <c r="T1873">
        <v>2</v>
      </c>
      <c r="U1873" t="s">
        <v>22</v>
      </c>
      <c r="V1873" t="e">
        <f>IF(#REF! = "yes", 1, 0)</f>
        <v>#REF!</v>
      </c>
      <c r="W1873" t="e">
        <f>IF(#REF! &lt;= 1, "0-1 Calls", IF(#REF! &lt;= 3, "2-3 Calls", IF(#REF! &lt;=5, "4-5 Calls", "6+ Calls")))</f>
        <v>#REF!</v>
      </c>
      <c r="X1873" t="e">
        <f>IF(#REF! &lt;= 50, "0-50", IF(#REF! &lt;=100, "51-100", IF(#REF! &lt;= 150, "101-150", "151+")))</f>
        <v>#REF!</v>
      </c>
      <c r="Y1873" t="e">
        <f>IF(#REF! &lt;= 3, "Low Charges", "High Charges")</f>
        <v>#REF!</v>
      </c>
      <c r="Z1873" t="e">
        <f>IF(#REF!&lt;=80,"Low Calls",
IF(#REF!&lt;=120,"Medium Calls","High Calls"))</f>
        <v>#REF!</v>
      </c>
      <c r="AA1873" t="e">
        <f>IF(#REF!&lt;=15,"Low Charges",
IF(#REF!&lt;=20,"Medium Charges","High Charges"))</f>
        <v>#REF!</v>
      </c>
      <c r="AB1873" t="e">
        <f>IF(AND(#REF!&gt;180, #REF!&gt;200), "Heavy Doemstic User", IF(#REF!&gt;10, "Interntional User", IF(AND(#REF!&lt;180, #REF!&lt;200,#REF!&lt;200), "Light User", "Balanced User")))</f>
        <v>#REF!</v>
      </c>
      <c r="AC1873" t="e">
        <f>IF(#REF! = 0, "No Usage", IF(#REF! &lt;= 20, "Low Usage", IF(#REF! &lt;= 40, "Medium Usgae", "High Usage")))</f>
        <v>#REF!</v>
      </c>
      <c r="AD1873" t="e">
        <f>IF(#REF!&lt;=150,"Low Usage", IF(#REF!&lt;=200,"Medium Usage", IF(#REF!&lt;=250,"High Usage","Very High Usage")))</f>
        <v>#REF!</v>
      </c>
      <c r="AE1873" t="e">
        <f>IF(#REF!&lt;=5,"Low Calls", IF(#REF!&lt;=10, "Medium Calls", "High Calls"))</f>
        <v>#REF!</v>
      </c>
      <c r="AF1873" t="e">
        <f xml:space="preserve">
IF(#REF!&gt;=4,4,0)+
IF(#REF!="yes",3,0)+
IF(#REF!="High Charges",3,0)+
IF(#REF!&gt;250,4,0)+
IF(#REF!="no",1,0)+
IF(#REF!="Heavy Domestic User",2,0)</f>
        <v>#REF!</v>
      </c>
      <c r="AG1873" t="e">
        <f>IF(#REF!&gt;=10,"High Risk", IF(#REF!&gt;=5,"Medium Risk","Low Risk"))</f>
        <v>#REF!</v>
      </c>
      <c r="AH1873" t="e">
        <f>#REF! + #REF! + #REF! + #REF!</f>
        <v>#REF!</v>
      </c>
    </row>
    <row r="1874" spans="1:34" x14ac:dyDescent="0.35">
      <c r="A1874">
        <v>1873</v>
      </c>
      <c r="B1874" t="s">
        <v>69</v>
      </c>
      <c r="C1874">
        <v>112</v>
      </c>
      <c r="D1874" t="s">
        <v>21</v>
      </c>
      <c r="E1874" t="s">
        <v>23</v>
      </c>
      <c r="F1874" t="s">
        <v>23</v>
      </c>
      <c r="G1874">
        <v>16</v>
      </c>
      <c r="H1874">
        <v>200.3</v>
      </c>
      <c r="I1874">
        <v>72</v>
      </c>
      <c r="J1874">
        <v>34.049999999999997</v>
      </c>
      <c r="K1874">
        <v>197.8</v>
      </c>
      <c r="L1874">
        <v>91</v>
      </c>
      <c r="M1874">
        <v>16.809999999999999</v>
      </c>
      <c r="N1874">
        <v>151.1</v>
      </c>
      <c r="O1874">
        <v>92</v>
      </c>
      <c r="P1874">
        <v>6.8</v>
      </c>
      <c r="Q1874">
        <v>10.4</v>
      </c>
      <c r="R1874">
        <v>3</v>
      </c>
      <c r="S1874">
        <v>2.81</v>
      </c>
      <c r="T1874">
        <v>1</v>
      </c>
      <c r="U1874" t="s">
        <v>22</v>
      </c>
      <c r="V1874" t="e">
        <f>IF(#REF! = "yes", 1, 0)</f>
        <v>#REF!</v>
      </c>
      <c r="W1874" t="e">
        <f>IF(#REF! &lt;= 1, "0-1 Calls", IF(#REF! &lt;= 3, "2-3 Calls", IF(#REF! &lt;=5, "4-5 Calls", "6+ Calls")))</f>
        <v>#REF!</v>
      </c>
      <c r="X1874" t="e">
        <f>IF(#REF! &lt;= 50, "0-50", IF(#REF! &lt;=100, "51-100", IF(#REF! &lt;= 150, "101-150", "151+")))</f>
        <v>#REF!</v>
      </c>
      <c r="Y1874" t="e">
        <f>IF(#REF! &lt;= 3, "Low Charges", "High Charges")</f>
        <v>#REF!</v>
      </c>
      <c r="Z1874" t="e">
        <f>IF(#REF!&lt;=80,"Low Calls",
IF(#REF!&lt;=120,"Medium Calls","High Calls"))</f>
        <v>#REF!</v>
      </c>
      <c r="AA1874" t="e">
        <f>IF(#REF!&lt;=15,"Low Charges",
IF(#REF!&lt;=20,"Medium Charges","High Charges"))</f>
        <v>#REF!</v>
      </c>
      <c r="AB1874" t="e">
        <f>IF(AND(#REF!&gt;180, #REF!&gt;200), "Heavy Doemstic User", IF(#REF!&gt;10, "Interntional User", IF(AND(#REF!&lt;180, #REF!&lt;200,#REF!&lt;200), "Light User", "Balanced User")))</f>
        <v>#REF!</v>
      </c>
      <c r="AC1874" t="e">
        <f>IF(#REF! = 0, "No Usage", IF(#REF! &lt;= 20, "Low Usage", IF(#REF! &lt;= 40, "Medium Usgae", "High Usage")))</f>
        <v>#REF!</v>
      </c>
      <c r="AD1874" t="e">
        <f>IF(#REF!&lt;=150,"Low Usage", IF(#REF!&lt;=200,"Medium Usage", IF(#REF!&lt;=250,"High Usage","Very High Usage")))</f>
        <v>#REF!</v>
      </c>
      <c r="AE1874" t="e">
        <f>IF(#REF!&lt;=5,"Low Calls", IF(#REF!&lt;=10, "Medium Calls", "High Calls"))</f>
        <v>#REF!</v>
      </c>
      <c r="AF1874" t="e">
        <f xml:space="preserve">
IF(#REF!&gt;=4,4,0)+
IF(#REF!="yes",3,0)+
IF(#REF!="High Charges",3,0)+
IF(#REF!&gt;250,4,0)+
IF(#REF!="no",1,0)+
IF(#REF!="Heavy Domestic User",2,0)</f>
        <v>#REF!</v>
      </c>
      <c r="AG1874" t="e">
        <f>IF(#REF!&gt;=10,"High Risk", IF(#REF!&gt;=5,"Medium Risk","Low Risk"))</f>
        <v>#REF!</v>
      </c>
      <c r="AH1874" t="e">
        <f>#REF! + #REF! + #REF! + #REF!</f>
        <v>#REF!</v>
      </c>
    </row>
    <row r="1875" spans="1:34" x14ac:dyDescent="0.35">
      <c r="A1875">
        <v>1874</v>
      </c>
      <c r="B1875" t="s">
        <v>73</v>
      </c>
      <c r="C1875">
        <v>97</v>
      </c>
      <c r="D1875" t="s">
        <v>28</v>
      </c>
      <c r="E1875" t="s">
        <v>23</v>
      </c>
      <c r="F1875" t="s">
        <v>22</v>
      </c>
      <c r="G1875">
        <v>0</v>
      </c>
      <c r="H1875">
        <v>145</v>
      </c>
      <c r="I1875">
        <v>103</v>
      </c>
      <c r="J1875">
        <v>24.65</v>
      </c>
      <c r="K1875">
        <v>294.3</v>
      </c>
      <c r="L1875">
        <v>93</v>
      </c>
      <c r="M1875">
        <v>25.02</v>
      </c>
      <c r="N1875">
        <v>239.8</v>
      </c>
      <c r="O1875">
        <v>120</v>
      </c>
      <c r="P1875">
        <v>10.79</v>
      </c>
      <c r="Q1875">
        <v>11</v>
      </c>
      <c r="R1875">
        <v>2</v>
      </c>
      <c r="S1875">
        <v>2.97</v>
      </c>
      <c r="T1875">
        <v>4</v>
      </c>
      <c r="U1875" t="s">
        <v>23</v>
      </c>
      <c r="V1875" t="e">
        <f>IF(#REF! = "yes", 1, 0)</f>
        <v>#REF!</v>
      </c>
      <c r="W1875" t="e">
        <f>IF(#REF! &lt;= 1, "0-1 Calls", IF(#REF! &lt;= 3, "2-3 Calls", IF(#REF! &lt;=5, "4-5 Calls", "6+ Calls")))</f>
        <v>#REF!</v>
      </c>
      <c r="X1875" t="e">
        <f>IF(#REF! &lt;= 50, "0-50", IF(#REF! &lt;=100, "51-100", IF(#REF! &lt;= 150, "101-150", "151+")))</f>
        <v>#REF!</v>
      </c>
      <c r="Y1875" t="e">
        <f>IF(#REF! &lt;= 3, "Low Charges", "High Charges")</f>
        <v>#REF!</v>
      </c>
      <c r="Z1875" t="e">
        <f>IF(#REF!&lt;=80,"Low Calls",
IF(#REF!&lt;=120,"Medium Calls","High Calls"))</f>
        <v>#REF!</v>
      </c>
      <c r="AA1875" t="e">
        <f>IF(#REF!&lt;=15,"Low Charges",
IF(#REF!&lt;=20,"Medium Charges","High Charges"))</f>
        <v>#REF!</v>
      </c>
      <c r="AB1875" t="e">
        <f>IF(AND(#REF!&gt;180, #REF!&gt;200), "Heavy Doemstic User", IF(#REF!&gt;10, "Interntional User", IF(AND(#REF!&lt;180, #REF!&lt;200,#REF!&lt;200), "Light User", "Balanced User")))</f>
        <v>#REF!</v>
      </c>
      <c r="AC1875" t="e">
        <f>IF(#REF! = 0, "No Usage", IF(#REF! &lt;= 20, "Low Usage", IF(#REF! &lt;= 40, "Medium Usgae", "High Usage")))</f>
        <v>#REF!</v>
      </c>
      <c r="AD1875" t="e">
        <f>IF(#REF!&lt;=150,"Low Usage", IF(#REF!&lt;=200,"Medium Usage", IF(#REF!&lt;=250,"High Usage","Very High Usage")))</f>
        <v>#REF!</v>
      </c>
      <c r="AE1875" t="e">
        <f>IF(#REF!&lt;=5,"Low Calls", IF(#REF!&lt;=10, "Medium Calls", "High Calls"))</f>
        <v>#REF!</v>
      </c>
      <c r="AF1875" t="e">
        <f xml:space="preserve">
IF(#REF!&gt;=4,4,0)+
IF(#REF!="yes",3,0)+
IF(#REF!="High Charges",3,0)+
IF(#REF!&gt;250,4,0)+
IF(#REF!="no",1,0)+
IF(#REF!="Heavy Domestic User",2,0)</f>
        <v>#REF!</v>
      </c>
      <c r="AG1875" t="e">
        <f>IF(#REF!&gt;=10,"High Risk", IF(#REF!&gt;=5,"Medium Risk","Low Risk"))</f>
        <v>#REF!</v>
      </c>
      <c r="AH1875" t="e">
        <f>#REF! + #REF! + #REF! + #REF!</f>
        <v>#REF!</v>
      </c>
    </row>
    <row r="1876" spans="1:34" x14ac:dyDescent="0.35">
      <c r="A1876">
        <v>1875</v>
      </c>
      <c r="B1876" t="s">
        <v>67</v>
      </c>
      <c r="C1876">
        <v>43</v>
      </c>
      <c r="D1876" t="s">
        <v>28</v>
      </c>
      <c r="E1876" t="s">
        <v>22</v>
      </c>
      <c r="F1876" t="s">
        <v>22</v>
      </c>
      <c r="G1876">
        <v>0</v>
      </c>
      <c r="H1876">
        <v>159.5</v>
      </c>
      <c r="I1876">
        <v>99</v>
      </c>
      <c r="J1876">
        <v>27.12</v>
      </c>
      <c r="K1876">
        <v>119.7</v>
      </c>
      <c r="L1876">
        <v>149</v>
      </c>
      <c r="M1876">
        <v>10.17</v>
      </c>
      <c r="N1876">
        <v>173.9</v>
      </c>
      <c r="O1876">
        <v>126</v>
      </c>
      <c r="P1876">
        <v>7.83</v>
      </c>
      <c r="Q1876">
        <v>6.8</v>
      </c>
      <c r="R1876">
        <v>3</v>
      </c>
      <c r="S1876">
        <v>1.84</v>
      </c>
      <c r="T1876">
        <v>2</v>
      </c>
      <c r="U1876" t="s">
        <v>22</v>
      </c>
      <c r="V1876" t="e">
        <f>IF(#REF! = "yes", 1, 0)</f>
        <v>#REF!</v>
      </c>
      <c r="W1876" t="e">
        <f>IF(#REF! &lt;= 1, "0-1 Calls", IF(#REF! &lt;= 3, "2-3 Calls", IF(#REF! &lt;=5, "4-5 Calls", "6+ Calls")))</f>
        <v>#REF!</v>
      </c>
      <c r="X1876" t="e">
        <f>IF(#REF! &lt;= 50, "0-50", IF(#REF! &lt;=100, "51-100", IF(#REF! &lt;= 150, "101-150", "151+")))</f>
        <v>#REF!</v>
      </c>
      <c r="Y1876" t="e">
        <f>IF(#REF! &lt;= 3, "Low Charges", "High Charges")</f>
        <v>#REF!</v>
      </c>
      <c r="Z1876" t="e">
        <f>IF(#REF!&lt;=80,"Low Calls",
IF(#REF!&lt;=120,"Medium Calls","High Calls"))</f>
        <v>#REF!</v>
      </c>
      <c r="AA1876" t="e">
        <f>IF(#REF!&lt;=15,"Low Charges",
IF(#REF!&lt;=20,"Medium Charges","High Charges"))</f>
        <v>#REF!</v>
      </c>
      <c r="AB1876" t="e">
        <f>IF(AND(#REF!&gt;180, #REF!&gt;200), "Heavy Doemstic User", IF(#REF!&gt;10, "Interntional User", IF(AND(#REF!&lt;180, #REF!&lt;200,#REF!&lt;200), "Light User", "Balanced User")))</f>
        <v>#REF!</v>
      </c>
      <c r="AC1876" t="e">
        <f>IF(#REF! = 0, "No Usage", IF(#REF! &lt;= 20, "Low Usage", IF(#REF! &lt;= 40, "Medium Usgae", "High Usage")))</f>
        <v>#REF!</v>
      </c>
      <c r="AD1876" t="e">
        <f>IF(#REF!&lt;=150,"Low Usage", IF(#REF!&lt;=200,"Medium Usage", IF(#REF!&lt;=250,"High Usage","Very High Usage")))</f>
        <v>#REF!</v>
      </c>
      <c r="AE1876" t="e">
        <f>IF(#REF!&lt;=5,"Low Calls", IF(#REF!&lt;=10, "Medium Calls", "High Calls"))</f>
        <v>#REF!</v>
      </c>
      <c r="AF1876" t="e">
        <f xml:space="preserve">
IF(#REF!&gt;=4,4,0)+
IF(#REF!="yes",3,0)+
IF(#REF!="High Charges",3,0)+
IF(#REF!&gt;250,4,0)+
IF(#REF!="no",1,0)+
IF(#REF!="Heavy Domestic User",2,0)</f>
        <v>#REF!</v>
      </c>
      <c r="AG1876" t="e">
        <f>IF(#REF!&gt;=10,"High Risk", IF(#REF!&gt;=5,"Medium Risk","Low Risk"))</f>
        <v>#REF!</v>
      </c>
      <c r="AH1876" t="e">
        <f>#REF! + #REF! + #REF! + #REF!</f>
        <v>#REF!</v>
      </c>
    </row>
    <row r="1877" spans="1:34" x14ac:dyDescent="0.35">
      <c r="A1877">
        <v>1876</v>
      </c>
      <c r="B1877" t="s">
        <v>32</v>
      </c>
      <c r="C1877">
        <v>110</v>
      </c>
      <c r="D1877" t="s">
        <v>21</v>
      </c>
      <c r="E1877" t="s">
        <v>22</v>
      </c>
      <c r="F1877" t="s">
        <v>22</v>
      </c>
      <c r="G1877">
        <v>0</v>
      </c>
      <c r="H1877">
        <v>151.80000000000001</v>
      </c>
      <c r="I1877">
        <v>106</v>
      </c>
      <c r="J1877">
        <v>25.81</v>
      </c>
      <c r="K1877">
        <v>138</v>
      </c>
      <c r="L1877">
        <v>126</v>
      </c>
      <c r="M1877">
        <v>11.73</v>
      </c>
      <c r="N1877">
        <v>233.5</v>
      </c>
      <c r="O1877">
        <v>112</v>
      </c>
      <c r="P1877">
        <v>10.51</v>
      </c>
      <c r="Q1877">
        <v>11.2</v>
      </c>
      <c r="R1877">
        <v>8</v>
      </c>
      <c r="S1877">
        <v>3.02</v>
      </c>
      <c r="T1877">
        <v>3</v>
      </c>
      <c r="U1877" t="s">
        <v>22</v>
      </c>
      <c r="V1877" t="e">
        <f>IF(#REF! = "yes", 1, 0)</f>
        <v>#REF!</v>
      </c>
      <c r="W1877" t="e">
        <f>IF(#REF! &lt;= 1, "0-1 Calls", IF(#REF! &lt;= 3, "2-3 Calls", IF(#REF! &lt;=5, "4-5 Calls", "6+ Calls")))</f>
        <v>#REF!</v>
      </c>
      <c r="X1877" t="e">
        <f>IF(#REF! &lt;= 50, "0-50", IF(#REF! &lt;=100, "51-100", IF(#REF! &lt;= 150, "101-150", "151+")))</f>
        <v>#REF!</v>
      </c>
      <c r="Y1877" t="e">
        <f>IF(#REF! &lt;= 3, "Low Charges", "High Charges")</f>
        <v>#REF!</v>
      </c>
      <c r="Z1877" t="e">
        <f>IF(#REF!&lt;=80,"Low Calls",
IF(#REF!&lt;=120,"Medium Calls","High Calls"))</f>
        <v>#REF!</v>
      </c>
      <c r="AA1877" t="e">
        <f>IF(#REF!&lt;=15,"Low Charges",
IF(#REF!&lt;=20,"Medium Charges","High Charges"))</f>
        <v>#REF!</v>
      </c>
      <c r="AB1877" t="e">
        <f>IF(AND(#REF!&gt;180, #REF!&gt;200), "Heavy Doemstic User", IF(#REF!&gt;10, "Interntional User", IF(AND(#REF!&lt;180, #REF!&lt;200,#REF!&lt;200), "Light User", "Balanced User")))</f>
        <v>#REF!</v>
      </c>
      <c r="AC1877" t="e">
        <f>IF(#REF! = 0, "No Usage", IF(#REF! &lt;= 20, "Low Usage", IF(#REF! &lt;= 40, "Medium Usgae", "High Usage")))</f>
        <v>#REF!</v>
      </c>
      <c r="AD1877" t="e">
        <f>IF(#REF!&lt;=150,"Low Usage", IF(#REF!&lt;=200,"Medium Usage", IF(#REF!&lt;=250,"High Usage","Very High Usage")))</f>
        <v>#REF!</v>
      </c>
      <c r="AE1877" t="e">
        <f>IF(#REF!&lt;=5,"Low Calls", IF(#REF!&lt;=10, "Medium Calls", "High Calls"))</f>
        <v>#REF!</v>
      </c>
      <c r="AF1877" t="e">
        <f xml:space="preserve">
IF(#REF!&gt;=4,4,0)+
IF(#REF!="yes",3,0)+
IF(#REF!="High Charges",3,0)+
IF(#REF!&gt;250,4,0)+
IF(#REF!="no",1,0)+
IF(#REF!="Heavy Domestic User",2,0)</f>
        <v>#REF!</v>
      </c>
      <c r="AG1877" t="e">
        <f>IF(#REF!&gt;=10,"High Risk", IF(#REF!&gt;=5,"Medium Risk","Low Risk"))</f>
        <v>#REF!</v>
      </c>
      <c r="AH1877" t="e">
        <f>#REF! + #REF! + #REF! + #REF!</f>
        <v>#REF!</v>
      </c>
    </row>
    <row r="1878" spans="1:34" x14ac:dyDescent="0.35">
      <c r="A1878">
        <v>1877</v>
      </c>
      <c r="B1878" t="s">
        <v>38</v>
      </c>
      <c r="C1878">
        <v>67</v>
      </c>
      <c r="D1878" t="s">
        <v>25</v>
      </c>
      <c r="E1878" t="s">
        <v>22</v>
      </c>
      <c r="F1878" t="s">
        <v>22</v>
      </c>
      <c r="G1878">
        <v>0</v>
      </c>
      <c r="H1878">
        <v>176.2</v>
      </c>
      <c r="I1878">
        <v>120</v>
      </c>
      <c r="J1878">
        <v>29.95</v>
      </c>
      <c r="K1878">
        <v>236</v>
      </c>
      <c r="L1878">
        <v>138</v>
      </c>
      <c r="M1878">
        <v>20.059999999999999</v>
      </c>
      <c r="N1878">
        <v>152.5</v>
      </c>
      <c r="O1878">
        <v>104</v>
      </c>
      <c r="P1878">
        <v>6.86</v>
      </c>
      <c r="Q1878">
        <v>10.6</v>
      </c>
      <c r="R1878">
        <v>4</v>
      </c>
      <c r="S1878">
        <v>2.86</v>
      </c>
      <c r="T1878">
        <v>1</v>
      </c>
      <c r="U1878" t="s">
        <v>22</v>
      </c>
      <c r="V1878" t="e">
        <f>IF(#REF! = "yes", 1, 0)</f>
        <v>#REF!</v>
      </c>
      <c r="W1878" t="e">
        <f>IF(#REF! &lt;= 1, "0-1 Calls", IF(#REF! &lt;= 3, "2-3 Calls", IF(#REF! &lt;=5, "4-5 Calls", "6+ Calls")))</f>
        <v>#REF!</v>
      </c>
      <c r="X1878" t="e">
        <f>IF(#REF! &lt;= 50, "0-50", IF(#REF! &lt;=100, "51-100", IF(#REF! &lt;= 150, "101-150", "151+")))</f>
        <v>#REF!</v>
      </c>
      <c r="Y1878" t="e">
        <f>IF(#REF! &lt;= 3, "Low Charges", "High Charges")</f>
        <v>#REF!</v>
      </c>
      <c r="Z1878" t="e">
        <f>IF(#REF!&lt;=80,"Low Calls",
IF(#REF!&lt;=120,"Medium Calls","High Calls"))</f>
        <v>#REF!</v>
      </c>
      <c r="AA1878" t="e">
        <f>IF(#REF!&lt;=15,"Low Charges",
IF(#REF!&lt;=20,"Medium Charges","High Charges"))</f>
        <v>#REF!</v>
      </c>
      <c r="AB1878" t="e">
        <f>IF(AND(#REF!&gt;180, #REF!&gt;200), "Heavy Doemstic User", IF(#REF!&gt;10, "Interntional User", IF(AND(#REF!&lt;180, #REF!&lt;200,#REF!&lt;200), "Light User", "Balanced User")))</f>
        <v>#REF!</v>
      </c>
      <c r="AC1878" t="e">
        <f>IF(#REF! = 0, "No Usage", IF(#REF! &lt;= 20, "Low Usage", IF(#REF! &lt;= 40, "Medium Usgae", "High Usage")))</f>
        <v>#REF!</v>
      </c>
      <c r="AD1878" t="e">
        <f>IF(#REF!&lt;=150,"Low Usage", IF(#REF!&lt;=200,"Medium Usage", IF(#REF!&lt;=250,"High Usage","Very High Usage")))</f>
        <v>#REF!</v>
      </c>
      <c r="AE1878" t="e">
        <f>IF(#REF!&lt;=5,"Low Calls", IF(#REF!&lt;=10, "Medium Calls", "High Calls"))</f>
        <v>#REF!</v>
      </c>
      <c r="AF1878" t="e">
        <f xml:space="preserve">
IF(#REF!&gt;=4,4,0)+
IF(#REF!="yes",3,0)+
IF(#REF!="High Charges",3,0)+
IF(#REF!&gt;250,4,0)+
IF(#REF!="no",1,0)+
IF(#REF!="Heavy Domestic User",2,0)</f>
        <v>#REF!</v>
      </c>
      <c r="AG1878" t="e">
        <f>IF(#REF!&gt;=10,"High Risk", IF(#REF!&gt;=5,"Medium Risk","Low Risk"))</f>
        <v>#REF!</v>
      </c>
      <c r="AH1878" t="e">
        <f>#REF! + #REF! + #REF! + #REF!</f>
        <v>#REF!</v>
      </c>
    </row>
    <row r="1879" spans="1:34" x14ac:dyDescent="0.35">
      <c r="A1879">
        <v>1878</v>
      </c>
      <c r="B1879" t="s">
        <v>60</v>
      </c>
      <c r="C1879">
        <v>166</v>
      </c>
      <c r="D1879" t="s">
        <v>25</v>
      </c>
      <c r="E1879" t="s">
        <v>22</v>
      </c>
      <c r="F1879" t="s">
        <v>22</v>
      </c>
      <c r="G1879">
        <v>0</v>
      </c>
      <c r="H1879">
        <v>152.1</v>
      </c>
      <c r="I1879">
        <v>95</v>
      </c>
      <c r="J1879">
        <v>25.86</v>
      </c>
      <c r="K1879">
        <v>121</v>
      </c>
      <c r="L1879">
        <v>105</v>
      </c>
      <c r="M1879">
        <v>10.29</v>
      </c>
      <c r="N1879">
        <v>198</v>
      </c>
      <c r="O1879">
        <v>126</v>
      </c>
      <c r="P1879">
        <v>8.91</v>
      </c>
      <c r="Q1879">
        <v>9.8000000000000007</v>
      </c>
      <c r="R1879">
        <v>5</v>
      </c>
      <c r="S1879">
        <v>2.65</v>
      </c>
      <c r="T1879">
        <v>0</v>
      </c>
      <c r="U1879" t="s">
        <v>22</v>
      </c>
      <c r="V1879" t="e">
        <f>IF(#REF! = "yes", 1, 0)</f>
        <v>#REF!</v>
      </c>
      <c r="W1879" t="e">
        <f>IF(#REF! &lt;= 1, "0-1 Calls", IF(#REF! &lt;= 3, "2-3 Calls", IF(#REF! &lt;=5, "4-5 Calls", "6+ Calls")))</f>
        <v>#REF!</v>
      </c>
      <c r="X1879" t="e">
        <f>IF(#REF! &lt;= 50, "0-50", IF(#REF! &lt;=100, "51-100", IF(#REF! &lt;= 150, "101-150", "151+")))</f>
        <v>#REF!</v>
      </c>
      <c r="Y1879" t="e">
        <f>IF(#REF! &lt;= 3, "Low Charges", "High Charges")</f>
        <v>#REF!</v>
      </c>
      <c r="Z1879" t="e">
        <f>IF(#REF!&lt;=80,"Low Calls",
IF(#REF!&lt;=120,"Medium Calls","High Calls"))</f>
        <v>#REF!</v>
      </c>
      <c r="AA1879" t="e">
        <f>IF(#REF!&lt;=15,"Low Charges",
IF(#REF!&lt;=20,"Medium Charges","High Charges"))</f>
        <v>#REF!</v>
      </c>
      <c r="AB1879" t="e">
        <f>IF(AND(#REF!&gt;180, #REF!&gt;200), "Heavy Doemstic User", IF(#REF!&gt;10, "Interntional User", IF(AND(#REF!&lt;180, #REF!&lt;200,#REF!&lt;200), "Light User", "Balanced User")))</f>
        <v>#REF!</v>
      </c>
      <c r="AC1879" t="e">
        <f>IF(#REF! = 0, "No Usage", IF(#REF! &lt;= 20, "Low Usage", IF(#REF! &lt;= 40, "Medium Usgae", "High Usage")))</f>
        <v>#REF!</v>
      </c>
      <c r="AD1879" t="e">
        <f>IF(#REF!&lt;=150,"Low Usage", IF(#REF!&lt;=200,"Medium Usage", IF(#REF!&lt;=250,"High Usage","Very High Usage")))</f>
        <v>#REF!</v>
      </c>
      <c r="AE1879" t="e">
        <f>IF(#REF!&lt;=5,"Low Calls", IF(#REF!&lt;=10, "Medium Calls", "High Calls"))</f>
        <v>#REF!</v>
      </c>
      <c r="AF1879" t="e">
        <f xml:space="preserve">
IF(#REF!&gt;=4,4,0)+
IF(#REF!="yes",3,0)+
IF(#REF!="High Charges",3,0)+
IF(#REF!&gt;250,4,0)+
IF(#REF!="no",1,0)+
IF(#REF!="Heavy Domestic User",2,0)</f>
        <v>#REF!</v>
      </c>
      <c r="AG1879" t="e">
        <f>IF(#REF!&gt;=10,"High Risk", IF(#REF!&gt;=5,"Medium Risk","Low Risk"))</f>
        <v>#REF!</v>
      </c>
      <c r="AH1879" t="e">
        <f>#REF! + #REF! + #REF! + #REF!</f>
        <v>#REF!</v>
      </c>
    </row>
    <row r="1880" spans="1:34" x14ac:dyDescent="0.35">
      <c r="A1880">
        <v>1879</v>
      </c>
      <c r="B1880" t="s">
        <v>54</v>
      </c>
      <c r="C1880">
        <v>129</v>
      </c>
      <c r="D1880" t="s">
        <v>25</v>
      </c>
      <c r="E1880" t="s">
        <v>22</v>
      </c>
      <c r="F1880" t="s">
        <v>22</v>
      </c>
      <c r="G1880">
        <v>0</v>
      </c>
      <c r="H1880">
        <v>161.30000000000001</v>
      </c>
      <c r="I1880">
        <v>122</v>
      </c>
      <c r="J1880">
        <v>27.42</v>
      </c>
      <c r="K1880">
        <v>220.6</v>
      </c>
      <c r="L1880">
        <v>95</v>
      </c>
      <c r="M1880">
        <v>18.75</v>
      </c>
      <c r="N1880">
        <v>224.7</v>
      </c>
      <c r="O1880">
        <v>104</v>
      </c>
      <c r="P1880">
        <v>10.11</v>
      </c>
      <c r="Q1880">
        <v>9.6</v>
      </c>
      <c r="R1880">
        <v>3</v>
      </c>
      <c r="S1880">
        <v>2.59</v>
      </c>
      <c r="T1880">
        <v>1</v>
      </c>
      <c r="U1880" t="s">
        <v>22</v>
      </c>
      <c r="V1880" t="e">
        <f>IF(#REF! = "yes", 1, 0)</f>
        <v>#REF!</v>
      </c>
      <c r="W1880" t="e">
        <f>IF(#REF! &lt;= 1, "0-1 Calls", IF(#REF! &lt;= 3, "2-3 Calls", IF(#REF! &lt;=5, "4-5 Calls", "6+ Calls")))</f>
        <v>#REF!</v>
      </c>
      <c r="X1880" t="e">
        <f>IF(#REF! &lt;= 50, "0-50", IF(#REF! &lt;=100, "51-100", IF(#REF! &lt;= 150, "101-150", "151+")))</f>
        <v>#REF!</v>
      </c>
      <c r="Y1880" t="e">
        <f>IF(#REF! &lt;= 3, "Low Charges", "High Charges")</f>
        <v>#REF!</v>
      </c>
      <c r="Z1880" t="e">
        <f>IF(#REF!&lt;=80,"Low Calls",
IF(#REF!&lt;=120,"Medium Calls","High Calls"))</f>
        <v>#REF!</v>
      </c>
      <c r="AA1880" t="e">
        <f>IF(#REF!&lt;=15,"Low Charges",
IF(#REF!&lt;=20,"Medium Charges","High Charges"))</f>
        <v>#REF!</v>
      </c>
      <c r="AB1880" t="e">
        <f>IF(AND(#REF!&gt;180, #REF!&gt;200), "Heavy Doemstic User", IF(#REF!&gt;10, "Interntional User", IF(AND(#REF!&lt;180, #REF!&lt;200,#REF!&lt;200), "Light User", "Balanced User")))</f>
        <v>#REF!</v>
      </c>
      <c r="AC1880" t="e">
        <f>IF(#REF! = 0, "No Usage", IF(#REF! &lt;= 20, "Low Usage", IF(#REF! &lt;= 40, "Medium Usgae", "High Usage")))</f>
        <v>#REF!</v>
      </c>
      <c r="AD1880" t="e">
        <f>IF(#REF!&lt;=150,"Low Usage", IF(#REF!&lt;=200,"Medium Usage", IF(#REF!&lt;=250,"High Usage","Very High Usage")))</f>
        <v>#REF!</v>
      </c>
      <c r="AE1880" t="e">
        <f>IF(#REF!&lt;=5,"Low Calls", IF(#REF!&lt;=10, "Medium Calls", "High Calls"))</f>
        <v>#REF!</v>
      </c>
      <c r="AF1880" t="e">
        <f xml:space="preserve">
IF(#REF!&gt;=4,4,0)+
IF(#REF!="yes",3,0)+
IF(#REF!="High Charges",3,0)+
IF(#REF!&gt;250,4,0)+
IF(#REF!="no",1,0)+
IF(#REF!="Heavy Domestic User",2,0)</f>
        <v>#REF!</v>
      </c>
      <c r="AG1880" t="e">
        <f>IF(#REF!&gt;=10,"High Risk", IF(#REF!&gt;=5,"Medium Risk","Low Risk"))</f>
        <v>#REF!</v>
      </c>
      <c r="AH1880" t="e">
        <f>#REF! + #REF! + #REF! + #REF!</f>
        <v>#REF!</v>
      </c>
    </row>
    <row r="1881" spans="1:34" x14ac:dyDescent="0.35">
      <c r="A1881">
        <v>1880</v>
      </c>
      <c r="B1881" t="s">
        <v>52</v>
      </c>
      <c r="C1881">
        <v>103</v>
      </c>
      <c r="D1881" t="s">
        <v>28</v>
      </c>
      <c r="E1881" t="s">
        <v>23</v>
      </c>
      <c r="F1881" t="s">
        <v>22</v>
      </c>
      <c r="G1881">
        <v>0</v>
      </c>
      <c r="H1881">
        <v>171.7</v>
      </c>
      <c r="I1881">
        <v>78</v>
      </c>
      <c r="J1881">
        <v>29.19</v>
      </c>
      <c r="K1881">
        <v>144.5</v>
      </c>
      <c r="L1881">
        <v>86</v>
      </c>
      <c r="M1881">
        <v>12.28</v>
      </c>
      <c r="N1881">
        <v>157.9</v>
      </c>
      <c r="O1881">
        <v>106</v>
      </c>
      <c r="P1881">
        <v>7.11</v>
      </c>
      <c r="Q1881">
        <v>6.8</v>
      </c>
      <c r="R1881">
        <v>3</v>
      </c>
      <c r="S1881">
        <v>1.84</v>
      </c>
      <c r="T1881">
        <v>3</v>
      </c>
      <c r="U1881" t="s">
        <v>22</v>
      </c>
      <c r="V1881" t="e">
        <f>IF(#REF! = "yes", 1, 0)</f>
        <v>#REF!</v>
      </c>
      <c r="W1881" t="e">
        <f>IF(#REF! &lt;= 1, "0-1 Calls", IF(#REF! &lt;= 3, "2-3 Calls", IF(#REF! &lt;=5, "4-5 Calls", "6+ Calls")))</f>
        <v>#REF!</v>
      </c>
      <c r="X1881" t="e">
        <f>IF(#REF! &lt;= 50, "0-50", IF(#REF! &lt;=100, "51-100", IF(#REF! &lt;= 150, "101-150", "151+")))</f>
        <v>#REF!</v>
      </c>
      <c r="Y1881" t="e">
        <f>IF(#REF! &lt;= 3, "Low Charges", "High Charges")</f>
        <v>#REF!</v>
      </c>
      <c r="Z1881" t="e">
        <f>IF(#REF!&lt;=80,"Low Calls",
IF(#REF!&lt;=120,"Medium Calls","High Calls"))</f>
        <v>#REF!</v>
      </c>
      <c r="AA1881" t="e">
        <f>IF(#REF!&lt;=15,"Low Charges",
IF(#REF!&lt;=20,"Medium Charges","High Charges"))</f>
        <v>#REF!</v>
      </c>
      <c r="AB1881" t="e">
        <f>IF(AND(#REF!&gt;180, #REF!&gt;200), "Heavy Doemstic User", IF(#REF!&gt;10, "Interntional User", IF(AND(#REF!&lt;180, #REF!&lt;200,#REF!&lt;200), "Light User", "Balanced User")))</f>
        <v>#REF!</v>
      </c>
      <c r="AC1881" t="e">
        <f>IF(#REF! = 0, "No Usage", IF(#REF! &lt;= 20, "Low Usage", IF(#REF! &lt;= 40, "Medium Usgae", "High Usage")))</f>
        <v>#REF!</v>
      </c>
      <c r="AD1881" t="e">
        <f>IF(#REF!&lt;=150,"Low Usage", IF(#REF!&lt;=200,"Medium Usage", IF(#REF!&lt;=250,"High Usage","Very High Usage")))</f>
        <v>#REF!</v>
      </c>
      <c r="AE1881" t="e">
        <f>IF(#REF!&lt;=5,"Low Calls", IF(#REF!&lt;=10, "Medium Calls", "High Calls"))</f>
        <v>#REF!</v>
      </c>
      <c r="AF1881" t="e">
        <f xml:space="preserve">
IF(#REF!&gt;=4,4,0)+
IF(#REF!="yes",3,0)+
IF(#REF!="High Charges",3,0)+
IF(#REF!&gt;250,4,0)+
IF(#REF!="no",1,0)+
IF(#REF!="Heavy Domestic User",2,0)</f>
        <v>#REF!</v>
      </c>
      <c r="AG1881" t="e">
        <f>IF(#REF!&gt;=10,"High Risk", IF(#REF!&gt;=5,"Medium Risk","Low Risk"))</f>
        <v>#REF!</v>
      </c>
      <c r="AH1881" t="e">
        <f>#REF! + #REF! + #REF! + #REF!</f>
        <v>#REF!</v>
      </c>
    </row>
    <row r="1882" spans="1:34" x14ac:dyDescent="0.35">
      <c r="A1882">
        <v>1881</v>
      </c>
      <c r="B1882" t="s">
        <v>55</v>
      </c>
      <c r="C1882">
        <v>71</v>
      </c>
      <c r="D1882" t="s">
        <v>21</v>
      </c>
      <c r="E1882" t="s">
        <v>22</v>
      </c>
      <c r="F1882" t="s">
        <v>22</v>
      </c>
      <c r="G1882">
        <v>0</v>
      </c>
      <c r="H1882">
        <v>278.89999999999998</v>
      </c>
      <c r="I1882">
        <v>110</v>
      </c>
      <c r="J1882">
        <v>47.41</v>
      </c>
      <c r="K1882">
        <v>190.2</v>
      </c>
      <c r="L1882">
        <v>67</v>
      </c>
      <c r="M1882">
        <v>16.170000000000002</v>
      </c>
      <c r="N1882">
        <v>255.2</v>
      </c>
      <c r="O1882">
        <v>84</v>
      </c>
      <c r="P1882">
        <v>11.48</v>
      </c>
      <c r="Q1882">
        <v>11.7</v>
      </c>
      <c r="R1882">
        <v>7</v>
      </c>
      <c r="S1882">
        <v>3.16</v>
      </c>
      <c r="T1882">
        <v>0</v>
      </c>
      <c r="U1882" t="s">
        <v>23</v>
      </c>
      <c r="V1882" t="e">
        <f>IF(#REF! = "yes", 1, 0)</f>
        <v>#REF!</v>
      </c>
      <c r="W1882" t="e">
        <f>IF(#REF! &lt;= 1, "0-1 Calls", IF(#REF! &lt;= 3, "2-3 Calls", IF(#REF! &lt;=5, "4-5 Calls", "6+ Calls")))</f>
        <v>#REF!</v>
      </c>
      <c r="X1882" t="e">
        <f>IF(#REF! &lt;= 50, "0-50", IF(#REF! &lt;=100, "51-100", IF(#REF! &lt;= 150, "101-150", "151+")))</f>
        <v>#REF!</v>
      </c>
      <c r="Y1882" t="e">
        <f>IF(#REF! &lt;= 3, "Low Charges", "High Charges")</f>
        <v>#REF!</v>
      </c>
      <c r="Z1882" t="e">
        <f>IF(#REF!&lt;=80,"Low Calls",
IF(#REF!&lt;=120,"Medium Calls","High Calls"))</f>
        <v>#REF!</v>
      </c>
      <c r="AA1882" t="e">
        <f>IF(#REF!&lt;=15,"Low Charges",
IF(#REF!&lt;=20,"Medium Charges","High Charges"))</f>
        <v>#REF!</v>
      </c>
      <c r="AB1882" t="e">
        <f>IF(AND(#REF!&gt;180, #REF!&gt;200), "Heavy Doemstic User", IF(#REF!&gt;10, "Interntional User", IF(AND(#REF!&lt;180, #REF!&lt;200,#REF!&lt;200), "Light User", "Balanced User")))</f>
        <v>#REF!</v>
      </c>
      <c r="AC1882" t="e">
        <f>IF(#REF! = 0, "No Usage", IF(#REF! &lt;= 20, "Low Usage", IF(#REF! &lt;= 40, "Medium Usgae", "High Usage")))</f>
        <v>#REF!</v>
      </c>
      <c r="AD1882" t="e">
        <f>IF(#REF!&lt;=150,"Low Usage", IF(#REF!&lt;=200,"Medium Usage", IF(#REF!&lt;=250,"High Usage","Very High Usage")))</f>
        <v>#REF!</v>
      </c>
      <c r="AE1882" t="e">
        <f>IF(#REF!&lt;=5,"Low Calls", IF(#REF!&lt;=10, "Medium Calls", "High Calls"))</f>
        <v>#REF!</v>
      </c>
      <c r="AF1882" t="e">
        <f xml:space="preserve">
IF(#REF!&gt;=4,4,0)+
IF(#REF!="yes",3,0)+
IF(#REF!="High Charges",3,0)+
IF(#REF!&gt;250,4,0)+
IF(#REF!="no",1,0)+
IF(#REF!="Heavy Domestic User",2,0)</f>
        <v>#REF!</v>
      </c>
      <c r="AG1882" t="e">
        <f>IF(#REF!&gt;=10,"High Risk", IF(#REF!&gt;=5,"Medium Risk","Low Risk"))</f>
        <v>#REF!</v>
      </c>
      <c r="AH1882" t="e">
        <f>#REF! + #REF! + #REF! + #REF!</f>
        <v>#REF!</v>
      </c>
    </row>
    <row r="1883" spans="1:34" x14ac:dyDescent="0.35">
      <c r="A1883">
        <v>1882</v>
      </c>
      <c r="B1883" t="s">
        <v>74</v>
      </c>
      <c r="C1883">
        <v>112</v>
      </c>
      <c r="D1883" t="s">
        <v>21</v>
      </c>
      <c r="E1883" t="s">
        <v>22</v>
      </c>
      <c r="F1883" t="s">
        <v>23</v>
      </c>
      <c r="G1883">
        <v>27</v>
      </c>
      <c r="H1883">
        <v>213</v>
      </c>
      <c r="I1883">
        <v>121</v>
      </c>
      <c r="J1883">
        <v>36.21</v>
      </c>
      <c r="K1883">
        <v>226.2</v>
      </c>
      <c r="L1883">
        <v>101</v>
      </c>
      <c r="M1883">
        <v>19.23</v>
      </c>
      <c r="N1883">
        <v>189.8</v>
      </c>
      <c r="O1883">
        <v>99</v>
      </c>
      <c r="P1883">
        <v>8.5399999999999991</v>
      </c>
      <c r="Q1883">
        <v>11.1</v>
      </c>
      <c r="R1883">
        <v>3</v>
      </c>
      <c r="S1883">
        <v>3</v>
      </c>
      <c r="T1883">
        <v>4</v>
      </c>
      <c r="U1883" t="s">
        <v>22</v>
      </c>
      <c r="V1883" t="e">
        <f>IF(#REF! = "yes", 1, 0)</f>
        <v>#REF!</v>
      </c>
      <c r="W1883" t="e">
        <f>IF(#REF! &lt;= 1, "0-1 Calls", IF(#REF! &lt;= 3, "2-3 Calls", IF(#REF! &lt;=5, "4-5 Calls", "6+ Calls")))</f>
        <v>#REF!</v>
      </c>
      <c r="X1883" t="e">
        <f>IF(#REF! &lt;= 50, "0-50", IF(#REF! &lt;=100, "51-100", IF(#REF! &lt;= 150, "101-150", "151+")))</f>
        <v>#REF!</v>
      </c>
      <c r="Y1883" t="e">
        <f>IF(#REF! &lt;= 3, "Low Charges", "High Charges")</f>
        <v>#REF!</v>
      </c>
      <c r="Z1883" t="e">
        <f>IF(#REF!&lt;=80,"Low Calls",
IF(#REF!&lt;=120,"Medium Calls","High Calls"))</f>
        <v>#REF!</v>
      </c>
      <c r="AA1883" t="e">
        <f>IF(#REF!&lt;=15,"Low Charges",
IF(#REF!&lt;=20,"Medium Charges","High Charges"))</f>
        <v>#REF!</v>
      </c>
      <c r="AB1883" t="e">
        <f>IF(AND(#REF!&gt;180, #REF!&gt;200), "Heavy Doemstic User", IF(#REF!&gt;10, "Interntional User", IF(AND(#REF!&lt;180, #REF!&lt;200,#REF!&lt;200), "Light User", "Balanced User")))</f>
        <v>#REF!</v>
      </c>
      <c r="AC1883" t="e">
        <f>IF(#REF! = 0, "No Usage", IF(#REF! &lt;= 20, "Low Usage", IF(#REF! &lt;= 40, "Medium Usgae", "High Usage")))</f>
        <v>#REF!</v>
      </c>
      <c r="AD1883" t="e">
        <f>IF(#REF!&lt;=150,"Low Usage", IF(#REF!&lt;=200,"Medium Usage", IF(#REF!&lt;=250,"High Usage","Very High Usage")))</f>
        <v>#REF!</v>
      </c>
      <c r="AE1883" t="e">
        <f>IF(#REF!&lt;=5,"Low Calls", IF(#REF!&lt;=10, "Medium Calls", "High Calls"))</f>
        <v>#REF!</v>
      </c>
      <c r="AF1883" t="e">
        <f xml:space="preserve">
IF(#REF!&gt;=4,4,0)+
IF(#REF!="yes",3,0)+
IF(#REF!="High Charges",3,0)+
IF(#REF!&gt;250,4,0)+
IF(#REF!="no",1,0)+
IF(#REF!="Heavy Domestic User",2,0)</f>
        <v>#REF!</v>
      </c>
      <c r="AG1883" t="e">
        <f>IF(#REF!&gt;=10,"High Risk", IF(#REF!&gt;=5,"Medium Risk","Low Risk"))</f>
        <v>#REF!</v>
      </c>
      <c r="AH1883" t="e">
        <f>#REF! + #REF! + #REF! + #REF!</f>
        <v>#REF!</v>
      </c>
    </row>
    <row r="1884" spans="1:34" x14ac:dyDescent="0.35">
      <c r="A1884">
        <v>1883</v>
      </c>
      <c r="B1884" t="s">
        <v>39</v>
      </c>
      <c r="C1884">
        <v>98</v>
      </c>
      <c r="D1884" t="s">
        <v>21</v>
      </c>
      <c r="E1884" t="s">
        <v>22</v>
      </c>
      <c r="F1884" t="s">
        <v>22</v>
      </c>
      <c r="G1884">
        <v>0</v>
      </c>
      <c r="H1884">
        <v>217.2</v>
      </c>
      <c r="I1884">
        <v>121</v>
      </c>
      <c r="J1884">
        <v>36.92</v>
      </c>
      <c r="K1884">
        <v>303.39999999999998</v>
      </c>
      <c r="L1884">
        <v>73</v>
      </c>
      <c r="M1884">
        <v>25.79</v>
      </c>
      <c r="N1884">
        <v>197.1</v>
      </c>
      <c r="O1884">
        <v>71</v>
      </c>
      <c r="P1884">
        <v>8.8699999999999992</v>
      </c>
      <c r="Q1884">
        <v>12.4</v>
      </c>
      <c r="R1884">
        <v>2</v>
      </c>
      <c r="S1884">
        <v>3.35</v>
      </c>
      <c r="T1884">
        <v>0</v>
      </c>
      <c r="U1884" t="s">
        <v>23</v>
      </c>
      <c r="V1884" t="e">
        <f>IF(#REF! = "yes", 1, 0)</f>
        <v>#REF!</v>
      </c>
      <c r="W1884" t="e">
        <f>IF(#REF! &lt;= 1, "0-1 Calls", IF(#REF! &lt;= 3, "2-3 Calls", IF(#REF! &lt;=5, "4-5 Calls", "6+ Calls")))</f>
        <v>#REF!</v>
      </c>
      <c r="X1884" t="e">
        <f>IF(#REF! &lt;= 50, "0-50", IF(#REF! &lt;=100, "51-100", IF(#REF! &lt;= 150, "101-150", "151+")))</f>
        <v>#REF!</v>
      </c>
      <c r="Y1884" t="e">
        <f>IF(#REF! &lt;= 3, "Low Charges", "High Charges")</f>
        <v>#REF!</v>
      </c>
      <c r="Z1884" t="e">
        <f>IF(#REF!&lt;=80,"Low Calls",
IF(#REF!&lt;=120,"Medium Calls","High Calls"))</f>
        <v>#REF!</v>
      </c>
      <c r="AA1884" t="e">
        <f>IF(#REF!&lt;=15,"Low Charges",
IF(#REF!&lt;=20,"Medium Charges","High Charges"))</f>
        <v>#REF!</v>
      </c>
      <c r="AB1884" t="e">
        <f>IF(AND(#REF!&gt;180, #REF!&gt;200), "Heavy Doemstic User", IF(#REF!&gt;10, "Interntional User", IF(AND(#REF!&lt;180, #REF!&lt;200,#REF!&lt;200), "Light User", "Balanced User")))</f>
        <v>#REF!</v>
      </c>
      <c r="AC1884" t="e">
        <f>IF(#REF! = 0, "No Usage", IF(#REF! &lt;= 20, "Low Usage", IF(#REF! &lt;= 40, "Medium Usgae", "High Usage")))</f>
        <v>#REF!</v>
      </c>
      <c r="AD1884" t="e">
        <f>IF(#REF!&lt;=150,"Low Usage", IF(#REF!&lt;=200,"Medium Usage", IF(#REF!&lt;=250,"High Usage","Very High Usage")))</f>
        <v>#REF!</v>
      </c>
      <c r="AE1884" t="e">
        <f>IF(#REF!&lt;=5,"Low Calls", IF(#REF!&lt;=10, "Medium Calls", "High Calls"))</f>
        <v>#REF!</v>
      </c>
      <c r="AF1884" t="e">
        <f xml:space="preserve">
IF(#REF!&gt;=4,4,0)+
IF(#REF!="yes",3,0)+
IF(#REF!="High Charges",3,0)+
IF(#REF!&gt;250,4,0)+
IF(#REF!="no",1,0)+
IF(#REF!="Heavy Domestic User",2,0)</f>
        <v>#REF!</v>
      </c>
      <c r="AG1884" t="e">
        <f>IF(#REF!&gt;=10,"High Risk", IF(#REF!&gt;=5,"Medium Risk","Low Risk"))</f>
        <v>#REF!</v>
      </c>
      <c r="AH1884" t="e">
        <f>#REF! + #REF! + #REF! + #REF!</f>
        <v>#REF!</v>
      </c>
    </row>
    <row r="1885" spans="1:34" x14ac:dyDescent="0.35">
      <c r="A1885">
        <v>1884</v>
      </c>
      <c r="B1885" t="s">
        <v>74</v>
      </c>
      <c r="C1885">
        <v>90</v>
      </c>
      <c r="D1885" t="s">
        <v>21</v>
      </c>
      <c r="E1885" t="s">
        <v>22</v>
      </c>
      <c r="F1885" t="s">
        <v>22</v>
      </c>
      <c r="G1885">
        <v>0</v>
      </c>
      <c r="H1885">
        <v>175.9</v>
      </c>
      <c r="I1885">
        <v>111</v>
      </c>
      <c r="J1885">
        <v>29.9</v>
      </c>
      <c r="K1885">
        <v>285.2</v>
      </c>
      <c r="L1885">
        <v>115</v>
      </c>
      <c r="M1885">
        <v>24.24</v>
      </c>
      <c r="N1885">
        <v>150.80000000000001</v>
      </c>
      <c r="O1885">
        <v>122</v>
      </c>
      <c r="P1885">
        <v>6.79</v>
      </c>
      <c r="Q1885">
        <v>13</v>
      </c>
      <c r="R1885">
        <v>7</v>
      </c>
      <c r="S1885">
        <v>3.51</v>
      </c>
      <c r="T1885">
        <v>1</v>
      </c>
      <c r="U1885" t="s">
        <v>22</v>
      </c>
      <c r="V1885" t="e">
        <f>IF(#REF! = "yes", 1, 0)</f>
        <v>#REF!</v>
      </c>
      <c r="W1885" t="e">
        <f>IF(#REF! &lt;= 1, "0-1 Calls", IF(#REF! &lt;= 3, "2-3 Calls", IF(#REF! &lt;=5, "4-5 Calls", "6+ Calls")))</f>
        <v>#REF!</v>
      </c>
      <c r="X1885" t="e">
        <f>IF(#REF! &lt;= 50, "0-50", IF(#REF! &lt;=100, "51-100", IF(#REF! &lt;= 150, "101-150", "151+")))</f>
        <v>#REF!</v>
      </c>
      <c r="Y1885" t="e">
        <f>IF(#REF! &lt;= 3, "Low Charges", "High Charges")</f>
        <v>#REF!</v>
      </c>
      <c r="Z1885" t="e">
        <f>IF(#REF!&lt;=80,"Low Calls",
IF(#REF!&lt;=120,"Medium Calls","High Calls"))</f>
        <v>#REF!</v>
      </c>
      <c r="AA1885" t="e">
        <f>IF(#REF!&lt;=15,"Low Charges",
IF(#REF!&lt;=20,"Medium Charges","High Charges"))</f>
        <v>#REF!</v>
      </c>
      <c r="AB1885" t="e">
        <f>IF(AND(#REF!&gt;180, #REF!&gt;200), "Heavy Doemstic User", IF(#REF!&gt;10, "Interntional User", IF(AND(#REF!&lt;180, #REF!&lt;200,#REF!&lt;200), "Light User", "Balanced User")))</f>
        <v>#REF!</v>
      </c>
      <c r="AC1885" t="e">
        <f>IF(#REF! = 0, "No Usage", IF(#REF! &lt;= 20, "Low Usage", IF(#REF! &lt;= 40, "Medium Usgae", "High Usage")))</f>
        <v>#REF!</v>
      </c>
      <c r="AD1885" t="e">
        <f>IF(#REF!&lt;=150,"Low Usage", IF(#REF!&lt;=200,"Medium Usage", IF(#REF!&lt;=250,"High Usage","Very High Usage")))</f>
        <v>#REF!</v>
      </c>
      <c r="AE1885" t="e">
        <f>IF(#REF!&lt;=5,"Low Calls", IF(#REF!&lt;=10, "Medium Calls", "High Calls"))</f>
        <v>#REF!</v>
      </c>
      <c r="AF1885" t="e">
        <f xml:space="preserve">
IF(#REF!&gt;=4,4,0)+
IF(#REF!="yes",3,0)+
IF(#REF!="High Charges",3,0)+
IF(#REF!&gt;250,4,0)+
IF(#REF!="no",1,0)+
IF(#REF!="Heavy Domestic User",2,0)</f>
        <v>#REF!</v>
      </c>
      <c r="AG1885" t="e">
        <f>IF(#REF!&gt;=10,"High Risk", IF(#REF!&gt;=5,"Medium Risk","Low Risk"))</f>
        <v>#REF!</v>
      </c>
      <c r="AH1885" t="e">
        <f>#REF! + #REF! + #REF! + #REF!</f>
        <v>#REF!</v>
      </c>
    </row>
    <row r="1886" spans="1:34" x14ac:dyDescent="0.35">
      <c r="A1886">
        <v>1885</v>
      </c>
      <c r="B1886" t="s">
        <v>50</v>
      </c>
      <c r="C1886">
        <v>58</v>
      </c>
      <c r="D1886" t="s">
        <v>21</v>
      </c>
      <c r="E1886" t="s">
        <v>22</v>
      </c>
      <c r="F1886" t="s">
        <v>22</v>
      </c>
      <c r="G1886">
        <v>0</v>
      </c>
      <c r="H1886">
        <v>238.9</v>
      </c>
      <c r="I1886">
        <v>107</v>
      </c>
      <c r="J1886">
        <v>40.61</v>
      </c>
      <c r="K1886">
        <v>187.2</v>
      </c>
      <c r="L1886">
        <v>88</v>
      </c>
      <c r="M1886">
        <v>15.91</v>
      </c>
      <c r="N1886">
        <v>181.1</v>
      </c>
      <c r="O1886">
        <v>84</v>
      </c>
      <c r="P1886">
        <v>8.15</v>
      </c>
      <c r="Q1886">
        <v>11.8</v>
      </c>
      <c r="R1886">
        <v>3</v>
      </c>
      <c r="S1886">
        <v>3.19</v>
      </c>
      <c r="T1886">
        <v>2</v>
      </c>
      <c r="U1886" t="s">
        <v>22</v>
      </c>
      <c r="V1886" t="e">
        <f>IF(#REF! = "yes", 1, 0)</f>
        <v>#REF!</v>
      </c>
      <c r="W1886" t="e">
        <f>IF(#REF! &lt;= 1, "0-1 Calls", IF(#REF! &lt;= 3, "2-3 Calls", IF(#REF! &lt;=5, "4-5 Calls", "6+ Calls")))</f>
        <v>#REF!</v>
      </c>
      <c r="X1886" t="e">
        <f>IF(#REF! &lt;= 50, "0-50", IF(#REF! &lt;=100, "51-100", IF(#REF! &lt;= 150, "101-150", "151+")))</f>
        <v>#REF!</v>
      </c>
      <c r="Y1886" t="e">
        <f>IF(#REF! &lt;= 3, "Low Charges", "High Charges")</f>
        <v>#REF!</v>
      </c>
      <c r="Z1886" t="e">
        <f>IF(#REF!&lt;=80,"Low Calls",
IF(#REF!&lt;=120,"Medium Calls","High Calls"))</f>
        <v>#REF!</v>
      </c>
      <c r="AA1886" t="e">
        <f>IF(#REF!&lt;=15,"Low Charges",
IF(#REF!&lt;=20,"Medium Charges","High Charges"))</f>
        <v>#REF!</v>
      </c>
      <c r="AB1886" t="e">
        <f>IF(AND(#REF!&gt;180, #REF!&gt;200), "Heavy Doemstic User", IF(#REF!&gt;10, "Interntional User", IF(AND(#REF!&lt;180, #REF!&lt;200,#REF!&lt;200), "Light User", "Balanced User")))</f>
        <v>#REF!</v>
      </c>
      <c r="AC1886" t="e">
        <f>IF(#REF! = 0, "No Usage", IF(#REF! &lt;= 20, "Low Usage", IF(#REF! &lt;= 40, "Medium Usgae", "High Usage")))</f>
        <v>#REF!</v>
      </c>
      <c r="AD1886" t="e">
        <f>IF(#REF!&lt;=150,"Low Usage", IF(#REF!&lt;=200,"Medium Usage", IF(#REF!&lt;=250,"High Usage","Very High Usage")))</f>
        <v>#REF!</v>
      </c>
      <c r="AE1886" t="e">
        <f>IF(#REF!&lt;=5,"Low Calls", IF(#REF!&lt;=10, "Medium Calls", "High Calls"))</f>
        <v>#REF!</v>
      </c>
      <c r="AF1886" t="e">
        <f xml:space="preserve">
IF(#REF!&gt;=4,4,0)+
IF(#REF!="yes",3,0)+
IF(#REF!="High Charges",3,0)+
IF(#REF!&gt;250,4,0)+
IF(#REF!="no",1,0)+
IF(#REF!="Heavy Domestic User",2,0)</f>
        <v>#REF!</v>
      </c>
      <c r="AG1886" t="e">
        <f>IF(#REF!&gt;=10,"High Risk", IF(#REF!&gt;=5,"Medium Risk","Low Risk"))</f>
        <v>#REF!</v>
      </c>
      <c r="AH1886" t="e">
        <f>#REF! + #REF! + #REF! + #REF!</f>
        <v>#REF!</v>
      </c>
    </row>
    <row r="1887" spans="1:34" x14ac:dyDescent="0.35">
      <c r="A1887">
        <v>1886</v>
      </c>
      <c r="B1887" t="s">
        <v>53</v>
      </c>
      <c r="C1887">
        <v>116</v>
      </c>
      <c r="D1887" t="s">
        <v>25</v>
      </c>
      <c r="E1887" t="s">
        <v>22</v>
      </c>
      <c r="F1887" t="s">
        <v>22</v>
      </c>
      <c r="G1887">
        <v>0</v>
      </c>
      <c r="H1887">
        <v>133.30000000000001</v>
      </c>
      <c r="I1887">
        <v>94</v>
      </c>
      <c r="J1887">
        <v>22.66</v>
      </c>
      <c r="K1887">
        <v>247.8</v>
      </c>
      <c r="L1887">
        <v>126</v>
      </c>
      <c r="M1887">
        <v>21.06</v>
      </c>
      <c r="N1887">
        <v>219</v>
      </c>
      <c r="O1887">
        <v>78</v>
      </c>
      <c r="P1887">
        <v>9.86</v>
      </c>
      <c r="Q1887">
        <v>11.3</v>
      </c>
      <c r="R1887">
        <v>5</v>
      </c>
      <c r="S1887">
        <v>3.05</v>
      </c>
      <c r="T1887">
        <v>5</v>
      </c>
      <c r="U1887" t="s">
        <v>23</v>
      </c>
      <c r="V1887" t="e">
        <f>IF(#REF! = "yes", 1, 0)</f>
        <v>#REF!</v>
      </c>
      <c r="W1887" t="e">
        <f>IF(#REF! &lt;= 1, "0-1 Calls", IF(#REF! &lt;= 3, "2-3 Calls", IF(#REF! &lt;=5, "4-5 Calls", "6+ Calls")))</f>
        <v>#REF!</v>
      </c>
      <c r="X1887" t="e">
        <f>IF(#REF! &lt;= 50, "0-50", IF(#REF! &lt;=100, "51-100", IF(#REF! &lt;= 150, "101-150", "151+")))</f>
        <v>#REF!</v>
      </c>
      <c r="Y1887" t="e">
        <f>IF(#REF! &lt;= 3, "Low Charges", "High Charges")</f>
        <v>#REF!</v>
      </c>
      <c r="Z1887" t="e">
        <f>IF(#REF!&lt;=80,"Low Calls",
IF(#REF!&lt;=120,"Medium Calls","High Calls"))</f>
        <v>#REF!</v>
      </c>
      <c r="AA1887" t="e">
        <f>IF(#REF!&lt;=15,"Low Charges",
IF(#REF!&lt;=20,"Medium Charges","High Charges"))</f>
        <v>#REF!</v>
      </c>
      <c r="AB1887" t="e">
        <f>IF(AND(#REF!&gt;180, #REF!&gt;200), "Heavy Doemstic User", IF(#REF!&gt;10, "Interntional User", IF(AND(#REF!&lt;180, #REF!&lt;200,#REF!&lt;200), "Light User", "Balanced User")))</f>
        <v>#REF!</v>
      </c>
      <c r="AC1887" t="e">
        <f>IF(#REF! = 0, "No Usage", IF(#REF! &lt;= 20, "Low Usage", IF(#REF! &lt;= 40, "Medium Usgae", "High Usage")))</f>
        <v>#REF!</v>
      </c>
      <c r="AD1887" t="e">
        <f>IF(#REF!&lt;=150,"Low Usage", IF(#REF!&lt;=200,"Medium Usage", IF(#REF!&lt;=250,"High Usage","Very High Usage")))</f>
        <v>#REF!</v>
      </c>
      <c r="AE1887" t="e">
        <f>IF(#REF!&lt;=5,"Low Calls", IF(#REF!&lt;=10, "Medium Calls", "High Calls"))</f>
        <v>#REF!</v>
      </c>
      <c r="AF1887" t="e">
        <f xml:space="preserve">
IF(#REF!&gt;=4,4,0)+
IF(#REF!="yes",3,0)+
IF(#REF!="High Charges",3,0)+
IF(#REF!&gt;250,4,0)+
IF(#REF!="no",1,0)+
IF(#REF!="Heavy Domestic User",2,0)</f>
        <v>#REF!</v>
      </c>
      <c r="AG1887" t="e">
        <f>IF(#REF!&gt;=10,"High Risk", IF(#REF!&gt;=5,"Medium Risk","Low Risk"))</f>
        <v>#REF!</v>
      </c>
      <c r="AH1887" t="e">
        <f>#REF! + #REF! + #REF! + #REF!</f>
        <v>#REF!</v>
      </c>
    </row>
    <row r="1888" spans="1:34" x14ac:dyDescent="0.35">
      <c r="A1888">
        <v>1887</v>
      </c>
      <c r="B1888" t="s">
        <v>54</v>
      </c>
      <c r="C1888">
        <v>87</v>
      </c>
      <c r="D1888" t="s">
        <v>21</v>
      </c>
      <c r="E1888" t="s">
        <v>22</v>
      </c>
      <c r="F1888" t="s">
        <v>22</v>
      </c>
      <c r="G1888">
        <v>0</v>
      </c>
      <c r="H1888">
        <v>177.2</v>
      </c>
      <c r="I1888">
        <v>72</v>
      </c>
      <c r="J1888">
        <v>30.12</v>
      </c>
      <c r="K1888">
        <v>248.9</v>
      </c>
      <c r="L1888">
        <v>105</v>
      </c>
      <c r="M1888">
        <v>21.16</v>
      </c>
      <c r="N1888">
        <v>200.8</v>
      </c>
      <c r="O1888">
        <v>87</v>
      </c>
      <c r="P1888">
        <v>9.0399999999999991</v>
      </c>
      <c r="Q1888">
        <v>8.6</v>
      </c>
      <c r="R1888">
        <v>7</v>
      </c>
      <c r="S1888">
        <v>2.3199999999999998</v>
      </c>
      <c r="T1888">
        <v>3</v>
      </c>
      <c r="U1888" t="s">
        <v>22</v>
      </c>
      <c r="V1888" t="e">
        <f>IF(#REF! = "yes", 1, 0)</f>
        <v>#REF!</v>
      </c>
      <c r="W1888" t="e">
        <f>IF(#REF! &lt;= 1, "0-1 Calls", IF(#REF! &lt;= 3, "2-3 Calls", IF(#REF! &lt;=5, "4-5 Calls", "6+ Calls")))</f>
        <v>#REF!</v>
      </c>
      <c r="X1888" t="e">
        <f>IF(#REF! &lt;= 50, "0-50", IF(#REF! &lt;=100, "51-100", IF(#REF! &lt;= 150, "101-150", "151+")))</f>
        <v>#REF!</v>
      </c>
      <c r="Y1888" t="e">
        <f>IF(#REF! &lt;= 3, "Low Charges", "High Charges")</f>
        <v>#REF!</v>
      </c>
      <c r="Z1888" t="e">
        <f>IF(#REF!&lt;=80,"Low Calls",
IF(#REF!&lt;=120,"Medium Calls","High Calls"))</f>
        <v>#REF!</v>
      </c>
      <c r="AA1888" t="e">
        <f>IF(#REF!&lt;=15,"Low Charges",
IF(#REF!&lt;=20,"Medium Charges","High Charges"))</f>
        <v>#REF!</v>
      </c>
      <c r="AB1888" t="e">
        <f>IF(AND(#REF!&gt;180, #REF!&gt;200), "Heavy Doemstic User", IF(#REF!&gt;10, "Interntional User", IF(AND(#REF!&lt;180, #REF!&lt;200,#REF!&lt;200), "Light User", "Balanced User")))</f>
        <v>#REF!</v>
      </c>
      <c r="AC1888" t="e">
        <f>IF(#REF! = 0, "No Usage", IF(#REF! &lt;= 20, "Low Usage", IF(#REF! &lt;= 40, "Medium Usgae", "High Usage")))</f>
        <v>#REF!</v>
      </c>
      <c r="AD1888" t="e">
        <f>IF(#REF!&lt;=150,"Low Usage", IF(#REF!&lt;=200,"Medium Usage", IF(#REF!&lt;=250,"High Usage","Very High Usage")))</f>
        <v>#REF!</v>
      </c>
      <c r="AE1888" t="e">
        <f>IF(#REF!&lt;=5,"Low Calls", IF(#REF!&lt;=10, "Medium Calls", "High Calls"))</f>
        <v>#REF!</v>
      </c>
      <c r="AF1888" t="e">
        <f xml:space="preserve">
IF(#REF!&gt;=4,4,0)+
IF(#REF!="yes",3,0)+
IF(#REF!="High Charges",3,0)+
IF(#REF!&gt;250,4,0)+
IF(#REF!="no",1,0)+
IF(#REF!="Heavy Domestic User",2,0)</f>
        <v>#REF!</v>
      </c>
      <c r="AG1888" t="e">
        <f>IF(#REF!&gt;=10,"High Risk", IF(#REF!&gt;=5,"Medium Risk","Low Risk"))</f>
        <v>#REF!</v>
      </c>
      <c r="AH1888" t="e">
        <f>#REF! + #REF! + #REF! + #REF!</f>
        <v>#REF!</v>
      </c>
    </row>
    <row r="1889" spans="1:34" x14ac:dyDescent="0.35">
      <c r="A1889">
        <v>1888</v>
      </c>
      <c r="B1889" t="s">
        <v>40</v>
      </c>
      <c r="C1889">
        <v>120</v>
      </c>
      <c r="D1889" t="s">
        <v>21</v>
      </c>
      <c r="E1889" t="s">
        <v>22</v>
      </c>
      <c r="F1889" t="s">
        <v>22</v>
      </c>
      <c r="G1889">
        <v>0</v>
      </c>
      <c r="H1889">
        <v>184.5</v>
      </c>
      <c r="I1889">
        <v>103</v>
      </c>
      <c r="J1889">
        <v>31.37</v>
      </c>
      <c r="K1889">
        <v>209</v>
      </c>
      <c r="L1889">
        <v>86</v>
      </c>
      <c r="M1889">
        <v>17.77</v>
      </c>
      <c r="N1889">
        <v>169.7</v>
      </c>
      <c r="O1889">
        <v>70</v>
      </c>
      <c r="P1889">
        <v>7.64</v>
      </c>
      <c r="Q1889">
        <v>10.199999999999999</v>
      </c>
      <c r="R1889">
        <v>6</v>
      </c>
      <c r="S1889">
        <v>2.75</v>
      </c>
      <c r="T1889">
        <v>2</v>
      </c>
      <c r="U1889" t="s">
        <v>22</v>
      </c>
      <c r="V1889" t="e">
        <f>IF(#REF! = "yes", 1, 0)</f>
        <v>#REF!</v>
      </c>
      <c r="W1889" t="e">
        <f>IF(#REF! &lt;= 1, "0-1 Calls", IF(#REF! &lt;= 3, "2-3 Calls", IF(#REF! &lt;=5, "4-5 Calls", "6+ Calls")))</f>
        <v>#REF!</v>
      </c>
      <c r="X1889" t="e">
        <f>IF(#REF! &lt;= 50, "0-50", IF(#REF! &lt;=100, "51-100", IF(#REF! &lt;= 150, "101-150", "151+")))</f>
        <v>#REF!</v>
      </c>
      <c r="Y1889" t="e">
        <f>IF(#REF! &lt;= 3, "Low Charges", "High Charges")</f>
        <v>#REF!</v>
      </c>
      <c r="Z1889" t="e">
        <f>IF(#REF!&lt;=80,"Low Calls",
IF(#REF!&lt;=120,"Medium Calls","High Calls"))</f>
        <v>#REF!</v>
      </c>
      <c r="AA1889" t="e">
        <f>IF(#REF!&lt;=15,"Low Charges",
IF(#REF!&lt;=20,"Medium Charges","High Charges"))</f>
        <v>#REF!</v>
      </c>
      <c r="AB1889" t="e">
        <f>IF(AND(#REF!&gt;180, #REF!&gt;200), "Heavy Doemstic User", IF(#REF!&gt;10, "Interntional User", IF(AND(#REF!&lt;180, #REF!&lt;200,#REF!&lt;200), "Light User", "Balanced User")))</f>
        <v>#REF!</v>
      </c>
      <c r="AC1889" t="e">
        <f>IF(#REF! = 0, "No Usage", IF(#REF! &lt;= 20, "Low Usage", IF(#REF! &lt;= 40, "Medium Usgae", "High Usage")))</f>
        <v>#REF!</v>
      </c>
      <c r="AD1889" t="e">
        <f>IF(#REF!&lt;=150,"Low Usage", IF(#REF!&lt;=200,"Medium Usage", IF(#REF!&lt;=250,"High Usage","Very High Usage")))</f>
        <v>#REF!</v>
      </c>
      <c r="AE1889" t="e">
        <f>IF(#REF!&lt;=5,"Low Calls", IF(#REF!&lt;=10, "Medium Calls", "High Calls"))</f>
        <v>#REF!</v>
      </c>
      <c r="AF1889" t="e">
        <f xml:space="preserve">
IF(#REF!&gt;=4,4,0)+
IF(#REF!="yes",3,0)+
IF(#REF!="High Charges",3,0)+
IF(#REF!&gt;250,4,0)+
IF(#REF!="no",1,0)+
IF(#REF!="Heavy Domestic User",2,0)</f>
        <v>#REF!</v>
      </c>
      <c r="AG1889" t="e">
        <f>IF(#REF!&gt;=10,"High Risk", IF(#REF!&gt;=5,"Medium Risk","Low Risk"))</f>
        <v>#REF!</v>
      </c>
      <c r="AH1889" t="e">
        <f>#REF! + #REF! + #REF! + #REF!</f>
        <v>#REF!</v>
      </c>
    </row>
    <row r="1890" spans="1:34" x14ac:dyDescent="0.35">
      <c r="A1890">
        <v>1889</v>
      </c>
      <c r="B1890" t="s">
        <v>47</v>
      </c>
      <c r="C1890">
        <v>97</v>
      </c>
      <c r="D1890" t="s">
        <v>21</v>
      </c>
      <c r="E1890" t="s">
        <v>22</v>
      </c>
      <c r="F1890" t="s">
        <v>23</v>
      </c>
      <c r="G1890">
        <v>24</v>
      </c>
      <c r="H1890">
        <v>176.1</v>
      </c>
      <c r="I1890">
        <v>109</v>
      </c>
      <c r="J1890">
        <v>29.94</v>
      </c>
      <c r="K1890">
        <v>159.4</v>
      </c>
      <c r="L1890">
        <v>81</v>
      </c>
      <c r="M1890">
        <v>13.55</v>
      </c>
      <c r="N1890">
        <v>269.10000000000002</v>
      </c>
      <c r="O1890">
        <v>94</v>
      </c>
      <c r="P1890">
        <v>12.11</v>
      </c>
      <c r="Q1890">
        <v>12.1</v>
      </c>
      <c r="R1890">
        <v>9</v>
      </c>
      <c r="S1890">
        <v>3.27</v>
      </c>
      <c r="T1890">
        <v>0</v>
      </c>
      <c r="U1890" t="s">
        <v>22</v>
      </c>
      <c r="V1890" t="e">
        <f>IF(#REF! = "yes", 1, 0)</f>
        <v>#REF!</v>
      </c>
      <c r="W1890" t="e">
        <f>IF(#REF! &lt;= 1, "0-1 Calls", IF(#REF! &lt;= 3, "2-3 Calls", IF(#REF! &lt;=5, "4-5 Calls", "6+ Calls")))</f>
        <v>#REF!</v>
      </c>
      <c r="X1890" t="e">
        <f>IF(#REF! &lt;= 50, "0-50", IF(#REF! &lt;=100, "51-100", IF(#REF! &lt;= 150, "101-150", "151+")))</f>
        <v>#REF!</v>
      </c>
      <c r="Y1890" t="e">
        <f>IF(#REF! &lt;= 3, "Low Charges", "High Charges")</f>
        <v>#REF!</v>
      </c>
      <c r="Z1890" t="e">
        <f>IF(#REF!&lt;=80,"Low Calls",
IF(#REF!&lt;=120,"Medium Calls","High Calls"))</f>
        <v>#REF!</v>
      </c>
      <c r="AA1890" t="e">
        <f>IF(#REF!&lt;=15,"Low Charges",
IF(#REF!&lt;=20,"Medium Charges","High Charges"))</f>
        <v>#REF!</v>
      </c>
      <c r="AB1890" t="e">
        <f>IF(AND(#REF!&gt;180, #REF!&gt;200), "Heavy Doemstic User", IF(#REF!&gt;10, "Interntional User", IF(AND(#REF!&lt;180, #REF!&lt;200,#REF!&lt;200), "Light User", "Balanced User")))</f>
        <v>#REF!</v>
      </c>
      <c r="AC1890" t="e">
        <f>IF(#REF! = 0, "No Usage", IF(#REF! &lt;= 20, "Low Usage", IF(#REF! &lt;= 40, "Medium Usgae", "High Usage")))</f>
        <v>#REF!</v>
      </c>
      <c r="AD1890" t="e">
        <f>IF(#REF!&lt;=150,"Low Usage", IF(#REF!&lt;=200,"Medium Usage", IF(#REF!&lt;=250,"High Usage","Very High Usage")))</f>
        <v>#REF!</v>
      </c>
      <c r="AE1890" t="e">
        <f>IF(#REF!&lt;=5,"Low Calls", IF(#REF!&lt;=10, "Medium Calls", "High Calls"))</f>
        <v>#REF!</v>
      </c>
      <c r="AF1890" t="e">
        <f xml:space="preserve">
IF(#REF!&gt;=4,4,0)+
IF(#REF!="yes",3,0)+
IF(#REF!="High Charges",3,0)+
IF(#REF!&gt;250,4,0)+
IF(#REF!="no",1,0)+
IF(#REF!="Heavy Domestic User",2,0)</f>
        <v>#REF!</v>
      </c>
      <c r="AG1890" t="e">
        <f>IF(#REF!&gt;=10,"High Risk", IF(#REF!&gt;=5,"Medium Risk","Low Risk"))</f>
        <v>#REF!</v>
      </c>
      <c r="AH1890" t="e">
        <f>#REF! + #REF! + #REF! + #REF!</f>
        <v>#REF!</v>
      </c>
    </row>
    <row r="1891" spans="1:34" x14ac:dyDescent="0.35">
      <c r="A1891">
        <v>1890</v>
      </c>
      <c r="B1891" t="s">
        <v>37</v>
      </c>
      <c r="C1891">
        <v>134</v>
      </c>
      <c r="D1891" t="s">
        <v>21</v>
      </c>
      <c r="E1891" t="s">
        <v>22</v>
      </c>
      <c r="F1891" t="s">
        <v>22</v>
      </c>
      <c r="G1891">
        <v>0</v>
      </c>
      <c r="H1891">
        <v>204.7</v>
      </c>
      <c r="I1891">
        <v>108</v>
      </c>
      <c r="J1891">
        <v>34.799999999999997</v>
      </c>
      <c r="K1891">
        <v>143.1</v>
      </c>
      <c r="L1891">
        <v>105</v>
      </c>
      <c r="M1891">
        <v>12.16</v>
      </c>
      <c r="N1891">
        <v>165.8</v>
      </c>
      <c r="O1891">
        <v>84</v>
      </c>
      <c r="P1891">
        <v>7.46</v>
      </c>
      <c r="Q1891">
        <v>11</v>
      </c>
      <c r="R1891">
        <v>4</v>
      </c>
      <c r="S1891">
        <v>2.97</v>
      </c>
      <c r="T1891">
        <v>6</v>
      </c>
      <c r="U1891" t="s">
        <v>22</v>
      </c>
      <c r="V1891" t="e">
        <f>IF(#REF! = "yes", 1, 0)</f>
        <v>#REF!</v>
      </c>
      <c r="W1891" t="e">
        <f>IF(#REF! &lt;= 1, "0-1 Calls", IF(#REF! &lt;= 3, "2-3 Calls", IF(#REF! &lt;=5, "4-5 Calls", "6+ Calls")))</f>
        <v>#REF!</v>
      </c>
      <c r="X1891" t="e">
        <f>IF(#REF! &lt;= 50, "0-50", IF(#REF! &lt;=100, "51-100", IF(#REF! &lt;= 150, "101-150", "151+")))</f>
        <v>#REF!</v>
      </c>
      <c r="Y1891" t="e">
        <f>IF(#REF! &lt;= 3, "Low Charges", "High Charges")</f>
        <v>#REF!</v>
      </c>
      <c r="Z1891" t="e">
        <f>IF(#REF!&lt;=80,"Low Calls",
IF(#REF!&lt;=120,"Medium Calls","High Calls"))</f>
        <v>#REF!</v>
      </c>
      <c r="AA1891" t="e">
        <f>IF(#REF!&lt;=15,"Low Charges",
IF(#REF!&lt;=20,"Medium Charges","High Charges"))</f>
        <v>#REF!</v>
      </c>
      <c r="AB1891" t="e">
        <f>IF(AND(#REF!&gt;180, #REF!&gt;200), "Heavy Doemstic User", IF(#REF!&gt;10, "Interntional User", IF(AND(#REF!&lt;180, #REF!&lt;200,#REF!&lt;200), "Light User", "Balanced User")))</f>
        <v>#REF!</v>
      </c>
      <c r="AC1891" t="e">
        <f>IF(#REF! = 0, "No Usage", IF(#REF! &lt;= 20, "Low Usage", IF(#REF! &lt;= 40, "Medium Usgae", "High Usage")))</f>
        <v>#REF!</v>
      </c>
      <c r="AD1891" t="e">
        <f>IF(#REF!&lt;=150,"Low Usage", IF(#REF!&lt;=200,"Medium Usage", IF(#REF!&lt;=250,"High Usage","Very High Usage")))</f>
        <v>#REF!</v>
      </c>
      <c r="AE1891" t="e">
        <f>IF(#REF!&lt;=5,"Low Calls", IF(#REF!&lt;=10, "Medium Calls", "High Calls"))</f>
        <v>#REF!</v>
      </c>
      <c r="AF1891" t="e">
        <f xml:space="preserve">
IF(#REF!&gt;=4,4,0)+
IF(#REF!="yes",3,0)+
IF(#REF!="High Charges",3,0)+
IF(#REF!&gt;250,4,0)+
IF(#REF!="no",1,0)+
IF(#REF!="Heavy Domestic User",2,0)</f>
        <v>#REF!</v>
      </c>
      <c r="AG1891" t="e">
        <f>IF(#REF!&gt;=10,"High Risk", IF(#REF!&gt;=5,"Medium Risk","Low Risk"))</f>
        <v>#REF!</v>
      </c>
      <c r="AH1891" t="e">
        <f>#REF! + #REF! + #REF! + #REF!</f>
        <v>#REF!</v>
      </c>
    </row>
    <row r="1892" spans="1:34" x14ac:dyDescent="0.35">
      <c r="A1892">
        <v>1891</v>
      </c>
      <c r="B1892" t="s">
        <v>20</v>
      </c>
      <c r="C1892">
        <v>68</v>
      </c>
      <c r="D1892" t="s">
        <v>28</v>
      </c>
      <c r="E1892" t="s">
        <v>22</v>
      </c>
      <c r="F1892" t="s">
        <v>22</v>
      </c>
      <c r="G1892">
        <v>0</v>
      </c>
      <c r="H1892">
        <v>143.6</v>
      </c>
      <c r="I1892">
        <v>80</v>
      </c>
      <c r="J1892">
        <v>24.41</v>
      </c>
      <c r="K1892">
        <v>134.30000000000001</v>
      </c>
      <c r="L1892">
        <v>65</v>
      </c>
      <c r="M1892">
        <v>11.42</v>
      </c>
      <c r="N1892">
        <v>215.6</v>
      </c>
      <c r="O1892">
        <v>84</v>
      </c>
      <c r="P1892">
        <v>9.6999999999999993</v>
      </c>
      <c r="Q1892">
        <v>15.5</v>
      </c>
      <c r="R1892">
        <v>5</v>
      </c>
      <c r="S1892">
        <v>4.1900000000000004</v>
      </c>
      <c r="T1892">
        <v>2</v>
      </c>
      <c r="U1892" t="s">
        <v>22</v>
      </c>
      <c r="V1892" t="e">
        <f>IF(#REF! = "yes", 1, 0)</f>
        <v>#REF!</v>
      </c>
      <c r="W1892" t="e">
        <f>IF(#REF! &lt;= 1, "0-1 Calls", IF(#REF! &lt;= 3, "2-3 Calls", IF(#REF! &lt;=5, "4-5 Calls", "6+ Calls")))</f>
        <v>#REF!</v>
      </c>
      <c r="X1892" t="e">
        <f>IF(#REF! &lt;= 50, "0-50", IF(#REF! &lt;=100, "51-100", IF(#REF! &lt;= 150, "101-150", "151+")))</f>
        <v>#REF!</v>
      </c>
      <c r="Y1892" t="e">
        <f>IF(#REF! &lt;= 3, "Low Charges", "High Charges")</f>
        <v>#REF!</v>
      </c>
      <c r="Z1892" t="e">
        <f>IF(#REF!&lt;=80,"Low Calls",
IF(#REF!&lt;=120,"Medium Calls","High Calls"))</f>
        <v>#REF!</v>
      </c>
      <c r="AA1892" t="e">
        <f>IF(#REF!&lt;=15,"Low Charges",
IF(#REF!&lt;=20,"Medium Charges","High Charges"))</f>
        <v>#REF!</v>
      </c>
      <c r="AB1892" t="e">
        <f>IF(AND(#REF!&gt;180, #REF!&gt;200), "Heavy Doemstic User", IF(#REF!&gt;10, "Interntional User", IF(AND(#REF!&lt;180, #REF!&lt;200,#REF!&lt;200), "Light User", "Balanced User")))</f>
        <v>#REF!</v>
      </c>
      <c r="AC1892" t="e">
        <f>IF(#REF! = 0, "No Usage", IF(#REF! &lt;= 20, "Low Usage", IF(#REF! &lt;= 40, "Medium Usgae", "High Usage")))</f>
        <v>#REF!</v>
      </c>
      <c r="AD1892" t="e">
        <f>IF(#REF!&lt;=150,"Low Usage", IF(#REF!&lt;=200,"Medium Usage", IF(#REF!&lt;=250,"High Usage","Very High Usage")))</f>
        <v>#REF!</v>
      </c>
      <c r="AE1892" t="e">
        <f>IF(#REF!&lt;=5,"Low Calls", IF(#REF!&lt;=10, "Medium Calls", "High Calls"))</f>
        <v>#REF!</v>
      </c>
      <c r="AF1892" t="e">
        <f xml:space="preserve">
IF(#REF!&gt;=4,4,0)+
IF(#REF!="yes",3,0)+
IF(#REF!="High Charges",3,0)+
IF(#REF!&gt;250,4,0)+
IF(#REF!="no",1,0)+
IF(#REF!="Heavy Domestic User",2,0)</f>
        <v>#REF!</v>
      </c>
      <c r="AG1892" t="e">
        <f>IF(#REF!&gt;=10,"High Risk", IF(#REF!&gt;=5,"Medium Risk","Low Risk"))</f>
        <v>#REF!</v>
      </c>
      <c r="AH1892" t="e">
        <f>#REF! + #REF! + #REF! + #REF!</f>
        <v>#REF!</v>
      </c>
    </row>
    <row r="1893" spans="1:34" x14ac:dyDescent="0.35">
      <c r="A1893">
        <v>1892</v>
      </c>
      <c r="B1893" t="s">
        <v>46</v>
      </c>
      <c r="C1893">
        <v>93</v>
      </c>
      <c r="D1893" t="s">
        <v>25</v>
      </c>
      <c r="E1893" t="s">
        <v>22</v>
      </c>
      <c r="F1893" t="s">
        <v>22</v>
      </c>
      <c r="G1893">
        <v>0</v>
      </c>
      <c r="H1893">
        <v>179.3</v>
      </c>
      <c r="I1893">
        <v>93</v>
      </c>
      <c r="J1893">
        <v>30.48</v>
      </c>
      <c r="K1893">
        <v>188.8</v>
      </c>
      <c r="L1893">
        <v>65</v>
      </c>
      <c r="M1893">
        <v>16.05</v>
      </c>
      <c r="N1893">
        <v>253.2</v>
      </c>
      <c r="O1893">
        <v>88</v>
      </c>
      <c r="P1893">
        <v>11.39</v>
      </c>
      <c r="Q1893">
        <v>12.1</v>
      </c>
      <c r="R1893">
        <v>5</v>
      </c>
      <c r="S1893">
        <v>3.27</v>
      </c>
      <c r="T1893">
        <v>1</v>
      </c>
      <c r="U1893" t="s">
        <v>22</v>
      </c>
      <c r="V1893" t="e">
        <f>IF(#REF! = "yes", 1, 0)</f>
        <v>#REF!</v>
      </c>
      <c r="W1893" t="e">
        <f>IF(#REF! &lt;= 1, "0-1 Calls", IF(#REF! &lt;= 3, "2-3 Calls", IF(#REF! &lt;=5, "4-5 Calls", "6+ Calls")))</f>
        <v>#REF!</v>
      </c>
      <c r="X1893" t="e">
        <f>IF(#REF! &lt;= 50, "0-50", IF(#REF! &lt;=100, "51-100", IF(#REF! &lt;= 150, "101-150", "151+")))</f>
        <v>#REF!</v>
      </c>
      <c r="Y1893" t="e">
        <f>IF(#REF! &lt;= 3, "Low Charges", "High Charges")</f>
        <v>#REF!</v>
      </c>
      <c r="Z1893" t="e">
        <f>IF(#REF!&lt;=80,"Low Calls",
IF(#REF!&lt;=120,"Medium Calls","High Calls"))</f>
        <v>#REF!</v>
      </c>
      <c r="AA1893" t="e">
        <f>IF(#REF!&lt;=15,"Low Charges",
IF(#REF!&lt;=20,"Medium Charges","High Charges"))</f>
        <v>#REF!</v>
      </c>
      <c r="AB1893" t="e">
        <f>IF(AND(#REF!&gt;180, #REF!&gt;200), "Heavy Doemstic User", IF(#REF!&gt;10, "Interntional User", IF(AND(#REF!&lt;180, #REF!&lt;200,#REF!&lt;200), "Light User", "Balanced User")))</f>
        <v>#REF!</v>
      </c>
      <c r="AC1893" t="e">
        <f>IF(#REF! = 0, "No Usage", IF(#REF! &lt;= 20, "Low Usage", IF(#REF! &lt;= 40, "Medium Usgae", "High Usage")))</f>
        <v>#REF!</v>
      </c>
      <c r="AD1893" t="e">
        <f>IF(#REF!&lt;=150,"Low Usage", IF(#REF!&lt;=200,"Medium Usage", IF(#REF!&lt;=250,"High Usage","Very High Usage")))</f>
        <v>#REF!</v>
      </c>
      <c r="AE1893" t="e">
        <f>IF(#REF!&lt;=5,"Low Calls", IF(#REF!&lt;=10, "Medium Calls", "High Calls"))</f>
        <v>#REF!</v>
      </c>
      <c r="AF1893" t="e">
        <f xml:space="preserve">
IF(#REF!&gt;=4,4,0)+
IF(#REF!="yes",3,0)+
IF(#REF!="High Charges",3,0)+
IF(#REF!&gt;250,4,0)+
IF(#REF!="no",1,0)+
IF(#REF!="Heavy Domestic User",2,0)</f>
        <v>#REF!</v>
      </c>
      <c r="AG1893" t="e">
        <f>IF(#REF!&gt;=10,"High Risk", IF(#REF!&gt;=5,"Medium Risk","Low Risk"))</f>
        <v>#REF!</v>
      </c>
      <c r="AH1893" t="e">
        <f>#REF! + #REF! + #REF! + #REF!</f>
        <v>#REF!</v>
      </c>
    </row>
    <row r="1894" spans="1:34" x14ac:dyDescent="0.35">
      <c r="A1894">
        <v>1893</v>
      </c>
      <c r="B1894" t="s">
        <v>27</v>
      </c>
      <c r="C1894">
        <v>120</v>
      </c>
      <c r="D1894" t="s">
        <v>21</v>
      </c>
      <c r="E1894" t="s">
        <v>22</v>
      </c>
      <c r="F1894" t="s">
        <v>22</v>
      </c>
      <c r="G1894">
        <v>0</v>
      </c>
      <c r="H1894">
        <v>137.30000000000001</v>
      </c>
      <c r="I1894">
        <v>100</v>
      </c>
      <c r="J1894">
        <v>23.34</v>
      </c>
      <c r="K1894">
        <v>212.2</v>
      </c>
      <c r="L1894">
        <v>129</v>
      </c>
      <c r="M1894">
        <v>18.04</v>
      </c>
      <c r="N1894">
        <v>152.69999999999999</v>
      </c>
      <c r="O1894">
        <v>92</v>
      </c>
      <c r="P1894">
        <v>6.87</v>
      </c>
      <c r="Q1894">
        <v>10.5</v>
      </c>
      <c r="R1894">
        <v>2</v>
      </c>
      <c r="S1894">
        <v>2.84</v>
      </c>
      <c r="T1894">
        <v>1</v>
      </c>
      <c r="U1894" t="s">
        <v>22</v>
      </c>
      <c r="V1894" t="e">
        <f>IF(#REF! = "yes", 1, 0)</f>
        <v>#REF!</v>
      </c>
      <c r="W1894" t="e">
        <f>IF(#REF! &lt;= 1, "0-1 Calls", IF(#REF! &lt;= 3, "2-3 Calls", IF(#REF! &lt;=5, "4-5 Calls", "6+ Calls")))</f>
        <v>#REF!</v>
      </c>
      <c r="X1894" t="e">
        <f>IF(#REF! &lt;= 50, "0-50", IF(#REF! &lt;=100, "51-100", IF(#REF! &lt;= 150, "101-150", "151+")))</f>
        <v>#REF!</v>
      </c>
      <c r="Y1894" t="e">
        <f>IF(#REF! &lt;= 3, "Low Charges", "High Charges")</f>
        <v>#REF!</v>
      </c>
      <c r="Z1894" t="e">
        <f>IF(#REF!&lt;=80,"Low Calls",
IF(#REF!&lt;=120,"Medium Calls","High Calls"))</f>
        <v>#REF!</v>
      </c>
      <c r="AA1894" t="e">
        <f>IF(#REF!&lt;=15,"Low Charges",
IF(#REF!&lt;=20,"Medium Charges","High Charges"))</f>
        <v>#REF!</v>
      </c>
      <c r="AB1894" t="e">
        <f>IF(AND(#REF!&gt;180, #REF!&gt;200), "Heavy Doemstic User", IF(#REF!&gt;10, "Interntional User", IF(AND(#REF!&lt;180, #REF!&lt;200,#REF!&lt;200), "Light User", "Balanced User")))</f>
        <v>#REF!</v>
      </c>
      <c r="AC1894" t="e">
        <f>IF(#REF! = 0, "No Usage", IF(#REF! &lt;= 20, "Low Usage", IF(#REF! &lt;= 40, "Medium Usgae", "High Usage")))</f>
        <v>#REF!</v>
      </c>
      <c r="AD1894" t="e">
        <f>IF(#REF!&lt;=150,"Low Usage", IF(#REF!&lt;=200,"Medium Usage", IF(#REF!&lt;=250,"High Usage","Very High Usage")))</f>
        <v>#REF!</v>
      </c>
      <c r="AE1894" t="e">
        <f>IF(#REF!&lt;=5,"Low Calls", IF(#REF!&lt;=10, "Medium Calls", "High Calls"))</f>
        <v>#REF!</v>
      </c>
      <c r="AF1894" t="e">
        <f xml:space="preserve">
IF(#REF!&gt;=4,4,0)+
IF(#REF!="yes",3,0)+
IF(#REF!="High Charges",3,0)+
IF(#REF!&gt;250,4,0)+
IF(#REF!="no",1,0)+
IF(#REF!="Heavy Domestic User",2,0)</f>
        <v>#REF!</v>
      </c>
      <c r="AG1894" t="e">
        <f>IF(#REF!&gt;=10,"High Risk", IF(#REF!&gt;=5,"Medium Risk","Low Risk"))</f>
        <v>#REF!</v>
      </c>
      <c r="AH1894" t="e">
        <f>#REF! + #REF! + #REF! + #REF!</f>
        <v>#REF!</v>
      </c>
    </row>
    <row r="1895" spans="1:34" x14ac:dyDescent="0.35">
      <c r="A1895">
        <v>1894</v>
      </c>
      <c r="B1895" t="s">
        <v>43</v>
      </c>
      <c r="C1895">
        <v>41</v>
      </c>
      <c r="D1895" t="s">
        <v>25</v>
      </c>
      <c r="E1895" t="s">
        <v>22</v>
      </c>
      <c r="F1895" t="s">
        <v>22</v>
      </c>
      <c r="G1895">
        <v>0</v>
      </c>
      <c r="H1895">
        <v>237.8</v>
      </c>
      <c r="I1895">
        <v>92</v>
      </c>
      <c r="J1895">
        <v>40.43</v>
      </c>
      <c r="K1895">
        <v>223.5</v>
      </c>
      <c r="L1895">
        <v>155</v>
      </c>
      <c r="M1895">
        <v>19</v>
      </c>
      <c r="N1895">
        <v>217.4</v>
      </c>
      <c r="O1895">
        <v>90</v>
      </c>
      <c r="P1895">
        <v>9.7799999999999994</v>
      </c>
      <c r="Q1895">
        <v>10.199999999999999</v>
      </c>
      <c r="R1895">
        <v>6</v>
      </c>
      <c r="S1895">
        <v>2.75</v>
      </c>
      <c r="T1895">
        <v>2</v>
      </c>
      <c r="U1895" t="s">
        <v>22</v>
      </c>
      <c r="V1895" t="e">
        <f>IF(#REF! = "yes", 1, 0)</f>
        <v>#REF!</v>
      </c>
      <c r="W1895" t="e">
        <f>IF(#REF! &lt;= 1, "0-1 Calls", IF(#REF! &lt;= 3, "2-3 Calls", IF(#REF! &lt;=5, "4-5 Calls", "6+ Calls")))</f>
        <v>#REF!</v>
      </c>
      <c r="X1895" t="e">
        <f>IF(#REF! &lt;= 50, "0-50", IF(#REF! &lt;=100, "51-100", IF(#REF! &lt;= 150, "101-150", "151+")))</f>
        <v>#REF!</v>
      </c>
      <c r="Y1895" t="e">
        <f>IF(#REF! &lt;= 3, "Low Charges", "High Charges")</f>
        <v>#REF!</v>
      </c>
      <c r="Z1895" t="e">
        <f>IF(#REF!&lt;=80,"Low Calls",
IF(#REF!&lt;=120,"Medium Calls","High Calls"))</f>
        <v>#REF!</v>
      </c>
      <c r="AA1895" t="e">
        <f>IF(#REF!&lt;=15,"Low Charges",
IF(#REF!&lt;=20,"Medium Charges","High Charges"))</f>
        <v>#REF!</v>
      </c>
      <c r="AB1895" t="e">
        <f>IF(AND(#REF!&gt;180, #REF!&gt;200), "Heavy Doemstic User", IF(#REF!&gt;10, "Interntional User", IF(AND(#REF!&lt;180, #REF!&lt;200,#REF!&lt;200), "Light User", "Balanced User")))</f>
        <v>#REF!</v>
      </c>
      <c r="AC1895" t="e">
        <f>IF(#REF! = 0, "No Usage", IF(#REF! &lt;= 20, "Low Usage", IF(#REF! &lt;= 40, "Medium Usgae", "High Usage")))</f>
        <v>#REF!</v>
      </c>
      <c r="AD1895" t="e">
        <f>IF(#REF!&lt;=150,"Low Usage", IF(#REF!&lt;=200,"Medium Usage", IF(#REF!&lt;=250,"High Usage","Very High Usage")))</f>
        <v>#REF!</v>
      </c>
      <c r="AE1895" t="e">
        <f>IF(#REF!&lt;=5,"Low Calls", IF(#REF!&lt;=10, "Medium Calls", "High Calls"))</f>
        <v>#REF!</v>
      </c>
      <c r="AF1895" t="e">
        <f xml:space="preserve">
IF(#REF!&gt;=4,4,0)+
IF(#REF!="yes",3,0)+
IF(#REF!="High Charges",3,0)+
IF(#REF!&gt;250,4,0)+
IF(#REF!="no",1,0)+
IF(#REF!="Heavy Domestic User",2,0)</f>
        <v>#REF!</v>
      </c>
      <c r="AG1895" t="e">
        <f>IF(#REF!&gt;=10,"High Risk", IF(#REF!&gt;=5,"Medium Risk","Low Risk"))</f>
        <v>#REF!</v>
      </c>
      <c r="AH1895" t="e">
        <f>#REF! + #REF! + #REF! + #REF!</f>
        <v>#REF!</v>
      </c>
    </row>
    <row r="1896" spans="1:34" x14ac:dyDescent="0.35">
      <c r="A1896">
        <v>1895</v>
      </c>
      <c r="B1896" t="s">
        <v>52</v>
      </c>
      <c r="C1896">
        <v>80</v>
      </c>
      <c r="D1896" t="s">
        <v>28</v>
      </c>
      <c r="E1896" t="s">
        <v>22</v>
      </c>
      <c r="F1896" t="s">
        <v>22</v>
      </c>
      <c r="G1896">
        <v>0</v>
      </c>
      <c r="H1896">
        <v>203.7</v>
      </c>
      <c r="I1896">
        <v>92</v>
      </c>
      <c r="J1896">
        <v>34.630000000000003</v>
      </c>
      <c r="K1896">
        <v>216.4</v>
      </c>
      <c r="L1896">
        <v>97</v>
      </c>
      <c r="M1896">
        <v>18.39</v>
      </c>
      <c r="N1896">
        <v>154.19999999999999</v>
      </c>
      <c r="O1896">
        <v>66</v>
      </c>
      <c r="P1896">
        <v>6.94</v>
      </c>
      <c r="Q1896">
        <v>7.6</v>
      </c>
      <c r="R1896">
        <v>5</v>
      </c>
      <c r="S1896">
        <v>2.0499999999999998</v>
      </c>
      <c r="T1896">
        <v>2</v>
      </c>
      <c r="U1896" t="s">
        <v>22</v>
      </c>
      <c r="V1896" t="e">
        <f>IF(#REF! = "yes", 1, 0)</f>
        <v>#REF!</v>
      </c>
      <c r="W1896" t="e">
        <f>IF(#REF! &lt;= 1, "0-1 Calls", IF(#REF! &lt;= 3, "2-3 Calls", IF(#REF! &lt;=5, "4-5 Calls", "6+ Calls")))</f>
        <v>#REF!</v>
      </c>
      <c r="X1896" t="e">
        <f>IF(#REF! &lt;= 50, "0-50", IF(#REF! &lt;=100, "51-100", IF(#REF! &lt;= 150, "101-150", "151+")))</f>
        <v>#REF!</v>
      </c>
      <c r="Y1896" t="e">
        <f>IF(#REF! &lt;= 3, "Low Charges", "High Charges")</f>
        <v>#REF!</v>
      </c>
      <c r="Z1896" t="e">
        <f>IF(#REF!&lt;=80,"Low Calls",
IF(#REF!&lt;=120,"Medium Calls","High Calls"))</f>
        <v>#REF!</v>
      </c>
      <c r="AA1896" t="e">
        <f>IF(#REF!&lt;=15,"Low Charges",
IF(#REF!&lt;=20,"Medium Charges","High Charges"))</f>
        <v>#REF!</v>
      </c>
      <c r="AB1896" t="e">
        <f>IF(AND(#REF!&gt;180, #REF!&gt;200), "Heavy Doemstic User", IF(#REF!&gt;10, "Interntional User", IF(AND(#REF!&lt;180, #REF!&lt;200,#REF!&lt;200), "Light User", "Balanced User")))</f>
        <v>#REF!</v>
      </c>
      <c r="AC1896" t="e">
        <f>IF(#REF! = 0, "No Usage", IF(#REF! &lt;= 20, "Low Usage", IF(#REF! &lt;= 40, "Medium Usgae", "High Usage")))</f>
        <v>#REF!</v>
      </c>
      <c r="AD1896" t="e">
        <f>IF(#REF!&lt;=150,"Low Usage", IF(#REF!&lt;=200,"Medium Usage", IF(#REF!&lt;=250,"High Usage","Very High Usage")))</f>
        <v>#REF!</v>
      </c>
      <c r="AE1896" t="e">
        <f>IF(#REF!&lt;=5,"Low Calls", IF(#REF!&lt;=10, "Medium Calls", "High Calls"))</f>
        <v>#REF!</v>
      </c>
      <c r="AF1896" t="e">
        <f xml:space="preserve">
IF(#REF!&gt;=4,4,0)+
IF(#REF!="yes",3,0)+
IF(#REF!="High Charges",3,0)+
IF(#REF!&gt;250,4,0)+
IF(#REF!="no",1,0)+
IF(#REF!="Heavy Domestic User",2,0)</f>
        <v>#REF!</v>
      </c>
      <c r="AG1896" t="e">
        <f>IF(#REF!&gt;=10,"High Risk", IF(#REF!&gt;=5,"Medium Risk","Low Risk"))</f>
        <v>#REF!</v>
      </c>
      <c r="AH1896" t="e">
        <f>#REF! + #REF! + #REF! + #REF!</f>
        <v>#REF!</v>
      </c>
    </row>
    <row r="1897" spans="1:34" x14ac:dyDescent="0.35">
      <c r="A1897">
        <v>1896</v>
      </c>
      <c r="B1897" t="s">
        <v>20</v>
      </c>
      <c r="C1897">
        <v>83</v>
      </c>
      <c r="D1897" t="s">
        <v>21</v>
      </c>
      <c r="E1897" t="s">
        <v>22</v>
      </c>
      <c r="F1897" t="s">
        <v>23</v>
      </c>
      <c r="G1897">
        <v>25</v>
      </c>
      <c r="H1897">
        <v>191.3</v>
      </c>
      <c r="I1897">
        <v>95</v>
      </c>
      <c r="J1897">
        <v>32.520000000000003</v>
      </c>
      <c r="K1897">
        <v>250.7</v>
      </c>
      <c r="L1897">
        <v>136</v>
      </c>
      <c r="M1897">
        <v>21.31</v>
      </c>
      <c r="N1897">
        <v>249.4</v>
      </c>
      <c r="O1897">
        <v>86</v>
      </c>
      <c r="P1897">
        <v>11.22</v>
      </c>
      <c r="Q1897">
        <v>17.600000000000001</v>
      </c>
      <c r="R1897">
        <v>5</v>
      </c>
      <c r="S1897">
        <v>4.75</v>
      </c>
      <c r="T1897">
        <v>2</v>
      </c>
      <c r="U1897" t="s">
        <v>22</v>
      </c>
      <c r="V1897" t="e">
        <f>IF(#REF! = "yes", 1, 0)</f>
        <v>#REF!</v>
      </c>
      <c r="W1897" t="e">
        <f>IF(#REF! &lt;= 1, "0-1 Calls", IF(#REF! &lt;= 3, "2-3 Calls", IF(#REF! &lt;=5, "4-5 Calls", "6+ Calls")))</f>
        <v>#REF!</v>
      </c>
      <c r="X1897" t="e">
        <f>IF(#REF! &lt;= 50, "0-50", IF(#REF! &lt;=100, "51-100", IF(#REF! &lt;= 150, "101-150", "151+")))</f>
        <v>#REF!</v>
      </c>
      <c r="Y1897" t="e">
        <f>IF(#REF! &lt;= 3, "Low Charges", "High Charges")</f>
        <v>#REF!</v>
      </c>
      <c r="Z1897" t="e">
        <f>IF(#REF!&lt;=80,"Low Calls",
IF(#REF!&lt;=120,"Medium Calls","High Calls"))</f>
        <v>#REF!</v>
      </c>
      <c r="AA1897" t="e">
        <f>IF(#REF!&lt;=15,"Low Charges",
IF(#REF!&lt;=20,"Medium Charges","High Charges"))</f>
        <v>#REF!</v>
      </c>
      <c r="AB1897" t="e">
        <f>IF(AND(#REF!&gt;180, #REF!&gt;200), "Heavy Doemstic User", IF(#REF!&gt;10, "Interntional User", IF(AND(#REF!&lt;180, #REF!&lt;200,#REF!&lt;200), "Light User", "Balanced User")))</f>
        <v>#REF!</v>
      </c>
      <c r="AC1897" t="e">
        <f>IF(#REF! = 0, "No Usage", IF(#REF! &lt;= 20, "Low Usage", IF(#REF! &lt;= 40, "Medium Usgae", "High Usage")))</f>
        <v>#REF!</v>
      </c>
      <c r="AD1897" t="e">
        <f>IF(#REF!&lt;=150,"Low Usage", IF(#REF!&lt;=200,"Medium Usage", IF(#REF!&lt;=250,"High Usage","Very High Usage")))</f>
        <v>#REF!</v>
      </c>
      <c r="AE1897" t="e">
        <f>IF(#REF!&lt;=5,"Low Calls", IF(#REF!&lt;=10, "Medium Calls", "High Calls"))</f>
        <v>#REF!</v>
      </c>
      <c r="AF1897" t="e">
        <f xml:space="preserve">
IF(#REF!&gt;=4,4,0)+
IF(#REF!="yes",3,0)+
IF(#REF!="High Charges",3,0)+
IF(#REF!&gt;250,4,0)+
IF(#REF!="no",1,0)+
IF(#REF!="Heavy Domestic User",2,0)</f>
        <v>#REF!</v>
      </c>
      <c r="AG1897" t="e">
        <f>IF(#REF!&gt;=10,"High Risk", IF(#REF!&gt;=5,"Medium Risk","Low Risk"))</f>
        <v>#REF!</v>
      </c>
      <c r="AH1897" t="e">
        <f>#REF! + #REF! + #REF! + #REF!</f>
        <v>#REF!</v>
      </c>
    </row>
    <row r="1898" spans="1:34" x14ac:dyDescent="0.35">
      <c r="A1898">
        <v>1897</v>
      </c>
      <c r="B1898" t="s">
        <v>58</v>
      </c>
      <c r="C1898">
        <v>109</v>
      </c>
      <c r="D1898" t="s">
        <v>28</v>
      </c>
      <c r="E1898" t="s">
        <v>23</v>
      </c>
      <c r="F1898" t="s">
        <v>22</v>
      </c>
      <c r="G1898">
        <v>0</v>
      </c>
      <c r="H1898">
        <v>209.1</v>
      </c>
      <c r="I1898">
        <v>141</v>
      </c>
      <c r="J1898">
        <v>35.549999999999997</v>
      </c>
      <c r="K1898">
        <v>205</v>
      </c>
      <c r="L1898">
        <v>93</v>
      </c>
      <c r="M1898">
        <v>17.43</v>
      </c>
      <c r="N1898">
        <v>119.4</v>
      </c>
      <c r="O1898">
        <v>111</v>
      </c>
      <c r="P1898">
        <v>5.37</v>
      </c>
      <c r="Q1898">
        <v>7.8</v>
      </c>
      <c r="R1898">
        <v>3</v>
      </c>
      <c r="S1898">
        <v>2.11</v>
      </c>
      <c r="T1898">
        <v>2</v>
      </c>
      <c r="U1898" t="s">
        <v>22</v>
      </c>
      <c r="V1898" t="e">
        <f>IF(#REF! = "yes", 1, 0)</f>
        <v>#REF!</v>
      </c>
      <c r="W1898" t="e">
        <f>IF(#REF! &lt;= 1, "0-1 Calls", IF(#REF! &lt;= 3, "2-3 Calls", IF(#REF! &lt;=5, "4-5 Calls", "6+ Calls")))</f>
        <v>#REF!</v>
      </c>
      <c r="X1898" t="e">
        <f>IF(#REF! &lt;= 50, "0-50", IF(#REF! &lt;=100, "51-100", IF(#REF! &lt;= 150, "101-150", "151+")))</f>
        <v>#REF!</v>
      </c>
      <c r="Y1898" t="e">
        <f>IF(#REF! &lt;= 3, "Low Charges", "High Charges")</f>
        <v>#REF!</v>
      </c>
      <c r="Z1898" t="e">
        <f>IF(#REF!&lt;=80,"Low Calls",
IF(#REF!&lt;=120,"Medium Calls","High Calls"))</f>
        <v>#REF!</v>
      </c>
      <c r="AA1898" t="e">
        <f>IF(#REF!&lt;=15,"Low Charges",
IF(#REF!&lt;=20,"Medium Charges","High Charges"))</f>
        <v>#REF!</v>
      </c>
      <c r="AB1898" t="e">
        <f>IF(AND(#REF!&gt;180, #REF!&gt;200), "Heavy Doemstic User", IF(#REF!&gt;10, "Interntional User", IF(AND(#REF!&lt;180, #REF!&lt;200,#REF!&lt;200), "Light User", "Balanced User")))</f>
        <v>#REF!</v>
      </c>
      <c r="AC1898" t="e">
        <f>IF(#REF! = 0, "No Usage", IF(#REF! &lt;= 20, "Low Usage", IF(#REF! &lt;= 40, "Medium Usgae", "High Usage")))</f>
        <v>#REF!</v>
      </c>
      <c r="AD1898" t="e">
        <f>IF(#REF!&lt;=150,"Low Usage", IF(#REF!&lt;=200,"Medium Usage", IF(#REF!&lt;=250,"High Usage","Very High Usage")))</f>
        <v>#REF!</v>
      </c>
      <c r="AE1898" t="e">
        <f>IF(#REF!&lt;=5,"Low Calls", IF(#REF!&lt;=10, "Medium Calls", "High Calls"))</f>
        <v>#REF!</v>
      </c>
      <c r="AF1898" t="e">
        <f xml:space="preserve">
IF(#REF!&gt;=4,4,0)+
IF(#REF!="yes",3,0)+
IF(#REF!="High Charges",3,0)+
IF(#REF!&gt;250,4,0)+
IF(#REF!="no",1,0)+
IF(#REF!="Heavy Domestic User",2,0)</f>
        <v>#REF!</v>
      </c>
      <c r="AG1898" t="e">
        <f>IF(#REF!&gt;=10,"High Risk", IF(#REF!&gt;=5,"Medium Risk","Low Risk"))</f>
        <v>#REF!</v>
      </c>
      <c r="AH1898" t="e">
        <f>#REF! + #REF! + #REF! + #REF!</f>
        <v>#REF!</v>
      </c>
    </row>
    <row r="1899" spans="1:34" x14ac:dyDescent="0.35">
      <c r="A1899">
        <v>1898</v>
      </c>
      <c r="B1899" t="s">
        <v>65</v>
      </c>
      <c r="C1899">
        <v>66</v>
      </c>
      <c r="D1899" t="s">
        <v>28</v>
      </c>
      <c r="E1899" t="s">
        <v>22</v>
      </c>
      <c r="F1899" t="s">
        <v>23</v>
      </c>
      <c r="G1899">
        <v>33</v>
      </c>
      <c r="H1899">
        <v>88.8</v>
      </c>
      <c r="I1899">
        <v>104</v>
      </c>
      <c r="J1899">
        <v>15.1</v>
      </c>
      <c r="K1899">
        <v>109.6</v>
      </c>
      <c r="L1899">
        <v>94</v>
      </c>
      <c r="M1899">
        <v>9.32</v>
      </c>
      <c r="N1899">
        <v>172.7</v>
      </c>
      <c r="O1899">
        <v>107</v>
      </c>
      <c r="P1899">
        <v>7.77</v>
      </c>
      <c r="Q1899">
        <v>7.1</v>
      </c>
      <c r="R1899">
        <v>9</v>
      </c>
      <c r="S1899">
        <v>1.92</v>
      </c>
      <c r="T1899">
        <v>3</v>
      </c>
      <c r="U1899" t="s">
        <v>22</v>
      </c>
      <c r="V1899" t="e">
        <f>IF(#REF! = "yes", 1, 0)</f>
        <v>#REF!</v>
      </c>
      <c r="W1899" t="e">
        <f>IF(#REF! &lt;= 1, "0-1 Calls", IF(#REF! &lt;= 3, "2-3 Calls", IF(#REF! &lt;=5, "4-5 Calls", "6+ Calls")))</f>
        <v>#REF!</v>
      </c>
      <c r="X1899" t="e">
        <f>IF(#REF! &lt;= 50, "0-50", IF(#REF! &lt;=100, "51-100", IF(#REF! &lt;= 150, "101-150", "151+")))</f>
        <v>#REF!</v>
      </c>
      <c r="Y1899" t="e">
        <f>IF(#REF! &lt;= 3, "Low Charges", "High Charges")</f>
        <v>#REF!</v>
      </c>
      <c r="Z1899" t="e">
        <f>IF(#REF!&lt;=80,"Low Calls",
IF(#REF!&lt;=120,"Medium Calls","High Calls"))</f>
        <v>#REF!</v>
      </c>
      <c r="AA1899" t="e">
        <f>IF(#REF!&lt;=15,"Low Charges",
IF(#REF!&lt;=20,"Medium Charges","High Charges"))</f>
        <v>#REF!</v>
      </c>
      <c r="AB1899" t="e">
        <f>IF(AND(#REF!&gt;180, #REF!&gt;200), "Heavy Doemstic User", IF(#REF!&gt;10, "Interntional User", IF(AND(#REF!&lt;180, #REF!&lt;200,#REF!&lt;200), "Light User", "Balanced User")))</f>
        <v>#REF!</v>
      </c>
      <c r="AC1899" t="e">
        <f>IF(#REF! = 0, "No Usage", IF(#REF! &lt;= 20, "Low Usage", IF(#REF! &lt;= 40, "Medium Usgae", "High Usage")))</f>
        <v>#REF!</v>
      </c>
      <c r="AD1899" t="e">
        <f>IF(#REF!&lt;=150,"Low Usage", IF(#REF!&lt;=200,"Medium Usage", IF(#REF!&lt;=250,"High Usage","Very High Usage")))</f>
        <v>#REF!</v>
      </c>
      <c r="AE1899" t="e">
        <f>IF(#REF!&lt;=5,"Low Calls", IF(#REF!&lt;=10, "Medium Calls", "High Calls"))</f>
        <v>#REF!</v>
      </c>
      <c r="AF1899" t="e">
        <f xml:space="preserve">
IF(#REF!&gt;=4,4,0)+
IF(#REF!="yes",3,0)+
IF(#REF!="High Charges",3,0)+
IF(#REF!&gt;250,4,0)+
IF(#REF!="no",1,0)+
IF(#REF!="Heavy Domestic User",2,0)</f>
        <v>#REF!</v>
      </c>
      <c r="AG1899" t="e">
        <f>IF(#REF!&gt;=10,"High Risk", IF(#REF!&gt;=5,"Medium Risk","Low Risk"))</f>
        <v>#REF!</v>
      </c>
      <c r="AH1899" t="e">
        <f>#REF! + #REF! + #REF! + #REF!</f>
        <v>#REF!</v>
      </c>
    </row>
    <row r="1900" spans="1:34" x14ac:dyDescent="0.35">
      <c r="A1900">
        <v>1899</v>
      </c>
      <c r="B1900" t="s">
        <v>37</v>
      </c>
      <c r="C1900">
        <v>104</v>
      </c>
      <c r="D1900" t="s">
        <v>28</v>
      </c>
      <c r="E1900" t="s">
        <v>22</v>
      </c>
      <c r="F1900" t="s">
        <v>22</v>
      </c>
      <c r="G1900">
        <v>0</v>
      </c>
      <c r="H1900">
        <v>97.2</v>
      </c>
      <c r="I1900">
        <v>88</v>
      </c>
      <c r="J1900">
        <v>16.52</v>
      </c>
      <c r="K1900">
        <v>155.6</v>
      </c>
      <c r="L1900">
        <v>85</v>
      </c>
      <c r="M1900">
        <v>13.23</v>
      </c>
      <c r="N1900">
        <v>261.60000000000002</v>
      </c>
      <c r="O1900">
        <v>105</v>
      </c>
      <c r="P1900">
        <v>11.77</v>
      </c>
      <c r="Q1900">
        <v>12.4</v>
      </c>
      <c r="R1900">
        <v>5</v>
      </c>
      <c r="S1900">
        <v>3.35</v>
      </c>
      <c r="T1900">
        <v>0</v>
      </c>
      <c r="U1900" t="s">
        <v>22</v>
      </c>
      <c r="V1900" t="e">
        <f>IF(#REF! = "yes", 1, 0)</f>
        <v>#REF!</v>
      </c>
      <c r="W1900" t="e">
        <f>IF(#REF! &lt;= 1, "0-1 Calls", IF(#REF! &lt;= 3, "2-3 Calls", IF(#REF! &lt;=5, "4-5 Calls", "6+ Calls")))</f>
        <v>#REF!</v>
      </c>
      <c r="X1900" t="e">
        <f>IF(#REF! &lt;= 50, "0-50", IF(#REF! &lt;=100, "51-100", IF(#REF! &lt;= 150, "101-150", "151+")))</f>
        <v>#REF!</v>
      </c>
      <c r="Y1900" t="e">
        <f>IF(#REF! &lt;= 3, "Low Charges", "High Charges")</f>
        <v>#REF!</v>
      </c>
      <c r="Z1900" t="e">
        <f>IF(#REF!&lt;=80,"Low Calls",
IF(#REF!&lt;=120,"Medium Calls","High Calls"))</f>
        <v>#REF!</v>
      </c>
      <c r="AA1900" t="e">
        <f>IF(#REF!&lt;=15,"Low Charges",
IF(#REF!&lt;=20,"Medium Charges","High Charges"))</f>
        <v>#REF!</v>
      </c>
      <c r="AB1900" t="e">
        <f>IF(AND(#REF!&gt;180, #REF!&gt;200), "Heavy Doemstic User", IF(#REF!&gt;10, "Interntional User", IF(AND(#REF!&lt;180, #REF!&lt;200,#REF!&lt;200), "Light User", "Balanced User")))</f>
        <v>#REF!</v>
      </c>
      <c r="AC1900" t="e">
        <f>IF(#REF! = 0, "No Usage", IF(#REF! &lt;= 20, "Low Usage", IF(#REF! &lt;= 40, "Medium Usgae", "High Usage")))</f>
        <v>#REF!</v>
      </c>
      <c r="AD1900" t="e">
        <f>IF(#REF!&lt;=150,"Low Usage", IF(#REF!&lt;=200,"Medium Usage", IF(#REF!&lt;=250,"High Usage","Very High Usage")))</f>
        <v>#REF!</v>
      </c>
      <c r="AE1900" t="e">
        <f>IF(#REF!&lt;=5,"Low Calls", IF(#REF!&lt;=10, "Medium Calls", "High Calls"))</f>
        <v>#REF!</v>
      </c>
      <c r="AF1900" t="e">
        <f xml:space="preserve">
IF(#REF!&gt;=4,4,0)+
IF(#REF!="yes",3,0)+
IF(#REF!="High Charges",3,0)+
IF(#REF!&gt;250,4,0)+
IF(#REF!="no",1,0)+
IF(#REF!="Heavy Domestic User",2,0)</f>
        <v>#REF!</v>
      </c>
      <c r="AG1900" t="e">
        <f>IF(#REF!&gt;=10,"High Risk", IF(#REF!&gt;=5,"Medium Risk","Low Risk"))</f>
        <v>#REF!</v>
      </c>
      <c r="AH1900" t="e">
        <f>#REF! + #REF! + #REF! + #REF!</f>
        <v>#REF!</v>
      </c>
    </row>
    <row r="1901" spans="1:34" x14ac:dyDescent="0.35">
      <c r="A1901">
        <v>1900</v>
      </c>
      <c r="B1901" t="s">
        <v>59</v>
      </c>
      <c r="C1901">
        <v>89</v>
      </c>
      <c r="D1901" t="s">
        <v>28</v>
      </c>
      <c r="E1901" t="s">
        <v>22</v>
      </c>
      <c r="F1901" t="s">
        <v>22</v>
      </c>
      <c r="G1901">
        <v>0</v>
      </c>
      <c r="H1901">
        <v>137.9</v>
      </c>
      <c r="I1901">
        <v>96</v>
      </c>
      <c r="J1901">
        <v>23.44</v>
      </c>
      <c r="K1901">
        <v>192.6</v>
      </c>
      <c r="L1901">
        <v>63</v>
      </c>
      <c r="M1901">
        <v>16.37</v>
      </c>
      <c r="N1901">
        <v>255.7</v>
      </c>
      <c r="O1901">
        <v>125</v>
      </c>
      <c r="P1901">
        <v>11.51</v>
      </c>
      <c r="Q1901">
        <v>11</v>
      </c>
      <c r="R1901">
        <v>5</v>
      </c>
      <c r="S1901">
        <v>2.97</v>
      </c>
      <c r="T1901">
        <v>1</v>
      </c>
      <c r="U1901" t="s">
        <v>22</v>
      </c>
      <c r="V1901" t="e">
        <f>IF(#REF! = "yes", 1, 0)</f>
        <v>#REF!</v>
      </c>
      <c r="W1901" t="e">
        <f>IF(#REF! &lt;= 1, "0-1 Calls", IF(#REF! &lt;= 3, "2-3 Calls", IF(#REF! &lt;=5, "4-5 Calls", "6+ Calls")))</f>
        <v>#REF!</v>
      </c>
      <c r="X1901" t="e">
        <f>IF(#REF! &lt;= 50, "0-50", IF(#REF! &lt;=100, "51-100", IF(#REF! &lt;= 150, "101-150", "151+")))</f>
        <v>#REF!</v>
      </c>
      <c r="Y1901" t="e">
        <f>IF(#REF! &lt;= 3, "Low Charges", "High Charges")</f>
        <v>#REF!</v>
      </c>
      <c r="Z1901" t="e">
        <f>IF(#REF!&lt;=80,"Low Calls",
IF(#REF!&lt;=120,"Medium Calls","High Calls"))</f>
        <v>#REF!</v>
      </c>
      <c r="AA1901" t="e">
        <f>IF(#REF!&lt;=15,"Low Charges",
IF(#REF!&lt;=20,"Medium Charges","High Charges"))</f>
        <v>#REF!</v>
      </c>
      <c r="AB1901" t="e">
        <f>IF(AND(#REF!&gt;180, #REF!&gt;200), "Heavy Doemstic User", IF(#REF!&gt;10, "Interntional User", IF(AND(#REF!&lt;180, #REF!&lt;200,#REF!&lt;200), "Light User", "Balanced User")))</f>
        <v>#REF!</v>
      </c>
      <c r="AC1901" t="e">
        <f>IF(#REF! = 0, "No Usage", IF(#REF! &lt;= 20, "Low Usage", IF(#REF! &lt;= 40, "Medium Usgae", "High Usage")))</f>
        <v>#REF!</v>
      </c>
      <c r="AD1901" t="e">
        <f>IF(#REF!&lt;=150,"Low Usage", IF(#REF!&lt;=200,"Medium Usage", IF(#REF!&lt;=250,"High Usage","Very High Usage")))</f>
        <v>#REF!</v>
      </c>
      <c r="AE1901" t="e">
        <f>IF(#REF!&lt;=5,"Low Calls", IF(#REF!&lt;=10, "Medium Calls", "High Calls"))</f>
        <v>#REF!</v>
      </c>
      <c r="AF1901" t="e">
        <f xml:space="preserve">
IF(#REF!&gt;=4,4,0)+
IF(#REF!="yes",3,0)+
IF(#REF!="High Charges",3,0)+
IF(#REF!&gt;250,4,0)+
IF(#REF!="no",1,0)+
IF(#REF!="Heavy Domestic User",2,0)</f>
        <v>#REF!</v>
      </c>
      <c r="AG1901" t="e">
        <f>IF(#REF!&gt;=10,"High Risk", IF(#REF!&gt;=5,"Medium Risk","Low Risk"))</f>
        <v>#REF!</v>
      </c>
      <c r="AH1901" t="e">
        <f>#REF! + #REF! + #REF! + #REF!</f>
        <v>#REF!</v>
      </c>
    </row>
    <row r="1902" spans="1:34" x14ac:dyDescent="0.35">
      <c r="A1902">
        <v>1901</v>
      </c>
      <c r="B1902" t="s">
        <v>31</v>
      </c>
      <c r="C1902">
        <v>127</v>
      </c>
      <c r="D1902" t="s">
        <v>28</v>
      </c>
      <c r="E1902" t="s">
        <v>22</v>
      </c>
      <c r="F1902" t="s">
        <v>22</v>
      </c>
      <c r="G1902">
        <v>0</v>
      </c>
      <c r="H1902">
        <v>224.3</v>
      </c>
      <c r="I1902">
        <v>112</v>
      </c>
      <c r="J1902">
        <v>38.130000000000003</v>
      </c>
      <c r="K1902">
        <v>185.7</v>
      </c>
      <c r="L1902">
        <v>103</v>
      </c>
      <c r="M1902">
        <v>15.78</v>
      </c>
      <c r="N1902">
        <v>159.4</v>
      </c>
      <c r="O1902">
        <v>83</v>
      </c>
      <c r="P1902">
        <v>7.17</v>
      </c>
      <c r="Q1902">
        <v>10</v>
      </c>
      <c r="R1902">
        <v>1</v>
      </c>
      <c r="S1902">
        <v>2.7</v>
      </c>
      <c r="T1902">
        <v>2</v>
      </c>
      <c r="U1902" t="s">
        <v>22</v>
      </c>
      <c r="V1902" t="e">
        <f>IF(#REF! = "yes", 1, 0)</f>
        <v>#REF!</v>
      </c>
      <c r="W1902" t="e">
        <f>IF(#REF! &lt;= 1, "0-1 Calls", IF(#REF! &lt;= 3, "2-3 Calls", IF(#REF! &lt;=5, "4-5 Calls", "6+ Calls")))</f>
        <v>#REF!</v>
      </c>
      <c r="X1902" t="e">
        <f>IF(#REF! &lt;= 50, "0-50", IF(#REF! &lt;=100, "51-100", IF(#REF! &lt;= 150, "101-150", "151+")))</f>
        <v>#REF!</v>
      </c>
      <c r="Y1902" t="e">
        <f>IF(#REF! &lt;= 3, "Low Charges", "High Charges")</f>
        <v>#REF!</v>
      </c>
      <c r="Z1902" t="e">
        <f>IF(#REF!&lt;=80,"Low Calls",
IF(#REF!&lt;=120,"Medium Calls","High Calls"))</f>
        <v>#REF!</v>
      </c>
      <c r="AA1902" t="e">
        <f>IF(#REF!&lt;=15,"Low Charges",
IF(#REF!&lt;=20,"Medium Charges","High Charges"))</f>
        <v>#REF!</v>
      </c>
      <c r="AB1902" t="e">
        <f>IF(AND(#REF!&gt;180, #REF!&gt;200), "Heavy Doemstic User", IF(#REF!&gt;10, "Interntional User", IF(AND(#REF!&lt;180, #REF!&lt;200,#REF!&lt;200), "Light User", "Balanced User")))</f>
        <v>#REF!</v>
      </c>
      <c r="AC1902" t="e">
        <f>IF(#REF! = 0, "No Usage", IF(#REF! &lt;= 20, "Low Usage", IF(#REF! &lt;= 40, "Medium Usgae", "High Usage")))</f>
        <v>#REF!</v>
      </c>
      <c r="AD1902" t="e">
        <f>IF(#REF!&lt;=150,"Low Usage", IF(#REF!&lt;=200,"Medium Usage", IF(#REF!&lt;=250,"High Usage","Very High Usage")))</f>
        <v>#REF!</v>
      </c>
      <c r="AE1902" t="e">
        <f>IF(#REF!&lt;=5,"Low Calls", IF(#REF!&lt;=10, "Medium Calls", "High Calls"))</f>
        <v>#REF!</v>
      </c>
      <c r="AF1902" t="e">
        <f xml:space="preserve">
IF(#REF!&gt;=4,4,0)+
IF(#REF!="yes",3,0)+
IF(#REF!="High Charges",3,0)+
IF(#REF!&gt;250,4,0)+
IF(#REF!="no",1,0)+
IF(#REF!="Heavy Domestic User",2,0)</f>
        <v>#REF!</v>
      </c>
      <c r="AG1902" t="e">
        <f>IF(#REF!&gt;=10,"High Risk", IF(#REF!&gt;=5,"Medium Risk","Low Risk"))</f>
        <v>#REF!</v>
      </c>
      <c r="AH1902" t="e">
        <f>#REF! + #REF! + #REF! + #REF!</f>
        <v>#REF!</v>
      </c>
    </row>
    <row r="1903" spans="1:34" x14ac:dyDescent="0.35">
      <c r="A1903">
        <v>1902</v>
      </c>
      <c r="B1903" t="s">
        <v>33</v>
      </c>
      <c r="C1903">
        <v>117</v>
      </c>
      <c r="D1903" t="s">
        <v>25</v>
      </c>
      <c r="E1903" t="s">
        <v>22</v>
      </c>
      <c r="F1903" t="s">
        <v>23</v>
      </c>
      <c r="G1903">
        <v>13</v>
      </c>
      <c r="H1903">
        <v>207.6</v>
      </c>
      <c r="I1903">
        <v>65</v>
      </c>
      <c r="J1903">
        <v>35.29</v>
      </c>
      <c r="K1903">
        <v>152.69999999999999</v>
      </c>
      <c r="L1903">
        <v>77</v>
      </c>
      <c r="M1903">
        <v>12.98</v>
      </c>
      <c r="N1903">
        <v>232.8</v>
      </c>
      <c r="O1903">
        <v>95</v>
      </c>
      <c r="P1903">
        <v>10.48</v>
      </c>
      <c r="Q1903">
        <v>9.6999999999999993</v>
      </c>
      <c r="R1903">
        <v>3</v>
      </c>
      <c r="S1903">
        <v>2.62</v>
      </c>
      <c r="T1903">
        <v>1</v>
      </c>
      <c r="U1903" t="s">
        <v>22</v>
      </c>
      <c r="V1903" t="e">
        <f>IF(#REF! = "yes", 1, 0)</f>
        <v>#REF!</v>
      </c>
      <c r="W1903" t="e">
        <f>IF(#REF! &lt;= 1, "0-1 Calls", IF(#REF! &lt;= 3, "2-3 Calls", IF(#REF! &lt;=5, "4-5 Calls", "6+ Calls")))</f>
        <v>#REF!</v>
      </c>
      <c r="X1903" t="e">
        <f>IF(#REF! &lt;= 50, "0-50", IF(#REF! &lt;=100, "51-100", IF(#REF! &lt;= 150, "101-150", "151+")))</f>
        <v>#REF!</v>
      </c>
      <c r="Y1903" t="e">
        <f>IF(#REF! &lt;= 3, "Low Charges", "High Charges")</f>
        <v>#REF!</v>
      </c>
      <c r="Z1903" t="e">
        <f>IF(#REF!&lt;=80,"Low Calls",
IF(#REF!&lt;=120,"Medium Calls","High Calls"))</f>
        <v>#REF!</v>
      </c>
      <c r="AA1903" t="e">
        <f>IF(#REF!&lt;=15,"Low Charges",
IF(#REF!&lt;=20,"Medium Charges","High Charges"))</f>
        <v>#REF!</v>
      </c>
      <c r="AB1903" t="e">
        <f>IF(AND(#REF!&gt;180, #REF!&gt;200), "Heavy Doemstic User", IF(#REF!&gt;10, "Interntional User", IF(AND(#REF!&lt;180, #REF!&lt;200,#REF!&lt;200), "Light User", "Balanced User")))</f>
        <v>#REF!</v>
      </c>
      <c r="AC1903" t="e">
        <f>IF(#REF! = 0, "No Usage", IF(#REF! &lt;= 20, "Low Usage", IF(#REF! &lt;= 40, "Medium Usgae", "High Usage")))</f>
        <v>#REF!</v>
      </c>
      <c r="AD1903" t="e">
        <f>IF(#REF!&lt;=150,"Low Usage", IF(#REF!&lt;=200,"Medium Usage", IF(#REF!&lt;=250,"High Usage","Very High Usage")))</f>
        <v>#REF!</v>
      </c>
      <c r="AE1903" t="e">
        <f>IF(#REF!&lt;=5,"Low Calls", IF(#REF!&lt;=10, "Medium Calls", "High Calls"))</f>
        <v>#REF!</v>
      </c>
      <c r="AF1903" t="e">
        <f xml:space="preserve">
IF(#REF!&gt;=4,4,0)+
IF(#REF!="yes",3,0)+
IF(#REF!="High Charges",3,0)+
IF(#REF!&gt;250,4,0)+
IF(#REF!="no",1,0)+
IF(#REF!="Heavy Domestic User",2,0)</f>
        <v>#REF!</v>
      </c>
      <c r="AG1903" t="e">
        <f>IF(#REF!&gt;=10,"High Risk", IF(#REF!&gt;=5,"Medium Risk","Low Risk"))</f>
        <v>#REF!</v>
      </c>
      <c r="AH1903" t="e">
        <f>#REF! + #REF! + #REF! + #REF!</f>
        <v>#REF!</v>
      </c>
    </row>
    <row r="1904" spans="1:34" x14ac:dyDescent="0.35">
      <c r="A1904">
        <v>1903</v>
      </c>
      <c r="B1904" t="s">
        <v>70</v>
      </c>
      <c r="C1904">
        <v>128</v>
      </c>
      <c r="D1904" t="s">
        <v>28</v>
      </c>
      <c r="E1904" t="s">
        <v>22</v>
      </c>
      <c r="F1904" t="s">
        <v>22</v>
      </c>
      <c r="G1904">
        <v>0</v>
      </c>
      <c r="H1904">
        <v>268.10000000000002</v>
      </c>
      <c r="I1904">
        <v>95</v>
      </c>
      <c r="J1904">
        <v>45.58</v>
      </c>
      <c r="K1904">
        <v>120.5</v>
      </c>
      <c r="L1904">
        <v>126</v>
      </c>
      <c r="M1904">
        <v>10.24</v>
      </c>
      <c r="N1904">
        <v>220.8</v>
      </c>
      <c r="O1904">
        <v>121</v>
      </c>
      <c r="P1904">
        <v>9.94</v>
      </c>
      <c r="Q1904">
        <v>14.4</v>
      </c>
      <c r="R1904">
        <v>6</v>
      </c>
      <c r="S1904">
        <v>3.89</v>
      </c>
      <c r="T1904">
        <v>2</v>
      </c>
      <c r="U1904" t="s">
        <v>22</v>
      </c>
      <c r="V1904" t="e">
        <f>IF(#REF! = "yes", 1, 0)</f>
        <v>#REF!</v>
      </c>
      <c r="W1904" t="e">
        <f>IF(#REF! &lt;= 1, "0-1 Calls", IF(#REF! &lt;= 3, "2-3 Calls", IF(#REF! &lt;=5, "4-5 Calls", "6+ Calls")))</f>
        <v>#REF!</v>
      </c>
      <c r="X1904" t="e">
        <f>IF(#REF! &lt;= 50, "0-50", IF(#REF! &lt;=100, "51-100", IF(#REF! &lt;= 150, "101-150", "151+")))</f>
        <v>#REF!</v>
      </c>
      <c r="Y1904" t="e">
        <f>IF(#REF! &lt;= 3, "Low Charges", "High Charges")</f>
        <v>#REF!</v>
      </c>
      <c r="Z1904" t="e">
        <f>IF(#REF!&lt;=80,"Low Calls",
IF(#REF!&lt;=120,"Medium Calls","High Calls"))</f>
        <v>#REF!</v>
      </c>
      <c r="AA1904" t="e">
        <f>IF(#REF!&lt;=15,"Low Charges",
IF(#REF!&lt;=20,"Medium Charges","High Charges"))</f>
        <v>#REF!</v>
      </c>
      <c r="AB1904" t="e">
        <f>IF(AND(#REF!&gt;180, #REF!&gt;200), "Heavy Doemstic User", IF(#REF!&gt;10, "Interntional User", IF(AND(#REF!&lt;180, #REF!&lt;200,#REF!&lt;200), "Light User", "Balanced User")))</f>
        <v>#REF!</v>
      </c>
      <c r="AC1904" t="e">
        <f>IF(#REF! = 0, "No Usage", IF(#REF! &lt;= 20, "Low Usage", IF(#REF! &lt;= 40, "Medium Usgae", "High Usage")))</f>
        <v>#REF!</v>
      </c>
      <c r="AD1904" t="e">
        <f>IF(#REF!&lt;=150,"Low Usage", IF(#REF!&lt;=200,"Medium Usage", IF(#REF!&lt;=250,"High Usage","Very High Usage")))</f>
        <v>#REF!</v>
      </c>
      <c r="AE1904" t="e">
        <f>IF(#REF!&lt;=5,"Low Calls", IF(#REF!&lt;=10, "Medium Calls", "High Calls"))</f>
        <v>#REF!</v>
      </c>
      <c r="AF1904" t="e">
        <f xml:space="preserve">
IF(#REF!&gt;=4,4,0)+
IF(#REF!="yes",3,0)+
IF(#REF!="High Charges",3,0)+
IF(#REF!&gt;250,4,0)+
IF(#REF!="no",1,0)+
IF(#REF!="Heavy Domestic User",2,0)</f>
        <v>#REF!</v>
      </c>
      <c r="AG1904" t="e">
        <f>IF(#REF!&gt;=10,"High Risk", IF(#REF!&gt;=5,"Medium Risk","Low Risk"))</f>
        <v>#REF!</v>
      </c>
      <c r="AH1904" t="e">
        <f>#REF! + #REF! + #REF! + #REF!</f>
        <v>#REF!</v>
      </c>
    </row>
    <row r="1905" spans="1:34" x14ac:dyDescent="0.35">
      <c r="A1905">
        <v>1904</v>
      </c>
      <c r="B1905" t="s">
        <v>62</v>
      </c>
      <c r="C1905">
        <v>88</v>
      </c>
      <c r="D1905" t="s">
        <v>21</v>
      </c>
      <c r="E1905" t="s">
        <v>22</v>
      </c>
      <c r="F1905" t="s">
        <v>22</v>
      </c>
      <c r="G1905">
        <v>0</v>
      </c>
      <c r="H1905">
        <v>166.7</v>
      </c>
      <c r="I1905">
        <v>61</v>
      </c>
      <c r="J1905">
        <v>28.34</v>
      </c>
      <c r="K1905">
        <v>179.3</v>
      </c>
      <c r="L1905">
        <v>88</v>
      </c>
      <c r="M1905">
        <v>15.24</v>
      </c>
      <c r="N1905">
        <v>242.7</v>
      </c>
      <c r="O1905">
        <v>131</v>
      </c>
      <c r="P1905">
        <v>10.92</v>
      </c>
      <c r="Q1905">
        <v>6.8</v>
      </c>
      <c r="R1905">
        <v>7</v>
      </c>
      <c r="S1905">
        <v>1.84</v>
      </c>
      <c r="T1905">
        <v>4</v>
      </c>
      <c r="U1905" t="s">
        <v>23</v>
      </c>
      <c r="V1905" t="e">
        <f>IF(#REF! = "yes", 1, 0)</f>
        <v>#REF!</v>
      </c>
      <c r="W1905" t="e">
        <f>IF(#REF! &lt;= 1, "0-1 Calls", IF(#REF! &lt;= 3, "2-3 Calls", IF(#REF! &lt;=5, "4-5 Calls", "6+ Calls")))</f>
        <v>#REF!</v>
      </c>
      <c r="X1905" t="e">
        <f>IF(#REF! &lt;= 50, "0-50", IF(#REF! &lt;=100, "51-100", IF(#REF! &lt;= 150, "101-150", "151+")))</f>
        <v>#REF!</v>
      </c>
      <c r="Y1905" t="e">
        <f>IF(#REF! &lt;= 3, "Low Charges", "High Charges")</f>
        <v>#REF!</v>
      </c>
      <c r="Z1905" t="e">
        <f>IF(#REF!&lt;=80,"Low Calls",
IF(#REF!&lt;=120,"Medium Calls","High Calls"))</f>
        <v>#REF!</v>
      </c>
      <c r="AA1905" t="e">
        <f>IF(#REF!&lt;=15,"Low Charges",
IF(#REF!&lt;=20,"Medium Charges","High Charges"))</f>
        <v>#REF!</v>
      </c>
      <c r="AB1905" t="e">
        <f>IF(AND(#REF!&gt;180, #REF!&gt;200), "Heavy Doemstic User", IF(#REF!&gt;10, "Interntional User", IF(AND(#REF!&lt;180, #REF!&lt;200,#REF!&lt;200), "Light User", "Balanced User")))</f>
        <v>#REF!</v>
      </c>
      <c r="AC1905" t="e">
        <f>IF(#REF! = 0, "No Usage", IF(#REF! &lt;= 20, "Low Usage", IF(#REF! &lt;= 40, "Medium Usgae", "High Usage")))</f>
        <v>#REF!</v>
      </c>
      <c r="AD1905" t="e">
        <f>IF(#REF!&lt;=150,"Low Usage", IF(#REF!&lt;=200,"Medium Usage", IF(#REF!&lt;=250,"High Usage","Very High Usage")))</f>
        <v>#REF!</v>
      </c>
      <c r="AE1905" t="e">
        <f>IF(#REF!&lt;=5,"Low Calls", IF(#REF!&lt;=10, "Medium Calls", "High Calls"))</f>
        <v>#REF!</v>
      </c>
      <c r="AF1905" t="e">
        <f xml:space="preserve">
IF(#REF!&gt;=4,4,0)+
IF(#REF!="yes",3,0)+
IF(#REF!="High Charges",3,0)+
IF(#REF!&gt;250,4,0)+
IF(#REF!="no",1,0)+
IF(#REF!="Heavy Domestic User",2,0)</f>
        <v>#REF!</v>
      </c>
      <c r="AG1905" t="e">
        <f>IF(#REF!&gt;=10,"High Risk", IF(#REF!&gt;=5,"Medium Risk","Low Risk"))</f>
        <v>#REF!</v>
      </c>
      <c r="AH1905" t="e">
        <f>#REF! + #REF! + #REF! + #REF!</f>
        <v>#REF!</v>
      </c>
    </row>
    <row r="1906" spans="1:34" x14ac:dyDescent="0.35">
      <c r="A1906">
        <v>1905</v>
      </c>
      <c r="B1906" t="s">
        <v>69</v>
      </c>
      <c r="C1906">
        <v>61</v>
      </c>
      <c r="D1906" t="s">
        <v>25</v>
      </c>
      <c r="E1906" t="s">
        <v>22</v>
      </c>
      <c r="F1906" t="s">
        <v>22</v>
      </c>
      <c r="G1906">
        <v>0</v>
      </c>
      <c r="H1906">
        <v>267.10000000000002</v>
      </c>
      <c r="I1906">
        <v>104</v>
      </c>
      <c r="J1906">
        <v>45.41</v>
      </c>
      <c r="K1906">
        <v>180.4</v>
      </c>
      <c r="L1906">
        <v>131</v>
      </c>
      <c r="M1906">
        <v>15.33</v>
      </c>
      <c r="N1906">
        <v>230.6</v>
      </c>
      <c r="O1906">
        <v>106</v>
      </c>
      <c r="P1906">
        <v>10.38</v>
      </c>
      <c r="Q1906">
        <v>17.3</v>
      </c>
      <c r="R1906">
        <v>4</v>
      </c>
      <c r="S1906">
        <v>4.67</v>
      </c>
      <c r="T1906">
        <v>1</v>
      </c>
      <c r="U1906" t="s">
        <v>23</v>
      </c>
      <c r="V1906" t="e">
        <f>IF(#REF! = "yes", 1, 0)</f>
        <v>#REF!</v>
      </c>
      <c r="W1906" t="e">
        <f>IF(#REF! &lt;= 1, "0-1 Calls", IF(#REF! &lt;= 3, "2-3 Calls", IF(#REF! &lt;=5, "4-5 Calls", "6+ Calls")))</f>
        <v>#REF!</v>
      </c>
      <c r="X1906" t="e">
        <f>IF(#REF! &lt;= 50, "0-50", IF(#REF! &lt;=100, "51-100", IF(#REF! &lt;= 150, "101-150", "151+")))</f>
        <v>#REF!</v>
      </c>
      <c r="Y1906" t="e">
        <f>IF(#REF! &lt;= 3, "Low Charges", "High Charges")</f>
        <v>#REF!</v>
      </c>
      <c r="Z1906" t="e">
        <f>IF(#REF!&lt;=80,"Low Calls",
IF(#REF!&lt;=120,"Medium Calls","High Calls"))</f>
        <v>#REF!</v>
      </c>
      <c r="AA1906" t="e">
        <f>IF(#REF!&lt;=15,"Low Charges",
IF(#REF!&lt;=20,"Medium Charges","High Charges"))</f>
        <v>#REF!</v>
      </c>
      <c r="AB1906" t="e">
        <f>IF(AND(#REF!&gt;180, #REF!&gt;200), "Heavy Doemstic User", IF(#REF!&gt;10, "Interntional User", IF(AND(#REF!&lt;180, #REF!&lt;200,#REF!&lt;200), "Light User", "Balanced User")))</f>
        <v>#REF!</v>
      </c>
      <c r="AC1906" t="e">
        <f>IF(#REF! = 0, "No Usage", IF(#REF! &lt;= 20, "Low Usage", IF(#REF! &lt;= 40, "Medium Usgae", "High Usage")))</f>
        <v>#REF!</v>
      </c>
      <c r="AD1906" t="e">
        <f>IF(#REF!&lt;=150,"Low Usage", IF(#REF!&lt;=200,"Medium Usage", IF(#REF!&lt;=250,"High Usage","Very High Usage")))</f>
        <v>#REF!</v>
      </c>
      <c r="AE1906" t="e">
        <f>IF(#REF!&lt;=5,"Low Calls", IF(#REF!&lt;=10, "Medium Calls", "High Calls"))</f>
        <v>#REF!</v>
      </c>
      <c r="AF1906" t="e">
        <f xml:space="preserve">
IF(#REF!&gt;=4,4,0)+
IF(#REF!="yes",3,0)+
IF(#REF!="High Charges",3,0)+
IF(#REF!&gt;250,4,0)+
IF(#REF!="no",1,0)+
IF(#REF!="Heavy Domestic User",2,0)</f>
        <v>#REF!</v>
      </c>
      <c r="AG1906" t="e">
        <f>IF(#REF!&gt;=10,"High Risk", IF(#REF!&gt;=5,"Medium Risk","Low Risk"))</f>
        <v>#REF!</v>
      </c>
      <c r="AH1906" t="e">
        <f>#REF! + #REF! + #REF! + #REF!</f>
        <v>#REF!</v>
      </c>
    </row>
    <row r="1907" spans="1:34" x14ac:dyDescent="0.35">
      <c r="A1907">
        <v>1906</v>
      </c>
      <c r="B1907" t="s">
        <v>40</v>
      </c>
      <c r="C1907">
        <v>22</v>
      </c>
      <c r="D1907" t="s">
        <v>21</v>
      </c>
      <c r="E1907" t="s">
        <v>22</v>
      </c>
      <c r="F1907" t="s">
        <v>22</v>
      </c>
      <c r="G1907">
        <v>0</v>
      </c>
      <c r="H1907">
        <v>181.8</v>
      </c>
      <c r="I1907">
        <v>108</v>
      </c>
      <c r="J1907">
        <v>30.91</v>
      </c>
      <c r="K1907">
        <v>198.6</v>
      </c>
      <c r="L1907">
        <v>148</v>
      </c>
      <c r="M1907">
        <v>16.88</v>
      </c>
      <c r="N1907">
        <v>206.6</v>
      </c>
      <c r="O1907">
        <v>96</v>
      </c>
      <c r="P1907">
        <v>9.3000000000000007</v>
      </c>
      <c r="Q1907">
        <v>9.3000000000000007</v>
      </c>
      <c r="R1907">
        <v>3</v>
      </c>
      <c r="S1907">
        <v>2.5099999999999998</v>
      </c>
      <c r="T1907">
        <v>2</v>
      </c>
      <c r="U1907" t="s">
        <v>22</v>
      </c>
      <c r="V1907" t="e">
        <f>IF(#REF! = "yes", 1, 0)</f>
        <v>#REF!</v>
      </c>
      <c r="W1907" t="e">
        <f>IF(#REF! &lt;= 1, "0-1 Calls", IF(#REF! &lt;= 3, "2-3 Calls", IF(#REF! &lt;=5, "4-5 Calls", "6+ Calls")))</f>
        <v>#REF!</v>
      </c>
      <c r="X1907" t="e">
        <f>IF(#REF! &lt;= 50, "0-50", IF(#REF! &lt;=100, "51-100", IF(#REF! &lt;= 150, "101-150", "151+")))</f>
        <v>#REF!</v>
      </c>
      <c r="Y1907" t="e">
        <f>IF(#REF! &lt;= 3, "Low Charges", "High Charges")</f>
        <v>#REF!</v>
      </c>
      <c r="Z1907" t="e">
        <f>IF(#REF!&lt;=80,"Low Calls",
IF(#REF!&lt;=120,"Medium Calls","High Calls"))</f>
        <v>#REF!</v>
      </c>
      <c r="AA1907" t="e">
        <f>IF(#REF!&lt;=15,"Low Charges",
IF(#REF!&lt;=20,"Medium Charges","High Charges"))</f>
        <v>#REF!</v>
      </c>
      <c r="AB1907" t="e">
        <f>IF(AND(#REF!&gt;180, #REF!&gt;200), "Heavy Doemstic User", IF(#REF!&gt;10, "Interntional User", IF(AND(#REF!&lt;180, #REF!&lt;200,#REF!&lt;200), "Light User", "Balanced User")))</f>
        <v>#REF!</v>
      </c>
      <c r="AC1907" t="e">
        <f>IF(#REF! = 0, "No Usage", IF(#REF! &lt;= 20, "Low Usage", IF(#REF! &lt;= 40, "Medium Usgae", "High Usage")))</f>
        <v>#REF!</v>
      </c>
      <c r="AD1907" t="e">
        <f>IF(#REF!&lt;=150,"Low Usage", IF(#REF!&lt;=200,"Medium Usage", IF(#REF!&lt;=250,"High Usage","Very High Usage")))</f>
        <v>#REF!</v>
      </c>
      <c r="AE1907" t="e">
        <f>IF(#REF!&lt;=5,"Low Calls", IF(#REF!&lt;=10, "Medium Calls", "High Calls"))</f>
        <v>#REF!</v>
      </c>
      <c r="AF1907" t="e">
        <f xml:space="preserve">
IF(#REF!&gt;=4,4,0)+
IF(#REF!="yes",3,0)+
IF(#REF!="High Charges",3,0)+
IF(#REF!&gt;250,4,0)+
IF(#REF!="no",1,0)+
IF(#REF!="Heavy Domestic User",2,0)</f>
        <v>#REF!</v>
      </c>
      <c r="AG1907" t="e">
        <f>IF(#REF!&gt;=10,"High Risk", IF(#REF!&gt;=5,"Medium Risk","Low Risk"))</f>
        <v>#REF!</v>
      </c>
      <c r="AH1907" t="e">
        <f>#REF! + #REF! + #REF! + #REF!</f>
        <v>#REF!</v>
      </c>
    </row>
    <row r="1908" spans="1:34" x14ac:dyDescent="0.35">
      <c r="A1908">
        <v>1907</v>
      </c>
      <c r="B1908" t="s">
        <v>44</v>
      </c>
      <c r="C1908">
        <v>78</v>
      </c>
      <c r="D1908" t="s">
        <v>21</v>
      </c>
      <c r="E1908" t="s">
        <v>22</v>
      </c>
      <c r="F1908" t="s">
        <v>22</v>
      </c>
      <c r="G1908">
        <v>0</v>
      </c>
      <c r="H1908">
        <v>147.1</v>
      </c>
      <c r="I1908">
        <v>80</v>
      </c>
      <c r="J1908">
        <v>25.01</v>
      </c>
      <c r="K1908">
        <v>199.7</v>
      </c>
      <c r="L1908">
        <v>100</v>
      </c>
      <c r="M1908">
        <v>16.97</v>
      </c>
      <c r="N1908">
        <v>160.69999999999999</v>
      </c>
      <c r="O1908">
        <v>106</v>
      </c>
      <c r="P1908">
        <v>7.23</v>
      </c>
      <c r="Q1908">
        <v>13.7</v>
      </c>
      <c r="R1908">
        <v>7</v>
      </c>
      <c r="S1908">
        <v>3.7</v>
      </c>
      <c r="T1908">
        <v>0</v>
      </c>
      <c r="U1908" t="s">
        <v>22</v>
      </c>
      <c r="V1908" t="e">
        <f>IF(#REF! = "yes", 1, 0)</f>
        <v>#REF!</v>
      </c>
      <c r="W1908" t="e">
        <f>IF(#REF! &lt;= 1, "0-1 Calls", IF(#REF! &lt;= 3, "2-3 Calls", IF(#REF! &lt;=5, "4-5 Calls", "6+ Calls")))</f>
        <v>#REF!</v>
      </c>
      <c r="X1908" t="e">
        <f>IF(#REF! &lt;= 50, "0-50", IF(#REF! &lt;=100, "51-100", IF(#REF! &lt;= 150, "101-150", "151+")))</f>
        <v>#REF!</v>
      </c>
      <c r="Y1908" t="e">
        <f>IF(#REF! &lt;= 3, "Low Charges", "High Charges")</f>
        <v>#REF!</v>
      </c>
      <c r="Z1908" t="e">
        <f>IF(#REF!&lt;=80,"Low Calls",
IF(#REF!&lt;=120,"Medium Calls","High Calls"))</f>
        <v>#REF!</v>
      </c>
      <c r="AA1908" t="e">
        <f>IF(#REF!&lt;=15,"Low Charges",
IF(#REF!&lt;=20,"Medium Charges","High Charges"))</f>
        <v>#REF!</v>
      </c>
      <c r="AB1908" t="e">
        <f>IF(AND(#REF!&gt;180, #REF!&gt;200), "Heavy Doemstic User", IF(#REF!&gt;10, "Interntional User", IF(AND(#REF!&lt;180, #REF!&lt;200,#REF!&lt;200), "Light User", "Balanced User")))</f>
        <v>#REF!</v>
      </c>
      <c r="AC1908" t="e">
        <f>IF(#REF! = 0, "No Usage", IF(#REF! &lt;= 20, "Low Usage", IF(#REF! &lt;= 40, "Medium Usgae", "High Usage")))</f>
        <v>#REF!</v>
      </c>
      <c r="AD1908" t="e">
        <f>IF(#REF!&lt;=150,"Low Usage", IF(#REF!&lt;=200,"Medium Usage", IF(#REF!&lt;=250,"High Usage","Very High Usage")))</f>
        <v>#REF!</v>
      </c>
      <c r="AE1908" t="e">
        <f>IF(#REF!&lt;=5,"Low Calls", IF(#REF!&lt;=10, "Medium Calls", "High Calls"))</f>
        <v>#REF!</v>
      </c>
      <c r="AF1908" t="e">
        <f xml:space="preserve">
IF(#REF!&gt;=4,4,0)+
IF(#REF!="yes",3,0)+
IF(#REF!="High Charges",3,0)+
IF(#REF!&gt;250,4,0)+
IF(#REF!="no",1,0)+
IF(#REF!="Heavy Domestic User",2,0)</f>
        <v>#REF!</v>
      </c>
      <c r="AG1908" t="e">
        <f>IF(#REF!&gt;=10,"High Risk", IF(#REF!&gt;=5,"Medium Risk","Low Risk"))</f>
        <v>#REF!</v>
      </c>
      <c r="AH1908" t="e">
        <f>#REF! + #REF! + #REF! + #REF!</f>
        <v>#REF!</v>
      </c>
    </row>
    <row r="1909" spans="1:34" x14ac:dyDescent="0.35">
      <c r="A1909">
        <v>1908</v>
      </c>
      <c r="B1909" t="s">
        <v>59</v>
      </c>
      <c r="C1909">
        <v>56</v>
      </c>
      <c r="D1909" t="s">
        <v>21</v>
      </c>
      <c r="E1909" t="s">
        <v>22</v>
      </c>
      <c r="F1909" t="s">
        <v>23</v>
      </c>
      <c r="G1909">
        <v>29</v>
      </c>
      <c r="H1909">
        <v>37.700000000000003</v>
      </c>
      <c r="I1909">
        <v>115</v>
      </c>
      <c r="J1909">
        <v>6.41</v>
      </c>
      <c r="K1909">
        <v>144.1</v>
      </c>
      <c r="L1909">
        <v>111</v>
      </c>
      <c r="M1909">
        <v>12.25</v>
      </c>
      <c r="N1909">
        <v>226.6</v>
      </c>
      <c r="O1909">
        <v>101</v>
      </c>
      <c r="P1909">
        <v>10.199999999999999</v>
      </c>
      <c r="Q1909">
        <v>4.9000000000000004</v>
      </c>
      <c r="R1909">
        <v>3</v>
      </c>
      <c r="S1909">
        <v>1.32</v>
      </c>
      <c r="T1909">
        <v>1</v>
      </c>
      <c r="U1909" t="s">
        <v>22</v>
      </c>
      <c r="V1909" t="e">
        <f>IF(#REF! = "yes", 1, 0)</f>
        <v>#REF!</v>
      </c>
      <c r="W1909" t="e">
        <f>IF(#REF! &lt;= 1, "0-1 Calls", IF(#REF! &lt;= 3, "2-3 Calls", IF(#REF! &lt;=5, "4-5 Calls", "6+ Calls")))</f>
        <v>#REF!</v>
      </c>
      <c r="X1909" t="e">
        <f>IF(#REF! &lt;= 50, "0-50", IF(#REF! &lt;=100, "51-100", IF(#REF! &lt;= 150, "101-150", "151+")))</f>
        <v>#REF!</v>
      </c>
      <c r="Y1909" t="e">
        <f>IF(#REF! &lt;= 3, "Low Charges", "High Charges")</f>
        <v>#REF!</v>
      </c>
      <c r="Z1909" t="e">
        <f>IF(#REF!&lt;=80,"Low Calls",
IF(#REF!&lt;=120,"Medium Calls","High Calls"))</f>
        <v>#REF!</v>
      </c>
      <c r="AA1909" t="e">
        <f>IF(#REF!&lt;=15,"Low Charges",
IF(#REF!&lt;=20,"Medium Charges","High Charges"))</f>
        <v>#REF!</v>
      </c>
      <c r="AB1909" t="e">
        <f>IF(AND(#REF!&gt;180, #REF!&gt;200), "Heavy Doemstic User", IF(#REF!&gt;10, "Interntional User", IF(AND(#REF!&lt;180, #REF!&lt;200,#REF!&lt;200), "Light User", "Balanced User")))</f>
        <v>#REF!</v>
      </c>
      <c r="AC1909" t="e">
        <f>IF(#REF! = 0, "No Usage", IF(#REF! &lt;= 20, "Low Usage", IF(#REF! &lt;= 40, "Medium Usgae", "High Usage")))</f>
        <v>#REF!</v>
      </c>
      <c r="AD1909" t="e">
        <f>IF(#REF!&lt;=150,"Low Usage", IF(#REF!&lt;=200,"Medium Usage", IF(#REF!&lt;=250,"High Usage","Very High Usage")))</f>
        <v>#REF!</v>
      </c>
      <c r="AE1909" t="e">
        <f>IF(#REF!&lt;=5,"Low Calls", IF(#REF!&lt;=10, "Medium Calls", "High Calls"))</f>
        <v>#REF!</v>
      </c>
      <c r="AF1909" t="e">
        <f xml:space="preserve">
IF(#REF!&gt;=4,4,0)+
IF(#REF!="yes",3,0)+
IF(#REF!="High Charges",3,0)+
IF(#REF!&gt;250,4,0)+
IF(#REF!="no",1,0)+
IF(#REF!="Heavy Domestic User",2,0)</f>
        <v>#REF!</v>
      </c>
      <c r="AG1909" t="e">
        <f>IF(#REF!&gt;=10,"High Risk", IF(#REF!&gt;=5,"Medium Risk","Low Risk"))</f>
        <v>#REF!</v>
      </c>
      <c r="AH1909" t="e">
        <f>#REF! + #REF! + #REF! + #REF!</f>
        <v>#REF!</v>
      </c>
    </row>
    <row r="1910" spans="1:34" x14ac:dyDescent="0.35">
      <c r="A1910">
        <v>1909</v>
      </c>
      <c r="B1910" t="s">
        <v>41</v>
      </c>
      <c r="C1910">
        <v>192</v>
      </c>
      <c r="D1910" t="s">
        <v>21</v>
      </c>
      <c r="E1910" t="s">
        <v>22</v>
      </c>
      <c r="F1910" t="s">
        <v>22</v>
      </c>
      <c r="G1910">
        <v>0</v>
      </c>
      <c r="H1910">
        <v>185</v>
      </c>
      <c r="I1910">
        <v>88</v>
      </c>
      <c r="J1910">
        <v>31.45</v>
      </c>
      <c r="K1910">
        <v>224.9</v>
      </c>
      <c r="L1910">
        <v>98</v>
      </c>
      <c r="M1910">
        <v>19.12</v>
      </c>
      <c r="N1910">
        <v>212.4</v>
      </c>
      <c r="O1910">
        <v>105</v>
      </c>
      <c r="P1910">
        <v>9.56</v>
      </c>
      <c r="Q1910">
        <v>11.4</v>
      </c>
      <c r="R1910">
        <v>3</v>
      </c>
      <c r="S1910">
        <v>3.08</v>
      </c>
      <c r="T1910">
        <v>2</v>
      </c>
      <c r="U1910" t="s">
        <v>22</v>
      </c>
      <c r="V1910" t="e">
        <f>IF(#REF! = "yes", 1, 0)</f>
        <v>#REF!</v>
      </c>
      <c r="W1910" t="e">
        <f>IF(#REF! &lt;= 1, "0-1 Calls", IF(#REF! &lt;= 3, "2-3 Calls", IF(#REF! &lt;=5, "4-5 Calls", "6+ Calls")))</f>
        <v>#REF!</v>
      </c>
      <c r="X1910" t="e">
        <f>IF(#REF! &lt;= 50, "0-50", IF(#REF! &lt;=100, "51-100", IF(#REF! &lt;= 150, "101-150", "151+")))</f>
        <v>#REF!</v>
      </c>
      <c r="Y1910" t="e">
        <f>IF(#REF! &lt;= 3, "Low Charges", "High Charges")</f>
        <v>#REF!</v>
      </c>
      <c r="Z1910" t="e">
        <f>IF(#REF!&lt;=80,"Low Calls",
IF(#REF!&lt;=120,"Medium Calls","High Calls"))</f>
        <v>#REF!</v>
      </c>
      <c r="AA1910" t="e">
        <f>IF(#REF!&lt;=15,"Low Charges",
IF(#REF!&lt;=20,"Medium Charges","High Charges"))</f>
        <v>#REF!</v>
      </c>
      <c r="AB1910" t="e">
        <f>IF(AND(#REF!&gt;180, #REF!&gt;200), "Heavy Doemstic User", IF(#REF!&gt;10, "Interntional User", IF(AND(#REF!&lt;180, #REF!&lt;200,#REF!&lt;200), "Light User", "Balanced User")))</f>
        <v>#REF!</v>
      </c>
      <c r="AC1910" t="e">
        <f>IF(#REF! = 0, "No Usage", IF(#REF! &lt;= 20, "Low Usage", IF(#REF! &lt;= 40, "Medium Usgae", "High Usage")))</f>
        <v>#REF!</v>
      </c>
      <c r="AD1910" t="e">
        <f>IF(#REF!&lt;=150,"Low Usage", IF(#REF!&lt;=200,"Medium Usage", IF(#REF!&lt;=250,"High Usage","Very High Usage")))</f>
        <v>#REF!</v>
      </c>
      <c r="AE1910" t="e">
        <f>IF(#REF!&lt;=5,"Low Calls", IF(#REF!&lt;=10, "Medium Calls", "High Calls"))</f>
        <v>#REF!</v>
      </c>
      <c r="AF1910" t="e">
        <f xml:space="preserve">
IF(#REF!&gt;=4,4,0)+
IF(#REF!="yes",3,0)+
IF(#REF!="High Charges",3,0)+
IF(#REF!&gt;250,4,0)+
IF(#REF!="no",1,0)+
IF(#REF!="Heavy Domestic User",2,0)</f>
        <v>#REF!</v>
      </c>
      <c r="AG1910" t="e">
        <f>IF(#REF!&gt;=10,"High Risk", IF(#REF!&gt;=5,"Medium Risk","Low Risk"))</f>
        <v>#REF!</v>
      </c>
      <c r="AH1910" t="e">
        <f>#REF! + #REF! + #REF! + #REF!</f>
        <v>#REF!</v>
      </c>
    </row>
    <row r="1911" spans="1:34" x14ac:dyDescent="0.35">
      <c r="A1911">
        <v>1910</v>
      </c>
      <c r="B1911" t="s">
        <v>51</v>
      </c>
      <c r="C1911">
        <v>70</v>
      </c>
      <c r="D1911" t="s">
        <v>21</v>
      </c>
      <c r="E1911" t="s">
        <v>22</v>
      </c>
      <c r="F1911" t="s">
        <v>22</v>
      </c>
      <c r="G1911">
        <v>0</v>
      </c>
      <c r="H1911">
        <v>156.4</v>
      </c>
      <c r="I1911">
        <v>108</v>
      </c>
      <c r="J1911">
        <v>26.59</v>
      </c>
      <c r="K1911">
        <v>171</v>
      </c>
      <c r="L1911">
        <v>116</v>
      </c>
      <c r="M1911">
        <v>14.54</v>
      </c>
      <c r="N1911">
        <v>196.1</v>
      </c>
      <c r="O1911">
        <v>96</v>
      </c>
      <c r="P1911">
        <v>8.82</v>
      </c>
      <c r="Q1911">
        <v>8.6</v>
      </c>
      <c r="R1911">
        <v>4</v>
      </c>
      <c r="S1911">
        <v>2.3199999999999998</v>
      </c>
      <c r="T1911">
        <v>2</v>
      </c>
      <c r="U1911" t="s">
        <v>22</v>
      </c>
      <c r="V1911" t="e">
        <f>IF(#REF! = "yes", 1, 0)</f>
        <v>#REF!</v>
      </c>
      <c r="W1911" t="e">
        <f>IF(#REF! &lt;= 1, "0-1 Calls", IF(#REF! &lt;= 3, "2-3 Calls", IF(#REF! &lt;=5, "4-5 Calls", "6+ Calls")))</f>
        <v>#REF!</v>
      </c>
      <c r="X1911" t="e">
        <f>IF(#REF! &lt;= 50, "0-50", IF(#REF! &lt;=100, "51-100", IF(#REF! &lt;= 150, "101-150", "151+")))</f>
        <v>#REF!</v>
      </c>
      <c r="Y1911" t="e">
        <f>IF(#REF! &lt;= 3, "Low Charges", "High Charges")</f>
        <v>#REF!</v>
      </c>
      <c r="Z1911" t="e">
        <f>IF(#REF!&lt;=80,"Low Calls",
IF(#REF!&lt;=120,"Medium Calls","High Calls"))</f>
        <v>#REF!</v>
      </c>
      <c r="AA1911" t="e">
        <f>IF(#REF!&lt;=15,"Low Charges",
IF(#REF!&lt;=20,"Medium Charges","High Charges"))</f>
        <v>#REF!</v>
      </c>
      <c r="AB1911" t="e">
        <f>IF(AND(#REF!&gt;180, #REF!&gt;200), "Heavy Doemstic User", IF(#REF!&gt;10, "Interntional User", IF(AND(#REF!&lt;180, #REF!&lt;200,#REF!&lt;200), "Light User", "Balanced User")))</f>
        <v>#REF!</v>
      </c>
      <c r="AC1911" t="e">
        <f>IF(#REF! = 0, "No Usage", IF(#REF! &lt;= 20, "Low Usage", IF(#REF! &lt;= 40, "Medium Usgae", "High Usage")))</f>
        <v>#REF!</v>
      </c>
      <c r="AD1911" t="e">
        <f>IF(#REF!&lt;=150,"Low Usage", IF(#REF!&lt;=200,"Medium Usage", IF(#REF!&lt;=250,"High Usage","Very High Usage")))</f>
        <v>#REF!</v>
      </c>
      <c r="AE1911" t="e">
        <f>IF(#REF!&lt;=5,"Low Calls", IF(#REF!&lt;=10, "Medium Calls", "High Calls"))</f>
        <v>#REF!</v>
      </c>
      <c r="AF1911" t="e">
        <f xml:space="preserve">
IF(#REF!&gt;=4,4,0)+
IF(#REF!="yes",3,0)+
IF(#REF!="High Charges",3,0)+
IF(#REF!&gt;250,4,0)+
IF(#REF!="no",1,0)+
IF(#REF!="Heavy Domestic User",2,0)</f>
        <v>#REF!</v>
      </c>
      <c r="AG1911" t="e">
        <f>IF(#REF!&gt;=10,"High Risk", IF(#REF!&gt;=5,"Medium Risk","Low Risk"))</f>
        <v>#REF!</v>
      </c>
      <c r="AH1911" t="e">
        <f>#REF! + #REF! + #REF! + #REF!</f>
        <v>#REF!</v>
      </c>
    </row>
    <row r="1912" spans="1:34" x14ac:dyDescent="0.35">
      <c r="A1912">
        <v>1911</v>
      </c>
      <c r="B1912" t="s">
        <v>33</v>
      </c>
      <c r="C1912">
        <v>65</v>
      </c>
      <c r="D1912" t="s">
        <v>21</v>
      </c>
      <c r="E1912" t="s">
        <v>22</v>
      </c>
      <c r="F1912" t="s">
        <v>23</v>
      </c>
      <c r="G1912">
        <v>29</v>
      </c>
      <c r="H1912">
        <v>215.5</v>
      </c>
      <c r="I1912">
        <v>129</v>
      </c>
      <c r="J1912">
        <v>36.64</v>
      </c>
      <c r="K1912">
        <v>161.9</v>
      </c>
      <c r="L1912">
        <v>77</v>
      </c>
      <c r="M1912">
        <v>13.76</v>
      </c>
      <c r="N1912">
        <v>128.30000000000001</v>
      </c>
      <c r="O1912">
        <v>91</v>
      </c>
      <c r="P1912">
        <v>5.77</v>
      </c>
      <c r="Q1912">
        <v>8.8000000000000007</v>
      </c>
      <c r="R1912">
        <v>5</v>
      </c>
      <c r="S1912">
        <v>2.38</v>
      </c>
      <c r="T1912">
        <v>2</v>
      </c>
      <c r="U1912" t="s">
        <v>22</v>
      </c>
      <c r="V1912" t="e">
        <f>IF(#REF! = "yes", 1, 0)</f>
        <v>#REF!</v>
      </c>
      <c r="W1912" t="e">
        <f>IF(#REF! &lt;= 1, "0-1 Calls", IF(#REF! &lt;= 3, "2-3 Calls", IF(#REF! &lt;=5, "4-5 Calls", "6+ Calls")))</f>
        <v>#REF!</v>
      </c>
      <c r="X1912" t="e">
        <f>IF(#REF! &lt;= 50, "0-50", IF(#REF! &lt;=100, "51-100", IF(#REF! &lt;= 150, "101-150", "151+")))</f>
        <v>#REF!</v>
      </c>
      <c r="Y1912" t="e">
        <f>IF(#REF! &lt;= 3, "Low Charges", "High Charges")</f>
        <v>#REF!</v>
      </c>
      <c r="Z1912" t="e">
        <f>IF(#REF!&lt;=80,"Low Calls",
IF(#REF!&lt;=120,"Medium Calls","High Calls"))</f>
        <v>#REF!</v>
      </c>
      <c r="AA1912" t="e">
        <f>IF(#REF!&lt;=15,"Low Charges",
IF(#REF!&lt;=20,"Medium Charges","High Charges"))</f>
        <v>#REF!</v>
      </c>
      <c r="AB1912" t="e">
        <f>IF(AND(#REF!&gt;180, #REF!&gt;200), "Heavy Doemstic User", IF(#REF!&gt;10, "Interntional User", IF(AND(#REF!&lt;180, #REF!&lt;200,#REF!&lt;200), "Light User", "Balanced User")))</f>
        <v>#REF!</v>
      </c>
      <c r="AC1912" t="e">
        <f>IF(#REF! = 0, "No Usage", IF(#REF! &lt;= 20, "Low Usage", IF(#REF! &lt;= 40, "Medium Usgae", "High Usage")))</f>
        <v>#REF!</v>
      </c>
      <c r="AD1912" t="e">
        <f>IF(#REF!&lt;=150,"Low Usage", IF(#REF!&lt;=200,"Medium Usage", IF(#REF!&lt;=250,"High Usage","Very High Usage")))</f>
        <v>#REF!</v>
      </c>
      <c r="AE1912" t="e">
        <f>IF(#REF!&lt;=5,"Low Calls", IF(#REF!&lt;=10, "Medium Calls", "High Calls"))</f>
        <v>#REF!</v>
      </c>
      <c r="AF1912" t="e">
        <f xml:space="preserve">
IF(#REF!&gt;=4,4,0)+
IF(#REF!="yes",3,0)+
IF(#REF!="High Charges",3,0)+
IF(#REF!&gt;250,4,0)+
IF(#REF!="no",1,0)+
IF(#REF!="Heavy Domestic User",2,0)</f>
        <v>#REF!</v>
      </c>
      <c r="AG1912" t="e">
        <f>IF(#REF!&gt;=10,"High Risk", IF(#REF!&gt;=5,"Medium Risk","Low Risk"))</f>
        <v>#REF!</v>
      </c>
      <c r="AH1912" t="e">
        <f>#REF! + #REF! + #REF! + #REF!</f>
        <v>#REF!</v>
      </c>
    </row>
    <row r="1913" spans="1:34" x14ac:dyDescent="0.35">
      <c r="A1913">
        <v>1912</v>
      </c>
      <c r="B1913" t="s">
        <v>35</v>
      </c>
      <c r="C1913">
        <v>119</v>
      </c>
      <c r="D1913" t="s">
        <v>28</v>
      </c>
      <c r="E1913" t="s">
        <v>22</v>
      </c>
      <c r="F1913" t="s">
        <v>22</v>
      </c>
      <c r="G1913">
        <v>0</v>
      </c>
      <c r="H1913">
        <v>134.9</v>
      </c>
      <c r="I1913">
        <v>70</v>
      </c>
      <c r="J1913">
        <v>22.93</v>
      </c>
      <c r="K1913">
        <v>211.5</v>
      </c>
      <c r="L1913">
        <v>74</v>
      </c>
      <c r="M1913">
        <v>17.98</v>
      </c>
      <c r="N1913">
        <v>188.5</v>
      </c>
      <c r="O1913">
        <v>105</v>
      </c>
      <c r="P1913">
        <v>8.48</v>
      </c>
      <c r="Q1913">
        <v>11.3</v>
      </c>
      <c r="R1913">
        <v>6</v>
      </c>
      <c r="S1913">
        <v>3.05</v>
      </c>
      <c r="T1913">
        <v>1</v>
      </c>
      <c r="U1913" t="s">
        <v>22</v>
      </c>
      <c r="V1913" t="e">
        <f>IF(#REF! = "yes", 1, 0)</f>
        <v>#REF!</v>
      </c>
      <c r="W1913" t="e">
        <f>IF(#REF! &lt;= 1, "0-1 Calls", IF(#REF! &lt;= 3, "2-3 Calls", IF(#REF! &lt;=5, "4-5 Calls", "6+ Calls")))</f>
        <v>#REF!</v>
      </c>
      <c r="X1913" t="e">
        <f>IF(#REF! &lt;= 50, "0-50", IF(#REF! &lt;=100, "51-100", IF(#REF! &lt;= 150, "101-150", "151+")))</f>
        <v>#REF!</v>
      </c>
      <c r="Y1913" t="e">
        <f>IF(#REF! &lt;= 3, "Low Charges", "High Charges")</f>
        <v>#REF!</v>
      </c>
      <c r="Z1913" t="e">
        <f>IF(#REF!&lt;=80,"Low Calls",
IF(#REF!&lt;=120,"Medium Calls","High Calls"))</f>
        <v>#REF!</v>
      </c>
      <c r="AA1913" t="e">
        <f>IF(#REF!&lt;=15,"Low Charges",
IF(#REF!&lt;=20,"Medium Charges","High Charges"))</f>
        <v>#REF!</v>
      </c>
      <c r="AB1913" t="e">
        <f>IF(AND(#REF!&gt;180, #REF!&gt;200), "Heavy Doemstic User", IF(#REF!&gt;10, "Interntional User", IF(AND(#REF!&lt;180, #REF!&lt;200,#REF!&lt;200), "Light User", "Balanced User")))</f>
        <v>#REF!</v>
      </c>
      <c r="AC1913" t="e">
        <f>IF(#REF! = 0, "No Usage", IF(#REF! &lt;= 20, "Low Usage", IF(#REF! &lt;= 40, "Medium Usgae", "High Usage")))</f>
        <v>#REF!</v>
      </c>
      <c r="AD1913" t="e">
        <f>IF(#REF!&lt;=150,"Low Usage", IF(#REF!&lt;=200,"Medium Usage", IF(#REF!&lt;=250,"High Usage","Very High Usage")))</f>
        <v>#REF!</v>
      </c>
      <c r="AE1913" t="e">
        <f>IF(#REF!&lt;=5,"Low Calls", IF(#REF!&lt;=10, "Medium Calls", "High Calls"))</f>
        <v>#REF!</v>
      </c>
      <c r="AF1913" t="e">
        <f xml:space="preserve">
IF(#REF!&gt;=4,4,0)+
IF(#REF!="yes",3,0)+
IF(#REF!="High Charges",3,0)+
IF(#REF!&gt;250,4,0)+
IF(#REF!="no",1,0)+
IF(#REF!="Heavy Domestic User",2,0)</f>
        <v>#REF!</v>
      </c>
      <c r="AG1913" t="e">
        <f>IF(#REF!&gt;=10,"High Risk", IF(#REF!&gt;=5,"Medium Risk","Low Risk"))</f>
        <v>#REF!</v>
      </c>
      <c r="AH1913" t="e">
        <f>#REF! + #REF! + #REF! + #REF!</f>
        <v>#REF!</v>
      </c>
    </row>
    <row r="1914" spans="1:34" x14ac:dyDescent="0.35">
      <c r="A1914">
        <v>1913</v>
      </c>
      <c r="B1914" t="s">
        <v>41</v>
      </c>
      <c r="C1914">
        <v>80</v>
      </c>
      <c r="D1914" t="s">
        <v>21</v>
      </c>
      <c r="E1914" t="s">
        <v>22</v>
      </c>
      <c r="F1914" t="s">
        <v>22</v>
      </c>
      <c r="G1914">
        <v>0</v>
      </c>
      <c r="H1914">
        <v>194.8</v>
      </c>
      <c r="I1914">
        <v>116</v>
      </c>
      <c r="J1914">
        <v>33.119999999999997</v>
      </c>
      <c r="K1914">
        <v>209.9</v>
      </c>
      <c r="L1914">
        <v>93</v>
      </c>
      <c r="M1914">
        <v>17.84</v>
      </c>
      <c r="N1914">
        <v>194.1</v>
      </c>
      <c r="O1914">
        <v>100</v>
      </c>
      <c r="P1914">
        <v>8.73</v>
      </c>
      <c r="Q1914">
        <v>12.8</v>
      </c>
      <c r="R1914">
        <v>3</v>
      </c>
      <c r="S1914">
        <v>3.46</v>
      </c>
      <c r="T1914">
        <v>0</v>
      </c>
      <c r="U1914" t="s">
        <v>22</v>
      </c>
      <c r="V1914" t="e">
        <f>IF(#REF! = "yes", 1, 0)</f>
        <v>#REF!</v>
      </c>
      <c r="W1914" t="e">
        <f>IF(#REF! &lt;= 1, "0-1 Calls", IF(#REF! &lt;= 3, "2-3 Calls", IF(#REF! &lt;=5, "4-5 Calls", "6+ Calls")))</f>
        <v>#REF!</v>
      </c>
      <c r="X1914" t="e">
        <f>IF(#REF! &lt;= 50, "0-50", IF(#REF! &lt;=100, "51-100", IF(#REF! &lt;= 150, "101-150", "151+")))</f>
        <v>#REF!</v>
      </c>
      <c r="Y1914" t="e">
        <f>IF(#REF! &lt;= 3, "Low Charges", "High Charges")</f>
        <v>#REF!</v>
      </c>
      <c r="Z1914" t="e">
        <f>IF(#REF!&lt;=80,"Low Calls",
IF(#REF!&lt;=120,"Medium Calls","High Calls"))</f>
        <v>#REF!</v>
      </c>
      <c r="AA1914" t="e">
        <f>IF(#REF!&lt;=15,"Low Charges",
IF(#REF!&lt;=20,"Medium Charges","High Charges"))</f>
        <v>#REF!</v>
      </c>
      <c r="AB1914" t="e">
        <f>IF(AND(#REF!&gt;180, #REF!&gt;200), "Heavy Doemstic User", IF(#REF!&gt;10, "Interntional User", IF(AND(#REF!&lt;180, #REF!&lt;200,#REF!&lt;200), "Light User", "Balanced User")))</f>
        <v>#REF!</v>
      </c>
      <c r="AC1914" t="e">
        <f>IF(#REF! = 0, "No Usage", IF(#REF! &lt;= 20, "Low Usage", IF(#REF! &lt;= 40, "Medium Usgae", "High Usage")))</f>
        <v>#REF!</v>
      </c>
      <c r="AD1914" t="e">
        <f>IF(#REF!&lt;=150,"Low Usage", IF(#REF!&lt;=200,"Medium Usage", IF(#REF!&lt;=250,"High Usage","Very High Usage")))</f>
        <v>#REF!</v>
      </c>
      <c r="AE1914" t="e">
        <f>IF(#REF!&lt;=5,"Low Calls", IF(#REF!&lt;=10, "Medium Calls", "High Calls"))</f>
        <v>#REF!</v>
      </c>
      <c r="AF1914" t="e">
        <f xml:space="preserve">
IF(#REF!&gt;=4,4,0)+
IF(#REF!="yes",3,0)+
IF(#REF!="High Charges",3,0)+
IF(#REF!&gt;250,4,0)+
IF(#REF!="no",1,0)+
IF(#REF!="Heavy Domestic User",2,0)</f>
        <v>#REF!</v>
      </c>
      <c r="AG1914" t="e">
        <f>IF(#REF!&gt;=10,"High Risk", IF(#REF!&gt;=5,"Medium Risk","Low Risk"))</f>
        <v>#REF!</v>
      </c>
      <c r="AH1914" t="e">
        <f>#REF! + #REF! + #REF! + #REF!</f>
        <v>#REF!</v>
      </c>
    </row>
    <row r="1915" spans="1:34" x14ac:dyDescent="0.35">
      <c r="A1915">
        <v>1914</v>
      </c>
      <c r="B1915" t="s">
        <v>74</v>
      </c>
      <c r="C1915">
        <v>152</v>
      </c>
      <c r="D1915" t="s">
        <v>25</v>
      </c>
      <c r="E1915" t="s">
        <v>22</v>
      </c>
      <c r="F1915" t="s">
        <v>23</v>
      </c>
      <c r="G1915">
        <v>20</v>
      </c>
      <c r="H1915">
        <v>239.1</v>
      </c>
      <c r="I1915">
        <v>105</v>
      </c>
      <c r="J1915">
        <v>40.65</v>
      </c>
      <c r="K1915">
        <v>209.1</v>
      </c>
      <c r="L1915">
        <v>111</v>
      </c>
      <c r="M1915">
        <v>17.77</v>
      </c>
      <c r="N1915">
        <v>268.2</v>
      </c>
      <c r="O1915">
        <v>130</v>
      </c>
      <c r="P1915">
        <v>12.07</v>
      </c>
      <c r="Q1915">
        <v>13.3</v>
      </c>
      <c r="R1915">
        <v>3</v>
      </c>
      <c r="S1915">
        <v>3.59</v>
      </c>
      <c r="T1915">
        <v>5</v>
      </c>
      <c r="U1915" t="s">
        <v>22</v>
      </c>
      <c r="V1915" t="e">
        <f>IF(#REF! = "yes", 1, 0)</f>
        <v>#REF!</v>
      </c>
      <c r="W1915" t="e">
        <f>IF(#REF! &lt;= 1, "0-1 Calls", IF(#REF! &lt;= 3, "2-3 Calls", IF(#REF! &lt;=5, "4-5 Calls", "6+ Calls")))</f>
        <v>#REF!</v>
      </c>
      <c r="X1915" t="e">
        <f>IF(#REF! &lt;= 50, "0-50", IF(#REF! &lt;=100, "51-100", IF(#REF! &lt;= 150, "101-150", "151+")))</f>
        <v>#REF!</v>
      </c>
      <c r="Y1915" t="e">
        <f>IF(#REF! &lt;= 3, "Low Charges", "High Charges")</f>
        <v>#REF!</v>
      </c>
      <c r="Z1915" t="e">
        <f>IF(#REF!&lt;=80,"Low Calls",
IF(#REF!&lt;=120,"Medium Calls","High Calls"))</f>
        <v>#REF!</v>
      </c>
      <c r="AA1915" t="e">
        <f>IF(#REF!&lt;=15,"Low Charges",
IF(#REF!&lt;=20,"Medium Charges","High Charges"))</f>
        <v>#REF!</v>
      </c>
      <c r="AB1915" t="e">
        <f>IF(AND(#REF!&gt;180, #REF!&gt;200), "Heavy Doemstic User", IF(#REF!&gt;10, "Interntional User", IF(AND(#REF!&lt;180, #REF!&lt;200,#REF!&lt;200), "Light User", "Balanced User")))</f>
        <v>#REF!</v>
      </c>
      <c r="AC1915" t="e">
        <f>IF(#REF! = 0, "No Usage", IF(#REF! &lt;= 20, "Low Usage", IF(#REF! &lt;= 40, "Medium Usgae", "High Usage")))</f>
        <v>#REF!</v>
      </c>
      <c r="AD1915" t="e">
        <f>IF(#REF!&lt;=150,"Low Usage", IF(#REF!&lt;=200,"Medium Usage", IF(#REF!&lt;=250,"High Usage","Very High Usage")))</f>
        <v>#REF!</v>
      </c>
      <c r="AE1915" t="e">
        <f>IF(#REF!&lt;=5,"Low Calls", IF(#REF!&lt;=10, "Medium Calls", "High Calls"))</f>
        <v>#REF!</v>
      </c>
      <c r="AF1915" t="e">
        <f xml:space="preserve">
IF(#REF!&gt;=4,4,0)+
IF(#REF!="yes",3,0)+
IF(#REF!="High Charges",3,0)+
IF(#REF!&gt;250,4,0)+
IF(#REF!="no",1,0)+
IF(#REF!="Heavy Domestic User",2,0)</f>
        <v>#REF!</v>
      </c>
      <c r="AG1915" t="e">
        <f>IF(#REF!&gt;=10,"High Risk", IF(#REF!&gt;=5,"Medium Risk","Low Risk"))</f>
        <v>#REF!</v>
      </c>
      <c r="AH1915" t="e">
        <f>#REF! + #REF! + #REF! + #REF!</f>
        <v>#REF!</v>
      </c>
    </row>
    <row r="1916" spans="1:34" x14ac:dyDescent="0.35">
      <c r="A1916">
        <v>1915</v>
      </c>
      <c r="B1916" t="s">
        <v>40</v>
      </c>
      <c r="C1916">
        <v>113</v>
      </c>
      <c r="D1916" t="s">
        <v>28</v>
      </c>
      <c r="E1916" t="s">
        <v>22</v>
      </c>
      <c r="F1916" t="s">
        <v>22</v>
      </c>
      <c r="G1916">
        <v>0</v>
      </c>
      <c r="H1916">
        <v>92.6</v>
      </c>
      <c r="I1916">
        <v>85</v>
      </c>
      <c r="J1916">
        <v>15.74</v>
      </c>
      <c r="K1916">
        <v>177.6</v>
      </c>
      <c r="L1916">
        <v>92</v>
      </c>
      <c r="M1916">
        <v>15.1</v>
      </c>
      <c r="N1916">
        <v>159.80000000000001</v>
      </c>
      <c r="O1916">
        <v>72</v>
      </c>
      <c r="P1916">
        <v>7.19</v>
      </c>
      <c r="Q1916">
        <v>14.4</v>
      </c>
      <c r="R1916">
        <v>4</v>
      </c>
      <c r="S1916">
        <v>3.89</v>
      </c>
      <c r="T1916">
        <v>3</v>
      </c>
      <c r="U1916" t="s">
        <v>22</v>
      </c>
      <c r="V1916" t="e">
        <f>IF(#REF! = "yes", 1, 0)</f>
        <v>#REF!</v>
      </c>
      <c r="W1916" t="e">
        <f>IF(#REF! &lt;= 1, "0-1 Calls", IF(#REF! &lt;= 3, "2-3 Calls", IF(#REF! &lt;=5, "4-5 Calls", "6+ Calls")))</f>
        <v>#REF!</v>
      </c>
      <c r="X1916" t="e">
        <f>IF(#REF! &lt;= 50, "0-50", IF(#REF! &lt;=100, "51-100", IF(#REF! &lt;= 150, "101-150", "151+")))</f>
        <v>#REF!</v>
      </c>
      <c r="Y1916" t="e">
        <f>IF(#REF! &lt;= 3, "Low Charges", "High Charges")</f>
        <v>#REF!</v>
      </c>
      <c r="Z1916" t="e">
        <f>IF(#REF!&lt;=80,"Low Calls",
IF(#REF!&lt;=120,"Medium Calls","High Calls"))</f>
        <v>#REF!</v>
      </c>
      <c r="AA1916" t="e">
        <f>IF(#REF!&lt;=15,"Low Charges",
IF(#REF!&lt;=20,"Medium Charges","High Charges"))</f>
        <v>#REF!</v>
      </c>
      <c r="AB1916" t="e">
        <f>IF(AND(#REF!&gt;180, #REF!&gt;200), "Heavy Doemstic User", IF(#REF!&gt;10, "Interntional User", IF(AND(#REF!&lt;180, #REF!&lt;200,#REF!&lt;200), "Light User", "Balanced User")))</f>
        <v>#REF!</v>
      </c>
      <c r="AC1916" t="e">
        <f>IF(#REF! = 0, "No Usage", IF(#REF! &lt;= 20, "Low Usage", IF(#REF! &lt;= 40, "Medium Usgae", "High Usage")))</f>
        <v>#REF!</v>
      </c>
      <c r="AD1916" t="e">
        <f>IF(#REF!&lt;=150,"Low Usage", IF(#REF!&lt;=200,"Medium Usage", IF(#REF!&lt;=250,"High Usage","Very High Usage")))</f>
        <v>#REF!</v>
      </c>
      <c r="AE1916" t="e">
        <f>IF(#REF!&lt;=5,"Low Calls", IF(#REF!&lt;=10, "Medium Calls", "High Calls"))</f>
        <v>#REF!</v>
      </c>
      <c r="AF1916" t="e">
        <f xml:space="preserve">
IF(#REF!&gt;=4,4,0)+
IF(#REF!="yes",3,0)+
IF(#REF!="High Charges",3,0)+
IF(#REF!&gt;250,4,0)+
IF(#REF!="no",1,0)+
IF(#REF!="Heavy Domestic User",2,0)</f>
        <v>#REF!</v>
      </c>
      <c r="AG1916" t="e">
        <f>IF(#REF!&gt;=10,"High Risk", IF(#REF!&gt;=5,"Medium Risk","Low Risk"))</f>
        <v>#REF!</v>
      </c>
      <c r="AH1916" t="e">
        <f>#REF! + #REF! + #REF! + #REF!</f>
        <v>#REF!</v>
      </c>
    </row>
    <row r="1917" spans="1:34" x14ac:dyDescent="0.35">
      <c r="A1917">
        <v>1916</v>
      </c>
      <c r="B1917" t="s">
        <v>64</v>
      </c>
      <c r="C1917">
        <v>75</v>
      </c>
      <c r="D1917" t="s">
        <v>28</v>
      </c>
      <c r="E1917" t="s">
        <v>22</v>
      </c>
      <c r="F1917" t="s">
        <v>22</v>
      </c>
      <c r="G1917">
        <v>0</v>
      </c>
      <c r="H1917">
        <v>209.4</v>
      </c>
      <c r="I1917">
        <v>133</v>
      </c>
      <c r="J1917">
        <v>35.6</v>
      </c>
      <c r="K1917">
        <v>211.5</v>
      </c>
      <c r="L1917">
        <v>121</v>
      </c>
      <c r="M1917">
        <v>17.98</v>
      </c>
      <c r="N1917">
        <v>291.2</v>
      </c>
      <c r="O1917">
        <v>123</v>
      </c>
      <c r="P1917">
        <v>13.1</v>
      </c>
      <c r="Q1917">
        <v>7.2</v>
      </c>
      <c r="R1917">
        <v>4</v>
      </c>
      <c r="S1917">
        <v>1.94</v>
      </c>
      <c r="T1917">
        <v>1</v>
      </c>
      <c r="U1917" t="s">
        <v>22</v>
      </c>
      <c r="V1917" t="e">
        <f>IF(#REF! = "yes", 1, 0)</f>
        <v>#REF!</v>
      </c>
      <c r="W1917" t="e">
        <f>IF(#REF! &lt;= 1, "0-1 Calls", IF(#REF! &lt;= 3, "2-3 Calls", IF(#REF! &lt;=5, "4-5 Calls", "6+ Calls")))</f>
        <v>#REF!</v>
      </c>
      <c r="X1917" t="e">
        <f>IF(#REF! &lt;= 50, "0-50", IF(#REF! &lt;=100, "51-100", IF(#REF! &lt;= 150, "101-150", "151+")))</f>
        <v>#REF!</v>
      </c>
      <c r="Y1917" t="e">
        <f>IF(#REF! &lt;= 3, "Low Charges", "High Charges")</f>
        <v>#REF!</v>
      </c>
      <c r="Z1917" t="e">
        <f>IF(#REF!&lt;=80,"Low Calls",
IF(#REF!&lt;=120,"Medium Calls","High Calls"))</f>
        <v>#REF!</v>
      </c>
      <c r="AA1917" t="e">
        <f>IF(#REF!&lt;=15,"Low Charges",
IF(#REF!&lt;=20,"Medium Charges","High Charges"))</f>
        <v>#REF!</v>
      </c>
      <c r="AB1917" t="e">
        <f>IF(AND(#REF!&gt;180, #REF!&gt;200), "Heavy Doemstic User", IF(#REF!&gt;10, "Interntional User", IF(AND(#REF!&lt;180, #REF!&lt;200,#REF!&lt;200), "Light User", "Balanced User")))</f>
        <v>#REF!</v>
      </c>
      <c r="AC1917" t="e">
        <f>IF(#REF! = 0, "No Usage", IF(#REF! &lt;= 20, "Low Usage", IF(#REF! &lt;= 40, "Medium Usgae", "High Usage")))</f>
        <v>#REF!</v>
      </c>
      <c r="AD1917" t="e">
        <f>IF(#REF!&lt;=150,"Low Usage", IF(#REF!&lt;=200,"Medium Usage", IF(#REF!&lt;=250,"High Usage","Very High Usage")))</f>
        <v>#REF!</v>
      </c>
      <c r="AE1917" t="e">
        <f>IF(#REF!&lt;=5,"Low Calls", IF(#REF!&lt;=10, "Medium Calls", "High Calls"))</f>
        <v>#REF!</v>
      </c>
      <c r="AF1917" t="e">
        <f xml:space="preserve">
IF(#REF!&gt;=4,4,0)+
IF(#REF!="yes",3,0)+
IF(#REF!="High Charges",3,0)+
IF(#REF!&gt;250,4,0)+
IF(#REF!="no",1,0)+
IF(#REF!="Heavy Domestic User",2,0)</f>
        <v>#REF!</v>
      </c>
      <c r="AG1917" t="e">
        <f>IF(#REF!&gt;=10,"High Risk", IF(#REF!&gt;=5,"Medium Risk","Low Risk"))</f>
        <v>#REF!</v>
      </c>
      <c r="AH1917" t="e">
        <f>#REF! + #REF! + #REF! + #REF!</f>
        <v>#REF!</v>
      </c>
    </row>
    <row r="1918" spans="1:34" x14ac:dyDescent="0.35">
      <c r="A1918">
        <v>1917</v>
      </c>
      <c r="B1918" t="s">
        <v>20</v>
      </c>
      <c r="C1918">
        <v>80</v>
      </c>
      <c r="D1918" t="s">
        <v>21</v>
      </c>
      <c r="E1918" t="s">
        <v>22</v>
      </c>
      <c r="F1918" t="s">
        <v>22</v>
      </c>
      <c r="G1918">
        <v>0</v>
      </c>
      <c r="H1918">
        <v>197.6</v>
      </c>
      <c r="I1918">
        <v>83</v>
      </c>
      <c r="J1918">
        <v>33.590000000000003</v>
      </c>
      <c r="K1918">
        <v>164.5</v>
      </c>
      <c r="L1918">
        <v>86</v>
      </c>
      <c r="M1918">
        <v>13.98</v>
      </c>
      <c r="N1918">
        <v>94</v>
      </c>
      <c r="O1918">
        <v>98</v>
      </c>
      <c r="P1918">
        <v>4.2300000000000004</v>
      </c>
      <c r="Q1918">
        <v>6.4</v>
      </c>
      <c r="R1918">
        <v>6</v>
      </c>
      <c r="S1918">
        <v>1.73</v>
      </c>
      <c r="T1918">
        <v>1</v>
      </c>
      <c r="U1918" t="s">
        <v>22</v>
      </c>
      <c r="V1918" t="e">
        <f>IF(#REF! = "yes", 1, 0)</f>
        <v>#REF!</v>
      </c>
      <c r="W1918" t="e">
        <f>IF(#REF! &lt;= 1, "0-1 Calls", IF(#REF! &lt;= 3, "2-3 Calls", IF(#REF! &lt;=5, "4-5 Calls", "6+ Calls")))</f>
        <v>#REF!</v>
      </c>
      <c r="X1918" t="e">
        <f>IF(#REF! &lt;= 50, "0-50", IF(#REF! &lt;=100, "51-100", IF(#REF! &lt;= 150, "101-150", "151+")))</f>
        <v>#REF!</v>
      </c>
      <c r="Y1918" t="e">
        <f>IF(#REF! &lt;= 3, "Low Charges", "High Charges")</f>
        <v>#REF!</v>
      </c>
      <c r="Z1918" t="e">
        <f>IF(#REF!&lt;=80,"Low Calls",
IF(#REF!&lt;=120,"Medium Calls","High Calls"))</f>
        <v>#REF!</v>
      </c>
      <c r="AA1918" t="e">
        <f>IF(#REF!&lt;=15,"Low Charges",
IF(#REF!&lt;=20,"Medium Charges","High Charges"))</f>
        <v>#REF!</v>
      </c>
      <c r="AB1918" t="e">
        <f>IF(AND(#REF!&gt;180, #REF!&gt;200), "Heavy Doemstic User", IF(#REF!&gt;10, "Interntional User", IF(AND(#REF!&lt;180, #REF!&lt;200,#REF!&lt;200), "Light User", "Balanced User")))</f>
        <v>#REF!</v>
      </c>
      <c r="AC1918" t="e">
        <f>IF(#REF! = 0, "No Usage", IF(#REF! &lt;= 20, "Low Usage", IF(#REF! &lt;= 40, "Medium Usgae", "High Usage")))</f>
        <v>#REF!</v>
      </c>
      <c r="AD1918" t="e">
        <f>IF(#REF!&lt;=150,"Low Usage", IF(#REF!&lt;=200,"Medium Usage", IF(#REF!&lt;=250,"High Usage","Very High Usage")))</f>
        <v>#REF!</v>
      </c>
      <c r="AE1918" t="e">
        <f>IF(#REF!&lt;=5,"Low Calls", IF(#REF!&lt;=10, "Medium Calls", "High Calls"))</f>
        <v>#REF!</v>
      </c>
      <c r="AF1918" t="e">
        <f xml:space="preserve">
IF(#REF!&gt;=4,4,0)+
IF(#REF!="yes",3,0)+
IF(#REF!="High Charges",3,0)+
IF(#REF!&gt;250,4,0)+
IF(#REF!="no",1,0)+
IF(#REF!="Heavy Domestic User",2,0)</f>
        <v>#REF!</v>
      </c>
      <c r="AG1918" t="e">
        <f>IF(#REF!&gt;=10,"High Risk", IF(#REF!&gt;=5,"Medium Risk","Low Risk"))</f>
        <v>#REF!</v>
      </c>
      <c r="AH1918" t="e">
        <f>#REF! + #REF! + #REF! + #REF!</f>
        <v>#REF!</v>
      </c>
    </row>
    <row r="1919" spans="1:34" x14ac:dyDescent="0.35">
      <c r="A1919">
        <v>1918</v>
      </c>
      <c r="B1919" t="s">
        <v>33</v>
      </c>
      <c r="C1919">
        <v>63</v>
      </c>
      <c r="D1919" t="s">
        <v>21</v>
      </c>
      <c r="E1919" t="s">
        <v>23</v>
      </c>
      <c r="F1919" t="s">
        <v>22</v>
      </c>
      <c r="G1919">
        <v>0</v>
      </c>
      <c r="H1919">
        <v>62.9</v>
      </c>
      <c r="I1919">
        <v>112</v>
      </c>
      <c r="J1919">
        <v>10.69</v>
      </c>
      <c r="K1919">
        <v>202.9</v>
      </c>
      <c r="L1919">
        <v>111</v>
      </c>
      <c r="M1919">
        <v>17.25</v>
      </c>
      <c r="N1919">
        <v>259</v>
      </c>
      <c r="O1919">
        <v>58</v>
      </c>
      <c r="P1919">
        <v>11.66</v>
      </c>
      <c r="Q1919">
        <v>8.9</v>
      </c>
      <c r="R1919">
        <v>8</v>
      </c>
      <c r="S1919">
        <v>2.4</v>
      </c>
      <c r="T1919">
        <v>1</v>
      </c>
      <c r="U1919" t="s">
        <v>22</v>
      </c>
      <c r="V1919" t="e">
        <f>IF(#REF! = "yes", 1, 0)</f>
        <v>#REF!</v>
      </c>
      <c r="W1919" t="e">
        <f>IF(#REF! &lt;= 1, "0-1 Calls", IF(#REF! &lt;= 3, "2-3 Calls", IF(#REF! &lt;=5, "4-5 Calls", "6+ Calls")))</f>
        <v>#REF!</v>
      </c>
      <c r="X1919" t="e">
        <f>IF(#REF! &lt;= 50, "0-50", IF(#REF! &lt;=100, "51-100", IF(#REF! &lt;= 150, "101-150", "151+")))</f>
        <v>#REF!</v>
      </c>
      <c r="Y1919" t="e">
        <f>IF(#REF! &lt;= 3, "Low Charges", "High Charges")</f>
        <v>#REF!</v>
      </c>
      <c r="Z1919" t="e">
        <f>IF(#REF!&lt;=80,"Low Calls",
IF(#REF!&lt;=120,"Medium Calls","High Calls"))</f>
        <v>#REF!</v>
      </c>
      <c r="AA1919" t="e">
        <f>IF(#REF!&lt;=15,"Low Charges",
IF(#REF!&lt;=20,"Medium Charges","High Charges"))</f>
        <v>#REF!</v>
      </c>
      <c r="AB1919" t="e">
        <f>IF(AND(#REF!&gt;180, #REF!&gt;200), "Heavy Doemstic User", IF(#REF!&gt;10, "Interntional User", IF(AND(#REF!&lt;180, #REF!&lt;200,#REF!&lt;200), "Light User", "Balanced User")))</f>
        <v>#REF!</v>
      </c>
      <c r="AC1919" t="e">
        <f>IF(#REF! = 0, "No Usage", IF(#REF! &lt;= 20, "Low Usage", IF(#REF! &lt;= 40, "Medium Usgae", "High Usage")))</f>
        <v>#REF!</v>
      </c>
      <c r="AD1919" t="e">
        <f>IF(#REF!&lt;=150,"Low Usage", IF(#REF!&lt;=200,"Medium Usage", IF(#REF!&lt;=250,"High Usage","Very High Usage")))</f>
        <v>#REF!</v>
      </c>
      <c r="AE1919" t="e">
        <f>IF(#REF!&lt;=5,"Low Calls", IF(#REF!&lt;=10, "Medium Calls", "High Calls"))</f>
        <v>#REF!</v>
      </c>
      <c r="AF1919" t="e">
        <f xml:space="preserve">
IF(#REF!&gt;=4,4,0)+
IF(#REF!="yes",3,0)+
IF(#REF!="High Charges",3,0)+
IF(#REF!&gt;250,4,0)+
IF(#REF!="no",1,0)+
IF(#REF!="Heavy Domestic User",2,0)</f>
        <v>#REF!</v>
      </c>
      <c r="AG1919" t="e">
        <f>IF(#REF!&gt;=10,"High Risk", IF(#REF!&gt;=5,"Medium Risk","Low Risk"))</f>
        <v>#REF!</v>
      </c>
      <c r="AH1919" t="e">
        <f>#REF! + #REF! + #REF! + #REF!</f>
        <v>#REF!</v>
      </c>
    </row>
    <row r="1920" spans="1:34" x14ac:dyDescent="0.35">
      <c r="A1920">
        <v>1919</v>
      </c>
      <c r="B1920" t="s">
        <v>40</v>
      </c>
      <c r="C1920">
        <v>97</v>
      </c>
      <c r="D1920" t="s">
        <v>21</v>
      </c>
      <c r="E1920" t="s">
        <v>22</v>
      </c>
      <c r="F1920" t="s">
        <v>23</v>
      </c>
      <c r="G1920">
        <v>28</v>
      </c>
      <c r="H1920">
        <v>202.3</v>
      </c>
      <c r="I1920">
        <v>97</v>
      </c>
      <c r="J1920">
        <v>34.39</v>
      </c>
      <c r="K1920">
        <v>69.2</v>
      </c>
      <c r="L1920">
        <v>84</v>
      </c>
      <c r="M1920">
        <v>5.88</v>
      </c>
      <c r="N1920">
        <v>257.60000000000002</v>
      </c>
      <c r="O1920">
        <v>64</v>
      </c>
      <c r="P1920">
        <v>11.59</v>
      </c>
      <c r="Q1920">
        <v>6.7</v>
      </c>
      <c r="R1920">
        <v>3</v>
      </c>
      <c r="S1920">
        <v>1.81</v>
      </c>
      <c r="T1920">
        <v>1</v>
      </c>
      <c r="U1920" t="s">
        <v>22</v>
      </c>
      <c r="V1920" t="e">
        <f>IF(#REF! = "yes", 1, 0)</f>
        <v>#REF!</v>
      </c>
      <c r="W1920" t="e">
        <f>IF(#REF! &lt;= 1, "0-1 Calls", IF(#REF! &lt;= 3, "2-3 Calls", IF(#REF! &lt;=5, "4-5 Calls", "6+ Calls")))</f>
        <v>#REF!</v>
      </c>
      <c r="X1920" t="e">
        <f>IF(#REF! &lt;= 50, "0-50", IF(#REF! &lt;=100, "51-100", IF(#REF! &lt;= 150, "101-150", "151+")))</f>
        <v>#REF!</v>
      </c>
      <c r="Y1920" t="e">
        <f>IF(#REF! &lt;= 3, "Low Charges", "High Charges")</f>
        <v>#REF!</v>
      </c>
      <c r="Z1920" t="e">
        <f>IF(#REF!&lt;=80,"Low Calls",
IF(#REF!&lt;=120,"Medium Calls","High Calls"))</f>
        <v>#REF!</v>
      </c>
      <c r="AA1920" t="e">
        <f>IF(#REF!&lt;=15,"Low Charges",
IF(#REF!&lt;=20,"Medium Charges","High Charges"))</f>
        <v>#REF!</v>
      </c>
      <c r="AB1920" t="e">
        <f>IF(AND(#REF!&gt;180, #REF!&gt;200), "Heavy Doemstic User", IF(#REF!&gt;10, "Interntional User", IF(AND(#REF!&lt;180, #REF!&lt;200,#REF!&lt;200), "Light User", "Balanced User")))</f>
        <v>#REF!</v>
      </c>
      <c r="AC1920" t="e">
        <f>IF(#REF! = 0, "No Usage", IF(#REF! &lt;= 20, "Low Usage", IF(#REF! &lt;= 40, "Medium Usgae", "High Usage")))</f>
        <v>#REF!</v>
      </c>
      <c r="AD1920" t="e">
        <f>IF(#REF!&lt;=150,"Low Usage", IF(#REF!&lt;=200,"Medium Usage", IF(#REF!&lt;=250,"High Usage","Very High Usage")))</f>
        <v>#REF!</v>
      </c>
      <c r="AE1920" t="e">
        <f>IF(#REF!&lt;=5,"Low Calls", IF(#REF!&lt;=10, "Medium Calls", "High Calls"))</f>
        <v>#REF!</v>
      </c>
      <c r="AF1920" t="e">
        <f xml:space="preserve">
IF(#REF!&gt;=4,4,0)+
IF(#REF!="yes",3,0)+
IF(#REF!="High Charges",3,0)+
IF(#REF!&gt;250,4,0)+
IF(#REF!="no",1,0)+
IF(#REF!="Heavy Domestic User",2,0)</f>
        <v>#REF!</v>
      </c>
      <c r="AG1920" t="e">
        <f>IF(#REF!&gt;=10,"High Risk", IF(#REF!&gt;=5,"Medium Risk","Low Risk"))</f>
        <v>#REF!</v>
      </c>
      <c r="AH1920" t="e">
        <f>#REF! + #REF! + #REF! + #REF!</f>
        <v>#REF!</v>
      </c>
    </row>
    <row r="1921" spans="1:34" x14ac:dyDescent="0.35">
      <c r="A1921">
        <v>1920</v>
      </c>
      <c r="B1921" t="s">
        <v>49</v>
      </c>
      <c r="C1921">
        <v>166</v>
      </c>
      <c r="D1921" t="s">
        <v>21</v>
      </c>
      <c r="E1921" t="s">
        <v>22</v>
      </c>
      <c r="F1921" t="s">
        <v>22</v>
      </c>
      <c r="G1921">
        <v>0</v>
      </c>
      <c r="H1921">
        <v>136.1</v>
      </c>
      <c r="I1921">
        <v>116</v>
      </c>
      <c r="J1921">
        <v>23.14</v>
      </c>
      <c r="K1921">
        <v>181.4</v>
      </c>
      <c r="L1921">
        <v>93</v>
      </c>
      <c r="M1921">
        <v>15.42</v>
      </c>
      <c r="N1921">
        <v>131.4</v>
      </c>
      <c r="O1921">
        <v>108</v>
      </c>
      <c r="P1921">
        <v>5.91</v>
      </c>
      <c r="Q1921">
        <v>11.3</v>
      </c>
      <c r="R1921">
        <v>4</v>
      </c>
      <c r="S1921">
        <v>3.05</v>
      </c>
      <c r="T1921">
        <v>0</v>
      </c>
      <c r="U1921" t="s">
        <v>22</v>
      </c>
      <c r="V1921" t="e">
        <f>IF(#REF! = "yes", 1, 0)</f>
        <v>#REF!</v>
      </c>
      <c r="W1921" t="e">
        <f>IF(#REF! &lt;= 1, "0-1 Calls", IF(#REF! &lt;= 3, "2-3 Calls", IF(#REF! &lt;=5, "4-5 Calls", "6+ Calls")))</f>
        <v>#REF!</v>
      </c>
      <c r="X1921" t="e">
        <f>IF(#REF! &lt;= 50, "0-50", IF(#REF! &lt;=100, "51-100", IF(#REF! &lt;= 150, "101-150", "151+")))</f>
        <v>#REF!</v>
      </c>
      <c r="Y1921" t="e">
        <f>IF(#REF! &lt;= 3, "Low Charges", "High Charges")</f>
        <v>#REF!</v>
      </c>
      <c r="Z1921" t="e">
        <f>IF(#REF!&lt;=80,"Low Calls",
IF(#REF!&lt;=120,"Medium Calls","High Calls"))</f>
        <v>#REF!</v>
      </c>
      <c r="AA1921" t="e">
        <f>IF(#REF!&lt;=15,"Low Charges",
IF(#REF!&lt;=20,"Medium Charges","High Charges"))</f>
        <v>#REF!</v>
      </c>
      <c r="AB1921" t="e">
        <f>IF(AND(#REF!&gt;180, #REF!&gt;200), "Heavy Doemstic User", IF(#REF!&gt;10, "Interntional User", IF(AND(#REF!&lt;180, #REF!&lt;200,#REF!&lt;200), "Light User", "Balanced User")))</f>
        <v>#REF!</v>
      </c>
      <c r="AC1921" t="e">
        <f>IF(#REF! = 0, "No Usage", IF(#REF! &lt;= 20, "Low Usage", IF(#REF! &lt;= 40, "Medium Usgae", "High Usage")))</f>
        <v>#REF!</v>
      </c>
      <c r="AD1921" t="e">
        <f>IF(#REF!&lt;=150,"Low Usage", IF(#REF!&lt;=200,"Medium Usage", IF(#REF!&lt;=250,"High Usage","Very High Usage")))</f>
        <v>#REF!</v>
      </c>
      <c r="AE1921" t="e">
        <f>IF(#REF!&lt;=5,"Low Calls", IF(#REF!&lt;=10, "Medium Calls", "High Calls"))</f>
        <v>#REF!</v>
      </c>
      <c r="AF1921" t="e">
        <f xml:space="preserve">
IF(#REF!&gt;=4,4,0)+
IF(#REF!="yes",3,0)+
IF(#REF!="High Charges",3,0)+
IF(#REF!&gt;250,4,0)+
IF(#REF!="no",1,0)+
IF(#REF!="Heavy Domestic User",2,0)</f>
        <v>#REF!</v>
      </c>
      <c r="AG1921" t="e">
        <f>IF(#REF!&gt;=10,"High Risk", IF(#REF!&gt;=5,"Medium Risk","Low Risk"))</f>
        <v>#REF!</v>
      </c>
      <c r="AH1921" t="e">
        <f>#REF! + #REF! + #REF! + #REF!</f>
        <v>#REF!</v>
      </c>
    </row>
    <row r="1922" spans="1:34" x14ac:dyDescent="0.35">
      <c r="A1922">
        <v>1921</v>
      </c>
      <c r="B1922" t="s">
        <v>44</v>
      </c>
      <c r="C1922">
        <v>94</v>
      </c>
      <c r="D1922" t="s">
        <v>25</v>
      </c>
      <c r="E1922" t="s">
        <v>22</v>
      </c>
      <c r="F1922" t="s">
        <v>22</v>
      </c>
      <c r="G1922">
        <v>0</v>
      </c>
      <c r="H1922">
        <v>207</v>
      </c>
      <c r="I1922">
        <v>109</v>
      </c>
      <c r="J1922">
        <v>35.19</v>
      </c>
      <c r="K1922">
        <v>167.4</v>
      </c>
      <c r="L1922">
        <v>80</v>
      </c>
      <c r="M1922">
        <v>14.23</v>
      </c>
      <c r="N1922">
        <v>238.2</v>
      </c>
      <c r="O1922">
        <v>117</v>
      </c>
      <c r="P1922">
        <v>10.72</v>
      </c>
      <c r="Q1922">
        <v>2.6</v>
      </c>
      <c r="R1922">
        <v>6</v>
      </c>
      <c r="S1922">
        <v>0.7</v>
      </c>
      <c r="T1922">
        <v>1</v>
      </c>
      <c r="U1922" t="s">
        <v>22</v>
      </c>
      <c r="V1922" t="e">
        <f>IF(#REF! = "yes", 1, 0)</f>
        <v>#REF!</v>
      </c>
      <c r="W1922" t="e">
        <f>IF(#REF! &lt;= 1, "0-1 Calls", IF(#REF! &lt;= 3, "2-3 Calls", IF(#REF! &lt;=5, "4-5 Calls", "6+ Calls")))</f>
        <v>#REF!</v>
      </c>
      <c r="X1922" t="e">
        <f>IF(#REF! &lt;= 50, "0-50", IF(#REF! &lt;=100, "51-100", IF(#REF! &lt;= 150, "101-150", "151+")))</f>
        <v>#REF!</v>
      </c>
      <c r="Y1922" t="e">
        <f>IF(#REF! &lt;= 3, "Low Charges", "High Charges")</f>
        <v>#REF!</v>
      </c>
      <c r="Z1922" t="e">
        <f>IF(#REF!&lt;=80,"Low Calls",
IF(#REF!&lt;=120,"Medium Calls","High Calls"))</f>
        <v>#REF!</v>
      </c>
      <c r="AA1922" t="e">
        <f>IF(#REF!&lt;=15,"Low Charges",
IF(#REF!&lt;=20,"Medium Charges","High Charges"))</f>
        <v>#REF!</v>
      </c>
      <c r="AB1922" t="e">
        <f>IF(AND(#REF!&gt;180, #REF!&gt;200), "Heavy Doemstic User", IF(#REF!&gt;10, "Interntional User", IF(AND(#REF!&lt;180, #REF!&lt;200,#REF!&lt;200), "Light User", "Balanced User")))</f>
        <v>#REF!</v>
      </c>
      <c r="AC1922" t="e">
        <f>IF(#REF! = 0, "No Usage", IF(#REF! &lt;= 20, "Low Usage", IF(#REF! &lt;= 40, "Medium Usgae", "High Usage")))</f>
        <v>#REF!</v>
      </c>
      <c r="AD1922" t="e">
        <f>IF(#REF!&lt;=150,"Low Usage", IF(#REF!&lt;=200,"Medium Usage", IF(#REF!&lt;=250,"High Usage","Very High Usage")))</f>
        <v>#REF!</v>
      </c>
      <c r="AE1922" t="e">
        <f>IF(#REF!&lt;=5,"Low Calls", IF(#REF!&lt;=10, "Medium Calls", "High Calls"))</f>
        <v>#REF!</v>
      </c>
      <c r="AF1922" t="e">
        <f xml:space="preserve">
IF(#REF!&gt;=4,4,0)+
IF(#REF!="yes",3,0)+
IF(#REF!="High Charges",3,0)+
IF(#REF!&gt;250,4,0)+
IF(#REF!="no",1,0)+
IF(#REF!="Heavy Domestic User",2,0)</f>
        <v>#REF!</v>
      </c>
      <c r="AG1922" t="e">
        <f>IF(#REF!&gt;=10,"High Risk", IF(#REF!&gt;=5,"Medium Risk","Low Risk"))</f>
        <v>#REF!</v>
      </c>
      <c r="AH1922" t="e">
        <f>#REF! + #REF! + #REF! + #REF!</f>
        <v>#REF!</v>
      </c>
    </row>
    <row r="1923" spans="1:34" x14ac:dyDescent="0.35">
      <c r="A1923">
        <v>1922</v>
      </c>
      <c r="B1923" t="s">
        <v>40</v>
      </c>
      <c r="C1923">
        <v>85</v>
      </c>
      <c r="D1923" t="s">
        <v>25</v>
      </c>
      <c r="E1923" t="s">
        <v>22</v>
      </c>
      <c r="F1923" t="s">
        <v>23</v>
      </c>
      <c r="G1923">
        <v>33</v>
      </c>
      <c r="H1923">
        <v>207.9</v>
      </c>
      <c r="I1923">
        <v>95</v>
      </c>
      <c r="J1923">
        <v>35.340000000000003</v>
      </c>
      <c r="K1923">
        <v>233.5</v>
      </c>
      <c r="L1923">
        <v>88</v>
      </c>
      <c r="M1923">
        <v>19.850000000000001</v>
      </c>
      <c r="N1923">
        <v>221.3</v>
      </c>
      <c r="O1923">
        <v>92</v>
      </c>
      <c r="P1923">
        <v>9.9600000000000009</v>
      </c>
      <c r="Q1923">
        <v>13.5</v>
      </c>
      <c r="R1923">
        <v>3</v>
      </c>
      <c r="S1923">
        <v>3.65</v>
      </c>
      <c r="T1923">
        <v>1</v>
      </c>
      <c r="U1923" t="s">
        <v>22</v>
      </c>
      <c r="V1923" t="e">
        <f>IF(#REF! = "yes", 1, 0)</f>
        <v>#REF!</v>
      </c>
      <c r="W1923" t="e">
        <f>IF(#REF! &lt;= 1, "0-1 Calls", IF(#REF! &lt;= 3, "2-3 Calls", IF(#REF! &lt;=5, "4-5 Calls", "6+ Calls")))</f>
        <v>#REF!</v>
      </c>
      <c r="X1923" t="e">
        <f>IF(#REF! &lt;= 50, "0-50", IF(#REF! &lt;=100, "51-100", IF(#REF! &lt;= 150, "101-150", "151+")))</f>
        <v>#REF!</v>
      </c>
      <c r="Y1923" t="e">
        <f>IF(#REF! &lt;= 3, "Low Charges", "High Charges")</f>
        <v>#REF!</v>
      </c>
      <c r="Z1923" t="e">
        <f>IF(#REF!&lt;=80,"Low Calls",
IF(#REF!&lt;=120,"Medium Calls","High Calls"))</f>
        <v>#REF!</v>
      </c>
      <c r="AA1923" t="e">
        <f>IF(#REF!&lt;=15,"Low Charges",
IF(#REF!&lt;=20,"Medium Charges","High Charges"))</f>
        <v>#REF!</v>
      </c>
      <c r="AB1923" t="e">
        <f>IF(AND(#REF!&gt;180, #REF!&gt;200), "Heavy Doemstic User", IF(#REF!&gt;10, "Interntional User", IF(AND(#REF!&lt;180, #REF!&lt;200,#REF!&lt;200), "Light User", "Balanced User")))</f>
        <v>#REF!</v>
      </c>
      <c r="AC1923" t="e">
        <f>IF(#REF! = 0, "No Usage", IF(#REF! &lt;= 20, "Low Usage", IF(#REF! &lt;= 40, "Medium Usgae", "High Usage")))</f>
        <v>#REF!</v>
      </c>
      <c r="AD1923" t="e">
        <f>IF(#REF!&lt;=150,"Low Usage", IF(#REF!&lt;=200,"Medium Usage", IF(#REF!&lt;=250,"High Usage","Very High Usage")))</f>
        <v>#REF!</v>
      </c>
      <c r="AE1923" t="e">
        <f>IF(#REF!&lt;=5,"Low Calls", IF(#REF!&lt;=10, "Medium Calls", "High Calls"))</f>
        <v>#REF!</v>
      </c>
      <c r="AF1923" t="e">
        <f xml:space="preserve">
IF(#REF!&gt;=4,4,0)+
IF(#REF!="yes",3,0)+
IF(#REF!="High Charges",3,0)+
IF(#REF!&gt;250,4,0)+
IF(#REF!="no",1,0)+
IF(#REF!="Heavy Domestic User",2,0)</f>
        <v>#REF!</v>
      </c>
      <c r="AG1923" t="e">
        <f>IF(#REF!&gt;=10,"High Risk", IF(#REF!&gt;=5,"Medium Risk","Low Risk"))</f>
        <v>#REF!</v>
      </c>
      <c r="AH1923" t="e">
        <f>#REF! + #REF! + #REF! + #REF!</f>
        <v>#REF!</v>
      </c>
    </row>
    <row r="1924" spans="1:34" x14ac:dyDescent="0.35">
      <c r="A1924">
        <v>1923</v>
      </c>
      <c r="B1924" t="s">
        <v>71</v>
      </c>
      <c r="C1924">
        <v>80</v>
      </c>
      <c r="D1924" t="s">
        <v>21</v>
      </c>
      <c r="E1924" t="s">
        <v>23</v>
      </c>
      <c r="F1924" t="s">
        <v>22</v>
      </c>
      <c r="G1924">
        <v>0</v>
      </c>
      <c r="H1924">
        <v>276.5</v>
      </c>
      <c r="I1924">
        <v>122</v>
      </c>
      <c r="J1924">
        <v>47.01</v>
      </c>
      <c r="K1924">
        <v>195.6</v>
      </c>
      <c r="L1924">
        <v>79</v>
      </c>
      <c r="M1924">
        <v>16.63</v>
      </c>
      <c r="N1924">
        <v>210.3</v>
      </c>
      <c r="O1924">
        <v>78</v>
      </c>
      <c r="P1924">
        <v>9.4600000000000009</v>
      </c>
      <c r="Q1924">
        <v>7.2</v>
      </c>
      <c r="R1924">
        <v>3</v>
      </c>
      <c r="S1924">
        <v>1.94</v>
      </c>
      <c r="T1924">
        <v>1</v>
      </c>
      <c r="U1924" t="s">
        <v>23</v>
      </c>
      <c r="V1924" t="e">
        <f>IF(#REF! = "yes", 1, 0)</f>
        <v>#REF!</v>
      </c>
      <c r="W1924" t="e">
        <f>IF(#REF! &lt;= 1, "0-1 Calls", IF(#REF! &lt;= 3, "2-3 Calls", IF(#REF! &lt;=5, "4-5 Calls", "6+ Calls")))</f>
        <v>#REF!</v>
      </c>
      <c r="X1924" t="e">
        <f>IF(#REF! &lt;= 50, "0-50", IF(#REF! &lt;=100, "51-100", IF(#REF! &lt;= 150, "101-150", "151+")))</f>
        <v>#REF!</v>
      </c>
      <c r="Y1924" t="e">
        <f>IF(#REF! &lt;= 3, "Low Charges", "High Charges")</f>
        <v>#REF!</v>
      </c>
      <c r="Z1924" t="e">
        <f>IF(#REF!&lt;=80,"Low Calls",
IF(#REF!&lt;=120,"Medium Calls","High Calls"))</f>
        <v>#REF!</v>
      </c>
      <c r="AA1924" t="e">
        <f>IF(#REF!&lt;=15,"Low Charges",
IF(#REF!&lt;=20,"Medium Charges","High Charges"))</f>
        <v>#REF!</v>
      </c>
      <c r="AB1924" t="e">
        <f>IF(AND(#REF!&gt;180, #REF!&gt;200), "Heavy Doemstic User", IF(#REF!&gt;10, "Interntional User", IF(AND(#REF!&lt;180, #REF!&lt;200,#REF!&lt;200), "Light User", "Balanced User")))</f>
        <v>#REF!</v>
      </c>
      <c r="AC1924" t="e">
        <f>IF(#REF! = 0, "No Usage", IF(#REF! &lt;= 20, "Low Usage", IF(#REF! &lt;= 40, "Medium Usgae", "High Usage")))</f>
        <v>#REF!</v>
      </c>
      <c r="AD1924" t="e">
        <f>IF(#REF!&lt;=150,"Low Usage", IF(#REF!&lt;=200,"Medium Usage", IF(#REF!&lt;=250,"High Usage","Very High Usage")))</f>
        <v>#REF!</v>
      </c>
      <c r="AE1924" t="e">
        <f>IF(#REF!&lt;=5,"Low Calls", IF(#REF!&lt;=10, "Medium Calls", "High Calls"))</f>
        <v>#REF!</v>
      </c>
      <c r="AF1924" t="e">
        <f xml:space="preserve">
IF(#REF!&gt;=4,4,0)+
IF(#REF!="yes",3,0)+
IF(#REF!="High Charges",3,0)+
IF(#REF!&gt;250,4,0)+
IF(#REF!="no",1,0)+
IF(#REF!="Heavy Domestic User",2,0)</f>
        <v>#REF!</v>
      </c>
      <c r="AG1924" t="e">
        <f>IF(#REF!&gt;=10,"High Risk", IF(#REF!&gt;=5,"Medium Risk","Low Risk"))</f>
        <v>#REF!</v>
      </c>
      <c r="AH1924" t="e">
        <f>#REF! + #REF! + #REF! + #REF!</f>
        <v>#REF!</v>
      </c>
    </row>
    <row r="1925" spans="1:34" x14ac:dyDescent="0.35">
      <c r="A1925">
        <v>1924</v>
      </c>
      <c r="B1925" t="s">
        <v>58</v>
      </c>
      <c r="C1925">
        <v>210</v>
      </c>
      <c r="D1925" t="s">
        <v>21</v>
      </c>
      <c r="E1925" t="s">
        <v>22</v>
      </c>
      <c r="F1925" t="s">
        <v>23</v>
      </c>
      <c r="G1925">
        <v>31</v>
      </c>
      <c r="H1925">
        <v>313.8</v>
      </c>
      <c r="I1925">
        <v>87</v>
      </c>
      <c r="J1925">
        <v>53.35</v>
      </c>
      <c r="K1925">
        <v>147.69999999999999</v>
      </c>
      <c r="L1925">
        <v>103</v>
      </c>
      <c r="M1925">
        <v>12.55</v>
      </c>
      <c r="N1925">
        <v>192.7</v>
      </c>
      <c r="O1925">
        <v>97</v>
      </c>
      <c r="P1925">
        <v>8.67</v>
      </c>
      <c r="Q1925">
        <v>10.1</v>
      </c>
      <c r="R1925">
        <v>7</v>
      </c>
      <c r="S1925">
        <v>2.73</v>
      </c>
      <c r="T1925">
        <v>3</v>
      </c>
      <c r="U1925" t="s">
        <v>22</v>
      </c>
      <c r="V1925" t="e">
        <f>IF(#REF! = "yes", 1, 0)</f>
        <v>#REF!</v>
      </c>
      <c r="W1925" t="e">
        <f>IF(#REF! &lt;= 1, "0-1 Calls", IF(#REF! &lt;= 3, "2-3 Calls", IF(#REF! &lt;=5, "4-5 Calls", "6+ Calls")))</f>
        <v>#REF!</v>
      </c>
      <c r="X1925" t="e">
        <f>IF(#REF! &lt;= 50, "0-50", IF(#REF! &lt;=100, "51-100", IF(#REF! &lt;= 150, "101-150", "151+")))</f>
        <v>#REF!</v>
      </c>
      <c r="Y1925" t="e">
        <f>IF(#REF! &lt;= 3, "Low Charges", "High Charges")</f>
        <v>#REF!</v>
      </c>
      <c r="Z1925" t="e">
        <f>IF(#REF!&lt;=80,"Low Calls",
IF(#REF!&lt;=120,"Medium Calls","High Calls"))</f>
        <v>#REF!</v>
      </c>
      <c r="AA1925" t="e">
        <f>IF(#REF!&lt;=15,"Low Charges",
IF(#REF!&lt;=20,"Medium Charges","High Charges"))</f>
        <v>#REF!</v>
      </c>
      <c r="AB1925" t="e">
        <f>IF(AND(#REF!&gt;180, #REF!&gt;200), "Heavy Doemstic User", IF(#REF!&gt;10, "Interntional User", IF(AND(#REF!&lt;180, #REF!&lt;200,#REF!&lt;200), "Light User", "Balanced User")))</f>
        <v>#REF!</v>
      </c>
      <c r="AC1925" t="e">
        <f>IF(#REF! = 0, "No Usage", IF(#REF! &lt;= 20, "Low Usage", IF(#REF! &lt;= 40, "Medium Usgae", "High Usage")))</f>
        <v>#REF!</v>
      </c>
      <c r="AD1925" t="e">
        <f>IF(#REF!&lt;=150,"Low Usage", IF(#REF!&lt;=200,"Medium Usage", IF(#REF!&lt;=250,"High Usage","Very High Usage")))</f>
        <v>#REF!</v>
      </c>
      <c r="AE1925" t="e">
        <f>IF(#REF!&lt;=5,"Low Calls", IF(#REF!&lt;=10, "Medium Calls", "High Calls"))</f>
        <v>#REF!</v>
      </c>
      <c r="AF1925" t="e">
        <f xml:space="preserve">
IF(#REF!&gt;=4,4,0)+
IF(#REF!="yes",3,0)+
IF(#REF!="High Charges",3,0)+
IF(#REF!&gt;250,4,0)+
IF(#REF!="no",1,0)+
IF(#REF!="Heavy Domestic User",2,0)</f>
        <v>#REF!</v>
      </c>
      <c r="AG1925" t="e">
        <f>IF(#REF!&gt;=10,"High Risk", IF(#REF!&gt;=5,"Medium Risk","Low Risk"))</f>
        <v>#REF!</v>
      </c>
      <c r="AH1925" t="e">
        <f>#REF! + #REF! + #REF! + #REF!</f>
        <v>#REF!</v>
      </c>
    </row>
    <row r="1926" spans="1:34" x14ac:dyDescent="0.35">
      <c r="A1926">
        <v>1925</v>
      </c>
      <c r="B1926" t="s">
        <v>32</v>
      </c>
      <c r="C1926">
        <v>88</v>
      </c>
      <c r="D1926" t="s">
        <v>21</v>
      </c>
      <c r="E1926" t="s">
        <v>23</v>
      </c>
      <c r="F1926" t="s">
        <v>23</v>
      </c>
      <c r="G1926">
        <v>25</v>
      </c>
      <c r="H1926">
        <v>288.5</v>
      </c>
      <c r="I1926">
        <v>114</v>
      </c>
      <c r="J1926">
        <v>49.05</v>
      </c>
      <c r="K1926">
        <v>203.4</v>
      </c>
      <c r="L1926">
        <v>74</v>
      </c>
      <c r="M1926">
        <v>17.29</v>
      </c>
      <c r="N1926">
        <v>228.4</v>
      </c>
      <c r="O1926">
        <v>117</v>
      </c>
      <c r="P1926">
        <v>10.28</v>
      </c>
      <c r="Q1926">
        <v>13</v>
      </c>
      <c r="R1926">
        <v>5</v>
      </c>
      <c r="S1926">
        <v>3.51</v>
      </c>
      <c r="T1926">
        <v>1</v>
      </c>
      <c r="U1926" t="s">
        <v>22</v>
      </c>
      <c r="V1926" t="e">
        <f>IF(#REF! = "yes", 1, 0)</f>
        <v>#REF!</v>
      </c>
      <c r="W1926" t="e">
        <f>IF(#REF! &lt;= 1, "0-1 Calls", IF(#REF! &lt;= 3, "2-3 Calls", IF(#REF! &lt;=5, "4-5 Calls", "6+ Calls")))</f>
        <v>#REF!</v>
      </c>
      <c r="X1926" t="e">
        <f>IF(#REF! &lt;= 50, "0-50", IF(#REF! &lt;=100, "51-100", IF(#REF! &lt;= 150, "101-150", "151+")))</f>
        <v>#REF!</v>
      </c>
      <c r="Y1926" t="e">
        <f>IF(#REF! &lt;= 3, "Low Charges", "High Charges")</f>
        <v>#REF!</v>
      </c>
      <c r="Z1926" t="e">
        <f>IF(#REF!&lt;=80,"Low Calls",
IF(#REF!&lt;=120,"Medium Calls","High Calls"))</f>
        <v>#REF!</v>
      </c>
      <c r="AA1926" t="e">
        <f>IF(#REF!&lt;=15,"Low Charges",
IF(#REF!&lt;=20,"Medium Charges","High Charges"))</f>
        <v>#REF!</v>
      </c>
      <c r="AB1926" t="e">
        <f>IF(AND(#REF!&gt;180, #REF!&gt;200), "Heavy Doemstic User", IF(#REF!&gt;10, "Interntional User", IF(AND(#REF!&lt;180, #REF!&lt;200,#REF!&lt;200), "Light User", "Balanced User")))</f>
        <v>#REF!</v>
      </c>
      <c r="AC1926" t="e">
        <f>IF(#REF! = 0, "No Usage", IF(#REF! &lt;= 20, "Low Usage", IF(#REF! &lt;= 40, "Medium Usgae", "High Usage")))</f>
        <v>#REF!</v>
      </c>
      <c r="AD1926" t="e">
        <f>IF(#REF!&lt;=150,"Low Usage", IF(#REF!&lt;=200,"Medium Usage", IF(#REF!&lt;=250,"High Usage","Very High Usage")))</f>
        <v>#REF!</v>
      </c>
      <c r="AE1926" t="e">
        <f>IF(#REF!&lt;=5,"Low Calls", IF(#REF!&lt;=10, "Medium Calls", "High Calls"))</f>
        <v>#REF!</v>
      </c>
      <c r="AF1926" t="e">
        <f xml:space="preserve">
IF(#REF!&gt;=4,4,0)+
IF(#REF!="yes",3,0)+
IF(#REF!="High Charges",3,0)+
IF(#REF!&gt;250,4,0)+
IF(#REF!="no",1,0)+
IF(#REF!="Heavy Domestic User",2,0)</f>
        <v>#REF!</v>
      </c>
      <c r="AG1926" t="e">
        <f>IF(#REF!&gt;=10,"High Risk", IF(#REF!&gt;=5,"Medium Risk","Low Risk"))</f>
        <v>#REF!</v>
      </c>
      <c r="AH1926" t="e">
        <f>#REF! + #REF! + #REF! + #REF!</f>
        <v>#REF!</v>
      </c>
    </row>
    <row r="1927" spans="1:34" x14ac:dyDescent="0.35">
      <c r="A1927">
        <v>1926</v>
      </c>
      <c r="B1927" t="s">
        <v>34</v>
      </c>
      <c r="C1927">
        <v>100</v>
      </c>
      <c r="D1927" t="s">
        <v>25</v>
      </c>
      <c r="E1927" t="s">
        <v>22</v>
      </c>
      <c r="F1927" t="s">
        <v>22</v>
      </c>
      <c r="G1927">
        <v>0</v>
      </c>
      <c r="H1927">
        <v>210.9</v>
      </c>
      <c r="I1927">
        <v>85</v>
      </c>
      <c r="J1927">
        <v>35.85</v>
      </c>
      <c r="K1927">
        <v>329.3</v>
      </c>
      <c r="L1927">
        <v>69</v>
      </c>
      <c r="M1927">
        <v>27.99</v>
      </c>
      <c r="N1927">
        <v>127.1</v>
      </c>
      <c r="O1927">
        <v>78</v>
      </c>
      <c r="P1927">
        <v>5.72</v>
      </c>
      <c r="Q1927">
        <v>9.4</v>
      </c>
      <c r="R1927">
        <v>5</v>
      </c>
      <c r="S1927">
        <v>2.54</v>
      </c>
      <c r="T1927">
        <v>4</v>
      </c>
      <c r="U1927" t="s">
        <v>22</v>
      </c>
      <c r="V1927" t="e">
        <f>IF(#REF! = "yes", 1, 0)</f>
        <v>#REF!</v>
      </c>
      <c r="W1927" t="e">
        <f>IF(#REF! &lt;= 1, "0-1 Calls", IF(#REF! &lt;= 3, "2-3 Calls", IF(#REF! &lt;=5, "4-5 Calls", "6+ Calls")))</f>
        <v>#REF!</v>
      </c>
      <c r="X1927" t="e">
        <f>IF(#REF! &lt;= 50, "0-50", IF(#REF! &lt;=100, "51-100", IF(#REF! &lt;= 150, "101-150", "151+")))</f>
        <v>#REF!</v>
      </c>
      <c r="Y1927" t="e">
        <f>IF(#REF! &lt;= 3, "Low Charges", "High Charges")</f>
        <v>#REF!</v>
      </c>
      <c r="Z1927" t="e">
        <f>IF(#REF!&lt;=80,"Low Calls",
IF(#REF!&lt;=120,"Medium Calls","High Calls"))</f>
        <v>#REF!</v>
      </c>
      <c r="AA1927" t="e">
        <f>IF(#REF!&lt;=15,"Low Charges",
IF(#REF!&lt;=20,"Medium Charges","High Charges"))</f>
        <v>#REF!</v>
      </c>
      <c r="AB1927" t="e">
        <f>IF(AND(#REF!&gt;180, #REF!&gt;200), "Heavy Doemstic User", IF(#REF!&gt;10, "Interntional User", IF(AND(#REF!&lt;180, #REF!&lt;200,#REF!&lt;200), "Light User", "Balanced User")))</f>
        <v>#REF!</v>
      </c>
      <c r="AC1927" t="e">
        <f>IF(#REF! = 0, "No Usage", IF(#REF! &lt;= 20, "Low Usage", IF(#REF! &lt;= 40, "Medium Usgae", "High Usage")))</f>
        <v>#REF!</v>
      </c>
      <c r="AD1927" t="e">
        <f>IF(#REF!&lt;=150,"Low Usage", IF(#REF!&lt;=200,"Medium Usage", IF(#REF!&lt;=250,"High Usage","Very High Usage")))</f>
        <v>#REF!</v>
      </c>
      <c r="AE1927" t="e">
        <f>IF(#REF!&lt;=5,"Low Calls", IF(#REF!&lt;=10, "Medium Calls", "High Calls"))</f>
        <v>#REF!</v>
      </c>
      <c r="AF1927" t="e">
        <f xml:space="preserve">
IF(#REF!&gt;=4,4,0)+
IF(#REF!="yes",3,0)+
IF(#REF!="High Charges",3,0)+
IF(#REF!&gt;250,4,0)+
IF(#REF!="no",1,0)+
IF(#REF!="Heavy Domestic User",2,0)</f>
        <v>#REF!</v>
      </c>
      <c r="AG1927" t="e">
        <f>IF(#REF!&gt;=10,"High Risk", IF(#REF!&gt;=5,"Medium Risk","Low Risk"))</f>
        <v>#REF!</v>
      </c>
      <c r="AH1927" t="e">
        <f>#REF! + #REF! + #REF! + #REF!</f>
        <v>#REF!</v>
      </c>
    </row>
    <row r="1928" spans="1:34" x14ac:dyDescent="0.35">
      <c r="A1928">
        <v>1927</v>
      </c>
      <c r="B1928" t="s">
        <v>31</v>
      </c>
      <c r="C1928">
        <v>154</v>
      </c>
      <c r="D1928" t="s">
        <v>25</v>
      </c>
      <c r="E1928" t="s">
        <v>22</v>
      </c>
      <c r="F1928" t="s">
        <v>23</v>
      </c>
      <c r="G1928">
        <v>35</v>
      </c>
      <c r="H1928">
        <v>64.900000000000006</v>
      </c>
      <c r="I1928">
        <v>76</v>
      </c>
      <c r="J1928">
        <v>11.03</v>
      </c>
      <c r="K1928">
        <v>184.1</v>
      </c>
      <c r="L1928">
        <v>91</v>
      </c>
      <c r="M1928">
        <v>15.65</v>
      </c>
      <c r="N1928">
        <v>151.6</v>
      </c>
      <c r="O1928">
        <v>75</v>
      </c>
      <c r="P1928">
        <v>6.82</v>
      </c>
      <c r="Q1928">
        <v>14.6</v>
      </c>
      <c r="R1928">
        <v>1</v>
      </c>
      <c r="S1928">
        <v>3.94</v>
      </c>
      <c r="T1928">
        <v>1</v>
      </c>
      <c r="U1928" t="s">
        <v>22</v>
      </c>
      <c r="V1928" t="e">
        <f>IF(#REF! = "yes", 1, 0)</f>
        <v>#REF!</v>
      </c>
      <c r="W1928" t="e">
        <f>IF(#REF! &lt;= 1, "0-1 Calls", IF(#REF! &lt;= 3, "2-3 Calls", IF(#REF! &lt;=5, "4-5 Calls", "6+ Calls")))</f>
        <v>#REF!</v>
      </c>
      <c r="X1928" t="e">
        <f>IF(#REF! &lt;= 50, "0-50", IF(#REF! &lt;=100, "51-100", IF(#REF! &lt;= 150, "101-150", "151+")))</f>
        <v>#REF!</v>
      </c>
      <c r="Y1928" t="e">
        <f>IF(#REF! &lt;= 3, "Low Charges", "High Charges")</f>
        <v>#REF!</v>
      </c>
      <c r="Z1928" t="e">
        <f>IF(#REF!&lt;=80,"Low Calls",
IF(#REF!&lt;=120,"Medium Calls","High Calls"))</f>
        <v>#REF!</v>
      </c>
      <c r="AA1928" t="e">
        <f>IF(#REF!&lt;=15,"Low Charges",
IF(#REF!&lt;=20,"Medium Charges","High Charges"))</f>
        <v>#REF!</v>
      </c>
      <c r="AB1928" t="e">
        <f>IF(AND(#REF!&gt;180, #REF!&gt;200), "Heavy Doemstic User", IF(#REF!&gt;10, "Interntional User", IF(AND(#REF!&lt;180, #REF!&lt;200,#REF!&lt;200), "Light User", "Balanced User")))</f>
        <v>#REF!</v>
      </c>
      <c r="AC1928" t="e">
        <f>IF(#REF! = 0, "No Usage", IF(#REF! &lt;= 20, "Low Usage", IF(#REF! &lt;= 40, "Medium Usgae", "High Usage")))</f>
        <v>#REF!</v>
      </c>
      <c r="AD1928" t="e">
        <f>IF(#REF!&lt;=150,"Low Usage", IF(#REF!&lt;=200,"Medium Usage", IF(#REF!&lt;=250,"High Usage","Very High Usage")))</f>
        <v>#REF!</v>
      </c>
      <c r="AE1928" t="e">
        <f>IF(#REF!&lt;=5,"Low Calls", IF(#REF!&lt;=10, "Medium Calls", "High Calls"))</f>
        <v>#REF!</v>
      </c>
      <c r="AF1928" t="e">
        <f xml:space="preserve">
IF(#REF!&gt;=4,4,0)+
IF(#REF!="yes",3,0)+
IF(#REF!="High Charges",3,0)+
IF(#REF!&gt;250,4,0)+
IF(#REF!="no",1,0)+
IF(#REF!="Heavy Domestic User",2,0)</f>
        <v>#REF!</v>
      </c>
      <c r="AG1928" t="e">
        <f>IF(#REF!&gt;=10,"High Risk", IF(#REF!&gt;=5,"Medium Risk","Low Risk"))</f>
        <v>#REF!</v>
      </c>
      <c r="AH1928" t="e">
        <f>#REF! + #REF! + #REF! + #REF!</f>
        <v>#REF!</v>
      </c>
    </row>
    <row r="1929" spans="1:34" x14ac:dyDescent="0.35">
      <c r="A1929">
        <v>1928</v>
      </c>
      <c r="B1929" t="s">
        <v>55</v>
      </c>
      <c r="C1929">
        <v>32</v>
      </c>
      <c r="D1929" t="s">
        <v>28</v>
      </c>
      <c r="E1929" t="s">
        <v>22</v>
      </c>
      <c r="F1929" t="s">
        <v>23</v>
      </c>
      <c r="G1929">
        <v>26</v>
      </c>
      <c r="H1929">
        <v>243.5</v>
      </c>
      <c r="I1929">
        <v>137</v>
      </c>
      <c r="J1929">
        <v>41.4</v>
      </c>
      <c r="K1929">
        <v>236.8</v>
      </c>
      <c r="L1929">
        <v>108</v>
      </c>
      <c r="M1929">
        <v>20.13</v>
      </c>
      <c r="N1929">
        <v>173.3</v>
      </c>
      <c r="O1929">
        <v>149</v>
      </c>
      <c r="P1929">
        <v>7.8</v>
      </c>
      <c r="Q1929">
        <v>9</v>
      </c>
      <c r="R1929">
        <v>9</v>
      </c>
      <c r="S1929">
        <v>2.4300000000000002</v>
      </c>
      <c r="T1929">
        <v>1</v>
      </c>
      <c r="U1929" t="s">
        <v>22</v>
      </c>
      <c r="V1929" t="e">
        <f>IF(#REF! = "yes", 1, 0)</f>
        <v>#REF!</v>
      </c>
      <c r="W1929" t="e">
        <f>IF(#REF! &lt;= 1, "0-1 Calls", IF(#REF! &lt;= 3, "2-3 Calls", IF(#REF! &lt;=5, "4-5 Calls", "6+ Calls")))</f>
        <v>#REF!</v>
      </c>
      <c r="X1929" t="e">
        <f>IF(#REF! &lt;= 50, "0-50", IF(#REF! &lt;=100, "51-100", IF(#REF! &lt;= 150, "101-150", "151+")))</f>
        <v>#REF!</v>
      </c>
      <c r="Y1929" t="e">
        <f>IF(#REF! &lt;= 3, "Low Charges", "High Charges")</f>
        <v>#REF!</v>
      </c>
      <c r="Z1929" t="e">
        <f>IF(#REF!&lt;=80,"Low Calls",
IF(#REF!&lt;=120,"Medium Calls","High Calls"))</f>
        <v>#REF!</v>
      </c>
      <c r="AA1929" t="e">
        <f>IF(#REF!&lt;=15,"Low Charges",
IF(#REF!&lt;=20,"Medium Charges","High Charges"))</f>
        <v>#REF!</v>
      </c>
      <c r="AB1929" t="e">
        <f>IF(AND(#REF!&gt;180, #REF!&gt;200), "Heavy Doemstic User", IF(#REF!&gt;10, "Interntional User", IF(AND(#REF!&lt;180, #REF!&lt;200,#REF!&lt;200), "Light User", "Balanced User")))</f>
        <v>#REF!</v>
      </c>
      <c r="AC1929" t="e">
        <f>IF(#REF! = 0, "No Usage", IF(#REF! &lt;= 20, "Low Usage", IF(#REF! &lt;= 40, "Medium Usgae", "High Usage")))</f>
        <v>#REF!</v>
      </c>
      <c r="AD1929" t="e">
        <f>IF(#REF!&lt;=150,"Low Usage", IF(#REF!&lt;=200,"Medium Usage", IF(#REF!&lt;=250,"High Usage","Very High Usage")))</f>
        <v>#REF!</v>
      </c>
      <c r="AE1929" t="e">
        <f>IF(#REF!&lt;=5,"Low Calls", IF(#REF!&lt;=10, "Medium Calls", "High Calls"))</f>
        <v>#REF!</v>
      </c>
      <c r="AF1929" t="e">
        <f xml:space="preserve">
IF(#REF!&gt;=4,4,0)+
IF(#REF!="yes",3,0)+
IF(#REF!="High Charges",3,0)+
IF(#REF!&gt;250,4,0)+
IF(#REF!="no",1,0)+
IF(#REF!="Heavy Domestic User",2,0)</f>
        <v>#REF!</v>
      </c>
      <c r="AG1929" t="e">
        <f>IF(#REF!&gt;=10,"High Risk", IF(#REF!&gt;=5,"Medium Risk","Low Risk"))</f>
        <v>#REF!</v>
      </c>
      <c r="AH1929" t="e">
        <f>#REF! + #REF! + #REF! + #REF!</f>
        <v>#REF!</v>
      </c>
    </row>
    <row r="1930" spans="1:34" x14ac:dyDescent="0.35">
      <c r="A1930">
        <v>1929</v>
      </c>
      <c r="B1930" t="s">
        <v>48</v>
      </c>
      <c r="C1930">
        <v>18</v>
      </c>
      <c r="D1930" t="s">
        <v>25</v>
      </c>
      <c r="E1930" t="s">
        <v>22</v>
      </c>
      <c r="F1930" t="s">
        <v>22</v>
      </c>
      <c r="G1930">
        <v>0</v>
      </c>
      <c r="H1930">
        <v>197</v>
      </c>
      <c r="I1930">
        <v>97</v>
      </c>
      <c r="J1930">
        <v>33.49</v>
      </c>
      <c r="K1930">
        <v>203.7</v>
      </c>
      <c r="L1930">
        <v>107</v>
      </c>
      <c r="M1930">
        <v>17.309999999999999</v>
      </c>
      <c r="N1930">
        <v>202</v>
      </c>
      <c r="O1930">
        <v>105</v>
      </c>
      <c r="P1930">
        <v>9.09</v>
      </c>
      <c r="Q1930">
        <v>8.6999999999999993</v>
      </c>
      <c r="R1930">
        <v>3</v>
      </c>
      <c r="S1930">
        <v>2.35</v>
      </c>
      <c r="T1930">
        <v>3</v>
      </c>
      <c r="U1930" t="s">
        <v>22</v>
      </c>
      <c r="V1930" t="e">
        <f>IF(#REF! = "yes", 1, 0)</f>
        <v>#REF!</v>
      </c>
      <c r="W1930" t="e">
        <f>IF(#REF! &lt;= 1, "0-1 Calls", IF(#REF! &lt;= 3, "2-3 Calls", IF(#REF! &lt;=5, "4-5 Calls", "6+ Calls")))</f>
        <v>#REF!</v>
      </c>
      <c r="X1930" t="e">
        <f>IF(#REF! &lt;= 50, "0-50", IF(#REF! &lt;=100, "51-100", IF(#REF! &lt;= 150, "101-150", "151+")))</f>
        <v>#REF!</v>
      </c>
      <c r="Y1930" t="e">
        <f>IF(#REF! &lt;= 3, "Low Charges", "High Charges")</f>
        <v>#REF!</v>
      </c>
      <c r="Z1930" t="e">
        <f>IF(#REF!&lt;=80,"Low Calls",
IF(#REF!&lt;=120,"Medium Calls","High Calls"))</f>
        <v>#REF!</v>
      </c>
      <c r="AA1930" t="e">
        <f>IF(#REF!&lt;=15,"Low Charges",
IF(#REF!&lt;=20,"Medium Charges","High Charges"))</f>
        <v>#REF!</v>
      </c>
      <c r="AB1930" t="e">
        <f>IF(AND(#REF!&gt;180, #REF!&gt;200), "Heavy Doemstic User", IF(#REF!&gt;10, "Interntional User", IF(AND(#REF!&lt;180, #REF!&lt;200,#REF!&lt;200), "Light User", "Balanced User")))</f>
        <v>#REF!</v>
      </c>
      <c r="AC1930" t="e">
        <f>IF(#REF! = 0, "No Usage", IF(#REF! &lt;= 20, "Low Usage", IF(#REF! &lt;= 40, "Medium Usgae", "High Usage")))</f>
        <v>#REF!</v>
      </c>
      <c r="AD1930" t="e">
        <f>IF(#REF!&lt;=150,"Low Usage", IF(#REF!&lt;=200,"Medium Usage", IF(#REF!&lt;=250,"High Usage","Very High Usage")))</f>
        <v>#REF!</v>
      </c>
      <c r="AE1930" t="e">
        <f>IF(#REF!&lt;=5,"Low Calls", IF(#REF!&lt;=10, "Medium Calls", "High Calls"))</f>
        <v>#REF!</v>
      </c>
      <c r="AF1930" t="e">
        <f xml:space="preserve">
IF(#REF!&gt;=4,4,0)+
IF(#REF!="yes",3,0)+
IF(#REF!="High Charges",3,0)+
IF(#REF!&gt;250,4,0)+
IF(#REF!="no",1,0)+
IF(#REF!="Heavy Domestic User",2,0)</f>
        <v>#REF!</v>
      </c>
      <c r="AG1930" t="e">
        <f>IF(#REF!&gt;=10,"High Risk", IF(#REF!&gt;=5,"Medium Risk","Low Risk"))</f>
        <v>#REF!</v>
      </c>
      <c r="AH1930" t="e">
        <f>#REF! + #REF! + #REF! + #REF!</f>
        <v>#REF!</v>
      </c>
    </row>
    <row r="1931" spans="1:34" x14ac:dyDescent="0.35">
      <c r="A1931">
        <v>1930</v>
      </c>
      <c r="B1931" t="s">
        <v>47</v>
      </c>
      <c r="C1931">
        <v>126</v>
      </c>
      <c r="D1931" t="s">
        <v>21</v>
      </c>
      <c r="E1931" t="s">
        <v>22</v>
      </c>
      <c r="F1931" t="s">
        <v>23</v>
      </c>
      <c r="G1931">
        <v>31</v>
      </c>
      <c r="H1931">
        <v>278</v>
      </c>
      <c r="I1931">
        <v>88</v>
      </c>
      <c r="J1931">
        <v>47.26</v>
      </c>
      <c r="K1931">
        <v>253.2</v>
      </c>
      <c r="L1931">
        <v>65</v>
      </c>
      <c r="M1931">
        <v>21.52</v>
      </c>
      <c r="N1931">
        <v>223.2</v>
      </c>
      <c r="O1931">
        <v>114</v>
      </c>
      <c r="P1931">
        <v>10.039999999999999</v>
      </c>
      <c r="Q1931">
        <v>8.6999999999999993</v>
      </c>
      <c r="R1931">
        <v>4</v>
      </c>
      <c r="S1931">
        <v>2.35</v>
      </c>
      <c r="T1931">
        <v>0</v>
      </c>
      <c r="U1931" t="s">
        <v>22</v>
      </c>
      <c r="V1931" t="e">
        <f>IF(#REF! = "yes", 1, 0)</f>
        <v>#REF!</v>
      </c>
      <c r="W1931" t="e">
        <f>IF(#REF! &lt;= 1, "0-1 Calls", IF(#REF! &lt;= 3, "2-3 Calls", IF(#REF! &lt;=5, "4-5 Calls", "6+ Calls")))</f>
        <v>#REF!</v>
      </c>
      <c r="X1931" t="e">
        <f>IF(#REF! &lt;= 50, "0-50", IF(#REF! &lt;=100, "51-100", IF(#REF! &lt;= 150, "101-150", "151+")))</f>
        <v>#REF!</v>
      </c>
      <c r="Y1931" t="e">
        <f>IF(#REF! &lt;= 3, "Low Charges", "High Charges")</f>
        <v>#REF!</v>
      </c>
      <c r="Z1931" t="e">
        <f>IF(#REF!&lt;=80,"Low Calls",
IF(#REF!&lt;=120,"Medium Calls","High Calls"))</f>
        <v>#REF!</v>
      </c>
      <c r="AA1931" t="e">
        <f>IF(#REF!&lt;=15,"Low Charges",
IF(#REF!&lt;=20,"Medium Charges","High Charges"))</f>
        <v>#REF!</v>
      </c>
      <c r="AB1931" t="e">
        <f>IF(AND(#REF!&gt;180, #REF!&gt;200), "Heavy Doemstic User", IF(#REF!&gt;10, "Interntional User", IF(AND(#REF!&lt;180, #REF!&lt;200,#REF!&lt;200), "Light User", "Balanced User")))</f>
        <v>#REF!</v>
      </c>
      <c r="AC1931" t="e">
        <f>IF(#REF! = 0, "No Usage", IF(#REF! &lt;= 20, "Low Usage", IF(#REF! &lt;= 40, "Medium Usgae", "High Usage")))</f>
        <v>#REF!</v>
      </c>
      <c r="AD1931" t="e">
        <f>IF(#REF!&lt;=150,"Low Usage", IF(#REF!&lt;=200,"Medium Usage", IF(#REF!&lt;=250,"High Usage","Very High Usage")))</f>
        <v>#REF!</v>
      </c>
      <c r="AE1931" t="e">
        <f>IF(#REF!&lt;=5,"Low Calls", IF(#REF!&lt;=10, "Medium Calls", "High Calls"))</f>
        <v>#REF!</v>
      </c>
      <c r="AF1931" t="e">
        <f xml:space="preserve">
IF(#REF!&gt;=4,4,0)+
IF(#REF!="yes",3,0)+
IF(#REF!="High Charges",3,0)+
IF(#REF!&gt;250,4,0)+
IF(#REF!="no",1,0)+
IF(#REF!="Heavy Domestic User",2,0)</f>
        <v>#REF!</v>
      </c>
      <c r="AG1931" t="e">
        <f>IF(#REF!&gt;=10,"High Risk", IF(#REF!&gt;=5,"Medium Risk","Low Risk"))</f>
        <v>#REF!</v>
      </c>
      <c r="AH1931" t="e">
        <f>#REF! + #REF! + #REF! + #REF!</f>
        <v>#REF!</v>
      </c>
    </row>
    <row r="1932" spans="1:34" x14ac:dyDescent="0.35">
      <c r="A1932">
        <v>1931</v>
      </c>
      <c r="B1932" t="s">
        <v>67</v>
      </c>
      <c r="C1932">
        <v>29</v>
      </c>
      <c r="D1932" t="s">
        <v>28</v>
      </c>
      <c r="E1932" t="s">
        <v>22</v>
      </c>
      <c r="F1932" t="s">
        <v>22</v>
      </c>
      <c r="G1932">
        <v>0</v>
      </c>
      <c r="H1932">
        <v>313.2</v>
      </c>
      <c r="I1932">
        <v>103</v>
      </c>
      <c r="J1932">
        <v>53.24</v>
      </c>
      <c r="K1932">
        <v>216.3</v>
      </c>
      <c r="L1932">
        <v>151</v>
      </c>
      <c r="M1932">
        <v>18.39</v>
      </c>
      <c r="N1932">
        <v>218.4</v>
      </c>
      <c r="O1932">
        <v>106</v>
      </c>
      <c r="P1932">
        <v>9.83</v>
      </c>
      <c r="Q1932">
        <v>12.8</v>
      </c>
      <c r="R1932">
        <v>4</v>
      </c>
      <c r="S1932">
        <v>3.46</v>
      </c>
      <c r="T1932">
        <v>2</v>
      </c>
      <c r="U1932" t="s">
        <v>23</v>
      </c>
      <c r="V1932" t="e">
        <f>IF(#REF! = "yes", 1, 0)</f>
        <v>#REF!</v>
      </c>
      <c r="W1932" t="e">
        <f>IF(#REF! &lt;= 1, "0-1 Calls", IF(#REF! &lt;= 3, "2-3 Calls", IF(#REF! &lt;=5, "4-5 Calls", "6+ Calls")))</f>
        <v>#REF!</v>
      </c>
      <c r="X1932" t="e">
        <f>IF(#REF! &lt;= 50, "0-50", IF(#REF! &lt;=100, "51-100", IF(#REF! &lt;= 150, "101-150", "151+")))</f>
        <v>#REF!</v>
      </c>
      <c r="Y1932" t="e">
        <f>IF(#REF! &lt;= 3, "Low Charges", "High Charges")</f>
        <v>#REF!</v>
      </c>
      <c r="Z1932" t="e">
        <f>IF(#REF!&lt;=80,"Low Calls",
IF(#REF!&lt;=120,"Medium Calls","High Calls"))</f>
        <v>#REF!</v>
      </c>
      <c r="AA1932" t="e">
        <f>IF(#REF!&lt;=15,"Low Charges",
IF(#REF!&lt;=20,"Medium Charges","High Charges"))</f>
        <v>#REF!</v>
      </c>
      <c r="AB1932" t="e">
        <f>IF(AND(#REF!&gt;180, #REF!&gt;200), "Heavy Doemstic User", IF(#REF!&gt;10, "Interntional User", IF(AND(#REF!&lt;180, #REF!&lt;200,#REF!&lt;200), "Light User", "Balanced User")))</f>
        <v>#REF!</v>
      </c>
      <c r="AC1932" t="e">
        <f>IF(#REF! = 0, "No Usage", IF(#REF! &lt;= 20, "Low Usage", IF(#REF! &lt;= 40, "Medium Usgae", "High Usage")))</f>
        <v>#REF!</v>
      </c>
      <c r="AD1932" t="e">
        <f>IF(#REF!&lt;=150,"Low Usage", IF(#REF!&lt;=200,"Medium Usage", IF(#REF!&lt;=250,"High Usage","Very High Usage")))</f>
        <v>#REF!</v>
      </c>
      <c r="AE1932" t="e">
        <f>IF(#REF!&lt;=5,"Low Calls", IF(#REF!&lt;=10, "Medium Calls", "High Calls"))</f>
        <v>#REF!</v>
      </c>
      <c r="AF1932" t="e">
        <f xml:space="preserve">
IF(#REF!&gt;=4,4,0)+
IF(#REF!="yes",3,0)+
IF(#REF!="High Charges",3,0)+
IF(#REF!&gt;250,4,0)+
IF(#REF!="no",1,0)+
IF(#REF!="Heavy Domestic User",2,0)</f>
        <v>#REF!</v>
      </c>
      <c r="AG1932" t="e">
        <f>IF(#REF!&gt;=10,"High Risk", IF(#REF!&gt;=5,"Medium Risk","Low Risk"))</f>
        <v>#REF!</v>
      </c>
      <c r="AH1932" t="e">
        <f>#REF! + #REF! + #REF! + #REF!</f>
        <v>#REF!</v>
      </c>
    </row>
    <row r="1933" spans="1:34" x14ac:dyDescent="0.35">
      <c r="A1933">
        <v>1932</v>
      </c>
      <c r="B1933" t="s">
        <v>50</v>
      </c>
      <c r="C1933">
        <v>86</v>
      </c>
      <c r="D1933" t="s">
        <v>25</v>
      </c>
      <c r="E1933" t="s">
        <v>22</v>
      </c>
      <c r="F1933" t="s">
        <v>23</v>
      </c>
      <c r="G1933">
        <v>16</v>
      </c>
      <c r="H1933">
        <v>145.69999999999999</v>
      </c>
      <c r="I1933">
        <v>88</v>
      </c>
      <c r="J1933">
        <v>24.77</v>
      </c>
      <c r="K1933">
        <v>191</v>
      </c>
      <c r="L1933">
        <v>129</v>
      </c>
      <c r="M1933">
        <v>16.239999999999998</v>
      </c>
      <c r="N1933">
        <v>215.5</v>
      </c>
      <c r="O1933">
        <v>82</v>
      </c>
      <c r="P1933">
        <v>9.6999999999999993</v>
      </c>
      <c r="Q1933">
        <v>11.3</v>
      </c>
      <c r="R1933">
        <v>7</v>
      </c>
      <c r="S1933">
        <v>3.05</v>
      </c>
      <c r="T1933">
        <v>0</v>
      </c>
      <c r="U1933" t="s">
        <v>22</v>
      </c>
      <c r="V1933" t="e">
        <f>IF(#REF! = "yes", 1, 0)</f>
        <v>#REF!</v>
      </c>
      <c r="W1933" t="e">
        <f>IF(#REF! &lt;= 1, "0-1 Calls", IF(#REF! &lt;= 3, "2-3 Calls", IF(#REF! &lt;=5, "4-5 Calls", "6+ Calls")))</f>
        <v>#REF!</v>
      </c>
      <c r="X1933" t="e">
        <f>IF(#REF! &lt;= 50, "0-50", IF(#REF! &lt;=100, "51-100", IF(#REF! &lt;= 150, "101-150", "151+")))</f>
        <v>#REF!</v>
      </c>
      <c r="Y1933" t="e">
        <f>IF(#REF! &lt;= 3, "Low Charges", "High Charges")</f>
        <v>#REF!</v>
      </c>
      <c r="Z1933" t="e">
        <f>IF(#REF!&lt;=80,"Low Calls",
IF(#REF!&lt;=120,"Medium Calls","High Calls"))</f>
        <v>#REF!</v>
      </c>
      <c r="AA1933" t="e">
        <f>IF(#REF!&lt;=15,"Low Charges",
IF(#REF!&lt;=20,"Medium Charges","High Charges"))</f>
        <v>#REF!</v>
      </c>
      <c r="AB1933" t="e">
        <f>IF(AND(#REF!&gt;180, #REF!&gt;200), "Heavy Doemstic User", IF(#REF!&gt;10, "Interntional User", IF(AND(#REF!&lt;180, #REF!&lt;200,#REF!&lt;200), "Light User", "Balanced User")))</f>
        <v>#REF!</v>
      </c>
      <c r="AC1933" t="e">
        <f>IF(#REF! = 0, "No Usage", IF(#REF! &lt;= 20, "Low Usage", IF(#REF! &lt;= 40, "Medium Usgae", "High Usage")))</f>
        <v>#REF!</v>
      </c>
      <c r="AD1933" t="e">
        <f>IF(#REF!&lt;=150,"Low Usage", IF(#REF!&lt;=200,"Medium Usage", IF(#REF!&lt;=250,"High Usage","Very High Usage")))</f>
        <v>#REF!</v>
      </c>
      <c r="AE1933" t="e">
        <f>IF(#REF!&lt;=5,"Low Calls", IF(#REF!&lt;=10, "Medium Calls", "High Calls"))</f>
        <v>#REF!</v>
      </c>
      <c r="AF1933" t="e">
        <f xml:space="preserve">
IF(#REF!&gt;=4,4,0)+
IF(#REF!="yes",3,0)+
IF(#REF!="High Charges",3,0)+
IF(#REF!&gt;250,4,0)+
IF(#REF!="no",1,0)+
IF(#REF!="Heavy Domestic User",2,0)</f>
        <v>#REF!</v>
      </c>
      <c r="AG1933" t="e">
        <f>IF(#REF!&gt;=10,"High Risk", IF(#REF!&gt;=5,"Medium Risk","Low Risk"))</f>
        <v>#REF!</v>
      </c>
      <c r="AH1933" t="e">
        <f>#REF! + #REF! + #REF! + #REF!</f>
        <v>#REF!</v>
      </c>
    </row>
    <row r="1934" spans="1:34" x14ac:dyDescent="0.35">
      <c r="A1934">
        <v>1933</v>
      </c>
      <c r="B1934" t="s">
        <v>47</v>
      </c>
      <c r="C1934">
        <v>138</v>
      </c>
      <c r="D1934" t="s">
        <v>21</v>
      </c>
      <c r="E1934" t="s">
        <v>22</v>
      </c>
      <c r="F1934" t="s">
        <v>23</v>
      </c>
      <c r="G1934">
        <v>37</v>
      </c>
      <c r="H1934">
        <v>75.8</v>
      </c>
      <c r="I1934">
        <v>102</v>
      </c>
      <c r="J1934">
        <v>12.89</v>
      </c>
      <c r="K1934">
        <v>173.6</v>
      </c>
      <c r="L1934">
        <v>147</v>
      </c>
      <c r="M1934">
        <v>14.76</v>
      </c>
      <c r="N1934">
        <v>162.6</v>
      </c>
      <c r="O1934">
        <v>96</v>
      </c>
      <c r="P1934">
        <v>7.32</v>
      </c>
      <c r="Q1934">
        <v>8.1999999999999993</v>
      </c>
      <c r="R1934">
        <v>13</v>
      </c>
      <c r="S1934">
        <v>2.21</v>
      </c>
      <c r="T1934">
        <v>0</v>
      </c>
      <c r="U1934" t="s">
        <v>22</v>
      </c>
      <c r="V1934" t="e">
        <f>IF(#REF! = "yes", 1, 0)</f>
        <v>#REF!</v>
      </c>
      <c r="W1934" t="e">
        <f>IF(#REF! &lt;= 1, "0-1 Calls", IF(#REF! &lt;= 3, "2-3 Calls", IF(#REF! &lt;=5, "4-5 Calls", "6+ Calls")))</f>
        <v>#REF!</v>
      </c>
      <c r="X1934" t="e">
        <f>IF(#REF! &lt;= 50, "0-50", IF(#REF! &lt;=100, "51-100", IF(#REF! &lt;= 150, "101-150", "151+")))</f>
        <v>#REF!</v>
      </c>
      <c r="Y1934" t="e">
        <f>IF(#REF! &lt;= 3, "Low Charges", "High Charges")</f>
        <v>#REF!</v>
      </c>
      <c r="Z1934" t="e">
        <f>IF(#REF!&lt;=80,"Low Calls",
IF(#REF!&lt;=120,"Medium Calls","High Calls"))</f>
        <v>#REF!</v>
      </c>
      <c r="AA1934" t="e">
        <f>IF(#REF!&lt;=15,"Low Charges",
IF(#REF!&lt;=20,"Medium Charges","High Charges"))</f>
        <v>#REF!</v>
      </c>
      <c r="AB1934" t="e">
        <f>IF(AND(#REF!&gt;180, #REF!&gt;200), "Heavy Doemstic User", IF(#REF!&gt;10, "Interntional User", IF(AND(#REF!&lt;180, #REF!&lt;200,#REF!&lt;200), "Light User", "Balanced User")))</f>
        <v>#REF!</v>
      </c>
      <c r="AC1934" t="e">
        <f>IF(#REF! = 0, "No Usage", IF(#REF! &lt;= 20, "Low Usage", IF(#REF! &lt;= 40, "Medium Usgae", "High Usage")))</f>
        <v>#REF!</v>
      </c>
      <c r="AD1934" t="e">
        <f>IF(#REF!&lt;=150,"Low Usage", IF(#REF!&lt;=200,"Medium Usage", IF(#REF!&lt;=250,"High Usage","Very High Usage")))</f>
        <v>#REF!</v>
      </c>
      <c r="AE1934" t="e">
        <f>IF(#REF!&lt;=5,"Low Calls", IF(#REF!&lt;=10, "Medium Calls", "High Calls"))</f>
        <v>#REF!</v>
      </c>
      <c r="AF1934" t="e">
        <f xml:space="preserve">
IF(#REF!&gt;=4,4,0)+
IF(#REF!="yes",3,0)+
IF(#REF!="High Charges",3,0)+
IF(#REF!&gt;250,4,0)+
IF(#REF!="no",1,0)+
IF(#REF!="Heavy Domestic User",2,0)</f>
        <v>#REF!</v>
      </c>
      <c r="AG1934" t="e">
        <f>IF(#REF!&gt;=10,"High Risk", IF(#REF!&gt;=5,"Medium Risk","Low Risk"))</f>
        <v>#REF!</v>
      </c>
      <c r="AH1934" t="e">
        <f>#REF! + #REF! + #REF! + #REF!</f>
        <v>#REF!</v>
      </c>
    </row>
    <row r="1935" spans="1:34" x14ac:dyDescent="0.35">
      <c r="A1935">
        <v>1934</v>
      </c>
      <c r="B1935" t="s">
        <v>66</v>
      </c>
      <c r="C1935">
        <v>175</v>
      </c>
      <c r="D1935" t="s">
        <v>21</v>
      </c>
      <c r="E1935" t="s">
        <v>22</v>
      </c>
      <c r="F1935" t="s">
        <v>22</v>
      </c>
      <c r="G1935">
        <v>0</v>
      </c>
      <c r="H1935">
        <v>132</v>
      </c>
      <c r="I1935">
        <v>95</v>
      </c>
      <c r="J1935">
        <v>22.44</v>
      </c>
      <c r="K1935">
        <v>231.2</v>
      </c>
      <c r="L1935">
        <v>74</v>
      </c>
      <c r="M1935">
        <v>19.649999999999999</v>
      </c>
      <c r="N1935">
        <v>313.39999999999998</v>
      </c>
      <c r="O1935">
        <v>108</v>
      </c>
      <c r="P1935">
        <v>14.1</v>
      </c>
      <c r="Q1935">
        <v>8.6999999999999993</v>
      </c>
      <c r="R1935">
        <v>10</v>
      </c>
      <c r="S1935">
        <v>2.35</v>
      </c>
      <c r="T1935">
        <v>1</v>
      </c>
      <c r="U1935" t="s">
        <v>22</v>
      </c>
      <c r="V1935" t="e">
        <f>IF(#REF! = "yes", 1, 0)</f>
        <v>#REF!</v>
      </c>
      <c r="W1935" t="e">
        <f>IF(#REF! &lt;= 1, "0-1 Calls", IF(#REF! &lt;= 3, "2-3 Calls", IF(#REF! &lt;=5, "4-5 Calls", "6+ Calls")))</f>
        <v>#REF!</v>
      </c>
      <c r="X1935" t="e">
        <f>IF(#REF! &lt;= 50, "0-50", IF(#REF! &lt;=100, "51-100", IF(#REF! &lt;= 150, "101-150", "151+")))</f>
        <v>#REF!</v>
      </c>
      <c r="Y1935" t="e">
        <f>IF(#REF! &lt;= 3, "Low Charges", "High Charges")</f>
        <v>#REF!</v>
      </c>
      <c r="Z1935" t="e">
        <f>IF(#REF!&lt;=80,"Low Calls",
IF(#REF!&lt;=120,"Medium Calls","High Calls"))</f>
        <v>#REF!</v>
      </c>
      <c r="AA1935" t="e">
        <f>IF(#REF!&lt;=15,"Low Charges",
IF(#REF!&lt;=20,"Medium Charges","High Charges"))</f>
        <v>#REF!</v>
      </c>
      <c r="AB1935" t="e">
        <f>IF(AND(#REF!&gt;180, #REF!&gt;200), "Heavy Doemstic User", IF(#REF!&gt;10, "Interntional User", IF(AND(#REF!&lt;180, #REF!&lt;200,#REF!&lt;200), "Light User", "Balanced User")))</f>
        <v>#REF!</v>
      </c>
      <c r="AC1935" t="e">
        <f>IF(#REF! = 0, "No Usage", IF(#REF! &lt;= 20, "Low Usage", IF(#REF! &lt;= 40, "Medium Usgae", "High Usage")))</f>
        <v>#REF!</v>
      </c>
      <c r="AD1935" t="e">
        <f>IF(#REF!&lt;=150,"Low Usage", IF(#REF!&lt;=200,"Medium Usage", IF(#REF!&lt;=250,"High Usage","Very High Usage")))</f>
        <v>#REF!</v>
      </c>
      <c r="AE1935" t="e">
        <f>IF(#REF!&lt;=5,"Low Calls", IF(#REF!&lt;=10, "Medium Calls", "High Calls"))</f>
        <v>#REF!</v>
      </c>
      <c r="AF1935" t="e">
        <f xml:space="preserve">
IF(#REF!&gt;=4,4,0)+
IF(#REF!="yes",3,0)+
IF(#REF!="High Charges",3,0)+
IF(#REF!&gt;250,4,0)+
IF(#REF!="no",1,0)+
IF(#REF!="Heavy Domestic User",2,0)</f>
        <v>#REF!</v>
      </c>
      <c r="AG1935" t="e">
        <f>IF(#REF!&gt;=10,"High Risk", IF(#REF!&gt;=5,"Medium Risk","Low Risk"))</f>
        <v>#REF!</v>
      </c>
      <c r="AH1935" t="e">
        <f>#REF! + #REF! + #REF! + #REF!</f>
        <v>#REF!</v>
      </c>
    </row>
    <row r="1936" spans="1:34" x14ac:dyDescent="0.35">
      <c r="A1936">
        <v>1935</v>
      </c>
      <c r="B1936" t="s">
        <v>31</v>
      </c>
      <c r="C1936">
        <v>74</v>
      </c>
      <c r="D1936" t="s">
        <v>28</v>
      </c>
      <c r="E1936" t="s">
        <v>22</v>
      </c>
      <c r="F1936" t="s">
        <v>22</v>
      </c>
      <c r="G1936">
        <v>0</v>
      </c>
      <c r="H1936">
        <v>124</v>
      </c>
      <c r="I1936">
        <v>102</v>
      </c>
      <c r="J1936">
        <v>21.08</v>
      </c>
      <c r="K1936">
        <v>262.10000000000002</v>
      </c>
      <c r="L1936">
        <v>101</v>
      </c>
      <c r="M1936">
        <v>22.28</v>
      </c>
      <c r="N1936">
        <v>268.2</v>
      </c>
      <c r="O1936">
        <v>98</v>
      </c>
      <c r="P1936">
        <v>12.07</v>
      </c>
      <c r="Q1936">
        <v>11.7</v>
      </c>
      <c r="R1936">
        <v>2</v>
      </c>
      <c r="S1936">
        <v>3.16</v>
      </c>
      <c r="T1936">
        <v>2</v>
      </c>
      <c r="U1936" t="s">
        <v>22</v>
      </c>
      <c r="V1936" t="e">
        <f>IF(#REF! = "yes", 1, 0)</f>
        <v>#REF!</v>
      </c>
      <c r="W1936" t="e">
        <f>IF(#REF! &lt;= 1, "0-1 Calls", IF(#REF! &lt;= 3, "2-3 Calls", IF(#REF! &lt;=5, "4-5 Calls", "6+ Calls")))</f>
        <v>#REF!</v>
      </c>
      <c r="X1936" t="e">
        <f>IF(#REF! &lt;= 50, "0-50", IF(#REF! &lt;=100, "51-100", IF(#REF! &lt;= 150, "101-150", "151+")))</f>
        <v>#REF!</v>
      </c>
      <c r="Y1936" t="e">
        <f>IF(#REF! &lt;= 3, "Low Charges", "High Charges")</f>
        <v>#REF!</v>
      </c>
      <c r="Z1936" t="e">
        <f>IF(#REF!&lt;=80,"Low Calls",
IF(#REF!&lt;=120,"Medium Calls","High Calls"))</f>
        <v>#REF!</v>
      </c>
      <c r="AA1936" t="e">
        <f>IF(#REF!&lt;=15,"Low Charges",
IF(#REF!&lt;=20,"Medium Charges","High Charges"))</f>
        <v>#REF!</v>
      </c>
      <c r="AB1936" t="e">
        <f>IF(AND(#REF!&gt;180, #REF!&gt;200), "Heavy Doemstic User", IF(#REF!&gt;10, "Interntional User", IF(AND(#REF!&lt;180, #REF!&lt;200,#REF!&lt;200), "Light User", "Balanced User")))</f>
        <v>#REF!</v>
      </c>
      <c r="AC1936" t="e">
        <f>IF(#REF! = 0, "No Usage", IF(#REF! &lt;= 20, "Low Usage", IF(#REF! &lt;= 40, "Medium Usgae", "High Usage")))</f>
        <v>#REF!</v>
      </c>
      <c r="AD1936" t="e">
        <f>IF(#REF!&lt;=150,"Low Usage", IF(#REF!&lt;=200,"Medium Usage", IF(#REF!&lt;=250,"High Usage","Very High Usage")))</f>
        <v>#REF!</v>
      </c>
      <c r="AE1936" t="e">
        <f>IF(#REF!&lt;=5,"Low Calls", IF(#REF!&lt;=10, "Medium Calls", "High Calls"))</f>
        <v>#REF!</v>
      </c>
      <c r="AF1936" t="e">
        <f xml:space="preserve">
IF(#REF!&gt;=4,4,0)+
IF(#REF!="yes",3,0)+
IF(#REF!="High Charges",3,0)+
IF(#REF!&gt;250,4,0)+
IF(#REF!="no",1,0)+
IF(#REF!="Heavy Domestic User",2,0)</f>
        <v>#REF!</v>
      </c>
      <c r="AG1936" t="e">
        <f>IF(#REF!&gt;=10,"High Risk", IF(#REF!&gt;=5,"Medium Risk","Low Risk"))</f>
        <v>#REF!</v>
      </c>
      <c r="AH1936" t="e">
        <f>#REF! + #REF! + #REF! + #REF!</f>
        <v>#REF!</v>
      </c>
    </row>
    <row r="1937" spans="1:34" x14ac:dyDescent="0.35">
      <c r="A1937">
        <v>1936</v>
      </c>
      <c r="B1937" t="s">
        <v>74</v>
      </c>
      <c r="C1937">
        <v>48</v>
      </c>
      <c r="D1937" t="s">
        <v>21</v>
      </c>
      <c r="E1937" t="s">
        <v>22</v>
      </c>
      <c r="F1937" t="s">
        <v>22</v>
      </c>
      <c r="G1937">
        <v>0</v>
      </c>
      <c r="H1937">
        <v>171.9</v>
      </c>
      <c r="I1937">
        <v>98</v>
      </c>
      <c r="J1937">
        <v>29.22</v>
      </c>
      <c r="K1937">
        <v>159</v>
      </c>
      <c r="L1937">
        <v>127</v>
      </c>
      <c r="M1937">
        <v>13.52</v>
      </c>
      <c r="N1937">
        <v>139.5</v>
      </c>
      <c r="O1937">
        <v>101</v>
      </c>
      <c r="P1937">
        <v>6.28</v>
      </c>
      <c r="Q1937">
        <v>7.6</v>
      </c>
      <c r="R1937">
        <v>3</v>
      </c>
      <c r="S1937">
        <v>2.0499999999999998</v>
      </c>
      <c r="T1937">
        <v>2</v>
      </c>
      <c r="U1937" t="s">
        <v>22</v>
      </c>
      <c r="V1937" t="e">
        <f>IF(#REF! = "yes", 1, 0)</f>
        <v>#REF!</v>
      </c>
      <c r="W1937" t="e">
        <f>IF(#REF! &lt;= 1, "0-1 Calls", IF(#REF! &lt;= 3, "2-3 Calls", IF(#REF! &lt;=5, "4-5 Calls", "6+ Calls")))</f>
        <v>#REF!</v>
      </c>
      <c r="X1937" t="e">
        <f>IF(#REF! &lt;= 50, "0-50", IF(#REF! &lt;=100, "51-100", IF(#REF! &lt;= 150, "101-150", "151+")))</f>
        <v>#REF!</v>
      </c>
      <c r="Y1937" t="e">
        <f>IF(#REF! &lt;= 3, "Low Charges", "High Charges")</f>
        <v>#REF!</v>
      </c>
      <c r="Z1937" t="e">
        <f>IF(#REF!&lt;=80,"Low Calls",
IF(#REF!&lt;=120,"Medium Calls","High Calls"))</f>
        <v>#REF!</v>
      </c>
      <c r="AA1937" t="e">
        <f>IF(#REF!&lt;=15,"Low Charges",
IF(#REF!&lt;=20,"Medium Charges","High Charges"))</f>
        <v>#REF!</v>
      </c>
      <c r="AB1937" t="e">
        <f>IF(AND(#REF!&gt;180, #REF!&gt;200), "Heavy Doemstic User", IF(#REF!&gt;10, "Interntional User", IF(AND(#REF!&lt;180, #REF!&lt;200,#REF!&lt;200), "Light User", "Balanced User")))</f>
        <v>#REF!</v>
      </c>
      <c r="AC1937" t="e">
        <f>IF(#REF! = 0, "No Usage", IF(#REF! &lt;= 20, "Low Usage", IF(#REF! &lt;= 40, "Medium Usgae", "High Usage")))</f>
        <v>#REF!</v>
      </c>
      <c r="AD1937" t="e">
        <f>IF(#REF!&lt;=150,"Low Usage", IF(#REF!&lt;=200,"Medium Usage", IF(#REF!&lt;=250,"High Usage","Very High Usage")))</f>
        <v>#REF!</v>
      </c>
      <c r="AE1937" t="e">
        <f>IF(#REF!&lt;=5,"Low Calls", IF(#REF!&lt;=10, "Medium Calls", "High Calls"))</f>
        <v>#REF!</v>
      </c>
      <c r="AF1937" t="e">
        <f xml:space="preserve">
IF(#REF!&gt;=4,4,0)+
IF(#REF!="yes",3,0)+
IF(#REF!="High Charges",3,0)+
IF(#REF!&gt;250,4,0)+
IF(#REF!="no",1,0)+
IF(#REF!="Heavy Domestic User",2,0)</f>
        <v>#REF!</v>
      </c>
      <c r="AG1937" t="e">
        <f>IF(#REF!&gt;=10,"High Risk", IF(#REF!&gt;=5,"Medium Risk","Low Risk"))</f>
        <v>#REF!</v>
      </c>
      <c r="AH1937" t="e">
        <f>#REF! + #REF! + #REF! + #REF!</f>
        <v>#REF!</v>
      </c>
    </row>
    <row r="1938" spans="1:34" x14ac:dyDescent="0.35">
      <c r="A1938">
        <v>1937</v>
      </c>
      <c r="B1938" t="s">
        <v>48</v>
      </c>
      <c r="C1938">
        <v>74</v>
      </c>
      <c r="D1938" t="s">
        <v>28</v>
      </c>
      <c r="E1938" t="s">
        <v>22</v>
      </c>
      <c r="F1938" t="s">
        <v>23</v>
      </c>
      <c r="G1938">
        <v>31</v>
      </c>
      <c r="H1938">
        <v>249.4</v>
      </c>
      <c r="I1938">
        <v>70</v>
      </c>
      <c r="J1938">
        <v>42.4</v>
      </c>
      <c r="K1938">
        <v>209.5</v>
      </c>
      <c r="L1938">
        <v>59</v>
      </c>
      <c r="M1938">
        <v>17.809999999999999</v>
      </c>
      <c r="N1938">
        <v>180.6</v>
      </c>
      <c r="O1938">
        <v>75</v>
      </c>
      <c r="P1938">
        <v>8.1300000000000008</v>
      </c>
      <c r="Q1938">
        <v>9.9</v>
      </c>
      <c r="R1938">
        <v>2</v>
      </c>
      <c r="S1938">
        <v>2.67</v>
      </c>
      <c r="T1938">
        <v>4</v>
      </c>
      <c r="U1938" t="s">
        <v>22</v>
      </c>
      <c r="V1938" t="e">
        <f>IF(#REF! = "yes", 1, 0)</f>
        <v>#REF!</v>
      </c>
      <c r="W1938" t="e">
        <f>IF(#REF! &lt;= 1, "0-1 Calls", IF(#REF! &lt;= 3, "2-3 Calls", IF(#REF! &lt;=5, "4-5 Calls", "6+ Calls")))</f>
        <v>#REF!</v>
      </c>
      <c r="X1938" t="e">
        <f>IF(#REF! &lt;= 50, "0-50", IF(#REF! &lt;=100, "51-100", IF(#REF! &lt;= 150, "101-150", "151+")))</f>
        <v>#REF!</v>
      </c>
      <c r="Y1938" t="e">
        <f>IF(#REF! &lt;= 3, "Low Charges", "High Charges")</f>
        <v>#REF!</v>
      </c>
      <c r="Z1938" t="e">
        <f>IF(#REF!&lt;=80,"Low Calls",
IF(#REF!&lt;=120,"Medium Calls","High Calls"))</f>
        <v>#REF!</v>
      </c>
      <c r="AA1938" t="e">
        <f>IF(#REF!&lt;=15,"Low Charges",
IF(#REF!&lt;=20,"Medium Charges","High Charges"))</f>
        <v>#REF!</v>
      </c>
      <c r="AB1938" t="e">
        <f>IF(AND(#REF!&gt;180, #REF!&gt;200), "Heavy Doemstic User", IF(#REF!&gt;10, "Interntional User", IF(AND(#REF!&lt;180, #REF!&lt;200,#REF!&lt;200), "Light User", "Balanced User")))</f>
        <v>#REF!</v>
      </c>
      <c r="AC1938" t="e">
        <f>IF(#REF! = 0, "No Usage", IF(#REF! &lt;= 20, "Low Usage", IF(#REF! &lt;= 40, "Medium Usgae", "High Usage")))</f>
        <v>#REF!</v>
      </c>
      <c r="AD1938" t="e">
        <f>IF(#REF!&lt;=150,"Low Usage", IF(#REF!&lt;=200,"Medium Usage", IF(#REF!&lt;=250,"High Usage","Very High Usage")))</f>
        <v>#REF!</v>
      </c>
      <c r="AE1938" t="e">
        <f>IF(#REF!&lt;=5,"Low Calls", IF(#REF!&lt;=10, "Medium Calls", "High Calls"))</f>
        <v>#REF!</v>
      </c>
      <c r="AF1938" t="e">
        <f xml:space="preserve">
IF(#REF!&gt;=4,4,0)+
IF(#REF!="yes",3,0)+
IF(#REF!="High Charges",3,0)+
IF(#REF!&gt;250,4,0)+
IF(#REF!="no",1,0)+
IF(#REF!="Heavy Domestic User",2,0)</f>
        <v>#REF!</v>
      </c>
      <c r="AG1938" t="e">
        <f>IF(#REF!&gt;=10,"High Risk", IF(#REF!&gt;=5,"Medium Risk","Low Risk"))</f>
        <v>#REF!</v>
      </c>
      <c r="AH1938" t="e">
        <f>#REF! + #REF! + #REF! + #REF!</f>
        <v>#REF!</v>
      </c>
    </row>
    <row r="1939" spans="1:34" x14ac:dyDescent="0.35">
      <c r="A1939">
        <v>1938</v>
      </c>
      <c r="B1939" t="s">
        <v>62</v>
      </c>
      <c r="C1939">
        <v>105</v>
      </c>
      <c r="D1939" t="s">
        <v>21</v>
      </c>
      <c r="E1939" t="s">
        <v>23</v>
      </c>
      <c r="F1939" t="s">
        <v>22</v>
      </c>
      <c r="G1939">
        <v>0</v>
      </c>
      <c r="H1939">
        <v>228.4</v>
      </c>
      <c r="I1939">
        <v>100</v>
      </c>
      <c r="J1939">
        <v>38.83</v>
      </c>
      <c r="K1939">
        <v>145.1</v>
      </c>
      <c r="L1939">
        <v>108</v>
      </c>
      <c r="M1939">
        <v>12.33</v>
      </c>
      <c r="N1939">
        <v>245.3</v>
      </c>
      <c r="O1939">
        <v>140</v>
      </c>
      <c r="P1939">
        <v>11.04</v>
      </c>
      <c r="Q1939">
        <v>7.7</v>
      </c>
      <c r="R1939">
        <v>7</v>
      </c>
      <c r="S1939">
        <v>2.08</v>
      </c>
      <c r="T1939">
        <v>0</v>
      </c>
      <c r="U1939" t="s">
        <v>22</v>
      </c>
      <c r="V1939" t="e">
        <f>IF(#REF! = "yes", 1, 0)</f>
        <v>#REF!</v>
      </c>
      <c r="W1939" t="e">
        <f>IF(#REF! &lt;= 1, "0-1 Calls", IF(#REF! &lt;= 3, "2-3 Calls", IF(#REF! &lt;=5, "4-5 Calls", "6+ Calls")))</f>
        <v>#REF!</v>
      </c>
      <c r="X1939" t="e">
        <f>IF(#REF! &lt;= 50, "0-50", IF(#REF! &lt;=100, "51-100", IF(#REF! &lt;= 150, "101-150", "151+")))</f>
        <v>#REF!</v>
      </c>
      <c r="Y1939" t="e">
        <f>IF(#REF! &lt;= 3, "Low Charges", "High Charges")</f>
        <v>#REF!</v>
      </c>
      <c r="Z1939" t="e">
        <f>IF(#REF!&lt;=80,"Low Calls",
IF(#REF!&lt;=120,"Medium Calls","High Calls"))</f>
        <v>#REF!</v>
      </c>
      <c r="AA1939" t="e">
        <f>IF(#REF!&lt;=15,"Low Charges",
IF(#REF!&lt;=20,"Medium Charges","High Charges"))</f>
        <v>#REF!</v>
      </c>
      <c r="AB1939" t="e">
        <f>IF(AND(#REF!&gt;180, #REF!&gt;200), "Heavy Doemstic User", IF(#REF!&gt;10, "Interntional User", IF(AND(#REF!&lt;180, #REF!&lt;200,#REF!&lt;200), "Light User", "Balanced User")))</f>
        <v>#REF!</v>
      </c>
      <c r="AC1939" t="e">
        <f>IF(#REF! = 0, "No Usage", IF(#REF! &lt;= 20, "Low Usage", IF(#REF! &lt;= 40, "Medium Usgae", "High Usage")))</f>
        <v>#REF!</v>
      </c>
      <c r="AD1939" t="e">
        <f>IF(#REF!&lt;=150,"Low Usage", IF(#REF!&lt;=200,"Medium Usage", IF(#REF!&lt;=250,"High Usage","Very High Usage")))</f>
        <v>#REF!</v>
      </c>
      <c r="AE1939" t="e">
        <f>IF(#REF!&lt;=5,"Low Calls", IF(#REF!&lt;=10, "Medium Calls", "High Calls"))</f>
        <v>#REF!</v>
      </c>
      <c r="AF1939" t="e">
        <f xml:space="preserve">
IF(#REF!&gt;=4,4,0)+
IF(#REF!="yes",3,0)+
IF(#REF!="High Charges",3,0)+
IF(#REF!&gt;250,4,0)+
IF(#REF!="no",1,0)+
IF(#REF!="Heavy Domestic User",2,0)</f>
        <v>#REF!</v>
      </c>
      <c r="AG1939" t="e">
        <f>IF(#REF!&gt;=10,"High Risk", IF(#REF!&gt;=5,"Medium Risk","Low Risk"))</f>
        <v>#REF!</v>
      </c>
      <c r="AH1939" t="e">
        <f>#REF! + #REF! + #REF! + #REF!</f>
        <v>#REF!</v>
      </c>
    </row>
    <row r="1940" spans="1:34" x14ac:dyDescent="0.35">
      <c r="A1940">
        <v>1939</v>
      </c>
      <c r="B1940" t="s">
        <v>64</v>
      </c>
      <c r="C1940">
        <v>157</v>
      </c>
      <c r="D1940" t="s">
        <v>28</v>
      </c>
      <c r="E1940" t="s">
        <v>22</v>
      </c>
      <c r="F1940" t="s">
        <v>22</v>
      </c>
      <c r="G1940">
        <v>0</v>
      </c>
      <c r="H1940">
        <v>168.6</v>
      </c>
      <c r="I1940">
        <v>71</v>
      </c>
      <c r="J1940">
        <v>28.66</v>
      </c>
      <c r="K1940">
        <v>205.1</v>
      </c>
      <c r="L1940">
        <v>48</v>
      </c>
      <c r="M1940">
        <v>17.43</v>
      </c>
      <c r="N1940">
        <v>175.8</v>
      </c>
      <c r="O1940">
        <v>88</v>
      </c>
      <c r="P1940">
        <v>7.91</v>
      </c>
      <c r="Q1940">
        <v>5.9</v>
      </c>
      <c r="R1940">
        <v>2</v>
      </c>
      <c r="S1940">
        <v>1.59</v>
      </c>
      <c r="T1940">
        <v>3</v>
      </c>
      <c r="U1940" t="s">
        <v>22</v>
      </c>
      <c r="V1940" t="e">
        <f>IF(#REF! = "yes", 1, 0)</f>
        <v>#REF!</v>
      </c>
      <c r="W1940" t="e">
        <f>IF(#REF! &lt;= 1, "0-1 Calls", IF(#REF! &lt;= 3, "2-3 Calls", IF(#REF! &lt;=5, "4-5 Calls", "6+ Calls")))</f>
        <v>#REF!</v>
      </c>
      <c r="X1940" t="e">
        <f>IF(#REF! &lt;= 50, "0-50", IF(#REF! &lt;=100, "51-100", IF(#REF! &lt;= 150, "101-150", "151+")))</f>
        <v>#REF!</v>
      </c>
      <c r="Y1940" t="e">
        <f>IF(#REF! &lt;= 3, "Low Charges", "High Charges")</f>
        <v>#REF!</v>
      </c>
      <c r="Z1940" t="e">
        <f>IF(#REF!&lt;=80,"Low Calls",
IF(#REF!&lt;=120,"Medium Calls","High Calls"))</f>
        <v>#REF!</v>
      </c>
      <c r="AA1940" t="e">
        <f>IF(#REF!&lt;=15,"Low Charges",
IF(#REF!&lt;=20,"Medium Charges","High Charges"))</f>
        <v>#REF!</v>
      </c>
      <c r="AB1940" t="e">
        <f>IF(AND(#REF!&gt;180, #REF!&gt;200), "Heavy Doemstic User", IF(#REF!&gt;10, "Interntional User", IF(AND(#REF!&lt;180, #REF!&lt;200,#REF!&lt;200), "Light User", "Balanced User")))</f>
        <v>#REF!</v>
      </c>
      <c r="AC1940" t="e">
        <f>IF(#REF! = 0, "No Usage", IF(#REF! &lt;= 20, "Low Usage", IF(#REF! &lt;= 40, "Medium Usgae", "High Usage")))</f>
        <v>#REF!</v>
      </c>
      <c r="AD1940" t="e">
        <f>IF(#REF!&lt;=150,"Low Usage", IF(#REF!&lt;=200,"Medium Usage", IF(#REF!&lt;=250,"High Usage","Very High Usage")))</f>
        <v>#REF!</v>
      </c>
      <c r="AE1940" t="e">
        <f>IF(#REF!&lt;=5,"Low Calls", IF(#REF!&lt;=10, "Medium Calls", "High Calls"))</f>
        <v>#REF!</v>
      </c>
      <c r="AF1940" t="e">
        <f xml:space="preserve">
IF(#REF!&gt;=4,4,0)+
IF(#REF!="yes",3,0)+
IF(#REF!="High Charges",3,0)+
IF(#REF!&gt;250,4,0)+
IF(#REF!="no",1,0)+
IF(#REF!="Heavy Domestic User",2,0)</f>
        <v>#REF!</v>
      </c>
      <c r="AG1940" t="e">
        <f>IF(#REF!&gt;=10,"High Risk", IF(#REF!&gt;=5,"Medium Risk","Low Risk"))</f>
        <v>#REF!</v>
      </c>
      <c r="AH1940" t="e">
        <f>#REF! + #REF! + #REF! + #REF!</f>
        <v>#REF!</v>
      </c>
    </row>
    <row r="1941" spans="1:34" x14ac:dyDescent="0.35">
      <c r="A1941">
        <v>1940</v>
      </c>
      <c r="B1941" t="s">
        <v>63</v>
      </c>
      <c r="C1941">
        <v>217</v>
      </c>
      <c r="D1941" t="s">
        <v>21</v>
      </c>
      <c r="E1941" t="s">
        <v>22</v>
      </c>
      <c r="F1941" t="s">
        <v>22</v>
      </c>
      <c r="G1941">
        <v>0</v>
      </c>
      <c r="H1941">
        <v>123.7</v>
      </c>
      <c r="I1941">
        <v>138</v>
      </c>
      <c r="J1941">
        <v>21.03</v>
      </c>
      <c r="K1941">
        <v>248.5</v>
      </c>
      <c r="L1941">
        <v>105</v>
      </c>
      <c r="M1941">
        <v>21.12</v>
      </c>
      <c r="N1941">
        <v>269.60000000000002</v>
      </c>
      <c r="O1941">
        <v>78</v>
      </c>
      <c r="P1941">
        <v>12.13</v>
      </c>
      <c r="Q1941">
        <v>13.3</v>
      </c>
      <c r="R1941">
        <v>4</v>
      </c>
      <c r="S1941">
        <v>3.59</v>
      </c>
      <c r="T1941">
        <v>0</v>
      </c>
      <c r="U1941" t="s">
        <v>22</v>
      </c>
      <c r="V1941" t="e">
        <f>IF(#REF! = "yes", 1, 0)</f>
        <v>#REF!</v>
      </c>
      <c r="W1941" t="e">
        <f>IF(#REF! &lt;= 1, "0-1 Calls", IF(#REF! &lt;= 3, "2-3 Calls", IF(#REF! &lt;=5, "4-5 Calls", "6+ Calls")))</f>
        <v>#REF!</v>
      </c>
      <c r="X1941" t="e">
        <f>IF(#REF! &lt;= 50, "0-50", IF(#REF! &lt;=100, "51-100", IF(#REF! &lt;= 150, "101-150", "151+")))</f>
        <v>#REF!</v>
      </c>
      <c r="Y1941" t="e">
        <f>IF(#REF! &lt;= 3, "Low Charges", "High Charges")</f>
        <v>#REF!</v>
      </c>
      <c r="Z1941" t="e">
        <f>IF(#REF!&lt;=80,"Low Calls",
IF(#REF!&lt;=120,"Medium Calls","High Calls"))</f>
        <v>#REF!</v>
      </c>
      <c r="AA1941" t="e">
        <f>IF(#REF!&lt;=15,"Low Charges",
IF(#REF!&lt;=20,"Medium Charges","High Charges"))</f>
        <v>#REF!</v>
      </c>
      <c r="AB1941" t="e">
        <f>IF(AND(#REF!&gt;180, #REF!&gt;200), "Heavy Doemstic User", IF(#REF!&gt;10, "Interntional User", IF(AND(#REF!&lt;180, #REF!&lt;200,#REF!&lt;200), "Light User", "Balanced User")))</f>
        <v>#REF!</v>
      </c>
      <c r="AC1941" t="e">
        <f>IF(#REF! = 0, "No Usage", IF(#REF! &lt;= 20, "Low Usage", IF(#REF! &lt;= 40, "Medium Usgae", "High Usage")))</f>
        <v>#REF!</v>
      </c>
      <c r="AD1941" t="e">
        <f>IF(#REF!&lt;=150,"Low Usage", IF(#REF!&lt;=200,"Medium Usage", IF(#REF!&lt;=250,"High Usage","Very High Usage")))</f>
        <v>#REF!</v>
      </c>
      <c r="AE1941" t="e">
        <f>IF(#REF!&lt;=5,"Low Calls", IF(#REF!&lt;=10, "Medium Calls", "High Calls"))</f>
        <v>#REF!</v>
      </c>
      <c r="AF1941" t="e">
        <f xml:space="preserve">
IF(#REF!&gt;=4,4,0)+
IF(#REF!="yes",3,0)+
IF(#REF!="High Charges",3,0)+
IF(#REF!&gt;250,4,0)+
IF(#REF!="no",1,0)+
IF(#REF!="Heavy Domestic User",2,0)</f>
        <v>#REF!</v>
      </c>
      <c r="AG1941" t="e">
        <f>IF(#REF!&gt;=10,"High Risk", IF(#REF!&gt;=5,"Medium Risk","Low Risk"))</f>
        <v>#REF!</v>
      </c>
      <c r="AH1941" t="e">
        <f>#REF! + #REF! + #REF! + #REF!</f>
        <v>#REF!</v>
      </c>
    </row>
    <row r="1942" spans="1:34" x14ac:dyDescent="0.35">
      <c r="A1942">
        <v>1941</v>
      </c>
      <c r="B1942" t="s">
        <v>71</v>
      </c>
      <c r="C1942">
        <v>68</v>
      </c>
      <c r="D1942" t="s">
        <v>21</v>
      </c>
      <c r="E1942" t="s">
        <v>22</v>
      </c>
      <c r="F1942" t="s">
        <v>22</v>
      </c>
      <c r="G1942">
        <v>0</v>
      </c>
      <c r="H1942">
        <v>178.7</v>
      </c>
      <c r="I1942">
        <v>61</v>
      </c>
      <c r="J1942">
        <v>30.38</v>
      </c>
      <c r="K1942">
        <v>252.3</v>
      </c>
      <c r="L1942">
        <v>84</v>
      </c>
      <c r="M1942">
        <v>21.45</v>
      </c>
      <c r="N1942">
        <v>255.7</v>
      </c>
      <c r="O1942">
        <v>76</v>
      </c>
      <c r="P1942">
        <v>11.51</v>
      </c>
      <c r="Q1942">
        <v>8.4</v>
      </c>
      <c r="R1942">
        <v>4</v>
      </c>
      <c r="S1942">
        <v>2.27</v>
      </c>
      <c r="T1942">
        <v>1</v>
      </c>
      <c r="U1942" t="s">
        <v>22</v>
      </c>
      <c r="V1942" t="e">
        <f>IF(#REF! = "yes", 1, 0)</f>
        <v>#REF!</v>
      </c>
      <c r="W1942" t="e">
        <f>IF(#REF! &lt;= 1, "0-1 Calls", IF(#REF! &lt;= 3, "2-3 Calls", IF(#REF! &lt;=5, "4-5 Calls", "6+ Calls")))</f>
        <v>#REF!</v>
      </c>
      <c r="X1942" t="e">
        <f>IF(#REF! &lt;= 50, "0-50", IF(#REF! &lt;=100, "51-100", IF(#REF! &lt;= 150, "101-150", "151+")))</f>
        <v>#REF!</v>
      </c>
      <c r="Y1942" t="e">
        <f>IF(#REF! &lt;= 3, "Low Charges", "High Charges")</f>
        <v>#REF!</v>
      </c>
      <c r="Z1942" t="e">
        <f>IF(#REF!&lt;=80,"Low Calls",
IF(#REF!&lt;=120,"Medium Calls","High Calls"))</f>
        <v>#REF!</v>
      </c>
      <c r="AA1942" t="e">
        <f>IF(#REF!&lt;=15,"Low Charges",
IF(#REF!&lt;=20,"Medium Charges","High Charges"))</f>
        <v>#REF!</v>
      </c>
      <c r="AB1942" t="e">
        <f>IF(AND(#REF!&gt;180, #REF!&gt;200), "Heavy Doemstic User", IF(#REF!&gt;10, "Interntional User", IF(AND(#REF!&lt;180, #REF!&lt;200,#REF!&lt;200), "Light User", "Balanced User")))</f>
        <v>#REF!</v>
      </c>
      <c r="AC1942" t="e">
        <f>IF(#REF! = 0, "No Usage", IF(#REF! &lt;= 20, "Low Usage", IF(#REF! &lt;= 40, "Medium Usgae", "High Usage")))</f>
        <v>#REF!</v>
      </c>
      <c r="AD1942" t="e">
        <f>IF(#REF!&lt;=150,"Low Usage", IF(#REF!&lt;=200,"Medium Usage", IF(#REF!&lt;=250,"High Usage","Very High Usage")))</f>
        <v>#REF!</v>
      </c>
      <c r="AE1942" t="e">
        <f>IF(#REF!&lt;=5,"Low Calls", IF(#REF!&lt;=10, "Medium Calls", "High Calls"))</f>
        <v>#REF!</v>
      </c>
      <c r="AF1942" t="e">
        <f xml:space="preserve">
IF(#REF!&gt;=4,4,0)+
IF(#REF!="yes",3,0)+
IF(#REF!="High Charges",3,0)+
IF(#REF!&gt;250,4,0)+
IF(#REF!="no",1,0)+
IF(#REF!="Heavy Domestic User",2,0)</f>
        <v>#REF!</v>
      </c>
      <c r="AG1942" t="e">
        <f>IF(#REF!&gt;=10,"High Risk", IF(#REF!&gt;=5,"Medium Risk","Low Risk"))</f>
        <v>#REF!</v>
      </c>
      <c r="AH1942" t="e">
        <f>#REF! + #REF! + #REF! + #REF!</f>
        <v>#REF!</v>
      </c>
    </row>
    <row r="1943" spans="1:34" x14ac:dyDescent="0.35">
      <c r="A1943">
        <v>1942</v>
      </c>
      <c r="B1943" t="s">
        <v>52</v>
      </c>
      <c r="C1943">
        <v>80</v>
      </c>
      <c r="D1943" t="s">
        <v>21</v>
      </c>
      <c r="E1943" t="s">
        <v>22</v>
      </c>
      <c r="F1943" t="s">
        <v>22</v>
      </c>
      <c r="G1943">
        <v>0</v>
      </c>
      <c r="H1943">
        <v>113.2</v>
      </c>
      <c r="I1943">
        <v>86</v>
      </c>
      <c r="J1943">
        <v>19.239999999999998</v>
      </c>
      <c r="K1943">
        <v>185.5</v>
      </c>
      <c r="L1943">
        <v>97</v>
      </c>
      <c r="M1943">
        <v>15.77</v>
      </c>
      <c r="N1943">
        <v>237.3</v>
      </c>
      <c r="O1943">
        <v>145</v>
      </c>
      <c r="P1943">
        <v>10.68</v>
      </c>
      <c r="Q1943">
        <v>9.5</v>
      </c>
      <c r="R1943">
        <v>5</v>
      </c>
      <c r="S1943">
        <v>2.57</v>
      </c>
      <c r="T1943">
        <v>1</v>
      </c>
      <c r="U1943" t="s">
        <v>22</v>
      </c>
      <c r="V1943" t="e">
        <f>IF(#REF! = "yes", 1, 0)</f>
        <v>#REF!</v>
      </c>
      <c r="W1943" t="e">
        <f>IF(#REF! &lt;= 1, "0-1 Calls", IF(#REF! &lt;= 3, "2-3 Calls", IF(#REF! &lt;=5, "4-5 Calls", "6+ Calls")))</f>
        <v>#REF!</v>
      </c>
      <c r="X1943" t="e">
        <f>IF(#REF! &lt;= 50, "0-50", IF(#REF! &lt;=100, "51-100", IF(#REF! &lt;= 150, "101-150", "151+")))</f>
        <v>#REF!</v>
      </c>
      <c r="Y1943" t="e">
        <f>IF(#REF! &lt;= 3, "Low Charges", "High Charges")</f>
        <v>#REF!</v>
      </c>
      <c r="Z1943" t="e">
        <f>IF(#REF!&lt;=80,"Low Calls",
IF(#REF!&lt;=120,"Medium Calls","High Calls"))</f>
        <v>#REF!</v>
      </c>
      <c r="AA1943" t="e">
        <f>IF(#REF!&lt;=15,"Low Charges",
IF(#REF!&lt;=20,"Medium Charges","High Charges"))</f>
        <v>#REF!</v>
      </c>
      <c r="AB1943" t="e">
        <f>IF(AND(#REF!&gt;180, #REF!&gt;200), "Heavy Doemstic User", IF(#REF!&gt;10, "Interntional User", IF(AND(#REF!&lt;180, #REF!&lt;200,#REF!&lt;200), "Light User", "Balanced User")))</f>
        <v>#REF!</v>
      </c>
      <c r="AC1943" t="e">
        <f>IF(#REF! = 0, "No Usage", IF(#REF! &lt;= 20, "Low Usage", IF(#REF! &lt;= 40, "Medium Usgae", "High Usage")))</f>
        <v>#REF!</v>
      </c>
      <c r="AD1943" t="e">
        <f>IF(#REF!&lt;=150,"Low Usage", IF(#REF!&lt;=200,"Medium Usage", IF(#REF!&lt;=250,"High Usage","Very High Usage")))</f>
        <v>#REF!</v>
      </c>
      <c r="AE1943" t="e">
        <f>IF(#REF!&lt;=5,"Low Calls", IF(#REF!&lt;=10, "Medium Calls", "High Calls"))</f>
        <v>#REF!</v>
      </c>
      <c r="AF1943" t="e">
        <f xml:space="preserve">
IF(#REF!&gt;=4,4,0)+
IF(#REF!="yes",3,0)+
IF(#REF!="High Charges",3,0)+
IF(#REF!&gt;250,4,0)+
IF(#REF!="no",1,0)+
IF(#REF!="Heavy Domestic User",2,0)</f>
        <v>#REF!</v>
      </c>
      <c r="AG1943" t="e">
        <f>IF(#REF!&gt;=10,"High Risk", IF(#REF!&gt;=5,"Medium Risk","Low Risk"))</f>
        <v>#REF!</v>
      </c>
      <c r="AH1943" t="e">
        <f>#REF! + #REF! + #REF! + #REF!</f>
        <v>#REF!</v>
      </c>
    </row>
    <row r="1944" spans="1:34" x14ac:dyDescent="0.35">
      <c r="A1944">
        <v>1943</v>
      </c>
      <c r="B1944" t="s">
        <v>67</v>
      </c>
      <c r="C1944">
        <v>38</v>
      </c>
      <c r="D1944" t="s">
        <v>21</v>
      </c>
      <c r="E1944" t="s">
        <v>22</v>
      </c>
      <c r="F1944" t="s">
        <v>23</v>
      </c>
      <c r="G1944">
        <v>25</v>
      </c>
      <c r="H1944">
        <v>142.4</v>
      </c>
      <c r="I1944">
        <v>106</v>
      </c>
      <c r="J1944">
        <v>24.21</v>
      </c>
      <c r="K1944">
        <v>313.7</v>
      </c>
      <c r="L1944">
        <v>109</v>
      </c>
      <c r="M1944">
        <v>26.66</v>
      </c>
      <c r="N1944">
        <v>126.6</v>
      </c>
      <c r="O1944">
        <v>117</v>
      </c>
      <c r="P1944">
        <v>5.7</v>
      </c>
      <c r="Q1944">
        <v>13.4</v>
      </c>
      <c r="R1944">
        <v>6</v>
      </c>
      <c r="S1944">
        <v>3.62</v>
      </c>
      <c r="T1944">
        <v>2</v>
      </c>
      <c r="U1944" t="s">
        <v>22</v>
      </c>
      <c r="V1944" t="e">
        <f>IF(#REF! = "yes", 1, 0)</f>
        <v>#REF!</v>
      </c>
      <c r="W1944" t="e">
        <f>IF(#REF! &lt;= 1, "0-1 Calls", IF(#REF! &lt;= 3, "2-3 Calls", IF(#REF! &lt;=5, "4-5 Calls", "6+ Calls")))</f>
        <v>#REF!</v>
      </c>
      <c r="X1944" t="e">
        <f>IF(#REF! &lt;= 50, "0-50", IF(#REF! &lt;=100, "51-100", IF(#REF! &lt;= 150, "101-150", "151+")))</f>
        <v>#REF!</v>
      </c>
      <c r="Y1944" t="e">
        <f>IF(#REF! &lt;= 3, "Low Charges", "High Charges")</f>
        <v>#REF!</v>
      </c>
      <c r="Z1944" t="e">
        <f>IF(#REF!&lt;=80,"Low Calls",
IF(#REF!&lt;=120,"Medium Calls","High Calls"))</f>
        <v>#REF!</v>
      </c>
      <c r="AA1944" t="e">
        <f>IF(#REF!&lt;=15,"Low Charges",
IF(#REF!&lt;=20,"Medium Charges","High Charges"))</f>
        <v>#REF!</v>
      </c>
      <c r="AB1944" t="e">
        <f>IF(AND(#REF!&gt;180, #REF!&gt;200), "Heavy Doemstic User", IF(#REF!&gt;10, "Interntional User", IF(AND(#REF!&lt;180, #REF!&lt;200,#REF!&lt;200), "Light User", "Balanced User")))</f>
        <v>#REF!</v>
      </c>
      <c r="AC1944" t="e">
        <f>IF(#REF! = 0, "No Usage", IF(#REF! &lt;= 20, "Low Usage", IF(#REF! &lt;= 40, "Medium Usgae", "High Usage")))</f>
        <v>#REF!</v>
      </c>
      <c r="AD1944" t="e">
        <f>IF(#REF!&lt;=150,"Low Usage", IF(#REF!&lt;=200,"Medium Usage", IF(#REF!&lt;=250,"High Usage","Very High Usage")))</f>
        <v>#REF!</v>
      </c>
      <c r="AE1944" t="e">
        <f>IF(#REF!&lt;=5,"Low Calls", IF(#REF!&lt;=10, "Medium Calls", "High Calls"))</f>
        <v>#REF!</v>
      </c>
      <c r="AF1944" t="e">
        <f xml:space="preserve">
IF(#REF!&gt;=4,4,0)+
IF(#REF!="yes",3,0)+
IF(#REF!="High Charges",3,0)+
IF(#REF!&gt;250,4,0)+
IF(#REF!="no",1,0)+
IF(#REF!="Heavy Domestic User",2,0)</f>
        <v>#REF!</v>
      </c>
      <c r="AG1944" t="e">
        <f>IF(#REF!&gt;=10,"High Risk", IF(#REF!&gt;=5,"Medium Risk","Low Risk"))</f>
        <v>#REF!</v>
      </c>
      <c r="AH1944" t="e">
        <f>#REF! + #REF! + #REF! + #REF!</f>
        <v>#REF!</v>
      </c>
    </row>
    <row r="1945" spans="1:34" x14ac:dyDescent="0.35">
      <c r="A1945">
        <v>1944</v>
      </c>
      <c r="B1945" t="s">
        <v>41</v>
      </c>
      <c r="C1945">
        <v>140</v>
      </c>
      <c r="D1945" t="s">
        <v>21</v>
      </c>
      <c r="E1945" t="s">
        <v>22</v>
      </c>
      <c r="F1945" t="s">
        <v>22</v>
      </c>
      <c r="G1945">
        <v>0</v>
      </c>
      <c r="H1945">
        <v>149.69999999999999</v>
      </c>
      <c r="I1945">
        <v>71</v>
      </c>
      <c r="J1945">
        <v>25.45</v>
      </c>
      <c r="K1945">
        <v>212.5</v>
      </c>
      <c r="L1945">
        <v>97</v>
      </c>
      <c r="M1945">
        <v>18.059999999999999</v>
      </c>
      <c r="N1945">
        <v>245.9</v>
      </c>
      <c r="O1945">
        <v>67</v>
      </c>
      <c r="P1945">
        <v>11.07</v>
      </c>
      <c r="Q1945">
        <v>12.6</v>
      </c>
      <c r="R1945">
        <v>4</v>
      </c>
      <c r="S1945">
        <v>3.4</v>
      </c>
      <c r="T1945">
        <v>3</v>
      </c>
      <c r="U1945" t="s">
        <v>22</v>
      </c>
      <c r="V1945" t="e">
        <f>IF(#REF! = "yes", 1, 0)</f>
        <v>#REF!</v>
      </c>
      <c r="W1945" t="e">
        <f>IF(#REF! &lt;= 1, "0-1 Calls", IF(#REF! &lt;= 3, "2-3 Calls", IF(#REF! &lt;=5, "4-5 Calls", "6+ Calls")))</f>
        <v>#REF!</v>
      </c>
      <c r="X1945" t="e">
        <f>IF(#REF! &lt;= 50, "0-50", IF(#REF! &lt;=100, "51-100", IF(#REF! &lt;= 150, "101-150", "151+")))</f>
        <v>#REF!</v>
      </c>
      <c r="Y1945" t="e">
        <f>IF(#REF! &lt;= 3, "Low Charges", "High Charges")</f>
        <v>#REF!</v>
      </c>
      <c r="Z1945" t="e">
        <f>IF(#REF!&lt;=80,"Low Calls",
IF(#REF!&lt;=120,"Medium Calls","High Calls"))</f>
        <v>#REF!</v>
      </c>
      <c r="AA1945" t="e">
        <f>IF(#REF!&lt;=15,"Low Charges",
IF(#REF!&lt;=20,"Medium Charges","High Charges"))</f>
        <v>#REF!</v>
      </c>
      <c r="AB1945" t="e">
        <f>IF(AND(#REF!&gt;180, #REF!&gt;200), "Heavy Doemstic User", IF(#REF!&gt;10, "Interntional User", IF(AND(#REF!&lt;180, #REF!&lt;200,#REF!&lt;200), "Light User", "Balanced User")))</f>
        <v>#REF!</v>
      </c>
      <c r="AC1945" t="e">
        <f>IF(#REF! = 0, "No Usage", IF(#REF! &lt;= 20, "Low Usage", IF(#REF! &lt;= 40, "Medium Usgae", "High Usage")))</f>
        <v>#REF!</v>
      </c>
      <c r="AD1945" t="e">
        <f>IF(#REF!&lt;=150,"Low Usage", IF(#REF!&lt;=200,"Medium Usage", IF(#REF!&lt;=250,"High Usage","Very High Usage")))</f>
        <v>#REF!</v>
      </c>
      <c r="AE1945" t="e">
        <f>IF(#REF!&lt;=5,"Low Calls", IF(#REF!&lt;=10, "Medium Calls", "High Calls"))</f>
        <v>#REF!</v>
      </c>
      <c r="AF1945" t="e">
        <f xml:space="preserve">
IF(#REF!&gt;=4,4,0)+
IF(#REF!="yes",3,0)+
IF(#REF!="High Charges",3,0)+
IF(#REF!&gt;250,4,0)+
IF(#REF!="no",1,0)+
IF(#REF!="Heavy Domestic User",2,0)</f>
        <v>#REF!</v>
      </c>
      <c r="AG1945" t="e">
        <f>IF(#REF!&gt;=10,"High Risk", IF(#REF!&gt;=5,"Medium Risk","Low Risk"))</f>
        <v>#REF!</v>
      </c>
      <c r="AH1945" t="e">
        <f>#REF! + #REF! + #REF! + #REF!</f>
        <v>#REF!</v>
      </c>
    </row>
    <row r="1946" spans="1:34" x14ac:dyDescent="0.35">
      <c r="A1946">
        <v>1945</v>
      </c>
      <c r="B1946" t="s">
        <v>50</v>
      </c>
      <c r="C1946">
        <v>98</v>
      </c>
      <c r="D1946" t="s">
        <v>21</v>
      </c>
      <c r="E1946" t="s">
        <v>22</v>
      </c>
      <c r="F1946" t="s">
        <v>22</v>
      </c>
      <c r="G1946">
        <v>0</v>
      </c>
      <c r="H1946">
        <v>227.1</v>
      </c>
      <c r="I1946">
        <v>116</v>
      </c>
      <c r="J1946">
        <v>38.61</v>
      </c>
      <c r="K1946">
        <v>120.5</v>
      </c>
      <c r="L1946">
        <v>103</v>
      </c>
      <c r="M1946">
        <v>10.24</v>
      </c>
      <c r="N1946">
        <v>117</v>
      </c>
      <c r="O1946">
        <v>102</v>
      </c>
      <c r="P1946">
        <v>5.27</v>
      </c>
      <c r="Q1946">
        <v>4.7</v>
      </c>
      <c r="R1946">
        <v>4</v>
      </c>
      <c r="S1946">
        <v>1.27</v>
      </c>
      <c r="T1946">
        <v>5</v>
      </c>
      <c r="U1946" t="s">
        <v>23</v>
      </c>
      <c r="V1946" t="e">
        <f>IF(#REF! = "yes", 1, 0)</f>
        <v>#REF!</v>
      </c>
      <c r="W1946" t="e">
        <f>IF(#REF! &lt;= 1, "0-1 Calls", IF(#REF! &lt;= 3, "2-3 Calls", IF(#REF! &lt;=5, "4-5 Calls", "6+ Calls")))</f>
        <v>#REF!</v>
      </c>
      <c r="X1946" t="e">
        <f>IF(#REF! &lt;= 50, "0-50", IF(#REF! &lt;=100, "51-100", IF(#REF! &lt;= 150, "101-150", "151+")))</f>
        <v>#REF!</v>
      </c>
      <c r="Y1946" t="e">
        <f>IF(#REF! &lt;= 3, "Low Charges", "High Charges")</f>
        <v>#REF!</v>
      </c>
      <c r="Z1946" t="e">
        <f>IF(#REF!&lt;=80,"Low Calls",
IF(#REF!&lt;=120,"Medium Calls","High Calls"))</f>
        <v>#REF!</v>
      </c>
      <c r="AA1946" t="e">
        <f>IF(#REF!&lt;=15,"Low Charges",
IF(#REF!&lt;=20,"Medium Charges","High Charges"))</f>
        <v>#REF!</v>
      </c>
      <c r="AB1946" t="e">
        <f>IF(AND(#REF!&gt;180, #REF!&gt;200), "Heavy Doemstic User", IF(#REF!&gt;10, "Interntional User", IF(AND(#REF!&lt;180, #REF!&lt;200,#REF!&lt;200), "Light User", "Balanced User")))</f>
        <v>#REF!</v>
      </c>
      <c r="AC1946" t="e">
        <f>IF(#REF! = 0, "No Usage", IF(#REF! &lt;= 20, "Low Usage", IF(#REF! &lt;= 40, "Medium Usgae", "High Usage")))</f>
        <v>#REF!</v>
      </c>
      <c r="AD1946" t="e">
        <f>IF(#REF!&lt;=150,"Low Usage", IF(#REF!&lt;=200,"Medium Usage", IF(#REF!&lt;=250,"High Usage","Very High Usage")))</f>
        <v>#REF!</v>
      </c>
      <c r="AE1946" t="e">
        <f>IF(#REF!&lt;=5,"Low Calls", IF(#REF!&lt;=10, "Medium Calls", "High Calls"))</f>
        <v>#REF!</v>
      </c>
      <c r="AF1946" t="e">
        <f xml:space="preserve">
IF(#REF!&gt;=4,4,0)+
IF(#REF!="yes",3,0)+
IF(#REF!="High Charges",3,0)+
IF(#REF!&gt;250,4,0)+
IF(#REF!="no",1,0)+
IF(#REF!="Heavy Domestic User",2,0)</f>
        <v>#REF!</v>
      </c>
      <c r="AG1946" t="e">
        <f>IF(#REF!&gt;=10,"High Risk", IF(#REF!&gt;=5,"Medium Risk","Low Risk"))</f>
        <v>#REF!</v>
      </c>
      <c r="AH1946" t="e">
        <f>#REF! + #REF! + #REF! + #REF!</f>
        <v>#REF!</v>
      </c>
    </row>
    <row r="1947" spans="1:34" x14ac:dyDescent="0.35">
      <c r="A1947">
        <v>1946</v>
      </c>
      <c r="B1947" t="s">
        <v>73</v>
      </c>
      <c r="C1947">
        <v>114</v>
      </c>
      <c r="D1947" t="s">
        <v>21</v>
      </c>
      <c r="E1947" t="s">
        <v>22</v>
      </c>
      <c r="F1947" t="s">
        <v>22</v>
      </c>
      <c r="G1947">
        <v>0</v>
      </c>
      <c r="H1947">
        <v>155.30000000000001</v>
      </c>
      <c r="I1947">
        <v>75</v>
      </c>
      <c r="J1947">
        <v>26.4</v>
      </c>
      <c r="K1947">
        <v>169.9</v>
      </c>
      <c r="L1947">
        <v>87</v>
      </c>
      <c r="M1947">
        <v>14.44</v>
      </c>
      <c r="N1947">
        <v>207</v>
      </c>
      <c r="O1947">
        <v>133</v>
      </c>
      <c r="P1947">
        <v>9.32</v>
      </c>
      <c r="Q1947">
        <v>12.6</v>
      </c>
      <c r="R1947">
        <v>5</v>
      </c>
      <c r="S1947">
        <v>3.4</v>
      </c>
      <c r="T1947">
        <v>2</v>
      </c>
      <c r="U1947" t="s">
        <v>22</v>
      </c>
      <c r="V1947" t="e">
        <f>IF(#REF! = "yes", 1, 0)</f>
        <v>#REF!</v>
      </c>
      <c r="W1947" t="e">
        <f>IF(#REF! &lt;= 1, "0-1 Calls", IF(#REF! &lt;= 3, "2-3 Calls", IF(#REF! &lt;=5, "4-5 Calls", "6+ Calls")))</f>
        <v>#REF!</v>
      </c>
      <c r="X1947" t="e">
        <f>IF(#REF! &lt;= 50, "0-50", IF(#REF! &lt;=100, "51-100", IF(#REF! &lt;= 150, "101-150", "151+")))</f>
        <v>#REF!</v>
      </c>
      <c r="Y1947" t="e">
        <f>IF(#REF! &lt;= 3, "Low Charges", "High Charges")</f>
        <v>#REF!</v>
      </c>
      <c r="Z1947" t="e">
        <f>IF(#REF!&lt;=80,"Low Calls",
IF(#REF!&lt;=120,"Medium Calls","High Calls"))</f>
        <v>#REF!</v>
      </c>
      <c r="AA1947" t="e">
        <f>IF(#REF!&lt;=15,"Low Charges",
IF(#REF!&lt;=20,"Medium Charges","High Charges"))</f>
        <v>#REF!</v>
      </c>
      <c r="AB1947" t="e">
        <f>IF(AND(#REF!&gt;180, #REF!&gt;200), "Heavy Doemstic User", IF(#REF!&gt;10, "Interntional User", IF(AND(#REF!&lt;180, #REF!&lt;200,#REF!&lt;200), "Light User", "Balanced User")))</f>
        <v>#REF!</v>
      </c>
      <c r="AC1947" t="e">
        <f>IF(#REF! = 0, "No Usage", IF(#REF! &lt;= 20, "Low Usage", IF(#REF! &lt;= 40, "Medium Usgae", "High Usage")))</f>
        <v>#REF!</v>
      </c>
      <c r="AD1947" t="e">
        <f>IF(#REF!&lt;=150,"Low Usage", IF(#REF!&lt;=200,"Medium Usage", IF(#REF!&lt;=250,"High Usage","Very High Usage")))</f>
        <v>#REF!</v>
      </c>
      <c r="AE1947" t="e">
        <f>IF(#REF!&lt;=5,"Low Calls", IF(#REF!&lt;=10, "Medium Calls", "High Calls"))</f>
        <v>#REF!</v>
      </c>
      <c r="AF1947" t="e">
        <f xml:space="preserve">
IF(#REF!&gt;=4,4,0)+
IF(#REF!="yes",3,0)+
IF(#REF!="High Charges",3,0)+
IF(#REF!&gt;250,4,0)+
IF(#REF!="no",1,0)+
IF(#REF!="Heavy Domestic User",2,0)</f>
        <v>#REF!</v>
      </c>
      <c r="AG1947" t="e">
        <f>IF(#REF!&gt;=10,"High Risk", IF(#REF!&gt;=5,"Medium Risk","Low Risk"))</f>
        <v>#REF!</v>
      </c>
      <c r="AH1947" t="e">
        <f>#REF! + #REF! + #REF! + #REF!</f>
        <v>#REF!</v>
      </c>
    </row>
    <row r="1948" spans="1:34" x14ac:dyDescent="0.35">
      <c r="A1948">
        <v>1947</v>
      </c>
      <c r="B1948" t="s">
        <v>60</v>
      </c>
      <c r="C1948">
        <v>46</v>
      </c>
      <c r="D1948" t="s">
        <v>25</v>
      </c>
      <c r="E1948" t="s">
        <v>22</v>
      </c>
      <c r="F1948" t="s">
        <v>22</v>
      </c>
      <c r="G1948">
        <v>0</v>
      </c>
      <c r="H1948">
        <v>156.4</v>
      </c>
      <c r="I1948">
        <v>105</v>
      </c>
      <c r="J1948">
        <v>26.59</v>
      </c>
      <c r="K1948">
        <v>185.5</v>
      </c>
      <c r="L1948">
        <v>98</v>
      </c>
      <c r="M1948">
        <v>15.77</v>
      </c>
      <c r="N1948">
        <v>226.7</v>
      </c>
      <c r="O1948">
        <v>96</v>
      </c>
      <c r="P1948">
        <v>10.199999999999999</v>
      </c>
      <c r="Q1948">
        <v>11.8</v>
      </c>
      <c r="R1948">
        <v>3</v>
      </c>
      <c r="S1948">
        <v>3.19</v>
      </c>
      <c r="T1948">
        <v>1</v>
      </c>
      <c r="U1948" t="s">
        <v>22</v>
      </c>
      <c r="V1948" t="e">
        <f>IF(#REF! = "yes", 1, 0)</f>
        <v>#REF!</v>
      </c>
      <c r="W1948" t="e">
        <f>IF(#REF! &lt;= 1, "0-1 Calls", IF(#REF! &lt;= 3, "2-3 Calls", IF(#REF! &lt;=5, "4-5 Calls", "6+ Calls")))</f>
        <v>#REF!</v>
      </c>
      <c r="X1948" t="e">
        <f>IF(#REF! &lt;= 50, "0-50", IF(#REF! &lt;=100, "51-100", IF(#REF! &lt;= 150, "101-150", "151+")))</f>
        <v>#REF!</v>
      </c>
      <c r="Y1948" t="e">
        <f>IF(#REF! &lt;= 3, "Low Charges", "High Charges")</f>
        <v>#REF!</v>
      </c>
      <c r="Z1948" t="e">
        <f>IF(#REF!&lt;=80,"Low Calls",
IF(#REF!&lt;=120,"Medium Calls","High Calls"))</f>
        <v>#REF!</v>
      </c>
      <c r="AA1948" t="e">
        <f>IF(#REF!&lt;=15,"Low Charges",
IF(#REF!&lt;=20,"Medium Charges","High Charges"))</f>
        <v>#REF!</v>
      </c>
      <c r="AB1948" t="e">
        <f>IF(AND(#REF!&gt;180, #REF!&gt;200), "Heavy Doemstic User", IF(#REF!&gt;10, "Interntional User", IF(AND(#REF!&lt;180, #REF!&lt;200,#REF!&lt;200), "Light User", "Balanced User")))</f>
        <v>#REF!</v>
      </c>
      <c r="AC1948" t="e">
        <f>IF(#REF! = 0, "No Usage", IF(#REF! &lt;= 20, "Low Usage", IF(#REF! &lt;= 40, "Medium Usgae", "High Usage")))</f>
        <v>#REF!</v>
      </c>
      <c r="AD1948" t="e">
        <f>IF(#REF!&lt;=150,"Low Usage", IF(#REF!&lt;=200,"Medium Usage", IF(#REF!&lt;=250,"High Usage","Very High Usage")))</f>
        <v>#REF!</v>
      </c>
      <c r="AE1948" t="e">
        <f>IF(#REF!&lt;=5,"Low Calls", IF(#REF!&lt;=10, "Medium Calls", "High Calls"))</f>
        <v>#REF!</v>
      </c>
      <c r="AF1948" t="e">
        <f xml:space="preserve">
IF(#REF!&gt;=4,4,0)+
IF(#REF!="yes",3,0)+
IF(#REF!="High Charges",3,0)+
IF(#REF!&gt;250,4,0)+
IF(#REF!="no",1,0)+
IF(#REF!="Heavy Domestic User",2,0)</f>
        <v>#REF!</v>
      </c>
      <c r="AG1948" t="e">
        <f>IF(#REF!&gt;=10,"High Risk", IF(#REF!&gt;=5,"Medium Risk","Low Risk"))</f>
        <v>#REF!</v>
      </c>
      <c r="AH1948" t="e">
        <f>#REF! + #REF! + #REF! + #REF!</f>
        <v>#REF!</v>
      </c>
    </row>
    <row r="1949" spans="1:34" x14ac:dyDescent="0.35">
      <c r="A1949">
        <v>1948</v>
      </c>
      <c r="B1949" t="s">
        <v>61</v>
      </c>
      <c r="C1949">
        <v>118</v>
      </c>
      <c r="D1949" t="s">
        <v>21</v>
      </c>
      <c r="E1949" t="s">
        <v>22</v>
      </c>
      <c r="F1949" t="s">
        <v>23</v>
      </c>
      <c r="G1949">
        <v>42</v>
      </c>
      <c r="H1949">
        <v>148.69999999999999</v>
      </c>
      <c r="I1949">
        <v>105</v>
      </c>
      <c r="J1949">
        <v>25.28</v>
      </c>
      <c r="K1949">
        <v>167.3</v>
      </c>
      <c r="L1949">
        <v>105</v>
      </c>
      <c r="M1949">
        <v>14.22</v>
      </c>
      <c r="N1949">
        <v>270.60000000000002</v>
      </c>
      <c r="O1949">
        <v>105</v>
      </c>
      <c r="P1949">
        <v>12.18</v>
      </c>
      <c r="Q1949">
        <v>10.4</v>
      </c>
      <c r="R1949">
        <v>7</v>
      </c>
      <c r="S1949">
        <v>2.81</v>
      </c>
      <c r="T1949">
        <v>0</v>
      </c>
      <c r="U1949" t="s">
        <v>22</v>
      </c>
      <c r="V1949" t="e">
        <f>IF(#REF! = "yes", 1, 0)</f>
        <v>#REF!</v>
      </c>
      <c r="W1949" t="e">
        <f>IF(#REF! &lt;= 1, "0-1 Calls", IF(#REF! &lt;= 3, "2-3 Calls", IF(#REF! &lt;=5, "4-5 Calls", "6+ Calls")))</f>
        <v>#REF!</v>
      </c>
      <c r="X1949" t="e">
        <f>IF(#REF! &lt;= 50, "0-50", IF(#REF! &lt;=100, "51-100", IF(#REF! &lt;= 150, "101-150", "151+")))</f>
        <v>#REF!</v>
      </c>
      <c r="Y1949" t="e">
        <f>IF(#REF! &lt;= 3, "Low Charges", "High Charges")</f>
        <v>#REF!</v>
      </c>
      <c r="Z1949" t="e">
        <f>IF(#REF!&lt;=80,"Low Calls",
IF(#REF!&lt;=120,"Medium Calls","High Calls"))</f>
        <v>#REF!</v>
      </c>
      <c r="AA1949" t="e">
        <f>IF(#REF!&lt;=15,"Low Charges",
IF(#REF!&lt;=20,"Medium Charges","High Charges"))</f>
        <v>#REF!</v>
      </c>
      <c r="AB1949" t="e">
        <f>IF(AND(#REF!&gt;180, #REF!&gt;200), "Heavy Doemstic User", IF(#REF!&gt;10, "Interntional User", IF(AND(#REF!&lt;180, #REF!&lt;200,#REF!&lt;200), "Light User", "Balanced User")))</f>
        <v>#REF!</v>
      </c>
      <c r="AC1949" t="e">
        <f>IF(#REF! = 0, "No Usage", IF(#REF! &lt;= 20, "Low Usage", IF(#REF! &lt;= 40, "Medium Usgae", "High Usage")))</f>
        <v>#REF!</v>
      </c>
      <c r="AD1949" t="e">
        <f>IF(#REF!&lt;=150,"Low Usage", IF(#REF!&lt;=200,"Medium Usage", IF(#REF!&lt;=250,"High Usage","Very High Usage")))</f>
        <v>#REF!</v>
      </c>
      <c r="AE1949" t="e">
        <f>IF(#REF!&lt;=5,"Low Calls", IF(#REF!&lt;=10, "Medium Calls", "High Calls"))</f>
        <v>#REF!</v>
      </c>
      <c r="AF1949" t="e">
        <f xml:space="preserve">
IF(#REF!&gt;=4,4,0)+
IF(#REF!="yes",3,0)+
IF(#REF!="High Charges",3,0)+
IF(#REF!&gt;250,4,0)+
IF(#REF!="no",1,0)+
IF(#REF!="Heavy Domestic User",2,0)</f>
        <v>#REF!</v>
      </c>
      <c r="AG1949" t="e">
        <f>IF(#REF!&gt;=10,"High Risk", IF(#REF!&gt;=5,"Medium Risk","Low Risk"))</f>
        <v>#REF!</v>
      </c>
      <c r="AH1949" t="e">
        <f>#REF! + #REF! + #REF! + #REF!</f>
        <v>#REF!</v>
      </c>
    </row>
    <row r="1950" spans="1:34" x14ac:dyDescent="0.35">
      <c r="A1950">
        <v>1949</v>
      </c>
      <c r="B1950" t="s">
        <v>55</v>
      </c>
      <c r="C1950">
        <v>37</v>
      </c>
      <c r="D1950" t="s">
        <v>28</v>
      </c>
      <c r="E1950" t="s">
        <v>22</v>
      </c>
      <c r="F1950" t="s">
        <v>22</v>
      </c>
      <c r="G1950">
        <v>0</v>
      </c>
      <c r="H1950">
        <v>271.7</v>
      </c>
      <c r="I1950">
        <v>112</v>
      </c>
      <c r="J1950">
        <v>46.19</v>
      </c>
      <c r="K1950">
        <v>155.1</v>
      </c>
      <c r="L1950">
        <v>96</v>
      </c>
      <c r="M1950">
        <v>13.18</v>
      </c>
      <c r="N1950">
        <v>199.5</v>
      </c>
      <c r="O1950">
        <v>97</v>
      </c>
      <c r="P1950">
        <v>8.98</v>
      </c>
      <c r="Q1950">
        <v>6.6</v>
      </c>
      <c r="R1950">
        <v>4</v>
      </c>
      <c r="S1950">
        <v>1.78</v>
      </c>
      <c r="T1950">
        <v>3</v>
      </c>
      <c r="U1950" t="s">
        <v>22</v>
      </c>
      <c r="V1950" t="e">
        <f>IF(#REF! = "yes", 1, 0)</f>
        <v>#REF!</v>
      </c>
      <c r="W1950" t="e">
        <f>IF(#REF! &lt;= 1, "0-1 Calls", IF(#REF! &lt;= 3, "2-3 Calls", IF(#REF! &lt;=5, "4-5 Calls", "6+ Calls")))</f>
        <v>#REF!</v>
      </c>
      <c r="X1950" t="e">
        <f>IF(#REF! &lt;= 50, "0-50", IF(#REF! &lt;=100, "51-100", IF(#REF! &lt;= 150, "101-150", "151+")))</f>
        <v>#REF!</v>
      </c>
      <c r="Y1950" t="e">
        <f>IF(#REF! &lt;= 3, "Low Charges", "High Charges")</f>
        <v>#REF!</v>
      </c>
      <c r="Z1950" t="e">
        <f>IF(#REF!&lt;=80,"Low Calls",
IF(#REF!&lt;=120,"Medium Calls","High Calls"))</f>
        <v>#REF!</v>
      </c>
      <c r="AA1950" t="e">
        <f>IF(#REF!&lt;=15,"Low Charges",
IF(#REF!&lt;=20,"Medium Charges","High Charges"))</f>
        <v>#REF!</v>
      </c>
      <c r="AB1950" t="e">
        <f>IF(AND(#REF!&gt;180, #REF!&gt;200), "Heavy Doemstic User", IF(#REF!&gt;10, "Interntional User", IF(AND(#REF!&lt;180, #REF!&lt;200,#REF!&lt;200), "Light User", "Balanced User")))</f>
        <v>#REF!</v>
      </c>
      <c r="AC1950" t="e">
        <f>IF(#REF! = 0, "No Usage", IF(#REF! &lt;= 20, "Low Usage", IF(#REF! &lt;= 40, "Medium Usgae", "High Usage")))</f>
        <v>#REF!</v>
      </c>
      <c r="AD1950" t="e">
        <f>IF(#REF!&lt;=150,"Low Usage", IF(#REF!&lt;=200,"Medium Usage", IF(#REF!&lt;=250,"High Usage","Very High Usage")))</f>
        <v>#REF!</v>
      </c>
      <c r="AE1950" t="e">
        <f>IF(#REF!&lt;=5,"Low Calls", IF(#REF!&lt;=10, "Medium Calls", "High Calls"))</f>
        <v>#REF!</v>
      </c>
      <c r="AF1950" t="e">
        <f xml:space="preserve">
IF(#REF!&gt;=4,4,0)+
IF(#REF!="yes",3,0)+
IF(#REF!="High Charges",3,0)+
IF(#REF!&gt;250,4,0)+
IF(#REF!="no",1,0)+
IF(#REF!="Heavy Domestic User",2,0)</f>
        <v>#REF!</v>
      </c>
      <c r="AG1950" t="e">
        <f>IF(#REF!&gt;=10,"High Risk", IF(#REF!&gt;=5,"Medium Risk","Low Risk"))</f>
        <v>#REF!</v>
      </c>
      <c r="AH1950" t="e">
        <f>#REF! + #REF! + #REF! + #REF!</f>
        <v>#REF!</v>
      </c>
    </row>
    <row r="1951" spans="1:34" x14ac:dyDescent="0.35">
      <c r="A1951">
        <v>1950</v>
      </c>
      <c r="B1951" t="s">
        <v>67</v>
      </c>
      <c r="C1951">
        <v>98</v>
      </c>
      <c r="D1951" t="s">
        <v>21</v>
      </c>
      <c r="E1951" t="s">
        <v>23</v>
      </c>
      <c r="F1951" t="s">
        <v>23</v>
      </c>
      <c r="G1951">
        <v>23</v>
      </c>
      <c r="H1951">
        <v>245.5</v>
      </c>
      <c r="I1951">
        <v>54</v>
      </c>
      <c r="J1951">
        <v>41.74</v>
      </c>
      <c r="K1951">
        <v>292.7</v>
      </c>
      <c r="L1951">
        <v>83</v>
      </c>
      <c r="M1951">
        <v>24.88</v>
      </c>
      <c r="N1951">
        <v>184</v>
      </c>
      <c r="O1951">
        <v>90</v>
      </c>
      <c r="P1951">
        <v>8.2799999999999994</v>
      </c>
      <c r="Q1951">
        <v>10.8</v>
      </c>
      <c r="R1951">
        <v>7</v>
      </c>
      <c r="S1951">
        <v>2.92</v>
      </c>
      <c r="T1951">
        <v>1</v>
      </c>
      <c r="U1951" t="s">
        <v>22</v>
      </c>
      <c r="V1951" t="e">
        <f>IF(#REF! = "yes", 1, 0)</f>
        <v>#REF!</v>
      </c>
      <c r="W1951" t="e">
        <f>IF(#REF! &lt;= 1, "0-1 Calls", IF(#REF! &lt;= 3, "2-3 Calls", IF(#REF! &lt;=5, "4-5 Calls", "6+ Calls")))</f>
        <v>#REF!</v>
      </c>
      <c r="X1951" t="e">
        <f>IF(#REF! &lt;= 50, "0-50", IF(#REF! &lt;=100, "51-100", IF(#REF! &lt;= 150, "101-150", "151+")))</f>
        <v>#REF!</v>
      </c>
      <c r="Y1951" t="e">
        <f>IF(#REF! &lt;= 3, "Low Charges", "High Charges")</f>
        <v>#REF!</v>
      </c>
      <c r="Z1951" t="e">
        <f>IF(#REF!&lt;=80,"Low Calls",
IF(#REF!&lt;=120,"Medium Calls","High Calls"))</f>
        <v>#REF!</v>
      </c>
      <c r="AA1951" t="e">
        <f>IF(#REF!&lt;=15,"Low Charges",
IF(#REF!&lt;=20,"Medium Charges","High Charges"))</f>
        <v>#REF!</v>
      </c>
      <c r="AB1951" t="e">
        <f>IF(AND(#REF!&gt;180, #REF!&gt;200), "Heavy Doemstic User", IF(#REF!&gt;10, "Interntional User", IF(AND(#REF!&lt;180, #REF!&lt;200,#REF!&lt;200), "Light User", "Balanced User")))</f>
        <v>#REF!</v>
      </c>
      <c r="AC1951" t="e">
        <f>IF(#REF! = 0, "No Usage", IF(#REF! &lt;= 20, "Low Usage", IF(#REF! &lt;= 40, "Medium Usgae", "High Usage")))</f>
        <v>#REF!</v>
      </c>
      <c r="AD1951" t="e">
        <f>IF(#REF!&lt;=150,"Low Usage", IF(#REF!&lt;=200,"Medium Usage", IF(#REF!&lt;=250,"High Usage","Very High Usage")))</f>
        <v>#REF!</v>
      </c>
      <c r="AE1951" t="e">
        <f>IF(#REF!&lt;=5,"Low Calls", IF(#REF!&lt;=10, "Medium Calls", "High Calls"))</f>
        <v>#REF!</v>
      </c>
      <c r="AF1951" t="e">
        <f xml:space="preserve">
IF(#REF!&gt;=4,4,0)+
IF(#REF!="yes",3,0)+
IF(#REF!="High Charges",3,0)+
IF(#REF!&gt;250,4,0)+
IF(#REF!="no",1,0)+
IF(#REF!="Heavy Domestic User",2,0)</f>
        <v>#REF!</v>
      </c>
      <c r="AG1951" t="e">
        <f>IF(#REF!&gt;=10,"High Risk", IF(#REF!&gt;=5,"Medium Risk","Low Risk"))</f>
        <v>#REF!</v>
      </c>
      <c r="AH1951" t="e">
        <f>#REF! + #REF! + #REF! + #REF!</f>
        <v>#REF!</v>
      </c>
    </row>
    <row r="1952" spans="1:34" x14ac:dyDescent="0.35">
      <c r="A1952">
        <v>1951</v>
      </c>
      <c r="B1952" t="s">
        <v>62</v>
      </c>
      <c r="C1952">
        <v>113</v>
      </c>
      <c r="D1952" t="s">
        <v>28</v>
      </c>
      <c r="E1952" t="s">
        <v>22</v>
      </c>
      <c r="F1952" t="s">
        <v>22</v>
      </c>
      <c r="G1952">
        <v>0</v>
      </c>
      <c r="H1952">
        <v>245.3</v>
      </c>
      <c r="I1952">
        <v>108</v>
      </c>
      <c r="J1952">
        <v>41.7</v>
      </c>
      <c r="K1952">
        <v>259.89999999999998</v>
      </c>
      <c r="L1952">
        <v>140</v>
      </c>
      <c r="M1952">
        <v>22.09</v>
      </c>
      <c r="N1952">
        <v>204.3</v>
      </c>
      <c r="O1952">
        <v>115</v>
      </c>
      <c r="P1952">
        <v>9.19</v>
      </c>
      <c r="Q1952">
        <v>10.7</v>
      </c>
      <c r="R1952">
        <v>2</v>
      </c>
      <c r="S1952">
        <v>2.89</v>
      </c>
      <c r="T1952">
        <v>3</v>
      </c>
      <c r="U1952" t="s">
        <v>23</v>
      </c>
      <c r="V1952" t="e">
        <f>IF(#REF! = "yes", 1, 0)</f>
        <v>#REF!</v>
      </c>
      <c r="W1952" t="e">
        <f>IF(#REF! &lt;= 1, "0-1 Calls", IF(#REF! &lt;= 3, "2-3 Calls", IF(#REF! &lt;=5, "4-5 Calls", "6+ Calls")))</f>
        <v>#REF!</v>
      </c>
      <c r="X1952" t="e">
        <f>IF(#REF! &lt;= 50, "0-50", IF(#REF! &lt;=100, "51-100", IF(#REF! &lt;= 150, "101-150", "151+")))</f>
        <v>#REF!</v>
      </c>
      <c r="Y1952" t="e">
        <f>IF(#REF! &lt;= 3, "Low Charges", "High Charges")</f>
        <v>#REF!</v>
      </c>
      <c r="Z1952" t="e">
        <f>IF(#REF!&lt;=80,"Low Calls",
IF(#REF!&lt;=120,"Medium Calls","High Calls"))</f>
        <v>#REF!</v>
      </c>
      <c r="AA1952" t="e">
        <f>IF(#REF!&lt;=15,"Low Charges",
IF(#REF!&lt;=20,"Medium Charges","High Charges"))</f>
        <v>#REF!</v>
      </c>
      <c r="AB1952" t="e">
        <f>IF(AND(#REF!&gt;180, #REF!&gt;200), "Heavy Doemstic User", IF(#REF!&gt;10, "Interntional User", IF(AND(#REF!&lt;180, #REF!&lt;200,#REF!&lt;200), "Light User", "Balanced User")))</f>
        <v>#REF!</v>
      </c>
      <c r="AC1952" t="e">
        <f>IF(#REF! = 0, "No Usage", IF(#REF! &lt;= 20, "Low Usage", IF(#REF! &lt;= 40, "Medium Usgae", "High Usage")))</f>
        <v>#REF!</v>
      </c>
      <c r="AD1952" t="e">
        <f>IF(#REF!&lt;=150,"Low Usage", IF(#REF!&lt;=200,"Medium Usage", IF(#REF!&lt;=250,"High Usage","Very High Usage")))</f>
        <v>#REF!</v>
      </c>
      <c r="AE1952" t="e">
        <f>IF(#REF!&lt;=5,"Low Calls", IF(#REF!&lt;=10, "Medium Calls", "High Calls"))</f>
        <v>#REF!</v>
      </c>
      <c r="AF1952" t="e">
        <f xml:space="preserve">
IF(#REF!&gt;=4,4,0)+
IF(#REF!="yes",3,0)+
IF(#REF!="High Charges",3,0)+
IF(#REF!&gt;250,4,0)+
IF(#REF!="no",1,0)+
IF(#REF!="Heavy Domestic User",2,0)</f>
        <v>#REF!</v>
      </c>
      <c r="AG1952" t="e">
        <f>IF(#REF!&gt;=10,"High Risk", IF(#REF!&gt;=5,"Medium Risk","Low Risk"))</f>
        <v>#REF!</v>
      </c>
      <c r="AH1952" t="e">
        <f>#REF! + #REF! + #REF! + #REF!</f>
        <v>#REF!</v>
      </c>
    </row>
    <row r="1953" spans="1:34" x14ac:dyDescent="0.35">
      <c r="A1953">
        <v>1952</v>
      </c>
      <c r="B1953" t="s">
        <v>52</v>
      </c>
      <c r="C1953">
        <v>69</v>
      </c>
      <c r="D1953" t="s">
        <v>25</v>
      </c>
      <c r="E1953" t="s">
        <v>22</v>
      </c>
      <c r="F1953" t="s">
        <v>22</v>
      </c>
      <c r="G1953">
        <v>0</v>
      </c>
      <c r="H1953">
        <v>196.1</v>
      </c>
      <c r="I1953">
        <v>87</v>
      </c>
      <c r="J1953">
        <v>33.340000000000003</v>
      </c>
      <c r="K1953">
        <v>236.8</v>
      </c>
      <c r="L1953">
        <v>66</v>
      </c>
      <c r="M1953">
        <v>20.13</v>
      </c>
      <c r="N1953">
        <v>182.3</v>
      </c>
      <c r="O1953">
        <v>75</v>
      </c>
      <c r="P1953">
        <v>8.1999999999999993</v>
      </c>
      <c r="Q1953">
        <v>11.9</v>
      </c>
      <c r="R1953">
        <v>1</v>
      </c>
      <c r="S1953">
        <v>3.21</v>
      </c>
      <c r="T1953">
        <v>0</v>
      </c>
      <c r="U1953" t="s">
        <v>22</v>
      </c>
      <c r="V1953" t="e">
        <f>IF(#REF! = "yes", 1, 0)</f>
        <v>#REF!</v>
      </c>
      <c r="W1953" t="e">
        <f>IF(#REF! &lt;= 1, "0-1 Calls", IF(#REF! &lt;= 3, "2-3 Calls", IF(#REF! &lt;=5, "4-5 Calls", "6+ Calls")))</f>
        <v>#REF!</v>
      </c>
      <c r="X1953" t="e">
        <f>IF(#REF! &lt;= 50, "0-50", IF(#REF! &lt;=100, "51-100", IF(#REF! &lt;= 150, "101-150", "151+")))</f>
        <v>#REF!</v>
      </c>
      <c r="Y1953" t="e">
        <f>IF(#REF! &lt;= 3, "Low Charges", "High Charges")</f>
        <v>#REF!</v>
      </c>
      <c r="Z1953" t="e">
        <f>IF(#REF!&lt;=80,"Low Calls",
IF(#REF!&lt;=120,"Medium Calls","High Calls"))</f>
        <v>#REF!</v>
      </c>
      <c r="AA1953" t="e">
        <f>IF(#REF!&lt;=15,"Low Charges",
IF(#REF!&lt;=20,"Medium Charges","High Charges"))</f>
        <v>#REF!</v>
      </c>
      <c r="AB1953" t="e">
        <f>IF(AND(#REF!&gt;180, #REF!&gt;200), "Heavy Doemstic User", IF(#REF!&gt;10, "Interntional User", IF(AND(#REF!&lt;180, #REF!&lt;200,#REF!&lt;200), "Light User", "Balanced User")))</f>
        <v>#REF!</v>
      </c>
      <c r="AC1953" t="e">
        <f>IF(#REF! = 0, "No Usage", IF(#REF! &lt;= 20, "Low Usage", IF(#REF! &lt;= 40, "Medium Usgae", "High Usage")))</f>
        <v>#REF!</v>
      </c>
      <c r="AD1953" t="e">
        <f>IF(#REF!&lt;=150,"Low Usage", IF(#REF!&lt;=200,"Medium Usage", IF(#REF!&lt;=250,"High Usage","Very High Usage")))</f>
        <v>#REF!</v>
      </c>
      <c r="AE1953" t="e">
        <f>IF(#REF!&lt;=5,"Low Calls", IF(#REF!&lt;=10, "Medium Calls", "High Calls"))</f>
        <v>#REF!</v>
      </c>
      <c r="AF1953" t="e">
        <f xml:space="preserve">
IF(#REF!&gt;=4,4,0)+
IF(#REF!="yes",3,0)+
IF(#REF!="High Charges",3,0)+
IF(#REF!&gt;250,4,0)+
IF(#REF!="no",1,0)+
IF(#REF!="Heavy Domestic User",2,0)</f>
        <v>#REF!</v>
      </c>
      <c r="AG1953" t="e">
        <f>IF(#REF!&gt;=10,"High Risk", IF(#REF!&gt;=5,"Medium Risk","Low Risk"))</f>
        <v>#REF!</v>
      </c>
      <c r="AH1953" t="e">
        <f>#REF! + #REF! + #REF! + #REF!</f>
        <v>#REF!</v>
      </c>
    </row>
    <row r="1954" spans="1:34" x14ac:dyDescent="0.35">
      <c r="A1954">
        <v>1953</v>
      </c>
      <c r="B1954" t="s">
        <v>38</v>
      </c>
      <c r="C1954">
        <v>121</v>
      </c>
      <c r="D1954" t="s">
        <v>21</v>
      </c>
      <c r="E1954" t="s">
        <v>22</v>
      </c>
      <c r="F1954" t="s">
        <v>22</v>
      </c>
      <c r="G1954">
        <v>0</v>
      </c>
      <c r="H1954">
        <v>134.1</v>
      </c>
      <c r="I1954">
        <v>112</v>
      </c>
      <c r="J1954">
        <v>22.8</v>
      </c>
      <c r="K1954">
        <v>195.1</v>
      </c>
      <c r="L1954">
        <v>104</v>
      </c>
      <c r="M1954">
        <v>16.579999999999998</v>
      </c>
      <c r="N1954">
        <v>159.6</v>
      </c>
      <c r="O1954">
        <v>139</v>
      </c>
      <c r="P1954">
        <v>7.18</v>
      </c>
      <c r="Q1954">
        <v>10.5</v>
      </c>
      <c r="R1954">
        <v>2</v>
      </c>
      <c r="S1954">
        <v>2.84</v>
      </c>
      <c r="T1954">
        <v>2</v>
      </c>
      <c r="U1954" t="s">
        <v>22</v>
      </c>
      <c r="V1954" t="e">
        <f>IF(#REF! = "yes", 1, 0)</f>
        <v>#REF!</v>
      </c>
      <c r="W1954" t="e">
        <f>IF(#REF! &lt;= 1, "0-1 Calls", IF(#REF! &lt;= 3, "2-3 Calls", IF(#REF! &lt;=5, "4-5 Calls", "6+ Calls")))</f>
        <v>#REF!</v>
      </c>
      <c r="X1954" t="e">
        <f>IF(#REF! &lt;= 50, "0-50", IF(#REF! &lt;=100, "51-100", IF(#REF! &lt;= 150, "101-150", "151+")))</f>
        <v>#REF!</v>
      </c>
      <c r="Y1954" t="e">
        <f>IF(#REF! &lt;= 3, "Low Charges", "High Charges")</f>
        <v>#REF!</v>
      </c>
      <c r="Z1954" t="e">
        <f>IF(#REF!&lt;=80,"Low Calls",
IF(#REF!&lt;=120,"Medium Calls","High Calls"))</f>
        <v>#REF!</v>
      </c>
      <c r="AA1954" t="e">
        <f>IF(#REF!&lt;=15,"Low Charges",
IF(#REF!&lt;=20,"Medium Charges","High Charges"))</f>
        <v>#REF!</v>
      </c>
      <c r="AB1954" t="e">
        <f>IF(AND(#REF!&gt;180, #REF!&gt;200), "Heavy Doemstic User", IF(#REF!&gt;10, "Interntional User", IF(AND(#REF!&lt;180, #REF!&lt;200,#REF!&lt;200), "Light User", "Balanced User")))</f>
        <v>#REF!</v>
      </c>
      <c r="AC1954" t="e">
        <f>IF(#REF! = 0, "No Usage", IF(#REF! &lt;= 20, "Low Usage", IF(#REF! &lt;= 40, "Medium Usgae", "High Usage")))</f>
        <v>#REF!</v>
      </c>
      <c r="AD1954" t="e">
        <f>IF(#REF!&lt;=150,"Low Usage", IF(#REF!&lt;=200,"Medium Usage", IF(#REF!&lt;=250,"High Usage","Very High Usage")))</f>
        <v>#REF!</v>
      </c>
      <c r="AE1954" t="e">
        <f>IF(#REF!&lt;=5,"Low Calls", IF(#REF!&lt;=10, "Medium Calls", "High Calls"))</f>
        <v>#REF!</v>
      </c>
      <c r="AF1954" t="e">
        <f xml:space="preserve">
IF(#REF!&gt;=4,4,0)+
IF(#REF!="yes",3,0)+
IF(#REF!="High Charges",3,0)+
IF(#REF!&gt;250,4,0)+
IF(#REF!="no",1,0)+
IF(#REF!="Heavy Domestic User",2,0)</f>
        <v>#REF!</v>
      </c>
      <c r="AG1954" t="e">
        <f>IF(#REF!&gt;=10,"High Risk", IF(#REF!&gt;=5,"Medium Risk","Low Risk"))</f>
        <v>#REF!</v>
      </c>
      <c r="AH1954" t="e">
        <f>#REF! + #REF! + #REF! + #REF!</f>
        <v>#REF!</v>
      </c>
    </row>
    <row r="1955" spans="1:34" x14ac:dyDescent="0.35">
      <c r="A1955">
        <v>1954</v>
      </c>
      <c r="B1955" t="s">
        <v>24</v>
      </c>
      <c r="C1955">
        <v>59</v>
      </c>
      <c r="D1955" t="s">
        <v>28</v>
      </c>
      <c r="E1955" t="s">
        <v>23</v>
      </c>
      <c r="F1955" t="s">
        <v>23</v>
      </c>
      <c r="G1955">
        <v>31</v>
      </c>
      <c r="H1955">
        <v>225</v>
      </c>
      <c r="I1955">
        <v>78</v>
      </c>
      <c r="J1955">
        <v>38.25</v>
      </c>
      <c r="K1955">
        <v>191.3</v>
      </c>
      <c r="L1955">
        <v>79</v>
      </c>
      <c r="M1955">
        <v>16.260000000000002</v>
      </c>
      <c r="N1955">
        <v>226.7</v>
      </c>
      <c r="O1955">
        <v>79</v>
      </c>
      <c r="P1955">
        <v>10.199999999999999</v>
      </c>
      <c r="Q1955">
        <v>9.1</v>
      </c>
      <c r="R1955">
        <v>3</v>
      </c>
      <c r="S1955">
        <v>2.46</v>
      </c>
      <c r="T1955">
        <v>1</v>
      </c>
      <c r="U1955" t="s">
        <v>22</v>
      </c>
      <c r="V1955" t="e">
        <f>IF(#REF! = "yes", 1, 0)</f>
        <v>#REF!</v>
      </c>
      <c r="W1955" t="e">
        <f>IF(#REF! &lt;= 1, "0-1 Calls", IF(#REF! &lt;= 3, "2-3 Calls", IF(#REF! &lt;=5, "4-5 Calls", "6+ Calls")))</f>
        <v>#REF!</v>
      </c>
      <c r="X1955" t="e">
        <f>IF(#REF! &lt;= 50, "0-50", IF(#REF! &lt;=100, "51-100", IF(#REF! &lt;= 150, "101-150", "151+")))</f>
        <v>#REF!</v>
      </c>
      <c r="Y1955" t="e">
        <f>IF(#REF! &lt;= 3, "Low Charges", "High Charges")</f>
        <v>#REF!</v>
      </c>
      <c r="Z1955" t="e">
        <f>IF(#REF!&lt;=80,"Low Calls",
IF(#REF!&lt;=120,"Medium Calls","High Calls"))</f>
        <v>#REF!</v>
      </c>
      <c r="AA1955" t="e">
        <f>IF(#REF!&lt;=15,"Low Charges",
IF(#REF!&lt;=20,"Medium Charges","High Charges"))</f>
        <v>#REF!</v>
      </c>
      <c r="AB1955" t="e">
        <f>IF(AND(#REF!&gt;180, #REF!&gt;200), "Heavy Doemstic User", IF(#REF!&gt;10, "Interntional User", IF(AND(#REF!&lt;180, #REF!&lt;200,#REF!&lt;200), "Light User", "Balanced User")))</f>
        <v>#REF!</v>
      </c>
      <c r="AC1955" t="e">
        <f>IF(#REF! = 0, "No Usage", IF(#REF! &lt;= 20, "Low Usage", IF(#REF! &lt;= 40, "Medium Usgae", "High Usage")))</f>
        <v>#REF!</v>
      </c>
      <c r="AD1955" t="e">
        <f>IF(#REF!&lt;=150,"Low Usage", IF(#REF!&lt;=200,"Medium Usage", IF(#REF!&lt;=250,"High Usage","Very High Usage")))</f>
        <v>#REF!</v>
      </c>
      <c r="AE1955" t="e">
        <f>IF(#REF!&lt;=5,"Low Calls", IF(#REF!&lt;=10, "Medium Calls", "High Calls"))</f>
        <v>#REF!</v>
      </c>
      <c r="AF1955" t="e">
        <f xml:space="preserve">
IF(#REF!&gt;=4,4,0)+
IF(#REF!="yes",3,0)+
IF(#REF!="High Charges",3,0)+
IF(#REF!&gt;250,4,0)+
IF(#REF!="no",1,0)+
IF(#REF!="Heavy Domestic User",2,0)</f>
        <v>#REF!</v>
      </c>
      <c r="AG1955" t="e">
        <f>IF(#REF!&gt;=10,"High Risk", IF(#REF!&gt;=5,"Medium Risk","Low Risk"))</f>
        <v>#REF!</v>
      </c>
      <c r="AH1955" t="e">
        <f>#REF! + #REF! + #REF! + #REF!</f>
        <v>#REF!</v>
      </c>
    </row>
    <row r="1956" spans="1:34" x14ac:dyDescent="0.35">
      <c r="A1956">
        <v>1955</v>
      </c>
      <c r="B1956" t="s">
        <v>31</v>
      </c>
      <c r="C1956">
        <v>59</v>
      </c>
      <c r="D1956" t="s">
        <v>28</v>
      </c>
      <c r="E1956" t="s">
        <v>22</v>
      </c>
      <c r="F1956" t="s">
        <v>22</v>
      </c>
      <c r="G1956">
        <v>0</v>
      </c>
      <c r="H1956">
        <v>189.7</v>
      </c>
      <c r="I1956">
        <v>100</v>
      </c>
      <c r="J1956">
        <v>32.25</v>
      </c>
      <c r="K1956">
        <v>115.9</v>
      </c>
      <c r="L1956">
        <v>133</v>
      </c>
      <c r="M1956">
        <v>9.85</v>
      </c>
      <c r="N1956">
        <v>220.6</v>
      </c>
      <c r="O1956">
        <v>115</v>
      </c>
      <c r="P1956">
        <v>9.93</v>
      </c>
      <c r="Q1956">
        <v>7.4</v>
      </c>
      <c r="R1956">
        <v>4</v>
      </c>
      <c r="S1956">
        <v>2</v>
      </c>
      <c r="T1956">
        <v>0</v>
      </c>
      <c r="U1956" t="s">
        <v>22</v>
      </c>
      <c r="V1956" t="e">
        <f>IF(#REF! = "yes", 1, 0)</f>
        <v>#REF!</v>
      </c>
      <c r="W1956" t="e">
        <f>IF(#REF! &lt;= 1, "0-1 Calls", IF(#REF! &lt;= 3, "2-3 Calls", IF(#REF! &lt;=5, "4-5 Calls", "6+ Calls")))</f>
        <v>#REF!</v>
      </c>
      <c r="X1956" t="e">
        <f>IF(#REF! &lt;= 50, "0-50", IF(#REF! &lt;=100, "51-100", IF(#REF! &lt;= 150, "101-150", "151+")))</f>
        <v>#REF!</v>
      </c>
      <c r="Y1956" t="e">
        <f>IF(#REF! &lt;= 3, "Low Charges", "High Charges")</f>
        <v>#REF!</v>
      </c>
      <c r="Z1956" t="e">
        <f>IF(#REF!&lt;=80,"Low Calls",
IF(#REF!&lt;=120,"Medium Calls","High Calls"))</f>
        <v>#REF!</v>
      </c>
      <c r="AA1956" t="e">
        <f>IF(#REF!&lt;=15,"Low Charges",
IF(#REF!&lt;=20,"Medium Charges","High Charges"))</f>
        <v>#REF!</v>
      </c>
      <c r="AB1956" t="e">
        <f>IF(AND(#REF!&gt;180, #REF!&gt;200), "Heavy Doemstic User", IF(#REF!&gt;10, "Interntional User", IF(AND(#REF!&lt;180, #REF!&lt;200,#REF!&lt;200), "Light User", "Balanced User")))</f>
        <v>#REF!</v>
      </c>
      <c r="AC1956" t="e">
        <f>IF(#REF! = 0, "No Usage", IF(#REF! &lt;= 20, "Low Usage", IF(#REF! &lt;= 40, "Medium Usgae", "High Usage")))</f>
        <v>#REF!</v>
      </c>
      <c r="AD1956" t="e">
        <f>IF(#REF!&lt;=150,"Low Usage", IF(#REF!&lt;=200,"Medium Usage", IF(#REF!&lt;=250,"High Usage","Very High Usage")))</f>
        <v>#REF!</v>
      </c>
      <c r="AE1956" t="e">
        <f>IF(#REF!&lt;=5,"Low Calls", IF(#REF!&lt;=10, "Medium Calls", "High Calls"))</f>
        <v>#REF!</v>
      </c>
      <c r="AF1956" t="e">
        <f xml:space="preserve">
IF(#REF!&gt;=4,4,0)+
IF(#REF!="yes",3,0)+
IF(#REF!="High Charges",3,0)+
IF(#REF!&gt;250,4,0)+
IF(#REF!="no",1,0)+
IF(#REF!="Heavy Domestic User",2,0)</f>
        <v>#REF!</v>
      </c>
      <c r="AG1956" t="e">
        <f>IF(#REF!&gt;=10,"High Risk", IF(#REF!&gt;=5,"Medium Risk","Low Risk"))</f>
        <v>#REF!</v>
      </c>
      <c r="AH1956" t="e">
        <f>#REF! + #REF! + #REF! + #REF!</f>
        <v>#REF!</v>
      </c>
    </row>
    <row r="1957" spans="1:34" x14ac:dyDescent="0.35">
      <c r="A1957">
        <v>1956</v>
      </c>
      <c r="B1957" t="s">
        <v>52</v>
      </c>
      <c r="C1957">
        <v>190</v>
      </c>
      <c r="D1957" t="s">
        <v>21</v>
      </c>
      <c r="E1957" t="s">
        <v>22</v>
      </c>
      <c r="F1957" t="s">
        <v>22</v>
      </c>
      <c r="G1957">
        <v>0</v>
      </c>
      <c r="H1957">
        <v>142.9</v>
      </c>
      <c r="I1957">
        <v>96</v>
      </c>
      <c r="J1957">
        <v>24.29</v>
      </c>
      <c r="K1957">
        <v>177.9</v>
      </c>
      <c r="L1957">
        <v>96</v>
      </c>
      <c r="M1957">
        <v>15.12</v>
      </c>
      <c r="N1957">
        <v>113.3</v>
      </c>
      <c r="O1957">
        <v>117</v>
      </c>
      <c r="P1957">
        <v>5.0999999999999996</v>
      </c>
      <c r="Q1957">
        <v>6.6</v>
      </c>
      <c r="R1957">
        <v>4</v>
      </c>
      <c r="S1957">
        <v>1.78</v>
      </c>
      <c r="T1957">
        <v>0</v>
      </c>
      <c r="U1957" t="s">
        <v>22</v>
      </c>
      <c r="V1957" t="e">
        <f>IF(#REF! = "yes", 1, 0)</f>
        <v>#REF!</v>
      </c>
      <c r="W1957" t="e">
        <f>IF(#REF! &lt;= 1, "0-1 Calls", IF(#REF! &lt;= 3, "2-3 Calls", IF(#REF! &lt;=5, "4-5 Calls", "6+ Calls")))</f>
        <v>#REF!</v>
      </c>
      <c r="X1957" t="e">
        <f>IF(#REF! &lt;= 50, "0-50", IF(#REF! &lt;=100, "51-100", IF(#REF! &lt;= 150, "101-150", "151+")))</f>
        <v>#REF!</v>
      </c>
      <c r="Y1957" t="e">
        <f>IF(#REF! &lt;= 3, "Low Charges", "High Charges")</f>
        <v>#REF!</v>
      </c>
      <c r="Z1957" t="e">
        <f>IF(#REF!&lt;=80,"Low Calls",
IF(#REF!&lt;=120,"Medium Calls","High Calls"))</f>
        <v>#REF!</v>
      </c>
      <c r="AA1957" t="e">
        <f>IF(#REF!&lt;=15,"Low Charges",
IF(#REF!&lt;=20,"Medium Charges","High Charges"))</f>
        <v>#REF!</v>
      </c>
      <c r="AB1957" t="e">
        <f>IF(AND(#REF!&gt;180, #REF!&gt;200), "Heavy Doemstic User", IF(#REF!&gt;10, "Interntional User", IF(AND(#REF!&lt;180, #REF!&lt;200,#REF!&lt;200), "Light User", "Balanced User")))</f>
        <v>#REF!</v>
      </c>
      <c r="AC1957" t="e">
        <f>IF(#REF! = 0, "No Usage", IF(#REF! &lt;= 20, "Low Usage", IF(#REF! &lt;= 40, "Medium Usgae", "High Usage")))</f>
        <v>#REF!</v>
      </c>
      <c r="AD1957" t="e">
        <f>IF(#REF!&lt;=150,"Low Usage", IF(#REF!&lt;=200,"Medium Usage", IF(#REF!&lt;=250,"High Usage","Very High Usage")))</f>
        <v>#REF!</v>
      </c>
      <c r="AE1957" t="e">
        <f>IF(#REF!&lt;=5,"Low Calls", IF(#REF!&lt;=10, "Medium Calls", "High Calls"))</f>
        <v>#REF!</v>
      </c>
      <c r="AF1957" t="e">
        <f xml:space="preserve">
IF(#REF!&gt;=4,4,0)+
IF(#REF!="yes",3,0)+
IF(#REF!="High Charges",3,0)+
IF(#REF!&gt;250,4,0)+
IF(#REF!="no",1,0)+
IF(#REF!="Heavy Domestic User",2,0)</f>
        <v>#REF!</v>
      </c>
      <c r="AG1957" t="e">
        <f>IF(#REF!&gt;=10,"High Risk", IF(#REF!&gt;=5,"Medium Risk","Low Risk"))</f>
        <v>#REF!</v>
      </c>
      <c r="AH1957" t="e">
        <f>#REF! + #REF! + #REF! + #REF!</f>
        <v>#REF!</v>
      </c>
    </row>
    <row r="1958" spans="1:34" x14ac:dyDescent="0.35">
      <c r="A1958">
        <v>1957</v>
      </c>
      <c r="B1958" t="s">
        <v>65</v>
      </c>
      <c r="C1958">
        <v>109</v>
      </c>
      <c r="D1958" t="s">
        <v>21</v>
      </c>
      <c r="E1958" t="s">
        <v>22</v>
      </c>
      <c r="F1958" t="s">
        <v>22</v>
      </c>
      <c r="G1958">
        <v>0</v>
      </c>
      <c r="H1958">
        <v>175.6</v>
      </c>
      <c r="I1958">
        <v>80</v>
      </c>
      <c r="J1958">
        <v>29.85</v>
      </c>
      <c r="K1958">
        <v>238</v>
      </c>
      <c r="L1958">
        <v>94</v>
      </c>
      <c r="M1958">
        <v>20.23</v>
      </c>
      <c r="N1958">
        <v>198.4</v>
      </c>
      <c r="O1958">
        <v>103</v>
      </c>
      <c r="P1958">
        <v>8.93</v>
      </c>
      <c r="Q1958">
        <v>10.199999999999999</v>
      </c>
      <c r="R1958">
        <v>6</v>
      </c>
      <c r="S1958">
        <v>2.75</v>
      </c>
      <c r="T1958">
        <v>1</v>
      </c>
      <c r="U1958" t="s">
        <v>22</v>
      </c>
      <c r="V1958" t="e">
        <f>IF(#REF! = "yes", 1, 0)</f>
        <v>#REF!</v>
      </c>
      <c r="W1958" t="e">
        <f>IF(#REF! &lt;= 1, "0-1 Calls", IF(#REF! &lt;= 3, "2-3 Calls", IF(#REF! &lt;=5, "4-5 Calls", "6+ Calls")))</f>
        <v>#REF!</v>
      </c>
      <c r="X1958" t="e">
        <f>IF(#REF! &lt;= 50, "0-50", IF(#REF! &lt;=100, "51-100", IF(#REF! &lt;= 150, "101-150", "151+")))</f>
        <v>#REF!</v>
      </c>
      <c r="Y1958" t="e">
        <f>IF(#REF! &lt;= 3, "Low Charges", "High Charges")</f>
        <v>#REF!</v>
      </c>
      <c r="Z1958" t="e">
        <f>IF(#REF!&lt;=80,"Low Calls",
IF(#REF!&lt;=120,"Medium Calls","High Calls"))</f>
        <v>#REF!</v>
      </c>
      <c r="AA1958" t="e">
        <f>IF(#REF!&lt;=15,"Low Charges",
IF(#REF!&lt;=20,"Medium Charges","High Charges"))</f>
        <v>#REF!</v>
      </c>
      <c r="AB1958" t="e">
        <f>IF(AND(#REF!&gt;180, #REF!&gt;200), "Heavy Doemstic User", IF(#REF!&gt;10, "Interntional User", IF(AND(#REF!&lt;180, #REF!&lt;200,#REF!&lt;200), "Light User", "Balanced User")))</f>
        <v>#REF!</v>
      </c>
      <c r="AC1958" t="e">
        <f>IF(#REF! = 0, "No Usage", IF(#REF! &lt;= 20, "Low Usage", IF(#REF! &lt;= 40, "Medium Usgae", "High Usage")))</f>
        <v>#REF!</v>
      </c>
      <c r="AD1958" t="e">
        <f>IF(#REF!&lt;=150,"Low Usage", IF(#REF!&lt;=200,"Medium Usage", IF(#REF!&lt;=250,"High Usage","Very High Usage")))</f>
        <v>#REF!</v>
      </c>
      <c r="AE1958" t="e">
        <f>IF(#REF!&lt;=5,"Low Calls", IF(#REF!&lt;=10, "Medium Calls", "High Calls"))</f>
        <v>#REF!</v>
      </c>
      <c r="AF1958" t="e">
        <f xml:space="preserve">
IF(#REF!&gt;=4,4,0)+
IF(#REF!="yes",3,0)+
IF(#REF!="High Charges",3,0)+
IF(#REF!&gt;250,4,0)+
IF(#REF!="no",1,0)+
IF(#REF!="Heavy Domestic User",2,0)</f>
        <v>#REF!</v>
      </c>
      <c r="AG1958" t="e">
        <f>IF(#REF!&gt;=10,"High Risk", IF(#REF!&gt;=5,"Medium Risk","Low Risk"))</f>
        <v>#REF!</v>
      </c>
      <c r="AH1958" t="e">
        <f>#REF! + #REF! + #REF! + #REF!</f>
        <v>#REF!</v>
      </c>
    </row>
    <row r="1959" spans="1:34" x14ac:dyDescent="0.35">
      <c r="A1959">
        <v>1958</v>
      </c>
      <c r="B1959" t="s">
        <v>29</v>
      </c>
      <c r="C1959">
        <v>136</v>
      </c>
      <c r="D1959" t="s">
        <v>21</v>
      </c>
      <c r="E1959" t="s">
        <v>22</v>
      </c>
      <c r="F1959" t="s">
        <v>22</v>
      </c>
      <c r="G1959">
        <v>0</v>
      </c>
      <c r="H1959">
        <v>92.4</v>
      </c>
      <c r="I1959">
        <v>109</v>
      </c>
      <c r="J1959">
        <v>15.71</v>
      </c>
      <c r="K1959">
        <v>219</v>
      </c>
      <c r="L1959">
        <v>115</v>
      </c>
      <c r="M1959">
        <v>18.62</v>
      </c>
      <c r="N1959">
        <v>212.6</v>
      </c>
      <c r="O1959">
        <v>80</v>
      </c>
      <c r="P1959">
        <v>9.57</v>
      </c>
      <c r="Q1959">
        <v>12.9</v>
      </c>
      <c r="R1959">
        <v>4</v>
      </c>
      <c r="S1959">
        <v>3.48</v>
      </c>
      <c r="T1959">
        <v>2</v>
      </c>
      <c r="U1959" t="s">
        <v>22</v>
      </c>
      <c r="V1959" t="e">
        <f>IF(#REF! = "yes", 1, 0)</f>
        <v>#REF!</v>
      </c>
      <c r="W1959" t="e">
        <f>IF(#REF! &lt;= 1, "0-1 Calls", IF(#REF! &lt;= 3, "2-3 Calls", IF(#REF! &lt;=5, "4-5 Calls", "6+ Calls")))</f>
        <v>#REF!</v>
      </c>
      <c r="X1959" t="e">
        <f>IF(#REF! &lt;= 50, "0-50", IF(#REF! &lt;=100, "51-100", IF(#REF! &lt;= 150, "101-150", "151+")))</f>
        <v>#REF!</v>
      </c>
      <c r="Y1959" t="e">
        <f>IF(#REF! &lt;= 3, "Low Charges", "High Charges")</f>
        <v>#REF!</v>
      </c>
      <c r="Z1959" t="e">
        <f>IF(#REF!&lt;=80,"Low Calls",
IF(#REF!&lt;=120,"Medium Calls","High Calls"))</f>
        <v>#REF!</v>
      </c>
      <c r="AA1959" t="e">
        <f>IF(#REF!&lt;=15,"Low Charges",
IF(#REF!&lt;=20,"Medium Charges","High Charges"))</f>
        <v>#REF!</v>
      </c>
      <c r="AB1959" t="e">
        <f>IF(AND(#REF!&gt;180, #REF!&gt;200), "Heavy Doemstic User", IF(#REF!&gt;10, "Interntional User", IF(AND(#REF!&lt;180, #REF!&lt;200,#REF!&lt;200), "Light User", "Balanced User")))</f>
        <v>#REF!</v>
      </c>
      <c r="AC1959" t="e">
        <f>IF(#REF! = 0, "No Usage", IF(#REF! &lt;= 20, "Low Usage", IF(#REF! &lt;= 40, "Medium Usgae", "High Usage")))</f>
        <v>#REF!</v>
      </c>
      <c r="AD1959" t="e">
        <f>IF(#REF!&lt;=150,"Low Usage", IF(#REF!&lt;=200,"Medium Usage", IF(#REF!&lt;=250,"High Usage","Very High Usage")))</f>
        <v>#REF!</v>
      </c>
      <c r="AE1959" t="e">
        <f>IF(#REF!&lt;=5,"Low Calls", IF(#REF!&lt;=10, "Medium Calls", "High Calls"))</f>
        <v>#REF!</v>
      </c>
      <c r="AF1959" t="e">
        <f xml:space="preserve">
IF(#REF!&gt;=4,4,0)+
IF(#REF!="yes",3,0)+
IF(#REF!="High Charges",3,0)+
IF(#REF!&gt;250,4,0)+
IF(#REF!="no",1,0)+
IF(#REF!="Heavy Domestic User",2,0)</f>
        <v>#REF!</v>
      </c>
      <c r="AG1959" t="e">
        <f>IF(#REF!&gt;=10,"High Risk", IF(#REF!&gt;=5,"Medium Risk","Low Risk"))</f>
        <v>#REF!</v>
      </c>
      <c r="AH1959" t="e">
        <f>#REF! + #REF! + #REF! + #REF!</f>
        <v>#REF!</v>
      </c>
    </row>
    <row r="1960" spans="1:34" x14ac:dyDescent="0.35">
      <c r="A1960">
        <v>1959</v>
      </c>
      <c r="B1960" t="s">
        <v>40</v>
      </c>
      <c r="C1960">
        <v>106</v>
      </c>
      <c r="D1960" t="s">
        <v>28</v>
      </c>
      <c r="E1960" t="s">
        <v>22</v>
      </c>
      <c r="F1960" t="s">
        <v>22</v>
      </c>
      <c r="G1960">
        <v>0</v>
      </c>
      <c r="H1960">
        <v>159.6</v>
      </c>
      <c r="I1960">
        <v>94</v>
      </c>
      <c r="J1960">
        <v>27.13</v>
      </c>
      <c r="K1960">
        <v>276.8</v>
      </c>
      <c r="L1960">
        <v>118</v>
      </c>
      <c r="M1960">
        <v>23.53</v>
      </c>
      <c r="N1960">
        <v>223.5</v>
      </c>
      <c r="O1960">
        <v>65</v>
      </c>
      <c r="P1960">
        <v>10.06</v>
      </c>
      <c r="Q1960">
        <v>8.8000000000000007</v>
      </c>
      <c r="R1960">
        <v>3</v>
      </c>
      <c r="S1960">
        <v>2.38</v>
      </c>
      <c r="T1960">
        <v>0</v>
      </c>
      <c r="U1960" t="s">
        <v>22</v>
      </c>
      <c r="V1960" t="e">
        <f>IF(#REF! = "yes", 1, 0)</f>
        <v>#REF!</v>
      </c>
      <c r="W1960" t="e">
        <f>IF(#REF! &lt;= 1, "0-1 Calls", IF(#REF! &lt;= 3, "2-3 Calls", IF(#REF! &lt;=5, "4-5 Calls", "6+ Calls")))</f>
        <v>#REF!</v>
      </c>
      <c r="X1960" t="e">
        <f>IF(#REF! &lt;= 50, "0-50", IF(#REF! &lt;=100, "51-100", IF(#REF! &lt;= 150, "101-150", "151+")))</f>
        <v>#REF!</v>
      </c>
      <c r="Y1960" t="e">
        <f>IF(#REF! &lt;= 3, "Low Charges", "High Charges")</f>
        <v>#REF!</v>
      </c>
      <c r="Z1960" t="e">
        <f>IF(#REF!&lt;=80,"Low Calls",
IF(#REF!&lt;=120,"Medium Calls","High Calls"))</f>
        <v>#REF!</v>
      </c>
      <c r="AA1960" t="e">
        <f>IF(#REF!&lt;=15,"Low Charges",
IF(#REF!&lt;=20,"Medium Charges","High Charges"))</f>
        <v>#REF!</v>
      </c>
      <c r="AB1960" t="e">
        <f>IF(AND(#REF!&gt;180, #REF!&gt;200), "Heavy Doemstic User", IF(#REF!&gt;10, "Interntional User", IF(AND(#REF!&lt;180, #REF!&lt;200,#REF!&lt;200), "Light User", "Balanced User")))</f>
        <v>#REF!</v>
      </c>
      <c r="AC1960" t="e">
        <f>IF(#REF! = 0, "No Usage", IF(#REF! &lt;= 20, "Low Usage", IF(#REF! &lt;= 40, "Medium Usgae", "High Usage")))</f>
        <v>#REF!</v>
      </c>
      <c r="AD1960" t="e">
        <f>IF(#REF!&lt;=150,"Low Usage", IF(#REF!&lt;=200,"Medium Usage", IF(#REF!&lt;=250,"High Usage","Very High Usage")))</f>
        <v>#REF!</v>
      </c>
      <c r="AE1960" t="e">
        <f>IF(#REF!&lt;=5,"Low Calls", IF(#REF!&lt;=10, "Medium Calls", "High Calls"))</f>
        <v>#REF!</v>
      </c>
      <c r="AF1960" t="e">
        <f xml:space="preserve">
IF(#REF!&gt;=4,4,0)+
IF(#REF!="yes",3,0)+
IF(#REF!="High Charges",3,0)+
IF(#REF!&gt;250,4,0)+
IF(#REF!="no",1,0)+
IF(#REF!="Heavy Domestic User",2,0)</f>
        <v>#REF!</v>
      </c>
      <c r="AG1960" t="e">
        <f>IF(#REF!&gt;=10,"High Risk", IF(#REF!&gt;=5,"Medium Risk","Low Risk"))</f>
        <v>#REF!</v>
      </c>
      <c r="AH1960" t="e">
        <f>#REF! + #REF! + #REF! + #REF!</f>
        <v>#REF!</v>
      </c>
    </row>
    <row r="1961" spans="1:34" x14ac:dyDescent="0.35">
      <c r="A1961">
        <v>1960</v>
      </c>
      <c r="B1961" t="s">
        <v>31</v>
      </c>
      <c r="C1961">
        <v>129</v>
      </c>
      <c r="D1961" t="s">
        <v>21</v>
      </c>
      <c r="E1961" t="s">
        <v>22</v>
      </c>
      <c r="F1961" t="s">
        <v>22</v>
      </c>
      <c r="G1961">
        <v>0</v>
      </c>
      <c r="H1961">
        <v>159.1</v>
      </c>
      <c r="I1961">
        <v>100</v>
      </c>
      <c r="J1961">
        <v>27.05</v>
      </c>
      <c r="K1961">
        <v>202.5</v>
      </c>
      <c r="L1961">
        <v>90</v>
      </c>
      <c r="M1961">
        <v>17.21</v>
      </c>
      <c r="N1961">
        <v>233.1</v>
      </c>
      <c r="O1961">
        <v>96</v>
      </c>
      <c r="P1961">
        <v>10.49</v>
      </c>
      <c r="Q1961">
        <v>11.5</v>
      </c>
      <c r="R1961">
        <v>6</v>
      </c>
      <c r="S1961">
        <v>3.11</v>
      </c>
      <c r="T1961">
        <v>2</v>
      </c>
      <c r="U1961" t="s">
        <v>22</v>
      </c>
      <c r="V1961" t="e">
        <f>IF(#REF! = "yes", 1, 0)</f>
        <v>#REF!</v>
      </c>
      <c r="W1961" t="e">
        <f>IF(#REF! &lt;= 1, "0-1 Calls", IF(#REF! &lt;= 3, "2-3 Calls", IF(#REF! &lt;=5, "4-5 Calls", "6+ Calls")))</f>
        <v>#REF!</v>
      </c>
      <c r="X1961" t="e">
        <f>IF(#REF! &lt;= 50, "0-50", IF(#REF! &lt;=100, "51-100", IF(#REF! &lt;= 150, "101-150", "151+")))</f>
        <v>#REF!</v>
      </c>
      <c r="Y1961" t="e">
        <f>IF(#REF! &lt;= 3, "Low Charges", "High Charges")</f>
        <v>#REF!</v>
      </c>
      <c r="Z1961" t="e">
        <f>IF(#REF!&lt;=80,"Low Calls",
IF(#REF!&lt;=120,"Medium Calls","High Calls"))</f>
        <v>#REF!</v>
      </c>
      <c r="AA1961" t="e">
        <f>IF(#REF!&lt;=15,"Low Charges",
IF(#REF!&lt;=20,"Medium Charges","High Charges"))</f>
        <v>#REF!</v>
      </c>
      <c r="AB1961" t="e">
        <f>IF(AND(#REF!&gt;180, #REF!&gt;200), "Heavy Doemstic User", IF(#REF!&gt;10, "Interntional User", IF(AND(#REF!&lt;180, #REF!&lt;200,#REF!&lt;200), "Light User", "Balanced User")))</f>
        <v>#REF!</v>
      </c>
      <c r="AC1961" t="e">
        <f>IF(#REF! = 0, "No Usage", IF(#REF! &lt;= 20, "Low Usage", IF(#REF! &lt;= 40, "Medium Usgae", "High Usage")))</f>
        <v>#REF!</v>
      </c>
      <c r="AD1961" t="e">
        <f>IF(#REF!&lt;=150,"Low Usage", IF(#REF!&lt;=200,"Medium Usage", IF(#REF!&lt;=250,"High Usage","Very High Usage")))</f>
        <v>#REF!</v>
      </c>
      <c r="AE1961" t="e">
        <f>IF(#REF!&lt;=5,"Low Calls", IF(#REF!&lt;=10, "Medium Calls", "High Calls"))</f>
        <v>#REF!</v>
      </c>
      <c r="AF1961" t="e">
        <f xml:space="preserve">
IF(#REF!&gt;=4,4,0)+
IF(#REF!="yes",3,0)+
IF(#REF!="High Charges",3,0)+
IF(#REF!&gt;250,4,0)+
IF(#REF!="no",1,0)+
IF(#REF!="Heavy Domestic User",2,0)</f>
        <v>#REF!</v>
      </c>
      <c r="AG1961" t="e">
        <f>IF(#REF!&gt;=10,"High Risk", IF(#REF!&gt;=5,"Medium Risk","Low Risk"))</f>
        <v>#REF!</v>
      </c>
      <c r="AH1961" t="e">
        <f>#REF! + #REF! + #REF! + #REF!</f>
        <v>#REF!</v>
      </c>
    </row>
    <row r="1962" spans="1:34" x14ac:dyDescent="0.35">
      <c r="A1962">
        <v>1961</v>
      </c>
      <c r="B1962" t="s">
        <v>54</v>
      </c>
      <c r="C1962">
        <v>99</v>
      </c>
      <c r="D1962" t="s">
        <v>21</v>
      </c>
      <c r="E1962" t="s">
        <v>22</v>
      </c>
      <c r="F1962" t="s">
        <v>22</v>
      </c>
      <c r="G1962">
        <v>0</v>
      </c>
      <c r="H1962">
        <v>254.4</v>
      </c>
      <c r="I1962">
        <v>120</v>
      </c>
      <c r="J1962">
        <v>43.25</v>
      </c>
      <c r="K1962">
        <v>159.30000000000001</v>
      </c>
      <c r="L1962">
        <v>92</v>
      </c>
      <c r="M1962">
        <v>13.54</v>
      </c>
      <c r="N1962">
        <v>264.39999999999998</v>
      </c>
      <c r="O1962">
        <v>94</v>
      </c>
      <c r="P1962">
        <v>11.9</v>
      </c>
      <c r="Q1962">
        <v>6</v>
      </c>
      <c r="R1962">
        <v>5</v>
      </c>
      <c r="S1962">
        <v>1.62</v>
      </c>
      <c r="T1962">
        <v>1</v>
      </c>
      <c r="U1962" t="s">
        <v>22</v>
      </c>
      <c r="V1962" t="e">
        <f>IF(#REF! = "yes", 1, 0)</f>
        <v>#REF!</v>
      </c>
      <c r="W1962" t="e">
        <f>IF(#REF! &lt;= 1, "0-1 Calls", IF(#REF! &lt;= 3, "2-3 Calls", IF(#REF! &lt;=5, "4-5 Calls", "6+ Calls")))</f>
        <v>#REF!</v>
      </c>
      <c r="X1962" t="e">
        <f>IF(#REF! &lt;= 50, "0-50", IF(#REF! &lt;=100, "51-100", IF(#REF! &lt;= 150, "101-150", "151+")))</f>
        <v>#REF!</v>
      </c>
      <c r="Y1962" t="e">
        <f>IF(#REF! &lt;= 3, "Low Charges", "High Charges")</f>
        <v>#REF!</v>
      </c>
      <c r="Z1962" t="e">
        <f>IF(#REF!&lt;=80,"Low Calls",
IF(#REF!&lt;=120,"Medium Calls","High Calls"))</f>
        <v>#REF!</v>
      </c>
      <c r="AA1962" t="e">
        <f>IF(#REF!&lt;=15,"Low Charges",
IF(#REF!&lt;=20,"Medium Charges","High Charges"))</f>
        <v>#REF!</v>
      </c>
      <c r="AB1962" t="e">
        <f>IF(AND(#REF!&gt;180, #REF!&gt;200), "Heavy Doemstic User", IF(#REF!&gt;10, "Interntional User", IF(AND(#REF!&lt;180, #REF!&lt;200,#REF!&lt;200), "Light User", "Balanced User")))</f>
        <v>#REF!</v>
      </c>
      <c r="AC1962" t="e">
        <f>IF(#REF! = 0, "No Usage", IF(#REF! &lt;= 20, "Low Usage", IF(#REF! &lt;= 40, "Medium Usgae", "High Usage")))</f>
        <v>#REF!</v>
      </c>
      <c r="AD1962" t="e">
        <f>IF(#REF!&lt;=150,"Low Usage", IF(#REF!&lt;=200,"Medium Usage", IF(#REF!&lt;=250,"High Usage","Very High Usage")))</f>
        <v>#REF!</v>
      </c>
      <c r="AE1962" t="e">
        <f>IF(#REF!&lt;=5,"Low Calls", IF(#REF!&lt;=10, "Medium Calls", "High Calls"))</f>
        <v>#REF!</v>
      </c>
      <c r="AF1962" t="e">
        <f xml:space="preserve">
IF(#REF!&gt;=4,4,0)+
IF(#REF!="yes",3,0)+
IF(#REF!="High Charges",3,0)+
IF(#REF!&gt;250,4,0)+
IF(#REF!="no",1,0)+
IF(#REF!="Heavy Domestic User",2,0)</f>
        <v>#REF!</v>
      </c>
      <c r="AG1962" t="e">
        <f>IF(#REF!&gt;=10,"High Risk", IF(#REF!&gt;=5,"Medium Risk","Low Risk"))</f>
        <v>#REF!</v>
      </c>
      <c r="AH1962" t="e">
        <f>#REF! + #REF! + #REF! + #REF!</f>
        <v>#REF!</v>
      </c>
    </row>
    <row r="1963" spans="1:34" x14ac:dyDescent="0.35">
      <c r="A1963">
        <v>1962</v>
      </c>
      <c r="B1963" t="s">
        <v>53</v>
      </c>
      <c r="C1963">
        <v>61</v>
      </c>
      <c r="D1963" t="s">
        <v>21</v>
      </c>
      <c r="E1963" t="s">
        <v>22</v>
      </c>
      <c r="F1963" t="s">
        <v>23</v>
      </c>
      <c r="G1963">
        <v>33</v>
      </c>
      <c r="H1963">
        <v>270.7</v>
      </c>
      <c r="I1963">
        <v>53</v>
      </c>
      <c r="J1963">
        <v>46.02</v>
      </c>
      <c r="K1963">
        <v>200.7</v>
      </c>
      <c r="L1963">
        <v>116</v>
      </c>
      <c r="M1963">
        <v>17.059999999999999</v>
      </c>
      <c r="N1963">
        <v>201.7</v>
      </c>
      <c r="O1963">
        <v>102</v>
      </c>
      <c r="P1963">
        <v>9.08</v>
      </c>
      <c r="Q1963">
        <v>10.9</v>
      </c>
      <c r="R1963">
        <v>3</v>
      </c>
      <c r="S1963">
        <v>2.94</v>
      </c>
      <c r="T1963">
        <v>3</v>
      </c>
      <c r="U1963" t="s">
        <v>22</v>
      </c>
      <c r="V1963" t="e">
        <f>IF(#REF! = "yes", 1, 0)</f>
        <v>#REF!</v>
      </c>
      <c r="W1963" t="e">
        <f>IF(#REF! &lt;= 1, "0-1 Calls", IF(#REF! &lt;= 3, "2-3 Calls", IF(#REF! &lt;=5, "4-5 Calls", "6+ Calls")))</f>
        <v>#REF!</v>
      </c>
      <c r="X1963" t="e">
        <f>IF(#REF! &lt;= 50, "0-50", IF(#REF! &lt;=100, "51-100", IF(#REF! &lt;= 150, "101-150", "151+")))</f>
        <v>#REF!</v>
      </c>
      <c r="Y1963" t="e">
        <f>IF(#REF! &lt;= 3, "Low Charges", "High Charges")</f>
        <v>#REF!</v>
      </c>
      <c r="Z1963" t="e">
        <f>IF(#REF!&lt;=80,"Low Calls",
IF(#REF!&lt;=120,"Medium Calls","High Calls"))</f>
        <v>#REF!</v>
      </c>
      <c r="AA1963" t="e">
        <f>IF(#REF!&lt;=15,"Low Charges",
IF(#REF!&lt;=20,"Medium Charges","High Charges"))</f>
        <v>#REF!</v>
      </c>
      <c r="AB1963" t="e">
        <f>IF(AND(#REF!&gt;180, #REF!&gt;200), "Heavy Doemstic User", IF(#REF!&gt;10, "Interntional User", IF(AND(#REF!&lt;180, #REF!&lt;200,#REF!&lt;200), "Light User", "Balanced User")))</f>
        <v>#REF!</v>
      </c>
      <c r="AC1963" t="e">
        <f>IF(#REF! = 0, "No Usage", IF(#REF! &lt;= 20, "Low Usage", IF(#REF! &lt;= 40, "Medium Usgae", "High Usage")))</f>
        <v>#REF!</v>
      </c>
      <c r="AD1963" t="e">
        <f>IF(#REF!&lt;=150,"Low Usage", IF(#REF!&lt;=200,"Medium Usage", IF(#REF!&lt;=250,"High Usage","Very High Usage")))</f>
        <v>#REF!</v>
      </c>
      <c r="AE1963" t="e">
        <f>IF(#REF!&lt;=5,"Low Calls", IF(#REF!&lt;=10, "Medium Calls", "High Calls"))</f>
        <v>#REF!</v>
      </c>
      <c r="AF1963" t="e">
        <f xml:space="preserve">
IF(#REF!&gt;=4,4,0)+
IF(#REF!="yes",3,0)+
IF(#REF!="High Charges",3,0)+
IF(#REF!&gt;250,4,0)+
IF(#REF!="no",1,0)+
IF(#REF!="Heavy Domestic User",2,0)</f>
        <v>#REF!</v>
      </c>
      <c r="AG1963" t="e">
        <f>IF(#REF!&gt;=10,"High Risk", IF(#REF!&gt;=5,"Medium Risk","Low Risk"))</f>
        <v>#REF!</v>
      </c>
      <c r="AH1963" t="e">
        <f>#REF! + #REF! + #REF! + #REF!</f>
        <v>#REF!</v>
      </c>
    </row>
    <row r="1964" spans="1:34" x14ac:dyDescent="0.35">
      <c r="A1964">
        <v>1963</v>
      </c>
      <c r="B1964" t="s">
        <v>72</v>
      </c>
      <c r="C1964">
        <v>71</v>
      </c>
      <c r="D1964" t="s">
        <v>21</v>
      </c>
      <c r="E1964" t="s">
        <v>22</v>
      </c>
      <c r="F1964" t="s">
        <v>22</v>
      </c>
      <c r="G1964">
        <v>0</v>
      </c>
      <c r="H1964">
        <v>207</v>
      </c>
      <c r="I1964">
        <v>112</v>
      </c>
      <c r="J1964">
        <v>35.19</v>
      </c>
      <c r="K1964">
        <v>173.8</v>
      </c>
      <c r="L1964">
        <v>96</v>
      </c>
      <c r="M1964">
        <v>14.77</v>
      </c>
      <c r="N1964">
        <v>178.4</v>
      </c>
      <c r="O1964">
        <v>61</v>
      </c>
      <c r="P1964">
        <v>8.0299999999999994</v>
      </c>
      <c r="Q1964">
        <v>12.1</v>
      </c>
      <c r="R1964">
        <v>3</v>
      </c>
      <c r="S1964">
        <v>3.27</v>
      </c>
      <c r="T1964">
        <v>1</v>
      </c>
      <c r="U1964" t="s">
        <v>22</v>
      </c>
      <c r="V1964" t="e">
        <f>IF(#REF! = "yes", 1, 0)</f>
        <v>#REF!</v>
      </c>
      <c r="W1964" t="e">
        <f>IF(#REF! &lt;= 1, "0-1 Calls", IF(#REF! &lt;= 3, "2-3 Calls", IF(#REF! &lt;=5, "4-5 Calls", "6+ Calls")))</f>
        <v>#REF!</v>
      </c>
      <c r="X1964" t="e">
        <f>IF(#REF! &lt;= 50, "0-50", IF(#REF! &lt;=100, "51-100", IF(#REF! &lt;= 150, "101-150", "151+")))</f>
        <v>#REF!</v>
      </c>
      <c r="Y1964" t="e">
        <f>IF(#REF! &lt;= 3, "Low Charges", "High Charges")</f>
        <v>#REF!</v>
      </c>
      <c r="Z1964" t="e">
        <f>IF(#REF!&lt;=80,"Low Calls",
IF(#REF!&lt;=120,"Medium Calls","High Calls"))</f>
        <v>#REF!</v>
      </c>
      <c r="AA1964" t="e">
        <f>IF(#REF!&lt;=15,"Low Charges",
IF(#REF!&lt;=20,"Medium Charges","High Charges"))</f>
        <v>#REF!</v>
      </c>
      <c r="AB1964" t="e">
        <f>IF(AND(#REF!&gt;180, #REF!&gt;200), "Heavy Doemstic User", IF(#REF!&gt;10, "Interntional User", IF(AND(#REF!&lt;180, #REF!&lt;200,#REF!&lt;200), "Light User", "Balanced User")))</f>
        <v>#REF!</v>
      </c>
      <c r="AC1964" t="e">
        <f>IF(#REF! = 0, "No Usage", IF(#REF! &lt;= 20, "Low Usage", IF(#REF! &lt;= 40, "Medium Usgae", "High Usage")))</f>
        <v>#REF!</v>
      </c>
      <c r="AD1964" t="e">
        <f>IF(#REF!&lt;=150,"Low Usage", IF(#REF!&lt;=200,"Medium Usage", IF(#REF!&lt;=250,"High Usage","Very High Usage")))</f>
        <v>#REF!</v>
      </c>
      <c r="AE1964" t="e">
        <f>IF(#REF!&lt;=5,"Low Calls", IF(#REF!&lt;=10, "Medium Calls", "High Calls"))</f>
        <v>#REF!</v>
      </c>
      <c r="AF1964" t="e">
        <f xml:space="preserve">
IF(#REF!&gt;=4,4,0)+
IF(#REF!="yes",3,0)+
IF(#REF!="High Charges",3,0)+
IF(#REF!&gt;250,4,0)+
IF(#REF!="no",1,0)+
IF(#REF!="Heavy Domestic User",2,0)</f>
        <v>#REF!</v>
      </c>
      <c r="AG1964" t="e">
        <f>IF(#REF!&gt;=10,"High Risk", IF(#REF!&gt;=5,"Medium Risk","Low Risk"))</f>
        <v>#REF!</v>
      </c>
      <c r="AH1964" t="e">
        <f>#REF! + #REF! + #REF! + #REF!</f>
        <v>#REF!</v>
      </c>
    </row>
    <row r="1965" spans="1:34" x14ac:dyDescent="0.35">
      <c r="A1965">
        <v>1964</v>
      </c>
      <c r="B1965" t="s">
        <v>55</v>
      </c>
      <c r="C1965">
        <v>4</v>
      </c>
      <c r="D1965" t="s">
        <v>28</v>
      </c>
      <c r="E1965" t="s">
        <v>23</v>
      </c>
      <c r="F1965" t="s">
        <v>22</v>
      </c>
      <c r="G1965">
        <v>0</v>
      </c>
      <c r="H1965">
        <v>145.30000000000001</v>
      </c>
      <c r="I1965">
        <v>89</v>
      </c>
      <c r="J1965">
        <v>24.7</v>
      </c>
      <c r="K1965">
        <v>303.8</v>
      </c>
      <c r="L1965">
        <v>93</v>
      </c>
      <c r="M1965">
        <v>25.82</v>
      </c>
      <c r="N1965">
        <v>206.1</v>
      </c>
      <c r="O1965">
        <v>82</v>
      </c>
      <c r="P1965">
        <v>9.27</v>
      </c>
      <c r="Q1965">
        <v>8.9</v>
      </c>
      <c r="R1965">
        <v>4</v>
      </c>
      <c r="S1965">
        <v>2.4</v>
      </c>
      <c r="T1965">
        <v>0</v>
      </c>
      <c r="U1965" t="s">
        <v>22</v>
      </c>
      <c r="V1965" t="e">
        <f>IF(#REF! = "yes", 1, 0)</f>
        <v>#REF!</v>
      </c>
      <c r="W1965" t="e">
        <f>IF(#REF! &lt;= 1, "0-1 Calls", IF(#REF! &lt;= 3, "2-3 Calls", IF(#REF! &lt;=5, "4-5 Calls", "6+ Calls")))</f>
        <v>#REF!</v>
      </c>
      <c r="X1965" t="e">
        <f>IF(#REF! &lt;= 50, "0-50", IF(#REF! &lt;=100, "51-100", IF(#REF! &lt;= 150, "101-150", "151+")))</f>
        <v>#REF!</v>
      </c>
      <c r="Y1965" t="e">
        <f>IF(#REF! &lt;= 3, "Low Charges", "High Charges")</f>
        <v>#REF!</v>
      </c>
      <c r="Z1965" t="e">
        <f>IF(#REF!&lt;=80,"Low Calls",
IF(#REF!&lt;=120,"Medium Calls","High Calls"))</f>
        <v>#REF!</v>
      </c>
      <c r="AA1965" t="e">
        <f>IF(#REF!&lt;=15,"Low Charges",
IF(#REF!&lt;=20,"Medium Charges","High Charges"))</f>
        <v>#REF!</v>
      </c>
      <c r="AB1965" t="e">
        <f>IF(AND(#REF!&gt;180, #REF!&gt;200), "Heavy Doemstic User", IF(#REF!&gt;10, "Interntional User", IF(AND(#REF!&lt;180, #REF!&lt;200,#REF!&lt;200), "Light User", "Balanced User")))</f>
        <v>#REF!</v>
      </c>
      <c r="AC1965" t="e">
        <f>IF(#REF! = 0, "No Usage", IF(#REF! &lt;= 20, "Low Usage", IF(#REF! &lt;= 40, "Medium Usgae", "High Usage")))</f>
        <v>#REF!</v>
      </c>
      <c r="AD1965" t="e">
        <f>IF(#REF!&lt;=150,"Low Usage", IF(#REF!&lt;=200,"Medium Usage", IF(#REF!&lt;=250,"High Usage","Very High Usage")))</f>
        <v>#REF!</v>
      </c>
      <c r="AE1965" t="e">
        <f>IF(#REF!&lt;=5,"Low Calls", IF(#REF!&lt;=10, "Medium Calls", "High Calls"))</f>
        <v>#REF!</v>
      </c>
      <c r="AF1965" t="e">
        <f xml:space="preserve">
IF(#REF!&gt;=4,4,0)+
IF(#REF!="yes",3,0)+
IF(#REF!="High Charges",3,0)+
IF(#REF!&gt;250,4,0)+
IF(#REF!="no",1,0)+
IF(#REF!="Heavy Domestic User",2,0)</f>
        <v>#REF!</v>
      </c>
      <c r="AG1965" t="e">
        <f>IF(#REF!&gt;=10,"High Risk", IF(#REF!&gt;=5,"Medium Risk","Low Risk"))</f>
        <v>#REF!</v>
      </c>
      <c r="AH1965" t="e">
        <f>#REF! + #REF! + #REF! + #REF!</f>
        <v>#REF!</v>
      </c>
    </row>
    <row r="1966" spans="1:34" x14ac:dyDescent="0.35">
      <c r="A1966">
        <v>1965</v>
      </c>
      <c r="B1966" t="s">
        <v>72</v>
      </c>
      <c r="C1966">
        <v>148</v>
      </c>
      <c r="D1966" t="s">
        <v>25</v>
      </c>
      <c r="E1966" t="s">
        <v>22</v>
      </c>
      <c r="F1966" t="s">
        <v>23</v>
      </c>
      <c r="G1966">
        <v>25</v>
      </c>
      <c r="H1966">
        <v>230.7</v>
      </c>
      <c r="I1966">
        <v>102</v>
      </c>
      <c r="J1966">
        <v>39.22</v>
      </c>
      <c r="K1966">
        <v>233.8</v>
      </c>
      <c r="L1966">
        <v>109</v>
      </c>
      <c r="M1966">
        <v>19.87</v>
      </c>
      <c r="N1966">
        <v>215.8</v>
      </c>
      <c r="O1966">
        <v>90</v>
      </c>
      <c r="P1966">
        <v>9.7100000000000009</v>
      </c>
      <c r="Q1966">
        <v>13.5</v>
      </c>
      <c r="R1966">
        <v>2</v>
      </c>
      <c r="S1966">
        <v>3.65</v>
      </c>
      <c r="T1966">
        <v>3</v>
      </c>
      <c r="U1966" t="s">
        <v>22</v>
      </c>
      <c r="V1966" t="e">
        <f>IF(#REF! = "yes", 1, 0)</f>
        <v>#REF!</v>
      </c>
      <c r="W1966" t="e">
        <f>IF(#REF! &lt;= 1, "0-1 Calls", IF(#REF! &lt;= 3, "2-3 Calls", IF(#REF! &lt;=5, "4-5 Calls", "6+ Calls")))</f>
        <v>#REF!</v>
      </c>
      <c r="X1966" t="e">
        <f>IF(#REF! &lt;= 50, "0-50", IF(#REF! &lt;=100, "51-100", IF(#REF! &lt;= 150, "101-150", "151+")))</f>
        <v>#REF!</v>
      </c>
      <c r="Y1966" t="e">
        <f>IF(#REF! &lt;= 3, "Low Charges", "High Charges")</f>
        <v>#REF!</v>
      </c>
      <c r="Z1966" t="e">
        <f>IF(#REF!&lt;=80,"Low Calls",
IF(#REF!&lt;=120,"Medium Calls","High Calls"))</f>
        <v>#REF!</v>
      </c>
      <c r="AA1966" t="e">
        <f>IF(#REF!&lt;=15,"Low Charges",
IF(#REF!&lt;=20,"Medium Charges","High Charges"))</f>
        <v>#REF!</v>
      </c>
      <c r="AB1966" t="e">
        <f>IF(AND(#REF!&gt;180, #REF!&gt;200), "Heavy Doemstic User", IF(#REF!&gt;10, "Interntional User", IF(AND(#REF!&lt;180, #REF!&lt;200,#REF!&lt;200), "Light User", "Balanced User")))</f>
        <v>#REF!</v>
      </c>
      <c r="AC1966" t="e">
        <f>IF(#REF! = 0, "No Usage", IF(#REF! &lt;= 20, "Low Usage", IF(#REF! &lt;= 40, "Medium Usgae", "High Usage")))</f>
        <v>#REF!</v>
      </c>
      <c r="AD1966" t="e">
        <f>IF(#REF!&lt;=150,"Low Usage", IF(#REF!&lt;=200,"Medium Usage", IF(#REF!&lt;=250,"High Usage","Very High Usage")))</f>
        <v>#REF!</v>
      </c>
      <c r="AE1966" t="e">
        <f>IF(#REF!&lt;=5,"Low Calls", IF(#REF!&lt;=10, "Medium Calls", "High Calls"))</f>
        <v>#REF!</v>
      </c>
      <c r="AF1966" t="e">
        <f xml:space="preserve">
IF(#REF!&gt;=4,4,0)+
IF(#REF!="yes",3,0)+
IF(#REF!="High Charges",3,0)+
IF(#REF!&gt;250,4,0)+
IF(#REF!="no",1,0)+
IF(#REF!="Heavy Domestic User",2,0)</f>
        <v>#REF!</v>
      </c>
      <c r="AG1966" t="e">
        <f>IF(#REF!&gt;=10,"High Risk", IF(#REF!&gt;=5,"Medium Risk","Low Risk"))</f>
        <v>#REF!</v>
      </c>
      <c r="AH1966" t="e">
        <f>#REF! + #REF! + #REF! + #REF!</f>
        <v>#REF!</v>
      </c>
    </row>
    <row r="1967" spans="1:34" x14ac:dyDescent="0.35">
      <c r="A1967">
        <v>1966</v>
      </c>
      <c r="B1967" t="s">
        <v>59</v>
      </c>
      <c r="C1967">
        <v>141</v>
      </c>
      <c r="D1967" t="s">
        <v>21</v>
      </c>
      <c r="E1967" t="s">
        <v>22</v>
      </c>
      <c r="F1967" t="s">
        <v>22</v>
      </c>
      <c r="G1967">
        <v>0</v>
      </c>
      <c r="H1967">
        <v>151.5</v>
      </c>
      <c r="I1967">
        <v>104</v>
      </c>
      <c r="J1967">
        <v>25.76</v>
      </c>
      <c r="K1967">
        <v>242.2</v>
      </c>
      <c r="L1967">
        <v>114</v>
      </c>
      <c r="M1967">
        <v>20.59</v>
      </c>
      <c r="N1967">
        <v>304.2</v>
      </c>
      <c r="O1967">
        <v>109</v>
      </c>
      <c r="P1967">
        <v>13.69</v>
      </c>
      <c r="Q1967">
        <v>10.8</v>
      </c>
      <c r="R1967">
        <v>2</v>
      </c>
      <c r="S1967">
        <v>2.92</v>
      </c>
      <c r="T1967">
        <v>1</v>
      </c>
      <c r="U1967" t="s">
        <v>22</v>
      </c>
      <c r="V1967" t="e">
        <f>IF(#REF! = "yes", 1, 0)</f>
        <v>#REF!</v>
      </c>
      <c r="W1967" t="e">
        <f>IF(#REF! &lt;= 1, "0-1 Calls", IF(#REF! &lt;= 3, "2-3 Calls", IF(#REF! &lt;=5, "4-5 Calls", "6+ Calls")))</f>
        <v>#REF!</v>
      </c>
      <c r="X1967" t="e">
        <f>IF(#REF! &lt;= 50, "0-50", IF(#REF! &lt;=100, "51-100", IF(#REF! &lt;= 150, "101-150", "151+")))</f>
        <v>#REF!</v>
      </c>
      <c r="Y1967" t="e">
        <f>IF(#REF! &lt;= 3, "Low Charges", "High Charges")</f>
        <v>#REF!</v>
      </c>
      <c r="Z1967" t="e">
        <f>IF(#REF!&lt;=80,"Low Calls",
IF(#REF!&lt;=120,"Medium Calls","High Calls"))</f>
        <v>#REF!</v>
      </c>
      <c r="AA1967" t="e">
        <f>IF(#REF!&lt;=15,"Low Charges",
IF(#REF!&lt;=20,"Medium Charges","High Charges"))</f>
        <v>#REF!</v>
      </c>
      <c r="AB1967" t="e">
        <f>IF(AND(#REF!&gt;180, #REF!&gt;200), "Heavy Doemstic User", IF(#REF!&gt;10, "Interntional User", IF(AND(#REF!&lt;180, #REF!&lt;200,#REF!&lt;200), "Light User", "Balanced User")))</f>
        <v>#REF!</v>
      </c>
      <c r="AC1967" t="e">
        <f>IF(#REF! = 0, "No Usage", IF(#REF! &lt;= 20, "Low Usage", IF(#REF! &lt;= 40, "Medium Usgae", "High Usage")))</f>
        <v>#REF!</v>
      </c>
      <c r="AD1967" t="e">
        <f>IF(#REF!&lt;=150,"Low Usage", IF(#REF!&lt;=200,"Medium Usage", IF(#REF!&lt;=250,"High Usage","Very High Usage")))</f>
        <v>#REF!</v>
      </c>
      <c r="AE1967" t="e">
        <f>IF(#REF!&lt;=5,"Low Calls", IF(#REF!&lt;=10, "Medium Calls", "High Calls"))</f>
        <v>#REF!</v>
      </c>
      <c r="AF1967" t="e">
        <f xml:space="preserve">
IF(#REF!&gt;=4,4,0)+
IF(#REF!="yes",3,0)+
IF(#REF!="High Charges",3,0)+
IF(#REF!&gt;250,4,0)+
IF(#REF!="no",1,0)+
IF(#REF!="Heavy Domestic User",2,0)</f>
        <v>#REF!</v>
      </c>
      <c r="AG1967" t="e">
        <f>IF(#REF!&gt;=10,"High Risk", IF(#REF!&gt;=5,"Medium Risk","Low Risk"))</f>
        <v>#REF!</v>
      </c>
      <c r="AH1967" t="e">
        <f>#REF! + #REF! + #REF! + #REF!</f>
        <v>#REF!</v>
      </c>
    </row>
    <row r="1968" spans="1:34" x14ac:dyDescent="0.35">
      <c r="A1968">
        <v>1967</v>
      </c>
      <c r="B1968" t="s">
        <v>61</v>
      </c>
      <c r="C1968">
        <v>56</v>
      </c>
      <c r="D1968" t="s">
        <v>25</v>
      </c>
      <c r="E1968" t="s">
        <v>22</v>
      </c>
      <c r="F1968" t="s">
        <v>22</v>
      </c>
      <c r="G1968">
        <v>0</v>
      </c>
      <c r="H1968">
        <v>146.1</v>
      </c>
      <c r="I1968">
        <v>57</v>
      </c>
      <c r="J1968">
        <v>24.84</v>
      </c>
      <c r="K1968">
        <v>196.2</v>
      </c>
      <c r="L1968">
        <v>97</v>
      </c>
      <c r="M1968">
        <v>16.68</v>
      </c>
      <c r="N1968">
        <v>310.10000000000002</v>
      </c>
      <c r="O1968">
        <v>110</v>
      </c>
      <c r="P1968">
        <v>13.95</v>
      </c>
      <c r="Q1968">
        <v>9.1999999999999993</v>
      </c>
      <c r="R1968">
        <v>3</v>
      </c>
      <c r="S1968">
        <v>2.48</v>
      </c>
      <c r="T1968">
        <v>0</v>
      </c>
      <c r="U1968" t="s">
        <v>22</v>
      </c>
      <c r="V1968" t="e">
        <f>IF(#REF! = "yes", 1, 0)</f>
        <v>#REF!</v>
      </c>
      <c r="W1968" t="e">
        <f>IF(#REF! &lt;= 1, "0-1 Calls", IF(#REF! &lt;= 3, "2-3 Calls", IF(#REF! &lt;=5, "4-5 Calls", "6+ Calls")))</f>
        <v>#REF!</v>
      </c>
      <c r="X1968" t="e">
        <f>IF(#REF! &lt;= 50, "0-50", IF(#REF! &lt;=100, "51-100", IF(#REF! &lt;= 150, "101-150", "151+")))</f>
        <v>#REF!</v>
      </c>
      <c r="Y1968" t="e">
        <f>IF(#REF! &lt;= 3, "Low Charges", "High Charges")</f>
        <v>#REF!</v>
      </c>
      <c r="Z1968" t="e">
        <f>IF(#REF!&lt;=80,"Low Calls",
IF(#REF!&lt;=120,"Medium Calls","High Calls"))</f>
        <v>#REF!</v>
      </c>
      <c r="AA1968" t="e">
        <f>IF(#REF!&lt;=15,"Low Charges",
IF(#REF!&lt;=20,"Medium Charges","High Charges"))</f>
        <v>#REF!</v>
      </c>
      <c r="AB1968" t="e">
        <f>IF(AND(#REF!&gt;180, #REF!&gt;200), "Heavy Doemstic User", IF(#REF!&gt;10, "Interntional User", IF(AND(#REF!&lt;180, #REF!&lt;200,#REF!&lt;200), "Light User", "Balanced User")))</f>
        <v>#REF!</v>
      </c>
      <c r="AC1968" t="e">
        <f>IF(#REF! = 0, "No Usage", IF(#REF! &lt;= 20, "Low Usage", IF(#REF! &lt;= 40, "Medium Usgae", "High Usage")))</f>
        <v>#REF!</v>
      </c>
      <c r="AD1968" t="e">
        <f>IF(#REF!&lt;=150,"Low Usage", IF(#REF!&lt;=200,"Medium Usage", IF(#REF!&lt;=250,"High Usage","Very High Usage")))</f>
        <v>#REF!</v>
      </c>
      <c r="AE1968" t="e">
        <f>IF(#REF!&lt;=5,"Low Calls", IF(#REF!&lt;=10, "Medium Calls", "High Calls"))</f>
        <v>#REF!</v>
      </c>
      <c r="AF1968" t="e">
        <f xml:space="preserve">
IF(#REF!&gt;=4,4,0)+
IF(#REF!="yes",3,0)+
IF(#REF!="High Charges",3,0)+
IF(#REF!&gt;250,4,0)+
IF(#REF!="no",1,0)+
IF(#REF!="Heavy Domestic User",2,0)</f>
        <v>#REF!</v>
      </c>
      <c r="AG1968" t="e">
        <f>IF(#REF!&gt;=10,"High Risk", IF(#REF!&gt;=5,"Medium Risk","Low Risk"))</f>
        <v>#REF!</v>
      </c>
      <c r="AH1968" t="e">
        <f>#REF! + #REF! + #REF! + #REF!</f>
        <v>#REF!</v>
      </c>
    </row>
    <row r="1969" spans="1:34" x14ac:dyDescent="0.35">
      <c r="A1969">
        <v>1968</v>
      </c>
      <c r="B1969" t="s">
        <v>49</v>
      </c>
      <c r="C1969">
        <v>160</v>
      </c>
      <c r="D1969" t="s">
        <v>21</v>
      </c>
      <c r="E1969" t="s">
        <v>22</v>
      </c>
      <c r="F1969" t="s">
        <v>22</v>
      </c>
      <c r="G1969">
        <v>0</v>
      </c>
      <c r="H1969">
        <v>256</v>
      </c>
      <c r="I1969">
        <v>111</v>
      </c>
      <c r="J1969">
        <v>43.52</v>
      </c>
      <c r="K1969">
        <v>187.4</v>
      </c>
      <c r="L1969">
        <v>61</v>
      </c>
      <c r="M1969">
        <v>15.93</v>
      </c>
      <c r="N1969">
        <v>119.1</v>
      </c>
      <c r="O1969">
        <v>81</v>
      </c>
      <c r="P1969">
        <v>5.36</v>
      </c>
      <c r="Q1969">
        <v>11.5</v>
      </c>
      <c r="R1969">
        <v>4</v>
      </c>
      <c r="S1969">
        <v>3.11</v>
      </c>
      <c r="T1969">
        <v>3</v>
      </c>
      <c r="U1969" t="s">
        <v>22</v>
      </c>
      <c r="V1969" t="e">
        <f>IF(#REF! = "yes", 1, 0)</f>
        <v>#REF!</v>
      </c>
      <c r="W1969" t="e">
        <f>IF(#REF! &lt;= 1, "0-1 Calls", IF(#REF! &lt;= 3, "2-3 Calls", IF(#REF! &lt;=5, "4-5 Calls", "6+ Calls")))</f>
        <v>#REF!</v>
      </c>
      <c r="X1969" t="e">
        <f>IF(#REF! &lt;= 50, "0-50", IF(#REF! &lt;=100, "51-100", IF(#REF! &lt;= 150, "101-150", "151+")))</f>
        <v>#REF!</v>
      </c>
      <c r="Y1969" t="e">
        <f>IF(#REF! &lt;= 3, "Low Charges", "High Charges")</f>
        <v>#REF!</v>
      </c>
      <c r="Z1969" t="e">
        <f>IF(#REF!&lt;=80,"Low Calls",
IF(#REF!&lt;=120,"Medium Calls","High Calls"))</f>
        <v>#REF!</v>
      </c>
      <c r="AA1969" t="e">
        <f>IF(#REF!&lt;=15,"Low Charges",
IF(#REF!&lt;=20,"Medium Charges","High Charges"))</f>
        <v>#REF!</v>
      </c>
      <c r="AB1969" t="e">
        <f>IF(AND(#REF!&gt;180, #REF!&gt;200), "Heavy Doemstic User", IF(#REF!&gt;10, "Interntional User", IF(AND(#REF!&lt;180, #REF!&lt;200,#REF!&lt;200), "Light User", "Balanced User")))</f>
        <v>#REF!</v>
      </c>
      <c r="AC1969" t="e">
        <f>IF(#REF! = 0, "No Usage", IF(#REF! &lt;= 20, "Low Usage", IF(#REF! &lt;= 40, "Medium Usgae", "High Usage")))</f>
        <v>#REF!</v>
      </c>
      <c r="AD1969" t="e">
        <f>IF(#REF!&lt;=150,"Low Usage", IF(#REF!&lt;=200,"Medium Usage", IF(#REF!&lt;=250,"High Usage","Very High Usage")))</f>
        <v>#REF!</v>
      </c>
      <c r="AE1969" t="e">
        <f>IF(#REF!&lt;=5,"Low Calls", IF(#REF!&lt;=10, "Medium Calls", "High Calls"))</f>
        <v>#REF!</v>
      </c>
      <c r="AF1969" t="e">
        <f xml:space="preserve">
IF(#REF!&gt;=4,4,0)+
IF(#REF!="yes",3,0)+
IF(#REF!="High Charges",3,0)+
IF(#REF!&gt;250,4,0)+
IF(#REF!="no",1,0)+
IF(#REF!="Heavy Domestic User",2,0)</f>
        <v>#REF!</v>
      </c>
      <c r="AG1969" t="e">
        <f>IF(#REF!&gt;=10,"High Risk", IF(#REF!&gt;=5,"Medium Risk","Low Risk"))</f>
        <v>#REF!</v>
      </c>
      <c r="AH1969" t="e">
        <f>#REF! + #REF! + #REF! + #REF!</f>
        <v>#REF!</v>
      </c>
    </row>
    <row r="1970" spans="1:34" x14ac:dyDescent="0.35">
      <c r="A1970">
        <v>1969</v>
      </c>
      <c r="B1970" t="s">
        <v>35</v>
      </c>
      <c r="C1970">
        <v>42</v>
      </c>
      <c r="D1970" t="s">
        <v>21</v>
      </c>
      <c r="E1970" t="s">
        <v>22</v>
      </c>
      <c r="F1970" t="s">
        <v>22</v>
      </c>
      <c r="G1970">
        <v>0</v>
      </c>
      <c r="H1970">
        <v>150.69999999999999</v>
      </c>
      <c r="I1970">
        <v>52</v>
      </c>
      <c r="J1970">
        <v>25.62</v>
      </c>
      <c r="K1970">
        <v>246.7</v>
      </c>
      <c r="L1970">
        <v>96</v>
      </c>
      <c r="M1970">
        <v>20.97</v>
      </c>
      <c r="N1970">
        <v>103.8</v>
      </c>
      <c r="O1970">
        <v>118</v>
      </c>
      <c r="P1970">
        <v>4.67</v>
      </c>
      <c r="Q1970">
        <v>7</v>
      </c>
      <c r="R1970">
        <v>4</v>
      </c>
      <c r="S1970">
        <v>1.89</v>
      </c>
      <c r="T1970">
        <v>2</v>
      </c>
      <c r="U1970" t="s">
        <v>22</v>
      </c>
      <c r="V1970" t="e">
        <f>IF(#REF! = "yes", 1, 0)</f>
        <v>#REF!</v>
      </c>
      <c r="W1970" t="e">
        <f>IF(#REF! &lt;= 1, "0-1 Calls", IF(#REF! &lt;= 3, "2-3 Calls", IF(#REF! &lt;=5, "4-5 Calls", "6+ Calls")))</f>
        <v>#REF!</v>
      </c>
      <c r="X1970" t="e">
        <f>IF(#REF! &lt;= 50, "0-50", IF(#REF! &lt;=100, "51-100", IF(#REF! &lt;= 150, "101-150", "151+")))</f>
        <v>#REF!</v>
      </c>
      <c r="Y1970" t="e">
        <f>IF(#REF! &lt;= 3, "Low Charges", "High Charges")</f>
        <v>#REF!</v>
      </c>
      <c r="Z1970" t="e">
        <f>IF(#REF!&lt;=80,"Low Calls",
IF(#REF!&lt;=120,"Medium Calls","High Calls"))</f>
        <v>#REF!</v>
      </c>
      <c r="AA1970" t="e">
        <f>IF(#REF!&lt;=15,"Low Charges",
IF(#REF!&lt;=20,"Medium Charges","High Charges"))</f>
        <v>#REF!</v>
      </c>
      <c r="AB1970" t="e">
        <f>IF(AND(#REF!&gt;180, #REF!&gt;200), "Heavy Doemstic User", IF(#REF!&gt;10, "Interntional User", IF(AND(#REF!&lt;180, #REF!&lt;200,#REF!&lt;200), "Light User", "Balanced User")))</f>
        <v>#REF!</v>
      </c>
      <c r="AC1970" t="e">
        <f>IF(#REF! = 0, "No Usage", IF(#REF! &lt;= 20, "Low Usage", IF(#REF! &lt;= 40, "Medium Usgae", "High Usage")))</f>
        <v>#REF!</v>
      </c>
      <c r="AD1970" t="e">
        <f>IF(#REF!&lt;=150,"Low Usage", IF(#REF!&lt;=200,"Medium Usage", IF(#REF!&lt;=250,"High Usage","Very High Usage")))</f>
        <v>#REF!</v>
      </c>
      <c r="AE1970" t="e">
        <f>IF(#REF!&lt;=5,"Low Calls", IF(#REF!&lt;=10, "Medium Calls", "High Calls"))</f>
        <v>#REF!</v>
      </c>
      <c r="AF1970" t="e">
        <f xml:space="preserve">
IF(#REF!&gt;=4,4,0)+
IF(#REF!="yes",3,0)+
IF(#REF!="High Charges",3,0)+
IF(#REF!&gt;250,4,0)+
IF(#REF!="no",1,0)+
IF(#REF!="Heavy Domestic User",2,0)</f>
        <v>#REF!</v>
      </c>
      <c r="AG1970" t="e">
        <f>IF(#REF!&gt;=10,"High Risk", IF(#REF!&gt;=5,"Medium Risk","Low Risk"))</f>
        <v>#REF!</v>
      </c>
      <c r="AH1970" t="e">
        <f>#REF! + #REF! + #REF! + #REF!</f>
        <v>#REF!</v>
      </c>
    </row>
    <row r="1971" spans="1:34" x14ac:dyDescent="0.35">
      <c r="A1971">
        <v>1970</v>
      </c>
      <c r="B1971" t="s">
        <v>74</v>
      </c>
      <c r="C1971">
        <v>135</v>
      </c>
      <c r="D1971" t="s">
        <v>21</v>
      </c>
      <c r="E1971" t="s">
        <v>23</v>
      </c>
      <c r="F1971" t="s">
        <v>22</v>
      </c>
      <c r="G1971">
        <v>0</v>
      </c>
      <c r="H1971">
        <v>186</v>
      </c>
      <c r="I1971">
        <v>107</v>
      </c>
      <c r="J1971">
        <v>31.62</v>
      </c>
      <c r="K1971">
        <v>66</v>
      </c>
      <c r="L1971">
        <v>94</v>
      </c>
      <c r="M1971">
        <v>5.61</v>
      </c>
      <c r="N1971">
        <v>213.1</v>
      </c>
      <c r="O1971">
        <v>105</v>
      </c>
      <c r="P1971">
        <v>9.59</v>
      </c>
      <c r="Q1971">
        <v>12.9</v>
      </c>
      <c r="R1971">
        <v>4</v>
      </c>
      <c r="S1971">
        <v>3.48</v>
      </c>
      <c r="T1971">
        <v>1</v>
      </c>
      <c r="U1971" t="s">
        <v>22</v>
      </c>
      <c r="V1971" t="e">
        <f>IF(#REF! = "yes", 1, 0)</f>
        <v>#REF!</v>
      </c>
      <c r="W1971" t="e">
        <f>IF(#REF! &lt;= 1, "0-1 Calls", IF(#REF! &lt;= 3, "2-3 Calls", IF(#REF! &lt;=5, "4-5 Calls", "6+ Calls")))</f>
        <v>#REF!</v>
      </c>
      <c r="X1971" t="e">
        <f>IF(#REF! &lt;= 50, "0-50", IF(#REF! &lt;=100, "51-100", IF(#REF! &lt;= 150, "101-150", "151+")))</f>
        <v>#REF!</v>
      </c>
      <c r="Y1971" t="e">
        <f>IF(#REF! &lt;= 3, "Low Charges", "High Charges")</f>
        <v>#REF!</v>
      </c>
      <c r="Z1971" t="e">
        <f>IF(#REF!&lt;=80,"Low Calls",
IF(#REF!&lt;=120,"Medium Calls","High Calls"))</f>
        <v>#REF!</v>
      </c>
      <c r="AA1971" t="e">
        <f>IF(#REF!&lt;=15,"Low Charges",
IF(#REF!&lt;=20,"Medium Charges","High Charges"))</f>
        <v>#REF!</v>
      </c>
      <c r="AB1971" t="e">
        <f>IF(AND(#REF!&gt;180, #REF!&gt;200), "Heavy Doemstic User", IF(#REF!&gt;10, "Interntional User", IF(AND(#REF!&lt;180, #REF!&lt;200,#REF!&lt;200), "Light User", "Balanced User")))</f>
        <v>#REF!</v>
      </c>
      <c r="AC1971" t="e">
        <f>IF(#REF! = 0, "No Usage", IF(#REF! &lt;= 20, "Low Usage", IF(#REF! &lt;= 40, "Medium Usgae", "High Usage")))</f>
        <v>#REF!</v>
      </c>
      <c r="AD1971" t="e">
        <f>IF(#REF!&lt;=150,"Low Usage", IF(#REF!&lt;=200,"Medium Usage", IF(#REF!&lt;=250,"High Usage","Very High Usage")))</f>
        <v>#REF!</v>
      </c>
      <c r="AE1971" t="e">
        <f>IF(#REF!&lt;=5,"Low Calls", IF(#REF!&lt;=10, "Medium Calls", "High Calls"))</f>
        <v>#REF!</v>
      </c>
      <c r="AF1971" t="e">
        <f xml:space="preserve">
IF(#REF!&gt;=4,4,0)+
IF(#REF!="yes",3,0)+
IF(#REF!="High Charges",3,0)+
IF(#REF!&gt;250,4,0)+
IF(#REF!="no",1,0)+
IF(#REF!="Heavy Domestic User",2,0)</f>
        <v>#REF!</v>
      </c>
      <c r="AG1971" t="e">
        <f>IF(#REF!&gt;=10,"High Risk", IF(#REF!&gt;=5,"Medium Risk","Low Risk"))</f>
        <v>#REF!</v>
      </c>
      <c r="AH1971" t="e">
        <f>#REF! + #REF! + #REF! + #REF!</f>
        <v>#REF!</v>
      </c>
    </row>
    <row r="1972" spans="1:34" x14ac:dyDescent="0.35">
      <c r="A1972">
        <v>1971</v>
      </c>
      <c r="B1972" t="s">
        <v>68</v>
      </c>
      <c r="C1972">
        <v>106</v>
      </c>
      <c r="D1972" t="s">
        <v>21</v>
      </c>
      <c r="E1972" t="s">
        <v>22</v>
      </c>
      <c r="F1972" t="s">
        <v>22</v>
      </c>
      <c r="G1972">
        <v>0</v>
      </c>
      <c r="H1972">
        <v>212.9</v>
      </c>
      <c r="I1972">
        <v>110</v>
      </c>
      <c r="J1972">
        <v>36.19</v>
      </c>
      <c r="K1972">
        <v>187</v>
      </c>
      <c r="L1972">
        <v>69</v>
      </c>
      <c r="M1972">
        <v>15.9</v>
      </c>
      <c r="N1972">
        <v>128.1</v>
      </c>
      <c r="O1972">
        <v>71</v>
      </c>
      <c r="P1972">
        <v>5.76</v>
      </c>
      <c r="Q1972">
        <v>6.3</v>
      </c>
      <c r="R1972">
        <v>3</v>
      </c>
      <c r="S1972">
        <v>1.7</v>
      </c>
      <c r="T1972">
        <v>3</v>
      </c>
      <c r="U1972" t="s">
        <v>22</v>
      </c>
      <c r="V1972" t="e">
        <f>IF(#REF! = "yes", 1, 0)</f>
        <v>#REF!</v>
      </c>
      <c r="W1972" t="e">
        <f>IF(#REF! &lt;= 1, "0-1 Calls", IF(#REF! &lt;= 3, "2-3 Calls", IF(#REF! &lt;=5, "4-5 Calls", "6+ Calls")))</f>
        <v>#REF!</v>
      </c>
      <c r="X1972" t="e">
        <f>IF(#REF! &lt;= 50, "0-50", IF(#REF! &lt;=100, "51-100", IF(#REF! &lt;= 150, "101-150", "151+")))</f>
        <v>#REF!</v>
      </c>
      <c r="Y1972" t="e">
        <f>IF(#REF! &lt;= 3, "Low Charges", "High Charges")</f>
        <v>#REF!</v>
      </c>
      <c r="Z1972" t="e">
        <f>IF(#REF!&lt;=80,"Low Calls",
IF(#REF!&lt;=120,"Medium Calls","High Calls"))</f>
        <v>#REF!</v>
      </c>
      <c r="AA1972" t="e">
        <f>IF(#REF!&lt;=15,"Low Charges",
IF(#REF!&lt;=20,"Medium Charges","High Charges"))</f>
        <v>#REF!</v>
      </c>
      <c r="AB1972" t="e">
        <f>IF(AND(#REF!&gt;180, #REF!&gt;200), "Heavy Doemstic User", IF(#REF!&gt;10, "Interntional User", IF(AND(#REF!&lt;180, #REF!&lt;200,#REF!&lt;200), "Light User", "Balanced User")))</f>
        <v>#REF!</v>
      </c>
      <c r="AC1972" t="e">
        <f>IF(#REF! = 0, "No Usage", IF(#REF! &lt;= 20, "Low Usage", IF(#REF! &lt;= 40, "Medium Usgae", "High Usage")))</f>
        <v>#REF!</v>
      </c>
      <c r="AD1972" t="e">
        <f>IF(#REF!&lt;=150,"Low Usage", IF(#REF!&lt;=200,"Medium Usage", IF(#REF!&lt;=250,"High Usage","Very High Usage")))</f>
        <v>#REF!</v>
      </c>
      <c r="AE1972" t="e">
        <f>IF(#REF!&lt;=5,"Low Calls", IF(#REF!&lt;=10, "Medium Calls", "High Calls"))</f>
        <v>#REF!</v>
      </c>
      <c r="AF1972" t="e">
        <f xml:space="preserve">
IF(#REF!&gt;=4,4,0)+
IF(#REF!="yes",3,0)+
IF(#REF!="High Charges",3,0)+
IF(#REF!&gt;250,4,0)+
IF(#REF!="no",1,0)+
IF(#REF!="Heavy Domestic User",2,0)</f>
        <v>#REF!</v>
      </c>
      <c r="AG1972" t="e">
        <f>IF(#REF!&gt;=10,"High Risk", IF(#REF!&gt;=5,"Medium Risk","Low Risk"))</f>
        <v>#REF!</v>
      </c>
      <c r="AH1972" t="e">
        <f>#REF! + #REF! + #REF! + #REF!</f>
        <v>#REF!</v>
      </c>
    </row>
    <row r="1973" spans="1:34" x14ac:dyDescent="0.35">
      <c r="A1973">
        <v>1972</v>
      </c>
      <c r="B1973" t="s">
        <v>29</v>
      </c>
      <c r="C1973">
        <v>83</v>
      </c>
      <c r="D1973" t="s">
        <v>21</v>
      </c>
      <c r="E1973" t="s">
        <v>22</v>
      </c>
      <c r="F1973" t="s">
        <v>23</v>
      </c>
      <c r="G1973">
        <v>30</v>
      </c>
      <c r="H1973">
        <v>272.5</v>
      </c>
      <c r="I1973">
        <v>105</v>
      </c>
      <c r="J1973">
        <v>46.33</v>
      </c>
      <c r="K1973">
        <v>253</v>
      </c>
      <c r="L1973">
        <v>83</v>
      </c>
      <c r="M1973">
        <v>21.51</v>
      </c>
      <c r="N1973">
        <v>180.8</v>
      </c>
      <c r="O1973">
        <v>123</v>
      </c>
      <c r="P1973">
        <v>8.14</v>
      </c>
      <c r="Q1973">
        <v>8.6999999999999993</v>
      </c>
      <c r="R1973">
        <v>6</v>
      </c>
      <c r="S1973">
        <v>2.35</v>
      </c>
      <c r="T1973">
        <v>3</v>
      </c>
      <c r="U1973" t="s">
        <v>22</v>
      </c>
      <c r="V1973" t="e">
        <f>IF(#REF! = "yes", 1, 0)</f>
        <v>#REF!</v>
      </c>
      <c r="W1973" t="e">
        <f>IF(#REF! &lt;= 1, "0-1 Calls", IF(#REF! &lt;= 3, "2-3 Calls", IF(#REF! &lt;=5, "4-5 Calls", "6+ Calls")))</f>
        <v>#REF!</v>
      </c>
      <c r="X1973" t="e">
        <f>IF(#REF! &lt;= 50, "0-50", IF(#REF! &lt;=100, "51-100", IF(#REF! &lt;= 150, "101-150", "151+")))</f>
        <v>#REF!</v>
      </c>
      <c r="Y1973" t="e">
        <f>IF(#REF! &lt;= 3, "Low Charges", "High Charges")</f>
        <v>#REF!</v>
      </c>
      <c r="Z1973" t="e">
        <f>IF(#REF!&lt;=80,"Low Calls",
IF(#REF!&lt;=120,"Medium Calls","High Calls"))</f>
        <v>#REF!</v>
      </c>
      <c r="AA1973" t="e">
        <f>IF(#REF!&lt;=15,"Low Charges",
IF(#REF!&lt;=20,"Medium Charges","High Charges"))</f>
        <v>#REF!</v>
      </c>
      <c r="AB1973" t="e">
        <f>IF(AND(#REF!&gt;180, #REF!&gt;200), "Heavy Doemstic User", IF(#REF!&gt;10, "Interntional User", IF(AND(#REF!&lt;180, #REF!&lt;200,#REF!&lt;200), "Light User", "Balanced User")))</f>
        <v>#REF!</v>
      </c>
      <c r="AC1973" t="e">
        <f>IF(#REF! = 0, "No Usage", IF(#REF! &lt;= 20, "Low Usage", IF(#REF! &lt;= 40, "Medium Usgae", "High Usage")))</f>
        <v>#REF!</v>
      </c>
      <c r="AD1973" t="e">
        <f>IF(#REF!&lt;=150,"Low Usage", IF(#REF!&lt;=200,"Medium Usage", IF(#REF!&lt;=250,"High Usage","Very High Usage")))</f>
        <v>#REF!</v>
      </c>
      <c r="AE1973" t="e">
        <f>IF(#REF!&lt;=5,"Low Calls", IF(#REF!&lt;=10, "Medium Calls", "High Calls"))</f>
        <v>#REF!</v>
      </c>
      <c r="AF1973" t="e">
        <f xml:space="preserve">
IF(#REF!&gt;=4,4,0)+
IF(#REF!="yes",3,0)+
IF(#REF!="High Charges",3,0)+
IF(#REF!&gt;250,4,0)+
IF(#REF!="no",1,0)+
IF(#REF!="Heavy Domestic User",2,0)</f>
        <v>#REF!</v>
      </c>
      <c r="AG1973" t="e">
        <f>IF(#REF!&gt;=10,"High Risk", IF(#REF!&gt;=5,"Medium Risk","Low Risk"))</f>
        <v>#REF!</v>
      </c>
      <c r="AH1973" t="e">
        <f>#REF! + #REF! + #REF! + #REF!</f>
        <v>#REF!</v>
      </c>
    </row>
    <row r="1974" spans="1:34" x14ac:dyDescent="0.35">
      <c r="A1974">
        <v>1973</v>
      </c>
      <c r="B1974" t="s">
        <v>75</v>
      </c>
      <c r="C1974">
        <v>110</v>
      </c>
      <c r="D1974" t="s">
        <v>21</v>
      </c>
      <c r="E1974" t="s">
        <v>22</v>
      </c>
      <c r="F1974" t="s">
        <v>22</v>
      </c>
      <c r="G1974">
        <v>0</v>
      </c>
      <c r="H1974">
        <v>135.1</v>
      </c>
      <c r="I1974">
        <v>109</v>
      </c>
      <c r="J1974">
        <v>22.97</v>
      </c>
      <c r="K1974">
        <v>205.2</v>
      </c>
      <c r="L1974">
        <v>99</v>
      </c>
      <c r="M1974">
        <v>17.440000000000001</v>
      </c>
      <c r="N1974">
        <v>166.3</v>
      </c>
      <c r="O1974">
        <v>119</v>
      </c>
      <c r="P1974">
        <v>7.48</v>
      </c>
      <c r="Q1974">
        <v>11.7</v>
      </c>
      <c r="R1974">
        <v>4</v>
      </c>
      <c r="S1974">
        <v>3.16</v>
      </c>
      <c r="T1974">
        <v>1</v>
      </c>
      <c r="U1974" t="s">
        <v>22</v>
      </c>
      <c r="V1974" t="e">
        <f>IF(#REF! = "yes", 1, 0)</f>
        <v>#REF!</v>
      </c>
      <c r="W1974" t="e">
        <f>IF(#REF! &lt;= 1, "0-1 Calls", IF(#REF! &lt;= 3, "2-3 Calls", IF(#REF! &lt;=5, "4-5 Calls", "6+ Calls")))</f>
        <v>#REF!</v>
      </c>
      <c r="X1974" t="e">
        <f>IF(#REF! &lt;= 50, "0-50", IF(#REF! &lt;=100, "51-100", IF(#REF! &lt;= 150, "101-150", "151+")))</f>
        <v>#REF!</v>
      </c>
      <c r="Y1974" t="e">
        <f>IF(#REF! &lt;= 3, "Low Charges", "High Charges")</f>
        <v>#REF!</v>
      </c>
      <c r="Z1974" t="e">
        <f>IF(#REF!&lt;=80,"Low Calls",
IF(#REF!&lt;=120,"Medium Calls","High Calls"))</f>
        <v>#REF!</v>
      </c>
      <c r="AA1974" t="e">
        <f>IF(#REF!&lt;=15,"Low Charges",
IF(#REF!&lt;=20,"Medium Charges","High Charges"))</f>
        <v>#REF!</v>
      </c>
      <c r="AB1974" t="e">
        <f>IF(AND(#REF!&gt;180, #REF!&gt;200), "Heavy Doemstic User", IF(#REF!&gt;10, "Interntional User", IF(AND(#REF!&lt;180, #REF!&lt;200,#REF!&lt;200), "Light User", "Balanced User")))</f>
        <v>#REF!</v>
      </c>
      <c r="AC1974" t="e">
        <f>IF(#REF! = 0, "No Usage", IF(#REF! &lt;= 20, "Low Usage", IF(#REF! &lt;= 40, "Medium Usgae", "High Usage")))</f>
        <v>#REF!</v>
      </c>
      <c r="AD1974" t="e">
        <f>IF(#REF!&lt;=150,"Low Usage", IF(#REF!&lt;=200,"Medium Usage", IF(#REF!&lt;=250,"High Usage","Very High Usage")))</f>
        <v>#REF!</v>
      </c>
      <c r="AE1974" t="e">
        <f>IF(#REF!&lt;=5,"Low Calls", IF(#REF!&lt;=10, "Medium Calls", "High Calls"))</f>
        <v>#REF!</v>
      </c>
      <c r="AF1974" t="e">
        <f xml:space="preserve">
IF(#REF!&gt;=4,4,0)+
IF(#REF!="yes",3,0)+
IF(#REF!="High Charges",3,0)+
IF(#REF!&gt;250,4,0)+
IF(#REF!="no",1,0)+
IF(#REF!="Heavy Domestic User",2,0)</f>
        <v>#REF!</v>
      </c>
      <c r="AG1974" t="e">
        <f>IF(#REF!&gt;=10,"High Risk", IF(#REF!&gt;=5,"Medium Risk","Low Risk"))</f>
        <v>#REF!</v>
      </c>
      <c r="AH1974" t="e">
        <f>#REF! + #REF! + #REF! + #REF!</f>
        <v>#REF!</v>
      </c>
    </row>
    <row r="1975" spans="1:34" x14ac:dyDescent="0.35">
      <c r="A1975">
        <v>1974</v>
      </c>
      <c r="B1975" t="s">
        <v>50</v>
      </c>
      <c r="C1975">
        <v>153</v>
      </c>
      <c r="D1975" t="s">
        <v>25</v>
      </c>
      <c r="E1975" t="s">
        <v>22</v>
      </c>
      <c r="F1975" t="s">
        <v>22</v>
      </c>
      <c r="G1975">
        <v>0</v>
      </c>
      <c r="H1975">
        <v>154.6</v>
      </c>
      <c r="I1975">
        <v>56</v>
      </c>
      <c r="J1975">
        <v>26.28</v>
      </c>
      <c r="K1975">
        <v>263</v>
      </c>
      <c r="L1975">
        <v>84</v>
      </c>
      <c r="M1975">
        <v>22.36</v>
      </c>
      <c r="N1975">
        <v>367.7</v>
      </c>
      <c r="O1975">
        <v>89</v>
      </c>
      <c r="P1975">
        <v>16.55</v>
      </c>
      <c r="Q1975">
        <v>15.5</v>
      </c>
      <c r="R1975">
        <v>2</v>
      </c>
      <c r="S1975">
        <v>4.1900000000000004</v>
      </c>
      <c r="T1975">
        <v>1</v>
      </c>
      <c r="U1975" t="s">
        <v>22</v>
      </c>
      <c r="V1975" t="e">
        <f>IF(#REF! = "yes", 1, 0)</f>
        <v>#REF!</v>
      </c>
      <c r="W1975" t="e">
        <f>IF(#REF! &lt;= 1, "0-1 Calls", IF(#REF! &lt;= 3, "2-3 Calls", IF(#REF! &lt;=5, "4-5 Calls", "6+ Calls")))</f>
        <v>#REF!</v>
      </c>
      <c r="X1975" t="e">
        <f>IF(#REF! &lt;= 50, "0-50", IF(#REF! &lt;=100, "51-100", IF(#REF! &lt;= 150, "101-150", "151+")))</f>
        <v>#REF!</v>
      </c>
      <c r="Y1975" t="e">
        <f>IF(#REF! &lt;= 3, "Low Charges", "High Charges")</f>
        <v>#REF!</v>
      </c>
      <c r="Z1975" t="e">
        <f>IF(#REF!&lt;=80,"Low Calls",
IF(#REF!&lt;=120,"Medium Calls","High Calls"))</f>
        <v>#REF!</v>
      </c>
      <c r="AA1975" t="e">
        <f>IF(#REF!&lt;=15,"Low Charges",
IF(#REF!&lt;=20,"Medium Charges","High Charges"))</f>
        <v>#REF!</v>
      </c>
      <c r="AB1975" t="e">
        <f>IF(AND(#REF!&gt;180, #REF!&gt;200), "Heavy Doemstic User", IF(#REF!&gt;10, "Interntional User", IF(AND(#REF!&lt;180, #REF!&lt;200,#REF!&lt;200), "Light User", "Balanced User")))</f>
        <v>#REF!</v>
      </c>
      <c r="AC1975" t="e">
        <f>IF(#REF! = 0, "No Usage", IF(#REF! &lt;= 20, "Low Usage", IF(#REF! &lt;= 40, "Medium Usgae", "High Usage")))</f>
        <v>#REF!</v>
      </c>
      <c r="AD1975" t="e">
        <f>IF(#REF!&lt;=150,"Low Usage", IF(#REF!&lt;=200,"Medium Usage", IF(#REF!&lt;=250,"High Usage","Very High Usage")))</f>
        <v>#REF!</v>
      </c>
      <c r="AE1975" t="e">
        <f>IF(#REF!&lt;=5,"Low Calls", IF(#REF!&lt;=10, "Medium Calls", "High Calls"))</f>
        <v>#REF!</v>
      </c>
      <c r="AF1975" t="e">
        <f xml:space="preserve">
IF(#REF!&gt;=4,4,0)+
IF(#REF!="yes",3,0)+
IF(#REF!="High Charges",3,0)+
IF(#REF!&gt;250,4,0)+
IF(#REF!="no",1,0)+
IF(#REF!="Heavy Domestic User",2,0)</f>
        <v>#REF!</v>
      </c>
      <c r="AG1975" t="e">
        <f>IF(#REF!&gt;=10,"High Risk", IF(#REF!&gt;=5,"Medium Risk","Low Risk"))</f>
        <v>#REF!</v>
      </c>
      <c r="AH1975" t="e">
        <f>#REF! + #REF! + #REF! + #REF!</f>
        <v>#REF!</v>
      </c>
    </row>
    <row r="1976" spans="1:34" x14ac:dyDescent="0.35">
      <c r="A1976">
        <v>1975</v>
      </c>
      <c r="B1976" t="s">
        <v>48</v>
      </c>
      <c r="C1976">
        <v>109</v>
      </c>
      <c r="D1976" t="s">
        <v>28</v>
      </c>
      <c r="E1976" t="s">
        <v>22</v>
      </c>
      <c r="F1976" t="s">
        <v>23</v>
      </c>
      <c r="G1976">
        <v>35</v>
      </c>
      <c r="H1976">
        <v>230.5</v>
      </c>
      <c r="I1976">
        <v>116</v>
      </c>
      <c r="J1976">
        <v>39.19</v>
      </c>
      <c r="K1976">
        <v>265.8</v>
      </c>
      <c r="L1976">
        <v>130</v>
      </c>
      <c r="M1976">
        <v>22.59</v>
      </c>
      <c r="N1976">
        <v>269.7</v>
      </c>
      <c r="O1976">
        <v>69</v>
      </c>
      <c r="P1976">
        <v>12.14</v>
      </c>
      <c r="Q1976">
        <v>10.6</v>
      </c>
      <c r="R1976">
        <v>6</v>
      </c>
      <c r="S1976">
        <v>2.86</v>
      </c>
      <c r="T1976">
        <v>5</v>
      </c>
      <c r="U1976" t="s">
        <v>22</v>
      </c>
      <c r="V1976" t="e">
        <f>IF(#REF! = "yes", 1, 0)</f>
        <v>#REF!</v>
      </c>
      <c r="W1976" t="e">
        <f>IF(#REF! &lt;= 1, "0-1 Calls", IF(#REF! &lt;= 3, "2-3 Calls", IF(#REF! &lt;=5, "4-5 Calls", "6+ Calls")))</f>
        <v>#REF!</v>
      </c>
      <c r="X1976" t="e">
        <f>IF(#REF! &lt;= 50, "0-50", IF(#REF! &lt;=100, "51-100", IF(#REF! &lt;= 150, "101-150", "151+")))</f>
        <v>#REF!</v>
      </c>
      <c r="Y1976" t="e">
        <f>IF(#REF! &lt;= 3, "Low Charges", "High Charges")</f>
        <v>#REF!</v>
      </c>
      <c r="Z1976" t="e">
        <f>IF(#REF!&lt;=80,"Low Calls",
IF(#REF!&lt;=120,"Medium Calls","High Calls"))</f>
        <v>#REF!</v>
      </c>
      <c r="AA1976" t="e">
        <f>IF(#REF!&lt;=15,"Low Charges",
IF(#REF!&lt;=20,"Medium Charges","High Charges"))</f>
        <v>#REF!</v>
      </c>
      <c r="AB1976" t="e">
        <f>IF(AND(#REF!&gt;180, #REF!&gt;200), "Heavy Doemstic User", IF(#REF!&gt;10, "Interntional User", IF(AND(#REF!&lt;180, #REF!&lt;200,#REF!&lt;200), "Light User", "Balanced User")))</f>
        <v>#REF!</v>
      </c>
      <c r="AC1976" t="e">
        <f>IF(#REF! = 0, "No Usage", IF(#REF! &lt;= 20, "Low Usage", IF(#REF! &lt;= 40, "Medium Usgae", "High Usage")))</f>
        <v>#REF!</v>
      </c>
      <c r="AD1976" t="e">
        <f>IF(#REF!&lt;=150,"Low Usage", IF(#REF!&lt;=200,"Medium Usage", IF(#REF!&lt;=250,"High Usage","Very High Usage")))</f>
        <v>#REF!</v>
      </c>
      <c r="AE1976" t="e">
        <f>IF(#REF!&lt;=5,"Low Calls", IF(#REF!&lt;=10, "Medium Calls", "High Calls"))</f>
        <v>#REF!</v>
      </c>
      <c r="AF1976" t="e">
        <f xml:space="preserve">
IF(#REF!&gt;=4,4,0)+
IF(#REF!="yes",3,0)+
IF(#REF!="High Charges",3,0)+
IF(#REF!&gt;250,4,0)+
IF(#REF!="no",1,0)+
IF(#REF!="Heavy Domestic User",2,0)</f>
        <v>#REF!</v>
      </c>
      <c r="AG1976" t="e">
        <f>IF(#REF!&gt;=10,"High Risk", IF(#REF!&gt;=5,"Medium Risk","Low Risk"))</f>
        <v>#REF!</v>
      </c>
      <c r="AH1976" t="e">
        <f>#REF! + #REF! + #REF! + #REF!</f>
        <v>#REF!</v>
      </c>
    </row>
    <row r="1977" spans="1:34" x14ac:dyDescent="0.35">
      <c r="A1977">
        <v>1976</v>
      </c>
      <c r="B1977" t="s">
        <v>40</v>
      </c>
      <c r="C1977">
        <v>31</v>
      </c>
      <c r="D1977" t="s">
        <v>28</v>
      </c>
      <c r="E1977" t="s">
        <v>22</v>
      </c>
      <c r="F1977" t="s">
        <v>22</v>
      </c>
      <c r="G1977">
        <v>0</v>
      </c>
      <c r="H1977">
        <v>165.4</v>
      </c>
      <c r="I1977">
        <v>84</v>
      </c>
      <c r="J1977">
        <v>28.12</v>
      </c>
      <c r="K1977">
        <v>203.7</v>
      </c>
      <c r="L1977">
        <v>107</v>
      </c>
      <c r="M1977">
        <v>17.309999999999999</v>
      </c>
      <c r="N1977">
        <v>201.7</v>
      </c>
      <c r="O1977">
        <v>65</v>
      </c>
      <c r="P1977">
        <v>9.08</v>
      </c>
      <c r="Q1977">
        <v>8.1999999999999993</v>
      </c>
      <c r="R1977">
        <v>1</v>
      </c>
      <c r="S1977">
        <v>2.21</v>
      </c>
      <c r="T1977">
        <v>1</v>
      </c>
      <c r="U1977" t="s">
        <v>22</v>
      </c>
      <c r="V1977" t="e">
        <f>IF(#REF! = "yes", 1, 0)</f>
        <v>#REF!</v>
      </c>
      <c r="W1977" t="e">
        <f>IF(#REF! &lt;= 1, "0-1 Calls", IF(#REF! &lt;= 3, "2-3 Calls", IF(#REF! &lt;=5, "4-5 Calls", "6+ Calls")))</f>
        <v>#REF!</v>
      </c>
      <c r="X1977" t="e">
        <f>IF(#REF! &lt;= 50, "0-50", IF(#REF! &lt;=100, "51-100", IF(#REF! &lt;= 150, "101-150", "151+")))</f>
        <v>#REF!</v>
      </c>
      <c r="Y1977" t="e">
        <f>IF(#REF! &lt;= 3, "Low Charges", "High Charges")</f>
        <v>#REF!</v>
      </c>
      <c r="Z1977" t="e">
        <f>IF(#REF!&lt;=80,"Low Calls",
IF(#REF!&lt;=120,"Medium Calls","High Calls"))</f>
        <v>#REF!</v>
      </c>
      <c r="AA1977" t="e">
        <f>IF(#REF!&lt;=15,"Low Charges",
IF(#REF!&lt;=20,"Medium Charges","High Charges"))</f>
        <v>#REF!</v>
      </c>
      <c r="AB1977" t="e">
        <f>IF(AND(#REF!&gt;180, #REF!&gt;200), "Heavy Doemstic User", IF(#REF!&gt;10, "Interntional User", IF(AND(#REF!&lt;180, #REF!&lt;200,#REF!&lt;200), "Light User", "Balanced User")))</f>
        <v>#REF!</v>
      </c>
      <c r="AC1977" t="e">
        <f>IF(#REF! = 0, "No Usage", IF(#REF! &lt;= 20, "Low Usage", IF(#REF! &lt;= 40, "Medium Usgae", "High Usage")))</f>
        <v>#REF!</v>
      </c>
      <c r="AD1977" t="e">
        <f>IF(#REF!&lt;=150,"Low Usage", IF(#REF!&lt;=200,"Medium Usage", IF(#REF!&lt;=250,"High Usage","Very High Usage")))</f>
        <v>#REF!</v>
      </c>
      <c r="AE1977" t="e">
        <f>IF(#REF!&lt;=5,"Low Calls", IF(#REF!&lt;=10, "Medium Calls", "High Calls"))</f>
        <v>#REF!</v>
      </c>
      <c r="AF1977" t="e">
        <f xml:space="preserve">
IF(#REF!&gt;=4,4,0)+
IF(#REF!="yes",3,0)+
IF(#REF!="High Charges",3,0)+
IF(#REF!&gt;250,4,0)+
IF(#REF!="no",1,0)+
IF(#REF!="Heavy Domestic User",2,0)</f>
        <v>#REF!</v>
      </c>
      <c r="AG1977" t="e">
        <f>IF(#REF!&gt;=10,"High Risk", IF(#REF!&gt;=5,"Medium Risk","Low Risk"))</f>
        <v>#REF!</v>
      </c>
      <c r="AH1977" t="e">
        <f>#REF! + #REF! + #REF! + #REF!</f>
        <v>#REF!</v>
      </c>
    </row>
    <row r="1978" spans="1:34" x14ac:dyDescent="0.35">
      <c r="A1978">
        <v>1977</v>
      </c>
      <c r="B1978" t="s">
        <v>30</v>
      </c>
      <c r="C1978">
        <v>124</v>
      </c>
      <c r="D1978" t="s">
        <v>28</v>
      </c>
      <c r="E1978" t="s">
        <v>22</v>
      </c>
      <c r="F1978" t="s">
        <v>22</v>
      </c>
      <c r="G1978">
        <v>0</v>
      </c>
      <c r="H1978">
        <v>143.30000000000001</v>
      </c>
      <c r="I1978">
        <v>120</v>
      </c>
      <c r="J1978">
        <v>24.36</v>
      </c>
      <c r="K1978">
        <v>230.7</v>
      </c>
      <c r="L1978">
        <v>111</v>
      </c>
      <c r="M1978">
        <v>19.61</v>
      </c>
      <c r="N1978">
        <v>214.3</v>
      </c>
      <c r="O1978">
        <v>91</v>
      </c>
      <c r="P1978">
        <v>9.64</v>
      </c>
      <c r="Q1978">
        <v>7.8</v>
      </c>
      <c r="R1978">
        <v>2</v>
      </c>
      <c r="S1978">
        <v>2.11</v>
      </c>
      <c r="T1978">
        <v>4</v>
      </c>
      <c r="U1978" t="s">
        <v>23</v>
      </c>
      <c r="V1978" t="e">
        <f>IF(#REF! = "yes", 1, 0)</f>
        <v>#REF!</v>
      </c>
      <c r="W1978" t="e">
        <f>IF(#REF! &lt;= 1, "0-1 Calls", IF(#REF! &lt;= 3, "2-3 Calls", IF(#REF! &lt;=5, "4-5 Calls", "6+ Calls")))</f>
        <v>#REF!</v>
      </c>
      <c r="X1978" t="e">
        <f>IF(#REF! &lt;= 50, "0-50", IF(#REF! &lt;=100, "51-100", IF(#REF! &lt;= 150, "101-150", "151+")))</f>
        <v>#REF!</v>
      </c>
      <c r="Y1978" t="e">
        <f>IF(#REF! &lt;= 3, "Low Charges", "High Charges")</f>
        <v>#REF!</v>
      </c>
      <c r="Z1978" t="e">
        <f>IF(#REF!&lt;=80,"Low Calls",
IF(#REF!&lt;=120,"Medium Calls","High Calls"))</f>
        <v>#REF!</v>
      </c>
      <c r="AA1978" t="e">
        <f>IF(#REF!&lt;=15,"Low Charges",
IF(#REF!&lt;=20,"Medium Charges","High Charges"))</f>
        <v>#REF!</v>
      </c>
      <c r="AB1978" t="e">
        <f>IF(AND(#REF!&gt;180, #REF!&gt;200), "Heavy Doemstic User", IF(#REF!&gt;10, "Interntional User", IF(AND(#REF!&lt;180, #REF!&lt;200,#REF!&lt;200), "Light User", "Balanced User")))</f>
        <v>#REF!</v>
      </c>
      <c r="AC1978" t="e">
        <f>IF(#REF! = 0, "No Usage", IF(#REF! &lt;= 20, "Low Usage", IF(#REF! &lt;= 40, "Medium Usgae", "High Usage")))</f>
        <v>#REF!</v>
      </c>
      <c r="AD1978" t="e">
        <f>IF(#REF!&lt;=150,"Low Usage", IF(#REF!&lt;=200,"Medium Usage", IF(#REF!&lt;=250,"High Usage","Very High Usage")))</f>
        <v>#REF!</v>
      </c>
      <c r="AE1978" t="e">
        <f>IF(#REF!&lt;=5,"Low Calls", IF(#REF!&lt;=10, "Medium Calls", "High Calls"))</f>
        <v>#REF!</v>
      </c>
      <c r="AF1978" t="e">
        <f xml:space="preserve">
IF(#REF!&gt;=4,4,0)+
IF(#REF!="yes",3,0)+
IF(#REF!="High Charges",3,0)+
IF(#REF!&gt;250,4,0)+
IF(#REF!="no",1,0)+
IF(#REF!="Heavy Domestic User",2,0)</f>
        <v>#REF!</v>
      </c>
      <c r="AG1978" t="e">
        <f>IF(#REF!&gt;=10,"High Risk", IF(#REF!&gt;=5,"Medium Risk","Low Risk"))</f>
        <v>#REF!</v>
      </c>
      <c r="AH1978" t="e">
        <f>#REF! + #REF! + #REF! + #REF!</f>
        <v>#REF!</v>
      </c>
    </row>
    <row r="1979" spans="1:34" x14ac:dyDescent="0.35">
      <c r="A1979">
        <v>1978</v>
      </c>
      <c r="B1979" t="s">
        <v>55</v>
      </c>
      <c r="C1979">
        <v>110</v>
      </c>
      <c r="D1979" t="s">
        <v>21</v>
      </c>
      <c r="E1979" t="s">
        <v>22</v>
      </c>
      <c r="F1979" t="s">
        <v>22</v>
      </c>
      <c r="G1979">
        <v>0</v>
      </c>
      <c r="H1979">
        <v>271.10000000000002</v>
      </c>
      <c r="I1979">
        <v>108</v>
      </c>
      <c r="J1979">
        <v>46.09</v>
      </c>
      <c r="K1979">
        <v>237</v>
      </c>
      <c r="L1979">
        <v>122</v>
      </c>
      <c r="M1979">
        <v>20.149999999999999</v>
      </c>
      <c r="N1979">
        <v>239.9</v>
      </c>
      <c r="O1979">
        <v>122</v>
      </c>
      <c r="P1979">
        <v>10.8</v>
      </c>
      <c r="Q1979">
        <v>9.8000000000000007</v>
      </c>
      <c r="R1979">
        <v>5</v>
      </c>
      <c r="S1979">
        <v>2.65</v>
      </c>
      <c r="T1979">
        <v>2</v>
      </c>
      <c r="U1979" t="s">
        <v>23</v>
      </c>
      <c r="V1979" t="e">
        <f>IF(#REF! = "yes", 1, 0)</f>
        <v>#REF!</v>
      </c>
      <c r="W1979" t="e">
        <f>IF(#REF! &lt;= 1, "0-1 Calls", IF(#REF! &lt;= 3, "2-3 Calls", IF(#REF! &lt;=5, "4-5 Calls", "6+ Calls")))</f>
        <v>#REF!</v>
      </c>
      <c r="X1979" t="e">
        <f>IF(#REF! &lt;= 50, "0-50", IF(#REF! &lt;=100, "51-100", IF(#REF! &lt;= 150, "101-150", "151+")))</f>
        <v>#REF!</v>
      </c>
      <c r="Y1979" t="e">
        <f>IF(#REF! &lt;= 3, "Low Charges", "High Charges")</f>
        <v>#REF!</v>
      </c>
      <c r="Z1979" t="e">
        <f>IF(#REF!&lt;=80,"Low Calls",
IF(#REF!&lt;=120,"Medium Calls","High Calls"))</f>
        <v>#REF!</v>
      </c>
      <c r="AA1979" t="e">
        <f>IF(#REF!&lt;=15,"Low Charges",
IF(#REF!&lt;=20,"Medium Charges","High Charges"))</f>
        <v>#REF!</v>
      </c>
      <c r="AB1979" t="e">
        <f>IF(AND(#REF!&gt;180, #REF!&gt;200), "Heavy Doemstic User", IF(#REF!&gt;10, "Interntional User", IF(AND(#REF!&lt;180, #REF!&lt;200,#REF!&lt;200), "Light User", "Balanced User")))</f>
        <v>#REF!</v>
      </c>
      <c r="AC1979" t="e">
        <f>IF(#REF! = 0, "No Usage", IF(#REF! &lt;= 20, "Low Usage", IF(#REF! &lt;= 40, "Medium Usgae", "High Usage")))</f>
        <v>#REF!</v>
      </c>
      <c r="AD1979" t="e">
        <f>IF(#REF!&lt;=150,"Low Usage", IF(#REF!&lt;=200,"Medium Usage", IF(#REF!&lt;=250,"High Usage","Very High Usage")))</f>
        <v>#REF!</v>
      </c>
      <c r="AE1979" t="e">
        <f>IF(#REF!&lt;=5,"Low Calls", IF(#REF!&lt;=10, "Medium Calls", "High Calls"))</f>
        <v>#REF!</v>
      </c>
      <c r="AF1979" t="e">
        <f xml:space="preserve">
IF(#REF!&gt;=4,4,0)+
IF(#REF!="yes",3,0)+
IF(#REF!="High Charges",3,0)+
IF(#REF!&gt;250,4,0)+
IF(#REF!="no",1,0)+
IF(#REF!="Heavy Domestic User",2,0)</f>
        <v>#REF!</v>
      </c>
      <c r="AG1979" t="e">
        <f>IF(#REF!&gt;=10,"High Risk", IF(#REF!&gt;=5,"Medium Risk","Low Risk"))</f>
        <v>#REF!</v>
      </c>
      <c r="AH1979" t="e">
        <f>#REF! + #REF! + #REF! + #REF!</f>
        <v>#REF!</v>
      </c>
    </row>
    <row r="1980" spans="1:34" x14ac:dyDescent="0.35">
      <c r="A1980">
        <v>1979</v>
      </c>
      <c r="B1980" t="s">
        <v>42</v>
      </c>
      <c r="C1980">
        <v>124</v>
      </c>
      <c r="D1980" t="s">
        <v>21</v>
      </c>
      <c r="E1980" t="s">
        <v>22</v>
      </c>
      <c r="F1980" t="s">
        <v>22</v>
      </c>
      <c r="G1980">
        <v>0</v>
      </c>
      <c r="H1980">
        <v>253.5</v>
      </c>
      <c r="I1980">
        <v>104</v>
      </c>
      <c r="J1980">
        <v>43.1</v>
      </c>
      <c r="K1980">
        <v>117.9</v>
      </c>
      <c r="L1980">
        <v>123</v>
      </c>
      <c r="M1980">
        <v>10.02</v>
      </c>
      <c r="N1980">
        <v>248.5</v>
      </c>
      <c r="O1980">
        <v>104</v>
      </c>
      <c r="P1980">
        <v>11.18</v>
      </c>
      <c r="Q1980">
        <v>14</v>
      </c>
      <c r="R1980">
        <v>2</v>
      </c>
      <c r="S1980">
        <v>3.78</v>
      </c>
      <c r="T1980">
        <v>0</v>
      </c>
      <c r="U1980" t="s">
        <v>22</v>
      </c>
      <c r="V1980" t="e">
        <f>IF(#REF! = "yes", 1, 0)</f>
        <v>#REF!</v>
      </c>
      <c r="W1980" t="e">
        <f>IF(#REF! &lt;= 1, "0-1 Calls", IF(#REF! &lt;= 3, "2-3 Calls", IF(#REF! &lt;=5, "4-5 Calls", "6+ Calls")))</f>
        <v>#REF!</v>
      </c>
      <c r="X1980" t="e">
        <f>IF(#REF! &lt;= 50, "0-50", IF(#REF! &lt;=100, "51-100", IF(#REF! &lt;= 150, "101-150", "151+")))</f>
        <v>#REF!</v>
      </c>
      <c r="Y1980" t="e">
        <f>IF(#REF! &lt;= 3, "Low Charges", "High Charges")</f>
        <v>#REF!</v>
      </c>
      <c r="Z1980" t="e">
        <f>IF(#REF!&lt;=80,"Low Calls",
IF(#REF!&lt;=120,"Medium Calls","High Calls"))</f>
        <v>#REF!</v>
      </c>
      <c r="AA1980" t="e">
        <f>IF(#REF!&lt;=15,"Low Charges",
IF(#REF!&lt;=20,"Medium Charges","High Charges"))</f>
        <v>#REF!</v>
      </c>
      <c r="AB1980" t="e">
        <f>IF(AND(#REF!&gt;180, #REF!&gt;200), "Heavy Doemstic User", IF(#REF!&gt;10, "Interntional User", IF(AND(#REF!&lt;180, #REF!&lt;200,#REF!&lt;200), "Light User", "Balanced User")))</f>
        <v>#REF!</v>
      </c>
      <c r="AC1980" t="e">
        <f>IF(#REF! = 0, "No Usage", IF(#REF! &lt;= 20, "Low Usage", IF(#REF! &lt;= 40, "Medium Usgae", "High Usage")))</f>
        <v>#REF!</v>
      </c>
      <c r="AD1980" t="e">
        <f>IF(#REF!&lt;=150,"Low Usage", IF(#REF!&lt;=200,"Medium Usage", IF(#REF!&lt;=250,"High Usage","Very High Usage")))</f>
        <v>#REF!</v>
      </c>
      <c r="AE1980" t="e">
        <f>IF(#REF!&lt;=5,"Low Calls", IF(#REF!&lt;=10, "Medium Calls", "High Calls"))</f>
        <v>#REF!</v>
      </c>
      <c r="AF1980" t="e">
        <f xml:space="preserve">
IF(#REF!&gt;=4,4,0)+
IF(#REF!="yes",3,0)+
IF(#REF!="High Charges",3,0)+
IF(#REF!&gt;250,4,0)+
IF(#REF!="no",1,0)+
IF(#REF!="Heavy Domestic User",2,0)</f>
        <v>#REF!</v>
      </c>
      <c r="AG1980" t="e">
        <f>IF(#REF!&gt;=10,"High Risk", IF(#REF!&gt;=5,"Medium Risk","Low Risk"))</f>
        <v>#REF!</v>
      </c>
      <c r="AH1980" t="e">
        <f>#REF! + #REF! + #REF! + #REF!</f>
        <v>#REF!</v>
      </c>
    </row>
    <row r="1981" spans="1:34" x14ac:dyDescent="0.35">
      <c r="A1981">
        <v>1980</v>
      </c>
      <c r="B1981" t="s">
        <v>36</v>
      </c>
      <c r="C1981">
        <v>82</v>
      </c>
      <c r="D1981" t="s">
        <v>21</v>
      </c>
      <c r="E1981" t="s">
        <v>22</v>
      </c>
      <c r="F1981" t="s">
        <v>22</v>
      </c>
      <c r="G1981">
        <v>0</v>
      </c>
      <c r="H1981">
        <v>167.1</v>
      </c>
      <c r="I1981">
        <v>77</v>
      </c>
      <c r="J1981">
        <v>28.41</v>
      </c>
      <c r="K1981">
        <v>131.80000000000001</v>
      </c>
      <c r="L1981">
        <v>79</v>
      </c>
      <c r="M1981">
        <v>11.2</v>
      </c>
      <c r="N1981">
        <v>187.4</v>
      </c>
      <c r="O1981">
        <v>98</v>
      </c>
      <c r="P1981">
        <v>8.43</v>
      </c>
      <c r="Q1981">
        <v>9.4</v>
      </c>
      <c r="R1981">
        <v>1</v>
      </c>
      <c r="S1981">
        <v>2.54</v>
      </c>
      <c r="T1981">
        <v>6</v>
      </c>
      <c r="U1981" t="s">
        <v>23</v>
      </c>
      <c r="V1981" t="e">
        <f>IF(#REF! = "yes", 1, 0)</f>
        <v>#REF!</v>
      </c>
      <c r="W1981" t="e">
        <f>IF(#REF! &lt;= 1, "0-1 Calls", IF(#REF! &lt;= 3, "2-3 Calls", IF(#REF! &lt;=5, "4-5 Calls", "6+ Calls")))</f>
        <v>#REF!</v>
      </c>
      <c r="X1981" t="e">
        <f>IF(#REF! &lt;= 50, "0-50", IF(#REF! &lt;=100, "51-100", IF(#REF! &lt;= 150, "101-150", "151+")))</f>
        <v>#REF!</v>
      </c>
      <c r="Y1981" t="e">
        <f>IF(#REF! &lt;= 3, "Low Charges", "High Charges")</f>
        <v>#REF!</v>
      </c>
      <c r="Z1981" t="e">
        <f>IF(#REF!&lt;=80,"Low Calls",
IF(#REF!&lt;=120,"Medium Calls","High Calls"))</f>
        <v>#REF!</v>
      </c>
      <c r="AA1981" t="e">
        <f>IF(#REF!&lt;=15,"Low Charges",
IF(#REF!&lt;=20,"Medium Charges","High Charges"))</f>
        <v>#REF!</v>
      </c>
      <c r="AB1981" t="e">
        <f>IF(AND(#REF!&gt;180, #REF!&gt;200), "Heavy Doemstic User", IF(#REF!&gt;10, "Interntional User", IF(AND(#REF!&lt;180, #REF!&lt;200,#REF!&lt;200), "Light User", "Balanced User")))</f>
        <v>#REF!</v>
      </c>
      <c r="AC1981" t="e">
        <f>IF(#REF! = 0, "No Usage", IF(#REF! &lt;= 20, "Low Usage", IF(#REF! &lt;= 40, "Medium Usgae", "High Usage")))</f>
        <v>#REF!</v>
      </c>
      <c r="AD1981" t="e">
        <f>IF(#REF!&lt;=150,"Low Usage", IF(#REF!&lt;=200,"Medium Usage", IF(#REF!&lt;=250,"High Usage","Very High Usage")))</f>
        <v>#REF!</v>
      </c>
      <c r="AE1981" t="e">
        <f>IF(#REF!&lt;=5,"Low Calls", IF(#REF!&lt;=10, "Medium Calls", "High Calls"))</f>
        <v>#REF!</v>
      </c>
      <c r="AF1981" t="e">
        <f xml:space="preserve">
IF(#REF!&gt;=4,4,0)+
IF(#REF!="yes",3,0)+
IF(#REF!="High Charges",3,0)+
IF(#REF!&gt;250,4,0)+
IF(#REF!="no",1,0)+
IF(#REF!="Heavy Domestic User",2,0)</f>
        <v>#REF!</v>
      </c>
      <c r="AG1981" t="e">
        <f>IF(#REF!&gt;=10,"High Risk", IF(#REF!&gt;=5,"Medium Risk","Low Risk"))</f>
        <v>#REF!</v>
      </c>
      <c r="AH1981" t="e">
        <f>#REF! + #REF! + #REF! + #REF!</f>
        <v>#REF!</v>
      </c>
    </row>
    <row r="1982" spans="1:34" x14ac:dyDescent="0.35">
      <c r="A1982">
        <v>1981</v>
      </c>
      <c r="B1982" t="s">
        <v>32</v>
      </c>
      <c r="C1982">
        <v>69</v>
      </c>
      <c r="D1982" t="s">
        <v>28</v>
      </c>
      <c r="E1982" t="s">
        <v>22</v>
      </c>
      <c r="F1982" t="s">
        <v>22</v>
      </c>
      <c r="G1982">
        <v>0</v>
      </c>
      <c r="H1982">
        <v>135.4</v>
      </c>
      <c r="I1982">
        <v>101</v>
      </c>
      <c r="J1982">
        <v>23.02</v>
      </c>
      <c r="K1982">
        <v>238.1</v>
      </c>
      <c r="L1982">
        <v>124</v>
      </c>
      <c r="M1982">
        <v>20.239999999999998</v>
      </c>
      <c r="N1982">
        <v>195.6</v>
      </c>
      <c r="O1982">
        <v>102</v>
      </c>
      <c r="P1982">
        <v>8.8000000000000007</v>
      </c>
      <c r="Q1982">
        <v>10.6</v>
      </c>
      <c r="R1982">
        <v>2</v>
      </c>
      <c r="S1982">
        <v>2.86</v>
      </c>
      <c r="T1982">
        <v>1</v>
      </c>
      <c r="U1982" t="s">
        <v>22</v>
      </c>
      <c r="V1982" t="e">
        <f>IF(#REF! = "yes", 1, 0)</f>
        <v>#REF!</v>
      </c>
      <c r="W1982" t="e">
        <f>IF(#REF! &lt;= 1, "0-1 Calls", IF(#REF! &lt;= 3, "2-3 Calls", IF(#REF! &lt;=5, "4-5 Calls", "6+ Calls")))</f>
        <v>#REF!</v>
      </c>
      <c r="X1982" t="e">
        <f>IF(#REF! &lt;= 50, "0-50", IF(#REF! &lt;=100, "51-100", IF(#REF! &lt;= 150, "101-150", "151+")))</f>
        <v>#REF!</v>
      </c>
      <c r="Y1982" t="e">
        <f>IF(#REF! &lt;= 3, "Low Charges", "High Charges")</f>
        <v>#REF!</v>
      </c>
      <c r="Z1982" t="e">
        <f>IF(#REF!&lt;=80,"Low Calls",
IF(#REF!&lt;=120,"Medium Calls","High Calls"))</f>
        <v>#REF!</v>
      </c>
      <c r="AA1982" t="e">
        <f>IF(#REF!&lt;=15,"Low Charges",
IF(#REF!&lt;=20,"Medium Charges","High Charges"))</f>
        <v>#REF!</v>
      </c>
      <c r="AB1982" t="e">
        <f>IF(AND(#REF!&gt;180, #REF!&gt;200), "Heavy Doemstic User", IF(#REF!&gt;10, "Interntional User", IF(AND(#REF!&lt;180, #REF!&lt;200,#REF!&lt;200), "Light User", "Balanced User")))</f>
        <v>#REF!</v>
      </c>
      <c r="AC1982" t="e">
        <f>IF(#REF! = 0, "No Usage", IF(#REF! &lt;= 20, "Low Usage", IF(#REF! &lt;= 40, "Medium Usgae", "High Usage")))</f>
        <v>#REF!</v>
      </c>
      <c r="AD1982" t="e">
        <f>IF(#REF!&lt;=150,"Low Usage", IF(#REF!&lt;=200,"Medium Usage", IF(#REF!&lt;=250,"High Usage","Very High Usage")))</f>
        <v>#REF!</v>
      </c>
      <c r="AE1982" t="e">
        <f>IF(#REF!&lt;=5,"Low Calls", IF(#REF!&lt;=10, "Medium Calls", "High Calls"))</f>
        <v>#REF!</v>
      </c>
      <c r="AF1982" t="e">
        <f xml:space="preserve">
IF(#REF!&gt;=4,4,0)+
IF(#REF!="yes",3,0)+
IF(#REF!="High Charges",3,0)+
IF(#REF!&gt;250,4,0)+
IF(#REF!="no",1,0)+
IF(#REF!="Heavy Domestic User",2,0)</f>
        <v>#REF!</v>
      </c>
      <c r="AG1982" t="e">
        <f>IF(#REF!&gt;=10,"High Risk", IF(#REF!&gt;=5,"Medium Risk","Low Risk"))</f>
        <v>#REF!</v>
      </c>
      <c r="AH1982" t="e">
        <f>#REF! + #REF! + #REF! + #REF!</f>
        <v>#REF!</v>
      </c>
    </row>
    <row r="1983" spans="1:34" x14ac:dyDescent="0.35">
      <c r="A1983">
        <v>1982</v>
      </c>
      <c r="B1983" t="s">
        <v>40</v>
      </c>
      <c r="C1983">
        <v>103</v>
      </c>
      <c r="D1983" t="s">
        <v>21</v>
      </c>
      <c r="E1983" t="s">
        <v>22</v>
      </c>
      <c r="F1983" t="s">
        <v>22</v>
      </c>
      <c r="G1983">
        <v>0</v>
      </c>
      <c r="H1983">
        <v>158.69999999999999</v>
      </c>
      <c r="I1983">
        <v>90</v>
      </c>
      <c r="J1983">
        <v>26.98</v>
      </c>
      <c r="K1983">
        <v>198.4</v>
      </c>
      <c r="L1983">
        <v>117</v>
      </c>
      <c r="M1983">
        <v>16.86</v>
      </c>
      <c r="N1983">
        <v>181.1</v>
      </c>
      <c r="O1983">
        <v>76</v>
      </c>
      <c r="P1983">
        <v>8.15</v>
      </c>
      <c r="Q1983">
        <v>10.5</v>
      </c>
      <c r="R1983">
        <v>4</v>
      </c>
      <c r="S1983">
        <v>2.84</v>
      </c>
      <c r="T1983">
        <v>1</v>
      </c>
      <c r="U1983" t="s">
        <v>22</v>
      </c>
      <c r="V1983" t="e">
        <f>IF(#REF! = "yes", 1, 0)</f>
        <v>#REF!</v>
      </c>
      <c r="W1983" t="e">
        <f>IF(#REF! &lt;= 1, "0-1 Calls", IF(#REF! &lt;= 3, "2-3 Calls", IF(#REF! &lt;=5, "4-5 Calls", "6+ Calls")))</f>
        <v>#REF!</v>
      </c>
      <c r="X1983" t="e">
        <f>IF(#REF! &lt;= 50, "0-50", IF(#REF! &lt;=100, "51-100", IF(#REF! &lt;= 150, "101-150", "151+")))</f>
        <v>#REF!</v>
      </c>
      <c r="Y1983" t="e">
        <f>IF(#REF! &lt;= 3, "Low Charges", "High Charges")</f>
        <v>#REF!</v>
      </c>
      <c r="Z1983" t="e">
        <f>IF(#REF!&lt;=80,"Low Calls",
IF(#REF!&lt;=120,"Medium Calls","High Calls"))</f>
        <v>#REF!</v>
      </c>
      <c r="AA1983" t="e">
        <f>IF(#REF!&lt;=15,"Low Charges",
IF(#REF!&lt;=20,"Medium Charges","High Charges"))</f>
        <v>#REF!</v>
      </c>
      <c r="AB1983" t="e">
        <f>IF(AND(#REF!&gt;180, #REF!&gt;200), "Heavy Doemstic User", IF(#REF!&gt;10, "Interntional User", IF(AND(#REF!&lt;180, #REF!&lt;200,#REF!&lt;200), "Light User", "Balanced User")))</f>
        <v>#REF!</v>
      </c>
      <c r="AC1983" t="e">
        <f>IF(#REF! = 0, "No Usage", IF(#REF! &lt;= 20, "Low Usage", IF(#REF! &lt;= 40, "Medium Usgae", "High Usage")))</f>
        <v>#REF!</v>
      </c>
      <c r="AD1983" t="e">
        <f>IF(#REF!&lt;=150,"Low Usage", IF(#REF!&lt;=200,"Medium Usage", IF(#REF!&lt;=250,"High Usage","Very High Usage")))</f>
        <v>#REF!</v>
      </c>
      <c r="AE1983" t="e">
        <f>IF(#REF!&lt;=5,"Low Calls", IF(#REF!&lt;=10, "Medium Calls", "High Calls"))</f>
        <v>#REF!</v>
      </c>
      <c r="AF1983" t="e">
        <f xml:space="preserve">
IF(#REF!&gt;=4,4,0)+
IF(#REF!="yes",3,0)+
IF(#REF!="High Charges",3,0)+
IF(#REF!&gt;250,4,0)+
IF(#REF!="no",1,0)+
IF(#REF!="Heavy Domestic User",2,0)</f>
        <v>#REF!</v>
      </c>
      <c r="AG1983" t="e">
        <f>IF(#REF!&gt;=10,"High Risk", IF(#REF!&gt;=5,"Medium Risk","Low Risk"))</f>
        <v>#REF!</v>
      </c>
      <c r="AH1983" t="e">
        <f>#REF! + #REF! + #REF! + #REF!</f>
        <v>#REF!</v>
      </c>
    </row>
    <row r="1984" spans="1:34" x14ac:dyDescent="0.35">
      <c r="A1984">
        <v>1983</v>
      </c>
      <c r="B1984" t="s">
        <v>61</v>
      </c>
      <c r="C1984">
        <v>16</v>
      </c>
      <c r="D1984" t="s">
        <v>28</v>
      </c>
      <c r="E1984" t="s">
        <v>22</v>
      </c>
      <c r="F1984" t="s">
        <v>22</v>
      </c>
      <c r="G1984">
        <v>0</v>
      </c>
      <c r="H1984">
        <v>144.80000000000001</v>
      </c>
      <c r="I1984">
        <v>84</v>
      </c>
      <c r="J1984">
        <v>24.62</v>
      </c>
      <c r="K1984">
        <v>164.9</v>
      </c>
      <c r="L1984">
        <v>141</v>
      </c>
      <c r="M1984">
        <v>14.02</v>
      </c>
      <c r="N1984">
        <v>231.5</v>
      </c>
      <c r="O1984">
        <v>75</v>
      </c>
      <c r="P1984">
        <v>10.42</v>
      </c>
      <c r="Q1984">
        <v>8.1999999999999993</v>
      </c>
      <c r="R1984">
        <v>4</v>
      </c>
      <c r="S1984">
        <v>2.21</v>
      </c>
      <c r="T1984">
        <v>2</v>
      </c>
      <c r="U1984" t="s">
        <v>22</v>
      </c>
      <c r="V1984" t="e">
        <f>IF(#REF! = "yes", 1, 0)</f>
        <v>#REF!</v>
      </c>
      <c r="W1984" t="e">
        <f>IF(#REF! &lt;= 1, "0-1 Calls", IF(#REF! &lt;= 3, "2-3 Calls", IF(#REF! &lt;=5, "4-5 Calls", "6+ Calls")))</f>
        <v>#REF!</v>
      </c>
      <c r="X1984" t="e">
        <f>IF(#REF! &lt;= 50, "0-50", IF(#REF! &lt;=100, "51-100", IF(#REF! &lt;= 150, "101-150", "151+")))</f>
        <v>#REF!</v>
      </c>
      <c r="Y1984" t="e">
        <f>IF(#REF! &lt;= 3, "Low Charges", "High Charges")</f>
        <v>#REF!</v>
      </c>
      <c r="Z1984" t="e">
        <f>IF(#REF!&lt;=80,"Low Calls",
IF(#REF!&lt;=120,"Medium Calls","High Calls"))</f>
        <v>#REF!</v>
      </c>
      <c r="AA1984" t="e">
        <f>IF(#REF!&lt;=15,"Low Charges",
IF(#REF!&lt;=20,"Medium Charges","High Charges"))</f>
        <v>#REF!</v>
      </c>
      <c r="AB1984" t="e">
        <f>IF(AND(#REF!&gt;180, #REF!&gt;200), "Heavy Doemstic User", IF(#REF!&gt;10, "Interntional User", IF(AND(#REF!&lt;180, #REF!&lt;200,#REF!&lt;200), "Light User", "Balanced User")))</f>
        <v>#REF!</v>
      </c>
      <c r="AC1984" t="e">
        <f>IF(#REF! = 0, "No Usage", IF(#REF! &lt;= 20, "Low Usage", IF(#REF! &lt;= 40, "Medium Usgae", "High Usage")))</f>
        <v>#REF!</v>
      </c>
      <c r="AD1984" t="e">
        <f>IF(#REF!&lt;=150,"Low Usage", IF(#REF!&lt;=200,"Medium Usage", IF(#REF!&lt;=250,"High Usage","Very High Usage")))</f>
        <v>#REF!</v>
      </c>
      <c r="AE1984" t="e">
        <f>IF(#REF!&lt;=5,"Low Calls", IF(#REF!&lt;=10, "Medium Calls", "High Calls"))</f>
        <v>#REF!</v>
      </c>
      <c r="AF1984" t="e">
        <f xml:space="preserve">
IF(#REF!&gt;=4,4,0)+
IF(#REF!="yes",3,0)+
IF(#REF!="High Charges",3,0)+
IF(#REF!&gt;250,4,0)+
IF(#REF!="no",1,0)+
IF(#REF!="Heavy Domestic User",2,0)</f>
        <v>#REF!</v>
      </c>
      <c r="AG1984" t="e">
        <f>IF(#REF!&gt;=10,"High Risk", IF(#REF!&gt;=5,"Medium Risk","Low Risk"))</f>
        <v>#REF!</v>
      </c>
      <c r="AH1984" t="e">
        <f>#REF! + #REF! + #REF! + #REF!</f>
        <v>#REF!</v>
      </c>
    </row>
    <row r="1985" spans="1:34" x14ac:dyDescent="0.35">
      <c r="A1985">
        <v>1984</v>
      </c>
      <c r="B1985" t="s">
        <v>68</v>
      </c>
      <c r="C1985">
        <v>119</v>
      </c>
      <c r="D1985" t="s">
        <v>21</v>
      </c>
      <c r="E1985" t="s">
        <v>22</v>
      </c>
      <c r="F1985" t="s">
        <v>22</v>
      </c>
      <c r="G1985">
        <v>0</v>
      </c>
      <c r="H1985">
        <v>98.8</v>
      </c>
      <c r="I1985">
        <v>97</v>
      </c>
      <c r="J1985">
        <v>16.8</v>
      </c>
      <c r="K1985">
        <v>146.9</v>
      </c>
      <c r="L1985">
        <v>68</v>
      </c>
      <c r="M1985">
        <v>12.49</v>
      </c>
      <c r="N1985">
        <v>190.7</v>
      </c>
      <c r="O1985">
        <v>105</v>
      </c>
      <c r="P1985">
        <v>8.58</v>
      </c>
      <c r="Q1985">
        <v>10</v>
      </c>
      <c r="R1985">
        <v>4</v>
      </c>
      <c r="S1985">
        <v>2.7</v>
      </c>
      <c r="T1985">
        <v>3</v>
      </c>
      <c r="U1985" t="s">
        <v>22</v>
      </c>
      <c r="V1985" t="e">
        <f>IF(#REF! = "yes", 1, 0)</f>
        <v>#REF!</v>
      </c>
      <c r="W1985" t="e">
        <f>IF(#REF! &lt;= 1, "0-1 Calls", IF(#REF! &lt;= 3, "2-3 Calls", IF(#REF! &lt;=5, "4-5 Calls", "6+ Calls")))</f>
        <v>#REF!</v>
      </c>
      <c r="X1985" t="e">
        <f>IF(#REF! &lt;= 50, "0-50", IF(#REF! &lt;=100, "51-100", IF(#REF! &lt;= 150, "101-150", "151+")))</f>
        <v>#REF!</v>
      </c>
      <c r="Y1985" t="e">
        <f>IF(#REF! &lt;= 3, "Low Charges", "High Charges")</f>
        <v>#REF!</v>
      </c>
      <c r="Z1985" t="e">
        <f>IF(#REF!&lt;=80,"Low Calls",
IF(#REF!&lt;=120,"Medium Calls","High Calls"))</f>
        <v>#REF!</v>
      </c>
      <c r="AA1985" t="e">
        <f>IF(#REF!&lt;=15,"Low Charges",
IF(#REF!&lt;=20,"Medium Charges","High Charges"))</f>
        <v>#REF!</v>
      </c>
      <c r="AB1985" t="e">
        <f>IF(AND(#REF!&gt;180, #REF!&gt;200), "Heavy Doemstic User", IF(#REF!&gt;10, "Interntional User", IF(AND(#REF!&lt;180, #REF!&lt;200,#REF!&lt;200), "Light User", "Balanced User")))</f>
        <v>#REF!</v>
      </c>
      <c r="AC1985" t="e">
        <f>IF(#REF! = 0, "No Usage", IF(#REF! &lt;= 20, "Low Usage", IF(#REF! &lt;= 40, "Medium Usgae", "High Usage")))</f>
        <v>#REF!</v>
      </c>
      <c r="AD1985" t="e">
        <f>IF(#REF!&lt;=150,"Low Usage", IF(#REF!&lt;=200,"Medium Usage", IF(#REF!&lt;=250,"High Usage","Very High Usage")))</f>
        <v>#REF!</v>
      </c>
      <c r="AE1985" t="e">
        <f>IF(#REF!&lt;=5,"Low Calls", IF(#REF!&lt;=10, "Medium Calls", "High Calls"))</f>
        <v>#REF!</v>
      </c>
      <c r="AF1985" t="e">
        <f xml:space="preserve">
IF(#REF!&gt;=4,4,0)+
IF(#REF!="yes",3,0)+
IF(#REF!="High Charges",3,0)+
IF(#REF!&gt;250,4,0)+
IF(#REF!="no",1,0)+
IF(#REF!="Heavy Domestic User",2,0)</f>
        <v>#REF!</v>
      </c>
      <c r="AG1985" t="e">
        <f>IF(#REF!&gt;=10,"High Risk", IF(#REF!&gt;=5,"Medium Risk","Low Risk"))</f>
        <v>#REF!</v>
      </c>
      <c r="AH1985" t="e">
        <f>#REF! + #REF! + #REF! + #REF!</f>
        <v>#REF!</v>
      </c>
    </row>
    <row r="1986" spans="1:34" x14ac:dyDescent="0.35">
      <c r="A1986">
        <v>1985</v>
      </c>
      <c r="B1986" t="s">
        <v>60</v>
      </c>
      <c r="C1986">
        <v>124</v>
      </c>
      <c r="D1986" t="s">
        <v>28</v>
      </c>
      <c r="E1986" t="s">
        <v>23</v>
      </c>
      <c r="F1986" t="s">
        <v>22</v>
      </c>
      <c r="G1986">
        <v>0</v>
      </c>
      <c r="H1986">
        <v>157.80000000000001</v>
      </c>
      <c r="I1986">
        <v>71</v>
      </c>
      <c r="J1986">
        <v>26.83</v>
      </c>
      <c r="K1986">
        <v>203.2</v>
      </c>
      <c r="L1986">
        <v>114</v>
      </c>
      <c r="M1986">
        <v>17.27</v>
      </c>
      <c r="N1986">
        <v>168.7</v>
      </c>
      <c r="O1986">
        <v>82</v>
      </c>
      <c r="P1986">
        <v>7.59</v>
      </c>
      <c r="Q1986">
        <v>10</v>
      </c>
      <c r="R1986">
        <v>2</v>
      </c>
      <c r="S1986">
        <v>2.7</v>
      </c>
      <c r="T1986">
        <v>3</v>
      </c>
      <c r="U1986" t="s">
        <v>23</v>
      </c>
      <c r="V1986" t="e">
        <f>IF(#REF! = "yes", 1, 0)</f>
        <v>#REF!</v>
      </c>
      <c r="W1986" t="e">
        <f>IF(#REF! &lt;= 1, "0-1 Calls", IF(#REF! &lt;= 3, "2-3 Calls", IF(#REF! &lt;=5, "4-5 Calls", "6+ Calls")))</f>
        <v>#REF!</v>
      </c>
      <c r="X1986" t="e">
        <f>IF(#REF! &lt;= 50, "0-50", IF(#REF! &lt;=100, "51-100", IF(#REF! &lt;= 150, "101-150", "151+")))</f>
        <v>#REF!</v>
      </c>
      <c r="Y1986" t="e">
        <f>IF(#REF! &lt;= 3, "Low Charges", "High Charges")</f>
        <v>#REF!</v>
      </c>
      <c r="Z1986" t="e">
        <f>IF(#REF!&lt;=80,"Low Calls",
IF(#REF!&lt;=120,"Medium Calls","High Calls"))</f>
        <v>#REF!</v>
      </c>
      <c r="AA1986" t="e">
        <f>IF(#REF!&lt;=15,"Low Charges",
IF(#REF!&lt;=20,"Medium Charges","High Charges"))</f>
        <v>#REF!</v>
      </c>
      <c r="AB1986" t="e">
        <f>IF(AND(#REF!&gt;180, #REF!&gt;200), "Heavy Doemstic User", IF(#REF!&gt;10, "Interntional User", IF(AND(#REF!&lt;180, #REF!&lt;200,#REF!&lt;200), "Light User", "Balanced User")))</f>
        <v>#REF!</v>
      </c>
      <c r="AC1986" t="e">
        <f>IF(#REF! = 0, "No Usage", IF(#REF! &lt;= 20, "Low Usage", IF(#REF! &lt;= 40, "Medium Usgae", "High Usage")))</f>
        <v>#REF!</v>
      </c>
      <c r="AD1986" t="e">
        <f>IF(#REF!&lt;=150,"Low Usage", IF(#REF!&lt;=200,"Medium Usage", IF(#REF!&lt;=250,"High Usage","Very High Usage")))</f>
        <v>#REF!</v>
      </c>
      <c r="AE1986" t="e">
        <f>IF(#REF!&lt;=5,"Low Calls", IF(#REF!&lt;=10, "Medium Calls", "High Calls"))</f>
        <v>#REF!</v>
      </c>
      <c r="AF1986" t="e">
        <f xml:space="preserve">
IF(#REF!&gt;=4,4,0)+
IF(#REF!="yes",3,0)+
IF(#REF!="High Charges",3,0)+
IF(#REF!&gt;250,4,0)+
IF(#REF!="no",1,0)+
IF(#REF!="Heavy Domestic User",2,0)</f>
        <v>#REF!</v>
      </c>
      <c r="AG1986" t="e">
        <f>IF(#REF!&gt;=10,"High Risk", IF(#REF!&gt;=5,"Medium Risk","Low Risk"))</f>
        <v>#REF!</v>
      </c>
      <c r="AH1986" t="e">
        <f>#REF! + #REF! + #REF! + #REF!</f>
        <v>#REF!</v>
      </c>
    </row>
    <row r="1987" spans="1:34" x14ac:dyDescent="0.35">
      <c r="A1987">
        <v>1986</v>
      </c>
      <c r="B1987" t="s">
        <v>36</v>
      </c>
      <c r="C1987">
        <v>122</v>
      </c>
      <c r="D1987" t="s">
        <v>21</v>
      </c>
      <c r="E1987" t="s">
        <v>22</v>
      </c>
      <c r="F1987" t="s">
        <v>23</v>
      </c>
      <c r="G1987">
        <v>37</v>
      </c>
      <c r="H1987">
        <v>163</v>
      </c>
      <c r="I1987">
        <v>107</v>
      </c>
      <c r="J1987">
        <v>27.71</v>
      </c>
      <c r="K1987">
        <v>312.8</v>
      </c>
      <c r="L1987">
        <v>118</v>
      </c>
      <c r="M1987">
        <v>26.59</v>
      </c>
      <c r="N1987">
        <v>200</v>
      </c>
      <c r="O1987">
        <v>85</v>
      </c>
      <c r="P1987">
        <v>9</v>
      </c>
      <c r="Q1987">
        <v>11.6</v>
      </c>
      <c r="R1987">
        <v>5</v>
      </c>
      <c r="S1987">
        <v>3.13</v>
      </c>
      <c r="T1987">
        <v>1</v>
      </c>
      <c r="U1987" t="s">
        <v>22</v>
      </c>
      <c r="V1987" t="e">
        <f>IF(#REF! = "yes", 1, 0)</f>
        <v>#REF!</v>
      </c>
      <c r="W1987" t="e">
        <f>IF(#REF! &lt;= 1, "0-1 Calls", IF(#REF! &lt;= 3, "2-3 Calls", IF(#REF! &lt;=5, "4-5 Calls", "6+ Calls")))</f>
        <v>#REF!</v>
      </c>
      <c r="X1987" t="e">
        <f>IF(#REF! &lt;= 50, "0-50", IF(#REF! &lt;=100, "51-100", IF(#REF! &lt;= 150, "101-150", "151+")))</f>
        <v>#REF!</v>
      </c>
      <c r="Y1987" t="e">
        <f>IF(#REF! &lt;= 3, "Low Charges", "High Charges")</f>
        <v>#REF!</v>
      </c>
      <c r="Z1987" t="e">
        <f>IF(#REF!&lt;=80,"Low Calls",
IF(#REF!&lt;=120,"Medium Calls","High Calls"))</f>
        <v>#REF!</v>
      </c>
      <c r="AA1987" t="e">
        <f>IF(#REF!&lt;=15,"Low Charges",
IF(#REF!&lt;=20,"Medium Charges","High Charges"))</f>
        <v>#REF!</v>
      </c>
      <c r="AB1987" t="e">
        <f>IF(AND(#REF!&gt;180, #REF!&gt;200), "Heavy Doemstic User", IF(#REF!&gt;10, "Interntional User", IF(AND(#REF!&lt;180, #REF!&lt;200,#REF!&lt;200), "Light User", "Balanced User")))</f>
        <v>#REF!</v>
      </c>
      <c r="AC1987" t="e">
        <f>IF(#REF! = 0, "No Usage", IF(#REF! &lt;= 20, "Low Usage", IF(#REF! &lt;= 40, "Medium Usgae", "High Usage")))</f>
        <v>#REF!</v>
      </c>
      <c r="AD1987" t="e">
        <f>IF(#REF!&lt;=150,"Low Usage", IF(#REF!&lt;=200,"Medium Usage", IF(#REF!&lt;=250,"High Usage","Very High Usage")))</f>
        <v>#REF!</v>
      </c>
      <c r="AE1987" t="e">
        <f>IF(#REF!&lt;=5,"Low Calls", IF(#REF!&lt;=10, "Medium Calls", "High Calls"))</f>
        <v>#REF!</v>
      </c>
      <c r="AF1987" t="e">
        <f xml:space="preserve">
IF(#REF!&gt;=4,4,0)+
IF(#REF!="yes",3,0)+
IF(#REF!="High Charges",3,0)+
IF(#REF!&gt;250,4,0)+
IF(#REF!="no",1,0)+
IF(#REF!="Heavy Domestic User",2,0)</f>
        <v>#REF!</v>
      </c>
      <c r="AG1987" t="e">
        <f>IF(#REF!&gt;=10,"High Risk", IF(#REF!&gt;=5,"Medium Risk","Low Risk"))</f>
        <v>#REF!</v>
      </c>
      <c r="AH1987" t="e">
        <f>#REF! + #REF! + #REF! + #REF!</f>
        <v>#REF!</v>
      </c>
    </row>
    <row r="1988" spans="1:34" x14ac:dyDescent="0.35">
      <c r="A1988">
        <v>1987</v>
      </c>
      <c r="B1988" t="s">
        <v>49</v>
      </c>
      <c r="C1988">
        <v>139</v>
      </c>
      <c r="D1988" t="s">
        <v>21</v>
      </c>
      <c r="E1988" t="s">
        <v>22</v>
      </c>
      <c r="F1988" t="s">
        <v>22</v>
      </c>
      <c r="G1988">
        <v>0</v>
      </c>
      <c r="H1988">
        <v>181.6</v>
      </c>
      <c r="I1988">
        <v>119</v>
      </c>
      <c r="J1988">
        <v>30.87</v>
      </c>
      <c r="K1988">
        <v>335.7</v>
      </c>
      <c r="L1988">
        <v>118</v>
      </c>
      <c r="M1988">
        <v>28.53</v>
      </c>
      <c r="N1988">
        <v>149.80000000000001</v>
      </c>
      <c r="O1988">
        <v>64</v>
      </c>
      <c r="P1988">
        <v>6.74</v>
      </c>
      <c r="Q1988">
        <v>8.3000000000000007</v>
      </c>
      <c r="R1988">
        <v>6</v>
      </c>
      <c r="S1988">
        <v>2.2400000000000002</v>
      </c>
      <c r="T1988">
        <v>4</v>
      </c>
      <c r="U1988" t="s">
        <v>22</v>
      </c>
      <c r="V1988" t="e">
        <f>IF(#REF! = "yes", 1, 0)</f>
        <v>#REF!</v>
      </c>
      <c r="W1988" t="e">
        <f>IF(#REF! &lt;= 1, "0-1 Calls", IF(#REF! &lt;= 3, "2-3 Calls", IF(#REF! &lt;=5, "4-5 Calls", "6+ Calls")))</f>
        <v>#REF!</v>
      </c>
      <c r="X1988" t="e">
        <f>IF(#REF! &lt;= 50, "0-50", IF(#REF! &lt;=100, "51-100", IF(#REF! &lt;= 150, "101-150", "151+")))</f>
        <v>#REF!</v>
      </c>
      <c r="Y1988" t="e">
        <f>IF(#REF! &lt;= 3, "Low Charges", "High Charges")</f>
        <v>#REF!</v>
      </c>
      <c r="Z1988" t="e">
        <f>IF(#REF!&lt;=80,"Low Calls",
IF(#REF!&lt;=120,"Medium Calls","High Calls"))</f>
        <v>#REF!</v>
      </c>
      <c r="AA1988" t="e">
        <f>IF(#REF!&lt;=15,"Low Charges",
IF(#REF!&lt;=20,"Medium Charges","High Charges"))</f>
        <v>#REF!</v>
      </c>
      <c r="AB1988" t="e">
        <f>IF(AND(#REF!&gt;180, #REF!&gt;200), "Heavy Doemstic User", IF(#REF!&gt;10, "Interntional User", IF(AND(#REF!&lt;180, #REF!&lt;200,#REF!&lt;200), "Light User", "Balanced User")))</f>
        <v>#REF!</v>
      </c>
      <c r="AC1988" t="e">
        <f>IF(#REF! = 0, "No Usage", IF(#REF! &lt;= 20, "Low Usage", IF(#REF! &lt;= 40, "Medium Usgae", "High Usage")))</f>
        <v>#REF!</v>
      </c>
      <c r="AD1988" t="e">
        <f>IF(#REF!&lt;=150,"Low Usage", IF(#REF!&lt;=200,"Medium Usage", IF(#REF!&lt;=250,"High Usage","Very High Usage")))</f>
        <v>#REF!</v>
      </c>
      <c r="AE1988" t="e">
        <f>IF(#REF!&lt;=5,"Low Calls", IF(#REF!&lt;=10, "Medium Calls", "High Calls"))</f>
        <v>#REF!</v>
      </c>
      <c r="AF1988" t="e">
        <f xml:space="preserve">
IF(#REF!&gt;=4,4,0)+
IF(#REF!="yes",3,0)+
IF(#REF!="High Charges",3,0)+
IF(#REF!&gt;250,4,0)+
IF(#REF!="no",1,0)+
IF(#REF!="Heavy Domestic User",2,0)</f>
        <v>#REF!</v>
      </c>
      <c r="AG1988" t="e">
        <f>IF(#REF!&gt;=10,"High Risk", IF(#REF!&gt;=5,"Medium Risk","Low Risk"))</f>
        <v>#REF!</v>
      </c>
      <c r="AH1988" t="e">
        <f>#REF! + #REF! + #REF! + #REF!</f>
        <v>#REF!</v>
      </c>
    </row>
    <row r="1989" spans="1:34" x14ac:dyDescent="0.35">
      <c r="A1989">
        <v>1988</v>
      </c>
      <c r="B1989" t="s">
        <v>70</v>
      </c>
      <c r="C1989">
        <v>67</v>
      </c>
      <c r="D1989" t="s">
        <v>28</v>
      </c>
      <c r="E1989" t="s">
        <v>22</v>
      </c>
      <c r="F1989" t="s">
        <v>22</v>
      </c>
      <c r="G1989">
        <v>0</v>
      </c>
      <c r="H1989">
        <v>129</v>
      </c>
      <c r="I1989">
        <v>78</v>
      </c>
      <c r="J1989">
        <v>21.93</v>
      </c>
      <c r="K1989">
        <v>188</v>
      </c>
      <c r="L1989">
        <v>116</v>
      </c>
      <c r="M1989">
        <v>15.98</v>
      </c>
      <c r="N1989">
        <v>235</v>
      </c>
      <c r="O1989">
        <v>102</v>
      </c>
      <c r="P1989">
        <v>10.58</v>
      </c>
      <c r="Q1989">
        <v>11.2</v>
      </c>
      <c r="R1989">
        <v>3</v>
      </c>
      <c r="S1989">
        <v>3.02</v>
      </c>
      <c r="T1989">
        <v>2</v>
      </c>
      <c r="U1989" t="s">
        <v>22</v>
      </c>
      <c r="V1989" t="e">
        <f>IF(#REF! = "yes", 1, 0)</f>
        <v>#REF!</v>
      </c>
      <c r="W1989" t="e">
        <f>IF(#REF! &lt;= 1, "0-1 Calls", IF(#REF! &lt;= 3, "2-3 Calls", IF(#REF! &lt;=5, "4-5 Calls", "6+ Calls")))</f>
        <v>#REF!</v>
      </c>
      <c r="X1989" t="e">
        <f>IF(#REF! &lt;= 50, "0-50", IF(#REF! &lt;=100, "51-100", IF(#REF! &lt;= 150, "101-150", "151+")))</f>
        <v>#REF!</v>
      </c>
      <c r="Y1989" t="e">
        <f>IF(#REF! &lt;= 3, "Low Charges", "High Charges")</f>
        <v>#REF!</v>
      </c>
      <c r="Z1989" t="e">
        <f>IF(#REF!&lt;=80,"Low Calls",
IF(#REF!&lt;=120,"Medium Calls","High Calls"))</f>
        <v>#REF!</v>
      </c>
      <c r="AA1989" t="e">
        <f>IF(#REF!&lt;=15,"Low Charges",
IF(#REF!&lt;=20,"Medium Charges","High Charges"))</f>
        <v>#REF!</v>
      </c>
      <c r="AB1989" t="e">
        <f>IF(AND(#REF!&gt;180, #REF!&gt;200), "Heavy Doemstic User", IF(#REF!&gt;10, "Interntional User", IF(AND(#REF!&lt;180, #REF!&lt;200,#REF!&lt;200), "Light User", "Balanced User")))</f>
        <v>#REF!</v>
      </c>
      <c r="AC1989" t="e">
        <f>IF(#REF! = 0, "No Usage", IF(#REF! &lt;= 20, "Low Usage", IF(#REF! &lt;= 40, "Medium Usgae", "High Usage")))</f>
        <v>#REF!</v>
      </c>
      <c r="AD1989" t="e">
        <f>IF(#REF!&lt;=150,"Low Usage", IF(#REF!&lt;=200,"Medium Usage", IF(#REF!&lt;=250,"High Usage","Very High Usage")))</f>
        <v>#REF!</v>
      </c>
      <c r="AE1989" t="e">
        <f>IF(#REF!&lt;=5,"Low Calls", IF(#REF!&lt;=10, "Medium Calls", "High Calls"))</f>
        <v>#REF!</v>
      </c>
      <c r="AF1989" t="e">
        <f xml:space="preserve">
IF(#REF!&gt;=4,4,0)+
IF(#REF!="yes",3,0)+
IF(#REF!="High Charges",3,0)+
IF(#REF!&gt;250,4,0)+
IF(#REF!="no",1,0)+
IF(#REF!="Heavy Domestic User",2,0)</f>
        <v>#REF!</v>
      </c>
      <c r="AG1989" t="e">
        <f>IF(#REF!&gt;=10,"High Risk", IF(#REF!&gt;=5,"Medium Risk","Low Risk"))</f>
        <v>#REF!</v>
      </c>
      <c r="AH1989" t="e">
        <f>#REF! + #REF! + #REF! + #REF!</f>
        <v>#REF!</v>
      </c>
    </row>
    <row r="1990" spans="1:34" x14ac:dyDescent="0.35">
      <c r="A1990">
        <v>1989</v>
      </c>
      <c r="B1990" t="s">
        <v>31</v>
      </c>
      <c r="C1990">
        <v>84</v>
      </c>
      <c r="D1990" t="s">
        <v>25</v>
      </c>
      <c r="E1990" t="s">
        <v>22</v>
      </c>
      <c r="F1990" t="s">
        <v>22</v>
      </c>
      <c r="G1990">
        <v>0</v>
      </c>
      <c r="H1990">
        <v>86</v>
      </c>
      <c r="I1990">
        <v>83</v>
      </c>
      <c r="J1990">
        <v>14.62</v>
      </c>
      <c r="K1990">
        <v>260.7</v>
      </c>
      <c r="L1990">
        <v>86</v>
      </c>
      <c r="M1990">
        <v>22.16</v>
      </c>
      <c r="N1990">
        <v>98.6</v>
      </c>
      <c r="O1990">
        <v>109</v>
      </c>
      <c r="P1990">
        <v>4.4400000000000004</v>
      </c>
      <c r="Q1990">
        <v>8.9</v>
      </c>
      <c r="R1990">
        <v>4</v>
      </c>
      <c r="S1990">
        <v>2.4</v>
      </c>
      <c r="T1990">
        <v>1</v>
      </c>
      <c r="U1990" t="s">
        <v>22</v>
      </c>
      <c r="V1990" t="e">
        <f>IF(#REF! = "yes", 1, 0)</f>
        <v>#REF!</v>
      </c>
      <c r="W1990" t="e">
        <f>IF(#REF! &lt;= 1, "0-1 Calls", IF(#REF! &lt;= 3, "2-3 Calls", IF(#REF! &lt;=5, "4-5 Calls", "6+ Calls")))</f>
        <v>#REF!</v>
      </c>
      <c r="X1990" t="e">
        <f>IF(#REF! &lt;= 50, "0-50", IF(#REF! &lt;=100, "51-100", IF(#REF! &lt;= 150, "101-150", "151+")))</f>
        <v>#REF!</v>
      </c>
      <c r="Y1990" t="e">
        <f>IF(#REF! &lt;= 3, "Low Charges", "High Charges")</f>
        <v>#REF!</v>
      </c>
      <c r="Z1990" t="e">
        <f>IF(#REF!&lt;=80,"Low Calls",
IF(#REF!&lt;=120,"Medium Calls","High Calls"))</f>
        <v>#REF!</v>
      </c>
      <c r="AA1990" t="e">
        <f>IF(#REF!&lt;=15,"Low Charges",
IF(#REF!&lt;=20,"Medium Charges","High Charges"))</f>
        <v>#REF!</v>
      </c>
      <c r="AB1990" t="e">
        <f>IF(AND(#REF!&gt;180, #REF!&gt;200), "Heavy Doemstic User", IF(#REF!&gt;10, "Interntional User", IF(AND(#REF!&lt;180, #REF!&lt;200,#REF!&lt;200), "Light User", "Balanced User")))</f>
        <v>#REF!</v>
      </c>
      <c r="AC1990" t="e">
        <f>IF(#REF! = 0, "No Usage", IF(#REF! &lt;= 20, "Low Usage", IF(#REF! &lt;= 40, "Medium Usgae", "High Usage")))</f>
        <v>#REF!</v>
      </c>
      <c r="AD1990" t="e">
        <f>IF(#REF!&lt;=150,"Low Usage", IF(#REF!&lt;=200,"Medium Usage", IF(#REF!&lt;=250,"High Usage","Very High Usage")))</f>
        <v>#REF!</v>
      </c>
      <c r="AE1990" t="e">
        <f>IF(#REF!&lt;=5,"Low Calls", IF(#REF!&lt;=10, "Medium Calls", "High Calls"))</f>
        <v>#REF!</v>
      </c>
      <c r="AF1990" t="e">
        <f xml:space="preserve">
IF(#REF!&gt;=4,4,0)+
IF(#REF!="yes",3,0)+
IF(#REF!="High Charges",3,0)+
IF(#REF!&gt;250,4,0)+
IF(#REF!="no",1,0)+
IF(#REF!="Heavy Domestic User",2,0)</f>
        <v>#REF!</v>
      </c>
      <c r="AG1990" t="e">
        <f>IF(#REF!&gt;=10,"High Risk", IF(#REF!&gt;=5,"Medium Risk","Low Risk"))</f>
        <v>#REF!</v>
      </c>
      <c r="AH1990" t="e">
        <f>#REF! + #REF! + #REF! + #REF!</f>
        <v>#REF!</v>
      </c>
    </row>
    <row r="1991" spans="1:34" x14ac:dyDescent="0.35">
      <c r="A1991">
        <v>1990</v>
      </c>
      <c r="B1991" t="s">
        <v>37</v>
      </c>
      <c r="C1991">
        <v>101</v>
      </c>
      <c r="D1991" t="s">
        <v>28</v>
      </c>
      <c r="E1991" t="s">
        <v>22</v>
      </c>
      <c r="F1991" t="s">
        <v>23</v>
      </c>
      <c r="G1991">
        <v>17</v>
      </c>
      <c r="H1991">
        <v>193.9</v>
      </c>
      <c r="I1991">
        <v>71</v>
      </c>
      <c r="J1991">
        <v>32.96</v>
      </c>
      <c r="K1991">
        <v>189.8</v>
      </c>
      <c r="L1991">
        <v>81</v>
      </c>
      <c r="M1991">
        <v>16.13</v>
      </c>
      <c r="N1991">
        <v>196.3</v>
      </c>
      <c r="O1991">
        <v>97</v>
      </c>
      <c r="P1991">
        <v>8.83</v>
      </c>
      <c r="Q1991">
        <v>12.6</v>
      </c>
      <c r="R1991">
        <v>7</v>
      </c>
      <c r="S1991">
        <v>3.4</v>
      </c>
      <c r="T1991">
        <v>0</v>
      </c>
      <c r="U1991" t="s">
        <v>22</v>
      </c>
      <c r="V1991" t="e">
        <f>IF(#REF! = "yes", 1, 0)</f>
        <v>#REF!</v>
      </c>
      <c r="W1991" t="e">
        <f>IF(#REF! &lt;= 1, "0-1 Calls", IF(#REF! &lt;= 3, "2-3 Calls", IF(#REF! &lt;=5, "4-5 Calls", "6+ Calls")))</f>
        <v>#REF!</v>
      </c>
      <c r="X1991" t="e">
        <f>IF(#REF! &lt;= 50, "0-50", IF(#REF! &lt;=100, "51-100", IF(#REF! &lt;= 150, "101-150", "151+")))</f>
        <v>#REF!</v>
      </c>
      <c r="Y1991" t="e">
        <f>IF(#REF! &lt;= 3, "Low Charges", "High Charges")</f>
        <v>#REF!</v>
      </c>
      <c r="Z1991" t="e">
        <f>IF(#REF!&lt;=80,"Low Calls",
IF(#REF!&lt;=120,"Medium Calls","High Calls"))</f>
        <v>#REF!</v>
      </c>
      <c r="AA1991" t="e">
        <f>IF(#REF!&lt;=15,"Low Charges",
IF(#REF!&lt;=20,"Medium Charges","High Charges"))</f>
        <v>#REF!</v>
      </c>
      <c r="AB1991" t="e">
        <f>IF(AND(#REF!&gt;180, #REF!&gt;200), "Heavy Doemstic User", IF(#REF!&gt;10, "Interntional User", IF(AND(#REF!&lt;180, #REF!&lt;200,#REF!&lt;200), "Light User", "Balanced User")))</f>
        <v>#REF!</v>
      </c>
      <c r="AC1991" t="e">
        <f>IF(#REF! = 0, "No Usage", IF(#REF! &lt;= 20, "Low Usage", IF(#REF! &lt;= 40, "Medium Usgae", "High Usage")))</f>
        <v>#REF!</v>
      </c>
      <c r="AD1991" t="e">
        <f>IF(#REF!&lt;=150,"Low Usage", IF(#REF!&lt;=200,"Medium Usage", IF(#REF!&lt;=250,"High Usage","Very High Usage")))</f>
        <v>#REF!</v>
      </c>
      <c r="AE1991" t="e">
        <f>IF(#REF!&lt;=5,"Low Calls", IF(#REF!&lt;=10, "Medium Calls", "High Calls"))</f>
        <v>#REF!</v>
      </c>
      <c r="AF1991" t="e">
        <f xml:space="preserve">
IF(#REF!&gt;=4,4,0)+
IF(#REF!="yes",3,0)+
IF(#REF!="High Charges",3,0)+
IF(#REF!&gt;250,4,0)+
IF(#REF!="no",1,0)+
IF(#REF!="Heavy Domestic User",2,0)</f>
        <v>#REF!</v>
      </c>
      <c r="AG1991" t="e">
        <f>IF(#REF!&gt;=10,"High Risk", IF(#REF!&gt;=5,"Medium Risk","Low Risk"))</f>
        <v>#REF!</v>
      </c>
      <c r="AH1991" t="e">
        <f>#REF! + #REF! + #REF! + #REF!</f>
        <v>#REF!</v>
      </c>
    </row>
    <row r="1992" spans="1:34" x14ac:dyDescent="0.35">
      <c r="A1992">
        <v>1991</v>
      </c>
      <c r="B1992" t="s">
        <v>53</v>
      </c>
      <c r="C1992">
        <v>61</v>
      </c>
      <c r="D1992" t="s">
        <v>21</v>
      </c>
      <c r="E1992" t="s">
        <v>22</v>
      </c>
      <c r="F1992" t="s">
        <v>22</v>
      </c>
      <c r="G1992">
        <v>0</v>
      </c>
      <c r="H1992">
        <v>188.9</v>
      </c>
      <c r="I1992">
        <v>105</v>
      </c>
      <c r="J1992">
        <v>32.11</v>
      </c>
      <c r="K1992">
        <v>153.6</v>
      </c>
      <c r="L1992">
        <v>116</v>
      </c>
      <c r="M1992">
        <v>13.06</v>
      </c>
      <c r="N1992">
        <v>213.3</v>
      </c>
      <c r="O1992">
        <v>106</v>
      </c>
      <c r="P1992">
        <v>9.6</v>
      </c>
      <c r="Q1992">
        <v>10.199999999999999</v>
      </c>
      <c r="R1992">
        <v>2</v>
      </c>
      <c r="S1992">
        <v>2.75</v>
      </c>
      <c r="T1992">
        <v>2</v>
      </c>
      <c r="U1992" t="s">
        <v>22</v>
      </c>
      <c r="V1992" t="e">
        <f>IF(#REF! = "yes", 1, 0)</f>
        <v>#REF!</v>
      </c>
      <c r="W1992" t="e">
        <f>IF(#REF! &lt;= 1, "0-1 Calls", IF(#REF! &lt;= 3, "2-3 Calls", IF(#REF! &lt;=5, "4-5 Calls", "6+ Calls")))</f>
        <v>#REF!</v>
      </c>
      <c r="X1992" t="e">
        <f>IF(#REF! &lt;= 50, "0-50", IF(#REF! &lt;=100, "51-100", IF(#REF! &lt;= 150, "101-150", "151+")))</f>
        <v>#REF!</v>
      </c>
      <c r="Y1992" t="e">
        <f>IF(#REF! &lt;= 3, "Low Charges", "High Charges")</f>
        <v>#REF!</v>
      </c>
      <c r="Z1992" t="e">
        <f>IF(#REF!&lt;=80,"Low Calls",
IF(#REF!&lt;=120,"Medium Calls","High Calls"))</f>
        <v>#REF!</v>
      </c>
      <c r="AA1992" t="e">
        <f>IF(#REF!&lt;=15,"Low Charges",
IF(#REF!&lt;=20,"Medium Charges","High Charges"))</f>
        <v>#REF!</v>
      </c>
      <c r="AB1992" t="e">
        <f>IF(AND(#REF!&gt;180, #REF!&gt;200), "Heavy Doemstic User", IF(#REF!&gt;10, "Interntional User", IF(AND(#REF!&lt;180, #REF!&lt;200,#REF!&lt;200), "Light User", "Balanced User")))</f>
        <v>#REF!</v>
      </c>
      <c r="AC1992" t="e">
        <f>IF(#REF! = 0, "No Usage", IF(#REF! &lt;= 20, "Low Usage", IF(#REF! &lt;= 40, "Medium Usgae", "High Usage")))</f>
        <v>#REF!</v>
      </c>
      <c r="AD1992" t="e">
        <f>IF(#REF!&lt;=150,"Low Usage", IF(#REF!&lt;=200,"Medium Usage", IF(#REF!&lt;=250,"High Usage","Very High Usage")))</f>
        <v>#REF!</v>
      </c>
      <c r="AE1992" t="e">
        <f>IF(#REF!&lt;=5,"Low Calls", IF(#REF!&lt;=10, "Medium Calls", "High Calls"))</f>
        <v>#REF!</v>
      </c>
      <c r="AF1992" t="e">
        <f xml:space="preserve">
IF(#REF!&gt;=4,4,0)+
IF(#REF!="yes",3,0)+
IF(#REF!="High Charges",3,0)+
IF(#REF!&gt;250,4,0)+
IF(#REF!="no",1,0)+
IF(#REF!="Heavy Domestic User",2,0)</f>
        <v>#REF!</v>
      </c>
      <c r="AG1992" t="e">
        <f>IF(#REF!&gt;=10,"High Risk", IF(#REF!&gt;=5,"Medium Risk","Low Risk"))</f>
        <v>#REF!</v>
      </c>
      <c r="AH1992" t="e">
        <f>#REF! + #REF! + #REF! + #REF!</f>
        <v>#REF!</v>
      </c>
    </row>
    <row r="1993" spans="1:34" x14ac:dyDescent="0.35">
      <c r="A1993">
        <v>1992</v>
      </c>
      <c r="B1993" t="s">
        <v>71</v>
      </c>
      <c r="C1993">
        <v>120</v>
      </c>
      <c r="D1993" t="s">
        <v>25</v>
      </c>
      <c r="E1993" t="s">
        <v>23</v>
      </c>
      <c r="F1993" t="s">
        <v>22</v>
      </c>
      <c r="G1993">
        <v>0</v>
      </c>
      <c r="H1993">
        <v>179.9</v>
      </c>
      <c r="I1993">
        <v>72</v>
      </c>
      <c r="J1993">
        <v>30.58</v>
      </c>
      <c r="K1993">
        <v>170</v>
      </c>
      <c r="L1993">
        <v>98</v>
      </c>
      <c r="M1993">
        <v>14.45</v>
      </c>
      <c r="N1993">
        <v>190.6</v>
      </c>
      <c r="O1993">
        <v>89</v>
      </c>
      <c r="P1993">
        <v>8.58</v>
      </c>
      <c r="Q1993">
        <v>13.8</v>
      </c>
      <c r="R1993">
        <v>2</v>
      </c>
      <c r="S1993">
        <v>3.73</v>
      </c>
      <c r="T1993">
        <v>1</v>
      </c>
      <c r="U1993" t="s">
        <v>23</v>
      </c>
      <c r="V1993" t="e">
        <f>IF(#REF! = "yes", 1, 0)</f>
        <v>#REF!</v>
      </c>
      <c r="W1993" t="e">
        <f>IF(#REF! &lt;= 1, "0-1 Calls", IF(#REF! &lt;= 3, "2-3 Calls", IF(#REF! &lt;=5, "4-5 Calls", "6+ Calls")))</f>
        <v>#REF!</v>
      </c>
      <c r="X1993" t="e">
        <f>IF(#REF! &lt;= 50, "0-50", IF(#REF! &lt;=100, "51-100", IF(#REF! &lt;= 150, "101-150", "151+")))</f>
        <v>#REF!</v>
      </c>
      <c r="Y1993" t="e">
        <f>IF(#REF! &lt;= 3, "Low Charges", "High Charges")</f>
        <v>#REF!</v>
      </c>
      <c r="Z1993" t="e">
        <f>IF(#REF!&lt;=80,"Low Calls",
IF(#REF!&lt;=120,"Medium Calls","High Calls"))</f>
        <v>#REF!</v>
      </c>
      <c r="AA1993" t="e">
        <f>IF(#REF!&lt;=15,"Low Charges",
IF(#REF!&lt;=20,"Medium Charges","High Charges"))</f>
        <v>#REF!</v>
      </c>
      <c r="AB1993" t="e">
        <f>IF(AND(#REF!&gt;180, #REF!&gt;200), "Heavy Doemstic User", IF(#REF!&gt;10, "Interntional User", IF(AND(#REF!&lt;180, #REF!&lt;200,#REF!&lt;200), "Light User", "Balanced User")))</f>
        <v>#REF!</v>
      </c>
      <c r="AC1993" t="e">
        <f>IF(#REF! = 0, "No Usage", IF(#REF! &lt;= 20, "Low Usage", IF(#REF! &lt;= 40, "Medium Usgae", "High Usage")))</f>
        <v>#REF!</v>
      </c>
      <c r="AD1993" t="e">
        <f>IF(#REF!&lt;=150,"Low Usage", IF(#REF!&lt;=200,"Medium Usage", IF(#REF!&lt;=250,"High Usage","Very High Usage")))</f>
        <v>#REF!</v>
      </c>
      <c r="AE1993" t="e">
        <f>IF(#REF!&lt;=5,"Low Calls", IF(#REF!&lt;=10, "Medium Calls", "High Calls"))</f>
        <v>#REF!</v>
      </c>
      <c r="AF1993" t="e">
        <f xml:space="preserve">
IF(#REF!&gt;=4,4,0)+
IF(#REF!="yes",3,0)+
IF(#REF!="High Charges",3,0)+
IF(#REF!&gt;250,4,0)+
IF(#REF!="no",1,0)+
IF(#REF!="Heavy Domestic User",2,0)</f>
        <v>#REF!</v>
      </c>
      <c r="AG1993" t="e">
        <f>IF(#REF!&gt;=10,"High Risk", IF(#REF!&gt;=5,"Medium Risk","Low Risk"))</f>
        <v>#REF!</v>
      </c>
      <c r="AH1993" t="e">
        <f>#REF! + #REF! + #REF! + #REF!</f>
        <v>#REF!</v>
      </c>
    </row>
    <row r="1994" spans="1:34" x14ac:dyDescent="0.35">
      <c r="A1994">
        <v>1993</v>
      </c>
      <c r="B1994" t="s">
        <v>56</v>
      </c>
      <c r="C1994">
        <v>95</v>
      </c>
      <c r="D1994" t="s">
        <v>21</v>
      </c>
      <c r="E1994" t="s">
        <v>22</v>
      </c>
      <c r="F1994" t="s">
        <v>22</v>
      </c>
      <c r="G1994">
        <v>0</v>
      </c>
      <c r="H1994">
        <v>183.4</v>
      </c>
      <c r="I1994">
        <v>98</v>
      </c>
      <c r="J1994">
        <v>31.18</v>
      </c>
      <c r="K1994">
        <v>281.3</v>
      </c>
      <c r="L1994">
        <v>95</v>
      </c>
      <c r="M1994">
        <v>23.91</v>
      </c>
      <c r="N1994">
        <v>105.2</v>
      </c>
      <c r="O1994">
        <v>113</v>
      </c>
      <c r="P1994">
        <v>4.7300000000000004</v>
      </c>
      <c r="Q1994">
        <v>8.1999999999999993</v>
      </c>
      <c r="R1994">
        <v>8</v>
      </c>
      <c r="S1994">
        <v>2.21</v>
      </c>
      <c r="T1994">
        <v>1</v>
      </c>
      <c r="U1994" t="s">
        <v>22</v>
      </c>
      <c r="V1994" t="e">
        <f>IF(#REF! = "yes", 1, 0)</f>
        <v>#REF!</v>
      </c>
      <c r="W1994" t="e">
        <f>IF(#REF! &lt;= 1, "0-1 Calls", IF(#REF! &lt;= 3, "2-3 Calls", IF(#REF! &lt;=5, "4-5 Calls", "6+ Calls")))</f>
        <v>#REF!</v>
      </c>
      <c r="X1994" t="e">
        <f>IF(#REF! &lt;= 50, "0-50", IF(#REF! &lt;=100, "51-100", IF(#REF! &lt;= 150, "101-150", "151+")))</f>
        <v>#REF!</v>
      </c>
      <c r="Y1994" t="e">
        <f>IF(#REF! &lt;= 3, "Low Charges", "High Charges")</f>
        <v>#REF!</v>
      </c>
      <c r="Z1994" t="e">
        <f>IF(#REF!&lt;=80,"Low Calls",
IF(#REF!&lt;=120,"Medium Calls","High Calls"))</f>
        <v>#REF!</v>
      </c>
      <c r="AA1994" t="e">
        <f>IF(#REF!&lt;=15,"Low Charges",
IF(#REF!&lt;=20,"Medium Charges","High Charges"))</f>
        <v>#REF!</v>
      </c>
      <c r="AB1994" t="e">
        <f>IF(AND(#REF!&gt;180, #REF!&gt;200), "Heavy Doemstic User", IF(#REF!&gt;10, "Interntional User", IF(AND(#REF!&lt;180, #REF!&lt;200,#REF!&lt;200), "Light User", "Balanced User")))</f>
        <v>#REF!</v>
      </c>
      <c r="AC1994" t="e">
        <f>IF(#REF! = 0, "No Usage", IF(#REF! &lt;= 20, "Low Usage", IF(#REF! &lt;= 40, "Medium Usgae", "High Usage")))</f>
        <v>#REF!</v>
      </c>
      <c r="AD1994" t="e">
        <f>IF(#REF!&lt;=150,"Low Usage", IF(#REF!&lt;=200,"Medium Usage", IF(#REF!&lt;=250,"High Usage","Very High Usage")))</f>
        <v>#REF!</v>
      </c>
      <c r="AE1994" t="e">
        <f>IF(#REF!&lt;=5,"Low Calls", IF(#REF!&lt;=10, "Medium Calls", "High Calls"))</f>
        <v>#REF!</v>
      </c>
      <c r="AF1994" t="e">
        <f xml:space="preserve">
IF(#REF!&gt;=4,4,0)+
IF(#REF!="yes",3,0)+
IF(#REF!="High Charges",3,0)+
IF(#REF!&gt;250,4,0)+
IF(#REF!="no",1,0)+
IF(#REF!="Heavy Domestic User",2,0)</f>
        <v>#REF!</v>
      </c>
      <c r="AG1994" t="e">
        <f>IF(#REF!&gt;=10,"High Risk", IF(#REF!&gt;=5,"Medium Risk","Low Risk"))</f>
        <v>#REF!</v>
      </c>
      <c r="AH1994" t="e">
        <f>#REF! + #REF! + #REF! + #REF!</f>
        <v>#REF!</v>
      </c>
    </row>
    <row r="1995" spans="1:34" x14ac:dyDescent="0.35">
      <c r="A1995">
        <v>1994</v>
      </c>
      <c r="B1995" t="s">
        <v>40</v>
      </c>
      <c r="C1995">
        <v>98</v>
      </c>
      <c r="D1995" t="s">
        <v>25</v>
      </c>
      <c r="E1995" t="s">
        <v>22</v>
      </c>
      <c r="F1995" t="s">
        <v>22</v>
      </c>
      <c r="G1995">
        <v>0</v>
      </c>
      <c r="H1995">
        <v>288.10000000000002</v>
      </c>
      <c r="I1995">
        <v>101</v>
      </c>
      <c r="J1995">
        <v>48.98</v>
      </c>
      <c r="K1995">
        <v>137.9</v>
      </c>
      <c r="L1995">
        <v>93</v>
      </c>
      <c r="M1995">
        <v>11.72</v>
      </c>
      <c r="N1995">
        <v>206.5</v>
      </c>
      <c r="O1995">
        <v>88</v>
      </c>
      <c r="P1995">
        <v>9.2899999999999991</v>
      </c>
      <c r="Q1995">
        <v>0</v>
      </c>
      <c r="R1995">
        <v>0</v>
      </c>
      <c r="S1995">
        <v>0</v>
      </c>
      <c r="T1995">
        <v>0</v>
      </c>
      <c r="U1995" t="s">
        <v>22</v>
      </c>
      <c r="V1995" t="e">
        <f>IF(#REF! = "yes", 1, 0)</f>
        <v>#REF!</v>
      </c>
      <c r="W1995" t="e">
        <f>IF(#REF! &lt;= 1, "0-1 Calls", IF(#REF! &lt;= 3, "2-3 Calls", IF(#REF! &lt;=5, "4-5 Calls", "6+ Calls")))</f>
        <v>#REF!</v>
      </c>
      <c r="X1995" t="e">
        <f>IF(#REF! &lt;= 50, "0-50", IF(#REF! &lt;=100, "51-100", IF(#REF! &lt;= 150, "101-150", "151+")))</f>
        <v>#REF!</v>
      </c>
      <c r="Y1995" t="e">
        <f>IF(#REF! &lt;= 3, "Low Charges", "High Charges")</f>
        <v>#REF!</v>
      </c>
      <c r="Z1995" t="e">
        <f>IF(#REF!&lt;=80,"Low Calls",
IF(#REF!&lt;=120,"Medium Calls","High Calls"))</f>
        <v>#REF!</v>
      </c>
      <c r="AA1995" t="e">
        <f>IF(#REF!&lt;=15,"Low Charges",
IF(#REF!&lt;=20,"Medium Charges","High Charges"))</f>
        <v>#REF!</v>
      </c>
      <c r="AB1995" t="e">
        <f>IF(AND(#REF!&gt;180, #REF!&gt;200), "Heavy Doemstic User", IF(#REF!&gt;10, "Interntional User", IF(AND(#REF!&lt;180, #REF!&lt;200,#REF!&lt;200), "Light User", "Balanced User")))</f>
        <v>#REF!</v>
      </c>
      <c r="AC1995" t="e">
        <f>IF(#REF! = 0, "No Usage", IF(#REF! &lt;= 20, "Low Usage", IF(#REF! &lt;= 40, "Medium Usgae", "High Usage")))</f>
        <v>#REF!</v>
      </c>
      <c r="AD1995" t="e">
        <f>IF(#REF!&lt;=150,"Low Usage", IF(#REF!&lt;=200,"Medium Usage", IF(#REF!&lt;=250,"High Usage","Very High Usage")))</f>
        <v>#REF!</v>
      </c>
      <c r="AE1995" t="e">
        <f>IF(#REF!&lt;=5,"Low Calls", IF(#REF!&lt;=10, "Medium Calls", "High Calls"))</f>
        <v>#REF!</v>
      </c>
      <c r="AF1995" t="e">
        <f xml:space="preserve">
IF(#REF!&gt;=4,4,0)+
IF(#REF!="yes",3,0)+
IF(#REF!="High Charges",3,0)+
IF(#REF!&gt;250,4,0)+
IF(#REF!="no",1,0)+
IF(#REF!="Heavy Domestic User",2,0)</f>
        <v>#REF!</v>
      </c>
      <c r="AG1995" t="e">
        <f>IF(#REF!&gt;=10,"High Risk", IF(#REF!&gt;=5,"Medium Risk","Low Risk"))</f>
        <v>#REF!</v>
      </c>
      <c r="AH1995" t="e">
        <f>#REF! + #REF! + #REF! + #REF!</f>
        <v>#REF!</v>
      </c>
    </row>
    <row r="1996" spans="1:34" x14ac:dyDescent="0.35">
      <c r="A1996">
        <v>1995</v>
      </c>
      <c r="B1996" t="s">
        <v>30</v>
      </c>
      <c r="C1996">
        <v>114</v>
      </c>
      <c r="D1996" t="s">
        <v>21</v>
      </c>
      <c r="E1996" t="s">
        <v>22</v>
      </c>
      <c r="F1996" t="s">
        <v>22</v>
      </c>
      <c r="G1996">
        <v>0</v>
      </c>
      <c r="H1996">
        <v>169.2</v>
      </c>
      <c r="I1996">
        <v>96</v>
      </c>
      <c r="J1996">
        <v>28.76</v>
      </c>
      <c r="K1996">
        <v>149.9</v>
      </c>
      <c r="L1996">
        <v>83</v>
      </c>
      <c r="M1996">
        <v>12.74</v>
      </c>
      <c r="N1996">
        <v>196.9</v>
      </c>
      <c r="O1996">
        <v>119</v>
      </c>
      <c r="P1996">
        <v>8.86</v>
      </c>
      <c r="Q1996">
        <v>4.5999999999999996</v>
      </c>
      <c r="R1996">
        <v>4</v>
      </c>
      <c r="S1996">
        <v>1.24</v>
      </c>
      <c r="T1996">
        <v>2</v>
      </c>
      <c r="U1996" t="s">
        <v>22</v>
      </c>
      <c r="V1996" t="e">
        <f>IF(#REF! = "yes", 1, 0)</f>
        <v>#REF!</v>
      </c>
      <c r="W1996" t="e">
        <f>IF(#REF! &lt;= 1, "0-1 Calls", IF(#REF! &lt;= 3, "2-3 Calls", IF(#REF! &lt;=5, "4-5 Calls", "6+ Calls")))</f>
        <v>#REF!</v>
      </c>
      <c r="X1996" t="e">
        <f>IF(#REF! &lt;= 50, "0-50", IF(#REF! &lt;=100, "51-100", IF(#REF! &lt;= 150, "101-150", "151+")))</f>
        <v>#REF!</v>
      </c>
      <c r="Y1996" t="e">
        <f>IF(#REF! &lt;= 3, "Low Charges", "High Charges")</f>
        <v>#REF!</v>
      </c>
      <c r="Z1996" t="e">
        <f>IF(#REF!&lt;=80,"Low Calls",
IF(#REF!&lt;=120,"Medium Calls","High Calls"))</f>
        <v>#REF!</v>
      </c>
      <c r="AA1996" t="e">
        <f>IF(#REF!&lt;=15,"Low Charges",
IF(#REF!&lt;=20,"Medium Charges","High Charges"))</f>
        <v>#REF!</v>
      </c>
      <c r="AB1996" t="e">
        <f>IF(AND(#REF!&gt;180, #REF!&gt;200), "Heavy Doemstic User", IF(#REF!&gt;10, "Interntional User", IF(AND(#REF!&lt;180, #REF!&lt;200,#REF!&lt;200), "Light User", "Balanced User")))</f>
        <v>#REF!</v>
      </c>
      <c r="AC1996" t="e">
        <f>IF(#REF! = 0, "No Usage", IF(#REF! &lt;= 20, "Low Usage", IF(#REF! &lt;= 40, "Medium Usgae", "High Usage")))</f>
        <v>#REF!</v>
      </c>
      <c r="AD1996" t="e">
        <f>IF(#REF!&lt;=150,"Low Usage", IF(#REF!&lt;=200,"Medium Usage", IF(#REF!&lt;=250,"High Usage","Very High Usage")))</f>
        <v>#REF!</v>
      </c>
      <c r="AE1996" t="e">
        <f>IF(#REF!&lt;=5,"Low Calls", IF(#REF!&lt;=10, "Medium Calls", "High Calls"))</f>
        <v>#REF!</v>
      </c>
      <c r="AF1996" t="e">
        <f xml:space="preserve">
IF(#REF!&gt;=4,4,0)+
IF(#REF!="yes",3,0)+
IF(#REF!="High Charges",3,0)+
IF(#REF!&gt;250,4,0)+
IF(#REF!="no",1,0)+
IF(#REF!="Heavy Domestic User",2,0)</f>
        <v>#REF!</v>
      </c>
      <c r="AG1996" t="e">
        <f>IF(#REF!&gt;=10,"High Risk", IF(#REF!&gt;=5,"Medium Risk","Low Risk"))</f>
        <v>#REF!</v>
      </c>
      <c r="AH1996" t="e">
        <f>#REF! + #REF! + #REF! + #REF!</f>
        <v>#REF!</v>
      </c>
    </row>
    <row r="1997" spans="1:34" x14ac:dyDescent="0.35">
      <c r="A1997">
        <v>1996</v>
      </c>
      <c r="B1997" t="s">
        <v>72</v>
      </c>
      <c r="C1997">
        <v>68</v>
      </c>
      <c r="D1997" t="s">
        <v>21</v>
      </c>
      <c r="E1997" t="s">
        <v>23</v>
      </c>
      <c r="F1997" t="s">
        <v>23</v>
      </c>
      <c r="G1997">
        <v>29</v>
      </c>
      <c r="H1997">
        <v>195.5</v>
      </c>
      <c r="I1997">
        <v>113</v>
      </c>
      <c r="J1997">
        <v>33.24</v>
      </c>
      <c r="K1997">
        <v>171.6</v>
      </c>
      <c r="L1997">
        <v>96</v>
      </c>
      <c r="M1997">
        <v>14.59</v>
      </c>
      <c r="N1997">
        <v>204</v>
      </c>
      <c r="O1997">
        <v>85</v>
      </c>
      <c r="P1997">
        <v>9.18</v>
      </c>
      <c r="Q1997">
        <v>13.5</v>
      </c>
      <c r="R1997">
        <v>9</v>
      </c>
      <c r="S1997">
        <v>3.65</v>
      </c>
      <c r="T1997">
        <v>1</v>
      </c>
      <c r="U1997" t="s">
        <v>23</v>
      </c>
      <c r="V1997" t="e">
        <f>IF(#REF! = "yes", 1, 0)</f>
        <v>#REF!</v>
      </c>
      <c r="W1997" t="e">
        <f>IF(#REF! &lt;= 1, "0-1 Calls", IF(#REF! &lt;= 3, "2-3 Calls", IF(#REF! &lt;=5, "4-5 Calls", "6+ Calls")))</f>
        <v>#REF!</v>
      </c>
      <c r="X1997" t="e">
        <f>IF(#REF! &lt;= 50, "0-50", IF(#REF! &lt;=100, "51-100", IF(#REF! &lt;= 150, "101-150", "151+")))</f>
        <v>#REF!</v>
      </c>
      <c r="Y1997" t="e">
        <f>IF(#REF! &lt;= 3, "Low Charges", "High Charges")</f>
        <v>#REF!</v>
      </c>
      <c r="Z1997" t="e">
        <f>IF(#REF!&lt;=80,"Low Calls",
IF(#REF!&lt;=120,"Medium Calls","High Calls"))</f>
        <v>#REF!</v>
      </c>
      <c r="AA1997" t="e">
        <f>IF(#REF!&lt;=15,"Low Charges",
IF(#REF!&lt;=20,"Medium Charges","High Charges"))</f>
        <v>#REF!</v>
      </c>
      <c r="AB1997" t="e">
        <f>IF(AND(#REF!&gt;180, #REF!&gt;200), "Heavy Doemstic User", IF(#REF!&gt;10, "Interntional User", IF(AND(#REF!&lt;180, #REF!&lt;200,#REF!&lt;200), "Light User", "Balanced User")))</f>
        <v>#REF!</v>
      </c>
      <c r="AC1997" t="e">
        <f>IF(#REF! = 0, "No Usage", IF(#REF! &lt;= 20, "Low Usage", IF(#REF! &lt;= 40, "Medium Usgae", "High Usage")))</f>
        <v>#REF!</v>
      </c>
      <c r="AD1997" t="e">
        <f>IF(#REF!&lt;=150,"Low Usage", IF(#REF!&lt;=200,"Medium Usage", IF(#REF!&lt;=250,"High Usage","Very High Usage")))</f>
        <v>#REF!</v>
      </c>
      <c r="AE1997" t="e">
        <f>IF(#REF!&lt;=5,"Low Calls", IF(#REF!&lt;=10, "Medium Calls", "High Calls"))</f>
        <v>#REF!</v>
      </c>
      <c r="AF1997" t="e">
        <f xml:space="preserve">
IF(#REF!&gt;=4,4,0)+
IF(#REF!="yes",3,0)+
IF(#REF!="High Charges",3,0)+
IF(#REF!&gt;250,4,0)+
IF(#REF!="no",1,0)+
IF(#REF!="Heavy Domestic User",2,0)</f>
        <v>#REF!</v>
      </c>
      <c r="AG1997" t="e">
        <f>IF(#REF!&gt;=10,"High Risk", IF(#REF!&gt;=5,"Medium Risk","Low Risk"))</f>
        <v>#REF!</v>
      </c>
      <c r="AH1997" t="e">
        <f>#REF! + #REF! + #REF! + #REF!</f>
        <v>#REF!</v>
      </c>
    </row>
    <row r="1998" spans="1:34" x14ac:dyDescent="0.35">
      <c r="A1998">
        <v>1997</v>
      </c>
      <c r="B1998" t="s">
        <v>68</v>
      </c>
      <c r="C1998">
        <v>149</v>
      </c>
      <c r="D1998" t="s">
        <v>21</v>
      </c>
      <c r="E1998" t="s">
        <v>22</v>
      </c>
      <c r="F1998" t="s">
        <v>23</v>
      </c>
      <c r="G1998">
        <v>20</v>
      </c>
      <c r="H1998">
        <v>264.39999999999998</v>
      </c>
      <c r="I1998">
        <v>102</v>
      </c>
      <c r="J1998">
        <v>44.95</v>
      </c>
      <c r="K1998">
        <v>219.6</v>
      </c>
      <c r="L1998">
        <v>123</v>
      </c>
      <c r="M1998">
        <v>18.670000000000002</v>
      </c>
      <c r="N1998">
        <v>200.4</v>
      </c>
      <c r="O1998">
        <v>89</v>
      </c>
      <c r="P1998">
        <v>9.02</v>
      </c>
      <c r="Q1998">
        <v>11.3</v>
      </c>
      <c r="R1998">
        <v>3</v>
      </c>
      <c r="S1998">
        <v>3.05</v>
      </c>
      <c r="T1998">
        <v>2</v>
      </c>
      <c r="U1998" t="s">
        <v>22</v>
      </c>
      <c r="V1998" t="e">
        <f>IF(#REF! = "yes", 1, 0)</f>
        <v>#REF!</v>
      </c>
      <c r="W1998" t="e">
        <f>IF(#REF! &lt;= 1, "0-1 Calls", IF(#REF! &lt;= 3, "2-3 Calls", IF(#REF! &lt;=5, "4-5 Calls", "6+ Calls")))</f>
        <v>#REF!</v>
      </c>
      <c r="X1998" t="e">
        <f>IF(#REF! &lt;= 50, "0-50", IF(#REF! &lt;=100, "51-100", IF(#REF! &lt;= 150, "101-150", "151+")))</f>
        <v>#REF!</v>
      </c>
      <c r="Y1998" t="e">
        <f>IF(#REF! &lt;= 3, "Low Charges", "High Charges")</f>
        <v>#REF!</v>
      </c>
      <c r="Z1998" t="e">
        <f>IF(#REF!&lt;=80,"Low Calls",
IF(#REF!&lt;=120,"Medium Calls","High Calls"))</f>
        <v>#REF!</v>
      </c>
      <c r="AA1998" t="e">
        <f>IF(#REF!&lt;=15,"Low Charges",
IF(#REF!&lt;=20,"Medium Charges","High Charges"))</f>
        <v>#REF!</v>
      </c>
      <c r="AB1998" t="e">
        <f>IF(AND(#REF!&gt;180, #REF!&gt;200), "Heavy Doemstic User", IF(#REF!&gt;10, "Interntional User", IF(AND(#REF!&lt;180, #REF!&lt;200,#REF!&lt;200), "Light User", "Balanced User")))</f>
        <v>#REF!</v>
      </c>
      <c r="AC1998" t="e">
        <f>IF(#REF! = 0, "No Usage", IF(#REF! &lt;= 20, "Low Usage", IF(#REF! &lt;= 40, "Medium Usgae", "High Usage")))</f>
        <v>#REF!</v>
      </c>
      <c r="AD1998" t="e">
        <f>IF(#REF!&lt;=150,"Low Usage", IF(#REF!&lt;=200,"Medium Usage", IF(#REF!&lt;=250,"High Usage","Very High Usage")))</f>
        <v>#REF!</v>
      </c>
      <c r="AE1998" t="e">
        <f>IF(#REF!&lt;=5,"Low Calls", IF(#REF!&lt;=10, "Medium Calls", "High Calls"))</f>
        <v>#REF!</v>
      </c>
      <c r="AF1998" t="e">
        <f xml:space="preserve">
IF(#REF!&gt;=4,4,0)+
IF(#REF!="yes",3,0)+
IF(#REF!="High Charges",3,0)+
IF(#REF!&gt;250,4,0)+
IF(#REF!="no",1,0)+
IF(#REF!="Heavy Domestic User",2,0)</f>
        <v>#REF!</v>
      </c>
      <c r="AG1998" t="e">
        <f>IF(#REF!&gt;=10,"High Risk", IF(#REF!&gt;=5,"Medium Risk","Low Risk"))</f>
        <v>#REF!</v>
      </c>
      <c r="AH1998" t="e">
        <f>#REF! + #REF! + #REF! + #REF!</f>
        <v>#REF!</v>
      </c>
    </row>
    <row r="1999" spans="1:34" x14ac:dyDescent="0.35">
      <c r="A1999">
        <v>1998</v>
      </c>
      <c r="B1999" t="s">
        <v>73</v>
      </c>
      <c r="C1999">
        <v>176</v>
      </c>
      <c r="D1999" t="s">
        <v>21</v>
      </c>
      <c r="E1999" t="s">
        <v>22</v>
      </c>
      <c r="F1999" t="s">
        <v>22</v>
      </c>
      <c r="G1999">
        <v>0</v>
      </c>
      <c r="H1999">
        <v>169.5</v>
      </c>
      <c r="I1999">
        <v>151</v>
      </c>
      <c r="J1999">
        <v>28.82</v>
      </c>
      <c r="K1999">
        <v>112.9</v>
      </c>
      <c r="L1999">
        <v>84</v>
      </c>
      <c r="M1999">
        <v>9.6</v>
      </c>
      <c r="N1999">
        <v>56.6</v>
      </c>
      <c r="O1999">
        <v>99</v>
      </c>
      <c r="P1999">
        <v>2.5499999999999998</v>
      </c>
      <c r="Q1999">
        <v>8.6999999999999993</v>
      </c>
      <c r="R1999">
        <v>4</v>
      </c>
      <c r="S1999">
        <v>2.35</v>
      </c>
      <c r="T1999">
        <v>0</v>
      </c>
      <c r="U1999" t="s">
        <v>22</v>
      </c>
      <c r="V1999" t="e">
        <f>IF(#REF! = "yes", 1, 0)</f>
        <v>#REF!</v>
      </c>
      <c r="W1999" t="e">
        <f>IF(#REF! &lt;= 1, "0-1 Calls", IF(#REF! &lt;= 3, "2-3 Calls", IF(#REF! &lt;=5, "4-5 Calls", "6+ Calls")))</f>
        <v>#REF!</v>
      </c>
      <c r="X1999" t="e">
        <f>IF(#REF! &lt;= 50, "0-50", IF(#REF! &lt;=100, "51-100", IF(#REF! &lt;= 150, "101-150", "151+")))</f>
        <v>#REF!</v>
      </c>
      <c r="Y1999" t="e">
        <f>IF(#REF! &lt;= 3, "Low Charges", "High Charges")</f>
        <v>#REF!</v>
      </c>
      <c r="Z1999" t="e">
        <f>IF(#REF!&lt;=80,"Low Calls",
IF(#REF!&lt;=120,"Medium Calls","High Calls"))</f>
        <v>#REF!</v>
      </c>
      <c r="AA1999" t="e">
        <f>IF(#REF!&lt;=15,"Low Charges",
IF(#REF!&lt;=20,"Medium Charges","High Charges"))</f>
        <v>#REF!</v>
      </c>
      <c r="AB1999" t="e">
        <f>IF(AND(#REF!&gt;180, #REF!&gt;200), "Heavy Doemstic User", IF(#REF!&gt;10, "Interntional User", IF(AND(#REF!&lt;180, #REF!&lt;200,#REF!&lt;200), "Light User", "Balanced User")))</f>
        <v>#REF!</v>
      </c>
      <c r="AC1999" t="e">
        <f>IF(#REF! = 0, "No Usage", IF(#REF! &lt;= 20, "Low Usage", IF(#REF! &lt;= 40, "Medium Usgae", "High Usage")))</f>
        <v>#REF!</v>
      </c>
      <c r="AD1999" t="e">
        <f>IF(#REF!&lt;=150,"Low Usage", IF(#REF!&lt;=200,"Medium Usage", IF(#REF!&lt;=250,"High Usage","Very High Usage")))</f>
        <v>#REF!</v>
      </c>
      <c r="AE1999" t="e">
        <f>IF(#REF!&lt;=5,"Low Calls", IF(#REF!&lt;=10, "Medium Calls", "High Calls"))</f>
        <v>#REF!</v>
      </c>
      <c r="AF1999" t="e">
        <f xml:space="preserve">
IF(#REF!&gt;=4,4,0)+
IF(#REF!="yes",3,0)+
IF(#REF!="High Charges",3,0)+
IF(#REF!&gt;250,4,0)+
IF(#REF!="no",1,0)+
IF(#REF!="Heavy Domestic User",2,0)</f>
        <v>#REF!</v>
      </c>
      <c r="AG1999" t="e">
        <f>IF(#REF!&gt;=10,"High Risk", IF(#REF!&gt;=5,"Medium Risk","Low Risk"))</f>
        <v>#REF!</v>
      </c>
      <c r="AH1999" t="e">
        <f>#REF! + #REF! + #REF! + #REF!</f>
        <v>#REF!</v>
      </c>
    </row>
    <row r="2000" spans="1:34" x14ac:dyDescent="0.35">
      <c r="A2000">
        <v>1999</v>
      </c>
      <c r="B2000" t="s">
        <v>39</v>
      </c>
      <c r="C2000">
        <v>152</v>
      </c>
      <c r="D2000" t="s">
        <v>21</v>
      </c>
      <c r="E2000" t="s">
        <v>22</v>
      </c>
      <c r="F2000" t="s">
        <v>22</v>
      </c>
      <c r="G2000">
        <v>0</v>
      </c>
      <c r="H2000">
        <v>141.5</v>
      </c>
      <c r="I2000">
        <v>102</v>
      </c>
      <c r="J2000">
        <v>24.06</v>
      </c>
      <c r="K2000">
        <v>263</v>
      </c>
      <c r="L2000">
        <v>94</v>
      </c>
      <c r="M2000">
        <v>22.36</v>
      </c>
      <c r="N2000">
        <v>207.1</v>
      </c>
      <c r="O2000">
        <v>113</v>
      </c>
      <c r="P2000">
        <v>9.32</v>
      </c>
      <c r="Q2000">
        <v>3.4</v>
      </c>
      <c r="R2000">
        <v>4</v>
      </c>
      <c r="S2000">
        <v>0.92</v>
      </c>
      <c r="T2000">
        <v>2</v>
      </c>
      <c r="U2000" t="s">
        <v>22</v>
      </c>
      <c r="V2000" t="e">
        <f>IF(#REF! = "yes", 1, 0)</f>
        <v>#REF!</v>
      </c>
      <c r="W2000" t="e">
        <f>IF(#REF! &lt;= 1, "0-1 Calls", IF(#REF! &lt;= 3, "2-3 Calls", IF(#REF! &lt;=5, "4-5 Calls", "6+ Calls")))</f>
        <v>#REF!</v>
      </c>
      <c r="X2000" t="e">
        <f>IF(#REF! &lt;= 50, "0-50", IF(#REF! &lt;=100, "51-100", IF(#REF! &lt;= 150, "101-150", "151+")))</f>
        <v>#REF!</v>
      </c>
      <c r="Y2000" t="e">
        <f>IF(#REF! &lt;= 3, "Low Charges", "High Charges")</f>
        <v>#REF!</v>
      </c>
      <c r="Z2000" t="e">
        <f>IF(#REF!&lt;=80,"Low Calls",
IF(#REF!&lt;=120,"Medium Calls","High Calls"))</f>
        <v>#REF!</v>
      </c>
      <c r="AA2000" t="e">
        <f>IF(#REF!&lt;=15,"Low Charges",
IF(#REF!&lt;=20,"Medium Charges","High Charges"))</f>
        <v>#REF!</v>
      </c>
      <c r="AB2000" t="e">
        <f>IF(AND(#REF!&gt;180, #REF!&gt;200), "Heavy Doemstic User", IF(#REF!&gt;10, "Interntional User", IF(AND(#REF!&lt;180, #REF!&lt;200,#REF!&lt;200), "Light User", "Balanced User")))</f>
        <v>#REF!</v>
      </c>
      <c r="AC2000" t="e">
        <f>IF(#REF! = 0, "No Usage", IF(#REF! &lt;= 20, "Low Usage", IF(#REF! &lt;= 40, "Medium Usgae", "High Usage")))</f>
        <v>#REF!</v>
      </c>
      <c r="AD2000" t="e">
        <f>IF(#REF!&lt;=150,"Low Usage", IF(#REF!&lt;=200,"Medium Usage", IF(#REF!&lt;=250,"High Usage","Very High Usage")))</f>
        <v>#REF!</v>
      </c>
      <c r="AE2000" t="e">
        <f>IF(#REF!&lt;=5,"Low Calls", IF(#REF!&lt;=10, "Medium Calls", "High Calls"))</f>
        <v>#REF!</v>
      </c>
      <c r="AF2000" t="e">
        <f xml:space="preserve">
IF(#REF!&gt;=4,4,0)+
IF(#REF!="yes",3,0)+
IF(#REF!="High Charges",3,0)+
IF(#REF!&gt;250,4,0)+
IF(#REF!="no",1,0)+
IF(#REF!="Heavy Domestic User",2,0)</f>
        <v>#REF!</v>
      </c>
      <c r="AG2000" t="e">
        <f>IF(#REF!&gt;=10,"High Risk", IF(#REF!&gt;=5,"Medium Risk","Low Risk"))</f>
        <v>#REF!</v>
      </c>
      <c r="AH2000" t="e">
        <f>#REF! + #REF! + #REF! + #REF!</f>
        <v>#REF!</v>
      </c>
    </row>
    <row r="2001" spans="1:34" x14ac:dyDescent="0.35">
      <c r="A2001">
        <v>2000</v>
      </c>
      <c r="B2001" t="s">
        <v>38</v>
      </c>
      <c r="C2001">
        <v>118</v>
      </c>
      <c r="D2001" t="s">
        <v>25</v>
      </c>
      <c r="E2001" t="s">
        <v>22</v>
      </c>
      <c r="F2001" t="s">
        <v>22</v>
      </c>
      <c r="G2001">
        <v>0</v>
      </c>
      <c r="H2001">
        <v>154.80000000000001</v>
      </c>
      <c r="I2001">
        <v>71</v>
      </c>
      <c r="J2001">
        <v>26.32</v>
      </c>
      <c r="K2001">
        <v>244</v>
      </c>
      <c r="L2001">
        <v>73</v>
      </c>
      <c r="M2001">
        <v>20.74</v>
      </c>
      <c r="N2001">
        <v>159.6</v>
      </c>
      <c r="O2001">
        <v>81</v>
      </c>
      <c r="P2001">
        <v>7.18</v>
      </c>
      <c r="Q2001">
        <v>12.8</v>
      </c>
      <c r="R2001">
        <v>4</v>
      </c>
      <c r="S2001">
        <v>3.46</v>
      </c>
      <c r="T2001">
        <v>0</v>
      </c>
      <c r="U2001" t="s">
        <v>22</v>
      </c>
      <c r="V2001" t="e">
        <f>IF(#REF! = "yes", 1, 0)</f>
        <v>#REF!</v>
      </c>
      <c r="W2001" t="e">
        <f>IF(#REF! &lt;= 1, "0-1 Calls", IF(#REF! &lt;= 3, "2-3 Calls", IF(#REF! &lt;=5, "4-5 Calls", "6+ Calls")))</f>
        <v>#REF!</v>
      </c>
      <c r="X2001" t="e">
        <f>IF(#REF! &lt;= 50, "0-50", IF(#REF! &lt;=100, "51-100", IF(#REF! &lt;= 150, "101-150", "151+")))</f>
        <v>#REF!</v>
      </c>
      <c r="Y2001" t="e">
        <f>IF(#REF! &lt;= 3, "Low Charges", "High Charges")</f>
        <v>#REF!</v>
      </c>
      <c r="Z2001" t="e">
        <f>IF(#REF!&lt;=80,"Low Calls",
IF(#REF!&lt;=120,"Medium Calls","High Calls"))</f>
        <v>#REF!</v>
      </c>
      <c r="AA2001" t="e">
        <f>IF(#REF!&lt;=15,"Low Charges",
IF(#REF!&lt;=20,"Medium Charges","High Charges"))</f>
        <v>#REF!</v>
      </c>
      <c r="AB2001" t="e">
        <f>IF(AND(#REF!&gt;180, #REF!&gt;200), "Heavy Doemstic User", IF(#REF!&gt;10, "Interntional User", IF(AND(#REF!&lt;180, #REF!&lt;200,#REF!&lt;200), "Light User", "Balanced User")))</f>
        <v>#REF!</v>
      </c>
      <c r="AC2001" t="e">
        <f>IF(#REF! = 0, "No Usage", IF(#REF! &lt;= 20, "Low Usage", IF(#REF! &lt;= 40, "Medium Usgae", "High Usage")))</f>
        <v>#REF!</v>
      </c>
      <c r="AD2001" t="e">
        <f>IF(#REF!&lt;=150,"Low Usage", IF(#REF!&lt;=200,"Medium Usage", IF(#REF!&lt;=250,"High Usage","Very High Usage")))</f>
        <v>#REF!</v>
      </c>
      <c r="AE2001" t="e">
        <f>IF(#REF!&lt;=5,"Low Calls", IF(#REF!&lt;=10, "Medium Calls", "High Calls"))</f>
        <v>#REF!</v>
      </c>
      <c r="AF2001" t="e">
        <f xml:space="preserve">
IF(#REF!&gt;=4,4,0)+
IF(#REF!="yes",3,0)+
IF(#REF!="High Charges",3,0)+
IF(#REF!&gt;250,4,0)+
IF(#REF!="no",1,0)+
IF(#REF!="Heavy Domestic User",2,0)</f>
        <v>#REF!</v>
      </c>
      <c r="AG2001" t="e">
        <f>IF(#REF!&gt;=10,"High Risk", IF(#REF!&gt;=5,"Medium Risk","Low Risk"))</f>
        <v>#REF!</v>
      </c>
      <c r="AH2001" t="e">
        <f>#REF! + #REF! + #REF! + #REF!</f>
        <v>#REF!</v>
      </c>
    </row>
    <row r="2002" spans="1:34" x14ac:dyDescent="0.35">
      <c r="A2002">
        <v>2001</v>
      </c>
      <c r="B2002" t="s">
        <v>35</v>
      </c>
      <c r="C2002">
        <v>102</v>
      </c>
      <c r="D2002" t="s">
        <v>25</v>
      </c>
      <c r="E2002" t="s">
        <v>22</v>
      </c>
      <c r="F2002" t="s">
        <v>22</v>
      </c>
      <c r="G2002">
        <v>0</v>
      </c>
      <c r="H2002">
        <v>273.2</v>
      </c>
      <c r="I2002">
        <v>85</v>
      </c>
      <c r="J2002">
        <v>46.44</v>
      </c>
      <c r="K2002">
        <v>211.1</v>
      </c>
      <c r="L2002">
        <v>82</v>
      </c>
      <c r="M2002">
        <v>17.940000000000001</v>
      </c>
      <c r="N2002">
        <v>203.7</v>
      </c>
      <c r="O2002">
        <v>129</v>
      </c>
      <c r="P2002">
        <v>9.17</v>
      </c>
      <c r="Q2002">
        <v>13.1</v>
      </c>
      <c r="R2002">
        <v>7</v>
      </c>
      <c r="S2002">
        <v>3.54</v>
      </c>
      <c r="T2002">
        <v>2</v>
      </c>
      <c r="U2002" t="s">
        <v>23</v>
      </c>
      <c r="V2002" t="e">
        <f>IF(#REF! = "yes", 1, 0)</f>
        <v>#REF!</v>
      </c>
      <c r="W2002" t="e">
        <f>IF(#REF! &lt;= 1, "0-1 Calls", IF(#REF! &lt;= 3, "2-3 Calls", IF(#REF! &lt;=5, "4-5 Calls", "6+ Calls")))</f>
        <v>#REF!</v>
      </c>
      <c r="X2002" t="e">
        <f>IF(#REF! &lt;= 50, "0-50", IF(#REF! &lt;=100, "51-100", IF(#REF! &lt;= 150, "101-150", "151+")))</f>
        <v>#REF!</v>
      </c>
      <c r="Y2002" t="e">
        <f>IF(#REF! &lt;= 3, "Low Charges", "High Charges")</f>
        <v>#REF!</v>
      </c>
      <c r="Z2002" t="e">
        <f>IF(#REF!&lt;=80,"Low Calls",
IF(#REF!&lt;=120,"Medium Calls","High Calls"))</f>
        <v>#REF!</v>
      </c>
      <c r="AA2002" t="e">
        <f>IF(#REF!&lt;=15,"Low Charges",
IF(#REF!&lt;=20,"Medium Charges","High Charges"))</f>
        <v>#REF!</v>
      </c>
      <c r="AB2002" t="e">
        <f>IF(AND(#REF!&gt;180, #REF!&gt;200), "Heavy Doemstic User", IF(#REF!&gt;10, "Interntional User", IF(AND(#REF!&lt;180, #REF!&lt;200,#REF!&lt;200), "Light User", "Balanced User")))</f>
        <v>#REF!</v>
      </c>
      <c r="AC2002" t="e">
        <f>IF(#REF! = 0, "No Usage", IF(#REF! &lt;= 20, "Low Usage", IF(#REF! &lt;= 40, "Medium Usgae", "High Usage")))</f>
        <v>#REF!</v>
      </c>
      <c r="AD2002" t="e">
        <f>IF(#REF!&lt;=150,"Low Usage", IF(#REF!&lt;=200,"Medium Usage", IF(#REF!&lt;=250,"High Usage","Very High Usage")))</f>
        <v>#REF!</v>
      </c>
      <c r="AE2002" t="e">
        <f>IF(#REF!&lt;=5,"Low Calls", IF(#REF!&lt;=10, "Medium Calls", "High Calls"))</f>
        <v>#REF!</v>
      </c>
      <c r="AF2002" t="e">
        <f xml:space="preserve">
IF(#REF!&gt;=4,4,0)+
IF(#REF!="yes",3,0)+
IF(#REF!="High Charges",3,0)+
IF(#REF!&gt;250,4,0)+
IF(#REF!="no",1,0)+
IF(#REF!="Heavy Domestic User",2,0)</f>
        <v>#REF!</v>
      </c>
      <c r="AG2002" t="e">
        <f>IF(#REF!&gt;=10,"High Risk", IF(#REF!&gt;=5,"Medium Risk","Low Risk"))</f>
        <v>#REF!</v>
      </c>
      <c r="AH2002" t="e">
        <f>#REF! + #REF! + #REF! + #REF!</f>
        <v>#REF!</v>
      </c>
    </row>
    <row r="2003" spans="1:34" x14ac:dyDescent="0.35">
      <c r="A2003">
        <v>2002</v>
      </c>
      <c r="B2003" t="s">
        <v>75</v>
      </c>
      <c r="C2003">
        <v>118</v>
      </c>
      <c r="D2003" t="s">
        <v>25</v>
      </c>
      <c r="E2003" t="s">
        <v>22</v>
      </c>
      <c r="F2003" t="s">
        <v>22</v>
      </c>
      <c r="G2003">
        <v>0</v>
      </c>
      <c r="H2003">
        <v>224.6</v>
      </c>
      <c r="I2003">
        <v>94</v>
      </c>
      <c r="J2003">
        <v>38.18</v>
      </c>
      <c r="K2003">
        <v>225.9</v>
      </c>
      <c r="L2003">
        <v>120</v>
      </c>
      <c r="M2003">
        <v>19.2</v>
      </c>
      <c r="N2003">
        <v>269</v>
      </c>
      <c r="O2003">
        <v>105</v>
      </c>
      <c r="P2003">
        <v>12.11</v>
      </c>
      <c r="Q2003">
        <v>12.5</v>
      </c>
      <c r="R2003">
        <v>8</v>
      </c>
      <c r="S2003">
        <v>3.38</v>
      </c>
      <c r="T2003">
        <v>2</v>
      </c>
      <c r="U2003" t="s">
        <v>22</v>
      </c>
      <c r="V2003" t="e">
        <f>IF(#REF! = "yes", 1, 0)</f>
        <v>#REF!</v>
      </c>
      <c r="W2003" t="e">
        <f>IF(#REF! &lt;= 1, "0-1 Calls", IF(#REF! &lt;= 3, "2-3 Calls", IF(#REF! &lt;=5, "4-5 Calls", "6+ Calls")))</f>
        <v>#REF!</v>
      </c>
      <c r="X2003" t="e">
        <f>IF(#REF! &lt;= 50, "0-50", IF(#REF! &lt;=100, "51-100", IF(#REF! &lt;= 150, "101-150", "151+")))</f>
        <v>#REF!</v>
      </c>
      <c r="Y2003" t="e">
        <f>IF(#REF! &lt;= 3, "Low Charges", "High Charges")</f>
        <v>#REF!</v>
      </c>
      <c r="Z2003" t="e">
        <f>IF(#REF!&lt;=80,"Low Calls",
IF(#REF!&lt;=120,"Medium Calls","High Calls"))</f>
        <v>#REF!</v>
      </c>
      <c r="AA2003" t="e">
        <f>IF(#REF!&lt;=15,"Low Charges",
IF(#REF!&lt;=20,"Medium Charges","High Charges"))</f>
        <v>#REF!</v>
      </c>
      <c r="AB2003" t="e">
        <f>IF(AND(#REF!&gt;180, #REF!&gt;200), "Heavy Doemstic User", IF(#REF!&gt;10, "Interntional User", IF(AND(#REF!&lt;180, #REF!&lt;200,#REF!&lt;200), "Light User", "Balanced User")))</f>
        <v>#REF!</v>
      </c>
      <c r="AC2003" t="e">
        <f>IF(#REF! = 0, "No Usage", IF(#REF! &lt;= 20, "Low Usage", IF(#REF! &lt;= 40, "Medium Usgae", "High Usage")))</f>
        <v>#REF!</v>
      </c>
      <c r="AD2003" t="e">
        <f>IF(#REF!&lt;=150,"Low Usage", IF(#REF!&lt;=200,"Medium Usage", IF(#REF!&lt;=250,"High Usage","Very High Usage")))</f>
        <v>#REF!</v>
      </c>
      <c r="AE2003" t="e">
        <f>IF(#REF!&lt;=5,"Low Calls", IF(#REF!&lt;=10, "Medium Calls", "High Calls"))</f>
        <v>#REF!</v>
      </c>
      <c r="AF2003" t="e">
        <f xml:space="preserve">
IF(#REF!&gt;=4,4,0)+
IF(#REF!="yes",3,0)+
IF(#REF!="High Charges",3,0)+
IF(#REF!&gt;250,4,0)+
IF(#REF!="no",1,0)+
IF(#REF!="Heavy Domestic User",2,0)</f>
        <v>#REF!</v>
      </c>
      <c r="AG2003" t="e">
        <f>IF(#REF!&gt;=10,"High Risk", IF(#REF!&gt;=5,"Medium Risk","Low Risk"))</f>
        <v>#REF!</v>
      </c>
      <c r="AH2003" t="e">
        <f>#REF! + #REF! + #REF! + #REF!</f>
        <v>#REF!</v>
      </c>
    </row>
    <row r="2004" spans="1:34" x14ac:dyDescent="0.35">
      <c r="A2004">
        <v>2003</v>
      </c>
      <c r="B2004" t="s">
        <v>40</v>
      </c>
      <c r="C2004">
        <v>105</v>
      </c>
      <c r="D2004" t="s">
        <v>21</v>
      </c>
      <c r="E2004" t="s">
        <v>22</v>
      </c>
      <c r="F2004" t="s">
        <v>22</v>
      </c>
      <c r="G2004">
        <v>0</v>
      </c>
      <c r="H2004">
        <v>273.8</v>
      </c>
      <c r="I2004">
        <v>97</v>
      </c>
      <c r="J2004">
        <v>46.55</v>
      </c>
      <c r="K2004">
        <v>289.7</v>
      </c>
      <c r="L2004">
        <v>106</v>
      </c>
      <c r="M2004">
        <v>24.62</v>
      </c>
      <c r="N2004">
        <v>269.10000000000002</v>
      </c>
      <c r="O2004">
        <v>126</v>
      </c>
      <c r="P2004">
        <v>12.11</v>
      </c>
      <c r="Q2004">
        <v>5.8</v>
      </c>
      <c r="R2004">
        <v>3</v>
      </c>
      <c r="S2004">
        <v>1.57</v>
      </c>
      <c r="T2004">
        <v>2</v>
      </c>
      <c r="U2004" t="s">
        <v>23</v>
      </c>
      <c r="V2004" t="e">
        <f>IF(#REF! = "yes", 1, 0)</f>
        <v>#REF!</v>
      </c>
      <c r="W2004" t="e">
        <f>IF(#REF! &lt;= 1, "0-1 Calls", IF(#REF! &lt;= 3, "2-3 Calls", IF(#REF! &lt;=5, "4-5 Calls", "6+ Calls")))</f>
        <v>#REF!</v>
      </c>
      <c r="X2004" t="e">
        <f>IF(#REF! &lt;= 50, "0-50", IF(#REF! &lt;=100, "51-100", IF(#REF! &lt;= 150, "101-150", "151+")))</f>
        <v>#REF!</v>
      </c>
      <c r="Y2004" t="e">
        <f>IF(#REF! &lt;= 3, "Low Charges", "High Charges")</f>
        <v>#REF!</v>
      </c>
      <c r="Z2004" t="e">
        <f>IF(#REF!&lt;=80,"Low Calls",
IF(#REF!&lt;=120,"Medium Calls","High Calls"))</f>
        <v>#REF!</v>
      </c>
      <c r="AA2004" t="e">
        <f>IF(#REF!&lt;=15,"Low Charges",
IF(#REF!&lt;=20,"Medium Charges","High Charges"))</f>
        <v>#REF!</v>
      </c>
      <c r="AB2004" t="e">
        <f>IF(AND(#REF!&gt;180, #REF!&gt;200), "Heavy Doemstic User", IF(#REF!&gt;10, "Interntional User", IF(AND(#REF!&lt;180, #REF!&lt;200,#REF!&lt;200), "Light User", "Balanced User")))</f>
        <v>#REF!</v>
      </c>
      <c r="AC2004" t="e">
        <f>IF(#REF! = 0, "No Usage", IF(#REF! &lt;= 20, "Low Usage", IF(#REF! &lt;= 40, "Medium Usgae", "High Usage")))</f>
        <v>#REF!</v>
      </c>
      <c r="AD2004" t="e">
        <f>IF(#REF!&lt;=150,"Low Usage", IF(#REF!&lt;=200,"Medium Usage", IF(#REF!&lt;=250,"High Usage","Very High Usage")))</f>
        <v>#REF!</v>
      </c>
      <c r="AE2004" t="e">
        <f>IF(#REF!&lt;=5,"Low Calls", IF(#REF!&lt;=10, "Medium Calls", "High Calls"))</f>
        <v>#REF!</v>
      </c>
      <c r="AF2004" t="e">
        <f xml:space="preserve">
IF(#REF!&gt;=4,4,0)+
IF(#REF!="yes",3,0)+
IF(#REF!="High Charges",3,0)+
IF(#REF!&gt;250,4,0)+
IF(#REF!="no",1,0)+
IF(#REF!="Heavy Domestic User",2,0)</f>
        <v>#REF!</v>
      </c>
      <c r="AG2004" t="e">
        <f>IF(#REF!&gt;=10,"High Risk", IF(#REF!&gt;=5,"Medium Risk","Low Risk"))</f>
        <v>#REF!</v>
      </c>
      <c r="AH2004" t="e">
        <f>#REF! + #REF! + #REF! + #REF!</f>
        <v>#REF!</v>
      </c>
    </row>
    <row r="2005" spans="1:34" x14ac:dyDescent="0.35">
      <c r="A2005">
        <v>2004</v>
      </c>
      <c r="B2005" t="s">
        <v>65</v>
      </c>
      <c r="C2005">
        <v>71</v>
      </c>
      <c r="D2005" t="s">
        <v>21</v>
      </c>
      <c r="E2005" t="s">
        <v>22</v>
      </c>
      <c r="F2005" t="s">
        <v>22</v>
      </c>
      <c r="G2005">
        <v>0</v>
      </c>
      <c r="H2005">
        <v>104</v>
      </c>
      <c r="I2005">
        <v>92</v>
      </c>
      <c r="J2005">
        <v>17.68</v>
      </c>
      <c r="K2005">
        <v>197</v>
      </c>
      <c r="L2005">
        <v>125</v>
      </c>
      <c r="M2005">
        <v>16.75</v>
      </c>
      <c r="N2005">
        <v>110.1</v>
      </c>
      <c r="O2005">
        <v>123</v>
      </c>
      <c r="P2005">
        <v>4.95</v>
      </c>
      <c r="Q2005">
        <v>14.6</v>
      </c>
      <c r="R2005">
        <v>8</v>
      </c>
      <c r="S2005">
        <v>3.94</v>
      </c>
      <c r="T2005">
        <v>0</v>
      </c>
      <c r="U2005" t="s">
        <v>22</v>
      </c>
      <c r="V2005" t="e">
        <f>IF(#REF! = "yes", 1, 0)</f>
        <v>#REF!</v>
      </c>
      <c r="W2005" t="e">
        <f>IF(#REF! &lt;= 1, "0-1 Calls", IF(#REF! &lt;= 3, "2-3 Calls", IF(#REF! &lt;=5, "4-5 Calls", "6+ Calls")))</f>
        <v>#REF!</v>
      </c>
      <c r="X2005" t="e">
        <f>IF(#REF! &lt;= 50, "0-50", IF(#REF! &lt;=100, "51-100", IF(#REF! &lt;= 150, "101-150", "151+")))</f>
        <v>#REF!</v>
      </c>
      <c r="Y2005" t="e">
        <f>IF(#REF! &lt;= 3, "Low Charges", "High Charges")</f>
        <v>#REF!</v>
      </c>
      <c r="Z2005" t="e">
        <f>IF(#REF!&lt;=80,"Low Calls",
IF(#REF!&lt;=120,"Medium Calls","High Calls"))</f>
        <v>#REF!</v>
      </c>
      <c r="AA2005" t="e">
        <f>IF(#REF!&lt;=15,"Low Charges",
IF(#REF!&lt;=20,"Medium Charges","High Charges"))</f>
        <v>#REF!</v>
      </c>
      <c r="AB2005" t="e">
        <f>IF(AND(#REF!&gt;180, #REF!&gt;200), "Heavy Doemstic User", IF(#REF!&gt;10, "Interntional User", IF(AND(#REF!&lt;180, #REF!&lt;200,#REF!&lt;200), "Light User", "Balanced User")))</f>
        <v>#REF!</v>
      </c>
      <c r="AC2005" t="e">
        <f>IF(#REF! = 0, "No Usage", IF(#REF! &lt;= 20, "Low Usage", IF(#REF! &lt;= 40, "Medium Usgae", "High Usage")))</f>
        <v>#REF!</v>
      </c>
      <c r="AD2005" t="e">
        <f>IF(#REF!&lt;=150,"Low Usage", IF(#REF!&lt;=200,"Medium Usage", IF(#REF!&lt;=250,"High Usage","Very High Usage")))</f>
        <v>#REF!</v>
      </c>
      <c r="AE2005" t="e">
        <f>IF(#REF!&lt;=5,"Low Calls", IF(#REF!&lt;=10, "Medium Calls", "High Calls"))</f>
        <v>#REF!</v>
      </c>
      <c r="AF2005" t="e">
        <f xml:space="preserve">
IF(#REF!&gt;=4,4,0)+
IF(#REF!="yes",3,0)+
IF(#REF!="High Charges",3,0)+
IF(#REF!&gt;250,4,0)+
IF(#REF!="no",1,0)+
IF(#REF!="Heavy Domestic User",2,0)</f>
        <v>#REF!</v>
      </c>
      <c r="AG2005" t="e">
        <f>IF(#REF!&gt;=10,"High Risk", IF(#REF!&gt;=5,"Medium Risk","Low Risk"))</f>
        <v>#REF!</v>
      </c>
      <c r="AH2005" t="e">
        <f>#REF! + #REF! + #REF! + #REF!</f>
        <v>#REF!</v>
      </c>
    </row>
    <row r="2006" spans="1:34" x14ac:dyDescent="0.35">
      <c r="A2006">
        <v>2005</v>
      </c>
      <c r="B2006" t="s">
        <v>49</v>
      </c>
      <c r="C2006">
        <v>71</v>
      </c>
      <c r="D2006" t="s">
        <v>21</v>
      </c>
      <c r="E2006" t="s">
        <v>22</v>
      </c>
      <c r="F2006" t="s">
        <v>23</v>
      </c>
      <c r="G2006">
        <v>31</v>
      </c>
      <c r="H2006">
        <v>115.4</v>
      </c>
      <c r="I2006">
        <v>90</v>
      </c>
      <c r="J2006">
        <v>19.62</v>
      </c>
      <c r="K2006">
        <v>217.4</v>
      </c>
      <c r="L2006">
        <v>78</v>
      </c>
      <c r="M2006">
        <v>18.48</v>
      </c>
      <c r="N2006">
        <v>239.9</v>
      </c>
      <c r="O2006">
        <v>102</v>
      </c>
      <c r="P2006">
        <v>10.8</v>
      </c>
      <c r="Q2006">
        <v>13.1</v>
      </c>
      <c r="R2006">
        <v>4</v>
      </c>
      <c r="S2006">
        <v>3.54</v>
      </c>
      <c r="T2006">
        <v>1</v>
      </c>
      <c r="U2006" t="s">
        <v>22</v>
      </c>
      <c r="V2006" t="e">
        <f>IF(#REF! = "yes", 1, 0)</f>
        <v>#REF!</v>
      </c>
      <c r="W2006" t="e">
        <f>IF(#REF! &lt;= 1, "0-1 Calls", IF(#REF! &lt;= 3, "2-3 Calls", IF(#REF! &lt;=5, "4-5 Calls", "6+ Calls")))</f>
        <v>#REF!</v>
      </c>
      <c r="X2006" t="e">
        <f>IF(#REF! &lt;= 50, "0-50", IF(#REF! &lt;=100, "51-100", IF(#REF! &lt;= 150, "101-150", "151+")))</f>
        <v>#REF!</v>
      </c>
      <c r="Y2006" t="e">
        <f>IF(#REF! &lt;= 3, "Low Charges", "High Charges")</f>
        <v>#REF!</v>
      </c>
      <c r="Z2006" t="e">
        <f>IF(#REF!&lt;=80,"Low Calls",
IF(#REF!&lt;=120,"Medium Calls","High Calls"))</f>
        <v>#REF!</v>
      </c>
      <c r="AA2006" t="e">
        <f>IF(#REF!&lt;=15,"Low Charges",
IF(#REF!&lt;=20,"Medium Charges","High Charges"))</f>
        <v>#REF!</v>
      </c>
      <c r="AB2006" t="e">
        <f>IF(AND(#REF!&gt;180, #REF!&gt;200), "Heavy Doemstic User", IF(#REF!&gt;10, "Interntional User", IF(AND(#REF!&lt;180, #REF!&lt;200,#REF!&lt;200), "Light User", "Balanced User")))</f>
        <v>#REF!</v>
      </c>
      <c r="AC2006" t="e">
        <f>IF(#REF! = 0, "No Usage", IF(#REF! &lt;= 20, "Low Usage", IF(#REF! &lt;= 40, "Medium Usgae", "High Usage")))</f>
        <v>#REF!</v>
      </c>
      <c r="AD2006" t="e">
        <f>IF(#REF!&lt;=150,"Low Usage", IF(#REF!&lt;=200,"Medium Usage", IF(#REF!&lt;=250,"High Usage","Very High Usage")))</f>
        <v>#REF!</v>
      </c>
      <c r="AE2006" t="e">
        <f>IF(#REF!&lt;=5,"Low Calls", IF(#REF!&lt;=10, "Medium Calls", "High Calls"))</f>
        <v>#REF!</v>
      </c>
      <c r="AF2006" t="e">
        <f xml:space="preserve">
IF(#REF!&gt;=4,4,0)+
IF(#REF!="yes",3,0)+
IF(#REF!="High Charges",3,0)+
IF(#REF!&gt;250,4,0)+
IF(#REF!="no",1,0)+
IF(#REF!="Heavy Domestic User",2,0)</f>
        <v>#REF!</v>
      </c>
      <c r="AG2006" t="e">
        <f>IF(#REF!&gt;=10,"High Risk", IF(#REF!&gt;=5,"Medium Risk","Low Risk"))</f>
        <v>#REF!</v>
      </c>
      <c r="AH2006" t="e">
        <f>#REF! + #REF! + #REF! + #REF!</f>
        <v>#REF!</v>
      </c>
    </row>
    <row r="2007" spans="1:34" x14ac:dyDescent="0.35">
      <c r="A2007">
        <v>2006</v>
      </c>
      <c r="B2007" t="s">
        <v>32</v>
      </c>
      <c r="C2007">
        <v>68</v>
      </c>
      <c r="D2007" t="s">
        <v>21</v>
      </c>
      <c r="E2007" t="s">
        <v>22</v>
      </c>
      <c r="F2007" t="s">
        <v>22</v>
      </c>
      <c r="G2007">
        <v>0</v>
      </c>
      <c r="H2007">
        <v>222.1</v>
      </c>
      <c r="I2007">
        <v>107</v>
      </c>
      <c r="J2007">
        <v>37.76</v>
      </c>
      <c r="K2007">
        <v>199.4</v>
      </c>
      <c r="L2007">
        <v>102</v>
      </c>
      <c r="M2007">
        <v>16.95</v>
      </c>
      <c r="N2007">
        <v>162.4</v>
      </c>
      <c r="O2007">
        <v>107</v>
      </c>
      <c r="P2007">
        <v>7.31</v>
      </c>
      <c r="Q2007">
        <v>9.4</v>
      </c>
      <c r="R2007">
        <v>3</v>
      </c>
      <c r="S2007">
        <v>2.54</v>
      </c>
      <c r="T2007">
        <v>2</v>
      </c>
      <c r="U2007" t="s">
        <v>22</v>
      </c>
      <c r="V2007" t="e">
        <f>IF(#REF! = "yes", 1, 0)</f>
        <v>#REF!</v>
      </c>
      <c r="W2007" t="e">
        <f>IF(#REF! &lt;= 1, "0-1 Calls", IF(#REF! &lt;= 3, "2-3 Calls", IF(#REF! &lt;=5, "4-5 Calls", "6+ Calls")))</f>
        <v>#REF!</v>
      </c>
      <c r="X2007" t="e">
        <f>IF(#REF! &lt;= 50, "0-50", IF(#REF! &lt;=100, "51-100", IF(#REF! &lt;= 150, "101-150", "151+")))</f>
        <v>#REF!</v>
      </c>
      <c r="Y2007" t="e">
        <f>IF(#REF! &lt;= 3, "Low Charges", "High Charges")</f>
        <v>#REF!</v>
      </c>
      <c r="Z2007" t="e">
        <f>IF(#REF!&lt;=80,"Low Calls",
IF(#REF!&lt;=120,"Medium Calls","High Calls"))</f>
        <v>#REF!</v>
      </c>
      <c r="AA2007" t="e">
        <f>IF(#REF!&lt;=15,"Low Charges",
IF(#REF!&lt;=20,"Medium Charges","High Charges"))</f>
        <v>#REF!</v>
      </c>
      <c r="AB2007" t="e">
        <f>IF(AND(#REF!&gt;180, #REF!&gt;200), "Heavy Doemstic User", IF(#REF!&gt;10, "Interntional User", IF(AND(#REF!&lt;180, #REF!&lt;200,#REF!&lt;200), "Light User", "Balanced User")))</f>
        <v>#REF!</v>
      </c>
      <c r="AC2007" t="e">
        <f>IF(#REF! = 0, "No Usage", IF(#REF! &lt;= 20, "Low Usage", IF(#REF! &lt;= 40, "Medium Usgae", "High Usage")))</f>
        <v>#REF!</v>
      </c>
      <c r="AD2007" t="e">
        <f>IF(#REF!&lt;=150,"Low Usage", IF(#REF!&lt;=200,"Medium Usage", IF(#REF!&lt;=250,"High Usage","Very High Usage")))</f>
        <v>#REF!</v>
      </c>
      <c r="AE2007" t="e">
        <f>IF(#REF!&lt;=5,"Low Calls", IF(#REF!&lt;=10, "Medium Calls", "High Calls"))</f>
        <v>#REF!</v>
      </c>
      <c r="AF2007" t="e">
        <f xml:space="preserve">
IF(#REF!&gt;=4,4,0)+
IF(#REF!="yes",3,0)+
IF(#REF!="High Charges",3,0)+
IF(#REF!&gt;250,4,0)+
IF(#REF!="no",1,0)+
IF(#REF!="Heavy Domestic User",2,0)</f>
        <v>#REF!</v>
      </c>
      <c r="AG2007" t="e">
        <f>IF(#REF!&gt;=10,"High Risk", IF(#REF!&gt;=5,"Medium Risk","Low Risk"))</f>
        <v>#REF!</v>
      </c>
      <c r="AH2007" t="e">
        <f>#REF! + #REF! + #REF! + #REF!</f>
        <v>#REF!</v>
      </c>
    </row>
    <row r="2008" spans="1:34" x14ac:dyDescent="0.35">
      <c r="A2008">
        <v>2007</v>
      </c>
      <c r="B2008" t="s">
        <v>27</v>
      </c>
      <c r="C2008">
        <v>66</v>
      </c>
      <c r="D2008" t="s">
        <v>21</v>
      </c>
      <c r="E2008" t="s">
        <v>22</v>
      </c>
      <c r="F2008" t="s">
        <v>22</v>
      </c>
      <c r="G2008">
        <v>0</v>
      </c>
      <c r="H2008">
        <v>116.4</v>
      </c>
      <c r="I2008">
        <v>98</v>
      </c>
      <c r="J2008">
        <v>19.79</v>
      </c>
      <c r="K2008">
        <v>95.6</v>
      </c>
      <c r="L2008">
        <v>74</v>
      </c>
      <c r="M2008">
        <v>8.1300000000000008</v>
      </c>
      <c r="N2008">
        <v>181.5</v>
      </c>
      <c r="O2008">
        <v>94</v>
      </c>
      <c r="P2008">
        <v>8.17</v>
      </c>
      <c r="Q2008">
        <v>10.5</v>
      </c>
      <c r="R2008">
        <v>3</v>
      </c>
      <c r="S2008">
        <v>2.84</v>
      </c>
      <c r="T2008">
        <v>3</v>
      </c>
      <c r="U2008" t="s">
        <v>22</v>
      </c>
      <c r="V2008" t="e">
        <f>IF(#REF! = "yes", 1, 0)</f>
        <v>#REF!</v>
      </c>
      <c r="W2008" t="e">
        <f>IF(#REF! &lt;= 1, "0-1 Calls", IF(#REF! &lt;= 3, "2-3 Calls", IF(#REF! &lt;=5, "4-5 Calls", "6+ Calls")))</f>
        <v>#REF!</v>
      </c>
      <c r="X2008" t="e">
        <f>IF(#REF! &lt;= 50, "0-50", IF(#REF! &lt;=100, "51-100", IF(#REF! &lt;= 150, "101-150", "151+")))</f>
        <v>#REF!</v>
      </c>
      <c r="Y2008" t="e">
        <f>IF(#REF! &lt;= 3, "Low Charges", "High Charges")</f>
        <v>#REF!</v>
      </c>
      <c r="Z2008" t="e">
        <f>IF(#REF!&lt;=80,"Low Calls",
IF(#REF!&lt;=120,"Medium Calls","High Calls"))</f>
        <v>#REF!</v>
      </c>
      <c r="AA2008" t="e">
        <f>IF(#REF!&lt;=15,"Low Charges",
IF(#REF!&lt;=20,"Medium Charges","High Charges"))</f>
        <v>#REF!</v>
      </c>
      <c r="AB2008" t="e">
        <f>IF(AND(#REF!&gt;180, #REF!&gt;200), "Heavy Doemstic User", IF(#REF!&gt;10, "Interntional User", IF(AND(#REF!&lt;180, #REF!&lt;200,#REF!&lt;200), "Light User", "Balanced User")))</f>
        <v>#REF!</v>
      </c>
      <c r="AC2008" t="e">
        <f>IF(#REF! = 0, "No Usage", IF(#REF! &lt;= 20, "Low Usage", IF(#REF! &lt;= 40, "Medium Usgae", "High Usage")))</f>
        <v>#REF!</v>
      </c>
      <c r="AD2008" t="e">
        <f>IF(#REF!&lt;=150,"Low Usage", IF(#REF!&lt;=200,"Medium Usage", IF(#REF!&lt;=250,"High Usage","Very High Usage")))</f>
        <v>#REF!</v>
      </c>
      <c r="AE2008" t="e">
        <f>IF(#REF!&lt;=5,"Low Calls", IF(#REF!&lt;=10, "Medium Calls", "High Calls"))</f>
        <v>#REF!</v>
      </c>
      <c r="AF2008" t="e">
        <f xml:space="preserve">
IF(#REF!&gt;=4,4,0)+
IF(#REF!="yes",3,0)+
IF(#REF!="High Charges",3,0)+
IF(#REF!&gt;250,4,0)+
IF(#REF!="no",1,0)+
IF(#REF!="Heavy Domestic User",2,0)</f>
        <v>#REF!</v>
      </c>
      <c r="AG2008" t="e">
        <f>IF(#REF!&gt;=10,"High Risk", IF(#REF!&gt;=5,"Medium Risk","Low Risk"))</f>
        <v>#REF!</v>
      </c>
      <c r="AH2008" t="e">
        <f>#REF! + #REF! + #REF! + #REF!</f>
        <v>#REF!</v>
      </c>
    </row>
    <row r="2009" spans="1:34" x14ac:dyDescent="0.35">
      <c r="A2009">
        <v>2008</v>
      </c>
      <c r="B2009" t="s">
        <v>75</v>
      </c>
      <c r="C2009">
        <v>101</v>
      </c>
      <c r="D2009" t="s">
        <v>21</v>
      </c>
      <c r="E2009" t="s">
        <v>22</v>
      </c>
      <c r="F2009" t="s">
        <v>22</v>
      </c>
      <c r="G2009">
        <v>0</v>
      </c>
      <c r="H2009">
        <v>217.7</v>
      </c>
      <c r="I2009">
        <v>118</v>
      </c>
      <c r="J2009">
        <v>37.01</v>
      </c>
      <c r="K2009">
        <v>231.7</v>
      </c>
      <c r="L2009">
        <v>128</v>
      </c>
      <c r="M2009">
        <v>19.690000000000001</v>
      </c>
      <c r="N2009">
        <v>185.3</v>
      </c>
      <c r="O2009">
        <v>128</v>
      </c>
      <c r="P2009">
        <v>8.34</v>
      </c>
      <c r="Q2009">
        <v>0</v>
      </c>
      <c r="R2009">
        <v>0</v>
      </c>
      <c r="S2009">
        <v>0</v>
      </c>
      <c r="T2009">
        <v>3</v>
      </c>
      <c r="U2009" t="s">
        <v>22</v>
      </c>
      <c r="V2009" t="e">
        <f>IF(#REF! = "yes", 1, 0)</f>
        <v>#REF!</v>
      </c>
      <c r="W2009" t="e">
        <f>IF(#REF! &lt;= 1, "0-1 Calls", IF(#REF! &lt;= 3, "2-3 Calls", IF(#REF! &lt;=5, "4-5 Calls", "6+ Calls")))</f>
        <v>#REF!</v>
      </c>
      <c r="X2009" t="e">
        <f>IF(#REF! &lt;= 50, "0-50", IF(#REF! &lt;=100, "51-100", IF(#REF! &lt;= 150, "101-150", "151+")))</f>
        <v>#REF!</v>
      </c>
      <c r="Y2009" t="e">
        <f>IF(#REF! &lt;= 3, "Low Charges", "High Charges")</f>
        <v>#REF!</v>
      </c>
      <c r="Z2009" t="e">
        <f>IF(#REF!&lt;=80,"Low Calls",
IF(#REF!&lt;=120,"Medium Calls","High Calls"))</f>
        <v>#REF!</v>
      </c>
      <c r="AA2009" t="e">
        <f>IF(#REF!&lt;=15,"Low Charges",
IF(#REF!&lt;=20,"Medium Charges","High Charges"))</f>
        <v>#REF!</v>
      </c>
      <c r="AB2009" t="e">
        <f>IF(AND(#REF!&gt;180, #REF!&gt;200), "Heavy Doemstic User", IF(#REF!&gt;10, "Interntional User", IF(AND(#REF!&lt;180, #REF!&lt;200,#REF!&lt;200), "Light User", "Balanced User")))</f>
        <v>#REF!</v>
      </c>
      <c r="AC2009" t="e">
        <f>IF(#REF! = 0, "No Usage", IF(#REF! &lt;= 20, "Low Usage", IF(#REF! &lt;= 40, "Medium Usgae", "High Usage")))</f>
        <v>#REF!</v>
      </c>
      <c r="AD2009" t="e">
        <f>IF(#REF!&lt;=150,"Low Usage", IF(#REF!&lt;=200,"Medium Usage", IF(#REF!&lt;=250,"High Usage","Very High Usage")))</f>
        <v>#REF!</v>
      </c>
      <c r="AE2009" t="e">
        <f>IF(#REF!&lt;=5,"Low Calls", IF(#REF!&lt;=10, "Medium Calls", "High Calls"))</f>
        <v>#REF!</v>
      </c>
      <c r="AF2009" t="e">
        <f xml:space="preserve">
IF(#REF!&gt;=4,4,0)+
IF(#REF!="yes",3,0)+
IF(#REF!="High Charges",3,0)+
IF(#REF!&gt;250,4,0)+
IF(#REF!="no",1,0)+
IF(#REF!="Heavy Domestic User",2,0)</f>
        <v>#REF!</v>
      </c>
      <c r="AG2009" t="e">
        <f>IF(#REF!&gt;=10,"High Risk", IF(#REF!&gt;=5,"Medium Risk","Low Risk"))</f>
        <v>#REF!</v>
      </c>
      <c r="AH2009" t="e">
        <f>#REF! + #REF! + #REF! + #REF!</f>
        <v>#REF!</v>
      </c>
    </row>
    <row r="2010" spans="1:34" x14ac:dyDescent="0.35">
      <c r="A2010">
        <v>2009</v>
      </c>
      <c r="B2010" t="s">
        <v>64</v>
      </c>
      <c r="C2010">
        <v>116</v>
      </c>
      <c r="D2010" t="s">
        <v>21</v>
      </c>
      <c r="E2010" t="s">
        <v>22</v>
      </c>
      <c r="F2010" t="s">
        <v>22</v>
      </c>
      <c r="G2010">
        <v>0</v>
      </c>
      <c r="H2010">
        <v>129.4</v>
      </c>
      <c r="I2010">
        <v>84</v>
      </c>
      <c r="J2010">
        <v>22</v>
      </c>
      <c r="K2010">
        <v>157.30000000000001</v>
      </c>
      <c r="L2010">
        <v>89</v>
      </c>
      <c r="M2010">
        <v>13.37</v>
      </c>
      <c r="N2010">
        <v>215.5</v>
      </c>
      <c r="O2010">
        <v>77</v>
      </c>
      <c r="P2010">
        <v>9.6999999999999993</v>
      </c>
      <c r="Q2010">
        <v>13.3</v>
      </c>
      <c r="R2010">
        <v>3</v>
      </c>
      <c r="S2010">
        <v>3.59</v>
      </c>
      <c r="T2010">
        <v>0</v>
      </c>
      <c r="U2010" t="s">
        <v>22</v>
      </c>
      <c r="V2010" t="e">
        <f>IF(#REF! = "yes", 1, 0)</f>
        <v>#REF!</v>
      </c>
      <c r="W2010" t="e">
        <f>IF(#REF! &lt;= 1, "0-1 Calls", IF(#REF! &lt;= 3, "2-3 Calls", IF(#REF! &lt;=5, "4-5 Calls", "6+ Calls")))</f>
        <v>#REF!</v>
      </c>
      <c r="X2010" t="e">
        <f>IF(#REF! &lt;= 50, "0-50", IF(#REF! &lt;=100, "51-100", IF(#REF! &lt;= 150, "101-150", "151+")))</f>
        <v>#REF!</v>
      </c>
      <c r="Y2010" t="e">
        <f>IF(#REF! &lt;= 3, "Low Charges", "High Charges")</f>
        <v>#REF!</v>
      </c>
      <c r="Z2010" t="e">
        <f>IF(#REF!&lt;=80,"Low Calls",
IF(#REF!&lt;=120,"Medium Calls","High Calls"))</f>
        <v>#REF!</v>
      </c>
      <c r="AA2010" t="e">
        <f>IF(#REF!&lt;=15,"Low Charges",
IF(#REF!&lt;=20,"Medium Charges","High Charges"))</f>
        <v>#REF!</v>
      </c>
      <c r="AB2010" t="e">
        <f>IF(AND(#REF!&gt;180, #REF!&gt;200), "Heavy Doemstic User", IF(#REF!&gt;10, "Interntional User", IF(AND(#REF!&lt;180, #REF!&lt;200,#REF!&lt;200), "Light User", "Balanced User")))</f>
        <v>#REF!</v>
      </c>
      <c r="AC2010" t="e">
        <f>IF(#REF! = 0, "No Usage", IF(#REF! &lt;= 20, "Low Usage", IF(#REF! &lt;= 40, "Medium Usgae", "High Usage")))</f>
        <v>#REF!</v>
      </c>
      <c r="AD2010" t="e">
        <f>IF(#REF!&lt;=150,"Low Usage", IF(#REF!&lt;=200,"Medium Usage", IF(#REF!&lt;=250,"High Usage","Very High Usage")))</f>
        <v>#REF!</v>
      </c>
      <c r="AE2010" t="e">
        <f>IF(#REF!&lt;=5,"Low Calls", IF(#REF!&lt;=10, "Medium Calls", "High Calls"))</f>
        <v>#REF!</v>
      </c>
      <c r="AF2010" t="e">
        <f xml:space="preserve">
IF(#REF!&gt;=4,4,0)+
IF(#REF!="yes",3,0)+
IF(#REF!="High Charges",3,0)+
IF(#REF!&gt;250,4,0)+
IF(#REF!="no",1,0)+
IF(#REF!="Heavy Domestic User",2,0)</f>
        <v>#REF!</v>
      </c>
      <c r="AG2010" t="e">
        <f>IF(#REF!&gt;=10,"High Risk", IF(#REF!&gt;=5,"Medium Risk","Low Risk"))</f>
        <v>#REF!</v>
      </c>
      <c r="AH2010" t="e">
        <f>#REF! + #REF! + #REF! + #REF!</f>
        <v>#REF!</v>
      </c>
    </row>
    <row r="2011" spans="1:34" x14ac:dyDescent="0.35">
      <c r="A2011">
        <v>2010</v>
      </c>
      <c r="B2011" t="s">
        <v>74</v>
      </c>
      <c r="C2011">
        <v>54</v>
      </c>
      <c r="D2011" t="s">
        <v>21</v>
      </c>
      <c r="E2011" t="s">
        <v>22</v>
      </c>
      <c r="F2011" t="s">
        <v>23</v>
      </c>
      <c r="G2011">
        <v>33</v>
      </c>
      <c r="H2011">
        <v>161.80000000000001</v>
      </c>
      <c r="I2011">
        <v>73</v>
      </c>
      <c r="J2011">
        <v>27.51</v>
      </c>
      <c r="K2011">
        <v>273</v>
      </c>
      <c r="L2011">
        <v>58</v>
      </c>
      <c r="M2011">
        <v>23.21</v>
      </c>
      <c r="N2011">
        <v>153.9</v>
      </c>
      <c r="O2011">
        <v>76</v>
      </c>
      <c r="P2011">
        <v>6.93</v>
      </c>
      <c r="Q2011">
        <v>13.7</v>
      </c>
      <c r="R2011">
        <v>4</v>
      </c>
      <c r="S2011">
        <v>3.7</v>
      </c>
      <c r="T2011">
        <v>0</v>
      </c>
      <c r="U2011" t="s">
        <v>22</v>
      </c>
      <c r="V2011" t="e">
        <f>IF(#REF! = "yes", 1, 0)</f>
        <v>#REF!</v>
      </c>
      <c r="W2011" t="e">
        <f>IF(#REF! &lt;= 1, "0-1 Calls", IF(#REF! &lt;= 3, "2-3 Calls", IF(#REF! &lt;=5, "4-5 Calls", "6+ Calls")))</f>
        <v>#REF!</v>
      </c>
      <c r="X2011" t="e">
        <f>IF(#REF! &lt;= 50, "0-50", IF(#REF! &lt;=100, "51-100", IF(#REF! &lt;= 150, "101-150", "151+")))</f>
        <v>#REF!</v>
      </c>
      <c r="Y2011" t="e">
        <f>IF(#REF! &lt;= 3, "Low Charges", "High Charges")</f>
        <v>#REF!</v>
      </c>
      <c r="Z2011" t="e">
        <f>IF(#REF!&lt;=80,"Low Calls",
IF(#REF!&lt;=120,"Medium Calls","High Calls"))</f>
        <v>#REF!</v>
      </c>
      <c r="AA2011" t="e">
        <f>IF(#REF!&lt;=15,"Low Charges",
IF(#REF!&lt;=20,"Medium Charges","High Charges"))</f>
        <v>#REF!</v>
      </c>
      <c r="AB2011" t="e">
        <f>IF(AND(#REF!&gt;180, #REF!&gt;200), "Heavy Doemstic User", IF(#REF!&gt;10, "Interntional User", IF(AND(#REF!&lt;180, #REF!&lt;200,#REF!&lt;200), "Light User", "Balanced User")))</f>
        <v>#REF!</v>
      </c>
      <c r="AC2011" t="e">
        <f>IF(#REF! = 0, "No Usage", IF(#REF! &lt;= 20, "Low Usage", IF(#REF! &lt;= 40, "Medium Usgae", "High Usage")))</f>
        <v>#REF!</v>
      </c>
      <c r="AD2011" t="e">
        <f>IF(#REF!&lt;=150,"Low Usage", IF(#REF!&lt;=200,"Medium Usage", IF(#REF!&lt;=250,"High Usage","Very High Usage")))</f>
        <v>#REF!</v>
      </c>
      <c r="AE2011" t="e">
        <f>IF(#REF!&lt;=5,"Low Calls", IF(#REF!&lt;=10, "Medium Calls", "High Calls"))</f>
        <v>#REF!</v>
      </c>
      <c r="AF2011" t="e">
        <f xml:space="preserve">
IF(#REF!&gt;=4,4,0)+
IF(#REF!="yes",3,0)+
IF(#REF!="High Charges",3,0)+
IF(#REF!&gt;250,4,0)+
IF(#REF!="no",1,0)+
IF(#REF!="Heavy Domestic User",2,0)</f>
        <v>#REF!</v>
      </c>
      <c r="AG2011" t="e">
        <f>IF(#REF!&gt;=10,"High Risk", IF(#REF!&gt;=5,"Medium Risk","Low Risk"))</f>
        <v>#REF!</v>
      </c>
      <c r="AH2011" t="e">
        <f>#REF! + #REF! + #REF! + #REF!</f>
        <v>#REF!</v>
      </c>
    </row>
    <row r="2012" spans="1:34" x14ac:dyDescent="0.35">
      <c r="A2012">
        <v>2011</v>
      </c>
      <c r="B2012" t="s">
        <v>38</v>
      </c>
      <c r="C2012">
        <v>112</v>
      </c>
      <c r="D2012" t="s">
        <v>25</v>
      </c>
      <c r="E2012" t="s">
        <v>22</v>
      </c>
      <c r="F2012" t="s">
        <v>23</v>
      </c>
      <c r="G2012">
        <v>29</v>
      </c>
      <c r="H2012">
        <v>198.8</v>
      </c>
      <c r="I2012">
        <v>122</v>
      </c>
      <c r="J2012">
        <v>33.799999999999997</v>
      </c>
      <c r="K2012">
        <v>238.6</v>
      </c>
      <c r="L2012">
        <v>114</v>
      </c>
      <c r="M2012">
        <v>20.28</v>
      </c>
      <c r="N2012">
        <v>289.5</v>
      </c>
      <c r="O2012">
        <v>69</v>
      </c>
      <c r="P2012">
        <v>13.03</v>
      </c>
      <c r="Q2012">
        <v>11.5</v>
      </c>
      <c r="R2012">
        <v>5</v>
      </c>
      <c r="S2012">
        <v>3.11</v>
      </c>
      <c r="T2012">
        <v>1</v>
      </c>
      <c r="U2012" t="s">
        <v>22</v>
      </c>
      <c r="V2012" t="e">
        <f>IF(#REF! = "yes", 1, 0)</f>
        <v>#REF!</v>
      </c>
      <c r="W2012" t="e">
        <f>IF(#REF! &lt;= 1, "0-1 Calls", IF(#REF! &lt;= 3, "2-3 Calls", IF(#REF! &lt;=5, "4-5 Calls", "6+ Calls")))</f>
        <v>#REF!</v>
      </c>
      <c r="X2012" t="e">
        <f>IF(#REF! &lt;= 50, "0-50", IF(#REF! &lt;=100, "51-100", IF(#REF! &lt;= 150, "101-150", "151+")))</f>
        <v>#REF!</v>
      </c>
      <c r="Y2012" t="e">
        <f>IF(#REF! &lt;= 3, "Low Charges", "High Charges")</f>
        <v>#REF!</v>
      </c>
      <c r="Z2012" t="e">
        <f>IF(#REF!&lt;=80,"Low Calls",
IF(#REF!&lt;=120,"Medium Calls","High Calls"))</f>
        <v>#REF!</v>
      </c>
      <c r="AA2012" t="e">
        <f>IF(#REF!&lt;=15,"Low Charges",
IF(#REF!&lt;=20,"Medium Charges","High Charges"))</f>
        <v>#REF!</v>
      </c>
      <c r="AB2012" t="e">
        <f>IF(AND(#REF!&gt;180, #REF!&gt;200), "Heavy Doemstic User", IF(#REF!&gt;10, "Interntional User", IF(AND(#REF!&lt;180, #REF!&lt;200,#REF!&lt;200), "Light User", "Balanced User")))</f>
        <v>#REF!</v>
      </c>
      <c r="AC2012" t="e">
        <f>IF(#REF! = 0, "No Usage", IF(#REF! &lt;= 20, "Low Usage", IF(#REF! &lt;= 40, "Medium Usgae", "High Usage")))</f>
        <v>#REF!</v>
      </c>
      <c r="AD2012" t="e">
        <f>IF(#REF!&lt;=150,"Low Usage", IF(#REF!&lt;=200,"Medium Usage", IF(#REF!&lt;=250,"High Usage","Very High Usage")))</f>
        <v>#REF!</v>
      </c>
      <c r="AE2012" t="e">
        <f>IF(#REF!&lt;=5,"Low Calls", IF(#REF!&lt;=10, "Medium Calls", "High Calls"))</f>
        <v>#REF!</v>
      </c>
      <c r="AF2012" t="e">
        <f xml:space="preserve">
IF(#REF!&gt;=4,4,0)+
IF(#REF!="yes",3,0)+
IF(#REF!="High Charges",3,0)+
IF(#REF!&gt;250,4,0)+
IF(#REF!="no",1,0)+
IF(#REF!="Heavy Domestic User",2,0)</f>
        <v>#REF!</v>
      </c>
      <c r="AG2012" t="e">
        <f>IF(#REF!&gt;=10,"High Risk", IF(#REF!&gt;=5,"Medium Risk","Low Risk"))</f>
        <v>#REF!</v>
      </c>
      <c r="AH2012" t="e">
        <f>#REF! + #REF! + #REF! + #REF!</f>
        <v>#REF!</v>
      </c>
    </row>
    <row r="2013" spans="1:34" x14ac:dyDescent="0.35">
      <c r="A2013">
        <v>2012</v>
      </c>
      <c r="B2013" t="s">
        <v>67</v>
      </c>
      <c r="C2013">
        <v>122</v>
      </c>
      <c r="D2013" t="s">
        <v>25</v>
      </c>
      <c r="E2013" t="s">
        <v>22</v>
      </c>
      <c r="F2013" t="s">
        <v>23</v>
      </c>
      <c r="G2013">
        <v>45</v>
      </c>
      <c r="H2013">
        <v>147.80000000000001</v>
      </c>
      <c r="I2013">
        <v>85</v>
      </c>
      <c r="J2013">
        <v>25.13</v>
      </c>
      <c r="K2013">
        <v>147.4</v>
      </c>
      <c r="L2013">
        <v>93</v>
      </c>
      <c r="M2013">
        <v>12.53</v>
      </c>
      <c r="N2013">
        <v>203.5</v>
      </c>
      <c r="O2013">
        <v>110</v>
      </c>
      <c r="P2013">
        <v>9.16</v>
      </c>
      <c r="Q2013">
        <v>14</v>
      </c>
      <c r="R2013">
        <v>5</v>
      </c>
      <c r="S2013">
        <v>3.78</v>
      </c>
      <c r="T2013">
        <v>1</v>
      </c>
      <c r="U2013" t="s">
        <v>22</v>
      </c>
      <c r="V2013" t="e">
        <f>IF(#REF! = "yes", 1, 0)</f>
        <v>#REF!</v>
      </c>
      <c r="W2013" t="e">
        <f>IF(#REF! &lt;= 1, "0-1 Calls", IF(#REF! &lt;= 3, "2-3 Calls", IF(#REF! &lt;=5, "4-5 Calls", "6+ Calls")))</f>
        <v>#REF!</v>
      </c>
      <c r="X2013" t="e">
        <f>IF(#REF! &lt;= 50, "0-50", IF(#REF! &lt;=100, "51-100", IF(#REF! &lt;= 150, "101-150", "151+")))</f>
        <v>#REF!</v>
      </c>
      <c r="Y2013" t="e">
        <f>IF(#REF! &lt;= 3, "Low Charges", "High Charges")</f>
        <v>#REF!</v>
      </c>
      <c r="Z2013" t="e">
        <f>IF(#REF!&lt;=80,"Low Calls",
IF(#REF!&lt;=120,"Medium Calls","High Calls"))</f>
        <v>#REF!</v>
      </c>
      <c r="AA2013" t="e">
        <f>IF(#REF!&lt;=15,"Low Charges",
IF(#REF!&lt;=20,"Medium Charges","High Charges"))</f>
        <v>#REF!</v>
      </c>
      <c r="AB2013" t="e">
        <f>IF(AND(#REF!&gt;180, #REF!&gt;200), "Heavy Doemstic User", IF(#REF!&gt;10, "Interntional User", IF(AND(#REF!&lt;180, #REF!&lt;200,#REF!&lt;200), "Light User", "Balanced User")))</f>
        <v>#REF!</v>
      </c>
      <c r="AC2013" t="e">
        <f>IF(#REF! = 0, "No Usage", IF(#REF! &lt;= 20, "Low Usage", IF(#REF! &lt;= 40, "Medium Usgae", "High Usage")))</f>
        <v>#REF!</v>
      </c>
      <c r="AD2013" t="e">
        <f>IF(#REF!&lt;=150,"Low Usage", IF(#REF!&lt;=200,"Medium Usage", IF(#REF!&lt;=250,"High Usage","Very High Usage")))</f>
        <v>#REF!</v>
      </c>
      <c r="AE2013" t="e">
        <f>IF(#REF!&lt;=5,"Low Calls", IF(#REF!&lt;=10, "Medium Calls", "High Calls"))</f>
        <v>#REF!</v>
      </c>
      <c r="AF2013" t="e">
        <f xml:space="preserve">
IF(#REF!&gt;=4,4,0)+
IF(#REF!="yes",3,0)+
IF(#REF!="High Charges",3,0)+
IF(#REF!&gt;250,4,0)+
IF(#REF!="no",1,0)+
IF(#REF!="Heavy Domestic User",2,0)</f>
        <v>#REF!</v>
      </c>
      <c r="AG2013" t="e">
        <f>IF(#REF!&gt;=10,"High Risk", IF(#REF!&gt;=5,"Medium Risk","Low Risk"))</f>
        <v>#REF!</v>
      </c>
      <c r="AH2013" t="e">
        <f>#REF! + #REF! + #REF! + #REF!</f>
        <v>#REF!</v>
      </c>
    </row>
    <row r="2014" spans="1:34" x14ac:dyDescent="0.35">
      <c r="A2014">
        <v>2013</v>
      </c>
      <c r="B2014" t="s">
        <v>47</v>
      </c>
      <c r="C2014">
        <v>74</v>
      </c>
      <c r="D2014" t="s">
        <v>21</v>
      </c>
      <c r="E2014" t="s">
        <v>22</v>
      </c>
      <c r="F2014" t="s">
        <v>22</v>
      </c>
      <c r="G2014">
        <v>0</v>
      </c>
      <c r="H2014">
        <v>262.3</v>
      </c>
      <c r="I2014">
        <v>114</v>
      </c>
      <c r="J2014">
        <v>44.59</v>
      </c>
      <c r="K2014">
        <v>198.9</v>
      </c>
      <c r="L2014">
        <v>96</v>
      </c>
      <c r="M2014">
        <v>16.91</v>
      </c>
      <c r="N2014">
        <v>165.9</v>
      </c>
      <c r="O2014">
        <v>90</v>
      </c>
      <c r="P2014">
        <v>7.47</v>
      </c>
      <c r="Q2014">
        <v>6.6</v>
      </c>
      <c r="R2014">
        <v>5</v>
      </c>
      <c r="S2014">
        <v>1.78</v>
      </c>
      <c r="T2014">
        <v>3</v>
      </c>
      <c r="U2014" t="s">
        <v>22</v>
      </c>
      <c r="V2014" t="e">
        <f>IF(#REF! = "yes", 1, 0)</f>
        <v>#REF!</v>
      </c>
      <c r="W2014" t="e">
        <f>IF(#REF! &lt;= 1, "0-1 Calls", IF(#REF! &lt;= 3, "2-3 Calls", IF(#REF! &lt;=5, "4-5 Calls", "6+ Calls")))</f>
        <v>#REF!</v>
      </c>
      <c r="X2014" t="e">
        <f>IF(#REF! &lt;= 50, "0-50", IF(#REF! &lt;=100, "51-100", IF(#REF! &lt;= 150, "101-150", "151+")))</f>
        <v>#REF!</v>
      </c>
      <c r="Y2014" t="e">
        <f>IF(#REF! &lt;= 3, "Low Charges", "High Charges")</f>
        <v>#REF!</v>
      </c>
      <c r="Z2014" t="e">
        <f>IF(#REF!&lt;=80,"Low Calls",
IF(#REF!&lt;=120,"Medium Calls","High Calls"))</f>
        <v>#REF!</v>
      </c>
      <c r="AA2014" t="e">
        <f>IF(#REF!&lt;=15,"Low Charges",
IF(#REF!&lt;=20,"Medium Charges","High Charges"))</f>
        <v>#REF!</v>
      </c>
      <c r="AB2014" t="e">
        <f>IF(AND(#REF!&gt;180, #REF!&gt;200), "Heavy Doemstic User", IF(#REF!&gt;10, "Interntional User", IF(AND(#REF!&lt;180, #REF!&lt;200,#REF!&lt;200), "Light User", "Balanced User")))</f>
        <v>#REF!</v>
      </c>
      <c r="AC2014" t="e">
        <f>IF(#REF! = 0, "No Usage", IF(#REF! &lt;= 20, "Low Usage", IF(#REF! &lt;= 40, "Medium Usgae", "High Usage")))</f>
        <v>#REF!</v>
      </c>
      <c r="AD2014" t="e">
        <f>IF(#REF!&lt;=150,"Low Usage", IF(#REF!&lt;=200,"Medium Usage", IF(#REF!&lt;=250,"High Usage","Very High Usage")))</f>
        <v>#REF!</v>
      </c>
      <c r="AE2014" t="e">
        <f>IF(#REF!&lt;=5,"Low Calls", IF(#REF!&lt;=10, "Medium Calls", "High Calls"))</f>
        <v>#REF!</v>
      </c>
      <c r="AF2014" t="e">
        <f xml:space="preserve">
IF(#REF!&gt;=4,4,0)+
IF(#REF!="yes",3,0)+
IF(#REF!="High Charges",3,0)+
IF(#REF!&gt;250,4,0)+
IF(#REF!="no",1,0)+
IF(#REF!="Heavy Domestic User",2,0)</f>
        <v>#REF!</v>
      </c>
      <c r="AG2014" t="e">
        <f>IF(#REF!&gt;=10,"High Risk", IF(#REF!&gt;=5,"Medium Risk","Low Risk"))</f>
        <v>#REF!</v>
      </c>
      <c r="AH2014" t="e">
        <f>#REF! + #REF! + #REF! + #REF!</f>
        <v>#REF!</v>
      </c>
    </row>
    <row r="2015" spans="1:34" x14ac:dyDescent="0.35">
      <c r="A2015">
        <v>2014</v>
      </c>
      <c r="B2015" t="s">
        <v>44</v>
      </c>
      <c r="C2015">
        <v>90</v>
      </c>
      <c r="D2015" t="s">
        <v>21</v>
      </c>
      <c r="E2015" t="s">
        <v>22</v>
      </c>
      <c r="F2015" t="s">
        <v>22</v>
      </c>
      <c r="G2015">
        <v>0</v>
      </c>
      <c r="H2015">
        <v>246.4</v>
      </c>
      <c r="I2015">
        <v>83</v>
      </c>
      <c r="J2015">
        <v>41.89</v>
      </c>
      <c r="K2015">
        <v>160.30000000000001</v>
      </c>
      <c r="L2015">
        <v>88</v>
      </c>
      <c r="M2015">
        <v>13.63</v>
      </c>
      <c r="N2015">
        <v>170.9</v>
      </c>
      <c r="O2015">
        <v>99</v>
      </c>
      <c r="P2015">
        <v>7.69</v>
      </c>
      <c r="Q2015">
        <v>7.6</v>
      </c>
      <c r="R2015">
        <v>7</v>
      </c>
      <c r="S2015">
        <v>2.0499999999999998</v>
      </c>
      <c r="T2015">
        <v>1</v>
      </c>
      <c r="U2015" t="s">
        <v>22</v>
      </c>
      <c r="V2015" t="e">
        <f>IF(#REF! = "yes", 1, 0)</f>
        <v>#REF!</v>
      </c>
      <c r="W2015" t="e">
        <f>IF(#REF! &lt;= 1, "0-1 Calls", IF(#REF! &lt;= 3, "2-3 Calls", IF(#REF! &lt;=5, "4-5 Calls", "6+ Calls")))</f>
        <v>#REF!</v>
      </c>
      <c r="X2015" t="e">
        <f>IF(#REF! &lt;= 50, "0-50", IF(#REF! &lt;=100, "51-100", IF(#REF! &lt;= 150, "101-150", "151+")))</f>
        <v>#REF!</v>
      </c>
      <c r="Y2015" t="e">
        <f>IF(#REF! &lt;= 3, "Low Charges", "High Charges")</f>
        <v>#REF!</v>
      </c>
      <c r="Z2015" t="e">
        <f>IF(#REF!&lt;=80,"Low Calls",
IF(#REF!&lt;=120,"Medium Calls","High Calls"))</f>
        <v>#REF!</v>
      </c>
      <c r="AA2015" t="e">
        <f>IF(#REF!&lt;=15,"Low Charges",
IF(#REF!&lt;=20,"Medium Charges","High Charges"))</f>
        <v>#REF!</v>
      </c>
      <c r="AB2015" t="e">
        <f>IF(AND(#REF!&gt;180, #REF!&gt;200), "Heavy Doemstic User", IF(#REF!&gt;10, "Interntional User", IF(AND(#REF!&lt;180, #REF!&lt;200,#REF!&lt;200), "Light User", "Balanced User")))</f>
        <v>#REF!</v>
      </c>
      <c r="AC2015" t="e">
        <f>IF(#REF! = 0, "No Usage", IF(#REF! &lt;= 20, "Low Usage", IF(#REF! &lt;= 40, "Medium Usgae", "High Usage")))</f>
        <v>#REF!</v>
      </c>
      <c r="AD2015" t="e">
        <f>IF(#REF!&lt;=150,"Low Usage", IF(#REF!&lt;=200,"Medium Usage", IF(#REF!&lt;=250,"High Usage","Very High Usage")))</f>
        <v>#REF!</v>
      </c>
      <c r="AE2015" t="e">
        <f>IF(#REF!&lt;=5,"Low Calls", IF(#REF!&lt;=10, "Medium Calls", "High Calls"))</f>
        <v>#REF!</v>
      </c>
      <c r="AF2015" t="e">
        <f xml:space="preserve">
IF(#REF!&gt;=4,4,0)+
IF(#REF!="yes",3,0)+
IF(#REF!="High Charges",3,0)+
IF(#REF!&gt;250,4,0)+
IF(#REF!="no",1,0)+
IF(#REF!="Heavy Domestic User",2,0)</f>
        <v>#REF!</v>
      </c>
      <c r="AG2015" t="e">
        <f>IF(#REF!&gt;=10,"High Risk", IF(#REF!&gt;=5,"Medium Risk","Low Risk"))</f>
        <v>#REF!</v>
      </c>
      <c r="AH2015" t="e">
        <f>#REF! + #REF! + #REF! + #REF!</f>
        <v>#REF!</v>
      </c>
    </row>
    <row r="2016" spans="1:34" x14ac:dyDescent="0.35">
      <c r="A2016">
        <v>2015</v>
      </c>
      <c r="B2016" t="s">
        <v>58</v>
      </c>
      <c r="C2016">
        <v>85</v>
      </c>
      <c r="D2016" t="s">
        <v>28</v>
      </c>
      <c r="E2016" t="s">
        <v>22</v>
      </c>
      <c r="F2016" t="s">
        <v>22</v>
      </c>
      <c r="G2016">
        <v>0</v>
      </c>
      <c r="H2016">
        <v>183.4</v>
      </c>
      <c r="I2016">
        <v>111</v>
      </c>
      <c r="J2016">
        <v>31.18</v>
      </c>
      <c r="K2016">
        <v>168.8</v>
      </c>
      <c r="L2016">
        <v>98</v>
      </c>
      <c r="M2016">
        <v>14.35</v>
      </c>
      <c r="N2016">
        <v>199.7</v>
      </c>
      <c r="O2016">
        <v>97</v>
      </c>
      <c r="P2016">
        <v>8.99</v>
      </c>
      <c r="Q2016">
        <v>9.9</v>
      </c>
      <c r="R2016">
        <v>4</v>
      </c>
      <c r="S2016">
        <v>2.67</v>
      </c>
      <c r="T2016">
        <v>4</v>
      </c>
      <c r="U2016" t="s">
        <v>22</v>
      </c>
      <c r="V2016" t="e">
        <f>IF(#REF! = "yes", 1, 0)</f>
        <v>#REF!</v>
      </c>
      <c r="W2016" t="e">
        <f>IF(#REF! &lt;= 1, "0-1 Calls", IF(#REF! &lt;= 3, "2-3 Calls", IF(#REF! &lt;=5, "4-5 Calls", "6+ Calls")))</f>
        <v>#REF!</v>
      </c>
      <c r="X2016" t="e">
        <f>IF(#REF! &lt;= 50, "0-50", IF(#REF! &lt;=100, "51-100", IF(#REF! &lt;= 150, "101-150", "151+")))</f>
        <v>#REF!</v>
      </c>
      <c r="Y2016" t="e">
        <f>IF(#REF! &lt;= 3, "Low Charges", "High Charges")</f>
        <v>#REF!</v>
      </c>
      <c r="Z2016" t="e">
        <f>IF(#REF!&lt;=80,"Low Calls",
IF(#REF!&lt;=120,"Medium Calls","High Calls"))</f>
        <v>#REF!</v>
      </c>
      <c r="AA2016" t="e">
        <f>IF(#REF!&lt;=15,"Low Charges",
IF(#REF!&lt;=20,"Medium Charges","High Charges"))</f>
        <v>#REF!</v>
      </c>
      <c r="AB2016" t="e">
        <f>IF(AND(#REF!&gt;180, #REF!&gt;200), "Heavy Doemstic User", IF(#REF!&gt;10, "Interntional User", IF(AND(#REF!&lt;180, #REF!&lt;200,#REF!&lt;200), "Light User", "Balanced User")))</f>
        <v>#REF!</v>
      </c>
      <c r="AC2016" t="e">
        <f>IF(#REF! = 0, "No Usage", IF(#REF! &lt;= 20, "Low Usage", IF(#REF! &lt;= 40, "Medium Usgae", "High Usage")))</f>
        <v>#REF!</v>
      </c>
      <c r="AD2016" t="e">
        <f>IF(#REF!&lt;=150,"Low Usage", IF(#REF!&lt;=200,"Medium Usage", IF(#REF!&lt;=250,"High Usage","Very High Usage")))</f>
        <v>#REF!</v>
      </c>
      <c r="AE2016" t="e">
        <f>IF(#REF!&lt;=5,"Low Calls", IF(#REF!&lt;=10, "Medium Calls", "High Calls"))</f>
        <v>#REF!</v>
      </c>
      <c r="AF2016" t="e">
        <f xml:space="preserve">
IF(#REF!&gt;=4,4,0)+
IF(#REF!="yes",3,0)+
IF(#REF!="High Charges",3,0)+
IF(#REF!&gt;250,4,0)+
IF(#REF!="no",1,0)+
IF(#REF!="Heavy Domestic User",2,0)</f>
        <v>#REF!</v>
      </c>
      <c r="AG2016" t="e">
        <f>IF(#REF!&gt;=10,"High Risk", IF(#REF!&gt;=5,"Medium Risk","Low Risk"))</f>
        <v>#REF!</v>
      </c>
      <c r="AH2016" t="e">
        <f>#REF! + #REF! + #REF! + #REF!</f>
        <v>#REF!</v>
      </c>
    </row>
    <row r="2017" spans="1:34" x14ac:dyDescent="0.35">
      <c r="A2017">
        <v>2016</v>
      </c>
      <c r="B2017" t="s">
        <v>72</v>
      </c>
      <c r="C2017">
        <v>100</v>
      </c>
      <c r="D2017" t="s">
        <v>21</v>
      </c>
      <c r="E2017" t="s">
        <v>22</v>
      </c>
      <c r="F2017" t="s">
        <v>22</v>
      </c>
      <c r="G2017">
        <v>0</v>
      </c>
      <c r="H2017">
        <v>191.9</v>
      </c>
      <c r="I2017">
        <v>95</v>
      </c>
      <c r="J2017">
        <v>32.619999999999997</v>
      </c>
      <c r="K2017">
        <v>200.9</v>
      </c>
      <c r="L2017">
        <v>101</v>
      </c>
      <c r="M2017">
        <v>17.079999999999998</v>
      </c>
      <c r="N2017">
        <v>271.89999999999998</v>
      </c>
      <c r="O2017">
        <v>74</v>
      </c>
      <c r="P2017">
        <v>12.24</v>
      </c>
      <c r="Q2017">
        <v>18.2</v>
      </c>
      <c r="R2017">
        <v>3</v>
      </c>
      <c r="S2017">
        <v>4.91</v>
      </c>
      <c r="T2017">
        <v>1</v>
      </c>
      <c r="U2017" t="s">
        <v>22</v>
      </c>
      <c r="V2017" t="e">
        <f>IF(#REF! = "yes", 1, 0)</f>
        <v>#REF!</v>
      </c>
      <c r="W2017" t="e">
        <f>IF(#REF! &lt;= 1, "0-1 Calls", IF(#REF! &lt;= 3, "2-3 Calls", IF(#REF! &lt;=5, "4-5 Calls", "6+ Calls")))</f>
        <v>#REF!</v>
      </c>
      <c r="X2017" t="e">
        <f>IF(#REF! &lt;= 50, "0-50", IF(#REF! &lt;=100, "51-100", IF(#REF! &lt;= 150, "101-150", "151+")))</f>
        <v>#REF!</v>
      </c>
      <c r="Y2017" t="e">
        <f>IF(#REF! &lt;= 3, "Low Charges", "High Charges")</f>
        <v>#REF!</v>
      </c>
      <c r="Z2017" t="e">
        <f>IF(#REF!&lt;=80,"Low Calls",
IF(#REF!&lt;=120,"Medium Calls","High Calls"))</f>
        <v>#REF!</v>
      </c>
      <c r="AA2017" t="e">
        <f>IF(#REF!&lt;=15,"Low Charges",
IF(#REF!&lt;=20,"Medium Charges","High Charges"))</f>
        <v>#REF!</v>
      </c>
      <c r="AB2017" t="e">
        <f>IF(AND(#REF!&gt;180, #REF!&gt;200), "Heavy Doemstic User", IF(#REF!&gt;10, "Interntional User", IF(AND(#REF!&lt;180, #REF!&lt;200,#REF!&lt;200), "Light User", "Balanced User")))</f>
        <v>#REF!</v>
      </c>
      <c r="AC2017" t="e">
        <f>IF(#REF! = 0, "No Usage", IF(#REF! &lt;= 20, "Low Usage", IF(#REF! &lt;= 40, "Medium Usgae", "High Usage")))</f>
        <v>#REF!</v>
      </c>
      <c r="AD2017" t="e">
        <f>IF(#REF!&lt;=150,"Low Usage", IF(#REF!&lt;=200,"Medium Usage", IF(#REF!&lt;=250,"High Usage","Very High Usage")))</f>
        <v>#REF!</v>
      </c>
      <c r="AE2017" t="e">
        <f>IF(#REF!&lt;=5,"Low Calls", IF(#REF!&lt;=10, "Medium Calls", "High Calls"))</f>
        <v>#REF!</v>
      </c>
      <c r="AF2017" t="e">
        <f xml:space="preserve">
IF(#REF!&gt;=4,4,0)+
IF(#REF!="yes",3,0)+
IF(#REF!="High Charges",3,0)+
IF(#REF!&gt;250,4,0)+
IF(#REF!="no",1,0)+
IF(#REF!="Heavy Domestic User",2,0)</f>
        <v>#REF!</v>
      </c>
      <c r="AG2017" t="e">
        <f>IF(#REF!&gt;=10,"High Risk", IF(#REF!&gt;=5,"Medium Risk","Low Risk"))</f>
        <v>#REF!</v>
      </c>
      <c r="AH2017" t="e">
        <f>#REF! + #REF! + #REF! + #REF!</f>
        <v>#REF!</v>
      </c>
    </row>
    <row r="2018" spans="1:34" x14ac:dyDescent="0.35">
      <c r="A2018">
        <v>2017</v>
      </c>
      <c r="B2018" t="s">
        <v>20</v>
      </c>
      <c r="C2018">
        <v>114</v>
      </c>
      <c r="D2018" t="s">
        <v>21</v>
      </c>
      <c r="E2018" t="s">
        <v>22</v>
      </c>
      <c r="F2018" t="s">
        <v>22</v>
      </c>
      <c r="G2018">
        <v>0</v>
      </c>
      <c r="H2018">
        <v>187.8</v>
      </c>
      <c r="I2018">
        <v>109</v>
      </c>
      <c r="J2018">
        <v>31.93</v>
      </c>
      <c r="K2018">
        <v>154.6</v>
      </c>
      <c r="L2018">
        <v>97</v>
      </c>
      <c r="M2018">
        <v>13.14</v>
      </c>
      <c r="N2018">
        <v>213.9</v>
      </c>
      <c r="O2018">
        <v>102</v>
      </c>
      <c r="P2018">
        <v>9.6300000000000008</v>
      </c>
      <c r="Q2018">
        <v>10.1</v>
      </c>
      <c r="R2018">
        <v>3</v>
      </c>
      <c r="S2018">
        <v>2.73</v>
      </c>
      <c r="T2018">
        <v>2</v>
      </c>
      <c r="U2018" t="s">
        <v>22</v>
      </c>
      <c r="V2018" t="e">
        <f>IF(#REF! = "yes", 1, 0)</f>
        <v>#REF!</v>
      </c>
      <c r="W2018" t="e">
        <f>IF(#REF! &lt;= 1, "0-1 Calls", IF(#REF! &lt;= 3, "2-3 Calls", IF(#REF! &lt;=5, "4-5 Calls", "6+ Calls")))</f>
        <v>#REF!</v>
      </c>
      <c r="X2018" t="e">
        <f>IF(#REF! &lt;= 50, "0-50", IF(#REF! &lt;=100, "51-100", IF(#REF! &lt;= 150, "101-150", "151+")))</f>
        <v>#REF!</v>
      </c>
      <c r="Y2018" t="e">
        <f>IF(#REF! &lt;= 3, "Low Charges", "High Charges")</f>
        <v>#REF!</v>
      </c>
      <c r="Z2018" t="e">
        <f>IF(#REF!&lt;=80,"Low Calls",
IF(#REF!&lt;=120,"Medium Calls","High Calls"))</f>
        <v>#REF!</v>
      </c>
      <c r="AA2018" t="e">
        <f>IF(#REF!&lt;=15,"Low Charges",
IF(#REF!&lt;=20,"Medium Charges","High Charges"))</f>
        <v>#REF!</v>
      </c>
      <c r="AB2018" t="e">
        <f>IF(AND(#REF!&gt;180, #REF!&gt;200), "Heavy Doemstic User", IF(#REF!&gt;10, "Interntional User", IF(AND(#REF!&lt;180, #REF!&lt;200,#REF!&lt;200), "Light User", "Balanced User")))</f>
        <v>#REF!</v>
      </c>
      <c r="AC2018" t="e">
        <f>IF(#REF! = 0, "No Usage", IF(#REF! &lt;= 20, "Low Usage", IF(#REF! &lt;= 40, "Medium Usgae", "High Usage")))</f>
        <v>#REF!</v>
      </c>
      <c r="AD2018" t="e">
        <f>IF(#REF!&lt;=150,"Low Usage", IF(#REF!&lt;=200,"Medium Usage", IF(#REF!&lt;=250,"High Usage","Very High Usage")))</f>
        <v>#REF!</v>
      </c>
      <c r="AE2018" t="e">
        <f>IF(#REF!&lt;=5,"Low Calls", IF(#REF!&lt;=10, "Medium Calls", "High Calls"))</f>
        <v>#REF!</v>
      </c>
      <c r="AF2018" t="e">
        <f xml:space="preserve">
IF(#REF!&gt;=4,4,0)+
IF(#REF!="yes",3,0)+
IF(#REF!="High Charges",3,0)+
IF(#REF!&gt;250,4,0)+
IF(#REF!="no",1,0)+
IF(#REF!="Heavy Domestic User",2,0)</f>
        <v>#REF!</v>
      </c>
      <c r="AG2018" t="e">
        <f>IF(#REF!&gt;=10,"High Risk", IF(#REF!&gt;=5,"Medium Risk","Low Risk"))</f>
        <v>#REF!</v>
      </c>
      <c r="AH2018" t="e">
        <f>#REF! + #REF! + #REF! + #REF!</f>
        <v>#REF!</v>
      </c>
    </row>
    <row r="2019" spans="1:34" x14ac:dyDescent="0.35">
      <c r="A2019">
        <v>2018</v>
      </c>
      <c r="B2019" t="s">
        <v>33</v>
      </c>
      <c r="C2019">
        <v>83</v>
      </c>
      <c r="D2019" t="s">
        <v>28</v>
      </c>
      <c r="E2019" t="s">
        <v>22</v>
      </c>
      <c r="F2019" t="s">
        <v>22</v>
      </c>
      <c r="G2019">
        <v>0</v>
      </c>
      <c r="H2019">
        <v>259.7</v>
      </c>
      <c r="I2019">
        <v>106</v>
      </c>
      <c r="J2019">
        <v>44.15</v>
      </c>
      <c r="K2019">
        <v>152.69999999999999</v>
      </c>
      <c r="L2019">
        <v>116</v>
      </c>
      <c r="M2019">
        <v>12.98</v>
      </c>
      <c r="N2019">
        <v>224.7</v>
      </c>
      <c r="O2019">
        <v>92</v>
      </c>
      <c r="P2019">
        <v>10.11</v>
      </c>
      <c r="Q2019">
        <v>10.199999999999999</v>
      </c>
      <c r="R2019">
        <v>2</v>
      </c>
      <c r="S2019">
        <v>2.75</v>
      </c>
      <c r="T2019">
        <v>0</v>
      </c>
      <c r="U2019" t="s">
        <v>22</v>
      </c>
      <c r="V2019" t="e">
        <f>IF(#REF! = "yes", 1, 0)</f>
        <v>#REF!</v>
      </c>
      <c r="W2019" t="e">
        <f>IF(#REF! &lt;= 1, "0-1 Calls", IF(#REF! &lt;= 3, "2-3 Calls", IF(#REF! &lt;=5, "4-5 Calls", "6+ Calls")))</f>
        <v>#REF!</v>
      </c>
      <c r="X2019" t="e">
        <f>IF(#REF! &lt;= 50, "0-50", IF(#REF! &lt;=100, "51-100", IF(#REF! &lt;= 150, "101-150", "151+")))</f>
        <v>#REF!</v>
      </c>
      <c r="Y2019" t="e">
        <f>IF(#REF! &lt;= 3, "Low Charges", "High Charges")</f>
        <v>#REF!</v>
      </c>
      <c r="Z2019" t="e">
        <f>IF(#REF!&lt;=80,"Low Calls",
IF(#REF!&lt;=120,"Medium Calls","High Calls"))</f>
        <v>#REF!</v>
      </c>
      <c r="AA2019" t="e">
        <f>IF(#REF!&lt;=15,"Low Charges",
IF(#REF!&lt;=20,"Medium Charges","High Charges"))</f>
        <v>#REF!</v>
      </c>
      <c r="AB2019" t="e">
        <f>IF(AND(#REF!&gt;180, #REF!&gt;200), "Heavy Doemstic User", IF(#REF!&gt;10, "Interntional User", IF(AND(#REF!&lt;180, #REF!&lt;200,#REF!&lt;200), "Light User", "Balanced User")))</f>
        <v>#REF!</v>
      </c>
      <c r="AC2019" t="e">
        <f>IF(#REF! = 0, "No Usage", IF(#REF! &lt;= 20, "Low Usage", IF(#REF! &lt;= 40, "Medium Usgae", "High Usage")))</f>
        <v>#REF!</v>
      </c>
      <c r="AD2019" t="e">
        <f>IF(#REF!&lt;=150,"Low Usage", IF(#REF!&lt;=200,"Medium Usage", IF(#REF!&lt;=250,"High Usage","Very High Usage")))</f>
        <v>#REF!</v>
      </c>
      <c r="AE2019" t="e">
        <f>IF(#REF!&lt;=5,"Low Calls", IF(#REF!&lt;=10, "Medium Calls", "High Calls"))</f>
        <v>#REF!</v>
      </c>
      <c r="AF2019" t="e">
        <f xml:space="preserve">
IF(#REF!&gt;=4,4,0)+
IF(#REF!="yes",3,0)+
IF(#REF!="High Charges",3,0)+
IF(#REF!&gt;250,4,0)+
IF(#REF!="no",1,0)+
IF(#REF!="Heavy Domestic User",2,0)</f>
        <v>#REF!</v>
      </c>
      <c r="AG2019" t="e">
        <f>IF(#REF!&gt;=10,"High Risk", IF(#REF!&gt;=5,"Medium Risk","Low Risk"))</f>
        <v>#REF!</v>
      </c>
      <c r="AH2019" t="e">
        <f>#REF! + #REF! + #REF! + #REF!</f>
        <v>#REF!</v>
      </c>
    </row>
    <row r="2020" spans="1:34" x14ac:dyDescent="0.35">
      <c r="A2020">
        <v>2019</v>
      </c>
      <c r="B2020" t="s">
        <v>44</v>
      </c>
      <c r="C2020">
        <v>157</v>
      </c>
      <c r="D2020" t="s">
        <v>21</v>
      </c>
      <c r="E2020" t="s">
        <v>23</v>
      </c>
      <c r="F2020" t="s">
        <v>22</v>
      </c>
      <c r="G2020">
        <v>0</v>
      </c>
      <c r="H2020">
        <v>180.4</v>
      </c>
      <c r="I2020">
        <v>123</v>
      </c>
      <c r="J2020">
        <v>30.67</v>
      </c>
      <c r="K2020">
        <v>194</v>
      </c>
      <c r="L2020">
        <v>98</v>
      </c>
      <c r="M2020">
        <v>16.489999999999998</v>
      </c>
      <c r="N2020">
        <v>227.3</v>
      </c>
      <c r="O2020">
        <v>88</v>
      </c>
      <c r="P2020">
        <v>10.23</v>
      </c>
      <c r="Q2020">
        <v>8.4</v>
      </c>
      <c r="R2020">
        <v>5</v>
      </c>
      <c r="S2020">
        <v>2.27</v>
      </c>
      <c r="T2020">
        <v>0</v>
      </c>
      <c r="U2020" t="s">
        <v>22</v>
      </c>
      <c r="V2020" t="e">
        <f>IF(#REF! = "yes", 1, 0)</f>
        <v>#REF!</v>
      </c>
      <c r="W2020" t="e">
        <f>IF(#REF! &lt;= 1, "0-1 Calls", IF(#REF! &lt;= 3, "2-3 Calls", IF(#REF! &lt;=5, "4-5 Calls", "6+ Calls")))</f>
        <v>#REF!</v>
      </c>
      <c r="X2020" t="e">
        <f>IF(#REF! &lt;= 50, "0-50", IF(#REF! &lt;=100, "51-100", IF(#REF! &lt;= 150, "101-150", "151+")))</f>
        <v>#REF!</v>
      </c>
      <c r="Y2020" t="e">
        <f>IF(#REF! &lt;= 3, "Low Charges", "High Charges")</f>
        <v>#REF!</v>
      </c>
      <c r="Z2020" t="e">
        <f>IF(#REF!&lt;=80,"Low Calls",
IF(#REF!&lt;=120,"Medium Calls","High Calls"))</f>
        <v>#REF!</v>
      </c>
      <c r="AA2020" t="e">
        <f>IF(#REF!&lt;=15,"Low Charges",
IF(#REF!&lt;=20,"Medium Charges","High Charges"))</f>
        <v>#REF!</v>
      </c>
      <c r="AB2020" t="e">
        <f>IF(AND(#REF!&gt;180, #REF!&gt;200), "Heavy Doemstic User", IF(#REF!&gt;10, "Interntional User", IF(AND(#REF!&lt;180, #REF!&lt;200,#REF!&lt;200), "Light User", "Balanced User")))</f>
        <v>#REF!</v>
      </c>
      <c r="AC2020" t="e">
        <f>IF(#REF! = 0, "No Usage", IF(#REF! &lt;= 20, "Low Usage", IF(#REF! &lt;= 40, "Medium Usgae", "High Usage")))</f>
        <v>#REF!</v>
      </c>
      <c r="AD2020" t="e">
        <f>IF(#REF!&lt;=150,"Low Usage", IF(#REF!&lt;=200,"Medium Usage", IF(#REF!&lt;=250,"High Usage","Very High Usage")))</f>
        <v>#REF!</v>
      </c>
      <c r="AE2020" t="e">
        <f>IF(#REF!&lt;=5,"Low Calls", IF(#REF!&lt;=10, "Medium Calls", "High Calls"))</f>
        <v>#REF!</v>
      </c>
      <c r="AF2020" t="e">
        <f xml:space="preserve">
IF(#REF!&gt;=4,4,0)+
IF(#REF!="yes",3,0)+
IF(#REF!="High Charges",3,0)+
IF(#REF!&gt;250,4,0)+
IF(#REF!="no",1,0)+
IF(#REF!="Heavy Domestic User",2,0)</f>
        <v>#REF!</v>
      </c>
      <c r="AG2020" t="e">
        <f>IF(#REF!&gt;=10,"High Risk", IF(#REF!&gt;=5,"Medium Risk","Low Risk"))</f>
        <v>#REF!</v>
      </c>
      <c r="AH2020" t="e">
        <f>#REF! + #REF! + #REF! + #REF!</f>
        <v>#REF!</v>
      </c>
    </row>
    <row r="2021" spans="1:34" x14ac:dyDescent="0.35">
      <c r="A2021">
        <v>2020</v>
      </c>
      <c r="B2021" t="s">
        <v>52</v>
      </c>
      <c r="C2021">
        <v>51</v>
      </c>
      <c r="D2021" t="s">
        <v>28</v>
      </c>
      <c r="E2021" t="s">
        <v>22</v>
      </c>
      <c r="F2021" t="s">
        <v>22</v>
      </c>
      <c r="G2021">
        <v>0</v>
      </c>
      <c r="H2021">
        <v>51.8</v>
      </c>
      <c r="I2021">
        <v>107</v>
      </c>
      <c r="J2021">
        <v>8.81</v>
      </c>
      <c r="K2021">
        <v>230.2</v>
      </c>
      <c r="L2021">
        <v>104</v>
      </c>
      <c r="M2021">
        <v>19.57</v>
      </c>
      <c r="N2021">
        <v>227.5</v>
      </c>
      <c r="O2021">
        <v>118</v>
      </c>
      <c r="P2021">
        <v>10.24</v>
      </c>
      <c r="Q2021">
        <v>10.4</v>
      </c>
      <c r="R2021">
        <v>4</v>
      </c>
      <c r="S2021">
        <v>2.81</v>
      </c>
      <c r="T2021">
        <v>2</v>
      </c>
      <c r="U2021" t="s">
        <v>22</v>
      </c>
      <c r="V2021" t="e">
        <f>IF(#REF! = "yes", 1, 0)</f>
        <v>#REF!</v>
      </c>
      <c r="W2021" t="e">
        <f>IF(#REF! &lt;= 1, "0-1 Calls", IF(#REF! &lt;= 3, "2-3 Calls", IF(#REF! &lt;=5, "4-5 Calls", "6+ Calls")))</f>
        <v>#REF!</v>
      </c>
      <c r="X2021" t="e">
        <f>IF(#REF! &lt;= 50, "0-50", IF(#REF! &lt;=100, "51-100", IF(#REF! &lt;= 150, "101-150", "151+")))</f>
        <v>#REF!</v>
      </c>
      <c r="Y2021" t="e">
        <f>IF(#REF! &lt;= 3, "Low Charges", "High Charges")</f>
        <v>#REF!</v>
      </c>
      <c r="Z2021" t="e">
        <f>IF(#REF!&lt;=80,"Low Calls",
IF(#REF!&lt;=120,"Medium Calls","High Calls"))</f>
        <v>#REF!</v>
      </c>
      <c r="AA2021" t="e">
        <f>IF(#REF!&lt;=15,"Low Charges",
IF(#REF!&lt;=20,"Medium Charges","High Charges"))</f>
        <v>#REF!</v>
      </c>
      <c r="AB2021" t="e">
        <f>IF(AND(#REF!&gt;180, #REF!&gt;200), "Heavy Doemstic User", IF(#REF!&gt;10, "Interntional User", IF(AND(#REF!&lt;180, #REF!&lt;200,#REF!&lt;200), "Light User", "Balanced User")))</f>
        <v>#REF!</v>
      </c>
      <c r="AC2021" t="e">
        <f>IF(#REF! = 0, "No Usage", IF(#REF! &lt;= 20, "Low Usage", IF(#REF! &lt;= 40, "Medium Usgae", "High Usage")))</f>
        <v>#REF!</v>
      </c>
      <c r="AD2021" t="e">
        <f>IF(#REF!&lt;=150,"Low Usage", IF(#REF!&lt;=200,"Medium Usage", IF(#REF!&lt;=250,"High Usage","Very High Usage")))</f>
        <v>#REF!</v>
      </c>
      <c r="AE2021" t="e">
        <f>IF(#REF!&lt;=5,"Low Calls", IF(#REF!&lt;=10, "Medium Calls", "High Calls"))</f>
        <v>#REF!</v>
      </c>
      <c r="AF2021" t="e">
        <f xml:space="preserve">
IF(#REF!&gt;=4,4,0)+
IF(#REF!="yes",3,0)+
IF(#REF!="High Charges",3,0)+
IF(#REF!&gt;250,4,0)+
IF(#REF!="no",1,0)+
IF(#REF!="Heavy Domestic User",2,0)</f>
        <v>#REF!</v>
      </c>
      <c r="AG2021" t="e">
        <f>IF(#REF!&gt;=10,"High Risk", IF(#REF!&gt;=5,"Medium Risk","Low Risk"))</f>
        <v>#REF!</v>
      </c>
      <c r="AH2021" t="e">
        <f>#REF! + #REF! + #REF! + #REF!</f>
        <v>#REF!</v>
      </c>
    </row>
    <row r="2022" spans="1:34" x14ac:dyDescent="0.35">
      <c r="A2022">
        <v>2021</v>
      </c>
      <c r="B2022" t="s">
        <v>62</v>
      </c>
      <c r="C2022">
        <v>42</v>
      </c>
      <c r="D2022" t="s">
        <v>21</v>
      </c>
      <c r="E2022" t="s">
        <v>22</v>
      </c>
      <c r="F2022" t="s">
        <v>22</v>
      </c>
      <c r="G2022">
        <v>0</v>
      </c>
      <c r="H2022">
        <v>303.89999999999998</v>
      </c>
      <c r="I2022">
        <v>106</v>
      </c>
      <c r="J2022">
        <v>51.66</v>
      </c>
      <c r="K2022">
        <v>232.2</v>
      </c>
      <c r="L2022">
        <v>54</v>
      </c>
      <c r="M2022">
        <v>19.739999999999998</v>
      </c>
      <c r="N2022">
        <v>147.1</v>
      </c>
      <c r="O2022">
        <v>76</v>
      </c>
      <c r="P2022">
        <v>6.62</v>
      </c>
      <c r="Q2022">
        <v>5.8</v>
      </c>
      <c r="R2022">
        <v>3</v>
      </c>
      <c r="S2022">
        <v>1.57</v>
      </c>
      <c r="T2022">
        <v>1</v>
      </c>
      <c r="U2022" t="s">
        <v>23</v>
      </c>
      <c r="V2022" t="e">
        <f>IF(#REF! = "yes", 1, 0)</f>
        <v>#REF!</v>
      </c>
      <c r="W2022" t="e">
        <f>IF(#REF! &lt;= 1, "0-1 Calls", IF(#REF! &lt;= 3, "2-3 Calls", IF(#REF! &lt;=5, "4-5 Calls", "6+ Calls")))</f>
        <v>#REF!</v>
      </c>
      <c r="X2022" t="e">
        <f>IF(#REF! &lt;= 50, "0-50", IF(#REF! &lt;=100, "51-100", IF(#REF! &lt;= 150, "101-150", "151+")))</f>
        <v>#REF!</v>
      </c>
      <c r="Y2022" t="e">
        <f>IF(#REF! &lt;= 3, "Low Charges", "High Charges")</f>
        <v>#REF!</v>
      </c>
      <c r="Z2022" t="e">
        <f>IF(#REF!&lt;=80,"Low Calls",
IF(#REF!&lt;=120,"Medium Calls","High Calls"))</f>
        <v>#REF!</v>
      </c>
      <c r="AA2022" t="e">
        <f>IF(#REF!&lt;=15,"Low Charges",
IF(#REF!&lt;=20,"Medium Charges","High Charges"))</f>
        <v>#REF!</v>
      </c>
      <c r="AB2022" t="e">
        <f>IF(AND(#REF!&gt;180, #REF!&gt;200), "Heavy Doemstic User", IF(#REF!&gt;10, "Interntional User", IF(AND(#REF!&lt;180, #REF!&lt;200,#REF!&lt;200), "Light User", "Balanced User")))</f>
        <v>#REF!</v>
      </c>
      <c r="AC2022" t="e">
        <f>IF(#REF! = 0, "No Usage", IF(#REF! &lt;= 20, "Low Usage", IF(#REF! &lt;= 40, "Medium Usgae", "High Usage")))</f>
        <v>#REF!</v>
      </c>
      <c r="AD2022" t="e">
        <f>IF(#REF!&lt;=150,"Low Usage", IF(#REF!&lt;=200,"Medium Usage", IF(#REF!&lt;=250,"High Usage","Very High Usage")))</f>
        <v>#REF!</v>
      </c>
      <c r="AE2022" t="e">
        <f>IF(#REF!&lt;=5,"Low Calls", IF(#REF!&lt;=10, "Medium Calls", "High Calls"))</f>
        <v>#REF!</v>
      </c>
      <c r="AF2022" t="e">
        <f xml:space="preserve">
IF(#REF!&gt;=4,4,0)+
IF(#REF!="yes",3,0)+
IF(#REF!="High Charges",3,0)+
IF(#REF!&gt;250,4,0)+
IF(#REF!="no",1,0)+
IF(#REF!="Heavy Domestic User",2,0)</f>
        <v>#REF!</v>
      </c>
      <c r="AG2022" t="e">
        <f>IF(#REF!&gt;=10,"High Risk", IF(#REF!&gt;=5,"Medium Risk","Low Risk"))</f>
        <v>#REF!</v>
      </c>
      <c r="AH2022" t="e">
        <f>#REF! + #REF! + #REF! + #REF!</f>
        <v>#REF!</v>
      </c>
    </row>
    <row r="2023" spans="1:34" x14ac:dyDescent="0.35">
      <c r="A2023">
        <v>2022</v>
      </c>
      <c r="B2023" t="s">
        <v>52</v>
      </c>
      <c r="C2023">
        <v>112</v>
      </c>
      <c r="D2023" t="s">
        <v>28</v>
      </c>
      <c r="E2023" t="s">
        <v>22</v>
      </c>
      <c r="F2023" t="s">
        <v>22</v>
      </c>
      <c r="G2023">
        <v>0</v>
      </c>
      <c r="H2023">
        <v>206.2</v>
      </c>
      <c r="I2023">
        <v>122</v>
      </c>
      <c r="J2023">
        <v>35.049999999999997</v>
      </c>
      <c r="K2023">
        <v>164.5</v>
      </c>
      <c r="L2023">
        <v>94</v>
      </c>
      <c r="M2023">
        <v>13.98</v>
      </c>
      <c r="N2023">
        <v>140.30000000000001</v>
      </c>
      <c r="O2023">
        <v>101</v>
      </c>
      <c r="P2023">
        <v>6.31</v>
      </c>
      <c r="Q2023">
        <v>12.6</v>
      </c>
      <c r="R2023">
        <v>7</v>
      </c>
      <c r="S2023">
        <v>3.4</v>
      </c>
      <c r="T2023">
        <v>3</v>
      </c>
      <c r="U2023" t="s">
        <v>22</v>
      </c>
      <c r="V2023" t="e">
        <f>IF(#REF! = "yes", 1, 0)</f>
        <v>#REF!</v>
      </c>
      <c r="W2023" t="e">
        <f>IF(#REF! &lt;= 1, "0-1 Calls", IF(#REF! &lt;= 3, "2-3 Calls", IF(#REF! &lt;=5, "4-5 Calls", "6+ Calls")))</f>
        <v>#REF!</v>
      </c>
      <c r="X2023" t="e">
        <f>IF(#REF! &lt;= 50, "0-50", IF(#REF! &lt;=100, "51-100", IF(#REF! &lt;= 150, "101-150", "151+")))</f>
        <v>#REF!</v>
      </c>
      <c r="Y2023" t="e">
        <f>IF(#REF! &lt;= 3, "Low Charges", "High Charges")</f>
        <v>#REF!</v>
      </c>
      <c r="Z2023" t="e">
        <f>IF(#REF!&lt;=80,"Low Calls",
IF(#REF!&lt;=120,"Medium Calls","High Calls"))</f>
        <v>#REF!</v>
      </c>
      <c r="AA2023" t="e">
        <f>IF(#REF!&lt;=15,"Low Charges",
IF(#REF!&lt;=20,"Medium Charges","High Charges"))</f>
        <v>#REF!</v>
      </c>
      <c r="AB2023" t="e">
        <f>IF(AND(#REF!&gt;180, #REF!&gt;200), "Heavy Doemstic User", IF(#REF!&gt;10, "Interntional User", IF(AND(#REF!&lt;180, #REF!&lt;200,#REF!&lt;200), "Light User", "Balanced User")))</f>
        <v>#REF!</v>
      </c>
      <c r="AC2023" t="e">
        <f>IF(#REF! = 0, "No Usage", IF(#REF! &lt;= 20, "Low Usage", IF(#REF! &lt;= 40, "Medium Usgae", "High Usage")))</f>
        <v>#REF!</v>
      </c>
      <c r="AD2023" t="e">
        <f>IF(#REF!&lt;=150,"Low Usage", IF(#REF!&lt;=200,"Medium Usage", IF(#REF!&lt;=250,"High Usage","Very High Usage")))</f>
        <v>#REF!</v>
      </c>
      <c r="AE2023" t="e">
        <f>IF(#REF!&lt;=5,"Low Calls", IF(#REF!&lt;=10, "Medium Calls", "High Calls"))</f>
        <v>#REF!</v>
      </c>
      <c r="AF2023" t="e">
        <f xml:space="preserve">
IF(#REF!&gt;=4,4,0)+
IF(#REF!="yes",3,0)+
IF(#REF!="High Charges",3,0)+
IF(#REF!&gt;250,4,0)+
IF(#REF!="no",1,0)+
IF(#REF!="Heavy Domestic User",2,0)</f>
        <v>#REF!</v>
      </c>
      <c r="AG2023" t="e">
        <f>IF(#REF!&gt;=10,"High Risk", IF(#REF!&gt;=5,"Medium Risk","Low Risk"))</f>
        <v>#REF!</v>
      </c>
      <c r="AH2023" t="e">
        <f>#REF! + #REF! + #REF! + #REF!</f>
        <v>#REF!</v>
      </c>
    </row>
    <row r="2024" spans="1:34" x14ac:dyDescent="0.35">
      <c r="A2024">
        <v>2023</v>
      </c>
      <c r="B2024" t="s">
        <v>75</v>
      </c>
      <c r="C2024">
        <v>56</v>
      </c>
      <c r="D2024" t="s">
        <v>28</v>
      </c>
      <c r="E2024" t="s">
        <v>22</v>
      </c>
      <c r="F2024" t="s">
        <v>22</v>
      </c>
      <c r="G2024">
        <v>0</v>
      </c>
      <c r="H2024">
        <v>164.3</v>
      </c>
      <c r="I2024">
        <v>92</v>
      </c>
      <c r="J2024">
        <v>27.93</v>
      </c>
      <c r="K2024">
        <v>233.7</v>
      </c>
      <c r="L2024">
        <v>107</v>
      </c>
      <c r="M2024">
        <v>19.86</v>
      </c>
      <c r="N2024">
        <v>187.3</v>
      </c>
      <c r="O2024">
        <v>104</v>
      </c>
      <c r="P2024">
        <v>8.43</v>
      </c>
      <c r="Q2024">
        <v>11.8</v>
      </c>
      <c r="R2024">
        <v>1</v>
      </c>
      <c r="S2024">
        <v>3.19</v>
      </c>
      <c r="T2024">
        <v>2</v>
      </c>
      <c r="U2024" t="s">
        <v>22</v>
      </c>
      <c r="V2024" t="e">
        <f>IF(#REF! = "yes", 1, 0)</f>
        <v>#REF!</v>
      </c>
      <c r="W2024" t="e">
        <f>IF(#REF! &lt;= 1, "0-1 Calls", IF(#REF! &lt;= 3, "2-3 Calls", IF(#REF! &lt;=5, "4-5 Calls", "6+ Calls")))</f>
        <v>#REF!</v>
      </c>
      <c r="X2024" t="e">
        <f>IF(#REF! &lt;= 50, "0-50", IF(#REF! &lt;=100, "51-100", IF(#REF! &lt;= 150, "101-150", "151+")))</f>
        <v>#REF!</v>
      </c>
      <c r="Y2024" t="e">
        <f>IF(#REF! &lt;= 3, "Low Charges", "High Charges")</f>
        <v>#REF!</v>
      </c>
      <c r="Z2024" t="e">
        <f>IF(#REF!&lt;=80,"Low Calls",
IF(#REF!&lt;=120,"Medium Calls","High Calls"))</f>
        <v>#REF!</v>
      </c>
      <c r="AA2024" t="e">
        <f>IF(#REF!&lt;=15,"Low Charges",
IF(#REF!&lt;=20,"Medium Charges","High Charges"))</f>
        <v>#REF!</v>
      </c>
      <c r="AB2024" t="e">
        <f>IF(AND(#REF!&gt;180, #REF!&gt;200), "Heavy Doemstic User", IF(#REF!&gt;10, "Interntional User", IF(AND(#REF!&lt;180, #REF!&lt;200,#REF!&lt;200), "Light User", "Balanced User")))</f>
        <v>#REF!</v>
      </c>
      <c r="AC2024" t="e">
        <f>IF(#REF! = 0, "No Usage", IF(#REF! &lt;= 20, "Low Usage", IF(#REF! &lt;= 40, "Medium Usgae", "High Usage")))</f>
        <v>#REF!</v>
      </c>
      <c r="AD2024" t="e">
        <f>IF(#REF!&lt;=150,"Low Usage", IF(#REF!&lt;=200,"Medium Usage", IF(#REF!&lt;=250,"High Usage","Very High Usage")))</f>
        <v>#REF!</v>
      </c>
      <c r="AE2024" t="e">
        <f>IF(#REF!&lt;=5,"Low Calls", IF(#REF!&lt;=10, "Medium Calls", "High Calls"))</f>
        <v>#REF!</v>
      </c>
      <c r="AF2024" t="e">
        <f xml:space="preserve">
IF(#REF!&gt;=4,4,0)+
IF(#REF!="yes",3,0)+
IF(#REF!="High Charges",3,0)+
IF(#REF!&gt;250,4,0)+
IF(#REF!="no",1,0)+
IF(#REF!="Heavy Domestic User",2,0)</f>
        <v>#REF!</v>
      </c>
      <c r="AG2024" t="e">
        <f>IF(#REF!&gt;=10,"High Risk", IF(#REF!&gt;=5,"Medium Risk","Low Risk"))</f>
        <v>#REF!</v>
      </c>
      <c r="AH2024" t="e">
        <f>#REF! + #REF! + #REF! + #REF!</f>
        <v>#REF!</v>
      </c>
    </row>
    <row r="2025" spans="1:34" x14ac:dyDescent="0.35">
      <c r="A2025">
        <v>2024</v>
      </c>
      <c r="B2025" t="s">
        <v>24</v>
      </c>
      <c r="C2025">
        <v>53</v>
      </c>
      <c r="D2025" t="s">
        <v>25</v>
      </c>
      <c r="E2025" t="s">
        <v>22</v>
      </c>
      <c r="F2025" t="s">
        <v>22</v>
      </c>
      <c r="G2025">
        <v>0</v>
      </c>
      <c r="H2025">
        <v>228.6</v>
      </c>
      <c r="I2025">
        <v>117</v>
      </c>
      <c r="J2025">
        <v>38.86</v>
      </c>
      <c r="K2025">
        <v>132.80000000000001</v>
      </c>
      <c r="L2025">
        <v>123</v>
      </c>
      <c r="M2025">
        <v>11.29</v>
      </c>
      <c r="N2025">
        <v>227.2</v>
      </c>
      <c r="O2025">
        <v>124</v>
      </c>
      <c r="P2025">
        <v>10.220000000000001</v>
      </c>
      <c r="Q2025">
        <v>10.1</v>
      </c>
      <c r="R2025">
        <v>2</v>
      </c>
      <c r="S2025">
        <v>2.73</v>
      </c>
      <c r="T2025">
        <v>9</v>
      </c>
      <c r="U2025" t="s">
        <v>23</v>
      </c>
      <c r="V2025" t="e">
        <f>IF(#REF! = "yes", 1, 0)</f>
        <v>#REF!</v>
      </c>
      <c r="W2025" t="e">
        <f>IF(#REF! &lt;= 1, "0-1 Calls", IF(#REF! &lt;= 3, "2-3 Calls", IF(#REF! &lt;=5, "4-5 Calls", "6+ Calls")))</f>
        <v>#REF!</v>
      </c>
      <c r="X2025" t="e">
        <f>IF(#REF! &lt;= 50, "0-50", IF(#REF! &lt;=100, "51-100", IF(#REF! &lt;= 150, "101-150", "151+")))</f>
        <v>#REF!</v>
      </c>
      <c r="Y2025" t="e">
        <f>IF(#REF! &lt;= 3, "Low Charges", "High Charges")</f>
        <v>#REF!</v>
      </c>
      <c r="Z2025" t="e">
        <f>IF(#REF!&lt;=80,"Low Calls",
IF(#REF!&lt;=120,"Medium Calls","High Calls"))</f>
        <v>#REF!</v>
      </c>
      <c r="AA2025" t="e">
        <f>IF(#REF!&lt;=15,"Low Charges",
IF(#REF!&lt;=20,"Medium Charges","High Charges"))</f>
        <v>#REF!</v>
      </c>
      <c r="AB2025" t="e">
        <f>IF(AND(#REF!&gt;180, #REF!&gt;200), "Heavy Doemstic User", IF(#REF!&gt;10, "Interntional User", IF(AND(#REF!&lt;180, #REF!&lt;200,#REF!&lt;200), "Light User", "Balanced User")))</f>
        <v>#REF!</v>
      </c>
      <c r="AC2025" t="e">
        <f>IF(#REF! = 0, "No Usage", IF(#REF! &lt;= 20, "Low Usage", IF(#REF! &lt;= 40, "Medium Usgae", "High Usage")))</f>
        <v>#REF!</v>
      </c>
      <c r="AD2025" t="e">
        <f>IF(#REF!&lt;=150,"Low Usage", IF(#REF!&lt;=200,"Medium Usage", IF(#REF!&lt;=250,"High Usage","Very High Usage")))</f>
        <v>#REF!</v>
      </c>
      <c r="AE2025" t="e">
        <f>IF(#REF!&lt;=5,"Low Calls", IF(#REF!&lt;=10, "Medium Calls", "High Calls"))</f>
        <v>#REF!</v>
      </c>
      <c r="AF2025" t="e">
        <f xml:space="preserve">
IF(#REF!&gt;=4,4,0)+
IF(#REF!="yes",3,0)+
IF(#REF!="High Charges",3,0)+
IF(#REF!&gt;250,4,0)+
IF(#REF!="no",1,0)+
IF(#REF!="Heavy Domestic User",2,0)</f>
        <v>#REF!</v>
      </c>
      <c r="AG2025" t="e">
        <f>IF(#REF!&gt;=10,"High Risk", IF(#REF!&gt;=5,"Medium Risk","Low Risk"))</f>
        <v>#REF!</v>
      </c>
      <c r="AH2025" t="e">
        <f>#REF! + #REF! + #REF! + #REF!</f>
        <v>#REF!</v>
      </c>
    </row>
    <row r="2026" spans="1:34" x14ac:dyDescent="0.35">
      <c r="A2026">
        <v>2025</v>
      </c>
      <c r="B2026" t="s">
        <v>31</v>
      </c>
      <c r="C2026">
        <v>64</v>
      </c>
      <c r="D2026" t="s">
        <v>21</v>
      </c>
      <c r="E2026" t="s">
        <v>22</v>
      </c>
      <c r="F2026" t="s">
        <v>23</v>
      </c>
      <c r="G2026">
        <v>22</v>
      </c>
      <c r="H2026">
        <v>200.4</v>
      </c>
      <c r="I2026">
        <v>80</v>
      </c>
      <c r="J2026">
        <v>34.07</v>
      </c>
      <c r="K2026">
        <v>131.1</v>
      </c>
      <c r="L2026">
        <v>84</v>
      </c>
      <c r="M2026">
        <v>11.14</v>
      </c>
      <c r="N2026">
        <v>230.7</v>
      </c>
      <c r="O2026">
        <v>67</v>
      </c>
      <c r="P2026">
        <v>10.38</v>
      </c>
      <c r="Q2026">
        <v>7.6</v>
      </c>
      <c r="R2026">
        <v>5</v>
      </c>
      <c r="S2026">
        <v>2.0499999999999998</v>
      </c>
      <c r="T2026">
        <v>1</v>
      </c>
      <c r="U2026" t="s">
        <v>22</v>
      </c>
      <c r="V2026" t="e">
        <f>IF(#REF! = "yes", 1, 0)</f>
        <v>#REF!</v>
      </c>
      <c r="W2026" t="e">
        <f>IF(#REF! &lt;= 1, "0-1 Calls", IF(#REF! &lt;= 3, "2-3 Calls", IF(#REF! &lt;=5, "4-5 Calls", "6+ Calls")))</f>
        <v>#REF!</v>
      </c>
      <c r="X2026" t="e">
        <f>IF(#REF! &lt;= 50, "0-50", IF(#REF! &lt;=100, "51-100", IF(#REF! &lt;= 150, "101-150", "151+")))</f>
        <v>#REF!</v>
      </c>
      <c r="Y2026" t="e">
        <f>IF(#REF! &lt;= 3, "Low Charges", "High Charges")</f>
        <v>#REF!</v>
      </c>
      <c r="Z2026" t="e">
        <f>IF(#REF!&lt;=80,"Low Calls",
IF(#REF!&lt;=120,"Medium Calls","High Calls"))</f>
        <v>#REF!</v>
      </c>
      <c r="AA2026" t="e">
        <f>IF(#REF!&lt;=15,"Low Charges",
IF(#REF!&lt;=20,"Medium Charges","High Charges"))</f>
        <v>#REF!</v>
      </c>
      <c r="AB2026" t="e">
        <f>IF(AND(#REF!&gt;180, #REF!&gt;200), "Heavy Doemstic User", IF(#REF!&gt;10, "Interntional User", IF(AND(#REF!&lt;180, #REF!&lt;200,#REF!&lt;200), "Light User", "Balanced User")))</f>
        <v>#REF!</v>
      </c>
      <c r="AC2026" t="e">
        <f>IF(#REF! = 0, "No Usage", IF(#REF! &lt;= 20, "Low Usage", IF(#REF! &lt;= 40, "Medium Usgae", "High Usage")))</f>
        <v>#REF!</v>
      </c>
      <c r="AD2026" t="e">
        <f>IF(#REF!&lt;=150,"Low Usage", IF(#REF!&lt;=200,"Medium Usage", IF(#REF!&lt;=250,"High Usage","Very High Usage")))</f>
        <v>#REF!</v>
      </c>
      <c r="AE2026" t="e">
        <f>IF(#REF!&lt;=5,"Low Calls", IF(#REF!&lt;=10, "Medium Calls", "High Calls"))</f>
        <v>#REF!</v>
      </c>
      <c r="AF2026" t="e">
        <f xml:space="preserve">
IF(#REF!&gt;=4,4,0)+
IF(#REF!="yes",3,0)+
IF(#REF!="High Charges",3,0)+
IF(#REF!&gt;250,4,0)+
IF(#REF!="no",1,0)+
IF(#REF!="Heavy Domestic User",2,0)</f>
        <v>#REF!</v>
      </c>
      <c r="AG2026" t="e">
        <f>IF(#REF!&gt;=10,"High Risk", IF(#REF!&gt;=5,"Medium Risk","Low Risk"))</f>
        <v>#REF!</v>
      </c>
      <c r="AH2026" t="e">
        <f>#REF! + #REF! + #REF! + #REF!</f>
        <v>#REF!</v>
      </c>
    </row>
    <row r="2027" spans="1:34" x14ac:dyDescent="0.35">
      <c r="A2027">
        <v>2026</v>
      </c>
      <c r="B2027" t="s">
        <v>38</v>
      </c>
      <c r="C2027">
        <v>123</v>
      </c>
      <c r="D2027" t="s">
        <v>25</v>
      </c>
      <c r="E2027" t="s">
        <v>22</v>
      </c>
      <c r="F2027" t="s">
        <v>22</v>
      </c>
      <c r="G2027">
        <v>0</v>
      </c>
      <c r="H2027">
        <v>154.30000000000001</v>
      </c>
      <c r="I2027">
        <v>107</v>
      </c>
      <c r="J2027">
        <v>26.23</v>
      </c>
      <c r="K2027">
        <v>183</v>
      </c>
      <c r="L2027">
        <v>111</v>
      </c>
      <c r="M2027">
        <v>15.56</v>
      </c>
      <c r="N2027">
        <v>54</v>
      </c>
      <c r="O2027">
        <v>134</v>
      </c>
      <c r="P2027">
        <v>2.4300000000000002</v>
      </c>
      <c r="Q2027">
        <v>10.9</v>
      </c>
      <c r="R2027">
        <v>8</v>
      </c>
      <c r="S2027">
        <v>2.94</v>
      </c>
      <c r="T2027">
        <v>0</v>
      </c>
      <c r="U2027" t="s">
        <v>22</v>
      </c>
      <c r="V2027" t="e">
        <f>IF(#REF! = "yes", 1, 0)</f>
        <v>#REF!</v>
      </c>
      <c r="W2027" t="e">
        <f>IF(#REF! &lt;= 1, "0-1 Calls", IF(#REF! &lt;= 3, "2-3 Calls", IF(#REF! &lt;=5, "4-5 Calls", "6+ Calls")))</f>
        <v>#REF!</v>
      </c>
      <c r="X2027" t="e">
        <f>IF(#REF! &lt;= 50, "0-50", IF(#REF! &lt;=100, "51-100", IF(#REF! &lt;= 150, "101-150", "151+")))</f>
        <v>#REF!</v>
      </c>
      <c r="Y2027" t="e">
        <f>IF(#REF! &lt;= 3, "Low Charges", "High Charges")</f>
        <v>#REF!</v>
      </c>
      <c r="Z2027" t="e">
        <f>IF(#REF!&lt;=80,"Low Calls",
IF(#REF!&lt;=120,"Medium Calls","High Calls"))</f>
        <v>#REF!</v>
      </c>
      <c r="AA2027" t="e">
        <f>IF(#REF!&lt;=15,"Low Charges",
IF(#REF!&lt;=20,"Medium Charges","High Charges"))</f>
        <v>#REF!</v>
      </c>
      <c r="AB2027" t="e">
        <f>IF(AND(#REF!&gt;180, #REF!&gt;200), "Heavy Doemstic User", IF(#REF!&gt;10, "Interntional User", IF(AND(#REF!&lt;180, #REF!&lt;200,#REF!&lt;200), "Light User", "Balanced User")))</f>
        <v>#REF!</v>
      </c>
      <c r="AC2027" t="e">
        <f>IF(#REF! = 0, "No Usage", IF(#REF! &lt;= 20, "Low Usage", IF(#REF! &lt;= 40, "Medium Usgae", "High Usage")))</f>
        <v>#REF!</v>
      </c>
      <c r="AD2027" t="e">
        <f>IF(#REF!&lt;=150,"Low Usage", IF(#REF!&lt;=200,"Medium Usage", IF(#REF!&lt;=250,"High Usage","Very High Usage")))</f>
        <v>#REF!</v>
      </c>
      <c r="AE2027" t="e">
        <f>IF(#REF!&lt;=5,"Low Calls", IF(#REF!&lt;=10, "Medium Calls", "High Calls"))</f>
        <v>#REF!</v>
      </c>
      <c r="AF2027" t="e">
        <f xml:space="preserve">
IF(#REF!&gt;=4,4,0)+
IF(#REF!="yes",3,0)+
IF(#REF!="High Charges",3,0)+
IF(#REF!&gt;250,4,0)+
IF(#REF!="no",1,0)+
IF(#REF!="Heavy Domestic User",2,0)</f>
        <v>#REF!</v>
      </c>
      <c r="AG2027" t="e">
        <f>IF(#REF!&gt;=10,"High Risk", IF(#REF!&gt;=5,"Medium Risk","Low Risk"))</f>
        <v>#REF!</v>
      </c>
      <c r="AH2027" t="e">
        <f>#REF! + #REF! + #REF! + #REF!</f>
        <v>#REF!</v>
      </c>
    </row>
    <row r="2028" spans="1:34" x14ac:dyDescent="0.35">
      <c r="A2028">
        <v>2027</v>
      </c>
      <c r="B2028" t="s">
        <v>37</v>
      </c>
      <c r="C2028">
        <v>68</v>
      </c>
      <c r="D2028" t="s">
        <v>28</v>
      </c>
      <c r="E2028" t="s">
        <v>22</v>
      </c>
      <c r="F2028" t="s">
        <v>23</v>
      </c>
      <c r="G2028">
        <v>30</v>
      </c>
      <c r="H2028">
        <v>122.9</v>
      </c>
      <c r="I2028">
        <v>93</v>
      </c>
      <c r="J2028">
        <v>20.89</v>
      </c>
      <c r="K2028">
        <v>233.5</v>
      </c>
      <c r="L2028">
        <v>91</v>
      </c>
      <c r="M2028">
        <v>19.850000000000001</v>
      </c>
      <c r="N2028">
        <v>199.5</v>
      </c>
      <c r="O2028">
        <v>144</v>
      </c>
      <c r="P2028">
        <v>8.98</v>
      </c>
      <c r="Q2028">
        <v>9.6</v>
      </c>
      <c r="R2028">
        <v>2</v>
      </c>
      <c r="S2028">
        <v>2.59</v>
      </c>
      <c r="T2028">
        <v>2</v>
      </c>
      <c r="U2028" t="s">
        <v>22</v>
      </c>
      <c r="V2028" t="e">
        <f>IF(#REF! = "yes", 1, 0)</f>
        <v>#REF!</v>
      </c>
      <c r="W2028" t="e">
        <f>IF(#REF! &lt;= 1, "0-1 Calls", IF(#REF! &lt;= 3, "2-3 Calls", IF(#REF! &lt;=5, "4-5 Calls", "6+ Calls")))</f>
        <v>#REF!</v>
      </c>
      <c r="X2028" t="e">
        <f>IF(#REF! &lt;= 50, "0-50", IF(#REF! &lt;=100, "51-100", IF(#REF! &lt;= 150, "101-150", "151+")))</f>
        <v>#REF!</v>
      </c>
      <c r="Y2028" t="e">
        <f>IF(#REF! &lt;= 3, "Low Charges", "High Charges")</f>
        <v>#REF!</v>
      </c>
      <c r="Z2028" t="e">
        <f>IF(#REF!&lt;=80,"Low Calls",
IF(#REF!&lt;=120,"Medium Calls","High Calls"))</f>
        <v>#REF!</v>
      </c>
      <c r="AA2028" t="e">
        <f>IF(#REF!&lt;=15,"Low Charges",
IF(#REF!&lt;=20,"Medium Charges","High Charges"))</f>
        <v>#REF!</v>
      </c>
      <c r="AB2028" t="e">
        <f>IF(AND(#REF!&gt;180, #REF!&gt;200), "Heavy Doemstic User", IF(#REF!&gt;10, "Interntional User", IF(AND(#REF!&lt;180, #REF!&lt;200,#REF!&lt;200), "Light User", "Balanced User")))</f>
        <v>#REF!</v>
      </c>
      <c r="AC2028" t="e">
        <f>IF(#REF! = 0, "No Usage", IF(#REF! &lt;= 20, "Low Usage", IF(#REF! &lt;= 40, "Medium Usgae", "High Usage")))</f>
        <v>#REF!</v>
      </c>
      <c r="AD2028" t="e">
        <f>IF(#REF!&lt;=150,"Low Usage", IF(#REF!&lt;=200,"Medium Usage", IF(#REF!&lt;=250,"High Usage","Very High Usage")))</f>
        <v>#REF!</v>
      </c>
      <c r="AE2028" t="e">
        <f>IF(#REF!&lt;=5,"Low Calls", IF(#REF!&lt;=10, "Medium Calls", "High Calls"))</f>
        <v>#REF!</v>
      </c>
      <c r="AF2028" t="e">
        <f xml:space="preserve">
IF(#REF!&gt;=4,4,0)+
IF(#REF!="yes",3,0)+
IF(#REF!="High Charges",3,0)+
IF(#REF!&gt;250,4,0)+
IF(#REF!="no",1,0)+
IF(#REF!="Heavy Domestic User",2,0)</f>
        <v>#REF!</v>
      </c>
      <c r="AG2028" t="e">
        <f>IF(#REF!&gt;=10,"High Risk", IF(#REF!&gt;=5,"Medium Risk","Low Risk"))</f>
        <v>#REF!</v>
      </c>
      <c r="AH2028" t="e">
        <f>#REF! + #REF! + #REF! + #REF!</f>
        <v>#REF!</v>
      </c>
    </row>
    <row r="2029" spans="1:34" x14ac:dyDescent="0.35">
      <c r="A2029">
        <v>2028</v>
      </c>
      <c r="B2029" t="s">
        <v>74</v>
      </c>
      <c r="C2029">
        <v>40</v>
      </c>
      <c r="D2029" t="s">
        <v>28</v>
      </c>
      <c r="E2029" t="s">
        <v>23</v>
      </c>
      <c r="F2029" t="s">
        <v>22</v>
      </c>
      <c r="G2029">
        <v>0</v>
      </c>
      <c r="H2029">
        <v>220.8</v>
      </c>
      <c r="I2029">
        <v>100</v>
      </c>
      <c r="J2029">
        <v>37.54</v>
      </c>
      <c r="K2029">
        <v>265.7</v>
      </c>
      <c r="L2029">
        <v>106</v>
      </c>
      <c r="M2029">
        <v>22.58</v>
      </c>
      <c r="N2029">
        <v>212.8</v>
      </c>
      <c r="O2029">
        <v>94</v>
      </c>
      <c r="P2029">
        <v>9.58</v>
      </c>
      <c r="Q2029">
        <v>6.4</v>
      </c>
      <c r="R2029">
        <v>3</v>
      </c>
      <c r="S2029">
        <v>1.73</v>
      </c>
      <c r="T2029">
        <v>0</v>
      </c>
      <c r="U2029" t="s">
        <v>22</v>
      </c>
      <c r="V2029" t="e">
        <f>IF(#REF! = "yes", 1, 0)</f>
        <v>#REF!</v>
      </c>
      <c r="W2029" t="e">
        <f>IF(#REF! &lt;= 1, "0-1 Calls", IF(#REF! &lt;= 3, "2-3 Calls", IF(#REF! &lt;=5, "4-5 Calls", "6+ Calls")))</f>
        <v>#REF!</v>
      </c>
      <c r="X2029" t="e">
        <f>IF(#REF! &lt;= 50, "0-50", IF(#REF! &lt;=100, "51-100", IF(#REF! &lt;= 150, "101-150", "151+")))</f>
        <v>#REF!</v>
      </c>
      <c r="Y2029" t="e">
        <f>IF(#REF! &lt;= 3, "Low Charges", "High Charges")</f>
        <v>#REF!</v>
      </c>
      <c r="Z2029" t="e">
        <f>IF(#REF!&lt;=80,"Low Calls",
IF(#REF!&lt;=120,"Medium Calls","High Calls"))</f>
        <v>#REF!</v>
      </c>
      <c r="AA2029" t="e">
        <f>IF(#REF!&lt;=15,"Low Charges",
IF(#REF!&lt;=20,"Medium Charges","High Charges"))</f>
        <v>#REF!</v>
      </c>
      <c r="AB2029" t="e">
        <f>IF(AND(#REF!&gt;180, #REF!&gt;200), "Heavy Doemstic User", IF(#REF!&gt;10, "Interntional User", IF(AND(#REF!&lt;180, #REF!&lt;200,#REF!&lt;200), "Light User", "Balanced User")))</f>
        <v>#REF!</v>
      </c>
      <c r="AC2029" t="e">
        <f>IF(#REF! = 0, "No Usage", IF(#REF! &lt;= 20, "Low Usage", IF(#REF! &lt;= 40, "Medium Usgae", "High Usage")))</f>
        <v>#REF!</v>
      </c>
      <c r="AD2029" t="e">
        <f>IF(#REF!&lt;=150,"Low Usage", IF(#REF!&lt;=200,"Medium Usage", IF(#REF!&lt;=250,"High Usage","Very High Usage")))</f>
        <v>#REF!</v>
      </c>
      <c r="AE2029" t="e">
        <f>IF(#REF!&lt;=5,"Low Calls", IF(#REF!&lt;=10, "Medium Calls", "High Calls"))</f>
        <v>#REF!</v>
      </c>
      <c r="AF2029" t="e">
        <f xml:space="preserve">
IF(#REF!&gt;=4,4,0)+
IF(#REF!="yes",3,0)+
IF(#REF!="High Charges",3,0)+
IF(#REF!&gt;250,4,0)+
IF(#REF!="no",1,0)+
IF(#REF!="Heavy Domestic User",2,0)</f>
        <v>#REF!</v>
      </c>
      <c r="AG2029" t="e">
        <f>IF(#REF!&gt;=10,"High Risk", IF(#REF!&gt;=5,"Medium Risk","Low Risk"))</f>
        <v>#REF!</v>
      </c>
      <c r="AH2029" t="e">
        <f>#REF! + #REF! + #REF! + #REF!</f>
        <v>#REF!</v>
      </c>
    </row>
    <row r="2030" spans="1:34" x14ac:dyDescent="0.35">
      <c r="A2030">
        <v>2029</v>
      </c>
      <c r="B2030" t="s">
        <v>61</v>
      </c>
      <c r="C2030">
        <v>132</v>
      </c>
      <c r="D2030" t="s">
        <v>25</v>
      </c>
      <c r="E2030" t="s">
        <v>22</v>
      </c>
      <c r="F2030" t="s">
        <v>22</v>
      </c>
      <c r="G2030">
        <v>0</v>
      </c>
      <c r="H2030">
        <v>214.6</v>
      </c>
      <c r="I2030">
        <v>78</v>
      </c>
      <c r="J2030">
        <v>36.479999999999997</v>
      </c>
      <c r="K2030">
        <v>251.7</v>
      </c>
      <c r="L2030">
        <v>98</v>
      </c>
      <c r="M2030">
        <v>21.39</v>
      </c>
      <c r="N2030">
        <v>240.8</v>
      </c>
      <c r="O2030">
        <v>88</v>
      </c>
      <c r="P2030">
        <v>10.84</v>
      </c>
      <c r="Q2030">
        <v>13.9</v>
      </c>
      <c r="R2030">
        <v>2</v>
      </c>
      <c r="S2030">
        <v>3.75</v>
      </c>
      <c r="T2030">
        <v>0</v>
      </c>
      <c r="U2030" t="s">
        <v>22</v>
      </c>
      <c r="V2030" t="e">
        <f>IF(#REF! = "yes", 1, 0)</f>
        <v>#REF!</v>
      </c>
      <c r="W2030" t="e">
        <f>IF(#REF! &lt;= 1, "0-1 Calls", IF(#REF! &lt;= 3, "2-3 Calls", IF(#REF! &lt;=5, "4-5 Calls", "6+ Calls")))</f>
        <v>#REF!</v>
      </c>
      <c r="X2030" t="e">
        <f>IF(#REF! &lt;= 50, "0-50", IF(#REF! &lt;=100, "51-100", IF(#REF! &lt;= 150, "101-150", "151+")))</f>
        <v>#REF!</v>
      </c>
      <c r="Y2030" t="e">
        <f>IF(#REF! &lt;= 3, "Low Charges", "High Charges")</f>
        <v>#REF!</v>
      </c>
      <c r="Z2030" t="e">
        <f>IF(#REF!&lt;=80,"Low Calls",
IF(#REF!&lt;=120,"Medium Calls","High Calls"))</f>
        <v>#REF!</v>
      </c>
      <c r="AA2030" t="e">
        <f>IF(#REF!&lt;=15,"Low Charges",
IF(#REF!&lt;=20,"Medium Charges","High Charges"))</f>
        <v>#REF!</v>
      </c>
      <c r="AB2030" t="e">
        <f>IF(AND(#REF!&gt;180, #REF!&gt;200), "Heavy Doemstic User", IF(#REF!&gt;10, "Interntional User", IF(AND(#REF!&lt;180, #REF!&lt;200,#REF!&lt;200), "Light User", "Balanced User")))</f>
        <v>#REF!</v>
      </c>
      <c r="AC2030" t="e">
        <f>IF(#REF! = 0, "No Usage", IF(#REF! &lt;= 20, "Low Usage", IF(#REF! &lt;= 40, "Medium Usgae", "High Usage")))</f>
        <v>#REF!</v>
      </c>
      <c r="AD2030" t="e">
        <f>IF(#REF!&lt;=150,"Low Usage", IF(#REF!&lt;=200,"Medium Usage", IF(#REF!&lt;=250,"High Usage","Very High Usage")))</f>
        <v>#REF!</v>
      </c>
      <c r="AE2030" t="e">
        <f>IF(#REF!&lt;=5,"Low Calls", IF(#REF!&lt;=10, "Medium Calls", "High Calls"))</f>
        <v>#REF!</v>
      </c>
      <c r="AF2030" t="e">
        <f xml:space="preserve">
IF(#REF!&gt;=4,4,0)+
IF(#REF!="yes",3,0)+
IF(#REF!="High Charges",3,0)+
IF(#REF!&gt;250,4,0)+
IF(#REF!="no",1,0)+
IF(#REF!="Heavy Domestic User",2,0)</f>
        <v>#REF!</v>
      </c>
      <c r="AG2030" t="e">
        <f>IF(#REF!&gt;=10,"High Risk", IF(#REF!&gt;=5,"Medium Risk","Low Risk"))</f>
        <v>#REF!</v>
      </c>
      <c r="AH2030" t="e">
        <f>#REF! + #REF! + #REF! + #REF!</f>
        <v>#REF!</v>
      </c>
    </row>
    <row r="2031" spans="1:34" x14ac:dyDescent="0.35">
      <c r="A2031">
        <v>2030</v>
      </c>
      <c r="B2031" t="s">
        <v>74</v>
      </c>
      <c r="C2031">
        <v>120</v>
      </c>
      <c r="D2031" t="s">
        <v>25</v>
      </c>
      <c r="E2031" t="s">
        <v>23</v>
      </c>
      <c r="F2031" t="s">
        <v>22</v>
      </c>
      <c r="G2031">
        <v>0</v>
      </c>
      <c r="H2031">
        <v>202</v>
      </c>
      <c r="I2031">
        <v>123</v>
      </c>
      <c r="J2031">
        <v>34.340000000000003</v>
      </c>
      <c r="K2031">
        <v>184.3</v>
      </c>
      <c r="L2031">
        <v>78</v>
      </c>
      <c r="M2031">
        <v>15.67</v>
      </c>
      <c r="N2031">
        <v>176</v>
      </c>
      <c r="O2031">
        <v>89</v>
      </c>
      <c r="P2031">
        <v>7.92</v>
      </c>
      <c r="Q2031">
        <v>7.4</v>
      </c>
      <c r="R2031">
        <v>2</v>
      </c>
      <c r="S2031">
        <v>2</v>
      </c>
      <c r="T2031">
        <v>2</v>
      </c>
      <c r="U2031" t="s">
        <v>23</v>
      </c>
      <c r="V2031" t="e">
        <f>IF(#REF! = "yes", 1, 0)</f>
        <v>#REF!</v>
      </c>
      <c r="W2031" t="e">
        <f>IF(#REF! &lt;= 1, "0-1 Calls", IF(#REF! &lt;= 3, "2-3 Calls", IF(#REF! &lt;=5, "4-5 Calls", "6+ Calls")))</f>
        <v>#REF!</v>
      </c>
      <c r="X2031" t="e">
        <f>IF(#REF! &lt;= 50, "0-50", IF(#REF! &lt;=100, "51-100", IF(#REF! &lt;= 150, "101-150", "151+")))</f>
        <v>#REF!</v>
      </c>
      <c r="Y2031" t="e">
        <f>IF(#REF! &lt;= 3, "Low Charges", "High Charges")</f>
        <v>#REF!</v>
      </c>
      <c r="Z2031" t="e">
        <f>IF(#REF!&lt;=80,"Low Calls",
IF(#REF!&lt;=120,"Medium Calls","High Calls"))</f>
        <v>#REF!</v>
      </c>
      <c r="AA2031" t="e">
        <f>IF(#REF!&lt;=15,"Low Charges",
IF(#REF!&lt;=20,"Medium Charges","High Charges"))</f>
        <v>#REF!</v>
      </c>
      <c r="AB2031" t="e">
        <f>IF(AND(#REF!&gt;180, #REF!&gt;200), "Heavy Doemstic User", IF(#REF!&gt;10, "Interntional User", IF(AND(#REF!&lt;180, #REF!&lt;200,#REF!&lt;200), "Light User", "Balanced User")))</f>
        <v>#REF!</v>
      </c>
      <c r="AC2031" t="e">
        <f>IF(#REF! = 0, "No Usage", IF(#REF! &lt;= 20, "Low Usage", IF(#REF! &lt;= 40, "Medium Usgae", "High Usage")))</f>
        <v>#REF!</v>
      </c>
      <c r="AD2031" t="e">
        <f>IF(#REF!&lt;=150,"Low Usage", IF(#REF!&lt;=200,"Medium Usage", IF(#REF!&lt;=250,"High Usage","Very High Usage")))</f>
        <v>#REF!</v>
      </c>
      <c r="AE2031" t="e">
        <f>IF(#REF!&lt;=5,"Low Calls", IF(#REF!&lt;=10, "Medium Calls", "High Calls"))</f>
        <v>#REF!</v>
      </c>
      <c r="AF2031" t="e">
        <f xml:space="preserve">
IF(#REF!&gt;=4,4,0)+
IF(#REF!="yes",3,0)+
IF(#REF!="High Charges",3,0)+
IF(#REF!&gt;250,4,0)+
IF(#REF!="no",1,0)+
IF(#REF!="Heavy Domestic User",2,0)</f>
        <v>#REF!</v>
      </c>
      <c r="AG2031" t="e">
        <f>IF(#REF!&gt;=10,"High Risk", IF(#REF!&gt;=5,"Medium Risk","Low Risk"))</f>
        <v>#REF!</v>
      </c>
      <c r="AH2031" t="e">
        <f>#REF! + #REF! + #REF! + #REF!</f>
        <v>#REF!</v>
      </c>
    </row>
    <row r="2032" spans="1:34" x14ac:dyDescent="0.35">
      <c r="A2032">
        <v>2031</v>
      </c>
      <c r="B2032" t="s">
        <v>53</v>
      </c>
      <c r="C2032">
        <v>108</v>
      </c>
      <c r="D2032" t="s">
        <v>25</v>
      </c>
      <c r="E2032" t="s">
        <v>22</v>
      </c>
      <c r="F2032" t="s">
        <v>23</v>
      </c>
      <c r="G2032">
        <v>32</v>
      </c>
      <c r="H2032">
        <v>209.5</v>
      </c>
      <c r="I2032">
        <v>108</v>
      </c>
      <c r="J2032">
        <v>35.619999999999997</v>
      </c>
      <c r="K2032">
        <v>109.6</v>
      </c>
      <c r="L2032">
        <v>64</v>
      </c>
      <c r="M2032">
        <v>9.32</v>
      </c>
      <c r="N2032">
        <v>189.7</v>
      </c>
      <c r="O2032">
        <v>145</v>
      </c>
      <c r="P2032">
        <v>8.5399999999999991</v>
      </c>
      <c r="Q2032">
        <v>9.1</v>
      </c>
      <c r="R2032">
        <v>6</v>
      </c>
      <c r="S2032">
        <v>2.46</v>
      </c>
      <c r="T2032">
        <v>6</v>
      </c>
      <c r="U2032" t="s">
        <v>23</v>
      </c>
      <c r="V2032" t="e">
        <f>IF(#REF! = "yes", 1, 0)</f>
        <v>#REF!</v>
      </c>
      <c r="W2032" t="e">
        <f>IF(#REF! &lt;= 1, "0-1 Calls", IF(#REF! &lt;= 3, "2-3 Calls", IF(#REF! &lt;=5, "4-5 Calls", "6+ Calls")))</f>
        <v>#REF!</v>
      </c>
      <c r="X2032" t="e">
        <f>IF(#REF! &lt;= 50, "0-50", IF(#REF! &lt;=100, "51-100", IF(#REF! &lt;= 150, "101-150", "151+")))</f>
        <v>#REF!</v>
      </c>
      <c r="Y2032" t="e">
        <f>IF(#REF! &lt;= 3, "Low Charges", "High Charges")</f>
        <v>#REF!</v>
      </c>
      <c r="Z2032" t="e">
        <f>IF(#REF!&lt;=80,"Low Calls",
IF(#REF!&lt;=120,"Medium Calls","High Calls"))</f>
        <v>#REF!</v>
      </c>
      <c r="AA2032" t="e">
        <f>IF(#REF!&lt;=15,"Low Charges",
IF(#REF!&lt;=20,"Medium Charges","High Charges"))</f>
        <v>#REF!</v>
      </c>
      <c r="AB2032" t="e">
        <f>IF(AND(#REF!&gt;180, #REF!&gt;200), "Heavy Doemstic User", IF(#REF!&gt;10, "Interntional User", IF(AND(#REF!&lt;180, #REF!&lt;200,#REF!&lt;200), "Light User", "Balanced User")))</f>
        <v>#REF!</v>
      </c>
      <c r="AC2032" t="e">
        <f>IF(#REF! = 0, "No Usage", IF(#REF! &lt;= 20, "Low Usage", IF(#REF! &lt;= 40, "Medium Usgae", "High Usage")))</f>
        <v>#REF!</v>
      </c>
      <c r="AD2032" t="e">
        <f>IF(#REF!&lt;=150,"Low Usage", IF(#REF!&lt;=200,"Medium Usage", IF(#REF!&lt;=250,"High Usage","Very High Usage")))</f>
        <v>#REF!</v>
      </c>
      <c r="AE2032" t="e">
        <f>IF(#REF!&lt;=5,"Low Calls", IF(#REF!&lt;=10, "Medium Calls", "High Calls"))</f>
        <v>#REF!</v>
      </c>
      <c r="AF2032" t="e">
        <f xml:space="preserve">
IF(#REF!&gt;=4,4,0)+
IF(#REF!="yes",3,0)+
IF(#REF!="High Charges",3,0)+
IF(#REF!&gt;250,4,0)+
IF(#REF!="no",1,0)+
IF(#REF!="Heavy Domestic User",2,0)</f>
        <v>#REF!</v>
      </c>
      <c r="AG2032" t="e">
        <f>IF(#REF!&gt;=10,"High Risk", IF(#REF!&gt;=5,"Medium Risk","Low Risk"))</f>
        <v>#REF!</v>
      </c>
      <c r="AH2032" t="e">
        <f>#REF! + #REF! + #REF! + #REF!</f>
        <v>#REF!</v>
      </c>
    </row>
    <row r="2033" spans="1:34" x14ac:dyDescent="0.35">
      <c r="A2033">
        <v>2032</v>
      </c>
      <c r="B2033" t="s">
        <v>36</v>
      </c>
      <c r="C2033">
        <v>122</v>
      </c>
      <c r="D2033" t="s">
        <v>28</v>
      </c>
      <c r="E2033" t="s">
        <v>22</v>
      </c>
      <c r="F2033" t="s">
        <v>22</v>
      </c>
      <c r="G2033">
        <v>0</v>
      </c>
      <c r="H2033">
        <v>145.6</v>
      </c>
      <c r="I2033">
        <v>102</v>
      </c>
      <c r="J2033">
        <v>24.75</v>
      </c>
      <c r="K2033">
        <v>284.7</v>
      </c>
      <c r="L2033">
        <v>111</v>
      </c>
      <c r="M2033">
        <v>24.2</v>
      </c>
      <c r="N2033">
        <v>228.2</v>
      </c>
      <c r="O2033">
        <v>91</v>
      </c>
      <c r="P2033">
        <v>10.27</v>
      </c>
      <c r="Q2033">
        <v>12.2</v>
      </c>
      <c r="R2033">
        <v>5</v>
      </c>
      <c r="S2033">
        <v>3.29</v>
      </c>
      <c r="T2033">
        <v>0</v>
      </c>
      <c r="U2033" t="s">
        <v>22</v>
      </c>
      <c r="V2033" t="e">
        <f>IF(#REF! = "yes", 1, 0)</f>
        <v>#REF!</v>
      </c>
      <c r="W2033" t="e">
        <f>IF(#REF! &lt;= 1, "0-1 Calls", IF(#REF! &lt;= 3, "2-3 Calls", IF(#REF! &lt;=5, "4-5 Calls", "6+ Calls")))</f>
        <v>#REF!</v>
      </c>
      <c r="X2033" t="e">
        <f>IF(#REF! &lt;= 50, "0-50", IF(#REF! &lt;=100, "51-100", IF(#REF! &lt;= 150, "101-150", "151+")))</f>
        <v>#REF!</v>
      </c>
      <c r="Y2033" t="e">
        <f>IF(#REF! &lt;= 3, "Low Charges", "High Charges")</f>
        <v>#REF!</v>
      </c>
      <c r="Z2033" t="e">
        <f>IF(#REF!&lt;=80,"Low Calls",
IF(#REF!&lt;=120,"Medium Calls","High Calls"))</f>
        <v>#REF!</v>
      </c>
      <c r="AA2033" t="e">
        <f>IF(#REF!&lt;=15,"Low Charges",
IF(#REF!&lt;=20,"Medium Charges","High Charges"))</f>
        <v>#REF!</v>
      </c>
      <c r="AB2033" t="e">
        <f>IF(AND(#REF!&gt;180, #REF!&gt;200), "Heavy Doemstic User", IF(#REF!&gt;10, "Interntional User", IF(AND(#REF!&lt;180, #REF!&lt;200,#REF!&lt;200), "Light User", "Balanced User")))</f>
        <v>#REF!</v>
      </c>
      <c r="AC2033" t="e">
        <f>IF(#REF! = 0, "No Usage", IF(#REF! &lt;= 20, "Low Usage", IF(#REF! &lt;= 40, "Medium Usgae", "High Usage")))</f>
        <v>#REF!</v>
      </c>
      <c r="AD2033" t="e">
        <f>IF(#REF!&lt;=150,"Low Usage", IF(#REF!&lt;=200,"Medium Usage", IF(#REF!&lt;=250,"High Usage","Very High Usage")))</f>
        <v>#REF!</v>
      </c>
      <c r="AE2033" t="e">
        <f>IF(#REF!&lt;=5,"Low Calls", IF(#REF!&lt;=10, "Medium Calls", "High Calls"))</f>
        <v>#REF!</v>
      </c>
      <c r="AF2033" t="e">
        <f xml:space="preserve">
IF(#REF!&gt;=4,4,0)+
IF(#REF!="yes",3,0)+
IF(#REF!="High Charges",3,0)+
IF(#REF!&gt;250,4,0)+
IF(#REF!="no",1,0)+
IF(#REF!="Heavy Domestic User",2,0)</f>
        <v>#REF!</v>
      </c>
      <c r="AG2033" t="e">
        <f>IF(#REF!&gt;=10,"High Risk", IF(#REF!&gt;=5,"Medium Risk","Low Risk"))</f>
        <v>#REF!</v>
      </c>
      <c r="AH2033" t="e">
        <f>#REF! + #REF! + #REF! + #REF!</f>
        <v>#REF!</v>
      </c>
    </row>
    <row r="2034" spans="1:34" x14ac:dyDescent="0.35">
      <c r="A2034">
        <v>2033</v>
      </c>
      <c r="B2034" t="s">
        <v>35</v>
      </c>
      <c r="C2034">
        <v>130</v>
      </c>
      <c r="D2034" t="s">
        <v>25</v>
      </c>
      <c r="E2034" t="s">
        <v>22</v>
      </c>
      <c r="F2034" t="s">
        <v>23</v>
      </c>
      <c r="G2034">
        <v>19</v>
      </c>
      <c r="H2034">
        <v>152.9</v>
      </c>
      <c r="I2034">
        <v>87</v>
      </c>
      <c r="J2034">
        <v>25.99</v>
      </c>
      <c r="K2034">
        <v>213.2</v>
      </c>
      <c r="L2034">
        <v>99</v>
      </c>
      <c r="M2034">
        <v>18.12</v>
      </c>
      <c r="N2034">
        <v>205.3</v>
      </c>
      <c r="O2034">
        <v>114</v>
      </c>
      <c r="P2034">
        <v>9.24</v>
      </c>
      <c r="Q2034">
        <v>10.8</v>
      </c>
      <c r="R2034">
        <v>6</v>
      </c>
      <c r="S2034">
        <v>2.92</v>
      </c>
      <c r="T2034">
        <v>2</v>
      </c>
      <c r="U2034" t="s">
        <v>22</v>
      </c>
      <c r="V2034" t="e">
        <f>IF(#REF! = "yes", 1, 0)</f>
        <v>#REF!</v>
      </c>
      <c r="W2034" t="e">
        <f>IF(#REF! &lt;= 1, "0-1 Calls", IF(#REF! &lt;= 3, "2-3 Calls", IF(#REF! &lt;=5, "4-5 Calls", "6+ Calls")))</f>
        <v>#REF!</v>
      </c>
      <c r="X2034" t="e">
        <f>IF(#REF! &lt;= 50, "0-50", IF(#REF! &lt;=100, "51-100", IF(#REF! &lt;= 150, "101-150", "151+")))</f>
        <v>#REF!</v>
      </c>
      <c r="Y2034" t="e">
        <f>IF(#REF! &lt;= 3, "Low Charges", "High Charges")</f>
        <v>#REF!</v>
      </c>
      <c r="Z2034" t="e">
        <f>IF(#REF!&lt;=80,"Low Calls",
IF(#REF!&lt;=120,"Medium Calls","High Calls"))</f>
        <v>#REF!</v>
      </c>
      <c r="AA2034" t="e">
        <f>IF(#REF!&lt;=15,"Low Charges",
IF(#REF!&lt;=20,"Medium Charges","High Charges"))</f>
        <v>#REF!</v>
      </c>
      <c r="AB2034" t="e">
        <f>IF(AND(#REF!&gt;180, #REF!&gt;200), "Heavy Doemstic User", IF(#REF!&gt;10, "Interntional User", IF(AND(#REF!&lt;180, #REF!&lt;200,#REF!&lt;200), "Light User", "Balanced User")))</f>
        <v>#REF!</v>
      </c>
      <c r="AC2034" t="e">
        <f>IF(#REF! = 0, "No Usage", IF(#REF! &lt;= 20, "Low Usage", IF(#REF! &lt;= 40, "Medium Usgae", "High Usage")))</f>
        <v>#REF!</v>
      </c>
      <c r="AD2034" t="e">
        <f>IF(#REF!&lt;=150,"Low Usage", IF(#REF!&lt;=200,"Medium Usage", IF(#REF!&lt;=250,"High Usage","Very High Usage")))</f>
        <v>#REF!</v>
      </c>
      <c r="AE2034" t="e">
        <f>IF(#REF!&lt;=5,"Low Calls", IF(#REF!&lt;=10, "Medium Calls", "High Calls"))</f>
        <v>#REF!</v>
      </c>
      <c r="AF2034" t="e">
        <f xml:space="preserve">
IF(#REF!&gt;=4,4,0)+
IF(#REF!="yes",3,0)+
IF(#REF!="High Charges",3,0)+
IF(#REF!&gt;250,4,0)+
IF(#REF!="no",1,0)+
IF(#REF!="Heavy Domestic User",2,0)</f>
        <v>#REF!</v>
      </c>
      <c r="AG2034" t="e">
        <f>IF(#REF!&gt;=10,"High Risk", IF(#REF!&gt;=5,"Medium Risk","Low Risk"))</f>
        <v>#REF!</v>
      </c>
      <c r="AH2034" t="e">
        <f>#REF! + #REF! + #REF! + #REF!</f>
        <v>#REF!</v>
      </c>
    </row>
    <row r="2035" spans="1:34" x14ac:dyDescent="0.35">
      <c r="A2035">
        <v>2034</v>
      </c>
      <c r="B2035" t="s">
        <v>69</v>
      </c>
      <c r="C2035">
        <v>139</v>
      </c>
      <c r="D2035" t="s">
        <v>21</v>
      </c>
      <c r="E2035" t="s">
        <v>22</v>
      </c>
      <c r="F2035" t="s">
        <v>23</v>
      </c>
      <c r="G2035">
        <v>25</v>
      </c>
      <c r="H2035">
        <v>138.30000000000001</v>
      </c>
      <c r="I2035">
        <v>96</v>
      </c>
      <c r="J2035">
        <v>23.51</v>
      </c>
      <c r="K2035">
        <v>80.599999999999994</v>
      </c>
      <c r="L2035">
        <v>79</v>
      </c>
      <c r="M2035">
        <v>6.85</v>
      </c>
      <c r="N2035">
        <v>163.69999999999999</v>
      </c>
      <c r="O2035">
        <v>83</v>
      </c>
      <c r="P2035">
        <v>7.37</v>
      </c>
      <c r="Q2035">
        <v>8.3000000000000007</v>
      </c>
      <c r="R2035">
        <v>8</v>
      </c>
      <c r="S2035">
        <v>2.2400000000000002</v>
      </c>
      <c r="T2035">
        <v>0</v>
      </c>
      <c r="U2035" t="s">
        <v>22</v>
      </c>
      <c r="V2035" t="e">
        <f>IF(#REF! = "yes", 1, 0)</f>
        <v>#REF!</v>
      </c>
      <c r="W2035" t="e">
        <f>IF(#REF! &lt;= 1, "0-1 Calls", IF(#REF! &lt;= 3, "2-3 Calls", IF(#REF! &lt;=5, "4-5 Calls", "6+ Calls")))</f>
        <v>#REF!</v>
      </c>
      <c r="X2035" t="e">
        <f>IF(#REF! &lt;= 50, "0-50", IF(#REF! &lt;=100, "51-100", IF(#REF! &lt;= 150, "101-150", "151+")))</f>
        <v>#REF!</v>
      </c>
      <c r="Y2035" t="e">
        <f>IF(#REF! &lt;= 3, "Low Charges", "High Charges")</f>
        <v>#REF!</v>
      </c>
      <c r="Z2035" t="e">
        <f>IF(#REF!&lt;=80,"Low Calls",
IF(#REF!&lt;=120,"Medium Calls","High Calls"))</f>
        <v>#REF!</v>
      </c>
      <c r="AA2035" t="e">
        <f>IF(#REF!&lt;=15,"Low Charges",
IF(#REF!&lt;=20,"Medium Charges","High Charges"))</f>
        <v>#REF!</v>
      </c>
      <c r="AB2035" t="e">
        <f>IF(AND(#REF!&gt;180, #REF!&gt;200), "Heavy Doemstic User", IF(#REF!&gt;10, "Interntional User", IF(AND(#REF!&lt;180, #REF!&lt;200,#REF!&lt;200), "Light User", "Balanced User")))</f>
        <v>#REF!</v>
      </c>
      <c r="AC2035" t="e">
        <f>IF(#REF! = 0, "No Usage", IF(#REF! &lt;= 20, "Low Usage", IF(#REF! &lt;= 40, "Medium Usgae", "High Usage")))</f>
        <v>#REF!</v>
      </c>
      <c r="AD2035" t="e">
        <f>IF(#REF!&lt;=150,"Low Usage", IF(#REF!&lt;=200,"Medium Usage", IF(#REF!&lt;=250,"High Usage","Very High Usage")))</f>
        <v>#REF!</v>
      </c>
      <c r="AE2035" t="e">
        <f>IF(#REF!&lt;=5,"Low Calls", IF(#REF!&lt;=10, "Medium Calls", "High Calls"))</f>
        <v>#REF!</v>
      </c>
      <c r="AF2035" t="e">
        <f xml:space="preserve">
IF(#REF!&gt;=4,4,0)+
IF(#REF!="yes",3,0)+
IF(#REF!="High Charges",3,0)+
IF(#REF!&gt;250,4,0)+
IF(#REF!="no",1,0)+
IF(#REF!="Heavy Domestic User",2,0)</f>
        <v>#REF!</v>
      </c>
      <c r="AG2035" t="e">
        <f>IF(#REF!&gt;=10,"High Risk", IF(#REF!&gt;=5,"Medium Risk","Low Risk"))</f>
        <v>#REF!</v>
      </c>
      <c r="AH2035" t="e">
        <f>#REF! + #REF! + #REF! + #REF!</f>
        <v>#REF!</v>
      </c>
    </row>
    <row r="2036" spans="1:34" x14ac:dyDescent="0.35">
      <c r="A2036">
        <v>2035</v>
      </c>
      <c r="B2036" t="s">
        <v>32</v>
      </c>
      <c r="C2036">
        <v>57</v>
      </c>
      <c r="D2036" t="s">
        <v>21</v>
      </c>
      <c r="E2036" t="s">
        <v>22</v>
      </c>
      <c r="F2036" t="s">
        <v>22</v>
      </c>
      <c r="G2036">
        <v>0</v>
      </c>
      <c r="H2036">
        <v>189.3</v>
      </c>
      <c r="I2036">
        <v>157</v>
      </c>
      <c r="J2036">
        <v>32.18</v>
      </c>
      <c r="K2036">
        <v>174.9</v>
      </c>
      <c r="L2036">
        <v>70</v>
      </c>
      <c r="M2036">
        <v>14.87</v>
      </c>
      <c r="N2036">
        <v>221.9</v>
      </c>
      <c r="O2036">
        <v>117</v>
      </c>
      <c r="P2036">
        <v>9.99</v>
      </c>
      <c r="Q2036">
        <v>11.2</v>
      </c>
      <c r="R2036">
        <v>5</v>
      </c>
      <c r="S2036">
        <v>3.02</v>
      </c>
      <c r="T2036">
        <v>3</v>
      </c>
      <c r="U2036" t="s">
        <v>22</v>
      </c>
      <c r="V2036" t="e">
        <f>IF(#REF! = "yes", 1, 0)</f>
        <v>#REF!</v>
      </c>
      <c r="W2036" t="e">
        <f>IF(#REF! &lt;= 1, "0-1 Calls", IF(#REF! &lt;= 3, "2-3 Calls", IF(#REF! &lt;=5, "4-5 Calls", "6+ Calls")))</f>
        <v>#REF!</v>
      </c>
      <c r="X2036" t="e">
        <f>IF(#REF! &lt;= 50, "0-50", IF(#REF! &lt;=100, "51-100", IF(#REF! &lt;= 150, "101-150", "151+")))</f>
        <v>#REF!</v>
      </c>
      <c r="Y2036" t="e">
        <f>IF(#REF! &lt;= 3, "Low Charges", "High Charges")</f>
        <v>#REF!</v>
      </c>
      <c r="Z2036" t="e">
        <f>IF(#REF!&lt;=80,"Low Calls",
IF(#REF!&lt;=120,"Medium Calls","High Calls"))</f>
        <v>#REF!</v>
      </c>
      <c r="AA2036" t="e">
        <f>IF(#REF!&lt;=15,"Low Charges",
IF(#REF!&lt;=20,"Medium Charges","High Charges"))</f>
        <v>#REF!</v>
      </c>
      <c r="AB2036" t="e">
        <f>IF(AND(#REF!&gt;180, #REF!&gt;200), "Heavy Doemstic User", IF(#REF!&gt;10, "Interntional User", IF(AND(#REF!&lt;180, #REF!&lt;200,#REF!&lt;200), "Light User", "Balanced User")))</f>
        <v>#REF!</v>
      </c>
      <c r="AC2036" t="e">
        <f>IF(#REF! = 0, "No Usage", IF(#REF! &lt;= 20, "Low Usage", IF(#REF! &lt;= 40, "Medium Usgae", "High Usage")))</f>
        <v>#REF!</v>
      </c>
      <c r="AD2036" t="e">
        <f>IF(#REF!&lt;=150,"Low Usage", IF(#REF!&lt;=200,"Medium Usage", IF(#REF!&lt;=250,"High Usage","Very High Usage")))</f>
        <v>#REF!</v>
      </c>
      <c r="AE2036" t="e">
        <f>IF(#REF!&lt;=5,"Low Calls", IF(#REF!&lt;=10, "Medium Calls", "High Calls"))</f>
        <v>#REF!</v>
      </c>
      <c r="AF2036" t="e">
        <f xml:space="preserve">
IF(#REF!&gt;=4,4,0)+
IF(#REF!="yes",3,0)+
IF(#REF!="High Charges",3,0)+
IF(#REF!&gt;250,4,0)+
IF(#REF!="no",1,0)+
IF(#REF!="Heavy Domestic User",2,0)</f>
        <v>#REF!</v>
      </c>
      <c r="AG2036" t="e">
        <f>IF(#REF!&gt;=10,"High Risk", IF(#REF!&gt;=5,"Medium Risk","Low Risk"))</f>
        <v>#REF!</v>
      </c>
      <c r="AH2036" t="e">
        <f>#REF! + #REF! + #REF! + #REF!</f>
        <v>#REF!</v>
      </c>
    </row>
    <row r="2037" spans="1:34" x14ac:dyDescent="0.35">
      <c r="A2037">
        <v>2036</v>
      </c>
      <c r="B2037" t="s">
        <v>41</v>
      </c>
      <c r="C2037">
        <v>128</v>
      </c>
      <c r="D2037" t="s">
        <v>28</v>
      </c>
      <c r="E2037" t="s">
        <v>22</v>
      </c>
      <c r="F2037" t="s">
        <v>22</v>
      </c>
      <c r="G2037">
        <v>0</v>
      </c>
      <c r="H2037">
        <v>199.3</v>
      </c>
      <c r="I2037">
        <v>86</v>
      </c>
      <c r="J2037">
        <v>33.880000000000003</v>
      </c>
      <c r="K2037">
        <v>194.8</v>
      </c>
      <c r="L2037">
        <v>102</v>
      </c>
      <c r="M2037">
        <v>16.559999999999999</v>
      </c>
      <c r="N2037">
        <v>298.2</v>
      </c>
      <c r="O2037">
        <v>82</v>
      </c>
      <c r="P2037">
        <v>13.42</v>
      </c>
      <c r="Q2037">
        <v>14.3</v>
      </c>
      <c r="R2037">
        <v>2</v>
      </c>
      <c r="S2037">
        <v>3.86</v>
      </c>
      <c r="T2037">
        <v>4</v>
      </c>
      <c r="U2037" t="s">
        <v>22</v>
      </c>
      <c r="V2037" t="e">
        <f>IF(#REF! = "yes", 1, 0)</f>
        <v>#REF!</v>
      </c>
      <c r="W2037" t="e">
        <f>IF(#REF! &lt;= 1, "0-1 Calls", IF(#REF! &lt;= 3, "2-3 Calls", IF(#REF! &lt;=5, "4-5 Calls", "6+ Calls")))</f>
        <v>#REF!</v>
      </c>
      <c r="X2037" t="e">
        <f>IF(#REF! &lt;= 50, "0-50", IF(#REF! &lt;=100, "51-100", IF(#REF! &lt;= 150, "101-150", "151+")))</f>
        <v>#REF!</v>
      </c>
      <c r="Y2037" t="e">
        <f>IF(#REF! &lt;= 3, "Low Charges", "High Charges")</f>
        <v>#REF!</v>
      </c>
      <c r="Z2037" t="e">
        <f>IF(#REF!&lt;=80,"Low Calls",
IF(#REF!&lt;=120,"Medium Calls","High Calls"))</f>
        <v>#REF!</v>
      </c>
      <c r="AA2037" t="e">
        <f>IF(#REF!&lt;=15,"Low Charges",
IF(#REF!&lt;=20,"Medium Charges","High Charges"))</f>
        <v>#REF!</v>
      </c>
      <c r="AB2037" t="e">
        <f>IF(AND(#REF!&gt;180, #REF!&gt;200), "Heavy Doemstic User", IF(#REF!&gt;10, "Interntional User", IF(AND(#REF!&lt;180, #REF!&lt;200,#REF!&lt;200), "Light User", "Balanced User")))</f>
        <v>#REF!</v>
      </c>
      <c r="AC2037" t="e">
        <f>IF(#REF! = 0, "No Usage", IF(#REF! &lt;= 20, "Low Usage", IF(#REF! &lt;= 40, "Medium Usgae", "High Usage")))</f>
        <v>#REF!</v>
      </c>
      <c r="AD2037" t="e">
        <f>IF(#REF!&lt;=150,"Low Usage", IF(#REF!&lt;=200,"Medium Usage", IF(#REF!&lt;=250,"High Usage","Very High Usage")))</f>
        <v>#REF!</v>
      </c>
      <c r="AE2037" t="e">
        <f>IF(#REF!&lt;=5,"Low Calls", IF(#REF!&lt;=10, "Medium Calls", "High Calls"))</f>
        <v>#REF!</v>
      </c>
      <c r="AF2037" t="e">
        <f xml:space="preserve">
IF(#REF!&gt;=4,4,0)+
IF(#REF!="yes",3,0)+
IF(#REF!="High Charges",3,0)+
IF(#REF!&gt;250,4,0)+
IF(#REF!="no",1,0)+
IF(#REF!="Heavy Domestic User",2,0)</f>
        <v>#REF!</v>
      </c>
      <c r="AG2037" t="e">
        <f>IF(#REF!&gt;=10,"High Risk", IF(#REF!&gt;=5,"Medium Risk","Low Risk"))</f>
        <v>#REF!</v>
      </c>
      <c r="AH2037" t="e">
        <f>#REF! + #REF! + #REF! + #REF!</f>
        <v>#REF!</v>
      </c>
    </row>
    <row r="2038" spans="1:34" x14ac:dyDescent="0.35">
      <c r="A2038">
        <v>2037</v>
      </c>
      <c r="B2038" t="s">
        <v>44</v>
      </c>
      <c r="C2038">
        <v>127</v>
      </c>
      <c r="D2038" t="s">
        <v>28</v>
      </c>
      <c r="E2038" t="s">
        <v>23</v>
      </c>
      <c r="F2038" t="s">
        <v>22</v>
      </c>
      <c r="G2038">
        <v>0</v>
      </c>
      <c r="H2038">
        <v>247.5</v>
      </c>
      <c r="I2038">
        <v>99</v>
      </c>
      <c r="J2038">
        <v>42.08</v>
      </c>
      <c r="K2038">
        <v>108.5</v>
      </c>
      <c r="L2038">
        <v>118</v>
      </c>
      <c r="M2038">
        <v>9.2200000000000006</v>
      </c>
      <c r="N2038">
        <v>232</v>
      </c>
      <c r="O2038">
        <v>72</v>
      </c>
      <c r="P2038">
        <v>10.44</v>
      </c>
      <c r="Q2038">
        <v>10.6</v>
      </c>
      <c r="R2038">
        <v>3</v>
      </c>
      <c r="S2038">
        <v>2.86</v>
      </c>
      <c r="T2038">
        <v>2</v>
      </c>
      <c r="U2038" t="s">
        <v>22</v>
      </c>
      <c r="V2038" t="e">
        <f>IF(#REF! = "yes", 1, 0)</f>
        <v>#REF!</v>
      </c>
      <c r="W2038" t="e">
        <f>IF(#REF! &lt;= 1, "0-1 Calls", IF(#REF! &lt;= 3, "2-3 Calls", IF(#REF! &lt;=5, "4-5 Calls", "6+ Calls")))</f>
        <v>#REF!</v>
      </c>
      <c r="X2038" t="e">
        <f>IF(#REF! &lt;= 50, "0-50", IF(#REF! &lt;=100, "51-100", IF(#REF! &lt;= 150, "101-150", "151+")))</f>
        <v>#REF!</v>
      </c>
      <c r="Y2038" t="e">
        <f>IF(#REF! &lt;= 3, "Low Charges", "High Charges")</f>
        <v>#REF!</v>
      </c>
      <c r="Z2038" t="e">
        <f>IF(#REF!&lt;=80,"Low Calls",
IF(#REF!&lt;=120,"Medium Calls","High Calls"))</f>
        <v>#REF!</v>
      </c>
      <c r="AA2038" t="e">
        <f>IF(#REF!&lt;=15,"Low Charges",
IF(#REF!&lt;=20,"Medium Charges","High Charges"))</f>
        <v>#REF!</v>
      </c>
      <c r="AB2038" t="e">
        <f>IF(AND(#REF!&gt;180, #REF!&gt;200), "Heavy Doemstic User", IF(#REF!&gt;10, "Interntional User", IF(AND(#REF!&lt;180, #REF!&lt;200,#REF!&lt;200), "Light User", "Balanced User")))</f>
        <v>#REF!</v>
      </c>
      <c r="AC2038" t="e">
        <f>IF(#REF! = 0, "No Usage", IF(#REF! &lt;= 20, "Low Usage", IF(#REF! &lt;= 40, "Medium Usgae", "High Usage")))</f>
        <v>#REF!</v>
      </c>
      <c r="AD2038" t="e">
        <f>IF(#REF!&lt;=150,"Low Usage", IF(#REF!&lt;=200,"Medium Usage", IF(#REF!&lt;=250,"High Usage","Very High Usage")))</f>
        <v>#REF!</v>
      </c>
      <c r="AE2038" t="e">
        <f>IF(#REF!&lt;=5,"Low Calls", IF(#REF!&lt;=10, "Medium Calls", "High Calls"))</f>
        <v>#REF!</v>
      </c>
      <c r="AF2038" t="e">
        <f xml:space="preserve">
IF(#REF!&gt;=4,4,0)+
IF(#REF!="yes",3,0)+
IF(#REF!="High Charges",3,0)+
IF(#REF!&gt;250,4,0)+
IF(#REF!="no",1,0)+
IF(#REF!="Heavy Domestic User",2,0)</f>
        <v>#REF!</v>
      </c>
      <c r="AG2038" t="e">
        <f>IF(#REF!&gt;=10,"High Risk", IF(#REF!&gt;=5,"Medium Risk","Low Risk"))</f>
        <v>#REF!</v>
      </c>
      <c r="AH2038" t="e">
        <f>#REF! + #REF! + #REF! + #REF!</f>
        <v>#REF!</v>
      </c>
    </row>
    <row r="2039" spans="1:34" x14ac:dyDescent="0.35">
      <c r="A2039">
        <v>2038</v>
      </c>
      <c r="B2039" t="s">
        <v>26</v>
      </c>
      <c r="C2039">
        <v>177</v>
      </c>
      <c r="D2039" t="s">
        <v>25</v>
      </c>
      <c r="E2039" t="s">
        <v>22</v>
      </c>
      <c r="F2039" t="s">
        <v>22</v>
      </c>
      <c r="G2039">
        <v>0</v>
      </c>
      <c r="H2039">
        <v>175.4</v>
      </c>
      <c r="I2039">
        <v>99</v>
      </c>
      <c r="J2039">
        <v>29.82</v>
      </c>
      <c r="K2039">
        <v>155.30000000000001</v>
      </c>
      <c r="L2039">
        <v>83</v>
      </c>
      <c r="M2039">
        <v>13.2</v>
      </c>
      <c r="N2039">
        <v>179.4</v>
      </c>
      <c r="O2039">
        <v>86</v>
      </c>
      <c r="P2039">
        <v>8.07</v>
      </c>
      <c r="Q2039">
        <v>11.5</v>
      </c>
      <c r="R2039">
        <v>3</v>
      </c>
      <c r="S2039">
        <v>3.11</v>
      </c>
      <c r="T2039">
        <v>1</v>
      </c>
      <c r="U2039" t="s">
        <v>22</v>
      </c>
      <c r="V2039" t="e">
        <f>IF(#REF! = "yes", 1, 0)</f>
        <v>#REF!</v>
      </c>
      <c r="W2039" t="e">
        <f>IF(#REF! &lt;= 1, "0-1 Calls", IF(#REF! &lt;= 3, "2-3 Calls", IF(#REF! &lt;=5, "4-5 Calls", "6+ Calls")))</f>
        <v>#REF!</v>
      </c>
      <c r="X2039" t="e">
        <f>IF(#REF! &lt;= 50, "0-50", IF(#REF! &lt;=100, "51-100", IF(#REF! &lt;= 150, "101-150", "151+")))</f>
        <v>#REF!</v>
      </c>
      <c r="Y2039" t="e">
        <f>IF(#REF! &lt;= 3, "Low Charges", "High Charges")</f>
        <v>#REF!</v>
      </c>
      <c r="Z2039" t="e">
        <f>IF(#REF!&lt;=80,"Low Calls",
IF(#REF!&lt;=120,"Medium Calls","High Calls"))</f>
        <v>#REF!</v>
      </c>
      <c r="AA2039" t="e">
        <f>IF(#REF!&lt;=15,"Low Charges",
IF(#REF!&lt;=20,"Medium Charges","High Charges"))</f>
        <v>#REF!</v>
      </c>
      <c r="AB2039" t="e">
        <f>IF(AND(#REF!&gt;180, #REF!&gt;200), "Heavy Doemstic User", IF(#REF!&gt;10, "Interntional User", IF(AND(#REF!&lt;180, #REF!&lt;200,#REF!&lt;200), "Light User", "Balanced User")))</f>
        <v>#REF!</v>
      </c>
      <c r="AC2039" t="e">
        <f>IF(#REF! = 0, "No Usage", IF(#REF! &lt;= 20, "Low Usage", IF(#REF! &lt;= 40, "Medium Usgae", "High Usage")))</f>
        <v>#REF!</v>
      </c>
      <c r="AD2039" t="e">
        <f>IF(#REF!&lt;=150,"Low Usage", IF(#REF!&lt;=200,"Medium Usage", IF(#REF!&lt;=250,"High Usage","Very High Usage")))</f>
        <v>#REF!</v>
      </c>
      <c r="AE2039" t="e">
        <f>IF(#REF!&lt;=5,"Low Calls", IF(#REF!&lt;=10, "Medium Calls", "High Calls"))</f>
        <v>#REF!</v>
      </c>
      <c r="AF2039" t="e">
        <f xml:space="preserve">
IF(#REF!&gt;=4,4,0)+
IF(#REF!="yes",3,0)+
IF(#REF!="High Charges",3,0)+
IF(#REF!&gt;250,4,0)+
IF(#REF!="no",1,0)+
IF(#REF!="Heavy Domestic User",2,0)</f>
        <v>#REF!</v>
      </c>
      <c r="AG2039" t="e">
        <f>IF(#REF!&gt;=10,"High Risk", IF(#REF!&gt;=5,"Medium Risk","Low Risk"))</f>
        <v>#REF!</v>
      </c>
      <c r="AH2039" t="e">
        <f>#REF! + #REF! + #REF! + #REF!</f>
        <v>#REF!</v>
      </c>
    </row>
    <row r="2040" spans="1:34" x14ac:dyDescent="0.35">
      <c r="A2040">
        <v>2039</v>
      </c>
      <c r="B2040" t="s">
        <v>57</v>
      </c>
      <c r="C2040">
        <v>121</v>
      </c>
      <c r="D2040" t="s">
        <v>21</v>
      </c>
      <c r="E2040" t="s">
        <v>22</v>
      </c>
      <c r="F2040" t="s">
        <v>22</v>
      </c>
      <c r="G2040">
        <v>0</v>
      </c>
      <c r="H2040">
        <v>179.4</v>
      </c>
      <c r="I2040">
        <v>70</v>
      </c>
      <c r="J2040">
        <v>30.5</v>
      </c>
      <c r="K2040">
        <v>143</v>
      </c>
      <c r="L2040">
        <v>93</v>
      </c>
      <c r="M2040">
        <v>12.16</v>
      </c>
      <c r="N2040">
        <v>116.3</v>
      </c>
      <c r="O2040">
        <v>113</v>
      </c>
      <c r="P2040">
        <v>5.23</v>
      </c>
      <c r="Q2040">
        <v>11.2</v>
      </c>
      <c r="R2040">
        <v>5</v>
      </c>
      <c r="S2040">
        <v>3.02</v>
      </c>
      <c r="T2040">
        <v>1</v>
      </c>
      <c r="U2040" t="s">
        <v>22</v>
      </c>
      <c r="V2040" t="e">
        <f>IF(#REF! = "yes", 1, 0)</f>
        <v>#REF!</v>
      </c>
      <c r="W2040" t="e">
        <f>IF(#REF! &lt;= 1, "0-1 Calls", IF(#REF! &lt;= 3, "2-3 Calls", IF(#REF! &lt;=5, "4-5 Calls", "6+ Calls")))</f>
        <v>#REF!</v>
      </c>
      <c r="X2040" t="e">
        <f>IF(#REF! &lt;= 50, "0-50", IF(#REF! &lt;=100, "51-100", IF(#REF! &lt;= 150, "101-150", "151+")))</f>
        <v>#REF!</v>
      </c>
      <c r="Y2040" t="e">
        <f>IF(#REF! &lt;= 3, "Low Charges", "High Charges")</f>
        <v>#REF!</v>
      </c>
      <c r="Z2040" t="e">
        <f>IF(#REF!&lt;=80,"Low Calls",
IF(#REF!&lt;=120,"Medium Calls","High Calls"))</f>
        <v>#REF!</v>
      </c>
      <c r="AA2040" t="e">
        <f>IF(#REF!&lt;=15,"Low Charges",
IF(#REF!&lt;=20,"Medium Charges","High Charges"))</f>
        <v>#REF!</v>
      </c>
      <c r="AB2040" t="e">
        <f>IF(AND(#REF!&gt;180, #REF!&gt;200), "Heavy Doemstic User", IF(#REF!&gt;10, "Interntional User", IF(AND(#REF!&lt;180, #REF!&lt;200,#REF!&lt;200), "Light User", "Balanced User")))</f>
        <v>#REF!</v>
      </c>
      <c r="AC2040" t="e">
        <f>IF(#REF! = 0, "No Usage", IF(#REF! &lt;= 20, "Low Usage", IF(#REF! &lt;= 40, "Medium Usgae", "High Usage")))</f>
        <v>#REF!</v>
      </c>
      <c r="AD2040" t="e">
        <f>IF(#REF!&lt;=150,"Low Usage", IF(#REF!&lt;=200,"Medium Usage", IF(#REF!&lt;=250,"High Usage","Very High Usage")))</f>
        <v>#REF!</v>
      </c>
      <c r="AE2040" t="e">
        <f>IF(#REF!&lt;=5,"Low Calls", IF(#REF!&lt;=10, "Medium Calls", "High Calls"))</f>
        <v>#REF!</v>
      </c>
      <c r="AF2040" t="e">
        <f xml:space="preserve">
IF(#REF!&gt;=4,4,0)+
IF(#REF!="yes",3,0)+
IF(#REF!="High Charges",3,0)+
IF(#REF!&gt;250,4,0)+
IF(#REF!="no",1,0)+
IF(#REF!="Heavy Domestic User",2,0)</f>
        <v>#REF!</v>
      </c>
      <c r="AG2040" t="e">
        <f>IF(#REF!&gt;=10,"High Risk", IF(#REF!&gt;=5,"Medium Risk","Low Risk"))</f>
        <v>#REF!</v>
      </c>
      <c r="AH2040" t="e">
        <f>#REF! + #REF! + #REF! + #REF!</f>
        <v>#REF!</v>
      </c>
    </row>
    <row r="2041" spans="1:34" x14ac:dyDescent="0.35">
      <c r="A2041">
        <v>2040</v>
      </c>
      <c r="B2041" t="s">
        <v>43</v>
      </c>
      <c r="C2041">
        <v>99</v>
      </c>
      <c r="D2041" t="s">
        <v>28</v>
      </c>
      <c r="E2041" t="s">
        <v>23</v>
      </c>
      <c r="F2041" t="s">
        <v>23</v>
      </c>
      <c r="G2041">
        <v>39</v>
      </c>
      <c r="H2041">
        <v>126.8</v>
      </c>
      <c r="I2041">
        <v>94</v>
      </c>
      <c r="J2041">
        <v>21.56</v>
      </c>
      <c r="K2041">
        <v>293.60000000000002</v>
      </c>
      <c r="L2041">
        <v>115</v>
      </c>
      <c r="M2041">
        <v>24.96</v>
      </c>
      <c r="N2041">
        <v>174.1</v>
      </c>
      <c r="O2041">
        <v>91</v>
      </c>
      <c r="P2041">
        <v>7.83</v>
      </c>
      <c r="Q2041">
        <v>8.4</v>
      </c>
      <c r="R2041">
        <v>4</v>
      </c>
      <c r="S2041">
        <v>2.27</v>
      </c>
      <c r="T2041">
        <v>0</v>
      </c>
      <c r="U2041" t="s">
        <v>22</v>
      </c>
      <c r="V2041" t="e">
        <f>IF(#REF! = "yes", 1, 0)</f>
        <v>#REF!</v>
      </c>
      <c r="W2041" t="e">
        <f>IF(#REF! &lt;= 1, "0-1 Calls", IF(#REF! &lt;= 3, "2-3 Calls", IF(#REF! &lt;=5, "4-5 Calls", "6+ Calls")))</f>
        <v>#REF!</v>
      </c>
      <c r="X2041" t="e">
        <f>IF(#REF! &lt;= 50, "0-50", IF(#REF! &lt;=100, "51-100", IF(#REF! &lt;= 150, "101-150", "151+")))</f>
        <v>#REF!</v>
      </c>
      <c r="Y2041" t="e">
        <f>IF(#REF! &lt;= 3, "Low Charges", "High Charges")</f>
        <v>#REF!</v>
      </c>
      <c r="Z2041" t="e">
        <f>IF(#REF!&lt;=80,"Low Calls",
IF(#REF!&lt;=120,"Medium Calls","High Calls"))</f>
        <v>#REF!</v>
      </c>
      <c r="AA2041" t="e">
        <f>IF(#REF!&lt;=15,"Low Charges",
IF(#REF!&lt;=20,"Medium Charges","High Charges"))</f>
        <v>#REF!</v>
      </c>
      <c r="AB2041" t="e">
        <f>IF(AND(#REF!&gt;180, #REF!&gt;200), "Heavy Doemstic User", IF(#REF!&gt;10, "Interntional User", IF(AND(#REF!&lt;180, #REF!&lt;200,#REF!&lt;200), "Light User", "Balanced User")))</f>
        <v>#REF!</v>
      </c>
      <c r="AC2041" t="e">
        <f>IF(#REF! = 0, "No Usage", IF(#REF! &lt;= 20, "Low Usage", IF(#REF! &lt;= 40, "Medium Usgae", "High Usage")))</f>
        <v>#REF!</v>
      </c>
      <c r="AD2041" t="e">
        <f>IF(#REF!&lt;=150,"Low Usage", IF(#REF!&lt;=200,"Medium Usage", IF(#REF!&lt;=250,"High Usage","Very High Usage")))</f>
        <v>#REF!</v>
      </c>
      <c r="AE2041" t="e">
        <f>IF(#REF!&lt;=5,"Low Calls", IF(#REF!&lt;=10, "Medium Calls", "High Calls"))</f>
        <v>#REF!</v>
      </c>
      <c r="AF2041" t="e">
        <f xml:space="preserve">
IF(#REF!&gt;=4,4,0)+
IF(#REF!="yes",3,0)+
IF(#REF!="High Charges",3,0)+
IF(#REF!&gt;250,4,0)+
IF(#REF!="no",1,0)+
IF(#REF!="Heavy Domestic User",2,0)</f>
        <v>#REF!</v>
      </c>
      <c r="AG2041" t="e">
        <f>IF(#REF!&gt;=10,"High Risk", IF(#REF!&gt;=5,"Medium Risk","Low Risk"))</f>
        <v>#REF!</v>
      </c>
      <c r="AH2041" t="e">
        <f>#REF! + #REF! + #REF! + #REF!</f>
        <v>#REF!</v>
      </c>
    </row>
    <row r="2042" spans="1:34" x14ac:dyDescent="0.35">
      <c r="A2042">
        <v>2041</v>
      </c>
      <c r="B2042" t="s">
        <v>36</v>
      </c>
      <c r="C2042">
        <v>126</v>
      </c>
      <c r="D2042" t="s">
        <v>21</v>
      </c>
      <c r="E2042" t="s">
        <v>23</v>
      </c>
      <c r="F2042" t="s">
        <v>22</v>
      </c>
      <c r="G2042">
        <v>0</v>
      </c>
      <c r="H2042">
        <v>239.7</v>
      </c>
      <c r="I2042">
        <v>87</v>
      </c>
      <c r="J2042">
        <v>40.75</v>
      </c>
      <c r="K2042">
        <v>281.7</v>
      </c>
      <c r="L2042">
        <v>92</v>
      </c>
      <c r="M2042">
        <v>23.94</v>
      </c>
      <c r="N2042">
        <v>183.5</v>
      </c>
      <c r="O2042">
        <v>113</v>
      </c>
      <c r="P2042">
        <v>8.26</v>
      </c>
      <c r="Q2042">
        <v>11.4</v>
      </c>
      <c r="R2042">
        <v>1</v>
      </c>
      <c r="S2042">
        <v>3.08</v>
      </c>
      <c r="T2042">
        <v>1</v>
      </c>
      <c r="U2042" t="s">
        <v>23</v>
      </c>
      <c r="V2042" t="e">
        <f>IF(#REF! = "yes", 1, 0)</f>
        <v>#REF!</v>
      </c>
      <c r="W2042" t="e">
        <f>IF(#REF! &lt;= 1, "0-1 Calls", IF(#REF! &lt;= 3, "2-3 Calls", IF(#REF! &lt;=5, "4-5 Calls", "6+ Calls")))</f>
        <v>#REF!</v>
      </c>
      <c r="X2042" t="e">
        <f>IF(#REF! &lt;= 50, "0-50", IF(#REF! &lt;=100, "51-100", IF(#REF! &lt;= 150, "101-150", "151+")))</f>
        <v>#REF!</v>
      </c>
      <c r="Y2042" t="e">
        <f>IF(#REF! &lt;= 3, "Low Charges", "High Charges")</f>
        <v>#REF!</v>
      </c>
      <c r="Z2042" t="e">
        <f>IF(#REF!&lt;=80,"Low Calls",
IF(#REF!&lt;=120,"Medium Calls","High Calls"))</f>
        <v>#REF!</v>
      </c>
      <c r="AA2042" t="e">
        <f>IF(#REF!&lt;=15,"Low Charges",
IF(#REF!&lt;=20,"Medium Charges","High Charges"))</f>
        <v>#REF!</v>
      </c>
      <c r="AB2042" t="e">
        <f>IF(AND(#REF!&gt;180, #REF!&gt;200), "Heavy Doemstic User", IF(#REF!&gt;10, "Interntional User", IF(AND(#REF!&lt;180, #REF!&lt;200,#REF!&lt;200), "Light User", "Balanced User")))</f>
        <v>#REF!</v>
      </c>
      <c r="AC2042" t="e">
        <f>IF(#REF! = 0, "No Usage", IF(#REF! &lt;= 20, "Low Usage", IF(#REF! &lt;= 40, "Medium Usgae", "High Usage")))</f>
        <v>#REF!</v>
      </c>
      <c r="AD2042" t="e">
        <f>IF(#REF!&lt;=150,"Low Usage", IF(#REF!&lt;=200,"Medium Usage", IF(#REF!&lt;=250,"High Usage","Very High Usage")))</f>
        <v>#REF!</v>
      </c>
      <c r="AE2042" t="e">
        <f>IF(#REF!&lt;=5,"Low Calls", IF(#REF!&lt;=10, "Medium Calls", "High Calls"))</f>
        <v>#REF!</v>
      </c>
      <c r="AF2042" t="e">
        <f xml:space="preserve">
IF(#REF!&gt;=4,4,0)+
IF(#REF!="yes",3,0)+
IF(#REF!="High Charges",3,0)+
IF(#REF!&gt;250,4,0)+
IF(#REF!="no",1,0)+
IF(#REF!="Heavy Domestic User",2,0)</f>
        <v>#REF!</v>
      </c>
      <c r="AG2042" t="e">
        <f>IF(#REF!&gt;=10,"High Risk", IF(#REF!&gt;=5,"Medium Risk","Low Risk"))</f>
        <v>#REF!</v>
      </c>
      <c r="AH2042" t="e">
        <f>#REF! + #REF! + #REF! + #REF!</f>
        <v>#REF!</v>
      </c>
    </row>
    <row r="2043" spans="1:34" x14ac:dyDescent="0.35">
      <c r="A2043">
        <v>2042</v>
      </c>
      <c r="B2043" t="s">
        <v>36</v>
      </c>
      <c r="C2043">
        <v>77</v>
      </c>
      <c r="D2043" t="s">
        <v>21</v>
      </c>
      <c r="E2043" t="s">
        <v>22</v>
      </c>
      <c r="F2043" t="s">
        <v>23</v>
      </c>
      <c r="G2043">
        <v>33</v>
      </c>
      <c r="H2043">
        <v>143</v>
      </c>
      <c r="I2043">
        <v>101</v>
      </c>
      <c r="J2043">
        <v>24.31</v>
      </c>
      <c r="K2043">
        <v>212.2</v>
      </c>
      <c r="L2043">
        <v>102</v>
      </c>
      <c r="M2043">
        <v>18.04</v>
      </c>
      <c r="N2043">
        <v>104.9</v>
      </c>
      <c r="O2043">
        <v>120</v>
      </c>
      <c r="P2043">
        <v>4.72</v>
      </c>
      <c r="Q2043">
        <v>15.3</v>
      </c>
      <c r="R2043">
        <v>4</v>
      </c>
      <c r="S2043">
        <v>4.13</v>
      </c>
      <c r="T2043">
        <v>5</v>
      </c>
      <c r="U2043" t="s">
        <v>23</v>
      </c>
      <c r="V2043" t="e">
        <f>IF(#REF! = "yes", 1, 0)</f>
        <v>#REF!</v>
      </c>
      <c r="W2043" t="e">
        <f>IF(#REF! &lt;= 1, "0-1 Calls", IF(#REF! &lt;= 3, "2-3 Calls", IF(#REF! &lt;=5, "4-5 Calls", "6+ Calls")))</f>
        <v>#REF!</v>
      </c>
      <c r="X2043" t="e">
        <f>IF(#REF! &lt;= 50, "0-50", IF(#REF! &lt;=100, "51-100", IF(#REF! &lt;= 150, "101-150", "151+")))</f>
        <v>#REF!</v>
      </c>
      <c r="Y2043" t="e">
        <f>IF(#REF! &lt;= 3, "Low Charges", "High Charges")</f>
        <v>#REF!</v>
      </c>
      <c r="Z2043" t="e">
        <f>IF(#REF!&lt;=80,"Low Calls",
IF(#REF!&lt;=120,"Medium Calls","High Calls"))</f>
        <v>#REF!</v>
      </c>
      <c r="AA2043" t="e">
        <f>IF(#REF!&lt;=15,"Low Charges",
IF(#REF!&lt;=20,"Medium Charges","High Charges"))</f>
        <v>#REF!</v>
      </c>
      <c r="AB2043" t="e">
        <f>IF(AND(#REF!&gt;180, #REF!&gt;200), "Heavy Doemstic User", IF(#REF!&gt;10, "Interntional User", IF(AND(#REF!&lt;180, #REF!&lt;200,#REF!&lt;200), "Light User", "Balanced User")))</f>
        <v>#REF!</v>
      </c>
      <c r="AC2043" t="e">
        <f>IF(#REF! = 0, "No Usage", IF(#REF! &lt;= 20, "Low Usage", IF(#REF! &lt;= 40, "Medium Usgae", "High Usage")))</f>
        <v>#REF!</v>
      </c>
      <c r="AD2043" t="e">
        <f>IF(#REF!&lt;=150,"Low Usage", IF(#REF!&lt;=200,"Medium Usage", IF(#REF!&lt;=250,"High Usage","Very High Usage")))</f>
        <v>#REF!</v>
      </c>
      <c r="AE2043" t="e">
        <f>IF(#REF!&lt;=5,"Low Calls", IF(#REF!&lt;=10, "Medium Calls", "High Calls"))</f>
        <v>#REF!</v>
      </c>
      <c r="AF2043" t="e">
        <f xml:space="preserve">
IF(#REF!&gt;=4,4,0)+
IF(#REF!="yes",3,0)+
IF(#REF!="High Charges",3,0)+
IF(#REF!&gt;250,4,0)+
IF(#REF!="no",1,0)+
IF(#REF!="Heavy Domestic User",2,0)</f>
        <v>#REF!</v>
      </c>
      <c r="AG2043" t="e">
        <f>IF(#REF!&gt;=10,"High Risk", IF(#REF!&gt;=5,"Medium Risk","Low Risk"))</f>
        <v>#REF!</v>
      </c>
      <c r="AH2043" t="e">
        <f>#REF! + #REF! + #REF! + #REF!</f>
        <v>#REF!</v>
      </c>
    </row>
    <row r="2044" spans="1:34" x14ac:dyDescent="0.35">
      <c r="A2044">
        <v>2043</v>
      </c>
      <c r="B2044" t="s">
        <v>31</v>
      </c>
      <c r="C2044">
        <v>21</v>
      </c>
      <c r="D2044" t="s">
        <v>21</v>
      </c>
      <c r="E2044" t="s">
        <v>22</v>
      </c>
      <c r="F2044" t="s">
        <v>22</v>
      </c>
      <c r="G2044">
        <v>0</v>
      </c>
      <c r="H2044">
        <v>91.9</v>
      </c>
      <c r="I2044">
        <v>109</v>
      </c>
      <c r="J2044">
        <v>15.62</v>
      </c>
      <c r="K2044">
        <v>198.4</v>
      </c>
      <c r="L2044">
        <v>111</v>
      </c>
      <c r="M2044">
        <v>16.86</v>
      </c>
      <c r="N2044">
        <v>171.7</v>
      </c>
      <c r="O2044">
        <v>125</v>
      </c>
      <c r="P2044">
        <v>7.73</v>
      </c>
      <c r="Q2044">
        <v>13</v>
      </c>
      <c r="R2044">
        <v>7</v>
      </c>
      <c r="S2044">
        <v>3.51</v>
      </c>
      <c r="T2044">
        <v>2</v>
      </c>
      <c r="U2044" t="s">
        <v>22</v>
      </c>
      <c r="V2044" t="e">
        <f>IF(#REF! = "yes", 1, 0)</f>
        <v>#REF!</v>
      </c>
      <c r="W2044" t="e">
        <f>IF(#REF! &lt;= 1, "0-1 Calls", IF(#REF! &lt;= 3, "2-3 Calls", IF(#REF! &lt;=5, "4-5 Calls", "6+ Calls")))</f>
        <v>#REF!</v>
      </c>
      <c r="X2044" t="e">
        <f>IF(#REF! &lt;= 50, "0-50", IF(#REF! &lt;=100, "51-100", IF(#REF! &lt;= 150, "101-150", "151+")))</f>
        <v>#REF!</v>
      </c>
      <c r="Y2044" t="e">
        <f>IF(#REF! &lt;= 3, "Low Charges", "High Charges")</f>
        <v>#REF!</v>
      </c>
      <c r="Z2044" t="e">
        <f>IF(#REF!&lt;=80,"Low Calls",
IF(#REF!&lt;=120,"Medium Calls","High Calls"))</f>
        <v>#REF!</v>
      </c>
      <c r="AA2044" t="e">
        <f>IF(#REF!&lt;=15,"Low Charges",
IF(#REF!&lt;=20,"Medium Charges","High Charges"))</f>
        <v>#REF!</v>
      </c>
      <c r="AB2044" t="e">
        <f>IF(AND(#REF!&gt;180, #REF!&gt;200), "Heavy Doemstic User", IF(#REF!&gt;10, "Interntional User", IF(AND(#REF!&lt;180, #REF!&lt;200,#REF!&lt;200), "Light User", "Balanced User")))</f>
        <v>#REF!</v>
      </c>
      <c r="AC2044" t="e">
        <f>IF(#REF! = 0, "No Usage", IF(#REF! &lt;= 20, "Low Usage", IF(#REF! &lt;= 40, "Medium Usgae", "High Usage")))</f>
        <v>#REF!</v>
      </c>
      <c r="AD2044" t="e">
        <f>IF(#REF!&lt;=150,"Low Usage", IF(#REF!&lt;=200,"Medium Usage", IF(#REF!&lt;=250,"High Usage","Very High Usage")))</f>
        <v>#REF!</v>
      </c>
      <c r="AE2044" t="e">
        <f>IF(#REF!&lt;=5,"Low Calls", IF(#REF!&lt;=10, "Medium Calls", "High Calls"))</f>
        <v>#REF!</v>
      </c>
      <c r="AF2044" t="e">
        <f xml:space="preserve">
IF(#REF!&gt;=4,4,0)+
IF(#REF!="yes",3,0)+
IF(#REF!="High Charges",3,0)+
IF(#REF!&gt;250,4,0)+
IF(#REF!="no",1,0)+
IF(#REF!="Heavy Domestic User",2,0)</f>
        <v>#REF!</v>
      </c>
      <c r="AG2044" t="e">
        <f>IF(#REF!&gt;=10,"High Risk", IF(#REF!&gt;=5,"Medium Risk","Low Risk"))</f>
        <v>#REF!</v>
      </c>
      <c r="AH2044" t="e">
        <f>#REF! + #REF! + #REF! + #REF!</f>
        <v>#REF!</v>
      </c>
    </row>
    <row r="2045" spans="1:34" x14ac:dyDescent="0.35">
      <c r="A2045">
        <v>2044</v>
      </c>
      <c r="B2045" t="s">
        <v>59</v>
      </c>
      <c r="C2045">
        <v>56</v>
      </c>
      <c r="D2045" t="s">
        <v>25</v>
      </c>
      <c r="E2045" t="s">
        <v>22</v>
      </c>
      <c r="F2045" t="s">
        <v>22</v>
      </c>
      <c r="G2045">
        <v>0</v>
      </c>
      <c r="H2045">
        <v>210.4</v>
      </c>
      <c r="I2045">
        <v>80</v>
      </c>
      <c r="J2045">
        <v>35.770000000000003</v>
      </c>
      <c r="K2045">
        <v>176.6</v>
      </c>
      <c r="L2045">
        <v>96</v>
      </c>
      <c r="M2045">
        <v>15.01</v>
      </c>
      <c r="N2045">
        <v>149.69999999999999</v>
      </c>
      <c r="O2045">
        <v>56</v>
      </c>
      <c r="P2045">
        <v>6.74</v>
      </c>
      <c r="Q2045">
        <v>15.5</v>
      </c>
      <c r="R2045">
        <v>4</v>
      </c>
      <c r="S2045">
        <v>4.1900000000000004</v>
      </c>
      <c r="T2045">
        <v>1</v>
      </c>
      <c r="U2045" t="s">
        <v>22</v>
      </c>
      <c r="V2045" t="e">
        <f>IF(#REF! = "yes", 1, 0)</f>
        <v>#REF!</v>
      </c>
      <c r="W2045" t="e">
        <f>IF(#REF! &lt;= 1, "0-1 Calls", IF(#REF! &lt;= 3, "2-3 Calls", IF(#REF! &lt;=5, "4-5 Calls", "6+ Calls")))</f>
        <v>#REF!</v>
      </c>
      <c r="X2045" t="e">
        <f>IF(#REF! &lt;= 50, "0-50", IF(#REF! &lt;=100, "51-100", IF(#REF! &lt;= 150, "101-150", "151+")))</f>
        <v>#REF!</v>
      </c>
      <c r="Y2045" t="e">
        <f>IF(#REF! &lt;= 3, "Low Charges", "High Charges")</f>
        <v>#REF!</v>
      </c>
      <c r="Z2045" t="e">
        <f>IF(#REF!&lt;=80,"Low Calls",
IF(#REF!&lt;=120,"Medium Calls","High Calls"))</f>
        <v>#REF!</v>
      </c>
      <c r="AA2045" t="e">
        <f>IF(#REF!&lt;=15,"Low Charges",
IF(#REF!&lt;=20,"Medium Charges","High Charges"))</f>
        <v>#REF!</v>
      </c>
      <c r="AB2045" t="e">
        <f>IF(AND(#REF!&gt;180, #REF!&gt;200), "Heavy Doemstic User", IF(#REF!&gt;10, "Interntional User", IF(AND(#REF!&lt;180, #REF!&lt;200,#REF!&lt;200), "Light User", "Balanced User")))</f>
        <v>#REF!</v>
      </c>
      <c r="AC2045" t="e">
        <f>IF(#REF! = 0, "No Usage", IF(#REF! &lt;= 20, "Low Usage", IF(#REF! &lt;= 40, "Medium Usgae", "High Usage")))</f>
        <v>#REF!</v>
      </c>
      <c r="AD2045" t="e">
        <f>IF(#REF!&lt;=150,"Low Usage", IF(#REF!&lt;=200,"Medium Usage", IF(#REF!&lt;=250,"High Usage","Very High Usage")))</f>
        <v>#REF!</v>
      </c>
      <c r="AE2045" t="e">
        <f>IF(#REF!&lt;=5,"Low Calls", IF(#REF!&lt;=10, "Medium Calls", "High Calls"))</f>
        <v>#REF!</v>
      </c>
      <c r="AF2045" t="e">
        <f xml:space="preserve">
IF(#REF!&gt;=4,4,0)+
IF(#REF!="yes",3,0)+
IF(#REF!="High Charges",3,0)+
IF(#REF!&gt;250,4,0)+
IF(#REF!="no",1,0)+
IF(#REF!="Heavy Domestic User",2,0)</f>
        <v>#REF!</v>
      </c>
      <c r="AG2045" t="e">
        <f>IF(#REF!&gt;=10,"High Risk", IF(#REF!&gt;=5,"Medium Risk","Low Risk"))</f>
        <v>#REF!</v>
      </c>
      <c r="AH2045" t="e">
        <f>#REF! + #REF! + #REF! + #REF!</f>
        <v>#REF!</v>
      </c>
    </row>
    <row r="2046" spans="1:34" x14ac:dyDescent="0.35">
      <c r="A2046">
        <v>2045</v>
      </c>
      <c r="B2046" t="s">
        <v>37</v>
      </c>
      <c r="C2046">
        <v>92</v>
      </c>
      <c r="D2046" t="s">
        <v>21</v>
      </c>
      <c r="E2046" t="s">
        <v>22</v>
      </c>
      <c r="F2046" t="s">
        <v>23</v>
      </c>
      <c r="G2046">
        <v>29</v>
      </c>
      <c r="H2046">
        <v>201.3</v>
      </c>
      <c r="I2046">
        <v>130</v>
      </c>
      <c r="J2046">
        <v>34.22</v>
      </c>
      <c r="K2046">
        <v>203.7</v>
      </c>
      <c r="L2046">
        <v>115</v>
      </c>
      <c r="M2046">
        <v>17.309999999999999</v>
      </c>
      <c r="N2046">
        <v>129.9</v>
      </c>
      <c r="O2046">
        <v>113</v>
      </c>
      <c r="P2046">
        <v>5.85</v>
      </c>
      <c r="Q2046">
        <v>6.4</v>
      </c>
      <c r="R2046">
        <v>6</v>
      </c>
      <c r="S2046">
        <v>1.73</v>
      </c>
      <c r="T2046">
        <v>1</v>
      </c>
      <c r="U2046" t="s">
        <v>23</v>
      </c>
      <c r="V2046" t="e">
        <f>IF(#REF! = "yes", 1, 0)</f>
        <v>#REF!</v>
      </c>
      <c r="W2046" t="e">
        <f>IF(#REF! &lt;= 1, "0-1 Calls", IF(#REF! &lt;= 3, "2-3 Calls", IF(#REF! &lt;=5, "4-5 Calls", "6+ Calls")))</f>
        <v>#REF!</v>
      </c>
      <c r="X2046" t="e">
        <f>IF(#REF! &lt;= 50, "0-50", IF(#REF! &lt;=100, "51-100", IF(#REF! &lt;= 150, "101-150", "151+")))</f>
        <v>#REF!</v>
      </c>
      <c r="Y2046" t="e">
        <f>IF(#REF! &lt;= 3, "Low Charges", "High Charges")</f>
        <v>#REF!</v>
      </c>
      <c r="Z2046" t="e">
        <f>IF(#REF!&lt;=80,"Low Calls",
IF(#REF!&lt;=120,"Medium Calls","High Calls"))</f>
        <v>#REF!</v>
      </c>
      <c r="AA2046" t="e">
        <f>IF(#REF!&lt;=15,"Low Charges",
IF(#REF!&lt;=20,"Medium Charges","High Charges"))</f>
        <v>#REF!</v>
      </c>
      <c r="AB2046" t="e">
        <f>IF(AND(#REF!&gt;180, #REF!&gt;200), "Heavy Doemstic User", IF(#REF!&gt;10, "Interntional User", IF(AND(#REF!&lt;180, #REF!&lt;200,#REF!&lt;200), "Light User", "Balanced User")))</f>
        <v>#REF!</v>
      </c>
      <c r="AC2046" t="e">
        <f>IF(#REF! = 0, "No Usage", IF(#REF! &lt;= 20, "Low Usage", IF(#REF! &lt;= 40, "Medium Usgae", "High Usage")))</f>
        <v>#REF!</v>
      </c>
      <c r="AD2046" t="e">
        <f>IF(#REF!&lt;=150,"Low Usage", IF(#REF!&lt;=200,"Medium Usage", IF(#REF!&lt;=250,"High Usage","Very High Usage")))</f>
        <v>#REF!</v>
      </c>
      <c r="AE2046" t="e">
        <f>IF(#REF!&lt;=5,"Low Calls", IF(#REF!&lt;=10, "Medium Calls", "High Calls"))</f>
        <v>#REF!</v>
      </c>
      <c r="AF2046" t="e">
        <f xml:space="preserve">
IF(#REF!&gt;=4,4,0)+
IF(#REF!="yes",3,0)+
IF(#REF!="High Charges",3,0)+
IF(#REF!&gt;250,4,0)+
IF(#REF!="no",1,0)+
IF(#REF!="Heavy Domestic User",2,0)</f>
        <v>#REF!</v>
      </c>
      <c r="AG2046" t="e">
        <f>IF(#REF!&gt;=10,"High Risk", IF(#REF!&gt;=5,"Medium Risk","Low Risk"))</f>
        <v>#REF!</v>
      </c>
      <c r="AH2046" t="e">
        <f>#REF! + #REF! + #REF! + #REF!</f>
        <v>#REF!</v>
      </c>
    </row>
    <row r="2047" spans="1:34" x14ac:dyDescent="0.35">
      <c r="A2047">
        <v>2046</v>
      </c>
      <c r="B2047" t="s">
        <v>60</v>
      </c>
      <c r="C2047">
        <v>81</v>
      </c>
      <c r="D2047" t="s">
        <v>28</v>
      </c>
      <c r="E2047" t="s">
        <v>22</v>
      </c>
      <c r="F2047" t="s">
        <v>22</v>
      </c>
      <c r="G2047">
        <v>0</v>
      </c>
      <c r="H2047">
        <v>145.6</v>
      </c>
      <c r="I2047">
        <v>59</v>
      </c>
      <c r="J2047">
        <v>24.75</v>
      </c>
      <c r="K2047">
        <v>287.89999999999998</v>
      </c>
      <c r="L2047">
        <v>131</v>
      </c>
      <c r="M2047">
        <v>24.47</v>
      </c>
      <c r="N2047">
        <v>181.7</v>
      </c>
      <c r="O2047">
        <v>121</v>
      </c>
      <c r="P2047">
        <v>8.18</v>
      </c>
      <c r="Q2047">
        <v>9.1999999999999993</v>
      </c>
      <c r="R2047">
        <v>4</v>
      </c>
      <c r="S2047">
        <v>2.48</v>
      </c>
      <c r="T2047">
        <v>2</v>
      </c>
      <c r="U2047" t="s">
        <v>22</v>
      </c>
      <c r="V2047" t="e">
        <f>IF(#REF! = "yes", 1, 0)</f>
        <v>#REF!</v>
      </c>
      <c r="W2047" t="e">
        <f>IF(#REF! &lt;= 1, "0-1 Calls", IF(#REF! &lt;= 3, "2-3 Calls", IF(#REF! &lt;=5, "4-5 Calls", "6+ Calls")))</f>
        <v>#REF!</v>
      </c>
      <c r="X2047" t="e">
        <f>IF(#REF! &lt;= 50, "0-50", IF(#REF! &lt;=100, "51-100", IF(#REF! &lt;= 150, "101-150", "151+")))</f>
        <v>#REF!</v>
      </c>
      <c r="Y2047" t="e">
        <f>IF(#REF! &lt;= 3, "Low Charges", "High Charges")</f>
        <v>#REF!</v>
      </c>
      <c r="Z2047" t="e">
        <f>IF(#REF!&lt;=80,"Low Calls",
IF(#REF!&lt;=120,"Medium Calls","High Calls"))</f>
        <v>#REF!</v>
      </c>
      <c r="AA2047" t="e">
        <f>IF(#REF!&lt;=15,"Low Charges",
IF(#REF!&lt;=20,"Medium Charges","High Charges"))</f>
        <v>#REF!</v>
      </c>
      <c r="AB2047" t="e">
        <f>IF(AND(#REF!&gt;180, #REF!&gt;200), "Heavy Doemstic User", IF(#REF!&gt;10, "Interntional User", IF(AND(#REF!&lt;180, #REF!&lt;200,#REF!&lt;200), "Light User", "Balanced User")))</f>
        <v>#REF!</v>
      </c>
      <c r="AC2047" t="e">
        <f>IF(#REF! = 0, "No Usage", IF(#REF! &lt;= 20, "Low Usage", IF(#REF! &lt;= 40, "Medium Usgae", "High Usage")))</f>
        <v>#REF!</v>
      </c>
      <c r="AD2047" t="e">
        <f>IF(#REF!&lt;=150,"Low Usage", IF(#REF!&lt;=200,"Medium Usage", IF(#REF!&lt;=250,"High Usage","Very High Usage")))</f>
        <v>#REF!</v>
      </c>
      <c r="AE2047" t="e">
        <f>IF(#REF!&lt;=5,"Low Calls", IF(#REF!&lt;=10, "Medium Calls", "High Calls"))</f>
        <v>#REF!</v>
      </c>
      <c r="AF2047" t="e">
        <f xml:space="preserve">
IF(#REF!&gt;=4,4,0)+
IF(#REF!="yes",3,0)+
IF(#REF!="High Charges",3,0)+
IF(#REF!&gt;250,4,0)+
IF(#REF!="no",1,0)+
IF(#REF!="Heavy Domestic User",2,0)</f>
        <v>#REF!</v>
      </c>
      <c r="AG2047" t="e">
        <f>IF(#REF!&gt;=10,"High Risk", IF(#REF!&gt;=5,"Medium Risk","Low Risk"))</f>
        <v>#REF!</v>
      </c>
      <c r="AH2047" t="e">
        <f>#REF! + #REF! + #REF! + #REF!</f>
        <v>#REF!</v>
      </c>
    </row>
    <row r="2048" spans="1:34" x14ac:dyDescent="0.35">
      <c r="A2048">
        <v>2047</v>
      </c>
      <c r="B2048" t="s">
        <v>39</v>
      </c>
      <c r="C2048">
        <v>139</v>
      </c>
      <c r="D2048" t="s">
        <v>28</v>
      </c>
      <c r="E2048" t="s">
        <v>23</v>
      </c>
      <c r="F2048" t="s">
        <v>23</v>
      </c>
      <c r="G2048">
        <v>31</v>
      </c>
      <c r="H2048">
        <v>203.5</v>
      </c>
      <c r="I2048">
        <v>82</v>
      </c>
      <c r="J2048">
        <v>34.6</v>
      </c>
      <c r="K2048">
        <v>200.3</v>
      </c>
      <c r="L2048">
        <v>72</v>
      </c>
      <c r="M2048">
        <v>17.03</v>
      </c>
      <c r="N2048">
        <v>214</v>
      </c>
      <c r="O2048">
        <v>112</v>
      </c>
      <c r="P2048">
        <v>9.6300000000000008</v>
      </c>
      <c r="Q2048">
        <v>13.4</v>
      </c>
      <c r="R2048">
        <v>6</v>
      </c>
      <c r="S2048">
        <v>3.62</v>
      </c>
      <c r="T2048">
        <v>1</v>
      </c>
      <c r="U2048" t="s">
        <v>23</v>
      </c>
      <c r="V2048" t="e">
        <f>IF(#REF! = "yes", 1, 0)</f>
        <v>#REF!</v>
      </c>
      <c r="W2048" t="e">
        <f>IF(#REF! &lt;= 1, "0-1 Calls", IF(#REF! &lt;= 3, "2-3 Calls", IF(#REF! &lt;=5, "4-5 Calls", "6+ Calls")))</f>
        <v>#REF!</v>
      </c>
      <c r="X2048" t="e">
        <f>IF(#REF! &lt;= 50, "0-50", IF(#REF! &lt;=100, "51-100", IF(#REF! &lt;= 150, "101-150", "151+")))</f>
        <v>#REF!</v>
      </c>
      <c r="Y2048" t="e">
        <f>IF(#REF! &lt;= 3, "Low Charges", "High Charges")</f>
        <v>#REF!</v>
      </c>
      <c r="Z2048" t="e">
        <f>IF(#REF!&lt;=80,"Low Calls",
IF(#REF!&lt;=120,"Medium Calls","High Calls"))</f>
        <v>#REF!</v>
      </c>
      <c r="AA2048" t="e">
        <f>IF(#REF!&lt;=15,"Low Charges",
IF(#REF!&lt;=20,"Medium Charges","High Charges"))</f>
        <v>#REF!</v>
      </c>
      <c r="AB2048" t="e">
        <f>IF(AND(#REF!&gt;180, #REF!&gt;200), "Heavy Doemstic User", IF(#REF!&gt;10, "Interntional User", IF(AND(#REF!&lt;180, #REF!&lt;200,#REF!&lt;200), "Light User", "Balanced User")))</f>
        <v>#REF!</v>
      </c>
      <c r="AC2048" t="e">
        <f>IF(#REF! = 0, "No Usage", IF(#REF! &lt;= 20, "Low Usage", IF(#REF! &lt;= 40, "Medium Usgae", "High Usage")))</f>
        <v>#REF!</v>
      </c>
      <c r="AD2048" t="e">
        <f>IF(#REF!&lt;=150,"Low Usage", IF(#REF!&lt;=200,"Medium Usage", IF(#REF!&lt;=250,"High Usage","Very High Usage")))</f>
        <v>#REF!</v>
      </c>
      <c r="AE2048" t="e">
        <f>IF(#REF!&lt;=5,"Low Calls", IF(#REF!&lt;=10, "Medium Calls", "High Calls"))</f>
        <v>#REF!</v>
      </c>
      <c r="AF2048" t="e">
        <f xml:space="preserve">
IF(#REF!&gt;=4,4,0)+
IF(#REF!="yes",3,0)+
IF(#REF!="High Charges",3,0)+
IF(#REF!&gt;250,4,0)+
IF(#REF!="no",1,0)+
IF(#REF!="Heavy Domestic User",2,0)</f>
        <v>#REF!</v>
      </c>
      <c r="AG2048" t="e">
        <f>IF(#REF!&gt;=10,"High Risk", IF(#REF!&gt;=5,"Medium Risk","Low Risk"))</f>
        <v>#REF!</v>
      </c>
      <c r="AH2048" t="e">
        <f>#REF! + #REF! + #REF! + #REF!</f>
        <v>#REF!</v>
      </c>
    </row>
    <row r="2049" spans="1:34" x14ac:dyDescent="0.35">
      <c r="A2049">
        <v>2048</v>
      </c>
      <c r="B2049" t="s">
        <v>42</v>
      </c>
      <c r="C2049">
        <v>68</v>
      </c>
      <c r="D2049" t="s">
        <v>21</v>
      </c>
      <c r="E2049" t="s">
        <v>22</v>
      </c>
      <c r="F2049" t="s">
        <v>22</v>
      </c>
      <c r="G2049">
        <v>0</v>
      </c>
      <c r="H2049">
        <v>232.4</v>
      </c>
      <c r="I2049">
        <v>76</v>
      </c>
      <c r="J2049">
        <v>39.51</v>
      </c>
      <c r="K2049">
        <v>153.30000000000001</v>
      </c>
      <c r="L2049">
        <v>103</v>
      </c>
      <c r="M2049">
        <v>13.03</v>
      </c>
      <c r="N2049">
        <v>214.6</v>
      </c>
      <c r="O2049">
        <v>107</v>
      </c>
      <c r="P2049">
        <v>9.66</v>
      </c>
      <c r="Q2049">
        <v>10.5</v>
      </c>
      <c r="R2049">
        <v>2</v>
      </c>
      <c r="S2049">
        <v>2.84</v>
      </c>
      <c r="T2049">
        <v>1</v>
      </c>
      <c r="U2049" t="s">
        <v>22</v>
      </c>
      <c r="V2049" t="e">
        <f>IF(#REF! = "yes", 1, 0)</f>
        <v>#REF!</v>
      </c>
      <c r="W2049" t="e">
        <f>IF(#REF! &lt;= 1, "0-1 Calls", IF(#REF! &lt;= 3, "2-3 Calls", IF(#REF! &lt;=5, "4-5 Calls", "6+ Calls")))</f>
        <v>#REF!</v>
      </c>
      <c r="X2049" t="e">
        <f>IF(#REF! &lt;= 50, "0-50", IF(#REF! &lt;=100, "51-100", IF(#REF! &lt;= 150, "101-150", "151+")))</f>
        <v>#REF!</v>
      </c>
      <c r="Y2049" t="e">
        <f>IF(#REF! &lt;= 3, "Low Charges", "High Charges")</f>
        <v>#REF!</v>
      </c>
      <c r="Z2049" t="e">
        <f>IF(#REF!&lt;=80,"Low Calls",
IF(#REF!&lt;=120,"Medium Calls","High Calls"))</f>
        <v>#REF!</v>
      </c>
      <c r="AA2049" t="e">
        <f>IF(#REF!&lt;=15,"Low Charges",
IF(#REF!&lt;=20,"Medium Charges","High Charges"))</f>
        <v>#REF!</v>
      </c>
      <c r="AB2049" t="e">
        <f>IF(AND(#REF!&gt;180, #REF!&gt;200), "Heavy Doemstic User", IF(#REF!&gt;10, "Interntional User", IF(AND(#REF!&lt;180, #REF!&lt;200,#REF!&lt;200), "Light User", "Balanced User")))</f>
        <v>#REF!</v>
      </c>
      <c r="AC2049" t="e">
        <f>IF(#REF! = 0, "No Usage", IF(#REF! &lt;= 20, "Low Usage", IF(#REF! &lt;= 40, "Medium Usgae", "High Usage")))</f>
        <v>#REF!</v>
      </c>
      <c r="AD2049" t="e">
        <f>IF(#REF!&lt;=150,"Low Usage", IF(#REF!&lt;=200,"Medium Usage", IF(#REF!&lt;=250,"High Usage","Very High Usage")))</f>
        <v>#REF!</v>
      </c>
      <c r="AE2049" t="e">
        <f>IF(#REF!&lt;=5,"Low Calls", IF(#REF!&lt;=10, "Medium Calls", "High Calls"))</f>
        <v>#REF!</v>
      </c>
      <c r="AF2049" t="e">
        <f xml:space="preserve">
IF(#REF!&gt;=4,4,0)+
IF(#REF!="yes",3,0)+
IF(#REF!="High Charges",3,0)+
IF(#REF!&gt;250,4,0)+
IF(#REF!="no",1,0)+
IF(#REF!="Heavy Domestic User",2,0)</f>
        <v>#REF!</v>
      </c>
      <c r="AG2049" t="e">
        <f>IF(#REF!&gt;=10,"High Risk", IF(#REF!&gt;=5,"Medium Risk","Low Risk"))</f>
        <v>#REF!</v>
      </c>
      <c r="AH2049" t="e">
        <f>#REF! + #REF! + #REF! + #REF!</f>
        <v>#REF!</v>
      </c>
    </row>
    <row r="2050" spans="1:34" x14ac:dyDescent="0.35">
      <c r="A2050">
        <v>2049</v>
      </c>
      <c r="B2050" t="s">
        <v>54</v>
      </c>
      <c r="C2050">
        <v>183</v>
      </c>
      <c r="D2050" t="s">
        <v>21</v>
      </c>
      <c r="E2050" t="s">
        <v>22</v>
      </c>
      <c r="F2050" t="s">
        <v>23</v>
      </c>
      <c r="G2050">
        <v>8</v>
      </c>
      <c r="H2050">
        <v>86.5</v>
      </c>
      <c r="I2050">
        <v>119</v>
      </c>
      <c r="J2050">
        <v>14.71</v>
      </c>
      <c r="K2050">
        <v>285.2</v>
      </c>
      <c r="L2050">
        <v>97</v>
      </c>
      <c r="M2050">
        <v>24.24</v>
      </c>
      <c r="N2050">
        <v>180.4</v>
      </c>
      <c r="O2050">
        <v>133</v>
      </c>
      <c r="P2050">
        <v>8.1199999999999992</v>
      </c>
      <c r="Q2050">
        <v>8.6999999999999993</v>
      </c>
      <c r="R2050">
        <v>2</v>
      </c>
      <c r="S2050">
        <v>2.35</v>
      </c>
      <c r="T2050">
        <v>2</v>
      </c>
      <c r="U2050" t="s">
        <v>22</v>
      </c>
      <c r="V2050" t="e">
        <f>IF(#REF! = "yes", 1, 0)</f>
        <v>#REF!</v>
      </c>
      <c r="W2050" t="e">
        <f>IF(#REF! &lt;= 1, "0-1 Calls", IF(#REF! &lt;= 3, "2-3 Calls", IF(#REF! &lt;=5, "4-5 Calls", "6+ Calls")))</f>
        <v>#REF!</v>
      </c>
      <c r="X2050" t="e">
        <f>IF(#REF! &lt;= 50, "0-50", IF(#REF! &lt;=100, "51-100", IF(#REF! &lt;= 150, "101-150", "151+")))</f>
        <v>#REF!</v>
      </c>
      <c r="Y2050" t="e">
        <f>IF(#REF! &lt;= 3, "Low Charges", "High Charges")</f>
        <v>#REF!</v>
      </c>
      <c r="Z2050" t="e">
        <f>IF(#REF!&lt;=80,"Low Calls",
IF(#REF!&lt;=120,"Medium Calls","High Calls"))</f>
        <v>#REF!</v>
      </c>
      <c r="AA2050" t="e">
        <f>IF(#REF!&lt;=15,"Low Charges",
IF(#REF!&lt;=20,"Medium Charges","High Charges"))</f>
        <v>#REF!</v>
      </c>
      <c r="AB2050" t="e">
        <f>IF(AND(#REF!&gt;180, #REF!&gt;200), "Heavy Doemstic User", IF(#REF!&gt;10, "Interntional User", IF(AND(#REF!&lt;180, #REF!&lt;200,#REF!&lt;200), "Light User", "Balanced User")))</f>
        <v>#REF!</v>
      </c>
      <c r="AC2050" t="e">
        <f>IF(#REF! = 0, "No Usage", IF(#REF! &lt;= 20, "Low Usage", IF(#REF! &lt;= 40, "Medium Usgae", "High Usage")))</f>
        <v>#REF!</v>
      </c>
      <c r="AD2050" t="e">
        <f>IF(#REF!&lt;=150,"Low Usage", IF(#REF!&lt;=200,"Medium Usage", IF(#REF!&lt;=250,"High Usage","Very High Usage")))</f>
        <v>#REF!</v>
      </c>
      <c r="AE2050" t="e">
        <f>IF(#REF!&lt;=5,"Low Calls", IF(#REF!&lt;=10, "Medium Calls", "High Calls"))</f>
        <v>#REF!</v>
      </c>
      <c r="AF2050" t="e">
        <f xml:space="preserve">
IF(#REF!&gt;=4,4,0)+
IF(#REF!="yes",3,0)+
IF(#REF!="High Charges",3,0)+
IF(#REF!&gt;250,4,0)+
IF(#REF!="no",1,0)+
IF(#REF!="Heavy Domestic User",2,0)</f>
        <v>#REF!</v>
      </c>
      <c r="AG2050" t="e">
        <f>IF(#REF!&gt;=10,"High Risk", IF(#REF!&gt;=5,"Medium Risk","Low Risk"))</f>
        <v>#REF!</v>
      </c>
      <c r="AH2050" t="e">
        <f>#REF! + #REF! + #REF! + #REF!</f>
        <v>#REF!</v>
      </c>
    </row>
    <row r="2051" spans="1:34" x14ac:dyDescent="0.35">
      <c r="A2051">
        <v>2050</v>
      </c>
      <c r="B2051" t="s">
        <v>41</v>
      </c>
      <c r="C2051">
        <v>90</v>
      </c>
      <c r="D2051" t="s">
        <v>25</v>
      </c>
      <c r="E2051" t="s">
        <v>22</v>
      </c>
      <c r="F2051" t="s">
        <v>22</v>
      </c>
      <c r="G2051">
        <v>0</v>
      </c>
      <c r="H2051">
        <v>109.9</v>
      </c>
      <c r="I2051">
        <v>102</v>
      </c>
      <c r="J2051">
        <v>18.68</v>
      </c>
      <c r="K2051">
        <v>220.8</v>
      </c>
      <c r="L2051">
        <v>114</v>
      </c>
      <c r="M2051">
        <v>18.77</v>
      </c>
      <c r="N2051">
        <v>104</v>
      </c>
      <c r="O2051">
        <v>133</v>
      </c>
      <c r="P2051">
        <v>4.68</v>
      </c>
      <c r="Q2051">
        <v>10.9</v>
      </c>
      <c r="R2051">
        <v>6</v>
      </c>
      <c r="S2051">
        <v>2.94</v>
      </c>
      <c r="T2051">
        <v>0</v>
      </c>
      <c r="U2051" t="s">
        <v>22</v>
      </c>
      <c r="V2051" t="e">
        <f>IF(#REF! = "yes", 1, 0)</f>
        <v>#REF!</v>
      </c>
      <c r="W2051" t="e">
        <f>IF(#REF! &lt;= 1, "0-1 Calls", IF(#REF! &lt;= 3, "2-3 Calls", IF(#REF! &lt;=5, "4-5 Calls", "6+ Calls")))</f>
        <v>#REF!</v>
      </c>
      <c r="X2051" t="e">
        <f>IF(#REF! &lt;= 50, "0-50", IF(#REF! &lt;=100, "51-100", IF(#REF! &lt;= 150, "101-150", "151+")))</f>
        <v>#REF!</v>
      </c>
      <c r="Y2051" t="e">
        <f>IF(#REF! &lt;= 3, "Low Charges", "High Charges")</f>
        <v>#REF!</v>
      </c>
      <c r="Z2051" t="e">
        <f>IF(#REF!&lt;=80,"Low Calls",
IF(#REF!&lt;=120,"Medium Calls","High Calls"))</f>
        <v>#REF!</v>
      </c>
      <c r="AA2051" t="e">
        <f>IF(#REF!&lt;=15,"Low Charges",
IF(#REF!&lt;=20,"Medium Charges","High Charges"))</f>
        <v>#REF!</v>
      </c>
      <c r="AB2051" t="e">
        <f>IF(AND(#REF!&gt;180, #REF!&gt;200), "Heavy Doemstic User", IF(#REF!&gt;10, "Interntional User", IF(AND(#REF!&lt;180, #REF!&lt;200,#REF!&lt;200), "Light User", "Balanced User")))</f>
        <v>#REF!</v>
      </c>
      <c r="AC2051" t="e">
        <f>IF(#REF! = 0, "No Usage", IF(#REF! &lt;= 20, "Low Usage", IF(#REF! &lt;= 40, "Medium Usgae", "High Usage")))</f>
        <v>#REF!</v>
      </c>
      <c r="AD2051" t="e">
        <f>IF(#REF!&lt;=150,"Low Usage", IF(#REF!&lt;=200,"Medium Usage", IF(#REF!&lt;=250,"High Usage","Very High Usage")))</f>
        <v>#REF!</v>
      </c>
      <c r="AE2051" t="e">
        <f>IF(#REF!&lt;=5,"Low Calls", IF(#REF!&lt;=10, "Medium Calls", "High Calls"))</f>
        <v>#REF!</v>
      </c>
      <c r="AF2051" t="e">
        <f xml:space="preserve">
IF(#REF!&gt;=4,4,0)+
IF(#REF!="yes",3,0)+
IF(#REF!="High Charges",3,0)+
IF(#REF!&gt;250,4,0)+
IF(#REF!="no",1,0)+
IF(#REF!="Heavy Domestic User",2,0)</f>
        <v>#REF!</v>
      </c>
      <c r="AG2051" t="e">
        <f>IF(#REF!&gt;=10,"High Risk", IF(#REF!&gt;=5,"Medium Risk","Low Risk"))</f>
        <v>#REF!</v>
      </c>
      <c r="AH2051" t="e">
        <f>#REF! + #REF! + #REF! + #REF!</f>
        <v>#REF!</v>
      </c>
    </row>
    <row r="2052" spans="1:34" x14ac:dyDescent="0.35">
      <c r="A2052">
        <v>2051</v>
      </c>
      <c r="B2052" t="s">
        <v>51</v>
      </c>
      <c r="C2052">
        <v>165</v>
      </c>
      <c r="D2052" t="s">
        <v>25</v>
      </c>
      <c r="E2052" t="s">
        <v>22</v>
      </c>
      <c r="F2052" t="s">
        <v>22</v>
      </c>
      <c r="G2052">
        <v>0</v>
      </c>
      <c r="H2052">
        <v>156</v>
      </c>
      <c r="I2052">
        <v>88</v>
      </c>
      <c r="J2052">
        <v>26.52</v>
      </c>
      <c r="K2052">
        <v>276.10000000000002</v>
      </c>
      <c r="L2052">
        <v>81</v>
      </c>
      <c r="M2052">
        <v>23.47</v>
      </c>
      <c r="N2052">
        <v>175.9</v>
      </c>
      <c r="O2052">
        <v>94</v>
      </c>
      <c r="P2052">
        <v>7.92</v>
      </c>
      <c r="Q2052">
        <v>9.3000000000000007</v>
      </c>
      <c r="R2052">
        <v>5</v>
      </c>
      <c r="S2052">
        <v>2.5099999999999998</v>
      </c>
      <c r="T2052">
        <v>1</v>
      </c>
      <c r="U2052" t="s">
        <v>22</v>
      </c>
      <c r="V2052" t="e">
        <f>IF(#REF! = "yes", 1, 0)</f>
        <v>#REF!</v>
      </c>
      <c r="W2052" t="e">
        <f>IF(#REF! &lt;= 1, "0-1 Calls", IF(#REF! &lt;= 3, "2-3 Calls", IF(#REF! &lt;=5, "4-5 Calls", "6+ Calls")))</f>
        <v>#REF!</v>
      </c>
      <c r="X2052" t="e">
        <f>IF(#REF! &lt;= 50, "0-50", IF(#REF! &lt;=100, "51-100", IF(#REF! &lt;= 150, "101-150", "151+")))</f>
        <v>#REF!</v>
      </c>
      <c r="Y2052" t="e">
        <f>IF(#REF! &lt;= 3, "Low Charges", "High Charges")</f>
        <v>#REF!</v>
      </c>
      <c r="Z2052" t="e">
        <f>IF(#REF!&lt;=80,"Low Calls",
IF(#REF!&lt;=120,"Medium Calls","High Calls"))</f>
        <v>#REF!</v>
      </c>
      <c r="AA2052" t="e">
        <f>IF(#REF!&lt;=15,"Low Charges",
IF(#REF!&lt;=20,"Medium Charges","High Charges"))</f>
        <v>#REF!</v>
      </c>
      <c r="AB2052" t="e">
        <f>IF(AND(#REF!&gt;180, #REF!&gt;200), "Heavy Doemstic User", IF(#REF!&gt;10, "Interntional User", IF(AND(#REF!&lt;180, #REF!&lt;200,#REF!&lt;200), "Light User", "Balanced User")))</f>
        <v>#REF!</v>
      </c>
      <c r="AC2052" t="e">
        <f>IF(#REF! = 0, "No Usage", IF(#REF! &lt;= 20, "Low Usage", IF(#REF! &lt;= 40, "Medium Usgae", "High Usage")))</f>
        <v>#REF!</v>
      </c>
      <c r="AD2052" t="e">
        <f>IF(#REF!&lt;=150,"Low Usage", IF(#REF!&lt;=200,"Medium Usage", IF(#REF!&lt;=250,"High Usage","Very High Usage")))</f>
        <v>#REF!</v>
      </c>
      <c r="AE2052" t="e">
        <f>IF(#REF!&lt;=5,"Low Calls", IF(#REF!&lt;=10, "Medium Calls", "High Calls"))</f>
        <v>#REF!</v>
      </c>
      <c r="AF2052" t="e">
        <f xml:space="preserve">
IF(#REF!&gt;=4,4,0)+
IF(#REF!="yes",3,0)+
IF(#REF!="High Charges",3,0)+
IF(#REF!&gt;250,4,0)+
IF(#REF!="no",1,0)+
IF(#REF!="Heavy Domestic User",2,0)</f>
        <v>#REF!</v>
      </c>
      <c r="AG2052" t="e">
        <f>IF(#REF!&gt;=10,"High Risk", IF(#REF!&gt;=5,"Medium Risk","Low Risk"))</f>
        <v>#REF!</v>
      </c>
      <c r="AH2052" t="e">
        <f>#REF! + #REF! + #REF! + #REF!</f>
        <v>#REF!</v>
      </c>
    </row>
    <row r="2053" spans="1:34" x14ac:dyDescent="0.35">
      <c r="A2053">
        <v>2052</v>
      </c>
      <c r="B2053" t="s">
        <v>51</v>
      </c>
      <c r="C2053">
        <v>89</v>
      </c>
      <c r="D2053" t="s">
        <v>21</v>
      </c>
      <c r="E2053" t="s">
        <v>22</v>
      </c>
      <c r="F2053" t="s">
        <v>22</v>
      </c>
      <c r="G2053">
        <v>0</v>
      </c>
      <c r="H2053">
        <v>326.3</v>
      </c>
      <c r="I2053">
        <v>112</v>
      </c>
      <c r="J2053">
        <v>55.47</v>
      </c>
      <c r="K2053">
        <v>165.1</v>
      </c>
      <c r="L2053">
        <v>110</v>
      </c>
      <c r="M2053">
        <v>14.03</v>
      </c>
      <c r="N2053">
        <v>162.9</v>
      </c>
      <c r="O2053">
        <v>97</v>
      </c>
      <c r="P2053">
        <v>7.33</v>
      </c>
      <c r="Q2053">
        <v>7.5</v>
      </c>
      <c r="R2053">
        <v>1</v>
      </c>
      <c r="S2053">
        <v>2.0299999999999998</v>
      </c>
      <c r="T2053">
        <v>1</v>
      </c>
      <c r="U2053" t="s">
        <v>23</v>
      </c>
      <c r="V2053" t="e">
        <f>IF(#REF! = "yes", 1, 0)</f>
        <v>#REF!</v>
      </c>
      <c r="W2053" t="e">
        <f>IF(#REF! &lt;= 1, "0-1 Calls", IF(#REF! &lt;= 3, "2-3 Calls", IF(#REF! &lt;=5, "4-5 Calls", "6+ Calls")))</f>
        <v>#REF!</v>
      </c>
      <c r="X2053" t="e">
        <f>IF(#REF! &lt;= 50, "0-50", IF(#REF! &lt;=100, "51-100", IF(#REF! &lt;= 150, "101-150", "151+")))</f>
        <v>#REF!</v>
      </c>
      <c r="Y2053" t="e">
        <f>IF(#REF! &lt;= 3, "Low Charges", "High Charges")</f>
        <v>#REF!</v>
      </c>
      <c r="Z2053" t="e">
        <f>IF(#REF!&lt;=80,"Low Calls",
IF(#REF!&lt;=120,"Medium Calls","High Calls"))</f>
        <v>#REF!</v>
      </c>
      <c r="AA2053" t="e">
        <f>IF(#REF!&lt;=15,"Low Charges",
IF(#REF!&lt;=20,"Medium Charges","High Charges"))</f>
        <v>#REF!</v>
      </c>
      <c r="AB2053" t="e">
        <f>IF(AND(#REF!&gt;180, #REF!&gt;200), "Heavy Doemstic User", IF(#REF!&gt;10, "Interntional User", IF(AND(#REF!&lt;180, #REF!&lt;200,#REF!&lt;200), "Light User", "Balanced User")))</f>
        <v>#REF!</v>
      </c>
      <c r="AC2053" t="e">
        <f>IF(#REF! = 0, "No Usage", IF(#REF! &lt;= 20, "Low Usage", IF(#REF! &lt;= 40, "Medium Usgae", "High Usage")))</f>
        <v>#REF!</v>
      </c>
      <c r="AD2053" t="e">
        <f>IF(#REF!&lt;=150,"Low Usage", IF(#REF!&lt;=200,"Medium Usage", IF(#REF!&lt;=250,"High Usage","Very High Usage")))</f>
        <v>#REF!</v>
      </c>
      <c r="AE2053" t="e">
        <f>IF(#REF!&lt;=5,"Low Calls", IF(#REF!&lt;=10, "Medium Calls", "High Calls"))</f>
        <v>#REF!</v>
      </c>
      <c r="AF2053" t="e">
        <f xml:space="preserve">
IF(#REF!&gt;=4,4,0)+
IF(#REF!="yes",3,0)+
IF(#REF!="High Charges",3,0)+
IF(#REF!&gt;250,4,0)+
IF(#REF!="no",1,0)+
IF(#REF!="Heavy Domestic User",2,0)</f>
        <v>#REF!</v>
      </c>
      <c r="AG2053" t="e">
        <f>IF(#REF!&gt;=10,"High Risk", IF(#REF!&gt;=5,"Medium Risk","Low Risk"))</f>
        <v>#REF!</v>
      </c>
      <c r="AH2053" t="e">
        <f>#REF! + #REF! + #REF! + #REF!</f>
        <v>#REF!</v>
      </c>
    </row>
    <row r="2054" spans="1:34" x14ac:dyDescent="0.35">
      <c r="A2054">
        <v>2053</v>
      </c>
      <c r="B2054" t="s">
        <v>24</v>
      </c>
      <c r="C2054">
        <v>59</v>
      </c>
      <c r="D2054" t="s">
        <v>28</v>
      </c>
      <c r="E2054" t="s">
        <v>22</v>
      </c>
      <c r="F2054" t="s">
        <v>22</v>
      </c>
      <c r="G2054">
        <v>0</v>
      </c>
      <c r="H2054">
        <v>195</v>
      </c>
      <c r="I2054">
        <v>58</v>
      </c>
      <c r="J2054">
        <v>33.15</v>
      </c>
      <c r="K2054">
        <v>198.5</v>
      </c>
      <c r="L2054">
        <v>88</v>
      </c>
      <c r="M2054">
        <v>16.87</v>
      </c>
      <c r="N2054">
        <v>304.3</v>
      </c>
      <c r="O2054">
        <v>110</v>
      </c>
      <c r="P2054">
        <v>13.69</v>
      </c>
      <c r="Q2054">
        <v>14.8</v>
      </c>
      <c r="R2054">
        <v>9</v>
      </c>
      <c r="S2054">
        <v>4</v>
      </c>
      <c r="T2054">
        <v>0</v>
      </c>
      <c r="U2054" t="s">
        <v>22</v>
      </c>
      <c r="V2054" t="e">
        <f>IF(#REF! = "yes", 1, 0)</f>
        <v>#REF!</v>
      </c>
      <c r="W2054" t="e">
        <f>IF(#REF! &lt;= 1, "0-1 Calls", IF(#REF! &lt;= 3, "2-3 Calls", IF(#REF! &lt;=5, "4-5 Calls", "6+ Calls")))</f>
        <v>#REF!</v>
      </c>
      <c r="X2054" t="e">
        <f>IF(#REF! &lt;= 50, "0-50", IF(#REF! &lt;=100, "51-100", IF(#REF! &lt;= 150, "101-150", "151+")))</f>
        <v>#REF!</v>
      </c>
      <c r="Y2054" t="e">
        <f>IF(#REF! &lt;= 3, "Low Charges", "High Charges")</f>
        <v>#REF!</v>
      </c>
      <c r="Z2054" t="e">
        <f>IF(#REF!&lt;=80,"Low Calls",
IF(#REF!&lt;=120,"Medium Calls","High Calls"))</f>
        <v>#REF!</v>
      </c>
      <c r="AA2054" t="e">
        <f>IF(#REF!&lt;=15,"Low Charges",
IF(#REF!&lt;=20,"Medium Charges","High Charges"))</f>
        <v>#REF!</v>
      </c>
      <c r="AB2054" t="e">
        <f>IF(AND(#REF!&gt;180, #REF!&gt;200), "Heavy Doemstic User", IF(#REF!&gt;10, "Interntional User", IF(AND(#REF!&lt;180, #REF!&lt;200,#REF!&lt;200), "Light User", "Balanced User")))</f>
        <v>#REF!</v>
      </c>
      <c r="AC2054" t="e">
        <f>IF(#REF! = 0, "No Usage", IF(#REF! &lt;= 20, "Low Usage", IF(#REF! &lt;= 40, "Medium Usgae", "High Usage")))</f>
        <v>#REF!</v>
      </c>
      <c r="AD2054" t="e">
        <f>IF(#REF!&lt;=150,"Low Usage", IF(#REF!&lt;=200,"Medium Usage", IF(#REF!&lt;=250,"High Usage","Very High Usage")))</f>
        <v>#REF!</v>
      </c>
      <c r="AE2054" t="e">
        <f>IF(#REF!&lt;=5,"Low Calls", IF(#REF!&lt;=10, "Medium Calls", "High Calls"))</f>
        <v>#REF!</v>
      </c>
      <c r="AF2054" t="e">
        <f xml:space="preserve">
IF(#REF!&gt;=4,4,0)+
IF(#REF!="yes",3,0)+
IF(#REF!="High Charges",3,0)+
IF(#REF!&gt;250,4,0)+
IF(#REF!="no",1,0)+
IF(#REF!="Heavy Domestic User",2,0)</f>
        <v>#REF!</v>
      </c>
      <c r="AG2054" t="e">
        <f>IF(#REF!&gt;=10,"High Risk", IF(#REF!&gt;=5,"Medium Risk","Low Risk"))</f>
        <v>#REF!</v>
      </c>
      <c r="AH2054" t="e">
        <f>#REF! + #REF! + #REF! + #REF!</f>
        <v>#REF!</v>
      </c>
    </row>
    <row r="2055" spans="1:34" x14ac:dyDescent="0.35">
      <c r="A2055">
        <v>2054</v>
      </c>
      <c r="B2055" t="s">
        <v>72</v>
      </c>
      <c r="C2055">
        <v>16</v>
      </c>
      <c r="D2055" t="s">
        <v>21</v>
      </c>
      <c r="E2055" t="s">
        <v>23</v>
      </c>
      <c r="F2055" t="s">
        <v>22</v>
      </c>
      <c r="G2055">
        <v>0</v>
      </c>
      <c r="H2055">
        <v>110</v>
      </c>
      <c r="I2055">
        <v>91</v>
      </c>
      <c r="J2055">
        <v>18.7</v>
      </c>
      <c r="K2055">
        <v>147.30000000000001</v>
      </c>
      <c r="L2055">
        <v>75</v>
      </c>
      <c r="M2055">
        <v>12.52</v>
      </c>
      <c r="N2055">
        <v>190.5</v>
      </c>
      <c r="O2055">
        <v>73</v>
      </c>
      <c r="P2055">
        <v>8.57</v>
      </c>
      <c r="Q2055">
        <v>6.4</v>
      </c>
      <c r="R2055">
        <v>7</v>
      </c>
      <c r="S2055">
        <v>1.73</v>
      </c>
      <c r="T2055">
        <v>0</v>
      </c>
      <c r="U2055" t="s">
        <v>22</v>
      </c>
      <c r="V2055" t="e">
        <f>IF(#REF! = "yes", 1, 0)</f>
        <v>#REF!</v>
      </c>
      <c r="W2055" t="e">
        <f>IF(#REF! &lt;= 1, "0-1 Calls", IF(#REF! &lt;= 3, "2-3 Calls", IF(#REF! &lt;=5, "4-5 Calls", "6+ Calls")))</f>
        <v>#REF!</v>
      </c>
      <c r="X2055" t="e">
        <f>IF(#REF! &lt;= 50, "0-50", IF(#REF! &lt;=100, "51-100", IF(#REF! &lt;= 150, "101-150", "151+")))</f>
        <v>#REF!</v>
      </c>
      <c r="Y2055" t="e">
        <f>IF(#REF! &lt;= 3, "Low Charges", "High Charges")</f>
        <v>#REF!</v>
      </c>
      <c r="Z2055" t="e">
        <f>IF(#REF!&lt;=80,"Low Calls",
IF(#REF!&lt;=120,"Medium Calls","High Calls"))</f>
        <v>#REF!</v>
      </c>
      <c r="AA2055" t="e">
        <f>IF(#REF!&lt;=15,"Low Charges",
IF(#REF!&lt;=20,"Medium Charges","High Charges"))</f>
        <v>#REF!</v>
      </c>
      <c r="AB2055" t="e">
        <f>IF(AND(#REF!&gt;180, #REF!&gt;200), "Heavy Doemstic User", IF(#REF!&gt;10, "Interntional User", IF(AND(#REF!&lt;180, #REF!&lt;200,#REF!&lt;200), "Light User", "Balanced User")))</f>
        <v>#REF!</v>
      </c>
      <c r="AC2055" t="e">
        <f>IF(#REF! = 0, "No Usage", IF(#REF! &lt;= 20, "Low Usage", IF(#REF! &lt;= 40, "Medium Usgae", "High Usage")))</f>
        <v>#REF!</v>
      </c>
      <c r="AD2055" t="e">
        <f>IF(#REF!&lt;=150,"Low Usage", IF(#REF!&lt;=200,"Medium Usage", IF(#REF!&lt;=250,"High Usage","Very High Usage")))</f>
        <v>#REF!</v>
      </c>
      <c r="AE2055" t="e">
        <f>IF(#REF!&lt;=5,"Low Calls", IF(#REF!&lt;=10, "Medium Calls", "High Calls"))</f>
        <v>#REF!</v>
      </c>
      <c r="AF2055" t="e">
        <f xml:space="preserve">
IF(#REF!&gt;=4,4,0)+
IF(#REF!="yes",3,0)+
IF(#REF!="High Charges",3,0)+
IF(#REF!&gt;250,4,0)+
IF(#REF!="no",1,0)+
IF(#REF!="Heavy Domestic User",2,0)</f>
        <v>#REF!</v>
      </c>
      <c r="AG2055" t="e">
        <f>IF(#REF!&gt;=10,"High Risk", IF(#REF!&gt;=5,"Medium Risk","Low Risk"))</f>
        <v>#REF!</v>
      </c>
      <c r="AH2055" t="e">
        <f>#REF! + #REF! + #REF! + #REF!</f>
        <v>#REF!</v>
      </c>
    </row>
    <row r="2056" spans="1:34" x14ac:dyDescent="0.35">
      <c r="A2056">
        <v>2055</v>
      </c>
      <c r="B2056" t="s">
        <v>63</v>
      </c>
      <c r="C2056">
        <v>114</v>
      </c>
      <c r="D2056" t="s">
        <v>21</v>
      </c>
      <c r="E2056" t="s">
        <v>22</v>
      </c>
      <c r="F2056" t="s">
        <v>22</v>
      </c>
      <c r="G2056">
        <v>0</v>
      </c>
      <c r="H2056">
        <v>147.1</v>
      </c>
      <c r="I2056">
        <v>119</v>
      </c>
      <c r="J2056">
        <v>25.01</v>
      </c>
      <c r="K2056">
        <v>161</v>
      </c>
      <c r="L2056">
        <v>111</v>
      </c>
      <c r="M2056">
        <v>13.69</v>
      </c>
      <c r="N2056">
        <v>275.89999999999998</v>
      </c>
      <c r="O2056">
        <v>106</v>
      </c>
      <c r="P2056">
        <v>12.42</v>
      </c>
      <c r="Q2056">
        <v>9</v>
      </c>
      <c r="R2056">
        <v>3</v>
      </c>
      <c r="S2056">
        <v>2.4300000000000002</v>
      </c>
      <c r="T2056">
        <v>5</v>
      </c>
      <c r="U2056" t="s">
        <v>23</v>
      </c>
      <c r="V2056" t="e">
        <f>IF(#REF! = "yes", 1, 0)</f>
        <v>#REF!</v>
      </c>
      <c r="W2056" t="e">
        <f>IF(#REF! &lt;= 1, "0-1 Calls", IF(#REF! &lt;= 3, "2-3 Calls", IF(#REF! &lt;=5, "4-5 Calls", "6+ Calls")))</f>
        <v>#REF!</v>
      </c>
      <c r="X2056" t="e">
        <f>IF(#REF! &lt;= 50, "0-50", IF(#REF! &lt;=100, "51-100", IF(#REF! &lt;= 150, "101-150", "151+")))</f>
        <v>#REF!</v>
      </c>
      <c r="Y2056" t="e">
        <f>IF(#REF! &lt;= 3, "Low Charges", "High Charges")</f>
        <v>#REF!</v>
      </c>
      <c r="Z2056" t="e">
        <f>IF(#REF!&lt;=80,"Low Calls",
IF(#REF!&lt;=120,"Medium Calls","High Calls"))</f>
        <v>#REF!</v>
      </c>
      <c r="AA2056" t="e">
        <f>IF(#REF!&lt;=15,"Low Charges",
IF(#REF!&lt;=20,"Medium Charges","High Charges"))</f>
        <v>#REF!</v>
      </c>
      <c r="AB2056" t="e">
        <f>IF(AND(#REF!&gt;180, #REF!&gt;200), "Heavy Doemstic User", IF(#REF!&gt;10, "Interntional User", IF(AND(#REF!&lt;180, #REF!&lt;200,#REF!&lt;200), "Light User", "Balanced User")))</f>
        <v>#REF!</v>
      </c>
      <c r="AC2056" t="e">
        <f>IF(#REF! = 0, "No Usage", IF(#REF! &lt;= 20, "Low Usage", IF(#REF! &lt;= 40, "Medium Usgae", "High Usage")))</f>
        <v>#REF!</v>
      </c>
      <c r="AD2056" t="e">
        <f>IF(#REF!&lt;=150,"Low Usage", IF(#REF!&lt;=200,"Medium Usage", IF(#REF!&lt;=250,"High Usage","Very High Usage")))</f>
        <v>#REF!</v>
      </c>
      <c r="AE2056" t="e">
        <f>IF(#REF!&lt;=5,"Low Calls", IF(#REF!&lt;=10, "Medium Calls", "High Calls"))</f>
        <v>#REF!</v>
      </c>
      <c r="AF2056" t="e">
        <f xml:space="preserve">
IF(#REF!&gt;=4,4,0)+
IF(#REF!="yes",3,0)+
IF(#REF!="High Charges",3,0)+
IF(#REF!&gt;250,4,0)+
IF(#REF!="no",1,0)+
IF(#REF!="Heavy Domestic User",2,0)</f>
        <v>#REF!</v>
      </c>
      <c r="AG2056" t="e">
        <f>IF(#REF!&gt;=10,"High Risk", IF(#REF!&gt;=5,"Medium Risk","Low Risk"))</f>
        <v>#REF!</v>
      </c>
      <c r="AH2056" t="e">
        <f>#REF! + #REF! + #REF! + #REF!</f>
        <v>#REF!</v>
      </c>
    </row>
    <row r="2057" spans="1:34" x14ac:dyDescent="0.35">
      <c r="A2057">
        <v>2056</v>
      </c>
      <c r="B2057" t="s">
        <v>34</v>
      </c>
      <c r="C2057">
        <v>113</v>
      </c>
      <c r="D2057" t="s">
        <v>28</v>
      </c>
      <c r="E2057" t="s">
        <v>22</v>
      </c>
      <c r="F2057" t="s">
        <v>22</v>
      </c>
      <c r="G2057">
        <v>0</v>
      </c>
      <c r="H2057">
        <v>156</v>
      </c>
      <c r="I2057">
        <v>141</v>
      </c>
      <c r="J2057">
        <v>26.52</v>
      </c>
      <c r="K2057">
        <v>256.8</v>
      </c>
      <c r="L2057">
        <v>72</v>
      </c>
      <c r="M2057">
        <v>21.83</v>
      </c>
      <c r="N2057">
        <v>175.3</v>
      </c>
      <c r="O2057">
        <v>123</v>
      </c>
      <c r="P2057">
        <v>7.89</v>
      </c>
      <c r="Q2057">
        <v>11.9</v>
      </c>
      <c r="R2057">
        <v>5</v>
      </c>
      <c r="S2057">
        <v>3.21</v>
      </c>
      <c r="T2057">
        <v>2</v>
      </c>
      <c r="U2057" t="s">
        <v>22</v>
      </c>
      <c r="V2057" t="e">
        <f>IF(#REF! = "yes", 1, 0)</f>
        <v>#REF!</v>
      </c>
      <c r="W2057" t="e">
        <f>IF(#REF! &lt;= 1, "0-1 Calls", IF(#REF! &lt;= 3, "2-3 Calls", IF(#REF! &lt;=5, "4-5 Calls", "6+ Calls")))</f>
        <v>#REF!</v>
      </c>
      <c r="X2057" t="e">
        <f>IF(#REF! &lt;= 50, "0-50", IF(#REF! &lt;=100, "51-100", IF(#REF! &lt;= 150, "101-150", "151+")))</f>
        <v>#REF!</v>
      </c>
      <c r="Y2057" t="e">
        <f>IF(#REF! &lt;= 3, "Low Charges", "High Charges")</f>
        <v>#REF!</v>
      </c>
      <c r="Z2057" t="e">
        <f>IF(#REF!&lt;=80,"Low Calls",
IF(#REF!&lt;=120,"Medium Calls","High Calls"))</f>
        <v>#REF!</v>
      </c>
      <c r="AA2057" t="e">
        <f>IF(#REF!&lt;=15,"Low Charges",
IF(#REF!&lt;=20,"Medium Charges","High Charges"))</f>
        <v>#REF!</v>
      </c>
      <c r="AB2057" t="e">
        <f>IF(AND(#REF!&gt;180, #REF!&gt;200), "Heavy Doemstic User", IF(#REF!&gt;10, "Interntional User", IF(AND(#REF!&lt;180, #REF!&lt;200,#REF!&lt;200), "Light User", "Balanced User")))</f>
        <v>#REF!</v>
      </c>
      <c r="AC2057" t="e">
        <f>IF(#REF! = 0, "No Usage", IF(#REF! &lt;= 20, "Low Usage", IF(#REF! &lt;= 40, "Medium Usgae", "High Usage")))</f>
        <v>#REF!</v>
      </c>
      <c r="AD2057" t="e">
        <f>IF(#REF!&lt;=150,"Low Usage", IF(#REF!&lt;=200,"Medium Usage", IF(#REF!&lt;=250,"High Usage","Very High Usage")))</f>
        <v>#REF!</v>
      </c>
      <c r="AE2057" t="e">
        <f>IF(#REF!&lt;=5,"Low Calls", IF(#REF!&lt;=10, "Medium Calls", "High Calls"))</f>
        <v>#REF!</v>
      </c>
      <c r="AF2057" t="e">
        <f xml:space="preserve">
IF(#REF!&gt;=4,4,0)+
IF(#REF!="yes",3,0)+
IF(#REF!="High Charges",3,0)+
IF(#REF!&gt;250,4,0)+
IF(#REF!="no",1,0)+
IF(#REF!="Heavy Domestic User",2,0)</f>
        <v>#REF!</v>
      </c>
      <c r="AG2057" t="e">
        <f>IF(#REF!&gt;=10,"High Risk", IF(#REF!&gt;=5,"Medium Risk","Low Risk"))</f>
        <v>#REF!</v>
      </c>
      <c r="AH2057" t="e">
        <f>#REF! + #REF! + #REF! + #REF!</f>
        <v>#REF!</v>
      </c>
    </row>
    <row r="2058" spans="1:34" x14ac:dyDescent="0.35">
      <c r="A2058">
        <v>2057</v>
      </c>
      <c r="B2058" t="s">
        <v>48</v>
      </c>
      <c r="C2058">
        <v>120</v>
      </c>
      <c r="D2058" t="s">
        <v>25</v>
      </c>
      <c r="E2058" t="s">
        <v>22</v>
      </c>
      <c r="F2058" t="s">
        <v>22</v>
      </c>
      <c r="G2058">
        <v>0</v>
      </c>
      <c r="H2058">
        <v>98.2</v>
      </c>
      <c r="I2058">
        <v>99</v>
      </c>
      <c r="J2058">
        <v>16.690000000000001</v>
      </c>
      <c r="K2058">
        <v>186.7</v>
      </c>
      <c r="L2058">
        <v>85</v>
      </c>
      <c r="M2058">
        <v>15.87</v>
      </c>
      <c r="N2058">
        <v>146.69999999999999</v>
      </c>
      <c r="O2058">
        <v>96</v>
      </c>
      <c r="P2058">
        <v>6.6</v>
      </c>
      <c r="Q2058">
        <v>9.3000000000000007</v>
      </c>
      <c r="R2058">
        <v>4</v>
      </c>
      <c r="S2058">
        <v>2.5099999999999998</v>
      </c>
      <c r="T2058">
        <v>2</v>
      </c>
      <c r="U2058" t="s">
        <v>22</v>
      </c>
      <c r="V2058" t="e">
        <f>IF(#REF! = "yes", 1, 0)</f>
        <v>#REF!</v>
      </c>
      <c r="W2058" t="e">
        <f>IF(#REF! &lt;= 1, "0-1 Calls", IF(#REF! &lt;= 3, "2-3 Calls", IF(#REF! &lt;=5, "4-5 Calls", "6+ Calls")))</f>
        <v>#REF!</v>
      </c>
      <c r="X2058" t="e">
        <f>IF(#REF! &lt;= 50, "0-50", IF(#REF! &lt;=100, "51-100", IF(#REF! &lt;= 150, "101-150", "151+")))</f>
        <v>#REF!</v>
      </c>
      <c r="Y2058" t="e">
        <f>IF(#REF! &lt;= 3, "Low Charges", "High Charges")</f>
        <v>#REF!</v>
      </c>
      <c r="Z2058" t="e">
        <f>IF(#REF!&lt;=80,"Low Calls",
IF(#REF!&lt;=120,"Medium Calls","High Calls"))</f>
        <v>#REF!</v>
      </c>
      <c r="AA2058" t="e">
        <f>IF(#REF!&lt;=15,"Low Charges",
IF(#REF!&lt;=20,"Medium Charges","High Charges"))</f>
        <v>#REF!</v>
      </c>
      <c r="AB2058" t="e">
        <f>IF(AND(#REF!&gt;180, #REF!&gt;200), "Heavy Doemstic User", IF(#REF!&gt;10, "Interntional User", IF(AND(#REF!&lt;180, #REF!&lt;200,#REF!&lt;200), "Light User", "Balanced User")))</f>
        <v>#REF!</v>
      </c>
      <c r="AC2058" t="e">
        <f>IF(#REF! = 0, "No Usage", IF(#REF! &lt;= 20, "Low Usage", IF(#REF! &lt;= 40, "Medium Usgae", "High Usage")))</f>
        <v>#REF!</v>
      </c>
      <c r="AD2058" t="e">
        <f>IF(#REF!&lt;=150,"Low Usage", IF(#REF!&lt;=200,"Medium Usage", IF(#REF!&lt;=250,"High Usage","Very High Usage")))</f>
        <v>#REF!</v>
      </c>
      <c r="AE2058" t="e">
        <f>IF(#REF!&lt;=5,"Low Calls", IF(#REF!&lt;=10, "Medium Calls", "High Calls"))</f>
        <v>#REF!</v>
      </c>
      <c r="AF2058" t="e">
        <f xml:space="preserve">
IF(#REF!&gt;=4,4,0)+
IF(#REF!="yes",3,0)+
IF(#REF!="High Charges",3,0)+
IF(#REF!&gt;250,4,0)+
IF(#REF!="no",1,0)+
IF(#REF!="Heavy Domestic User",2,0)</f>
        <v>#REF!</v>
      </c>
      <c r="AG2058" t="e">
        <f>IF(#REF!&gt;=10,"High Risk", IF(#REF!&gt;=5,"Medium Risk","Low Risk"))</f>
        <v>#REF!</v>
      </c>
      <c r="AH2058" t="e">
        <f>#REF! + #REF! + #REF! + #REF!</f>
        <v>#REF!</v>
      </c>
    </row>
    <row r="2059" spans="1:34" x14ac:dyDescent="0.35">
      <c r="A2059">
        <v>2058</v>
      </c>
      <c r="B2059" t="s">
        <v>47</v>
      </c>
      <c r="C2059">
        <v>115</v>
      </c>
      <c r="D2059" t="s">
        <v>21</v>
      </c>
      <c r="E2059" t="s">
        <v>22</v>
      </c>
      <c r="F2059" t="s">
        <v>22</v>
      </c>
      <c r="G2059">
        <v>0</v>
      </c>
      <c r="H2059">
        <v>210.6</v>
      </c>
      <c r="I2059">
        <v>120</v>
      </c>
      <c r="J2059">
        <v>35.799999999999997</v>
      </c>
      <c r="K2059">
        <v>153.1</v>
      </c>
      <c r="L2059">
        <v>84</v>
      </c>
      <c r="M2059">
        <v>13.01</v>
      </c>
      <c r="N2059">
        <v>262.2</v>
      </c>
      <c r="O2059">
        <v>79</v>
      </c>
      <c r="P2059">
        <v>11.8</v>
      </c>
      <c r="Q2059">
        <v>11</v>
      </c>
      <c r="R2059">
        <v>5</v>
      </c>
      <c r="S2059">
        <v>2.97</v>
      </c>
      <c r="T2059">
        <v>0</v>
      </c>
      <c r="U2059" t="s">
        <v>22</v>
      </c>
      <c r="V2059" t="e">
        <f>IF(#REF! = "yes", 1, 0)</f>
        <v>#REF!</v>
      </c>
      <c r="W2059" t="e">
        <f>IF(#REF! &lt;= 1, "0-1 Calls", IF(#REF! &lt;= 3, "2-3 Calls", IF(#REF! &lt;=5, "4-5 Calls", "6+ Calls")))</f>
        <v>#REF!</v>
      </c>
      <c r="X2059" t="e">
        <f>IF(#REF! &lt;= 50, "0-50", IF(#REF! &lt;=100, "51-100", IF(#REF! &lt;= 150, "101-150", "151+")))</f>
        <v>#REF!</v>
      </c>
      <c r="Y2059" t="e">
        <f>IF(#REF! &lt;= 3, "Low Charges", "High Charges")</f>
        <v>#REF!</v>
      </c>
      <c r="Z2059" t="e">
        <f>IF(#REF!&lt;=80,"Low Calls",
IF(#REF!&lt;=120,"Medium Calls","High Calls"))</f>
        <v>#REF!</v>
      </c>
      <c r="AA2059" t="e">
        <f>IF(#REF!&lt;=15,"Low Charges",
IF(#REF!&lt;=20,"Medium Charges","High Charges"))</f>
        <v>#REF!</v>
      </c>
      <c r="AB2059" t="e">
        <f>IF(AND(#REF!&gt;180, #REF!&gt;200), "Heavy Doemstic User", IF(#REF!&gt;10, "Interntional User", IF(AND(#REF!&lt;180, #REF!&lt;200,#REF!&lt;200), "Light User", "Balanced User")))</f>
        <v>#REF!</v>
      </c>
      <c r="AC2059" t="e">
        <f>IF(#REF! = 0, "No Usage", IF(#REF! &lt;= 20, "Low Usage", IF(#REF! &lt;= 40, "Medium Usgae", "High Usage")))</f>
        <v>#REF!</v>
      </c>
      <c r="AD2059" t="e">
        <f>IF(#REF!&lt;=150,"Low Usage", IF(#REF!&lt;=200,"Medium Usage", IF(#REF!&lt;=250,"High Usage","Very High Usage")))</f>
        <v>#REF!</v>
      </c>
      <c r="AE2059" t="e">
        <f>IF(#REF!&lt;=5,"Low Calls", IF(#REF!&lt;=10, "Medium Calls", "High Calls"))</f>
        <v>#REF!</v>
      </c>
      <c r="AF2059" t="e">
        <f xml:space="preserve">
IF(#REF!&gt;=4,4,0)+
IF(#REF!="yes",3,0)+
IF(#REF!="High Charges",3,0)+
IF(#REF!&gt;250,4,0)+
IF(#REF!="no",1,0)+
IF(#REF!="Heavy Domestic User",2,0)</f>
        <v>#REF!</v>
      </c>
      <c r="AG2059" t="e">
        <f>IF(#REF!&gt;=10,"High Risk", IF(#REF!&gt;=5,"Medium Risk","Low Risk"))</f>
        <v>#REF!</v>
      </c>
      <c r="AH2059" t="e">
        <f>#REF! + #REF! + #REF! + #REF!</f>
        <v>#REF!</v>
      </c>
    </row>
    <row r="2060" spans="1:34" x14ac:dyDescent="0.35">
      <c r="A2060">
        <v>2059</v>
      </c>
      <c r="B2060" t="s">
        <v>41</v>
      </c>
      <c r="C2060">
        <v>132</v>
      </c>
      <c r="D2060" t="s">
        <v>21</v>
      </c>
      <c r="E2060" t="s">
        <v>22</v>
      </c>
      <c r="F2060" t="s">
        <v>22</v>
      </c>
      <c r="G2060">
        <v>0</v>
      </c>
      <c r="H2060">
        <v>197.8</v>
      </c>
      <c r="I2060">
        <v>66</v>
      </c>
      <c r="J2060">
        <v>33.630000000000003</v>
      </c>
      <c r="K2060">
        <v>133.9</v>
      </c>
      <c r="L2060">
        <v>119</v>
      </c>
      <c r="M2060">
        <v>11.38</v>
      </c>
      <c r="N2060">
        <v>177.3</v>
      </c>
      <c r="O2060">
        <v>94</v>
      </c>
      <c r="P2060">
        <v>7.98</v>
      </c>
      <c r="Q2060">
        <v>10.9</v>
      </c>
      <c r="R2060">
        <v>3</v>
      </c>
      <c r="S2060">
        <v>2.94</v>
      </c>
      <c r="T2060">
        <v>4</v>
      </c>
      <c r="U2060" t="s">
        <v>23</v>
      </c>
      <c r="V2060" t="e">
        <f>IF(#REF! = "yes", 1, 0)</f>
        <v>#REF!</v>
      </c>
      <c r="W2060" t="e">
        <f>IF(#REF! &lt;= 1, "0-1 Calls", IF(#REF! &lt;= 3, "2-3 Calls", IF(#REF! &lt;=5, "4-5 Calls", "6+ Calls")))</f>
        <v>#REF!</v>
      </c>
      <c r="X2060" t="e">
        <f>IF(#REF! &lt;= 50, "0-50", IF(#REF! &lt;=100, "51-100", IF(#REF! &lt;= 150, "101-150", "151+")))</f>
        <v>#REF!</v>
      </c>
      <c r="Y2060" t="e">
        <f>IF(#REF! &lt;= 3, "Low Charges", "High Charges")</f>
        <v>#REF!</v>
      </c>
      <c r="Z2060" t="e">
        <f>IF(#REF!&lt;=80,"Low Calls",
IF(#REF!&lt;=120,"Medium Calls","High Calls"))</f>
        <v>#REF!</v>
      </c>
      <c r="AA2060" t="e">
        <f>IF(#REF!&lt;=15,"Low Charges",
IF(#REF!&lt;=20,"Medium Charges","High Charges"))</f>
        <v>#REF!</v>
      </c>
      <c r="AB2060" t="e">
        <f>IF(AND(#REF!&gt;180, #REF!&gt;200), "Heavy Doemstic User", IF(#REF!&gt;10, "Interntional User", IF(AND(#REF!&lt;180, #REF!&lt;200,#REF!&lt;200), "Light User", "Balanced User")))</f>
        <v>#REF!</v>
      </c>
      <c r="AC2060" t="e">
        <f>IF(#REF! = 0, "No Usage", IF(#REF! &lt;= 20, "Low Usage", IF(#REF! &lt;= 40, "Medium Usgae", "High Usage")))</f>
        <v>#REF!</v>
      </c>
      <c r="AD2060" t="e">
        <f>IF(#REF!&lt;=150,"Low Usage", IF(#REF!&lt;=200,"Medium Usage", IF(#REF!&lt;=250,"High Usage","Very High Usage")))</f>
        <v>#REF!</v>
      </c>
      <c r="AE2060" t="e">
        <f>IF(#REF!&lt;=5,"Low Calls", IF(#REF!&lt;=10, "Medium Calls", "High Calls"))</f>
        <v>#REF!</v>
      </c>
      <c r="AF2060" t="e">
        <f xml:space="preserve">
IF(#REF!&gt;=4,4,0)+
IF(#REF!="yes",3,0)+
IF(#REF!="High Charges",3,0)+
IF(#REF!&gt;250,4,0)+
IF(#REF!="no",1,0)+
IF(#REF!="Heavy Domestic User",2,0)</f>
        <v>#REF!</v>
      </c>
      <c r="AG2060" t="e">
        <f>IF(#REF!&gt;=10,"High Risk", IF(#REF!&gt;=5,"Medium Risk","Low Risk"))</f>
        <v>#REF!</v>
      </c>
      <c r="AH2060" t="e">
        <f>#REF! + #REF! + #REF! + #REF!</f>
        <v>#REF!</v>
      </c>
    </row>
    <row r="2061" spans="1:34" x14ac:dyDescent="0.35">
      <c r="A2061">
        <v>2060</v>
      </c>
      <c r="B2061" t="s">
        <v>43</v>
      </c>
      <c r="C2061">
        <v>1</v>
      </c>
      <c r="D2061" t="s">
        <v>25</v>
      </c>
      <c r="E2061" t="s">
        <v>22</v>
      </c>
      <c r="F2061" t="s">
        <v>22</v>
      </c>
      <c r="G2061">
        <v>0</v>
      </c>
      <c r="H2061">
        <v>123.8</v>
      </c>
      <c r="I2061">
        <v>113</v>
      </c>
      <c r="J2061">
        <v>21.05</v>
      </c>
      <c r="K2061">
        <v>236.2</v>
      </c>
      <c r="L2061">
        <v>77</v>
      </c>
      <c r="M2061">
        <v>20.079999999999998</v>
      </c>
      <c r="N2061">
        <v>73.2</v>
      </c>
      <c r="O2061">
        <v>81</v>
      </c>
      <c r="P2061">
        <v>3.29</v>
      </c>
      <c r="Q2061">
        <v>3.7</v>
      </c>
      <c r="R2061">
        <v>2</v>
      </c>
      <c r="S2061">
        <v>1</v>
      </c>
      <c r="T2061">
        <v>0</v>
      </c>
      <c r="U2061" t="s">
        <v>22</v>
      </c>
      <c r="V2061" t="e">
        <f>IF(#REF! = "yes", 1, 0)</f>
        <v>#REF!</v>
      </c>
      <c r="W2061" t="e">
        <f>IF(#REF! &lt;= 1, "0-1 Calls", IF(#REF! &lt;= 3, "2-3 Calls", IF(#REF! &lt;=5, "4-5 Calls", "6+ Calls")))</f>
        <v>#REF!</v>
      </c>
      <c r="X2061" t="e">
        <f>IF(#REF! &lt;= 50, "0-50", IF(#REF! &lt;=100, "51-100", IF(#REF! &lt;= 150, "101-150", "151+")))</f>
        <v>#REF!</v>
      </c>
      <c r="Y2061" t="e">
        <f>IF(#REF! &lt;= 3, "Low Charges", "High Charges")</f>
        <v>#REF!</v>
      </c>
      <c r="Z2061" t="e">
        <f>IF(#REF!&lt;=80,"Low Calls",
IF(#REF!&lt;=120,"Medium Calls","High Calls"))</f>
        <v>#REF!</v>
      </c>
      <c r="AA2061" t="e">
        <f>IF(#REF!&lt;=15,"Low Charges",
IF(#REF!&lt;=20,"Medium Charges","High Charges"))</f>
        <v>#REF!</v>
      </c>
      <c r="AB2061" t="e">
        <f>IF(AND(#REF!&gt;180, #REF!&gt;200), "Heavy Doemstic User", IF(#REF!&gt;10, "Interntional User", IF(AND(#REF!&lt;180, #REF!&lt;200,#REF!&lt;200), "Light User", "Balanced User")))</f>
        <v>#REF!</v>
      </c>
      <c r="AC2061" t="e">
        <f>IF(#REF! = 0, "No Usage", IF(#REF! &lt;= 20, "Low Usage", IF(#REF! &lt;= 40, "Medium Usgae", "High Usage")))</f>
        <v>#REF!</v>
      </c>
      <c r="AD2061" t="e">
        <f>IF(#REF!&lt;=150,"Low Usage", IF(#REF!&lt;=200,"Medium Usage", IF(#REF!&lt;=250,"High Usage","Very High Usage")))</f>
        <v>#REF!</v>
      </c>
      <c r="AE2061" t="e">
        <f>IF(#REF!&lt;=5,"Low Calls", IF(#REF!&lt;=10, "Medium Calls", "High Calls"))</f>
        <v>#REF!</v>
      </c>
      <c r="AF2061" t="e">
        <f xml:space="preserve">
IF(#REF!&gt;=4,4,0)+
IF(#REF!="yes",3,0)+
IF(#REF!="High Charges",3,0)+
IF(#REF!&gt;250,4,0)+
IF(#REF!="no",1,0)+
IF(#REF!="Heavy Domestic User",2,0)</f>
        <v>#REF!</v>
      </c>
      <c r="AG2061" t="e">
        <f>IF(#REF!&gt;=10,"High Risk", IF(#REF!&gt;=5,"Medium Risk","Low Risk"))</f>
        <v>#REF!</v>
      </c>
      <c r="AH2061" t="e">
        <f>#REF! + #REF! + #REF! + #REF!</f>
        <v>#REF!</v>
      </c>
    </row>
    <row r="2062" spans="1:34" x14ac:dyDescent="0.35">
      <c r="A2062">
        <v>2061</v>
      </c>
      <c r="B2062" t="s">
        <v>35</v>
      </c>
      <c r="C2062">
        <v>97</v>
      </c>
      <c r="D2062" t="s">
        <v>21</v>
      </c>
      <c r="E2062" t="s">
        <v>22</v>
      </c>
      <c r="F2062" t="s">
        <v>23</v>
      </c>
      <c r="G2062">
        <v>15</v>
      </c>
      <c r="H2062">
        <v>117.6</v>
      </c>
      <c r="I2062">
        <v>97</v>
      </c>
      <c r="J2062">
        <v>19.989999999999998</v>
      </c>
      <c r="K2062">
        <v>196.3</v>
      </c>
      <c r="L2062">
        <v>126</v>
      </c>
      <c r="M2062">
        <v>16.690000000000001</v>
      </c>
      <c r="N2062">
        <v>157.4</v>
      </c>
      <c r="O2062">
        <v>113</v>
      </c>
      <c r="P2062">
        <v>7.08</v>
      </c>
      <c r="Q2062">
        <v>6.4</v>
      </c>
      <c r="R2062">
        <v>3</v>
      </c>
      <c r="S2062">
        <v>1.73</v>
      </c>
      <c r="T2062">
        <v>1</v>
      </c>
      <c r="U2062" t="s">
        <v>22</v>
      </c>
      <c r="V2062" t="e">
        <f>IF(#REF! = "yes", 1, 0)</f>
        <v>#REF!</v>
      </c>
      <c r="W2062" t="e">
        <f>IF(#REF! &lt;= 1, "0-1 Calls", IF(#REF! &lt;= 3, "2-3 Calls", IF(#REF! &lt;=5, "4-5 Calls", "6+ Calls")))</f>
        <v>#REF!</v>
      </c>
      <c r="X2062" t="e">
        <f>IF(#REF! &lt;= 50, "0-50", IF(#REF! &lt;=100, "51-100", IF(#REF! &lt;= 150, "101-150", "151+")))</f>
        <v>#REF!</v>
      </c>
      <c r="Y2062" t="e">
        <f>IF(#REF! &lt;= 3, "Low Charges", "High Charges")</f>
        <v>#REF!</v>
      </c>
      <c r="Z2062" t="e">
        <f>IF(#REF!&lt;=80,"Low Calls",
IF(#REF!&lt;=120,"Medium Calls","High Calls"))</f>
        <v>#REF!</v>
      </c>
      <c r="AA2062" t="e">
        <f>IF(#REF!&lt;=15,"Low Charges",
IF(#REF!&lt;=20,"Medium Charges","High Charges"))</f>
        <v>#REF!</v>
      </c>
      <c r="AB2062" t="e">
        <f>IF(AND(#REF!&gt;180, #REF!&gt;200), "Heavy Doemstic User", IF(#REF!&gt;10, "Interntional User", IF(AND(#REF!&lt;180, #REF!&lt;200,#REF!&lt;200), "Light User", "Balanced User")))</f>
        <v>#REF!</v>
      </c>
      <c r="AC2062" t="e">
        <f>IF(#REF! = 0, "No Usage", IF(#REF! &lt;= 20, "Low Usage", IF(#REF! &lt;= 40, "Medium Usgae", "High Usage")))</f>
        <v>#REF!</v>
      </c>
      <c r="AD2062" t="e">
        <f>IF(#REF!&lt;=150,"Low Usage", IF(#REF!&lt;=200,"Medium Usage", IF(#REF!&lt;=250,"High Usage","Very High Usage")))</f>
        <v>#REF!</v>
      </c>
      <c r="AE2062" t="e">
        <f>IF(#REF!&lt;=5,"Low Calls", IF(#REF!&lt;=10, "Medium Calls", "High Calls"))</f>
        <v>#REF!</v>
      </c>
      <c r="AF2062" t="e">
        <f xml:space="preserve">
IF(#REF!&gt;=4,4,0)+
IF(#REF!="yes",3,0)+
IF(#REF!="High Charges",3,0)+
IF(#REF!&gt;250,4,0)+
IF(#REF!="no",1,0)+
IF(#REF!="Heavy Domestic User",2,0)</f>
        <v>#REF!</v>
      </c>
      <c r="AG2062" t="e">
        <f>IF(#REF!&gt;=10,"High Risk", IF(#REF!&gt;=5,"Medium Risk","Low Risk"))</f>
        <v>#REF!</v>
      </c>
      <c r="AH2062" t="e">
        <f>#REF! + #REF! + #REF! + #REF!</f>
        <v>#REF!</v>
      </c>
    </row>
    <row r="2063" spans="1:34" x14ac:dyDescent="0.35">
      <c r="A2063">
        <v>2062</v>
      </c>
      <c r="B2063" t="s">
        <v>65</v>
      </c>
      <c r="C2063">
        <v>55</v>
      </c>
      <c r="D2063" t="s">
        <v>21</v>
      </c>
      <c r="E2063" t="s">
        <v>22</v>
      </c>
      <c r="F2063" t="s">
        <v>23</v>
      </c>
      <c r="G2063">
        <v>28</v>
      </c>
      <c r="H2063">
        <v>105.3</v>
      </c>
      <c r="I2063">
        <v>82</v>
      </c>
      <c r="J2063">
        <v>17.899999999999999</v>
      </c>
      <c r="K2063">
        <v>197.4</v>
      </c>
      <c r="L2063">
        <v>109</v>
      </c>
      <c r="M2063">
        <v>16.78</v>
      </c>
      <c r="N2063">
        <v>187.5</v>
      </c>
      <c r="O2063">
        <v>91</v>
      </c>
      <c r="P2063">
        <v>8.44</v>
      </c>
      <c r="Q2063">
        <v>8.6</v>
      </c>
      <c r="R2063">
        <v>6</v>
      </c>
      <c r="S2063">
        <v>2.3199999999999998</v>
      </c>
      <c r="T2063">
        <v>2</v>
      </c>
      <c r="U2063" t="s">
        <v>22</v>
      </c>
      <c r="V2063" t="e">
        <f>IF(#REF! = "yes", 1, 0)</f>
        <v>#REF!</v>
      </c>
      <c r="W2063" t="e">
        <f>IF(#REF! &lt;= 1, "0-1 Calls", IF(#REF! &lt;= 3, "2-3 Calls", IF(#REF! &lt;=5, "4-5 Calls", "6+ Calls")))</f>
        <v>#REF!</v>
      </c>
      <c r="X2063" t="e">
        <f>IF(#REF! &lt;= 50, "0-50", IF(#REF! &lt;=100, "51-100", IF(#REF! &lt;= 150, "101-150", "151+")))</f>
        <v>#REF!</v>
      </c>
      <c r="Y2063" t="e">
        <f>IF(#REF! &lt;= 3, "Low Charges", "High Charges")</f>
        <v>#REF!</v>
      </c>
      <c r="Z2063" t="e">
        <f>IF(#REF!&lt;=80,"Low Calls",
IF(#REF!&lt;=120,"Medium Calls","High Calls"))</f>
        <v>#REF!</v>
      </c>
      <c r="AA2063" t="e">
        <f>IF(#REF!&lt;=15,"Low Charges",
IF(#REF!&lt;=20,"Medium Charges","High Charges"))</f>
        <v>#REF!</v>
      </c>
      <c r="AB2063" t="e">
        <f>IF(AND(#REF!&gt;180, #REF!&gt;200), "Heavy Doemstic User", IF(#REF!&gt;10, "Interntional User", IF(AND(#REF!&lt;180, #REF!&lt;200,#REF!&lt;200), "Light User", "Balanced User")))</f>
        <v>#REF!</v>
      </c>
      <c r="AC2063" t="e">
        <f>IF(#REF! = 0, "No Usage", IF(#REF! &lt;= 20, "Low Usage", IF(#REF! &lt;= 40, "Medium Usgae", "High Usage")))</f>
        <v>#REF!</v>
      </c>
      <c r="AD2063" t="e">
        <f>IF(#REF!&lt;=150,"Low Usage", IF(#REF!&lt;=200,"Medium Usage", IF(#REF!&lt;=250,"High Usage","Very High Usage")))</f>
        <v>#REF!</v>
      </c>
      <c r="AE2063" t="e">
        <f>IF(#REF!&lt;=5,"Low Calls", IF(#REF!&lt;=10, "Medium Calls", "High Calls"))</f>
        <v>#REF!</v>
      </c>
      <c r="AF2063" t="e">
        <f xml:space="preserve">
IF(#REF!&gt;=4,4,0)+
IF(#REF!="yes",3,0)+
IF(#REF!="High Charges",3,0)+
IF(#REF!&gt;250,4,0)+
IF(#REF!="no",1,0)+
IF(#REF!="Heavy Domestic User",2,0)</f>
        <v>#REF!</v>
      </c>
      <c r="AG2063" t="e">
        <f>IF(#REF!&gt;=10,"High Risk", IF(#REF!&gt;=5,"Medium Risk","Low Risk"))</f>
        <v>#REF!</v>
      </c>
      <c r="AH2063" t="e">
        <f>#REF! + #REF! + #REF! + #REF!</f>
        <v>#REF!</v>
      </c>
    </row>
    <row r="2064" spans="1:34" x14ac:dyDescent="0.35">
      <c r="A2064">
        <v>2063</v>
      </c>
      <c r="B2064" t="s">
        <v>31</v>
      </c>
      <c r="C2064">
        <v>75</v>
      </c>
      <c r="D2064" t="s">
        <v>21</v>
      </c>
      <c r="E2064" t="s">
        <v>22</v>
      </c>
      <c r="F2064" t="s">
        <v>22</v>
      </c>
      <c r="G2064">
        <v>0</v>
      </c>
      <c r="H2064">
        <v>111.7</v>
      </c>
      <c r="I2064">
        <v>121</v>
      </c>
      <c r="J2064">
        <v>18.989999999999998</v>
      </c>
      <c r="K2064">
        <v>237.3</v>
      </c>
      <c r="L2064">
        <v>119</v>
      </c>
      <c r="M2064">
        <v>20.170000000000002</v>
      </c>
      <c r="N2064">
        <v>253.5</v>
      </c>
      <c r="O2064">
        <v>110</v>
      </c>
      <c r="P2064">
        <v>11.41</v>
      </c>
      <c r="Q2064">
        <v>13.1</v>
      </c>
      <c r="R2064">
        <v>6</v>
      </c>
      <c r="S2064">
        <v>3.54</v>
      </c>
      <c r="T2064">
        <v>1</v>
      </c>
      <c r="U2064" t="s">
        <v>22</v>
      </c>
      <c r="V2064" t="e">
        <f>IF(#REF! = "yes", 1, 0)</f>
        <v>#REF!</v>
      </c>
      <c r="W2064" t="e">
        <f>IF(#REF! &lt;= 1, "0-1 Calls", IF(#REF! &lt;= 3, "2-3 Calls", IF(#REF! &lt;=5, "4-5 Calls", "6+ Calls")))</f>
        <v>#REF!</v>
      </c>
      <c r="X2064" t="e">
        <f>IF(#REF! &lt;= 50, "0-50", IF(#REF! &lt;=100, "51-100", IF(#REF! &lt;= 150, "101-150", "151+")))</f>
        <v>#REF!</v>
      </c>
      <c r="Y2064" t="e">
        <f>IF(#REF! &lt;= 3, "Low Charges", "High Charges")</f>
        <v>#REF!</v>
      </c>
      <c r="Z2064" t="e">
        <f>IF(#REF!&lt;=80,"Low Calls",
IF(#REF!&lt;=120,"Medium Calls","High Calls"))</f>
        <v>#REF!</v>
      </c>
      <c r="AA2064" t="e">
        <f>IF(#REF!&lt;=15,"Low Charges",
IF(#REF!&lt;=20,"Medium Charges","High Charges"))</f>
        <v>#REF!</v>
      </c>
      <c r="AB2064" t="e">
        <f>IF(AND(#REF!&gt;180, #REF!&gt;200), "Heavy Doemstic User", IF(#REF!&gt;10, "Interntional User", IF(AND(#REF!&lt;180, #REF!&lt;200,#REF!&lt;200), "Light User", "Balanced User")))</f>
        <v>#REF!</v>
      </c>
      <c r="AC2064" t="e">
        <f>IF(#REF! = 0, "No Usage", IF(#REF! &lt;= 20, "Low Usage", IF(#REF! &lt;= 40, "Medium Usgae", "High Usage")))</f>
        <v>#REF!</v>
      </c>
      <c r="AD2064" t="e">
        <f>IF(#REF!&lt;=150,"Low Usage", IF(#REF!&lt;=200,"Medium Usage", IF(#REF!&lt;=250,"High Usage","Very High Usage")))</f>
        <v>#REF!</v>
      </c>
      <c r="AE2064" t="e">
        <f>IF(#REF!&lt;=5,"Low Calls", IF(#REF!&lt;=10, "Medium Calls", "High Calls"))</f>
        <v>#REF!</v>
      </c>
      <c r="AF2064" t="e">
        <f xml:space="preserve">
IF(#REF!&gt;=4,4,0)+
IF(#REF!="yes",3,0)+
IF(#REF!="High Charges",3,0)+
IF(#REF!&gt;250,4,0)+
IF(#REF!="no",1,0)+
IF(#REF!="Heavy Domestic User",2,0)</f>
        <v>#REF!</v>
      </c>
      <c r="AG2064" t="e">
        <f>IF(#REF!&gt;=10,"High Risk", IF(#REF!&gt;=5,"Medium Risk","Low Risk"))</f>
        <v>#REF!</v>
      </c>
      <c r="AH2064" t="e">
        <f>#REF! + #REF! + #REF! + #REF!</f>
        <v>#REF!</v>
      </c>
    </row>
    <row r="2065" spans="1:34" x14ac:dyDescent="0.35">
      <c r="A2065">
        <v>2064</v>
      </c>
      <c r="B2065" t="s">
        <v>37</v>
      </c>
      <c r="C2065">
        <v>83</v>
      </c>
      <c r="D2065" t="s">
        <v>21</v>
      </c>
      <c r="E2065" t="s">
        <v>22</v>
      </c>
      <c r="F2065" t="s">
        <v>22</v>
      </c>
      <c r="G2065">
        <v>0</v>
      </c>
      <c r="H2065">
        <v>159.30000000000001</v>
      </c>
      <c r="I2065">
        <v>104</v>
      </c>
      <c r="J2065">
        <v>27.08</v>
      </c>
      <c r="K2065">
        <v>202.3</v>
      </c>
      <c r="L2065">
        <v>98</v>
      </c>
      <c r="M2065">
        <v>17.2</v>
      </c>
      <c r="N2065">
        <v>229</v>
      </c>
      <c r="O2065">
        <v>73</v>
      </c>
      <c r="P2065">
        <v>10.31</v>
      </c>
      <c r="Q2065">
        <v>9.5</v>
      </c>
      <c r="R2065">
        <v>3</v>
      </c>
      <c r="S2065">
        <v>2.57</v>
      </c>
      <c r="T2065">
        <v>2</v>
      </c>
      <c r="U2065" t="s">
        <v>22</v>
      </c>
      <c r="V2065" t="e">
        <f>IF(#REF! = "yes", 1, 0)</f>
        <v>#REF!</v>
      </c>
      <c r="W2065" t="e">
        <f>IF(#REF! &lt;= 1, "0-1 Calls", IF(#REF! &lt;= 3, "2-3 Calls", IF(#REF! &lt;=5, "4-5 Calls", "6+ Calls")))</f>
        <v>#REF!</v>
      </c>
      <c r="X2065" t="e">
        <f>IF(#REF! &lt;= 50, "0-50", IF(#REF! &lt;=100, "51-100", IF(#REF! &lt;= 150, "101-150", "151+")))</f>
        <v>#REF!</v>
      </c>
      <c r="Y2065" t="e">
        <f>IF(#REF! &lt;= 3, "Low Charges", "High Charges")</f>
        <v>#REF!</v>
      </c>
      <c r="Z2065" t="e">
        <f>IF(#REF!&lt;=80,"Low Calls",
IF(#REF!&lt;=120,"Medium Calls","High Calls"))</f>
        <v>#REF!</v>
      </c>
      <c r="AA2065" t="e">
        <f>IF(#REF!&lt;=15,"Low Charges",
IF(#REF!&lt;=20,"Medium Charges","High Charges"))</f>
        <v>#REF!</v>
      </c>
      <c r="AB2065" t="e">
        <f>IF(AND(#REF!&gt;180, #REF!&gt;200), "Heavy Doemstic User", IF(#REF!&gt;10, "Interntional User", IF(AND(#REF!&lt;180, #REF!&lt;200,#REF!&lt;200), "Light User", "Balanced User")))</f>
        <v>#REF!</v>
      </c>
      <c r="AC2065" t="e">
        <f>IF(#REF! = 0, "No Usage", IF(#REF! &lt;= 20, "Low Usage", IF(#REF! &lt;= 40, "Medium Usgae", "High Usage")))</f>
        <v>#REF!</v>
      </c>
      <c r="AD2065" t="e">
        <f>IF(#REF!&lt;=150,"Low Usage", IF(#REF!&lt;=200,"Medium Usage", IF(#REF!&lt;=250,"High Usage","Very High Usage")))</f>
        <v>#REF!</v>
      </c>
      <c r="AE2065" t="e">
        <f>IF(#REF!&lt;=5,"Low Calls", IF(#REF!&lt;=10, "Medium Calls", "High Calls"))</f>
        <v>#REF!</v>
      </c>
      <c r="AF2065" t="e">
        <f xml:space="preserve">
IF(#REF!&gt;=4,4,0)+
IF(#REF!="yes",3,0)+
IF(#REF!="High Charges",3,0)+
IF(#REF!&gt;250,4,0)+
IF(#REF!="no",1,0)+
IF(#REF!="Heavy Domestic User",2,0)</f>
        <v>#REF!</v>
      </c>
      <c r="AG2065" t="e">
        <f>IF(#REF!&gt;=10,"High Risk", IF(#REF!&gt;=5,"Medium Risk","Low Risk"))</f>
        <v>#REF!</v>
      </c>
      <c r="AH2065" t="e">
        <f>#REF! + #REF! + #REF! + #REF!</f>
        <v>#REF!</v>
      </c>
    </row>
    <row r="2066" spans="1:34" x14ac:dyDescent="0.35">
      <c r="A2066">
        <v>2065</v>
      </c>
      <c r="B2066" t="s">
        <v>60</v>
      </c>
      <c r="C2066">
        <v>40</v>
      </c>
      <c r="D2066" t="s">
        <v>28</v>
      </c>
      <c r="E2066" t="s">
        <v>22</v>
      </c>
      <c r="F2066" t="s">
        <v>22</v>
      </c>
      <c r="G2066">
        <v>0</v>
      </c>
      <c r="H2066">
        <v>81.7</v>
      </c>
      <c r="I2066">
        <v>123</v>
      </c>
      <c r="J2066">
        <v>13.89</v>
      </c>
      <c r="K2066">
        <v>210.2</v>
      </c>
      <c r="L2066">
        <v>108</v>
      </c>
      <c r="M2066">
        <v>17.87</v>
      </c>
      <c r="N2066">
        <v>212</v>
      </c>
      <c r="O2066">
        <v>64</v>
      </c>
      <c r="P2066">
        <v>9.5399999999999991</v>
      </c>
      <c r="Q2066">
        <v>11.3</v>
      </c>
      <c r="R2066">
        <v>3</v>
      </c>
      <c r="S2066">
        <v>3.05</v>
      </c>
      <c r="T2066">
        <v>6</v>
      </c>
      <c r="U2066" t="s">
        <v>23</v>
      </c>
      <c r="V2066" t="e">
        <f>IF(#REF! = "yes", 1, 0)</f>
        <v>#REF!</v>
      </c>
      <c r="W2066" t="e">
        <f>IF(#REF! &lt;= 1, "0-1 Calls", IF(#REF! &lt;= 3, "2-3 Calls", IF(#REF! &lt;=5, "4-5 Calls", "6+ Calls")))</f>
        <v>#REF!</v>
      </c>
      <c r="X2066" t="e">
        <f>IF(#REF! &lt;= 50, "0-50", IF(#REF! &lt;=100, "51-100", IF(#REF! &lt;= 150, "101-150", "151+")))</f>
        <v>#REF!</v>
      </c>
      <c r="Y2066" t="e">
        <f>IF(#REF! &lt;= 3, "Low Charges", "High Charges")</f>
        <v>#REF!</v>
      </c>
      <c r="Z2066" t="e">
        <f>IF(#REF!&lt;=80,"Low Calls",
IF(#REF!&lt;=120,"Medium Calls","High Calls"))</f>
        <v>#REF!</v>
      </c>
      <c r="AA2066" t="e">
        <f>IF(#REF!&lt;=15,"Low Charges",
IF(#REF!&lt;=20,"Medium Charges","High Charges"))</f>
        <v>#REF!</v>
      </c>
      <c r="AB2066" t="e">
        <f>IF(AND(#REF!&gt;180, #REF!&gt;200), "Heavy Doemstic User", IF(#REF!&gt;10, "Interntional User", IF(AND(#REF!&lt;180, #REF!&lt;200,#REF!&lt;200), "Light User", "Balanced User")))</f>
        <v>#REF!</v>
      </c>
      <c r="AC2066" t="e">
        <f>IF(#REF! = 0, "No Usage", IF(#REF! &lt;= 20, "Low Usage", IF(#REF! &lt;= 40, "Medium Usgae", "High Usage")))</f>
        <v>#REF!</v>
      </c>
      <c r="AD2066" t="e">
        <f>IF(#REF!&lt;=150,"Low Usage", IF(#REF!&lt;=200,"Medium Usage", IF(#REF!&lt;=250,"High Usage","Very High Usage")))</f>
        <v>#REF!</v>
      </c>
      <c r="AE2066" t="e">
        <f>IF(#REF!&lt;=5,"Low Calls", IF(#REF!&lt;=10, "Medium Calls", "High Calls"))</f>
        <v>#REF!</v>
      </c>
      <c r="AF2066" t="e">
        <f xml:space="preserve">
IF(#REF!&gt;=4,4,0)+
IF(#REF!="yes",3,0)+
IF(#REF!="High Charges",3,0)+
IF(#REF!&gt;250,4,0)+
IF(#REF!="no",1,0)+
IF(#REF!="Heavy Domestic User",2,0)</f>
        <v>#REF!</v>
      </c>
      <c r="AG2066" t="e">
        <f>IF(#REF!&gt;=10,"High Risk", IF(#REF!&gt;=5,"Medium Risk","Low Risk"))</f>
        <v>#REF!</v>
      </c>
      <c r="AH2066" t="e">
        <f>#REF! + #REF! + #REF! + #REF!</f>
        <v>#REF!</v>
      </c>
    </row>
    <row r="2067" spans="1:34" x14ac:dyDescent="0.35">
      <c r="A2067">
        <v>2066</v>
      </c>
      <c r="B2067" t="s">
        <v>27</v>
      </c>
      <c r="C2067">
        <v>101</v>
      </c>
      <c r="D2067" t="s">
        <v>21</v>
      </c>
      <c r="E2067" t="s">
        <v>22</v>
      </c>
      <c r="F2067" t="s">
        <v>23</v>
      </c>
      <c r="G2067">
        <v>21</v>
      </c>
      <c r="H2067">
        <v>238</v>
      </c>
      <c r="I2067">
        <v>88</v>
      </c>
      <c r="J2067">
        <v>40.46</v>
      </c>
      <c r="K2067">
        <v>209.6</v>
      </c>
      <c r="L2067">
        <v>84</v>
      </c>
      <c r="M2067">
        <v>17.82</v>
      </c>
      <c r="N2067">
        <v>233</v>
      </c>
      <c r="O2067">
        <v>95</v>
      </c>
      <c r="P2067">
        <v>10.49</v>
      </c>
      <c r="Q2067">
        <v>10</v>
      </c>
      <c r="R2067">
        <v>5</v>
      </c>
      <c r="S2067">
        <v>2.7</v>
      </c>
      <c r="T2067">
        <v>2</v>
      </c>
      <c r="U2067" t="s">
        <v>22</v>
      </c>
      <c r="V2067" t="e">
        <f>IF(#REF! = "yes", 1, 0)</f>
        <v>#REF!</v>
      </c>
      <c r="W2067" t="e">
        <f>IF(#REF! &lt;= 1, "0-1 Calls", IF(#REF! &lt;= 3, "2-3 Calls", IF(#REF! &lt;=5, "4-5 Calls", "6+ Calls")))</f>
        <v>#REF!</v>
      </c>
      <c r="X2067" t="e">
        <f>IF(#REF! &lt;= 50, "0-50", IF(#REF! &lt;=100, "51-100", IF(#REF! &lt;= 150, "101-150", "151+")))</f>
        <v>#REF!</v>
      </c>
      <c r="Y2067" t="e">
        <f>IF(#REF! &lt;= 3, "Low Charges", "High Charges")</f>
        <v>#REF!</v>
      </c>
      <c r="Z2067" t="e">
        <f>IF(#REF!&lt;=80,"Low Calls",
IF(#REF!&lt;=120,"Medium Calls","High Calls"))</f>
        <v>#REF!</v>
      </c>
      <c r="AA2067" t="e">
        <f>IF(#REF!&lt;=15,"Low Charges",
IF(#REF!&lt;=20,"Medium Charges","High Charges"))</f>
        <v>#REF!</v>
      </c>
      <c r="AB2067" t="e">
        <f>IF(AND(#REF!&gt;180, #REF!&gt;200), "Heavy Doemstic User", IF(#REF!&gt;10, "Interntional User", IF(AND(#REF!&lt;180, #REF!&lt;200,#REF!&lt;200), "Light User", "Balanced User")))</f>
        <v>#REF!</v>
      </c>
      <c r="AC2067" t="e">
        <f>IF(#REF! = 0, "No Usage", IF(#REF! &lt;= 20, "Low Usage", IF(#REF! &lt;= 40, "Medium Usgae", "High Usage")))</f>
        <v>#REF!</v>
      </c>
      <c r="AD2067" t="e">
        <f>IF(#REF!&lt;=150,"Low Usage", IF(#REF!&lt;=200,"Medium Usage", IF(#REF!&lt;=250,"High Usage","Very High Usage")))</f>
        <v>#REF!</v>
      </c>
      <c r="AE2067" t="e">
        <f>IF(#REF!&lt;=5,"Low Calls", IF(#REF!&lt;=10, "Medium Calls", "High Calls"))</f>
        <v>#REF!</v>
      </c>
      <c r="AF2067" t="e">
        <f xml:space="preserve">
IF(#REF!&gt;=4,4,0)+
IF(#REF!="yes",3,0)+
IF(#REF!="High Charges",3,0)+
IF(#REF!&gt;250,4,0)+
IF(#REF!="no",1,0)+
IF(#REF!="Heavy Domestic User",2,0)</f>
        <v>#REF!</v>
      </c>
      <c r="AG2067" t="e">
        <f>IF(#REF!&gt;=10,"High Risk", IF(#REF!&gt;=5,"Medium Risk","Low Risk"))</f>
        <v>#REF!</v>
      </c>
      <c r="AH2067" t="e">
        <f>#REF! + #REF! + #REF! + #REF!</f>
        <v>#REF!</v>
      </c>
    </row>
    <row r="2068" spans="1:34" x14ac:dyDescent="0.35">
      <c r="A2068">
        <v>2067</v>
      </c>
      <c r="B2068" t="s">
        <v>49</v>
      </c>
      <c r="C2068">
        <v>120</v>
      </c>
      <c r="D2068" t="s">
        <v>21</v>
      </c>
      <c r="E2068" t="s">
        <v>22</v>
      </c>
      <c r="F2068" t="s">
        <v>23</v>
      </c>
      <c r="G2068">
        <v>40</v>
      </c>
      <c r="H2068">
        <v>128.1</v>
      </c>
      <c r="I2068">
        <v>99</v>
      </c>
      <c r="J2068">
        <v>21.78</v>
      </c>
      <c r="K2068">
        <v>247.7</v>
      </c>
      <c r="L2068">
        <v>78</v>
      </c>
      <c r="M2068">
        <v>21.05</v>
      </c>
      <c r="N2068">
        <v>199.7</v>
      </c>
      <c r="O2068">
        <v>121</v>
      </c>
      <c r="P2068">
        <v>8.99</v>
      </c>
      <c r="Q2068">
        <v>15.6</v>
      </c>
      <c r="R2068">
        <v>3</v>
      </c>
      <c r="S2068">
        <v>4.21</v>
      </c>
      <c r="T2068">
        <v>0</v>
      </c>
      <c r="U2068" t="s">
        <v>22</v>
      </c>
      <c r="V2068" t="e">
        <f>IF(#REF! = "yes", 1, 0)</f>
        <v>#REF!</v>
      </c>
      <c r="W2068" t="e">
        <f>IF(#REF! &lt;= 1, "0-1 Calls", IF(#REF! &lt;= 3, "2-3 Calls", IF(#REF! &lt;=5, "4-5 Calls", "6+ Calls")))</f>
        <v>#REF!</v>
      </c>
      <c r="X2068" t="e">
        <f>IF(#REF! &lt;= 50, "0-50", IF(#REF! &lt;=100, "51-100", IF(#REF! &lt;= 150, "101-150", "151+")))</f>
        <v>#REF!</v>
      </c>
      <c r="Y2068" t="e">
        <f>IF(#REF! &lt;= 3, "Low Charges", "High Charges")</f>
        <v>#REF!</v>
      </c>
      <c r="Z2068" t="e">
        <f>IF(#REF!&lt;=80,"Low Calls",
IF(#REF!&lt;=120,"Medium Calls","High Calls"))</f>
        <v>#REF!</v>
      </c>
      <c r="AA2068" t="e">
        <f>IF(#REF!&lt;=15,"Low Charges",
IF(#REF!&lt;=20,"Medium Charges","High Charges"))</f>
        <v>#REF!</v>
      </c>
      <c r="AB2068" t="e">
        <f>IF(AND(#REF!&gt;180, #REF!&gt;200), "Heavy Doemstic User", IF(#REF!&gt;10, "Interntional User", IF(AND(#REF!&lt;180, #REF!&lt;200,#REF!&lt;200), "Light User", "Balanced User")))</f>
        <v>#REF!</v>
      </c>
      <c r="AC2068" t="e">
        <f>IF(#REF! = 0, "No Usage", IF(#REF! &lt;= 20, "Low Usage", IF(#REF! &lt;= 40, "Medium Usgae", "High Usage")))</f>
        <v>#REF!</v>
      </c>
      <c r="AD2068" t="e">
        <f>IF(#REF!&lt;=150,"Low Usage", IF(#REF!&lt;=200,"Medium Usage", IF(#REF!&lt;=250,"High Usage","Very High Usage")))</f>
        <v>#REF!</v>
      </c>
      <c r="AE2068" t="e">
        <f>IF(#REF!&lt;=5,"Low Calls", IF(#REF!&lt;=10, "Medium Calls", "High Calls"))</f>
        <v>#REF!</v>
      </c>
      <c r="AF2068" t="e">
        <f xml:space="preserve">
IF(#REF!&gt;=4,4,0)+
IF(#REF!="yes",3,0)+
IF(#REF!="High Charges",3,0)+
IF(#REF!&gt;250,4,0)+
IF(#REF!="no",1,0)+
IF(#REF!="Heavy Domestic User",2,0)</f>
        <v>#REF!</v>
      </c>
      <c r="AG2068" t="e">
        <f>IF(#REF!&gt;=10,"High Risk", IF(#REF!&gt;=5,"Medium Risk","Low Risk"))</f>
        <v>#REF!</v>
      </c>
      <c r="AH2068" t="e">
        <f>#REF! + #REF! + #REF! + #REF!</f>
        <v>#REF!</v>
      </c>
    </row>
    <row r="2069" spans="1:34" x14ac:dyDescent="0.35">
      <c r="A2069">
        <v>2068</v>
      </c>
      <c r="B2069" t="s">
        <v>57</v>
      </c>
      <c r="C2069">
        <v>183</v>
      </c>
      <c r="D2069" t="s">
        <v>21</v>
      </c>
      <c r="E2069" t="s">
        <v>22</v>
      </c>
      <c r="F2069" t="s">
        <v>23</v>
      </c>
      <c r="G2069">
        <v>31</v>
      </c>
      <c r="H2069">
        <v>171.2</v>
      </c>
      <c r="I2069">
        <v>104</v>
      </c>
      <c r="J2069">
        <v>29.1</v>
      </c>
      <c r="K2069">
        <v>193.6</v>
      </c>
      <c r="L2069">
        <v>74</v>
      </c>
      <c r="M2069">
        <v>16.46</v>
      </c>
      <c r="N2069">
        <v>196.5</v>
      </c>
      <c r="O2069">
        <v>85</v>
      </c>
      <c r="P2069">
        <v>8.84</v>
      </c>
      <c r="Q2069">
        <v>10.199999999999999</v>
      </c>
      <c r="R2069">
        <v>4</v>
      </c>
      <c r="S2069">
        <v>2.75</v>
      </c>
      <c r="T2069">
        <v>1</v>
      </c>
      <c r="U2069" t="s">
        <v>22</v>
      </c>
      <c r="V2069" t="e">
        <f>IF(#REF! = "yes", 1, 0)</f>
        <v>#REF!</v>
      </c>
      <c r="W2069" t="e">
        <f>IF(#REF! &lt;= 1, "0-1 Calls", IF(#REF! &lt;= 3, "2-3 Calls", IF(#REF! &lt;=5, "4-5 Calls", "6+ Calls")))</f>
        <v>#REF!</v>
      </c>
      <c r="X2069" t="e">
        <f>IF(#REF! &lt;= 50, "0-50", IF(#REF! &lt;=100, "51-100", IF(#REF! &lt;= 150, "101-150", "151+")))</f>
        <v>#REF!</v>
      </c>
      <c r="Y2069" t="e">
        <f>IF(#REF! &lt;= 3, "Low Charges", "High Charges")</f>
        <v>#REF!</v>
      </c>
      <c r="Z2069" t="e">
        <f>IF(#REF!&lt;=80,"Low Calls",
IF(#REF!&lt;=120,"Medium Calls","High Calls"))</f>
        <v>#REF!</v>
      </c>
      <c r="AA2069" t="e">
        <f>IF(#REF!&lt;=15,"Low Charges",
IF(#REF!&lt;=20,"Medium Charges","High Charges"))</f>
        <v>#REF!</v>
      </c>
      <c r="AB2069" t="e">
        <f>IF(AND(#REF!&gt;180, #REF!&gt;200), "Heavy Doemstic User", IF(#REF!&gt;10, "Interntional User", IF(AND(#REF!&lt;180, #REF!&lt;200,#REF!&lt;200), "Light User", "Balanced User")))</f>
        <v>#REF!</v>
      </c>
      <c r="AC2069" t="e">
        <f>IF(#REF! = 0, "No Usage", IF(#REF! &lt;= 20, "Low Usage", IF(#REF! &lt;= 40, "Medium Usgae", "High Usage")))</f>
        <v>#REF!</v>
      </c>
      <c r="AD2069" t="e">
        <f>IF(#REF!&lt;=150,"Low Usage", IF(#REF!&lt;=200,"Medium Usage", IF(#REF!&lt;=250,"High Usage","Very High Usage")))</f>
        <v>#REF!</v>
      </c>
      <c r="AE2069" t="e">
        <f>IF(#REF!&lt;=5,"Low Calls", IF(#REF!&lt;=10, "Medium Calls", "High Calls"))</f>
        <v>#REF!</v>
      </c>
      <c r="AF2069" t="e">
        <f xml:space="preserve">
IF(#REF!&gt;=4,4,0)+
IF(#REF!="yes",3,0)+
IF(#REF!="High Charges",3,0)+
IF(#REF!&gt;250,4,0)+
IF(#REF!="no",1,0)+
IF(#REF!="Heavy Domestic User",2,0)</f>
        <v>#REF!</v>
      </c>
      <c r="AG2069" t="e">
        <f>IF(#REF!&gt;=10,"High Risk", IF(#REF!&gt;=5,"Medium Risk","Low Risk"))</f>
        <v>#REF!</v>
      </c>
      <c r="AH2069" t="e">
        <f>#REF! + #REF! + #REF! + #REF!</f>
        <v>#REF!</v>
      </c>
    </row>
    <row r="2070" spans="1:34" x14ac:dyDescent="0.35">
      <c r="A2070">
        <v>2069</v>
      </c>
      <c r="B2070" t="s">
        <v>73</v>
      </c>
      <c r="C2070">
        <v>75</v>
      </c>
      <c r="D2070" t="s">
        <v>28</v>
      </c>
      <c r="E2070" t="s">
        <v>22</v>
      </c>
      <c r="F2070" t="s">
        <v>22</v>
      </c>
      <c r="G2070">
        <v>0</v>
      </c>
      <c r="H2070">
        <v>109</v>
      </c>
      <c r="I2070">
        <v>88</v>
      </c>
      <c r="J2070">
        <v>18.53</v>
      </c>
      <c r="K2070">
        <v>259.3</v>
      </c>
      <c r="L2070">
        <v>120</v>
      </c>
      <c r="M2070">
        <v>22.04</v>
      </c>
      <c r="N2070">
        <v>182.1</v>
      </c>
      <c r="O2070">
        <v>119</v>
      </c>
      <c r="P2070">
        <v>8.19</v>
      </c>
      <c r="Q2070">
        <v>13.3</v>
      </c>
      <c r="R2070">
        <v>3</v>
      </c>
      <c r="S2070">
        <v>3.59</v>
      </c>
      <c r="T2070">
        <v>4</v>
      </c>
      <c r="U2070" t="s">
        <v>23</v>
      </c>
      <c r="V2070" t="e">
        <f>IF(#REF! = "yes", 1, 0)</f>
        <v>#REF!</v>
      </c>
      <c r="W2070" t="e">
        <f>IF(#REF! &lt;= 1, "0-1 Calls", IF(#REF! &lt;= 3, "2-3 Calls", IF(#REF! &lt;=5, "4-5 Calls", "6+ Calls")))</f>
        <v>#REF!</v>
      </c>
      <c r="X2070" t="e">
        <f>IF(#REF! &lt;= 50, "0-50", IF(#REF! &lt;=100, "51-100", IF(#REF! &lt;= 150, "101-150", "151+")))</f>
        <v>#REF!</v>
      </c>
      <c r="Y2070" t="e">
        <f>IF(#REF! &lt;= 3, "Low Charges", "High Charges")</f>
        <v>#REF!</v>
      </c>
      <c r="Z2070" t="e">
        <f>IF(#REF!&lt;=80,"Low Calls",
IF(#REF!&lt;=120,"Medium Calls","High Calls"))</f>
        <v>#REF!</v>
      </c>
      <c r="AA2070" t="e">
        <f>IF(#REF!&lt;=15,"Low Charges",
IF(#REF!&lt;=20,"Medium Charges","High Charges"))</f>
        <v>#REF!</v>
      </c>
      <c r="AB2070" t="e">
        <f>IF(AND(#REF!&gt;180, #REF!&gt;200), "Heavy Doemstic User", IF(#REF!&gt;10, "Interntional User", IF(AND(#REF!&lt;180, #REF!&lt;200,#REF!&lt;200), "Light User", "Balanced User")))</f>
        <v>#REF!</v>
      </c>
      <c r="AC2070" t="e">
        <f>IF(#REF! = 0, "No Usage", IF(#REF! &lt;= 20, "Low Usage", IF(#REF! &lt;= 40, "Medium Usgae", "High Usage")))</f>
        <v>#REF!</v>
      </c>
      <c r="AD2070" t="e">
        <f>IF(#REF!&lt;=150,"Low Usage", IF(#REF!&lt;=200,"Medium Usage", IF(#REF!&lt;=250,"High Usage","Very High Usage")))</f>
        <v>#REF!</v>
      </c>
      <c r="AE2070" t="e">
        <f>IF(#REF!&lt;=5,"Low Calls", IF(#REF!&lt;=10, "Medium Calls", "High Calls"))</f>
        <v>#REF!</v>
      </c>
      <c r="AF2070" t="e">
        <f xml:space="preserve">
IF(#REF!&gt;=4,4,0)+
IF(#REF!="yes",3,0)+
IF(#REF!="High Charges",3,0)+
IF(#REF!&gt;250,4,0)+
IF(#REF!="no",1,0)+
IF(#REF!="Heavy Domestic User",2,0)</f>
        <v>#REF!</v>
      </c>
      <c r="AG2070" t="e">
        <f>IF(#REF!&gt;=10,"High Risk", IF(#REF!&gt;=5,"Medium Risk","Low Risk"))</f>
        <v>#REF!</v>
      </c>
      <c r="AH2070" t="e">
        <f>#REF! + #REF! + #REF! + #REF!</f>
        <v>#REF!</v>
      </c>
    </row>
    <row r="2071" spans="1:34" x14ac:dyDescent="0.35">
      <c r="A2071">
        <v>2070</v>
      </c>
      <c r="B2071" t="s">
        <v>65</v>
      </c>
      <c r="C2071">
        <v>80</v>
      </c>
      <c r="D2071" t="s">
        <v>21</v>
      </c>
      <c r="E2071" t="s">
        <v>22</v>
      </c>
      <c r="F2071" t="s">
        <v>22</v>
      </c>
      <c r="G2071">
        <v>0</v>
      </c>
      <c r="H2071">
        <v>220</v>
      </c>
      <c r="I2071">
        <v>114</v>
      </c>
      <c r="J2071">
        <v>37.4</v>
      </c>
      <c r="K2071">
        <v>207.7</v>
      </c>
      <c r="L2071">
        <v>76</v>
      </c>
      <c r="M2071">
        <v>17.649999999999999</v>
      </c>
      <c r="N2071">
        <v>168.4</v>
      </c>
      <c r="O2071">
        <v>137</v>
      </c>
      <c r="P2071">
        <v>7.58</v>
      </c>
      <c r="Q2071">
        <v>12.1</v>
      </c>
      <c r="R2071">
        <v>3</v>
      </c>
      <c r="S2071">
        <v>3.27</v>
      </c>
      <c r="T2071">
        <v>2</v>
      </c>
      <c r="U2071" t="s">
        <v>22</v>
      </c>
      <c r="V2071" t="e">
        <f>IF(#REF! = "yes", 1, 0)</f>
        <v>#REF!</v>
      </c>
      <c r="W2071" t="e">
        <f>IF(#REF! &lt;= 1, "0-1 Calls", IF(#REF! &lt;= 3, "2-3 Calls", IF(#REF! &lt;=5, "4-5 Calls", "6+ Calls")))</f>
        <v>#REF!</v>
      </c>
      <c r="X2071" t="e">
        <f>IF(#REF! &lt;= 50, "0-50", IF(#REF! &lt;=100, "51-100", IF(#REF! &lt;= 150, "101-150", "151+")))</f>
        <v>#REF!</v>
      </c>
      <c r="Y2071" t="e">
        <f>IF(#REF! &lt;= 3, "Low Charges", "High Charges")</f>
        <v>#REF!</v>
      </c>
      <c r="Z2071" t="e">
        <f>IF(#REF!&lt;=80,"Low Calls",
IF(#REF!&lt;=120,"Medium Calls","High Calls"))</f>
        <v>#REF!</v>
      </c>
      <c r="AA2071" t="e">
        <f>IF(#REF!&lt;=15,"Low Charges",
IF(#REF!&lt;=20,"Medium Charges","High Charges"))</f>
        <v>#REF!</v>
      </c>
      <c r="AB2071" t="e">
        <f>IF(AND(#REF!&gt;180, #REF!&gt;200), "Heavy Doemstic User", IF(#REF!&gt;10, "Interntional User", IF(AND(#REF!&lt;180, #REF!&lt;200,#REF!&lt;200), "Light User", "Balanced User")))</f>
        <v>#REF!</v>
      </c>
      <c r="AC2071" t="e">
        <f>IF(#REF! = 0, "No Usage", IF(#REF! &lt;= 20, "Low Usage", IF(#REF! &lt;= 40, "Medium Usgae", "High Usage")))</f>
        <v>#REF!</v>
      </c>
      <c r="AD2071" t="e">
        <f>IF(#REF!&lt;=150,"Low Usage", IF(#REF!&lt;=200,"Medium Usage", IF(#REF!&lt;=250,"High Usage","Very High Usage")))</f>
        <v>#REF!</v>
      </c>
      <c r="AE2071" t="e">
        <f>IF(#REF!&lt;=5,"Low Calls", IF(#REF!&lt;=10, "Medium Calls", "High Calls"))</f>
        <v>#REF!</v>
      </c>
      <c r="AF2071" t="e">
        <f xml:space="preserve">
IF(#REF!&gt;=4,4,0)+
IF(#REF!="yes",3,0)+
IF(#REF!="High Charges",3,0)+
IF(#REF!&gt;250,4,0)+
IF(#REF!="no",1,0)+
IF(#REF!="Heavy Domestic User",2,0)</f>
        <v>#REF!</v>
      </c>
      <c r="AG2071" t="e">
        <f>IF(#REF!&gt;=10,"High Risk", IF(#REF!&gt;=5,"Medium Risk","Low Risk"))</f>
        <v>#REF!</v>
      </c>
      <c r="AH2071" t="e">
        <f>#REF! + #REF! + #REF! + #REF!</f>
        <v>#REF!</v>
      </c>
    </row>
    <row r="2072" spans="1:34" x14ac:dyDescent="0.35">
      <c r="A2072">
        <v>2071</v>
      </c>
      <c r="B2072" t="s">
        <v>37</v>
      </c>
      <c r="C2072">
        <v>88</v>
      </c>
      <c r="D2072" t="s">
        <v>21</v>
      </c>
      <c r="E2072" t="s">
        <v>22</v>
      </c>
      <c r="F2072" t="s">
        <v>22</v>
      </c>
      <c r="G2072">
        <v>0</v>
      </c>
      <c r="H2072">
        <v>55.6</v>
      </c>
      <c r="I2072">
        <v>65</v>
      </c>
      <c r="J2072">
        <v>9.4499999999999993</v>
      </c>
      <c r="K2072">
        <v>242.7</v>
      </c>
      <c r="L2072">
        <v>121</v>
      </c>
      <c r="M2072">
        <v>20.63</v>
      </c>
      <c r="N2072">
        <v>176.3</v>
      </c>
      <c r="O2072">
        <v>134</v>
      </c>
      <c r="P2072">
        <v>7.93</v>
      </c>
      <c r="Q2072">
        <v>11.3</v>
      </c>
      <c r="R2072">
        <v>4</v>
      </c>
      <c r="S2072">
        <v>3.05</v>
      </c>
      <c r="T2072">
        <v>0</v>
      </c>
      <c r="U2072" t="s">
        <v>22</v>
      </c>
      <c r="V2072" t="e">
        <f>IF(#REF! = "yes", 1, 0)</f>
        <v>#REF!</v>
      </c>
      <c r="W2072" t="e">
        <f>IF(#REF! &lt;= 1, "0-1 Calls", IF(#REF! &lt;= 3, "2-3 Calls", IF(#REF! &lt;=5, "4-5 Calls", "6+ Calls")))</f>
        <v>#REF!</v>
      </c>
      <c r="X2072" t="e">
        <f>IF(#REF! &lt;= 50, "0-50", IF(#REF! &lt;=100, "51-100", IF(#REF! &lt;= 150, "101-150", "151+")))</f>
        <v>#REF!</v>
      </c>
      <c r="Y2072" t="e">
        <f>IF(#REF! &lt;= 3, "Low Charges", "High Charges")</f>
        <v>#REF!</v>
      </c>
      <c r="Z2072" t="e">
        <f>IF(#REF!&lt;=80,"Low Calls",
IF(#REF!&lt;=120,"Medium Calls","High Calls"))</f>
        <v>#REF!</v>
      </c>
      <c r="AA2072" t="e">
        <f>IF(#REF!&lt;=15,"Low Charges",
IF(#REF!&lt;=20,"Medium Charges","High Charges"))</f>
        <v>#REF!</v>
      </c>
      <c r="AB2072" t="e">
        <f>IF(AND(#REF!&gt;180, #REF!&gt;200), "Heavy Doemstic User", IF(#REF!&gt;10, "Interntional User", IF(AND(#REF!&lt;180, #REF!&lt;200,#REF!&lt;200), "Light User", "Balanced User")))</f>
        <v>#REF!</v>
      </c>
      <c r="AC2072" t="e">
        <f>IF(#REF! = 0, "No Usage", IF(#REF! &lt;= 20, "Low Usage", IF(#REF! &lt;= 40, "Medium Usgae", "High Usage")))</f>
        <v>#REF!</v>
      </c>
      <c r="AD2072" t="e">
        <f>IF(#REF!&lt;=150,"Low Usage", IF(#REF!&lt;=200,"Medium Usage", IF(#REF!&lt;=250,"High Usage","Very High Usage")))</f>
        <v>#REF!</v>
      </c>
      <c r="AE2072" t="e">
        <f>IF(#REF!&lt;=5,"Low Calls", IF(#REF!&lt;=10, "Medium Calls", "High Calls"))</f>
        <v>#REF!</v>
      </c>
      <c r="AF2072" t="e">
        <f xml:space="preserve">
IF(#REF!&gt;=4,4,0)+
IF(#REF!="yes",3,0)+
IF(#REF!="High Charges",3,0)+
IF(#REF!&gt;250,4,0)+
IF(#REF!="no",1,0)+
IF(#REF!="Heavy Domestic User",2,0)</f>
        <v>#REF!</v>
      </c>
      <c r="AG2072" t="e">
        <f>IF(#REF!&gt;=10,"High Risk", IF(#REF!&gt;=5,"Medium Risk","Low Risk"))</f>
        <v>#REF!</v>
      </c>
      <c r="AH2072" t="e">
        <f>#REF! + #REF! + #REF! + #REF!</f>
        <v>#REF!</v>
      </c>
    </row>
    <row r="2073" spans="1:34" x14ac:dyDescent="0.35">
      <c r="A2073">
        <v>2072</v>
      </c>
      <c r="B2073" t="s">
        <v>61</v>
      </c>
      <c r="C2073">
        <v>63</v>
      </c>
      <c r="D2073" t="s">
        <v>28</v>
      </c>
      <c r="E2073" t="s">
        <v>22</v>
      </c>
      <c r="F2073" t="s">
        <v>22</v>
      </c>
      <c r="G2073">
        <v>0</v>
      </c>
      <c r="H2073">
        <v>207.6</v>
      </c>
      <c r="I2073">
        <v>96</v>
      </c>
      <c r="J2073">
        <v>35.29</v>
      </c>
      <c r="K2073">
        <v>229</v>
      </c>
      <c r="L2073">
        <v>112</v>
      </c>
      <c r="M2073">
        <v>19.47</v>
      </c>
      <c r="N2073">
        <v>162.6</v>
      </c>
      <c r="O2073">
        <v>131</v>
      </c>
      <c r="P2073">
        <v>7.32</v>
      </c>
      <c r="Q2073">
        <v>13.3</v>
      </c>
      <c r="R2073">
        <v>2</v>
      </c>
      <c r="S2073">
        <v>3.59</v>
      </c>
      <c r="T2073">
        <v>1</v>
      </c>
      <c r="U2073" t="s">
        <v>22</v>
      </c>
      <c r="V2073" t="e">
        <f>IF(#REF! = "yes", 1, 0)</f>
        <v>#REF!</v>
      </c>
      <c r="W2073" t="e">
        <f>IF(#REF! &lt;= 1, "0-1 Calls", IF(#REF! &lt;= 3, "2-3 Calls", IF(#REF! &lt;=5, "4-5 Calls", "6+ Calls")))</f>
        <v>#REF!</v>
      </c>
      <c r="X2073" t="e">
        <f>IF(#REF! &lt;= 50, "0-50", IF(#REF! &lt;=100, "51-100", IF(#REF! &lt;= 150, "101-150", "151+")))</f>
        <v>#REF!</v>
      </c>
      <c r="Y2073" t="e">
        <f>IF(#REF! &lt;= 3, "Low Charges", "High Charges")</f>
        <v>#REF!</v>
      </c>
      <c r="Z2073" t="e">
        <f>IF(#REF!&lt;=80,"Low Calls",
IF(#REF!&lt;=120,"Medium Calls","High Calls"))</f>
        <v>#REF!</v>
      </c>
      <c r="AA2073" t="e">
        <f>IF(#REF!&lt;=15,"Low Charges",
IF(#REF!&lt;=20,"Medium Charges","High Charges"))</f>
        <v>#REF!</v>
      </c>
      <c r="AB2073" t="e">
        <f>IF(AND(#REF!&gt;180, #REF!&gt;200), "Heavy Doemstic User", IF(#REF!&gt;10, "Interntional User", IF(AND(#REF!&lt;180, #REF!&lt;200,#REF!&lt;200), "Light User", "Balanced User")))</f>
        <v>#REF!</v>
      </c>
      <c r="AC2073" t="e">
        <f>IF(#REF! = 0, "No Usage", IF(#REF! &lt;= 20, "Low Usage", IF(#REF! &lt;= 40, "Medium Usgae", "High Usage")))</f>
        <v>#REF!</v>
      </c>
      <c r="AD2073" t="e">
        <f>IF(#REF!&lt;=150,"Low Usage", IF(#REF!&lt;=200,"Medium Usage", IF(#REF!&lt;=250,"High Usage","Very High Usage")))</f>
        <v>#REF!</v>
      </c>
      <c r="AE2073" t="e">
        <f>IF(#REF!&lt;=5,"Low Calls", IF(#REF!&lt;=10, "Medium Calls", "High Calls"))</f>
        <v>#REF!</v>
      </c>
      <c r="AF2073" t="e">
        <f xml:space="preserve">
IF(#REF!&gt;=4,4,0)+
IF(#REF!="yes",3,0)+
IF(#REF!="High Charges",3,0)+
IF(#REF!&gt;250,4,0)+
IF(#REF!="no",1,0)+
IF(#REF!="Heavy Domestic User",2,0)</f>
        <v>#REF!</v>
      </c>
      <c r="AG2073" t="e">
        <f>IF(#REF!&gt;=10,"High Risk", IF(#REF!&gt;=5,"Medium Risk","Low Risk"))</f>
        <v>#REF!</v>
      </c>
      <c r="AH2073" t="e">
        <f>#REF! + #REF! + #REF! + #REF!</f>
        <v>#REF!</v>
      </c>
    </row>
    <row r="2074" spans="1:34" x14ac:dyDescent="0.35">
      <c r="A2074">
        <v>2073</v>
      </c>
      <c r="B2074" t="s">
        <v>56</v>
      </c>
      <c r="C2074">
        <v>105</v>
      </c>
      <c r="D2074" t="s">
        <v>21</v>
      </c>
      <c r="E2074" t="s">
        <v>22</v>
      </c>
      <c r="F2074" t="s">
        <v>23</v>
      </c>
      <c r="G2074">
        <v>31</v>
      </c>
      <c r="H2074">
        <v>109.6</v>
      </c>
      <c r="I2074">
        <v>108</v>
      </c>
      <c r="J2074">
        <v>18.63</v>
      </c>
      <c r="K2074">
        <v>249.3</v>
      </c>
      <c r="L2074">
        <v>119</v>
      </c>
      <c r="M2074">
        <v>21.19</v>
      </c>
      <c r="N2074">
        <v>321.2</v>
      </c>
      <c r="O2074">
        <v>101</v>
      </c>
      <c r="P2074">
        <v>14.45</v>
      </c>
      <c r="Q2074">
        <v>8.3000000000000007</v>
      </c>
      <c r="R2074">
        <v>4</v>
      </c>
      <c r="S2074">
        <v>2.2400000000000002</v>
      </c>
      <c r="T2074">
        <v>4</v>
      </c>
      <c r="U2074" t="s">
        <v>23</v>
      </c>
      <c r="V2074" t="e">
        <f>IF(#REF! = "yes", 1, 0)</f>
        <v>#REF!</v>
      </c>
      <c r="W2074" t="e">
        <f>IF(#REF! &lt;= 1, "0-1 Calls", IF(#REF! &lt;= 3, "2-3 Calls", IF(#REF! &lt;=5, "4-5 Calls", "6+ Calls")))</f>
        <v>#REF!</v>
      </c>
      <c r="X2074" t="e">
        <f>IF(#REF! &lt;= 50, "0-50", IF(#REF! &lt;=100, "51-100", IF(#REF! &lt;= 150, "101-150", "151+")))</f>
        <v>#REF!</v>
      </c>
      <c r="Y2074" t="e">
        <f>IF(#REF! &lt;= 3, "Low Charges", "High Charges")</f>
        <v>#REF!</v>
      </c>
      <c r="Z2074" t="e">
        <f>IF(#REF!&lt;=80,"Low Calls",
IF(#REF!&lt;=120,"Medium Calls","High Calls"))</f>
        <v>#REF!</v>
      </c>
      <c r="AA2074" t="e">
        <f>IF(#REF!&lt;=15,"Low Charges",
IF(#REF!&lt;=20,"Medium Charges","High Charges"))</f>
        <v>#REF!</v>
      </c>
      <c r="AB2074" t="e">
        <f>IF(AND(#REF!&gt;180, #REF!&gt;200), "Heavy Doemstic User", IF(#REF!&gt;10, "Interntional User", IF(AND(#REF!&lt;180, #REF!&lt;200,#REF!&lt;200), "Light User", "Balanced User")))</f>
        <v>#REF!</v>
      </c>
      <c r="AC2074" t="e">
        <f>IF(#REF! = 0, "No Usage", IF(#REF! &lt;= 20, "Low Usage", IF(#REF! &lt;= 40, "Medium Usgae", "High Usage")))</f>
        <v>#REF!</v>
      </c>
      <c r="AD2074" t="e">
        <f>IF(#REF!&lt;=150,"Low Usage", IF(#REF!&lt;=200,"Medium Usage", IF(#REF!&lt;=250,"High Usage","Very High Usage")))</f>
        <v>#REF!</v>
      </c>
      <c r="AE2074" t="e">
        <f>IF(#REF!&lt;=5,"Low Calls", IF(#REF!&lt;=10, "Medium Calls", "High Calls"))</f>
        <v>#REF!</v>
      </c>
      <c r="AF2074" t="e">
        <f xml:space="preserve">
IF(#REF!&gt;=4,4,0)+
IF(#REF!="yes",3,0)+
IF(#REF!="High Charges",3,0)+
IF(#REF!&gt;250,4,0)+
IF(#REF!="no",1,0)+
IF(#REF!="Heavy Domestic User",2,0)</f>
        <v>#REF!</v>
      </c>
      <c r="AG2074" t="e">
        <f>IF(#REF!&gt;=10,"High Risk", IF(#REF!&gt;=5,"Medium Risk","Low Risk"))</f>
        <v>#REF!</v>
      </c>
      <c r="AH2074" t="e">
        <f>#REF! + #REF! + #REF! + #REF!</f>
        <v>#REF!</v>
      </c>
    </row>
    <row r="2075" spans="1:34" x14ac:dyDescent="0.35">
      <c r="A2075">
        <v>2074</v>
      </c>
      <c r="B2075" t="s">
        <v>37</v>
      </c>
      <c r="C2075">
        <v>92</v>
      </c>
      <c r="D2075" t="s">
        <v>21</v>
      </c>
      <c r="E2075" t="s">
        <v>22</v>
      </c>
      <c r="F2075" t="s">
        <v>22</v>
      </c>
      <c r="G2075">
        <v>0</v>
      </c>
      <c r="H2075">
        <v>197.2</v>
      </c>
      <c r="I2075">
        <v>113</v>
      </c>
      <c r="J2075">
        <v>33.520000000000003</v>
      </c>
      <c r="K2075">
        <v>242.3</v>
      </c>
      <c r="L2075">
        <v>116</v>
      </c>
      <c r="M2075">
        <v>20.6</v>
      </c>
      <c r="N2075">
        <v>192</v>
      </c>
      <c r="O2075">
        <v>76</v>
      </c>
      <c r="P2075">
        <v>8.64</v>
      </c>
      <c r="Q2075">
        <v>11</v>
      </c>
      <c r="R2075">
        <v>5</v>
      </c>
      <c r="S2075">
        <v>2.97</v>
      </c>
      <c r="T2075">
        <v>2</v>
      </c>
      <c r="U2075" t="s">
        <v>22</v>
      </c>
      <c r="V2075" t="e">
        <f>IF(#REF! = "yes", 1, 0)</f>
        <v>#REF!</v>
      </c>
      <c r="W2075" t="e">
        <f>IF(#REF! &lt;= 1, "0-1 Calls", IF(#REF! &lt;= 3, "2-3 Calls", IF(#REF! &lt;=5, "4-5 Calls", "6+ Calls")))</f>
        <v>#REF!</v>
      </c>
      <c r="X2075" t="e">
        <f>IF(#REF! &lt;= 50, "0-50", IF(#REF! &lt;=100, "51-100", IF(#REF! &lt;= 150, "101-150", "151+")))</f>
        <v>#REF!</v>
      </c>
      <c r="Y2075" t="e">
        <f>IF(#REF! &lt;= 3, "Low Charges", "High Charges")</f>
        <v>#REF!</v>
      </c>
      <c r="Z2075" t="e">
        <f>IF(#REF!&lt;=80,"Low Calls",
IF(#REF!&lt;=120,"Medium Calls","High Calls"))</f>
        <v>#REF!</v>
      </c>
      <c r="AA2075" t="e">
        <f>IF(#REF!&lt;=15,"Low Charges",
IF(#REF!&lt;=20,"Medium Charges","High Charges"))</f>
        <v>#REF!</v>
      </c>
      <c r="AB2075" t="e">
        <f>IF(AND(#REF!&gt;180, #REF!&gt;200), "Heavy Doemstic User", IF(#REF!&gt;10, "Interntional User", IF(AND(#REF!&lt;180, #REF!&lt;200,#REF!&lt;200), "Light User", "Balanced User")))</f>
        <v>#REF!</v>
      </c>
      <c r="AC2075" t="e">
        <f>IF(#REF! = 0, "No Usage", IF(#REF! &lt;= 20, "Low Usage", IF(#REF! &lt;= 40, "Medium Usgae", "High Usage")))</f>
        <v>#REF!</v>
      </c>
      <c r="AD2075" t="e">
        <f>IF(#REF!&lt;=150,"Low Usage", IF(#REF!&lt;=200,"Medium Usage", IF(#REF!&lt;=250,"High Usage","Very High Usage")))</f>
        <v>#REF!</v>
      </c>
      <c r="AE2075" t="e">
        <f>IF(#REF!&lt;=5,"Low Calls", IF(#REF!&lt;=10, "Medium Calls", "High Calls"))</f>
        <v>#REF!</v>
      </c>
      <c r="AF2075" t="e">
        <f xml:space="preserve">
IF(#REF!&gt;=4,4,0)+
IF(#REF!="yes",3,0)+
IF(#REF!="High Charges",3,0)+
IF(#REF!&gt;250,4,0)+
IF(#REF!="no",1,0)+
IF(#REF!="Heavy Domestic User",2,0)</f>
        <v>#REF!</v>
      </c>
      <c r="AG2075" t="e">
        <f>IF(#REF!&gt;=10,"High Risk", IF(#REF!&gt;=5,"Medium Risk","Low Risk"))</f>
        <v>#REF!</v>
      </c>
      <c r="AH2075" t="e">
        <f>#REF! + #REF! + #REF! + #REF!</f>
        <v>#REF!</v>
      </c>
    </row>
    <row r="2076" spans="1:34" x14ac:dyDescent="0.35">
      <c r="A2076">
        <v>2075</v>
      </c>
      <c r="B2076" t="s">
        <v>44</v>
      </c>
      <c r="C2076">
        <v>177</v>
      </c>
      <c r="D2076" t="s">
        <v>21</v>
      </c>
      <c r="E2076" t="s">
        <v>22</v>
      </c>
      <c r="F2076" t="s">
        <v>22</v>
      </c>
      <c r="G2076">
        <v>0</v>
      </c>
      <c r="H2076">
        <v>175.7</v>
      </c>
      <c r="I2076">
        <v>120</v>
      </c>
      <c r="J2076">
        <v>29.87</v>
      </c>
      <c r="K2076">
        <v>168.6</v>
      </c>
      <c r="L2076">
        <v>90</v>
      </c>
      <c r="M2076">
        <v>14.33</v>
      </c>
      <c r="N2076">
        <v>198.9</v>
      </c>
      <c r="O2076">
        <v>110</v>
      </c>
      <c r="P2076">
        <v>8.9499999999999993</v>
      </c>
      <c r="Q2076">
        <v>14.6</v>
      </c>
      <c r="R2076">
        <v>4</v>
      </c>
      <c r="S2076">
        <v>3.94</v>
      </c>
      <c r="T2076">
        <v>1</v>
      </c>
      <c r="U2076" t="s">
        <v>22</v>
      </c>
      <c r="V2076" t="e">
        <f>IF(#REF! = "yes", 1, 0)</f>
        <v>#REF!</v>
      </c>
      <c r="W2076" t="e">
        <f>IF(#REF! &lt;= 1, "0-1 Calls", IF(#REF! &lt;= 3, "2-3 Calls", IF(#REF! &lt;=5, "4-5 Calls", "6+ Calls")))</f>
        <v>#REF!</v>
      </c>
      <c r="X2076" t="e">
        <f>IF(#REF! &lt;= 50, "0-50", IF(#REF! &lt;=100, "51-100", IF(#REF! &lt;= 150, "101-150", "151+")))</f>
        <v>#REF!</v>
      </c>
      <c r="Y2076" t="e">
        <f>IF(#REF! &lt;= 3, "Low Charges", "High Charges")</f>
        <v>#REF!</v>
      </c>
      <c r="Z2076" t="e">
        <f>IF(#REF!&lt;=80,"Low Calls",
IF(#REF!&lt;=120,"Medium Calls","High Calls"))</f>
        <v>#REF!</v>
      </c>
      <c r="AA2076" t="e">
        <f>IF(#REF!&lt;=15,"Low Charges",
IF(#REF!&lt;=20,"Medium Charges","High Charges"))</f>
        <v>#REF!</v>
      </c>
      <c r="AB2076" t="e">
        <f>IF(AND(#REF!&gt;180, #REF!&gt;200), "Heavy Doemstic User", IF(#REF!&gt;10, "Interntional User", IF(AND(#REF!&lt;180, #REF!&lt;200,#REF!&lt;200), "Light User", "Balanced User")))</f>
        <v>#REF!</v>
      </c>
      <c r="AC2076" t="e">
        <f>IF(#REF! = 0, "No Usage", IF(#REF! &lt;= 20, "Low Usage", IF(#REF! &lt;= 40, "Medium Usgae", "High Usage")))</f>
        <v>#REF!</v>
      </c>
      <c r="AD2076" t="e">
        <f>IF(#REF!&lt;=150,"Low Usage", IF(#REF!&lt;=200,"Medium Usage", IF(#REF!&lt;=250,"High Usage","Very High Usage")))</f>
        <v>#REF!</v>
      </c>
      <c r="AE2076" t="e">
        <f>IF(#REF!&lt;=5,"Low Calls", IF(#REF!&lt;=10, "Medium Calls", "High Calls"))</f>
        <v>#REF!</v>
      </c>
      <c r="AF2076" t="e">
        <f xml:space="preserve">
IF(#REF!&gt;=4,4,0)+
IF(#REF!="yes",3,0)+
IF(#REF!="High Charges",3,0)+
IF(#REF!&gt;250,4,0)+
IF(#REF!="no",1,0)+
IF(#REF!="Heavy Domestic User",2,0)</f>
        <v>#REF!</v>
      </c>
      <c r="AG2076" t="e">
        <f>IF(#REF!&gt;=10,"High Risk", IF(#REF!&gt;=5,"Medium Risk","Low Risk"))</f>
        <v>#REF!</v>
      </c>
      <c r="AH2076" t="e">
        <f>#REF! + #REF! + #REF! + #REF!</f>
        <v>#REF!</v>
      </c>
    </row>
    <row r="2077" spans="1:34" x14ac:dyDescent="0.35">
      <c r="A2077">
        <v>2076</v>
      </c>
      <c r="B2077" t="s">
        <v>61</v>
      </c>
      <c r="C2077">
        <v>118</v>
      </c>
      <c r="D2077" t="s">
        <v>28</v>
      </c>
      <c r="E2077" t="s">
        <v>22</v>
      </c>
      <c r="F2077" t="s">
        <v>22</v>
      </c>
      <c r="G2077">
        <v>0</v>
      </c>
      <c r="H2077">
        <v>205.2</v>
      </c>
      <c r="I2077">
        <v>115</v>
      </c>
      <c r="J2077">
        <v>34.880000000000003</v>
      </c>
      <c r="K2077">
        <v>184.8</v>
      </c>
      <c r="L2077">
        <v>137</v>
      </c>
      <c r="M2077">
        <v>15.71</v>
      </c>
      <c r="N2077">
        <v>176.1</v>
      </c>
      <c r="O2077">
        <v>115</v>
      </c>
      <c r="P2077">
        <v>7.92</v>
      </c>
      <c r="Q2077">
        <v>7</v>
      </c>
      <c r="R2077">
        <v>6</v>
      </c>
      <c r="S2077">
        <v>1.89</v>
      </c>
      <c r="T2077">
        <v>0</v>
      </c>
      <c r="U2077" t="s">
        <v>22</v>
      </c>
      <c r="V2077" t="e">
        <f>IF(#REF! = "yes", 1, 0)</f>
        <v>#REF!</v>
      </c>
      <c r="W2077" t="e">
        <f>IF(#REF! &lt;= 1, "0-1 Calls", IF(#REF! &lt;= 3, "2-3 Calls", IF(#REF! &lt;=5, "4-5 Calls", "6+ Calls")))</f>
        <v>#REF!</v>
      </c>
      <c r="X2077" t="e">
        <f>IF(#REF! &lt;= 50, "0-50", IF(#REF! &lt;=100, "51-100", IF(#REF! &lt;= 150, "101-150", "151+")))</f>
        <v>#REF!</v>
      </c>
      <c r="Y2077" t="e">
        <f>IF(#REF! &lt;= 3, "Low Charges", "High Charges")</f>
        <v>#REF!</v>
      </c>
      <c r="Z2077" t="e">
        <f>IF(#REF!&lt;=80,"Low Calls",
IF(#REF!&lt;=120,"Medium Calls","High Calls"))</f>
        <v>#REF!</v>
      </c>
      <c r="AA2077" t="e">
        <f>IF(#REF!&lt;=15,"Low Charges",
IF(#REF!&lt;=20,"Medium Charges","High Charges"))</f>
        <v>#REF!</v>
      </c>
      <c r="AB2077" t="e">
        <f>IF(AND(#REF!&gt;180, #REF!&gt;200), "Heavy Doemstic User", IF(#REF!&gt;10, "Interntional User", IF(AND(#REF!&lt;180, #REF!&lt;200,#REF!&lt;200), "Light User", "Balanced User")))</f>
        <v>#REF!</v>
      </c>
      <c r="AC2077" t="e">
        <f>IF(#REF! = 0, "No Usage", IF(#REF! &lt;= 20, "Low Usage", IF(#REF! &lt;= 40, "Medium Usgae", "High Usage")))</f>
        <v>#REF!</v>
      </c>
      <c r="AD2077" t="e">
        <f>IF(#REF!&lt;=150,"Low Usage", IF(#REF!&lt;=200,"Medium Usage", IF(#REF!&lt;=250,"High Usage","Very High Usage")))</f>
        <v>#REF!</v>
      </c>
      <c r="AE2077" t="e">
        <f>IF(#REF!&lt;=5,"Low Calls", IF(#REF!&lt;=10, "Medium Calls", "High Calls"))</f>
        <v>#REF!</v>
      </c>
      <c r="AF2077" t="e">
        <f xml:space="preserve">
IF(#REF!&gt;=4,4,0)+
IF(#REF!="yes",3,0)+
IF(#REF!="High Charges",3,0)+
IF(#REF!&gt;250,4,0)+
IF(#REF!="no",1,0)+
IF(#REF!="Heavy Domestic User",2,0)</f>
        <v>#REF!</v>
      </c>
      <c r="AG2077" t="e">
        <f>IF(#REF!&gt;=10,"High Risk", IF(#REF!&gt;=5,"Medium Risk","Low Risk"))</f>
        <v>#REF!</v>
      </c>
      <c r="AH2077" t="e">
        <f>#REF! + #REF! + #REF! + #REF!</f>
        <v>#REF!</v>
      </c>
    </row>
    <row r="2078" spans="1:34" x14ac:dyDescent="0.35">
      <c r="A2078">
        <v>2077</v>
      </c>
      <c r="B2078" t="s">
        <v>45</v>
      </c>
      <c r="C2078">
        <v>111</v>
      </c>
      <c r="D2078" t="s">
        <v>25</v>
      </c>
      <c r="E2078" t="s">
        <v>22</v>
      </c>
      <c r="F2078" t="s">
        <v>23</v>
      </c>
      <c r="G2078">
        <v>13</v>
      </c>
      <c r="H2078">
        <v>193.1</v>
      </c>
      <c r="I2078">
        <v>104</v>
      </c>
      <c r="J2078">
        <v>32.83</v>
      </c>
      <c r="K2078">
        <v>111.6</v>
      </c>
      <c r="L2078">
        <v>98</v>
      </c>
      <c r="M2078">
        <v>9.49</v>
      </c>
      <c r="N2078">
        <v>227.4</v>
      </c>
      <c r="O2078">
        <v>94</v>
      </c>
      <c r="P2078">
        <v>10.23</v>
      </c>
      <c r="Q2078">
        <v>12.1</v>
      </c>
      <c r="R2078">
        <v>4</v>
      </c>
      <c r="S2078">
        <v>3.27</v>
      </c>
      <c r="T2078">
        <v>1</v>
      </c>
      <c r="U2078" t="s">
        <v>22</v>
      </c>
      <c r="V2078" t="e">
        <f>IF(#REF! = "yes", 1, 0)</f>
        <v>#REF!</v>
      </c>
      <c r="W2078" t="e">
        <f>IF(#REF! &lt;= 1, "0-1 Calls", IF(#REF! &lt;= 3, "2-3 Calls", IF(#REF! &lt;=5, "4-5 Calls", "6+ Calls")))</f>
        <v>#REF!</v>
      </c>
      <c r="X2078" t="e">
        <f>IF(#REF! &lt;= 50, "0-50", IF(#REF! &lt;=100, "51-100", IF(#REF! &lt;= 150, "101-150", "151+")))</f>
        <v>#REF!</v>
      </c>
      <c r="Y2078" t="e">
        <f>IF(#REF! &lt;= 3, "Low Charges", "High Charges")</f>
        <v>#REF!</v>
      </c>
      <c r="Z2078" t="e">
        <f>IF(#REF!&lt;=80,"Low Calls",
IF(#REF!&lt;=120,"Medium Calls","High Calls"))</f>
        <v>#REF!</v>
      </c>
      <c r="AA2078" t="e">
        <f>IF(#REF!&lt;=15,"Low Charges",
IF(#REF!&lt;=20,"Medium Charges","High Charges"))</f>
        <v>#REF!</v>
      </c>
      <c r="AB2078" t="e">
        <f>IF(AND(#REF!&gt;180, #REF!&gt;200), "Heavy Doemstic User", IF(#REF!&gt;10, "Interntional User", IF(AND(#REF!&lt;180, #REF!&lt;200,#REF!&lt;200), "Light User", "Balanced User")))</f>
        <v>#REF!</v>
      </c>
      <c r="AC2078" t="e">
        <f>IF(#REF! = 0, "No Usage", IF(#REF! &lt;= 20, "Low Usage", IF(#REF! &lt;= 40, "Medium Usgae", "High Usage")))</f>
        <v>#REF!</v>
      </c>
      <c r="AD2078" t="e">
        <f>IF(#REF!&lt;=150,"Low Usage", IF(#REF!&lt;=200,"Medium Usage", IF(#REF!&lt;=250,"High Usage","Very High Usage")))</f>
        <v>#REF!</v>
      </c>
      <c r="AE2078" t="e">
        <f>IF(#REF!&lt;=5,"Low Calls", IF(#REF!&lt;=10, "Medium Calls", "High Calls"))</f>
        <v>#REF!</v>
      </c>
      <c r="AF2078" t="e">
        <f xml:space="preserve">
IF(#REF!&gt;=4,4,0)+
IF(#REF!="yes",3,0)+
IF(#REF!="High Charges",3,0)+
IF(#REF!&gt;250,4,0)+
IF(#REF!="no",1,0)+
IF(#REF!="Heavy Domestic User",2,0)</f>
        <v>#REF!</v>
      </c>
      <c r="AG2078" t="e">
        <f>IF(#REF!&gt;=10,"High Risk", IF(#REF!&gt;=5,"Medium Risk","Low Risk"))</f>
        <v>#REF!</v>
      </c>
      <c r="AH2078" t="e">
        <f>#REF! + #REF! + #REF! + #REF!</f>
        <v>#REF!</v>
      </c>
    </row>
    <row r="2079" spans="1:34" x14ac:dyDescent="0.35">
      <c r="A2079">
        <v>2078</v>
      </c>
      <c r="B2079" t="s">
        <v>37</v>
      </c>
      <c r="C2079">
        <v>82</v>
      </c>
      <c r="D2079" t="s">
        <v>28</v>
      </c>
      <c r="E2079" t="s">
        <v>22</v>
      </c>
      <c r="F2079" t="s">
        <v>23</v>
      </c>
      <c r="G2079">
        <v>34</v>
      </c>
      <c r="H2079">
        <v>232.6</v>
      </c>
      <c r="I2079">
        <v>121</v>
      </c>
      <c r="J2079">
        <v>39.54</v>
      </c>
      <c r="K2079">
        <v>153.19999999999999</v>
      </c>
      <c r="L2079">
        <v>115</v>
      </c>
      <c r="M2079">
        <v>13.02</v>
      </c>
      <c r="N2079">
        <v>286.7</v>
      </c>
      <c r="O2079">
        <v>77</v>
      </c>
      <c r="P2079">
        <v>12.9</v>
      </c>
      <c r="Q2079">
        <v>4.7</v>
      </c>
      <c r="R2079">
        <v>3</v>
      </c>
      <c r="S2079">
        <v>1.27</v>
      </c>
      <c r="T2079">
        <v>3</v>
      </c>
      <c r="U2079" t="s">
        <v>22</v>
      </c>
      <c r="V2079" t="e">
        <f>IF(#REF! = "yes", 1, 0)</f>
        <v>#REF!</v>
      </c>
      <c r="W2079" t="e">
        <f>IF(#REF! &lt;= 1, "0-1 Calls", IF(#REF! &lt;= 3, "2-3 Calls", IF(#REF! &lt;=5, "4-5 Calls", "6+ Calls")))</f>
        <v>#REF!</v>
      </c>
      <c r="X2079" t="e">
        <f>IF(#REF! &lt;= 50, "0-50", IF(#REF! &lt;=100, "51-100", IF(#REF! &lt;= 150, "101-150", "151+")))</f>
        <v>#REF!</v>
      </c>
      <c r="Y2079" t="e">
        <f>IF(#REF! &lt;= 3, "Low Charges", "High Charges")</f>
        <v>#REF!</v>
      </c>
      <c r="Z2079" t="e">
        <f>IF(#REF!&lt;=80,"Low Calls",
IF(#REF!&lt;=120,"Medium Calls","High Calls"))</f>
        <v>#REF!</v>
      </c>
      <c r="AA2079" t="e">
        <f>IF(#REF!&lt;=15,"Low Charges",
IF(#REF!&lt;=20,"Medium Charges","High Charges"))</f>
        <v>#REF!</v>
      </c>
      <c r="AB2079" t="e">
        <f>IF(AND(#REF!&gt;180, #REF!&gt;200), "Heavy Doemstic User", IF(#REF!&gt;10, "Interntional User", IF(AND(#REF!&lt;180, #REF!&lt;200,#REF!&lt;200), "Light User", "Balanced User")))</f>
        <v>#REF!</v>
      </c>
      <c r="AC2079" t="e">
        <f>IF(#REF! = 0, "No Usage", IF(#REF! &lt;= 20, "Low Usage", IF(#REF! &lt;= 40, "Medium Usgae", "High Usage")))</f>
        <v>#REF!</v>
      </c>
      <c r="AD2079" t="e">
        <f>IF(#REF!&lt;=150,"Low Usage", IF(#REF!&lt;=200,"Medium Usage", IF(#REF!&lt;=250,"High Usage","Very High Usage")))</f>
        <v>#REF!</v>
      </c>
      <c r="AE2079" t="e">
        <f>IF(#REF!&lt;=5,"Low Calls", IF(#REF!&lt;=10, "Medium Calls", "High Calls"))</f>
        <v>#REF!</v>
      </c>
      <c r="AF2079" t="e">
        <f xml:space="preserve">
IF(#REF!&gt;=4,4,0)+
IF(#REF!="yes",3,0)+
IF(#REF!="High Charges",3,0)+
IF(#REF!&gt;250,4,0)+
IF(#REF!="no",1,0)+
IF(#REF!="Heavy Domestic User",2,0)</f>
        <v>#REF!</v>
      </c>
      <c r="AG2079" t="e">
        <f>IF(#REF!&gt;=10,"High Risk", IF(#REF!&gt;=5,"Medium Risk","Low Risk"))</f>
        <v>#REF!</v>
      </c>
      <c r="AH2079" t="e">
        <f>#REF! + #REF! + #REF! + #REF!</f>
        <v>#REF!</v>
      </c>
    </row>
    <row r="2080" spans="1:34" x14ac:dyDescent="0.35">
      <c r="A2080">
        <v>2079</v>
      </c>
      <c r="B2080" t="s">
        <v>58</v>
      </c>
      <c r="C2080">
        <v>74</v>
      </c>
      <c r="D2080" t="s">
        <v>21</v>
      </c>
      <c r="E2080" t="s">
        <v>22</v>
      </c>
      <c r="F2080" t="s">
        <v>22</v>
      </c>
      <c r="G2080">
        <v>0</v>
      </c>
      <c r="H2080">
        <v>102.7</v>
      </c>
      <c r="I2080">
        <v>89</v>
      </c>
      <c r="J2080">
        <v>17.46</v>
      </c>
      <c r="K2080">
        <v>149.30000000000001</v>
      </c>
      <c r="L2080">
        <v>100</v>
      </c>
      <c r="M2080">
        <v>12.69</v>
      </c>
      <c r="N2080">
        <v>188.1</v>
      </c>
      <c r="O2080">
        <v>114</v>
      </c>
      <c r="P2080">
        <v>8.4600000000000009</v>
      </c>
      <c r="Q2080">
        <v>11</v>
      </c>
      <c r="R2080">
        <v>5</v>
      </c>
      <c r="S2080">
        <v>2.97</v>
      </c>
      <c r="T2080">
        <v>0</v>
      </c>
      <c r="U2080" t="s">
        <v>22</v>
      </c>
      <c r="V2080" t="e">
        <f>IF(#REF! = "yes", 1, 0)</f>
        <v>#REF!</v>
      </c>
      <c r="W2080" t="e">
        <f>IF(#REF! &lt;= 1, "0-1 Calls", IF(#REF! &lt;= 3, "2-3 Calls", IF(#REF! &lt;=5, "4-5 Calls", "6+ Calls")))</f>
        <v>#REF!</v>
      </c>
      <c r="X2080" t="e">
        <f>IF(#REF! &lt;= 50, "0-50", IF(#REF! &lt;=100, "51-100", IF(#REF! &lt;= 150, "101-150", "151+")))</f>
        <v>#REF!</v>
      </c>
      <c r="Y2080" t="e">
        <f>IF(#REF! &lt;= 3, "Low Charges", "High Charges")</f>
        <v>#REF!</v>
      </c>
      <c r="Z2080" t="e">
        <f>IF(#REF!&lt;=80,"Low Calls",
IF(#REF!&lt;=120,"Medium Calls","High Calls"))</f>
        <v>#REF!</v>
      </c>
      <c r="AA2080" t="e">
        <f>IF(#REF!&lt;=15,"Low Charges",
IF(#REF!&lt;=20,"Medium Charges","High Charges"))</f>
        <v>#REF!</v>
      </c>
      <c r="AB2080" t="e">
        <f>IF(AND(#REF!&gt;180, #REF!&gt;200), "Heavy Doemstic User", IF(#REF!&gt;10, "Interntional User", IF(AND(#REF!&lt;180, #REF!&lt;200,#REF!&lt;200), "Light User", "Balanced User")))</f>
        <v>#REF!</v>
      </c>
      <c r="AC2080" t="e">
        <f>IF(#REF! = 0, "No Usage", IF(#REF! &lt;= 20, "Low Usage", IF(#REF! &lt;= 40, "Medium Usgae", "High Usage")))</f>
        <v>#REF!</v>
      </c>
      <c r="AD2080" t="e">
        <f>IF(#REF!&lt;=150,"Low Usage", IF(#REF!&lt;=200,"Medium Usage", IF(#REF!&lt;=250,"High Usage","Very High Usage")))</f>
        <v>#REF!</v>
      </c>
      <c r="AE2080" t="e">
        <f>IF(#REF!&lt;=5,"Low Calls", IF(#REF!&lt;=10, "Medium Calls", "High Calls"))</f>
        <v>#REF!</v>
      </c>
      <c r="AF2080" t="e">
        <f xml:space="preserve">
IF(#REF!&gt;=4,4,0)+
IF(#REF!="yes",3,0)+
IF(#REF!="High Charges",3,0)+
IF(#REF!&gt;250,4,0)+
IF(#REF!="no",1,0)+
IF(#REF!="Heavy Domestic User",2,0)</f>
        <v>#REF!</v>
      </c>
      <c r="AG2080" t="e">
        <f>IF(#REF!&gt;=10,"High Risk", IF(#REF!&gt;=5,"Medium Risk","Low Risk"))</f>
        <v>#REF!</v>
      </c>
      <c r="AH2080" t="e">
        <f>#REF! + #REF! + #REF! + #REF!</f>
        <v>#REF!</v>
      </c>
    </row>
    <row r="2081" spans="1:34" x14ac:dyDescent="0.35">
      <c r="A2081">
        <v>2080</v>
      </c>
      <c r="B2081" t="s">
        <v>39</v>
      </c>
      <c r="C2081">
        <v>121</v>
      </c>
      <c r="D2081" t="s">
        <v>21</v>
      </c>
      <c r="E2081" t="s">
        <v>22</v>
      </c>
      <c r="F2081" t="s">
        <v>23</v>
      </c>
      <c r="G2081">
        <v>31</v>
      </c>
      <c r="H2081">
        <v>263.10000000000002</v>
      </c>
      <c r="I2081">
        <v>70</v>
      </c>
      <c r="J2081">
        <v>44.73</v>
      </c>
      <c r="K2081">
        <v>279.3</v>
      </c>
      <c r="L2081">
        <v>118</v>
      </c>
      <c r="M2081">
        <v>23.74</v>
      </c>
      <c r="N2081">
        <v>127.1</v>
      </c>
      <c r="O2081">
        <v>143</v>
      </c>
      <c r="P2081">
        <v>5.72</v>
      </c>
      <c r="Q2081">
        <v>9.6999999999999993</v>
      </c>
      <c r="R2081">
        <v>4</v>
      </c>
      <c r="S2081">
        <v>2.62</v>
      </c>
      <c r="T2081">
        <v>5</v>
      </c>
      <c r="U2081" t="s">
        <v>22</v>
      </c>
      <c r="V2081" t="e">
        <f>IF(#REF! = "yes", 1, 0)</f>
        <v>#REF!</v>
      </c>
      <c r="W2081" t="e">
        <f>IF(#REF! &lt;= 1, "0-1 Calls", IF(#REF! &lt;= 3, "2-3 Calls", IF(#REF! &lt;=5, "4-5 Calls", "6+ Calls")))</f>
        <v>#REF!</v>
      </c>
      <c r="X2081" t="e">
        <f>IF(#REF! &lt;= 50, "0-50", IF(#REF! &lt;=100, "51-100", IF(#REF! &lt;= 150, "101-150", "151+")))</f>
        <v>#REF!</v>
      </c>
      <c r="Y2081" t="e">
        <f>IF(#REF! &lt;= 3, "Low Charges", "High Charges")</f>
        <v>#REF!</v>
      </c>
      <c r="Z2081" t="e">
        <f>IF(#REF!&lt;=80,"Low Calls",
IF(#REF!&lt;=120,"Medium Calls","High Calls"))</f>
        <v>#REF!</v>
      </c>
      <c r="AA2081" t="e">
        <f>IF(#REF!&lt;=15,"Low Charges",
IF(#REF!&lt;=20,"Medium Charges","High Charges"))</f>
        <v>#REF!</v>
      </c>
      <c r="AB2081" t="e">
        <f>IF(AND(#REF!&gt;180, #REF!&gt;200), "Heavy Doemstic User", IF(#REF!&gt;10, "Interntional User", IF(AND(#REF!&lt;180, #REF!&lt;200,#REF!&lt;200), "Light User", "Balanced User")))</f>
        <v>#REF!</v>
      </c>
      <c r="AC2081" t="e">
        <f>IF(#REF! = 0, "No Usage", IF(#REF! &lt;= 20, "Low Usage", IF(#REF! &lt;= 40, "Medium Usgae", "High Usage")))</f>
        <v>#REF!</v>
      </c>
      <c r="AD2081" t="e">
        <f>IF(#REF!&lt;=150,"Low Usage", IF(#REF!&lt;=200,"Medium Usage", IF(#REF!&lt;=250,"High Usage","Very High Usage")))</f>
        <v>#REF!</v>
      </c>
      <c r="AE2081" t="e">
        <f>IF(#REF!&lt;=5,"Low Calls", IF(#REF!&lt;=10, "Medium Calls", "High Calls"))</f>
        <v>#REF!</v>
      </c>
      <c r="AF2081" t="e">
        <f xml:space="preserve">
IF(#REF!&gt;=4,4,0)+
IF(#REF!="yes",3,0)+
IF(#REF!="High Charges",3,0)+
IF(#REF!&gt;250,4,0)+
IF(#REF!="no",1,0)+
IF(#REF!="Heavy Domestic User",2,0)</f>
        <v>#REF!</v>
      </c>
      <c r="AG2081" t="e">
        <f>IF(#REF!&gt;=10,"High Risk", IF(#REF!&gt;=5,"Medium Risk","Low Risk"))</f>
        <v>#REF!</v>
      </c>
      <c r="AH2081" t="e">
        <f>#REF! + #REF! + #REF! + #REF!</f>
        <v>#REF!</v>
      </c>
    </row>
    <row r="2082" spans="1:34" x14ac:dyDescent="0.35">
      <c r="A2082">
        <v>2081</v>
      </c>
      <c r="B2082" t="s">
        <v>48</v>
      </c>
      <c r="C2082">
        <v>131</v>
      </c>
      <c r="D2082" t="s">
        <v>25</v>
      </c>
      <c r="E2082" t="s">
        <v>22</v>
      </c>
      <c r="F2082" t="s">
        <v>22</v>
      </c>
      <c r="G2082">
        <v>0</v>
      </c>
      <c r="H2082">
        <v>197</v>
      </c>
      <c r="I2082">
        <v>79</v>
      </c>
      <c r="J2082">
        <v>33.49</v>
      </c>
      <c r="K2082">
        <v>201</v>
      </c>
      <c r="L2082">
        <v>114</v>
      </c>
      <c r="M2082">
        <v>17.09</v>
      </c>
      <c r="N2082">
        <v>151.19999999999999</v>
      </c>
      <c r="O2082">
        <v>111</v>
      </c>
      <c r="P2082">
        <v>6.8</v>
      </c>
      <c r="Q2082">
        <v>11.6</v>
      </c>
      <c r="R2082">
        <v>5</v>
      </c>
      <c r="S2082">
        <v>3.13</v>
      </c>
      <c r="T2082">
        <v>1</v>
      </c>
      <c r="U2082" t="s">
        <v>22</v>
      </c>
      <c r="V2082" t="e">
        <f>IF(#REF! = "yes", 1, 0)</f>
        <v>#REF!</v>
      </c>
      <c r="W2082" t="e">
        <f>IF(#REF! &lt;= 1, "0-1 Calls", IF(#REF! &lt;= 3, "2-3 Calls", IF(#REF! &lt;=5, "4-5 Calls", "6+ Calls")))</f>
        <v>#REF!</v>
      </c>
      <c r="X2082" t="e">
        <f>IF(#REF! &lt;= 50, "0-50", IF(#REF! &lt;=100, "51-100", IF(#REF! &lt;= 150, "101-150", "151+")))</f>
        <v>#REF!</v>
      </c>
      <c r="Y2082" t="e">
        <f>IF(#REF! &lt;= 3, "Low Charges", "High Charges")</f>
        <v>#REF!</v>
      </c>
      <c r="Z2082" t="e">
        <f>IF(#REF!&lt;=80,"Low Calls",
IF(#REF!&lt;=120,"Medium Calls","High Calls"))</f>
        <v>#REF!</v>
      </c>
      <c r="AA2082" t="e">
        <f>IF(#REF!&lt;=15,"Low Charges",
IF(#REF!&lt;=20,"Medium Charges","High Charges"))</f>
        <v>#REF!</v>
      </c>
      <c r="AB2082" t="e">
        <f>IF(AND(#REF!&gt;180, #REF!&gt;200), "Heavy Doemstic User", IF(#REF!&gt;10, "Interntional User", IF(AND(#REF!&lt;180, #REF!&lt;200,#REF!&lt;200), "Light User", "Balanced User")))</f>
        <v>#REF!</v>
      </c>
      <c r="AC2082" t="e">
        <f>IF(#REF! = 0, "No Usage", IF(#REF! &lt;= 20, "Low Usage", IF(#REF! &lt;= 40, "Medium Usgae", "High Usage")))</f>
        <v>#REF!</v>
      </c>
      <c r="AD2082" t="e">
        <f>IF(#REF!&lt;=150,"Low Usage", IF(#REF!&lt;=200,"Medium Usage", IF(#REF!&lt;=250,"High Usage","Very High Usage")))</f>
        <v>#REF!</v>
      </c>
      <c r="AE2082" t="e">
        <f>IF(#REF!&lt;=5,"Low Calls", IF(#REF!&lt;=10, "Medium Calls", "High Calls"))</f>
        <v>#REF!</v>
      </c>
      <c r="AF2082" t="e">
        <f xml:space="preserve">
IF(#REF!&gt;=4,4,0)+
IF(#REF!="yes",3,0)+
IF(#REF!="High Charges",3,0)+
IF(#REF!&gt;250,4,0)+
IF(#REF!="no",1,0)+
IF(#REF!="Heavy Domestic User",2,0)</f>
        <v>#REF!</v>
      </c>
      <c r="AG2082" t="e">
        <f>IF(#REF!&gt;=10,"High Risk", IF(#REF!&gt;=5,"Medium Risk","Low Risk"))</f>
        <v>#REF!</v>
      </c>
      <c r="AH2082" t="e">
        <f>#REF! + #REF! + #REF! + #REF!</f>
        <v>#REF!</v>
      </c>
    </row>
    <row r="2083" spans="1:34" x14ac:dyDescent="0.35">
      <c r="A2083">
        <v>2082</v>
      </c>
      <c r="B2083" t="s">
        <v>68</v>
      </c>
      <c r="C2083">
        <v>125</v>
      </c>
      <c r="D2083" t="s">
        <v>25</v>
      </c>
      <c r="E2083" t="s">
        <v>22</v>
      </c>
      <c r="F2083" t="s">
        <v>22</v>
      </c>
      <c r="G2083">
        <v>0</v>
      </c>
      <c r="H2083">
        <v>169.3</v>
      </c>
      <c r="I2083">
        <v>90</v>
      </c>
      <c r="J2083">
        <v>28.78</v>
      </c>
      <c r="K2083">
        <v>156</v>
      </c>
      <c r="L2083">
        <v>138</v>
      </c>
      <c r="M2083">
        <v>13.26</v>
      </c>
      <c r="N2083">
        <v>210.8</v>
      </c>
      <c r="O2083">
        <v>106</v>
      </c>
      <c r="P2083">
        <v>9.49</v>
      </c>
      <c r="Q2083">
        <v>11.6</v>
      </c>
      <c r="R2083">
        <v>6</v>
      </c>
      <c r="S2083">
        <v>3.13</v>
      </c>
      <c r="T2083">
        <v>2</v>
      </c>
      <c r="U2083" t="s">
        <v>22</v>
      </c>
      <c r="V2083" t="e">
        <f>IF(#REF! = "yes", 1, 0)</f>
        <v>#REF!</v>
      </c>
      <c r="W2083" t="e">
        <f>IF(#REF! &lt;= 1, "0-1 Calls", IF(#REF! &lt;= 3, "2-3 Calls", IF(#REF! &lt;=5, "4-5 Calls", "6+ Calls")))</f>
        <v>#REF!</v>
      </c>
      <c r="X2083" t="e">
        <f>IF(#REF! &lt;= 50, "0-50", IF(#REF! &lt;=100, "51-100", IF(#REF! &lt;= 150, "101-150", "151+")))</f>
        <v>#REF!</v>
      </c>
      <c r="Y2083" t="e">
        <f>IF(#REF! &lt;= 3, "Low Charges", "High Charges")</f>
        <v>#REF!</v>
      </c>
      <c r="Z2083" t="e">
        <f>IF(#REF!&lt;=80,"Low Calls",
IF(#REF!&lt;=120,"Medium Calls","High Calls"))</f>
        <v>#REF!</v>
      </c>
      <c r="AA2083" t="e">
        <f>IF(#REF!&lt;=15,"Low Charges",
IF(#REF!&lt;=20,"Medium Charges","High Charges"))</f>
        <v>#REF!</v>
      </c>
      <c r="AB2083" t="e">
        <f>IF(AND(#REF!&gt;180, #REF!&gt;200), "Heavy Doemstic User", IF(#REF!&gt;10, "Interntional User", IF(AND(#REF!&lt;180, #REF!&lt;200,#REF!&lt;200), "Light User", "Balanced User")))</f>
        <v>#REF!</v>
      </c>
      <c r="AC2083" t="e">
        <f>IF(#REF! = 0, "No Usage", IF(#REF! &lt;= 20, "Low Usage", IF(#REF! &lt;= 40, "Medium Usgae", "High Usage")))</f>
        <v>#REF!</v>
      </c>
      <c r="AD2083" t="e">
        <f>IF(#REF!&lt;=150,"Low Usage", IF(#REF!&lt;=200,"Medium Usage", IF(#REF!&lt;=250,"High Usage","Very High Usage")))</f>
        <v>#REF!</v>
      </c>
      <c r="AE2083" t="e">
        <f>IF(#REF!&lt;=5,"Low Calls", IF(#REF!&lt;=10, "Medium Calls", "High Calls"))</f>
        <v>#REF!</v>
      </c>
      <c r="AF2083" t="e">
        <f xml:space="preserve">
IF(#REF!&gt;=4,4,0)+
IF(#REF!="yes",3,0)+
IF(#REF!="High Charges",3,0)+
IF(#REF!&gt;250,4,0)+
IF(#REF!="no",1,0)+
IF(#REF!="Heavy Domestic User",2,0)</f>
        <v>#REF!</v>
      </c>
      <c r="AG2083" t="e">
        <f>IF(#REF!&gt;=10,"High Risk", IF(#REF!&gt;=5,"Medium Risk","Low Risk"))</f>
        <v>#REF!</v>
      </c>
      <c r="AH2083" t="e">
        <f>#REF! + #REF! + #REF! + #REF!</f>
        <v>#REF!</v>
      </c>
    </row>
    <row r="2084" spans="1:34" x14ac:dyDescent="0.35">
      <c r="A2084">
        <v>2083</v>
      </c>
      <c r="B2084" t="s">
        <v>66</v>
      </c>
      <c r="C2084">
        <v>19</v>
      </c>
      <c r="D2084" t="s">
        <v>21</v>
      </c>
      <c r="E2084" t="s">
        <v>22</v>
      </c>
      <c r="F2084" t="s">
        <v>22</v>
      </c>
      <c r="G2084">
        <v>0</v>
      </c>
      <c r="H2084">
        <v>201.5</v>
      </c>
      <c r="I2084">
        <v>123</v>
      </c>
      <c r="J2084">
        <v>34.26</v>
      </c>
      <c r="K2084">
        <v>129.19999999999999</v>
      </c>
      <c r="L2084">
        <v>110</v>
      </c>
      <c r="M2084">
        <v>10.98</v>
      </c>
      <c r="N2084">
        <v>220.6</v>
      </c>
      <c r="O2084">
        <v>98</v>
      </c>
      <c r="P2084">
        <v>9.93</v>
      </c>
      <c r="Q2084">
        <v>12.9</v>
      </c>
      <c r="R2084">
        <v>4</v>
      </c>
      <c r="S2084">
        <v>3.48</v>
      </c>
      <c r="T2084">
        <v>1</v>
      </c>
      <c r="U2084" t="s">
        <v>22</v>
      </c>
      <c r="V2084" t="e">
        <f>IF(#REF! = "yes", 1, 0)</f>
        <v>#REF!</v>
      </c>
      <c r="W2084" t="e">
        <f>IF(#REF! &lt;= 1, "0-1 Calls", IF(#REF! &lt;= 3, "2-3 Calls", IF(#REF! &lt;=5, "4-5 Calls", "6+ Calls")))</f>
        <v>#REF!</v>
      </c>
      <c r="X2084" t="e">
        <f>IF(#REF! &lt;= 50, "0-50", IF(#REF! &lt;=100, "51-100", IF(#REF! &lt;= 150, "101-150", "151+")))</f>
        <v>#REF!</v>
      </c>
      <c r="Y2084" t="e">
        <f>IF(#REF! &lt;= 3, "Low Charges", "High Charges")</f>
        <v>#REF!</v>
      </c>
      <c r="Z2084" t="e">
        <f>IF(#REF!&lt;=80,"Low Calls",
IF(#REF!&lt;=120,"Medium Calls","High Calls"))</f>
        <v>#REF!</v>
      </c>
      <c r="AA2084" t="e">
        <f>IF(#REF!&lt;=15,"Low Charges",
IF(#REF!&lt;=20,"Medium Charges","High Charges"))</f>
        <v>#REF!</v>
      </c>
      <c r="AB2084" t="e">
        <f>IF(AND(#REF!&gt;180, #REF!&gt;200), "Heavy Doemstic User", IF(#REF!&gt;10, "Interntional User", IF(AND(#REF!&lt;180, #REF!&lt;200,#REF!&lt;200), "Light User", "Balanced User")))</f>
        <v>#REF!</v>
      </c>
      <c r="AC2084" t="e">
        <f>IF(#REF! = 0, "No Usage", IF(#REF! &lt;= 20, "Low Usage", IF(#REF! &lt;= 40, "Medium Usgae", "High Usage")))</f>
        <v>#REF!</v>
      </c>
      <c r="AD2084" t="e">
        <f>IF(#REF!&lt;=150,"Low Usage", IF(#REF!&lt;=200,"Medium Usage", IF(#REF!&lt;=250,"High Usage","Very High Usage")))</f>
        <v>#REF!</v>
      </c>
      <c r="AE2084" t="e">
        <f>IF(#REF!&lt;=5,"Low Calls", IF(#REF!&lt;=10, "Medium Calls", "High Calls"))</f>
        <v>#REF!</v>
      </c>
      <c r="AF2084" t="e">
        <f xml:space="preserve">
IF(#REF!&gt;=4,4,0)+
IF(#REF!="yes",3,0)+
IF(#REF!="High Charges",3,0)+
IF(#REF!&gt;250,4,0)+
IF(#REF!="no",1,0)+
IF(#REF!="Heavy Domestic User",2,0)</f>
        <v>#REF!</v>
      </c>
      <c r="AG2084" t="e">
        <f>IF(#REF!&gt;=10,"High Risk", IF(#REF!&gt;=5,"Medium Risk","Low Risk"))</f>
        <v>#REF!</v>
      </c>
      <c r="AH2084" t="e">
        <f>#REF! + #REF! + #REF! + #REF!</f>
        <v>#REF!</v>
      </c>
    </row>
    <row r="2085" spans="1:34" x14ac:dyDescent="0.35">
      <c r="A2085">
        <v>2084</v>
      </c>
      <c r="B2085" t="s">
        <v>38</v>
      </c>
      <c r="C2085">
        <v>138</v>
      </c>
      <c r="D2085" t="s">
        <v>21</v>
      </c>
      <c r="E2085" t="s">
        <v>22</v>
      </c>
      <c r="F2085" t="s">
        <v>22</v>
      </c>
      <c r="G2085">
        <v>0</v>
      </c>
      <c r="H2085">
        <v>251</v>
      </c>
      <c r="I2085">
        <v>119</v>
      </c>
      <c r="J2085">
        <v>42.67</v>
      </c>
      <c r="K2085">
        <v>91.2</v>
      </c>
      <c r="L2085">
        <v>96</v>
      </c>
      <c r="M2085">
        <v>7.75</v>
      </c>
      <c r="N2085">
        <v>142.19999999999999</v>
      </c>
      <c r="O2085">
        <v>87</v>
      </c>
      <c r="P2085">
        <v>6.4</v>
      </c>
      <c r="Q2085">
        <v>13.8</v>
      </c>
      <c r="R2085">
        <v>3</v>
      </c>
      <c r="S2085">
        <v>3.73</v>
      </c>
      <c r="T2085">
        <v>3</v>
      </c>
      <c r="U2085" t="s">
        <v>22</v>
      </c>
      <c r="V2085" t="e">
        <f>IF(#REF! = "yes", 1, 0)</f>
        <v>#REF!</v>
      </c>
      <c r="W2085" t="e">
        <f>IF(#REF! &lt;= 1, "0-1 Calls", IF(#REF! &lt;= 3, "2-3 Calls", IF(#REF! &lt;=5, "4-5 Calls", "6+ Calls")))</f>
        <v>#REF!</v>
      </c>
      <c r="X2085" t="e">
        <f>IF(#REF! &lt;= 50, "0-50", IF(#REF! &lt;=100, "51-100", IF(#REF! &lt;= 150, "101-150", "151+")))</f>
        <v>#REF!</v>
      </c>
      <c r="Y2085" t="e">
        <f>IF(#REF! &lt;= 3, "Low Charges", "High Charges")</f>
        <v>#REF!</v>
      </c>
      <c r="Z2085" t="e">
        <f>IF(#REF!&lt;=80,"Low Calls",
IF(#REF!&lt;=120,"Medium Calls","High Calls"))</f>
        <v>#REF!</v>
      </c>
      <c r="AA2085" t="e">
        <f>IF(#REF!&lt;=15,"Low Charges",
IF(#REF!&lt;=20,"Medium Charges","High Charges"))</f>
        <v>#REF!</v>
      </c>
      <c r="AB2085" t="e">
        <f>IF(AND(#REF!&gt;180, #REF!&gt;200), "Heavy Doemstic User", IF(#REF!&gt;10, "Interntional User", IF(AND(#REF!&lt;180, #REF!&lt;200,#REF!&lt;200), "Light User", "Balanced User")))</f>
        <v>#REF!</v>
      </c>
      <c r="AC2085" t="e">
        <f>IF(#REF! = 0, "No Usage", IF(#REF! &lt;= 20, "Low Usage", IF(#REF! &lt;= 40, "Medium Usgae", "High Usage")))</f>
        <v>#REF!</v>
      </c>
      <c r="AD2085" t="e">
        <f>IF(#REF!&lt;=150,"Low Usage", IF(#REF!&lt;=200,"Medium Usage", IF(#REF!&lt;=250,"High Usage","Very High Usage")))</f>
        <v>#REF!</v>
      </c>
      <c r="AE2085" t="e">
        <f>IF(#REF!&lt;=5,"Low Calls", IF(#REF!&lt;=10, "Medium Calls", "High Calls"))</f>
        <v>#REF!</v>
      </c>
      <c r="AF2085" t="e">
        <f xml:space="preserve">
IF(#REF!&gt;=4,4,0)+
IF(#REF!="yes",3,0)+
IF(#REF!="High Charges",3,0)+
IF(#REF!&gt;250,4,0)+
IF(#REF!="no",1,0)+
IF(#REF!="Heavy Domestic User",2,0)</f>
        <v>#REF!</v>
      </c>
      <c r="AG2085" t="e">
        <f>IF(#REF!&gt;=10,"High Risk", IF(#REF!&gt;=5,"Medium Risk","Low Risk"))</f>
        <v>#REF!</v>
      </c>
      <c r="AH2085" t="e">
        <f>#REF! + #REF! + #REF! + #REF!</f>
        <v>#REF!</v>
      </c>
    </row>
    <row r="2086" spans="1:34" x14ac:dyDescent="0.35">
      <c r="A2086">
        <v>2085</v>
      </c>
      <c r="B2086" t="s">
        <v>37</v>
      </c>
      <c r="C2086">
        <v>119</v>
      </c>
      <c r="D2086" t="s">
        <v>21</v>
      </c>
      <c r="E2086" t="s">
        <v>22</v>
      </c>
      <c r="F2086" t="s">
        <v>22</v>
      </c>
      <c r="G2086">
        <v>0</v>
      </c>
      <c r="H2086">
        <v>230.4</v>
      </c>
      <c r="I2086">
        <v>117</v>
      </c>
      <c r="J2086">
        <v>39.17</v>
      </c>
      <c r="K2086">
        <v>225</v>
      </c>
      <c r="L2086">
        <v>101</v>
      </c>
      <c r="M2086">
        <v>19.13</v>
      </c>
      <c r="N2086">
        <v>198.5</v>
      </c>
      <c r="O2086">
        <v>111</v>
      </c>
      <c r="P2086">
        <v>8.93</v>
      </c>
      <c r="Q2086">
        <v>7.6</v>
      </c>
      <c r="R2086">
        <v>6</v>
      </c>
      <c r="S2086">
        <v>2.0499999999999998</v>
      </c>
      <c r="T2086">
        <v>3</v>
      </c>
      <c r="U2086" t="s">
        <v>22</v>
      </c>
      <c r="V2086" t="e">
        <f>IF(#REF! = "yes", 1, 0)</f>
        <v>#REF!</v>
      </c>
      <c r="W2086" t="e">
        <f>IF(#REF! &lt;= 1, "0-1 Calls", IF(#REF! &lt;= 3, "2-3 Calls", IF(#REF! &lt;=5, "4-5 Calls", "6+ Calls")))</f>
        <v>#REF!</v>
      </c>
      <c r="X2086" t="e">
        <f>IF(#REF! &lt;= 50, "0-50", IF(#REF! &lt;=100, "51-100", IF(#REF! &lt;= 150, "101-150", "151+")))</f>
        <v>#REF!</v>
      </c>
      <c r="Y2086" t="e">
        <f>IF(#REF! &lt;= 3, "Low Charges", "High Charges")</f>
        <v>#REF!</v>
      </c>
      <c r="Z2086" t="e">
        <f>IF(#REF!&lt;=80,"Low Calls",
IF(#REF!&lt;=120,"Medium Calls","High Calls"))</f>
        <v>#REF!</v>
      </c>
      <c r="AA2086" t="e">
        <f>IF(#REF!&lt;=15,"Low Charges",
IF(#REF!&lt;=20,"Medium Charges","High Charges"))</f>
        <v>#REF!</v>
      </c>
      <c r="AB2086" t="e">
        <f>IF(AND(#REF!&gt;180, #REF!&gt;200), "Heavy Doemstic User", IF(#REF!&gt;10, "Interntional User", IF(AND(#REF!&lt;180, #REF!&lt;200,#REF!&lt;200), "Light User", "Balanced User")))</f>
        <v>#REF!</v>
      </c>
      <c r="AC2086" t="e">
        <f>IF(#REF! = 0, "No Usage", IF(#REF! &lt;= 20, "Low Usage", IF(#REF! &lt;= 40, "Medium Usgae", "High Usage")))</f>
        <v>#REF!</v>
      </c>
      <c r="AD2086" t="e">
        <f>IF(#REF!&lt;=150,"Low Usage", IF(#REF!&lt;=200,"Medium Usage", IF(#REF!&lt;=250,"High Usage","Very High Usage")))</f>
        <v>#REF!</v>
      </c>
      <c r="AE2086" t="e">
        <f>IF(#REF!&lt;=5,"Low Calls", IF(#REF!&lt;=10, "Medium Calls", "High Calls"))</f>
        <v>#REF!</v>
      </c>
      <c r="AF2086" t="e">
        <f xml:space="preserve">
IF(#REF!&gt;=4,4,0)+
IF(#REF!="yes",3,0)+
IF(#REF!="High Charges",3,0)+
IF(#REF!&gt;250,4,0)+
IF(#REF!="no",1,0)+
IF(#REF!="Heavy Domestic User",2,0)</f>
        <v>#REF!</v>
      </c>
      <c r="AG2086" t="e">
        <f>IF(#REF!&gt;=10,"High Risk", IF(#REF!&gt;=5,"Medium Risk","Low Risk"))</f>
        <v>#REF!</v>
      </c>
      <c r="AH2086" t="e">
        <f>#REF! + #REF! + #REF! + #REF!</f>
        <v>#REF!</v>
      </c>
    </row>
    <row r="2087" spans="1:34" x14ac:dyDescent="0.35">
      <c r="A2087">
        <v>2086</v>
      </c>
      <c r="B2087" t="s">
        <v>36</v>
      </c>
      <c r="C2087">
        <v>137</v>
      </c>
      <c r="D2087" t="s">
        <v>28</v>
      </c>
      <c r="E2087" t="s">
        <v>22</v>
      </c>
      <c r="F2087" t="s">
        <v>22</v>
      </c>
      <c r="G2087">
        <v>0</v>
      </c>
      <c r="H2087">
        <v>109.8</v>
      </c>
      <c r="I2087">
        <v>120</v>
      </c>
      <c r="J2087">
        <v>18.670000000000002</v>
      </c>
      <c r="K2087">
        <v>230.5</v>
      </c>
      <c r="L2087">
        <v>86</v>
      </c>
      <c r="M2087">
        <v>19.59</v>
      </c>
      <c r="N2087">
        <v>255.8</v>
      </c>
      <c r="O2087">
        <v>103</v>
      </c>
      <c r="P2087">
        <v>11.51</v>
      </c>
      <c r="Q2087">
        <v>11.9</v>
      </c>
      <c r="R2087">
        <v>6</v>
      </c>
      <c r="S2087">
        <v>3.21</v>
      </c>
      <c r="T2087">
        <v>1</v>
      </c>
      <c r="U2087" t="s">
        <v>22</v>
      </c>
      <c r="V2087" t="e">
        <f>IF(#REF! = "yes", 1, 0)</f>
        <v>#REF!</v>
      </c>
      <c r="W2087" t="e">
        <f>IF(#REF! &lt;= 1, "0-1 Calls", IF(#REF! &lt;= 3, "2-3 Calls", IF(#REF! &lt;=5, "4-5 Calls", "6+ Calls")))</f>
        <v>#REF!</v>
      </c>
      <c r="X2087" t="e">
        <f>IF(#REF! &lt;= 50, "0-50", IF(#REF! &lt;=100, "51-100", IF(#REF! &lt;= 150, "101-150", "151+")))</f>
        <v>#REF!</v>
      </c>
      <c r="Y2087" t="e">
        <f>IF(#REF! &lt;= 3, "Low Charges", "High Charges")</f>
        <v>#REF!</v>
      </c>
      <c r="Z2087" t="e">
        <f>IF(#REF!&lt;=80,"Low Calls",
IF(#REF!&lt;=120,"Medium Calls","High Calls"))</f>
        <v>#REF!</v>
      </c>
      <c r="AA2087" t="e">
        <f>IF(#REF!&lt;=15,"Low Charges",
IF(#REF!&lt;=20,"Medium Charges","High Charges"))</f>
        <v>#REF!</v>
      </c>
      <c r="AB2087" t="e">
        <f>IF(AND(#REF!&gt;180, #REF!&gt;200), "Heavy Doemstic User", IF(#REF!&gt;10, "Interntional User", IF(AND(#REF!&lt;180, #REF!&lt;200,#REF!&lt;200), "Light User", "Balanced User")))</f>
        <v>#REF!</v>
      </c>
      <c r="AC2087" t="e">
        <f>IF(#REF! = 0, "No Usage", IF(#REF! &lt;= 20, "Low Usage", IF(#REF! &lt;= 40, "Medium Usgae", "High Usage")))</f>
        <v>#REF!</v>
      </c>
      <c r="AD2087" t="e">
        <f>IF(#REF!&lt;=150,"Low Usage", IF(#REF!&lt;=200,"Medium Usage", IF(#REF!&lt;=250,"High Usage","Very High Usage")))</f>
        <v>#REF!</v>
      </c>
      <c r="AE2087" t="e">
        <f>IF(#REF!&lt;=5,"Low Calls", IF(#REF!&lt;=10, "Medium Calls", "High Calls"))</f>
        <v>#REF!</v>
      </c>
      <c r="AF2087" t="e">
        <f xml:space="preserve">
IF(#REF!&gt;=4,4,0)+
IF(#REF!="yes",3,0)+
IF(#REF!="High Charges",3,0)+
IF(#REF!&gt;250,4,0)+
IF(#REF!="no",1,0)+
IF(#REF!="Heavy Domestic User",2,0)</f>
        <v>#REF!</v>
      </c>
      <c r="AG2087" t="e">
        <f>IF(#REF!&gt;=10,"High Risk", IF(#REF!&gt;=5,"Medium Risk","Low Risk"))</f>
        <v>#REF!</v>
      </c>
      <c r="AH2087" t="e">
        <f>#REF! + #REF! + #REF! + #REF!</f>
        <v>#REF!</v>
      </c>
    </row>
    <row r="2088" spans="1:34" x14ac:dyDescent="0.35">
      <c r="A2088">
        <v>2087</v>
      </c>
      <c r="B2088" t="s">
        <v>20</v>
      </c>
      <c r="C2088">
        <v>135</v>
      </c>
      <c r="D2088" t="s">
        <v>21</v>
      </c>
      <c r="E2088" t="s">
        <v>22</v>
      </c>
      <c r="F2088" t="s">
        <v>22</v>
      </c>
      <c r="G2088">
        <v>0</v>
      </c>
      <c r="H2088">
        <v>173.4</v>
      </c>
      <c r="I2088">
        <v>107</v>
      </c>
      <c r="J2088">
        <v>29.48</v>
      </c>
      <c r="K2088">
        <v>222</v>
      </c>
      <c r="L2088">
        <v>84</v>
      </c>
      <c r="M2088">
        <v>18.87</v>
      </c>
      <c r="N2088">
        <v>64.2</v>
      </c>
      <c r="O2088">
        <v>94</v>
      </c>
      <c r="P2088">
        <v>2.89</v>
      </c>
      <c r="Q2088">
        <v>13.7</v>
      </c>
      <c r="R2088">
        <v>6</v>
      </c>
      <c r="S2088">
        <v>3.7</v>
      </c>
      <c r="T2088">
        <v>1</v>
      </c>
      <c r="U2088" t="s">
        <v>22</v>
      </c>
      <c r="V2088" t="e">
        <f>IF(#REF! = "yes", 1, 0)</f>
        <v>#REF!</v>
      </c>
      <c r="W2088" t="e">
        <f>IF(#REF! &lt;= 1, "0-1 Calls", IF(#REF! &lt;= 3, "2-3 Calls", IF(#REF! &lt;=5, "4-5 Calls", "6+ Calls")))</f>
        <v>#REF!</v>
      </c>
      <c r="X2088" t="e">
        <f>IF(#REF! &lt;= 50, "0-50", IF(#REF! &lt;=100, "51-100", IF(#REF! &lt;= 150, "101-150", "151+")))</f>
        <v>#REF!</v>
      </c>
      <c r="Y2088" t="e">
        <f>IF(#REF! &lt;= 3, "Low Charges", "High Charges")</f>
        <v>#REF!</v>
      </c>
      <c r="Z2088" t="e">
        <f>IF(#REF!&lt;=80,"Low Calls",
IF(#REF!&lt;=120,"Medium Calls","High Calls"))</f>
        <v>#REF!</v>
      </c>
      <c r="AA2088" t="e">
        <f>IF(#REF!&lt;=15,"Low Charges",
IF(#REF!&lt;=20,"Medium Charges","High Charges"))</f>
        <v>#REF!</v>
      </c>
      <c r="AB2088" t="e">
        <f>IF(AND(#REF!&gt;180, #REF!&gt;200), "Heavy Doemstic User", IF(#REF!&gt;10, "Interntional User", IF(AND(#REF!&lt;180, #REF!&lt;200,#REF!&lt;200), "Light User", "Balanced User")))</f>
        <v>#REF!</v>
      </c>
      <c r="AC2088" t="e">
        <f>IF(#REF! = 0, "No Usage", IF(#REF! &lt;= 20, "Low Usage", IF(#REF! &lt;= 40, "Medium Usgae", "High Usage")))</f>
        <v>#REF!</v>
      </c>
      <c r="AD2088" t="e">
        <f>IF(#REF!&lt;=150,"Low Usage", IF(#REF!&lt;=200,"Medium Usage", IF(#REF!&lt;=250,"High Usage","Very High Usage")))</f>
        <v>#REF!</v>
      </c>
      <c r="AE2088" t="e">
        <f>IF(#REF!&lt;=5,"Low Calls", IF(#REF!&lt;=10, "Medium Calls", "High Calls"))</f>
        <v>#REF!</v>
      </c>
      <c r="AF2088" t="e">
        <f xml:space="preserve">
IF(#REF!&gt;=4,4,0)+
IF(#REF!="yes",3,0)+
IF(#REF!="High Charges",3,0)+
IF(#REF!&gt;250,4,0)+
IF(#REF!="no",1,0)+
IF(#REF!="Heavy Domestic User",2,0)</f>
        <v>#REF!</v>
      </c>
      <c r="AG2088" t="e">
        <f>IF(#REF!&gt;=10,"High Risk", IF(#REF!&gt;=5,"Medium Risk","Low Risk"))</f>
        <v>#REF!</v>
      </c>
      <c r="AH2088" t="e">
        <f>#REF! + #REF! + #REF! + #REF!</f>
        <v>#REF!</v>
      </c>
    </row>
    <row r="2089" spans="1:34" x14ac:dyDescent="0.35">
      <c r="A2089">
        <v>2088</v>
      </c>
      <c r="B2089" t="s">
        <v>45</v>
      </c>
      <c r="C2089">
        <v>134</v>
      </c>
      <c r="D2089" t="s">
        <v>21</v>
      </c>
      <c r="E2089" t="s">
        <v>22</v>
      </c>
      <c r="F2089" t="s">
        <v>23</v>
      </c>
      <c r="G2089">
        <v>38</v>
      </c>
      <c r="H2089">
        <v>214.4</v>
      </c>
      <c r="I2089">
        <v>93</v>
      </c>
      <c r="J2089">
        <v>36.450000000000003</v>
      </c>
      <c r="K2089">
        <v>211.7</v>
      </c>
      <c r="L2089">
        <v>57</v>
      </c>
      <c r="M2089">
        <v>17.989999999999998</v>
      </c>
      <c r="N2089">
        <v>165</v>
      </c>
      <c r="O2089">
        <v>79</v>
      </c>
      <c r="P2089">
        <v>7.43</v>
      </c>
      <c r="Q2089">
        <v>10</v>
      </c>
      <c r="R2089">
        <v>8</v>
      </c>
      <c r="S2089">
        <v>2.7</v>
      </c>
      <c r="T2089">
        <v>1</v>
      </c>
      <c r="U2089" t="s">
        <v>22</v>
      </c>
      <c r="V2089" t="e">
        <f>IF(#REF! = "yes", 1, 0)</f>
        <v>#REF!</v>
      </c>
      <c r="W2089" t="e">
        <f>IF(#REF! &lt;= 1, "0-1 Calls", IF(#REF! &lt;= 3, "2-3 Calls", IF(#REF! &lt;=5, "4-5 Calls", "6+ Calls")))</f>
        <v>#REF!</v>
      </c>
      <c r="X2089" t="e">
        <f>IF(#REF! &lt;= 50, "0-50", IF(#REF! &lt;=100, "51-100", IF(#REF! &lt;= 150, "101-150", "151+")))</f>
        <v>#REF!</v>
      </c>
      <c r="Y2089" t="e">
        <f>IF(#REF! &lt;= 3, "Low Charges", "High Charges")</f>
        <v>#REF!</v>
      </c>
      <c r="Z2089" t="e">
        <f>IF(#REF!&lt;=80,"Low Calls",
IF(#REF!&lt;=120,"Medium Calls","High Calls"))</f>
        <v>#REF!</v>
      </c>
      <c r="AA2089" t="e">
        <f>IF(#REF!&lt;=15,"Low Charges",
IF(#REF!&lt;=20,"Medium Charges","High Charges"))</f>
        <v>#REF!</v>
      </c>
      <c r="AB2089" t="e">
        <f>IF(AND(#REF!&gt;180, #REF!&gt;200), "Heavy Doemstic User", IF(#REF!&gt;10, "Interntional User", IF(AND(#REF!&lt;180, #REF!&lt;200,#REF!&lt;200), "Light User", "Balanced User")))</f>
        <v>#REF!</v>
      </c>
      <c r="AC2089" t="e">
        <f>IF(#REF! = 0, "No Usage", IF(#REF! &lt;= 20, "Low Usage", IF(#REF! &lt;= 40, "Medium Usgae", "High Usage")))</f>
        <v>#REF!</v>
      </c>
      <c r="AD2089" t="e">
        <f>IF(#REF!&lt;=150,"Low Usage", IF(#REF!&lt;=200,"Medium Usage", IF(#REF!&lt;=250,"High Usage","Very High Usage")))</f>
        <v>#REF!</v>
      </c>
      <c r="AE2089" t="e">
        <f>IF(#REF!&lt;=5,"Low Calls", IF(#REF!&lt;=10, "Medium Calls", "High Calls"))</f>
        <v>#REF!</v>
      </c>
      <c r="AF2089" t="e">
        <f xml:space="preserve">
IF(#REF!&gt;=4,4,0)+
IF(#REF!="yes",3,0)+
IF(#REF!="High Charges",3,0)+
IF(#REF!&gt;250,4,0)+
IF(#REF!="no",1,0)+
IF(#REF!="Heavy Domestic User",2,0)</f>
        <v>#REF!</v>
      </c>
      <c r="AG2089" t="e">
        <f>IF(#REF!&gt;=10,"High Risk", IF(#REF!&gt;=5,"Medium Risk","Low Risk"))</f>
        <v>#REF!</v>
      </c>
      <c r="AH2089" t="e">
        <f>#REF! + #REF! + #REF! + #REF!</f>
        <v>#REF!</v>
      </c>
    </row>
    <row r="2090" spans="1:34" x14ac:dyDescent="0.35">
      <c r="A2090">
        <v>2089</v>
      </c>
      <c r="B2090" t="s">
        <v>63</v>
      </c>
      <c r="C2090">
        <v>45</v>
      </c>
      <c r="D2090" t="s">
        <v>21</v>
      </c>
      <c r="E2090" t="s">
        <v>22</v>
      </c>
      <c r="F2090" t="s">
        <v>22</v>
      </c>
      <c r="G2090">
        <v>0</v>
      </c>
      <c r="H2090">
        <v>96.1</v>
      </c>
      <c r="I2090">
        <v>103</v>
      </c>
      <c r="J2090">
        <v>16.34</v>
      </c>
      <c r="K2090">
        <v>246.8</v>
      </c>
      <c r="L2090">
        <v>134</v>
      </c>
      <c r="M2090">
        <v>20.98</v>
      </c>
      <c r="N2090">
        <v>229.7</v>
      </c>
      <c r="O2090">
        <v>92</v>
      </c>
      <c r="P2090">
        <v>10.34</v>
      </c>
      <c r="Q2090">
        <v>9.6999999999999993</v>
      </c>
      <c r="R2090">
        <v>4</v>
      </c>
      <c r="S2090">
        <v>2.62</v>
      </c>
      <c r="T2090">
        <v>1</v>
      </c>
      <c r="U2090" t="s">
        <v>22</v>
      </c>
      <c r="V2090" t="e">
        <f>IF(#REF! = "yes", 1, 0)</f>
        <v>#REF!</v>
      </c>
      <c r="W2090" t="e">
        <f>IF(#REF! &lt;= 1, "0-1 Calls", IF(#REF! &lt;= 3, "2-3 Calls", IF(#REF! &lt;=5, "4-5 Calls", "6+ Calls")))</f>
        <v>#REF!</v>
      </c>
      <c r="X2090" t="e">
        <f>IF(#REF! &lt;= 50, "0-50", IF(#REF! &lt;=100, "51-100", IF(#REF! &lt;= 150, "101-150", "151+")))</f>
        <v>#REF!</v>
      </c>
      <c r="Y2090" t="e">
        <f>IF(#REF! &lt;= 3, "Low Charges", "High Charges")</f>
        <v>#REF!</v>
      </c>
      <c r="Z2090" t="e">
        <f>IF(#REF!&lt;=80,"Low Calls",
IF(#REF!&lt;=120,"Medium Calls","High Calls"))</f>
        <v>#REF!</v>
      </c>
      <c r="AA2090" t="e">
        <f>IF(#REF!&lt;=15,"Low Charges",
IF(#REF!&lt;=20,"Medium Charges","High Charges"))</f>
        <v>#REF!</v>
      </c>
      <c r="AB2090" t="e">
        <f>IF(AND(#REF!&gt;180, #REF!&gt;200), "Heavy Doemstic User", IF(#REF!&gt;10, "Interntional User", IF(AND(#REF!&lt;180, #REF!&lt;200,#REF!&lt;200), "Light User", "Balanced User")))</f>
        <v>#REF!</v>
      </c>
      <c r="AC2090" t="e">
        <f>IF(#REF! = 0, "No Usage", IF(#REF! &lt;= 20, "Low Usage", IF(#REF! &lt;= 40, "Medium Usgae", "High Usage")))</f>
        <v>#REF!</v>
      </c>
      <c r="AD2090" t="e">
        <f>IF(#REF!&lt;=150,"Low Usage", IF(#REF!&lt;=200,"Medium Usage", IF(#REF!&lt;=250,"High Usage","Very High Usage")))</f>
        <v>#REF!</v>
      </c>
      <c r="AE2090" t="e">
        <f>IF(#REF!&lt;=5,"Low Calls", IF(#REF!&lt;=10, "Medium Calls", "High Calls"))</f>
        <v>#REF!</v>
      </c>
      <c r="AF2090" t="e">
        <f xml:space="preserve">
IF(#REF!&gt;=4,4,0)+
IF(#REF!="yes",3,0)+
IF(#REF!="High Charges",3,0)+
IF(#REF!&gt;250,4,0)+
IF(#REF!="no",1,0)+
IF(#REF!="Heavy Domestic User",2,0)</f>
        <v>#REF!</v>
      </c>
      <c r="AG2090" t="e">
        <f>IF(#REF!&gt;=10,"High Risk", IF(#REF!&gt;=5,"Medium Risk","Low Risk"))</f>
        <v>#REF!</v>
      </c>
      <c r="AH2090" t="e">
        <f>#REF! + #REF! + #REF! + #REF!</f>
        <v>#REF!</v>
      </c>
    </row>
    <row r="2091" spans="1:34" x14ac:dyDescent="0.35">
      <c r="A2091">
        <v>2090</v>
      </c>
      <c r="B2091" t="s">
        <v>71</v>
      </c>
      <c r="C2091">
        <v>129</v>
      </c>
      <c r="D2091" t="s">
        <v>25</v>
      </c>
      <c r="E2091" t="s">
        <v>22</v>
      </c>
      <c r="F2091" t="s">
        <v>22</v>
      </c>
      <c r="G2091">
        <v>0</v>
      </c>
      <c r="H2091">
        <v>101.4</v>
      </c>
      <c r="I2091">
        <v>145</v>
      </c>
      <c r="J2091">
        <v>17.239999999999998</v>
      </c>
      <c r="K2091">
        <v>249.1</v>
      </c>
      <c r="L2091">
        <v>116</v>
      </c>
      <c r="M2091">
        <v>21.17</v>
      </c>
      <c r="N2091">
        <v>157.6</v>
      </c>
      <c r="O2091">
        <v>107</v>
      </c>
      <c r="P2091">
        <v>7.09</v>
      </c>
      <c r="Q2091">
        <v>7.1</v>
      </c>
      <c r="R2091">
        <v>6</v>
      </c>
      <c r="S2091">
        <v>1.92</v>
      </c>
      <c r="T2091">
        <v>1</v>
      </c>
      <c r="U2091" t="s">
        <v>22</v>
      </c>
      <c r="V2091" t="e">
        <f>IF(#REF! = "yes", 1, 0)</f>
        <v>#REF!</v>
      </c>
      <c r="W2091" t="e">
        <f>IF(#REF! &lt;= 1, "0-1 Calls", IF(#REF! &lt;= 3, "2-3 Calls", IF(#REF! &lt;=5, "4-5 Calls", "6+ Calls")))</f>
        <v>#REF!</v>
      </c>
      <c r="X2091" t="e">
        <f>IF(#REF! &lt;= 50, "0-50", IF(#REF! &lt;=100, "51-100", IF(#REF! &lt;= 150, "101-150", "151+")))</f>
        <v>#REF!</v>
      </c>
      <c r="Y2091" t="e">
        <f>IF(#REF! &lt;= 3, "Low Charges", "High Charges")</f>
        <v>#REF!</v>
      </c>
      <c r="Z2091" t="e">
        <f>IF(#REF!&lt;=80,"Low Calls",
IF(#REF!&lt;=120,"Medium Calls","High Calls"))</f>
        <v>#REF!</v>
      </c>
      <c r="AA2091" t="e">
        <f>IF(#REF!&lt;=15,"Low Charges",
IF(#REF!&lt;=20,"Medium Charges","High Charges"))</f>
        <v>#REF!</v>
      </c>
      <c r="AB2091" t="e">
        <f>IF(AND(#REF!&gt;180, #REF!&gt;200), "Heavy Doemstic User", IF(#REF!&gt;10, "Interntional User", IF(AND(#REF!&lt;180, #REF!&lt;200,#REF!&lt;200), "Light User", "Balanced User")))</f>
        <v>#REF!</v>
      </c>
      <c r="AC2091" t="e">
        <f>IF(#REF! = 0, "No Usage", IF(#REF! &lt;= 20, "Low Usage", IF(#REF! &lt;= 40, "Medium Usgae", "High Usage")))</f>
        <v>#REF!</v>
      </c>
      <c r="AD2091" t="e">
        <f>IF(#REF!&lt;=150,"Low Usage", IF(#REF!&lt;=200,"Medium Usage", IF(#REF!&lt;=250,"High Usage","Very High Usage")))</f>
        <v>#REF!</v>
      </c>
      <c r="AE2091" t="e">
        <f>IF(#REF!&lt;=5,"Low Calls", IF(#REF!&lt;=10, "Medium Calls", "High Calls"))</f>
        <v>#REF!</v>
      </c>
      <c r="AF2091" t="e">
        <f xml:space="preserve">
IF(#REF!&gt;=4,4,0)+
IF(#REF!="yes",3,0)+
IF(#REF!="High Charges",3,0)+
IF(#REF!&gt;250,4,0)+
IF(#REF!="no",1,0)+
IF(#REF!="Heavy Domestic User",2,0)</f>
        <v>#REF!</v>
      </c>
      <c r="AG2091" t="e">
        <f>IF(#REF!&gt;=10,"High Risk", IF(#REF!&gt;=5,"Medium Risk","Low Risk"))</f>
        <v>#REF!</v>
      </c>
      <c r="AH2091" t="e">
        <f>#REF! + #REF! + #REF! + #REF!</f>
        <v>#REF!</v>
      </c>
    </row>
    <row r="2092" spans="1:34" x14ac:dyDescent="0.35">
      <c r="A2092">
        <v>2091</v>
      </c>
      <c r="B2092" t="s">
        <v>64</v>
      </c>
      <c r="C2092">
        <v>142</v>
      </c>
      <c r="D2092" t="s">
        <v>21</v>
      </c>
      <c r="E2092" t="s">
        <v>22</v>
      </c>
      <c r="F2092" t="s">
        <v>22</v>
      </c>
      <c r="G2092">
        <v>0</v>
      </c>
      <c r="H2092">
        <v>232.5</v>
      </c>
      <c r="I2092">
        <v>74</v>
      </c>
      <c r="J2092">
        <v>39.53</v>
      </c>
      <c r="K2092">
        <v>181.8</v>
      </c>
      <c r="L2092">
        <v>142</v>
      </c>
      <c r="M2092">
        <v>15.45</v>
      </c>
      <c r="N2092">
        <v>203.1</v>
      </c>
      <c r="O2092">
        <v>86</v>
      </c>
      <c r="P2092">
        <v>9.14</v>
      </c>
      <c r="Q2092">
        <v>10.4</v>
      </c>
      <c r="R2092">
        <v>6</v>
      </c>
      <c r="S2092">
        <v>2.81</v>
      </c>
      <c r="T2092">
        <v>4</v>
      </c>
      <c r="U2092" t="s">
        <v>22</v>
      </c>
      <c r="V2092" t="e">
        <f>IF(#REF! = "yes", 1, 0)</f>
        <v>#REF!</v>
      </c>
      <c r="W2092" t="e">
        <f>IF(#REF! &lt;= 1, "0-1 Calls", IF(#REF! &lt;= 3, "2-3 Calls", IF(#REF! &lt;=5, "4-5 Calls", "6+ Calls")))</f>
        <v>#REF!</v>
      </c>
      <c r="X2092" t="e">
        <f>IF(#REF! &lt;= 50, "0-50", IF(#REF! &lt;=100, "51-100", IF(#REF! &lt;= 150, "101-150", "151+")))</f>
        <v>#REF!</v>
      </c>
      <c r="Y2092" t="e">
        <f>IF(#REF! &lt;= 3, "Low Charges", "High Charges")</f>
        <v>#REF!</v>
      </c>
      <c r="Z2092" t="e">
        <f>IF(#REF!&lt;=80,"Low Calls",
IF(#REF!&lt;=120,"Medium Calls","High Calls"))</f>
        <v>#REF!</v>
      </c>
      <c r="AA2092" t="e">
        <f>IF(#REF!&lt;=15,"Low Charges",
IF(#REF!&lt;=20,"Medium Charges","High Charges"))</f>
        <v>#REF!</v>
      </c>
      <c r="AB2092" t="e">
        <f>IF(AND(#REF!&gt;180, #REF!&gt;200), "Heavy Doemstic User", IF(#REF!&gt;10, "Interntional User", IF(AND(#REF!&lt;180, #REF!&lt;200,#REF!&lt;200), "Light User", "Balanced User")))</f>
        <v>#REF!</v>
      </c>
      <c r="AC2092" t="e">
        <f>IF(#REF! = 0, "No Usage", IF(#REF! &lt;= 20, "Low Usage", IF(#REF! &lt;= 40, "Medium Usgae", "High Usage")))</f>
        <v>#REF!</v>
      </c>
      <c r="AD2092" t="e">
        <f>IF(#REF!&lt;=150,"Low Usage", IF(#REF!&lt;=200,"Medium Usage", IF(#REF!&lt;=250,"High Usage","Very High Usage")))</f>
        <v>#REF!</v>
      </c>
      <c r="AE2092" t="e">
        <f>IF(#REF!&lt;=5,"Low Calls", IF(#REF!&lt;=10, "Medium Calls", "High Calls"))</f>
        <v>#REF!</v>
      </c>
      <c r="AF2092" t="e">
        <f xml:space="preserve">
IF(#REF!&gt;=4,4,0)+
IF(#REF!="yes",3,0)+
IF(#REF!="High Charges",3,0)+
IF(#REF!&gt;250,4,0)+
IF(#REF!="no",1,0)+
IF(#REF!="Heavy Domestic User",2,0)</f>
        <v>#REF!</v>
      </c>
      <c r="AG2092" t="e">
        <f>IF(#REF!&gt;=10,"High Risk", IF(#REF!&gt;=5,"Medium Risk","Low Risk"))</f>
        <v>#REF!</v>
      </c>
      <c r="AH2092" t="e">
        <f>#REF! + #REF! + #REF! + #REF!</f>
        <v>#REF!</v>
      </c>
    </row>
    <row r="2093" spans="1:34" x14ac:dyDescent="0.35">
      <c r="A2093">
        <v>2092</v>
      </c>
      <c r="B2093" t="s">
        <v>49</v>
      </c>
      <c r="C2093">
        <v>130</v>
      </c>
      <c r="D2093" t="s">
        <v>21</v>
      </c>
      <c r="E2093" t="s">
        <v>22</v>
      </c>
      <c r="F2093" t="s">
        <v>23</v>
      </c>
      <c r="G2093">
        <v>45</v>
      </c>
      <c r="H2093">
        <v>174.5</v>
      </c>
      <c r="I2093">
        <v>120</v>
      </c>
      <c r="J2093">
        <v>29.67</v>
      </c>
      <c r="K2093">
        <v>217.5</v>
      </c>
      <c r="L2093">
        <v>95</v>
      </c>
      <c r="M2093">
        <v>18.489999999999998</v>
      </c>
      <c r="N2093">
        <v>220.3</v>
      </c>
      <c r="O2093">
        <v>67</v>
      </c>
      <c r="P2093">
        <v>9.91</v>
      </c>
      <c r="Q2093">
        <v>12.2</v>
      </c>
      <c r="R2093">
        <v>2</v>
      </c>
      <c r="S2093">
        <v>3.29</v>
      </c>
      <c r="T2093">
        <v>1</v>
      </c>
      <c r="U2093" t="s">
        <v>22</v>
      </c>
      <c r="V2093" t="e">
        <f>IF(#REF! = "yes", 1, 0)</f>
        <v>#REF!</v>
      </c>
      <c r="W2093" t="e">
        <f>IF(#REF! &lt;= 1, "0-1 Calls", IF(#REF! &lt;= 3, "2-3 Calls", IF(#REF! &lt;=5, "4-5 Calls", "6+ Calls")))</f>
        <v>#REF!</v>
      </c>
      <c r="X2093" t="e">
        <f>IF(#REF! &lt;= 50, "0-50", IF(#REF! &lt;=100, "51-100", IF(#REF! &lt;= 150, "101-150", "151+")))</f>
        <v>#REF!</v>
      </c>
      <c r="Y2093" t="e">
        <f>IF(#REF! &lt;= 3, "Low Charges", "High Charges")</f>
        <v>#REF!</v>
      </c>
      <c r="Z2093" t="e">
        <f>IF(#REF!&lt;=80,"Low Calls",
IF(#REF!&lt;=120,"Medium Calls","High Calls"))</f>
        <v>#REF!</v>
      </c>
      <c r="AA2093" t="e">
        <f>IF(#REF!&lt;=15,"Low Charges",
IF(#REF!&lt;=20,"Medium Charges","High Charges"))</f>
        <v>#REF!</v>
      </c>
      <c r="AB2093" t="e">
        <f>IF(AND(#REF!&gt;180, #REF!&gt;200), "Heavy Doemstic User", IF(#REF!&gt;10, "Interntional User", IF(AND(#REF!&lt;180, #REF!&lt;200,#REF!&lt;200), "Light User", "Balanced User")))</f>
        <v>#REF!</v>
      </c>
      <c r="AC2093" t="e">
        <f>IF(#REF! = 0, "No Usage", IF(#REF! &lt;= 20, "Low Usage", IF(#REF! &lt;= 40, "Medium Usgae", "High Usage")))</f>
        <v>#REF!</v>
      </c>
      <c r="AD2093" t="e">
        <f>IF(#REF!&lt;=150,"Low Usage", IF(#REF!&lt;=200,"Medium Usage", IF(#REF!&lt;=250,"High Usage","Very High Usage")))</f>
        <v>#REF!</v>
      </c>
      <c r="AE2093" t="e">
        <f>IF(#REF!&lt;=5,"Low Calls", IF(#REF!&lt;=10, "Medium Calls", "High Calls"))</f>
        <v>#REF!</v>
      </c>
      <c r="AF2093" t="e">
        <f xml:space="preserve">
IF(#REF!&gt;=4,4,0)+
IF(#REF!="yes",3,0)+
IF(#REF!="High Charges",3,0)+
IF(#REF!&gt;250,4,0)+
IF(#REF!="no",1,0)+
IF(#REF!="Heavy Domestic User",2,0)</f>
        <v>#REF!</v>
      </c>
      <c r="AG2093" t="e">
        <f>IF(#REF!&gt;=10,"High Risk", IF(#REF!&gt;=5,"Medium Risk","Low Risk"))</f>
        <v>#REF!</v>
      </c>
      <c r="AH2093" t="e">
        <f>#REF! + #REF! + #REF! + #REF!</f>
        <v>#REF!</v>
      </c>
    </row>
    <row r="2094" spans="1:34" x14ac:dyDescent="0.35">
      <c r="A2094">
        <v>2093</v>
      </c>
      <c r="B2094" t="s">
        <v>45</v>
      </c>
      <c r="C2094">
        <v>105</v>
      </c>
      <c r="D2094" t="s">
        <v>21</v>
      </c>
      <c r="E2094" t="s">
        <v>22</v>
      </c>
      <c r="F2094" t="s">
        <v>22</v>
      </c>
      <c r="G2094">
        <v>0</v>
      </c>
      <c r="H2094">
        <v>211.1</v>
      </c>
      <c r="I2094">
        <v>99</v>
      </c>
      <c r="J2094">
        <v>35.89</v>
      </c>
      <c r="K2094">
        <v>176.7</v>
      </c>
      <c r="L2094">
        <v>66</v>
      </c>
      <c r="M2094">
        <v>15.02</v>
      </c>
      <c r="N2094">
        <v>221.5</v>
      </c>
      <c r="O2094">
        <v>96</v>
      </c>
      <c r="P2094">
        <v>9.9700000000000006</v>
      </c>
      <c r="Q2094">
        <v>14.7</v>
      </c>
      <c r="R2094">
        <v>7</v>
      </c>
      <c r="S2094">
        <v>3.97</v>
      </c>
      <c r="T2094">
        <v>4</v>
      </c>
      <c r="U2094" t="s">
        <v>22</v>
      </c>
      <c r="V2094" t="e">
        <f>IF(#REF! = "yes", 1, 0)</f>
        <v>#REF!</v>
      </c>
      <c r="W2094" t="e">
        <f>IF(#REF! &lt;= 1, "0-1 Calls", IF(#REF! &lt;= 3, "2-3 Calls", IF(#REF! &lt;=5, "4-5 Calls", "6+ Calls")))</f>
        <v>#REF!</v>
      </c>
      <c r="X2094" t="e">
        <f>IF(#REF! &lt;= 50, "0-50", IF(#REF! &lt;=100, "51-100", IF(#REF! &lt;= 150, "101-150", "151+")))</f>
        <v>#REF!</v>
      </c>
      <c r="Y2094" t="e">
        <f>IF(#REF! &lt;= 3, "Low Charges", "High Charges")</f>
        <v>#REF!</v>
      </c>
      <c r="Z2094" t="e">
        <f>IF(#REF!&lt;=80,"Low Calls",
IF(#REF!&lt;=120,"Medium Calls","High Calls"))</f>
        <v>#REF!</v>
      </c>
      <c r="AA2094" t="e">
        <f>IF(#REF!&lt;=15,"Low Charges",
IF(#REF!&lt;=20,"Medium Charges","High Charges"))</f>
        <v>#REF!</v>
      </c>
      <c r="AB2094" t="e">
        <f>IF(AND(#REF!&gt;180, #REF!&gt;200), "Heavy Doemstic User", IF(#REF!&gt;10, "Interntional User", IF(AND(#REF!&lt;180, #REF!&lt;200,#REF!&lt;200), "Light User", "Balanced User")))</f>
        <v>#REF!</v>
      </c>
      <c r="AC2094" t="e">
        <f>IF(#REF! = 0, "No Usage", IF(#REF! &lt;= 20, "Low Usage", IF(#REF! &lt;= 40, "Medium Usgae", "High Usage")))</f>
        <v>#REF!</v>
      </c>
      <c r="AD2094" t="e">
        <f>IF(#REF!&lt;=150,"Low Usage", IF(#REF!&lt;=200,"Medium Usage", IF(#REF!&lt;=250,"High Usage","Very High Usage")))</f>
        <v>#REF!</v>
      </c>
      <c r="AE2094" t="e">
        <f>IF(#REF!&lt;=5,"Low Calls", IF(#REF!&lt;=10, "Medium Calls", "High Calls"))</f>
        <v>#REF!</v>
      </c>
      <c r="AF2094" t="e">
        <f xml:space="preserve">
IF(#REF!&gt;=4,4,0)+
IF(#REF!="yes",3,0)+
IF(#REF!="High Charges",3,0)+
IF(#REF!&gt;250,4,0)+
IF(#REF!="no",1,0)+
IF(#REF!="Heavy Domestic User",2,0)</f>
        <v>#REF!</v>
      </c>
      <c r="AG2094" t="e">
        <f>IF(#REF!&gt;=10,"High Risk", IF(#REF!&gt;=5,"Medium Risk","Low Risk"))</f>
        <v>#REF!</v>
      </c>
      <c r="AH2094" t="e">
        <f>#REF! + #REF! + #REF! + #REF!</f>
        <v>#REF!</v>
      </c>
    </row>
    <row r="2095" spans="1:34" x14ac:dyDescent="0.35">
      <c r="A2095">
        <v>2094</v>
      </c>
      <c r="B2095" t="s">
        <v>40</v>
      </c>
      <c r="C2095">
        <v>119</v>
      </c>
      <c r="D2095" t="s">
        <v>21</v>
      </c>
      <c r="E2095" t="s">
        <v>22</v>
      </c>
      <c r="F2095" t="s">
        <v>22</v>
      </c>
      <c r="G2095">
        <v>0</v>
      </c>
      <c r="H2095">
        <v>109.2</v>
      </c>
      <c r="I2095">
        <v>96</v>
      </c>
      <c r="J2095">
        <v>18.559999999999999</v>
      </c>
      <c r="K2095">
        <v>153.1</v>
      </c>
      <c r="L2095">
        <v>80</v>
      </c>
      <c r="M2095">
        <v>13.01</v>
      </c>
      <c r="N2095">
        <v>240</v>
      </c>
      <c r="O2095">
        <v>102</v>
      </c>
      <c r="P2095">
        <v>10.8</v>
      </c>
      <c r="Q2095">
        <v>9.8000000000000007</v>
      </c>
      <c r="R2095">
        <v>5</v>
      </c>
      <c r="S2095">
        <v>2.65</v>
      </c>
      <c r="T2095">
        <v>2</v>
      </c>
      <c r="U2095" t="s">
        <v>22</v>
      </c>
      <c r="V2095" t="e">
        <f>IF(#REF! = "yes", 1, 0)</f>
        <v>#REF!</v>
      </c>
      <c r="W2095" t="e">
        <f>IF(#REF! &lt;= 1, "0-1 Calls", IF(#REF! &lt;= 3, "2-3 Calls", IF(#REF! &lt;=5, "4-5 Calls", "6+ Calls")))</f>
        <v>#REF!</v>
      </c>
      <c r="X2095" t="e">
        <f>IF(#REF! &lt;= 50, "0-50", IF(#REF! &lt;=100, "51-100", IF(#REF! &lt;= 150, "101-150", "151+")))</f>
        <v>#REF!</v>
      </c>
      <c r="Y2095" t="e">
        <f>IF(#REF! &lt;= 3, "Low Charges", "High Charges")</f>
        <v>#REF!</v>
      </c>
      <c r="Z2095" t="e">
        <f>IF(#REF!&lt;=80,"Low Calls",
IF(#REF!&lt;=120,"Medium Calls","High Calls"))</f>
        <v>#REF!</v>
      </c>
      <c r="AA2095" t="e">
        <f>IF(#REF!&lt;=15,"Low Charges",
IF(#REF!&lt;=20,"Medium Charges","High Charges"))</f>
        <v>#REF!</v>
      </c>
      <c r="AB2095" t="e">
        <f>IF(AND(#REF!&gt;180, #REF!&gt;200), "Heavy Doemstic User", IF(#REF!&gt;10, "Interntional User", IF(AND(#REF!&lt;180, #REF!&lt;200,#REF!&lt;200), "Light User", "Balanced User")))</f>
        <v>#REF!</v>
      </c>
      <c r="AC2095" t="e">
        <f>IF(#REF! = 0, "No Usage", IF(#REF! &lt;= 20, "Low Usage", IF(#REF! &lt;= 40, "Medium Usgae", "High Usage")))</f>
        <v>#REF!</v>
      </c>
      <c r="AD2095" t="e">
        <f>IF(#REF!&lt;=150,"Low Usage", IF(#REF!&lt;=200,"Medium Usage", IF(#REF!&lt;=250,"High Usage","Very High Usage")))</f>
        <v>#REF!</v>
      </c>
      <c r="AE2095" t="e">
        <f>IF(#REF!&lt;=5,"Low Calls", IF(#REF!&lt;=10, "Medium Calls", "High Calls"))</f>
        <v>#REF!</v>
      </c>
      <c r="AF2095" t="e">
        <f xml:space="preserve">
IF(#REF!&gt;=4,4,0)+
IF(#REF!="yes",3,0)+
IF(#REF!="High Charges",3,0)+
IF(#REF!&gt;250,4,0)+
IF(#REF!="no",1,0)+
IF(#REF!="Heavy Domestic User",2,0)</f>
        <v>#REF!</v>
      </c>
      <c r="AG2095" t="e">
        <f>IF(#REF!&gt;=10,"High Risk", IF(#REF!&gt;=5,"Medium Risk","Low Risk"))</f>
        <v>#REF!</v>
      </c>
      <c r="AH2095" t="e">
        <f>#REF! + #REF! + #REF! + #REF!</f>
        <v>#REF!</v>
      </c>
    </row>
    <row r="2096" spans="1:34" x14ac:dyDescent="0.35">
      <c r="A2096">
        <v>2095</v>
      </c>
      <c r="B2096" t="s">
        <v>44</v>
      </c>
      <c r="C2096">
        <v>78</v>
      </c>
      <c r="D2096" t="s">
        <v>25</v>
      </c>
      <c r="E2096" t="s">
        <v>22</v>
      </c>
      <c r="F2096" t="s">
        <v>22</v>
      </c>
      <c r="G2096">
        <v>0</v>
      </c>
      <c r="H2096">
        <v>220</v>
      </c>
      <c r="I2096">
        <v>95</v>
      </c>
      <c r="J2096">
        <v>37.4</v>
      </c>
      <c r="K2096">
        <v>179.9</v>
      </c>
      <c r="L2096">
        <v>121</v>
      </c>
      <c r="M2096">
        <v>15.29</v>
      </c>
      <c r="N2096">
        <v>188.2</v>
      </c>
      <c r="O2096">
        <v>109</v>
      </c>
      <c r="P2096">
        <v>8.4700000000000006</v>
      </c>
      <c r="Q2096">
        <v>11.5</v>
      </c>
      <c r="R2096">
        <v>5</v>
      </c>
      <c r="S2096">
        <v>3.11</v>
      </c>
      <c r="T2096">
        <v>0</v>
      </c>
      <c r="U2096" t="s">
        <v>22</v>
      </c>
      <c r="V2096" t="e">
        <f>IF(#REF! = "yes", 1, 0)</f>
        <v>#REF!</v>
      </c>
      <c r="W2096" t="e">
        <f>IF(#REF! &lt;= 1, "0-1 Calls", IF(#REF! &lt;= 3, "2-3 Calls", IF(#REF! &lt;=5, "4-5 Calls", "6+ Calls")))</f>
        <v>#REF!</v>
      </c>
      <c r="X2096" t="e">
        <f>IF(#REF! &lt;= 50, "0-50", IF(#REF! &lt;=100, "51-100", IF(#REF! &lt;= 150, "101-150", "151+")))</f>
        <v>#REF!</v>
      </c>
      <c r="Y2096" t="e">
        <f>IF(#REF! &lt;= 3, "Low Charges", "High Charges")</f>
        <v>#REF!</v>
      </c>
      <c r="Z2096" t="e">
        <f>IF(#REF!&lt;=80,"Low Calls",
IF(#REF!&lt;=120,"Medium Calls","High Calls"))</f>
        <v>#REF!</v>
      </c>
      <c r="AA2096" t="e">
        <f>IF(#REF!&lt;=15,"Low Charges",
IF(#REF!&lt;=20,"Medium Charges","High Charges"))</f>
        <v>#REF!</v>
      </c>
      <c r="AB2096" t="e">
        <f>IF(AND(#REF!&gt;180, #REF!&gt;200), "Heavy Doemstic User", IF(#REF!&gt;10, "Interntional User", IF(AND(#REF!&lt;180, #REF!&lt;200,#REF!&lt;200), "Light User", "Balanced User")))</f>
        <v>#REF!</v>
      </c>
      <c r="AC2096" t="e">
        <f>IF(#REF! = 0, "No Usage", IF(#REF! &lt;= 20, "Low Usage", IF(#REF! &lt;= 40, "Medium Usgae", "High Usage")))</f>
        <v>#REF!</v>
      </c>
      <c r="AD2096" t="e">
        <f>IF(#REF!&lt;=150,"Low Usage", IF(#REF!&lt;=200,"Medium Usage", IF(#REF!&lt;=250,"High Usage","Very High Usage")))</f>
        <v>#REF!</v>
      </c>
      <c r="AE2096" t="e">
        <f>IF(#REF!&lt;=5,"Low Calls", IF(#REF!&lt;=10, "Medium Calls", "High Calls"))</f>
        <v>#REF!</v>
      </c>
      <c r="AF2096" t="e">
        <f xml:space="preserve">
IF(#REF!&gt;=4,4,0)+
IF(#REF!="yes",3,0)+
IF(#REF!="High Charges",3,0)+
IF(#REF!&gt;250,4,0)+
IF(#REF!="no",1,0)+
IF(#REF!="Heavy Domestic User",2,0)</f>
        <v>#REF!</v>
      </c>
      <c r="AG2096" t="e">
        <f>IF(#REF!&gt;=10,"High Risk", IF(#REF!&gt;=5,"Medium Risk","Low Risk"))</f>
        <v>#REF!</v>
      </c>
      <c r="AH2096" t="e">
        <f>#REF! + #REF! + #REF! + #REF!</f>
        <v>#REF!</v>
      </c>
    </row>
    <row r="2097" spans="1:34" x14ac:dyDescent="0.35">
      <c r="A2097">
        <v>2096</v>
      </c>
      <c r="B2097" t="s">
        <v>69</v>
      </c>
      <c r="C2097">
        <v>92</v>
      </c>
      <c r="D2097" t="s">
        <v>21</v>
      </c>
      <c r="E2097" t="s">
        <v>22</v>
      </c>
      <c r="F2097" t="s">
        <v>22</v>
      </c>
      <c r="G2097">
        <v>0</v>
      </c>
      <c r="H2097">
        <v>181.4</v>
      </c>
      <c r="I2097">
        <v>98</v>
      </c>
      <c r="J2097">
        <v>30.84</v>
      </c>
      <c r="K2097">
        <v>164.5</v>
      </c>
      <c r="L2097">
        <v>98</v>
      </c>
      <c r="M2097">
        <v>13.98</v>
      </c>
      <c r="N2097">
        <v>171</v>
      </c>
      <c r="O2097">
        <v>110</v>
      </c>
      <c r="P2097">
        <v>7.69</v>
      </c>
      <c r="Q2097">
        <v>10.9</v>
      </c>
      <c r="R2097">
        <v>4</v>
      </c>
      <c r="S2097">
        <v>2.94</v>
      </c>
      <c r="T2097">
        <v>2</v>
      </c>
      <c r="U2097" t="s">
        <v>22</v>
      </c>
      <c r="V2097" t="e">
        <f>IF(#REF! = "yes", 1, 0)</f>
        <v>#REF!</v>
      </c>
      <c r="W2097" t="e">
        <f>IF(#REF! &lt;= 1, "0-1 Calls", IF(#REF! &lt;= 3, "2-3 Calls", IF(#REF! &lt;=5, "4-5 Calls", "6+ Calls")))</f>
        <v>#REF!</v>
      </c>
      <c r="X2097" t="e">
        <f>IF(#REF! &lt;= 50, "0-50", IF(#REF! &lt;=100, "51-100", IF(#REF! &lt;= 150, "101-150", "151+")))</f>
        <v>#REF!</v>
      </c>
      <c r="Y2097" t="e">
        <f>IF(#REF! &lt;= 3, "Low Charges", "High Charges")</f>
        <v>#REF!</v>
      </c>
      <c r="Z2097" t="e">
        <f>IF(#REF!&lt;=80,"Low Calls",
IF(#REF!&lt;=120,"Medium Calls","High Calls"))</f>
        <v>#REF!</v>
      </c>
      <c r="AA2097" t="e">
        <f>IF(#REF!&lt;=15,"Low Charges",
IF(#REF!&lt;=20,"Medium Charges","High Charges"))</f>
        <v>#REF!</v>
      </c>
      <c r="AB2097" t="e">
        <f>IF(AND(#REF!&gt;180, #REF!&gt;200), "Heavy Doemstic User", IF(#REF!&gt;10, "Interntional User", IF(AND(#REF!&lt;180, #REF!&lt;200,#REF!&lt;200), "Light User", "Balanced User")))</f>
        <v>#REF!</v>
      </c>
      <c r="AC2097" t="e">
        <f>IF(#REF! = 0, "No Usage", IF(#REF! &lt;= 20, "Low Usage", IF(#REF! &lt;= 40, "Medium Usgae", "High Usage")))</f>
        <v>#REF!</v>
      </c>
      <c r="AD2097" t="e">
        <f>IF(#REF!&lt;=150,"Low Usage", IF(#REF!&lt;=200,"Medium Usage", IF(#REF!&lt;=250,"High Usage","Very High Usage")))</f>
        <v>#REF!</v>
      </c>
      <c r="AE2097" t="e">
        <f>IF(#REF!&lt;=5,"Low Calls", IF(#REF!&lt;=10, "Medium Calls", "High Calls"))</f>
        <v>#REF!</v>
      </c>
      <c r="AF2097" t="e">
        <f xml:space="preserve">
IF(#REF!&gt;=4,4,0)+
IF(#REF!="yes",3,0)+
IF(#REF!="High Charges",3,0)+
IF(#REF!&gt;250,4,0)+
IF(#REF!="no",1,0)+
IF(#REF!="Heavy Domestic User",2,0)</f>
        <v>#REF!</v>
      </c>
      <c r="AG2097" t="e">
        <f>IF(#REF!&gt;=10,"High Risk", IF(#REF!&gt;=5,"Medium Risk","Low Risk"))</f>
        <v>#REF!</v>
      </c>
      <c r="AH2097" t="e">
        <f>#REF! + #REF! + #REF! + #REF!</f>
        <v>#REF!</v>
      </c>
    </row>
    <row r="2098" spans="1:34" x14ac:dyDescent="0.35">
      <c r="A2098">
        <v>2097</v>
      </c>
      <c r="B2098" t="s">
        <v>44</v>
      </c>
      <c r="C2098">
        <v>146</v>
      </c>
      <c r="D2098" t="s">
        <v>21</v>
      </c>
      <c r="E2098" t="s">
        <v>22</v>
      </c>
      <c r="F2098" t="s">
        <v>23</v>
      </c>
      <c r="G2098">
        <v>11</v>
      </c>
      <c r="H2098">
        <v>180.7</v>
      </c>
      <c r="I2098">
        <v>82</v>
      </c>
      <c r="J2098">
        <v>30.72</v>
      </c>
      <c r="K2098">
        <v>173.7</v>
      </c>
      <c r="L2098">
        <v>90</v>
      </c>
      <c r="M2098">
        <v>14.76</v>
      </c>
      <c r="N2098">
        <v>231.5</v>
      </c>
      <c r="O2098">
        <v>89</v>
      </c>
      <c r="P2098">
        <v>10.42</v>
      </c>
      <c r="Q2098">
        <v>10.1</v>
      </c>
      <c r="R2098">
        <v>4</v>
      </c>
      <c r="S2098">
        <v>2.73</v>
      </c>
      <c r="T2098">
        <v>2</v>
      </c>
      <c r="U2098" t="s">
        <v>22</v>
      </c>
      <c r="V2098" t="e">
        <f>IF(#REF! = "yes", 1, 0)</f>
        <v>#REF!</v>
      </c>
      <c r="W2098" t="e">
        <f>IF(#REF! &lt;= 1, "0-1 Calls", IF(#REF! &lt;= 3, "2-3 Calls", IF(#REF! &lt;=5, "4-5 Calls", "6+ Calls")))</f>
        <v>#REF!</v>
      </c>
      <c r="X2098" t="e">
        <f>IF(#REF! &lt;= 50, "0-50", IF(#REF! &lt;=100, "51-100", IF(#REF! &lt;= 150, "101-150", "151+")))</f>
        <v>#REF!</v>
      </c>
      <c r="Y2098" t="e">
        <f>IF(#REF! &lt;= 3, "Low Charges", "High Charges")</f>
        <v>#REF!</v>
      </c>
      <c r="Z2098" t="e">
        <f>IF(#REF!&lt;=80,"Low Calls",
IF(#REF!&lt;=120,"Medium Calls","High Calls"))</f>
        <v>#REF!</v>
      </c>
      <c r="AA2098" t="e">
        <f>IF(#REF!&lt;=15,"Low Charges",
IF(#REF!&lt;=20,"Medium Charges","High Charges"))</f>
        <v>#REF!</v>
      </c>
      <c r="AB2098" t="e">
        <f>IF(AND(#REF!&gt;180, #REF!&gt;200), "Heavy Doemstic User", IF(#REF!&gt;10, "Interntional User", IF(AND(#REF!&lt;180, #REF!&lt;200,#REF!&lt;200), "Light User", "Balanced User")))</f>
        <v>#REF!</v>
      </c>
      <c r="AC2098" t="e">
        <f>IF(#REF! = 0, "No Usage", IF(#REF! &lt;= 20, "Low Usage", IF(#REF! &lt;= 40, "Medium Usgae", "High Usage")))</f>
        <v>#REF!</v>
      </c>
      <c r="AD2098" t="e">
        <f>IF(#REF!&lt;=150,"Low Usage", IF(#REF!&lt;=200,"Medium Usage", IF(#REF!&lt;=250,"High Usage","Very High Usage")))</f>
        <v>#REF!</v>
      </c>
      <c r="AE2098" t="e">
        <f>IF(#REF!&lt;=5,"Low Calls", IF(#REF!&lt;=10, "Medium Calls", "High Calls"))</f>
        <v>#REF!</v>
      </c>
      <c r="AF2098" t="e">
        <f xml:space="preserve">
IF(#REF!&gt;=4,4,0)+
IF(#REF!="yes",3,0)+
IF(#REF!="High Charges",3,0)+
IF(#REF!&gt;250,4,0)+
IF(#REF!="no",1,0)+
IF(#REF!="Heavy Domestic User",2,0)</f>
        <v>#REF!</v>
      </c>
      <c r="AG2098" t="e">
        <f>IF(#REF!&gt;=10,"High Risk", IF(#REF!&gt;=5,"Medium Risk","Low Risk"))</f>
        <v>#REF!</v>
      </c>
      <c r="AH2098" t="e">
        <f>#REF! + #REF! + #REF! + #REF!</f>
        <v>#REF!</v>
      </c>
    </row>
    <row r="2099" spans="1:34" x14ac:dyDescent="0.35">
      <c r="A2099">
        <v>2098</v>
      </c>
      <c r="B2099" t="s">
        <v>52</v>
      </c>
      <c r="C2099">
        <v>125</v>
      </c>
      <c r="D2099" t="s">
        <v>25</v>
      </c>
      <c r="E2099" t="s">
        <v>22</v>
      </c>
      <c r="F2099" t="s">
        <v>23</v>
      </c>
      <c r="G2099">
        <v>32</v>
      </c>
      <c r="H2099">
        <v>96.5</v>
      </c>
      <c r="I2099">
        <v>109</v>
      </c>
      <c r="J2099">
        <v>16.41</v>
      </c>
      <c r="K2099">
        <v>145.80000000000001</v>
      </c>
      <c r="L2099">
        <v>109</v>
      </c>
      <c r="M2099">
        <v>12.39</v>
      </c>
      <c r="N2099">
        <v>174.4</v>
      </c>
      <c r="O2099">
        <v>82</v>
      </c>
      <c r="P2099">
        <v>7.85</v>
      </c>
      <c r="Q2099">
        <v>9.4</v>
      </c>
      <c r="R2099">
        <v>2</v>
      </c>
      <c r="S2099">
        <v>2.54</v>
      </c>
      <c r="T2099">
        <v>1</v>
      </c>
      <c r="U2099" t="s">
        <v>22</v>
      </c>
      <c r="V2099" t="e">
        <f>IF(#REF! = "yes", 1, 0)</f>
        <v>#REF!</v>
      </c>
      <c r="W2099" t="e">
        <f>IF(#REF! &lt;= 1, "0-1 Calls", IF(#REF! &lt;= 3, "2-3 Calls", IF(#REF! &lt;=5, "4-5 Calls", "6+ Calls")))</f>
        <v>#REF!</v>
      </c>
      <c r="X2099" t="e">
        <f>IF(#REF! &lt;= 50, "0-50", IF(#REF! &lt;=100, "51-100", IF(#REF! &lt;= 150, "101-150", "151+")))</f>
        <v>#REF!</v>
      </c>
      <c r="Y2099" t="e">
        <f>IF(#REF! &lt;= 3, "Low Charges", "High Charges")</f>
        <v>#REF!</v>
      </c>
      <c r="Z2099" t="e">
        <f>IF(#REF!&lt;=80,"Low Calls",
IF(#REF!&lt;=120,"Medium Calls","High Calls"))</f>
        <v>#REF!</v>
      </c>
      <c r="AA2099" t="e">
        <f>IF(#REF!&lt;=15,"Low Charges",
IF(#REF!&lt;=20,"Medium Charges","High Charges"))</f>
        <v>#REF!</v>
      </c>
      <c r="AB2099" t="e">
        <f>IF(AND(#REF!&gt;180, #REF!&gt;200), "Heavy Doemstic User", IF(#REF!&gt;10, "Interntional User", IF(AND(#REF!&lt;180, #REF!&lt;200,#REF!&lt;200), "Light User", "Balanced User")))</f>
        <v>#REF!</v>
      </c>
      <c r="AC2099" t="e">
        <f>IF(#REF! = 0, "No Usage", IF(#REF! &lt;= 20, "Low Usage", IF(#REF! &lt;= 40, "Medium Usgae", "High Usage")))</f>
        <v>#REF!</v>
      </c>
      <c r="AD2099" t="e">
        <f>IF(#REF!&lt;=150,"Low Usage", IF(#REF!&lt;=200,"Medium Usage", IF(#REF!&lt;=250,"High Usage","Very High Usage")))</f>
        <v>#REF!</v>
      </c>
      <c r="AE2099" t="e">
        <f>IF(#REF!&lt;=5,"Low Calls", IF(#REF!&lt;=10, "Medium Calls", "High Calls"))</f>
        <v>#REF!</v>
      </c>
      <c r="AF2099" t="e">
        <f xml:space="preserve">
IF(#REF!&gt;=4,4,0)+
IF(#REF!="yes",3,0)+
IF(#REF!="High Charges",3,0)+
IF(#REF!&gt;250,4,0)+
IF(#REF!="no",1,0)+
IF(#REF!="Heavy Domestic User",2,0)</f>
        <v>#REF!</v>
      </c>
      <c r="AG2099" t="e">
        <f>IF(#REF!&gt;=10,"High Risk", IF(#REF!&gt;=5,"Medium Risk","Low Risk"))</f>
        <v>#REF!</v>
      </c>
      <c r="AH2099" t="e">
        <f>#REF! + #REF! + #REF! + #REF!</f>
        <v>#REF!</v>
      </c>
    </row>
    <row r="2100" spans="1:34" x14ac:dyDescent="0.35">
      <c r="A2100">
        <v>2099</v>
      </c>
      <c r="B2100" t="s">
        <v>32</v>
      </c>
      <c r="C2100">
        <v>88</v>
      </c>
      <c r="D2100" t="s">
        <v>21</v>
      </c>
      <c r="E2100" t="s">
        <v>22</v>
      </c>
      <c r="F2100" t="s">
        <v>22</v>
      </c>
      <c r="G2100">
        <v>0</v>
      </c>
      <c r="H2100">
        <v>183.5</v>
      </c>
      <c r="I2100">
        <v>93</v>
      </c>
      <c r="J2100">
        <v>31.2</v>
      </c>
      <c r="K2100">
        <v>170.5</v>
      </c>
      <c r="L2100">
        <v>80</v>
      </c>
      <c r="M2100">
        <v>14.49</v>
      </c>
      <c r="N2100">
        <v>193.8</v>
      </c>
      <c r="O2100">
        <v>88</v>
      </c>
      <c r="P2100">
        <v>8.7200000000000006</v>
      </c>
      <c r="Q2100">
        <v>8.3000000000000007</v>
      </c>
      <c r="R2100">
        <v>5</v>
      </c>
      <c r="S2100">
        <v>2.2400000000000002</v>
      </c>
      <c r="T2100">
        <v>3</v>
      </c>
      <c r="U2100" t="s">
        <v>22</v>
      </c>
      <c r="V2100" t="e">
        <f>IF(#REF! = "yes", 1, 0)</f>
        <v>#REF!</v>
      </c>
      <c r="W2100" t="e">
        <f>IF(#REF! &lt;= 1, "0-1 Calls", IF(#REF! &lt;= 3, "2-3 Calls", IF(#REF! &lt;=5, "4-5 Calls", "6+ Calls")))</f>
        <v>#REF!</v>
      </c>
      <c r="X2100" t="e">
        <f>IF(#REF! &lt;= 50, "0-50", IF(#REF! &lt;=100, "51-100", IF(#REF! &lt;= 150, "101-150", "151+")))</f>
        <v>#REF!</v>
      </c>
      <c r="Y2100" t="e">
        <f>IF(#REF! &lt;= 3, "Low Charges", "High Charges")</f>
        <v>#REF!</v>
      </c>
      <c r="Z2100" t="e">
        <f>IF(#REF!&lt;=80,"Low Calls",
IF(#REF!&lt;=120,"Medium Calls","High Calls"))</f>
        <v>#REF!</v>
      </c>
      <c r="AA2100" t="e">
        <f>IF(#REF!&lt;=15,"Low Charges",
IF(#REF!&lt;=20,"Medium Charges","High Charges"))</f>
        <v>#REF!</v>
      </c>
      <c r="AB2100" t="e">
        <f>IF(AND(#REF!&gt;180, #REF!&gt;200), "Heavy Doemstic User", IF(#REF!&gt;10, "Interntional User", IF(AND(#REF!&lt;180, #REF!&lt;200,#REF!&lt;200), "Light User", "Balanced User")))</f>
        <v>#REF!</v>
      </c>
      <c r="AC2100" t="e">
        <f>IF(#REF! = 0, "No Usage", IF(#REF! &lt;= 20, "Low Usage", IF(#REF! &lt;= 40, "Medium Usgae", "High Usage")))</f>
        <v>#REF!</v>
      </c>
      <c r="AD2100" t="e">
        <f>IF(#REF!&lt;=150,"Low Usage", IF(#REF!&lt;=200,"Medium Usage", IF(#REF!&lt;=250,"High Usage","Very High Usage")))</f>
        <v>#REF!</v>
      </c>
      <c r="AE2100" t="e">
        <f>IF(#REF!&lt;=5,"Low Calls", IF(#REF!&lt;=10, "Medium Calls", "High Calls"))</f>
        <v>#REF!</v>
      </c>
      <c r="AF2100" t="e">
        <f xml:space="preserve">
IF(#REF!&gt;=4,4,0)+
IF(#REF!="yes",3,0)+
IF(#REF!="High Charges",3,0)+
IF(#REF!&gt;250,4,0)+
IF(#REF!="no",1,0)+
IF(#REF!="Heavy Domestic User",2,0)</f>
        <v>#REF!</v>
      </c>
      <c r="AG2100" t="e">
        <f>IF(#REF!&gt;=10,"High Risk", IF(#REF!&gt;=5,"Medium Risk","Low Risk"))</f>
        <v>#REF!</v>
      </c>
      <c r="AH2100" t="e">
        <f>#REF! + #REF! + #REF! + #REF!</f>
        <v>#REF!</v>
      </c>
    </row>
    <row r="2101" spans="1:34" x14ac:dyDescent="0.35">
      <c r="A2101">
        <v>2100</v>
      </c>
      <c r="B2101" t="s">
        <v>49</v>
      </c>
      <c r="C2101">
        <v>83</v>
      </c>
      <c r="D2101" t="s">
        <v>25</v>
      </c>
      <c r="E2101" t="s">
        <v>22</v>
      </c>
      <c r="F2101" t="s">
        <v>23</v>
      </c>
      <c r="G2101">
        <v>38</v>
      </c>
      <c r="H2101">
        <v>107.9</v>
      </c>
      <c r="I2101">
        <v>90</v>
      </c>
      <c r="J2101">
        <v>18.34</v>
      </c>
      <c r="K2101">
        <v>140.4</v>
      </c>
      <c r="L2101">
        <v>94</v>
      </c>
      <c r="M2101">
        <v>11.93</v>
      </c>
      <c r="N2101">
        <v>253.6</v>
      </c>
      <c r="O2101">
        <v>79</v>
      </c>
      <c r="P2101">
        <v>11.41</v>
      </c>
      <c r="Q2101">
        <v>10.5</v>
      </c>
      <c r="R2101">
        <v>2</v>
      </c>
      <c r="S2101">
        <v>2.84</v>
      </c>
      <c r="T2101">
        <v>0</v>
      </c>
      <c r="U2101" t="s">
        <v>22</v>
      </c>
      <c r="V2101" t="e">
        <f>IF(#REF! = "yes", 1, 0)</f>
        <v>#REF!</v>
      </c>
      <c r="W2101" t="e">
        <f>IF(#REF! &lt;= 1, "0-1 Calls", IF(#REF! &lt;= 3, "2-3 Calls", IF(#REF! &lt;=5, "4-5 Calls", "6+ Calls")))</f>
        <v>#REF!</v>
      </c>
      <c r="X2101" t="e">
        <f>IF(#REF! &lt;= 50, "0-50", IF(#REF! &lt;=100, "51-100", IF(#REF! &lt;= 150, "101-150", "151+")))</f>
        <v>#REF!</v>
      </c>
      <c r="Y2101" t="e">
        <f>IF(#REF! &lt;= 3, "Low Charges", "High Charges")</f>
        <v>#REF!</v>
      </c>
      <c r="Z2101" t="e">
        <f>IF(#REF!&lt;=80,"Low Calls",
IF(#REF!&lt;=120,"Medium Calls","High Calls"))</f>
        <v>#REF!</v>
      </c>
      <c r="AA2101" t="e">
        <f>IF(#REF!&lt;=15,"Low Charges",
IF(#REF!&lt;=20,"Medium Charges","High Charges"))</f>
        <v>#REF!</v>
      </c>
      <c r="AB2101" t="e">
        <f>IF(AND(#REF!&gt;180, #REF!&gt;200), "Heavy Doemstic User", IF(#REF!&gt;10, "Interntional User", IF(AND(#REF!&lt;180, #REF!&lt;200,#REF!&lt;200), "Light User", "Balanced User")))</f>
        <v>#REF!</v>
      </c>
      <c r="AC2101" t="e">
        <f>IF(#REF! = 0, "No Usage", IF(#REF! &lt;= 20, "Low Usage", IF(#REF! &lt;= 40, "Medium Usgae", "High Usage")))</f>
        <v>#REF!</v>
      </c>
      <c r="AD2101" t="e">
        <f>IF(#REF!&lt;=150,"Low Usage", IF(#REF!&lt;=200,"Medium Usage", IF(#REF!&lt;=250,"High Usage","Very High Usage")))</f>
        <v>#REF!</v>
      </c>
      <c r="AE2101" t="e">
        <f>IF(#REF!&lt;=5,"Low Calls", IF(#REF!&lt;=10, "Medium Calls", "High Calls"))</f>
        <v>#REF!</v>
      </c>
      <c r="AF2101" t="e">
        <f xml:space="preserve">
IF(#REF!&gt;=4,4,0)+
IF(#REF!="yes",3,0)+
IF(#REF!="High Charges",3,0)+
IF(#REF!&gt;250,4,0)+
IF(#REF!="no",1,0)+
IF(#REF!="Heavy Domestic User",2,0)</f>
        <v>#REF!</v>
      </c>
      <c r="AG2101" t="e">
        <f>IF(#REF!&gt;=10,"High Risk", IF(#REF!&gt;=5,"Medium Risk","Low Risk"))</f>
        <v>#REF!</v>
      </c>
      <c r="AH2101" t="e">
        <f>#REF! + #REF! + #REF! + #REF!</f>
        <v>#REF!</v>
      </c>
    </row>
    <row r="2102" spans="1:34" x14ac:dyDescent="0.35">
      <c r="A2102">
        <v>2101</v>
      </c>
      <c r="B2102" t="s">
        <v>71</v>
      </c>
      <c r="C2102">
        <v>3</v>
      </c>
      <c r="D2102" t="s">
        <v>28</v>
      </c>
      <c r="E2102" t="s">
        <v>23</v>
      </c>
      <c r="F2102" t="s">
        <v>22</v>
      </c>
      <c r="G2102">
        <v>0</v>
      </c>
      <c r="H2102">
        <v>161</v>
      </c>
      <c r="I2102">
        <v>96</v>
      </c>
      <c r="J2102">
        <v>27.37</v>
      </c>
      <c r="K2102">
        <v>244.9</v>
      </c>
      <c r="L2102">
        <v>82</v>
      </c>
      <c r="M2102">
        <v>20.82</v>
      </c>
      <c r="N2102">
        <v>180.8</v>
      </c>
      <c r="O2102">
        <v>103</v>
      </c>
      <c r="P2102">
        <v>8.14</v>
      </c>
      <c r="Q2102">
        <v>7.7</v>
      </c>
      <c r="R2102">
        <v>6</v>
      </c>
      <c r="S2102">
        <v>2.08</v>
      </c>
      <c r="T2102">
        <v>1</v>
      </c>
      <c r="U2102" t="s">
        <v>22</v>
      </c>
      <c r="V2102" t="e">
        <f>IF(#REF! = "yes", 1, 0)</f>
        <v>#REF!</v>
      </c>
      <c r="W2102" t="e">
        <f>IF(#REF! &lt;= 1, "0-1 Calls", IF(#REF! &lt;= 3, "2-3 Calls", IF(#REF! &lt;=5, "4-5 Calls", "6+ Calls")))</f>
        <v>#REF!</v>
      </c>
      <c r="X2102" t="e">
        <f>IF(#REF! &lt;= 50, "0-50", IF(#REF! &lt;=100, "51-100", IF(#REF! &lt;= 150, "101-150", "151+")))</f>
        <v>#REF!</v>
      </c>
      <c r="Y2102" t="e">
        <f>IF(#REF! &lt;= 3, "Low Charges", "High Charges")</f>
        <v>#REF!</v>
      </c>
      <c r="Z2102" t="e">
        <f>IF(#REF!&lt;=80,"Low Calls",
IF(#REF!&lt;=120,"Medium Calls","High Calls"))</f>
        <v>#REF!</v>
      </c>
      <c r="AA2102" t="e">
        <f>IF(#REF!&lt;=15,"Low Charges",
IF(#REF!&lt;=20,"Medium Charges","High Charges"))</f>
        <v>#REF!</v>
      </c>
      <c r="AB2102" t="e">
        <f>IF(AND(#REF!&gt;180, #REF!&gt;200), "Heavy Doemstic User", IF(#REF!&gt;10, "Interntional User", IF(AND(#REF!&lt;180, #REF!&lt;200,#REF!&lt;200), "Light User", "Balanced User")))</f>
        <v>#REF!</v>
      </c>
      <c r="AC2102" t="e">
        <f>IF(#REF! = 0, "No Usage", IF(#REF! &lt;= 20, "Low Usage", IF(#REF! &lt;= 40, "Medium Usgae", "High Usage")))</f>
        <v>#REF!</v>
      </c>
      <c r="AD2102" t="e">
        <f>IF(#REF!&lt;=150,"Low Usage", IF(#REF!&lt;=200,"Medium Usage", IF(#REF!&lt;=250,"High Usage","Very High Usage")))</f>
        <v>#REF!</v>
      </c>
      <c r="AE2102" t="e">
        <f>IF(#REF!&lt;=5,"Low Calls", IF(#REF!&lt;=10, "Medium Calls", "High Calls"))</f>
        <v>#REF!</v>
      </c>
      <c r="AF2102" t="e">
        <f xml:space="preserve">
IF(#REF!&gt;=4,4,0)+
IF(#REF!="yes",3,0)+
IF(#REF!="High Charges",3,0)+
IF(#REF!&gt;250,4,0)+
IF(#REF!="no",1,0)+
IF(#REF!="Heavy Domestic User",2,0)</f>
        <v>#REF!</v>
      </c>
      <c r="AG2102" t="e">
        <f>IF(#REF!&gt;=10,"High Risk", IF(#REF!&gt;=5,"Medium Risk","Low Risk"))</f>
        <v>#REF!</v>
      </c>
      <c r="AH2102" t="e">
        <f>#REF! + #REF! + #REF! + #REF!</f>
        <v>#REF!</v>
      </c>
    </row>
    <row r="2103" spans="1:34" x14ac:dyDescent="0.35">
      <c r="A2103">
        <v>2102</v>
      </c>
      <c r="B2103" t="s">
        <v>59</v>
      </c>
      <c r="C2103">
        <v>48</v>
      </c>
      <c r="D2103" t="s">
        <v>28</v>
      </c>
      <c r="E2103" t="s">
        <v>22</v>
      </c>
      <c r="F2103" t="s">
        <v>22</v>
      </c>
      <c r="G2103">
        <v>0</v>
      </c>
      <c r="H2103">
        <v>149.19999999999999</v>
      </c>
      <c r="I2103">
        <v>146</v>
      </c>
      <c r="J2103">
        <v>25.36</v>
      </c>
      <c r="K2103">
        <v>161.9</v>
      </c>
      <c r="L2103">
        <v>109</v>
      </c>
      <c r="M2103">
        <v>13.76</v>
      </c>
      <c r="N2103">
        <v>197.9</v>
      </c>
      <c r="O2103">
        <v>109</v>
      </c>
      <c r="P2103">
        <v>8.91</v>
      </c>
      <c r="Q2103">
        <v>8.3000000000000007</v>
      </c>
      <c r="R2103">
        <v>2</v>
      </c>
      <c r="S2103">
        <v>2.2400000000000002</v>
      </c>
      <c r="T2103">
        <v>3</v>
      </c>
      <c r="U2103" t="s">
        <v>22</v>
      </c>
      <c r="V2103" t="e">
        <f>IF(#REF! = "yes", 1, 0)</f>
        <v>#REF!</v>
      </c>
      <c r="W2103" t="e">
        <f>IF(#REF! &lt;= 1, "0-1 Calls", IF(#REF! &lt;= 3, "2-3 Calls", IF(#REF! &lt;=5, "4-5 Calls", "6+ Calls")))</f>
        <v>#REF!</v>
      </c>
      <c r="X2103" t="e">
        <f>IF(#REF! &lt;= 50, "0-50", IF(#REF! &lt;=100, "51-100", IF(#REF! &lt;= 150, "101-150", "151+")))</f>
        <v>#REF!</v>
      </c>
      <c r="Y2103" t="e">
        <f>IF(#REF! &lt;= 3, "Low Charges", "High Charges")</f>
        <v>#REF!</v>
      </c>
      <c r="Z2103" t="e">
        <f>IF(#REF!&lt;=80,"Low Calls",
IF(#REF!&lt;=120,"Medium Calls","High Calls"))</f>
        <v>#REF!</v>
      </c>
      <c r="AA2103" t="e">
        <f>IF(#REF!&lt;=15,"Low Charges",
IF(#REF!&lt;=20,"Medium Charges","High Charges"))</f>
        <v>#REF!</v>
      </c>
      <c r="AB2103" t="e">
        <f>IF(AND(#REF!&gt;180, #REF!&gt;200), "Heavy Doemstic User", IF(#REF!&gt;10, "Interntional User", IF(AND(#REF!&lt;180, #REF!&lt;200,#REF!&lt;200), "Light User", "Balanced User")))</f>
        <v>#REF!</v>
      </c>
      <c r="AC2103" t="e">
        <f>IF(#REF! = 0, "No Usage", IF(#REF! &lt;= 20, "Low Usage", IF(#REF! &lt;= 40, "Medium Usgae", "High Usage")))</f>
        <v>#REF!</v>
      </c>
      <c r="AD2103" t="e">
        <f>IF(#REF!&lt;=150,"Low Usage", IF(#REF!&lt;=200,"Medium Usage", IF(#REF!&lt;=250,"High Usage","Very High Usage")))</f>
        <v>#REF!</v>
      </c>
      <c r="AE2103" t="e">
        <f>IF(#REF!&lt;=5,"Low Calls", IF(#REF!&lt;=10, "Medium Calls", "High Calls"))</f>
        <v>#REF!</v>
      </c>
      <c r="AF2103" t="e">
        <f xml:space="preserve">
IF(#REF!&gt;=4,4,0)+
IF(#REF!="yes",3,0)+
IF(#REF!="High Charges",3,0)+
IF(#REF!&gt;250,4,0)+
IF(#REF!="no",1,0)+
IF(#REF!="Heavy Domestic User",2,0)</f>
        <v>#REF!</v>
      </c>
      <c r="AG2103" t="e">
        <f>IF(#REF!&gt;=10,"High Risk", IF(#REF!&gt;=5,"Medium Risk","Low Risk"))</f>
        <v>#REF!</v>
      </c>
      <c r="AH2103" t="e">
        <f>#REF! + #REF! + #REF! + #REF!</f>
        <v>#REF!</v>
      </c>
    </row>
    <row r="2104" spans="1:34" x14ac:dyDescent="0.35">
      <c r="A2104">
        <v>2103</v>
      </c>
      <c r="B2104" t="s">
        <v>67</v>
      </c>
      <c r="C2104">
        <v>189</v>
      </c>
      <c r="D2104" t="s">
        <v>21</v>
      </c>
      <c r="E2104" t="s">
        <v>22</v>
      </c>
      <c r="F2104" t="s">
        <v>22</v>
      </c>
      <c r="G2104">
        <v>0</v>
      </c>
      <c r="H2104">
        <v>227.8</v>
      </c>
      <c r="I2104">
        <v>124</v>
      </c>
      <c r="J2104">
        <v>38.729999999999997</v>
      </c>
      <c r="K2104">
        <v>169.5</v>
      </c>
      <c r="L2104">
        <v>112</v>
      </c>
      <c r="M2104">
        <v>14.41</v>
      </c>
      <c r="N2104">
        <v>201.1</v>
      </c>
      <c r="O2104">
        <v>91</v>
      </c>
      <c r="P2104">
        <v>9.0500000000000007</v>
      </c>
      <c r="Q2104">
        <v>5.6</v>
      </c>
      <c r="R2104">
        <v>4</v>
      </c>
      <c r="S2104">
        <v>1.51</v>
      </c>
      <c r="T2104">
        <v>3</v>
      </c>
      <c r="U2104" t="s">
        <v>22</v>
      </c>
      <c r="V2104" t="e">
        <f>IF(#REF! = "yes", 1, 0)</f>
        <v>#REF!</v>
      </c>
      <c r="W2104" t="e">
        <f>IF(#REF! &lt;= 1, "0-1 Calls", IF(#REF! &lt;= 3, "2-3 Calls", IF(#REF! &lt;=5, "4-5 Calls", "6+ Calls")))</f>
        <v>#REF!</v>
      </c>
      <c r="X2104" t="e">
        <f>IF(#REF! &lt;= 50, "0-50", IF(#REF! &lt;=100, "51-100", IF(#REF! &lt;= 150, "101-150", "151+")))</f>
        <v>#REF!</v>
      </c>
      <c r="Y2104" t="e">
        <f>IF(#REF! &lt;= 3, "Low Charges", "High Charges")</f>
        <v>#REF!</v>
      </c>
      <c r="Z2104" t="e">
        <f>IF(#REF!&lt;=80,"Low Calls",
IF(#REF!&lt;=120,"Medium Calls","High Calls"))</f>
        <v>#REF!</v>
      </c>
      <c r="AA2104" t="e">
        <f>IF(#REF!&lt;=15,"Low Charges",
IF(#REF!&lt;=20,"Medium Charges","High Charges"))</f>
        <v>#REF!</v>
      </c>
      <c r="AB2104" t="e">
        <f>IF(AND(#REF!&gt;180, #REF!&gt;200), "Heavy Doemstic User", IF(#REF!&gt;10, "Interntional User", IF(AND(#REF!&lt;180, #REF!&lt;200,#REF!&lt;200), "Light User", "Balanced User")))</f>
        <v>#REF!</v>
      </c>
      <c r="AC2104" t="e">
        <f>IF(#REF! = 0, "No Usage", IF(#REF! &lt;= 20, "Low Usage", IF(#REF! &lt;= 40, "Medium Usgae", "High Usage")))</f>
        <v>#REF!</v>
      </c>
      <c r="AD2104" t="e">
        <f>IF(#REF!&lt;=150,"Low Usage", IF(#REF!&lt;=200,"Medium Usage", IF(#REF!&lt;=250,"High Usage","Very High Usage")))</f>
        <v>#REF!</v>
      </c>
      <c r="AE2104" t="e">
        <f>IF(#REF!&lt;=5,"Low Calls", IF(#REF!&lt;=10, "Medium Calls", "High Calls"))</f>
        <v>#REF!</v>
      </c>
      <c r="AF2104" t="e">
        <f xml:space="preserve">
IF(#REF!&gt;=4,4,0)+
IF(#REF!="yes",3,0)+
IF(#REF!="High Charges",3,0)+
IF(#REF!&gt;250,4,0)+
IF(#REF!="no",1,0)+
IF(#REF!="Heavy Domestic User",2,0)</f>
        <v>#REF!</v>
      </c>
      <c r="AG2104" t="e">
        <f>IF(#REF!&gt;=10,"High Risk", IF(#REF!&gt;=5,"Medium Risk","Low Risk"))</f>
        <v>#REF!</v>
      </c>
      <c r="AH2104" t="e">
        <f>#REF! + #REF! + #REF! + #REF!</f>
        <v>#REF!</v>
      </c>
    </row>
    <row r="2105" spans="1:34" x14ac:dyDescent="0.35">
      <c r="A2105">
        <v>2104</v>
      </c>
      <c r="B2105" t="s">
        <v>32</v>
      </c>
      <c r="C2105">
        <v>129</v>
      </c>
      <c r="D2105" t="s">
        <v>21</v>
      </c>
      <c r="E2105" t="s">
        <v>22</v>
      </c>
      <c r="F2105" t="s">
        <v>22</v>
      </c>
      <c r="G2105">
        <v>0</v>
      </c>
      <c r="H2105">
        <v>137.80000000000001</v>
      </c>
      <c r="I2105">
        <v>120</v>
      </c>
      <c r="J2105">
        <v>23.43</v>
      </c>
      <c r="K2105">
        <v>225.8</v>
      </c>
      <c r="L2105">
        <v>110</v>
      </c>
      <c r="M2105">
        <v>19.190000000000001</v>
      </c>
      <c r="N2105">
        <v>145.19999999999999</v>
      </c>
      <c r="O2105">
        <v>95</v>
      </c>
      <c r="P2105">
        <v>6.53</v>
      </c>
      <c r="Q2105">
        <v>10.199999999999999</v>
      </c>
      <c r="R2105">
        <v>6</v>
      </c>
      <c r="S2105">
        <v>2.75</v>
      </c>
      <c r="T2105">
        <v>1</v>
      </c>
      <c r="U2105" t="s">
        <v>23</v>
      </c>
      <c r="V2105" t="e">
        <f>IF(#REF! = "yes", 1, 0)</f>
        <v>#REF!</v>
      </c>
      <c r="W2105" t="e">
        <f>IF(#REF! &lt;= 1, "0-1 Calls", IF(#REF! &lt;= 3, "2-3 Calls", IF(#REF! &lt;=5, "4-5 Calls", "6+ Calls")))</f>
        <v>#REF!</v>
      </c>
      <c r="X2105" t="e">
        <f>IF(#REF! &lt;= 50, "0-50", IF(#REF! &lt;=100, "51-100", IF(#REF! &lt;= 150, "101-150", "151+")))</f>
        <v>#REF!</v>
      </c>
      <c r="Y2105" t="e">
        <f>IF(#REF! &lt;= 3, "Low Charges", "High Charges")</f>
        <v>#REF!</v>
      </c>
      <c r="Z2105" t="e">
        <f>IF(#REF!&lt;=80,"Low Calls",
IF(#REF!&lt;=120,"Medium Calls","High Calls"))</f>
        <v>#REF!</v>
      </c>
      <c r="AA2105" t="e">
        <f>IF(#REF!&lt;=15,"Low Charges",
IF(#REF!&lt;=20,"Medium Charges","High Charges"))</f>
        <v>#REF!</v>
      </c>
      <c r="AB2105" t="e">
        <f>IF(AND(#REF!&gt;180, #REF!&gt;200), "Heavy Doemstic User", IF(#REF!&gt;10, "Interntional User", IF(AND(#REF!&lt;180, #REF!&lt;200,#REF!&lt;200), "Light User", "Balanced User")))</f>
        <v>#REF!</v>
      </c>
      <c r="AC2105" t="e">
        <f>IF(#REF! = 0, "No Usage", IF(#REF! &lt;= 20, "Low Usage", IF(#REF! &lt;= 40, "Medium Usgae", "High Usage")))</f>
        <v>#REF!</v>
      </c>
      <c r="AD2105" t="e">
        <f>IF(#REF!&lt;=150,"Low Usage", IF(#REF!&lt;=200,"Medium Usage", IF(#REF!&lt;=250,"High Usage","Very High Usage")))</f>
        <v>#REF!</v>
      </c>
      <c r="AE2105" t="e">
        <f>IF(#REF!&lt;=5,"Low Calls", IF(#REF!&lt;=10, "Medium Calls", "High Calls"))</f>
        <v>#REF!</v>
      </c>
      <c r="AF2105" t="e">
        <f xml:space="preserve">
IF(#REF!&gt;=4,4,0)+
IF(#REF!="yes",3,0)+
IF(#REF!="High Charges",3,0)+
IF(#REF!&gt;250,4,0)+
IF(#REF!="no",1,0)+
IF(#REF!="Heavy Domestic User",2,0)</f>
        <v>#REF!</v>
      </c>
      <c r="AG2105" t="e">
        <f>IF(#REF!&gt;=10,"High Risk", IF(#REF!&gt;=5,"Medium Risk","Low Risk"))</f>
        <v>#REF!</v>
      </c>
      <c r="AH2105" t="e">
        <f>#REF! + #REF! + #REF! + #REF!</f>
        <v>#REF!</v>
      </c>
    </row>
    <row r="2106" spans="1:34" x14ac:dyDescent="0.35">
      <c r="A2106">
        <v>2105</v>
      </c>
      <c r="B2106" t="s">
        <v>41</v>
      </c>
      <c r="C2106">
        <v>66</v>
      </c>
      <c r="D2106" t="s">
        <v>25</v>
      </c>
      <c r="E2106" t="s">
        <v>22</v>
      </c>
      <c r="F2106" t="s">
        <v>23</v>
      </c>
      <c r="G2106">
        <v>40</v>
      </c>
      <c r="H2106">
        <v>141.69999999999999</v>
      </c>
      <c r="I2106">
        <v>87</v>
      </c>
      <c r="J2106">
        <v>24.09</v>
      </c>
      <c r="K2106">
        <v>268.3</v>
      </c>
      <c r="L2106">
        <v>89</v>
      </c>
      <c r="M2106">
        <v>22.81</v>
      </c>
      <c r="N2106">
        <v>241.3</v>
      </c>
      <c r="O2106">
        <v>68</v>
      </c>
      <c r="P2106">
        <v>10.86</v>
      </c>
      <c r="Q2106">
        <v>8.5</v>
      </c>
      <c r="R2106">
        <v>7</v>
      </c>
      <c r="S2106">
        <v>2.2999999999999998</v>
      </c>
      <c r="T2106">
        <v>0</v>
      </c>
      <c r="U2106" t="s">
        <v>22</v>
      </c>
      <c r="V2106" t="e">
        <f>IF(#REF! = "yes", 1, 0)</f>
        <v>#REF!</v>
      </c>
      <c r="W2106" t="e">
        <f>IF(#REF! &lt;= 1, "0-1 Calls", IF(#REF! &lt;= 3, "2-3 Calls", IF(#REF! &lt;=5, "4-5 Calls", "6+ Calls")))</f>
        <v>#REF!</v>
      </c>
      <c r="X2106" t="e">
        <f>IF(#REF! &lt;= 50, "0-50", IF(#REF! &lt;=100, "51-100", IF(#REF! &lt;= 150, "101-150", "151+")))</f>
        <v>#REF!</v>
      </c>
      <c r="Y2106" t="e">
        <f>IF(#REF! &lt;= 3, "Low Charges", "High Charges")</f>
        <v>#REF!</v>
      </c>
      <c r="Z2106" t="e">
        <f>IF(#REF!&lt;=80,"Low Calls",
IF(#REF!&lt;=120,"Medium Calls","High Calls"))</f>
        <v>#REF!</v>
      </c>
      <c r="AA2106" t="e">
        <f>IF(#REF!&lt;=15,"Low Charges",
IF(#REF!&lt;=20,"Medium Charges","High Charges"))</f>
        <v>#REF!</v>
      </c>
      <c r="AB2106" t="e">
        <f>IF(AND(#REF!&gt;180, #REF!&gt;200), "Heavy Doemstic User", IF(#REF!&gt;10, "Interntional User", IF(AND(#REF!&lt;180, #REF!&lt;200,#REF!&lt;200), "Light User", "Balanced User")))</f>
        <v>#REF!</v>
      </c>
      <c r="AC2106" t="e">
        <f>IF(#REF! = 0, "No Usage", IF(#REF! &lt;= 20, "Low Usage", IF(#REF! &lt;= 40, "Medium Usgae", "High Usage")))</f>
        <v>#REF!</v>
      </c>
      <c r="AD2106" t="e">
        <f>IF(#REF!&lt;=150,"Low Usage", IF(#REF!&lt;=200,"Medium Usage", IF(#REF!&lt;=250,"High Usage","Very High Usage")))</f>
        <v>#REF!</v>
      </c>
      <c r="AE2106" t="e">
        <f>IF(#REF!&lt;=5,"Low Calls", IF(#REF!&lt;=10, "Medium Calls", "High Calls"))</f>
        <v>#REF!</v>
      </c>
      <c r="AF2106" t="e">
        <f xml:space="preserve">
IF(#REF!&gt;=4,4,0)+
IF(#REF!="yes",3,0)+
IF(#REF!="High Charges",3,0)+
IF(#REF!&gt;250,4,0)+
IF(#REF!="no",1,0)+
IF(#REF!="Heavy Domestic User",2,0)</f>
        <v>#REF!</v>
      </c>
      <c r="AG2106" t="e">
        <f>IF(#REF!&gt;=10,"High Risk", IF(#REF!&gt;=5,"Medium Risk","Low Risk"))</f>
        <v>#REF!</v>
      </c>
      <c r="AH2106" t="e">
        <f>#REF! + #REF! + #REF! + #REF!</f>
        <v>#REF!</v>
      </c>
    </row>
    <row r="2107" spans="1:34" x14ac:dyDescent="0.35">
      <c r="A2107">
        <v>2106</v>
      </c>
      <c r="B2107" t="s">
        <v>39</v>
      </c>
      <c r="C2107">
        <v>80</v>
      </c>
      <c r="D2107" t="s">
        <v>28</v>
      </c>
      <c r="E2107" t="s">
        <v>22</v>
      </c>
      <c r="F2107" t="s">
        <v>23</v>
      </c>
      <c r="G2107">
        <v>22</v>
      </c>
      <c r="H2107">
        <v>196.4</v>
      </c>
      <c r="I2107">
        <v>115</v>
      </c>
      <c r="J2107">
        <v>33.39</v>
      </c>
      <c r="K2107">
        <v>150.30000000000001</v>
      </c>
      <c r="L2107">
        <v>109</v>
      </c>
      <c r="M2107">
        <v>12.78</v>
      </c>
      <c r="N2107">
        <v>176.2</v>
      </c>
      <c r="O2107">
        <v>75</v>
      </c>
      <c r="P2107">
        <v>7.93</v>
      </c>
      <c r="Q2107">
        <v>9.3000000000000007</v>
      </c>
      <c r="R2107">
        <v>1</v>
      </c>
      <c r="S2107">
        <v>2.5099999999999998</v>
      </c>
      <c r="T2107">
        <v>0</v>
      </c>
      <c r="U2107" t="s">
        <v>22</v>
      </c>
      <c r="V2107" t="e">
        <f>IF(#REF! = "yes", 1, 0)</f>
        <v>#REF!</v>
      </c>
      <c r="W2107" t="e">
        <f>IF(#REF! &lt;= 1, "0-1 Calls", IF(#REF! &lt;= 3, "2-3 Calls", IF(#REF! &lt;=5, "4-5 Calls", "6+ Calls")))</f>
        <v>#REF!</v>
      </c>
      <c r="X2107" t="e">
        <f>IF(#REF! &lt;= 50, "0-50", IF(#REF! &lt;=100, "51-100", IF(#REF! &lt;= 150, "101-150", "151+")))</f>
        <v>#REF!</v>
      </c>
      <c r="Y2107" t="e">
        <f>IF(#REF! &lt;= 3, "Low Charges", "High Charges")</f>
        <v>#REF!</v>
      </c>
      <c r="Z2107" t="e">
        <f>IF(#REF!&lt;=80,"Low Calls",
IF(#REF!&lt;=120,"Medium Calls","High Calls"))</f>
        <v>#REF!</v>
      </c>
      <c r="AA2107" t="e">
        <f>IF(#REF!&lt;=15,"Low Charges",
IF(#REF!&lt;=20,"Medium Charges","High Charges"))</f>
        <v>#REF!</v>
      </c>
      <c r="AB2107" t="e">
        <f>IF(AND(#REF!&gt;180, #REF!&gt;200), "Heavy Doemstic User", IF(#REF!&gt;10, "Interntional User", IF(AND(#REF!&lt;180, #REF!&lt;200,#REF!&lt;200), "Light User", "Balanced User")))</f>
        <v>#REF!</v>
      </c>
      <c r="AC2107" t="e">
        <f>IF(#REF! = 0, "No Usage", IF(#REF! &lt;= 20, "Low Usage", IF(#REF! &lt;= 40, "Medium Usgae", "High Usage")))</f>
        <v>#REF!</v>
      </c>
      <c r="AD2107" t="e">
        <f>IF(#REF!&lt;=150,"Low Usage", IF(#REF!&lt;=200,"Medium Usage", IF(#REF!&lt;=250,"High Usage","Very High Usage")))</f>
        <v>#REF!</v>
      </c>
      <c r="AE2107" t="e">
        <f>IF(#REF!&lt;=5,"Low Calls", IF(#REF!&lt;=10, "Medium Calls", "High Calls"))</f>
        <v>#REF!</v>
      </c>
      <c r="AF2107" t="e">
        <f xml:space="preserve">
IF(#REF!&gt;=4,4,0)+
IF(#REF!="yes",3,0)+
IF(#REF!="High Charges",3,0)+
IF(#REF!&gt;250,4,0)+
IF(#REF!="no",1,0)+
IF(#REF!="Heavy Domestic User",2,0)</f>
        <v>#REF!</v>
      </c>
      <c r="AG2107" t="e">
        <f>IF(#REF!&gt;=10,"High Risk", IF(#REF!&gt;=5,"Medium Risk","Low Risk"))</f>
        <v>#REF!</v>
      </c>
      <c r="AH2107" t="e">
        <f>#REF! + #REF! + #REF! + #REF!</f>
        <v>#REF!</v>
      </c>
    </row>
    <row r="2108" spans="1:34" x14ac:dyDescent="0.35">
      <c r="A2108">
        <v>2107</v>
      </c>
      <c r="B2108" t="s">
        <v>31</v>
      </c>
      <c r="C2108">
        <v>84</v>
      </c>
      <c r="D2108" t="s">
        <v>25</v>
      </c>
      <c r="E2108" t="s">
        <v>22</v>
      </c>
      <c r="F2108" t="s">
        <v>22</v>
      </c>
      <c r="G2108">
        <v>0</v>
      </c>
      <c r="H2108">
        <v>146.80000000000001</v>
      </c>
      <c r="I2108">
        <v>133</v>
      </c>
      <c r="J2108">
        <v>24.96</v>
      </c>
      <c r="K2108">
        <v>171.7</v>
      </c>
      <c r="L2108">
        <v>73</v>
      </c>
      <c r="M2108">
        <v>14.59</v>
      </c>
      <c r="N2108">
        <v>234.5</v>
      </c>
      <c r="O2108">
        <v>69</v>
      </c>
      <c r="P2108">
        <v>10.55</v>
      </c>
      <c r="Q2108">
        <v>9.9</v>
      </c>
      <c r="R2108">
        <v>3</v>
      </c>
      <c r="S2108">
        <v>2.67</v>
      </c>
      <c r="T2108">
        <v>1</v>
      </c>
      <c r="U2108" t="s">
        <v>22</v>
      </c>
      <c r="V2108" t="e">
        <f>IF(#REF! = "yes", 1, 0)</f>
        <v>#REF!</v>
      </c>
      <c r="W2108" t="e">
        <f>IF(#REF! &lt;= 1, "0-1 Calls", IF(#REF! &lt;= 3, "2-3 Calls", IF(#REF! &lt;=5, "4-5 Calls", "6+ Calls")))</f>
        <v>#REF!</v>
      </c>
      <c r="X2108" t="e">
        <f>IF(#REF! &lt;= 50, "0-50", IF(#REF! &lt;=100, "51-100", IF(#REF! &lt;= 150, "101-150", "151+")))</f>
        <v>#REF!</v>
      </c>
      <c r="Y2108" t="e">
        <f>IF(#REF! &lt;= 3, "Low Charges", "High Charges")</f>
        <v>#REF!</v>
      </c>
      <c r="Z2108" t="e">
        <f>IF(#REF!&lt;=80,"Low Calls",
IF(#REF!&lt;=120,"Medium Calls","High Calls"))</f>
        <v>#REF!</v>
      </c>
      <c r="AA2108" t="e">
        <f>IF(#REF!&lt;=15,"Low Charges",
IF(#REF!&lt;=20,"Medium Charges","High Charges"))</f>
        <v>#REF!</v>
      </c>
      <c r="AB2108" t="e">
        <f>IF(AND(#REF!&gt;180, #REF!&gt;200), "Heavy Doemstic User", IF(#REF!&gt;10, "Interntional User", IF(AND(#REF!&lt;180, #REF!&lt;200,#REF!&lt;200), "Light User", "Balanced User")))</f>
        <v>#REF!</v>
      </c>
      <c r="AC2108" t="e">
        <f>IF(#REF! = 0, "No Usage", IF(#REF! &lt;= 20, "Low Usage", IF(#REF! &lt;= 40, "Medium Usgae", "High Usage")))</f>
        <v>#REF!</v>
      </c>
      <c r="AD2108" t="e">
        <f>IF(#REF!&lt;=150,"Low Usage", IF(#REF!&lt;=200,"Medium Usage", IF(#REF!&lt;=250,"High Usage","Very High Usage")))</f>
        <v>#REF!</v>
      </c>
      <c r="AE2108" t="e">
        <f>IF(#REF!&lt;=5,"Low Calls", IF(#REF!&lt;=10, "Medium Calls", "High Calls"))</f>
        <v>#REF!</v>
      </c>
      <c r="AF2108" t="e">
        <f xml:space="preserve">
IF(#REF!&gt;=4,4,0)+
IF(#REF!="yes",3,0)+
IF(#REF!="High Charges",3,0)+
IF(#REF!&gt;250,4,0)+
IF(#REF!="no",1,0)+
IF(#REF!="Heavy Domestic User",2,0)</f>
        <v>#REF!</v>
      </c>
      <c r="AG2108" t="e">
        <f>IF(#REF!&gt;=10,"High Risk", IF(#REF!&gt;=5,"Medium Risk","Low Risk"))</f>
        <v>#REF!</v>
      </c>
      <c r="AH2108" t="e">
        <f>#REF! + #REF! + #REF! + #REF!</f>
        <v>#REF!</v>
      </c>
    </row>
    <row r="2109" spans="1:34" x14ac:dyDescent="0.35">
      <c r="A2109">
        <v>2108</v>
      </c>
      <c r="B2109" t="s">
        <v>27</v>
      </c>
      <c r="C2109">
        <v>96</v>
      </c>
      <c r="D2109" t="s">
        <v>21</v>
      </c>
      <c r="E2109" t="s">
        <v>22</v>
      </c>
      <c r="F2109" t="s">
        <v>22</v>
      </c>
      <c r="G2109">
        <v>0</v>
      </c>
      <c r="H2109">
        <v>173.9</v>
      </c>
      <c r="I2109">
        <v>111</v>
      </c>
      <c r="J2109">
        <v>29.56</v>
      </c>
      <c r="K2109">
        <v>287.39999999999998</v>
      </c>
      <c r="L2109">
        <v>105</v>
      </c>
      <c r="M2109">
        <v>24.43</v>
      </c>
      <c r="N2109">
        <v>204.8</v>
      </c>
      <c r="O2109">
        <v>91</v>
      </c>
      <c r="P2109">
        <v>9.2200000000000006</v>
      </c>
      <c r="Q2109">
        <v>9.1</v>
      </c>
      <c r="R2109">
        <v>7</v>
      </c>
      <c r="S2109">
        <v>2.46</v>
      </c>
      <c r="T2109">
        <v>1</v>
      </c>
      <c r="U2109" t="s">
        <v>22</v>
      </c>
      <c r="V2109" t="e">
        <f>IF(#REF! = "yes", 1, 0)</f>
        <v>#REF!</v>
      </c>
      <c r="W2109" t="e">
        <f>IF(#REF! &lt;= 1, "0-1 Calls", IF(#REF! &lt;= 3, "2-3 Calls", IF(#REF! &lt;=5, "4-5 Calls", "6+ Calls")))</f>
        <v>#REF!</v>
      </c>
      <c r="X2109" t="e">
        <f>IF(#REF! &lt;= 50, "0-50", IF(#REF! &lt;=100, "51-100", IF(#REF! &lt;= 150, "101-150", "151+")))</f>
        <v>#REF!</v>
      </c>
      <c r="Y2109" t="e">
        <f>IF(#REF! &lt;= 3, "Low Charges", "High Charges")</f>
        <v>#REF!</v>
      </c>
      <c r="Z2109" t="e">
        <f>IF(#REF!&lt;=80,"Low Calls",
IF(#REF!&lt;=120,"Medium Calls","High Calls"))</f>
        <v>#REF!</v>
      </c>
      <c r="AA2109" t="e">
        <f>IF(#REF!&lt;=15,"Low Charges",
IF(#REF!&lt;=20,"Medium Charges","High Charges"))</f>
        <v>#REF!</v>
      </c>
      <c r="AB2109" t="e">
        <f>IF(AND(#REF!&gt;180, #REF!&gt;200), "Heavy Doemstic User", IF(#REF!&gt;10, "Interntional User", IF(AND(#REF!&lt;180, #REF!&lt;200,#REF!&lt;200), "Light User", "Balanced User")))</f>
        <v>#REF!</v>
      </c>
      <c r="AC2109" t="e">
        <f>IF(#REF! = 0, "No Usage", IF(#REF! &lt;= 20, "Low Usage", IF(#REF! &lt;= 40, "Medium Usgae", "High Usage")))</f>
        <v>#REF!</v>
      </c>
      <c r="AD2109" t="e">
        <f>IF(#REF!&lt;=150,"Low Usage", IF(#REF!&lt;=200,"Medium Usage", IF(#REF!&lt;=250,"High Usage","Very High Usage")))</f>
        <v>#REF!</v>
      </c>
      <c r="AE2109" t="e">
        <f>IF(#REF!&lt;=5,"Low Calls", IF(#REF!&lt;=10, "Medium Calls", "High Calls"))</f>
        <v>#REF!</v>
      </c>
      <c r="AF2109" t="e">
        <f xml:space="preserve">
IF(#REF!&gt;=4,4,0)+
IF(#REF!="yes",3,0)+
IF(#REF!="High Charges",3,0)+
IF(#REF!&gt;250,4,0)+
IF(#REF!="no",1,0)+
IF(#REF!="Heavy Domestic User",2,0)</f>
        <v>#REF!</v>
      </c>
      <c r="AG2109" t="e">
        <f>IF(#REF!&gt;=10,"High Risk", IF(#REF!&gt;=5,"Medium Risk","Low Risk"))</f>
        <v>#REF!</v>
      </c>
      <c r="AH2109" t="e">
        <f>#REF! + #REF! + #REF! + #REF!</f>
        <v>#REF!</v>
      </c>
    </row>
    <row r="2110" spans="1:34" x14ac:dyDescent="0.35">
      <c r="A2110">
        <v>2109</v>
      </c>
      <c r="B2110" t="s">
        <v>71</v>
      </c>
      <c r="C2110">
        <v>123</v>
      </c>
      <c r="D2110" t="s">
        <v>21</v>
      </c>
      <c r="E2110" t="s">
        <v>22</v>
      </c>
      <c r="F2110" t="s">
        <v>23</v>
      </c>
      <c r="G2110">
        <v>34</v>
      </c>
      <c r="H2110">
        <v>305.2</v>
      </c>
      <c r="I2110">
        <v>80</v>
      </c>
      <c r="J2110">
        <v>51.88</v>
      </c>
      <c r="K2110">
        <v>156.5</v>
      </c>
      <c r="L2110">
        <v>109</v>
      </c>
      <c r="M2110">
        <v>13.3</v>
      </c>
      <c r="N2110">
        <v>280</v>
      </c>
      <c r="O2110">
        <v>81</v>
      </c>
      <c r="P2110">
        <v>12.6</v>
      </c>
      <c r="Q2110">
        <v>13.2</v>
      </c>
      <c r="R2110">
        <v>7</v>
      </c>
      <c r="S2110">
        <v>3.56</v>
      </c>
      <c r="T2110">
        <v>1</v>
      </c>
      <c r="U2110" t="s">
        <v>22</v>
      </c>
      <c r="V2110" t="e">
        <f>IF(#REF! = "yes", 1, 0)</f>
        <v>#REF!</v>
      </c>
      <c r="W2110" t="e">
        <f>IF(#REF! &lt;= 1, "0-1 Calls", IF(#REF! &lt;= 3, "2-3 Calls", IF(#REF! &lt;=5, "4-5 Calls", "6+ Calls")))</f>
        <v>#REF!</v>
      </c>
      <c r="X2110" t="e">
        <f>IF(#REF! &lt;= 50, "0-50", IF(#REF! &lt;=100, "51-100", IF(#REF! &lt;= 150, "101-150", "151+")))</f>
        <v>#REF!</v>
      </c>
      <c r="Y2110" t="e">
        <f>IF(#REF! &lt;= 3, "Low Charges", "High Charges")</f>
        <v>#REF!</v>
      </c>
      <c r="Z2110" t="e">
        <f>IF(#REF!&lt;=80,"Low Calls",
IF(#REF!&lt;=120,"Medium Calls","High Calls"))</f>
        <v>#REF!</v>
      </c>
      <c r="AA2110" t="e">
        <f>IF(#REF!&lt;=15,"Low Charges",
IF(#REF!&lt;=20,"Medium Charges","High Charges"))</f>
        <v>#REF!</v>
      </c>
      <c r="AB2110" t="e">
        <f>IF(AND(#REF!&gt;180, #REF!&gt;200), "Heavy Doemstic User", IF(#REF!&gt;10, "Interntional User", IF(AND(#REF!&lt;180, #REF!&lt;200,#REF!&lt;200), "Light User", "Balanced User")))</f>
        <v>#REF!</v>
      </c>
      <c r="AC2110" t="e">
        <f>IF(#REF! = 0, "No Usage", IF(#REF! &lt;= 20, "Low Usage", IF(#REF! &lt;= 40, "Medium Usgae", "High Usage")))</f>
        <v>#REF!</v>
      </c>
      <c r="AD2110" t="e">
        <f>IF(#REF!&lt;=150,"Low Usage", IF(#REF!&lt;=200,"Medium Usage", IF(#REF!&lt;=250,"High Usage","Very High Usage")))</f>
        <v>#REF!</v>
      </c>
      <c r="AE2110" t="e">
        <f>IF(#REF!&lt;=5,"Low Calls", IF(#REF!&lt;=10, "Medium Calls", "High Calls"))</f>
        <v>#REF!</v>
      </c>
      <c r="AF2110" t="e">
        <f xml:space="preserve">
IF(#REF!&gt;=4,4,0)+
IF(#REF!="yes",3,0)+
IF(#REF!="High Charges",3,0)+
IF(#REF!&gt;250,4,0)+
IF(#REF!="no",1,0)+
IF(#REF!="Heavy Domestic User",2,0)</f>
        <v>#REF!</v>
      </c>
      <c r="AG2110" t="e">
        <f>IF(#REF!&gt;=10,"High Risk", IF(#REF!&gt;=5,"Medium Risk","Low Risk"))</f>
        <v>#REF!</v>
      </c>
      <c r="AH2110" t="e">
        <f>#REF! + #REF! + #REF! + #REF!</f>
        <v>#REF!</v>
      </c>
    </row>
    <row r="2111" spans="1:34" x14ac:dyDescent="0.35">
      <c r="A2111">
        <v>2110</v>
      </c>
      <c r="B2111" t="s">
        <v>54</v>
      </c>
      <c r="C2111">
        <v>105</v>
      </c>
      <c r="D2111" t="s">
        <v>21</v>
      </c>
      <c r="E2111" t="s">
        <v>23</v>
      </c>
      <c r="F2111" t="s">
        <v>22</v>
      </c>
      <c r="G2111">
        <v>0</v>
      </c>
      <c r="H2111">
        <v>150</v>
      </c>
      <c r="I2111">
        <v>106</v>
      </c>
      <c r="J2111">
        <v>25.5</v>
      </c>
      <c r="K2111">
        <v>293.8</v>
      </c>
      <c r="L2111">
        <v>123</v>
      </c>
      <c r="M2111">
        <v>24.97</v>
      </c>
      <c r="N2111">
        <v>250.7</v>
      </c>
      <c r="O2111">
        <v>65</v>
      </c>
      <c r="P2111">
        <v>11.28</v>
      </c>
      <c r="Q2111">
        <v>10.3</v>
      </c>
      <c r="R2111">
        <v>7</v>
      </c>
      <c r="S2111">
        <v>2.78</v>
      </c>
      <c r="T2111">
        <v>3</v>
      </c>
      <c r="U2111" t="s">
        <v>22</v>
      </c>
      <c r="V2111" t="e">
        <f>IF(#REF! = "yes", 1, 0)</f>
        <v>#REF!</v>
      </c>
      <c r="W2111" t="e">
        <f>IF(#REF! &lt;= 1, "0-1 Calls", IF(#REF! &lt;= 3, "2-3 Calls", IF(#REF! &lt;=5, "4-5 Calls", "6+ Calls")))</f>
        <v>#REF!</v>
      </c>
      <c r="X2111" t="e">
        <f>IF(#REF! &lt;= 50, "0-50", IF(#REF! &lt;=100, "51-100", IF(#REF! &lt;= 150, "101-150", "151+")))</f>
        <v>#REF!</v>
      </c>
      <c r="Y2111" t="e">
        <f>IF(#REF! &lt;= 3, "Low Charges", "High Charges")</f>
        <v>#REF!</v>
      </c>
      <c r="Z2111" t="e">
        <f>IF(#REF!&lt;=80,"Low Calls",
IF(#REF!&lt;=120,"Medium Calls","High Calls"))</f>
        <v>#REF!</v>
      </c>
      <c r="AA2111" t="e">
        <f>IF(#REF!&lt;=15,"Low Charges",
IF(#REF!&lt;=20,"Medium Charges","High Charges"))</f>
        <v>#REF!</v>
      </c>
      <c r="AB2111" t="e">
        <f>IF(AND(#REF!&gt;180, #REF!&gt;200), "Heavy Doemstic User", IF(#REF!&gt;10, "Interntional User", IF(AND(#REF!&lt;180, #REF!&lt;200,#REF!&lt;200), "Light User", "Balanced User")))</f>
        <v>#REF!</v>
      </c>
      <c r="AC2111" t="e">
        <f>IF(#REF! = 0, "No Usage", IF(#REF! &lt;= 20, "Low Usage", IF(#REF! &lt;= 40, "Medium Usgae", "High Usage")))</f>
        <v>#REF!</v>
      </c>
      <c r="AD2111" t="e">
        <f>IF(#REF!&lt;=150,"Low Usage", IF(#REF!&lt;=200,"Medium Usage", IF(#REF!&lt;=250,"High Usage","Very High Usage")))</f>
        <v>#REF!</v>
      </c>
      <c r="AE2111" t="e">
        <f>IF(#REF!&lt;=5,"Low Calls", IF(#REF!&lt;=10, "Medium Calls", "High Calls"))</f>
        <v>#REF!</v>
      </c>
      <c r="AF2111" t="e">
        <f xml:space="preserve">
IF(#REF!&gt;=4,4,0)+
IF(#REF!="yes",3,0)+
IF(#REF!="High Charges",3,0)+
IF(#REF!&gt;250,4,0)+
IF(#REF!="no",1,0)+
IF(#REF!="Heavy Domestic User",2,0)</f>
        <v>#REF!</v>
      </c>
      <c r="AG2111" t="e">
        <f>IF(#REF!&gt;=10,"High Risk", IF(#REF!&gt;=5,"Medium Risk","Low Risk"))</f>
        <v>#REF!</v>
      </c>
      <c r="AH2111" t="e">
        <f>#REF! + #REF! + #REF! + #REF!</f>
        <v>#REF!</v>
      </c>
    </row>
    <row r="2112" spans="1:34" x14ac:dyDescent="0.35">
      <c r="A2112">
        <v>2111</v>
      </c>
      <c r="B2112" t="s">
        <v>38</v>
      </c>
      <c r="C2112">
        <v>80</v>
      </c>
      <c r="D2112" t="s">
        <v>21</v>
      </c>
      <c r="E2112" t="s">
        <v>22</v>
      </c>
      <c r="F2112" t="s">
        <v>22</v>
      </c>
      <c r="G2112">
        <v>0</v>
      </c>
      <c r="H2112">
        <v>197.5</v>
      </c>
      <c r="I2112">
        <v>114</v>
      </c>
      <c r="J2112">
        <v>33.58</v>
      </c>
      <c r="K2112">
        <v>206.9</v>
      </c>
      <c r="L2112">
        <v>119</v>
      </c>
      <c r="M2112">
        <v>17.59</v>
      </c>
      <c r="N2112">
        <v>163.6</v>
      </c>
      <c r="O2112">
        <v>109</v>
      </c>
      <c r="P2112">
        <v>7.36</v>
      </c>
      <c r="Q2112">
        <v>11.3</v>
      </c>
      <c r="R2112">
        <v>4</v>
      </c>
      <c r="S2112">
        <v>3.05</v>
      </c>
      <c r="T2112">
        <v>1</v>
      </c>
      <c r="U2112" t="s">
        <v>22</v>
      </c>
      <c r="V2112" t="e">
        <f>IF(#REF! = "yes", 1, 0)</f>
        <v>#REF!</v>
      </c>
      <c r="W2112" t="e">
        <f>IF(#REF! &lt;= 1, "0-1 Calls", IF(#REF! &lt;= 3, "2-3 Calls", IF(#REF! &lt;=5, "4-5 Calls", "6+ Calls")))</f>
        <v>#REF!</v>
      </c>
      <c r="X2112" t="e">
        <f>IF(#REF! &lt;= 50, "0-50", IF(#REF! &lt;=100, "51-100", IF(#REF! &lt;= 150, "101-150", "151+")))</f>
        <v>#REF!</v>
      </c>
      <c r="Y2112" t="e">
        <f>IF(#REF! &lt;= 3, "Low Charges", "High Charges")</f>
        <v>#REF!</v>
      </c>
      <c r="Z2112" t="e">
        <f>IF(#REF!&lt;=80,"Low Calls",
IF(#REF!&lt;=120,"Medium Calls","High Calls"))</f>
        <v>#REF!</v>
      </c>
      <c r="AA2112" t="e">
        <f>IF(#REF!&lt;=15,"Low Charges",
IF(#REF!&lt;=20,"Medium Charges","High Charges"))</f>
        <v>#REF!</v>
      </c>
      <c r="AB2112" t="e">
        <f>IF(AND(#REF!&gt;180, #REF!&gt;200), "Heavy Doemstic User", IF(#REF!&gt;10, "Interntional User", IF(AND(#REF!&lt;180, #REF!&lt;200,#REF!&lt;200), "Light User", "Balanced User")))</f>
        <v>#REF!</v>
      </c>
      <c r="AC2112" t="e">
        <f>IF(#REF! = 0, "No Usage", IF(#REF! &lt;= 20, "Low Usage", IF(#REF! &lt;= 40, "Medium Usgae", "High Usage")))</f>
        <v>#REF!</v>
      </c>
      <c r="AD2112" t="e">
        <f>IF(#REF!&lt;=150,"Low Usage", IF(#REF!&lt;=200,"Medium Usage", IF(#REF!&lt;=250,"High Usage","Very High Usage")))</f>
        <v>#REF!</v>
      </c>
      <c r="AE2112" t="e">
        <f>IF(#REF!&lt;=5,"Low Calls", IF(#REF!&lt;=10, "Medium Calls", "High Calls"))</f>
        <v>#REF!</v>
      </c>
      <c r="AF2112" t="e">
        <f xml:space="preserve">
IF(#REF!&gt;=4,4,0)+
IF(#REF!="yes",3,0)+
IF(#REF!="High Charges",3,0)+
IF(#REF!&gt;250,4,0)+
IF(#REF!="no",1,0)+
IF(#REF!="Heavy Domestic User",2,0)</f>
        <v>#REF!</v>
      </c>
      <c r="AG2112" t="e">
        <f>IF(#REF!&gt;=10,"High Risk", IF(#REF!&gt;=5,"Medium Risk","Low Risk"))</f>
        <v>#REF!</v>
      </c>
      <c r="AH2112" t="e">
        <f>#REF! + #REF! + #REF! + #REF!</f>
        <v>#REF!</v>
      </c>
    </row>
    <row r="2113" spans="1:34" x14ac:dyDescent="0.35">
      <c r="A2113">
        <v>2112</v>
      </c>
      <c r="B2113" t="s">
        <v>35</v>
      </c>
      <c r="C2113">
        <v>157</v>
      </c>
      <c r="D2113" t="s">
        <v>25</v>
      </c>
      <c r="E2113" t="s">
        <v>22</v>
      </c>
      <c r="F2113" t="s">
        <v>22</v>
      </c>
      <c r="G2113">
        <v>0</v>
      </c>
      <c r="H2113">
        <v>240.2</v>
      </c>
      <c r="I2113">
        <v>67</v>
      </c>
      <c r="J2113">
        <v>40.83</v>
      </c>
      <c r="K2113">
        <v>153</v>
      </c>
      <c r="L2113">
        <v>98</v>
      </c>
      <c r="M2113">
        <v>13.01</v>
      </c>
      <c r="N2113">
        <v>249</v>
      </c>
      <c r="O2113">
        <v>72</v>
      </c>
      <c r="P2113">
        <v>11.21</v>
      </c>
      <c r="Q2113">
        <v>10.199999999999999</v>
      </c>
      <c r="R2113">
        <v>6</v>
      </c>
      <c r="S2113">
        <v>2.75</v>
      </c>
      <c r="T2113">
        <v>2</v>
      </c>
      <c r="U2113" t="s">
        <v>22</v>
      </c>
      <c r="V2113" t="e">
        <f>IF(#REF! = "yes", 1, 0)</f>
        <v>#REF!</v>
      </c>
      <c r="W2113" t="e">
        <f>IF(#REF! &lt;= 1, "0-1 Calls", IF(#REF! &lt;= 3, "2-3 Calls", IF(#REF! &lt;=5, "4-5 Calls", "6+ Calls")))</f>
        <v>#REF!</v>
      </c>
      <c r="X2113" t="e">
        <f>IF(#REF! &lt;= 50, "0-50", IF(#REF! &lt;=100, "51-100", IF(#REF! &lt;= 150, "101-150", "151+")))</f>
        <v>#REF!</v>
      </c>
      <c r="Y2113" t="e">
        <f>IF(#REF! &lt;= 3, "Low Charges", "High Charges")</f>
        <v>#REF!</v>
      </c>
      <c r="Z2113" t="e">
        <f>IF(#REF!&lt;=80,"Low Calls",
IF(#REF!&lt;=120,"Medium Calls","High Calls"))</f>
        <v>#REF!</v>
      </c>
      <c r="AA2113" t="e">
        <f>IF(#REF!&lt;=15,"Low Charges",
IF(#REF!&lt;=20,"Medium Charges","High Charges"))</f>
        <v>#REF!</v>
      </c>
      <c r="AB2113" t="e">
        <f>IF(AND(#REF!&gt;180, #REF!&gt;200), "Heavy Doemstic User", IF(#REF!&gt;10, "Interntional User", IF(AND(#REF!&lt;180, #REF!&lt;200,#REF!&lt;200), "Light User", "Balanced User")))</f>
        <v>#REF!</v>
      </c>
      <c r="AC2113" t="e">
        <f>IF(#REF! = 0, "No Usage", IF(#REF! &lt;= 20, "Low Usage", IF(#REF! &lt;= 40, "Medium Usgae", "High Usage")))</f>
        <v>#REF!</v>
      </c>
      <c r="AD2113" t="e">
        <f>IF(#REF!&lt;=150,"Low Usage", IF(#REF!&lt;=200,"Medium Usage", IF(#REF!&lt;=250,"High Usage","Very High Usage")))</f>
        <v>#REF!</v>
      </c>
      <c r="AE2113" t="e">
        <f>IF(#REF!&lt;=5,"Low Calls", IF(#REF!&lt;=10, "Medium Calls", "High Calls"))</f>
        <v>#REF!</v>
      </c>
      <c r="AF2113" t="e">
        <f xml:space="preserve">
IF(#REF!&gt;=4,4,0)+
IF(#REF!="yes",3,0)+
IF(#REF!="High Charges",3,0)+
IF(#REF!&gt;250,4,0)+
IF(#REF!="no",1,0)+
IF(#REF!="Heavy Domestic User",2,0)</f>
        <v>#REF!</v>
      </c>
      <c r="AG2113" t="e">
        <f>IF(#REF!&gt;=10,"High Risk", IF(#REF!&gt;=5,"Medium Risk","Low Risk"))</f>
        <v>#REF!</v>
      </c>
      <c r="AH2113" t="e">
        <f>#REF! + #REF! + #REF! + #REF!</f>
        <v>#REF!</v>
      </c>
    </row>
    <row r="2114" spans="1:34" x14ac:dyDescent="0.35">
      <c r="A2114">
        <v>2113</v>
      </c>
      <c r="B2114" t="s">
        <v>37</v>
      </c>
      <c r="C2114">
        <v>67</v>
      </c>
      <c r="D2114" t="s">
        <v>28</v>
      </c>
      <c r="E2114" t="s">
        <v>22</v>
      </c>
      <c r="F2114" t="s">
        <v>23</v>
      </c>
      <c r="G2114">
        <v>30</v>
      </c>
      <c r="H2114">
        <v>186.2</v>
      </c>
      <c r="I2114">
        <v>117</v>
      </c>
      <c r="J2114">
        <v>31.65</v>
      </c>
      <c r="K2114">
        <v>286.7</v>
      </c>
      <c r="L2114">
        <v>76</v>
      </c>
      <c r="M2114">
        <v>24.37</v>
      </c>
      <c r="N2114">
        <v>164.3</v>
      </c>
      <c r="O2114">
        <v>113</v>
      </c>
      <c r="P2114">
        <v>7.39</v>
      </c>
      <c r="Q2114">
        <v>12.9</v>
      </c>
      <c r="R2114">
        <v>3</v>
      </c>
      <c r="S2114">
        <v>3.48</v>
      </c>
      <c r="T2114">
        <v>2</v>
      </c>
      <c r="U2114" t="s">
        <v>22</v>
      </c>
      <c r="V2114" t="e">
        <f>IF(#REF! = "yes", 1, 0)</f>
        <v>#REF!</v>
      </c>
      <c r="W2114" t="e">
        <f>IF(#REF! &lt;= 1, "0-1 Calls", IF(#REF! &lt;= 3, "2-3 Calls", IF(#REF! &lt;=5, "4-5 Calls", "6+ Calls")))</f>
        <v>#REF!</v>
      </c>
      <c r="X2114" t="e">
        <f>IF(#REF! &lt;= 50, "0-50", IF(#REF! &lt;=100, "51-100", IF(#REF! &lt;= 150, "101-150", "151+")))</f>
        <v>#REF!</v>
      </c>
      <c r="Y2114" t="e">
        <f>IF(#REF! &lt;= 3, "Low Charges", "High Charges")</f>
        <v>#REF!</v>
      </c>
      <c r="Z2114" t="e">
        <f>IF(#REF!&lt;=80,"Low Calls",
IF(#REF!&lt;=120,"Medium Calls","High Calls"))</f>
        <v>#REF!</v>
      </c>
      <c r="AA2114" t="e">
        <f>IF(#REF!&lt;=15,"Low Charges",
IF(#REF!&lt;=20,"Medium Charges","High Charges"))</f>
        <v>#REF!</v>
      </c>
      <c r="AB2114" t="e">
        <f>IF(AND(#REF!&gt;180, #REF!&gt;200), "Heavy Doemstic User", IF(#REF!&gt;10, "Interntional User", IF(AND(#REF!&lt;180, #REF!&lt;200,#REF!&lt;200), "Light User", "Balanced User")))</f>
        <v>#REF!</v>
      </c>
      <c r="AC2114" t="e">
        <f>IF(#REF! = 0, "No Usage", IF(#REF! &lt;= 20, "Low Usage", IF(#REF! &lt;= 40, "Medium Usgae", "High Usage")))</f>
        <v>#REF!</v>
      </c>
      <c r="AD2114" t="e">
        <f>IF(#REF!&lt;=150,"Low Usage", IF(#REF!&lt;=200,"Medium Usage", IF(#REF!&lt;=250,"High Usage","Very High Usage")))</f>
        <v>#REF!</v>
      </c>
      <c r="AE2114" t="e">
        <f>IF(#REF!&lt;=5,"Low Calls", IF(#REF!&lt;=10, "Medium Calls", "High Calls"))</f>
        <v>#REF!</v>
      </c>
      <c r="AF2114" t="e">
        <f xml:space="preserve">
IF(#REF!&gt;=4,4,0)+
IF(#REF!="yes",3,0)+
IF(#REF!="High Charges",3,0)+
IF(#REF!&gt;250,4,0)+
IF(#REF!="no",1,0)+
IF(#REF!="Heavy Domestic User",2,0)</f>
        <v>#REF!</v>
      </c>
      <c r="AG2114" t="e">
        <f>IF(#REF!&gt;=10,"High Risk", IF(#REF!&gt;=5,"Medium Risk","Low Risk"))</f>
        <v>#REF!</v>
      </c>
      <c r="AH2114" t="e">
        <f>#REF! + #REF! + #REF! + #REF!</f>
        <v>#REF!</v>
      </c>
    </row>
    <row r="2115" spans="1:34" x14ac:dyDescent="0.35">
      <c r="A2115">
        <v>2114</v>
      </c>
      <c r="B2115" t="s">
        <v>32</v>
      </c>
      <c r="C2115">
        <v>141</v>
      </c>
      <c r="D2115" t="s">
        <v>21</v>
      </c>
      <c r="E2115" t="s">
        <v>22</v>
      </c>
      <c r="F2115" t="s">
        <v>23</v>
      </c>
      <c r="G2115">
        <v>39</v>
      </c>
      <c r="H2115">
        <v>116.9</v>
      </c>
      <c r="I2115">
        <v>127</v>
      </c>
      <c r="J2115">
        <v>19.87</v>
      </c>
      <c r="K2115">
        <v>276.5</v>
      </c>
      <c r="L2115">
        <v>88</v>
      </c>
      <c r="M2115">
        <v>23.5</v>
      </c>
      <c r="N2115">
        <v>289.89999999999998</v>
      </c>
      <c r="O2115">
        <v>125</v>
      </c>
      <c r="P2115">
        <v>13.05</v>
      </c>
      <c r="Q2115">
        <v>12.3</v>
      </c>
      <c r="R2115">
        <v>2</v>
      </c>
      <c r="S2115">
        <v>3.32</v>
      </c>
      <c r="T2115">
        <v>0</v>
      </c>
      <c r="U2115" t="s">
        <v>22</v>
      </c>
      <c r="V2115" t="e">
        <f>IF(#REF! = "yes", 1, 0)</f>
        <v>#REF!</v>
      </c>
      <c r="W2115" t="e">
        <f>IF(#REF! &lt;= 1, "0-1 Calls", IF(#REF! &lt;= 3, "2-3 Calls", IF(#REF! &lt;=5, "4-5 Calls", "6+ Calls")))</f>
        <v>#REF!</v>
      </c>
      <c r="X2115" t="e">
        <f>IF(#REF! &lt;= 50, "0-50", IF(#REF! &lt;=100, "51-100", IF(#REF! &lt;= 150, "101-150", "151+")))</f>
        <v>#REF!</v>
      </c>
      <c r="Y2115" t="e">
        <f>IF(#REF! &lt;= 3, "Low Charges", "High Charges")</f>
        <v>#REF!</v>
      </c>
      <c r="Z2115" t="e">
        <f>IF(#REF!&lt;=80,"Low Calls",
IF(#REF!&lt;=120,"Medium Calls","High Calls"))</f>
        <v>#REF!</v>
      </c>
      <c r="AA2115" t="e">
        <f>IF(#REF!&lt;=15,"Low Charges",
IF(#REF!&lt;=20,"Medium Charges","High Charges"))</f>
        <v>#REF!</v>
      </c>
      <c r="AB2115" t="e">
        <f>IF(AND(#REF!&gt;180, #REF!&gt;200), "Heavy Doemstic User", IF(#REF!&gt;10, "Interntional User", IF(AND(#REF!&lt;180, #REF!&lt;200,#REF!&lt;200), "Light User", "Balanced User")))</f>
        <v>#REF!</v>
      </c>
      <c r="AC2115" t="e">
        <f>IF(#REF! = 0, "No Usage", IF(#REF! &lt;= 20, "Low Usage", IF(#REF! &lt;= 40, "Medium Usgae", "High Usage")))</f>
        <v>#REF!</v>
      </c>
      <c r="AD2115" t="e">
        <f>IF(#REF!&lt;=150,"Low Usage", IF(#REF!&lt;=200,"Medium Usage", IF(#REF!&lt;=250,"High Usage","Very High Usage")))</f>
        <v>#REF!</v>
      </c>
      <c r="AE2115" t="e">
        <f>IF(#REF!&lt;=5,"Low Calls", IF(#REF!&lt;=10, "Medium Calls", "High Calls"))</f>
        <v>#REF!</v>
      </c>
      <c r="AF2115" t="e">
        <f xml:space="preserve">
IF(#REF!&gt;=4,4,0)+
IF(#REF!="yes",3,0)+
IF(#REF!="High Charges",3,0)+
IF(#REF!&gt;250,4,0)+
IF(#REF!="no",1,0)+
IF(#REF!="Heavy Domestic User",2,0)</f>
        <v>#REF!</v>
      </c>
      <c r="AG2115" t="e">
        <f>IF(#REF!&gt;=10,"High Risk", IF(#REF!&gt;=5,"Medium Risk","Low Risk"))</f>
        <v>#REF!</v>
      </c>
      <c r="AH2115" t="e">
        <f>#REF! + #REF! + #REF! + #REF!</f>
        <v>#REF!</v>
      </c>
    </row>
    <row r="2116" spans="1:34" x14ac:dyDescent="0.35">
      <c r="A2116">
        <v>2115</v>
      </c>
      <c r="B2116" t="s">
        <v>49</v>
      </c>
      <c r="C2116">
        <v>79</v>
      </c>
      <c r="D2116" t="s">
        <v>21</v>
      </c>
      <c r="E2116" t="s">
        <v>22</v>
      </c>
      <c r="F2116" t="s">
        <v>23</v>
      </c>
      <c r="G2116">
        <v>17</v>
      </c>
      <c r="H2116">
        <v>236.7</v>
      </c>
      <c r="I2116">
        <v>95</v>
      </c>
      <c r="J2116">
        <v>40.24</v>
      </c>
      <c r="K2116">
        <v>263.5</v>
      </c>
      <c r="L2116">
        <v>56</v>
      </c>
      <c r="M2116">
        <v>22.4</v>
      </c>
      <c r="N2116">
        <v>259.60000000000002</v>
      </c>
      <c r="O2116">
        <v>107</v>
      </c>
      <c r="P2116">
        <v>11.68</v>
      </c>
      <c r="Q2116">
        <v>12</v>
      </c>
      <c r="R2116">
        <v>4</v>
      </c>
      <c r="S2116">
        <v>3.24</v>
      </c>
      <c r="T2116">
        <v>1</v>
      </c>
      <c r="U2116" t="s">
        <v>22</v>
      </c>
      <c r="V2116" t="e">
        <f>IF(#REF! = "yes", 1, 0)</f>
        <v>#REF!</v>
      </c>
      <c r="W2116" t="e">
        <f>IF(#REF! &lt;= 1, "0-1 Calls", IF(#REF! &lt;= 3, "2-3 Calls", IF(#REF! &lt;=5, "4-5 Calls", "6+ Calls")))</f>
        <v>#REF!</v>
      </c>
      <c r="X2116" t="e">
        <f>IF(#REF! &lt;= 50, "0-50", IF(#REF! &lt;=100, "51-100", IF(#REF! &lt;= 150, "101-150", "151+")))</f>
        <v>#REF!</v>
      </c>
      <c r="Y2116" t="e">
        <f>IF(#REF! &lt;= 3, "Low Charges", "High Charges")</f>
        <v>#REF!</v>
      </c>
      <c r="Z2116" t="e">
        <f>IF(#REF!&lt;=80,"Low Calls",
IF(#REF!&lt;=120,"Medium Calls","High Calls"))</f>
        <v>#REF!</v>
      </c>
      <c r="AA2116" t="e">
        <f>IF(#REF!&lt;=15,"Low Charges",
IF(#REF!&lt;=20,"Medium Charges","High Charges"))</f>
        <v>#REF!</v>
      </c>
      <c r="AB2116" t="e">
        <f>IF(AND(#REF!&gt;180, #REF!&gt;200), "Heavy Doemstic User", IF(#REF!&gt;10, "Interntional User", IF(AND(#REF!&lt;180, #REF!&lt;200,#REF!&lt;200), "Light User", "Balanced User")))</f>
        <v>#REF!</v>
      </c>
      <c r="AC2116" t="e">
        <f>IF(#REF! = 0, "No Usage", IF(#REF! &lt;= 20, "Low Usage", IF(#REF! &lt;= 40, "Medium Usgae", "High Usage")))</f>
        <v>#REF!</v>
      </c>
      <c r="AD2116" t="e">
        <f>IF(#REF!&lt;=150,"Low Usage", IF(#REF!&lt;=200,"Medium Usage", IF(#REF!&lt;=250,"High Usage","Very High Usage")))</f>
        <v>#REF!</v>
      </c>
      <c r="AE2116" t="e">
        <f>IF(#REF!&lt;=5,"Low Calls", IF(#REF!&lt;=10, "Medium Calls", "High Calls"))</f>
        <v>#REF!</v>
      </c>
      <c r="AF2116" t="e">
        <f xml:space="preserve">
IF(#REF!&gt;=4,4,0)+
IF(#REF!="yes",3,0)+
IF(#REF!="High Charges",3,0)+
IF(#REF!&gt;250,4,0)+
IF(#REF!="no",1,0)+
IF(#REF!="Heavy Domestic User",2,0)</f>
        <v>#REF!</v>
      </c>
      <c r="AG2116" t="e">
        <f>IF(#REF!&gt;=10,"High Risk", IF(#REF!&gt;=5,"Medium Risk","Low Risk"))</f>
        <v>#REF!</v>
      </c>
      <c r="AH2116" t="e">
        <f>#REF! + #REF! + #REF! + #REF!</f>
        <v>#REF!</v>
      </c>
    </row>
    <row r="2117" spans="1:34" x14ac:dyDescent="0.35">
      <c r="A2117">
        <v>2116</v>
      </c>
      <c r="B2117" t="s">
        <v>67</v>
      </c>
      <c r="C2117">
        <v>76</v>
      </c>
      <c r="D2117" t="s">
        <v>25</v>
      </c>
      <c r="E2117" t="s">
        <v>22</v>
      </c>
      <c r="F2117" t="s">
        <v>22</v>
      </c>
      <c r="G2117">
        <v>0</v>
      </c>
      <c r="H2117">
        <v>173.2</v>
      </c>
      <c r="I2117">
        <v>93</v>
      </c>
      <c r="J2117">
        <v>29.44</v>
      </c>
      <c r="K2117">
        <v>131.19999999999999</v>
      </c>
      <c r="L2117">
        <v>80</v>
      </c>
      <c r="M2117">
        <v>11.15</v>
      </c>
      <c r="N2117">
        <v>170.9</v>
      </c>
      <c r="O2117">
        <v>104</v>
      </c>
      <c r="P2117">
        <v>7.69</v>
      </c>
      <c r="Q2117">
        <v>5.4</v>
      </c>
      <c r="R2117">
        <v>3</v>
      </c>
      <c r="S2117">
        <v>1.46</v>
      </c>
      <c r="T2117">
        <v>0</v>
      </c>
      <c r="U2117" t="s">
        <v>22</v>
      </c>
      <c r="V2117" t="e">
        <f>IF(#REF! = "yes", 1, 0)</f>
        <v>#REF!</v>
      </c>
      <c r="W2117" t="e">
        <f>IF(#REF! &lt;= 1, "0-1 Calls", IF(#REF! &lt;= 3, "2-3 Calls", IF(#REF! &lt;=5, "4-5 Calls", "6+ Calls")))</f>
        <v>#REF!</v>
      </c>
      <c r="X2117" t="e">
        <f>IF(#REF! &lt;= 50, "0-50", IF(#REF! &lt;=100, "51-100", IF(#REF! &lt;= 150, "101-150", "151+")))</f>
        <v>#REF!</v>
      </c>
      <c r="Y2117" t="e">
        <f>IF(#REF! &lt;= 3, "Low Charges", "High Charges")</f>
        <v>#REF!</v>
      </c>
      <c r="Z2117" t="e">
        <f>IF(#REF!&lt;=80,"Low Calls",
IF(#REF!&lt;=120,"Medium Calls","High Calls"))</f>
        <v>#REF!</v>
      </c>
      <c r="AA2117" t="e">
        <f>IF(#REF!&lt;=15,"Low Charges",
IF(#REF!&lt;=20,"Medium Charges","High Charges"))</f>
        <v>#REF!</v>
      </c>
      <c r="AB2117" t="e">
        <f>IF(AND(#REF!&gt;180, #REF!&gt;200), "Heavy Doemstic User", IF(#REF!&gt;10, "Interntional User", IF(AND(#REF!&lt;180, #REF!&lt;200,#REF!&lt;200), "Light User", "Balanced User")))</f>
        <v>#REF!</v>
      </c>
      <c r="AC2117" t="e">
        <f>IF(#REF! = 0, "No Usage", IF(#REF! &lt;= 20, "Low Usage", IF(#REF! &lt;= 40, "Medium Usgae", "High Usage")))</f>
        <v>#REF!</v>
      </c>
      <c r="AD2117" t="e">
        <f>IF(#REF!&lt;=150,"Low Usage", IF(#REF!&lt;=200,"Medium Usage", IF(#REF!&lt;=250,"High Usage","Very High Usage")))</f>
        <v>#REF!</v>
      </c>
      <c r="AE2117" t="e">
        <f>IF(#REF!&lt;=5,"Low Calls", IF(#REF!&lt;=10, "Medium Calls", "High Calls"))</f>
        <v>#REF!</v>
      </c>
      <c r="AF2117" t="e">
        <f xml:space="preserve">
IF(#REF!&gt;=4,4,0)+
IF(#REF!="yes",3,0)+
IF(#REF!="High Charges",3,0)+
IF(#REF!&gt;250,4,0)+
IF(#REF!="no",1,0)+
IF(#REF!="Heavy Domestic User",2,0)</f>
        <v>#REF!</v>
      </c>
      <c r="AG2117" t="e">
        <f>IF(#REF!&gt;=10,"High Risk", IF(#REF!&gt;=5,"Medium Risk","Low Risk"))</f>
        <v>#REF!</v>
      </c>
      <c r="AH2117" t="e">
        <f>#REF! + #REF! + #REF! + #REF!</f>
        <v>#REF!</v>
      </c>
    </row>
    <row r="2118" spans="1:34" x14ac:dyDescent="0.35">
      <c r="A2118">
        <v>2117</v>
      </c>
      <c r="B2118" t="s">
        <v>20</v>
      </c>
      <c r="C2118">
        <v>94</v>
      </c>
      <c r="D2118" t="s">
        <v>21</v>
      </c>
      <c r="E2118" t="s">
        <v>22</v>
      </c>
      <c r="F2118" t="s">
        <v>22</v>
      </c>
      <c r="G2118">
        <v>0</v>
      </c>
      <c r="H2118">
        <v>181.3</v>
      </c>
      <c r="I2118">
        <v>135</v>
      </c>
      <c r="J2118">
        <v>30.82</v>
      </c>
      <c r="K2118">
        <v>182.4</v>
      </c>
      <c r="L2118">
        <v>108</v>
      </c>
      <c r="M2118">
        <v>15.5</v>
      </c>
      <c r="N2118">
        <v>180.6</v>
      </c>
      <c r="O2118">
        <v>103</v>
      </c>
      <c r="P2118">
        <v>8.1300000000000008</v>
      </c>
      <c r="Q2118">
        <v>6.7</v>
      </c>
      <c r="R2118">
        <v>2</v>
      </c>
      <c r="S2118">
        <v>1.81</v>
      </c>
      <c r="T2118">
        <v>0</v>
      </c>
      <c r="U2118" t="s">
        <v>22</v>
      </c>
      <c r="V2118" t="e">
        <f>IF(#REF! = "yes", 1, 0)</f>
        <v>#REF!</v>
      </c>
      <c r="W2118" t="e">
        <f>IF(#REF! &lt;= 1, "0-1 Calls", IF(#REF! &lt;= 3, "2-3 Calls", IF(#REF! &lt;=5, "4-5 Calls", "6+ Calls")))</f>
        <v>#REF!</v>
      </c>
      <c r="X2118" t="e">
        <f>IF(#REF! &lt;= 50, "0-50", IF(#REF! &lt;=100, "51-100", IF(#REF! &lt;= 150, "101-150", "151+")))</f>
        <v>#REF!</v>
      </c>
      <c r="Y2118" t="e">
        <f>IF(#REF! &lt;= 3, "Low Charges", "High Charges")</f>
        <v>#REF!</v>
      </c>
      <c r="Z2118" t="e">
        <f>IF(#REF!&lt;=80,"Low Calls",
IF(#REF!&lt;=120,"Medium Calls","High Calls"))</f>
        <v>#REF!</v>
      </c>
      <c r="AA2118" t="e">
        <f>IF(#REF!&lt;=15,"Low Charges",
IF(#REF!&lt;=20,"Medium Charges","High Charges"))</f>
        <v>#REF!</v>
      </c>
      <c r="AB2118" t="e">
        <f>IF(AND(#REF!&gt;180, #REF!&gt;200), "Heavy Doemstic User", IF(#REF!&gt;10, "Interntional User", IF(AND(#REF!&lt;180, #REF!&lt;200,#REF!&lt;200), "Light User", "Balanced User")))</f>
        <v>#REF!</v>
      </c>
      <c r="AC2118" t="e">
        <f>IF(#REF! = 0, "No Usage", IF(#REF! &lt;= 20, "Low Usage", IF(#REF! &lt;= 40, "Medium Usgae", "High Usage")))</f>
        <v>#REF!</v>
      </c>
      <c r="AD2118" t="e">
        <f>IF(#REF!&lt;=150,"Low Usage", IF(#REF!&lt;=200,"Medium Usage", IF(#REF!&lt;=250,"High Usage","Very High Usage")))</f>
        <v>#REF!</v>
      </c>
      <c r="AE2118" t="e">
        <f>IF(#REF!&lt;=5,"Low Calls", IF(#REF!&lt;=10, "Medium Calls", "High Calls"))</f>
        <v>#REF!</v>
      </c>
      <c r="AF2118" t="e">
        <f xml:space="preserve">
IF(#REF!&gt;=4,4,0)+
IF(#REF!="yes",3,0)+
IF(#REF!="High Charges",3,0)+
IF(#REF!&gt;250,4,0)+
IF(#REF!="no",1,0)+
IF(#REF!="Heavy Domestic User",2,0)</f>
        <v>#REF!</v>
      </c>
      <c r="AG2118" t="e">
        <f>IF(#REF!&gt;=10,"High Risk", IF(#REF!&gt;=5,"Medium Risk","Low Risk"))</f>
        <v>#REF!</v>
      </c>
      <c r="AH2118" t="e">
        <f>#REF! + #REF! + #REF! + #REF!</f>
        <v>#REF!</v>
      </c>
    </row>
    <row r="2119" spans="1:34" x14ac:dyDescent="0.35">
      <c r="A2119">
        <v>2118</v>
      </c>
      <c r="B2119" t="s">
        <v>33</v>
      </c>
      <c r="C2119">
        <v>143</v>
      </c>
      <c r="D2119" t="s">
        <v>25</v>
      </c>
      <c r="E2119" t="s">
        <v>22</v>
      </c>
      <c r="F2119" t="s">
        <v>22</v>
      </c>
      <c r="G2119">
        <v>0</v>
      </c>
      <c r="H2119">
        <v>167.8</v>
      </c>
      <c r="I2119">
        <v>72</v>
      </c>
      <c r="J2119">
        <v>28.53</v>
      </c>
      <c r="K2119">
        <v>211</v>
      </c>
      <c r="L2119">
        <v>99</v>
      </c>
      <c r="M2119">
        <v>17.940000000000001</v>
      </c>
      <c r="N2119">
        <v>153.5</v>
      </c>
      <c r="O2119">
        <v>109</v>
      </c>
      <c r="P2119">
        <v>6.91</v>
      </c>
      <c r="Q2119">
        <v>10.5</v>
      </c>
      <c r="R2119">
        <v>6</v>
      </c>
      <c r="S2119">
        <v>2.84</v>
      </c>
      <c r="T2119">
        <v>4</v>
      </c>
      <c r="U2119" t="s">
        <v>23</v>
      </c>
      <c r="V2119" t="e">
        <f>IF(#REF! = "yes", 1, 0)</f>
        <v>#REF!</v>
      </c>
      <c r="W2119" t="e">
        <f>IF(#REF! &lt;= 1, "0-1 Calls", IF(#REF! &lt;= 3, "2-3 Calls", IF(#REF! &lt;=5, "4-5 Calls", "6+ Calls")))</f>
        <v>#REF!</v>
      </c>
      <c r="X2119" t="e">
        <f>IF(#REF! &lt;= 50, "0-50", IF(#REF! &lt;=100, "51-100", IF(#REF! &lt;= 150, "101-150", "151+")))</f>
        <v>#REF!</v>
      </c>
      <c r="Y2119" t="e">
        <f>IF(#REF! &lt;= 3, "Low Charges", "High Charges")</f>
        <v>#REF!</v>
      </c>
      <c r="Z2119" t="e">
        <f>IF(#REF!&lt;=80,"Low Calls",
IF(#REF!&lt;=120,"Medium Calls","High Calls"))</f>
        <v>#REF!</v>
      </c>
      <c r="AA2119" t="e">
        <f>IF(#REF!&lt;=15,"Low Charges",
IF(#REF!&lt;=20,"Medium Charges","High Charges"))</f>
        <v>#REF!</v>
      </c>
      <c r="AB2119" t="e">
        <f>IF(AND(#REF!&gt;180, #REF!&gt;200), "Heavy Doemstic User", IF(#REF!&gt;10, "Interntional User", IF(AND(#REF!&lt;180, #REF!&lt;200,#REF!&lt;200), "Light User", "Balanced User")))</f>
        <v>#REF!</v>
      </c>
      <c r="AC2119" t="e">
        <f>IF(#REF! = 0, "No Usage", IF(#REF! &lt;= 20, "Low Usage", IF(#REF! &lt;= 40, "Medium Usgae", "High Usage")))</f>
        <v>#REF!</v>
      </c>
      <c r="AD2119" t="e">
        <f>IF(#REF!&lt;=150,"Low Usage", IF(#REF!&lt;=200,"Medium Usage", IF(#REF!&lt;=250,"High Usage","Very High Usage")))</f>
        <v>#REF!</v>
      </c>
      <c r="AE2119" t="e">
        <f>IF(#REF!&lt;=5,"Low Calls", IF(#REF!&lt;=10, "Medium Calls", "High Calls"))</f>
        <v>#REF!</v>
      </c>
      <c r="AF2119" t="e">
        <f xml:space="preserve">
IF(#REF!&gt;=4,4,0)+
IF(#REF!="yes",3,0)+
IF(#REF!="High Charges",3,0)+
IF(#REF!&gt;250,4,0)+
IF(#REF!="no",1,0)+
IF(#REF!="Heavy Domestic User",2,0)</f>
        <v>#REF!</v>
      </c>
      <c r="AG2119" t="e">
        <f>IF(#REF!&gt;=10,"High Risk", IF(#REF!&gt;=5,"Medium Risk","Low Risk"))</f>
        <v>#REF!</v>
      </c>
      <c r="AH2119" t="e">
        <f>#REF! + #REF! + #REF! + #REF!</f>
        <v>#REF!</v>
      </c>
    </row>
    <row r="2120" spans="1:34" x14ac:dyDescent="0.35">
      <c r="A2120">
        <v>2119</v>
      </c>
      <c r="B2120" t="s">
        <v>42</v>
      </c>
      <c r="C2120">
        <v>138</v>
      </c>
      <c r="D2120" t="s">
        <v>21</v>
      </c>
      <c r="E2120" t="s">
        <v>22</v>
      </c>
      <c r="F2120" t="s">
        <v>22</v>
      </c>
      <c r="G2120">
        <v>0</v>
      </c>
      <c r="H2120">
        <v>87.6</v>
      </c>
      <c r="I2120">
        <v>112</v>
      </c>
      <c r="J2120">
        <v>14.89</v>
      </c>
      <c r="K2120">
        <v>266.89999999999998</v>
      </c>
      <c r="L2120">
        <v>107</v>
      </c>
      <c r="M2120">
        <v>22.69</v>
      </c>
      <c r="N2120">
        <v>214.6</v>
      </c>
      <c r="O2120">
        <v>104</v>
      </c>
      <c r="P2120">
        <v>9.66</v>
      </c>
      <c r="Q2120">
        <v>9.8000000000000007</v>
      </c>
      <c r="R2120">
        <v>10</v>
      </c>
      <c r="S2120">
        <v>2.65</v>
      </c>
      <c r="T2120">
        <v>2</v>
      </c>
      <c r="U2120" t="s">
        <v>22</v>
      </c>
      <c r="V2120" t="e">
        <f>IF(#REF! = "yes", 1, 0)</f>
        <v>#REF!</v>
      </c>
      <c r="W2120" t="e">
        <f>IF(#REF! &lt;= 1, "0-1 Calls", IF(#REF! &lt;= 3, "2-3 Calls", IF(#REF! &lt;=5, "4-5 Calls", "6+ Calls")))</f>
        <v>#REF!</v>
      </c>
      <c r="X2120" t="e">
        <f>IF(#REF! &lt;= 50, "0-50", IF(#REF! &lt;=100, "51-100", IF(#REF! &lt;= 150, "101-150", "151+")))</f>
        <v>#REF!</v>
      </c>
      <c r="Y2120" t="e">
        <f>IF(#REF! &lt;= 3, "Low Charges", "High Charges")</f>
        <v>#REF!</v>
      </c>
      <c r="Z2120" t="e">
        <f>IF(#REF!&lt;=80,"Low Calls",
IF(#REF!&lt;=120,"Medium Calls","High Calls"))</f>
        <v>#REF!</v>
      </c>
      <c r="AA2120" t="e">
        <f>IF(#REF!&lt;=15,"Low Charges",
IF(#REF!&lt;=20,"Medium Charges","High Charges"))</f>
        <v>#REF!</v>
      </c>
      <c r="AB2120" t="e">
        <f>IF(AND(#REF!&gt;180, #REF!&gt;200), "Heavy Doemstic User", IF(#REF!&gt;10, "Interntional User", IF(AND(#REF!&lt;180, #REF!&lt;200,#REF!&lt;200), "Light User", "Balanced User")))</f>
        <v>#REF!</v>
      </c>
      <c r="AC2120" t="e">
        <f>IF(#REF! = 0, "No Usage", IF(#REF! &lt;= 20, "Low Usage", IF(#REF! &lt;= 40, "Medium Usgae", "High Usage")))</f>
        <v>#REF!</v>
      </c>
      <c r="AD2120" t="e">
        <f>IF(#REF!&lt;=150,"Low Usage", IF(#REF!&lt;=200,"Medium Usage", IF(#REF!&lt;=250,"High Usage","Very High Usage")))</f>
        <v>#REF!</v>
      </c>
      <c r="AE2120" t="e">
        <f>IF(#REF!&lt;=5,"Low Calls", IF(#REF!&lt;=10, "Medium Calls", "High Calls"))</f>
        <v>#REF!</v>
      </c>
      <c r="AF2120" t="e">
        <f xml:space="preserve">
IF(#REF!&gt;=4,4,0)+
IF(#REF!="yes",3,0)+
IF(#REF!="High Charges",3,0)+
IF(#REF!&gt;250,4,0)+
IF(#REF!="no",1,0)+
IF(#REF!="Heavy Domestic User",2,0)</f>
        <v>#REF!</v>
      </c>
      <c r="AG2120" t="e">
        <f>IF(#REF!&gt;=10,"High Risk", IF(#REF!&gt;=5,"Medium Risk","Low Risk"))</f>
        <v>#REF!</v>
      </c>
      <c r="AH2120" t="e">
        <f>#REF! + #REF! + #REF! + #REF!</f>
        <v>#REF!</v>
      </c>
    </row>
    <row r="2121" spans="1:34" x14ac:dyDescent="0.35">
      <c r="A2121">
        <v>2120</v>
      </c>
      <c r="B2121" t="s">
        <v>43</v>
      </c>
      <c r="C2121">
        <v>73</v>
      </c>
      <c r="D2121" t="s">
        <v>21</v>
      </c>
      <c r="E2121" t="s">
        <v>22</v>
      </c>
      <c r="F2121" t="s">
        <v>22</v>
      </c>
      <c r="G2121">
        <v>0</v>
      </c>
      <c r="H2121">
        <v>203.3</v>
      </c>
      <c r="I2121">
        <v>45</v>
      </c>
      <c r="J2121">
        <v>34.56</v>
      </c>
      <c r="K2121">
        <v>141.9</v>
      </c>
      <c r="L2121">
        <v>87</v>
      </c>
      <c r="M2121">
        <v>12.06</v>
      </c>
      <c r="N2121">
        <v>200.7</v>
      </c>
      <c r="O2121">
        <v>71</v>
      </c>
      <c r="P2121">
        <v>9.0299999999999994</v>
      </c>
      <c r="Q2121">
        <v>8.5</v>
      </c>
      <c r="R2121">
        <v>6</v>
      </c>
      <c r="S2121">
        <v>2.2999999999999998</v>
      </c>
      <c r="T2121">
        <v>0</v>
      </c>
      <c r="U2121" t="s">
        <v>22</v>
      </c>
      <c r="V2121" t="e">
        <f>IF(#REF! = "yes", 1, 0)</f>
        <v>#REF!</v>
      </c>
      <c r="W2121" t="e">
        <f>IF(#REF! &lt;= 1, "0-1 Calls", IF(#REF! &lt;= 3, "2-3 Calls", IF(#REF! &lt;=5, "4-5 Calls", "6+ Calls")))</f>
        <v>#REF!</v>
      </c>
      <c r="X2121" t="e">
        <f>IF(#REF! &lt;= 50, "0-50", IF(#REF! &lt;=100, "51-100", IF(#REF! &lt;= 150, "101-150", "151+")))</f>
        <v>#REF!</v>
      </c>
      <c r="Y2121" t="e">
        <f>IF(#REF! &lt;= 3, "Low Charges", "High Charges")</f>
        <v>#REF!</v>
      </c>
      <c r="Z2121" t="e">
        <f>IF(#REF!&lt;=80,"Low Calls",
IF(#REF!&lt;=120,"Medium Calls","High Calls"))</f>
        <v>#REF!</v>
      </c>
      <c r="AA2121" t="e">
        <f>IF(#REF!&lt;=15,"Low Charges",
IF(#REF!&lt;=20,"Medium Charges","High Charges"))</f>
        <v>#REF!</v>
      </c>
      <c r="AB2121" t="e">
        <f>IF(AND(#REF!&gt;180, #REF!&gt;200), "Heavy Doemstic User", IF(#REF!&gt;10, "Interntional User", IF(AND(#REF!&lt;180, #REF!&lt;200,#REF!&lt;200), "Light User", "Balanced User")))</f>
        <v>#REF!</v>
      </c>
      <c r="AC2121" t="e">
        <f>IF(#REF! = 0, "No Usage", IF(#REF! &lt;= 20, "Low Usage", IF(#REF! &lt;= 40, "Medium Usgae", "High Usage")))</f>
        <v>#REF!</v>
      </c>
      <c r="AD2121" t="e">
        <f>IF(#REF!&lt;=150,"Low Usage", IF(#REF!&lt;=200,"Medium Usage", IF(#REF!&lt;=250,"High Usage","Very High Usage")))</f>
        <v>#REF!</v>
      </c>
      <c r="AE2121" t="e">
        <f>IF(#REF!&lt;=5,"Low Calls", IF(#REF!&lt;=10, "Medium Calls", "High Calls"))</f>
        <v>#REF!</v>
      </c>
      <c r="AF2121" t="e">
        <f xml:space="preserve">
IF(#REF!&gt;=4,4,0)+
IF(#REF!="yes",3,0)+
IF(#REF!="High Charges",3,0)+
IF(#REF!&gt;250,4,0)+
IF(#REF!="no",1,0)+
IF(#REF!="Heavy Domestic User",2,0)</f>
        <v>#REF!</v>
      </c>
      <c r="AG2121" t="e">
        <f>IF(#REF!&gt;=10,"High Risk", IF(#REF!&gt;=5,"Medium Risk","Low Risk"))</f>
        <v>#REF!</v>
      </c>
      <c r="AH2121" t="e">
        <f>#REF! + #REF! + #REF! + #REF!</f>
        <v>#REF!</v>
      </c>
    </row>
    <row r="2122" spans="1:34" x14ac:dyDescent="0.35">
      <c r="A2122">
        <v>2121</v>
      </c>
      <c r="B2122" t="s">
        <v>65</v>
      </c>
      <c r="C2122">
        <v>21</v>
      </c>
      <c r="D2122" t="s">
        <v>21</v>
      </c>
      <c r="E2122" t="s">
        <v>22</v>
      </c>
      <c r="F2122" t="s">
        <v>22</v>
      </c>
      <c r="G2122">
        <v>0</v>
      </c>
      <c r="H2122">
        <v>92.6</v>
      </c>
      <c r="I2122">
        <v>95</v>
      </c>
      <c r="J2122">
        <v>15.74</v>
      </c>
      <c r="K2122">
        <v>161.9</v>
      </c>
      <c r="L2122">
        <v>70</v>
      </c>
      <c r="M2122">
        <v>13.76</v>
      </c>
      <c r="N2122">
        <v>285</v>
      </c>
      <c r="O2122">
        <v>78</v>
      </c>
      <c r="P2122">
        <v>12.83</v>
      </c>
      <c r="Q2122">
        <v>11.3</v>
      </c>
      <c r="R2122">
        <v>3</v>
      </c>
      <c r="S2122">
        <v>3.05</v>
      </c>
      <c r="T2122">
        <v>5</v>
      </c>
      <c r="U2122" t="s">
        <v>23</v>
      </c>
      <c r="V2122" t="e">
        <f>IF(#REF! = "yes", 1, 0)</f>
        <v>#REF!</v>
      </c>
      <c r="W2122" t="e">
        <f>IF(#REF! &lt;= 1, "0-1 Calls", IF(#REF! &lt;= 3, "2-3 Calls", IF(#REF! &lt;=5, "4-5 Calls", "6+ Calls")))</f>
        <v>#REF!</v>
      </c>
      <c r="X2122" t="e">
        <f>IF(#REF! &lt;= 50, "0-50", IF(#REF! &lt;=100, "51-100", IF(#REF! &lt;= 150, "101-150", "151+")))</f>
        <v>#REF!</v>
      </c>
      <c r="Y2122" t="e">
        <f>IF(#REF! &lt;= 3, "Low Charges", "High Charges")</f>
        <v>#REF!</v>
      </c>
      <c r="Z2122" t="e">
        <f>IF(#REF!&lt;=80,"Low Calls",
IF(#REF!&lt;=120,"Medium Calls","High Calls"))</f>
        <v>#REF!</v>
      </c>
      <c r="AA2122" t="e">
        <f>IF(#REF!&lt;=15,"Low Charges",
IF(#REF!&lt;=20,"Medium Charges","High Charges"))</f>
        <v>#REF!</v>
      </c>
      <c r="AB2122" t="e">
        <f>IF(AND(#REF!&gt;180, #REF!&gt;200), "Heavy Doemstic User", IF(#REF!&gt;10, "Interntional User", IF(AND(#REF!&lt;180, #REF!&lt;200,#REF!&lt;200), "Light User", "Balanced User")))</f>
        <v>#REF!</v>
      </c>
      <c r="AC2122" t="e">
        <f>IF(#REF! = 0, "No Usage", IF(#REF! &lt;= 20, "Low Usage", IF(#REF! &lt;= 40, "Medium Usgae", "High Usage")))</f>
        <v>#REF!</v>
      </c>
      <c r="AD2122" t="e">
        <f>IF(#REF!&lt;=150,"Low Usage", IF(#REF!&lt;=200,"Medium Usage", IF(#REF!&lt;=250,"High Usage","Very High Usage")))</f>
        <v>#REF!</v>
      </c>
      <c r="AE2122" t="e">
        <f>IF(#REF!&lt;=5,"Low Calls", IF(#REF!&lt;=10, "Medium Calls", "High Calls"))</f>
        <v>#REF!</v>
      </c>
      <c r="AF2122" t="e">
        <f xml:space="preserve">
IF(#REF!&gt;=4,4,0)+
IF(#REF!="yes",3,0)+
IF(#REF!="High Charges",3,0)+
IF(#REF!&gt;250,4,0)+
IF(#REF!="no",1,0)+
IF(#REF!="Heavy Domestic User",2,0)</f>
        <v>#REF!</v>
      </c>
      <c r="AG2122" t="e">
        <f>IF(#REF!&gt;=10,"High Risk", IF(#REF!&gt;=5,"Medium Risk","Low Risk"))</f>
        <v>#REF!</v>
      </c>
      <c r="AH2122" t="e">
        <f>#REF! + #REF! + #REF! + #REF!</f>
        <v>#REF!</v>
      </c>
    </row>
    <row r="2123" spans="1:34" x14ac:dyDescent="0.35">
      <c r="A2123">
        <v>2122</v>
      </c>
      <c r="B2123" t="s">
        <v>68</v>
      </c>
      <c r="C2123">
        <v>148</v>
      </c>
      <c r="D2123" t="s">
        <v>21</v>
      </c>
      <c r="E2123" t="s">
        <v>22</v>
      </c>
      <c r="F2123" t="s">
        <v>23</v>
      </c>
      <c r="G2123">
        <v>21</v>
      </c>
      <c r="H2123">
        <v>262.89999999999998</v>
      </c>
      <c r="I2123">
        <v>135</v>
      </c>
      <c r="J2123">
        <v>44.69</v>
      </c>
      <c r="K2123">
        <v>149.5</v>
      </c>
      <c r="L2123">
        <v>96</v>
      </c>
      <c r="M2123">
        <v>12.71</v>
      </c>
      <c r="N2123">
        <v>140.5</v>
      </c>
      <c r="O2123">
        <v>109</v>
      </c>
      <c r="P2123">
        <v>6.32</v>
      </c>
      <c r="Q2123">
        <v>8.1</v>
      </c>
      <c r="R2123">
        <v>4</v>
      </c>
      <c r="S2123">
        <v>2.19</v>
      </c>
      <c r="T2123">
        <v>1</v>
      </c>
      <c r="U2123" t="s">
        <v>22</v>
      </c>
      <c r="V2123" t="e">
        <f>IF(#REF! = "yes", 1, 0)</f>
        <v>#REF!</v>
      </c>
      <c r="W2123" t="e">
        <f>IF(#REF! &lt;= 1, "0-1 Calls", IF(#REF! &lt;= 3, "2-3 Calls", IF(#REF! &lt;=5, "4-5 Calls", "6+ Calls")))</f>
        <v>#REF!</v>
      </c>
      <c r="X2123" t="e">
        <f>IF(#REF! &lt;= 50, "0-50", IF(#REF! &lt;=100, "51-100", IF(#REF! &lt;= 150, "101-150", "151+")))</f>
        <v>#REF!</v>
      </c>
      <c r="Y2123" t="e">
        <f>IF(#REF! &lt;= 3, "Low Charges", "High Charges")</f>
        <v>#REF!</v>
      </c>
      <c r="Z2123" t="e">
        <f>IF(#REF!&lt;=80,"Low Calls",
IF(#REF!&lt;=120,"Medium Calls","High Calls"))</f>
        <v>#REF!</v>
      </c>
      <c r="AA2123" t="e">
        <f>IF(#REF!&lt;=15,"Low Charges",
IF(#REF!&lt;=20,"Medium Charges","High Charges"))</f>
        <v>#REF!</v>
      </c>
      <c r="AB2123" t="e">
        <f>IF(AND(#REF!&gt;180, #REF!&gt;200), "Heavy Doemstic User", IF(#REF!&gt;10, "Interntional User", IF(AND(#REF!&lt;180, #REF!&lt;200,#REF!&lt;200), "Light User", "Balanced User")))</f>
        <v>#REF!</v>
      </c>
      <c r="AC2123" t="e">
        <f>IF(#REF! = 0, "No Usage", IF(#REF! &lt;= 20, "Low Usage", IF(#REF! &lt;= 40, "Medium Usgae", "High Usage")))</f>
        <v>#REF!</v>
      </c>
      <c r="AD2123" t="e">
        <f>IF(#REF!&lt;=150,"Low Usage", IF(#REF!&lt;=200,"Medium Usage", IF(#REF!&lt;=250,"High Usage","Very High Usage")))</f>
        <v>#REF!</v>
      </c>
      <c r="AE2123" t="e">
        <f>IF(#REF!&lt;=5,"Low Calls", IF(#REF!&lt;=10, "Medium Calls", "High Calls"))</f>
        <v>#REF!</v>
      </c>
      <c r="AF2123" t="e">
        <f xml:space="preserve">
IF(#REF!&gt;=4,4,0)+
IF(#REF!="yes",3,0)+
IF(#REF!="High Charges",3,0)+
IF(#REF!&gt;250,4,0)+
IF(#REF!="no",1,0)+
IF(#REF!="Heavy Domestic User",2,0)</f>
        <v>#REF!</v>
      </c>
      <c r="AG2123" t="e">
        <f>IF(#REF!&gt;=10,"High Risk", IF(#REF!&gt;=5,"Medium Risk","Low Risk"))</f>
        <v>#REF!</v>
      </c>
      <c r="AH2123" t="e">
        <f>#REF! + #REF! + #REF! + #REF!</f>
        <v>#REF!</v>
      </c>
    </row>
    <row r="2124" spans="1:34" x14ac:dyDescent="0.35">
      <c r="A2124">
        <v>2123</v>
      </c>
      <c r="B2124" t="s">
        <v>35</v>
      </c>
      <c r="C2124">
        <v>143</v>
      </c>
      <c r="D2124" t="s">
        <v>25</v>
      </c>
      <c r="E2124" t="s">
        <v>22</v>
      </c>
      <c r="F2124" t="s">
        <v>23</v>
      </c>
      <c r="G2124">
        <v>22</v>
      </c>
      <c r="H2124">
        <v>141.80000000000001</v>
      </c>
      <c r="I2124">
        <v>116</v>
      </c>
      <c r="J2124">
        <v>24.11</v>
      </c>
      <c r="K2124">
        <v>167.3</v>
      </c>
      <c r="L2124">
        <v>99</v>
      </c>
      <c r="M2124">
        <v>14.22</v>
      </c>
      <c r="N2124">
        <v>178.1</v>
      </c>
      <c r="O2124">
        <v>130</v>
      </c>
      <c r="P2124">
        <v>8.01</v>
      </c>
      <c r="Q2124">
        <v>7.8</v>
      </c>
      <c r="R2124">
        <v>3</v>
      </c>
      <c r="S2124">
        <v>2.11</v>
      </c>
      <c r="T2124">
        <v>1</v>
      </c>
      <c r="U2124" t="s">
        <v>22</v>
      </c>
      <c r="V2124" t="e">
        <f>IF(#REF! = "yes", 1, 0)</f>
        <v>#REF!</v>
      </c>
      <c r="W2124" t="e">
        <f>IF(#REF! &lt;= 1, "0-1 Calls", IF(#REF! &lt;= 3, "2-3 Calls", IF(#REF! &lt;=5, "4-5 Calls", "6+ Calls")))</f>
        <v>#REF!</v>
      </c>
      <c r="X2124" t="e">
        <f>IF(#REF! &lt;= 50, "0-50", IF(#REF! &lt;=100, "51-100", IF(#REF! &lt;= 150, "101-150", "151+")))</f>
        <v>#REF!</v>
      </c>
      <c r="Y2124" t="e">
        <f>IF(#REF! &lt;= 3, "Low Charges", "High Charges")</f>
        <v>#REF!</v>
      </c>
      <c r="Z2124" t="e">
        <f>IF(#REF!&lt;=80,"Low Calls",
IF(#REF!&lt;=120,"Medium Calls","High Calls"))</f>
        <v>#REF!</v>
      </c>
      <c r="AA2124" t="e">
        <f>IF(#REF!&lt;=15,"Low Charges",
IF(#REF!&lt;=20,"Medium Charges","High Charges"))</f>
        <v>#REF!</v>
      </c>
      <c r="AB2124" t="e">
        <f>IF(AND(#REF!&gt;180, #REF!&gt;200), "Heavy Doemstic User", IF(#REF!&gt;10, "Interntional User", IF(AND(#REF!&lt;180, #REF!&lt;200,#REF!&lt;200), "Light User", "Balanced User")))</f>
        <v>#REF!</v>
      </c>
      <c r="AC2124" t="e">
        <f>IF(#REF! = 0, "No Usage", IF(#REF! &lt;= 20, "Low Usage", IF(#REF! &lt;= 40, "Medium Usgae", "High Usage")))</f>
        <v>#REF!</v>
      </c>
      <c r="AD2124" t="e">
        <f>IF(#REF!&lt;=150,"Low Usage", IF(#REF!&lt;=200,"Medium Usage", IF(#REF!&lt;=250,"High Usage","Very High Usage")))</f>
        <v>#REF!</v>
      </c>
      <c r="AE2124" t="e">
        <f>IF(#REF!&lt;=5,"Low Calls", IF(#REF!&lt;=10, "Medium Calls", "High Calls"))</f>
        <v>#REF!</v>
      </c>
      <c r="AF2124" t="e">
        <f xml:space="preserve">
IF(#REF!&gt;=4,4,0)+
IF(#REF!="yes",3,0)+
IF(#REF!="High Charges",3,0)+
IF(#REF!&gt;250,4,0)+
IF(#REF!="no",1,0)+
IF(#REF!="Heavy Domestic User",2,0)</f>
        <v>#REF!</v>
      </c>
      <c r="AG2124" t="e">
        <f>IF(#REF!&gt;=10,"High Risk", IF(#REF!&gt;=5,"Medium Risk","Low Risk"))</f>
        <v>#REF!</v>
      </c>
      <c r="AH2124" t="e">
        <f>#REF! + #REF! + #REF! + #REF!</f>
        <v>#REF!</v>
      </c>
    </row>
    <row r="2125" spans="1:34" x14ac:dyDescent="0.35">
      <c r="A2125">
        <v>2124</v>
      </c>
      <c r="B2125" t="s">
        <v>60</v>
      </c>
      <c r="C2125">
        <v>79</v>
      </c>
      <c r="D2125" t="s">
        <v>25</v>
      </c>
      <c r="E2125" t="s">
        <v>22</v>
      </c>
      <c r="F2125" t="s">
        <v>23</v>
      </c>
      <c r="G2125">
        <v>32</v>
      </c>
      <c r="H2125">
        <v>50.6</v>
      </c>
      <c r="I2125">
        <v>62</v>
      </c>
      <c r="J2125">
        <v>8.6</v>
      </c>
      <c r="K2125">
        <v>201.4</v>
      </c>
      <c r="L2125">
        <v>87</v>
      </c>
      <c r="M2125">
        <v>17.12</v>
      </c>
      <c r="N2125">
        <v>146.80000000000001</v>
      </c>
      <c r="O2125">
        <v>121</v>
      </c>
      <c r="P2125">
        <v>6.61</v>
      </c>
      <c r="Q2125">
        <v>4.2</v>
      </c>
      <c r="R2125">
        <v>4</v>
      </c>
      <c r="S2125">
        <v>1.1299999999999999</v>
      </c>
      <c r="T2125">
        <v>2</v>
      </c>
      <c r="U2125" t="s">
        <v>22</v>
      </c>
      <c r="V2125" t="e">
        <f>IF(#REF! = "yes", 1, 0)</f>
        <v>#REF!</v>
      </c>
      <c r="W2125" t="e">
        <f>IF(#REF! &lt;= 1, "0-1 Calls", IF(#REF! &lt;= 3, "2-3 Calls", IF(#REF! &lt;=5, "4-5 Calls", "6+ Calls")))</f>
        <v>#REF!</v>
      </c>
      <c r="X2125" t="e">
        <f>IF(#REF! &lt;= 50, "0-50", IF(#REF! &lt;=100, "51-100", IF(#REF! &lt;= 150, "101-150", "151+")))</f>
        <v>#REF!</v>
      </c>
      <c r="Y2125" t="e">
        <f>IF(#REF! &lt;= 3, "Low Charges", "High Charges")</f>
        <v>#REF!</v>
      </c>
      <c r="Z2125" t="e">
        <f>IF(#REF!&lt;=80,"Low Calls",
IF(#REF!&lt;=120,"Medium Calls","High Calls"))</f>
        <v>#REF!</v>
      </c>
      <c r="AA2125" t="e">
        <f>IF(#REF!&lt;=15,"Low Charges",
IF(#REF!&lt;=20,"Medium Charges","High Charges"))</f>
        <v>#REF!</v>
      </c>
      <c r="AB2125" t="e">
        <f>IF(AND(#REF!&gt;180, #REF!&gt;200), "Heavy Doemstic User", IF(#REF!&gt;10, "Interntional User", IF(AND(#REF!&lt;180, #REF!&lt;200,#REF!&lt;200), "Light User", "Balanced User")))</f>
        <v>#REF!</v>
      </c>
      <c r="AC2125" t="e">
        <f>IF(#REF! = 0, "No Usage", IF(#REF! &lt;= 20, "Low Usage", IF(#REF! &lt;= 40, "Medium Usgae", "High Usage")))</f>
        <v>#REF!</v>
      </c>
      <c r="AD2125" t="e">
        <f>IF(#REF!&lt;=150,"Low Usage", IF(#REF!&lt;=200,"Medium Usage", IF(#REF!&lt;=250,"High Usage","Very High Usage")))</f>
        <v>#REF!</v>
      </c>
      <c r="AE2125" t="e">
        <f>IF(#REF!&lt;=5,"Low Calls", IF(#REF!&lt;=10, "Medium Calls", "High Calls"))</f>
        <v>#REF!</v>
      </c>
      <c r="AF2125" t="e">
        <f xml:space="preserve">
IF(#REF!&gt;=4,4,0)+
IF(#REF!="yes",3,0)+
IF(#REF!="High Charges",3,0)+
IF(#REF!&gt;250,4,0)+
IF(#REF!="no",1,0)+
IF(#REF!="Heavy Domestic User",2,0)</f>
        <v>#REF!</v>
      </c>
      <c r="AG2125" t="e">
        <f>IF(#REF!&gt;=10,"High Risk", IF(#REF!&gt;=5,"Medium Risk","Low Risk"))</f>
        <v>#REF!</v>
      </c>
      <c r="AH2125" t="e">
        <f>#REF! + #REF! + #REF! + #REF!</f>
        <v>#REF!</v>
      </c>
    </row>
    <row r="2126" spans="1:34" x14ac:dyDescent="0.35">
      <c r="A2126">
        <v>2125</v>
      </c>
      <c r="B2126" t="s">
        <v>62</v>
      </c>
      <c r="C2126">
        <v>89</v>
      </c>
      <c r="D2126" t="s">
        <v>21</v>
      </c>
      <c r="E2126" t="s">
        <v>22</v>
      </c>
      <c r="F2126" t="s">
        <v>22</v>
      </c>
      <c r="G2126">
        <v>0</v>
      </c>
      <c r="H2126">
        <v>134.9</v>
      </c>
      <c r="I2126">
        <v>59</v>
      </c>
      <c r="J2126">
        <v>22.93</v>
      </c>
      <c r="K2126">
        <v>156</v>
      </c>
      <c r="L2126">
        <v>152</v>
      </c>
      <c r="M2126">
        <v>13.26</v>
      </c>
      <c r="N2126">
        <v>197.5</v>
      </c>
      <c r="O2126">
        <v>112</v>
      </c>
      <c r="P2126">
        <v>8.89</v>
      </c>
      <c r="Q2126">
        <v>10.199999999999999</v>
      </c>
      <c r="R2126">
        <v>5</v>
      </c>
      <c r="S2126">
        <v>2.75</v>
      </c>
      <c r="T2126">
        <v>1</v>
      </c>
      <c r="U2126" t="s">
        <v>22</v>
      </c>
      <c r="V2126" t="e">
        <f>IF(#REF! = "yes", 1, 0)</f>
        <v>#REF!</v>
      </c>
      <c r="W2126" t="e">
        <f>IF(#REF! &lt;= 1, "0-1 Calls", IF(#REF! &lt;= 3, "2-3 Calls", IF(#REF! &lt;=5, "4-5 Calls", "6+ Calls")))</f>
        <v>#REF!</v>
      </c>
      <c r="X2126" t="e">
        <f>IF(#REF! &lt;= 50, "0-50", IF(#REF! &lt;=100, "51-100", IF(#REF! &lt;= 150, "101-150", "151+")))</f>
        <v>#REF!</v>
      </c>
      <c r="Y2126" t="e">
        <f>IF(#REF! &lt;= 3, "Low Charges", "High Charges")</f>
        <v>#REF!</v>
      </c>
      <c r="Z2126" t="e">
        <f>IF(#REF!&lt;=80,"Low Calls",
IF(#REF!&lt;=120,"Medium Calls","High Calls"))</f>
        <v>#REF!</v>
      </c>
      <c r="AA2126" t="e">
        <f>IF(#REF!&lt;=15,"Low Charges",
IF(#REF!&lt;=20,"Medium Charges","High Charges"))</f>
        <v>#REF!</v>
      </c>
      <c r="AB2126" t="e">
        <f>IF(AND(#REF!&gt;180, #REF!&gt;200), "Heavy Doemstic User", IF(#REF!&gt;10, "Interntional User", IF(AND(#REF!&lt;180, #REF!&lt;200,#REF!&lt;200), "Light User", "Balanced User")))</f>
        <v>#REF!</v>
      </c>
      <c r="AC2126" t="e">
        <f>IF(#REF! = 0, "No Usage", IF(#REF! &lt;= 20, "Low Usage", IF(#REF! &lt;= 40, "Medium Usgae", "High Usage")))</f>
        <v>#REF!</v>
      </c>
      <c r="AD2126" t="e">
        <f>IF(#REF!&lt;=150,"Low Usage", IF(#REF!&lt;=200,"Medium Usage", IF(#REF!&lt;=250,"High Usage","Very High Usage")))</f>
        <v>#REF!</v>
      </c>
      <c r="AE2126" t="e">
        <f>IF(#REF!&lt;=5,"Low Calls", IF(#REF!&lt;=10, "Medium Calls", "High Calls"))</f>
        <v>#REF!</v>
      </c>
      <c r="AF2126" t="e">
        <f xml:space="preserve">
IF(#REF!&gt;=4,4,0)+
IF(#REF!="yes",3,0)+
IF(#REF!="High Charges",3,0)+
IF(#REF!&gt;250,4,0)+
IF(#REF!="no",1,0)+
IF(#REF!="Heavy Domestic User",2,0)</f>
        <v>#REF!</v>
      </c>
      <c r="AG2126" t="e">
        <f>IF(#REF!&gt;=10,"High Risk", IF(#REF!&gt;=5,"Medium Risk","Low Risk"))</f>
        <v>#REF!</v>
      </c>
      <c r="AH2126" t="e">
        <f>#REF! + #REF! + #REF! + #REF!</f>
        <v>#REF!</v>
      </c>
    </row>
    <row r="2127" spans="1:34" x14ac:dyDescent="0.35">
      <c r="A2127">
        <v>2126</v>
      </c>
      <c r="B2127" t="s">
        <v>56</v>
      </c>
      <c r="C2127">
        <v>120</v>
      </c>
      <c r="D2127" t="s">
        <v>21</v>
      </c>
      <c r="E2127" t="s">
        <v>22</v>
      </c>
      <c r="F2127" t="s">
        <v>22</v>
      </c>
      <c r="G2127">
        <v>0</v>
      </c>
      <c r="H2127">
        <v>252.1</v>
      </c>
      <c r="I2127">
        <v>110</v>
      </c>
      <c r="J2127">
        <v>42.86</v>
      </c>
      <c r="K2127">
        <v>226.1</v>
      </c>
      <c r="L2127">
        <v>103</v>
      </c>
      <c r="M2127">
        <v>19.22</v>
      </c>
      <c r="N2127">
        <v>155.6</v>
      </c>
      <c r="O2127">
        <v>83</v>
      </c>
      <c r="P2127">
        <v>7</v>
      </c>
      <c r="Q2127">
        <v>13.8</v>
      </c>
      <c r="R2127">
        <v>3</v>
      </c>
      <c r="S2127">
        <v>3.73</v>
      </c>
      <c r="T2127">
        <v>1</v>
      </c>
      <c r="U2127" t="s">
        <v>22</v>
      </c>
      <c r="V2127" t="e">
        <f>IF(#REF! = "yes", 1, 0)</f>
        <v>#REF!</v>
      </c>
      <c r="W2127" t="e">
        <f>IF(#REF! &lt;= 1, "0-1 Calls", IF(#REF! &lt;= 3, "2-3 Calls", IF(#REF! &lt;=5, "4-5 Calls", "6+ Calls")))</f>
        <v>#REF!</v>
      </c>
      <c r="X2127" t="e">
        <f>IF(#REF! &lt;= 50, "0-50", IF(#REF! &lt;=100, "51-100", IF(#REF! &lt;= 150, "101-150", "151+")))</f>
        <v>#REF!</v>
      </c>
      <c r="Y2127" t="e">
        <f>IF(#REF! &lt;= 3, "Low Charges", "High Charges")</f>
        <v>#REF!</v>
      </c>
      <c r="Z2127" t="e">
        <f>IF(#REF!&lt;=80,"Low Calls",
IF(#REF!&lt;=120,"Medium Calls","High Calls"))</f>
        <v>#REF!</v>
      </c>
      <c r="AA2127" t="e">
        <f>IF(#REF!&lt;=15,"Low Charges",
IF(#REF!&lt;=20,"Medium Charges","High Charges"))</f>
        <v>#REF!</v>
      </c>
      <c r="AB2127" t="e">
        <f>IF(AND(#REF!&gt;180, #REF!&gt;200), "Heavy Doemstic User", IF(#REF!&gt;10, "Interntional User", IF(AND(#REF!&lt;180, #REF!&lt;200,#REF!&lt;200), "Light User", "Balanced User")))</f>
        <v>#REF!</v>
      </c>
      <c r="AC2127" t="e">
        <f>IF(#REF! = 0, "No Usage", IF(#REF! &lt;= 20, "Low Usage", IF(#REF! &lt;= 40, "Medium Usgae", "High Usage")))</f>
        <v>#REF!</v>
      </c>
      <c r="AD2127" t="e">
        <f>IF(#REF!&lt;=150,"Low Usage", IF(#REF!&lt;=200,"Medium Usage", IF(#REF!&lt;=250,"High Usage","Very High Usage")))</f>
        <v>#REF!</v>
      </c>
      <c r="AE2127" t="e">
        <f>IF(#REF!&lt;=5,"Low Calls", IF(#REF!&lt;=10, "Medium Calls", "High Calls"))</f>
        <v>#REF!</v>
      </c>
      <c r="AF2127" t="e">
        <f xml:space="preserve">
IF(#REF!&gt;=4,4,0)+
IF(#REF!="yes",3,0)+
IF(#REF!="High Charges",3,0)+
IF(#REF!&gt;250,4,0)+
IF(#REF!="no",1,0)+
IF(#REF!="Heavy Domestic User",2,0)</f>
        <v>#REF!</v>
      </c>
      <c r="AG2127" t="e">
        <f>IF(#REF!&gt;=10,"High Risk", IF(#REF!&gt;=5,"Medium Risk","Low Risk"))</f>
        <v>#REF!</v>
      </c>
      <c r="AH2127" t="e">
        <f>#REF! + #REF! + #REF! + #REF!</f>
        <v>#REF!</v>
      </c>
    </row>
    <row r="2128" spans="1:34" x14ac:dyDescent="0.35">
      <c r="A2128">
        <v>2127</v>
      </c>
      <c r="B2128" t="s">
        <v>55</v>
      </c>
      <c r="C2128">
        <v>121</v>
      </c>
      <c r="D2128" t="s">
        <v>21</v>
      </c>
      <c r="E2128" t="s">
        <v>22</v>
      </c>
      <c r="F2128" t="s">
        <v>23</v>
      </c>
      <c r="G2128">
        <v>41</v>
      </c>
      <c r="H2128">
        <v>215.5</v>
      </c>
      <c r="I2128">
        <v>95</v>
      </c>
      <c r="J2128">
        <v>36.64</v>
      </c>
      <c r="K2128">
        <v>241.8</v>
      </c>
      <c r="L2128">
        <v>92</v>
      </c>
      <c r="M2128">
        <v>20.55</v>
      </c>
      <c r="N2128">
        <v>147</v>
      </c>
      <c r="O2128">
        <v>108</v>
      </c>
      <c r="P2128">
        <v>6.61</v>
      </c>
      <c r="Q2128">
        <v>9.6</v>
      </c>
      <c r="R2128">
        <v>3</v>
      </c>
      <c r="S2128">
        <v>2.59</v>
      </c>
      <c r="T2128">
        <v>1</v>
      </c>
      <c r="U2128" t="s">
        <v>22</v>
      </c>
      <c r="V2128" t="e">
        <f>IF(#REF! = "yes", 1, 0)</f>
        <v>#REF!</v>
      </c>
      <c r="W2128" t="e">
        <f>IF(#REF! &lt;= 1, "0-1 Calls", IF(#REF! &lt;= 3, "2-3 Calls", IF(#REF! &lt;=5, "4-5 Calls", "6+ Calls")))</f>
        <v>#REF!</v>
      </c>
      <c r="X2128" t="e">
        <f>IF(#REF! &lt;= 50, "0-50", IF(#REF! &lt;=100, "51-100", IF(#REF! &lt;= 150, "101-150", "151+")))</f>
        <v>#REF!</v>
      </c>
      <c r="Y2128" t="e">
        <f>IF(#REF! &lt;= 3, "Low Charges", "High Charges")</f>
        <v>#REF!</v>
      </c>
      <c r="Z2128" t="e">
        <f>IF(#REF!&lt;=80,"Low Calls",
IF(#REF!&lt;=120,"Medium Calls","High Calls"))</f>
        <v>#REF!</v>
      </c>
      <c r="AA2128" t="e">
        <f>IF(#REF!&lt;=15,"Low Charges",
IF(#REF!&lt;=20,"Medium Charges","High Charges"))</f>
        <v>#REF!</v>
      </c>
      <c r="AB2128" t="e">
        <f>IF(AND(#REF!&gt;180, #REF!&gt;200), "Heavy Doemstic User", IF(#REF!&gt;10, "Interntional User", IF(AND(#REF!&lt;180, #REF!&lt;200,#REF!&lt;200), "Light User", "Balanced User")))</f>
        <v>#REF!</v>
      </c>
      <c r="AC2128" t="e">
        <f>IF(#REF! = 0, "No Usage", IF(#REF! &lt;= 20, "Low Usage", IF(#REF! &lt;= 40, "Medium Usgae", "High Usage")))</f>
        <v>#REF!</v>
      </c>
      <c r="AD2128" t="e">
        <f>IF(#REF!&lt;=150,"Low Usage", IF(#REF!&lt;=200,"Medium Usage", IF(#REF!&lt;=250,"High Usage","Very High Usage")))</f>
        <v>#REF!</v>
      </c>
      <c r="AE2128" t="e">
        <f>IF(#REF!&lt;=5,"Low Calls", IF(#REF!&lt;=10, "Medium Calls", "High Calls"))</f>
        <v>#REF!</v>
      </c>
      <c r="AF2128" t="e">
        <f xml:space="preserve">
IF(#REF!&gt;=4,4,0)+
IF(#REF!="yes",3,0)+
IF(#REF!="High Charges",3,0)+
IF(#REF!&gt;250,4,0)+
IF(#REF!="no",1,0)+
IF(#REF!="Heavy Domestic User",2,0)</f>
        <v>#REF!</v>
      </c>
      <c r="AG2128" t="e">
        <f>IF(#REF!&gt;=10,"High Risk", IF(#REF!&gt;=5,"Medium Risk","Low Risk"))</f>
        <v>#REF!</v>
      </c>
      <c r="AH2128" t="e">
        <f>#REF! + #REF! + #REF! + #REF!</f>
        <v>#REF!</v>
      </c>
    </row>
    <row r="2129" spans="1:34" x14ac:dyDescent="0.35">
      <c r="A2129">
        <v>2128</v>
      </c>
      <c r="B2129" t="s">
        <v>72</v>
      </c>
      <c r="C2129">
        <v>101</v>
      </c>
      <c r="D2129" t="s">
        <v>21</v>
      </c>
      <c r="E2129" t="s">
        <v>22</v>
      </c>
      <c r="F2129" t="s">
        <v>22</v>
      </c>
      <c r="G2129">
        <v>0</v>
      </c>
      <c r="H2129">
        <v>124.8</v>
      </c>
      <c r="I2129">
        <v>66</v>
      </c>
      <c r="J2129">
        <v>21.22</v>
      </c>
      <c r="K2129">
        <v>257.2</v>
      </c>
      <c r="L2129">
        <v>85</v>
      </c>
      <c r="M2129">
        <v>21.86</v>
      </c>
      <c r="N2129">
        <v>193.2</v>
      </c>
      <c r="O2129">
        <v>115</v>
      </c>
      <c r="P2129">
        <v>8.69</v>
      </c>
      <c r="Q2129">
        <v>13.4</v>
      </c>
      <c r="R2129">
        <v>4</v>
      </c>
      <c r="S2129">
        <v>3.62</v>
      </c>
      <c r="T2129">
        <v>0</v>
      </c>
      <c r="U2129" t="s">
        <v>22</v>
      </c>
      <c r="V2129" t="e">
        <f>IF(#REF! = "yes", 1, 0)</f>
        <v>#REF!</v>
      </c>
      <c r="W2129" t="e">
        <f>IF(#REF! &lt;= 1, "0-1 Calls", IF(#REF! &lt;= 3, "2-3 Calls", IF(#REF! &lt;=5, "4-5 Calls", "6+ Calls")))</f>
        <v>#REF!</v>
      </c>
      <c r="X2129" t="e">
        <f>IF(#REF! &lt;= 50, "0-50", IF(#REF! &lt;=100, "51-100", IF(#REF! &lt;= 150, "101-150", "151+")))</f>
        <v>#REF!</v>
      </c>
      <c r="Y2129" t="e">
        <f>IF(#REF! &lt;= 3, "Low Charges", "High Charges")</f>
        <v>#REF!</v>
      </c>
      <c r="Z2129" t="e">
        <f>IF(#REF!&lt;=80,"Low Calls",
IF(#REF!&lt;=120,"Medium Calls","High Calls"))</f>
        <v>#REF!</v>
      </c>
      <c r="AA2129" t="e">
        <f>IF(#REF!&lt;=15,"Low Charges",
IF(#REF!&lt;=20,"Medium Charges","High Charges"))</f>
        <v>#REF!</v>
      </c>
      <c r="AB2129" t="e">
        <f>IF(AND(#REF!&gt;180, #REF!&gt;200), "Heavy Doemstic User", IF(#REF!&gt;10, "Interntional User", IF(AND(#REF!&lt;180, #REF!&lt;200,#REF!&lt;200), "Light User", "Balanced User")))</f>
        <v>#REF!</v>
      </c>
      <c r="AC2129" t="e">
        <f>IF(#REF! = 0, "No Usage", IF(#REF! &lt;= 20, "Low Usage", IF(#REF! &lt;= 40, "Medium Usgae", "High Usage")))</f>
        <v>#REF!</v>
      </c>
      <c r="AD2129" t="e">
        <f>IF(#REF!&lt;=150,"Low Usage", IF(#REF!&lt;=200,"Medium Usage", IF(#REF!&lt;=250,"High Usage","Very High Usage")))</f>
        <v>#REF!</v>
      </c>
      <c r="AE2129" t="e">
        <f>IF(#REF!&lt;=5,"Low Calls", IF(#REF!&lt;=10, "Medium Calls", "High Calls"))</f>
        <v>#REF!</v>
      </c>
      <c r="AF2129" t="e">
        <f xml:space="preserve">
IF(#REF!&gt;=4,4,0)+
IF(#REF!="yes",3,0)+
IF(#REF!="High Charges",3,0)+
IF(#REF!&gt;250,4,0)+
IF(#REF!="no",1,0)+
IF(#REF!="Heavy Domestic User",2,0)</f>
        <v>#REF!</v>
      </c>
      <c r="AG2129" t="e">
        <f>IF(#REF!&gt;=10,"High Risk", IF(#REF!&gt;=5,"Medium Risk","Low Risk"))</f>
        <v>#REF!</v>
      </c>
      <c r="AH2129" t="e">
        <f>#REF! + #REF! + #REF! + #REF!</f>
        <v>#REF!</v>
      </c>
    </row>
    <row r="2130" spans="1:34" x14ac:dyDescent="0.35">
      <c r="A2130">
        <v>2129</v>
      </c>
      <c r="B2130" t="s">
        <v>32</v>
      </c>
      <c r="C2130">
        <v>168</v>
      </c>
      <c r="D2130" t="s">
        <v>21</v>
      </c>
      <c r="E2130" t="s">
        <v>22</v>
      </c>
      <c r="F2130" t="s">
        <v>22</v>
      </c>
      <c r="G2130">
        <v>0</v>
      </c>
      <c r="H2130">
        <v>183.2</v>
      </c>
      <c r="I2130">
        <v>131</v>
      </c>
      <c r="J2130">
        <v>31.14</v>
      </c>
      <c r="K2130">
        <v>179.2</v>
      </c>
      <c r="L2130">
        <v>73</v>
      </c>
      <c r="M2130">
        <v>15.23</v>
      </c>
      <c r="N2130">
        <v>292.8</v>
      </c>
      <c r="O2130">
        <v>100</v>
      </c>
      <c r="P2130">
        <v>13.18</v>
      </c>
      <c r="Q2130">
        <v>9.9</v>
      </c>
      <c r="R2130">
        <v>5</v>
      </c>
      <c r="S2130">
        <v>2.67</v>
      </c>
      <c r="T2130">
        <v>2</v>
      </c>
      <c r="U2130" t="s">
        <v>22</v>
      </c>
      <c r="V2130" t="e">
        <f>IF(#REF! = "yes", 1, 0)</f>
        <v>#REF!</v>
      </c>
      <c r="W2130" t="e">
        <f>IF(#REF! &lt;= 1, "0-1 Calls", IF(#REF! &lt;= 3, "2-3 Calls", IF(#REF! &lt;=5, "4-5 Calls", "6+ Calls")))</f>
        <v>#REF!</v>
      </c>
      <c r="X2130" t="e">
        <f>IF(#REF! &lt;= 50, "0-50", IF(#REF! &lt;=100, "51-100", IF(#REF! &lt;= 150, "101-150", "151+")))</f>
        <v>#REF!</v>
      </c>
      <c r="Y2130" t="e">
        <f>IF(#REF! &lt;= 3, "Low Charges", "High Charges")</f>
        <v>#REF!</v>
      </c>
      <c r="Z2130" t="e">
        <f>IF(#REF!&lt;=80,"Low Calls",
IF(#REF!&lt;=120,"Medium Calls","High Calls"))</f>
        <v>#REF!</v>
      </c>
      <c r="AA2130" t="e">
        <f>IF(#REF!&lt;=15,"Low Charges",
IF(#REF!&lt;=20,"Medium Charges","High Charges"))</f>
        <v>#REF!</v>
      </c>
      <c r="AB2130" t="e">
        <f>IF(AND(#REF!&gt;180, #REF!&gt;200), "Heavy Doemstic User", IF(#REF!&gt;10, "Interntional User", IF(AND(#REF!&lt;180, #REF!&lt;200,#REF!&lt;200), "Light User", "Balanced User")))</f>
        <v>#REF!</v>
      </c>
      <c r="AC2130" t="e">
        <f>IF(#REF! = 0, "No Usage", IF(#REF! &lt;= 20, "Low Usage", IF(#REF! &lt;= 40, "Medium Usgae", "High Usage")))</f>
        <v>#REF!</v>
      </c>
      <c r="AD2130" t="e">
        <f>IF(#REF!&lt;=150,"Low Usage", IF(#REF!&lt;=200,"Medium Usage", IF(#REF!&lt;=250,"High Usage","Very High Usage")))</f>
        <v>#REF!</v>
      </c>
      <c r="AE2130" t="e">
        <f>IF(#REF!&lt;=5,"Low Calls", IF(#REF!&lt;=10, "Medium Calls", "High Calls"))</f>
        <v>#REF!</v>
      </c>
      <c r="AF2130" t="e">
        <f xml:space="preserve">
IF(#REF!&gt;=4,4,0)+
IF(#REF!="yes",3,0)+
IF(#REF!="High Charges",3,0)+
IF(#REF!&gt;250,4,0)+
IF(#REF!="no",1,0)+
IF(#REF!="Heavy Domestic User",2,0)</f>
        <v>#REF!</v>
      </c>
      <c r="AG2130" t="e">
        <f>IF(#REF!&gt;=10,"High Risk", IF(#REF!&gt;=5,"Medium Risk","Low Risk"))</f>
        <v>#REF!</v>
      </c>
      <c r="AH2130" t="e">
        <f>#REF! + #REF! + #REF! + #REF!</f>
        <v>#REF!</v>
      </c>
    </row>
    <row r="2131" spans="1:34" x14ac:dyDescent="0.35">
      <c r="A2131">
        <v>2130</v>
      </c>
      <c r="B2131" t="s">
        <v>64</v>
      </c>
      <c r="C2131">
        <v>138</v>
      </c>
      <c r="D2131" t="s">
        <v>21</v>
      </c>
      <c r="E2131" t="s">
        <v>22</v>
      </c>
      <c r="F2131" t="s">
        <v>22</v>
      </c>
      <c r="G2131">
        <v>0</v>
      </c>
      <c r="H2131">
        <v>230.1</v>
      </c>
      <c r="I2131">
        <v>107</v>
      </c>
      <c r="J2131">
        <v>39.119999999999997</v>
      </c>
      <c r="K2131">
        <v>212</v>
      </c>
      <c r="L2131">
        <v>120</v>
      </c>
      <c r="M2131">
        <v>18.02</v>
      </c>
      <c r="N2131">
        <v>174.9</v>
      </c>
      <c r="O2131">
        <v>119</v>
      </c>
      <c r="P2131">
        <v>7.87</v>
      </c>
      <c r="Q2131">
        <v>13.2</v>
      </c>
      <c r="R2131">
        <v>4</v>
      </c>
      <c r="S2131">
        <v>3.56</v>
      </c>
      <c r="T2131">
        <v>1</v>
      </c>
      <c r="U2131" t="s">
        <v>22</v>
      </c>
      <c r="V2131" t="e">
        <f>IF(#REF! = "yes", 1, 0)</f>
        <v>#REF!</v>
      </c>
      <c r="W2131" t="e">
        <f>IF(#REF! &lt;= 1, "0-1 Calls", IF(#REF! &lt;= 3, "2-3 Calls", IF(#REF! &lt;=5, "4-5 Calls", "6+ Calls")))</f>
        <v>#REF!</v>
      </c>
      <c r="X2131" t="e">
        <f>IF(#REF! &lt;= 50, "0-50", IF(#REF! &lt;=100, "51-100", IF(#REF! &lt;= 150, "101-150", "151+")))</f>
        <v>#REF!</v>
      </c>
      <c r="Y2131" t="e">
        <f>IF(#REF! &lt;= 3, "Low Charges", "High Charges")</f>
        <v>#REF!</v>
      </c>
      <c r="Z2131" t="e">
        <f>IF(#REF!&lt;=80,"Low Calls",
IF(#REF!&lt;=120,"Medium Calls","High Calls"))</f>
        <v>#REF!</v>
      </c>
      <c r="AA2131" t="e">
        <f>IF(#REF!&lt;=15,"Low Charges",
IF(#REF!&lt;=20,"Medium Charges","High Charges"))</f>
        <v>#REF!</v>
      </c>
      <c r="AB2131" t="e">
        <f>IF(AND(#REF!&gt;180, #REF!&gt;200), "Heavy Doemstic User", IF(#REF!&gt;10, "Interntional User", IF(AND(#REF!&lt;180, #REF!&lt;200,#REF!&lt;200), "Light User", "Balanced User")))</f>
        <v>#REF!</v>
      </c>
      <c r="AC2131" t="e">
        <f>IF(#REF! = 0, "No Usage", IF(#REF! &lt;= 20, "Low Usage", IF(#REF! &lt;= 40, "Medium Usgae", "High Usage")))</f>
        <v>#REF!</v>
      </c>
      <c r="AD2131" t="e">
        <f>IF(#REF!&lt;=150,"Low Usage", IF(#REF!&lt;=200,"Medium Usage", IF(#REF!&lt;=250,"High Usage","Very High Usage")))</f>
        <v>#REF!</v>
      </c>
      <c r="AE2131" t="e">
        <f>IF(#REF!&lt;=5,"Low Calls", IF(#REF!&lt;=10, "Medium Calls", "High Calls"))</f>
        <v>#REF!</v>
      </c>
      <c r="AF2131" t="e">
        <f xml:space="preserve">
IF(#REF!&gt;=4,4,0)+
IF(#REF!="yes",3,0)+
IF(#REF!="High Charges",3,0)+
IF(#REF!&gt;250,4,0)+
IF(#REF!="no",1,0)+
IF(#REF!="Heavy Domestic User",2,0)</f>
        <v>#REF!</v>
      </c>
      <c r="AG2131" t="e">
        <f>IF(#REF!&gt;=10,"High Risk", IF(#REF!&gt;=5,"Medium Risk","Low Risk"))</f>
        <v>#REF!</v>
      </c>
      <c r="AH2131" t="e">
        <f>#REF! + #REF! + #REF! + #REF!</f>
        <v>#REF!</v>
      </c>
    </row>
    <row r="2132" spans="1:34" x14ac:dyDescent="0.35">
      <c r="A2132">
        <v>2131</v>
      </c>
      <c r="B2132" t="s">
        <v>64</v>
      </c>
      <c r="C2132">
        <v>43</v>
      </c>
      <c r="D2132" t="s">
        <v>25</v>
      </c>
      <c r="E2132" t="s">
        <v>22</v>
      </c>
      <c r="F2132" t="s">
        <v>22</v>
      </c>
      <c r="G2132">
        <v>0</v>
      </c>
      <c r="H2132">
        <v>135.80000000000001</v>
      </c>
      <c r="I2132">
        <v>125</v>
      </c>
      <c r="J2132">
        <v>23.09</v>
      </c>
      <c r="K2132">
        <v>163.19999999999999</v>
      </c>
      <c r="L2132">
        <v>88</v>
      </c>
      <c r="M2132">
        <v>13.87</v>
      </c>
      <c r="N2132">
        <v>229.8</v>
      </c>
      <c r="O2132">
        <v>106</v>
      </c>
      <c r="P2132">
        <v>10.34</v>
      </c>
      <c r="Q2132">
        <v>12.6</v>
      </c>
      <c r="R2132">
        <v>3</v>
      </c>
      <c r="S2132">
        <v>3.4</v>
      </c>
      <c r="T2132">
        <v>0</v>
      </c>
      <c r="U2132" t="s">
        <v>22</v>
      </c>
      <c r="V2132" t="e">
        <f>IF(#REF! = "yes", 1, 0)</f>
        <v>#REF!</v>
      </c>
      <c r="W2132" t="e">
        <f>IF(#REF! &lt;= 1, "0-1 Calls", IF(#REF! &lt;= 3, "2-3 Calls", IF(#REF! &lt;=5, "4-5 Calls", "6+ Calls")))</f>
        <v>#REF!</v>
      </c>
      <c r="X2132" t="e">
        <f>IF(#REF! &lt;= 50, "0-50", IF(#REF! &lt;=100, "51-100", IF(#REF! &lt;= 150, "101-150", "151+")))</f>
        <v>#REF!</v>
      </c>
      <c r="Y2132" t="e">
        <f>IF(#REF! &lt;= 3, "Low Charges", "High Charges")</f>
        <v>#REF!</v>
      </c>
      <c r="Z2132" t="e">
        <f>IF(#REF!&lt;=80,"Low Calls",
IF(#REF!&lt;=120,"Medium Calls","High Calls"))</f>
        <v>#REF!</v>
      </c>
      <c r="AA2132" t="e">
        <f>IF(#REF!&lt;=15,"Low Charges",
IF(#REF!&lt;=20,"Medium Charges","High Charges"))</f>
        <v>#REF!</v>
      </c>
      <c r="AB2132" t="e">
        <f>IF(AND(#REF!&gt;180, #REF!&gt;200), "Heavy Doemstic User", IF(#REF!&gt;10, "Interntional User", IF(AND(#REF!&lt;180, #REF!&lt;200,#REF!&lt;200), "Light User", "Balanced User")))</f>
        <v>#REF!</v>
      </c>
      <c r="AC2132" t="e">
        <f>IF(#REF! = 0, "No Usage", IF(#REF! &lt;= 20, "Low Usage", IF(#REF! &lt;= 40, "Medium Usgae", "High Usage")))</f>
        <v>#REF!</v>
      </c>
      <c r="AD2132" t="e">
        <f>IF(#REF!&lt;=150,"Low Usage", IF(#REF!&lt;=200,"Medium Usage", IF(#REF!&lt;=250,"High Usage","Very High Usage")))</f>
        <v>#REF!</v>
      </c>
      <c r="AE2132" t="e">
        <f>IF(#REF!&lt;=5,"Low Calls", IF(#REF!&lt;=10, "Medium Calls", "High Calls"))</f>
        <v>#REF!</v>
      </c>
      <c r="AF2132" t="e">
        <f xml:space="preserve">
IF(#REF!&gt;=4,4,0)+
IF(#REF!="yes",3,0)+
IF(#REF!="High Charges",3,0)+
IF(#REF!&gt;250,4,0)+
IF(#REF!="no",1,0)+
IF(#REF!="Heavy Domestic User",2,0)</f>
        <v>#REF!</v>
      </c>
      <c r="AG2132" t="e">
        <f>IF(#REF!&gt;=10,"High Risk", IF(#REF!&gt;=5,"Medium Risk","Low Risk"))</f>
        <v>#REF!</v>
      </c>
      <c r="AH2132" t="e">
        <f>#REF! + #REF! + #REF! + #REF!</f>
        <v>#REF!</v>
      </c>
    </row>
    <row r="2133" spans="1:34" x14ac:dyDescent="0.35">
      <c r="A2133">
        <v>2132</v>
      </c>
      <c r="B2133" t="s">
        <v>55</v>
      </c>
      <c r="C2133">
        <v>117</v>
      </c>
      <c r="D2133" t="s">
        <v>28</v>
      </c>
      <c r="E2133" t="s">
        <v>22</v>
      </c>
      <c r="F2133" t="s">
        <v>23</v>
      </c>
      <c r="G2133">
        <v>20</v>
      </c>
      <c r="H2133">
        <v>205.7</v>
      </c>
      <c r="I2133">
        <v>98</v>
      </c>
      <c r="J2133">
        <v>34.97</v>
      </c>
      <c r="K2133">
        <v>136.1</v>
      </c>
      <c r="L2133">
        <v>107</v>
      </c>
      <c r="M2133">
        <v>11.57</v>
      </c>
      <c r="N2133">
        <v>159.4</v>
      </c>
      <c r="O2133">
        <v>147</v>
      </c>
      <c r="P2133">
        <v>7.17</v>
      </c>
      <c r="Q2133">
        <v>8.6999999999999993</v>
      </c>
      <c r="R2133">
        <v>3</v>
      </c>
      <c r="S2133">
        <v>2.35</v>
      </c>
      <c r="T2133">
        <v>2</v>
      </c>
      <c r="U2133" t="s">
        <v>22</v>
      </c>
      <c r="V2133" t="e">
        <f>IF(#REF! = "yes", 1, 0)</f>
        <v>#REF!</v>
      </c>
      <c r="W2133" t="e">
        <f>IF(#REF! &lt;= 1, "0-1 Calls", IF(#REF! &lt;= 3, "2-3 Calls", IF(#REF! &lt;=5, "4-5 Calls", "6+ Calls")))</f>
        <v>#REF!</v>
      </c>
      <c r="X2133" t="e">
        <f>IF(#REF! &lt;= 50, "0-50", IF(#REF! &lt;=100, "51-100", IF(#REF! &lt;= 150, "101-150", "151+")))</f>
        <v>#REF!</v>
      </c>
      <c r="Y2133" t="e">
        <f>IF(#REF! &lt;= 3, "Low Charges", "High Charges")</f>
        <v>#REF!</v>
      </c>
      <c r="Z2133" t="e">
        <f>IF(#REF!&lt;=80,"Low Calls",
IF(#REF!&lt;=120,"Medium Calls","High Calls"))</f>
        <v>#REF!</v>
      </c>
      <c r="AA2133" t="e">
        <f>IF(#REF!&lt;=15,"Low Charges",
IF(#REF!&lt;=20,"Medium Charges","High Charges"))</f>
        <v>#REF!</v>
      </c>
      <c r="AB2133" t="e">
        <f>IF(AND(#REF!&gt;180, #REF!&gt;200), "Heavy Doemstic User", IF(#REF!&gt;10, "Interntional User", IF(AND(#REF!&lt;180, #REF!&lt;200,#REF!&lt;200), "Light User", "Balanced User")))</f>
        <v>#REF!</v>
      </c>
      <c r="AC2133" t="e">
        <f>IF(#REF! = 0, "No Usage", IF(#REF! &lt;= 20, "Low Usage", IF(#REF! &lt;= 40, "Medium Usgae", "High Usage")))</f>
        <v>#REF!</v>
      </c>
      <c r="AD2133" t="e">
        <f>IF(#REF!&lt;=150,"Low Usage", IF(#REF!&lt;=200,"Medium Usage", IF(#REF!&lt;=250,"High Usage","Very High Usage")))</f>
        <v>#REF!</v>
      </c>
      <c r="AE2133" t="e">
        <f>IF(#REF!&lt;=5,"Low Calls", IF(#REF!&lt;=10, "Medium Calls", "High Calls"))</f>
        <v>#REF!</v>
      </c>
      <c r="AF2133" t="e">
        <f xml:space="preserve">
IF(#REF!&gt;=4,4,0)+
IF(#REF!="yes",3,0)+
IF(#REF!="High Charges",3,0)+
IF(#REF!&gt;250,4,0)+
IF(#REF!="no",1,0)+
IF(#REF!="Heavy Domestic User",2,0)</f>
        <v>#REF!</v>
      </c>
      <c r="AG2133" t="e">
        <f>IF(#REF!&gt;=10,"High Risk", IF(#REF!&gt;=5,"Medium Risk","Low Risk"))</f>
        <v>#REF!</v>
      </c>
      <c r="AH2133" t="e">
        <f>#REF! + #REF! + #REF! + #REF!</f>
        <v>#REF!</v>
      </c>
    </row>
    <row r="2134" spans="1:34" x14ac:dyDescent="0.35">
      <c r="A2134">
        <v>2133</v>
      </c>
      <c r="B2134" t="s">
        <v>65</v>
      </c>
      <c r="C2134">
        <v>108</v>
      </c>
      <c r="D2134" t="s">
        <v>25</v>
      </c>
      <c r="E2134" t="s">
        <v>22</v>
      </c>
      <c r="F2134" t="s">
        <v>22</v>
      </c>
      <c r="G2134">
        <v>0</v>
      </c>
      <c r="H2134">
        <v>73.8</v>
      </c>
      <c r="I2134">
        <v>105</v>
      </c>
      <c r="J2134">
        <v>12.55</v>
      </c>
      <c r="K2134">
        <v>143.4</v>
      </c>
      <c r="L2134">
        <v>114</v>
      </c>
      <c r="M2134">
        <v>12.19</v>
      </c>
      <c r="N2134">
        <v>170.2</v>
      </c>
      <c r="O2134">
        <v>98</v>
      </c>
      <c r="P2134">
        <v>7.66</v>
      </c>
      <c r="Q2134">
        <v>10.9</v>
      </c>
      <c r="R2134">
        <v>3</v>
      </c>
      <c r="S2134">
        <v>2.94</v>
      </c>
      <c r="T2134">
        <v>2</v>
      </c>
      <c r="U2134" t="s">
        <v>22</v>
      </c>
      <c r="V2134" t="e">
        <f>IF(#REF! = "yes", 1, 0)</f>
        <v>#REF!</v>
      </c>
      <c r="W2134" t="e">
        <f>IF(#REF! &lt;= 1, "0-1 Calls", IF(#REF! &lt;= 3, "2-3 Calls", IF(#REF! &lt;=5, "4-5 Calls", "6+ Calls")))</f>
        <v>#REF!</v>
      </c>
      <c r="X2134" t="e">
        <f>IF(#REF! &lt;= 50, "0-50", IF(#REF! &lt;=100, "51-100", IF(#REF! &lt;= 150, "101-150", "151+")))</f>
        <v>#REF!</v>
      </c>
      <c r="Y2134" t="e">
        <f>IF(#REF! &lt;= 3, "Low Charges", "High Charges")</f>
        <v>#REF!</v>
      </c>
      <c r="Z2134" t="e">
        <f>IF(#REF!&lt;=80,"Low Calls",
IF(#REF!&lt;=120,"Medium Calls","High Calls"))</f>
        <v>#REF!</v>
      </c>
      <c r="AA2134" t="e">
        <f>IF(#REF!&lt;=15,"Low Charges",
IF(#REF!&lt;=20,"Medium Charges","High Charges"))</f>
        <v>#REF!</v>
      </c>
      <c r="AB2134" t="e">
        <f>IF(AND(#REF!&gt;180, #REF!&gt;200), "Heavy Doemstic User", IF(#REF!&gt;10, "Interntional User", IF(AND(#REF!&lt;180, #REF!&lt;200,#REF!&lt;200), "Light User", "Balanced User")))</f>
        <v>#REF!</v>
      </c>
      <c r="AC2134" t="e">
        <f>IF(#REF! = 0, "No Usage", IF(#REF! &lt;= 20, "Low Usage", IF(#REF! &lt;= 40, "Medium Usgae", "High Usage")))</f>
        <v>#REF!</v>
      </c>
      <c r="AD2134" t="e">
        <f>IF(#REF!&lt;=150,"Low Usage", IF(#REF!&lt;=200,"Medium Usage", IF(#REF!&lt;=250,"High Usage","Very High Usage")))</f>
        <v>#REF!</v>
      </c>
      <c r="AE2134" t="e">
        <f>IF(#REF!&lt;=5,"Low Calls", IF(#REF!&lt;=10, "Medium Calls", "High Calls"))</f>
        <v>#REF!</v>
      </c>
      <c r="AF2134" t="e">
        <f xml:space="preserve">
IF(#REF!&gt;=4,4,0)+
IF(#REF!="yes",3,0)+
IF(#REF!="High Charges",3,0)+
IF(#REF!&gt;250,4,0)+
IF(#REF!="no",1,0)+
IF(#REF!="Heavy Domestic User",2,0)</f>
        <v>#REF!</v>
      </c>
      <c r="AG2134" t="e">
        <f>IF(#REF!&gt;=10,"High Risk", IF(#REF!&gt;=5,"Medium Risk","Low Risk"))</f>
        <v>#REF!</v>
      </c>
      <c r="AH2134" t="e">
        <f>#REF! + #REF! + #REF! + #REF!</f>
        <v>#REF!</v>
      </c>
    </row>
    <row r="2135" spans="1:34" x14ac:dyDescent="0.35">
      <c r="A2135">
        <v>2134</v>
      </c>
      <c r="B2135" t="s">
        <v>38</v>
      </c>
      <c r="C2135">
        <v>118</v>
      </c>
      <c r="D2135" t="s">
        <v>25</v>
      </c>
      <c r="E2135" t="s">
        <v>22</v>
      </c>
      <c r="F2135" t="s">
        <v>22</v>
      </c>
      <c r="G2135">
        <v>0</v>
      </c>
      <c r="H2135">
        <v>189.3</v>
      </c>
      <c r="I2135">
        <v>119</v>
      </c>
      <c r="J2135">
        <v>32.18</v>
      </c>
      <c r="K2135">
        <v>233.5</v>
      </c>
      <c r="L2135">
        <v>112</v>
      </c>
      <c r="M2135">
        <v>19.850000000000001</v>
      </c>
      <c r="N2135">
        <v>270.89999999999998</v>
      </c>
      <c r="O2135">
        <v>104</v>
      </c>
      <c r="P2135">
        <v>12.19</v>
      </c>
      <c r="Q2135">
        <v>10</v>
      </c>
      <c r="R2135">
        <v>1</v>
      </c>
      <c r="S2135">
        <v>2.7</v>
      </c>
      <c r="T2135">
        <v>2</v>
      </c>
      <c r="U2135" t="s">
        <v>22</v>
      </c>
      <c r="V2135" t="e">
        <f>IF(#REF! = "yes", 1, 0)</f>
        <v>#REF!</v>
      </c>
      <c r="W2135" t="e">
        <f>IF(#REF! &lt;= 1, "0-1 Calls", IF(#REF! &lt;= 3, "2-3 Calls", IF(#REF! &lt;=5, "4-5 Calls", "6+ Calls")))</f>
        <v>#REF!</v>
      </c>
      <c r="X2135" t="e">
        <f>IF(#REF! &lt;= 50, "0-50", IF(#REF! &lt;=100, "51-100", IF(#REF! &lt;= 150, "101-150", "151+")))</f>
        <v>#REF!</v>
      </c>
      <c r="Y2135" t="e">
        <f>IF(#REF! &lt;= 3, "Low Charges", "High Charges")</f>
        <v>#REF!</v>
      </c>
      <c r="Z2135" t="e">
        <f>IF(#REF!&lt;=80,"Low Calls",
IF(#REF!&lt;=120,"Medium Calls","High Calls"))</f>
        <v>#REF!</v>
      </c>
      <c r="AA2135" t="e">
        <f>IF(#REF!&lt;=15,"Low Charges",
IF(#REF!&lt;=20,"Medium Charges","High Charges"))</f>
        <v>#REF!</v>
      </c>
      <c r="AB2135" t="e">
        <f>IF(AND(#REF!&gt;180, #REF!&gt;200), "Heavy Doemstic User", IF(#REF!&gt;10, "Interntional User", IF(AND(#REF!&lt;180, #REF!&lt;200,#REF!&lt;200), "Light User", "Balanced User")))</f>
        <v>#REF!</v>
      </c>
      <c r="AC2135" t="e">
        <f>IF(#REF! = 0, "No Usage", IF(#REF! &lt;= 20, "Low Usage", IF(#REF! &lt;= 40, "Medium Usgae", "High Usage")))</f>
        <v>#REF!</v>
      </c>
      <c r="AD2135" t="e">
        <f>IF(#REF!&lt;=150,"Low Usage", IF(#REF!&lt;=200,"Medium Usage", IF(#REF!&lt;=250,"High Usage","Very High Usage")))</f>
        <v>#REF!</v>
      </c>
      <c r="AE2135" t="e">
        <f>IF(#REF!&lt;=5,"Low Calls", IF(#REF!&lt;=10, "Medium Calls", "High Calls"))</f>
        <v>#REF!</v>
      </c>
      <c r="AF2135" t="e">
        <f xml:space="preserve">
IF(#REF!&gt;=4,4,0)+
IF(#REF!="yes",3,0)+
IF(#REF!="High Charges",3,0)+
IF(#REF!&gt;250,4,0)+
IF(#REF!="no",1,0)+
IF(#REF!="Heavy Domestic User",2,0)</f>
        <v>#REF!</v>
      </c>
      <c r="AG2135" t="e">
        <f>IF(#REF!&gt;=10,"High Risk", IF(#REF!&gt;=5,"Medium Risk","Low Risk"))</f>
        <v>#REF!</v>
      </c>
      <c r="AH2135" t="e">
        <f>#REF! + #REF! + #REF! + #REF!</f>
        <v>#REF!</v>
      </c>
    </row>
    <row r="2136" spans="1:34" x14ac:dyDescent="0.35">
      <c r="A2136">
        <v>2135</v>
      </c>
      <c r="B2136" t="s">
        <v>20</v>
      </c>
      <c r="C2136">
        <v>169</v>
      </c>
      <c r="D2136" t="s">
        <v>25</v>
      </c>
      <c r="E2136" t="s">
        <v>22</v>
      </c>
      <c r="F2136" t="s">
        <v>22</v>
      </c>
      <c r="G2136">
        <v>0</v>
      </c>
      <c r="H2136">
        <v>147.19999999999999</v>
      </c>
      <c r="I2136">
        <v>115</v>
      </c>
      <c r="J2136">
        <v>25.02</v>
      </c>
      <c r="K2136">
        <v>161.9</v>
      </c>
      <c r="L2136">
        <v>123</v>
      </c>
      <c r="M2136">
        <v>13.76</v>
      </c>
      <c r="N2136">
        <v>142.1</v>
      </c>
      <c r="O2136">
        <v>103</v>
      </c>
      <c r="P2136">
        <v>6.39</v>
      </c>
      <c r="Q2136">
        <v>7.2</v>
      </c>
      <c r="R2136">
        <v>6</v>
      </c>
      <c r="S2136">
        <v>1.94</v>
      </c>
      <c r="T2136">
        <v>3</v>
      </c>
      <c r="U2136" t="s">
        <v>22</v>
      </c>
      <c r="V2136" t="e">
        <f>IF(#REF! = "yes", 1, 0)</f>
        <v>#REF!</v>
      </c>
      <c r="W2136" t="e">
        <f>IF(#REF! &lt;= 1, "0-1 Calls", IF(#REF! &lt;= 3, "2-3 Calls", IF(#REF! &lt;=5, "4-5 Calls", "6+ Calls")))</f>
        <v>#REF!</v>
      </c>
      <c r="X2136" t="e">
        <f>IF(#REF! &lt;= 50, "0-50", IF(#REF! &lt;=100, "51-100", IF(#REF! &lt;= 150, "101-150", "151+")))</f>
        <v>#REF!</v>
      </c>
      <c r="Y2136" t="e">
        <f>IF(#REF! &lt;= 3, "Low Charges", "High Charges")</f>
        <v>#REF!</v>
      </c>
      <c r="Z2136" t="e">
        <f>IF(#REF!&lt;=80,"Low Calls",
IF(#REF!&lt;=120,"Medium Calls","High Calls"))</f>
        <v>#REF!</v>
      </c>
      <c r="AA2136" t="e">
        <f>IF(#REF!&lt;=15,"Low Charges",
IF(#REF!&lt;=20,"Medium Charges","High Charges"))</f>
        <v>#REF!</v>
      </c>
      <c r="AB2136" t="e">
        <f>IF(AND(#REF!&gt;180, #REF!&gt;200), "Heavy Doemstic User", IF(#REF!&gt;10, "Interntional User", IF(AND(#REF!&lt;180, #REF!&lt;200,#REF!&lt;200), "Light User", "Balanced User")))</f>
        <v>#REF!</v>
      </c>
      <c r="AC2136" t="e">
        <f>IF(#REF! = 0, "No Usage", IF(#REF! &lt;= 20, "Low Usage", IF(#REF! &lt;= 40, "Medium Usgae", "High Usage")))</f>
        <v>#REF!</v>
      </c>
      <c r="AD2136" t="e">
        <f>IF(#REF!&lt;=150,"Low Usage", IF(#REF!&lt;=200,"Medium Usage", IF(#REF!&lt;=250,"High Usage","Very High Usage")))</f>
        <v>#REF!</v>
      </c>
      <c r="AE2136" t="e">
        <f>IF(#REF!&lt;=5,"Low Calls", IF(#REF!&lt;=10, "Medium Calls", "High Calls"))</f>
        <v>#REF!</v>
      </c>
      <c r="AF2136" t="e">
        <f xml:space="preserve">
IF(#REF!&gt;=4,4,0)+
IF(#REF!="yes",3,0)+
IF(#REF!="High Charges",3,0)+
IF(#REF!&gt;250,4,0)+
IF(#REF!="no",1,0)+
IF(#REF!="Heavy Domestic User",2,0)</f>
        <v>#REF!</v>
      </c>
      <c r="AG2136" t="e">
        <f>IF(#REF!&gt;=10,"High Risk", IF(#REF!&gt;=5,"Medium Risk","Low Risk"))</f>
        <v>#REF!</v>
      </c>
      <c r="AH2136" t="e">
        <f>#REF! + #REF! + #REF! + #REF!</f>
        <v>#REF!</v>
      </c>
    </row>
    <row r="2137" spans="1:34" x14ac:dyDescent="0.35">
      <c r="A2137">
        <v>2136</v>
      </c>
      <c r="B2137" t="s">
        <v>42</v>
      </c>
      <c r="C2137">
        <v>62</v>
      </c>
      <c r="D2137" t="s">
        <v>25</v>
      </c>
      <c r="E2137" t="s">
        <v>22</v>
      </c>
      <c r="F2137" t="s">
        <v>23</v>
      </c>
      <c r="G2137">
        <v>42</v>
      </c>
      <c r="H2137">
        <v>137.30000000000001</v>
      </c>
      <c r="I2137">
        <v>95</v>
      </c>
      <c r="J2137">
        <v>23.34</v>
      </c>
      <c r="K2137">
        <v>184.2</v>
      </c>
      <c r="L2137">
        <v>94</v>
      </c>
      <c r="M2137">
        <v>15.66</v>
      </c>
      <c r="N2137">
        <v>231.4</v>
      </c>
      <c r="O2137">
        <v>70</v>
      </c>
      <c r="P2137">
        <v>10.41</v>
      </c>
      <c r="Q2137">
        <v>10.199999999999999</v>
      </c>
      <c r="R2137">
        <v>3</v>
      </c>
      <c r="S2137">
        <v>2.75</v>
      </c>
      <c r="T2137">
        <v>0</v>
      </c>
      <c r="U2137" t="s">
        <v>22</v>
      </c>
      <c r="V2137" t="e">
        <f>IF(#REF! = "yes", 1, 0)</f>
        <v>#REF!</v>
      </c>
      <c r="W2137" t="e">
        <f>IF(#REF! &lt;= 1, "0-1 Calls", IF(#REF! &lt;= 3, "2-3 Calls", IF(#REF! &lt;=5, "4-5 Calls", "6+ Calls")))</f>
        <v>#REF!</v>
      </c>
      <c r="X2137" t="e">
        <f>IF(#REF! &lt;= 50, "0-50", IF(#REF! &lt;=100, "51-100", IF(#REF! &lt;= 150, "101-150", "151+")))</f>
        <v>#REF!</v>
      </c>
      <c r="Y2137" t="e">
        <f>IF(#REF! &lt;= 3, "Low Charges", "High Charges")</f>
        <v>#REF!</v>
      </c>
      <c r="Z2137" t="e">
        <f>IF(#REF!&lt;=80,"Low Calls",
IF(#REF!&lt;=120,"Medium Calls","High Calls"))</f>
        <v>#REF!</v>
      </c>
      <c r="AA2137" t="e">
        <f>IF(#REF!&lt;=15,"Low Charges",
IF(#REF!&lt;=20,"Medium Charges","High Charges"))</f>
        <v>#REF!</v>
      </c>
      <c r="AB2137" t="e">
        <f>IF(AND(#REF!&gt;180, #REF!&gt;200), "Heavy Doemstic User", IF(#REF!&gt;10, "Interntional User", IF(AND(#REF!&lt;180, #REF!&lt;200,#REF!&lt;200), "Light User", "Balanced User")))</f>
        <v>#REF!</v>
      </c>
      <c r="AC2137" t="e">
        <f>IF(#REF! = 0, "No Usage", IF(#REF! &lt;= 20, "Low Usage", IF(#REF! &lt;= 40, "Medium Usgae", "High Usage")))</f>
        <v>#REF!</v>
      </c>
      <c r="AD2137" t="e">
        <f>IF(#REF!&lt;=150,"Low Usage", IF(#REF!&lt;=200,"Medium Usage", IF(#REF!&lt;=250,"High Usage","Very High Usage")))</f>
        <v>#REF!</v>
      </c>
      <c r="AE2137" t="e">
        <f>IF(#REF!&lt;=5,"Low Calls", IF(#REF!&lt;=10, "Medium Calls", "High Calls"))</f>
        <v>#REF!</v>
      </c>
      <c r="AF2137" t="e">
        <f xml:space="preserve">
IF(#REF!&gt;=4,4,0)+
IF(#REF!="yes",3,0)+
IF(#REF!="High Charges",3,0)+
IF(#REF!&gt;250,4,0)+
IF(#REF!="no",1,0)+
IF(#REF!="Heavy Domestic User",2,0)</f>
        <v>#REF!</v>
      </c>
      <c r="AG2137" t="e">
        <f>IF(#REF!&gt;=10,"High Risk", IF(#REF!&gt;=5,"Medium Risk","Low Risk"))</f>
        <v>#REF!</v>
      </c>
      <c r="AH2137" t="e">
        <f>#REF! + #REF! + #REF! + #REF!</f>
        <v>#REF!</v>
      </c>
    </row>
    <row r="2138" spans="1:34" x14ac:dyDescent="0.35">
      <c r="A2138">
        <v>2137</v>
      </c>
      <c r="B2138" t="s">
        <v>36</v>
      </c>
      <c r="C2138">
        <v>86</v>
      </c>
      <c r="D2138" t="s">
        <v>28</v>
      </c>
      <c r="E2138" t="s">
        <v>22</v>
      </c>
      <c r="F2138" t="s">
        <v>22</v>
      </c>
      <c r="G2138">
        <v>0</v>
      </c>
      <c r="H2138">
        <v>70.7</v>
      </c>
      <c r="I2138">
        <v>125</v>
      </c>
      <c r="J2138">
        <v>12.02</v>
      </c>
      <c r="K2138">
        <v>211</v>
      </c>
      <c r="L2138">
        <v>113</v>
      </c>
      <c r="M2138">
        <v>17.940000000000001</v>
      </c>
      <c r="N2138">
        <v>174.6</v>
      </c>
      <c r="O2138">
        <v>107</v>
      </c>
      <c r="P2138">
        <v>7.86</v>
      </c>
      <c r="Q2138">
        <v>0</v>
      </c>
      <c r="R2138">
        <v>0</v>
      </c>
      <c r="S2138">
        <v>0</v>
      </c>
      <c r="T2138">
        <v>2</v>
      </c>
      <c r="U2138" t="s">
        <v>22</v>
      </c>
      <c r="V2138" t="e">
        <f>IF(#REF! = "yes", 1, 0)</f>
        <v>#REF!</v>
      </c>
      <c r="W2138" t="e">
        <f>IF(#REF! &lt;= 1, "0-1 Calls", IF(#REF! &lt;= 3, "2-3 Calls", IF(#REF! &lt;=5, "4-5 Calls", "6+ Calls")))</f>
        <v>#REF!</v>
      </c>
      <c r="X2138" t="e">
        <f>IF(#REF! &lt;= 50, "0-50", IF(#REF! &lt;=100, "51-100", IF(#REF! &lt;= 150, "101-150", "151+")))</f>
        <v>#REF!</v>
      </c>
      <c r="Y2138" t="e">
        <f>IF(#REF! &lt;= 3, "Low Charges", "High Charges")</f>
        <v>#REF!</v>
      </c>
      <c r="Z2138" t="e">
        <f>IF(#REF!&lt;=80,"Low Calls",
IF(#REF!&lt;=120,"Medium Calls","High Calls"))</f>
        <v>#REF!</v>
      </c>
      <c r="AA2138" t="e">
        <f>IF(#REF!&lt;=15,"Low Charges",
IF(#REF!&lt;=20,"Medium Charges","High Charges"))</f>
        <v>#REF!</v>
      </c>
      <c r="AB2138" t="e">
        <f>IF(AND(#REF!&gt;180, #REF!&gt;200), "Heavy Doemstic User", IF(#REF!&gt;10, "Interntional User", IF(AND(#REF!&lt;180, #REF!&lt;200,#REF!&lt;200), "Light User", "Balanced User")))</f>
        <v>#REF!</v>
      </c>
      <c r="AC2138" t="e">
        <f>IF(#REF! = 0, "No Usage", IF(#REF! &lt;= 20, "Low Usage", IF(#REF! &lt;= 40, "Medium Usgae", "High Usage")))</f>
        <v>#REF!</v>
      </c>
      <c r="AD2138" t="e">
        <f>IF(#REF!&lt;=150,"Low Usage", IF(#REF!&lt;=200,"Medium Usage", IF(#REF!&lt;=250,"High Usage","Very High Usage")))</f>
        <v>#REF!</v>
      </c>
      <c r="AE2138" t="e">
        <f>IF(#REF!&lt;=5,"Low Calls", IF(#REF!&lt;=10, "Medium Calls", "High Calls"))</f>
        <v>#REF!</v>
      </c>
      <c r="AF2138" t="e">
        <f xml:space="preserve">
IF(#REF!&gt;=4,4,0)+
IF(#REF!="yes",3,0)+
IF(#REF!="High Charges",3,0)+
IF(#REF!&gt;250,4,0)+
IF(#REF!="no",1,0)+
IF(#REF!="Heavy Domestic User",2,0)</f>
        <v>#REF!</v>
      </c>
      <c r="AG2138" t="e">
        <f>IF(#REF!&gt;=10,"High Risk", IF(#REF!&gt;=5,"Medium Risk","Low Risk"))</f>
        <v>#REF!</v>
      </c>
      <c r="AH2138" t="e">
        <f>#REF! + #REF! + #REF! + #REF!</f>
        <v>#REF!</v>
      </c>
    </row>
    <row r="2139" spans="1:34" x14ac:dyDescent="0.35">
      <c r="A2139">
        <v>2138</v>
      </c>
      <c r="B2139" t="s">
        <v>38</v>
      </c>
      <c r="C2139">
        <v>44</v>
      </c>
      <c r="D2139" t="s">
        <v>25</v>
      </c>
      <c r="E2139" t="s">
        <v>22</v>
      </c>
      <c r="F2139" t="s">
        <v>22</v>
      </c>
      <c r="G2139">
        <v>0</v>
      </c>
      <c r="H2139">
        <v>204.6</v>
      </c>
      <c r="I2139">
        <v>117</v>
      </c>
      <c r="J2139">
        <v>34.78</v>
      </c>
      <c r="K2139">
        <v>205.2</v>
      </c>
      <c r="L2139">
        <v>94</v>
      </c>
      <c r="M2139">
        <v>17.440000000000001</v>
      </c>
      <c r="N2139">
        <v>164.6</v>
      </c>
      <c r="O2139">
        <v>84</v>
      </c>
      <c r="P2139">
        <v>7.41</v>
      </c>
      <c r="Q2139">
        <v>10.7</v>
      </c>
      <c r="R2139">
        <v>5</v>
      </c>
      <c r="S2139">
        <v>2.89</v>
      </c>
      <c r="T2139">
        <v>0</v>
      </c>
      <c r="U2139" t="s">
        <v>22</v>
      </c>
      <c r="V2139" t="e">
        <f>IF(#REF! = "yes", 1, 0)</f>
        <v>#REF!</v>
      </c>
      <c r="W2139" t="e">
        <f>IF(#REF! &lt;= 1, "0-1 Calls", IF(#REF! &lt;= 3, "2-3 Calls", IF(#REF! &lt;=5, "4-5 Calls", "6+ Calls")))</f>
        <v>#REF!</v>
      </c>
      <c r="X2139" t="e">
        <f>IF(#REF! &lt;= 50, "0-50", IF(#REF! &lt;=100, "51-100", IF(#REF! &lt;= 150, "101-150", "151+")))</f>
        <v>#REF!</v>
      </c>
      <c r="Y2139" t="e">
        <f>IF(#REF! &lt;= 3, "Low Charges", "High Charges")</f>
        <v>#REF!</v>
      </c>
      <c r="Z2139" t="e">
        <f>IF(#REF!&lt;=80,"Low Calls",
IF(#REF!&lt;=120,"Medium Calls","High Calls"))</f>
        <v>#REF!</v>
      </c>
      <c r="AA2139" t="e">
        <f>IF(#REF!&lt;=15,"Low Charges",
IF(#REF!&lt;=20,"Medium Charges","High Charges"))</f>
        <v>#REF!</v>
      </c>
      <c r="AB2139" t="e">
        <f>IF(AND(#REF!&gt;180, #REF!&gt;200), "Heavy Doemstic User", IF(#REF!&gt;10, "Interntional User", IF(AND(#REF!&lt;180, #REF!&lt;200,#REF!&lt;200), "Light User", "Balanced User")))</f>
        <v>#REF!</v>
      </c>
      <c r="AC2139" t="e">
        <f>IF(#REF! = 0, "No Usage", IF(#REF! &lt;= 20, "Low Usage", IF(#REF! &lt;= 40, "Medium Usgae", "High Usage")))</f>
        <v>#REF!</v>
      </c>
      <c r="AD2139" t="e">
        <f>IF(#REF!&lt;=150,"Low Usage", IF(#REF!&lt;=200,"Medium Usage", IF(#REF!&lt;=250,"High Usage","Very High Usage")))</f>
        <v>#REF!</v>
      </c>
      <c r="AE2139" t="e">
        <f>IF(#REF!&lt;=5,"Low Calls", IF(#REF!&lt;=10, "Medium Calls", "High Calls"))</f>
        <v>#REF!</v>
      </c>
      <c r="AF2139" t="e">
        <f xml:space="preserve">
IF(#REF!&gt;=4,4,0)+
IF(#REF!="yes",3,0)+
IF(#REF!="High Charges",3,0)+
IF(#REF!&gt;250,4,0)+
IF(#REF!="no",1,0)+
IF(#REF!="Heavy Domestic User",2,0)</f>
        <v>#REF!</v>
      </c>
      <c r="AG2139" t="e">
        <f>IF(#REF!&gt;=10,"High Risk", IF(#REF!&gt;=5,"Medium Risk","Low Risk"))</f>
        <v>#REF!</v>
      </c>
      <c r="AH2139" t="e">
        <f>#REF! + #REF! + #REF! + #REF!</f>
        <v>#REF!</v>
      </c>
    </row>
    <row r="2140" spans="1:34" x14ac:dyDescent="0.35">
      <c r="A2140">
        <v>2139</v>
      </c>
      <c r="B2140" t="s">
        <v>49</v>
      </c>
      <c r="C2140">
        <v>111</v>
      </c>
      <c r="D2140" t="s">
        <v>28</v>
      </c>
      <c r="E2140" t="s">
        <v>22</v>
      </c>
      <c r="F2140" t="s">
        <v>22</v>
      </c>
      <c r="G2140">
        <v>0</v>
      </c>
      <c r="H2140">
        <v>123.1</v>
      </c>
      <c r="I2140">
        <v>88</v>
      </c>
      <c r="J2140">
        <v>20.93</v>
      </c>
      <c r="K2140">
        <v>213.9</v>
      </c>
      <c r="L2140">
        <v>84</v>
      </c>
      <c r="M2140">
        <v>18.18</v>
      </c>
      <c r="N2140">
        <v>184.9</v>
      </c>
      <c r="O2140">
        <v>88</v>
      </c>
      <c r="P2140">
        <v>8.32</v>
      </c>
      <c r="Q2140">
        <v>12</v>
      </c>
      <c r="R2140">
        <v>2</v>
      </c>
      <c r="S2140">
        <v>3.24</v>
      </c>
      <c r="T2140">
        <v>5</v>
      </c>
      <c r="U2140" t="s">
        <v>23</v>
      </c>
      <c r="V2140" t="e">
        <f>IF(#REF! = "yes", 1, 0)</f>
        <v>#REF!</v>
      </c>
      <c r="W2140" t="e">
        <f>IF(#REF! &lt;= 1, "0-1 Calls", IF(#REF! &lt;= 3, "2-3 Calls", IF(#REF! &lt;=5, "4-5 Calls", "6+ Calls")))</f>
        <v>#REF!</v>
      </c>
      <c r="X2140" t="e">
        <f>IF(#REF! &lt;= 50, "0-50", IF(#REF! &lt;=100, "51-100", IF(#REF! &lt;= 150, "101-150", "151+")))</f>
        <v>#REF!</v>
      </c>
      <c r="Y2140" t="e">
        <f>IF(#REF! &lt;= 3, "Low Charges", "High Charges")</f>
        <v>#REF!</v>
      </c>
      <c r="Z2140" t="e">
        <f>IF(#REF!&lt;=80,"Low Calls",
IF(#REF!&lt;=120,"Medium Calls","High Calls"))</f>
        <v>#REF!</v>
      </c>
      <c r="AA2140" t="e">
        <f>IF(#REF!&lt;=15,"Low Charges",
IF(#REF!&lt;=20,"Medium Charges","High Charges"))</f>
        <v>#REF!</v>
      </c>
      <c r="AB2140" t="e">
        <f>IF(AND(#REF!&gt;180, #REF!&gt;200), "Heavy Doemstic User", IF(#REF!&gt;10, "Interntional User", IF(AND(#REF!&lt;180, #REF!&lt;200,#REF!&lt;200), "Light User", "Balanced User")))</f>
        <v>#REF!</v>
      </c>
      <c r="AC2140" t="e">
        <f>IF(#REF! = 0, "No Usage", IF(#REF! &lt;= 20, "Low Usage", IF(#REF! &lt;= 40, "Medium Usgae", "High Usage")))</f>
        <v>#REF!</v>
      </c>
      <c r="AD2140" t="e">
        <f>IF(#REF!&lt;=150,"Low Usage", IF(#REF!&lt;=200,"Medium Usage", IF(#REF!&lt;=250,"High Usage","Very High Usage")))</f>
        <v>#REF!</v>
      </c>
      <c r="AE2140" t="e">
        <f>IF(#REF!&lt;=5,"Low Calls", IF(#REF!&lt;=10, "Medium Calls", "High Calls"))</f>
        <v>#REF!</v>
      </c>
      <c r="AF2140" t="e">
        <f xml:space="preserve">
IF(#REF!&gt;=4,4,0)+
IF(#REF!="yes",3,0)+
IF(#REF!="High Charges",3,0)+
IF(#REF!&gt;250,4,0)+
IF(#REF!="no",1,0)+
IF(#REF!="Heavy Domestic User",2,0)</f>
        <v>#REF!</v>
      </c>
      <c r="AG2140" t="e">
        <f>IF(#REF!&gt;=10,"High Risk", IF(#REF!&gt;=5,"Medium Risk","Low Risk"))</f>
        <v>#REF!</v>
      </c>
      <c r="AH2140" t="e">
        <f>#REF! + #REF! + #REF! + #REF!</f>
        <v>#REF!</v>
      </c>
    </row>
    <row r="2141" spans="1:34" x14ac:dyDescent="0.35">
      <c r="A2141">
        <v>2140</v>
      </c>
      <c r="B2141" t="s">
        <v>27</v>
      </c>
      <c r="C2141">
        <v>127</v>
      </c>
      <c r="D2141" t="s">
        <v>28</v>
      </c>
      <c r="E2141" t="s">
        <v>22</v>
      </c>
      <c r="F2141" t="s">
        <v>23</v>
      </c>
      <c r="G2141">
        <v>19</v>
      </c>
      <c r="H2141">
        <v>129.69999999999999</v>
      </c>
      <c r="I2141">
        <v>115</v>
      </c>
      <c r="J2141">
        <v>22.05</v>
      </c>
      <c r="K2141">
        <v>160.80000000000001</v>
      </c>
      <c r="L2141">
        <v>101</v>
      </c>
      <c r="M2141">
        <v>13.67</v>
      </c>
      <c r="N2141">
        <v>265</v>
      </c>
      <c r="O2141">
        <v>63</v>
      </c>
      <c r="P2141">
        <v>11.93</v>
      </c>
      <c r="Q2141">
        <v>12.2</v>
      </c>
      <c r="R2141">
        <v>3</v>
      </c>
      <c r="S2141">
        <v>3.29</v>
      </c>
      <c r="T2141">
        <v>2</v>
      </c>
      <c r="U2141" t="s">
        <v>22</v>
      </c>
      <c r="V2141" t="e">
        <f>IF(#REF! = "yes", 1, 0)</f>
        <v>#REF!</v>
      </c>
      <c r="W2141" t="e">
        <f>IF(#REF! &lt;= 1, "0-1 Calls", IF(#REF! &lt;= 3, "2-3 Calls", IF(#REF! &lt;=5, "4-5 Calls", "6+ Calls")))</f>
        <v>#REF!</v>
      </c>
      <c r="X2141" t="e">
        <f>IF(#REF! &lt;= 50, "0-50", IF(#REF! &lt;=100, "51-100", IF(#REF! &lt;= 150, "101-150", "151+")))</f>
        <v>#REF!</v>
      </c>
      <c r="Y2141" t="e">
        <f>IF(#REF! &lt;= 3, "Low Charges", "High Charges")</f>
        <v>#REF!</v>
      </c>
      <c r="Z2141" t="e">
        <f>IF(#REF!&lt;=80,"Low Calls",
IF(#REF!&lt;=120,"Medium Calls","High Calls"))</f>
        <v>#REF!</v>
      </c>
      <c r="AA2141" t="e">
        <f>IF(#REF!&lt;=15,"Low Charges",
IF(#REF!&lt;=20,"Medium Charges","High Charges"))</f>
        <v>#REF!</v>
      </c>
      <c r="AB2141" t="e">
        <f>IF(AND(#REF!&gt;180, #REF!&gt;200), "Heavy Doemstic User", IF(#REF!&gt;10, "Interntional User", IF(AND(#REF!&lt;180, #REF!&lt;200,#REF!&lt;200), "Light User", "Balanced User")))</f>
        <v>#REF!</v>
      </c>
      <c r="AC2141" t="e">
        <f>IF(#REF! = 0, "No Usage", IF(#REF! &lt;= 20, "Low Usage", IF(#REF! &lt;= 40, "Medium Usgae", "High Usage")))</f>
        <v>#REF!</v>
      </c>
      <c r="AD2141" t="e">
        <f>IF(#REF!&lt;=150,"Low Usage", IF(#REF!&lt;=200,"Medium Usage", IF(#REF!&lt;=250,"High Usage","Very High Usage")))</f>
        <v>#REF!</v>
      </c>
      <c r="AE2141" t="e">
        <f>IF(#REF!&lt;=5,"Low Calls", IF(#REF!&lt;=10, "Medium Calls", "High Calls"))</f>
        <v>#REF!</v>
      </c>
      <c r="AF2141" t="e">
        <f xml:space="preserve">
IF(#REF!&gt;=4,4,0)+
IF(#REF!="yes",3,0)+
IF(#REF!="High Charges",3,0)+
IF(#REF!&gt;250,4,0)+
IF(#REF!="no",1,0)+
IF(#REF!="Heavy Domestic User",2,0)</f>
        <v>#REF!</v>
      </c>
      <c r="AG2141" t="e">
        <f>IF(#REF!&gt;=10,"High Risk", IF(#REF!&gt;=5,"Medium Risk","Low Risk"))</f>
        <v>#REF!</v>
      </c>
      <c r="AH2141" t="e">
        <f>#REF! + #REF! + #REF! + #REF!</f>
        <v>#REF!</v>
      </c>
    </row>
    <row r="2142" spans="1:34" x14ac:dyDescent="0.35">
      <c r="A2142">
        <v>2141</v>
      </c>
      <c r="B2142" t="s">
        <v>72</v>
      </c>
      <c r="C2142">
        <v>151</v>
      </c>
      <c r="D2142" t="s">
        <v>21</v>
      </c>
      <c r="E2142" t="s">
        <v>23</v>
      </c>
      <c r="F2142" t="s">
        <v>22</v>
      </c>
      <c r="G2142">
        <v>0</v>
      </c>
      <c r="H2142">
        <v>198.7</v>
      </c>
      <c r="I2142">
        <v>70</v>
      </c>
      <c r="J2142">
        <v>33.78</v>
      </c>
      <c r="K2142">
        <v>209.5</v>
      </c>
      <c r="L2142">
        <v>106</v>
      </c>
      <c r="M2142">
        <v>17.809999999999999</v>
      </c>
      <c r="N2142">
        <v>281.89999999999998</v>
      </c>
      <c r="O2142">
        <v>126</v>
      </c>
      <c r="P2142">
        <v>12.69</v>
      </c>
      <c r="Q2142">
        <v>12.4</v>
      </c>
      <c r="R2142">
        <v>4</v>
      </c>
      <c r="S2142">
        <v>3.35</v>
      </c>
      <c r="T2142">
        <v>0</v>
      </c>
      <c r="U2142" t="s">
        <v>22</v>
      </c>
      <c r="V2142" t="e">
        <f>IF(#REF! = "yes", 1, 0)</f>
        <v>#REF!</v>
      </c>
      <c r="W2142" t="e">
        <f>IF(#REF! &lt;= 1, "0-1 Calls", IF(#REF! &lt;= 3, "2-3 Calls", IF(#REF! &lt;=5, "4-5 Calls", "6+ Calls")))</f>
        <v>#REF!</v>
      </c>
      <c r="X2142" t="e">
        <f>IF(#REF! &lt;= 50, "0-50", IF(#REF! &lt;=100, "51-100", IF(#REF! &lt;= 150, "101-150", "151+")))</f>
        <v>#REF!</v>
      </c>
      <c r="Y2142" t="e">
        <f>IF(#REF! &lt;= 3, "Low Charges", "High Charges")</f>
        <v>#REF!</v>
      </c>
      <c r="Z2142" t="e">
        <f>IF(#REF!&lt;=80,"Low Calls",
IF(#REF!&lt;=120,"Medium Calls","High Calls"))</f>
        <v>#REF!</v>
      </c>
      <c r="AA2142" t="e">
        <f>IF(#REF!&lt;=15,"Low Charges",
IF(#REF!&lt;=20,"Medium Charges","High Charges"))</f>
        <v>#REF!</v>
      </c>
      <c r="AB2142" t="e">
        <f>IF(AND(#REF!&gt;180, #REF!&gt;200), "Heavy Doemstic User", IF(#REF!&gt;10, "Interntional User", IF(AND(#REF!&lt;180, #REF!&lt;200,#REF!&lt;200), "Light User", "Balanced User")))</f>
        <v>#REF!</v>
      </c>
      <c r="AC2142" t="e">
        <f>IF(#REF! = 0, "No Usage", IF(#REF! &lt;= 20, "Low Usage", IF(#REF! &lt;= 40, "Medium Usgae", "High Usage")))</f>
        <v>#REF!</v>
      </c>
      <c r="AD2142" t="e">
        <f>IF(#REF!&lt;=150,"Low Usage", IF(#REF!&lt;=200,"Medium Usage", IF(#REF!&lt;=250,"High Usage","Very High Usage")))</f>
        <v>#REF!</v>
      </c>
      <c r="AE2142" t="e">
        <f>IF(#REF!&lt;=5,"Low Calls", IF(#REF!&lt;=10, "Medium Calls", "High Calls"))</f>
        <v>#REF!</v>
      </c>
      <c r="AF2142" t="e">
        <f xml:space="preserve">
IF(#REF!&gt;=4,4,0)+
IF(#REF!="yes",3,0)+
IF(#REF!="High Charges",3,0)+
IF(#REF!&gt;250,4,0)+
IF(#REF!="no",1,0)+
IF(#REF!="Heavy Domestic User",2,0)</f>
        <v>#REF!</v>
      </c>
      <c r="AG2142" t="e">
        <f>IF(#REF!&gt;=10,"High Risk", IF(#REF!&gt;=5,"Medium Risk","Low Risk"))</f>
        <v>#REF!</v>
      </c>
      <c r="AH2142" t="e">
        <f>#REF! + #REF! + #REF! + #REF!</f>
        <v>#REF!</v>
      </c>
    </row>
    <row r="2143" spans="1:34" x14ac:dyDescent="0.35">
      <c r="A2143">
        <v>2142</v>
      </c>
      <c r="B2143" t="s">
        <v>30</v>
      </c>
      <c r="C2143">
        <v>53</v>
      </c>
      <c r="D2143" t="s">
        <v>21</v>
      </c>
      <c r="E2143" t="s">
        <v>22</v>
      </c>
      <c r="F2143" t="s">
        <v>22</v>
      </c>
      <c r="G2143">
        <v>0</v>
      </c>
      <c r="H2143">
        <v>145.1</v>
      </c>
      <c r="I2143">
        <v>116</v>
      </c>
      <c r="J2143">
        <v>24.67</v>
      </c>
      <c r="K2143">
        <v>233.7</v>
      </c>
      <c r="L2143">
        <v>82</v>
      </c>
      <c r="M2143">
        <v>19.86</v>
      </c>
      <c r="N2143">
        <v>208.7</v>
      </c>
      <c r="O2143">
        <v>95</v>
      </c>
      <c r="P2143">
        <v>9.39</v>
      </c>
      <c r="Q2143">
        <v>7.9</v>
      </c>
      <c r="R2143">
        <v>5</v>
      </c>
      <c r="S2143">
        <v>2.13</v>
      </c>
      <c r="T2143">
        <v>2</v>
      </c>
      <c r="U2143" t="s">
        <v>22</v>
      </c>
      <c r="V2143" t="e">
        <f>IF(#REF! = "yes", 1, 0)</f>
        <v>#REF!</v>
      </c>
      <c r="W2143" t="e">
        <f>IF(#REF! &lt;= 1, "0-1 Calls", IF(#REF! &lt;= 3, "2-3 Calls", IF(#REF! &lt;=5, "4-5 Calls", "6+ Calls")))</f>
        <v>#REF!</v>
      </c>
      <c r="X2143" t="e">
        <f>IF(#REF! &lt;= 50, "0-50", IF(#REF! &lt;=100, "51-100", IF(#REF! &lt;= 150, "101-150", "151+")))</f>
        <v>#REF!</v>
      </c>
      <c r="Y2143" t="e">
        <f>IF(#REF! &lt;= 3, "Low Charges", "High Charges")</f>
        <v>#REF!</v>
      </c>
      <c r="Z2143" t="e">
        <f>IF(#REF!&lt;=80,"Low Calls",
IF(#REF!&lt;=120,"Medium Calls","High Calls"))</f>
        <v>#REF!</v>
      </c>
      <c r="AA2143" t="e">
        <f>IF(#REF!&lt;=15,"Low Charges",
IF(#REF!&lt;=20,"Medium Charges","High Charges"))</f>
        <v>#REF!</v>
      </c>
      <c r="AB2143" t="e">
        <f>IF(AND(#REF!&gt;180, #REF!&gt;200), "Heavy Doemstic User", IF(#REF!&gt;10, "Interntional User", IF(AND(#REF!&lt;180, #REF!&lt;200,#REF!&lt;200), "Light User", "Balanced User")))</f>
        <v>#REF!</v>
      </c>
      <c r="AC2143" t="e">
        <f>IF(#REF! = 0, "No Usage", IF(#REF! &lt;= 20, "Low Usage", IF(#REF! &lt;= 40, "Medium Usgae", "High Usage")))</f>
        <v>#REF!</v>
      </c>
      <c r="AD2143" t="e">
        <f>IF(#REF!&lt;=150,"Low Usage", IF(#REF!&lt;=200,"Medium Usage", IF(#REF!&lt;=250,"High Usage","Very High Usage")))</f>
        <v>#REF!</v>
      </c>
      <c r="AE2143" t="e">
        <f>IF(#REF!&lt;=5,"Low Calls", IF(#REF!&lt;=10, "Medium Calls", "High Calls"))</f>
        <v>#REF!</v>
      </c>
      <c r="AF2143" t="e">
        <f xml:space="preserve">
IF(#REF!&gt;=4,4,0)+
IF(#REF!="yes",3,0)+
IF(#REF!="High Charges",3,0)+
IF(#REF!&gt;250,4,0)+
IF(#REF!="no",1,0)+
IF(#REF!="Heavy Domestic User",2,0)</f>
        <v>#REF!</v>
      </c>
      <c r="AG2143" t="e">
        <f>IF(#REF!&gt;=10,"High Risk", IF(#REF!&gt;=5,"Medium Risk","Low Risk"))</f>
        <v>#REF!</v>
      </c>
      <c r="AH2143" t="e">
        <f>#REF! + #REF! + #REF! + #REF!</f>
        <v>#REF!</v>
      </c>
    </row>
    <row r="2144" spans="1:34" x14ac:dyDescent="0.35">
      <c r="A2144">
        <v>2143</v>
      </c>
      <c r="B2144" t="s">
        <v>29</v>
      </c>
      <c r="C2144">
        <v>15</v>
      </c>
      <c r="D2144" t="s">
        <v>21</v>
      </c>
      <c r="E2144" t="s">
        <v>22</v>
      </c>
      <c r="F2144" t="s">
        <v>22</v>
      </c>
      <c r="G2144">
        <v>0</v>
      </c>
      <c r="H2144">
        <v>135.19999999999999</v>
      </c>
      <c r="I2144">
        <v>101</v>
      </c>
      <c r="J2144">
        <v>22.98</v>
      </c>
      <c r="K2144">
        <v>152.5</v>
      </c>
      <c r="L2144">
        <v>79</v>
      </c>
      <c r="M2144">
        <v>12.96</v>
      </c>
      <c r="N2144">
        <v>224.8</v>
      </c>
      <c r="O2144">
        <v>83</v>
      </c>
      <c r="P2144">
        <v>10.119999999999999</v>
      </c>
      <c r="Q2144">
        <v>8.4</v>
      </c>
      <c r="R2144">
        <v>5</v>
      </c>
      <c r="S2144">
        <v>2.27</v>
      </c>
      <c r="T2144">
        <v>2</v>
      </c>
      <c r="U2144" t="s">
        <v>22</v>
      </c>
      <c r="V2144" t="e">
        <f>IF(#REF! = "yes", 1, 0)</f>
        <v>#REF!</v>
      </c>
      <c r="W2144" t="e">
        <f>IF(#REF! &lt;= 1, "0-1 Calls", IF(#REF! &lt;= 3, "2-3 Calls", IF(#REF! &lt;=5, "4-5 Calls", "6+ Calls")))</f>
        <v>#REF!</v>
      </c>
      <c r="X2144" t="e">
        <f>IF(#REF! &lt;= 50, "0-50", IF(#REF! &lt;=100, "51-100", IF(#REF! &lt;= 150, "101-150", "151+")))</f>
        <v>#REF!</v>
      </c>
      <c r="Y2144" t="e">
        <f>IF(#REF! &lt;= 3, "Low Charges", "High Charges")</f>
        <v>#REF!</v>
      </c>
      <c r="Z2144" t="e">
        <f>IF(#REF!&lt;=80,"Low Calls",
IF(#REF!&lt;=120,"Medium Calls","High Calls"))</f>
        <v>#REF!</v>
      </c>
      <c r="AA2144" t="e">
        <f>IF(#REF!&lt;=15,"Low Charges",
IF(#REF!&lt;=20,"Medium Charges","High Charges"))</f>
        <v>#REF!</v>
      </c>
      <c r="AB2144" t="e">
        <f>IF(AND(#REF!&gt;180, #REF!&gt;200), "Heavy Doemstic User", IF(#REF!&gt;10, "Interntional User", IF(AND(#REF!&lt;180, #REF!&lt;200,#REF!&lt;200), "Light User", "Balanced User")))</f>
        <v>#REF!</v>
      </c>
      <c r="AC2144" t="e">
        <f>IF(#REF! = 0, "No Usage", IF(#REF! &lt;= 20, "Low Usage", IF(#REF! &lt;= 40, "Medium Usgae", "High Usage")))</f>
        <v>#REF!</v>
      </c>
      <c r="AD2144" t="e">
        <f>IF(#REF!&lt;=150,"Low Usage", IF(#REF!&lt;=200,"Medium Usage", IF(#REF!&lt;=250,"High Usage","Very High Usage")))</f>
        <v>#REF!</v>
      </c>
      <c r="AE2144" t="e">
        <f>IF(#REF!&lt;=5,"Low Calls", IF(#REF!&lt;=10, "Medium Calls", "High Calls"))</f>
        <v>#REF!</v>
      </c>
      <c r="AF2144" t="e">
        <f xml:space="preserve">
IF(#REF!&gt;=4,4,0)+
IF(#REF!="yes",3,0)+
IF(#REF!="High Charges",3,0)+
IF(#REF!&gt;250,4,0)+
IF(#REF!="no",1,0)+
IF(#REF!="Heavy Domestic User",2,0)</f>
        <v>#REF!</v>
      </c>
      <c r="AG2144" t="e">
        <f>IF(#REF!&gt;=10,"High Risk", IF(#REF!&gt;=5,"Medium Risk","Low Risk"))</f>
        <v>#REF!</v>
      </c>
      <c r="AH2144" t="e">
        <f>#REF! + #REF! + #REF! + #REF!</f>
        <v>#REF!</v>
      </c>
    </row>
    <row r="2145" spans="1:34" x14ac:dyDescent="0.35">
      <c r="A2145">
        <v>2144</v>
      </c>
      <c r="B2145" t="s">
        <v>63</v>
      </c>
      <c r="C2145">
        <v>123</v>
      </c>
      <c r="D2145" t="s">
        <v>25</v>
      </c>
      <c r="E2145" t="s">
        <v>22</v>
      </c>
      <c r="F2145" t="s">
        <v>23</v>
      </c>
      <c r="G2145">
        <v>28</v>
      </c>
      <c r="H2145">
        <v>124.7</v>
      </c>
      <c r="I2145">
        <v>105</v>
      </c>
      <c r="J2145">
        <v>21.2</v>
      </c>
      <c r="K2145">
        <v>250.4</v>
      </c>
      <c r="L2145">
        <v>78</v>
      </c>
      <c r="M2145">
        <v>21.28</v>
      </c>
      <c r="N2145">
        <v>216.4</v>
      </c>
      <c r="O2145">
        <v>128</v>
      </c>
      <c r="P2145">
        <v>9.74</v>
      </c>
      <c r="Q2145">
        <v>7.8</v>
      </c>
      <c r="R2145">
        <v>8</v>
      </c>
      <c r="S2145">
        <v>2.11</v>
      </c>
      <c r="T2145">
        <v>1</v>
      </c>
      <c r="U2145" t="s">
        <v>22</v>
      </c>
      <c r="V2145" t="e">
        <f>IF(#REF! = "yes", 1, 0)</f>
        <v>#REF!</v>
      </c>
      <c r="W2145" t="e">
        <f>IF(#REF! &lt;= 1, "0-1 Calls", IF(#REF! &lt;= 3, "2-3 Calls", IF(#REF! &lt;=5, "4-5 Calls", "6+ Calls")))</f>
        <v>#REF!</v>
      </c>
      <c r="X2145" t="e">
        <f>IF(#REF! &lt;= 50, "0-50", IF(#REF! &lt;=100, "51-100", IF(#REF! &lt;= 150, "101-150", "151+")))</f>
        <v>#REF!</v>
      </c>
      <c r="Y2145" t="e">
        <f>IF(#REF! &lt;= 3, "Low Charges", "High Charges")</f>
        <v>#REF!</v>
      </c>
      <c r="Z2145" t="e">
        <f>IF(#REF!&lt;=80,"Low Calls",
IF(#REF!&lt;=120,"Medium Calls","High Calls"))</f>
        <v>#REF!</v>
      </c>
      <c r="AA2145" t="e">
        <f>IF(#REF!&lt;=15,"Low Charges",
IF(#REF!&lt;=20,"Medium Charges","High Charges"))</f>
        <v>#REF!</v>
      </c>
      <c r="AB2145" t="e">
        <f>IF(AND(#REF!&gt;180, #REF!&gt;200), "Heavy Doemstic User", IF(#REF!&gt;10, "Interntional User", IF(AND(#REF!&lt;180, #REF!&lt;200,#REF!&lt;200), "Light User", "Balanced User")))</f>
        <v>#REF!</v>
      </c>
      <c r="AC2145" t="e">
        <f>IF(#REF! = 0, "No Usage", IF(#REF! &lt;= 20, "Low Usage", IF(#REF! &lt;= 40, "Medium Usgae", "High Usage")))</f>
        <v>#REF!</v>
      </c>
      <c r="AD2145" t="e">
        <f>IF(#REF!&lt;=150,"Low Usage", IF(#REF!&lt;=200,"Medium Usage", IF(#REF!&lt;=250,"High Usage","Very High Usage")))</f>
        <v>#REF!</v>
      </c>
      <c r="AE2145" t="e">
        <f>IF(#REF!&lt;=5,"Low Calls", IF(#REF!&lt;=10, "Medium Calls", "High Calls"))</f>
        <v>#REF!</v>
      </c>
      <c r="AF2145" t="e">
        <f xml:space="preserve">
IF(#REF!&gt;=4,4,0)+
IF(#REF!="yes",3,0)+
IF(#REF!="High Charges",3,0)+
IF(#REF!&gt;250,4,0)+
IF(#REF!="no",1,0)+
IF(#REF!="Heavy Domestic User",2,0)</f>
        <v>#REF!</v>
      </c>
      <c r="AG2145" t="e">
        <f>IF(#REF!&gt;=10,"High Risk", IF(#REF!&gt;=5,"Medium Risk","Low Risk"))</f>
        <v>#REF!</v>
      </c>
      <c r="AH2145" t="e">
        <f>#REF! + #REF! + #REF! + #REF!</f>
        <v>#REF!</v>
      </c>
    </row>
    <row r="2146" spans="1:34" x14ac:dyDescent="0.35">
      <c r="A2146">
        <v>2145</v>
      </c>
      <c r="B2146" t="s">
        <v>73</v>
      </c>
      <c r="C2146">
        <v>137</v>
      </c>
      <c r="D2146" t="s">
        <v>21</v>
      </c>
      <c r="E2146" t="s">
        <v>22</v>
      </c>
      <c r="F2146" t="s">
        <v>22</v>
      </c>
      <c r="G2146">
        <v>0</v>
      </c>
      <c r="H2146">
        <v>215.9</v>
      </c>
      <c r="I2146">
        <v>76</v>
      </c>
      <c r="J2146">
        <v>36.700000000000003</v>
      </c>
      <c r="K2146">
        <v>145.4</v>
      </c>
      <c r="L2146">
        <v>118</v>
      </c>
      <c r="M2146">
        <v>12.36</v>
      </c>
      <c r="N2146">
        <v>186.9</v>
      </c>
      <c r="O2146">
        <v>129</v>
      </c>
      <c r="P2146">
        <v>8.41</v>
      </c>
      <c r="Q2146">
        <v>12.1</v>
      </c>
      <c r="R2146">
        <v>4</v>
      </c>
      <c r="S2146">
        <v>3.27</v>
      </c>
      <c r="T2146">
        <v>1</v>
      </c>
      <c r="U2146" t="s">
        <v>22</v>
      </c>
      <c r="V2146" t="e">
        <f>IF(#REF! = "yes", 1, 0)</f>
        <v>#REF!</v>
      </c>
      <c r="W2146" t="e">
        <f>IF(#REF! &lt;= 1, "0-1 Calls", IF(#REF! &lt;= 3, "2-3 Calls", IF(#REF! &lt;=5, "4-5 Calls", "6+ Calls")))</f>
        <v>#REF!</v>
      </c>
      <c r="X2146" t="e">
        <f>IF(#REF! &lt;= 50, "0-50", IF(#REF! &lt;=100, "51-100", IF(#REF! &lt;= 150, "101-150", "151+")))</f>
        <v>#REF!</v>
      </c>
      <c r="Y2146" t="e">
        <f>IF(#REF! &lt;= 3, "Low Charges", "High Charges")</f>
        <v>#REF!</v>
      </c>
      <c r="Z2146" t="e">
        <f>IF(#REF!&lt;=80,"Low Calls",
IF(#REF!&lt;=120,"Medium Calls","High Calls"))</f>
        <v>#REF!</v>
      </c>
      <c r="AA2146" t="e">
        <f>IF(#REF!&lt;=15,"Low Charges",
IF(#REF!&lt;=20,"Medium Charges","High Charges"))</f>
        <v>#REF!</v>
      </c>
      <c r="AB2146" t="e">
        <f>IF(AND(#REF!&gt;180, #REF!&gt;200), "Heavy Doemstic User", IF(#REF!&gt;10, "Interntional User", IF(AND(#REF!&lt;180, #REF!&lt;200,#REF!&lt;200), "Light User", "Balanced User")))</f>
        <v>#REF!</v>
      </c>
      <c r="AC2146" t="e">
        <f>IF(#REF! = 0, "No Usage", IF(#REF! &lt;= 20, "Low Usage", IF(#REF! &lt;= 40, "Medium Usgae", "High Usage")))</f>
        <v>#REF!</v>
      </c>
      <c r="AD2146" t="e">
        <f>IF(#REF!&lt;=150,"Low Usage", IF(#REF!&lt;=200,"Medium Usage", IF(#REF!&lt;=250,"High Usage","Very High Usage")))</f>
        <v>#REF!</v>
      </c>
      <c r="AE2146" t="e">
        <f>IF(#REF!&lt;=5,"Low Calls", IF(#REF!&lt;=10, "Medium Calls", "High Calls"))</f>
        <v>#REF!</v>
      </c>
      <c r="AF2146" t="e">
        <f xml:space="preserve">
IF(#REF!&gt;=4,4,0)+
IF(#REF!="yes",3,0)+
IF(#REF!="High Charges",3,0)+
IF(#REF!&gt;250,4,0)+
IF(#REF!="no",1,0)+
IF(#REF!="Heavy Domestic User",2,0)</f>
        <v>#REF!</v>
      </c>
      <c r="AG2146" t="e">
        <f>IF(#REF!&gt;=10,"High Risk", IF(#REF!&gt;=5,"Medium Risk","Low Risk"))</f>
        <v>#REF!</v>
      </c>
      <c r="AH2146" t="e">
        <f>#REF! + #REF! + #REF! + #REF!</f>
        <v>#REF!</v>
      </c>
    </row>
    <row r="2147" spans="1:34" x14ac:dyDescent="0.35">
      <c r="A2147">
        <v>2146</v>
      </c>
      <c r="B2147" t="s">
        <v>71</v>
      </c>
      <c r="C2147">
        <v>106</v>
      </c>
      <c r="D2147" t="s">
        <v>21</v>
      </c>
      <c r="E2147" t="s">
        <v>22</v>
      </c>
      <c r="F2147" t="s">
        <v>22</v>
      </c>
      <c r="G2147">
        <v>0</v>
      </c>
      <c r="H2147">
        <v>119.2</v>
      </c>
      <c r="I2147">
        <v>142</v>
      </c>
      <c r="J2147">
        <v>20.260000000000002</v>
      </c>
      <c r="K2147">
        <v>228.4</v>
      </c>
      <c r="L2147">
        <v>139</v>
      </c>
      <c r="M2147">
        <v>19.41</v>
      </c>
      <c r="N2147">
        <v>197.9</v>
      </c>
      <c r="O2147">
        <v>61</v>
      </c>
      <c r="P2147">
        <v>8.91</v>
      </c>
      <c r="Q2147">
        <v>8.4</v>
      </c>
      <c r="R2147">
        <v>9</v>
      </c>
      <c r="S2147">
        <v>2.27</v>
      </c>
      <c r="T2147">
        <v>2</v>
      </c>
      <c r="U2147" t="s">
        <v>22</v>
      </c>
      <c r="V2147" t="e">
        <f>IF(#REF! = "yes", 1, 0)</f>
        <v>#REF!</v>
      </c>
      <c r="W2147" t="e">
        <f>IF(#REF! &lt;= 1, "0-1 Calls", IF(#REF! &lt;= 3, "2-3 Calls", IF(#REF! &lt;=5, "4-5 Calls", "6+ Calls")))</f>
        <v>#REF!</v>
      </c>
      <c r="X2147" t="e">
        <f>IF(#REF! &lt;= 50, "0-50", IF(#REF! &lt;=100, "51-100", IF(#REF! &lt;= 150, "101-150", "151+")))</f>
        <v>#REF!</v>
      </c>
      <c r="Y2147" t="e">
        <f>IF(#REF! &lt;= 3, "Low Charges", "High Charges")</f>
        <v>#REF!</v>
      </c>
      <c r="Z2147" t="e">
        <f>IF(#REF!&lt;=80,"Low Calls",
IF(#REF!&lt;=120,"Medium Calls","High Calls"))</f>
        <v>#REF!</v>
      </c>
      <c r="AA2147" t="e">
        <f>IF(#REF!&lt;=15,"Low Charges",
IF(#REF!&lt;=20,"Medium Charges","High Charges"))</f>
        <v>#REF!</v>
      </c>
      <c r="AB2147" t="e">
        <f>IF(AND(#REF!&gt;180, #REF!&gt;200), "Heavy Doemstic User", IF(#REF!&gt;10, "Interntional User", IF(AND(#REF!&lt;180, #REF!&lt;200,#REF!&lt;200), "Light User", "Balanced User")))</f>
        <v>#REF!</v>
      </c>
      <c r="AC2147" t="e">
        <f>IF(#REF! = 0, "No Usage", IF(#REF! &lt;= 20, "Low Usage", IF(#REF! &lt;= 40, "Medium Usgae", "High Usage")))</f>
        <v>#REF!</v>
      </c>
      <c r="AD2147" t="e">
        <f>IF(#REF!&lt;=150,"Low Usage", IF(#REF!&lt;=200,"Medium Usage", IF(#REF!&lt;=250,"High Usage","Very High Usage")))</f>
        <v>#REF!</v>
      </c>
      <c r="AE2147" t="e">
        <f>IF(#REF!&lt;=5,"Low Calls", IF(#REF!&lt;=10, "Medium Calls", "High Calls"))</f>
        <v>#REF!</v>
      </c>
      <c r="AF2147" t="e">
        <f xml:space="preserve">
IF(#REF!&gt;=4,4,0)+
IF(#REF!="yes",3,0)+
IF(#REF!="High Charges",3,0)+
IF(#REF!&gt;250,4,0)+
IF(#REF!="no",1,0)+
IF(#REF!="Heavy Domestic User",2,0)</f>
        <v>#REF!</v>
      </c>
      <c r="AG2147" t="e">
        <f>IF(#REF!&gt;=10,"High Risk", IF(#REF!&gt;=5,"Medium Risk","Low Risk"))</f>
        <v>#REF!</v>
      </c>
      <c r="AH2147" t="e">
        <f>#REF! + #REF! + #REF! + #REF!</f>
        <v>#REF!</v>
      </c>
    </row>
    <row r="2148" spans="1:34" x14ac:dyDescent="0.35">
      <c r="A2148">
        <v>2147</v>
      </c>
      <c r="B2148" t="s">
        <v>24</v>
      </c>
      <c r="C2148">
        <v>88</v>
      </c>
      <c r="D2148" t="s">
        <v>28</v>
      </c>
      <c r="E2148" t="s">
        <v>22</v>
      </c>
      <c r="F2148" t="s">
        <v>22</v>
      </c>
      <c r="G2148">
        <v>0</v>
      </c>
      <c r="H2148">
        <v>144.30000000000001</v>
      </c>
      <c r="I2148">
        <v>116</v>
      </c>
      <c r="J2148">
        <v>24.53</v>
      </c>
      <c r="K2148">
        <v>156.4</v>
      </c>
      <c r="L2148">
        <v>74</v>
      </c>
      <c r="M2148">
        <v>13.29</v>
      </c>
      <c r="N2148">
        <v>214.7</v>
      </c>
      <c r="O2148">
        <v>90</v>
      </c>
      <c r="P2148">
        <v>9.66</v>
      </c>
      <c r="Q2148">
        <v>7.8</v>
      </c>
      <c r="R2148">
        <v>10</v>
      </c>
      <c r="S2148">
        <v>2.11</v>
      </c>
      <c r="T2148">
        <v>3</v>
      </c>
      <c r="U2148" t="s">
        <v>22</v>
      </c>
      <c r="V2148" t="e">
        <f>IF(#REF! = "yes", 1, 0)</f>
        <v>#REF!</v>
      </c>
      <c r="W2148" t="e">
        <f>IF(#REF! &lt;= 1, "0-1 Calls", IF(#REF! &lt;= 3, "2-3 Calls", IF(#REF! &lt;=5, "4-5 Calls", "6+ Calls")))</f>
        <v>#REF!</v>
      </c>
      <c r="X2148" t="e">
        <f>IF(#REF! &lt;= 50, "0-50", IF(#REF! &lt;=100, "51-100", IF(#REF! &lt;= 150, "101-150", "151+")))</f>
        <v>#REF!</v>
      </c>
      <c r="Y2148" t="e">
        <f>IF(#REF! &lt;= 3, "Low Charges", "High Charges")</f>
        <v>#REF!</v>
      </c>
      <c r="Z2148" t="e">
        <f>IF(#REF!&lt;=80,"Low Calls",
IF(#REF!&lt;=120,"Medium Calls","High Calls"))</f>
        <v>#REF!</v>
      </c>
      <c r="AA2148" t="e">
        <f>IF(#REF!&lt;=15,"Low Charges",
IF(#REF!&lt;=20,"Medium Charges","High Charges"))</f>
        <v>#REF!</v>
      </c>
      <c r="AB2148" t="e">
        <f>IF(AND(#REF!&gt;180, #REF!&gt;200), "Heavy Doemstic User", IF(#REF!&gt;10, "Interntional User", IF(AND(#REF!&lt;180, #REF!&lt;200,#REF!&lt;200), "Light User", "Balanced User")))</f>
        <v>#REF!</v>
      </c>
      <c r="AC2148" t="e">
        <f>IF(#REF! = 0, "No Usage", IF(#REF! &lt;= 20, "Low Usage", IF(#REF! &lt;= 40, "Medium Usgae", "High Usage")))</f>
        <v>#REF!</v>
      </c>
      <c r="AD2148" t="e">
        <f>IF(#REF!&lt;=150,"Low Usage", IF(#REF!&lt;=200,"Medium Usage", IF(#REF!&lt;=250,"High Usage","Very High Usage")))</f>
        <v>#REF!</v>
      </c>
      <c r="AE2148" t="e">
        <f>IF(#REF!&lt;=5,"Low Calls", IF(#REF!&lt;=10, "Medium Calls", "High Calls"))</f>
        <v>#REF!</v>
      </c>
      <c r="AF2148" t="e">
        <f xml:space="preserve">
IF(#REF!&gt;=4,4,0)+
IF(#REF!="yes",3,0)+
IF(#REF!="High Charges",3,0)+
IF(#REF!&gt;250,4,0)+
IF(#REF!="no",1,0)+
IF(#REF!="Heavy Domestic User",2,0)</f>
        <v>#REF!</v>
      </c>
      <c r="AG2148" t="e">
        <f>IF(#REF!&gt;=10,"High Risk", IF(#REF!&gt;=5,"Medium Risk","Low Risk"))</f>
        <v>#REF!</v>
      </c>
      <c r="AH2148" t="e">
        <f>#REF! + #REF! + #REF! + #REF!</f>
        <v>#REF!</v>
      </c>
    </row>
    <row r="2149" spans="1:34" x14ac:dyDescent="0.35">
      <c r="A2149">
        <v>2148</v>
      </c>
      <c r="B2149" t="s">
        <v>38</v>
      </c>
      <c r="C2149">
        <v>106</v>
      </c>
      <c r="D2149" t="s">
        <v>21</v>
      </c>
      <c r="E2149" t="s">
        <v>22</v>
      </c>
      <c r="F2149" t="s">
        <v>22</v>
      </c>
      <c r="G2149">
        <v>0</v>
      </c>
      <c r="H2149">
        <v>235.2</v>
      </c>
      <c r="I2149">
        <v>121</v>
      </c>
      <c r="J2149">
        <v>39.979999999999997</v>
      </c>
      <c r="K2149">
        <v>220.6</v>
      </c>
      <c r="L2149">
        <v>87</v>
      </c>
      <c r="M2149">
        <v>18.75</v>
      </c>
      <c r="N2149">
        <v>236.3</v>
      </c>
      <c r="O2149">
        <v>91</v>
      </c>
      <c r="P2149">
        <v>10.63</v>
      </c>
      <c r="Q2149">
        <v>11.8</v>
      </c>
      <c r="R2149">
        <v>4</v>
      </c>
      <c r="S2149">
        <v>3.19</v>
      </c>
      <c r="T2149">
        <v>1</v>
      </c>
      <c r="U2149" t="s">
        <v>22</v>
      </c>
      <c r="V2149" t="e">
        <f>IF(#REF! = "yes", 1, 0)</f>
        <v>#REF!</v>
      </c>
      <c r="W2149" t="e">
        <f>IF(#REF! &lt;= 1, "0-1 Calls", IF(#REF! &lt;= 3, "2-3 Calls", IF(#REF! &lt;=5, "4-5 Calls", "6+ Calls")))</f>
        <v>#REF!</v>
      </c>
      <c r="X2149" t="e">
        <f>IF(#REF! &lt;= 50, "0-50", IF(#REF! &lt;=100, "51-100", IF(#REF! &lt;= 150, "101-150", "151+")))</f>
        <v>#REF!</v>
      </c>
      <c r="Y2149" t="e">
        <f>IF(#REF! &lt;= 3, "Low Charges", "High Charges")</f>
        <v>#REF!</v>
      </c>
      <c r="Z2149" t="e">
        <f>IF(#REF!&lt;=80,"Low Calls",
IF(#REF!&lt;=120,"Medium Calls","High Calls"))</f>
        <v>#REF!</v>
      </c>
      <c r="AA2149" t="e">
        <f>IF(#REF!&lt;=15,"Low Charges",
IF(#REF!&lt;=20,"Medium Charges","High Charges"))</f>
        <v>#REF!</v>
      </c>
      <c r="AB2149" t="e">
        <f>IF(AND(#REF!&gt;180, #REF!&gt;200), "Heavy Doemstic User", IF(#REF!&gt;10, "Interntional User", IF(AND(#REF!&lt;180, #REF!&lt;200,#REF!&lt;200), "Light User", "Balanced User")))</f>
        <v>#REF!</v>
      </c>
      <c r="AC2149" t="e">
        <f>IF(#REF! = 0, "No Usage", IF(#REF! &lt;= 20, "Low Usage", IF(#REF! &lt;= 40, "Medium Usgae", "High Usage")))</f>
        <v>#REF!</v>
      </c>
      <c r="AD2149" t="e">
        <f>IF(#REF!&lt;=150,"Low Usage", IF(#REF!&lt;=200,"Medium Usage", IF(#REF!&lt;=250,"High Usage","Very High Usage")))</f>
        <v>#REF!</v>
      </c>
      <c r="AE2149" t="e">
        <f>IF(#REF!&lt;=5,"Low Calls", IF(#REF!&lt;=10, "Medium Calls", "High Calls"))</f>
        <v>#REF!</v>
      </c>
      <c r="AF2149" t="e">
        <f xml:space="preserve">
IF(#REF!&gt;=4,4,0)+
IF(#REF!="yes",3,0)+
IF(#REF!="High Charges",3,0)+
IF(#REF!&gt;250,4,0)+
IF(#REF!="no",1,0)+
IF(#REF!="Heavy Domestic User",2,0)</f>
        <v>#REF!</v>
      </c>
      <c r="AG2149" t="e">
        <f>IF(#REF!&gt;=10,"High Risk", IF(#REF!&gt;=5,"Medium Risk","Low Risk"))</f>
        <v>#REF!</v>
      </c>
      <c r="AH2149" t="e">
        <f>#REF! + #REF! + #REF! + #REF!</f>
        <v>#REF!</v>
      </c>
    </row>
    <row r="2150" spans="1:34" x14ac:dyDescent="0.35">
      <c r="A2150">
        <v>2149</v>
      </c>
      <c r="B2150" t="s">
        <v>71</v>
      </c>
      <c r="C2150">
        <v>95</v>
      </c>
      <c r="D2150" t="s">
        <v>28</v>
      </c>
      <c r="E2150" t="s">
        <v>22</v>
      </c>
      <c r="F2150" t="s">
        <v>22</v>
      </c>
      <c r="G2150">
        <v>0</v>
      </c>
      <c r="H2150">
        <v>174</v>
      </c>
      <c r="I2150">
        <v>57</v>
      </c>
      <c r="J2150">
        <v>29.58</v>
      </c>
      <c r="K2150">
        <v>281.10000000000002</v>
      </c>
      <c r="L2150">
        <v>118</v>
      </c>
      <c r="M2150">
        <v>23.89</v>
      </c>
      <c r="N2150">
        <v>197.2</v>
      </c>
      <c r="O2150">
        <v>94</v>
      </c>
      <c r="P2150">
        <v>8.8699999999999992</v>
      </c>
      <c r="Q2150">
        <v>9.6999999999999993</v>
      </c>
      <c r="R2150">
        <v>2</v>
      </c>
      <c r="S2150">
        <v>2.62</v>
      </c>
      <c r="T2150">
        <v>0</v>
      </c>
      <c r="U2150" t="s">
        <v>22</v>
      </c>
      <c r="V2150" t="e">
        <f>IF(#REF! = "yes", 1, 0)</f>
        <v>#REF!</v>
      </c>
      <c r="W2150" t="e">
        <f>IF(#REF! &lt;= 1, "0-1 Calls", IF(#REF! &lt;= 3, "2-3 Calls", IF(#REF! &lt;=5, "4-5 Calls", "6+ Calls")))</f>
        <v>#REF!</v>
      </c>
      <c r="X2150" t="e">
        <f>IF(#REF! &lt;= 50, "0-50", IF(#REF! &lt;=100, "51-100", IF(#REF! &lt;= 150, "101-150", "151+")))</f>
        <v>#REF!</v>
      </c>
      <c r="Y2150" t="e">
        <f>IF(#REF! &lt;= 3, "Low Charges", "High Charges")</f>
        <v>#REF!</v>
      </c>
      <c r="Z2150" t="e">
        <f>IF(#REF!&lt;=80,"Low Calls",
IF(#REF!&lt;=120,"Medium Calls","High Calls"))</f>
        <v>#REF!</v>
      </c>
      <c r="AA2150" t="e">
        <f>IF(#REF!&lt;=15,"Low Charges",
IF(#REF!&lt;=20,"Medium Charges","High Charges"))</f>
        <v>#REF!</v>
      </c>
      <c r="AB2150" t="e">
        <f>IF(AND(#REF!&gt;180, #REF!&gt;200), "Heavy Doemstic User", IF(#REF!&gt;10, "Interntional User", IF(AND(#REF!&lt;180, #REF!&lt;200,#REF!&lt;200), "Light User", "Balanced User")))</f>
        <v>#REF!</v>
      </c>
      <c r="AC2150" t="e">
        <f>IF(#REF! = 0, "No Usage", IF(#REF! &lt;= 20, "Low Usage", IF(#REF! &lt;= 40, "Medium Usgae", "High Usage")))</f>
        <v>#REF!</v>
      </c>
      <c r="AD2150" t="e">
        <f>IF(#REF!&lt;=150,"Low Usage", IF(#REF!&lt;=200,"Medium Usage", IF(#REF!&lt;=250,"High Usage","Very High Usage")))</f>
        <v>#REF!</v>
      </c>
      <c r="AE2150" t="e">
        <f>IF(#REF!&lt;=5,"Low Calls", IF(#REF!&lt;=10, "Medium Calls", "High Calls"))</f>
        <v>#REF!</v>
      </c>
      <c r="AF2150" t="e">
        <f xml:space="preserve">
IF(#REF!&gt;=4,4,0)+
IF(#REF!="yes",3,0)+
IF(#REF!="High Charges",3,0)+
IF(#REF!&gt;250,4,0)+
IF(#REF!="no",1,0)+
IF(#REF!="Heavy Domestic User",2,0)</f>
        <v>#REF!</v>
      </c>
      <c r="AG2150" t="e">
        <f>IF(#REF!&gt;=10,"High Risk", IF(#REF!&gt;=5,"Medium Risk","Low Risk"))</f>
        <v>#REF!</v>
      </c>
      <c r="AH2150" t="e">
        <f>#REF! + #REF! + #REF! + #REF!</f>
        <v>#REF!</v>
      </c>
    </row>
    <row r="2151" spans="1:34" x14ac:dyDescent="0.35">
      <c r="A2151">
        <v>2150</v>
      </c>
      <c r="B2151" t="s">
        <v>24</v>
      </c>
      <c r="C2151">
        <v>57</v>
      </c>
      <c r="D2151" t="s">
        <v>28</v>
      </c>
      <c r="E2151" t="s">
        <v>23</v>
      </c>
      <c r="F2151" t="s">
        <v>22</v>
      </c>
      <c r="G2151">
        <v>0</v>
      </c>
      <c r="H2151">
        <v>115</v>
      </c>
      <c r="I2151">
        <v>65</v>
      </c>
      <c r="J2151">
        <v>19.55</v>
      </c>
      <c r="K2151">
        <v>122.3</v>
      </c>
      <c r="L2151">
        <v>96</v>
      </c>
      <c r="M2151">
        <v>10.4</v>
      </c>
      <c r="N2151">
        <v>245</v>
      </c>
      <c r="O2151">
        <v>75</v>
      </c>
      <c r="P2151">
        <v>11.03</v>
      </c>
      <c r="Q2151">
        <v>6.4</v>
      </c>
      <c r="R2151">
        <v>1</v>
      </c>
      <c r="S2151">
        <v>1.73</v>
      </c>
      <c r="T2151">
        <v>0</v>
      </c>
      <c r="U2151" t="s">
        <v>23</v>
      </c>
      <c r="V2151" t="e">
        <f>IF(#REF! = "yes", 1, 0)</f>
        <v>#REF!</v>
      </c>
      <c r="W2151" t="e">
        <f>IF(#REF! &lt;= 1, "0-1 Calls", IF(#REF! &lt;= 3, "2-3 Calls", IF(#REF! &lt;=5, "4-5 Calls", "6+ Calls")))</f>
        <v>#REF!</v>
      </c>
      <c r="X2151" t="e">
        <f>IF(#REF! &lt;= 50, "0-50", IF(#REF! &lt;=100, "51-100", IF(#REF! &lt;= 150, "101-150", "151+")))</f>
        <v>#REF!</v>
      </c>
      <c r="Y2151" t="e">
        <f>IF(#REF! &lt;= 3, "Low Charges", "High Charges")</f>
        <v>#REF!</v>
      </c>
      <c r="Z2151" t="e">
        <f>IF(#REF!&lt;=80,"Low Calls",
IF(#REF!&lt;=120,"Medium Calls","High Calls"))</f>
        <v>#REF!</v>
      </c>
      <c r="AA2151" t="e">
        <f>IF(#REF!&lt;=15,"Low Charges",
IF(#REF!&lt;=20,"Medium Charges","High Charges"))</f>
        <v>#REF!</v>
      </c>
      <c r="AB2151" t="e">
        <f>IF(AND(#REF!&gt;180, #REF!&gt;200), "Heavy Doemstic User", IF(#REF!&gt;10, "Interntional User", IF(AND(#REF!&lt;180, #REF!&lt;200,#REF!&lt;200), "Light User", "Balanced User")))</f>
        <v>#REF!</v>
      </c>
      <c r="AC2151" t="e">
        <f>IF(#REF! = 0, "No Usage", IF(#REF! &lt;= 20, "Low Usage", IF(#REF! &lt;= 40, "Medium Usgae", "High Usage")))</f>
        <v>#REF!</v>
      </c>
      <c r="AD2151" t="e">
        <f>IF(#REF!&lt;=150,"Low Usage", IF(#REF!&lt;=200,"Medium Usage", IF(#REF!&lt;=250,"High Usage","Very High Usage")))</f>
        <v>#REF!</v>
      </c>
      <c r="AE2151" t="e">
        <f>IF(#REF!&lt;=5,"Low Calls", IF(#REF!&lt;=10, "Medium Calls", "High Calls"))</f>
        <v>#REF!</v>
      </c>
      <c r="AF2151" t="e">
        <f xml:space="preserve">
IF(#REF!&gt;=4,4,0)+
IF(#REF!="yes",3,0)+
IF(#REF!="High Charges",3,0)+
IF(#REF!&gt;250,4,0)+
IF(#REF!="no",1,0)+
IF(#REF!="Heavy Domestic User",2,0)</f>
        <v>#REF!</v>
      </c>
      <c r="AG2151" t="e">
        <f>IF(#REF!&gt;=10,"High Risk", IF(#REF!&gt;=5,"Medium Risk","Low Risk"))</f>
        <v>#REF!</v>
      </c>
      <c r="AH2151" t="e">
        <f>#REF! + #REF! + #REF! + #REF!</f>
        <v>#REF!</v>
      </c>
    </row>
    <row r="2152" spans="1:34" x14ac:dyDescent="0.35">
      <c r="A2152">
        <v>2151</v>
      </c>
      <c r="B2152" t="s">
        <v>59</v>
      </c>
      <c r="C2152">
        <v>184</v>
      </c>
      <c r="D2152" t="s">
        <v>25</v>
      </c>
      <c r="E2152" t="s">
        <v>22</v>
      </c>
      <c r="F2152" t="s">
        <v>22</v>
      </c>
      <c r="G2152">
        <v>0</v>
      </c>
      <c r="H2152">
        <v>151.69999999999999</v>
      </c>
      <c r="I2152">
        <v>93</v>
      </c>
      <c r="J2152">
        <v>25.79</v>
      </c>
      <c r="K2152">
        <v>178.5</v>
      </c>
      <c r="L2152">
        <v>77</v>
      </c>
      <c r="M2152">
        <v>15.17</v>
      </c>
      <c r="N2152">
        <v>229.1</v>
      </c>
      <c r="O2152">
        <v>111</v>
      </c>
      <c r="P2152">
        <v>10.31</v>
      </c>
      <c r="Q2152">
        <v>13.1</v>
      </c>
      <c r="R2152">
        <v>8</v>
      </c>
      <c r="S2152">
        <v>3.54</v>
      </c>
      <c r="T2152">
        <v>2</v>
      </c>
      <c r="U2152" t="s">
        <v>22</v>
      </c>
      <c r="V2152" t="e">
        <f>IF(#REF! = "yes", 1, 0)</f>
        <v>#REF!</v>
      </c>
      <c r="W2152" t="e">
        <f>IF(#REF! &lt;= 1, "0-1 Calls", IF(#REF! &lt;= 3, "2-3 Calls", IF(#REF! &lt;=5, "4-5 Calls", "6+ Calls")))</f>
        <v>#REF!</v>
      </c>
      <c r="X2152" t="e">
        <f>IF(#REF! &lt;= 50, "0-50", IF(#REF! &lt;=100, "51-100", IF(#REF! &lt;= 150, "101-150", "151+")))</f>
        <v>#REF!</v>
      </c>
      <c r="Y2152" t="e">
        <f>IF(#REF! &lt;= 3, "Low Charges", "High Charges")</f>
        <v>#REF!</v>
      </c>
      <c r="Z2152" t="e">
        <f>IF(#REF!&lt;=80,"Low Calls",
IF(#REF!&lt;=120,"Medium Calls","High Calls"))</f>
        <v>#REF!</v>
      </c>
      <c r="AA2152" t="e">
        <f>IF(#REF!&lt;=15,"Low Charges",
IF(#REF!&lt;=20,"Medium Charges","High Charges"))</f>
        <v>#REF!</v>
      </c>
      <c r="AB2152" t="e">
        <f>IF(AND(#REF!&gt;180, #REF!&gt;200), "Heavy Doemstic User", IF(#REF!&gt;10, "Interntional User", IF(AND(#REF!&lt;180, #REF!&lt;200,#REF!&lt;200), "Light User", "Balanced User")))</f>
        <v>#REF!</v>
      </c>
      <c r="AC2152" t="e">
        <f>IF(#REF! = 0, "No Usage", IF(#REF! &lt;= 20, "Low Usage", IF(#REF! &lt;= 40, "Medium Usgae", "High Usage")))</f>
        <v>#REF!</v>
      </c>
      <c r="AD2152" t="e">
        <f>IF(#REF!&lt;=150,"Low Usage", IF(#REF!&lt;=200,"Medium Usage", IF(#REF!&lt;=250,"High Usage","Very High Usage")))</f>
        <v>#REF!</v>
      </c>
      <c r="AE2152" t="e">
        <f>IF(#REF!&lt;=5,"Low Calls", IF(#REF!&lt;=10, "Medium Calls", "High Calls"))</f>
        <v>#REF!</v>
      </c>
      <c r="AF2152" t="e">
        <f xml:space="preserve">
IF(#REF!&gt;=4,4,0)+
IF(#REF!="yes",3,0)+
IF(#REF!="High Charges",3,0)+
IF(#REF!&gt;250,4,0)+
IF(#REF!="no",1,0)+
IF(#REF!="Heavy Domestic User",2,0)</f>
        <v>#REF!</v>
      </c>
      <c r="AG2152" t="e">
        <f>IF(#REF!&gt;=10,"High Risk", IF(#REF!&gt;=5,"Medium Risk","Low Risk"))</f>
        <v>#REF!</v>
      </c>
      <c r="AH2152" t="e">
        <f>#REF! + #REF! + #REF! + #REF!</f>
        <v>#REF!</v>
      </c>
    </row>
    <row r="2153" spans="1:34" x14ac:dyDescent="0.35">
      <c r="A2153">
        <v>2152</v>
      </c>
      <c r="B2153" t="s">
        <v>51</v>
      </c>
      <c r="C2153">
        <v>127</v>
      </c>
      <c r="D2153" t="s">
        <v>21</v>
      </c>
      <c r="E2153" t="s">
        <v>22</v>
      </c>
      <c r="F2153" t="s">
        <v>22</v>
      </c>
      <c r="G2153">
        <v>0</v>
      </c>
      <c r="H2153">
        <v>218.6</v>
      </c>
      <c r="I2153">
        <v>93</v>
      </c>
      <c r="J2153">
        <v>37.159999999999997</v>
      </c>
      <c r="K2153">
        <v>149.9</v>
      </c>
      <c r="L2153">
        <v>130</v>
      </c>
      <c r="M2153">
        <v>12.74</v>
      </c>
      <c r="N2153">
        <v>204.6</v>
      </c>
      <c r="O2153">
        <v>131</v>
      </c>
      <c r="P2153">
        <v>9.2100000000000009</v>
      </c>
      <c r="Q2153">
        <v>9.1999999999999993</v>
      </c>
      <c r="R2153">
        <v>5</v>
      </c>
      <c r="S2153">
        <v>2.48</v>
      </c>
      <c r="T2153">
        <v>2</v>
      </c>
      <c r="U2153" t="s">
        <v>22</v>
      </c>
      <c r="V2153" t="e">
        <f>IF(#REF! = "yes", 1, 0)</f>
        <v>#REF!</v>
      </c>
      <c r="W2153" t="e">
        <f>IF(#REF! &lt;= 1, "0-1 Calls", IF(#REF! &lt;= 3, "2-3 Calls", IF(#REF! &lt;=5, "4-5 Calls", "6+ Calls")))</f>
        <v>#REF!</v>
      </c>
      <c r="X2153" t="e">
        <f>IF(#REF! &lt;= 50, "0-50", IF(#REF! &lt;=100, "51-100", IF(#REF! &lt;= 150, "101-150", "151+")))</f>
        <v>#REF!</v>
      </c>
      <c r="Y2153" t="e">
        <f>IF(#REF! &lt;= 3, "Low Charges", "High Charges")</f>
        <v>#REF!</v>
      </c>
      <c r="Z2153" t="e">
        <f>IF(#REF!&lt;=80,"Low Calls",
IF(#REF!&lt;=120,"Medium Calls","High Calls"))</f>
        <v>#REF!</v>
      </c>
      <c r="AA2153" t="e">
        <f>IF(#REF!&lt;=15,"Low Charges",
IF(#REF!&lt;=20,"Medium Charges","High Charges"))</f>
        <v>#REF!</v>
      </c>
      <c r="AB2153" t="e">
        <f>IF(AND(#REF!&gt;180, #REF!&gt;200), "Heavy Doemstic User", IF(#REF!&gt;10, "Interntional User", IF(AND(#REF!&lt;180, #REF!&lt;200,#REF!&lt;200), "Light User", "Balanced User")))</f>
        <v>#REF!</v>
      </c>
      <c r="AC2153" t="e">
        <f>IF(#REF! = 0, "No Usage", IF(#REF! &lt;= 20, "Low Usage", IF(#REF! &lt;= 40, "Medium Usgae", "High Usage")))</f>
        <v>#REF!</v>
      </c>
      <c r="AD2153" t="e">
        <f>IF(#REF!&lt;=150,"Low Usage", IF(#REF!&lt;=200,"Medium Usage", IF(#REF!&lt;=250,"High Usage","Very High Usage")))</f>
        <v>#REF!</v>
      </c>
      <c r="AE2153" t="e">
        <f>IF(#REF!&lt;=5,"Low Calls", IF(#REF!&lt;=10, "Medium Calls", "High Calls"))</f>
        <v>#REF!</v>
      </c>
      <c r="AF2153" t="e">
        <f xml:space="preserve">
IF(#REF!&gt;=4,4,0)+
IF(#REF!="yes",3,0)+
IF(#REF!="High Charges",3,0)+
IF(#REF!&gt;250,4,0)+
IF(#REF!="no",1,0)+
IF(#REF!="Heavy Domestic User",2,0)</f>
        <v>#REF!</v>
      </c>
      <c r="AG2153" t="e">
        <f>IF(#REF!&gt;=10,"High Risk", IF(#REF!&gt;=5,"Medium Risk","Low Risk"))</f>
        <v>#REF!</v>
      </c>
      <c r="AH2153" t="e">
        <f>#REF! + #REF! + #REF! + #REF!</f>
        <v>#REF!</v>
      </c>
    </row>
    <row r="2154" spans="1:34" x14ac:dyDescent="0.35">
      <c r="A2154">
        <v>2153</v>
      </c>
      <c r="B2154" t="s">
        <v>66</v>
      </c>
      <c r="C2154">
        <v>174</v>
      </c>
      <c r="D2154" t="s">
        <v>21</v>
      </c>
      <c r="E2154" t="s">
        <v>22</v>
      </c>
      <c r="F2154" t="s">
        <v>22</v>
      </c>
      <c r="G2154">
        <v>0</v>
      </c>
      <c r="H2154">
        <v>190.3</v>
      </c>
      <c r="I2154">
        <v>98</v>
      </c>
      <c r="J2154">
        <v>32.35</v>
      </c>
      <c r="K2154">
        <v>252.7</v>
      </c>
      <c r="L2154">
        <v>70</v>
      </c>
      <c r="M2154">
        <v>21.48</v>
      </c>
      <c r="N2154">
        <v>220.6</v>
      </c>
      <c r="O2154">
        <v>97</v>
      </c>
      <c r="P2154">
        <v>9.93</v>
      </c>
      <c r="Q2154">
        <v>7.2</v>
      </c>
      <c r="R2154">
        <v>9</v>
      </c>
      <c r="S2154">
        <v>1.94</v>
      </c>
      <c r="T2154">
        <v>2</v>
      </c>
      <c r="U2154" t="s">
        <v>22</v>
      </c>
      <c r="V2154" t="e">
        <f>IF(#REF! = "yes", 1, 0)</f>
        <v>#REF!</v>
      </c>
      <c r="W2154" t="e">
        <f>IF(#REF! &lt;= 1, "0-1 Calls", IF(#REF! &lt;= 3, "2-3 Calls", IF(#REF! &lt;=5, "4-5 Calls", "6+ Calls")))</f>
        <v>#REF!</v>
      </c>
      <c r="X2154" t="e">
        <f>IF(#REF! &lt;= 50, "0-50", IF(#REF! &lt;=100, "51-100", IF(#REF! &lt;= 150, "101-150", "151+")))</f>
        <v>#REF!</v>
      </c>
      <c r="Y2154" t="e">
        <f>IF(#REF! &lt;= 3, "Low Charges", "High Charges")</f>
        <v>#REF!</v>
      </c>
      <c r="Z2154" t="e">
        <f>IF(#REF!&lt;=80,"Low Calls",
IF(#REF!&lt;=120,"Medium Calls","High Calls"))</f>
        <v>#REF!</v>
      </c>
      <c r="AA2154" t="e">
        <f>IF(#REF!&lt;=15,"Low Charges",
IF(#REF!&lt;=20,"Medium Charges","High Charges"))</f>
        <v>#REF!</v>
      </c>
      <c r="AB2154" t="e">
        <f>IF(AND(#REF!&gt;180, #REF!&gt;200), "Heavy Doemstic User", IF(#REF!&gt;10, "Interntional User", IF(AND(#REF!&lt;180, #REF!&lt;200,#REF!&lt;200), "Light User", "Balanced User")))</f>
        <v>#REF!</v>
      </c>
      <c r="AC2154" t="e">
        <f>IF(#REF! = 0, "No Usage", IF(#REF! &lt;= 20, "Low Usage", IF(#REF! &lt;= 40, "Medium Usgae", "High Usage")))</f>
        <v>#REF!</v>
      </c>
      <c r="AD2154" t="e">
        <f>IF(#REF!&lt;=150,"Low Usage", IF(#REF!&lt;=200,"Medium Usage", IF(#REF!&lt;=250,"High Usage","Very High Usage")))</f>
        <v>#REF!</v>
      </c>
      <c r="AE2154" t="e">
        <f>IF(#REF!&lt;=5,"Low Calls", IF(#REF!&lt;=10, "Medium Calls", "High Calls"))</f>
        <v>#REF!</v>
      </c>
      <c r="AF2154" t="e">
        <f xml:space="preserve">
IF(#REF!&gt;=4,4,0)+
IF(#REF!="yes",3,0)+
IF(#REF!="High Charges",3,0)+
IF(#REF!&gt;250,4,0)+
IF(#REF!="no",1,0)+
IF(#REF!="Heavy Domestic User",2,0)</f>
        <v>#REF!</v>
      </c>
      <c r="AG2154" t="e">
        <f>IF(#REF!&gt;=10,"High Risk", IF(#REF!&gt;=5,"Medium Risk","Low Risk"))</f>
        <v>#REF!</v>
      </c>
      <c r="AH2154" t="e">
        <f>#REF! + #REF! + #REF! + #REF!</f>
        <v>#REF!</v>
      </c>
    </row>
    <row r="2155" spans="1:34" x14ac:dyDescent="0.35">
      <c r="A2155">
        <v>2154</v>
      </c>
      <c r="B2155" t="s">
        <v>41</v>
      </c>
      <c r="C2155">
        <v>92</v>
      </c>
      <c r="D2155" t="s">
        <v>21</v>
      </c>
      <c r="E2155" t="s">
        <v>22</v>
      </c>
      <c r="F2155" t="s">
        <v>22</v>
      </c>
      <c r="G2155">
        <v>0</v>
      </c>
      <c r="H2155">
        <v>184.7</v>
      </c>
      <c r="I2155">
        <v>60</v>
      </c>
      <c r="J2155">
        <v>31.4</v>
      </c>
      <c r="K2155">
        <v>262</v>
      </c>
      <c r="L2155">
        <v>73</v>
      </c>
      <c r="M2155">
        <v>22.27</v>
      </c>
      <c r="N2155">
        <v>239.5</v>
      </c>
      <c r="O2155">
        <v>120</v>
      </c>
      <c r="P2155">
        <v>10.78</v>
      </c>
      <c r="Q2155">
        <v>12.3</v>
      </c>
      <c r="R2155">
        <v>6</v>
      </c>
      <c r="S2155">
        <v>3.32</v>
      </c>
      <c r="T2155">
        <v>2</v>
      </c>
      <c r="U2155" t="s">
        <v>23</v>
      </c>
      <c r="V2155" t="e">
        <f>IF(#REF! = "yes", 1, 0)</f>
        <v>#REF!</v>
      </c>
      <c r="W2155" t="e">
        <f>IF(#REF! &lt;= 1, "0-1 Calls", IF(#REF! &lt;= 3, "2-3 Calls", IF(#REF! &lt;=5, "4-5 Calls", "6+ Calls")))</f>
        <v>#REF!</v>
      </c>
      <c r="X2155" t="e">
        <f>IF(#REF! &lt;= 50, "0-50", IF(#REF! &lt;=100, "51-100", IF(#REF! &lt;= 150, "101-150", "151+")))</f>
        <v>#REF!</v>
      </c>
      <c r="Y2155" t="e">
        <f>IF(#REF! &lt;= 3, "Low Charges", "High Charges")</f>
        <v>#REF!</v>
      </c>
      <c r="Z2155" t="e">
        <f>IF(#REF!&lt;=80,"Low Calls",
IF(#REF!&lt;=120,"Medium Calls","High Calls"))</f>
        <v>#REF!</v>
      </c>
      <c r="AA2155" t="e">
        <f>IF(#REF!&lt;=15,"Low Charges",
IF(#REF!&lt;=20,"Medium Charges","High Charges"))</f>
        <v>#REF!</v>
      </c>
      <c r="AB2155" t="e">
        <f>IF(AND(#REF!&gt;180, #REF!&gt;200), "Heavy Doemstic User", IF(#REF!&gt;10, "Interntional User", IF(AND(#REF!&lt;180, #REF!&lt;200,#REF!&lt;200), "Light User", "Balanced User")))</f>
        <v>#REF!</v>
      </c>
      <c r="AC2155" t="e">
        <f>IF(#REF! = 0, "No Usage", IF(#REF! &lt;= 20, "Low Usage", IF(#REF! &lt;= 40, "Medium Usgae", "High Usage")))</f>
        <v>#REF!</v>
      </c>
      <c r="AD2155" t="e">
        <f>IF(#REF!&lt;=150,"Low Usage", IF(#REF!&lt;=200,"Medium Usage", IF(#REF!&lt;=250,"High Usage","Very High Usage")))</f>
        <v>#REF!</v>
      </c>
      <c r="AE2155" t="e">
        <f>IF(#REF!&lt;=5,"Low Calls", IF(#REF!&lt;=10, "Medium Calls", "High Calls"))</f>
        <v>#REF!</v>
      </c>
      <c r="AF2155" t="e">
        <f xml:space="preserve">
IF(#REF!&gt;=4,4,0)+
IF(#REF!="yes",3,0)+
IF(#REF!="High Charges",3,0)+
IF(#REF!&gt;250,4,0)+
IF(#REF!="no",1,0)+
IF(#REF!="Heavy Domestic User",2,0)</f>
        <v>#REF!</v>
      </c>
      <c r="AG2155" t="e">
        <f>IF(#REF!&gt;=10,"High Risk", IF(#REF!&gt;=5,"Medium Risk","Low Risk"))</f>
        <v>#REF!</v>
      </c>
      <c r="AH2155" t="e">
        <f>#REF! + #REF! + #REF! + #REF!</f>
        <v>#REF!</v>
      </c>
    </row>
    <row r="2156" spans="1:34" x14ac:dyDescent="0.35">
      <c r="A2156">
        <v>2155</v>
      </c>
      <c r="B2156" t="s">
        <v>41</v>
      </c>
      <c r="C2156">
        <v>81</v>
      </c>
      <c r="D2156" t="s">
        <v>25</v>
      </c>
      <c r="E2156" t="s">
        <v>22</v>
      </c>
      <c r="F2156" t="s">
        <v>22</v>
      </c>
      <c r="G2156">
        <v>0</v>
      </c>
      <c r="H2156">
        <v>115.3</v>
      </c>
      <c r="I2156">
        <v>99</v>
      </c>
      <c r="J2156">
        <v>19.600000000000001</v>
      </c>
      <c r="K2156">
        <v>224.7</v>
      </c>
      <c r="L2156">
        <v>117</v>
      </c>
      <c r="M2156">
        <v>19.100000000000001</v>
      </c>
      <c r="N2156">
        <v>152.5</v>
      </c>
      <c r="O2156">
        <v>98</v>
      </c>
      <c r="P2156">
        <v>6.86</v>
      </c>
      <c r="Q2156">
        <v>18</v>
      </c>
      <c r="R2156">
        <v>2</v>
      </c>
      <c r="S2156">
        <v>4.8600000000000003</v>
      </c>
      <c r="T2156">
        <v>1</v>
      </c>
      <c r="U2156" t="s">
        <v>22</v>
      </c>
      <c r="V2156" t="e">
        <f>IF(#REF! = "yes", 1, 0)</f>
        <v>#REF!</v>
      </c>
      <c r="W2156" t="e">
        <f>IF(#REF! &lt;= 1, "0-1 Calls", IF(#REF! &lt;= 3, "2-3 Calls", IF(#REF! &lt;=5, "4-5 Calls", "6+ Calls")))</f>
        <v>#REF!</v>
      </c>
      <c r="X2156" t="e">
        <f>IF(#REF! &lt;= 50, "0-50", IF(#REF! &lt;=100, "51-100", IF(#REF! &lt;= 150, "101-150", "151+")))</f>
        <v>#REF!</v>
      </c>
      <c r="Y2156" t="e">
        <f>IF(#REF! &lt;= 3, "Low Charges", "High Charges")</f>
        <v>#REF!</v>
      </c>
      <c r="Z2156" t="e">
        <f>IF(#REF!&lt;=80,"Low Calls",
IF(#REF!&lt;=120,"Medium Calls","High Calls"))</f>
        <v>#REF!</v>
      </c>
      <c r="AA2156" t="e">
        <f>IF(#REF!&lt;=15,"Low Charges",
IF(#REF!&lt;=20,"Medium Charges","High Charges"))</f>
        <v>#REF!</v>
      </c>
      <c r="AB2156" t="e">
        <f>IF(AND(#REF!&gt;180, #REF!&gt;200), "Heavy Doemstic User", IF(#REF!&gt;10, "Interntional User", IF(AND(#REF!&lt;180, #REF!&lt;200,#REF!&lt;200), "Light User", "Balanced User")))</f>
        <v>#REF!</v>
      </c>
      <c r="AC2156" t="e">
        <f>IF(#REF! = 0, "No Usage", IF(#REF! &lt;= 20, "Low Usage", IF(#REF! &lt;= 40, "Medium Usgae", "High Usage")))</f>
        <v>#REF!</v>
      </c>
      <c r="AD2156" t="e">
        <f>IF(#REF!&lt;=150,"Low Usage", IF(#REF!&lt;=200,"Medium Usage", IF(#REF!&lt;=250,"High Usage","Very High Usage")))</f>
        <v>#REF!</v>
      </c>
      <c r="AE2156" t="e">
        <f>IF(#REF!&lt;=5,"Low Calls", IF(#REF!&lt;=10, "Medium Calls", "High Calls"))</f>
        <v>#REF!</v>
      </c>
      <c r="AF2156" t="e">
        <f xml:space="preserve">
IF(#REF!&gt;=4,4,0)+
IF(#REF!="yes",3,0)+
IF(#REF!="High Charges",3,0)+
IF(#REF!&gt;250,4,0)+
IF(#REF!="no",1,0)+
IF(#REF!="Heavy Domestic User",2,0)</f>
        <v>#REF!</v>
      </c>
      <c r="AG2156" t="e">
        <f>IF(#REF!&gt;=10,"High Risk", IF(#REF!&gt;=5,"Medium Risk","Low Risk"))</f>
        <v>#REF!</v>
      </c>
      <c r="AH2156" t="e">
        <f>#REF! + #REF! + #REF! + #REF!</f>
        <v>#REF!</v>
      </c>
    </row>
    <row r="2157" spans="1:34" x14ac:dyDescent="0.35">
      <c r="A2157">
        <v>2156</v>
      </c>
      <c r="B2157" t="s">
        <v>33</v>
      </c>
      <c r="C2157">
        <v>125</v>
      </c>
      <c r="D2157" t="s">
        <v>25</v>
      </c>
      <c r="E2157" t="s">
        <v>22</v>
      </c>
      <c r="F2157" t="s">
        <v>22</v>
      </c>
      <c r="G2157">
        <v>0</v>
      </c>
      <c r="H2157">
        <v>113</v>
      </c>
      <c r="I2157">
        <v>108</v>
      </c>
      <c r="J2157">
        <v>19.21</v>
      </c>
      <c r="K2157">
        <v>169.2</v>
      </c>
      <c r="L2157">
        <v>107</v>
      </c>
      <c r="M2157">
        <v>14.38</v>
      </c>
      <c r="N2157">
        <v>156.6</v>
      </c>
      <c r="O2157">
        <v>61</v>
      </c>
      <c r="P2157">
        <v>7.05</v>
      </c>
      <c r="Q2157">
        <v>9.1999999999999993</v>
      </c>
      <c r="R2157">
        <v>5</v>
      </c>
      <c r="S2157">
        <v>2.48</v>
      </c>
      <c r="T2157">
        <v>2</v>
      </c>
      <c r="U2157" t="s">
        <v>23</v>
      </c>
      <c r="V2157" t="e">
        <f>IF(#REF! = "yes", 1, 0)</f>
        <v>#REF!</v>
      </c>
      <c r="W2157" t="e">
        <f>IF(#REF! &lt;= 1, "0-1 Calls", IF(#REF! &lt;= 3, "2-3 Calls", IF(#REF! &lt;=5, "4-5 Calls", "6+ Calls")))</f>
        <v>#REF!</v>
      </c>
      <c r="X2157" t="e">
        <f>IF(#REF! &lt;= 50, "0-50", IF(#REF! &lt;=100, "51-100", IF(#REF! &lt;= 150, "101-150", "151+")))</f>
        <v>#REF!</v>
      </c>
      <c r="Y2157" t="e">
        <f>IF(#REF! &lt;= 3, "Low Charges", "High Charges")</f>
        <v>#REF!</v>
      </c>
      <c r="Z2157" t="e">
        <f>IF(#REF!&lt;=80,"Low Calls",
IF(#REF!&lt;=120,"Medium Calls","High Calls"))</f>
        <v>#REF!</v>
      </c>
      <c r="AA2157" t="e">
        <f>IF(#REF!&lt;=15,"Low Charges",
IF(#REF!&lt;=20,"Medium Charges","High Charges"))</f>
        <v>#REF!</v>
      </c>
      <c r="AB2157" t="e">
        <f>IF(AND(#REF!&gt;180, #REF!&gt;200), "Heavy Doemstic User", IF(#REF!&gt;10, "Interntional User", IF(AND(#REF!&lt;180, #REF!&lt;200,#REF!&lt;200), "Light User", "Balanced User")))</f>
        <v>#REF!</v>
      </c>
      <c r="AC2157" t="e">
        <f>IF(#REF! = 0, "No Usage", IF(#REF! &lt;= 20, "Low Usage", IF(#REF! &lt;= 40, "Medium Usgae", "High Usage")))</f>
        <v>#REF!</v>
      </c>
      <c r="AD2157" t="e">
        <f>IF(#REF!&lt;=150,"Low Usage", IF(#REF!&lt;=200,"Medium Usage", IF(#REF!&lt;=250,"High Usage","Very High Usage")))</f>
        <v>#REF!</v>
      </c>
      <c r="AE2157" t="e">
        <f>IF(#REF!&lt;=5,"Low Calls", IF(#REF!&lt;=10, "Medium Calls", "High Calls"))</f>
        <v>#REF!</v>
      </c>
      <c r="AF2157" t="e">
        <f xml:space="preserve">
IF(#REF!&gt;=4,4,0)+
IF(#REF!="yes",3,0)+
IF(#REF!="High Charges",3,0)+
IF(#REF!&gt;250,4,0)+
IF(#REF!="no",1,0)+
IF(#REF!="Heavy Domestic User",2,0)</f>
        <v>#REF!</v>
      </c>
      <c r="AG2157" t="e">
        <f>IF(#REF!&gt;=10,"High Risk", IF(#REF!&gt;=5,"Medium Risk","Low Risk"))</f>
        <v>#REF!</v>
      </c>
      <c r="AH2157" t="e">
        <f>#REF! + #REF! + #REF! + #REF!</f>
        <v>#REF!</v>
      </c>
    </row>
    <row r="2158" spans="1:34" x14ac:dyDescent="0.35">
      <c r="A2158">
        <v>2157</v>
      </c>
      <c r="B2158" t="s">
        <v>74</v>
      </c>
      <c r="C2158">
        <v>119</v>
      </c>
      <c r="D2158" t="s">
        <v>25</v>
      </c>
      <c r="E2158" t="s">
        <v>22</v>
      </c>
      <c r="F2158" t="s">
        <v>22</v>
      </c>
      <c r="G2158">
        <v>0</v>
      </c>
      <c r="H2158">
        <v>294.2</v>
      </c>
      <c r="I2158">
        <v>100</v>
      </c>
      <c r="J2158">
        <v>50.01</v>
      </c>
      <c r="K2158">
        <v>232.5</v>
      </c>
      <c r="L2158">
        <v>53</v>
      </c>
      <c r="M2158">
        <v>19.760000000000002</v>
      </c>
      <c r="N2158">
        <v>195</v>
      </c>
      <c r="O2158">
        <v>64</v>
      </c>
      <c r="P2158">
        <v>8.7799999999999994</v>
      </c>
      <c r="Q2158">
        <v>9</v>
      </c>
      <c r="R2158">
        <v>1</v>
      </c>
      <c r="S2158">
        <v>2.4300000000000002</v>
      </c>
      <c r="T2158">
        <v>0</v>
      </c>
      <c r="U2158" t="s">
        <v>23</v>
      </c>
      <c r="V2158" t="e">
        <f>IF(#REF! = "yes", 1, 0)</f>
        <v>#REF!</v>
      </c>
      <c r="W2158" t="e">
        <f>IF(#REF! &lt;= 1, "0-1 Calls", IF(#REF! &lt;= 3, "2-3 Calls", IF(#REF! &lt;=5, "4-5 Calls", "6+ Calls")))</f>
        <v>#REF!</v>
      </c>
      <c r="X2158" t="e">
        <f>IF(#REF! &lt;= 50, "0-50", IF(#REF! &lt;=100, "51-100", IF(#REF! &lt;= 150, "101-150", "151+")))</f>
        <v>#REF!</v>
      </c>
      <c r="Y2158" t="e">
        <f>IF(#REF! &lt;= 3, "Low Charges", "High Charges")</f>
        <v>#REF!</v>
      </c>
      <c r="Z2158" t="e">
        <f>IF(#REF!&lt;=80,"Low Calls",
IF(#REF!&lt;=120,"Medium Calls","High Calls"))</f>
        <v>#REF!</v>
      </c>
      <c r="AA2158" t="e">
        <f>IF(#REF!&lt;=15,"Low Charges",
IF(#REF!&lt;=20,"Medium Charges","High Charges"))</f>
        <v>#REF!</v>
      </c>
      <c r="AB2158" t="e">
        <f>IF(AND(#REF!&gt;180, #REF!&gt;200), "Heavy Doemstic User", IF(#REF!&gt;10, "Interntional User", IF(AND(#REF!&lt;180, #REF!&lt;200,#REF!&lt;200), "Light User", "Balanced User")))</f>
        <v>#REF!</v>
      </c>
      <c r="AC2158" t="e">
        <f>IF(#REF! = 0, "No Usage", IF(#REF! &lt;= 20, "Low Usage", IF(#REF! &lt;= 40, "Medium Usgae", "High Usage")))</f>
        <v>#REF!</v>
      </c>
      <c r="AD2158" t="e">
        <f>IF(#REF!&lt;=150,"Low Usage", IF(#REF!&lt;=200,"Medium Usage", IF(#REF!&lt;=250,"High Usage","Very High Usage")))</f>
        <v>#REF!</v>
      </c>
      <c r="AE2158" t="e">
        <f>IF(#REF!&lt;=5,"Low Calls", IF(#REF!&lt;=10, "Medium Calls", "High Calls"))</f>
        <v>#REF!</v>
      </c>
      <c r="AF2158" t="e">
        <f xml:space="preserve">
IF(#REF!&gt;=4,4,0)+
IF(#REF!="yes",3,0)+
IF(#REF!="High Charges",3,0)+
IF(#REF!&gt;250,4,0)+
IF(#REF!="no",1,0)+
IF(#REF!="Heavy Domestic User",2,0)</f>
        <v>#REF!</v>
      </c>
      <c r="AG2158" t="e">
        <f>IF(#REF!&gt;=10,"High Risk", IF(#REF!&gt;=5,"Medium Risk","Low Risk"))</f>
        <v>#REF!</v>
      </c>
      <c r="AH2158" t="e">
        <f>#REF! + #REF! + #REF! + #REF!</f>
        <v>#REF!</v>
      </c>
    </row>
    <row r="2159" spans="1:34" x14ac:dyDescent="0.35">
      <c r="A2159">
        <v>2158</v>
      </c>
      <c r="B2159" t="s">
        <v>58</v>
      </c>
      <c r="C2159">
        <v>122</v>
      </c>
      <c r="D2159" t="s">
        <v>21</v>
      </c>
      <c r="E2159" t="s">
        <v>22</v>
      </c>
      <c r="F2159" t="s">
        <v>22</v>
      </c>
      <c r="G2159">
        <v>0</v>
      </c>
      <c r="H2159">
        <v>215.6</v>
      </c>
      <c r="I2159">
        <v>86</v>
      </c>
      <c r="J2159">
        <v>36.65</v>
      </c>
      <c r="K2159">
        <v>167.8</v>
      </c>
      <c r="L2159">
        <v>59</v>
      </c>
      <c r="M2159">
        <v>14.26</v>
      </c>
      <c r="N2159">
        <v>207</v>
      </c>
      <c r="O2159">
        <v>67</v>
      </c>
      <c r="P2159">
        <v>9.32</v>
      </c>
      <c r="Q2159">
        <v>6.4</v>
      </c>
      <c r="R2159">
        <v>8</v>
      </c>
      <c r="S2159">
        <v>1.73</v>
      </c>
      <c r="T2159">
        <v>3</v>
      </c>
      <c r="U2159" t="s">
        <v>22</v>
      </c>
      <c r="V2159" t="e">
        <f>IF(#REF! = "yes", 1, 0)</f>
        <v>#REF!</v>
      </c>
      <c r="W2159" t="e">
        <f>IF(#REF! &lt;= 1, "0-1 Calls", IF(#REF! &lt;= 3, "2-3 Calls", IF(#REF! &lt;=5, "4-5 Calls", "6+ Calls")))</f>
        <v>#REF!</v>
      </c>
      <c r="X2159" t="e">
        <f>IF(#REF! &lt;= 50, "0-50", IF(#REF! &lt;=100, "51-100", IF(#REF! &lt;= 150, "101-150", "151+")))</f>
        <v>#REF!</v>
      </c>
      <c r="Y2159" t="e">
        <f>IF(#REF! &lt;= 3, "Low Charges", "High Charges")</f>
        <v>#REF!</v>
      </c>
      <c r="Z2159" t="e">
        <f>IF(#REF!&lt;=80,"Low Calls",
IF(#REF!&lt;=120,"Medium Calls","High Calls"))</f>
        <v>#REF!</v>
      </c>
      <c r="AA2159" t="e">
        <f>IF(#REF!&lt;=15,"Low Charges",
IF(#REF!&lt;=20,"Medium Charges","High Charges"))</f>
        <v>#REF!</v>
      </c>
      <c r="AB2159" t="e">
        <f>IF(AND(#REF!&gt;180, #REF!&gt;200), "Heavy Doemstic User", IF(#REF!&gt;10, "Interntional User", IF(AND(#REF!&lt;180, #REF!&lt;200,#REF!&lt;200), "Light User", "Balanced User")))</f>
        <v>#REF!</v>
      </c>
      <c r="AC2159" t="e">
        <f>IF(#REF! = 0, "No Usage", IF(#REF! &lt;= 20, "Low Usage", IF(#REF! &lt;= 40, "Medium Usgae", "High Usage")))</f>
        <v>#REF!</v>
      </c>
      <c r="AD2159" t="e">
        <f>IF(#REF!&lt;=150,"Low Usage", IF(#REF!&lt;=200,"Medium Usage", IF(#REF!&lt;=250,"High Usage","Very High Usage")))</f>
        <v>#REF!</v>
      </c>
      <c r="AE2159" t="e">
        <f>IF(#REF!&lt;=5,"Low Calls", IF(#REF!&lt;=10, "Medium Calls", "High Calls"))</f>
        <v>#REF!</v>
      </c>
      <c r="AF2159" t="e">
        <f xml:space="preserve">
IF(#REF!&gt;=4,4,0)+
IF(#REF!="yes",3,0)+
IF(#REF!="High Charges",3,0)+
IF(#REF!&gt;250,4,0)+
IF(#REF!="no",1,0)+
IF(#REF!="Heavy Domestic User",2,0)</f>
        <v>#REF!</v>
      </c>
      <c r="AG2159" t="e">
        <f>IF(#REF!&gt;=10,"High Risk", IF(#REF!&gt;=5,"Medium Risk","Low Risk"))</f>
        <v>#REF!</v>
      </c>
      <c r="AH2159" t="e">
        <f>#REF! + #REF! + #REF! + #REF!</f>
        <v>#REF!</v>
      </c>
    </row>
    <row r="2160" spans="1:34" x14ac:dyDescent="0.35">
      <c r="A2160">
        <v>2159</v>
      </c>
      <c r="B2160" t="s">
        <v>44</v>
      </c>
      <c r="C2160">
        <v>34</v>
      </c>
      <c r="D2160" t="s">
        <v>25</v>
      </c>
      <c r="E2160" t="s">
        <v>22</v>
      </c>
      <c r="F2160" t="s">
        <v>22</v>
      </c>
      <c r="G2160">
        <v>0</v>
      </c>
      <c r="H2160">
        <v>128.80000000000001</v>
      </c>
      <c r="I2160">
        <v>80</v>
      </c>
      <c r="J2160">
        <v>21.9</v>
      </c>
      <c r="K2160">
        <v>208.7</v>
      </c>
      <c r="L2160">
        <v>93</v>
      </c>
      <c r="M2160">
        <v>17.739999999999998</v>
      </c>
      <c r="N2160">
        <v>202.1</v>
      </c>
      <c r="O2160">
        <v>103</v>
      </c>
      <c r="P2160">
        <v>9.09</v>
      </c>
      <c r="Q2160">
        <v>14</v>
      </c>
      <c r="R2160">
        <v>7</v>
      </c>
      <c r="S2160">
        <v>3.78</v>
      </c>
      <c r="T2160">
        <v>1</v>
      </c>
      <c r="U2160" t="s">
        <v>22</v>
      </c>
      <c r="V2160" t="e">
        <f>IF(#REF! = "yes", 1, 0)</f>
        <v>#REF!</v>
      </c>
      <c r="W2160" t="e">
        <f>IF(#REF! &lt;= 1, "0-1 Calls", IF(#REF! &lt;= 3, "2-3 Calls", IF(#REF! &lt;=5, "4-5 Calls", "6+ Calls")))</f>
        <v>#REF!</v>
      </c>
      <c r="X2160" t="e">
        <f>IF(#REF! &lt;= 50, "0-50", IF(#REF! &lt;=100, "51-100", IF(#REF! &lt;= 150, "101-150", "151+")))</f>
        <v>#REF!</v>
      </c>
      <c r="Y2160" t="e">
        <f>IF(#REF! &lt;= 3, "Low Charges", "High Charges")</f>
        <v>#REF!</v>
      </c>
      <c r="Z2160" t="e">
        <f>IF(#REF!&lt;=80,"Low Calls",
IF(#REF!&lt;=120,"Medium Calls","High Calls"))</f>
        <v>#REF!</v>
      </c>
      <c r="AA2160" t="e">
        <f>IF(#REF!&lt;=15,"Low Charges",
IF(#REF!&lt;=20,"Medium Charges","High Charges"))</f>
        <v>#REF!</v>
      </c>
      <c r="AB2160" t="e">
        <f>IF(AND(#REF!&gt;180, #REF!&gt;200), "Heavy Doemstic User", IF(#REF!&gt;10, "Interntional User", IF(AND(#REF!&lt;180, #REF!&lt;200,#REF!&lt;200), "Light User", "Balanced User")))</f>
        <v>#REF!</v>
      </c>
      <c r="AC2160" t="e">
        <f>IF(#REF! = 0, "No Usage", IF(#REF! &lt;= 20, "Low Usage", IF(#REF! &lt;= 40, "Medium Usgae", "High Usage")))</f>
        <v>#REF!</v>
      </c>
      <c r="AD2160" t="e">
        <f>IF(#REF!&lt;=150,"Low Usage", IF(#REF!&lt;=200,"Medium Usage", IF(#REF!&lt;=250,"High Usage","Very High Usage")))</f>
        <v>#REF!</v>
      </c>
      <c r="AE2160" t="e">
        <f>IF(#REF!&lt;=5,"Low Calls", IF(#REF!&lt;=10, "Medium Calls", "High Calls"))</f>
        <v>#REF!</v>
      </c>
      <c r="AF2160" t="e">
        <f xml:space="preserve">
IF(#REF!&gt;=4,4,0)+
IF(#REF!="yes",3,0)+
IF(#REF!="High Charges",3,0)+
IF(#REF!&gt;250,4,0)+
IF(#REF!="no",1,0)+
IF(#REF!="Heavy Domestic User",2,0)</f>
        <v>#REF!</v>
      </c>
      <c r="AG2160" t="e">
        <f>IF(#REF!&gt;=10,"High Risk", IF(#REF!&gt;=5,"Medium Risk","Low Risk"))</f>
        <v>#REF!</v>
      </c>
      <c r="AH2160" t="e">
        <f>#REF! + #REF! + #REF! + #REF!</f>
        <v>#REF!</v>
      </c>
    </row>
    <row r="2161" spans="1:34" x14ac:dyDescent="0.35">
      <c r="A2161">
        <v>2160</v>
      </c>
      <c r="B2161" t="s">
        <v>52</v>
      </c>
      <c r="C2161">
        <v>138</v>
      </c>
      <c r="D2161" t="s">
        <v>21</v>
      </c>
      <c r="E2161" t="s">
        <v>23</v>
      </c>
      <c r="F2161" t="s">
        <v>23</v>
      </c>
      <c r="G2161">
        <v>28</v>
      </c>
      <c r="H2161">
        <v>211.2</v>
      </c>
      <c r="I2161">
        <v>117</v>
      </c>
      <c r="J2161">
        <v>35.9</v>
      </c>
      <c r="K2161">
        <v>312.5</v>
      </c>
      <c r="L2161">
        <v>98</v>
      </c>
      <c r="M2161">
        <v>26.56</v>
      </c>
      <c r="N2161">
        <v>178</v>
      </c>
      <c r="O2161">
        <v>118</v>
      </c>
      <c r="P2161">
        <v>8.01</v>
      </c>
      <c r="Q2161">
        <v>10.7</v>
      </c>
      <c r="R2161">
        <v>2</v>
      </c>
      <c r="S2161">
        <v>2.89</v>
      </c>
      <c r="T2161">
        <v>3</v>
      </c>
      <c r="U2161" t="s">
        <v>23</v>
      </c>
      <c r="V2161" t="e">
        <f>IF(#REF! = "yes", 1, 0)</f>
        <v>#REF!</v>
      </c>
      <c r="W2161" t="e">
        <f>IF(#REF! &lt;= 1, "0-1 Calls", IF(#REF! &lt;= 3, "2-3 Calls", IF(#REF! &lt;=5, "4-5 Calls", "6+ Calls")))</f>
        <v>#REF!</v>
      </c>
      <c r="X2161" t="e">
        <f>IF(#REF! &lt;= 50, "0-50", IF(#REF! &lt;=100, "51-100", IF(#REF! &lt;= 150, "101-150", "151+")))</f>
        <v>#REF!</v>
      </c>
      <c r="Y2161" t="e">
        <f>IF(#REF! &lt;= 3, "Low Charges", "High Charges")</f>
        <v>#REF!</v>
      </c>
      <c r="Z2161" t="e">
        <f>IF(#REF!&lt;=80,"Low Calls",
IF(#REF!&lt;=120,"Medium Calls","High Calls"))</f>
        <v>#REF!</v>
      </c>
      <c r="AA2161" t="e">
        <f>IF(#REF!&lt;=15,"Low Charges",
IF(#REF!&lt;=20,"Medium Charges","High Charges"))</f>
        <v>#REF!</v>
      </c>
      <c r="AB2161" t="e">
        <f>IF(AND(#REF!&gt;180, #REF!&gt;200), "Heavy Doemstic User", IF(#REF!&gt;10, "Interntional User", IF(AND(#REF!&lt;180, #REF!&lt;200,#REF!&lt;200), "Light User", "Balanced User")))</f>
        <v>#REF!</v>
      </c>
      <c r="AC2161" t="e">
        <f>IF(#REF! = 0, "No Usage", IF(#REF! &lt;= 20, "Low Usage", IF(#REF! &lt;= 40, "Medium Usgae", "High Usage")))</f>
        <v>#REF!</v>
      </c>
      <c r="AD2161" t="e">
        <f>IF(#REF!&lt;=150,"Low Usage", IF(#REF!&lt;=200,"Medium Usage", IF(#REF!&lt;=250,"High Usage","Very High Usage")))</f>
        <v>#REF!</v>
      </c>
      <c r="AE2161" t="e">
        <f>IF(#REF!&lt;=5,"Low Calls", IF(#REF!&lt;=10, "Medium Calls", "High Calls"))</f>
        <v>#REF!</v>
      </c>
      <c r="AF2161" t="e">
        <f xml:space="preserve">
IF(#REF!&gt;=4,4,0)+
IF(#REF!="yes",3,0)+
IF(#REF!="High Charges",3,0)+
IF(#REF!&gt;250,4,0)+
IF(#REF!="no",1,0)+
IF(#REF!="Heavy Domestic User",2,0)</f>
        <v>#REF!</v>
      </c>
      <c r="AG2161" t="e">
        <f>IF(#REF!&gt;=10,"High Risk", IF(#REF!&gt;=5,"Medium Risk","Low Risk"))</f>
        <v>#REF!</v>
      </c>
      <c r="AH2161" t="e">
        <f>#REF! + #REF! + #REF! + #REF!</f>
        <v>#REF!</v>
      </c>
    </row>
    <row r="2162" spans="1:34" x14ac:dyDescent="0.35">
      <c r="A2162">
        <v>2161</v>
      </c>
      <c r="B2162" t="s">
        <v>40</v>
      </c>
      <c r="C2162">
        <v>90</v>
      </c>
      <c r="D2162" t="s">
        <v>21</v>
      </c>
      <c r="E2162" t="s">
        <v>22</v>
      </c>
      <c r="F2162" t="s">
        <v>23</v>
      </c>
      <c r="G2162">
        <v>24</v>
      </c>
      <c r="H2162">
        <v>71.2</v>
      </c>
      <c r="I2162">
        <v>82</v>
      </c>
      <c r="J2162">
        <v>12.1</v>
      </c>
      <c r="K2162">
        <v>181.6</v>
      </c>
      <c r="L2162">
        <v>103</v>
      </c>
      <c r="M2162">
        <v>15.44</v>
      </c>
      <c r="N2162">
        <v>186.9</v>
      </c>
      <c r="O2162">
        <v>111</v>
      </c>
      <c r="P2162">
        <v>8.41</v>
      </c>
      <c r="Q2162">
        <v>12.9</v>
      </c>
      <c r="R2162">
        <v>1</v>
      </c>
      <c r="S2162">
        <v>3.48</v>
      </c>
      <c r="T2162">
        <v>1</v>
      </c>
      <c r="U2162" t="s">
        <v>22</v>
      </c>
      <c r="V2162" t="e">
        <f>IF(#REF! = "yes", 1, 0)</f>
        <v>#REF!</v>
      </c>
      <c r="W2162" t="e">
        <f>IF(#REF! &lt;= 1, "0-1 Calls", IF(#REF! &lt;= 3, "2-3 Calls", IF(#REF! &lt;=5, "4-5 Calls", "6+ Calls")))</f>
        <v>#REF!</v>
      </c>
      <c r="X2162" t="e">
        <f>IF(#REF! &lt;= 50, "0-50", IF(#REF! &lt;=100, "51-100", IF(#REF! &lt;= 150, "101-150", "151+")))</f>
        <v>#REF!</v>
      </c>
      <c r="Y2162" t="e">
        <f>IF(#REF! &lt;= 3, "Low Charges", "High Charges")</f>
        <v>#REF!</v>
      </c>
      <c r="Z2162" t="e">
        <f>IF(#REF!&lt;=80,"Low Calls",
IF(#REF!&lt;=120,"Medium Calls","High Calls"))</f>
        <v>#REF!</v>
      </c>
      <c r="AA2162" t="e">
        <f>IF(#REF!&lt;=15,"Low Charges",
IF(#REF!&lt;=20,"Medium Charges","High Charges"))</f>
        <v>#REF!</v>
      </c>
      <c r="AB2162" t="e">
        <f>IF(AND(#REF!&gt;180, #REF!&gt;200), "Heavy Doemstic User", IF(#REF!&gt;10, "Interntional User", IF(AND(#REF!&lt;180, #REF!&lt;200,#REF!&lt;200), "Light User", "Balanced User")))</f>
        <v>#REF!</v>
      </c>
      <c r="AC2162" t="e">
        <f>IF(#REF! = 0, "No Usage", IF(#REF! &lt;= 20, "Low Usage", IF(#REF! &lt;= 40, "Medium Usgae", "High Usage")))</f>
        <v>#REF!</v>
      </c>
      <c r="AD2162" t="e">
        <f>IF(#REF!&lt;=150,"Low Usage", IF(#REF!&lt;=200,"Medium Usage", IF(#REF!&lt;=250,"High Usage","Very High Usage")))</f>
        <v>#REF!</v>
      </c>
      <c r="AE2162" t="e">
        <f>IF(#REF!&lt;=5,"Low Calls", IF(#REF!&lt;=10, "Medium Calls", "High Calls"))</f>
        <v>#REF!</v>
      </c>
      <c r="AF2162" t="e">
        <f xml:space="preserve">
IF(#REF!&gt;=4,4,0)+
IF(#REF!="yes",3,0)+
IF(#REF!="High Charges",3,0)+
IF(#REF!&gt;250,4,0)+
IF(#REF!="no",1,0)+
IF(#REF!="Heavy Domestic User",2,0)</f>
        <v>#REF!</v>
      </c>
      <c r="AG2162" t="e">
        <f>IF(#REF!&gt;=10,"High Risk", IF(#REF!&gt;=5,"Medium Risk","Low Risk"))</f>
        <v>#REF!</v>
      </c>
      <c r="AH2162" t="e">
        <f>#REF! + #REF! + #REF! + #REF!</f>
        <v>#REF!</v>
      </c>
    </row>
    <row r="2163" spans="1:34" x14ac:dyDescent="0.35">
      <c r="A2163">
        <v>2162</v>
      </c>
      <c r="B2163" t="s">
        <v>65</v>
      </c>
      <c r="C2163">
        <v>73</v>
      </c>
      <c r="D2163" t="s">
        <v>25</v>
      </c>
      <c r="E2163" t="s">
        <v>22</v>
      </c>
      <c r="F2163" t="s">
        <v>22</v>
      </c>
      <c r="G2163">
        <v>0</v>
      </c>
      <c r="H2163">
        <v>94.9</v>
      </c>
      <c r="I2163">
        <v>121</v>
      </c>
      <c r="J2163">
        <v>16.13</v>
      </c>
      <c r="K2163">
        <v>253.2</v>
      </c>
      <c r="L2163">
        <v>83</v>
      </c>
      <c r="M2163">
        <v>21.52</v>
      </c>
      <c r="N2163">
        <v>175.1</v>
      </c>
      <c r="O2163">
        <v>86</v>
      </c>
      <c r="P2163">
        <v>7.88</v>
      </c>
      <c r="Q2163">
        <v>14.2</v>
      </c>
      <c r="R2163">
        <v>2</v>
      </c>
      <c r="S2163">
        <v>3.83</v>
      </c>
      <c r="T2163">
        <v>2</v>
      </c>
      <c r="U2163" t="s">
        <v>22</v>
      </c>
      <c r="V2163" t="e">
        <f>IF(#REF! = "yes", 1, 0)</f>
        <v>#REF!</v>
      </c>
      <c r="W2163" t="e">
        <f>IF(#REF! &lt;= 1, "0-1 Calls", IF(#REF! &lt;= 3, "2-3 Calls", IF(#REF! &lt;=5, "4-5 Calls", "6+ Calls")))</f>
        <v>#REF!</v>
      </c>
      <c r="X2163" t="e">
        <f>IF(#REF! &lt;= 50, "0-50", IF(#REF! &lt;=100, "51-100", IF(#REF! &lt;= 150, "101-150", "151+")))</f>
        <v>#REF!</v>
      </c>
      <c r="Y2163" t="e">
        <f>IF(#REF! &lt;= 3, "Low Charges", "High Charges")</f>
        <v>#REF!</v>
      </c>
      <c r="Z2163" t="e">
        <f>IF(#REF!&lt;=80,"Low Calls",
IF(#REF!&lt;=120,"Medium Calls","High Calls"))</f>
        <v>#REF!</v>
      </c>
      <c r="AA2163" t="e">
        <f>IF(#REF!&lt;=15,"Low Charges",
IF(#REF!&lt;=20,"Medium Charges","High Charges"))</f>
        <v>#REF!</v>
      </c>
      <c r="AB2163" t="e">
        <f>IF(AND(#REF!&gt;180, #REF!&gt;200), "Heavy Doemstic User", IF(#REF!&gt;10, "Interntional User", IF(AND(#REF!&lt;180, #REF!&lt;200,#REF!&lt;200), "Light User", "Balanced User")))</f>
        <v>#REF!</v>
      </c>
      <c r="AC2163" t="e">
        <f>IF(#REF! = 0, "No Usage", IF(#REF! &lt;= 20, "Low Usage", IF(#REF! &lt;= 40, "Medium Usgae", "High Usage")))</f>
        <v>#REF!</v>
      </c>
      <c r="AD2163" t="e">
        <f>IF(#REF!&lt;=150,"Low Usage", IF(#REF!&lt;=200,"Medium Usage", IF(#REF!&lt;=250,"High Usage","Very High Usage")))</f>
        <v>#REF!</v>
      </c>
      <c r="AE2163" t="e">
        <f>IF(#REF!&lt;=5,"Low Calls", IF(#REF!&lt;=10, "Medium Calls", "High Calls"))</f>
        <v>#REF!</v>
      </c>
      <c r="AF2163" t="e">
        <f xml:space="preserve">
IF(#REF!&gt;=4,4,0)+
IF(#REF!="yes",3,0)+
IF(#REF!="High Charges",3,0)+
IF(#REF!&gt;250,4,0)+
IF(#REF!="no",1,0)+
IF(#REF!="Heavy Domestic User",2,0)</f>
        <v>#REF!</v>
      </c>
      <c r="AG2163" t="e">
        <f>IF(#REF!&gt;=10,"High Risk", IF(#REF!&gt;=5,"Medium Risk","Low Risk"))</f>
        <v>#REF!</v>
      </c>
      <c r="AH2163" t="e">
        <f>#REF! + #REF! + #REF! + #REF!</f>
        <v>#REF!</v>
      </c>
    </row>
    <row r="2164" spans="1:34" x14ac:dyDescent="0.35">
      <c r="A2164">
        <v>2163</v>
      </c>
      <c r="B2164" t="s">
        <v>43</v>
      </c>
      <c r="C2164">
        <v>19</v>
      </c>
      <c r="D2164" t="s">
        <v>28</v>
      </c>
      <c r="E2164" t="s">
        <v>22</v>
      </c>
      <c r="F2164" t="s">
        <v>22</v>
      </c>
      <c r="G2164">
        <v>0</v>
      </c>
      <c r="H2164">
        <v>259.39999999999998</v>
      </c>
      <c r="I2164">
        <v>116</v>
      </c>
      <c r="J2164">
        <v>44.1</v>
      </c>
      <c r="K2164">
        <v>269.7</v>
      </c>
      <c r="L2164">
        <v>109</v>
      </c>
      <c r="M2164">
        <v>22.92</v>
      </c>
      <c r="N2164">
        <v>175.3</v>
      </c>
      <c r="O2164">
        <v>130</v>
      </c>
      <c r="P2164">
        <v>7.89</v>
      </c>
      <c r="Q2164">
        <v>9.5</v>
      </c>
      <c r="R2164">
        <v>3</v>
      </c>
      <c r="S2164">
        <v>2.57</v>
      </c>
      <c r="T2164">
        <v>1</v>
      </c>
      <c r="U2164" t="s">
        <v>23</v>
      </c>
      <c r="V2164" t="e">
        <f>IF(#REF! = "yes", 1, 0)</f>
        <v>#REF!</v>
      </c>
      <c r="W2164" t="e">
        <f>IF(#REF! &lt;= 1, "0-1 Calls", IF(#REF! &lt;= 3, "2-3 Calls", IF(#REF! &lt;=5, "4-5 Calls", "6+ Calls")))</f>
        <v>#REF!</v>
      </c>
      <c r="X2164" t="e">
        <f>IF(#REF! &lt;= 50, "0-50", IF(#REF! &lt;=100, "51-100", IF(#REF! &lt;= 150, "101-150", "151+")))</f>
        <v>#REF!</v>
      </c>
      <c r="Y2164" t="e">
        <f>IF(#REF! &lt;= 3, "Low Charges", "High Charges")</f>
        <v>#REF!</v>
      </c>
      <c r="Z2164" t="e">
        <f>IF(#REF!&lt;=80,"Low Calls",
IF(#REF!&lt;=120,"Medium Calls","High Calls"))</f>
        <v>#REF!</v>
      </c>
      <c r="AA2164" t="e">
        <f>IF(#REF!&lt;=15,"Low Charges",
IF(#REF!&lt;=20,"Medium Charges","High Charges"))</f>
        <v>#REF!</v>
      </c>
      <c r="AB2164" t="e">
        <f>IF(AND(#REF!&gt;180, #REF!&gt;200), "Heavy Doemstic User", IF(#REF!&gt;10, "Interntional User", IF(AND(#REF!&lt;180, #REF!&lt;200,#REF!&lt;200), "Light User", "Balanced User")))</f>
        <v>#REF!</v>
      </c>
      <c r="AC2164" t="e">
        <f>IF(#REF! = 0, "No Usage", IF(#REF! &lt;= 20, "Low Usage", IF(#REF! &lt;= 40, "Medium Usgae", "High Usage")))</f>
        <v>#REF!</v>
      </c>
      <c r="AD2164" t="e">
        <f>IF(#REF!&lt;=150,"Low Usage", IF(#REF!&lt;=200,"Medium Usage", IF(#REF!&lt;=250,"High Usage","Very High Usage")))</f>
        <v>#REF!</v>
      </c>
      <c r="AE2164" t="e">
        <f>IF(#REF!&lt;=5,"Low Calls", IF(#REF!&lt;=10, "Medium Calls", "High Calls"))</f>
        <v>#REF!</v>
      </c>
      <c r="AF2164" t="e">
        <f xml:space="preserve">
IF(#REF!&gt;=4,4,0)+
IF(#REF!="yes",3,0)+
IF(#REF!="High Charges",3,0)+
IF(#REF!&gt;250,4,0)+
IF(#REF!="no",1,0)+
IF(#REF!="Heavy Domestic User",2,0)</f>
        <v>#REF!</v>
      </c>
      <c r="AG2164" t="e">
        <f>IF(#REF!&gt;=10,"High Risk", IF(#REF!&gt;=5,"Medium Risk","Low Risk"))</f>
        <v>#REF!</v>
      </c>
      <c r="AH2164" t="e">
        <f>#REF! + #REF! + #REF! + #REF!</f>
        <v>#REF!</v>
      </c>
    </row>
    <row r="2165" spans="1:34" x14ac:dyDescent="0.35">
      <c r="A2165">
        <v>2164</v>
      </c>
      <c r="B2165" t="s">
        <v>59</v>
      </c>
      <c r="C2165">
        <v>120</v>
      </c>
      <c r="D2165" t="s">
        <v>25</v>
      </c>
      <c r="E2165" t="s">
        <v>22</v>
      </c>
      <c r="F2165" t="s">
        <v>23</v>
      </c>
      <c r="G2165">
        <v>28</v>
      </c>
      <c r="H2165">
        <v>215.8</v>
      </c>
      <c r="I2165">
        <v>123</v>
      </c>
      <c r="J2165">
        <v>36.69</v>
      </c>
      <c r="K2165">
        <v>285.2</v>
      </c>
      <c r="L2165">
        <v>76</v>
      </c>
      <c r="M2165">
        <v>24.24</v>
      </c>
      <c r="N2165">
        <v>192.1</v>
      </c>
      <c r="O2165">
        <v>78</v>
      </c>
      <c r="P2165">
        <v>8.64</v>
      </c>
      <c r="Q2165">
        <v>6.9</v>
      </c>
      <c r="R2165">
        <v>3</v>
      </c>
      <c r="S2165">
        <v>1.86</v>
      </c>
      <c r="T2165">
        <v>1</v>
      </c>
      <c r="U2165" t="s">
        <v>22</v>
      </c>
      <c r="V2165" t="e">
        <f>IF(#REF! = "yes", 1, 0)</f>
        <v>#REF!</v>
      </c>
      <c r="W2165" t="e">
        <f>IF(#REF! &lt;= 1, "0-1 Calls", IF(#REF! &lt;= 3, "2-3 Calls", IF(#REF! &lt;=5, "4-5 Calls", "6+ Calls")))</f>
        <v>#REF!</v>
      </c>
      <c r="X2165" t="e">
        <f>IF(#REF! &lt;= 50, "0-50", IF(#REF! &lt;=100, "51-100", IF(#REF! &lt;= 150, "101-150", "151+")))</f>
        <v>#REF!</v>
      </c>
      <c r="Y2165" t="e">
        <f>IF(#REF! &lt;= 3, "Low Charges", "High Charges")</f>
        <v>#REF!</v>
      </c>
      <c r="Z2165" t="e">
        <f>IF(#REF!&lt;=80,"Low Calls",
IF(#REF!&lt;=120,"Medium Calls","High Calls"))</f>
        <v>#REF!</v>
      </c>
      <c r="AA2165" t="e">
        <f>IF(#REF!&lt;=15,"Low Charges",
IF(#REF!&lt;=20,"Medium Charges","High Charges"))</f>
        <v>#REF!</v>
      </c>
      <c r="AB2165" t="e">
        <f>IF(AND(#REF!&gt;180, #REF!&gt;200), "Heavy Doemstic User", IF(#REF!&gt;10, "Interntional User", IF(AND(#REF!&lt;180, #REF!&lt;200,#REF!&lt;200), "Light User", "Balanced User")))</f>
        <v>#REF!</v>
      </c>
      <c r="AC2165" t="e">
        <f>IF(#REF! = 0, "No Usage", IF(#REF! &lt;= 20, "Low Usage", IF(#REF! &lt;= 40, "Medium Usgae", "High Usage")))</f>
        <v>#REF!</v>
      </c>
      <c r="AD2165" t="e">
        <f>IF(#REF!&lt;=150,"Low Usage", IF(#REF!&lt;=200,"Medium Usage", IF(#REF!&lt;=250,"High Usage","Very High Usage")))</f>
        <v>#REF!</v>
      </c>
      <c r="AE2165" t="e">
        <f>IF(#REF!&lt;=5,"Low Calls", IF(#REF!&lt;=10, "Medium Calls", "High Calls"))</f>
        <v>#REF!</v>
      </c>
      <c r="AF2165" t="e">
        <f xml:space="preserve">
IF(#REF!&gt;=4,4,0)+
IF(#REF!="yes",3,0)+
IF(#REF!="High Charges",3,0)+
IF(#REF!&gt;250,4,0)+
IF(#REF!="no",1,0)+
IF(#REF!="Heavy Domestic User",2,0)</f>
        <v>#REF!</v>
      </c>
      <c r="AG2165" t="e">
        <f>IF(#REF!&gt;=10,"High Risk", IF(#REF!&gt;=5,"Medium Risk","Low Risk"))</f>
        <v>#REF!</v>
      </c>
      <c r="AH2165" t="e">
        <f>#REF! + #REF! + #REF! + #REF!</f>
        <v>#REF!</v>
      </c>
    </row>
    <row r="2166" spans="1:34" x14ac:dyDescent="0.35">
      <c r="A2166">
        <v>2165</v>
      </c>
      <c r="B2166" t="s">
        <v>35</v>
      </c>
      <c r="C2166">
        <v>160</v>
      </c>
      <c r="D2166" t="s">
        <v>21</v>
      </c>
      <c r="E2166" t="s">
        <v>22</v>
      </c>
      <c r="F2166" t="s">
        <v>22</v>
      </c>
      <c r="G2166">
        <v>0</v>
      </c>
      <c r="H2166">
        <v>97.5</v>
      </c>
      <c r="I2166">
        <v>113</v>
      </c>
      <c r="J2166">
        <v>16.579999999999998</v>
      </c>
      <c r="K2166">
        <v>268.10000000000002</v>
      </c>
      <c r="L2166">
        <v>69</v>
      </c>
      <c r="M2166">
        <v>22.79</v>
      </c>
      <c r="N2166">
        <v>255.3</v>
      </c>
      <c r="O2166">
        <v>62</v>
      </c>
      <c r="P2166">
        <v>11.49</v>
      </c>
      <c r="Q2166">
        <v>13.2</v>
      </c>
      <c r="R2166">
        <v>4</v>
      </c>
      <c r="S2166">
        <v>3.56</v>
      </c>
      <c r="T2166">
        <v>3</v>
      </c>
      <c r="U2166" t="s">
        <v>22</v>
      </c>
      <c r="V2166" t="e">
        <f>IF(#REF! = "yes", 1, 0)</f>
        <v>#REF!</v>
      </c>
      <c r="W2166" t="e">
        <f>IF(#REF! &lt;= 1, "0-1 Calls", IF(#REF! &lt;= 3, "2-3 Calls", IF(#REF! &lt;=5, "4-5 Calls", "6+ Calls")))</f>
        <v>#REF!</v>
      </c>
      <c r="X2166" t="e">
        <f>IF(#REF! &lt;= 50, "0-50", IF(#REF! &lt;=100, "51-100", IF(#REF! &lt;= 150, "101-150", "151+")))</f>
        <v>#REF!</v>
      </c>
      <c r="Y2166" t="e">
        <f>IF(#REF! &lt;= 3, "Low Charges", "High Charges")</f>
        <v>#REF!</v>
      </c>
      <c r="Z2166" t="e">
        <f>IF(#REF!&lt;=80,"Low Calls",
IF(#REF!&lt;=120,"Medium Calls","High Calls"))</f>
        <v>#REF!</v>
      </c>
      <c r="AA2166" t="e">
        <f>IF(#REF!&lt;=15,"Low Charges",
IF(#REF!&lt;=20,"Medium Charges","High Charges"))</f>
        <v>#REF!</v>
      </c>
      <c r="AB2166" t="e">
        <f>IF(AND(#REF!&gt;180, #REF!&gt;200), "Heavy Doemstic User", IF(#REF!&gt;10, "Interntional User", IF(AND(#REF!&lt;180, #REF!&lt;200,#REF!&lt;200), "Light User", "Balanced User")))</f>
        <v>#REF!</v>
      </c>
      <c r="AC2166" t="e">
        <f>IF(#REF! = 0, "No Usage", IF(#REF! &lt;= 20, "Low Usage", IF(#REF! &lt;= 40, "Medium Usgae", "High Usage")))</f>
        <v>#REF!</v>
      </c>
      <c r="AD2166" t="e">
        <f>IF(#REF!&lt;=150,"Low Usage", IF(#REF!&lt;=200,"Medium Usage", IF(#REF!&lt;=250,"High Usage","Very High Usage")))</f>
        <v>#REF!</v>
      </c>
      <c r="AE2166" t="e">
        <f>IF(#REF!&lt;=5,"Low Calls", IF(#REF!&lt;=10, "Medium Calls", "High Calls"))</f>
        <v>#REF!</v>
      </c>
      <c r="AF2166" t="e">
        <f xml:space="preserve">
IF(#REF!&gt;=4,4,0)+
IF(#REF!="yes",3,0)+
IF(#REF!="High Charges",3,0)+
IF(#REF!&gt;250,4,0)+
IF(#REF!="no",1,0)+
IF(#REF!="Heavy Domestic User",2,0)</f>
        <v>#REF!</v>
      </c>
      <c r="AG2166" t="e">
        <f>IF(#REF!&gt;=10,"High Risk", IF(#REF!&gt;=5,"Medium Risk","Low Risk"))</f>
        <v>#REF!</v>
      </c>
      <c r="AH2166" t="e">
        <f>#REF! + #REF! + #REF! + #REF!</f>
        <v>#REF!</v>
      </c>
    </row>
    <row r="2167" spans="1:34" x14ac:dyDescent="0.35">
      <c r="A2167">
        <v>2166</v>
      </c>
      <c r="B2167" t="s">
        <v>73</v>
      </c>
      <c r="C2167">
        <v>141</v>
      </c>
      <c r="D2167" t="s">
        <v>28</v>
      </c>
      <c r="E2167" t="s">
        <v>22</v>
      </c>
      <c r="F2167" t="s">
        <v>22</v>
      </c>
      <c r="G2167">
        <v>0</v>
      </c>
      <c r="H2167">
        <v>146.5</v>
      </c>
      <c r="I2167">
        <v>121</v>
      </c>
      <c r="J2167">
        <v>24.91</v>
      </c>
      <c r="K2167">
        <v>169.9</v>
      </c>
      <c r="L2167">
        <v>125</v>
      </c>
      <c r="M2167">
        <v>14.44</v>
      </c>
      <c r="N2167">
        <v>238.8</v>
      </c>
      <c r="O2167">
        <v>112</v>
      </c>
      <c r="P2167">
        <v>10.75</v>
      </c>
      <c r="Q2167">
        <v>8.1999999999999993</v>
      </c>
      <c r="R2167">
        <v>5</v>
      </c>
      <c r="S2167">
        <v>2.21</v>
      </c>
      <c r="T2167">
        <v>0</v>
      </c>
      <c r="U2167" t="s">
        <v>22</v>
      </c>
      <c r="V2167" t="e">
        <f>IF(#REF! = "yes", 1, 0)</f>
        <v>#REF!</v>
      </c>
      <c r="W2167" t="e">
        <f>IF(#REF! &lt;= 1, "0-1 Calls", IF(#REF! &lt;= 3, "2-3 Calls", IF(#REF! &lt;=5, "4-5 Calls", "6+ Calls")))</f>
        <v>#REF!</v>
      </c>
      <c r="X2167" t="e">
        <f>IF(#REF! &lt;= 50, "0-50", IF(#REF! &lt;=100, "51-100", IF(#REF! &lt;= 150, "101-150", "151+")))</f>
        <v>#REF!</v>
      </c>
      <c r="Y2167" t="e">
        <f>IF(#REF! &lt;= 3, "Low Charges", "High Charges")</f>
        <v>#REF!</v>
      </c>
      <c r="Z2167" t="e">
        <f>IF(#REF!&lt;=80,"Low Calls",
IF(#REF!&lt;=120,"Medium Calls","High Calls"))</f>
        <v>#REF!</v>
      </c>
      <c r="AA2167" t="e">
        <f>IF(#REF!&lt;=15,"Low Charges",
IF(#REF!&lt;=20,"Medium Charges","High Charges"))</f>
        <v>#REF!</v>
      </c>
      <c r="AB2167" t="e">
        <f>IF(AND(#REF!&gt;180, #REF!&gt;200), "Heavy Doemstic User", IF(#REF!&gt;10, "Interntional User", IF(AND(#REF!&lt;180, #REF!&lt;200,#REF!&lt;200), "Light User", "Balanced User")))</f>
        <v>#REF!</v>
      </c>
      <c r="AC2167" t="e">
        <f>IF(#REF! = 0, "No Usage", IF(#REF! &lt;= 20, "Low Usage", IF(#REF! &lt;= 40, "Medium Usgae", "High Usage")))</f>
        <v>#REF!</v>
      </c>
      <c r="AD2167" t="e">
        <f>IF(#REF!&lt;=150,"Low Usage", IF(#REF!&lt;=200,"Medium Usage", IF(#REF!&lt;=250,"High Usage","Very High Usage")))</f>
        <v>#REF!</v>
      </c>
      <c r="AE2167" t="e">
        <f>IF(#REF!&lt;=5,"Low Calls", IF(#REF!&lt;=10, "Medium Calls", "High Calls"))</f>
        <v>#REF!</v>
      </c>
      <c r="AF2167" t="e">
        <f xml:space="preserve">
IF(#REF!&gt;=4,4,0)+
IF(#REF!="yes",3,0)+
IF(#REF!="High Charges",3,0)+
IF(#REF!&gt;250,4,0)+
IF(#REF!="no",1,0)+
IF(#REF!="Heavy Domestic User",2,0)</f>
        <v>#REF!</v>
      </c>
      <c r="AG2167" t="e">
        <f>IF(#REF!&gt;=10,"High Risk", IF(#REF!&gt;=5,"Medium Risk","Low Risk"))</f>
        <v>#REF!</v>
      </c>
      <c r="AH2167" t="e">
        <f>#REF! + #REF! + #REF! + #REF!</f>
        <v>#REF!</v>
      </c>
    </row>
    <row r="2168" spans="1:34" x14ac:dyDescent="0.35">
      <c r="A2168">
        <v>2167</v>
      </c>
      <c r="B2168" t="s">
        <v>27</v>
      </c>
      <c r="C2168">
        <v>90</v>
      </c>
      <c r="D2168" t="s">
        <v>25</v>
      </c>
      <c r="E2168" t="s">
        <v>22</v>
      </c>
      <c r="F2168" t="s">
        <v>22</v>
      </c>
      <c r="G2168">
        <v>0</v>
      </c>
      <c r="H2168">
        <v>157.9</v>
      </c>
      <c r="I2168">
        <v>72</v>
      </c>
      <c r="J2168">
        <v>26.84</v>
      </c>
      <c r="K2168">
        <v>234</v>
      </c>
      <c r="L2168">
        <v>93</v>
      </c>
      <c r="M2168">
        <v>19.89</v>
      </c>
      <c r="N2168">
        <v>210</v>
      </c>
      <c r="O2168">
        <v>86</v>
      </c>
      <c r="P2168">
        <v>9.4499999999999993</v>
      </c>
      <c r="Q2168">
        <v>12.2</v>
      </c>
      <c r="R2168">
        <v>5</v>
      </c>
      <c r="S2168">
        <v>3.29</v>
      </c>
      <c r="T2168">
        <v>2</v>
      </c>
      <c r="U2168" t="s">
        <v>22</v>
      </c>
      <c r="V2168" t="e">
        <f>IF(#REF! = "yes", 1, 0)</f>
        <v>#REF!</v>
      </c>
      <c r="W2168" t="e">
        <f>IF(#REF! &lt;= 1, "0-1 Calls", IF(#REF! &lt;= 3, "2-3 Calls", IF(#REF! &lt;=5, "4-5 Calls", "6+ Calls")))</f>
        <v>#REF!</v>
      </c>
      <c r="X2168" t="e">
        <f>IF(#REF! &lt;= 50, "0-50", IF(#REF! &lt;=100, "51-100", IF(#REF! &lt;= 150, "101-150", "151+")))</f>
        <v>#REF!</v>
      </c>
      <c r="Y2168" t="e">
        <f>IF(#REF! &lt;= 3, "Low Charges", "High Charges")</f>
        <v>#REF!</v>
      </c>
      <c r="Z2168" t="e">
        <f>IF(#REF!&lt;=80,"Low Calls",
IF(#REF!&lt;=120,"Medium Calls","High Calls"))</f>
        <v>#REF!</v>
      </c>
      <c r="AA2168" t="e">
        <f>IF(#REF!&lt;=15,"Low Charges",
IF(#REF!&lt;=20,"Medium Charges","High Charges"))</f>
        <v>#REF!</v>
      </c>
      <c r="AB2168" t="e">
        <f>IF(AND(#REF!&gt;180, #REF!&gt;200), "Heavy Doemstic User", IF(#REF!&gt;10, "Interntional User", IF(AND(#REF!&lt;180, #REF!&lt;200,#REF!&lt;200), "Light User", "Balanced User")))</f>
        <v>#REF!</v>
      </c>
      <c r="AC2168" t="e">
        <f>IF(#REF! = 0, "No Usage", IF(#REF! &lt;= 20, "Low Usage", IF(#REF! &lt;= 40, "Medium Usgae", "High Usage")))</f>
        <v>#REF!</v>
      </c>
      <c r="AD2168" t="e">
        <f>IF(#REF!&lt;=150,"Low Usage", IF(#REF!&lt;=200,"Medium Usage", IF(#REF!&lt;=250,"High Usage","Very High Usage")))</f>
        <v>#REF!</v>
      </c>
      <c r="AE2168" t="e">
        <f>IF(#REF!&lt;=5,"Low Calls", IF(#REF!&lt;=10, "Medium Calls", "High Calls"))</f>
        <v>#REF!</v>
      </c>
      <c r="AF2168" t="e">
        <f xml:space="preserve">
IF(#REF!&gt;=4,4,0)+
IF(#REF!="yes",3,0)+
IF(#REF!="High Charges",3,0)+
IF(#REF!&gt;250,4,0)+
IF(#REF!="no",1,0)+
IF(#REF!="Heavy Domestic User",2,0)</f>
        <v>#REF!</v>
      </c>
      <c r="AG2168" t="e">
        <f>IF(#REF!&gt;=10,"High Risk", IF(#REF!&gt;=5,"Medium Risk","Low Risk"))</f>
        <v>#REF!</v>
      </c>
      <c r="AH2168" t="e">
        <f>#REF! + #REF! + #REF! + #REF!</f>
        <v>#REF!</v>
      </c>
    </row>
    <row r="2169" spans="1:34" x14ac:dyDescent="0.35">
      <c r="A2169">
        <v>2168</v>
      </c>
      <c r="B2169" t="s">
        <v>64</v>
      </c>
      <c r="C2169">
        <v>72</v>
      </c>
      <c r="D2169" t="s">
        <v>21</v>
      </c>
      <c r="E2169" t="s">
        <v>22</v>
      </c>
      <c r="F2169" t="s">
        <v>22</v>
      </c>
      <c r="G2169">
        <v>0</v>
      </c>
      <c r="H2169">
        <v>139.9</v>
      </c>
      <c r="I2169">
        <v>117</v>
      </c>
      <c r="J2169">
        <v>23.78</v>
      </c>
      <c r="K2169">
        <v>223.6</v>
      </c>
      <c r="L2169">
        <v>96</v>
      </c>
      <c r="M2169">
        <v>19.010000000000002</v>
      </c>
      <c r="N2169">
        <v>240.8</v>
      </c>
      <c r="O2169">
        <v>93</v>
      </c>
      <c r="P2169">
        <v>10.84</v>
      </c>
      <c r="Q2169">
        <v>12.7</v>
      </c>
      <c r="R2169">
        <v>4</v>
      </c>
      <c r="S2169">
        <v>3.43</v>
      </c>
      <c r="T2169">
        <v>2</v>
      </c>
      <c r="U2169" t="s">
        <v>22</v>
      </c>
      <c r="V2169" t="e">
        <f>IF(#REF! = "yes", 1, 0)</f>
        <v>#REF!</v>
      </c>
      <c r="W2169" t="e">
        <f>IF(#REF! &lt;= 1, "0-1 Calls", IF(#REF! &lt;= 3, "2-3 Calls", IF(#REF! &lt;=5, "4-5 Calls", "6+ Calls")))</f>
        <v>#REF!</v>
      </c>
      <c r="X2169" t="e">
        <f>IF(#REF! &lt;= 50, "0-50", IF(#REF! &lt;=100, "51-100", IF(#REF! &lt;= 150, "101-150", "151+")))</f>
        <v>#REF!</v>
      </c>
      <c r="Y2169" t="e">
        <f>IF(#REF! &lt;= 3, "Low Charges", "High Charges")</f>
        <v>#REF!</v>
      </c>
      <c r="Z2169" t="e">
        <f>IF(#REF!&lt;=80,"Low Calls",
IF(#REF!&lt;=120,"Medium Calls","High Calls"))</f>
        <v>#REF!</v>
      </c>
      <c r="AA2169" t="e">
        <f>IF(#REF!&lt;=15,"Low Charges",
IF(#REF!&lt;=20,"Medium Charges","High Charges"))</f>
        <v>#REF!</v>
      </c>
      <c r="AB2169" t="e">
        <f>IF(AND(#REF!&gt;180, #REF!&gt;200), "Heavy Doemstic User", IF(#REF!&gt;10, "Interntional User", IF(AND(#REF!&lt;180, #REF!&lt;200,#REF!&lt;200), "Light User", "Balanced User")))</f>
        <v>#REF!</v>
      </c>
      <c r="AC2169" t="e">
        <f>IF(#REF! = 0, "No Usage", IF(#REF! &lt;= 20, "Low Usage", IF(#REF! &lt;= 40, "Medium Usgae", "High Usage")))</f>
        <v>#REF!</v>
      </c>
      <c r="AD2169" t="e">
        <f>IF(#REF!&lt;=150,"Low Usage", IF(#REF!&lt;=200,"Medium Usage", IF(#REF!&lt;=250,"High Usage","Very High Usage")))</f>
        <v>#REF!</v>
      </c>
      <c r="AE2169" t="e">
        <f>IF(#REF!&lt;=5,"Low Calls", IF(#REF!&lt;=10, "Medium Calls", "High Calls"))</f>
        <v>#REF!</v>
      </c>
      <c r="AF2169" t="e">
        <f xml:space="preserve">
IF(#REF!&gt;=4,4,0)+
IF(#REF!="yes",3,0)+
IF(#REF!="High Charges",3,0)+
IF(#REF!&gt;250,4,0)+
IF(#REF!="no",1,0)+
IF(#REF!="Heavy Domestic User",2,0)</f>
        <v>#REF!</v>
      </c>
      <c r="AG2169" t="e">
        <f>IF(#REF!&gt;=10,"High Risk", IF(#REF!&gt;=5,"Medium Risk","Low Risk"))</f>
        <v>#REF!</v>
      </c>
      <c r="AH2169" t="e">
        <f>#REF! + #REF! + #REF! + #REF!</f>
        <v>#REF!</v>
      </c>
    </row>
    <row r="2170" spans="1:34" x14ac:dyDescent="0.35">
      <c r="A2170">
        <v>2169</v>
      </c>
      <c r="B2170" t="s">
        <v>60</v>
      </c>
      <c r="C2170">
        <v>117</v>
      </c>
      <c r="D2170" t="s">
        <v>25</v>
      </c>
      <c r="E2170" t="s">
        <v>22</v>
      </c>
      <c r="F2170" t="s">
        <v>23</v>
      </c>
      <c r="G2170">
        <v>21</v>
      </c>
      <c r="H2170">
        <v>153.19999999999999</v>
      </c>
      <c r="I2170">
        <v>112</v>
      </c>
      <c r="J2170">
        <v>26.04</v>
      </c>
      <c r="K2170">
        <v>263.3</v>
      </c>
      <c r="L2170">
        <v>110</v>
      </c>
      <c r="M2170">
        <v>22.38</v>
      </c>
      <c r="N2170">
        <v>135</v>
      </c>
      <c r="O2170">
        <v>85</v>
      </c>
      <c r="P2170">
        <v>6.08</v>
      </c>
      <c r="Q2170">
        <v>11.9</v>
      </c>
      <c r="R2170">
        <v>7</v>
      </c>
      <c r="S2170">
        <v>3.21</v>
      </c>
      <c r="T2170">
        <v>1</v>
      </c>
      <c r="U2170" t="s">
        <v>22</v>
      </c>
      <c r="V2170" t="e">
        <f>IF(#REF! = "yes", 1, 0)</f>
        <v>#REF!</v>
      </c>
      <c r="W2170" t="e">
        <f>IF(#REF! &lt;= 1, "0-1 Calls", IF(#REF! &lt;= 3, "2-3 Calls", IF(#REF! &lt;=5, "4-5 Calls", "6+ Calls")))</f>
        <v>#REF!</v>
      </c>
      <c r="X2170" t="e">
        <f>IF(#REF! &lt;= 50, "0-50", IF(#REF! &lt;=100, "51-100", IF(#REF! &lt;= 150, "101-150", "151+")))</f>
        <v>#REF!</v>
      </c>
      <c r="Y2170" t="e">
        <f>IF(#REF! &lt;= 3, "Low Charges", "High Charges")</f>
        <v>#REF!</v>
      </c>
      <c r="Z2170" t="e">
        <f>IF(#REF!&lt;=80,"Low Calls",
IF(#REF!&lt;=120,"Medium Calls","High Calls"))</f>
        <v>#REF!</v>
      </c>
      <c r="AA2170" t="e">
        <f>IF(#REF!&lt;=15,"Low Charges",
IF(#REF!&lt;=20,"Medium Charges","High Charges"))</f>
        <v>#REF!</v>
      </c>
      <c r="AB2170" t="e">
        <f>IF(AND(#REF!&gt;180, #REF!&gt;200), "Heavy Doemstic User", IF(#REF!&gt;10, "Interntional User", IF(AND(#REF!&lt;180, #REF!&lt;200,#REF!&lt;200), "Light User", "Balanced User")))</f>
        <v>#REF!</v>
      </c>
      <c r="AC2170" t="e">
        <f>IF(#REF! = 0, "No Usage", IF(#REF! &lt;= 20, "Low Usage", IF(#REF! &lt;= 40, "Medium Usgae", "High Usage")))</f>
        <v>#REF!</v>
      </c>
      <c r="AD2170" t="e">
        <f>IF(#REF!&lt;=150,"Low Usage", IF(#REF!&lt;=200,"Medium Usage", IF(#REF!&lt;=250,"High Usage","Very High Usage")))</f>
        <v>#REF!</v>
      </c>
      <c r="AE2170" t="e">
        <f>IF(#REF!&lt;=5,"Low Calls", IF(#REF!&lt;=10, "Medium Calls", "High Calls"))</f>
        <v>#REF!</v>
      </c>
      <c r="AF2170" t="e">
        <f xml:space="preserve">
IF(#REF!&gt;=4,4,0)+
IF(#REF!="yes",3,0)+
IF(#REF!="High Charges",3,0)+
IF(#REF!&gt;250,4,0)+
IF(#REF!="no",1,0)+
IF(#REF!="Heavy Domestic User",2,0)</f>
        <v>#REF!</v>
      </c>
      <c r="AG2170" t="e">
        <f>IF(#REF!&gt;=10,"High Risk", IF(#REF!&gt;=5,"Medium Risk","Low Risk"))</f>
        <v>#REF!</v>
      </c>
      <c r="AH2170" t="e">
        <f>#REF! + #REF! + #REF! + #REF!</f>
        <v>#REF!</v>
      </c>
    </row>
    <row r="2171" spans="1:34" x14ac:dyDescent="0.35">
      <c r="A2171">
        <v>2170</v>
      </c>
      <c r="B2171" t="s">
        <v>50</v>
      </c>
      <c r="C2171">
        <v>87</v>
      </c>
      <c r="D2171" t="s">
        <v>25</v>
      </c>
      <c r="E2171" t="s">
        <v>22</v>
      </c>
      <c r="F2171" t="s">
        <v>22</v>
      </c>
      <c r="G2171">
        <v>0</v>
      </c>
      <c r="H2171">
        <v>185.8</v>
      </c>
      <c r="I2171">
        <v>119</v>
      </c>
      <c r="J2171">
        <v>31.59</v>
      </c>
      <c r="K2171">
        <v>192.3</v>
      </c>
      <c r="L2171">
        <v>83</v>
      </c>
      <c r="M2171">
        <v>16.350000000000001</v>
      </c>
      <c r="N2171">
        <v>200</v>
      </c>
      <c r="O2171">
        <v>96</v>
      </c>
      <c r="P2171">
        <v>9</v>
      </c>
      <c r="Q2171">
        <v>6.6</v>
      </c>
      <c r="R2171">
        <v>4</v>
      </c>
      <c r="S2171">
        <v>1.78</v>
      </c>
      <c r="T2171">
        <v>1</v>
      </c>
      <c r="U2171" t="s">
        <v>22</v>
      </c>
      <c r="V2171" t="e">
        <f>IF(#REF! = "yes", 1, 0)</f>
        <v>#REF!</v>
      </c>
      <c r="W2171" t="e">
        <f>IF(#REF! &lt;= 1, "0-1 Calls", IF(#REF! &lt;= 3, "2-3 Calls", IF(#REF! &lt;=5, "4-5 Calls", "6+ Calls")))</f>
        <v>#REF!</v>
      </c>
      <c r="X2171" t="e">
        <f>IF(#REF! &lt;= 50, "0-50", IF(#REF! &lt;=100, "51-100", IF(#REF! &lt;= 150, "101-150", "151+")))</f>
        <v>#REF!</v>
      </c>
      <c r="Y2171" t="e">
        <f>IF(#REF! &lt;= 3, "Low Charges", "High Charges")</f>
        <v>#REF!</v>
      </c>
      <c r="Z2171" t="e">
        <f>IF(#REF!&lt;=80,"Low Calls",
IF(#REF!&lt;=120,"Medium Calls","High Calls"))</f>
        <v>#REF!</v>
      </c>
      <c r="AA2171" t="e">
        <f>IF(#REF!&lt;=15,"Low Charges",
IF(#REF!&lt;=20,"Medium Charges","High Charges"))</f>
        <v>#REF!</v>
      </c>
      <c r="AB2171" t="e">
        <f>IF(AND(#REF!&gt;180, #REF!&gt;200), "Heavy Doemstic User", IF(#REF!&gt;10, "Interntional User", IF(AND(#REF!&lt;180, #REF!&lt;200,#REF!&lt;200), "Light User", "Balanced User")))</f>
        <v>#REF!</v>
      </c>
      <c r="AC2171" t="e">
        <f>IF(#REF! = 0, "No Usage", IF(#REF! &lt;= 20, "Low Usage", IF(#REF! &lt;= 40, "Medium Usgae", "High Usage")))</f>
        <v>#REF!</v>
      </c>
      <c r="AD2171" t="e">
        <f>IF(#REF!&lt;=150,"Low Usage", IF(#REF!&lt;=200,"Medium Usage", IF(#REF!&lt;=250,"High Usage","Very High Usage")))</f>
        <v>#REF!</v>
      </c>
      <c r="AE2171" t="e">
        <f>IF(#REF!&lt;=5,"Low Calls", IF(#REF!&lt;=10, "Medium Calls", "High Calls"))</f>
        <v>#REF!</v>
      </c>
      <c r="AF2171" t="e">
        <f xml:space="preserve">
IF(#REF!&gt;=4,4,0)+
IF(#REF!="yes",3,0)+
IF(#REF!="High Charges",3,0)+
IF(#REF!&gt;250,4,0)+
IF(#REF!="no",1,0)+
IF(#REF!="Heavy Domestic User",2,0)</f>
        <v>#REF!</v>
      </c>
      <c r="AG2171" t="e">
        <f>IF(#REF!&gt;=10,"High Risk", IF(#REF!&gt;=5,"Medium Risk","Low Risk"))</f>
        <v>#REF!</v>
      </c>
      <c r="AH2171" t="e">
        <f>#REF! + #REF! + #REF! + #REF!</f>
        <v>#REF!</v>
      </c>
    </row>
    <row r="2172" spans="1:34" x14ac:dyDescent="0.35">
      <c r="A2172">
        <v>2171</v>
      </c>
      <c r="B2172" t="s">
        <v>58</v>
      </c>
      <c r="C2172">
        <v>190</v>
      </c>
      <c r="D2172" t="s">
        <v>25</v>
      </c>
      <c r="E2172" t="s">
        <v>22</v>
      </c>
      <c r="F2172" t="s">
        <v>22</v>
      </c>
      <c r="G2172">
        <v>0</v>
      </c>
      <c r="H2172">
        <v>182.2</v>
      </c>
      <c r="I2172">
        <v>101</v>
      </c>
      <c r="J2172">
        <v>30.97</v>
      </c>
      <c r="K2172">
        <v>212.3</v>
      </c>
      <c r="L2172">
        <v>95</v>
      </c>
      <c r="M2172">
        <v>18.05</v>
      </c>
      <c r="N2172">
        <v>233</v>
      </c>
      <c r="O2172">
        <v>123</v>
      </c>
      <c r="P2172">
        <v>10.49</v>
      </c>
      <c r="Q2172">
        <v>9.3000000000000007</v>
      </c>
      <c r="R2172">
        <v>4</v>
      </c>
      <c r="S2172">
        <v>2.5099999999999998</v>
      </c>
      <c r="T2172">
        <v>2</v>
      </c>
      <c r="U2172" t="s">
        <v>22</v>
      </c>
      <c r="V2172" t="e">
        <f>IF(#REF! = "yes", 1, 0)</f>
        <v>#REF!</v>
      </c>
      <c r="W2172" t="e">
        <f>IF(#REF! &lt;= 1, "0-1 Calls", IF(#REF! &lt;= 3, "2-3 Calls", IF(#REF! &lt;=5, "4-5 Calls", "6+ Calls")))</f>
        <v>#REF!</v>
      </c>
      <c r="X2172" t="e">
        <f>IF(#REF! &lt;= 50, "0-50", IF(#REF! &lt;=100, "51-100", IF(#REF! &lt;= 150, "101-150", "151+")))</f>
        <v>#REF!</v>
      </c>
      <c r="Y2172" t="e">
        <f>IF(#REF! &lt;= 3, "Low Charges", "High Charges")</f>
        <v>#REF!</v>
      </c>
      <c r="Z2172" t="e">
        <f>IF(#REF!&lt;=80,"Low Calls",
IF(#REF!&lt;=120,"Medium Calls","High Calls"))</f>
        <v>#REF!</v>
      </c>
      <c r="AA2172" t="e">
        <f>IF(#REF!&lt;=15,"Low Charges",
IF(#REF!&lt;=20,"Medium Charges","High Charges"))</f>
        <v>#REF!</v>
      </c>
      <c r="AB2172" t="e">
        <f>IF(AND(#REF!&gt;180, #REF!&gt;200), "Heavy Doemstic User", IF(#REF!&gt;10, "Interntional User", IF(AND(#REF!&lt;180, #REF!&lt;200,#REF!&lt;200), "Light User", "Balanced User")))</f>
        <v>#REF!</v>
      </c>
      <c r="AC2172" t="e">
        <f>IF(#REF! = 0, "No Usage", IF(#REF! &lt;= 20, "Low Usage", IF(#REF! &lt;= 40, "Medium Usgae", "High Usage")))</f>
        <v>#REF!</v>
      </c>
      <c r="AD2172" t="e">
        <f>IF(#REF!&lt;=150,"Low Usage", IF(#REF!&lt;=200,"Medium Usage", IF(#REF!&lt;=250,"High Usage","Very High Usage")))</f>
        <v>#REF!</v>
      </c>
      <c r="AE2172" t="e">
        <f>IF(#REF!&lt;=5,"Low Calls", IF(#REF!&lt;=10, "Medium Calls", "High Calls"))</f>
        <v>#REF!</v>
      </c>
      <c r="AF2172" t="e">
        <f xml:space="preserve">
IF(#REF!&gt;=4,4,0)+
IF(#REF!="yes",3,0)+
IF(#REF!="High Charges",3,0)+
IF(#REF!&gt;250,4,0)+
IF(#REF!="no",1,0)+
IF(#REF!="Heavy Domestic User",2,0)</f>
        <v>#REF!</v>
      </c>
      <c r="AG2172" t="e">
        <f>IF(#REF!&gt;=10,"High Risk", IF(#REF!&gt;=5,"Medium Risk","Low Risk"))</f>
        <v>#REF!</v>
      </c>
      <c r="AH2172" t="e">
        <f>#REF! + #REF! + #REF! + #REF!</f>
        <v>#REF!</v>
      </c>
    </row>
    <row r="2173" spans="1:34" x14ac:dyDescent="0.35">
      <c r="A2173">
        <v>2172</v>
      </c>
      <c r="B2173" t="s">
        <v>71</v>
      </c>
      <c r="C2173">
        <v>120</v>
      </c>
      <c r="D2173" t="s">
        <v>21</v>
      </c>
      <c r="E2173" t="s">
        <v>22</v>
      </c>
      <c r="F2173" t="s">
        <v>22</v>
      </c>
      <c r="G2173">
        <v>0</v>
      </c>
      <c r="H2173">
        <v>185.7</v>
      </c>
      <c r="I2173">
        <v>133</v>
      </c>
      <c r="J2173">
        <v>31.57</v>
      </c>
      <c r="K2173">
        <v>235.1</v>
      </c>
      <c r="L2173">
        <v>149</v>
      </c>
      <c r="M2173">
        <v>19.98</v>
      </c>
      <c r="N2173">
        <v>256.39999999999998</v>
      </c>
      <c r="O2173">
        <v>78</v>
      </c>
      <c r="P2173">
        <v>11.54</v>
      </c>
      <c r="Q2173">
        <v>16.899999999999999</v>
      </c>
      <c r="R2173">
        <v>6</v>
      </c>
      <c r="S2173">
        <v>4.5599999999999996</v>
      </c>
      <c r="T2173">
        <v>0</v>
      </c>
      <c r="U2173" t="s">
        <v>22</v>
      </c>
      <c r="V2173" t="e">
        <f>IF(#REF! = "yes", 1, 0)</f>
        <v>#REF!</v>
      </c>
      <c r="W2173" t="e">
        <f>IF(#REF! &lt;= 1, "0-1 Calls", IF(#REF! &lt;= 3, "2-3 Calls", IF(#REF! &lt;=5, "4-5 Calls", "6+ Calls")))</f>
        <v>#REF!</v>
      </c>
      <c r="X2173" t="e">
        <f>IF(#REF! &lt;= 50, "0-50", IF(#REF! &lt;=100, "51-100", IF(#REF! &lt;= 150, "101-150", "151+")))</f>
        <v>#REF!</v>
      </c>
      <c r="Y2173" t="e">
        <f>IF(#REF! &lt;= 3, "Low Charges", "High Charges")</f>
        <v>#REF!</v>
      </c>
      <c r="Z2173" t="e">
        <f>IF(#REF!&lt;=80,"Low Calls",
IF(#REF!&lt;=120,"Medium Calls","High Calls"))</f>
        <v>#REF!</v>
      </c>
      <c r="AA2173" t="e">
        <f>IF(#REF!&lt;=15,"Low Charges",
IF(#REF!&lt;=20,"Medium Charges","High Charges"))</f>
        <v>#REF!</v>
      </c>
      <c r="AB2173" t="e">
        <f>IF(AND(#REF!&gt;180, #REF!&gt;200), "Heavy Doemstic User", IF(#REF!&gt;10, "Interntional User", IF(AND(#REF!&lt;180, #REF!&lt;200,#REF!&lt;200), "Light User", "Balanced User")))</f>
        <v>#REF!</v>
      </c>
      <c r="AC2173" t="e">
        <f>IF(#REF! = 0, "No Usage", IF(#REF! &lt;= 20, "Low Usage", IF(#REF! &lt;= 40, "Medium Usgae", "High Usage")))</f>
        <v>#REF!</v>
      </c>
      <c r="AD2173" t="e">
        <f>IF(#REF!&lt;=150,"Low Usage", IF(#REF!&lt;=200,"Medium Usage", IF(#REF!&lt;=250,"High Usage","Very High Usage")))</f>
        <v>#REF!</v>
      </c>
      <c r="AE2173" t="e">
        <f>IF(#REF!&lt;=5,"Low Calls", IF(#REF!&lt;=10, "Medium Calls", "High Calls"))</f>
        <v>#REF!</v>
      </c>
      <c r="AF2173" t="e">
        <f xml:space="preserve">
IF(#REF!&gt;=4,4,0)+
IF(#REF!="yes",3,0)+
IF(#REF!="High Charges",3,0)+
IF(#REF!&gt;250,4,0)+
IF(#REF!="no",1,0)+
IF(#REF!="Heavy Domestic User",2,0)</f>
        <v>#REF!</v>
      </c>
      <c r="AG2173" t="e">
        <f>IF(#REF!&gt;=10,"High Risk", IF(#REF!&gt;=5,"Medium Risk","Low Risk"))</f>
        <v>#REF!</v>
      </c>
      <c r="AH2173" t="e">
        <f>#REF! + #REF! + #REF! + #REF!</f>
        <v>#REF!</v>
      </c>
    </row>
    <row r="2174" spans="1:34" x14ac:dyDescent="0.35">
      <c r="A2174">
        <v>2173</v>
      </c>
      <c r="B2174" t="s">
        <v>63</v>
      </c>
      <c r="C2174">
        <v>115</v>
      </c>
      <c r="D2174" t="s">
        <v>28</v>
      </c>
      <c r="E2174" t="s">
        <v>22</v>
      </c>
      <c r="F2174" t="s">
        <v>23</v>
      </c>
      <c r="G2174">
        <v>29</v>
      </c>
      <c r="H2174">
        <v>222.6</v>
      </c>
      <c r="I2174">
        <v>81</v>
      </c>
      <c r="J2174">
        <v>37.840000000000003</v>
      </c>
      <c r="K2174">
        <v>190.3</v>
      </c>
      <c r="L2174">
        <v>109</v>
      </c>
      <c r="M2174">
        <v>16.18</v>
      </c>
      <c r="N2174">
        <v>201.2</v>
      </c>
      <c r="O2174">
        <v>87</v>
      </c>
      <c r="P2174">
        <v>9.0500000000000007</v>
      </c>
      <c r="Q2174">
        <v>11.5</v>
      </c>
      <c r="R2174">
        <v>2</v>
      </c>
      <c r="S2174">
        <v>3.11</v>
      </c>
      <c r="T2174">
        <v>1</v>
      </c>
      <c r="U2174" t="s">
        <v>22</v>
      </c>
      <c r="V2174" t="e">
        <f>IF(#REF! = "yes", 1, 0)</f>
        <v>#REF!</v>
      </c>
      <c r="W2174" t="e">
        <f>IF(#REF! &lt;= 1, "0-1 Calls", IF(#REF! &lt;= 3, "2-3 Calls", IF(#REF! &lt;=5, "4-5 Calls", "6+ Calls")))</f>
        <v>#REF!</v>
      </c>
      <c r="X2174" t="e">
        <f>IF(#REF! &lt;= 50, "0-50", IF(#REF! &lt;=100, "51-100", IF(#REF! &lt;= 150, "101-150", "151+")))</f>
        <v>#REF!</v>
      </c>
      <c r="Y2174" t="e">
        <f>IF(#REF! &lt;= 3, "Low Charges", "High Charges")</f>
        <v>#REF!</v>
      </c>
      <c r="Z2174" t="e">
        <f>IF(#REF!&lt;=80,"Low Calls",
IF(#REF!&lt;=120,"Medium Calls","High Calls"))</f>
        <v>#REF!</v>
      </c>
      <c r="AA2174" t="e">
        <f>IF(#REF!&lt;=15,"Low Charges",
IF(#REF!&lt;=20,"Medium Charges","High Charges"))</f>
        <v>#REF!</v>
      </c>
      <c r="AB2174" t="e">
        <f>IF(AND(#REF!&gt;180, #REF!&gt;200), "Heavy Doemstic User", IF(#REF!&gt;10, "Interntional User", IF(AND(#REF!&lt;180, #REF!&lt;200,#REF!&lt;200), "Light User", "Balanced User")))</f>
        <v>#REF!</v>
      </c>
      <c r="AC2174" t="e">
        <f>IF(#REF! = 0, "No Usage", IF(#REF! &lt;= 20, "Low Usage", IF(#REF! &lt;= 40, "Medium Usgae", "High Usage")))</f>
        <v>#REF!</v>
      </c>
      <c r="AD2174" t="e">
        <f>IF(#REF!&lt;=150,"Low Usage", IF(#REF!&lt;=200,"Medium Usage", IF(#REF!&lt;=250,"High Usage","Very High Usage")))</f>
        <v>#REF!</v>
      </c>
      <c r="AE2174" t="e">
        <f>IF(#REF!&lt;=5,"Low Calls", IF(#REF!&lt;=10, "Medium Calls", "High Calls"))</f>
        <v>#REF!</v>
      </c>
      <c r="AF2174" t="e">
        <f xml:space="preserve">
IF(#REF!&gt;=4,4,0)+
IF(#REF!="yes",3,0)+
IF(#REF!="High Charges",3,0)+
IF(#REF!&gt;250,4,0)+
IF(#REF!="no",1,0)+
IF(#REF!="Heavy Domestic User",2,0)</f>
        <v>#REF!</v>
      </c>
      <c r="AG2174" t="e">
        <f>IF(#REF!&gt;=10,"High Risk", IF(#REF!&gt;=5,"Medium Risk","Low Risk"))</f>
        <v>#REF!</v>
      </c>
      <c r="AH2174" t="e">
        <f>#REF! + #REF! + #REF! + #REF!</f>
        <v>#REF!</v>
      </c>
    </row>
    <row r="2175" spans="1:34" x14ac:dyDescent="0.35">
      <c r="A2175">
        <v>2174</v>
      </c>
      <c r="B2175" t="s">
        <v>60</v>
      </c>
      <c r="C2175">
        <v>61</v>
      </c>
      <c r="D2175" t="s">
        <v>21</v>
      </c>
      <c r="E2175" t="s">
        <v>22</v>
      </c>
      <c r="F2175" t="s">
        <v>22</v>
      </c>
      <c r="G2175">
        <v>0</v>
      </c>
      <c r="H2175">
        <v>197.3</v>
      </c>
      <c r="I2175">
        <v>67</v>
      </c>
      <c r="J2175">
        <v>33.54</v>
      </c>
      <c r="K2175">
        <v>264.5</v>
      </c>
      <c r="L2175">
        <v>106</v>
      </c>
      <c r="M2175">
        <v>22.48</v>
      </c>
      <c r="N2175">
        <v>210.5</v>
      </c>
      <c r="O2175">
        <v>116</v>
      </c>
      <c r="P2175">
        <v>9.4700000000000006</v>
      </c>
      <c r="Q2175">
        <v>9</v>
      </c>
      <c r="R2175">
        <v>6</v>
      </c>
      <c r="S2175">
        <v>2.4300000000000002</v>
      </c>
      <c r="T2175">
        <v>1</v>
      </c>
      <c r="U2175" t="s">
        <v>22</v>
      </c>
      <c r="V2175" t="e">
        <f>IF(#REF! = "yes", 1, 0)</f>
        <v>#REF!</v>
      </c>
      <c r="W2175" t="e">
        <f>IF(#REF! &lt;= 1, "0-1 Calls", IF(#REF! &lt;= 3, "2-3 Calls", IF(#REF! &lt;=5, "4-5 Calls", "6+ Calls")))</f>
        <v>#REF!</v>
      </c>
      <c r="X2175" t="e">
        <f>IF(#REF! &lt;= 50, "0-50", IF(#REF! &lt;=100, "51-100", IF(#REF! &lt;= 150, "101-150", "151+")))</f>
        <v>#REF!</v>
      </c>
      <c r="Y2175" t="e">
        <f>IF(#REF! &lt;= 3, "Low Charges", "High Charges")</f>
        <v>#REF!</v>
      </c>
      <c r="Z2175" t="e">
        <f>IF(#REF!&lt;=80,"Low Calls",
IF(#REF!&lt;=120,"Medium Calls","High Calls"))</f>
        <v>#REF!</v>
      </c>
      <c r="AA2175" t="e">
        <f>IF(#REF!&lt;=15,"Low Charges",
IF(#REF!&lt;=20,"Medium Charges","High Charges"))</f>
        <v>#REF!</v>
      </c>
      <c r="AB2175" t="e">
        <f>IF(AND(#REF!&gt;180, #REF!&gt;200), "Heavy Doemstic User", IF(#REF!&gt;10, "Interntional User", IF(AND(#REF!&lt;180, #REF!&lt;200,#REF!&lt;200), "Light User", "Balanced User")))</f>
        <v>#REF!</v>
      </c>
      <c r="AC2175" t="e">
        <f>IF(#REF! = 0, "No Usage", IF(#REF! &lt;= 20, "Low Usage", IF(#REF! &lt;= 40, "Medium Usgae", "High Usage")))</f>
        <v>#REF!</v>
      </c>
      <c r="AD2175" t="e">
        <f>IF(#REF!&lt;=150,"Low Usage", IF(#REF!&lt;=200,"Medium Usage", IF(#REF!&lt;=250,"High Usage","Very High Usage")))</f>
        <v>#REF!</v>
      </c>
      <c r="AE2175" t="e">
        <f>IF(#REF!&lt;=5,"Low Calls", IF(#REF!&lt;=10, "Medium Calls", "High Calls"))</f>
        <v>#REF!</v>
      </c>
      <c r="AF2175" t="e">
        <f xml:space="preserve">
IF(#REF!&gt;=4,4,0)+
IF(#REF!="yes",3,0)+
IF(#REF!="High Charges",3,0)+
IF(#REF!&gt;250,4,0)+
IF(#REF!="no",1,0)+
IF(#REF!="Heavy Domestic User",2,0)</f>
        <v>#REF!</v>
      </c>
      <c r="AG2175" t="e">
        <f>IF(#REF!&gt;=10,"High Risk", IF(#REF!&gt;=5,"Medium Risk","Low Risk"))</f>
        <v>#REF!</v>
      </c>
      <c r="AH2175" t="e">
        <f>#REF! + #REF! + #REF! + #REF!</f>
        <v>#REF!</v>
      </c>
    </row>
    <row r="2176" spans="1:34" x14ac:dyDescent="0.35">
      <c r="A2176">
        <v>2175</v>
      </c>
      <c r="B2176" t="s">
        <v>34</v>
      </c>
      <c r="C2176">
        <v>143</v>
      </c>
      <c r="D2176" t="s">
        <v>28</v>
      </c>
      <c r="E2176" t="s">
        <v>22</v>
      </c>
      <c r="F2176" t="s">
        <v>23</v>
      </c>
      <c r="G2176">
        <v>33</v>
      </c>
      <c r="H2176">
        <v>141.4</v>
      </c>
      <c r="I2176">
        <v>130</v>
      </c>
      <c r="J2176">
        <v>24.04</v>
      </c>
      <c r="K2176">
        <v>186.4</v>
      </c>
      <c r="L2176">
        <v>114</v>
      </c>
      <c r="M2176">
        <v>15.84</v>
      </c>
      <c r="N2176">
        <v>210</v>
      </c>
      <c r="O2176">
        <v>111</v>
      </c>
      <c r="P2176">
        <v>9.4499999999999993</v>
      </c>
      <c r="Q2176">
        <v>7.7</v>
      </c>
      <c r="R2176">
        <v>6</v>
      </c>
      <c r="S2176">
        <v>2.08</v>
      </c>
      <c r="T2176">
        <v>1</v>
      </c>
      <c r="U2176" t="s">
        <v>22</v>
      </c>
      <c r="V2176" t="e">
        <f>IF(#REF! = "yes", 1, 0)</f>
        <v>#REF!</v>
      </c>
      <c r="W2176" t="e">
        <f>IF(#REF! &lt;= 1, "0-1 Calls", IF(#REF! &lt;= 3, "2-3 Calls", IF(#REF! &lt;=5, "4-5 Calls", "6+ Calls")))</f>
        <v>#REF!</v>
      </c>
      <c r="X2176" t="e">
        <f>IF(#REF! &lt;= 50, "0-50", IF(#REF! &lt;=100, "51-100", IF(#REF! &lt;= 150, "101-150", "151+")))</f>
        <v>#REF!</v>
      </c>
      <c r="Y2176" t="e">
        <f>IF(#REF! &lt;= 3, "Low Charges", "High Charges")</f>
        <v>#REF!</v>
      </c>
      <c r="Z2176" t="e">
        <f>IF(#REF!&lt;=80,"Low Calls",
IF(#REF!&lt;=120,"Medium Calls","High Calls"))</f>
        <v>#REF!</v>
      </c>
      <c r="AA2176" t="e">
        <f>IF(#REF!&lt;=15,"Low Charges",
IF(#REF!&lt;=20,"Medium Charges","High Charges"))</f>
        <v>#REF!</v>
      </c>
      <c r="AB2176" t="e">
        <f>IF(AND(#REF!&gt;180, #REF!&gt;200), "Heavy Doemstic User", IF(#REF!&gt;10, "Interntional User", IF(AND(#REF!&lt;180, #REF!&lt;200,#REF!&lt;200), "Light User", "Balanced User")))</f>
        <v>#REF!</v>
      </c>
      <c r="AC2176" t="e">
        <f>IF(#REF! = 0, "No Usage", IF(#REF! &lt;= 20, "Low Usage", IF(#REF! &lt;= 40, "Medium Usgae", "High Usage")))</f>
        <v>#REF!</v>
      </c>
      <c r="AD2176" t="e">
        <f>IF(#REF!&lt;=150,"Low Usage", IF(#REF!&lt;=200,"Medium Usage", IF(#REF!&lt;=250,"High Usage","Very High Usage")))</f>
        <v>#REF!</v>
      </c>
      <c r="AE2176" t="e">
        <f>IF(#REF!&lt;=5,"Low Calls", IF(#REF!&lt;=10, "Medium Calls", "High Calls"))</f>
        <v>#REF!</v>
      </c>
      <c r="AF2176" t="e">
        <f xml:space="preserve">
IF(#REF!&gt;=4,4,0)+
IF(#REF!="yes",3,0)+
IF(#REF!="High Charges",3,0)+
IF(#REF!&gt;250,4,0)+
IF(#REF!="no",1,0)+
IF(#REF!="Heavy Domestic User",2,0)</f>
        <v>#REF!</v>
      </c>
      <c r="AG2176" t="e">
        <f>IF(#REF!&gt;=10,"High Risk", IF(#REF!&gt;=5,"Medium Risk","Low Risk"))</f>
        <v>#REF!</v>
      </c>
      <c r="AH2176" t="e">
        <f>#REF! + #REF! + #REF! + #REF!</f>
        <v>#REF!</v>
      </c>
    </row>
    <row r="2177" spans="1:34" x14ac:dyDescent="0.35">
      <c r="A2177">
        <v>2176</v>
      </c>
      <c r="B2177" t="s">
        <v>70</v>
      </c>
      <c r="C2177">
        <v>110</v>
      </c>
      <c r="D2177" t="s">
        <v>28</v>
      </c>
      <c r="E2177" t="s">
        <v>22</v>
      </c>
      <c r="F2177" t="s">
        <v>22</v>
      </c>
      <c r="G2177">
        <v>0</v>
      </c>
      <c r="H2177">
        <v>208</v>
      </c>
      <c r="I2177">
        <v>69</v>
      </c>
      <c r="J2177">
        <v>35.36</v>
      </c>
      <c r="K2177">
        <v>95.1</v>
      </c>
      <c r="L2177">
        <v>94</v>
      </c>
      <c r="M2177">
        <v>8.08</v>
      </c>
      <c r="N2177">
        <v>178.5</v>
      </c>
      <c r="O2177">
        <v>129</v>
      </c>
      <c r="P2177">
        <v>8.0299999999999994</v>
      </c>
      <c r="Q2177">
        <v>8</v>
      </c>
      <c r="R2177">
        <v>11</v>
      </c>
      <c r="S2177">
        <v>2.16</v>
      </c>
      <c r="T2177">
        <v>1</v>
      </c>
      <c r="U2177" t="s">
        <v>22</v>
      </c>
      <c r="V2177" t="e">
        <f>IF(#REF! = "yes", 1, 0)</f>
        <v>#REF!</v>
      </c>
      <c r="W2177" t="e">
        <f>IF(#REF! &lt;= 1, "0-1 Calls", IF(#REF! &lt;= 3, "2-3 Calls", IF(#REF! &lt;=5, "4-5 Calls", "6+ Calls")))</f>
        <v>#REF!</v>
      </c>
      <c r="X2177" t="e">
        <f>IF(#REF! &lt;= 50, "0-50", IF(#REF! &lt;=100, "51-100", IF(#REF! &lt;= 150, "101-150", "151+")))</f>
        <v>#REF!</v>
      </c>
      <c r="Y2177" t="e">
        <f>IF(#REF! &lt;= 3, "Low Charges", "High Charges")</f>
        <v>#REF!</v>
      </c>
      <c r="Z2177" t="e">
        <f>IF(#REF!&lt;=80,"Low Calls",
IF(#REF!&lt;=120,"Medium Calls","High Calls"))</f>
        <v>#REF!</v>
      </c>
      <c r="AA2177" t="e">
        <f>IF(#REF!&lt;=15,"Low Charges",
IF(#REF!&lt;=20,"Medium Charges","High Charges"))</f>
        <v>#REF!</v>
      </c>
      <c r="AB2177" t="e">
        <f>IF(AND(#REF!&gt;180, #REF!&gt;200), "Heavy Doemstic User", IF(#REF!&gt;10, "Interntional User", IF(AND(#REF!&lt;180, #REF!&lt;200,#REF!&lt;200), "Light User", "Balanced User")))</f>
        <v>#REF!</v>
      </c>
      <c r="AC2177" t="e">
        <f>IF(#REF! = 0, "No Usage", IF(#REF! &lt;= 20, "Low Usage", IF(#REF! &lt;= 40, "Medium Usgae", "High Usage")))</f>
        <v>#REF!</v>
      </c>
      <c r="AD2177" t="e">
        <f>IF(#REF!&lt;=150,"Low Usage", IF(#REF!&lt;=200,"Medium Usage", IF(#REF!&lt;=250,"High Usage","Very High Usage")))</f>
        <v>#REF!</v>
      </c>
      <c r="AE2177" t="e">
        <f>IF(#REF!&lt;=5,"Low Calls", IF(#REF!&lt;=10, "Medium Calls", "High Calls"))</f>
        <v>#REF!</v>
      </c>
      <c r="AF2177" t="e">
        <f xml:space="preserve">
IF(#REF!&gt;=4,4,0)+
IF(#REF!="yes",3,0)+
IF(#REF!="High Charges",3,0)+
IF(#REF!&gt;250,4,0)+
IF(#REF!="no",1,0)+
IF(#REF!="Heavy Domestic User",2,0)</f>
        <v>#REF!</v>
      </c>
      <c r="AG2177" t="e">
        <f>IF(#REF!&gt;=10,"High Risk", IF(#REF!&gt;=5,"Medium Risk","Low Risk"))</f>
        <v>#REF!</v>
      </c>
      <c r="AH2177" t="e">
        <f>#REF! + #REF! + #REF! + #REF!</f>
        <v>#REF!</v>
      </c>
    </row>
    <row r="2178" spans="1:34" x14ac:dyDescent="0.35">
      <c r="A2178">
        <v>2177</v>
      </c>
      <c r="B2178" t="s">
        <v>75</v>
      </c>
      <c r="C2178">
        <v>104</v>
      </c>
      <c r="D2178" t="s">
        <v>21</v>
      </c>
      <c r="E2178" t="s">
        <v>22</v>
      </c>
      <c r="F2178" t="s">
        <v>22</v>
      </c>
      <c r="G2178">
        <v>0</v>
      </c>
      <c r="H2178">
        <v>118.5</v>
      </c>
      <c r="I2178">
        <v>92</v>
      </c>
      <c r="J2178">
        <v>20.149999999999999</v>
      </c>
      <c r="K2178">
        <v>177.8</v>
      </c>
      <c r="L2178">
        <v>109</v>
      </c>
      <c r="M2178">
        <v>15.11</v>
      </c>
      <c r="N2178">
        <v>255.7</v>
      </c>
      <c r="O2178">
        <v>98</v>
      </c>
      <c r="P2178">
        <v>11.51</v>
      </c>
      <c r="Q2178">
        <v>12.1</v>
      </c>
      <c r="R2178">
        <v>4</v>
      </c>
      <c r="S2178">
        <v>3.27</v>
      </c>
      <c r="T2178">
        <v>1</v>
      </c>
      <c r="U2178" t="s">
        <v>22</v>
      </c>
      <c r="V2178" t="e">
        <f>IF(#REF! = "yes", 1, 0)</f>
        <v>#REF!</v>
      </c>
      <c r="W2178" t="e">
        <f>IF(#REF! &lt;= 1, "0-1 Calls", IF(#REF! &lt;= 3, "2-3 Calls", IF(#REF! &lt;=5, "4-5 Calls", "6+ Calls")))</f>
        <v>#REF!</v>
      </c>
      <c r="X2178" t="e">
        <f>IF(#REF! &lt;= 50, "0-50", IF(#REF! &lt;=100, "51-100", IF(#REF! &lt;= 150, "101-150", "151+")))</f>
        <v>#REF!</v>
      </c>
      <c r="Y2178" t="e">
        <f>IF(#REF! &lt;= 3, "Low Charges", "High Charges")</f>
        <v>#REF!</v>
      </c>
      <c r="Z2178" t="e">
        <f>IF(#REF!&lt;=80,"Low Calls",
IF(#REF!&lt;=120,"Medium Calls","High Calls"))</f>
        <v>#REF!</v>
      </c>
      <c r="AA2178" t="e">
        <f>IF(#REF!&lt;=15,"Low Charges",
IF(#REF!&lt;=20,"Medium Charges","High Charges"))</f>
        <v>#REF!</v>
      </c>
      <c r="AB2178" t="e">
        <f>IF(AND(#REF!&gt;180, #REF!&gt;200), "Heavy Doemstic User", IF(#REF!&gt;10, "Interntional User", IF(AND(#REF!&lt;180, #REF!&lt;200,#REF!&lt;200), "Light User", "Balanced User")))</f>
        <v>#REF!</v>
      </c>
      <c r="AC2178" t="e">
        <f>IF(#REF! = 0, "No Usage", IF(#REF! &lt;= 20, "Low Usage", IF(#REF! &lt;= 40, "Medium Usgae", "High Usage")))</f>
        <v>#REF!</v>
      </c>
      <c r="AD2178" t="e">
        <f>IF(#REF!&lt;=150,"Low Usage", IF(#REF!&lt;=200,"Medium Usage", IF(#REF!&lt;=250,"High Usage","Very High Usage")))</f>
        <v>#REF!</v>
      </c>
      <c r="AE2178" t="e">
        <f>IF(#REF!&lt;=5,"Low Calls", IF(#REF!&lt;=10, "Medium Calls", "High Calls"))</f>
        <v>#REF!</v>
      </c>
      <c r="AF2178" t="e">
        <f xml:space="preserve">
IF(#REF!&gt;=4,4,0)+
IF(#REF!="yes",3,0)+
IF(#REF!="High Charges",3,0)+
IF(#REF!&gt;250,4,0)+
IF(#REF!="no",1,0)+
IF(#REF!="Heavy Domestic User",2,0)</f>
        <v>#REF!</v>
      </c>
      <c r="AG2178" t="e">
        <f>IF(#REF!&gt;=10,"High Risk", IF(#REF!&gt;=5,"Medium Risk","Low Risk"))</f>
        <v>#REF!</v>
      </c>
      <c r="AH2178" t="e">
        <f>#REF! + #REF! + #REF! + #REF!</f>
        <v>#REF!</v>
      </c>
    </row>
    <row r="2179" spans="1:34" x14ac:dyDescent="0.35">
      <c r="A2179">
        <v>2178</v>
      </c>
      <c r="B2179" t="s">
        <v>35</v>
      </c>
      <c r="C2179">
        <v>16</v>
      </c>
      <c r="D2179" t="s">
        <v>28</v>
      </c>
      <c r="E2179" t="s">
        <v>22</v>
      </c>
      <c r="F2179" t="s">
        <v>22</v>
      </c>
      <c r="G2179">
        <v>0</v>
      </c>
      <c r="H2179">
        <v>153.19999999999999</v>
      </c>
      <c r="I2179">
        <v>65</v>
      </c>
      <c r="J2179">
        <v>26.04</v>
      </c>
      <c r="K2179">
        <v>229.7</v>
      </c>
      <c r="L2179">
        <v>90</v>
      </c>
      <c r="M2179">
        <v>19.52</v>
      </c>
      <c r="N2179">
        <v>148.19999999999999</v>
      </c>
      <c r="O2179">
        <v>94</v>
      </c>
      <c r="P2179">
        <v>6.67</v>
      </c>
      <c r="Q2179">
        <v>10.7</v>
      </c>
      <c r="R2179">
        <v>8</v>
      </c>
      <c r="S2179">
        <v>2.89</v>
      </c>
      <c r="T2179">
        <v>1</v>
      </c>
      <c r="U2179" t="s">
        <v>22</v>
      </c>
      <c r="V2179" t="e">
        <f>IF(#REF! = "yes", 1, 0)</f>
        <v>#REF!</v>
      </c>
      <c r="W2179" t="e">
        <f>IF(#REF! &lt;= 1, "0-1 Calls", IF(#REF! &lt;= 3, "2-3 Calls", IF(#REF! &lt;=5, "4-5 Calls", "6+ Calls")))</f>
        <v>#REF!</v>
      </c>
      <c r="X2179" t="e">
        <f>IF(#REF! &lt;= 50, "0-50", IF(#REF! &lt;=100, "51-100", IF(#REF! &lt;= 150, "101-150", "151+")))</f>
        <v>#REF!</v>
      </c>
      <c r="Y2179" t="e">
        <f>IF(#REF! &lt;= 3, "Low Charges", "High Charges")</f>
        <v>#REF!</v>
      </c>
      <c r="Z2179" t="e">
        <f>IF(#REF!&lt;=80,"Low Calls",
IF(#REF!&lt;=120,"Medium Calls","High Calls"))</f>
        <v>#REF!</v>
      </c>
      <c r="AA2179" t="e">
        <f>IF(#REF!&lt;=15,"Low Charges",
IF(#REF!&lt;=20,"Medium Charges","High Charges"))</f>
        <v>#REF!</v>
      </c>
      <c r="AB2179" t="e">
        <f>IF(AND(#REF!&gt;180, #REF!&gt;200), "Heavy Doemstic User", IF(#REF!&gt;10, "Interntional User", IF(AND(#REF!&lt;180, #REF!&lt;200,#REF!&lt;200), "Light User", "Balanced User")))</f>
        <v>#REF!</v>
      </c>
      <c r="AC2179" t="e">
        <f>IF(#REF! = 0, "No Usage", IF(#REF! &lt;= 20, "Low Usage", IF(#REF! &lt;= 40, "Medium Usgae", "High Usage")))</f>
        <v>#REF!</v>
      </c>
      <c r="AD2179" t="e">
        <f>IF(#REF!&lt;=150,"Low Usage", IF(#REF!&lt;=200,"Medium Usage", IF(#REF!&lt;=250,"High Usage","Very High Usage")))</f>
        <v>#REF!</v>
      </c>
      <c r="AE2179" t="e">
        <f>IF(#REF!&lt;=5,"Low Calls", IF(#REF!&lt;=10, "Medium Calls", "High Calls"))</f>
        <v>#REF!</v>
      </c>
      <c r="AF2179" t="e">
        <f xml:space="preserve">
IF(#REF!&gt;=4,4,0)+
IF(#REF!="yes",3,0)+
IF(#REF!="High Charges",3,0)+
IF(#REF!&gt;250,4,0)+
IF(#REF!="no",1,0)+
IF(#REF!="Heavy Domestic User",2,0)</f>
        <v>#REF!</v>
      </c>
      <c r="AG2179" t="e">
        <f>IF(#REF!&gt;=10,"High Risk", IF(#REF!&gt;=5,"Medium Risk","Low Risk"))</f>
        <v>#REF!</v>
      </c>
      <c r="AH2179" t="e">
        <f>#REF! + #REF! + #REF! + #REF!</f>
        <v>#REF!</v>
      </c>
    </row>
    <row r="2180" spans="1:34" x14ac:dyDescent="0.35">
      <c r="A2180">
        <v>2179</v>
      </c>
      <c r="B2180" t="s">
        <v>72</v>
      </c>
      <c r="C2180">
        <v>183</v>
      </c>
      <c r="D2180" t="s">
        <v>28</v>
      </c>
      <c r="E2180" t="s">
        <v>22</v>
      </c>
      <c r="F2180" t="s">
        <v>22</v>
      </c>
      <c r="G2180">
        <v>0</v>
      </c>
      <c r="H2180">
        <v>108.3</v>
      </c>
      <c r="I2180">
        <v>87</v>
      </c>
      <c r="J2180">
        <v>18.41</v>
      </c>
      <c r="K2180">
        <v>183.6</v>
      </c>
      <c r="L2180">
        <v>116</v>
      </c>
      <c r="M2180">
        <v>15.61</v>
      </c>
      <c r="N2180">
        <v>176.6</v>
      </c>
      <c r="O2180">
        <v>109</v>
      </c>
      <c r="P2180">
        <v>7.95</v>
      </c>
      <c r="Q2180">
        <v>13.5</v>
      </c>
      <c r="R2180">
        <v>2</v>
      </c>
      <c r="S2180">
        <v>3.65</v>
      </c>
      <c r="T2180">
        <v>0</v>
      </c>
      <c r="U2180" t="s">
        <v>22</v>
      </c>
      <c r="V2180" t="e">
        <f>IF(#REF! = "yes", 1, 0)</f>
        <v>#REF!</v>
      </c>
      <c r="W2180" t="e">
        <f>IF(#REF! &lt;= 1, "0-1 Calls", IF(#REF! &lt;= 3, "2-3 Calls", IF(#REF! &lt;=5, "4-5 Calls", "6+ Calls")))</f>
        <v>#REF!</v>
      </c>
      <c r="X2180" t="e">
        <f>IF(#REF! &lt;= 50, "0-50", IF(#REF! &lt;=100, "51-100", IF(#REF! &lt;= 150, "101-150", "151+")))</f>
        <v>#REF!</v>
      </c>
      <c r="Y2180" t="e">
        <f>IF(#REF! &lt;= 3, "Low Charges", "High Charges")</f>
        <v>#REF!</v>
      </c>
      <c r="Z2180" t="e">
        <f>IF(#REF!&lt;=80,"Low Calls",
IF(#REF!&lt;=120,"Medium Calls","High Calls"))</f>
        <v>#REF!</v>
      </c>
      <c r="AA2180" t="e">
        <f>IF(#REF!&lt;=15,"Low Charges",
IF(#REF!&lt;=20,"Medium Charges","High Charges"))</f>
        <v>#REF!</v>
      </c>
      <c r="AB2180" t="e">
        <f>IF(AND(#REF!&gt;180, #REF!&gt;200), "Heavy Doemstic User", IF(#REF!&gt;10, "Interntional User", IF(AND(#REF!&lt;180, #REF!&lt;200,#REF!&lt;200), "Light User", "Balanced User")))</f>
        <v>#REF!</v>
      </c>
      <c r="AC2180" t="e">
        <f>IF(#REF! = 0, "No Usage", IF(#REF! &lt;= 20, "Low Usage", IF(#REF! &lt;= 40, "Medium Usgae", "High Usage")))</f>
        <v>#REF!</v>
      </c>
      <c r="AD2180" t="e">
        <f>IF(#REF!&lt;=150,"Low Usage", IF(#REF!&lt;=200,"Medium Usage", IF(#REF!&lt;=250,"High Usage","Very High Usage")))</f>
        <v>#REF!</v>
      </c>
      <c r="AE2180" t="e">
        <f>IF(#REF!&lt;=5,"Low Calls", IF(#REF!&lt;=10, "Medium Calls", "High Calls"))</f>
        <v>#REF!</v>
      </c>
      <c r="AF2180" t="e">
        <f xml:space="preserve">
IF(#REF!&gt;=4,4,0)+
IF(#REF!="yes",3,0)+
IF(#REF!="High Charges",3,0)+
IF(#REF!&gt;250,4,0)+
IF(#REF!="no",1,0)+
IF(#REF!="Heavy Domestic User",2,0)</f>
        <v>#REF!</v>
      </c>
      <c r="AG2180" t="e">
        <f>IF(#REF!&gt;=10,"High Risk", IF(#REF!&gt;=5,"Medium Risk","Low Risk"))</f>
        <v>#REF!</v>
      </c>
      <c r="AH2180" t="e">
        <f>#REF! + #REF! + #REF! + #REF!</f>
        <v>#REF!</v>
      </c>
    </row>
    <row r="2181" spans="1:34" x14ac:dyDescent="0.35">
      <c r="A2181">
        <v>2180</v>
      </c>
      <c r="B2181" t="s">
        <v>65</v>
      </c>
      <c r="C2181">
        <v>58</v>
      </c>
      <c r="D2181" t="s">
        <v>21</v>
      </c>
      <c r="E2181" t="s">
        <v>22</v>
      </c>
      <c r="F2181" t="s">
        <v>22</v>
      </c>
      <c r="G2181">
        <v>0</v>
      </c>
      <c r="H2181">
        <v>247.2</v>
      </c>
      <c r="I2181">
        <v>116</v>
      </c>
      <c r="J2181">
        <v>42.02</v>
      </c>
      <c r="K2181">
        <v>303.7</v>
      </c>
      <c r="L2181">
        <v>103</v>
      </c>
      <c r="M2181">
        <v>25.81</v>
      </c>
      <c r="N2181">
        <v>105.4</v>
      </c>
      <c r="O2181">
        <v>94</v>
      </c>
      <c r="P2181">
        <v>4.74</v>
      </c>
      <c r="Q2181">
        <v>9.3000000000000007</v>
      </c>
      <c r="R2181">
        <v>2</v>
      </c>
      <c r="S2181">
        <v>2.5099999999999998</v>
      </c>
      <c r="T2181">
        <v>2</v>
      </c>
      <c r="U2181" t="s">
        <v>23</v>
      </c>
      <c r="V2181" t="e">
        <f>IF(#REF! = "yes", 1, 0)</f>
        <v>#REF!</v>
      </c>
      <c r="W2181" t="e">
        <f>IF(#REF! &lt;= 1, "0-1 Calls", IF(#REF! &lt;= 3, "2-3 Calls", IF(#REF! &lt;=5, "4-5 Calls", "6+ Calls")))</f>
        <v>#REF!</v>
      </c>
      <c r="X2181" t="e">
        <f>IF(#REF! &lt;= 50, "0-50", IF(#REF! &lt;=100, "51-100", IF(#REF! &lt;= 150, "101-150", "151+")))</f>
        <v>#REF!</v>
      </c>
      <c r="Y2181" t="e">
        <f>IF(#REF! &lt;= 3, "Low Charges", "High Charges")</f>
        <v>#REF!</v>
      </c>
      <c r="Z2181" t="e">
        <f>IF(#REF!&lt;=80,"Low Calls",
IF(#REF!&lt;=120,"Medium Calls","High Calls"))</f>
        <v>#REF!</v>
      </c>
      <c r="AA2181" t="e">
        <f>IF(#REF!&lt;=15,"Low Charges",
IF(#REF!&lt;=20,"Medium Charges","High Charges"))</f>
        <v>#REF!</v>
      </c>
      <c r="AB2181" t="e">
        <f>IF(AND(#REF!&gt;180, #REF!&gt;200), "Heavy Doemstic User", IF(#REF!&gt;10, "Interntional User", IF(AND(#REF!&lt;180, #REF!&lt;200,#REF!&lt;200), "Light User", "Balanced User")))</f>
        <v>#REF!</v>
      </c>
      <c r="AC2181" t="e">
        <f>IF(#REF! = 0, "No Usage", IF(#REF! &lt;= 20, "Low Usage", IF(#REF! &lt;= 40, "Medium Usgae", "High Usage")))</f>
        <v>#REF!</v>
      </c>
      <c r="AD2181" t="e">
        <f>IF(#REF!&lt;=150,"Low Usage", IF(#REF!&lt;=200,"Medium Usage", IF(#REF!&lt;=250,"High Usage","Very High Usage")))</f>
        <v>#REF!</v>
      </c>
      <c r="AE2181" t="e">
        <f>IF(#REF!&lt;=5,"Low Calls", IF(#REF!&lt;=10, "Medium Calls", "High Calls"))</f>
        <v>#REF!</v>
      </c>
      <c r="AF2181" t="e">
        <f xml:space="preserve">
IF(#REF!&gt;=4,4,0)+
IF(#REF!="yes",3,0)+
IF(#REF!="High Charges",3,0)+
IF(#REF!&gt;250,4,0)+
IF(#REF!="no",1,0)+
IF(#REF!="Heavy Domestic User",2,0)</f>
        <v>#REF!</v>
      </c>
      <c r="AG2181" t="e">
        <f>IF(#REF!&gt;=10,"High Risk", IF(#REF!&gt;=5,"Medium Risk","Low Risk"))</f>
        <v>#REF!</v>
      </c>
      <c r="AH2181" t="e">
        <f>#REF! + #REF! + #REF! + #REF!</f>
        <v>#REF!</v>
      </c>
    </row>
    <row r="2182" spans="1:34" x14ac:dyDescent="0.35">
      <c r="A2182">
        <v>2181</v>
      </c>
      <c r="B2182" t="s">
        <v>67</v>
      </c>
      <c r="C2182">
        <v>102</v>
      </c>
      <c r="D2182" t="s">
        <v>28</v>
      </c>
      <c r="E2182" t="s">
        <v>23</v>
      </c>
      <c r="F2182" t="s">
        <v>22</v>
      </c>
      <c r="G2182">
        <v>0</v>
      </c>
      <c r="H2182">
        <v>224.2</v>
      </c>
      <c r="I2182">
        <v>81</v>
      </c>
      <c r="J2182">
        <v>38.11</v>
      </c>
      <c r="K2182">
        <v>243.3</v>
      </c>
      <c r="L2182">
        <v>90</v>
      </c>
      <c r="M2182">
        <v>20.68</v>
      </c>
      <c r="N2182">
        <v>147.80000000000001</v>
      </c>
      <c r="O2182">
        <v>66</v>
      </c>
      <c r="P2182">
        <v>6.65</v>
      </c>
      <c r="Q2182">
        <v>12</v>
      </c>
      <c r="R2182">
        <v>8</v>
      </c>
      <c r="S2182">
        <v>3.24</v>
      </c>
      <c r="T2182">
        <v>3</v>
      </c>
      <c r="U2182" t="s">
        <v>22</v>
      </c>
      <c r="V2182" t="e">
        <f>IF(#REF! = "yes", 1, 0)</f>
        <v>#REF!</v>
      </c>
      <c r="W2182" t="e">
        <f>IF(#REF! &lt;= 1, "0-1 Calls", IF(#REF! &lt;= 3, "2-3 Calls", IF(#REF! &lt;=5, "4-5 Calls", "6+ Calls")))</f>
        <v>#REF!</v>
      </c>
      <c r="X2182" t="e">
        <f>IF(#REF! &lt;= 50, "0-50", IF(#REF! &lt;=100, "51-100", IF(#REF! &lt;= 150, "101-150", "151+")))</f>
        <v>#REF!</v>
      </c>
      <c r="Y2182" t="e">
        <f>IF(#REF! &lt;= 3, "Low Charges", "High Charges")</f>
        <v>#REF!</v>
      </c>
      <c r="Z2182" t="e">
        <f>IF(#REF!&lt;=80,"Low Calls",
IF(#REF!&lt;=120,"Medium Calls","High Calls"))</f>
        <v>#REF!</v>
      </c>
      <c r="AA2182" t="e">
        <f>IF(#REF!&lt;=15,"Low Charges",
IF(#REF!&lt;=20,"Medium Charges","High Charges"))</f>
        <v>#REF!</v>
      </c>
      <c r="AB2182" t="e">
        <f>IF(AND(#REF!&gt;180, #REF!&gt;200), "Heavy Doemstic User", IF(#REF!&gt;10, "Interntional User", IF(AND(#REF!&lt;180, #REF!&lt;200,#REF!&lt;200), "Light User", "Balanced User")))</f>
        <v>#REF!</v>
      </c>
      <c r="AC2182" t="e">
        <f>IF(#REF! = 0, "No Usage", IF(#REF! &lt;= 20, "Low Usage", IF(#REF! &lt;= 40, "Medium Usgae", "High Usage")))</f>
        <v>#REF!</v>
      </c>
      <c r="AD2182" t="e">
        <f>IF(#REF!&lt;=150,"Low Usage", IF(#REF!&lt;=200,"Medium Usage", IF(#REF!&lt;=250,"High Usage","Very High Usage")))</f>
        <v>#REF!</v>
      </c>
      <c r="AE2182" t="e">
        <f>IF(#REF!&lt;=5,"Low Calls", IF(#REF!&lt;=10, "Medium Calls", "High Calls"))</f>
        <v>#REF!</v>
      </c>
      <c r="AF2182" t="e">
        <f xml:space="preserve">
IF(#REF!&gt;=4,4,0)+
IF(#REF!="yes",3,0)+
IF(#REF!="High Charges",3,0)+
IF(#REF!&gt;250,4,0)+
IF(#REF!="no",1,0)+
IF(#REF!="Heavy Domestic User",2,0)</f>
        <v>#REF!</v>
      </c>
      <c r="AG2182" t="e">
        <f>IF(#REF!&gt;=10,"High Risk", IF(#REF!&gt;=5,"Medium Risk","Low Risk"))</f>
        <v>#REF!</v>
      </c>
      <c r="AH2182" t="e">
        <f>#REF! + #REF! + #REF! + #REF!</f>
        <v>#REF!</v>
      </c>
    </row>
    <row r="2183" spans="1:34" x14ac:dyDescent="0.35">
      <c r="A2183">
        <v>2182</v>
      </c>
      <c r="B2183" t="s">
        <v>34</v>
      </c>
      <c r="C2183">
        <v>64</v>
      </c>
      <c r="D2183" t="s">
        <v>21</v>
      </c>
      <c r="E2183" t="s">
        <v>22</v>
      </c>
      <c r="F2183" t="s">
        <v>23</v>
      </c>
      <c r="G2183">
        <v>43</v>
      </c>
      <c r="H2183">
        <v>118.4</v>
      </c>
      <c r="I2183">
        <v>100</v>
      </c>
      <c r="J2183">
        <v>20.13</v>
      </c>
      <c r="K2183">
        <v>144.1</v>
      </c>
      <c r="L2183">
        <v>108</v>
      </c>
      <c r="M2183">
        <v>12.25</v>
      </c>
      <c r="N2183">
        <v>158.1</v>
      </c>
      <c r="O2183">
        <v>91</v>
      </c>
      <c r="P2183">
        <v>7.11</v>
      </c>
      <c r="Q2183">
        <v>8.5</v>
      </c>
      <c r="R2183">
        <v>6</v>
      </c>
      <c r="S2183">
        <v>2.2999999999999998</v>
      </c>
      <c r="T2183">
        <v>1</v>
      </c>
      <c r="U2183" t="s">
        <v>22</v>
      </c>
      <c r="V2183" t="e">
        <f>IF(#REF! = "yes", 1, 0)</f>
        <v>#REF!</v>
      </c>
      <c r="W2183" t="e">
        <f>IF(#REF! &lt;= 1, "0-1 Calls", IF(#REF! &lt;= 3, "2-3 Calls", IF(#REF! &lt;=5, "4-5 Calls", "6+ Calls")))</f>
        <v>#REF!</v>
      </c>
      <c r="X2183" t="e">
        <f>IF(#REF! &lt;= 50, "0-50", IF(#REF! &lt;=100, "51-100", IF(#REF! &lt;= 150, "101-150", "151+")))</f>
        <v>#REF!</v>
      </c>
      <c r="Y2183" t="e">
        <f>IF(#REF! &lt;= 3, "Low Charges", "High Charges")</f>
        <v>#REF!</v>
      </c>
      <c r="Z2183" t="e">
        <f>IF(#REF!&lt;=80,"Low Calls",
IF(#REF!&lt;=120,"Medium Calls","High Calls"))</f>
        <v>#REF!</v>
      </c>
      <c r="AA2183" t="e">
        <f>IF(#REF!&lt;=15,"Low Charges",
IF(#REF!&lt;=20,"Medium Charges","High Charges"))</f>
        <v>#REF!</v>
      </c>
      <c r="AB2183" t="e">
        <f>IF(AND(#REF!&gt;180, #REF!&gt;200), "Heavy Doemstic User", IF(#REF!&gt;10, "Interntional User", IF(AND(#REF!&lt;180, #REF!&lt;200,#REF!&lt;200), "Light User", "Balanced User")))</f>
        <v>#REF!</v>
      </c>
      <c r="AC2183" t="e">
        <f>IF(#REF! = 0, "No Usage", IF(#REF! &lt;= 20, "Low Usage", IF(#REF! &lt;= 40, "Medium Usgae", "High Usage")))</f>
        <v>#REF!</v>
      </c>
      <c r="AD2183" t="e">
        <f>IF(#REF!&lt;=150,"Low Usage", IF(#REF!&lt;=200,"Medium Usage", IF(#REF!&lt;=250,"High Usage","Very High Usage")))</f>
        <v>#REF!</v>
      </c>
      <c r="AE2183" t="e">
        <f>IF(#REF!&lt;=5,"Low Calls", IF(#REF!&lt;=10, "Medium Calls", "High Calls"))</f>
        <v>#REF!</v>
      </c>
      <c r="AF2183" t="e">
        <f xml:space="preserve">
IF(#REF!&gt;=4,4,0)+
IF(#REF!="yes",3,0)+
IF(#REF!="High Charges",3,0)+
IF(#REF!&gt;250,4,0)+
IF(#REF!="no",1,0)+
IF(#REF!="Heavy Domestic User",2,0)</f>
        <v>#REF!</v>
      </c>
      <c r="AG2183" t="e">
        <f>IF(#REF!&gt;=10,"High Risk", IF(#REF!&gt;=5,"Medium Risk","Low Risk"))</f>
        <v>#REF!</v>
      </c>
      <c r="AH2183" t="e">
        <f>#REF! + #REF! + #REF! + #REF!</f>
        <v>#REF!</v>
      </c>
    </row>
    <row r="2184" spans="1:34" x14ac:dyDescent="0.35">
      <c r="A2184">
        <v>2183</v>
      </c>
      <c r="B2184" t="s">
        <v>47</v>
      </c>
      <c r="C2184">
        <v>103</v>
      </c>
      <c r="D2184" t="s">
        <v>28</v>
      </c>
      <c r="E2184" t="s">
        <v>22</v>
      </c>
      <c r="F2184" t="s">
        <v>22</v>
      </c>
      <c r="G2184">
        <v>0</v>
      </c>
      <c r="H2184">
        <v>190.9</v>
      </c>
      <c r="I2184">
        <v>62</v>
      </c>
      <c r="J2184">
        <v>32.450000000000003</v>
      </c>
      <c r="K2184">
        <v>226.6</v>
      </c>
      <c r="L2184">
        <v>53</v>
      </c>
      <c r="M2184">
        <v>19.260000000000002</v>
      </c>
      <c r="N2184">
        <v>230.1</v>
      </c>
      <c r="O2184">
        <v>96</v>
      </c>
      <c r="P2184">
        <v>10.35</v>
      </c>
      <c r="Q2184">
        <v>7.8</v>
      </c>
      <c r="R2184">
        <v>3</v>
      </c>
      <c r="S2184">
        <v>2.11</v>
      </c>
      <c r="T2184">
        <v>2</v>
      </c>
      <c r="U2184" t="s">
        <v>22</v>
      </c>
      <c r="V2184" t="e">
        <f>IF(#REF! = "yes", 1, 0)</f>
        <v>#REF!</v>
      </c>
      <c r="W2184" t="e">
        <f>IF(#REF! &lt;= 1, "0-1 Calls", IF(#REF! &lt;= 3, "2-3 Calls", IF(#REF! &lt;=5, "4-5 Calls", "6+ Calls")))</f>
        <v>#REF!</v>
      </c>
      <c r="X2184" t="e">
        <f>IF(#REF! &lt;= 50, "0-50", IF(#REF! &lt;=100, "51-100", IF(#REF! &lt;= 150, "101-150", "151+")))</f>
        <v>#REF!</v>
      </c>
      <c r="Y2184" t="e">
        <f>IF(#REF! &lt;= 3, "Low Charges", "High Charges")</f>
        <v>#REF!</v>
      </c>
      <c r="Z2184" t="e">
        <f>IF(#REF!&lt;=80,"Low Calls",
IF(#REF!&lt;=120,"Medium Calls","High Calls"))</f>
        <v>#REF!</v>
      </c>
      <c r="AA2184" t="e">
        <f>IF(#REF!&lt;=15,"Low Charges",
IF(#REF!&lt;=20,"Medium Charges","High Charges"))</f>
        <v>#REF!</v>
      </c>
      <c r="AB2184" t="e">
        <f>IF(AND(#REF!&gt;180, #REF!&gt;200), "Heavy Doemstic User", IF(#REF!&gt;10, "Interntional User", IF(AND(#REF!&lt;180, #REF!&lt;200,#REF!&lt;200), "Light User", "Balanced User")))</f>
        <v>#REF!</v>
      </c>
      <c r="AC2184" t="e">
        <f>IF(#REF! = 0, "No Usage", IF(#REF! &lt;= 20, "Low Usage", IF(#REF! &lt;= 40, "Medium Usgae", "High Usage")))</f>
        <v>#REF!</v>
      </c>
      <c r="AD2184" t="e">
        <f>IF(#REF!&lt;=150,"Low Usage", IF(#REF!&lt;=200,"Medium Usage", IF(#REF!&lt;=250,"High Usage","Very High Usage")))</f>
        <v>#REF!</v>
      </c>
      <c r="AE2184" t="e">
        <f>IF(#REF!&lt;=5,"Low Calls", IF(#REF!&lt;=10, "Medium Calls", "High Calls"))</f>
        <v>#REF!</v>
      </c>
      <c r="AF2184" t="e">
        <f xml:space="preserve">
IF(#REF!&gt;=4,4,0)+
IF(#REF!="yes",3,0)+
IF(#REF!="High Charges",3,0)+
IF(#REF!&gt;250,4,0)+
IF(#REF!="no",1,0)+
IF(#REF!="Heavy Domestic User",2,0)</f>
        <v>#REF!</v>
      </c>
      <c r="AG2184" t="e">
        <f>IF(#REF!&gt;=10,"High Risk", IF(#REF!&gt;=5,"Medium Risk","Low Risk"))</f>
        <v>#REF!</v>
      </c>
      <c r="AH2184" t="e">
        <f>#REF! + #REF! + #REF! + #REF!</f>
        <v>#REF!</v>
      </c>
    </row>
    <row r="2185" spans="1:34" x14ac:dyDescent="0.35">
      <c r="A2185">
        <v>2184</v>
      </c>
      <c r="B2185" t="s">
        <v>60</v>
      </c>
      <c r="C2185">
        <v>152</v>
      </c>
      <c r="D2185" t="s">
        <v>21</v>
      </c>
      <c r="E2185" t="s">
        <v>22</v>
      </c>
      <c r="F2185" t="s">
        <v>22</v>
      </c>
      <c r="G2185">
        <v>0</v>
      </c>
      <c r="H2185">
        <v>317.8</v>
      </c>
      <c r="I2185">
        <v>60</v>
      </c>
      <c r="J2185">
        <v>54.03</v>
      </c>
      <c r="K2185">
        <v>152.9</v>
      </c>
      <c r="L2185">
        <v>100</v>
      </c>
      <c r="M2185">
        <v>13</v>
      </c>
      <c r="N2185">
        <v>123.4</v>
      </c>
      <c r="O2185">
        <v>63</v>
      </c>
      <c r="P2185">
        <v>5.55</v>
      </c>
      <c r="Q2185">
        <v>10.4</v>
      </c>
      <c r="R2185">
        <v>7</v>
      </c>
      <c r="S2185">
        <v>2.81</v>
      </c>
      <c r="T2185">
        <v>1</v>
      </c>
      <c r="U2185" t="s">
        <v>23</v>
      </c>
      <c r="V2185" t="e">
        <f>IF(#REF! = "yes", 1, 0)</f>
        <v>#REF!</v>
      </c>
      <c r="W2185" t="e">
        <f>IF(#REF! &lt;= 1, "0-1 Calls", IF(#REF! &lt;= 3, "2-3 Calls", IF(#REF! &lt;=5, "4-5 Calls", "6+ Calls")))</f>
        <v>#REF!</v>
      </c>
      <c r="X2185" t="e">
        <f>IF(#REF! &lt;= 50, "0-50", IF(#REF! &lt;=100, "51-100", IF(#REF! &lt;= 150, "101-150", "151+")))</f>
        <v>#REF!</v>
      </c>
      <c r="Y2185" t="e">
        <f>IF(#REF! &lt;= 3, "Low Charges", "High Charges")</f>
        <v>#REF!</v>
      </c>
      <c r="Z2185" t="e">
        <f>IF(#REF!&lt;=80,"Low Calls",
IF(#REF!&lt;=120,"Medium Calls","High Calls"))</f>
        <v>#REF!</v>
      </c>
      <c r="AA2185" t="e">
        <f>IF(#REF!&lt;=15,"Low Charges",
IF(#REF!&lt;=20,"Medium Charges","High Charges"))</f>
        <v>#REF!</v>
      </c>
      <c r="AB2185" t="e">
        <f>IF(AND(#REF!&gt;180, #REF!&gt;200), "Heavy Doemstic User", IF(#REF!&gt;10, "Interntional User", IF(AND(#REF!&lt;180, #REF!&lt;200,#REF!&lt;200), "Light User", "Balanced User")))</f>
        <v>#REF!</v>
      </c>
      <c r="AC2185" t="e">
        <f>IF(#REF! = 0, "No Usage", IF(#REF! &lt;= 20, "Low Usage", IF(#REF! &lt;= 40, "Medium Usgae", "High Usage")))</f>
        <v>#REF!</v>
      </c>
      <c r="AD2185" t="e">
        <f>IF(#REF!&lt;=150,"Low Usage", IF(#REF!&lt;=200,"Medium Usage", IF(#REF!&lt;=250,"High Usage","Very High Usage")))</f>
        <v>#REF!</v>
      </c>
      <c r="AE2185" t="e">
        <f>IF(#REF!&lt;=5,"Low Calls", IF(#REF!&lt;=10, "Medium Calls", "High Calls"))</f>
        <v>#REF!</v>
      </c>
      <c r="AF2185" t="e">
        <f xml:space="preserve">
IF(#REF!&gt;=4,4,0)+
IF(#REF!="yes",3,0)+
IF(#REF!="High Charges",3,0)+
IF(#REF!&gt;250,4,0)+
IF(#REF!="no",1,0)+
IF(#REF!="Heavy Domestic User",2,0)</f>
        <v>#REF!</v>
      </c>
      <c r="AG2185" t="e">
        <f>IF(#REF!&gt;=10,"High Risk", IF(#REF!&gt;=5,"Medium Risk","Low Risk"))</f>
        <v>#REF!</v>
      </c>
      <c r="AH2185" t="e">
        <f>#REF! + #REF! + #REF! + #REF!</f>
        <v>#REF!</v>
      </c>
    </row>
    <row r="2186" spans="1:34" x14ac:dyDescent="0.35">
      <c r="A2186">
        <v>2185</v>
      </c>
      <c r="B2186" t="s">
        <v>31</v>
      </c>
      <c r="C2186">
        <v>124</v>
      </c>
      <c r="D2186" t="s">
        <v>21</v>
      </c>
      <c r="E2186" t="s">
        <v>22</v>
      </c>
      <c r="F2186" t="s">
        <v>22</v>
      </c>
      <c r="G2186">
        <v>0</v>
      </c>
      <c r="H2186">
        <v>312</v>
      </c>
      <c r="I2186">
        <v>112</v>
      </c>
      <c r="J2186">
        <v>53.04</v>
      </c>
      <c r="K2186">
        <v>180</v>
      </c>
      <c r="L2186">
        <v>109</v>
      </c>
      <c r="M2186">
        <v>15.3</v>
      </c>
      <c r="N2186">
        <v>168.6</v>
      </c>
      <c r="O2186">
        <v>94</v>
      </c>
      <c r="P2186">
        <v>7.59</v>
      </c>
      <c r="Q2186">
        <v>12.8</v>
      </c>
      <c r="R2186">
        <v>4</v>
      </c>
      <c r="S2186">
        <v>3.46</v>
      </c>
      <c r="T2186">
        <v>1</v>
      </c>
      <c r="U2186" t="s">
        <v>23</v>
      </c>
      <c r="V2186" t="e">
        <f>IF(#REF! = "yes", 1, 0)</f>
        <v>#REF!</v>
      </c>
      <c r="W2186" t="e">
        <f>IF(#REF! &lt;= 1, "0-1 Calls", IF(#REF! &lt;= 3, "2-3 Calls", IF(#REF! &lt;=5, "4-5 Calls", "6+ Calls")))</f>
        <v>#REF!</v>
      </c>
      <c r="X2186" t="e">
        <f>IF(#REF! &lt;= 50, "0-50", IF(#REF! &lt;=100, "51-100", IF(#REF! &lt;= 150, "101-150", "151+")))</f>
        <v>#REF!</v>
      </c>
      <c r="Y2186" t="e">
        <f>IF(#REF! &lt;= 3, "Low Charges", "High Charges")</f>
        <v>#REF!</v>
      </c>
      <c r="Z2186" t="e">
        <f>IF(#REF!&lt;=80,"Low Calls",
IF(#REF!&lt;=120,"Medium Calls","High Calls"))</f>
        <v>#REF!</v>
      </c>
      <c r="AA2186" t="e">
        <f>IF(#REF!&lt;=15,"Low Charges",
IF(#REF!&lt;=20,"Medium Charges","High Charges"))</f>
        <v>#REF!</v>
      </c>
      <c r="AB2186" t="e">
        <f>IF(AND(#REF!&gt;180, #REF!&gt;200), "Heavy Doemstic User", IF(#REF!&gt;10, "Interntional User", IF(AND(#REF!&lt;180, #REF!&lt;200,#REF!&lt;200), "Light User", "Balanced User")))</f>
        <v>#REF!</v>
      </c>
      <c r="AC2186" t="e">
        <f>IF(#REF! = 0, "No Usage", IF(#REF! &lt;= 20, "Low Usage", IF(#REF! &lt;= 40, "Medium Usgae", "High Usage")))</f>
        <v>#REF!</v>
      </c>
      <c r="AD2186" t="e">
        <f>IF(#REF!&lt;=150,"Low Usage", IF(#REF!&lt;=200,"Medium Usage", IF(#REF!&lt;=250,"High Usage","Very High Usage")))</f>
        <v>#REF!</v>
      </c>
      <c r="AE2186" t="e">
        <f>IF(#REF!&lt;=5,"Low Calls", IF(#REF!&lt;=10, "Medium Calls", "High Calls"))</f>
        <v>#REF!</v>
      </c>
      <c r="AF2186" t="e">
        <f xml:space="preserve">
IF(#REF!&gt;=4,4,0)+
IF(#REF!="yes",3,0)+
IF(#REF!="High Charges",3,0)+
IF(#REF!&gt;250,4,0)+
IF(#REF!="no",1,0)+
IF(#REF!="Heavy Domestic User",2,0)</f>
        <v>#REF!</v>
      </c>
      <c r="AG2186" t="e">
        <f>IF(#REF!&gt;=10,"High Risk", IF(#REF!&gt;=5,"Medium Risk","Low Risk"))</f>
        <v>#REF!</v>
      </c>
      <c r="AH2186" t="e">
        <f>#REF! + #REF! + #REF! + #REF!</f>
        <v>#REF!</v>
      </c>
    </row>
    <row r="2187" spans="1:34" x14ac:dyDescent="0.35">
      <c r="A2187">
        <v>2186</v>
      </c>
      <c r="B2187" t="s">
        <v>67</v>
      </c>
      <c r="C2187">
        <v>131</v>
      </c>
      <c r="D2187" t="s">
        <v>21</v>
      </c>
      <c r="E2187" t="s">
        <v>22</v>
      </c>
      <c r="F2187" t="s">
        <v>22</v>
      </c>
      <c r="G2187">
        <v>0</v>
      </c>
      <c r="H2187">
        <v>131.6</v>
      </c>
      <c r="I2187">
        <v>95</v>
      </c>
      <c r="J2187">
        <v>22.37</v>
      </c>
      <c r="K2187">
        <v>179.3</v>
      </c>
      <c r="L2187">
        <v>109</v>
      </c>
      <c r="M2187">
        <v>15.24</v>
      </c>
      <c r="N2187">
        <v>251.2</v>
      </c>
      <c r="O2187">
        <v>129</v>
      </c>
      <c r="P2187">
        <v>11.3</v>
      </c>
      <c r="Q2187">
        <v>15.5</v>
      </c>
      <c r="R2187">
        <v>3</v>
      </c>
      <c r="S2187">
        <v>4.1900000000000004</v>
      </c>
      <c r="T2187">
        <v>1</v>
      </c>
      <c r="U2187" t="s">
        <v>23</v>
      </c>
      <c r="V2187" t="e">
        <f>IF(#REF! = "yes", 1, 0)</f>
        <v>#REF!</v>
      </c>
      <c r="W2187" t="e">
        <f>IF(#REF! &lt;= 1, "0-1 Calls", IF(#REF! &lt;= 3, "2-3 Calls", IF(#REF! &lt;=5, "4-5 Calls", "6+ Calls")))</f>
        <v>#REF!</v>
      </c>
      <c r="X2187" t="e">
        <f>IF(#REF! &lt;= 50, "0-50", IF(#REF! &lt;=100, "51-100", IF(#REF! &lt;= 150, "101-150", "151+")))</f>
        <v>#REF!</v>
      </c>
      <c r="Y2187" t="e">
        <f>IF(#REF! &lt;= 3, "Low Charges", "High Charges")</f>
        <v>#REF!</v>
      </c>
      <c r="Z2187" t="e">
        <f>IF(#REF!&lt;=80,"Low Calls",
IF(#REF!&lt;=120,"Medium Calls","High Calls"))</f>
        <v>#REF!</v>
      </c>
      <c r="AA2187" t="e">
        <f>IF(#REF!&lt;=15,"Low Charges",
IF(#REF!&lt;=20,"Medium Charges","High Charges"))</f>
        <v>#REF!</v>
      </c>
      <c r="AB2187" t="e">
        <f>IF(AND(#REF!&gt;180, #REF!&gt;200), "Heavy Doemstic User", IF(#REF!&gt;10, "Interntional User", IF(AND(#REF!&lt;180, #REF!&lt;200,#REF!&lt;200), "Light User", "Balanced User")))</f>
        <v>#REF!</v>
      </c>
      <c r="AC2187" t="e">
        <f>IF(#REF! = 0, "No Usage", IF(#REF! &lt;= 20, "Low Usage", IF(#REF! &lt;= 40, "Medium Usgae", "High Usage")))</f>
        <v>#REF!</v>
      </c>
      <c r="AD2187" t="e">
        <f>IF(#REF!&lt;=150,"Low Usage", IF(#REF!&lt;=200,"Medium Usage", IF(#REF!&lt;=250,"High Usage","Very High Usage")))</f>
        <v>#REF!</v>
      </c>
      <c r="AE2187" t="e">
        <f>IF(#REF!&lt;=5,"Low Calls", IF(#REF!&lt;=10, "Medium Calls", "High Calls"))</f>
        <v>#REF!</v>
      </c>
      <c r="AF2187" t="e">
        <f xml:space="preserve">
IF(#REF!&gt;=4,4,0)+
IF(#REF!="yes",3,0)+
IF(#REF!="High Charges",3,0)+
IF(#REF!&gt;250,4,0)+
IF(#REF!="no",1,0)+
IF(#REF!="Heavy Domestic User",2,0)</f>
        <v>#REF!</v>
      </c>
      <c r="AG2187" t="e">
        <f>IF(#REF!&gt;=10,"High Risk", IF(#REF!&gt;=5,"Medium Risk","Low Risk"))</f>
        <v>#REF!</v>
      </c>
      <c r="AH2187" t="e">
        <f>#REF! + #REF! + #REF! + #REF!</f>
        <v>#REF!</v>
      </c>
    </row>
    <row r="2188" spans="1:34" x14ac:dyDescent="0.35">
      <c r="A2188">
        <v>2187</v>
      </c>
      <c r="B2188" t="s">
        <v>66</v>
      </c>
      <c r="C2188">
        <v>57</v>
      </c>
      <c r="D2188" t="s">
        <v>21</v>
      </c>
      <c r="E2188" t="s">
        <v>22</v>
      </c>
      <c r="F2188" t="s">
        <v>23</v>
      </c>
      <c r="G2188">
        <v>33</v>
      </c>
      <c r="H2188">
        <v>193.4</v>
      </c>
      <c r="I2188">
        <v>105</v>
      </c>
      <c r="J2188">
        <v>32.880000000000003</v>
      </c>
      <c r="K2188">
        <v>231.6</v>
      </c>
      <c r="L2188">
        <v>79</v>
      </c>
      <c r="M2188">
        <v>19.690000000000001</v>
      </c>
      <c r="N2188">
        <v>226.2</v>
      </c>
      <c r="O2188">
        <v>90</v>
      </c>
      <c r="P2188">
        <v>10.18</v>
      </c>
      <c r="Q2188">
        <v>11.1</v>
      </c>
      <c r="R2188">
        <v>11</v>
      </c>
      <c r="S2188">
        <v>3</v>
      </c>
      <c r="T2188">
        <v>2</v>
      </c>
      <c r="U2188" t="s">
        <v>22</v>
      </c>
      <c r="V2188" t="e">
        <f>IF(#REF! = "yes", 1, 0)</f>
        <v>#REF!</v>
      </c>
      <c r="W2188" t="e">
        <f>IF(#REF! &lt;= 1, "0-1 Calls", IF(#REF! &lt;= 3, "2-3 Calls", IF(#REF! &lt;=5, "4-5 Calls", "6+ Calls")))</f>
        <v>#REF!</v>
      </c>
      <c r="X2188" t="e">
        <f>IF(#REF! &lt;= 50, "0-50", IF(#REF! &lt;=100, "51-100", IF(#REF! &lt;= 150, "101-150", "151+")))</f>
        <v>#REF!</v>
      </c>
      <c r="Y2188" t="e">
        <f>IF(#REF! &lt;= 3, "Low Charges", "High Charges")</f>
        <v>#REF!</v>
      </c>
      <c r="Z2188" t="e">
        <f>IF(#REF!&lt;=80,"Low Calls",
IF(#REF!&lt;=120,"Medium Calls","High Calls"))</f>
        <v>#REF!</v>
      </c>
      <c r="AA2188" t="e">
        <f>IF(#REF!&lt;=15,"Low Charges",
IF(#REF!&lt;=20,"Medium Charges","High Charges"))</f>
        <v>#REF!</v>
      </c>
      <c r="AB2188" t="e">
        <f>IF(AND(#REF!&gt;180, #REF!&gt;200), "Heavy Doemstic User", IF(#REF!&gt;10, "Interntional User", IF(AND(#REF!&lt;180, #REF!&lt;200,#REF!&lt;200), "Light User", "Balanced User")))</f>
        <v>#REF!</v>
      </c>
      <c r="AC2188" t="e">
        <f>IF(#REF! = 0, "No Usage", IF(#REF! &lt;= 20, "Low Usage", IF(#REF! &lt;= 40, "Medium Usgae", "High Usage")))</f>
        <v>#REF!</v>
      </c>
      <c r="AD2188" t="e">
        <f>IF(#REF!&lt;=150,"Low Usage", IF(#REF!&lt;=200,"Medium Usage", IF(#REF!&lt;=250,"High Usage","Very High Usage")))</f>
        <v>#REF!</v>
      </c>
      <c r="AE2188" t="e">
        <f>IF(#REF!&lt;=5,"Low Calls", IF(#REF!&lt;=10, "Medium Calls", "High Calls"))</f>
        <v>#REF!</v>
      </c>
      <c r="AF2188" t="e">
        <f xml:space="preserve">
IF(#REF!&gt;=4,4,0)+
IF(#REF!="yes",3,0)+
IF(#REF!="High Charges",3,0)+
IF(#REF!&gt;250,4,0)+
IF(#REF!="no",1,0)+
IF(#REF!="Heavy Domestic User",2,0)</f>
        <v>#REF!</v>
      </c>
      <c r="AG2188" t="e">
        <f>IF(#REF!&gt;=10,"High Risk", IF(#REF!&gt;=5,"Medium Risk","Low Risk"))</f>
        <v>#REF!</v>
      </c>
      <c r="AH2188" t="e">
        <f>#REF! + #REF! + #REF! + #REF!</f>
        <v>#REF!</v>
      </c>
    </row>
    <row r="2189" spans="1:34" x14ac:dyDescent="0.35">
      <c r="A2189">
        <v>2188</v>
      </c>
      <c r="B2189" t="s">
        <v>60</v>
      </c>
      <c r="C2189">
        <v>157</v>
      </c>
      <c r="D2189" t="s">
        <v>28</v>
      </c>
      <c r="E2189" t="s">
        <v>22</v>
      </c>
      <c r="F2189" t="s">
        <v>22</v>
      </c>
      <c r="G2189">
        <v>0</v>
      </c>
      <c r="H2189">
        <v>185.1</v>
      </c>
      <c r="I2189">
        <v>92</v>
      </c>
      <c r="J2189">
        <v>31.47</v>
      </c>
      <c r="K2189">
        <v>213</v>
      </c>
      <c r="L2189">
        <v>85</v>
      </c>
      <c r="M2189">
        <v>18.11</v>
      </c>
      <c r="N2189">
        <v>196.1</v>
      </c>
      <c r="O2189">
        <v>85</v>
      </c>
      <c r="P2189">
        <v>8.82</v>
      </c>
      <c r="Q2189">
        <v>8.5</v>
      </c>
      <c r="R2189">
        <v>5</v>
      </c>
      <c r="S2189">
        <v>2.2999999999999998</v>
      </c>
      <c r="T2189">
        <v>2</v>
      </c>
      <c r="U2189" t="s">
        <v>22</v>
      </c>
      <c r="V2189" t="e">
        <f>IF(#REF! = "yes", 1, 0)</f>
        <v>#REF!</v>
      </c>
      <c r="W2189" t="e">
        <f>IF(#REF! &lt;= 1, "0-1 Calls", IF(#REF! &lt;= 3, "2-3 Calls", IF(#REF! &lt;=5, "4-5 Calls", "6+ Calls")))</f>
        <v>#REF!</v>
      </c>
      <c r="X2189" t="e">
        <f>IF(#REF! &lt;= 50, "0-50", IF(#REF! &lt;=100, "51-100", IF(#REF! &lt;= 150, "101-150", "151+")))</f>
        <v>#REF!</v>
      </c>
      <c r="Y2189" t="e">
        <f>IF(#REF! &lt;= 3, "Low Charges", "High Charges")</f>
        <v>#REF!</v>
      </c>
      <c r="Z2189" t="e">
        <f>IF(#REF!&lt;=80,"Low Calls",
IF(#REF!&lt;=120,"Medium Calls","High Calls"))</f>
        <v>#REF!</v>
      </c>
      <c r="AA2189" t="e">
        <f>IF(#REF!&lt;=15,"Low Charges",
IF(#REF!&lt;=20,"Medium Charges","High Charges"))</f>
        <v>#REF!</v>
      </c>
      <c r="AB2189" t="e">
        <f>IF(AND(#REF!&gt;180, #REF!&gt;200), "Heavy Doemstic User", IF(#REF!&gt;10, "Interntional User", IF(AND(#REF!&lt;180, #REF!&lt;200,#REF!&lt;200), "Light User", "Balanced User")))</f>
        <v>#REF!</v>
      </c>
      <c r="AC2189" t="e">
        <f>IF(#REF! = 0, "No Usage", IF(#REF! &lt;= 20, "Low Usage", IF(#REF! &lt;= 40, "Medium Usgae", "High Usage")))</f>
        <v>#REF!</v>
      </c>
      <c r="AD2189" t="e">
        <f>IF(#REF!&lt;=150,"Low Usage", IF(#REF!&lt;=200,"Medium Usage", IF(#REF!&lt;=250,"High Usage","Very High Usage")))</f>
        <v>#REF!</v>
      </c>
      <c r="AE2189" t="e">
        <f>IF(#REF!&lt;=5,"Low Calls", IF(#REF!&lt;=10, "Medium Calls", "High Calls"))</f>
        <v>#REF!</v>
      </c>
      <c r="AF2189" t="e">
        <f xml:space="preserve">
IF(#REF!&gt;=4,4,0)+
IF(#REF!="yes",3,0)+
IF(#REF!="High Charges",3,0)+
IF(#REF!&gt;250,4,0)+
IF(#REF!="no",1,0)+
IF(#REF!="Heavy Domestic User",2,0)</f>
        <v>#REF!</v>
      </c>
      <c r="AG2189" t="e">
        <f>IF(#REF!&gt;=10,"High Risk", IF(#REF!&gt;=5,"Medium Risk","Low Risk"))</f>
        <v>#REF!</v>
      </c>
      <c r="AH2189" t="e">
        <f>#REF! + #REF! + #REF! + #REF!</f>
        <v>#REF!</v>
      </c>
    </row>
    <row r="2190" spans="1:34" x14ac:dyDescent="0.35">
      <c r="A2190">
        <v>2189</v>
      </c>
      <c r="B2190" t="s">
        <v>48</v>
      </c>
      <c r="C2190">
        <v>194</v>
      </c>
      <c r="D2190" t="s">
        <v>28</v>
      </c>
      <c r="E2190" t="s">
        <v>22</v>
      </c>
      <c r="F2190" t="s">
        <v>22</v>
      </c>
      <c r="G2190">
        <v>0</v>
      </c>
      <c r="H2190">
        <v>193.3</v>
      </c>
      <c r="I2190">
        <v>106</v>
      </c>
      <c r="J2190">
        <v>32.86</v>
      </c>
      <c r="K2190">
        <v>169</v>
      </c>
      <c r="L2190">
        <v>150</v>
      </c>
      <c r="M2190">
        <v>14.37</v>
      </c>
      <c r="N2190">
        <v>225.2</v>
      </c>
      <c r="O2190">
        <v>122</v>
      </c>
      <c r="P2190">
        <v>10.130000000000001</v>
      </c>
      <c r="Q2190">
        <v>11.8</v>
      </c>
      <c r="R2190">
        <v>4</v>
      </c>
      <c r="S2190">
        <v>3.19</v>
      </c>
      <c r="T2190">
        <v>0</v>
      </c>
      <c r="U2190" t="s">
        <v>22</v>
      </c>
      <c r="V2190" t="e">
        <f>IF(#REF! = "yes", 1, 0)</f>
        <v>#REF!</v>
      </c>
      <c r="W2190" t="e">
        <f>IF(#REF! &lt;= 1, "0-1 Calls", IF(#REF! &lt;= 3, "2-3 Calls", IF(#REF! &lt;=5, "4-5 Calls", "6+ Calls")))</f>
        <v>#REF!</v>
      </c>
      <c r="X2190" t="e">
        <f>IF(#REF! &lt;= 50, "0-50", IF(#REF! &lt;=100, "51-100", IF(#REF! &lt;= 150, "101-150", "151+")))</f>
        <v>#REF!</v>
      </c>
      <c r="Y2190" t="e">
        <f>IF(#REF! &lt;= 3, "Low Charges", "High Charges")</f>
        <v>#REF!</v>
      </c>
      <c r="Z2190" t="e">
        <f>IF(#REF!&lt;=80,"Low Calls",
IF(#REF!&lt;=120,"Medium Calls","High Calls"))</f>
        <v>#REF!</v>
      </c>
      <c r="AA2190" t="e">
        <f>IF(#REF!&lt;=15,"Low Charges",
IF(#REF!&lt;=20,"Medium Charges","High Charges"))</f>
        <v>#REF!</v>
      </c>
      <c r="AB2190" t="e">
        <f>IF(AND(#REF!&gt;180, #REF!&gt;200), "Heavy Doemstic User", IF(#REF!&gt;10, "Interntional User", IF(AND(#REF!&lt;180, #REF!&lt;200,#REF!&lt;200), "Light User", "Balanced User")))</f>
        <v>#REF!</v>
      </c>
      <c r="AC2190" t="e">
        <f>IF(#REF! = 0, "No Usage", IF(#REF! &lt;= 20, "Low Usage", IF(#REF! &lt;= 40, "Medium Usgae", "High Usage")))</f>
        <v>#REF!</v>
      </c>
      <c r="AD2190" t="e">
        <f>IF(#REF!&lt;=150,"Low Usage", IF(#REF!&lt;=200,"Medium Usage", IF(#REF!&lt;=250,"High Usage","Very High Usage")))</f>
        <v>#REF!</v>
      </c>
      <c r="AE2190" t="e">
        <f>IF(#REF!&lt;=5,"Low Calls", IF(#REF!&lt;=10, "Medium Calls", "High Calls"))</f>
        <v>#REF!</v>
      </c>
      <c r="AF2190" t="e">
        <f xml:space="preserve">
IF(#REF!&gt;=4,4,0)+
IF(#REF!="yes",3,0)+
IF(#REF!="High Charges",3,0)+
IF(#REF!&gt;250,4,0)+
IF(#REF!="no",1,0)+
IF(#REF!="Heavy Domestic User",2,0)</f>
        <v>#REF!</v>
      </c>
      <c r="AG2190" t="e">
        <f>IF(#REF!&gt;=10,"High Risk", IF(#REF!&gt;=5,"Medium Risk","Low Risk"))</f>
        <v>#REF!</v>
      </c>
      <c r="AH2190" t="e">
        <f>#REF! + #REF! + #REF! + #REF!</f>
        <v>#REF!</v>
      </c>
    </row>
    <row r="2191" spans="1:34" x14ac:dyDescent="0.35">
      <c r="A2191">
        <v>2190</v>
      </c>
      <c r="B2191" t="s">
        <v>63</v>
      </c>
      <c r="C2191">
        <v>66</v>
      </c>
      <c r="D2191" t="s">
        <v>21</v>
      </c>
      <c r="E2191" t="s">
        <v>22</v>
      </c>
      <c r="F2191" t="s">
        <v>22</v>
      </c>
      <c r="G2191">
        <v>0</v>
      </c>
      <c r="H2191">
        <v>146.4</v>
      </c>
      <c r="I2191">
        <v>107</v>
      </c>
      <c r="J2191">
        <v>24.89</v>
      </c>
      <c r="K2191">
        <v>196.5</v>
      </c>
      <c r="L2191">
        <v>99</v>
      </c>
      <c r="M2191">
        <v>16.7</v>
      </c>
      <c r="N2191">
        <v>230.1</v>
      </c>
      <c r="O2191">
        <v>106</v>
      </c>
      <c r="P2191">
        <v>10.35</v>
      </c>
      <c r="Q2191">
        <v>7.8</v>
      </c>
      <c r="R2191">
        <v>2</v>
      </c>
      <c r="S2191">
        <v>2.11</v>
      </c>
      <c r="T2191">
        <v>1</v>
      </c>
      <c r="U2191" t="s">
        <v>22</v>
      </c>
      <c r="V2191" t="e">
        <f>IF(#REF! = "yes", 1, 0)</f>
        <v>#REF!</v>
      </c>
      <c r="W2191" t="e">
        <f>IF(#REF! &lt;= 1, "0-1 Calls", IF(#REF! &lt;= 3, "2-3 Calls", IF(#REF! &lt;=5, "4-5 Calls", "6+ Calls")))</f>
        <v>#REF!</v>
      </c>
      <c r="X2191" t="e">
        <f>IF(#REF! &lt;= 50, "0-50", IF(#REF! &lt;=100, "51-100", IF(#REF! &lt;= 150, "101-150", "151+")))</f>
        <v>#REF!</v>
      </c>
      <c r="Y2191" t="e">
        <f>IF(#REF! &lt;= 3, "Low Charges", "High Charges")</f>
        <v>#REF!</v>
      </c>
      <c r="Z2191" t="e">
        <f>IF(#REF!&lt;=80,"Low Calls",
IF(#REF!&lt;=120,"Medium Calls","High Calls"))</f>
        <v>#REF!</v>
      </c>
      <c r="AA2191" t="e">
        <f>IF(#REF!&lt;=15,"Low Charges",
IF(#REF!&lt;=20,"Medium Charges","High Charges"))</f>
        <v>#REF!</v>
      </c>
      <c r="AB2191" t="e">
        <f>IF(AND(#REF!&gt;180, #REF!&gt;200), "Heavy Doemstic User", IF(#REF!&gt;10, "Interntional User", IF(AND(#REF!&lt;180, #REF!&lt;200,#REF!&lt;200), "Light User", "Balanced User")))</f>
        <v>#REF!</v>
      </c>
      <c r="AC2191" t="e">
        <f>IF(#REF! = 0, "No Usage", IF(#REF! &lt;= 20, "Low Usage", IF(#REF! &lt;= 40, "Medium Usgae", "High Usage")))</f>
        <v>#REF!</v>
      </c>
      <c r="AD2191" t="e">
        <f>IF(#REF!&lt;=150,"Low Usage", IF(#REF!&lt;=200,"Medium Usage", IF(#REF!&lt;=250,"High Usage","Very High Usage")))</f>
        <v>#REF!</v>
      </c>
      <c r="AE2191" t="e">
        <f>IF(#REF!&lt;=5,"Low Calls", IF(#REF!&lt;=10, "Medium Calls", "High Calls"))</f>
        <v>#REF!</v>
      </c>
      <c r="AF2191" t="e">
        <f xml:space="preserve">
IF(#REF!&gt;=4,4,0)+
IF(#REF!="yes",3,0)+
IF(#REF!="High Charges",3,0)+
IF(#REF!&gt;250,4,0)+
IF(#REF!="no",1,0)+
IF(#REF!="Heavy Domestic User",2,0)</f>
        <v>#REF!</v>
      </c>
      <c r="AG2191" t="e">
        <f>IF(#REF!&gt;=10,"High Risk", IF(#REF!&gt;=5,"Medium Risk","Low Risk"))</f>
        <v>#REF!</v>
      </c>
      <c r="AH2191" t="e">
        <f>#REF! + #REF! + #REF! + #REF!</f>
        <v>#REF!</v>
      </c>
    </row>
    <row r="2192" spans="1:34" x14ac:dyDescent="0.35">
      <c r="A2192">
        <v>2191</v>
      </c>
      <c r="B2192" t="s">
        <v>48</v>
      </c>
      <c r="C2192">
        <v>155</v>
      </c>
      <c r="D2192" t="s">
        <v>28</v>
      </c>
      <c r="E2192" t="s">
        <v>22</v>
      </c>
      <c r="F2192" t="s">
        <v>22</v>
      </c>
      <c r="G2192">
        <v>0</v>
      </c>
      <c r="H2192">
        <v>71.2</v>
      </c>
      <c r="I2192">
        <v>90</v>
      </c>
      <c r="J2192">
        <v>12.1</v>
      </c>
      <c r="K2192">
        <v>304.39999999999998</v>
      </c>
      <c r="L2192">
        <v>119</v>
      </c>
      <c r="M2192">
        <v>25.87</v>
      </c>
      <c r="N2192">
        <v>183.3</v>
      </c>
      <c r="O2192">
        <v>103</v>
      </c>
      <c r="P2192">
        <v>8.25</v>
      </c>
      <c r="Q2192">
        <v>8.6</v>
      </c>
      <c r="R2192">
        <v>4</v>
      </c>
      <c r="S2192">
        <v>2.3199999999999998</v>
      </c>
      <c r="T2192">
        <v>0</v>
      </c>
      <c r="U2192" t="s">
        <v>22</v>
      </c>
      <c r="V2192" t="e">
        <f>IF(#REF! = "yes", 1, 0)</f>
        <v>#REF!</v>
      </c>
      <c r="W2192" t="e">
        <f>IF(#REF! &lt;= 1, "0-1 Calls", IF(#REF! &lt;= 3, "2-3 Calls", IF(#REF! &lt;=5, "4-5 Calls", "6+ Calls")))</f>
        <v>#REF!</v>
      </c>
      <c r="X2192" t="e">
        <f>IF(#REF! &lt;= 50, "0-50", IF(#REF! &lt;=100, "51-100", IF(#REF! &lt;= 150, "101-150", "151+")))</f>
        <v>#REF!</v>
      </c>
      <c r="Y2192" t="e">
        <f>IF(#REF! &lt;= 3, "Low Charges", "High Charges")</f>
        <v>#REF!</v>
      </c>
      <c r="Z2192" t="e">
        <f>IF(#REF!&lt;=80,"Low Calls",
IF(#REF!&lt;=120,"Medium Calls","High Calls"))</f>
        <v>#REF!</v>
      </c>
      <c r="AA2192" t="e">
        <f>IF(#REF!&lt;=15,"Low Charges",
IF(#REF!&lt;=20,"Medium Charges","High Charges"))</f>
        <v>#REF!</v>
      </c>
      <c r="AB2192" t="e">
        <f>IF(AND(#REF!&gt;180, #REF!&gt;200), "Heavy Doemstic User", IF(#REF!&gt;10, "Interntional User", IF(AND(#REF!&lt;180, #REF!&lt;200,#REF!&lt;200), "Light User", "Balanced User")))</f>
        <v>#REF!</v>
      </c>
      <c r="AC2192" t="e">
        <f>IF(#REF! = 0, "No Usage", IF(#REF! &lt;= 20, "Low Usage", IF(#REF! &lt;= 40, "Medium Usgae", "High Usage")))</f>
        <v>#REF!</v>
      </c>
      <c r="AD2192" t="e">
        <f>IF(#REF!&lt;=150,"Low Usage", IF(#REF!&lt;=200,"Medium Usage", IF(#REF!&lt;=250,"High Usage","Very High Usage")))</f>
        <v>#REF!</v>
      </c>
      <c r="AE2192" t="e">
        <f>IF(#REF!&lt;=5,"Low Calls", IF(#REF!&lt;=10, "Medium Calls", "High Calls"))</f>
        <v>#REF!</v>
      </c>
      <c r="AF2192" t="e">
        <f xml:space="preserve">
IF(#REF!&gt;=4,4,0)+
IF(#REF!="yes",3,0)+
IF(#REF!="High Charges",3,0)+
IF(#REF!&gt;250,4,0)+
IF(#REF!="no",1,0)+
IF(#REF!="Heavy Domestic User",2,0)</f>
        <v>#REF!</v>
      </c>
      <c r="AG2192" t="e">
        <f>IF(#REF!&gt;=10,"High Risk", IF(#REF!&gt;=5,"Medium Risk","Low Risk"))</f>
        <v>#REF!</v>
      </c>
      <c r="AH2192" t="e">
        <f>#REF! + #REF! + #REF! + #REF!</f>
        <v>#REF!</v>
      </c>
    </row>
    <row r="2193" spans="1:34" x14ac:dyDescent="0.35">
      <c r="A2193">
        <v>2192</v>
      </c>
      <c r="B2193" t="s">
        <v>26</v>
      </c>
      <c r="C2193">
        <v>116</v>
      </c>
      <c r="D2193" t="s">
        <v>28</v>
      </c>
      <c r="E2193" t="s">
        <v>22</v>
      </c>
      <c r="F2193" t="s">
        <v>22</v>
      </c>
      <c r="G2193">
        <v>0</v>
      </c>
      <c r="H2193">
        <v>205</v>
      </c>
      <c r="I2193">
        <v>90</v>
      </c>
      <c r="J2193">
        <v>34.85</v>
      </c>
      <c r="K2193">
        <v>140.9</v>
      </c>
      <c r="L2193">
        <v>114</v>
      </c>
      <c r="M2193">
        <v>11.98</v>
      </c>
      <c r="N2193">
        <v>272.60000000000002</v>
      </c>
      <c r="O2193">
        <v>96</v>
      </c>
      <c r="P2193">
        <v>12.27</v>
      </c>
      <c r="Q2193">
        <v>7.5</v>
      </c>
      <c r="R2193">
        <v>4</v>
      </c>
      <c r="S2193">
        <v>2.0299999999999998</v>
      </c>
      <c r="T2193">
        <v>2</v>
      </c>
      <c r="U2193" t="s">
        <v>22</v>
      </c>
      <c r="V2193" t="e">
        <f>IF(#REF! = "yes", 1, 0)</f>
        <v>#REF!</v>
      </c>
      <c r="W2193" t="e">
        <f>IF(#REF! &lt;= 1, "0-1 Calls", IF(#REF! &lt;= 3, "2-3 Calls", IF(#REF! &lt;=5, "4-5 Calls", "6+ Calls")))</f>
        <v>#REF!</v>
      </c>
      <c r="X2193" t="e">
        <f>IF(#REF! &lt;= 50, "0-50", IF(#REF! &lt;=100, "51-100", IF(#REF! &lt;= 150, "101-150", "151+")))</f>
        <v>#REF!</v>
      </c>
      <c r="Y2193" t="e">
        <f>IF(#REF! &lt;= 3, "Low Charges", "High Charges")</f>
        <v>#REF!</v>
      </c>
      <c r="Z2193" t="e">
        <f>IF(#REF!&lt;=80,"Low Calls",
IF(#REF!&lt;=120,"Medium Calls","High Calls"))</f>
        <v>#REF!</v>
      </c>
      <c r="AA2193" t="e">
        <f>IF(#REF!&lt;=15,"Low Charges",
IF(#REF!&lt;=20,"Medium Charges","High Charges"))</f>
        <v>#REF!</v>
      </c>
      <c r="AB2193" t="e">
        <f>IF(AND(#REF!&gt;180, #REF!&gt;200), "Heavy Doemstic User", IF(#REF!&gt;10, "Interntional User", IF(AND(#REF!&lt;180, #REF!&lt;200,#REF!&lt;200), "Light User", "Balanced User")))</f>
        <v>#REF!</v>
      </c>
      <c r="AC2193" t="e">
        <f>IF(#REF! = 0, "No Usage", IF(#REF! &lt;= 20, "Low Usage", IF(#REF! &lt;= 40, "Medium Usgae", "High Usage")))</f>
        <v>#REF!</v>
      </c>
      <c r="AD2193" t="e">
        <f>IF(#REF!&lt;=150,"Low Usage", IF(#REF!&lt;=200,"Medium Usage", IF(#REF!&lt;=250,"High Usage","Very High Usage")))</f>
        <v>#REF!</v>
      </c>
      <c r="AE2193" t="e">
        <f>IF(#REF!&lt;=5,"Low Calls", IF(#REF!&lt;=10, "Medium Calls", "High Calls"))</f>
        <v>#REF!</v>
      </c>
      <c r="AF2193" t="e">
        <f xml:space="preserve">
IF(#REF!&gt;=4,4,0)+
IF(#REF!="yes",3,0)+
IF(#REF!="High Charges",3,0)+
IF(#REF!&gt;250,4,0)+
IF(#REF!="no",1,0)+
IF(#REF!="Heavy Domestic User",2,0)</f>
        <v>#REF!</v>
      </c>
      <c r="AG2193" t="e">
        <f>IF(#REF!&gt;=10,"High Risk", IF(#REF!&gt;=5,"Medium Risk","Low Risk"))</f>
        <v>#REF!</v>
      </c>
      <c r="AH2193" t="e">
        <f>#REF! + #REF! + #REF! + #REF!</f>
        <v>#REF!</v>
      </c>
    </row>
    <row r="2194" spans="1:34" x14ac:dyDescent="0.35">
      <c r="A2194">
        <v>2193</v>
      </c>
      <c r="B2194" t="s">
        <v>48</v>
      </c>
      <c r="C2194">
        <v>64</v>
      </c>
      <c r="D2194" t="s">
        <v>28</v>
      </c>
      <c r="E2194" t="s">
        <v>22</v>
      </c>
      <c r="F2194" t="s">
        <v>22</v>
      </c>
      <c r="G2194">
        <v>0</v>
      </c>
      <c r="H2194">
        <v>216.9</v>
      </c>
      <c r="I2194">
        <v>78</v>
      </c>
      <c r="J2194">
        <v>36.869999999999997</v>
      </c>
      <c r="K2194">
        <v>211</v>
      </c>
      <c r="L2194">
        <v>115</v>
      </c>
      <c r="M2194">
        <v>17.940000000000001</v>
      </c>
      <c r="N2194">
        <v>179.8</v>
      </c>
      <c r="O2194">
        <v>116</v>
      </c>
      <c r="P2194">
        <v>8.09</v>
      </c>
      <c r="Q2194">
        <v>11.4</v>
      </c>
      <c r="R2194">
        <v>5</v>
      </c>
      <c r="S2194">
        <v>3.08</v>
      </c>
      <c r="T2194">
        <v>3</v>
      </c>
      <c r="U2194" t="s">
        <v>22</v>
      </c>
      <c r="V2194" t="e">
        <f>IF(#REF! = "yes", 1, 0)</f>
        <v>#REF!</v>
      </c>
      <c r="W2194" t="e">
        <f>IF(#REF! &lt;= 1, "0-1 Calls", IF(#REF! &lt;= 3, "2-3 Calls", IF(#REF! &lt;=5, "4-5 Calls", "6+ Calls")))</f>
        <v>#REF!</v>
      </c>
      <c r="X2194" t="e">
        <f>IF(#REF! &lt;= 50, "0-50", IF(#REF! &lt;=100, "51-100", IF(#REF! &lt;= 150, "101-150", "151+")))</f>
        <v>#REF!</v>
      </c>
      <c r="Y2194" t="e">
        <f>IF(#REF! &lt;= 3, "Low Charges", "High Charges")</f>
        <v>#REF!</v>
      </c>
      <c r="Z2194" t="e">
        <f>IF(#REF!&lt;=80,"Low Calls",
IF(#REF!&lt;=120,"Medium Calls","High Calls"))</f>
        <v>#REF!</v>
      </c>
      <c r="AA2194" t="e">
        <f>IF(#REF!&lt;=15,"Low Charges",
IF(#REF!&lt;=20,"Medium Charges","High Charges"))</f>
        <v>#REF!</v>
      </c>
      <c r="AB2194" t="e">
        <f>IF(AND(#REF!&gt;180, #REF!&gt;200), "Heavy Doemstic User", IF(#REF!&gt;10, "Interntional User", IF(AND(#REF!&lt;180, #REF!&lt;200,#REF!&lt;200), "Light User", "Balanced User")))</f>
        <v>#REF!</v>
      </c>
      <c r="AC2194" t="e">
        <f>IF(#REF! = 0, "No Usage", IF(#REF! &lt;= 20, "Low Usage", IF(#REF! &lt;= 40, "Medium Usgae", "High Usage")))</f>
        <v>#REF!</v>
      </c>
      <c r="AD2194" t="e">
        <f>IF(#REF!&lt;=150,"Low Usage", IF(#REF!&lt;=200,"Medium Usage", IF(#REF!&lt;=250,"High Usage","Very High Usage")))</f>
        <v>#REF!</v>
      </c>
      <c r="AE2194" t="e">
        <f>IF(#REF!&lt;=5,"Low Calls", IF(#REF!&lt;=10, "Medium Calls", "High Calls"))</f>
        <v>#REF!</v>
      </c>
      <c r="AF2194" t="e">
        <f xml:space="preserve">
IF(#REF!&gt;=4,4,0)+
IF(#REF!="yes",3,0)+
IF(#REF!="High Charges",3,0)+
IF(#REF!&gt;250,4,0)+
IF(#REF!="no",1,0)+
IF(#REF!="Heavy Domestic User",2,0)</f>
        <v>#REF!</v>
      </c>
      <c r="AG2194" t="e">
        <f>IF(#REF!&gt;=10,"High Risk", IF(#REF!&gt;=5,"Medium Risk","Low Risk"))</f>
        <v>#REF!</v>
      </c>
      <c r="AH2194" t="e">
        <f>#REF! + #REF! + #REF! + #REF!</f>
        <v>#REF!</v>
      </c>
    </row>
    <row r="2195" spans="1:34" x14ac:dyDescent="0.35">
      <c r="A2195">
        <v>2194</v>
      </c>
      <c r="B2195" t="s">
        <v>24</v>
      </c>
      <c r="C2195">
        <v>96</v>
      </c>
      <c r="D2195" t="s">
        <v>28</v>
      </c>
      <c r="E2195" t="s">
        <v>22</v>
      </c>
      <c r="F2195" t="s">
        <v>22</v>
      </c>
      <c r="G2195">
        <v>0</v>
      </c>
      <c r="H2195">
        <v>150</v>
      </c>
      <c r="I2195">
        <v>122</v>
      </c>
      <c r="J2195">
        <v>25.5</v>
      </c>
      <c r="K2195">
        <v>218.5</v>
      </c>
      <c r="L2195">
        <v>116</v>
      </c>
      <c r="M2195">
        <v>18.57</v>
      </c>
      <c r="N2195">
        <v>212.4</v>
      </c>
      <c r="O2195">
        <v>89</v>
      </c>
      <c r="P2195">
        <v>9.56</v>
      </c>
      <c r="Q2195">
        <v>9.8000000000000007</v>
      </c>
      <c r="R2195">
        <v>1</v>
      </c>
      <c r="S2195">
        <v>2.65</v>
      </c>
      <c r="T2195">
        <v>3</v>
      </c>
      <c r="U2195" t="s">
        <v>22</v>
      </c>
      <c r="V2195" t="e">
        <f>IF(#REF! = "yes", 1, 0)</f>
        <v>#REF!</v>
      </c>
      <c r="W2195" t="e">
        <f>IF(#REF! &lt;= 1, "0-1 Calls", IF(#REF! &lt;= 3, "2-3 Calls", IF(#REF! &lt;=5, "4-5 Calls", "6+ Calls")))</f>
        <v>#REF!</v>
      </c>
      <c r="X2195" t="e">
        <f>IF(#REF! &lt;= 50, "0-50", IF(#REF! &lt;=100, "51-100", IF(#REF! &lt;= 150, "101-150", "151+")))</f>
        <v>#REF!</v>
      </c>
      <c r="Y2195" t="e">
        <f>IF(#REF! &lt;= 3, "Low Charges", "High Charges")</f>
        <v>#REF!</v>
      </c>
      <c r="Z2195" t="e">
        <f>IF(#REF!&lt;=80,"Low Calls",
IF(#REF!&lt;=120,"Medium Calls","High Calls"))</f>
        <v>#REF!</v>
      </c>
      <c r="AA2195" t="e">
        <f>IF(#REF!&lt;=15,"Low Charges",
IF(#REF!&lt;=20,"Medium Charges","High Charges"))</f>
        <v>#REF!</v>
      </c>
      <c r="AB2195" t="e">
        <f>IF(AND(#REF!&gt;180, #REF!&gt;200), "Heavy Doemstic User", IF(#REF!&gt;10, "Interntional User", IF(AND(#REF!&lt;180, #REF!&lt;200,#REF!&lt;200), "Light User", "Balanced User")))</f>
        <v>#REF!</v>
      </c>
      <c r="AC2195" t="e">
        <f>IF(#REF! = 0, "No Usage", IF(#REF! &lt;= 20, "Low Usage", IF(#REF! &lt;= 40, "Medium Usgae", "High Usage")))</f>
        <v>#REF!</v>
      </c>
      <c r="AD2195" t="e">
        <f>IF(#REF!&lt;=150,"Low Usage", IF(#REF!&lt;=200,"Medium Usage", IF(#REF!&lt;=250,"High Usage","Very High Usage")))</f>
        <v>#REF!</v>
      </c>
      <c r="AE2195" t="e">
        <f>IF(#REF!&lt;=5,"Low Calls", IF(#REF!&lt;=10, "Medium Calls", "High Calls"))</f>
        <v>#REF!</v>
      </c>
      <c r="AF2195" t="e">
        <f xml:space="preserve">
IF(#REF!&gt;=4,4,0)+
IF(#REF!="yes",3,0)+
IF(#REF!="High Charges",3,0)+
IF(#REF!&gt;250,4,0)+
IF(#REF!="no",1,0)+
IF(#REF!="Heavy Domestic User",2,0)</f>
        <v>#REF!</v>
      </c>
      <c r="AG2195" t="e">
        <f>IF(#REF!&gt;=10,"High Risk", IF(#REF!&gt;=5,"Medium Risk","Low Risk"))</f>
        <v>#REF!</v>
      </c>
      <c r="AH2195" t="e">
        <f>#REF! + #REF! + #REF! + #REF!</f>
        <v>#REF!</v>
      </c>
    </row>
    <row r="2196" spans="1:34" x14ac:dyDescent="0.35">
      <c r="A2196">
        <v>2195</v>
      </c>
      <c r="B2196" t="s">
        <v>60</v>
      </c>
      <c r="C2196">
        <v>53</v>
      </c>
      <c r="D2196" t="s">
        <v>21</v>
      </c>
      <c r="E2196" t="s">
        <v>22</v>
      </c>
      <c r="F2196" t="s">
        <v>22</v>
      </c>
      <c r="G2196">
        <v>0</v>
      </c>
      <c r="H2196">
        <v>164.1</v>
      </c>
      <c r="I2196">
        <v>106</v>
      </c>
      <c r="J2196">
        <v>27.9</v>
      </c>
      <c r="K2196">
        <v>206</v>
      </c>
      <c r="L2196">
        <v>56</v>
      </c>
      <c r="M2196">
        <v>17.510000000000002</v>
      </c>
      <c r="N2196">
        <v>194.7</v>
      </c>
      <c r="O2196">
        <v>124</v>
      </c>
      <c r="P2196">
        <v>8.76</v>
      </c>
      <c r="Q2196">
        <v>11.4</v>
      </c>
      <c r="R2196">
        <v>2</v>
      </c>
      <c r="S2196">
        <v>3.08</v>
      </c>
      <c r="T2196">
        <v>1</v>
      </c>
      <c r="U2196" t="s">
        <v>22</v>
      </c>
      <c r="V2196" t="e">
        <f>IF(#REF! = "yes", 1, 0)</f>
        <v>#REF!</v>
      </c>
      <c r="W2196" t="e">
        <f>IF(#REF! &lt;= 1, "0-1 Calls", IF(#REF! &lt;= 3, "2-3 Calls", IF(#REF! &lt;=5, "4-5 Calls", "6+ Calls")))</f>
        <v>#REF!</v>
      </c>
      <c r="X2196" t="e">
        <f>IF(#REF! &lt;= 50, "0-50", IF(#REF! &lt;=100, "51-100", IF(#REF! &lt;= 150, "101-150", "151+")))</f>
        <v>#REF!</v>
      </c>
      <c r="Y2196" t="e">
        <f>IF(#REF! &lt;= 3, "Low Charges", "High Charges")</f>
        <v>#REF!</v>
      </c>
      <c r="Z2196" t="e">
        <f>IF(#REF!&lt;=80,"Low Calls",
IF(#REF!&lt;=120,"Medium Calls","High Calls"))</f>
        <v>#REF!</v>
      </c>
      <c r="AA2196" t="e">
        <f>IF(#REF!&lt;=15,"Low Charges",
IF(#REF!&lt;=20,"Medium Charges","High Charges"))</f>
        <v>#REF!</v>
      </c>
      <c r="AB2196" t="e">
        <f>IF(AND(#REF!&gt;180, #REF!&gt;200), "Heavy Doemstic User", IF(#REF!&gt;10, "Interntional User", IF(AND(#REF!&lt;180, #REF!&lt;200,#REF!&lt;200), "Light User", "Balanced User")))</f>
        <v>#REF!</v>
      </c>
      <c r="AC2196" t="e">
        <f>IF(#REF! = 0, "No Usage", IF(#REF! &lt;= 20, "Low Usage", IF(#REF! &lt;= 40, "Medium Usgae", "High Usage")))</f>
        <v>#REF!</v>
      </c>
      <c r="AD2196" t="e">
        <f>IF(#REF!&lt;=150,"Low Usage", IF(#REF!&lt;=200,"Medium Usage", IF(#REF!&lt;=250,"High Usage","Very High Usage")))</f>
        <v>#REF!</v>
      </c>
      <c r="AE2196" t="e">
        <f>IF(#REF!&lt;=5,"Low Calls", IF(#REF!&lt;=10, "Medium Calls", "High Calls"))</f>
        <v>#REF!</v>
      </c>
      <c r="AF2196" t="e">
        <f xml:space="preserve">
IF(#REF!&gt;=4,4,0)+
IF(#REF!="yes",3,0)+
IF(#REF!="High Charges",3,0)+
IF(#REF!&gt;250,4,0)+
IF(#REF!="no",1,0)+
IF(#REF!="Heavy Domestic User",2,0)</f>
        <v>#REF!</v>
      </c>
      <c r="AG2196" t="e">
        <f>IF(#REF!&gt;=10,"High Risk", IF(#REF!&gt;=5,"Medium Risk","Low Risk"))</f>
        <v>#REF!</v>
      </c>
      <c r="AH2196" t="e">
        <f>#REF! + #REF! + #REF! + #REF!</f>
        <v>#REF!</v>
      </c>
    </row>
    <row r="2197" spans="1:34" x14ac:dyDescent="0.35">
      <c r="A2197">
        <v>2196</v>
      </c>
      <c r="B2197" t="s">
        <v>66</v>
      </c>
      <c r="C2197">
        <v>105</v>
      </c>
      <c r="D2197" t="s">
        <v>28</v>
      </c>
      <c r="E2197" t="s">
        <v>22</v>
      </c>
      <c r="F2197" t="s">
        <v>22</v>
      </c>
      <c r="G2197">
        <v>0</v>
      </c>
      <c r="H2197">
        <v>212</v>
      </c>
      <c r="I2197">
        <v>113</v>
      </c>
      <c r="J2197">
        <v>36.04</v>
      </c>
      <c r="K2197">
        <v>226.6</v>
      </c>
      <c r="L2197">
        <v>128</v>
      </c>
      <c r="M2197">
        <v>19.260000000000002</v>
      </c>
      <c r="N2197">
        <v>193.6</v>
      </c>
      <c r="O2197">
        <v>114</v>
      </c>
      <c r="P2197">
        <v>8.7100000000000009</v>
      </c>
      <c r="Q2197">
        <v>8.9</v>
      </c>
      <c r="R2197">
        <v>7</v>
      </c>
      <c r="S2197">
        <v>2.4</v>
      </c>
      <c r="T2197">
        <v>3</v>
      </c>
      <c r="U2197" t="s">
        <v>22</v>
      </c>
      <c r="V2197" t="e">
        <f>IF(#REF! = "yes", 1, 0)</f>
        <v>#REF!</v>
      </c>
      <c r="W2197" t="e">
        <f>IF(#REF! &lt;= 1, "0-1 Calls", IF(#REF! &lt;= 3, "2-3 Calls", IF(#REF! &lt;=5, "4-5 Calls", "6+ Calls")))</f>
        <v>#REF!</v>
      </c>
      <c r="X2197" t="e">
        <f>IF(#REF! &lt;= 50, "0-50", IF(#REF! &lt;=100, "51-100", IF(#REF! &lt;= 150, "101-150", "151+")))</f>
        <v>#REF!</v>
      </c>
      <c r="Y2197" t="e">
        <f>IF(#REF! &lt;= 3, "Low Charges", "High Charges")</f>
        <v>#REF!</v>
      </c>
      <c r="Z2197" t="e">
        <f>IF(#REF!&lt;=80,"Low Calls",
IF(#REF!&lt;=120,"Medium Calls","High Calls"))</f>
        <v>#REF!</v>
      </c>
      <c r="AA2197" t="e">
        <f>IF(#REF!&lt;=15,"Low Charges",
IF(#REF!&lt;=20,"Medium Charges","High Charges"))</f>
        <v>#REF!</v>
      </c>
      <c r="AB2197" t="e">
        <f>IF(AND(#REF!&gt;180, #REF!&gt;200), "Heavy Doemstic User", IF(#REF!&gt;10, "Interntional User", IF(AND(#REF!&lt;180, #REF!&lt;200,#REF!&lt;200), "Light User", "Balanced User")))</f>
        <v>#REF!</v>
      </c>
      <c r="AC2197" t="e">
        <f>IF(#REF! = 0, "No Usage", IF(#REF! &lt;= 20, "Low Usage", IF(#REF! &lt;= 40, "Medium Usgae", "High Usage")))</f>
        <v>#REF!</v>
      </c>
      <c r="AD2197" t="e">
        <f>IF(#REF!&lt;=150,"Low Usage", IF(#REF!&lt;=200,"Medium Usage", IF(#REF!&lt;=250,"High Usage","Very High Usage")))</f>
        <v>#REF!</v>
      </c>
      <c r="AE2197" t="e">
        <f>IF(#REF!&lt;=5,"Low Calls", IF(#REF!&lt;=10, "Medium Calls", "High Calls"))</f>
        <v>#REF!</v>
      </c>
      <c r="AF2197" t="e">
        <f xml:space="preserve">
IF(#REF!&gt;=4,4,0)+
IF(#REF!="yes",3,0)+
IF(#REF!="High Charges",3,0)+
IF(#REF!&gt;250,4,0)+
IF(#REF!="no",1,0)+
IF(#REF!="Heavy Domestic User",2,0)</f>
        <v>#REF!</v>
      </c>
      <c r="AG2197" t="e">
        <f>IF(#REF!&gt;=10,"High Risk", IF(#REF!&gt;=5,"Medium Risk","Low Risk"))</f>
        <v>#REF!</v>
      </c>
      <c r="AH2197" t="e">
        <f>#REF! + #REF! + #REF! + #REF!</f>
        <v>#REF!</v>
      </c>
    </row>
    <row r="2198" spans="1:34" x14ac:dyDescent="0.35">
      <c r="A2198">
        <v>2197</v>
      </c>
      <c r="B2198" t="s">
        <v>53</v>
      </c>
      <c r="C2198">
        <v>53</v>
      </c>
      <c r="D2198" t="s">
        <v>28</v>
      </c>
      <c r="E2198" t="s">
        <v>22</v>
      </c>
      <c r="F2198" t="s">
        <v>23</v>
      </c>
      <c r="G2198">
        <v>37</v>
      </c>
      <c r="H2198">
        <v>167.3</v>
      </c>
      <c r="I2198">
        <v>99</v>
      </c>
      <c r="J2198">
        <v>28.44</v>
      </c>
      <c r="K2198">
        <v>194.7</v>
      </c>
      <c r="L2198">
        <v>99</v>
      </c>
      <c r="M2198">
        <v>16.55</v>
      </c>
      <c r="N2198">
        <v>236.7</v>
      </c>
      <c r="O2198">
        <v>112</v>
      </c>
      <c r="P2198">
        <v>10.65</v>
      </c>
      <c r="Q2198">
        <v>12</v>
      </c>
      <c r="R2198">
        <v>9</v>
      </c>
      <c r="S2198">
        <v>3.24</v>
      </c>
      <c r="T2198">
        <v>2</v>
      </c>
      <c r="U2198" t="s">
        <v>22</v>
      </c>
      <c r="V2198" t="e">
        <f>IF(#REF! = "yes", 1, 0)</f>
        <v>#REF!</v>
      </c>
      <c r="W2198" t="e">
        <f>IF(#REF! &lt;= 1, "0-1 Calls", IF(#REF! &lt;= 3, "2-3 Calls", IF(#REF! &lt;=5, "4-5 Calls", "6+ Calls")))</f>
        <v>#REF!</v>
      </c>
      <c r="X2198" t="e">
        <f>IF(#REF! &lt;= 50, "0-50", IF(#REF! &lt;=100, "51-100", IF(#REF! &lt;= 150, "101-150", "151+")))</f>
        <v>#REF!</v>
      </c>
      <c r="Y2198" t="e">
        <f>IF(#REF! &lt;= 3, "Low Charges", "High Charges")</f>
        <v>#REF!</v>
      </c>
      <c r="Z2198" t="e">
        <f>IF(#REF!&lt;=80,"Low Calls",
IF(#REF!&lt;=120,"Medium Calls","High Calls"))</f>
        <v>#REF!</v>
      </c>
      <c r="AA2198" t="e">
        <f>IF(#REF!&lt;=15,"Low Charges",
IF(#REF!&lt;=20,"Medium Charges","High Charges"))</f>
        <v>#REF!</v>
      </c>
      <c r="AB2198" t="e">
        <f>IF(AND(#REF!&gt;180, #REF!&gt;200), "Heavy Doemstic User", IF(#REF!&gt;10, "Interntional User", IF(AND(#REF!&lt;180, #REF!&lt;200,#REF!&lt;200), "Light User", "Balanced User")))</f>
        <v>#REF!</v>
      </c>
      <c r="AC2198" t="e">
        <f>IF(#REF! = 0, "No Usage", IF(#REF! &lt;= 20, "Low Usage", IF(#REF! &lt;= 40, "Medium Usgae", "High Usage")))</f>
        <v>#REF!</v>
      </c>
      <c r="AD2198" t="e">
        <f>IF(#REF!&lt;=150,"Low Usage", IF(#REF!&lt;=200,"Medium Usage", IF(#REF!&lt;=250,"High Usage","Very High Usage")))</f>
        <v>#REF!</v>
      </c>
      <c r="AE2198" t="e">
        <f>IF(#REF!&lt;=5,"Low Calls", IF(#REF!&lt;=10, "Medium Calls", "High Calls"))</f>
        <v>#REF!</v>
      </c>
      <c r="AF2198" t="e">
        <f xml:space="preserve">
IF(#REF!&gt;=4,4,0)+
IF(#REF!="yes",3,0)+
IF(#REF!="High Charges",3,0)+
IF(#REF!&gt;250,4,0)+
IF(#REF!="no",1,0)+
IF(#REF!="Heavy Domestic User",2,0)</f>
        <v>#REF!</v>
      </c>
      <c r="AG2198" t="e">
        <f>IF(#REF!&gt;=10,"High Risk", IF(#REF!&gt;=5,"Medium Risk","Low Risk"))</f>
        <v>#REF!</v>
      </c>
      <c r="AH2198" t="e">
        <f>#REF! + #REF! + #REF! + #REF!</f>
        <v>#REF!</v>
      </c>
    </row>
    <row r="2199" spans="1:34" x14ac:dyDescent="0.35">
      <c r="A2199">
        <v>2198</v>
      </c>
      <c r="B2199" t="s">
        <v>35</v>
      </c>
      <c r="C2199">
        <v>101</v>
      </c>
      <c r="D2199" t="s">
        <v>21</v>
      </c>
      <c r="E2199" t="s">
        <v>22</v>
      </c>
      <c r="F2199" t="s">
        <v>22</v>
      </c>
      <c r="G2199">
        <v>0</v>
      </c>
      <c r="H2199">
        <v>154.4</v>
      </c>
      <c r="I2199">
        <v>130</v>
      </c>
      <c r="J2199">
        <v>26.25</v>
      </c>
      <c r="K2199">
        <v>217.2</v>
      </c>
      <c r="L2199">
        <v>101</v>
      </c>
      <c r="M2199">
        <v>18.46</v>
      </c>
      <c r="N2199">
        <v>185.4</v>
      </c>
      <c r="O2199">
        <v>52</v>
      </c>
      <c r="P2199">
        <v>8.34</v>
      </c>
      <c r="Q2199">
        <v>13.9</v>
      </c>
      <c r="R2199">
        <v>4</v>
      </c>
      <c r="S2199">
        <v>3.75</v>
      </c>
      <c r="T2199">
        <v>1</v>
      </c>
      <c r="U2199" t="s">
        <v>22</v>
      </c>
      <c r="V2199" t="e">
        <f>IF(#REF! = "yes", 1, 0)</f>
        <v>#REF!</v>
      </c>
      <c r="W2199" t="e">
        <f>IF(#REF! &lt;= 1, "0-1 Calls", IF(#REF! &lt;= 3, "2-3 Calls", IF(#REF! &lt;=5, "4-5 Calls", "6+ Calls")))</f>
        <v>#REF!</v>
      </c>
      <c r="X2199" t="e">
        <f>IF(#REF! &lt;= 50, "0-50", IF(#REF! &lt;=100, "51-100", IF(#REF! &lt;= 150, "101-150", "151+")))</f>
        <v>#REF!</v>
      </c>
      <c r="Y2199" t="e">
        <f>IF(#REF! &lt;= 3, "Low Charges", "High Charges")</f>
        <v>#REF!</v>
      </c>
      <c r="Z2199" t="e">
        <f>IF(#REF!&lt;=80,"Low Calls",
IF(#REF!&lt;=120,"Medium Calls","High Calls"))</f>
        <v>#REF!</v>
      </c>
      <c r="AA2199" t="e">
        <f>IF(#REF!&lt;=15,"Low Charges",
IF(#REF!&lt;=20,"Medium Charges","High Charges"))</f>
        <v>#REF!</v>
      </c>
      <c r="AB2199" t="e">
        <f>IF(AND(#REF!&gt;180, #REF!&gt;200), "Heavy Doemstic User", IF(#REF!&gt;10, "Interntional User", IF(AND(#REF!&lt;180, #REF!&lt;200,#REF!&lt;200), "Light User", "Balanced User")))</f>
        <v>#REF!</v>
      </c>
      <c r="AC2199" t="e">
        <f>IF(#REF! = 0, "No Usage", IF(#REF! &lt;= 20, "Low Usage", IF(#REF! &lt;= 40, "Medium Usgae", "High Usage")))</f>
        <v>#REF!</v>
      </c>
      <c r="AD2199" t="e">
        <f>IF(#REF!&lt;=150,"Low Usage", IF(#REF!&lt;=200,"Medium Usage", IF(#REF!&lt;=250,"High Usage","Very High Usage")))</f>
        <v>#REF!</v>
      </c>
      <c r="AE2199" t="e">
        <f>IF(#REF!&lt;=5,"Low Calls", IF(#REF!&lt;=10, "Medium Calls", "High Calls"))</f>
        <v>#REF!</v>
      </c>
      <c r="AF2199" t="e">
        <f xml:space="preserve">
IF(#REF!&gt;=4,4,0)+
IF(#REF!="yes",3,0)+
IF(#REF!="High Charges",3,0)+
IF(#REF!&gt;250,4,0)+
IF(#REF!="no",1,0)+
IF(#REF!="Heavy Domestic User",2,0)</f>
        <v>#REF!</v>
      </c>
      <c r="AG2199" t="e">
        <f>IF(#REF!&gt;=10,"High Risk", IF(#REF!&gt;=5,"Medium Risk","Low Risk"))</f>
        <v>#REF!</v>
      </c>
      <c r="AH2199" t="e">
        <f>#REF! + #REF! + #REF! + #REF!</f>
        <v>#REF!</v>
      </c>
    </row>
    <row r="2200" spans="1:34" x14ac:dyDescent="0.35">
      <c r="A2200">
        <v>2199</v>
      </c>
      <c r="B2200" t="s">
        <v>69</v>
      </c>
      <c r="C2200">
        <v>129</v>
      </c>
      <c r="D2200" t="s">
        <v>28</v>
      </c>
      <c r="E2200" t="s">
        <v>22</v>
      </c>
      <c r="F2200" t="s">
        <v>23</v>
      </c>
      <c r="G2200">
        <v>30</v>
      </c>
      <c r="H2200">
        <v>177.3</v>
      </c>
      <c r="I2200">
        <v>95</v>
      </c>
      <c r="J2200">
        <v>30.14</v>
      </c>
      <c r="K2200">
        <v>211.8</v>
      </c>
      <c r="L2200">
        <v>102</v>
      </c>
      <c r="M2200">
        <v>18</v>
      </c>
      <c r="N2200">
        <v>240.2</v>
      </c>
      <c r="O2200">
        <v>108</v>
      </c>
      <c r="P2200">
        <v>10.81</v>
      </c>
      <c r="Q2200">
        <v>9.3000000000000007</v>
      </c>
      <c r="R2200">
        <v>7</v>
      </c>
      <c r="S2200">
        <v>2.5099999999999998</v>
      </c>
      <c r="T2200">
        <v>3</v>
      </c>
      <c r="U2200" t="s">
        <v>22</v>
      </c>
      <c r="V2200" t="e">
        <f>IF(#REF! = "yes", 1, 0)</f>
        <v>#REF!</v>
      </c>
      <c r="W2200" t="e">
        <f>IF(#REF! &lt;= 1, "0-1 Calls", IF(#REF! &lt;= 3, "2-3 Calls", IF(#REF! &lt;=5, "4-5 Calls", "6+ Calls")))</f>
        <v>#REF!</v>
      </c>
      <c r="X2200" t="e">
        <f>IF(#REF! &lt;= 50, "0-50", IF(#REF! &lt;=100, "51-100", IF(#REF! &lt;= 150, "101-150", "151+")))</f>
        <v>#REF!</v>
      </c>
      <c r="Y2200" t="e">
        <f>IF(#REF! &lt;= 3, "Low Charges", "High Charges")</f>
        <v>#REF!</v>
      </c>
      <c r="Z2200" t="e">
        <f>IF(#REF!&lt;=80,"Low Calls",
IF(#REF!&lt;=120,"Medium Calls","High Calls"))</f>
        <v>#REF!</v>
      </c>
      <c r="AA2200" t="e">
        <f>IF(#REF!&lt;=15,"Low Charges",
IF(#REF!&lt;=20,"Medium Charges","High Charges"))</f>
        <v>#REF!</v>
      </c>
      <c r="AB2200" t="e">
        <f>IF(AND(#REF!&gt;180, #REF!&gt;200), "Heavy Doemstic User", IF(#REF!&gt;10, "Interntional User", IF(AND(#REF!&lt;180, #REF!&lt;200,#REF!&lt;200), "Light User", "Balanced User")))</f>
        <v>#REF!</v>
      </c>
      <c r="AC2200" t="e">
        <f>IF(#REF! = 0, "No Usage", IF(#REF! &lt;= 20, "Low Usage", IF(#REF! &lt;= 40, "Medium Usgae", "High Usage")))</f>
        <v>#REF!</v>
      </c>
      <c r="AD2200" t="e">
        <f>IF(#REF!&lt;=150,"Low Usage", IF(#REF!&lt;=200,"Medium Usage", IF(#REF!&lt;=250,"High Usage","Very High Usage")))</f>
        <v>#REF!</v>
      </c>
      <c r="AE2200" t="e">
        <f>IF(#REF!&lt;=5,"Low Calls", IF(#REF!&lt;=10, "Medium Calls", "High Calls"))</f>
        <v>#REF!</v>
      </c>
      <c r="AF2200" t="e">
        <f xml:space="preserve">
IF(#REF!&gt;=4,4,0)+
IF(#REF!="yes",3,0)+
IF(#REF!="High Charges",3,0)+
IF(#REF!&gt;250,4,0)+
IF(#REF!="no",1,0)+
IF(#REF!="Heavy Domestic User",2,0)</f>
        <v>#REF!</v>
      </c>
      <c r="AG2200" t="e">
        <f>IF(#REF!&gt;=10,"High Risk", IF(#REF!&gt;=5,"Medium Risk","Low Risk"))</f>
        <v>#REF!</v>
      </c>
      <c r="AH2200" t="e">
        <f>#REF! + #REF! + #REF! + #REF!</f>
        <v>#REF!</v>
      </c>
    </row>
    <row r="2201" spans="1:34" x14ac:dyDescent="0.35">
      <c r="A2201">
        <v>2200</v>
      </c>
      <c r="B2201" t="s">
        <v>75</v>
      </c>
      <c r="C2201">
        <v>122</v>
      </c>
      <c r="D2201" t="s">
        <v>25</v>
      </c>
      <c r="E2201" t="s">
        <v>22</v>
      </c>
      <c r="F2201" t="s">
        <v>22</v>
      </c>
      <c r="G2201">
        <v>0</v>
      </c>
      <c r="H2201">
        <v>231.2</v>
      </c>
      <c r="I2201">
        <v>141</v>
      </c>
      <c r="J2201">
        <v>39.299999999999997</v>
      </c>
      <c r="K2201">
        <v>267.8</v>
      </c>
      <c r="L2201">
        <v>136</v>
      </c>
      <c r="M2201">
        <v>22.76</v>
      </c>
      <c r="N2201">
        <v>240.3</v>
      </c>
      <c r="O2201">
        <v>100</v>
      </c>
      <c r="P2201">
        <v>10.81</v>
      </c>
      <c r="Q2201">
        <v>8.8000000000000007</v>
      </c>
      <c r="R2201">
        <v>5</v>
      </c>
      <c r="S2201">
        <v>2.38</v>
      </c>
      <c r="T2201">
        <v>1</v>
      </c>
      <c r="U2201" t="s">
        <v>23</v>
      </c>
      <c r="V2201" t="e">
        <f>IF(#REF! = "yes", 1, 0)</f>
        <v>#REF!</v>
      </c>
      <c r="W2201" t="e">
        <f>IF(#REF! &lt;= 1, "0-1 Calls", IF(#REF! &lt;= 3, "2-3 Calls", IF(#REF! &lt;=5, "4-5 Calls", "6+ Calls")))</f>
        <v>#REF!</v>
      </c>
      <c r="X2201" t="e">
        <f>IF(#REF! &lt;= 50, "0-50", IF(#REF! &lt;=100, "51-100", IF(#REF! &lt;= 150, "101-150", "151+")))</f>
        <v>#REF!</v>
      </c>
      <c r="Y2201" t="e">
        <f>IF(#REF! &lt;= 3, "Low Charges", "High Charges")</f>
        <v>#REF!</v>
      </c>
      <c r="Z2201" t="e">
        <f>IF(#REF!&lt;=80,"Low Calls",
IF(#REF!&lt;=120,"Medium Calls","High Calls"))</f>
        <v>#REF!</v>
      </c>
      <c r="AA2201" t="e">
        <f>IF(#REF!&lt;=15,"Low Charges",
IF(#REF!&lt;=20,"Medium Charges","High Charges"))</f>
        <v>#REF!</v>
      </c>
      <c r="AB2201" t="e">
        <f>IF(AND(#REF!&gt;180, #REF!&gt;200), "Heavy Doemstic User", IF(#REF!&gt;10, "Interntional User", IF(AND(#REF!&lt;180, #REF!&lt;200,#REF!&lt;200), "Light User", "Balanced User")))</f>
        <v>#REF!</v>
      </c>
      <c r="AC2201" t="e">
        <f>IF(#REF! = 0, "No Usage", IF(#REF! &lt;= 20, "Low Usage", IF(#REF! &lt;= 40, "Medium Usgae", "High Usage")))</f>
        <v>#REF!</v>
      </c>
      <c r="AD2201" t="e">
        <f>IF(#REF!&lt;=150,"Low Usage", IF(#REF!&lt;=200,"Medium Usage", IF(#REF!&lt;=250,"High Usage","Very High Usage")))</f>
        <v>#REF!</v>
      </c>
      <c r="AE2201" t="e">
        <f>IF(#REF!&lt;=5,"Low Calls", IF(#REF!&lt;=10, "Medium Calls", "High Calls"))</f>
        <v>#REF!</v>
      </c>
      <c r="AF2201" t="e">
        <f xml:space="preserve">
IF(#REF!&gt;=4,4,0)+
IF(#REF!="yes",3,0)+
IF(#REF!="High Charges",3,0)+
IF(#REF!&gt;250,4,0)+
IF(#REF!="no",1,0)+
IF(#REF!="Heavy Domestic User",2,0)</f>
        <v>#REF!</v>
      </c>
      <c r="AG2201" t="e">
        <f>IF(#REF!&gt;=10,"High Risk", IF(#REF!&gt;=5,"Medium Risk","Low Risk"))</f>
        <v>#REF!</v>
      </c>
      <c r="AH2201" t="e">
        <f>#REF! + #REF! + #REF! + #REF!</f>
        <v>#REF!</v>
      </c>
    </row>
    <row r="2202" spans="1:34" x14ac:dyDescent="0.35">
      <c r="A2202">
        <v>2201</v>
      </c>
      <c r="B2202" t="s">
        <v>38</v>
      </c>
      <c r="C2202">
        <v>163</v>
      </c>
      <c r="D2202" t="s">
        <v>21</v>
      </c>
      <c r="E2202" t="s">
        <v>22</v>
      </c>
      <c r="F2202" t="s">
        <v>22</v>
      </c>
      <c r="G2202">
        <v>0</v>
      </c>
      <c r="H2202">
        <v>202.9</v>
      </c>
      <c r="I2202">
        <v>100</v>
      </c>
      <c r="J2202">
        <v>34.49</v>
      </c>
      <c r="K2202">
        <v>178.6</v>
      </c>
      <c r="L2202">
        <v>46</v>
      </c>
      <c r="M2202">
        <v>15.18</v>
      </c>
      <c r="N2202">
        <v>203.8</v>
      </c>
      <c r="O2202">
        <v>116</v>
      </c>
      <c r="P2202">
        <v>9.17</v>
      </c>
      <c r="Q2202">
        <v>12.8</v>
      </c>
      <c r="R2202">
        <v>3</v>
      </c>
      <c r="S2202">
        <v>3.46</v>
      </c>
      <c r="T2202">
        <v>5</v>
      </c>
      <c r="U2202" t="s">
        <v>22</v>
      </c>
      <c r="V2202" t="e">
        <f>IF(#REF! = "yes", 1, 0)</f>
        <v>#REF!</v>
      </c>
      <c r="W2202" t="e">
        <f>IF(#REF! &lt;= 1, "0-1 Calls", IF(#REF! &lt;= 3, "2-3 Calls", IF(#REF! &lt;=5, "4-5 Calls", "6+ Calls")))</f>
        <v>#REF!</v>
      </c>
      <c r="X2202" t="e">
        <f>IF(#REF! &lt;= 50, "0-50", IF(#REF! &lt;=100, "51-100", IF(#REF! &lt;= 150, "101-150", "151+")))</f>
        <v>#REF!</v>
      </c>
      <c r="Y2202" t="e">
        <f>IF(#REF! &lt;= 3, "Low Charges", "High Charges")</f>
        <v>#REF!</v>
      </c>
      <c r="Z2202" t="e">
        <f>IF(#REF!&lt;=80,"Low Calls",
IF(#REF!&lt;=120,"Medium Calls","High Calls"))</f>
        <v>#REF!</v>
      </c>
      <c r="AA2202" t="e">
        <f>IF(#REF!&lt;=15,"Low Charges",
IF(#REF!&lt;=20,"Medium Charges","High Charges"))</f>
        <v>#REF!</v>
      </c>
      <c r="AB2202" t="e">
        <f>IF(AND(#REF!&gt;180, #REF!&gt;200), "Heavy Doemstic User", IF(#REF!&gt;10, "Interntional User", IF(AND(#REF!&lt;180, #REF!&lt;200,#REF!&lt;200), "Light User", "Balanced User")))</f>
        <v>#REF!</v>
      </c>
      <c r="AC2202" t="e">
        <f>IF(#REF! = 0, "No Usage", IF(#REF! &lt;= 20, "Low Usage", IF(#REF! &lt;= 40, "Medium Usgae", "High Usage")))</f>
        <v>#REF!</v>
      </c>
      <c r="AD2202" t="e">
        <f>IF(#REF!&lt;=150,"Low Usage", IF(#REF!&lt;=200,"Medium Usage", IF(#REF!&lt;=250,"High Usage","Very High Usage")))</f>
        <v>#REF!</v>
      </c>
      <c r="AE2202" t="e">
        <f>IF(#REF!&lt;=5,"Low Calls", IF(#REF!&lt;=10, "Medium Calls", "High Calls"))</f>
        <v>#REF!</v>
      </c>
      <c r="AF2202" t="e">
        <f xml:space="preserve">
IF(#REF!&gt;=4,4,0)+
IF(#REF!="yes",3,0)+
IF(#REF!="High Charges",3,0)+
IF(#REF!&gt;250,4,0)+
IF(#REF!="no",1,0)+
IF(#REF!="Heavy Domestic User",2,0)</f>
        <v>#REF!</v>
      </c>
      <c r="AG2202" t="e">
        <f>IF(#REF!&gt;=10,"High Risk", IF(#REF!&gt;=5,"Medium Risk","Low Risk"))</f>
        <v>#REF!</v>
      </c>
      <c r="AH2202" t="e">
        <f>#REF! + #REF! + #REF! + #REF!</f>
        <v>#REF!</v>
      </c>
    </row>
    <row r="2203" spans="1:34" x14ac:dyDescent="0.35">
      <c r="A2203">
        <v>2202</v>
      </c>
      <c r="B2203" t="s">
        <v>64</v>
      </c>
      <c r="C2203">
        <v>93</v>
      </c>
      <c r="D2203" t="s">
        <v>25</v>
      </c>
      <c r="E2203" t="s">
        <v>22</v>
      </c>
      <c r="F2203" t="s">
        <v>22</v>
      </c>
      <c r="G2203">
        <v>0</v>
      </c>
      <c r="H2203">
        <v>149.6</v>
      </c>
      <c r="I2203">
        <v>120</v>
      </c>
      <c r="J2203">
        <v>25.43</v>
      </c>
      <c r="K2203">
        <v>200.7</v>
      </c>
      <c r="L2203">
        <v>85</v>
      </c>
      <c r="M2203">
        <v>17.059999999999999</v>
      </c>
      <c r="N2203">
        <v>181.2</v>
      </c>
      <c r="O2203">
        <v>107</v>
      </c>
      <c r="P2203">
        <v>8.15</v>
      </c>
      <c r="Q2203">
        <v>14.3</v>
      </c>
      <c r="R2203">
        <v>9</v>
      </c>
      <c r="S2203">
        <v>3.86</v>
      </c>
      <c r="T2203">
        <v>0</v>
      </c>
      <c r="U2203" t="s">
        <v>22</v>
      </c>
      <c r="V2203" t="e">
        <f>IF(#REF! = "yes", 1, 0)</f>
        <v>#REF!</v>
      </c>
      <c r="W2203" t="e">
        <f>IF(#REF! &lt;= 1, "0-1 Calls", IF(#REF! &lt;= 3, "2-3 Calls", IF(#REF! &lt;=5, "4-5 Calls", "6+ Calls")))</f>
        <v>#REF!</v>
      </c>
      <c r="X2203" t="e">
        <f>IF(#REF! &lt;= 50, "0-50", IF(#REF! &lt;=100, "51-100", IF(#REF! &lt;= 150, "101-150", "151+")))</f>
        <v>#REF!</v>
      </c>
      <c r="Y2203" t="e">
        <f>IF(#REF! &lt;= 3, "Low Charges", "High Charges")</f>
        <v>#REF!</v>
      </c>
      <c r="Z2203" t="e">
        <f>IF(#REF!&lt;=80,"Low Calls",
IF(#REF!&lt;=120,"Medium Calls","High Calls"))</f>
        <v>#REF!</v>
      </c>
      <c r="AA2203" t="e">
        <f>IF(#REF!&lt;=15,"Low Charges",
IF(#REF!&lt;=20,"Medium Charges","High Charges"))</f>
        <v>#REF!</v>
      </c>
      <c r="AB2203" t="e">
        <f>IF(AND(#REF!&gt;180, #REF!&gt;200), "Heavy Doemstic User", IF(#REF!&gt;10, "Interntional User", IF(AND(#REF!&lt;180, #REF!&lt;200,#REF!&lt;200), "Light User", "Balanced User")))</f>
        <v>#REF!</v>
      </c>
      <c r="AC2203" t="e">
        <f>IF(#REF! = 0, "No Usage", IF(#REF! &lt;= 20, "Low Usage", IF(#REF! &lt;= 40, "Medium Usgae", "High Usage")))</f>
        <v>#REF!</v>
      </c>
      <c r="AD2203" t="e">
        <f>IF(#REF!&lt;=150,"Low Usage", IF(#REF!&lt;=200,"Medium Usage", IF(#REF!&lt;=250,"High Usage","Very High Usage")))</f>
        <v>#REF!</v>
      </c>
      <c r="AE2203" t="e">
        <f>IF(#REF!&lt;=5,"Low Calls", IF(#REF!&lt;=10, "Medium Calls", "High Calls"))</f>
        <v>#REF!</v>
      </c>
      <c r="AF2203" t="e">
        <f xml:space="preserve">
IF(#REF!&gt;=4,4,0)+
IF(#REF!="yes",3,0)+
IF(#REF!="High Charges",3,0)+
IF(#REF!&gt;250,4,0)+
IF(#REF!="no",1,0)+
IF(#REF!="Heavy Domestic User",2,0)</f>
        <v>#REF!</v>
      </c>
      <c r="AG2203" t="e">
        <f>IF(#REF!&gt;=10,"High Risk", IF(#REF!&gt;=5,"Medium Risk","Low Risk"))</f>
        <v>#REF!</v>
      </c>
      <c r="AH2203" t="e">
        <f>#REF! + #REF! + #REF! + #REF!</f>
        <v>#REF!</v>
      </c>
    </row>
    <row r="2204" spans="1:34" x14ac:dyDescent="0.35">
      <c r="A2204">
        <v>2203</v>
      </c>
      <c r="B2204" t="s">
        <v>20</v>
      </c>
      <c r="C2204">
        <v>115</v>
      </c>
      <c r="D2204" t="s">
        <v>28</v>
      </c>
      <c r="E2204" t="s">
        <v>23</v>
      </c>
      <c r="F2204" t="s">
        <v>22</v>
      </c>
      <c r="G2204">
        <v>0</v>
      </c>
      <c r="H2204">
        <v>345.3</v>
      </c>
      <c r="I2204">
        <v>81</v>
      </c>
      <c r="J2204">
        <v>58.7</v>
      </c>
      <c r="K2204">
        <v>203.4</v>
      </c>
      <c r="L2204">
        <v>106</v>
      </c>
      <c r="M2204">
        <v>17.29</v>
      </c>
      <c r="N2204">
        <v>217.5</v>
      </c>
      <c r="O2204">
        <v>107</v>
      </c>
      <c r="P2204">
        <v>9.7899999999999991</v>
      </c>
      <c r="Q2204">
        <v>11.8</v>
      </c>
      <c r="R2204">
        <v>8</v>
      </c>
      <c r="S2204">
        <v>3.19</v>
      </c>
      <c r="T2204">
        <v>1</v>
      </c>
      <c r="U2204" t="s">
        <v>23</v>
      </c>
      <c r="V2204" t="e">
        <f>IF(#REF! = "yes", 1, 0)</f>
        <v>#REF!</v>
      </c>
      <c r="W2204" t="e">
        <f>IF(#REF! &lt;= 1, "0-1 Calls", IF(#REF! &lt;= 3, "2-3 Calls", IF(#REF! &lt;=5, "4-5 Calls", "6+ Calls")))</f>
        <v>#REF!</v>
      </c>
      <c r="X2204" t="e">
        <f>IF(#REF! &lt;= 50, "0-50", IF(#REF! &lt;=100, "51-100", IF(#REF! &lt;= 150, "101-150", "151+")))</f>
        <v>#REF!</v>
      </c>
      <c r="Y2204" t="e">
        <f>IF(#REF! &lt;= 3, "Low Charges", "High Charges")</f>
        <v>#REF!</v>
      </c>
      <c r="Z2204" t="e">
        <f>IF(#REF!&lt;=80,"Low Calls",
IF(#REF!&lt;=120,"Medium Calls","High Calls"))</f>
        <v>#REF!</v>
      </c>
      <c r="AA2204" t="e">
        <f>IF(#REF!&lt;=15,"Low Charges",
IF(#REF!&lt;=20,"Medium Charges","High Charges"))</f>
        <v>#REF!</v>
      </c>
      <c r="AB2204" t="e">
        <f>IF(AND(#REF!&gt;180, #REF!&gt;200), "Heavy Doemstic User", IF(#REF!&gt;10, "Interntional User", IF(AND(#REF!&lt;180, #REF!&lt;200,#REF!&lt;200), "Light User", "Balanced User")))</f>
        <v>#REF!</v>
      </c>
      <c r="AC2204" t="e">
        <f>IF(#REF! = 0, "No Usage", IF(#REF! &lt;= 20, "Low Usage", IF(#REF! &lt;= 40, "Medium Usgae", "High Usage")))</f>
        <v>#REF!</v>
      </c>
      <c r="AD2204" t="e">
        <f>IF(#REF!&lt;=150,"Low Usage", IF(#REF!&lt;=200,"Medium Usage", IF(#REF!&lt;=250,"High Usage","Very High Usage")))</f>
        <v>#REF!</v>
      </c>
      <c r="AE2204" t="e">
        <f>IF(#REF!&lt;=5,"Low Calls", IF(#REF!&lt;=10, "Medium Calls", "High Calls"))</f>
        <v>#REF!</v>
      </c>
      <c r="AF2204" t="e">
        <f xml:space="preserve">
IF(#REF!&gt;=4,4,0)+
IF(#REF!="yes",3,0)+
IF(#REF!="High Charges",3,0)+
IF(#REF!&gt;250,4,0)+
IF(#REF!="no",1,0)+
IF(#REF!="Heavy Domestic User",2,0)</f>
        <v>#REF!</v>
      </c>
      <c r="AG2204" t="e">
        <f>IF(#REF!&gt;=10,"High Risk", IF(#REF!&gt;=5,"Medium Risk","Low Risk"))</f>
        <v>#REF!</v>
      </c>
      <c r="AH2204" t="e">
        <f>#REF! + #REF! + #REF! + #REF!</f>
        <v>#REF!</v>
      </c>
    </row>
    <row r="2205" spans="1:34" x14ac:dyDescent="0.35">
      <c r="A2205">
        <v>2204</v>
      </c>
      <c r="B2205" t="s">
        <v>68</v>
      </c>
      <c r="C2205">
        <v>25</v>
      </c>
      <c r="D2205" t="s">
        <v>25</v>
      </c>
      <c r="E2205" t="s">
        <v>22</v>
      </c>
      <c r="F2205" t="s">
        <v>22</v>
      </c>
      <c r="G2205">
        <v>0</v>
      </c>
      <c r="H2205">
        <v>264.89999999999998</v>
      </c>
      <c r="I2205">
        <v>80</v>
      </c>
      <c r="J2205">
        <v>45.03</v>
      </c>
      <c r="K2205">
        <v>281.2</v>
      </c>
      <c r="L2205">
        <v>66</v>
      </c>
      <c r="M2205">
        <v>23.9</v>
      </c>
      <c r="N2205">
        <v>166.1</v>
      </c>
      <c r="O2205">
        <v>80</v>
      </c>
      <c r="P2205">
        <v>7.47</v>
      </c>
      <c r="Q2205">
        <v>8.4</v>
      </c>
      <c r="R2205">
        <v>4</v>
      </c>
      <c r="S2205">
        <v>2.27</v>
      </c>
      <c r="T2205">
        <v>1</v>
      </c>
      <c r="U2205" t="s">
        <v>23</v>
      </c>
      <c r="V2205" t="e">
        <f>IF(#REF! = "yes", 1, 0)</f>
        <v>#REF!</v>
      </c>
      <c r="W2205" t="e">
        <f>IF(#REF! &lt;= 1, "0-1 Calls", IF(#REF! &lt;= 3, "2-3 Calls", IF(#REF! &lt;=5, "4-5 Calls", "6+ Calls")))</f>
        <v>#REF!</v>
      </c>
      <c r="X2205" t="e">
        <f>IF(#REF! &lt;= 50, "0-50", IF(#REF! &lt;=100, "51-100", IF(#REF! &lt;= 150, "101-150", "151+")))</f>
        <v>#REF!</v>
      </c>
      <c r="Y2205" t="e">
        <f>IF(#REF! &lt;= 3, "Low Charges", "High Charges")</f>
        <v>#REF!</v>
      </c>
      <c r="Z2205" t="e">
        <f>IF(#REF!&lt;=80,"Low Calls",
IF(#REF!&lt;=120,"Medium Calls","High Calls"))</f>
        <v>#REF!</v>
      </c>
      <c r="AA2205" t="e">
        <f>IF(#REF!&lt;=15,"Low Charges",
IF(#REF!&lt;=20,"Medium Charges","High Charges"))</f>
        <v>#REF!</v>
      </c>
      <c r="AB2205" t="e">
        <f>IF(AND(#REF!&gt;180, #REF!&gt;200), "Heavy Doemstic User", IF(#REF!&gt;10, "Interntional User", IF(AND(#REF!&lt;180, #REF!&lt;200,#REF!&lt;200), "Light User", "Balanced User")))</f>
        <v>#REF!</v>
      </c>
      <c r="AC2205" t="e">
        <f>IF(#REF! = 0, "No Usage", IF(#REF! &lt;= 20, "Low Usage", IF(#REF! &lt;= 40, "Medium Usgae", "High Usage")))</f>
        <v>#REF!</v>
      </c>
      <c r="AD2205" t="e">
        <f>IF(#REF!&lt;=150,"Low Usage", IF(#REF!&lt;=200,"Medium Usage", IF(#REF!&lt;=250,"High Usage","Very High Usage")))</f>
        <v>#REF!</v>
      </c>
      <c r="AE2205" t="e">
        <f>IF(#REF!&lt;=5,"Low Calls", IF(#REF!&lt;=10, "Medium Calls", "High Calls"))</f>
        <v>#REF!</v>
      </c>
      <c r="AF2205" t="e">
        <f xml:space="preserve">
IF(#REF!&gt;=4,4,0)+
IF(#REF!="yes",3,0)+
IF(#REF!="High Charges",3,0)+
IF(#REF!&gt;250,4,0)+
IF(#REF!="no",1,0)+
IF(#REF!="Heavy Domestic User",2,0)</f>
        <v>#REF!</v>
      </c>
      <c r="AG2205" t="e">
        <f>IF(#REF!&gt;=10,"High Risk", IF(#REF!&gt;=5,"Medium Risk","Low Risk"))</f>
        <v>#REF!</v>
      </c>
      <c r="AH2205" t="e">
        <f>#REF! + #REF! + #REF! + #REF!</f>
        <v>#REF!</v>
      </c>
    </row>
    <row r="2206" spans="1:34" x14ac:dyDescent="0.35">
      <c r="A2206">
        <v>2205</v>
      </c>
      <c r="B2206" t="s">
        <v>63</v>
      </c>
      <c r="C2206">
        <v>73</v>
      </c>
      <c r="D2206" t="s">
        <v>25</v>
      </c>
      <c r="E2206" t="s">
        <v>22</v>
      </c>
      <c r="F2206" t="s">
        <v>22</v>
      </c>
      <c r="G2206">
        <v>0</v>
      </c>
      <c r="H2206">
        <v>122</v>
      </c>
      <c r="I2206">
        <v>92</v>
      </c>
      <c r="J2206">
        <v>20.74</v>
      </c>
      <c r="K2206">
        <v>138.30000000000001</v>
      </c>
      <c r="L2206">
        <v>114</v>
      </c>
      <c r="M2206">
        <v>11.76</v>
      </c>
      <c r="N2206">
        <v>224.2</v>
      </c>
      <c r="O2206">
        <v>128</v>
      </c>
      <c r="P2206">
        <v>10.09</v>
      </c>
      <c r="Q2206">
        <v>5.8</v>
      </c>
      <c r="R2206">
        <v>5</v>
      </c>
      <c r="S2206">
        <v>1.57</v>
      </c>
      <c r="T2206">
        <v>1</v>
      </c>
      <c r="U2206" t="s">
        <v>22</v>
      </c>
      <c r="V2206" t="e">
        <f>IF(#REF! = "yes", 1, 0)</f>
        <v>#REF!</v>
      </c>
      <c r="W2206" t="e">
        <f>IF(#REF! &lt;= 1, "0-1 Calls", IF(#REF! &lt;= 3, "2-3 Calls", IF(#REF! &lt;=5, "4-5 Calls", "6+ Calls")))</f>
        <v>#REF!</v>
      </c>
      <c r="X2206" t="e">
        <f>IF(#REF! &lt;= 50, "0-50", IF(#REF! &lt;=100, "51-100", IF(#REF! &lt;= 150, "101-150", "151+")))</f>
        <v>#REF!</v>
      </c>
      <c r="Y2206" t="e">
        <f>IF(#REF! &lt;= 3, "Low Charges", "High Charges")</f>
        <v>#REF!</v>
      </c>
      <c r="Z2206" t="e">
        <f>IF(#REF!&lt;=80,"Low Calls",
IF(#REF!&lt;=120,"Medium Calls","High Calls"))</f>
        <v>#REF!</v>
      </c>
      <c r="AA2206" t="e">
        <f>IF(#REF!&lt;=15,"Low Charges",
IF(#REF!&lt;=20,"Medium Charges","High Charges"))</f>
        <v>#REF!</v>
      </c>
      <c r="AB2206" t="e">
        <f>IF(AND(#REF!&gt;180, #REF!&gt;200), "Heavy Doemstic User", IF(#REF!&gt;10, "Interntional User", IF(AND(#REF!&lt;180, #REF!&lt;200,#REF!&lt;200), "Light User", "Balanced User")))</f>
        <v>#REF!</v>
      </c>
      <c r="AC2206" t="e">
        <f>IF(#REF! = 0, "No Usage", IF(#REF! &lt;= 20, "Low Usage", IF(#REF! &lt;= 40, "Medium Usgae", "High Usage")))</f>
        <v>#REF!</v>
      </c>
      <c r="AD2206" t="e">
        <f>IF(#REF!&lt;=150,"Low Usage", IF(#REF!&lt;=200,"Medium Usage", IF(#REF!&lt;=250,"High Usage","Very High Usage")))</f>
        <v>#REF!</v>
      </c>
      <c r="AE2206" t="e">
        <f>IF(#REF!&lt;=5,"Low Calls", IF(#REF!&lt;=10, "Medium Calls", "High Calls"))</f>
        <v>#REF!</v>
      </c>
      <c r="AF2206" t="e">
        <f xml:space="preserve">
IF(#REF!&gt;=4,4,0)+
IF(#REF!="yes",3,0)+
IF(#REF!="High Charges",3,0)+
IF(#REF!&gt;250,4,0)+
IF(#REF!="no",1,0)+
IF(#REF!="Heavy Domestic User",2,0)</f>
        <v>#REF!</v>
      </c>
      <c r="AG2206" t="e">
        <f>IF(#REF!&gt;=10,"High Risk", IF(#REF!&gt;=5,"Medium Risk","Low Risk"))</f>
        <v>#REF!</v>
      </c>
      <c r="AH2206" t="e">
        <f>#REF! + #REF! + #REF! + #REF!</f>
        <v>#REF!</v>
      </c>
    </row>
    <row r="2207" spans="1:34" x14ac:dyDescent="0.35">
      <c r="A2207">
        <v>2206</v>
      </c>
      <c r="B2207" t="s">
        <v>75</v>
      </c>
      <c r="C2207">
        <v>120</v>
      </c>
      <c r="D2207" t="s">
        <v>21</v>
      </c>
      <c r="E2207" t="s">
        <v>22</v>
      </c>
      <c r="F2207" t="s">
        <v>22</v>
      </c>
      <c r="G2207">
        <v>0</v>
      </c>
      <c r="H2207">
        <v>177.2</v>
      </c>
      <c r="I2207">
        <v>88</v>
      </c>
      <c r="J2207">
        <v>30.12</v>
      </c>
      <c r="K2207">
        <v>270.39999999999998</v>
      </c>
      <c r="L2207">
        <v>99</v>
      </c>
      <c r="M2207">
        <v>22.98</v>
      </c>
      <c r="N2207">
        <v>231.5</v>
      </c>
      <c r="O2207">
        <v>90</v>
      </c>
      <c r="P2207">
        <v>10.42</v>
      </c>
      <c r="Q2207">
        <v>14</v>
      </c>
      <c r="R2207">
        <v>2</v>
      </c>
      <c r="S2207">
        <v>3.78</v>
      </c>
      <c r="T2207">
        <v>2</v>
      </c>
      <c r="U2207" t="s">
        <v>22</v>
      </c>
      <c r="V2207" t="e">
        <f>IF(#REF! = "yes", 1, 0)</f>
        <v>#REF!</v>
      </c>
      <c r="W2207" t="e">
        <f>IF(#REF! &lt;= 1, "0-1 Calls", IF(#REF! &lt;= 3, "2-3 Calls", IF(#REF! &lt;=5, "4-5 Calls", "6+ Calls")))</f>
        <v>#REF!</v>
      </c>
      <c r="X2207" t="e">
        <f>IF(#REF! &lt;= 50, "0-50", IF(#REF! &lt;=100, "51-100", IF(#REF! &lt;= 150, "101-150", "151+")))</f>
        <v>#REF!</v>
      </c>
      <c r="Y2207" t="e">
        <f>IF(#REF! &lt;= 3, "Low Charges", "High Charges")</f>
        <v>#REF!</v>
      </c>
      <c r="Z2207" t="e">
        <f>IF(#REF!&lt;=80,"Low Calls",
IF(#REF!&lt;=120,"Medium Calls","High Calls"))</f>
        <v>#REF!</v>
      </c>
      <c r="AA2207" t="e">
        <f>IF(#REF!&lt;=15,"Low Charges",
IF(#REF!&lt;=20,"Medium Charges","High Charges"))</f>
        <v>#REF!</v>
      </c>
      <c r="AB2207" t="e">
        <f>IF(AND(#REF!&gt;180, #REF!&gt;200), "Heavy Doemstic User", IF(#REF!&gt;10, "Interntional User", IF(AND(#REF!&lt;180, #REF!&lt;200,#REF!&lt;200), "Light User", "Balanced User")))</f>
        <v>#REF!</v>
      </c>
      <c r="AC2207" t="e">
        <f>IF(#REF! = 0, "No Usage", IF(#REF! &lt;= 20, "Low Usage", IF(#REF! &lt;= 40, "Medium Usgae", "High Usage")))</f>
        <v>#REF!</v>
      </c>
      <c r="AD2207" t="e">
        <f>IF(#REF!&lt;=150,"Low Usage", IF(#REF!&lt;=200,"Medium Usage", IF(#REF!&lt;=250,"High Usage","Very High Usage")))</f>
        <v>#REF!</v>
      </c>
      <c r="AE2207" t="e">
        <f>IF(#REF!&lt;=5,"Low Calls", IF(#REF!&lt;=10, "Medium Calls", "High Calls"))</f>
        <v>#REF!</v>
      </c>
      <c r="AF2207" t="e">
        <f xml:space="preserve">
IF(#REF!&gt;=4,4,0)+
IF(#REF!="yes",3,0)+
IF(#REF!="High Charges",3,0)+
IF(#REF!&gt;250,4,0)+
IF(#REF!="no",1,0)+
IF(#REF!="Heavy Domestic User",2,0)</f>
        <v>#REF!</v>
      </c>
      <c r="AG2207" t="e">
        <f>IF(#REF!&gt;=10,"High Risk", IF(#REF!&gt;=5,"Medium Risk","Low Risk"))</f>
        <v>#REF!</v>
      </c>
      <c r="AH2207" t="e">
        <f>#REF! + #REF! + #REF! + #REF!</f>
        <v>#REF!</v>
      </c>
    </row>
    <row r="2208" spans="1:34" x14ac:dyDescent="0.35">
      <c r="A2208">
        <v>2207</v>
      </c>
      <c r="B2208" t="s">
        <v>71</v>
      </c>
      <c r="C2208">
        <v>196</v>
      </c>
      <c r="D2208" t="s">
        <v>21</v>
      </c>
      <c r="E2208" t="s">
        <v>22</v>
      </c>
      <c r="F2208" t="s">
        <v>22</v>
      </c>
      <c r="G2208">
        <v>0</v>
      </c>
      <c r="H2208">
        <v>133.1</v>
      </c>
      <c r="I2208">
        <v>80</v>
      </c>
      <c r="J2208">
        <v>22.63</v>
      </c>
      <c r="K2208">
        <v>206.5</v>
      </c>
      <c r="L2208">
        <v>120</v>
      </c>
      <c r="M2208">
        <v>17.55</v>
      </c>
      <c r="N2208">
        <v>221.6</v>
      </c>
      <c r="O2208">
        <v>96</v>
      </c>
      <c r="P2208">
        <v>9.9700000000000006</v>
      </c>
      <c r="Q2208">
        <v>10.3</v>
      </c>
      <c r="R2208">
        <v>8</v>
      </c>
      <c r="S2208">
        <v>2.78</v>
      </c>
      <c r="T2208">
        <v>1</v>
      </c>
      <c r="U2208" t="s">
        <v>22</v>
      </c>
      <c r="V2208" t="e">
        <f>IF(#REF! = "yes", 1, 0)</f>
        <v>#REF!</v>
      </c>
      <c r="W2208" t="e">
        <f>IF(#REF! &lt;= 1, "0-1 Calls", IF(#REF! &lt;= 3, "2-3 Calls", IF(#REF! &lt;=5, "4-5 Calls", "6+ Calls")))</f>
        <v>#REF!</v>
      </c>
      <c r="X2208" t="e">
        <f>IF(#REF! &lt;= 50, "0-50", IF(#REF! &lt;=100, "51-100", IF(#REF! &lt;= 150, "101-150", "151+")))</f>
        <v>#REF!</v>
      </c>
      <c r="Y2208" t="e">
        <f>IF(#REF! &lt;= 3, "Low Charges", "High Charges")</f>
        <v>#REF!</v>
      </c>
      <c r="Z2208" t="e">
        <f>IF(#REF!&lt;=80,"Low Calls",
IF(#REF!&lt;=120,"Medium Calls","High Calls"))</f>
        <v>#REF!</v>
      </c>
      <c r="AA2208" t="e">
        <f>IF(#REF!&lt;=15,"Low Charges",
IF(#REF!&lt;=20,"Medium Charges","High Charges"))</f>
        <v>#REF!</v>
      </c>
      <c r="AB2208" t="e">
        <f>IF(AND(#REF!&gt;180, #REF!&gt;200), "Heavy Doemstic User", IF(#REF!&gt;10, "Interntional User", IF(AND(#REF!&lt;180, #REF!&lt;200,#REF!&lt;200), "Light User", "Balanced User")))</f>
        <v>#REF!</v>
      </c>
      <c r="AC2208" t="e">
        <f>IF(#REF! = 0, "No Usage", IF(#REF! &lt;= 20, "Low Usage", IF(#REF! &lt;= 40, "Medium Usgae", "High Usage")))</f>
        <v>#REF!</v>
      </c>
      <c r="AD2208" t="e">
        <f>IF(#REF!&lt;=150,"Low Usage", IF(#REF!&lt;=200,"Medium Usage", IF(#REF!&lt;=250,"High Usage","Very High Usage")))</f>
        <v>#REF!</v>
      </c>
      <c r="AE2208" t="e">
        <f>IF(#REF!&lt;=5,"Low Calls", IF(#REF!&lt;=10, "Medium Calls", "High Calls"))</f>
        <v>#REF!</v>
      </c>
      <c r="AF2208" t="e">
        <f xml:space="preserve">
IF(#REF!&gt;=4,4,0)+
IF(#REF!="yes",3,0)+
IF(#REF!="High Charges",3,0)+
IF(#REF!&gt;250,4,0)+
IF(#REF!="no",1,0)+
IF(#REF!="Heavy Domestic User",2,0)</f>
        <v>#REF!</v>
      </c>
      <c r="AG2208" t="e">
        <f>IF(#REF!&gt;=10,"High Risk", IF(#REF!&gt;=5,"Medium Risk","Low Risk"))</f>
        <v>#REF!</v>
      </c>
      <c r="AH2208" t="e">
        <f>#REF! + #REF! + #REF! + #REF!</f>
        <v>#REF!</v>
      </c>
    </row>
    <row r="2209" spans="1:34" x14ac:dyDescent="0.35">
      <c r="A2209">
        <v>2208</v>
      </c>
      <c r="B2209" t="s">
        <v>54</v>
      </c>
      <c r="C2209">
        <v>97</v>
      </c>
      <c r="D2209" t="s">
        <v>28</v>
      </c>
      <c r="E2209" t="s">
        <v>22</v>
      </c>
      <c r="F2209" t="s">
        <v>22</v>
      </c>
      <c r="G2209">
        <v>0</v>
      </c>
      <c r="H2209">
        <v>225.1</v>
      </c>
      <c r="I2209">
        <v>90</v>
      </c>
      <c r="J2209">
        <v>38.270000000000003</v>
      </c>
      <c r="K2209">
        <v>279.5</v>
      </c>
      <c r="L2209">
        <v>127</v>
      </c>
      <c r="M2209">
        <v>23.76</v>
      </c>
      <c r="N2209">
        <v>233.8</v>
      </c>
      <c r="O2209">
        <v>103</v>
      </c>
      <c r="P2209">
        <v>10.52</v>
      </c>
      <c r="Q2209">
        <v>8.8000000000000007</v>
      </c>
      <c r="R2209">
        <v>4</v>
      </c>
      <c r="S2209">
        <v>2.38</v>
      </c>
      <c r="T2209">
        <v>0</v>
      </c>
      <c r="U2209" t="s">
        <v>23</v>
      </c>
      <c r="V2209" t="e">
        <f>IF(#REF! = "yes", 1, 0)</f>
        <v>#REF!</v>
      </c>
      <c r="W2209" t="e">
        <f>IF(#REF! &lt;= 1, "0-1 Calls", IF(#REF! &lt;= 3, "2-3 Calls", IF(#REF! &lt;=5, "4-5 Calls", "6+ Calls")))</f>
        <v>#REF!</v>
      </c>
      <c r="X2209" t="e">
        <f>IF(#REF! &lt;= 50, "0-50", IF(#REF! &lt;=100, "51-100", IF(#REF! &lt;= 150, "101-150", "151+")))</f>
        <v>#REF!</v>
      </c>
      <c r="Y2209" t="e">
        <f>IF(#REF! &lt;= 3, "Low Charges", "High Charges")</f>
        <v>#REF!</v>
      </c>
      <c r="Z2209" t="e">
        <f>IF(#REF!&lt;=80,"Low Calls",
IF(#REF!&lt;=120,"Medium Calls","High Calls"))</f>
        <v>#REF!</v>
      </c>
      <c r="AA2209" t="e">
        <f>IF(#REF!&lt;=15,"Low Charges",
IF(#REF!&lt;=20,"Medium Charges","High Charges"))</f>
        <v>#REF!</v>
      </c>
      <c r="AB2209" t="e">
        <f>IF(AND(#REF!&gt;180, #REF!&gt;200), "Heavy Doemstic User", IF(#REF!&gt;10, "Interntional User", IF(AND(#REF!&lt;180, #REF!&lt;200,#REF!&lt;200), "Light User", "Balanced User")))</f>
        <v>#REF!</v>
      </c>
      <c r="AC2209" t="e">
        <f>IF(#REF! = 0, "No Usage", IF(#REF! &lt;= 20, "Low Usage", IF(#REF! &lt;= 40, "Medium Usgae", "High Usage")))</f>
        <v>#REF!</v>
      </c>
      <c r="AD2209" t="e">
        <f>IF(#REF!&lt;=150,"Low Usage", IF(#REF!&lt;=200,"Medium Usage", IF(#REF!&lt;=250,"High Usage","Very High Usage")))</f>
        <v>#REF!</v>
      </c>
      <c r="AE2209" t="e">
        <f>IF(#REF!&lt;=5,"Low Calls", IF(#REF!&lt;=10, "Medium Calls", "High Calls"))</f>
        <v>#REF!</v>
      </c>
      <c r="AF2209" t="e">
        <f xml:space="preserve">
IF(#REF!&gt;=4,4,0)+
IF(#REF!="yes",3,0)+
IF(#REF!="High Charges",3,0)+
IF(#REF!&gt;250,4,0)+
IF(#REF!="no",1,0)+
IF(#REF!="Heavy Domestic User",2,0)</f>
        <v>#REF!</v>
      </c>
      <c r="AG2209" t="e">
        <f>IF(#REF!&gt;=10,"High Risk", IF(#REF!&gt;=5,"Medium Risk","Low Risk"))</f>
        <v>#REF!</v>
      </c>
      <c r="AH2209" t="e">
        <f>#REF! + #REF! + #REF! + #REF!</f>
        <v>#REF!</v>
      </c>
    </row>
    <row r="2210" spans="1:34" x14ac:dyDescent="0.35">
      <c r="A2210">
        <v>2209</v>
      </c>
      <c r="B2210" t="s">
        <v>36</v>
      </c>
      <c r="C2210">
        <v>148</v>
      </c>
      <c r="D2210" t="s">
        <v>25</v>
      </c>
      <c r="E2210" t="s">
        <v>22</v>
      </c>
      <c r="F2210" t="s">
        <v>22</v>
      </c>
      <c r="G2210">
        <v>0</v>
      </c>
      <c r="H2210">
        <v>208.4</v>
      </c>
      <c r="I2210">
        <v>120</v>
      </c>
      <c r="J2210">
        <v>35.43</v>
      </c>
      <c r="K2210">
        <v>174.4</v>
      </c>
      <c r="L2210">
        <v>99</v>
      </c>
      <c r="M2210">
        <v>14.82</v>
      </c>
      <c r="N2210">
        <v>310.7</v>
      </c>
      <c r="O2210">
        <v>105</v>
      </c>
      <c r="P2210">
        <v>13.98</v>
      </c>
      <c r="Q2210">
        <v>11.2</v>
      </c>
      <c r="R2210">
        <v>4</v>
      </c>
      <c r="S2210">
        <v>3.02</v>
      </c>
      <c r="T2210">
        <v>1</v>
      </c>
      <c r="U2210" t="s">
        <v>22</v>
      </c>
      <c r="V2210" t="e">
        <f>IF(#REF! = "yes", 1, 0)</f>
        <v>#REF!</v>
      </c>
      <c r="W2210" t="e">
        <f>IF(#REF! &lt;= 1, "0-1 Calls", IF(#REF! &lt;= 3, "2-3 Calls", IF(#REF! &lt;=5, "4-5 Calls", "6+ Calls")))</f>
        <v>#REF!</v>
      </c>
      <c r="X2210" t="e">
        <f>IF(#REF! &lt;= 50, "0-50", IF(#REF! &lt;=100, "51-100", IF(#REF! &lt;= 150, "101-150", "151+")))</f>
        <v>#REF!</v>
      </c>
      <c r="Y2210" t="e">
        <f>IF(#REF! &lt;= 3, "Low Charges", "High Charges")</f>
        <v>#REF!</v>
      </c>
      <c r="Z2210" t="e">
        <f>IF(#REF!&lt;=80,"Low Calls",
IF(#REF!&lt;=120,"Medium Calls","High Calls"))</f>
        <v>#REF!</v>
      </c>
      <c r="AA2210" t="e">
        <f>IF(#REF!&lt;=15,"Low Charges",
IF(#REF!&lt;=20,"Medium Charges","High Charges"))</f>
        <v>#REF!</v>
      </c>
      <c r="AB2210" t="e">
        <f>IF(AND(#REF!&gt;180, #REF!&gt;200), "Heavy Doemstic User", IF(#REF!&gt;10, "Interntional User", IF(AND(#REF!&lt;180, #REF!&lt;200,#REF!&lt;200), "Light User", "Balanced User")))</f>
        <v>#REF!</v>
      </c>
      <c r="AC2210" t="e">
        <f>IF(#REF! = 0, "No Usage", IF(#REF! &lt;= 20, "Low Usage", IF(#REF! &lt;= 40, "Medium Usgae", "High Usage")))</f>
        <v>#REF!</v>
      </c>
      <c r="AD2210" t="e">
        <f>IF(#REF!&lt;=150,"Low Usage", IF(#REF!&lt;=200,"Medium Usage", IF(#REF!&lt;=250,"High Usage","Very High Usage")))</f>
        <v>#REF!</v>
      </c>
      <c r="AE2210" t="e">
        <f>IF(#REF!&lt;=5,"Low Calls", IF(#REF!&lt;=10, "Medium Calls", "High Calls"))</f>
        <v>#REF!</v>
      </c>
      <c r="AF2210" t="e">
        <f xml:space="preserve">
IF(#REF!&gt;=4,4,0)+
IF(#REF!="yes",3,0)+
IF(#REF!="High Charges",3,0)+
IF(#REF!&gt;250,4,0)+
IF(#REF!="no",1,0)+
IF(#REF!="Heavy Domestic User",2,0)</f>
        <v>#REF!</v>
      </c>
      <c r="AG2210" t="e">
        <f>IF(#REF!&gt;=10,"High Risk", IF(#REF!&gt;=5,"Medium Risk","Low Risk"))</f>
        <v>#REF!</v>
      </c>
      <c r="AH2210" t="e">
        <f>#REF! + #REF! + #REF! + #REF!</f>
        <v>#REF!</v>
      </c>
    </row>
    <row r="2211" spans="1:34" x14ac:dyDescent="0.35">
      <c r="A2211">
        <v>2210</v>
      </c>
      <c r="B2211" t="s">
        <v>68</v>
      </c>
      <c r="C2211">
        <v>85</v>
      </c>
      <c r="D2211" t="s">
        <v>25</v>
      </c>
      <c r="E2211" t="s">
        <v>22</v>
      </c>
      <c r="F2211" t="s">
        <v>23</v>
      </c>
      <c r="G2211">
        <v>30</v>
      </c>
      <c r="H2211">
        <v>173.1</v>
      </c>
      <c r="I2211">
        <v>107</v>
      </c>
      <c r="J2211">
        <v>29.43</v>
      </c>
      <c r="K2211">
        <v>247.2</v>
      </c>
      <c r="L2211">
        <v>101</v>
      </c>
      <c r="M2211">
        <v>21.01</v>
      </c>
      <c r="N2211">
        <v>158.69999999999999</v>
      </c>
      <c r="O2211">
        <v>104</v>
      </c>
      <c r="P2211">
        <v>7.14</v>
      </c>
      <c r="Q2211">
        <v>11.5</v>
      </c>
      <c r="R2211">
        <v>5</v>
      </c>
      <c r="S2211">
        <v>3.11</v>
      </c>
      <c r="T2211">
        <v>1</v>
      </c>
      <c r="U2211" t="s">
        <v>22</v>
      </c>
      <c r="V2211" t="e">
        <f>IF(#REF! = "yes", 1, 0)</f>
        <v>#REF!</v>
      </c>
      <c r="W2211" t="e">
        <f>IF(#REF! &lt;= 1, "0-1 Calls", IF(#REF! &lt;= 3, "2-3 Calls", IF(#REF! &lt;=5, "4-5 Calls", "6+ Calls")))</f>
        <v>#REF!</v>
      </c>
      <c r="X2211" t="e">
        <f>IF(#REF! &lt;= 50, "0-50", IF(#REF! &lt;=100, "51-100", IF(#REF! &lt;= 150, "101-150", "151+")))</f>
        <v>#REF!</v>
      </c>
      <c r="Y2211" t="e">
        <f>IF(#REF! &lt;= 3, "Low Charges", "High Charges")</f>
        <v>#REF!</v>
      </c>
      <c r="Z2211" t="e">
        <f>IF(#REF!&lt;=80,"Low Calls",
IF(#REF!&lt;=120,"Medium Calls","High Calls"))</f>
        <v>#REF!</v>
      </c>
      <c r="AA2211" t="e">
        <f>IF(#REF!&lt;=15,"Low Charges",
IF(#REF!&lt;=20,"Medium Charges","High Charges"))</f>
        <v>#REF!</v>
      </c>
      <c r="AB2211" t="e">
        <f>IF(AND(#REF!&gt;180, #REF!&gt;200), "Heavy Doemstic User", IF(#REF!&gt;10, "Interntional User", IF(AND(#REF!&lt;180, #REF!&lt;200,#REF!&lt;200), "Light User", "Balanced User")))</f>
        <v>#REF!</v>
      </c>
      <c r="AC2211" t="e">
        <f>IF(#REF! = 0, "No Usage", IF(#REF! &lt;= 20, "Low Usage", IF(#REF! &lt;= 40, "Medium Usgae", "High Usage")))</f>
        <v>#REF!</v>
      </c>
      <c r="AD2211" t="e">
        <f>IF(#REF!&lt;=150,"Low Usage", IF(#REF!&lt;=200,"Medium Usage", IF(#REF!&lt;=250,"High Usage","Very High Usage")))</f>
        <v>#REF!</v>
      </c>
      <c r="AE2211" t="e">
        <f>IF(#REF!&lt;=5,"Low Calls", IF(#REF!&lt;=10, "Medium Calls", "High Calls"))</f>
        <v>#REF!</v>
      </c>
      <c r="AF2211" t="e">
        <f xml:space="preserve">
IF(#REF!&gt;=4,4,0)+
IF(#REF!="yes",3,0)+
IF(#REF!="High Charges",3,0)+
IF(#REF!&gt;250,4,0)+
IF(#REF!="no",1,0)+
IF(#REF!="Heavy Domestic User",2,0)</f>
        <v>#REF!</v>
      </c>
      <c r="AG2211" t="e">
        <f>IF(#REF!&gt;=10,"High Risk", IF(#REF!&gt;=5,"Medium Risk","Low Risk"))</f>
        <v>#REF!</v>
      </c>
      <c r="AH2211" t="e">
        <f>#REF! + #REF! + #REF! + #REF!</f>
        <v>#REF!</v>
      </c>
    </row>
    <row r="2212" spans="1:34" x14ac:dyDescent="0.35">
      <c r="A2212">
        <v>2211</v>
      </c>
      <c r="B2212" t="s">
        <v>26</v>
      </c>
      <c r="C2212">
        <v>86</v>
      </c>
      <c r="D2212" t="s">
        <v>28</v>
      </c>
      <c r="E2212" t="s">
        <v>23</v>
      </c>
      <c r="F2212" t="s">
        <v>22</v>
      </c>
      <c r="G2212">
        <v>0</v>
      </c>
      <c r="H2212">
        <v>162.4</v>
      </c>
      <c r="I2212">
        <v>131</v>
      </c>
      <c r="J2212">
        <v>27.61</v>
      </c>
      <c r="K2212">
        <v>167</v>
      </c>
      <c r="L2212">
        <v>102</v>
      </c>
      <c r="M2212">
        <v>14.2</v>
      </c>
      <c r="N2212">
        <v>128.9</v>
      </c>
      <c r="O2212">
        <v>118</v>
      </c>
      <c r="P2212">
        <v>5.8</v>
      </c>
      <c r="Q2212">
        <v>11.4</v>
      </c>
      <c r="R2212">
        <v>2</v>
      </c>
      <c r="S2212">
        <v>3.08</v>
      </c>
      <c r="T2212">
        <v>2</v>
      </c>
      <c r="U2212" t="s">
        <v>23</v>
      </c>
      <c r="V2212" t="e">
        <f>IF(#REF! = "yes", 1, 0)</f>
        <v>#REF!</v>
      </c>
      <c r="W2212" t="e">
        <f>IF(#REF! &lt;= 1, "0-1 Calls", IF(#REF! &lt;= 3, "2-3 Calls", IF(#REF! &lt;=5, "4-5 Calls", "6+ Calls")))</f>
        <v>#REF!</v>
      </c>
      <c r="X2212" t="e">
        <f>IF(#REF! &lt;= 50, "0-50", IF(#REF! &lt;=100, "51-100", IF(#REF! &lt;= 150, "101-150", "151+")))</f>
        <v>#REF!</v>
      </c>
      <c r="Y2212" t="e">
        <f>IF(#REF! &lt;= 3, "Low Charges", "High Charges")</f>
        <v>#REF!</v>
      </c>
      <c r="Z2212" t="e">
        <f>IF(#REF!&lt;=80,"Low Calls",
IF(#REF!&lt;=120,"Medium Calls","High Calls"))</f>
        <v>#REF!</v>
      </c>
      <c r="AA2212" t="e">
        <f>IF(#REF!&lt;=15,"Low Charges",
IF(#REF!&lt;=20,"Medium Charges","High Charges"))</f>
        <v>#REF!</v>
      </c>
      <c r="AB2212" t="e">
        <f>IF(AND(#REF!&gt;180, #REF!&gt;200), "Heavy Doemstic User", IF(#REF!&gt;10, "Interntional User", IF(AND(#REF!&lt;180, #REF!&lt;200,#REF!&lt;200), "Light User", "Balanced User")))</f>
        <v>#REF!</v>
      </c>
      <c r="AC2212" t="e">
        <f>IF(#REF! = 0, "No Usage", IF(#REF! &lt;= 20, "Low Usage", IF(#REF! &lt;= 40, "Medium Usgae", "High Usage")))</f>
        <v>#REF!</v>
      </c>
      <c r="AD2212" t="e">
        <f>IF(#REF!&lt;=150,"Low Usage", IF(#REF!&lt;=200,"Medium Usage", IF(#REF!&lt;=250,"High Usage","Very High Usage")))</f>
        <v>#REF!</v>
      </c>
      <c r="AE2212" t="e">
        <f>IF(#REF!&lt;=5,"Low Calls", IF(#REF!&lt;=10, "Medium Calls", "High Calls"))</f>
        <v>#REF!</v>
      </c>
      <c r="AF2212" t="e">
        <f xml:space="preserve">
IF(#REF!&gt;=4,4,0)+
IF(#REF!="yes",3,0)+
IF(#REF!="High Charges",3,0)+
IF(#REF!&gt;250,4,0)+
IF(#REF!="no",1,0)+
IF(#REF!="Heavy Domestic User",2,0)</f>
        <v>#REF!</v>
      </c>
      <c r="AG2212" t="e">
        <f>IF(#REF!&gt;=10,"High Risk", IF(#REF!&gt;=5,"Medium Risk","Low Risk"))</f>
        <v>#REF!</v>
      </c>
      <c r="AH2212" t="e">
        <f>#REF! + #REF! + #REF! + #REF!</f>
        <v>#REF!</v>
      </c>
    </row>
    <row r="2213" spans="1:34" x14ac:dyDescent="0.35">
      <c r="A2213">
        <v>2212</v>
      </c>
      <c r="B2213" t="s">
        <v>69</v>
      </c>
      <c r="C2213">
        <v>147</v>
      </c>
      <c r="D2213" t="s">
        <v>21</v>
      </c>
      <c r="E2213" t="s">
        <v>22</v>
      </c>
      <c r="F2213" t="s">
        <v>23</v>
      </c>
      <c r="G2213">
        <v>38</v>
      </c>
      <c r="H2213">
        <v>243.4</v>
      </c>
      <c r="I2213">
        <v>126</v>
      </c>
      <c r="J2213">
        <v>41.38</v>
      </c>
      <c r="K2213">
        <v>273.8</v>
      </c>
      <c r="L2213">
        <v>109</v>
      </c>
      <c r="M2213">
        <v>23.27</v>
      </c>
      <c r="N2213">
        <v>282.89999999999998</v>
      </c>
      <c r="O2213">
        <v>91</v>
      </c>
      <c r="P2213">
        <v>12.73</v>
      </c>
      <c r="Q2213">
        <v>14.1</v>
      </c>
      <c r="R2213">
        <v>8</v>
      </c>
      <c r="S2213">
        <v>3.81</v>
      </c>
      <c r="T2213">
        <v>2</v>
      </c>
      <c r="U2213" t="s">
        <v>22</v>
      </c>
      <c r="V2213" t="e">
        <f>IF(#REF! = "yes", 1, 0)</f>
        <v>#REF!</v>
      </c>
      <c r="W2213" t="e">
        <f>IF(#REF! &lt;= 1, "0-1 Calls", IF(#REF! &lt;= 3, "2-3 Calls", IF(#REF! &lt;=5, "4-5 Calls", "6+ Calls")))</f>
        <v>#REF!</v>
      </c>
      <c r="X2213" t="e">
        <f>IF(#REF! &lt;= 50, "0-50", IF(#REF! &lt;=100, "51-100", IF(#REF! &lt;= 150, "101-150", "151+")))</f>
        <v>#REF!</v>
      </c>
      <c r="Y2213" t="e">
        <f>IF(#REF! &lt;= 3, "Low Charges", "High Charges")</f>
        <v>#REF!</v>
      </c>
      <c r="Z2213" t="e">
        <f>IF(#REF!&lt;=80,"Low Calls",
IF(#REF!&lt;=120,"Medium Calls","High Calls"))</f>
        <v>#REF!</v>
      </c>
      <c r="AA2213" t="e">
        <f>IF(#REF!&lt;=15,"Low Charges",
IF(#REF!&lt;=20,"Medium Charges","High Charges"))</f>
        <v>#REF!</v>
      </c>
      <c r="AB2213" t="e">
        <f>IF(AND(#REF!&gt;180, #REF!&gt;200), "Heavy Doemstic User", IF(#REF!&gt;10, "Interntional User", IF(AND(#REF!&lt;180, #REF!&lt;200,#REF!&lt;200), "Light User", "Balanced User")))</f>
        <v>#REF!</v>
      </c>
      <c r="AC2213" t="e">
        <f>IF(#REF! = 0, "No Usage", IF(#REF! &lt;= 20, "Low Usage", IF(#REF! &lt;= 40, "Medium Usgae", "High Usage")))</f>
        <v>#REF!</v>
      </c>
      <c r="AD2213" t="e">
        <f>IF(#REF!&lt;=150,"Low Usage", IF(#REF!&lt;=200,"Medium Usage", IF(#REF!&lt;=250,"High Usage","Very High Usage")))</f>
        <v>#REF!</v>
      </c>
      <c r="AE2213" t="e">
        <f>IF(#REF!&lt;=5,"Low Calls", IF(#REF!&lt;=10, "Medium Calls", "High Calls"))</f>
        <v>#REF!</v>
      </c>
      <c r="AF2213" t="e">
        <f xml:space="preserve">
IF(#REF!&gt;=4,4,0)+
IF(#REF!="yes",3,0)+
IF(#REF!="High Charges",3,0)+
IF(#REF!&gt;250,4,0)+
IF(#REF!="no",1,0)+
IF(#REF!="Heavy Domestic User",2,0)</f>
        <v>#REF!</v>
      </c>
      <c r="AG2213" t="e">
        <f>IF(#REF!&gt;=10,"High Risk", IF(#REF!&gt;=5,"Medium Risk","Low Risk"))</f>
        <v>#REF!</v>
      </c>
      <c r="AH2213" t="e">
        <f>#REF! + #REF! + #REF! + #REF!</f>
        <v>#REF!</v>
      </c>
    </row>
    <row r="2214" spans="1:34" x14ac:dyDescent="0.35">
      <c r="A2214">
        <v>2213</v>
      </c>
      <c r="B2214" t="s">
        <v>72</v>
      </c>
      <c r="C2214">
        <v>91</v>
      </c>
      <c r="D2214" t="s">
        <v>21</v>
      </c>
      <c r="E2214" t="s">
        <v>22</v>
      </c>
      <c r="F2214" t="s">
        <v>22</v>
      </c>
      <c r="G2214">
        <v>0</v>
      </c>
      <c r="H2214">
        <v>189.3</v>
      </c>
      <c r="I2214">
        <v>100</v>
      </c>
      <c r="J2214">
        <v>32.18</v>
      </c>
      <c r="K2214">
        <v>239.3</v>
      </c>
      <c r="L2214">
        <v>107</v>
      </c>
      <c r="M2214">
        <v>20.34</v>
      </c>
      <c r="N2214">
        <v>89.7</v>
      </c>
      <c r="O2214">
        <v>89</v>
      </c>
      <c r="P2214">
        <v>4.04</v>
      </c>
      <c r="Q2214">
        <v>9.9</v>
      </c>
      <c r="R2214">
        <v>3</v>
      </c>
      <c r="S2214">
        <v>2.67</v>
      </c>
      <c r="T2214">
        <v>3</v>
      </c>
      <c r="U2214" t="s">
        <v>22</v>
      </c>
      <c r="V2214" t="e">
        <f>IF(#REF! = "yes", 1, 0)</f>
        <v>#REF!</v>
      </c>
      <c r="W2214" t="e">
        <f>IF(#REF! &lt;= 1, "0-1 Calls", IF(#REF! &lt;= 3, "2-3 Calls", IF(#REF! &lt;=5, "4-5 Calls", "6+ Calls")))</f>
        <v>#REF!</v>
      </c>
      <c r="X2214" t="e">
        <f>IF(#REF! &lt;= 50, "0-50", IF(#REF! &lt;=100, "51-100", IF(#REF! &lt;= 150, "101-150", "151+")))</f>
        <v>#REF!</v>
      </c>
      <c r="Y2214" t="e">
        <f>IF(#REF! &lt;= 3, "Low Charges", "High Charges")</f>
        <v>#REF!</v>
      </c>
      <c r="Z2214" t="e">
        <f>IF(#REF!&lt;=80,"Low Calls",
IF(#REF!&lt;=120,"Medium Calls","High Calls"))</f>
        <v>#REF!</v>
      </c>
      <c r="AA2214" t="e">
        <f>IF(#REF!&lt;=15,"Low Charges",
IF(#REF!&lt;=20,"Medium Charges","High Charges"))</f>
        <v>#REF!</v>
      </c>
      <c r="AB2214" t="e">
        <f>IF(AND(#REF!&gt;180, #REF!&gt;200), "Heavy Doemstic User", IF(#REF!&gt;10, "Interntional User", IF(AND(#REF!&lt;180, #REF!&lt;200,#REF!&lt;200), "Light User", "Balanced User")))</f>
        <v>#REF!</v>
      </c>
      <c r="AC2214" t="e">
        <f>IF(#REF! = 0, "No Usage", IF(#REF! &lt;= 20, "Low Usage", IF(#REF! &lt;= 40, "Medium Usgae", "High Usage")))</f>
        <v>#REF!</v>
      </c>
      <c r="AD2214" t="e">
        <f>IF(#REF!&lt;=150,"Low Usage", IF(#REF!&lt;=200,"Medium Usage", IF(#REF!&lt;=250,"High Usage","Very High Usage")))</f>
        <v>#REF!</v>
      </c>
      <c r="AE2214" t="e">
        <f>IF(#REF!&lt;=5,"Low Calls", IF(#REF!&lt;=10, "Medium Calls", "High Calls"))</f>
        <v>#REF!</v>
      </c>
      <c r="AF2214" t="e">
        <f xml:space="preserve">
IF(#REF!&gt;=4,4,0)+
IF(#REF!="yes",3,0)+
IF(#REF!="High Charges",3,0)+
IF(#REF!&gt;250,4,0)+
IF(#REF!="no",1,0)+
IF(#REF!="Heavy Domestic User",2,0)</f>
        <v>#REF!</v>
      </c>
      <c r="AG2214" t="e">
        <f>IF(#REF!&gt;=10,"High Risk", IF(#REF!&gt;=5,"Medium Risk","Low Risk"))</f>
        <v>#REF!</v>
      </c>
      <c r="AH2214" t="e">
        <f>#REF! + #REF! + #REF! + #REF!</f>
        <v>#REF!</v>
      </c>
    </row>
    <row r="2215" spans="1:34" x14ac:dyDescent="0.35">
      <c r="A2215">
        <v>2214</v>
      </c>
      <c r="B2215" t="s">
        <v>32</v>
      </c>
      <c r="C2215">
        <v>81</v>
      </c>
      <c r="D2215" t="s">
        <v>25</v>
      </c>
      <c r="E2215" t="s">
        <v>22</v>
      </c>
      <c r="F2215" t="s">
        <v>23</v>
      </c>
      <c r="G2215">
        <v>46</v>
      </c>
      <c r="H2215">
        <v>168.3</v>
      </c>
      <c r="I2215">
        <v>124</v>
      </c>
      <c r="J2215">
        <v>28.61</v>
      </c>
      <c r="K2215">
        <v>270.89999999999998</v>
      </c>
      <c r="L2215">
        <v>103</v>
      </c>
      <c r="M2215">
        <v>23.03</v>
      </c>
      <c r="N2215">
        <v>222.5</v>
      </c>
      <c r="O2215">
        <v>98</v>
      </c>
      <c r="P2215">
        <v>10.01</v>
      </c>
      <c r="Q2215">
        <v>6.7</v>
      </c>
      <c r="R2215">
        <v>2</v>
      </c>
      <c r="S2215">
        <v>1.81</v>
      </c>
      <c r="T2215">
        <v>4</v>
      </c>
      <c r="U2215" t="s">
        <v>22</v>
      </c>
      <c r="V2215" t="e">
        <f>IF(#REF! = "yes", 1, 0)</f>
        <v>#REF!</v>
      </c>
      <c r="W2215" t="e">
        <f>IF(#REF! &lt;= 1, "0-1 Calls", IF(#REF! &lt;= 3, "2-3 Calls", IF(#REF! &lt;=5, "4-5 Calls", "6+ Calls")))</f>
        <v>#REF!</v>
      </c>
      <c r="X2215" t="e">
        <f>IF(#REF! &lt;= 50, "0-50", IF(#REF! &lt;=100, "51-100", IF(#REF! &lt;= 150, "101-150", "151+")))</f>
        <v>#REF!</v>
      </c>
      <c r="Y2215" t="e">
        <f>IF(#REF! &lt;= 3, "Low Charges", "High Charges")</f>
        <v>#REF!</v>
      </c>
      <c r="Z2215" t="e">
        <f>IF(#REF!&lt;=80,"Low Calls",
IF(#REF!&lt;=120,"Medium Calls","High Calls"))</f>
        <v>#REF!</v>
      </c>
      <c r="AA2215" t="e">
        <f>IF(#REF!&lt;=15,"Low Charges",
IF(#REF!&lt;=20,"Medium Charges","High Charges"))</f>
        <v>#REF!</v>
      </c>
      <c r="AB2215" t="e">
        <f>IF(AND(#REF!&gt;180, #REF!&gt;200), "Heavy Doemstic User", IF(#REF!&gt;10, "Interntional User", IF(AND(#REF!&lt;180, #REF!&lt;200,#REF!&lt;200), "Light User", "Balanced User")))</f>
        <v>#REF!</v>
      </c>
      <c r="AC2215" t="e">
        <f>IF(#REF! = 0, "No Usage", IF(#REF! &lt;= 20, "Low Usage", IF(#REF! &lt;= 40, "Medium Usgae", "High Usage")))</f>
        <v>#REF!</v>
      </c>
      <c r="AD2215" t="e">
        <f>IF(#REF!&lt;=150,"Low Usage", IF(#REF!&lt;=200,"Medium Usage", IF(#REF!&lt;=250,"High Usage","Very High Usage")))</f>
        <v>#REF!</v>
      </c>
      <c r="AE2215" t="e">
        <f>IF(#REF!&lt;=5,"Low Calls", IF(#REF!&lt;=10, "Medium Calls", "High Calls"))</f>
        <v>#REF!</v>
      </c>
      <c r="AF2215" t="e">
        <f xml:space="preserve">
IF(#REF!&gt;=4,4,0)+
IF(#REF!="yes",3,0)+
IF(#REF!="High Charges",3,0)+
IF(#REF!&gt;250,4,0)+
IF(#REF!="no",1,0)+
IF(#REF!="Heavy Domestic User",2,0)</f>
        <v>#REF!</v>
      </c>
      <c r="AG2215" t="e">
        <f>IF(#REF!&gt;=10,"High Risk", IF(#REF!&gt;=5,"Medium Risk","Low Risk"))</f>
        <v>#REF!</v>
      </c>
      <c r="AH2215" t="e">
        <f>#REF! + #REF! + #REF! + #REF!</f>
        <v>#REF!</v>
      </c>
    </row>
    <row r="2216" spans="1:34" x14ac:dyDescent="0.35">
      <c r="A2216">
        <v>2215</v>
      </c>
      <c r="B2216" t="s">
        <v>55</v>
      </c>
      <c r="C2216">
        <v>116</v>
      </c>
      <c r="D2216" t="s">
        <v>21</v>
      </c>
      <c r="E2216" t="s">
        <v>22</v>
      </c>
      <c r="F2216" t="s">
        <v>23</v>
      </c>
      <c r="G2216">
        <v>24</v>
      </c>
      <c r="H2216">
        <v>232.9</v>
      </c>
      <c r="I2216">
        <v>90</v>
      </c>
      <c r="J2216">
        <v>39.590000000000003</v>
      </c>
      <c r="K2216">
        <v>152.1</v>
      </c>
      <c r="L2216">
        <v>94</v>
      </c>
      <c r="M2216">
        <v>12.93</v>
      </c>
      <c r="N2216">
        <v>344.3</v>
      </c>
      <c r="O2216">
        <v>82</v>
      </c>
      <c r="P2216">
        <v>15.49</v>
      </c>
      <c r="Q2216">
        <v>10.7</v>
      </c>
      <c r="R2216">
        <v>6</v>
      </c>
      <c r="S2216">
        <v>2.89</v>
      </c>
      <c r="T2216">
        <v>1</v>
      </c>
      <c r="U2216" t="s">
        <v>22</v>
      </c>
      <c r="V2216" t="e">
        <f>IF(#REF! = "yes", 1, 0)</f>
        <v>#REF!</v>
      </c>
      <c r="W2216" t="e">
        <f>IF(#REF! &lt;= 1, "0-1 Calls", IF(#REF! &lt;= 3, "2-3 Calls", IF(#REF! &lt;=5, "4-5 Calls", "6+ Calls")))</f>
        <v>#REF!</v>
      </c>
      <c r="X2216" t="e">
        <f>IF(#REF! &lt;= 50, "0-50", IF(#REF! &lt;=100, "51-100", IF(#REF! &lt;= 150, "101-150", "151+")))</f>
        <v>#REF!</v>
      </c>
      <c r="Y2216" t="e">
        <f>IF(#REF! &lt;= 3, "Low Charges", "High Charges")</f>
        <v>#REF!</v>
      </c>
      <c r="Z2216" t="e">
        <f>IF(#REF!&lt;=80,"Low Calls",
IF(#REF!&lt;=120,"Medium Calls","High Calls"))</f>
        <v>#REF!</v>
      </c>
      <c r="AA2216" t="e">
        <f>IF(#REF!&lt;=15,"Low Charges",
IF(#REF!&lt;=20,"Medium Charges","High Charges"))</f>
        <v>#REF!</v>
      </c>
      <c r="AB2216" t="e">
        <f>IF(AND(#REF!&gt;180, #REF!&gt;200), "Heavy Doemstic User", IF(#REF!&gt;10, "Interntional User", IF(AND(#REF!&lt;180, #REF!&lt;200,#REF!&lt;200), "Light User", "Balanced User")))</f>
        <v>#REF!</v>
      </c>
      <c r="AC2216" t="e">
        <f>IF(#REF! = 0, "No Usage", IF(#REF! &lt;= 20, "Low Usage", IF(#REF! &lt;= 40, "Medium Usgae", "High Usage")))</f>
        <v>#REF!</v>
      </c>
      <c r="AD2216" t="e">
        <f>IF(#REF!&lt;=150,"Low Usage", IF(#REF!&lt;=200,"Medium Usage", IF(#REF!&lt;=250,"High Usage","Very High Usage")))</f>
        <v>#REF!</v>
      </c>
      <c r="AE2216" t="e">
        <f>IF(#REF!&lt;=5,"Low Calls", IF(#REF!&lt;=10, "Medium Calls", "High Calls"))</f>
        <v>#REF!</v>
      </c>
      <c r="AF2216" t="e">
        <f xml:space="preserve">
IF(#REF!&gt;=4,4,0)+
IF(#REF!="yes",3,0)+
IF(#REF!="High Charges",3,0)+
IF(#REF!&gt;250,4,0)+
IF(#REF!="no",1,0)+
IF(#REF!="Heavy Domestic User",2,0)</f>
        <v>#REF!</v>
      </c>
      <c r="AG2216" t="e">
        <f>IF(#REF!&gt;=10,"High Risk", IF(#REF!&gt;=5,"Medium Risk","Low Risk"))</f>
        <v>#REF!</v>
      </c>
      <c r="AH2216" t="e">
        <f>#REF! + #REF! + #REF! + #REF!</f>
        <v>#REF!</v>
      </c>
    </row>
    <row r="2217" spans="1:34" x14ac:dyDescent="0.35">
      <c r="A2217">
        <v>2216</v>
      </c>
      <c r="B2217" t="s">
        <v>30</v>
      </c>
      <c r="C2217">
        <v>69</v>
      </c>
      <c r="D2217" t="s">
        <v>21</v>
      </c>
      <c r="E2217" t="s">
        <v>22</v>
      </c>
      <c r="F2217" t="s">
        <v>23</v>
      </c>
      <c r="G2217">
        <v>37</v>
      </c>
      <c r="H2217">
        <v>155</v>
      </c>
      <c r="I2217">
        <v>98</v>
      </c>
      <c r="J2217">
        <v>26.35</v>
      </c>
      <c r="K2217">
        <v>142.4</v>
      </c>
      <c r="L2217">
        <v>105</v>
      </c>
      <c r="M2217">
        <v>12.1</v>
      </c>
      <c r="N2217">
        <v>143.69999999999999</v>
      </c>
      <c r="O2217">
        <v>117</v>
      </c>
      <c r="P2217">
        <v>6.47</v>
      </c>
      <c r="Q2217">
        <v>5.9</v>
      </c>
      <c r="R2217">
        <v>4</v>
      </c>
      <c r="S2217">
        <v>1.59</v>
      </c>
      <c r="T2217">
        <v>1</v>
      </c>
      <c r="U2217" t="s">
        <v>22</v>
      </c>
      <c r="V2217" t="e">
        <f>IF(#REF! = "yes", 1, 0)</f>
        <v>#REF!</v>
      </c>
      <c r="W2217" t="e">
        <f>IF(#REF! &lt;= 1, "0-1 Calls", IF(#REF! &lt;= 3, "2-3 Calls", IF(#REF! &lt;=5, "4-5 Calls", "6+ Calls")))</f>
        <v>#REF!</v>
      </c>
      <c r="X2217" t="e">
        <f>IF(#REF! &lt;= 50, "0-50", IF(#REF! &lt;=100, "51-100", IF(#REF! &lt;= 150, "101-150", "151+")))</f>
        <v>#REF!</v>
      </c>
      <c r="Y2217" t="e">
        <f>IF(#REF! &lt;= 3, "Low Charges", "High Charges")</f>
        <v>#REF!</v>
      </c>
      <c r="Z2217" t="e">
        <f>IF(#REF!&lt;=80,"Low Calls",
IF(#REF!&lt;=120,"Medium Calls","High Calls"))</f>
        <v>#REF!</v>
      </c>
      <c r="AA2217" t="e">
        <f>IF(#REF!&lt;=15,"Low Charges",
IF(#REF!&lt;=20,"Medium Charges","High Charges"))</f>
        <v>#REF!</v>
      </c>
      <c r="AB2217" t="e">
        <f>IF(AND(#REF!&gt;180, #REF!&gt;200), "Heavy Doemstic User", IF(#REF!&gt;10, "Interntional User", IF(AND(#REF!&lt;180, #REF!&lt;200,#REF!&lt;200), "Light User", "Balanced User")))</f>
        <v>#REF!</v>
      </c>
      <c r="AC2217" t="e">
        <f>IF(#REF! = 0, "No Usage", IF(#REF! &lt;= 20, "Low Usage", IF(#REF! &lt;= 40, "Medium Usgae", "High Usage")))</f>
        <v>#REF!</v>
      </c>
      <c r="AD2217" t="e">
        <f>IF(#REF!&lt;=150,"Low Usage", IF(#REF!&lt;=200,"Medium Usage", IF(#REF!&lt;=250,"High Usage","Very High Usage")))</f>
        <v>#REF!</v>
      </c>
      <c r="AE2217" t="e">
        <f>IF(#REF!&lt;=5,"Low Calls", IF(#REF!&lt;=10, "Medium Calls", "High Calls"))</f>
        <v>#REF!</v>
      </c>
      <c r="AF2217" t="e">
        <f xml:space="preserve">
IF(#REF!&gt;=4,4,0)+
IF(#REF!="yes",3,0)+
IF(#REF!="High Charges",3,0)+
IF(#REF!&gt;250,4,0)+
IF(#REF!="no",1,0)+
IF(#REF!="Heavy Domestic User",2,0)</f>
        <v>#REF!</v>
      </c>
      <c r="AG2217" t="e">
        <f>IF(#REF!&gt;=10,"High Risk", IF(#REF!&gt;=5,"Medium Risk","Low Risk"))</f>
        <v>#REF!</v>
      </c>
      <c r="AH2217" t="e">
        <f>#REF! + #REF! + #REF! + #REF!</f>
        <v>#REF!</v>
      </c>
    </row>
    <row r="2218" spans="1:34" x14ac:dyDescent="0.35">
      <c r="A2218">
        <v>2217</v>
      </c>
      <c r="B2218" t="s">
        <v>37</v>
      </c>
      <c r="C2218">
        <v>135</v>
      </c>
      <c r="D2218" t="s">
        <v>28</v>
      </c>
      <c r="E2218" t="s">
        <v>22</v>
      </c>
      <c r="F2218" t="s">
        <v>22</v>
      </c>
      <c r="G2218">
        <v>0</v>
      </c>
      <c r="H2218">
        <v>154.4</v>
      </c>
      <c r="I2218">
        <v>130</v>
      </c>
      <c r="J2218">
        <v>26.25</v>
      </c>
      <c r="K2218">
        <v>203.8</v>
      </c>
      <c r="L2218">
        <v>90</v>
      </c>
      <c r="M2218">
        <v>17.32</v>
      </c>
      <c r="N2218">
        <v>158.69999999999999</v>
      </c>
      <c r="O2218">
        <v>59</v>
      </c>
      <c r="P2218">
        <v>7.14</v>
      </c>
      <c r="Q2218">
        <v>11.8</v>
      </c>
      <c r="R2218">
        <v>3</v>
      </c>
      <c r="S2218">
        <v>3.19</v>
      </c>
      <c r="T2218">
        <v>0</v>
      </c>
      <c r="U2218" t="s">
        <v>22</v>
      </c>
      <c r="V2218" t="e">
        <f>IF(#REF! = "yes", 1, 0)</f>
        <v>#REF!</v>
      </c>
      <c r="W2218" t="e">
        <f>IF(#REF! &lt;= 1, "0-1 Calls", IF(#REF! &lt;= 3, "2-3 Calls", IF(#REF! &lt;=5, "4-5 Calls", "6+ Calls")))</f>
        <v>#REF!</v>
      </c>
      <c r="X2218" t="e">
        <f>IF(#REF! &lt;= 50, "0-50", IF(#REF! &lt;=100, "51-100", IF(#REF! &lt;= 150, "101-150", "151+")))</f>
        <v>#REF!</v>
      </c>
      <c r="Y2218" t="e">
        <f>IF(#REF! &lt;= 3, "Low Charges", "High Charges")</f>
        <v>#REF!</v>
      </c>
      <c r="Z2218" t="e">
        <f>IF(#REF!&lt;=80,"Low Calls",
IF(#REF!&lt;=120,"Medium Calls","High Calls"))</f>
        <v>#REF!</v>
      </c>
      <c r="AA2218" t="e">
        <f>IF(#REF!&lt;=15,"Low Charges",
IF(#REF!&lt;=20,"Medium Charges","High Charges"))</f>
        <v>#REF!</v>
      </c>
      <c r="AB2218" t="e">
        <f>IF(AND(#REF!&gt;180, #REF!&gt;200), "Heavy Doemstic User", IF(#REF!&gt;10, "Interntional User", IF(AND(#REF!&lt;180, #REF!&lt;200,#REF!&lt;200), "Light User", "Balanced User")))</f>
        <v>#REF!</v>
      </c>
      <c r="AC2218" t="e">
        <f>IF(#REF! = 0, "No Usage", IF(#REF! &lt;= 20, "Low Usage", IF(#REF! &lt;= 40, "Medium Usgae", "High Usage")))</f>
        <v>#REF!</v>
      </c>
      <c r="AD2218" t="e">
        <f>IF(#REF!&lt;=150,"Low Usage", IF(#REF!&lt;=200,"Medium Usage", IF(#REF!&lt;=250,"High Usage","Very High Usage")))</f>
        <v>#REF!</v>
      </c>
      <c r="AE2218" t="e">
        <f>IF(#REF!&lt;=5,"Low Calls", IF(#REF!&lt;=10, "Medium Calls", "High Calls"))</f>
        <v>#REF!</v>
      </c>
      <c r="AF2218" t="e">
        <f xml:space="preserve">
IF(#REF!&gt;=4,4,0)+
IF(#REF!="yes",3,0)+
IF(#REF!="High Charges",3,0)+
IF(#REF!&gt;250,4,0)+
IF(#REF!="no",1,0)+
IF(#REF!="Heavy Domestic User",2,0)</f>
        <v>#REF!</v>
      </c>
      <c r="AG2218" t="e">
        <f>IF(#REF!&gt;=10,"High Risk", IF(#REF!&gt;=5,"Medium Risk","Low Risk"))</f>
        <v>#REF!</v>
      </c>
      <c r="AH2218" t="e">
        <f>#REF! + #REF! + #REF! + #REF!</f>
        <v>#REF!</v>
      </c>
    </row>
    <row r="2219" spans="1:34" x14ac:dyDescent="0.35">
      <c r="A2219">
        <v>2218</v>
      </c>
      <c r="B2219" t="s">
        <v>65</v>
      </c>
      <c r="C2219">
        <v>73</v>
      </c>
      <c r="D2219" t="s">
        <v>28</v>
      </c>
      <c r="E2219" t="s">
        <v>22</v>
      </c>
      <c r="F2219" t="s">
        <v>22</v>
      </c>
      <c r="G2219">
        <v>0</v>
      </c>
      <c r="H2219">
        <v>234.7</v>
      </c>
      <c r="I2219">
        <v>102</v>
      </c>
      <c r="J2219">
        <v>39.9</v>
      </c>
      <c r="K2219">
        <v>195.7</v>
      </c>
      <c r="L2219">
        <v>110</v>
      </c>
      <c r="M2219">
        <v>16.63</v>
      </c>
      <c r="N2219">
        <v>253.4</v>
      </c>
      <c r="O2219">
        <v>71</v>
      </c>
      <c r="P2219">
        <v>11.4</v>
      </c>
      <c r="Q2219">
        <v>8.4</v>
      </c>
      <c r="R2219">
        <v>8</v>
      </c>
      <c r="S2219">
        <v>2.27</v>
      </c>
      <c r="T2219">
        <v>2</v>
      </c>
      <c r="U2219" t="s">
        <v>22</v>
      </c>
      <c r="V2219" t="e">
        <f>IF(#REF! = "yes", 1, 0)</f>
        <v>#REF!</v>
      </c>
      <c r="W2219" t="e">
        <f>IF(#REF! &lt;= 1, "0-1 Calls", IF(#REF! &lt;= 3, "2-3 Calls", IF(#REF! &lt;=5, "4-5 Calls", "6+ Calls")))</f>
        <v>#REF!</v>
      </c>
      <c r="X2219" t="e">
        <f>IF(#REF! &lt;= 50, "0-50", IF(#REF! &lt;=100, "51-100", IF(#REF! &lt;= 150, "101-150", "151+")))</f>
        <v>#REF!</v>
      </c>
      <c r="Y2219" t="e">
        <f>IF(#REF! &lt;= 3, "Low Charges", "High Charges")</f>
        <v>#REF!</v>
      </c>
      <c r="Z2219" t="e">
        <f>IF(#REF!&lt;=80,"Low Calls",
IF(#REF!&lt;=120,"Medium Calls","High Calls"))</f>
        <v>#REF!</v>
      </c>
      <c r="AA2219" t="e">
        <f>IF(#REF!&lt;=15,"Low Charges",
IF(#REF!&lt;=20,"Medium Charges","High Charges"))</f>
        <v>#REF!</v>
      </c>
      <c r="AB2219" t="e">
        <f>IF(AND(#REF!&gt;180, #REF!&gt;200), "Heavy Doemstic User", IF(#REF!&gt;10, "Interntional User", IF(AND(#REF!&lt;180, #REF!&lt;200,#REF!&lt;200), "Light User", "Balanced User")))</f>
        <v>#REF!</v>
      </c>
      <c r="AC2219" t="e">
        <f>IF(#REF! = 0, "No Usage", IF(#REF! &lt;= 20, "Low Usage", IF(#REF! &lt;= 40, "Medium Usgae", "High Usage")))</f>
        <v>#REF!</v>
      </c>
      <c r="AD2219" t="e">
        <f>IF(#REF!&lt;=150,"Low Usage", IF(#REF!&lt;=200,"Medium Usage", IF(#REF!&lt;=250,"High Usage","Very High Usage")))</f>
        <v>#REF!</v>
      </c>
      <c r="AE2219" t="e">
        <f>IF(#REF!&lt;=5,"Low Calls", IF(#REF!&lt;=10, "Medium Calls", "High Calls"))</f>
        <v>#REF!</v>
      </c>
      <c r="AF2219" t="e">
        <f xml:space="preserve">
IF(#REF!&gt;=4,4,0)+
IF(#REF!="yes",3,0)+
IF(#REF!="High Charges",3,0)+
IF(#REF!&gt;250,4,0)+
IF(#REF!="no",1,0)+
IF(#REF!="Heavy Domestic User",2,0)</f>
        <v>#REF!</v>
      </c>
      <c r="AG2219" t="e">
        <f>IF(#REF!&gt;=10,"High Risk", IF(#REF!&gt;=5,"Medium Risk","Low Risk"))</f>
        <v>#REF!</v>
      </c>
      <c r="AH2219" t="e">
        <f>#REF! + #REF! + #REF! + #REF!</f>
        <v>#REF!</v>
      </c>
    </row>
    <row r="2220" spans="1:34" x14ac:dyDescent="0.35">
      <c r="A2220">
        <v>2219</v>
      </c>
      <c r="B2220" t="s">
        <v>46</v>
      </c>
      <c r="C2220">
        <v>125</v>
      </c>
      <c r="D2220" t="s">
        <v>21</v>
      </c>
      <c r="E2220" t="s">
        <v>23</v>
      </c>
      <c r="F2220" t="s">
        <v>22</v>
      </c>
      <c r="G2220">
        <v>0</v>
      </c>
      <c r="H2220">
        <v>298.39999999999998</v>
      </c>
      <c r="I2220">
        <v>78</v>
      </c>
      <c r="J2220">
        <v>50.73</v>
      </c>
      <c r="K2220">
        <v>270.5</v>
      </c>
      <c r="L2220">
        <v>142</v>
      </c>
      <c r="M2220">
        <v>22.99</v>
      </c>
      <c r="N2220">
        <v>107.3</v>
      </c>
      <c r="O2220">
        <v>84</v>
      </c>
      <c r="P2220">
        <v>4.83</v>
      </c>
      <c r="Q2220">
        <v>12.2</v>
      </c>
      <c r="R2220">
        <v>2</v>
      </c>
      <c r="S2220">
        <v>3.29</v>
      </c>
      <c r="T2220">
        <v>0</v>
      </c>
      <c r="U2220" t="s">
        <v>23</v>
      </c>
      <c r="V2220" t="e">
        <f>IF(#REF! = "yes", 1, 0)</f>
        <v>#REF!</v>
      </c>
      <c r="W2220" t="e">
        <f>IF(#REF! &lt;= 1, "0-1 Calls", IF(#REF! &lt;= 3, "2-3 Calls", IF(#REF! &lt;=5, "4-5 Calls", "6+ Calls")))</f>
        <v>#REF!</v>
      </c>
      <c r="X2220" t="e">
        <f>IF(#REF! &lt;= 50, "0-50", IF(#REF! &lt;=100, "51-100", IF(#REF! &lt;= 150, "101-150", "151+")))</f>
        <v>#REF!</v>
      </c>
      <c r="Y2220" t="e">
        <f>IF(#REF! &lt;= 3, "Low Charges", "High Charges")</f>
        <v>#REF!</v>
      </c>
      <c r="Z2220" t="e">
        <f>IF(#REF!&lt;=80,"Low Calls",
IF(#REF!&lt;=120,"Medium Calls","High Calls"))</f>
        <v>#REF!</v>
      </c>
      <c r="AA2220" t="e">
        <f>IF(#REF!&lt;=15,"Low Charges",
IF(#REF!&lt;=20,"Medium Charges","High Charges"))</f>
        <v>#REF!</v>
      </c>
      <c r="AB2220" t="e">
        <f>IF(AND(#REF!&gt;180, #REF!&gt;200), "Heavy Doemstic User", IF(#REF!&gt;10, "Interntional User", IF(AND(#REF!&lt;180, #REF!&lt;200,#REF!&lt;200), "Light User", "Balanced User")))</f>
        <v>#REF!</v>
      </c>
      <c r="AC2220" t="e">
        <f>IF(#REF! = 0, "No Usage", IF(#REF! &lt;= 20, "Low Usage", IF(#REF! &lt;= 40, "Medium Usgae", "High Usage")))</f>
        <v>#REF!</v>
      </c>
      <c r="AD2220" t="e">
        <f>IF(#REF!&lt;=150,"Low Usage", IF(#REF!&lt;=200,"Medium Usage", IF(#REF!&lt;=250,"High Usage","Very High Usage")))</f>
        <v>#REF!</v>
      </c>
      <c r="AE2220" t="e">
        <f>IF(#REF!&lt;=5,"Low Calls", IF(#REF!&lt;=10, "Medium Calls", "High Calls"))</f>
        <v>#REF!</v>
      </c>
      <c r="AF2220" t="e">
        <f xml:space="preserve">
IF(#REF!&gt;=4,4,0)+
IF(#REF!="yes",3,0)+
IF(#REF!="High Charges",3,0)+
IF(#REF!&gt;250,4,0)+
IF(#REF!="no",1,0)+
IF(#REF!="Heavy Domestic User",2,0)</f>
        <v>#REF!</v>
      </c>
      <c r="AG2220" t="e">
        <f>IF(#REF!&gt;=10,"High Risk", IF(#REF!&gt;=5,"Medium Risk","Low Risk"))</f>
        <v>#REF!</v>
      </c>
      <c r="AH2220" t="e">
        <f>#REF! + #REF! + #REF! + #REF!</f>
        <v>#REF!</v>
      </c>
    </row>
    <row r="2221" spans="1:34" x14ac:dyDescent="0.35">
      <c r="A2221">
        <v>2220</v>
      </c>
      <c r="B2221" t="s">
        <v>52</v>
      </c>
      <c r="C2221">
        <v>165</v>
      </c>
      <c r="D2221" t="s">
        <v>21</v>
      </c>
      <c r="E2221" t="s">
        <v>22</v>
      </c>
      <c r="F2221" t="s">
        <v>23</v>
      </c>
      <c r="G2221">
        <v>33</v>
      </c>
      <c r="H2221">
        <v>111.6</v>
      </c>
      <c r="I2221">
        <v>140</v>
      </c>
      <c r="J2221">
        <v>18.97</v>
      </c>
      <c r="K2221">
        <v>213.3</v>
      </c>
      <c r="L2221">
        <v>111</v>
      </c>
      <c r="M2221">
        <v>18.13</v>
      </c>
      <c r="N2221">
        <v>267.60000000000002</v>
      </c>
      <c r="O2221">
        <v>115</v>
      </c>
      <c r="P2221">
        <v>12.04</v>
      </c>
      <c r="Q2221">
        <v>16</v>
      </c>
      <c r="R2221">
        <v>3</v>
      </c>
      <c r="S2221">
        <v>4.32</v>
      </c>
      <c r="T2221">
        <v>0</v>
      </c>
      <c r="U2221" t="s">
        <v>22</v>
      </c>
      <c r="V2221" t="e">
        <f>IF(#REF! = "yes", 1, 0)</f>
        <v>#REF!</v>
      </c>
      <c r="W2221" t="e">
        <f>IF(#REF! &lt;= 1, "0-1 Calls", IF(#REF! &lt;= 3, "2-3 Calls", IF(#REF! &lt;=5, "4-5 Calls", "6+ Calls")))</f>
        <v>#REF!</v>
      </c>
      <c r="X2221" t="e">
        <f>IF(#REF! &lt;= 50, "0-50", IF(#REF! &lt;=100, "51-100", IF(#REF! &lt;= 150, "101-150", "151+")))</f>
        <v>#REF!</v>
      </c>
      <c r="Y2221" t="e">
        <f>IF(#REF! &lt;= 3, "Low Charges", "High Charges")</f>
        <v>#REF!</v>
      </c>
      <c r="Z2221" t="e">
        <f>IF(#REF!&lt;=80,"Low Calls",
IF(#REF!&lt;=120,"Medium Calls","High Calls"))</f>
        <v>#REF!</v>
      </c>
      <c r="AA2221" t="e">
        <f>IF(#REF!&lt;=15,"Low Charges",
IF(#REF!&lt;=20,"Medium Charges","High Charges"))</f>
        <v>#REF!</v>
      </c>
      <c r="AB2221" t="e">
        <f>IF(AND(#REF!&gt;180, #REF!&gt;200), "Heavy Doemstic User", IF(#REF!&gt;10, "Interntional User", IF(AND(#REF!&lt;180, #REF!&lt;200,#REF!&lt;200), "Light User", "Balanced User")))</f>
        <v>#REF!</v>
      </c>
      <c r="AC2221" t="e">
        <f>IF(#REF! = 0, "No Usage", IF(#REF! &lt;= 20, "Low Usage", IF(#REF! &lt;= 40, "Medium Usgae", "High Usage")))</f>
        <v>#REF!</v>
      </c>
      <c r="AD2221" t="e">
        <f>IF(#REF!&lt;=150,"Low Usage", IF(#REF!&lt;=200,"Medium Usage", IF(#REF!&lt;=250,"High Usage","Very High Usage")))</f>
        <v>#REF!</v>
      </c>
      <c r="AE2221" t="e">
        <f>IF(#REF!&lt;=5,"Low Calls", IF(#REF!&lt;=10, "Medium Calls", "High Calls"))</f>
        <v>#REF!</v>
      </c>
      <c r="AF2221" t="e">
        <f xml:space="preserve">
IF(#REF!&gt;=4,4,0)+
IF(#REF!="yes",3,0)+
IF(#REF!="High Charges",3,0)+
IF(#REF!&gt;250,4,0)+
IF(#REF!="no",1,0)+
IF(#REF!="Heavy Domestic User",2,0)</f>
        <v>#REF!</v>
      </c>
      <c r="AG2221" t="e">
        <f>IF(#REF!&gt;=10,"High Risk", IF(#REF!&gt;=5,"Medium Risk","Low Risk"))</f>
        <v>#REF!</v>
      </c>
      <c r="AH2221" t="e">
        <f>#REF! + #REF! + #REF! + #REF!</f>
        <v>#REF!</v>
      </c>
    </row>
    <row r="2222" spans="1:34" x14ac:dyDescent="0.35">
      <c r="A2222">
        <v>2221</v>
      </c>
      <c r="B2222" t="s">
        <v>57</v>
      </c>
      <c r="C2222">
        <v>64</v>
      </c>
      <c r="D2222" t="s">
        <v>21</v>
      </c>
      <c r="E2222" t="s">
        <v>22</v>
      </c>
      <c r="F2222" t="s">
        <v>22</v>
      </c>
      <c r="G2222">
        <v>0</v>
      </c>
      <c r="H2222">
        <v>174.5</v>
      </c>
      <c r="I2222">
        <v>98</v>
      </c>
      <c r="J2222">
        <v>29.67</v>
      </c>
      <c r="K2222">
        <v>180.2</v>
      </c>
      <c r="L2222">
        <v>103</v>
      </c>
      <c r="M2222">
        <v>15.32</v>
      </c>
      <c r="N2222">
        <v>179</v>
      </c>
      <c r="O2222">
        <v>89</v>
      </c>
      <c r="P2222">
        <v>8.06</v>
      </c>
      <c r="Q2222">
        <v>10.7</v>
      </c>
      <c r="R2222">
        <v>2</v>
      </c>
      <c r="S2222">
        <v>2.89</v>
      </c>
      <c r="T2222">
        <v>2</v>
      </c>
      <c r="U2222" t="s">
        <v>22</v>
      </c>
      <c r="V2222" t="e">
        <f>IF(#REF! = "yes", 1, 0)</f>
        <v>#REF!</v>
      </c>
      <c r="W2222" t="e">
        <f>IF(#REF! &lt;= 1, "0-1 Calls", IF(#REF! &lt;= 3, "2-3 Calls", IF(#REF! &lt;=5, "4-5 Calls", "6+ Calls")))</f>
        <v>#REF!</v>
      </c>
      <c r="X2222" t="e">
        <f>IF(#REF! &lt;= 50, "0-50", IF(#REF! &lt;=100, "51-100", IF(#REF! &lt;= 150, "101-150", "151+")))</f>
        <v>#REF!</v>
      </c>
      <c r="Y2222" t="e">
        <f>IF(#REF! &lt;= 3, "Low Charges", "High Charges")</f>
        <v>#REF!</v>
      </c>
      <c r="Z2222" t="e">
        <f>IF(#REF!&lt;=80,"Low Calls",
IF(#REF!&lt;=120,"Medium Calls","High Calls"))</f>
        <v>#REF!</v>
      </c>
      <c r="AA2222" t="e">
        <f>IF(#REF!&lt;=15,"Low Charges",
IF(#REF!&lt;=20,"Medium Charges","High Charges"))</f>
        <v>#REF!</v>
      </c>
      <c r="AB2222" t="e">
        <f>IF(AND(#REF!&gt;180, #REF!&gt;200), "Heavy Doemstic User", IF(#REF!&gt;10, "Interntional User", IF(AND(#REF!&lt;180, #REF!&lt;200,#REF!&lt;200), "Light User", "Balanced User")))</f>
        <v>#REF!</v>
      </c>
      <c r="AC2222" t="e">
        <f>IF(#REF! = 0, "No Usage", IF(#REF! &lt;= 20, "Low Usage", IF(#REF! &lt;= 40, "Medium Usgae", "High Usage")))</f>
        <v>#REF!</v>
      </c>
      <c r="AD2222" t="e">
        <f>IF(#REF!&lt;=150,"Low Usage", IF(#REF!&lt;=200,"Medium Usage", IF(#REF!&lt;=250,"High Usage","Very High Usage")))</f>
        <v>#REF!</v>
      </c>
      <c r="AE2222" t="e">
        <f>IF(#REF!&lt;=5,"Low Calls", IF(#REF!&lt;=10, "Medium Calls", "High Calls"))</f>
        <v>#REF!</v>
      </c>
      <c r="AF2222" t="e">
        <f xml:space="preserve">
IF(#REF!&gt;=4,4,0)+
IF(#REF!="yes",3,0)+
IF(#REF!="High Charges",3,0)+
IF(#REF!&gt;250,4,0)+
IF(#REF!="no",1,0)+
IF(#REF!="Heavy Domestic User",2,0)</f>
        <v>#REF!</v>
      </c>
      <c r="AG2222" t="e">
        <f>IF(#REF!&gt;=10,"High Risk", IF(#REF!&gt;=5,"Medium Risk","Low Risk"))</f>
        <v>#REF!</v>
      </c>
      <c r="AH2222" t="e">
        <f>#REF! + #REF! + #REF! + #REF!</f>
        <v>#REF!</v>
      </c>
    </row>
    <row r="2223" spans="1:34" x14ac:dyDescent="0.35">
      <c r="A2223">
        <v>2222</v>
      </c>
      <c r="B2223" t="s">
        <v>49</v>
      </c>
      <c r="C2223">
        <v>116</v>
      </c>
      <c r="D2223" t="s">
        <v>28</v>
      </c>
      <c r="E2223" t="s">
        <v>23</v>
      </c>
      <c r="F2223" t="s">
        <v>23</v>
      </c>
      <c r="G2223">
        <v>27</v>
      </c>
      <c r="H2223">
        <v>175.5</v>
      </c>
      <c r="I2223">
        <v>137</v>
      </c>
      <c r="J2223">
        <v>29.84</v>
      </c>
      <c r="K2223">
        <v>210.6</v>
      </c>
      <c r="L2223">
        <v>60</v>
      </c>
      <c r="M2223">
        <v>17.899999999999999</v>
      </c>
      <c r="N2223">
        <v>294.8</v>
      </c>
      <c r="O2223">
        <v>121</v>
      </c>
      <c r="P2223">
        <v>13.27</v>
      </c>
      <c r="Q2223">
        <v>6.9</v>
      </c>
      <c r="R2223">
        <v>5</v>
      </c>
      <c r="S2223">
        <v>1.86</v>
      </c>
      <c r="T2223">
        <v>1</v>
      </c>
      <c r="U2223" t="s">
        <v>22</v>
      </c>
      <c r="V2223" t="e">
        <f>IF(#REF! = "yes", 1, 0)</f>
        <v>#REF!</v>
      </c>
      <c r="W2223" t="e">
        <f>IF(#REF! &lt;= 1, "0-1 Calls", IF(#REF! &lt;= 3, "2-3 Calls", IF(#REF! &lt;=5, "4-5 Calls", "6+ Calls")))</f>
        <v>#REF!</v>
      </c>
      <c r="X2223" t="e">
        <f>IF(#REF! &lt;= 50, "0-50", IF(#REF! &lt;=100, "51-100", IF(#REF! &lt;= 150, "101-150", "151+")))</f>
        <v>#REF!</v>
      </c>
      <c r="Y2223" t="e">
        <f>IF(#REF! &lt;= 3, "Low Charges", "High Charges")</f>
        <v>#REF!</v>
      </c>
      <c r="Z2223" t="e">
        <f>IF(#REF!&lt;=80,"Low Calls",
IF(#REF!&lt;=120,"Medium Calls","High Calls"))</f>
        <v>#REF!</v>
      </c>
      <c r="AA2223" t="e">
        <f>IF(#REF!&lt;=15,"Low Charges",
IF(#REF!&lt;=20,"Medium Charges","High Charges"))</f>
        <v>#REF!</v>
      </c>
      <c r="AB2223" t="e">
        <f>IF(AND(#REF!&gt;180, #REF!&gt;200), "Heavy Doemstic User", IF(#REF!&gt;10, "Interntional User", IF(AND(#REF!&lt;180, #REF!&lt;200,#REF!&lt;200), "Light User", "Balanced User")))</f>
        <v>#REF!</v>
      </c>
      <c r="AC2223" t="e">
        <f>IF(#REF! = 0, "No Usage", IF(#REF! &lt;= 20, "Low Usage", IF(#REF! &lt;= 40, "Medium Usgae", "High Usage")))</f>
        <v>#REF!</v>
      </c>
      <c r="AD2223" t="e">
        <f>IF(#REF!&lt;=150,"Low Usage", IF(#REF!&lt;=200,"Medium Usage", IF(#REF!&lt;=250,"High Usage","Very High Usage")))</f>
        <v>#REF!</v>
      </c>
      <c r="AE2223" t="e">
        <f>IF(#REF!&lt;=5,"Low Calls", IF(#REF!&lt;=10, "Medium Calls", "High Calls"))</f>
        <v>#REF!</v>
      </c>
      <c r="AF2223" t="e">
        <f xml:space="preserve">
IF(#REF!&gt;=4,4,0)+
IF(#REF!="yes",3,0)+
IF(#REF!="High Charges",3,0)+
IF(#REF!&gt;250,4,0)+
IF(#REF!="no",1,0)+
IF(#REF!="Heavy Domestic User",2,0)</f>
        <v>#REF!</v>
      </c>
      <c r="AG2223" t="e">
        <f>IF(#REF!&gt;=10,"High Risk", IF(#REF!&gt;=5,"Medium Risk","Low Risk"))</f>
        <v>#REF!</v>
      </c>
      <c r="AH2223" t="e">
        <f>#REF! + #REF! + #REF! + #REF!</f>
        <v>#REF!</v>
      </c>
    </row>
    <row r="2224" spans="1:34" x14ac:dyDescent="0.35">
      <c r="A2224">
        <v>2223</v>
      </c>
      <c r="B2224" t="s">
        <v>29</v>
      </c>
      <c r="C2224">
        <v>84</v>
      </c>
      <c r="D2224" t="s">
        <v>21</v>
      </c>
      <c r="E2224" t="s">
        <v>22</v>
      </c>
      <c r="F2224" t="s">
        <v>23</v>
      </c>
      <c r="G2224">
        <v>35</v>
      </c>
      <c r="H2224">
        <v>207.5</v>
      </c>
      <c r="I2224">
        <v>138</v>
      </c>
      <c r="J2224">
        <v>35.28</v>
      </c>
      <c r="K2224">
        <v>201</v>
      </c>
      <c r="L2224">
        <v>116</v>
      </c>
      <c r="M2224">
        <v>17.09</v>
      </c>
      <c r="N2224">
        <v>164.5</v>
      </c>
      <c r="O2224">
        <v>107</v>
      </c>
      <c r="P2224">
        <v>7.4</v>
      </c>
      <c r="Q2224">
        <v>7.5</v>
      </c>
      <c r="R2224">
        <v>16</v>
      </c>
      <c r="S2224">
        <v>2.0299999999999998</v>
      </c>
      <c r="T2224">
        <v>4</v>
      </c>
      <c r="U2224" t="s">
        <v>22</v>
      </c>
      <c r="V2224" t="e">
        <f>IF(#REF! = "yes", 1, 0)</f>
        <v>#REF!</v>
      </c>
      <c r="W2224" t="e">
        <f>IF(#REF! &lt;= 1, "0-1 Calls", IF(#REF! &lt;= 3, "2-3 Calls", IF(#REF! &lt;=5, "4-5 Calls", "6+ Calls")))</f>
        <v>#REF!</v>
      </c>
      <c r="X2224" t="e">
        <f>IF(#REF! &lt;= 50, "0-50", IF(#REF! &lt;=100, "51-100", IF(#REF! &lt;= 150, "101-150", "151+")))</f>
        <v>#REF!</v>
      </c>
      <c r="Y2224" t="e">
        <f>IF(#REF! &lt;= 3, "Low Charges", "High Charges")</f>
        <v>#REF!</v>
      </c>
      <c r="Z2224" t="e">
        <f>IF(#REF!&lt;=80,"Low Calls",
IF(#REF!&lt;=120,"Medium Calls","High Calls"))</f>
        <v>#REF!</v>
      </c>
      <c r="AA2224" t="e">
        <f>IF(#REF!&lt;=15,"Low Charges",
IF(#REF!&lt;=20,"Medium Charges","High Charges"))</f>
        <v>#REF!</v>
      </c>
      <c r="AB2224" t="e">
        <f>IF(AND(#REF!&gt;180, #REF!&gt;200), "Heavy Doemstic User", IF(#REF!&gt;10, "Interntional User", IF(AND(#REF!&lt;180, #REF!&lt;200,#REF!&lt;200), "Light User", "Balanced User")))</f>
        <v>#REF!</v>
      </c>
      <c r="AC2224" t="e">
        <f>IF(#REF! = 0, "No Usage", IF(#REF! &lt;= 20, "Low Usage", IF(#REF! &lt;= 40, "Medium Usgae", "High Usage")))</f>
        <v>#REF!</v>
      </c>
      <c r="AD2224" t="e">
        <f>IF(#REF!&lt;=150,"Low Usage", IF(#REF!&lt;=200,"Medium Usage", IF(#REF!&lt;=250,"High Usage","Very High Usage")))</f>
        <v>#REF!</v>
      </c>
      <c r="AE2224" t="e">
        <f>IF(#REF!&lt;=5,"Low Calls", IF(#REF!&lt;=10, "Medium Calls", "High Calls"))</f>
        <v>#REF!</v>
      </c>
      <c r="AF2224" t="e">
        <f xml:space="preserve">
IF(#REF!&gt;=4,4,0)+
IF(#REF!="yes",3,0)+
IF(#REF!="High Charges",3,0)+
IF(#REF!&gt;250,4,0)+
IF(#REF!="no",1,0)+
IF(#REF!="Heavy Domestic User",2,0)</f>
        <v>#REF!</v>
      </c>
      <c r="AG2224" t="e">
        <f>IF(#REF!&gt;=10,"High Risk", IF(#REF!&gt;=5,"Medium Risk","Low Risk"))</f>
        <v>#REF!</v>
      </c>
      <c r="AH2224" t="e">
        <f>#REF! + #REF! + #REF! + #REF!</f>
        <v>#REF!</v>
      </c>
    </row>
    <row r="2225" spans="1:34" x14ac:dyDescent="0.35">
      <c r="A2225">
        <v>2224</v>
      </c>
      <c r="B2225" t="s">
        <v>55</v>
      </c>
      <c r="C2225">
        <v>134</v>
      </c>
      <c r="D2225" t="s">
        <v>21</v>
      </c>
      <c r="E2225" t="s">
        <v>22</v>
      </c>
      <c r="F2225" t="s">
        <v>22</v>
      </c>
      <c r="G2225">
        <v>0</v>
      </c>
      <c r="H2225">
        <v>258.8</v>
      </c>
      <c r="I2225">
        <v>85</v>
      </c>
      <c r="J2225">
        <v>44</v>
      </c>
      <c r="K2225">
        <v>129.5</v>
      </c>
      <c r="L2225">
        <v>114</v>
      </c>
      <c r="M2225">
        <v>11.01</v>
      </c>
      <c r="N2225">
        <v>193.6</v>
      </c>
      <c r="O2225">
        <v>106</v>
      </c>
      <c r="P2225">
        <v>8.7100000000000009</v>
      </c>
      <c r="Q2225">
        <v>10.9</v>
      </c>
      <c r="R2225">
        <v>7</v>
      </c>
      <c r="S2225">
        <v>2.94</v>
      </c>
      <c r="T2225">
        <v>2</v>
      </c>
      <c r="U2225" t="s">
        <v>22</v>
      </c>
      <c r="V2225" t="e">
        <f>IF(#REF! = "yes", 1, 0)</f>
        <v>#REF!</v>
      </c>
      <c r="W2225" t="e">
        <f>IF(#REF! &lt;= 1, "0-1 Calls", IF(#REF! &lt;= 3, "2-3 Calls", IF(#REF! &lt;=5, "4-5 Calls", "6+ Calls")))</f>
        <v>#REF!</v>
      </c>
      <c r="X2225" t="e">
        <f>IF(#REF! &lt;= 50, "0-50", IF(#REF! &lt;=100, "51-100", IF(#REF! &lt;= 150, "101-150", "151+")))</f>
        <v>#REF!</v>
      </c>
      <c r="Y2225" t="e">
        <f>IF(#REF! &lt;= 3, "Low Charges", "High Charges")</f>
        <v>#REF!</v>
      </c>
      <c r="Z2225" t="e">
        <f>IF(#REF!&lt;=80,"Low Calls",
IF(#REF!&lt;=120,"Medium Calls","High Calls"))</f>
        <v>#REF!</v>
      </c>
      <c r="AA2225" t="e">
        <f>IF(#REF!&lt;=15,"Low Charges",
IF(#REF!&lt;=20,"Medium Charges","High Charges"))</f>
        <v>#REF!</v>
      </c>
      <c r="AB2225" t="e">
        <f>IF(AND(#REF!&gt;180, #REF!&gt;200), "Heavy Doemstic User", IF(#REF!&gt;10, "Interntional User", IF(AND(#REF!&lt;180, #REF!&lt;200,#REF!&lt;200), "Light User", "Balanced User")))</f>
        <v>#REF!</v>
      </c>
      <c r="AC2225" t="e">
        <f>IF(#REF! = 0, "No Usage", IF(#REF! &lt;= 20, "Low Usage", IF(#REF! &lt;= 40, "Medium Usgae", "High Usage")))</f>
        <v>#REF!</v>
      </c>
      <c r="AD2225" t="e">
        <f>IF(#REF!&lt;=150,"Low Usage", IF(#REF!&lt;=200,"Medium Usage", IF(#REF!&lt;=250,"High Usage","Very High Usage")))</f>
        <v>#REF!</v>
      </c>
      <c r="AE2225" t="e">
        <f>IF(#REF!&lt;=5,"Low Calls", IF(#REF!&lt;=10, "Medium Calls", "High Calls"))</f>
        <v>#REF!</v>
      </c>
      <c r="AF2225" t="e">
        <f xml:space="preserve">
IF(#REF!&gt;=4,4,0)+
IF(#REF!="yes",3,0)+
IF(#REF!="High Charges",3,0)+
IF(#REF!&gt;250,4,0)+
IF(#REF!="no",1,0)+
IF(#REF!="Heavy Domestic User",2,0)</f>
        <v>#REF!</v>
      </c>
      <c r="AG2225" t="e">
        <f>IF(#REF!&gt;=10,"High Risk", IF(#REF!&gt;=5,"Medium Risk","Low Risk"))</f>
        <v>#REF!</v>
      </c>
      <c r="AH2225" t="e">
        <f>#REF! + #REF! + #REF! + #REF!</f>
        <v>#REF!</v>
      </c>
    </row>
    <row r="2226" spans="1:34" x14ac:dyDescent="0.35">
      <c r="A2226">
        <v>2225</v>
      </c>
      <c r="B2226" t="s">
        <v>53</v>
      </c>
      <c r="C2226">
        <v>105</v>
      </c>
      <c r="D2226" t="s">
        <v>21</v>
      </c>
      <c r="E2226" t="s">
        <v>22</v>
      </c>
      <c r="F2226" t="s">
        <v>22</v>
      </c>
      <c r="G2226">
        <v>0</v>
      </c>
      <c r="H2226">
        <v>226.9</v>
      </c>
      <c r="I2226">
        <v>106</v>
      </c>
      <c r="J2226">
        <v>38.57</v>
      </c>
      <c r="K2226">
        <v>182.2</v>
      </c>
      <c r="L2226">
        <v>77</v>
      </c>
      <c r="M2226">
        <v>15.49</v>
      </c>
      <c r="N2226">
        <v>203.9</v>
      </c>
      <c r="O2226">
        <v>107</v>
      </c>
      <c r="P2226">
        <v>9.18</v>
      </c>
      <c r="Q2226">
        <v>11.6</v>
      </c>
      <c r="R2226">
        <v>2</v>
      </c>
      <c r="S2226">
        <v>3.13</v>
      </c>
      <c r="T2226">
        <v>0</v>
      </c>
      <c r="U2226" t="s">
        <v>23</v>
      </c>
      <c r="V2226" t="e">
        <f>IF(#REF! = "yes", 1, 0)</f>
        <v>#REF!</v>
      </c>
      <c r="W2226" t="e">
        <f>IF(#REF! &lt;= 1, "0-1 Calls", IF(#REF! &lt;= 3, "2-3 Calls", IF(#REF! &lt;=5, "4-5 Calls", "6+ Calls")))</f>
        <v>#REF!</v>
      </c>
      <c r="X2226" t="e">
        <f>IF(#REF! &lt;= 50, "0-50", IF(#REF! &lt;=100, "51-100", IF(#REF! &lt;= 150, "101-150", "151+")))</f>
        <v>#REF!</v>
      </c>
      <c r="Y2226" t="e">
        <f>IF(#REF! &lt;= 3, "Low Charges", "High Charges")</f>
        <v>#REF!</v>
      </c>
      <c r="Z2226" t="e">
        <f>IF(#REF!&lt;=80,"Low Calls",
IF(#REF!&lt;=120,"Medium Calls","High Calls"))</f>
        <v>#REF!</v>
      </c>
      <c r="AA2226" t="e">
        <f>IF(#REF!&lt;=15,"Low Charges",
IF(#REF!&lt;=20,"Medium Charges","High Charges"))</f>
        <v>#REF!</v>
      </c>
      <c r="AB2226" t="e">
        <f>IF(AND(#REF!&gt;180, #REF!&gt;200), "Heavy Doemstic User", IF(#REF!&gt;10, "Interntional User", IF(AND(#REF!&lt;180, #REF!&lt;200,#REF!&lt;200), "Light User", "Balanced User")))</f>
        <v>#REF!</v>
      </c>
      <c r="AC2226" t="e">
        <f>IF(#REF! = 0, "No Usage", IF(#REF! &lt;= 20, "Low Usage", IF(#REF! &lt;= 40, "Medium Usgae", "High Usage")))</f>
        <v>#REF!</v>
      </c>
      <c r="AD2226" t="e">
        <f>IF(#REF!&lt;=150,"Low Usage", IF(#REF!&lt;=200,"Medium Usage", IF(#REF!&lt;=250,"High Usage","Very High Usage")))</f>
        <v>#REF!</v>
      </c>
      <c r="AE2226" t="e">
        <f>IF(#REF!&lt;=5,"Low Calls", IF(#REF!&lt;=10, "Medium Calls", "High Calls"))</f>
        <v>#REF!</v>
      </c>
      <c r="AF2226" t="e">
        <f xml:space="preserve">
IF(#REF!&gt;=4,4,0)+
IF(#REF!="yes",3,0)+
IF(#REF!="High Charges",3,0)+
IF(#REF!&gt;250,4,0)+
IF(#REF!="no",1,0)+
IF(#REF!="Heavy Domestic User",2,0)</f>
        <v>#REF!</v>
      </c>
      <c r="AG2226" t="e">
        <f>IF(#REF!&gt;=10,"High Risk", IF(#REF!&gt;=5,"Medium Risk","Low Risk"))</f>
        <v>#REF!</v>
      </c>
      <c r="AH2226" t="e">
        <f>#REF! + #REF! + #REF! + #REF!</f>
        <v>#REF!</v>
      </c>
    </row>
    <row r="2227" spans="1:34" x14ac:dyDescent="0.35">
      <c r="A2227">
        <v>2226</v>
      </c>
      <c r="B2227" t="s">
        <v>50</v>
      </c>
      <c r="C2227">
        <v>88</v>
      </c>
      <c r="D2227" t="s">
        <v>25</v>
      </c>
      <c r="E2227" t="s">
        <v>22</v>
      </c>
      <c r="F2227" t="s">
        <v>22</v>
      </c>
      <c r="G2227">
        <v>0</v>
      </c>
      <c r="H2227">
        <v>152.9</v>
      </c>
      <c r="I2227">
        <v>119</v>
      </c>
      <c r="J2227">
        <v>25.99</v>
      </c>
      <c r="K2227">
        <v>171.2</v>
      </c>
      <c r="L2227">
        <v>107</v>
      </c>
      <c r="M2227">
        <v>14.55</v>
      </c>
      <c r="N2227">
        <v>257</v>
      </c>
      <c r="O2227">
        <v>106</v>
      </c>
      <c r="P2227">
        <v>11.57</v>
      </c>
      <c r="Q2227">
        <v>12</v>
      </c>
      <c r="R2227">
        <v>5</v>
      </c>
      <c r="S2227">
        <v>3.24</v>
      </c>
      <c r="T2227">
        <v>2</v>
      </c>
      <c r="U2227" t="s">
        <v>22</v>
      </c>
      <c r="V2227" t="e">
        <f>IF(#REF! = "yes", 1, 0)</f>
        <v>#REF!</v>
      </c>
      <c r="W2227" t="e">
        <f>IF(#REF! &lt;= 1, "0-1 Calls", IF(#REF! &lt;= 3, "2-3 Calls", IF(#REF! &lt;=5, "4-5 Calls", "6+ Calls")))</f>
        <v>#REF!</v>
      </c>
      <c r="X2227" t="e">
        <f>IF(#REF! &lt;= 50, "0-50", IF(#REF! &lt;=100, "51-100", IF(#REF! &lt;= 150, "101-150", "151+")))</f>
        <v>#REF!</v>
      </c>
      <c r="Y2227" t="e">
        <f>IF(#REF! &lt;= 3, "Low Charges", "High Charges")</f>
        <v>#REF!</v>
      </c>
      <c r="Z2227" t="e">
        <f>IF(#REF!&lt;=80,"Low Calls",
IF(#REF!&lt;=120,"Medium Calls","High Calls"))</f>
        <v>#REF!</v>
      </c>
      <c r="AA2227" t="e">
        <f>IF(#REF!&lt;=15,"Low Charges",
IF(#REF!&lt;=20,"Medium Charges","High Charges"))</f>
        <v>#REF!</v>
      </c>
      <c r="AB2227" t="e">
        <f>IF(AND(#REF!&gt;180, #REF!&gt;200), "Heavy Doemstic User", IF(#REF!&gt;10, "Interntional User", IF(AND(#REF!&lt;180, #REF!&lt;200,#REF!&lt;200), "Light User", "Balanced User")))</f>
        <v>#REF!</v>
      </c>
      <c r="AC2227" t="e">
        <f>IF(#REF! = 0, "No Usage", IF(#REF! &lt;= 20, "Low Usage", IF(#REF! &lt;= 40, "Medium Usgae", "High Usage")))</f>
        <v>#REF!</v>
      </c>
      <c r="AD2227" t="e">
        <f>IF(#REF!&lt;=150,"Low Usage", IF(#REF!&lt;=200,"Medium Usage", IF(#REF!&lt;=250,"High Usage","Very High Usage")))</f>
        <v>#REF!</v>
      </c>
      <c r="AE2227" t="e">
        <f>IF(#REF!&lt;=5,"Low Calls", IF(#REF!&lt;=10, "Medium Calls", "High Calls"))</f>
        <v>#REF!</v>
      </c>
      <c r="AF2227" t="e">
        <f xml:space="preserve">
IF(#REF!&gt;=4,4,0)+
IF(#REF!="yes",3,0)+
IF(#REF!="High Charges",3,0)+
IF(#REF!&gt;250,4,0)+
IF(#REF!="no",1,0)+
IF(#REF!="Heavy Domestic User",2,0)</f>
        <v>#REF!</v>
      </c>
      <c r="AG2227" t="e">
        <f>IF(#REF!&gt;=10,"High Risk", IF(#REF!&gt;=5,"Medium Risk","Low Risk"))</f>
        <v>#REF!</v>
      </c>
      <c r="AH2227" t="e">
        <f>#REF! + #REF! + #REF! + #REF!</f>
        <v>#REF!</v>
      </c>
    </row>
    <row r="2228" spans="1:34" x14ac:dyDescent="0.35">
      <c r="A2228">
        <v>2227</v>
      </c>
      <c r="B2228" t="s">
        <v>39</v>
      </c>
      <c r="C2228">
        <v>90</v>
      </c>
      <c r="D2228" t="s">
        <v>25</v>
      </c>
      <c r="E2228" t="s">
        <v>22</v>
      </c>
      <c r="F2228" t="s">
        <v>23</v>
      </c>
      <c r="G2228">
        <v>27</v>
      </c>
      <c r="H2228">
        <v>156.69999999999999</v>
      </c>
      <c r="I2228">
        <v>51</v>
      </c>
      <c r="J2228">
        <v>26.64</v>
      </c>
      <c r="K2228">
        <v>236.5</v>
      </c>
      <c r="L2228">
        <v>118</v>
      </c>
      <c r="M2228">
        <v>20.100000000000001</v>
      </c>
      <c r="N2228">
        <v>123.2</v>
      </c>
      <c r="O2228">
        <v>111</v>
      </c>
      <c r="P2228">
        <v>5.54</v>
      </c>
      <c r="Q2228">
        <v>12.6</v>
      </c>
      <c r="R2228">
        <v>6</v>
      </c>
      <c r="S2228">
        <v>3.4</v>
      </c>
      <c r="T2228">
        <v>2</v>
      </c>
      <c r="U2228" t="s">
        <v>22</v>
      </c>
      <c r="V2228" t="e">
        <f>IF(#REF! = "yes", 1, 0)</f>
        <v>#REF!</v>
      </c>
      <c r="W2228" t="e">
        <f>IF(#REF! &lt;= 1, "0-1 Calls", IF(#REF! &lt;= 3, "2-3 Calls", IF(#REF! &lt;=5, "4-5 Calls", "6+ Calls")))</f>
        <v>#REF!</v>
      </c>
      <c r="X2228" t="e">
        <f>IF(#REF! &lt;= 50, "0-50", IF(#REF! &lt;=100, "51-100", IF(#REF! &lt;= 150, "101-150", "151+")))</f>
        <v>#REF!</v>
      </c>
      <c r="Y2228" t="e">
        <f>IF(#REF! &lt;= 3, "Low Charges", "High Charges")</f>
        <v>#REF!</v>
      </c>
      <c r="Z2228" t="e">
        <f>IF(#REF!&lt;=80,"Low Calls",
IF(#REF!&lt;=120,"Medium Calls","High Calls"))</f>
        <v>#REF!</v>
      </c>
      <c r="AA2228" t="e">
        <f>IF(#REF!&lt;=15,"Low Charges",
IF(#REF!&lt;=20,"Medium Charges","High Charges"))</f>
        <v>#REF!</v>
      </c>
      <c r="AB2228" t="e">
        <f>IF(AND(#REF!&gt;180, #REF!&gt;200), "Heavy Doemstic User", IF(#REF!&gt;10, "Interntional User", IF(AND(#REF!&lt;180, #REF!&lt;200,#REF!&lt;200), "Light User", "Balanced User")))</f>
        <v>#REF!</v>
      </c>
      <c r="AC2228" t="e">
        <f>IF(#REF! = 0, "No Usage", IF(#REF! &lt;= 20, "Low Usage", IF(#REF! &lt;= 40, "Medium Usgae", "High Usage")))</f>
        <v>#REF!</v>
      </c>
      <c r="AD2228" t="e">
        <f>IF(#REF!&lt;=150,"Low Usage", IF(#REF!&lt;=200,"Medium Usage", IF(#REF!&lt;=250,"High Usage","Very High Usage")))</f>
        <v>#REF!</v>
      </c>
      <c r="AE2228" t="e">
        <f>IF(#REF!&lt;=5,"Low Calls", IF(#REF!&lt;=10, "Medium Calls", "High Calls"))</f>
        <v>#REF!</v>
      </c>
      <c r="AF2228" t="e">
        <f xml:space="preserve">
IF(#REF!&gt;=4,4,0)+
IF(#REF!="yes",3,0)+
IF(#REF!="High Charges",3,0)+
IF(#REF!&gt;250,4,0)+
IF(#REF!="no",1,0)+
IF(#REF!="Heavy Domestic User",2,0)</f>
        <v>#REF!</v>
      </c>
      <c r="AG2228" t="e">
        <f>IF(#REF!&gt;=10,"High Risk", IF(#REF!&gt;=5,"Medium Risk","Low Risk"))</f>
        <v>#REF!</v>
      </c>
      <c r="AH2228" t="e">
        <f>#REF! + #REF! + #REF! + #REF!</f>
        <v>#REF!</v>
      </c>
    </row>
    <row r="2229" spans="1:34" x14ac:dyDescent="0.35">
      <c r="A2229">
        <v>2228</v>
      </c>
      <c r="B2229" t="s">
        <v>47</v>
      </c>
      <c r="C2229">
        <v>86</v>
      </c>
      <c r="D2229" t="s">
        <v>25</v>
      </c>
      <c r="E2229" t="s">
        <v>22</v>
      </c>
      <c r="F2229" t="s">
        <v>22</v>
      </c>
      <c r="G2229">
        <v>0</v>
      </c>
      <c r="H2229">
        <v>150.80000000000001</v>
      </c>
      <c r="I2229">
        <v>85</v>
      </c>
      <c r="J2229">
        <v>25.64</v>
      </c>
      <c r="K2229">
        <v>295.89999999999998</v>
      </c>
      <c r="L2229">
        <v>88</v>
      </c>
      <c r="M2229">
        <v>25.15</v>
      </c>
      <c r="N2229">
        <v>247.2</v>
      </c>
      <c r="O2229">
        <v>104</v>
      </c>
      <c r="P2229">
        <v>11.12</v>
      </c>
      <c r="Q2229">
        <v>12.5</v>
      </c>
      <c r="R2229">
        <v>1</v>
      </c>
      <c r="S2229">
        <v>3.38</v>
      </c>
      <c r="T2229">
        <v>1</v>
      </c>
      <c r="U2229" t="s">
        <v>22</v>
      </c>
      <c r="V2229" t="e">
        <f>IF(#REF! = "yes", 1, 0)</f>
        <v>#REF!</v>
      </c>
      <c r="W2229" t="e">
        <f>IF(#REF! &lt;= 1, "0-1 Calls", IF(#REF! &lt;= 3, "2-3 Calls", IF(#REF! &lt;=5, "4-5 Calls", "6+ Calls")))</f>
        <v>#REF!</v>
      </c>
      <c r="X2229" t="e">
        <f>IF(#REF! &lt;= 50, "0-50", IF(#REF! &lt;=100, "51-100", IF(#REF! &lt;= 150, "101-150", "151+")))</f>
        <v>#REF!</v>
      </c>
      <c r="Y2229" t="e">
        <f>IF(#REF! &lt;= 3, "Low Charges", "High Charges")</f>
        <v>#REF!</v>
      </c>
      <c r="Z2229" t="e">
        <f>IF(#REF!&lt;=80,"Low Calls",
IF(#REF!&lt;=120,"Medium Calls","High Calls"))</f>
        <v>#REF!</v>
      </c>
      <c r="AA2229" t="e">
        <f>IF(#REF!&lt;=15,"Low Charges",
IF(#REF!&lt;=20,"Medium Charges","High Charges"))</f>
        <v>#REF!</v>
      </c>
      <c r="AB2229" t="e">
        <f>IF(AND(#REF!&gt;180, #REF!&gt;200), "Heavy Doemstic User", IF(#REF!&gt;10, "Interntional User", IF(AND(#REF!&lt;180, #REF!&lt;200,#REF!&lt;200), "Light User", "Balanced User")))</f>
        <v>#REF!</v>
      </c>
      <c r="AC2229" t="e">
        <f>IF(#REF! = 0, "No Usage", IF(#REF! &lt;= 20, "Low Usage", IF(#REF! &lt;= 40, "Medium Usgae", "High Usage")))</f>
        <v>#REF!</v>
      </c>
      <c r="AD2229" t="e">
        <f>IF(#REF!&lt;=150,"Low Usage", IF(#REF!&lt;=200,"Medium Usage", IF(#REF!&lt;=250,"High Usage","Very High Usage")))</f>
        <v>#REF!</v>
      </c>
      <c r="AE2229" t="e">
        <f>IF(#REF!&lt;=5,"Low Calls", IF(#REF!&lt;=10, "Medium Calls", "High Calls"))</f>
        <v>#REF!</v>
      </c>
      <c r="AF2229" t="e">
        <f xml:space="preserve">
IF(#REF!&gt;=4,4,0)+
IF(#REF!="yes",3,0)+
IF(#REF!="High Charges",3,0)+
IF(#REF!&gt;250,4,0)+
IF(#REF!="no",1,0)+
IF(#REF!="Heavy Domestic User",2,0)</f>
        <v>#REF!</v>
      </c>
      <c r="AG2229" t="e">
        <f>IF(#REF!&gt;=10,"High Risk", IF(#REF!&gt;=5,"Medium Risk","Low Risk"))</f>
        <v>#REF!</v>
      </c>
      <c r="AH2229" t="e">
        <f>#REF! + #REF! + #REF! + #REF!</f>
        <v>#REF!</v>
      </c>
    </row>
    <row r="2230" spans="1:34" x14ac:dyDescent="0.35">
      <c r="A2230">
        <v>2229</v>
      </c>
      <c r="B2230" t="s">
        <v>71</v>
      </c>
      <c r="C2230">
        <v>37</v>
      </c>
      <c r="D2230" t="s">
        <v>21</v>
      </c>
      <c r="E2230" t="s">
        <v>22</v>
      </c>
      <c r="F2230" t="s">
        <v>22</v>
      </c>
      <c r="G2230">
        <v>0</v>
      </c>
      <c r="H2230">
        <v>221</v>
      </c>
      <c r="I2230">
        <v>126</v>
      </c>
      <c r="J2230">
        <v>37.57</v>
      </c>
      <c r="K2230">
        <v>204.5</v>
      </c>
      <c r="L2230">
        <v>110</v>
      </c>
      <c r="M2230">
        <v>17.38</v>
      </c>
      <c r="N2230">
        <v>118</v>
      </c>
      <c r="O2230">
        <v>98</v>
      </c>
      <c r="P2230">
        <v>5.31</v>
      </c>
      <c r="Q2230">
        <v>6.8</v>
      </c>
      <c r="R2230">
        <v>3</v>
      </c>
      <c r="S2230">
        <v>1.84</v>
      </c>
      <c r="T2230">
        <v>4</v>
      </c>
      <c r="U2230" t="s">
        <v>22</v>
      </c>
      <c r="V2230" t="e">
        <f>IF(#REF! = "yes", 1, 0)</f>
        <v>#REF!</v>
      </c>
      <c r="W2230" t="e">
        <f>IF(#REF! &lt;= 1, "0-1 Calls", IF(#REF! &lt;= 3, "2-3 Calls", IF(#REF! &lt;=5, "4-5 Calls", "6+ Calls")))</f>
        <v>#REF!</v>
      </c>
      <c r="X2230" t="e">
        <f>IF(#REF! &lt;= 50, "0-50", IF(#REF! &lt;=100, "51-100", IF(#REF! &lt;= 150, "101-150", "151+")))</f>
        <v>#REF!</v>
      </c>
      <c r="Y2230" t="e">
        <f>IF(#REF! &lt;= 3, "Low Charges", "High Charges")</f>
        <v>#REF!</v>
      </c>
      <c r="Z2230" t="e">
        <f>IF(#REF!&lt;=80,"Low Calls",
IF(#REF!&lt;=120,"Medium Calls","High Calls"))</f>
        <v>#REF!</v>
      </c>
      <c r="AA2230" t="e">
        <f>IF(#REF!&lt;=15,"Low Charges",
IF(#REF!&lt;=20,"Medium Charges","High Charges"))</f>
        <v>#REF!</v>
      </c>
      <c r="AB2230" t="e">
        <f>IF(AND(#REF!&gt;180, #REF!&gt;200), "Heavy Doemstic User", IF(#REF!&gt;10, "Interntional User", IF(AND(#REF!&lt;180, #REF!&lt;200,#REF!&lt;200), "Light User", "Balanced User")))</f>
        <v>#REF!</v>
      </c>
      <c r="AC2230" t="e">
        <f>IF(#REF! = 0, "No Usage", IF(#REF! &lt;= 20, "Low Usage", IF(#REF! &lt;= 40, "Medium Usgae", "High Usage")))</f>
        <v>#REF!</v>
      </c>
      <c r="AD2230" t="e">
        <f>IF(#REF!&lt;=150,"Low Usage", IF(#REF!&lt;=200,"Medium Usage", IF(#REF!&lt;=250,"High Usage","Very High Usage")))</f>
        <v>#REF!</v>
      </c>
      <c r="AE2230" t="e">
        <f>IF(#REF!&lt;=5,"Low Calls", IF(#REF!&lt;=10, "Medium Calls", "High Calls"))</f>
        <v>#REF!</v>
      </c>
      <c r="AF2230" t="e">
        <f xml:space="preserve">
IF(#REF!&gt;=4,4,0)+
IF(#REF!="yes",3,0)+
IF(#REF!="High Charges",3,0)+
IF(#REF!&gt;250,4,0)+
IF(#REF!="no",1,0)+
IF(#REF!="Heavy Domestic User",2,0)</f>
        <v>#REF!</v>
      </c>
      <c r="AG2230" t="e">
        <f>IF(#REF!&gt;=10,"High Risk", IF(#REF!&gt;=5,"Medium Risk","Low Risk"))</f>
        <v>#REF!</v>
      </c>
      <c r="AH2230" t="e">
        <f>#REF! + #REF! + #REF! + #REF!</f>
        <v>#REF!</v>
      </c>
    </row>
    <row r="2231" spans="1:34" x14ac:dyDescent="0.35">
      <c r="A2231">
        <v>2230</v>
      </c>
      <c r="B2231" t="s">
        <v>61</v>
      </c>
      <c r="C2231">
        <v>148</v>
      </c>
      <c r="D2231" t="s">
        <v>25</v>
      </c>
      <c r="E2231" t="s">
        <v>22</v>
      </c>
      <c r="F2231" t="s">
        <v>22</v>
      </c>
      <c r="G2231">
        <v>0</v>
      </c>
      <c r="H2231">
        <v>153.6</v>
      </c>
      <c r="I2231">
        <v>148</v>
      </c>
      <c r="J2231">
        <v>26.11</v>
      </c>
      <c r="K2231">
        <v>262.10000000000002</v>
      </c>
      <c r="L2231">
        <v>87</v>
      </c>
      <c r="M2231">
        <v>22.28</v>
      </c>
      <c r="N2231">
        <v>225.5</v>
      </c>
      <c r="O2231">
        <v>99</v>
      </c>
      <c r="P2231">
        <v>10.15</v>
      </c>
      <c r="Q2231">
        <v>9.8000000000000007</v>
      </c>
      <c r="R2231">
        <v>3</v>
      </c>
      <c r="S2231">
        <v>2.65</v>
      </c>
      <c r="T2231">
        <v>2</v>
      </c>
      <c r="U2231" t="s">
        <v>22</v>
      </c>
      <c r="V2231" t="e">
        <f>IF(#REF! = "yes", 1, 0)</f>
        <v>#REF!</v>
      </c>
      <c r="W2231" t="e">
        <f>IF(#REF! &lt;= 1, "0-1 Calls", IF(#REF! &lt;= 3, "2-3 Calls", IF(#REF! &lt;=5, "4-5 Calls", "6+ Calls")))</f>
        <v>#REF!</v>
      </c>
      <c r="X2231" t="e">
        <f>IF(#REF! &lt;= 50, "0-50", IF(#REF! &lt;=100, "51-100", IF(#REF! &lt;= 150, "101-150", "151+")))</f>
        <v>#REF!</v>
      </c>
      <c r="Y2231" t="e">
        <f>IF(#REF! &lt;= 3, "Low Charges", "High Charges")</f>
        <v>#REF!</v>
      </c>
      <c r="Z2231" t="e">
        <f>IF(#REF!&lt;=80,"Low Calls",
IF(#REF!&lt;=120,"Medium Calls","High Calls"))</f>
        <v>#REF!</v>
      </c>
      <c r="AA2231" t="e">
        <f>IF(#REF!&lt;=15,"Low Charges",
IF(#REF!&lt;=20,"Medium Charges","High Charges"))</f>
        <v>#REF!</v>
      </c>
      <c r="AB2231" t="e">
        <f>IF(AND(#REF!&gt;180, #REF!&gt;200), "Heavy Doemstic User", IF(#REF!&gt;10, "Interntional User", IF(AND(#REF!&lt;180, #REF!&lt;200,#REF!&lt;200), "Light User", "Balanced User")))</f>
        <v>#REF!</v>
      </c>
      <c r="AC2231" t="e">
        <f>IF(#REF! = 0, "No Usage", IF(#REF! &lt;= 20, "Low Usage", IF(#REF! &lt;= 40, "Medium Usgae", "High Usage")))</f>
        <v>#REF!</v>
      </c>
      <c r="AD2231" t="e">
        <f>IF(#REF!&lt;=150,"Low Usage", IF(#REF!&lt;=200,"Medium Usage", IF(#REF!&lt;=250,"High Usage","Very High Usage")))</f>
        <v>#REF!</v>
      </c>
      <c r="AE2231" t="e">
        <f>IF(#REF!&lt;=5,"Low Calls", IF(#REF!&lt;=10, "Medium Calls", "High Calls"))</f>
        <v>#REF!</v>
      </c>
      <c r="AF2231" t="e">
        <f xml:space="preserve">
IF(#REF!&gt;=4,4,0)+
IF(#REF!="yes",3,0)+
IF(#REF!="High Charges",3,0)+
IF(#REF!&gt;250,4,0)+
IF(#REF!="no",1,0)+
IF(#REF!="Heavy Domestic User",2,0)</f>
        <v>#REF!</v>
      </c>
      <c r="AG2231" t="e">
        <f>IF(#REF!&gt;=10,"High Risk", IF(#REF!&gt;=5,"Medium Risk","Low Risk"))</f>
        <v>#REF!</v>
      </c>
      <c r="AH2231" t="e">
        <f>#REF! + #REF! + #REF! + #REF!</f>
        <v>#REF!</v>
      </c>
    </row>
    <row r="2232" spans="1:34" x14ac:dyDescent="0.35">
      <c r="A2232">
        <v>2231</v>
      </c>
      <c r="B2232" t="s">
        <v>33</v>
      </c>
      <c r="C2232">
        <v>63</v>
      </c>
      <c r="D2232" t="s">
        <v>21</v>
      </c>
      <c r="E2232" t="s">
        <v>22</v>
      </c>
      <c r="F2232" t="s">
        <v>22</v>
      </c>
      <c r="G2232">
        <v>0</v>
      </c>
      <c r="H2232">
        <v>180.5</v>
      </c>
      <c r="I2232">
        <v>126</v>
      </c>
      <c r="J2232">
        <v>30.69</v>
      </c>
      <c r="K2232">
        <v>230</v>
      </c>
      <c r="L2232">
        <v>98</v>
      </c>
      <c r="M2232">
        <v>19.55</v>
      </c>
      <c r="N2232">
        <v>232.5</v>
      </c>
      <c r="O2232">
        <v>73</v>
      </c>
      <c r="P2232">
        <v>10.46</v>
      </c>
      <c r="Q2232">
        <v>10.6</v>
      </c>
      <c r="R2232">
        <v>3</v>
      </c>
      <c r="S2232">
        <v>2.86</v>
      </c>
      <c r="T2232">
        <v>0</v>
      </c>
      <c r="U2232" t="s">
        <v>22</v>
      </c>
      <c r="V2232" t="e">
        <f>IF(#REF! = "yes", 1, 0)</f>
        <v>#REF!</v>
      </c>
      <c r="W2232" t="e">
        <f>IF(#REF! &lt;= 1, "0-1 Calls", IF(#REF! &lt;= 3, "2-3 Calls", IF(#REF! &lt;=5, "4-5 Calls", "6+ Calls")))</f>
        <v>#REF!</v>
      </c>
      <c r="X2232" t="e">
        <f>IF(#REF! &lt;= 50, "0-50", IF(#REF! &lt;=100, "51-100", IF(#REF! &lt;= 150, "101-150", "151+")))</f>
        <v>#REF!</v>
      </c>
      <c r="Y2232" t="e">
        <f>IF(#REF! &lt;= 3, "Low Charges", "High Charges")</f>
        <v>#REF!</v>
      </c>
      <c r="Z2232" t="e">
        <f>IF(#REF!&lt;=80,"Low Calls",
IF(#REF!&lt;=120,"Medium Calls","High Calls"))</f>
        <v>#REF!</v>
      </c>
      <c r="AA2232" t="e">
        <f>IF(#REF!&lt;=15,"Low Charges",
IF(#REF!&lt;=20,"Medium Charges","High Charges"))</f>
        <v>#REF!</v>
      </c>
      <c r="AB2232" t="e">
        <f>IF(AND(#REF!&gt;180, #REF!&gt;200), "Heavy Doemstic User", IF(#REF!&gt;10, "Interntional User", IF(AND(#REF!&lt;180, #REF!&lt;200,#REF!&lt;200), "Light User", "Balanced User")))</f>
        <v>#REF!</v>
      </c>
      <c r="AC2232" t="e">
        <f>IF(#REF! = 0, "No Usage", IF(#REF! &lt;= 20, "Low Usage", IF(#REF! &lt;= 40, "Medium Usgae", "High Usage")))</f>
        <v>#REF!</v>
      </c>
      <c r="AD2232" t="e">
        <f>IF(#REF!&lt;=150,"Low Usage", IF(#REF!&lt;=200,"Medium Usage", IF(#REF!&lt;=250,"High Usage","Very High Usage")))</f>
        <v>#REF!</v>
      </c>
      <c r="AE2232" t="e">
        <f>IF(#REF!&lt;=5,"Low Calls", IF(#REF!&lt;=10, "Medium Calls", "High Calls"))</f>
        <v>#REF!</v>
      </c>
      <c r="AF2232" t="e">
        <f xml:space="preserve">
IF(#REF!&gt;=4,4,0)+
IF(#REF!="yes",3,0)+
IF(#REF!="High Charges",3,0)+
IF(#REF!&gt;250,4,0)+
IF(#REF!="no",1,0)+
IF(#REF!="Heavy Domestic User",2,0)</f>
        <v>#REF!</v>
      </c>
      <c r="AG2232" t="e">
        <f>IF(#REF!&gt;=10,"High Risk", IF(#REF!&gt;=5,"Medium Risk","Low Risk"))</f>
        <v>#REF!</v>
      </c>
      <c r="AH2232" t="e">
        <f>#REF! + #REF! + #REF! + #REF!</f>
        <v>#REF!</v>
      </c>
    </row>
    <row r="2233" spans="1:34" x14ac:dyDescent="0.35">
      <c r="A2233">
        <v>2232</v>
      </c>
      <c r="B2233" t="s">
        <v>68</v>
      </c>
      <c r="C2233">
        <v>102</v>
      </c>
      <c r="D2233" t="s">
        <v>21</v>
      </c>
      <c r="E2233" t="s">
        <v>22</v>
      </c>
      <c r="F2233" t="s">
        <v>22</v>
      </c>
      <c r="G2233">
        <v>0</v>
      </c>
      <c r="H2233">
        <v>123.1</v>
      </c>
      <c r="I2233">
        <v>106</v>
      </c>
      <c r="J2233">
        <v>20.93</v>
      </c>
      <c r="K2233">
        <v>182</v>
      </c>
      <c r="L2233">
        <v>102</v>
      </c>
      <c r="M2233">
        <v>15.47</v>
      </c>
      <c r="N2233">
        <v>244.6</v>
      </c>
      <c r="O2233">
        <v>75</v>
      </c>
      <c r="P2233">
        <v>11.01</v>
      </c>
      <c r="Q2233">
        <v>12.6</v>
      </c>
      <c r="R2233">
        <v>7</v>
      </c>
      <c r="S2233">
        <v>3.4</v>
      </c>
      <c r="T2233">
        <v>2</v>
      </c>
      <c r="U2233" t="s">
        <v>22</v>
      </c>
      <c r="V2233" t="e">
        <f>IF(#REF! = "yes", 1, 0)</f>
        <v>#REF!</v>
      </c>
      <c r="W2233" t="e">
        <f>IF(#REF! &lt;= 1, "0-1 Calls", IF(#REF! &lt;= 3, "2-3 Calls", IF(#REF! &lt;=5, "4-5 Calls", "6+ Calls")))</f>
        <v>#REF!</v>
      </c>
      <c r="X2233" t="e">
        <f>IF(#REF! &lt;= 50, "0-50", IF(#REF! &lt;=100, "51-100", IF(#REF! &lt;= 150, "101-150", "151+")))</f>
        <v>#REF!</v>
      </c>
      <c r="Y2233" t="e">
        <f>IF(#REF! &lt;= 3, "Low Charges", "High Charges")</f>
        <v>#REF!</v>
      </c>
      <c r="Z2233" t="e">
        <f>IF(#REF!&lt;=80,"Low Calls",
IF(#REF!&lt;=120,"Medium Calls","High Calls"))</f>
        <v>#REF!</v>
      </c>
      <c r="AA2233" t="e">
        <f>IF(#REF!&lt;=15,"Low Charges",
IF(#REF!&lt;=20,"Medium Charges","High Charges"))</f>
        <v>#REF!</v>
      </c>
      <c r="AB2233" t="e">
        <f>IF(AND(#REF!&gt;180, #REF!&gt;200), "Heavy Doemstic User", IF(#REF!&gt;10, "Interntional User", IF(AND(#REF!&lt;180, #REF!&lt;200,#REF!&lt;200), "Light User", "Balanced User")))</f>
        <v>#REF!</v>
      </c>
      <c r="AC2233" t="e">
        <f>IF(#REF! = 0, "No Usage", IF(#REF! &lt;= 20, "Low Usage", IF(#REF! &lt;= 40, "Medium Usgae", "High Usage")))</f>
        <v>#REF!</v>
      </c>
      <c r="AD2233" t="e">
        <f>IF(#REF!&lt;=150,"Low Usage", IF(#REF!&lt;=200,"Medium Usage", IF(#REF!&lt;=250,"High Usage","Very High Usage")))</f>
        <v>#REF!</v>
      </c>
      <c r="AE2233" t="e">
        <f>IF(#REF!&lt;=5,"Low Calls", IF(#REF!&lt;=10, "Medium Calls", "High Calls"))</f>
        <v>#REF!</v>
      </c>
      <c r="AF2233" t="e">
        <f xml:space="preserve">
IF(#REF!&gt;=4,4,0)+
IF(#REF!="yes",3,0)+
IF(#REF!="High Charges",3,0)+
IF(#REF!&gt;250,4,0)+
IF(#REF!="no",1,0)+
IF(#REF!="Heavy Domestic User",2,0)</f>
        <v>#REF!</v>
      </c>
      <c r="AG2233" t="e">
        <f>IF(#REF!&gt;=10,"High Risk", IF(#REF!&gt;=5,"Medium Risk","Low Risk"))</f>
        <v>#REF!</v>
      </c>
      <c r="AH2233" t="e">
        <f>#REF! + #REF! + #REF! + #REF!</f>
        <v>#REF!</v>
      </c>
    </row>
    <row r="2234" spans="1:34" x14ac:dyDescent="0.35">
      <c r="A2234">
        <v>2233</v>
      </c>
      <c r="B2234" t="s">
        <v>58</v>
      </c>
      <c r="C2234">
        <v>76</v>
      </c>
      <c r="D2234" t="s">
        <v>28</v>
      </c>
      <c r="E2234" t="s">
        <v>22</v>
      </c>
      <c r="F2234" t="s">
        <v>22</v>
      </c>
      <c r="G2234">
        <v>0</v>
      </c>
      <c r="H2234">
        <v>165.7</v>
      </c>
      <c r="I2234">
        <v>94</v>
      </c>
      <c r="J2234">
        <v>28.17</v>
      </c>
      <c r="K2234">
        <v>257.39999999999998</v>
      </c>
      <c r="L2234">
        <v>80</v>
      </c>
      <c r="M2234">
        <v>21.88</v>
      </c>
      <c r="N2234">
        <v>170.8</v>
      </c>
      <c r="O2234">
        <v>114</v>
      </c>
      <c r="P2234">
        <v>7.69</v>
      </c>
      <c r="Q2234">
        <v>10</v>
      </c>
      <c r="R2234">
        <v>4</v>
      </c>
      <c r="S2234">
        <v>2.7</v>
      </c>
      <c r="T2234">
        <v>1</v>
      </c>
      <c r="U2234" t="s">
        <v>22</v>
      </c>
      <c r="V2234" t="e">
        <f>IF(#REF! = "yes", 1, 0)</f>
        <v>#REF!</v>
      </c>
      <c r="W2234" t="e">
        <f>IF(#REF! &lt;= 1, "0-1 Calls", IF(#REF! &lt;= 3, "2-3 Calls", IF(#REF! &lt;=5, "4-5 Calls", "6+ Calls")))</f>
        <v>#REF!</v>
      </c>
      <c r="X2234" t="e">
        <f>IF(#REF! &lt;= 50, "0-50", IF(#REF! &lt;=100, "51-100", IF(#REF! &lt;= 150, "101-150", "151+")))</f>
        <v>#REF!</v>
      </c>
      <c r="Y2234" t="e">
        <f>IF(#REF! &lt;= 3, "Low Charges", "High Charges")</f>
        <v>#REF!</v>
      </c>
      <c r="Z2234" t="e">
        <f>IF(#REF!&lt;=80,"Low Calls",
IF(#REF!&lt;=120,"Medium Calls","High Calls"))</f>
        <v>#REF!</v>
      </c>
      <c r="AA2234" t="e">
        <f>IF(#REF!&lt;=15,"Low Charges",
IF(#REF!&lt;=20,"Medium Charges","High Charges"))</f>
        <v>#REF!</v>
      </c>
      <c r="AB2234" t="e">
        <f>IF(AND(#REF!&gt;180, #REF!&gt;200), "Heavy Doemstic User", IF(#REF!&gt;10, "Interntional User", IF(AND(#REF!&lt;180, #REF!&lt;200,#REF!&lt;200), "Light User", "Balanced User")))</f>
        <v>#REF!</v>
      </c>
      <c r="AC2234" t="e">
        <f>IF(#REF! = 0, "No Usage", IF(#REF! &lt;= 20, "Low Usage", IF(#REF! &lt;= 40, "Medium Usgae", "High Usage")))</f>
        <v>#REF!</v>
      </c>
      <c r="AD2234" t="e">
        <f>IF(#REF!&lt;=150,"Low Usage", IF(#REF!&lt;=200,"Medium Usage", IF(#REF!&lt;=250,"High Usage","Very High Usage")))</f>
        <v>#REF!</v>
      </c>
      <c r="AE2234" t="e">
        <f>IF(#REF!&lt;=5,"Low Calls", IF(#REF!&lt;=10, "Medium Calls", "High Calls"))</f>
        <v>#REF!</v>
      </c>
      <c r="AF2234" t="e">
        <f xml:space="preserve">
IF(#REF!&gt;=4,4,0)+
IF(#REF!="yes",3,0)+
IF(#REF!="High Charges",3,0)+
IF(#REF!&gt;250,4,0)+
IF(#REF!="no",1,0)+
IF(#REF!="Heavy Domestic User",2,0)</f>
        <v>#REF!</v>
      </c>
      <c r="AG2234" t="e">
        <f>IF(#REF!&gt;=10,"High Risk", IF(#REF!&gt;=5,"Medium Risk","Low Risk"))</f>
        <v>#REF!</v>
      </c>
      <c r="AH2234" t="e">
        <f>#REF! + #REF! + #REF! + #REF!</f>
        <v>#REF!</v>
      </c>
    </row>
    <row r="2235" spans="1:34" x14ac:dyDescent="0.35">
      <c r="A2235">
        <v>2234</v>
      </c>
      <c r="B2235" t="s">
        <v>57</v>
      </c>
      <c r="C2235">
        <v>104</v>
      </c>
      <c r="D2235" t="s">
        <v>25</v>
      </c>
      <c r="E2235" t="s">
        <v>22</v>
      </c>
      <c r="F2235" t="s">
        <v>22</v>
      </c>
      <c r="G2235">
        <v>0</v>
      </c>
      <c r="H2235">
        <v>200.2</v>
      </c>
      <c r="I2235">
        <v>92</v>
      </c>
      <c r="J2235">
        <v>34.03</v>
      </c>
      <c r="K2235">
        <v>118.7</v>
      </c>
      <c r="L2235">
        <v>87</v>
      </c>
      <c r="M2235">
        <v>10.09</v>
      </c>
      <c r="N2235">
        <v>236.6</v>
      </c>
      <c r="O2235">
        <v>65</v>
      </c>
      <c r="P2235">
        <v>10.65</v>
      </c>
      <c r="Q2235">
        <v>6</v>
      </c>
      <c r="R2235">
        <v>6</v>
      </c>
      <c r="S2235">
        <v>1.62</v>
      </c>
      <c r="T2235">
        <v>2</v>
      </c>
      <c r="U2235" t="s">
        <v>22</v>
      </c>
      <c r="V2235" t="e">
        <f>IF(#REF! = "yes", 1, 0)</f>
        <v>#REF!</v>
      </c>
      <c r="W2235" t="e">
        <f>IF(#REF! &lt;= 1, "0-1 Calls", IF(#REF! &lt;= 3, "2-3 Calls", IF(#REF! &lt;=5, "4-5 Calls", "6+ Calls")))</f>
        <v>#REF!</v>
      </c>
      <c r="X2235" t="e">
        <f>IF(#REF! &lt;= 50, "0-50", IF(#REF! &lt;=100, "51-100", IF(#REF! &lt;= 150, "101-150", "151+")))</f>
        <v>#REF!</v>
      </c>
      <c r="Y2235" t="e">
        <f>IF(#REF! &lt;= 3, "Low Charges", "High Charges")</f>
        <v>#REF!</v>
      </c>
      <c r="Z2235" t="e">
        <f>IF(#REF!&lt;=80,"Low Calls",
IF(#REF!&lt;=120,"Medium Calls","High Calls"))</f>
        <v>#REF!</v>
      </c>
      <c r="AA2235" t="e">
        <f>IF(#REF!&lt;=15,"Low Charges",
IF(#REF!&lt;=20,"Medium Charges","High Charges"))</f>
        <v>#REF!</v>
      </c>
      <c r="AB2235" t="e">
        <f>IF(AND(#REF!&gt;180, #REF!&gt;200), "Heavy Doemstic User", IF(#REF!&gt;10, "Interntional User", IF(AND(#REF!&lt;180, #REF!&lt;200,#REF!&lt;200), "Light User", "Balanced User")))</f>
        <v>#REF!</v>
      </c>
      <c r="AC2235" t="e">
        <f>IF(#REF! = 0, "No Usage", IF(#REF! &lt;= 20, "Low Usage", IF(#REF! &lt;= 40, "Medium Usgae", "High Usage")))</f>
        <v>#REF!</v>
      </c>
      <c r="AD2235" t="e">
        <f>IF(#REF!&lt;=150,"Low Usage", IF(#REF!&lt;=200,"Medium Usage", IF(#REF!&lt;=250,"High Usage","Very High Usage")))</f>
        <v>#REF!</v>
      </c>
      <c r="AE2235" t="e">
        <f>IF(#REF!&lt;=5,"Low Calls", IF(#REF!&lt;=10, "Medium Calls", "High Calls"))</f>
        <v>#REF!</v>
      </c>
      <c r="AF2235" t="e">
        <f xml:space="preserve">
IF(#REF!&gt;=4,4,0)+
IF(#REF!="yes",3,0)+
IF(#REF!="High Charges",3,0)+
IF(#REF!&gt;250,4,0)+
IF(#REF!="no",1,0)+
IF(#REF!="Heavy Domestic User",2,0)</f>
        <v>#REF!</v>
      </c>
      <c r="AG2235" t="e">
        <f>IF(#REF!&gt;=10,"High Risk", IF(#REF!&gt;=5,"Medium Risk","Low Risk"))</f>
        <v>#REF!</v>
      </c>
      <c r="AH2235" t="e">
        <f>#REF! + #REF! + #REF! + #REF!</f>
        <v>#REF!</v>
      </c>
    </row>
    <row r="2236" spans="1:34" x14ac:dyDescent="0.35">
      <c r="A2236">
        <v>2235</v>
      </c>
      <c r="B2236" t="s">
        <v>35</v>
      </c>
      <c r="C2236">
        <v>109</v>
      </c>
      <c r="D2236" t="s">
        <v>28</v>
      </c>
      <c r="E2236" t="s">
        <v>22</v>
      </c>
      <c r="F2236" t="s">
        <v>22</v>
      </c>
      <c r="G2236">
        <v>0</v>
      </c>
      <c r="H2236">
        <v>154.80000000000001</v>
      </c>
      <c r="I2236">
        <v>82</v>
      </c>
      <c r="J2236">
        <v>26.32</v>
      </c>
      <c r="K2236">
        <v>287.7</v>
      </c>
      <c r="L2236">
        <v>109</v>
      </c>
      <c r="M2236">
        <v>24.45</v>
      </c>
      <c r="N2236">
        <v>208.4</v>
      </c>
      <c r="O2236">
        <v>80</v>
      </c>
      <c r="P2236">
        <v>9.3800000000000008</v>
      </c>
      <c r="Q2236">
        <v>5.9</v>
      </c>
      <c r="R2236">
        <v>9</v>
      </c>
      <c r="S2236">
        <v>1.59</v>
      </c>
      <c r="T2236">
        <v>3</v>
      </c>
      <c r="U2236" t="s">
        <v>22</v>
      </c>
      <c r="V2236" t="e">
        <f>IF(#REF! = "yes", 1, 0)</f>
        <v>#REF!</v>
      </c>
      <c r="W2236" t="e">
        <f>IF(#REF! &lt;= 1, "0-1 Calls", IF(#REF! &lt;= 3, "2-3 Calls", IF(#REF! &lt;=5, "4-5 Calls", "6+ Calls")))</f>
        <v>#REF!</v>
      </c>
      <c r="X2236" t="e">
        <f>IF(#REF! &lt;= 50, "0-50", IF(#REF! &lt;=100, "51-100", IF(#REF! &lt;= 150, "101-150", "151+")))</f>
        <v>#REF!</v>
      </c>
      <c r="Y2236" t="e">
        <f>IF(#REF! &lt;= 3, "Low Charges", "High Charges")</f>
        <v>#REF!</v>
      </c>
      <c r="Z2236" t="e">
        <f>IF(#REF!&lt;=80,"Low Calls",
IF(#REF!&lt;=120,"Medium Calls","High Calls"))</f>
        <v>#REF!</v>
      </c>
      <c r="AA2236" t="e">
        <f>IF(#REF!&lt;=15,"Low Charges",
IF(#REF!&lt;=20,"Medium Charges","High Charges"))</f>
        <v>#REF!</v>
      </c>
      <c r="AB2236" t="e">
        <f>IF(AND(#REF!&gt;180, #REF!&gt;200), "Heavy Doemstic User", IF(#REF!&gt;10, "Interntional User", IF(AND(#REF!&lt;180, #REF!&lt;200,#REF!&lt;200), "Light User", "Balanced User")))</f>
        <v>#REF!</v>
      </c>
      <c r="AC2236" t="e">
        <f>IF(#REF! = 0, "No Usage", IF(#REF! &lt;= 20, "Low Usage", IF(#REF! &lt;= 40, "Medium Usgae", "High Usage")))</f>
        <v>#REF!</v>
      </c>
      <c r="AD2236" t="e">
        <f>IF(#REF!&lt;=150,"Low Usage", IF(#REF!&lt;=200,"Medium Usage", IF(#REF!&lt;=250,"High Usage","Very High Usage")))</f>
        <v>#REF!</v>
      </c>
      <c r="AE2236" t="e">
        <f>IF(#REF!&lt;=5,"Low Calls", IF(#REF!&lt;=10, "Medium Calls", "High Calls"))</f>
        <v>#REF!</v>
      </c>
      <c r="AF2236" t="e">
        <f xml:space="preserve">
IF(#REF!&gt;=4,4,0)+
IF(#REF!="yes",3,0)+
IF(#REF!="High Charges",3,0)+
IF(#REF!&gt;250,4,0)+
IF(#REF!="no",1,0)+
IF(#REF!="Heavy Domestic User",2,0)</f>
        <v>#REF!</v>
      </c>
      <c r="AG2236" t="e">
        <f>IF(#REF!&gt;=10,"High Risk", IF(#REF!&gt;=5,"Medium Risk","Low Risk"))</f>
        <v>#REF!</v>
      </c>
      <c r="AH2236" t="e">
        <f>#REF! + #REF! + #REF! + #REF!</f>
        <v>#REF!</v>
      </c>
    </row>
    <row r="2237" spans="1:34" x14ac:dyDescent="0.35">
      <c r="A2237">
        <v>2236</v>
      </c>
      <c r="B2237" t="s">
        <v>45</v>
      </c>
      <c r="C2237">
        <v>105</v>
      </c>
      <c r="D2237" t="s">
        <v>28</v>
      </c>
      <c r="E2237" t="s">
        <v>22</v>
      </c>
      <c r="F2237" t="s">
        <v>22</v>
      </c>
      <c r="G2237">
        <v>0</v>
      </c>
      <c r="H2237">
        <v>125.4</v>
      </c>
      <c r="I2237">
        <v>116</v>
      </c>
      <c r="J2237">
        <v>21.32</v>
      </c>
      <c r="K2237">
        <v>261.5</v>
      </c>
      <c r="L2237">
        <v>95</v>
      </c>
      <c r="M2237">
        <v>22.23</v>
      </c>
      <c r="N2237">
        <v>241.6</v>
      </c>
      <c r="O2237">
        <v>104</v>
      </c>
      <c r="P2237">
        <v>10.87</v>
      </c>
      <c r="Q2237">
        <v>11.4</v>
      </c>
      <c r="R2237">
        <v>9</v>
      </c>
      <c r="S2237">
        <v>3.08</v>
      </c>
      <c r="T2237">
        <v>2</v>
      </c>
      <c r="U2237" t="s">
        <v>22</v>
      </c>
      <c r="V2237" t="e">
        <f>IF(#REF! = "yes", 1, 0)</f>
        <v>#REF!</v>
      </c>
      <c r="W2237" t="e">
        <f>IF(#REF! &lt;= 1, "0-1 Calls", IF(#REF! &lt;= 3, "2-3 Calls", IF(#REF! &lt;=5, "4-5 Calls", "6+ Calls")))</f>
        <v>#REF!</v>
      </c>
      <c r="X2237" t="e">
        <f>IF(#REF! &lt;= 50, "0-50", IF(#REF! &lt;=100, "51-100", IF(#REF! &lt;= 150, "101-150", "151+")))</f>
        <v>#REF!</v>
      </c>
      <c r="Y2237" t="e">
        <f>IF(#REF! &lt;= 3, "Low Charges", "High Charges")</f>
        <v>#REF!</v>
      </c>
      <c r="Z2237" t="e">
        <f>IF(#REF!&lt;=80,"Low Calls",
IF(#REF!&lt;=120,"Medium Calls","High Calls"))</f>
        <v>#REF!</v>
      </c>
      <c r="AA2237" t="e">
        <f>IF(#REF!&lt;=15,"Low Charges",
IF(#REF!&lt;=20,"Medium Charges","High Charges"))</f>
        <v>#REF!</v>
      </c>
      <c r="AB2237" t="e">
        <f>IF(AND(#REF!&gt;180, #REF!&gt;200), "Heavy Doemstic User", IF(#REF!&gt;10, "Interntional User", IF(AND(#REF!&lt;180, #REF!&lt;200,#REF!&lt;200), "Light User", "Balanced User")))</f>
        <v>#REF!</v>
      </c>
      <c r="AC2237" t="e">
        <f>IF(#REF! = 0, "No Usage", IF(#REF! &lt;= 20, "Low Usage", IF(#REF! &lt;= 40, "Medium Usgae", "High Usage")))</f>
        <v>#REF!</v>
      </c>
      <c r="AD2237" t="e">
        <f>IF(#REF!&lt;=150,"Low Usage", IF(#REF!&lt;=200,"Medium Usage", IF(#REF!&lt;=250,"High Usage","Very High Usage")))</f>
        <v>#REF!</v>
      </c>
      <c r="AE2237" t="e">
        <f>IF(#REF!&lt;=5,"Low Calls", IF(#REF!&lt;=10, "Medium Calls", "High Calls"))</f>
        <v>#REF!</v>
      </c>
      <c r="AF2237" t="e">
        <f xml:space="preserve">
IF(#REF!&gt;=4,4,0)+
IF(#REF!="yes",3,0)+
IF(#REF!="High Charges",3,0)+
IF(#REF!&gt;250,4,0)+
IF(#REF!="no",1,0)+
IF(#REF!="Heavy Domestic User",2,0)</f>
        <v>#REF!</v>
      </c>
      <c r="AG2237" t="e">
        <f>IF(#REF!&gt;=10,"High Risk", IF(#REF!&gt;=5,"Medium Risk","Low Risk"))</f>
        <v>#REF!</v>
      </c>
      <c r="AH2237" t="e">
        <f>#REF! + #REF! + #REF! + #REF!</f>
        <v>#REF!</v>
      </c>
    </row>
    <row r="2238" spans="1:34" x14ac:dyDescent="0.35">
      <c r="A2238">
        <v>2237</v>
      </c>
      <c r="B2238" t="s">
        <v>35</v>
      </c>
      <c r="C2238">
        <v>63</v>
      </c>
      <c r="D2238" t="s">
        <v>21</v>
      </c>
      <c r="E2238" t="s">
        <v>22</v>
      </c>
      <c r="F2238" t="s">
        <v>23</v>
      </c>
      <c r="G2238">
        <v>33</v>
      </c>
      <c r="H2238">
        <v>184.2</v>
      </c>
      <c r="I2238">
        <v>111</v>
      </c>
      <c r="J2238">
        <v>31.31</v>
      </c>
      <c r="K2238">
        <v>312.60000000000002</v>
      </c>
      <c r="L2238">
        <v>89</v>
      </c>
      <c r="M2238">
        <v>26.57</v>
      </c>
      <c r="N2238">
        <v>264</v>
      </c>
      <c r="O2238">
        <v>55</v>
      </c>
      <c r="P2238">
        <v>11.88</v>
      </c>
      <c r="Q2238">
        <v>12.2</v>
      </c>
      <c r="R2238">
        <v>4</v>
      </c>
      <c r="S2238">
        <v>3.29</v>
      </c>
      <c r="T2238">
        <v>1</v>
      </c>
      <c r="U2238" t="s">
        <v>22</v>
      </c>
      <c r="V2238" t="e">
        <f>IF(#REF! = "yes", 1, 0)</f>
        <v>#REF!</v>
      </c>
      <c r="W2238" t="e">
        <f>IF(#REF! &lt;= 1, "0-1 Calls", IF(#REF! &lt;= 3, "2-3 Calls", IF(#REF! &lt;=5, "4-5 Calls", "6+ Calls")))</f>
        <v>#REF!</v>
      </c>
      <c r="X2238" t="e">
        <f>IF(#REF! &lt;= 50, "0-50", IF(#REF! &lt;=100, "51-100", IF(#REF! &lt;= 150, "101-150", "151+")))</f>
        <v>#REF!</v>
      </c>
      <c r="Y2238" t="e">
        <f>IF(#REF! &lt;= 3, "Low Charges", "High Charges")</f>
        <v>#REF!</v>
      </c>
      <c r="Z2238" t="e">
        <f>IF(#REF!&lt;=80,"Low Calls",
IF(#REF!&lt;=120,"Medium Calls","High Calls"))</f>
        <v>#REF!</v>
      </c>
      <c r="AA2238" t="e">
        <f>IF(#REF!&lt;=15,"Low Charges",
IF(#REF!&lt;=20,"Medium Charges","High Charges"))</f>
        <v>#REF!</v>
      </c>
      <c r="AB2238" t="e">
        <f>IF(AND(#REF!&gt;180, #REF!&gt;200), "Heavy Doemstic User", IF(#REF!&gt;10, "Interntional User", IF(AND(#REF!&lt;180, #REF!&lt;200,#REF!&lt;200), "Light User", "Balanced User")))</f>
        <v>#REF!</v>
      </c>
      <c r="AC2238" t="e">
        <f>IF(#REF! = 0, "No Usage", IF(#REF! &lt;= 20, "Low Usage", IF(#REF! &lt;= 40, "Medium Usgae", "High Usage")))</f>
        <v>#REF!</v>
      </c>
      <c r="AD2238" t="e">
        <f>IF(#REF!&lt;=150,"Low Usage", IF(#REF!&lt;=200,"Medium Usage", IF(#REF!&lt;=250,"High Usage","Very High Usage")))</f>
        <v>#REF!</v>
      </c>
      <c r="AE2238" t="e">
        <f>IF(#REF!&lt;=5,"Low Calls", IF(#REF!&lt;=10, "Medium Calls", "High Calls"))</f>
        <v>#REF!</v>
      </c>
      <c r="AF2238" t="e">
        <f xml:space="preserve">
IF(#REF!&gt;=4,4,0)+
IF(#REF!="yes",3,0)+
IF(#REF!="High Charges",3,0)+
IF(#REF!&gt;250,4,0)+
IF(#REF!="no",1,0)+
IF(#REF!="Heavy Domestic User",2,0)</f>
        <v>#REF!</v>
      </c>
      <c r="AG2238" t="e">
        <f>IF(#REF!&gt;=10,"High Risk", IF(#REF!&gt;=5,"Medium Risk","Low Risk"))</f>
        <v>#REF!</v>
      </c>
      <c r="AH2238" t="e">
        <f>#REF! + #REF! + #REF! + #REF!</f>
        <v>#REF!</v>
      </c>
    </row>
    <row r="2239" spans="1:34" x14ac:dyDescent="0.35">
      <c r="A2239">
        <v>2238</v>
      </c>
      <c r="B2239" t="s">
        <v>65</v>
      </c>
      <c r="C2239">
        <v>105</v>
      </c>
      <c r="D2239" t="s">
        <v>21</v>
      </c>
      <c r="E2239" t="s">
        <v>22</v>
      </c>
      <c r="F2239" t="s">
        <v>23</v>
      </c>
      <c r="G2239">
        <v>24</v>
      </c>
      <c r="H2239">
        <v>274.7</v>
      </c>
      <c r="I2239">
        <v>99</v>
      </c>
      <c r="J2239">
        <v>46.7</v>
      </c>
      <c r="K2239">
        <v>193.5</v>
      </c>
      <c r="L2239">
        <v>118</v>
      </c>
      <c r="M2239">
        <v>16.45</v>
      </c>
      <c r="N2239">
        <v>299.60000000000002</v>
      </c>
      <c r="O2239">
        <v>109</v>
      </c>
      <c r="P2239">
        <v>13.48</v>
      </c>
      <c r="Q2239">
        <v>10.8</v>
      </c>
      <c r="R2239">
        <v>3</v>
      </c>
      <c r="S2239">
        <v>2.92</v>
      </c>
      <c r="T2239">
        <v>3</v>
      </c>
      <c r="U2239" t="s">
        <v>22</v>
      </c>
      <c r="V2239" t="e">
        <f>IF(#REF! = "yes", 1, 0)</f>
        <v>#REF!</v>
      </c>
      <c r="W2239" t="e">
        <f>IF(#REF! &lt;= 1, "0-1 Calls", IF(#REF! &lt;= 3, "2-3 Calls", IF(#REF! &lt;=5, "4-5 Calls", "6+ Calls")))</f>
        <v>#REF!</v>
      </c>
      <c r="X2239" t="e">
        <f>IF(#REF! &lt;= 50, "0-50", IF(#REF! &lt;=100, "51-100", IF(#REF! &lt;= 150, "101-150", "151+")))</f>
        <v>#REF!</v>
      </c>
      <c r="Y2239" t="e">
        <f>IF(#REF! &lt;= 3, "Low Charges", "High Charges")</f>
        <v>#REF!</v>
      </c>
      <c r="Z2239" t="e">
        <f>IF(#REF!&lt;=80,"Low Calls",
IF(#REF!&lt;=120,"Medium Calls","High Calls"))</f>
        <v>#REF!</v>
      </c>
      <c r="AA2239" t="e">
        <f>IF(#REF!&lt;=15,"Low Charges",
IF(#REF!&lt;=20,"Medium Charges","High Charges"))</f>
        <v>#REF!</v>
      </c>
      <c r="AB2239" t="e">
        <f>IF(AND(#REF!&gt;180, #REF!&gt;200), "Heavy Doemstic User", IF(#REF!&gt;10, "Interntional User", IF(AND(#REF!&lt;180, #REF!&lt;200,#REF!&lt;200), "Light User", "Balanced User")))</f>
        <v>#REF!</v>
      </c>
      <c r="AC2239" t="e">
        <f>IF(#REF! = 0, "No Usage", IF(#REF! &lt;= 20, "Low Usage", IF(#REF! &lt;= 40, "Medium Usgae", "High Usage")))</f>
        <v>#REF!</v>
      </c>
      <c r="AD2239" t="e">
        <f>IF(#REF!&lt;=150,"Low Usage", IF(#REF!&lt;=200,"Medium Usage", IF(#REF!&lt;=250,"High Usage","Very High Usage")))</f>
        <v>#REF!</v>
      </c>
      <c r="AE2239" t="e">
        <f>IF(#REF!&lt;=5,"Low Calls", IF(#REF!&lt;=10, "Medium Calls", "High Calls"))</f>
        <v>#REF!</v>
      </c>
      <c r="AF2239" t="e">
        <f xml:space="preserve">
IF(#REF!&gt;=4,4,0)+
IF(#REF!="yes",3,0)+
IF(#REF!="High Charges",3,0)+
IF(#REF!&gt;250,4,0)+
IF(#REF!="no",1,0)+
IF(#REF!="Heavy Domestic User",2,0)</f>
        <v>#REF!</v>
      </c>
      <c r="AG2239" t="e">
        <f>IF(#REF!&gt;=10,"High Risk", IF(#REF!&gt;=5,"Medium Risk","Low Risk"))</f>
        <v>#REF!</v>
      </c>
      <c r="AH2239" t="e">
        <f>#REF! + #REF! + #REF! + #REF!</f>
        <v>#REF!</v>
      </c>
    </row>
    <row r="2240" spans="1:34" x14ac:dyDescent="0.35">
      <c r="A2240">
        <v>2239</v>
      </c>
      <c r="B2240" t="s">
        <v>63</v>
      </c>
      <c r="C2240">
        <v>68</v>
      </c>
      <c r="D2240" t="s">
        <v>21</v>
      </c>
      <c r="E2240" t="s">
        <v>23</v>
      </c>
      <c r="F2240" t="s">
        <v>23</v>
      </c>
      <c r="G2240">
        <v>39</v>
      </c>
      <c r="H2240">
        <v>142</v>
      </c>
      <c r="I2240">
        <v>140</v>
      </c>
      <c r="J2240">
        <v>24.14</v>
      </c>
      <c r="K2240">
        <v>241.6</v>
      </c>
      <c r="L2240">
        <v>89</v>
      </c>
      <c r="M2240">
        <v>20.54</v>
      </c>
      <c r="N2240">
        <v>302</v>
      </c>
      <c r="O2240">
        <v>72</v>
      </c>
      <c r="P2240">
        <v>13.59</v>
      </c>
      <c r="Q2240">
        <v>11.3</v>
      </c>
      <c r="R2240">
        <v>5</v>
      </c>
      <c r="S2240">
        <v>3.05</v>
      </c>
      <c r="T2240">
        <v>1</v>
      </c>
      <c r="U2240" t="s">
        <v>22</v>
      </c>
      <c r="V2240" t="e">
        <f>IF(#REF! = "yes", 1, 0)</f>
        <v>#REF!</v>
      </c>
      <c r="W2240" t="e">
        <f>IF(#REF! &lt;= 1, "0-1 Calls", IF(#REF! &lt;= 3, "2-3 Calls", IF(#REF! &lt;=5, "4-5 Calls", "6+ Calls")))</f>
        <v>#REF!</v>
      </c>
      <c r="X2240" t="e">
        <f>IF(#REF! &lt;= 50, "0-50", IF(#REF! &lt;=100, "51-100", IF(#REF! &lt;= 150, "101-150", "151+")))</f>
        <v>#REF!</v>
      </c>
      <c r="Y2240" t="e">
        <f>IF(#REF! &lt;= 3, "Low Charges", "High Charges")</f>
        <v>#REF!</v>
      </c>
      <c r="Z2240" t="e">
        <f>IF(#REF!&lt;=80,"Low Calls",
IF(#REF!&lt;=120,"Medium Calls","High Calls"))</f>
        <v>#REF!</v>
      </c>
      <c r="AA2240" t="e">
        <f>IF(#REF!&lt;=15,"Low Charges",
IF(#REF!&lt;=20,"Medium Charges","High Charges"))</f>
        <v>#REF!</v>
      </c>
      <c r="AB2240" t="e">
        <f>IF(AND(#REF!&gt;180, #REF!&gt;200), "Heavy Doemstic User", IF(#REF!&gt;10, "Interntional User", IF(AND(#REF!&lt;180, #REF!&lt;200,#REF!&lt;200), "Light User", "Balanced User")))</f>
        <v>#REF!</v>
      </c>
      <c r="AC2240" t="e">
        <f>IF(#REF! = 0, "No Usage", IF(#REF! &lt;= 20, "Low Usage", IF(#REF! &lt;= 40, "Medium Usgae", "High Usage")))</f>
        <v>#REF!</v>
      </c>
      <c r="AD2240" t="e">
        <f>IF(#REF!&lt;=150,"Low Usage", IF(#REF!&lt;=200,"Medium Usage", IF(#REF!&lt;=250,"High Usage","Very High Usage")))</f>
        <v>#REF!</v>
      </c>
      <c r="AE2240" t="e">
        <f>IF(#REF!&lt;=5,"Low Calls", IF(#REF!&lt;=10, "Medium Calls", "High Calls"))</f>
        <v>#REF!</v>
      </c>
      <c r="AF2240" t="e">
        <f xml:space="preserve">
IF(#REF!&gt;=4,4,0)+
IF(#REF!="yes",3,0)+
IF(#REF!="High Charges",3,0)+
IF(#REF!&gt;250,4,0)+
IF(#REF!="no",1,0)+
IF(#REF!="Heavy Domestic User",2,0)</f>
        <v>#REF!</v>
      </c>
      <c r="AG2240" t="e">
        <f>IF(#REF!&gt;=10,"High Risk", IF(#REF!&gt;=5,"Medium Risk","Low Risk"))</f>
        <v>#REF!</v>
      </c>
      <c r="AH2240" t="e">
        <f>#REF! + #REF! + #REF! + #REF!</f>
        <v>#REF!</v>
      </c>
    </row>
    <row r="2241" spans="1:34" x14ac:dyDescent="0.35">
      <c r="A2241">
        <v>2240</v>
      </c>
      <c r="B2241" t="s">
        <v>41</v>
      </c>
      <c r="C2241">
        <v>63</v>
      </c>
      <c r="D2241" t="s">
        <v>25</v>
      </c>
      <c r="E2241" t="s">
        <v>23</v>
      </c>
      <c r="F2241" t="s">
        <v>23</v>
      </c>
      <c r="G2241">
        <v>21</v>
      </c>
      <c r="H2241">
        <v>151.5</v>
      </c>
      <c r="I2241">
        <v>99</v>
      </c>
      <c r="J2241">
        <v>25.76</v>
      </c>
      <c r="K2241">
        <v>147.80000000000001</v>
      </c>
      <c r="L2241">
        <v>89</v>
      </c>
      <c r="M2241">
        <v>12.56</v>
      </c>
      <c r="N2241">
        <v>210.4</v>
      </c>
      <c r="O2241">
        <v>114</v>
      </c>
      <c r="P2241">
        <v>9.4700000000000006</v>
      </c>
      <c r="Q2241">
        <v>10</v>
      </c>
      <c r="R2241">
        <v>4</v>
      </c>
      <c r="S2241">
        <v>2.7</v>
      </c>
      <c r="T2241">
        <v>1</v>
      </c>
      <c r="U2241" t="s">
        <v>22</v>
      </c>
      <c r="V2241" t="e">
        <f>IF(#REF! = "yes", 1, 0)</f>
        <v>#REF!</v>
      </c>
      <c r="W2241" t="e">
        <f>IF(#REF! &lt;= 1, "0-1 Calls", IF(#REF! &lt;= 3, "2-3 Calls", IF(#REF! &lt;=5, "4-5 Calls", "6+ Calls")))</f>
        <v>#REF!</v>
      </c>
      <c r="X2241" t="e">
        <f>IF(#REF! &lt;= 50, "0-50", IF(#REF! &lt;=100, "51-100", IF(#REF! &lt;= 150, "101-150", "151+")))</f>
        <v>#REF!</v>
      </c>
      <c r="Y2241" t="e">
        <f>IF(#REF! &lt;= 3, "Low Charges", "High Charges")</f>
        <v>#REF!</v>
      </c>
      <c r="Z2241" t="e">
        <f>IF(#REF!&lt;=80,"Low Calls",
IF(#REF!&lt;=120,"Medium Calls","High Calls"))</f>
        <v>#REF!</v>
      </c>
      <c r="AA2241" t="e">
        <f>IF(#REF!&lt;=15,"Low Charges",
IF(#REF!&lt;=20,"Medium Charges","High Charges"))</f>
        <v>#REF!</v>
      </c>
      <c r="AB2241" t="e">
        <f>IF(AND(#REF!&gt;180, #REF!&gt;200), "Heavy Doemstic User", IF(#REF!&gt;10, "Interntional User", IF(AND(#REF!&lt;180, #REF!&lt;200,#REF!&lt;200), "Light User", "Balanced User")))</f>
        <v>#REF!</v>
      </c>
      <c r="AC2241" t="e">
        <f>IF(#REF! = 0, "No Usage", IF(#REF! &lt;= 20, "Low Usage", IF(#REF! &lt;= 40, "Medium Usgae", "High Usage")))</f>
        <v>#REF!</v>
      </c>
      <c r="AD2241" t="e">
        <f>IF(#REF!&lt;=150,"Low Usage", IF(#REF!&lt;=200,"Medium Usage", IF(#REF!&lt;=250,"High Usage","Very High Usage")))</f>
        <v>#REF!</v>
      </c>
      <c r="AE2241" t="e">
        <f>IF(#REF!&lt;=5,"Low Calls", IF(#REF!&lt;=10, "Medium Calls", "High Calls"))</f>
        <v>#REF!</v>
      </c>
      <c r="AF2241" t="e">
        <f xml:space="preserve">
IF(#REF!&gt;=4,4,0)+
IF(#REF!="yes",3,0)+
IF(#REF!="High Charges",3,0)+
IF(#REF!&gt;250,4,0)+
IF(#REF!="no",1,0)+
IF(#REF!="Heavy Domestic User",2,0)</f>
        <v>#REF!</v>
      </c>
      <c r="AG2241" t="e">
        <f>IF(#REF!&gt;=10,"High Risk", IF(#REF!&gt;=5,"Medium Risk","Low Risk"))</f>
        <v>#REF!</v>
      </c>
      <c r="AH2241" t="e">
        <f>#REF! + #REF! + #REF! + #REF!</f>
        <v>#REF!</v>
      </c>
    </row>
    <row r="2242" spans="1:34" x14ac:dyDescent="0.35">
      <c r="A2242">
        <v>2241</v>
      </c>
      <c r="B2242" t="s">
        <v>53</v>
      </c>
      <c r="C2242">
        <v>74</v>
      </c>
      <c r="D2242" t="s">
        <v>21</v>
      </c>
      <c r="E2242" t="s">
        <v>22</v>
      </c>
      <c r="F2242" t="s">
        <v>22</v>
      </c>
      <c r="G2242">
        <v>0</v>
      </c>
      <c r="H2242">
        <v>124.8</v>
      </c>
      <c r="I2242">
        <v>114</v>
      </c>
      <c r="J2242">
        <v>21.22</v>
      </c>
      <c r="K2242">
        <v>133</v>
      </c>
      <c r="L2242">
        <v>121</v>
      </c>
      <c r="M2242">
        <v>11.31</v>
      </c>
      <c r="N2242">
        <v>160.30000000000001</v>
      </c>
      <c r="O2242">
        <v>85</v>
      </c>
      <c r="P2242">
        <v>7.21</v>
      </c>
      <c r="Q2242">
        <v>10.6</v>
      </c>
      <c r="R2242">
        <v>7</v>
      </c>
      <c r="S2242">
        <v>2.86</v>
      </c>
      <c r="T2242">
        <v>3</v>
      </c>
      <c r="U2242" t="s">
        <v>22</v>
      </c>
      <c r="V2242" t="e">
        <f>IF(#REF! = "yes", 1, 0)</f>
        <v>#REF!</v>
      </c>
      <c r="W2242" t="e">
        <f>IF(#REF! &lt;= 1, "0-1 Calls", IF(#REF! &lt;= 3, "2-3 Calls", IF(#REF! &lt;=5, "4-5 Calls", "6+ Calls")))</f>
        <v>#REF!</v>
      </c>
      <c r="X2242" t="e">
        <f>IF(#REF! &lt;= 50, "0-50", IF(#REF! &lt;=100, "51-100", IF(#REF! &lt;= 150, "101-150", "151+")))</f>
        <v>#REF!</v>
      </c>
      <c r="Y2242" t="e">
        <f>IF(#REF! &lt;= 3, "Low Charges", "High Charges")</f>
        <v>#REF!</v>
      </c>
      <c r="Z2242" t="e">
        <f>IF(#REF!&lt;=80,"Low Calls",
IF(#REF!&lt;=120,"Medium Calls","High Calls"))</f>
        <v>#REF!</v>
      </c>
      <c r="AA2242" t="e">
        <f>IF(#REF!&lt;=15,"Low Charges",
IF(#REF!&lt;=20,"Medium Charges","High Charges"))</f>
        <v>#REF!</v>
      </c>
      <c r="AB2242" t="e">
        <f>IF(AND(#REF!&gt;180, #REF!&gt;200), "Heavy Doemstic User", IF(#REF!&gt;10, "Interntional User", IF(AND(#REF!&lt;180, #REF!&lt;200,#REF!&lt;200), "Light User", "Balanced User")))</f>
        <v>#REF!</v>
      </c>
      <c r="AC2242" t="e">
        <f>IF(#REF! = 0, "No Usage", IF(#REF! &lt;= 20, "Low Usage", IF(#REF! &lt;= 40, "Medium Usgae", "High Usage")))</f>
        <v>#REF!</v>
      </c>
      <c r="AD2242" t="e">
        <f>IF(#REF!&lt;=150,"Low Usage", IF(#REF!&lt;=200,"Medium Usage", IF(#REF!&lt;=250,"High Usage","Very High Usage")))</f>
        <v>#REF!</v>
      </c>
      <c r="AE2242" t="e">
        <f>IF(#REF!&lt;=5,"Low Calls", IF(#REF!&lt;=10, "Medium Calls", "High Calls"))</f>
        <v>#REF!</v>
      </c>
      <c r="AF2242" t="e">
        <f xml:space="preserve">
IF(#REF!&gt;=4,4,0)+
IF(#REF!="yes",3,0)+
IF(#REF!="High Charges",3,0)+
IF(#REF!&gt;250,4,0)+
IF(#REF!="no",1,0)+
IF(#REF!="Heavy Domestic User",2,0)</f>
        <v>#REF!</v>
      </c>
      <c r="AG2242" t="e">
        <f>IF(#REF!&gt;=10,"High Risk", IF(#REF!&gt;=5,"Medium Risk","Low Risk"))</f>
        <v>#REF!</v>
      </c>
      <c r="AH2242" t="e">
        <f>#REF! + #REF! + #REF! + #REF!</f>
        <v>#REF!</v>
      </c>
    </row>
    <row r="2243" spans="1:34" x14ac:dyDescent="0.35">
      <c r="A2243">
        <v>2242</v>
      </c>
      <c r="B2243" t="s">
        <v>58</v>
      </c>
      <c r="C2243">
        <v>101</v>
      </c>
      <c r="D2243" t="s">
        <v>21</v>
      </c>
      <c r="E2243" t="s">
        <v>22</v>
      </c>
      <c r="F2243" t="s">
        <v>22</v>
      </c>
      <c r="G2243">
        <v>0</v>
      </c>
      <c r="H2243">
        <v>232.7</v>
      </c>
      <c r="I2243">
        <v>114</v>
      </c>
      <c r="J2243">
        <v>39.56</v>
      </c>
      <c r="K2243">
        <v>186.4</v>
      </c>
      <c r="L2243">
        <v>123</v>
      </c>
      <c r="M2243">
        <v>15.84</v>
      </c>
      <c r="N2243">
        <v>153.30000000000001</v>
      </c>
      <c r="O2243">
        <v>122</v>
      </c>
      <c r="P2243">
        <v>6.9</v>
      </c>
      <c r="Q2243">
        <v>11.5</v>
      </c>
      <c r="R2243">
        <v>6</v>
      </c>
      <c r="S2243">
        <v>3.11</v>
      </c>
      <c r="T2243">
        <v>5</v>
      </c>
      <c r="U2243" t="s">
        <v>22</v>
      </c>
      <c r="V2243" t="e">
        <f>IF(#REF! = "yes", 1, 0)</f>
        <v>#REF!</v>
      </c>
      <c r="W2243" t="e">
        <f>IF(#REF! &lt;= 1, "0-1 Calls", IF(#REF! &lt;= 3, "2-3 Calls", IF(#REF! &lt;=5, "4-5 Calls", "6+ Calls")))</f>
        <v>#REF!</v>
      </c>
      <c r="X2243" t="e">
        <f>IF(#REF! &lt;= 50, "0-50", IF(#REF! &lt;=100, "51-100", IF(#REF! &lt;= 150, "101-150", "151+")))</f>
        <v>#REF!</v>
      </c>
      <c r="Y2243" t="e">
        <f>IF(#REF! &lt;= 3, "Low Charges", "High Charges")</f>
        <v>#REF!</v>
      </c>
      <c r="Z2243" t="e">
        <f>IF(#REF!&lt;=80,"Low Calls",
IF(#REF!&lt;=120,"Medium Calls","High Calls"))</f>
        <v>#REF!</v>
      </c>
      <c r="AA2243" t="e">
        <f>IF(#REF!&lt;=15,"Low Charges",
IF(#REF!&lt;=20,"Medium Charges","High Charges"))</f>
        <v>#REF!</v>
      </c>
      <c r="AB2243" t="e">
        <f>IF(AND(#REF!&gt;180, #REF!&gt;200), "Heavy Doemstic User", IF(#REF!&gt;10, "Interntional User", IF(AND(#REF!&lt;180, #REF!&lt;200,#REF!&lt;200), "Light User", "Balanced User")))</f>
        <v>#REF!</v>
      </c>
      <c r="AC2243" t="e">
        <f>IF(#REF! = 0, "No Usage", IF(#REF! &lt;= 20, "Low Usage", IF(#REF! &lt;= 40, "Medium Usgae", "High Usage")))</f>
        <v>#REF!</v>
      </c>
      <c r="AD2243" t="e">
        <f>IF(#REF!&lt;=150,"Low Usage", IF(#REF!&lt;=200,"Medium Usage", IF(#REF!&lt;=250,"High Usage","Very High Usage")))</f>
        <v>#REF!</v>
      </c>
      <c r="AE2243" t="e">
        <f>IF(#REF!&lt;=5,"Low Calls", IF(#REF!&lt;=10, "Medium Calls", "High Calls"))</f>
        <v>#REF!</v>
      </c>
      <c r="AF2243" t="e">
        <f xml:space="preserve">
IF(#REF!&gt;=4,4,0)+
IF(#REF!="yes",3,0)+
IF(#REF!="High Charges",3,0)+
IF(#REF!&gt;250,4,0)+
IF(#REF!="no",1,0)+
IF(#REF!="Heavy Domestic User",2,0)</f>
        <v>#REF!</v>
      </c>
      <c r="AG2243" t="e">
        <f>IF(#REF!&gt;=10,"High Risk", IF(#REF!&gt;=5,"Medium Risk","Low Risk"))</f>
        <v>#REF!</v>
      </c>
      <c r="AH2243" t="e">
        <f>#REF! + #REF! + #REF! + #REF!</f>
        <v>#REF!</v>
      </c>
    </row>
    <row r="2244" spans="1:34" x14ac:dyDescent="0.35">
      <c r="A2244">
        <v>2243</v>
      </c>
      <c r="B2244" t="s">
        <v>43</v>
      </c>
      <c r="C2244">
        <v>116</v>
      </c>
      <c r="D2244" t="s">
        <v>25</v>
      </c>
      <c r="E2244" t="s">
        <v>22</v>
      </c>
      <c r="F2244" t="s">
        <v>22</v>
      </c>
      <c r="G2244">
        <v>0</v>
      </c>
      <c r="H2244">
        <v>288</v>
      </c>
      <c r="I2244">
        <v>120</v>
      </c>
      <c r="J2244">
        <v>48.96</v>
      </c>
      <c r="K2244">
        <v>255.8</v>
      </c>
      <c r="L2244">
        <v>90</v>
      </c>
      <c r="M2244">
        <v>21.74</v>
      </c>
      <c r="N2244">
        <v>233.4</v>
      </c>
      <c r="O2244">
        <v>99</v>
      </c>
      <c r="P2244">
        <v>10.5</v>
      </c>
      <c r="Q2244">
        <v>13.4</v>
      </c>
      <c r="R2244">
        <v>4</v>
      </c>
      <c r="S2244">
        <v>3.62</v>
      </c>
      <c r="T2244">
        <v>0</v>
      </c>
      <c r="U2244" t="s">
        <v>23</v>
      </c>
      <c r="V2244" t="e">
        <f>IF(#REF! = "yes", 1, 0)</f>
        <v>#REF!</v>
      </c>
      <c r="W2244" t="e">
        <f>IF(#REF! &lt;= 1, "0-1 Calls", IF(#REF! &lt;= 3, "2-3 Calls", IF(#REF! &lt;=5, "4-5 Calls", "6+ Calls")))</f>
        <v>#REF!</v>
      </c>
      <c r="X2244" t="e">
        <f>IF(#REF! &lt;= 50, "0-50", IF(#REF! &lt;=100, "51-100", IF(#REF! &lt;= 150, "101-150", "151+")))</f>
        <v>#REF!</v>
      </c>
      <c r="Y2244" t="e">
        <f>IF(#REF! &lt;= 3, "Low Charges", "High Charges")</f>
        <v>#REF!</v>
      </c>
      <c r="Z2244" t="e">
        <f>IF(#REF!&lt;=80,"Low Calls",
IF(#REF!&lt;=120,"Medium Calls","High Calls"))</f>
        <v>#REF!</v>
      </c>
      <c r="AA2244" t="e">
        <f>IF(#REF!&lt;=15,"Low Charges",
IF(#REF!&lt;=20,"Medium Charges","High Charges"))</f>
        <v>#REF!</v>
      </c>
      <c r="AB2244" t="e">
        <f>IF(AND(#REF!&gt;180, #REF!&gt;200), "Heavy Doemstic User", IF(#REF!&gt;10, "Interntional User", IF(AND(#REF!&lt;180, #REF!&lt;200,#REF!&lt;200), "Light User", "Balanced User")))</f>
        <v>#REF!</v>
      </c>
      <c r="AC2244" t="e">
        <f>IF(#REF! = 0, "No Usage", IF(#REF! &lt;= 20, "Low Usage", IF(#REF! &lt;= 40, "Medium Usgae", "High Usage")))</f>
        <v>#REF!</v>
      </c>
      <c r="AD2244" t="e">
        <f>IF(#REF!&lt;=150,"Low Usage", IF(#REF!&lt;=200,"Medium Usage", IF(#REF!&lt;=250,"High Usage","Very High Usage")))</f>
        <v>#REF!</v>
      </c>
      <c r="AE2244" t="e">
        <f>IF(#REF!&lt;=5,"Low Calls", IF(#REF!&lt;=10, "Medium Calls", "High Calls"))</f>
        <v>#REF!</v>
      </c>
      <c r="AF2244" t="e">
        <f xml:space="preserve">
IF(#REF!&gt;=4,4,0)+
IF(#REF!="yes",3,0)+
IF(#REF!="High Charges",3,0)+
IF(#REF!&gt;250,4,0)+
IF(#REF!="no",1,0)+
IF(#REF!="Heavy Domestic User",2,0)</f>
        <v>#REF!</v>
      </c>
      <c r="AG2244" t="e">
        <f>IF(#REF!&gt;=10,"High Risk", IF(#REF!&gt;=5,"Medium Risk","Low Risk"))</f>
        <v>#REF!</v>
      </c>
      <c r="AH2244" t="e">
        <f>#REF! + #REF! + #REF! + #REF!</f>
        <v>#REF!</v>
      </c>
    </row>
    <row r="2245" spans="1:34" x14ac:dyDescent="0.35">
      <c r="A2245">
        <v>2244</v>
      </c>
      <c r="B2245" t="s">
        <v>41</v>
      </c>
      <c r="C2245">
        <v>131</v>
      </c>
      <c r="D2245" t="s">
        <v>21</v>
      </c>
      <c r="E2245" t="s">
        <v>22</v>
      </c>
      <c r="F2245" t="s">
        <v>23</v>
      </c>
      <c r="G2245">
        <v>23</v>
      </c>
      <c r="H2245">
        <v>170.8</v>
      </c>
      <c r="I2245">
        <v>145</v>
      </c>
      <c r="J2245">
        <v>29.04</v>
      </c>
      <c r="K2245">
        <v>236.7</v>
      </c>
      <c r="L2245">
        <v>93</v>
      </c>
      <c r="M2245">
        <v>20.12</v>
      </c>
      <c r="N2245">
        <v>294.5</v>
      </c>
      <c r="O2245">
        <v>100</v>
      </c>
      <c r="P2245">
        <v>13.25</v>
      </c>
      <c r="Q2245">
        <v>12.7</v>
      </c>
      <c r="R2245">
        <v>1</v>
      </c>
      <c r="S2245">
        <v>3.43</v>
      </c>
      <c r="T2245">
        <v>1</v>
      </c>
      <c r="U2245" t="s">
        <v>22</v>
      </c>
      <c r="V2245" t="e">
        <f>IF(#REF! = "yes", 1, 0)</f>
        <v>#REF!</v>
      </c>
      <c r="W2245" t="e">
        <f>IF(#REF! &lt;= 1, "0-1 Calls", IF(#REF! &lt;= 3, "2-3 Calls", IF(#REF! &lt;=5, "4-5 Calls", "6+ Calls")))</f>
        <v>#REF!</v>
      </c>
      <c r="X2245" t="e">
        <f>IF(#REF! &lt;= 50, "0-50", IF(#REF! &lt;=100, "51-100", IF(#REF! &lt;= 150, "101-150", "151+")))</f>
        <v>#REF!</v>
      </c>
      <c r="Y2245" t="e">
        <f>IF(#REF! &lt;= 3, "Low Charges", "High Charges")</f>
        <v>#REF!</v>
      </c>
      <c r="Z2245" t="e">
        <f>IF(#REF!&lt;=80,"Low Calls",
IF(#REF!&lt;=120,"Medium Calls","High Calls"))</f>
        <v>#REF!</v>
      </c>
      <c r="AA2245" t="e">
        <f>IF(#REF!&lt;=15,"Low Charges",
IF(#REF!&lt;=20,"Medium Charges","High Charges"))</f>
        <v>#REF!</v>
      </c>
      <c r="AB2245" t="e">
        <f>IF(AND(#REF!&gt;180, #REF!&gt;200), "Heavy Doemstic User", IF(#REF!&gt;10, "Interntional User", IF(AND(#REF!&lt;180, #REF!&lt;200,#REF!&lt;200), "Light User", "Balanced User")))</f>
        <v>#REF!</v>
      </c>
      <c r="AC2245" t="e">
        <f>IF(#REF! = 0, "No Usage", IF(#REF! &lt;= 20, "Low Usage", IF(#REF! &lt;= 40, "Medium Usgae", "High Usage")))</f>
        <v>#REF!</v>
      </c>
      <c r="AD2245" t="e">
        <f>IF(#REF!&lt;=150,"Low Usage", IF(#REF!&lt;=200,"Medium Usage", IF(#REF!&lt;=250,"High Usage","Very High Usage")))</f>
        <v>#REF!</v>
      </c>
      <c r="AE2245" t="e">
        <f>IF(#REF!&lt;=5,"Low Calls", IF(#REF!&lt;=10, "Medium Calls", "High Calls"))</f>
        <v>#REF!</v>
      </c>
      <c r="AF2245" t="e">
        <f xml:space="preserve">
IF(#REF!&gt;=4,4,0)+
IF(#REF!="yes",3,0)+
IF(#REF!="High Charges",3,0)+
IF(#REF!&gt;250,4,0)+
IF(#REF!="no",1,0)+
IF(#REF!="Heavy Domestic User",2,0)</f>
        <v>#REF!</v>
      </c>
      <c r="AG2245" t="e">
        <f>IF(#REF!&gt;=10,"High Risk", IF(#REF!&gt;=5,"Medium Risk","Low Risk"))</f>
        <v>#REF!</v>
      </c>
      <c r="AH2245" t="e">
        <f>#REF! + #REF! + #REF! + #REF!</f>
        <v>#REF!</v>
      </c>
    </row>
    <row r="2246" spans="1:34" x14ac:dyDescent="0.35">
      <c r="A2246">
        <v>2245</v>
      </c>
      <c r="B2246" t="s">
        <v>60</v>
      </c>
      <c r="C2246">
        <v>84</v>
      </c>
      <c r="D2246" t="s">
        <v>21</v>
      </c>
      <c r="E2246" t="s">
        <v>22</v>
      </c>
      <c r="F2246" t="s">
        <v>22</v>
      </c>
      <c r="G2246">
        <v>0</v>
      </c>
      <c r="H2246">
        <v>216.1</v>
      </c>
      <c r="I2246">
        <v>114</v>
      </c>
      <c r="J2246">
        <v>36.74</v>
      </c>
      <c r="K2246">
        <v>197.5</v>
      </c>
      <c r="L2246">
        <v>107</v>
      </c>
      <c r="M2246">
        <v>16.79</v>
      </c>
      <c r="N2246">
        <v>217.8</v>
      </c>
      <c r="O2246">
        <v>104</v>
      </c>
      <c r="P2246">
        <v>9.8000000000000007</v>
      </c>
      <c r="Q2246">
        <v>9.8000000000000007</v>
      </c>
      <c r="R2246">
        <v>3</v>
      </c>
      <c r="S2246">
        <v>2.65</v>
      </c>
      <c r="T2246">
        <v>1</v>
      </c>
      <c r="U2246" t="s">
        <v>22</v>
      </c>
      <c r="V2246" t="e">
        <f>IF(#REF! = "yes", 1, 0)</f>
        <v>#REF!</v>
      </c>
      <c r="W2246" t="e">
        <f>IF(#REF! &lt;= 1, "0-1 Calls", IF(#REF! &lt;= 3, "2-3 Calls", IF(#REF! &lt;=5, "4-5 Calls", "6+ Calls")))</f>
        <v>#REF!</v>
      </c>
      <c r="X2246" t="e">
        <f>IF(#REF! &lt;= 50, "0-50", IF(#REF! &lt;=100, "51-100", IF(#REF! &lt;= 150, "101-150", "151+")))</f>
        <v>#REF!</v>
      </c>
      <c r="Y2246" t="e">
        <f>IF(#REF! &lt;= 3, "Low Charges", "High Charges")</f>
        <v>#REF!</v>
      </c>
      <c r="Z2246" t="e">
        <f>IF(#REF!&lt;=80,"Low Calls",
IF(#REF!&lt;=120,"Medium Calls","High Calls"))</f>
        <v>#REF!</v>
      </c>
      <c r="AA2246" t="e">
        <f>IF(#REF!&lt;=15,"Low Charges",
IF(#REF!&lt;=20,"Medium Charges","High Charges"))</f>
        <v>#REF!</v>
      </c>
      <c r="AB2246" t="e">
        <f>IF(AND(#REF!&gt;180, #REF!&gt;200), "Heavy Doemstic User", IF(#REF!&gt;10, "Interntional User", IF(AND(#REF!&lt;180, #REF!&lt;200,#REF!&lt;200), "Light User", "Balanced User")))</f>
        <v>#REF!</v>
      </c>
      <c r="AC2246" t="e">
        <f>IF(#REF! = 0, "No Usage", IF(#REF! &lt;= 20, "Low Usage", IF(#REF! &lt;= 40, "Medium Usgae", "High Usage")))</f>
        <v>#REF!</v>
      </c>
      <c r="AD2246" t="e">
        <f>IF(#REF!&lt;=150,"Low Usage", IF(#REF!&lt;=200,"Medium Usage", IF(#REF!&lt;=250,"High Usage","Very High Usage")))</f>
        <v>#REF!</v>
      </c>
      <c r="AE2246" t="e">
        <f>IF(#REF!&lt;=5,"Low Calls", IF(#REF!&lt;=10, "Medium Calls", "High Calls"))</f>
        <v>#REF!</v>
      </c>
      <c r="AF2246" t="e">
        <f xml:space="preserve">
IF(#REF!&gt;=4,4,0)+
IF(#REF!="yes",3,0)+
IF(#REF!="High Charges",3,0)+
IF(#REF!&gt;250,4,0)+
IF(#REF!="no",1,0)+
IF(#REF!="Heavy Domestic User",2,0)</f>
        <v>#REF!</v>
      </c>
      <c r="AG2246" t="e">
        <f>IF(#REF!&gt;=10,"High Risk", IF(#REF!&gt;=5,"Medium Risk","Low Risk"))</f>
        <v>#REF!</v>
      </c>
      <c r="AH2246" t="e">
        <f>#REF! + #REF! + #REF! + #REF!</f>
        <v>#REF!</v>
      </c>
    </row>
    <row r="2247" spans="1:34" x14ac:dyDescent="0.35">
      <c r="A2247">
        <v>2246</v>
      </c>
      <c r="B2247" t="s">
        <v>44</v>
      </c>
      <c r="C2247">
        <v>104</v>
      </c>
      <c r="D2247" t="s">
        <v>21</v>
      </c>
      <c r="E2247" t="s">
        <v>22</v>
      </c>
      <c r="F2247" t="s">
        <v>22</v>
      </c>
      <c r="G2247">
        <v>0</v>
      </c>
      <c r="H2247">
        <v>138.69999999999999</v>
      </c>
      <c r="I2247">
        <v>100</v>
      </c>
      <c r="J2247">
        <v>23.58</v>
      </c>
      <c r="K2247">
        <v>215.4</v>
      </c>
      <c r="L2247">
        <v>58</v>
      </c>
      <c r="M2247">
        <v>18.309999999999999</v>
      </c>
      <c r="N2247">
        <v>164.3</v>
      </c>
      <c r="O2247">
        <v>98</v>
      </c>
      <c r="P2247">
        <v>7.39</v>
      </c>
      <c r="Q2247">
        <v>4.9000000000000004</v>
      </c>
      <c r="R2247">
        <v>4</v>
      </c>
      <c r="S2247">
        <v>1.32</v>
      </c>
      <c r="T2247">
        <v>2</v>
      </c>
      <c r="U2247" t="s">
        <v>22</v>
      </c>
      <c r="V2247" t="e">
        <f>IF(#REF! = "yes", 1, 0)</f>
        <v>#REF!</v>
      </c>
      <c r="W2247" t="e">
        <f>IF(#REF! &lt;= 1, "0-1 Calls", IF(#REF! &lt;= 3, "2-3 Calls", IF(#REF! &lt;=5, "4-5 Calls", "6+ Calls")))</f>
        <v>#REF!</v>
      </c>
      <c r="X2247" t="e">
        <f>IF(#REF! &lt;= 50, "0-50", IF(#REF! &lt;=100, "51-100", IF(#REF! &lt;= 150, "101-150", "151+")))</f>
        <v>#REF!</v>
      </c>
      <c r="Y2247" t="e">
        <f>IF(#REF! &lt;= 3, "Low Charges", "High Charges")</f>
        <v>#REF!</v>
      </c>
      <c r="Z2247" t="e">
        <f>IF(#REF!&lt;=80,"Low Calls",
IF(#REF!&lt;=120,"Medium Calls","High Calls"))</f>
        <v>#REF!</v>
      </c>
      <c r="AA2247" t="e">
        <f>IF(#REF!&lt;=15,"Low Charges",
IF(#REF!&lt;=20,"Medium Charges","High Charges"))</f>
        <v>#REF!</v>
      </c>
      <c r="AB2247" t="e">
        <f>IF(AND(#REF!&gt;180, #REF!&gt;200), "Heavy Doemstic User", IF(#REF!&gt;10, "Interntional User", IF(AND(#REF!&lt;180, #REF!&lt;200,#REF!&lt;200), "Light User", "Balanced User")))</f>
        <v>#REF!</v>
      </c>
      <c r="AC2247" t="e">
        <f>IF(#REF! = 0, "No Usage", IF(#REF! &lt;= 20, "Low Usage", IF(#REF! &lt;= 40, "Medium Usgae", "High Usage")))</f>
        <v>#REF!</v>
      </c>
      <c r="AD2247" t="e">
        <f>IF(#REF!&lt;=150,"Low Usage", IF(#REF!&lt;=200,"Medium Usage", IF(#REF!&lt;=250,"High Usage","Very High Usage")))</f>
        <v>#REF!</v>
      </c>
      <c r="AE2247" t="e">
        <f>IF(#REF!&lt;=5,"Low Calls", IF(#REF!&lt;=10, "Medium Calls", "High Calls"))</f>
        <v>#REF!</v>
      </c>
      <c r="AF2247" t="e">
        <f xml:space="preserve">
IF(#REF!&gt;=4,4,0)+
IF(#REF!="yes",3,0)+
IF(#REF!="High Charges",3,0)+
IF(#REF!&gt;250,4,0)+
IF(#REF!="no",1,0)+
IF(#REF!="Heavy Domestic User",2,0)</f>
        <v>#REF!</v>
      </c>
      <c r="AG2247" t="e">
        <f>IF(#REF!&gt;=10,"High Risk", IF(#REF!&gt;=5,"Medium Risk","Low Risk"))</f>
        <v>#REF!</v>
      </c>
      <c r="AH2247" t="e">
        <f>#REF! + #REF! + #REF! + #REF!</f>
        <v>#REF!</v>
      </c>
    </row>
    <row r="2248" spans="1:34" x14ac:dyDescent="0.35">
      <c r="A2248">
        <v>2247</v>
      </c>
      <c r="B2248" t="s">
        <v>40</v>
      </c>
      <c r="C2248">
        <v>108</v>
      </c>
      <c r="D2248" t="s">
        <v>28</v>
      </c>
      <c r="E2248" t="s">
        <v>22</v>
      </c>
      <c r="F2248" t="s">
        <v>22</v>
      </c>
      <c r="G2248">
        <v>0</v>
      </c>
      <c r="H2248">
        <v>210.7</v>
      </c>
      <c r="I2248">
        <v>112</v>
      </c>
      <c r="J2248">
        <v>35.82</v>
      </c>
      <c r="K2248">
        <v>238.7</v>
      </c>
      <c r="L2248">
        <v>73</v>
      </c>
      <c r="M2248">
        <v>20.29</v>
      </c>
      <c r="N2248">
        <v>253.6</v>
      </c>
      <c r="O2248">
        <v>90</v>
      </c>
      <c r="P2248">
        <v>11.41</v>
      </c>
      <c r="Q2248">
        <v>9.1999999999999993</v>
      </c>
      <c r="R2248">
        <v>5</v>
      </c>
      <c r="S2248">
        <v>2.48</v>
      </c>
      <c r="T2248">
        <v>3</v>
      </c>
      <c r="U2248" t="s">
        <v>22</v>
      </c>
      <c r="V2248" t="e">
        <f>IF(#REF! = "yes", 1, 0)</f>
        <v>#REF!</v>
      </c>
      <c r="W2248" t="e">
        <f>IF(#REF! &lt;= 1, "0-1 Calls", IF(#REF! &lt;= 3, "2-3 Calls", IF(#REF! &lt;=5, "4-5 Calls", "6+ Calls")))</f>
        <v>#REF!</v>
      </c>
      <c r="X2248" t="e">
        <f>IF(#REF! &lt;= 50, "0-50", IF(#REF! &lt;=100, "51-100", IF(#REF! &lt;= 150, "101-150", "151+")))</f>
        <v>#REF!</v>
      </c>
      <c r="Y2248" t="e">
        <f>IF(#REF! &lt;= 3, "Low Charges", "High Charges")</f>
        <v>#REF!</v>
      </c>
      <c r="Z2248" t="e">
        <f>IF(#REF!&lt;=80,"Low Calls",
IF(#REF!&lt;=120,"Medium Calls","High Calls"))</f>
        <v>#REF!</v>
      </c>
      <c r="AA2248" t="e">
        <f>IF(#REF!&lt;=15,"Low Charges",
IF(#REF!&lt;=20,"Medium Charges","High Charges"))</f>
        <v>#REF!</v>
      </c>
      <c r="AB2248" t="e">
        <f>IF(AND(#REF!&gt;180, #REF!&gt;200), "Heavy Doemstic User", IF(#REF!&gt;10, "Interntional User", IF(AND(#REF!&lt;180, #REF!&lt;200,#REF!&lt;200), "Light User", "Balanced User")))</f>
        <v>#REF!</v>
      </c>
      <c r="AC2248" t="e">
        <f>IF(#REF! = 0, "No Usage", IF(#REF! &lt;= 20, "Low Usage", IF(#REF! &lt;= 40, "Medium Usgae", "High Usage")))</f>
        <v>#REF!</v>
      </c>
      <c r="AD2248" t="e">
        <f>IF(#REF!&lt;=150,"Low Usage", IF(#REF!&lt;=200,"Medium Usage", IF(#REF!&lt;=250,"High Usage","Very High Usage")))</f>
        <v>#REF!</v>
      </c>
      <c r="AE2248" t="e">
        <f>IF(#REF!&lt;=5,"Low Calls", IF(#REF!&lt;=10, "Medium Calls", "High Calls"))</f>
        <v>#REF!</v>
      </c>
      <c r="AF2248" t="e">
        <f xml:space="preserve">
IF(#REF!&gt;=4,4,0)+
IF(#REF!="yes",3,0)+
IF(#REF!="High Charges",3,0)+
IF(#REF!&gt;250,4,0)+
IF(#REF!="no",1,0)+
IF(#REF!="Heavy Domestic User",2,0)</f>
        <v>#REF!</v>
      </c>
      <c r="AG2248" t="e">
        <f>IF(#REF!&gt;=10,"High Risk", IF(#REF!&gt;=5,"Medium Risk","Low Risk"))</f>
        <v>#REF!</v>
      </c>
      <c r="AH2248" t="e">
        <f>#REF! + #REF! + #REF! + #REF!</f>
        <v>#REF!</v>
      </c>
    </row>
    <row r="2249" spans="1:34" x14ac:dyDescent="0.35">
      <c r="A2249">
        <v>2248</v>
      </c>
      <c r="B2249" t="s">
        <v>36</v>
      </c>
      <c r="C2249">
        <v>111</v>
      </c>
      <c r="D2249" t="s">
        <v>21</v>
      </c>
      <c r="E2249" t="s">
        <v>22</v>
      </c>
      <c r="F2249" t="s">
        <v>22</v>
      </c>
      <c r="G2249">
        <v>0</v>
      </c>
      <c r="H2249">
        <v>181.8</v>
      </c>
      <c r="I2249">
        <v>117</v>
      </c>
      <c r="J2249">
        <v>30.91</v>
      </c>
      <c r="K2249">
        <v>158.1</v>
      </c>
      <c r="L2249">
        <v>91</v>
      </c>
      <c r="M2249">
        <v>13.44</v>
      </c>
      <c r="N2249">
        <v>266.2</v>
      </c>
      <c r="O2249">
        <v>123</v>
      </c>
      <c r="P2249">
        <v>11.98</v>
      </c>
      <c r="Q2249">
        <v>9.6999999999999993</v>
      </c>
      <c r="R2249">
        <v>9</v>
      </c>
      <c r="S2249">
        <v>2.62</v>
      </c>
      <c r="T2249">
        <v>0</v>
      </c>
      <c r="U2249" t="s">
        <v>22</v>
      </c>
      <c r="V2249" t="e">
        <f>IF(#REF! = "yes", 1, 0)</f>
        <v>#REF!</v>
      </c>
      <c r="W2249" t="e">
        <f>IF(#REF! &lt;= 1, "0-1 Calls", IF(#REF! &lt;= 3, "2-3 Calls", IF(#REF! &lt;=5, "4-5 Calls", "6+ Calls")))</f>
        <v>#REF!</v>
      </c>
      <c r="X2249" t="e">
        <f>IF(#REF! &lt;= 50, "0-50", IF(#REF! &lt;=100, "51-100", IF(#REF! &lt;= 150, "101-150", "151+")))</f>
        <v>#REF!</v>
      </c>
      <c r="Y2249" t="e">
        <f>IF(#REF! &lt;= 3, "Low Charges", "High Charges")</f>
        <v>#REF!</v>
      </c>
      <c r="Z2249" t="e">
        <f>IF(#REF!&lt;=80,"Low Calls",
IF(#REF!&lt;=120,"Medium Calls","High Calls"))</f>
        <v>#REF!</v>
      </c>
      <c r="AA2249" t="e">
        <f>IF(#REF!&lt;=15,"Low Charges",
IF(#REF!&lt;=20,"Medium Charges","High Charges"))</f>
        <v>#REF!</v>
      </c>
      <c r="AB2249" t="e">
        <f>IF(AND(#REF!&gt;180, #REF!&gt;200), "Heavy Doemstic User", IF(#REF!&gt;10, "Interntional User", IF(AND(#REF!&lt;180, #REF!&lt;200,#REF!&lt;200), "Light User", "Balanced User")))</f>
        <v>#REF!</v>
      </c>
      <c r="AC2249" t="e">
        <f>IF(#REF! = 0, "No Usage", IF(#REF! &lt;= 20, "Low Usage", IF(#REF! &lt;= 40, "Medium Usgae", "High Usage")))</f>
        <v>#REF!</v>
      </c>
      <c r="AD2249" t="e">
        <f>IF(#REF!&lt;=150,"Low Usage", IF(#REF!&lt;=200,"Medium Usage", IF(#REF!&lt;=250,"High Usage","Very High Usage")))</f>
        <v>#REF!</v>
      </c>
      <c r="AE2249" t="e">
        <f>IF(#REF!&lt;=5,"Low Calls", IF(#REF!&lt;=10, "Medium Calls", "High Calls"))</f>
        <v>#REF!</v>
      </c>
      <c r="AF2249" t="e">
        <f xml:space="preserve">
IF(#REF!&gt;=4,4,0)+
IF(#REF!="yes",3,0)+
IF(#REF!="High Charges",3,0)+
IF(#REF!&gt;250,4,0)+
IF(#REF!="no",1,0)+
IF(#REF!="Heavy Domestic User",2,0)</f>
        <v>#REF!</v>
      </c>
      <c r="AG2249" t="e">
        <f>IF(#REF!&gt;=10,"High Risk", IF(#REF!&gt;=5,"Medium Risk","Low Risk"))</f>
        <v>#REF!</v>
      </c>
      <c r="AH2249" t="e">
        <f>#REF! + #REF! + #REF! + #REF!</f>
        <v>#REF!</v>
      </c>
    </row>
    <row r="2250" spans="1:34" x14ac:dyDescent="0.35">
      <c r="A2250">
        <v>2249</v>
      </c>
      <c r="B2250" t="s">
        <v>26</v>
      </c>
      <c r="C2250">
        <v>155</v>
      </c>
      <c r="D2250" t="s">
        <v>25</v>
      </c>
      <c r="E2250" t="s">
        <v>22</v>
      </c>
      <c r="F2250" t="s">
        <v>23</v>
      </c>
      <c r="G2250">
        <v>30</v>
      </c>
      <c r="H2250">
        <v>61.6</v>
      </c>
      <c r="I2250">
        <v>103</v>
      </c>
      <c r="J2250">
        <v>10.47</v>
      </c>
      <c r="K2250">
        <v>255.1</v>
      </c>
      <c r="L2250">
        <v>110</v>
      </c>
      <c r="M2250">
        <v>21.68</v>
      </c>
      <c r="N2250">
        <v>225.9</v>
      </c>
      <c r="O2250">
        <v>96</v>
      </c>
      <c r="P2250">
        <v>10.17</v>
      </c>
      <c r="Q2250">
        <v>12.4</v>
      </c>
      <c r="R2250">
        <v>5</v>
      </c>
      <c r="S2250">
        <v>3.35</v>
      </c>
      <c r="T2250">
        <v>1</v>
      </c>
      <c r="U2250" t="s">
        <v>22</v>
      </c>
      <c r="V2250" t="e">
        <f>IF(#REF! = "yes", 1, 0)</f>
        <v>#REF!</v>
      </c>
      <c r="W2250" t="e">
        <f>IF(#REF! &lt;= 1, "0-1 Calls", IF(#REF! &lt;= 3, "2-3 Calls", IF(#REF! &lt;=5, "4-5 Calls", "6+ Calls")))</f>
        <v>#REF!</v>
      </c>
      <c r="X2250" t="e">
        <f>IF(#REF! &lt;= 50, "0-50", IF(#REF! &lt;=100, "51-100", IF(#REF! &lt;= 150, "101-150", "151+")))</f>
        <v>#REF!</v>
      </c>
      <c r="Y2250" t="e">
        <f>IF(#REF! &lt;= 3, "Low Charges", "High Charges")</f>
        <v>#REF!</v>
      </c>
      <c r="Z2250" t="e">
        <f>IF(#REF!&lt;=80,"Low Calls",
IF(#REF!&lt;=120,"Medium Calls","High Calls"))</f>
        <v>#REF!</v>
      </c>
      <c r="AA2250" t="e">
        <f>IF(#REF!&lt;=15,"Low Charges",
IF(#REF!&lt;=20,"Medium Charges","High Charges"))</f>
        <v>#REF!</v>
      </c>
      <c r="AB2250" t="e">
        <f>IF(AND(#REF!&gt;180, #REF!&gt;200), "Heavy Doemstic User", IF(#REF!&gt;10, "Interntional User", IF(AND(#REF!&lt;180, #REF!&lt;200,#REF!&lt;200), "Light User", "Balanced User")))</f>
        <v>#REF!</v>
      </c>
      <c r="AC2250" t="e">
        <f>IF(#REF! = 0, "No Usage", IF(#REF! &lt;= 20, "Low Usage", IF(#REF! &lt;= 40, "Medium Usgae", "High Usage")))</f>
        <v>#REF!</v>
      </c>
      <c r="AD2250" t="e">
        <f>IF(#REF!&lt;=150,"Low Usage", IF(#REF!&lt;=200,"Medium Usage", IF(#REF!&lt;=250,"High Usage","Very High Usage")))</f>
        <v>#REF!</v>
      </c>
      <c r="AE2250" t="e">
        <f>IF(#REF!&lt;=5,"Low Calls", IF(#REF!&lt;=10, "Medium Calls", "High Calls"))</f>
        <v>#REF!</v>
      </c>
      <c r="AF2250" t="e">
        <f xml:space="preserve">
IF(#REF!&gt;=4,4,0)+
IF(#REF!="yes",3,0)+
IF(#REF!="High Charges",3,0)+
IF(#REF!&gt;250,4,0)+
IF(#REF!="no",1,0)+
IF(#REF!="Heavy Domestic User",2,0)</f>
        <v>#REF!</v>
      </c>
      <c r="AG2250" t="e">
        <f>IF(#REF!&gt;=10,"High Risk", IF(#REF!&gt;=5,"Medium Risk","Low Risk"))</f>
        <v>#REF!</v>
      </c>
      <c r="AH2250" t="e">
        <f>#REF! + #REF! + #REF! + #REF!</f>
        <v>#REF!</v>
      </c>
    </row>
    <row r="2251" spans="1:34" x14ac:dyDescent="0.35">
      <c r="A2251">
        <v>2250</v>
      </c>
      <c r="B2251" t="s">
        <v>66</v>
      </c>
      <c r="C2251">
        <v>66</v>
      </c>
      <c r="D2251" t="s">
        <v>28</v>
      </c>
      <c r="E2251" t="s">
        <v>22</v>
      </c>
      <c r="F2251" t="s">
        <v>22</v>
      </c>
      <c r="G2251">
        <v>0</v>
      </c>
      <c r="H2251">
        <v>207.7</v>
      </c>
      <c r="I2251">
        <v>85</v>
      </c>
      <c r="J2251">
        <v>35.31</v>
      </c>
      <c r="K2251">
        <v>196.7</v>
      </c>
      <c r="L2251">
        <v>112</v>
      </c>
      <c r="M2251">
        <v>16.72</v>
      </c>
      <c r="N2251">
        <v>261.7</v>
      </c>
      <c r="O2251">
        <v>83</v>
      </c>
      <c r="P2251">
        <v>11.78</v>
      </c>
      <c r="Q2251">
        <v>6.8</v>
      </c>
      <c r="R2251">
        <v>3</v>
      </c>
      <c r="S2251">
        <v>1.84</v>
      </c>
      <c r="T2251">
        <v>1</v>
      </c>
      <c r="U2251" t="s">
        <v>22</v>
      </c>
      <c r="V2251" t="e">
        <f>IF(#REF! = "yes", 1, 0)</f>
        <v>#REF!</v>
      </c>
      <c r="W2251" t="e">
        <f>IF(#REF! &lt;= 1, "0-1 Calls", IF(#REF! &lt;= 3, "2-3 Calls", IF(#REF! &lt;=5, "4-5 Calls", "6+ Calls")))</f>
        <v>#REF!</v>
      </c>
      <c r="X2251" t="e">
        <f>IF(#REF! &lt;= 50, "0-50", IF(#REF! &lt;=100, "51-100", IF(#REF! &lt;= 150, "101-150", "151+")))</f>
        <v>#REF!</v>
      </c>
      <c r="Y2251" t="e">
        <f>IF(#REF! &lt;= 3, "Low Charges", "High Charges")</f>
        <v>#REF!</v>
      </c>
      <c r="Z2251" t="e">
        <f>IF(#REF!&lt;=80,"Low Calls",
IF(#REF!&lt;=120,"Medium Calls","High Calls"))</f>
        <v>#REF!</v>
      </c>
      <c r="AA2251" t="e">
        <f>IF(#REF!&lt;=15,"Low Charges",
IF(#REF!&lt;=20,"Medium Charges","High Charges"))</f>
        <v>#REF!</v>
      </c>
      <c r="AB2251" t="e">
        <f>IF(AND(#REF!&gt;180, #REF!&gt;200), "Heavy Doemstic User", IF(#REF!&gt;10, "Interntional User", IF(AND(#REF!&lt;180, #REF!&lt;200,#REF!&lt;200), "Light User", "Balanced User")))</f>
        <v>#REF!</v>
      </c>
      <c r="AC2251" t="e">
        <f>IF(#REF! = 0, "No Usage", IF(#REF! &lt;= 20, "Low Usage", IF(#REF! &lt;= 40, "Medium Usgae", "High Usage")))</f>
        <v>#REF!</v>
      </c>
      <c r="AD2251" t="e">
        <f>IF(#REF!&lt;=150,"Low Usage", IF(#REF!&lt;=200,"Medium Usage", IF(#REF!&lt;=250,"High Usage","Very High Usage")))</f>
        <v>#REF!</v>
      </c>
      <c r="AE2251" t="e">
        <f>IF(#REF!&lt;=5,"Low Calls", IF(#REF!&lt;=10, "Medium Calls", "High Calls"))</f>
        <v>#REF!</v>
      </c>
      <c r="AF2251" t="e">
        <f xml:space="preserve">
IF(#REF!&gt;=4,4,0)+
IF(#REF!="yes",3,0)+
IF(#REF!="High Charges",3,0)+
IF(#REF!&gt;250,4,0)+
IF(#REF!="no",1,0)+
IF(#REF!="Heavy Domestic User",2,0)</f>
        <v>#REF!</v>
      </c>
      <c r="AG2251" t="e">
        <f>IF(#REF!&gt;=10,"High Risk", IF(#REF!&gt;=5,"Medium Risk","Low Risk"))</f>
        <v>#REF!</v>
      </c>
      <c r="AH2251" t="e">
        <f>#REF! + #REF! + #REF! + #REF!</f>
        <v>#REF!</v>
      </c>
    </row>
    <row r="2252" spans="1:34" x14ac:dyDescent="0.35">
      <c r="A2252">
        <v>2251</v>
      </c>
      <c r="B2252" t="s">
        <v>69</v>
      </c>
      <c r="C2252">
        <v>64</v>
      </c>
      <c r="D2252" t="s">
        <v>28</v>
      </c>
      <c r="E2252" t="s">
        <v>22</v>
      </c>
      <c r="F2252" t="s">
        <v>22</v>
      </c>
      <c r="G2252">
        <v>0</v>
      </c>
      <c r="H2252">
        <v>219.2</v>
      </c>
      <c r="I2252">
        <v>73</v>
      </c>
      <c r="J2252">
        <v>37.26</v>
      </c>
      <c r="K2252">
        <v>167</v>
      </c>
      <c r="L2252">
        <v>65</v>
      </c>
      <c r="M2252">
        <v>14.2</v>
      </c>
      <c r="N2252">
        <v>161.4</v>
      </c>
      <c r="O2252">
        <v>119</v>
      </c>
      <c r="P2252">
        <v>7.26</v>
      </c>
      <c r="Q2252">
        <v>10</v>
      </c>
      <c r="R2252">
        <v>5</v>
      </c>
      <c r="S2252">
        <v>2.7</v>
      </c>
      <c r="T2252">
        <v>1</v>
      </c>
      <c r="U2252" t="s">
        <v>22</v>
      </c>
      <c r="V2252" t="e">
        <f>IF(#REF! = "yes", 1, 0)</f>
        <v>#REF!</v>
      </c>
      <c r="W2252" t="e">
        <f>IF(#REF! &lt;= 1, "0-1 Calls", IF(#REF! &lt;= 3, "2-3 Calls", IF(#REF! &lt;=5, "4-5 Calls", "6+ Calls")))</f>
        <v>#REF!</v>
      </c>
      <c r="X2252" t="e">
        <f>IF(#REF! &lt;= 50, "0-50", IF(#REF! &lt;=100, "51-100", IF(#REF! &lt;= 150, "101-150", "151+")))</f>
        <v>#REF!</v>
      </c>
      <c r="Y2252" t="e">
        <f>IF(#REF! &lt;= 3, "Low Charges", "High Charges")</f>
        <v>#REF!</v>
      </c>
      <c r="Z2252" t="e">
        <f>IF(#REF!&lt;=80,"Low Calls",
IF(#REF!&lt;=120,"Medium Calls","High Calls"))</f>
        <v>#REF!</v>
      </c>
      <c r="AA2252" t="e">
        <f>IF(#REF!&lt;=15,"Low Charges",
IF(#REF!&lt;=20,"Medium Charges","High Charges"))</f>
        <v>#REF!</v>
      </c>
      <c r="AB2252" t="e">
        <f>IF(AND(#REF!&gt;180, #REF!&gt;200), "Heavy Doemstic User", IF(#REF!&gt;10, "Interntional User", IF(AND(#REF!&lt;180, #REF!&lt;200,#REF!&lt;200), "Light User", "Balanced User")))</f>
        <v>#REF!</v>
      </c>
      <c r="AC2252" t="e">
        <f>IF(#REF! = 0, "No Usage", IF(#REF! &lt;= 20, "Low Usage", IF(#REF! &lt;= 40, "Medium Usgae", "High Usage")))</f>
        <v>#REF!</v>
      </c>
      <c r="AD2252" t="e">
        <f>IF(#REF!&lt;=150,"Low Usage", IF(#REF!&lt;=200,"Medium Usage", IF(#REF!&lt;=250,"High Usage","Very High Usage")))</f>
        <v>#REF!</v>
      </c>
      <c r="AE2252" t="e">
        <f>IF(#REF!&lt;=5,"Low Calls", IF(#REF!&lt;=10, "Medium Calls", "High Calls"))</f>
        <v>#REF!</v>
      </c>
      <c r="AF2252" t="e">
        <f xml:space="preserve">
IF(#REF!&gt;=4,4,0)+
IF(#REF!="yes",3,0)+
IF(#REF!="High Charges",3,0)+
IF(#REF!&gt;250,4,0)+
IF(#REF!="no",1,0)+
IF(#REF!="Heavy Domestic User",2,0)</f>
        <v>#REF!</v>
      </c>
      <c r="AG2252" t="e">
        <f>IF(#REF!&gt;=10,"High Risk", IF(#REF!&gt;=5,"Medium Risk","Low Risk"))</f>
        <v>#REF!</v>
      </c>
      <c r="AH2252" t="e">
        <f>#REF! + #REF! + #REF! + #REF!</f>
        <v>#REF!</v>
      </c>
    </row>
    <row r="2253" spans="1:34" x14ac:dyDescent="0.35">
      <c r="A2253">
        <v>2252</v>
      </c>
      <c r="B2253" t="s">
        <v>74</v>
      </c>
      <c r="C2253">
        <v>116</v>
      </c>
      <c r="D2253" t="s">
        <v>21</v>
      </c>
      <c r="E2253" t="s">
        <v>22</v>
      </c>
      <c r="F2253" t="s">
        <v>22</v>
      </c>
      <c r="G2253">
        <v>0</v>
      </c>
      <c r="H2253">
        <v>245.9</v>
      </c>
      <c r="I2253">
        <v>73</v>
      </c>
      <c r="J2253">
        <v>41.8</v>
      </c>
      <c r="K2253">
        <v>240.1</v>
      </c>
      <c r="L2253">
        <v>87</v>
      </c>
      <c r="M2253">
        <v>20.41</v>
      </c>
      <c r="N2253">
        <v>158.69999999999999</v>
      </c>
      <c r="O2253">
        <v>89</v>
      </c>
      <c r="P2253">
        <v>7.14</v>
      </c>
      <c r="Q2253">
        <v>8.9</v>
      </c>
      <c r="R2253">
        <v>5</v>
      </c>
      <c r="S2253">
        <v>2.4</v>
      </c>
      <c r="T2253">
        <v>3</v>
      </c>
      <c r="U2253" t="s">
        <v>22</v>
      </c>
      <c r="V2253" t="e">
        <f>IF(#REF! = "yes", 1, 0)</f>
        <v>#REF!</v>
      </c>
      <c r="W2253" t="e">
        <f>IF(#REF! &lt;= 1, "0-1 Calls", IF(#REF! &lt;= 3, "2-3 Calls", IF(#REF! &lt;=5, "4-5 Calls", "6+ Calls")))</f>
        <v>#REF!</v>
      </c>
      <c r="X2253" t="e">
        <f>IF(#REF! &lt;= 50, "0-50", IF(#REF! &lt;=100, "51-100", IF(#REF! &lt;= 150, "101-150", "151+")))</f>
        <v>#REF!</v>
      </c>
      <c r="Y2253" t="e">
        <f>IF(#REF! &lt;= 3, "Low Charges", "High Charges")</f>
        <v>#REF!</v>
      </c>
      <c r="Z2253" t="e">
        <f>IF(#REF!&lt;=80,"Low Calls",
IF(#REF!&lt;=120,"Medium Calls","High Calls"))</f>
        <v>#REF!</v>
      </c>
      <c r="AA2253" t="e">
        <f>IF(#REF!&lt;=15,"Low Charges",
IF(#REF!&lt;=20,"Medium Charges","High Charges"))</f>
        <v>#REF!</v>
      </c>
      <c r="AB2253" t="e">
        <f>IF(AND(#REF!&gt;180, #REF!&gt;200), "Heavy Doemstic User", IF(#REF!&gt;10, "Interntional User", IF(AND(#REF!&lt;180, #REF!&lt;200,#REF!&lt;200), "Light User", "Balanced User")))</f>
        <v>#REF!</v>
      </c>
      <c r="AC2253" t="e">
        <f>IF(#REF! = 0, "No Usage", IF(#REF! &lt;= 20, "Low Usage", IF(#REF! &lt;= 40, "Medium Usgae", "High Usage")))</f>
        <v>#REF!</v>
      </c>
      <c r="AD2253" t="e">
        <f>IF(#REF!&lt;=150,"Low Usage", IF(#REF!&lt;=200,"Medium Usage", IF(#REF!&lt;=250,"High Usage","Very High Usage")))</f>
        <v>#REF!</v>
      </c>
      <c r="AE2253" t="e">
        <f>IF(#REF!&lt;=5,"Low Calls", IF(#REF!&lt;=10, "Medium Calls", "High Calls"))</f>
        <v>#REF!</v>
      </c>
      <c r="AF2253" t="e">
        <f xml:space="preserve">
IF(#REF!&gt;=4,4,0)+
IF(#REF!="yes",3,0)+
IF(#REF!="High Charges",3,0)+
IF(#REF!&gt;250,4,0)+
IF(#REF!="no",1,0)+
IF(#REF!="Heavy Domestic User",2,0)</f>
        <v>#REF!</v>
      </c>
      <c r="AG2253" t="e">
        <f>IF(#REF!&gt;=10,"High Risk", IF(#REF!&gt;=5,"Medium Risk","Low Risk"))</f>
        <v>#REF!</v>
      </c>
      <c r="AH2253" t="e">
        <f>#REF! + #REF! + #REF! + #REF!</f>
        <v>#REF!</v>
      </c>
    </row>
    <row r="2254" spans="1:34" x14ac:dyDescent="0.35">
      <c r="A2254">
        <v>2253</v>
      </c>
      <c r="B2254" t="s">
        <v>63</v>
      </c>
      <c r="C2254">
        <v>101</v>
      </c>
      <c r="D2254" t="s">
        <v>21</v>
      </c>
      <c r="E2254" t="s">
        <v>22</v>
      </c>
      <c r="F2254" t="s">
        <v>22</v>
      </c>
      <c r="G2254">
        <v>0</v>
      </c>
      <c r="H2254">
        <v>257.3</v>
      </c>
      <c r="I2254">
        <v>84</v>
      </c>
      <c r="J2254">
        <v>43.74</v>
      </c>
      <c r="K2254">
        <v>184.8</v>
      </c>
      <c r="L2254">
        <v>115</v>
      </c>
      <c r="M2254">
        <v>15.71</v>
      </c>
      <c r="N2254">
        <v>108.9</v>
      </c>
      <c r="O2254">
        <v>109</v>
      </c>
      <c r="P2254">
        <v>4.9000000000000004</v>
      </c>
      <c r="Q2254">
        <v>13.5</v>
      </c>
      <c r="R2254">
        <v>7</v>
      </c>
      <c r="S2254">
        <v>3.65</v>
      </c>
      <c r="T2254">
        <v>0</v>
      </c>
      <c r="U2254" t="s">
        <v>22</v>
      </c>
      <c r="V2254" t="e">
        <f>IF(#REF! = "yes", 1, 0)</f>
        <v>#REF!</v>
      </c>
      <c r="W2254" t="e">
        <f>IF(#REF! &lt;= 1, "0-1 Calls", IF(#REF! &lt;= 3, "2-3 Calls", IF(#REF! &lt;=5, "4-5 Calls", "6+ Calls")))</f>
        <v>#REF!</v>
      </c>
      <c r="X2254" t="e">
        <f>IF(#REF! &lt;= 50, "0-50", IF(#REF! &lt;=100, "51-100", IF(#REF! &lt;= 150, "101-150", "151+")))</f>
        <v>#REF!</v>
      </c>
      <c r="Y2254" t="e">
        <f>IF(#REF! &lt;= 3, "Low Charges", "High Charges")</f>
        <v>#REF!</v>
      </c>
      <c r="Z2254" t="e">
        <f>IF(#REF!&lt;=80,"Low Calls",
IF(#REF!&lt;=120,"Medium Calls","High Calls"))</f>
        <v>#REF!</v>
      </c>
      <c r="AA2254" t="e">
        <f>IF(#REF!&lt;=15,"Low Charges",
IF(#REF!&lt;=20,"Medium Charges","High Charges"))</f>
        <v>#REF!</v>
      </c>
      <c r="AB2254" t="e">
        <f>IF(AND(#REF!&gt;180, #REF!&gt;200), "Heavy Doemstic User", IF(#REF!&gt;10, "Interntional User", IF(AND(#REF!&lt;180, #REF!&lt;200,#REF!&lt;200), "Light User", "Balanced User")))</f>
        <v>#REF!</v>
      </c>
      <c r="AC2254" t="e">
        <f>IF(#REF! = 0, "No Usage", IF(#REF! &lt;= 20, "Low Usage", IF(#REF! &lt;= 40, "Medium Usgae", "High Usage")))</f>
        <v>#REF!</v>
      </c>
      <c r="AD2254" t="e">
        <f>IF(#REF!&lt;=150,"Low Usage", IF(#REF!&lt;=200,"Medium Usage", IF(#REF!&lt;=250,"High Usage","Very High Usage")))</f>
        <v>#REF!</v>
      </c>
      <c r="AE2254" t="e">
        <f>IF(#REF!&lt;=5,"Low Calls", IF(#REF!&lt;=10, "Medium Calls", "High Calls"))</f>
        <v>#REF!</v>
      </c>
      <c r="AF2254" t="e">
        <f xml:space="preserve">
IF(#REF!&gt;=4,4,0)+
IF(#REF!="yes",3,0)+
IF(#REF!="High Charges",3,0)+
IF(#REF!&gt;250,4,0)+
IF(#REF!="no",1,0)+
IF(#REF!="Heavy Domestic User",2,0)</f>
        <v>#REF!</v>
      </c>
      <c r="AG2254" t="e">
        <f>IF(#REF!&gt;=10,"High Risk", IF(#REF!&gt;=5,"Medium Risk","Low Risk"))</f>
        <v>#REF!</v>
      </c>
      <c r="AH2254" t="e">
        <f>#REF! + #REF! + #REF! + #REF!</f>
        <v>#REF!</v>
      </c>
    </row>
    <row r="2255" spans="1:34" x14ac:dyDescent="0.35">
      <c r="A2255">
        <v>2254</v>
      </c>
      <c r="B2255" t="s">
        <v>26</v>
      </c>
      <c r="C2255">
        <v>15</v>
      </c>
      <c r="D2255" t="s">
        <v>21</v>
      </c>
      <c r="E2255" t="s">
        <v>22</v>
      </c>
      <c r="F2255" t="s">
        <v>22</v>
      </c>
      <c r="G2255">
        <v>0</v>
      </c>
      <c r="H2255">
        <v>121.1</v>
      </c>
      <c r="I2255">
        <v>130</v>
      </c>
      <c r="J2255">
        <v>20.59</v>
      </c>
      <c r="K2255">
        <v>216</v>
      </c>
      <c r="L2255">
        <v>86</v>
      </c>
      <c r="M2255">
        <v>18.36</v>
      </c>
      <c r="N2255">
        <v>235.1</v>
      </c>
      <c r="O2255">
        <v>33</v>
      </c>
      <c r="P2255">
        <v>10.58</v>
      </c>
      <c r="Q2255">
        <v>16.100000000000001</v>
      </c>
      <c r="R2255">
        <v>5</v>
      </c>
      <c r="S2255">
        <v>4.3499999999999996</v>
      </c>
      <c r="T2255">
        <v>2</v>
      </c>
      <c r="U2255" t="s">
        <v>22</v>
      </c>
      <c r="V2255" t="e">
        <f>IF(#REF! = "yes", 1, 0)</f>
        <v>#REF!</v>
      </c>
      <c r="W2255" t="e">
        <f>IF(#REF! &lt;= 1, "0-1 Calls", IF(#REF! &lt;= 3, "2-3 Calls", IF(#REF! &lt;=5, "4-5 Calls", "6+ Calls")))</f>
        <v>#REF!</v>
      </c>
      <c r="X2255" t="e">
        <f>IF(#REF! &lt;= 50, "0-50", IF(#REF! &lt;=100, "51-100", IF(#REF! &lt;= 150, "101-150", "151+")))</f>
        <v>#REF!</v>
      </c>
      <c r="Y2255" t="e">
        <f>IF(#REF! &lt;= 3, "Low Charges", "High Charges")</f>
        <v>#REF!</v>
      </c>
      <c r="Z2255" t="e">
        <f>IF(#REF!&lt;=80,"Low Calls",
IF(#REF!&lt;=120,"Medium Calls","High Calls"))</f>
        <v>#REF!</v>
      </c>
      <c r="AA2255" t="e">
        <f>IF(#REF!&lt;=15,"Low Charges",
IF(#REF!&lt;=20,"Medium Charges","High Charges"))</f>
        <v>#REF!</v>
      </c>
      <c r="AB2255" t="e">
        <f>IF(AND(#REF!&gt;180, #REF!&gt;200), "Heavy Doemstic User", IF(#REF!&gt;10, "Interntional User", IF(AND(#REF!&lt;180, #REF!&lt;200,#REF!&lt;200), "Light User", "Balanced User")))</f>
        <v>#REF!</v>
      </c>
      <c r="AC2255" t="e">
        <f>IF(#REF! = 0, "No Usage", IF(#REF! &lt;= 20, "Low Usage", IF(#REF! &lt;= 40, "Medium Usgae", "High Usage")))</f>
        <v>#REF!</v>
      </c>
      <c r="AD2255" t="e">
        <f>IF(#REF!&lt;=150,"Low Usage", IF(#REF!&lt;=200,"Medium Usage", IF(#REF!&lt;=250,"High Usage","Very High Usage")))</f>
        <v>#REF!</v>
      </c>
      <c r="AE2255" t="e">
        <f>IF(#REF!&lt;=5,"Low Calls", IF(#REF!&lt;=10, "Medium Calls", "High Calls"))</f>
        <v>#REF!</v>
      </c>
      <c r="AF2255" t="e">
        <f xml:space="preserve">
IF(#REF!&gt;=4,4,0)+
IF(#REF!="yes",3,0)+
IF(#REF!="High Charges",3,0)+
IF(#REF!&gt;250,4,0)+
IF(#REF!="no",1,0)+
IF(#REF!="Heavy Domestic User",2,0)</f>
        <v>#REF!</v>
      </c>
      <c r="AG2255" t="e">
        <f>IF(#REF!&gt;=10,"High Risk", IF(#REF!&gt;=5,"Medium Risk","Low Risk"))</f>
        <v>#REF!</v>
      </c>
      <c r="AH2255" t="e">
        <f>#REF! + #REF! + #REF! + #REF!</f>
        <v>#REF!</v>
      </c>
    </row>
    <row r="2256" spans="1:34" x14ac:dyDescent="0.35">
      <c r="A2256">
        <v>2255</v>
      </c>
      <c r="B2256" t="s">
        <v>24</v>
      </c>
      <c r="C2256">
        <v>88</v>
      </c>
      <c r="D2256" t="s">
        <v>21</v>
      </c>
      <c r="E2256" t="s">
        <v>22</v>
      </c>
      <c r="F2256" t="s">
        <v>22</v>
      </c>
      <c r="G2256">
        <v>0</v>
      </c>
      <c r="H2256">
        <v>301.5</v>
      </c>
      <c r="I2256">
        <v>136</v>
      </c>
      <c r="J2256">
        <v>51.26</v>
      </c>
      <c r="K2256">
        <v>257.7</v>
      </c>
      <c r="L2256">
        <v>72</v>
      </c>
      <c r="M2256">
        <v>21.9</v>
      </c>
      <c r="N2256">
        <v>132.9</v>
      </c>
      <c r="O2256">
        <v>118</v>
      </c>
      <c r="P2256">
        <v>5.98</v>
      </c>
      <c r="Q2256">
        <v>13.4</v>
      </c>
      <c r="R2256">
        <v>2</v>
      </c>
      <c r="S2256">
        <v>3.62</v>
      </c>
      <c r="T2256">
        <v>4</v>
      </c>
      <c r="U2256" t="s">
        <v>23</v>
      </c>
      <c r="V2256" t="e">
        <f>IF(#REF! = "yes", 1, 0)</f>
        <v>#REF!</v>
      </c>
      <c r="W2256" t="e">
        <f>IF(#REF! &lt;= 1, "0-1 Calls", IF(#REF! &lt;= 3, "2-3 Calls", IF(#REF! &lt;=5, "4-5 Calls", "6+ Calls")))</f>
        <v>#REF!</v>
      </c>
      <c r="X2256" t="e">
        <f>IF(#REF! &lt;= 50, "0-50", IF(#REF! &lt;=100, "51-100", IF(#REF! &lt;= 150, "101-150", "151+")))</f>
        <v>#REF!</v>
      </c>
      <c r="Y2256" t="e">
        <f>IF(#REF! &lt;= 3, "Low Charges", "High Charges")</f>
        <v>#REF!</v>
      </c>
      <c r="Z2256" t="e">
        <f>IF(#REF!&lt;=80,"Low Calls",
IF(#REF!&lt;=120,"Medium Calls","High Calls"))</f>
        <v>#REF!</v>
      </c>
      <c r="AA2256" t="e">
        <f>IF(#REF!&lt;=15,"Low Charges",
IF(#REF!&lt;=20,"Medium Charges","High Charges"))</f>
        <v>#REF!</v>
      </c>
      <c r="AB2256" t="e">
        <f>IF(AND(#REF!&gt;180, #REF!&gt;200), "Heavy Doemstic User", IF(#REF!&gt;10, "Interntional User", IF(AND(#REF!&lt;180, #REF!&lt;200,#REF!&lt;200), "Light User", "Balanced User")))</f>
        <v>#REF!</v>
      </c>
      <c r="AC2256" t="e">
        <f>IF(#REF! = 0, "No Usage", IF(#REF! &lt;= 20, "Low Usage", IF(#REF! &lt;= 40, "Medium Usgae", "High Usage")))</f>
        <v>#REF!</v>
      </c>
      <c r="AD2256" t="e">
        <f>IF(#REF!&lt;=150,"Low Usage", IF(#REF!&lt;=200,"Medium Usage", IF(#REF!&lt;=250,"High Usage","Very High Usage")))</f>
        <v>#REF!</v>
      </c>
      <c r="AE2256" t="e">
        <f>IF(#REF!&lt;=5,"Low Calls", IF(#REF!&lt;=10, "Medium Calls", "High Calls"))</f>
        <v>#REF!</v>
      </c>
      <c r="AF2256" t="e">
        <f xml:space="preserve">
IF(#REF!&gt;=4,4,0)+
IF(#REF!="yes",3,0)+
IF(#REF!="High Charges",3,0)+
IF(#REF!&gt;250,4,0)+
IF(#REF!="no",1,0)+
IF(#REF!="Heavy Domestic User",2,0)</f>
        <v>#REF!</v>
      </c>
      <c r="AG2256" t="e">
        <f>IF(#REF!&gt;=10,"High Risk", IF(#REF!&gt;=5,"Medium Risk","Low Risk"))</f>
        <v>#REF!</v>
      </c>
      <c r="AH2256" t="e">
        <f>#REF! + #REF! + #REF! + #REF!</f>
        <v>#REF!</v>
      </c>
    </row>
    <row r="2257" spans="1:34" x14ac:dyDescent="0.35">
      <c r="A2257">
        <v>2256</v>
      </c>
      <c r="B2257" t="s">
        <v>34</v>
      </c>
      <c r="C2257">
        <v>197</v>
      </c>
      <c r="D2257" t="s">
        <v>21</v>
      </c>
      <c r="E2257" t="s">
        <v>22</v>
      </c>
      <c r="F2257" t="s">
        <v>22</v>
      </c>
      <c r="G2257">
        <v>0</v>
      </c>
      <c r="H2257">
        <v>233.9</v>
      </c>
      <c r="I2257">
        <v>96</v>
      </c>
      <c r="J2257">
        <v>39.76</v>
      </c>
      <c r="K2257">
        <v>218.9</v>
      </c>
      <c r="L2257">
        <v>111</v>
      </c>
      <c r="M2257">
        <v>18.61</v>
      </c>
      <c r="N2257">
        <v>182.9</v>
      </c>
      <c r="O2257">
        <v>109</v>
      </c>
      <c r="P2257">
        <v>8.23</v>
      </c>
      <c r="Q2257">
        <v>9.5</v>
      </c>
      <c r="R2257">
        <v>3</v>
      </c>
      <c r="S2257">
        <v>2.57</v>
      </c>
      <c r="T2257">
        <v>0</v>
      </c>
      <c r="U2257" t="s">
        <v>22</v>
      </c>
      <c r="V2257" t="e">
        <f>IF(#REF! = "yes", 1, 0)</f>
        <v>#REF!</v>
      </c>
      <c r="W2257" t="e">
        <f>IF(#REF! &lt;= 1, "0-1 Calls", IF(#REF! &lt;= 3, "2-3 Calls", IF(#REF! &lt;=5, "4-5 Calls", "6+ Calls")))</f>
        <v>#REF!</v>
      </c>
      <c r="X2257" t="e">
        <f>IF(#REF! &lt;= 50, "0-50", IF(#REF! &lt;=100, "51-100", IF(#REF! &lt;= 150, "101-150", "151+")))</f>
        <v>#REF!</v>
      </c>
      <c r="Y2257" t="e">
        <f>IF(#REF! &lt;= 3, "Low Charges", "High Charges")</f>
        <v>#REF!</v>
      </c>
      <c r="Z2257" t="e">
        <f>IF(#REF!&lt;=80,"Low Calls",
IF(#REF!&lt;=120,"Medium Calls","High Calls"))</f>
        <v>#REF!</v>
      </c>
      <c r="AA2257" t="e">
        <f>IF(#REF!&lt;=15,"Low Charges",
IF(#REF!&lt;=20,"Medium Charges","High Charges"))</f>
        <v>#REF!</v>
      </c>
      <c r="AB2257" t="e">
        <f>IF(AND(#REF!&gt;180, #REF!&gt;200), "Heavy Doemstic User", IF(#REF!&gt;10, "Interntional User", IF(AND(#REF!&lt;180, #REF!&lt;200,#REF!&lt;200), "Light User", "Balanced User")))</f>
        <v>#REF!</v>
      </c>
      <c r="AC2257" t="e">
        <f>IF(#REF! = 0, "No Usage", IF(#REF! &lt;= 20, "Low Usage", IF(#REF! &lt;= 40, "Medium Usgae", "High Usage")))</f>
        <v>#REF!</v>
      </c>
      <c r="AD2257" t="e">
        <f>IF(#REF!&lt;=150,"Low Usage", IF(#REF!&lt;=200,"Medium Usage", IF(#REF!&lt;=250,"High Usage","Very High Usage")))</f>
        <v>#REF!</v>
      </c>
      <c r="AE2257" t="e">
        <f>IF(#REF!&lt;=5,"Low Calls", IF(#REF!&lt;=10, "Medium Calls", "High Calls"))</f>
        <v>#REF!</v>
      </c>
      <c r="AF2257" t="e">
        <f xml:space="preserve">
IF(#REF!&gt;=4,4,0)+
IF(#REF!="yes",3,0)+
IF(#REF!="High Charges",3,0)+
IF(#REF!&gt;250,4,0)+
IF(#REF!="no",1,0)+
IF(#REF!="Heavy Domestic User",2,0)</f>
        <v>#REF!</v>
      </c>
      <c r="AG2257" t="e">
        <f>IF(#REF!&gt;=10,"High Risk", IF(#REF!&gt;=5,"Medium Risk","Low Risk"))</f>
        <v>#REF!</v>
      </c>
      <c r="AH2257" t="e">
        <f>#REF! + #REF! + #REF! + #REF!</f>
        <v>#REF!</v>
      </c>
    </row>
    <row r="2258" spans="1:34" x14ac:dyDescent="0.35">
      <c r="A2258">
        <v>2257</v>
      </c>
      <c r="B2258" t="s">
        <v>38</v>
      </c>
      <c r="C2258">
        <v>50</v>
      </c>
      <c r="D2258" t="s">
        <v>21</v>
      </c>
      <c r="E2258" t="s">
        <v>23</v>
      </c>
      <c r="F2258" t="s">
        <v>22</v>
      </c>
      <c r="G2258">
        <v>0</v>
      </c>
      <c r="H2258">
        <v>99.6</v>
      </c>
      <c r="I2258">
        <v>108</v>
      </c>
      <c r="J2258">
        <v>16.93</v>
      </c>
      <c r="K2258">
        <v>308.7</v>
      </c>
      <c r="L2258">
        <v>102</v>
      </c>
      <c r="M2258">
        <v>26.24</v>
      </c>
      <c r="N2258">
        <v>161.19999999999999</v>
      </c>
      <c r="O2258">
        <v>62</v>
      </c>
      <c r="P2258">
        <v>7.25</v>
      </c>
      <c r="Q2258">
        <v>13.7</v>
      </c>
      <c r="R2258">
        <v>6</v>
      </c>
      <c r="S2258">
        <v>3.7</v>
      </c>
      <c r="T2258">
        <v>2</v>
      </c>
      <c r="U2258" t="s">
        <v>23</v>
      </c>
      <c r="V2258" t="e">
        <f>IF(#REF! = "yes", 1, 0)</f>
        <v>#REF!</v>
      </c>
      <c r="W2258" t="e">
        <f>IF(#REF! &lt;= 1, "0-1 Calls", IF(#REF! &lt;= 3, "2-3 Calls", IF(#REF! &lt;=5, "4-5 Calls", "6+ Calls")))</f>
        <v>#REF!</v>
      </c>
      <c r="X2258" t="e">
        <f>IF(#REF! &lt;= 50, "0-50", IF(#REF! &lt;=100, "51-100", IF(#REF! &lt;= 150, "101-150", "151+")))</f>
        <v>#REF!</v>
      </c>
      <c r="Y2258" t="e">
        <f>IF(#REF! &lt;= 3, "Low Charges", "High Charges")</f>
        <v>#REF!</v>
      </c>
      <c r="Z2258" t="e">
        <f>IF(#REF!&lt;=80,"Low Calls",
IF(#REF!&lt;=120,"Medium Calls","High Calls"))</f>
        <v>#REF!</v>
      </c>
      <c r="AA2258" t="e">
        <f>IF(#REF!&lt;=15,"Low Charges",
IF(#REF!&lt;=20,"Medium Charges","High Charges"))</f>
        <v>#REF!</v>
      </c>
      <c r="AB2258" t="e">
        <f>IF(AND(#REF!&gt;180, #REF!&gt;200), "Heavy Doemstic User", IF(#REF!&gt;10, "Interntional User", IF(AND(#REF!&lt;180, #REF!&lt;200,#REF!&lt;200), "Light User", "Balanced User")))</f>
        <v>#REF!</v>
      </c>
      <c r="AC2258" t="e">
        <f>IF(#REF! = 0, "No Usage", IF(#REF! &lt;= 20, "Low Usage", IF(#REF! &lt;= 40, "Medium Usgae", "High Usage")))</f>
        <v>#REF!</v>
      </c>
      <c r="AD2258" t="e">
        <f>IF(#REF!&lt;=150,"Low Usage", IF(#REF!&lt;=200,"Medium Usage", IF(#REF!&lt;=250,"High Usage","Very High Usage")))</f>
        <v>#REF!</v>
      </c>
      <c r="AE2258" t="e">
        <f>IF(#REF!&lt;=5,"Low Calls", IF(#REF!&lt;=10, "Medium Calls", "High Calls"))</f>
        <v>#REF!</v>
      </c>
      <c r="AF2258" t="e">
        <f xml:space="preserve">
IF(#REF!&gt;=4,4,0)+
IF(#REF!="yes",3,0)+
IF(#REF!="High Charges",3,0)+
IF(#REF!&gt;250,4,0)+
IF(#REF!="no",1,0)+
IF(#REF!="Heavy Domestic User",2,0)</f>
        <v>#REF!</v>
      </c>
      <c r="AG2258" t="e">
        <f>IF(#REF!&gt;=10,"High Risk", IF(#REF!&gt;=5,"Medium Risk","Low Risk"))</f>
        <v>#REF!</v>
      </c>
      <c r="AH2258" t="e">
        <f>#REF! + #REF! + #REF! + #REF!</f>
        <v>#REF!</v>
      </c>
    </row>
    <row r="2259" spans="1:34" x14ac:dyDescent="0.35">
      <c r="A2259">
        <v>2258</v>
      </c>
      <c r="B2259" t="s">
        <v>38</v>
      </c>
      <c r="C2259">
        <v>172</v>
      </c>
      <c r="D2259" t="s">
        <v>28</v>
      </c>
      <c r="E2259" t="s">
        <v>22</v>
      </c>
      <c r="F2259" t="s">
        <v>22</v>
      </c>
      <c r="G2259">
        <v>0</v>
      </c>
      <c r="H2259">
        <v>169.8</v>
      </c>
      <c r="I2259">
        <v>123</v>
      </c>
      <c r="J2259">
        <v>28.87</v>
      </c>
      <c r="K2259">
        <v>183.1</v>
      </c>
      <c r="L2259">
        <v>94</v>
      </c>
      <c r="M2259">
        <v>15.56</v>
      </c>
      <c r="N2259">
        <v>395</v>
      </c>
      <c r="O2259">
        <v>72</v>
      </c>
      <c r="P2259">
        <v>17.77</v>
      </c>
      <c r="Q2259">
        <v>12.7</v>
      </c>
      <c r="R2259">
        <v>7</v>
      </c>
      <c r="S2259">
        <v>3.43</v>
      </c>
      <c r="T2259">
        <v>2</v>
      </c>
      <c r="U2259" t="s">
        <v>22</v>
      </c>
      <c r="V2259" t="e">
        <f>IF(#REF! = "yes", 1, 0)</f>
        <v>#REF!</v>
      </c>
      <c r="W2259" t="e">
        <f>IF(#REF! &lt;= 1, "0-1 Calls", IF(#REF! &lt;= 3, "2-3 Calls", IF(#REF! &lt;=5, "4-5 Calls", "6+ Calls")))</f>
        <v>#REF!</v>
      </c>
      <c r="X2259" t="e">
        <f>IF(#REF! &lt;= 50, "0-50", IF(#REF! &lt;=100, "51-100", IF(#REF! &lt;= 150, "101-150", "151+")))</f>
        <v>#REF!</v>
      </c>
      <c r="Y2259" t="e">
        <f>IF(#REF! &lt;= 3, "Low Charges", "High Charges")</f>
        <v>#REF!</v>
      </c>
      <c r="Z2259" t="e">
        <f>IF(#REF!&lt;=80,"Low Calls",
IF(#REF!&lt;=120,"Medium Calls","High Calls"))</f>
        <v>#REF!</v>
      </c>
      <c r="AA2259" t="e">
        <f>IF(#REF!&lt;=15,"Low Charges",
IF(#REF!&lt;=20,"Medium Charges","High Charges"))</f>
        <v>#REF!</v>
      </c>
      <c r="AB2259" t="e">
        <f>IF(AND(#REF!&gt;180, #REF!&gt;200), "Heavy Doemstic User", IF(#REF!&gt;10, "Interntional User", IF(AND(#REF!&lt;180, #REF!&lt;200,#REF!&lt;200), "Light User", "Balanced User")))</f>
        <v>#REF!</v>
      </c>
      <c r="AC2259" t="e">
        <f>IF(#REF! = 0, "No Usage", IF(#REF! &lt;= 20, "Low Usage", IF(#REF! &lt;= 40, "Medium Usgae", "High Usage")))</f>
        <v>#REF!</v>
      </c>
      <c r="AD2259" t="e">
        <f>IF(#REF!&lt;=150,"Low Usage", IF(#REF!&lt;=200,"Medium Usage", IF(#REF!&lt;=250,"High Usage","Very High Usage")))</f>
        <v>#REF!</v>
      </c>
      <c r="AE2259" t="e">
        <f>IF(#REF!&lt;=5,"Low Calls", IF(#REF!&lt;=10, "Medium Calls", "High Calls"))</f>
        <v>#REF!</v>
      </c>
      <c r="AF2259" t="e">
        <f xml:space="preserve">
IF(#REF!&gt;=4,4,0)+
IF(#REF!="yes",3,0)+
IF(#REF!="High Charges",3,0)+
IF(#REF!&gt;250,4,0)+
IF(#REF!="no",1,0)+
IF(#REF!="Heavy Domestic User",2,0)</f>
        <v>#REF!</v>
      </c>
      <c r="AG2259" t="e">
        <f>IF(#REF!&gt;=10,"High Risk", IF(#REF!&gt;=5,"Medium Risk","Low Risk"))</f>
        <v>#REF!</v>
      </c>
      <c r="AH2259" t="e">
        <f>#REF! + #REF! + #REF! + #REF!</f>
        <v>#REF!</v>
      </c>
    </row>
    <row r="2260" spans="1:34" x14ac:dyDescent="0.35">
      <c r="A2260">
        <v>2259</v>
      </c>
      <c r="B2260" t="s">
        <v>61</v>
      </c>
      <c r="C2260">
        <v>188</v>
      </c>
      <c r="D2260" t="s">
        <v>21</v>
      </c>
      <c r="E2260" t="s">
        <v>23</v>
      </c>
      <c r="F2260" t="s">
        <v>23</v>
      </c>
      <c r="G2260">
        <v>26</v>
      </c>
      <c r="H2260">
        <v>198.8</v>
      </c>
      <c r="I2260">
        <v>115</v>
      </c>
      <c r="J2260">
        <v>33.799999999999997</v>
      </c>
      <c r="K2260">
        <v>166.6</v>
      </c>
      <c r="L2260">
        <v>67</v>
      </c>
      <c r="M2260">
        <v>14.16</v>
      </c>
      <c r="N2260">
        <v>198.5</v>
      </c>
      <c r="O2260">
        <v>118</v>
      </c>
      <c r="P2260">
        <v>8.93</v>
      </c>
      <c r="Q2260">
        <v>14.4</v>
      </c>
      <c r="R2260">
        <v>3</v>
      </c>
      <c r="S2260">
        <v>3.89</v>
      </c>
      <c r="T2260">
        <v>1</v>
      </c>
      <c r="U2260" t="s">
        <v>23</v>
      </c>
      <c r="V2260" t="e">
        <f>IF(#REF! = "yes", 1, 0)</f>
        <v>#REF!</v>
      </c>
      <c r="W2260" t="e">
        <f>IF(#REF! &lt;= 1, "0-1 Calls", IF(#REF! &lt;= 3, "2-3 Calls", IF(#REF! &lt;=5, "4-5 Calls", "6+ Calls")))</f>
        <v>#REF!</v>
      </c>
      <c r="X2260" t="e">
        <f>IF(#REF! &lt;= 50, "0-50", IF(#REF! &lt;=100, "51-100", IF(#REF! &lt;= 150, "101-150", "151+")))</f>
        <v>#REF!</v>
      </c>
      <c r="Y2260" t="e">
        <f>IF(#REF! &lt;= 3, "Low Charges", "High Charges")</f>
        <v>#REF!</v>
      </c>
      <c r="Z2260" t="e">
        <f>IF(#REF!&lt;=80,"Low Calls",
IF(#REF!&lt;=120,"Medium Calls","High Calls"))</f>
        <v>#REF!</v>
      </c>
      <c r="AA2260" t="e">
        <f>IF(#REF!&lt;=15,"Low Charges",
IF(#REF!&lt;=20,"Medium Charges","High Charges"))</f>
        <v>#REF!</v>
      </c>
      <c r="AB2260" t="e">
        <f>IF(AND(#REF!&gt;180, #REF!&gt;200), "Heavy Doemstic User", IF(#REF!&gt;10, "Interntional User", IF(AND(#REF!&lt;180, #REF!&lt;200,#REF!&lt;200), "Light User", "Balanced User")))</f>
        <v>#REF!</v>
      </c>
      <c r="AC2260" t="e">
        <f>IF(#REF! = 0, "No Usage", IF(#REF! &lt;= 20, "Low Usage", IF(#REF! &lt;= 40, "Medium Usgae", "High Usage")))</f>
        <v>#REF!</v>
      </c>
      <c r="AD2260" t="e">
        <f>IF(#REF!&lt;=150,"Low Usage", IF(#REF!&lt;=200,"Medium Usage", IF(#REF!&lt;=250,"High Usage","Very High Usage")))</f>
        <v>#REF!</v>
      </c>
      <c r="AE2260" t="e">
        <f>IF(#REF!&lt;=5,"Low Calls", IF(#REF!&lt;=10, "Medium Calls", "High Calls"))</f>
        <v>#REF!</v>
      </c>
      <c r="AF2260" t="e">
        <f xml:space="preserve">
IF(#REF!&gt;=4,4,0)+
IF(#REF!="yes",3,0)+
IF(#REF!="High Charges",3,0)+
IF(#REF!&gt;250,4,0)+
IF(#REF!="no",1,0)+
IF(#REF!="Heavy Domestic User",2,0)</f>
        <v>#REF!</v>
      </c>
      <c r="AG2260" t="e">
        <f>IF(#REF!&gt;=10,"High Risk", IF(#REF!&gt;=5,"Medium Risk","Low Risk"))</f>
        <v>#REF!</v>
      </c>
      <c r="AH2260" t="e">
        <f>#REF! + #REF! + #REF! + #REF!</f>
        <v>#REF!</v>
      </c>
    </row>
    <row r="2261" spans="1:34" x14ac:dyDescent="0.35">
      <c r="A2261">
        <v>2260</v>
      </c>
      <c r="B2261" t="s">
        <v>40</v>
      </c>
      <c r="C2261">
        <v>85</v>
      </c>
      <c r="D2261" t="s">
        <v>25</v>
      </c>
      <c r="E2261" t="s">
        <v>23</v>
      </c>
      <c r="F2261" t="s">
        <v>22</v>
      </c>
      <c r="G2261">
        <v>0</v>
      </c>
      <c r="H2261">
        <v>116.2</v>
      </c>
      <c r="I2261">
        <v>86</v>
      </c>
      <c r="J2261">
        <v>19.75</v>
      </c>
      <c r="K2261">
        <v>229.7</v>
      </c>
      <c r="L2261">
        <v>127</v>
      </c>
      <c r="M2261">
        <v>19.52</v>
      </c>
      <c r="N2261">
        <v>204.2</v>
      </c>
      <c r="O2261">
        <v>109</v>
      </c>
      <c r="P2261">
        <v>9.19</v>
      </c>
      <c r="Q2261">
        <v>10.1</v>
      </c>
      <c r="R2261">
        <v>3</v>
      </c>
      <c r="S2261">
        <v>2.73</v>
      </c>
      <c r="T2261">
        <v>3</v>
      </c>
      <c r="U2261" t="s">
        <v>22</v>
      </c>
      <c r="V2261" t="e">
        <f>IF(#REF! = "yes", 1, 0)</f>
        <v>#REF!</v>
      </c>
      <c r="W2261" t="e">
        <f>IF(#REF! &lt;= 1, "0-1 Calls", IF(#REF! &lt;= 3, "2-3 Calls", IF(#REF! &lt;=5, "4-5 Calls", "6+ Calls")))</f>
        <v>#REF!</v>
      </c>
      <c r="X2261" t="e">
        <f>IF(#REF! &lt;= 50, "0-50", IF(#REF! &lt;=100, "51-100", IF(#REF! &lt;= 150, "101-150", "151+")))</f>
        <v>#REF!</v>
      </c>
      <c r="Y2261" t="e">
        <f>IF(#REF! &lt;= 3, "Low Charges", "High Charges")</f>
        <v>#REF!</v>
      </c>
      <c r="Z2261" t="e">
        <f>IF(#REF!&lt;=80,"Low Calls",
IF(#REF!&lt;=120,"Medium Calls","High Calls"))</f>
        <v>#REF!</v>
      </c>
      <c r="AA2261" t="e">
        <f>IF(#REF!&lt;=15,"Low Charges",
IF(#REF!&lt;=20,"Medium Charges","High Charges"))</f>
        <v>#REF!</v>
      </c>
      <c r="AB2261" t="e">
        <f>IF(AND(#REF!&gt;180, #REF!&gt;200), "Heavy Doemstic User", IF(#REF!&gt;10, "Interntional User", IF(AND(#REF!&lt;180, #REF!&lt;200,#REF!&lt;200), "Light User", "Balanced User")))</f>
        <v>#REF!</v>
      </c>
      <c r="AC2261" t="e">
        <f>IF(#REF! = 0, "No Usage", IF(#REF! &lt;= 20, "Low Usage", IF(#REF! &lt;= 40, "Medium Usgae", "High Usage")))</f>
        <v>#REF!</v>
      </c>
      <c r="AD2261" t="e">
        <f>IF(#REF!&lt;=150,"Low Usage", IF(#REF!&lt;=200,"Medium Usage", IF(#REF!&lt;=250,"High Usage","Very High Usage")))</f>
        <v>#REF!</v>
      </c>
      <c r="AE2261" t="e">
        <f>IF(#REF!&lt;=5,"Low Calls", IF(#REF!&lt;=10, "Medium Calls", "High Calls"))</f>
        <v>#REF!</v>
      </c>
      <c r="AF2261" t="e">
        <f xml:space="preserve">
IF(#REF!&gt;=4,4,0)+
IF(#REF!="yes",3,0)+
IF(#REF!="High Charges",3,0)+
IF(#REF!&gt;250,4,0)+
IF(#REF!="no",1,0)+
IF(#REF!="Heavy Domestic User",2,0)</f>
        <v>#REF!</v>
      </c>
      <c r="AG2261" t="e">
        <f>IF(#REF!&gt;=10,"High Risk", IF(#REF!&gt;=5,"Medium Risk","Low Risk"))</f>
        <v>#REF!</v>
      </c>
      <c r="AH2261" t="e">
        <f>#REF! + #REF! + #REF! + #REF!</f>
        <v>#REF!</v>
      </c>
    </row>
    <row r="2262" spans="1:34" x14ac:dyDescent="0.35">
      <c r="A2262">
        <v>2261</v>
      </c>
      <c r="B2262" t="s">
        <v>33</v>
      </c>
      <c r="C2262">
        <v>103</v>
      </c>
      <c r="D2262" t="s">
        <v>28</v>
      </c>
      <c r="E2262" t="s">
        <v>23</v>
      </c>
      <c r="F2262" t="s">
        <v>22</v>
      </c>
      <c r="G2262">
        <v>0</v>
      </c>
      <c r="H2262">
        <v>255.9</v>
      </c>
      <c r="I2262">
        <v>128</v>
      </c>
      <c r="J2262">
        <v>43.5</v>
      </c>
      <c r="K2262">
        <v>140.9</v>
      </c>
      <c r="L2262">
        <v>92</v>
      </c>
      <c r="M2262">
        <v>11.98</v>
      </c>
      <c r="N2262">
        <v>308.89999999999998</v>
      </c>
      <c r="O2262">
        <v>130</v>
      </c>
      <c r="P2262">
        <v>13.9</v>
      </c>
      <c r="Q2262">
        <v>12.1</v>
      </c>
      <c r="R2262">
        <v>2</v>
      </c>
      <c r="S2262">
        <v>3.27</v>
      </c>
      <c r="T2262">
        <v>1</v>
      </c>
      <c r="U2262" t="s">
        <v>23</v>
      </c>
      <c r="V2262" t="e">
        <f>IF(#REF! = "yes", 1, 0)</f>
        <v>#REF!</v>
      </c>
      <c r="W2262" t="e">
        <f>IF(#REF! &lt;= 1, "0-1 Calls", IF(#REF! &lt;= 3, "2-3 Calls", IF(#REF! &lt;=5, "4-5 Calls", "6+ Calls")))</f>
        <v>#REF!</v>
      </c>
      <c r="X2262" t="e">
        <f>IF(#REF! &lt;= 50, "0-50", IF(#REF! &lt;=100, "51-100", IF(#REF! &lt;= 150, "101-150", "151+")))</f>
        <v>#REF!</v>
      </c>
      <c r="Y2262" t="e">
        <f>IF(#REF! &lt;= 3, "Low Charges", "High Charges")</f>
        <v>#REF!</v>
      </c>
      <c r="Z2262" t="e">
        <f>IF(#REF!&lt;=80,"Low Calls",
IF(#REF!&lt;=120,"Medium Calls","High Calls"))</f>
        <v>#REF!</v>
      </c>
      <c r="AA2262" t="e">
        <f>IF(#REF!&lt;=15,"Low Charges",
IF(#REF!&lt;=20,"Medium Charges","High Charges"))</f>
        <v>#REF!</v>
      </c>
      <c r="AB2262" t="e">
        <f>IF(AND(#REF!&gt;180, #REF!&gt;200), "Heavy Doemstic User", IF(#REF!&gt;10, "Interntional User", IF(AND(#REF!&lt;180, #REF!&lt;200,#REF!&lt;200), "Light User", "Balanced User")))</f>
        <v>#REF!</v>
      </c>
      <c r="AC2262" t="e">
        <f>IF(#REF! = 0, "No Usage", IF(#REF! &lt;= 20, "Low Usage", IF(#REF! &lt;= 40, "Medium Usgae", "High Usage")))</f>
        <v>#REF!</v>
      </c>
      <c r="AD2262" t="e">
        <f>IF(#REF!&lt;=150,"Low Usage", IF(#REF!&lt;=200,"Medium Usage", IF(#REF!&lt;=250,"High Usage","Very High Usage")))</f>
        <v>#REF!</v>
      </c>
      <c r="AE2262" t="e">
        <f>IF(#REF!&lt;=5,"Low Calls", IF(#REF!&lt;=10, "Medium Calls", "High Calls"))</f>
        <v>#REF!</v>
      </c>
      <c r="AF2262" t="e">
        <f xml:space="preserve">
IF(#REF!&gt;=4,4,0)+
IF(#REF!="yes",3,0)+
IF(#REF!="High Charges",3,0)+
IF(#REF!&gt;250,4,0)+
IF(#REF!="no",1,0)+
IF(#REF!="Heavy Domestic User",2,0)</f>
        <v>#REF!</v>
      </c>
      <c r="AG2262" t="e">
        <f>IF(#REF!&gt;=10,"High Risk", IF(#REF!&gt;=5,"Medium Risk","Low Risk"))</f>
        <v>#REF!</v>
      </c>
      <c r="AH2262" t="e">
        <f>#REF! + #REF! + #REF! + #REF!</f>
        <v>#REF!</v>
      </c>
    </row>
    <row r="2263" spans="1:34" x14ac:dyDescent="0.35">
      <c r="A2263">
        <v>2262</v>
      </c>
      <c r="B2263" t="s">
        <v>24</v>
      </c>
      <c r="C2263">
        <v>136</v>
      </c>
      <c r="D2263" t="s">
        <v>25</v>
      </c>
      <c r="E2263" t="s">
        <v>22</v>
      </c>
      <c r="F2263" t="s">
        <v>23</v>
      </c>
      <c r="G2263">
        <v>27</v>
      </c>
      <c r="H2263">
        <v>187.7</v>
      </c>
      <c r="I2263">
        <v>84</v>
      </c>
      <c r="J2263">
        <v>31.91</v>
      </c>
      <c r="K2263">
        <v>221</v>
      </c>
      <c r="L2263">
        <v>147</v>
      </c>
      <c r="M2263">
        <v>18.79</v>
      </c>
      <c r="N2263">
        <v>145.69999999999999</v>
      </c>
      <c r="O2263">
        <v>110</v>
      </c>
      <c r="P2263">
        <v>6.56</v>
      </c>
      <c r="Q2263">
        <v>10</v>
      </c>
      <c r="R2263">
        <v>4</v>
      </c>
      <c r="S2263">
        <v>2.7</v>
      </c>
      <c r="T2263">
        <v>3</v>
      </c>
      <c r="U2263" t="s">
        <v>22</v>
      </c>
      <c r="V2263" t="e">
        <f>IF(#REF! = "yes", 1, 0)</f>
        <v>#REF!</v>
      </c>
      <c r="W2263" t="e">
        <f>IF(#REF! &lt;= 1, "0-1 Calls", IF(#REF! &lt;= 3, "2-3 Calls", IF(#REF! &lt;=5, "4-5 Calls", "6+ Calls")))</f>
        <v>#REF!</v>
      </c>
      <c r="X2263" t="e">
        <f>IF(#REF! &lt;= 50, "0-50", IF(#REF! &lt;=100, "51-100", IF(#REF! &lt;= 150, "101-150", "151+")))</f>
        <v>#REF!</v>
      </c>
      <c r="Y2263" t="e">
        <f>IF(#REF! &lt;= 3, "Low Charges", "High Charges")</f>
        <v>#REF!</v>
      </c>
      <c r="Z2263" t="e">
        <f>IF(#REF!&lt;=80,"Low Calls",
IF(#REF!&lt;=120,"Medium Calls","High Calls"))</f>
        <v>#REF!</v>
      </c>
      <c r="AA2263" t="e">
        <f>IF(#REF!&lt;=15,"Low Charges",
IF(#REF!&lt;=20,"Medium Charges","High Charges"))</f>
        <v>#REF!</v>
      </c>
      <c r="AB2263" t="e">
        <f>IF(AND(#REF!&gt;180, #REF!&gt;200), "Heavy Doemstic User", IF(#REF!&gt;10, "Interntional User", IF(AND(#REF!&lt;180, #REF!&lt;200,#REF!&lt;200), "Light User", "Balanced User")))</f>
        <v>#REF!</v>
      </c>
      <c r="AC2263" t="e">
        <f>IF(#REF! = 0, "No Usage", IF(#REF! &lt;= 20, "Low Usage", IF(#REF! &lt;= 40, "Medium Usgae", "High Usage")))</f>
        <v>#REF!</v>
      </c>
      <c r="AD2263" t="e">
        <f>IF(#REF!&lt;=150,"Low Usage", IF(#REF!&lt;=200,"Medium Usage", IF(#REF!&lt;=250,"High Usage","Very High Usage")))</f>
        <v>#REF!</v>
      </c>
      <c r="AE2263" t="e">
        <f>IF(#REF!&lt;=5,"Low Calls", IF(#REF!&lt;=10, "Medium Calls", "High Calls"))</f>
        <v>#REF!</v>
      </c>
      <c r="AF2263" t="e">
        <f xml:space="preserve">
IF(#REF!&gt;=4,4,0)+
IF(#REF!="yes",3,0)+
IF(#REF!="High Charges",3,0)+
IF(#REF!&gt;250,4,0)+
IF(#REF!="no",1,0)+
IF(#REF!="Heavy Domestic User",2,0)</f>
        <v>#REF!</v>
      </c>
      <c r="AG2263" t="e">
        <f>IF(#REF!&gt;=10,"High Risk", IF(#REF!&gt;=5,"Medium Risk","Low Risk"))</f>
        <v>#REF!</v>
      </c>
      <c r="AH2263" t="e">
        <f>#REF! + #REF! + #REF! + #REF!</f>
        <v>#REF!</v>
      </c>
    </row>
    <row r="2264" spans="1:34" x14ac:dyDescent="0.35">
      <c r="A2264">
        <v>2263</v>
      </c>
      <c r="B2264" t="s">
        <v>69</v>
      </c>
      <c r="C2264">
        <v>155</v>
      </c>
      <c r="D2264" t="s">
        <v>25</v>
      </c>
      <c r="E2264" t="s">
        <v>22</v>
      </c>
      <c r="F2264" t="s">
        <v>23</v>
      </c>
      <c r="G2264">
        <v>21</v>
      </c>
      <c r="H2264">
        <v>195.9</v>
      </c>
      <c r="I2264">
        <v>91</v>
      </c>
      <c r="J2264">
        <v>33.299999999999997</v>
      </c>
      <c r="K2264">
        <v>213.9</v>
      </c>
      <c r="L2264">
        <v>84</v>
      </c>
      <c r="M2264">
        <v>18.18</v>
      </c>
      <c r="N2264">
        <v>88.2</v>
      </c>
      <c r="O2264">
        <v>111</v>
      </c>
      <c r="P2264">
        <v>3.97</v>
      </c>
      <c r="Q2264">
        <v>8.6</v>
      </c>
      <c r="R2264">
        <v>4</v>
      </c>
      <c r="S2264">
        <v>2.3199999999999998</v>
      </c>
      <c r="T2264">
        <v>0</v>
      </c>
      <c r="U2264" t="s">
        <v>22</v>
      </c>
      <c r="V2264" t="e">
        <f>IF(#REF! = "yes", 1, 0)</f>
        <v>#REF!</v>
      </c>
      <c r="W2264" t="e">
        <f>IF(#REF! &lt;= 1, "0-1 Calls", IF(#REF! &lt;= 3, "2-3 Calls", IF(#REF! &lt;=5, "4-5 Calls", "6+ Calls")))</f>
        <v>#REF!</v>
      </c>
      <c r="X2264" t="e">
        <f>IF(#REF! &lt;= 50, "0-50", IF(#REF! &lt;=100, "51-100", IF(#REF! &lt;= 150, "101-150", "151+")))</f>
        <v>#REF!</v>
      </c>
      <c r="Y2264" t="e">
        <f>IF(#REF! &lt;= 3, "Low Charges", "High Charges")</f>
        <v>#REF!</v>
      </c>
      <c r="Z2264" t="e">
        <f>IF(#REF!&lt;=80,"Low Calls",
IF(#REF!&lt;=120,"Medium Calls","High Calls"))</f>
        <v>#REF!</v>
      </c>
      <c r="AA2264" t="e">
        <f>IF(#REF!&lt;=15,"Low Charges",
IF(#REF!&lt;=20,"Medium Charges","High Charges"))</f>
        <v>#REF!</v>
      </c>
      <c r="AB2264" t="e">
        <f>IF(AND(#REF!&gt;180, #REF!&gt;200), "Heavy Doemstic User", IF(#REF!&gt;10, "Interntional User", IF(AND(#REF!&lt;180, #REF!&lt;200,#REF!&lt;200), "Light User", "Balanced User")))</f>
        <v>#REF!</v>
      </c>
      <c r="AC2264" t="e">
        <f>IF(#REF! = 0, "No Usage", IF(#REF! &lt;= 20, "Low Usage", IF(#REF! &lt;= 40, "Medium Usgae", "High Usage")))</f>
        <v>#REF!</v>
      </c>
      <c r="AD2264" t="e">
        <f>IF(#REF!&lt;=150,"Low Usage", IF(#REF!&lt;=200,"Medium Usage", IF(#REF!&lt;=250,"High Usage","Very High Usage")))</f>
        <v>#REF!</v>
      </c>
      <c r="AE2264" t="e">
        <f>IF(#REF!&lt;=5,"Low Calls", IF(#REF!&lt;=10, "Medium Calls", "High Calls"))</f>
        <v>#REF!</v>
      </c>
      <c r="AF2264" t="e">
        <f xml:space="preserve">
IF(#REF!&gt;=4,4,0)+
IF(#REF!="yes",3,0)+
IF(#REF!="High Charges",3,0)+
IF(#REF!&gt;250,4,0)+
IF(#REF!="no",1,0)+
IF(#REF!="Heavy Domestic User",2,0)</f>
        <v>#REF!</v>
      </c>
      <c r="AG2264" t="e">
        <f>IF(#REF!&gt;=10,"High Risk", IF(#REF!&gt;=5,"Medium Risk","Low Risk"))</f>
        <v>#REF!</v>
      </c>
      <c r="AH2264" t="e">
        <f>#REF! + #REF! + #REF! + #REF!</f>
        <v>#REF!</v>
      </c>
    </row>
    <row r="2265" spans="1:34" x14ac:dyDescent="0.35">
      <c r="A2265">
        <v>2264</v>
      </c>
      <c r="B2265" t="s">
        <v>31</v>
      </c>
      <c r="C2265">
        <v>145</v>
      </c>
      <c r="D2265" t="s">
        <v>21</v>
      </c>
      <c r="E2265" t="s">
        <v>22</v>
      </c>
      <c r="F2265" t="s">
        <v>22</v>
      </c>
      <c r="G2265">
        <v>0</v>
      </c>
      <c r="H2265">
        <v>129.4</v>
      </c>
      <c r="I2265">
        <v>97</v>
      </c>
      <c r="J2265">
        <v>22</v>
      </c>
      <c r="K2265">
        <v>185.4</v>
      </c>
      <c r="L2265">
        <v>101</v>
      </c>
      <c r="M2265">
        <v>15.76</v>
      </c>
      <c r="N2265">
        <v>204.7</v>
      </c>
      <c r="O2265">
        <v>106</v>
      </c>
      <c r="P2265">
        <v>9.2100000000000009</v>
      </c>
      <c r="Q2265">
        <v>1.1000000000000001</v>
      </c>
      <c r="R2265">
        <v>2</v>
      </c>
      <c r="S2265">
        <v>0.3</v>
      </c>
      <c r="T2265">
        <v>2</v>
      </c>
      <c r="U2265" t="s">
        <v>22</v>
      </c>
      <c r="V2265" t="e">
        <f>IF(#REF! = "yes", 1, 0)</f>
        <v>#REF!</v>
      </c>
      <c r="W2265" t="e">
        <f>IF(#REF! &lt;= 1, "0-1 Calls", IF(#REF! &lt;= 3, "2-3 Calls", IF(#REF! &lt;=5, "4-5 Calls", "6+ Calls")))</f>
        <v>#REF!</v>
      </c>
      <c r="X2265" t="e">
        <f>IF(#REF! &lt;= 50, "0-50", IF(#REF! &lt;=100, "51-100", IF(#REF! &lt;= 150, "101-150", "151+")))</f>
        <v>#REF!</v>
      </c>
      <c r="Y2265" t="e">
        <f>IF(#REF! &lt;= 3, "Low Charges", "High Charges")</f>
        <v>#REF!</v>
      </c>
      <c r="Z2265" t="e">
        <f>IF(#REF!&lt;=80,"Low Calls",
IF(#REF!&lt;=120,"Medium Calls","High Calls"))</f>
        <v>#REF!</v>
      </c>
      <c r="AA2265" t="e">
        <f>IF(#REF!&lt;=15,"Low Charges",
IF(#REF!&lt;=20,"Medium Charges","High Charges"))</f>
        <v>#REF!</v>
      </c>
      <c r="AB2265" t="e">
        <f>IF(AND(#REF!&gt;180, #REF!&gt;200), "Heavy Doemstic User", IF(#REF!&gt;10, "Interntional User", IF(AND(#REF!&lt;180, #REF!&lt;200,#REF!&lt;200), "Light User", "Balanced User")))</f>
        <v>#REF!</v>
      </c>
      <c r="AC2265" t="e">
        <f>IF(#REF! = 0, "No Usage", IF(#REF! &lt;= 20, "Low Usage", IF(#REF! &lt;= 40, "Medium Usgae", "High Usage")))</f>
        <v>#REF!</v>
      </c>
      <c r="AD2265" t="e">
        <f>IF(#REF!&lt;=150,"Low Usage", IF(#REF!&lt;=200,"Medium Usage", IF(#REF!&lt;=250,"High Usage","Very High Usage")))</f>
        <v>#REF!</v>
      </c>
      <c r="AE2265" t="e">
        <f>IF(#REF!&lt;=5,"Low Calls", IF(#REF!&lt;=10, "Medium Calls", "High Calls"))</f>
        <v>#REF!</v>
      </c>
      <c r="AF2265" t="e">
        <f xml:space="preserve">
IF(#REF!&gt;=4,4,0)+
IF(#REF!="yes",3,0)+
IF(#REF!="High Charges",3,0)+
IF(#REF!&gt;250,4,0)+
IF(#REF!="no",1,0)+
IF(#REF!="Heavy Domestic User",2,0)</f>
        <v>#REF!</v>
      </c>
      <c r="AG2265" t="e">
        <f>IF(#REF!&gt;=10,"High Risk", IF(#REF!&gt;=5,"Medium Risk","Low Risk"))</f>
        <v>#REF!</v>
      </c>
      <c r="AH2265" t="e">
        <f>#REF! + #REF! + #REF! + #REF!</f>
        <v>#REF!</v>
      </c>
    </row>
    <row r="2266" spans="1:34" x14ac:dyDescent="0.35">
      <c r="A2266">
        <v>2265</v>
      </c>
      <c r="B2266" t="s">
        <v>44</v>
      </c>
      <c r="C2266">
        <v>116</v>
      </c>
      <c r="D2266" t="s">
        <v>28</v>
      </c>
      <c r="E2266" t="s">
        <v>22</v>
      </c>
      <c r="F2266" t="s">
        <v>23</v>
      </c>
      <c r="G2266">
        <v>12</v>
      </c>
      <c r="H2266">
        <v>221</v>
      </c>
      <c r="I2266">
        <v>108</v>
      </c>
      <c r="J2266">
        <v>37.57</v>
      </c>
      <c r="K2266">
        <v>151</v>
      </c>
      <c r="L2266">
        <v>118</v>
      </c>
      <c r="M2266">
        <v>12.84</v>
      </c>
      <c r="N2266">
        <v>179</v>
      </c>
      <c r="O2266">
        <v>80</v>
      </c>
      <c r="P2266">
        <v>8.06</v>
      </c>
      <c r="Q2266">
        <v>9</v>
      </c>
      <c r="R2266">
        <v>6</v>
      </c>
      <c r="S2266">
        <v>2.4300000000000002</v>
      </c>
      <c r="T2266">
        <v>2</v>
      </c>
      <c r="U2266" t="s">
        <v>22</v>
      </c>
      <c r="V2266" t="e">
        <f>IF(#REF! = "yes", 1, 0)</f>
        <v>#REF!</v>
      </c>
      <c r="W2266" t="e">
        <f>IF(#REF! &lt;= 1, "0-1 Calls", IF(#REF! &lt;= 3, "2-3 Calls", IF(#REF! &lt;=5, "4-5 Calls", "6+ Calls")))</f>
        <v>#REF!</v>
      </c>
      <c r="X2266" t="e">
        <f>IF(#REF! &lt;= 50, "0-50", IF(#REF! &lt;=100, "51-100", IF(#REF! &lt;= 150, "101-150", "151+")))</f>
        <v>#REF!</v>
      </c>
      <c r="Y2266" t="e">
        <f>IF(#REF! &lt;= 3, "Low Charges", "High Charges")</f>
        <v>#REF!</v>
      </c>
      <c r="Z2266" t="e">
        <f>IF(#REF!&lt;=80,"Low Calls",
IF(#REF!&lt;=120,"Medium Calls","High Calls"))</f>
        <v>#REF!</v>
      </c>
      <c r="AA2266" t="e">
        <f>IF(#REF!&lt;=15,"Low Charges",
IF(#REF!&lt;=20,"Medium Charges","High Charges"))</f>
        <v>#REF!</v>
      </c>
      <c r="AB2266" t="e">
        <f>IF(AND(#REF!&gt;180, #REF!&gt;200), "Heavy Doemstic User", IF(#REF!&gt;10, "Interntional User", IF(AND(#REF!&lt;180, #REF!&lt;200,#REF!&lt;200), "Light User", "Balanced User")))</f>
        <v>#REF!</v>
      </c>
      <c r="AC2266" t="e">
        <f>IF(#REF! = 0, "No Usage", IF(#REF! &lt;= 20, "Low Usage", IF(#REF! &lt;= 40, "Medium Usgae", "High Usage")))</f>
        <v>#REF!</v>
      </c>
      <c r="AD2266" t="e">
        <f>IF(#REF!&lt;=150,"Low Usage", IF(#REF!&lt;=200,"Medium Usage", IF(#REF!&lt;=250,"High Usage","Very High Usage")))</f>
        <v>#REF!</v>
      </c>
      <c r="AE2266" t="e">
        <f>IF(#REF!&lt;=5,"Low Calls", IF(#REF!&lt;=10, "Medium Calls", "High Calls"))</f>
        <v>#REF!</v>
      </c>
      <c r="AF2266" t="e">
        <f xml:space="preserve">
IF(#REF!&gt;=4,4,0)+
IF(#REF!="yes",3,0)+
IF(#REF!="High Charges",3,0)+
IF(#REF!&gt;250,4,0)+
IF(#REF!="no",1,0)+
IF(#REF!="Heavy Domestic User",2,0)</f>
        <v>#REF!</v>
      </c>
      <c r="AG2266" t="e">
        <f>IF(#REF!&gt;=10,"High Risk", IF(#REF!&gt;=5,"Medium Risk","Low Risk"))</f>
        <v>#REF!</v>
      </c>
      <c r="AH2266" t="e">
        <f>#REF! + #REF! + #REF! + #REF!</f>
        <v>#REF!</v>
      </c>
    </row>
    <row r="2267" spans="1:34" x14ac:dyDescent="0.35">
      <c r="A2267">
        <v>2266</v>
      </c>
      <c r="B2267" t="s">
        <v>43</v>
      </c>
      <c r="C2267">
        <v>152</v>
      </c>
      <c r="D2267" t="s">
        <v>25</v>
      </c>
      <c r="E2267" t="s">
        <v>22</v>
      </c>
      <c r="F2267" t="s">
        <v>22</v>
      </c>
      <c r="G2267">
        <v>0</v>
      </c>
      <c r="H2267">
        <v>140.5</v>
      </c>
      <c r="I2267">
        <v>92</v>
      </c>
      <c r="J2267">
        <v>23.89</v>
      </c>
      <c r="K2267">
        <v>186.8</v>
      </c>
      <c r="L2267">
        <v>96</v>
      </c>
      <c r="M2267">
        <v>15.88</v>
      </c>
      <c r="N2267">
        <v>227</v>
      </c>
      <c r="O2267">
        <v>89</v>
      </c>
      <c r="P2267">
        <v>10.220000000000001</v>
      </c>
      <c r="Q2267">
        <v>9.5</v>
      </c>
      <c r="R2267">
        <v>5</v>
      </c>
      <c r="S2267">
        <v>2.57</v>
      </c>
      <c r="T2267">
        <v>2</v>
      </c>
      <c r="U2267" t="s">
        <v>22</v>
      </c>
      <c r="V2267" t="e">
        <f>IF(#REF! = "yes", 1, 0)</f>
        <v>#REF!</v>
      </c>
      <c r="W2267" t="e">
        <f>IF(#REF! &lt;= 1, "0-1 Calls", IF(#REF! &lt;= 3, "2-3 Calls", IF(#REF! &lt;=5, "4-5 Calls", "6+ Calls")))</f>
        <v>#REF!</v>
      </c>
      <c r="X2267" t="e">
        <f>IF(#REF! &lt;= 50, "0-50", IF(#REF! &lt;=100, "51-100", IF(#REF! &lt;= 150, "101-150", "151+")))</f>
        <v>#REF!</v>
      </c>
      <c r="Y2267" t="e">
        <f>IF(#REF! &lt;= 3, "Low Charges", "High Charges")</f>
        <v>#REF!</v>
      </c>
      <c r="Z2267" t="e">
        <f>IF(#REF!&lt;=80,"Low Calls",
IF(#REF!&lt;=120,"Medium Calls","High Calls"))</f>
        <v>#REF!</v>
      </c>
      <c r="AA2267" t="e">
        <f>IF(#REF!&lt;=15,"Low Charges",
IF(#REF!&lt;=20,"Medium Charges","High Charges"))</f>
        <v>#REF!</v>
      </c>
      <c r="AB2267" t="e">
        <f>IF(AND(#REF!&gt;180, #REF!&gt;200), "Heavy Doemstic User", IF(#REF!&gt;10, "Interntional User", IF(AND(#REF!&lt;180, #REF!&lt;200,#REF!&lt;200), "Light User", "Balanced User")))</f>
        <v>#REF!</v>
      </c>
      <c r="AC2267" t="e">
        <f>IF(#REF! = 0, "No Usage", IF(#REF! &lt;= 20, "Low Usage", IF(#REF! &lt;= 40, "Medium Usgae", "High Usage")))</f>
        <v>#REF!</v>
      </c>
      <c r="AD2267" t="e">
        <f>IF(#REF!&lt;=150,"Low Usage", IF(#REF!&lt;=200,"Medium Usage", IF(#REF!&lt;=250,"High Usage","Very High Usage")))</f>
        <v>#REF!</v>
      </c>
      <c r="AE2267" t="e">
        <f>IF(#REF!&lt;=5,"Low Calls", IF(#REF!&lt;=10, "Medium Calls", "High Calls"))</f>
        <v>#REF!</v>
      </c>
      <c r="AF2267" t="e">
        <f xml:space="preserve">
IF(#REF!&gt;=4,4,0)+
IF(#REF!="yes",3,0)+
IF(#REF!="High Charges",3,0)+
IF(#REF!&gt;250,4,0)+
IF(#REF!="no",1,0)+
IF(#REF!="Heavy Domestic User",2,0)</f>
        <v>#REF!</v>
      </c>
      <c r="AG2267" t="e">
        <f>IF(#REF!&gt;=10,"High Risk", IF(#REF!&gt;=5,"Medium Risk","Low Risk"))</f>
        <v>#REF!</v>
      </c>
      <c r="AH2267" t="e">
        <f>#REF! + #REF! + #REF! + #REF!</f>
        <v>#REF!</v>
      </c>
    </row>
    <row r="2268" spans="1:34" x14ac:dyDescent="0.35">
      <c r="A2268">
        <v>2267</v>
      </c>
      <c r="B2268" t="s">
        <v>67</v>
      </c>
      <c r="C2268">
        <v>65</v>
      </c>
      <c r="D2268" t="s">
        <v>21</v>
      </c>
      <c r="E2268" t="s">
        <v>23</v>
      </c>
      <c r="F2268" t="s">
        <v>22</v>
      </c>
      <c r="G2268">
        <v>0</v>
      </c>
      <c r="H2268">
        <v>277.89999999999998</v>
      </c>
      <c r="I2268">
        <v>123</v>
      </c>
      <c r="J2268">
        <v>47.24</v>
      </c>
      <c r="K2268">
        <v>155.80000000000001</v>
      </c>
      <c r="L2268">
        <v>112</v>
      </c>
      <c r="M2268">
        <v>13.24</v>
      </c>
      <c r="N2268">
        <v>256.89999999999998</v>
      </c>
      <c r="O2268">
        <v>71</v>
      </c>
      <c r="P2268">
        <v>11.56</v>
      </c>
      <c r="Q2268">
        <v>9.1999999999999993</v>
      </c>
      <c r="R2268">
        <v>10</v>
      </c>
      <c r="S2268">
        <v>2.48</v>
      </c>
      <c r="T2268">
        <v>0</v>
      </c>
      <c r="U2268" t="s">
        <v>23</v>
      </c>
      <c r="V2268" t="e">
        <f>IF(#REF! = "yes", 1, 0)</f>
        <v>#REF!</v>
      </c>
      <c r="W2268" t="e">
        <f>IF(#REF! &lt;= 1, "0-1 Calls", IF(#REF! &lt;= 3, "2-3 Calls", IF(#REF! &lt;=5, "4-5 Calls", "6+ Calls")))</f>
        <v>#REF!</v>
      </c>
      <c r="X2268" t="e">
        <f>IF(#REF! &lt;= 50, "0-50", IF(#REF! &lt;=100, "51-100", IF(#REF! &lt;= 150, "101-150", "151+")))</f>
        <v>#REF!</v>
      </c>
      <c r="Y2268" t="e">
        <f>IF(#REF! &lt;= 3, "Low Charges", "High Charges")</f>
        <v>#REF!</v>
      </c>
      <c r="Z2268" t="e">
        <f>IF(#REF!&lt;=80,"Low Calls",
IF(#REF!&lt;=120,"Medium Calls","High Calls"))</f>
        <v>#REF!</v>
      </c>
      <c r="AA2268" t="e">
        <f>IF(#REF!&lt;=15,"Low Charges",
IF(#REF!&lt;=20,"Medium Charges","High Charges"))</f>
        <v>#REF!</v>
      </c>
      <c r="AB2268" t="e">
        <f>IF(AND(#REF!&gt;180, #REF!&gt;200), "Heavy Doemstic User", IF(#REF!&gt;10, "Interntional User", IF(AND(#REF!&lt;180, #REF!&lt;200,#REF!&lt;200), "Light User", "Balanced User")))</f>
        <v>#REF!</v>
      </c>
      <c r="AC2268" t="e">
        <f>IF(#REF! = 0, "No Usage", IF(#REF! &lt;= 20, "Low Usage", IF(#REF! &lt;= 40, "Medium Usgae", "High Usage")))</f>
        <v>#REF!</v>
      </c>
      <c r="AD2268" t="e">
        <f>IF(#REF!&lt;=150,"Low Usage", IF(#REF!&lt;=200,"Medium Usage", IF(#REF!&lt;=250,"High Usage","Very High Usage")))</f>
        <v>#REF!</v>
      </c>
      <c r="AE2268" t="e">
        <f>IF(#REF!&lt;=5,"Low Calls", IF(#REF!&lt;=10, "Medium Calls", "High Calls"))</f>
        <v>#REF!</v>
      </c>
      <c r="AF2268" t="e">
        <f xml:space="preserve">
IF(#REF!&gt;=4,4,0)+
IF(#REF!="yes",3,0)+
IF(#REF!="High Charges",3,0)+
IF(#REF!&gt;250,4,0)+
IF(#REF!="no",1,0)+
IF(#REF!="Heavy Domestic User",2,0)</f>
        <v>#REF!</v>
      </c>
      <c r="AG2268" t="e">
        <f>IF(#REF!&gt;=10,"High Risk", IF(#REF!&gt;=5,"Medium Risk","Low Risk"))</f>
        <v>#REF!</v>
      </c>
      <c r="AH2268" t="e">
        <f>#REF! + #REF! + #REF! + #REF!</f>
        <v>#REF!</v>
      </c>
    </row>
    <row r="2269" spans="1:34" x14ac:dyDescent="0.35">
      <c r="A2269">
        <v>2268</v>
      </c>
      <c r="B2269" t="s">
        <v>72</v>
      </c>
      <c r="C2269">
        <v>67</v>
      </c>
      <c r="D2269" t="s">
        <v>21</v>
      </c>
      <c r="E2269" t="s">
        <v>22</v>
      </c>
      <c r="F2269" t="s">
        <v>22</v>
      </c>
      <c r="G2269">
        <v>0</v>
      </c>
      <c r="H2269">
        <v>109.1</v>
      </c>
      <c r="I2269">
        <v>117</v>
      </c>
      <c r="J2269">
        <v>18.55</v>
      </c>
      <c r="K2269">
        <v>217.4</v>
      </c>
      <c r="L2269">
        <v>124</v>
      </c>
      <c r="M2269">
        <v>18.48</v>
      </c>
      <c r="N2269">
        <v>188.4</v>
      </c>
      <c r="O2269">
        <v>141</v>
      </c>
      <c r="P2269">
        <v>8.48</v>
      </c>
      <c r="Q2269">
        <v>12.8</v>
      </c>
      <c r="R2269">
        <v>6</v>
      </c>
      <c r="S2269">
        <v>3.46</v>
      </c>
      <c r="T2269">
        <v>0</v>
      </c>
      <c r="U2269" t="s">
        <v>22</v>
      </c>
      <c r="V2269" t="e">
        <f>IF(#REF! = "yes", 1, 0)</f>
        <v>#REF!</v>
      </c>
      <c r="W2269" t="e">
        <f>IF(#REF! &lt;= 1, "0-1 Calls", IF(#REF! &lt;= 3, "2-3 Calls", IF(#REF! &lt;=5, "4-5 Calls", "6+ Calls")))</f>
        <v>#REF!</v>
      </c>
      <c r="X2269" t="e">
        <f>IF(#REF! &lt;= 50, "0-50", IF(#REF! &lt;=100, "51-100", IF(#REF! &lt;= 150, "101-150", "151+")))</f>
        <v>#REF!</v>
      </c>
      <c r="Y2269" t="e">
        <f>IF(#REF! &lt;= 3, "Low Charges", "High Charges")</f>
        <v>#REF!</v>
      </c>
      <c r="Z2269" t="e">
        <f>IF(#REF!&lt;=80,"Low Calls",
IF(#REF!&lt;=120,"Medium Calls","High Calls"))</f>
        <v>#REF!</v>
      </c>
      <c r="AA2269" t="e">
        <f>IF(#REF!&lt;=15,"Low Charges",
IF(#REF!&lt;=20,"Medium Charges","High Charges"))</f>
        <v>#REF!</v>
      </c>
      <c r="AB2269" t="e">
        <f>IF(AND(#REF!&gt;180, #REF!&gt;200), "Heavy Doemstic User", IF(#REF!&gt;10, "Interntional User", IF(AND(#REF!&lt;180, #REF!&lt;200,#REF!&lt;200), "Light User", "Balanced User")))</f>
        <v>#REF!</v>
      </c>
      <c r="AC2269" t="e">
        <f>IF(#REF! = 0, "No Usage", IF(#REF! &lt;= 20, "Low Usage", IF(#REF! &lt;= 40, "Medium Usgae", "High Usage")))</f>
        <v>#REF!</v>
      </c>
      <c r="AD2269" t="e">
        <f>IF(#REF!&lt;=150,"Low Usage", IF(#REF!&lt;=200,"Medium Usage", IF(#REF!&lt;=250,"High Usage","Very High Usage")))</f>
        <v>#REF!</v>
      </c>
      <c r="AE2269" t="e">
        <f>IF(#REF!&lt;=5,"Low Calls", IF(#REF!&lt;=10, "Medium Calls", "High Calls"))</f>
        <v>#REF!</v>
      </c>
      <c r="AF2269" t="e">
        <f xml:space="preserve">
IF(#REF!&gt;=4,4,0)+
IF(#REF!="yes",3,0)+
IF(#REF!="High Charges",3,0)+
IF(#REF!&gt;250,4,0)+
IF(#REF!="no",1,0)+
IF(#REF!="Heavy Domestic User",2,0)</f>
        <v>#REF!</v>
      </c>
      <c r="AG2269" t="e">
        <f>IF(#REF!&gt;=10,"High Risk", IF(#REF!&gt;=5,"Medium Risk","Low Risk"))</f>
        <v>#REF!</v>
      </c>
      <c r="AH2269" t="e">
        <f>#REF! + #REF! + #REF! + #REF!</f>
        <v>#REF!</v>
      </c>
    </row>
    <row r="2270" spans="1:34" x14ac:dyDescent="0.35">
      <c r="A2270">
        <v>2269</v>
      </c>
      <c r="B2270" t="s">
        <v>52</v>
      </c>
      <c r="C2270">
        <v>60</v>
      </c>
      <c r="D2270" t="s">
        <v>21</v>
      </c>
      <c r="E2270" t="s">
        <v>22</v>
      </c>
      <c r="F2270" t="s">
        <v>22</v>
      </c>
      <c r="G2270">
        <v>0</v>
      </c>
      <c r="H2270">
        <v>207.8</v>
      </c>
      <c r="I2270">
        <v>109</v>
      </c>
      <c r="J2270">
        <v>35.33</v>
      </c>
      <c r="K2270">
        <v>123.5</v>
      </c>
      <c r="L2270">
        <v>112</v>
      </c>
      <c r="M2270">
        <v>10.5</v>
      </c>
      <c r="N2270">
        <v>291.60000000000002</v>
      </c>
      <c r="O2270">
        <v>115</v>
      </c>
      <c r="P2270">
        <v>13.12</v>
      </c>
      <c r="Q2270">
        <v>5.7</v>
      </c>
      <c r="R2270">
        <v>9</v>
      </c>
      <c r="S2270">
        <v>1.54</v>
      </c>
      <c r="T2270">
        <v>0</v>
      </c>
      <c r="U2270" t="s">
        <v>22</v>
      </c>
      <c r="V2270" t="e">
        <f>IF(#REF! = "yes", 1, 0)</f>
        <v>#REF!</v>
      </c>
      <c r="W2270" t="e">
        <f>IF(#REF! &lt;= 1, "0-1 Calls", IF(#REF! &lt;= 3, "2-3 Calls", IF(#REF! &lt;=5, "4-5 Calls", "6+ Calls")))</f>
        <v>#REF!</v>
      </c>
      <c r="X2270" t="e">
        <f>IF(#REF! &lt;= 50, "0-50", IF(#REF! &lt;=100, "51-100", IF(#REF! &lt;= 150, "101-150", "151+")))</f>
        <v>#REF!</v>
      </c>
      <c r="Y2270" t="e">
        <f>IF(#REF! &lt;= 3, "Low Charges", "High Charges")</f>
        <v>#REF!</v>
      </c>
      <c r="Z2270" t="e">
        <f>IF(#REF!&lt;=80,"Low Calls",
IF(#REF!&lt;=120,"Medium Calls","High Calls"))</f>
        <v>#REF!</v>
      </c>
      <c r="AA2270" t="e">
        <f>IF(#REF!&lt;=15,"Low Charges",
IF(#REF!&lt;=20,"Medium Charges","High Charges"))</f>
        <v>#REF!</v>
      </c>
      <c r="AB2270" t="e">
        <f>IF(AND(#REF!&gt;180, #REF!&gt;200), "Heavy Doemstic User", IF(#REF!&gt;10, "Interntional User", IF(AND(#REF!&lt;180, #REF!&lt;200,#REF!&lt;200), "Light User", "Balanced User")))</f>
        <v>#REF!</v>
      </c>
      <c r="AC2270" t="e">
        <f>IF(#REF! = 0, "No Usage", IF(#REF! &lt;= 20, "Low Usage", IF(#REF! &lt;= 40, "Medium Usgae", "High Usage")))</f>
        <v>#REF!</v>
      </c>
      <c r="AD2270" t="e">
        <f>IF(#REF!&lt;=150,"Low Usage", IF(#REF!&lt;=200,"Medium Usage", IF(#REF!&lt;=250,"High Usage","Very High Usage")))</f>
        <v>#REF!</v>
      </c>
      <c r="AE2270" t="e">
        <f>IF(#REF!&lt;=5,"Low Calls", IF(#REF!&lt;=10, "Medium Calls", "High Calls"))</f>
        <v>#REF!</v>
      </c>
      <c r="AF2270" t="e">
        <f xml:space="preserve">
IF(#REF!&gt;=4,4,0)+
IF(#REF!="yes",3,0)+
IF(#REF!="High Charges",3,0)+
IF(#REF!&gt;250,4,0)+
IF(#REF!="no",1,0)+
IF(#REF!="Heavy Domestic User",2,0)</f>
        <v>#REF!</v>
      </c>
      <c r="AG2270" t="e">
        <f>IF(#REF!&gt;=10,"High Risk", IF(#REF!&gt;=5,"Medium Risk","Low Risk"))</f>
        <v>#REF!</v>
      </c>
      <c r="AH2270" t="e">
        <f>#REF! + #REF! + #REF! + #REF!</f>
        <v>#REF!</v>
      </c>
    </row>
    <row r="2271" spans="1:34" x14ac:dyDescent="0.35">
      <c r="A2271">
        <v>2270</v>
      </c>
      <c r="B2271" t="s">
        <v>55</v>
      </c>
      <c r="C2271">
        <v>138</v>
      </c>
      <c r="D2271" t="s">
        <v>28</v>
      </c>
      <c r="E2271" t="s">
        <v>22</v>
      </c>
      <c r="F2271" t="s">
        <v>22</v>
      </c>
      <c r="G2271">
        <v>0</v>
      </c>
      <c r="H2271">
        <v>205.9</v>
      </c>
      <c r="I2271">
        <v>96</v>
      </c>
      <c r="J2271">
        <v>35</v>
      </c>
      <c r="K2271">
        <v>257.10000000000002</v>
      </c>
      <c r="L2271">
        <v>94</v>
      </c>
      <c r="M2271">
        <v>21.85</v>
      </c>
      <c r="N2271">
        <v>209</v>
      </c>
      <c r="O2271">
        <v>63</v>
      </c>
      <c r="P2271">
        <v>9.4</v>
      </c>
      <c r="Q2271">
        <v>12.1</v>
      </c>
      <c r="R2271">
        <v>8</v>
      </c>
      <c r="S2271">
        <v>3.27</v>
      </c>
      <c r="T2271">
        <v>0</v>
      </c>
      <c r="U2271" t="s">
        <v>22</v>
      </c>
      <c r="V2271" t="e">
        <f>IF(#REF! = "yes", 1, 0)</f>
        <v>#REF!</v>
      </c>
      <c r="W2271" t="e">
        <f>IF(#REF! &lt;= 1, "0-1 Calls", IF(#REF! &lt;= 3, "2-3 Calls", IF(#REF! &lt;=5, "4-5 Calls", "6+ Calls")))</f>
        <v>#REF!</v>
      </c>
      <c r="X2271" t="e">
        <f>IF(#REF! &lt;= 50, "0-50", IF(#REF! &lt;=100, "51-100", IF(#REF! &lt;= 150, "101-150", "151+")))</f>
        <v>#REF!</v>
      </c>
      <c r="Y2271" t="e">
        <f>IF(#REF! &lt;= 3, "Low Charges", "High Charges")</f>
        <v>#REF!</v>
      </c>
      <c r="Z2271" t="e">
        <f>IF(#REF!&lt;=80,"Low Calls",
IF(#REF!&lt;=120,"Medium Calls","High Calls"))</f>
        <v>#REF!</v>
      </c>
      <c r="AA2271" t="e">
        <f>IF(#REF!&lt;=15,"Low Charges",
IF(#REF!&lt;=20,"Medium Charges","High Charges"))</f>
        <v>#REF!</v>
      </c>
      <c r="AB2271" t="e">
        <f>IF(AND(#REF!&gt;180, #REF!&gt;200), "Heavy Doemstic User", IF(#REF!&gt;10, "Interntional User", IF(AND(#REF!&lt;180, #REF!&lt;200,#REF!&lt;200), "Light User", "Balanced User")))</f>
        <v>#REF!</v>
      </c>
      <c r="AC2271" t="e">
        <f>IF(#REF! = 0, "No Usage", IF(#REF! &lt;= 20, "Low Usage", IF(#REF! &lt;= 40, "Medium Usgae", "High Usage")))</f>
        <v>#REF!</v>
      </c>
      <c r="AD2271" t="e">
        <f>IF(#REF!&lt;=150,"Low Usage", IF(#REF!&lt;=200,"Medium Usage", IF(#REF!&lt;=250,"High Usage","Very High Usage")))</f>
        <v>#REF!</v>
      </c>
      <c r="AE2271" t="e">
        <f>IF(#REF!&lt;=5,"Low Calls", IF(#REF!&lt;=10, "Medium Calls", "High Calls"))</f>
        <v>#REF!</v>
      </c>
      <c r="AF2271" t="e">
        <f xml:space="preserve">
IF(#REF!&gt;=4,4,0)+
IF(#REF!="yes",3,0)+
IF(#REF!="High Charges",3,0)+
IF(#REF!&gt;250,4,0)+
IF(#REF!="no",1,0)+
IF(#REF!="Heavy Domestic User",2,0)</f>
        <v>#REF!</v>
      </c>
      <c r="AG2271" t="e">
        <f>IF(#REF!&gt;=10,"High Risk", IF(#REF!&gt;=5,"Medium Risk","Low Risk"))</f>
        <v>#REF!</v>
      </c>
      <c r="AH2271" t="e">
        <f>#REF! + #REF! + #REF! + #REF!</f>
        <v>#REF!</v>
      </c>
    </row>
    <row r="2272" spans="1:34" x14ac:dyDescent="0.35">
      <c r="A2272">
        <v>2271</v>
      </c>
      <c r="B2272" t="s">
        <v>34</v>
      </c>
      <c r="C2272">
        <v>44</v>
      </c>
      <c r="D2272" t="s">
        <v>21</v>
      </c>
      <c r="E2272" t="s">
        <v>22</v>
      </c>
      <c r="F2272" t="s">
        <v>22</v>
      </c>
      <c r="G2272">
        <v>0</v>
      </c>
      <c r="H2272">
        <v>308.60000000000002</v>
      </c>
      <c r="I2272">
        <v>139</v>
      </c>
      <c r="J2272">
        <v>52.46</v>
      </c>
      <c r="K2272">
        <v>150.80000000000001</v>
      </c>
      <c r="L2272">
        <v>94</v>
      </c>
      <c r="M2272">
        <v>12.82</v>
      </c>
      <c r="N2272">
        <v>198.7</v>
      </c>
      <c r="O2272">
        <v>66</v>
      </c>
      <c r="P2272">
        <v>8.94</v>
      </c>
      <c r="Q2272">
        <v>7.3</v>
      </c>
      <c r="R2272">
        <v>3</v>
      </c>
      <c r="S2272">
        <v>1.97</v>
      </c>
      <c r="T2272">
        <v>4</v>
      </c>
      <c r="U2272" t="s">
        <v>23</v>
      </c>
      <c r="V2272" t="e">
        <f>IF(#REF! = "yes", 1, 0)</f>
        <v>#REF!</v>
      </c>
      <c r="W2272" t="e">
        <f>IF(#REF! &lt;= 1, "0-1 Calls", IF(#REF! &lt;= 3, "2-3 Calls", IF(#REF! &lt;=5, "4-5 Calls", "6+ Calls")))</f>
        <v>#REF!</v>
      </c>
      <c r="X2272" t="e">
        <f>IF(#REF! &lt;= 50, "0-50", IF(#REF! &lt;=100, "51-100", IF(#REF! &lt;= 150, "101-150", "151+")))</f>
        <v>#REF!</v>
      </c>
      <c r="Y2272" t="e">
        <f>IF(#REF! &lt;= 3, "Low Charges", "High Charges")</f>
        <v>#REF!</v>
      </c>
      <c r="Z2272" t="e">
        <f>IF(#REF!&lt;=80,"Low Calls",
IF(#REF!&lt;=120,"Medium Calls","High Calls"))</f>
        <v>#REF!</v>
      </c>
      <c r="AA2272" t="e">
        <f>IF(#REF!&lt;=15,"Low Charges",
IF(#REF!&lt;=20,"Medium Charges","High Charges"))</f>
        <v>#REF!</v>
      </c>
      <c r="AB2272" t="e">
        <f>IF(AND(#REF!&gt;180, #REF!&gt;200), "Heavy Doemstic User", IF(#REF!&gt;10, "Interntional User", IF(AND(#REF!&lt;180, #REF!&lt;200,#REF!&lt;200), "Light User", "Balanced User")))</f>
        <v>#REF!</v>
      </c>
      <c r="AC2272" t="e">
        <f>IF(#REF! = 0, "No Usage", IF(#REF! &lt;= 20, "Low Usage", IF(#REF! &lt;= 40, "Medium Usgae", "High Usage")))</f>
        <v>#REF!</v>
      </c>
      <c r="AD2272" t="e">
        <f>IF(#REF!&lt;=150,"Low Usage", IF(#REF!&lt;=200,"Medium Usage", IF(#REF!&lt;=250,"High Usage","Very High Usage")))</f>
        <v>#REF!</v>
      </c>
      <c r="AE2272" t="e">
        <f>IF(#REF!&lt;=5,"Low Calls", IF(#REF!&lt;=10, "Medium Calls", "High Calls"))</f>
        <v>#REF!</v>
      </c>
      <c r="AF2272" t="e">
        <f xml:space="preserve">
IF(#REF!&gt;=4,4,0)+
IF(#REF!="yes",3,0)+
IF(#REF!="High Charges",3,0)+
IF(#REF!&gt;250,4,0)+
IF(#REF!="no",1,0)+
IF(#REF!="Heavy Domestic User",2,0)</f>
        <v>#REF!</v>
      </c>
      <c r="AG2272" t="e">
        <f>IF(#REF!&gt;=10,"High Risk", IF(#REF!&gt;=5,"Medium Risk","Low Risk"))</f>
        <v>#REF!</v>
      </c>
      <c r="AH2272" t="e">
        <f>#REF! + #REF! + #REF! + #REF!</f>
        <v>#REF!</v>
      </c>
    </row>
    <row r="2273" spans="1:34" x14ac:dyDescent="0.35">
      <c r="A2273">
        <v>2272</v>
      </c>
      <c r="B2273" t="s">
        <v>66</v>
      </c>
      <c r="C2273">
        <v>25</v>
      </c>
      <c r="D2273" t="s">
        <v>28</v>
      </c>
      <c r="E2273" t="s">
        <v>22</v>
      </c>
      <c r="F2273" t="s">
        <v>22</v>
      </c>
      <c r="G2273">
        <v>0</v>
      </c>
      <c r="H2273">
        <v>242.6</v>
      </c>
      <c r="I2273">
        <v>69</v>
      </c>
      <c r="J2273">
        <v>41.24</v>
      </c>
      <c r="K2273">
        <v>209</v>
      </c>
      <c r="L2273">
        <v>117</v>
      </c>
      <c r="M2273">
        <v>17.77</v>
      </c>
      <c r="N2273">
        <v>219.7</v>
      </c>
      <c r="O2273">
        <v>82</v>
      </c>
      <c r="P2273">
        <v>9.89</v>
      </c>
      <c r="Q2273">
        <v>14.4</v>
      </c>
      <c r="R2273">
        <v>6</v>
      </c>
      <c r="S2273">
        <v>3.89</v>
      </c>
      <c r="T2273">
        <v>2</v>
      </c>
      <c r="U2273" t="s">
        <v>22</v>
      </c>
      <c r="V2273" t="e">
        <f>IF(#REF! = "yes", 1, 0)</f>
        <v>#REF!</v>
      </c>
      <c r="W2273" t="e">
        <f>IF(#REF! &lt;= 1, "0-1 Calls", IF(#REF! &lt;= 3, "2-3 Calls", IF(#REF! &lt;=5, "4-5 Calls", "6+ Calls")))</f>
        <v>#REF!</v>
      </c>
      <c r="X2273" t="e">
        <f>IF(#REF! &lt;= 50, "0-50", IF(#REF! &lt;=100, "51-100", IF(#REF! &lt;= 150, "101-150", "151+")))</f>
        <v>#REF!</v>
      </c>
      <c r="Y2273" t="e">
        <f>IF(#REF! &lt;= 3, "Low Charges", "High Charges")</f>
        <v>#REF!</v>
      </c>
      <c r="Z2273" t="e">
        <f>IF(#REF!&lt;=80,"Low Calls",
IF(#REF!&lt;=120,"Medium Calls","High Calls"))</f>
        <v>#REF!</v>
      </c>
      <c r="AA2273" t="e">
        <f>IF(#REF!&lt;=15,"Low Charges",
IF(#REF!&lt;=20,"Medium Charges","High Charges"))</f>
        <v>#REF!</v>
      </c>
      <c r="AB2273" t="e">
        <f>IF(AND(#REF!&gt;180, #REF!&gt;200), "Heavy Doemstic User", IF(#REF!&gt;10, "Interntional User", IF(AND(#REF!&lt;180, #REF!&lt;200,#REF!&lt;200), "Light User", "Balanced User")))</f>
        <v>#REF!</v>
      </c>
      <c r="AC2273" t="e">
        <f>IF(#REF! = 0, "No Usage", IF(#REF! &lt;= 20, "Low Usage", IF(#REF! &lt;= 40, "Medium Usgae", "High Usage")))</f>
        <v>#REF!</v>
      </c>
      <c r="AD2273" t="e">
        <f>IF(#REF!&lt;=150,"Low Usage", IF(#REF!&lt;=200,"Medium Usage", IF(#REF!&lt;=250,"High Usage","Very High Usage")))</f>
        <v>#REF!</v>
      </c>
      <c r="AE2273" t="e">
        <f>IF(#REF!&lt;=5,"Low Calls", IF(#REF!&lt;=10, "Medium Calls", "High Calls"))</f>
        <v>#REF!</v>
      </c>
      <c r="AF2273" t="e">
        <f xml:space="preserve">
IF(#REF!&gt;=4,4,0)+
IF(#REF!="yes",3,0)+
IF(#REF!="High Charges",3,0)+
IF(#REF!&gt;250,4,0)+
IF(#REF!="no",1,0)+
IF(#REF!="Heavy Domestic User",2,0)</f>
        <v>#REF!</v>
      </c>
      <c r="AG2273" t="e">
        <f>IF(#REF!&gt;=10,"High Risk", IF(#REF!&gt;=5,"Medium Risk","Low Risk"))</f>
        <v>#REF!</v>
      </c>
      <c r="AH2273" t="e">
        <f>#REF! + #REF! + #REF! + #REF!</f>
        <v>#REF!</v>
      </c>
    </row>
    <row r="2274" spans="1:34" x14ac:dyDescent="0.35">
      <c r="A2274">
        <v>2273</v>
      </c>
      <c r="B2274" t="s">
        <v>44</v>
      </c>
      <c r="C2274">
        <v>145</v>
      </c>
      <c r="D2274" t="s">
        <v>25</v>
      </c>
      <c r="E2274" t="s">
        <v>22</v>
      </c>
      <c r="F2274" t="s">
        <v>22</v>
      </c>
      <c r="G2274">
        <v>0</v>
      </c>
      <c r="H2274">
        <v>229.6</v>
      </c>
      <c r="I2274">
        <v>82</v>
      </c>
      <c r="J2274">
        <v>39.03</v>
      </c>
      <c r="K2274">
        <v>138.1</v>
      </c>
      <c r="L2274">
        <v>103</v>
      </c>
      <c r="M2274">
        <v>11.74</v>
      </c>
      <c r="N2274">
        <v>250.8</v>
      </c>
      <c r="O2274">
        <v>109</v>
      </c>
      <c r="P2274">
        <v>11.29</v>
      </c>
      <c r="Q2274">
        <v>3.3</v>
      </c>
      <c r="R2274">
        <v>3</v>
      </c>
      <c r="S2274">
        <v>0.89</v>
      </c>
      <c r="T2274">
        <v>1</v>
      </c>
      <c r="U2274" t="s">
        <v>22</v>
      </c>
      <c r="V2274" t="e">
        <f>IF(#REF! = "yes", 1, 0)</f>
        <v>#REF!</v>
      </c>
      <c r="W2274" t="e">
        <f>IF(#REF! &lt;= 1, "0-1 Calls", IF(#REF! &lt;= 3, "2-3 Calls", IF(#REF! &lt;=5, "4-5 Calls", "6+ Calls")))</f>
        <v>#REF!</v>
      </c>
      <c r="X2274" t="e">
        <f>IF(#REF! &lt;= 50, "0-50", IF(#REF! &lt;=100, "51-100", IF(#REF! &lt;= 150, "101-150", "151+")))</f>
        <v>#REF!</v>
      </c>
      <c r="Y2274" t="e">
        <f>IF(#REF! &lt;= 3, "Low Charges", "High Charges")</f>
        <v>#REF!</v>
      </c>
      <c r="Z2274" t="e">
        <f>IF(#REF!&lt;=80,"Low Calls",
IF(#REF!&lt;=120,"Medium Calls","High Calls"))</f>
        <v>#REF!</v>
      </c>
      <c r="AA2274" t="e">
        <f>IF(#REF!&lt;=15,"Low Charges",
IF(#REF!&lt;=20,"Medium Charges","High Charges"))</f>
        <v>#REF!</v>
      </c>
      <c r="AB2274" t="e">
        <f>IF(AND(#REF!&gt;180, #REF!&gt;200), "Heavy Doemstic User", IF(#REF!&gt;10, "Interntional User", IF(AND(#REF!&lt;180, #REF!&lt;200,#REF!&lt;200), "Light User", "Balanced User")))</f>
        <v>#REF!</v>
      </c>
      <c r="AC2274" t="e">
        <f>IF(#REF! = 0, "No Usage", IF(#REF! &lt;= 20, "Low Usage", IF(#REF! &lt;= 40, "Medium Usgae", "High Usage")))</f>
        <v>#REF!</v>
      </c>
      <c r="AD2274" t="e">
        <f>IF(#REF!&lt;=150,"Low Usage", IF(#REF!&lt;=200,"Medium Usage", IF(#REF!&lt;=250,"High Usage","Very High Usage")))</f>
        <v>#REF!</v>
      </c>
      <c r="AE2274" t="e">
        <f>IF(#REF!&lt;=5,"Low Calls", IF(#REF!&lt;=10, "Medium Calls", "High Calls"))</f>
        <v>#REF!</v>
      </c>
      <c r="AF2274" t="e">
        <f xml:space="preserve">
IF(#REF!&gt;=4,4,0)+
IF(#REF!="yes",3,0)+
IF(#REF!="High Charges",3,0)+
IF(#REF!&gt;250,4,0)+
IF(#REF!="no",1,0)+
IF(#REF!="Heavy Domestic User",2,0)</f>
        <v>#REF!</v>
      </c>
      <c r="AG2274" t="e">
        <f>IF(#REF!&gt;=10,"High Risk", IF(#REF!&gt;=5,"Medium Risk","Low Risk"))</f>
        <v>#REF!</v>
      </c>
      <c r="AH2274" t="e">
        <f>#REF! + #REF! + #REF! + #REF!</f>
        <v>#REF!</v>
      </c>
    </row>
    <row r="2275" spans="1:34" x14ac:dyDescent="0.35">
      <c r="A2275">
        <v>2274</v>
      </c>
      <c r="B2275" t="s">
        <v>51</v>
      </c>
      <c r="C2275">
        <v>122</v>
      </c>
      <c r="D2275" t="s">
        <v>28</v>
      </c>
      <c r="E2275" t="s">
        <v>22</v>
      </c>
      <c r="F2275" t="s">
        <v>23</v>
      </c>
      <c r="G2275">
        <v>28</v>
      </c>
      <c r="H2275">
        <v>166</v>
      </c>
      <c r="I2275">
        <v>62</v>
      </c>
      <c r="J2275">
        <v>28.22</v>
      </c>
      <c r="K2275">
        <v>233.9</v>
      </c>
      <c r="L2275">
        <v>88</v>
      </c>
      <c r="M2275">
        <v>19.88</v>
      </c>
      <c r="N2275">
        <v>170.1</v>
      </c>
      <c r="O2275">
        <v>84</v>
      </c>
      <c r="P2275">
        <v>7.65</v>
      </c>
      <c r="Q2275">
        <v>7.7</v>
      </c>
      <c r="R2275">
        <v>3</v>
      </c>
      <c r="S2275">
        <v>2.08</v>
      </c>
      <c r="T2275">
        <v>2</v>
      </c>
      <c r="U2275" t="s">
        <v>22</v>
      </c>
      <c r="V2275" t="e">
        <f>IF(#REF! = "yes", 1, 0)</f>
        <v>#REF!</v>
      </c>
      <c r="W2275" t="e">
        <f>IF(#REF! &lt;= 1, "0-1 Calls", IF(#REF! &lt;= 3, "2-3 Calls", IF(#REF! &lt;=5, "4-5 Calls", "6+ Calls")))</f>
        <v>#REF!</v>
      </c>
      <c r="X2275" t="e">
        <f>IF(#REF! &lt;= 50, "0-50", IF(#REF! &lt;=100, "51-100", IF(#REF! &lt;= 150, "101-150", "151+")))</f>
        <v>#REF!</v>
      </c>
      <c r="Y2275" t="e">
        <f>IF(#REF! &lt;= 3, "Low Charges", "High Charges")</f>
        <v>#REF!</v>
      </c>
      <c r="Z2275" t="e">
        <f>IF(#REF!&lt;=80,"Low Calls",
IF(#REF!&lt;=120,"Medium Calls","High Calls"))</f>
        <v>#REF!</v>
      </c>
      <c r="AA2275" t="e">
        <f>IF(#REF!&lt;=15,"Low Charges",
IF(#REF!&lt;=20,"Medium Charges","High Charges"))</f>
        <v>#REF!</v>
      </c>
      <c r="AB2275" t="e">
        <f>IF(AND(#REF!&gt;180, #REF!&gt;200), "Heavy Doemstic User", IF(#REF!&gt;10, "Interntional User", IF(AND(#REF!&lt;180, #REF!&lt;200,#REF!&lt;200), "Light User", "Balanced User")))</f>
        <v>#REF!</v>
      </c>
      <c r="AC2275" t="e">
        <f>IF(#REF! = 0, "No Usage", IF(#REF! &lt;= 20, "Low Usage", IF(#REF! &lt;= 40, "Medium Usgae", "High Usage")))</f>
        <v>#REF!</v>
      </c>
      <c r="AD2275" t="e">
        <f>IF(#REF!&lt;=150,"Low Usage", IF(#REF!&lt;=200,"Medium Usage", IF(#REF!&lt;=250,"High Usage","Very High Usage")))</f>
        <v>#REF!</v>
      </c>
      <c r="AE2275" t="e">
        <f>IF(#REF!&lt;=5,"Low Calls", IF(#REF!&lt;=10, "Medium Calls", "High Calls"))</f>
        <v>#REF!</v>
      </c>
      <c r="AF2275" t="e">
        <f xml:space="preserve">
IF(#REF!&gt;=4,4,0)+
IF(#REF!="yes",3,0)+
IF(#REF!="High Charges",3,0)+
IF(#REF!&gt;250,4,0)+
IF(#REF!="no",1,0)+
IF(#REF!="Heavy Domestic User",2,0)</f>
        <v>#REF!</v>
      </c>
      <c r="AG2275" t="e">
        <f>IF(#REF!&gt;=10,"High Risk", IF(#REF!&gt;=5,"Medium Risk","Low Risk"))</f>
        <v>#REF!</v>
      </c>
      <c r="AH2275" t="e">
        <f>#REF! + #REF! + #REF! + #REF!</f>
        <v>#REF!</v>
      </c>
    </row>
    <row r="2276" spans="1:34" x14ac:dyDescent="0.35">
      <c r="A2276">
        <v>2275</v>
      </c>
      <c r="B2276" t="s">
        <v>43</v>
      </c>
      <c r="C2276">
        <v>121</v>
      </c>
      <c r="D2276" t="s">
        <v>21</v>
      </c>
      <c r="E2276" t="s">
        <v>22</v>
      </c>
      <c r="F2276" t="s">
        <v>22</v>
      </c>
      <c r="G2276">
        <v>0</v>
      </c>
      <c r="H2276">
        <v>144.80000000000001</v>
      </c>
      <c r="I2276">
        <v>126</v>
      </c>
      <c r="J2276">
        <v>24.62</v>
      </c>
      <c r="K2276">
        <v>200.6</v>
      </c>
      <c r="L2276">
        <v>82</v>
      </c>
      <c r="M2276">
        <v>17.05</v>
      </c>
      <c r="N2276">
        <v>208.8</v>
      </c>
      <c r="O2276">
        <v>81</v>
      </c>
      <c r="P2276">
        <v>9.4</v>
      </c>
      <c r="Q2276">
        <v>13.3</v>
      </c>
      <c r="R2276">
        <v>9</v>
      </c>
      <c r="S2276">
        <v>3.59</v>
      </c>
      <c r="T2276">
        <v>0</v>
      </c>
      <c r="U2276" t="s">
        <v>23</v>
      </c>
      <c r="V2276" t="e">
        <f>IF(#REF! = "yes", 1, 0)</f>
        <v>#REF!</v>
      </c>
      <c r="W2276" t="e">
        <f>IF(#REF! &lt;= 1, "0-1 Calls", IF(#REF! &lt;= 3, "2-3 Calls", IF(#REF! &lt;=5, "4-5 Calls", "6+ Calls")))</f>
        <v>#REF!</v>
      </c>
      <c r="X2276" t="e">
        <f>IF(#REF! &lt;= 50, "0-50", IF(#REF! &lt;=100, "51-100", IF(#REF! &lt;= 150, "101-150", "151+")))</f>
        <v>#REF!</v>
      </c>
      <c r="Y2276" t="e">
        <f>IF(#REF! &lt;= 3, "Low Charges", "High Charges")</f>
        <v>#REF!</v>
      </c>
      <c r="Z2276" t="e">
        <f>IF(#REF!&lt;=80,"Low Calls",
IF(#REF!&lt;=120,"Medium Calls","High Calls"))</f>
        <v>#REF!</v>
      </c>
      <c r="AA2276" t="e">
        <f>IF(#REF!&lt;=15,"Low Charges",
IF(#REF!&lt;=20,"Medium Charges","High Charges"))</f>
        <v>#REF!</v>
      </c>
      <c r="AB2276" t="e">
        <f>IF(AND(#REF!&gt;180, #REF!&gt;200), "Heavy Doemstic User", IF(#REF!&gt;10, "Interntional User", IF(AND(#REF!&lt;180, #REF!&lt;200,#REF!&lt;200), "Light User", "Balanced User")))</f>
        <v>#REF!</v>
      </c>
      <c r="AC2276" t="e">
        <f>IF(#REF! = 0, "No Usage", IF(#REF! &lt;= 20, "Low Usage", IF(#REF! &lt;= 40, "Medium Usgae", "High Usage")))</f>
        <v>#REF!</v>
      </c>
      <c r="AD2276" t="e">
        <f>IF(#REF!&lt;=150,"Low Usage", IF(#REF!&lt;=200,"Medium Usage", IF(#REF!&lt;=250,"High Usage","Very High Usage")))</f>
        <v>#REF!</v>
      </c>
      <c r="AE2276" t="e">
        <f>IF(#REF!&lt;=5,"Low Calls", IF(#REF!&lt;=10, "Medium Calls", "High Calls"))</f>
        <v>#REF!</v>
      </c>
      <c r="AF2276" t="e">
        <f xml:space="preserve">
IF(#REF!&gt;=4,4,0)+
IF(#REF!="yes",3,0)+
IF(#REF!="High Charges",3,0)+
IF(#REF!&gt;250,4,0)+
IF(#REF!="no",1,0)+
IF(#REF!="Heavy Domestic User",2,0)</f>
        <v>#REF!</v>
      </c>
      <c r="AG2276" t="e">
        <f>IF(#REF!&gt;=10,"High Risk", IF(#REF!&gt;=5,"Medium Risk","Low Risk"))</f>
        <v>#REF!</v>
      </c>
      <c r="AH2276" t="e">
        <f>#REF! + #REF! + #REF! + #REF!</f>
        <v>#REF!</v>
      </c>
    </row>
    <row r="2277" spans="1:34" x14ac:dyDescent="0.35">
      <c r="A2277">
        <v>2276</v>
      </c>
      <c r="B2277" t="s">
        <v>63</v>
      </c>
      <c r="C2277">
        <v>55</v>
      </c>
      <c r="D2277" t="s">
        <v>28</v>
      </c>
      <c r="E2277" t="s">
        <v>23</v>
      </c>
      <c r="F2277" t="s">
        <v>22</v>
      </c>
      <c r="G2277">
        <v>0</v>
      </c>
      <c r="H2277">
        <v>106.1</v>
      </c>
      <c r="I2277">
        <v>77</v>
      </c>
      <c r="J2277">
        <v>18.04</v>
      </c>
      <c r="K2277">
        <v>123.5</v>
      </c>
      <c r="L2277">
        <v>100</v>
      </c>
      <c r="M2277">
        <v>10.5</v>
      </c>
      <c r="N2277">
        <v>96.4</v>
      </c>
      <c r="O2277">
        <v>92</v>
      </c>
      <c r="P2277">
        <v>4.34</v>
      </c>
      <c r="Q2277">
        <v>12.9</v>
      </c>
      <c r="R2277">
        <v>3</v>
      </c>
      <c r="S2277">
        <v>3.48</v>
      </c>
      <c r="T2277">
        <v>0</v>
      </c>
      <c r="U2277" t="s">
        <v>22</v>
      </c>
      <c r="V2277" t="e">
        <f>IF(#REF! = "yes", 1, 0)</f>
        <v>#REF!</v>
      </c>
      <c r="W2277" t="e">
        <f>IF(#REF! &lt;= 1, "0-1 Calls", IF(#REF! &lt;= 3, "2-3 Calls", IF(#REF! &lt;=5, "4-5 Calls", "6+ Calls")))</f>
        <v>#REF!</v>
      </c>
      <c r="X2277" t="e">
        <f>IF(#REF! &lt;= 50, "0-50", IF(#REF! &lt;=100, "51-100", IF(#REF! &lt;= 150, "101-150", "151+")))</f>
        <v>#REF!</v>
      </c>
      <c r="Y2277" t="e">
        <f>IF(#REF! &lt;= 3, "Low Charges", "High Charges")</f>
        <v>#REF!</v>
      </c>
      <c r="Z2277" t="e">
        <f>IF(#REF!&lt;=80,"Low Calls",
IF(#REF!&lt;=120,"Medium Calls","High Calls"))</f>
        <v>#REF!</v>
      </c>
      <c r="AA2277" t="e">
        <f>IF(#REF!&lt;=15,"Low Charges",
IF(#REF!&lt;=20,"Medium Charges","High Charges"))</f>
        <v>#REF!</v>
      </c>
      <c r="AB2277" t="e">
        <f>IF(AND(#REF!&gt;180, #REF!&gt;200), "Heavy Doemstic User", IF(#REF!&gt;10, "Interntional User", IF(AND(#REF!&lt;180, #REF!&lt;200,#REF!&lt;200), "Light User", "Balanced User")))</f>
        <v>#REF!</v>
      </c>
      <c r="AC2277" t="e">
        <f>IF(#REF! = 0, "No Usage", IF(#REF! &lt;= 20, "Low Usage", IF(#REF! &lt;= 40, "Medium Usgae", "High Usage")))</f>
        <v>#REF!</v>
      </c>
      <c r="AD2277" t="e">
        <f>IF(#REF!&lt;=150,"Low Usage", IF(#REF!&lt;=200,"Medium Usage", IF(#REF!&lt;=250,"High Usage","Very High Usage")))</f>
        <v>#REF!</v>
      </c>
      <c r="AE2277" t="e">
        <f>IF(#REF!&lt;=5,"Low Calls", IF(#REF!&lt;=10, "Medium Calls", "High Calls"))</f>
        <v>#REF!</v>
      </c>
      <c r="AF2277" t="e">
        <f xml:space="preserve">
IF(#REF!&gt;=4,4,0)+
IF(#REF!="yes",3,0)+
IF(#REF!="High Charges",3,0)+
IF(#REF!&gt;250,4,0)+
IF(#REF!="no",1,0)+
IF(#REF!="Heavy Domestic User",2,0)</f>
        <v>#REF!</v>
      </c>
      <c r="AG2277" t="e">
        <f>IF(#REF!&gt;=10,"High Risk", IF(#REF!&gt;=5,"Medium Risk","Low Risk"))</f>
        <v>#REF!</v>
      </c>
      <c r="AH2277" t="e">
        <f>#REF! + #REF! + #REF! + #REF!</f>
        <v>#REF!</v>
      </c>
    </row>
    <row r="2278" spans="1:34" x14ac:dyDescent="0.35">
      <c r="A2278">
        <v>2277</v>
      </c>
      <c r="B2278" t="s">
        <v>74</v>
      </c>
      <c r="C2278">
        <v>77</v>
      </c>
      <c r="D2278" t="s">
        <v>21</v>
      </c>
      <c r="E2278" t="s">
        <v>22</v>
      </c>
      <c r="F2278" t="s">
        <v>22</v>
      </c>
      <c r="G2278">
        <v>0</v>
      </c>
      <c r="H2278">
        <v>221.8</v>
      </c>
      <c r="I2278">
        <v>84</v>
      </c>
      <c r="J2278">
        <v>37.71</v>
      </c>
      <c r="K2278">
        <v>166</v>
      </c>
      <c r="L2278">
        <v>125</v>
      </c>
      <c r="M2278">
        <v>14.11</v>
      </c>
      <c r="N2278">
        <v>210.2</v>
      </c>
      <c r="O2278">
        <v>72</v>
      </c>
      <c r="P2278">
        <v>9.4600000000000009</v>
      </c>
      <c r="Q2278">
        <v>13.2</v>
      </c>
      <c r="R2278">
        <v>4</v>
      </c>
      <c r="S2278">
        <v>3.56</v>
      </c>
      <c r="T2278">
        <v>1</v>
      </c>
      <c r="U2278" t="s">
        <v>22</v>
      </c>
      <c r="V2278" t="e">
        <f>IF(#REF! = "yes", 1, 0)</f>
        <v>#REF!</v>
      </c>
      <c r="W2278" t="e">
        <f>IF(#REF! &lt;= 1, "0-1 Calls", IF(#REF! &lt;= 3, "2-3 Calls", IF(#REF! &lt;=5, "4-5 Calls", "6+ Calls")))</f>
        <v>#REF!</v>
      </c>
      <c r="X2278" t="e">
        <f>IF(#REF! &lt;= 50, "0-50", IF(#REF! &lt;=100, "51-100", IF(#REF! &lt;= 150, "101-150", "151+")))</f>
        <v>#REF!</v>
      </c>
      <c r="Y2278" t="e">
        <f>IF(#REF! &lt;= 3, "Low Charges", "High Charges")</f>
        <v>#REF!</v>
      </c>
      <c r="Z2278" t="e">
        <f>IF(#REF!&lt;=80,"Low Calls",
IF(#REF!&lt;=120,"Medium Calls","High Calls"))</f>
        <v>#REF!</v>
      </c>
      <c r="AA2278" t="e">
        <f>IF(#REF!&lt;=15,"Low Charges",
IF(#REF!&lt;=20,"Medium Charges","High Charges"))</f>
        <v>#REF!</v>
      </c>
      <c r="AB2278" t="e">
        <f>IF(AND(#REF!&gt;180, #REF!&gt;200), "Heavy Doemstic User", IF(#REF!&gt;10, "Interntional User", IF(AND(#REF!&lt;180, #REF!&lt;200,#REF!&lt;200), "Light User", "Balanced User")))</f>
        <v>#REF!</v>
      </c>
      <c r="AC2278" t="e">
        <f>IF(#REF! = 0, "No Usage", IF(#REF! &lt;= 20, "Low Usage", IF(#REF! &lt;= 40, "Medium Usgae", "High Usage")))</f>
        <v>#REF!</v>
      </c>
      <c r="AD2278" t="e">
        <f>IF(#REF!&lt;=150,"Low Usage", IF(#REF!&lt;=200,"Medium Usage", IF(#REF!&lt;=250,"High Usage","Very High Usage")))</f>
        <v>#REF!</v>
      </c>
      <c r="AE2278" t="e">
        <f>IF(#REF!&lt;=5,"Low Calls", IF(#REF!&lt;=10, "Medium Calls", "High Calls"))</f>
        <v>#REF!</v>
      </c>
      <c r="AF2278" t="e">
        <f xml:space="preserve">
IF(#REF!&gt;=4,4,0)+
IF(#REF!="yes",3,0)+
IF(#REF!="High Charges",3,0)+
IF(#REF!&gt;250,4,0)+
IF(#REF!="no",1,0)+
IF(#REF!="Heavy Domestic User",2,0)</f>
        <v>#REF!</v>
      </c>
      <c r="AG2278" t="e">
        <f>IF(#REF!&gt;=10,"High Risk", IF(#REF!&gt;=5,"Medium Risk","Low Risk"))</f>
        <v>#REF!</v>
      </c>
      <c r="AH2278" t="e">
        <f>#REF! + #REF! + #REF! + #REF!</f>
        <v>#REF!</v>
      </c>
    </row>
    <row r="2279" spans="1:34" x14ac:dyDescent="0.35">
      <c r="A2279">
        <v>2278</v>
      </c>
      <c r="B2279" t="s">
        <v>52</v>
      </c>
      <c r="C2279">
        <v>12</v>
      </c>
      <c r="D2279" t="s">
        <v>21</v>
      </c>
      <c r="E2279" t="s">
        <v>22</v>
      </c>
      <c r="F2279" t="s">
        <v>22</v>
      </c>
      <c r="G2279">
        <v>0</v>
      </c>
      <c r="H2279">
        <v>204.6</v>
      </c>
      <c r="I2279">
        <v>98</v>
      </c>
      <c r="J2279">
        <v>34.78</v>
      </c>
      <c r="K2279">
        <v>212.5</v>
      </c>
      <c r="L2279">
        <v>90</v>
      </c>
      <c r="M2279">
        <v>18.059999999999999</v>
      </c>
      <c r="N2279">
        <v>182.1</v>
      </c>
      <c r="O2279">
        <v>95</v>
      </c>
      <c r="P2279">
        <v>8.19</v>
      </c>
      <c r="Q2279">
        <v>9.8000000000000007</v>
      </c>
      <c r="R2279">
        <v>7</v>
      </c>
      <c r="S2279">
        <v>2.65</v>
      </c>
      <c r="T2279">
        <v>2</v>
      </c>
      <c r="U2279" t="s">
        <v>22</v>
      </c>
      <c r="V2279" t="e">
        <f>IF(#REF! = "yes", 1, 0)</f>
        <v>#REF!</v>
      </c>
      <c r="W2279" t="e">
        <f>IF(#REF! &lt;= 1, "0-1 Calls", IF(#REF! &lt;= 3, "2-3 Calls", IF(#REF! &lt;=5, "4-5 Calls", "6+ Calls")))</f>
        <v>#REF!</v>
      </c>
      <c r="X2279" t="e">
        <f>IF(#REF! &lt;= 50, "0-50", IF(#REF! &lt;=100, "51-100", IF(#REF! &lt;= 150, "101-150", "151+")))</f>
        <v>#REF!</v>
      </c>
      <c r="Y2279" t="e">
        <f>IF(#REF! &lt;= 3, "Low Charges", "High Charges")</f>
        <v>#REF!</v>
      </c>
      <c r="Z2279" t="e">
        <f>IF(#REF!&lt;=80,"Low Calls",
IF(#REF!&lt;=120,"Medium Calls","High Calls"))</f>
        <v>#REF!</v>
      </c>
      <c r="AA2279" t="e">
        <f>IF(#REF!&lt;=15,"Low Charges",
IF(#REF!&lt;=20,"Medium Charges","High Charges"))</f>
        <v>#REF!</v>
      </c>
      <c r="AB2279" t="e">
        <f>IF(AND(#REF!&gt;180, #REF!&gt;200), "Heavy Doemstic User", IF(#REF!&gt;10, "Interntional User", IF(AND(#REF!&lt;180, #REF!&lt;200,#REF!&lt;200), "Light User", "Balanced User")))</f>
        <v>#REF!</v>
      </c>
      <c r="AC2279" t="e">
        <f>IF(#REF! = 0, "No Usage", IF(#REF! &lt;= 20, "Low Usage", IF(#REF! &lt;= 40, "Medium Usgae", "High Usage")))</f>
        <v>#REF!</v>
      </c>
      <c r="AD2279" t="e">
        <f>IF(#REF!&lt;=150,"Low Usage", IF(#REF!&lt;=200,"Medium Usage", IF(#REF!&lt;=250,"High Usage","Very High Usage")))</f>
        <v>#REF!</v>
      </c>
      <c r="AE2279" t="e">
        <f>IF(#REF!&lt;=5,"Low Calls", IF(#REF!&lt;=10, "Medium Calls", "High Calls"))</f>
        <v>#REF!</v>
      </c>
      <c r="AF2279" t="e">
        <f xml:space="preserve">
IF(#REF!&gt;=4,4,0)+
IF(#REF!="yes",3,0)+
IF(#REF!="High Charges",3,0)+
IF(#REF!&gt;250,4,0)+
IF(#REF!="no",1,0)+
IF(#REF!="Heavy Domestic User",2,0)</f>
        <v>#REF!</v>
      </c>
      <c r="AG2279" t="e">
        <f>IF(#REF!&gt;=10,"High Risk", IF(#REF!&gt;=5,"Medium Risk","Low Risk"))</f>
        <v>#REF!</v>
      </c>
      <c r="AH2279" t="e">
        <f>#REF! + #REF! + #REF! + #REF!</f>
        <v>#REF!</v>
      </c>
    </row>
    <row r="2280" spans="1:34" x14ac:dyDescent="0.35">
      <c r="A2280">
        <v>2279</v>
      </c>
      <c r="B2280" t="s">
        <v>62</v>
      </c>
      <c r="C2280">
        <v>92</v>
      </c>
      <c r="D2280" t="s">
        <v>21</v>
      </c>
      <c r="E2280" t="s">
        <v>22</v>
      </c>
      <c r="F2280" t="s">
        <v>23</v>
      </c>
      <c r="G2280">
        <v>44</v>
      </c>
      <c r="H2280">
        <v>152</v>
      </c>
      <c r="I2280">
        <v>95</v>
      </c>
      <c r="J2280">
        <v>25.84</v>
      </c>
      <c r="K2280">
        <v>274.89999999999998</v>
      </c>
      <c r="L2280">
        <v>73</v>
      </c>
      <c r="M2280">
        <v>23.37</v>
      </c>
      <c r="N2280">
        <v>162.4</v>
      </c>
      <c r="O2280">
        <v>121</v>
      </c>
      <c r="P2280">
        <v>7.31</v>
      </c>
      <c r="Q2280">
        <v>10</v>
      </c>
      <c r="R2280">
        <v>1</v>
      </c>
      <c r="S2280">
        <v>2.7</v>
      </c>
      <c r="T2280">
        <v>2</v>
      </c>
      <c r="U2280" t="s">
        <v>22</v>
      </c>
      <c r="V2280" t="e">
        <f>IF(#REF! = "yes", 1, 0)</f>
        <v>#REF!</v>
      </c>
      <c r="W2280" t="e">
        <f>IF(#REF! &lt;= 1, "0-1 Calls", IF(#REF! &lt;= 3, "2-3 Calls", IF(#REF! &lt;=5, "4-5 Calls", "6+ Calls")))</f>
        <v>#REF!</v>
      </c>
      <c r="X2280" t="e">
        <f>IF(#REF! &lt;= 50, "0-50", IF(#REF! &lt;=100, "51-100", IF(#REF! &lt;= 150, "101-150", "151+")))</f>
        <v>#REF!</v>
      </c>
      <c r="Y2280" t="e">
        <f>IF(#REF! &lt;= 3, "Low Charges", "High Charges")</f>
        <v>#REF!</v>
      </c>
      <c r="Z2280" t="e">
        <f>IF(#REF!&lt;=80,"Low Calls",
IF(#REF!&lt;=120,"Medium Calls","High Calls"))</f>
        <v>#REF!</v>
      </c>
      <c r="AA2280" t="e">
        <f>IF(#REF!&lt;=15,"Low Charges",
IF(#REF!&lt;=20,"Medium Charges","High Charges"))</f>
        <v>#REF!</v>
      </c>
      <c r="AB2280" t="e">
        <f>IF(AND(#REF!&gt;180, #REF!&gt;200), "Heavy Doemstic User", IF(#REF!&gt;10, "Interntional User", IF(AND(#REF!&lt;180, #REF!&lt;200,#REF!&lt;200), "Light User", "Balanced User")))</f>
        <v>#REF!</v>
      </c>
      <c r="AC2280" t="e">
        <f>IF(#REF! = 0, "No Usage", IF(#REF! &lt;= 20, "Low Usage", IF(#REF! &lt;= 40, "Medium Usgae", "High Usage")))</f>
        <v>#REF!</v>
      </c>
      <c r="AD2280" t="e">
        <f>IF(#REF!&lt;=150,"Low Usage", IF(#REF!&lt;=200,"Medium Usage", IF(#REF!&lt;=250,"High Usage","Very High Usage")))</f>
        <v>#REF!</v>
      </c>
      <c r="AE2280" t="e">
        <f>IF(#REF!&lt;=5,"Low Calls", IF(#REF!&lt;=10, "Medium Calls", "High Calls"))</f>
        <v>#REF!</v>
      </c>
      <c r="AF2280" t="e">
        <f xml:space="preserve">
IF(#REF!&gt;=4,4,0)+
IF(#REF!="yes",3,0)+
IF(#REF!="High Charges",3,0)+
IF(#REF!&gt;250,4,0)+
IF(#REF!="no",1,0)+
IF(#REF!="Heavy Domestic User",2,0)</f>
        <v>#REF!</v>
      </c>
      <c r="AG2280" t="e">
        <f>IF(#REF!&gt;=10,"High Risk", IF(#REF!&gt;=5,"Medium Risk","Low Risk"))</f>
        <v>#REF!</v>
      </c>
      <c r="AH2280" t="e">
        <f>#REF! + #REF! + #REF! + #REF!</f>
        <v>#REF!</v>
      </c>
    </row>
    <row r="2281" spans="1:34" x14ac:dyDescent="0.35">
      <c r="A2281">
        <v>2280</v>
      </c>
      <c r="B2281" t="s">
        <v>60</v>
      </c>
      <c r="C2281">
        <v>125</v>
      </c>
      <c r="D2281" t="s">
        <v>21</v>
      </c>
      <c r="E2281" t="s">
        <v>23</v>
      </c>
      <c r="F2281" t="s">
        <v>23</v>
      </c>
      <c r="G2281">
        <v>29</v>
      </c>
      <c r="H2281">
        <v>260.8</v>
      </c>
      <c r="I2281">
        <v>81</v>
      </c>
      <c r="J2281">
        <v>44.34</v>
      </c>
      <c r="K2281">
        <v>163.69999999999999</v>
      </c>
      <c r="L2281">
        <v>112</v>
      </c>
      <c r="M2281">
        <v>13.91</v>
      </c>
      <c r="N2281">
        <v>271.7</v>
      </c>
      <c r="O2281">
        <v>117</v>
      </c>
      <c r="P2281">
        <v>12.23</v>
      </c>
      <c r="Q2281">
        <v>17</v>
      </c>
      <c r="R2281">
        <v>6</v>
      </c>
      <c r="S2281">
        <v>4.59</v>
      </c>
      <c r="T2281">
        <v>1</v>
      </c>
      <c r="U2281" t="s">
        <v>23</v>
      </c>
      <c r="V2281" t="e">
        <f>IF(#REF! = "yes", 1, 0)</f>
        <v>#REF!</v>
      </c>
      <c r="W2281" t="e">
        <f>IF(#REF! &lt;= 1, "0-1 Calls", IF(#REF! &lt;= 3, "2-3 Calls", IF(#REF! &lt;=5, "4-5 Calls", "6+ Calls")))</f>
        <v>#REF!</v>
      </c>
      <c r="X2281" t="e">
        <f>IF(#REF! &lt;= 50, "0-50", IF(#REF! &lt;=100, "51-100", IF(#REF! &lt;= 150, "101-150", "151+")))</f>
        <v>#REF!</v>
      </c>
      <c r="Y2281" t="e">
        <f>IF(#REF! &lt;= 3, "Low Charges", "High Charges")</f>
        <v>#REF!</v>
      </c>
      <c r="Z2281" t="e">
        <f>IF(#REF!&lt;=80,"Low Calls",
IF(#REF!&lt;=120,"Medium Calls","High Calls"))</f>
        <v>#REF!</v>
      </c>
      <c r="AA2281" t="e">
        <f>IF(#REF!&lt;=15,"Low Charges",
IF(#REF!&lt;=20,"Medium Charges","High Charges"))</f>
        <v>#REF!</v>
      </c>
      <c r="AB2281" t="e">
        <f>IF(AND(#REF!&gt;180, #REF!&gt;200), "Heavy Doemstic User", IF(#REF!&gt;10, "Interntional User", IF(AND(#REF!&lt;180, #REF!&lt;200,#REF!&lt;200), "Light User", "Balanced User")))</f>
        <v>#REF!</v>
      </c>
      <c r="AC2281" t="e">
        <f>IF(#REF! = 0, "No Usage", IF(#REF! &lt;= 20, "Low Usage", IF(#REF! &lt;= 40, "Medium Usgae", "High Usage")))</f>
        <v>#REF!</v>
      </c>
      <c r="AD2281" t="e">
        <f>IF(#REF!&lt;=150,"Low Usage", IF(#REF!&lt;=200,"Medium Usage", IF(#REF!&lt;=250,"High Usage","Very High Usage")))</f>
        <v>#REF!</v>
      </c>
      <c r="AE2281" t="e">
        <f>IF(#REF!&lt;=5,"Low Calls", IF(#REF!&lt;=10, "Medium Calls", "High Calls"))</f>
        <v>#REF!</v>
      </c>
      <c r="AF2281" t="e">
        <f xml:space="preserve">
IF(#REF!&gt;=4,4,0)+
IF(#REF!="yes",3,0)+
IF(#REF!="High Charges",3,0)+
IF(#REF!&gt;250,4,0)+
IF(#REF!="no",1,0)+
IF(#REF!="Heavy Domestic User",2,0)</f>
        <v>#REF!</v>
      </c>
      <c r="AG2281" t="e">
        <f>IF(#REF!&gt;=10,"High Risk", IF(#REF!&gt;=5,"Medium Risk","Low Risk"))</f>
        <v>#REF!</v>
      </c>
      <c r="AH2281" t="e">
        <f>#REF! + #REF! + #REF! + #REF!</f>
        <v>#REF!</v>
      </c>
    </row>
    <row r="2282" spans="1:34" x14ac:dyDescent="0.35">
      <c r="A2282">
        <v>2281</v>
      </c>
      <c r="B2282" t="s">
        <v>70</v>
      </c>
      <c r="C2282">
        <v>79</v>
      </c>
      <c r="D2282" t="s">
        <v>21</v>
      </c>
      <c r="E2282" t="s">
        <v>22</v>
      </c>
      <c r="F2282" t="s">
        <v>22</v>
      </c>
      <c r="G2282">
        <v>0</v>
      </c>
      <c r="H2282">
        <v>177.9</v>
      </c>
      <c r="I2282">
        <v>83</v>
      </c>
      <c r="J2282">
        <v>30.24</v>
      </c>
      <c r="K2282">
        <v>167.3</v>
      </c>
      <c r="L2282">
        <v>84</v>
      </c>
      <c r="M2282">
        <v>14.22</v>
      </c>
      <c r="N2282">
        <v>223.7</v>
      </c>
      <c r="O2282">
        <v>142</v>
      </c>
      <c r="P2282">
        <v>10.07</v>
      </c>
      <c r="Q2282">
        <v>15.2</v>
      </c>
      <c r="R2282">
        <v>8</v>
      </c>
      <c r="S2282">
        <v>4.0999999999999996</v>
      </c>
      <c r="T2282">
        <v>0</v>
      </c>
      <c r="U2282" t="s">
        <v>22</v>
      </c>
      <c r="V2282" t="e">
        <f>IF(#REF! = "yes", 1, 0)</f>
        <v>#REF!</v>
      </c>
      <c r="W2282" t="e">
        <f>IF(#REF! &lt;= 1, "0-1 Calls", IF(#REF! &lt;= 3, "2-3 Calls", IF(#REF! &lt;=5, "4-5 Calls", "6+ Calls")))</f>
        <v>#REF!</v>
      </c>
      <c r="X2282" t="e">
        <f>IF(#REF! &lt;= 50, "0-50", IF(#REF! &lt;=100, "51-100", IF(#REF! &lt;= 150, "101-150", "151+")))</f>
        <v>#REF!</v>
      </c>
      <c r="Y2282" t="e">
        <f>IF(#REF! &lt;= 3, "Low Charges", "High Charges")</f>
        <v>#REF!</v>
      </c>
      <c r="Z2282" t="e">
        <f>IF(#REF!&lt;=80,"Low Calls",
IF(#REF!&lt;=120,"Medium Calls","High Calls"))</f>
        <v>#REF!</v>
      </c>
      <c r="AA2282" t="e">
        <f>IF(#REF!&lt;=15,"Low Charges",
IF(#REF!&lt;=20,"Medium Charges","High Charges"))</f>
        <v>#REF!</v>
      </c>
      <c r="AB2282" t="e">
        <f>IF(AND(#REF!&gt;180, #REF!&gt;200), "Heavy Doemstic User", IF(#REF!&gt;10, "Interntional User", IF(AND(#REF!&lt;180, #REF!&lt;200,#REF!&lt;200), "Light User", "Balanced User")))</f>
        <v>#REF!</v>
      </c>
      <c r="AC2282" t="e">
        <f>IF(#REF! = 0, "No Usage", IF(#REF! &lt;= 20, "Low Usage", IF(#REF! &lt;= 40, "Medium Usgae", "High Usage")))</f>
        <v>#REF!</v>
      </c>
      <c r="AD2282" t="e">
        <f>IF(#REF!&lt;=150,"Low Usage", IF(#REF!&lt;=200,"Medium Usage", IF(#REF!&lt;=250,"High Usage","Very High Usage")))</f>
        <v>#REF!</v>
      </c>
      <c r="AE2282" t="e">
        <f>IF(#REF!&lt;=5,"Low Calls", IF(#REF!&lt;=10, "Medium Calls", "High Calls"))</f>
        <v>#REF!</v>
      </c>
      <c r="AF2282" t="e">
        <f xml:space="preserve">
IF(#REF!&gt;=4,4,0)+
IF(#REF!="yes",3,0)+
IF(#REF!="High Charges",3,0)+
IF(#REF!&gt;250,4,0)+
IF(#REF!="no",1,0)+
IF(#REF!="Heavy Domestic User",2,0)</f>
        <v>#REF!</v>
      </c>
      <c r="AG2282" t="e">
        <f>IF(#REF!&gt;=10,"High Risk", IF(#REF!&gt;=5,"Medium Risk","Low Risk"))</f>
        <v>#REF!</v>
      </c>
      <c r="AH2282" t="e">
        <f>#REF! + #REF! + #REF! + #REF!</f>
        <v>#REF!</v>
      </c>
    </row>
    <row r="2283" spans="1:34" x14ac:dyDescent="0.35">
      <c r="A2283">
        <v>2282</v>
      </c>
      <c r="B2283" t="s">
        <v>33</v>
      </c>
      <c r="C2283">
        <v>36</v>
      </c>
      <c r="D2283" t="s">
        <v>21</v>
      </c>
      <c r="E2283" t="s">
        <v>22</v>
      </c>
      <c r="F2283" t="s">
        <v>22</v>
      </c>
      <c r="G2283">
        <v>0</v>
      </c>
      <c r="H2283">
        <v>235.1</v>
      </c>
      <c r="I2283">
        <v>97</v>
      </c>
      <c r="J2283">
        <v>39.97</v>
      </c>
      <c r="K2283">
        <v>196.8</v>
      </c>
      <c r="L2283">
        <v>104</v>
      </c>
      <c r="M2283">
        <v>16.73</v>
      </c>
      <c r="N2283">
        <v>259.7</v>
      </c>
      <c r="O2283">
        <v>110</v>
      </c>
      <c r="P2283">
        <v>11.69</v>
      </c>
      <c r="Q2283">
        <v>7</v>
      </c>
      <c r="R2283">
        <v>7</v>
      </c>
      <c r="S2283">
        <v>1.89</v>
      </c>
      <c r="T2283">
        <v>3</v>
      </c>
      <c r="U2283" t="s">
        <v>22</v>
      </c>
      <c r="V2283" t="e">
        <f>IF(#REF! = "yes", 1, 0)</f>
        <v>#REF!</v>
      </c>
      <c r="W2283" t="e">
        <f>IF(#REF! &lt;= 1, "0-1 Calls", IF(#REF! &lt;= 3, "2-3 Calls", IF(#REF! &lt;=5, "4-5 Calls", "6+ Calls")))</f>
        <v>#REF!</v>
      </c>
      <c r="X2283" t="e">
        <f>IF(#REF! &lt;= 50, "0-50", IF(#REF! &lt;=100, "51-100", IF(#REF! &lt;= 150, "101-150", "151+")))</f>
        <v>#REF!</v>
      </c>
      <c r="Y2283" t="e">
        <f>IF(#REF! &lt;= 3, "Low Charges", "High Charges")</f>
        <v>#REF!</v>
      </c>
      <c r="Z2283" t="e">
        <f>IF(#REF!&lt;=80,"Low Calls",
IF(#REF!&lt;=120,"Medium Calls","High Calls"))</f>
        <v>#REF!</v>
      </c>
      <c r="AA2283" t="e">
        <f>IF(#REF!&lt;=15,"Low Charges",
IF(#REF!&lt;=20,"Medium Charges","High Charges"))</f>
        <v>#REF!</v>
      </c>
      <c r="AB2283" t="e">
        <f>IF(AND(#REF!&gt;180, #REF!&gt;200), "Heavy Doemstic User", IF(#REF!&gt;10, "Interntional User", IF(AND(#REF!&lt;180, #REF!&lt;200,#REF!&lt;200), "Light User", "Balanced User")))</f>
        <v>#REF!</v>
      </c>
      <c r="AC2283" t="e">
        <f>IF(#REF! = 0, "No Usage", IF(#REF! &lt;= 20, "Low Usage", IF(#REF! &lt;= 40, "Medium Usgae", "High Usage")))</f>
        <v>#REF!</v>
      </c>
      <c r="AD2283" t="e">
        <f>IF(#REF!&lt;=150,"Low Usage", IF(#REF!&lt;=200,"Medium Usage", IF(#REF!&lt;=250,"High Usage","Very High Usage")))</f>
        <v>#REF!</v>
      </c>
      <c r="AE2283" t="e">
        <f>IF(#REF!&lt;=5,"Low Calls", IF(#REF!&lt;=10, "Medium Calls", "High Calls"))</f>
        <v>#REF!</v>
      </c>
      <c r="AF2283" t="e">
        <f xml:space="preserve">
IF(#REF!&gt;=4,4,0)+
IF(#REF!="yes",3,0)+
IF(#REF!="High Charges",3,0)+
IF(#REF!&gt;250,4,0)+
IF(#REF!="no",1,0)+
IF(#REF!="Heavy Domestic User",2,0)</f>
        <v>#REF!</v>
      </c>
      <c r="AG2283" t="e">
        <f>IF(#REF!&gt;=10,"High Risk", IF(#REF!&gt;=5,"Medium Risk","Low Risk"))</f>
        <v>#REF!</v>
      </c>
      <c r="AH2283" t="e">
        <f>#REF! + #REF! + #REF! + #REF!</f>
        <v>#REF!</v>
      </c>
    </row>
    <row r="2284" spans="1:34" x14ac:dyDescent="0.35">
      <c r="A2284">
        <v>2283</v>
      </c>
      <c r="B2284" t="s">
        <v>63</v>
      </c>
      <c r="C2284">
        <v>102</v>
      </c>
      <c r="D2284" t="s">
        <v>21</v>
      </c>
      <c r="E2284" t="s">
        <v>22</v>
      </c>
      <c r="F2284" t="s">
        <v>22</v>
      </c>
      <c r="G2284">
        <v>0</v>
      </c>
      <c r="H2284">
        <v>186.8</v>
      </c>
      <c r="I2284">
        <v>92</v>
      </c>
      <c r="J2284">
        <v>31.76</v>
      </c>
      <c r="K2284">
        <v>173.7</v>
      </c>
      <c r="L2284">
        <v>123</v>
      </c>
      <c r="M2284">
        <v>14.76</v>
      </c>
      <c r="N2284">
        <v>250.9</v>
      </c>
      <c r="O2284">
        <v>131</v>
      </c>
      <c r="P2284">
        <v>11.29</v>
      </c>
      <c r="Q2284">
        <v>9.6999999999999993</v>
      </c>
      <c r="R2284">
        <v>4</v>
      </c>
      <c r="S2284">
        <v>2.62</v>
      </c>
      <c r="T2284">
        <v>2</v>
      </c>
      <c r="U2284" t="s">
        <v>22</v>
      </c>
      <c r="V2284" t="e">
        <f>IF(#REF! = "yes", 1, 0)</f>
        <v>#REF!</v>
      </c>
      <c r="W2284" t="e">
        <f>IF(#REF! &lt;= 1, "0-1 Calls", IF(#REF! &lt;= 3, "2-3 Calls", IF(#REF! &lt;=5, "4-5 Calls", "6+ Calls")))</f>
        <v>#REF!</v>
      </c>
      <c r="X2284" t="e">
        <f>IF(#REF! &lt;= 50, "0-50", IF(#REF! &lt;=100, "51-100", IF(#REF! &lt;= 150, "101-150", "151+")))</f>
        <v>#REF!</v>
      </c>
      <c r="Y2284" t="e">
        <f>IF(#REF! &lt;= 3, "Low Charges", "High Charges")</f>
        <v>#REF!</v>
      </c>
      <c r="Z2284" t="e">
        <f>IF(#REF!&lt;=80,"Low Calls",
IF(#REF!&lt;=120,"Medium Calls","High Calls"))</f>
        <v>#REF!</v>
      </c>
      <c r="AA2284" t="e">
        <f>IF(#REF!&lt;=15,"Low Charges",
IF(#REF!&lt;=20,"Medium Charges","High Charges"))</f>
        <v>#REF!</v>
      </c>
      <c r="AB2284" t="e">
        <f>IF(AND(#REF!&gt;180, #REF!&gt;200), "Heavy Doemstic User", IF(#REF!&gt;10, "Interntional User", IF(AND(#REF!&lt;180, #REF!&lt;200,#REF!&lt;200), "Light User", "Balanced User")))</f>
        <v>#REF!</v>
      </c>
      <c r="AC2284" t="e">
        <f>IF(#REF! = 0, "No Usage", IF(#REF! &lt;= 20, "Low Usage", IF(#REF! &lt;= 40, "Medium Usgae", "High Usage")))</f>
        <v>#REF!</v>
      </c>
      <c r="AD2284" t="e">
        <f>IF(#REF!&lt;=150,"Low Usage", IF(#REF!&lt;=200,"Medium Usage", IF(#REF!&lt;=250,"High Usage","Very High Usage")))</f>
        <v>#REF!</v>
      </c>
      <c r="AE2284" t="e">
        <f>IF(#REF!&lt;=5,"Low Calls", IF(#REF!&lt;=10, "Medium Calls", "High Calls"))</f>
        <v>#REF!</v>
      </c>
      <c r="AF2284" t="e">
        <f xml:space="preserve">
IF(#REF!&gt;=4,4,0)+
IF(#REF!="yes",3,0)+
IF(#REF!="High Charges",3,0)+
IF(#REF!&gt;250,4,0)+
IF(#REF!="no",1,0)+
IF(#REF!="Heavy Domestic User",2,0)</f>
        <v>#REF!</v>
      </c>
      <c r="AG2284" t="e">
        <f>IF(#REF!&gt;=10,"High Risk", IF(#REF!&gt;=5,"Medium Risk","Low Risk"))</f>
        <v>#REF!</v>
      </c>
      <c r="AH2284" t="e">
        <f>#REF! + #REF! + #REF! + #REF!</f>
        <v>#REF!</v>
      </c>
    </row>
    <row r="2285" spans="1:34" x14ac:dyDescent="0.35">
      <c r="A2285">
        <v>2284</v>
      </c>
      <c r="B2285" t="s">
        <v>72</v>
      </c>
      <c r="C2285">
        <v>138</v>
      </c>
      <c r="D2285" t="s">
        <v>25</v>
      </c>
      <c r="E2285" t="s">
        <v>23</v>
      </c>
      <c r="F2285" t="s">
        <v>22</v>
      </c>
      <c r="G2285">
        <v>0</v>
      </c>
      <c r="H2285">
        <v>268.39999999999998</v>
      </c>
      <c r="I2285">
        <v>81</v>
      </c>
      <c r="J2285">
        <v>45.63</v>
      </c>
      <c r="K2285">
        <v>174.4</v>
      </c>
      <c r="L2285">
        <v>115</v>
      </c>
      <c r="M2285">
        <v>14.82</v>
      </c>
      <c r="N2285">
        <v>193.5</v>
      </c>
      <c r="O2285">
        <v>96</v>
      </c>
      <c r="P2285">
        <v>8.7100000000000009</v>
      </c>
      <c r="Q2285">
        <v>11.6</v>
      </c>
      <c r="R2285">
        <v>4</v>
      </c>
      <c r="S2285">
        <v>3.13</v>
      </c>
      <c r="T2285">
        <v>1</v>
      </c>
      <c r="U2285" t="s">
        <v>22</v>
      </c>
      <c r="V2285" t="e">
        <f>IF(#REF! = "yes", 1, 0)</f>
        <v>#REF!</v>
      </c>
      <c r="W2285" t="e">
        <f>IF(#REF! &lt;= 1, "0-1 Calls", IF(#REF! &lt;= 3, "2-3 Calls", IF(#REF! &lt;=5, "4-5 Calls", "6+ Calls")))</f>
        <v>#REF!</v>
      </c>
      <c r="X2285" t="e">
        <f>IF(#REF! &lt;= 50, "0-50", IF(#REF! &lt;=100, "51-100", IF(#REF! &lt;= 150, "101-150", "151+")))</f>
        <v>#REF!</v>
      </c>
      <c r="Y2285" t="e">
        <f>IF(#REF! &lt;= 3, "Low Charges", "High Charges")</f>
        <v>#REF!</v>
      </c>
      <c r="Z2285" t="e">
        <f>IF(#REF!&lt;=80,"Low Calls",
IF(#REF!&lt;=120,"Medium Calls","High Calls"))</f>
        <v>#REF!</v>
      </c>
      <c r="AA2285" t="e">
        <f>IF(#REF!&lt;=15,"Low Charges",
IF(#REF!&lt;=20,"Medium Charges","High Charges"))</f>
        <v>#REF!</v>
      </c>
      <c r="AB2285" t="e">
        <f>IF(AND(#REF!&gt;180, #REF!&gt;200), "Heavy Doemstic User", IF(#REF!&gt;10, "Interntional User", IF(AND(#REF!&lt;180, #REF!&lt;200,#REF!&lt;200), "Light User", "Balanced User")))</f>
        <v>#REF!</v>
      </c>
      <c r="AC2285" t="e">
        <f>IF(#REF! = 0, "No Usage", IF(#REF! &lt;= 20, "Low Usage", IF(#REF! &lt;= 40, "Medium Usgae", "High Usage")))</f>
        <v>#REF!</v>
      </c>
      <c r="AD2285" t="e">
        <f>IF(#REF!&lt;=150,"Low Usage", IF(#REF!&lt;=200,"Medium Usage", IF(#REF!&lt;=250,"High Usage","Very High Usage")))</f>
        <v>#REF!</v>
      </c>
      <c r="AE2285" t="e">
        <f>IF(#REF!&lt;=5,"Low Calls", IF(#REF!&lt;=10, "Medium Calls", "High Calls"))</f>
        <v>#REF!</v>
      </c>
      <c r="AF2285" t="e">
        <f xml:space="preserve">
IF(#REF!&gt;=4,4,0)+
IF(#REF!="yes",3,0)+
IF(#REF!="High Charges",3,0)+
IF(#REF!&gt;250,4,0)+
IF(#REF!="no",1,0)+
IF(#REF!="Heavy Domestic User",2,0)</f>
        <v>#REF!</v>
      </c>
      <c r="AG2285" t="e">
        <f>IF(#REF!&gt;=10,"High Risk", IF(#REF!&gt;=5,"Medium Risk","Low Risk"))</f>
        <v>#REF!</v>
      </c>
      <c r="AH2285" t="e">
        <f>#REF! + #REF! + #REF! + #REF!</f>
        <v>#REF!</v>
      </c>
    </row>
    <row r="2286" spans="1:34" x14ac:dyDescent="0.35">
      <c r="A2286">
        <v>2285</v>
      </c>
      <c r="B2286" t="s">
        <v>55</v>
      </c>
      <c r="C2286">
        <v>164</v>
      </c>
      <c r="D2286" t="s">
        <v>28</v>
      </c>
      <c r="E2286" t="s">
        <v>22</v>
      </c>
      <c r="F2286" t="s">
        <v>22</v>
      </c>
      <c r="G2286">
        <v>0</v>
      </c>
      <c r="H2286">
        <v>192.1</v>
      </c>
      <c r="I2286">
        <v>95</v>
      </c>
      <c r="J2286">
        <v>32.659999999999997</v>
      </c>
      <c r="K2286">
        <v>249.8</v>
      </c>
      <c r="L2286">
        <v>94</v>
      </c>
      <c r="M2286">
        <v>21.23</v>
      </c>
      <c r="N2286">
        <v>132.6</v>
      </c>
      <c r="O2286">
        <v>100</v>
      </c>
      <c r="P2286">
        <v>5.97</v>
      </c>
      <c r="Q2286">
        <v>7.3</v>
      </c>
      <c r="R2286">
        <v>3</v>
      </c>
      <c r="S2286">
        <v>1.97</v>
      </c>
      <c r="T2286">
        <v>3</v>
      </c>
      <c r="U2286" t="s">
        <v>22</v>
      </c>
      <c r="V2286" t="e">
        <f>IF(#REF! = "yes", 1, 0)</f>
        <v>#REF!</v>
      </c>
      <c r="W2286" t="e">
        <f>IF(#REF! &lt;= 1, "0-1 Calls", IF(#REF! &lt;= 3, "2-3 Calls", IF(#REF! &lt;=5, "4-5 Calls", "6+ Calls")))</f>
        <v>#REF!</v>
      </c>
      <c r="X2286" t="e">
        <f>IF(#REF! &lt;= 50, "0-50", IF(#REF! &lt;=100, "51-100", IF(#REF! &lt;= 150, "101-150", "151+")))</f>
        <v>#REF!</v>
      </c>
      <c r="Y2286" t="e">
        <f>IF(#REF! &lt;= 3, "Low Charges", "High Charges")</f>
        <v>#REF!</v>
      </c>
      <c r="Z2286" t="e">
        <f>IF(#REF!&lt;=80,"Low Calls",
IF(#REF!&lt;=120,"Medium Calls","High Calls"))</f>
        <v>#REF!</v>
      </c>
      <c r="AA2286" t="e">
        <f>IF(#REF!&lt;=15,"Low Charges",
IF(#REF!&lt;=20,"Medium Charges","High Charges"))</f>
        <v>#REF!</v>
      </c>
      <c r="AB2286" t="e">
        <f>IF(AND(#REF!&gt;180, #REF!&gt;200), "Heavy Doemstic User", IF(#REF!&gt;10, "Interntional User", IF(AND(#REF!&lt;180, #REF!&lt;200,#REF!&lt;200), "Light User", "Balanced User")))</f>
        <v>#REF!</v>
      </c>
      <c r="AC2286" t="e">
        <f>IF(#REF! = 0, "No Usage", IF(#REF! &lt;= 20, "Low Usage", IF(#REF! &lt;= 40, "Medium Usgae", "High Usage")))</f>
        <v>#REF!</v>
      </c>
      <c r="AD2286" t="e">
        <f>IF(#REF!&lt;=150,"Low Usage", IF(#REF!&lt;=200,"Medium Usage", IF(#REF!&lt;=250,"High Usage","Very High Usage")))</f>
        <v>#REF!</v>
      </c>
      <c r="AE2286" t="e">
        <f>IF(#REF!&lt;=5,"Low Calls", IF(#REF!&lt;=10, "Medium Calls", "High Calls"))</f>
        <v>#REF!</v>
      </c>
      <c r="AF2286" t="e">
        <f xml:space="preserve">
IF(#REF!&gt;=4,4,0)+
IF(#REF!="yes",3,0)+
IF(#REF!="High Charges",3,0)+
IF(#REF!&gt;250,4,0)+
IF(#REF!="no",1,0)+
IF(#REF!="Heavy Domestic User",2,0)</f>
        <v>#REF!</v>
      </c>
      <c r="AG2286" t="e">
        <f>IF(#REF!&gt;=10,"High Risk", IF(#REF!&gt;=5,"Medium Risk","Low Risk"))</f>
        <v>#REF!</v>
      </c>
      <c r="AH2286" t="e">
        <f>#REF! + #REF! + #REF! + #REF!</f>
        <v>#REF!</v>
      </c>
    </row>
    <row r="2287" spans="1:34" x14ac:dyDescent="0.35">
      <c r="A2287">
        <v>2286</v>
      </c>
      <c r="B2287" t="s">
        <v>60</v>
      </c>
      <c r="C2287">
        <v>125</v>
      </c>
      <c r="D2287" t="s">
        <v>21</v>
      </c>
      <c r="E2287" t="s">
        <v>22</v>
      </c>
      <c r="F2287" t="s">
        <v>22</v>
      </c>
      <c r="G2287">
        <v>0</v>
      </c>
      <c r="H2287">
        <v>240.7</v>
      </c>
      <c r="I2287">
        <v>82</v>
      </c>
      <c r="J2287">
        <v>40.92</v>
      </c>
      <c r="K2287">
        <v>269.39999999999998</v>
      </c>
      <c r="L2287">
        <v>85</v>
      </c>
      <c r="M2287">
        <v>22.9</v>
      </c>
      <c r="N2287">
        <v>187.1</v>
      </c>
      <c r="O2287">
        <v>74</v>
      </c>
      <c r="P2287">
        <v>8.42</v>
      </c>
      <c r="Q2287">
        <v>10.1</v>
      </c>
      <c r="R2287">
        <v>3</v>
      </c>
      <c r="S2287">
        <v>2.73</v>
      </c>
      <c r="T2287">
        <v>0</v>
      </c>
      <c r="U2287" t="s">
        <v>23</v>
      </c>
      <c r="V2287" t="e">
        <f>IF(#REF! = "yes", 1, 0)</f>
        <v>#REF!</v>
      </c>
      <c r="W2287" t="e">
        <f>IF(#REF! &lt;= 1, "0-1 Calls", IF(#REF! &lt;= 3, "2-3 Calls", IF(#REF! &lt;=5, "4-5 Calls", "6+ Calls")))</f>
        <v>#REF!</v>
      </c>
      <c r="X2287" t="e">
        <f>IF(#REF! &lt;= 50, "0-50", IF(#REF! &lt;=100, "51-100", IF(#REF! &lt;= 150, "101-150", "151+")))</f>
        <v>#REF!</v>
      </c>
      <c r="Y2287" t="e">
        <f>IF(#REF! &lt;= 3, "Low Charges", "High Charges")</f>
        <v>#REF!</v>
      </c>
      <c r="Z2287" t="e">
        <f>IF(#REF!&lt;=80,"Low Calls",
IF(#REF!&lt;=120,"Medium Calls","High Calls"))</f>
        <v>#REF!</v>
      </c>
      <c r="AA2287" t="e">
        <f>IF(#REF!&lt;=15,"Low Charges",
IF(#REF!&lt;=20,"Medium Charges","High Charges"))</f>
        <v>#REF!</v>
      </c>
      <c r="AB2287" t="e">
        <f>IF(AND(#REF!&gt;180, #REF!&gt;200), "Heavy Doemstic User", IF(#REF!&gt;10, "Interntional User", IF(AND(#REF!&lt;180, #REF!&lt;200,#REF!&lt;200), "Light User", "Balanced User")))</f>
        <v>#REF!</v>
      </c>
      <c r="AC2287" t="e">
        <f>IF(#REF! = 0, "No Usage", IF(#REF! &lt;= 20, "Low Usage", IF(#REF! &lt;= 40, "Medium Usgae", "High Usage")))</f>
        <v>#REF!</v>
      </c>
      <c r="AD2287" t="e">
        <f>IF(#REF!&lt;=150,"Low Usage", IF(#REF!&lt;=200,"Medium Usage", IF(#REF!&lt;=250,"High Usage","Very High Usage")))</f>
        <v>#REF!</v>
      </c>
      <c r="AE2287" t="e">
        <f>IF(#REF!&lt;=5,"Low Calls", IF(#REF!&lt;=10, "Medium Calls", "High Calls"))</f>
        <v>#REF!</v>
      </c>
      <c r="AF2287" t="e">
        <f xml:space="preserve">
IF(#REF!&gt;=4,4,0)+
IF(#REF!="yes",3,0)+
IF(#REF!="High Charges",3,0)+
IF(#REF!&gt;250,4,0)+
IF(#REF!="no",1,0)+
IF(#REF!="Heavy Domestic User",2,0)</f>
        <v>#REF!</v>
      </c>
      <c r="AG2287" t="e">
        <f>IF(#REF!&gt;=10,"High Risk", IF(#REF!&gt;=5,"Medium Risk","Low Risk"))</f>
        <v>#REF!</v>
      </c>
      <c r="AH2287" t="e">
        <f>#REF! + #REF! + #REF! + #REF!</f>
        <v>#REF!</v>
      </c>
    </row>
    <row r="2288" spans="1:34" x14ac:dyDescent="0.35">
      <c r="A2288">
        <v>2287</v>
      </c>
      <c r="B2288" t="s">
        <v>51</v>
      </c>
      <c r="C2288">
        <v>72</v>
      </c>
      <c r="D2288" t="s">
        <v>25</v>
      </c>
      <c r="E2288" t="s">
        <v>22</v>
      </c>
      <c r="F2288" t="s">
        <v>22</v>
      </c>
      <c r="G2288">
        <v>0</v>
      </c>
      <c r="H2288">
        <v>179.9</v>
      </c>
      <c r="I2288">
        <v>113</v>
      </c>
      <c r="J2288">
        <v>30.58</v>
      </c>
      <c r="K2288">
        <v>149.80000000000001</v>
      </c>
      <c r="L2288">
        <v>112</v>
      </c>
      <c r="M2288">
        <v>12.73</v>
      </c>
      <c r="N2288">
        <v>168.2</v>
      </c>
      <c r="O2288">
        <v>79</v>
      </c>
      <c r="P2288">
        <v>7.57</v>
      </c>
      <c r="Q2288">
        <v>9.8000000000000007</v>
      </c>
      <c r="R2288">
        <v>7</v>
      </c>
      <c r="S2288">
        <v>2.65</v>
      </c>
      <c r="T2288">
        <v>2</v>
      </c>
      <c r="U2288" t="s">
        <v>22</v>
      </c>
      <c r="V2288" t="e">
        <f>IF(#REF! = "yes", 1, 0)</f>
        <v>#REF!</v>
      </c>
      <c r="W2288" t="e">
        <f>IF(#REF! &lt;= 1, "0-1 Calls", IF(#REF! &lt;= 3, "2-3 Calls", IF(#REF! &lt;=5, "4-5 Calls", "6+ Calls")))</f>
        <v>#REF!</v>
      </c>
      <c r="X2288" t="e">
        <f>IF(#REF! &lt;= 50, "0-50", IF(#REF! &lt;=100, "51-100", IF(#REF! &lt;= 150, "101-150", "151+")))</f>
        <v>#REF!</v>
      </c>
      <c r="Y2288" t="e">
        <f>IF(#REF! &lt;= 3, "Low Charges", "High Charges")</f>
        <v>#REF!</v>
      </c>
      <c r="Z2288" t="e">
        <f>IF(#REF!&lt;=80,"Low Calls",
IF(#REF!&lt;=120,"Medium Calls","High Calls"))</f>
        <v>#REF!</v>
      </c>
      <c r="AA2288" t="e">
        <f>IF(#REF!&lt;=15,"Low Charges",
IF(#REF!&lt;=20,"Medium Charges","High Charges"))</f>
        <v>#REF!</v>
      </c>
      <c r="AB2288" t="e">
        <f>IF(AND(#REF!&gt;180, #REF!&gt;200), "Heavy Doemstic User", IF(#REF!&gt;10, "Interntional User", IF(AND(#REF!&lt;180, #REF!&lt;200,#REF!&lt;200), "Light User", "Balanced User")))</f>
        <v>#REF!</v>
      </c>
      <c r="AC2288" t="e">
        <f>IF(#REF! = 0, "No Usage", IF(#REF! &lt;= 20, "Low Usage", IF(#REF! &lt;= 40, "Medium Usgae", "High Usage")))</f>
        <v>#REF!</v>
      </c>
      <c r="AD2288" t="e">
        <f>IF(#REF!&lt;=150,"Low Usage", IF(#REF!&lt;=200,"Medium Usage", IF(#REF!&lt;=250,"High Usage","Very High Usage")))</f>
        <v>#REF!</v>
      </c>
      <c r="AE2288" t="e">
        <f>IF(#REF!&lt;=5,"Low Calls", IF(#REF!&lt;=10, "Medium Calls", "High Calls"))</f>
        <v>#REF!</v>
      </c>
      <c r="AF2288" t="e">
        <f xml:space="preserve">
IF(#REF!&gt;=4,4,0)+
IF(#REF!="yes",3,0)+
IF(#REF!="High Charges",3,0)+
IF(#REF!&gt;250,4,0)+
IF(#REF!="no",1,0)+
IF(#REF!="Heavy Domestic User",2,0)</f>
        <v>#REF!</v>
      </c>
      <c r="AG2288" t="e">
        <f>IF(#REF!&gt;=10,"High Risk", IF(#REF!&gt;=5,"Medium Risk","Low Risk"))</f>
        <v>#REF!</v>
      </c>
      <c r="AH2288" t="e">
        <f>#REF! + #REF! + #REF! + #REF!</f>
        <v>#REF!</v>
      </c>
    </row>
    <row r="2289" spans="1:34" x14ac:dyDescent="0.35">
      <c r="A2289">
        <v>2288</v>
      </c>
      <c r="B2289" t="s">
        <v>27</v>
      </c>
      <c r="C2289">
        <v>145</v>
      </c>
      <c r="D2289" t="s">
        <v>21</v>
      </c>
      <c r="E2289" t="s">
        <v>22</v>
      </c>
      <c r="F2289" t="s">
        <v>22</v>
      </c>
      <c r="G2289">
        <v>0</v>
      </c>
      <c r="H2289">
        <v>175.8</v>
      </c>
      <c r="I2289">
        <v>89</v>
      </c>
      <c r="J2289">
        <v>29.89</v>
      </c>
      <c r="K2289">
        <v>274.3</v>
      </c>
      <c r="L2289">
        <v>119</v>
      </c>
      <c r="M2289">
        <v>23.32</v>
      </c>
      <c r="N2289">
        <v>226.6</v>
      </c>
      <c r="O2289">
        <v>69</v>
      </c>
      <c r="P2289">
        <v>10.199999999999999</v>
      </c>
      <c r="Q2289">
        <v>12.4</v>
      </c>
      <c r="R2289">
        <v>4</v>
      </c>
      <c r="S2289">
        <v>3.35</v>
      </c>
      <c r="T2289">
        <v>1</v>
      </c>
      <c r="U2289" t="s">
        <v>22</v>
      </c>
      <c r="V2289" t="e">
        <f>IF(#REF! = "yes", 1, 0)</f>
        <v>#REF!</v>
      </c>
      <c r="W2289" t="e">
        <f>IF(#REF! &lt;= 1, "0-1 Calls", IF(#REF! &lt;= 3, "2-3 Calls", IF(#REF! &lt;=5, "4-5 Calls", "6+ Calls")))</f>
        <v>#REF!</v>
      </c>
      <c r="X2289" t="e">
        <f>IF(#REF! &lt;= 50, "0-50", IF(#REF! &lt;=100, "51-100", IF(#REF! &lt;= 150, "101-150", "151+")))</f>
        <v>#REF!</v>
      </c>
      <c r="Y2289" t="e">
        <f>IF(#REF! &lt;= 3, "Low Charges", "High Charges")</f>
        <v>#REF!</v>
      </c>
      <c r="Z2289" t="e">
        <f>IF(#REF!&lt;=80,"Low Calls",
IF(#REF!&lt;=120,"Medium Calls","High Calls"))</f>
        <v>#REF!</v>
      </c>
      <c r="AA2289" t="e">
        <f>IF(#REF!&lt;=15,"Low Charges",
IF(#REF!&lt;=20,"Medium Charges","High Charges"))</f>
        <v>#REF!</v>
      </c>
      <c r="AB2289" t="e">
        <f>IF(AND(#REF!&gt;180, #REF!&gt;200), "Heavy Doemstic User", IF(#REF!&gt;10, "Interntional User", IF(AND(#REF!&lt;180, #REF!&lt;200,#REF!&lt;200), "Light User", "Balanced User")))</f>
        <v>#REF!</v>
      </c>
      <c r="AC2289" t="e">
        <f>IF(#REF! = 0, "No Usage", IF(#REF! &lt;= 20, "Low Usage", IF(#REF! &lt;= 40, "Medium Usgae", "High Usage")))</f>
        <v>#REF!</v>
      </c>
      <c r="AD2289" t="e">
        <f>IF(#REF!&lt;=150,"Low Usage", IF(#REF!&lt;=200,"Medium Usage", IF(#REF!&lt;=250,"High Usage","Very High Usage")))</f>
        <v>#REF!</v>
      </c>
      <c r="AE2289" t="e">
        <f>IF(#REF!&lt;=5,"Low Calls", IF(#REF!&lt;=10, "Medium Calls", "High Calls"))</f>
        <v>#REF!</v>
      </c>
      <c r="AF2289" t="e">
        <f xml:space="preserve">
IF(#REF!&gt;=4,4,0)+
IF(#REF!="yes",3,0)+
IF(#REF!="High Charges",3,0)+
IF(#REF!&gt;250,4,0)+
IF(#REF!="no",1,0)+
IF(#REF!="Heavy Domestic User",2,0)</f>
        <v>#REF!</v>
      </c>
      <c r="AG2289" t="e">
        <f>IF(#REF!&gt;=10,"High Risk", IF(#REF!&gt;=5,"Medium Risk","Low Risk"))</f>
        <v>#REF!</v>
      </c>
      <c r="AH2289" t="e">
        <f>#REF! + #REF! + #REF! + #REF!</f>
        <v>#REF!</v>
      </c>
    </row>
    <row r="2290" spans="1:34" x14ac:dyDescent="0.35">
      <c r="A2290">
        <v>2289</v>
      </c>
      <c r="B2290" t="s">
        <v>68</v>
      </c>
      <c r="C2290">
        <v>136</v>
      </c>
      <c r="D2290" t="s">
        <v>28</v>
      </c>
      <c r="E2290" t="s">
        <v>22</v>
      </c>
      <c r="F2290" t="s">
        <v>22</v>
      </c>
      <c r="G2290">
        <v>0</v>
      </c>
      <c r="H2290">
        <v>109.4</v>
      </c>
      <c r="I2290">
        <v>91</v>
      </c>
      <c r="J2290">
        <v>18.600000000000001</v>
      </c>
      <c r="K2290">
        <v>207.5</v>
      </c>
      <c r="L2290">
        <v>111</v>
      </c>
      <c r="M2290">
        <v>17.64</v>
      </c>
      <c r="N2290">
        <v>135</v>
      </c>
      <c r="O2290">
        <v>107</v>
      </c>
      <c r="P2290">
        <v>6.08</v>
      </c>
      <c r="Q2290">
        <v>11.6</v>
      </c>
      <c r="R2290">
        <v>5</v>
      </c>
      <c r="S2290">
        <v>3.13</v>
      </c>
      <c r="T2290">
        <v>0</v>
      </c>
      <c r="U2290" t="s">
        <v>22</v>
      </c>
      <c r="V2290" t="e">
        <f>IF(#REF! = "yes", 1, 0)</f>
        <v>#REF!</v>
      </c>
      <c r="W2290" t="e">
        <f>IF(#REF! &lt;= 1, "0-1 Calls", IF(#REF! &lt;= 3, "2-3 Calls", IF(#REF! &lt;=5, "4-5 Calls", "6+ Calls")))</f>
        <v>#REF!</v>
      </c>
      <c r="X2290" t="e">
        <f>IF(#REF! &lt;= 50, "0-50", IF(#REF! &lt;=100, "51-100", IF(#REF! &lt;= 150, "101-150", "151+")))</f>
        <v>#REF!</v>
      </c>
      <c r="Y2290" t="e">
        <f>IF(#REF! &lt;= 3, "Low Charges", "High Charges")</f>
        <v>#REF!</v>
      </c>
      <c r="Z2290" t="e">
        <f>IF(#REF!&lt;=80,"Low Calls",
IF(#REF!&lt;=120,"Medium Calls","High Calls"))</f>
        <v>#REF!</v>
      </c>
      <c r="AA2290" t="e">
        <f>IF(#REF!&lt;=15,"Low Charges",
IF(#REF!&lt;=20,"Medium Charges","High Charges"))</f>
        <v>#REF!</v>
      </c>
      <c r="AB2290" t="e">
        <f>IF(AND(#REF!&gt;180, #REF!&gt;200), "Heavy Doemstic User", IF(#REF!&gt;10, "Interntional User", IF(AND(#REF!&lt;180, #REF!&lt;200,#REF!&lt;200), "Light User", "Balanced User")))</f>
        <v>#REF!</v>
      </c>
      <c r="AC2290" t="e">
        <f>IF(#REF! = 0, "No Usage", IF(#REF! &lt;= 20, "Low Usage", IF(#REF! &lt;= 40, "Medium Usgae", "High Usage")))</f>
        <v>#REF!</v>
      </c>
      <c r="AD2290" t="e">
        <f>IF(#REF!&lt;=150,"Low Usage", IF(#REF!&lt;=200,"Medium Usage", IF(#REF!&lt;=250,"High Usage","Very High Usage")))</f>
        <v>#REF!</v>
      </c>
      <c r="AE2290" t="e">
        <f>IF(#REF!&lt;=5,"Low Calls", IF(#REF!&lt;=10, "Medium Calls", "High Calls"))</f>
        <v>#REF!</v>
      </c>
      <c r="AF2290" t="e">
        <f xml:space="preserve">
IF(#REF!&gt;=4,4,0)+
IF(#REF!="yes",3,0)+
IF(#REF!="High Charges",3,0)+
IF(#REF!&gt;250,4,0)+
IF(#REF!="no",1,0)+
IF(#REF!="Heavy Domestic User",2,0)</f>
        <v>#REF!</v>
      </c>
      <c r="AG2290" t="e">
        <f>IF(#REF!&gt;=10,"High Risk", IF(#REF!&gt;=5,"Medium Risk","Low Risk"))</f>
        <v>#REF!</v>
      </c>
      <c r="AH2290" t="e">
        <f>#REF! + #REF! + #REF! + #REF!</f>
        <v>#REF!</v>
      </c>
    </row>
    <row r="2291" spans="1:34" x14ac:dyDescent="0.35">
      <c r="A2291">
        <v>2290</v>
      </c>
      <c r="B2291" t="s">
        <v>43</v>
      </c>
      <c r="C2291">
        <v>209</v>
      </c>
      <c r="D2291" t="s">
        <v>28</v>
      </c>
      <c r="E2291" t="s">
        <v>22</v>
      </c>
      <c r="F2291" t="s">
        <v>22</v>
      </c>
      <c r="G2291">
        <v>0</v>
      </c>
      <c r="H2291">
        <v>255.1</v>
      </c>
      <c r="I2291">
        <v>124</v>
      </c>
      <c r="J2291">
        <v>43.37</v>
      </c>
      <c r="K2291">
        <v>230.6</v>
      </c>
      <c r="L2291">
        <v>110</v>
      </c>
      <c r="M2291">
        <v>19.600000000000001</v>
      </c>
      <c r="N2291">
        <v>218</v>
      </c>
      <c r="O2291">
        <v>69</v>
      </c>
      <c r="P2291">
        <v>9.81</v>
      </c>
      <c r="Q2291">
        <v>8.5</v>
      </c>
      <c r="R2291">
        <v>5</v>
      </c>
      <c r="S2291">
        <v>2.2999999999999998</v>
      </c>
      <c r="T2291">
        <v>3</v>
      </c>
      <c r="U2291" t="s">
        <v>23</v>
      </c>
      <c r="V2291" t="e">
        <f>IF(#REF! = "yes", 1, 0)</f>
        <v>#REF!</v>
      </c>
      <c r="W2291" t="e">
        <f>IF(#REF! &lt;= 1, "0-1 Calls", IF(#REF! &lt;= 3, "2-3 Calls", IF(#REF! &lt;=5, "4-5 Calls", "6+ Calls")))</f>
        <v>#REF!</v>
      </c>
      <c r="X2291" t="e">
        <f>IF(#REF! &lt;= 50, "0-50", IF(#REF! &lt;=100, "51-100", IF(#REF! &lt;= 150, "101-150", "151+")))</f>
        <v>#REF!</v>
      </c>
      <c r="Y2291" t="e">
        <f>IF(#REF! &lt;= 3, "Low Charges", "High Charges")</f>
        <v>#REF!</v>
      </c>
      <c r="Z2291" t="e">
        <f>IF(#REF!&lt;=80,"Low Calls",
IF(#REF!&lt;=120,"Medium Calls","High Calls"))</f>
        <v>#REF!</v>
      </c>
      <c r="AA2291" t="e">
        <f>IF(#REF!&lt;=15,"Low Charges",
IF(#REF!&lt;=20,"Medium Charges","High Charges"))</f>
        <v>#REF!</v>
      </c>
      <c r="AB2291" t="e">
        <f>IF(AND(#REF!&gt;180, #REF!&gt;200), "Heavy Doemstic User", IF(#REF!&gt;10, "Interntional User", IF(AND(#REF!&lt;180, #REF!&lt;200,#REF!&lt;200), "Light User", "Balanced User")))</f>
        <v>#REF!</v>
      </c>
      <c r="AC2291" t="e">
        <f>IF(#REF! = 0, "No Usage", IF(#REF! &lt;= 20, "Low Usage", IF(#REF! &lt;= 40, "Medium Usgae", "High Usage")))</f>
        <v>#REF!</v>
      </c>
      <c r="AD2291" t="e">
        <f>IF(#REF!&lt;=150,"Low Usage", IF(#REF!&lt;=200,"Medium Usage", IF(#REF!&lt;=250,"High Usage","Very High Usage")))</f>
        <v>#REF!</v>
      </c>
      <c r="AE2291" t="e">
        <f>IF(#REF!&lt;=5,"Low Calls", IF(#REF!&lt;=10, "Medium Calls", "High Calls"))</f>
        <v>#REF!</v>
      </c>
      <c r="AF2291" t="e">
        <f xml:space="preserve">
IF(#REF!&gt;=4,4,0)+
IF(#REF!="yes",3,0)+
IF(#REF!="High Charges",3,0)+
IF(#REF!&gt;250,4,0)+
IF(#REF!="no",1,0)+
IF(#REF!="Heavy Domestic User",2,0)</f>
        <v>#REF!</v>
      </c>
      <c r="AG2291" t="e">
        <f>IF(#REF!&gt;=10,"High Risk", IF(#REF!&gt;=5,"Medium Risk","Low Risk"))</f>
        <v>#REF!</v>
      </c>
      <c r="AH2291" t="e">
        <f>#REF! + #REF! + #REF! + #REF!</f>
        <v>#REF!</v>
      </c>
    </row>
    <row r="2292" spans="1:34" x14ac:dyDescent="0.35">
      <c r="A2292">
        <v>2291</v>
      </c>
      <c r="B2292" t="s">
        <v>51</v>
      </c>
      <c r="C2292">
        <v>66</v>
      </c>
      <c r="D2292" t="s">
        <v>21</v>
      </c>
      <c r="E2292" t="s">
        <v>23</v>
      </c>
      <c r="F2292" t="s">
        <v>22</v>
      </c>
      <c r="G2292">
        <v>0</v>
      </c>
      <c r="H2292">
        <v>208.7</v>
      </c>
      <c r="I2292">
        <v>84</v>
      </c>
      <c r="J2292">
        <v>35.479999999999997</v>
      </c>
      <c r="K2292">
        <v>173.3</v>
      </c>
      <c r="L2292">
        <v>88</v>
      </c>
      <c r="M2292">
        <v>14.73</v>
      </c>
      <c r="N2292">
        <v>264.7</v>
      </c>
      <c r="O2292">
        <v>107</v>
      </c>
      <c r="P2292">
        <v>11.91</v>
      </c>
      <c r="Q2292">
        <v>8.3000000000000007</v>
      </c>
      <c r="R2292">
        <v>3</v>
      </c>
      <c r="S2292">
        <v>2.2400000000000002</v>
      </c>
      <c r="T2292">
        <v>3</v>
      </c>
      <c r="U2292" t="s">
        <v>22</v>
      </c>
      <c r="V2292" t="e">
        <f>IF(#REF! = "yes", 1, 0)</f>
        <v>#REF!</v>
      </c>
      <c r="W2292" t="e">
        <f>IF(#REF! &lt;= 1, "0-1 Calls", IF(#REF! &lt;= 3, "2-3 Calls", IF(#REF! &lt;=5, "4-5 Calls", "6+ Calls")))</f>
        <v>#REF!</v>
      </c>
      <c r="X2292" t="e">
        <f>IF(#REF! &lt;= 50, "0-50", IF(#REF! &lt;=100, "51-100", IF(#REF! &lt;= 150, "101-150", "151+")))</f>
        <v>#REF!</v>
      </c>
      <c r="Y2292" t="e">
        <f>IF(#REF! &lt;= 3, "Low Charges", "High Charges")</f>
        <v>#REF!</v>
      </c>
      <c r="Z2292" t="e">
        <f>IF(#REF!&lt;=80,"Low Calls",
IF(#REF!&lt;=120,"Medium Calls","High Calls"))</f>
        <v>#REF!</v>
      </c>
      <c r="AA2292" t="e">
        <f>IF(#REF!&lt;=15,"Low Charges",
IF(#REF!&lt;=20,"Medium Charges","High Charges"))</f>
        <v>#REF!</v>
      </c>
      <c r="AB2292" t="e">
        <f>IF(AND(#REF!&gt;180, #REF!&gt;200), "Heavy Doemstic User", IF(#REF!&gt;10, "Interntional User", IF(AND(#REF!&lt;180, #REF!&lt;200,#REF!&lt;200), "Light User", "Balanced User")))</f>
        <v>#REF!</v>
      </c>
      <c r="AC2292" t="e">
        <f>IF(#REF! = 0, "No Usage", IF(#REF! &lt;= 20, "Low Usage", IF(#REF! &lt;= 40, "Medium Usgae", "High Usage")))</f>
        <v>#REF!</v>
      </c>
      <c r="AD2292" t="e">
        <f>IF(#REF!&lt;=150,"Low Usage", IF(#REF!&lt;=200,"Medium Usage", IF(#REF!&lt;=250,"High Usage","Very High Usage")))</f>
        <v>#REF!</v>
      </c>
      <c r="AE2292" t="e">
        <f>IF(#REF!&lt;=5,"Low Calls", IF(#REF!&lt;=10, "Medium Calls", "High Calls"))</f>
        <v>#REF!</v>
      </c>
      <c r="AF2292" t="e">
        <f xml:space="preserve">
IF(#REF!&gt;=4,4,0)+
IF(#REF!="yes",3,0)+
IF(#REF!="High Charges",3,0)+
IF(#REF!&gt;250,4,0)+
IF(#REF!="no",1,0)+
IF(#REF!="Heavy Domestic User",2,0)</f>
        <v>#REF!</v>
      </c>
      <c r="AG2292" t="e">
        <f>IF(#REF!&gt;=10,"High Risk", IF(#REF!&gt;=5,"Medium Risk","Low Risk"))</f>
        <v>#REF!</v>
      </c>
      <c r="AH2292" t="e">
        <f>#REF! + #REF! + #REF! + #REF!</f>
        <v>#REF!</v>
      </c>
    </row>
    <row r="2293" spans="1:34" x14ac:dyDescent="0.35">
      <c r="A2293">
        <v>2292</v>
      </c>
      <c r="B2293" t="s">
        <v>64</v>
      </c>
      <c r="C2293">
        <v>152</v>
      </c>
      <c r="D2293" t="s">
        <v>28</v>
      </c>
      <c r="E2293" t="s">
        <v>22</v>
      </c>
      <c r="F2293" t="s">
        <v>23</v>
      </c>
      <c r="G2293">
        <v>20</v>
      </c>
      <c r="H2293">
        <v>214.6</v>
      </c>
      <c r="I2293">
        <v>108</v>
      </c>
      <c r="J2293">
        <v>36.479999999999997</v>
      </c>
      <c r="K2293">
        <v>96.6</v>
      </c>
      <c r="L2293">
        <v>82</v>
      </c>
      <c r="M2293">
        <v>8.2100000000000009</v>
      </c>
      <c r="N2293">
        <v>170.7</v>
      </c>
      <c r="O2293">
        <v>145</v>
      </c>
      <c r="P2293">
        <v>7.68</v>
      </c>
      <c r="Q2293">
        <v>7.9</v>
      </c>
      <c r="R2293">
        <v>5</v>
      </c>
      <c r="S2293">
        <v>2.13</v>
      </c>
      <c r="T2293">
        <v>1</v>
      </c>
      <c r="U2293" t="s">
        <v>22</v>
      </c>
      <c r="V2293" t="e">
        <f>IF(#REF! = "yes", 1, 0)</f>
        <v>#REF!</v>
      </c>
      <c r="W2293" t="e">
        <f>IF(#REF! &lt;= 1, "0-1 Calls", IF(#REF! &lt;= 3, "2-3 Calls", IF(#REF! &lt;=5, "4-5 Calls", "6+ Calls")))</f>
        <v>#REF!</v>
      </c>
      <c r="X2293" t="e">
        <f>IF(#REF! &lt;= 50, "0-50", IF(#REF! &lt;=100, "51-100", IF(#REF! &lt;= 150, "101-150", "151+")))</f>
        <v>#REF!</v>
      </c>
      <c r="Y2293" t="e">
        <f>IF(#REF! &lt;= 3, "Low Charges", "High Charges")</f>
        <v>#REF!</v>
      </c>
      <c r="Z2293" t="e">
        <f>IF(#REF!&lt;=80,"Low Calls",
IF(#REF!&lt;=120,"Medium Calls","High Calls"))</f>
        <v>#REF!</v>
      </c>
      <c r="AA2293" t="e">
        <f>IF(#REF!&lt;=15,"Low Charges",
IF(#REF!&lt;=20,"Medium Charges","High Charges"))</f>
        <v>#REF!</v>
      </c>
      <c r="AB2293" t="e">
        <f>IF(AND(#REF!&gt;180, #REF!&gt;200), "Heavy Doemstic User", IF(#REF!&gt;10, "Interntional User", IF(AND(#REF!&lt;180, #REF!&lt;200,#REF!&lt;200), "Light User", "Balanced User")))</f>
        <v>#REF!</v>
      </c>
      <c r="AC2293" t="e">
        <f>IF(#REF! = 0, "No Usage", IF(#REF! &lt;= 20, "Low Usage", IF(#REF! &lt;= 40, "Medium Usgae", "High Usage")))</f>
        <v>#REF!</v>
      </c>
      <c r="AD2293" t="e">
        <f>IF(#REF!&lt;=150,"Low Usage", IF(#REF!&lt;=200,"Medium Usage", IF(#REF!&lt;=250,"High Usage","Very High Usage")))</f>
        <v>#REF!</v>
      </c>
      <c r="AE2293" t="e">
        <f>IF(#REF!&lt;=5,"Low Calls", IF(#REF!&lt;=10, "Medium Calls", "High Calls"))</f>
        <v>#REF!</v>
      </c>
      <c r="AF2293" t="e">
        <f xml:space="preserve">
IF(#REF!&gt;=4,4,0)+
IF(#REF!="yes",3,0)+
IF(#REF!="High Charges",3,0)+
IF(#REF!&gt;250,4,0)+
IF(#REF!="no",1,0)+
IF(#REF!="Heavy Domestic User",2,0)</f>
        <v>#REF!</v>
      </c>
      <c r="AG2293" t="e">
        <f>IF(#REF!&gt;=10,"High Risk", IF(#REF!&gt;=5,"Medium Risk","Low Risk"))</f>
        <v>#REF!</v>
      </c>
      <c r="AH2293" t="e">
        <f>#REF! + #REF! + #REF! + #REF!</f>
        <v>#REF!</v>
      </c>
    </row>
    <row r="2294" spans="1:34" x14ac:dyDescent="0.35">
      <c r="A2294">
        <v>2293</v>
      </c>
      <c r="B2294" t="s">
        <v>74</v>
      </c>
      <c r="C2294">
        <v>162</v>
      </c>
      <c r="D2294" t="s">
        <v>25</v>
      </c>
      <c r="E2294" t="s">
        <v>22</v>
      </c>
      <c r="F2294" t="s">
        <v>22</v>
      </c>
      <c r="G2294">
        <v>0</v>
      </c>
      <c r="H2294">
        <v>49.2</v>
      </c>
      <c r="I2294">
        <v>121</v>
      </c>
      <c r="J2294">
        <v>8.36</v>
      </c>
      <c r="K2294">
        <v>143.9</v>
      </c>
      <c r="L2294">
        <v>136</v>
      </c>
      <c r="M2294">
        <v>12.23</v>
      </c>
      <c r="N2294">
        <v>203</v>
      </c>
      <c r="O2294">
        <v>97</v>
      </c>
      <c r="P2294">
        <v>9.14</v>
      </c>
      <c r="Q2294">
        <v>12.1</v>
      </c>
      <c r="R2294">
        <v>13</v>
      </c>
      <c r="S2294">
        <v>3.27</v>
      </c>
      <c r="T2294">
        <v>1</v>
      </c>
      <c r="U2294" t="s">
        <v>22</v>
      </c>
      <c r="V2294" t="e">
        <f>IF(#REF! = "yes", 1, 0)</f>
        <v>#REF!</v>
      </c>
      <c r="W2294" t="e">
        <f>IF(#REF! &lt;= 1, "0-1 Calls", IF(#REF! &lt;= 3, "2-3 Calls", IF(#REF! &lt;=5, "4-5 Calls", "6+ Calls")))</f>
        <v>#REF!</v>
      </c>
      <c r="X2294" t="e">
        <f>IF(#REF! &lt;= 50, "0-50", IF(#REF! &lt;=100, "51-100", IF(#REF! &lt;= 150, "101-150", "151+")))</f>
        <v>#REF!</v>
      </c>
      <c r="Y2294" t="e">
        <f>IF(#REF! &lt;= 3, "Low Charges", "High Charges")</f>
        <v>#REF!</v>
      </c>
      <c r="Z2294" t="e">
        <f>IF(#REF!&lt;=80,"Low Calls",
IF(#REF!&lt;=120,"Medium Calls","High Calls"))</f>
        <v>#REF!</v>
      </c>
      <c r="AA2294" t="e">
        <f>IF(#REF!&lt;=15,"Low Charges",
IF(#REF!&lt;=20,"Medium Charges","High Charges"))</f>
        <v>#REF!</v>
      </c>
      <c r="AB2294" t="e">
        <f>IF(AND(#REF!&gt;180, #REF!&gt;200), "Heavy Doemstic User", IF(#REF!&gt;10, "Interntional User", IF(AND(#REF!&lt;180, #REF!&lt;200,#REF!&lt;200), "Light User", "Balanced User")))</f>
        <v>#REF!</v>
      </c>
      <c r="AC2294" t="e">
        <f>IF(#REF! = 0, "No Usage", IF(#REF! &lt;= 20, "Low Usage", IF(#REF! &lt;= 40, "Medium Usgae", "High Usage")))</f>
        <v>#REF!</v>
      </c>
      <c r="AD2294" t="e">
        <f>IF(#REF!&lt;=150,"Low Usage", IF(#REF!&lt;=200,"Medium Usage", IF(#REF!&lt;=250,"High Usage","Very High Usage")))</f>
        <v>#REF!</v>
      </c>
      <c r="AE2294" t="e">
        <f>IF(#REF!&lt;=5,"Low Calls", IF(#REF!&lt;=10, "Medium Calls", "High Calls"))</f>
        <v>#REF!</v>
      </c>
      <c r="AF2294" t="e">
        <f xml:space="preserve">
IF(#REF!&gt;=4,4,0)+
IF(#REF!="yes",3,0)+
IF(#REF!="High Charges",3,0)+
IF(#REF!&gt;250,4,0)+
IF(#REF!="no",1,0)+
IF(#REF!="Heavy Domestic User",2,0)</f>
        <v>#REF!</v>
      </c>
      <c r="AG2294" t="e">
        <f>IF(#REF!&gt;=10,"High Risk", IF(#REF!&gt;=5,"Medium Risk","Low Risk"))</f>
        <v>#REF!</v>
      </c>
      <c r="AH2294" t="e">
        <f>#REF! + #REF! + #REF! + #REF!</f>
        <v>#REF!</v>
      </c>
    </row>
    <row r="2295" spans="1:34" x14ac:dyDescent="0.35">
      <c r="A2295">
        <v>2294</v>
      </c>
      <c r="B2295" t="s">
        <v>52</v>
      </c>
      <c r="C2295">
        <v>72</v>
      </c>
      <c r="D2295" t="s">
        <v>28</v>
      </c>
      <c r="E2295" t="s">
        <v>22</v>
      </c>
      <c r="F2295" t="s">
        <v>22</v>
      </c>
      <c r="G2295">
        <v>0</v>
      </c>
      <c r="H2295">
        <v>141.30000000000001</v>
      </c>
      <c r="I2295">
        <v>133</v>
      </c>
      <c r="J2295">
        <v>24.02</v>
      </c>
      <c r="K2295">
        <v>134.9</v>
      </c>
      <c r="L2295">
        <v>96</v>
      </c>
      <c r="M2295">
        <v>11.47</v>
      </c>
      <c r="N2295">
        <v>227.5</v>
      </c>
      <c r="O2295">
        <v>97</v>
      </c>
      <c r="P2295">
        <v>10.24</v>
      </c>
      <c r="Q2295">
        <v>11.2</v>
      </c>
      <c r="R2295">
        <v>3</v>
      </c>
      <c r="S2295">
        <v>3.02</v>
      </c>
      <c r="T2295">
        <v>2</v>
      </c>
      <c r="U2295" t="s">
        <v>22</v>
      </c>
      <c r="V2295" t="e">
        <f>IF(#REF! = "yes", 1, 0)</f>
        <v>#REF!</v>
      </c>
      <c r="W2295" t="e">
        <f>IF(#REF! &lt;= 1, "0-1 Calls", IF(#REF! &lt;= 3, "2-3 Calls", IF(#REF! &lt;=5, "4-5 Calls", "6+ Calls")))</f>
        <v>#REF!</v>
      </c>
      <c r="X2295" t="e">
        <f>IF(#REF! &lt;= 50, "0-50", IF(#REF! &lt;=100, "51-100", IF(#REF! &lt;= 150, "101-150", "151+")))</f>
        <v>#REF!</v>
      </c>
      <c r="Y2295" t="e">
        <f>IF(#REF! &lt;= 3, "Low Charges", "High Charges")</f>
        <v>#REF!</v>
      </c>
      <c r="Z2295" t="e">
        <f>IF(#REF!&lt;=80,"Low Calls",
IF(#REF!&lt;=120,"Medium Calls","High Calls"))</f>
        <v>#REF!</v>
      </c>
      <c r="AA2295" t="e">
        <f>IF(#REF!&lt;=15,"Low Charges",
IF(#REF!&lt;=20,"Medium Charges","High Charges"))</f>
        <v>#REF!</v>
      </c>
      <c r="AB2295" t="e">
        <f>IF(AND(#REF!&gt;180, #REF!&gt;200), "Heavy Doemstic User", IF(#REF!&gt;10, "Interntional User", IF(AND(#REF!&lt;180, #REF!&lt;200,#REF!&lt;200), "Light User", "Balanced User")))</f>
        <v>#REF!</v>
      </c>
      <c r="AC2295" t="e">
        <f>IF(#REF! = 0, "No Usage", IF(#REF! &lt;= 20, "Low Usage", IF(#REF! &lt;= 40, "Medium Usgae", "High Usage")))</f>
        <v>#REF!</v>
      </c>
      <c r="AD2295" t="e">
        <f>IF(#REF!&lt;=150,"Low Usage", IF(#REF!&lt;=200,"Medium Usage", IF(#REF!&lt;=250,"High Usage","Very High Usage")))</f>
        <v>#REF!</v>
      </c>
      <c r="AE2295" t="e">
        <f>IF(#REF!&lt;=5,"Low Calls", IF(#REF!&lt;=10, "Medium Calls", "High Calls"))</f>
        <v>#REF!</v>
      </c>
      <c r="AF2295" t="e">
        <f xml:space="preserve">
IF(#REF!&gt;=4,4,0)+
IF(#REF!="yes",3,0)+
IF(#REF!="High Charges",3,0)+
IF(#REF!&gt;250,4,0)+
IF(#REF!="no",1,0)+
IF(#REF!="Heavy Domestic User",2,0)</f>
        <v>#REF!</v>
      </c>
      <c r="AG2295" t="e">
        <f>IF(#REF!&gt;=10,"High Risk", IF(#REF!&gt;=5,"Medium Risk","Low Risk"))</f>
        <v>#REF!</v>
      </c>
      <c r="AH2295" t="e">
        <f>#REF! + #REF! + #REF! + #REF!</f>
        <v>#REF!</v>
      </c>
    </row>
    <row r="2296" spans="1:34" x14ac:dyDescent="0.35">
      <c r="A2296">
        <v>2295</v>
      </c>
      <c r="B2296" t="s">
        <v>45</v>
      </c>
      <c r="C2296">
        <v>101</v>
      </c>
      <c r="D2296" t="s">
        <v>21</v>
      </c>
      <c r="E2296" t="s">
        <v>22</v>
      </c>
      <c r="F2296" t="s">
        <v>22</v>
      </c>
      <c r="G2296">
        <v>0</v>
      </c>
      <c r="H2296">
        <v>253.2</v>
      </c>
      <c r="I2296">
        <v>89</v>
      </c>
      <c r="J2296">
        <v>43.04</v>
      </c>
      <c r="K2296">
        <v>237.9</v>
      </c>
      <c r="L2296">
        <v>114</v>
      </c>
      <c r="M2296">
        <v>20.22</v>
      </c>
      <c r="N2296">
        <v>154.30000000000001</v>
      </c>
      <c r="O2296">
        <v>85</v>
      </c>
      <c r="P2296">
        <v>6.94</v>
      </c>
      <c r="Q2296">
        <v>9.6999999999999993</v>
      </c>
      <c r="R2296">
        <v>7</v>
      </c>
      <c r="S2296">
        <v>2.62</v>
      </c>
      <c r="T2296">
        <v>4</v>
      </c>
      <c r="U2296" t="s">
        <v>22</v>
      </c>
      <c r="V2296" t="e">
        <f>IF(#REF! = "yes", 1, 0)</f>
        <v>#REF!</v>
      </c>
      <c r="W2296" t="e">
        <f>IF(#REF! &lt;= 1, "0-1 Calls", IF(#REF! &lt;= 3, "2-3 Calls", IF(#REF! &lt;=5, "4-5 Calls", "6+ Calls")))</f>
        <v>#REF!</v>
      </c>
      <c r="X2296" t="e">
        <f>IF(#REF! &lt;= 50, "0-50", IF(#REF! &lt;=100, "51-100", IF(#REF! &lt;= 150, "101-150", "151+")))</f>
        <v>#REF!</v>
      </c>
      <c r="Y2296" t="e">
        <f>IF(#REF! &lt;= 3, "Low Charges", "High Charges")</f>
        <v>#REF!</v>
      </c>
      <c r="Z2296" t="e">
        <f>IF(#REF!&lt;=80,"Low Calls",
IF(#REF!&lt;=120,"Medium Calls","High Calls"))</f>
        <v>#REF!</v>
      </c>
      <c r="AA2296" t="e">
        <f>IF(#REF!&lt;=15,"Low Charges",
IF(#REF!&lt;=20,"Medium Charges","High Charges"))</f>
        <v>#REF!</v>
      </c>
      <c r="AB2296" t="e">
        <f>IF(AND(#REF!&gt;180, #REF!&gt;200), "Heavy Doemstic User", IF(#REF!&gt;10, "Interntional User", IF(AND(#REF!&lt;180, #REF!&lt;200,#REF!&lt;200), "Light User", "Balanced User")))</f>
        <v>#REF!</v>
      </c>
      <c r="AC2296" t="e">
        <f>IF(#REF! = 0, "No Usage", IF(#REF! &lt;= 20, "Low Usage", IF(#REF! &lt;= 40, "Medium Usgae", "High Usage")))</f>
        <v>#REF!</v>
      </c>
      <c r="AD2296" t="e">
        <f>IF(#REF!&lt;=150,"Low Usage", IF(#REF!&lt;=200,"Medium Usage", IF(#REF!&lt;=250,"High Usage","Very High Usage")))</f>
        <v>#REF!</v>
      </c>
      <c r="AE2296" t="e">
        <f>IF(#REF!&lt;=5,"Low Calls", IF(#REF!&lt;=10, "Medium Calls", "High Calls"))</f>
        <v>#REF!</v>
      </c>
      <c r="AF2296" t="e">
        <f xml:space="preserve">
IF(#REF!&gt;=4,4,0)+
IF(#REF!="yes",3,0)+
IF(#REF!="High Charges",3,0)+
IF(#REF!&gt;250,4,0)+
IF(#REF!="no",1,0)+
IF(#REF!="Heavy Domestic User",2,0)</f>
        <v>#REF!</v>
      </c>
      <c r="AG2296" t="e">
        <f>IF(#REF!&gt;=10,"High Risk", IF(#REF!&gt;=5,"Medium Risk","Low Risk"))</f>
        <v>#REF!</v>
      </c>
      <c r="AH2296" t="e">
        <f>#REF! + #REF! + #REF! + #REF!</f>
        <v>#REF!</v>
      </c>
    </row>
    <row r="2297" spans="1:34" x14ac:dyDescent="0.35">
      <c r="A2297">
        <v>2296</v>
      </c>
      <c r="B2297" t="s">
        <v>31</v>
      </c>
      <c r="C2297">
        <v>125</v>
      </c>
      <c r="D2297" t="s">
        <v>21</v>
      </c>
      <c r="E2297" t="s">
        <v>22</v>
      </c>
      <c r="F2297" t="s">
        <v>22</v>
      </c>
      <c r="G2297">
        <v>0</v>
      </c>
      <c r="H2297">
        <v>206</v>
      </c>
      <c r="I2297">
        <v>128</v>
      </c>
      <c r="J2297">
        <v>35.020000000000003</v>
      </c>
      <c r="K2297">
        <v>198.1</v>
      </c>
      <c r="L2297">
        <v>71</v>
      </c>
      <c r="M2297">
        <v>16.84</v>
      </c>
      <c r="N2297">
        <v>135.9</v>
      </c>
      <c r="O2297">
        <v>116</v>
      </c>
      <c r="P2297">
        <v>6.12</v>
      </c>
      <c r="Q2297">
        <v>13.2</v>
      </c>
      <c r="R2297">
        <v>3</v>
      </c>
      <c r="S2297">
        <v>3.56</v>
      </c>
      <c r="T2297">
        <v>0</v>
      </c>
      <c r="U2297" t="s">
        <v>22</v>
      </c>
      <c r="V2297" t="e">
        <f>IF(#REF! = "yes", 1, 0)</f>
        <v>#REF!</v>
      </c>
      <c r="W2297" t="e">
        <f>IF(#REF! &lt;= 1, "0-1 Calls", IF(#REF! &lt;= 3, "2-3 Calls", IF(#REF! &lt;=5, "4-5 Calls", "6+ Calls")))</f>
        <v>#REF!</v>
      </c>
      <c r="X2297" t="e">
        <f>IF(#REF! &lt;= 50, "0-50", IF(#REF! &lt;=100, "51-100", IF(#REF! &lt;= 150, "101-150", "151+")))</f>
        <v>#REF!</v>
      </c>
      <c r="Y2297" t="e">
        <f>IF(#REF! &lt;= 3, "Low Charges", "High Charges")</f>
        <v>#REF!</v>
      </c>
      <c r="Z2297" t="e">
        <f>IF(#REF!&lt;=80,"Low Calls",
IF(#REF!&lt;=120,"Medium Calls","High Calls"))</f>
        <v>#REF!</v>
      </c>
      <c r="AA2297" t="e">
        <f>IF(#REF!&lt;=15,"Low Charges",
IF(#REF!&lt;=20,"Medium Charges","High Charges"))</f>
        <v>#REF!</v>
      </c>
      <c r="AB2297" t="e">
        <f>IF(AND(#REF!&gt;180, #REF!&gt;200), "Heavy Doemstic User", IF(#REF!&gt;10, "Interntional User", IF(AND(#REF!&lt;180, #REF!&lt;200,#REF!&lt;200), "Light User", "Balanced User")))</f>
        <v>#REF!</v>
      </c>
      <c r="AC2297" t="e">
        <f>IF(#REF! = 0, "No Usage", IF(#REF! &lt;= 20, "Low Usage", IF(#REF! &lt;= 40, "Medium Usgae", "High Usage")))</f>
        <v>#REF!</v>
      </c>
      <c r="AD2297" t="e">
        <f>IF(#REF!&lt;=150,"Low Usage", IF(#REF!&lt;=200,"Medium Usage", IF(#REF!&lt;=250,"High Usage","Very High Usage")))</f>
        <v>#REF!</v>
      </c>
      <c r="AE2297" t="e">
        <f>IF(#REF!&lt;=5,"Low Calls", IF(#REF!&lt;=10, "Medium Calls", "High Calls"))</f>
        <v>#REF!</v>
      </c>
      <c r="AF2297" t="e">
        <f xml:space="preserve">
IF(#REF!&gt;=4,4,0)+
IF(#REF!="yes",3,0)+
IF(#REF!="High Charges",3,0)+
IF(#REF!&gt;250,4,0)+
IF(#REF!="no",1,0)+
IF(#REF!="Heavy Domestic User",2,0)</f>
        <v>#REF!</v>
      </c>
      <c r="AG2297" t="e">
        <f>IF(#REF!&gt;=10,"High Risk", IF(#REF!&gt;=5,"Medium Risk","Low Risk"))</f>
        <v>#REF!</v>
      </c>
      <c r="AH2297" t="e">
        <f>#REF! + #REF! + #REF! + #REF!</f>
        <v>#REF!</v>
      </c>
    </row>
    <row r="2298" spans="1:34" x14ac:dyDescent="0.35">
      <c r="A2298">
        <v>2297</v>
      </c>
      <c r="B2298" t="s">
        <v>66</v>
      </c>
      <c r="C2298">
        <v>193</v>
      </c>
      <c r="D2298" t="s">
        <v>21</v>
      </c>
      <c r="E2298" t="s">
        <v>22</v>
      </c>
      <c r="F2298" t="s">
        <v>23</v>
      </c>
      <c r="G2298">
        <v>31</v>
      </c>
      <c r="H2298">
        <v>71.2</v>
      </c>
      <c r="I2298">
        <v>58</v>
      </c>
      <c r="J2298">
        <v>12.1</v>
      </c>
      <c r="K2298">
        <v>124.7</v>
      </c>
      <c r="L2298">
        <v>105</v>
      </c>
      <c r="M2298">
        <v>10.6</v>
      </c>
      <c r="N2298">
        <v>155.5</v>
      </c>
      <c r="O2298">
        <v>108</v>
      </c>
      <c r="P2298">
        <v>7</v>
      </c>
      <c r="Q2298">
        <v>11.7</v>
      </c>
      <c r="R2298">
        <v>3</v>
      </c>
      <c r="S2298">
        <v>3.16</v>
      </c>
      <c r="T2298">
        <v>0</v>
      </c>
      <c r="U2298" t="s">
        <v>22</v>
      </c>
      <c r="V2298" t="e">
        <f>IF(#REF! = "yes", 1, 0)</f>
        <v>#REF!</v>
      </c>
      <c r="W2298" t="e">
        <f>IF(#REF! &lt;= 1, "0-1 Calls", IF(#REF! &lt;= 3, "2-3 Calls", IF(#REF! &lt;=5, "4-5 Calls", "6+ Calls")))</f>
        <v>#REF!</v>
      </c>
      <c r="X2298" t="e">
        <f>IF(#REF! &lt;= 50, "0-50", IF(#REF! &lt;=100, "51-100", IF(#REF! &lt;= 150, "101-150", "151+")))</f>
        <v>#REF!</v>
      </c>
      <c r="Y2298" t="e">
        <f>IF(#REF! &lt;= 3, "Low Charges", "High Charges")</f>
        <v>#REF!</v>
      </c>
      <c r="Z2298" t="e">
        <f>IF(#REF!&lt;=80,"Low Calls",
IF(#REF!&lt;=120,"Medium Calls","High Calls"))</f>
        <v>#REF!</v>
      </c>
      <c r="AA2298" t="e">
        <f>IF(#REF!&lt;=15,"Low Charges",
IF(#REF!&lt;=20,"Medium Charges","High Charges"))</f>
        <v>#REF!</v>
      </c>
      <c r="AB2298" t="e">
        <f>IF(AND(#REF!&gt;180, #REF!&gt;200), "Heavy Doemstic User", IF(#REF!&gt;10, "Interntional User", IF(AND(#REF!&lt;180, #REF!&lt;200,#REF!&lt;200), "Light User", "Balanced User")))</f>
        <v>#REF!</v>
      </c>
      <c r="AC2298" t="e">
        <f>IF(#REF! = 0, "No Usage", IF(#REF! &lt;= 20, "Low Usage", IF(#REF! &lt;= 40, "Medium Usgae", "High Usage")))</f>
        <v>#REF!</v>
      </c>
      <c r="AD2298" t="e">
        <f>IF(#REF!&lt;=150,"Low Usage", IF(#REF!&lt;=200,"Medium Usage", IF(#REF!&lt;=250,"High Usage","Very High Usage")))</f>
        <v>#REF!</v>
      </c>
      <c r="AE2298" t="e">
        <f>IF(#REF!&lt;=5,"Low Calls", IF(#REF!&lt;=10, "Medium Calls", "High Calls"))</f>
        <v>#REF!</v>
      </c>
      <c r="AF2298" t="e">
        <f xml:space="preserve">
IF(#REF!&gt;=4,4,0)+
IF(#REF!="yes",3,0)+
IF(#REF!="High Charges",3,0)+
IF(#REF!&gt;250,4,0)+
IF(#REF!="no",1,0)+
IF(#REF!="Heavy Domestic User",2,0)</f>
        <v>#REF!</v>
      </c>
      <c r="AG2298" t="e">
        <f>IF(#REF!&gt;=10,"High Risk", IF(#REF!&gt;=5,"Medium Risk","Low Risk"))</f>
        <v>#REF!</v>
      </c>
      <c r="AH2298" t="e">
        <f>#REF! + #REF! + #REF! + #REF!</f>
        <v>#REF!</v>
      </c>
    </row>
    <row r="2299" spans="1:34" x14ac:dyDescent="0.35">
      <c r="A2299">
        <v>2298</v>
      </c>
      <c r="B2299" t="s">
        <v>31</v>
      </c>
      <c r="C2299">
        <v>63</v>
      </c>
      <c r="D2299" t="s">
        <v>28</v>
      </c>
      <c r="E2299" t="s">
        <v>22</v>
      </c>
      <c r="F2299" t="s">
        <v>22</v>
      </c>
      <c r="G2299">
        <v>0</v>
      </c>
      <c r="H2299">
        <v>261.8</v>
      </c>
      <c r="I2299">
        <v>69</v>
      </c>
      <c r="J2299">
        <v>44.51</v>
      </c>
      <c r="K2299">
        <v>245</v>
      </c>
      <c r="L2299">
        <v>135</v>
      </c>
      <c r="M2299">
        <v>20.83</v>
      </c>
      <c r="N2299">
        <v>202.1</v>
      </c>
      <c r="O2299">
        <v>94</v>
      </c>
      <c r="P2299">
        <v>9.09</v>
      </c>
      <c r="Q2299">
        <v>14.7</v>
      </c>
      <c r="R2299">
        <v>4</v>
      </c>
      <c r="S2299">
        <v>3.97</v>
      </c>
      <c r="T2299">
        <v>0</v>
      </c>
      <c r="U2299" t="s">
        <v>23</v>
      </c>
      <c r="V2299" t="e">
        <f>IF(#REF! = "yes", 1, 0)</f>
        <v>#REF!</v>
      </c>
      <c r="W2299" t="e">
        <f>IF(#REF! &lt;= 1, "0-1 Calls", IF(#REF! &lt;= 3, "2-3 Calls", IF(#REF! &lt;=5, "4-5 Calls", "6+ Calls")))</f>
        <v>#REF!</v>
      </c>
      <c r="X2299" t="e">
        <f>IF(#REF! &lt;= 50, "0-50", IF(#REF! &lt;=100, "51-100", IF(#REF! &lt;= 150, "101-150", "151+")))</f>
        <v>#REF!</v>
      </c>
      <c r="Y2299" t="e">
        <f>IF(#REF! &lt;= 3, "Low Charges", "High Charges")</f>
        <v>#REF!</v>
      </c>
      <c r="Z2299" t="e">
        <f>IF(#REF!&lt;=80,"Low Calls",
IF(#REF!&lt;=120,"Medium Calls","High Calls"))</f>
        <v>#REF!</v>
      </c>
      <c r="AA2299" t="e">
        <f>IF(#REF!&lt;=15,"Low Charges",
IF(#REF!&lt;=20,"Medium Charges","High Charges"))</f>
        <v>#REF!</v>
      </c>
      <c r="AB2299" t="e">
        <f>IF(AND(#REF!&gt;180, #REF!&gt;200), "Heavy Doemstic User", IF(#REF!&gt;10, "Interntional User", IF(AND(#REF!&lt;180, #REF!&lt;200,#REF!&lt;200), "Light User", "Balanced User")))</f>
        <v>#REF!</v>
      </c>
      <c r="AC2299" t="e">
        <f>IF(#REF! = 0, "No Usage", IF(#REF! &lt;= 20, "Low Usage", IF(#REF! &lt;= 40, "Medium Usgae", "High Usage")))</f>
        <v>#REF!</v>
      </c>
      <c r="AD2299" t="e">
        <f>IF(#REF!&lt;=150,"Low Usage", IF(#REF!&lt;=200,"Medium Usage", IF(#REF!&lt;=250,"High Usage","Very High Usage")))</f>
        <v>#REF!</v>
      </c>
      <c r="AE2299" t="e">
        <f>IF(#REF!&lt;=5,"Low Calls", IF(#REF!&lt;=10, "Medium Calls", "High Calls"))</f>
        <v>#REF!</v>
      </c>
      <c r="AF2299" t="e">
        <f xml:space="preserve">
IF(#REF!&gt;=4,4,0)+
IF(#REF!="yes",3,0)+
IF(#REF!="High Charges",3,0)+
IF(#REF!&gt;250,4,0)+
IF(#REF!="no",1,0)+
IF(#REF!="Heavy Domestic User",2,0)</f>
        <v>#REF!</v>
      </c>
      <c r="AG2299" t="e">
        <f>IF(#REF!&gt;=10,"High Risk", IF(#REF!&gt;=5,"Medium Risk","Low Risk"))</f>
        <v>#REF!</v>
      </c>
      <c r="AH2299" t="e">
        <f>#REF! + #REF! + #REF! + #REF!</f>
        <v>#REF!</v>
      </c>
    </row>
    <row r="2300" spans="1:34" x14ac:dyDescent="0.35">
      <c r="A2300">
        <v>2299</v>
      </c>
      <c r="B2300" t="s">
        <v>69</v>
      </c>
      <c r="C2300">
        <v>124</v>
      </c>
      <c r="D2300" t="s">
        <v>28</v>
      </c>
      <c r="E2300" t="s">
        <v>22</v>
      </c>
      <c r="F2300" t="s">
        <v>22</v>
      </c>
      <c r="G2300">
        <v>0</v>
      </c>
      <c r="H2300">
        <v>191.3</v>
      </c>
      <c r="I2300">
        <v>134</v>
      </c>
      <c r="J2300">
        <v>32.520000000000003</v>
      </c>
      <c r="K2300">
        <v>261.5</v>
      </c>
      <c r="L2300">
        <v>113</v>
      </c>
      <c r="M2300">
        <v>22.23</v>
      </c>
      <c r="N2300">
        <v>182.3</v>
      </c>
      <c r="O2300">
        <v>111</v>
      </c>
      <c r="P2300">
        <v>8.1999999999999993</v>
      </c>
      <c r="Q2300">
        <v>10</v>
      </c>
      <c r="R2300">
        <v>3</v>
      </c>
      <c r="S2300">
        <v>2.7</v>
      </c>
      <c r="T2300">
        <v>1</v>
      </c>
      <c r="U2300" t="s">
        <v>22</v>
      </c>
      <c r="V2300" t="e">
        <f>IF(#REF! = "yes", 1, 0)</f>
        <v>#REF!</v>
      </c>
      <c r="W2300" t="e">
        <f>IF(#REF! &lt;= 1, "0-1 Calls", IF(#REF! &lt;= 3, "2-3 Calls", IF(#REF! &lt;=5, "4-5 Calls", "6+ Calls")))</f>
        <v>#REF!</v>
      </c>
      <c r="X2300" t="e">
        <f>IF(#REF! &lt;= 50, "0-50", IF(#REF! &lt;=100, "51-100", IF(#REF! &lt;= 150, "101-150", "151+")))</f>
        <v>#REF!</v>
      </c>
      <c r="Y2300" t="e">
        <f>IF(#REF! &lt;= 3, "Low Charges", "High Charges")</f>
        <v>#REF!</v>
      </c>
      <c r="Z2300" t="e">
        <f>IF(#REF!&lt;=80,"Low Calls",
IF(#REF!&lt;=120,"Medium Calls","High Calls"))</f>
        <v>#REF!</v>
      </c>
      <c r="AA2300" t="e">
        <f>IF(#REF!&lt;=15,"Low Charges",
IF(#REF!&lt;=20,"Medium Charges","High Charges"))</f>
        <v>#REF!</v>
      </c>
      <c r="AB2300" t="e">
        <f>IF(AND(#REF!&gt;180, #REF!&gt;200), "Heavy Doemstic User", IF(#REF!&gt;10, "Interntional User", IF(AND(#REF!&lt;180, #REF!&lt;200,#REF!&lt;200), "Light User", "Balanced User")))</f>
        <v>#REF!</v>
      </c>
      <c r="AC2300" t="e">
        <f>IF(#REF! = 0, "No Usage", IF(#REF! &lt;= 20, "Low Usage", IF(#REF! &lt;= 40, "Medium Usgae", "High Usage")))</f>
        <v>#REF!</v>
      </c>
      <c r="AD2300" t="e">
        <f>IF(#REF!&lt;=150,"Low Usage", IF(#REF!&lt;=200,"Medium Usage", IF(#REF!&lt;=250,"High Usage","Very High Usage")))</f>
        <v>#REF!</v>
      </c>
      <c r="AE2300" t="e">
        <f>IF(#REF!&lt;=5,"Low Calls", IF(#REF!&lt;=10, "Medium Calls", "High Calls"))</f>
        <v>#REF!</v>
      </c>
      <c r="AF2300" t="e">
        <f xml:space="preserve">
IF(#REF!&gt;=4,4,0)+
IF(#REF!="yes",3,0)+
IF(#REF!="High Charges",3,0)+
IF(#REF!&gt;250,4,0)+
IF(#REF!="no",1,0)+
IF(#REF!="Heavy Domestic User",2,0)</f>
        <v>#REF!</v>
      </c>
      <c r="AG2300" t="e">
        <f>IF(#REF!&gt;=10,"High Risk", IF(#REF!&gt;=5,"Medium Risk","Low Risk"))</f>
        <v>#REF!</v>
      </c>
      <c r="AH2300" t="e">
        <f>#REF! + #REF! + #REF! + #REF!</f>
        <v>#REF!</v>
      </c>
    </row>
    <row r="2301" spans="1:34" x14ac:dyDescent="0.35">
      <c r="A2301">
        <v>2300</v>
      </c>
      <c r="B2301" t="s">
        <v>63</v>
      </c>
      <c r="C2301">
        <v>144</v>
      </c>
      <c r="D2301" t="s">
        <v>21</v>
      </c>
      <c r="E2301" t="s">
        <v>22</v>
      </c>
      <c r="F2301" t="s">
        <v>22</v>
      </c>
      <c r="G2301">
        <v>0</v>
      </c>
      <c r="H2301">
        <v>133.30000000000001</v>
      </c>
      <c r="I2301">
        <v>101</v>
      </c>
      <c r="J2301">
        <v>22.66</v>
      </c>
      <c r="K2301">
        <v>255.5</v>
      </c>
      <c r="L2301">
        <v>127</v>
      </c>
      <c r="M2301">
        <v>21.72</v>
      </c>
      <c r="N2301">
        <v>228.6</v>
      </c>
      <c r="O2301">
        <v>68</v>
      </c>
      <c r="P2301">
        <v>10.29</v>
      </c>
      <c r="Q2301">
        <v>11.6</v>
      </c>
      <c r="R2301">
        <v>2</v>
      </c>
      <c r="S2301">
        <v>3.13</v>
      </c>
      <c r="T2301">
        <v>0</v>
      </c>
      <c r="U2301" t="s">
        <v>22</v>
      </c>
      <c r="V2301" t="e">
        <f>IF(#REF! = "yes", 1, 0)</f>
        <v>#REF!</v>
      </c>
      <c r="W2301" t="e">
        <f>IF(#REF! &lt;= 1, "0-1 Calls", IF(#REF! &lt;= 3, "2-3 Calls", IF(#REF! &lt;=5, "4-5 Calls", "6+ Calls")))</f>
        <v>#REF!</v>
      </c>
      <c r="X2301" t="e">
        <f>IF(#REF! &lt;= 50, "0-50", IF(#REF! &lt;=100, "51-100", IF(#REF! &lt;= 150, "101-150", "151+")))</f>
        <v>#REF!</v>
      </c>
      <c r="Y2301" t="e">
        <f>IF(#REF! &lt;= 3, "Low Charges", "High Charges")</f>
        <v>#REF!</v>
      </c>
      <c r="Z2301" t="e">
        <f>IF(#REF!&lt;=80,"Low Calls",
IF(#REF!&lt;=120,"Medium Calls","High Calls"))</f>
        <v>#REF!</v>
      </c>
      <c r="AA2301" t="e">
        <f>IF(#REF!&lt;=15,"Low Charges",
IF(#REF!&lt;=20,"Medium Charges","High Charges"))</f>
        <v>#REF!</v>
      </c>
      <c r="AB2301" t="e">
        <f>IF(AND(#REF!&gt;180, #REF!&gt;200), "Heavy Doemstic User", IF(#REF!&gt;10, "Interntional User", IF(AND(#REF!&lt;180, #REF!&lt;200,#REF!&lt;200), "Light User", "Balanced User")))</f>
        <v>#REF!</v>
      </c>
      <c r="AC2301" t="e">
        <f>IF(#REF! = 0, "No Usage", IF(#REF! &lt;= 20, "Low Usage", IF(#REF! &lt;= 40, "Medium Usgae", "High Usage")))</f>
        <v>#REF!</v>
      </c>
      <c r="AD2301" t="e">
        <f>IF(#REF!&lt;=150,"Low Usage", IF(#REF!&lt;=200,"Medium Usage", IF(#REF!&lt;=250,"High Usage","Very High Usage")))</f>
        <v>#REF!</v>
      </c>
      <c r="AE2301" t="e">
        <f>IF(#REF!&lt;=5,"Low Calls", IF(#REF!&lt;=10, "Medium Calls", "High Calls"))</f>
        <v>#REF!</v>
      </c>
      <c r="AF2301" t="e">
        <f xml:space="preserve">
IF(#REF!&gt;=4,4,0)+
IF(#REF!="yes",3,0)+
IF(#REF!="High Charges",3,0)+
IF(#REF!&gt;250,4,0)+
IF(#REF!="no",1,0)+
IF(#REF!="Heavy Domestic User",2,0)</f>
        <v>#REF!</v>
      </c>
      <c r="AG2301" t="e">
        <f>IF(#REF!&gt;=10,"High Risk", IF(#REF!&gt;=5,"Medium Risk","Low Risk"))</f>
        <v>#REF!</v>
      </c>
      <c r="AH2301" t="e">
        <f>#REF! + #REF! + #REF! + #REF!</f>
        <v>#REF!</v>
      </c>
    </row>
    <row r="2302" spans="1:34" x14ac:dyDescent="0.35">
      <c r="A2302">
        <v>2301</v>
      </c>
      <c r="B2302" t="s">
        <v>46</v>
      </c>
      <c r="C2302">
        <v>116</v>
      </c>
      <c r="D2302" t="s">
        <v>25</v>
      </c>
      <c r="E2302" t="s">
        <v>22</v>
      </c>
      <c r="F2302" t="s">
        <v>23</v>
      </c>
      <c r="G2302">
        <v>24</v>
      </c>
      <c r="H2302">
        <v>183.6</v>
      </c>
      <c r="I2302">
        <v>138</v>
      </c>
      <c r="J2302">
        <v>31.21</v>
      </c>
      <c r="K2302">
        <v>203.8</v>
      </c>
      <c r="L2302">
        <v>90</v>
      </c>
      <c r="M2302">
        <v>17.32</v>
      </c>
      <c r="N2302">
        <v>166.9</v>
      </c>
      <c r="O2302">
        <v>89</v>
      </c>
      <c r="P2302">
        <v>7.51</v>
      </c>
      <c r="Q2302">
        <v>6</v>
      </c>
      <c r="R2302">
        <v>3</v>
      </c>
      <c r="S2302">
        <v>1.62</v>
      </c>
      <c r="T2302">
        <v>2</v>
      </c>
      <c r="U2302" t="s">
        <v>22</v>
      </c>
      <c r="V2302" t="e">
        <f>IF(#REF! = "yes", 1, 0)</f>
        <v>#REF!</v>
      </c>
      <c r="W2302" t="e">
        <f>IF(#REF! &lt;= 1, "0-1 Calls", IF(#REF! &lt;= 3, "2-3 Calls", IF(#REF! &lt;=5, "4-5 Calls", "6+ Calls")))</f>
        <v>#REF!</v>
      </c>
      <c r="X2302" t="e">
        <f>IF(#REF! &lt;= 50, "0-50", IF(#REF! &lt;=100, "51-100", IF(#REF! &lt;= 150, "101-150", "151+")))</f>
        <v>#REF!</v>
      </c>
      <c r="Y2302" t="e">
        <f>IF(#REF! &lt;= 3, "Low Charges", "High Charges")</f>
        <v>#REF!</v>
      </c>
      <c r="Z2302" t="e">
        <f>IF(#REF!&lt;=80,"Low Calls",
IF(#REF!&lt;=120,"Medium Calls","High Calls"))</f>
        <v>#REF!</v>
      </c>
      <c r="AA2302" t="e">
        <f>IF(#REF!&lt;=15,"Low Charges",
IF(#REF!&lt;=20,"Medium Charges","High Charges"))</f>
        <v>#REF!</v>
      </c>
      <c r="AB2302" t="e">
        <f>IF(AND(#REF!&gt;180, #REF!&gt;200), "Heavy Doemstic User", IF(#REF!&gt;10, "Interntional User", IF(AND(#REF!&lt;180, #REF!&lt;200,#REF!&lt;200), "Light User", "Balanced User")))</f>
        <v>#REF!</v>
      </c>
      <c r="AC2302" t="e">
        <f>IF(#REF! = 0, "No Usage", IF(#REF! &lt;= 20, "Low Usage", IF(#REF! &lt;= 40, "Medium Usgae", "High Usage")))</f>
        <v>#REF!</v>
      </c>
      <c r="AD2302" t="e">
        <f>IF(#REF!&lt;=150,"Low Usage", IF(#REF!&lt;=200,"Medium Usage", IF(#REF!&lt;=250,"High Usage","Very High Usage")))</f>
        <v>#REF!</v>
      </c>
      <c r="AE2302" t="e">
        <f>IF(#REF!&lt;=5,"Low Calls", IF(#REF!&lt;=10, "Medium Calls", "High Calls"))</f>
        <v>#REF!</v>
      </c>
      <c r="AF2302" t="e">
        <f xml:space="preserve">
IF(#REF!&gt;=4,4,0)+
IF(#REF!="yes",3,0)+
IF(#REF!="High Charges",3,0)+
IF(#REF!&gt;250,4,0)+
IF(#REF!="no",1,0)+
IF(#REF!="Heavy Domestic User",2,0)</f>
        <v>#REF!</v>
      </c>
      <c r="AG2302" t="e">
        <f>IF(#REF!&gt;=10,"High Risk", IF(#REF!&gt;=5,"Medium Risk","Low Risk"))</f>
        <v>#REF!</v>
      </c>
      <c r="AH2302" t="e">
        <f>#REF! + #REF! + #REF! + #REF!</f>
        <v>#REF!</v>
      </c>
    </row>
    <row r="2303" spans="1:34" x14ac:dyDescent="0.35">
      <c r="A2303">
        <v>2302</v>
      </c>
      <c r="B2303" t="s">
        <v>49</v>
      </c>
      <c r="C2303">
        <v>189</v>
      </c>
      <c r="D2303" t="s">
        <v>21</v>
      </c>
      <c r="E2303" t="s">
        <v>22</v>
      </c>
      <c r="F2303" t="s">
        <v>23</v>
      </c>
      <c r="G2303">
        <v>30</v>
      </c>
      <c r="H2303">
        <v>155.19999999999999</v>
      </c>
      <c r="I2303">
        <v>116</v>
      </c>
      <c r="J2303">
        <v>26.38</v>
      </c>
      <c r="K2303">
        <v>195.5</v>
      </c>
      <c r="L2303">
        <v>50</v>
      </c>
      <c r="M2303">
        <v>16.62</v>
      </c>
      <c r="N2303">
        <v>170.1</v>
      </c>
      <c r="O2303">
        <v>108</v>
      </c>
      <c r="P2303">
        <v>7.65</v>
      </c>
      <c r="Q2303">
        <v>15.4</v>
      </c>
      <c r="R2303">
        <v>6</v>
      </c>
      <c r="S2303">
        <v>4.16</v>
      </c>
      <c r="T2303">
        <v>1</v>
      </c>
      <c r="U2303" t="s">
        <v>22</v>
      </c>
      <c r="V2303" t="e">
        <f>IF(#REF! = "yes", 1, 0)</f>
        <v>#REF!</v>
      </c>
      <c r="W2303" t="e">
        <f>IF(#REF! &lt;= 1, "0-1 Calls", IF(#REF! &lt;= 3, "2-3 Calls", IF(#REF! &lt;=5, "4-5 Calls", "6+ Calls")))</f>
        <v>#REF!</v>
      </c>
      <c r="X2303" t="e">
        <f>IF(#REF! &lt;= 50, "0-50", IF(#REF! &lt;=100, "51-100", IF(#REF! &lt;= 150, "101-150", "151+")))</f>
        <v>#REF!</v>
      </c>
      <c r="Y2303" t="e">
        <f>IF(#REF! &lt;= 3, "Low Charges", "High Charges")</f>
        <v>#REF!</v>
      </c>
      <c r="Z2303" t="e">
        <f>IF(#REF!&lt;=80,"Low Calls",
IF(#REF!&lt;=120,"Medium Calls","High Calls"))</f>
        <v>#REF!</v>
      </c>
      <c r="AA2303" t="e">
        <f>IF(#REF!&lt;=15,"Low Charges",
IF(#REF!&lt;=20,"Medium Charges","High Charges"))</f>
        <v>#REF!</v>
      </c>
      <c r="AB2303" t="e">
        <f>IF(AND(#REF!&gt;180, #REF!&gt;200), "Heavy Doemstic User", IF(#REF!&gt;10, "Interntional User", IF(AND(#REF!&lt;180, #REF!&lt;200,#REF!&lt;200), "Light User", "Balanced User")))</f>
        <v>#REF!</v>
      </c>
      <c r="AC2303" t="e">
        <f>IF(#REF! = 0, "No Usage", IF(#REF! &lt;= 20, "Low Usage", IF(#REF! &lt;= 40, "Medium Usgae", "High Usage")))</f>
        <v>#REF!</v>
      </c>
      <c r="AD2303" t="e">
        <f>IF(#REF!&lt;=150,"Low Usage", IF(#REF!&lt;=200,"Medium Usage", IF(#REF!&lt;=250,"High Usage","Very High Usage")))</f>
        <v>#REF!</v>
      </c>
      <c r="AE2303" t="e">
        <f>IF(#REF!&lt;=5,"Low Calls", IF(#REF!&lt;=10, "Medium Calls", "High Calls"))</f>
        <v>#REF!</v>
      </c>
      <c r="AF2303" t="e">
        <f xml:space="preserve">
IF(#REF!&gt;=4,4,0)+
IF(#REF!="yes",3,0)+
IF(#REF!="High Charges",3,0)+
IF(#REF!&gt;250,4,0)+
IF(#REF!="no",1,0)+
IF(#REF!="Heavy Domestic User",2,0)</f>
        <v>#REF!</v>
      </c>
      <c r="AG2303" t="e">
        <f>IF(#REF!&gt;=10,"High Risk", IF(#REF!&gt;=5,"Medium Risk","Low Risk"))</f>
        <v>#REF!</v>
      </c>
      <c r="AH2303" t="e">
        <f>#REF! + #REF! + #REF! + #REF!</f>
        <v>#REF!</v>
      </c>
    </row>
    <row r="2304" spans="1:34" x14ac:dyDescent="0.35">
      <c r="A2304">
        <v>2303</v>
      </c>
      <c r="B2304" t="s">
        <v>46</v>
      </c>
      <c r="C2304">
        <v>97</v>
      </c>
      <c r="D2304" t="s">
        <v>25</v>
      </c>
      <c r="E2304" t="s">
        <v>22</v>
      </c>
      <c r="F2304" t="s">
        <v>23</v>
      </c>
      <c r="G2304">
        <v>28</v>
      </c>
      <c r="H2304">
        <v>283.10000000000002</v>
      </c>
      <c r="I2304">
        <v>93</v>
      </c>
      <c r="J2304">
        <v>48.13</v>
      </c>
      <c r="K2304">
        <v>185.4</v>
      </c>
      <c r="L2304">
        <v>98</v>
      </c>
      <c r="M2304">
        <v>15.76</v>
      </c>
      <c r="N2304">
        <v>312.8</v>
      </c>
      <c r="O2304">
        <v>78</v>
      </c>
      <c r="P2304">
        <v>14.08</v>
      </c>
      <c r="Q2304">
        <v>6.1</v>
      </c>
      <c r="R2304">
        <v>8</v>
      </c>
      <c r="S2304">
        <v>1.65</v>
      </c>
      <c r="T2304">
        <v>1</v>
      </c>
      <c r="U2304" t="s">
        <v>22</v>
      </c>
      <c r="V2304" t="e">
        <f>IF(#REF! = "yes", 1, 0)</f>
        <v>#REF!</v>
      </c>
      <c r="W2304" t="e">
        <f>IF(#REF! &lt;= 1, "0-1 Calls", IF(#REF! &lt;= 3, "2-3 Calls", IF(#REF! &lt;=5, "4-5 Calls", "6+ Calls")))</f>
        <v>#REF!</v>
      </c>
      <c r="X2304" t="e">
        <f>IF(#REF! &lt;= 50, "0-50", IF(#REF! &lt;=100, "51-100", IF(#REF! &lt;= 150, "101-150", "151+")))</f>
        <v>#REF!</v>
      </c>
      <c r="Y2304" t="e">
        <f>IF(#REF! &lt;= 3, "Low Charges", "High Charges")</f>
        <v>#REF!</v>
      </c>
      <c r="Z2304" t="e">
        <f>IF(#REF!&lt;=80,"Low Calls",
IF(#REF!&lt;=120,"Medium Calls","High Calls"))</f>
        <v>#REF!</v>
      </c>
      <c r="AA2304" t="e">
        <f>IF(#REF!&lt;=15,"Low Charges",
IF(#REF!&lt;=20,"Medium Charges","High Charges"))</f>
        <v>#REF!</v>
      </c>
      <c r="AB2304" t="e">
        <f>IF(AND(#REF!&gt;180, #REF!&gt;200), "Heavy Doemstic User", IF(#REF!&gt;10, "Interntional User", IF(AND(#REF!&lt;180, #REF!&lt;200,#REF!&lt;200), "Light User", "Balanced User")))</f>
        <v>#REF!</v>
      </c>
      <c r="AC2304" t="e">
        <f>IF(#REF! = 0, "No Usage", IF(#REF! &lt;= 20, "Low Usage", IF(#REF! &lt;= 40, "Medium Usgae", "High Usage")))</f>
        <v>#REF!</v>
      </c>
      <c r="AD2304" t="e">
        <f>IF(#REF!&lt;=150,"Low Usage", IF(#REF!&lt;=200,"Medium Usage", IF(#REF!&lt;=250,"High Usage","Very High Usage")))</f>
        <v>#REF!</v>
      </c>
      <c r="AE2304" t="e">
        <f>IF(#REF!&lt;=5,"Low Calls", IF(#REF!&lt;=10, "Medium Calls", "High Calls"))</f>
        <v>#REF!</v>
      </c>
      <c r="AF2304" t="e">
        <f xml:space="preserve">
IF(#REF!&gt;=4,4,0)+
IF(#REF!="yes",3,0)+
IF(#REF!="High Charges",3,0)+
IF(#REF!&gt;250,4,0)+
IF(#REF!="no",1,0)+
IF(#REF!="Heavy Domestic User",2,0)</f>
        <v>#REF!</v>
      </c>
      <c r="AG2304" t="e">
        <f>IF(#REF!&gt;=10,"High Risk", IF(#REF!&gt;=5,"Medium Risk","Low Risk"))</f>
        <v>#REF!</v>
      </c>
      <c r="AH2304" t="e">
        <f>#REF! + #REF! + #REF! + #REF!</f>
        <v>#REF!</v>
      </c>
    </row>
    <row r="2305" spans="1:34" x14ac:dyDescent="0.35">
      <c r="A2305">
        <v>2304</v>
      </c>
      <c r="B2305" t="s">
        <v>31</v>
      </c>
      <c r="C2305">
        <v>137</v>
      </c>
      <c r="D2305" t="s">
        <v>28</v>
      </c>
      <c r="E2305" t="s">
        <v>22</v>
      </c>
      <c r="F2305" t="s">
        <v>23</v>
      </c>
      <c r="G2305">
        <v>50</v>
      </c>
      <c r="H2305">
        <v>186.5</v>
      </c>
      <c r="I2305">
        <v>94</v>
      </c>
      <c r="J2305">
        <v>31.71</v>
      </c>
      <c r="K2305">
        <v>178</v>
      </c>
      <c r="L2305">
        <v>106</v>
      </c>
      <c r="M2305">
        <v>15.13</v>
      </c>
      <c r="N2305">
        <v>215.6</v>
      </c>
      <c r="O2305">
        <v>100</v>
      </c>
      <c r="P2305">
        <v>9.6999999999999993</v>
      </c>
      <c r="Q2305">
        <v>12.1</v>
      </c>
      <c r="R2305">
        <v>4</v>
      </c>
      <c r="S2305">
        <v>3.27</v>
      </c>
      <c r="T2305">
        <v>2</v>
      </c>
      <c r="U2305" t="s">
        <v>22</v>
      </c>
      <c r="V2305" t="e">
        <f>IF(#REF! = "yes", 1, 0)</f>
        <v>#REF!</v>
      </c>
      <c r="W2305" t="e">
        <f>IF(#REF! &lt;= 1, "0-1 Calls", IF(#REF! &lt;= 3, "2-3 Calls", IF(#REF! &lt;=5, "4-5 Calls", "6+ Calls")))</f>
        <v>#REF!</v>
      </c>
      <c r="X2305" t="e">
        <f>IF(#REF! &lt;= 50, "0-50", IF(#REF! &lt;=100, "51-100", IF(#REF! &lt;= 150, "101-150", "151+")))</f>
        <v>#REF!</v>
      </c>
      <c r="Y2305" t="e">
        <f>IF(#REF! &lt;= 3, "Low Charges", "High Charges")</f>
        <v>#REF!</v>
      </c>
      <c r="Z2305" t="e">
        <f>IF(#REF!&lt;=80,"Low Calls",
IF(#REF!&lt;=120,"Medium Calls","High Calls"))</f>
        <v>#REF!</v>
      </c>
      <c r="AA2305" t="e">
        <f>IF(#REF!&lt;=15,"Low Charges",
IF(#REF!&lt;=20,"Medium Charges","High Charges"))</f>
        <v>#REF!</v>
      </c>
      <c r="AB2305" t="e">
        <f>IF(AND(#REF!&gt;180, #REF!&gt;200), "Heavy Doemstic User", IF(#REF!&gt;10, "Interntional User", IF(AND(#REF!&lt;180, #REF!&lt;200,#REF!&lt;200), "Light User", "Balanced User")))</f>
        <v>#REF!</v>
      </c>
      <c r="AC2305" t="e">
        <f>IF(#REF! = 0, "No Usage", IF(#REF! &lt;= 20, "Low Usage", IF(#REF! &lt;= 40, "Medium Usgae", "High Usage")))</f>
        <v>#REF!</v>
      </c>
      <c r="AD2305" t="e">
        <f>IF(#REF!&lt;=150,"Low Usage", IF(#REF!&lt;=200,"Medium Usage", IF(#REF!&lt;=250,"High Usage","Very High Usage")))</f>
        <v>#REF!</v>
      </c>
      <c r="AE2305" t="e">
        <f>IF(#REF!&lt;=5,"Low Calls", IF(#REF!&lt;=10, "Medium Calls", "High Calls"))</f>
        <v>#REF!</v>
      </c>
      <c r="AF2305" t="e">
        <f xml:space="preserve">
IF(#REF!&gt;=4,4,0)+
IF(#REF!="yes",3,0)+
IF(#REF!="High Charges",3,0)+
IF(#REF!&gt;250,4,0)+
IF(#REF!="no",1,0)+
IF(#REF!="Heavy Domestic User",2,0)</f>
        <v>#REF!</v>
      </c>
      <c r="AG2305" t="e">
        <f>IF(#REF!&gt;=10,"High Risk", IF(#REF!&gt;=5,"Medium Risk","Low Risk"))</f>
        <v>#REF!</v>
      </c>
      <c r="AH2305" t="e">
        <f>#REF! + #REF! + #REF! + #REF!</f>
        <v>#REF!</v>
      </c>
    </row>
    <row r="2306" spans="1:34" x14ac:dyDescent="0.35">
      <c r="A2306">
        <v>2305</v>
      </c>
      <c r="B2306" t="s">
        <v>72</v>
      </c>
      <c r="C2306">
        <v>142</v>
      </c>
      <c r="D2306" t="s">
        <v>21</v>
      </c>
      <c r="E2306" t="s">
        <v>22</v>
      </c>
      <c r="F2306" t="s">
        <v>23</v>
      </c>
      <c r="G2306">
        <v>38</v>
      </c>
      <c r="H2306">
        <v>163.30000000000001</v>
      </c>
      <c r="I2306">
        <v>104</v>
      </c>
      <c r="J2306">
        <v>27.76</v>
      </c>
      <c r="K2306">
        <v>136</v>
      </c>
      <c r="L2306">
        <v>114</v>
      </c>
      <c r="M2306">
        <v>11.56</v>
      </c>
      <c r="N2306">
        <v>249.1</v>
      </c>
      <c r="O2306">
        <v>127</v>
      </c>
      <c r="P2306">
        <v>11.21</v>
      </c>
      <c r="Q2306">
        <v>4.3</v>
      </c>
      <c r="R2306">
        <v>6</v>
      </c>
      <c r="S2306">
        <v>1.1599999999999999</v>
      </c>
      <c r="T2306">
        <v>0</v>
      </c>
      <c r="U2306" t="s">
        <v>22</v>
      </c>
      <c r="V2306" t="e">
        <f>IF(#REF! = "yes", 1, 0)</f>
        <v>#REF!</v>
      </c>
      <c r="W2306" t="e">
        <f>IF(#REF! &lt;= 1, "0-1 Calls", IF(#REF! &lt;= 3, "2-3 Calls", IF(#REF! &lt;=5, "4-5 Calls", "6+ Calls")))</f>
        <v>#REF!</v>
      </c>
      <c r="X2306" t="e">
        <f>IF(#REF! &lt;= 50, "0-50", IF(#REF! &lt;=100, "51-100", IF(#REF! &lt;= 150, "101-150", "151+")))</f>
        <v>#REF!</v>
      </c>
      <c r="Y2306" t="e">
        <f>IF(#REF! &lt;= 3, "Low Charges", "High Charges")</f>
        <v>#REF!</v>
      </c>
      <c r="Z2306" t="e">
        <f>IF(#REF!&lt;=80,"Low Calls",
IF(#REF!&lt;=120,"Medium Calls","High Calls"))</f>
        <v>#REF!</v>
      </c>
      <c r="AA2306" t="e">
        <f>IF(#REF!&lt;=15,"Low Charges",
IF(#REF!&lt;=20,"Medium Charges","High Charges"))</f>
        <v>#REF!</v>
      </c>
      <c r="AB2306" t="e">
        <f>IF(AND(#REF!&gt;180, #REF!&gt;200), "Heavy Doemstic User", IF(#REF!&gt;10, "Interntional User", IF(AND(#REF!&lt;180, #REF!&lt;200,#REF!&lt;200), "Light User", "Balanced User")))</f>
        <v>#REF!</v>
      </c>
      <c r="AC2306" t="e">
        <f>IF(#REF! = 0, "No Usage", IF(#REF! &lt;= 20, "Low Usage", IF(#REF! &lt;= 40, "Medium Usgae", "High Usage")))</f>
        <v>#REF!</v>
      </c>
      <c r="AD2306" t="e">
        <f>IF(#REF!&lt;=150,"Low Usage", IF(#REF!&lt;=200,"Medium Usage", IF(#REF!&lt;=250,"High Usage","Very High Usage")))</f>
        <v>#REF!</v>
      </c>
      <c r="AE2306" t="e">
        <f>IF(#REF!&lt;=5,"Low Calls", IF(#REF!&lt;=10, "Medium Calls", "High Calls"))</f>
        <v>#REF!</v>
      </c>
      <c r="AF2306" t="e">
        <f xml:space="preserve">
IF(#REF!&gt;=4,4,0)+
IF(#REF!="yes",3,0)+
IF(#REF!="High Charges",3,0)+
IF(#REF!&gt;250,4,0)+
IF(#REF!="no",1,0)+
IF(#REF!="Heavy Domestic User",2,0)</f>
        <v>#REF!</v>
      </c>
      <c r="AG2306" t="e">
        <f>IF(#REF!&gt;=10,"High Risk", IF(#REF!&gt;=5,"Medium Risk","Low Risk"))</f>
        <v>#REF!</v>
      </c>
      <c r="AH2306" t="e">
        <f>#REF! + #REF! + #REF! + #REF!</f>
        <v>#REF!</v>
      </c>
    </row>
    <row r="2307" spans="1:34" x14ac:dyDescent="0.35">
      <c r="A2307">
        <v>2306</v>
      </c>
      <c r="B2307" t="s">
        <v>26</v>
      </c>
      <c r="C2307">
        <v>84</v>
      </c>
      <c r="D2307" t="s">
        <v>28</v>
      </c>
      <c r="E2307" t="s">
        <v>22</v>
      </c>
      <c r="F2307" t="s">
        <v>22</v>
      </c>
      <c r="G2307">
        <v>0</v>
      </c>
      <c r="H2307">
        <v>203.4</v>
      </c>
      <c r="I2307">
        <v>125</v>
      </c>
      <c r="J2307">
        <v>34.58</v>
      </c>
      <c r="K2307">
        <v>182.9</v>
      </c>
      <c r="L2307">
        <v>88</v>
      </c>
      <c r="M2307">
        <v>15.55</v>
      </c>
      <c r="N2307">
        <v>213.7</v>
      </c>
      <c r="O2307">
        <v>121</v>
      </c>
      <c r="P2307">
        <v>9.6199999999999992</v>
      </c>
      <c r="Q2307">
        <v>13.8</v>
      </c>
      <c r="R2307">
        <v>2</v>
      </c>
      <c r="S2307">
        <v>3.73</v>
      </c>
      <c r="T2307">
        <v>1</v>
      </c>
      <c r="U2307" t="s">
        <v>22</v>
      </c>
      <c r="V2307" t="e">
        <f>IF(#REF! = "yes", 1, 0)</f>
        <v>#REF!</v>
      </c>
      <c r="W2307" t="e">
        <f>IF(#REF! &lt;= 1, "0-1 Calls", IF(#REF! &lt;= 3, "2-3 Calls", IF(#REF! &lt;=5, "4-5 Calls", "6+ Calls")))</f>
        <v>#REF!</v>
      </c>
      <c r="X2307" t="e">
        <f>IF(#REF! &lt;= 50, "0-50", IF(#REF! &lt;=100, "51-100", IF(#REF! &lt;= 150, "101-150", "151+")))</f>
        <v>#REF!</v>
      </c>
      <c r="Y2307" t="e">
        <f>IF(#REF! &lt;= 3, "Low Charges", "High Charges")</f>
        <v>#REF!</v>
      </c>
      <c r="Z2307" t="e">
        <f>IF(#REF!&lt;=80,"Low Calls",
IF(#REF!&lt;=120,"Medium Calls","High Calls"))</f>
        <v>#REF!</v>
      </c>
      <c r="AA2307" t="e">
        <f>IF(#REF!&lt;=15,"Low Charges",
IF(#REF!&lt;=20,"Medium Charges","High Charges"))</f>
        <v>#REF!</v>
      </c>
      <c r="AB2307" t="e">
        <f>IF(AND(#REF!&gt;180, #REF!&gt;200), "Heavy Doemstic User", IF(#REF!&gt;10, "Interntional User", IF(AND(#REF!&lt;180, #REF!&lt;200,#REF!&lt;200), "Light User", "Balanced User")))</f>
        <v>#REF!</v>
      </c>
      <c r="AC2307" t="e">
        <f>IF(#REF! = 0, "No Usage", IF(#REF! &lt;= 20, "Low Usage", IF(#REF! &lt;= 40, "Medium Usgae", "High Usage")))</f>
        <v>#REF!</v>
      </c>
      <c r="AD2307" t="e">
        <f>IF(#REF!&lt;=150,"Low Usage", IF(#REF!&lt;=200,"Medium Usage", IF(#REF!&lt;=250,"High Usage","Very High Usage")))</f>
        <v>#REF!</v>
      </c>
      <c r="AE2307" t="e">
        <f>IF(#REF!&lt;=5,"Low Calls", IF(#REF!&lt;=10, "Medium Calls", "High Calls"))</f>
        <v>#REF!</v>
      </c>
      <c r="AF2307" t="e">
        <f xml:space="preserve">
IF(#REF!&gt;=4,4,0)+
IF(#REF!="yes",3,0)+
IF(#REF!="High Charges",3,0)+
IF(#REF!&gt;250,4,0)+
IF(#REF!="no",1,0)+
IF(#REF!="Heavy Domestic User",2,0)</f>
        <v>#REF!</v>
      </c>
      <c r="AG2307" t="e">
        <f>IF(#REF!&gt;=10,"High Risk", IF(#REF!&gt;=5,"Medium Risk","Low Risk"))</f>
        <v>#REF!</v>
      </c>
      <c r="AH2307" t="e">
        <f>#REF! + #REF! + #REF! + #REF!</f>
        <v>#REF!</v>
      </c>
    </row>
    <row r="2308" spans="1:34" x14ac:dyDescent="0.35">
      <c r="A2308">
        <v>2307</v>
      </c>
      <c r="B2308" t="s">
        <v>46</v>
      </c>
      <c r="C2308">
        <v>119</v>
      </c>
      <c r="D2308" t="s">
        <v>21</v>
      </c>
      <c r="E2308" t="s">
        <v>22</v>
      </c>
      <c r="F2308" t="s">
        <v>23</v>
      </c>
      <c r="G2308">
        <v>19</v>
      </c>
      <c r="H2308">
        <v>178.1</v>
      </c>
      <c r="I2308">
        <v>110</v>
      </c>
      <c r="J2308">
        <v>30.28</v>
      </c>
      <c r="K2308">
        <v>212.8</v>
      </c>
      <c r="L2308">
        <v>100</v>
      </c>
      <c r="M2308">
        <v>18.09</v>
      </c>
      <c r="N2308">
        <v>226.3</v>
      </c>
      <c r="O2308">
        <v>123</v>
      </c>
      <c r="P2308">
        <v>10.18</v>
      </c>
      <c r="Q2308">
        <v>10</v>
      </c>
      <c r="R2308">
        <v>6</v>
      </c>
      <c r="S2308">
        <v>2.7</v>
      </c>
      <c r="T2308">
        <v>1</v>
      </c>
      <c r="U2308" t="s">
        <v>22</v>
      </c>
      <c r="V2308" t="e">
        <f>IF(#REF! = "yes", 1, 0)</f>
        <v>#REF!</v>
      </c>
      <c r="W2308" t="e">
        <f>IF(#REF! &lt;= 1, "0-1 Calls", IF(#REF! &lt;= 3, "2-3 Calls", IF(#REF! &lt;=5, "4-5 Calls", "6+ Calls")))</f>
        <v>#REF!</v>
      </c>
      <c r="X2308" t="e">
        <f>IF(#REF! &lt;= 50, "0-50", IF(#REF! &lt;=100, "51-100", IF(#REF! &lt;= 150, "101-150", "151+")))</f>
        <v>#REF!</v>
      </c>
      <c r="Y2308" t="e">
        <f>IF(#REF! &lt;= 3, "Low Charges", "High Charges")</f>
        <v>#REF!</v>
      </c>
      <c r="Z2308" t="e">
        <f>IF(#REF!&lt;=80,"Low Calls",
IF(#REF!&lt;=120,"Medium Calls","High Calls"))</f>
        <v>#REF!</v>
      </c>
      <c r="AA2308" t="e">
        <f>IF(#REF!&lt;=15,"Low Charges",
IF(#REF!&lt;=20,"Medium Charges","High Charges"))</f>
        <v>#REF!</v>
      </c>
      <c r="AB2308" t="e">
        <f>IF(AND(#REF!&gt;180, #REF!&gt;200), "Heavy Doemstic User", IF(#REF!&gt;10, "Interntional User", IF(AND(#REF!&lt;180, #REF!&lt;200,#REF!&lt;200), "Light User", "Balanced User")))</f>
        <v>#REF!</v>
      </c>
      <c r="AC2308" t="e">
        <f>IF(#REF! = 0, "No Usage", IF(#REF! &lt;= 20, "Low Usage", IF(#REF! &lt;= 40, "Medium Usgae", "High Usage")))</f>
        <v>#REF!</v>
      </c>
      <c r="AD2308" t="e">
        <f>IF(#REF!&lt;=150,"Low Usage", IF(#REF!&lt;=200,"Medium Usage", IF(#REF!&lt;=250,"High Usage","Very High Usage")))</f>
        <v>#REF!</v>
      </c>
      <c r="AE2308" t="e">
        <f>IF(#REF!&lt;=5,"Low Calls", IF(#REF!&lt;=10, "Medium Calls", "High Calls"))</f>
        <v>#REF!</v>
      </c>
      <c r="AF2308" t="e">
        <f xml:space="preserve">
IF(#REF!&gt;=4,4,0)+
IF(#REF!="yes",3,0)+
IF(#REF!="High Charges",3,0)+
IF(#REF!&gt;250,4,0)+
IF(#REF!="no",1,0)+
IF(#REF!="Heavy Domestic User",2,0)</f>
        <v>#REF!</v>
      </c>
      <c r="AG2308" t="e">
        <f>IF(#REF!&gt;=10,"High Risk", IF(#REF!&gt;=5,"Medium Risk","Low Risk"))</f>
        <v>#REF!</v>
      </c>
      <c r="AH2308" t="e">
        <f>#REF! + #REF! + #REF! + #REF!</f>
        <v>#REF!</v>
      </c>
    </row>
    <row r="2309" spans="1:34" x14ac:dyDescent="0.35">
      <c r="A2309">
        <v>2308</v>
      </c>
      <c r="B2309" t="s">
        <v>53</v>
      </c>
      <c r="C2309">
        <v>158</v>
      </c>
      <c r="D2309" t="s">
        <v>21</v>
      </c>
      <c r="E2309" t="s">
        <v>22</v>
      </c>
      <c r="F2309" t="s">
        <v>22</v>
      </c>
      <c r="G2309">
        <v>0</v>
      </c>
      <c r="H2309">
        <v>195.9</v>
      </c>
      <c r="I2309">
        <v>103</v>
      </c>
      <c r="J2309">
        <v>33.299999999999997</v>
      </c>
      <c r="K2309">
        <v>89.1</v>
      </c>
      <c r="L2309">
        <v>95</v>
      </c>
      <c r="M2309">
        <v>7.57</v>
      </c>
      <c r="N2309">
        <v>302.2</v>
      </c>
      <c r="O2309">
        <v>82</v>
      </c>
      <c r="P2309">
        <v>13.6</v>
      </c>
      <c r="Q2309">
        <v>10.3</v>
      </c>
      <c r="R2309">
        <v>3</v>
      </c>
      <c r="S2309">
        <v>2.78</v>
      </c>
      <c r="T2309">
        <v>1</v>
      </c>
      <c r="U2309" t="s">
        <v>22</v>
      </c>
      <c r="V2309" t="e">
        <f>IF(#REF! = "yes", 1, 0)</f>
        <v>#REF!</v>
      </c>
      <c r="W2309" t="e">
        <f>IF(#REF! &lt;= 1, "0-1 Calls", IF(#REF! &lt;= 3, "2-3 Calls", IF(#REF! &lt;=5, "4-5 Calls", "6+ Calls")))</f>
        <v>#REF!</v>
      </c>
      <c r="X2309" t="e">
        <f>IF(#REF! &lt;= 50, "0-50", IF(#REF! &lt;=100, "51-100", IF(#REF! &lt;= 150, "101-150", "151+")))</f>
        <v>#REF!</v>
      </c>
      <c r="Y2309" t="e">
        <f>IF(#REF! &lt;= 3, "Low Charges", "High Charges")</f>
        <v>#REF!</v>
      </c>
      <c r="Z2309" t="e">
        <f>IF(#REF!&lt;=80,"Low Calls",
IF(#REF!&lt;=120,"Medium Calls","High Calls"))</f>
        <v>#REF!</v>
      </c>
      <c r="AA2309" t="e">
        <f>IF(#REF!&lt;=15,"Low Charges",
IF(#REF!&lt;=20,"Medium Charges","High Charges"))</f>
        <v>#REF!</v>
      </c>
      <c r="AB2309" t="e">
        <f>IF(AND(#REF!&gt;180, #REF!&gt;200), "Heavy Doemstic User", IF(#REF!&gt;10, "Interntional User", IF(AND(#REF!&lt;180, #REF!&lt;200,#REF!&lt;200), "Light User", "Balanced User")))</f>
        <v>#REF!</v>
      </c>
      <c r="AC2309" t="e">
        <f>IF(#REF! = 0, "No Usage", IF(#REF! &lt;= 20, "Low Usage", IF(#REF! &lt;= 40, "Medium Usgae", "High Usage")))</f>
        <v>#REF!</v>
      </c>
      <c r="AD2309" t="e">
        <f>IF(#REF!&lt;=150,"Low Usage", IF(#REF!&lt;=200,"Medium Usage", IF(#REF!&lt;=250,"High Usage","Very High Usage")))</f>
        <v>#REF!</v>
      </c>
      <c r="AE2309" t="e">
        <f>IF(#REF!&lt;=5,"Low Calls", IF(#REF!&lt;=10, "Medium Calls", "High Calls"))</f>
        <v>#REF!</v>
      </c>
      <c r="AF2309" t="e">
        <f xml:space="preserve">
IF(#REF!&gt;=4,4,0)+
IF(#REF!="yes",3,0)+
IF(#REF!="High Charges",3,0)+
IF(#REF!&gt;250,4,0)+
IF(#REF!="no",1,0)+
IF(#REF!="Heavy Domestic User",2,0)</f>
        <v>#REF!</v>
      </c>
      <c r="AG2309" t="e">
        <f>IF(#REF!&gt;=10,"High Risk", IF(#REF!&gt;=5,"Medium Risk","Low Risk"))</f>
        <v>#REF!</v>
      </c>
      <c r="AH2309" t="e">
        <f>#REF! + #REF! + #REF! + #REF!</f>
        <v>#REF!</v>
      </c>
    </row>
    <row r="2310" spans="1:34" x14ac:dyDescent="0.35">
      <c r="A2310">
        <v>2309</v>
      </c>
      <c r="B2310" t="s">
        <v>45</v>
      </c>
      <c r="C2310">
        <v>101</v>
      </c>
      <c r="D2310" t="s">
        <v>21</v>
      </c>
      <c r="E2310" t="s">
        <v>22</v>
      </c>
      <c r="F2310" t="s">
        <v>23</v>
      </c>
      <c r="G2310">
        <v>24</v>
      </c>
      <c r="H2310">
        <v>114.1</v>
      </c>
      <c r="I2310">
        <v>95</v>
      </c>
      <c r="J2310">
        <v>19.399999999999999</v>
      </c>
      <c r="K2310">
        <v>161.5</v>
      </c>
      <c r="L2310">
        <v>86</v>
      </c>
      <c r="M2310">
        <v>13.73</v>
      </c>
      <c r="N2310">
        <v>176.3</v>
      </c>
      <c r="O2310">
        <v>90</v>
      </c>
      <c r="P2310">
        <v>7.93</v>
      </c>
      <c r="Q2310">
        <v>13</v>
      </c>
      <c r="R2310">
        <v>9</v>
      </c>
      <c r="S2310">
        <v>3.51</v>
      </c>
      <c r="T2310">
        <v>2</v>
      </c>
      <c r="U2310" t="s">
        <v>22</v>
      </c>
      <c r="V2310" t="e">
        <f>IF(#REF! = "yes", 1, 0)</f>
        <v>#REF!</v>
      </c>
      <c r="W2310" t="e">
        <f>IF(#REF! &lt;= 1, "0-1 Calls", IF(#REF! &lt;= 3, "2-3 Calls", IF(#REF! &lt;=5, "4-5 Calls", "6+ Calls")))</f>
        <v>#REF!</v>
      </c>
      <c r="X2310" t="e">
        <f>IF(#REF! &lt;= 50, "0-50", IF(#REF! &lt;=100, "51-100", IF(#REF! &lt;= 150, "101-150", "151+")))</f>
        <v>#REF!</v>
      </c>
      <c r="Y2310" t="e">
        <f>IF(#REF! &lt;= 3, "Low Charges", "High Charges")</f>
        <v>#REF!</v>
      </c>
      <c r="Z2310" t="e">
        <f>IF(#REF!&lt;=80,"Low Calls",
IF(#REF!&lt;=120,"Medium Calls","High Calls"))</f>
        <v>#REF!</v>
      </c>
      <c r="AA2310" t="e">
        <f>IF(#REF!&lt;=15,"Low Charges",
IF(#REF!&lt;=20,"Medium Charges","High Charges"))</f>
        <v>#REF!</v>
      </c>
      <c r="AB2310" t="e">
        <f>IF(AND(#REF!&gt;180, #REF!&gt;200), "Heavy Doemstic User", IF(#REF!&gt;10, "Interntional User", IF(AND(#REF!&lt;180, #REF!&lt;200,#REF!&lt;200), "Light User", "Balanced User")))</f>
        <v>#REF!</v>
      </c>
      <c r="AC2310" t="e">
        <f>IF(#REF! = 0, "No Usage", IF(#REF! &lt;= 20, "Low Usage", IF(#REF! &lt;= 40, "Medium Usgae", "High Usage")))</f>
        <v>#REF!</v>
      </c>
      <c r="AD2310" t="e">
        <f>IF(#REF!&lt;=150,"Low Usage", IF(#REF!&lt;=200,"Medium Usage", IF(#REF!&lt;=250,"High Usage","Very High Usage")))</f>
        <v>#REF!</v>
      </c>
      <c r="AE2310" t="e">
        <f>IF(#REF!&lt;=5,"Low Calls", IF(#REF!&lt;=10, "Medium Calls", "High Calls"))</f>
        <v>#REF!</v>
      </c>
      <c r="AF2310" t="e">
        <f xml:space="preserve">
IF(#REF!&gt;=4,4,0)+
IF(#REF!="yes",3,0)+
IF(#REF!="High Charges",3,0)+
IF(#REF!&gt;250,4,0)+
IF(#REF!="no",1,0)+
IF(#REF!="Heavy Domestic User",2,0)</f>
        <v>#REF!</v>
      </c>
      <c r="AG2310" t="e">
        <f>IF(#REF!&gt;=10,"High Risk", IF(#REF!&gt;=5,"Medium Risk","Low Risk"))</f>
        <v>#REF!</v>
      </c>
      <c r="AH2310" t="e">
        <f>#REF! + #REF! + #REF! + #REF!</f>
        <v>#REF!</v>
      </c>
    </row>
    <row r="2311" spans="1:34" x14ac:dyDescent="0.35">
      <c r="A2311">
        <v>2310</v>
      </c>
      <c r="B2311" t="s">
        <v>24</v>
      </c>
      <c r="C2311">
        <v>182</v>
      </c>
      <c r="D2311" t="s">
        <v>21</v>
      </c>
      <c r="E2311" t="s">
        <v>22</v>
      </c>
      <c r="F2311" t="s">
        <v>22</v>
      </c>
      <c r="G2311">
        <v>0</v>
      </c>
      <c r="H2311">
        <v>279.10000000000002</v>
      </c>
      <c r="I2311">
        <v>124</v>
      </c>
      <c r="J2311">
        <v>47.45</v>
      </c>
      <c r="K2311">
        <v>180.5</v>
      </c>
      <c r="L2311">
        <v>108</v>
      </c>
      <c r="M2311">
        <v>15.34</v>
      </c>
      <c r="N2311">
        <v>217.5</v>
      </c>
      <c r="O2311">
        <v>104</v>
      </c>
      <c r="P2311">
        <v>9.7899999999999991</v>
      </c>
      <c r="Q2311">
        <v>9.5</v>
      </c>
      <c r="R2311">
        <v>11</v>
      </c>
      <c r="S2311">
        <v>2.57</v>
      </c>
      <c r="T2311">
        <v>2</v>
      </c>
      <c r="U2311" t="s">
        <v>23</v>
      </c>
      <c r="V2311" t="e">
        <f>IF(#REF! = "yes", 1, 0)</f>
        <v>#REF!</v>
      </c>
      <c r="W2311" t="e">
        <f>IF(#REF! &lt;= 1, "0-1 Calls", IF(#REF! &lt;= 3, "2-3 Calls", IF(#REF! &lt;=5, "4-5 Calls", "6+ Calls")))</f>
        <v>#REF!</v>
      </c>
      <c r="X2311" t="e">
        <f>IF(#REF! &lt;= 50, "0-50", IF(#REF! &lt;=100, "51-100", IF(#REF! &lt;= 150, "101-150", "151+")))</f>
        <v>#REF!</v>
      </c>
      <c r="Y2311" t="e">
        <f>IF(#REF! &lt;= 3, "Low Charges", "High Charges")</f>
        <v>#REF!</v>
      </c>
      <c r="Z2311" t="e">
        <f>IF(#REF!&lt;=80,"Low Calls",
IF(#REF!&lt;=120,"Medium Calls","High Calls"))</f>
        <v>#REF!</v>
      </c>
      <c r="AA2311" t="e">
        <f>IF(#REF!&lt;=15,"Low Charges",
IF(#REF!&lt;=20,"Medium Charges","High Charges"))</f>
        <v>#REF!</v>
      </c>
      <c r="AB2311" t="e">
        <f>IF(AND(#REF!&gt;180, #REF!&gt;200), "Heavy Doemstic User", IF(#REF!&gt;10, "Interntional User", IF(AND(#REF!&lt;180, #REF!&lt;200,#REF!&lt;200), "Light User", "Balanced User")))</f>
        <v>#REF!</v>
      </c>
      <c r="AC2311" t="e">
        <f>IF(#REF! = 0, "No Usage", IF(#REF! &lt;= 20, "Low Usage", IF(#REF! &lt;= 40, "Medium Usgae", "High Usage")))</f>
        <v>#REF!</v>
      </c>
      <c r="AD2311" t="e">
        <f>IF(#REF!&lt;=150,"Low Usage", IF(#REF!&lt;=200,"Medium Usage", IF(#REF!&lt;=250,"High Usage","Very High Usage")))</f>
        <v>#REF!</v>
      </c>
      <c r="AE2311" t="e">
        <f>IF(#REF!&lt;=5,"Low Calls", IF(#REF!&lt;=10, "Medium Calls", "High Calls"))</f>
        <v>#REF!</v>
      </c>
      <c r="AF2311" t="e">
        <f xml:space="preserve">
IF(#REF!&gt;=4,4,0)+
IF(#REF!="yes",3,0)+
IF(#REF!="High Charges",3,0)+
IF(#REF!&gt;250,4,0)+
IF(#REF!="no",1,0)+
IF(#REF!="Heavy Domestic User",2,0)</f>
        <v>#REF!</v>
      </c>
      <c r="AG2311" t="e">
        <f>IF(#REF!&gt;=10,"High Risk", IF(#REF!&gt;=5,"Medium Risk","Low Risk"))</f>
        <v>#REF!</v>
      </c>
      <c r="AH2311" t="e">
        <f>#REF! + #REF! + #REF! + #REF!</f>
        <v>#REF!</v>
      </c>
    </row>
    <row r="2312" spans="1:34" x14ac:dyDescent="0.35">
      <c r="A2312">
        <v>2311</v>
      </c>
      <c r="B2312" t="s">
        <v>31</v>
      </c>
      <c r="C2312">
        <v>51</v>
      </c>
      <c r="D2312" t="s">
        <v>25</v>
      </c>
      <c r="E2312" t="s">
        <v>22</v>
      </c>
      <c r="F2312" t="s">
        <v>22</v>
      </c>
      <c r="G2312">
        <v>0</v>
      </c>
      <c r="H2312">
        <v>169.3</v>
      </c>
      <c r="I2312">
        <v>111</v>
      </c>
      <c r="J2312">
        <v>28.78</v>
      </c>
      <c r="K2312">
        <v>139.5</v>
      </c>
      <c r="L2312">
        <v>69</v>
      </c>
      <c r="M2312">
        <v>11.86</v>
      </c>
      <c r="N2312">
        <v>197</v>
      </c>
      <c r="O2312">
        <v>87</v>
      </c>
      <c r="P2312">
        <v>8.8699999999999992</v>
      </c>
      <c r="Q2312">
        <v>12</v>
      </c>
      <c r="R2312">
        <v>3</v>
      </c>
      <c r="S2312">
        <v>3.24</v>
      </c>
      <c r="T2312">
        <v>0</v>
      </c>
      <c r="U2312" t="s">
        <v>22</v>
      </c>
      <c r="V2312" t="e">
        <f>IF(#REF! = "yes", 1, 0)</f>
        <v>#REF!</v>
      </c>
      <c r="W2312" t="e">
        <f>IF(#REF! &lt;= 1, "0-1 Calls", IF(#REF! &lt;= 3, "2-3 Calls", IF(#REF! &lt;=5, "4-5 Calls", "6+ Calls")))</f>
        <v>#REF!</v>
      </c>
      <c r="X2312" t="e">
        <f>IF(#REF! &lt;= 50, "0-50", IF(#REF! &lt;=100, "51-100", IF(#REF! &lt;= 150, "101-150", "151+")))</f>
        <v>#REF!</v>
      </c>
      <c r="Y2312" t="e">
        <f>IF(#REF! &lt;= 3, "Low Charges", "High Charges")</f>
        <v>#REF!</v>
      </c>
      <c r="Z2312" t="e">
        <f>IF(#REF!&lt;=80,"Low Calls",
IF(#REF!&lt;=120,"Medium Calls","High Calls"))</f>
        <v>#REF!</v>
      </c>
      <c r="AA2312" t="e">
        <f>IF(#REF!&lt;=15,"Low Charges",
IF(#REF!&lt;=20,"Medium Charges","High Charges"))</f>
        <v>#REF!</v>
      </c>
      <c r="AB2312" t="e">
        <f>IF(AND(#REF!&gt;180, #REF!&gt;200), "Heavy Doemstic User", IF(#REF!&gt;10, "Interntional User", IF(AND(#REF!&lt;180, #REF!&lt;200,#REF!&lt;200), "Light User", "Balanced User")))</f>
        <v>#REF!</v>
      </c>
      <c r="AC2312" t="e">
        <f>IF(#REF! = 0, "No Usage", IF(#REF! &lt;= 20, "Low Usage", IF(#REF! &lt;= 40, "Medium Usgae", "High Usage")))</f>
        <v>#REF!</v>
      </c>
      <c r="AD2312" t="e">
        <f>IF(#REF!&lt;=150,"Low Usage", IF(#REF!&lt;=200,"Medium Usage", IF(#REF!&lt;=250,"High Usage","Very High Usage")))</f>
        <v>#REF!</v>
      </c>
      <c r="AE2312" t="e">
        <f>IF(#REF!&lt;=5,"Low Calls", IF(#REF!&lt;=10, "Medium Calls", "High Calls"))</f>
        <v>#REF!</v>
      </c>
      <c r="AF2312" t="e">
        <f xml:space="preserve">
IF(#REF!&gt;=4,4,0)+
IF(#REF!="yes",3,0)+
IF(#REF!="High Charges",3,0)+
IF(#REF!&gt;250,4,0)+
IF(#REF!="no",1,0)+
IF(#REF!="Heavy Domestic User",2,0)</f>
        <v>#REF!</v>
      </c>
      <c r="AG2312" t="e">
        <f>IF(#REF!&gt;=10,"High Risk", IF(#REF!&gt;=5,"Medium Risk","Low Risk"))</f>
        <v>#REF!</v>
      </c>
      <c r="AH2312" t="e">
        <f>#REF! + #REF! + #REF! + #REF!</f>
        <v>#REF!</v>
      </c>
    </row>
    <row r="2313" spans="1:34" x14ac:dyDescent="0.35">
      <c r="A2313">
        <v>2312</v>
      </c>
      <c r="B2313" t="s">
        <v>58</v>
      </c>
      <c r="C2313">
        <v>117</v>
      </c>
      <c r="D2313" t="s">
        <v>28</v>
      </c>
      <c r="E2313" t="s">
        <v>22</v>
      </c>
      <c r="F2313" t="s">
        <v>22</v>
      </c>
      <c r="G2313">
        <v>0</v>
      </c>
      <c r="H2313">
        <v>214.4</v>
      </c>
      <c r="I2313">
        <v>94</v>
      </c>
      <c r="J2313">
        <v>36.450000000000003</v>
      </c>
      <c r="K2313">
        <v>138</v>
      </c>
      <c r="L2313">
        <v>149</v>
      </c>
      <c r="M2313">
        <v>11.73</v>
      </c>
      <c r="N2313">
        <v>148.69999999999999</v>
      </c>
      <c r="O2313">
        <v>102</v>
      </c>
      <c r="P2313">
        <v>6.69</v>
      </c>
      <c r="Q2313">
        <v>9.9</v>
      </c>
      <c r="R2313">
        <v>1</v>
      </c>
      <c r="S2313">
        <v>2.67</v>
      </c>
      <c r="T2313">
        <v>2</v>
      </c>
      <c r="U2313" t="s">
        <v>22</v>
      </c>
      <c r="V2313" t="e">
        <f>IF(#REF! = "yes", 1, 0)</f>
        <v>#REF!</v>
      </c>
      <c r="W2313" t="e">
        <f>IF(#REF! &lt;= 1, "0-1 Calls", IF(#REF! &lt;= 3, "2-3 Calls", IF(#REF! &lt;=5, "4-5 Calls", "6+ Calls")))</f>
        <v>#REF!</v>
      </c>
      <c r="X2313" t="e">
        <f>IF(#REF! &lt;= 50, "0-50", IF(#REF! &lt;=100, "51-100", IF(#REF! &lt;= 150, "101-150", "151+")))</f>
        <v>#REF!</v>
      </c>
      <c r="Y2313" t="e">
        <f>IF(#REF! &lt;= 3, "Low Charges", "High Charges")</f>
        <v>#REF!</v>
      </c>
      <c r="Z2313" t="e">
        <f>IF(#REF!&lt;=80,"Low Calls",
IF(#REF!&lt;=120,"Medium Calls","High Calls"))</f>
        <v>#REF!</v>
      </c>
      <c r="AA2313" t="e">
        <f>IF(#REF!&lt;=15,"Low Charges",
IF(#REF!&lt;=20,"Medium Charges","High Charges"))</f>
        <v>#REF!</v>
      </c>
      <c r="AB2313" t="e">
        <f>IF(AND(#REF!&gt;180, #REF!&gt;200), "Heavy Doemstic User", IF(#REF!&gt;10, "Interntional User", IF(AND(#REF!&lt;180, #REF!&lt;200,#REF!&lt;200), "Light User", "Balanced User")))</f>
        <v>#REF!</v>
      </c>
      <c r="AC2313" t="e">
        <f>IF(#REF! = 0, "No Usage", IF(#REF! &lt;= 20, "Low Usage", IF(#REF! &lt;= 40, "Medium Usgae", "High Usage")))</f>
        <v>#REF!</v>
      </c>
      <c r="AD2313" t="e">
        <f>IF(#REF!&lt;=150,"Low Usage", IF(#REF!&lt;=200,"Medium Usage", IF(#REF!&lt;=250,"High Usage","Very High Usage")))</f>
        <v>#REF!</v>
      </c>
      <c r="AE2313" t="e">
        <f>IF(#REF!&lt;=5,"Low Calls", IF(#REF!&lt;=10, "Medium Calls", "High Calls"))</f>
        <v>#REF!</v>
      </c>
      <c r="AF2313" t="e">
        <f xml:space="preserve">
IF(#REF!&gt;=4,4,0)+
IF(#REF!="yes",3,0)+
IF(#REF!="High Charges",3,0)+
IF(#REF!&gt;250,4,0)+
IF(#REF!="no",1,0)+
IF(#REF!="Heavy Domestic User",2,0)</f>
        <v>#REF!</v>
      </c>
      <c r="AG2313" t="e">
        <f>IF(#REF!&gt;=10,"High Risk", IF(#REF!&gt;=5,"Medium Risk","Low Risk"))</f>
        <v>#REF!</v>
      </c>
      <c r="AH2313" t="e">
        <f>#REF! + #REF! + #REF! + #REF!</f>
        <v>#REF!</v>
      </c>
    </row>
    <row r="2314" spans="1:34" x14ac:dyDescent="0.35">
      <c r="A2314">
        <v>2313</v>
      </c>
      <c r="B2314" t="s">
        <v>73</v>
      </c>
      <c r="C2314">
        <v>92</v>
      </c>
      <c r="D2314" t="s">
        <v>21</v>
      </c>
      <c r="E2314" t="s">
        <v>23</v>
      </c>
      <c r="F2314" t="s">
        <v>22</v>
      </c>
      <c r="G2314">
        <v>0</v>
      </c>
      <c r="H2314">
        <v>255.8</v>
      </c>
      <c r="I2314">
        <v>125</v>
      </c>
      <c r="J2314">
        <v>43.49</v>
      </c>
      <c r="K2314">
        <v>142.69999999999999</v>
      </c>
      <c r="L2314">
        <v>111</v>
      </c>
      <c r="M2314">
        <v>12.13</v>
      </c>
      <c r="N2314">
        <v>181.2</v>
      </c>
      <c r="O2314">
        <v>101</v>
      </c>
      <c r="P2314">
        <v>8.15</v>
      </c>
      <c r="Q2314">
        <v>11.7</v>
      </c>
      <c r="R2314">
        <v>3</v>
      </c>
      <c r="S2314">
        <v>3.16</v>
      </c>
      <c r="T2314">
        <v>0</v>
      </c>
      <c r="U2314" t="s">
        <v>22</v>
      </c>
      <c r="V2314" t="e">
        <f>IF(#REF! = "yes", 1, 0)</f>
        <v>#REF!</v>
      </c>
      <c r="W2314" t="e">
        <f>IF(#REF! &lt;= 1, "0-1 Calls", IF(#REF! &lt;= 3, "2-3 Calls", IF(#REF! &lt;=5, "4-5 Calls", "6+ Calls")))</f>
        <v>#REF!</v>
      </c>
      <c r="X2314" t="e">
        <f>IF(#REF! &lt;= 50, "0-50", IF(#REF! &lt;=100, "51-100", IF(#REF! &lt;= 150, "101-150", "151+")))</f>
        <v>#REF!</v>
      </c>
      <c r="Y2314" t="e">
        <f>IF(#REF! &lt;= 3, "Low Charges", "High Charges")</f>
        <v>#REF!</v>
      </c>
      <c r="Z2314" t="e">
        <f>IF(#REF!&lt;=80,"Low Calls",
IF(#REF!&lt;=120,"Medium Calls","High Calls"))</f>
        <v>#REF!</v>
      </c>
      <c r="AA2314" t="e">
        <f>IF(#REF!&lt;=15,"Low Charges",
IF(#REF!&lt;=20,"Medium Charges","High Charges"))</f>
        <v>#REF!</v>
      </c>
      <c r="AB2314" t="e">
        <f>IF(AND(#REF!&gt;180, #REF!&gt;200), "Heavy Doemstic User", IF(#REF!&gt;10, "Interntional User", IF(AND(#REF!&lt;180, #REF!&lt;200,#REF!&lt;200), "Light User", "Balanced User")))</f>
        <v>#REF!</v>
      </c>
      <c r="AC2314" t="e">
        <f>IF(#REF! = 0, "No Usage", IF(#REF! &lt;= 20, "Low Usage", IF(#REF! &lt;= 40, "Medium Usgae", "High Usage")))</f>
        <v>#REF!</v>
      </c>
      <c r="AD2314" t="e">
        <f>IF(#REF!&lt;=150,"Low Usage", IF(#REF!&lt;=200,"Medium Usage", IF(#REF!&lt;=250,"High Usage","Very High Usage")))</f>
        <v>#REF!</v>
      </c>
      <c r="AE2314" t="e">
        <f>IF(#REF!&lt;=5,"Low Calls", IF(#REF!&lt;=10, "Medium Calls", "High Calls"))</f>
        <v>#REF!</v>
      </c>
      <c r="AF2314" t="e">
        <f xml:space="preserve">
IF(#REF!&gt;=4,4,0)+
IF(#REF!="yes",3,0)+
IF(#REF!="High Charges",3,0)+
IF(#REF!&gt;250,4,0)+
IF(#REF!="no",1,0)+
IF(#REF!="Heavy Domestic User",2,0)</f>
        <v>#REF!</v>
      </c>
      <c r="AG2314" t="e">
        <f>IF(#REF!&gt;=10,"High Risk", IF(#REF!&gt;=5,"Medium Risk","Low Risk"))</f>
        <v>#REF!</v>
      </c>
      <c r="AH2314" t="e">
        <f>#REF! + #REF! + #REF! + #REF!</f>
        <v>#REF!</v>
      </c>
    </row>
    <row r="2315" spans="1:34" x14ac:dyDescent="0.35">
      <c r="A2315">
        <v>2314</v>
      </c>
      <c r="B2315" t="s">
        <v>53</v>
      </c>
      <c r="C2315">
        <v>86</v>
      </c>
      <c r="D2315" t="s">
        <v>25</v>
      </c>
      <c r="E2315" t="s">
        <v>22</v>
      </c>
      <c r="F2315" t="s">
        <v>22</v>
      </c>
      <c r="G2315">
        <v>0</v>
      </c>
      <c r="H2315">
        <v>148.19999999999999</v>
      </c>
      <c r="I2315">
        <v>71</v>
      </c>
      <c r="J2315">
        <v>25.19</v>
      </c>
      <c r="K2315">
        <v>285.10000000000002</v>
      </c>
      <c r="L2315">
        <v>91</v>
      </c>
      <c r="M2315">
        <v>24.23</v>
      </c>
      <c r="N2315">
        <v>166.4</v>
      </c>
      <c r="O2315">
        <v>155</v>
      </c>
      <c r="P2315">
        <v>7.49</v>
      </c>
      <c r="Q2315">
        <v>6.2</v>
      </c>
      <c r="R2315">
        <v>3</v>
      </c>
      <c r="S2315">
        <v>1.67</v>
      </c>
      <c r="T2315">
        <v>2</v>
      </c>
      <c r="U2315" t="s">
        <v>22</v>
      </c>
      <c r="V2315" t="e">
        <f>IF(#REF! = "yes", 1, 0)</f>
        <v>#REF!</v>
      </c>
      <c r="W2315" t="e">
        <f>IF(#REF! &lt;= 1, "0-1 Calls", IF(#REF! &lt;= 3, "2-3 Calls", IF(#REF! &lt;=5, "4-5 Calls", "6+ Calls")))</f>
        <v>#REF!</v>
      </c>
      <c r="X2315" t="e">
        <f>IF(#REF! &lt;= 50, "0-50", IF(#REF! &lt;=100, "51-100", IF(#REF! &lt;= 150, "101-150", "151+")))</f>
        <v>#REF!</v>
      </c>
      <c r="Y2315" t="e">
        <f>IF(#REF! &lt;= 3, "Low Charges", "High Charges")</f>
        <v>#REF!</v>
      </c>
      <c r="Z2315" t="e">
        <f>IF(#REF!&lt;=80,"Low Calls",
IF(#REF!&lt;=120,"Medium Calls","High Calls"))</f>
        <v>#REF!</v>
      </c>
      <c r="AA2315" t="e">
        <f>IF(#REF!&lt;=15,"Low Charges",
IF(#REF!&lt;=20,"Medium Charges","High Charges"))</f>
        <v>#REF!</v>
      </c>
      <c r="AB2315" t="e">
        <f>IF(AND(#REF!&gt;180, #REF!&gt;200), "Heavy Doemstic User", IF(#REF!&gt;10, "Interntional User", IF(AND(#REF!&lt;180, #REF!&lt;200,#REF!&lt;200), "Light User", "Balanced User")))</f>
        <v>#REF!</v>
      </c>
      <c r="AC2315" t="e">
        <f>IF(#REF! = 0, "No Usage", IF(#REF! &lt;= 20, "Low Usage", IF(#REF! &lt;= 40, "Medium Usgae", "High Usage")))</f>
        <v>#REF!</v>
      </c>
      <c r="AD2315" t="e">
        <f>IF(#REF!&lt;=150,"Low Usage", IF(#REF!&lt;=200,"Medium Usage", IF(#REF!&lt;=250,"High Usage","Very High Usage")))</f>
        <v>#REF!</v>
      </c>
      <c r="AE2315" t="e">
        <f>IF(#REF!&lt;=5,"Low Calls", IF(#REF!&lt;=10, "Medium Calls", "High Calls"))</f>
        <v>#REF!</v>
      </c>
      <c r="AF2315" t="e">
        <f xml:space="preserve">
IF(#REF!&gt;=4,4,0)+
IF(#REF!="yes",3,0)+
IF(#REF!="High Charges",3,0)+
IF(#REF!&gt;250,4,0)+
IF(#REF!="no",1,0)+
IF(#REF!="Heavy Domestic User",2,0)</f>
        <v>#REF!</v>
      </c>
      <c r="AG2315" t="e">
        <f>IF(#REF!&gt;=10,"High Risk", IF(#REF!&gt;=5,"Medium Risk","Low Risk"))</f>
        <v>#REF!</v>
      </c>
      <c r="AH2315" t="e">
        <f>#REF! + #REF! + #REF! + #REF!</f>
        <v>#REF!</v>
      </c>
    </row>
    <row r="2316" spans="1:34" x14ac:dyDescent="0.35">
      <c r="A2316">
        <v>2315</v>
      </c>
      <c r="B2316" t="s">
        <v>44</v>
      </c>
      <c r="C2316">
        <v>122</v>
      </c>
      <c r="D2316" t="s">
        <v>21</v>
      </c>
      <c r="E2316" t="s">
        <v>22</v>
      </c>
      <c r="F2316" t="s">
        <v>22</v>
      </c>
      <c r="G2316">
        <v>0</v>
      </c>
      <c r="H2316">
        <v>119.3</v>
      </c>
      <c r="I2316">
        <v>93</v>
      </c>
      <c r="J2316">
        <v>20.28</v>
      </c>
      <c r="K2316">
        <v>223.9</v>
      </c>
      <c r="L2316">
        <v>103</v>
      </c>
      <c r="M2316">
        <v>19.03</v>
      </c>
      <c r="N2316">
        <v>211.9</v>
      </c>
      <c r="O2316">
        <v>122</v>
      </c>
      <c r="P2316">
        <v>9.5399999999999991</v>
      </c>
      <c r="Q2316">
        <v>8.6999999999999993</v>
      </c>
      <c r="R2316">
        <v>4</v>
      </c>
      <c r="S2316">
        <v>2.35</v>
      </c>
      <c r="T2316">
        <v>2</v>
      </c>
      <c r="U2316" t="s">
        <v>22</v>
      </c>
      <c r="V2316" t="e">
        <f>IF(#REF! = "yes", 1, 0)</f>
        <v>#REF!</v>
      </c>
      <c r="W2316" t="e">
        <f>IF(#REF! &lt;= 1, "0-1 Calls", IF(#REF! &lt;= 3, "2-3 Calls", IF(#REF! &lt;=5, "4-5 Calls", "6+ Calls")))</f>
        <v>#REF!</v>
      </c>
      <c r="X2316" t="e">
        <f>IF(#REF! &lt;= 50, "0-50", IF(#REF! &lt;=100, "51-100", IF(#REF! &lt;= 150, "101-150", "151+")))</f>
        <v>#REF!</v>
      </c>
      <c r="Y2316" t="e">
        <f>IF(#REF! &lt;= 3, "Low Charges", "High Charges")</f>
        <v>#REF!</v>
      </c>
      <c r="Z2316" t="e">
        <f>IF(#REF!&lt;=80,"Low Calls",
IF(#REF!&lt;=120,"Medium Calls","High Calls"))</f>
        <v>#REF!</v>
      </c>
      <c r="AA2316" t="e">
        <f>IF(#REF!&lt;=15,"Low Charges",
IF(#REF!&lt;=20,"Medium Charges","High Charges"))</f>
        <v>#REF!</v>
      </c>
      <c r="AB2316" t="e">
        <f>IF(AND(#REF!&gt;180, #REF!&gt;200), "Heavy Doemstic User", IF(#REF!&gt;10, "Interntional User", IF(AND(#REF!&lt;180, #REF!&lt;200,#REF!&lt;200), "Light User", "Balanced User")))</f>
        <v>#REF!</v>
      </c>
      <c r="AC2316" t="e">
        <f>IF(#REF! = 0, "No Usage", IF(#REF! &lt;= 20, "Low Usage", IF(#REF! &lt;= 40, "Medium Usgae", "High Usage")))</f>
        <v>#REF!</v>
      </c>
      <c r="AD2316" t="e">
        <f>IF(#REF!&lt;=150,"Low Usage", IF(#REF!&lt;=200,"Medium Usage", IF(#REF!&lt;=250,"High Usage","Very High Usage")))</f>
        <v>#REF!</v>
      </c>
      <c r="AE2316" t="e">
        <f>IF(#REF!&lt;=5,"Low Calls", IF(#REF!&lt;=10, "Medium Calls", "High Calls"))</f>
        <v>#REF!</v>
      </c>
      <c r="AF2316" t="e">
        <f xml:space="preserve">
IF(#REF!&gt;=4,4,0)+
IF(#REF!="yes",3,0)+
IF(#REF!="High Charges",3,0)+
IF(#REF!&gt;250,4,0)+
IF(#REF!="no",1,0)+
IF(#REF!="Heavy Domestic User",2,0)</f>
        <v>#REF!</v>
      </c>
      <c r="AG2316" t="e">
        <f>IF(#REF!&gt;=10,"High Risk", IF(#REF!&gt;=5,"Medium Risk","Low Risk"))</f>
        <v>#REF!</v>
      </c>
      <c r="AH2316" t="e">
        <f>#REF! + #REF! + #REF! + #REF!</f>
        <v>#REF!</v>
      </c>
    </row>
    <row r="2317" spans="1:34" x14ac:dyDescent="0.35">
      <c r="A2317">
        <v>2316</v>
      </c>
      <c r="B2317" t="s">
        <v>24</v>
      </c>
      <c r="C2317">
        <v>127</v>
      </c>
      <c r="D2317" t="s">
        <v>28</v>
      </c>
      <c r="E2317" t="s">
        <v>22</v>
      </c>
      <c r="F2317" t="s">
        <v>22</v>
      </c>
      <c r="G2317">
        <v>0</v>
      </c>
      <c r="H2317">
        <v>245.2</v>
      </c>
      <c r="I2317">
        <v>91</v>
      </c>
      <c r="J2317">
        <v>41.68</v>
      </c>
      <c r="K2317">
        <v>217.2</v>
      </c>
      <c r="L2317">
        <v>92</v>
      </c>
      <c r="M2317">
        <v>18.46</v>
      </c>
      <c r="N2317">
        <v>243.1</v>
      </c>
      <c r="O2317">
        <v>128</v>
      </c>
      <c r="P2317">
        <v>10.94</v>
      </c>
      <c r="Q2317">
        <v>13.9</v>
      </c>
      <c r="R2317">
        <v>6</v>
      </c>
      <c r="S2317">
        <v>3.75</v>
      </c>
      <c r="T2317">
        <v>0</v>
      </c>
      <c r="U2317" t="s">
        <v>23</v>
      </c>
      <c r="V2317" t="e">
        <f>IF(#REF! = "yes", 1, 0)</f>
        <v>#REF!</v>
      </c>
      <c r="W2317" t="e">
        <f>IF(#REF! &lt;= 1, "0-1 Calls", IF(#REF! &lt;= 3, "2-3 Calls", IF(#REF! &lt;=5, "4-5 Calls", "6+ Calls")))</f>
        <v>#REF!</v>
      </c>
      <c r="X2317" t="e">
        <f>IF(#REF! &lt;= 50, "0-50", IF(#REF! &lt;=100, "51-100", IF(#REF! &lt;= 150, "101-150", "151+")))</f>
        <v>#REF!</v>
      </c>
      <c r="Y2317" t="e">
        <f>IF(#REF! &lt;= 3, "Low Charges", "High Charges")</f>
        <v>#REF!</v>
      </c>
      <c r="Z2317" t="e">
        <f>IF(#REF!&lt;=80,"Low Calls",
IF(#REF!&lt;=120,"Medium Calls","High Calls"))</f>
        <v>#REF!</v>
      </c>
      <c r="AA2317" t="e">
        <f>IF(#REF!&lt;=15,"Low Charges",
IF(#REF!&lt;=20,"Medium Charges","High Charges"))</f>
        <v>#REF!</v>
      </c>
      <c r="AB2317" t="e">
        <f>IF(AND(#REF!&gt;180, #REF!&gt;200), "Heavy Doemstic User", IF(#REF!&gt;10, "Interntional User", IF(AND(#REF!&lt;180, #REF!&lt;200,#REF!&lt;200), "Light User", "Balanced User")))</f>
        <v>#REF!</v>
      </c>
      <c r="AC2317" t="e">
        <f>IF(#REF! = 0, "No Usage", IF(#REF! &lt;= 20, "Low Usage", IF(#REF! &lt;= 40, "Medium Usgae", "High Usage")))</f>
        <v>#REF!</v>
      </c>
      <c r="AD2317" t="e">
        <f>IF(#REF!&lt;=150,"Low Usage", IF(#REF!&lt;=200,"Medium Usage", IF(#REF!&lt;=250,"High Usage","Very High Usage")))</f>
        <v>#REF!</v>
      </c>
      <c r="AE2317" t="e">
        <f>IF(#REF!&lt;=5,"Low Calls", IF(#REF!&lt;=10, "Medium Calls", "High Calls"))</f>
        <v>#REF!</v>
      </c>
      <c r="AF2317" t="e">
        <f xml:space="preserve">
IF(#REF!&gt;=4,4,0)+
IF(#REF!="yes",3,0)+
IF(#REF!="High Charges",3,0)+
IF(#REF!&gt;250,4,0)+
IF(#REF!="no",1,0)+
IF(#REF!="Heavy Domestic User",2,0)</f>
        <v>#REF!</v>
      </c>
      <c r="AG2317" t="e">
        <f>IF(#REF!&gt;=10,"High Risk", IF(#REF!&gt;=5,"Medium Risk","Low Risk"))</f>
        <v>#REF!</v>
      </c>
      <c r="AH2317" t="e">
        <f>#REF! + #REF! + #REF! + #REF!</f>
        <v>#REF!</v>
      </c>
    </row>
    <row r="2318" spans="1:34" x14ac:dyDescent="0.35">
      <c r="A2318">
        <v>2317</v>
      </c>
      <c r="B2318" t="s">
        <v>61</v>
      </c>
      <c r="C2318">
        <v>158</v>
      </c>
      <c r="D2318" t="s">
        <v>25</v>
      </c>
      <c r="E2318" t="s">
        <v>22</v>
      </c>
      <c r="F2318" t="s">
        <v>22</v>
      </c>
      <c r="G2318">
        <v>0</v>
      </c>
      <c r="H2318">
        <v>172.4</v>
      </c>
      <c r="I2318">
        <v>114</v>
      </c>
      <c r="J2318">
        <v>29.31</v>
      </c>
      <c r="K2318">
        <v>256.60000000000002</v>
      </c>
      <c r="L2318">
        <v>69</v>
      </c>
      <c r="M2318">
        <v>21.81</v>
      </c>
      <c r="N2318">
        <v>235.3</v>
      </c>
      <c r="O2318">
        <v>104</v>
      </c>
      <c r="P2318">
        <v>10.59</v>
      </c>
      <c r="Q2318">
        <v>0</v>
      </c>
      <c r="R2318">
        <v>0</v>
      </c>
      <c r="S2318">
        <v>0</v>
      </c>
      <c r="T2318">
        <v>2</v>
      </c>
      <c r="U2318" t="s">
        <v>22</v>
      </c>
      <c r="V2318" t="e">
        <f>IF(#REF! = "yes", 1, 0)</f>
        <v>#REF!</v>
      </c>
      <c r="W2318" t="e">
        <f>IF(#REF! &lt;= 1, "0-1 Calls", IF(#REF! &lt;= 3, "2-3 Calls", IF(#REF! &lt;=5, "4-5 Calls", "6+ Calls")))</f>
        <v>#REF!</v>
      </c>
      <c r="X2318" t="e">
        <f>IF(#REF! &lt;= 50, "0-50", IF(#REF! &lt;=100, "51-100", IF(#REF! &lt;= 150, "101-150", "151+")))</f>
        <v>#REF!</v>
      </c>
      <c r="Y2318" t="e">
        <f>IF(#REF! &lt;= 3, "Low Charges", "High Charges")</f>
        <v>#REF!</v>
      </c>
      <c r="Z2318" t="e">
        <f>IF(#REF!&lt;=80,"Low Calls",
IF(#REF!&lt;=120,"Medium Calls","High Calls"))</f>
        <v>#REF!</v>
      </c>
      <c r="AA2318" t="e">
        <f>IF(#REF!&lt;=15,"Low Charges",
IF(#REF!&lt;=20,"Medium Charges","High Charges"))</f>
        <v>#REF!</v>
      </c>
      <c r="AB2318" t="e">
        <f>IF(AND(#REF!&gt;180, #REF!&gt;200), "Heavy Doemstic User", IF(#REF!&gt;10, "Interntional User", IF(AND(#REF!&lt;180, #REF!&lt;200,#REF!&lt;200), "Light User", "Balanced User")))</f>
        <v>#REF!</v>
      </c>
      <c r="AC2318" t="e">
        <f>IF(#REF! = 0, "No Usage", IF(#REF! &lt;= 20, "Low Usage", IF(#REF! &lt;= 40, "Medium Usgae", "High Usage")))</f>
        <v>#REF!</v>
      </c>
      <c r="AD2318" t="e">
        <f>IF(#REF!&lt;=150,"Low Usage", IF(#REF!&lt;=200,"Medium Usage", IF(#REF!&lt;=250,"High Usage","Very High Usage")))</f>
        <v>#REF!</v>
      </c>
      <c r="AE2318" t="e">
        <f>IF(#REF!&lt;=5,"Low Calls", IF(#REF!&lt;=10, "Medium Calls", "High Calls"))</f>
        <v>#REF!</v>
      </c>
      <c r="AF2318" t="e">
        <f xml:space="preserve">
IF(#REF!&gt;=4,4,0)+
IF(#REF!="yes",3,0)+
IF(#REF!="High Charges",3,0)+
IF(#REF!&gt;250,4,0)+
IF(#REF!="no",1,0)+
IF(#REF!="Heavy Domestic User",2,0)</f>
        <v>#REF!</v>
      </c>
      <c r="AG2318" t="e">
        <f>IF(#REF!&gt;=10,"High Risk", IF(#REF!&gt;=5,"Medium Risk","Low Risk"))</f>
        <v>#REF!</v>
      </c>
      <c r="AH2318" t="e">
        <f>#REF! + #REF! + #REF! + #REF!</f>
        <v>#REF!</v>
      </c>
    </row>
    <row r="2319" spans="1:34" x14ac:dyDescent="0.35">
      <c r="A2319">
        <v>2318</v>
      </c>
      <c r="B2319" t="s">
        <v>67</v>
      </c>
      <c r="C2319">
        <v>145</v>
      </c>
      <c r="D2319" t="s">
        <v>28</v>
      </c>
      <c r="E2319" t="s">
        <v>23</v>
      </c>
      <c r="F2319" t="s">
        <v>23</v>
      </c>
      <c r="G2319">
        <v>30</v>
      </c>
      <c r="H2319">
        <v>175.3</v>
      </c>
      <c r="I2319">
        <v>107</v>
      </c>
      <c r="J2319">
        <v>29.8</v>
      </c>
      <c r="K2319">
        <v>153.30000000000001</v>
      </c>
      <c r="L2319">
        <v>116</v>
      </c>
      <c r="M2319">
        <v>13.03</v>
      </c>
      <c r="N2319">
        <v>233.6</v>
      </c>
      <c r="O2319">
        <v>85</v>
      </c>
      <c r="P2319">
        <v>10.51</v>
      </c>
      <c r="Q2319">
        <v>11.1</v>
      </c>
      <c r="R2319">
        <v>3</v>
      </c>
      <c r="S2319">
        <v>3</v>
      </c>
      <c r="T2319">
        <v>1</v>
      </c>
      <c r="U2319" t="s">
        <v>22</v>
      </c>
      <c r="V2319" t="e">
        <f>IF(#REF! = "yes", 1, 0)</f>
        <v>#REF!</v>
      </c>
      <c r="W2319" t="e">
        <f>IF(#REF! &lt;= 1, "0-1 Calls", IF(#REF! &lt;= 3, "2-3 Calls", IF(#REF! &lt;=5, "4-5 Calls", "6+ Calls")))</f>
        <v>#REF!</v>
      </c>
      <c r="X2319" t="e">
        <f>IF(#REF! &lt;= 50, "0-50", IF(#REF! &lt;=100, "51-100", IF(#REF! &lt;= 150, "101-150", "151+")))</f>
        <v>#REF!</v>
      </c>
      <c r="Y2319" t="e">
        <f>IF(#REF! &lt;= 3, "Low Charges", "High Charges")</f>
        <v>#REF!</v>
      </c>
      <c r="Z2319" t="e">
        <f>IF(#REF!&lt;=80,"Low Calls",
IF(#REF!&lt;=120,"Medium Calls","High Calls"))</f>
        <v>#REF!</v>
      </c>
      <c r="AA2319" t="e">
        <f>IF(#REF!&lt;=15,"Low Charges",
IF(#REF!&lt;=20,"Medium Charges","High Charges"))</f>
        <v>#REF!</v>
      </c>
      <c r="AB2319" t="e">
        <f>IF(AND(#REF!&gt;180, #REF!&gt;200), "Heavy Doemstic User", IF(#REF!&gt;10, "Interntional User", IF(AND(#REF!&lt;180, #REF!&lt;200,#REF!&lt;200), "Light User", "Balanced User")))</f>
        <v>#REF!</v>
      </c>
      <c r="AC2319" t="e">
        <f>IF(#REF! = 0, "No Usage", IF(#REF! &lt;= 20, "Low Usage", IF(#REF! &lt;= 40, "Medium Usgae", "High Usage")))</f>
        <v>#REF!</v>
      </c>
      <c r="AD2319" t="e">
        <f>IF(#REF!&lt;=150,"Low Usage", IF(#REF!&lt;=200,"Medium Usage", IF(#REF!&lt;=250,"High Usage","Very High Usage")))</f>
        <v>#REF!</v>
      </c>
      <c r="AE2319" t="e">
        <f>IF(#REF!&lt;=5,"Low Calls", IF(#REF!&lt;=10, "Medium Calls", "High Calls"))</f>
        <v>#REF!</v>
      </c>
      <c r="AF2319" t="e">
        <f xml:space="preserve">
IF(#REF!&gt;=4,4,0)+
IF(#REF!="yes",3,0)+
IF(#REF!="High Charges",3,0)+
IF(#REF!&gt;250,4,0)+
IF(#REF!="no",1,0)+
IF(#REF!="Heavy Domestic User",2,0)</f>
        <v>#REF!</v>
      </c>
      <c r="AG2319" t="e">
        <f>IF(#REF!&gt;=10,"High Risk", IF(#REF!&gt;=5,"Medium Risk","Low Risk"))</f>
        <v>#REF!</v>
      </c>
      <c r="AH2319" t="e">
        <f>#REF! + #REF! + #REF! + #REF!</f>
        <v>#REF!</v>
      </c>
    </row>
    <row r="2320" spans="1:34" x14ac:dyDescent="0.35">
      <c r="A2320">
        <v>2319</v>
      </c>
      <c r="B2320" t="s">
        <v>26</v>
      </c>
      <c r="C2320">
        <v>127</v>
      </c>
      <c r="D2320" t="s">
        <v>28</v>
      </c>
      <c r="E2320" t="s">
        <v>22</v>
      </c>
      <c r="F2320" t="s">
        <v>23</v>
      </c>
      <c r="G2320">
        <v>27</v>
      </c>
      <c r="H2320">
        <v>2.6</v>
      </c>
      <c r="I2320">
        <v>113</v>
      </c>
      <c r="J2320">
        <v>0.44</v>
      </c>
      <c r="K2320">
        <v>254</v>
      </c>
      <c r="L2320">
        <v>102</v>
      </c>
      <c r="M2320">
        <v>21.59</v>
      </c>
      <c r="N2320">
        <v>242.7</v>
      </c>
      <c r="O2320">
        <v>156</v>
      </c>
      <c r="P2320">
        <v>10.92</v>
      </c>
      <c r="Q2320">
        <v>9.1999999999999993</v>
      </c>
      <c r="R2320">
        <v>5</v>
      </c>
      <c r="S2320">
        <v>2.48</v>
      </c>
      <c r="T2320">
        <v>3</v>
      </c>
      <c r="U2320" t="s">
        <v>22</v>
      </c>
      <c r="V2320" t="e">
        <f>IF(#REF! = "yes", 1, 0)</f>
        <v>#REF!</v>
      </c>
      <c r="W2320" t="e">
        <f>IF(#REF! &lt;= 1, "0-1 Calls", IF(#REF! &lt;= 3, "2-3 Calls", IF(#REF! &lt;=5, "4-5 Calls", "6+ Calls")))</f>
        <v>#REF!</v>
      </c>
      <c r="X2320" t="e">
        <f>IF(#REF! &lt;= 50, "0-50", IF(#REF! &lt;=100, "51-100", IF(#REF! &lt;= 150, "101-150", "151+")))</f>
        <v>#REF!</v>
      </c>
      <c r="Y2320" t="e">
        <f>IF(#REF! &lt;= 3, "Low Charges", "High Charges")</f>
        <v>#REF!</v>
      </c>
      <c r="Z2320" t="e">
        <f>IF(#REF!&lt;=80,"Low Calls",
IF(#REF!&lt;=120,"Medium Calls","High Calls"))</f>
        <v>#REF!</v>
      </c>
      <c r="AA2320" t="e">
        <f>IF(#REF!&lt;=15,"Low Charges",
IF(#REF!&lt;=20,"Medium Charges","High Charges"))</f>
        <v>#REF!</v>
      </c>
      <c r="AB2320" t="e">
        <f>IF(AND(#REF!&gt;180, #REF!&gt;200), "Heavy Doemstic User", IF(#REF!&gt;10, "Interntional User", IF(AND(#REF!&lt;180, #REF!&lt;200,#REF!&lt;200), "Light User", "Balanced User")))</f>
        <v>#REF!</v>
      </c>
      <c r="AC2320" t="e">
        <f>IF(#REF! = 0, "No Usage", IF(#REF! &lt;= 20, "Low Usage", IF(#REF! &lt;= 40, "Medium Usgae", "High Usage")))</f>
        <v>#REF!</v>
      </c>
      <c r="AD2320" t="e">
        <f>IF(#REF!&lt;=150,"Low Usage", IF(#REF!&lt;=200,"Medium Usage", IF(#REF!&lt;=250,"High Usage","Very High Usage")))</f>
        <v>#REF!</v>
      </c>
      <c r="AE2320" t="e">
        <f>IF(#REF!&lt;=5,"Low Calls", IF(#REF!&lt;=10, "Medium Calls", "High Calls"))</f>
        <v>#REF!</v>
      </c>
      <c r="AF2320" t="e">
        <f xml:space="preserve">
IF(#REF!&gt;=4,4,0)+
IF(#REF!="yes",3,0)+
IF(#REF!="High Charges",3,0)+
IF(#REF!&gt;250,4,0)+
IF(#REF!="no",1,0)+
IF(#REF!="Heavy Domestic User",2,0)</f>
        <v>#REF!</v>
      </c>
      <c r="AG2320" t="e">
        <f>IF(#REF!&gt;=10,"High Risk", IF(#REF!&gt;=5,"Medium Risk","Low Risk"))</f>
        <v>#REF!</v>
      </c>
      <c r="AH2320" t="e">
        <f>#REF! + #REF! + #REF! + #REF!</f>
        <v>#REF!</v>
      </c>
    </row>
    <row r="2321" spans="1:34" x14ac:dyDescent="0.35">
      <c r="A2321">
        <v>2320</v>
      </c>
      <c r="B2321" t="s">
        <v>37</v>
      </c>
      <c r="C2321">
        <v>109</v>
      </c>
      <c r="D2321" t="s">
        <v>21</v>
      </c>
      <c r="E2321" t="s">
        <v>22</v>
      </c>
      <c r="F2321" t="s">
        <v>22</v>
      </c>
      <c r="G2321">
        <v>0</v>
      </c>
      <c r="H2321">
        <v>184.1</v>
      </c>
      <c r="I2321">
        <v>143</v>
      </c>
      <c r="J2321">
        <v>31.3</v>
      </c>
      <c r="K2321">
        <v>211.7</v>
      </c>
      <c r="L2321">
        <v>105</v>
      </c>
      <c r="M2321">
        <v>17.989999999999998</v>
      </c>
      <c r="N2321">
        <v>243</v>
      </c>
      <c r="O2321">
        <v>116</v>
      </c>
      <c r="P2321">
        <v>10.93</v>
      </c>
      <c r="Q2321">
        <v>9.9</v>
      </c>
      <c r="R2321">
        <v>2</v>
      </c>
      <c r="S2321">
        <v>2.67</v>
      </c>
      <c r="T2321">
        <v>1</v>
      </c>
      <c r="U2321" t="s">
        <v>22</v>
      </c>
      <c r="V2321" t="e">
        <f>IF(#REF! = "yes", 1, 0)</f>
        <v>#REF!</v>
      </c>
      <c r="W2321" t="e">
        <f>IF(#REF! &lt;= 1, "0-1 Calls", IF(#REF! &lt;= 3, "2-3 Calls", IF(#REF! &lt;=5, "4-5 Calls", "6+ Calls")))</f>
        <v>#REF!</v>
      </c>
      <c r="X2321" t="e">
        <f>IF(#REF! &lt;= 50, "0-50", IF(#REF! &lt;=100, "51-100", IF(#REF! &lt;= 150, "101-150", "151+")))</f>
        <v>#REF!</v>
      </c>
      <c r="Y2321" t="e">
        <f>IF(#REF! &lt;= 3, "Low Charges", "High Charges")</f>
        <v>#REF!</v>
      </c>
      <c r="Z2321" t="e">
        <f>IF(#REF!&lt;=80,"Low Calls",
IF(#REF!&lt;=120,"Medium Calls","High Calls"))</f>
        <v>#REF!</v>
      </c>
      <c r="AA2321" t="e">
        <f>IF(#REF!&lt;=15,"Low Charges",
IF(#REF!&lt;=20,"Medium Charges","High Charges"))</f>
        <v>#REF!</v>
      </c>
      <c r="AB2321" t="e">
        <f>IF(AND(#REF!&gt;180, #REF!&gt;200), "Heavy Doemstic User", IF(#REF!&gt;10, "Interntional User", IF(AND(#REF!&lt;180, #REF!&lt;200,#REF!&lt;200), "Light User", "Balanced User")))</f>
        <v>#REF!</v>
      </c>
      <c r="AC2321" t="e">
        <f>IF(#REF! = 0, "No Usage", IF(#REF! &lt;= 20, "Low Usage", IF(#REF! &lt;= 40, "Medium Usgae", "High Usage")))</f>
        <v>#REF!</v>
      </c>
      <c r="AD2321" t="e">
        <f>IF(#REF!&lt;=150,"Low Usage", IF(#REF!&lt;=200,"Medium Usage", IF(#REF!&lt;=250,"High Usage","Very High Usage")))</f>
        <v>#REF!</v>
      </c>
      <c r="AE2321" t="e">
        <f>IF(#REF!&lt;=5,"Low Calls", IF(#REF!&lt;=10, "Medium Calls", "High Calls"))</f>
        <v>#REF!</v>
      </c>
      <c r="AF2321" t="e">
        <f xml:space="preserve">
IF(#REF!&gt;=4,4,0)+
IF(#REF!="yes",3,0)+
IF(#REF!="High Charges",3,0)+
IF(#REF!&gt;250,4,0)+
IF(#REF!="no",1,0)+
IF(#REF!="Heavy Domestic User",2,0)</f>
        <v>#REF!</v>
      </c>
      <c r="AG2321" t="e">
        <f>IF(#REF!&gt;=10,"High Risk", IF(#REF!&gt;=5,"Medium Risk","Low Risk"))</f>
        <v>#REF!</v>
      </c>
      <c r="AH2321" t="e">
        <f>#REF! + #REF! + #REF! + #REF!</f>
        <v>#REF!</v>
      </c>
    </row>
    <row r="2322" spans="1:34" x14ac:dyDescent="0.35">
      <c r="A2322">
        <v>2321</v>
      </c>
      <c r="B2322" t="s">
        <v>68</v>
      </c>
      <c r="C2322">
        <v>88</v>
      </c>
      <c r="D2322" t="s">
        <v>21</v>
      </c>
      <c r="E2322" t="s">
        <v>22</v>
      </c>
      <c r="F2322" t="s">
        <v>22</v>
      </c>
      <c r="G2322">
        <v>0</v>
      </c>
      <c r="H2322">
        <v>181.9</v>
      </c>
      <c r="I2322">
        <v>90</v>
      </c>
      <c r="J2322">
        <v>30.92</v>
      </c>
      <c r="K2322">
        <v>151.5</v>
      </c>
      <c r="L2322">
        <v>87</v>
      </c>
      <c r="M2322">
        <v>12.88</v>
      </c>
      <c r="N2322">
        <v>143</v>
      </c>
      <c r="O2322">
        <v>100</v>
      </c>
      <c r="P2322">
        <v>6.44</v>
      </c>
      <c r="Q2322">
        <v>7.5</v>
      </c>
      <c r="R2322">
        <v>3</v>
      </c>
      <c r="S2322">
        <v>2.0299999999999998</v>
      </c>
      <c r="T2322">
        <v>1</v>
      </c>
      <c r="U2322" t="s">
        <v>22</v>
      </c>
      <c r="V2322" t="e">
        <f>IF(#REF! = "yes", 1, 0)</f>
        <v>#REF!</v>
      </c>
      <c r="W2322" t="e">
        <f>IF(#REF! &lt;= 1, "0-1 Calls", IF(#REF! &lt;= 3, "2-3 Calls", IF(#REF! &lt;=5, "4-5 Calls", "6+ Calls")))</f>
        <v>#REF!</v>
      </c>
      <c r="X2322" t="e">
        <f>IF(#REF! &lt;= 50, "0-50", IF(#REF! &lt;=100, "51-100", IF(#REF! &lt;= 150, "101-150", "151+")))</f>
        <v>#REF!</v>
      </c>
      <c r="Y2322" t="e">
        <f>IF(#REF! &lt;= 3, "Low Charges", "High Charges")</f>
        <v>#REF!</v>
      </c>
      <c r="Z2322" t="e">
        <f>IF(#REF!&lt;=80,"Low Calls",
IF(#REF!&lt;=120,"Medium Calls","High Calls"))</f>
        <v>#REF!</v>
      </c>
      <c r="AA2322" t="e">
        <f>IF(#REF!&lt;=15,"Low Charges",
IF(#REF!&lt;=20,"Medium Charges","High Charges"))</f>
        <v>#REF!</v>
      </c>
      <c r="AB2322" t="e">
        <f>IF(AND(#REF!&gt;180, #REF!&gt;200), "Heavy Doemstic User", IF(#REF!&gt;10, "Interntional User", IF(AND(#REF!&lt;180, #REF!&lt;200,#REF!&lt;200), "Light User", "Balanced User")))</f>
        <v>#REF!</v>
      </c>
      <c r="AC2322" t="e">
        <f>IF(#REF! = 0, "No Usage", IF(#REF! &lt;= 20, "Low Usage", IF(#REF! &lt;= 40, "Medium Usgae", "High Usage")))</f>
        <v>#REF!</v>
      </c>
      <c r="AD2322" t="e">
        <f>IF(#REF!&lt;=150,"Low Usage", IF(#REF!&lt;=200,"Medium Usage", IF(#REF!&lt;=250,"High Usage","Very High Usage")))</f>
        <v>#REF!</v>
      </c>
      <c r="AE2322" t="e">
        <f>IF(#REF!&lt;=5,"Low Calls", IF(#REF!&lt;=10, "Medium Calls", "High Calls"))</f>
        <v>#REF!</v>
      </c>
      <c r="AF2322" t="e">
        <f xml:space="preserve">
IF(#REF!&gt;=4,4,0)+
IF(#REF!="yes",3,0)+
IF(#REF!="High Charges",3,0)+
IF(#REF!&gt;250,4,0)+
IF(#REF!="no",1,0)+
IF(#REF!="Heavy Domestic User",2,0)</f>
        <v>#REF!</v>
      </c>
      <c r="AG2322" t="e">
        <f>IF(#REF!&gt;=10,"High Risk", IF(#REF!&gt;=5,"Medium Risk","Low Risk"))</f>
        <v>#REF!</v>
      </c>
      <c r="AH2322" t="e">
        <f>#REF! + #REF! + #REF! + #REF!</f>
        <v>#REF!</v>
      </c>
    </row>
    <row r="2323" spans="1:34" x14ac:dyDescent="0.35">
      <c r="A2323">
        <v>2322</v>
      </c>
      <c r="B2323" t="s">
        <v>45</v>
      </c>
      <c r="C2323">
        <v>171</v>
      </c>
      <c r="D2323" t="s">
        <v>28</v>
      </c>
      <c r="E2323" t="s">
        <v>22</v>
      </c>
      <c r="F2323" t="s">
        <v>22</v>
      </c>
      <c r="G2323">
        <v>0</v>
      </c>
      <c r="H2323">
        <v>189.8</v>
      </c>
      <c r="I2323">
        <v>122</v>
      </c>
      <c r="J2323">
        <v>32.270000000000003</v>
      </c>
      <c r="K2323">
        <v>173.7</v>
      </c>
      <c r="L2323">
        <v>85</v>
      </c>
      <c r="M2323">
        <v>14.76</v>
      </c>
      <c r="N2323">
        <v>257.10000000000002</v>
      </c>
      <c r="O2323">
        <v>84</v>
      </c>
      <c r="P2323">
        <v>11.57</v>
      </c>
      <c r="Q2323">
        <v>10.3</v>
      </c>
      <c r="R2323">
        <v>1</v>
      </c>
      <c r="S2323">
        <v>2.78</v>
      </c>
      <c r="T2323">
        <v>0</v>
      </c>
      <c r="U2323" t="s">
        <v>22</v>
      </c>
      <c r="V2323" t="e">
        <f>IF(#REF! = "yes", 1, 0)</f>
        <v>#REF!</v>
      </c>
      <c r="W2323" t="e">
        <f>IF(#REF! &lt;= 1, "0-1 Calls", IF(#REF! &lt;= 3, "2-3 Calls", IF(#REF! &lt;=5, "4-5 Calls", "6+ Calls")))</f>
        <v>#REF!</v>
      </c>
      <c r="X2323" t="e">
        <f>IF(#REF! &lt;= 50, "0-50", IF(#REF! &lt;=100, "51-100", IF(#REF! &lt;= 150, "101-150", "151+")))</f>
        <v>#REF!</v>
      </c>
      <c r="Y2323" t="e">
        <f>IF(#REF! &lt;= 3, "Low Charges", "High Charges")</f>
        <v>#REF!</v>
      </c>
      <c r="Z2323" t="e">
        <f>IF(#REF!&lt;=80,"Low Calls",
IF(#REF!&lt;=120,"Medium Calls","High Calls"))</f>
        <v>#REF!</v>
      </c>
      <c r="AA2323" t="e">
        <f>IF(#REF!&lt;=15,"Low Charges",
IF(#REF!&lt;=20,"Medium Charges","High Charges"))</f>
        <v>#REF!</v>
      </c>
      <c r="AB2323" t="e">
        <f>IF(AND(#REF!&gt;180, #REF!&gt;200), "Heavy Doemstic User", IF(#REF!&gt;10, "Interntional User", IF(AND(#REF!&lt;180, #REF!&lt;200,#REF!&lt;200), "Light User", "Balanced User")))</f>
        <v>#REF!</v>
      </c>
      <c r="AC2323" t="e">
        <f>IF(#REF! = 0, "No Usage", IF(#REF! &lt;= 20, "Low Usage", IF(#REF! &lt;= 40, "Medium Usgae", "High Usage")))</f>
        <v>#REF!</v>
      </c>
      <c r="AD2323" t="e">
        <f>IF(#REF!&lt;=150,"Low Usage", IF(#REF!&lt;=200,"Medium Usage", IF(#REF!&lt;=250,"High Usage","Very High Usage")))</f>
        <v>#REF!</v>
      </c>
      <c r="AE2323" t="e">
        <f>IF(#REF!&lt;=5,"Low Calls", IF(#REF!&lt;=10, "Medium Calls", "High Calls"))</f>
        <v>#REF!</v>
      </c>
      <c r="AF2323" t="e">
        <f xml:space="preserve">
IF(#REF!&gt;=4,4,0)+
IF(#REF!="yes",3,0)+
IF(#REF!="High Charges",3,0)+
IF(#REF!&gt;250,4,0)+
IF(#REF!="no",1,0)+
IF(#REF!="Heavy Domestic User",2,0)</f>
        <v>#REF!</v>
      </c>
      <c r="AG2323" t="e">
        <f>IF(#REF!&gt;=10,"High Risk", IF(#REF!&gt;=5,"Medium Risk","Low Risk"))</f>
        <v>#REF!</v>
      </c>
      <c r="AH2323" t="e">
        <f>#REF! + #REF! + #REF! + #REF!</f>
        <v>#REF!</v>
      </c>
    </row>
    <row r="2324" spans="1:34" x14ac:dyDescent="0.35">
      <c r="A2324">
        <v>2323</v>
      </c>
      <c r="B2324" t="s">
        <v>38</v>
      </c>
      <c r="C2324">
        <v>21</v>
      </c>
      <c r="D2324" t="s">
        <v>21</v>
      </c>
      <c r="E2324" t="s">
        <v>22</v>
      </c>
      <c r="F2324" t="s">
        <v>22</v>
      </c>
      <c r="G2324">
        <v>0</v>
      </c>
      <c r="H2324">
        <v>223.2</v>
      </c>
      <c r="I2324">
        <v>142</v>
      </c>
      <c r="J2324">
        <v>37.94</v>
      </c>
      <c r="K2324">
        <v>216.5</v>
      </c>
      <c r="L2324">
        <v>114</v>
      </c>
      <c r="M2324">
        <v>18.399999999999999</v>
      </c>
      <c r="N2324">
        <v>214.7</v>
      </c>
      <c r="O2324">
        <v>111</v>
      </c>
      <c r="P2324">
        <v>9.66</v>
      </c>
      <c r="Q2324">
        <v>12.4</v>
      </c>
      <c r="R2324">
        <v>2</v>
      </c>
      <c r="S2324">
        <v>3.35</v>
      </c>
      <c r="T2324">
        <v>1</v>
      </c>
      <c r="U2324" t="s">
        <v>22</v>
      </c>
      <c r="V2324" t="e">
        <f>IF(#REF! = "yes", 1, 0)</f>
        <v>#REF!</v>
      </c>
      <c r="W2324" t="e">
        <f>IF(#REF! &lt;= 1, "0-1 Calls", IF(#REF! &lt;= 3, "2-3 Calls", IF(#REF! &lt;=5, "4-5 Calls", "6+ Calls")))</f>
        <v>#REF!</v>
      </c>
      <c r="X2324" t="e">
        <f>IF(#REF! &lt;= 50, "0-50", IF(#REF! &lt;=100, "51-100", IF(#REF! &lt;= 150, "101-150", "151+")))</f>
        <v>#REF!</v>
      </c>
      <c r="Y2324" t="e">
        <f>IF(#REF! &lt;= 3, "Low Charges", "High Charges")</f>
        <v>#REF!</v>
      </c>
      <c r="Z2324" t="e">
        <f>IF(#REF!&lt;=80,"Low Calls",
IF(#REF!&lt;=120,"Medium Calls","High Calls"))</f>
        <v>#REF!</v>
      </c>
      <c r="AA2324" t="e">
        <f>IF(#REF!&lt;=15,"Low Charges",
IF(#REF!&lt;=20,"Medium Charges","High Charges"))</f>
        <v>#REF!</v>
      </c>
      <c r="AB2324" t="e">
        <f>IF(AND(#REF!&gt;180, #REF!&gt;200), "Heavy Doemstic User", IF(#REF!&gt;10, "Interntional User", IF(AND(#REF!&lt;180, #REF!&lt;200,#REF!&lt;200), "Light User", "Balanced User")))</f>
        <v>#REF!</v>
      </c>
      <c r="AC2324" t="e">
        <f>IF(#REF! = 0, "No Usage", IF(#REF! &lt;= 20, "Low Usage", IF(#REF! &lt;= 40, "Medium Usgae", "High Usage")))</f>
        <v>#REF!</v>
      </c>
      <c r="AD2324" t="e">
        <f>IF(#REF!&lt;=150,"Low Usage", IF(#REF!&lt;=200,"Medium Usage", IF(#REF!&lt;=250,"High Usage","Very High Usage")))</f>
        <v>#REF!</v>
      </c>
      <c r="AE2324" t="e">
        <f>IF(#REF!&lt;=5,"Low Calls", IF(#REF!&lt;=10, "Medium Calls", "High Calls"))</f>
        <v>#REF!</v>
      </c>
      <c r="AF2324" t="e">
        <f xml:space="preserve">
IF(#REF!&gt;=4,4,0)+
IF(#REF!="yes",3,0)+
IF(#REF!="High Charges",3,0)+
IF(#REF!&gt;250,4,0)+
IF(#REF!="no",1,0)+
IF(#REF!="Heavy Domestic User",2,0)</f>
        <v>#REF!</v>
      </c>
      <c r="AG2324" t="e">
        <f>IF(#REF!&gt;=10,"High Risk", IF(#REF!&gt;=5,"Medium Risk","Low Risk"))</f>
        <v>#REF!</v>
      </c>
      <c r="AH2324" t="e">
        <f>#REF! + #REF! + #REF! + #REF!</f>
        <v>#REF!</v>
      </c>
    </row>
    <row r="2325" spans="1:34" x14ac:dyDescent="0.35">
      <c r="A2325">
        <v>2324</v>
      </c>
      <c r="B2325" t="s">
        <v>31</v>
      </c>
      <c r="C2325">
        <v>145</v>
      </c>
      <c r="D2325" t="s">
        <v>25</v>
      </c>
      <c r="E2325" t="s">
        <v>22</v>
      </c>
      <c r="F2325" t="s">
        <v>23</v>
      </c>
      <c r="G2325">
        <v>31</v>
      </c>
      <c r="H2325">
        <v>216</v>
      </c>
      <c r="I2325">
        <v>94</v>
      </c>
      <c r="J2325">
        <v>36.72</v>
      </c>
      <c r="K2325">
        <v>225.1</v>
      </c>
      <c r="L2325">
        <v>123</v>
      </c>
      <c r="M2325">
        <v>19.13</v>
      </c>
      <c r="N2325">
        <v>234.7</v>
      </c>
      <c r="O2325">
        <v>109</v>
      </c>
      <c r="P2325">
        <v>10.56</v>
      </c>
      <c r="Q2325">
        <v>10.7</v>
      </c>
      <c r="R2325">
        <v>1</v>
      </c>
      <c r="S2325">
        <v>2.89</v>
      </c>
      <c r="T2325">
        <v>2</v>
      </c>
      <c r="U2325" t="s">
        <v>22</v>
      </c>
      <c r="V2325" t="e">
        <f>IF(#REF! = "yes", 1, 0)</f>
        <v>#REF!</v>
      </c>
      <c r="W2325" t="e">
        <f>IF(#REF! &lt;= 1, "0-1 Calls", IF(#REF! &lt;= 3, "2-3 Calls", IF(#REF! &lt;=5, "4-5 Calls", "6+ Calls")))</f>
        <v>#REF!</v>
      </c>
      <c r="X2325" t="e">
        <f>IF(#REF! &lt;= 50, "0-50", IF(#REF! &lt;=100, "51-100", IF(#REF! &lt;= 150, "101-150", "151+")))</f>
        <v>#REF!</v>
      </c>
      <c r="Y2325" t="e">
        <f>IF(#REF! &lt;= 3, "Low Charges", "High Charges")</f>
        <v>#REF!</v>
      </c>
      <c r="Z2325" t="e">
        <f>IF(#REF!&lt;=80,"Low Calls",
IF(#REF!&lt;=120,"Medium Calls","High Calls"))</f>
        <v>#REF!</v>
      </c>
      <c r="AA2325" t="e">
        <f>IF(#REF!&lt;=15,"Low Charges",
IF(#REF!&lt;=20,"Medium Charges","High Charges"))</f>
        <v>#REF!</v>
      </c>
      <c r="AB2325" t="e">
        <f>IF(AND(#REF!&gt;180, #REF!&gt;200), "Heavy Doemstic User", IF(#REF!&gt;10, "Interntional User", IF(AND(#REF!&lt;180, #REF!&lt;200,#REF!&lt;200), "Light User", "Balanced User")))</f>
        <v>#REF!</v>
      </c>
      <c r="AC2325" t="e">
        <f>IF(#REF! = 0, "No Usage", IF(#REF! &lt;= 20, "Low Usage", IF(#REF! &lt;= 40, "Medium Usgae", "High Usage")))</f>
        <v>#REF!</v>
      </c>
      <c r="AD2325" t="e">
        <f>IF(#REF!&lt;=150,"Low Usage", IF(#REF!&lt;=200,"Medium Usage", IF(#REF!&lt;=250,"High Usage","Very High Usage")))</f>
        <v>#REF!</v>
      </c>
      <c r="AE2325" t="e">
        <f>IF(#REF!&lt;=5,"Low Calls", IF(#REF!&lt;=10, "Medium Calls", "High Calls"))</f>
        <v>#REF!</v>
      </c>
      <c r="AF2325" t="e">
        <f xml:space="preserve">
IF(#REF!&gt;=4,4,0)+
IF(#REF!="yes",3,0)+
IF(#REF!="High Charges",3,0)+
IF(#REF!&gt;250,4,0)+
IF(#REF!="no",1,0)+
IF(#REF!="Heavy Domestic User",2,0)</f>
        <v>#REF!</v>
      </c>
      <c r="AG2325" t="e">
        <f>IF(#REF!&gt;=10,"High Risk", IF(#REF!&gt;=5,"Medium Risk","Low Risk"))</f>
        <v>#REF!</v>
      </c>
      <c r="AH2325" t="e">
        <f>#REF! + #REF! + #REF! + #REF!</f>
        <v>#REF!</v>
      </c>
    </row>
    <row r="2326" spans="1:34" x14ac:dyDescent="0.35">
      <c r="A2326">
        <v>2325</v>
      </c>
      <c r="B2326" t="s">
        <v>54</v>
      </c>
      <c r="C2326">
        <v>90</v>
      </c>
      <c r="D2326" t="s">
        <v>21</v>
      </c>
      <c r="E2326" t="s">
        <v>22</v>
      </c>
      <c r="F2326" t="s">
        <v>22</v>
      </c>
      <c r="G2326">
        <v>0</v>
      </c>
      <c r="H2326">
        <v>198.5</v>
      </c>
      <c r="I2326">
        <v>124</v>
      </c>
      <c r="J2326">
        <v>33.75</v>
      </c>
      <c r="K2326">
        <v>266.60000000000002</v>
      </c>
      <c r="L2326">
        <v>100</v>
      </c>
      <c r="M2326">
        <v>22.66</v>
      </c>
      <c r="N2326">
        <v>243.3</v>
      </c>
      <c r="O2326">
        <v>80</v>
      </c>
      <c r="P2326">
        <v>10.95</v>
      </c>
      <c r="Q2326">
        <v>8</v>
      </c>
      <c r="R2326">
        <v>7</v>
      </c>
      <c r="S2326">
        <v>2.16</v>
      </c>
      <c r="T2326">
        <v>2</v>
      </c>
      <c r="U2326" t="s">
        <v>22</v>
      </c>
      <c r="V2326" t="e">
        <f>IF(#REF! = "yes", 1, 0)</f>
        <v>#REF!</v>
      </c>
      <c r="W2326" t="e">
        <f>IF(#REF! &lt;= 1, "0-1 Calls", IF(#REF! &lt;= 3, "2-3 Calls", IF(#REF! &lt;=5, "4-5 Calls", "6+ Calls")))</f>
        <v>#REF!</v>
      </c>
      <c r="X2326" t="e">
        <f>IF(#REF! &lt;= 50, "0-50", IF(#REF! &lt;=100, "51-100", IF(#REF! &lt;= 150, "101-150", "151+")))</f>
        <v>#REF!</v>
      </c>
      <c r="Y2326" t="e">
        <f>IF(#REF! &lt;= 3, "Low Charges", "High Charges")</f>
        <v>#REF!</v>
      </c>
      <c r="Z2326" t="e">
        <f>IF(#REF!&lt;=80,"Low Calls",
IF(#REF!&lt;=120,"Medium Calls","High Calls"))</f>
        <v>#REF!</v>
      </c>
      <c r="AA2326" t="e">
        <f>IF(#REF!&lt;=15,"Low Charges",
IF(#REF!&lt;=20,"Medium Charges","High Charges"))</f>
        <v>#REF!</v>
      </c>
      <c r="AB2326" t="e">
        <f>IF(AND(#REF!&gt;180, #REF!&gt;200), "Heavy Doemstic User", IF(#REF!&gt;10, "Interntional User", IF(AND(#REF!&lt;180, #REF!&lt;200,#REF!&lt;200), "Light User", "Balanced User")))</f>
        <v>#REF!</v>
      </c>
      <c r="AC2326" t="e">
        <f>IF(#REF! = 0, "No Usage", IF(#REF! &lt;= 20, "Low Usage", IF(#REF! &lt;= 40, "Medium Usgae", "High Usage")))</f>
        <v>#REF!</v>
      </c>
      <c r="AD2326" t="e">
        <f>IF(#REF!&lt;=150,"Low Usage", IF(#REF!&lt;=200,"Medium Usage", IF(#REF!&lt;=250,"High Usage","Very High Usage")))</f>
        <v>#REF!</v>
      </c>
      <c r="AE2326" t="e">
        <f>IF(#REF!&lt;=5,"Low Calls", IF(#REF!&lt;=10, "Medium Calls", "High Calls"))</f>
        <v>#REF!</v>
      </c>
      <c r="AF2326" t="e">
        <f xml:space="preserve">
IF(#REF!&gt;=4,4,0)+
IF(#REF!="yes",3,0)+
IF(#REF!="High Charges",3,0)+
IF(#REF!&gt;250,4,0)+
IF(#REF!="no",1,0)+
IF(#REF!="Heavy Domestic User",2,0)</f>
        <v>#REF!</v>
      </c>
      <c r="AG2326" t="e">
        <f>IF(#REF!&gt;=10,"High Risk", IF(#REF!&gt;=5,"Medium Risk","Low Risk"))</f>
        <v>#REF!</v>
      </c>
      <c r="AH2326" t="e">
        <f>#REF! + #REF! + #REF! + #REF!</f>
        <v>#REF!</v>
      </c>
    </row>
    <row r="2327" spans="1:34" x14ac:dyDescent="0.35">
      <c r="A2327">
        <v>2326</v>
      </c>
      <c r="B2327" t="s">
        <v>56</v>
      </c>
      <c r="C2327">
        <v>33</v>
      </c>
      <c r="D2327" t="s">
        <v>25</v>
      </c>
      <c r="E2327" t="s">
        <v>22</v>
      </c>
      <c r="F2327" t="s">
        <v>22</v>
      </c>
      <c r="G2327">
        <v>0</v>
      </c>
      <c r="H2327">
        <v>159.5</v>
      </c>
      <c r="I2327">
        <v>115</v>
      </c>
      <c r="J2327">
        <v>27.12</v>
      </c>
      <c r="K2327">
        <v>195.4</v>
      </c>
      <c r="L2327">
        <v>118</v>
      </c>
      <c r="M2327">
        <v>16.61</v>
      </c>
      <c r="N2327">
        <v>102.4</v>
      </c>
      <c r="O2327">
        <v>86</v>
      </c>
      <c r="P2327">
        <v>4.6100000000000003</v>
      </c>
      <c r="Q2327">
        <v>7.1</v>
      </c>
      <c r="R2327">
        <v>7</v>
      </c>
      <c r="S2327">
        <v>1.92</v>
      </c>
      <c r="T2327">
        <v>1</v>
      </c>
      <c r="U2327" t="s">
        <v>22</v>
      </c>
      <c r="V2327" t="e">
        <f>IF(#REF! = "yes", 1, 0)</f>
        <v>#REF!</v>
      </c>
      <c r="W2327" t="e">
        <f>IF(#REF! &lt;= 1, "0-1 Calls", IF(#REF! &lt;= 3, "2-3 Calls", IF(#REF! &lt;=5, "4-5 Calls", "6+ Calls")))</f>
        <v>#REF!</v>
      </c>
      <c r="X2327" t="e">
        <f>IF(#REF! &lt;= 50, "0-50", IF(#REF! &lt;=100, "51-100", IF(#REF! &lt;= 150, "101-150", "151+")))</f>
        <v>#REF!</v>
      </c>
      <c r="Y2327" t="e">
        <f>IF(#REF! &lt;= 3, "Low Charges", "High Charges")</f>
        <v>#REF!</v>
      </c>
      <c r="Z2327" t="e">
        <f>IF(#REF!&lt;=80,"Low Calls",
IF(#REF!&lt;=120,"Medium Calls","High Calls"))</f>
        <v>#REF!</v>
      </c>
      <c r="AA2327" t="e">
        <f>IF(#REF!&lt;=15,"Low Charges",
IF(#REF!&lt;=20,"Medium Charges","High Charges"))</f>
        <v>#REF!</v>
      </c>
      <c r="AB2327" t="e">
        <f>IF(AND(#REF!&gt;180, #REF!&gt;200), "Heavy Doemstic User", IF(#REF!&gt;10, "Interntional User", IF(AND(#REF!&lt;180, #REF!&lt;200,#REF!&lt;200), "Light User", "Balanced User")))</f>
        <v>#REF!</v>
      </c>
      <c r="AC2327" t="e">
        <f>IF(#REF! = 0, "No Usage", IF(#REF! &lt;= 20, "Low Usage", IF(#REF! &lt;= 40, "Medium Usgae", "High Usage")))</f>
        <v>#REF!</v>
      </c>
      <c r="AD2327" t="e">
        <f>IF(#REF!&lt;=150,"Low Usage", IF(#REF!&lt;=200,"Medium Usage", IF(#REF!&lt;=250,"High Usage","Very High Usage")))</f>
        <v>#REF!</v>
      </c>
      <c r="AE2327" t="e">
        <f>IF(#REF!&lt;=5,"Low Calls", IF(#REF!&lt;=10, "Medium Calls", "High Calls"))</f>
        <v>#REF!</v>
      </c>
      <c r="AF2327" t="e">
        <f xml:space="preserve">
IF(#REF!&gt;=4,4,0)+
IF(#REF!="yes",3,0)+
IF(#REF!="High Charges",3,0)+
IF(#REF!&gt;250,4,0)+
IF(#REF!="no",1,0)+
IF(#REF!="Heavy Domestic User",2,0)</f>
        <v>#REF!</v>
      </c>
      <c r="AG2327" t="e">
        <f>IF(#REF!&gt;=10,"High Risk", IF(#REF!&gt;=5,"Medium Risk","Low Risk"))</f>
        <v>#REF!</v>
      </c>
      <c r="AH2327" t="e">
        <f>#REF! + #REF! + #REF! + #REF!</f>
        <v>#REF!</v>
      </c>
    </row>
    <row r="2328" spans="1:34" x14ac:dyDescent="0.35">
      <c r="A2328">
        <v>2327</v>
      </c>
      <c r="B2328" t="s">
        <v>73</v>
      </c>
      <c r="C2328">
        <v>61</v>
      </c>
      <c r="D2328" t="s">
        <v>25</v>
      </c>
      <c r="E2328" t="s">
        <v>22</v>
      </c>
      <c r="F2328" t="s">
        <v>23</v>
      </c>
      <c r="G2328">
        <v>40</v>
      </c>
      <c r="H2328">
        <v>105</v>
      </c>
      <c r="I2328">
        <v>78</v>
      </c>
      <c r="J2328">
        <v>17.850000000000001</v>
      </c>
      <c r="K2328">
        <v>180.6</v>
      </c>
      <c r="L2328">
        <v>100</v>
      </c>
      <c r="M2328">
        <v>15.35</v>
      </c>
      <c r="N2328">
        <v>174.1</v>
      </c>
      <c r="O2328">
        <v>115</v>
      </c>
      <c r="P2328">
        <v>7.83</v>
      </c>
      <c r="Q2328">
        <v>10.199999999999999</v>
      </c>
      <c r="R2328">
        <v>2</v>
      </c>
      <c r="S2328">
        <v>2.75</v>
      </c>
      <c r="T2328">
        <v>2</v>
      </c>
      <c r="U2328" t="s">
        <v>23</v>
      </c>
      <c r="V2328" t="e">
        <f>IF(#REF! = "yes", 1, 0)</f>
        <v>#REF!</v>
      </c>
      <c r="W2328" t="e">
        <f>IF(#REF! &lt;= 1, "0-1 Calls", IF(#REF! &lt;= 3, "2-3 Calls", IF(#REF! &lt;=5, "4-5 Calls", "6+ Calls")))</f>
        <v>#REF!</v>
      </c>
      <c r="X2328" t="e">
        <f>IF(#REF! &lt;= 50, "0-50", IF(#REF! &lt;=100, "51-100", IF(#REF! &lt;= 150, "101-150", "151+")))</f>
        <v>#REF!</v>
      </c>
      <c r="Y2328" t="e">
        <f>IF(#REF! &lt;= 3, "Low Charges", "High Charges")</f>
        <v>#REF!</v>
      </c>
      <c r="Z2328" t="e">
        <f>IF(#REF!&lt;=80,"Low Calls",
IF(#REF!&lt;=120,"Medium Calls","High Calls"))</f>
        <v>#REF!</v>
      </c>
      <c r="AA2328" t="e">
        <f>IF(#REF!&lt;=15,"Low Charges",
IF(#REF!&lt;=20,"Medium Charges","High Charges"))</f>
        <v>#REF!</v>
      </c>
      <c r="AB2328" t="e">
        <f>IF(AND(#REF!&gt;180, #REF!&gt;200), "Heavy Doemstic User", IF(#REF!&gt;10, "Interntional User", IF(AND(#REF!&lt;180, #REF!&lt;200,#REF!&lt;200), "Light User", "Balanced User")))</f>
        <v>#REF!</v>
      </c>
      <c r="AC2328" t="e">
        <f>IF(#REF! = 0, "No Usage", IF(#REF! &lt;= 20, "Low Usage", IF(#REF! &lt;= 40, "Medium Usgae", "High Usage")))</f>
        <v>#REF!</v>
      </c>
      <c r="AD2328" t="e">
        <f>IF(#REF!&lt;=150,"Low Usage", IF(#REF!&lt;=200,"Medium Usage", IF(#REF!&lt;=250,"High Usage","Very High Usage")))</f>
        <v>#REF!</v>
      </c>
      <c r="AE2328" t="e">
        <f>IF(#REF!&lt;=5,"Low Calls", IF(#REF!&lt;=10, "Medium Calls", "High Calls"))</f>
        <v>#REF!</v>
      </c>
      <c r="AF2328" t="e">
        <f xml:space="preserve">
IF(#REF!&gt;=4,4,0)+
IF(#REF!="yes",3,0)+
IF(#REF!="High Charges",3,0)+
IF(#REF!&gt;250,4,0)+
IF(#REF!="no",1,0)+
IF(#REF!="Heavy Domestic User",2,0)</f>
        <v>#REF!</v>
      </c>
      <c r="AG2328" t="e">
        <f>IF(#REF!&gt;=10,"High Risk", IF(#REF!&gt;=5,"Medium Risk","Low Risk"))</f>
        <v>#REF!</v>
      </c>
      <c r="AH2328" t="e">
        <f>#REF! + #REF! + #REF! + #REF!</f>
        <v>#REF!</v>
      </c>
    </row>
    <row r="2329" spans="1:34" x14ac:dyDescent="0.35">
      <c r="A2329">
        <v>2328</v>
      </c>
      <c r="B2329" t="s">
        <v>41</v>
      </c>
      <c r="C2329">
        <v>107</v>
      </c>
      <c r="D2329" t="s">
        <v>21</v>
      </c>
      <c r="E2329" t="s">
        <v>22</v>
      </c>
      <c r="F2329" t="s">
        <v>22</v>
      </c>
      <c r="G2329">
        <v>0</v>
      </c>
      <c r="H2329">
        <v>204.5</v>
      </c>
      <c r="I2329">
        <v>108</v>
      </c>
      <c r="J2329">
        <v>34.770000000000003</v>
      </c>
      <c r="K2329">
        <v>162.4</v>
      </c>
      <c r="L2329">
        <v>110</v>
      </c>
      <c r="M2329">
        <v>13.8</v>
      </c>
      <c r="N2329">
        <v>155</v>
      </c>
      <c r="O2329">
        <v>102</v>
      </c>
      <c r="P2329">
        <v>6.98</v>
      </c>
      <c r="Q2329">
        <v>13.4</v>
      </c>
      <c r="R2329">
        <v>1</v>
      </c>
      <c r="S2329">
        <v>3.62</v>
      </c>
      <c r="T2329">
        <v>3</v>
      </c>
      <c r="U2329" t="s">
        <v>22</v>
      </c>
      <c r="V2329" t="e">
        <f>IF(#REF! = "yes", 1, 0)</f>
        <v>#REF!</v>
      </c>
      <c r="W2329" t="e">
        <f>IF(#REF! &lt;= 1, "0-1 Calls", IF(#REF! &lt;= 3, "2-3 Calls", IF(#REF! &lt;=5, "4-5 Calls", "6+ Calls")))</f>
        <v>#REF!</v>
      </c>
      <c r="X2329" t="e">
        <f>IF(#REF! &lt;= 50, "0-50", IF(#REF! &lt;=100, "51-100", IF(#REF! &lt;= 150, "101-150", "151+")))</f>
        <v>#REF!</v>
      </c>
      <c r="Y2329" t="e">
        <f>IF(#REF! &lt;= 3, "Low Charges", "High Charges")</f>
        <v>#REF!</v>
      </c>
      <c r="Z2329" t="e">
        <f>IF(#REF!&lt;=80,"Low Calls",
IF(#REF!&lt;=120,"Medium Calls","High Calls"))</f>
        <v>#REF!</v>
      </c>
      <c r="AA2329" t="e">
        <f>IF(#REF!&lt;=15,"Low Charges",
IF(#REF!&lt;=20,"Medium Charges","High Charges"))</f>
        <v>#REF!</v>
      </c>
      <c r="AB2329" t="e">
        <f>IF(AND(#REF!&gt;180, #REF!&gt;200), "Heavy Doemstic User", IF(#REF!&gt;10, "Interntional User", IF(AND(#REF!&lt;180, #REF!&lt;200,#REF!&lt;200), "Light User", "Balanced User")))</f>
        <v>#REF!</v>
      </c>
      <c r="AC2329" t="e">
        <f>IF(#REF! = 0, "No Usage", IF(#REF! &lt;= 20, "Low Usage", IF(#REF! &lt;= 40, "Medium Usgae", "High Usage")))</f>
        <v>#REF!</v>
      </c>
      <c r="AD2329" t="e">
        <f>IF(#REF!&lt;=150,"Low Usage", IF(#REF!&lt;=200,"Medium Usage", IF(#REF!&lt;=250,"High Usage","Very High Usage")))</f>
        <v>#REF!</v>
      </c>
      <c r="AE2329" t="e">
        <f>IF(#REF!&lt;=5,"Low Calls", IF(#REF!&lt;=10, "Medium Calls", "High Calls"))</f>
        <v>#REF!</v>
      </c>
      <c r="AF2329" t="e">
        <f xml:space="preserve">
IF(#REF!&gt;=4,4,0)+
IF(#REF!="yes",3,0)+
IF(#REF!="High Charges",3,0)+
IF(#REF!&gt;250,4,0)+
IF(#REF!="no",1,0)+
IF(#REF!="Heavy Domestic User",2,0)</f>
        <v>#REF!</v>
      </c>
      <c r="AG2329" t="e">
        <f>IF(#REF!&gt;=10,"High Risk", IF(#REF!&gt;=5,"Medium Risk","Low Risk"))</f>
        <v>#REF!</v>
      </c>
      <c r="AH2329" t="e">
        <f>#REF! + #REF! + #REF! + #REF!</f>
        <v>#REF!</v>
      </c>
    </row>
    <row r="2330" spans="1:34" x14ac:dyDescent="0.35">
      <c r="A2330">
        <v>2329</v>
      </c>
      <c r="B2330" t="s">
        <v>49</v>
      </c>
      <c r="C2330">
        <v>147</v>
      </c>
      <c r="D2330" t="s">
        <v>25</v>
      </c>
      <c r="E2330" t="s">
        <v>22</v>
      </c>
      <c r="F2330" t="s">
        <v>22</v>
      </c>
      <c r="G2330">
        <v>0</v>
      </c>
      <c r="H2330">
        <v>274</v>
      </c>
      <c r="I2330">
        <v>92</v>
      </c>
      <c r="J2330">
        <v>46.58</v>
      </c>
      <c r="K2330">
        <v>231.8</v>
      </c>
      <c r="L2330">
        <v>82</v>
      </c>
      <c r="M2330">
        <v>19.7</v>
      </c>
      <c r="N2330">
        <v>283.60000000000002</v>
      </c>
      <c r="O2330">
        <v>83</v>
      </c>
      <c r="P2330">
        <v>12.76</v>
      </c>
      <c r="Q2330">
        <v>6.2</v>
      </c>
      <c r="R2330">
        <v>1</v>
      </c>
      <c r="S2330">
        <v>1.67</v>
      </c>
      <c r="T2330">
        <v>0</v>
      </c>
      <c r="U2330" t="s">
        <v>23</v>
      </c>
      <c r="V2330" t="e">
        <f>IF(#REF! = "yes", 1, 0)</f>
        <v>#REF!</v>
      </c>
      <c r="W2330" t="e">
        <f>IF(#REF! &lt;= 1, "0-1 Calls", IF(#REF! &lt;= 3, "2-3 Calls", IF(#REF! &lt;=5, "4-5 Calls", "6+ Calls")))</f>
        <v>#REF!</v>
      </c>
      <c r="X2330" t="e">
        <f>IF(#REF! &lt;= 50, "0-50", IF(#REF! &lt;=100, "51-100", IF(#REF! &lt;= 150, "101-150", "151+")))</f>
        <v>#REF!</v>
      </c>
      <c r="Y2330" t="e">
        <f>IF(#REF! &lt;= 3, "Low Charges", "High Charges")</f>
        <v>#REF!</v>
      </c>
      <c r="Z2330" t="e">
        <f>IF(#REF!&lt;=80,"Low Calls",
IF(#REF!&lt;=120,"Medium Calls","High Calls"))</f>
        <v>#REF!</v>
      </c>
      <c r="AA2330" t="e">
        <f>IF(#REF!&lt;=15,"Low Charges",
IF(#REF!&lt;=20,"Medium Charges","High Charges"))</f>
        <v>#REF!</v>
      </c>
      <c r="AB2330" t="e">
        <f>IF(AND(#REF!&gt;180, #REF!&gt;200), "Heavy Doemstic User", IF(#REF!&gt;10, "Interntional User", IF(AND(#REF!&lt;180, #REF!&lt;200,#REF!&lt;200), "Light User", "Balanced User")))</f>
        <v>#REF!</v>
      </c>
      <c r="AC2330" t="e">
        <f>IF(#REF! = 0, "No Usage", IF(#REF! &lt;= 20, "Low Usage", IF(#REF! &lt;= 40, "Medium Usgae", "High Usage")))</f>
        <v>#REF!</v>
      </c>
      <c r="AD2330" t="e">
        <f>IF(#REF!&lt;=150,"Low Usage", IF(#REF!&lt;=200,"Medium Usage", IF(#REF!&lt;=250,"High Usage","Very High Usage")))</f>
        <v>#REF!</v>
      </c>
      <c r="AE2330" t="e">
        <f>IF(#REF!&lt;=5,"Low Calls", IF(#REF!&lt;=10, "Medium Calls", "High Calls"))</f>
        <v>#REF!</v>
      </c>
      <c r="AF2330" t="e">
        <f xml:space="preserve">
IF(#REF!&gt;=4,4,0)+
IF(#REF!="yes",3,0)+
IF(#REF!="High Charges",3,0)+
IF(#REF!&gt;250,4,0)+
IF(#REF!="no",1,0)+
IF(#REF!="Heavy Domestic User",2,0)</f>
        <v>#REF!</v>
      </c>
      <c r="AG2330" t="e">
        <f>IF(#REF!&gt;=10,"High Risk", IF(#REF!&gt;=5,"Medium Risk","Low Risk"))</f>
        <v>#REF!</v>
      </c>
      <c r="AH2330" t="e">
        <f>#REF! + #REF! + #REF! + #REF!</f>
        <v>#REF!</v>
      </c>
    </row>
    <row r="2331" spans="1:34" x14ac:dyDescent="0.35">
      <c r="A2331">
        <v>2330</v>
      </c>
      <c r="B2331" t="s">
        <v>70</v>
      </c>
      <c r="C2331">
        <v>186</v>
      </c>
      <c r="D2331" t="s">
        <v>28</v>
      </c>
      <c r="E2331" t="s">
        <v>22</v>
      </c>
      <c r="F2331" t="s">
        <v>22</v>
      </c>
      <c r="G2331">
        <v>0</v>
      </c>
      <c r="H2331">
        <v>137.80000000000001</v>
      </c>
      <c r="I2331">
        <v>97</v>
      </c>
      <c r="J2331">
        <v>23.43</v>
      </c>
      <c r="K2331">
        <v>187.7</v>
      </c>
      <c r="L2331">
        <v>118</v>
      </c>
      <c r="M2331">
        <v>15.95</v>
      </c>
      <c r="N2331">
        <v>146.4</v>
      </c>
      <c r="O2331">
        <v>85</v>
      </c>
      <c r="P2331">
        <v>6.59</v>
      </c>
      <c r="Q2331">
        <v>8.6999999999999993</v>
      </c>
      <c r="R2331">
        <v>6</v>
      </c>
      <c r="S2331">
        <v>2.35</v>
      </c>
      <c r="T2331">
        <v>1</v>
      </c>
      <c r="U2331" t="s">
        <v>22</v>
      </c>
      <c r="V2331" t="e">
        <f>IF(#REF! = "yes", 1, 0)</f>
        <v>#REF!</v>
      </c>
      <c r="W2331" t="e">
        <f>IF(#REF! &lt;= 1, "0-1 Calls", IF(#REF! &lt;= 3, "2-3 Calls", IF(#REF! &lt;=5, "4-5 Calls", "6+ Calls")))</f>
        <v>#REF!</v>
      </c>
      <c r="X2331" t="e">
        <f>IF(#REF! &lt;= 50, "0-50", IF(#REF! &lt;=100, "51-100", IF(#REF! &lt;= 150, "101-150", "151+")))</f>
        <v>#REF!</v>
      </c>
      <c r="Y2331" t="e">
        <f>IF(#REF! &lt;= 3, "Low Charges", "High Charges")</f>
        <v>#REF!</v>
      </c>
      <c r="Z2331" t="e">
        <f>IF(#REF!&lt;=80,"Low Calls",
IF(#REF!&lt;=120,"Medium Calls","High Calls"))</f>
        <v>#REF!</v>
      </c>
      <c r="AA2331" t="e">
        <f>IF(#REF!&lt;=15,"Low Charges",
IF(#REF!&lt;=20,"Medium Charges","High Charges"))</f>
        <v>#REF!</v>
      </c>
      <c r="AB2331" t="e">
        <f>IF(AND(#REF!&gt;180, #REF!&gt;200), "Heavy Doemstic User", IF(#REF!&gt;10, "Interntional User", IF(AND(#REF!&lt;180, #REF!&lt;200,#REF!&lt;200), "Light User", "Balanced User")))</f>
        <v>#REF!</v>
      </c>
      <c r="AC2331" t="e">
        <f>IF(#REF! = 0, "No Usage", IF(#REF! &lt;= 20, "Low Usage", IF(#REF! &lt;= 40, "Medium Usgae", "High Usage")))</f>
        <v>#REF!</v>
      </c>
      <c r="AD2331" t="e">
        <f>IF(#REF!&lt;=150,"Low Usage", IF(#REF!&lt;=200,"Medium Usage", IF(#REF!&lt;=250,"High Usage","Very High Usage")))</f>
        <v>#REF!</v>
      </c>
      <c r="AE2331" t="e">
        <f>IF(#REF!&lt;=5,"Low Calls", IF(#REF!&lt;=10, "Medium Calls", "High Calls"))</f>
        <v>#REF!</v>
      </c>
      <c r="AF2331" t="e">
        <f xml:space="preserve">
IF(#REF!&gt;=4,4,0)+
IF(#REF!="yes",3,0)+
IF(#REF!="High Charges",3,0)+
IF(#REF!&gt;250,4,0)+
IF(#REF!="no",1,0)+
IF(#REF!="Heavy Domestic User",2,0)</f>
        <v>#REF!</v>
      </c>
      <c r="AG2331" t="e">
        <f>IF(#REF!&gt;=10,"High Risk", IF(#REF!&gt;=5,"Medium Risk","Low Risk"))</f>
        <v>#REF!</v>
      </c>
      <c r="AH2331" t="e">
        <f>#REF! + #REF! + #REF! + #REF!</f>
        <v>#REF!</v>
      </c>
    </row>
    <row r="2332" spans="1:34" x14ac:dyDescent="0.35">
      <c r="A2332">
        <v>2331</v>
      </c>
      <c r="B2332" t="s">
        <v>53</v>
      </c>
      <c r="C2332">
        <v>128</v>
      </c>
      <c r="D2332" t="s">
        <v>21</v>
      </c>
      <c r="E2332" t="s">
        <v>22</v>
      </c>
      <c r="F2332" t="s">
        <v>22</v>
      </c>
      <c r="G2332">
        <v>0</v>
      </c>
      <c r="H2332">
        <v>179.4</v>
      </c>
      <c r="I2332">
        <v>94</v>
      </c>
      <c r="J2332">
        <v>30.5</v>
      </c>
      <c r="K2332">
        <v>270.39999999999998</v>
      </c>
      <c r="L2332">
        <v>92</v>
      </c>
      <c r="M2332">
        <v>22.98</v>
      </c>
      <c r="N2332">
        <v>191</v>
      </c>
      <c r="O2332">
        <v>88</v>
      </c>
      <c r="P2332">
        <v>8.59</v>
      </c>
      <c r="Q2332">
        <v>7.9</v>
      </c>
      <c r="R2332">
        <v>4</v>
      </c>
      <c r="S2332">
        <v>2.13</v>
      </c>
      <c r="T2332">
        <v>0</v>
      </c>
      <c r="U2332" t="s">
        <v>22</v>
      </c>
      <c r="V2332" t="e">
        <f>IF(#REF! = "yes", 1, 0)</f>
        <v>#REF!</v>
      </c>
      <c r="W2332" t="e">
        <f>IF(#REF! &lt;= 1, "0-1 Calls", IF(#REF! &lt;= 3, "2-3 Calls", IF(#REF! &lt;=5, "4-5 Calls", "6+ Calls")))</f>
        <v>#REF!</v>
      </c>
      <c r="X2332" t="e">
        <f>IF(#REF! &lt;= 50, "0-50", IF(#REF! &lt;=100, "51-100", IF(#REF! &lt;= 150, "101-150", "151+")))</f>
        <v>#REF!</v>
      </c>
      <c r="Y2332" t="e">
        <f>IF(#REF! &lt;= 3, "Low Charges", "High Charges")</f>
        <v>#REF!</v>
      </c>
      <c r="Z2332" t="e">
        <f>IF(#REF!&lt;=80,"Low Calls",
IF(#REF!&lt;=120,"Medium Calls","High Calls"))</f>
        <v>#REF!</v>
      </c>
      <c r="AA2332" t="e">
        <f>IF(#REF!&lt;=15,"Low Charges",
IF(#REF!&lt;=20,"Medium Charges","High Charges"))</f>
        <v>#REF!</v>
      </c>
      <c r="AB2332" t="e">
        <f>IF(AND(#REF!&gt;180, #REF!&gt;200), "Heavy Doemstic User", IF(#REF!&gt;10, "Interntional User", IF(AND(#REF!&lt;180, #REF!&lt;200,#REF!&lt;200), "Light User", "Balanced User")))</f>
        <v>#REF!</v>
      </c>
      <c r="AC2332" t="e">
        <f>IF(#REF! = 0, "No Usage", IF(#REF! &lt;= 20, "Low Usage", IF(#REF! &lt;= 40, "Medium Usgae", "High Usage")))</f>
        <v>#REF!</v>
      </c>
      <c r="AD2332" t="e">
        <f>IF(#REF!&lt;=150,"Low Usage", IF(#REF!&lt;=200,"Medium Usage", IF(#REF!&lt;=250,"High Usage","Very High Usage")))</f>
        <v>#REF!</v>
      </c>
      <c r="AE2332" t="e">
        <f>IF(#REF!&lt;=5,"Low Calls", IF(#REF!&lt;=10, "Medium Calls", "High Calls"))</f>
        <v>#REF!</v>
      </c>
      <c r="AF2332" t="e">
        <f xml:space="preserve">
IF(#REF!&gt;=4,4,0)+
IF(#REF!="yes",3,0)+
IF(#REF!="High Charges",3,0)+
IF(#REF!&gt;250,4,0)+
IF(#REF!="no",1,0)+
IF(#REF!="Heavy Domestic User",2,0)</f>
        <v>#REF!</v>
      </c>
      <c r="AG2332" t="e">
        <f>IF(#REF!&gt;=10,"High Risk", IF(#REF!&gt;=5,"Medium Risk","Low Risk"))</f>
        <v>#REF!</v>
      </c>
      <c r="AH2332" t="e">
        <f>#REF! + #REF! + #REF! + #REF!</f>
        <v>#REF!</v>
      </c>
    </row>
    <row r="2333" spans="1:34" x14ac:dyDescent="0.35">
      <c r="A2333">
        <v>2332</v>
      </c>
      <c r="B2333" t="s">
        <v>47</v>
      </c>
      <c r="C2333">
        <v>55</v>
      </c>
      <c r="D2333" t="s">
        <v>25</v>
      </c>
      <c r="E2333" t="s">
        <v>22</v>
      </c>
      <c r="F2333" t="s">
        <v>23</v>
      </c>
      <c r="G2333">
        <v>39</v>
      </c>
      <c r="H2333">
        <v>139.30000000000001</v>
      </c>
      <c r="I2333">
        <v>101</v>
      </c>
      <c r="J2333">
        <v>23.68</v>
      </c>
      <c r="K2333">
        <v>178.3</v>
      </c>
      <c r="L2333">
        <v>117</v>
      </c>
      <c r="M2333">
        <v>15.16</v>
      </c>
      <c r="N2333">
        <v>246.5</v>
      </c>
      <c r="O2333">
        <v>104</v>
      </c>
      <c r="P2333">
        <v>11.09</v>
      </c>
      <c r="Q2333">
        <v>8.1</v>
      </c>
      <c r="R2333">
        <v>1</v>
      </c>
      <c r="S2333">
        <v>2.19</v>
      </c>
      <c r="T2333">
        <v>3</v>
      </c>
      <c r="U2333" t="s">
        <v>22</v>
      </c>
      <c r="V2333" t="e">
        <f>IF(#REF! = "yes", 1, 0)</f>
        <v>#REF!</v>
      </c>
      <c r="W2333" t="e">
        <f>IF(#REF! &lt;= 1, "0-1 Calls", IF(#REF! &lt;= 3, "2-3 Calls", IF(#REF! &lt;=5, "4-5 Calls", "6+ Calls")))</f>
        <v>#REF!</v>
      </c>
      <c r="X2333" t="e">
        <f>IF(#REF! &lt;= 50, "0-50", IF(#REF! &lt;=100, "51-100", IF(#REF! &lt;= 150, "101-150", "151+")))</f>
        <v>#REF!</v>
      </c>
      <c r="Y2333" t="e">
        <f>IF(#REF! &lt;= 3, "Low Charges", "High Charges")</f>
        <v>#REF!</v>
      </c>
      <c r="Z2333" t="e">
        <f>IF(#REF!&lt;=80,"Low Calls",
IF(#REF!&lt;=120,"Medium Calls","High Calls"))</f>
        <v>#REF!</v>
      </c>
      <c r="AA2333" t="e">
        <f>IF(#REF!&lt;=15,"Low Charges",
IF(#REF!&lt;=20,"Medium Charges","High Charges"))</f>
        <v>#REF!</v>
      </c>
      <c r="AB2333" t="e">
        <f>IF(AND(#REF!&gt;180, #REF!&gt;200), "Heavy Doemstic User", IF(#REF!&gt;10, "Interntional User", IF(AND(#REF!&lt;180, #REF!&lt;200,#REF!&lt;200), "Light User", "Balanced User")))</f>
        <v>#REF!</v>
      </c>
      <c r="AC2333" t="e">
        <f>IF(#REF! = 0, "No Usage", IF(#REF! &lt;= 20, "Low Usage", IF(#REF! &lt;= 40, "Medium Usgae", "High Usage")))</f>
        <v>#REF!</v>
      </c>
      <c r="AD2333" t="e">
        <f>IF(#REF!&lt;=150,"Low Usage", IF(#REF!&lt;=200,"Medium Usage", IF(#REF!&lt;=250,"High Usage","Very High Usage")))</f>
        <v>#REF!</v>
      </c>
      <c r="AE2333" t="e">
        <f>IF(#REF!&lt;=5,"Low Calls", IF(#REF!&lt;=10, "Medium Calls", "High Calls"))</f>
        <v>#REF!</v>
      </c>
      <c r="AF2333" t="e">
        <f xml:space="preserve">
IF(#REF!&gt;=4,4,0)+
IF(#REF!="yes",3,0)+
IF(#REF!="High Charges",3,0)+
IF(#REF!&gt;250,4,0)+
IF(#REF!="no",1,0)+
IF(#REF!="Heavy Domestic User",2,0)</f>
        <v>#REF!</v>
      </c>
      <c r="AG2333" t="e">
        <f>IF(#REF!&gt;=10,"High Risk", IF(#REF!&gt;=5,"Medium Risk","Low Risk"))</f>
        <v>#REF!</v>
      </c>
      <c r="AH2333" t="e">
        <f>#REF! + #REF! + #REF! + #REF!</f>
        <v>#REF!</v>
      </c>
    </row>
    <row r="2334" spans="1:34" x14ac:dyDescent="0.35">
      <c r="A2334">
        <v>2333</v>
      </c>
      <c r="B2334" t="s">
        <v>20</v>
      </c>
      <c r="C2334">
        <v>134</v>
      </c>
      <c r="D2334" t="s">
        <v>21</v>
      </c>
      <c r="E2334" t="s">
        <v>22</v>
      </c>
      <c r="F2334" t="s">
        <v>22</v>
      </c>
      <c r="G2334">
        <v>0</v>
      </c>
      <c r="H2334">
        <v>7.8</v>
      </c>
      <c r="I2334">
        <v>86</v>
      </c>
      <c r="J2334">
        <v>1.33</v>
      </c>
      <c r="K2334">
        <v>171.4</v>
      </c>
      <c r="L2334">
        <v>100</v>
      </c>
      <c r="M2334">
        <v>14.57</v>
      </c>
      <c r="N2334">
        <v>186.5</v>
      </c>
      <c r="O2334">
        <v>80</v>
      </c>
      <c r="P2334">
        <v>8.39</v>
      </c>
      <c r="Q2334">
        <v>12.9</v>
      </c>
      <c r="R2334">
        <v>2</v>
      </c>
      <c r="S2334">
        <v>3.48</v>
      </c>
      <c r="T2334">
        <v>2</v>
      </c>
      <c r="U2334" t="s">
        <v>22</v>
      </c>
      <c r="V2334" t="e">
        <f>IF(#REF! = "yes", 1, 0)</f>
        <v>#REF!</v>
      </c>
      <c r="W2334" t="e">
        <f>IF(#REF! &lt;= 1, "0-1 Calls", IF(#REF! &lt;= 3, "2-3 Calls", IF(#REF! &lt;=5, "4-5 Calls", "6+ Calls")))</f>
        <v>#REF!</v>
      </c>
      <c r="X2334" t="e">
        <f>IF(#REF! &lt;= 50, "0-50", IF(#REF! &lt;=100, "51-100", IF(#REF! &lt;= 150, "101-150", "151+")))</f>
        <v>#REF!</v>
      </c>
      <c r="Y2334" t="e">
        <f>IF(#REF! &lt;= 3, "Low Charges", "High Charges")</f>
        <v>#REF!</v>
      </c>
      <c r="Z2334" t="e">
        <f>IF(#REF!&lt;=80,"Low Calls",
IF(#REF!&lt;=120,"Medium Calls","High Calls"))</f>
        <v>#REF!</v>
      </c>
      <c r="AA2334" t="e">
        <f>IF(#REF!&lt;=15,"Low Charges",
IF(#REF!&lt;=20,"Medium Charges","High Charges"))</f>
        <v>#REF!</v>
      </c>
      <c r="AB2334" t="e">
        <f>IF(AND(#REF!&gt;180, #REF!&gt;200), "Heavy Doemstic User", IF(#REF!&gt;10, "Interntional User", IF(AND(#REF!&lt;180, #REF!&lt;200,#REF!&lt;200), "Light User", "Balanced User")))</f>
        <v>#REF!</v>
      </c>
      <c r="AC2334" t="e">
        <f>IF(#REF! = 0, "No Usage", IF(#REF! &lt;= 20, "Low Usage", IF(#REF! &lt;= 40, "Medium Usgae", "High Usage")))</f>
        <v>#REF!</v>
      </c>
      <c r="AD2334" t="e">
        <f>IF(#REF!&lt;=150,"Low Usage", IF(#REF!&lt;=200,"Medium Usage", IF(#REF!&lt;=250,"High Usage","Very High Usage")))</f>
        <v>#REF!</v>
      </c>
      <c r="AE2334" t="e">
        <f>IF(#REF!&lt;=5,"Low Calls", IF(#REF!&lt;=10, "Medium Calls", "High Calls"))</f>
        <v>#REF!</v>
      </c>
      <c r="AF2334" t="e">
        <f xml:space="preserve">
IF(#REF!&gt;=4,4,0)+
IF(#REF!="yes",3,0)+
IF(#REF!="High Charges",3,0)+
IF(#REF!&gt;250,4,0)+
IF(#REF!="no",1,0)+
IF(#REF!="Heavy Domestic User",2,0)</f>
        <v>#REF!</v>
      </c>
      <c r="AG2334" t="e">
        <f>IF(#REF!&gt;=10,"High Risk", IF(#REF!&gt;=5,"Medium Risk","Low Risk"))</f>
        <v>#REF!</v>
      </c>
      <c r="AH2334" t="e">
        <f>#REF! + #REF! + #REF! + #REF!</f>
        <v>#REF!</v>
      </c>
    </row>
    <row r="2335" spans="1:34" x14ac:dyDescent="0.35">
      <c r="A2335">
        <v>2334</v>
      </c>
      <c r="B2335" t="s">
        <v>32</v>
      </c>
      <c r="C2335">
        <v>96</v>
      </c>
      <c r="D2335" t="s">
        <v>21</v>
      </c>
      <c r="E2335" t="s">
        <v>22</v>
      </c>
      <c r="F2335" t="s">
        <v>23</v>
      </c>
      <c r="G2335">
        <v>23</v>
      </c>
      <c r="H2335">
        <v>183.1</v>
      </c>
      <c r="I2335">
        <v>88</v>
      </c>
      <c r="J2335">
        <v>31.13</v>
      </c>
      <c r="K2335">
        <v>147.4</v>
      </c>
      <c r="L2335">
        <v>89</v>
      </c>
      <c r="M2335">
        <v>12.53</v>
      </c>
      <c r="N2335">
        <v>350.2</v>
      </c>
      <c r="O2335">
        <v>108</v>
      </c>
      <c r="P2335">
        <v>15.76</v>
      </c>
      <c r="Q2335">
        <v>11.3</v>
      </c>
      <c r="R2335">
        <v>7</v>
      </c>
      <c r="S2335">
        <v>3.05</v>
      </c>
      <c r="T2335">
        <v>1</v>
      </c>
      <c r="U2335" t="s">
        <v>22</v>
      </c>
      <c r="V2335" t="e">
        <f>IF(#REF! = "yes", 1, 0)</f>
        <v>#REF!</v>
      </c>
      <c r="W2335" t="e">
        <f>IF(#REF! &lt;= 1, "0-1 Calls", IF(#REF! &lt;= 3, "2-3 Calls", IF(#REF! &lt;=5, "4-5 Calls", "6+ Calls")))</f>
        <v>#REF!</v>
      </c>
      <c r="X2335" t="e">
        <f>IF(#REF! &lt;= 50, "0-50", IF(#REF! &lt;=100, "51-100", IF(#REF! &lt;= 150, "101-150", "151+")))</f>
        <v>#REF!</v>
      </c>
      <c r="Y2335" t="e">
        <f>IF(#REF! &lt;= 3, "Low Charges", "High Charges")</f>
        <v>#REF!</v>
      </c>
      <c r="Z2335" t="e">
        <f>IF(#REF!&lt;=80,"Low Calls",
IF(#REF!&lt;=120,"Medium Calls","High Calls"))</f>
        <v>#REF!</v>
      </c>
      <c r="AA2335" t="e">
        <f>IF(#REF!&lt;=15,"Low Charges",
IF(#REF!&lt;=20,"Medium Charges","High Charges"))</f>
        <v>#REF!</v>
      </c>
      <c r="AB2335" t="e">
        <f>IF(AND(#REF!&gt;180, #REF!&gt;200), "Heavy Doemstic User", IF(#REF!&gt;10, "Interntional User", IF(AND(#REF!&lt;180, #REF!&lt;200,#REF!&lt;200), "Light User", "Balanced User")))</f>
        <v>#REF!</v>
      </c>
      <c r="AC2335" t="e">
        <f>IF(#REF! = 0, "No Usage", IF(#REF! &lt;= 20, "Low Usage", IF(#REF! &lt;= 40, "Medium Usgae", "High Usage")))</f>
        <v>#REF!</v>
      </c>
      <c r="AD2335" t="e">
        <f>IF(#REF!&lt;=150,"Low Usage", IF(#REF!&lt;=200,"Medium Usage", IF(#REF!&lt;=250,"High Usage","Very High Usage")))</f>
        <v>#REF!</v>
      </c>
      <c r="AE2335" t="e">
        <f>IF(#REF!&lt;=5,"Low Calls", IF(#REF!&lt;=10, "Medium Calls", "High Calls"))</f>
        <v>#REF!</v>
      </c>
      <c r="AF2335" t="e">
        <f xml:space="preserve">
IF(#REF!&gt;=4,4,0)+
IF(#REF!="yes",3,0)+
IF(#REF!="High Charges",3,0)+
IF(#REF!&gt;250,4,0)+
IF(#REF!="no",1,0)+
IF(#REF!="Heavy Domestic User",2,0)</f>
        <v>#REF!</v>
      </c>
      <c r="AG2335" t="e">
        <f>IF(#REF!&gt;=10,"High Risk", IF(#REF!&gt;=5,"Medium Risk","Low Risk"))</f>
        <v>#REF!</v>
      </c>
      <c r="AH2335" t="e">
        <f>#REF! + #REF! + #REF! + #REF!</f>
        <v>#REF!</v>
      </c>
    </row>
    <row r="2336" spans="1:34" x14ac:dyDescent="0.35">
      <c r="A2336">
        <v>2335</v>
      </c>
      <c r="B2336" t="s">
        <v>70</v>
      </c>
      <c r="C2336">
        <v>123</v>
      </c>
      <c r="D2336" t="s">
        <v>21</v>
      </c>
      <c r="E2336" t="s">
        <v>22</v>
      </c>
      <c r="F2336" t="s">
        <v>22</v>
      </c>
      <c r="G2336">
        <v>0</v>
      </c>
      <c r="H2336">
        <v>140</v>
      </c>
      <c r="I2336">
        <v>106</v>
      </c>
      <c r="J2336">
        <v>23.8</v>
      </c>
      <c r="K2336">
        <v>153.69999999999999</v>
      </c>
      <c r="L2336">
        <v>101</v>
      </c>
      <c r="M2336">
        <v>13.06</v>
      </c>
      <c r="N2336">
        <v>50.1</v>
      </c>
      <c r="O2336">
        <v>87</v>
      </c>
      <c r="P2336">
        <v>2.25</v>
      </c>
      <c r="Q2336">
        <v>12.5</v>
      </c>
      <c r="R2336">
        <v>1</v>
      </c>
      <c r="S2336">
        <v>3.38</v>
      </c>
      <c r="T2336">
        <v>2</v>
      </c>
      <c r="U2336" t="s">
        <v>22</v>
      </c>
      <c r="V2336" t="e">
        <f>IF(#REF! = "yes", 1, 0)</f>
        <v>#REF!</v>
      </c>
      <c r="W2336" t="e">
        <f>IF(#REF! &lt;= 1, "0-1 Calls", IF(#REF! &lt;= 3, "2-3 Calls", IF(#REF! &lt;=5, "4-5 Calls", "6+ Calls")))</f>
        <v>#REF!</v>
      </c>
      <c r="X2336" t="e">
        <f>IF(#REF! &lt;= 50, "0-50", IF(#REF! &lt;=100, "51-100", IF(#REF! &lt;= 150, "101-150", "151+")))</f>
        <v>#REF!</v>
      </c>
      <c r="Y2336" t="e">
        <f>IF(#REF! &lt;= 3, "Low Charges", "High Charges")</f>
        <v>#REF!</v>
      </c>
      <c r="Z2336" t="e">
        <f>IF(#REF!&lt;=80,"Low Calls",
IF(#REF!&lt;=120,"Medium Calls","High Calls"))</f>
        <v>#REF!</v>
      </c>
      <c r="AA2336" t="e">
        <f>IF(#REF!&lt;=15,"Low Charges",
IF(#REF!&lt;=20,"Medium Charges","High Charges"))</f>
        <v>#REF!</v>
      </c>
      <c r="AB2336" t="e">
        <f>IF(AND(#REF!&gt;180, #REF!&gt;200), "Heavy Doemstic User", IF(#REF!&gt;10, "Interntional User", IF(AND(#REF!&lt;180, #REF!&lt;200,#REF!&lt;200), "Light User", "Balanced User")))</f>
        <v>#REF!</v>
      </c>
      <c r="AC2336" t="e">
        <f>IF(#REF! = 0, "No Usage", IF(#REF! &lt;= 20, "Low Usage", IF(#REF! &lt;= 40, "Medium Usgae", "High Usage")))</f>
        <v>#REF!</v>
      </c>
      <c r="AD2336" t="e">
        <f>IF(#REF!&lt;=150,"Low Usage", IF(#REF!&lt;=200,"Medium Usage", IF(#REF!&lt;=250,"High Usage","Very High Usage")))</f>
        <v>#REF!</v>
      </c>
      <c r="AE2336" t="e">
        <f>IF(#REF!&lt;=5,"Low Calls", IF(#REF!&lt;=10, "Medium Calls", "High Calls"))</f>
        <v>#REF!</v>
      </c>
      <c r="AF2336" t="e">
        <f xml:space="preserve">
IF(#REF!&gt;=4,4,0)+
IF(#REF!="yes",3,0)+
IF(#REF!="High Charges",3,0)+
IF(#REF!&gt;250,4,0)+
IF(#REF!="no",1,0)+
IF(#REF!="Heavy Domestic User",2,0)</f>
        <v>#REF!</v>
      </c>
      <c r="AG2336" t="e">
        <f>IF(#REF!&gt;=10,"High Risk", IF(#REF!&gt;=5,"Medium Risk","Low Risk"))</f>
        <v>#REF!</v>
      </c>
      <c r="AH2336" t="e">
        <f>#REF! + #REF! + #REF! + #REF!</f>
        <v>#REF!</v>
      </c>
    </row>
    <row r="2337" spans="1:34" x14ac:dyDescent="0.35">
      <c r="A2337">
        <v>2336</v>
      </c>
      <c r="B2337" t="s">
        <v>26</v>
      </c>
      <c r="C2337">
        <v>35</v>
      </c>
      <c r="D2337" t="s">
        <v>21</v>
      </c>
      <c r="E2337" t="s">
        <v>22</v>
      </c>
      <c r="F2337" t="s">
        <v>22</v>
      </c>
      <c r="G2337">
        <v>0</v>
      </c>
      <c r="H2337">
        <v>179.2</v>
      </c>
      <c r="I2337">
        <v>59</v>
      </c>
      <c r="J2337">
        <v>30.46</v>
      </c>
      <c r="K2337">
        <v>283.3</v>
      </c>
      <c r="L2337">
        <v>101</v>
      </c>
      <c r="M2337">
        <v>24.08</v>
      </c>
      <c r="N2337">
        <v>285.39999999999998</v>
      </c>
      <c r="O2337">
        <v>83</v>
      </c>
      <c r="P2337">
        <v>12.84</v>
      </c>
      <c r="Q2337">
        <v>5.8</v>
      </c>
      <c r="R2337">
        <v>7</v>
      </c>
      <c r="S2337">
        <v>1.57</v>
      </c>
      <c r="T2337">
        <v>2</v>
      </c>
      <c r="U2337" t="s">
        <v>22</v>
      </c>
      <c r="V2337" t="e">
        <f>IF(#REF! = "yes", 1, 0)</f>
        <v>#REF!</v>
      </c>
      <c r="W2337" t="e">
        <f>IF(#REF! &lt;= 1, "0-1 Calls", IF(#REF! &lt;= 3, "2-3 Calls", IF(#REF! &lt;=5, "4-5 Calls", "6+ Calls")))</f>
        <v>#REF!</v>
      </c>
      <c r="X2337" t="e">
        <f>IF(#REF! &lt;= 50, "0-50", IF(#REF! &lt;=100, "51-100", IF(#REF! &lt;= 150, "101-150", "151+")))</f>
        <v>#REF!</v>
      </c>
      <c r="Y2337" t="e">
        <f>IF(#REF! &lt;= 3, "Low Charges", "High Charges")</f>
        <v>#REF!</v>
      </c>
      <c r="Z2337" t="e">
        <f>IF(#REF!&lt;=80,"Low Calls",
IF(#REF!&lt;=120,"Medium Calls","High Calls"))</f>
        <v>#REF!</v>
      </c>
      <c r="AA2337" t="e">
        <f>IF(#REF!&lt;=15,"Low Charges",
IF(#REF!&lt;=20,"Medium Charges","High Charges"))</f>
        <v>#REF!</v>
      </c>
      <c r="AB2337" t="e">
        <f>IF(AND(#REF!&gt;180, #REF!&gt;200), "Heavy Doemstic User", IF(#REF!&gt;10, "Interntional User", IF(AND(#REF!&lt;180, #REF!&lt;200,#REF!&lt;200), "Light User", "Balanced User")))</f>
        <v>#REF!</v>
      </c>
      <c r="AC2337" t="e">
        <f>IF(#REF! = 0, "No Usage", IF(#REF! &lt;= 20, "Low Usage", IF(#REF! &lt;= 40, "Medium Usgae", "High Usage")))</f>
        <v>#REF!</v>
      </c>
      <c r="AD2337" t="e">
        <f>IF(#REF!&lt;=150,"Low Usage", IF(#REF!&lt;=200,"Medium Usage", IF(#REF!&lt;=250,"High Usage","Very High Usage")))</f>
        <v>#REF!</v>
      </c>
      <c r="AE2337" t="e">
        <f>IF(#REF!&lt;=5,"Low Calls", IF(#REF!&lt;=10, "Medium Calls", "High Calls"))</f>
        <v>#REF!</v>
      </c>
      <c r="AF2337" t="e">
        <f xml:space="preserve">
IF(#REF!&gt;=4,4,0)+
IF(#REF!="yes",3,0)+
IF(#REF!="High Charges",3,0)+
IF(#REF!&gt;250,4,0)+
IF(#REF!="no",1,0)+
IF(#REF!="Heavy Domestic User",2,0)</f>
        <v>#REF!</v>
      </c>
      <c r="AG2337" t="e">
        <f>IF(#REF!&gt;=10,"High Risk", IF(#REF!&gt;=5,"Medium Risk","Low Risk"))</f>
        <v>#REF!</v>
      </c>
      <c r="AH2337" t="e">
        <f>#REF! + #REF! + #REF! + #REF!</f>
        <v>#REF!</v>
      </c>
    </row>
    <row r="2338" spans="1:34" x14ac:dyDescent="0.35">
      <c r="A2338">
        <v>2337</v>
      </c>
      <c r="B2338" t="s">
        <v>51</v>
      </c>
      <c r="C2338">
        <v>74</v>
      </c>
      <c r="D2338" t="s">
        <v>25</v>
      </c>
      <c r="E2338" t="s">
        <v>22</v>
      </c>
      <c r="F2338" t="s">
        <v>22</v>
      </c>
      <c r="G2338">
        <v>0</v>
      </c>
      <c r="H2338">
        <v>177.4</v>
      </c>
      <c r="I2338">
        <v>136</v>
      </c>
      <c r="J2338">
        <v>30.16</v>
      </c>
      <c r="K2338">
        <v>240.3</v>
      </c>
      <c r="L2338">
        <v>104</v>
      </c>
      <c r="M2338">
        <v>20.43</v>
      </c>
      <c r="N2338">
        <v>237.3</v>
      </c>
      <c r="O2338">
        <v>133</v>
      </c>
      <c r="P2338">
        <v>10.68</v>
      </c>
      <c r="Q2338">
        <v>12</v>
      </c>
      <c r="R2338">
        <v>3</v>
      </c>
      <c r="S2338">
        <v>3.24</v>
      </c>
      <c r="T2338">
        <v>0</v>
      </c>
      <c r="U2338" t="s">
        <v>22</v>
      </c>
      <c r="V2338" t="e">
        <f>IF(#REF! = "yes", 1, 0)</f>
        <v>#REF!</v>
      </c>
      <c r="W2338" t="e">
        <f>IF(#REF! &lt;= 1, "0-1 Calls", IF(#REF! &lt;= 3, "2-3 Calls", IF(#REF! &lt;=5, "4-5 Calls", "6+ Calls")))</f>
        <v>#REF!</v>
      </c>
      <c r="X2338" t="e">
        <f>IF(#REF! &lt;= 50, "0-50", IF(#REF! &lt;=100, "51-100", IF(#REF! &lt;= 150, "101-150", "151+")))</f>
        <v>#REF!</v>
      </c>
      <c r="Y2338" t="e">
        <f>IF(#REF! &lt;= 3, "Low Charges", "High Charges")</f>
        <v>#REF!</v>
      </c>
      <c r="Z2338" t="e">
        <f>IF(#REF!&lt;=80,"Low Calls",
IF(#REF!&lt;=120,"Medium Calls","High Calls"))</f>
        <v>#REF!</v>
      </c>
      <c r="AA2338" t="e">
        <f>IF(#REF!&lt;=15,"Low Charges",
IF(#REF!&lt;=20,"Medium Charges","High Charges"))</f>
        <v>#REF!</v>
      </c>
      <c r="AB2338" t="e">
        <f>IF(AND(#REF!&gt;180, #REF!&gt;200), "Heavy Doemstic User", IF(#REF!&gt;10, "Interntional User", IF(AND(#REF!&lt;180, #REF!&lt;200,#REF!&lt;200), "Light User", "Balanced User")))</f>
        <v>#REF!</v>
      </c>
      <c r="AC2338" t="e">
        <f>IF(#REF! = 0, "No Usage", IF(#REF! &lt;= 20, "Low Usage", IF(#REF! &lt;= 40, "Medium Usgae", "High Usage")))</f>
        <v>#REF!</v>
      </c>
      <c r="AD2338" t="e">
        <f>IF(#REF!&lt;=150,"Low Usage", IF(#REF!&lt;=200,"Medium Usage", IF(#REF!&lt;=250,"High Usage","Very High Usage")))</f>
        <v>#REF!</v>
      </c>
      <c r="AE2338" t="e">
        <f>IF(#REF!&lt;=5,"Low Calls", IF(#REF!&lt;=10, "Medium Calls", "High Calls"))</f>
        <v>#REF!</v>
      </c>
      <c r="AF2338" t="e">
        <f xml:space="preserve">
IF(#REF!&gt;=4,4,0)+
IF(#REF!="yes",3,0)+
IF(#REF!="High Charges",3,0)+
IF(#REF!&gt;250,4,0)+
IF(#REF!="no",1,0)+
IF(#REF!="Heavy Domestic User",2,0)</f>
        <v>#REF!</v>
      </c>
      <c r="AG2338" t="e">
        <f>IF(#REF!&gt;=10,"High Risk", IF(#REF!&gt;=5,"Medium Risk","Low Risk"))</f>
        <v>#REF!</v>
      </c>
      <c r="AH2338" t="e">
        <f>#REF! + #REF! + #REF! + #REF!</f>
        <v>#REF!</v>
      </c>
    </row>
    <row r="2339" spans="1:34" x14ac:dyDescent="0.35">
      <c r="A2339">
        <v>2338</v>
      </c>
      <c r="B2339" t="s">
        <v>32</v>
      </c>
      <c r="C2339">
        <v>130</v>
      </c>
      <c r="D2339" t="s">
        <v>25</v>
      </c>
      <c r="E2339" t="s">
        <v>22</v>
      </c>
      <c r="F2339" t="s">
        <v>22</v>
      </c>
      <c r="G2339">
        <v>0</v>
      </c>
      <c r="H2339">
        <v>115.6</v>
      </c>
      <c r="I2339">
        <v>129</v>
      </c>
      <c r="J2339">
        <v>19.649999999999999</v>
      </c>
      <c r="K2339">
        <v>167.8</v>
      </c>
      <c r="L2339">
        <v>104</v>
      </c>
      <c r="M2339">
        <v>14.26</v>
      </c>
      <c r="N2339">
        <v>141.80000000000001</v>
      </c>
      <c r="O2339">
        <v>124</v>
      </c>
      <c r="P2339">
        <v>6.38</v>
      </c>
      <c r="Q2339">
        <v>12.6</v>
      </c>
      <c r="R2339">
        <v>9</v>
      </c>
      <c r="S2339">
        <v>3.4</v>
      </c>
      <c r="T2339">
        <v>1</v>
      </c>
      <c r="U2339" t="s">
        <v>22</v>
      </c>
      <c r="V2339" t="e">
        <f>IF(#REF! = "yes", 1, 0)</f>
        <v>#REF!</v>
      </c>
      <c r="W2339" t="e">
        <f>IF(#REF! &lt;= 1, "0-1 Calls", IF(#REF! &lt;= 3, "2-3 Calls", IF(#REF! &lt;=5, "4-5 Calls", "6+ Calls")))</f>
        <v>#REF!</v>
      </c>
      <c r="X2339" t="e">
        <f>IF(#REF! &lt;= 50, "0-50", IF(#REF! &lt;=100, "51-100", IF(#REF! &lt;= 150, "101-150", "151+")))</f>
        <v>#REF!</v>
      </c>
      <c r="Y2339" t="e">
        <f>IF(#REF! &lt;= 3, "Low Charges", "High Charges")</f>
        <v>#REF!</v>
      </c>
      <c r="Z2339" t="e">
        <f>IF(#REF!&lt;=80,"Low Calls",
IF(#REF!&lt;=120,"Medium Calls","High Calls"))</f>
        <v>#REF!</v>
      </c>
      <c r="AA2339" t="e">
        <f>IF(#REF!&lt;=15,"Low Charges",
IF(#REF!&lt;=20,"Medium Charges","High Charges"))</f>
        <v>#REF!</v>
      </c>
      <c r="AB2339" t="e">
        <f>IF(AND(#REF!&gt;180, #REF!&gt;200), "Heavy Doemstic User", IF(#REF!&gt;10, "Interntional User", IF(AND(#REF!&lt;180, #REF!&lt;200,#REF!&lt;200), "Light User", "Balanced User")))</f>
        <v>#REF!</v>
      </c>
      <c r="AC2339" t="e">
        <f>IF(#REF! = 0, "No Usage", IF(#REF! &lt;= 20, "Low Usage", IF(#REF! &lt;= 40, "Medium Usgae", "High Usage")))</f>
        <v>#REF!</v>
      </c>
      <c r="AD2339" t="e">
        <f>IF(#REF!&lt;=150,"Low Usage", IF(#REF!&lt;=200,"Medium Usage", IF(#REF!&lt;=250,"High Usage","Very High Usage")))</f>
        <v>#REF!</v>
      </c>
      <c r="AE2339" t="e">
        <f>IF(#REF!&lt;=5,"Low Calls", IF(#REF!&lt;=10, "Medium Calls", "High Calls"))</f>
        <v>#REF!</v>
      </c>
      <c r="AF2339" t="e">
        <f xml:space="preserve">
IF(#REF!&gt;=4,4,0)+
IF(#REF!="yes",3,0)+
IF(#REF!="High Charges",3,0)+
IF(#REF!&gt;250,4,0)+
IF(#REF!="no",1,0)+
IF(#REF!="Heavy Domestic User",2,0)</f>
        <v>#REF!</v>
      </c>
      <c r="AG2339" t="e">
        <f>IF(#REF!&gt;=10,"High Risk", IF(#REF!&gt;=5,"Medium Risk","Low Risk"))</f>
        <v>#REF!</v>
      </c>
      <c r="AH2339" t="e">
        <f>#REF! + #REF! + #REF! + #REF!</f>
        <v>#REF!</v>
      </c>
    </row>
    <row r="2340" spans="1:34" x14ac:dyDescent="0.35">
      <c r="A2340">
        <v>2339</v>
      </c>
      <c r="B2340" t="s">
        <v>72</v>
      </c>
      <c r="C2340">
        <v>137</v>
      </c>
      <c r="D2340" t="s">
        <v>25</v>
      </c>
      <c r="E2340" t="s">
        <v>23</v>
      </c>
      <c r="F2340" t="s">
        <v>22</v>
      </c>
      <c r="G2340">
        <v>0</v>
      </c>
      <c r="H2340">
        <v>237.3</v>
      </c>
      <c r="I2340">
        <v>103</v>
      </c>
      <c r="J2340">
        <v>40.340000000000003</v>
      </c>
      <c r="K2340">
        <v>176.7</v>
      </c>
      <c r="L2340">
        <v>84</v>
      </c>
      <c r="M2340">
        <v>15.02</v>
      </c>
      <c r="N2340">
        <v>263.39999999999998</v>
      </c>
      <c r="O2340">
        <v>81</v>
      </c>
      <c r="P2340">
        <v>11.85</v>
      </c>
      <c r="Q2340">
        <v>14.2</v>
      </c>
      <c r="R2340">
        <v>4</v>
      </c>
      <c r="S2340">
        <v>3.83</v>
      </c>
      <c r="T2340">
        <v>0</v>
      </c>
      <c r="U2340" t="s">
        <v>23</v>
      </c>
      <c r="V2340" t="e">
        <f>IF(#REF! = "yes", 1, 0)</f>
        <v>#REF!</v>
      </c>
      <c r="W2340" t="e">
        <f>IF(#REF! &lt;= 1, "0-1 Calls", IF(#REF! &lt;= 3, "2-3 Calls", IF(#REF! &lt;=5, "4-5 Calls", "6+ Calls")))</f>
        <v>#REF!</v>
      </c>
      <c r="X2340" t="e">
        <f>IF(#REF! &lt;= 50, "0-50", IF(#REF! &lt;=100, "51-100", IF(#REF! &lt;= 150, "101-150", "151+")))</f>
        <v>#REF!</v>
      </c>
      <c r="Y2340" t="e">
        <f>IF(#REF! &lt;= 3, "Low Charges", "High Charges")</f>
        <v>#REF!</v>
      </c>
      <c r="Z2340" t="e">
        <f>IF(#REF!&lt;=80,"Low Calls",
IF(#REF!&lt;=120,"Medium Calls","High Calls"))</f>
        <v>#REF!</v>
      </c>
      <c r="AA2340" t="e">
        <f>IF(#REF!&lt;=15,"Low Charges",
IF(#REF!&lt;=20,"Medium Charges","High Charges"))</f>
        <v>#REF!</v>
      </c>
      <c r="AB2340" t="e">
        <f>IF(AND(#REF!&gt;180, #REF!&gt;200), "Heavy Doemstic User", IF(#REF!&gt;10, "Interntional User", IF(AND(#REF!&lt;180, #REF!&lt;200,#REF!&lt;200), "Light User", "Balanced User")))</f>
        <v>#REF!</v>
      </c>
      <c r="AC2340" t="e">
        <f>IF(#REF! = 0, "No Usage", IF(#REF! &lt;= 20, "Low Usage", IF(#REF! &lt;= 40, "Medium Usgae", "High Usage")))</f>
        <v>#REF!</v>
      </c>
      <c r="AD2340" t="e">
        <f>IF(#REF!&lt;=150,"Low Usage", IF(#REF!&lt;=200,"Medium Usage", IF(#REF!&lt;=250,"High Usage","Very High Usage")))</f>
        <v>#REF!</v>
      </c>
      <c r="AE2340" t="e">
        <f>IF(#REF!&lt;=5,"Low Calls", IF(#REF!&lt;=10, "Medium Calls", "High Calls"))</f>
        <v>#REF!</v>
      </c>
      <c r="AF2340" t="e">
        <f xml:space="preserve">
IF(#REF!&gt;=4,4,0)+
IF(#REF!="yes",3,0)+
IF(#REF!="High Charges",3,0)+
IF(#REF!&gt;250,4,0)+
IF(#REF!="no",1,0)+
IF(#REF!="Heavy Domestic User",2,0)</f>
        <v>#REF!</v>
      </c>
      <c r="AG2340" t="e">
        <f>IF(#REF!&gt;=10,"High Risk", IF(#REF!&gt;=5,"Medium Risk","Low Risk"))</f>
        <v>#REF!</v>
      </c>
      <c r="AH2340" t="e">
        <f>#REF! + #REF! + #REF! + #REF!</f>
        <v>#REF!</v>
      </c>
    </row>
    <row r="2341" spans="1:34" x14ac:dyDescent="0.35">
      <c r="A2341">
        <v>2340</v>
      </c>
      <c r="B2341" t="s">
        <v>63</v>
      </c>
      <c r="C2341">
        <v>80</v>
      </c>
      <c r="D2341" t="s">
        <v>25</v>
      </c>
      <c r="E2341" t="s">
        <v>22</v>
      </c>
      <c r="F2341" t="s">
        <v>22</v>
      </c>
      <c r="G2341">
        <v>0</v>
      </c>
      <c r="H2341">
        <v>51.5</v>
      </c>
      <c r="I2341">
        <v>90</v>
      </c>
      <c r="J2341">
        <v>8.76</v>
      </c>
      <c r="K2341">
        <v>164</v>
      </c>
      <c r="L2341">
        <v>98</v>
      </c>
      <c r="M2341">
        <v>13.94</v>
      </c>
      <c r="N2341">
        <v>169.4</v>
      </c>
      <c r="O2341">
        <v>80</v>
      </c>
      <c r="P2341">
        <v>7.62</v>
      </c>
      <c r="Q2341">
        <v>9.5</v>
      </c>
      <c r="R2341">
        <v>4</v>
      </c>
      <c r="S2341">
        <v>2.57</v>
      </c>
      <c r="T2341">
        <v>3</v>
      </c>
      <c r="U2341" t="s">
        <v>22</v>
      </c>
      <c r="V2341" t="e">
        <f>IF(#REF! = "yes", 1, 0)</f>
        <v>#REF!</v>
      </c>
      <c r="W2341" t="e">
        <f>IF(#REF! &lt;= 1, "0-1 Calls", IF(#REF! &lt;= 3, "2-3 Calls", IF(#REF! &lt;=5, "4-5 Calls", "6+ Calls")))</f>
        <v>#REF!</v>
      </c>
      <c r="X2341" t="e">
        <f>IF(#REF! &lt;= 50, "0-50", IF(#REF! &lt;=100, "51-100", IF(#REF! &lt;= 150, "101-150", "151+")))</f>
        <v>#REF!</v>
      </c>
      <c r="Y2341" t="e">
        <f>IF(#REF! &lt;= 3, "Low Charges", "High Charges")</f>
        <v>#REF!</v>
      </c>
      <c r="Z2341" t="e">
        <f>IF(#REF!&lt;=80,"Low Calls",
IF(#REF!&lt;=120,"Medium Calls","High Calls"))</f>
        <v>#REF!</v>
      </c>
      <c r="AA2341" t="e">
        <f>IF(#REF!&lt;=15,"Low Charges",
IF(#REF!&lt;=20,"Medium Charges","High Charges"))</f>
        <v>#REF!</v>
      </c>
      <c r="AB2341" t="e">
        <f>IF(AND(#REF!&gt;180, #REF!&gt;200), "Heavy Doemstic User", IF(#REF!&gt;10, "Interntional User", IF(AND(#REF!&lt;180, #REF!&lt;200,#REF!&lt;200), "Light User", "Balanced User")))</f>
        <v>#REF!</v>
      </c>
      <c r="AC2341" t="e">
        <f>IF(#REF! = 0, "No Usage", IF(#REF! &lt;= 20, "Low Usage", IF(#REF! &lt;= 40, "Medium Usgae", "High Usage")))</f>
        <v>#REF!</v>
      </c>
      <c r="AD2341" t="e">
        <f>IF(#REF!&lt;=150,"Low Usage", IF(#REF!&lt;=200,"Medium Usage", IF(#REF!&lt;=250,"High Usage","Very High Usage")))</f>
        <v>#REF!</v>
      </c>
      <c r="AE2341" t="e">
        <f>IF(#REF!&lt;=5,"Low Calls", IF(#REF!&lt;=10, "Medium Calls", "High Calls"))</f>
        <v>#REF!</v>
      </c>
      <c r="AF2341" t="e">
        <f xml:space="preserve">
IF(#REF!&gt;=4,4,0)+
IF(#REF!="yes",3,0)+
IF(#REF!="High Charges",3,0)+
IF(#REF!&gt;250,4,0)+
IF(#REF!="no",1,0)+
IF(#REF!="Heavy Domestic User",2,0)</f>
        <v>#REF!</v>
      </c>
      <c r="AG2341" t="e">
        <f>IF(#REF!&gt;=10,"High Risk", IF(#REF!&gt;=5,"Medium Risk","Low Risk"))</f>
        <v>#REF!</v>
      </c>
      <c r="AH2341" t="e">
        <f>#REF! + #REF! + #REF! + #REF!</f>
        <v>#REF!</v>
      </c>
    </row>
    <row r="2342" spans="1:34" x14ac:dyDescent="0.35">
      <c r="A2342">
        <v>2341</v>
      </c>
      <c r="B2342" t="s">
        <v>58</v>
      </c>
      <c r="C2342">
        <v>116</v>
      </c>
      <c r="D2342" t="s">
        <v>25</v>
      </c>
      <c r="E2342" t="s">
        <v>22</v>
      </c>
      <c r="F2342" t="s">
        <v>23</v>
      </c>
      <c r="G2342">
        <v>19</v>
      </c>
      <c r="H2342">
        <v>155.69999999999999</v>
      </c>
      <c r="I2342">
        <v>104</v>
      </c>
      <c r="J2342">
        <v>26.47</v>
      </c>
      <c r="K2342">
        <v>185.4</v>
      </c>
      <c r="L2342">
        <v>118</v>
      </c>
      <c r="M2342">
        <v>15.76</v>
      </c>
      <c r="N2342">
        <v>192.7</v>
      </c>
      <c r="O2342">
        <v>116</v>
      </c>
      <c r="P2342">
        <v>8.67</v>
      </c>
      <c r="Q2342">
        <v>8.1999999999999993</v>
      </c>
      <c r="R2342">
        <v>2</v>
      </c>
      <c r="S2342">
        <v>2.21</v>
      </c>
      <c r="T2342">
        <v>3</v>
      </c>
      <c r="U2342" t="s">
        <v>22</v>
      </c>
      <c r="V2342" t="e">
        <f>IF(#REF! = "yes", 1, 0)</f>
        <v>#REF!</v>
      </c>
      <c r="W2342" t="e">
        <f>IF(#REF! &lt;= 1, "0-1 Calls", IF(#REF! &lt;= 3, "2-3 Calls", IF(#REF! &lt;=5, "4-5 Calls", "6+ Calls")))</f>
        <v>#REF!</v>
      </c>
      <c r="X2342" t="e">
        <f>IF(#REF! &lt;= 50, "0-50", IF(#REF! &lt;=100, "51-100", IF(#REF! &lt;= 150, "101-150", "151+")))</f>
        <v>#REF!</v>
      </c>
      <c r="Y2342" t="e">
        <f>IF(#REF! &lt;= 3, "Low Charges", "High Charges")</f>
        <v>#REF!</v>
      </c>
      <c r="Z2342" t="e">
        <f>IF(#REF!&lt;=80,"Low Calls",
IF(#REF!&lt;=120,"Medium Calls","High Calls"))</f>
        <v>#REF!</v>
      </c>
      <c r="AA2342" t="e">
        <f>IF(#REF!&lt;=15,"Low Charges",
IF(#REF!&lt;=20,"Medium Charges","High Charges"))</f>
        <v>#REF!</v>
      </c>
      <c r="AB2342" t="e">
        <f>IF(AND(#REF!&gt;180, #REF!&gt;200), "Heavy Doemstic User", IF(#REF!&gt;10, "Interntional User", IF(AND(#REF!&lt;180, #REF!&lt;200,#REF!&lt;200), "Light User", "Balanced User")))</f>
        <v>#REF!</v>
      </c>
      <c r="AC2342" t="e">
        <f>IF(#REF! = 0, "No Usage", IF(#REF! &lt;= 20, "Low Usage", IF(#REF! &lt;= 40, "Medium Usgae", "High Usage")))</f>
        <v>#REF!</v>
      </c>
      <c r="AD2342" t="e">
        <f>IF(#REF!&lt;=150,"Low Usage", IF(#REF!&lt;=200,"Medium Usage", IF(#REF!&lt;=250,"High Usage","Very High Usage")))</f>
        <v>#REF!</v>
      </c>
      <c r="AE2342" t="e">
        <f>IF(#REF!&lt;=5,"Low Calls", IF(#REF!&lt;=10, "Medium Calls", "High Calls"))</f>
        <v>#REF!</v>
      </c>
      <c r="AF2342" t="e">
        <f xml:space="preserve">
IF(#REF!&gt;=4,4,0)+
IF(#REF!="yes",3,0)+
IF(#REF!="High Charges",3,0)+
IF(#REF!&gt;250,4,0)+
IF(#REF!="no",1,0)+
IF(#REF!="Heavy Domestic User",2,0)</f>
        <v>#REF!</v>
      </c>
      <c r="AG2342" t="e">
        <f>IF(#REF!&gt;=10,"High Risk", IF(#REF!&gt;=5,"Medium Risk","Low Risk"))</f>
        <v>#REF!</v>
      </c>
      <c r="AH2342" t="e">
        <f>#REF! + #REF! + #REF! + #REF!</f>
        <v>#REF!</v>
      </c>
    </row>
    <row r="2343" spans="1:34" x14ac:dyDescent="0.35">
      <c r="A2343">
        <v>2342</v>
      </c>
      <c r="B2343" t="s">
        <v>33</v>
      </c>
      <c r="C2343">
        <v>123</v>
      </c>
      <c r="D2343" t="s">
        <v>28</v>
      </c>
      <c r="E2343" t="s">
        <v>22</v>
      </c>
      <c r="F2343" t="s">
        <v>23</v>
      </c>
      <c r="G2343">
        <v>23</v>
      </c>
      <c r="H2343">
        <v>245</v>
      </c>
      <c r="I2343">
        <v>88</v>
      </c>
      <c r="J2343">
        <v>41.65</v>
      </c>
      <c r="K2343">
        <v>265</v>
      </c>
      <c r="L2343">
        <v>105</v>
      </c>
      <c r="M2343">
        <v>22.53</v>
      </c>
      <c r="N2343">
        <v>239.7</v>
      </c>
      <c r="O2343">
        <v>108</v>
      </c>
      <c r="P2343">
        <v>10.79</v>
      </c>
      <c r="Q2343">
        <v>14.9</v>
      </c>
      <c r="R2343">
        <v>3</v>
      </c>
      <c r="S2343">
        <v>4.0199999999999996</v>
      </c>
      <c r="T2343">
        <v>2</v>
      </c>
      <c r="U2343" t="s">
        <v>22</v>
      </c>
      <c r="V2343" t="e">
        <f>IF(#REF! = "yes", 1, 0)</f>
        <v>#REF!</v>
      </c>
      <c r="W2343" t="e">
        <f>IF(#REF! &lt;= 1, "0-1 Calls", IF(#REF! &lt;= 3, "2-3 Calls", IF(#REF! &lt;=5, "4-5 Calls", "6+ Calls")))</f>
        <v>#REF!</v>
      </c>
      <c r="X2343" t="e">
        <f>IF(#REF! &lt;= 50, "0-50", IF(#REF! &lt;=100, "51-100", IF(#REF! &lt;= 150, "101-150", "151+")))</f>
        <v>#REF!</v>
      </c>
      <c r="Y2343" t="e">
        <f>IF(#REF! &lt;= 3, "Low Charges", "High Charges")</f>
        <v>#REF!</v>
      </c>
      <c r="Z2343" t="e">
        <f>IF(#REF!&lt;=80,"Low Calls",
IF(#REF!&lt;=120,"Medium Calls","High Calls"))</f>
        <v>#REF!</v>
      </c>
      <c r="AA2343" t="e">
        <f>IF(#REF!&lt;=15,"Low Charges",
IF(#REF!&lt;=20,"Medium Charges","High Charges"))</f>
        <v>#REF!</v>
      </c>
      <c r="AB2343" t="e">
        <f>IF(AND(#REF!&gt;180, #REF!&gt;200), "Heavy Doemstic User", IF(#REF!&gt;10, "Interntional User", IF(AND(#REF!&lt;180, #REF!&lt;200,#REF!&lt;200), "Light User", "Balanced User")))</f>
        <v>#REF!</v>
      </c>
      <c r="AC2343" t="e">
        <f>IF(#REF! = 0, "No Usage", IF(#REF! &lt;= 20, "Low Usage", IF(#REF! &lt;= 40, "Medium Usgae", "High Usage")))</f>
        <v>#REF!</v>
      </c>
      <c r="AD2343" t="e">
        <f>IF(#REF!&lt;=150,"Low Usage", IF(#REF!&lt;=200,"Medium Usage", IF(#REF!&lt;=250,"High Usage","Very High Usage")))</f>
        <v>#REF!</v>
      </c>
      <c r="AE2343" t="e">
        <f>IF(#REF!&lt;=5,"Low Calls", IF(#REF!&lt;=10, "Medium Calls", "High Calls"))</f>
        <v>#REF!</v>
      </c>
      <c r="AF2343" t="e">
        <f xml:space="preserve">
IF(#REF!&gt;=4,4,0)+
IF(#REF!="yes",3,0)+
IF(#REF!="High Charges",3,0)+
IF(#REF!&gt;250,4,0)+
IF(#REF!="no",1,0)+
IF(#REF!="Heavy Domestic User",2,0)</f>
        <v>#REF!</v>
      </c>
      <c r="AG2343" t="e">
        <f>IF(#REF!&gt;=10,"High Risk", IF(#REF!&gt;=5,"Medium Risk","Low Risk"))</f>
        <v>#REF!</v>
      </c>
      <c r="AH2343" t="e">
        <f>#REF! + #REF! + #REF! + #REF!</f>
        <v>#REF!</v>
      </c>
    </row>
    <row r="2344" spans="1:34" x14ac:dyDescent="0.35">
      <c r="A2344">
        <v>2343</v>
      </c>
      <c r="B2344" t="s">
        <v>38</v>
      </c>
      <c r="C2344">
        <v>146</v>
      </c>
      <c r="D2344" t="s">
        <v>21</v>
      </c>
      <c r="E2344" t="s">
        <v>23</v>
      </c>
      <c r="F2344" t="s">
        <v>22</v>
      </c>
      <c r="G2344">
        <v>0</v>
      </c>
      <c r="H2344">
        <v>111.1</v>
      </c>
      <c r="I2344">
        <v>126</v>
      </c>
      <c r="J2344">
        <v>18.89</v>
      </c>
      <c r="K2344">
        <v>313.39999999999998</v>
      </c>
      <c r="L2344">
        <v>95</v>
      </c>
      <c r="M2344">
        <v>26.64</v>
      </c>
      <c r="N2344">
        <v>215.7</v>
      </c>
      <c r="O2344">
        <v>82</v>
      </c>
      <c r="P2344">
        <v>9.7100000000000009</v>
      </c>
      <c r="Q2344">
        <v>10.5</v>
      </c>
      <c r="R2344">
        <v>6</v>
      </c>
      <c r="S2344">
        <v>2.84</v>
      </c>
      <c r="T2344">
        <v>1</v>
      </c>
      <c r="U2344" t="s">
        <v>22</v>
      </c>
      <c r="V2344" t="e">
        <f>IF(#REF! = "yes", 1, 0)</f>
        <v>#REF!</v>
      </c>
      <c r="W2344" t="e">
        <f>IF(#REF! &lt;= 1, "0-1 Calls", IF(#REF! &lt;= 3, "2-3 Calls", IF(#REF! &lt;=5, "4-5 Calls", "6+ Calls")))</f>
        <v>#REF!</v>
      </c>
      <c r="X2344" t="e">
        <f>IF(#REF! &lt;= 50, "0-50", IF(#REF! &lt;=100, "51-100", IF(#REF! &lt;= 150, "101-150", "151+")))</f>
        <v>#REF!</v>
      </c>
      <c r="Y2344" t="e">
        <f>IF(#REF! &lt;= 3, "Low Charges", "High Charges")</f>
        <v>#REF!</v>
      </c>
      <c r="Z2344" t="e">
        <f>IF(#REF!&lt;=80,"Low Calls",
IF(#REF!&lt;=120,"Medium Calls","High Calls"))</f>
        <v>#REF!</v>
      </c>
      <c r="AA2344" t="e">
        <f>IF(#REF!&lt;=15,"Low Charges",
IF(#REF!&lt;=20,"Medium Charges","High Charges"))</f>
        <v>#REF!</v>
      </c>
      <c r="AB2344" t="e">
        <f>IF(AND(#REF!&gt;180, #REF!&gt;200), "Heavy Doemstic User", IF(#REF!&gt;10, "Interntional User", IF(AND(#REF!&lt;180, #REF!&lt;200,#REF!&lt;200), "Light User", "Balanced User")))</f>
        <v>#REF!</v>
      </c>
      <c r="AC2344" t="e">
        <f>IF(#REF! = 0, "No Usage", IF(#REF! &lt;= 20, "Low Usage", IF(#REF! &lt;= 40, "Medium Usgae", "High Usage")))</f>
        <v>#REF!</v>
      </c>
      <c r="AD2344" t="e">
        <f>IF(#REF!&lt;=150,"Low Usage", IF(#REF!&lt;=200,"Medium Usage", IF(#REF!&lt;=250,"High Usage","Very High Usage")))</f>
        <v>#REF!</v>
      </c>
      <c r="AE2344" t="e">
        <f>IF(#REF!&lt;=5,"Low Calls", IF(#REF!&lt;=10, "Medium Calls", "High Calls"))</f>
        <v>#REF!</v>
      </c>
      <c r="AF2344" t="e">
        <f xml:space="preserve">
IF(#REF!&gt;=4,4,0)+
IF(#REF!="yes",3,0)+
IF(#REF!="High Charges",3,0)+
IF(#REF!&gt;250,4,0)+
IF(#REF!="no",1,0)+
IF(#REF!="Heavy Domestic User",2,0)</f>
        <v>#REF!</v>
      </c>
      <c r="AG2344" t="e">
        <f>IF(#REF!&gt;=10,"High Risk", IF(#REF!&gt;=5,"Medium Risk","Low Risk"))</f>
        <v>#REF!</v>
      </c>
      <c r="AH2344" t="e">
        <f>#REF! + #REF! + #REF! + #REF!</f>
        <v>#REF!</v>
      </c>
    </row>
    <row r="2345" spans="1:34" x14ac:dyDescent="0.35">
      <c r="A2345">
        <v>2344</v>
      </c>
      <c r="B2345" t="s">
        <v>62</v>
      </c>
      <c r="C2345">
        <v>121</v>
      </c>
      <c r="D2345" t="s">
        <v>25</v>
      </c>
      <c r="E2345" t="s">
        <v>22</v>
      </c>
      <c r="F2345" t="s">
        <v>23</v>
      </c>
      <c r="G2345">
        <v>44</v>
      </c>
      <c r="H2345">
        <v>116</v>
      </c>
      <c r="I2345">
        <v>85</v>
      </c>
      <c r="J2345">
        <v>19.72</v>
      </c>
      <c r="K2345">
        <v>150.1</v>
      </c>
      <c r="L2345">
        <v>120</v>
      </c>
      <c r="M2345">
        <v>12.76</v>
      </c>
      <c r="N2345">
        <v>246.8</v>
      </c>
      <c r="O2345">
        <v>98</v>
      </c>
      <c r="P2345">
        <v>11.11</v>
      </c>
      <c r="Q2345">
        <v>12</v>
      </c>
      <c r="R2345">
        <v>2</v>
      </c>
      <c r="S2345">
        <v>3.24</v>
      </c>
      <c r="T2345">
        <v>1</v>
      </c>
      <c r="U2345" t="s">
        <v>22</v>
      </c>
      <c r="V2345" t="e">
        <f>IF(#REF! = "yes", 1, 0)</f>
        <v>#REF!</v>
      </c>
      <c r="W2345" t="e">
        <f>IF(#REF! &lt;= 1, "0-1 Calls", IF(#REF! &lt;= 3, "2-3 Calls", IF(#REF! &lt;=5, "4-5 Calls", "6+ Calls")))</f>
        <v>#REF!</v>
      </c>
      <c r="X2345" t="e">
        <f>IF(#REF! &lt;= 50, "0-50", IF(#REF! &lt;=100, "51-100", IF(#REF! &lt;= 150, "101-150", "151+")))</f>
        <v>#REF!</v>
      </c>
      <c r="Y2345" t="e">
        <f>IF(#REF! &lt;= 3, "Low Charges", "High Charges")</f>
        <v>#REF!</v>
      </c>
      <c r="Z2345" t="e">
        <f>IF(#REF!&lt;=80,"Low Calls",
IF(#REF!&lt;=120,"Medium Calls","High Calls"))</f>
        <v>#REF!</v>
      </c>
      <c r="AA2345" t="e">
        <f>IF(#REF!&lt;=15,"Low Charges",
IF(#REF!&lt;=20,"Medium Charges","High Charges"))</f>
        <v>#REF!</v>
      </c>
      <c r="AB2345" t="e">
        <f>IF(AND(#REF!&gt;180, #REF!&gt;200), "Heavy Doemstic User", IF(#REF!&gt;10, "Interntional User", IF(AND(#REF!&lt;180, #REF!&lt;200,#REF!&lt;200), "Light User", "Balanced User")))</f>
        <v>#REF!</v>
      </c>
      <c r="AC2345" t="e">
        <f>IF(#REF! = 0, "No Usage", IF(#REF! &lt;= 20, "Low Usage", IF(#REF! &lt;= 40, "Medium Usgae", "High Usage")))</f>
        <v>#REF!</v>
      </c>
      <c r="AD2345" t="e">
        <f>IF(#REF!&lt;=150,"Low Usage", IF(#REF!&lt;=200,"Medium Usage", IF(#REF!&lt;=250,"High Usage","Very High Usage")))</f>
        <v>#REF!</v>
      </c>
      <c r="AE2345" t="e">
        <f>IF(#REF!&lt;=5,"Low Calls", IF(#REF!&lt;=10, "Medium Calls", "High Calls"))</f>
        <v>#REF!</v>
      </c>
      <c r="AF2345" t="e">
        <f xml:space="preserve">
IF(#REF!&gt;=4,4,0)+
IF(#REF!="yes",3,0)+
IF(#REF!="High Charges",3,0)+
IF(#REF!&gt;250,4,0)+
IF(#REF!="no",1,0)+
IF(#REF!="Heavy Domestic User",2,0)</f>
        <v>#REF!</v>
      </c>
      <c r="AG2345" t="e">
        <f>IF(#REF!&gt;=10,"High Risk", IF(#REF!&gt;=5,"Medium Risk","Low Risk"))</f>
        <v>#REF!</v>
      </c>
      <c r="AH2345" t="e">
        <f>#REF! + #REF! + #REF! + #REF!</f>
        <v>#REF!</v>
      </c>
    </row>
    <row r="2346" spans="1:34" x14ac:dyDescent="0.35">
      <c r="A2346">
        <v>2345</v>
      </c>
      <c r="B2346" t="s">
        <v>51</v>
      </c>
      <c r="C2346">
        <v>137</v>
      </c>
      <c r="D2346" t="s">
        <v>28</v>
      </c>
      <c r="E2346" t="s">
        <v>22</v>
      </c>
      <c r="F2346" t="s">
        <v>22</v>
      </c>
      <c r="G2346">
        <v>0</v>
      </c>
      <c r="H2346">
        <v>155.5</v>
      </c>
      <c r="I2346">
        <v>81</v>
      </c>
      <c r="J2346">
        <v>26.44</v>
      </c>
      <c r="K2346">
        <v>133.1</v>
      </c>
      <c r="L2346">
        <v>94</v>
      </c>
      <c r="M2346">
        <v>11.31</v>
      </c>
      <c r="N2346">
        <v>253.1</v>
      </c>
      <c r="O2346">
        <v>77</v>
      </c>
      <c r="P2346">
        <v>11.39</v>
      </c>
      <c r="Q2346">
        <v>9.1</v>
      </c>
      <c r="R2346">
        <v>2</v>
      </c>
      <c r="S2346">
        <v>2.46</v>
      </c>
      <c r="T2346">
        <v>1</v>
      </c>
      <c r="U2346" t="s">
        <v>22</v>
      </c>
      <c r="V2346" t="e">
        <f>IF(#REF! = "yes", 1, 0)</f>
        <v>#REF!</v>
      </c>
      <c r="W2346" t="e">
        <f>IF(#REF! &lt;= 1, "0-1 Calls", IF(#REF! &lt;= 3, "2-3 Calls", IF(#REF! &lt;=5, "4-5 Calls", "6+ Calls")))</f>
        <v>#REF!</v>
      </c>
      <c r="X2346" t="e">
        <f>IF(#REF! &lt;= 50, "0-50", IF(#REF! &lt;=100, "51-100", IF(#REF! &lt;= 150, "101-150", "151+")))</f>
        <v>#REF!</v>
      </c>
      <c r="Y2346" t="e">
        <f>IF(#REF! &lt;= 3, "Low Charges", "High Charges")</f>
        <v>#REF!</v>
      </c>
      <c r="Z2346" t="e">
        <f>IF(#REF!&lt;=80,"Low Calls",
IF(#REF!&lt;=120,"Medium Calls","High Calls"))</f>
        <v>#REF!</v>
      </c>
      <c r="AA2346" t="e">
        <f>IF(#REF!&lt;=15,"Low Charges",
IF(#REF!&lt;=20,"Medium Charges","High Charges"))</f>
        <v>#REF!</v>
      </c>
      <c r="AB2346" t="e">
        <f>IF(AND(#REF!&gt;180, #REF!&gt;200), "Heavy Doemstic User", IF(#REF!&gt;10, "Interntional User", IF(AND(#REF!&lt;180, #REF!&lt;200,#REF!&lt;200), "Light User", "Balanced User")))</f>
        <v>#REF!</v>
      </c>
      <c r="AC2346" t="e">
        <f>IF(#REF! = 0, "No Usage", IF(#REF! &lt;= 20, "Low Usage", IF(#REF! &lt;= 40, "Medium Usgae", "High Usage")))</f>
        <v>#REF!</v>
      </c>
      <c r="AD2346" t="e">
        <f>IF(#REF!&lt;=150,"Low Usage", IF(#REF!&lt;=200,"Medium Usage", IF(#REF!&lt;=250,"High Usage","Very High Usage")))</f>
        <v>#REF!</v>
      </c>
      <c r="AE2346" t="e">
        <f>IF(#REF!&lt;=5,"Low Calls", IF(#REF!&lt;=10, "Medium Calls", "High Calls"))</f>
        <v>#REF!</v>
      </c>
      <c r="AF2346" t="e">
        <f xml:space="preserve">
IF(#REF!&gt;=4,4,0)+
IF(#REF!="yes",3,0)+
IF(#REF!="High Charges",3,0)+
IF(#REF!&gt;250,4,0)+
IF(#REF!="no",1,0)+
IF(#REF!="Heavy Domestic User",2,0)</f>
        <v>#REF!</v>
      </c>
      <c r="AG2346" t="e">
        <f>IF(#REF!&gt;=10,"High Risk", IF(#REF!&gt;=5,"Medium Risk","Low Risk"))</f>
        <v>#REF!</v>
      </c>
      <c r="AH2346" t="e">
        <f>#REF! + #REF! + #REF! + #REF!</f>
        <v>#REF!</v>
      </c>
    </row>
    <row r="2347" spans="1:34" x14ac:dyDescent="0.35">
      <c r="A2347">
        <v>2346</v>
      </c>
      <c r="B2347" t="s">
        <v>69</v>
      </c>
      <c r="C2347">
        <v>67</v>
      </c>
      <c r="D2347" t="s">
        <v>28</v>
      </c>
      <c r="E2347" t="s">
        <v>22</v>
      </c>
      <c r="F2347" t="s">
        <v>23</v>
      </c>
      <c r="G2347">
        <v>31</v>
      </c>
      <c r="H2347">
        <v>175.2</v>
      </c>
      <c r="I2347">
        <v>68</v>
      </c>
      <c r="J2347">
        <v>29.78</v>
      </c>
      <c r="K2347">
        <v>199.2</v>
      </c>
      <c r="L2347">
        <v>73</v>
      </c>
      <c r="M2347">
        <v>16.93</v>
      </c>
      <c r="N2347">
        <v>219.8</v>
      </c>
      <c r="O2347">
        <v>99</v>
      </c>
      <c r="P2347">
        <v>9.89</v>
      </c>
      <c r="Q2347">
        <v>13.2</v>
      </c>
      <c r="R2347">
        <v>6</v>
      </c>
      <c r="S2347">
        <v>3.56</v>
      </c>
      <c r="T2347">
        <v>1</v>
      </c>
      <c r="U2347" t="s">
        <v>22</v>
      </c>
      <c r="V2347" t="e">
        <f>IF(#REF! = "yes", 1, 0)</f>
        <v>#REF!</v>
      </c>
      <c r="W2347" t="e">
        <f>IF(#REF! &lt;= 1, "0-1 Calls", IF(#REF! &lt;= 3, "2-3 Calls", IF(#REF! &lt;=5, "4-5 Calls", "6+ Calls")))</f>
        <v>#REF!</v>
      </c>
      <c r="X2347" t="e">
        <f>IF(#REF! &lt;= 50, "0-50", IF(#REF! &lt;=100, "51-100", IF(#REF! &lt;= 150, "101-150", "151+")))</f>
        <v>#REF!</v>
      </c>
      <c r="Y2347" t="e">
        <f>IF(#REF! &lt;= 3, "Low Charges", "High Charges")</f>
        <v>#REF!</v>
      </c>
      <c r="Z2347" t="e">
        <f>IF(#REF!&lt;=80,"Low Calls",
IF(#REF!&lt;=120,"Medium Calls","High Calls"))</f>
        <v>#REF!</v>
      </c>
      <c r="AA2347" t="e">
        <f>IF(#REF!&lt;=15,"Low Charges",
IF(#REF!&lt;=20,"Medium Charges","High Charges"))</f>
        <v>#REF!</v>
      </c>
      <c r="AB2347" t="e">
        <f>IF(AND(#REF!&gt;180, #REF!&gt;200), "Heavy Doemstic User", IF(#REF!&gt;10, "Interntional User", IF(AND(#REF!&lt;180, #REF!&lt;200,#REF!&lt;200), "Light User", "Balanced User")))</f>
        <v>#REF!</v>
      </c>
      <c r="AC2347" t="e">
        <f>IF(#REF! = 0, "No Usage", IF(#REF! &lt;= 20, "Low Usage", IF(#REF! &lt;= 40, "Medium Usgae", "High Usage")))</f>
        <v>#REF!</v>
      </c>
      <c r="AD2347" t="e">
        <f>IF(#REF!&lt;=150,"Low Usage", IF(#REF!&lt;=200,"Medium Usage", IF(#REF!&lt;=250,"High Usage","Very High Usage")))</f>
        <v>#REF!</v>
      </c>
      <c r="AE2347" t="e">
        <f>IF(#REF!&lt;=5,"Low Calls", IF(#REF!&lt;=10, "Medium Calls", "High Calls"))</f>
        <v>#REF!</v>
      </c>
      <c r="AF2347" t="e">
        <f xml:space="preserve">
IF(#REF!&gt;=4,4,0)+
IF(#REF!="yes",3,0)+
IF(#REF!="High Charges",3,0)+
IF(#REF!&gt;250,4,0)+
IF(#REF!="no",1,0)+
IF(#REF!="Heavy Domestic User",2,0)</f>
        <v>#REF!</v>
      </c>
      <c r="AG2347" t="e">
        <f>IF(#REF!&gt;=10,"High Risk", IF(#REF!&gt;=5,"Medium Risk","Low Risk"))</f>
        <v>#REF!</v>
      </c>
      <c r="AH2347" t="e">
        <f>#REF! + #REF! + #REF! + #REF!</f>
        <v>#REF!</v>
      </c>
    </row>
    <row r="2348" spans="1:34" x14ac:dyDescent="0.35">
      <c r="A2348">
        <v>2347</v>
      </c>
      <c r="B2348" t="s">
        <v>51</v>
      </c>
      <c r="C2348">
        <v>161</v>
      </c>
      <c r="D2348" t="s">
        <v>25</v>
      </c>
      <c r="E2348" t="s">
        <v>22</v>
      </c>
      <c r="F2348" t="s">
        <v>22</v>
      </c>
      <c r="G2348">
        <v>0</v>
      </c>
      <c r="H2348">
        <v>154.69999999999999</v>
      </c>
      <c r="I2348">
        <v>84</v>
      </c>
      <c r="J2348">
        <v>26.3</v>
      </c>
      <c r="K2348">
        <v>177.8</v>
      </c>
      <c r="L2348">
        <v>125</v>
      </c>
      <c r="M2348">
        <v>15.11</v>
      </c>
      <c r="N2348">
        <v>172.9</v>
      </c>
      <c r="O2348">
        <v>90</v>
      </c>
      <c r="P2348">
        <v>7.78</v>
      </c>
      <c r="Q2348">
        <v>5.9</v>
      </c>
      <c r="R2348">
        <v>2</v>
      </c>
      <c r="S2348">
        <v>1.59</v>
      </c>
      <c r="T2348">
        <v>4</v>
      </c>
      <c r="U2348" t="s">
        <v>23</v>
      </c>
      <c r="V2348" t="e">
        <f>IF(#REF! = "yes", 1, 0)</f>
        <v>#REF!</v>
      </c>
      <c r="W2348" t="e">
        <f>IF(#REF! &lt;= 1, "0-1 Calls", IF(#REF! &lt;= 3, "2-3 Calls", IF(#REF! &lt;=5, "4-5 Calls", "6+ Calls")))</f>
        <v>#REF!</v>
      </c>
      <c r="X2348" t="e">
        <f>IF(#REF! &lt;= 50, "0-50", IF(#REF! &lt;=100, "51-100", IF(#REF! &lt;= 150, "101-150", "151+")))</f>
        <v>#REF!</v>
      </c>
      <c r="Y2348" t="e">
        <f>IF(#REF! &lt;= 3, "Low Charges", "High Charges")</f>
        <v>#REF!</v>
      </c>
      <c r="Z2348" t="e">
        <f>IF(#REF!&lt;=80,"Low Calls",
IF(#REF!&lt;=120,"Medium Calls","High Calls"))</f>
        <v>#REF!</v>
      </c>
      <c r="AA2348" t="e">
        <f>IF(#REF!&lt;=15,"Low Charges",
IF(#REF!&lt;=20,"Medium Charges","High Charges"))</f>
        <v>#REF!</v>
      </c>
      <c r="AB2348" t="e">
        <f>IF(AND(#REF!&gt;180, #REF!&gt;200), "Heavy Doemstic User", IF(#REF!&gt;10, "Interntional User", IF(AND(#REF!&lt;180, #REF!&lt;200,#REF!&lt;200), "Light User", "Balanced User")))</f>
        <v>#REF!</v>
      </c>
      <c r="AC2348" t="e">
        <f>IF(#REF! = 0, "No Usage", IF(#REF! &lt;= 20, "Low Usage", IF(#REF! &lt;= 40, "Medium Usgae", "High Usage")))</f>
        <v>#REF!</v>
      </c>
      <c r="AD2348" t="e">
        <f>IF(#REF!&lt;=150,"Low Usage", IF(#REF!&lt;=200,"Medium Usage", IF(#REF!&lt;=250,"High Usage","Very High Usage")))</f>
        <v>#REF!</v>
      </c>
      <c r="AE2348" t="e">
        <f>IF(#REF!&lt;=5,"Low Calls", IF(#REF!&lt;=10, "Medium Calls", "High Calls"))</f>
        <v>#REF!</v>
      </c>
      <c r="AF2348" t="e">
        <f xml:space="preserve">
IF(#REF!&gt;=4,4,0)+
IF(#REF!="yes",3,0)+
IF(#REF!="High Charges",3,0)+
IF(#REF!&gt;250,4,0)+
IF(#REF!="no",1,0)+
IF(#REF!="Heavy Domestic User",2,0)</f>
        <v>#REF!</v>
      </c>
      <c r="AG2348" t="e">
        <f>IF(#REF!&gt;=10,"High Risk", IF(#REF!&gt;=5,"Medium Risk","Low Risk"))</f>
        <v>#REF!</v>
      </c>
      <c r="AH2348" t="e">
        <f>#REF! + #REF! + #REF! + #REF!</f>
        <v>#REF!</v>
      </c>
    </row>
    <row r="2349" spans="1:34" x14ac:dyDescent="0.35">
      <c r="A2349">
        <v>2348</v>
      </c>
      <c r="B2349" t="s">
        <v>24</v>
      </c>
      <c r="C2349">
        <v>134</v>
      </c>
      <c r="D2349" t="s">
        <v>28</v>
      </c>
      <c r="E2349" t="s">
        <v>22</v>
      </c>
      <c r="F2349" t="s">
        <v>23</v>
      </c>
      <c r="G2349">
        <v>34</v>
      </c>
      <c r="H2349">
        <v>247.2</v>
      </c>
      <c r="I2349">
        <v>105</v>
      </c>
      <c r="J2349">
        <v>42.02</v>
      </c>
      <c r="K2349">
        <v>225.5</v>
      </c>
      <c r="L2349">
        <v>133</v>
      </c>
      <c r="M2349">
        <v>19.170000000000002</v>
      </c>
      <c r="N2349">
        <v>186.3</v>
      </c>
      <c r="O2349">
        <v>76</v>
      </c>
      <c r="P2349">
        <v>8.3800000000000008</v>
      </c>
      <c r="Q2349">
        <v>6.1</v>
      </c>
      <c r="R2349">
        <v>5</v>
      </c>
      <c r="S2349">
        <v>1.65</v>
      </c>
      <c r="T2349">
        <v>2</v>
      </c>
      <c r="U2349" t="s">
        <v>23</v>
      </c>
      <c r="V2349" t="e">
        <f>IF(#REF! = "yes", 1, 0)</f>
        <v>#REF!</v>
      </c>
      <c r="W2349" t="e">
        <f>IF(#REF! &lt;= 1, "0-1 Calls", IF(#REF! &lt;= 3, "2-3 Calls", IF(#REF! &lt;=5, "4-5 Calls", "6+ Calls")))</f>
        <v>#REF!</v>
      </c>
      <c r="X2349" t="e">
        <f>IF(#REF! &lt;= 50, "0-50", IF(#REF! &lt;=100, "51-100", IF(#REF! &lt;= 150, "101-150", "151+")))</f>
        <v>#REF!</v>
      </c>
      <c r="Y2349" t="e">
        <f>IF(#REF! &lt;= 3, "Low Charges", "High Charges")</f>
        <v>#REF!</v>
      </c>
      <c r="Z2349" t="e">
        <f>IF(#REF!&lt;=80,"Low Calls",
IF(#REF!&lt;=120,"Medium Calls","High Calls"))</f>
        <v>#REF!</v>
      </c>
      <c r="AA2349" t="e">
        <f>IF(#REF!&lt;=15,"Low Charges",
IF(#REF!&lt;=20,"Medium Charges","High Charges"))</f>
        <v>#REF!</v>
      </c>
      <c r="AB2349" t="e">
        <f>IF(AND(#REF!&gt;180, #REF!&gt;200), "Heavy Doemstic User", IF(#REF!&gt;10, "Interntional User", IF(AND(#REF!&lt;180, #REF!&lt;200,#REF!&lt;200), "Light User", "Balanced User")))</f>
        <v>#REF!</v>
      </c>
      <c r="AC2349" t="e">
        <f>IF(#REF! = 0, "No Usage", IF(#REF! &lt;= 20, "Low Usage", IF(#REF! &lt;= 40, "Medium Usgae", "High Usage")))</f>
        <v>#REF!</v>
      </c>
      <c r="AD2349" t="e">
        <f>IF(#REF!&lt;=150,"Low Usage", IF(#REF!&lt;=200,"Medium Usage", IF(#REF!&lt;=250,"High Usage","Very High Usage")))</f>
        <v>#REF!</v>
      </c>
      <c r="AE2349" t="e">
        <f>IF(#REF!&lt;=5,"Low Calls", IF(#REF!&lt;=10, "Medium Calls", "High Calls"))</f>
        <v>#REF!</v>
      </c>
      <c r="AF2349" t="e">
        <f xml:space="preserve">
IF(#REF!&gt;=4,4,0)+
IF(#REF!="yes",3,0)+
IF(#REF!="High Charges",3,0)+
IF(#REF!&gt;250,4,0)+
IF(#REF!="no",1,0)+
IF(#REF!="Heavy Domestic User",2,0)</f>
        <v>#REF!</v>
      </c>
      <c r="AG2349" t="e">
        <f>IF(#REF!&gt;=10,"High Risk", IF(#REF!&gt;=5,"Medium Risk","Low Risk"))</f>
        <v>#REF!</v>
      </c>
      <c r="AH2349" t="e">
        <f>#REF! + #REF! + #REF! + #REF!</f>
        <v>#REF!</v>
      </c>
    </row>
    <row r="2350" spans="1:34" x14ac:dyDescent="0.35">
      <c r="A2350">
        <v>2349</v>
      </c>
      <c r="B2350" t="s">
        <v>44</v>
      </c>
      <c r="C2350">
        <v>120</v>
      </c>
      <c r="D2350" t="s">
        <v>21</v>
      </c>
      <c r="E2350" t="s">
        <v>22</v>
      </c>
      <c r="F2350" t="s">
        <v>23</v>
      </c>
      <c r="G2350">
        <v>24</v>
      </c>
      <c r="H2350">
        <v>227.5</v>
      </c>
      <c r="I2350">
        <v>81</v>
      </c>
      <c r="J2350">
        <v>38.68</v>
      </c>
      <c r="K2350">
        <v>234.9</v>
      </c>
      <c r="L2350">
        <v>71</v>
      </c>
      <c r="M2350">
        <v>19.97</v>
      </c>
      <c r="N2350">
        <v>166.4</v>
      </c>
      <c r="O2350">
        <v>128</v>
      </c>
      <c r="P2350">
        <v>7.49</v>
      </c>
      <c r="Q2350">
        <v>9</v>
      </c>
      <c r="R2350">
        <v>13</v>
      </c>
      <c r="S2350">
        <v>2.4300000000000002</v>
      </c>
      <c r="T2350">
        <v>1</v>
      </c>
      <c r="U2350" t="s">
        <v>22</v>
      </c>
      <c r="V2350" t="e">
        <f>IF(#REF! = "yes", 1, 0)</f>
        <v>#REF!</v>
      </c>
      <c r="W2350" t="e">
        <f>IF(#REF! &lt;= 1, "0-1 Calls", IF(#REF! &lt;= 3, "2-3 Calls", IF(#REF! &lt;=5, "4-5 Calls", "6+ Calls")))</f>
        <v>#REF!</v>
      </c>
      <c r="X2350" t="e">
        <f>IF(#REF! &lt;= 50, "0-50", IF(#REF! &lt;=100, "51-100", IF(#REF! &lt;= 150, "101-150", "151+")))</f>
        <v>#REF!</v>
      </c>
      <c r="Y2350" t="e">
        <f>IF(#REF! &lt;= 3, "Low Charges", "High Charges")</f>
        <v>#REF!</v>
      </c>
      <c r="Z2350" t="e">
        <f>IF(#REF!&lt;=80,"Low Calls",
IF(#REF!&lt;=120,"Medium Calls","High Calls"))</f>
        <v>#REF!</v>
      </c>
      <c r="AA2350" t="e">
        <f>IF(#REF!&lt;=15,"Low Charges",
IF(#REF!&lt;=20,"Medium Charges","High Charges"))</f>
        <v>#REF!</v>
      </c>
      <c r="AB2350" t="e">
        <f>IF(AND(#REF!&gt;180, #REF!&gt;200), "Heavy Doemstic User", IF(#REF!&gt;10, "Interntional User", IF(AND(#REF!&lt;180, #REF!&lt;200,#REF!&lt;200), "Light User", "Balanced User")))</f>
        <v>#REF!</v>
      </c>
      <c r="AC2350" t="e">
        <f>IF(#REF! = 0, "No Usage", IF(#REF! &lt;= 20, "Low Usage", IF(#REF! &lt;= 40, "Medium Usgae", "High Usage")))</f>
        <v>#REF!</v>
      </c>
      <c r="AD2350" t="e">
        <f>IF(#REF!&lt;=150,"Low Usage", IF(#REF!&lt;=200,"Medium Usage", IF(#REF!&lt;=250,"High Usage","Very High Usage")))</f>
        <v>#REF!</v>
      </c>
      <c r="AE2350" t="e">
        <f>IF(#REF!&lt;=5,"Low Calls", IF(#REF!&lt;=10, "Medium Calls", "High Calls"))</f>
        <v>#REF!</v>
      </c>
      <c r="AF2350" t="e">
        <f xml:space="preserve">
IF(#REF!&gt;=4,4,0)+
IF(#REF!="yes",3,0)+
IF(#REF!="High Charges",3,0)+
IF(#REF!&gt;250,4,0)+
IF(#REF!="no",1,0)+
IF(#REF!="Heavy Domestic User",2,0)</f>
        <v>#REF!</v>
      </c>
      <c r="AG2350" t="e">
        <f>IF(#REF!&gt;=10,"High Risk", IF(#REF!&gt;=5,"Medium Risk","Low Risk"))</f>
        <v>#REF!</v>
      </c>
      <c r="AH2350" t="e">
        <f>#REF! + #REF! + #REF! + #REF!</f>
        <v>#REF!</v>
      </c>
    </row>
    <row r="2351" spans="1:34" x14ac:dyDescent="0.35">
      <c r="A2351">
        <v>2350</v>
      </c>
      <c r="B2351" t="s">
        <v>32</v>
      </c>
      <c r="C2351">
        <v>130</v>
      </c>
      <c r="D2351" t="s">
        <v>25</v>
      </c>
      <c r="E2351" t="s">
        <v>22</v>
      </c>
      <c r="F2351" t="s">
        <v>23</v>
      </c>
      <c r="G2351">
        <v>30</v>
      </c>
      <c r="H2351">
        <v>185</v>
      </c>
      <c r="I2351">
        <v>117</v>
      </c>
      <c r="J2351">
        <v>31.45</v>
      </c>
      <c r="K2351">
        <v>249.5</v>
      </c>
      <c r="L2351">
        <v>141</v>
      </c>
      <c r="M2351">
        <v>21.21</v>
      </c>
      <c r="N2351">
        <v>157.80000000000001</v>
      </c>
      <c r="O2351">
        <v>103</v>
      </c>
      <c r="P2351">
        <v>7.1</v>
      </c>
      <c r="Q2351">
        <v>7.4</v>
      </c>
      <c r="R2351">
        <v>7</v>
      </c>
      <c r="S2351">
        <v>2</v>
      </c>
      <c r="T2351">
        <v>0</v>
      </c>
      <c r="U2351" t="s">
        <v>22</v>
      </c>
      <c r="V2351" t="e">
        <f>IF(#REF! = "yes", 1, 0)</f>
        <v>#REF!</v>
      </c>
      <c r="W2351" t="e">
        <f>IF(#REF! &lt;= 1, "0-1 Calls", IF(#REF! &lt;= 3, "2-3 Calls", IF(#REF! &lt;=5, "4-5 Calls", "6+ Calls")))</f>
        <v>#REF!</v>
      </c>
      <c r="X2351" t="e">
        <f>IF(#REF! &lt;= 50, "0-50", IF(#REF! &lt;=100, "51-100", IF(#REF! &lt;= 150, "101-150", "151+")))</f>
        <v>#REF!</v>
      </c>
      <c r="Y2351" t="e">
        <f>IF(#REF! &lt;= 3, "Low Charges", "High Charges")</f>
        <v>#REF!</v>
      </c>
      <c r="Z2351" t="e">
        <f>IF(#REF!&lt;=80,"Low Calls",
IF(#REF!&lt;=120,"Medium Calls","High Calls"))</f>
        <v>#REF!</v>
      </c>
      <c r="AA2351" t="e">
        <f>IF(#REF!&lt;=15,"Low Charges",
IF(#REF!&lt;=20,"Medium Charges","High Charges"))</f>
        <v>#REF!</v>
      </c>
      <c r="AB2351" t="e">
        <f>IF(AND(#REF!&gt;180, #REF!&gt;200), "Heavy Doemstic User", IF(#REF!&gt;10, "Interntional User", IF(AND(#REF!&lt;180, #REF!&lt;200,#REF!&lt;200), "Light User", "Balanced User")))</f>
        <v>#REF!</v>
      </c>
      <c r="AC2351" t="e">
        <f>IF(#REF! = 0, "No Usage", IF(#REF! &lt;= 20, "Low Usage", IF(#REF! &lt;= 40, "Medium Usgae", "High Usage")))</f>
        <v>#REF!</v>
      </c>
      <c r="AD2351" t="e">
        <f>IF(#REF!&lt;=150,"Low Usage", IF(#REF!&lt;=200,"Medium Usage", IF(#REF!&lt;=250,"High Usage","Very High Usage")))</f>
        <v>#REF!</v>
      </c>
      <c r="AE2351" t="e">
        <f>IF(#REF!&lt;=5,"Low Calls", IF(#REF!&lt;=10, "Medium Calls", "High Calls"))</f>
        <v>#REF!</v>
      </c>
      <c r="AF2351" t="e">
        <f xml:space="preserve">
IF(#REF!&gt;=4,4,0)+
IF(#REF!="yes",3,0)+
IF(#REF!="High Charges",3,0)+
IF(#REF!&gt;250,4,0)+
IF(#REF!="no",1,0)+
IF(#REF!="Heavy Domestic User",2,0)</f>
        <v>#REF!</v>
      </c>
      <c r="AG2351" t="e">
        <f>IF(#REF!&gt;=10,"High Risk", IF(#REF!&gt;=5,"Medium Risk","Low Risk"))</f>
        <v>#REF!</v>
      </c>
      <c r="AH2351" t="e">
        <f>#REF! + #REF! + #REF! + #REF!</f>
        <v>#REF!</v>
      </c>
    </row>
    <row r="2352" spans="1:34" x14ac:dyDescent="0.35">
      <c r="A2352">
        <v>2351</v>
      </c>
      <c r="B2352" t="s">
        <v>64</v>
      </c>
      <c r="C2352">
        <v>68</v>
      </c>
      <c r="D2352" t="s">
        <v>21</v>
      </c>
      <c r="E2352" t="s">
        <v>22</v>
      </c>
      <c r="F2352" t="s">
        <v>22</v>
      </c>
      <c r="G2352">
        <v>0</v>
      </c>
      <c r="H2352">
        <v>158.80000000000001</v>
      </c>
      <c r="I2352">
        <v>119</v>
      </c>
      <c r="J2352">
        <v>27</v>
      </c>
      <c r="K2352">
        <v>211.8</v>
      </c>
      <c r="L2352">
        <v>105</v>
      </c>
      <c r="M2352">
        <v>18</v>
      </c>
      <c r="N2352">
        <v>198.1</v>
      </c>
      <c r="O2352">
        <v>101</v>
      </c>
      <c r="P2352">
        <v>8.91</v>
      </c>
      <c r="Q2352">
        <v>10.3</v>
      </c>
      <c r="R2352">
        <v>3</v>
      </c>
      <c r="S2352">
        <v>2.78</v>
      </c>
      <c r="T2352">
        <v>1</v>
      </c>
      <c r="U2352" t="s">
        <v>22</v>
      </c>
      <c r="V2352" t="e">
        <f>IF(#REF! = "yes", 1, 0)</f>
        <v>#REF!</v>
      </c>
      <c r="W2352" t="e">
        <f>IF(#REF! &lt;= 1, "0-1 Calls", IF(#REF! &lt;= 3, "2-3 Calls", IF(#REF! &lt;=5, "4-5 Calls", "6+ Calls")))</f>
        <v>#REF!</v>
      </c>
      <c r="X2352" t="e">
        <f>IF(#REF! &lt;= 50, "0-50", IF(#REF! &lt;=100, "51-100", IF(#REF! &lt;= 150, "101-150", "151+")))</f>
        <v>#REF!</v>
      </c>
      <c r="Y2352" t="e">
        <f>IF(#REF! &lt;= 3, "Low Charges", "High Charges")</f>
        <v>#REF!</v>
      </c>
      <c r="Z2352" t="e">
        <f>IF(#REF!&lt;=80,"Low Calls",
IF(#REF!&lt;=120,"Medium Calls","High Calls"))</f>
        <v>#REF!</v>
      </c>
      <c r="AA2352" t="e">
        <f>IF(#REF!&lt;=15,"Low Charges",
IF(#REF!&lt;=20,"Medium Charges","High Charges"))</f>
        <v>#REF!</v>
      </c>
      <c r="AB2352" t="e">
        <f>IF(AND(#REF!&gt;180, #REF!&gt;200), "Heavy Doemstic User", IF(#REF!&gt;10, "Interntional User", IF(AND(#REF!&lt;180, #REF!&lt;200,#REF!&lt;200), "Light User", "Balanced User")))</f>
        <v>#REF!</v>
      </c>
      <c r="AC2352" t="e">
        <f>IF(#REF! = 0, "No Usage", IF(#REF! &lt;= 20, "Low Usage", IF(#REF! &lt;= 40, "Medium Usgae", "High Usage")))</f>
        <v>#REF!</v>
      </c>
      <c r="AD2352" t="e">
        <f>IF(#REF!&lt;=150,"Low Usage", IF(#REF!&lt;=200,"Medium Usage", IF(#REF!&lt;=250,"High Usage","Very High Usage")))</f>
        <v>#REF!</v>
      </c>
      <c r="AE2352" t="e">
        <f>IF(#REF!&lt;=5,"Low Calls", IF(#REF!&lt;=10, "Medium Calls", "High Calls"))</f>
        <v>#REF!</v>
      </c>
      <c r="AF2352" t="e">
        <f xml:space="preserve">
IF(#REF!&gt;=4,4,0)+
IF(#REF!="yes",3,0)+
IF(#REF!="High Charges",3,0)+
IF(#REF!&gt;250,4,0)+
IF(#REF!="no",1,0)+
IF(#REF!="Heavy Domestic User",2,0)</f>
        <v>#REF!</v>
      </c>
      <c r="AG2352" t="e">
        <f>IF(#REF!&gt;=10,"High Risk", IF(#REF!&gt;=5,"Medium Risk","Low Risk"))</f>
        <v>#REF!</v>
      </c>
      <c r="AH2352" t="e">
        <f>#REF! + #REF! + #REF! + #REF!</f>
        <v>#REF!</v>
      </c>
    </row>
    <row r="2353" spans="1:34" x14ac:dyDescent="0.35">
      <c r="A2353">
        <v>2352</v>
      </c>
      <c r="B2353" t="s">
        <v>32</v>
      </c>
      <c r="C2353">
        <v>77</v>
      </c>
      <c r="D2353" t="s">
        <v>25</v>
      </c>
      <c r="E2353" t="s">
        <v>22</v>
      </c>
      <c r="F2353" t="s">
        <v>22</v>
      </c>
      <c r="G2353">
        <v>0</v>
      </c>
      <c r="H2353">
        <v>185.9</v>
      </c>
      <c r="I2353">
        <v>95</v>
      </c>
      <c r="J2353">
        <v>31.6</v>
      </c>
      <c r="K2353">
        <v>212</v>
      </c>
      <c r="L2353">
        <v>98</v>
      </c>
      <c r="M2353">
        <v>18.02</v>
      </c>
      <c r="N2353">
        <v>282.3</v>
      </c>
      <c r="O2353">
        <v>81</v>
      </c>
      <c r="P2353">
        <v>12.7</v>
      </c>
      <c r="Q2353">
        <v>11.3</v>
      </c>
      <c r="R2353">
        <v>4</v>
      </c>
      <c r="S2353">
        <v>3.05</v>
      </c>
      <c r="T2353">
        <v>3</v>
      </c>
      <c r="U2353" t="s">
        <v>22</v>
      </c>
      <c r="V2353" t="e">
        <f>IF(#REF! = "yes", 1, 0)</f>
        <v>#REF!</v>
      </c>
      <c r="W2353" t="e">
        <f>IF(#REF! &lt;= 1, "0-1 Calls", IF(#REF! &lt;= 3, "2-3 Calls", IF(#REF! &lt;=5, "4-5 Calls", "6+ Calls")))</f>
        <v>#REF!</v>
      </c>
      <c r="X2353" t="e">
        <f>IF(#REF! &lt;= 50, "0-50", IF(#REF! &lt;=100, "51-100", IF(#REF! &lt;= 150, "101-150", "151+")))</f>
        <v>#REF!</v>
      </c>
      <c r="Y2353" t="e">
        <f>IF(#REF! &lt;= 3, "Low Charges", "High Charges")</f>
        <v>#REF!</v>
      </c>
      <c r="Z2353" t="e">
        <f>IF(#REF!&lt;=80,"Low Calls",
IF(#REF!&lt;=120,"Medium Calls","High Calls"))</f>
        <v>#REF!</v>
      </c>
      <c r="AA2353" t="e">
        <f>IF(#REF!&lt;=15,"Low Charges",
IF(#REF!&lt;=20,"Medium Charges","High Charges"))</f>
        <v>#REF!</v>
      </c>
      <c r="AB2353" t="e">
        <f>IF(AND(#REF!&gt;180, #REF!&gt;200), "Heavy Doemstic User", IF(#REF!&gt;10, "Interntional User", IF(AND(#REF!&lt;180, #REF!&lt;200,#REF!&lt;200), "Light User", "Balanced User")))</f>
        <v>#REF!</v>
      </c>
      <c r="AC2353" t="e">
        <f>IF(#REF! = 0, "No Usage", IF(#REF! &lt;= 20, "Low Usage", IF(#REF! &lt;= 40, "Medium Usgae", "High Usage")))</f>
        <v>#REF!</v>
      </c>
      <c r="AD2353" t="e">
        <f>IF(#REF!&lt;=150,"Low Usage", IF(#REF!&lt;=200,"Medium Usage", IF(#REF!&lt;=250,"High Usage","Very High Usage")))</f>
        <v>#REF!</v>
      </c>
      <c r="AE2353" t="e">
        <f>IF(#REF!&lt;=5,"Low Calls", IF(#REF!&lt;=10, "Medium Calls", "High Calls"))</f>
        <v>#REF!</v>
      </c>
      <c r="AF2353" t="e">
        <f xml:space="preserve">
IF(#REF!&gt;=4,4,0)+
IF(#REF!="yes",3,0)+
IF(#REF!="High Charges",3,0)+
IF(#REF!&gt;250,4,0)+
IF(#REF!="no",1,0)+
IF(#REF!="Heavy Domestic User",2,0)</f>
        <v>#REF!</v>
      </c>
      <c r="AG2353" t="e">
        <f>IF(#REF!&gt;=10,"High Risk", IF(#REF!&gt;=5,"Medium Risk","Low Risk"))</f>
        <v>#REF!</v>
      </c>
      <c r="AH2353" t="e">
        <f>#REF! + #REF! + #REF! + #REF!</f>
        <v>#REF!</v>
      </c>
    </row>
    <row r="2354" spans="1:34" x14ac:dyDescent="0.35">
      <c r="A2354">
        <v>2353</v>
      </c>
      <c r="B2354" t="s">
        <v>43</v>
      </c>
      <c r="C2354">
        <v>109</v>
      </c>
      <c r="D2354" t="s">
        <v>21</v>
      </c>
      <c r="E2354" t="s">
        <v>22</v>
      </c>
      <c r="F2354" t="s">
        <v>22</v>
      </c>
      <c r="G2354">
        <v>0</v>
      </c>
      <c r="H2354">
        <v>222.5</v>
      </c>
      <c r="I2354">
        <v>74</v>
      </c>
      <c r="J2354">
        <v>37.83</v>
      </c>
      <c r="K2354">
        <v>169.7</v>
      </c>
      <c r="L2354">
        <v>75</v>
      </c>
      <c r="M2354">
        <v>14.42</v>
      </c>
      <c r="N2354">
        <v>264.3</v>
      </c>
      <c r="O2354">
        <v>94</v>
      </c>
      <c r="P2354">
        <v>11.89</v>
      </c>
      <c r="Q2354">
        <v>9</v>
      </c>
      <c r="R2354">
        <v>3</v>
      </c>
      <c r="S2354">
        <v>2.4300000000000002</v>
      </c>
      <c r="T2354">
        <v>2</v>
      </c>
      <c r="U2354" t="s">
        <v>22</v>
      </c>
      <c r="V2354" t="e">
        <f>IF(#REF! = "yes", 1, 0)</f>
        <v>#REF!</v>
      </c>
      <c r="W2354" t="e">
        <f>IF(#REF! &lt;= 1, "0-1 Calls", IF(#REF! &lt;= 3, "2-3 Calls", IF(#REF! &lt;=5, "4-5 Calls", "6+ Calls")))</f>
        <v>#REF!</v>
      </c>
      <c r="X2354" t="e">
        <f>IF(#REF! &lt;= 50, "0-50", IF(#REF! &lt;=100, "51-100", IF(#REF! &lt;= 150, "101-150", "151+")))</f>
        <v>#REF!</v>
      </c>
      <c r="Y2354" t="e">
        <f>IF(#REF! &lt;= 3, "Low Charges", "High Charges")</f>
        <v>#REF!</v>
      </c>
      <c r="Z2354" t="e">
        <f>IF(#REF!&lt;=80,"Low Calls",
IF(#REF!&lt;=120,"Medium Calls","High Calls"))</f>
        <v>#REF!</v>
      </c>
      <c r="AA2354" t="e">
        <f>IF(#REF!&lt;=15,"Low Charges",
IF(#REF!&lt;=20,"Medium Charges","High Charges"))</f>
        <v>#REF!</v>
      </c>
      <c r="AB2354" t="e">
        <f>IF(AND(#REF!&gt;180, #REF!&gt;200), "Heavy Doemstic User", IF(#REF!&gt;10, "Interntional User", IF(AND(#REF!&lt;180, #REF!&lt;200,#REF!&lt;200), "Light User", "Balanced User")))</f>
        <v>#REF!</v>
      </c>
      <c r="AC2354" t="e">
        <f>IF(#REF! = 0, "No Usage", IF(#REF! &lt;= 20, "Low Usage", IF(#REF! &lt;= 40, "Medium Usgae", "High Usage")))</f>
        <v>#REF!</v>
      </c>
      <c r="AD2354" t="e">
        <f>IF(#REF!&lt;=150,"Low Usage", IF(#REF!&lt;=200,"Medium Usage", IF(#REF!&lt;=250,"High Usage","Very High Usage")))</f>
        <v>#REF!</v>
      </c>
      <c r="AE2354" t="e">
        <f>IF(#REF!&lt;=5,"Low Calls", IF(#REF!&lt;=10, "Medium Calls", "High Calls"))</f>
        <v>#REF!</v>
      </c>
      <c r="AF2354" t="e">
        <f xml:space="preserve">
IF(#REF!&gt;=4,4,0)+
IF(#REF!="yes",3,0)+
IF(#REF!="High Charges",3,0)+
IF(#REF!&gt;250,4,0)+
IF(#REF!="no",1,0)+
IF(#REF!="Heavy Domestic User",2,0)</f>
        <v>#REF!</v>
      </c>
      <c r="AG2354" t="e">
        <f>IF(#REF!&gt;=10,"High Risk", IF(#REF!&gt;=5,"Medium Risk","Low Risk"))</f>
        <v>#REF!</v>
      </c>
      <c r="AH2354" t="e">
        <f>#REF! + #REF! + #REF! + #REF!</f>
        <v>#REF!</v>
      </c>
    </row>
    <row r="2355" spans="1:34" x14ac:dyDescent="0.35">
      <c r="A2355">
        <v>2354</v>
      </c>
      <c r="B2355" t="s">
        <v>32</v>
      </c>
      <c r="C2355">
        <v>108</v>
      </c>
      <c r="D2355" t="s">
        <v>21</v>
      </c>
      <c r="E2355" t="s">
        <v>22</v>
      </c>
      <c r="F2355" t="s">
        <v>22</v>
      </c>
      <c r="G2355">
        <v>0</v>
      </c>
      <c r="H2355">
        <v>201.1</v>
      </c>
      <c r="I2355">
        <v>101</v>
      </c>
      <c r="J2355">
        <v>34.19</v>
      </c>
      <c r="K2355">
        <v>170.7</v>
      </c>
      <c r="L2355">
        <v>86</v>
      </c>
      <c r="M2355">
        <v>14.51</v>
      </c>
      <c r="N2355">
        <v>237.4</v>
      </c>
      <c r="O2355">
        <v>113</v>
      </c>
      <c r="P2355">
        <v>10.68</v>
      </c>
      <c r="Q2355">
        <v>11.6</v>
      </c>
      <c r="R2355">
        <v>3</v>
      </c>
      <c r="S2355">
        <v>3.13</v>
      </c>
      <c r="T2355">
        <v>3</v>
      </c>
      <c r="U2355" t="s">
        <v>22</v>
      </c>
      <c r="V2355" t="e">
        <f>IF(#REF! = "yes", 1, 0)</f>
        <v>#REF!</v>
      </c>
      <c r="W2355" t="e">
        <f>IF(#REF! &lt;= 1, "0-1 Calls", IF(#REF! &lt;= 3, "2-3 Calls", IF(#REF! &lt;=5, "4-5 Calls", "6+ Calls")))</f>
        <v>#REF!</v>
      </c>
      <c r="X2355" t="e">
        <f>IF(#REF! &lt;= 50, "0-50", IF(#REF! &lt;=100, "51-100", IF(#REF! &lt;= 150, "101-150", "151+")))</f>
        <v>#REF!</v>
      </c>
      <c r="Y2355" t="e">
        <f>IF(#REF! &lt;= 3, "Low Charges", "High Charges")</f>
        <v>#REF!</v>
      </c>
      <c r="Z2355" t="e">
        <f>IF(#REF!&lt;=80,"Low Calls",
IF(#REF!&lt;=120,"Medium Calls","High Calls"))</f>
        <v>#REF!</v>
      </c>
      <c r="AA2355" t="e">
        <f>IF(#REF!&lt;=15,"Low Charges",
IF(#REF!&lt;=20,"Medium Charges","High Charges"))</f>
        <v>#REF!</v>
      </c>
      <c r="AB2355" t="e">
        <f>IF(AND(#REF!&gt;180, #REF!&gt;200), "Heavy Doemstic User", IF(#REF!&gt;10, "Interntional User", IF(AND(#REF!&lt;180, #REF!&lt;200,#REF!&lt;200), "Light User", "Balanced User")))</f>
        <v>#REF!</v>
      </c>
      <c r="AC2355" t="e">
        <f>IF(#REF! = 0, "No Usage", IF(#REF! &lt;= 20, "Low Usage", IF(#REF! &lt;= 40, "Medium Usgae", "High Usage")))</f>
        <v>#REF!</v>
      </c>
      <c r="AD2355" t="e">
        <f>IF(#REF!&lt;=150,"Low Usage", IF(#REF!&lt;=200,"Medium Usage", IF(#REF!&lt;=250,"High Usage","Very High Usage")))</f>
        <v>#REF!</v>
      </c>
      <c r="AE2355" t="e">
        <f>IF(#REF!&lt;=5,"Low Calls", IF(#REF!&lt;=10, "Medium Calls", "High Calls"))</f>
        <v>#REF!</v>
      </c>
      <c r="AF2355" t="e">
        <f xml:space="preserve">
IF(#REF!&gt;=4,4,0)+
IF(#REF!="yes",3,0)+
IF(#REF!="High Charges",3,0)+
IF(#REF!&gt;250,4,0)+
IF(#REF!="no",1,0)+
IF(#REF!="Heavy Domestic User",2,0)</f>
        <v>#REF!</v>
      </c>
      <c r="AG2355" t="e">
        <f>IF(#REF!&gt;=10,"High Risk", IF(#REF!&gt;=5,"Medium Risk","Low Risk"))</f>
        <v>#REF!</v>
      </c>
      <c r="AH2355" t="e">
        <f>#REF! + #REF! + #REF! + #REF!</f>
        <v>#REF!</v>
      </c>
    </row>
    <row r="2356" spans="1:34" x14ac:dyDescent="0.35">
      <c r="A2356">
        <v>2355</v>
      </c>
      <c r="B2356" t="s">
        <v>34</v>
      </c>
      <c r="C2356">
        <v>79</v>
      </c>
      <c r="D2356" t="s">
        <v>21</v>
      </c>
      <c r="E2356" t="s">
        <v>22</v>
      </c>
      <c r="F2356" t="s">
        <v>23</v>
      </c>
      <c r="G2356">
        <v>17</v>
      </c>
      <c r="H2356">
        <v>167.9</v>
      </c>
      <c r="I2356">
        <v>114</v>
      </c>
      <c r="J2356">
        <v>28.54</v>
      </c>
      <c r="K2356">
        <v>243.7</v>
      </c>
      <c r="L2356">
        <v>93</v>
      </c>
      <c r="M2356">
        <v>20.71</v>
      </c>
      <c r="N2356">
        <v>211.9</v>
      </c>
      <c r="O2356">
        <v>114</v>
      </c>
      <c r="P2356">
        <v>9.5399999999999991</v>
      </c>
      <c r="Q2356">
        <v>9.1</v>
      </c>
      <c r="R2356">
        <v>2</v>
      </c>
      <c r="S2356">
        <v>2.46</v>
      </c>
      <c r="T2356">
        <v>1</v>
      </c>
      <c r="U2356" t="s">
        <v>22</v>
      </c>
      <c r="V2356" t="e">
        <f>IF(#REF! = "yes", 1, 0)</f>
        <v>#REF!</v>
      </c>
      <c r="W2356" t="e">
        <f>IF(#REF! &lt;= 1, "0-1 Calls", IF(#REF! &lt;= 3, "2-3 Calls", IF(#REF! &lt;=5, "4-5 Calls", "6+ Calls")))</f>
        <v>#REF!</v>
      </c>
      <c r="X2356" t="e">
        <f>IF(#REF! &lt;= 50, "0-50", IF(#REF! &lt;=100, "51-100", IF(#REF! &lt;= 150, "101-150", "151+")))</f>
        <v>#REF!</v>
      </c>
      <c r="Y2356" t="e">
        <f>IF(#REF! &lt;= 3, "Low Charges", "High Charges")</f>
        <v>#REF!</v>
      </c>
      <c r="Z2356" t="e">
        <f>IF(#REF!&lt;=80,"Low Calls",
IF(#REF!&lt;=120,"Medium Calls","High Calls"))</f>
        <v>#REF!</v>
      </c>
      <c r="AA2356" t="e">
        <f>IF(#REF!&lt;=15,"Low Charges",
IF(#REF!&lt;=20,"Medium Charges","High Charges"))</f>
        <v>#REF!</v>
      </c>
      <c r="AB2356" t="e">
        <f>IF(AND(#REF!&gt;180, #REF!&gt;200), "Heavy Doemstic User", IF(#REF!&gt;10, "Interntional User", IF(AND(#REF!&lt;180, #REF!&lt;200,#REF!&lt;200), "Light User", "Balanced User")))</f>
        <v>#REF!</v>
      </c>
      <c r="AC2356" t="e">
        <f>IF(#REF! = 0, "No Usage", IF(#REF! &lt;= 20, "Low Usage", IF(#REF! &lt;= 40, "Medium Usgae", "High Usage")))</f>
        <v>#REF!</v>
      </c>
      <c r="AD2356" t="e">
        <f>IF(#REF!&lt;=150,"Low Usage", IF(#REF!&lt;=200,"Medium Usage", IF(#REF!&lt;=250,"High Usage","Very High Usage")))</f>
        <v>#REF!</v>
      </c>
      <c r="AE2356" t="e">
        <f>IF(#REF!&lt;=5,"Low Calls", IF(#REF!&lt;=10, "Medium Calls", "High Calls"))</f>
        <v>#REF!</v>
      </c>
      <c r="AF2356" t="e">
        <f xml:space="preserve">
IF(#REF!&gt;=4,4,0)+
IF(#REF!="yes",3,0)+
IF(#REF!="High Charges",3,0)+
IF(#REF!&gt;250,4,0)+
IF(#REF!="no",1,0)+
IF(#REF!="Heavy Domestic User",2,0)</f>
        <v>#REF!</v>
      </c>
      <c r="AG2356" t="e">
        <f>IF(#REF!&gt;=10,"High Risk", IF(#REF!&gt;=5,"Medium Risk","Low Risk"))</f>
        <v>#REF!</v>
      </c>
      <c r="AH2356" t="e">
        <f>#REF! + #REF! + #REF! + #REF!</f>
        <v>#REF!</v>
      </c>
    </row>
    <row r="2357" spans="1:34" x14ac:dyDescent="0.35">
      <c r="A2357">
        <v>2356</v>
      </c>
      <c r="B2357" t="s">
        <v>49</v>
      </c>
      <c r="C2357">
        <v>119</v>
      </c>
      <c r="D2357" t="s">
        <v>25</v>
      </c>
      <c r="E2357" t="s">
        <v>22</v>
      </c>
      <c r="F2357" t="s">
        <v>22</v>
      </c>
      <c r="G2357">
        <v>0</v>
      </c>
      <c r="H2357">
        <v>239.1</v>
      </c>
      <c r="I2357">
        <v>88</v>
      </c>
      <c r="J2357">
        <v>40.65</v>
      </c>
      <c r="K2357">
        <v>243.5</v>
      </c>
      <c r="L2357">
        <v>79</v>
      </c>
      <c r="M2357">
        <v>20.7</v>
      </c>
      <c r="N2357">
        <v>230.9</v>
      </c>
      <c r="O2357">
        <v>92</v>
      </c>
      <c r="P2357">
        <v>10.39</v>
      </c>
      <c r="Q2357">
        <v>10.9</v>
      </c>
      <c r="R2357">
        <v>3</v>
      </c>
      <c r="S2357">
        <v>2.94</v>
      </c>
      <c r="T2357">
        <v>3</v>
      </c>
      <c r="U2357" t="s">
        <v>23</v>
      </c>
      <c r="V2357" t="e">
        <f>IF(#REF! = "yes", 1, 0)</f>
        <v>#REF!</v>
      </c>
      <c r="W2357" t="e">
        <f>IF(#REF! &lt;= 1, "0-1 Calls", IF(#REF! &lt;= 3, "2-3 Calls", IF(#REF! &lt;=5, "4-5 Calls", "6+ Calls")))</f>
        <v>#REF!</v>
      </c>
      <c r="X2357" t="e">
        <f>IF(#REF! &lt;= 50, "0-50", IF(#REF! &lt;=100, "51-100", IF(#REF! &lt;= 150, "101-150", "151+")))</f>
        <v>#REF!</v>
      </c>
      <c r="Y2357" t="e">
        <f>IF(#REF! &lt;= 3, "Low Charges", "High Charges")</f>
        <v>#REF!</v>
      </c>
      <c r="Z2357" t="e">
        <f>IF(#REF!&lt;=80,"Low Calls",
IF(#REF!&lt;=120,"Medium Calls","High Calls"))</f>
        <v>#REF!</v>
      </c>
      <c r="AA2357" t="e">
        <f>IF(#REF!&lt;=15,"Low Charges",
IF(#REF!&lt;=20,"Medium Charges","High Charges"))</f>
        <v>#REF!</v>
      </c>
      <c r="AB2357" t="e">
        <f>IF(AND(#REF!&gt;180, #REF!&gt;200), "Heavy Doemstic User", IF(#REF!&gt;10, "Interntional User", IF(AND(#REF!&lt;180, #REF!&lt;200,#REF!&lt;200), "Light User", "Balanced User")))</f>
        <v>#REF!</v>
      </c>
      <c r="AC2357" t="e">
        <f>IF(#REF! = 0, "No Usage", IF(#REF! &lt;= 20, "Low Usage", IF(#REF! &lt;= 40, "Medium Usgae", "High Usage")))</f>
        <v>#REF!</v>
      </c>
      <c r="AD2357" t="e">
        <f>IF(#REF!&lt;=150,"Low Usage", IF(#REF!&lt;=200,"Medium Usage", IF(#REF!&lt;=250,"High Usage","Very High Usage")))</f>
        <v>#REF!</v>
      </c>
      <c r="AE2357" t="e">
        <f>IF(#REF!&lt;=5,"Low Calls", IF(#REF!&lt;=10, "Medium Calls", "High Calls"))</f>
        <v>#REF!</v>
      </c>
      <c r="AF2357" t="e">
        <f xml:space="preserve">
IF(#REF!&gt;=4,4,0)+
IF(#REF!="yes",3,0)+
IF(#REF!="High Charges",3,0)+
IF(#REF!&gt;250,4,0)+
IF(#REF!="no",1,0)+
IF(#REF!="Heavy Domestic User",2,0)</f>
        <v>#REF!</v>
      </c>
      <c r="AG2357" t="e">
        <f>IF(#REF!&gt;=10,"High Risk", IF(#REF!&gt;=5,"Medium Risk","Low Risk"))</f>
        <v>#REF!</v>
      </c>
      <c r="AH2357" t="e">
        <f>#REF! + #REF! + #REF! + #REF!</f>
        <v>#REF!</v>
      </c>
    </row>
    <row r="2358" spans="1:34" x14ac:dyDescent="0.35">
      <c r="A2358">
        <v>2357</v>
      </c>
      <c r="B2358" t="s">
        <v>60</v>
      </c>
      <c r="C2358">
        <v>38</v>
      </c>
      <c r="D2358" t="s">
        <v>28</v>
      </c>
      <c r="E2358" t="s">
        <v>22</v>
      </c>
      <c r="F2358" t="s">
        <v>22</v>
      </c>
      <c r="G2358">
        <v>0</v>
      </c>
      <c r="H2358">
        <v>175.7</v>
      </c>
      <c r="I2358">
        <v>109</v>
      </c>
      <c r="J2358">
        <v>29.87</v>
      </c>
      <c r="K2358">
        <v>211.8</v>
      </c>
      <c r="L2358">
        <v>97</v>
      </c>
      <c r="M2358">
        <v>18</v>
      </c>
      <c r="N2358">
        <v>137.9</v>
      </c>
      <c r="O2358">
        <v>109</v>
      </c>
      <c r="P2358">
        <v>6.21</v>
      </c>
      <c r="Q2358">
        <v>9.1999999999999993</v>
      </c>
      <c r="R2358">
        <v>3</v>
      </c>
      <c r="S2358">
        <v>2.48</v>
      </c>
      <c r="T2358">
        <v>5</v>
      </c>
      <c r="U2358" t="s">
        <v>23</v>
      </c>
      <c r="V2358" t="e">
        <f>IF(#REF! = "yes", 1, 0)</f>
        <v>#REF!</v>
      </c>
      <c r="W2358" t="e">
        <f>IF(#REF! &lt;= 1, "0-1 Calls", IF(#REF! &lt;= 3, "2-3 Calls", IF(#REF! &lt;=5, "4-5 Calls", "6+ Calls")))</f>
        <v>#REF!</v>
      </c>
      <c r="X2358" t="e">
        <f>IF(#REF! &lt;= 50, "0-50", IF(#REF! &lt;=100, "51-100", IF(#REF! &lt;= 150, "101-150", "151+")))</f>
        <v>#REF!</v>
      </c>
      <c r="Y2358" t="e">
        <f>IF(#REF! &lt;= 3, "Low Charges", "High Charges")</f>
        <v>#REF!</v>
      </c>
      <c r="Z2358" t="e">
        <f>IF(#REF!&lt;=80,"Low Calls",
IF(#REF!&lt;=120,"Medium Calls","High Calls"))</f>
        <v>#REF!</v>
      </c>
      <c r="AA2358" t="e">
        <f>IF(#REF!&lt;=15,"Low Charges",
IF(#REF!&lt;=20,"Medium Charges","High Charges"))</f>
        <v>#REF!</v>
      </c>
      <c r="AB2358" t="e">
        <f>IF(AND(#REF!&gt;180, #REF!&gt;200), "Heavy Doemstic User", IF(#REF!&gt;10, "Interntional User", IF(AND(#REF!&lt;180, #REF!&lt;200,#REF!&lt;200), "Light User", "Balanced User")))</f>
        <v>#REF!</v>
      </c>
      <c r="AC2358" t="e">
        <f>IF(#REF! = 0, "No Usage", IF(#REF! &lt;= 20, "Low Usage", IF(#REF! &lt;= 40, "Medium Usgae", "High Usage")))</f>
        <v>#REF!</v>
      </c>
      <c r="AD2358" t="e">
        <f>IF(#REF!&lt;=150,"Low Usage", IF(#REF!&lt;=200,"Medium Usage", IF(#REF!&lt;=250,"High Usage","Very High Usage")))</f>
        <v>#REF!</v>
      </c>
      <c r="AE2358" t="e">
        <f>IF(#REF!&lt;=5,"Low Calls", IF(#REF!&lt;=10, "Medium Calls", "High Calls"))</f>
        <v>#REF!</v>
      </c>
      <c r="AF2358" t="e">
        <f xml:space="preserve">
IF(#REF!&gt;=4,4,0)+
IF(#REF!="yes",3,0)+
IF(#REF!="High Charges",3,0)+
IF(#REF!&gt;250,4,0)+
IF(#REF!="no",1,0)+
IF(#REF!="Heavy Domestic User",2,0)</f>
        <v>#REF!</v>
      </c>
      <c r="AG2358" t="e">
        <f>IF(#REF!&gt;=10,"High Risk", IF(#REF!&gt;=5,"Medium Risk","Low Risk"))</f>
        <v>#REF!</v>
      </c>
      <c r="AH2358" t="e">
        <f>#REF! + #REF! + #REF! + #REF!</f>
        <v>#REF!</v>
      </c>
    </row>
    <row r="2359" spans="1:34" x14ac:dyDescent="0.35">
      <c r="A2359">
        <v>2358</v>
      </c>
      <c r="B2359" t="s">
        <v>50</v>
      </c>
      <c r="C2359">
        <v>109</v>
      </c>
      <c r="D2359" t="s">
        <v>21</v>
      </c>
      <c r="E2359" t="s">
        <v>22</v>
      </c>
      <c r="F2359" t="s">
        <v>23</v>
      </c>
      <c r="G2359">
        <v>29</v>
      </c>
      <c r="H2359">
        <v>111.2</v>
      </c>
      <c r="I2359">
        <v>90</v>
      </c>
      <c r="J2359">
        <v>18.899999999999999</v>
      </c>
      <c r="K2359">
        <v>263.5</v>
      </c>
      <c r="L2359">
        <v>98</v>
      </c>
      <c r="M2359">
        <v>22.4</v>
      </c>
      <c r="N2359">
        <v>224.7</v>
      </c>
      <c r="O2359">
        <v>128</v>
      </c>
      <c r="P2359">
        <v>10.11</v>
      </c>
      <c r="Q2359">
        <v>9</v>
      </c>
      <c r="R2359">
        <v>6</v>
      </c>
      <c r="S2359">
        <v>2.4300000000000002</v>
      </c>
      <c r="T2359">
        <v>6</v>
      </c>
      <c r="U2359" t="s">
        <v>23</v>
      </c>
      <c r="V2359" t="e">
        <f>IF(#REF! = "yes", 1, 0)</f>
        <v>#REF!</v>
      </c>
      <c r="W2359" t="e">
        <f>IF(#REF! &lt;= 1, "0-1 Calls", IF(#REF! &lt;= 3, "2-3 Calls", IF(#REF! &lt;=5, "4-5 Calls", "6+ Calls")))</f>
        <v>#REF!</v>
      </c>
      <c r="X2359" t="e">
        <f>IF(#REF! &lt;= 50, "0-50", IF(#REF! &lt;=100, "51-100", IF(#REF! &lt;= 150, "101-150", "151+")))</f>
        <v>#REF!</v>
      </c>
      <c r="Y2359" t="e">
        <f>IF(#REF! &lt;= 3, "Low Charges", "High Charges")</f>
        <v>#REF!</v>
      </c>
      <c r="Z2359" t="e">
        <f>IF(#REF!&lt;=80,"Low Calls",
IF(#REF!&lt;=120,"Medium Calls","High Calls"))</f>
        <v>#REF!</v>
      </c>
      <c r="AA2359" t="e">
        <f>IF(#REF!&lt;=15,"Low Charges",
IF(#REF!&lt;=20,"Medium Charges","High Charges"))</f>
        <v>#REF!</v>
      </c>
      <c r="AB2359" t="e">
        <f>IF(AND(#REF!&gt;180, #REF!&gt;200), "Heavy Doemstic User", IF(#REF!&gt;10, "Interntional User", IF(AND(#REF!&lt;180, #REF!&lt;200,#REF!&lt;200), "Light User", "Balanced User")))</f>
        <v>#REF!</v>
      </c>
      <c r="AC2359" t="e">
        <f>IF(#REF! = 0, "No Usage", IF(#REF! &lt;= 20, "Low Usage", IF(#REF! &lt;= 40, "Medium Usgae", "High Usage")))</f>
        <v>#REF!</v>
      </c>
      <c r="AD2359" t="e">
        <f>IF(#REF!&lt;=150,"Low Usage", IF(#REF!&lt;=200,"Medium Usage", IF(#REF!&lt;=250,"High Usage","Very High Usage")))</f>
        <v>#REF!</v>
      </c>
      <c r="AE2359" t="e">
        <f>IF(#REF!&lt;=5,"Low Calls", IF(#REF!&lt;=10, "Medium Calls", "High Calls"))</f>
        <v>#REF!</v>
      </c>
      <c r="AF2359" t="e">
        <f xml:space="preserve">
IF(#REF!&gt;=4,4,0)+
IF(#REF!="yes",3,0)+
IF(#REF!="High Charges",3,0)+
IF(#REF!&gt;250,4,0)+
IF(#REF!="no",1,0)+
IF(#REF!="Heavy Domestic User",2,0)</f>
        <v>#REF!</v>
      </c>
      <c r="AG2359" t="e">
        <f>IF(#REF!&gt;=10,"High Risk", IF(#REF!&gt;=5,"Medium Risk","Low Risk"))</f>
        <v>#REF!</v>
      </c>
      <c r="AH2359" t="e">
        <f>#REF! + #REF! + #REF! + #REF!</f>
        <v>#REF!</v>
      </c>
    </row>
    <row r="2360" spans="1:34" x14ac:dyDescent="0.35">
      <c r="A2360">
        <v>2359</v>
      </c>
      <c r="B2360" t="s">
        <v>67</v>
      </c>
      <c r="C2360">
        <v>78</v>
      </c>
      <c r="D2360" t="s">
        <v>21</v>
      </c>
      <c r="E2360" t="s">
        <v>22</v>
      </c>
      <c r="F2360" t="s">
        <v>22</v>
      </c>
      <c r="G2360">
        <v>0</v>
      </c>
      <c r="H2360">
        <v>87.7</v>
      </c>
      <c r="I2360">
        <v>74</v>
      </c>
      <c r="J2360">
        <v>14.91</v>
      </c>
      <c r="K2360">
        <v>214.8</v>
      </c>
      <c r="L2360">
        <v>58</v>
      </c>
      <c r="M2360">
        <v>18.260000000000002</v>
      </c>
      <c r="N2360">
        <v>201.3</v>
      </c>
      <c r="O2360">
        <v>147</v>
      </c>
      <c r="P2360">
        <v>9.06</v>
      </c>
      <c r="Q2360">
        <v>10.8</v>
      </c>
      <c r="R2360">
        <v>6</v>
      </c>
      <c r="S2360">
        <v>2.92</v>
      </c>
      <c r="T2360">
        <v>1</v>
      </c>
      <c r="U2360" t="s">
        <v>22</v>
      </c>
      <c r="V2360" t="e">
        <f>IF(#REF! = "yes", 1, 0)</f>
        <v>#REF!</v>
      </c>
      <c r="W2360" t="e">
        <f>IF(#REF! &lt;= 1, "0-1 Calls", IF(#REF! &lt;= 3, "2-3 Calls", IF(#REF! &lt;=5, "4-5 Calls", "6+ Calls")))</f>
        <v>#REF!</v>
      </c>
      <c r="X2360" t="e">
        <f>IF(#REF! &lt;= 50, "0-50", IF(#REF! &lt;=100, "51-100", IF(#REF! &lt;= 150, "101-150", "151+")))</f>
        <v>#REF!</v>
      </c>
      <c r="Y2360" t="e">
        <f>IF(#REF! &lt;= 3, "Low Charges", "High Charges")</f>
        <v>#REF!</v>
      </c>
      <c r="Z2360" t="e">
        <f>IF(#REF!&lt;=80,"Low Calls",
IF(#REF!&lt;=120,"Medium Calls","High Calls"))</f>
        <v>#REF!</v>
      </c>
      <c r="AA2360" t="e">
        <f>IF(#REF!&lt;=15,"Low Charges",
IF(#REF!&lt;=20,"Medium Charges","High Charges"))</f>
        <v>#REF!</v>
      </c>
      <c r="AB2360" t="e">
        <f>IF(AND(#REF!&gt;180, #REF!&gt;200), "Heavy Doemstic User", IF(#REF!&gt;10, "Interntional User", IF(AND(#REF!&lt;180, #REF!&lt;200,#REF!&lt;200), "Light User", "Balanced User")))</f>
        <v>#REF!</v>
      </c>
      <c r="AC2360" t="e">
        <f>IF(#REF! = 0, "No Usage", IF(#REF! &lt;= 20, "Low Usage", IF(#REF! &lt;= 40, "Medium Usgae", "High Usage")))</f>
        <v>#REF!</v>
      </c>
      <c r="AD2360" t="e">
        <f>IF(#REF!&lt;=150,"Low Usage", IF(#REF!&lt;=200,"Medium Usage", IF(#REF!&lt;=250,"High Usage","Very High Usage")))</f>
        <v>#REF!</v>
      </c>
      <c r="AE2360" t="e">
        <f>IF(#REF!&lt;=5,"Low Calls", IF(#REF!&lt;=10, "Medium Calls", "High Calls"))</f>
        <v>#REF!</v>
      </c>
      <c r="AF2360" t="e">
        <f xml:space="preserve">
IF(#REF!&gt;=4,4,0)+
IF(#REF!="yes",3,0)+
IF(#REF!="High Charges",3,0)+
IF(#REF!&gt;250,4,0)+
IF(#REF!="no",1,0)+
IF(#REF!="Heavy Domestic User",2,0)</f>
        <v>#REF!</v>
      </c>
      <c r="AG2360" t="e">
        <f>IF(#REF!&gt;=10,"High Risk", IF(#REF!&gt;=5,"Medium Risk","Low Risk"))</f>
        <v>#REF!</v>
      </c>
      <c r="AH2360" t="e">
        <f>#REF! + #REF! + #REF! + #REF!</f>
        <v>#REF!</v>
      </c>
    </row>
    <row r="2361" spans="1:34" x14ac:dyDescent="0.35">
      <c r="A2361">
        <v>2360</v>
      </c>
      <c r="B2361" t="s">
        <v>60</v>
      </c>
      <c r="C2361">
        <v>134</v>
      </c>
      <c r="D2361" t="s">
        <v>21</v>
      </c>
      <c r="E2361" t="s">
        <v>22</v>
      </c>
      <c r="F2361" t="s">
        <v>22</v>
      </c>
      <c r="G2361">
        <v>0</v>
      </c>
      <c r="H2361">
        <v>244.1</v>
      </c>
      <c r="I2361">
        <v>99</v>
      </c>
      <c r="J2361">
        <v>41.5</v>
      </c>
      <c r="K2361">
        <v>246.9</v>
      </c>
      <c r="L2361">
        <v>111</v>
      </c>
      <c r="M2361">
        <v>20.99</v>
      </c>
      <c r="N2361">
        <v>200</v>
      </c>
      <c r="O2361">
        <v>133</v>
      </c>
      <c r="P2361">
        <v>9</v>
      </c>
      <c r="Q2361">
        <v>7.2</v>
      </c>
      <c r="R2361">
        <v>2</v>
      </c>
      <c r="S2361">
        <v>1.94</v>
      </c>
      <c r="T2361">
        <v>0</v>
      </c>
      <c r="U2361" t="s">
        <v>22</v>
      </c>
      <c r="V2361" t="e">
        <f>IF(#REF! = "yes", 1, 0)</f>
        <v>#REF!</v>
      </c>
      <c r="W2361" t="e">
        <f>IF(#REF! &lt;= 1, "0-1 Calls", IF(#REF! &lt;= 3, "2-3 Calls", IF(#REF! &lt;=5, "4-5 Calls", "6+ Calls")))</f>
        <v>#REF!</v>
      </c>
      <c r="X2361" t="e">
        <f>IF(#REF! &lt;= 50, "0-50", IF(#REF! &lt;=100, "51-100", IF(#REF! &lt;= 150, "101-150", "151+")))</f>
        <v>#REF!</v>
      </c>
      <c r="Y2361" t="e">
        <f>IF(#REF! &lt;= 3, "Low Charges", "High Charges")</f>
        <v>#REF!</v>
      </c>
      <c r="Z2361" t="e">
        <f>IF(#REF!&lt;=80,"Low Calls",
IF(#REF!&lt;=120,"Medium Calls","High Calls"))</f>
        <v>#REF!</v>
      </c>
      <c r="AA2361" t="e">
        <f>IF(#REF!&lt;=15,"Low Charges",
IF(#REF!&lt;=20,"Medium Charges","High Charges"))</f>
        <v>#REF!</v>
      </c>
      <c r="AB2361" t="e">
        <f>IF(AND(#REF!&gt;180, #REF!&gt;200), "Heavy Doemstic User", IF(#REF!&gt;10, "Interntional User", IF(AND(#REF!&lt;180, #REF!&lt;200,#REF!&lt;200), "Light User", "Balanced User")))</f>
        <v>#REF!</v>
      </c>
      <c r="AC2361" t="e">
        <f>IF(#REF! = 0, "No Usage", IF(#REF! &lt;= 20, "Low Usage", IF(#REF! &lt;= 40, "Medium Usgae", "High Usage")))</f>
        <v>#REF!</v>
      </c>
      <c r="AD2361" t="e">
        <f>IF(#REF!&lt;=150,"Low Usage", IF(#REF!&lt;=200,"Medium Usage", IF(#REF!&lt;=250,"High Usage","Very High Usage")))</f>
        <v>#REF!</v>
      </c>
      <c r="AE2361" t="e">
        <f>IF(#REF!&lt;=5,"Low Calls", IF(#REF!&lt;=10, "Medium Calls", "High Calls"))</f>
        <v>#REF!</v>
      </c>
      <c r="AF2361" t="e">
        <f xml:space="preserve">
IF(#REF!&gt;=4,4,0)+
IF(#REF!="yes",3,0)+
IF(#REF!="High Charges",3,0)+
IF(#REF!&gt;250,4,0)+
IF(#REF!="no",1,0)+
IF(#REF!="Heavy Domestic User",2,0)</f>
        <v>#REF!</v>
      </c>
      <c r="AG2361" t="e">
        <f>IF(#REF!&gt;=10,"High Risk", IF(#REF!&gt;=5,"Medium Risk","Low Risk"))</f>
        <v>#REF!</v>
      </c>
      <c r="AH2361" t="e">
        <f>#REF! + #REF! + #REF! + #REF!</f>
        <v>#REF!</v>
      </c>
    </row>
    <row r="2362" spans="1:34" x14ac:dyDescent="0.35">
      <c r="A2362">
        <v>2361</v>
      </c>
      <c r="B2362" t="s">
        <v>59</v>
      </c>
      <c r="C2362">
        <v>47</v>
      </c>
      <c r="D2362" t="s">
        <v>21</v>
      </c>
      <c r="E2362" t="s">
        <v>22</v>
      </c>
      <c r="F2362" t="s">
        <v>23</v>
      </c>
      <c r="G2362">
        <v>27</v>
      </c>
      <c r="H2362">
        <v>165</v>
      </c>
      <c r="I2362">
        <v>89</v>
      </c>
      <c r="J2362">
        <v>28.05</v>
      </c>
      <c r="K2362">
        <v>127.3</v>
      </c>
      <c r="L2362">
        <v>118</v>
      </c>
      <c r="M2362">
        <v>10.82</v>
      </c>
      <c r="N2362">
        <v>284.39999999999998</v>
      </c>
      <c r="O2362">
        <v>95</v>
      </c>
      <c r="P2362">
        <v>12.8</v>
      </c>
      <c r="Q2362">
        <v>7.7</v>
      </c>
      <c r="R2362">
        <v>4</v>
      </c>
      <c r="S2362">
        <v>2.08</v>
      </c>
      <c r="T2362">
        <v>2</v>
      </c>
      <c r="U2362" t="s">
        <v>22</v>
      </c>
      <c r="V2362" t="e">
        <f>IF(#REF! = "yes", 1, 0)</f>
        <v>#REF!</v>
      </c>
      <c r="W2362" t="e">
        <f>IF(#REF! &lt;= 1, "0-1 Calls", IF(#REF! &lt;= 3, "2-3 Calls", IF(#REF! &lt;=5, "4-5 Calls", "6+ Calls")))</f>
        <v>#REF!</v>
      </c>
      <c r="X2362" t="e">
        <f>IF(#REF! &lt;= 50, "0-50", IF(#REF! &lt;=100, "51-100", IF(#REF! &lt;= 150, "101-150", "151+")))</f>
        <v>#REF!</v>
      </c>
      <c r="Y2362" t="e">
        <f>IF(#REF! &lt;= 3, "Low Charges", "High Charges")</f>
        <v>#REF!</v>
      </c>
      <c r="Z2362" t="e">
        <f>IF(#REF!&lt;=80,"Low Calls",
IF(#REF!&lt;=120,"Medium Calls","High Calls"))</f>
        <v>#REF!</v>
      </c>
      <c r="AA2362" t="e">
        <f>IF(#REF!&lt;=15,"Low Charges",
IF(#REF!&lt;=20,"Medium Charges","High Charges"))</f>
        <v>#REF!</v>
      </c>
      <c r="AB2362" t="e">
        <f>IF(AND(#REF!&gt;180, #REF!&gt;200), "Heavy Doemstic User", IF(#REF!&gt;10, "Interntional User", IF(AND(#REF!&lt;180, #REF!&lt;200,#REF!&lt;200), "Light User", "Balanced User")))</f>
        <v>#REF!</v>
      </c>
      <c r="AC2362" t="e">
        <f>IF(#REF! = 0, "No Usage", IF(#REF! &lt;= 20, "Low Usage", IF(#REF! &lt;= 40, "Medium Usgae", "High Usage")))</f>
        <v>#REF!</v>
      </c>
      <c r="AD2362" t="e">
        <f>IF(#REF!&lt;=150,"Low Usage", IF(#REF!&lt;=200,"Medium Usage", IF(#REF!&lt;=250,"High Usage","Very High Usage")))</f>
        <v>#REF!</v>
      </c>
      <c r="AE2362" t="e">
        <f>IF(#REF!&lt;=5,"Low Calls", IF(#REF!&lt;=10, "Medium Calls", "High Calls"))</f>
        <v>#REF!</v>
      </c>
      <c r="AF2362" t="e">
        <f xml:space="preserve">
IF(#REF!&gt;=4,4,0)+
IF(#REF!="yes",3,0)+
IF(#REF!="High Charges",3,0)+
IF(#REF!&gt;250,4,0)+
IF(#REF!="no",1,0)+
IF(#REF!="Heavy Domestic User",2,0)</f>
        <v>#REF!</v>
      </c>
      <c r="AG2362" t="e">
        <f>IF(#REF!&gt;=10,"High Risk", IF(#REF!&gt;=5,"Medium Risk","Low Risk"))</f>
        <v>#REF!</v>
      </c>
      <c r="AH2362" t="e">
        <f>#REF! + #REF! + #REF! + #REF!</f>
        <v>#REF!</v>
      </c>
    </row>
    <row r="2363" spans="1:34" x14ac:dyDescent="0.35">
      <c r="A2363">
        <v>2362</v>
      </c>
      <c r="B2363" t="s">
        <v>67</v>
      </c>
      <c r="C2363">
        <v>59</v>
      </c>
      <c r="D2363" t="s">
        <v>25</v>
      </c>
      <c r="E2363" t="s">
        <v>22</v>
      </c>
      <c r="F2363" t="s">
        <v>23</v>
      </c>
      <c r="G2363">
        <v>27</v>
      </c>
      <c r="H2363">
        <v>127.4</v>
      </c>
      <c r="I2363">
        <v>110</v>
      </c>
      <c r="J2363">
        <v>21.66</v>
      </c>
      <c r="K2363">
        <v>103.3</v>
      </c>
      <c r="L2363">
        <v>99</v>
      </c>
      <c r="M2363">
        <v>8.7799999999999994</v>
      </c>
      <c r="N2363">
        <v>164.2</v>
      </c>
      <c r="O2363">
        <v>73</v>
      </c>
      <c r="P2363">
        <v>7.39</v>
      </c>
      <c r="Q2363">
        <v>9.1</v>
      </c>
      <c r="R2363">
        <v>3</v>
      </c>
      <c r="S2363">
        <v>2.46</v>
      </c>
      <c r="T2363">
        <v>0</v>
      </c>
      <c r="U2363" t="s">
        <v>22</v>
      </c>
      <c r="V2363" t="e">
        <f>IF(#REF! = "yes", 1, 0)</f>
        <v>#REF!</v>
      </c>
      <c r="W2363" t="e">
        <f>IF(#REF! &lt;= 1, "0-1 Calls", IF(#REF! &lt;= 3, "2-3 Calls", IF(#REF! &lt;=5, "4-5 Calls", "6+ Calls")))</f>
        <v>#REF!</v>
      </c>
      <c r="X2363" t="e">
        <f>IF(#REF! &lt;= 50, "0-50", IF(#REF! &lt;=100, "51-100", IF(#REF! &lt;= 150, "101-150", "151+")))</f>
        <v>#REF!</v>
      </c>
      <c r="Y2363" t="e">
        <f>IF(#REF! &lt;= 3, "Low Charges", "High Charges")</f>
        <v>#REF!</v>
      </c>
      <c r="Z2363" t="e">
        <f>IF(#REF!&lt;=80,"Low Calls",
IF(#REF!&lt;=120,"Medium Calls","High Calls"))</f>
        <v>#REF!</v>
      </c>
      <c r="AA2363" t="e">
        <f>IF(#REF!&lt;=15,"Low Charges",
IF(#REF!&lt;=20,"Medium Charges","High Charges"))</f>
        <v>#REF!</v>
      </c>
      <c r="AB2363" t="e">
        <f>IF(AND(#REF!&gt;180, #REF!&gt;200), "Heavy Doemstic User", IF(#REF!&gt;10, "Interntional User", IF(AND(#REF!&lt;180, #REF!&lt;200,#REF!&lt;200), "Light User", "Balanced User")))</f>
        <v>#REF!</v>
      </c>
      <c r="AC2363" t="e">
        <f>IF(#REF! = 0, "No Usage", IF(#REF! &lt;= 20, "Low Usage", IF(#REF! &lt;= 40, "Medium Usgae", "High Usage")))</f>
        <v>#REF!</v>
      </c>
      <c r="AD2363" t="e">
        <f>IF(#REF!&lt;=150,"Low Usage", IF(#REF!&lt;=200,"Medium Usage", IF(#REF!&lt;=250,"High Usage","Very High Usage")))</f>
        <v>#REF!</v>
      </c>
      <c r="AE2363" t="e">
        <f>IF(#REF!&lt;=5,"Low Calls", IF(#REF!&lt;=10, "Medium Calls", "High Calls"))</f>
        <v>#REF!</v>
      </c>
      <c r="AF2363" t="e">
        <f xml:space="preserve">
IF(#REF!&gt;=4,4,0)+
IF(#REF!="yes",3,0)+
IF(#REF!="High Charges",3,0)+
IF(#REF!&gt;250,4,0)+
IF(#REF!="no",1,0)+
IF(#REF!="Heavy Domestic User",2,0)</f>
        <v>#REF!</v>
      </c>
      <c r="AG2363" t="e">
        <f>IF(#REF!&gt;=10,"High Risk", IF(#REF!&gt;=5,"Medium Risk","Low Risk"))</f>
        <v>#REF!</v>
      </c>
      <c r="AH2363" t="e">
        <f>#REF! + #REF! + #REF! + #REF!</f>
        <v>#REF!</v>
      </c>
    </row>
    <row r="2364" spans="1:34" x14ac:dyDescent="0.35">
      <c r="A2364">
        <v>2363</v>
      </c>
      <c r="B2364" t="s">
        <v>37</v>
      </c>
      <c r="C2364">
        <v>151</v>
      </c>
      <c r="D2364" t="s">
        <v>21</v>
      </c>
      <c r="E2364" t="s">
        <v>22</v>
      </c>
      <c r="F2364" t="s">
        <v>22</v>
      </c>
      <c r="G2364">
        <v>0</v>
      </c>
      <c r="H2364">
        <v>194.8</v>
      </c>
      <c r="I2364">
        <v>106</v>
      </c>
      <c r="J2364">
        <v>33.119999999999997</v>
      </c>
      <c r="K2364">
        <v>292.7</v>
      </c>
      <c r="L2364">
        <v>103</v>
      </c>
      <c r="M2364">
        <v>24.88</v>
      </c>
      <c r="N2364">
        <v>224.6</v>
      </c>
      <c r="O2364">
        <v>82</v>
      </c>
      <c r="P2364">
        <v>10.11</v>
      </c>
      <c r="Q2364">
        <v>5.5</v>
      </c>
      <c r="R2364">
        <v>3</v>
      </c>
      <c r="S2364">
        <v>1.49</v>
      </c>
      <c r="T2364">
        <v>0</v>
      </c>
      <c r="U2364" t="s">
        <v>22</v>
      </c>
      <c r="V2364" t="e">
        <f>IF(#REF! = "yes", 1, 0)</f>
        <v>#REF!</v>
      </c>
      <c r="W2364" t="e">
        <f>IF(#REF! &lt;= 1, "0-1 Calls", IF(#REF! &lt;= 3, "2-3 Calls", IF(#REF! &lt;=5, "4-5 Calls", "6+ Calls")))</f>
        <v>#REF!</v>
      </c>
      <c r="X2364" t="e">
        <f>IF(#REF! &lt;= 50, "0-50", IF(#REF! &lt;=100, "51-100", IF(#REF! &lt;= 150, "101-150", "151+")))</f>
        <v>#REF!</v>
      </c>
      <c r="Y2364" t="e">
        <f>IF(#REF! &lt;= 3, "Low Charges", "High Charges")</f>
        <v>#REF!</v>
      </c>
      <c r="Z2364" t="e">
        <f>IF(#REF!&lt;=80,"Low Calls",
IF(#REF!&lt;=120,"Medium Calls","High Calls"))</f>
        <v>#REF!</v>
      </c>
      <c r="AA2364" t="e">
        <f>IF(#REF!&lt;=15,"Low Charges",
IF(#REF!&lt;=20,"Medium Charges","High Charges"))</f>
        <v>#REF!</v>
      </c>
      <c r="AB2364" t="e">
        <f>IF(AND(#REF!&gt;180, #REF!&gt;200), "Heavy Doemstic User", IF(#REF!&gt;10, "Interntional User", IF(AND(#REF!&lt;180, #REF!&lt;200,#REF!&lt;200), "Light User", "Balanced User")))</f>
        <v>#REF!</v>
      </c>
      <c r="AC2364" t="e">
        <f>IF(#REF! = 0, "No Usage", IF(#REF! &lt;= 20, "Low Usage", IF(#REF! &lt;= 40, "Medium Usgae", "High Usage")))</f>
        <v>#REF!</v>
      </c>
      <c r="AD2364" t="e">
        <f>IF(#REF!&lt;=150,"Low Usage", IF(#REF!&lt;=200,"Medium Usage", IF(#REF!&lt;=250,"High Usage","Very High Usage")))</f>
        <v>#REF!</v>
      </c>
      <c r="AE2364" t="e">
        <f>IF(#REF!&lt;=5,"Low Calls", IF(#REF!&lt;=10, "Medium Calls", "High Calls"))</f>
        <v>#REF!</v>
      </c>
      <c r="AF2364" t="e">
        <f xml:space="preserve">
IF(#REF!&gt;=4,4,0)+
IF(#REF!="yes",3,0)+
IF(#REF!="High Charges",3,0)+
IF(#REF!&gt;250,4,0)+
IF(#REF!="no",1,0)+
IF(#REF!="Heavy Domestic User",2,0)</f>
        <v>#REF!</v>
      </c>
      <c r="AG2364" t="e">
        <f>IF(#REF!&gt;=10,"High Risk", IF(#REF!&gt;=5,"Medium Risk","Low Risk"))</f>
        <v>#REF!</v>
      </c>
      <c r="AH2364" t="e">
        <f>#REF! + #REF! + #REF! + #REF!</f>
        <v>#REF!</v>
      </c>
    </row>
    <row r="2365" spans="1:34" x14ac:dyDescent="0.35">
      <c r="A2365">
        <v>2364</v>
      </c>
      <c r="B2365" t="s">
        <v>58</v>
      </c>
      <c r="C2365">
        <v>129</v>
      </c>
      <c r="D2365" t="s">
        <v>21</v>
      </c>
      <c r="E2365" t="s">
        <v>22</v>
      </c>
      <c r="F2365" t="s">
        <v>22</v>
      </c>
      <c r="G2365">
        <v>0</v>
      </c>
      <c r="H2365">
        <v>54.7</v>
      </c>
      <c r="I2365">
        <v>131</v>
      </c>
      <c r="J2365">
        <v>9.3000000000000007</v>
      </c>
      <c r="K2365">
        <v>256.10000000000002</v>
      </c>
      <c r="L2365">
        <v>105</v>
      </c>
      <c r="M2365">
        <v>21.77</v>
      </c>
      <c r="N2365">
        <v>176.6</v>
      </c>
      <c r="O2365">
        <v>135</v>
      </c>
      <c r="P2365">
        <v>7.95</v>
      </c>
      <c r="Q2365">
        <v>11.1</v>
      </c>
      <c r="R2365">
        <v>4</v>
      </c>
      <c r="S2365">
        <v>3</v>
      </c>
      <c r="T2365">
        <v>1</v>
      </c>
      <c r="U2365" t="s">
        <v>22</v>
      </c>
      <c r="V2365" t="e">
        <f>IF(#REF! = "yes", 1, 0)</f>
        <v>#REF!</v>
      </c>
      <c r="W2365" t="e">
        <f>IF(#REF! &lt;= 1, "0-1 Calls", IF(#REF! &lt;= 3, "2-3 Calls", IF(#REF! &lt;=5, "4-5 Calls", "6+ Calls")))</f>
        <v>#REF!</v>
      </c>
      <c r="X2365" t="e">
        <f>IF(#REF! &lt;= 50, "0-50", IF(#REF! &lt;=100, "51-100", IF(#REF! &lt;= 150, "101-150", "151+")))</f>
        <v>#REF!</v>
      </c>
      <c r="Y2365" t="e">
        <f>IF(#REF! &lt;= 3, "Low Charges", "High Charges")</f>
        <v>#REF!</v>
      </c>
      <c r="Z2365" t="e">
        <f>IF(#REF!&lt;=80,"Low Calls",
IF(#REF!&lt;=120,"Medium Calls","High Calls"))</f>
        <v>#REF!</v>
      </c>
      <c r="AA2365" t="e">
        <f>IF(#REF!&lt;=15,"Low Charges",
IF(#REF!&lt;=20,"Medium Charges","High Charges"))</f>
        <v>#REF!</v>
      </c>
      <c r="AB2365" t="e">
        <f>IF(AND(#REF!&gt;180, #REF!&gt;200), "Heavy Doemstic User", IF(#REF!&gt;10, "Interntional User", IF(AND(#REF!&lt;180, #REF!&lt;200,#REF!&lt;200), "Light User", "Balanced User")))</f>
        <v>#REF!</v>
      </c>
      <c r="AC2365" t="e">
        <f>IF(#REF! = 0, "No Usage", IF(#REF! &lt;= 20, "Low Usage", IF(#REF! &lt;= 40, "Medium Usgae", "High Usage")))</f>
        <v>#REF!</v>
      </c>
      <c r="AD2365" t="e">
        <f>IF(#REF!&lt;=150,"Low Usage", IF(#REF!&lt;=200,"Medium Usage", IF(#REF!&lt;=250,"High Usage","Very High Usage")))</f>
        <v>#REF!</v>
      </c>
      <c r="AE2365" t="e">
        <f>IF(#REF!&lt;=5,"Low Calls", IF(#REF!&lt;=10, "Medium Calls", "High Calls"))</f>
        <v>#REF!</v>
      </c>
      <c r="AF2365" t="e">
        <f xml:space="preserve">
IF(#REF!&gt;=4,4,0)+
IF(#REF!="yes",3,0)+
IF(#REF!="High Charges",3,0)+
IF(#REF!&gt;250,4,0)+
IF(#REF!="no",1,0)+
IF(#REF!="Heavy Domestic User",2,0)</f>
        <v>#REF!</v>
      </c>
      <c r="AG2365" t="e">
        <f>IF(#REF!&gt;=10,"High Risk", IF(#REF!&gt;=5,"Medium Risk","Low Risk"))</f>
        <v>#REF!</v>
      </c>
      <c r="AH2365" t="e">
        <f>#REF! + #REF! + #REF! + #REF!</f>
        <v>#REF!</v>
      </c>
    </row>
    <row r="2366" spans="1:34" x14ac:dyDescent="0.35">
      <c r="A2366">
        <v>2365</v>
      </c>
      <c r="B2366" t="s">
        <v>53</v>
      </c>
      <c r="C2366">
        <v>76</v>
      </c>
      <c r="D2366" t="s">
        <v>28</v>
      </c>
      <c r="E2366" t="s">
        <v>22</v>
      </c>
      <c r="F2366" t="s">
        <v>22</v>
      </c>
      <c r="G2366">
        <v>0</v>
      </c>
      <c r="H2366">
        <v>90.5</v>
      </c>
      <c r="I2366">
        <v>142</v>
      </c>
      <c r="J2366">
        <v>15.39</v>
      </c>
      <c r="K2366">
        <v>211.7</v>
      </c>
      <c r="L2366">
        <v>75</v>
      </c>
      <c r="M2366">
        <v>17.989999999999998</v>
      </c>
      <c r="N2366">
        <v>194.9</v>
      </c>
      <c r="O2366">
        <v>76</v>
      </c>
      <c r="P2366">
        <v>8.77</v>
      </c>
      <c r="Q2366">
        <v>9.3000000000000007</v>
      </c>
      <c r="R2366">
        <v>2</v>
      </c>
      <c r="S2366">
        <v>2.5099999999999998</v>
      </c>
      <c r="T2366">
        <v>1</v>
      </c>
      <c r="U2366" t="s">
        <v>22</v>
      </c>
      <c r="V2366" t="e">
        <f>IF(#REF! = "yes", 1, 0)</f>
        <v>#REF!</v>
      </c>
      <c r="W2366" t="e">
        <f>IF(#REF! &lt;= 1, "0-1 Calls", IF(#REF! &lt;= 3, "2-3 Calls", IF(#REF! &lt;=5, "4-5 Calls", "6+ Calls")))</f>
        <v>#REF!</v>
      </c>
      <c r="X2366" t="e">
        <f>IF(#REF! &lt;= 50, "0-50", IF(#REF! &lt;=100, "51-100", IF(#REF! &lt;= 150, "101-150", "151+")))</f>
        <v>#REF!</v>
      </c>
      <c r="Y2366" t="e">
        <f>IF(#REF! &lt;= 3, "Low Charges", "High Charges")</f>
        <v>#REF!</v>
      </c>
      <c r="Z2366" t="e">
        <f>IF(#REF!&lt;=80,"Low Calls",
IF(#REF!&lt;=120,"Medium Calls","High Calls"))</f>
        <v>#REF!</v>
      </c>
      <c r="AA2366" t="e">
        <f>IF(#REF!&lt;=15,"Low Charges",
IF(#REF!&lt;=20,"Medium Charges","High Charges"))</f>
        <v>#REF!</v>
      </c>
      <c r="AB2366" t="e">
        <f>IF(AND(#REF!&gt;180, #REF!&gt;200), "Heavy Doemstic User", IF(#REF!&gt;10, "Interntional User", IF(AND(#REF!&lt;180, #REF!&lt;200,#REF!&lt;200), "Light User", "Balanced User")))</f>
        <v>#REF!</v>
      </c>
      <c r="AC2366" t="e">
        <f>IF(#REF! = 0, "No Usage", IF(#REF! &lt;= 20, "Low Usage", IF(#REF! &lt;= 40, "Medium Usgae", "High Usage")))</f>
        <v>#REF!</v>
      </c>
      <c r="AD2366" t="e">
        <f>IF(#REF!&lt;=150,"Low Usage", IF(#REF!&lt;=200,"Medium Usage", IF(#REF!&lt;=250,"High Usage","Very High Usage")))</f>
        <v>#REF!</v>
      </c>
      <c r="AE2366" t="e">
        <f>IF(#REF!&lt;=5,"Low Calls", IF(#REF!&lt;=10, "Medium Calls", "High Calls"))</f>
        <v>#REF!</v>
      </c>
      <c r="AF2366" t="e">
        <f xml:space="preserve">
IF(#REF!&gt;=4,4,0)+
IF(#REF!="yes",3,0)+
IF(#REF!="High Charges",3,0)+
IF(#REF!&gt;250,4,0)+
IF(#REF!="no",1,0)+
IF(#REF!="Heavy Domestic User",2,0)</f>
        <v>#REF!</v>
      </c>
      <c r="AG2366" t="e">
        <f>IF(#REF!&gt;=10,"High Risk", IF(#REF!&gt;=5,"Medium Risk","Low Risk"))</f>
        <v>#REF!</v>
      </c>
      <c r="AH2366" t="e">
        <f>#REF! + #REF! + #REF! + #REF!</f>
        <v>#REF!</v>
      </c>
    </row>
    <row r="2367" spans="1:34" x14ac:dyDescent="0.35">
      <c r="A2367">
        <v>2366</v>
      </c>
      <c r="B2367" t="s">
        <v>45</v>
      </c>
      <c r="C2367">
        <v>24</v>
      </c>
      <c r="D2367" t="s">
        <v>21</v>
      </c>
      <c r="E2367" t="s">
        <v>22</v>
      </c>
      <c r="F2367" t="s">
        <v>22</v>
      </c>
      <c r="G2367">
        <v>0</v>
      </c>
      <c r="H2367">
        <v>235.6</v>
      </c>
      <c r="I2367">
        <v>132</v>
      </c>
      <c r="J2367">
        <v>40.049999999999997</v>
      </c>
      <c r="K2367">
        <v>115.9</v>
      </c>
      <c r="L2367">
        <v>129</v>
      </c>
      <c r="M2367">
        <v>9.85</v>
      </c>
      <c r="N2367">
        <v>185.4</v>
      </c>
      <c r="O2367">
        <v>136</v>
      </c>
      <c r="P2367">
        <v>8.34</v>
      </c>
      <c r="Q2367">
        <v>16.2</v>
      </c>
      <c r="R2367">
        <v>2</v>
      </c>
      <c r="S2367">
        <v>4.37</v>
      </c>
      <c r="T2367">
        <v>0</v>
      </c>
      <c r="U2367" t="s">
        <v>22</v>
      </c>
      <c r="V2367" t="e">
        <f>IF(#REF! = "yes", 1, 0)</f>
        <v>#REF!</v>
      </c>
      <c r="W2367" t="e">
        <f>IF(#REF! &lt;= 1, "0-1 Calls", IF(#REF! &lt;= 3, "2-3 Calls", IF(#REF! &lt;=5, "4-5 Calls", "6+ Calls")))</f>
        <v>#REF!</v>
      </c>
      <c r="X2367" t="e">
        <f>IF(#REF! &lt;= 50, "0-50", IF(#REF! &lt;=100, "51-100", IF(#REF! &lt;= 150, "101-150", "151+")))</f>
        <v>#REF!</v>
      </c>
      <c r="Y2367" t="e">
        <f>IF(#REF! &lt;= 3, "Low Charges", "High Charges")</f>
        <v>#REF!</v>
      </c>
      <c r="Z2367" t="e">
        <f>IF(#REF!&lt;=80,"Low Calls",
IF(#REF!&lt;=120,"Medium Calls","High Calls"))</f>
        <v>#REF!</v>
      </c>
      <c r="AA2367" t="e">
        <f>IF(#REF!&lt;=15,"Low Charges",
IF(#REF!&lt;=20,"Medium Charges","High Charges"))</f>
        <v>#REF!</v>
      </c>
      <c r="AB2367" t="e">
        <f>IF(AND(#REF!&gt;180, #REF!&gt;200), "Heavy Doemstic User", IF(#REF!&gt;10, "Interntional User", IF(AND(#REF!&lt;180, #REF!&lt;200,#REF!&lt;200), "Light User", "Balanced User")))</f>
        <v>#REF!</v>
      </c>
      <c r="AC2367" t="e">
        <f>IF(#REF! = 0, "No Usage", IF(#REF! &lt;= 20, "Low Usage", IF(#REF! &lt;= 40, "Medium Usgae", "High Usage")))</f>
        <v>#REF!</v>
      </c>
      <c r="AD2367" t="e">
        <f>IF(#REF!&lt;=150,"Low Usage", IF(#REF!&lt;=200,"Medium Usage", IF(#REF!&lt;=250,"High Usage","Very High Usage")))</f>
        <v>#REF!</v>
      </c>
      <c r="AE2367" t="e">
        <f>IF(#REF!&lt;=5,"Low Calls", IF(#REF!&lt;=10, "Medium Calls", "High Calls"))</f>
        <v>#REF!</v>
      </c>
      <c r="AF2367" t="e">
        <f xml:space="preserve">
IF(#REF!&gt;=4,4,0)+
IF(#REF!="yes",3,0)+
IF(#REF!="High Charges",3,0)+
IF(#REF!&gt;250,4,0)+
IF(#REF!="no",1,0)+
IF(#REF!="Heavy Domestic User",2,0)</f>
        <v>#REF!</v>
      </c>
      <c r="AG2367" t="e">
        <f>IF(#REF!&gt;=10,"High Risk", IF(#REF!&gt;=5,"Medium Risk","Low Risk"))</f>
        <v>#REF!</v>
      </c>
      <c r="AH2367" t="e">
        <f>#REF! + #REF! + #REF! + #REF!</f>
        <v>#REF!</v>
      </c>
    </row>
    <row r="2368" spans="1:34" x14ac:dyDescent="0.35">
      <c r="A2368">
        <v>2367</v>
      </c>
      <c r="B2368" t="s">
        <v>58</v>
      </c>
      <c r="C2368">
        <v>169</v>
      </c>
      <c r="D2368" t="s">
        <v>25</v>
      </c>
      <c r="E2368" t="s">
        <v>22</v>
      </c>
      <c r="F2368" t="s">
        <v>22</v>
      </c>
      <c r="G2368">
        <v>0</v>
      </c>
      <c r="H2368">
        <v>142.5</v>
      </c>
      <c r="I2368">
        <v>82</v>
      </c>
      <c r="J2368">
        <v>24.23</v>
      </c>
      <c r="K2368">
        <v>231.4</v>
      </c>
      <c r="L2368">
        <v>110</v>
      </c>
      <c r="M2368">
        <v>19.670000000000002</v>
      </c>
      <c r="N2368">
        <v>131.19999999999999</v>
      </c>
      <c r="O2368">
        <v>67</v>
      </c>
      <c r="P2368">
        <v>5.9</v>
      </c>
      <c r="Q2368">
        <v>10</v>
      </c>
      <c r="R2368">
        <v>4</v>
      </c>
      <c r="S2368">
        <v>2.7</v>
      </c>
      <c r="T2368">
        <v>2</v>
      </c>
      <c r="U2368" t="s">
        <v>22</v>
      </c>
      <c r="V2368" t="e">
        <f>IF(#REF! = "yes", 1, 0)</f>
        <v>#REF!</v>
      </c>
      <c r="W2368" t="e">
        <f>IF(#REF! &lt;= 1, "0-1 Calls", IF(#REF! &lt;= 3, "2-3 Calls", IF(#REF! &lt;=5, "4-5 Calls", "6+ Calls")))</f>
        <v>#REF!</v>
      </c>
      <c r="X2368" t="e">
        <f>IF(#REF! &lt;= 50, "0-50", IF(#REF! &lt;=100, "51-100", IF(#REF! &lt;= 150, "101-150", "151+")))</f>
        <v>#REF!</v>
      </c>
      <c r="Y2368" t="e">
        <f>IF(#REF! &lt;= 3, "Low Charges", "High Charges")</f>
        <v>#REF!</v>
      </c>
      <c r="Z2368" t="e">
        <f>IF(#REF!&lt;=80,"Low Calls",
IF(#REF!&lt;=120,"Medium Calls","High Calls"))</f>
        <v>#REF!</v>
      </c>
      <c r="AA2368" t="e">
        <f>IF(#REF!&lt;=15,"Low Charges",
IF(#REF!&lt;=20,"Medium Charges","High Charges"))</f>
        <v>#REF!</v>
      </c>
      <c r="AB2368" t="e">
        <f>IF(AND(#REF!&gt;180, #REF!&gt;200), "Heavy Doemstic User", IF(#REF!&gt;10, "Interntional User", IF(AND(#REF!&lt;180, #REF!&lt;200,#REF!&lt;200), "Light User", "Balanced User")))</f>
        <v>#REF!</v>
      </c>
      <c r="AC2368" t="e">
        <f>IF(#REF! = 0, "No Usage", IF(#REF! &lt;= 20, "Low Usage", IF(#REF! &lt;= 40, "Medium Usgae", "High Usage")))</f>
        <v>#REF!</v>
      </c>
      <c r="AD2368" t="e">
        <f>IF(#REF!&lt;=150,"Low Usage", IF(#REF!&lt;=200,"Medium Usage", IF(#REF!&lt;=250,"High Usage","Very High Usage")))</f>
        <v>#REF!</v>
      </c>
      <c r="AE2368" t="e">
        <f>IF(#REF!&lt;=5,"Low Calls", IF(#REF!&lt;=10, "Medium Calls", "High Calls"))</f>
        <v>#REF!</v>
      </c>
      <c r="AF2368" t="e">
        <f xml:space="preserve">
IF(#REF!&gt;=4,4,0)+
IF(#REF!="yes",3,0)+
IF(#REF!="High Charges",3,0)+
IF(#REF!&gt;250,4,0)+
IF(#REF!="no",1,0)+
IF(#REF!="Heavy Domestic User",2,0)</f>
        <v>#REF!</v>
      </c>
      <c r="AG2368" t="e">
        <f>IF(#REF!&gt;=10,"High Risk", IF(#REF!&gt;=5,"Medium Risk","Low Risk"))</f>
        <v>#REF!</v>
      </c>
      <c r="AH2368" t="e">
        <f>#REF! + #REF! + #REF! + #REF!</f>
        <v>#REF!</v>
      </c>
    </row>
    <row r="2369" spans="1:34" x14ac:dyDescent="0.35">
      <c r="A2369">
        <v>2368</v>
      </c>
      <c r="B2369" t="s">
        <v>60</v>
      </c>
      <c r="C2369">
        <v>30</v>
      </c>
      <c r="D2369" t="s">
        <v>25</v>
      </c>
      <c r="E2369" t="s">
        <v>22</v>
      </c>
      <c r="F2369" t="s">
        <v>22</v>
      </c>
      <c r="G2369">
        <v>0</v>
      </c>
      <c r="H2369">
        <v>54</v>
      </c>
      <c r="I2369">
        <v>68</v>
      </c>
      <c r="J2369">
        <v>9.18</v>
      </c>
      <c r="K2369">
        <v>179.3</v>
      </c>
      <c r="L2369">
        <v>96</v>
      </c>
      <c r="M2369">
        <v>15.24</v>
      </c>
      <c r="N2369">
        <v>247.2</v>
      </c>
      <c r="O2369">
        <v>101</v>
      </c>
      <c r="P2369">
        <v>11.12</v>
      </c>
      <c r="Q2369">
        <v>10.199999999999999</v>
      </c>
      <c r="R2369">
        <v>8</v>
      </c>
      <c r="S2369">
        <v>2.75</v>
      </c>
      <c r="T2369">
        <v>1</v>
      </c>
      <c r="U2369" t="s">
        <v>22</v>
      </c>
      <c r="V2369" t="e">
        <f>IF(#REF! = "yes", 1, 0)</f>
        <v>#REF!</v>
      </c>
      <c r="W2369" t="e">
        <f>IF(#REF! &lt;= 1, "0-1 Calls", IF(#REF! &lt;= 3, "2-3 Calls", IF(#REF! &lt;=5, "4-5 Calls", "6+ Calls")))</f>
        <v>#REF!</v>
      </c>
      <c r="X2369" t="e">
        <f>IF(#REF! &lt;= 50, "0-50", IF(#REF! &lt;=100, "51-100", IF(#REF! &lt;= 150, "101-150", "151+")))</f>
        <v>#REF!</v>
      </c>
      <c r="Y2369" t="e">
        <f>IF(#REF! &lt;= 3, "Low Charges", "High Charges")</f>
        <v>#REF!</v>
      </c>
      <c r="Z2369" t="e">
        <f>IF(#REF!&lt;=80,"Low Calls",
IF(#REF!&lt;=120,"Medium Calls","High Calls"))</f>
        <v>#REF!</v>
      </c>
      <c r="AA2369" t="e">
        <f>IF(#REF!&lt;=15,"Low Charges",
IF(#REF!&lt;=20,"Medium Charges","High Charges"))</f>
        <v>#REF!</v>
      </c>
      <c r="AB2369" t="e">
        <f>IF(AND(#REF!&gt;180, #REF!&gt;200), "Heavy Doemstic User", IF(#REF!&gt;10, "Interntional User", IF(AND(#REF!&lt;180, #REF!&lt;200,#REF!&lt;200), "Light User", "Balanced User")))</f>
        <v>#REF!</v>
      </c>
      <c r="AC2369" t="e">
        <f>IF(#REF! = 0, "No Usage", IF(#REF! &lt;= 20, "Low Usage", IF(#REF! &lt;= 40, "Medium Usgae", "High Usage")))</f>
        <v>#REF!</v>
      </c>
      <c r="AD2369" t="e">
        <f>IF(#REF!&lt;=150,"Low Usage", IF(#REF!&lt;=200,"Medium Usage", IF(#REF!&lt;=250,"High Usage","Very High Usage")))</f>
        <v>#REF!</v>
      </c>
      <c r="AE2369" t="e">
        <f>IF(#REF!&lt;=5,"Low Calls", IF(#REF!&lt;=10, "Medium Calls", "High Calls"))</f>
        <v>#REF!</v>
      </c>
      <c r="AF2369" t="e">
        <f xml:space="preserve">
IF(#REF!&gt;=4,4,0)+
IF(#REF!="yes",3,0)+
IF(#REF!="High Charges",3,0)+
IF(#REF!&gt;250,4,0)+
IF(#REF!="no",1,0)+
IF(#REF!="Heavy Domestic User",2,0)</f>
        <v>#REF!</v>
      </c>
      <c r="AG2369" t="e">
        <f>IF(#REF!&gt;=10,"High Risk", IF(#REF!&gt;=5,"Medium Risk","Low Risk"))</f>
        <v>#REF!</v>
      </c>
      <c r="AH2369" t="e">
        <f>#REF! + #REF! + #REF! + #REF!</f>
        <v>#REF!</v>
      </c>
    </row>
    <row r="2370" spans="1:34" x14ac:dyDescent="0.35">
      <c r="A2370">
        <v>2369</v>
      </c>
      <c r="B2370" t="s">
        <v>31</v>
      </c>
      <c r="C2370">
        <v>70</v>
      </c>
      <c r="D2370" t="s">
        <v>21</v>
      </c>
      <c r="E2370" t="s">
        <v>22</v>
      </c>
      <c r="F2370" t="s">
        <v>22</v>
      </c>
      <c r="G2370">
        <v>0</v>
      </c>
      <c r="H2370">
        <v>214.8</v>
      </c>
      <c r="I2370">
        <v>87</v>
      </c>
      <c r="J2370">
        <v>36.520000000000003</v>
      </c>
      <c r="K2370">
        <v>131</v>
      </c>
      <c r="L2370">
        <v>114</v>
      </c>
      <c r="M2370">
        <v>11.14</v>
      </c>
      <c r="N2370">
        <v>216.9</v>
      </c>
      <c r="O2370">
        <v>104</v>
      </c>
      <c r="P2370">
        <v>9.76</v>
      </c>
      <c r="Q2370">
        <v>9.4</v>
      </c>
      <c r="R2370">
        <v>3</v>
      </c>
      <c r="S2370">
        <v>2.54</v>
      </c>
      <c r="T2370">
        <v>3</v>
      </c>
      <c r="U2370" t="s">
        <v>22</v>
      </c>
      <c r="V2370" t="e">
        <f>IF(#REF! = "yes", 1, 0)</f>
        <v>#REF!</v>
      </c>
      <c r="W2370" t="e">
        <f>IF(#REF! &lt;= 1, "0-1 Calls", IF(#REF! &lt;= 3, "2-3 Calls", IF(#REF! &lt;=5, "4-5 Calls", "6+ Calls")))</f>
        <v>#REF!</v>
      </c>
      <c r="X2370" t="e">
        <f>IF(#REF! &lt;= 50, "0-50", IF(#REF! &lt;=100, "51-100", IF(#REF! &lt;= 150, "101-150", "151+")))</f>
        <v>#REF!</v>
      </c>
      <c r="Y2370" t="e">
        <f>IF(#REF! &lt;= 3, "Low Charges", "High Charges")</f>
        <v>#REF!</v>
      </c>
      <c r="Z2370" t="e">
        <f>IF(#REF!&lt;=80,"Low Calls",
IF(#REF!&lt;=120,"Medium Calls","High Calls"))</f>
        <v>#REF!</v>
      </c>
      <c r="AA2370" t="e">
        <f>IF(#REF!&lt;=15,"Low Charges",
IF(#REF!&lt;=20,"Medium Charges","High Charges"))</f>
        <v>#REF!</v>
      </c>
      <c r="AB2370" t="e">
        <f>IF(AND(#REF!&gt;180, #REF!&gt;200), "Heavy Doemstic User", IF(#REF!&gt;10, "Interntional User", IF(AND(#REF!&lt;180, #REF!&lt;200,#REF!&lt;200), "Light User", "Balanced User")))</f>
        <v>#REF!</v>
      </c>
      <c r="AC2370" t="e">
        <f>IF(#REF! = 0, "No Usage", IF(#REF! &lt;= 20, "Low Usage", IF(#REF! &lt;= 40, "Medium Usgae", "High Usage")))</f>
        <v>#REF!</v>
      </c>
      <c r="AD2370" t="e">
        <f>IF(#REF!&lt;=150,"Low Usage", IF(#REF!&lt;=200,"Medium Usage", IF(#REF!&lt;=250,"High Usage","Very High Usage")))</f>
        <v>#REF!</v>
      </c>
      <c r="AE2370" t="e">
        <f>IF(#REF!&lt;=5,"Low Calls", IF(#REF!&lt;=10, "Medium Calls", "High Calls"))</f>
        <v>#REF!</v>
      </c>
      <c r="AF2370" t="e">
        <f xml:space="preserve">
IF(#REF!&gt;=4,4,0)+
IF(#REF!="yes",3,0)+
IF(#REF!="High Charges",3,0)+
IF(#REF!&gt;250,4,0)+
IF(#REF!="no",1,0)+
IF(#REF!="Heavy Domestic User",2,0)</f>
        <v>#REF!</v>
      </c>
      <c r="AG2370" t="e">
        <f>IF(#REF!&gt;=10,"High Risk", IF(#REF!&gt;=5,"Medium Risk","Low Risk"))</f>
        <v>#REF!</v>
      </c>
      <c r="AH2370" t="e">
        <f>#REF! + #REF! + #REF! + #REF!</f>
        <v>#REF!</v>
      </c>
    </row>
    <row r="2371" spans="1:34" x14ac:dyDescent="0.35">
      <c r="A2371">
        <v>2370</v>
      </c>
      <c r="B2371" t="s">
        <v>57</v>
      </c>
      <c r="C2371">
        <v>52</v>
      </c>
      <c r="D2371" t="s">
        <v>28</v>
      </c>
      <c r="E2371" t="s">
        <v>23</v>
      </c>
      <c r="F2371" t="s">
        <v>22</v>
      </c>
      <c r="G2371">
        <v>0</v>
      </c>
      <c r="H2371">
        <v>251.4</v>
      </c>
      <c r="I2371">
        <v>118</v>
      </c>
      <c r="J2371">
        <v>42.74</v>
      </c>
      <c r="K2371">
        <v>196.6</v>
      </c>
      <c r="L2371">
        <v>80</v>
      </c>
      <c r="M2371">
        <v>16.71</v>
      </c>
      <c r="N2371">
        <v>192</v>
      </c>
      <c r="O2371">
        <v>53</v>
      </c>
      <c r="P2371">
        <v>8.64</v>
      </c>
      <c r="Q2371">
        <v>11</v>
      </c>
      <c r="R2371">
        <v>2</v>
      </c>
      <c r="S2371">
        <v>2.97</v>
      </c>
      <c r="T2371">
        <v>0</v>
      </c>
      <c r="U2371" t="s">
        <v>23</v>
      </c>
      <c r="V2371" t="e">
        <f>IF(#REF! = "yes", 1, 0)</f>
        <v>#REF!</v>
      </c>
      <c r="W2371" t="e">
        <f>IF(#REF! &lt;= 1, "0-1 Calls", IF(#REF! &lt;= 3, "2-3 Calls", IF(#REF! &lt;=5, "4-5 Calls", "6+ Calls")))</f>
        <v>#REF!</v>
      </c>
      <c r="X2371" t="e">
        <f>IF(#REF! &lt;= 50, "0-50", IF(#REF! &lt;=100, "51-100", IF(#REF! &lt;= 150, "101-150", "151+")))</f>
        <v>#REF!</v>
      </c>
      <c r="Y2371" t="e">
        <f>IF(#REF! &lt;= 3, "Low Charges", "High Charges")</f>
        <v>#REF!</v>
      </c>
      <c r="Z2371" t="e">
        <f>IF(#REF!&lt;=80,"Low Calls",
IF(#REF!&lt;=120,"Medium Calls","High Calls"))</f>
        <v>#REF!</v>
      </c>
      <c r="AA2371" t="e">
        <f>IF(#REF!&lt;=15,"Low Charges",
IF(#REF!&lt;=20,"Medium Charges","High Charges"))</f>
        <v>#REF!</v>
      </c>
      <c r="AB2371" t="e">
        <f>IF(AND(#REF!&gt;180, #REF!&gt;200), "Heavy Doemstic User", IF(#REF!&gt;10, "Interntional User", IF(AND(#REF!&lt;180, #REF!&lt;200,#REF!&lt;200), "Light User", "Balanced User")))</f>
        <v>#REF!</v>
      </c>
      <c r="AC2371" t="e">
        <f>IF(#REF! = 0, "No Usage", IF(#REF! &lt;= 20, "Low Usage", IF(#REF! &lt;= 40, "Medium Usgae", "High Usage")))</f>
        <v>#REF!</v>
      </c>
      <c r="AD2371" t="e">
        <f>IF(#REF!&lt;=150,"Low Usage", IF(#REF!&lt;=200,"Medium Usage", IF(#REF!&lt;=250,"High Usage","Very High Usage")))</f>
        <v>#REF!</v>
      </c>
      <c r="AE2371" t="e">
        <f>IF(#REF!&lt;=5,"Low Calls", IF(#REF!&lt;=10, "Medium Calls", "High Calls"))</f>
        <v>#REF!</v>
      </c>
      <c r="AF2371" t="e">
        <f xml:space="preserve">
IF(#REF!&gt;=4,4,0)+
IF(#REF!="yes",3,0)+
IF(#REF!="High Charges",3,0)+
IF(#REF!&gt;250,4,0)+
IF(#REF!="no",1,0)+
IF(#REF!="Heavy Domestic User",2,0)</f>
        <v>#REF!</v>
      </c>
      <c r="AG2371" t="e">
        <f>IF(#REF!&gt;=10,"High Risk", IF(#REF!&gt;=5,"Medium Risk","Low Risk"))</f>
        <v>#REF!</v>
      </c>
      <c r="AH2371" t="e">
        <f>#REF! + #REF! + #REF! + #REF!</f>
        <v>#REF!</v>
      </c>
    </row>
    <row r="2372" spans="1:34" x14ac:dyDescent="0.35">
      <c r="A2372">
        <v>2371</v>
      </c>
      <c r="B2372" t="s">
        <v>45</v>
      </c>
      <c r="C2372">
        <v>3</v>
      </c>
      <c r="D2372" t="s">
        <v>25</v>
      </c>
      <c r="E2372" t="s">
        <v>22</v>
      </c>
      <c r="F2372" t="s">
        <v>22</v>
      </c>
      <c r="G2372">
        <v>0</v>
      </c>
      <c r="H2372">
        <v>139</v>
      </c>
      <c r="I2372">
        <v>99</v>
      </c>
      <c r="J2372">
        <v>23.63</v>
      </c>
      <c r="K2372">
        <v>250.7</v>
      </c>
      <c r="L2372">
        <v>108</v>
      </c>
      <c r="M2372">
        <v>21.31</v>
      </c>
      <c r="N2372">
        <v>286.2</v>
      </c>
      <c r="O2372">
        <v>87</v>
      </c>
      <c r="P2372">
        <v>12.88</v>
      </c>
      <c r="Q2372">
        <v>6.1</v>
      </c>
      <c r="R2372">
        <v>3</v>
      </c>
      <c r="S2372">
        <v>1.65</v>
      </c>
      <c r="T2372">
        <v>4</v>
      </c>
      <c r="U2372" t="s">
        <v>22</v>
      </c>
      <c r="V2372" t="e">
        <f>IF(#REF! = "yes", 1, 0)</f>
        <v>#REF!</v>
      </c>
      <c r="W2372" t="e">
        <f>IF(#REF! &lt;= 1, "0-1 Calls", IF(#REF! &lt;= 3, "2-3 Calls", IF(#REF! &lt;=5, "4-5 Calls", "6+ Calls")))</f>
        <v>#REF!</v>
      </c>
      <c r="X2372" t="e">
        <f>IF(#REF! &lt;= 50, "0-50", IF(#REF! &lt;=100, "51-100", IF(#REF! &lt;= 150, "101-150", "151+")))</f>
        <v>#REF!</v>
      </c>
      <c r="Y2372" t="e">
        <f>IF(#REF! &lt;= 3, "Low Charges", "High Charges")</f>
        <v>#REF!</v>
      </c>
      <c r="Z2372" t="e">
        <f>IF(#REF!&lt;=80,"Low Calls",
IF(#REF!&lt;=120,"Medium Calls","High Calls"))</f>
        <v>#REF!</v>
      </c>
      <c r="AA2372" t="e">
        <f>IF(#REF!&lt;=15,"Low Charges",
IF(#REF!&lt;=20,"Medium Charges","High Charges"))</f>
        <v>#REF!</v>
      </c>
      <c r="AB2372" t="e">
        <f>IF(AND(#REF!&gt;180, #REF!&gt;200), "Heavy Doemstic User", IF(#REF!&gt;10, "Interntional User", IF(AND(#REF!&lt;180, #REF!&lt;200,#REF!&lt;200), "Light User", "Balanced User")))</f>
        <v>#REF!</v>
      </c>
      <c r="AC2372" t="e">
        <f>IF(#REF! = 0, "No Usage", IF(#REF! &lt;= 20, "Low Usage", IF(#REF! &lt;= 40, "Medium Usgae", "High Usage")))</f>
        <v>#REF!</v>
      </c>
      <c r="AD2372" t="e">
        <f>IF(#REF!&lt;=150,"Low Usage", IF(#REF!&lt;=200,"Medium Usage", IF(#REF!&lt;=250,"High Usage","Very High Usage")))</f>
        <v>#REF!</v>
      </c>
      <c r="AE2372" t="e">
        <f>IF(#REF!&lt;=5,"Low Calls", IF(#REF!&lt;=10, "Medium Calls", "High Calls"))</f>
        <v>#REF!</v>
      </c>
      <c r="AF2372" t="e">
        <f xml:space="preserve">
IF(#REF!&gt;=4,4,0)+
IF(#REF!="yes",3,0)+
IF(#REF!="High Charges",3,0)+
IF(#REF!&gt;250,4,0)+
IF(#REF!="no",1,0)+
IF(#REF!="Heavy Domestic User",2,0)</f>
        <v>#REF!</v>
      </c>
      <c r="AG2372" t="e">
        <f>IF(#REF!&gt;=10,"High Risk", IF(#REF!&gt;=5,"Medium Risk","Low Risk"))</f>
        <v>#REF!</v>
      </c>
      <c r="AH2372" t="e">
        <f>#REF! + #REF! + #REF! + #REF!</f>
        <v>#REF!</v>
      </c>
    </row>
    <row r="2373" spans="1:34" x14ac:dyDescent="0.35">
      <c r="A2373">
        <v>2372</v>
      </c>
      <c r="B2373" t="s">
        <v>67</v>
      </c>
      <c r="C2373">
        <v>38</v>
      </c>
      <c r="D2373" t="s">
        <v>21</v>
      </c>
      <c r="E2373" t="s">
        <v>22</v>
      </c>
      <c r="F2373" t="s">
        <v>22</v>
      </c>
      <c r="G2373">
        <v>0</v>
      </c>
      <c r="H2373">
        <v>117.3</v>
      </c>
      <c r="I2373">
        <v>114</v>
      </c>
      <c r="J2373">
        <v>19.940000000000001</v>
      </c>
      <c r="K2373">
        <v>208.7</v>
      </c>
      <c r="L2373">
        <v>105</v>
      </c>
      <c r="M2373">
        <v>17.739999999999998</v>
      </c>
      <c r="N2373">
        <v>203.4</v>
      </c>
      <c r="O2373">
        <v>98</v>
      </c>
      <c r="P2373">
        <v>9.15</v>
      </c>
      <c r="Q2373">
        <v>14.4</v>
      </c>
      <c r="R2373">
        <v>2</v>
      </c>
      <c r="S2373">
        <v>3.89</v>
      </c>
      <c r="T2373">
        <v>2</v>
      </c>
      <c r="U2373" t="s">
        <v>22</v>
      </c>
      <c r="V2373" t="e">
        <f>IF(#REF! = "yes", 1, 0)</f>
        <v>#REF!</v>
      </c>
      <c r="W2373" t="e">
        <f>IF(#REF! &lt;= 1, "0-1 Calls", IF(#REF! &lt;= 3, "2-3 Calls", IF(#REF! &lt;=5, "4-5 Calls", "6+ Calls")))</f>
        <v>#REF!</v>
      </c>
      <c r="X2373" t="e">
        <f>IF(#REF! &lt;= 50, "0-50", IF(#REF! &lt;=100, "51-100", IF(#REF! &lt;= 150, "101-150", "151+")))</f>
        <v>#REF!</v>
      </c>
      <c r="Y2373" t="e">
        <f>IF(#REF! &lt;= 3, "Low Charges", "High Charges")</f>
        <v>#REF!</v>
      </c>
      <c r="Z2373" t="e">
        <f>IF(#REF!&lt;=80,"Low Calls",
IF(#REF!&lt;=120,"Medium Calls","High Calls"))</f>
        <v>#REF!</v>
      </c>
      <c r="AA2373" t="e">
        <f>IF(#REF!&lt;=15,"Low Charges",
IF(#REF!&lt;=20,"Medium Charges","High Charges"))</f>
        <v>#REF!</v>
      </c>
      <c r="AB2373" t="e">
        <f>IF(AND(#REF!&gt;180, #REF!&gt;200), "Heavy Doemstic User", IF(#REF!&gt;10, "Interntional User", IF(AND(#REF!&lt;180, #REF!&lt;200,#REF!&lt;200), "Light User", "Balanced User")))</f>
        <v>#REF!</v>
      </c>
      <c r="AC2373" t="e">
        <f>IF(#REF! = 0, "No Usage", IF(#REF! &lt;= 20, "Low Usage", IF(#REF! &lt;= 40, "Medium Usgae", "High Usage")))</f>
        <v>#REF!</v>
      </c>
      <c r="AD2373" t="e">
        <f>IF(#REF!&lt;=150,"Low Usage", IF(#REF!&lt;=200,"Medium Usage", IF(#REF!&lt;=250,"High Usage","Very High Usage")))</f>
        <v>#REF!</v>
      </c>
      <c r="AE2373" t="e">
        <f>IF(#REF!&lt;=5,"Low Calls", IF(#REF!&lt;=10, "Medium Calls", "High Calls"))</f>
        <v>#REF!</v>
      </c>
      <c r="AF2373" t="e">
        <f xml:space="preserve">
IF(#REF!&gt;=4,4,0)+
IF(#REF!="yes",3,0)+
IF(#REF!="High Charges",3,0)+
IF(#REF!&gt;250,4,0)+
IF(#REF!="no",1,0)+
IF(#REF!="Heavy Domestic User",2,0)</f>
        <v>#REF!</v>
      </c>
      <c r="AG2373" t="e">
        <f>IF(#REF!&gt;=10,"High Risk", IF(#REF!&gt;=5,"Medium Risk","Low Risk"))</f>
        <v>#REF!</v>
      </c>
      <c r="AH2373" t="e">
        <f>#REF! + #REF! + #REF! + #REF!</f>
        <v>#REF!</v>
      </c>
    </row>
    <row r="2374" spans="1:34" x14ac:dyDescent="0.35">
      <c r="A2374">
        <v>2373</v>
      </c>
      <c r="B2374" t="s">
        <v>36</v>
      </c>
      <c r="C2374">
        <v>104</v>
      </c>
      <c r="D2374" t="s">
        <v>21</v>
      </c>
      <c r="E2374" t="s">
        <v>22</v>
      </c>
      <c r="F2374" t="s">
        <v>22</v>
      </c>
      <c r="G2374">
        <v>0</v>
      </c>
      <c r="H2374">
        <v>264</v>
      </c>
      <c r="I2374">
        <v>108</v>
      </c>
      <c r="J2374">
        <v>44.88</v>
      </c>
      <c r="K2374">
        <v>132.19999999999999</v>
      </c>
      <c r="L2374">
        <v>75</v>
      </c>
      <c r="M2374">
        <v>11.24</v>
      </c>
      <c r="N2374">
        <v>177.7</v>
      </c>
      <c r="O2374">
        <v>91</v>
      </c>
      <c r="P2374">
        <v>8</v>
      </c>
      <c r="Q2374">
        <v>10.6</v>
      </c>
      <c r="R2374">
        <v>8</v>
      </c>
      <c r="S2374">
        <v>2.86</v>
      </c>
      <c r="T2374">
        <v>3</v>
      </c>
      <c r="U2374" t="s">
        <v>22</v>
      </c>
      <c r="V2374" t="e">
        <f>IF(#REF! = "yes", 1, 0)</f>
        <v>#REF!</v>
      </c>
      <c r="W2374" t="e">
        <f>IF(#REF! &lt;= 1, "0-1 Calls", IF(#REF! &lt;= 3, "2-3 Calls", IF(#REF! &lt;=5, "4-5 Calls", "6+ Calls")))</f>
        <v>#REF!</v>
      </c>
      <c r="X2374" t="e">
        <f>IF(#REF! &lt;= 50, "0-50", IF(#REF! &lt;=100, "51-100", IF(#REF! &lt;= 150, "101-150", "151+")))</f>
        <v>#REF!</v>
      </c>
      <c r="Y2374" t="e">
        <f>IF(#REF! &lt;= 3, "Low Charges", "High Charges")</f>
        <v>#REF!</v>
      </c>
      <c r="Z2374" t="e">
        <f>IF(#REF!&lt;=80,"Low Calls",
IF(#REF!&lt;=120,"Medium Calls","High Calls"))</f>
        <v>#REF!</v>
      </c>
      <c r="AA2374" t="e">
        <f>IF(#REF!&lt;=15,"Low Charges",
IF(#REF!&lt;=20,"Medium Charges","High Charges"))</f>
        <v>#REF!</v>
      </c>
      <c r="AB2374" t="e">
        <f>IF(AND(#REF!&gt;180, #REF!&gt;200), "Heavy Doemstic User", IF(#REF!&gt;10, "Interntional User", IF(AND(#REF!&lt;180, #REF!&lt;200,#REF!&lt;200), "Light User", "Balanced User")))</f>
        <v>#REF!</v>
      </c>
      <c r="AC2374" t="e">
        <f>IF(#REF! = 0, "No Usage", IF(#REF! &lt;= 20, "Low Usage", IF(#REF! &lt;= 40, "Medium Usgae", "High Usage")))</f>
        <v>#REF!</v>
      </c>
      <c r="AD2374" t="e">
        <f>IF(#REF!&lt;=150,"Low Usage", IF(#REF!&lt;=200,"Medium Usage", IF(#REF!&lt;=250,"High Usage","Very High Usage")))</f>
        <v>#REF!</v>
      </c>
      <c r="AE2374" t="e">
        <f>IF(#REF!&lt;=5,"Low Calls", IF(#REF!&lt;=10, "Medium Calls", "High Calls"))</f>
        <v>#REF!</v>
      </c>
      <c r="AF2374" t="e">
        <f xml:space="preserve">
IF(#REF!&gt;=4,4,0)+
IF(#REF!="yes",3,0)+
IF(#REF!="High Charges",3,0)+
IF(#REF!&gt;250,4,0)+
IF(#REF!="no",1,0)+
IF(#REF!="Heavy Domestic User",2,0)</f>
        <v>#REF!</v>
      </c>
      <c r="AG2374" t="e">
        <f>IF(#REF!&gt;=10,"High Risk", IF(#REF!&gt;=5,"Medium Risk","Low Risk"))</f>
        <v>#REF!</v>
      </c>
      <c r="AH2374" t="e">
        <f>#REF! + #REF! + #REF! + #REF!</f>
        <v>#REF!</v>
      </c>
    </row>
    <row r="2375" spans="1:34" x14ac:dyDescent="0.35">
      <c r="A2375">
        <v>2374</v>
      </c>
      <c r="B2375" t="s">
        <v>30</v>
      </c>
      <c r="C2375">
        <v>27</v>
      </c>
      <c r="D2375" t="s">
        <v>25</v>
      </c>
      <c r="E2375" t="s">
        <v>22</v>
      </c>
      <c r="F2375" t="s">
        <v>22</v>
      </c>
      <c r="G2375">
        <v>0</v>
      </c>
      <c r="H2375">
        <v>82.6</v>
      </c>
      <c r="I2375">
        <v>105</v>
      </c>
      <c r="J2375">
        <v>14.04</v>
      </c>
      <c r="K2375">
        <v>204</v>
      </c>
      <c r="L2375">
        <v>99</v>
      </c>
      <c r="M2375">
        <v>17.34</v>
      </c>
      <c r="N2375">
        <v>224.2</v>
      </c>
      <c r="O2375">
        <v>122</v>
      </c>
      <c r="P2375">
        <v>10.09</v>
      </c>
      <c r="Q2375">
        <v>9.1</v>
      </c>
      <c r="R2375">
        <v>4</v>
      </c>
      <c r="S2375">
        <v>2.46</v>
      </c>
      <c r="T2375">
        <v>1</v>
      </c>
      <c r="U2375" t="s">
        <v>22</v>
      </c>
      <c r="V2375" t="e">
        <f>IF(#REF! = "yes", 1, 0)</f>
        <v>#REF!</v>
      </c>
      <c r="W2375" t="e">
        <f>IF(#REF! &lt;= 1, "0-1 Calls", IF(#REF! &lt;= 3, "2-3 Calls", IF(#REF! &lt;=5, "4-5 Calls", "6+ Calls")))</f>
        <v>#REF!</v>
      </c>
      <c r="X2375" t="e">
        <f>IF(#REF! &lt;= 50, "0-50", IF(#REF! &lt;=100, "51-100", IF(#REF! &lt;= 150, "101-150", "151+")))</f>
        <v>#REF!</v>
      </c>
      <c r="Y2375" t="e">
        <f>IF(#REF! &lt;= 3, "Low Charges", "High Charges")</f>
        <v>#REF!</v>
      </c>
      <c r="Z2375" t="e">
        <f>IF(#REF!&lt;=80,"Low Calls",
IF(#REF!&lt;=120,"Medium Calls","High Calls"))</f>
        <v>#REF!</v>
      </c>
      <c r="AA2375" t="e">
        <f>IF(#REF!&lt;=15,"Low Charges",
IF(#REF!&lt;=20,"Medium Charges","High Charges"))</f>
        <v>#REF!</v>
      </c>
      <c r="AB2375" t="e">
        <f>IF(AND(#REF!&gt;180, #REF!&gt;200), "Heavy Doemstic User", IF(#REF!&gt;10, "Interntional User", IF(AND(#REF!&lt;180, #REF!&lt;200,#REF!&lt;200), "Light User", "Balanced User")))</f>
        <v>#REF!</v>
      </c>
      <c r="AC2375" t="e">
        <f>IF(#REF! = 0, "No Usage", IF(#REF! &lt;= 20, "Low Usage", IF(#REF! &lt;= 40, "Medium Usgae", "High Usage")))</f>
        <v>#REF!</v>
      </c>
      <c r="AD2375" t="e">
        <f>IF(#REF!&lt;=150,"Low Usage", IF(#REF!&lt;=200,"Medium Usage", IF(#REF!&lt;=250,"High Usage","Very High Usage")))</f>
        <v>#REF!</v>
      </c>
      <c r="AE2375" t="e">
        <f>IF(#REF!&lt;=5,"Low Calls", IF(#REF!&lt;=10, "Medium Calls", "High Calls"))</f>
        <v>#REF!</v>
      </c>
      <c r="AF2375" t="e">
        <f xml:space="preserve">
IF(#REF!&gt;=4,4,0)+
IF(#REF!="yes",3,0)+
IF(#REF!="High Charges",3,0)+
IF(#REF!&gt;250,4,0)+
IF(#REF!="no",1,0)+
IF(#REF!="Heavy Domestic User",2,0)</f>
        <v>#REF!</v>
      </c>
      <c r="AG2375" t="e">
        <f>IF(#REF!&gt;=10,"High Risk", IF(#REF!&gt;=5,"Medium Risk","Low Risk"))</f>
        <v>#REF!</v>
      </c>
      <c r="AH2375" t="e">
        <f>#REF! + #REF! + #REF! + #REF!</f>
        <v>#REF!</v>
      </c>
    </row>
    <row r="2376" spans="1:34" x14ac:dyDescent="0.35">
      <c r="A2376">
        <v>2375</v>
      </c>
      <c r="B2376" t="s">
        <v>70</v>
      </c>
      <c r="C2376">
        <v>166</v>
      </c>
      <c r="D2376" t="s">
        <v>21</v>
      </c>
      <c r="E2376" t="s">
        <v>23</v>
      </c>
      <c r="F2376" t="s">
        <v>23</v>
      </c>
      <c r="G2376">
        <v>28</v>
      </c>
      <c r="H2376">
        <v>175.8</v>
      </c>
      <c r="I2376">
        <v>126</v>
      </c>
      <c r="J2376">
        <v>29.89</v>
      </c>
      <c r="K2376">
        <v>253.6</v>
      </c>
      <c r="L2376">
        <v>76</v>
      </c>
      <c r="M2376">
        <v>21.56</v>
      </c>
      <c r="N2376">
        <v>128.5</v>
      </c>
      <c r="O2376">
        <v>72</v>
      </c>
      <c r="P2376">
        <v>5.78</v>
      </c>
      <c r="Q2376">
        <v>11.4</v>
      </c>
      <c r="R2376">
        <v>5</v>
      </c>
      <c r="S2376">
        <v>3.08</v>
      </c>
      <c r="T2376">
        <v>1</v>
      </c>
      <c r="U2376" t="s">
        <v>22</v>
      </c>
      <c r="V2376" t="e">
        <f>IF(#REF! = "yes", 1, 0)</f>
        <v>#REF!</v>
      </c>
      <c r="W2376" t="e">
        <f>IF(#REF! &lt;= 1, "0-1 Calls", IF(#REF! &lt;= 3, "2-3 Calls", IF(#REF! &lt;=5, "4-5 Calls", "6+ Calls")))</f>
        <v>#REF!</v>
      </c>
      <c r="X2376" t="e">
        <f>IF(#REF! &lt;= 50, "0-50", IF(#REF! &lt;=100, "51-100", IF(#REF! &lt;= 150, "101-150", "151+")))</f>
        <v>#REF!</v>
      </c>
      <c r="Y2376" t="e">
        <f>IF(#REF! &lt;= 3, "Low Charges", "High Charges")</f>
        <v>#REF!</v>
      </c>
      <c r="Z2376" t="e">
        <f>IF(#REF!&lt;=80,"Low Calls",
IF(#REF!&lt;=120,"Medium Calls","High Calls"))</f>
        <v>#REF!</v>
      </c>
      <c r="AA2376" t="e">
        <f>IF(#REF!&lt;=15,"Low Charges",
IF(#REF!&lt;=20,"Medium Charges","High Charges"))</f>
        <v>#REF!</v>
      </c>
      <c r="AB2376" t="e">
        <f>IF(AND(#REF!&gt;180, #REF!&gt;200), "Heavy Doemstic User", IF(#REF!&gt;10, "Interntional User", IF(AND(#REF!&lt;180, #REF!&lt;200,#REF!&lt;200), "Light User", "Balanced User")))</f>
        <v>#REF!</v>
      </c>
      <c r="AC2376" t="e">
        <f>IF(#REF! = 0, "No Usage", IF(#REF! &lt;= 20, "Low Usage", IF(#REF! &lt;= 40, "Medium Usgae", "High Usage")))</f>
        <v>#REF!</v>
      </c>
      <c r="AD2376" t="e">
        <f>IF(#REF!&lt;=150,"Low Usage", IF(#REF!&lt;=200,"Medium Usage", IF(#REF!&lt;=250,"High Usage","Very High Usage")))</f>
        <v>#REF!</v>
      </c>
      <c r="AE2376" t="e">
        <f>IF(#REF!&lt;=5,"Low Calls", IF(#REF!&lt;=10, "Medium Calls", "High Calls"))</f>
        <v>#REF!</v>
      </c>
      <c r="AF2376" t="e">
        <f xml:space="preserve">
IF(#REF!&gt;=4,4,0)+
IF(#REF!="yes",3,0)+
IF(#REF!="High Charges",3,0)+
IF(#REF!&gt;250,4,0)+
IF(#REF!="no",1,0)+
IF(#REF!="Heavy Domestic User",2,0)</f>
        <v>#REF!</v>
      </c>
      <c r="AG2376" t="e">
        <f>IF(#REF!&gt;=10,"High Risk", IF(#REF!&gt;=5,"Medium Risk","Low Risk"))</f>
        <v>#REF!</v>
      </c>
      <c r="AH2376" t="e">
        <f>#REF! + #REF! + #REF! + #REF!</f>
        <v>#REF!</v>
      </c>
    </row>
    <row r="2377" spans="1:34" x14ac:dyDescent="0.35">
      <c r="A2377">
        <v>2376</v>
      </c>
      <c r="B2377" t="s">
        <v>27</v>
      </c>
      <c r="C2377">
        <v>13</v>
      </c>
      <c r="D2377" t="s">
        <v>25</v>
      </c>
      <c r="E2377" t="s">
        <v>22</v>
      </c>
      <c r="F2377" t="s">
        <v>22</v>
      </c>
      <c r="G2377">
        <v>0</v>
      </c>
      <c r="H2377">
        <v>220.4</v>
      </c>
      <c r="I2377">
        <v>100</v>
      </c>
      <c r="J2377">
        <v>37.47</v>
      </c>
      <c r="K2377">
        <v>211.2</v>
      </c>
      <c r="L2377">
        <v>79</v>
      </c>
      <c r="M2377">
        <v>17.95</v>
      </c>
      <c r="N2377">
        <v>259.3</v>
      </c>
      <c r="O2377">
        <v>112</v>
      </c>
      <c r="P2377">
        <v>11.67</v>
      </c>
      <c r="Q2377">
        <v>13.6</v>
      </c>
      <c r="R2377">
        <v>8</v>
      </c>
      <c r="S2377">
        <v>3.67</v>
      </c>
      <c r="T2377">
        <v>2</v>
      </c>
      <c r="U2377" t="s">
        <v>22</v>
      </c>
      <c r="V2377" t="e">
        <f>IF(#REF! = "yes", 1, 0)</f>
        <v>#REF!</v>
      </c>
      <c r="W2377" t="e">
        <f>IF(#REF! &lt;= 1, "0-1 Calls", IF(#REF! &lt;= 3, "2-3 Calls", IF(#REF! &lt;=5, "4-5 Calls", "6+ Calls")))</f>
        <v>#REF!</v>
      </c>
      <c r="X2377" t="e">
        <f>IF(#REF! &lt;= 50, "0-50", IF(#REF! &lt;=100, "51-100", IF(#REF! &lt;= 150, "101-150", "151+")))</f>
        <v>#REF!</v>
      </c>
      <c r="Y2377" t="e">
        <f>IF(#REF! &lt;= 3, "Low Charges", "High Charges")</f>
        <v>#REF!</v>
      </c>
      <c r="Z2377" t="e">
        <f>IF(#REF!&lt;=80,"Low Calls",
IF(#REF!&lt;=120,"Medium Calls","High Calls"))</f>
        <v>#REF!</v>
      </c>
      <c r="AA2377" t="e">
        <f>IF(#REF!&lt;=15,"Low Charges",
IF(#REF!&lt;=20,"Medium Charges","High Charges"))</f>
        <v>#REF!</v>
      </c>
      <c r="AB2377" t="e">
        <f>IF(AND(#REF!&gt;180, #REF!&gt;200), "Heavy Doemstic User", IF(#REF!&gt;10, "Interntional User", IF(AND(#REF!&lt;180, #REF!&lt;200,#REF!&lt;200), "Light User", "Balanced User")))</f>
        <v>#REF!</v>
      </c>
      <c r="AC2377" t="e">
        <f>IF(#REF! = 0, "No Usage", IF(#REF! &lt;= 20, "Low Usage", IF(#REF! &lt;= 40, "Medium Usgae", "High Usage")))</f>
        <v>#REF!</v>
      </c>
      <c r="AD2377" t="e">
        <f>IF(#REF!&lt;=150,"Low Usage", IF(#REF!&lt;=200,"Medium Usage", IF(#REF!&lt;=250,"High Usage","Very High Usage")))</f>
        <v>#REF!</v>
      </c>
      <c r="AE2377" t="e">
        <f>IF(#REF!&lt;=5,"Low Calls", IF(#REF!&lt;=10, "Medium Calls", "High Calls"))</f>
        <v>#REF!</v>
      </c>
      <c r="AF2377" t="e">
        <f xml:space="preserve">
IF(#REF!&gt;=4,4,0)+
IF(#REF!="yes",3,0)+
IF(#REF!="High Charges",3,0)+
IF(#REF!&gt;250,4,0)+
IF(#REF!="no",1,0)+
IF(#REF!="Heavy Domestic User",2,0)</f>
        <v>#REF!</v>
      </c>
      <c r="AG2377" t="e">
        <f>IF(#REF!&gt;=10,"High Risk", IF(#REF!&gt;=5,"Medium Risk","Low Risk"))</f>
        <v>#REF!</v>
      </c>
      <c r="AH2377" t="e">
        <f>#REF! + #REF! + #REF! + #REF!</f>
        <v>#REF!</v>
      </c>
    </row>
    <row r="2378" spans="1:34" x14ac:dyDescent="0.35">
      <c r="A2378">
        <v>2377</v>
      </c>
      <c r="B2378" t="s">
        <v>47</v>
      </c>
      <c r="C2378">
        <v>52</v>
      </c>
      <c r="D2378" t="s">
        <v>25</v>
      </c>
      <c r="E2378" t="s">
        <v>22</v>
      </c>
      <c r="F2378" t="s">
        <v>22</v>
      </c>
      <c r="G2378">
        <v>0</v>
      </c>
      <c r="H2378">
        <v>217</v>
      </c>
      <c r="I2378">
        <v>104</v>
      </c>
      <c r="J2378">
        <v>36.89</v>
      </c>
      <c r="K2378">
        <v>152.30000000000001</v>
      </c>
      <c r="L2378">
        <v>83</v>
      </c>
      <c r="M2378">
        <v>12.95</v>
      </c>
      <c r="N2378">
        <v>134.30000000000001</v>
      </c>
      <c r="O2378">
        <v>109</v>
      </c>
      <c r="P2378">
        <v>6.04</v>
      </c>
      <c r="Q2378">
        <v>11.8</v>
      </c>
      <c r="R2378">
        <v>4</v>
      </c>
      <c r="S2378">
        <v>3.19</v>
      </c>
      <c r="T2378">
        <v>2</v>
      </c>
      <c r="U2378" t="s">
        <v>22</v>
      </c>
      <c r="V2378" t="e">
        <f>IF(#REF! = "yes", 1, 0)</f>
        <v>#REF!</v>
      </c>
      <c r="W2378" t="e">
        <f>IF(#REF! &lt;= 1, "0-1 Calls", IF(#REF! &lt;= 3, "2-3 Calls", IF(#REF! &lt;=5, "4-5 Calls", "6+ Calls")))</f>
        <v>#REF!</v>
      </c>
      <c r="X2378" t="e">
        <f>IF(#REF! &lt;= 50, "0-50", IF(#REF! &lt;=100, "51-100", IF(#REF! &lt;= 150, "101-150", "151+")))</f>
        <v>#REF!</v>
      </c>
      <c r="Y2378" t="e">
        <f>IF(#REF! &lt;= 3, "Low Charges", "High Charges")</f>
        <v>#REF!</v>
      </c>
      <c r="Z2378" t="e">
        <f>IF(#REF!&lt;=80,"Low Calls",
IF(#REF!&lt;=120,"Medium Calls","High Calls"))</f>
        <v>#REF!</v>
      </c>
      <c r="AA2378" t="e">
        <f>IF(#REF!&lt;=15,"Low Charges",
IF(#REF!&lt;=20,"Medium Charges","High Charges"))</f>
        <v>#REF!</v>
      </c>
      <c r="AB2378" t="e">
        <f>IF(AND(#REF!&gt;180, #REF!&gt;200), "Heavy Doemstic User", IF(#REF!&gt;10, "Interntional User", IF(AND(#REF!&lt;180, #REF!&lt;200,#REF!&lt;200), "Light User", "Balanced User")))</f>
        <v>#REF!</v>
      </c>
      <c r="AC2378" t="e">
        <f>IF(#REF! = 0, "No Usage", IF(#REF! &lt;= 20, "Low Usage", IF(#REF! &lt;= 40, "Medium Usgae", "High Usage")))</f>
        <v>#REF!</v>
      </c>
      <c r="AD2378" t="e">
        <f>IF(#REF!&lt;=150,"Low Usage", IF(#REF!&lt;=200,"Medium Usage", IF(#REF!&lt;=250,"High Usage","Very High Usage")))</f>
        <v>#REF!</v>
      </c>
      <c r="AE2378" t="e">
        <f>IF(#REF!&lt;=5,"Low Calls", IF(#REF!&lt;=10, "Medium Calls", "High Calls"))</f>
        <v>#REF!</v>
      </c>
      <c r="AF2378" t="e">
        <f xml:space="preserve">
IF(#REF!&gt;=4,4,0)+
IF(#REF!="yes",3,0)+
IF(#REF!="High Charges",3,0)+
IF(#REF!&gt;250,4,0)+
IF(#REF!="no",1,0)+
IF(#REF!="Heavy Domestic User",2,0)</f>
        <v>#REF!</v>
      </c>
      <c r="AG2378" t="e">
        <f>IF(#REF!&gt;=10,"High Risk", IF(#REF!&gt;=5,"Medium Risk","Low Risk"))</f>
        <v>#REF!</v>
      </c>
      <c r="AH2378" t="e">
        <f>#REF! + #REF! + #REF! + #REF!</f>
        <v>#REF!</v>
      </c>
    </row>
    <row r="2379" spans="1:34" x14ac:dyDescent="0.35">
      <c r="A2379">
        <v>2378</v>
      </c>
      <c r="B2379" t="s">
        <v>57</v>
      </c>
      <c r="C2379">
        <v>114</v>
      </c>
      <c r="D2379" t="s">
        <v>21</v>
      </c>
      <c r="E2379" t="s">
        <v>22</v>
      </c>
      <c r="F2379" t="s">
        <v>23</v>
      </c>
      <c r="G2379">
        <v>25</v>
      </c>
      <c r="H2379">
        <v>129</v>
      </c>
      <c r="I2379">
        <v>77</v>
      </c>
      <c r="J2379">
        <v>21.93</v>
      </c>
      <c r="K2379">
        <v>290</v>
      </c>
      <c r="L2379">
        <v>110</v>
      </c>
      <c r="M2379">
        <v>24.65</v>
      </c>
      <c r="N2379">
        <v>177.1</v>
      </c>
      <c r="O2379">
        <v>110</v>
      </c>
      <c r="P2379">
        <v>7.97</v>
      </c>
      <c r="Q2379">
        <v>11.6</v>
      </c>
      <c r="R2379">
        <v>5</v>
      </c>
      <c r="S2379">
        <v>3.13</v>
      </c>
      <c r="T2379">
        <v>1</v>
      </c>
      <c r="U2379" t="s">
        <v>22</v>
      </c>
      <c r="V2379" t="e">
        <f>IF(#REF! = "yes", 1, 0)</f>
        <v>#REF!</v>
      </c>
      <c r="W2379" t="e">
        <f>IF(#REF! &lt;= 1, "0-1 Calls", IF(#REF! &lt;= 3, "2-3 Calls", IF(#REF! &lt;=5, "4-5 Calls", "6+ Calls")))</f>
        <v>#REF!</v>
      </c>
      <c r="X2379" t="e">
        <f>IF(#REF! &lt;= 50, "0-50", IF(#REF! &lt;=100, "51-100", IF(#REF! &lt;= 150, "101-150", "151+")))</f>
        <v>#REF!</v>
      </c>
      <c r="Y2379" t="e">
        <f>IF(#REF! &lt;= 3, "Low Charges", "High Charges")</f>
        <v>#REF!</v>
      </c>
      <c r="Z2379" t="e">
        <f>IF(#REF!&lt;=80,"Low Calls",
IF(#REF!&lt;=120,"Medium Calls","High Calls"))</f>
        <v>#REF!</v>
      </c>
      <c r="AA2379" t="e">
        <f>IF(#REF!&lt;=15,"Low Charges",
IF(#REF!&lt;=20,"Medium Charges","High Charges"))</f>
        <v>#REF!</v>
      </c>
      <c r="AB2379" t="e">
        <f>IF(AND(#REF!&gt;180, #REF!&gt;200), "Heavy Doemstic User", IF(#REF!&gt;10, "Interntional User", IF(AND(#REF!&lt;180, #REF!&lt;200,#REF!&lt;200), "Light User", "Balanced User")))</f>
        <v>#REF!</v>
      </c>
      <c r="AC2379" t="e">
        <f>IF(#REF! = 0, "No Usage", IF(#REF! &lt;= 20, "Low Usage", IF(#REF! &lt;= 40, "Medium Usgae", "High Usage")))</f>
        <v>#REF!</v>
      </c>
      <c r="AD2379" t="e">
        <f>IF(#REF!&lt;=150,"Low Usage", IF(#REF!&lt;=200,"Medium Usage", IF(#REF!&lt;=250,"High Usage","Very High Usage")))</f>
        <v>#REF!</v>
      </c>
      <c r="AE2379" t="e">
        <f>IF(#REF!&lt;=5,"Low Calls", IF(#REF!&lt;=10, "Medium Calls", "High Calls"))</f>
        <v>#REF!</v>
      </c>
      <c r="AF2379" t="e">
        <f xml:space="preserve">
IF(#REF!&gt;=4,4,0)+
IF(#REF!="yes",3,0)+
IF(#REF!="High Charges",3,0)+
IF(#REF!&gt;250,4,0)+
IF(#REF!="no",1,0)+
IF(#REF!="Heavy Domestic User",2,0)</f>
        <v>#REF!</v>
      </c>
      <c r="AG2379" t="e">
        <f>IF(#REF!&gt;=10,"High Risk", IF(#REF!&gt;=5,"Medium Risk","Low Risk"))</f>
        <v>#REF!</v>
      </c>
      <c r="AH2379" t="e">
        <f>#REF! + #REF! + #REF! + #REF!</f>
        <v>#REF!</v>
      </c>
    </row>
    <row r="2380" spans="1:34" x14ac:dyDescent="0.35">
      <c r="A2380">
        <v>2379</v>
      </c>
      <c r="B2380" t="s">
        <v>41</v>
      </c>
      <c r="C2380">
        <v>156</v>
      </c>
      <c r="D2380" t="s">
        <v>25</v>
      </c>
      <c r="E2380" t="s">
        <v>22</v>
      </c>
      <c r="F2380" t="s">
        <v>22</v>
      </c>
      <c r="G2380">
        <v>0</v>
      </c>
      <c r="H2380">
        <v>150.5</v>
      </c>
      <c r="I2380">
        <v>106</v>
      </c>
      <c r="J2380">
        <v>25.59</v>
      </c>
      <c r="K2380">
        <v>152.9</v>
      </c>
      <c r="L2380">
        <v>112</v>
      </c>
      <c r="M2380">
        <v>13</v>
      </c>
      <c r="N2380">
        <v>215.9</v>
      </c>
      <c r="O2380">
        <v>86</v>
      </c>
      <c r="P2380">
        <v>9.7200000000000006</v>
      </c>
      <c r="Q2380">
        <v>3.5</v>
      </c>
      <c r="R2380">
        <v>3</v>
      </c>
      <c r="S2380">
        <v>0.95</v>
      </c>
      <c r="T2380">
        <v>1</v>
      </c>
      <c r="U2380" t="s">
        <v>22</v>
      </c>
      <c r="V2380" t="e">
        <f>IF(#REF! = "yes", 1, 0)</f>
        <v>#REF!</v>
      </c>
      <c r="W2380" t="e">
        <f>IF(#REF! &lt;= 1, "0-1 Calls", IF(#REF! &lt;= 3, "2-3 Calls", IF(#REF! &lt;=5, "4-5 Calls", "6+ Calls")))</f>
        <v>#REF!</v>
      </c>
      <c r="X2380" t="e">
        <f>IF(#REF! &lt;= 50, "0-50", IF(#REF! &lt;=100, "51-100", IF(#REF! &lt;= 150, "101-150", "151+")))</f>
        <v>#REF!</v>
      </c>
      <c r="Y2380" t="e">
        <f>IF(#REF! &lt;= 3, "Low Charges", "High Charges")</f>
        <v>#REF!</v>
      </c>
      <c r="Z2380" t="e">
        <f>IF(#REF!&lt;=80,"Low Calls",
IF(#REF!&lt;=120,"Medium Calls","High Calls"))</f>
        <v>#REF!</v>
      </c>
      <c r="AA2380" t="e">
        <f>IF(#REF!&lt;=15,"Low Charges",
IF(#REF!&lt;=20,"Medium Charges","High Charges"))</f>
        <v>#REF!</v>
      </c>
      <c r="AB2380" t="e">
        <f>IF(AND(#REF!&gt;180, #REF!&gt;200), "Heavy Doemstic User", IF(#REF!&gt;10, "Interntional User", IF(AND(#REF!&lt;180, #REF!&lt;200,#REF!&lt;200), "Light User", "Balanced User")))</f>
        <v>#REF!</v>
      </c>
      <c r="AC2380" t="e">
        <f>IF(#REF! = 0, "No Usage", IF(#REF! &lt;= 20, "Low Usage", IF(#REF! &lt;= 40, "Medium Usgae", "High Usage")))</f>
        <v>#REF!</v>
      </c>
      <c r="AD2380" t="e">
        <f>IF(#REF!&lt;=150,"Low Usage", IF(#REF!&lt;=200,"Medium Usage", IF(#REF!&lt;=250,"High Usage","Very High Usage")))</f>
        <v>#REF!</v>
      </c>
      <c r="AE2380" t="e">
        <f>IF(#REF!&lt;=5,"Low Calls", IF(#REF!&lt;=10, "Medium Calls", "High Calls"))</f>
        <v>#REF!</v>
      </c>
      <c r="AF2380" t="e">
        <f xml:space="preserve">
IF(#REF!&gt;=4,4,0)+
IF(#REF!="yes",3,0)+
IF(#REF!="High Charges",3,0)+
IF(#REF!&gt;250,4,0)+
IF(#REF!="no",1,0)+
IF(#REF!="Heavy Domestic User",2,0)</f>
        <v>#REF!</v>
      </c>
      <c r="AG2380" t="e">
        <f>IF(#REF!&gt;=10,"High Risk", IF(#REF!&gt;=5,"Medium Risk","Low Risk"))</f>
        <v>#REF!</v>
      </c>
      <c r="AH2380" t="e">
        <f>#REF! + #REF! + #REF! + #REF!</f>
        <v>#REF!</v>
      </c>
    </row>
    <row r="2381" spans="1:34" x14ac:dyDescent="0.35">
      <c r="A2381">
        <v>2380</v>
      </c>
      <c r="B2381" t="s">
        <v>31</v>
      </c>
      <c r="C2381">
        <v>62</v>
      </c>
      <c r="D2381" t="s">
        <v>21</v>
      </c>
      <c r="E2381" t="s">
        <v>22</v>
      </c>
      <c r="F2381" t="s">
        <v>22</v>
      </c>
      <c r="G2381">
        <v>0</v>
      </c>
      <c r="H2381">
        <v>189.5</v>
      </c>
      <c r="I2381">
        <v>122</v>
      </c>
      <c r="J2381">
        <v>32.22</v>
      </c>
      <c r="K2381">
        <v>103.8</v>
      </c>
      <c r="L2381">
        <v>95</v>
      </c>
      <c r="M2381">
        <v>8.82</v>
      </c>
      <c r="N2381">
        <v>180.6</v>
      </c>
      <c r="O2381">
        <v>106</v>
      </c>
      <c r="P2381">
        <v>8.1300000000000008</v>
      </c>
      <c r="Q2381">
        <v>10.8</v>
      </c>
      <c r="R2381">
        <v>5</v>
      </c>
      <c r="S2381">
        <v>2.92</v>
      </c>
      <c r="T2381">
        <v>2</v>
      </c>
      <c r="U2381" t="s">
        <v>22</v>
      </c>
      <c r="V2381" t="e">
        <f>IF(#REF! = "yes", 1, 0)</f>
        <v>#REF!</v>
      </c>
      <c r="W2381" t="e">
        <f>IF(#REF! &lt;= 1, "0-1 Calls", IF(#REF! &lt;= 3, "2-3 Calls", IF(#REF! &lt;=5, "4-5 Calls", "6+ Calls")))</f>
        <v>#REF!</v>
      </c>
      <c r="X2381" t="e">
        <f>IF(#REF! &lt;= 50, "0-50", IF(#REF! &lt;=100, "51-100", IF(#REF! &lt;= 150, "101-150", "151+")))</f>
        <v>#REF!</v>
      </c>
      <c r="Y2381" t="e">
        <f>IF(#REF! &lt;= 3, "Low Charges", "High Charges")</f>
        <v>#REF!</v>
      </c>
      <c r="Z2381" t="e">
        <f>IF(#REF!&lt;=80,"Low Calls",
IF(#REF!&lt;=120,"Medium Calls","High Calls"))</f>
        <v>#REF!</v>
      </c>
      <c r="AA2381" t="e">
        <f>IF(#REF!&lt;=15,"Low Charges",
IF(#REF!&lt;=20,"Medium Charges","High Charges"))</f>
        <v>#REF!</v>
      </c>
      <c r="AB2381" t="e">
        <f>IF(AND(#REF!&gt;180, #REF!&gt;200), "Heavy Doemstic User", IF(#REF!&gt;10, "Interntional User", IF(AND(#REF!&lt;180, #REF!&lt;200,#REF!&lt;200), "Light User", "Balanced User")))</f>
        <v>#REF!</v>
      </c>
      <c r="AC2381" t="e">
        <f>IF(#REF! = 0, "No Usage", IF(#REF! &lt;= 20, "Low Usage", IF(#REF! &lt;= 40, "Medium Usgae", "High Usage")))</f>
        <v>#REF!</v>
      </c>
      <c r="AD2381" t="e">
        <f>IF(#REF!&lt;=150,"Low Usage", IF(#REF!&lt;=200,"Medium Usage", IF(#REF!&lt;=250,"High Usage","Very High Usage")))</f>
        <v>#REF!</v>
      </c>
      <c r="AE2381" t="e">
        <f>IF(#REF!&lt;=5,"Low Calls", IF(#REF!&lt;=10, "Medium Calls", "High Calls"))</f>
        <v>#REF!</v>
      </c>
      <c r="AF2381" t="e">
        <f xml:space="preserve">
IF(#REF!&gt;=4,4,0)+
IF(#REF!="yes",3,0)+
IF(#REF!="High Charges",3,0)+
IF(#REF!&gt;250,4,0)+
IF(#REF!="no",1,0)+
IF(#REF!="Heavy Domestic User",2,0)</f>
        <v>#REF!</v>
      </c>
      <c r="AG2381" t="e">
        <f>IF(#REF!&gt;=10,"High Risk", IF(#REF!&gt;=5,"Medium Risk","Low Risk"))</f>
        <v>#REF!</v>
      </c>
      <c r="AH2381" t="e">
        <f>#REF! + #REF! + #REF! + #REF!</f>
        <v>#REF!</v>
      </c>
    </row>
    <row r="2382" spans="1:34" x14ac:dyDescent="0.35">
      <c r="A2382">
        <v>2381</v>
      </c>
      <c r="B2382" t="s">
        <v>42</v>
      </c>
      <c r="C2382">
        <v>82</v>
      </c>
      <c r="D2382" t="s">
        <v>21</v>
      </c>
      <c r="E2382" t="s">
        <v>22</v>
      </c>
      <c r="F2382" t="s">
        <v>23</v>
      </c>
      <c r="G2382">
        <v>33</v>
      </c>
      <c r="H2382">
        <v>137.80000000000001</v>
      </c>
      <c r="I2382">
        <v>95</v>
      </c>
      <c r="J2382">
        <v>23.43</v>
      </c>
      <c r="K2382">
        <v>235.5</v>
      </c>
      <c r="L2382">
        <v>128</v>
      </c>
      <c r="M2382">
        <v>20.02</v>
      </c>
      <c r="N2382">
        <v>268.10000000000002</v>
      </c>
      <c r="O2382">
        <v>70</v>
      </c>
      <c r="P2382">
        <v>12.06</v>
      </c>
      <c r="Q2382">
        <v>11</v>
      </c>
      <c r="R2382">
        <v>6</v>
      </c>
      <c r="S2382">
        <v>2.97</v>
      </c>
      <c r="T2382">
        <v>2</v>
      </c>
      <c r="U2382" t="s">
        <v>22</v>
      </c>
      <c r="V2382" t="e">
        <f>IF(#REF! = "yes", 1, 0)</f>
        <v>#REF!</v>
      </c>
      <c r="W2382" t="e">
        <f>IF(#REF! &lt;= 1, "0-1 Calls", IF(#REF! &lt;= 3, "2-3 Calls", IF(#REF! &lt;=5, "4-5 Calls", "6+ Calls")))</f>
        <v>#REF!</v>
      </c>
      <c r="X2382" t="e">
        <f>IF(#REF! &lt;= 50, "0-50", IF(#REF! &lt;=100, "51-100", IF(#REF! &lt;= 150, "101-150", "151+")))</f>
        <v>#REF!</v>
      </c>
      <c r="Y2382" t="e">
        <f>IF(#REF! &lt;= 3, "Low Charges", "High Charges")</f>
        <v>#REF!</v>
      </c>
      <c r="Z2382" t="e">
        <f>IF(#REF!&lt;=80,"Low Calls",
IF(#REF!&lt;=120,"Medium Calls","High Calls"))</f>
        <v>#REF!</v>
      </c>
      <c r="AA2382" t="e">
        <f>IF(#REF!&lt;=15,"Low Charges",
IF(#REF!&lt;=20,"Medium Charges","High Charges"))</f>
        <v>#REF!</v>
      </c>
      <c r="AB2382" t="e">
        <f>IF(AND(#REF!&gt;180, #REF!&gt;200), "Heavy Doemstic User", IF(#REF!&gt;10, "Interntional User", IF(AND(#REF!&lt;180, #REF!&lt;200,#REF!&lt;200), "Light User", "Balanced User")))</f>
        <v>#REF!</v>
      </c>
      <c r="AC2382" t="e">
        <f>IF(#REF! = 0, "No Usage", IF(#REF! &lt;= 20, "Low Usage", IF(#REF! &lt;= 40, "Medium Usgae", "High Usage")))</f>
        <v>#REF!</v>
      </c>
      <c r="AD2382" t="e">
        <f>IF(#REF!&lt;=150,"Low Usage", IF(#REF!&lt;=200,"Medium Usage", IF(#REF!&lt;=250,"High Usage","Very High Usage")))</f>
        <v>#REF!</v>
      </c>
      <c r="AE2382" t="e">
        <f>IF(#REF!&lt;=5,"Low Calls", IF(#REF!&lt;=10, "Medium Calls", "High Calls"))</f>
        <v>#REF!</v>
      </c>
      <c r="AF2382" t="e">
        <f xml:space="preserve">
IF(#REF!&gt;=4,4,0)+
IF(#REF!="yes",3,0)+
IF(#REF!="High Charges",3,0)+
IF(#REF!&gt;250,4,0)+
IF(#REF!="no",1,0)+
IF(#REF!="Heavy Domestic User",2,0)</f>
        <v>#REF!</v>
      </c>
      <c r="AG2382" t="e">
        <f>IF(#REF!&gt;=10,"High Risk", IF(#REF!&gt;=5,"Medium Risk","Low Risk"))</f>
        <v>#REF!</v>
      </c>
      <c r="AH2382" t="e">
        <f>#REF! + #REF! + #REF! + #REF!</f>
        <v>#REF!</v>
      </c>
    </row>
    <row r="2383" spans="1:34" x14ac:dyDescent="0.35">
      <c r="A2383">
        <v>2382</v>
      </c>
      <c r="B2383" t="s">
        <v>66</v>
      </c>
      <c r="C2383">
        <v>52</v>
      </c>
      <c r="D2383" t="s">
        <v>28</v>
      </c>
      <c r="E2383" t="s">
        <v>22</v>
      </c>
      <c r="F2383" t="s">
        <v>22</v>
      </c>
      <c r="G2383">
        <v>0</v>
      </c>
      <c r="H2383">
        <v>129.30000000000001</v>
      </c>
      <c r="I2383">
        <v>80</v>
      </c>
      <c r="J2383">
        <v>21.98</v>
      </c>
      <c r="K2383">
        <v>142.69999999999999</v>
      </c>
      <c r="L2383">
        <v>101</v>
      </c>
      <c r="M2383">
        <v>12.13</v>
      </c>
      <c r="N2383">
        <v>258.3</v>
      </c>
      <c r="O2383">
        <v>89</v>
      </c>
      <c r="P2383">
        <v>11.62</v>
      </c>
      <c r="Q2383">
        <v>12.3</v>
      </c>
      <c r="R2383">
        <v>4</v>
      </c>
      <c r="S2383">
        <v>3.32</v>
      </c>
      <c r="T2383">
        <v>3</v>
      </c>
      <c r="U2383" t="s">
        <v>22</v>
      </c>
      <c r="V2383" t="e">
        <f>IF(#REF! = "yes", 1, 0)</f>
        <v>#REF!</v>
      </c>
      <c r="W2383" t="e">
        <f>IF(#REF! &lt;= 1, "0-1 Calls", IF(#REF! &lt;= 3, "2-3 Calls", IF(#REF! &lt;=5, "4-5 Calls", "6+ Calls")))</f>
        <v>#REF!</v>
      </c>
      <c r="X2383" t="e">
        <f>IF(#REF! &lt;= 50, "0-50", IF(#REF! &lt;=100, "51-100", IF(#REF! &lt;= 150, "101-150", "151+")))</f>
        <v>#REF!</v>
      </c>
      <c r="Y2383" t="e">
        <f>IF(#REF! &lt;= 3, "Low Charges", "High Charges")</f>
        <v>#REF!</v>
      </c>
      <c r="Z2383" t="e">
        <f>IF(#REF!&lt;=80,"Low Calls",
IF(#REF!&lt;=120,"Medium Calls","High Calls"))</f>
        <v>#REF!</v>
      </c>
      <c r="AA2383" t="e">
        <f>IF(#REF!&lt;=15,"Low Charges",
IF(#REF!&lt;=20,"Medium Charges","High Charges"))</f>
        <v>#REF!</v>
      </c>
      <c r="AB2383" t="e">
        <f>IF(AND(#REF!&gt;180, #REF!&gt;200), "Heavy Doemstic User", IF(#REF!&gt;10, "Interntional User", IF(AND(#REF!&lt;180, #REF!&lt;200,#REF!&lt;200), "Light User", "Balanced User")))</f>
        <v>#REF!</v>
      </c>
      <c r="AC2383" t="e">
        <f>IF(#REF! = 0, "No Usage", IF(#REF! &lt;= 20, "Low Usage", IF(#REF! &lt;= 40, "Medium Usgae", "High Usage")))</f>
        <v>#REF!</v>
      </c>
      <c r="AD2383" t="e">
        <f>IF(#REF!&lt;=150,"Low Usage", IF(#REF!&lt;=200,"Medium Usage", IF(#REF!&lt;=250,"High Usage","Very High Usage")))</f>
        <v>#REF!</v>
      </c>
      <c r="AE2383" t="e">
        <f>IF(#REF!&lt;=5,"Low Calls", IF(#REF!&lt;=10, "Medium Calls", "High Calls"))</f>
        <v>#REF!</v>
      </c>
      <c r="AF2383" t="e">
        <f xml:space="preserve">
IF(#REF!&gt;=4,4,0)+
IF(#REF!="yes",3,0)+
IF(#REF!="High Charges",3,0)+
IF(#REF!&gt;250,4,0)+
IF(#REF!="no",1,0)+
IF(#REF!="Heavy Domestic User",2,0)</f>
        <v>#REF!</v>
      </c>
      <c r="AG2383" t="e">
        <f>IF(#REF!&gt;=10,"High Risk", IF(#REF!&gt;=5,"Medium Risk","Low Risk"))</f>
        <v>#REF!</v>
      </c>
      <c r="AH2383" t="e">
        <f>#REF! + #REF! + #REF! + #REF!</f>
        <v>#REF!</v>
      </c>
    </row>
    <row r="2384" spans="1:34" x14ac:dyDescent="0.35">
      <c r="A2384">
        <v>2383</v>
      </c>
      <c r="B2384" t="s">
        <v>46</v>
      </c>
      <c r="C2384">
        <v>146</v>
      </c>
      <c r="D2384" t="s">
        <v>28</v>
      </c>
      <c r="E2384" t="s">
        <v>22</v>
      </c>
      <c r="F2384" t="s">
        <v>22</v>
      </c>
      <c r="G2384">
        <v>0</v>
      </c>
      <c r="H2384">
        <v>115.6</v>
      </c>
      <c r="I2384">
        <v>77</v>
      </c>
      <c r="J2384">
        <v>19.649999999999999</v>
      </c>
      <c r="K2384">
        <v>213.6</v>
      </c>
      <c r="L2384">
        <v>100</v>
      </c>
      <c r="M2384">
        <v>18.16</v>
      </c>
      <c r="N2384">
        <v>218.4</v>
      </c>
      <c r="O2384">
        <v>72</v>
      </c>
      <c r="P2384">
        <v>9.83</v>
      </c>
      <c r="Q2384">
        <v>10.7</v>
      </c>
      <c r="R2384">
        <v>6</v>
      </c>
      <c r="S2384">
        <v>2.89</v>
      </c>
      <c r="T2384">
        <v>1</v>
      </c>
      <c r="U2384" t="s">
        <v>22</v>
      </c>
      <c r="V2384" t="e">
        <f>IF(#REF! = "yes", 1, 0)</f>
        <v>#REF!</v>
      </c>
      <c r="W2384" t="e">
        <f>IF(#REF! &lt;= 1, "0-1 Calls", IF(#REF! &lt;= 3, "2-3 Calls", IF(#REF! &lt;=5, "4-5 Calls", "6+ Calls")))</f>
        <v>#REF!</v>
      </c>
      <c r="X2384" t="e">
        <f>IF(#REF! &lt;= 50, "0-50", IF(#REF! &lt;=100, "51-100", IF(#REF! &lt;= 150, "101-150", "151+")))</f>
        <v>#REF!</v>
      </c>
      <c r="Y2384" t="e">
        <f>IF(#REF! &lt;= 3, "Low Charges", "High Charges")</f>
        <v>#REF!</v>
      </c>
      <c r="Z2384" t="e">
        <f>IF(#REF!&lt;=80,"Low Calls",
IF(#REF!&lt;=120,"Medium Calls","High Calls"))</f>
        <v>#REF!</v>
      </c>
      <c r="AA2384" t="e">
        <f>IF(#REF!&lt;=15,"Low Charges",
IF(#REF!&lt;=20,"Medium Charges","High Charges"))</f>
        <v>#REF!</v>
      </c>
      <c r="AB2384" t="e">
        <f>IF(AND(#REF!&gt;180, #REF!&gt;200), "Heavy Doemstic User", IF(#REF!&gt;10, "Interntional User", IF(AND(#REF!&lt;180, #REF!&lt;200,#REF!&lt;200), "Light User", "Balanced User")))</f>
        <v>#REF!</v>
      </c>
      <c r="AC2384" t="e">
        <f>IF(#REF! = 0, "No Usage", IF(#REF! &lt;= 20, "Low Usage", IF(#REF! &lt;= 40, "Medium Usgae", "High Usage")))</f>
        <v>#REF!</v>
      </c>
      <c r="AD2384" t="e">
        <f>IF(#REF!&lt;=150,"Low Usage", IF(#REF!&lt;=200,"Medium Usage", IF(#REF!&lt;=250,"High Usage","Very High Usage")))</f>
        <v>#REF!</v>
      </c>
      <c r="AE2384" t="e">
        <f>IF(#REF!&lt;=5,"Low Calls", IF(#REF!&lt;=10, "Medium Calls", "High Calls"))</f>
        <v>#REF!</v>
      </c>
      <c r="AF2384" t="e">
        <f xml:space="preserve">
IF(#REF!&gt;=4,4,0)+
IF(#REF!="yes",3,0)+
IF(#REF!="High Charges",3,0)+
IF(#REF!&gt;250,4,0)+
IF(#REF!="no",1,0)+
IF(#REF!="Heavy Domestic User",2,0)</f>
        <v>#REF!</v>
      </c>
      <c r="AG2384" t="e">
        <f>IF(#REF!&gt;=10,"High Risk", IF(#REF!&gt;=5,"Medium Risk","Low Risk"))</f>
        <v>#REF!</v>
      </c>
      <c r="AH2384" t="e">
        <f>#REF! + #REF! + #REF! + #REF!</f>
        <v>#REF!</v>
      </c>
    </row>
    <row r="2385" spans="1:34" x14ac:dyDescent="0.35">
      <c r="A2385">
        <v>2384</v>
      </c>
      <c r="B2385" t="s">
        <v>33</v>
      </c>
      <c r="C2385">
        <v>120</v>
      </c>
      <c r="D2385" t="s">
        <v>21</v>
      </c>
      <c r="E2385" t="s">
        <v>22</v>
      </c>
      <c r="F2385" t="s">
        <v>23</v>
      </c>
      <c r="G2385">
        <v>23</v>
      </c>
      <c r="H2385">
        <v>221.9</v>
      </c>
      <c r="I2385">
        <v>114</v>
      </c>
      <c r="J2385">
        <v>37.72</v>
      </c>
      <c r="K2385">
        <v>254.7</v>
      </c>
      <c r="L2385">
        <v>84</v>
      </c>
      <c r="M2385">
        <v>21.65</v>
      </c>
      <c r="N2385">
        <v>250.5</v>
      </c>
      <c r="O2385">
        <v>117</v>
      </c>
      <c r="P2385">
        <v>11.27</v>
      </c>
      <c r="Q2385">
        <v>7.2</v>
      </c>
      <c r="R2385">
        <v>5</v>
      </c>
      <c r="S2385">
        <v>1.94</v>
      </c>
      <c r="T2385">
        <v>2</v>
      </c>
      <c r="U2385" t="s">
        <v>22</v>
      </c>
      <c r="V2385" t="e">
        <f>IF(#REF! = "yes", 1, 0)</f>
        <v>#REF!</v>
      </c>
      <c r="W2385" t="e">
        <f>IF(#REF! &lt;= 1, "0-1 Calls", IF(#REF! &lt;= 3, "2-3 Calls", IF(#REF! &lt;=5, "4-5 Calls", "6+ Calls")))</f>
        <v>#REF!</v>
      </c>
      <c r="X2385" t="e">
        <f>IF(#REF! &lt;= 50, "0-50", IF(#REF! &lt;=100, "51-100", IF(#REF! &lt;= 150, "101-150", "151+")))</f>
        <v>#REF!</v>
      </c>
      <c r="Y2385" t="e">
        <f>IF(#REF! &lt;= 3, "Low Charges", "High Charges")</f>
        <v>#REF!</v>
      </c>
      <c r="Z2385" t="e">
        <f>IF(#REF!&lt;=80,"Low Calls",
IF(#REF!&lt;=120,"Medium Calls","High Calls"))</f>
        <v>#REF!</v>
      </c>
      <c r="AA2385" t="e">
        <f>IF(#REF!&lt;=15,"Low Charges",
IF(#REF!&lt;=20,"Medium Charges","High Charges"))</f>
        <v>#REF!</v>
      </c>
      <c r="AB2385" t="e">
        <f>IF(AND(#REF!&gt;180, #REF!&gt;200), "Heavy Doemstic User", IF(#REF!&gt;10, "Interntional User", IF(AND(#REF!&lt;180, #REF!&lt;200,#REF!&lt;200), "Light User", "Balanced User")))</f>
        <v>#REF!</v>
      </c>
      <c r="AC2385" t="e">
        <f>IF(#REF! = 0, "No Usage", IF(#REF! &lt;= 20, "Low Usage", IF(#REF! &lt;= 40, "Medium Usgae", "High Usage")))</f>
        <v>#REF!</v>
      </c>
      <c r="AD2385" t="e">
        <f>IF(#REF!&lt;=150,"Low Usage", IF(#REF!&lt;=200,"Medium Usage", IF(#REF!&lt;=250,"High Usage","Very High Usage")))</f>
        <v>#REF!</v>
      </c>
      <c r="AE2385" t="e">
        <f>IF(#REF!&lt;=5,"Low Calls", IF(#REF!&lt;=10, "Medium Calls", "High Calls"))</f>
        <v>#REF!</v>
      </c>
      <c r="AF2385" t="e">
        <f xml:space="preserve">
IF(#REF!&gt;=4,4,0)+
IF(#REF!="yes",3,0)+
IF(#REF!="High Charges",3,0)+
IF(#REF!&gt;250,4,0)+
IF(#REF!="no",1,0)+
IF(#REF!="Heavy Domestic User",2,0)</f>
        <v>#REF!</v>
      </c>
      <c r="AG2385" t="e">
        <f>IF(#REF!&gt;=10,"High Risk", IF(#REF!&gt;=5,"Medium Risk","Low Risk"))</f>
        <v>#REF!</v>
      </c>
      <c r="AH2385" t="e">
        <f>#REF! + #REF! + #REF! + #REF!</f>
        <v>#REF!</v>
      </c>
    </row>
    <row r="2386" spans="1:34" x14ac:dyDescent="0.35">
      <c r="A2386">
        <v>2385</v>
      </c>
      <c r="B2386" t="s">
        <v>37</v>
      </c>
      <c r="C2386">
        <v>130</v>
      </c>
      <c r="D2386" t="s">
        <v>21</v>
      </c>
      <c r="E2386" t="s">
        <v>22</v>
      </c>
      <c r="F2386" t="s">
        <v>22</v>
      </c>
      <c r="G2386">
        <v>0</v>
      </c>
      <c r="H2386">
        <v>263.7</v>
      </c>
      <c r="I2386">
        <v>113</v>
      </c>
      <c r="J2386">
        <v>44.83</v>
      </c>
      <c r="K2386">
        <v>186.5</v>
      </c>
      <c r="L2386">
        <v>103</v>
      </c>
      <c r="M2386">
        <v>15.85</v>
      </c>
      <c r="N2386">
        <v>195.3</v>
      </c>
      <c r="O2386">
        <v>99</v>
      </c>
      <c r="P2386">
        <v>8.7899999999999991</v>
      </c>
      <c r="Q2386">
        <v>18.3</v>
      </c>
      <c r="R2386">
        <v>6</v>
      </c>
      <c r="S2386">
        <v>4.9400000000000004</v>
      </c>
      <c r="T2386">
        <v>1</v>
      </c>
      <c r="U2386" t="s">
        <v>23</v>
      </c>
      <c r="V2386" t="e">
        <f>IF(#REF! = "yes", 1, 0)</f>
        <v>#REF!</v>
      </c>
      <c r="W2386" t="e">
        <f>IF(#REF! &lt;= 1, "0-1 Calls", IF(#REF! &lt;= 3, "2-3 Calls", IF(#REF! &lt;=5, "4-5 Calls", "6+ Calls")))</f>
        <v>#REF!</v>
      </c>
      <c r="X2386" t="e">
        <f>IF(#REF! &lt;= 50, "0-50", IF(#REF! &lt;=100, "51-100", IF(#REF! &lt;= 150, "101-150", "151+")))</f>
        <v>#REF!</v>
      </c>
      <c r="Y2386" t="e">
        <f>IF(#REF! &lt;= 3, "Low Charges", "High Charges")</f>
        <v>#REF!</v>
      </c>
      <c r="Z2386" t="e">
        <f>IF(#REF!&lt;=80,"Low Calls",
IF(#REF!&lt;=120,"Medium Calls","High Calls"))</f>
        <v>#REF!</v>
      </c>
      <c r="AA2386" t="e">
        <f>IF(#REF!&lt;=15,"Low Charges",
IF(#REF!&lt;=20,"Medium Charges","High Charges"))</f>
        <v>#REF!</v>
      </c>
      <c r="AB2386" t="e">
        <f>IF(AND(#REF!&gt;180, #REF!&gt;200), "Heavy Doemstic User", IF(#REF!&gt;10, "Interntional User", IF(AND(#REF!&lt;180, #REF!&lt;200,#REF!&lt;200), "Light User", "Balanced User")))</f>
        <v>#REF!</v>
      </c>
      <c r="AC2386" t="e">
        <f>IF(#REF! = 0, "No Usage", IF(#REF! &lt;= 20, "Low Usage", IF(#REF! &lt;= 40, "Medium Usgae", "High Usage")))</f>
        <v>#REF!</v>
      </c>
      <c r="AD2386" t="e">
        <f>IF(#REF!&lt;=150,"Low Usage", IF(#REF!&lt;=200,"Medium Usage", IF(#REF!&lt;=250,"High Usage","Very High Usage")))</f>
        <v>#REF!</v>
      </c>
      <c r="AE2386" t="e">
        <f>IF(#REF!&lt;=5,"Low Calls", IF(#REF!&lt;=10, "Medium Calls", "High Calls"))</f>
        <v>#REF!</v>
      </c>
      <c r="AF2386" t="e">
        <f xml:space="preserve">
IF(#REF!&gt;=4,4,0)+
IF(#REF!="yes",3,0)+
IF(#REF!="High Charges",3,0)+
IF(#REF!&gt;250,4,0)+
IF(#REF!="no",1,0)+
IF(#REF!="Heavy Domestic User",2,0)</f>
        <v>#REF!</v>
      </c>
      <c r="AG2386" t="e">
        <f>IF(#REF!&gt;=10,"High Risk", IF(#REF!&gt;=5,"Medium Risk","Low Risk"))</f>
        <v>#REF!</v>
      </c>
      <c r="AH2386" t="e">
        <f>#REF! + #REF! + #REF! + #REF!</f>
        <v>#REF!</v>
      </c>
    </row>
    <row r="2387" spans="1:34" x14ac:dyDescent="0.35">
      <c r="A2387">
        <v>2386</v>
      </c>
      <c r="B2387" t="s">
        <v>51</v>
      </c>
      <c r="C2387">
        <v>90</v>
      </c>
      <c r="D2387" t="s">
        <v>25</v>
      </c>
      <c r="E2387" t="s">
        <v>22</v>
      </c>
      <c r="F2387" t="s">
        <v>22</v>
      </c>
      <c r="G2387">
        <v>0</v>
      </c>
      <c r="H2387">
        <v>61.3</v>
      </c>
      <c r="I2387">
        <v>91</v>
      </c>
      <c r="J2387">
        <v>10.42</v>
      </c>
      <c r="K2387">
        <v>194.4</v>
      </c>
      <c r="L2387">
        <v>94</v>
      </c>
      <c r="M2387">
        <v>16.52</v>
      </c>
      <c r="N2387">
        <v>143.1</v>
      </c>
      <c r="O2387">
        <v>80</v>
      </c>
      <c r="P2387">
        <v>6.44</v>
      </c>
      <c r="Q2387">
        <v>11.4</v>
      </c>
      <c r="R2387">
        <v>9</v>
      </c>
      <c r="S2387">
        <v>3.08</v>
      </c>
      <c r="T2387">
        <v>1</v>
      </c>
      <c r="U2387" t="s">
        <v>22</v>
      </c>
      <c r="V2387" t="e">
        <f>IF(#REF! = "yes", 1, 0)</f>
        <v>#REF!</v>
      </c>
      <c r="W2387" t="e">
        <f>IF(#REF! &lt;= 1, "0-1 Calls", IF(#REF! &lt;= 3, "2-3 Calls", IF(#REF! &lt;=5, "4-5 Calls", "6+ Calls")))</f>
        <v>#REF!</v>
      </c>
      <c r="X2387" t="e">
        <f>IF(#REF! &lt;= 50, "0-50", IF(#REF! &lt;=100, "51-100", IF(#REF! &lt;= 150, "101-150", "151+")))</f>
        <v>#REF!</v>
      </c>
      <c r="Y2387" t="e">
        <f>IF(#REF! &lt;= 3, "Low Charges", "High Charges")</f>
        <v>#REF!</v>
      </c>
      <c r="Z2387" t="e">
        <f>IF(#REF!&lt;=80,"Low Calls",
IF(#REF!&lt;=120,"Medium Calls","High Calls"))</f>
        <v>#REF!</v>
      </c>
      <c r="AA2387" t="e">
        <f>IF(#REF!&lt;=15,"Low Charges",
IF(#REF!&lt;=20,"Medium Charges","High Charges"))</f>
        <v>#REF!</v>
      </c>
      <c r="AB2387" t="e">
        <f>IF(AND(#REF!&gt;180, #REF!&gt;200), "Heavy Doemstic User", IF(#REF!&gt;10, "Interntional User", IF(AND(#REF!&lt;180, #REF!&lt;200,#REF!&lt;200), "Light User", "Balanced User")))</f>
        <v>#REF!</v>
      </c>
      <c r="AC2387" t="e">
        <f>IF(#REF! = 0, "No Usage", IF(#REF! &lt;= 20, "Low Usage", IF(#REF! &lt;= 40, "Medium Usgae", "High Usage")))</f>
        <v>#REF!</v>
      </c>
      <c r="AD2387" t="e">
        <f>IF(#REF!&lt;=150,"Low Usage", IF(#REF!&lt;=200,"Medium Usage", IF(#REF!&lt;=250,"High Usage","Very High Usage")))</f>
        <v>#REF!</v>
      </c>
      <c r="AE2387" t="e">
        <f>IF(#REF!&lt;=5,"Low Calls", IF(#REF!&lt;=10, "Medium Calls", "High Calls"))</f>
        <v>#REF!</v>
      </c>
      <c r="AF2387" t="e">
        <f xml:space="preserve">
IF(#REF!&gt;=4,4,0)+
IF(#REF!="yes",3,0)+
IF(#REF!="High Charges",3,0)+
IF(#REF!&gt;250,4,0)+
IF(#REF!="no",1,0)+
IF(#REF!="Heavy Domestic User",2,0)</f>
        <v>#REF!</v>
      </c>
      <c r="AG2387" t="e">
        <f>IF(#REF!&gt;=10,"High Risk", IF(#REF!&gt;=5,"Medium Risk","Low Risk"))</f>
        <v>#REF!</v>
      </c>
      <c r="AH2387" t="e">
        <f>#REF! + #REF! + #REF! + #REF!</f>
        <v>#REF!</v>
      </c>
    </row>
    <row r="2388" spans="1:34" x14ac:dyDescent="0.35">
      <c r="A2388">
        <v>2387</v>
      </c>
      <c r="B2388" t="s">
        <v>61</v>
      </c>
      <c r="C2388">
        <v>147</v>
      </c>
      <c r="D2388" t="s">
        <v>25</v>
      </c>
      <c r="E2388" t="s">
        <v>23</v>
      </c>
      <c r="F2388" t="s">
        <v>22</v>
      </c>
      <c r="G2388">
        <v>0</v>
      </c>
      <c r="H2388">
        <v>183.8</v>
      </c>
      <c r="I2388">
        <v>113</v>
      </c>
      <c r="J2388">
        <v>31.25</v>
      </c>
      <c r="K2388">
        <v>164.7</v>
      </c>
      <c r="L2388">
        <v>110</v>
      </c>
      <c r="M2388">
        <v>14</v>
      </c>
      <c r="N2388">
        <v>111</v>
      </c>
      <c r="O2388">
        <v>87</v>
      </c>
      <c r="P2388">
        <v>5</v>
      </c>
      <c r="Q2388">
        <v>10.1</v>
      </c>
      <c r="R2388">
        <v>4</v>
      </c>
      <c r="S2388">
        <v>2.73</v>
      </c>
      <c r="T2388">
        <v>1</v>
      </c>
      <c r="U2388" t="s">
        <v>22</v>
      </c>
      <c r="V2388" t="e">
        <f>IF(#REF! = "yes", 1, 0)</f>
        <v>#REF!</v>
      </c>
      <c r="W2388" t="e">
        <f>IF(#REF! &lt;= 1, "0-1 Calls", IF(#REF! &lt;= 3, "2-3 Calls", IF(#REF! &lt;=5, "4-5 Calls", "6+ Calls")))</f>
        <v>#REF!</v>
      </c>
      <c r="X2388" t="e">
        <f>IF(#REF! &lt;= 50, "0-50", IF(#REF! &lt;=100, "51-100", IF(#REF! &lt;= 150, "101-150", "151+")))</f>
        <v>#REF!</v>
      </c>
      <c r="Y2388" t="e">
        <f>IF(#REF! &lt;= 3, "Low Charges", "High Charges")</f>
        <v>#REF!</v>
      </c>
      <c r="Z2388" t="e">
        <f>IF(#REF!&lt;=80,"Low Calls",
IF(#REF!&lt;=120,"Medium Calls","High Calls"))</f>
        <v>#REF!</v>
      </c>
      <c r="AA2388" t="e">
        <f>IF(#REF!&lt;=15,"Low Charges",
IF(#REF!&lt;=20,"Medium Charges","High Charges"))</f>
        <v>#REF!</v>
      </c>
      <c r="AB2388" t="e">
        <f>IF(AND(#REF!&gt;180, #REF!&gt;200), "Heavy Doemstic User", IF(#REF!&gt;10, "Interntional User", IF(AND(#REF!&lt;180, #REF!&lt;200,#REF!&lt;200), "Light User", "Balanced User")))</f>
        <v>#REF!</v>
      </c>
      <c r="AC2388" t="e">
        <f>IF(#REF! = 0, "No Usage", IF(#REF! &lt;= 20, "Low Usage", IF(#REF! &lt;= 40, "Medium Usgae", "High Usage")))</f>
        <v>#REF!</v>
      </c>
      <c r="AD2388" t="e">
        <f>IF(#REF!&lt;=150,"Low Usage", IF(#REF!&lt;=200,"Medium Usage", IF(#REF!&lt;=250,"High Usage","Very High Usage")))</f>
        <v>#REF!</v>
      </c>
      <c r="AE2388" t="e">
        <f>IF(#REF!&lt;=5,"Low Calls", IF(#REF!&lt;=10, "Medium Calls", "High Calls"))</f>
        <v>#REF!</v>
      </c>
      <c r="AF2388" t="e">
        <f xml:space="preserve">
IF(#REF!&gt;=4,4,0)+
IF(#REF!="yes",3,0)+
IF(#REF!="High Charges",3,0)+
IF(#REF!&gt;250,4,0)+
IF(#REF!="no",1,0)+
IF(#REF!="Heavy Domestic User",2,0)</f>
        <v>#REF!</v>
      </c>
      <c r="AG2388" t="e">
        <f>IF(#REF!&gt;=10,"High Risk", IF(#REF!&gt;=5,"Medium Risk","Low Risk"))</f>
        <v>#REF!</v>
      </c>
      <c r="AH2388" t="e">
        <f>#REF! + #REF! + #REF! + #REF!</f>
        <v>#REF!</v>
      </c>
    </row>
    <row r="2389" spans="1:34" x14ac:dyDescent="0.35">
      <c r="A2389">
        <v>2388</v>
      </c>
      <c r="B2389" t="s">
        <v>44</v>
      </c>
      <c r="C2389">
        <v>159</v>
      </c>
      <c r="D2389" t="s">
        <v>21</v>
      </c>
      <c r="E2389" t="s">
        <v>22</v>
      </c>
      <c r="F2389" t="s">
        <v>22</v>
      </c>
      <c r="G2389">
        <v>0</v>
      </c>
      <c r="H2389">
        <v>167.4</v>
      </c>
      <c r="I2389">
        <v>68</v>
      </c>
      <c r="J2389">
        <v>28.46</v>
      </c>
      <c r="K2389">
        <v>143.80000000000001</v>
      </c>
      <c r="L2389">
        <v>74</v>
      </c>
      <c r="M2389">
        <v>12.22</v>
      </c>
      <c r="N2389">
        <v>140.1</v>
      </c>
      <c r="O2389">
        <v>111</v>
      </c>
      <c r="P2389">
        <v>6.3</v>
      </c>
      <c r="Q2389">
        <v>10.3</v>
      </c>
      <c r="R2389">
        <v>3</v>
      </c>
      <c r="S2389">
        <v>2.78</v>
      </c>
      <c r="T2389">
        <v>0</v>
      </c>
      <c r="U2389" t="s">
        <v>23</v>
      </c>
      <c r="V2389" t="e">
        <f>IF(#REF! = "yes", 1, 0)</f>
        <v>#REF!</v>
      </c>
      <c r="W2389" t="e">
        <f>IF(#REF! &lt;= 1, "0-1 Calls", IF(#REF! &lt;= 3, "2-3 Calls", IF(#REF! &lt;=5, "4-5 Calls", "6+ Calls")))</f>
        <v>#REF!</v>
      </c>
      <c r="X2389" t="e">
        <f>IF(#REF! &lt;= 50, "0-50", IF(#REF! &lt;=100, "51-100", IF(#REF! &lt;= 150, "101-150", "151+")))</f>
        <v>#REF!</v>
      </c>
      <c r="Y2389" t="e">
        <f>IF(#REF! &lt;= 3, "Low Charges", "High Charges")</f>
        <v>#REF!</v>
      </c>
      <c r="Z2389" t="e">
        <f>IF(#REF!&lt;=80,"Low Calls",
IF(#REF!&lt;=120,"Medium Calls","High Calls"))</f>
        <v>#REF!</v>
      </c>
      <c r="AA2389" t="e">
        <f>IF(#REF!&lt;=15,"Low Charges",
IF(#REF!&lt;=20,"Medium Charges","High Charges"))</f>
        <v>#REF!</v>
      </c>
      <c r="AB2389" t="e">
        <f>IF(AND(#REF!&gt;180, #REF!&gt;200), "Heavy Doemstic User", IF(#REF!&gt;10, "Interntional User", IF(AND(#REF!&lt;180, #REF!&lt;200,#REF!&lt;200), "Light User", "Balanced User")))</f>
        <v>#REF!</v>
      </c>
      <c r="AC2389" t="e">
        <f>IF(#REF! = 0, "No Usage", IF(#REF! &lt;= 20, "Low Usage", IF(#REF! &lt;= 40, "Medium Usgae", "High Usage")))</f>
        <v>#REF!</v>
      </c>
      <c r="AD2389" t="e">
        <f>IF(#REF!&lt;=150,"Low Usage", IF(#REF!&lt;=200,"Medium Usage", IF(#REF!&lt;=250,"High Usage","Very High Usage")))</f>
        <v>#REF!</v>
      </c>
      <c r="AE2389" t="e">
        <f>IF(#REF!&lt;=5,"Low Calls", IF(#REF!&lt;=10, "Medium Calls", "High Calls"))</f>
        <v>#REF!</v>
      </c>
      <c r="AF2389" t="e">
        <f xml:space="preserve">
IF(#REF!&gt;=4,4,0)+
IF(#REF!="yes",3,0)+
IF(#REF!="High Charges",3,0)+
IF(#REF!&gt;250,4,0)+
IF(#REF!="no",1,0)+
IF(#REF!="Heavy Domestic User",2,0)</f>
        <v>#REF!</v>
      </c>
      <c r="AG2389" t="e">
        <f>IF(#REF!&gt;=10,"High Risk", IF(#REF!&gt;=5,"Medium Risk","Low Risk"))</f>
        <v>#REF!</v>
      </c>
      <c r="AH2389" t="e">
        <f>#REF! + #REF! + #REF! + #REF!</f>
        <v>#REF!</v>
      </c>
    </row>
    <row r="2390" spans="1:34" x14ac:dyDescent="0.35">
      <c r="A2390">
        <v>2389</v>
      </c>
      <c r="B2390" t="s">
        <v>72</v>
      </c>
      <c r="C2390">
        <v>74</v>
      </c>
      <c r="D2390" t="s">
        <v>28</v>
      </c>
      <c r="E2390" t="s">
        <v>22</v>
      </c>
      <c r="F2390" t="s">
        <v>23</v>
      </c>
      <c r="G2390">
        <v>27</v>
      </c>
      <c r="H2390">
        <v>154.1</v>
      </c>
      <c r="I2390">
        <v>122</v>
      </c>
      <c r="J2390">
        <v>26.2</v>
      </c>
      <c r="K2390">
        <v>195.3</v>
      </c>
      <c r="L2390">
        <v>150</v>
      </c>
      <c r="M2390">
        <v>16.600000000000001</v>
      </c>
      <c r="N2390">
        <v>276.7</v>
      </c>
      <c r="O2390">
        <v>86</v>
      </c>
      <c r="P2390">
        <v>12.45</v>
      </c>
      <c r="Q2390">
        <v>13.2</v>
      </c>
      <c r="R2390">
        <v>2</v>
      </c>
      <c r="S2390">
        <v>3.56</v>
      </c>
      <c r="T2390">
        <v>4</v>
      </c>
      <c r="U2390" t="s">
        <v>22</v>
      </c>
      <c r="V2390" t="e">
        <f>IF(#REF! = "yes", 1, 0)</f>
        <v>#REF!</v>
      </c>
      <c r="W2390" t="e">
        <f>IF(#REF! &lt;= 1, "0-1 Calls", IF(#REF! &lt;= 3, "2-3 Calls", IF(#REF! &lt;=5, "4-5 Calls", "6+ Calls")))</f>
        <v>#REF!</v>
      </c>
      <c r="X2390" t="e">
        <f>IF(#REF! &lt;= 50, "0-50", IF(#REF! &lt;=100, "51-100", IF(#REF! &lt;= 150, "101-150", "151+")))</f>
        <v>#REF!</v>
      </c>
      <c r="Y2390" t="e">
        <f>IF(#REF! &lt;= 3, "Low Charges", "High Charges")</f>
        <v>#REF!</v>
      </c>
      <c r="Z2390" t="e">
        <f>IF(#REF!&lt;=80,"Low Calls",
IF(#REF!&lt;=120,"Medium Calls","High Calls"))</f>
        <v>#REF!</v>
      </c>
      <c r="AA2390" t="e">
        <f>IF(#REF!&lt;=15,"Low Charges",
IF(#REF!&lt;=20,"Medium Charges","High Charges"))</f>
        <v>#REF!</v>
      </c>
      <c r="AB2390" t="e">
        <f>IF(AND(#REF!&gt;180, #REF!&gt;200), "Heavy Doemstic User", IF(#REF!&gt;10, "Interntional User", IF(AND(#REF!&lt;180, #REF!&lt;200,#REF!&lt;200), "Light User", "Balanced User")))</f>
        <v>#REF!</v>
      </c>
      <c r="AC2390" t="e">
        <f>IF(#REF! = 0, "No Usage", IF(#REF! &lt;= 20, "Low Usage", IF(#REF! &lt;= 40, "Medium Usgae", "High Usage")))</f>
        <v>#REF!</v>
      </c>
      <c r="AD2390" t="e">
        <f>IF(#REF!&lt;=150,"Low Usage", IF(#REF!&lt;=200,"Medium Usage", IF(#REF!&lt;=250,"High Usage","Very High Usage")))</f>
        <v>#REF!</v>
      </c>
      <c r="AE2390" t="e">
        <f>IF(#REF!&lt;=5,"Low Calls", IF(#REF!&lt;=10, "Medium Calls", "High Calls"))</f>
        <v>#REF!</v>
      </c>
      <c r="AF2390" t="e">
        <f xml:space="preserve">
IF(#REF!&gt;=4,4,0)+
IF(#REF!="yes",3,0)+
IF(#REF!="High Charges",3,0)+
IF(#REF!&gt;250,4,0)+
IF(#REF!="no",1,0)+
IF(#REF!="Heavy Domestic User",2,0)</f>
        <v>#REF!</v>
      </c>
      <c r="AG2390" t="e">
        <f>IF(#REF!&gt;=10,"High Risk", IF(#REF!&gt;=5,"Medium Risk","Low Risk"))</f>
        <v>#REF!</v>
      </c>
      <c r="AH2390" t="e">
        <f>#REF! + #REF! + #REF! + #REF!</f>
        <v>#REF!</v>
      </c>
    </row>
    <row r="2391" spans="1:34" x14ac:dyDescent="0.35">
      <c r="A2391">
        <v>2390</v>
      </c>
      <c r="B2391" t="s">
        <v>39</v>
      </c>
      <c r="C2391">
        <v>130</v>
      </c>
      <c r="D2391" t="s">
        <v>25</v>
      </c>
      <c r="E2391" t="s">
        <v>22</v>
      </c>
      <c r="F2391" t="s">
        <v>22</v>
      </c>
      <c r="G2391">
        <v>0</v>
      </c>
      <c r="H2391">
        <v>252</v>
      </c>
      <c r="I2391">
        <v>101</v>
      </c>
      <c r="J2391">
        <v>42.84</v>
      </c>
      <c r="K2391">
        <v>170.2</v>
      </c>
      <c r="L2391">
        <v>105</v>
      </c>
      <c r="M2391">
        <v>14.47</v>
      </c>
      <c r="N2391">
        <v>209.2</v>
      </c>
      <c r="O2391">
        <v>64</v>
      </c>
      <c r="P2391">
        <v>9.41</v>
      </c>
      <c r="Q2391">
        <v>5.7</v>
      </c>
      <c r="R2391">
        <v>5</v>
      </c>
      <c r="S2391">
        <v>1.54</v>
      </c>
      <c r="T2391">
        <v>0</v>
      </c>
      <c r="U2391" t="s">
        <v>22</v>
      </c>
      <c r="V2391" t="e">
        <f>IF(#REF! = "yes", 1, 0)</f>
        <v>#REF!</v>
      </c>
      <c r="W2391" t="e">
        <f>IF(#REF! &lt;= 1, "0-1 Calls", IF(#REF! &lt;= 3, "2-3 Calls", IF(#REF! &lt;=5, "4-5 Calls", "6+ Calls")))</f>
        <v>#REF!</v>
      </c>
      <c r="X2391" t="e">
        <f>IF(#REF! &lt;= 50, "0-50", IF(#REF! &lt;=100, "51-100", IF(#REF! &lt;= 150, "101-150", "151+")))</f>
        <v>#REF!</v>
      </c>
      <c r="Y2391" t="e">
        <f>IF(#REF! &lt;= 3, "Low Charges", "High Charges")</f>
        <v>#REF!</v>
      </c>
      <c r="Z2391" t="e">
        <f>IF(#REF!&lt;=80,"Low Calls",
IF(#REF!&lt;=120,"Medium Calls","High Calls"))</f>
        <v>#REF!</v>
      </c>
      <c r="AA2391" t="e">
        <f>IF(#REF!&lt;=15,"Low Charges",
IF(#REF!&lt;=20,"Medium Charges","High Charges"))</f>
        <v>#REF!</v>
      </c>
      <c r="AB2391" t="e">
        <f>IF(AND(#REF!&gt;180, #REF!&gt;200), "Heavy Doemstic User", IF(#REF!&gt;10, "Interntional User", IF(AND(#REF!&lt;180, #REF!&lt;200,#REF!&lt;200), "Light User", "Balanced User")))</f>
        <v>#REF!</v>
      </c>
      <c r="AC2391" t="e">
        <f>IF(#REF! = 0, "No Usage", IF(#REF! &lt;= 20, "Low Usage", IF(#REF! &lt;= 40, "Medium Usgae", "High Usage")))</f>
        <v>#REF!</v>
      </c>
      <c r="AD2391" t="e">
        <f>IF(#REF!&lt;=150,"Low Usage", IF(#REF!&lt;=200,"Medium Usage", IF(#REF!&lt;=250,"High Usage","Very High Usage")))</f>
        <v>#REF!</v>
      </c>
      <c r="AE2391" t="e">
        <f>IF(#REF!&lt;=5,"Low Calls", IF(#REF!&lt;=10, "Medium Calls", "High Calls"))</f>
        <v>#REF!</v>
      </c>
      <c r="AF2391" t="e">
        <f xml:space="preserve">
IF(#REF!&gt;=4,4,0)+
IF(#REF!="yes",3,0)+
IF(#REF!="High Charges",3,0)+
IF(#REF!&gt;250,4,0)+
IF(#REF!="no",1,0)+
IF(#REF!="Heavy Domestic User",2,0)</f>
        <v>#REF!</v>
      </c>
      <c r="AG2391" t="e">
        <f>IF(#REF!&gt;=10,"High Risk", IF(#REF!&gt;=5,"Medium Risk","Low Risk"))</f>
        <v>#REF!</v>
      </c>
      <c r="AH2391" t="e">
        <f>#REF! + #REF! + #REF! + #REF!</f>
        <v>#REF!</v>
      </c>
    </row>
    <row r="2392" spans="1:34" x14ac:dyDescent="0.35">
      <c r="A2392">
        <v>2391</v>
      </c>
      <c r="B2392" t="s">
        <v>33</v>
      </c>
      <c r="C2392">
        <v>155</v>
      </c>
      <c r="D2392" t="s">
        <v>25</v>
      </c>
      <c r="E2392" t="s">
        <v>23</v>
      </c>
      <c r="F2392" t="s">
        <v>22</v>
      </c>
      <c r="G2392">
        <v>0</v>
      </c>
      <c r="H2392">
        <v>163.1</v>
      </c>
      <c r="I2392">
        <v>94</v>
      </c>
      <c r="J2392">
        <v>27.73</v>
      </c>
      <c r="K2392">
        <v>291.7</v>
      </c>
      <c r="L2392">
        <v>108</v>
      </c>
      <c r="M2392">
        <v>24.79</v>
      </c>
      <c r="N2392">
        <v>96.4</v>
      </c>
      <c r="O2392">
        <v>111</v>
      </c>
      <c r="P2392">
        <v>4.34</v>
      </c>
      <c r="Q2392">
        <v>11.2</v>
      </c>
      <c r="R2392">
        <v>3</v>
      </c>
      <c r="S2392">
        <v>3.02</v>
      </c>
      <c r="T2392">
        <v>0</v>
      </c>
      <c r="U2392" t="s">
        <v>22</v>
      </c>
      <c r="V2392" t="e">
        <f>IF(#REF! = "yes", 1, 0)</f>
        <v>#REF!</v>
      </c>
      <c r="W2392" t="e">
        <f>IF(#REF! &lt;= 1, "0-1 Calls", IF(#REF! &lt;= 3, "2-3 Calls", IF(#REF! &lt;=5, "4-5 Calls", "6+ Calls")))</f>
        <v>#REF!</v>
      </c>
      <c r="X2392" t="e">
        <f>IF(#REF! &lt;= 50, "0-50", IF(#REF! &lt;=100, "51-100", IF(#REF! &lt;= 150, "101-150", "151+")))</f>
        <v>#REF!</v>
      </c>
      <c r="Y2392" t="e">
        <f>IF(#REF! &lt;= 3, "Low Charges", "High Charges")</f>
        <v>#REF!</v>
      </c>
      <c r="Z2392" t="e">
        <f>IF(#REF!&lt;=80,"Low Calls",
IF(#REF!&lt;=120,"Medium Calls","High Calls"))</f>
        <v>#REF!</v>
      </c>
      <c r="AA2392" t="e">
        <f>IF(#REF!&lt;=15,"Low Charges",
IF(#REF!&lt;=20,"Medium Charges","High Charges"))</f>
        <v>#REF!</v>
      </c>
      <c r="AB2392" t="e">
        <f>IF(AND(#REF!&gt;180, #REF!&gt;200), "Heavy Doemstic User", IF(#REF!&gt;10, "Interntional User", IF(AND(#REF!&lt;180, #REF!&lt;200,#REF!&lt;200), "Light User", "Balanced User")))</f>
        <v>#REF!</v>
      </c>
      <c r="AC2392" t="e">
        <f>IF(#REF! = 0, "No Usage", IF(#REF! &lt;= 20, "Low Usage", IF(#REF! &lt;= 40, "Medium Usgae", "High Usage")))</f>
        <v>#REF!</v>
      </c>
      <c r="AD2392" t="e">
        <f>IF(#REF!&lt;=150,"Low Usage", IF(#REF!&lt;=200,"Medium Usage", IF(#REF!&lt;=250,"High Usage","Very High Usage")))</f>
        <v>#REF!</v>
      </c>
      <c r="AE2392" t="e">
        <f>IF(#REF!&lt;=5,"Low Calls", IF(#REF!&lt;=10, "Medium Calls", "High Calls"))</f>
        <v>#REF!</v>
      </c>
      <c r="AF2392" t="e">
        <f xml:space="preserve">
IF(#REF!&gt;=4,4,0)+
IF(#REF!="yes",3,0)+
IF(#REF!="High Charges",3,0)+
IF(#REF!&gt;250,4,0)+
IF(#REF!="no",1,0)+
IF(#REF!="Heavy Domestic User",2,0)</f>
        <v>#REF!</v>
      </c>
      <c r="AG2392" t="e">
        <f>IF(#REF!&gt;=10,"High Risk", IF(#REF!&gt;=5,"Medium Risk","Low Risk"))</f>
        <v>#REF!</v>
      </c>
      <c r="AH2392" t="e">
        <f>#REF! + #REF! + #REF! + #REF!</f>
        <v>#REF!</v>
      </c>
    </row>
    <row r="2393" spans="1:34" x14ac:dyDescent="0.35">
      <c r="A2393">
        <v>2392</v>
      </c>
      <c r="B2393" t="s">
        <v>53</v>
      </c>
      <c r="C2393">
        <v>87</v>
      </c>
      <c r="D2393" t="s">
        <v>21</v>
      </c>
      <c r="E2393" t="s">
        <v>22</v>
      </c>
      <c r="F2393" t="s">
        <v>22</v>
      </c>
      <c r="G2393">
        <v>0</v>
      </c>
      <c r="H2393">
        <v>198.3</v>
      </c>
      <c r="I2393">
        <v>80</v>
      </c>
      <c r="J2393">
        <v>33.71</v>
      </c>
      <c r="K2393">
        <v>187</v>
      </c>
      <c r="L2393">
        <v>89</v>
      </c>
      <c r="M2393">
        <v>15.9</v>
      </c>
      <c r="N2393">
        <v>133.5</v>
      </c>
      <c r="O2393">
        <v>96</v>
      </c>
      <c r="P2393">
        <v>6.01</v>
      </c>
      <c r="Q2393">
        <v>16.600000000000001</v>
      </c>
      <c r="R2393">
        <v>4</v>
      </c>
      <c r="S2393">
        <v>4.4800000000000004</v>
      </c>
      <c r="T2393">
        <v>2</v>
      </c>
      <c r="U2393" t="s">
        <v>22</v>
      </c>
      <c r="V2393" t="e">
        <f>IF(#REF! = "yes", 1, 0)</f>
        <v>#REF!</v>
      </c>
      <c r="W2393" t="e">
        <f>IF(#REF! &lt;= 1, "0-1 Calls", IF(#REF! &lt;= 3, "2-3 Calls", IF(#REF! &lt;=5, "4-5 Calls", "6+ Calls")))</f>
        <v>#REF!</v>
      </c>
      <c r="X2393" t="e">
        <f>IF(#REF! &lt;= 50, "0-50", IF(#REF! &lt;=100, "51-100", IF(#REF! &lt;= 150, "101-150", "151+")))</f>
        <v>#REF!</v>
      </c>
      <c r="Y2393" t="e">
        <f>IF(#REF! &lt;= 3, "Low Charges", "High Charges")</f>
        <v>#REF!</v>
      </c>
      <c r="Z2393" t="e">
        <f>IF(#REF!&lt;=80,"Low Calls",
IF(#REF!&lt;=120,"Medium Calls","High Calls"))</f>
        <v>#REF!</v>
      </c>
      <c r="AA2393" t="e">
        <f>IF(#REF!&lt;=15,"Low Charges",
IF(#REF!&lt;=20,"Medium Charges","High Charges"))</f>
        <v>#REF!</v>
      </c>
      <c r="AB2393" t="e">
        <f>IF(AND(#REF!&gt;180, #REF!&gt;200), "Heavy Doemstic User", IF(#REF!&gt;10, "Interntional User", IF(AND(#REF!&lt;180, #REF!&lt;200,#REF!&lt;200), "Light User", "Balanced User")))</f>
        <v>#REF!</v>
      </c>
      <c r="AC2393" t="e">
        <f>IF(#REF! = 0, "No Usage", IF(#REF! &lt;= 20, "Low Usage", IF(#REF! &lt;= 40, "Medium Usgae", "High Usage")))</f>
        <v>#REF!</v>
      </c>
      <c r="AD2393" t="e">
        <f>IF(#REF!&lt;=150,"Low Usage", IF(#REF!&lt;=200,"Medium Usage", IF(#REF!&lt;=250,"High Usage","Very High Usage")))</f>
        <v>#REF!</v>
      </c>
      <c r="AE2393" t="e">
        <f>IF(#REF!&lt;=5,"Low Calls", IF(#REF!&lt;=10, "Medium Calls", "High Calls"))</f>
        <v>#REF!</v>
      </c>
      <c r="AF2393" t="e">
        <f xml:space="preserve">
IF(#REF!&gt;=4,4,0)+
IF(#REF!="yes",3,0)+
IF(#REF!="High Charges",3,0)+
IF(#REF!&gt;250,4,0)+
IF(#REF!="no",1,0)+
IF(#REF!="Heavy Domestic User",2,0)</f>
        <v>#REF!</v>
      </c>
      <c r="AG2393" t="e">
        <f>IF(#REF!&gt;=10,"High Risk", IF(#REF!&gt;=5,"Medium Risk","Low Risk"))</f>
        <v>#REF!</v>
      </c>
      <c r="AH2393" t="e">
        <f>#REF! + #REF! + #REF! + #REF!</f>
        <v>#REF!</v>
      </c>
    </row>
    <row r="2394" spans="1:34" x14ac:dyDescent="0.35">
      <c r="A2394">
        <v>2393</v>
      </c>
      <c r="B2394" t="s">
        <v>52</v>
      </c>
      <c r="C2394">
        <v>81</v>
      </c>
      <c r="D2394" t="s">
        <v>21</v>
      </c>
      <c r="E2394" t="s">
        <v>22</v>
      </c>
      <c r="F2394" t="s">
        <v>22</v>
      </c>
      <c r="G2394">
        <v>0</v>
      </c>
      <c r="H2394">
        <v>324.7</v>
      </c>
      <c r="I2394">
        <v>48</v>
      </c>
      <c r="J2394">
        <v>55.2</v>
      </c>
      <c r="K2394">
        <v>236.4</v>
      </c>
      <c r="L2394">
        <v>82</v>
      </c>
      <c r="M2394">
        <v>20.09</v>
      </c>
      <c r="N2394">
        <v>187.6</v>
      </c>
      <c r="O2394">
        <v>78</v>
      </c>
      <c r="P2394">
        <v>8.44</v>
      </c>
      <c r="Q2394">
        <v>13.1</v>
      </c>
      <c r="R2394">
        <v>5</v>
      </c>
      <c r="S2394">
        <v>3.54</v>
      </c>
      <c r="T2394">
        <v>0</v>
      </c>
      <c r="U2394" t="s">
        <v>23</v>
      </c>
      <c r="V2394" t="e">
        <f>IF(#REF! = "yes", 1, 0)</f>
        <v>#REF!</v>
      </c>
      <c r="W2394" t="e">
        <f>IF(#REF! &lt;= 1, "0-1 Calls", IF(#REF! &lt;= 3, "2-3 Calls", IF(#REF! &lt;=5, "4-5 Calls", "6+ Calls")))</f>
        <v>#REF!</v>
      </c>
      <c r="X2394" t="e">
        <f>IF(#REF! &lt;= 50, "0-50", IF(#REF! &lt;=100, "51-100", IF(#REF! &lt;= 150, "101-150", "151+")))</f>
        <v>#REF!</v>
      </c>
      <c r="Y2394" t="e">
        <f>IF(#REF! &lt;= 3, "Low Charges", "High Charges")</f>
        <v>#REF!</v>
      </c>
      <c r="Z2394" t="e">
        <f>IF(#REF!&lt;=80,"Low Calls",
IF(#REF!&lt;=120,"Medium Calls","High Calls"))</f>
        <v>#REF!</v>
      </c>
      <c r="AA2394" t="e">
        <f>IF(#REF!&lt;=15,"Low Charges",
IF(#REF!&lt;=20,"Medium Charges","High Charges"))</f>
        <v>#REF!</v>
      </c>
      <c r="AB2394" t="e">
        <f>IF(AND(#REF!&gt;180, #REF!&gt;200), "Heavy Doemstic User", IF(#REF!&gt;10, "Interntional User", IF(AND(#REF!&lt;180, #REF!&lt;200,#REF!&lt;200), "Light User", "Balanced User")))</f>
        <v>#REF!</v>
      </c>
      <c r="AC2394" t="e">
        <f>IF(#REF! = 0, "No Usage", IF(#REF! &lt;= 20, "Low Usage", IF(#REF! &lt;= 40, "Medium Usgae", "High Usage")))</f>
        <v>#REF!</v>
      </c>
      <c r="AD2394" t="e">
        <f>IF(#REF!&lt;=150,"Low Usage", IF(#REF!&lt;=200,"Medium Usage", IF(#REF!&lt;=250,"High Usage","Very High Usage")))</f>
        <v>#REF!</v>
      </c>
      <c r="AE2394" t="e">
        <f>IF(#REF!&lt;=5,"Low Calls", IF(#REF!&lt;=10, "Medium Calls", "High Calls"))</f>
        <v>#REF!</v>
      </c>
      <c r="AF2394" t="e">
        <f xml:space="preserve">
IF(#REF!&gt;=4,4,0)+
IF(#REF!="yes",3,0)+
IF(#REF!="High Charges",3,0)+
IF(#REF!&gt;250,4,0)+
IF(#REF!="no",1,0)+
IF(#REF!="Heavy Domestic User",2,0)</f>
        <v>#REF!</v>
      </c>
      <c r="AG2394" t="e">
        <f>IF(#REF!&gt;=10,"High Risk", IF(#REF!&gt;=5,"Medium Risk","Low Risk"))</f>
        <v>#REF!</v>
      </c>
      <c r="AH2394" t="e">
        <f>#REF! + #REF! + #REF! + #REF!</f>
        <v>#REF!</v>
      </c>
    </row>
    <row r="2395" spans="1:34" x14ac:dyDescent="0.35">
      <c r="A2395">
        <v>2394</v>
      </c>
      <c r="B2395" t="s">
        <v>38</v>
      </c>
      <c r="C2395">
        <v>99</v>
      </c>
      <c r="D2395" t="s">
        <v>28</v>
      </c>
      <c r="E2395" t="s">
        <v>22</v>
      </c>
      <c r="F2395" t="s">
        <v>22</v>
      </c>
      <c r="G2395">
        <v>0</v>
      </c>
      <c r="H2395">
        <v>128.30000000000001</v>
      </c>
      <c r="I2395">
        <v>78</v>
      </c>
      <c r="J2395">
        <v>21.81</v>
      </c>
      <c r="K2395">
        <v>215.3</v>
      </c>
      <c r="L2395">
        <v>120</v>
      </c>
      <c r="M2395">
        <v>18.3</v>
      </c>
      <c r="N2395">
        <v>143.69999999999999</v>
      </c>
      <c r="O2395">
        <v>140</v>
      </c>
      <c r="P2395">
        <v>6.47</v>
      </c>
      <c r="Q2395">
        <v>14.3</v>
      </c>
      <c r="R2395">
        <v>9</v>
      </c>
      <c r="S2395">
        <v>3.86</v>
      </c>
      <c r="T2395">
        <v>2</v>
      </c>
      <c r="U2395" t="s">
        <v>22</v>
      </c>
      <c r="V2395" t="e">
        <f>IF(#REF! = "yes", 1, 0)</f>
        <v>#REF!</v>
      </c>
      <c r="W2395" t="e">
        <f>IF(#REF! &lt;= 1, "0-1 Calls", IF(#REF! &lt;= 3, "2-3 Calls", IF(#REF! &lt;=5, "4-5 Calls", "6+ Calls")))</f>
        <v>#REF!</v>
      </c>
      <c r="X2395" t="e">
        <f>IF(#REF! &lt;= 50, "0-50", IF(#REF! &lt;=100, "51-100", IF(#REF! &lt;= 150, "101-150", "151+")))</f>
        <v>#REF!</v>
      </c>
      <c r="Y2395" t="e">
        <f>IF(#REF! &lt;= 3, "Low Charges", "High Charges")</f>
        <v>#REF!</v>
      </c>
      <c r="Z2395" t="e">
        <f>IF(#REF!&lt;=80,"Low Calls",
IF(#REF!&lt;=120,"Medium Calls","High Calls"))</f>
        <v>#REF!</v>
      </c>
      <c r="AA2395" t="e">
        <f>IF(#REF!&lt;=15,"Low Charges",
IF(#REF!&lt;=20,"Medium Charges","High Charges"))</f>
        <v>#REF!</v>
      </c>
      <c r="AB2395" t="e">
        <f>IF(AND(#REF!&gt;180, #REF!&gt;200), "Heavy Doemstic User", IF(#REF!&gt;10, "Interntional User", IF(AND(#REF!&lt;180, #REF!&lt;200,#REF!&lt;200), "Light User", "Balanced User")))</f>
        <v>#REF!</v>
      </c>
      <c r="AC2395" t="e">
        <f>IF(#REF! = 0, "No Usage", IF(#REF! &lt;= 20, "Low Usage", IF(#REF! &lt;= 40, "Medium Usgae", "High Usage")))</f>
        <v>#REF!</v>
      </c>
      <c r="AD2395" t="e">
        <f>IF(#REF!&lt;=150,"Low Usage", IF(#REF!&lt;=200,"Medium Usage", IF(#REF!&lt;=250,"High Usage","Very High Usage")))</f>
        <v>#REF!</v>
      </c>
      <c r="AE2395" t="e">
        <f>IF(#REF!&lt;=5,"Low Calls", IF(#REF!&lt;=10, "Medium Calls", "High Calls"))</f>
        <v>#REF!</v>
      </c>
      <c r="AF2395" t="e">
        <f xml:space="preserve">
IF(#REF!&gt;=4,4,0)+
IF(#REF!="yes",3,0)+
IF(#REF!="High Charges",3,0)+
IF(#REF!&gt;250,4,0)+
IF(#REF!="no",1,0)+
IF(#REF!="Heavy Domestic User",2,0)</f>
        <v>#REF!</v>
      </c>
      <c r="AG2395" t="e">
        <f>IF(#REF!&gt;=10,"High Risk", IF(#REF!&gt;=5,"Medium Risk","Low Risk"))</f>
        <v>#REF!</v>
      </c>
      <c r="AH2395" t="e">
        <f>#REF! + #REF! + #REF! + #REF!</f>
        <v>#REF!</v>
      </c>
    </row>
    <row r="2396" spans="1:34" x14ac:dyDescent="0.35">
      <c r="A2396">
        <v>2395</v>
      </c>
      <c r="B2396" t="s">
        <v>57</v>
      </c>
      <c r="C2396">
        <v>131</v>
      </c>
      <c r="D2396" t="s">
        <v>28</v>
      </c>
      <c r="E2396" t="s">
        <v>22</v>
      </c>
      <c r="F2396" t="s">
        <v>22</v>
      </c>
      <c r="G2396">
        <v>0</v>
      </c>
      <c r="H2396">
        <v>187.9</v>
      </c>
      <c r="I2396">
        <v>110</v>
      </c>
      <c r="J2396">
        <v>31.94</v>
      </c>
      <c r="K2396">
        <v>200.5</v>
      </c>
      <c r="L2396">
        <v>101</v>
      </c>
      <c r="M2396">
        <v>17.04</v>
      </c>
      <c r="N2396">
        <v>202.6</v>
      </c>
      <c r="O2396">
        <v>125</v>
      </c>
      <c r="P2396">
        <v>9.1199999999999992</v>
      </c>
      <c r="Q2396">
        <v>10.199999999999999</v>
      </c>
      <c r="R2396">
        <v>11</v>
      </c>
      <c r="S2396">
        <v>2.75</v>
      </c>
      <c r="T2396">
        <v>2</v>
      </c>
      <c r="U2396" t="s">
        <v>22</v>
      </c>
      <c r="V2396" t="e">
        <f>IF(#REF! = "yes", 1, 0)</f>
        <v>#REF!</v>
      </c>
      <c r="W2396" t="e">
        <f>IF(#REF! &lt;= 1, "0-1 Calls", IF(#REF! &lt;= 3, "2-3 Calls", IF(#REF! &lt;=5, "4-5 Calls", "6+ Calls")))</f>
        <v>#REF!</v>
      </c>
      <c r="X2396" t="e">
        <f>IF(#REF! &lt;= 50, "0-50", IF(#REF! &lt;=100, "51-100", IF(#REF! &lt;= 150, "101-150", "151+")))</f>
        <v>#REF!</v>
      </c>
      <c r="Y2396" t="e">
        <f>IF(#REF! &lt;= 3, "Low Charges", "High Charges")</f>
        <v>#REF!</v>
      </c>
      <c r="Z2396" t="e">
        <f>IF(#REF!&lt;=80,"Low Calls",
IF(#REF!&lt;=120,"Medium Calls","High Calls"))</f>
        <v>#REF!</v>
      </c>
      <c r="AA2396" t="e">
        <f>IF(#REF!&lt;=15,"Low Charges",
IF(#REF!&lt;=20,"Medium Charges","High Charges"))</f>
        <v>#REF!</v>
      </c>
      <c r="AB2396" t="e">
        <f>IF(AND(#REF!&gt;180, #REF!&gt;200), "Heavy Doemstic User", IF(#REF!&gt;10, "Interntional User", IF(AND(#REF!&lt;180, #REF!&lt;200,#REF!&lt;200), "Light User", "Balanced User")))</f>
        <v>#REF!</v>
      </c>
      <c r="AC2396" t="e">
        <f>IF(#REF! = 0, "No Usage", IF(#REF! &lt;= 20, "Low Usage", IF(#REF! &lt;= 40, "Medium Usgae", "High Usage")))</f>
        <v>#REF!</v>
      </c>
      <c r="AD2396" t="e">
        <f>IF(#REF!&lt;=150,"Low Usage", IF(#REF!&lt;=200,"Medium Usage", IF(#REF!&lt;=250,"High Usage","Very High Usage")))</f>
        <v>#REF!</v>
      </c>
      <c r="AE2396" t="e">
        <f>IF(#REF!&lt;=5,"Low Calls", IF(#REF!&lt;=10, "Medium Calls", "High Calls"))</f>
        <v>#REF!</v>
      </c>
      <c r="AF2396" t="e">
        <f xml:space="preserve">
IF(#REF!&gt;=4,4,0)+
IF(#REF!="yes",3,0)+
IF(#REF!="High Charges",3,0)+
IF(#REF!&gt;250,4,0)+
IF(#REF!="no",1,0)+
IF(#REF!="Heavy Domestic User",2,0)</f>
        <v>#REF!</v>
      </c>
      <c r="AG2396" t="e">
        <f>IF(#REF!&gt;=10,"High Risk", IF(#REF!&gt;=5,"Medium Risk","Low Risk"))</f>
        <v>#REF!</v>
      </c>
      <c r="AH2396" t="e">
        <f>#REF! + #REF! + #REF! + #REF!</f>
        <v>#REF!</v>
      </c>
    </row>
    <row r="2397" spans="1:34" x14ac:dyDescent="0.35">
      <c r="A2397">
        <v>2396</v>
      </c>
      <c r="B2397" t="s">
        <v>68</v>
      </c>
      <c r="C2397">
        <v>89</v>
      </c>
      <c r="D2397" t="s">
        <v>28</v>
      </c>
      <c r="E2397" t="s">
        <v>22</v>
      </c>
      <c r="F2397" t="s">
        <v>22</v>
      </c>
      <c r="G2397">
        <v>0</v>
      </c>
      <c r="H2397">
        <v>129.19999999999999</v>
      </c>
      <c r="I2397">
        <v>71</v>
      </c>
      <c r="J2397">
        <v>21.96</v>
      </c>
      <c r="K2397">
        <v>214.1</v>
      </c>
      <c r="L2397">
        <v>68</v>
      </c>
      <c r="M2397">
        <v>18.2</v>
      </c>
      <c r="N2397">
        <v>214.9</v>
      </c>
      <c r="O2397">
        <v>100</v>
      </c>
      <c r="P2397">
        <v>9.67</v>
      </c>
      <c r="Q2397">
        <v>10.3</v>
      </c>
      <c r="R2397">
        <v>4</v>
      </c>
      <c r="S2397">
        <v>2.78</v>
      </c>
      <c r="T2397">
        <v>5</v>
      </c>
      <c r="U2397" t="s">
        <v>23</v>
      </c>
      <c r="V2397" t="e">
        <f>IF(#REF! = "yes", 1, 0)</f>
        <v>#REF!</v>
      </c>
      <c r="W2397" t="e">
        <f>IF(#REF! &lt;= 1, "0-1 Calls", IF(#REF! &lt;= 3, "2-3 Calls", IF(#REF! &lt;=5, "4-5 Calls", "6+ Calls")))</f>
        <v>#REF!</v>
      </c>
      <c r="X2397" t="e">
        <f>IF(#REF! &lt;= 50, "0-50", IF(#REF! &lt;=100, "51-100", IF(#REF! &lt;= 150, "101-150", "151+")))</f>
        <v>#REF!</v>
      </c>
      <c r="Y2397" t="e">
        <f>IF(#REF! &lt;= 3, "Low Charges", "High Charges")</f>
        <v>#REF!</v>
      </c>
      <c r="Z2397" t="e">
        <f>IF(#REF!&lt;=80,"Low Calls",
IF(#REF!&lt;=120,"Medium Calls","High Calls"))</f>
        <v>#REF!</v>
      </c>
      <c r="AA2397" t="e">
        <f>IF(#REF!&lt;=15,"Low Charges",
IF(#REF!&lt;=20,"Medium Charges","High Charges"))</f>
        <v>#REF!</v>
      </c>
      <c r="AB2397" t="e">
        <f>IF(AND(#REF!&gt;180, #REF!&gt;200), "Heavy Doemstic User", IF(#REF!&gt;10, "Interntional User", IF(AND(#REF!&lt;180, #REF!&lt;200,#REF!&lt;200), "Light User", "Balanced User")))</f>
        <v>#REF!</v>
      </c>
      <c r="AC2397" t="e">
        <f>IF(#REF! = 0, "No Usage", IF(#REF! &lt;= 20, "Low Usage", IF(#REF! &lt;= 40, "Medium Usgae", "High Usage")))</f>
        <v>#REF!</v>
      </c>
      <c r="AD2397" t="e">
        <f>IF(#REF!&lt;=150,"Low Usage", IF(#REF!&lt;=200,"Medium Usage", IF(#REF!&lt;=250,"High Usage","Very High Usage")))</f>
        <v>#REF!</v>
      </c>
      <c r="AE2397" t="e">
        <f>IF(#REF!&lt;=5,"Low Calls", IF(#REF!&lt;=10, "Medium Calls", "High Calls"))</f>
        <v>#REF!</v>
      </c>
      <c r="AF2397" t="e">
        <f xml:space="preserve">
IF(#REF!&gt;=4,4,0)+
IF(#REF!="yes",3,0)+
IF(#REF!="High Charges",3,0)+
IF(#REF!&gt;250,4,0)+
IF(#REF!="no",1,0)+
IF(#REF!="Heavy Domestic User",2,0)</f>
        <v>#REF!</v>
      </c>
      <c r="AG2397" t="e">
        <f>IF(#REF!&gt;=10,"High Risk", IF(#REF!&gt;=5,"Medium Risk","Low Risk"))</f>
        <v>#REF!</v>
      </c>
      <c r="AH2397" t="e">
        <f>#REF! + #REF! + #REF! + #REF!</f>
        <v>#REF!</v>
      </c>
    </row>
    <row r="2398" spans="1:34" x14ac:dyDescent="0.35">
      <c r="A2398">
        <v>2397</v>
      </c>
      <c r="B2398" t="s">
        <v>67</v>
      </c>
      <c r="C2398">
        <v>123</v>
      </c>
      <c r="D2398" t="s">
        <v>21</v>
      </c>
      <c r="E2398" t="s">
        <v>23</v>
      </c>
      <c r="F2398" t="s">
        <v>22</v>
      </c>
      <c r="G2398">
        <v>0</v>
      </c>
      <c r="H2398">
        <v>125.5</v>
      </c>
      <c r="I2398">
        <v>106</v>
      </c>
      <c r="J2398">
        <v>21.34</v>
      </c>
      <c r="K2398">
        <v>128.9</v>
      </c>
      <c r="L2398">
        <v>96</v>
      </c>
      <c r="M2398">
        <v>10.96</v>
      </c>
      <c r="N2398">
        <v>251.9</v>
      </c>
      <c r="O2398">
        <v>129</v>
      </c>
      <c r="P2398">
        <v>11.34</v>
      </c>
      <c r="Q2398">
        <v>6.3</v>
      </c>
      <c r="R2398">
        <v>6</v>
      </c>
      <c r="S2398">
        <v>1.7</v>
      </c>
      <c r="T2398">
        <v>4</v>
      </c>
      <c r="U2398" t="s">
        <v>23</v>
      </c>
      <c r="V2398" t="e">
        <f>IF(#REF! = "yes", 1, 0)</f>
        <v>#REF!</v>
      </c>
      <c r="W2398" t="e">
        <f>IF(#REF! &lt;= 1, "0-1 Calls", IF(#REF! &lt;= 3, "2-3 Calls", IF(#REF! &lt;=5, "4-5 Calls", "6+ Calls")))</f>
        <v>#REF!</v>
      </c>
      <c r="X2398" t="e">
        <f>IF(#REF! &lt;= 50, "0-50", IF(#REF! &lt;=100, "51-100", IF(#REF! &lt;= 150, "101-150", "151+")))</f>
        <v>#REF!</v>
      </c>
      <c r="Y2398" t="e">
        <f>IF(#REF! &lt;= 3, "Low Charges", "High Charges")</f>
        <v>#REF!</v>
      </c>
      <c r="Z2398" t="e">
        <f>IF(#REF!&lt;=80,"Low Calls",
IF(#REF!&lt;=120,"Medium Calls","High Calls"))</f>
        <v>#REF!</v>
      </c>
      <c r="AA2398" t="e">
        <f>IF(#REF!&lt;=15,"Low Charges",
IF(#REF!&lt;=20,"Medium Charges","High Charges"))</f>
        <v>#REF!</v>
      </c>
      <c r="AB2398" t="e">
        <f>IF(AND(#REF!&gt;180, #REF!&gt;200), "Heavy Doemstic User", IF(#REF!&gt;10, "Interntional User", IF(AND(#REF!&lt;180, #REF!&lt;200,#REF!&lt;200), "Light User", "Balanced User")))</f>
        <v>#REF!</v>
      </c>
      <c r="AC2398" t="e">
        <f>IF(#REF! = 0, "No Usage", IF(#REF! &lt;= 20, "Low Usage", IF(#REF! &lt;= 40, "Medium Usgae", "High Usage")))</f>
        <v>#REF!</v>
      </c>
      <c r="AD2398" t="e">
        <f>IF(#REF!&lt;=150,"Low Usage", IF(#REF!&lt;=200,"Medium Usage", IF(#REF!&lt;=250,"High Usage","Very High Usage")))</f>
        <v>#REF!</v>
      </c>
      <c r="AE2398" t="e">
        <f>IF(#REF!&lt;=5,"Low Calls", IF(#REF!&lt;=10, "Medium Calls", "High Calls"))</f>
        <v>#REF!</v>
      </c>
      <c r="AF2398" t="e">
        <f xml:space="preserve">
IF(#REF!&gt;=4,4,0)+
IF(#REF!="yes",3,0)+
IF(#REF!="High Charges",3,0)+
IF(#REF!&gt;250,4,0)+
IF(#REF!="no",1,0)+
IF(#REF!="Heavy Domestic User",2,0)</f>
        <v>#REF!</v>
      </c>
      <c r="AG2398" t="e">
        <f>IF(#REF!&gt;=10,"High Risk", IF(#REF!&gt;=5,"Medium Risk","Low Risk"))</f>
        <v>#REF!</v>
      </c>
      <c r="AH2398" t="e">
        <f>#REF! + #REF! + #REF! + #REF!</f>
        <v>#REF!</v>
      </c>
    </row>
    <row r="2399" spans="1:34" x14ac:dyDescent="0.35">
      <c r="A2399">
        <v>2398</v>
      </c>
      <c r="B2399" t="s">
        <v>67</v>
      </c>
      <c r="C2399">
        <v>130</v>
      </c>
      <c r="D2399" t="s">
        <v>28</v>
      </c>
      <c r="E2399" t="s">
        <v>22</v>
      </c>
      <c r="F2399" t="s">
        <v>23</v>
      </c>
      <c r="G2399">
        <v>26</v>
      </c>
      <c r="H2399">
        <v>257.2</v>
      </c>
      <c r="I2399">
        <v>108</v>
      </c>
      <c r="J2399">
        <v>43.72</v>
      </c>
      <c r="K2399">
        <v>224.3</v>
      </c>
      <c r="L2399">
        <v>122</v>
      </c>
      <c r="M2399">
        <v>19.07</v>
      </c>
      <c r="N2399">
        <v>204</v>
      </c>
      <c r="O2399">
        <v>118</v>
      </c>
      <c r="P2399">
        <v>9.18</v>
      </c>
      <c r="Q2399">
        <v>12.6</v>
      </c>
      <c r="R2399">
        <v>4</v>
      </c>
      <c r="S2399">
        <v>3.4</v>
      </c>
      <c r="T2399">
        <v>1</v>
      </c>
      <c r="U2399" t="s">
        <v>22</v>
      </c>
      <c r="V2399" t="e">
        <f>IF(#REF! = "yes", 1, 0)</f>
        <v>#REF!</v>
      </c>
      <c r="W2399" t="e">
        <f>IF(#REF! &lt;= 1, "0-1 Calls", IF(#REF! &lt;= 3, "2-3 Calls", IF(#REF! &lt;=5, "4-5 Calls", "6+ Calls")))</f>
        <v>#REF!</v>
      </c>
      <c r="X2399" t="e">
        <f>IF(#REF! &lt;= 50, "0-50", IF(#REF! &lt;=100, "51-100", IF(#REF! &lt;= 150, "101-150", "151+")))</f>
        <v>#REF!</v>
      </c>
      <c r="Y2399" t="e">
        <f>IF(#REF! &lt;= 3, "Low Charges", "High Charges")</f>
        <v>#REF!</v>
      </c>
      <c r="Z2399" t="e">
        <f>IF(#REF!&lt;=80,"Low Calls",
IF(#REF!&lt;=120,"Medium Calls","High Calls"))</f>
        <v>#REF!</v>
      </c>
      <c r="AA2399" t="e">
        <f>IF(#REF!&lt;=15,"Low Charges",
IF(#REF!&lt;=20,"Medium Charges","High Charges"))</f>
        <v>#REF!</v>
      </c>
      <c r="AB2399" t="e">
        <f>IF(AND(#REF!&gt;180, #REF!&gt;200), "Heavy Doemstic User", IF(#REF!&gt;10, "Interntional User", IF(AND(#REF!&lt;180, #REF!&lt;200,#REF!&lt;200), "Light User", "Balanced User")))</f>
        <v>#REF!</v>
      </c>
      <c r="AC2399" t="e">
        <f>IF(#REF! = 0, "No Usage", IF(#REF! &lt;= 20, "Low Usage", IF(#REF! &lt;= 40, "Medium Usgae", "High Usage")))</f>
        <v>#REF!</v>
      </c>
      <c r="AD2399" t="e">
        <f>IF(#REF!&lt;=150,"Low Usage", IF(#REF!&lt;=200,"Medium Usage", IF(#REF!&lt;=250,"High Usage","Very High Usage")))</f>
        <v>#REF!</v>
      </c>
      <c r="AE2399" t="e">
        <f>IF(#REF!&lt;=5,"Low Calls", IF(#REF!&lt;=10, "Medium Calls", "High Calls"))</f>
        <v>#REF!</v>
      </c>
      <c r="AF2399" t="e">
        <f xml:space="preserve">
IF(#REF!&gt;=4,4,0)+
IF(#REF!="yes",3,0)+
IF(#REF!="High Charges",3,0)+
IF(#REF!&gt;250,4,0)+
IF(#REF!="no",1,0)+
IF(#REF!="Heavy Domestic User",2,0)</f>
        <v>#REF!</v>
      </c>
      <c r="AG2399" t="e">
        <f>IF(#REF!&gt;=10,"High Risk", IF(#REF!&gt;=5,"Medium Risk","Low Risk"))</f>
        <v>#REF!</v>
      </c>
      <c r="AH2399" t="e">
        <f>#REF! + #REF! + #REF! + #REF!</f>
        <v>#REF!</v>
      </c>
    </row>
    <row r="2400" spans="1:34" x14ac:dyDescent="0.35">
      <c r="A2400">
        <v>2399</v>
      </c>
      <c r="B2400" t="s">
        <v>45</v>
      </c>
      <c r="C2400">
        <v>99</v>
      </c>
      <c r="D2400" t="s">
        <v>21</v>
      </c>
      <c r="E2400" t="s">
        <v>22</v>
      </c>
      <c r="F2400" t="s">
        <v>22</v>
      </c>
      <c r="G2400">
        <v>0</v>
      </c>
      <c r="H2400">
        <v>124.6</v>
      </c>
      <c r="I2400">
        <v>90</v>
      </c>
      <c r="J2400">
        <v>21.18</v>
      </c>
      <c r="K2400">
        <v>146.4</v>
      </c>
      <c r="L2400">
        <v>70</v>
      </c>
      <c r="M2400">
        <v>12.44</v>
      </c>
      <c r="N2400">
        <v>169.4</v>
      </c>
      <c r="O2400">
        <v>95</v>
      </c>
      <c r="P2400">
        <v>7.62</v>
      </c>
      <c r="Q2400">
        <v>10.5</v>
      </c>
      <c r="R2400">
        <v>6</v>
      </c>
      <c r="S2400">
        <v>2.84</v>
      </c>
      <c r="T2400">
        <v>1</v>
      </c>
      <c r="U2400" t="s">
        <v>22</v>
      </c>
      <c r="V2400" t="e">
        <f>IF(#REF! = "yes", 1, 0)</f>
        <v>#REF!</v>
      </c>
      <c r="W2400" t="e">
        <f>IF(#REF! &lt;= 1, "0-1 Calls", IF(#REF! &lt;= 3, "2-3 Calls", IF(#REF! &lt;=5, "4-5 Calls", "6+ Calls")))</f>
        <v>#REF!</v>
      </c>
      <c r="X2400" t="e">
        <f>IF(#REF! &lt;= 50, "0-50", IF(#REF! &lt;=100, "51-100", IF(#REF! &lt;= 150, "101-150", "151+")))</f>
        <v>#REF!</v>
      </c>
      <c r="Y2400" t="e">
        <f>IF(#REF! &lt;= 3, "Low Charges", "High Charges")</f>
        <v>#REF!</v>
      </c>
      <c r="Z2400" t="e">
        <f>IF(#REF!&lt;=80,"Low Calls",
IF(#REF!&lt;=120,"Medium Calls","High Calls"))</f>
        <v>#REF!</v>
      </c>
      <c r="AA2400" t="e">
        <f>IF(#REF!&lt;=15,"Low Charges",
IF(#REF!&lt;=20,"Medium Charges","High Charges"))</f>
        <v>#REF!</v>
      </c>
      <c r="AB2400" t="e">
        <f>IF(AND(#REF!&gt;180, #REF!&gt;200), "Heavy Doemstic User", IF(#REF!&gt;10, "Interntional User", IF(AND(#REF!&lt;180, #REF!&lt;200,#REF!&lt;200), "Light User", "Balanced User")))</f>
        <v>#REF!</v>
      </c>
      <c r="AC2400" t="e">
        <f>IF(#REF! = 0, "No Usage", IF(#REF! &lt;= 20, "Low Usage", IF(#REF! &lt;= 40, "Medium Usgae", "High Usage")))</f>
        <v>#REF!</v>
      </c>
      <c r="AD2400" t="e">
        <f>IF(#REF!&lt;=150,"Low Usage", IF(#REF!&lt;=200,"Medium Usage", IF(#REF!&lt;=250,"High Usage","Very High Usage")))</f>
        <v>#REF!</v>
      </c>
      <c r="AE2400" t="e">
        <f>IF(#REF!&lt;=5,"Low Calls", IF(#REF!&lt;=10, "Medium Calls", "High Calls"))</f>
        <v>#REF!</v>
      </c>
      <c r="AF2400" t="e">
        <f xml:space="preserve">
IF(#REF!&gt;=4,4,0)+
IF(#REF!="yes",3,0)+
IF(#REF!="High Charges",3,0)+
IF(#REF!&gt;250,4,0)+
IF(#REF!="no",1,0)+
IF(#REF!="Heavy Domestic User",2,0)</f>
        <v>#REF!</v>
      </c>
      <c r="AG2400" t="e">
        <f>IF(#REF!&gt;=10,"High Risk", IF(#REF!&gt;=5,"Medium Risk","Low Risk"))</f>
        <v>#REF!</v>
      </c>
      <c r="AH2400" t="e">
        <f>#REF! + #REF! + #REF! + #REF!</f>
        <v>#REF!</v>
      </c>
    </row>
    <row r="2401" spans="1:34" x14ac:dyDescent="0.35">
      <c r="A2401">
        <v>2400</v>
      </c>
      <c r="B2401" t="s">
        <v>31</v>
      </c>
      <c r="C2401">
        <v>36</v>
      </c>
      <c r="D2401" t="s">
        <v>25</v>
      </c>
      <c r="E2401" t="s">
        <v>22</v>
      </c>
      <c r="F2401" t="s">
        <v>22</v>
      </c>
      <c r="G2401">
        <v>0</v>
      </c>
      <c r="H2401">
        <v>175.1</v>
      </c>
      <c r="I2401">
        <v>144</v>
      </c>
      <c r="J2401">
        <v>29.77</v>
      </c>
      <c r="K2401">
        <v>216.9</v>
      </c>
      <c r="L2401">
        <v>69</v>
      </c>
      <c r="M2401">
        <v>18.440000000000001</v>
      </c>
      <c r="N2401">
        <v>243.7</v>
      </c>
      <c r="O2401">
        <v>146</v>
      </c>
      <c r="P2401">
        <v>10.97</v>
      </c>
      <c r="Q2401">
        <v>9.9</v>
      </c>
      <c r="R2401">
        <v>3</v>
      </c>
      <c r="S2401">
        <v>2.67</v>
      </c>
      <c r="T2401">
        <v>1</v>
      </c>
      <c r="U2401" t="s">
        <v>22</v>
      </c>
      <c r="V2401" t="e">
        <f>IF(#REF! = "yes", 1, 0)</f>
        <v>#REF!</v>
      </c>
      <c r="W2401" t="e">
        <f>IF(#REF! &lt;= 1, "0-1 Calls", IF(#REF! &lt;= 3, "2-3 Calls", IF(#REF! &lt;=5, "4-5 Calls", "6+ Calls")))</f>
        <v>#REF!</v>
      </c>
      <c r="X2401" t="e">
        <f>IF(#REF! &lt;= 50, "0-50", IF(#REF! &lt;=100, "51-100", IF(#REF! &lt;= 150, "101-150", "151+")))</f>
        <v>#REF!</v>
      </c>
      <c r="Y2401" t="e">
        <f>IF(#REF! &lt;= 3, "Low Charges", "High Charges")</f>
        <v>#REF!</v>
      </c>
      <c r="Z2401" t="e">
        <f>IF(#REF!&lt;=80,"Low Calls",
IF(#REF!&lt;=120,"Medium Calls","High Calls"))</f>
        <v>#REF!</v>
      </c>
      <c r="AA2401" t="e">
        <f>IF(#REF!&lt;=15,"Low Charges",
IF(#REF!&lt;=20,"Medium Charges","High Charges"))</f>
        <v>#REF!</v>
      </c>
      <c r="AB2401" t="e">
        <f>IF(AND(#REF!&gt;180, #REF!&gt;200), "Heavy Doemstic User", IF(#REF!&gt;10, "Interntional User", IF(AND(#REF!&lt;180, #REF!&lt;200,#REF!&lt;200), "Light User", "Balanced User")))</f>
        <v>#REF!</v>
      </c>
      <c r="AC2401" t="e">
        <f>IF(#REF! = 0, "No Usage", IF(#REF! &lt;= 20, "Low Usage", IF(#REF! &lt;= 40, "Medium Usgae", "High Usage")))</f>
        <v>#REF!</v>
      </c>
      <c r="AD2401" t="e">
        <f>IF(#REF!&lt;=150,"Low Usage", IF(#REF!&lt;=200,"Medium Usage", IF(#REF!&lt;=250,"High Usage","Very High Usage")))</f>
        <v>#REF!</v>
      </c>
      <c r="AE2401" t="e">
        <f>IF(#REF!&lt;=5,"Low Calls", IF(#REF!&lt;=10, "Medium Calls", "High Calls"))</f>
        <v>#REF!</v>
      </c>
      <c r="AF2401" t="e">
        <f xml:space="preserve">
IF(#REF!&gt;=4,4,0)+
IF(#REF!="yes",3,0)+
IF(#REF!="High Charges",3,0)+
IF(#REF!&gt;250,4,0)+
IF(#REF!="no",1,0)+
IF(#REF!="Heavy Domestic User",2,0)</f>
        <v>#REF!</v>
      </c>
      <c r="AG2401" t="e">
        <f>IF(#REF!&gt;=10,"High Risk", IF(#REF!&gt;=5,"Medium Risk","Low Risk"))</f>
        <v>#REF!</v>
      </c>
      <c r="AH2401" t="e">
        <f>#REF! + #REF! + #REF! + #REF!</f>
        <v>#REF!</v>
      </c>
    </row>
    <row r="2402" spans="1:34" x14ac:dyDescent="0.35">
      <c r="A2402">
        <v>2401</v>
      </c>
      <c r="B2402" t="s">
        <v>31</v>
      </c>
      <c r="C2402">
        <v>87</v>
      </c>
      <c r="D2402" t="s">
        <v>21</v>
      </c>
      <c r="E2402" t="s">
        <v>22</v>
      </c>
      <c r="F2402" t="s">
        <v>22</v>
      </c>
      <c r="G2402">
        <v>0</v>
      </c>
      <c r="H2402">
        <v>124.3</v>
      </c>
      <c r="I2402">
        <v>91</v>
      </c>
      <c r="J2402">
        <v>21.13</v>
      </c>
      <c r="K2402">
        <v>173.4</v>
      </c>
      <c r="L2402">
        <v>105</v>
      </c>
      <c r="M2402">
        <v>14.74</v>
      </c>
      <c r="N2402">
        <v>256.3</v>
      </c>
      <c r="O2402">
        <v>109</v>
      </c>
      <c r="P2402">
        <v>11.53</v>
      </c>
      <c r="Q2402">
        <v>7.5</v>
      </c>
      <c r="R2402">
        <v>5</v>
      </c>
      <c r="S2402">
        <v>2.0299999999999998</v>
      </c>
      <c r="T2402">
        <v>3</v>
      </c>
      <c r="U2402" t="s">
        <v>22</v>
      </c>
      <c r="V2402" t="e">
        <f>IF(#REF! = "yes", 1, 0)</f>
        <v>#REF!</v>
      </c>
      <c r="W2402" t="e">
        <f>IF(#REF! &lt;= 1, "0-1 Calls", IF(#REF! &lt;= 3, "2-3 Calls", IF(#REF! &lt;=5, "4-5 Calls", "6+ Calls")))</f>
        <v>#REF!</v>
      </c>
      <c r="X2402" t="e">
        <f>IF(#REF! &lt;= 50, "0-50", IF(#REF! &lt;=100, "51-100", IF(#REF! &lt;= 150, "101-150", "151+")))</f>
        <v>#REF!</v>
      </c>
      <c r="Y2402" t="e">
        <f>IF(#REF! &lt;= 3, "Low Charges", "High Charges")</f>
        <v>#REF!</v>
      </c>
      <c r="Z2402" t="e">
        <f>IF(#REF!&lt;=80,"Low Calls",
IF(#REF!&lt;=120,"Medium Calls","High Calls"))</f>
        <v>#REF!</v>
      </c>
      <c r="AA2402" t="e">
        <f>IF(#REF!&lt;=15,"Low Charges",
IF(#REF!&lt;=20,"Medium Charges","High Charges"))</f>
        <v>#REF!</v>
      </c>
      <c r="AB2402" t="e">
        <f>IF(AND(#REF!&gt;180, #REF!&gt;200), "Heavy Doemstic User", IF(#REF!&gt;10, "Interntional User", IF(AND(#REF!&lt;180, #REF!&lt;200,#REF!&lt;200), "Light User", "Balanced User")))</f>
        <v>#REF!</v>
      </c>
      <c r="AC2402" t="e">
        <f>IF(#REF! = 0, "No Usage", IF(#REF! &lt;= 20, "Low Usage", IF(#REF! &lt;= 40, "Medium Usgae", "High Usage")))</f>
        <v>#REF!</v>
      </c>
      <c r="AD2402" t="e">
        <f>IF(#REF!&lt;=150,"Low Usage", IF(#REF!&lt;=200,"Medium Usage", IF(#REF!&lt;=250,"High Usage","Very High Usage")))</f>
        <v>#REF!</v>
      </c>
      <c r="AE2402" t="e">
        <f>IF(#REF!&lt;=5,"Low Calls", IF(#REF!&lt;=10, "Medium Calls", "High Calls"))</f>
        <v>#REF!</v>
      </c>
      <c r="AF2402" t="e">
        <f xml:space="preserve">
IF(#REF!&gt;=4,4,0)+
IF(#REF!="yes",3,0)+
IF(#REF!="High Charges",3,0)+
IF(#REF!&gt;250,4,0)+
IF(#REF!="no",1,0)+
IF(#REF!="Heavy Domestic User",2,0)</f>
        <v>#REF!</v>
      </c>
      <c r="AG2402" t="e">
        <f>IF(#REF!&gt;=10,"High Risk", IF(#REF!&gt;=5,"Medium Risk","Low Risk"))</f>
        <v>#REF!</v>
      </c>
      <c r="AH2402" t="e">
        <f>#REF! + #REF! + #REF! + #REF!</f>
        <v>#REF!</v>
      </c>
    </row>
    <row r="2403" spans="1:34" x14ac:dyDescent="0.35">
      <c r="A2403">
        <v>2402</v>
      </c>
      <c r="B2403" t="s">
        <v>31</v>
      </c>
      <c r="C2403">
        <v>139</v>
      </c>
      <c r="D2403" t="s">
        <v>21</v>
      </c>
      <c r="E2403" t="s">
        <v>22</v>
      </c>
      <c r="F2403" t="s">
        <v>22</v>
      </c>
      <c r="G2403">
        <v>0</v>
      </c>
      <c r="H2403">
        <v>271.60000000000002</v>
      </c>
      <c r="I2403">
        <v>130</v>
      </c>
      <c r="J2403">
        <v>46.17</v>
      </c>
      <c r="K2403">
        <v>156</v>
      </c>
      <c r="L2403">
        <v>131</v>
      </c>
      <c r="M2403">
        <v>13.26</v>
      </c>
      <c r="N2403">
        <v>136.30000000000001</v>
      </c>
      <c r="O2403">
        <v>108</v>
      </c>
      <c r="P2403">
        <v>6.13</v>
      </c>
      <c r="Q2403">
        <v>11.6</v>
      </c>
      <c r="R2403">
        <v>9</v>
      </c>
      <c r="S2403">
        <v>3.13</v>
      </c>
      <c r="T2403">
        <v>2</v>
      </c>
      <c r="U2403" t="s">
        <v>22</v>
      </c>
      <c r="V2403" t="e">
        <f>IF(#REF! = "yes", 1, 0)</f>
        <v>#REF!</v>
      </c>
      <c r="W2403" t="e">
        <f>IF(#REF! &lt;= 1, "0-1 Calls", IF(#REF! &lt;= 3, "2-3 Calls", IF(#REF! &lt;=5, "4-5 Calls", "6+ Calls")))</f>
        <v>#REF!</v>
      </c>
      <c r="X2403" t="e">
        <f>IF(#REF! &lt;= 50, "0-50", IF(#REF! &lt;=100, "51-100", IF(#REF! &lt;= 150, "101-150", "151+")))</f>
        <v>#REF!</v>
      </c>
      <c r="Y2403" t="e">
        <f>IF(#REF! &lt;= 3, "Low Charges", "High Charges")</f>
        <v>#REF!</v>
      </c>
      <c r="Z2403" t="e">
        <f>IF(#REF!&lt;=80,"Low Calls",
IF(#REF!&lt;=120,"Medium Calls","High Calls"))</f>
        <v>#REF!</v>
      </c>
      <c r="AA2403" t="e">
        <f>IF(#REF!&lt;=15,"Low Charges",
IF(#REF!&lt;=20,"Medium Charges","High Charges"))</f>
        <v>#REF!</v>
      </c>
      <c r="AB2403" t="e">
        <f>IF(AND(#REF!&gt;180, #REF!&gt;200), "Heavy Doemstic User", IF(#REF!&gt;10, "Interntional User", IF(AND(#REF!&lt;180, #REF!&lt;200,#REF!&lt;200), "Light User", "Balanced User")))</f>
        <v>#REF!</v>
      </c>
      <c r="AC2403" t="e">
        <f>IF(#REF! = 0, "No Usage", IF(#REF! &lt;= 20, "Low Usage", IF(#REF! &lt;= 40, "Medium Usgae", "High Usage")))</f>
        <v>#REF!</v>
      </c>
      <c r="AD2403" t="e">
        <f>IF(#REF!&lt;=150,"Low Usage", IF(#REF!&lt;=200,"Medium Usage", IF(#REF!&lt;=250,"High Usage","Very High Usage")))</f>
        <v>#REF!</v>
      </c>
      <c r="AE2403" t="e">
        <f>IF(#REF!&lt;=5,"Low Calls", IF(#REF!&lt;=10, "Medium Calls", "High Calls"))</f>
        <v>#REF!</v>
      </c>
      <c r="AF2403" t="e">
        <f xml:space="preserve">
IF(#REF!&gt;=4,4,0)+
IF(#REF!="yes",3,0)+
IF(#REF!="High Charges",3,0)+
IF(#REF!&gt;250,4,0)+
IF(#REF!="no",1,0)+
IF(#REF!="Heavy Domestic User",2,0)</f>
        <v>#REF!</v>
      </c>
      <c r="AG2403" t="e">
        <f>IF(#REF!&gt;=10,"High Risk", IF(#REF!&gt;=5,"Medium Risk","Low Risk"))</f>
        <v>#REF!</v>
      </c>
      <c r="AH2403" t="e">
        <f>#REF! + #REF! + #REF! + #REF!</f>
        <v>#REF!</v>
      </c>
    </row>
    <row r="2404" spans="1:34" x14ac:dyDescent="0.35">
      <c r="A2404">
        <v>2403</v>
      </c>
      <c r="B2404" t="s">
        <v>61</v>
      </c>
      <c r="C2404">
        <v>96</v>
      </c>
      <c r="D2404" t="s">
        <v>21</v>
      </c>
      <c r="E2404" t="s">
        <v>22</v>
      </c>
      <c r="F2404" t="s">
        <v>23</v>
      </c>
      <c r="G2404">
        <v>33</v>
      </c>
      <c r="H2404">
        <v>183.3</v>
      </c>
      <c r="I2404">
        <v>115</v>
      </c>
      <c r="J2404">
        <v>31.16</v>
      </c>
      <c r="K2404">
        <v>201.4</v>
      </c>
      <c r="L2404">
        <v>87</v>
      </c>
      <c r="M2404">
        <v>17.12</v>
      </c>
      <c r="N2404">
        <v>177.4</v>
      </c>
      <c r="O2404">
        <v>84</v>
      </c>
      <c r="P2404">
        <v>7.98</v>
      </c>
      <c r="Q2404">
        <v>10.4</v>
      </c>
      <c r="R2404">
        <v>15</v>
      </c>
      <c r="S2404">
        <v>2.81</v>
      </c>
      <c r="T2404">
        <v>3</v>
      </c>
      <c r="U2404" t="s">
        <v>22</v>
      </c>
      <c r="V2404" t="e">
        <f>IF(#REF! = "yes", 1, 0)</f>
        <v>#REF!</v>
      </c>
      <c r="W2404" t="e">
        <f>IF(#REF! &lt;= 1, "0-1 Calls", IF(#REF! &lt;= 3, "2-3 Calls", IF(#REF! &lt;=5, "4-5 Calls", "6+ Calls")))</f>
        <v>#REF!</v>
      </c>
      <c r="X2404" t="e">
        <f>IF(#REF! &lt;= 50, "0-50", IF(#REF! &lt;=100, "51-100", IF(#REF! &lt;= 150, "101-150", "151+")))</f>
        <v>#REF!</v>
      </c>
      <c r="Y2404" t="e">
        <f>IF(#REF! &lt;= 3, "Low Charges", "High Charges")</f>
        <v>#REF!</v>
      </c>
      <c r="Z2404" t="e">
        <f>IF(#REF!&lt;=80,"Low Calls",
IF(#REF!&lt;=120,"Medium Calls","High Calls"))</f>
        <v>#REF!</v>
      </c>
      <c r="AA2404" t="e">
        <f>IF(#REF!&lt;=15,"Low Charges",
IF(#REF!&lt;=20,"Medium Charges","High Charges"))</f>
        <v>#REF!</v>
      </c>
      <c r="AB2404" t="e">
        <f>IF(AND(#REF!&gt;180, #REF!&gt;200), "Heavy Doemstic User", IF(#REF!&gt;10, "Interntional User", IF(AND(#REF!&lt;180, #REF!&lt;200,#REF!&lt;200), "Light User", "Balanced User")))</f>
        <v>#REF!</v>
      </c>
      <c r="AC2404" t="e">
        <f>IF(#REF! = 0, "No Usage", IF(#REF! &lt;= 20, "Low Usage", IF(#REF! &lt;= 40, "Medium Usgae", "High Usage")))</f>
        <v>#REF!</v>
      </c>
      <c r="AD2404" t="e">
        <f>IF(#REF!&lt;=150,"Low Usage", IF(#REF!&lt;=200,"Medium Usage", IF(#REF!&lt;=250,"High Usage","Very High Usage")))</f>
        <v>#REF!</v>
      </c>
      <c r="AE2404" t="e">
        <f>IF(#REF!&lt;=5,"Low Calls", IF(#REF!&lt;=10, "Medium Calls", "High Calls"))</f>
        <v>#REF!</v>
      </c>
      <c r="AF2404" t="e">
        <f xml:space="preserve">
IF(#REF!&gt;=4,4,0)+
IF(#REF!="yes",3,0)+
IF(#REF!="High Charges",3,0)+
IF(#REF!&gt;250,4,0)+
IF(#REF!="no",1,0)+
IF(#REF!="Heavy Domestic User",2,0)</f>
        <v>#REF!</v>
      </c>
      <c r="AG2404" t="e">
        <f>IF(#REF!&gt;=10,"High Risk", IF(#REF!&gt;=5,"Medium Risk","Low Risk"))</f>
        <v>#REF!</v>
      </c>
      <c r="AH2404" t="e">
        <f>#REF! + #REF! + #REF! + #REF!</f>
        <v>#REF!</v>
      </c>
    </row>
    <row r="2405" spans="1:34" x14ac:dyDescent="0.35">
      <c r="A2405">
        <v>2404</v>
      </c>
      <c r="B2405" t="s">
        <v>54</v>
      </c>
      <c r="C2405">
        <v>112</v>
      </c>
      <c r="D2405" t="s">
        <v>25</v>
      </c>
      <c r="E2405" t="s">
        <v>22</v>
      </c>
      <c r="F2405" t="s">
        <v>22</v>
      </c>
      <c r="G2405">
        <v>0</v>
      </c>
      <c r="H2405">
        <v>101.1</v>
      </c>
      <c r="I2405">
        <v>119</v>
      </c>
      <c r="J2405">
        <v>17.190000000000001</v>
      </c>
      <c r="K2405">
        <v>214.4</v>
      </c>
      <c r="L2405">
        <v>67</v>
      </c>
      <c r="M2405">
        <v>18.22</v>
      </c>
      <c r="N2405">
        <v>179.5</v>
      </c>
      <c r="O2405">
        <v>112</v>
      </c>
      <c r="P2405">
        <v>8.08</v>
      </c>
      <c r="Q2405">
        <v>10.3</v>
      </c>
      <c r="R2405">
        <v>5</v>
      </c>
      <c r="S2405">
        <v>2.78</v>
      </c>
      <c r="T2405">
        <v>2</v>
      </c>
      <c r="U2405" t="s">
        <v>22</v>
      </c>
      <c r="V2405" t="e">
        <f>IF(#REF! = "yes", 1, 0)</f>
        <v>#REF!</v>
      </c>
      <c r="W2405" t="e">
        <f>IF(#REF! &lt;= 1, "0-1 Calls", IF(#REF! &lt;= 3, "2-3 Calls", IF(#REF! &lt;=5, "4-5 Calls", "6+ Calls")))</f>
        <v>#REF!</v>
      </c>
      <c r="X2405" t="e">
        <f>IF(#REF! &lt;= 50, "0-50", IF(#REF! &lt;=100, "51-100", IF(#REF! &lt;= 150, "101-150", "151+")))</f>
        <v>#REF!</v>
      </c>
      <c r="Y2405" t="e">
        <f>IF(#REF! &lt;= 3, "Low Charges", "High Charges")</f>
        <v>#REF!</v>
      </c>
      <c r="Z2405" t="e">
        <f>IF(#REF!&lt;=80,"Low Calls",
IF(#REF!&lt;=120,"Medium Calls","High Calls"))</f>
        <v>#REF!</v>
      </c>
      <c r="AA2405" t="e">
        <f>IF(#REF!&lt;=15,"Low Charges",
IF(#REF!&lt;=20,"Medium Charges","High Charges"))</f>
        <v>#REF!</v>
      </c>
      <c r="AB2405" t="e">
        <f>IF(AND(#REF!&gt;180, #REF!&gt;200), "Heavy Doemstic User", IF(#REF!&gt;10, "Interntional User", IF(AND(#REF!&lt;180, #REF!&lt;200,#REF!&lt;200), "Light User", "Balanced User")))</f>
        <v>#REF!</v>
      </c>
      <c r="AC2405" t="e">
        <f>IF(#REF! = 0, "No Usage", IF(#REF! &lt;= 20, "Low Usage", IF(#REF! &lt;= 40, "Medium Usgae", "High Usage")))</f>
        <v>#REF!</v>
      </c>
      <c r="AD2405" t="e">
        <f>IF(#REF!&lt;=150,"Low Usage", IF(#REF!&lt;=200,"Medium Usage", IF(#REF!&lt;=250,"High Usage","Very High Usage")))</f>
        <v>#REF!</v>
      </c>
      <c r="AE2405" t="e">
        <f>IF(#REF!&lt;=5,"Low Calls", IF(#REF!&lt;=10, "Medium Calls", "High Calls"))</f>
        <v>#REF!</v>
      </c>
      <c r="AF2405" t="e">
        <f xml:space="preserve">
IF(#REF!&gt;=4,4,0)+
IF(#REF!="yes",3,0)+
IF(#REF!="High Charges",3,0)+
IF(#REF!&gt;250,4,0)+
IF(#REF!="no",1,0)+
IF(#REF!="Heavy Domestic User",2,0)</f>
        <v>#REF!</v>
      </c>
      <c r="AG2405" t="e">
        <f>IF(#REF!&gt;=10,"High Risk", IF(#REF!&gt;=5,"Medium Risk","Low Risk"))</f>
        <v>#REF!</v>
      </c>
      <c r="AH2405" t="e">
        <f>#REF! + #REF! + #REF! + #REF!</f>
        <v>#REF!</v>
      </c>
    </row>
    <row r="2406" spans="1:34" x14ac:dyDescent="0.35">
      <c r="A2406">
        <v>2405</v>
      </c>
      <c r="B2406" t="s">
        <v>58</v>
      </c>
      <c r="C2406">
        <v>75</v>
      </c>
      <c r="D2406" t="s">
        <v>25</v>
      </c>
      <c r="E2406" t="s">
        <v>22</v>
      </c>
      <c r="F2406" t="s">
        <v>22</v>
      </c>
      <c r="G2406">
        <v>0</v>
      </c>
      <c r="H2406">
        <v>203.3</v>
      </c>
      <c r="I2406">
        <v>70</v>
      </c>
      <c r="J2406">
        <v>34.56</v>
      </c>
      <c r="K2406">
        <v>228.9</v>
      </c>
      <c r="L2406">
        <v>97</v>
      </c>
      <c r="M2406">
        <v>19.46</v>
      </c>
      <c r="N2406">
        <v>222.2</v>
      </c>
      <c r="O2406">
        <v>118</v>
      </c>
      <c r="P2406">
        <v>10</v>
      </c>
      <c r="Q2406">
        <v>14.3</v>
      </c>
      <c r="R2406">
        <v>3</v>
      </c>
      <c r="S2406">
        <v>3.86</v>
      </c>
      <c r="T2406">
        <v>1</v>
      </c>
      <c r="U2406" t="s">
        <v>22</v>
      </c>
      <c r="V2406" t="e">
        <f>IF(#REF! = "yes", 1, 0)</f>
        <v>#REF!</v>
      </c>
      <c r="W2406" t="e">
        <f>IF(#REF! &lt;= 1, "0-1 Calls", IF(#REF! &lt;= 3, "2-3 Calls", IF(#REF! &lt;=5, "4-5 Calls", "6+ Calls")))</f>
        <v>#REF!</v>
      </c>
      <c r="X2406" t="e">
        <f>IF(#REF! &lt;= 50, "0-50", IF(#REF! &lt;=100, "51-100", IF(#REF! &lt;= 150, "101-150", "151+")))</f>
        <v>#REF!</v>
      </c>
      <c r="Y2406" t="e">
        <f>IF(#REF! &lt;= 3, "Low Charges", "High Charges")</f>
        <v>#REF!</v>
      </c>
      <c r="Z2406" t="e">
        <f>IF(#REF!&lt;=80,"Low Calls",
IF(#REF!&lt;=120,"Medium Calls","High Calls"))</f>
        <v>#REF!</v>
      </c>
      <c r="AA2406" t="e">
        <f>IF(#REF!&lt;=15,"Low Charges",
IF(#REF!&lt;=20,"Medium Charges","High Charges"))</f>
        <v>#REF!</v>
      </c>
      <c r="AB2406" t="e">
        <f>IF(AND(#REF!&gt;180, #REF!&gt;200), "Heavy Doemstic User", IF(#REF!&gt;10, "Interntional User", IF(AND(#REF!&lt;180, #REF!&lt;200,#REF!&lt;200), "Light User", "Balanced User")))</f>
        <v>#REF!</v>
      </c>
      <c r="AC2406" t="e">
        <f>IF(#REF! = 0, "No Usage", IF(#REF! &lt;= 20, "Low Usage", IF(#REF! &lt;= 40, "Medium Usgae", "High Usage")))</f>
        <v>#REF!</v>
      </c>
      <c r="AD2406" t="e">
        <f>IF(#REF!&lt;=150,"Low Usage", IF(#REF!&lt;=200,"Medium Usage", IF(#REF!&lt;=250,"High Usage","Very High Usage")))</f>
        <v>#REF!</v>
      </c>
      <c r="AE2406" t="e">
        <f>IF(#REF!&lt;=5,"Low Calls", IF(#REF!&lt;=10, "Medium Calls", "High Calls"))</f>
        <v>#REF!</v>
      </c>
      <c r="AF2406" t="e">
        <f xml:space="preserve">
IF(#REF!&gt;=4,4,0)+
IF(#REF!="yes",3,0)+
IF(#REF!="High Charges",3,0)+
IF(#REF!&gt;250,4,0)+
IF(#REF!="no",1,0)+
IF(#REF!="Heavy Domestic User",2,0)</f>
        <v>#REF!</v>
      </c>
      <c r="AG2406" t="e">
        <f>IF(#REF!&gt;=10,"High Risk", IF(#REF!&gt;=5,"Medium Risk","Low Risk"))</f>
        <v>#REF!</v>
      </c>
      <c r="AH2406" t="e">
        <f>#REF! + #REF! + #REF! + #REF!</f>
        <v>#REF!</v>
      </c>
    </row>
    <row r="2407" spans="1:34" x14ac:dyDescent="0.35">
      <c r="A2407">
        <v>2406</v>
      </c>
      <c r="B2407" t="s">
        <v>61</v>
      </c>
      <c r="C2407">
        <v>178</v>
      </c>
      <c r="D2407" t="s">
        <v>21</v>
      </c>
      <c r="E2407" t="s">
        <v>22</v>
      </c>
      <c r="F2407" t="s">
        <v>23</v>
      </c>
      <c r="G2407">
        <v>35</v>
      </c>
      <c r="H2407">
        <v>175.4</v>
      </c>
      <c r="I2407">
        <v>88</v>
      </c>
      <c r="J2407">
        <v>29.82</v>
      </c>
      <c r="K2407">
        <v>190</v>
      </c>
      <c r="L2407">
        <v>65</v>
      </c>
      <c r="M2407">
        <v>16.149999999999999</v>
      </c>
      <c r="N2407">
        <v>138.69999999999999</v>
      </c>
      <c r="O2407">
        <v>94</v>
      </c>
      <c r="P2407">
        <v>6.24</v>
      </c>
      <c r="Q2407">
        <v>10.5</v>
      </c>
      <c r="R2407">
        <v>3</v>
      </c>
      <c r="S2407">
        <v>2.84</v>
      </c>
      <c r="T2407">
        <v>2</v>
      </c>
      <c r="U2407" t="s">
        <v>22</v>
      </c>
      <c r="V2407" t="e">
        <f>IF(#REF! = "yes", 1, 0)</f>
        <v>#REF!</v>
      </c>
      <c r="W2407" t="e">
        <f>IF(#REF! &lt;= 1, "0-1 Calls", IF(#REF! &lt;= 3, "2-3 Calls", IF(#REF! &lt;=5, "4-5 Calls", "6+ Calls")))</f>
        <v>#REF!</v>
      </c>
      <c r="X2407" t="e">
        <f>IF(#REF! &lt;= 50, "0-50", IF(#REF! &lt;=100, "51-100", IF(#REF! &lt;= 150, "101-150", "151+")))</f>
        <v>#REF!</v>
      </c>
      <c r="Y2407" t="e">
        <f>IF(#REF! &lt;= 3, "Low Charges", "High Charges")</f>
        <v>#REF!</v>
      </c>
      <c r="Z2407" t="e">
        <f>IF(#REF!&lt;=80,"Low Calls",
IF(#REF!&lt;=120,"Medium Calls","High Calls"))</f>
        <v>#REF!</v>
      </c>
      <c r="AA2407" t="e">
        <f>IF(#REF!&lt;=15,"Low Charges",
IF(#REF!&lt;=20,"Medium Charges","High Charges"))</f>
        <v>#REF!</v>
      </c>
      <c r="AB2407" t="e">
        <f>IF(AND(#REF!&gt;180, #REF!&gt;200), "Heavy Doemstic User", IF(#REF!&gt;10, "Interntional User", IF(AND(#REF!&lt;180, #REF!&lt;200,#REF!&lt;200), "Light User", "Balanced User")))</f>
        <v>#REF!</v>
      </c>
      <c r="AC2407" t="e">
        <f>IF(#REF! = 0, "No Usage", IF(#REF! &lt;= 20, "Low Usage", IF(#REF! &lt;= 40, "Medium Usgae", "High Usage")))</f>
        <v>#REF!</v>
      </c>
      <c r="AD2407" t="e">
        <f>IF(#REF!&lt;=150,"Low Usage", IF(#REF!&lt;=200,"Medium Usage", IF(#REF!&lt;=250,"High Usage","Very High Usage")))</f>
        <v>#REF!</v>
      </c>
      <c r="AE2407" t="e">
        <f>IF(#REF!&lt;=5,"Low Calls", IF(#REF!&lt;=10, "Medium Calls", "High Calls"))</f>
        <v>#REF!</v>
      </c>
      <c r="AF2407" t="e">
        <f xml:space="preserve">
IF(#REF!&gt;=4,4,0)+
IF(#REF!="yes",3,0)+
IF(#REF!="High Charges",3,0)+
IF(#REF!&gt;250,4,0)+
IF(#REF!="no",1,0)+
IF(#REF!="Heavy Domestic User",2,0)</f>
        <v>#REF!</v>
      </c>
      <c r="AG2407" t="e">
        <f>IF(#REF!&gt;=10,"High Risk", IF(#REF!&gt;=5,"Medium Risk","Low Risk"))</f>
        <v>#REF!</v>
      </c>
      <c r="AH2407" t="e">
        <f>#REF! + #REF! + #REF! + #REF!</f>
        <v>#REF!</v>
      </c>
    </row>
    <row r="2408" spans="1:34" x14ac:dyDescent="0.35">
      <c r="A2408">
        <v>2407</v>
      </c>
      <c r="B2408" t="s">
        <v>43</v>
      </c>
      <c r="C2408">
        <v>112</v>
      </c>
      <c r="D2408" t="s">
        <v>21</v>
      </c>
      <c r="E2408" t="s">
        <v>22</v>
      </c>
      <c r="F2408" t="s">
        <v>22</v>
      </c>
      <c r="G2408">
        <v>0</v>
      </c>
      <c r="H2408">
        <v>266</v>
      </c>
      <c r="I2408">
        <v>97</v>
      </c>
      <c r="J2408">
        <v>45.22</v>
      </c>
      <c r="K2408">
        <v>214.6</v>
      </c>
      <c r="L2408">
        <v>94</v>
      </c>
      <c r="M2408">
        <v>18.239999999999998</v>
      </c>
      <c r="N2408">
        <v>306.2</v>
      </c>
      <c r="O2408">
        <v>100</v>
      </c>
      <c r="P2408">
        <v>13.78</v>
      </c>
      <c r="Q2408">
        <v>14.2</v>
      </c>
      <c r="R2408">
        <v>2</v>
      </c>
      <c r="S2408">
        <v>3.83</v>
      </c>
      <c r="T2408">
        <v>2</v>
      </c>
      <c r="U2408" t="s">
        <v>23</v>
      </c>
      <c r="V2408" t="e">
        <f>IF(#REF! = "yes", 1, 0)</f>
        <v>#REF!</v>
      </c>
      <c r="W2408" t="e">
        <f>IF(#REF! &lt;= 1, "0-1 Calls", IF(#REF! &lt;= 3, "2-3 Calls", IF(#REF! &lt;=5, "4-5 Calls", "6+ Calls")))</f>
        <v>#REF!</v>
      </c>
      <c r="X2408" t="e">
        <f>IF(#REF! &lt;= 50, "0-50", IF(#REF! &lt;=100, "51-100", IF(#REF! &lt;= 150, "101-150", "151+")))</f>
        <v>#REF!</v>
      </c>
      <c r="Y2408" t="e">
        <f>IF(#REF! &lt;= 3, "Low Charges", "High Charges")</f>
        <v>#REF!</v>
      </c>
      <c r="Z2408" t="e">
        <f>IF(#REF!&lt;=80,"Low Calls",
IF(#REF!&lt;=120,"Medium Calls","High Calls"))</f>
        <v>#REF!</v>
      </c>
      <c r="AA2408" t="e">
        <f>IF(#REF!&lt;=15,"Low Charges",
IF(#REF!&lt;=20,"Medium Charges","High Charges"))</f>
        <v>#REF!</v>
      </c>
      <c r="AB2408" t="e">
        <f>IF(AND(#REF!&gt;180, #REF!&gt;200), "Heavy Doemstic User", IF(#REF!&gt;10, "Interntional User", IF(AND(#REF!&lt;180, #REF!&lt;200,#REF!&lt;200), "Light User", "Balanced User")))</f>
        <v>#REF!</v>
      </c>
      <c r="AC2408" t="e">
        <f>IF(#REF! = 0, "No Usage", IF(#REF! &lt;= 20, "Low Usage", IF(#REF! &lt;= 40, "Medium Usgae", "High Usage")))</f>
        <v>#REF!</v>
      </c>
      <c r="AD2408" t="e">
        <f>IF(#REF!&lt;=150,"Low Usage", IF(#REF!&lt;=200,"Medium Usage", IF(#REF!&lt;=250,"High Usage","Very High Usage")))</f>
        <v>#REF!</v>
      </c>
      <c r="AE2408" t="e">
        <f>IF(#REF!&lt;=5,"Low Calls", IF(#REF!&lt;=10, "Medium Calls", "High Calls"))</f>
        <v>#REF!</v>
      </c>
      <c r="AF2408" t="e">
        <f xml:space="preserve">
IF(#REF!&gt;=4,4,0)+
IF(#REF!="yes",3,0)+
IF(#REF!="High Charges",3,0)+
IF(#REF!&gt;250,4,0)+
IF(#REF!="no",1,0)+
IF(#REF!="Heavy Domestic User",2,0)</f>
        <v>#REF!</v>
      </c>
      <c r="AG2408" t="e">
        <f>IF(#REF!&gt;=10,"High Risk", IF(#REF!&gt;=5,"Medium Risk","Low Risk"))</f>
        <v>#REF!</v>
      </c>
      <c r="AH2408" t="e">
        <f>#REF! + #REF! + #REF! + #REF!</f>
        <v>#REF!</v>
      </c>
    </row>
    <row r="2409" spans="1:34" x14ac:dyDescent="0.35">
      <c r="A2409">
        <v>2408</v>
      </c>
      <c r="B2409" t="s">
        <v>24</v>
      </c>
      <c r="C2409">
        <v>108</v>
      </c>
      <c r="D2409" t="s">
        <v>21</v>
      </c>
      <c r="E2409" t="s">
        <v>22</v>
      </c>
      <c r="F2409" t="s">
        <v>23</v>
      </c>
      <c r="G2409">
        <v>41</v>
      </c>
      <c r="H2409">
        <v>171.6</v>
      </c>
      <c r="I2409">
        <v>110</v>
      </c>
      <c r="J2409">
        <v>29.17</v>
      </c>
      <c r="K2409">
        <v>136.1</v>
      </c>
      <c r="L2409">
        <v>78</v>
      </c>
      <c r="M2409">
        <v>11.57</v>
      </c>
      <c r="N2409">
        <v>183.4</v>
      </c>
      <c r="O2409">
        <v>103</v>
      </c>
      <c r="P2409">
        <v>8.25</v>
      </c>
      <c r="Q2409">
        <v>10.8</v>
      </c>
      <c r="R2409">
        <v>7</v>
      </c>
      <c r="S2409">
        <v>2.92</v>
      </c>
      <c r="T2409">
        <v>0</v>
      </c>
      <c r="U2409" t="s">
        <v>22</v>
      </c>
      <c r="V2409" t="e">
        <f>IF(#REF! = "yes", 1, 0)</f>
        <v>#REF!</v>
      </c>
      <c r="W2409" t="e">
        <f>IF(#REF! &lt;= 1, "0-1 Calls", IF(#REF! &lt;= 3, "2-3 Calls", IF(#REF! &lt;=5, "4-5 Calls", "6+ Calls")))</f>
        <v>#REF!</v>
      </c>
      <c r="X2409" t="e">
        <f>IF(#REF! &lt;= 50, "0-50", IF(#REF! &lt;=100, "51-100", IF(#REF! &lt;= 150, "101-150", "151+")))</f>
        <v>#REF!</v>
      </c>
      <c r="Y2409" t="e">
        <f>IF(#REF! &lt;= 3, "Low Charges", "High Charges")</f>
        <v>#REF!</v>
      </c>
      <c r="Z2409" t="e">
        <f>IF(#REF!&lt;=80,"Low Calls",
IF(#REF!&lt;=120,"Medium Calls","High Calls"))</f>
        <v>#REF!</v>
      </c>
      <c r="AA2409" t="e">
        <f>IF(#REF!&lt;=15,"Low Charges",
IF(#REF!&lt;=20,"Medium Charges","High Charges"))</f>
        <v>#REF!</v>
      </c>
      <c r="AB2409" t="e">
        <f>IF(AND(#REF!&gt;180, #REF!&gt;200), "Heavy Doemstic User", IF(#REF!&gt;10, "Interntional User", IF(AND(#REF!&lt;180, #REF!&lt;200,#REF!&lt;200), "Light User", "Balanced User")))</f>
        <v>#REF!</v>
      </c>
      <c r="AC2409" t="e">
        <f>IF(#REF! = 0, "No Usage", IF(#REF! &lt;= 20, "Low Usage", IF(#REF! &lt;= 40, "Medium Usgae", "High Usage")))</f>
        <v>#REF!</v>
      </c>
      <c r="AD2409" t="e">
        <f>IF(#REF!&lt;=150,"Low Usage", IF(#REF!&lt;=200,"Medium Usage", IF(#REF!&lt;=250,"High Usage","Very High Usage")))</f>
        <v>#REF!</v>
      </c>
      <c r="AE2409" t="e">
        <f>IF(#REF!&lt;=5,"Low Calls", IF(#REF!&lt;=10, "Medium Calls", "High Calls"))</f>
        <v>#REF!</v>
      </c>
      <c r="AF2409" t="e">
        <f xml:space="preserve">
IF(#REF!&gt;=4,4,0)+
IF(#REF!="yes",3,0)+
IF(#REF!="High Charges",3,0)+
IF(#REF!&gt;250,4,0)+
IF(#REF!="no",1,0)+
IF(#REF!="Heavy Domestic User",2,0)</f>
        <v>#REF!</v>
      </c>
      <c r="AG2409" t="e">
        <f>IF(#REF!&gt;=10,"High Risk", IF(#REF!&gt;=5,"Medium Risk","Low Risk"))</f>
        <v>#REF!</v>
      </c>
      <c r="AH2409" t="e">
        <f>#REF! + #REF! + #REF! + #REF!</f>
        <v>#REF!</v>
      </c>
    </row>
    <row r="2410" spans="1:34" x14ac:dyDescent="0.35">
      <c r="A2410">
        <v>2409</v>
      </c>
      <c r="B2410" t="s">
        <v>42</v>
      </c>
      <c r="C2410">
        <v>100</v>
      </c>
      <c r="D2410" t="s">
        <v>28</v>
      </c>
      <c r="E2410" t="s">
        <v>22</v>
      </c>
      <c r="F2410" t="s">
        <v>22</v>
      </c>
      <c r="G2410">
        <v>0</v>
      </c>
      <c r="H2410">
        <v>78.7</v>
      </c>
      <c r="I2410">
        <v>98</v>
      </c>
      <c r="J2410">
        <v>13.38</v>
      </c>
      <c r="K2410">
        <v>225.6</v>
      </c>
      <c r="L2410">
        <v>102</v>
      </c>
      <c r="M2410">
        <v>19.18</v>
      </c>
      <c r="N2410">
        <v>150.4</v>
      </c>
      <c r="O2410">
        <v>106</v>
      </c>
      <c r="P2410">
        <v>6.77</v>
      </c>
      <c r="Q2410">
        <v>14</v>
      </c>
      <c r="R2410">
        <v>8</v>
      </c>
      <c r="S2410">
        <v>3.78</v>
      </c>
      <c r="T2410">
        <v>0</v>
      </c>
      <c r="U2410" t="s">
        <v>22</v>
      </c>
      <c r="V2410" t="e">
        <f>IF(#REF! = "yes", 1, 0)</f>
        <v>#REF!</v>
      </c>
      <c r="W2410" t="e">
        <f>IF(#REF! &lt;= 1, "0-1 Calls", IF(#REF! &lt;= 3, "2-3 Calls", IF(#REF! &lt;=5, "4-5 Calls", "6+ Calls")))</f>
        <v>#REF!</v>
      </c>
      <c r="X2410" t="e">
        <f>IF(#REF! &lt;= 50, "0-50", IF(#REF! &lt;=100, "51-100", IF(#REF! &lt;= 150, "101-150", "151+")))</f>
        <v>#REF!</v>
      </c>
      <c r="Y2410" t="e">
        <f>IF(#REF! &lt;= 3, "Low Charges", "High Charges")</f>
        <v>#REF!</v>
      </c>
      <c r="Z2410" t="e">
        <f>IF(#REF!&lt;=80,"Low Calls",
IF(#REF!&lt;=120,"Medium Calls","High Calls"))</f>
        <v>#REF!</v>
      </c>
      <c r="AA2410" t="e">
        <f>IF(#REF!&lt;=15,"Low Charges",
IF(#REF!&lt;=20,"Medium Charges","High Charges"))</f>
        <v>#REF!</v>
      </c>
      <c r="AB2410" t="e">
        <f>IF(AND(#REF!&gt;180, #REF!&gt;200), "Heavy Doemstic User", IF(#REF!&gt;10, "Interntional User", IF(AND(#REF!&lt;180, #REF!&lt;200,#REF!&lt;200), "Light User", "Balanced User")))</f>
        <v>#REF!</v>
      </c>
      <c r="AC2410" t="e">
        <f>IF(#REF! = 0, "No Usage", IF(#REF! &lt;= 20, "Low Usage", IF(#REF! &lt;= 40, "Medium Usgae", "High Usage")))</f>
        <v>#REF!</v>
      </c>
      <c r="AD2410" t="e">
        <f>IF(#REF!&lt;=150,"Low Usage", IF(#REF!&lt;=200,"Medium Usage", IF(#REF!&lt;=250,"High Usage","Very High Usage")))</f>
        <v>#REF!</v>
      </c>
      <c r="AE2410" t="e">
        <f>IF(#REF!&lt;=5,"Low Calls", IF(#REF!&lt;=10, "Medium Calls", "High Calls"))</f>
        <v>#REF!</v>
      </c>
      <c r="AF2410" t="e">
        <f xml:space="preserve">
IF(#REF!&gt;=4,4,0)+
IF(#REF!="yes",3,0)+
IF(#REF!="High Charges",3,0)+
IF(#REF!&gt;250,4,0)+
IF(#REF!="no",1,0)+
IF(#REF!="Heavy Domestic User",2,0)</f>
        <v>#REF!</v>
      </c>
      <c r="AG2410" t="e">
        <f>IF(#REF!&gt;=10,"High Risk", IF(#REF!&gt;=5,"Medium Risk","Low Risk"))</f>
        <v>#REF!</v>
      </c>
      <c r="AH2410" t="e">
        <f>#REF! + #REF! + #REF! + #REF!</f>
        <v>#REF!</v>
      </c>
    </row>
    <row r="2411" spans="1:34" x14ac:dyDescent="0.35">
      <c r="A2411">
        <v>2410</v>
      </c>
      <c r="B2411" t="s">
        <v>33</v>
      </c>
      <c r="C2411">
        <v>121</v>
      </c>
      <c r="D2411" t="s">
        <v>28</v>
      </c>
      <c r="E2411" t="s">
        <v>22</v>
      </c>
      <c r="F2411" t="s">
        <v>23</v>
      </c>
      <c r="G2411">
        <v>20</v>
      </c>
      <c r="H2411">
        <v>211.9</v>
      </c>
      <c r="I2411">
        <v>110</v>
      </c>
      <c r="J2411">
        <v>36.020000000000003</v>
      </c>
      <c r="K2411">
        <v>215.1</v>
      </c>
      <c r="L2411">
        <v>120</v>
      </c>
      <c r="M2411">
        <v>18.28</v>
      </c>
      <c r="N2411">
        <v>238.5</v>
      </c>
      <c r="O2411">
        <v>107</v>
      </c>
      <c r="P2411">
        <v>10.73</v>
      </c>
      <c r="Q2411">
        <v>9.4</v>
      </c>
      <c r="R2411">
        <v>2</v>
      </c>
      <c r="S2411">
        <v>2.54</v>
      </c>
      <c r="T2411">
        <v>0</v>
      </c>
      <c r="U2411" t="s">
        <v>22</v>
      </c>
      <c r="V2411" t="e">
        <f>IF(#REF! = "yes", 1, 0)</f>
        <v>#REF!</v>
      </c>
      <c r="W2411" t="e">
        <f>IF(#REF! &lt;= 1, "0-1 Calls", IF(#REF! &lt;= 3, "2-3 Calls", IF(#REF! &lt;=5, "4-5 Calls", "6+ Calls")))</f>
        <v>#REF!</v>
      </c>
      <c r="X2411" t="e">
        <f>IF(#REF! &lt;= 50, "0-50", IF(#REF! &lt;=100, "51-100", IF(#REF! &lt;= 150, "101-150", "151+")))</f>
        <v>#REF!</v>
      </c>
      <c r="Y2411" t="e">
        <f>IF(#REF! &lt;= 3, "Low Charges", "High Charges")</f>
        <v>#REF!</v>
      </c>
      <c r="Z2411" t="e">
        <f>IF(#REF!&lt;=80,"Low Calls",
IF(#REF!&lt;=120,"Medium Calls","High Calls"))</f>
        <v>#REF!</v>
      </c>
      <c r="AA2411" t="e">
        <f>IF(#REF!&lt;=15,"Low Charges",
IF(#REF!&lt;=20,"Medium Charges","High Charges"))</f>
        <v>#REF!</v>
      </c>
      <c r="AB2411" t="e">
        <f>IF(AND(#REF!&gt;180, #REF!&gt;200), "Heavy Doemstic User", IF(#REF!&gt;10, "Interntional User", IF(AND(#REF!&lt;180, #REF!&lt;200,#REF!&lt;200), "Light User", "Balanced User")))</f>
        <v>#REF!</v>
      </c>
      <c r="AC2411" t="e">
        <f>IF(#REF! = 0, "No Usage", IF(#REF! &lt;= 20, "Low Usage", IF(#REF! &lt;= 40, "Medium Usgae", "High Usage")))</f>
        <v>#REF!</v>
      </c>
      <c r="AD2411" t="e">
        <f>IF(#REF!&lt;=150,"Low Usage", IF(#REF!&lt;=200,"Medium Usage", IF(#REF!&lt;=250,"High Usage","Very High Usage")))</f>
        <v>#REF!</v>
      </c>
      <c r="AE2411" t="e">
        <f>IF(#REF!&lt;=5,"Low Calls", IF(#REF!&lt;=10, "Medium Calls", "High Calls"))</f>
        <v>#REF!</v>
      </c>
      <c r="AF2411" t="e">
        <f xml:space="preserve">
IF(#REF!&gt;=4,4,0)+
IF(#REF!="yes",3,0)+
IF(#REF!="High Charges",3,0)+
IF(#REF!&gt;250,4,0)+
IF(#REF!="no",1,0)+
IF(#REF!="Heavy Domestic User",2,0)</f>
        <v>#REF!</v>
      </c>
      <c r="AG2411" t="e">
        <f>IF(#REF!&gt;=10,"High Risk", IF(#REF!&gt;=5,"Medium Risk","Low Risk"))</f>
        <v>#REF!</v>
      </c>
      <c r="AH2411" t="e">
        <f>#REF! + #REF! + #REF! + #REF!</f>
        <v>#REF!</v>
      </c>
    </row>
    <row r="2412" spans="1:34" x14ac:dyDescent="0.35">
      <c r="A2412">
        <v>2411</v>
      </c>
      <c r="B2412" t="s">
        <v>57</v>
      </c>
      <c r="C2412">
        <v>116</v>
      </c>
      <c r="D2412" t="s">
        <v>21</v>
      </c>
      <c r="E2412" t="s">
        <v>22</v>
      </c>
      <c r="F2412" t="s">
        <v>22</v>
      </c>
      <c r="G2412">
        <v>0</v>
      </c>
      <c r="H2412">
        <v>63.7</v>
      </c>
      <c r="I2412">
        <v>101</v>
      </c>
      <c r="J2412">
        <v>10.83</v>
      </c>
      <c r="K2412">
        <v>195.8</v>
      </c>
      <c r="L2412">
        <v>95</v>
      </c>
      <c r="M2412">
        <v>16.64</v>
      </c>
      <c r="N2412">
        <v>210.1</v>
      </c>
      <c r="O2412">
        <v>87</v>
      </c>
      <c r="P2412">
        <v>9.4499999999999993</v>
      </c>
      <c r="Q2412">
        <v>10</v>
      </c>
      <c r="R2412">
        <v>6</v>
      </c>
      <c r="S2412">
        <v>2.7</v>
      </c>
      <c r="T2412">
        <v>1</v>
      </c>
      <c r="U2412" t="s">
        <v>22</v>
      </c>
      <c r="V2412" t="e">
        <f>IF(#REF! = "yes", 1, 0)</f>
        <v>#REF!</v>
      </c>
      <c r="W2412" t="e">
        <f>IF(#REF! &lt;= 1, "0-1 Calls", IF(#REF! &lt;= 3, "2-3 Calls", IF(#REF! &lt;=5, "4-5 Calls", "6+ Calls")))</f>
        <v>#REF!</v>
      </c>
      <c r="X2412" t="e">
        <f>IF(#REF! &lt;= 50, "0-50", IF(#REF! &lt;=100, "51-100", IF(#REF! &lt;= 150, "101-150", "151+")))</f>
        <v>#REF!</v>
      </c>
      <c r="Y2412" t="e">
        <f>IF(#REF! &lt;= 3, "Low Charges", "High Charges")</f>
        <v>#REF!</v>
      </c>
      <c r="Z2412" t="e">
        <f>IF(#REF!&lt;=80,"Low Calls",
IF(#REF!&lt;=120,"Medium Calls","High Calls"))</f>
        <v>#REF!</v>
      </c>
      <c r="AA2412" t="e">
        <f>IF(#REF!&lt;=15,"Low Charges",
IF(#REF!&lt;=20,"Medium Charges","High Charges"))</f>
        <v>#REF!</v>
      </c>
      <c r="AB2412" t="e">
        <f>IF(AND(#REF!&gt;180, #REF!&gt;200), "Heavy Doemstic User", IF(#REF!&gt;10, "Interntional User", IF(AND(#REF!&lt;180, #REF!&lt;200,#REF!&lt;200), "Light User", "Balanced User")))</f>
        <v>#REF!</v>
      </c>
      <c r="AC2412" t="e">
        <f>IF(#REF! = 0, "No Usage", IF(#REF! &lt;= 20, "Low Usage", IF(#REF! &lt;= 40, "Medium Usgae", "High Usage")))</f>
        <v>#REF!</v>
      </c>
      <c r="AD2412" t="e">
        <f>IF(#REF!&lt;=150,"Low Usage", IF(#REF!&lt;=200,"Medium Usage", IF(#REF!&lt;=250,"High Usage","Very High Usage")))</f>
        <v>#REF!</v>
      </c>
      <c r="AE2412" t="e">
        <f>IF(#REF!&lt;=5,"Low Calls", IF(#REF!&lt;=10, "Medium Calls", "High Calls"))</f>
        <v>#REF!</v>
      </c>
      <c r="AF2412" t="e">
        <f xml:space="preserve">
IF(#REF!&gt;=4,4,0)+
IF(#REF!="yes",3,0)+
IF(#REF!="High Charges",3,0)+
IF(#REF!&gt;250,4,0)+
IF(#REF!="no",1,0)+
IF(#REF!="Heavy Domestic User",2,0)</f>
        <v>#REF!</v>
      </c>
      <c r="AG2412" t="e">
        <f>IF(#REF!&gt;=10,"High Risk", IF(#REF!&gt;=5,"Medium Risk","Low Risk"))</f>
        <v>#REF!</v>
      </c>
      <c r="AH2412" t="e">
        <f>#REF! + #REF! + #REF! + #REF!</f>
        <v>#REF!</v>
      </c>
    </row>
    <row r="2413" spans="1:34" x14ac:dyDescent="0.35">
      <c r="A2413">
        <v>2412</v>
      </c>
      <c r="B2413" t="s">
        <v>46</v>
      </c>
      <c r="C2413">
        <v>161</v>
      </c>
      <c r="D2413" t="s">
        <v>21</v>
      </c>
      <c r="E2413" t="s">
        <v>22</v>
      </c>
      <c r="F2413" t="s">
        <v>22</v>
      </c>
      <c r="G2413">
        <v>0</v>
      </c>
      <c r="H2413">
        <v>173.4</v>
      </c>
      <c r="I2413">
        <v>100</v>
      </c>
      <c r="J2413">
        <v>29.48</v>
      </c>
      <c r="K2413">
        <v>213.7</v>
      </c>
      <c r="L2413">
        <v>74</v>
      </c>
      <c r="M2413">
        <v>18.16</v>
      </c>
      <c r="N2413">
        <v>141.5</v>
      </c>
      <c r="O2413">
        <v>69</v>
      </c>
      <c r="P2413">
        <v>6.37</v>
      </c>
      <c r="Q2413">
        <v>11.5</v>
      </c>
      <c r="R2413">
        <v>4</v>
      </c>
      <c r="S2413">
        <v>3.11</v>
      </c>
      <c r="T2413">
        <v>1</v>
      </c>
      <c r="U2413" t="s">
        <v>22</v>
      </c>
      <c r="V2413" t="e">
        <f>IF(#REF! = "yes", 1, 0)</f>
        <v>#REF!</v>
      </c>
      <c r="W2413" t="e">
        <f>IF(#REF! &lt;= 1, "0-1 Calls", IF(#REF! &lt;= 3, "2-3 Calls", IF(#REF! &lt;=5, "4-5 Calls", "6+ Calls")))</f>
        <v>#REF!</v>
      </c>
      <c r="X2413" t="e">
        <f>IF(#REF! &lt;= 50, "0-50", IF(#REF! &lt;=100, "51-100", IF(#REF! &lt;= 150, "101-150", "151+")))</f>
        <v>#REF!</v>
      </c>
      <c r="Y2413" t="e">
        <f>IF(#REF! &lt;= 3, "Low Charges", "High Charges")</f>
        <v>#REF!</v>
      </c>
      <c r="Z2413" t="e">
        <f>IF(#REF!&lt;=80,"Low Calls",
IF(#REF!&lt;=120,"Medium Calls","High Calls"))</f>
        <v>#REF!</v>
      </c>
      <c r="AA2413" t="e">
        <f>IF(#REF!&lt;=15,"Low Charges",
IF(#REF!&lt;=20,"Medium Charges","High Charges"))</f>
        <v>#REF!</v>
      </c>
      <c r="AB2413" t="e">
        <f>IF(AND(#REF!&gt;180, #REF!&gt;200), "Heavy Doemstic User", IF(#REF!&gt;10, "Interntional User", IF(AND(#REF!&lt;180, #REF!&lt;200,#REF!&lt;200), "Light User", "Balanced User")))</f>
        <v>#REF!</v>
      </c>
      <c r="AC2413" t="e">
        <f>IF(#REF! = 0, "No Usage", IF(#REF! &lt;= 20, "Low Usage", IF(#REF! &lt;= 40, "Medium Usgae", "High Usage")))</f>
        <v>#REF!</v>
      </c>
      <c r="AD2413" t="e">
        <f>IF(#REF!&lt;=150,"Low Usage", IF(#REF!&lt;=200,"Medium Usage", IF(#REF!&lt;=250,"High Usage","Very High Usage")))</f>
        <v>#REF!</v>
      </c>
      <c r="AE2413" t="e">
        <f>IF(#REF!&lt;=5,"Low Calls", IF(#REF!&lt;=10, "Medium Calls", "High Calls"))</f>
        <v>#REF!</v>
      </c>
      <c r="AF2413" t="e">
        <f xml:space="preserve">
IF(#REF!&gt;=4,4,0)+
IF(#REF!="yes",3,0)+
IF(#REF!="High Charges",3,0)+
IF(#REF!&gt;250,4,0)+
IF(#REF!="no",1,0)+
IF(#REF!="Heavy Domestic User",2,0)</f>
        <v>#REF!</v>
      </c>
      <c r="AG2413" t="e">
        <f>IF(#REF!&gt;=10,"High Risk", IF(#REF!&gt;=5,"Medium Risk","Low Risk"))</f>
        <v>#REF!</v>
      </c>
      <c r="AH2413" t="e">
        <f>#REF! + #REF! + #REF! + #REF!</f>
        <v>#REF!</v>
      </c>
    </row>
    <row r="2414" spans="1:34" x14ac:dyDescent="0.35">
      <c r="A2414">
        <v>2413</v>
      </c>
      <c r="B2414" t="s">
        <v>31</v>
      </c>
      <c r="C2414">
        <v>104</v>
      </c>
      <c r="D2414" t="s">
        <v>21</v>
      </c>
      <c r="E2414" t="s">
        <v>22</v>
      </c>
      <c r="F2414" t="s">
        <v>22</v>
      </c>
      <c r="G2414">
        <v>0</v>
      </c>
      <c r="H2414">
        <v>225.9</v>
      </c>
      <c r="I2414">
        <v>123</v>
      </c>
      <c r="J2414">
        <v>38.4</v>
      </c>
      <c r="K2414">
        <v>162.80000000000001</v>
      </c>
      <c r="L2414">
        <v>106</v>
      </c>
      <c r="M2414">
        <v>13.84</v>
      </c>
      <c r="N2414">
        <v>272.10000000000002</v>
      </c>
      <c r="O2414">
        <v>85</v>
      </c>
      <c r="P2414">
        <v>12.24</v>
      </c>
      <c r="Q2414">
        <v>10.1</v>
      </c>
      <c r="R2414">
        <v>4</v>
      </c>
      <c r="S2414">
        <v>2.73</v>
      </c>
      <c r="T2414">
        <v>1</v>
      </c>
      <c r="U2414" t="s">
        <v>22</v>
      </c>
      <c r="V2414" t="e">
        <f>IF(#REF! = "yes", 1, 0)</f>
        <v>#REF!</v>
      </c>
      <c r="W2414" t="e">
        <f>IF(#REF! &lt;= 1, "0-1 Calls", IF(#REF! &lt;= 3, "2-3 Calls", IF(#REF! &lt;=5, "4-5 Calls", "6+ Calls")))</f>
        <v>#REF!</v>
      </c>
      <c r="X2414" t="e">
        <f>IF(#REF! &lt;= 50, "0-50", IF(#REF! &lt;=100, "51-100", IF(#REF! &lt;= 150, "101-150", "151+")))</f>
        <v>#REF!</v>
      </c>
      <c r="Y2414" t="e">
        <f>IF(#REF! &lt;= 3, "Low Charges", "High Charges")</f>
        <v>#REF!</v>
      </c>
      <c r="Z2414" t="e">
        <f>IF(#REF!&lt;=80,"Low Calls",
IF(#REF!&lt;=120,"Medium Calls","High Calls"))</f>
        <v>#REF!</v>
      </c>
      <c r="AA2414" t="e">
        <f>IF(#REF!&lt;=15,"Low Charges",
IF(#REF!&lt;=20,"Medium Charges","High Charges"))</f>
        <v>#REF!</v>
      </c>
      <c r="AB2414" t="e">
        <f>IF(AND(#REF!&gt;180, #REF!&gt;200), "Heavy Doemstic User", IF(#REF!&gt;10, "Interntional User", IF(AND(#REF!&lt;180, #REF!&lt;200,#REF!&lt;200), "Light User", "Balanced User")))</f>
        <v>#REF!</v>
      </c>
      <c r="AC2414" t="e">
        <f>IF(#REF! = 0, "No Usage", IF(#REF! &lt;= 20, "Low Usage", IF(#REF! &lt;= 40, "Medium Usgae", "High Usage")))</f>
        <v>#REF!</v>
      </c>
      <c r="AD2414" t="e">
        <f>IF(#REF!&lt;=150,"Low Usage", IF(#REF!&lt;=200,"Medium Usage", IF(#REF!&lt;=250,"High Usage","Very High Usage")))</f>
        <v>#REF!</v>
      </c>
      <c r="AE2414" t="e">
        <f>IF(#REF!&lt;=5,"Low Calls", IF(#REF!&lt;=10, "Medium Calls", "High Calls"))</f>
        <v>#REF!</v>
      </c>
      <c r="AF2414" t="e">
        <f xml:space="preserve">
IF(#REF!&gt;=4,4,0)+
IF(#REF!="yes",3,0)+
IF(#REF!="High Charges",3,0)+
IF(#REF!&gt;250,4,0)+
IF(#REF!="no",1,0)+
IF(#REF!="Heavy Domestic User",2,0)</f>
        <v>#REF!</v>
      </c>
      <c r="AG2414" t="e">
        <f>IF(#REF!&gt;=10,"High Risk", IF(#REF!&gt;=5,"Medium Risk","Low Risk"))</f>
        <v>#REF!</v>
      </c>
      <c r="AH2414" t="e">
        <f>#REF! + #REF! + #REF! + #REF!</f>
        <v>#REF!</v>
      </c>
    </row>
    <row r="2415" spans="1:34" x14ac:dyDescent="0.35">
      <c r="A2415">
        <v>2414</v>
      </c>
      <c r="B2415" t="s">
        <v>37</v>
      </c>
      <c r="C2415">
        <v>119</v>
      </c>
      <c r="D2415" t="s">
        <v>21</v>
      </c>
      <c r="E2415" t="s">
        <v>23</v>
      </c>
      <c r="F2415" t="s">
        <v>23</v>
      </c>
      <c r="G2415">
        <v>32</v>
      </c>
      <c r="H2415">
        <v>173</v>
      </c>
      <c r="I2415">
        <v>101</v>
      </c>
      <c r="J2415">
        <v>29.41</v>
      </c>
      <c r="K2415">
        <v>209.4</v>
      </c>
      <c r="L2415">
        <v>93</v>
      </c>
      <c r="M2415">
        <v>17.8</v>
      </c>
      <c r="N2415">
        <v>231.1</v>
      </c>
      <c r="O2415">
        <v>91</v>
      </c>
      <c r="P2415">
        <v>10.4</v>
      </c>
      <c r="Q2415">
        <v>12.2</v>
      </c>
      <c r="R2415">
        <v>4</v>
      </c>
      <c r="S2415">
        <v>3.29</v>
      </c>
      <c r="T2415">
        <v>0</v>
      </c>
      <c r="U2415" t="s">
        <v>22</v>
      </c>
      <c r="V2415" t="e">
        <f>IF(#REF! = "yes", 1, 0)</f>
        <v>#REF!</v>
      </c>
      <c r="W2415" t="e">
        <f>IF(#REF! &lt;= 1, "0-1 Calls", IF(#REF! &lt;= 3, "2-3 Calls", IF(#REF! &lt;=5, "4-5 Calls", "6+ Calls")))</f>
        <v>#REF!</v>
      </c>
      <c r="X2415" t="e">
        <f>IF(#REF! &lt;= 50, "0-50", IF(#REF! &lt;=100, "51-100", IF(#REF! &lt;= 150, "101-150", "151+")))</f>
        <v>#REF!</v>
      </c>
      <c r="Y2415" t="e">
        <f>IF(#REF! &lt;= 3, "Low Charges", "High Charges")</f>
        <v>#REF!</v>
      </c>
      <c r="Z2415" t="e">
        <f>IF(#REF!&lt;=80,"Low Calls",
IF(#REF!&lt;=120,"Medium Calls","High Calls"))</f>
        <v>#REF!</v>
      </c>
      <c r="AA2415" t="e">
        <f>IF(#REF!&lt;=15,"Low Charges",
IF(#REF!&lt;=20,"Medium Charges","High Charges"))</f>
        <v>#REF!</v>
      </c>
      <c r="AB2415" t="e">
        <f>IF(AND(#REF!&gt;180, #REF!&gt;200), "Heavy Doemstic User", IF(#REF!&gt;10, "Interntional User", IF(AND(#REF!&lt;180, #REF!&lt;200,#REF!&lt;200), "Light User", "Balanced User")))</f>
        <v>#REF!</v>
      </c>
      <c r="AC2415" t="e">
        <f>IF(#REF! = 0, "No Usage", IF(#REF! &lt;= 20, "Low Usage", IF(#REF! &lt;= 40, "Medium Usgae", "High Usage")))</f>
        <v>#REF!</v>
      </c>
      <c r="AD2415" t="e">
        <f>IF(#REF!&lt;=150,"Low Usage", IF(#REF!&lt;=200,"Medium Usage", IF(#REF!&lt;=250,"High Usage","Very High Usage")))</f>
        <v>#REF!</v>
      </c>
      <c r="AE2415" t="e">
        <f>IF(#REF!&lt;=5,"Low Calls", IF(#REF!&lt;=10, "Medium Calls", "High Calls"))</f>
        <v>#REF!</v>
      </c>
      <c r="AF2415" t="e">
        <f xml:space="preserve">
IF(#REF!&gt;=4,4,0)+
IF(#REF!="yes",3,0)+
IF(#REF!="High Charges",3,0)+
IF(#REF!&gt;250,4,0)+
IF(#REF!="no",1,0)+
IF(#REF!="Heavy Domestic User",2,0)</f>
        <v>#REF!</v>
      </c>
      <c r="AG2415" t="e">
        <f>IF(#REF!&gt;=10,"High Risk", IF(#REF!&gt;=5,"Medium Risk","Low Risk"))</f>
        <v>#REF!</v>
      </c>
      <c r="AH2415" t="e">
        <f>#REF! + #REF! + #REF! + #REF!</f>
        <v>#REF!</v>
      </c>
    </row>
    <row r="2416" spans="1:34" x14ac:dyDescent="0.35">
      <c r="A2416">
        <v>2415</v>
      </c>
      <c r="B2416" t="s">
        <v>49</v>
      </c>
      <c r="C2416">
        <v>125</v>
      </c>
      <c r="D2416" t="s">
        <v>21</v>
      </c>
      <c r="E2416" t="s">
        <v>22</v>
      </c>
      <c r="F2416" t="s">
        <v>22</v>
      </c>
      <c r="G2416">
        <v>0</v>
      </c>
      <c r="H2416">
        <v>224.9</v>
      </c>
      <c r="I2416">
        <v>102</v>
      </c>
      <c r="J2416">
        <v>38.229999999999997</v>
      </c>
      <c r="K2416">
        <v>143.80000000000001</v>
      </c>
      <c r="L2416">
        <v>87</v>
      </c>
      <c r="M2416">
        <v>12.22</v>
      </c>
      <c r="N2416">
        <v>198.9</v>
      </c>
      <c r="O2416">
        <v>105</v>
      </c>
      <c r="P2416">
        <v>8.9499999999999993</v>
      </c>
      <c r="Q2416">
        <v>8</v>
      </c>
      <c r="R2416">
        <v>2</v>
      </c>
      <c r="S2416">
        <v>2.16</v>
      </c>
      <c r="T2416">
        <v>0</v>
      </c>
      <c r="U2416" t="s">
        <v>22</v>
      </c>
      <c r="V2416" t="e">
        <f>IF(#REF! = "yes", 1, 0)</f>
        <v>#REF!</v>
      </c>
      <c r="W2416" t="e">
        <f>IF(#REF! &lt;= 1, "0-1 Calls", IF(#REF! &lt;= 3, "2-3 Calls", IF(#REF! &lt;=5, "4-5 Calls", "6+ Calls")))</f>
        <v>#REF!</v>
      </c>
      <c r="X2416" t="e">
        <f>IF(#REF! &lt;= 50, "0-50", IF(#REF! &lt;=100, "51-100", IF(#REF! &lt;= 150, "101-150", "151+")))</f>
        <v>#REF!</v>
      </c>
      <c r="Y2416" t="e">
        <f>IF(#REF! &lt;= 3, "Low Charges", "High Charges")</f>
        <v>#REF!</v>
      </c>
      <c r="Z2416" t="e">
        <f>IF(#REF!&lt;=80,"Low Calls",
IF(#REF!&lt;=120,"Medium Calls","High Calls"))</f>
        <v>#REF!</v>
      </c>
      <c r="AA2416" t="e">
        <f>IF(#REF!&lt;=15,"Low Charges",
IF(#REF!&lt;=20,"Medium Charges","High Charges"))</f>
        <v>#REF!</v>
      </c>
      <c r="AB2416" t="e">
        <f>IF(AND(#REF!&gt;180, #REF!&gt;200), "Heavy Doemstic User", IF(#REF!&gt;10, "Interntional User", IF(AND(#REF!&lt;180, #REF!&lt;200,#REF!&lt;200), "Light User", "Balanced User")))</f>
        <v>#REF!</v>
      </c>
      <c r="AC2416" t="e">
        <f>IF(#REF! = 0, "No Usage", IF(#REF! &lt;= 20, "Low Usage", IF(#REF! &lt;= 40, "Medium Usgae", "High Usage")))</f>
        <v>#REF!</v>
      </c>
      <c r="AD2416" t="e">
        <f>IF(#REF!&lt;=150,"Low Usage", IF(#REF!&lt;=200,"Medium Usage", IF(#REF!&lt;=250,"High Usage","Very High Usage")))</f>
        <v>#REF!</v>
      </c>
      <c r="AE2416" t="e">
        <f>IF(#REF!&lt;=5,"Low Calls", IF(#REF!&lt;=10, "Medium Calls", "High Calls"))</f>
        <v>#REF!</v>
      </c>
      <c r="AF2416" t="e">
        <f xml:space="preserve">
IF(#REF!&gt;=4,4,0)+
IF(#REF!="yes",3,0)+
IF(#REF!="High Charges",3,0)+
IF(#REF!&gt;250,4,0)+
IF(#REF!="no",1,0)+
IF(#REF!="Heavy Domestic User",2,0)</f>
        <v>#REF!</v>
      </c>
      <c r="AG2416" t="e">
        <f>IF(#REF!&gt;=10,"High Risk", IF(#REF!&gt;=5,"Medium Risk","Low Risk"))</f>
        <v>#REF!</v>
      </c>
      <c r="AH2416" t="e">
        <f>#REF! + #REF! + #REF! + #REF!</f>
        <v>#REF!</v>
      </c>
    </row>
    <row r="2417" spans="1:34" x14ac:dyDescent="0.35">
      <c r="A2417">
        <v>2416</v>
      </c>
      <c r="B2417" t="s">
        <v>44</v>
      </c>
      <c r="C2417">
        <v>109</v>
      </c>
      <c r="D2417" t="s">
        <v>21</v>
      </c>
      <c r="E2417" t="s">
        <v>22</v>
      </c>
      <c r="F2417" t="s">
        <v>22</v>
      </c>
      <c r="G2417">
        <v>0</v>
      </c>
      <c r="H2417">
        <v>137</v>
      </c>
      <c r="I2417">
        <v>128</v>
      </c>
      <c r="J2417">
        <v>23.29</v>
      </c>
      <c r="K2417">
        <v>217</v>
      </c>
      <c r="L2417">
        <v>116</v>
      </c>
      <c r="M2417">
        <v>18.45</v>
      </c>
      <c r="N2417">
        <v>182.1</v>
      </c>
      <c r="O2417">
        <v>86</v>
      </c>
      <c r="P2417">
        <v>8.19</v>
      </c>
      <c r="Q2417">
        <v>10</v>
      </c>
      <c r="R2417">
        <v>5</v>
      </c>
      <c r="S2417">
        <v>2.7</v>
      </c>
      <c r="T2417">
        <v>2</v>
      </c>
      <c r="U2417" t="s">
        <v>22</v>
      </c>
      <c r="V2417" t="e">
        <f>IF(#REF! = "yes", 1, 0)</f>
        <v>#REF!</v>
      </c>
      <c r="W2417" t="e">
        <f>IF(#REF! &lt;= 1, "0-1 Calls", IF(#REF! &lt;= 3, "2-3 Calls", IF(#REF! &lt;=5, "4-5 Calls", "6+ Calls")))</f>
        <v>#REF!</v>
      </c>
      <c r="X2417" t="e">
        <f>IF(#REF! &lt;= 50, "0-50", IF(#REF! &lt;=100, "51-100", IF(#REF! &lt;= 150, "101-150", "151+")))</f>
        <v>#REF!</v>
      </c>
      <c r="Y2417" t="e">
        <f>IF(#REF! &lt;= 3, "Low Charges", "High Charges")</f>
        <v>#REF!</v>
      </c>
      <c r="Z2417" t="e">
        <f>IF(#REF!&lt;=80,"Low Calls",
IF(#REF!&lt;=120,"Medium Calls","High Calls"))</f>
        <v>#REF!</v>
      </c>
      <c r="AA2417" t="e">
        <f>IF(#REF!&lt;=15,"Low Charges",
IF(#REF!&lt;=20,"Medium Charges","High Charges"))</f>
        <v>#REF!</v>
      </c>
      <c r="AB2417" t="e">
        <f>IF(AND(#REF!&gt;180, #REF!&gt;200), "Heavy Doemstic User", IF(#REF!&gt;10, "Interntional User", IF(AND(#REF!&lt;180, #REF!&lt;200,#REF!&lt;200), "Light User", "Balanced User")))</f>
        <v>#REF!</v>
      </c>
      <c r="AC2417" t="e">
        <f>IF(#REF! = 0, "No Usage", IF(#REF! &lt;= 20, "Low Usage", IF(#REF! &lt;= 40, "Medium Usgae", "High Usage")))</f>
        <v>#REF!</v>
      </c>
      <c r="AD2417" t="e">
        <f>IF(#REF!&lt;=150,"Low Usage", IF(#REF!&lt;=200,"Medium Usage", IF(#REF!&lt;=250,"High Usage","Very High Usage")))</f>
        <v>#REF!</v>
      </c>
      <c r="AE2417" t="e">
        <f>IF(#REF!&lt;=5,"Low Calls", IF(#REF!&lt;=10, "Medium Calls", "High Calls"))</f>
        <v>#REF!</v>
      </c>
      <c r="AF2417" t="e">
        <f xml:space="preserve">
IF(#REF!&gt;=4,4,0)+
IF(#REF!="yes",3,0)+
IF(#REF!="High Charges",3,0)+
IF(#REF!&gt;250,4,0)+
IF(#REF!="no",1,0)+
IF(#REF!="Heavy Domestic User",2,0)</f>
        <v>#REF!</v>
      </c>
      <c r="AG2417" t="e">
        <f>IF(#REF!&gt;=10,"High Risk", IF(#REF!&gt;=5,"Medium Risk","Low Risk"))</f>
        <v>#REF!</v>
      </c>
      <c r="AH2417" t="e">
        <f>#REF! + #REF! + #REF! + #REF!</f>
        <v>#REF!</v>
      </c>
    </row>
    <row r="2418" spans="1:34" x14ac:dyDescent="0.35">
      <c r="A2418">
        <v>2417</v>
      </c>
      <c r="B2418" t="s">
        <v>46</v>
      </c>
      <c r="C2418">
        <v>95</v>
      </c>
      <c r="D2418" t="s">
        <v>28</v>
      </c>
      <c r="E2418" t="s">
        <v>22</v>
      </c>
      <c r="F2418" t="s">
        <v>22</v>
      </c>
      <c r="G2418">
        <v>0</v>
      </c>
      <c r="H2418">
        <v>142.5</v>
      </c>
      <c r="I2418">
        <v>109</v>
      </c>
      <c r="J2418">
        <v>24.23</v>
      </c>
      <c r="K2418">
        <v>176.1</v>
      </c>
      <c r="L2418">
        <v>107</v>
      </c>
      <c r="M2418">
        <v>14.97</v>
      </c>
      <c r="N2418">
        <v>189.6</v>
      </c>
      <c r="O2418">
        <v>88</v>
      </c>
      <c r="P2418">
        <v>8.5299999999999994</v>
      </c>
      <c r="Q2418">
        <v>8.1999999999999993</v>
      </c>
      <c r="R2418">
        <v>3</v>
      </c>
      <c r="S2418">
        <v>2.21</v>
      </c>
      <c r="T2418">
        <v>2</v>
      </c>
      <c r="U2418" t="s">
        <v>22</v>
      </c>
      <c r="V2418" t="e">
        <f>IF(#REF! = "yes", 1, 0)</f>
        <v>#REF!</v>
      </c>
      <c r="W2418" t="e">
        <f>IF(#REF! &lt;= 1, "0-1 Calls", IF(#REF! &lt;= 3, "2-3 Calls", IF(#REF! &lt;=5, "4-5 Calls", "6+ Calls")))</f>
        <v>#REF!</v>
      </c>
      <c r="X2418" t="e">
        <f>IF(#REF! &lt;= 50, "0-50", IF(#REF! &lt;=100, "51-100", IF(#REF! &lt;= 150, "101-150", "151+")))</f>
        <v>#REF!</v>
      </c>
      <c r="Y2418" t="e">
        <f>IF(#REF! &lt;= 3, "Low Charges", "High Charges")</f>
        <v>#REF!</v>
      </c>
      <c r="Z2418" t="e">
        <f>IF(#REF!&lt;=80,"Low Calls",
IF(#REF!&lt;=120,"Medium Calls","High Calls"))</f>
        <v>#REF!</v>
      </c>
      <c r="AA2418" t="e">
        <f>IF(#REF!&lt;=15,"Low Charges",
IF(#REF!&lt;=20,"Medium Charges","High Charges"))</f>
        <v>#REF!</v>
      </c>
      <c r="AB2418" t="e">
        <f>IF(AND(#REF!&gt;180, #REF!&gt;200), "Heavy Doemstic User", IF(#REF!&gt;10, "Interntional User", IF(AND(#REF!&lt;180, #REF!&lt;200,#REF!&lt;200), "Light User", "Balanced User")))</f>
        <v>#REF!</v>
      </c>
      <c r="AC2418" t="e">
        <f>IF(#REF! = 0, "No Usage", IF(#REF! &lt;= 20, "Low Usage", IF(#REF! &lt;= 40, "Medium Usgae", "High Usage")))</f>
        <v>#REF!</v>
      </c>
      <c r="AD2418" t="e">
        <f>IF(#REF!&lt;=150,"Low Usage", IF(#REF!&lt;=200,"Medium Usage", IF(#REF!&lt;=250,"High Usage","Very High Usage")))</f>
        <v>#REF!</v>
      </c>
      <c r="AE2418" t="e">
        <f>IF(#REF!&lt;=5,"Low Calls", IF(#REF!&lt;=10, "Medium Calls", "High Calls"))</f>
        <v>#REF!</v>
      </c>
      <c r="AF2418" t="e">
        <f xml:space="preserve">
IF(#REF!&gt;=4,4,0)+
IF(#REF!="yes",3,0)+
IF(#REF!="High Charges",3,0)+
IF(#REF!&gt;250,4,0)+
IF(#REF!="no",1,0)+
IF(#REF!="Heavy Domestic User",2,0)</f>
        <v>#REF!</v>
      </c>
      <c r="AG2418" t="e">
        <f>IF(#REF!&gt;=10,"High Risk", IF(#REF!&gt;=5,"Medium Risk","Low Risk"))</f>
        <v>#REF!</v>
      </c>
      <c r="AH2418" t="e">
        <f>#REF! + #REF! + #REF! + #REF!</f>
        <v>#REF!</v>
      </c>
    </row>
    <row r="2419" spans="1:34" x14ac:dyDescent="0.35">
      <c r="A2419">
        <v>2418</v>
      </c>
      <c r="B2419" t="s">
        <v>60</v>
      </c>
      <c r="C2419">
        <v>90</v>
      </c>
      <c r="D2419" t="s">
        <v>25</v>
      </c>
      <c r="E2419" t="s">
        <v>22</v>
      </c>
      <c r="F2419" t="s">
        <v>22</v>
      </c>
      <c r="G2419">
        <v>0</v>
      </c>
      <c r="H2419">
        <v>142.4</v>
      </c>
      <c r="I2419">
        <v>126</v>
      </c>
      <c r="J2419">
        <v>24.21</v>
      </c>
      <c r="K2419">
        <v>126.2</v>
      </c>
      <c r="L2419">
        <v>118</v>
      </c>
      <c r="M2419">
        <v>10.73</v>
      </c>
      <c r="N2419">
        <v>274.2</v>
      </c>
      <c r="O2419">
        <v>71</v>
      </c>
      <c r="P2419">
        <v>12.34</v>
      </c>
      <c r="Q2419">
        <v>4.5999999999999996</v>
      </c>
      <c r="R2419">
        <v>4</v>
      </c>
      <c r="S2419">
        <v>1.24</v>
      </c>
      <c r="T2419">
        <v>1</v>
      </c>
      <c r="U2419" t="s">
        <v>22</v>
      </c>
      <c r="V2419" t="e">
        <f>IF(#REF! = "yes", 1, 0)</f>
        <v>#REF!</v>
      </c>
      <c r="W2419" t="e">
        <f>IF(#REF! &lt;= 1, "0-1 Calls", IF(#REF! &lt;= 3, "2-3 Calls", IF(#REF! &lt;=5, "4-5 Calls", "6+ Calls")))</f>
        <v>#REF!</v>
      </c>
      <c r="X2419" t="e">
        <f>IF(#REF! &lt;= 50, "0-50", IF(#REF! &lt;=100, "51-100", IF(#REF! &lt;= 150, "101-150", "151+")))</f>
        <v>#REF!</v>
      </c>
      <c r="Y2419" t="e">
        <f>IF(#REF! &lt;= 3, "Low Charges", "High Charges")</f>
        <v>#REF!</v>
      </c>
      <c r="Z2419" t="e">
        <f>IF(#REF!&lt;=80,"Low Calls",
IF(#REF!&lt;=120,"Medium Calls","High Calls"))</f>
        <v>#REF!</v>
      </c>
      <c r="AA2419" t="e">
        <f>IF(#REF!&lt;=15,"Low Charges",
IF(#REF!&lt;=20,"Medium Charges","High Charges"))</f>
        <v>#REF!</v>
      </c>
      <c r="AB2419" t="e">
        <f>IF(AND(#REF!&gt;180, #REF!&gt;200), "Heavy Doemstic User", IF(#REF!&gt;10, "Interntional User", IF(AND(#REF!&lt;180, #REF!&lt;200,#REF!&lt;200), "Light User", "Balanced User")))</f>
        <v>#REF!</v>
      </c>
      <c r="AC2419" t="e">
        <f>IF(#REF! = 0, "No Usage", IF(#REF! &lt;= 20, "Low Usage", IF(#REF! &lt;= 40, "Medium Usgae", "High Usage")))</f>
        <v>#REF!</v>
      </c>
      <c r="AD2419" t="e">
        <f>IF(#REF!&lt;=150,"Low Usage", IF(#REF!&lt;=200,"Medium Usage", IF(#REF!&lt;=250,"High Usage","Very High Usage")))</f>
        <v>#REF!</v>
      </c>
      <c r="AE2419" t="e">
        <f>IF(#REF!&lt;=5,"Low Calls", IF(#REF!&lt;=10, "Medium Calls", "High Calls"))</f>
        <v>#REF!</v>
      </c>
      <c r="AF2419" t="e">
        <f xml:space="preserve">
IF(#REF!&gt;=4,4,0)+
IF(#REF!="yes",3,0)+
IF(#REF!="High Charges",3,0)+
IF(#REF!&gt;250,4,0)+
IF(#REF!="no",1,0)+
IF(#REF!="Heavy Domestic User",2,0)</f>
        <v>#REF!</v>
      </c>
      <c r="AG2419" t="e">
        <f>IF(#REF!&gt;=10,"High Risk", IF(#REF!&gt;=5,"Medium Risk","Low Risk"))</f>
        <v>#REF!</v>
      </c>
      <c r="AH2419" t="e">
        <f>#REF! + #REF! + #REF! + #REF!</f>
        <v>#REF!</v>
      </c>
    </row>
    <row r="2420" spans="1:34" x14ac:dyDescent="0.35">
      <c r="A2420">
        <v>2419</v>
      </c>
      <c r="B2420" t="s">
        <v>27</v>
      </c>
      <c r="C2420">
        <v>105</v>
      </c>
      <c r="D2420" t="s">
        <v>21</v>
      </c>
      <c r="E2420" t="s">
        <v>22</v>
      </c>
      <c r="F2420" t="s">
        <v>23</v>
      </c>
      <c r="G2420">
        <v>21</v>
      </c>
      <c r="H2420">
        <v>147</v>
      </c>
      <c r="I2420">
        <v>112</v>
      </c>
      <c r="J2420">
        <v>24.99</v>
      </c>
      <c r="K2420">
        <v>197.3</v>
      </c>
      <c r="L2420">
        <v>43</v>
      </c>
      <c r="M2420">
        <v>16.77</v>
      </c>
      <c r="N2420">
        <v>267.39999999999998</v>
      </c>
      <c r="O2420">
        <v>93</v>
      </c>
      <c r="P2420">
        <v>12.03</v>
      </c>
      <c r="Q2420">
        <v>8.6999999999999993</v>
      </c>
      <c r="R2420">
        <v>3</v>
      </c>
      <c r="S2420">
        <v>2.35</v>
      </c>
      <c r="T2420">
        <v>2</v>
      </c>
      <c r="U2420" t="s">
        <v>22</v>
      </c>
      <c r="V2420" t="e">
        <f>IF(#REF! = "yes", 1, 0)</f>
        <v>#REF!</v>
      </c>
      <c r="W2420" t="e">
        <f>IF(#REF! &lt;= 1, "0-1 Calls", IF(#REF! &lt;= 3, "2-3 Calls", IF(#REF! &lt;=5, "4-5 Calls", "6+ Calls")))</f>
        <v>#REF!</v>
      </c>
      <c r="X2420" t="e">
        <f>IF(#REF! &lt;= 50, "0-50", IF(#REF! &lt;=100, "51-100", IF(#REF! &lt;= 150, "101-150", "151+")))</f>
        <v>#REF!</v>
      </c>
      <c r="Y2420" t="e">
        <f>IF(#REF! &lt;= 3, "Low Charges", "High Charges")</f>
        <v>#REF!</v>
      </c>
      <c r="Z2420" t="e">
        <f>IF(#REF!&lt;=80,"Low Calls",
IF(#REF!&lt;=120,"Medium Calls","High Calls"))</f>
        <v>#REF!</v>
      </c>
      <c r="AA2420" t="e">
        <f>IF(#REF!&lt;=15,"Low Charges",
IF(#REF!&lt;=20,"Medium Charges","High Charges"))</f>
        <v>#REF!</v>
      </c>
      <c r="AB2420" t="e">
        <f>IF(AND(#REF!&gt;180, #REF!&gt;200), "Heavy Doemstic User", IF(#REF!&gt;10, "Interntional User", IF(AND(#REF!&lt;180, #REF!&lt;200,#REF!&lt;200), "Light User", "Balanced User")))</f>
        <v>#REF!</v>
      </c>
      <c r="AC2420" t="e">
        <f>IF(#REF! = 0, "No Usage", IF(#REF! &lt;= 20, "Low Usage", IF(#REF! &lt;= 40, "Medium Usgae", "High Usage")))</f>
        <v>#REF!</v>
      </c>
      <c r="AD2420" t="e">
        <f>IF(#REF!&lt;=150,"Low Usage", IF(#REF!&lt;=200,"Medium Usage", IF(#REF!&lt;=250,"High Usage","Very High Usage")))</f>
        <v>#REF!</v>
      </c>
      <c r="AE2420" t="e">
        <f>IF(#REF!&lt;=5,"Low Calls", IF(#REF!&lt;=10, "Medium Calls", "High Calls"))</f>
        <v>#REF!</v>
      </c>
      <c r="AF2420" t="e">
        <f xml:space="preserve">
IF(#REF!&gt;=4,4,0)+
IF(#REF!="yes",3,0)+
IF(#REF!="High Charges",3,0)+
IF(#REF!&gt;250,4,0)+
IF(#REF!="no",1,0)+
IF(#REF!="Heavy Domestic User",2,0)</f>
        <v>#REF!</v>
      </c>
      <c r="AG2420" t="e">
        <f>IF(#REF!&gt;=10,"High Risk", IF(#REF!&gt;=5,"Medium Risk","Low Risk"))</f>
        <v>#REF!</v>
      </c>
      <c r="AH2420" t="e">
        <f>#REF! + #REF! + #REF! + #REF!</f>
        <v>#REF!</v>
      </c>
    </row>
    <row r="2421" spans="1:34" x14ac:dyDescent="0.35">
      <c r="A2421">
        <v>2420</v>
      </c>
      <c r="B2421" t="s">
        <v>60</v>
      </c>
      <c r="C2421">
        <v>95</v>
      </c>
      <c r="D2421" t="s">
        <v>21</v>
      </c>
      <c r="E2421" t="s">
        <v>22</v>
      </c>
      <c r="F2421" t="s">
        <v>22</v>
      </c>
      <c r="G2421">
        <v>0</v>
      </c>
      <c r="H2421">
        <v>149.19999999999999</v>
      </c>
      <c r="I2421">
        <v>96</v>
      </c>
      <c r="J2421">
        <v>25.36</v>
      </c>
      <c r="K2421">
        <v>260.7</v>
      </c>
      <c r="L2421">
        <v>116</v>
      </c>
      <c r="M2421">
        <v>22.16</v>
      </c>
      <c r="N2421">
        <v>201</v>
      </c>
      <c r="O2421">
        <v>120</v>
      </c>
      <c r="P2421">
        <v>9.0500000000000007</v>
      </c>
      <c r="Q2421">
        <v>8.1</v>
      </c>
      <c r="R2421">
        <v>2</v>
      </c>
      <c r="S2421">
        <v>2.19</v>
      </c>
      <c r="T2421">
        <v>1</v>
      </c>
      <c r="U2421" t="s">
        <v>22</v>
      </c>
      <c r="V2421" t="e">
        <f>IF(#REF! = "yes", 1, 0)</f>
        <v>#REF!</v>
      </c>
      <c r="W2421" t="e">
        <f>IF(#REF! &lt;= 1, "0-1 Calls", IF(#REF! &lt;= 3, "2-3 Calls", IF(#REF! &lt;=5, "4-5 Calls", "6+ Calls")))</f>
        <v>#REF!</v>
      </c>
      <c r="X2421" t="e">
        <f>IF(#REF! &lt;= 50, "0-50", IF(#REF! &lt;=100, "51-100", IF(#REF! &lt;= 150, "101-150", "151+")))</f>
        <v>#REF!</v>
      </c>
      <c r="Y2421" t="e">
        <f>IF(#REF! &lt;= 3, "Low Charges", "High Charges")</f>
        <v>#REF!</v>
      </c>
      <c r="Z2421" t="e">
        <f>IF(#REF!&lt;=80,"Low Calls",
IF(#REF!&lt;=120,"Medium Calls","High Calls"))</f>
        <v>#REF!</v>
      </c>
      <c r="AA2421" t="e">
        <f>IF(#REF!&lt;=15,"Low Charges",
IF(#REF!&lt;=20,"Medium Charges","High Charges"))</f>
        <v>#REF!</v>
      </c>
      <c r="AB2421" t="e">
        <f>IF(AND(#REF!&gt;180, #REF!&gt;200), "Heavy Doemstic User", IF(#REF!&gt;10, "Interntional User", IF(AND(#REF!&lt;180, #REF!&lt;200,#REF!&lt;200), "Light User", "Balanced User")))</f>
        <v>#REF!</v>
      </c>
      <c r="AC2421" t="e">
        <f>IF(#REF! = 0, "No Usage", IF(#REF! &lt;= 20, "Low Usage", IF(#REF! &lt;= 40, "Medium Usgae", "High Usage")))</f>
        <v>#REF!</v>
      </c>
      <c r="AD2421" t="e">
        <f>IF(#REF!&lt;=150,"Low Usage", IF(#REF!&lt;=200,"Medium Usage", IF(#REF!&lt;=250,"High Usage","Very High Usage")))</f>
        <v>#REF!</v>
      </c>
      <c r="AE2421" t="e">
        <f>IF(#REF!&lt;=5,"Low Calls", IF(#REF!&lt;=10, "Medium Calls", "High Calls"))</f>
        <v>#REF!</v>
      </c>
      <c r="AF2421" t="e">
        <f xml:space="preserve">
IF(#REF!&gt;=4,4,0)+
IF(#REF!="yes",3,0)+
IF(#REF!="High Charges",3,0)+
IF(#REF!&gt;250,4,0)+
IF(#REF!="no",1,0)+
IF(#REF!="Heavy Domestic User",2,0)</f>
        <v>#REF!</v>
      </c>
      <c r="AG2421" t="e">
        <f>IF(#REF!&gt;=10,"High Risk", IF(#REF!&gt;=5,"Medium Risk","Low Risk"))</f>
        <v>#REF!</v>
      </c>
      <c r="AH2421" t="e">
        <f>#REF! + #REF! + #REF! + #REF!</f>
        <v>#REF!</v>
      </c>
    </row>
    <row r="2422" spans="1:34" x14ac:dyDescent="0.35">
      <c r="A2422">
        <v>2421</v>
      </c>
      <c r="B2422" t="s">
        <v>36</v>
      </c>
      <c r="C2422">
        <v>160</v>
      </c>
      <c r="D2422" t="s">
        <v>25</v>
      </c>
      <c r="E2422" t="s">
        <v>22</v>
      </c>
      <c r="F2422" t="s">
        <v>22</v>
      </c>
      <c r="G2422">
        <v>0</v>
      </c>
      <c r="H2422">
        <v>216.8</v>
      </c>
      <c r="I2422">
        <v>77</v>
      </c>
      <c r="J2422">
        <v>36.86</v>
      </c>
      <c r="K2422">
        <v>207.3</v>
      </c>
      <c r="L2422">
        <v>117</v>
      </c>
      <c r="M2422">
        <v>17.62</v>
      </c>
      <c r="N2422">
        <v>228.6</v>
      </c>
      <c r="O2422">
        <v>117</v>
      </c>
      <c r="P2422">
        <v>10.29</v>
      </c>
      <c r="Q2422">
        <v>5.6</v>
      </c>
      <c r="R2422">
        <v>2</v>
      </c>
      <c r="S2422">
        <v>1.51</v>
      </c>
      <c r="T2422">
        <v>1</v>
      </c>
      <c r="U2422" t="s">
        <v>22</v>
      </c>
      <c r="V2422" t="e">
        <f>IF(#REF! = "yes", 1, 0)</f>
        <v>#REF!</v>
      </c>
      <c r="W2422" t="e">
        <f>IF(#REF! &lt;= 1, "0-1 Calls", IF(#REF! &lt;= 3, "2-3 Calls", IF(#REF! &lt;=5, "4-5 Calls", "6+ Calls")))</f>
        <v>#REF!</v>
      </c>
      <c r="X2422" t="e">
        <f>IF(#REF! &lt;= 50, "0-50", IF(#REF! &lt;=100, "51-100", IF(#REF! &lt;= 150, "101-150", "151+")))</f>
        <v>#REF!</v>
      </c>
      <c r="Y2422" t="e">
        <f>IF(#REF! &lt;= 3, "Low Charges", "High Charges")</f>
        <v>#REF!</v>
      </c>
      <c r="Z2422" t="e">
        <f>IF(#REF!&lt;=80,"Low Calls",
IF(#REF!&lt;=120,"Medium Calls","High Calls"))</f>
        <v>#REF!</v>
      </c>
      <c r="AA2422" t="e">
        <f>IF(#REF!&lt;=15,"Low Charges",
IF(#REF!&lt;=20,"Medium Charges","High Charges"))</f>
        <v>#REF!</v>
      </c>
      <c r="AB2422" t="e">
        <f>IF(AND(#REF!&gt;180, #REF!&gt;200), "Heavy Doemstic User", IF(#REF!&gt;10, "Interntional User", IF(AND(#REF!&lt;180, #REF!&lt;200,#REF!&lt;200), "Light User", "Balanced User")))</f>
        <v>#REF!</v>
      </c>
      <c r="AC2422" t="e">
        <f>IF(#REF! = 0, "No Usage", IF(#REF! &lt;= 20, "Low Usage", IF(#REF! &lt;= 40, "Medium Usgae", "High Usage")))</f>
        <v>#REF!</v>
      </c>
      <c r="AD2422" t="e">
        <f>IF(#REF!&lt;=150,"Low Usage", IF(#REF!&lt;=200,"Medium Usage", IF(#REF!&lt;=250,"High Usage","Very High Usage")))</f>
        <v>#REF!</v>
      </c>
      <c r="AE2422" t="e">
        <f>IF(#REF!&lt;=5,"Low Calls", IF(#REF!&lt;=10, "Medium Calls", "High Calls"))</f>
        <v>#REF!</v>
      </c>
      <c r="AF2422" t="e">
        <f xml:space="preserve">
IF(#REF!&gt;=4,4,0)+
IF(#REF!="yes",3,0)+
IF(#REF!="High Charges",3,0)+
IF(#REF!&gt;250,4,0)+
IF(#REF!="no",1,0)+
IF(#REF!="Heavy Domestic User",2,0)</f>
        <v>#REF!</v>
      </c>
      <c r="AG2422" t="e">
        <f>IF(#REF!&gt;=10,"High Risk", IF(#REF!&gt;=5,"Medium Risk","Low Risk"))</f>
        <v>#REF!</v>
      </c>
      <c r="AH2422" t="e">
        <f>#REF! + #REF! + #REF! + #REF!</f>
        <v>#REF!</v>
      </c>
    </row>
    <row r="2423" spans="1:34" x14ac:dyDescent="0.35">
      <c r="A2423">
        <v>2422</v>
      </c>
      <c r="B2423" t="s">
        <v>68</v>
      </c>
      <c r="C2423">
        <v>141</v>
      </c>
      <c r="D2423" t="s">
        <v>28</v>
      </c>
      <c r="E2423" t="s">
        <v>22</v>
      </c>
      <c r="F2423" t="s">
        <v>23</v>
      </c>
      <c r="G2423">
        <v>28</v>
      </c>
      <c r="H2423">
        <v>308</v>
      </c>
      <c r="I2423">
        <v>123</v>
      </c>
      <c r="J2423">
        <v>52.36</v>
      </c>
      <c r="K2423">
        <v>247.8</v>
      </c>
      <c r="L2423">
        <v>128</v>
      </c>
      <c r="M2423">
        <v>21.06</v>
      </c>
      <c r="N2423">
        <v>152.9</v>
      </c>
      <c r="O2423">
        <v>103</v>
      </c>
      <c r="P2423">
        <v>6.88</v>
      </c>
      <c r="Q2423">
        <v>7.4</v>
      </c>
      <c r="R2423">
        <v>3</v>
      </c>
      <c r="S2423">
        <v>2</v>
      </c>
      <c r="T2423">
        <v>1</v>
      </c>
      <c r="U2423" t="s">
        <v>22</v>
      </c>
      <c r="V2423" t="e">
        <f>IF(#REF! = "yes", 1, 0)</f>
        <v>#REF!</v>
      </c>
      <c r="W2423" t="e">
        <f>IF(#REF! &lt;= 1, "0-1 Calls", IF(#REF! &lt;= 3, "2-3 Calls", IF(#REF! &lt;=5, "4-5 Calls", "6+ Calls")))</f>
        <v>#REF!</v>
      </c>
      <c r="X2423" t="e">
        <f>IF(#REF! &lt;= 50, "0-50", IF(#REF! &lt;=100, "51-100", IF(#REF! &lt;= 150, "101-150", "151+")))</f>
        <v>#REF!</v>
      </c>
      <c r="Y2423" t="e">
        <f>IF(#REF! &lt;= 3, "Low Charges", "High Charges")</f>
        <v>#REF!</v>
      </c>
      <c r="Z2423" t="e">
        <f>IF(#REF!&lt;=80,"Low Calls",
IF(#REF!&lt;=120,"Medium Calls","High Calls"))</f>
        <v>#REF!</v>
      </c>
      <c r="AA2423" t="e">
        <f>IF(#REF!&lt;=15,"Low Charges",
IF(#REF!&lt;=20,"Medium Charges","High Charges"))</f>
        <v>#REF!</v>
      </c>
      <c r="AB2423" t="e">
        <f>IF(AND(#REF!&gt;180, #REF!&gt;200), "Heavy Doemstic User", IF(#REF!&gt;10, "Interntional User", IF(AND(#REF!&lt;180, #REF!&lt;200,#REF!&lt;200), "Light User", "Balanced User")))</f>
        <v>#REF!</v>
      </c>
      <c r="AC2423" t="e">
        <f>IF(#REF! = 0, "No Usage", IF(#REF! &lt;= 20, "Low Usage", IF(#REF! &lt;= 40, "Medium Usgae", "High Usage")))</f>
        <v>#REF!</v>
      </c>
      <c r="AD2423" t="e">
        <f>IF(#REF!&lt;=150,"Low Usage", IF(#REF!&lt;=200,"Medium Usage", IF(#REF!&lt;=250,"High Usage","Very High Usage")))</f>
        <v>#REF!</v>
      </c>
      <c r="AE2423" t="e">
        <f>IF(#REF!&lt;=5,"Low Calls", IF(#REF!&lt;=10, "Medium Calls", "High Calls"))</f>
        <v>#REF!</v>
      </c>
      <c r="AF2423" t="e">
        <f xml:space="preserve">
IF(#REF!&gt;=4,4,0)+
IF(#REF!="yes",3,0)+
IF(#REF!="High Charges",3,0)+
IF(#REF!&gt;250,4,0)+
IF(#REF!="no",1,0)+
IF(#REF!="Heavy Domestic User",2,0)</f>
        <v>#REF!</v>
      </c>
      <c r="AG2423" t="e">
        <f>IF(#REF!&gt;=10,"High Risk", IF(#REF!&gt;=5,"Medium Risk","Low Risk"))</f>
        <v>#REF!</v>
      </c>
      <c r="AH2423" t="e">
        <f>#REF! + #REF! + #REF! + #REF!</f>
        <v>#REF!</v>
      </c>
    </row>
    <row r="2424" spans="1:34" x14ac:dyDescent="0.35">
      <c r="A2424">
        <v>2423</v>
      </c>
      <c r="B2424" t="s">
        <v>31</v>
      </c>
      <c r="C2424">
        <v>87</v>
      </c>
      <c r="D2424" t="s">
        <v>21</v>
      </c>
      <c r="E2424" t="s">
        <v>22</v>
      </c>
      <c r="F2424" t="s">
        <v>22</v>
      </c>
      <c r="G2424">
        <v>0</v>
      </c>
      <c r="H2424">
        <v>58</v>
      </c>
      <c r="I2424">
        <v>125</v>
      </c>
      <c r="J2424">
        <v>9.86</v>
      </c>
      <c r="K2424">
        <v>67.5</v>
      </c>
      <c r="L2424">
        <v>116</v>
      </c>
      <c r="M2424">
        <v>5.74</v>
      </c>
      <c r="N2424">
        <v>185.9</v>
      </c>
      <c r="O2424">
        <v>136</v>
      </c>
      <c r="P2424">
        <v>8.3699999999999992</v>
      </c>
      <c r="Q2424">
        <v>11.5</v>
      </c>
      <c r="R2424">
        <v>3</v>
      </c>
      <c r="S2424">
        <v>3.11</v>
      </c>
      <c r="T2424">
        <v>0</v>
      </c>
      <c r="U2424" t="s">
        <v>22</v>
      </c>
      <c r="V2424" t="e">
        <f>IF(#REF! = "yes", 1, 0)</f>
        <v>#REF!</v>
      </c>
      <c r="W2424" t="e">
        <f>IF(#REF! &lt;= 1, "0-1 Calls", IF(#REF! &lt;= 3, "2-3 Calls", IF(#REF! &lt;=5, "4-5 Calls", "6+ Calls")))</f>
        <v>#REF!</v>
      </c>
      <c r="X2424" t="e">
        <f>IF(#REF! &lt;= 50, "0-50", IF(#REF! &lt;=100, "51-100", IF(#REF! &lt;= 150, "101-150", "151+")))</f>
        <v>#REF!</v>
      </c>
      <c r="Y2424" t="e">
        <f>IF(#REF! &lt;= 3, "Low Charges", "High Charges")</f>
        <v>#REF!</v>
      </c>
      <c r="Z2424" t="e">
        <f>IF(#REF!&lt;=80,"Low Calls",
IF(#REF!&lt;=120,"Medium Calls","High Calls"))</f>
        <v>#REF!</v>
      </c>
      <c r="AA2424" t="e">
        <f>IF(#REF!&lt;=15,"Low Charges",
IF(#REF!&lt;=20,"Medium Charges","High Charges"))</f>
        <v>#REF!</v>
      </c>
      <c r="AB2424" t="e">
        <f>IF(AND(#REF!&gt;180, #REF!&gt;200), "Heavy Doemstic User", IF(#REF!&gt;10, "Interntional User", IF(AND(#REF!&lt;180, #REF!&lt;200,#REF!&lt;200), "Light User", "Balanced User")))</f>
        <v>#REF!</v>
      </c>
      <c r="AC2424" t="e">
        <f>IF(#REF! = 0, "No Usage", IF(#REF! &lt;= 20, "Low Usage", IF(#REF! &lt;= 40, "Medium Usgae", "High Usage")))</f>
        <v>#REF!</v>
      </c>
      <c r="AD2424" t="e">
        <f>IF(#REF!&lt;=150,"Low Usage", IF(#REF!&lt;=200,"Medium Usage", IF(#REF!&lt;=250,"High Usage","Very High Usage")))</f>
        <v>#REF!</v>
      </c>
      <c r="AE2424" t="e">
        <f>IF(#REF!&lt;=5,"Low Calls", IF(#REF!&lt;=10, "Medium Calls", "High Calls"))</f>
        <v>#REF!</v>
      </c>
      <c r="AF2424" t="e">
        <f xml:space="preserve">
IF(#REF!&gt;=4,4,0)+
IF(#REF!="yes",3,0)+
IF(#REF!="High Charges",3,0)+
IF(#REF!&gt;250,4,0)+
IF(#REF!="no",1,0)+
IF(#REF!="Heavy Domestic User",2,0)</f>
        <v>#REF!</v>
      </c>
      <c r="AG2424" t="e">
        <f>IF(#REF!&gt;=10,"High Risk", IF(#REF!&gt;=5,"Medium Risk","Low Risk"))</f>
        <v>#REF!</v>
      </c>
      <c r="AH2424" t="e">
        <f>#REF! + #REF! + #REF! + #REF!</f>
        <v>#REF!</v>
      </c>
    </row>
    <row r="2425" spans="1:34" x14ac:dyDescent="0.35">
      <c r="A2425">
        <v>2424</v>
      </c>
      <c r="B2425" t="s">
        <v>61</v>
      </c>
      <c r="C2425">
        <v>81</v>
      </c>
      <c r="D2425" t="s">
        <v>21</v>
      </c>
      <c r="E2425" t="s">
        <v>22</v>
      </c>
      <c r="F2425" t="s">
        <v>22</v>
      </c>
      <c r="G2425">
        <v>0</v>
      </c>
      <c r="H2425">
        <v>173.2</v>
      </c>
      <c r="I2425">
        <v>80</v>
      </c>
      <c r="J2425">
        <v>29.44</v>
      </c>
      <c r="K2425">
        <v>236.2</v>
      </c>
      <c r="L2425">
        <v>94</v>
      </c>
      <c r="M2425">
        <v>20.079999999999998</v>
      </c>
      <c r="N2425">
        <v>240.2</v>
      </c>
      <c r="O2425">
        <v>84</v>
      </c>
      <c r="P2425">
        <v>10.81</v>
      </c>
      <c r="Q2425">
        <v>11.8</v>
      </c>
      <c r="R2425">
        <v>6</v>
      </c>
      <c r="S2425">
        <v>3.19</v>
      </c>
      <c r="T2425">
        <v>2</v>
      </c>
      <c r="U2425" t="s">
        <v>22</v>
      </c>
      <c r="V2425" t="e">
        <f>IF(#REF! = "yes", 1, 0)</f>
        <v>#REF!</v>
      </c>
      <c r="W2425" t="e">
        <f>IF(#REF! &lt;= 1, "0-1 Calls", IF(#REF! &lt;= 3, "2-3 Calls", IF(#REF! &lt;=5, "4-5 Calls", "6+ Calls")))</f>
        <v>#REF!</v>
      </c>
      <c r="X2425" t="e">
        <f>IF(#REF! &lt;= 50, "0-50", IF(#REF! &lt;=100, "51-100", IF(#REF! &lt;= 150, "101-150", "151+")))</f>
        <v>#REF!</v>
      </c>
      <c r="Y2425" t="e">
        <f>IF(#REF! &lt;= 3, "Low Charges", "High Charges")</f>
        <v>#REF!</v>
      </c>
      <c r="Z2425" t="e">
        <f>IF(#REF!&lt;=80,"Low Calls",
IF(#REF!&lt;=120,"Medium Calls","High Calls"))</f>
        <v>#REF!</v>
      </c>
      <c r="AA2425" t="e">
        <f>IF(#REF!&lt;=15,"Low Charges",
IF(#REF!&lt;=20,"Medium Charges","High Charges"))</f>
        <v>#REF!</v>
      </c>
      <c r="AB2425" t="e">
        <f>IF(AND(#REF!&gt;180, #REF!&gt;200), "Heavy Doemstic User", IF(#REF!&gt;10, "Interntional User", IF(AND(#REF!&lt;180, #REF!&lt;200,#REF!&lt;200), "Light User", "Balanced User")))</f>
        <v>#REF!</v>
      </c>
      <c r="AC2425" t="e">
        <f>IF(#REF! = 0, "No Usage", IF(#REF! &lt;= 20, "Low Usage", IF(#REF! &lt;= 40, "Medium Usgae", "High Usage")))</f>
        <v>#REF!</v>
      </c>
      <c r="AD2425" t="e">
        <f>IF(#REF!&lt;=150,"Low Usage", IF(#REF!&lt;=200,"Medium Usage", IF(#REF!&lt;=250,"High Usage","Very High Usage")))</f>
        <v>#REF!</v>
      </c>
      <c r="AE2425" t="e">
        <f>IF(#REF!&lt;=5,"Low Calls", IF(#REF!&lt;=10, "Medium Calls", "High Calls"))</f>
        <v>#REF!</v>
      </c>
      <c r="AF2425" t="e">
        <f xml:space="preserve">
IF(#REF!&gt;=4,4,0)+
IF(#REF!="yes",3,0)+
IF(#REF!="High Charges",3,0)+
IF(#REF!&gt;250,4,0)+
IF(#REF!="no",1,0)+
IF(#REF!="Heavy Domestic User",2,0)</f>
        <v>#REF!</v>
      </c>
      <c r="AG2425" t="e">
        <f>IF(#REF!&gt;=10,"High Risk", IF(#REF!&gt;=5,"Medium Risk","Low Risk"))</f>
        <v>#REF!</v>
      </c>
      <c r="AH2425" t="e">
        <f>#REF! + #REF! + #REF! + #REF!</f>
        <v>#REF!</v>
      </c>
    </row>
    <row r="2426" spans="1:34" x14ac:dyDescent="0.35">
      <c r="A2426">
        <v>2425</v>
      </c>
      <c r="B2426" t="s">
        <v>56</v>
      </c>
      <c r="C2426">
        <v>75</v>
      </c>
      <c r="D2426" t="s">
        <v>21</v>
      </c>
      <c r="E2426" t="s">
        <v>22</v>
      </c>
      <c r="F2426" t="s">
        <v>23</v>
      </c>
      <c r="G2426">
        <v>19</v>
      </c>
      <c r="H2426">
        <v>210.3</v>
      </c>
      <c r="I2426">
        <v>90</v>
      </c>
      <c r="J2426">
        <v>35.75</v>
      </c>
      <c r="K2426">
        <v>241.8</v>
      </c>
      <c r="L2426">
        <v>87</v>
      </c>
      <c r="M2426">
        <v>20.55</v>
      </c>
      <c r="N2426">
        <v>215.7</v>
      </c>
      <c r="O2426">
        <v>102</v>
      </c>
      <c r="P2426">
        <v>9.7100000000000009</v>
      </c>
      <c r="Q2426">
        <v>13.1</v>
      </c>
      <c r="R2426">
        <v>3</v>
      </c>
      <c r="S2426">
        <v>3.54</v>
      </c>
      <c r="T2426">
        <v>4</v>
      </c>
      <c r="U2426" t="s">
        <v>22</v>
      </c>
      <c r="V2426" t="e">
        <f>IF(#REF! = "yes", 1, 0)</f>
        <v>#REF!</v>
      </c>
      <c r="W2426" t="e">
        <f>IF(#REF! &lt;= 1, "0-1 Calls", IF(#REF! &lt;= 3, "2-3 Calls", IF(#REF! &lt;=5, "4-5 Calls", "6+ Calls")))</f>
        <v>#REF!</v>
      </c>
      <c r="X2426" t="e">
        <f>IF(#REF! &lt;= 50, "0-50", IF(#REF! &lt;=100, "51-100", IF(#REF! &lt;= 150, "101-150", "151+")))</f>
        <v>#REF!</v>
      </c>
      <c r="Y2426" t="e">
        <f>IF(#REF! &lt;= 3, "Low Charges", "High Charges")</f>
        <v>#REF!</v>
      </c>
      <c r="Z2426" t="e">
        <f>IF(#REF!&lt;=80,"Low Calls",
IF(#REF!&lt;=120,"Medium Calls","High Calls"))</f>
        <v>#REF!</v>
      </c>
      <c r="AA2426" t="e">
        <f>IF(#REF!&lt;=15,"Low Charges",
IF(#REF!&lt;=20,"Medium Charges","High Charges"))</f>
        <v>#REF!</v>
      </c>
      <c r="AB2426" t="e">
        <f>IF(AND(#REF!&gt;180, #REF!&gt;200), "Heavy Doemstic User", IF(#REF!&gt;10, "Interntional User", IF(AND(#REF!&lt;180, #REF!&lt;200,#REF!&lt;200), "Light User", "Balanced User")))</f>
        <v>#REF!</v>
      </c>
      <c r="AC2426" t="e">
        <f>IF(#REF! = 0, "No Usage", IF(#REF! &lt;= 20, "Low Usage", IF(#REF! &lt;= 40, "Medium Usgae", "High Usage")))</f>
        <v>#REF!</v>
      </c>
      <c r="AD2426" t="e">
        <f>IF(#REF!&lt;=150,"Low Usage", IF(#REF!&lt;=200,"Medium Usage", IF(#REF!&lt;=250,"High Usage","Very High Usage")))</f>
        <v>#REF!</v>
      </c>
      <c r="AE2426" t="e">
        <f>IF(#REF!&lt;=5,"Low Calls", IF(#REF!&lt;=10, "Medium Calls", "High Calls"))</f>
        <v>#REF!</v>
      </c>
      <c r="AF2426" t="e">
        <f xml:space="preserve">
IF(#REF!&gt;=4,4,0)+
IF(#REF!="yes",3,0)+
IF(#REF!="High Charges",3,0)+
IF(#REF!&gt;250,4,0)+
IF(#REF!="no",1,0)+
IF(#REF!="Heavy Domestic User",2,0)</f>
        <v>#REF!</v>
      </c>
      <c r="AG2426" t="e">
        <f>IF(#REF!&gt;=10,"High Risk", IF(#REF!&gt;=5,"Medium Risk","Low Risk"))</f>
        <v>#REF!</v>
      </c>
      <c r="AH2426" t="e">
        <f>#REF! + #REF! + #REF! + #REF!</f>
        <v>#REF!</v>
      </c>
    </row>
    <row r="2427" spans="1:34" x14ac:dyDescent="0.35">
      <c r="A2427">
        <v>2426</v>
      </c>
      <c r="B2427" t="s">
        <v>27</v>
      </c>
      <c r="C2427">
        <v>126</v>
      </c>
      <c r="D2427" t="s">
        <v>25</v>
      </c>
      <c r="E2427" t="s">
        <v>22</v>
      </c>
      <c r="F2427" t="s">
        <v>23</v>
      </c>
      <c r="G2427">
        <v>24</v>
      </c>
      <c r="H2427">
        <v>58.9</v>
      </c>
      <c r="I2427">
        <v>125</v>
      </c>
      <c r="J2427">
        <v>10.01</v>
      </c>
      <c r="K2427">
        <v>305.5</v>
      </c>
      <c r="L2427">
        <v>90</v>
      </c>
      <c r="M2427">
        <v>25.97</v>
      </c>
      <c r="N2427">
        <v>158.9</v>
      </c>
      <c r="O2427">
        <v>73</v>
      </c>
      <c r="P2427">
        <v>7.15</v>
      </c>
      <c r="Q2427">
        <v>12.1</v>
      </c>
      <c r="R2427">
        <v>6</v>
      </c>
      <c r="S2427">
        <v>3.27</v>
      </c>
      <c r="T2427">
        <v>0</v>
      </c>
      <c r="U2427" t="s">
        <v>22</v>
      </c>
      <c r="V2427" t="e">
        <f>IF(#REF! = "yes", 1, 0)</f>
        <v>#REF!</v>
      </c>
      <c r="W2427" t="e">
        <f>IF(#REF! &lt;= 1, "0-1 Calls", IF(#REF! &lt;= 3, "2-3 Calls", IF(#REF! &lt;=5, "4-5 Calls", "6+ Calls")))</f>
        <v>#REF!</v>
      </c>
      <c r="X2427" t="e">
        <f>IF(#REF! &lt;= 50, "0-50", IF(#REF! &lt;=100, "51-100", IF(#REF! &lt;= 150, "101-150", "151+")))</f>
        <v>#REF!</v>
      </c>
      <c r="Y2427" t="e">
        <f>IF(#REF! &lt;= 3, "Low Charges", "High Charges")</f>
        <v>#REF!</v>
      </c>
      <c r="Z2427" t="e">
        <f>IF(#REF!&lt;=80,"Low Calls",
IF(#REF!&lt;=120,"Medium Calls","High Calls"))</f>
        <v>#REF!</v>
      </c>
      <c r="AA2427" t="e">
        <f>IF(#REF!&lt;=15,"Low Charges",
IF(#REF!&lt;=20,"Medium Charges","High Charges"))</f>
        <v>#REF!</v>
      </c>
      <c r="AB2427" t="e">
        <f>IF(AND(#REF!&gt;180, #REF!&gt;200), "Heavy Doemstic User", IF(#REF!&gt;10, "Interntional User", IF(AND(#REF!&lt;180, #REF!&lt;200,#REF!&lt;200), "Light User", "Balanced User")))</f>
        <v>#REF!</v>
      </c>
      <c r="AC2427" t="e">
        <f>IF(#REF! = 0, "No Usage", IF(#REF! &lt;= 20, "Low Usage", IF(#REF! &lt;= 40, "Medium Usgae", "High Usage")))</f>
        <v>#REF!</v>
      </c>
      <c r="AD2427" t="e">
        <f>IF(#REF!&lt;=150,"Low Usage", IF(#REF!&lt;=200,"Medium Usage", IF(#REF!&lt;=250,"High Usage","Very High Usage")))</f>
        <v>#REF!</v>
      </c>
      <c r="AE2427" t="e">
        <f>IF(#REF!&lt;=5,"Low Calls", IF(#REF!&lt;=10, "Medium Calls", "High Calls"))</f>
        <v>#REF!</v>
      </c>
      <c r="AF2427" t="e">
        <f xml:space="preserve">
IF(#REF!&gt;=4,4,0)+
IF(#REF!="yes",3,0)+
IF(#REF!="High Charges",3,0)+
IF(#REF!&gt;250,4,0)+
IF(#REF!="no",1,0)+
IF(#REF!="Heavy Domestic User",2,0)</f>
        <v>#REF!</v>
      </c>
      <c r="AG2427" t="e">
        <f>IF(#REF!&gt;=10,"High Risk", IF(#REF!&gt;=5,"Medium Risk","Low Risk"))</f>
        <v>#REF!</v>
      </c>
      <c r="AH2427" t="e">
        <f>#REF! + #REF! + #REF! + #REF!</f>
        <v>#REF!</v>
      </c>
    </row>
    <row r="2428" spans="1:34" x14ac:dyDescent="0.35">
      <c r="A2428">
        <v>2427</v>
      </c>
      <c r="B2428" t="s">
        <v>66</v>
      </c>
      <c r="C2428">
        <v>28</v>
      </c>
      <c r="D2428" t="s">
        <v>21</v>
      </c>
      <c r="E2428" t="s">
        <v>22</v>
      </c>
      <c r="F2428" t="s">
        <v>22</v>
      </c>
      <c r="G2428">
        <v>0</v>
      </c>
      <c r="H2428">
        <v>236.8</v>
      </c>
      <c r="I2428">
        <v>102</v>
      </c>
      <c r="J2428">
        <v>40.26</v>
      </c>
      <c r="K2428">
        <v>167.1</v>
      </c>
      <c r="L2428">
        <v>87</v>
      </c>
      <c r="M2428">
        <v>14.2</v>
      </c>
      <c r="N2428">
        <v>280.2</v>
      </c>
      <c r="O2428">
        <v>115</v>
      </c>
      <c r="P2428">
        <v>12.61</v>
      </c>
      <c r="Q2428">
        <v>9.6999999999999993</v>
      </c>
      <c r="R2428">
        <v>3</v>
      </c>
      <c r="S2428">
        <v>2.62</v>
      </c>
      <c r="T2428">
        <v>3</v>
      </c>
      <c r="U2428" t="s">
        <v>22</v>
      </c>
      <c r="V2428" t="e">
        <f>IF(#REF! = "yes", 1, 0)</f>
        <v>#REF!</v>
      </c>
      <c r="W2428" t="e">
        <f>IF(#REF! &lt;= 1, "0-1 Calls", IF(#REF! &lt;= 3, "2-3 Calls", IF(#REF! &lt;=5, "4-5 Calls", "6+ Calls")))</f>
        <v>#REF!</v>
      </c>
      <c r="X2428" t="e">
        <f>IF(#REF! &lt;= 50, "0-50", IF(#REF! &lt;=100, "51-100", IF(#REF! &lt;= 150, "101-150", "151+")))</f>
        <v>#REF!</v>
      </c>
      <c r="Y2428" t="e">
        <f>IF(#REF! &lt;= 3, "Low Charges", "High Charges")</f>
        <v>#REF!</v>
      </c>
      <c r="Z2428" t="e">
        <f>IF(#REF!&lt;=80,"Low Calls",
IF(#REF!&lt;=120,"Medium Calls","High Calls"))</f>
        <v>#REF!</v>
      </c>
      <c r="AA2428" t="e">
        <f>IF(#REF!&lt;=15,"Low Charges",
IF(#REF!&lt;=20,"Medium Charges","High Charges"))</f>
        <v>#REF!</v>
      </c>
      <c r="AB2428" t="e">
        <f>IF(AND(#REF!&gt;180, #REF!&gt;200), "Heavy Doemstic User", IF(#REF!&gt;10, "Interntional User", IF(AND(#REF!&lt;180, #REF!&lt;200,#REF!&lt;200), "Light User", "Balanced User")))</f>
        <v>#REF!</v>
      </c>
      <c r="AC2428" t="e">
        <f>IF(#REF! = 0, "No Usage", IF(#REF! &lt;= 20, "Low Usage", IF(#REF! &lt;= 40, "Medium Usgae", "High Usage")))</f>
        <v>#REF!</v>
      </c>
      <c r="AD2428" t="e">
        <f>IF(#REF!&lt;=150,"Low Usage", IF(#REF!&lt;=200,"Medium Usage", IF(#REF!&lt;=250,"High Usage","Very High Usage")))</f>
        <v>#REF!</v>
      </c>
      <c r="AE2428" t="e">
        <f>IF(#REF!&lt;=5,"Low Calls", IF(#REF!&lt;=10, "Medium Calls", "High Calls"))</f>
        <v>#REF!</v>
      </c>
      <c r="AF2428" t="e">
        <f xml:space="preserve">
IF(#REF!&gt;=4,4,0)+
IF(#REF!="yes",3,0)+
IF(#REF!="High Charges",3,0)+
IF(#REF!&gt;250,4,0)+
IF(#REF!="no",1,0)+
IF(#REF!="Heavy Domestic User",2,0)</f>
        <v>#REF!</v>
      </c>
      <c r="AG2428" t="e">
        <f>IF(#REF!&gt;=10,"High Risk", IF(#REF!&gt;=5,"Medium Risk","Low Risk"))</f>
        <v>#REF!</v>
      </c>
      <c r="AH2428" t="e">
        <f>#REF! + #REF! + #REF! + #REF!</f>
        <v>#REF!</v>
      </c>
    </row>
    <row r="2429" spans="1:34" x14ac:dyDescent="0.35">
      <c r="A2429">
        <v>2428</v>
      </c>
      <c r="B2429" t="s">
        <v>40</v>
      </c>
      <c r="C2429">
        <v>153</v>
      </c>
      <c r="D2429" t="s">
        <v>21</v>
      </c>
      <c r="E2429" t="s">
        <v>22</v>
      </c>
      <c r="F2429" t="s">
        <v>22</v>
      </c>
      <c r="G2429">
        <v>0</v>
      </c>
      <c r="H2429">
        <v>228.9</v>
      </c>
      <c r="I2429">
        <v>102</v>
      </c>
      <c r="J2429">
        <v>38.909999999999997</v>
      </c>
      <c r="K2429">
        <v>160.69999999999999</v>
      </c>
      <c r="L2429">
        <v>136</v>
      </c>
      <c r="M2429">
        <v>13.66</v>
      </c>
      <c r="N2429">
        <v>203.1</v>
      </c>
      <c r="O2429">
        <v>109</v>
      </c>
      <c r="P2429">
        <v>9.14</v>
      </c>
      <c r="Q2429">
        <v>12.5</v>
      </c>
      <c r="R2429">
        <v>2</v>
      </c>
      <c r="S2429">
        <v>3.38</v>
      </c>
      <c r="T2429">
        <v>0</v>
      </c>
      <c r="U2429" t="s">
        <v>22</v>
      </c>
      <c r="V2429" t="e">
        <f>IF(#REF! = "yes", 1, 0)</f>
        <v>#REF!</v>
      </c>
      <c r="W2429" t="e">
        <f>IF(#REF! &lt;= 1, "0-1 Calls", IF(#REF! &lt;= 3, "2-3 Calls", IF(#REF! &lt;=5, "4-5 Calls", "6+ Calls")))</f>
        <v>#REF!</v>
      </c>
      <c r="X2429" t="e">
        <f>IF(#REF! &lt;= 50, "0-50", IF(#REF! &lt;=100, "51-100", IF(#REF! &lt;= 150, "101-150", "151+")))</f>
        <v>#REF!</v>
      </c>
      <c r="Y2429" t="e">
        <f>IF(#REF! &lt;= 3, "Low Charges", "High Charges")</f>
        <v>#REF!</v>
      </c>
      <c r="Z2429" t="e">
        <f>IF(#REF!&lt;=80,"Low Calls",
IF(#REF!&lt;=120,"Medium Calls","High Calls"))</f>
        <v>#REF!</v>
      </c>
      <c r="AA2429" t="e">
        <f>IF(#REF!&lt;=15,"Low Charges",
IF(#REF!&lt;=20,"Medium Charges","High Charges"))</f>
        <v>#REF!</v>
      </c>
      <c r="AB2429" t="e">
        <f>IF(AND(#REF!&gt;180, #REF!&gt;200), "Heavy Doemstic User", IF(#REF!&gt;10, "Interntional User", IF(AND(#REF!&lt;180, #REF!&lt;200,#REF!&lt;200), "Light User", "Balanced User")))</f>
        <v>#REF!</v>
      </c>
      <c r="AC2429" t="e">
        <f>IF(#REF! = 0, "No Usage", IF(#REF! &lt;= 20, "Low Usage", IF(#REF! &lt;= 40, "Medium Usgae", "High Usage")))</f>
        <v>#REF!</v>
      </c>
      <c r="AD2429" t="e">
        <f>IF(#REF!&lt;=150,"Low Usage", IF(#REF!&lt;=200,"Medium Usage", IF(#REF!&lt;=250,"High Usage","Very High Usage")))</f>
        <v>#REF!</v>
      </c>
      <c r="AE2429" t="e">
        <f>IF(#REF!&lt;=5,"Low Calls", IF(#REF!&lt;=10, "Medium Calls", "High Calls"))</f>
        <v>#REF!</v>
      </c>
      <c r="AF2429" t="e">
        <f xml:space="preserve">
IF(#REF!&gt;=4,4,0)+
IF(#REF!="yes",3,0)+
IF(#REF!="High Charges",3,0)+
IF(#REF!&gt;250,4,0)+
IF(#REF!="no",1,0)+
IF(#REF!="Heavy Domestic User",2,0)</f>
        <v>#REF!</v>
      </c>
      <c r="AG2429" t="e">
        <f>IF(#REF!&gt;=10,"High Risk", IF(#REF!&gt;=5,"Medium Risk","Low Risk"))</f>
        <v>#REF!</v>
      </c>
      <c r="AH2429" t="e">
        <f>#REF! + #REF! + #REF! + #REF!</f>
        <v>#REF!</v>
      </c>
    </row>
    <row r="2430" spans="1:34" x14ac:dyDescent="0.35">
      <c r="A2430">
        <v>2429</v>
      </c>
      <c r="B2430" t="s">
        <v>27</v>
      </c>
      <c r="C2430">
        <v>17</v>
      </c>
      <c r="D2430" t="s">
        <v>21</v>
      </c>
      <c r="E2430" t="s">
        <v>23</v>
      </c>
      <c r="F2430" t="s">
        <v>22</v>
      </c>
      <c r="G2430">
        <v>0</v>
      </c>
      <c r="H2430">
        <v>162.80000000000001</v>
      </c>
      <c r="I2430">
        <v>118</v>
      </c>
      <c r="J2430">
        <v>27.68</v>
      </c>
      <c r="K2430">
        <v>229.6</v>
      </c>
      <c r="L2430">
        <v>91</v>
      </c>
      <c r="M2430">
        <v>19.52</v>
      </c>
      <c r="N2430">
        <v>332.7</v>
      </c>
      <c r="O2430">
        <v>94</v>
      </c>
      <c r="P2430">
        <v>14.97</v>
      </c>
      <c r="Q2430">
        <v>13.6</v>
      </c>
      <c r="R2430">
        <v>3</v>
      </c>
      <c r="S2430">
        <v>3.67</v>
      </c>
      <c r="T2430">
        <v>0</v>
      </c>
      <c r="U2430" t="s">
        <v>23</v>
      </c>
      <c r="V2430" t="e">
        <f>IF(#REF! = "yes", 1, 0)</f>
        <v>#REF!</v>
      </c>
      <c r="W2430" t="e">
        <f>IF(#REF! &lt;= 1, "0-1 Calls", IF(#REF! &lt;= 3, "2-3 Calls", IF(#REF! &lt;=5, "4-5 Calls", "6+ Calls")))</f>
        <v>#REF!</v>
      </c>
      <c r="X2430" t="e">
        <f>IF(#REF! &lt;= 50, "0-50", IF(#REF! &lt;=100, "51-100", IF(#REF! &lt;= 150, "101-150", "151+")))</f>
        <v>#REF!</v>
      </c>
      <c r="Y2430" t="e">
        <f>IF(#REF! &lt;= 3, "Low Charges", "High Charges")</f>
        <v>#REF!</v>
      </c>
      <c r="Z2430" t="e">
        <f>IF(#REF!&lt;=80,"Low Calls",
IF(#REF!&lt;=120,"Medium Calls","High Calls"))</f>
        <v>#REF!</v>
      </c>
      <c r="AA2430" t="e">
        <f>IF(#REF!&lt;=15,"Low Charges",
IF(#REF!&lt;=20,"Medium Charges","High Charges"))</f>
        <v>#REF!</v>
      </c>
      <c r="AB2430" t="e">
        <f>IF(AND(#REF!&gt;180, #REF!&gt;200), "Heavy Doemstic User", IF(#REF!&gt;10, "Interntional User", IF(AND(#REF!&lt;180, #REF!&lt;200,#REF!&lt;200), "Light User", "Balanced User")))</f>
        <v>#REF!</v>
      </c>
      <c r="AC2430" t="e">
        <f>IF(#REF! = 0, "No Usage", IF(#REF! &lt;= 20, "Low Usage", IF(#REF! &lt;= 40, "Medium Usgae", "High Usage")))</f>
        <v>#REF!</v>
      </c>
      <c r="AD2430" t="e">
        <f>IF(#REF!&lt;=150,"Low Usage", IF(#REF!&lt;=200,"Medium Usage", IF(#REF!&lt;=250,"High Usage","Very High Usage")))</f>
        <v>#REF!</v>
      </c>
      <c r="AE2430" t="e">
        <f>IF(#REF!&lt;=5,"Low Calls", IF(#REF!&lt;=10, "Medium Calls", "High Calls"))</f>
        <v>#REF!</v>
      </c>
      <c r="AF2430" t="e">
        <f xml:space="preserve">
IF(#REF!&gt;=4,4,0)+
IF(#REF!="yes",3,0)+
IF(#REF!="High Charges",3,0)+
IF(#REF!&gt;250,4,0)+
IF(#REF!="no",1,0)+
IF(#REF!="Heavy Domestic User",2,0)</f>
        <v>#REF!</v>
      </c>
      <c r="AG2430" t="e">
        <f>IF(#REF!&gt;=10,"High Risk", IF(#REF!&gt;=5,"Medium Risk","Low Risk"))</f>
        <v>#REF!</v>
      </c>
      <c r="AH2430" t="e">
        <f>#REF! + #REF! + #REF! + #REF!</f>
        <v>#REF!</v>
      </c>
    </row>
    <row r="2431" spans="1:34" x14ac:dyDescent="0.35">
      <c r="A2431">
        <v>2430</v>
      </c>
      <c r="B2431" t="s">
        <v>39</v>
      </c>
      <c r="C2431">
        <v>121</v>
      </c>
      <c r="D2431" t="s">
        <v>21</v>
      </c>
      <c r="E2431" t="s">
        <v>22</v>
      </c>
      <c r="F2431" t="s">
        <v>22</v>
      </c>
      <c r="G2431">
        <v>0</v>
      </c>
      <c r="H2431">
        <v>86.1</v>
      </c>
      <c r="I2431">
        <v>100</v>
      </c>
      <c r="J2431">
        <v>14.64</v>
      </c>
      <c r="K2431">
        <v>259.8</v>
      </c>
      <c r="L2431">
        <v>113</v>
      </c>
      <c r="M2431">
        <v>22.08</v>
      </c>
      <c r="N2431">
        <v>148</v>
      </c>
      <c r="O2431">
        <v>79</v>
      </c>
      <c r="P2431">
        <v>6.66</v>
      </c>
      <c r="Q2431">
        <v>9.1</v>
      </c>
      <c r="R2431">
        <v>9</v>
      </c>
      <c r="S2431">
        <v>2.46</v>
      </c>
      <c r="T2431">
        <v>2</v>
      </c>
      <c r="U2431" t="s">
        <v>22</v>
      </c>
      <c r="V2431" t="e">
        <f>IF(#REF! = "yes", 1, 0)</f>
        <v>#REF!</v>
      </c>
      <c r="W2431" t="e">
        <f>IF(#REF! &lt;= 1, "0-1 Calls", IF(#REF! &lt;= 3, "2-3 Calls", IF(#REF! &lt;=5, "4-5 Calls", "6+ Calls")))</f>
        <v>#REF!</v>
      </c>
      <c r="X2431" t="e">
        <f>IF(#REF! &lt;= 50, "0-50", IF(#REF! &lt;=100, "51-100", IF(#REF! &lt;= 150, "101-150", "151+")))</f>
        <v>#REF!</v>
      </c>
      <c r="Y2431" t="e">
        <f>IF(#REF! &lt;= 3, "Low Charges", "High Charges")</f>
        <v>#REF!</v>
      </c>
      <c r="Z2431" t="e">
        <f>IF(#REF!&lt;=80,"Low Calls",
IF(#REF!&lt;=120,"Medium Calls","High Calls"))</f>
        <v>#REF!</v>
      </c>
      <c r="AA2431" t="e">
        <f>IF(#REF!&lt;=15,"Low Charges",
IF(#REF!&lt;=20,"Medium Charges","High Charges"))</f>
        <v>#REF!</v>
      </c>
      <c r="AB2431" t="e">
        <f>IF(AND(#REF!&gt;180, #REF!&gt;200), "Heavy Doemstic User", IF(#REF!&gt;10, "Interntional User", IF(AND(#REF!&lt;180, #REF!&lt;200,#REF!&lt;200), "Light User", "Balanced User")))</f>
        <v>#REF!</v>
      </c>
      <c r="AC2431" t="e">
        <f>IF(#REF! = 0, "No Usage", IF(#REF! &lt;= 20, "Low Usage", IF(#REF! &lt;= 40, "Medium Usgae", "High Usage")))</f>
        <v>#REF!</v>
      </c>
      <c r="AD2431" t="e">
        <f>IF(#REF!&lt;=150,"Low Usage", IF(#REF!&lt;=200,"Medium Usage", IF(#REF!&lt;=250,"High Usage","Very High Usage")))</f>
        <v>#REF!</v>
      </c>
      <c r="AE2431" t="e">
        <f>IF(#REF!&lt;=5,"Low Calls", IF(#REF!&lt;=10, "Medium Calls", "High Calls"))</f>
        <v>#REF!</v>
      </c>
      <c r="AF2431" t="e">
        <f xml:space="preserve">
IF(#REF!&gt;=4,4,0)+
IF(#REF!="yes",3,0)+
IF(#REF!="High Charges",3,0)+
IF(#REF!&gt;250,4,0)+
IF(#REF!="no",1,0)+
IF(#REF!="Heavy Domestic User",2,0)</f>
        <v>#REF!</v>
      </c>
      <c r="AG2431" t="e">
        <f>IF(#REF!&gt;=10,"High Risk", IF(#REF!&gt;=5,"Medium Risk","Low Risk"))</f>
        <v>#REF!</v>
      </c>
      <c r="AH2431" t="e">
        <f>#REF! + #REF! + #REF! + #REF!</f>
        <v>#REF!</v>
      </c>
    </row>
    <row r="2432" spans="1:34" x14ac:dyDescent="0.35">
      <c r="A2432">
        <v>2431</v>
      </c>
      <c r="B2432" t="s">
        <v>58</v>
      </c>
      <c r="C2432">
        <v>125</v>
      </c>
      <c r="D2432" t="s">
        <v>25</v>
      </c>
      <c r="E2432" t="s">
        <v>22</v>
      </c>
      <c r="F2432" t="s">
        <v>22</v>
      </c>
      <c r="G2432">
        <v>0</v>
      </c>
      <c r="H2432">
        <v>212.3</v>
      </c>
      <c r="I2432">
        <v>89</v>
      </c>
      <c r="J2432">
        <v>36.090000000000003</v>
      </c>
      <c r="K2432">
        <v>215.4</v>
      </c>
      <c r="L2432">
        <v>127</v>
      </c>
      <c r="M2432">
        <v>18.309999999999999</v>
      </c>
      <c r="N2432">
        <v>186.8</v>
      </c>
      <c r="O2432">
        <v>73</v>
      </c>
      <c r="P2432">
        <v>8.41</v>
      </c>
      <c r="Q2432">
        <v>11.3</v>
      </c>
      <c r="R2432">
        <v>2</v>
      </c>
      <c r="S2432">
        <v>3.05</v>
      </c>
      <c r="T2432">
        <v>2</v>
      </c>
      <c r="U2432" t="s">
        <v>22</v>
      </c>
      <c r="V2432" t="e">
        <f>IF(#REF! = "yes", 1, 0)</f>
        <v>#REF!</v>
      </c>
      <c r="W2432" t="e">
        <f>IF(#REF! &lt;= 1, "0-1 Calls", IF(#REF! &lt;= 3, "2-3 Calls", IF(#REF! &lt;=5, "4-5 Calls", "6+ Calls")))</f>
        <v>#REF!</v>
      </c>
      <c r="X2432" t="e">
        <f>IF(#REF! &lt;= 50, "0-50", IF(#REF! &lt;=100, "51-100", IF(#REF! &lt;= 150, "101-150", "151+")))</f>
        <v>#REF!</v>
      </c>
      <c r="Y2432" t="e">
        <f>IF(#REF! &lt;= 3, "Low Charges", "High Charges")</f>
        <v>#REF!</v>
      </c>
      <c r="Z2432" t="e">
        <f>IF(#REF!&lt;=80,"Low Calls",
IF(#REF!&lt;=120,"Medium Calls","High Calls"))</f>
        <v>#REF!</v>
      </c>
      <c r="AA2432" t="e">
        <f>IF(#REF!&lt;=15,"Low Charges",
IF(#REF!&lt;=20,"Medium Charges","High Charges"))</f>
        <v>#REF!</v>
      </c>
      <c r="AB2432" t="e">
        <f>IF(AND(#REF!&gt;180, #REF!&gt;200), "Heavy Doemstic User", IF(#REF!&gt;10, "Interntional User", IF(AND(#REF!&lt;180, #REF!&lt;200,#REF!&lt;200), "Light User", "Balanced User")))</f>
        <v>#REF!</v>
      </c>
      <c r="AC2432" t="e">
        <f>IF(#REF! = 0, "No Usage", IF(#REF! &lt;= 20, "Low Usage", IF(#REF! &lt;= 40, "Medium Usgae", "High Usage")))</f>
        <v>#REF!</v>
      </c>
      <c r="AD2432" t="e">
        <f>IF(#REF!&lt;=150,"Low Usage", IF(#REF!&lt;=200,"Medium Usage", IF(#REF!&lt;=250,"High Usage","Very High Usage")))</f>
        <v>#REF!</v>
      </c>
      <c r="AE2432" t="e">
        <f>IF(#REF!&lt;=5,"Low Calls", IF(#REF!&lt;=10, "Medium Calls", "High Calls"))</f>
        <v>#REF!</v>
      </c>
      <c r="AF2432" t="e">
        <f xml:space="preserve">
IF(#REF!&gt;=4,4,0)+
IF(#REF!="yes",3,0)+
IF(#REF!="High Charges",3,0)+
IF(#REF!&gt;250,4,0)+
IF(#REF!="no",1,0)+
IF(#REF!="Heavy Domestic User",2,0)</f>
        <v>#REF!</v>
      </c>
      <c r="AG2432" t="e">
        <f>IF(#REF!&gt;=10,"High Risk", IF(#REF!&gt;=5,"Medium Risk","Low Risk"))</f>
        <v>#REF!</v>
      </c>
      <c r="AH2432" t="e">
        <f>#REF! + #REF! + #REF! + #REF!</f>
        <v>#REF!</v>
      </c>
    </row>
    <row r="2433" spans="1:34" x14ac:dyDescent="0.35">
      <c r="A2433">
        <v>2432</v>
      </c>
      <c r="B2433" t="s">
        <v>74</v>
      </c>
      <c r="C2433">
        <v>124</v>
      </c>
      <c r="D2433" t="s">
        <v>21</v>
      </c>
      <c r="E2433" t="s">
        <v>22</v>
      </c>
      <c r="F2433" t="s">
        <v>22</v>
      </c>
      <c r="G2433">
        <v>0</v>
      </c>
      <c r="H2433">
        <v>151</v>
      </c>
      <c r="I2433">
        <v>98</v>
      </c>
      <c r="J2433">
        <v>25.67</v>
      </c>
      <c r="K2433">
        <v>120.6</v>
      </c>
      <c r="L2433">
        <v>119</v>
      </c>
      <c r="M2433">
        <v>10.25</v>
      </c>
      <c r="N2433">
        <v>152.80000000000001</v>
      </c>
      <c r="O2433">
        <v>81</v>
      </c>
      <c r="P2433">
        <v>6.88</v>
      </c>
      <c r="Q2433">
        <v>9.1999999999999993</v>
      </c>
      <c r="R2433">
        <v>2</v>
      </c>
      <c r="S2433">
        <v>2.48</v>
      </c>
      <c r="T2433">
        <v>2</v>
      </c>
      <c r="U2433" t="s">
        <v>22</v>
      </c>
      <c r="V2433" t="e">
        <f>IF(#REF! = "yes", 1, 0)</f>
        <v>#REF!</v>
      </c>
      <c r="W2433" t="e">
        <f>IF(#REF! &lt;= 1, "0-1 Calls", IF(#REF! &lt;= 3, "2-3 Calls", IF(#REF! &lt;=5, "4-5 Calls", "6+ Calls")))</f>
        <v>#REF!</v>
      </c>
      <c r="X2433" t="e">
        <f>IF(#REF! &lt;= 50, "0-50", IF(#REF! &lt;=100, "51-100", IF(#REF! &lt;= 150, "101-150", "151+")))</f>
        <v>#REF!</v>
      </c>
      <c r="Y2433" t="e">
        <f>IF(#REF! &lt;= 3, "Low Charges", "High Charges")</f>
        <v>#REF!</v>
      </c>
      <c r="Z2433" t="e">
        <f>IF(#REF!&lt;=80,"Low Calls",
IF(#REF!&lt;=120,"Medium Calls","High Calls"))</f>
        <v>#REF!</v>
      </c>
      <c r="AA2433" t="e">
        <f>IF(#REF!&lt;=15,"Low Charges",
IF(#REF!&lt;=20,"Medium Charges","High Charges"))</f>
        <v>#REF!</v>
      </c>
      <c r="AB2433" t="e">
        <f>IF(AND(#REF!&gt;180, #REF!&gt;200), "Heavy Doemstic User", IF(#REF!&gt;10, "Interntional User", IF(AND(#REF!&lt;180, #REF!&lt;200,#REF!&lt;200), "Light User", "Balanced User")))</f>
        <v>#REF!</v>
      </c>
      <c r="AC2433" t="e">
        <f>IF(#REF! = 0, "No Usage", IF(#REF! &lt;= 20, "Low Usage", IF(#REF! &lt;= 40, "Medium Usgae", "High Usage")))</f>
        <v>#REF!</v>
      </c>
      <c r="AD2433" t="e">
        <f>IF(#REF!&lt;=150,"Low Usage", IF(#REF!&lt;=200,"Medium Usage", IF(#REF!&lt;=250,"High Usage","Very High Usage")))</f>
        <v>#REF!</v>
      </c>
      <c r="AE2433" t="e">
        <f>IF(#REF!&lt;=5,"Low Calls", IF(#REF!&lt;=10, "Medium Calls", "High Calls"))</f>
        <v>#REF!</v>
      </c>
      <c r="AF2433" t="e">
        <f xml:space="preserve">
IF(#REF!&gt;=4,4,0)+
IF(#REF!="yes",3,0)+
IF(#REF!="High Charges",3,0)+
IF(#REF!&gt;250,4,0)+
IF(#REF!="no",1,0)+
IF(#REF!="Heavy Domestic User",2,0)</f>
        <v>#REF!</v>
      </c>
      <c r="AG2433" t="e">
        <f>IF(#REF!&gt;=10,"High Risk", IF(#REF!&gt;=5,"Medium Risk","Low Risk"))</f>
        <v>#REF!</v>
      </c>
      <c r="AH2433" t="e">
        <f>#REF! + #REF! + #REF! + #REF!</f>
        <v>#REF!</v>
      </c>
    </row>
    <row r="2434" spans="1:34" x14ac:dyDescent="0.35">
      <c r="A2434">
        <v>2433</v>
      </c>
      <c r="B2434" t="s">
        <v>24</v>
      </c>
      <c r="C2434">
        <v>35</v>
      </c>
      <c r="D2434" t="s">
        <v>25</v>
      </c>
      <c r="E2434" t="s">
        <v>22</v>
      </c>
      <c r="F2434" t="s">
        <v>22</v>
      </c>
      <c r="G2434">
        <v>0</v>
      </c>
      <c r="H2434">
        <v>158.6</v>
      </c>
      <c r="I2434">
        <v>67</v>
      </c>
      <c r="J2434">
        <v>26.96</v>
      </c>
      <c r="K2434">
        <v>130.4</v>
      </c>
      <c r="L2434">
        <v>96</v>
      </c>
      <c r="M2434">
        <v>11.08</v>
      </c>
      <c r="N2434">
        <v>229.8</v>
      </c>
      <c r="O2434">
        <v>80</v>
      </c>
      <c r="P2434">
        <v>10.34</v>
      </c>
      <c r="Q2434">
        <v>6.9</v>
      </c>
      <c r="R2434">
        <v>5</v>
      </c>
      <c r="S2434">
        <v>1.86</v>
      </c>
      <c r="T2434">
        <v>2</v>
      </c>
      <c r="U2434" t="s">
        <v>22</v>
      </c>
      <c r="V2434" t="e">
        <f>IF(#REF! = "yes", 1, 0)</f>
        <v>#REF!</v>
      </c>
      <c r="W2434" t="e">
        <f>IF(#REF! &lt;= 1, "0-1 Calls", IF(#REF! &lt;= 3, "2-3 Calls", IF(#REF! &lt;=5, "4-5 Calls", "6+ Calls")))</f>
        <v>#REF!</v>
      </c>
      <c r="X2434" t="e">
        <f>IF(#REF! &lt;= 50, "0-50", IF(#REF! &lt;=100, "51-100", IF(#REF! &lt;= 150, "101-150", "151+")))</f>
        <v>#REF!</v>
      </c>
      <c r="Y2434" t="e">
        <f>IF(#REF! &lt;= 3, "Low Charges", "High Charges")</f>
        <v>#REF!</v>
      </c>
      <c r="Z2434" t="e">
        <f>IF(#REF!&lt;=80,"Low Calls",
IF(#REF!&lt;=120,"Medium Calls","High Calls"))</f>
        <v>#REF!</v>
      </c>
      <c r="AA2434" t="e">
        <f>IF(#REF!&lt;=15,"Low Charges",
IF(#REF!&lt;=20,"Medium Charges","High Charges"))</f>
        <v>#REF!</v>
      </c>
      <c r="AB2434" t="e">
        <f>IF(AND(#REF!&gt;180, #REF!&gt;200), "Heavy Doemstic User", IF(#REF!&gt;10, "Interntional User", IF(AND(#REF!&lt;180, #REF!&lt;200,#REF!&lt;200), "Light User", "Balanced User")))</f>
        <v>#REF!</v>
      </c>
      <c r="AC2434" t="e">
        <f>IF(#REF! = 0, "No Usage", IF(#REF! &lt;= 20, "Low Usage", IF(#REF! &lt;= 40, "Medium Usgae", "High Usage")))</f>
        <v>#REF!</v>
      </c>
      <c r="AD2434" t="e">
        <f>IF(#REF!&lt;=150,"Low Usage", IF(#REF!&lt;=200,"Medium Usage", IF(#REF!&lt;=250,"High Usage","Very High Usage")))</f>
        <v>#REF!</v>
      </c>
      <c r="AE2434" t="e">
        <f>IF(#REF!&lt;=5,"Low Calls", IF(#REF!&lt;=10, "Medium Calls", "High Calls"))</f>
        <v>#REF!</v>
      </c>
      <c r="AF2434" t="e">
        <f xml:space="preserve">
IF(#REF!&gt;=4,4,0)+
IF(#REF!="yes",3,0)+
IF(#REF!="High Charges",3,0)+
IF(#REF!&gt;250,4,0)+
IF(#REF!="no",1,0)+
IF(#REF!="Heavy Domestic User",2,0)</f>
        <v>#REF!</v>
      </c>
      <c r="AG2434" t="e">
        <f>IF(#REF!&gt;=10,"High Risk", IF(#REF!&gt;=5,"Medium Risk","Low Risk"))</f>
        <v>#REF!</v>
      </c>
      <c r="AH2434" t="e">
        <f>#REF! + #REF! + #REF! + #REF!</f>
        <v>#REF!</v>
      </c>
    </row>
    <row r="2435" spans="1:34" x14ac:dyDescent="0.35">
      <c r="A2435">
        <v>2434</v>
      </c>
      <c r="B2435" t="s">
        <v>44</v>
      </c>
      <c r="C2435">
        <v>134</v>
      </c>
      <c r="D2435" t="s">
        <v>28</v>
      </c>
      <c r="E2435" t="s">
        <v>22</v>
      </c>
      <c r="F2435" t="s">
        <v>22</v>
      </c>
      <c r="G2435">
        <v>0</v>
      </c>
      <c r="H2435">
        <v>296</v>
      </c>
      <c r="I2435">
        <v>93</v>
      </c>
      <c r="J2435">
        <v>50.32</v>
      </c>
      <c r="K2435">
        <v>226.4</v>
      </c>
      <c r="L2435">
        <v>117</v>
      </c>
      <c r="M2435">
        <v>19.239999999999998</v>
      </c>
      <c r="N2435">
        <v>246.8</v>
      </c>
      <c r="O2435">
        <v>98</v>
      </c>
      <c r="P2435">
        <v>11.11</v>
      </c>
      <c r="Q2435">
        <v>12.3</v>
      </c>
      <c r="R2435">
        <v>10</v>
      </c>
      <c r="S2435">
        <v>3.32</v>
      </c>
      <c r="T2435">
        <v>0</v>
      </c>
      <c r="U2435" t="s">
        <v>23</v>
      </c>
      <c r="V2435" t="e">
        <f>IF(#REF! = "yes", 1, 0)</f>
        <v>#REF!</v>
      </c>
      <c r="W2435" t="e">
        <f>IF(#REF! &lt;= 1, "0-1 Calls", IF(#REF! &lt;= 3, "2-3 Calls", IF(#REF! &lt;=5, "4-5 Calls", "6+ Calls")))</f>
        <v>#REF!</v>
      </c>
      <c r="X2435" t="e">
        <f>IF(#REF! &lt;= 50, "0-50", IF(#REF! &lt;=100, "51-100", IF(#REF! &lt;= 150, "101-150", "151+")))</f>
        <v>#REF!</v>
      </c>
      <c r="Y2435" t="e">
        <f>IF(#REF! &lt;= 3, "Low Charges", "High Charges")</f>
        <v>#REF!</v>
      </c>
      <c r="Z2435" t="e">
        <f>IF(#REF!&lt;=80,"Low Calls",
IF(#REF!&lt;=120,"Medium Calls","High Calls"))</f>
        <v>#REF!</v>
      </c>
      <c r="AA2435" t="e">
        <f>IF(#REF!&lt;=15,"Low Charges",
IF(#REF!&lt;=20,"Medium Charges","High Charges"))</f>
        <v>#REF!</v>
      </c>
      <c r="AB2435" t="e">
        <f>IF(AND(#REF!&gt;180, #REF!&gt;200), "Heavy Doemstic User", IF(#REF!&gt;10, "Interntional User", IF(AND(#REF!&lt;180, #REF!&lt;200,#REF!&lt;200), "Light User", "Balanced User")))</f>
        <v>#REF!</v>
      </c>
      <c r="AC2435" t="e">
        <f>IF(#REF! = 0, "No Usage", IF(#REF! &lt;= 20, "Low Usage", IF(#REF! &lt;= 40, "Medium Usgae", "High Usage")))</f>
        <v>#REF!</v>
      </c>
      <c r="AD2435" t="e">
        <f>IF(#REF!&lt;=150,"Low Usage", IF(#REF!&lt;=200,"Medium Usage", IF(#REF!&lt;=250,"High Usage","Very High Usage")))</f>
        <v>#REF!</v>
      </c>
      <c r="AE2435" t="e">
        <f>IF(#REF!&lt;=5,"Low Calls", IF(#REF!&lt;=10, "Medium Calls", "High Calls"))</f>
        <v>#REF!</v>
      </c>
      <c r="AF2435" t="e">
        <f xml:space="preserve">
IF(#REF!&gt;=4,4,0)+
IF(#REF!="yes",3,0)+
IF(#REF!="High Charges",3,0)+
IF(#REF!&gt;250,4,0)+
IF(#REF!="no",1,0)+
IF(#REF!="Heavy Domestic User",2,0)</f>
        <v>#REF!</v>
      </c>
      <c r="AG2435" t="e">
        <f>IF(#REF!&gt;=10,"High Risk", IF(#REF!&gt;=5,"Medium Risk","Low Risk"))</f>
        <v>#REF!</v>
      </c>
      <c r="AH2435" t="e">
        <f>#REF! + #REF! + #REF! + #REF!</f>
        <v>#REF!</v>
      </c>
    </row>
    <row r="2436" spans="1:34" x14ac:dyDescent="0.35">
      <c r="A2436">
        <v>2435</v>
      </c>
      <c r="B2436" t="s">
        <v>30</v>
      </c>
      <c r="C2436">
        <v>123</v>
      </c>
      <c r="D2436" t="s">
        <v>28</v>
      </c>
      <c r="E2436" t="s">
        <v>22</v>
      </c>
      <c r="F2436" t="s">
        <v>23</v>
      </c>
      <c r="G2436">
        <v>32</v>
      </c>
      <c r="H2436">
        <v>212.3</v>
      </c>
      <c r="I2436">
        <v>77</v>
      </c>
      <c r="J2436">
        <v>36.090000000000003</v>
      </c>
      <c r="K2436">
        <v>251.5</v>
      </c>
      <c r="L2436">
        <v>78</v>
      </c>
      <c r="M2436">
        <v>21.38</v>
      </c>
      <c r="N2436">
        <v>208.7</v>
      </c>
      <c r="O2436">
        <v>85</v>
      </c>
      <c r="P2436">
        <v>9.39</v>
      </c>
      <c r="Q2436">
        <v>6.6</v>
      </c>
      <c r="R2436">
        <v>2</v>
      </c>
      <c r="S2436">
        <v>1.78</v>
      </c>
      <c r="T2436">
        <v>3</v>
      </c>
      <c r="U2436" t="s">
        <v>22</v>
      </c>
      <c r="V2436" t="e">
        <f>IF(#REF! = "yes", 1, 0)</f>
        <v>#REF!</v>
      </c>
      <c r="W2436" t="e">
        <f>IF(#REF! &lt;= 1, "0-1 Calls", IF(#REF! &lt;= 3, "2-3 Calls", IF(#REF! &lt;=5, "4-5 Calls", "6+ Calls")))</f>
        <v>#REF!</v>
      </c>
      <c r="X2436" t="e">
        <f>IF(#REF! &lt;= 50, "0-50", IF(#REF! &lt;=100, "51-100", IF(#REF! &lt;= 150, "101-150", "151+")))</f>
        <v>#REF!</v>
      </c>
      <c r="Y2436" t="e">
        <f>IF(#REF! &lt;= 3, "Low Charges", "High Charges")</f>
        <v>#REF!</v>
      </c>
      <c r="Z2436" t="e">
        <f>IF(#REF!&lt;=80,"Low Calls",
IF(#REF!&lt;=120,"Medium Calls","High Calls"))</f>
        <v>#REF!</v>
      </c>
      <c r="AA2436" t="e">
        <f>IF(#REF!&lt;=15,"Low Charges",
IF(#REF!&lt;=20,"Medium Charges","High Charges"))</f>
        <v>#REF!</v>
      </c>
      <c r="AB2436" t="e">
        <f>IF(AND(#REF!&gt;180, #REF!&gt;200), "Heavy Doemstic User", IF(#REF!&gt;10, "Interntional User", IF(AND(#REF!&lt;180, #REF!&lt;200,#REF!&lt;200), "Light User", "Balanced User")))</f>
        <v>#REF!</v>
      </c>
      <c r="AC2436" t="e">
        <f>IF(#REF! = 0, "No Usage", IF(#REF! &lt;= 20, "Low Usage", IF(#REF! &lt;= 40, "Medium Usgae", "High Usage")))</f>
        <v>#REF!</v>
      </c>
      <c r="AD2436" t="e">
        <f>IF(#REF!&lt;=150,"Low Usage", IF(#REF!&lt;=200,"Medium Usage", IF(#REF!&lt;=250,"High Usage","Very High Usage")))</f>
        <v>#REF!</v>
      </c>
      <c r="AE2436" t="e">
        <f>IF(#REF!&lt;=5,"Low Calls", IF(#REF!&lt;=10, "Medium Calls", "High Calls"))</f>
        <v>#REF!</v>
      </c>
      <c r="AF2436" t="e">
        <f xml:space="preserve">
IF(#REF!&gt;=4,4,0)+
IF(#REF!="yes",3,0)+
IF(#REF!="High Charges",3,0)+
IF(#REF!&gt;250,4,0)+
IF(#REF!="no",1,0)+
IF(#REF!="Heavy Domestic User",2,0)</f>
        <v>#REF!</v>
      </c>
      <c r="AG2436" t="e">
        <f>IF(#REF!&gt;=10,"High Risk", IF(#REF!&gt;=5,"Medium Risk","Low Risk"))</f>
        <v>#REF!</v>
      </c>
      <c r="AH2436" t="e">
        <f>#REF! + #REF! + #REF! + #REF!</f>
        <v>#REF!</v>
      </c>
    </row>
    <row r="2437" spans="1:34" x14ac:dyDescent="0.35">
      <c r="A2437">
        <v>2436</v>
      </c>
      <c r="B2437" t="s">
        <v>62</v>
      </c>
      <c r="C2437">
        <v>124</v>
      </c>
      <c r="D2437" t="s">
        <v>21</v>
      </c>
      <c r="E2437" t="s">
        <v>22</v>
      </c>
      <c r="F2437" t="s">
        <v>22</v>
      </c>
      <c r="G2437">
        <v>0</v>
      </c>
      <c r="H2437">
        <v>234.4</v>
      </c>
      <c r="I2437">
        <v>61</v>
      </c>
      <c r="J2437">
        <v>39.85</v>
      </c>
      <c r="K2437">
        <v>179.3</v>
      </c>
      <c r="L2437">
        <v>111</v>
      </c>
      <c r="M2437">
        <v>15.24</v>
      </c>
      <c r="N2437">
        <v>285.5</v>
      </c>
      <c r="O2437">
        <v>117</v>
      </c>
      <c r="P2437">
        <v>12.85</v>
      </c>
      <c r="Q2437">
        <v>10.4</v>
      </c>
      <c r="R2437">
        <v>6</v>
      </c>
      <c r="S2437">
        <v>2.81</v>
      </c>
      <c r="T2437">
        <v>3</v>
      </c>
      <c r="U2437" t="s">
        <v>22</v>
      </c>
      <c r="V2437" t="e">
        <f>IF(#REF! = "yes", 1, 0)</f>
        <v>#REF!</v>
      </c>
      <c r="W2437" t="e">
        <f>IF(#REF! &lt;= 1, "0-1 Calls", IF(#REF! &lt;= 3, "2-3 Calls", IF(#REF! &lt;=5, "4-5 Calls", "6+ Calls")))</f>
        <v>#REF!</v>
      </c>
      <c r="X2437" t="e">
        <f>IF(#REF! &lt;= 50, "0-50", IF(#REF! &lt;=100, "51-100", IF(#REF! &lt;= 150, "101-150", "151+")))</f>
        <v>#REF!</v>
      </c>
      <c r="Y2437" t="e">
        <f>IF(#REF! &lt;= 3, "Low Charges", "High Charges")</f>
        <v>#REF!</v>
      </c>
      <c r="Z2437" t="e">
        <f>IF(#REF!&lt;=80,"Low Calls",
IF(#REF!&lt;=120,"Medium Calls","High Calls"))</f>
        <v>#REF!</v>
      </c>
      <c r="AA2437" t="e">
        <f>IF(#REF!&lt;=15,"Low Charges",
IF(#REF!&lt;=20,"Medium Charges","High Charges"))</f>
        <v>#REF!</v>
      </c>
      <c r="AB2437" t="e">
        <f>IF(AND(#REF!&gt;180, #REF!&gt;200), "Heavy Doemstic User", IF(#REF!&gt;10, "Interntional User", IF(AND(#REF!&lt;180, #REF!&lt;200,#REF!&lt;200), "Light User", "Balanced User")))</f>
        <v>#REF!</v>
      </c>
      <c r="AC2437" t="e">
        <f>IF(#REF! = 0, "No Usage", IF(#REF! &lt;= 20, "Low Usage", IF(#REF! &lt;= 40, "Medium Usgae", "High Usage")))</f>
        <v>#REF!</v>
      </c>
      <c r="AD2437" t="e">
        <f>IF(#REF!&lt;=150,"Low Usage", IF(#REF!&lt;=200,"Medium Usage", IF(#REF!&lt;=250,"High Usage","Very High Usage")))</f>
        <v>#REF!</v>
      </c>
      <c r="AE2437" t="e">
        <f>IF(#REF!&lt;=5,"Low Calls", IF(#REF!&lt;=10, "Medium Calls", "High Calls"))</f>
        <v>#REF!</v>
      </c>
      <c r="AF2437" t="e">
        <f xml:space="preserve">
IF(#REF!&gt;=4,4,0)+
IF(#REF!="yes",3,0)+
IF(#REF!="High Charges",3,0)+
IF(#REF!&gt;250,4,0)+
IF(#REF!="no",1,0)+
IF(#REF!="Heavy Domestic User",2,0)</f>
        <v>#REF!</v>
      </c>
      <c r="AG2437" t="e">
        <f>IF(#REF!&gt;=10,"High Risk", IF(#REF!&gt;=5,"Medium Risk","Low Risk"))</f>
        <v>#REF!</v>
      </c>
      <c r="AH2437" t="e">
        <f>#REF! + #REF! + #REF! + #REF!</f>
        <v>#REF!</v>
      </c>
    </row>
    <row r="2438" spans="1:34" x14ac:dyDescent="0.35">
      <c r="A2438">
        <v>2437</v>
      </c>
      <c r="B2438" t="s">
        <v>31</v>
      </c>
      <c r="C2438">
        <v>133</v>
      </c>
      <c r="D2438" t="s">
        <v>28</v>
      </c>
      <c r="E2438" t="s">
        <v>22</v>
      </c>
      <c r="F2438" t="s">
        <v>22</v>
      </c>
      <c r="G2438">
        <v>0</v>
      </c>
      <c r="H2438">
        <v>176.8</v>
      </c>
      <c r="I2438">
        <v>92</v>
      </c>
      <c r="J2438">
        <v>30.06</v>
      </c>
      <c r="K2438">
        <v>187.5</v>
      </c>
      <c r="L2438">
        <v>97</v>
      </c>
      <c r="M2438">
        <v>15.94</v>
      </c>
      <c r="N2438">
        <v>196.8</v>
      </c>
      <c r="O2438">
        <v>88</v>
      </c>
      <c r="P2438">
        <v>8.86</v>
      </c>
      <c r="Q2438">
        <v>6.5</v>
      </c>
      <c r="R2438">
        <v>3</v>
      </c>
      <c r="S2438">
        <v>1.76</v>
      </c>
      <c r="T2438">
        <v>2</v>
      </c>
      <c r="U2438" t="s">
        <v>22</v>
      </c>
      <c r="V2438" t="e">
        <f>IF(#REF! = "yes", 1, 0)</f>
        <v>#REF!</v>
      </c>
      <c r="W2438" t="e">
        <f>IF(#REF! &lt;= 1, "0-1 Calls", IF(#REF! &lt;= 3, "2-3 Calls", IF(#REF! &lt;=5, "4-5 Calls", "6+ Calls")))</f>
        <v>#REF!</v>
      </c>
      <c r="X2438" t="e">
        <f>IF(#REF! &lt;= 50, "0-50", IF(#REF! &lt;=100, "51-100", IF(#REF! &lt;= 150, "101-150", "151+")))</f>
        <v>#REF!</v>
      </c>
      <c r="Y2438" t="e">
        <f>IF(#REF! &lt;= 3, "Low Charges", "High Charges")</f>
        <v>#REF!</v>
      </c>
      <c r="Z2438" t="e">
        <f>IF(#REF!&lt;=80,"Low Calls",
IF(#REF!&lt;=120,"Medium Calls","High Calls"))</f>
        <v>#REF!</v>
      </c>
      <c r="AA2438" t="e">
        <f>IF(#REF!&lt;=15,"Low Charges",
IF(#REF!&lt;=20,"Medium Charges","High Charges"))</f>
        <v>#REF!</v>
      </c>
      <c r="AB2438" t="e">
        <f>IF(AND(#REF!&gt;180, #REF!&gt;200), "Heavy Doemstic User", IF(#REF!&gt;10, "Interntional User", IF(AND(#REF!&lt;180, #REF!&lt;200,#REF!&lt;200), "Light User", "Balanced User")))</f>
        <v>#REF!</v>
      </c>
      <c r="AC2438" t="e">
        <f>IF(#REF! = 0, "No Usage", IF(#REF! &lt;= 20, "Low Usage", IF(#REF! &lt;= 40, "Medium Usgae", "High Usage")))</f>
        <v>#REF!</v>
      </c>
      <c r="AD2438" t="e">
        <f>IF(#REF!&lt;=150,"Low Usage", IF(#REF!&lt;=200,"Medium Usage", IF(#REF!&lt;=250,"High Usage","Very High Usage")))</f>
        <v>#REF!</v>
      </c>
      <c r="AE2438" t="e">
        <f>IF(#REF!&lt;=5,"Low Calls", IF(#REF!&lt;=10, "Medium Calls", "High Calls"))</f>
        <v>#REF!</v>
      </c>
      <c r="AF2438" t="e">
        <f xml:space="preserve">
IF(#REF!&gt;=4,4,0)+
IF(#REF!="yes",3,0)+
IF(#REF!="High Charges",3,0)+
IF(#REF!&gt;250,4,0)+
IF(#REF!="no",1,0)+
IF(#REF!="Heavy Domestic User",2,0)</f>
        <v>#REF!</v>
      </c>
      <c r="AG2438" t="e">
        <f>IF(#REF!&gt;=10,"High Risk", IF(#REF!&gt;=5,"Medium Risk","Low Risk"))</f>
        <v>#REF!</v>
      </c>
      <c r="AH2438" t="e">
        <f>#REF! + #REF! + #REF! + #REF!</f>
        <v>#REF!</v>
      </c>
    </row>
    <row r="2439" spans="1:34" x14ac:dyDescent="0.35">
      <c r="A2439">
        <v>2438</v>
      </c>
      <c r="B2439" t="s">
        <v>50</v>
      </c>
      <c r="C2439">
        <v>185</v>
      </c>
      <c r="D2439" t="s">
        <v>21</v>
      </c>
      <c r="E2439" t="s">
        <v>22</v>
      </c>
      <c r="F2439" t="s">
        <v>23</v>
      </c>
      <c r="G2439">
        <v>19</v>
      </c>
      <c r="H2439">
        <v>157.30000000000001</v>
      </c>
      <c r="I2439">
        <v>123</v>
      </c>
      <c r="J2439">
        <v>26.74</v>
      </c>
      <c r="K2439">
        <v>257.7</v>
      </c>
      <c r="L2439">
        <v>94</v>
      </c>
      <c r="M2439">
        <v>21.9</v>
      </c>
      <c r="N2439">
        <v>190.4</v>
      </c>
      <c r="O2439">
        <v>107</v>
      </c>
      <c r="P2439">
        <v>8.57</v>
      </c>
      <c r="Q2439">
        <v>9.6</v>
      </c>
      <c r="R2439">
        <v>6</v>
      </c>
      <c r="S2439">
        <v>2.59</v>
      </c>
      <c r="T2439">
        <v>0</v>
      </c>
      <c r="U2439" t="s">
        <v>22</v>
      </c>
      <c r="V2439" t="e">
        <f>IF(#REF! = "yes", 1, 0)</f>
        <v>#REF!</v>
      </c>
      <c r="W2439" t="e">
        <f>IF(#REF! &lt;= 1, "0-1 Calls", IF(#REF! &lt;= 3, "2-3 Calls", IF(#REF! &lt;=5, "4-5 Calls", "6+ Calls")))</f>
        <v>#REF!</v>
      </c>
      <c r="X2439" t="e">
        <f>IF(#REF! &lt;= 50, "0-50", IF(#REF! &lt;=100, "51-100", IF(#REF! &lt;= 150, "101-150", "151+")))</f>
        <v>#REF!</v>
      </c>
      <c r="Y2439" t="e">
        <f>IF(#REF! &lt;= 3, "Low Charges", "High Charges")</f>
        <v>#REF!</v>
      </c>
      <c r="Z2439" t="e">
        <f>IF(#REF!&lt;=80,"Low Calls",
IF(#REF!&lt;=120,"Medium Calls","High Calls"))</f>
        <v>#REF!</v>
      </c>
      <c r="AA2439" t="e">
        <f>IF(#REF!&lt;=15,"Low Charges",
IF(#REF!&lt;=20,"Medium Charges","High Charges"))</f>
        <v>#REF!</v>
      </c>
      <c r="AB2439" t="e">
        <f>IF(AND(#REF!&gt;180, #REF!&gt;200), "Heavy Doemstic User", IF(#REF!&gt;10, "Interntional User", IF(AND(#REF!&lt;180, #REF!&lt;200,#REF!&lt;200), "Light User", "Balanced User")))</f>
        <v>#REF!</v>
      </c>
      <c r="AC2439" t="e">
        <f>IF(#REF! = 0, "No Usage", IF(#REF! &lt;= 20, "Low Usage", IF(#REF! &lt;= 40, "Medium Usgae", "High Usage")))</f>
        <v>#REF!</v>
      </c>
      <c r="AD2439" t="e">
        <f>IF(#REF!&lt;=150,"Low Usage", IF(#REF!&lt;=200,"Medium Usage", IF(#REF!&lt;=250,"High Usage","Very High Usage")))</f>
        <v>#REF!</v>
      </c>
      <c r="AE2439" t="e">
        <f>IF(#REF!&lt;=5,"Low Calls", IF(#REF!&lt;=10, "Medium Calls", "High Calls"))</f>
        <v>#REF!</v>
      </c>
      <c r="AF2439" t="e">
        <f xml:space="preserve">
IF(#REF!&gt;=4,4,0)+
IF(#REF!="yes",3,0)+
IF(#REF!="High Charges",3,0)+
IF(#REF!&gt;250,4,0)+
IF(#REF!="no",1,0)+
IF(#REF!="Heavy Domestic User",2,0)</f>
        <v>#REF!</v>
      </c>
      <c r="AG2439" t="e">
        <f>IF(#REF!&gt;=10,"High Risk", IF(#REF!&gt;=5,"Medium Risk","Low Risk"))</f>
        <v>#REF!</v>
      </c>
      <c r="AH2439" t="e">
        <f>#REF! + #REF! + #REF! + #REF!</f>
        <v>#REF!</v>
      </c>
    </row>
    <row r="2440" spans="1:34" x14ac:dyDescent="0.35">
      <c r="A2440">
        <v>2439</v>
      </c>
      <c r="B2440" t="s">
        <v>70</v>
      </c>
      <c r="C2440">
        <v>107</v>
      </c>
      <c r="D2440" t="s">
        <v>21</v>
      </c>
      <c r="E2440" t="s">
        <v>22</v>
      </c>
      <c r="F2440" t="s">
        <v>22</v>
      </c>
      <c r="G2440">
        <v>0</v>
      </c>
      <c r="H2440">
        <v>260.5</v>
      </c>
      <c r="I2440">
        <v>108</v>
      </c>
      <c r="J2440">
        <v>44.29</v>
      </c>
      <c r="K2440">
        <v>102.4</v>
      </c>
      <c r="L2440">
        <v>110</v>
      </c>
      <c r="M2440">
        <v>8.6999999999999993</v>
      </c>
      <c r="N2440">
        <v>129.69999999999999</v>
      </c>
      <c r="O2440">
        <v>148</v>
      </c>
      <c r="P2440">
        <v>5.84</v>
      </c>
      <c r="Q2440">
        <v>9.8000000000000007</v>
      </c>
      <c r="R2440">
        <v>5</v>
      </c>
      <c r="S2440">
        <v>2.65</v>
      </c>
      <c r="T2440">
        <v>1</v>
      </c>
      <c r="U2440" t="s">
        <v>22</v>
      </c>
      <c r="V2440" t="e">
        <f>IF(#REF! = "yes", 1, 0)</f>
        <v>#REF!</v>
      </c>
      <c r="W2440" t="e">
        <f>IF(#REF! &lt;= 1, "0-1 Calls", IF(#REF! &lt;= 3, "2-3 Calls", IF(#REF! &lt;=5, "4-5 Calls", "6+ Calls")))</f>
        <v>#REF!</v>
      </c>
      <c r="X2440" t="e">
        <f>IF(#REF! &lt;= 50, "0-50", IF(#REF! &lt;=100, "51-100", IF(#REF! &lt;= 150, "101-150", "151+")))</f>
        <v>#REF!</v>
      </c>
      <c r="Y2440" t="e">
        <f>IF(#REF! &lt;= 3, "Low Charges", "High Charges")</f>
        <v>#REF!</v>
      </c>
      <c r="Z2440" t="e">
        <f>IF(#REF!&lt;=80,"Low Calls",
IF(#REF!&lt;=120,"Medium Calls","High Calls"))</f>
        <v>#REF!</v>
      </c>
      <c r="AA2440" t="e">
        <f>IF(#REF!&lt;=15,"Low Charges",
IF(#REF!&lt;=20,"Medium Charges","High Charges"))</f>
        <v>#REF!</v>
      </c>
      <c r="AB2440" t="e">
        <f>IF(AND(#REF!&gt;180, #REF!&gt;200), "Heavy Doemstic User", IF(#REF!&gt;10, "Interntional User", IF(AND(#REF!&lt;180, #REF!&lt;200,#REF!&lt;200), "Light User", "Balanced User")))</f>
        <v>#REF!</v>
      </c>
      <c r="AC2440" t="e">
        <f>IF(#REF! = 0, "No Usage", IF(#REF! &lt;= 20, "Low Usage", IF(#REF! &lt;= 40, "Medium Usgae", "High Usage")))</f>
        <v>#REF!</v>
      </c>
      <c r="AD2440" t="e">
        <f>IF(#REF!&lt;=150,"Low Usage", IF(#REF!&lt;=200,"Medium Usage", IF(#REF!&lt;=250,"High Usage","Very High Usage")))</f>
        <v>#REF!</v>
      </c>
      <c r="AE2440" t="e">
        <f>IF(#REF!&lt;=5,"Low Calls", IF(#REF!&lt;=10, "Medium Calls", "High Calls"))</f>
        <v>#REF!</v>
      </c>
      <c r="AF2440" t="e">
        <f xml:space="preserve">
IF(#REF!&gt;=4,4,0)+
IF(#REF!="yes",3,0)+
IF(#REF!="High Charges",3,0)+
IF(#REF!&gt;250,4,0)+
IF(#REF!="no",1,0)+
IF(#REF!="Heavy Domestic User",2,0)</f>
        <v>#REF!</v>
      </c>
      <c r="AG2440" t="e">
        <f>IF(#REF!&gt;=10,"High Risk", IF(#REF!&gt;=5,"Medium Risk","Low Risk"))</f>
        <v>#REF!</v>
      </c>
      <c r="AH2440" t="e">
        <f>#REF! + #REF! + #REF! + #REF!</f>
        <v>#REF!</v>
      </c>
    </row>
    <row r="2441" spans="1:34" x14ac:dyDescent="0.35">
      <c r="A2441">
        <v>2440</v>
      </c>
      <c r="B2441" t="s">
        <v>53</v>
      </c>
      <c r="C2441">
        <v>178</v>
      </c>
      <c r="D2441" t="s">
        <v>25</v>
      </c>
      <c r="E2441" t="s">
        <v>23</v>
      </c>
      <c r="F2441" t="s">
        <v>22</v>
      </c>
      <c r="G2441">
        <v>0</v>
      </c>
      <c r="H2441">
        <v>124.5</v>
      </c>
      <c r="I2441">
        <v>134</v>
      </c>
      <c r="J2441">
        <v>21.17</v>
      </c>
      <c r="K2441">
        <v>141.19999999999999</v>
      </c>
      <c r="L2441">
        <v>78</v>
      </c>
      <c r="M2441">
        <v>12</v>
      </c>
      <c r="N2441">
        <v>268.2</v>
      </c>
      <c r="O2441">
        <v>113</v>
      </c>
      <c r="P2441">
        <v>12.07</v>
      </c>
      <c r="Q2441">
        <v>11.4</v>
      </c>
      <c r="R2441">
        <v>2</v>
      </c>
      <c r="S2441">
        <v>3.08</v>
      </c>
      <c r="T2441">
        <v>2</v>
      </c>
      <c r="U2441" t="s">
        <v>23</v>
      </c>
      <c r="V2441" t="e">
        <f>IF(#REF! = "yes", 1, 0)</f>
        <v>#REF!</v>
      </c>
      <c r="W2441" t="e">
        <f>IF(#REF! &lt;= 1, "0-1 Calls", IF(#REF! &lt;= 3, "2-3 Calls", IF(#REF! &lt;=5, "4-5 Calls", "6+ Calls")))</f>
        <v>#REF!</v>
      </c>
      <c r="X2441" t="e">
        <f>IF(#REF! &lt;= 50, "0-50", IF(#REF! &lt;=100, "51-100", IF(#REF! &lt;= 150, "101-150", "151+")))</f>
        <v>#REF!</v>
      </c>
      <c r="Y2441" t="e">
        <f>IF(#REF! &lt;= 3, "Low Charges", "High Charges")</f>
        <v>#REF!</v>
      </c>
      <c r="Z2441" t="e">
        <f>IF(#REF!&lt;=80,"Low Calls",
IF(#REF!&lt;=120,"Medium Calls","High Calls"))</f>
        <v>#REF!</v>
      </c>
      <c r="AA2441" t="e">
        <f>IF(#REF!&lt;=15,"Low Charges",
IF(#REF!&lt;=20,"Medium Charges","High Charges"))</f>
        <v>#REF!</v>
      </c>
      <c r="AB2441" t="e">
        <f>IF(AND(#REF!&gt;180, #REF!&gt;200), "Heavy Doemstic User", IF(#REF!&gt;10, "Interntional User", IF(AND(#REF!&lt;180, #REF!&lt;200,#REF!&lt;200), "Light User", "Balanced User")))</f>
        <v>#REF!</v>
      </c>
      <c r="AC2441" t="e">
        <f>IF(#REF! = 0, "No Usage", IF(#REF! &lt;= 20, "Low Usage", IF(#REF! &lt;= 40, "Medium Usgae", "High Usage")))</f>
        <v>#REF!</v>
      </c>
      <c r="AD2441" t="e">
        <f>IF(#REF!&lt;=150,"Low Usage", IF(#REF!&lt;=200,"Medium Usage", IF(#REF!&lt;=250,"High Usage","Very High Usage")))</f>
        <v>#REF!</v>
      </c>
      <c r="AE2441" t="e">
        <f>IF(#REF!&lt;=5,"Low Calls", IF(#REF!&lt;=10, "Medium Calls", "High Calls"))</f>
        <v>#REF!</v>
      </c>
      <c r="AF2441" t="e">
        <f xml:space="preserve">
IF(#REF!&gt;=4,4,0)+
IF(#REF!="yes",3,0)+
IF(#REF!="High Charges",3,0)+
IF(#REF!&gt;250,4,0)+
IF(#REF!="no",1,0)+
IF(#REF!="Heavy Domestic User",2,0)</f>
        <v>#REF!</v>
      </c>
      <c r="AG2441" t="e">
        <f>IF(#REF!&gt;=10,"High Risk", IF(#REF!&gt;=5,"Medium Risk","Low Risk"))</f>
        <v>#REF!</v>
      </c>
      <c r="AH2441" t="e">
        <f>#REF! + #REF! + #REF! + #REF!</f>
        <v>#REF!</v>
      </c>
    </row>
    <row r="2442" spans="1:34" x14ac:dyDescent="0.35">
      <c r="A2442">
        <v>2441</v>
      </c>
      <c r="B2442" t="s">
        <v>27</v>
      </c>
      <c r="C2442">
        <v>123</v>
      </c>
      <c r="D2442" t="s">
        <v>21</v>
      </c>
      <c r="E2442" t="s">
        <v>22</v>
      </c>
      <c r="F2442" t="s">
        <v>22</v>
      </c>
      <c r="G2442">
        <v>0</v>
      </c>
      <c r="H2442">
        <v>209.4</v>
      </c>
      <c r="I2442">
        <v>49</v>
      </c>
      <c r="J2442">
        <v>35.6</v>
      </c>
      <c r="K2442">
        <v>237.4</v>
      </c>
      <c r="L2442">
        <v>117</v>
      </c>
      <c r="M2442">
        <v>20.18</v>
      </c>
      <c r="N2442">
        <v>239.2</v>
      </c>
      <c r="O2442">
        <v>98</v>
      </c>
      <c r="P2442">
        <v>10.76</v>
      </c>
      <c r="Q2442">
        <v>9.8000000000000007</v>
      </c>
      <c r="R2442">
        <v>11</v>
      </c>
      <c r="S2442">
        <v>2.65</v>
      </c>
      <c r="T2442">
        <v>1</v>
      </c>
      <c r="U2442" t="s">
        <v>22</v>
      </c>
      <c r="V2442" t="e">
        <f>IF(#REF! = "yes", 1, 0)</f>
        <v>#REF!</v>
      </c>
      <c r="W2442" t="e">
        <f>IF(#REF! &lt;= 1, "0-1 Calls", IF(#REF! &lt;= 3, "2-3 Calls", IF(#REF! &lt;=5, "4-5 Calls", "6+ Calls")))</f>
        <v>#REF!</v>
      </c>
      <c r="X2442" t="e">
        <f>IF(#REF! &lt;= 50, "0-50", IF(#REF! &lt;=100, "51-100", IF(#REF! &lt;= 150, "101-150", "151+")))</f>
        <v>#REF!</v>
      </c>
      <c r="Y2442" t="e">
        <f>IF(#REF! &lt;= 3, "Low Charges", "High Charges")</f>
        <v>#REF!</v>
      </c>
      <c r="Z2442" t="e">
        <f>IF(#REF!&lt;=80,"Low Calls",
IF(#REF!&lt;=120,"Medium Calls","High Calls"))</f>
        <v>#REF!</v>
      </c>
      <c r="AA2442" t="e">
        <f>IF(#REF!&lt;=15,"Low Charges",
IF(#REF!&lt;=20,"Medium Charges","High Charges"))</f>
        <v>#REF!</v>
      </c>
      <c r="AB2442" t="e">
        <f>IF(AND(#REF!&gt;180, #REF!&gt;200), "Heavy Doemstic User", IF(#REF!&gt;10, "Interntional User", IF(AND(#REF!&lt;180, #REF!&lt;200,#REF!&lt;200), "Light User", "Balanced User")))</f>
        <v>#REF!</v>
      </c>
      <c r="AC2442" t="e">
        <f>IF(#REF! = 0, "No Usage", IF(#REF! &lt;= 20, "Low Usage", IF(#REF! &lt;= 40, "Medium Usgae", "High Usage")))</f>
        <v>#REF!</v>
      </c>
      <c r="AD2442" t="e">
        <f>IF(#REF!&lt;=150,"Low Usage", IF(#REF!&lt;=200,"Medium Usage", IF(#REF!&lt;=250,"High Usage","Very High Usage")))</f>
        <v>#REF!</v>
      </c>
      <c r="AE2442" t="e">
        <f>IF(#REF!&lt;=5,"Low Calls", IF(#REF!&lt;=10, "Medium Calls", "High Calls"))</f>
        <v>#REF!</v>
      </c>
      <c r="AF2442" t="e">
        <f xml:space="preserve">
IF(#REF!&gt;=4,4,0)+
IF(#REF!="yes",3,0)+
IF(#REF!="High Charges",3,0)+
IF(#REF!&gt;250,4,0)+
IF(#REF!="no",1,0)+
IF(#REF!="Heavy Domestic User",2,0)</f>
        <v>#REF!</v>
      </c>
      <c r="AG2442" t="e">
        <f>IF(#REF!&gt;=10,"High Risk", IF(#REF!&gt;=5,"Medium Risk","Low Risk"))</f>
        <v>#REF!</v>
      </c>
      <c r="AH2442" t="e">
        <f>#REF! + #REF! + #REF! + #REF!</f>
        <v>#REF!</v>
      </c>
    </row>
    <row r="2443" spans="1:34" x14ac:dyDescent="0.35">
      <c r="A2443">
        <v>2442</v>
      </c>
      <c r="B2443" t="s">
        <v>55</v>
      </c>
      <c r="C2443">
        <v>170</v>
      </c>
      <c r="D2443" t="s">
        <v>21</v>
      </c>
      <c r="E2443" t="s">
        <v>22</v>
      </c>
      <c r="F2443" t="s">
        <v>22</v>
      </c>
      <c r="G2443">
        <v>0</v>
      </c>
      <c r="H2443">
        <v>285.7</v>
      </c>
      <c r="I2443">
        <v>44</v>
      </c>
      <c r="J2443">
        <v>48.57</v>
      </c>
      <c r="K2443">
        <v>167.5</v>
      </c>
      <c r="L2443">
        <v>144</v>
      </c>
      <c r="M2443">
        <v>14.24</v>
      </c>
      <c r="N2443">
        <v>260</v>
      </c>
      <c r="O2443">
        <v>97</v>
      </c>
      <c r="P2443">
        <v>11.7</v>
      </c>
      <c r="Q2443">
        <v>8.6999999999999993</v>
      </c>
      <c r="R2443">
        <v>4</v>
      </c>
      <c r="S2443">
        <v>2.35</v>
      </c>
      <c r="T2443">
        <v>1</v>
      </c>
      <c r="U2443" t="s">
        <v>23</v>
      </c>
      <c r="V2443" t="e">
        <f>IF(#REF! = "yes", 1, 0)</f>
        <v>#REF!</v>
      </c>
      <c r="W2443" t="e">
        <f>IF(#REF! &lt;= 1, "0-1 Calls", IF(#REF! &lt;= 3, "2-3 Calls", IF(#REF! &lt;=5, "4-5 Calls", "6+ Calls")))</f>
        <v>#REF!</v>
      </c>
      <c r="X2443" t="e">
        <f>IF(#REF! &lt;= 50, "0-50", IF(#REF! &lt;=100, "51-100", IF(#REF! &lt;= 150, "101-150", "151+")))</f>
        <v>#REF!</v>
      </c>
      <c r="Y2443" t="e">
        <f>IF(#REF! &lt;= 3, "Low Charges", "High Charges")</f>
        <v>#REF!</v>
      </c>
      <c r="Z2443" t="e">
        <f>IF(#REF!&lt;=80,"Low Calls",
IF(#REF!&lt;=120,"Medium Calls","High Calls"))</f>
        <v>#REF!</v>
      </c>
      <c r="AA2443" t="e">
        <f>IF(#REF!&lt;=15,"Low Charges",
IF(#REF!&lt;=20,"Medium Charges","High Charges"))</f>
        <v>#REF!</v>
      </c>
      <c r="AB2443" t="e">
        <f>IF(AND(#REF!&gt;180, #REF!&gt;200), "Heavy Doemstic User", IF(#REF!&gt;10, "Interntional User", IF(AND(#REF!&lt;180, #REF!&lt;200,#REF!&lt;200), "Light User", "Balanced User")))</f>
        <v>#REF!</v>
      </c>
      <c r="AC2443" t="e">
        <f>IF(#REF! = 0, "No Usage", IF(#REF! &lt;= 20, "Low Usage", IF(#REF! &lt;= 40, "Medium Usgae", "High Usage")))</f>
        <v>#REF!</v>
      </c>
      <c r="AD2443" t="e">
        <f>IF(#REF!&lt;=150,"Low Usage", IF(#REF!&lt;=200,"Medium Usage", IF(#REF!&lt;=250,"High Usage","Very High Usage")))</f>
        <v>#REF!</v>
      </c>
      <c r="AE2443" t="e">
        <f>IF(#REF!&lt;=5,"Low Calls", IF(#REF!&lt;=10, "Medium Calls", "High Calls"))</f>
        <v>#REF!</v>
      </c>
      <c r="AF2443" t="e">
        <f xml:space="preserve">
IF(#REF!&gt;=4,4,0)+
IF(#REF!="yes",3,0)+
IF(#REF!="High Charges",3,0)+
IF(#REF!&gt;250,4,0)+
IF(#REF!="no",1,0)+
IF(#REF!="Heavy Domestic User",2,0)</f>
        <v>#REF!</v>
      </c>
      <c r="AG2443" t="e">
        <f>IF(#REF!&gt;=10,"High Risk", IF(#REF!&gt;=5,"Medium Risk","Low Risk"))</f>
        <v>#REF!</v>
      </c>
      <c r="AH2443" t="e">
        <f>#REF! + #REF! + #REF! + #REF!</f>
        <v>#REF!</v>
      </c>
    </row>
    <row r="2444" spans="1:34" x14ac:dyDescent="0.35">
      <c r="A2444">
        <v>2443</v>
      </c>
      <c r="B2444" t="s">
        <v>45</v>
      </c>
      <c r="C2444">
        <v>135</v>
      </c>
      <c r="D2444" t="s">
        <v>21</v>
      </c>
      <c r="E2444" t="s">
        <v>22</v>
      </c>
      <c r="F2444" t="s">
        <v>22</v>
      </c>
      <c r="G2444">
        <v>0</v>
      </c>
      <c r="H2444">
        <v>190.9</v>
      </c>
      <c r="I2444">
        <v>44</v>
      </c>
      <c r="J2444">
        <v>32.450000000000003</v>
      </c>
      <c r="K2444">
        <v>161.4</v>
      </c>
      <c r="L2444">
        <v>109</v>
      </c>
      <c r="M2444">
        <v>13.72</v>
      </c>
      <c r="N2444">
        <v>231.9</v>
      </c>
      <c r="O2444">
        <v>100</v>
      </c>
      <c r="P2444">
        <v>10.44</v>
      </c>
      <c r="Q2444">
        <v>8.4</v>
      </c>
      <c r="R2444">
        <v>2</v>
      </c>
      <c r="S2444">
        <v>2.27</v>
      </c>
      <c r="T2444">
        <v>1</v>
      </c>
      <c r="U2444" t="s">
        <v>22</v>
      </c>
      <c r="V2444" t="e">
        <f>IF(#REF! = "yes", 1, 0)</f>
        <v>#REF!</v>
      </c>
      <c r="W2444" t="e">
        <f>IF(#REF! &lt;= 1, "0-1 Calls", IF(#REF! &lt;= 3, "2-3 Calls", IF(#REF! &lt;=5, "4-5 Calls", "6+ Calls")))</f>
        <v>#REF!</v>
      </c>
      <c r="X2444" t="e">
        <f>IF(#REF! &lt;= 50, "0-50", IF(#REF! &lt;=100, "51-100", IF(#REF! &lt;= 150, "101-150", "151+")))</f>
        <v>#REF!</v>
      </c>
      <c r="Y2444" t="e">
        <f>IF(#REF! &lt;= 3, "Low Charges", "High Charges")</f>
        <v>#REF!</v>
      </c>
      <c r="Z2444" t="e">
        <f>IF(#REF!&lt;=80,"Low Calls",
IF(#REF!&lt;=120,"Medium Calls","High Calls"))</f>
        <v>#REF!</v>
      </c>
      <c r="AA2444" t="e">
        <f>IF(#REF!&lt;=15,"Low Charges",
IF(#REF!&lt;=20,"Medium Charges","High Charges"))</f>
        <v>#REF!</v>
      </c>
      <c r="AB2444" t="e">
        <f>IF(AND(#REF!&gt;180, #REF!&gt;200), "Heavy Doemstic User", IF(#REF!&gt;10, "Interntional User", IF(AND(#REF!&lt;180, #REF!&lt;200,#REF!&lt;200), "Light User", "Balanced User")))</f>
        <v>#REF!</v>
      </c>
      <c r="AC2444" t="e">
        <f>IF(#REF! = 0, "No Usage", IF(#REF! &lt;= 20, "Low Usage", IF(#REF! &lt;= 40, "Medium Usgae", "High Usage")))</f>
        <v>#REF!</v>
      </c>
      <c r="AD2444" t="e">
        <f>IF(#REF!&lt;=150,"Low Usage", IF(#REF!&lt;=200,"Medium Usage", IF(#REF!&lt;=250,"High Usage","Very High Usage")))</f>
        <v>#REF!</v>
      </c>
      <c r="AE2444" t="e">
        <f>IF(#REF!&lt;=5,"Low Calls", IF(#REF!&lt;=10, "Medium Calls", "High Calls"))</f>
        <v>#REF!</v>
      </c>
      <c r="AF2444" t="e">
        <f xml:space="preserve">
IF(#REF!&gt;=4,4,0)+
IF(#REF!="yes",3,0)+
IF(#REF!="High Charges",3,0)+
IF(#REF!&gt;250,4,0)+
IF(#REF!="no",1,0)+
IF(#REF!="Heavy Domestic User",2,0)</f>
        <v>#REF!</v>
      </c>
      <c r="AG2444" t="e">
        <f>IF(#REF!&gt;=10,"High Risk", IF(#REF!&gt;=5,"Medium Risk","Low Risk"))</f>
        <v>#REF!</v>
      </c>
      <c r="AH2444" t="e">
        <f>#REF! + #REF! + #REF! + #REF!</f>
        <v>#REF!</v>
      </c>
    </row>
    <row r="2445" spans="1:34" x14ac:dyDescent="0.35">
      <c r="A2445">
        <v>2444</v>
      </c>
      <c r="B2445" t="s">
        <v>52</v>
      </c>
      <c r="C2445">
        <v>134</v>
      </c>
      <c r="D2445" t="s">
        <v>21</v>
      </c>
      <c r="E2445" t="s">
        <v>22</v>
      </c>
      <c r="F2445" t="s">
        <v>23</v>
      </c>
      <c r="G2445">
        <v>50</v>
      </c>
      <c r="H2445">
        <v>208.8</v>
      </c>
      <c r="I2445">
        <v>130</v>
      </c>
      <c r="J2445">
        <v>35.5</v>
      </c>
      <c r="K2445">
        <v>132.9</v>
      </c>
      <c r="L2445">
        <v>104</v>
      </c>
      <c r="M2445">
        <v>11.3</v>
      </c>
      <c r="N2445">
        <v>136.69999999999999</v>
      </c>
      <c r="O2445">
        <v>107</v>
      </c>
      <c r="P2445">
        <v>6.15</v>
      </c>
      <c r="Q2445">
        <v>11.1</v>
      </c>
      <c r="R2445">
        <v>4</v>
      </c>
      <c r="S2445">
        <v>3</v>
      </c>
      <c r="T2445">
        <v>2</v>
      </c>
      <c r="U2445" t="s">
        <v>22</v>
      </c>
      <c r="V2445" t="e">
        <f>IF(#REF! = "yes", 1, 0)</f>
        <v>#REF!</v>
      </c>
      <c r="W2445" t="e">
        <f>IF(#REF! &lt;= 1, "0-1 Calls", IF(#REF! &lt;= 3, "2-3 Calls", IF(#REF! &lt;=5, "4-5 Calls", "6+ Calls")))</f>
        <v>#REF!</v>
      </c>
      <c r="X2445" t="e">
        <f>IF(#REF! &lt;= 50, "0-50", IF(#REF! &lt;=100, "51-100", IF(#REF! &lt;= 150, "101-150", "151+")))</f>
        <v>#REF!</v>
      </c>
      <c r="Y2445" t="e">
        <f>IF(#REF! &lt;= 3, "Low Charges", "High Charges")</f>
        <v>#REF!</v>
      </c>
      <c r="Z2445" t="e">
        <f>IF(#REF!&lt;=80,"Low Calls",
IF(#REF!&lt;=120,"Medium Calls","High Calls"))</f>
        <v>#REF!</v>
      </c>
      <c r="AA2445" t="e">
        <f>IF(#REF!&lt;=15,"Low Charges",
IF(#REF!&lt;=20,"Medium Charges","High Charges"))</f>
        <v>#REF!</v>
      </c>
      <c r="AB2445" t="e">
        <f>IF(AND(#REF!&gt;180, #REF!&gt;200), "Heavy Doemstic User", IF(#REF!&gt;10, "Interntional User", IF(AND(#REF!&lt;180, #REF!&lt;200,#REF!&lt;200), "Light User", "Balanced User")))</f>
        <v>#REF!</v>
      </c>
      <c r="AC2445" t="e">
        <f>IF(#REF! = 0, "No Usage", IF(#REF! &lt;= 20, "Low Usage", IF(#REF! &lt;= 40, "Medium Usgae", "High Usage")))</f>
        <v>#REF!</v>
      </c>
      <c r="AD2445" t="e">
        <f>IF(#REF!&lt;=150,"Low Usage", IF(#REF!&lt;=200,"Medium Usage", IF(#REF!&lt;=250,"High Usage","Very High Usage")))</f>
        <v>#REF!</v>
      </c>
      <c r="AE2445" t="e">
        <f>IF(#REF!&lt;=5,"Low Calls", IF(#REF!&lt;=10, "Medium Calls", "High Calls"))</f>
        <v>#REF!</v>
      </c>
      <c r="AF2445" t="e">
        <f xml:space="preserve">
IF(#REF!&gt;=4,4,0)+
IF(#REF!="yes",3,0)+
IF(#REF!="High Charges",3,0)+
IF(#REF!&gt;250,4,0)+
IF(#REF!="no",1,0)+
IF(#REF!="Heavy Domestic User",2,0)</f>
        <v>#REF!</v>
      </c>
      <c r="AG2445" t="e">
        <f>IF(#REF!&gt;=10,"High Risk", IF(#REF!&gt;=5,"Medium Risk","Low Risk"))</f>
        <v>#REF!</v>
      </c>
      <c r="AH2445" t="e">
        <f>#REF! + #REF! + #REF! + #REF!</f>
        <v>#REF!</v>
      </c>
    </row>
    <row r="2446" spans="1:34" x14ac:dyDescent="0.35">
      <c r="A2446">
        <v>2445</v>
      </c>
      <c r="B2446" t="s">
        <v>71</v>
      </c>
      <c r="C2446">
        <v>148</v>
      </c>
      <c r="D2446" t="s">
        <v>21</v>
      </c>
      <c r="E2446" t="s">
        <v>22</v>
      </c>
      <c r="F2446" t="s">
        <v>23</v>
      </c>
      <c r="G2446">
        <v>36</v>
      </c>
      <c r="H2446">
        <v>77.599999999999994</v>
      </c>
      <c r="I2446">
        <v>141</v>
      </c>
      <c r="J2446">
        <v>13.19</v>
      </c>
      <c r="K2446">
        <v>207</v>
      </c>
      <c r="L2446">
        <v>60</v>
      </c>
      <c r="M2446">
        <v>17.600000000000001</v>
      </c>
      <c r="N2446">
        <v>255.7</v>
      </c>
      <c r="O2446">
        <v>115</v>
      </c>
      <c r="P2446">
        <v>11.51</v>
      </c>
      <c r="Q2446">
        <v>10.9</v>
      </c>
      <c r="R2446">
        <v>2</v>
      </c>
      <c r="S2446">
        <v>2.94</v>
      </c>
      <c r="T2446">
        <v>1</v>
      </c>
      <c r="U2446" t="s">
        <v>22</v>
      </c>
      <c r="V2446" t="e">
        <f>IF(#REF! = "yes", 1, 0)</f>
        <v>#REF!</v>
      </c>
      <c r="W2446" t="e">
        <f>IF(#REF! &lt;= 1, "0-1 Calls", IF(#REF! &lt;= 3, "2-3 Calls", IF(#REF! &lt;=5, "4-5 Calls", "6+ Calls")))</f>
        <v>#REF!</v>
      </c>
      <c r="X2446" t="e">
        <f>IF(#REF! &lt;= 50, "0-50", IF(#REF! &lt;=100, "51-100", IF(#REF! &lt;= 150, "101-150", "151+")))</f>
        <v>#REF!</v>
      </c>
      <c r="Y2446" t="e">
        <f>IF(#REF! &lt;= 3, "Low Charges", "High Charges")</f>
        <v>#REF!</v>
      </c>
      <c r="Z2446" t="e">
        <f>IF(#REF!&lt;=80,"Low Calls",
IF(#REF!&lt;=120,"Medium Calls","High Calls"))</f>
        <v>#REF!</v>
      </c>
      <c r="AA2446" t="e">
        <f>IF(#REF!&lt;=15,"Low Charges",
IF(#REF!&lt;=20,"Medium Charges","High Charges"))</f>
        <v>#REF!</v>
      </c>
      <c r="AB2446" t="e">
        <f>IF(AND(#REF!&gt;180, #REF!&gt;200), "Heavy Doemstic User", IF(#REF!&gt;10, "Interntional User", IF(AND(#REF!&lt;180, #REF!&lt;200,#REF!&lt;200), "Light User", "Balanced User")))</f>
        <v>#REF!</v>
      </c>
      <c r="AC2446" t="e">
        <f>IF(#REF! = 0, "No Usage", IF(#REF! &lt;= 20, "Low Usage", IF(#REF! &lt;= 40, "Medium Usgae", "High Usage")))</f>
        <v>#REF!</v>
      </c>
      <c r="AD2446" t="e">
        <f>IF(#REF!&lt;=150,"Low Usage", IF(#REF!&lt;=200,"Medium Usage", IF(#REF!&lt;=250,"High Usage","Very High Usage")))</f>
        <v>#REF!</v>
      </c>
      <c r="AE2446" t="e">
        <f>IF(#REF!&lt;=5,"Low Calls", IF(#REF!&lt;=10, "Medium Calls", "High Calls"))</f>
        <v>#REF!</v>
      </c>
      <c r="AF2446" t="e">
        <f xml:space="preserve">
IF(#REF!&gt;=4,4,0)+
IF(#REF!="yes",3,0)+
IF(#REF!="High Charges",3,0)+
IF(#REF!&gt;250,4,0)+
IF(#REF!="no",1,0)+
IF(#REF!="Heavy Domestic User",2,0)</f>
        <v>#REF!</v>
      </c>
      <c r="AG2446" t="e">
        <f>IF(#REF!&gt;=10,"High Risk", IF(#REF!&gt;=5,"Medium Risk","Low Risk"))</f>
        <v>#REF!</v>
      </c>
      <c r="AH2446" t="e">
        <f>#REF! + #REF! + #REF! + #REF!</f>
        <v>#REF!</v>
      </c>
    </row>
    <row r="2447" spans="1:34" x14ac:dyDescent="0.35">
      <c r="A2447">
        <v>2446</v>
      </c>
      <c r="B2447" t="s">
        <v>74</v>
      </c>
      <c r="C2447">
        <v>93</v>
      </c>
      <c r="D2447" t="s">
        <v>21</v>
      </c>
      <c r="E2447" t="s">
        <v>22</v>
      </c>
      <c r="F2447" t="s">
        <v>22</v>
      </c>
      <c r="G2447">
        <v>0</v>
      </c>
      <c r="H2447">
        <v>271.10000000000002</v>
      </c>
      <c r="I2447">
        <v>101</v>
      </c>
      <c r="J2447">
        <v>46.09</v>
      </c>
      <c r="K2447">
        <v>237.4</v>
      </c>
      <c r="L2447">
        <v>133</v>
      </c>
      <c r="M2447">
        <v>20.18</v>
      </c>
      <c r="N2447">
        <v>145.4</v>
      </c>
      <c r="O2447">
        <v>103</v>
      </c>
      <c r="P2447">
        <v>6.54</v>
      </c>
      <c r="Q2447">
        <v>8.4</v>
      </c>
      <c r="R2447">
        <v>6</v>
      </c>
      <c r="S2447">
        <v>2.27</v>
      </c>
      <c r="T2447">
        <v>1</v>
      </c>
      <c r="U2447" t="s">
        <v>23</v>
      </c>
      <c r="V2447" t="e">
        <f>IF(#REF! = "yes", 1, 0)</f>
        <v>#REF!</v>
      </c>
      <c r="W2447" t="e">
        <f>IF(#REF! &lt;= 1, "0-1 Calls", IF(#REF! &lt;= 3, "2-3 Calls", IF(#REF! &lt;=5, "4-5 Calls", "6+ Calls")))</f>
        <v>#REF!</v>
      </c>
      <c r="X2447" t="e">
        <f>IF(#REF! &lt;= 50, "0-50", IF(#REF! &lt;=100, "51-100", IF(#REF! &lt;= 150, "101-150", "151+")))</f>
        <v>#REF!</v>
      </c>
      <c r="Y2447" t="e">
        <f>IF(#REF! &lt;= 3, "Low Charges", "High Charges")</f>
        <v>#REF!</v>
      </c>
      <c r="Z2447" t="e">
        <f>IF(#REF!&lt;=80,"Low Calls",
IF(#REF!&lt;=120,"Medium Calls","High Calls"))</f>
        <v>#REF!</v>
      </c>
      <c r="AA2447" t="e">
        <f>IF(#REF!&lt;=15,"Low Charges",
IF(#REF!&lt;=20,"Medium Charges","High Charges"))</f>
        <v>#REF!</v>
      </c>
      <c r="AB2447" t="e">
        <f>IF(AND(#REF!&gt;180, #REF!&gt;200), "Heavy Doemstic User", IF(#REF!&gt;10, "Interntional User", IF(AND(#REF!&lt;180, #REF!&lt;200,#REF!&lt;200), "Light User", "Balanced User")))</f>
        <v>#REF!</v>
      </c>
      <c r="AC2447" t="e">
        <f>IF(#REF! = 0, "No Usage", IF(#REF! &lt;= 20, "Low Usage", IF(#REF! &lt;= 40, "Medium Usgae", "High Usage")))</f>
        <v>#REF!</v>
      </c>
      <c r="AD2447" t="e">
        <f>IF(#REF!&lt;=150,"Low Usage", IF(#REF!&lt;=200,"Medium Usage", IF(#REF!&lt;=250,"High Usage","Very High Usage")))</f>
        <v>#REF!</v>
      </c>
      <c r="AE2447" t="e">
        <f>IF(#REF!&lt;=5,"Low Calls", IF(#REF!&lt;=10, "Medium Calls", "High Calls"))</f>
        <v>#REF!</v>
      </c>
      <c r="AF2447" t="e">
        <f xml:space="preserve">
IF(#REF!&gt;=4,4,0)+
IF(#REF!="yes",3,0)+
IF(#REF!="High Charges",3,0)+
IF(#REF!&gt;250,4,0)+
IF(#REF!="no",1,0)+
IF(#REF!="Heavy Domestic User",2,0)</f>
        <v>#REF!</v>
      </c>
      <c r="AG2447" t="e">
        <f>IF(#REF!&gt;=10,"High Risk", IF(#REF!&gt;=5,"Medium Risk","Low Risk"))</f>
        <v>#REF!</v>
      </c>
      <c r="AH2447" t="e">
        <f>#REF! + #REF! + #REF! + #REF!</f>
        <v>#REF!</v>
      </c>
    </row>
    <row r="2448" spans="1:34" x14ac:dyDescent="0.35">
      <c r="A2448">
        <v>2447</v>
      </c>
      <c r="B2448" t="s">
        <v>42</v>
      </c>
      <c r="C2448">
        <v>138</v>
      </c>
      <c r="D2448" t="s">
        <v>21</v>
      </c>
      <c r="E2448" t="s">
        <v>22</v>
      </c>
      <c r="F2448" t="s">
        <v>22</v>
      </c>
      <c r="G2448">
        <v>0</v>
      </c>
      <c r="H2448">
        <v>240.8</v>
      </c>
      <c r="I2448">
        <v>104</v>
      </c>
      <c r="J2448">
        <v>40.94</v>
      </c>
      <c r="K2448">
        <v>144.5</v>
      </c>
      <c r="L2448">
        <v>92</v>
      </c>
      <c r="M2448">
        <v>12.28</v>
      </c>
      <c r="N2448">
        <v>125.7</v>
      </c>
      <c r="O2448">
        <v>98</v>
      </c>
      <c r="P2448">
        <v>5.66</v>
      </c>
      <c r="Q2448">
        <v>11.6</v>
      </c>
      <c r="R2448">
        <v>1</v>
      </c>
      <c r="S2448">
        <v>3.13</v>
      </c>
      <c r="T2448">
        <v>0</v>
      </c>
      <c r="U2448" t="s">
        <v>22</v>
      </c>
      <c r="V2448" t="e">
        <f>IF(#REF! = "yes", 1, 0)</f>
        <v>#REF!</v>
      </c>
      <c r="W2448" t="e">
        <f>IF(#REF! &lt;= 1, "0-1 Calls", IF(#REF! &lt;= 3, "2-3 Calls", IF(#REF! &lt;=5, "4-5 Calls", "6+ Calls")))</f>
        <v>#REF!</v>
      </c>
      <c r="X2448" t="e">
        <f>IF(#REF! &lt;= 50, "0-50", IF(#REF! &lt;=100, "51-100", IF(#REF! &lt;= 150, "101-150", "151+")))</f>
        <v>#REF!</v>
      </c>
      <c r="Y2448" t="e">
        <f>IF(#REF! &lt;= 3, "Low Charges", "High Charges")</f>
        <v>#REF!</v>
      </c>
      <c r="Z2448" t="e">
        <f>IF(#REF!&lt;=80,"Low Calls",
IF(#REF!&lt;=120,"Medium Calls","High Calls"))</f>
        <v>#REF!</v>
      </c>
      <c r="AA2448" t="e">
        <f>IF(#REF!&lt;=15,"Low Charges",
IF(#REF!&lt;=20,"Medium Charges","High Charges"))</f>
        <v>#REF!</v>
      </c>
      <c r="AB2448" t="e">
        <f>IF(AND(#REF!&gt;180, #REF!&gt;200), "Heavy Doemstic User", IF(#REF!&gt;10, "Interntional User", IF(AND(#REF!&lt;180, #REF!&lt;200,#REF!&lt;200), "Light User", "Balanced User")))</f>
        <v>#REF!</v>
      </c>
      <c r="AC2448" t="e">
        <f>IF(#REF! = 0, "No Usage", IF(#REF! &lt;= 20, "Low Usage", IF(#REF! &lt;= 40, "Medium Usgae", "High Usage")))</f>
        <v>#REF!</v>
      </c>
      <c r="AD2448" t="e">
        <f>IF(#REF!&lt;=150,"Low Usage", IF(#REF!&lt;=200,"Medium Usage", IF(#REF!&lt;=250,"High Usage","Very High Usage")))</f>
        <v>#REF!</v>
      </c>
      <c r="AE2448" t="e">
        <f>IF(#REF!&lt;=5,"Low Calls", IF(#REF!&lt;=10, "Medium Calls", "High Calls"))</f>
        <v>#REF!</v>
      </c>
      <c r="AF2448" t="e">
        <f xml:space="preserve">
IF(#REF!&gt;=4,4,0)+
IF(#REF!="yes",3,0)+
IF(#REF!="High Charges",3,0)+
IF(#REF!&gt;250,4,0)+
IF(#REF!="no",1,0)+
IF(#REF!="Heavy Domestic User",2,0)</f>
        <v>#REF!</v>
      </c>
      <c r="AG2448" t="e">
        <f>IF(#REF!&gt;=10,"High Risk", IF(#REF!&gt;=5,"Medium Risk","Low Risk"))</f>
        <v>#REF!</v>
      </c>
      <c r="AH2448" t="e">
        <f>#REF! + #REF! + #REF! + #REF!</f>
        <v>#REF!</v>
      </c>
    </row>
    <row r="2449" spans="1:34" x14ac:dyDescent="0.35">
      <c r="A2449">
        <v>2448</v>
      </c>
      <c r="B2449" t="s">
        <v>52</v>
      </c>
      <c r="C2449">
        <v>159</v>
      </c>
      <c r="D2449" t="s">
        <v>28</v>
      </c>
      <c r="E2449" t="s">
        <v>22</v>
      </c>
      <c r="F2449" t="s">
        <v>22</v>
      </c>
      <c r="G2449">
        <v>0</v>
      </c>
      <c r="H2449">
        <v>114.8</v>
      </c>
      <c r="I2449">
        <v>98</v>
      </c>
      <c r="J2449">
        <v>19.52</v>
      </c>
      <c r="K2449">
        <v>192.6</v>
      </c>
      <c r="L2449">
        <v>101</v>
      </c>
      <c r="M2449">
        <v>16.37</v>
      </c>
      <c r="N2449">
        <v>259</v>
      </c>
      <c r="O2449">
        <v>108</v>
      </c>
      <c r="P2449">
        <v>11.66</v>
      </c>
      <c r="Q2449">
        <v>12.2</v>
      </c>
      <c r="R2449">
        <v>5</v>
      </c>
      <c r="S2449">
        <v>3.29</v>
      </c>
      <c r="T2449">
        <v>0</v>
      </c>
      <c r="U2449" t="s">
        <v>22</v>
      </c>
      <c r="V2449" t="e">
        <f>IF(#REF! = "yes", 1, 0)</f>
        <v>#REF!</v>
      </c>
      <c r="W2449" t="e">
        <f>IF(#REF! &lt;= 1, "0-1 Calls", IF(#REF! &lt;= 3, "2-3 Calls", IF(#REF! &lt;=5, "4-5 Calls", "6+ Calls")))</f>
        <v>#REF!</v>
      </c>
      <c r="X2449" t="e">
        <f>IF(#REF! &lt;= 50, "0-50", IF(#REF! &lt;=100, "51-100", IF(#REF! &lt;= 150, "101-150", "151+")))</f>
        <v>#REF!</v>
      </c>
      <c r="Y2449" t="e">
        <f>IF(#REF! &lt;= 3, "Low Charges", "High Charges")</f>
        <v>#REF!</v>
      </c>
      <c r="Z2449" t="e">
        <f>IF(#REF!&lt;=80,"Low Calls",
IF(#REF!&lt;=120,"Medium Calls","High Calls"))</f>
        <v>#REF!</v>
      </c>
      <c r="AA2449" t="e">
        <f>IF(#REF!&lt;=15,"Low Charges",
IF(#REF!&lt;=20,"Medium Charges","High Charges"))</f>
        <v>#REF!</v>
      </c>
      <c r="AB2449" t="e">
        <f>IF(AND(#REF!&gt;180, #REF!&gt;200), "Heavy Doemstic User", IF(#REF!&gt;10, "Interntional User", IF(AND(#REF!&lt;180, #REF!&lt;200,#REF!&lt;200), "Light User", "Balanced User")))</f>
        <v>#REF!</v>
      </c>
      <c r="AC2449" t="e">
        <f>IF(#REF! = 0, "No Usage", IF(#REF! &lt;= 20, "Low Usage", IF(#REF! &lt;= 40, "Medium Usgae", "High Usage")))</f>
        <v>#REF!</v>
      </c>
      <c r="AD2449" t="e">
        <f>IF(#REF!&lt;=150,"Low Usage", IF(#REF!&lt;=200,"Medium Usage", IF(#REF!&lt;=250,"High Usage","Very High Usage")))</f>
        <v>#REF!</v>
      </c>
      <c r="AE2449" t="e">
        <f>IF(#REF!&lt;=5,"Low Calls", IF(#REF!&lt;=10, "Medium Calls", "High Calls"))</f>
        <v>#REF!</v>
      </c>
      <c r="AF2449" t="e">
        <f xml:space="preserve">
IF(#REF!&gt;=4,4,0)+
IF(#REF!="yes",3,0)+
IF(#REF!="High Charges",3,0)+
IF(#REF!&gt;250,4,0)+
IF(#REF!="no",1,0)+
IF(#REF!="Heavy Domestic User",2,0)</f>
        <v>#REF!</v>
      </c>
      <c r="AG2449" t="e">
        <f>IF(#REF!&gt;=10,"High Risk", IF(#REF!&gt;=5,"Medium Risk","Low Risk"))</f>
        <v>#REF!</v>
      </c>
      <c r="AH2449" t="e">
        <f>#REF! + #REF! + #REF! + #REF!</f>
        <v>#REF!</v>
      </c>
    </row>
    <row r="2450" spans="1:34" x14ac:dyDescent="0.35">
      <c r="A2450">
        <v>2449</v>
      </c>
      <c r="B2450" t="s">
        <v>54</v>
      </c>
      <c r="C2450">
        <v>103</v>
      </c>
      <c r="D2450" t="s">
        <v>21</v>
      </c>
      <c r="E2450" t="s">
        <v>22</v>
      </c>
      <c r="F2450" t="s">
        <v>23</v>
      </c>
      <c r="G2450">
        <v>34</v>
      </c>
      <c r="H2450">
        <v>138.80000000000001</v>
      </c>
      <c r="I2450">
        <v>80</v>
      </c>
      <c r="J2450">
        <v>23.6</v>
      </c>
      <c r="K2450">
        <v>142</v>
      </c>
      <c r="L2450">
        <v>108</v>
      </c>
      <c r="M2450">
        <v>12.07</v>
      </c>
      <c r="N2450">
        <v>183.8</v>
      </c>
      <c r="O2450">
        <v>77</v>
      </c>
      <c r="P2450">
        <v>8.27</v>
      </c>
      <c r="Q2450">
        <v>11.8</v>
      </c>
      <c r="R2450">
        <v>7</v>
      </c>
      <c r="S2450">
        <v>3.19</v>
      </c>
      <c r="T2450">
        <v>1</v>
      </c>
      <c r="U2450" t="s">
        <v>22</v>
      </c>
      <c r="V2450" t="e">
        <f>IF(#REF! = "yes", 1, 0)</f>
        <v>#REF!</v>
      </c>
      <c r="W2450" t="e">
        <f>IF(#REF! &lt;= 1, "0-1 Calls", IF(#REF! &lt;= 3, "2-3 Calls", IF(#REF! &lt;=5, "4-5 Calls", "6+ Calls")))</f>
        <v>#REF!</v>
      </c>
      <c r="X2450" t="e">
        <f>IF(#REF! &lt;= 50, "0-50", IF(#REF! &lt;=100, "51-100", IF(#REF! &lt;= 150, "101-150", "151+")))</f>
        <v>#REF!</v>
      </c>
      <c r="Y2450" t="e">
        <f>IF(#REF! &lt;= 3, "Low Charges", "High Charges")</f>
        <v>#REF!</v>
      </c>
      <c r="Z2450" t="e">
        <f>IF(#REF!&lt;=80,"Low Calls",
IF(#REF!&lt;=120,"Medium Calls","High Calls"))</f>
        <v>#REF!</v>
      </c>
      <c r="AA2450" t="e">
        <f>IF(#REF!&lt;=15,"Low Charges",
IF(#REF!&lt;=20,"Medium Charges","High Charges"))</f>
        <v>#REF!</v>
      </c>
      <c r="AB2450" t="e">
        <f>IF(AND(#REF!&gt;180, #REF!&gt;200), "Heavy Doemstic User", IF(#REF!&gt;10, "Interntional User", IF(AND(#REF!&lt;180, #REF!&lt;200,#REF!&lt;200), "Light User", "Balanced User")))</f>
        <v>#REF!</v>
      </c>
      <c r="AC2450" t="e">
        <f>IF(#REF! = 0, "No Usage", IF(#REF! &lt;= 20, "Low Usage", IF(#REF! &lt;= 40, "Medium Usgae", "High Usage")))</f>
        <v>#REF!</v>
      </c>
      <c r="AD2450" t="e">
        <f>IF(#REF!&lt;=150,"Low Usage", IF(#REF!&lt;=200,"Medium Usage", IF(#REF!&lt;=250,"High Usage","Very High Usage")))</f>
        <v>#REF!</v>
      </c>
      <c r="AE2450" t="e">
        <f>IF(#REF!&lt;=5,"Low Calls", IF(#REF!&lt;=10, "Medium Calls", "High Calls"))</f>
        <v>#REF!</v>
      </c>
      <c r="AF2450" t="e">
        <f xml:space="preserve">
IF(#REF!&gt;=4,4,0)+
IF(#REF!="yes",3,0)+
IF(#REF!="High Charges",3,0)+
IF(#REF!&gt;250,4,0)+
IF(#REF!="no",1,0)+
IF(#REF!="Heavy Domestic User",2,0)</f>
        <v>#REF!</v>
      </c>
      <c r="AG2450" t="e">
        <f>IF(#REF!&gt;=10,"High Risk", IF(#REF!&gt;=5,"Medium Risk","Low Risk"))</f>
        <v>#REF!</v>
      </c>
      <c r="AH2450" t="e">
        <f>#REF! + #REF! + #REF! + #REF!</f>
        <v>#REF!</v>
      </c>
    </row>
    <row r="2451" spans="1:34" x14ac:dyDescent="0.35">
      <c r="A2451">
        <v>2450</v>
      </c>
      <c r="B2451" t="s">
        <v>27</v>
      </c>
      <c r="C2451">
        <v>150</v>
      </c>
      <c r="D2451" t="s">
        <v>25</v>
      </c>
      <c r="E2451" t="s">
        <v>22</v>
      </c>
      <c r="F2451" t="s">
        <v>23</v>
      </c>
      <c r="G2451">
        <v>27</v>
      </c>
      <c r="H2451">
        <v>209.8</v>
      </c>
      <c r="I2451">
        <v>112</v>
      </c>
      <c r="J2451">
        <v>35.67</v>
      </c>
      <c r="K2451">
        <v>155</v>
      </c>
      <c r="L2451">
        <v>80</v>
      </c>
      <c r="M2451">
        <v>13.18</v>
      </c>
      <c r="N2451">
        <v>251.5</v>
      </c>
      <c r="O2451">
        <v>111</v>
      </c>
      <c r="P2451">
        <v>11.32</v>
      </c>
      <c r="Q2451">
        <v>7.2</v>
      </c>
      <c r="R2451">
        <v>6</v>
      </c>
      <c r="S2451">
        <v>1.94</v>
      </c>
      <c r="T2451">
        <v>0</v>
      </c>
      <c r="U2451" t="s">
        <v>22</v>
      </c>
      <c r="V2451" t="e">
        <f>IF(#REF! = "yes", 1, 0)</f>
        <v>#REF!</v>
      </c>
      <c r="W2451" t="e">
        <f>IF(#REF! &lt;= 1, "0-1 Calls", IF(#REF! &lt;= 3, "2-3 Calls", IF(#REF! &lt;=5, "4-5 Calls", "6+ Calls")))</f>
        <v>#REF!</v>
      </c>
      <c r="X2451" t="e">
        <f>IF(#REF! &lt;= 50, "0-50", IF(#REF! &lt;=100, "51-100", IF(#REF! &lt;= 150, "101-150", "151+")))</f>
        <v>#REF!</v>
      </c>
      <c r="Y2451" t="e">
        <f>IF(#REF! &lt;= 3, "Low Charges", "High Charges")</f>
        <v>#REF!</v>
      </c>
      <c r="Z2451" t="e">
        <f>IF(#REF!&lt;=80,"Low Calls",
IF(#REF!&lt;=120,"Medium Calls","High Calls"))</f>
        <v>#REF!</v>
      </c>
      <c r="AA2451" t="e">
        <f>IF(#REF!&lt;=15,"Low Charges",
IF(#REF!&lt;=20,"Medium Charges","High Charges"))</f>
        <v>#REF!</v>
      </c>
      <c r="AB2451" t="e">
        <f>IF(AND(#REF!&gt;180, #REF!&gt;200), "Heavy Doemstic User", IF(#REF!&gt;10, "Interntional User", IF(AND(#REF!&lt;180, #REF!&lt;200,#REF!&lt;200), "Light User", "Balanced User")))</f>
        <v>#REF!</v>
      </c>
      <c r="AC2451" t="e">
        <f>IF(#REF! = 0, "No Usage", IF(#REF! &lt;= 20, "Low Usage", IF(#REF! &lt;= 40, "Medium Usgae", "High Usage")))</f>
        <v>#REF!</v>
      </c>
      <c r="AD2451" t="e">
        <f>IF(#REF!&lt;=150,"Low Usage", IF(#REF!&lt;=200,"Medium Usage", IF(#REF!&lt;=250,"High Usage","Very High Usage")))</f>
        <v>#REF!</v>
      </c>
      <c r="AE2451" t="e">
        <f>IF(#REF!&lt;=5,"Low Calls", IF(#REF!&lt;=10, "Medium Calls", "High Calls"))</f>
        <v>#REF!</v>
      </c>
      <c r="AF2451" t="e">
        <f xml:space="preserve">
IF(#REF!&gt;=4,4,0)+
IF(#REF!="yes",3,0)+
IF(#REF!="High Charges",3,0)+
IF(#REF!&gt;250,4,0)+
IF(#REF!="no",1,0)+
IF(#REF!="Heavy Domestic User",2,0)</f>
        <v>#REF!</v>
      </c>
      <c r="AG2451" t="e">
        <f>IF(#REF!&gt;=10,"High Risk", IF(#REF!&gt;=5,"Medium Risk","Low Risk"))</f>
        <v>#REF!</v>
      </c>
      <c r="AH2451" t="e">
        <f>#REF! + #REF! + #REF! + #REF!</f>
        <v>#REF!</v>
      </c>
    </row>
    <row r="2452" spans="1:34" x14ac:dyDescent="0.35">
      <c r="A2452">
        <v>2451</v>
      </c>
      <c r="B2452" t="s">
        <v>74</v>
      </c>
      <c r="C2452">
        <v>37</v>
      </c>
      <c r="D2452" t="s">
        <v>25</v>
      </c>
      <c r="E2452" t="s">
        <v>22</v>
      </c>
      <c r="F2452" t="s">
        <v>22</v>
      </c>
      <c r="G2452">
        <v>0</v>
      </c>
      <c r="H2452">
        <v>134.9</v>
      </c>
      <c r="I2452">
        <v>98</v>
      </c>
      <c r="J2452">
        <v>22.93</v>
      </c>
      <c r="K2452">
        <v>248.4</v>
      </c>
      <c r="L2452">
        <v>130</v>
      </c>
      <c r="M2452">
        <v>21.11</v>
      </c>
      <c r="N2452">
        <v>236.2</v>
      </c>
      <c r="O2452">
        <v>113</v>
      </c>
      <c r="P2452">
        <v>10.63</v>
      </c>
      <c r="Q2452">
        <v>14.7</v>
      </c>
      <c r="R2452">
        <v>2</v>
      </c>
      <c r="S2452">
        <v>3.97</v>
      </c>
      <c r="T2452">
        <v>3</v>
      </c>
      <c r="U2452" t="s">
        <v>22</v>
      </c>
      <c r="V2452" t="e">
        <f>IF(#REF! = "yes", 1, 0)</f>
        <v>#REF!</v>
      </c>
      <c r="W2452" t="e">
        <f>IF(#REF! &lt;= 1, "0-1 Calls", IF(#REF! &lt;= 3, "2-3 Calls", IF(#REF! &lt;=5, "4-5 Calls", "6+ Calls")))</f>
        <v>#REF!</v>
      </c>
      <c r="X2452" t="e">
        <f>IF(#REF! &lt;= 50, "0-50", IF(#REF! &lt;=100, "51-100", IF(#REF! &lt;= 150, "101-150", "151+")))</f>
        <v>#REF!</v>
      </c>
      <c r="Y2452" t="e">
        <f>IF(#REF! &lt;= 3, "Low Charges", "High Charges")</f>
        <v>#REF!</v>
      </c>
      <c r="Z2452" t="e">
        <f>IF(#REF!&lt;=80,"Low Calls",
IF(#REF!&lt;=120,"Medium Calls","High Calls"))</f>
        <v>#REF!</v>
      </c>
      <c r="AA2452" t="e">
        <f>IF(#REF!&lt;=15,"Low Charges",
IF(#REF!&lt;=20,"Medium Charges","High Charges"))</f>
        <v>#REF!</v>
      </c>
      <c r="AB2452" t="e">
        <f>IF(AND(#REF!&gt;180, #REF!&gt;200), "Heavy Doemstic User", IF(#REF!&gt;10, "Interntional User", IF(AND(#REF!&lt;180, #REF!&lt;200,#REF!&lt;200), "Light User", "Balanced User")))</f>
        <v>#REF!</v>
      </c>
      <c r="AC2452" t="e">
        <f>IF(#REF! = 0, "No Usage", IF(#REF! &lt;= 20, "Low Usage", IF(#REF! &lt;= 40, "Medium Usgae", "High Usage")))</f>
        <v>#REF!</v>
      </c>
      <c r="AD2452" t="e">
        <f>IF(#REF!&lt;=150,"Low Usage", IF(#REF!&lt;=200,"Medium Usage", IF(#REF!&lt;=250,"High Usage","Very High Usage")))</f>
        <v>#REF!</v>
      </c>
      <c r="AE2452" t="e">
        <f>IF(#REF!&lt;=5,"Low Calls", IF(#REF!&lt;=10, "Medium Calls", "High Calls"))</f>
        <v>#REF!</v>
      </c>
      <c r="AF2452" t="e">
        <f xml:space="preserve">
IF(#REF!&gt;=4,4,0)+
IF(#REF!="yes",3,0)+
IF(#REF!="High Charges",3,0)+
IF(#REF!&gt;250,4,0)+
IF(#REF!="no",1,0)+
IF(#REF!="Heavy Domestic User",2,0)</f>
        <v>#REF!</v>
      </c>
      <c r="AG2452" t="e">
        <f>IF(#REF!&gt;=10,"High Risk", IF(#REF!&gt;=5,"Medium Risk","Low Risk"))</f>
        <v>#REF!</v>
      </c>
      <c r="AH2452" t="e">
        <f>#REF! + #REF! + #REF! + #REF!</f>
        <v>#REF!</v>
      </c>
    </row>
    <row r="2453" spans="1:34" x14ac:dyDescent="0.35">
      <c r="A2453">
        <v>2452</v>
      </c>
      <c r="B2453" t="s">
        <v>50</v>
      </c>
      <c r="C2453">
        <v>33</v>
      </c>
      <c r="D2453" t="s">
        <v>21</v>
      </c>
      <c r="E2453" t="s">
        <v>23</v>
      </c>
      <c r="F2453" t="s">
        <v>22</v>
      </c>
      <c r="G2453">
        <v>0</v>
      </c>
      <c r="H2453">
        <v>164</v>
      </c>
      <c r="I2453">
        <v>99</v>
      </c>
      <c r="J2453">
        <v>27.88</v>
      </c>
      <c r="K2453">
        <v>153.1</v>
      </c>
      <c r="L2453">
        <v>102</v>
      </c>
      <c r="M2453">
        <v>13.01</v>
      </c>
      <c r="N2453">
        <v>123.8</v>
      </c>
      <c r="O2453">
        <v>104</v>
      </c>
      <c r="P2453">
        <v>5.57</v>
      </c>
      <c r="Q2453">
        <v>6.4</v>
      </c>
      <c r="R2453">
        <v>4</v>
      </c>
      <c r="S2453">
        <v>1.73</v>
      </c>
      <c r="T2453">
        <v>0</v>
      </c>
      <c r="U2453" t="s">
        <v>22</v>
      </c>
      <c r="V2453" t="e">
        <f>IF(#REF! = "yes", 1, 0)</f>
        <v>#REF!</v>
      </c>
      <c r="W2453" t="e">
        <f>IF(#REF! &lt;= 1, "0-1 Calls", IF(#REF! &lt;= 3, "2-3 Calls", IF(#REF! &lt;=5, "4-5 Calls", "6+ Calls")))</f>
        <v>#REF!</v>
      </c>
      <c r="X2453" t="e">
        <f>IF(#REF! &lt;= 50, "0-50", IF(#REF! &lt;=100, "51-100", IF(#REF! &lt;= 150, "101-150", "151+")))</f>
        <v>#REF!</v>
      </c>
      <c r="Y2453" t="e">
        <f>IF(#REF! &lt;= 3, "Low Charges", "High Charges")</f>
        <v>#REF!</v>
      </c>
      <c r="Z2453" t="e">
        <f>IF(#REF!&lt;=80,"Low Calls",
IF(#REF!&lt;=120,"Medium Calls","High Calls"))</f>
        <v>#REF!</v>
      </c>
      <c r="AA2453" t="e">
        <f>IF(#REF!&lt;=15,"Low Charges",
IF(#REF!&lt;=20,"Medium Charges","High Charges"))</f>
        <v>#REF!</v>
      </c>
      <c r="AB2453" t="e">
        <f>IF(AND(#REF!&gt;180, #REF!&gt;200), "Heavy Doemstic User", IF(#REF!&gt;10, "Interntional User", IF(AND(#REF!&lt;180, #REF!&lt;200,#REF!&lt;200), "Light User", "Balanced User")))</f>
        <v>#REF!</v>
      </c>
      <c r="AC2453" t="e">
        <f>IF(#REF! = 0, "No Usage", IF(#REF! &lt;= 20, "Low Usage", IF(#REF! &lt;= 40, "Medium Usgae", "High Usage")))</f>
        <v>#REF!</v>
      </c>
      <c r="AD2453" t="e">
        <f>IF(#REF!&lt;=150,"Low Usage", IF(#REF!&lt;=200,"Medium Usage", IF(#REF!&lt;=250,"High Usage","Very High Usage")))</f>
        <v>#REF!</v>
      </c>
      <c r="AE2453" t="e">
        <f>IF(#REF!&lt;=5,"Low Calls", IF(#REF!&lt;=10, "Medium Calls", "High Calls"))</f>
        <v>#REF!</v>
      </c>
      <c r="AF2453" t="e">
        <f xml:space="preserve">
IF(#REF!&gt;=4,4,0)+
IF(#REF!="yes",3,0)+
IF(#REF!="High Charges",3,0)+
IF(#REF!&gt;250,4,0)+
IF(#REF!="no",1,0)+
IF(#REF!="Heavy Domestic User",2,0)</f>
        <v>#REF!</v>
      </c>
      <c r="AG2453" t="e">
        <f>IF(#REF!&gt;=10,"High Risk", IF(#REF!&gt;=5,"Medium Risk","Low Risk"))</f>
        <v>#REF!</v>
      </c>
      <c r="AH2453" t="e">
        <f>#REF! + #REF! + #REF! + #REF!</f>
        <v>#REF!</v>
      </c>
    </row>
    <row r="2454" spans="1:34" x14ac:dyDescent="0.35">
      <c r="A2454">
        <v>2453</v>
      </c>
      <c r="B2454" t="s">
        <v>57</v>
      </c>
      <c r="C2454">
        <v>55</v>
      </c>
      <c r="D2454" t="s">
        <v>21</v>
      </c>
      <c r="E2454" t="s">
        <v>22</v>
      </c>
      <c r="F2454" t="s">
        <v>22</v>
      </c>
      <c r="G2454">
        <v>0</v>
      </c>
      <c r="H2454">
        <v>245.5</v>
      </c>
      <c r="I2454">
        <v>130</v>
      </c>
      <c r="J2454">
        <v>41.74</v>
      </c>
      <c r="K2454">
        <v>192.7</v>
      </c>
      <c r="L2454">
        <v>54</v>
      </c>
      <c r="M2454">
        <v>16.38</v>
      </c>
      <c r="N2454">
        <v>141.69999999999999</v>
      </c>
      <c r="O2454">
        <v>83</v>
      </c>
      <c r="P2454">
        <v>6.38</v>
      </c>
      <c r="Q2454">
        <v>9.1</v>
      </c>
      <c r="R2454">
        <v>4</v>
      </c>
      <c r="S2454">
        <v>2.46</v>
      </c>
      <c r="T2454">
        <v>1</v>
      </c>
      <c r="U2454" t="s">
        <v>22</v>
      </c>
      <c r="V2454" t="e">
        <f>IF(#REF! = "yes", 1, 0)</f>
        <v>#REF!</v>
      </c>
      <c r="W2454" t="e">
        <f>IF(#REF! &lt;= 1, "0-1 Calls", IF(#REF! &lt;= 3, "2-3 Calls", IF(#REF! &lt;=5, "4-5 Calls", "6+ Calls")))</f>
        <v>#REF!</v>
      </c>
      <c r="X2454" t="e">
        <f>IF(#REF! &lt;= 50, "0-50", IF(#REF! &lt;=100, "51-100", IF(#REF! &lt;= 150, "101-150", "151+")))</f>
        <v>#REF!</v>
      </c>
      <c r="Y2454" t="e">
        <f>IF(#REF! &lt;= 3, "Low Charges", "High Charges")</f>
        <v>#REF!</v>
      </c>
      <c r="Z2454" t="e">
        <f>IF(#REF!&lt;=80,"Low Calls",
IF(#REF!&lt;=120,"Medium Calls","High Calls"))</f>
        <v>#REF!</v>
      </c>
      <c r="AA2454" t="e">
        <f>IF(#REF!&lt;=15,"Low Charges",
IF(#REF!&lt;=20,"Medium Charges","High Charges"))</f>
        <v>#REF!</v>
      </c>
      <c r="AB2454" t="e">
        <f>IF(AND(#REF!&gt;180, #REF!&gt;200), "Heavy Doemstic User", IF(#REF!&gt;10, "Interntional User", IF(AND(#REF!&lt;180, #REF!&lt;200,#REF!&lt;200), "Light User", "Balanced User")))</f>
        <v>#REF!</v>
      </c>
      <c r="AC2454" t="e">
        <f>IF(#REF! = 0, "No Usage", IF(#REF! &lt;= 20, "Low Usage", IF(#REF! &lt;= 40, "Medium Usgae", "High Usage")))</f>
        <v>#REF!</v>
      </c>
      <c r="AD2454" t="e">
        <f>IF(#REF!&lt;=150,"Low Usage", IF(#REF!&lt;=200,"Medium Usage", IF(#REF!&lt;=250,"High Usage","Very High Usage")))</f>
        <v>#REF!</v>
      </c>
      <c r="AE2454" t="e">
        <f>IF(#REF!&lt;=5,"Low Calls", IF(#REF!&lt;=10, "Medium Calls", "High Calls"))</f>
        <v>#REF!</v>
      </c>
      <c r="AF2454" t="e">
        <f xml:space="preserve">
IF(#REF!&gt;=4,4,0)+
IF(#REF!="yes",3,0)+
IF(#REF!="High Charges",3,0)+
IF(#REF!&gt;250,4,0)+
IF(#REF!="no",1,0)+
IF(#REF!="Heavy Domestic User",2,0)</f>
        <v>#REF!</v>
      </c>
      <c r="AG2454" t="e">
        <f>IF(#REF!&gt;=10,"High Risk", IF(#REF!&gt;=5,"Medium Risk","Low Risk"))</f>
        <v>#REF!</v>
      </c>
      <c r="AH2454" t="e">
        <f>#REF! + #REF! + #REF! + #REF!</f>
        <v>#REF!</v>
      </c>
    </row>
    <row r="2455" spans="1:34" x14ac:dyDescent="0.35">
      <c r="A2455">
        <v>2454</v>
      </c>
      <c r="B2455" t="s">
        <v>74</v>
      </c>
      <c r="C2455">
        <v>134</v>
      </c>
      <c r="D2455" t="s">
        <v>25</v>
      </c>
      <c r="E2455" t="s">
        <v>22</v>
      </c>
      <c r="F2455" t="s">
        <v>23</v>
      </c>
      <c r="G2455">
        <v>32</v>
      </c>
      <c r="H2455">
        <v>80.3</v>
      </c>
      <c r="I2455">
        <v>94</v>
      </c>
      <c r="J2455">
        <v>13.65</v>
      </c>
      <c r="K2455">
        <v>199.9</v>
      </c>
      <c r="L2455">
        <v>124</v>
      </c>
      <c r="M2455">
        <v>16.989999999999998</v>
      </c>
      <c r="N2455">
        <v>170.8</v>
      </c>
      <c r="O2455">
        <v>117</v>
      </c>
      <c r="P2455">
        <v>7.69</v>
      </c>
      <c r="Q2455">
        <v>16.600000000000001</v>
      </c>
      <c r="R2455">
        <v>3</v>
      </c>
      <c r="S2455">
        <v>4.4800000000000004</v>
      </c>
      <c r="T2455">
        <v>0</v>
      </c>
      <c r="U2455" t="s">
        <v>22</v>
      </c>
      <c r="V2455" t="e">
        <f>IF(#REF! = "yes", 1, 0)</f>
        <v>#REF!</v>
      </c>
      <c r="W2455" t="e">
        <f>IF(#REF! &lt;= 1, "0-1 Calls", IF(#REF! &lt;= 3, "2-3 Calls", IF(#REF! &lt;=5, "4-5 Calls", "6+ Calls")))</f>
        <v>#REF!</v>
      </c>
      <c r="X2455" t="e">
        <f>IF(#REF! &lt;= 50, "0-50", IF(#REF! &lt;=100, "51-100", IF(#REF! &lt;= 150, "101-150", "151+")))</f>
        <v>#REF!</v>
      </c>
      <c r="Y2455" t="e">
        <f>IF(#REF! &lt;= 3, "Low Charges", "High Charges")</f>
        <v>#REF!</v>
      </c>
      <c r="Z2455" t="e">
        <f>IF(#REF!&lt;=80,"Low Calls",
IF(#REF!&lt;=120,"Medium Calls","High Calls"))</f>
        <v>#REF!</v>
      </c>
      <c r="AA2455" t="e">
        <f>IF(#REF!&lt;=15,"Low Charges",
IF(#REF!&lt;=20,"Medium Charges","High Charges"))</f>
        <v>#REF!</v>
      </c>
      <c r="AB2455" t="e">
        <f>IF(AND(#REF!&gt;180, #REF!&gt;200), "Heavy Doemstic User", IF(#REF!&gt;10, "Interntional User", IF(AND(#REF!&lt;180, #REF!&lt;200,#REF!&lt;200), "Light User", "Balanced User")))</f>
        <v>#REF!</v>
      </c>
      <c r="AC2455" t="e">
        <f>IF(#REF! = 0, "No Usage", IF(#REF! &lt;= 20, "Low Usage", IF(#REF! &lt;= 40, "Medium Usgae", "High Usage")))</f>
        <v>#REF!</v>
      </c>
      <c r="AD2455" t="e">
        <f>IF(#REF!&lt;=150,"Low Usage", IF(#REF!&lt;=200,"Medium Usage", IF(#REF!&lt;=250,"High Usage","Very High Usage")))</f>
        <v>#REF!</v>
      </c>
      <c r="AE2455" t="e">
        <f>IF(#REF!&lt;=5,"Low Calls", IF(#REF!&lt;=10, "Medium Calls", "High Calls"))</f>
        <v>#REF!</v>
      </c>
      <c r="AF2455" t="e">
        <f xml:space="preserve">
IF(#REF!&gt;=4,4,0)+
IF(#REF!="yes",3,0)+
IF(#REF!="High Charges",3,0)+
IF(#REF!&gt;250,4,0)+
IF(#REF!="no",1,0)+
IF(#REF!="Heavy Domestic User",2,0)</f>
        <v>#REF!</v>
      </c>
      <c r="AG2455" t="e">
        <f>IF(#REF!&gt;=10,"High Risk", IF(#REF!&gt;=5,"Medium Risk","Low Risk"))</f>
        <v>#REF!</v>
      </c>
      <c r="AH2455" t="e">
        <f>#REF! + #REF! + #REF! + #REF!</f>
        <v>#REF!</v>
      </c>
    </row>
    <row r="2456" spans="1:34" x14ac:dyDescent="0.35">
      <c r="A2456">
        <v>2455</v>
      </c>
      <c r="B2456" t="s">
        <v>74</v>
      </c>
      <c r="C2456">
        <v>107</v>
      </c>
      <c r="D2456" t="s">
        <v>25</v>
      </c>
      <c r="E2456" t="s">
        <v>22</v>
      </c>
      <c r="F2456" t="s">
        <v>22</v>
      </c>
      <c r="G2456">
        <v>0</v>
      </c>
      <c r="H2456">
        <v>90.7</v>
      </c>
      <c r="I2456">
        <v>90</v>
      </c>
      <c r="J2456">
        <v>15.42</v>
      </c>
      <c r="K2456">
        <v>207.5</v>
      </c>
      <c r="L2456">
        <v>109</v>
      </c>
      <c r="M2456">
        <v>17.64</v>
      </c>
      <c r="N2456">
        <v>169.4</v>
      </c>
      <c r="O2456">
        <v>96</v>
      </c>
      <c r="P2456">
        <v>7.62</v>
      </c>
      <c r="Q2456">
        <v>5.6</v>
      </c>
      <c r="R2456">
        <v>5</v>
      </c>
      <c r="S2456">
        <v>1.51</v>
      </c>
      <c r="T2456">
        <v>2</v>
      </c>
      <c r="U2456" t="s">
        <v>22</v>
      </c>
      <c r="V2456" t="e">
        <f>IF(#REF! = "yes", 1, 0)</f>
        <v>#REF!</v>
      </c>
      <c r="W2456" t="e">
        <f>IF(#REF! &lt;= 1, "0-1 Calls", IF(#REF! &lt;= 3, "2-3 Calls", IF(#REF! &lt;=5, "4-5 Calls", "6+ Calls")))</f>
        <v>#REF!</v>
      </c>
      <c r="X2456" t="e">
        <f>IF(#REF! &lt;= 50, "0-50", IF(#REF! &lt;=100, "51-100", IF(#REF! &lt;= 150, "101-150", "151+")))</f>
        <v>#REF!</v>
      </c>
      <c r="Y2456" t="e">
        <f>IF(#REF! &lt;= 3, "Low Charges", "High Charges")</f>
        <v>#REF!</v>
      </c>
      <c r="Z2456" t="e">
        <f>IF(#REF!&lt;=80,"Low Calls",
IF(#REF!&lt;=120,"Medium Calls","High Calls"))</f>
        <v>#REF!</v>
      </c>
      <c r="AA2456" t="e">
        <f>IF(#REF!&lt;=15,"Low Charges",
IF(#REF!&lt;=20,"Medium Charges","High Charges"))</f>
        <v>#REF!</v>
      </c>
      <c r="AB2456" t="e">
        <f>IF(AND(#REF!&gt;180, #REF!&gt;200), "Heavy Doemstic User", IF(#REF!&gt;10, "Interntional User", IF(AND(#REF!&lt;180, #REF!&lt;200,#REF!&lt;200), "Light User", "Balanced User")))</f>
        <v>#REF!</v>
      </c>
      <c r="AC2456" t="e">
        <f>IF(#REF! = 0, "No Usage", IF(#REF! &lt;= 20, "Low Usage", IF(#REF! &lt;= 40, "Medium Usgae", "High Usage")))</f>
        <v>#REF!</v>
      </c>
      <c r="AD2456" t="e">
        <f>IF(#REF!&lt;=150,"Low Usage", IF(#REF!&lt;=200,"Medium Usage", IF(#REF!&lt;=250,"High Usage","Very High Usage")))</f>
        <v>#REF!</v>
      </c>
      <c r="AE2456" t="e">
        <f>IF(#REF!&lt;=5,"Low Calls", IF(#REF!&lt;=10, "Medium Calls", "High Calls"))</f>
        <v>#REF!</v>
      </c>
      <c r="AF2456" t="e">
        <f xml:space="preserve">
IF(#REF!&gt;=4,4,0)+
IF(#REF!="yes",3,0)+
IF(#REF!="High Charges",3,0)+
IF(#REF!&gt;250,4,0)+
IF(#REF!="no",1,0)+
IF(#REF!="Heavy Domestic User",2,0)</f>
        <v>#REF!</v>
      </c>
      <c r="AG2456" t="e">
        <f>IF(#REF!&gt;=10,"High Risk", IF(#REF!&gt;=5,"Medium Risk","Low Risk"))</f>
        <v>#REF!</v>
      </c>
      <c r="AH2456" t="e">
        <f>#REF! + #REF! + #REF! + #REF!</f>
        <v>#REF!</v>
      </c>
    </row>
    <row r="2457" spans="1:34" x14ac:dyDescent="0.35">
      <c r="A2457">
        <v>2456</v>
      </c>
      <c r="B2457" t="s">
        <v>27</v>
      </c>
      <c r="C2457">
        <v>80</v>
      </c>
      <c r="D2457" t="s">
        <v>25</v>
      </c>
      <c r="E2457" t="s">
        <v>22</v>
      </c>
      <c r="F2457" t="s">
        <v>23</v>
      </c>
      <c r="G2457">
        <v>36</v>
      </c>
      <c r="H2457">
        <v>190.3</v>
      </c>
      <c r="I2457">
        <v>115</v>
      </c>
      <c r="J2457">
        <v>32.35</v>
      </c>
      <c r="K2457">
        <v>256.60000000000002</v>
      </c>
      <c r="L2457">
        <v>78</v>
      </c>
      <c r="M2457">
        <v>21.81</v>
      </c>
      <c r="N2457">
        <v>214.9</v>
      </c>
      <c r="O2457">
        <v>145</v>
      </c>
      <c r="P2457">
        <v>9.67</v>
      </c>
      <c r="Q2457">
        <v>3.8</v>
      </c>
      <c r="R2457">
        <v>4</v>
      </c>
      <c r="S2457">
        <v>1.03</v>
      </c>
      <c r="T2457">
        <v>1</v>
      </c>
      <c r="U2457" t="s">
        <v>22</v>
      </c>
      <c r="V2457" t="e">
        <f>IF(#REF! = "yes", 1, 0)</f>
        <v>#REF!</v>
      </c>
      <c r="W2457" t="e">
        <f>IF(#REF! &lt;= 1, "0-1 Calls", IF(#REF! &lt;= 3, "2-3 Calls", IF(#REF! &lt;=5, "4-5 Calls", "6+ Calls")))</f>
        <v>#REF!</v>
      </c>
      <c r="X2457" t="e">
        <f>IF(#REF! &lt;= 50, "0-50", IF(#REF! &lt;=100, "51-100", IF(#REF! &lt;= 150, "101-150", "151+")))</f>
        <v>#REF!</v>
      </c>
      <c r="Y2457" t="e">
        <f>IF(#REF! &lt;= 3, "Low Charges", "High Charges")</f>
        <v>#REF!</v>
      </c>
      <c r="Z2457" t="e">
        <f>IF(#REF!&lt;=80,"Low Calls",
IF(#REF!&lt;=120,"Medium Calls","High Calls"))</f>
        <v>#REF!</v>
      </c>
      <c r="AA2457" t="e">
        <f>IF(#REF!&lt;=15,"Low Charges",
IF(#REF!&lt;=20,"Medium Charges","High Charges"))</f>
        <v>#REF!</v>
      </c>
      <c r="AB2457" t="e">
        <f>IF(AND(#REF!&gt;180, #REF!&gt;200), "Heavy Doemstic User", IF(#REF!&gt;10, "Interntional User", IF(AND(#REF!&lt;180, #REF!&lt;200,#REF!&lt;200), "Light User", "Balanced User")))</f>
        <v>#REF!</v>
      </c>
      <c r="AC2457" t="e">
        <f>IF(#REF! = 0, "No Usage", IF(#REF! &lt;= 20, "Low Usage", IF(#REF! &lt;= 40, "Medium Usgae", "High Usage")))</f>
        <v>#REF!</v>
      </c>
      <c r="AD2457" t="e">
        <f>IF(#REF!&lt;=150,"Low Usage", IF(#REF!&lt;=200,"Medium Usage", IF(#REF!&lt;=250,"High Usage","Very High Usage")))</f>
        <v>#REF!</v>
      </c>
      <c r="AE2457" t="e">
        <f>IF(#REF!&lt;=5,"Low Calls", IF(#REF!&lt;=10, "Medium Calls", "High Calls"))</f>
        <v>#REF!</v>
      </c>
      <c r="AF2457" t="e">
        <f xml:space="preserve">
IF(#REF!&gt;=4,4,0)+
IF(#REF!="yes",3,0)+
IF(#REF!="High Charges",3,0)+
IF(#REF!&gt;250,4,0)+
IF(#REF!="no",1,0)+
IF(#REF!="Heavy Domestic User",2,0)</f>
        <v>#REF!</v>
      </c>
      <c r="AG2457" t="e">
        <f>IF(#REF!&gt;=10,"High Risk", IF(#REF!&gt;=5,"Medium Risk","Low Risk"))</f>
        <v>#REF!</v>
      </c>
      <c r="AH2457" t="e">
        <f>#REF! + #REF! + #REF! + #REF!</f>
        <v>#REF!</v>
      </c>
    </row>
    <row r="2458" spans="1:34" x14ac:dyDescent="0.35">
      <c r="A2458">
        <v>2457</v>
      </c>
      <c r="B2458" t="s">
        <v>67</v>
      </c>
      <c r="C2458">
        <v>78</v>
      </c>
      <c r="D2458" t="s">
        <v>25</v>
      </c>
      <c r="E2458" t="s">
        <v>22</v>
      </c>
      <c r="F2458" t="s">
        <v>22</v>
      </c>
      <c r="G2458">
        <v>0</v>
      </c>
      <c r="H2458">
        <v>108.6</v>
      </c>
      <c r="I2458">
        <v>108</v>
      </c>
      <c r="J2458">
        <v>18.46</v>
      </c>
      <c r="K2458">
        <v>209.9</v>
      </c>
      <c r="L2458">
        <v>126</v>
      </c>
      <c r="M2458">
        <v>17.84</v>
      </c>
      <c r="N2458">
        <v>222.6</v>
      </c>
      <c r="O2458">
        <v>117</v>
      </c>
      <c r="P2458">
        <v>10.02</v>
      </c>
      <c r="Q2458">
        <v>7.9</v>
      </c>
      <c r="R2458">
        <v>5</v>
      </c>
      <c r="S2458">
        <v>2.13</v>
      </c>
      <c r="T2458">
        <v>1</v>
      </c>
      <c r="U2458" t="s">
        <v>23</v>
      </c>
      <c r="V2458" t="e">
        <f>IF(#REF! = "yes", 1, 0)</f>
        <v>#REF!</v>
      </c>
      <c r="W2458" t="e">
        <f>IF(#REF! &lt;= 1, "0-1 Calls", IF(#REF! &lt;= 3, "2-3 Calls", IF(#REF! &lt;=5, "4-5 Calls", "6+ Calls")))</f>
        <v>#REF!</v>
      </c>
      <c r="X2458" t="e">
        <f>IF(#REF! &lt;= 50, "0-50", IF(#REF! &lt;=100, "51-100", IF(#REF! &lt;= 150, "101-150", "151+")))</f>
        <v>#REF!</v>
      </c>
      <c r="Y2458" t="e">
        <f>IF(#REF! &lt;= 3, "Low Charges", "High Charges")</f>
        <v>#REF!</v>
      </c>
      <c r="Z2458" t="e">
        <f>IF(#REF!&lt;=80,"Low Calls",
IF(#REF!&lt;=120,"Medium Calls","High Calls"))</f>
        <v>#REF!</v>
      </c>
      <c r="AA2458" t="e">
        <f>IF(#REF!&lt;=15,"Low Charges",
IF(#REF!&lt;=20,"Medium Charges","High Charges"))</f>
        <v>#REF!</v>
      </c>
      <c r="AB2458" t="e">
        <f>IF(AND(#REF!&gt;180, #REF!&gt;200), "Heavy Doemstic User", IF(#REF!&gt;10, "Interntional User", IF(AND(#REF!&lt;180, #REF!&lt;200,#REF!&lt;200), "Light User", "Balanced User")))</f>
        <v>#REF!</v>
      </c>
      <c r="AC2458" t="e">
        <f>IF(#REF! = 0, "No Usage", IF(#REF! &lt;= 20, "Low Usage", IF(#REF! &lt;= 40, "Medium Usgae", "High Usage")))</f>
        <v>#REF!</v>
      </c>
      <c r="AD2458" t="e">
        <f>IF(#REF!&lt;=150,"Low Usage", IF(#REF!&lt;=200,"Medium Usage", IF(#REF!&lt;=250,"High Usage","Very High Usage")))</f>
        <v>#REF!</v>
      </c>
      <c r="AE2458" t="e">
        <f>IF(#REF!&lt;=5,"Low Calls", IF(#REF!&lt;=10, "Medium Calls", "High Calls"))</f>
        <v>#REF!</v>
      </c>
      <c r="AF2458" t="e">
        <f xml:space="preserve">
IF(#REF!&gt;=4,4,0)+
IF(#REF!="yes",3,0)+
IF(#REF!="High Charges",3,0)+
IF(#REF!&gt;250,4,0)+
IF(#REF!="no",1,0)+
IF(#REF!="Heavy Domestic User",2,0)</f>
        <v>#REF!</v>
      </c>
      <c r="AG2458" t="e">
        <f>IF(#REF!&gt;=10,"High Risk", IF(#REF!&gt;=5,"Medium Risk","Low Risk"))</f>
        <v>#REF!</v>
      </c>
      <c r="AH2458" t="e">
        <f>#REF! + #REF! + #REF! + #REF!</f>
        <v>#REF!</v>
      </c>
    </row>
    <row r="2459" spans="1:34" x14ac:dyDescent="0.35">
      <c r="A2459">
        <v>2458</v>
      </c>
      <c r="B2459" t="s">
        <v>47</v>
      </c>
      <c r="C2459">
        <v>61</v>
      </c>
      <c r="D2459" t="s">
        <v>21</v>
      </c>
      <c r="E2459" t="s">
        <v>22</v>
      </c>
      <c r="F2459" t="s">
        <v>23</v>
      </c>
      <c r="G2459">
        <v>15</v>
      </c>
      <c r="H2459">
        <v>252.4</v>
      </c>
      <c r="I2459">
        <v>106</v>
      </c>
      <c r="J2459">
        <v>42.91</v>
      </c>
      <c r="K2459">
        <v>187.8</v>
      </c>
      <c r="L2459">
        <v>69</v>
      </c>
      <c r="M2459">
        <v>15.96</v>
      </c>
      <c r="N2459">
        <v>259.60000000000002</v>
      </c>
      <c r="O2459">
        <v>137</v>
      </c>
      <c r="P2459">
        <v>11.68</v>
      </c>
      <c r="Q2459">
        <v>10</v>
      </c>
      <c r="R2459">
        <v>3</v>
      </c>
      <c r="S2459">
        <v>2.7</v>
      </c>
      <c r="T2459">
        <v>2</v>
      </c>
      <c r="U2459" t="s">
        <v>22</v>
      </c>
      <c r="V2459" t="e">
        <f>IF(#REF! = "yes", 1, 0)</f>
        <v>#REF!</v>
      </c>
      <c r="W2459" t="e">
        <f>IF(#REF! &lt;= 1, "0-1 Calls", IF(#REF! &lt;= 3, "2-3 Calls", IF(#REF! &lt;=5, "4-5 Calls", "6+ Calls")))</f>
        <v>#REF!</v>
      </c>
      <c r="X2459" t="e">
        <f>IF(#REF! &lt;= 50, "0-50", IF(#REF! &lt;=100, "51-100", IF(#REF! &lt;= 150, "101-150", "151+")))</f>
        <v>#REF!</v>
      </c>
      <c r="Y2459" t="e">
        <f>IF(#REF! &lt;= 3, "Low Charges", "High Charges")</f>
        <v>#REF!</v>
      </c>
      <c r="Z2459" t="e">
        <f>IF(#REF!&lt;=80,"Low Calls",
IF(#REF!&lt;=120,"Medium Calls","High Calls"))</f>
        <v>#REF!</v>
      </c>
      <c r="AA2459" t="e">
        <f>IF(#REF!&lt;=15,"Low Charges",
IF(#REF!&lt;=20,"Medium Charges","High Charges"))</f>
        <v>#REF!</v>
      </c>
      <c r="AB2459" t="e">
        <f>IF(AND(#REF!&gt;180, #REF!&gt;200), "Heavy Doemstic User", IF(#REF!&gt;10, "Interntional User", IF(AND(#REF!&lt;180, #REF!&lt;200,#REF!&lt;200), "Light User", "Balanced User")))</f>
        <v>#REF!</v>
      </c>
      <c r="AC2459" t="e">
        <f>IF(#REF! = 0, "No Usage", IF(#REF! &lt;= 20, "Low Usage", IF(#REF! &lt;= 40, "Medium Usgae", "High Usage")))</f>
        <v>#REF!</v>
      </c>
      <c r="AD2459" t="e">
        <f>IF(#REF!&lt;=150,"Low Usage", IF(#REF!&lt;=200,"Medium Usage", IF(#REF!&lt;=250,"High Usage","Very High Usage")))</f>
        <v>#REF!</v>
      </c>
      <c r="AE2459" t="e">
        <f>IF(#REF!&lt;=5,"Low Calls", IF(#REF!&lt;=10, "Medium Calls", "High Calls"))</f>
        <v>#REF!</v>
      </c>
      <c r="AF2459" t="e">
        <f xml:space="preserve">
IF(#REF!&gt;=4,4,0)+
IF(#REF!="yes",3,0)+
IF(#REF!="High Charges",3,0)+
IF(#REF!&gt;250,4,0)+
IF(#REF!="no",1,0)+
IF(#REF!="Heavy Domestic User",2,0)</f>
        <v>#REF!</v>
      </c>
      <c r="AG2459" t="e">
        <f>IF(#REF!&gt;=10,"High Risk", IF(#REF!&gt;=5,"Medium Risk","Low Risk"))</f>
        <v>#REF!</v>
      </c>
      <c r="AH2459" t="e">
        <f>#REF! + #REF! + #REF! + #REF!</f>
        <v>#REF!</v>
      </c>
    </row>
    <row r="2460" spans="1:34" x14ac:dyDescent="0.35">
      <c r="A2460">
        <v>2459</v>
      </c>
      <c r="B2460" t="s">
        <v>54</v>
      </c>
      <c r="C2460">
        <v>97</v>
      </c>
      <c r="D2460" t="s">
        <v>21</v>
      </c>
      <c r="E2460" t="s">
        <v>22</v>
      </c>
      <c r="F2460" t="s">
        <v>23</v>
      </c>
      <c r="G2460">
        <v>32</v>
      </c>
      <c r="H2460">
        <v>183.4</v>
      </c>
      <c r="I2460">
        <v>94</v>
      </c>
      <c r="J2460">
        <v>31.18</v>
      </c>
      <c r="K2460">
        <v>269.10000000000002</v>
      </c>
      <c r="L2460">
        <v>120</v>
      </c>
      <c r="M2460">
        <v>22.87</v>
      </c>
      <c r="N2460">
        <v>203.5</v>
      </c>
      <c r="O2460">
        <v>38</v>
      </c>
      <c r="P2460">
        <v>9.16</v>
      </c>
      <c r="Q2460">
        <v>6.7</v>
      </c>
      <c r="R2460">
        <v>4</v>
      </c>
      <c r="S2460">
        <v>1.81</v>
      </c>
      <c r="T2460">
        <v>5</v>
      </c>
      <c r="U2460" t="s">
        <v>22</v>
      </c>
      <c r="V2460" t="e">
        <f>IF(#REF! = "yes", 1, 0)</f>
        <v>#REF!</v>
      </c>
      <c r="W2460" t="e">
        <f>IF(#REF! &lt;= 1, "0-1 Calls", IF(#REF! &lt;= 3, "2-3 Calls", IF(#REF! &lt;=5, "4-5 Calls", "6+ Calls")))</f>
        <v>#REF!</v>
      </c>
      <c r="X2460" t="e">
        <f>IF(#REF! &lt;= 50, "0-50", IF(#REF! &lt;=100, "51-100", IF(#REF! &lt;= 150, "101-150", "151+")))</f>
        <v>#REF!</v>
      </c>
      <c r="Y2460" t="e">
        <f>IF(#REF! &lt;= 3, "Low Charges", "High Charges")</f>
        <v>#REF!</v>
      </c>
      <c r="Z2460" t="e">
        <f>IF(#REF!&lt;=80,"Low Calls",
IF(#REF!&lt;=120,"Medium Calls","High Calls"))</f>
        <v>#REF!</v>
      </c>
      <c r="AA2460" t="e">
        <f>IF(#REF!&lt;=15,"Low Charges",
IF(#REF!&lt;=20,"Medium Charges","High Charges"))</f>
        <v>#REF!</v>
      </c>
      <c r="AB2460" t="e">
        <f>IF(AND(#REF!&gt;180, #REF!&gt;200), "Heavy Doemstic User", IF(#REF!&gt;10, "Interntional User", IF(AND(#REF!&lt;180, #REF!&lt;200,#REF!&lt;200), "Light User", "Balanced User")))</f>
        <v>#REF!</v>
      </c>
      <c r="AC2460" t="e">
        <f>IF(#REF! = 0, "No Usage", IF(#REF! &lt;= 20, "Low Usage", IF(#REF! &lt;= 40, "Medium Usgae", "High Usage")))</f>
        <v>#REF!</v>
      </c>
      <c r="AD2460" t="e">
        <f>IF(#REF!&lt;=150,"Low Usage", IF(#REF!&lt;=200,"Medium Usage", IF(#REF!&lt;=250,"High Usage","Very High Usage")))</f>
        <v>#REF!</v>
      </c>
      <c r="AE2460" t="e">
        <f>IF(#REF!&lt;=5,"Low Calls", IF(#REF!&lt;=10, "Medium Calls", "High Calls"))</f>
        <v>#REF!</v>
      </c>
      <c r="AF2460" t="e">
        <f xml:space="preserve">
IF(#REF!&gt;=4,4,0)+
IF(#REF!="yes",3,0)+
IF(#REF!="High Charges",3,0)+
IF(#REF!&gt;250,4,0)+
IF(#REF!="no",1,0)+
IF(#REF!="Heavy Domestic User",2,0)</f>
        <v>#REF!</v>
      </c>
      <c r="AG2460" t="e">
        <f>IF(#REF!&gt;=10,"High Risk", IF(#REF!&gt;=5,"Medium Risk","Low Risk"))</f>
        <v>#REF!</v>
      </c>
      <c r="AH2460" t="e">
        <f>#REF! + #REF! + #REF! + #REF!</f>
        <v>#REF!</v>
      </c>
    </row>
    <row r="2461" spans="1:34" x14ac:dyDescent="0.35">
      <c r="A2461">
        <v>2460</v>
      </c>
      <c r="B2461" t="s">
        <v>20</v>
      </c>
      <c r="C2461">
        <v>136</v>
      </c>
      <c r="D2461" t="s">
        <v>25</v>
      </c>
      <c r="E2461" t="s">
        <v>23</v>
      </c>
      <c r="F2461" t="s">
        <v>22</v>
      </c>
      <c r="G2461">
        <v>0</v>
      </c>
      <c r="H2461">
        <v>183.4</v>
      </c>
      <c r="I2461">
        <v>103</v>
      </c>
      <c r="J2461">
        <v>31.18</v>
      </c>
      <c r="K2461">
        <v>141.9</v>
      </c>
      <c r="L2461">
        <v>113</v>
      </c>
      <c r="M2461">
        <v>12.06</v>
      </c>
      <c r="N2461">
        <v>200.4</v>
      </c>
      <c r="O2461">
        <v>122</v>
      </c>
      <c r="P2461">
        <v>9.02</v>
      </c>
      <c r="Q2461">
        <v>10.4</v>
      </c>
      <c r="R2461">
        <v>9</v>
      </c>
      <c r="S2461">
        <v>2.81</v>
      </c>
      <c r="T2461">
        <v>2</v>
      </c>
      <c r="U2461" t="s">
        <v>22</v>
      </c>
      <c r="V2461" t="e">
        <f>IF(#REF! = "yes", 1, 0)</f>
        <v>#REF!</v>
      </c>
      <c r="W2461" t="e">
        <f>IF(#REF! &lt;= 1, "0-1 Calls", IF(#REF! &lt;= 3, "2-3 Calls", IF(#REF! &lt;=5, "4-5 Calls", "6+ Calls")))</f>
        <v>#REF!</v>
      </c>
      <c r="X2461" t="e">
        <f>IF(#REF! &lt;= 50, "0-50", IF(#REF! &lt;=100, "51-100", IF(#REF! &lt;= 150, "101-150", "151+")))</f>
        <v>#REF!</v>
      </c>
      <c r="Y2461" t="e">
        <f>IF(#REF! &lt;= 3, "Low Charges", "High Charges")</f>
        <v>#REF!</v>
      </c>
      <c r="Z2461" t="e">
        <f>IF(#REF!&lt;=80,"Low Calls",
IF(#REF!&lt;=120,"Medium Calls","High Calls"))</f>
        <v>#REF!</v>
      </c>
      <c r="AA2461" t="e">
        <f>IF(#REF!&lt;=15,"Low Charges",
IF(#REF!&lt;=20,"Medium Charges","High Charges"))</f>
        <v>#REF!</v>
      </c>
      <c r="AB2461" t="e">
        <f>IF(AND(#REF!&gt;180, #REF!&gt;200), "Heavy Doemstic User", IF(#REF!&gt;10, "Interntional User", IF(AND(#REF!&lt;180, #REF!&lt;200,#REF!&lt;200), "Light User", "Balanced User")))</f>
        <v>#REF!</v>
      </c>
      <c r="AC2461" t="e">
        <f>IF(#REF! = 0, "No Usage", IF(#REF! &lt;= 20, "Low Usage", IF(#REF! &lt;= 40, "Medium Usgae", "High Usage")))</f>
        <v>#REF!</v>
      </c>
      <c r="AD2461" t="e">
        <f>IF(#REF!&lt;=150,"Low Usage", IF(#REF!&lt;=200,"Medium Usage", IF(#REF!&lt;=250,"High Usage","Very High Usage")))</f>
        <v>#REF!</v>
      </c>
      <c r="AE2461" t="e">
        <f>IF(#REF!&lt;=5,"Low Calls", IF(#REF!&lt;=10, "Medium Calls", "High Calls"))</f>
        <v>#REF!</v>
      </c>
      <c r="AF2461" t="e">
        <f xml:space="preserve">
IF(#REF!&gt;=4,4,0)+
IF(#REF!="yes",3,0)+
IF(#REF!="High Charges",3,0)+
IF(#REF!&gt;250,4,0)+
IF(#REF!="no",1,0)+
IF(#REF!="Heavy Domestic User",2,0)</f>
        <v>#REF!</v>
      </c>
      <c r="AG2461" t="e">
        <f>IF(#REF!&gt;=10,"High Risk", IF(#REF!&gt;=5,"Medium Risk","Low Risk"))</f>
        <v>#REF!</v>
      </c>
      <c r="AH2461" t="e">
        <f>#REF! + #REF! + #REF! + #REF!</f>
        <v>#REF!</v>
      </c>
    </row>
    <row r="2462" spans="1:34" x14ac:dyDescent="0.35">
      <c r="A2462">
        <v>2461</v>
      </c>
      <c r="B2462" t="s">
        <v>60</v>
      </c>
      <c r="C2462">
        <v>135</v>
      </c>
      <c r="D2462" t="s">
        <v>25</v>
      </c>
      <c r="E2462" t="s">
        <v>22</v>
      </c>
      <c r="F2462" t="s">
        <v>22</v>
      </c>
      <c r="G2462">
        <v>0</v>
      </c>
      <c r="H2462">
        <v>155.19999999999999</v>
      </c>
      <c r="I2462">
        <v>100</v>
      </c>
      <c r="J2462">
        <v>26.38</v>
      </c>
      <c r="K2462">
        <v>135.9</v>
      </c>
      <c r="L2462">
        <v>84</v>
      </c>
      <c r="M2462">
        <v>11.55</v>
      </c>
      <c r="N2462">
        <v>184.6</v>
      </c>
      <c r="O2462">
        <v>82</v>
      </c>
      <c r="P2462">
        <v>8.31</v>
      </c>
      <c r="Q2462">
        <v>3.8</v>
      </c>
      <c r="R2462">
        <v>9</v>
      </c>
      <c r="S2462">
        <v>1.03</v>
      </c>
      <c r="T2462">
        <v>3</v>
      </c>
      <c r="U2462" t="s">
        <v>22</v>
      </c>
      <c r="V2462" t="e">
        <f>IF(#REF! = "yes", 1, 0)</f>
        <v>#REF!</v>
      </c>
      <c r="W2462" t="e">
        <f>IF(#REF! &lt;= 1, "0-1 Calls", IF(#REF! &lt;= 3, "2-3 Calls", IF(#REF! &lt;=5, "4-5 Calls", "6+ Calls")))</f>
        <v>#REF!</v>
      </c>
      <c r="X2462" t="e">
        <f>IF(#REF! &lt;= 50, "0-50", IF(#REF! &lt;=100, "51-100", IF(#REF! &lt;= 150, "101-150", "151+")))</f>
        <v>#REF!</v>
      </c>
      <c r="Y2462" t="e">
        <f>IF(#REF! &lt;= 3, "Low Charges", "High Charges")</f>
        <v>#REF!</v>
      </c>
      <c r="Z2462" t="e">
        <f>IF(#REF!&lt;=80,"Low Calls",
IF(#REF!&lt;=120,"Medium Calls","High Calls"))</f>
        <v>#REF!</v>
      </c>
      <c r="AA2462" t="e">
        <f>IF(#REF!&lt;=15,"Low Charges",
IF(#REF!&lt;=20,"Medium Charges","High Charges"))</f>
        <v>#REF!</v>
      </c>
      <c r="AB2462" t="e">
        <f>IF(AND(#REF!&gt;180, #REF!&gt;200), "Heavy Doemstic User", IF(#REF!&gt;10, "Interntional User", IF(AND(#REF!&lt;180, #REF!&lt;200,#REF!&lt;200), "Light User", "Balanced User")))</f>
        <v>#REF!</v>
      </c>
      <c r="AC2462" t="e">
        <f>IF(#REF! = 0, "No Usage", IF(#REF! &lt;= 20, "Low Usage", IF(#REF! &lt;= 40, "Medium Usgae", "High Usage")))</f>
        <v>#REF!</v>
      </c>
      <c r="AD2462" t="e">
        <f>IF(#REF!&lt;=150,"Low Usage", IF(#REF!&lt;=200,"Medium Usage", IF(#REF!&lt;=250,"High Usage","Very High Usage")))</f>
        <v>#REF!</v>
      </c>
      <c r="AE2462" t="e">
        <f>IF(#REF!&lt;=5,"Low Calls", IF(#REF!&lt;=10, "Medium Calls", "High Calls"))</f>
        <v>#REF!</v>
      </c>
      <c r="AF2462" t="e">
        <f xml:space="preserve">
IF(#REF!&gt;=4,4,0)+
IF(#REF!="yes",3,0)+
IF(#REF!="High Charges",3,0)+
IF(#REF!&gt;250,4,0)+
IF(#REF!="no",1,0)+
IF(#REF!="Heavy Domestic User",2,0)</f>
        <v>#REF!</v>
      </c>
      <c r="AG2462" t="e">
        <f>IF(#REF!&gt;=10,"High Risk", IF(#REF!&gt;=5,"Medium Risk","Low Risk"))</f>
        <v>#REF!</v>
      </c>
      <c r="AH2462" t="e">
        <f>#REF! + #REF! + #REF! + #REF!</f>
        <v>#REF!</v>
      </c>
    </row>
    <row r="2463" spans="1:34" x14ac:dyDescent="0.35">
      <c r="A2463">
        <v>2462</v>
      </c>
      <c r="B2463" t="s">
        <v>56</v>
      </c>
      <c r="C2463">
        <v>87</v>
      </c>
      <c r="D2463" t="s">
        <v>21</v>
      </c>
      <c r="E2463" t="s">
        <v>22</v>
      </c>
      <c r="F2463" t="s">
        <v>23</v>
      </c>
      <c r="G2463">
        <v>19</v>
      </c>
      <c r="H2463">
        <v>165.8</v>
      </c>
      <c r="I2463">
        <v>122</v>
      </c>
      <c r="J2463">
        <v>28.19</v>
      </c>
      <c r="K2463">
        <v>186.9</v>
      </c>
      <c r="L2463">
        <v>89</v>
      </c>
      <c r="M2463">
        <v>15.89</v>
      </c>
      <c r="N2463">
        <v>249.7</v>
      </c>
      <c r="O2463">
        <v>78</v>
      </c>
      <c r="P2463">
        <v>11.24</v>
      </c>
      <c r="Q2463">
        <v>0</v>
      </c>
      <c r="R2463">
        <v>0</v>
      </c>
      <c r="S2463">
        <v>0</v>
      </c>
      <c r="T2463">
        <v>1</v>
      </c>
      <c r="U2463" t="s">
        <v>22</v>
      </c>
      <c r="V2463" t="e">
        <f>IF(#REF! = "yes", 1, 0)</f>
        <v>#REF!</v>
      </c>
      <c r="W2463" t="e">
        <f>IF(#REF! &lt;= 1, "0-1 Calls", IF(#REF! &lt;= 3, "2-3 Calls", IF(#REF! &lt;=5, "4-5 Calls", "6+ Calls")))</f>
        <v>#REF!</v>
      </c>
      <c r="X2463" t="e">
        <f>IF(#REF! &lt;= 50, "0-50", IF(#REF! &lt;=100, "51-100", IF(#REF! &lt;= 150, "101-150", "151+")))</f>
        <v>#REF!</v>
      </c>
      <c r="Y2463" t="e">
        <f>IF(#REF! &lt;= 3, "Low Charges", "High Charges")</f>
        <v>#REF!</v>
      </c>
      <c r="Z2463" t="e">
        <f>IF(#REF!&lt;=80,"Low Calls",
IF(#REF!&lt;=120,"Medium Calls","High Calls"))</f>
        <v>#REF!</v>
      </c>
      <c r="AA2463" t="e">
        <f>IF(#REF!&lt;=15,"Low Charges",
IF(#REF!&lt;=20,"Medium Charges","High Charges"))</f>
        <v>#REF!</v>
      </c>
      <c r="AB2463" t="e">
        <f>IF(AND(#REF!&gt;180, #REF!&gt;200), "Heavy Doemstic User", IF(#REF!&gt;10, "Interntional User", IF(AND(#REF!&lt;180, #REF!&lt;200,#REF!&lt;200), "Light User", "Balanced User")))</f>
        <v>#REF!</v>
      </c>
      <c r="AC2463" t="e">
        <f>IF(#REF! = 0, "No Usage", IF(#REF! &lt;= 20, "Low Usage", IF(#REF! &lt;= 40, "Medium Usgae", "High Usage")))</f>
        <v>#REF!</v>
      </c>
      <c r="AD2463" t="e">
        <f>IF(#REF!&lt;=150,"Low Usage", IF(#REF!&lt;=200,"Medium Usage", IF(#REF!&lt;=250,"High Usage","Very High Usage")))</f>
        <v>#REF!</v>
      </c>
      <c r="AE2463" t="e">
        <f>IF(#REF!&lt;=5,"Low Calls", IF(#REF!&lt;=10, "Medium Calls", "High Calls"))</f>
        <v>#REF!</v>
      </c>
      <c r="AF2463" t="e">
        <f xml:space="preserve">
IF(#REF!&gt;=4,4,0)+
IF(#REF!="yes",3,0)+
IF(#REF!="High Charges",3,0)+
IF(#REF!&gt;250,4,0)+
IF(#REF!="no",1,0)+
IF(#REF!="Heavy Domestic User",2,0)</f>
        <v>#REF!</v>
      </c>
      <c r="AG2463" t="e">
        <f>IF(#REF!&gt;=10,"High Risk", IF(#REF!&gt;=5,"Medium Risk","Low Risk"))</f>
        <v>#REF!</v>
      </c>
      <c r="AH2463" t="e">
        <f>#REF! + #REF! + #REF! + #REF!</f>
        <v>#REF!</v>
      </c>
    </row>
    <row r="2464" spans="1:34" x14ac:dyDescent="0.35">
      <c r="A2464">
        <v>2463</v>
      </c>
      <c r="B2464" t="s">
        <v>20</v>
      </c>
      <c r="C2464">
        <v>165</v>
      </c>
      <c r="D2464" t="s">
        <v>28</v>
      </c>
      <c r="E2464" t="s">
        <v>22</v>
      </c>
      <c r="F2464" t="s">
        <v>22</v>
      </c>
      <c r="G2464">
        <v>0</v>
      </c>
      <c r="H2464">
        <v>209.4</v>
      </c>
      <c r="I2464">
        <v>67</v>
      </c>
      <c r="J2464">
        <v>35.6</v>
      </c>
      <c r="K2464">
        <v>273.8</v>
      </c>
      <c r="L2464">
        <v>89</v>
      </c>
      <c r="M2464">
        <v>23.27</v>
      </c>
      <c r="N2464">
        <v>150.19999999999999</v>
      </c>
      <c r="O2464">
        <v>88</v>
      </c>
      <c r="P2464">
        <v>6.76</v>
      </c>
      <c r="Q2464">
        <v>12.8</v>
      </c>
      <c r="R2464">
        <v>1</v>
      </c>
      <c r="S2464">
        <v>3.46</v>
      </c>
      <c r="T2464">
        <v>0</v>
      </c>
      <c r="U2464" t="s">
        <v>22</v>
      </c>
      <c r="V2464" t="e">
        <f>IF(#REF! = "yes", 1, 0)</f>
        <v>#REF!</v>
      </c>
      <c r="W2464" t="e">
        <f>IF(#REF! &lt;= 1, "0-1 Calls", IF(#REF! &lt;= 3, "2-3 Calls", IF(#REF! &lt;=5, "4-5 Calls", "6+ Calls")))</f>
        <v>#REF!</v>
      </c>
      <c r="X2464" t="e">
        <f>IF(#REF! &lt;= 50, "0-50", IF(#REF! &lt;=100, "51-100", IF(#REF! &lt;= 150, "101-150", "151+")))</f>
        <v>#REF!</v>
      </c>
      <c r="Y2464" t="e">
        <f>IF(#REF! &lt;= 3, "Low Charges", "High Charges")</f>
        <v>#REF!</v>
      </c>
      <c r="Z2464" t="e">
        <f>IF(#REF!&lt;=80,"Low Calls",
IF(#REF!&lt;=120,"Medium Calls","High Calls"))</f>
        <v>#REF!</v>
      </c>
      <c r="AA2464" t="e">
        <f>IF(#REF!&lt;=15,"Low Charges",
IF(#REF!&lt;=20,"Medium Charges","High Charges"))</f>
        <v>#REF!</v>
      </c>
      <c r="AB2464" t="e">
        <f>IF(AND(#REF!&gt;180, #REF!&gt;200), "Heavy Doemstic User", IF(#REF!&gt;10, "Interntional User", IF(AND(#REF!&lt;180, #REF!&lt;200,#REF!&lt;200), "Light User", "Balanced User")))</f>
        <v>#REF!</v>
      </c>
      <c r="AC2464" t="e">
        <f>IF(#REF! = 0, "No Usage", IF(#REF! &lt;= 20, "Low Usage", IF(#REF! &lt;= 40, "Medium Usgae", "High Usage")))</f>
        <v>#REF!</v>
      </c>
      <c r="AD2464" t="e">
        <f>IF(#REF!&lt;=150,"Low Usage", IF(#REF!&lt;=200,"Medium Usage", IF(#REF!&lt;=250,"High Usage","Very High Usage")))</f>
        <v>#REF!</v>
      </c>
      <c r="AE2464" t="e">
        <f>IF(#REF!&lt;=5,"Low Calls", IF(#REF!&lt;=10, "Medium Calls", "High Calls"))</f>
        <v>#REF!</v>
      </c>
      <c r="AF2464" t="e">
        <f xml:space="preserve">
IF(#REF!&gt;=4,4,0)+
IF(#REF!="yes",3,0)+
IF(#REF!="High Charges",3,0)+
IF(#REF!&gt;250,4,0)+
IF(#REF!="no",1,0)+
IF(#REF!="Heavy Domestic User",2,0)</f>
        <v>#REF!</v>
      </c>
      <c r="AG2464" t="e">
        <f>IF(#REF!&gt;=10,"High Risk", IF(#REF!&gt;=5,"Medium Risk","Low Risk"))</f>
        <v>#REF!</v>
      </c>
      <c r="AH2464" t="e">
        <f>#REF! + #REF! + #REF! + #REF!</f>
        <v>#REF!</v>
      </c>
    </row>
    <row r="2465" spans="1:34" x14ac:dyDescent="0.35">
      <c r="A2465">
        <v>2464</v>
      </c>
      <c r="B2465" t="s">
        <v>62</v>
      </c>
      <c r="C2465">
        <v>148</v>
      </c>
      <c r="D2465" t="s">
        <v>21</v>
      </c>
      <c r="E2465" t="s">
        <v>22</v>
      </c>
      <c r="F2465" t="s">
        <v>22</v>
      </c>
      <c r="G2465">
        <v>0</v>
      </c>
      <c r="H2465">
        <v>279.3</v>
      </c>
      <c r="I2465">
        <v>104</v>
      </c>
      <c r="J2465">
        <v>47.48</v>
      </c>
      <c r="K2465">
        <v>201.6</v>
      </c>
      <c r="L2465">
        <v>87</v>
      </c>
      <c r="M2465">
        <v>17.14</v>
      </c>
      <c r="N2465">
        <v>280.8</v>
      </c>
      <c r="O2465">
        <v>99</v>
      </c>
      <c r="P2465">
        <v>12.64</v>
      </c>
      <c r="Q2465">
        <v>7.9</v>
      </c>
      <c r="R2465">
        <v>2</v>
      </c>
      <c r="S2465">
        <v>2.13</v>
      </c>
      <c r="T2465">
        <v>2</v>
      </c>
      <c r="U2465" t="s">
        <v>23</v>
      </c>
      <c r="V2465" t="e">
        <f>IF(#REF! = "yes", 1, 0)</f>
        <v>#REF!</v>
      </c>
      <c r="W2465" t="e">
        <f>IF(#REF! &lt;= 1, "0-1 Calls", IF(#REF! &lt;= 3, "2-3 Calls", IF(#REF! &lt;=5, "4-5 Calls", "6+ Calls")))</f>
        <v>#REF!</v>
      </c>
      <c r="X2465" t="e">
        <f>IF(#REF! &lt;= 50, "0-50", IF(#REF! &lt;=100, "51-100", IF(#REF! &lt;= 150, "101-150", "151+")))</f>
        <v>#REF!</v>
      </c>
      <c r="Y2465" t="e">
        <f>IF(#REF! &lt;= 3, "Low Charges", "High Charges")</f>
        <v>#REF!</v>
      </c>
      <c r="Z2465" t="e">
        <f>IF(#REF!&lt;=80,"Low Calls",
IF(#REF!&lt;=120,"Medium Calls","High Calls"))</f>
        <v>#REF!</v>
      </c>
      <c r="AA2465" t="e">
        <f>IF(#REF!&lt;=15,"Low Charges",
IF(#REF!&lt;=20,"Medium Charges","High Charges"))</f>
        <v>#REF!</v>
      </c>
      <c r="AB2465" t="e">
        <f>IF(AND(#REF!&gt;180, #REF!&gt;200), "Heavy Doemstic User", IF(#REF!&gt;10, "Interntional User", IF(AND(#REF!&lt;180, #REF!&lt;200,#REF!&lt;200), "Light User", "Balanced User")))</f>
        <v>#REF!</v>
      </c>
      <c r="AC2465" t="e">
        <f>IF(#REF! = 0, "No Usage", IF(#REF! &lt;= 20, "Low Usage", IF(#REF! &lt;= 40, "Medium Usgae", "High Usage")))</f>
        <v>#REF!</v>
      </c>
      <c r="AD2465" t="e">
        <f>IF(#REF!&lt;=150,"Low Usage", IF(#REF!&lt;=200,"Medium Usage", IF(#REF!&lt;=250,"High Usage","Very High Usage")))</f>
        <v>#REF!</v>
      </c>
      <c r="AE2465" t="e">
        <f>IF(#REF!&lt;=5,"Low Calls", IF(#REF!&lt;=10, "Medium Calls", "High Calls"))</f>
        <v>#REF!</v>
      </c>
      <c r="AF2465" t="e">
        <f xml:space="preserve">
IF(#REF!&gt;=4,4,0)+
IF(#REF!="yes",3,0)+
IF(#REF!="High Charges",3,0)+
IF(#REF!&gt;250,4,0)+
IF(#REF!="no",1,0)+
IF(#REF!="Heavy Domestic User",2,0)</f>
        <v>#REF!</v>
      </c>
      <c r="AG2465" t="e">
        <f>IF(#REF!&gt;=10,"High Risk", IF(#REF!&gt;=5,"Medium Risk","Low Risk"))</f>
        <v>#REF!</v>
      </c>
      <c r="AH2465" t="e">
        <f>#REF! + #REF! + #REF! + #REF!</f>
        <v>#REF!</v>
      </c>
    </row>
    <row r="2466" spans="1:34" x14ac:dyDescent="0.35">
      <c r="A2466">
        <v>2465</v>
      </c>
      <c r="B2466" t="s">
        <v>61</v>
      </c>
      <c r="C2466">
        <v>127</v>
      </c>
      <c r="D2466" t="s">
        <v>21</v>
      </c>
      <c r="E2466" t="s">
        <v>23</v>
      </c>
      <c r="F2466" t="s">
        <v>22</v>
      </c>
      <c r="G2466">
        <v>0</v>
      </c>
      <c r="H2466">
        <v>256.5</v>
      </c>
      <c r="I2466">
        <v>87</v>
      </c>
      <c r="J2466">
        <v>43.61</v>
      </c>
      <c r="K2466">
        <v>222.1</v>
      </c>
      <c r="L2466">
        <v>101</v>
      </c>
      <c r="M2466">
        <v>18.88</v>
      </c>
      <c r="N2466">
        <v>156.69999999999999</v>
      </c>
      <c r="O2466">
        <v>122</v>
      </c>
      <c r="P2466">
        <v>7.05</v>
      </c>
      <c r="Q2466">
        <v>13</v>
      </c>
      <c r="R2466">
        <v>3</v>
      </c>
      <c r="S2466">
        <v>3.51</v>
      </c>
      <c r="T2466">
        <v>1</v>
      </c>
      <c r="U2466" t="s">
        <v>22</v>
      </c>
      <c r="V2466" t="e">
        <f>IF(#REF! = "yes", 1, 0)</f>
        <v>#REF!</v>
      </c>
      <c r="W2466" t="e">
        <f>IF(#REF! &lt;= 1, "0-1 Calls", IF(#REF! &lt;= 3, "2-3 Calls", IF(#REF! &lt;=5, "4-5 Calls", "6+ Calls")))</f>
        <v>#REF!</v>
      </c>
      <c r="X2466" t="e">
        <f>IF(#REF! &lt;= 50, "0-50", IF(#REF! &lt;=100, "51-100", IF(#REF! &lt;= 150, "101-150", "151+")))</f>
        <v>#REF!</v>
      </c>
      <c r="Y2466" t="e">
        <f>IF(#REF! &lt;= 3, "Low Charges", "High Charges")</f>
        <v>#REF!</v>
      </c>
      <c r="Z2466" t="e">
        <f>IF(#REF!&lt;=80,"Low Calls",
IF(#REF!&lt;=120,"Medium Calls","High Calls"))</f>
        <v>#REF!</v>
      </c>
      <c r="AA2466" t="e">
        <f>IF(#REF!&lt;=15,"Low Charges",
IF(#REF!&lt;=20,"Medium Charges","High Charges"))</f>
        <v>#REF!</v>
      </c>
      <c r="AB2466" t="e">
        <f>IF(AND(#REF!&gt;180, #REF!&gt;200), "Heavy Doemstic User", IF(#REF!&gt;10, "Interntional User", IF(AND(#REF!&lt;180, #REF!&lt;200,#REF!&lt;200), "Light User", "Balanced User")))</f>
        <v>#REF!</v>
      </c>
      <c r="AC2466" t="e">
        <f>IF(#REF! = 0, "No Usage", IF(#REF! &lt;= 20, "Low Usage", IF(#REF! &lt;= 40, "Medium Usgae", "High Usage")))</f>
        <v>#REF!</v>
      </c>
      <c r="AD2466" t="e">
        <f>IF(#REF!&lt;=150,"Low Usage", IF(#REF!&lt;=200,"Medium Usage", IF(#REF!&lt;=250,"High Usage","Very High Usage")))</f>
        <v>#REF!</v>
      </c>
      <c r="AE2466" t="e">
        <f>IF(#REF!&lt;=5,"Low Calls", IF(#REF!&lt;=10, "Medium Calls", "High Calls"))</f>
        <v>#REF!</v>
      </c>
      <c r="AF2466" t="e">
        <f xml:space="preserve">
IF(#REF!&gt;=4,4,0)+
IF(#REF!="yes",3,0)+
IF(#REF!="High Charges",3,0)+
IF(#REF!&gt;250,4,0)+
IF(#REF!="no",1,0)+
IF(#REF!="Heavy Domestic User",2,0)</f>
        <v>#REF!</v>
      </c>
      <c r="AG2466" t="e">
        <f>IF(#REF!&gt;=10,"High Risk", IF(#REF!&gt;=5,"Medium Risk","Low Risk"))</f>
        <v>#REF!</v>
      </c>
      <c r="AH2466" t="e">
        <f>#REF! + #REF! + #REF! + #REF!</f>
        <v>#REF!</v>
      </c>
    </row>
    <row r="2467" spans="1:34" x14ac:dyDescent="0.35">
      <c r="A2467">
        <v>2466</v>
      </c>
      <c r="B2467" t="s">
        <v>44</v>
      </c>
      <c r="C2467">
        <v>151</v>
      </c>
      <c r="D2467" t="s">
        <v>21</v>
      </c>
      <c r="E2467" t="s">
        <v>22</v>
      </c>
      <c r="F2467" t="s">
        <v>22</v>
      </c>
      <c r="G2467">
        <v>0</v>
      </c>
      <c r="H2467">
        <v>170.2</v>
      </c>
      <c r="I2467">
        <v>89</v>
      </c>
      <c r="J2467">
        <v>28.93</v>
      </c>
      <c r="K2467">
        <v>187.5</v>
      </c>
      <c r="L2467">
        <v>83</v>
      </c>
      <c r="M2467">
        <v>15.94</v>
      </c>
      <c r="N2467">
        <v>119.5</v>
      </c>
      <c r="O2467">
        <v>100</v>
      </c>
      <c r="P2467">
        <v>5.38</v>
      </c>
      <c r="Q2467">
        <v>4.3</v>
      </c>
      <c r="R2467">
        <v>3</v>
      </c>
      <c r="S2467">
        <v>1.1599999999999999</v>
      </c>
      <c r="T2467">
        <v>0</v>
      </c>
      <c r="U2467" t="s">
        <v>22</v>
      </c>
      <c r="V2467" t="e">
        <f>IF(#REF! = "yes", 1, 0)</f>
        <v>#REF!</v>
      </c>
      <c r="W2467" t="e">
        <f>IF(#REF! &lt;= 1, "0-1 Calls", IF(#REF! &lt;= 3, "2-3 Calls", IF(#REF! &lt;=5, "4-5 Calls", "6+ Calls")))</f>
        <v>#REF!</v>
      </c>
      <c r="X2467" t="e">
        <f>IF(#REF! &lt;= 50, "0-50", IF(#REF! &lt;=100, "51-100", IF(#REF! &lt;= 150, "101-150", "151+")))</f>
        <v>#REF!</v>
      </c>
      <c r="Y2467" t="e">
        <f>IF(#REF! &lt;= 3, "Low Charges", "High Charges")</f>
        <v>#REF!</v>
      </c>
      <c r="Z2467" t="e">
        <f>IF(#REF!&lt;=80,"Low Calls",
IF(#REF!&lt;=120,"Medium Calls","High Calls"))</f>
        <v>#REF!</v>
      </c>
      <c r="AA2467" t="e">
        <f>IF(#REF!&lt;=15,"Low Charges",
IF(#REF!&lt;=20,"Medium Charges","High Charges"))</f>
        <v>#REF!</v>
      </c>
      <c r="AB2467" t="e">
        <f>IF(AND(#REF!&gt;180, #REF!&gt;200), "Heavy Doemstic User", IF(#REF!&gt;10, "Interntional User", IF(AND(#REF!&lt;180, #REF!&lt;200,#REF!&lt;200), "Light User", "Balanced User")))</f>
        <v>#REF!</v>
      </c>
      <c r="AC2467" t="e">
        <f>IF(#REF! = 0, "No Usage", IF(#REF! &lt;= 20, "Low Usage", IF(#REF! &lt;= 40, "Medium Usgae", "High Usage")))</f>
        <v>#REF!</v>
      </c>
      <c r="AD2467" t="e">
        <f>IF(#REF!&lt;=150,"Low Usage", IF(#REF!&lt;=200,"Medium Usage", IF(#REF!&lt;=250,"High Usage","Very High Usage")))</f>
        <v>#REF!</v>
      </c>
      <c r="AE2467" t="e">
        <f>IF(#REF!&lt;=5,"Low Calls", IF(#REF!&lt;=10, "Medium Calls", "High Calls"))</f>
        <v>#REF!</v>
      </c>
      <c r="AF2467" t="e">
        <f xml:space="preserve">
IF(#REF!&gt;=4,4,0)+
IF(#REF!="yes",3,0)+
IF(#REF!="High Charges",3,0)+
IF(#REF!&gt;250,4,0)+
IF(#REF!="no",1,0)+
IF(#REF!="Heavy Domestic User",2,0)</f>
        <v>#REF!</v>
      </c>
      <c r="AG2467" t="e">
        <f>IF(#REF!&gt;=10,"High Risk", IF(#REF!&gt;=5,"Medium Risk","Low Risk"))</f>
        <v>#REF!</v>
      </c>
      <c r="AH2467" t="e">
        <f>#REF! + #REF! + #REF! + #REF!</f>
        <v>#REF!</v>
      </c>
    </row>
    <row r="2468" spans="1:34" x14ac:dyDescent="0.35">
      <c r="A2468">
        <v>2467</v>
      </c>
      <c r="B2468" t="s">
        <v>56</v>
      </c>
      <c r="C2468">
        <v>185</v>
      </c>
      <c r="D2468" t="s">
        <v>25</v>
      </c>
      <c r="E2468" t="s">
        <v>22</v>
      </c>
      <c r="F2468" t="s">
        <v>22</v>
      </c>
      <c r="G2468">
        <v>0</v>
      </c>
      <c r="H2468">
        <v>139.6</v>
      </c>
      <c r="I2468">
        <v>92</v>
      </c>
      <c r="J2468">
        <v>23.73</v>
      </c>
      <c r="K2468">
        <v>250.2</v>
      </c>
      <c r="L2468">
        <v>115</v>
      </c>
      <c r="M2468">
        <v>21.27</v>
      </c>
      <c r="N2468">
        <v>158.1</v>
      </c>
      <c r="O2468">
        <v>79</v>
      </c>
      <c r="P2468">
        <v>7.11</v>
      </c>
      <c r="Q2468">
        <v>10.8</v>
      </c>
      <c r="R2468">
        <v>4</v>
      </c>
      <c r="S2468">
        <v>2.92</v>
      </c>
      <c r="T2468">
        <v>1</v>
      </c>
      <c r="U2468" t="s">
        <v>22</v>
      </c>
      <c r="V2468" t="e">
        <f>IF(#REF! = "yes", 1, 0)</f>
        <v>#REF!</v>
      </c>
      <c r="W2468" t="e">
        <f>IF(#REF! &lt;= 1, "0-1 Calls", IF(#REF! &lt;= 3, "2-3 Calls", IF(#REF! &lt;=5, "4-5 Calls", "6+ Calls")))</f>
        <v>#REF!</v>
      </c>
      <c r="X2468" t="e">
        <f>IF(#REF! &lt;= 50, "0-50", IF(#REF! &lt;=100, "51-100", IF(#REF! &lt;= 150, "101-150", "151+")))</f>
        <v>#REF!</v>
      </c>
      <c r="Y2468" t="e">
        <f>IF(#REF! &lt;= 3, "Low Charges", "High Charges")</f>
        <v>#REF!</v>
      </c>
      <c r="Z2468" t="e">
        <f>IF(#REF!&lt;=80,"Low Calls",
IF(#REF!&lt;=120,"Medium Calls","High Calls"))</f>
        <v>#REF!</v>
      </c>
      <c r="AA2468" t="e">
        <f>IF(#REF!&lt;=15,"Low Charges",
IF(#REF!&lt;=20,"Medium Charges","High Charges"))</f>
        <v>#REF!</v>
      </c>
      <c r="AB2468" t="e">
        <f>IF(AND(#REF!&gt;180, #REF!&gt;200), "Heavy Doemstic User", IF(#REF!&gt;10, "Interntional User", IF(AND(#REF!&lt;180, #REF!&lt;200,#REF!&lt;200), "Light User", "Balanced User")))</f>
        <v>#REF!</v>
      </c>
      <c r="AC2468" t="e">
        <f>IF(#REF! = 0, "No Usage", IF(#REF! &lt;= 20, "Low Usage", IF(#REF! &lt;= 40, "Medium Usgae", "High Usage")))</f>
        <v>#REF!</v>
      </c>
      <c r="AD2468" t="e">
        <f>IF(#REF!&lt;=150,"Low Usage", IF(#REF!&lt;=200,"Medium Usage", IF(#REF!&lt;=250,"High Usage","Very High Usage")))</f>
        <v>#REF!</v>
      </c>
      <c r="AE2468" t="e">
        <f>IF(#REF!&lt;=5,"Low Calls", IF(#REF!&lt;=10, "Medium Calls", "High Calls"))</f>
        <v>#REF!</v>
      </c>
      <c r="AF2468" t="e">
        <f xml:space="preserve">
IF(#REF!&gt;=4,4,0)+
IF(#REF!="yes",3,0)+
IF(#REF!="High Charges",3,0)+
IF(#REF!&gt;250,4,0)+
IF(#REF!="no",1,0)+
IF(#REF!="Heavy Domestic User",2,0)</f>
        <v>#REF!</v>
      </c>
      <c r="AG2468" t="e">
        <f>IF(#REF!&gt;=10,"High Risk", IF(#REF!&gt;=5,"Medium Risk","Low Risk"))</f>
        <v>#REF!</v>
      </c>
      <c r="AH2468" t="e">
        <f>#REF! + #REF! + #REF! + #REF!</f>
        <v>#REF!</v>
      </c>
    </row>
    <row r="2469" spans="1:34" x14ac:dyDescent="0.35">
      <c r="A2469">
        <v>2468</v>
      </c>
      <c r="B2469" t="s">
        <v>70</v>
      </c>
      <c r="C2469">
        <v>65</v>
      </c>
      <c r="D2469" t="s">
        <v>21</v>
      </c>
      <c r="E2469" t="s">
        <v>22</v>
      </c>
      <c r="F2469" t="s">
        <v>23</v>
      </c>
      <c r="G2469">
        <v>34</v>
      </c>
      <c r="H2469">
        <v>208.8</v>
      </c>
      <c r="I2469">
        <v>119</v>
      </c>
      <c r="J2469">
        <v>35.5</v>
      </c>
      <c r="K2469">
        <v>142.1</v>
      </c>
      <c r="L2469">
        <v>106</v>
      </c>
      <c r="M2469">
        <v>12.08</v>
      </c>
      <c r="N2469">
        <v>214.6</v>
      </c>
      <c r="O2469">
        <v>87</v>
      </c>
      <c r="P2469">
        <v>9.66</v>
      </c>
      <c r="Q2469">
        <v>12.5</v>
      </c>
      <c r="R2469">
        <v>4</v>
      </c>
      <c r="S2469">
        <v>3.38</v>
      </c>
      <c r="T2469">
        <v>4</v>
      </c>
      <c r="U2469" t="s">
        <v>22</v>
      </c>
      <c r="V2469" t="e">
        <f>IF(#REF! = "yes", 1, 0)</f>
        <v>#REF!</v>
      </c>
      <c r="W2469" t="e">
        <f>IF(#REF! &lt;= 1, "0-1 Calls", IF(#REF! &lt;= 3, "2-3 Calls", IF(#REF! &lt;=5, "4-5 Calls", "6+ Calls")))</f>
        <v>#REF!</v>
      </c>
      <c r="X2469" t="e">
        <f>IF(#REF! &lt;= 50, "0-50", IF(#REF! &lt;=100, "51-100", IF(#REF! &lt;= 150, "101-150", "151+")))</f>
        <v>#REF!</v>
      </c>
      <c r="Y2469" t="e">
        <f>IF(#REF! &lt;= 3, "Low Charges", "High Charges")</f>
        <v>#REF!</v>
      </c>
      <c r="Z2469" t="e">
        <f>IF(#REF!&lt;=80,"Low Calls",
IF(#REF!&lt;=120,"Medium Calls","High Calls"))</f>
        <v>#REF!</v>
      </c>
      <c r="AA2469" t="e">
        <f>IF(#REF!&lt;=15,"Low Charges",
IF(#REF!&lt;=20,"Medium Charges","High Charges"))</f>
        <v>#REF!</v>
      </c>
      <c r="AB2469" t="e">
        <f>IF(AND(#REF!&gt;180, #REF!&gt;200), "Heavy Doemstic User", IF(#REF!&gt;10, "Interntional User", IF(AND(#REF!&lt;180, #REF!&lt;200,#REF!&lt;200), "Light User", "Balanced User")))</f>
        <v>#REF!</v>
      </c>
      <c r="AC2469" t="e">
        <f>IF(#REF! = 0, "No Usage", IF(#REF! &lt;= 20, "Low Usage", IF(#REF! &lt;= 40, "Medium Usgae", "High Usage")))</f>
        <v>#REF!</v>
      </c>
      <c r="AD2469" t="e">
        <f>IF(#REF!&lt;=150,"Low Usage", IF(#REF!&lt;=200,"Medium Usage", IF(#REF!&lt;=250,"High Usage","Very High Usage")))</f>
        <v>#REF!</v>
      </c>
      <c r="AE2469" t="e">
        <f>IF(#REF!&lt;=5,"Low Calls", IF(#REF!&lt;=10, "Medium Calls", "High Calls"))</f>
        <v>#REF!</v>
      </c>
      <c r="AF2469" t="e">
        <f xml:space="preserve">
IF(#REF!&gt;=4,4,0)+
IF(#REF!="yes",3,0)+
IF(#REF!="High Charges",3,0)+
IF(#REF!&gt;250,4,0)+
IF(#REF!="no",1,0)+
IF(#REF!="Heavy Domestic User",2,0)</f>
        <v>#REF!</v>
      </c>
      <c r="AG2469" t="e">
        <f>IF(#REF!&gt;=10,"High Risk", IF(#REF!&gt;=5,"Medium Risk","Low Risk"))</f>
        <v>#REF!</v>
      </c>
      <c r="AH2469" t="e">
        <f>#REF! + #REF! + #REF! + #REF!</f>
        <v>#REF!</v>
      </c>
    </row>
    <row r="2470" spans="1:34" x14ac:dyDescent="0.35">
      <c r="A2470">
        <v>2469</v>
      </c>
      <c r="B2470" t="s">
        <v>44</v>
      </c>
      <c r="C2470">
        <v>58</v>
      </c>
      <c r="D2470" t="s">
        <v>28</v>
      </c>
      <c r="E2470" t="s">
        <v>22</v>
      </c>
      <c r="F2470" t="s">
        <v>22</v>
      </c>
      <c r="G2470">
        <v>0</v>
      </c>
      <c r="H2470">
        <v>210.1</v>
      </c>
      <c r="I2470">
        <v>126</v>
      </c>
      <c r="J2470">
        <v>35.72</v>
      </c>
      <c r="K2470">
        <v>248.9</v>
      </c>
      <c r="L2470">
        <v>108</v>
      </c>
      <c r="M2470">
        <v>21.16</v>
      </c>
      <c r="N2470">
        <v>158.6</v>
      </c>
      <c r="O2470">
        <v>88</v>
      </c>
      <c r="P2470">
        <v>7.14</v>
      </c>
      <c r="Q2470">
        <v>14.4</v>
      </c>
      <c r="R2470">
        <v>2</v>
      </c>
      <c r="S2470">
        <v>3.89</v>
      </c>
      <c r="T2470">
        <v>4</v>
      </c>
      <c r="U2470" t="s">
        <v>22</v>
      </c>
      <c r="V2470" t="e">
        <f>IF(#REF! = "yes", 1, 0)</f>
        <v>#REF!</v>
      </c>
      <c r="W2470" t="e">
        <f>IF(#REF! &lt;= 1, "0-1 Calls", IF(#REF! &lt;= 3, "2-3 Calls", IF(#REF! &lt;=5, "4-5 Calls", "6+ Calls")))</f>
        <v>#REF!</v>
      </c>
      <c r="X2470" t="e">
        <f>IF(#REF! &lt;= 50, "0-50", IF(#REF! &lt;=100, "51-100", IF(#REF! &lt;= 150, "101-150", "151+")))</f>
        <v>#REF!</v>
      </c>
      <c r="Y2470" t="e">
        <f>IF(#REF! &lt;= 3, "Low Charges", "High Charges")</f>
        <v>#REF!</v>
      </c>
      <c r="Z2470" t="e">
        <f>IF(#REF!&lt;=80,"Low Calls",
IF(#REF!&lt;=120,"Medium Calls","High Calls"))</f>
        <v>#REF!</v>
      </c>
      <c r="AA2470" t="e">
        <f>IF(#REF!&lt;=15,"Low Charges",
IF(#REF!&lt;=20,"Medium Charges","High Charges"))</f>
        <v>#REF!</v>
      </c>
      <c r="AB2470" t="e">
        <f>IF(AND(#REF!&gt;180, #REF!&gt;200), "Heavy Doemstic User", IF(#REF!&gt;10, "Interntional User", IF(AND(#REF!&lt;180, #REF!&lt;200,#REF!&lt;200), "Light User", "Balanced User")))</f>
        <v>#REF!</v>
      </c>
      <c r="AC2470" t="e">
        <f>IF(#REF! = 0, "No Usage", IF(#REF! &lt;= 20, "Low Usage", IF(#REF! &lt;= 40, "Medium Usgae", "High Usage")))</f>
        <v>#REF!</v>
      </c>
      <c r="AD2470" t="e">
        <f>IF(#REF!&lt;=150,"Low Usage", IF(#REF!&lt;=200,"Medium Usage", IF(#REF!&lt;=250,"High Usage","Very High Usage")))</f>
        <v>#REF!</v>
      </c>
      <c r="AE2470" t="e">
        <f>IF(#REF!&lt;=5,"Low Calls", IF(#REF!&lt;=10, "Medium Calls", "High Calls"))</f>
        <v>#REF!</v>
      </c>
      <c r="AF2470" t="e">
        <f xml:space="preserve">
IF(#REF!&gt;=4,4,0)+
IF(#REF!="yes",3,0)+
IF(#REF!="High Charges",3,0)+
IF(#REF!&gt;250,4,0)+
IF(#REF!="no",1,0)+
IF(#REF!="Heavy Domestic User",2,0)</f>
        <v>#REF!</v>
      </c>
      <c r="AG2470" t="e">
        <f>IF(#REF!&gt;=10,"High Risk", IF(#REF!&gt;=5,"Medium Risk","Low Risk"))</f>
        <v>#REF!</v>
      </c>
      <c r="AH2470" t="e">
        <f>#REF! + #REF! + #REF! + #REF!</f>
        <v>#REF!</v>
      </c>
    </row>
    <row r="2471" spans="1:34" x14ac:dyDescent="0.35">
      <c r="A2471">
        <v>2470</v>
      </c>
      <c r="B2471" t="s">
        <v>55</v>
      </c>
      <c r="C2471">
        <v>44</v>
      </c>
      <c r="D2471" t="s">
        <v>21</v>
      </c>
      <c r="E2471" t="s">
        <v>22</v>
      </c>
      <c r="F2471" t="s">
        <v>22</v>
      </c>
      <c r="G2471">
        <v>0</v>
      </c>
      <c r="H2471">
        <v>202.6</v>
      </c>
      <c r="I2471">
        <v>89</v>
      </c>
      <c r="J2471">
        <v>34.44</v>
      </c>
      <c r="K2471">
        <v>163</v>
      </c>
      <c r="L2471">
        <v>96</v>
      </c>
      <c r="M2471">
        <v>13.86</v>
      </c>
      <c r="N2471">
        <v>268.10000000000002</v>
      </c>
      <c r="O2471">
        <v>151</v>
      </c>
      <c r="P2471">
        <v>12.06</v>
      </c>
      <c r="Q2471">
        <v>8.3000000000000007</v>
      </c>
      <c r="R2471">
        <v>3</v>
      </c>
      <c r="S2471">
        <v>2.2400000000000002</v>
      </c>
      <c r="T2471">
        <v>0</v>
      </c>
      <c r="U2471" t="s">
        <v>22</v>
      </c>
      <c r="V2471" t="e">
        <f>IF(#REF! = "yes", 1, 0)</f>
        <v>#REF!</v>
      </c>
      <c r="W2471" t="e">
        <f>IF(#REF! &lt;= 1, "0-1 Calls", IF(#REF! &lt;= 3, "2-3 Calls", IF(#REF! &lt;=5, "4-5 Calls", "6+ Calls")))</f>
        <v>#REF!</v>
      </c>
      <c r="X2471" t="e">
        <f>IF(#REF! &lt;= 50, "0-50", IF(#REF! &lt;=100, "51-100", IF(#REF! &lt;= 150, "101-150", "151+")))</f>
        <v>#REF!</v>
      </c>
      <c r="Y2471" t="e">
        <f>IF(#REF! &lt;= 3, "Low Charges", "High Charges")</f>
        <v>#REF!</v>
      </c>
      <c r="Z2471" t="e">
        <f>IF(#REF!&lt;=80,"Low Calls",
IF(#REF!&lt;=120,"Medium Calls","High Calls"))</f>
        <v>#REF!</v>
      </c>
      <c r="AA2471" t="e">
        <f>IF(#REF!&lt;=15,"Low Charges",
IF(#REF!&lt;=20,"Medium Charges","High Charges"))</f>
        <v>#REF!</v>
      </c>
      <c r="AB2471" t="e">
        <f>IF(AND(#REF!&gt;180, #REF!&gt;200), "Heavy Doemstic User", IF(#REF!&gt;10, "Interntional User", IF(AND(#REF!&lt;180, #REF!&lt;200,#REF!&lt;200), "Light User", "Balanced User")))</f>
        <v>#REF!</v>
      </c>
      <c r="AC2471" t="e">
        <f>IF(#REF! = 0, "No Usage", IF(#REF! &lt;= 20, "Low Usage", IF(#REF! &lt;= 40, "Medium Usgae", "High Usage")))</f>
        <v>#REF!</v>
      </c>
      <c r="AD2471" t="e">
        <f>IF(#REF!&lt;=150,"Low Usage", IF(#REF!&lt;=200,"Medium Usage", IF(#REF!&lt;=250,"High Usage","Very High Usage")))</f>
        <v>#REF!</v>
      </c>
      <c r="AE2471" t="e">
        <f>IF(#REF!&lt;=5,"Low Calls", IF(#REF!&lt;=10, "Medium Calls", "High Calls"))</f>
        <v>#REF!</v>
      </c>
      <c r="AF2471" t="e">
        <f xml:space="preserve">
IF(#REF!&gt;=4,4,0)+
IF(#REF!="yes",3,0)+
IF(#REF!="High Charges",3,0)+
IF(#REF!&gt;250,4,0)+
IF(#REF!="no",1,0)+
IF(#REF!="Heavy Domestic User",2,0)</f>
        <v>#REF!</v>
      </c>
      <c r="AG2471" t="e">
        <f>IF(#REF!&gt;=10,"High Risk", IF(#REF!&gt;=5,"Medium Risk","Low Risk"))</f>
        <v>#REF!</v>
      </c>
      <c r="AH2471" t="e">
        <f>#REF! + #REF! + #REF! + #REF!</f>
        <v>#REF!</v>
      </c>
    </row>
    <row r="2472" spans="1:34" x14ac:dyDescent="0.35">
      <c r="A2472">
        <v>2471</v>
      </c>
      <c r="B2472" t="s">
        <v>27</v>
      </c>
      <c r="C2472">
        <v>58</v>
      </c>
      <c r="D2472" t="s">
        <v>25</v>
      </c>
      <c r="E2472" t="s">
        <v>22</v>
      </c>
      <c r="F2472" t="s">
        <v>22</v>
      </c>
      <c r="G2472">
        <v>0</v>
      </c>
      <c r="H2472">
        <v>174.4</v>
      </c>
      <c r="I2472">
        <v>112</v>
      </c>
      <c r="J2472">
        <v>29.65</v>
      </c>
      <c r="K2472">
        <v>265.8</v>
      </c>
      <c r="L2472">
        <v>122</v>
      </c>
      <c r="M2472">
        <v>22.59</v>
      </c>
      <c r="N2472">
        <v>182.4</v>
      </c>
      <c r="O2472">
        <v>87</v>
      </c>
      <c r="P2472">
        <v>8.2100000000000009</v>
      </c>
      <c r="Q2472">
        <v>0</v>
      </c>
      <c r="R2472">
        <v>0</v>
      </c>
      <c r="S2472">
        <v>0</v>
      </c>
      <c r="T2472">
        <v>4</v>
      </c>
      <c r="U2472" t="s">
        <v>22</v>
      </c>
      <c r="V2472" t="e">
        <f>IF(#REF! = "yes", 1, 0)</f>
        <v>#REF!</v>
      </c>
      <c r="W2472" t="e">
        <f>IF(#REF! &lt;= 1, "0-1 Calls", IF(#REF! &lt;= 3, "2-3 Calls", IF(#REF! &lt;=5, "4-5 Calls", "6+ Calls")))</f>
        <v>#REF!</v>
      </c>
      <c r="X2472" t="e">
        <f>IF(#REF! &lt;= 50, "0-50", IF(#REF! &lt;=100, "51-100", IF(#REF! &lt;= 150, "101-150", "151+")))</f>
        <v>#REF!</v>
      </c>
      <c r="Y2472" t="e">
        <f>IF(#REF! &lt;= 3, "Low Charges", "High Charges")</f>
        <v>#REF!</v>
      </c>
      <c r="Z2472" t="e">
        <f>IF(#REF!&lt;=80,"Low Calls",
IF(#REF!&lt;=120,"Medium Calls","High Calls"))</f>
        <v>#REF!</v>
      </c>
      <c r="AA2472" t="e">
        <f>IF(#REF!&lt;=15,"Low Charges",
IF(#REF!&lt;=20,"Medium Charges","High Charges"))</f>
        <v>#REF!</v>
      </c>
      <c r="AB2472" t="e">
        <f>IF(AND(#REF!&gt;180, #REF!&gt;200), "Heavy Doemstic User", IF(#REF!&gt;10, "Interntional User", IF(AND(#REF!&lt;180, #REF!&lt;200,#REF!&lt;200), "Light User", "Balanced User")))</f>
        <v>#REF!</v>
      </c>
      <c r="AC2472" t="e">
        <f>IF(#REF! = 0, "No Usage", IF(#REF! &lt;= 20, "Low Usage", IF(#REF! &lt;= 40, "Medium Usgae", "High Usage")))</f>
        <v>#REF!</v>
      </c>
      <c r="AD2472" t="e">
        <f>IF(#REF!&lt;=150,"Low Usage", IF(#REF!&lt;=200,"Medium Usage", IF(#REF!&lt;=250,"High Usage","Very High Usage")))</f>
        <v>#REF!</v>
      </c>
      <c r="AE2472" t="e">
        <f>IF(#REF!&lt;=5,"Low Calls", IF(#REF!&lt;=10, "Medium Calls", "High Calls"))</f>
        <v>#REF!</v>
      </c>
      <c r="AF2472" t="e">
        <f xml:space="preserve">
IF(#REF!&gt;=4,4,0)+
IF(#REF!="yes",3,0)+
IF(#REF!="High Charges",3,0)+
IF(#REF!&gt;250,4,0)+
IF(#REF!="no",1,0)+
IF(#REF!="Heavy Domestic User",2,0)</f>
        <v>#REF!</v>
      </c>
      <c r="AG2472" t="e">
        <f>IF(#REF!&gt;=10,"High Risk", IF(#REF!&gt;=5,"Medium Risk","Low Risk"))</f>
        <v>#REF!</v>
      </c>
      <c r="AH2472" t="e">
        <f>#REF! + #REF! + #REF! + #REF!</f>
        <v>#REF!</v>
      </c>
    </row>
    <row r="2473" spans="1:34" x14ac:dyDescent="0.35">
      <c r="A2473">
        <v>2472</v>
      </c>
      <c r="B2473" t="s">
        <v>55</v>
      </c>
      <c r="C2473">
        <v>108</v>
      </c>
      <c r="D2473" t="s">
        <v>21</v>
      </c>
      <c r="E2473" t="s">
        <v>22</v>
      </c>
      <c r="F2473" t="s">
        <v>22</v>
      </c>
      <c r="G2473">
        <v>0</v>
      </c>
      <c r="H2473">
        <v>210.6</v>
      </c>
      <c r="I2473">
        <v>117</v>
      </c>
      <c r="J2473">
        <v>35.799999999999997</v>
      </c>
      <c r="K2473">
        <v>164.2</v>
      </c>
      <c r="L2473">
        <v>103</v>
      </c>
      <c r="M2473">
        <v>13.96</v>
      </c>
      <c r="N2473">
        <v>201.4</v>
      </c>
      <c r="O2473">
        <v>68</v>
      </c>
      <c r="P2473">
        <v>9.06</v>
      </c>
      <c r="Q2473">
        <v>9.4</v>
      </c>
      <c r="R2473">
        <v>5</v>
      </c>
      <c r="S2473">
        <v>2.54</v>
      </c>
      <c r="T2473">
        <v>0</v>
      </c>
      <c r="U2473" t="s">
        <v>22</v>
      </c>
      <c r="V2473" t="e">
        <f>IF(#REF! = "yes", 1, 0)</f>
        <v>#REF!</v>
      </c>
      <c r="W2473" t="e">
        <f>IF(#REF! &lt;= 1, "0-1 Calls", IF(#REF! &lt;= 3, "2-3 Calls", IF(#REF! &lt;=5, "4-5 Calls", "6+ Calls")))</f>
        <v>#REF!</v>
      </c>
      <c r="X2473" t="e">
        <f>IF(#REF! &lt;= 50, "0-50", IF(#REF! &lt;=100, "51-100", IF(#REF! &lt;= 150, "101-150", "151+")))</f>
        <v>#REF!</v>
      </c>
      <c r="Y2473" t="e">
        <f>IF(#REF! &lt;= 3, "Low Charges", "High Charges")</f>
        <v>#REF!</v>
      </c>
      <c r="Z2473" t="e">
        <f>IF(#REF!&lt;=80,"Low Calls",
IF(#REF!&lt;=120,"Medium Calls","High Calls"))</f>
        <v>#REF!</v>
      </c>
      <c r="AA2473" t="e">
        <f>IF(#REF!&lt;=15,"Low Charges",
IF(#REF!&lt;=20,"Medium Charges","High Charges"))</f>
        <v>#REF!</v>
      </c>
      <c r="AB2473" t="e">
        <f>IF(AND(#REF!&gt;180, #REF!&gt;200), "Heavy Doemstic User", IF(#REF!&gt;10, "Interntional User", IF(AND(#REF!&lt;180, #REF!&lt;200,#REF!&lt;200), "Light User", "Balanced User")))</f>
        <v>#REF!</v>
      </c>
      <c r="AC2473" t="e">
        <f>IF(#REF! = 0, "No Usage", IF(#REF! &lt;= 20, "Low Usage", IF(#REF! &lt;= 40, "Medium Usgae", "High Usage")))</f>
        <v>#REF!</v>
      </c>
      <c r="AD2473" t="e">
        <f>IF(#REF!&lt;=150,"Low Usage", IF(#REF!&lt;=200,"Medium Usage", IF(#REF!&lt;=250,"High Usage","Very High Usage")))</f>
        <v>#REF!</v>
      </c>
      <c r="AE2473" t="e">
        <f>IF(#REF!&lt;=5,"Low Calls", IF(#REF!&lt;=10, "Medium Calls", "High Calls"))</f>
        <v>#REF!</v>
      </c>
      <c r="AF2473" t="e">
        <f xml:space="preserve">
IF(#REF!&gt;=4,4,0)+
IF(#REF!="yes",3,0)+
IF(#REF!="High Charges",3,0)+
IF(#REF!&gt;250,4,0)+
IF(#REF!="no",1,0)+
IF(#REF!="Heavy Domestic User",2,0)</f>
        <v>#REF!</v>
      </c>
      <c r="AG2473" t="e">
        <f>IF(#REF!&gt;=10,"High Risk", IF(#REF!&gt;=5,"Medium Risk","Low Risk"))</f>
        <v>#REF!</v>
      </c>
      <c r="AH2473" t="e">
        <f>#REF! + #REF! + #REF! + #REF!</f>
        <v>#REF!</v>
      </c>
    </row>
    <row r="2474" spans="1:34" x14ac:dyDescent="0.35">
      <c r="A2474">
        <v>2473</v>
      </c>
      <c r="B2474" t="s">
        <v>60</v>
      </c>
      <c r="C2474">
        <v>132</v>
      </c>
      <c r="D2474" t="s">
        <v>28</v>
      </c>
      <c r="E2474" t="s">
        <v>22</v>
      </c>
      <c r="F2474" t="s">
        <v>22</v>
      </c>
      <c r="G2474">
        <v>0</v>
      </c>
      <c r="H2474">
        <v>121.5</v>
      </c>
      <c r="I2474">
        <v>88</v>
      </c>
      <c r="J2474">
        <v>20.66</v>
      </c>
      <c r="K2474">
        <v>253</v>
      </c>
      <c r="L2474">
        <v>124</v>
      </c>
      <c r="M2474">
        <v>21.51</v>
      </c>
      <c r="N2474">
        <v>195.7</v>
      </c>
      <c r="O2474">
        <v>120</v>
      </c>
      <c r="P2474">
        <v>8.81</v>
      </c>
      <c r="Q2474">
        <v>10.7</v>
      </c>
      <c r="R2474">
        <v>4</v>
      </c>
      <c r="S2474">
        <v>2.89</v>
      </c>
      <c r="T2474">
        <v>1</v>
      </c>
      <c r="U2474" t="s">
        <v>22</v>
      </c>
      <c r="V2474" t="e">
        <f>IF(#REF! = "yes", 1, 0)</f>
        <v>#REF!</v>
      </c>
      <c r="W2474" t="e">
        <f>IF(#REF! &lt;= 1, "0-1 Calls", IF(#REF! &lt;= 3, "2-3 Calls", IF(#REF! &lt;=5, "4-5 Calls", "6+ Calls")))</f>
        <v>#REF!</v>
      </c>
      <c r="X2474" t="e">
        <f>IF(#REF! &lt;= 50, "0-50", IF(#REF! &lt;=100, "51-100", IF(#REF! &lt;= 150, "101-150", "151+")))</f>
        <v>#REF!</v>
      </c>
      <c r="Y2474" t="e">
        <f>IF(#REF! &lt;= 3, "Low Charges", "High Charges")</f>
        <v>#REF!</v>
      </c>
      <c r="Z2474" t="e">
        <f>IF(#REF!&lt;=80,"Low Calls",
IF(#REF!&lt;=120,"Medium Calls","High Calls"))</f>
        <v>#REF!</v>
      </c>
      <c r="AA2474" t="e">
        <f>IF(#REF!&lt;=15,"Low Charges",
IF(#REF!&lt;=20,"Medium Charges","High Charges"))</f>
        <v>#REF!</v>
      </c>
      <c r="AB2474" t="e">
        <f>IF(AND(#REF!&gt;180, #REF!&gt;200), "Heavy Doemstic User", IF(#REF!&gt;10, "Interntional User", IF(AND(#REF!&lt;180, #REF!&lt;200,#REF!&lt;200), "Light User", "Balanced User")))</f>
        <v>#REF!</v>
      </c>
      <c r="AC2474" t="e">
        <f>IF(#REF! = 0, "No Usage", IF(#REF! &lt;= 20, "Low Usage", IF(#REF! &lt;= 40, "Medium Usgae", "High Usage")))</f>
        <v>#REF!</v>
      </c>
      <c r="AD2474" t="e">
        <f>IF(#REF!&lt;=150,"Low Usage", IF(#REF!&lt;=200,"Medium Usage", IF(#REF!&lt;=250,"High Usage","Very High Usage")))</f>
        <v>#REF!</v>
      </c>
      <c r="AE2474" t="e">
        <f>IF(#REF!&lt;=5,"Low Calls", IF(#REF!&lt;=10, "Medium Calls", "High Calls"))</f>
        <v>#REF!</v>
      </c>
      <c r="AF2474" t="e">
        <f xml:space="preserve">
IF(#REF!&gt;=4,4,0)+
IF(#REF!="yes",3,0)+
IF(#REF!="High Charges",3,0)+
IF(#REF!&gt;250,4,0)+
IF(#REF!="no",1,0)+
IF(#REF!="Heavy Domestic User",2,0)</f>
        <v>#REF!</v>
      </c>
      <c r="AG2474" t="e">
        <f>IF(#REF!&gt;=10,"High Risk", IF(#REF!&gt;=5,"Medium Risk","Low Risk"))</f>
        <v>#REF!</v>
      </c>
      <c r="AH2474" t="e">
        <f>#REF! + #REF! + #REF! + #REF!</f>
        <v>#REF!</v>
      </c>
    </row>
    <row r="2475" spans="1:34" x14ac:dyDescent="0.35">
      <c r="A2475">
        <v>2474</v>
      </c>
      <c r="B2475" t="s">
        <v>69</v>
      </c>
      <c r="C2475">
        <v>80</v>
      </c>
      <c r="D2475" t="s">
        <v>21</v>
      </c>
      <c r="E2475" t="s">
        <v>22</v>
      </c>
      <c r="F2475" t="s">
        <v>22</v>
      </c>
      <c r="G2475">
        <v>0</v>
      </c>
      <c r="H2475">
        <v>127.8</v>
      </c>
      <c r="I2475">
        <v>67</v>
      </c>
      <c r="J2475">
        <v>21.73</v>
      </c>
      <c r="K2475">
        <v>181.6</v>
      </c>
      <c r="L2475">
        <v>112</v>
      </c>
      <c r="M2475">
        <v>15.44</v>
      </c>
      <c r="N2475">
        <v>197.3</v>
      </c>
      <c r="O2475">
        <v>63</v>
      </c>
      <c r="P2475">
        <v>8.8800000000000008</v>
      </c>
      <c r="Q2475">
        <v>15.9</v>
      </c>
      <c r="R2475">
        <v>2</v>
      </c>
      <c r="S2475">
        <v>4.29</v>
      </c>
      <c r="T2475">
        <v>2</v>
      </c>
      <c r="U2475" t="s">
        <v>22</v>
      </c>
      <c r="V2475" t="e">
        <f>IF(#REF! = "yes", 1, 0)</f>
        <v>#REF!</v>
      </c>
      <c r="W2475" t="e">
        <f>IF(#REF! &lt;= 1, "0-1 Calls", IF(#REF! &lt;= 3, "2-3 Calls", IF(#REF! &lt;=5, "4-5 Calls", "6+ Calls")))</f>
        <v>#REF!</v>
      </c>
      <c r="X2475" t="e">
        <f>IF(#REF! &lt;= 50, "0-50", IF(#REF! &lt;=100, "51-100", IF(#REF! &lt;= 150, "101-150", "151+")))</f>
        <v>#REF!</v>
      </c>
      <c r="Y2475" t="e">
        <f>IF(#REF! &lt;= 3, "Low Charges", "High Charges")</f>
        <v>#REF!</v>
      </c>
      <c r="Z2475" t="e">
        <f>IF(#REF!&lt;=80,"Low Calls",
IF(#REF!&lt;=120,"Medium Calls","High Calls"))</f>
        <v>#REF!</v>
      </c>
      <c r="AA2475" t="e">
        <f>IF(#REF!&lt;=15,"Low Charges",
IF(#REF!&lt;=20,"Medium Charges","High Charges"))</f>
        <v>#REF!</v>
      </c>
      <c r="AB2475" t="e">
        <f>IF(AND(#REF!&gt;180, #REF!&gt;200), "Heavy Doemstic User", IF(#REF!&gt;10, "Interntional User", IF(AND(#REF!&lt;180, #REF!&lt;200,#REF!&lt;200), "Light User", "Balanced User")))</f>
        <v>#REF!</v>
      </c>
      <c r="AC2475" t="e">
        <f>IF(#REF! = 0, "No Usage", IF(#REF! &lt;= 20, "Low Usage", IF(#REF! &lt;= 40, "Medium Usgae", "High Usage")))</f>
        <v>#REF!</v>
      </c>
      <c r="AD2475" t="e">
        <f>IF(#REF!&lt;=150,"Low Usage", IF(#REF!&lt;=200,"Medium Usage", IF(#REF!&lt;=250,"High Usage","Very High Usage")))</f>
        <v>#REF!</v>
      </c>
      <c r="AE2475" t="e">
        <f>IF(#REF!&lt;=5,"Low Calls", IF(#REF!&lt;=10, "Medium Calls", "High Calls"))</f>
        <v>#REF!</v>
      </c>
      <c r="AF2475" t="e">
        <f xml:space="preserve">
IF(#REF!&gt;=4,4,0)+
IF(#REF!="yes",3,0)+
IF(#REF!="High Charges",3,0)+
IF(#REF!&gt;250,4,0)+
IF(#REF!="no",1,0)+
IF(#REF!="Heavy Domestic User",2,0)</f>
        <v>#REF!</v>
      </c>
      <c r="AG2475" t="e">
        <f>IF(#REF!&gt;=10,"High Risk", IF(#REF!&gt;=5,"Medium Risk","Low Risk"))</f>
        <v>#REF!</v>
      </c>
      <c r="AH2475" t="e">
        <f>#REF! + #REF! + #REF! + #REF!</f>
        <v>#REF!</v>
      </c>
    </row>
    <row r="2476" spans="1:34" x14ac:dyDescent="0.35">
      <c r="A2476">
        <v>2475</v>
      </c>
      <c r="B2476" t="s">
        <v>20</v>
      </c>
      <c r="C2476">
        <v>162</v>
      </c>
      <c r="D2476" t="s">
        <v>21</v>
      </c>
      <c r="E2476" t="s">
        <v>22</v>
      </c>
      <c r="F2476" t="s">
        <v>22</v>
      </c>
      <c r="G2476">
        <v>0</v>
      </c>
      <c r="H2476">
        <v>135.19999999999999</v>
      </c>
      <c r="I2476">
        <v>98</v>
      </c>
      <c r="J2476">
        <v>22.98</v>
      </c>
      <c r="K2476">
        <v>242</v>
      </c>
      <c r="L2476">
        <v>107</v>
      </c>
      <c r="M2476">
        <v>20.57</v>
      </c>
      <c r="N2476">
        <v>246.9</v>
      </c>
      <c r="O2476">
        <v>96</v>
      </c>
      <c r="P2476">
        <v>11.11</v>
      </c>
      <c r="Q2476">
        <v>10.199999999999999</v>
      </c>
      <c r="R2476">
        <v>2</v>
      </c>
      <c r="S2476">
        <v>2.75</v>
      </c>
      <c r="T2476">
        <v>2</v>
      </c>
      <c r="U2476" t="s">
        <v>22</v>
      </c>
      <c r="V2476" t="e">
        <f>IF(#REF! = "yes", 1, 0)</f>
        <v>#REF!</v>
      </c>
      <c r="W2476" t="e">
        <f>IF(#REF! &lt;= 1, "0-1 Calls", IF(#REF! &lt;= 3, "2-3 Calls", IF(#REF! &lt;=5, "4-5 Calls", "6+ Calls")))</f>
        <v>#REF!</v>
      </c>
      <c r="X2476" t="e">
        <f>IF(#REF! &lt;= 50, "0-50", IF(#REF! &lt;=100, "51-100", IF(#REF! &lt;= 150, "101-150", "151+")))</f>
        <v>#REF!</v>
      </c>
      <c r="Y2476" t="e">
        <f>IF(#REF! &lt;= 3, "Low Charges", "High Charges")</f>
        <v>#REF!</v>
      </c>
      <c r="Z2476" t="e">
        <f>IF(#REF!&lt;=80,"Low Calls",
IF(#REF!&lt;=120,"Medium Calls","High Calls"))</f>
        <v>#REF!</v>
      </c>
      <c r="AA2476" t="e">
        <f>IF(#REF!&lt;=15,"Low Charges",
IF(#REF!&lt;=20,"Medium Charges","High Charges"))</f>
        <v>#REF!</v>
      </c>
      <c r="AB2476" t="e">
        <f>IF(AND(#REF!&gt;180, #REF!&gt;200), "Heavy Doemstic User", IF(#REF!&gt;10, "Interntional User", IF(AND(#REF!&lt;180, #REF!&lt;200,#REF!&lt;200), "Light User", "Balanced User")))</f>
        <v>#REF!</v>
      </c>
      <c r="AC2476" t="e">
        <f>IF(#REF! = 0, "No Usage", IF(#REF! &lt;= 20, "Low Usage", IF(#REF! &lt;= 40, "Medium Usgae", "High Usage")))</f>
        <v>#REF!</v>
      </c>
      <c r="AD2476" t="e">
        <f>IF(#REF!&lt;=150,"Low Usage", IF(#REF!&lt;=200,"Medium Usage", IF(#REF!&lt;=250,"High Usage","Very High Usage")))</f>
        <v>#REF!</v>
      </c>
      <c r="AE2476" t="e">
        <f>IF(#REF!&lt;=5,"Low Calls", IF(#REF!&lt;=10, "Medium Calls", "High Calls"))</f>
        <v>#REF!</v>
      </c>
      <c r="AF2476" t="e">
        <f xml:space="preserve">
IF(#REF!&gt;=4,4,0)+
IF(#REF!="yes",3,0)+
IF(#REF!="High Charges",3,0)+
IF(#REF!&gt;250,4,0)+
IF(#REF!="no",1,0)+
IF(#REF!="Heavy Domestic User",2,0)</f>
        <v>#REF!</v>
      </c>
      <c r="AG2476" t="e">
        <f>IF(#REF!&gt;=10,"High Risk", IF(#REF!&gt;=5,"Medium Risk","Low Risk"))</f>
        <v>#REF!</v>
      </c>
      <c r="AH2476" t="e">
        <f>#REF! + #REF! + #REF! + #REF!</f>
        <v>#REF!</v>
      </c>
    </row>
    <row r="2477" spans="1:34" x14ac:dyDescent="0.35">
      <c r="A2477">
        <v>2476</v>
      </c>
      <c r="B2477" t="s">
        <v>65</v>
      </c>
      <c r="C2477">
        <v>110</v>
      </c>
      <c r="D2477" t="s">
        <v>28</v>
      </c>
      <c r="E2477" t="s">
        <v>22</v>
      </c>
      <c r="F2477" t="s">
        <v>22</v>
      </c>
      <c r="G2477">
        <v>0</v>
      </c>
      <c r="H2477">
        <v>99.4</v>
      </c>
      <c r="I2477">
        <v>62</v>
      </c>
      <c r="J2477">
        <v>16.899999999999999</v>
      </c>
      <c r="K2477">
        <v>275</v>
      </c>
      <c r="L2477">
        <v>86</v>
      </c>
      <c r="M2477">
        <v>23.38</v>
      </c>
      <c r="N2477">
        <v>212.1</v>
      </c>
      <c r="O2477">
        <v>94</v>
      </c>
      <c r="P2477">
        <v>9.5399999999999991</v>
      </c>
      <c r="Q2477">
        <v>16.7</v>
      </c>
      <c r="R2477">
        <v>3</v>
      </c>
      <c r="S2477">
        <v>4.51</v>
      </c>
      <c r="T2477">
        <v>2</v>
      </c>
      <c r="U2477" t="s">
        <v>22</v>
      </c>
      <c r="V2477" t="e">
        <f>IF(#REF! = "yes", 1, 0)</f>
        <v>#REF!</v>
      </c>
      <c r="W2477" t="e">
        <f>IF(#REF! &lt;= 1, "0-1 Calls", IF(#REF! &lt;= 3, "2-3 Calls", IF(#REF! &lt;=5, "4-5 Calls", "6+ Calls")))</f>
        <v>#REF!</v>
      </c>
      <c r="X2477" t="e">
        <f>IF(#REF! &lt;= 50, "0-50", IF(#REF! &lt;=100, "51-100", IF(#REF! &lt;= 150, "101-150", "151+")))</f>
        <v>#REF!</v>
      </c>
      <c r="Y2477" t="e">
        <f>IF(#REF! &lt;= 3, "Low Charges", "High Charges")</f>
        <v>#REF!</v>
      </c>
      <c r="Z2477" t="e">
        <f>IF(#REF!&lt;=80,"Low Calls",
IF(#REF!&lt;=120,"Medium Calls","High Calls"))</f>
        <v>#REF!</v>
      </c>
      <c r="AA2477" t="e">
        <f>IF(#REF!&lt;=15,"Low Charges",
IF(#REF!&lt;=20,"Medium Charges","High Charges"))</f>
        <v>#REF!</v>
      </c>
      <c r="AB2477" t="e">
        <f>IF(AND(#REF!&gt;180, #REF!&gt;200), "Heavy Doemstic User", IF(#REF!&gt;10, "Interntional User", IF(AND(#REF!&lt;180, #REF!&lt;200,#REF!&lt;200), "Light User", "Balanced User")))</f>
        <v>#REF!</v>
      </c>
      <c r="AC2477" t="e">
        <f>IF(#REF! = 0, "No Usage", IF(#REF! &lt;= 20, "Low Usage", IF(#REF! &lt;= 40, "Medium Usgae", "High Usage")))</f>
        <v>#REF!</v>
      </c>
      <c r="AD2477" t="e">
        <f>IF(#REF!&lt;=150,"Low Usage", IF(#REF!&lt;=200,"Medium Usage", IF(#REF!&lt;=250,"High Usage","Very High Usage")))</f>
        <v>#REF!</v>
      </c>
      <c r="AE2477" t="e">
        <f>IF(#REF!&lt;=5,"Low Calls", IF(#REF!&lt;=10, "Medium Calls", "High Calls"))</f>
        <v>#REF!</v>
      </c>
      <c r="AF2477" t="e">
        <f xml:space="preserve">
IF(#REF!&gt;=4,4,0)+
IF(#REF!="yes",3,0)+
IF(#REF!="High Charges",3,0)+
IF(#REF!&gt;250,4,0)+
IF(#REF!="no",1,0)+
IF(#REF!="Heavy Domestic User",2,0)</f>
        <v>#REF!</v>
      </c>
      <c r="AG2477" t="e">
        <f>IF(#REF!&gt;=10,"High Risk", IF(#REF!&gt;=5,"Medium Risk","Low Risk"))</f>
        <v>#REF!</v>
      </c>
      <c r="AH2477" t="e">
        <f>#REF! + #REF! + #REF! + #REF!</f>
        <v>#REF!</v>
      </c>
    </row>
    <row r="2478" spans="1:34" x14ac:dyDescent="0.35">
      <c r="A2478">
        <v>2477</v>
      </c>
      <c r="B2478" t="s">
        <v>59</v>
      </c>
      <c r="C2478">
        <v>96</v>
      </c>
      <c r="D2478" t="s">
        <v>21</v>
      </c>
      <c r="E2478" t="s">
        <v>22</v>
      </c>
      <c r="F2478" t="s">
        <v>22</v>
      </c>
      <c r="G2478">
        <v>0</v>
      </c>
      <c r="H2478">
        <v>276.89999999999998</v>
      </c>
      <c r="I2478">
        <v>105</v>
      </c>
      <c r="J2478">
        <v>47.07</v>
      </c>
      <c r="K2478">
        <v>246.9</v>
      </c>
      <c r="L2478">
        <v>94</v>
      </c>
      <c r="M2478">
        <v>20.99</v>
      </c>
      <c r="N2478">
        <v>254.4</v>
      </c>
      <c r="O2478">
        <v>107</v>
      </c>
      <c r="P2478">
        <v>11.45</v>
      </c>
      <c r="Q2478">
        <v>10.3</v>
      </c>
      <c r="R2478">
        <v>3</v>
      </c>
      <c r="S2478">
        <v>2.78</v>
      </c>
      <c r="T2478">
        <v>1</v>
      </c>
      <c r="U2478" t="s">
        <v>23</v>
      </c>
      <c r="V2478" t="e">
        <f>IF(#REF! = "yes", 1, 0)</f>
        <v>#REF!</v>
      </c>
      <c r="W2478" t="e">
        <f>IF(#REF! &lt;= 1, "0-1 Calls", IF(#REF! &lt;= 3, "2-3 Calls", IF(#REF! &lt;=5, "4-5 Calls", "6+ Calls")))</f>
        <v>#REF!</v>
      </c>
      <c r="X2478" t="e">
        <f>IF(#REF! &lt;= 50, "0-50", IF(#REF! &lt;=100, "51-100", IF(#REF! &lt;= 150, "101-150", "151+")))</f>
        <v>#REF!</v>
      </c>
      <c r="Y2478" t="e">
        <f>IF(#REF! &lt;= 3, "Low Charges", "High Charges")</f>
        <v>#REF!</v>
      </c>
      <c r="Z2478" t="e">
        <f>IF(#REF!&lt;=80,"Low Calls",
IF(#REF!&lt;=120,"Medium Calls","High Calls"))</f>
        <v>#REF!</v>
      </c>
      <c r="AA2478" t="e">
        <f>IF(#REF!&lt;=15,"Low Charges",
IF(#REF!&lt;=20,"Medium Charges","High Charges"))</f>
        <v>#REF!</v>
      </c>
      <c r="AB2478" t="e">
        <f>IF(AND(#REF!&gt;180, #REF!&gt;200), "Heavy Doemstic User", IF(#REF!&gt;10, "Interntional User", IF(AND(#REF!&lt;180, #REF!&lt;200,#REF!&lt;200), "Light User", "Balanced User")))</f>
        <v>#REF!</v>
      </c>
      <c r="AC2478" t="e">
        <f>IF(#REF! = 0, "No Usage", IF(#REF! &lt;= 20, "Low Usage", IF(#REF! &lt;= 40, "Medium Usgae", "High Usage")))</f>
        <v>#REF!</v>
      </c>
      <c r="AD2478" t="e">
        <f>IF(#REF!&lt;=150,"Low Usage", IF(#REF!&lt;=200,"Medium Usage", IF(#REF!&lt;=250,"High Usage","Very High Usage")))</f>
        <v>#REF!</v>
      </c>
      <c r="AE2478" t="e">
        <f>IF(#REF!&lt;=5,"Low Calls", IF(#REF!&lt;=10, "Medium Calls", "High Calls"))</f>
        <v>#REF!</v>
      </c>
      <c r="AF2478" t="e">
        <f xml:space="preserve">
IF(#REF!&gt;=4,4,0)+
IF(#REF!="yes",3,0)+
IF(#REF!="High Charges",3,0)+
IF(#REF!&gt;250,4,0)+
IF(#REF!="no",1,0)+
IF(#REF!="Heavy Domestic User",2,0)</f>
        <v>#REF!</v>
      </c>
      <c r="AG2478" t="e">
        <f>IF(#REF!&gt;=10,"High Risk", IF(#REF!&gt;=5,"Medium Risk","Low Risk"))</f>
        <v>#REF!</v>
      </c>
      <c r="AH2478" t="e">
        <f>#REF! + #REF! + #REF! + #REF!</f>
        <v>#REF!</v>
      </c>
    </row>
    <row r="2479" spans="1:34" x14ac:dyDescent="0.35">
      <c r="A2479">
        <v>2478</v>
      </c>
      <c r="B2479" t="s">
        <v>32</v>
      </c>
      <c r="C2479">
        <v>72</v>
      </c>
      <c r="D2479" t="s">
        <v>28</v>
      </c>
      <c r="E2479" t="s">
        <v>22</v>
      </c>
      <c r="F2479" t="s">
        <v>22</v>
      </c>
      <c r="G2479">
        <v>0</v>
      </c>
      <c r="H2479">
        <v>287.39999999999998</v>
      </c>
      <c r="I2479">
        <v>116</v>
      </c>
      <c r="J2479">
        <v>48.86</v>
      </c>
      <c r="K2479">
        <v>235.3</v>
      </c>
      <c r="L2479">
        <v>126</v>
      </c>
      <c r="M2479">
        <v>20</v>
      </c>
      <c r="N2479">
        <v>292.10000000000002</v>
      </c>
      <c r="O2479">
        <v>114</v>
      </c>
      <c r="P2479">
        <v>13.14</v>
      </c>
      <c r="Q2479">
        <v>5</v>
      </c>
      <c r="R2479">
        <v>3</v>
      </c>
      <c r="S2479">
        <v>1.35</v>
      </c>
      <c r="T2479">
        <v>4</v>
      </c>
      <c r="U2479" t="s">
        <v>23</v>
      </c>
      <c r="V2479" t="e">
        <f>IF(#REF! = "yes", 1, 0)</f>
        <v>#REF!</v>
      </c>
      <c r="W2479" t="e">
        <f>IF(#REF! &lt;= 1, "0-1 Calls", IF(#REF! &lt;= 3, "2-3 Calls", IF(#REF! &lt;=5, "4-5 Calls", "6+ Calls")))</f>
        <v>#REF!</v>
      </c>
      <c r="X2479" t="e">
        <f>IF(#REF! &lt;= 50, "0-50", IF(#REF! &lt;=100, "51-100", IF(#REF! &lt;= 150, "101-150", "151+")))</f>
        <v>#REF!</v>
      </c>
      <c r="Y2479" t="e">
        <f>IF(#REF! &lt;= 3, "Low Charges", "High Charges")</f>
        <v>#REF!</v>
      </c>
      <c r="Z2479" t="e">
        <f>IF(#REF!&lt;=80,"Low Calls",
IF(#REF!&lt;=120,"Medium Calls","High Calls"))</f>
        <v>#REF!</v>
      </c>
      <c r="AA2479" t="e">
        <f>IF(#REF!&lt;=15,"Low Charges",
IF(#REF!&lt;=20,"Medium Charges","High Charges"))</f>
        <v>#REF!</v>
      </c>
      <c r="AB2479" t="e">
        <f>IF(AND(#REF!&gt;180, #REF!&gt;200), "Heavy Doemstic User", IF(#REF!&gt;10, "Interntional User", IF(AND(#REF!&lt;180, #REF!&lt;200,#REF!&lt;200), "Light User", "Balanced User")))</f>
        <v>#REF!</v>
      </c>
      <c r="AC2479" t="e">
        <f>IF(#REF! = 0, "No Usage", IF(#REF! &lt;= 20, "Low Usage", IF(#REF! &lt;= 40, "Medium Usgae", "High Usage")))</f>
        <v>#REF!</v>
      </c>
      <c r="AD2479" t="e">
        <f>IF(#REF!&lt;=150,"Low Usage", IF(#REF!&lt;=200,"Medium Usage", IF(#REF!&lt;=250,"High Usage","Very High Usage")))</f>
        <v>#REF!</v>
      </c>
      <c r="AE2479" t="e">
        <f>IF(#REF!&lt;=5,"Low Calls", IF(#REF!&lt;=10, "Medium Calls", "High Calls"))</f>
        <v>#REF!</v>
      </c>
      <c r="AF2479" t="e">
        <f xml:space="preserve">
IF(#REF!&gt;=4,4,0)+
IF(#REF!="yes",3,0)+
IF(#REF!="High Charges",3,0)+
IF(#REF!&gt;250,4,0)+
IF(#REF!="no",1,0)+
IF(#REF!="Heavy Domestic User",2,0)</f>
        <v>#REF!</v>
      </c>
      <c r="AG2479" t="e">
        <f>IF(#REF!&gt;=10,"High Risk", IF(#REF!&gt;=5,"Medium Risk","Low Risk"))</f>
        <v>#REF!</v>
      </c>
      <c r="AH2479" t="e">
        <f>#REF! + #REF! + #REF! + #REF!</f>
        <v>#REF!</v>
      </c>
    </row>
    <row r="2480" spans="1:34" x14ac:dyDescent="0.35">
      <c r="A2480">
        <v>2479</v>
      </c>
      <c r="B2480" t="s">
        <v>41</v>
      </c>
      <c r="C2480">
        <v>125</v>
      </c>
      <c r="D2480" t="s">
        <v>25</v>
      </c>
      <c r="E2480" t="s">
        <v>22</v>
      </c>
      <c r="F2480" t="s">
        <v>23</v>
      </c>
      <c r="G2480">
        <v>23</v>
      </c>
      <c r="H2480">
        <v>120.5</v>
      </c>
      <c r="I2480">
        <v>104</v>
      </c>
      <c r="J2480">
        <v>20.49</v>
      </c>
      <c r="K2480">
        <v>227.8</v>
      </c>
      <c r="L2480">
        <v>115</v>
      </c>
      <c r="M2480">
        <v>19.36</v>
      </c>
      <c r="N2480">
        <v>158.5</v>
      </c>
      <c r="O2480">
        <v>100</v>
      </c>
      <c r="P2480">
        <v>7.13</v>
      </c>
      <c r="Q2480">
        <v>10.199999999999999</v>
      </c>
      <c r="R2480">
        <v>3</v>
      </c>
      <c r="S2480">
        <v>2.75</v>
      </c>
      <c r="T2480">
        <v>1</v>
      </c>
      <c r="U2480" t="s">
        <v>22</v>
      </c>
      <c r="V2480" t="e">
        <f>IF(#REF! = "yes", 1, 0)</f>
        <v>#REF!</v>
      </c>
      <c r="W2480" t="e">
        <f>IF(#REF! &lt;= 1, "0-1 Calls", IF(#REF! &lt;= 3, "2-3 Calls", IF(#REF! &lt;=5, "4-5 Calls", "6+ Calls")))</f>
        <v>#REF!</v>
      </c>
      <c r="X2480" t="e">
        <f>IF(#REF! &lt;= 50, "0-50", IF(#REF! &lt;=100, "51-100", IF(#REF! &lt;= 150, "101-150", "151+")))</f>
        <v>#REF!</v>
      </c>
      <c r="Y2480" t="e">
        <f>IF(#REF! &lt;= 3, "Low Charges", "High Charges")</f>
        <v>#REF!</v>
      </c>
      <c r="Z2480" t="e">
        <f>IF(#REF!&lt;=80,"Low Calls",
IF(#REF!&lt;=120,"Medium Calls","High Calls"))</f>
        <v>#REF!</v>
      </c>
      <c r="AA2480" t="e">
        <f>IF(#REF!&lt;=15,"Low Charges",
IF(#REF!&lt;=20,"Medium Charges","High Charges"))</f>
        <v>#REF!</v>
      </c>
      <c r="AB2480" t="e">
        <f>IF(AND(#REF!&gt;180, #REF!&gt;200), "Heavy Doemstic User", IF(#REF!&gt;10, "Interntional User", IF(AND(#REF!&lt;180, #REF!&lt;200,#REF!&lt;200), "Light User", "Balanced User")))</f>
        <v>#REF!</v>
      </c>
      <c r="AC2480" t="e">
        <f>IF(#REF! = 0, "No Usage", IF(#REF! &lt;= 20, "Low Usage", IF(#REF! &lt;= 40, "Medium Usgae", "High Usage")))</f>
        <v>#REF!</v>
      </c>
      <c r="AD2480" t="e">
        <f>IF(#REF!&lt;=150,"Low Usage", IF(#REF!&lt;=200,"Medium Usage", IF(#REF!&lt;=250,"High Usage","Very High Usage")))</f>
        <v>#REF!</v>
      </c>
      <c r="AE2480" t="e">
        <f>IF(#REF!&lt;=5,"Low Calls", IF(#REF!&lt;=10, "Medium Calls", "High Calls"))</f>
        <v>#REF!</v>
      </c>
      <c r="AF2480" t="e">
        <f xml:space="preserve">
IF(#REF!&gt;=4,4,0)+
IF(#REF!="yes",3,0)+
IF(#REF!="High Charges",3,0)+
IF(#REF!&gt;250,4,0)+
IF(#REF!="no",1,0)+
IF(#REF!="Heavy Domestic User",2,0)</f>
        <v>#REF!</v>
      </c>
      <c r="AG2480" t="e">
        <f>IF(#REF!&gt;=10,"High Risk", IF(#REF!&gt;=5,"Medium Risk","Low Risk"))</f>
        <v>#REF!</v>
      </c>
      <c r="AH2480" t="e">
        <f>#REF! + #REF! + #REF! + #REF!</f>
        <v>#REF!</v>
      </c>
    </row>
    <row r="2481" spans="1:34" x14ac:dyDescent="0.35">
      <c r="A2481">
        <v>2480</v>
      </c>
      <c r="B2481" t="s">
        <v>63</v>
      </c>
      <c r="C2481">
        <v>170</v>
      </c>
      <c r="D2481" t="s">
        <v>28</v>
      </c>
      <c r="E2481" t="s">
        <v>22</v>
      </c>
      <c r="F2481" t="s">
        <v>22</v>
      </c>
      <c r="G2481">
        <v>0</v>
      </c>
      <c r="H2481">
        <v>184.1</v>
      </c>
      <c r="I2481">
        <v>106</v>
      </c>
      <c r="J2481">
        <v>31.3</v>
      </c>
      <c r="K2481">
        <v>204.9</v>
      </c>
      <c r="L2481">
        <v>70</v>
      </c>
      <c r="M2481">
        <v>17.420000000000002</v>
      </c>
      <c r="N2481">
        <v>224.3</v>
      </c>
      <c r="O2481">
        <v>133</v>
      </c>
      <c r="P2481">
        <v>10.09</v>
      </c>
      <c r="Q2481">
        <v>9.8000000000000007</v>
      </c>
      <c r="R2481">
        <v>3</v>
      </c>
      <c r="S2481">
        <v>2.65</v>
      </c>
      <c r="T2481">
        <v>2</v>
      </c>
      <c r="U2481" t="s">
        <v>22</v>
      </c>
      <c r="V2481" t="e">
        <f>IF(#REF! = "yes", 1, 0)</f>
        <v>#REF!</v>
      </c>
      <c r="W2481" t="e">
        <f>IF(#REF! &lt;= 1, "0-1 Calls", IF(#REF! &lt;= 3, "2-3 Calls", IF(#REF! &lt;=5, "4-5 Calls", "6+ Calls")))</f>
        <v>#REF!</v>
      </c>
      <c r="X2481" t="e">
        <f>IF(#REF! &lt;= 50, "0-50", IF(#REF! &lt;=100, "51-100", IF(#REF! &lt;= 150, "101-150", "151+")))</f>
        <v>#REF!</v>
      </c>
      <c r="Y2481" t="e">
        <f>IF(#REF! &lt;= 3, "Low Charges", "High Charges")</f>
        <v>#REF!</v>
      </c>
      <c r="Z2481" t="e">
        <f>IF(#REF!&lt;=80,"Low Calls",
IF(#REF!&lt;=120,"Medium Calls","High Calls"))</f>
        <v>#REF!</v>
      </c>
      <c r="AA2481" t="e">
        <f>IF(#REF!&lt;=15,"Low Charges",
IF(#REF!&lt;=20,"Medium Charges","High Charges"))</f>
        <v>#REF!</v>
      </c>
      <c r="AB2481" t="e">
        <f>IF(AND(#REF!&gt;180, #REF!&gt;200), "Heavy Doemstic User", IF(#REF!&gt;10, "Interntional User", IF(AND(#REF!&lt;180, #REF!&lt;200,#REF!&lt;200), "Light User", "Balanced User")))</f>
        <v>#REF!</v>
      </c>
      <c r="AC2481" t="e">
        <f>IF(#REF! = 0, "No Usage", IF(#REF! &lt;= 20, "Low Usage", IF(#REF! &lt;= 40, "Medium Usgae", "High Usage")))</f>
        <v>#REF!</v>
      </c>
      <c r="AD2481" t="e">
        <f>IF(#REF!&lt;=150,"Low Usage", IF(#REF!&lt;=200,"Medium Usage", IF(#REF!&lt;=250,"High Usage","Very High Usage")))</f>
        <v>#REF!</v>
      </c>
      <c r="AE2481" t="e">
        <f>IF(#REF!&lt;=5,"Low Calls", IF(#REF!&lt;=10, "Medium Calls", "High Calls"))</f>
        <v>#REF!</v>
      </c>
      <c r="AF2481" t="e">
        <f xml:space="preserve">
IF(#REF!&gt;=4,4,0)+
IF(#REF!="yes",3,0)+
IF(#REF!="High Charges",3,0)+
IF(#REF!&gt;250,4,0)+
IF(#REF!="no",1,0)+
IF(#REF!="Heavy Domestic User",2,0)</f>
        <v>#REF!</v>
      </c>
      <c r="AG2481" t="e">
        <f>IF(#REF!&gt;=10,"High Risk", IF(#REF!&gt;=5,"Medium Risk","Low Risk"))</f>
        <v>#REF!</v>
      </c>
      <c r="AH2481" t="e">
        <f>#REF! + #REF! + #REF! + #REF!</f>
        <v>#REF!</v>
      </c>
    </row>
    <row r="2482" spans="1:34" x14ac:dyDescent="0.35">
      <c r="A2482">
        <v>2481</v>
      </c>
      <c r="B2482" t="s">
        <v>47</v>
      </c>
      <c r="C2482">
        <v>71</v>
      </c>
      <c r="D2482" t="s">
        <v>28</v>
      </c>
      <c r="E2482" t="s">
        <v>22</v>
      </c>
      <c r="F2482" t="s">
        <v>22</v>
      </c>
      <c r="G2482">
        <v>0</v>
      </c>
      <c r="H2482">
        <v>185</v>
      </c>
      <c r="I2482">
        <v>84</v>
      </c>
      <c r="J2482">
        <v>31.45</v>
      </c>
      <c r="K2482">
        <v>232.5</v>
      </c>
      <c r="L2482">
        <v>129</v>
      </c>
      <c r="M2482">
        <v>19.760000000000002</v>
      </c>
      <c r="N2482">
        <v>191.1</v>
      </c>
      <c r="O2482">
        <v>82</v>
      </c>
      <c r="P2482">
        <v>8.6</v>
      </c>
      <c r="Q2482">
        <v>14.9</v>
      </c>
      <c r="R2482">
        <v>4</v>
      </c>
      <c r="S2482">
        <v>4.0199999999999996</v>
      </c>
      <c r="T2482">
        <v>3</v>
      </c>
      <c r="U2482" t="s">
        <v>22</v>
      </c>
      <c r="V2482" t="e">
        <f>IF(#REF! = "yes", 1, 0)</f>
        <v>#REF!</v>
      </c>
      <c r="W2482" t="e">
        <f>IF(#REF! &lt;= 1, "0-1 Calls", IF(#REF! &lt;= 3, "2-3 Calls", IF(#REF! &lt;=5, "4-5 Calls", "6+ Calls")))</f>
        <v>#REF!</v>
      </c>
      <c r="X2482" t="e">
        <f>IF(#REF! &lt;= 50, "0-50", IF(#REF! &lt;=100, "51-100", IF(#REF! &lt;= 150, "101-150", "151+")))</f>
        <v>#REF!</v>
      </c>
      <c r="Y2482" t="e">
        <f>IF(#REF! &lt;= 3, "Low Charges", "High Charges")</f>
        <v>#REF!</v>
      </c>
      <c r="Z2482" t="e">
        <f>IF(#REF!&lt;=80,"Low Calls",
IF(#REF!&lt;=120,"Medium Calls","High Calls"))</f>
        <v>#REF!</v>
      </c>
      <c r="AA2482" t="e">
        <f>IF(#REF!&lt;=15,"Low Charges",
IF(#REF!&lt;=20,"Medium Charges","High Charges"))</f>
        <v>#REF!</v>
      </c>
      <c r="AB2482" t="e">
        <f>IF(AND(#REF!&gt;180, #REF!&gt;200), "Heavy Doemstic User", IF(#REF!&gt;10, "Interntional User", IF(AND(#REF!&lt;180, #REF!&lt;200,#REF!&lt;200), "Light User", "Balanced User")))</f>
        <v>#REF!</v>
      </c>
      <c r="AC2482" t="e">
        <f>IF(#REF! = 0, "No Usage", IF(#REF! &lt;= 20, "Low Usage", IF(#REF! &lt;= 40, "Medium Usgae", "High Usage")))</f>
        <v>#REF!</v>
      </c>
      <c r="AD2482" t="e">
        <f>IF(#REF!&lt;=150,"Low Usage", IF(#REF!&lt;=200,"Medium Usage", IF(#REF!&lt;=250,"High Usage","Very High Usage")))</f>
        <v>#REF!</v>
      </c>
      <c r="AE2482" t="e">
        <f>IF(#REF!&lt;=5,"Low Calls", IF(#REF!&lt;=10, "Medium Calls", "High Calls"))</f>
        <v>#REF!</v>
      </c>
      <c r="AF2482" t="e">
        <f xml:space="preserve">
IF(#REF!&gt;=4,4,0)+
IF(#REF!="yes",3,0)+
IF(#REF!="High Charges",3,0)+
IF(#REF!&gt;250,4,0)+
IF(#REF!="no",1,0)+
IF(#REF!="Heavy Domestic User",2,0)</f>
        <v>#REF!</v>
      </c>
      <c r="AG2482" t="e">
        <f>IF(#REF!&gt;=10,"High Risk", IF(#REF!&gt;=5,"Medium Risk","Low Risk"))</f>
        <v>#REF!</v>
      </c>
      <c r="AH2482" t="e">
        <f>#REF! + #REF! + #REF! + #REF!</f>
        <v>#REF!</v>
      </c>
    </row>
    <row r="2483" spans="1:34" x14ac:dyDescent="0.35">
      <c r="A2483">
        <v>2482</v>
      </c>
      <c r="B2483" t="s">
        <v>43</v>
      </c>
      <c r="C2483">
        <v>124</v>
      </c>
      <c r="D2483" t="s">
        <v>21</v>
      </c>
      <c r="E2483" t="s">
        <v>22</v>
      </c>
      <c r="F2483" t="s">
        <v>22</v>
      </c>
      <c r="G2483">
        <v>0</v>
      </c>
      <c r="H2483">
        <v>160.9</v>
      </c>
      <c r="I2483">
        <v>109</v>
      </c>
      <c r="J2483">
        <v>27.35</v>
      </c>
      <c r="K2483">
        <v>144.19999999999999</v>
      </c>
      <c r="L2483">
        <v>152</v>
      </c>
      <c r="M2483">
        <v>12.26</v>
      </c>
      <c r="N2483">
        <v>120.4</v>
      </c>
      <c r="O2483">
        <v>97</v>
      </c>
      <c r="P2483">
        <v>5.42</v>
      </c>
      <c r="Q2483">
        <v>12.9</v>
      </c>
      <c r="R2483">
        <v>12</v>
      </c>
      <c r="S2483">
        <v>3.48</v>
      </c>
      <c r="T2483">
        <v>1</v>
      </c>
      <c r="U2483" t="s">
        <v>22</v>
      </c>
      <c r="V2483" t="e">
        <f>IF(#REF! = "yes", 1, 0)</f>
        <v>#REF!</v>
      </c>
      <c r="W2483" t="e">
        <f>IF(#REF! &lt;= 1, "0-1 Calls", IF(#REF! &lt;= 3, "2-3 Calls", IF(#REF! &lt;=5, "4-5 Calls", "6+ Calls")))</f>
        <v>#REF!</v>
      </c>
      <c r="X2483" t="e">
        <f>IF(#REF! &lt;= 50, "0-50", IF(#REF! &lt;=100, "51-100", IF(#REF! &lt;= 150, "101-150", "151+")))</f>
        <v>#REF!</v>
      </c>
      <c r="Y2483" t="e">
        <f>IF(#REF! &lt;= 3, "Low Charges", "High Charges")</f>
        <v>#REF!</v>
      </c>
      <c r="Z2483" t="e">
        <f>IF(#REF!&lt;=80,"Low Calls",
IF(#REF!&lt;=120,"Medium Calls","High Calls"))</f>
        <v>#REF!</v>
      </c>
      <c r="AA2483" t="e">
        <f>IF(#REF!&lt;=15,"Low Charges",
IF(#REF!&lt;=20,"Medium Charges","High Charges"))</f>
        <v>#REF!</v>
      </c>
      <c r="AB2483" t="e">
        <f>IF(AND(#REF!&gt;180, #REF!&gt;200), "Heavy Doemstic User", IF(#REF!&gt;10, "Interntional User", IF(AND(#REF!&lt;180, #REF!&lt;200,#REF!&lt;200), "Light User", "Balanced User")))</f>
        <v>#REF!</v>
      </c>
      <c r="AC2483" t="e">
        <f>IF(#REF! = 0, "No Usage", IF(#REF! &lt;= 20, "Low Usage", IF(#REF! &lt;= 40, "Medium Usgae", "High Usage")))</f>
        <v>#REF!</v>
      </c>
      <c r="AD2483" t="e">
        <f>IF(#REF!&lt;=150,"Low Usage", IF(#REF!&lt;=200,"Medium Usage", IF(#REF!&lt;=250,"High Usage","Very High Usage")))</f>
        <v>#REF!</v>
      </c>
      <c r="AE2483" t="e">
        <f>IF(#REF!&lt;=5,"Low Calls", IF(#REF!&lt;=10, "Medium Calls", "High Calls"))</f>
        <v>#REF!</v>
      </c>
      <c r="AF2483" t="e">
        <f xml:space="preserve">
IF(#REF!&gt;=4,4,0)+
IF(#REF!="yes",3,0)+
IF(#REF!="High Charges",3,0)+
IF(#REF!&gt;250,4,0)+
IF(#REF!="no",1,0)+
IF(#REF!="Heavy Domestic User",2,0)</f>
        <v>#REF!</v>
      </c>
      <c r="AG2483" t="e">
        <f>IF(#REF!&gt;=10,"High Risk", IF(#REF!&gt;=5,"Medium Risk","Low Risk"))</f>
        <v>#REF!</v>
      </c>
      <c r="AH2483" t="e">
        <f>#REF! + #REF! + #REF! + #REF!</f>
        <v>#REF!</v>
      </c>
    </row>
    <row r="2484" spans="1:34" x14ac:dyDescent="0.35">
      <c r="A2484">
        <v>2483</v>
      </c>
      <c r="B2484" t="s">
        <v>55</v>
      </c>
      <c r="C2484">
        <v>97</v>
      </c>
      <c r="D2484" t="s">
        <v>21</v>
      </c>
      <c r="E2484" t="s">
        <v>22</v>
      </c>
      <c r="F2484" t="s">
        <v>22</v>
      </c>
      <c r="G2484">
        <v>0</v>
      </c>
      <c r="H2484">
        <v>209.2</v>
      </c>
      <c r="I2484">
        <v>134</v>
      </c>
      <c r="J2484">
        <v>35.56</v>
      </c>
      <c r="K2484">
        <v>0</v>
      </c>
      <c r="L2484">
        <v>0</v>
      </c>
      <c r="M2484">
        <v>0</v>
      </c>
      <c r="N2484">
        <v>175.4</v>
      </c>
      <c r="O2484">
        <v>94</v>
      </c>
      <c r="P2484">
        <v>7.89</v>
      </c>
      <c r="Q2484">
        <v>11.8</v>
      </c>
      <c r="R2484">
        <v>6</v>
      </c>
      <c r="S2484">
        <v>3.19</v>
      </c>
      <c r="T2484">
        <v>1</v>
      </c>
      <c r="U2484" t="s">
        <v>22</v>
      </c>
      <c r="V2484" t="e">
        <f>IF(#REF! = "yes", 1, 0)</f>
        <v>#REF!</v>
      </c>
      <c r="W2484" t="e">
        <f>IF(#REF! &lt;= 1, "0-1 Calls", IF(#REF! &lt;= 3, "2-3 Calls", IF(#REF! &lt;=5, "4-5 Calls", "6+ Calls")))</f>
        <v>#REF!</v>
      </c>
      <c r="X2484" t="e">
        <f>IF(#REF! &lt;= 50, "0-50", IF(#REF! &lt;=100, "51-100", IF(#REF! &lt;= 150, "101-150", "151+")))</f>
        <v>#REF!</v>
      </c>
      <c r="Y2484" t="e">
        <f>IF(#REF! &lt;= 3, "Low Charges", "High Charges")</f>
        <v>#REF!</v>
      </c>
      <c r="Z2484" t="e">
        <f>IF(#REF!&lt;=80,"Low Calls",
IF(#REF!&lt;=120,"Medium Calls","High Calls"))</f>
        <v>#REF!</v>
      </c>
      <c r="AA2484" t="e">
        <f>IF(#REF!&lt;=15,"Low Charges",
IF(#REF!&lt;=20,"Medium Charges","High Charges"))</f>
        <v>#REF!</v>
      </c>
      <c r="AB2484" t="e">
        <f>IF(AND(#REF!&gt;180, #REF!&gt;200), "Heavy Doemstic User", IF(#REF!&gt;10, "Interntional User", IF(AND(#REF!&lt;180, #REF!&lt;200,#REF!&lt;200), "Light User", "Balanced User")))</f>
        <v>#REF!</v>
      </c>
      <c r="AC2484" t="e">
        <f>IF(#REF! = 0, "No Usage", IF(#REF! &lt;= 20, "Low Usage", IF(#REF! &lt;= 40, "Medium Usgae", "High Usage")))</f>
        <v>#REF!</v>
      </c>
      <c r="AD2484" t="e">
        <f>IF(#REF!&lt;=150,"Low Usage", IF(#REF!&lt;=200,"Medium Usage", IF(#REF!&lt;=250,"High Usage","Very High Usage")))</f>
        <v>#REF!</v>
      </c>
      <c r="AE2484" t="e">
        <f>IF(#REF!&lt;=5,"Low Calls", IF(#REF!&lt;=10, "Medium Calls", "High Calls"))</f>
        <v>#REF!</v>
      </c>
      <c r="AF2484" t="e">
        <f xml:space="preserve">
IF(#REF!&gt;=4,4,0)+
IF(#REF!="yes",3,0)+
IF(#REF!="High Charges",3,0)+
IF(#REF!&gt;250,4,0)+
IF(#REF!="no",1,0)+
IF(#REF!="Heavy Domestic User",2,0)</f>
        <v>#REF!</v>
      </c>
      <c r="AG2484" t="e">
        <f>IF(#REF!&gt;=10,"High Risk", IF(#REF!&gt;=5,"Medium Risk","Low Risk"))</f>
        <v>#REF!</v>
      </c>
      <c r="AH2484" t="e">
        <f>#REF! + #REF! + #REF! + #REF!</f>
        <v>#REF!</v>
      </c>
    </row>
    <row r="2485" spans="1:34" x14ac:dyDescent="0.35">
      <c r="A2485">
        <v>2484</v>
      </c>
      <c r="B2485" t="s">
        <v>72</v>
      </c>
      <c r="C2485">
        <v>98</v>
      </c>
      <c r="D2485" t="s">
        <v>28</v>
      </c>
      <c r="E2485" t="s">
        <v>23</v>
      </c>
      <c r="F2485" t="s">
        <v>22</v>
      </c>
      <c r="G2485">
        <v>0</v>
      </c>
      <c r="H2485">
        <v>158.4</v>
      </c>
      <c r="I2485">
        <v>71</v>
      </c>
      <c r="J2485">
        <v>26.93</v>
      </c>
      <c r="K2485">
        <v>306.60000000000002</v>
      </c>
      <c r="L2485">
        <v>66</v>
      </c>
      <c r="M2485">
        <v>26.06</v>
      </c>
      <c r="N2485">
        <v>144.19999999999999</v>
      </c>
      <c r="O2485">
        <v>93</v>
      </c>
      <c r="P2485">
        <v>6.49</v>
      </c>
      <c r="Q2485">
        <v>2.1</v>
      </c>
      <c r="R2485">
        <v>4</v>
      </c>
      <c r="S2485">
        <v>0.56999999999999995</v>
      </c>
      <c r="T2485">
        <v>1</v>
      </c>
      <c r="U2485" t="s">
        <v>22</v>
      </c>
      <c r="V2485" t="e">
        <f>IF(#REF! = "yes", 1, 0)</f>
        <v>#REF!</v>
      </c>
      <c r="W2485" t="e">
        <f>IF(#REF! &lt;= 1, "0-1 Calls", IF(#REF! &lt;= 3, "2-3 Calls", IF(#REF! &lt;=5, "4-5 Calls", "6+ Calls")))</f>
        <v>#REF!</v>
      </c>
      <c r="X2485" t="e">
        <f>IF(#REF! &lt;= 50, "0-50", IF(#REF! &lt;=100, "51-100", IF(#REF! &lt;= 150, "101-150", "151+")))</f>
        <v>#REF!</v>
      </c>
      <c r="Y2485" t="e">
        <f>IF(#REF! &lt;= 3, "Low Charges", "High Charges")</f>
        <v>#REF!</v>
      </c>
      <c r="Z2485" t="e">
        <f>IF(#REF!&lt;=80,"Low Calls",
IF(#REF!&lt;=120,"Medium Calls","High Calls"))</f>
        <v>#REF!</v>
      </c>
      <c r="AA2485" t="e">
        <f>IF(#REF!&lt;=15,"Low Charges",
IF(#REF!&lt;=20,"Medium Charges","High Charges"))</f>
        <v>#REF!</v>
      </c>
      <c r="AB2485" t="e">
        <f>IF(AND(#REF!&gt;180, #REF!&gt;200), "Heavy Doemstic User", IF(#REF!&gt;10, "Interntional User", IF(AND(#REF!&lt;180, #REF!&lt;200,#REF!&lt;200), "Light User", "Balanced User")))</f>
        <v>#REF!</v>
      </c>
      <c r="AC2485" t="e">
        <f>IF(#REF! = 0, "No Usage", IF(#REF! &lt;= 20, "Low Usage", IF(#REF! &lt;= 40, "Medium Usgae", "High Usage")))</f>
        <v>#REF!</v>
      </c>
      <c r="AD2485" t="e">
        <f>IF(#REF!&lt;=150,"Low Usage", IF(#REF!&lt;=200,"Medium Usage", IF(#REF!&lt;=250,"High Usage","Very High Usage")))</f>
        <v>#REF!</v>
      </c>
      <c r="AE2485" t="e">
        <f>IF(#REF!&lt;=5,"Low Calls", IF(#REF!&lt;=10, "Medium Calls", "High Calls"))</f>
        <v>#REF!</v>
      </c>
      <c r="AF2485" t="e">
        <f xml:space="preserve">
IF(#REF!&gt;=4,4,0)+
IF(#REF!="yes",3,0)+
IF(#REF!="High Charges",3,0)+
IF(#REF!&gt;250,4,0)+
IF(#REF!="no",1,0)+
IF(#REF!="Heavy Domestic User",2,0)</f>
        <v>#REF!</v>
      </c>
      <c r="AG2485" t="e">
        <f>IF(#REF!&gt;=10,"High Risk", IF(#REF!&gt;=5,"Medium Risk","Low Risk"))</f>
        <v>#REF!</v>
      </c>
      <c r="AH2485" t="e">
        <f>#REF! + #REF! + #REF! + #REF!</f>
        <v>#REF!</v>
      </c>
    </row>
    <row r="2486" spans="1:34" x14ac:dyDescent="0.35">
      <c r="A2486">
        <v>2485</v>
      </c>
      <c r="B2486" t="s">
        <v>63</v>
      </c>
      <c r="C2486">
        <v>24</v>
      </c>
      <c r="D2486" t="s">
        <v>25</v>
      </c>
      <c r="E2486" t="s">
        <v>22</v>
      </c>
      <c r="F2486" t="s">
        <v>22</v>
      </c>
      <c r="G2486">
        <v>0</v>
      </c>
      <c r="H2486">
        <v>149</v>
      </c>
      <c r="I2486">
        <v>73</v>
      </c>
      <c r="J2486">
        <v>25.33</v>
      </c>
      <c r="K2486">
        <v>131</v>
      </c>
      <c r="L2486">
        <v>81</v>
      </c>
      <c r="M2486">
        <v>11.14</v>
      </c>
      <c r="N2486">
        <v>238.6</v>
      </c>
      <c r="O2486">
        <v>69</v>
      </c>
      <c r="P2486">
        <v>10.74</v>
      </c>
      <c r="Q2486">
        <v>8.6</v>
      </c>
      <c r="R2486">
        <v>3</v>
      </c>
      <c r="S2486">
        <v>2.3199999999999998</v>
      </c>
      <c r="T2486">
        <v>2</v>
      </c>
      <c r="U2486" t="s">
        <v>23</v>
      </c>
      <c r="V2486" t="e">
        <f>IF(#REF! = "yes", 1, 0)</f>
        <v>#REF!</v>
      </c>
      <c r="W2486" t="e">
        <f>IF(#REF! &lt;= 1, "0-1 Calls", IF(#REF! &lt;= 3, "2-3 Calls", IF(#REF! &lt;=5, "4-5 Calls", "6+ Calls")))</f>
        <v>#REF!</v>
      </c>
      <c r="X2486" t="e">
        <f>IF(#REF! &lt;= 50, "0-50", IF(#REF! &lt;=100, "51-100", IF(#REF! &lt;= 150, "101-150", "151+")))</f>
        <v>#REF!</v>
      </c>
      <c r="Y2486" t="e">
        <f>IF(#REF! &lt;= 3, "Low Charges", "High Charges")</f>
        <v>#REF!</v>
      </c>
      <c r="Z2486" t="e">
        <f>IF(#REF!&lt;=80,"Low Calls",
IF(#REF!&lt;=120,"Medium Calls","High Calls"))</f>
        <v>#REF!</v>
      </c>
      <c r="AA2486" t="e">
        <f>IF(#REF!&lt;=15,"Low Charges",
IF(#REF!&lt;=20,"Medium Charges","High Charges"))</f>
        <v>#REF!</v>
      </c>
      <c r="AB2486" t="e">
        <f>IF(AND(#REF!&gt;180, #REF!&gt;200), "Heavy Doemstic User", IF(#REF!&gt;10, "Interntional User", IF(AND(#REF!&lt;180, #REF!&lt;200,#REF!&lt;200), "Light User", "Balanced User")))</f>
        <v>#REF!</v>
      </c>
      <c r="AC2486" t="e">
        <f>IF(#REF! = 0, "No Usage", IF(#REF! &lt;= 20, "Low Usage", IF(#REF! &lt;= 40, "Medium Usgae", "High Usage")))</f>
        <v>#REF!</v>
      </c>
      <c r="AD2486" t="e">
        <f>IF(#REF!&lt;=150,"Low Usage", IF(#REF!&lt;=200,"Medium Usage", IF(#REF!&lt;=250,"High Usage","Very High Usage")))</f>
        <v>#REF!</v>
      </c>
      <c r="AE2486" t="e">
        <f>IF(#REF!&lt;=5,"Low Calls", IF(#REF!&lt;=10, "Medium Calls", "High Calls"))</f>
        <v>#REF!</v>
      </c>
      <c r="AF2486" t="e">
        <f xml:space="preserve">
IF(#REF!&gt;=4,4,0)+
IF(#REF!="yes",3,0)+
IF(#REF!="High Charges",3,0)+
IF(#REF!&gt;250,4,0)+
IF(#REF!="no",1,0)+
IF(#REF!="Heavy Domestic User",2,0)</f>
        <v>#REF!</v>
      </c>
      <c r="AG2486" t="e">
        <f>IF(#REF!&gt;=10,"High Risk", IF(#REF!&gt;=5,"Medium Risk","Low Risk"))</f>
        <v>#REF!</v>
      </c>
      <c r="AH2486" t="e">
        <f>#REF! + #REF! + #REF! + #REF!</f>
        <v>#REF!</v>
      </c>
    </row>
    <row r="2487" spans="1:34" x14ac:dyDescent="0.35">
      <c r="A2487">
        <v>2486</v>
      </c>
      <c r="B2487" t="s">
        <v>63</v>
      </c>
      <c r="C2487">
        <v>136</v>
      </c>
      <c r="D2487" t="s">
        <v>28</v>
      </c>
      <c r="E2487" t="s">
        <v>22</v>
      </c>
      <c r="F2487" t="s">
        <v>22</v>
      </c>
      <c r="G2487">
        <v>0</v>
      </c>
      <c r="H2487">
        <v>204.5</v>
      </c>
      <c r="I2487">
        <v>63</v>
      </c>
      <c r="J2487">
        <v>34.770000000000003</v>
      </c>
      <c r="K2487">
        <v>208.8</v>
      </c>
      <c r="L2487">
        <v>95</v>
      </c>
      <c r="M2487">
        <v>17.75</v>
      </c>
      <c r="N2487">
        <v>224</v>
      </c>
      <c r="O2487">
        <v>119</v>
      </c>
      <c r="P2487">
        <v>10.08</v>
      </c>
      <c r="Q2487">
        <v>9.8000000000000007</v>
      </c>
      <c r="R2487">
        <v>2</v>
      </c>
      <c r="S2487">
        <v>2.65</v>
      </c>
      <c r="T2487">
        <v>0</v>
      </c>
      <c r="U2487" t="s">
        <v>22</v>
      </c>
      <c r="V2487" t="e">
        <f>IF(#REF! = "yes", 1, 0)</f>
        <v>#REF!</v>
      </c>
      <c r="W2487" t="e">
        <f>IF(#REF! &lt;= 1, "0-1 Calls", IF(#REF! &lt;= 3, "2-3 Calls", IF(#REF! &lt;=5, "4-5 Calls", "6+ Calls")))</f>
        <v>#REF!</v>
      </c>
      <c r="X2487" t="e">
        <f>IF(#REF! &lt;= 50, "0-50", IF(#REF! &lt;=100, "51-100", IF(#REF! &lt;= 150, "101-150", "151+")))</f>
        <v>#REF!</v>
      </c>
      <c r="Y2487" t="e">
        <f>IF(#REF! &lt;= 3, "Low Charges", "High Charges")</f>
        <v>#REF!</v>
      </c>
      <c r="Z2487" t="e">
        <f>IF(#REF!&lt;=80,"Low Calls",
IF(#REF!&lt;=120,"Medium Calls","High Calls"))</f>
        <v>#REF!</v>
      </c>
      <c r="AA2487" t="e">
        <f>IF(#REF!&lt;=15,"Low Charges",
IF(#REF!&lt;=20,"Medium Charges","High Charges"))</f>
        <v>#REF!</v>
      </c>
      <c r="AB2487" t="e">
        <f>IF(AND(#REF!&gt;180, #REF!&gt;200), "Heavy Doemstic User", IF(#REF!&gt;10, "Interntional User", IF(AND(#REF!&lt;180, #REF!&lt;200,#REF!&lt;200), "Light User", "Balanced User")))</f>
        <v>#REF!</v>
      </c>
      <c r="AC2487" t="e">
        <f>IF(#REF! = 0, "No Usage", IF(#REF! &lt;= 20, "Low Usage", IF(#REF! &lt;= 40, "Medium Usgae", "High Usage")))</f>
        <v>#REF!</v>
      </c>
      <c r="AD2487" t="e">
        <f>IF(#REF!&lt;=150,"Low Usage", IF(#REF!&lt;=200,"Medium Usage", IF(#REF!&lt;=250,"High Usage","Very High Usage")))</f>
        <v>#REF!</v>
      </c>
      <c r="AE2487" t="e">
        <f>IF(#REF!&lt;=5,"Low Calls", IF(#REF!&lt;=10, "Medium Calls", "High Calls"))</f>
        <v>#REF!</v>
      </c>
      <c r="AF2487" t="e">
        <f xml:space="preserve">
IF(#REF!&gt;=4,4,0)+
IF(#REF!="yes",3,0)+
IF(#REF!="High Charges",3,0)+
IF(#REF!&gt;250,4,0)+
IF(#REF!="no",1,0)+
IF(#REF!="Heavy Domestic User",2,0)</f>
        <v>#REF!</v>
      </c>
      <c r="AG2487" t="e">
        <f>IF(#REF!&gt;=10,"High Risk", IF(#REF!&gt;=5,"Medium Risk","Low Risk"))</f>
        <v>#REF!</v>
      </c>
      <c r="AH2487" t="e">
        <f>#REF! + #REF! + #REF! + #REF!</f>
        <v>#REF!</v>
      </c>
    </row>
    <row r="2488" spans="1:34" x14ac:dyDescent="0.35">
      <c r="A2488">
        <v>2487</v>
      </c>
      <c r="B2488" t="s">
        <v>26</v>
      </c>
      <c r="C2488">
        <v>44</v>
      </c>
      <c r="D2488" t="s">
        <v>25</v>
      </c>
      <c r="E2488" t="s">
        <v>22</v>
      </c>
      <c r="F2488" t="s">
        <v>22</v>
      </c>
      <c r="G2488">
        <v>0</v>
      </c>
      <c r="H2488">
        <v>288.8</v>
      </c>
      <c r="I2488">
        <v>86</v>
      </c>
      <c r="J2488">
        <v>49.1</v>
      </c>
      <c r="K2488">
        <v>175.9</v>
      </c>
      <c r="L2488">
        <v>87</v>
      </c>
      <c r="M2488">
        <v>14.95</v>
      </c>
      <c r="N2488">
        <v>215.4</v>
      </c>
      <c r="O2488">
        <v>106</v>
      </c>
      <c r="P2488">
        <v>9.69</v>
      </c>
      <c r="Q2488">
        <v>9.5</v>
      </c>
      <c r="R2488">
        <v>2</v>
      </c>
      <c r="S2488">
        <v>2.57</v>
      </c>
      <c r="T2488">
        <v>0</v>
      </c>
      <c r="U2488" t="s">
        <v>23</v>
      </c>
      <c r="V2488" t="e">
        <f>IF(#REF! = "yes", 1, 0)</f>
        <v>#REF!</v>
      </c>
      <c r="W2488" t="e">
        <f>IF(#REF! &lt;= 1, "0-1 Calls", IF(#REF! &lt;= 3, "2-3 Calls", IF(#REF! &lt;=5, "4-5 Calls", "6+ Calls")))</f>
        <v>#REF!</v>
      </c>
      <c r="X2488" t="e">
        <f>IF(#REF! &lt;= 50, "0-50", IF(#REF! &lt;=100, "51-100", IF(#REF! &lt;= 150, "101-150", "151+")))</f>
        <v>#REF!</v>
      </c>
      <c r="Y2488" t="e">
        <f>IF(#REF! &lt;= 3, "Low Charges", "High Charges")</f>
        <v>#REF!</v>
      </c>
      <c r="Z2488" t="e">
        <f>IF(#REF!&lt;=80,"Low Calls",
IF(#REF!&lt;=120,"Medium Calls","High Calls"))</f>
        <v>#REF!</v>
      </c>
      <c r="AA2488" t="e">
        <f>IF(#REF!&lt;=15,"Low Charges",
IF(#REF!&lt;=20,"Medium Charges","High Charges"))</f>
        <v>#REF!</v>
      </c>
      <c r="AB2488" t="e">
        <f>IF(AND(#REF!&gt;180, #REF!&gt;200), "Heavy Doemstic User", IF(#REF!&gt;10, "Interntional User", IF(AND(#REF!&lt;180, #REF!&lt;200,#REF!&lt;200), "Light User", "Balanced User")))</f>
        <v>#REF!</v>
      </c>
      <c r="AC2488" t="e">
        <f>IF(#REF! = 0, "No Usage", IF(#REF! &lt;= 20, "Low Usage", IF(#REF! &lt;= 40, "Medium Usgae", "High Usage")))</f>
        <v>#REF!</v>
      </c>
      <c r="AD2488" t="e">
        <f>IF(#REF!&lt;=150,"Low Usage", IF(#REF!&lt;=200,"Medium Usage", IF(#REF!&lt;=250,"High Usage","Very High Usage")))</f>
        <v>#REF!</v>
      </c>
      <c r="AE2488" t="e">
        <f>IF(#REF!&lt;=5,"Low Calls", IF(#REF!&lt;=10, "Medium Calls", "High Calls"))</f>
        <v>#REF!</v>
      </c>
      <c r="AF2488" t="e">
        <f xml:space="preserve">
IF(#REF!&gt;=4,4,0)+
IF(#REF!="yes",3,0)+
IF(#REF!="High Charges",3,0)+
IF(#REF!&gt;250,4,0)+
IF(#REF!="no",1,0)+
IF(#REF!="Heavy Domestic User",2,0)</f>
        <v>#REF!</v>
      </c>
      <c r="AG2488" t="e">
        <f>IF(#REF!&gt;=10,"High Risk", IF(#REF!&gt;=5,"Medium Risk","Low Risk"))</f>
        <v>#REF!</v>
      </c>
      <c r="AH2488" t="e">
        <f>#REF! + #REF! + #REF! + #REF!</f>
        <v>#REF!</v>
      </c>
    </row>
    <row r="2489" spans="1:34" x14ac:dyDescent="0.35">
      <c r="A2489">
        <v>2488</v>
      </c>
      <c r="B2489" t="s">
        <v>65</v>
      </c>
      <c r="C2489">
        <v>96</v>
      </c>
      <c r="D2489" t="s">
        <v>21</v>
      </c>
      <c r="E2489" t="s">
        <v>22</v>
      </c>
      <c r="F2489" t="s">
        <v>23</v>
      </c>
      <c r="G2489">
        <v>40</v>
      </c>
      <c r="H2489">
        <v>108.6</v>
      </c>
      <c r="I2489">
        <v>90</v>
      </c>
      <c r="J2489">
        <v>18.46</v>
      </c>
      <c r="K2489">
        <v>206.4</v>
      </c>
      <c r="L2489">
        <v>154</v>
      </c>
      <c r="M2489">
        <v>17.54</v>
      </c>
      <c r="N2489">
        <v>126.3</v>
      </c>
      <c r="O2489">
        <v>118</v>
      </c>
      <c r="P2489">
        <v>5.68</v>
      </c>
      <c r="Q2489">
        <v>13.4</v>
      </c>
      <c r="R2489">
        <v>4</v>
      </c>
      <c r="S2489">
        <v>3.62</v>
      </c>
      <c r="T2489">
        <v>0</v>
      </c>
      <c r="U2489" t="s">
        <v>22</v>
      </c>
      <c r="V2489" t="e">
        <f>IF(#REF! = "yes", 1, 0)</f>
        <v>#REF!</v>
      </c>
      <c r="W2489" t="e">
        <f>IF(#REF! &lt;= 1, "0-1 Calls", IF(#REF! &lt;= 3, "2-3 Calls", IF(#REF! &lt;=5, "4-5 Calls", "6+ Calls")))</f>
        <v>#REF!</v>
      </c>
      <c r="X2489" t="e">
        <f>IF(#REF! &lt;= 50, "0-50", IF(#REF! &lt;=100, "51-100", IF(#REF! &lt;= 150, "101-150", "151+")))</f>
        <v>#REF!</v>
      </c>
      <c r="Y2489" t="e">
        <f>IF(#REF! &lt;= 3, "Low Charges", "High Charges")</f>
        <v>#REF!</v>
      </c>
      <c r="Z2489" t="e">
        <f>IF(#REF!&lt;=80,"Low Calls",
IF(#REF!&lt;=120,"Medium Calls","High Calls"))</f>
        <v>#REF!</v>
      </c>
      <c r="AA2489" t="e">
        <f>IF(#REF!&lt;=15,"Low Charges",
IF(#REF!&lt;=20,"Medium Charges","High Charges"))</f>
        <v>#REF!</v>
      </c>
      <c r="AB2489" t="e">
        <f>IF(AND(#REF!&gt;180, #REF!&gt;200), "Heavy Doemstic User", IF(#REF!&gt;10, "Interntional User", IF(AND(#REF!&lt;180, #REF!&lt;200,#REF!&lt;200), "Light User", "Balanced User")))</f>
        <v>#REF!</v>
      </c>
      <c r="AC2489" t="e">
        <f>IF(#REF! = 0, "No Usage", IF(#REF! &lt;= 20, "Low Usage", IF(#REF! &lt;= 40, "Medium Usgae", "High Usage")))</f>
        <v>#REF!</v>
      </c>
      <c r="AD2489" t="e">
        <f>IF(#REF!&lt;=150,"Low Usage", IF(#REF!&lt;=200,"Medium Usage", IF(#REF!&lt;=250,"High Usage","Very High Usage")))</f>
        <v>#REF!</v>
      </c>
      <c r="AE2489" t="e">
        <f>IF(#REF!&lt;=5,"Low Calls", IF(#REF!&lt;=10, "Medium Calls", "High Calls"))</f>
        <v>#REF!</v>
      </c>
      <c r="AF2489" t="e">
        <f xml:space="preserve">
IF(#REF!&gt;=4,4,0)+
IF(#REF!="yes",3,0)+
IF(#REF!="High Charges",3,0)+
IF(#REF!&gt;250,4,0)+
IF(#REF!="no",1,0)+
IF(#REF!="Heavy Domestic User",2,0)</f>
        <v>#REF!</v>
      </c>
      <c r="AG2489" t="e">
        <f>IF(#REF!&gt;=10,"High Risk", IF(#REF!&gt;=5,"Medium Risk","Low Risk"))</f>
        <v>#REF!</v>
      </c>
      <c r="AH2489" t="e">
        <f>#REF! + #REF! + #REF! + #REF!</f>
        <v>#REF!</v>
      </c>
    </row>
    <row r="2490" spans="1:34" x14ac:dyDescent="0.35">
      <c r="A2490">
        <v>2489</v>
      </c>
      <c r="B2490" t="s">
        <v>69</v>
      </c>
      <c r="C2490">
        <v>31</v>
      </c>
      <c r="D2490" t="s">
        <v>21</v>
      </c>
      <c r="E2490" t="s">
        <v>22</v>
      </c>
      <c r="F2490" t="s">
        <v>22</v>
      </c>
      <c r="G2490">
        <v>0</v>
      </c>
      <c r="H2490">
        <v>97.5</v>
      </c>
      <c r="I2490">
        <v>129</v>
      </c>
      <c r="J2490">
        <v>16.579999999999998</v>
      </c>
      <c r="K2490">
        <v>260.39999999999998</v>
      </c>
      <c r="L2490">
        <v>78</v>
      </c>
      <c r="M2490">
        <v>22.13</v>
      </c>
      <c r="N2490">
        <v>88.7</v>
      </c>
      <c r="O2490">
        <v>100</v>
      </c>
      <c r="P2490">
        <v>3.99</v>
      </c>
      <c r="Q2490">
        <v>7</v>
      </c>
      <c r="R2490">
        <v>5</v>
      </c>
      <c r="S2490">
        <v>1.89</v>
      </c>
      <c r="T2490">
        <v>1</v>
      </c>
      <c r="U2490" t="s">
        <v>22</v>
      </c>
      <c r="V2490" t="e">
        <f>IF(#REF! = "yes", 1, 0)</f>
        <v>#REF!</v>
      </c>
      <c r="W2490" t="e">
        <f>IF(#REF! &lt;= 1, "0-1 Calls", IF(#REF! &lt;= 3, "2-3 Calls", IF(#REF! &lt;=5, "4-5 Calls", "6+ Calls")))</f>
        <v>#REF!</v>
      </c>
      <c r="X2490" t="e">
        <f>IF(#REF! &lt;= 50, "0-50", IF(#REF! &lt;=100, "51-100", IF(#REF! &lt;= 150, "101-150", "151+")))</f>
        <v>#REF!</v>
      </c>
      <c r="Y2490" t="e">
        <f>IF(#REF! &lt;= 3, "Low Charges", "High Charges")</f>
        <v>#REF!</v>
      </c>
      <c r="Z2490" t="e">
        <f>IF(#REF!&lt;=80,"Low Calls",
IF(#REF!&lt;=120,"Medium Calls","High Calls"))</f>
        <v>#REF!</v>
      </c>
      <c r="AA2490" t="e">
        <f>IF(#REF!&lt;=15,"Low Charges",
IF(#REF!&lt;=20,"Medium Charges","High Charges"))</f>
        <v>#REF!</v>
      </c>
      <c r="AB2490" t="e">
        <f>IF(AND(#REF!&gt;180, #REF!&gt;200), "Heavy Doemstic User", IF(#REF!&gt;10, "Interntional User", IF(AND(#REF!&lt;180, #REF!&lt;200,#REF!&lt;200), "Light User", "Balanced User")))</f>
        <v>#REF!</v>
      </c>
      <c r="AC2490" t="e">
        <f>IF(#REF! = 0, "No Usage", IF(#REF! &lt;= 20, "Low Usage", IF(#REF! &lt;= 40, "Medium Usgae", "High Usage")))</f>
        <v>#REF!</v>
      </c>
      <c r="AD2490" t="e">
        <f>IF(#REF!&lt;=150,"Low Usage", IF(#REF!&lt;=200,"Medium Usage", IF(#REF!&lt;=250,"High Usage","Very High Usage")))</f>
        <v>#REF!</v>
      </c>
      <c r="AE2490" t="e">
        <f>IF(#REF!&lt;=5,"Low Calls", IF(#REF!&lt;=10, "Medium Calls", "High Calls"))</f>
        <v>#REF!</v>
      </c>
      <c r="AF2490" t="e">
        <f xml:space="preserve">
IF(#REF!&gt;=4,4,0)+
IF(#REF!="yes",3,0)+
IF(#REF!="High Charges",3,0)+
IF(#REF!&gt;250,4,0)+
IF(#REF!="no",1,0)+
IF(#REF!="Heavy Domestic User",2,0)</f>
        <v>#REF!</v>
      </c>
      <c r="AG2490" t="e">
        <f>IF(#REF!&gt;=10,"High Risk", IF(#REF!&gt;=5,"Medium Risk","Low Risk"))</f>
        <v>#REF!</v>
      </c>
      <c r="AH2490" t="e">
        <f>#REF! + #REF! + #REF! + #REF!</f>
        <v>#REF!</v>
      </c>
    </row>
    <row r="2491" spans="1:34" x14ac:dyDescent="0.35">
      <c r="A2491">
        <v>2490</v>
      </c>
      <c r="B2491" t="s">
        <v>68</v>
      </c>
      <c r="C2491">
        <v>72</v>
      </c>
      <c r="D2491" t="s">
        <v>21</v>
      </c>
      <c r="E2491" t="s">
        <v>22</v>
      </c>
      <c r="F2491" t="s">
        <v>22</v>
      </c>
      <c r="G2491">
        <v>0</v>
      </c>
      <c r="H2491">
        <v>166.5</v>
      </c>
      <c r="I2491">
        <v>102</v>
      </c>
      <c r="J2491">
        <v>28.31</v>
      </c>
      <c r="K2491">
        <v>261</v>
      </c>
      <c r="L2491">
        <v>103</v>
      </c>
      <c r="M2491">
        <v>22.19</v>
      </c>
      <c r="N2491">
        <v>262.7</v>
      </c>
      <c r="O2491">
        <v>85</v>
      </c>
      <c r="P2491">
        <v>11.82</v>
      </c>
      <c r="Q2491">
        <v>13.3</v>
      </c>
      <c r="R2491">
        <v>5</v>
      </c>
      <c r="S2491">
        <v>3.59</v>
      </c>
      <c r="T2491">
        <v>0</v>
      </c>
      <c r="U2491" t="s">
        <v>22</v>
      </c>
      <c r="V2491" t="e">
        <f>IF(#REF! = "yes", 1, 0)</f>
        <v>#REF!</v>
      </c>
      <c r="W2491" t="e">
        <f>IF(#REF! &lt;= 1, "0-1 Calls", IF(#REF! &lt;= 3, "2-3 Calls", IF(#REF! &lt;=5, "4-5 Calls", "6+ Calls")))</f>
        <v>#REF!</v>
      </c>
      <c r="X2491" t="e">
        <f>IF(#REF! &lt;= 50, "0-50", IF(#REF! &lt;=100, "51-100", IF(#REF! &lt;= 150, "101-150", "151+")))</f>
        <v>#REF!</v>
      </c>
      <c r="Y2491" t="e">
        <f>IF(#REF! &lt;= 3, "Low Charges", "High Charges")</f>
        <v>#REF!</v>
      </c>
      <c r="Z2491" t="e">
        <f>IF(#REF!&lt;=80,"Low Calls",
IF(#REF!&lt;=120,"Medium Calls","High Calls"))</f>
        <v>#REF!</v>
      </c>
      <c r="AA2491" t="e">
        <f>IF(#REF!&lt;=15,"Low Charges",
IF(#REF!&lt;=20,"Medium Charges","High Charges"))</f>
        <v>#REF!</v>
      </c>
      <c r="AB2491" t="e">
        <f>IF(AND(#REF!&gt;180, #REF!&gt;200), "Heavy Doemstic User", IF(#REF!&gt;10, "Interntional User", IF(AND(#REF!&lt;180, #REF!&lt;200,#REF!&lt;200), "Light User", "Balanced User")))</f>
        <v>#REF!</v>
      </c>
      <c r="AC2491" t="e">
        <f>IF(#REF! = 0, "No Usage", IF(#REF! &lt;= 20, "Low Usage", IF(#REF! &lt;= 40, "Medium Usgae", "High Usage")))</f>
        <v>#REF!</v>
      </c>
      <c r="AD2491" t="e">
        <f>IF(#REF!&lt;=150,"Low Usage", IF(#REF!&lt;=200,"Medium Usage", IF(#REF!&lt;=250,"High Usage","Very High Usage")))</f>
        <v>#REF!</v>
      </c>
      <c r="AE2491" t="e">
        <f>IF(#REF!&lt;=5,"Low Calls", IF(#REF!&lt;=10, "Medium Calls", "High Calls"))</f>
        <v>#REF!</v>
      </c>
      <c r="AF2491" t="e">
        <f xml:space="preserve">
IF(#REF!&gt;=4,4,0)+
IF(#REF!="yes",3,0)+
IF(#REF!="High Charges",3,0)+
IF(#REF!&gt;250,4,0)+
IF(#REF!="no",1,0)+
IF(#REF!="Heavy Domestic User",2,0)</f>
        <v>#REF!</v>
      </c>
      <c r="AG2491" t="e">
        <f>IF(#REF!&gt;=10,"High Risk", IF(#REF!&gt;=5,"Medium Risk","Low Risk"))</f>
        <v>#REF!</v>
      </c>
      <c r="AH2491" t="e">
        <f>#REF! + #REF! + #REF! + #REF!</f>
        <v>#REF!</v>
      </c>
    </row>
    <row r="2492" spans="1:34" x14ac:dyDescent="0.35">
      <c r="A2492">
        <v>2491</v>
      </c>
      <c r="B2492" t="s">
        <v>45</v>
      </c>
      <c r="C2492">
        <v>24</v>
      </c>
      <c r="D2492" t="s">
        <v>21</v>
      </c>
      <c r="E2492" t="s">
        <v>22</v>
      </c>
      <c r="F2492" t="s">
        <v>22</v>
      </c>
      <c r="G2492">
        <v>0</v>
      </c>
      <c r="H2492">
        <v>156.19999999999999</v>
      </c>
      <c r="I2492">
        <v>104</v>
      </c>
      <c r="J2492">
        <v>26.55</v>
      </c>
      <c r="K2492">
        <v>90</v>
      </c>
      <c r="L2492">
        <v>101</v>
      </c>
      <c r="M2492">
        <v>7.65</v>
      </c>
      <c r="N2492">
        <v>205.1</v>
      </c>
      <c r="O2492">
        <v>116</v>
      </c>
      <c r="P2492">
        <v>9.23</v>
      </c>
      <c r="Q2492">
        <v>7.3</v>
      </c>
      <c r="R2492">
        <v>5</v>
      </c>
      <c r="S2492">
        <v>1.97</v>
      </c>
      <c r="T2492">
        <v>1</v>
      </c>
      <c r="U2492" t="s">
        <v>22</v>
      </c>
      <c r="V2492" t="e">
        <f>IF(#REF! = "yes", 1, 0)</f>
        <v>#REF!</v>
      </c>
      <c r="W2492" t="e">
        <f>IF(#REF! &lt;= 1, "0-1 Calls", IF(#REF! &lt;= 3, "2-3 Calls", IF(#REF! &lt;=5, "4-5 Calls", "6+ Calls")))</f>
        <v>#REF!</v>
      </c>
      <c r="X2492" t="e">
        <f>IF(#REF! &lt;= 50, "0-50", IF(#REF! &lt;=100, "51-100", IF(#REF! &lt;= 150, "101-150", "151+")))</f>
        <v>#REF!</v>
      </c>
      <c r="Y2492" t="e">
        <f>IF(#REF! &lt;= 3, "Low Charges", "High Charges")</f>
        <v>#REF!</v>
      </c>
      <c r="Z2492" t="e">
        <f>IF(#REF!&lt;=80,"Low Calls",
IF(#REF!&lt;=120,"Medium Calls","High Calls"))</f>
        <v>#REF!</v>
      </c>
      <c r="AA2492" t="e">
        <f>IF(#REF!&lt;=15,"Low Charges",
IF(#REF!&lt;=20,"Medium Charges","High Charges"))</f>
        <v>#REF!</v>
      </c>
      <c r="AB2492" t="e">
        <f>IF(AND(#REF!&gt;180, #REF!&gt;200), "Heavy Doemstic User", IF(#REF!&gt;10, "Interntional User", IF(AND(#REF!&lt;180, #REF!&lt;200,#REF!&lt;200), "Light User", "Balanced User")))</f>
        <v>#REF!</v>
      </c>
      <c r="AC2492" t="e">
        <f>IF(#REF! = 0, "No Usage", IF(#REF! &lt;= 20, "Low Usage", IF(#REF! &lt;= 40, "Medium Usgae", "High Usage")))</f>
        <v>#REF!</v>
      </c>
      <c r="AD2492" t="e">
        <f>IF(#REF!&lt;=150,"Low Usage", IF(#REF!&lt;=200,"Medium Usage", IF(#REF!&lt;=250,"High Usage","Very High Usage")))</f>
        <v>#REF!</v>
      </c>
      <c r="AE2492" t="e">
        <f>IF(#REF!&lt;=5,"Low Calls", IF(#REF!&lt;=10, "Medium Calls", "High Calls"))</f>
        <v>#REF!</v>
      </c>
      <c r="AF2492" t="e">
        <f xml:space="preserve">
IF(#REF!&gt;=4,4,0)+
IF(#REF!="yes",3,0)+
IF(#REF!="High Charges",3,0)+
IF(#REF!&gt;250,4,0)+
IF(#REF!="no",1,0)+
IF(#REF!="Heavy Domestic User",2,0)</f>
        <v>#REF!</v>
      </c>
      <c r="AG2492" t="e">
        <f>IF(#REF!&gt;=10,"High Risk", IF(#REF!&gt;=5,"Medium Risk","Low Risk"))</f>
        <v>#REF!</v>
      </c>
      <c r="AH2492" t="e">
        <f>#REF! + #REF! + #REF! + #REF!</f>
        <v>#REF!</v>
      </c>
    </row>
    <row r="2493" spans="1:34" x14ac:dyDescent="0.35">
      <c r="A2493">
        <v>2492</v>
      </c>
      <c r="B2493" t="s">
        <v>48</v>
      </c>
      <c r="C2493">
        <v>117</v>
      </c>
      <c r="D2493" t="s">
        <v>21</v>
      </c>
      <c r="E2493" t="s">
        <v>23</v>
      </c>
      <c r="F2493" t="s">
        <v>22</v>
      </c>
      <c r="G2493">
        <v>0</v>
      </c>
      <c r="H2493">
        <v>287.39999999999998</v>
      </c>
      <c r="I2493">
        <v>118</v>
      </c>
      <c r="J2493">
        <v>48.86</v>
      </c>
      <c r="K2493">
        <v>259.60000000000002</v>
      </c>
      <c r="L2493">
        <v>84</v>
      </c>
      <c r="M2493">
        <v>22.07</v>
      </c>
      <c r="N2493">
        <v>153.19999999999999</v>
      </c>
      <c r="O2493">
        <v>86</v>
      </c>
      <c r="P2493">
        <v>6.89</v>
      </c>
      <c r="Q2493">
        <v>10</v>
      </c>
      <c r="R2493">
        <v>3</v>
      </c>
      <c r="S2493">
        <v>2.7</v>
      </c>
      <c r="T2493">
        <v>1</v>
      </c>
      <c r="U2493" t="s">
        <v>23</v>
      </c>
      <c r="V2493" t="e">
        <f>IF(#REF! = "yes", 1, 0)</f>
        <v>#REF!</v>
      </c>
      <c r="W2493" t="e">
        <f>IF(#REF! &lt;= 1, "0-1 Calls", IF(#REF! &lt;= 3, "2-3 Calls", IF(#REF! &lt;=5, "4-5 Calls", "6+ Calls")))</f>
        <v>#REF!</v>
      </c>
      <c r="X2493" t="e">
        <f>IF(#REF! &lt;= 50, "0-50", IF(#REF! &lt;=100, "51-100", IF(#REF! &lt;= 150, "101-150", "151+")))</f>
        <v>#REF!</v>
      </c>
      <c r="Y2493" t="e">
        <f>IF(#REF! &lt;= 3, "Low Charges", "High Charges")</f>
        <v>#REF!</v>
      </c>
      <c r="Z2493" t="e">
        <f>IF(#REF!&lt;=80,"Low Calls",
IF(#REF!&lt;=120,"Medium Calls","High Calls"))</f>
        <v>#REF!</v>
      </c>
      <c r="AA2493" t="e">
        <f>IF(#REF!&lt;=15,"Low Charges",
IF(#REF!&lt;=20,"Medium Charges","High Charges"))</f>
        <v>#REF!</v>
      </c>
      <c r="AB2493" t="e">
        <f>IF(AND(#REF!&gt;180, #REF!&gt;200), "Heavy Doemstic User", IF(#REF!&gt;10, "Interntional User", IF(AND(#REF!&lt;180, #REF!&lt;200,#REF!&lt;200), "Light User", "Balanced User")))</f>
        <v>#REF!</v>
      </c>
      <c r="AC2493" t="e">
        <f>IF(#REF! = 0, "No Usage", IF(#REF! &lt;= 20, "Low Usage", IF(#REF! &lt;= 40, "Medium Usgae", "High Usage")))</f>
        <v>#REF!</v>
      </c>
      <c r="AD2493" t="e">
        <f>IF(#REF!&lt;=150,"Low Usage", IF(#REF!&lt;=200,"Medium Usage", IF(#REF!&lt;=250,"High Usage","Very High Usage")))</f>
        <v>#REF!</v>
      </c>
      <c r="AE2493" t="e">
        <f>IF(#REF!&lt;=5,"Low Calls", IF(#REF!&lt;=10, "Medium Calls", "High Calls"))</f>
        <v>#REF!</v>
      </c>
      <c r="AF2493" t="e">
        <f xml:space="preserve">
IF(#REF!&gt;=4,4,0)+
IF(#REF!="yes",3,0)+
IF(#REF!="High Charges",3,0)+
IF(#REF!&gt;250,4,0)+
IF(#REF!="no",1,0)+
IF(#REF!="Heavy Domestic User",2,0)</f>
        <v>#REF!</v>
      </c>
      <c r="AG2493" t="e">
        <f>IF(#REF!&gt;=10,"High Risk", IF(#REF!&gt;=5,"Medium Risk","Low Risk"))</f>
        <v>#REF!</v>
      </c>
      <c r="AH2493" t="e">
        <f>#REF! + #REF! + #REF! + #REF!</f>
        <v>#REF!</v>
      </c>
    </row>
    <row r="2494" spans="1:34" x14ac:dyDescent="0.35">
      <c r="A2494">
        <v>2493</v>
      </c>
      <c r="B2494" t="s">
        <v>70</v>
      </c>
      <c r="C2494">
        <v>137</v>
      </c>
      <c r="D2494" t="s">
        <v>21</v>
      </c>
      <c r="E2494" t="s">
        <v>22</v>
      </c>
      <c r="F2494" t="s">
        <v>23</v>
      </c>
      <c r="G2494">
        <v>19</v>
      </c>
      <c r="H2494">
        <v>175.3</v>
      </c>
      <c r="I2494">
        <v>96</v>
      </c>
      <c r="J2494">
        <v>29.8</v>
      </c>
      <c r="K2494">
        <v>241.3</v>
      </c>
      <c r="L2494">
        <v>146</v>
      </c>
      <c r="M2494">
        <v>20.51</v>
      </c>
      <c r="N2494">
        <v>211.4</v>
      </c>
      <c r="O2494">
        <v>109</v>
      </c>
      <c r="P2494">
        <v>9.51</v>
      </c>
      <c r="Q2494">
        <v>7.8</v>
      </c>
      <c r="R2494">
        <v>2</v>
      </c>
      <c r="S2494">
        <v>2.11</v>
      </c>
      <c r="T2494">
        <v>0</v>
      </c>
      <c r="U2494" t="s">
        <v>22</v>
      </c>
      <c r="V2494" t="e">
        <f>IF(#REF! = "yes", 1, 0)</f>
        <v>#REF!</v>
      </c>
      <c r="W2494" t="e">
        <f>IF(#REF! &lt;= 1, "0-1 Calls", IF(#REF! &lt;= 3, "2-3 Calls", IF(#REF! &lt;=5, "4-5 Calls", "6+ Calls")))</f>
        <v>#REF!</v>
      </c>
      <c r="X2494" t="e">
        <f>IF(#REF! &lt;= 50, "0-50", IF(#REF! &lt;=100, "51-100", IF(#REF! &lt;= 150, "101-150", "151+")))</f>
        <v>#REF!</v>
      </c>
      <c r="Y2494" t="e">
        <f>IF(#REF! &lt;= 3, "Low Charges", "High Charges")</f>
        <v>#REF!</v>
      </c>
      <c r="Z2494" t="e">
        <f>IF(#REF!&lt;=80,"Low Calls",
IF(#REF!&lt;=120,"Medium Calls","High Calls"))</f>
        <v>#REF!</v>
      </c>
      <c r="AA2494" t="e">
        <f>IF(#REF!&lt;=15,"Low Charges",
IF(#REF!&lt;=20,"Medium Charges","High Charges"))</f>
        <v>#REF!</v>
      </c>
      <c r="AB2494" t="e">
        <f>IF(AND(#REF!&gt;180, #REF!&gt;200), "Heavy Doemstic User", IF(#REF!&gt;10, "Interntional User", IF(AND(#REF!&lt;180, #REF!&lt;200,#REF!&lt;200), "Light User", "Balanced User")))</f>
        <v>#REF!</v>
      </c>
      <c r="AC2494" t="e">
        <f>IF(#REF! = 0, "No Usage", IF(#REF! &lt;= 20, "Low Usage", IF(#REF! &lt;= 40, "Medium Usgae", "High Usage")))</f>
        <v>#REF!</v>
      </c>
      <c r="AD2494" t="e">
        <f>IF(#REF!&lt;=150,"Low Usage", IF(#REF!&lt;=200,"Medium Usage", IF(#REF!&lt;=250,"High Usage","Very High Usage")))</f>
        <v>#REF!</v>
      </c>
      <c r="AE2494" t="e">
        <f>IF(#REF!&lt;=5,"Low Calls", IF(#REF!&lt;=10, "Medium Calls", "High Calls"))</f>
        <v>#REF!</v>
      </c>
      <c r="AF2494" t="e">
        <f xml:space="preserve">
IF(#REF!&gt;=4,4,0)+
IF(#REF!="yes",3,0)+
IF(#REF!="High Charges",3,0)+
IF(#REF!&gt;250,4,0)+
IF(#REF!="no",1,0)+
IF(#REF!="Heavy Domestic User",2,0)</f>
        <v>#REF!</v>
      </c>
      <c r="AG2494" t="e">
        <f>IF(#REF!&gt;=10,"High Risk", IF(#REF!&gt;=5,"Medium Risk","Low Risk"))</f>
        <v>#REF!</v>
      </c>
      <c r="AH2494" t="e">
        <f>#REF! + #REF! + #REF! + #REF!</f>
        <v>#REF!</v>
      </c>
    </row>
    <row r="2495" spans="1:34" x14ac:dyDescent="0.35">
      <c r="A2495">
        <v>2494</v>
      </c>
      <c r="B2495" t="s">
        <v>73</v>
      </c>
      <c r="C2495">
        <v>136</v>
      </c>
      <c r="D2495" t="s">
        <v>25</v>
      </c>
      <c r="E2495" t="s">
        <v>22</v>
      </c>
      <c r="F2495" t="s">
        <v>22</v>
      </c>
      <c r="G2495">
        <v>0</v>
      </c>
      <c r="H2495">
        <v>102.1</v>
      </c>
      <c r="I2495">
        <v>75</v>
      </c>
      <c r="J2495">
        <v>17.36</v>
      </c>
      <c r="K2495">
        <v>219.5</v>
      </c>
      <c r="L2495">
        <v>97</v>
      </c>
      <c r="M2495">
        <v>18.66</v>
      </c>
      <c r="N2495">
        <v>73.7</v>
      </c>
      <c r="O2495">
        <v>92</v>
      </c>
      <c r="P2495">
        <v>3.32</v>
      </c>
      <c r="Q2495">
        <v>9.8000000000000007</v>
      </c>
      <c r="R2495">
        <v>5</v>
      </c>
      <c r="S2495">
        <v>2.65</v>
      </c>
      <c r="T2495">
        <v>0</v>
      </c>
      <c r="U2495" t="s">
        <v>22</v>
      </c>
      <c r="V2495" t="e">
        <f>IF(#REF! = "yes", 1, 0)</f>
        <v>#REF!</v>
      </c>
      <c r="W2495" t="e">
        <f>IF(#REF! &lt;= 1, "0-1 Calls", IF(#REF! &lt;= 3, "2-3 Calls", IF(#REF! &lt;=5, "4-5 Calls", "6+ Calls")))</f>
        <v>#REF!</v>
      </c>
      <c r="X2495" t="e">
        <f>IF(#REF! &lt;= 50, "0-50", IF(#REF! &lt;=100, "51-100", IF(#REF! &lt;= 150, "101-150", "151+")))</f>
        <v>#REF!</v>
      </c>
      <c r="Y2495" t="e">
        <f>IF(#REF! &lt;= 3, "Low Charges", "High Charges")</f>
        <v>#REF!</v>
      </c>
      <c r="Z2495" t="e">
        <f>IF(#REF!&lt;=80,"Low Calls",
IF(#REF!&lt;=120,"Medium Calls","High Calls"))</f>
        <v>#REF!</v>
      </c>
      <c r="AA2495" t="e">
        <f>IF(#REF!&lt;=15,"Low Charges",
IF(#REF!&lt;=20,"Medium Charges","High Charges"))</f>
        <v>#REF!</v>
      </c>
      <c r="AB2495" t="e">
        <f>IF(AND(#REF!&gt;180, #REF!&gt;200), "Heavy Doemstic User", IF(#REF!&gt;10, "Interntional User", IF(AND(#REF!&lt;180, #REF!&lt;200,#REF!&lt;200), "Light User", "Balanced User")))</f>
        <v>#REF!</v>
      </c>
      <c r="AC2495" t="e">
        <f>IF(#REF! = 0, "No Usage", IF(#REF! &lt;= 20, "Low Usage", IF(#REF! &lt;= 40, "Medium Usgae", "High Usage")))</f>
        <v>#REF!</v>
      </c>
      <c r="AD2495" t="e">
        <f>IF(#REF!&lt;=150,"Low Usage", IF(#REF!&lt;=200,"Medium Usage", IF(#REF!&lt;=250,"High Usage","Very High Usage")))</f>
        <v>#REF!</v>
      </c>
      <c r="AE2495" t="e">
        <f>IF(#REF!&lt;=5,"Low Calls", IF(#REF!&lt;=10, "Medium Calls", "High Calls"))</f>
        <v>#REF!</v>
      </c>
      <c r="AF2495" t="e">
        <f xml:space="preserve">
IF(#REF!&gt;=4,4,0)+
IF(#REF!="yes",3,0)+
IF(#REF!="High Charges",3,0)+
IF(#REF!&gt;250,4,0)+
IF(#REF!="no",1,0)+
IF(#REF!="Heavy Domestic User",2,0)</f>
        <v>#REF!</v>
      </c>
      <c r="AG2495" t="e">
        <f>IF(#REF!&gt;=10,"High Risk", IF(#REF!&gt;=5,"Medium Risk","Low Risk"))</f>
        <v>#REF!</v>
      </c>
      <c r="AH2495" t="e">
        <f>#REF! + #REF! + #REF! + #REF!</f>
        <v>#REF!</v>
      </c>
    </row>
    <row r="2496" spans="1:34" x14ac:dyDescent="0.35">
      <c r="A2496">
        <v>2495</v>
      </c>
      <c r="B2496" t="s">
        <v>55</v>
      </c>
      <c r="C2496">
        <v>95</v>
      </c>
      <c r="D2496" t="s">
        <v>21</v>
      </c>
      <c r="E2496" t="s">
        <v>22</v>
      </c>
      <c r="F2496" t="s">
        <v>22</v>
      </c>
      <c r="G2496">
        <v>0</v>
      </c>
      <c r="H2496">
        <v>157.9</v>
      </c>
      <c r="I2496">
        <v>103</v>
      </c>
      <c r="J2496">
        <v>26.84</v>
      </c>
      <c r="K2496">
        <v>259.60000000000002</v>
      </c>
      <c r="L2496">
        <v>90</v>
      </c>
      <c r="M2496">
        <v>22.07</v>
      </c>
      <c r="N2496">
        <v>230</v>
      </c>
      <c r="O2496">
        <v>117</v>
      </c>
      <c r="P2496">
        <v>10.35</v>
      </c>
      <c r="Q2496">
        <v>14</v>
      </c>
      <c r="R2496">
        <v>2</v>
      </c>
      <c r="S2496">
        <v>3.78</v>
      </c>
      <c r="T2496">
        <v>0</v>
      </c>
      <c r="U2496" t="s">
        <v>22</v>
      </c>
      <c r="V2496" t="e">
        <f>IF(#REF! = "yes", 1, 0)</f>
        <v>#REF!</v>
      </c>
      <c r="W2496" t="e">
        <f>IF(#REF! &lt;= 1, "0-1 Calls", IF(#REF! &lt;= 3, "2-3 Calls", IF(#REF! &lt;=5, "4-5 Calls", "6+ Calls")))</f>
        <v>#REF!</v>
      </c>
      <c r="X2496" t="e">
        <f>IF(#REF! &lt;= 50, "0-50", IF(#REF! &lt;=100, "51-100", IF(#REF! &lt;= 150, "101-150", "151+")))</f>
        <v>#REF!</v>
      </c>
      <c r="Y2496" t="e">
        <f>IF(#REF! &lt;= 3, "Low Charges", "High Charges")</f>
        <v>#REF!</v>
      </c>
      <c r="Z2496" t="e">
        <f>IF(#REF!&lt;=80,"Low Calls",
IF(#REF!&lt;=120,"Medium Calls","High Calls"))</f>
        <v>#REF!</v>
      </c>
      <c r="AA2496" t="e">
        <f>IF(#REF!&lt;=15,"Low Charges",
IF(#REF!&lt;=20,"Medium Charges","High Charges"))</f>
        <v>#REF!</v>
      </c>
      <c r="AB2496" t="e">
        <f>IF(AND(#REF!&gt;180, #REF!&gt;200), "Heavy Doemstic User", IF(#REF!&gt;10, "Interntional User", IF(AND(#REF!&lt;180, #REF!&lt;200,#REF!&lt;200), "Light User", "Balanced User")))</f>
        <v>#REF!</v>
      </c>
      <c r="AC2496" t="e">
        <f>IF(#REF! = 0, "No Usage", IF(#REF! &lt;= 20, "Low Usage", IF(#REF! &lt;= 40, "Medium Usgae", "High Usage")))</f>
        <v>#REF!</v>
      </c>
      <c r="AD2496" t="e">
        <f>IF(#REF!&lt;=150,"Low Usage", IF(#REF!&lt;=200,"Medium Usage", IF(#REF!&lt;=250,"High Usage","Very High Usage")))</f>
        <v>#REF!</v>
      </c>
      <c r="AE2496" t="e">
        <f>IF(#REF!&lt;=5,"Low Calls", IF(#REF!&lt;=10, "Medium Calls", "High Calls"))</f>
        <v>#REF!</v>
      </c>
      <c r="AF2496" t="e">
        <f xml:space="preserve">
IF(#REF!&gt;=4,4,0)+
IF(#REF!="yes",3,0)+
IF(#REF!="High Charges",3,0)+
IF(#REF!&gt;250,4,0)+
IF(#REF!="no",1,0)+
IF(#REF!="Heavy Domestic User",2,0)</f>
        <v>#REF!</v>
      </c>
      <c r="AG2496" t="e">
        <f>IF(#REF!&gt;=10,"High Risk", IF(#REF!&gt;=5,"Medium Risk","Low Risk"))</f>
        <v>#REF!</v>
      </c>
      <c r="AH2496" t="e">
        <f>#REF! + #REF! + #REF! + #REF!</f>
        <v>#REF!</v>
      </c>
    </row>
    <row r="2497" spans="1:34" x14ac:dyDescent="0.35">
      <c r="A2497">
        <v>2496</v>
      </c>
      <c r="B2497" t="s">
        <v>52</v>
      </c>
      <c r="C2497">
        <v>82</v>
      </c>
      <c r="D2497" t="s">
        <v>21</v>
      </c>
      <c r="E2497" t="s">
        <v>22</v>
      </c>
      <c r="F2497" t="s">
        <v>23</v>
      </c>
      <c r="G2497">
        <v>19</v>
      </c>
      <c r="H2497">
        <v>146.5</v>
      </c>
      <c r="I2497">
        <v>73</v>
      </c>
      <c r="J2497">
        <v>24.91</v>
      </c>
      <c r="K2497">
        <v>246.4</v>
      </c>
      <c r="L2497">
        <v>65</v>
      </c>
      <c r="M2497">
        <v>20.94</v>
      </c>
      <c r="N2497">
        <v>199</v>
      </c>
      <c r="O2497">
        <v>114</v>
      </c>
      <c r="P2497">
        <v>8.9600000000000009</v>
      </c>
      <c r="Q2497">
        <v>4.0999999999999996</v>
      </c>
      <c r="R2497">
        <v>4</v>
      </c>
      <c r="S2497">
        <v>1.1100000000000001</v>
      </c>
      <c r="T2497">
        <v>1</v>
      </c>
      <c r="U2497" t="s">
        <v>22</v>
      </c>
      <c r="V2497" t="e">
        <f>IF(#REF! = "yes", 1, 0)</f>
        <v>#REF!</v>
      </c>
      <c r="W2497" t="e">
        <f>IF(#REF! &lt;= 1, "0-1 Calls", IF(#REF! &lt;= 3, "2-3 Calls", IF(#REF! &lt;=5, "4-5 Calls", "6+ Calls")))</f>
        <v>#REF!</v>
      </c>
      <c r="X2497" t="e">
        <f>IF(#REF! &lt;= 50, "0-50", IF(#REF! &lt;=100, "51-100", IF(#REF! &lt;= 150, "101-150", "151+")))</f>
        <v>#REF!</v>
      </c>
      <c r="Y2497" t="e">
        <f>IF(#REF! &lt;= 3, "Low Charges", "High Charges")</f>
        <v>#REF!</v>
      </c>
      <c r="Z2497" t="e">
        <f>IF(#REF!&lt;=80,"Low Calls",
IF(#REF!&lt;=120,"Medium Calls","High Calls"))</f>
        <v>#REF!</v>
      </c>
      <c r="AA2497" t="e">
        <f>IF(#REF!&lt;=15,"Low Charges",
IF(#REF!&lt;=20,"Medium Charges","High Charges"))</f>
        <v>#REF!</v>
      </c>
      <c r="AB2497" t="e">
        <f>IF(AND(#REF!&gt;180, #REF!&gt;200), "Heavy Doemstic User", IF(#REF!&gt;10, "Interntional User", IF(AND(#REF!&lt;180, #REF!&lt;200,#REF!&lt;200), "Light User", "Balanced User")))</f>
        <v>#REF!</v>
      </c>
      <c r="AC2497" t="e">
        <f>IF(#REF! = 0, "No Usage", IF(#REF! &lt;= 20, "Low Usage", IF(#REF! &lt;= 40, "Medium Usgae", "High Usage")))</f>
        <v>#REF!</v>
      </c>
      <c r="AD2497" t="e">
        <f>IF(#REF!&lt;=150,"Low Usage", IF(#REF!&lt;=200,"Medium Usage", IF(#REF!&lt;=250,"High Usage","Very High Usage")))</f>
        <v>#REF!</v>
      </c>
      <c r="AE2497" t="e">
        <f>IF(#REF!&lt;=5,"Low Calls", IF(#REF!&lt;=10, "Medium Calls", "High Calls"))</f>
        <v>#REF!</v>
      </c>
      <c r="AF2497" t="e">
        <f xml:space="preserve">
IF(#REF!&gt;=4,4,0)+
IF(#REF!="yes",3,0)+
IF(#REF!="High Charges",3,0)+
IF(#REF!&gt;250,4,0)+
IF(#REF!="no",1,0)+
IF(#REF!="Heavy Domestic User",2,0)</f>
        <v>#REF!</v>
      </c>
      <c r="AG2497" t="e">
        <f>IF(#REF!&gt;=10,"High Risk", IF(#REF!&gt;=5,"Medium Risk","Low Risk"))</f>
        <v>#REF!</v>
      </c>
      <c r="AH2497" t="e">
        <f>#REF! + #REF! + #REF! + #REF!</f>
        <v>#REF!</v>
      </c>
    </row>
    <row r="2498" spans="1:34" x14ac:dyDescent="0.35">
      <c r="A2498">
        <v>2497</v>
      </c>
      <c r="B2498" t="s">
        <v>75</v>
      </c>
      <c r="C2498">
        <v>145</v>
      </c>
      <c r="D2498" t="s">
        <v>21</v>
      </c>
      <c r="E2498" t="s">
        <v>22</v>
      </c>
      <c r="F2498" t="s">
        <v>22</v>
      </c>
      <c r="G2498">
        <v>0</v>
      </c>
      <c r="H2498">
        <v>245.8</v>
      </c>
      <c r="I2498">
        <v>116</v>
      </c>
      <c r="J2498">
        <v>41.79</v>
      </c>
      <c r="K2498">
        <v>286.7</v>
      </c>
      <c r="L2498">
        <v>91</v>
      </c>
      <c r="M2498">
        <v>24.37</v>
      </c>
      <c r="N2498">
        <v>240.7</v>
      </c>
      <c r="O2498">
        <v>115</v>
      </c>
      <c r="P2498">
        <v>10.83</v>
      </c>
      <c r="Q2498">
        <v>9</v>
      </c>
      <c r="R2498">
        <v>13</v>
      </c>
      <c r="S2498">
        <v>2.4300000000000002</v>
      </c>
      <c r="T2498">
        <v>1</v>
      </c>
      <c r="U2498" t="s">
        <v>23</v>
      </c>
      <c r="V2498" t="e">
        <f>IF(#REF! = "yes", 1, 0)</f>
        <v>#REF!</v>
      </c>
      <c r="W2498" t="e">
        <f>IF(#REF! &lt;= 1, "0-1 Calls", IF(#REF! &lt;= 3, "2-3 Calls", IF(#REF! &lt;=5, "4-5 Calls", "6+ Calls")))</f>
        <v>#REF!</v>
      </c>
      <c r="X2498" t="e">
        <f>IF(#REF! &lt;= 50, "0-50", IF(#REF! &lt;=100, "51-100", IF(#REF! &lt;= 150, "101-150", "151+")))</f>
        <v>#REF!</v>
      </c>
      <c r="Y2498" t="e">
        <f>IF(#REF! &lt;= 3, "Low Charges", "High Charges")</f>
        <v>#REF!</v>
      </c>
      <c r="Z2498" t="e">
        <f>IF(#REF!&lt;=80,"Low Calls",
IF(#REF!&lt;=120,"Medium Calls","High Calls"))</f>
        <v>#REF!</v>
      </c>
      <c r="AA2498" t="e">
        <f>IF(#REF!&lt;=15,"Low Charges",
IF(#REF!&lt;=20,"Medium Charges","High Charges"))</f>
        <v>#REF!</v>
      </c>
      <c r="AB2498" t="e">
        <f>IF(AND(#REF!&gt;180, #REF!&gt;200), "Heavy Doemstic User", IF(#REF!&gt;10, "Interntional User", IF(AND(#REF!&lt;180, #REF!&lt;200,#REF!&lt;200), "Light User", "Balanced User")))</f>
        <v>#REF!</v>
      </c>
      <c r="AC2498" t="e">
        <f>IF(#REF! = 0, "No Usage", IF(#REF! &lt;= 20, "Low Usage", IF(#REF! &lt;= 40, "Medium Usgae", "High Usage")))</f>
        <v>#REF!</v>
      </c>
      <c r="AD2498" t="e">
        <f>IF(#REF!&lt;=150,"Low Usage", IF(#REF!&lt;=200,"Medium Usage", IF(#REF!&lt;=250,"High Usage","Very High Usage")))</f>
        <v>#REF!</v>
      </c>
      <c r="AE2498" t="e">
        <f>IF(#REF!&lt;=5,"Low Calls", IF(#REF!&lt;=10, "Medium Calls", "High Calls"))</f>
        <v>#REF!</v>
      </c>
      <c r="AF2498" t="e">
        <f xml:space="preserve">
IF(#REF!&gt;=4,4,0)+
IF(#REF!="yes",3,0)+
IF(#REF!="High Charges",3,0)+
IF(#REF!&gt;250,4,0)+
IF(#REF!="no",1,0)+
IF(#REF!="Heavy Domestic User",2,0)</f>
        <v>#REF!</v>
      </c>
      <c r="AG2498" t="e">
        <f>IF(#REF!&gt;=10,"High Risk", IF(#REF!&gt;=5,"Medium Risk","Low Risk"))</f>
        <v>#REF!</v>
      </c>
      <c r="AH2498" t="e">
        <f>#REF! + #REF! + #REF! + #REF!</f>
        <v>#REF!</v>
      </c>
    </row>
    <row r="2499" spans="1:34" x14ac:dyDescent="0.35">
      <c r="A2499">
        <v>2498</v>
      </c>
      <c r="B2499" t="s">
        <v>60</v>
      </c>
      <c r="C2499">
        <v>155</v>
      </c>
      <c r="D2499" t="s">
        <v>25</v>
      </c>
      <c r="E2499" t="s">
        <v>23</v>
      </c>
      <c r="F2499" t="s">
        <v>22</v>
      </c>
      <c r="G2499">
        <v>0</v>
      </c>
      <c r="H2499">
        <v>250.8</v>
      </c>
      <c r="I2499">
        <v>146</v>
      </c>
      <c r="J2499">
        <v>42.64</v>
      </c>
      <c r="K2499">
        <v>152.5</v>
      </c>
      <c r="L2499">
        <v>105</v>
      </c>
      <c r="M2499">
        <v>12.96</v>
      </c>
      <c r="N2499">
        <v>148.1</v>
      </c>
      <c r="O2499">
        <v>104</v>
      </c>
      <c r="P2499">
        <v>6.66</v>
      </c>
      <c r="Q2499">
        <v>10</v>
      </c>
      <c r="R2499">
        <v>5</v>
      </c>
      <c r="S2499">
        <v>2.7</v>
      </c>
      <c r="T2499">
        <v>2</v>
      </c>
      <c r="U2499" t="s">
        <v>22</v>
      </c>
      <c r="V2499" t="e">
        <f>IF(#REF! = "yes", 1, 0)</f>
        <v>#REF!</v>
      </c>
      <c r="W2499" t="e">
        <f>IF(#REF! &lt;= 1, "0-1 Calls", IF(#REF! &lt;= 3, "2-3 Calls", IF(#REF! &lt;=5, "4-5 Calls", "6+ Calls")))</f>
        <v>#REF!</v>
      </c>
      <c r="X2499" t="e">
        <f>IF(#REF! &lt;= 50, "0-50", IF(#REF! &lt;=100, "51-100", IF(#REF! &lt;= 150, "101-150", "151+")))</f>
        <v>#REF!</v>
      </c>
      <c r="Y2499" t="e">
        <f>IF(#REF! &lt;= 3, "Low Charges", "High Charges")</f>
        <v>#REF!</v>
      </c>
      <c r="Z2499" t="e">
        <f>IF(#REF!&lt;=80,"Low Calls",
IF(#REF!&lt;=120,"Medium Calls","High Calls"))</f>
        <v>#REF!</v>
      </c>
      <c r="AA2499" t="e">
        <f>IF(#REF!&lt;=15,"Low Charges",
IF(#REF!&lt;=20,"Medium Charges","High Charges"))</f>
        <v>#REF!</v>
      </c>
      <c r="AB2499" t="e">
        <f>IF(AND(#REF!&gt;180, #REF!&gt;200), "Heavy Doemstic User", IF(#REF!&gt;10, "Interntional User", IF(AND(#REF!&lt;180, #REF!&lt;200,#REF!&lt;200), "Light User", "Balanced User")))</f>
        <v>#REF!</v>
      </c>
      <c r="AC2499" t="e">
        <f>IF(#REF! = 0, "No Usage", IF(#REF! &lt;= 20, "Low Usage", IF(#REF! &lt;= 40, "Medium Usgae", "High Usage")))</f>
        <v>#REF!</v>
      </c>
      <c r="AD2499" t="e">
        <f>IF(#REF!&lt;=150,"Low Usage", IF(#REF!&lt;=200,"Medium Usage", IF(#REF!&lt;=250,"High Usage","Very High Usage")))</f>
        <v>#REF!</v>
      </c>
      <c r="AE2499" t="e">
        <f>IF(#REF!&lt;=5,"Low Calls", IF(#REF!&lt;=10, "Medium Calls", "High Calls"))</f>
        <v>#REF!</v>
      </c>
      <c r="AF2499" t="e">
        <f xml:space="preserve">
IF(#REF!&gt;=4,4,0)+
IF(#REF!="yes",3,0)+
IF(#REF!="High Charges",3,0)+
IF(#REF!&gt;250,4,0)+
IF(#REF!="no",1,0)+
IF(#REF!="Heavy Domestic User",2,0)</f>
        <v>#REF!</v>
      </c>
      <c r="AG2499" t="e">
        <f>IF(#REF!&gt;=10,"High Risk", IF(#REF!&gt;=5,"Medium Risk","Low Risk"))</f>
        <v>#REF!</v>
      </c>
      <c r="AH2499" t="e">
        <f>#REF! + #REF! + #REF! + #REF!</f>
        <v>#REF!</v>
      </c>
    </row>
    <row r="2500" spans="1:34" x14ac:dyDescent="0.35">
      <c r="A2500">
        <v>2499</v>
      </c>
      <c r="B2500" t="s">
        <v>39</v>
      </c>
      <c r="C2500">
        <v>53</v>
      </c>
      <c r="D2500" t="s">
        <v>21</v>
      </c>
      <c r="E2500" t="s">
        <v>22</v>
      </c>
      <c r="F2500" t="s">
        <v>22</v>
      </c>
      <c r="G2500">
        <v>0</v>
      </c>
      <c r="H2500">
        <v>119.7</v>
      </c>
      <c r="I2500">
        <v>113</v>
      </c>
      <c r="J2500">
        <v>20.350000000000001</v>
      </c>
      <c r="K2500">
        <v>189.7</v>
      </c>
      <c r="L2500">
        <v>84</v>
      </c>
      <c r="M2500">
        <v>16.12</v>
      </c>
      <c r="N2500">
        <v>256.2</v>
      </c>
      <c r="O2500">
        <v>108</v>
      </c>
      <c r="P2500">
        <v>11.53</v>
      </c>
      <c r="Q2500">
        <v>12.9</v>
      </c>
      <c r="R2500">
        <v>7</v>
      </c>
      <c r="S2500">
        <v>3.48</v>
      </c>
      <c r="T2500">
        <v>2</v>
      </c>
      <c r="U2500" t="s">
        <v>22</v>
      </c>
      <c r="V2500" t="e">
        <f>IF(#REF! = "yes", 1, 0)</f>
        <v>#REF!</v>
      </c>
      <c r="W2500" t="e">
        <f>IF(#REF! &lt;= 1, "0-1 Calls", IF(#REF! &lt;= 3, "2-3 Calls", IF(#REF! &lt;=5, "4-5 Calls", "6+ Calls")))</f>
        <v>#REF!</v>
      </c>
      <c r="X2500" t="e">
        <f>IF(#REF! &lt;= 50, "0-50", IF(#REF! &lt;=100, "51-100", IF(#REF! &lt;= 150, "101-150", "151+")))</f>
        <v>#REF!</v>
      </c>
      <c r="Y2500" t="e">
        <f>IF(#REF! &lt;= 3, "Low Charges", "High Charges")</f>
        <v>#REF!</v>
      </c>
      <c r="Z2500" t="e">
        <f>IF(#REF!&lt;=80,"Low Calls",
IF(#REF!&lt;=120,"Medium Calls","High Calls"))</f>
        <v>#REF!</v>
      </c>
      <c r="AA2500" t="e">
        <f>IF(#REF!&lt;=15,"Low Charges",
IF(#REF!&lt;=20,"Medium Charges","High Charges"))</f>
        <v>#REF!</v>
      </c>
      <c r="AB2500" t="e">
        <f>IF(AND(#REF!&gt;180, #REF!&gt;200), "Heavy Doemstic User", IF(#REF!&gt;10, "Interntional User", IF(AND(#REF!&lt;180, #REF!&lt;200,#REF!&lt;200), "Light User", "Balanced User")))</f>
        <v>#REF!</v>
      </c>
      <c r="AC2500" t="e">
        <f>IF(#REF! = 0, "No Usage", IF(#REF! &lt;= 20, "Low Usage", IF(#REF! &lt;= 40, "Medium Usgae", "High Usage")))</f>
        <v>#REF!</v>
      </c>
      <c r="AD2500" t="e">
        <f>IF(#REF!&lt;=150,"Low Usage", IF(#REF!&lt;=200,"Medium Usage", IF(#REF!&lt;=250,"High Usage","Very High Usage")))</f>
        <v>#REF!</v>
      </c>
      <c r="AE2500" t="e">
        <f>IF(#REF!&lt;=5,"Low Calls", IF(#REF!&lt;=10, "Medium Calls", "High Calls"))</f>
        <v>#REF!</v>
      </c>
      <c r="AF2500" t="e">
        <f xml:space="preserve">
IF(#REF!&gt;=4,4,0)+
IF(#REF!="yes",3,0)+
IF(#REF!="High Charges",3,0)+
IF(#REF!&gt;250,4,0)+
IF(#REF!="no",1,0)+
IF(#REF!="Heavy Domestic User",2,0)</f>
        <v>#REF!</v>
      </c>
      <c r="AG2500" t="e">
        <f>IF(#REF!&gt;=10,"High Risk", IF(#REF!&gt;=5,"Medium Risk","Low Risk"))</f>
        <v>#REF!</v>
      </c>
      <c r="AH2500" t="e">
        <f>#REF! + #REF! + #REF! + #REF!</f>
        <v>#REF!</v>
      </c>
    </row>
    <row r="2501" spans="1:34" x14ac:dyDescent="0.35">
      <c r="A2501">
        <v>2500</v>
      </c>
      <c r="B2501" t="s">
        <v>44</v>
      </c>
      <c r="C2501">
        <v>123</v>
      </c>
      <c r="D2501" t="s">
        <v>21</v>
      </c>
      <c r="E2501" t="s">
        <v>22</v>
      </c>
      <c r="F2501" t="s">
        <v>22</v>
      </c>
      <c r="G2501">
        <v>0</v>
      </c>
      <c r="H2501">
        <v>242.2</v>
      </c>
      <c r="I2501">
        <v>87</v>
      </c>
      <c r="J2501">
        <v>41.17</v>
      </c>
      <c r="K2501">
        <v>226.1</v>
      </c>
      <c r="L2501">
        <v>101</v>
      </c>
      <c r="M2501">
        <v>19.22</v>
      </c>
      <c r="N2501">
        <v>268.60000000000002</v>
      </c>
      <c r="O2501">
        <v>121</v>
      </c>
      <c r="P2501">
        <v>12.09</v>
      </c>
      <c r="Q2501">
        <v>8.1999999999999993</v>
      </c>
      <c r="R2501">
        <v>3</v>
      </c>
      <c r="S2501">
        <v>2.21</v>
      </c>
      <c r="T2501">
        <v>5</v>
      </c>
      <c r="U2501" t="s">
        <v>23</v>
      </c>
      <c r="V2501" t="e">
        <f>IF(#REF! = "yes", 1, 0)</f>
        <v>#REF!</v>
      </c>
      <c r="W2501" t="e">
        <f>IF(#REF! &lt;= 1, "0-1 Calls", IF(#REF! &lt;= 3, "2-3 Calls", IF(#REF! &lt;=5, "4-5 Calls", "6+ Calls")))</f>
        <v>#REF!</v>
      </c>
      <c r="X2501" t="e">
        <f>IF(#REF! &lt;= 50, "0-50", IF(#REF! &lt;=100, "51-100", IF(#REF! &lt;= 150, "101-150", "151+")))</f>
        <v>#REF!</v>
      </c>
      <c r="Y2501" t="e">
        <f>IF(#REF! &lt;= 3, "Low Charges", "High Charges")</f>
        <v>#REF!</v>
      </c>
      <c r="Z2501" t="e">
        <f>IF(#REF!&lt;=80,"Low Calls",
IF(#REF!&lt;=120,"Medium Calls","High Calls"))</f>
        <v>#REF!</v>
      </c>
      <c r="AA2501" t="e">
        <f>IF(#REF!&lt;=15,"Low Charges",
IF(#REF!&lt;=20,"Medium Charges","High Charges"))</f>
        <v>#REF!</v>
      </c>
      <c r="AB2501" t="e">
        <f>IF(AND(#REF!&gt;180, #REF!&gt;200), "Heavy Doemstic User", IF(#REF!&gt;10, "Interntional User", IF(AND(#REF!&lt;180, #REF!&lt;200,#REF!&lt;200), "Light User", "Balanced User")))</f>
        <v>#REF!</v>
      </c>
      <c r="AC2501" t="e">
        <f>IF(#REF! = 0, "No Usage", IF(#REF! &lt;= 20, "Low Usage", IF(#REF! &lt;= 40, "Medium Usgae", "High Usage")))</f>
        <v>#REF!</v>
      </c>
      <c r="AD2501" t="e">
        <f>IF(#REF!&lt;=150,"Low Usage", IF(#REF!&lt;=200,"Medium Usage", IF(#REF!&lt;=250,"High Usage","Very High Usage")))</f>
        <v>#REF!</v>
      </c>
      <c r="AE2501" t="e">
        <f>IF(#REF!&lt;=5,"Low Calls", IF(#REF!&lt;=10, "Medium Calls", "High Calls"))</f>
        <v>#REF!</v>
      </c>
      <c r="AF2501" t="e">
        <f xml:space="preserve">
IF(#REF!&gt;=4,4,0)+
IF(#REF!="yes",3,0)+
IF(#REF!="High Charges",3,0)+
IF(#REF!&gt;250,4,0)+
IF(#REF!="no",1,0)+
IF(#REF!="Heavy Domestic User",2,0)</f>
        <v>#REF!</v>
      </c>
      <c r="AG2501" t="e">
        <f>IF(#REF!&gt;=10,"High Risk", IF(#REF!&gt;=5,"Medium Risk","Low Risk"))</f>
        <v>#REF!</v>
      </c>
      <c r="AH2501" t="e">
        <f>#REF! + #REF! + #REF! + #REF!</f>
        <v>#REF!</v>
      </c>
    </row>
    <row r="2502" spans="1:34" x14ac:dyDescent="0.35">
      <c r="A2502">
        <v>2501</v>
      </c>
      <c r="B2502" t="s">
        <v>48</v>
      </c>
      <c r="C2502">
        <v>136</v>
      </c>
      <c r="D2502" t="s">
        <v>21</v>
      </c>
      <c r="E2502" t="s">
        <v>22</v>
      </c>
      <c r="F2502" t="s">
        <v>22</v>
      </c>
      <c r="G2502">
        <v>0</v>
      </c>
      <c r="H2502">
        <v>163.4</v>
      </c>
      <c r="I2502">
        <v>83</v>
      </c>
      <c r="J2502">
        <v>27.78</v>
      </c>
      <c r="K2502">
        <v>249.3</v>
      </c>
      <c r="L2502">
        <v>119</v>
      </c>
      <c r="M2502">
        <v>21.19</v>
      </c>
      <c r="N2502">
        <v>249.7</v>
      </c>
      <c r="O2502">
        <v>90</v>
      </c>
      <c r="P2502">
        <v>11.24</v>
      </c>
      <c r="Q2502">
        <v>9.8000000000000007</v>
      </c>
      <c r="R2502">
        <v>4</v>
      </c>
      <c r="S2502">
        <v>2.65</v>
      </c>
      <c r="T2502">
        <v>7</v>
      </c>
      <c r="U2502" t="s">
        <v>22</v>
      </c>
      <c r="V2502" t="e">
        <f>IF(#REF! = "yes", 1, 0)</f>
        <v>#REF!</v>
      </c>
      <c r="W2502" t="e">
        <f>IF(#REF! &lt;= 1, "0-1 Calls", IF(#REF! &lt;= 3, "2-3 Calls", IF(#REF! &lt;=5, "4-5 Calls", "6+ Calls")))</f>
        <v>#REF!</v>
      </c>
      <c r="X2502" t="e">
        <f>IF(#REF! &lt;= 50, "0-50", IF(#REF! &lt;=100, "51-100", IF(#REF! &lt;= 150, "101-150", "151+")))</f>
        <v>#REF!</v>
      </c>
      <c r="Y2502" t="e">
        <f>IF(#REF! &lt;= 3, "Low Charges", "High Charges")</f>
        <v>#REF!</v>
      </c>
      <c r="Z2502" t="e">
        <f>IF(#REF!&lt;=80,"Low Calls",
IF(#REF!&lt;=120,"Medium Calls","High Calls"))</f>
        <v>#REF!</v>
      </c>
      <c r="AA2502" t="e">
        <f>IF(#REF!&lt;=15,"Low Charges",
IF(#REF!&lt;=20,"Medium Charges","High Charges"))</f>
        <v>#REF!</v>
      </c>
      <c r="AB2502" t="e">
        <f>IF(AND(#REF!&gt;180, #REF!&gt;200), "Heavy Doemstic User", IF(#REF!&gt;10, "Interntional User", IF(AND(#REF!&lt;180, #REF!&lt;200,#REF!&lt;200), "Light User", "Balanced User")))</f>
        <v>#REF!</v>
      </c>
      <c r="AC2502" t="e">
        <f>IF(#REF! = 0, "No Usage", IF(#REF! &lt;= 20, "Low Usage", IF(#REF! &lt;= 40, "Medium Usgae", "High Usage")))</f>
        <v>#REF!</v>
      </c>
      <c r="AD2502" t="e">
        <f>IF(#REF!&lt;=150,"Low Usage", IF(#REF!&lt;=200,"Medium Usage", IF(#REF!&lt;=250,"High Usage","Very High Usage")))</f>
        <v>#REF!</v>
      </c>
      <c r="AE2502" t="e">
        <f>IF(#REF!&lt;=5,"Low Calls", IF(#REF!&lt;=10, "Medium Calls", "High Calls"))</f>
        <v>#REF!</v>
      </c>
      <c r="AF2502" t="e">
        <f xml:space="preserve">
IF(#REF!&gt;=4,4,0)+
IF(#REF!="yes",3,0)+
IF(#REF!="High Charges",3,0)+
IF(#REF!&gt;250,4,0)+
IF(#REF!="no",1,0)+
IF(#REF!="Heavy Domestic User",2,0)</f>
        <v>#REF!</v>
      </c>
      <c r="AG2502" t="e">
        <f>IF(#REF!&gt;=10,"High Risk", IF(#REF!&gt;=5,"Medium Risk","Low Risk"))</f>
        <v>#REF!</v>
      </c>
      <c r="AH2502" t="e">
        <f>#REF! + #REF! + #REF! + #REF!</f>
        <v>#REF!</v>
      </c>
    </row>
    <row r="2503" spans="1:34" x14ac:dyDescent="0.35">
      <c r="A2503">
        <v>2502</v>
      </c>
      <c r="B2503" t="s">
        <v>39</v>
      </c>
      <c r="C2503">
        <v>57</v>
      </c>
      <c r="D2503" t="s">
        <v>21</v>
      </c>
      <c r="E2503" t="s">
        <v>22</v>
      </c>
      <c r="F2503" t="s">
        <v>22</v>
      </c>
      <c r="G2503">
        <v>0</v>
      </c>
      <c r="H2503">
        <v>161</v>
      </c>
      <c r="I2503">
        <v>113</v>
      </c>
      <c r="J2503">
        <v>27.37</v>
      </c>
      <c r="K2503">
        <v>208</v>
      </c>
      <c r="L2503">
        <v>134</v>
      </c>
      <c r="M2503">
        <v>17.68</v>
      </c>
      <c r="N2503">
        <v>208.1</v>
      </c>
      <c r="O2503">
        <v>81</v>
      </c>
      <c r="P2503">
        <v>9.36</v>
      </c>
      <c r="Q2503">
        <v>8.4</v>
      </c>
      <c r="R2503">
        <v>4</v>
      </c>
      <c r="S2503">
        <v>2.27</v>
      </c>
      <c r="T2503">
        <v>3</v>
      </c>
      <c r="U2503" t="s">
        <v>22</v>
      </c>
      <c r="V2503" t="e">
        <f>IF(#REF! = "yes", 1, 0)</f>
        <v>#REF!</v>
      </c>
      <c r="W2503" t="e">
        <f>IF(#REF! &lt;= 1, "0-1 Calls", IF(#REF! &lt;= 3, "2-3 Calls", IF(#REF! &lt;=5, "4-5 Calls", "6+ Calls")))</f>
        <v>#REF!</v>
      </c>
      <c r="X2503" t="e">
        <f>IF(#REF! &lt;= 50, "0-50", IF(#REF! &lt;=100, "51-100", IF(#REF! &lt;= 150, "101-150", "151+")))</f>
        <v>#REF!</v>
      </c>
      <c r="Y2503" t="e">
        <f>IF(#REF! &lt;= 3, "Low Charges", "High Charges")</f>
        <v>#REF!</v>
      </c>
      <c r="Z2503" t="e">
        <f>IF(#REF!&lt;=80,"Low Calls",
IF(#REF!&lt;=120,"Medium Calls","High Calls"))</f>
        <v>#REF!</v>
      </c>
      <c r="AA2503" t="e">
        <f>IF(#REF!&lt;=15,"Low Charges",
IF(#REF!&lt;=20,"Medium Charges","High Charges"))</f>
        <v>#REF!</v>
      </c>
      <c r="AB2503" t="e">
        <f>IF(AND(#REF!&gt;180, #REF!&gt;200), "Heavy Doemstic User", IF(#REF!&gt;10, "Interntional User", IF(AND(#REF!&lt;180, #REF!&lt;200,#REF!&lt;200), "Light User", "Balanced User")))</f>
        <v>#REF!</v>
      </c>
      <c r="AC2503" t="e">
        <f>IF(#REF! = 0, "No Usage", IF(#REF! &lt;= 20, "Low Usage", IF(#REF! &lt;= 40, "Medium Usgae", "High Usage")))</f>
        <v>#REF!</v>
      </c>
      <c r="AD2503" t="e">
        <f>IF(#REF!&lt;=150,"Low Usage", IF(#REF!&lt;=200,"Medium Usage", IF(#REF!&lt;=250,"High Usage","Very High Usage")))</f>
        <v>#REF!</v>
      </c>
      <c r="AE2503" t="e">
        <f>IF(#REF!&lt;=5,"Low Calls", IF(#REF!&lt;=10, "Medium Calls", "High Calls"))</f>
        <v>#REF!</v>
      </c>
      <c r="AF2503" t="e">
        <f xml:space="preserve">
IF(#REF!&gt;=4,4,0)+
IF(#REF!="yes",3,0)+
IF(#REF!="High Charges",3,0)+
IF(#REF!&gt;250,4,0)+
IF(#REF!="no",1,0)+
IF(#REF!="Heavy Domestic User",2,0)</f>
        <v>#REF!</v>
      </c>
      <c r="AG2503" t="e">
        <f>IF(#REF!&gt;=10,"High Risk", IF(#REF!&gt;=5,"Medium Risk","Low Risk"))</f>
        <v>#REF!</v>
      </c>
      <c r="AH2503" t="e">
        <f>#REF! + #REF! + #REF! + #REF!</f>
        <v>#REF!</v>
      </c>
    </row>
    <row r="2504" spans="1:34" x14ac:dyDescent="0.35">
      <c r="A2504">
        <v>2503</v>
      </c>
      <c r="B2504" t="s">
        <v>31</v>
      </c>
      <c r="C2504">
        <v>62</v>
      </c>
      <c r="D2504" t="s">
        <v>25</v>
      </c>
      <c r="E2504" t="s">
        <v>22</v>
      </c>
      <c r="F2504" t="s">
        <v>22</v>
      </c>
      <c r="G2504">
        <v>0</v>
      </c>
      <c r="H2504">
        <v>128.69999999999999</v>
      </c>
      <c r="I2504">
        <v>111</v>
      </c>
      <c r="J2504">
        <v>21.88</v>
      </c>
      <c r="K2504">
        <v>169.5</v>
      </c>
      <c r="L2504">
        <v>104</v>
      </c>
      <c r="M2504">
        <v>14.41</v>
      </c>
      <c r="N2504">
        <v>193.6</v>
      </c>
      <c r="O2504">
        <v>97</v>
      </c>
      <c r="P2504">
        <v>8.7100000000000009</v>
      </c>
      <c r="Q2504">
        <v>10.3</v>
      </c>
      <c r="R2504">
        <v>5</v>
      </c>
      <c r="S2504">
        <v>2.78</v>
      </c>
      <c r="T2504">
        <v>1</v>
      </c>
      <c r="U2504" t="s">
        <v>22</v>
      </c>
      <c r="V2504" t="e">
        <f>IF(#REF! = "yes", 1, 0)</f>
        <v>#REF!</v>
      </c>
      <c r="W2504" t="e">
        <f>IF(#REF! &lt;= 1, "0-1 Calls", IF(#REF! &lt;= 3, "2-3 Calls", IF(#REF! &lt;=5, "4-5 Calls", "6+ Calls")))</f>
        <v>#REF!</v>
      </c>
      <c r="X2504" t="e">
        <f>IF(#REF! &lt;= 50, "0-50", IF(#REF! &lt;=100, "51-100", IF(#REF! &lt;= 150, "101-150", "151+")))</f>
        <v>#REF!</v>
      </c>
      <c r="Y2504" t="e">
        <f>IF(#REF! &lt;= 3, "Low Charges", "High Charges")</f>
        <v>#REF!</v>
      </c>
      <c r="Z2504" t="e">
        <f>IF(#REF!&lt;=80,"Low Calls",
IF(#REF!&lt;=120,"Medium Calls","High Calls"))</f>
        <v>#REF!</v>
      </c>
      <c r="AA2504" t="e">
        <f>IF(#REF!&lt;=15,"Low Charges",
IF(#REF!&lt;=20,"Medium Charges","High Charges"))</f>
        <v>#REF!</v>
      </c>
      <c r="AB2504" t="e">
        <f>IF(AND(#REF!&gt;180, #REF!&gt;200), "Heavy Doemstic User", IF(#REF!&gt;10, "Interntional User", IF(AND(#REF!&lt;180, #REF!&lt;200,#REF!&lt;200), "Light User", "Balanced User")))</f>
        <v>#REF!</v>
      </c>
      <c r="AC2504" t="e">
        <f>IF(#REF! = 0, "No Usage", IF(#REF! &lt;= 20, "Low Usage", IF(#REF! &lt;= 40, "Medium Usgae", "High Usage")))</f>
        <v>#REF!</v>
      </c>
      <c r="AD2504" t="e">
        <f>IF(#REF!&lt;=150,"Low Usage", IF(#REF!&lt;=200,"Medium Usage", IF(#REF!&lt;=250,"High Usage","Very High Usage")))</f>
        <v>#REF!</v>
      </c>
      <c r="AE2504" t="e">
        <f>IF(#REF!&lt;=5,"Low Calls", IF(#REF!&lt;=10, "Medium Calls", "High Calls"))</f>
        <v>#REF!</v>
      </c>
      <c r="AF2504" t="e">
        <f xml:space="preserve">
IF(#REF!&gt;=4,4,0)+
IF(#REF!="yes",3,0)+
IF(#REF!="High Charges",3,0)+
IF(#REF!&gt;250,4,0)+
IF(#REF!="no",1,0)+
IF(#REF!="Heavy Domestic User",2,0)</f>
        <v>#REF!</v>
      </c>
      <c r="AG2504" t="e">
        <f>IF(#REF!&gt;=10,"High Risk", IF(#REF!&gt;=5,"Medium Risk","Low Risk"))</f>
        <v>#REF!</v>
      </c>
      <c r="AH2504" t="e">
        <f>#REF! + #REF! + #REF! + #REF!</f>
        <v>#REF!</v>
      </c>
    </row>
    <row r="2505" spans="1:34" x14ac:dyDescent="0.35">
      <c r="A2505">
        <v>2504</v>
      </c>
      <c r="B2505" t="s">
        <v>61</v>
      </c>
      <c r="C2505">
        <v>112</v>
      </c>
      <c r="D2505" t="s">
        <v>21</v>
      </c>
      <c r="E2505" t="s">
        <v>22</v>
      </c>
      <c r="F2505" t="s">
        <v>22</v>
      </c>
      <c r="G2505">
        <v>0</v>
      </c>
      <c r="H2505">
        <v>81.599999999999994</v>
      </c>
      <c r="I2505">
        <v>94</v>
      </c>
      <c r="J2505">
        <v>13.87</v>
      </c>
      <c r="K2505">
        <v>268.10000000000002</v>
      </c>
      <c r="L2505">
        <v>112</v>
      </c>
      <c r="M2505">
        <v>22.79</v>
      </c>
      <c r="N2505">
        <v>140.80000000000001</v>
      </c>
      <c r="O2505">
        <v>75</v>
      </c>
      <c r="P2505">
        <v>6.34</v>
      </c>
      <c r="Q2505">
        <v>8.6</v>
      </c>
      <c r="R2505">
        <v>18</v>
      </c>
      <c r="S2505">
        <v>2.3199999999999998</v>
      </c>
      <c r="T2505">
        <v>1</v>
      </c>
      <c r="U2505" t="s">
        <v>22</v>
      </c>
      <c r="V2505" t="e">
        <f>IF(#REF! = "yes", 1, 0)</f>
        <v>#REF!</v>
      </c>
      <c r="W2505" t="e">
        <f>IF(#REF! &lt;= 1, "0-1 Calls", IF(#REF! &lt;= 3, "2-3 Calls", IF(#REF! &lt;=5, "4-5 Calls", "6+ Calls")))</f>
        <v>#REF!</v>
      </c>
      <c r="X2505" t="e">
        <f>IF(#REF! &lt;= 50, "0-50", IF(#REF! &lt;=100, "51-100", IF(#REF! &lt;= 150, "101-150", "151+")))</f>
        <v>#REF!</v>
      </c>
      <c r="Y2505" t="e">
        <f>IF(#REF! &lt;= 3, "Low Charges", "High Charges")</f>
        <v>#REF!</v>
      </c>
      <c r="Z2505" t="e">
        <f>IF(#REF!&lt;=80,"Low Calls",
IF(#REF!&lt;=120,"Medium Calls","High Calls"))</f>
        <v>#REF!</v>
      </c>
      <c r="AA2505" t="e">
        <f>IF(#REF!&lt;=15,"Low Charges",
IF(#REF!&lt;=20,"Medium Charges","High Charges"))</f>
        <v>#REF!</v>
      </c>
      <c r="AB2505" t="e">
        <f>IF(AND(#REF!&gt;180, #REF!&gt;200), "Heavy Doemstic User", IF(#REF!&gt;10, "Interntional User", IF(AND(#REF!&lt;180, #REF!&lt;200,#REF!&lt;200), "Light User", "Balanced User")))</f>
        <v>#REF!</v>
      </c>
      <c r="AC2505" t="e">
        <f>IF(#REF! = 0, "No Usage", IF(#REF! &lt;= 20, "Low Usage", IF(#REF! &lt;= 40, "Medium Usgae", "High Usage")))</f>
        <v>#REF!</v>
      </c>
      <c r="AD2505" t="e">
        <f>IF(#REF!&lt;=150,"Low Usage", IF(#REF!&lt;=200,"Medium Usage", IF(#REF!&lt;=250,"High Usage","Very High Usage")))</f>
        <v>#REF!</v>
      </c>
      <c r="AE2505" t="e">
        <f>IF(#REF!&lt;=5,"Low Calls", IF(#REF!&lt;=10, "Medium Calls", "High Calls"))</f>
        <v>#REF!</v>
      </c>
      <c r="AF2505" t="e">
        <f xml:space="preserve">
IF(#REF!&gt;=4,4,0)+
IF(#REF!="yes",3,0)+
IF(#REF!="High Charges",3,0)+
IF(#REF!&gt;250,4,0)+
IF(#REF!="no",1,0)+
IF(#REF!="Heavy Domestic User",2,0)</f>
        <v>#REF!</v>
      </c>
      <c r="AG2505" t="e">
        <f>IF(#REF!&gt;=10,"High Risk", IF(#REF!&gt;=5,"Medium Risk","Low Risk"))</f>
        <v>#REF!</v>
      </c>
      <c r="AH2505" t="e">
        <f>#REF! + #REF! + #REF! + #REF!</f>
        <v>#REF!</v>
      </c>
    </row>
    <row r="2506" spans="1:34" x14ac:dyDescent="0.35">
      <c r="A2506">
        <v>2505</v>
      </c>
      <c r="B2506" t="s">
        <v>53</v>
      </c>
      <c r="C2506">
        <v>55</v>
      </c>
      <c r="D2506" t="s">
        <v>21</v>
      </c>
      <c r="E2506" t="s">
        <v>22</v>
      </c>
      <c r="F2506" t="s">
        <v>23</v>
      </c>
      <c r="G2506">
        <v>20</v>
      </c>
      <c r="H2506">
        <v>207.7</v>
      </c>
      <c r="I2506">
        <v>91</v>
      </c>
      <c r="J2506">
        <v>35.31</v>
      </c>
      <c r="K2506">
        <v>199.7</v>
      </c>
      <c r="L2506">
        <v>113</v>
      </c>
      <c r="M2506">
        <v>16.97</v>
      </c>
      <c r="N2506">
        <v>216.5</v>
      </c>
      <c r="O2506">
        <v>110</v>
      </c>
      <c r="P2506">
        <v>9.74</v>
      </c>
      <c r="Q2506">
        <v>7.3</v>
      </c>
      <c r="R2506">
        <v>1</v>
      </c>
      <c r="S2506">
        <v>1.97</v>
      </c>
      <c r="T2506">
        <v>1</v>
      </c>
      <c r="U2506" t="s">
        <v>22</v>
      </c>
      <c r="V2506" t="e">
        <f>IF(#REF! = "yes", 1, 0)</f>
        <v>#REF!</v>
      </c>
      <c r="W2506" t="e">
        <f>IF(#REF! &lt;= 1, "0-1 Calls", IF(#REF! &lt;= 3, "2-3 Calls", IF(#REF! &lt;=5, "4-5 Calls", "6+ Calls")))</f>
        <v>#REF!</v>
      </c>
      <c r="X2506" t="e">
        <f>IF(#REF! &lt;= 50, "0-50", IF(#REF! &lt;=100, "51-100", IF(#REF! &lt;= 150, "101-150", "151+")))</f>
        <v>#REF!</v>
      </c>
      <c r="Y2506" t="e">
        <f>IF(#REF! &lt;= 3, "Low Charges", "High Charges")</f>
        <v>#REF!</v>
      </c>
      <c r="Z2506" t="e">
        <f>IF(#REF!&lt;=80,"Low Calls",
IF(#REF!&lt;=120,"Medium Calls","High Calls"))</f>
        <v>#REF!</v>
      </c>
      <c r="AA2506" t="e">
        <f>IF(#REF!&lt;=15,"Low Charges",
IF(#REF!&lt;=20,"Medium Charges","High Charges"))</f>
        <v>#REF!</v>
      </c>
      <c r="AB2506" t="e">
        <f>IF(AND(#REF!&gt;180, #REF!&gt;200), "Heavy Doemstic User", IF(#REF!&gt;10, "Interntional User", IF(AND(#REF!&lt;180, #REF!&lt;200,#REF!&lt;200), "Light User", "Balanced User")))</f>
        <v>#REF!</v>
      </c>
      <c r="AC2506" t="e">
        <f>IF(#REF! = 0, "No Usage", IF(#REF! &lt;= 20, "Low Usage", IF(#REF! &lt;= 40, "Medium Usgae", "High Usage")))</f>
        <v>#REF!</v>
      </c>
      <c r="AD2506" t="e">
        <f>IF(#REF!&lt;=150,"Low Usage", IF(#REF!&lt;=200,"Medium Usage", IF(#REF!&lt;=250,"High Usage","Very High Usage")))</f>
        <v>#REF!</v>
      </c>
      <c r="AE2506" t="e">
        <f>IF(#REF!&lt;=5,"Low Calls", IF(#REF!&lt;=10, "Medium Calls", "High Calls"))</f>
        <v>#REF!</v>
      </c>
      <c r="AF2506" t="e">
        <f xml:space="preserve">
IF(#REF!&gt;=4,4,0)+
IF(#REF!="yes",3,0)+
IF(#REF!="High Charges",3,0)+
IF(#REF!&gt;250,4,0)+
IF(#REF!="no",1,0)+
IF(#REF!="Heavy Domestic User",2,0)</f>
        <v>#REF!</v>
      </c>
      <c r="AG2506" t="e">
        <f>IF(#REF!&gt;=10,"High Risk", IF(#REF!&gt;=5,"Medium Risk","Low Risk"))</f>
        <v>#REF!</v>
      </c>
      <c r="AH2506" t="e">
        <f>#REF! + #REF! + #REF! + #REF!</f>
        <v>#REF!</v>
      </c>
    </row>
    <row r="2507" spans="1:34" x14ac:dyDescent="0.35">
      <c r="A2507">
        <v>2506</v>
      </c>
      <c r="B2507" t="s">
        <v>36</v>
      </c>
      <c r="C2507">
        <v>125</v>
      </c>
      <c r="D2507" t="s">
        <v>21</v>
      </c>
      <c r="E2507" t="s">
        <v>22</v>
      </c>
      <c r="F2507" t="s">
        <v>22</v>
      </c>
      <c r="G2507">
        <v>0</v>
      </c>
      <c r="H2507">
        <v>233.3</v>
      </c>
      <c r="I2507">
        <v>65</v>
      </c>
      <c r="J2507">
        <v>39.659999999999997</v>
      </c>
      <c r="K2507">
        <v>209.8</v>
      </c>
      <c r="L2507">
        <v>93</v>
      </c>
      <c r="M2507">
        <v>17.829999999999998</v>
      </c>
      <c r="N2507">
        <v>210.6</v>
      </c>
      <c r="O2507">
        <v>109</v>
      </c>
      <c r="P2507">
        <v>9.48</v>
      </c>
      <c r="Q2507">
        <v>9.1</v>
      </c>
      <c r="R2507">
        <v>4</v>
      </c>
      <c r="S2507">
        <v>2.46</v>
      </c>
      <c r="T2507">
        <v>1</v>
      </c>
      <c r="U2507" t="s">
        <v>22</v>
      </c>
      <c r="V2507" t="e">
        <f>IF(#REF! = "yes", 1, 0)</f>
        <v>#REF!</v>
      </c>
      <c r="W2507" t="e">
        <f>IF(#REF! &lt;= 1, "0-1 Calls", IF(#REF! &lt;= 3, "2-3 Calls", IF(#REF! &lt;=5, "4-5 Calls", "6+ Calls")))</f>
        <v>#REF!</v>
      </c>
      <c r="X2507" t="e">
        <f>IF(#REF! &lt;= 50, "0-50", IF(#REF! &lt;=100, "51-100", IF(#REF! &lt;= 150, "101-150", "151+")))</f>
        <v>#REF!</v>
      </c>
      <c r="Y2507" t="e">
        <f>IF(#REF! &lt;= 3, "Low Charges", "High Charges")</f>
        <v>#REF!</v>
      </c>
      <c r="Z2507" t="e">
        <f>IF(#REF!&lt;=80,"Low Calls",
IF(#REF!&lt;=120,"Medium Calls","High Calls"))</f>
        <v>#REF!</v>
      </c>
      <c r="AA2507" t="e">
        <f>IF(#REF!&lt;=15,"Low Charges",
IF(#REF!&lt;=20,"Medium Charges","High Charges"))</f>
        <v>#REF!</v>
      </c>
      <c r="AB2507" t="e">
        <f>IF(AND(#REF!&gt;180, #REF!&gt;200), "Heavy Doemstic User", IF(#REF!&gt;10, "Interntional User", IF(AND(#REF!&lt;180, #REF!&lt;200,#REF!&lt;200), "Light User", "Balanced User")))</f>
        <v>#REF!</v>
      </c>
      <c r="AC2507" t="e">
        <f>IF(#REF! = 0, "No Usage", IF(#REF! &lt;= 20, "Low Usage", IF(#REF! &lt;= 40, "Medium Usgae", "High Usage")))</f>
        <v>#REF!</v>
      </c>
      <c r="AD2507" t="e">
        <f>IF(#REF!&lt;=150,"Low Usage", IF(#REF!&lt;=200,"Medium Usage", IF(#REF!&lt;=250,"High Usage","Very High Usage")))</f>
        <v>#REF!</v>
      </c>
      <c r="AE2507" t="e">
        <f>IF(#REF!&lt;=5,"Low Calls", IF(#REF!&lt;=10, "Medium Calls", "High Calls"))</f>
        <v>#REF!</v>
      </c>
      <c r="AF2507" t="e">
        <f xml:space="preserve">
IF(#REF!&gt;=4,4,0)+
IF(#REF!="yes",3,0)+
IF(#REF!="High Charges",3,0)+
IF(#REF!&gt;250,4,0)+
IF(#REF!="no",1,0)+
IF(#REF!="Heavy Domestic User",2,0)</f>
        <v>#REF!</v>
      </c>
      <c r="AG2507" t="e">
        <f>IF(#REF!&gt;=10,"High Risk", IF(#REF!&gt;=5,"Medium Risk","Low Risk"))</f>
        <v>#REF!</v>
      </c>
      <c r="AH2507" t="e">
        <f>#REF! + #REF! + #REF! + #REF!</f>
        <v>#REF!</v>
      </c>
    </row>
    <row r="2508" spans="1:34" x14ac:dyDescent="0.35">
      <c r="A2508">
        <v>2507</v>
      </c>
      <c r="B2508" t="s">
        <v>65</v>
      </c>
      <c r="C2508">
        <v>98</v>
      </c>
      <c r="D2508" t="s">
        <v>21</v>
      </c>
      <c r="E2508" t="s">
        <v>22</v>
      </c>
      <c r="F2508" t="s">
        <v>23</v>
      </c>
      <c r="G2508">
        <v>36</v>
      </c>
      <c r="H2508">
        <v>168</v>
      </c>
      <c r="I2508">
        <v>81</v>
      </c>
      <c r="J2508">
        <v>28.56</v>
      </c>
      <c r="K2508">
        <v>163.19999999999999</v>
      </c>
      <c r="L2508">
        <v>125</v>
      </c>
      <c r="M2508">
        <v>13.87</v>
      </c>
      <c r="N2508">
        <v>172.7</v>
      </c>
      <c r="O2508">
        <v>120</v>
      </c>
      <c r="P2508">
        <v>7.77</v>
      </c>
      <c r="Q2508">
        <v>8</v>
      </c>
      <c r="R2508">
        <v>2</v>
      </c>
      <c r="S2508">
        <v>2.16</v>
      </c>
      <c r="T2508">
        <v>6</v>
      </c>
      <c r="U2508" t="s">
        <v>23</v>
      </c>
      <c r="V2508" t="e">
        <f>IF(#REF! = "yes", 1, 0)</f>
        <v>#REF!</v>
      </c>
      <c r="W2508" t="e">
        <f>IF(#REF! &lt;= 1, "0-1 Calls", IF(#REF! &lt;= 3, "2-3 Calls", IF(#REF! &lt;=5, "4-5 Calls", "6+ Calls")))</f>
        <v>#REF!</v>
      </c>
      <c r="X2508" t="e">
        <f>IF(#REF! &lt;= 50, "0-50", IF(#REF! &lt;=100, "51-100", IF(#REF! &lt;= 150, "101-150", "151+")))</f>
        <v>#REF!</v>
      </c>
      <c r="Y2508" t="e">
        <f>IF(#REF! &lt;= 3, "Low Charges", "High Charges")</f>
        <v>#REF!</v>
      </c>
      <c r="Z2508" t="e">
        <f>IF(#REF!&lt;=80,"Low Calls",
IF(#REF!&lt;=120,"Medium Calls","High Calls"))</f>
        <v>#REF!</v>
      </c>
      <c r="AA2508" t="e">
        <f>IF(#REF!&lt;=15,"Low Charges",
IF(#REF!&lt;=20,"Medium Charges","High Charges"))</f>
        <v>#REF!</v>
      </c>
      <c r="AB2508" t="e">
        <f>IF(AND(#REF!&gt;180, #REF!&gt;200), "Heavy Doemstic User", IF(#REF!&gt;10, "Interntional User", IF(AND(#REF!&lt;180, #REF!&lt;200,#REF!&lt;200), "Light User", "Balanced User")))</f>
        <v>#REF!</v>
      </c>
      <c r="AC2508" t="e">
        <f>IF(#REF! = 0, "No Usage", IF(#REF! &lt;= 20, "Low Usage", IF(#REF! &lt;= 40, "Medium Usgae", "High Usage")))</f>
        <v>#REF!</v>
      </c>
      <c r="AD2508" t="e">
        <f>IF(#REF!&lt;=150,"Low Usage", IF(#REF!&lt;=200,"Medium Usage", IF(#REF!&lt;=250,"High Usage","Very High Usage")))</f>
        <v>#REF!</v>
      </c>
      <c r="AE2508" t="e">
        <f>IF(#REF!&lt;=5,"Low Calls", IF(#REF!&lt;=10, "Medium Calls", "High Calls"))</f>
        <v>#REF!</v>
      </c>
      <c r="AF2508" t="e">
        <f xml:space="preserve">
IF(#REF!&gt;=4,4,0)+
IF(#REF!="yes",3,0)+
IF(#REF!="High Charges",3,0)+
IF(#REF!&gt;250,4,0)+
IF(#REF!="no",1,0)+
IF(#REF!="Heavy Domestic User",2,0)</f>
        <v>#REF!</v>
      </c>
      <c r="AG2508" t="e">
        <f>IF(#REF!&gt;=10,"High Risk", IF(#REF!&gt;=5,"Medium Risk","Low Risk"))</f>
        <v>#REF!</v>
      </c>
      <c r="AH2508" t="e">
        <f>#REF! + #REF! + #REF! + #REF!</f>
        <v>#REF!</v>
      </c>
    </row>
    <row r="2509" spans="1:34" x14ac:dyDescent="0.35">
      <c r="A2509">
        <v>2508</v>
      </c>
      <c r="B2509" t="s">
        <v>57</v>
      </c>
      <c r="C2509">
        <v>105</v>
      </c>
      <c r="D2509" t="s">
        <v>21</v>
      </c>
      <c r="E2509" t="s">
        <v>22</v>
      </c>
      <c r="F2509" t="s">
        <v>22</v>
      </c>
      <c r="G2509">
        <v>0</v>
      </c>
      <c r="H2509">
        <v>251.6</v>
      </c>
      <c r="I2509">
        <v>88</v>
      </c>
      <c r="J2509">
        <v>42.77</v>
      </c>
      <c r="K2509">
        <v>175.1</v>
      </c>
      <c r="L2509">
        <v>103</v>
      </c>
      <c r="M2509">
        <v>14.88</v>
      </c>
      <c r="N2509">
        <v>184.4</v>
      </c>
      <c r="O2509">
        <v>112</v>
      </c>
      <c r="P2509">
        <v>8.3000000000000007</v>
      </c>
      <c r="Q2509">
        <v>5.4</v>
      </c>
      <c r="R2509">
        <v>5</v>
      </c>
      <c r="S2509">
        <v>1.46</v>
      </c>
      <c r="T2509">
        <v>1</v>
      </c>
      <c r="U2509" t="s">
        <v>22</v>
      </c>
      <c r="V2509" t="e">
        <f>IF(#REF! = "yes", 1, 0)</f>
        <v>#REF!</v>
      </c>
      <c r="W2509" t="e">
        <f>IF(#REF! &lt;= 1, "0-1 Calls", IF(#REF! &lt;= 3, "2-3 Calls", IF(#REF! &lt;=5, "4-5 Calls", "6+ Calls")))</f>
        <v>#REF!</v>
      </c>
      <c r="X2509" t="e">
        <f>IF(#REF! &lt;= 50, "0-50", IF(#REF! &lt;=100, "51-100", IF(#REF! &lt;= 150, "101-150", "151+")))</f>
        <v>#REF!</v>
      </c>
      <c r="Y2509" t="e">
        <f>IF(#REF! &lt;= 3, "Low Charges", "High Charges")</f>
        <v>#REF!</v>
      </c>
      <c r="Z2509" t="e">
        <f>IF(#REF!&lt;=80,"Low Calls",
IF(#REF!&lt;=120,"Medium Calls","High Calls"))</f>
        <v>#REF!</v>
      </c>
      <c r="AA2509" t="e">
        <f>IF(#REF!&lt;=15,"Low Charges",
IF(#REF!&lt;=20,"Medium Charges","High Charges"))</f>
        <v>#REF!</v>
      </c>
      <c r="AB2509" t="e">
        <f>IF(AND(#REF!&gt;180, #REF!&gt;200), "Heavy Doemstic User", IF(#REF!&gt;10, "Interntional User", IF(AND(#REF!&lt;180, #REF!&lt;200,#REF!&lt;200), "Light User", "Balanced User")))</f>
        <v>#REF!</v>
      </c>
      <c r="AC2509" t="e">
        <f>IF(#REF! = 0, "No Usage", IF(#REF! &lt;= 20, "Low Usage", IF(#REF! &lt;= 40, "Medium Usgae", "High Usage")))</f>
        <v>#REF!</v>
      </c>
      <c r="AD2509" t="e">
        <f>IF(#REF!&lt;=150,"Low Usage", IF(#REF!&lt;=200,"Medium Usage", IF(#REF!&lt;=250,"High Usage","Very High Usage")))</f>
        <v>#REF!</v>
      </c>
      <c r="AE2509" t="e">
        <f>IF(#REF!&lt;=5,"Low Calls", IF(#REF!&lt;=10, "Medium Calls", "High Calls"))</f>
        <v>#REF!</v>
      </c>
      <c r="AF2509" t="e">
        <f xml:space="preserve">
IF(#REF!&gt;=4,4,0)+
IF(#REF!="yes",3,0)+
IF(#REF!="High Charges",3,0)+
IF(#REF!&gt;250,4,0)+
IF(#REF!="no",1,0)+
IF(#REF!="Heavy Domestic User",2,0)</f>
        <v>#REF!</v>
      </c>
      <c r="AG2509" t="e">
        <f>IF(#REF!&gt;=10,"High Risk", IF(#REF!&gt;=5,"Medium Risk","Low Risk"))</f>
        <v>#REF!</v>
      </c>
      <c r="AH2509" t="e">
        <f>#REF! + #REF! + #REF! + #REF!</f>
        <v>#REF!</v>
      </c>
    </row>
    <row r="2510" spans="1:34" x14ac:dyDescent="0.35">
      <c r="A2510">
        <v>2509</v>
      </c>
      <c r="B2510" t="s">
        <v>37</v>
      </c>
      <c r="C2510">
        <v>113</v>
      </c>
      <c r="D2510" t="s">
        <v>21</v>
      </c>
      <c r="E2510" t="s">
        <v>22</v>
      </c>
      <c r="F2510" t="s">
        <v>23</v>
      </c>
      <c r="G2510">
        <v>30</v>
      </c>
      <c r="H2510">
        <v>183.8</v>
      </c>
      <c r="I2510">
        <v>102</v>
      </c>
      <c r="J2510">
        <v>31.25</v>
      </c>
      <c r="K2510">
        <v>183.4</v>
      </c>
      <c r="L2510">
        <v>123</v>
      </c>
      <c r="M2510">
        <v>15.59</v>
      </c>
      <c r="N2510">
        <v>235</v>
      </c>
      <c r="O2510">
        <v>52</v>
      </c>
      <c r="P2510">
        <v>10.58</v>
      </c>
      <c r="Q2510">
        <v>11.6</v>
      </c>
      <c r="R2510">
        <v>7</v>
      </c>
      <c r="S2510">
        <v>3.13</v>
      </c>
      <c r="T2510">
        <v>0</v>
      </c>
      <c r="U2510" t="s">
        <v>22</v>
      </c>
      <c r="V2510" t="e">
        <f>IF(#REF! = "yes", 1, 0)</f>
        <v>#REF!</v>
      </c>
      <c r="W2510" t="e">
        <f>IF(#REF! &lt;= 1, "0-1 Calls", IF(#REF! &lt;= 3, "2-3 Calls", IF(#REF! &lt;=5, "4-5 Calls", "6+ Calls")))</f>
        <v>#REF!</v>
      </c>
      <c r="X2510" t="e">
        <f>IF(#REF! &lt;= 50, "0-50", IF(#REF! &lt;=100, "51-100", IF(#REF! &lt;= 150, "101-150", "151+")))</f>
        <v>#REF!</v>
      </c>
      <c r="Y2510" t="e">
        <f>IF(#REF! &lt;= 3, "Low Charges", "High Charges")</f>
        <v>#REF!</v>
      </c>
      <c r="Z2510" t="e">
        <f>IF(#REF!&lt;=80,"Low Calls",
IF(#REF!&lt;=120,"Medium Calls","High Calls"))</f>
        <v>#REF!</v>
      </c>
      <c r="AA2510" t="e">
        <f>IF(#REF!&lt;=15,"Low Charges",
IF(#REF!&lt;=20,"Medium Charges","High Charges"))</f>
        <v>#REF!</v>
      </c>
      <c r="AB2510" t="e">
        <f>IF(AND(#REF!&gt;180, #REF!&gt;200), "Heavy Doemstic User", IF(#REF!&gt;10, "Interntional User", IF(AND(#REF!&lt;180, #REF!&lt;200,#REF!&lt;200), "Light User", "Balanced User")))</f>
        <v>#REF!</v>
      </c>
      <c r="AC2510" t="e">
        <f>IF(#REF! = 0, "No Usage", IF(#REF! &lt;= 20, "Low Usage", IF(#REF! &lt;= 40, "Medium Usgae", "High Usage")))</f>
        <v>#REF!</v>
      </c>
      <c r="AD2510" t="e">
        <f>IF(#REF!&lt;=150,"Low Usage", IF(#REF!&lt;=200,"Medium Usage", IF(#REF!&lt;=250,"High Usage","Very High Usage")))</f>
        <v>#REF!</v>
      </c>
      <c r="AE2510" t="e">
        <f>IF(#REF!&lt;=5,"Low Calls", IF(#REF!&lt;=10, "Medium Calls", "High Calls"))</f>
        <v>#REF!</v>
      </c>
      <c r="AF2510" t="e">
        <f xml:space="preserve">
IF(#REF!&gt;=4,4,0)+
IF(#REF!="yes",3,0)+
IF(#REF!="High Charges",3,0)+
IF(#REF!&gt;250,4,0)+
IF(#REF!="no",1,0)+
IF(#REF!="Heavy Domestic User",2,0)</f>
        <v>#REF!</v>
      </c>
      <c r="AG2510" t="e">
        <f>IF(#REF!&gt;=10,"High Risk", IF(#REF!&gt;=5,"Medium Risk","Low Risk"))</f>
        <v>#REF!</v>
      </c>
      <c r="AH2510" t="e">
        <f>#REF! + #REF! + #REF! + #REF!</f>
        <v>#REF!</v>
      </c>
    </row>
    <row r="2511" spans="1:34" x14ac:dyDescent="0.35">
      <c r="A2511">
        <v>2510</v>
      </c>
      <c r="B2511" t="s">
        <v>52</v>
      </c>
      <c r="C2511">
        <v>99</v>
      </c>
      <c r="D2511" t="s">
        <v>25</v>
      </c>
      <c r="E2511" t="s">
        <v>22</v>
      </c>
      <c r="F2511" t="s">
        <v>22</v>
      </c>
      <c r="G2511">
        <v>0</v>
      </c>
      <c r="H2511">
        <v>256.39999999999998</v>
      </c>
      <c r="I2511">
        <v>44</v>
      </c>
      <c r="J2511">
        <v>43.59</v>
      </c>
      <c r="K2511">
        <v>214.5</v>
      </c>
      <c r="L2511">
        <v>105</v>
      </c>
      <c r="M2511">
        <v>18.23</v>
      </c>
      <c r="N2511">
        <v>233.7</v>
      </c>
      <c r="O2511">
        <v>75</v>
      </c>
      <c r="P2511">
        <v>10.52</v>
      </c>
      <c r="Q2511">
        <v>7.9</v>
      </c>
      <c r="R2511">
        <v>1</v>
      </c>
      <c r="S2511">
        <v>2.13</v>
      </c>
      <c r="T2511">
        <v>3</v>
      </c>
      <c r="U2511" t="s">
        <v>23</v>
      </c>
      <c r="V2511" t="e">
        <f>IF(#REF! = "yes", 1, 0)</f>
        <v>#REF!</v>
      </c>
      <c r="W2511" t="e">
        <f>IF(#REF! &lt;= 1, "0-1 Calls", IF(#REF! &lt;= 3, "2-3 Calls", IF(#REF! &lt;=5, "4-5 Calls", "6+ Calls")))</f>
        <v>#REF!</v>
      </c>
      <c r="X2511" t="e">
        <f>IF(#REF! &lt;= 50, "0-50", IF(#REF! &lt;=100, "51-100", IF(#REF! &lt;= 150, "101-150", "151+")))</f>
        <v>#REF!</v>
      </c>
      <c r="Y2511" t="e">
        <f>IF(#REF! &lt;= 3, "Low Charges", "High Charges")</f>
        <v>#REF!</v>
      </c>
      <c r="Z2511" t="e">
        <f>IF(#REF!&lt;=80,"Low Calls",
IF(#REF!&lt;=120,"Medium Calls","High Calls"))</f>
        <v>#REF!</v>
      </c>
      <c r="AA2511" t="e">
        <f>IF(#REF!&lt;=15,"Low Charges",
IF(#REF!&lt;=20,"Medium Charges","High Charges"))</f>
        <v>#REF!</v>
      </c>
      <c r="AB2511" t="e">
        <f>IF(AND(#REF!&gt;180, #REF!&gt;200), "Heavy Doemstic User", IF(#REF!&gt;10, "Interntional User", IF(AND(#REF!&lt;180, #REF!&lt;200,#REF!&lt;200), "Light User", "Balanced User")))</f>
        <v>#REF!</v>
      </c>
      <c r="AC2511" t="e">
        <f>IF(#REF! = 0, "No Usage", IF(#REF! &lt;= 20, "Low Usage", IF(#REF! &lt;= 40, "Medium Usgae", "High Usage")))</f>
        <v>#REF!</v>
      </c>
      <c r="AD2511" t="e">
        <f>IF(#REF!&lt;=150,"Low Usage", IF(#REF!&lt;=200,"Medium Usage", IF(#REF!&lt;=250,"High Usage","Very High Usage")))</f>
        <v>#REF!</v>
      </c>
      <c r="AE2511" t="e">
        <f>IF(#REF!&lt;=5,"Low Calls", IF(#REF!&lt;=10, "Medium Calls", "High Calls"))</f>
        <v>#REF!</v>
      </c>
      <c r="AF2511" t="e">
        <f xml:space="preserve">
IF(#REF!&gt;=4,4,0)+
IF(#REF!="yes",3,0)+
IF(#REF!="High Charges",3,0)+
IF(#REF!&gt;250,4,0)+
IF(#REF!="no",1,0)+
IF(#REF!="Heavy Domestic User",2,0)</f>
        <v>#REF!</v>
      </c>
      <c r="AG2511" t="e">
        <f>IF(#REF!&gt;=10,"High Risk", IF(#REF!&gt;=5,"Medium Risk","Low Risk"))</f>
        <v>#REF!</v>
      </c>
      <c r="AH2511" t="e">
        <f>#REF! + #REF! + #REF! + #REF!</f>
        <v>#REF!</v>
      </c>
    </row>
    <row r="2512" spans="1:34" x14ac:dyDescent="0.35">
      <c r="A2512">
        <v>2511</v>
      </c>
      <c r="B2512" t="s">
        <v>51</v>
      </c>
      <c r="C2512">
        <v>103</v>
      </c>
      <c r="D2512" t="s">
        <v>21</v>
      </c>
      <c r="E2512" t="s">
        <v>22</v>
      </c>
      <c r="F2512" t="s">
        <v>22</v>
      </c>
      <c r="G2512">
        <v>0</v>
      </c>
      <c r="H2512">
        <v>180.2</v>
      </c>
      <c r="I2512">
        <v>134</v>
      </c>
      <c r="J2512">
        <v>30.63</v>
      </c>
      <c r="K2512">
        <v>97.7</v>
      </c>
      <c r="L2512">
        <v>85</v>
      </c>
      <c r="M2512">
        <v>8.3000000000000007</v>
      </c>
      <c r="N2512">
        <v>181.7</v>
      </c>
      <c r="O2512">
        <v>134</v>
      </c>
      <c r="P2512">
        <v>8.18</v>
      </c>
      <c r="Q2512">
        <v>8.4</v>
      </c>
      <c r="R2512">
        <v>3</v>
      </c>
      <c r="S2512">
        <v>2.27</v>
      </c>
      <c r="T2512">
        <v>1</v>
      </c>
      <c r="U2512" t="s">
        <v>22</v>
      </c>
      <c r="V2512" t="e">
        <f>IF(#REF! = "yes", 1, 0)</f>
        <v>#REF!</v>
      </c>
      <c r="W2512" t="e">
        <f>IF(#REF! &lt;= 1, "0-1 Calls", IF(#REF! &lt;= 3, "2-3 Calls", IF(#REF! &lt;=5, "4-5 Calls", "6+ Calls")))</f>
        <v>#REF!</v>
      </c>
      <c r="X2512" t="e">
        <f>IF(#REF! &lt;= 50, "0-50", IF(#REF! &lt;=100, "51-100", IF(#REF! &lt;= 150, "101-150", "151+")))</f>
        <v>#REF!</v>
      </c>
      <c r="Y2512" t="e">
        <f>IF(#REF! &lt;= 3, "Low Charges", "High Charges")</f>
        <v>#REF!</v>
      </c>
      <c r="Z2512" t="e">
        <f>IF(#REF!&lt;=80,"Low Calls",
IF(#REF!&lt;=120,"Medium Calls","High Calls"))</f>
        <v>#REF!</v>
      </c>
      <c r="AA2512" t="e">
        <f>IF(#REF!&lt;=15,"Low Charges",
IF(#REF!&lt;=20,"Medium Charges","High Charges"))</f>
        <v>#REF!</v>
      </c>
      <c r="AB2512" t="e">
        <f>IF(AND(#REF!&gt;180, #REF!&gt;200), "Heavy Doemstic User", IF(#REF!&gt;10, "Interntional User", IF(AND(#REF!&lt;180, #REF!&lt;200,#REF!&lt;200), "Light User", "Balanced User")))</f>
        <v>#REF!</v>
      </c>
      <c r="AC2512" t="e">
        <f>IF(#REF! = 0, "No Usage", IF(#REF! &lt;= 20, "Low Usage", IF(#REF! &lt;= 40, "Medium Usgae", "High Usage")))</f>
        <v>#REF!</v>
      </c>
      <c r="AD2512" t="e">
        <f>IF(#REF!&lt;=150,"Low Usage", IF(#REF!&lt;=200,"Medium Usage", IF(#REF!&lt;=250,"High Usage","Very High Usage")))</f>
        <v>#REF!</v>
      </c>
      <c r="AE2512" t="e">
        <f>IF(#REF!&lt;=5,"Low Calls", IF(#REF!&lt;=10, "Medium Calls", "High Calls"))</f>
        <v>#REF!</v>
      </c>
      <c r="AF2512" t="e">
        <f xml:space="preserve">
IF(#REF!&gt;=4,4,0)+
IF(#REF!="yes",3,0)+
IF(#REF!="High Charges",3,0)+
IF(#REF!&gt;250,4,0)+
IF(#REF!="no",1,0)+
IF(#REF!="Heavy Domestic User",2,0)</f>
        <v>#REF!</v>
      </c>
      <c r="AG2512" t="e">
        <f>IF(#REF!&gt;=10,"High Risk", IF(#REF!&gt;=5,"Medium Risk","Low Risk"))</f>
        <v>#REF!</v>
      </c>
      <c r="AH2512" t="e">
        <f>#REF! + #REF! + #REF! + #REF!</f>
        <v>#REF!</v>
      </c>
    </row>
    <row r="2513" spans="1:34" x14ac:dyDescent="0.35">
      <c r="A2513">
        <v>2512</v>
      </c>
      <c r="B2513" t="s">
        <v>31</v>
      </c>
      <c r="C2513">
        <v>177</v>
      </c>
      <c r="D2513" t="s">
        <v>25</v>
      </c>
      <c r="E2513" t="s">
        <v>22</v>
      </c>
      <c r="F2513" t="s">
        <v>22</v>
      </c>
      <c r="G2513">
        <v>0</v>
      </c>
      <c r="H2513">
        <v>227.8</v>
      </c>
      <c r="I2513">
        <v>81</v>
      </c>
      <c r="J2513">
        <v>38.729999999999997</v>
      </c>
      <c r="K2513">
        <v>161.80000000000001</v>
      </c>
      <c r="L2513">
        <v>97</v>
      </c>
      <c r="M2513">
        <v>13.75</v>
      </c>
      <c r="N2513">
        <v>217</v>
      </c>
      <c r="O2513">
        <v>106</v>
      </c>
      <c r="P2513">
        <v>9.76</v>
      </c>
      <c r="Q2513">
        <v>8</v>
      </c>
      <c r="R2513">
        <v>5</v>
      </c>
      <c r="S2513">
        <v>2.16</v>
      </c>
      <c r="T2513">
        <v>1</v>
      </c>
      <c r="U2513" t="s">
        <v>22</v>
      </c>
      <c r="V2513" t="e">
        <f>IF(#REF! = "yes", 1, 0)</f>
        <v>#REF!</v>
      </c>
      <c r="W2513" t="e">
        <f>IF(#REF! &lt;= 1, "0-1 Calls", IF(#REF! &lt;= 3, "2-3 Calls", IF(#REF! &lt;=5, "4-5 Calls", "6+ Calls")))</f>
        <v>#REF!</v>
      </c>
      <c r="X2513" t="e">
        <f>IF(#REF! &lt;= 50, "0-50", IF(#REF! &lt;=100, "51-100", IF(#REF! &lt;= 150, "101-150", "151+")))</f>
        <v>#REF!</v>
      </c>
      <c r="Y2513" t="e">
        <f>IF(#REF! &lt;= 3, "Low Charges", "High Charges")</f>
        <v>#REF!</v>
      </c>
      <c r="Z2513" t="e">
        <f>IF(#REF!&lt;=80,"Low Calls",
IF(#REF!&lt;=120,"Medium Calls","High Calls"))</f>
        <v>#REF!</v>
      </c>
      <c r="AA2513" t="e">
        <f>IF(#REF!&lt;=15,"Low Charges",
IF(#REF!&lt;=20,"Medium Charges","High Charges"))</f>
        <v>#REF!</v>
      </c>
      <c r="AB2513" t="e">
        <f>IF(AND(#REF!&gt;180, #REF!&gt;200), "Heavy Doemstic User", IF(#REF!&gt;10, "Interntional User", IF(AND(#REF!&lt;180, #REF!&lt;200,#REF!&lt;200), "Light User", "Balanced User")))</f>
        <v>#REF!</v>
      </c>
      <c r="AC2513" t="e">
        <f>IF(#REF! = 0, "No Usage", IF(#REF! &lt;= 20, "Low Usage", IF(#REF! &lt;= 40, "Medium Usgae", "High Usage")))</f>
        <v>#REF!</v>
      </c>
      <c r="AD2513" t="e">
        <f>IF(#REF!&lt;=150,"Low Usage", IF(#REF!&lt;=200,"Medium Usage", IF(#REF!&lt;=250,"High Usage","Very High Usage")))</f>
        <v>#REF!</v>
      </c>
      <c r="AE2513" t="e">
        <f>IF(#REF!&lt;=5,"Low Calls", IF(#REF!&lt;=10, "Medium Calls", "High Calls"))</f>
        <v>#REF!</v>
      </c>
      <c r="AF2513" t="e">
        <f xml:space="preserve">
IF(#REF!&gt;=4,4,0)+
IF(#REF!="yes",3,0)+
IF(#REF!="High Charges",3,0)+
IF(#REF!&gt;250,4,0)+
IF(#REF!="no",1,0)+
IF(#REF!="Heavy Domestic User",2,0)</f>
        <v>#REF!</v>
      </c>
      <c r="AG2513" t="e">
        <f>IF(#REF!&gt;=10,"High Risk", IF(#REF!&gt;=5,"Medium Risk","Low Risk"))</f>
        <v>#REF!</v>
      </c>
      <c r="AH2513" t="e">
        <f>#REF! + #REF! + #REF! + #REF!</f>
        <v>#REF!</v>
      </c>
    </row>
    <row r="2514" spans="1:34" x14ac:dyDescent="0.35">
      <c r="A2514">
        <v>2513</v>
      </c>
      <c r="B2514" t="s">
        <v>43</v>
      </c>
      <c r="C2514">
        <v>149</v>
      </c>
      <c r="D2514" t="s">
        <v>21</v>
      </c>
      <c r="E2514" t="s">
        <v>22</v>
      </c>
      <c r="F2514" t="s">
        <v>23</v>
      </c>
      <c r="G2514">
        <v>20</v>
      </c>
      <c r="H2514">
        <v>147.80000000000001</v>
      </c>
      <c r="I2514">
        <v>132</v>
      </c>
      <c r="J2514">
        <v>25.13</v>
      </c>
      <c r="K2514">
        <v>276.8</v>
      </c>
      <c r="L2514">
        <v>94</v>
      </c>
      <c r="M2514">
        <v>23.53</v>
      </c>
      <c r="N2514">
        <v>149.9</v>
      </c>
      <c r="O2514">
        <v>110</v>
      </c>
      <c r="P2514">
        <v>6.75</v>
      </c>
      <c r="Q2514">
        <v>10.199999999999999</v>
      </c>
      <c r="R2514">
        <v>6</v>
      </c>
      <c r="S2514">
        <v>2.75</v>
      </c>
      <c r="T2514">
        <v>0</v>
      </c>
      <c r="U2514" t="s">
        <v>22</v>
      </c>
      <c r="V2514" t="e">
        <f>IF(#REF! = "yes", 1, 0)</f>
        <v>#REF!</v>
      </c>
      <c r="W2514" t="e">
        <f>IF(#REF! &lt;= 1, "0-1 Calls", IF(#REF! &lt;= 3, "2-3 Calls", IF(#REF! &lt;=5, "4-5 Calls", "6+ Calls")))</f>
        <v>#REF!</v>
      </c>
      <c r="X2514" t="e">
        <f>IF(#REF! &lt;= 50, "0-50", IF(#REF! &lt;=100, "51-100", IF(#REF! &lt;= 150, "101-150", "151+")))</f>
        <v>#REF!</v>
      </c>
      <c r="Y2514" t="e">
        <f>IF(#REF! &lt;= 3, "Low Charges", "High Charges")</f>
        <v>#REF!</v>
      </c>
      <c r="Z2514" t="e">
        <f>IF(#REF!&lt;=80,"Low Calls",
IF(#REF!&lt;=120,"Medium Calls","High Calls"))</f>
        <v>#REF!</v>
      </c>
      <c r="AA2514" t="e">
        <f>IF(#REF!&lt;=15,"Low Charges",
IF(#REF!&lt;=20,"Medium Charges","High Charges"))</f>
        <v>#REF!</v>
      </c>
      <c r="AB2514" t="e">
        <f>IF(AND(#REF!&gt;180, #REF!&gt;200), "Heavy Doemstic User", IF(#REF!&gt;10, "Interntional User", IF(AND(#REF!&lt;180, #REF!&lt;200,#REF!&lt;200), "Light User", "Balanced User")))</f>
        <v>#REF!</v>
      </c>
      <c r="AC2514" t="e">
        <f>IF(#REF! = 0, "No Usage", IF(#REF! &lt;= 20, "Low Usage", IF(#REF! &lt;= 40, "Medium Usgae", "High Usage")))</f>
        <v>#REF!</v>
      </c>
      <c r="AD2514" t="e">
        <f>IF(#REF!&lt;=150,"Low Usage", IF(#REF!&lt;=200,"Medium Usage", IF(#REF!&lt;=250,"High Usage","Very High Usage")))</f>
        <v>#REF!</v>
      </c>
      <c r="AE2514" t="e">
        <f>IF(#REF!&lt;=5,"Low Calls", IF(#REF!&lt;=10, "Medium Calls", "High Calls"))</f>
        <v>#REF!</v>
      </c>
      <c r="AF2514" t="e">
        <f xml:space="preserve">
IF(#REF!&gt;=4,4,0)+
IF(#REF!="yes",3,0)+
IF(#REF!="High Charges",3,0)+
IF(#REF!&gt;250,4,0)+
IF(#REF!="no",1,0)+
IF(#REF!="Heavy Domestic User",2,0)</f>
        <v>#REF!</v>
      </c>
      <c r="AG2514" t="e">
        <f>IF(#REF!&gt;=10,"High Risk", IF(#REF!&gt;=5,"Medium Risk","Low Risk"))</f>
        <v>#REF!</v>
      </c>
      <c r="AH2514" t="e">
        <f>#REF! + #REF! + #REF! + #REF!</f>
        <v>#REF!</v>
      </c>
    </row>
    <row r="2515" spans="1:34" x14ac:dyDescent="0.35">
      <c r="A2515">
        <v>2514</v>
      </c>
      <c r="B2515" t="s">
        <v>74</v>
      </c>
      <c r="C2515">
        <v>160</v>
      </c>
      <c r="D2515" t="s">
        <v>21</v>
      </c>
      <c r="E2515" t="s">
        <v>22</v>
      </c>
      <c r="F2515" t="s">
        <v>22</v>
      </c>
      <c r="G2515">
        <v>0</v>
      </c>
      <c r="H2515">
        <v>234.9</v>
      </c>
      <c r="I2515">
        <v>136</v>
      </c>
      <c r="J2515">
        <v>39.93</v>
      </c>
      <c r="K2515">
        <v>270.8</v>
      </c>
      <c r="L2515">
        <v>134</v>
      </c>
      <c r="M2515">
        <v>23.02</v>
      </c>
      <c r="N2515">
        <v>219.3</v>
      </c>
      <c r="O2515">
        <v>101</v>
      </c>
      <c r="P2515">
        <v>9.8699999999999992</v>
      </c>
      <c r="Q2515">
        <v>13.9</v>
      </c>
      <c r="R2515">
        <v>2</v>
      </c>
      <c r="S2515">
        <v>3.75</v>
      </c>
      <c r="T2515">
        <v>1</v>
      </c>
      <c r="U2515" t="s">
        <v>23</v>
      </c>
      <c r="V2515" t="e">
        <f>IF(#REF! = "yes", 1, 0)</f>
        <v>#REF!</v>
      </c>
      <c r="W2515" t="e">
        <f>IF(#REF! &lt;= 1, "0-1 Calls", IF(#REF! &lt;= 3, "2-3 Calls", IF(#REF! &lt;=5, "4-5 Calls", "6+ Calls")))</f>
        <v>#REF!</v>
      </c>
      <c r="X2515" t="e">
        <f>IF(#REF! &lt;= 50, "0-50", IF(#REF! &lt;=100, "51-100", IF(#REF! &lt;= 150, "101-150", "151+")))</f>
        <v>#REF!</v>
      </c>
      <c r="Y2515" t="e">
        <f>IF(#REF! &lt;= 3, "Low Charges", "High Charges")</f>
        <v>#REF!</v>
      </c>
      <c r="Z2515" t="e">
        <f>IF(#REF!&lt;=80,"Low Calls",
IF(#REF!&lt;=120,"Medium Calls","High Calls"))</f>
        <v>#REF!</v>
      </c>
      <c r="AA2515" t="e">
        <f>IF(#REF!&lt;=15,"Low Charges",
IF(#REF!&lt;=20,"Medium Charges","High Charges"))</f>
        <v>#REF!</v>
      </c>
      <c r="AB2515" t="e">
        <f>IF(AND(#REF!&gt;180, #REF!&gt;200), "Heavy Doemstic User", IF(#REF!&gt;10, "Interntional User", IF(AND(#REF!&lt;180, #REF!&lt;200,#REF!&lt;200), "Light User", "Balanced User")))</f>
        <v>#REF!</v>
      </c>
      <c r="AC2515" t="e">
        <f>IF(#REF! = 0, "No Usage", IF(#REF! &lt;= 20, "Low Usage", IF(#REF! &lt;= 40, "Medium Usgae", "High Usage")))</f>
        <v>#REF!</v>
      </c>
      <c r="AD2515" t="e">
        <f>IF(#REF!&lt;=150,"Low Usage", IF(#REF!&lt;=200,"Medium Usage", IF(#REF!&lt;=250,"High Usage","Very High Usage")))</f>
        <v>#REF!</v>
      </c>
      <c r="AE2515" t="e">
        <f>IF(#REF!&lt;=5,"Low Calls", IF(#REF!&lt;=10, "Medium Calls", "High Calls"))</f>
        <v>#REF!</v>
      </c>
      <c r="AF2515" t="e">
        <f xml:space="preserve">
IF(#REF!&gt;=4,4,0)+
IF(#REF!="yes",3,0)+
IF(#REF!="High Charges",3,0)+
IF(#REF!&gt;250,4,0)+
IF(#REF!="no",1,0)+
IF(#REF!="Heavy Domestic User",2,0)</f>
        <v>#REF!</v>
      </c>
      <c r="AG2515" t="e">
        <f>IF(#REF!&gt;=10,"High Risk", IF(#REF!&gt;=5,"Medium Risk","Low Risk"))</f>
        <v>#REF!</v>
      </c>
      <c r="AH2515" t="e">
        <f>#REF! + #REF! + #REF! + #REF!</f>
        <v>#REF!</v>
      </c>
    </row>
    <row r="2516" spans="1:34" x14ac:dyDescent="0.35">
      <c r="A2516">
        <v>2515</v>
      </c>
      <c r="B2516" t="s">
        <v>62</v>
      </c>
      <c r="C2516">
        <v>116</v>
      </c>
      <c r="D2516" t="s">
        <v>25</v>
      </c>
      <c r="E2516" t="s">
        <v>22</v>
      </c>
      <c r="F2516" t="s">
        <v>22</v>
      </c>
      <c r="G2516">
        <v>0</v>
      </c>
      <c r="H2516">
        <v>110.9</v>
      </c>
      <c r="I2516">
        <v>54</v>
      </c>
      <c r="J2516">
        <v>18.850000000000001</v>
      </c>
      <c r="K2516">
        <v>213.4</v>
      </c>
      <c r="L2516">
        <v>82</v>
      </c>
      <c r="M2516">
        <v>18.14</v>
      </c>
      <c r="N2516">
        <v>186.2</v>
      </c>
      <c r="O2516">
        <v>116</v>
      </c>
      <c r="P2516">
        <v>8.3800000000000008</v>
      </c>
      <c r="Q2516">
        <v>7.9</v>
      </c>
      <c r="R2516">
        <v>2</v>
      </c>
      <c r="S2516">
        <v>2.13</v>
      </c>
      <c r="T2516">
        <v>2</v>
      </c>
      <c r="U2516" t="s">
        <v>22</v>
      </c>
      <c r="V2516" t="e">
        <f>IF(#REF! = "yes", 1, 0)</f>
        <v>#REF!</v>
      </c>
      <c r="W2516" t="e">
        <f>IF(#REF! &lt;= 1, "0-1 Calls", IF(#REF! &lt;= 3, "2-3 Calls", IF(#REF! &lt;=5, "4-5 Calls", "6+ Calls")))</f>
        <v>#REF!</v>
      </c>
      <c r="X2516" t="e">
        <f>IF(#REF! &lt;= 50, "0-50", IF(#REF! &lt;=100, "51-100", IF(#REF! &lt;= 150, "101-150", "151+")))</f>
        <v>#REF!</v>
      </c>
      <c r="Y2516" t="e">
        <f>IF(#REF! &lt;= 3, "Low Charges", "High Charges")</f>
        <v>#REF!</v>
      </c>
      <c r="Z2516" t="e">
        <f>IF(#REF!&lt;=80,"Low Calls",
IF(#REF!&lt;=120,"Medium Calls","High Calls"))</f>
        <v>#REF!</v>
      </c>
      <c r="AA2516" t="e">
        <f>IF(#REF!&lt;=15,"Low Charges",
IF(#REF!&lt;=20,"Medium Charges","High Charges"))</f>
        <v>#REF!</v>
      </c>
      <c r="AB2516" t="e">
        <f>IF(AND(#REF!&gt;180, #REF!&gt;200), "Heavy Doemstic User", IF(#REF!&gt;10, "Interntional User", IF(AND(#REF!&lt;180, #REF!&lt;200,#REF!&lt;200), "Light User", "Balanced User")))</f>
        <v>#REF!</v>
      </c>
      <c r="AC2516" t="e">
        <f>IF(#REF! = 0, "No Usage", IF(#REF! &lt;= 20, "Low Usage", IF(#REF! &lt;= 40, "Medium Usgae", "High Usage")))</f>
        <v>#REF!</v>
      </c>
      <c r="AD2516" t="e">
        <f>IF(#REF!&lt;=150,"Low Usage", IF(#REF!&lt;=200,"Medium Usage", IF(#REF!&lt;=250,"High Usage","Very High Usage")))</f>
        <v>#REF!</v>
      </c>
      <c r="AE2516" t="e">
        <f>IF(#REF!&lt;=5,"Low Calls", IF(#REF!&lt;=10, "Medium Calls", "High Calls"))</f>
        <v>#REF!</v>
      </c>
      <c r="AF2516" t="e">
        <f xml:space="preserve">
IF(#REF!&gt;=4,4,0)+
IF(#REF!="yes",3,0)+
IF(#REF!="High Charges",3,0)+
IF(#REF!&gt;250,4,0)+
IF(#REF!="no",1,0)+
IF(#REF!="Heavy Domestic User",2,0)</f>
        <v>#REF!</v>
      </c>
      <c r="AG2516" t="e">
        <f>IF(#REF!&gt;=10,"High Risk", IF(#REF!&gt;=5,"Medium Risk","Low Risk"))</f>
        <v>#REF!</v>
      </c>
      <c r="AH2516" t="e">
        <f>#REF! + #REF! + #REF! + #REF!</f>
        <v>#REF!</v>
      </c>
    </row>
    <row r="2517" spans="1:34" x14ac:dyDescent="0.35">
      <c r="A2517">
        <v>2516</v>
      </c>
      <c r="B2517" t="s">
        <v>53</v>
      </c>
      <c r="C2517">
        <v>148</v>
      </c>
      <c r="D2517" t="s">
        <v>21</v>
      </c>
      <c r="E2517" t="s">
        <v>23</v>
      </c>
      <c r="F2517" t="s">
        <v>22</v>
      </c>
      <c r="G2517">
        <v>0</v>
      </c>
      <c r="H2517">
        <v>233.5</v>
      </c>
      <c r="I2517">
        <v>81</v>
      </c>
      <c r="J2517">
        <v>39.700000000000003</v>
      </c>
      <c r="K2517">
        <v>187.7</v>
      </c>
      <c r="L2517">
        <v>71</v>
      </c>
      <c r="M2517">
        <v>15.95</v>
      </c>
      <c r="N2517">
        <v>122.3</v>
      </c>
      <c r="O2517">
        <v>97</v>
      </c>
      <c r="P2517">
        <v>5.5</v>
      </c>
      <c r="Q2517">
        <v>9.6</v>
      </c>
      <c r="R2517">
        <v>2</v>
      </c>
      <c r="S2517">
        <v>2.59</v>
      </c>
      <c r="T2517">
        <v>0</v>
      </c>
      <c r="U2517" t="s">
        <v>23</v>
      </c>
      <c r="V2517" t="e">
        <f>IF(#REF! = "yes", 1, 0)</f>
        <v>#REF!</v>
      </c>
      <c r="W2517" t="e">
        <f>IF(#REF! &lt;= 1, "0-1 Calls", IF(#REF! &lt;= 3, "2-3 Calls", IF(#REF! &lt;=5, "4-5 Calls", "6+ Calls")))</f>
        <v>#REF!</v>
      </c>
      <c r="X2517" t="e">
        <f>IF(#REF! &lt;= 50, "0-50", IF(#REF! &lt;=100, "51-100", IF(#REF! &lt;= 150, "101-150", "151+")))</f>
        <v>#REF!</v>
      </c>
      <c r="Y2517" t="e">
        <f>IF(#REF! &lt;= 3, "Low Charges", "High Charges")</f>
        <v>#REF!</v>
      </c>
      <c r="Z2517" t="e">
        <f>IF(#REF!&lt;=80,"Low Calls",
IF(#REF!&lt;=120,"Medium Calls","High Calls"))</f>
        <v>#REF!</v>
      </c>
      <c r="AA2517" t="e">
        <f>IF(#REF!&lt;=15,"Low Charges",
IF(#REF!&lt;=20,"Medium Charges","High Charges"))</f>
        <v>#REF!</v>
      </c>
      <c r="AB2517" t="e">
        <f>IF(AND(#REF!&gt;180, #REF!&gt;200), "Heavy Doemstic User", IF(#REF!&gt;10, "Interntional User", IF(AND(#REF!&lt;180, #REF!&lt;200,#REF!&lt;200), "Light User", "Balanced User")))</f>
        <v>#REF!</v>
      </c>
      <c r="AC2517" t="e">
        <f>IF(#REF! = 0, "No Usage", IF(#REF! &lt;= 20, "Low Usage", IF(#REF! &lt;= 40, "Medium Usgae", "High Usage")))</f>
        <v>#REF!</v>
      </c>
      <c r="AD2517" t="e">
        <f>IF(#REF!&lt;=150,"Low Usage", IF(#REF!&lt;=200,"Medium Usage", IF(#REF!&lt;=250,"High Usage","Very High Usage")))</f>
        <v>#REF!</v>
      </c>
      <c r="AE2517" t="e">
        <f>IF(#REF!&lt;=5,"Low Calls", IF(#REF!&lt;=10, "Medium Calls", "High Calls"))</f>
        <v>#REF!</v>
      </c>
      <c r="AF2517" t="e">
        <f xml:space="preserve">
IF(#REF!&gt;=4,4,0)+
IF(#REF!="yes",3,0)+
IF(#REF!="High Charges",3,0)+
IF(#REF!&gt;250,4,0)+
IF(#REF!="no",1,0)+
IF(#REF!="Heavy Domestic User",2,0)</f>
        <v>#REF!</v>
      </c>
      <c r="AG2517" t="e">
        <f>IF(#REF!&gt;=10,"High Risk", IF(#REF!&gt;=5,"Medium Risk","Low Risk"))</f>
        <v>#REF!</v>
      </c>
      <c r="AH2517" t="e">
        <f>#REF! + #REF! + #REF! + #REF!</f>
        <v>#REF!</v>
      </c>
    </row>
    <row r="2518" spans="1:34" x14ac:dyDescent="0.35">
      <c r="A2518">
        <v>2517</v>
      </c>
      <c r="B2518" t="s">
        <v>35</v>
      </c>
      <c r="C2518">
        <v>147</v>
      </c>
      <c r="D2518" t="s">
        <v>21</v>
      </c>
      <c r="E2518" t="s">
        <v>22</v>
      </c>
      <c r="F2518" t="s">
        <v>23</v>
      </c>
      <c r="G2518">
        <v>35</v>
      </c>
      <c r="H2518">
        <v>197.3</v>
      </c>
      <c r="I2518">
        <v>134</v>
      </c>
      <c r="J2518">
        <v>33.54</v>
      </c>
      <c r="K2518">
        <v>141.1</v>
      </c>
      <c r="L2518">
        <v>99</v>
      </c>
      <c r="M2518">
        <v>11.99</v>
      </c>
      <c r="N2518">
        <v>212.1</v>
      </c>
      <c r="O2518">
        <v>90</v>
      </c>
      <c r="P2518">
        <v>9.5399999999999991</v>
      </c>
      <c r="Q2518">
        <v>10.1</v>
      </c>
      <c r="R2518">
        <v>4</v>
      </c>
      <c r="S2518">
        <v>2.73</v>
      </c>
      <c r="T2518">
        <v>2</v>
      </c>
      <c r="U2518" t="s">
        <v>23</v>
      </c>
      <c r="V2518" t="e">
        <f>IF(#REF! = "yes", 1, 0)</f>
        <v>#REF!</v>
      </c>
      <c r="W2518" t="e">
        <f>IF(#REF! &lt;= 1, "0-1 Calls", IF(#REF! &lt;= 3, "2-3 Calls", IF(#REF! &lt;=5, "4-5 Calls", "6+ Calls")))</f>
        <v>#REF!</v>
      </c>
      <c r="X2518" t="e">
        <f>IF(#REF! &lt;= 50, "0-50", IF(#REF! &lt;=100, "51-100", IF(#REF! &lt;= 150, "101-150", "151+")))</f>
        <v>#REF!</v>
      </c>
      <c r="Y2518" t="e">
        <f>IF(#REF! &lt;= 3, "Low Charges", "High Charges")</f>
        <v>#REF!</v>
      </c>
      <c r="Z2518" t="e">
        <f>IF(#REF!&lt;=80,"Low Calls",
IF(#REF!&lt;=120,"Medium Calls","High Calls"))</f>
        <v>#REF!</v>
      </c>
      <c r="AA2518" t="e">
        <f>IF(#REF!&lt;=15,"Low Charges",
IF(#REF!&lt;=20,"Medium Charges","High Charges"))</f>
        <v>#REF!</v>
      </c>
      <c r="AB2518" t="e">
        <f>IF(AND(#REF!&gt;180, #REF!&gt;200), "Heavy Doemstic User", IF(#REF!&gt;10, "Interntional User", IF(AND(#REF!&lt;180, #REF!&lt;200,#REF!&lt;200), "Light User", "Balanced User")))</f>
        <v>#REF!</v>
      </c>
      <c r="AC2518" t="e">
        <f>IF(#REF! = 0, "No Usage", IF(#REF! &lt;= 20, "Low Usage", IF(#REF! &lt;= 40, "Medium Usgae", "High Usage")))</f>
        <v>#REF!</v>
      </c>
      <c r="AD2518" t="e">
        <f>IF(#REF!&lt;=150,"Low Usage", IF(#REF!&lt;=200,"Medium Usage", IF(#REF!&lt;=250,"High Usage","Very High Usage")))</f>
        <v>#REF!</v>
      </c>
      <c r="AE2518" t="e">
        <f>IF(#REF!&lt;=5,"Low Calls", IF(#REF!&lt;=10, "Medium Calls", "High Calls"))</f>
        <v>#REF!</v>
      </c>
      <c r="AF2518" t="e">
        <f xml:space="preserve">
IF(#REF!&gt;=4,4,0)+
IF(#REF!="yes",3,0)+
IF(#REF!="High Charges",3,0)+
IF(#REF!&gt;250,4,0)+
IF(#REF!="no",1,0)+
IF(#REF!="Heavy Domestic User",2,0)</f>
        <v>#REF!</v>
      </c>
      <c r="AG2518" t="e">
        <f>IF(#REF!&gt;=10,"High Risk", IF(#REF!&gt;=5,"Medium Risk","Low Risk"))</f>
        <v>#REF!</v>
      </c>
      <c r="AH2518" t="e">
        <f>#REF! + #REF! + #REF! + #REF!</f>
        <v>#REF!</v>
      </c>
    </row>
    <row r="2519" spans="1:34" x14ac:dyDescent="0.35">
      <c r="A2519">
        <v>2518</v>
      </c>
      <c r="B2519" t="s">
        <v>69</v>
      </c>
      <c r="C2519">
        <v>95</v>
      </c>
      <c r="D2519" t="s">
        <v>28</v>
      </c>
      <c r="E2519" t="s">
        <v>22</v>
      </c>
      <c r="F2519" t="s">
        <v>22</v>
      </c>
      <c r="G2519">
        <v>0</v>
      </c>
      <c r="H2519">
        <v>58.2</v>
      </c>
      <c r="I2519">
        <v>96</v>
      </c>
      <c r="J2519">
        <v>9.89</v>
      </c>
      <c r="K2519">
        <v>202.1</v>
      </c>
      <c r="L2519">
        <v>126</v>
      </c>
      <c r="M2519">
        <v>17.18</v>
      </c>
      <c r="N2519">
        <v>210.5</v>
      </c>
      <c r="O2519">
        <v>97</v>
      </c>
      <c r="P2519">
        <v>9.4700000000000006</v>
      </c>
      <c r="Q2519">
        <v>10.4</v>
      </c>
      <c r="R2519">
        <v>5</v>
      </c>
      <c r="S2519">
        <v>2.81</v>
      </c>
      <c r="T2519">
        <v>0</v>
      </c>
      <c r="U2519" t="s">
        <v>22</v>
      </c>
      <c r="V2519" t="e">
        <f>IF(#REF! = "yes", 1, 0)</f>
        <v>#REF!</v>
      </c>
      <c r="W2519" t="e">
        <f>IF(#REF! &lt;= 1, "0-1 Calls", IF(#REF! &lt;= 3, "2-3 Calls", IF(#REF! &lt;=5, "4-5 Calls", "6+ Calls")))</f>
        <v>#REF!</v>
      </c>
      <c r="X2519" t="e">
        <f>IF(#REF! &lt;= 50, "0-50", IF(#REF! &lt;=100, "51-100", IF(#REF! &lt;= 150, "101-150", "151+")))</f>
        <v>#REF!</v>
      </c>
      <c r="Y2519" t="e">
        <f>IF(#REF! &lt;= 3, "Low Charges", "High Charges")</f>
        <v>#REF!</v>
      </c>
      <c r="Z2519" t="e">
        <f>IF(#REF!&lt;=80,"Low Calls",
IF(#REF!&lt;=120,"Medium Calls","High Calls"))</f>
        <v>#REF!</v>
      </c>
      <c r="AA2519" t="e">
        <f>IF(#REF!&lt;=15,"Low Charges",
IF(#REF!&lt;=20,"Medium Charges","High Charges"))</f>
        <v>#REF!</v>
      </c>
      <c r="AB2519" t="e">
        <f>IF(AND(#REF!&gt;180, #REF!&gt;200), "Heavy Doemstic User", IF(#REF!&gt;10, "Interntional User", IF(AND(#REF!&lt;180, #REF!&lt;200,#REF!&lt;200), "Light User", "Balanced User")))</f>
        <v>#REF!</v>
      </c>
      <c r="AC2519" t="e">
        <f>IF(#REF! = 0, "No Usage", IF(#REF! &lt;= 20, "Low Usage", IF(#REF! &lt;= 40, "Medium Usgae", "High Usage")))</f>
        <v>#REF!</v>
      </c>
      <c r="AD2519" t="e">
        <f>IF(#REF!&lt;=150,"Low Usage", IF(#REF!&lt;=200,"Medium Usage", IF(#REF!&lt;=250,"High Usage","Very High Usage")))</f>
        <v>#REF!</v>
      </c>
      <c r="AE2519" t="e">
        <f>IF(#REF!&lt;=5,"Low Calls", IF(#REF!&lt;=10, "Medium Calls", "High Calls"))</f>
        <v>#REF!</v>
      </c>
      <c r="AF2519" t="e">
        <f xml:space="preserve">
IF(#REF!&gt;=4,4,0)+
IF(#REF!="yes",3,0)+
IF(#REF!="High Charges",3,0)+
IF(#REF!&gt;250,4,0)+
IF(#REF!="no",1,0)+
IF(#REF!="Heavy Domestic User",2,0)</f>
        <v>#REF!</v>
      </c>
      <c r="AG2519" t="e">
        <f>IF(#REF!&gt;=10,"High Risk", IF(#REF!&gt;=5,"Medium Risk","Low Risk"))</f>
        <v>#REF!</v>
      </c>
      <c r="AH2519" t="e">
        <f>#REF! + #REF! + #REF! + #REF!</f>
        <v>#REF!</v>
      </c>
    </row>
    <row r="2520" spans="1:34" x14ac:dyDescent="0.35">
      <c r="A2520">
        <v>2519</v>
      </c>
      <c r="B2520" t="s">
        <v>55</v>
      </c>
      <c r="C2520">
        <v>201</v>
      </c>
      <c r="D2520" t="s">
        <v>28</v>
      </c>
      <c r="E2520" t="s">
        <v>22</v>
      </c>
      <c r="F2520" t="s">
        <v>22</v>
      </c>
      <c r="G2520">
        <v>0</v>
      </c>
      <c r="H2520">
        <v>212.7</v>
      </c>
      <c r="I2520">
        <v>72</v>
      </c>
      <c r="J2520">
        <v>36.159999999999997</v>
      </c>
      <c r="K2520">
        <v>225.2</v>
      </c>
      <c r="L2520">
        <v>90</v>
      </c>
      <c r="M2520">
        <v>19.14</v>
      </c>
      <c r="N2520">
        <v>195.1</v>
      </c>
      <c r="O2520">
        <v>99</v>
      </c>
      <c r="P2520">
        <v>8.7799999999999994</v>
      </c>
      <c r="Q2520">
        <v>7</v>
      </c>
      <c r="R2520">
        <v>6</v>
      </c>
      <c r="S2520">
        <v>1.89</v>
      </c>
      <c r="T2520">
        <v>1</v>
      </c>
      <c r="U2520" t="s">
        <v>22</v>
      </c>
      <c r="V2520" t="e">
        <f>IF(#REF! = "yes", 1, 0)</f>
        <v>#REF!</v>
      </c>
      <c r="W2520" t="e">
        <f>IF(#REF! &lt;= 1, "0-1 Calls", IF(#REF! &lt;= 3, "2-3 Calls", IF(#REF! &lt;=5, "4-5 Calls", "6+ Calls")))</f>
        <v>#REF!</v>
      </c>
      <c r="X2520" t="e">
        <f>IF(#REF! &lt;= 50, "0-50", IF(#REF! &lt;=100, "51-100", IF(#REF! &lt;= 150, "101-150", "151+")))</f>
        <v>#REF!</v>
      </c>
      <c r="Y2520" t="e">
        <f>IF(#REF! &lt;= 3, "Low Charges", "High Charges")</f>
        <v>#REF!</v>
      </c>
      <c r="Z2520" t="e">
        <f>IF(#REF!&lt;=80,"Low Calls",
IF(#REF!&lt;=120,"Medium Calls","High Calls"))</f>
        <v>#REF!</v>
      </c>
      <c r="AA2520" t="e">
        <f>IF(#REF!&lt;=15,"Low Charges",
IF(#REF!&lt;=20,"Medium Charges","High Charges"))</f>
        <v>#REF!</v>
      </c>
      <c r="AB2520" t="e">
        <f>IF(AND(#REF!&gt;180, #REF!&gt;200), "Heavy Doemstic User", IF(#REF!&gt;10, "Interntional User", IF(AND(#REF!&lt;180, #REF!&lt;200,#REF!&lt;200), "Light User", "Balanced User")))</f>
        <v>#REF!</v>
      </c>
      <c r="AC2520" t="e">
        <f>IF(#REF! = 0, "No Usage", IF(#REF! &lt;= 20, "Low Usage", IF(#REF! &lt;= 40, "Medium Usgae", "High Usage")))</f>
        <v>#REF!</v>
      </c>
      <c r="AD2520" t="e">
        <f>IF(#REF!&lt;=150,"Low Usage", IF(#REF!&lt;=200,"Medium Usage", IF(#REF!&lt;=250,"High Usage","Very High Usage")))</f>
        <v>#REF!</v>
      </c>
      <c r="AE2520" t="e">
        <f>IF(#REF!&lt;=5,"Low Calls", IF(#REF!&lt;=10, "Medium Calls", "High Calls"))</f>
        <v>#REF!</v>
      </c>
      <c r="AF2520" t="e">
        <f xml:space="preserve">
IF(#REF!&gt;=4,4,0)+
IF(#REF!="yes",3,0)+
IF(#REF!="High Charges",3,0)+
IF(#REF!&gt;250,4,0)+
IF(#REF!="no",1,0)+
IF(#REF!="Heavy Domestic User",2,0)</f>
        <v>#REF!</v>
      </c>
      <c r="AG2520" t="e">
        <f>IF(#REF!&gt;=10,"High Risk", IF(#REF!&gt;=5,"Medium Risk","Low Risk"))</f>
        <v>#REF!</v>
      </c>
      <c r="AH2520" t="e">
        <f>#REF! + #REF! + #REF! + #REF!</f>
        <v>#REF!</v>
      </c>
    </row>
    <row r="2521" spans="1:34" x14ac:dyDescent="0.35">
      <c r="A2521">
        <v>2520</v>
      </c>
      <c r="B2521" t="s">
        <v>31</v>
      </c>
      <c r="C2521">
        <v>80</v>
      </c>
      <c r="D2521" t="s">
        <v>21</v>
      </c>
      <c r="E2521" t="s">
        <v>22</v>
      </c>
      <c r="F2521" t="s">
        <v>22</v>
      </c>
      <c r="G2521">
        <v>0</v>
      </c>
      <c r="H2521">
        <v>151.5</v>
      </c>
      <c r="I2521">
        <v>89</v>
      </c>
      <c r="J2521">
        <v>25.76</v>
      </c>
      <c r="K2521">
        <v>131.69999999999999</v>
      </c>
      <c r="L2521">
        <v>78</v>
      </c>
      <c r="M2521">
        <v>11.19</v>
      </c>
      <c r="N2521">
        <v>235.3</v>
      </c>
      <c r="O2521">
        <v>131</v>
      </c>
      <c r="P2521">
        <v>10.59</v>
      </c>
      <c r="Q2521">
        <v>11.8</v>
      </c>
      <c r="R2521">
        <v>4</v>
      </c>
      <c r="S2521">
        <v>3.19</v>
      </c>
      <c r="T2521">
        <v>0</v>
      </c>
      <c r="U2521" t="s">
        <v>22</v>
      </c>
      <c r="V2521" t="e">
        <f>IF(#REF! = "yes", 1, 0)</f>
        <v>#REF!</v>
      </c>
      <c r="W2521" t="e">
        <f>IF(#REF! &lt;= 1, "0-1 Calls", IF(#REF! &lt;= 3, "2-3 Calls", IF(#REF! &lt;=5, "4-5 Calls", "6+ Calls")))</f>
        <v>#REF!</v>
      </c>
      <c r="X2521" t="e">
        <f>IF(#REF! &lt;= 50, "0-50", IF(#REF! &lt;=100, "51-100", IF(#REF! &lt;= 150, "101-150", "151+")))</f>
        <v>#REF!</v>
      </c>
      <c r="Y2521" t="e">
        <f>IF(#REF! &lt;= 3, "Low Charges", "High Charges")</f>
        <v>#REF!</v>
      </c>
      <c r="Z2521" t="e">
        <f>IF(#REF!&lt;=80,"Low Calls",
IF(#REF!&lt;=120,"Medium Calls","High Calls"))</f>
        <v>#REF!</v>
      </c>
      <c r="AA2521" t="e">
        <f>IF(#REF!&lt;=15,"Low Charges",
IF(#REF!&lt;=20,"Medium Charges","High Charges"))</f>
        <v>#REF!</v>
      </c>
      <c r="AB2521" t="e">
        <f>IF(AND(#REF!&gt;180, #REF!&gt;200), "Heavy Doemstic User", IF(#REF!&gt;10, "Interntional User", IF(AND(#REF!&lt;180, #REF!&lt;200,#REF!&lt;200), "Light User", "Balanced User")))</f>
        <v>#REF!</v>
      </c>
      <c r="AC2521" t="e">
        <f>IF(#REF! = 0, "No Usage", IF(#REF! &lt;= 20, "Low Usage", IF(#REF! &lt;= 40, "Medium Usgae", "High Usage")))</f>
        <v>#REF!</v>
      </c>
      <c r="AD2521" t="e">
        <f>IF(#REF!&lt;=150,"Low Usage", IF(#REF!&lt;=200,"Medium Usage", IF(#REF!&lt;=250,"High Usage","Very High Usage")))</f>
        <v>#REF!</v>
      </c>
      <c r="AE2521" t="e">
        <f>IF(#REF!&lt;=5,"Low Calls", IF(#REF!&lt;=10, "Medium Calls", "High Calls"))</f>
        <v>#REF!</v>
      </c>
      <c r="AF2521" t="e">
        <f xml:space="preserve">
IF(#REF!&gt;=4,4,0)+
IF(#REF!="yes",3,0)+
IF(#REF!="High Charges",3,0)+
IF(#REF!&gt;250,4,0)+
IF(#REF!="no",1,0)+
IF(#REF!="Heavy Domestic User",2,0)</f>
        <v>#REF!</v>
      </c>
      <c r="AG2521" t="e">
        <f>IF(#REF!&gt;=10,"High Risk", IF(#REF!&gt;=5,"Medium Risk","Low Risk"))</f>
        <v>#REF!</v>
      </c>
      <c r="AH2521" t="e">
        <f>#REF! + #REF! + #REF! + #REF!</f>
        <v>#REF!</v>
      </c>
    </row>
    <row r="2522" spans="1:34" x14ac:dyDescent="0.35">
      <c r="A2522">
        <v>2521</v>
      </c>
      <c r="B2522" t="s">
        <v>50</v>
      </c>
      <c r="C2522">
        <v>122</v>
      </c>
      <c r="D2522" t="s">
        <v>21</v>
      </c>
      <c r="E2522" t="s">
        <v>23</v>
      </c>
      <c r="F2522" t="s">
        <v>22</v>
      </c>
      <c r="G2522">
        <v>0</v>
      </c>
      <c r="H2522">
        <v>146.30000000000001</v>
      </c>
      <c r="I2522">
        <v>117</v>
      </c>
      <c r="J2522">
        <v>24.87</v>
      </c>
      <c r="K2522">
        <v>218.7</v>
      </c>
      <c r="L2522">
        <v>93</v>
      </c>
      <c r="M2522">
        <v>18.59</v>
      </c>
      <c r="N2522">
        <v>236</v>
      </c>
      <c r="O2522">
        <v>97</v>
      </c>
      <c r="P2522">
        <v>10.62</v>
      </c>
      <c r="Q2522">
        <v>11.5</v>
      </c>
      <c r="R2522">
        <v>5</v>
      </c>
      <c r="S2522">
        <v>3.11</v>
      </c>
      <c r="T2522">
        <v>1</v>
      </c>
      <c r="U2522" t="s">
        <v>22</v>
      </c>
      <c r="V2522" t="e">
        <f>IF(#REF! = "yes", 1, 0)</f>
        <v>#REF!</v>
      </c>
      <c r="W2522" t="e">
        <f>IF(#REF! &lt;= 1, "0-1 Calls", IF(#REF! &lt;= 3, "2-3 Calls", IF(#REF! &lt;=5, "4-5 Calls", "6+ Calls")))</f>
        <v>#REF!</v>
      </c>
      <c r="X2522" t="e">
        <f>IF(#REF! &lt;= 50, "0-50", IF(#REF! &lt;=100, "51-100", IF(#REF! &lt;= 150, "101-150", "151+")))</f>
        <v>#REF!</v>
      </c>
      <c r="Y2522" t="e">
        <f>IF(#REF! &lt;= 3, "Low Charges", "High Charges")</f>
        <v>#REF!</v>
      </c>
      <c r="Z2522" t="e">
        <f>IF(#REF!&lt;=80,"Low Calls",
IF(#REF!&lt;=120,"Medium Calls","High Calls"))</f>
        <v>#REF!</v>
      </c>
      <c r="AA2522" t="e">
        <f>IF(#REF!&lt;=15,"Low Charges",
IF(#REF!&lt;=20,"Medium Charges","High Charges"))</f>
        <v>#REF!</v>
      </c>
      <c r="AB2522" t="e">
        <f>IF(AND(#REF!&gt;180, #REF!&gt;200), "Heavy Doemstic User", IF(#REF!&gt;10, "Interntional User", IF(AND(#REF!&lt;180, #REF!&lt;200,#REF!&lt;200), "Light User", "Balanced User")))</f>
        <v>#REF!</v>
      </c>
      <c r="AC2522" t="e">
        <f>IF(#REF! = 0, "No Usage", IF(#REF! &lt;= 20, "Low Usage", IF(#REF! &lt;= 40, "Medium Usgae", "High Usage")))</f>
        <v>#REF!</v>
      </c>
      <c r="AD2522" t="e">
        <f>IF(#REF!&lt;=150,"Low Usage", IF(#REF!&lt;=200,"Medium Usage", IF(#REF!&lt;=250,"High Usage","Very High Usage")))</f>
        <v>#REF!</v>
      </c>
      <c r="AE2522" t="e">
        <f>IF(#REF!&lt;=5,"Low Calls", IF(#REF!&lt;=10, "Medium Calls", "High Calls"))</f>
        <v>#REF!</v>
      </c>
      <c r="AF2522" t="e">
        <f xml:space="preserve">
IF(#REF!&gt;=4,4,0)+
IF(#REF!="yes",3,0)+
IF(#REF!="High Charges",3,0)+
IF(#REF!&gt;250,4,0)+
IF(#REF!="no",1,0)+
IF(#REF!="Heavy Domestic User",2,0)</f>
        <v>#REF!</v>
      </c>
      <c r="AG2522" t="e">
        <f>IF(#REF!&gt;=10,"High Risk", IF(#REF!&gt;=5,"Medium Risk","Low Risk"))</f>
        <v>#REF!</v>
      </c>
      <c r="AH2522" t="e">
        <f>#REF! + #REF! + #REF! + #REF!</f>
        <v>#REF!</v>
      </c>
    </row>
    <row r="2523" spans="1:34" x14ac:dyDescent="0.35">
      <c r="A2523">
        <v>2522</v>
      </c>
      <c r="B2523" t="s">
        <v>35</v>
      </c>
      <c r="C2523">
        <v>132</v>
      </c>
      <c r="D2523" t="s">
        <v>25</v>
      </c>
      <c r="E2523" t="s">
        <v>22</v>
      </c>
      <c r="F2523" t="s">
        <v>22</v>
      </c>
      <c r="G2523">
        <v>0</v>
      </c>
      <c r="H2523">
        <v>195.1</v>
      </c>
      <c r="I2523">
        <v>100</v>
      </c>
      <c r="J2523">
        <v>33.17</v>
      </c>
      <c r="K2523">
        <v>148.80000000000001</v>
      </c>
      <c r="L2523">
        <v>95</v>
      </c>
      <c r="M2523">
        <v>12.65</v>
      </c>
      <c r="N2523">
        <v>224.5</v>
      </c>
      <c r="O2523">
        <v>117</v>
      </c>
      <c r="P2523">
        <v>10.1</v>
      </c>
      <c r="Q2523">
        <v>6.7</v>
      </c>
      <c r="R2523">
        <v>2</v>
      </c>
      <c r="S2523">
        <v>1.81</v>
      </c>
      <c r="T2523">
        <v>0</v>
      </c>
      <c r="U2523" t="s">
        <v>22</v>
      </c>
      <c r="V2523" t="e">
        <f>IF(#REF! = "yes", 1, 0)</f>
        <v>#REF!</v>
      </c>
      <c r="W2523" t="e">
        <f>IF(#REF! &lt;= 1, "0-1 Calls", IF(#REF! &lt;= 3, "2-3 Calls", IF(#REF! &lt;=5, "4-5 Calls", "6+ Calls")))</f>
        <v>#REF!</v>
      </c>
      <c r="X2523" t="e">
        <f>IF(#REF! &lt;= 50, "0-50", IF(#REF! &lt;=100, "51-100", IF(#REF! &lt;= 150, "101-150", "151+")))</f>
        <v>#REF!</v>
      </c>
      <c r="Y2523" t="e">
        <f>IF(#REF! &lt;= 3, "Low Charges", "High Charges")</f>
        <v>#REF!</v>
      </c>
      <c r="Z2523" t="e">
        <f>IF(#REF!&lt;=80,"Low Calls",
IF(#REF!&lt;=120,"Medium Calls","High Calls"))</f>
        <v>#REF!</v>
      </c>
      <c r="AA2523" t="e">
        <f>IF(#REF!&lt;=15,"Low Charges",
IF(#REF!&lt;=20,"Medium Charges","High Charges"))</f>
        <v>#REF!</v>
      </c>
      <c r="AB2523" t="e">
        <f>IF(AND(#REF!&gt;180, #REF!&gt;200), "Heavy Doemstic User", IF(#REF!&gt;10, "Interntional User", IF(AND(#REF!&lt;180, #REF!&lt;200,#REF!&lt;200), "Light User", "Balanced User")))</f>
        <v>#REF!</v>
      </c>
      <c r="AC2523" t="e">
        <f>IF(#REF! = 0, "No Usage", IF(#REF! &lt;= 20, "Low Usage", IF(#REF! &lt;= 40, "Medium Usgae", "High Usage")))</f>
        <v>#REF!</v>
      </c>
      <c r="AD2523" t="e">
        <f>IF(#REF!&lt;=150,"Low Usage", IF(#REF!&lt;=200,"Medium Usage", IF(#REF!&lt;=250,"High Usage","Very High Usage")))</f>
        <v>#REF!</v>
      </c>
      <c r="AE2523" t="e">
        <f>IF(#REF!&lt;=5,"Low Calls", IF(#REF!&lt;=10, "Medium Calls", "High Calls"))</f>
        <v>#REF!</v>
      </c>
      <c r="AF2523" t="e">
        <f xml:space="preserve">
IF(#REF!&gt;=4,4,0)+
IF(#REF!="yes",3,0)+
IF(#REF!="High Charges",3,0)+
IF(#REF!&gt;250,4,0)+
IF(#REF!="no",1,0)+
IF(#REF!="Heavy Domestic User",2,0)</f>
        <v>#REF!</v>
      </c>
      <c r="AG2523" t="e">
        <f>IF(#REF!&gt;=10,"High Risk", IF(#REF!&gt;=5,"Medium Risk","Low Risk"))</f>
        <v>#REF!</v>
      </c>
      <c r="AH2523" t="e">
        <f>#REF! + #REF! + #REF! + #REF!</f>
        <v>#REF!</v>
      </c>
    </row>
    <row r="2524" spans="1:34" x14ac:dyDescent="0.35">
      <c r="A2524">
        <v>2523</v>
      </c>
      <c r="B2524" t="s">
        <v>55</v>
      </c>
      <c r="C2524">
        <v>83</v>
      </c>
      <c r="D2524" t="s">
        <v>28</v>
      </c>
      <c r="E2524" t="s">
        <v>22</v>
      </c>
      <c r="F2524" t="s">
        <v>22</v>
      </c>
      <c r="G2524">
        <v>0</v>
      </c>
      <c r="H2524">
        <v>208.9</v>
      </c>
      <c r="I2524">
        <v>71</v>
      </c>
      <c r="J2524">
        <v>35.51</v>
      </c>
      <c r="K2524">
        <v>214.8</v>
      </c>
      <c r="L2524">
        <v>92</v>
      </c>
      <c r="M2524">
        <v>18.260000000000002</v>
      </c>
      <c r="N2524">
        <v>247.9</v>
      </c>
      <c r="O2524">
        <v>108</v>
      </c>
      <c r="P2524">
        <v>11.16</v>
      </c>
      <c r="Q2524">
        <v>13</v>
      </c>
      <c r="R2524">
        <v>5</v>
      </c>
      <c r="S2524">
        <v>3.51</v>
      </c>
      <c r="T2524">
        <v>1</v>
      </c>
      <c r="U2524" t="s">
        <v>22</v>
      </c>
      <c r="V2524" t="e">
        <f>IF(#REF! = "yes", 1, 0)</f>
        <v>#REF!</v>
      </c>
      <c r="W2524" t="e">
        <f>IF(#REF! &lt;= 1, "0-1 Calls", IF(#REF! &lt;= 3, "2-3 Calls", IF(#REF! &lt;=5, "4-5 Calls", "6+ Calls")))</f>
        <v>#REF!</v>
      </c>
      <c r="X2524" t="e">
        <f>IF(#REF! &lt;= 50, "0-50", IF(#REF! &lt;=100, "51-100", IF(#REF! &lt;= 150, "101-150", "151+")))</f>
        <v>#REF!</v>
      </c>
      <c r="Y2524" t="e">
        <f>IF(#REF! &lt;= 3, "Low Charges", "High Charges")</f>
        <v>#REF!</v>
      </c>
      <c r="Z2524" t="e">
        <f>IF(#REF!&lt;=80,"Low Calls",
IF(#REF!&lt;=120,"Medium Calls","High Calls"))</f>
        <v>#REF!</v>
      </c>
      <c r="AA2524" t="e">
        <f>IF(#REF!&lt;=15,"Low Charges",
IF(#REF!&lt;=20,"Medium Charges","High Charges"))</f>
        <v>#REF!</v>
      </c>
      <c r="AB2524" t="e">
        <f>IF(AND(#REF!&gt;180, #REF!&gt;200), "Heavy Doemstic User", IF(#REF!&gt;10, "Interntional User", IF(AND(#REF!&lt;180, #REF!&lt;200,#REF!&lt;200), "Light User", "Balanced User")))</f>
        <v>#REF!</v>
      </c>
      <c r="AC2524" t="e">
        <f>IF(#REF! = 0, "No Usage", IF(#REF! &lt;= 20, "Low Usage", IF(#REF! &lt;= 40, "Medium Usgae", "High Usage")))</f>
        <v>#REF!</v>
      </c>
      <c r="AD2524" t="e">
        <f>IF(#REF!&lt;=150,"Low Usage", IF(#REF!&lt;=200,"Medium Usage", IF(#REF!&lt;=250,"High Usage","Very High Usage")))</f>
        <v>#REF!</v>
      </c>
      <c r="AE2524" t="e">
        <f>IF(#REF!&lt;=5,"Low Calls", IF(#REF!&lt;=10, "Medium Calls", "High Calls"))</f>
        <v>#REF!</v>
      </c>
      <c r="AF2524" t="e">
        <f xml:space="preserve">
IF(#REF!&gt;=4,4,0)+
IF(#REF!="yes",3,0)+
IF(#REF!="High Charges",3,0)+
IF(#REF!&gt;250,4,0)+
IF(#REF!="no",1,0)+
IF(#REF!="Heavy Domestic User",2,0)</f>
        <v>#REF!</v>
      </c>
      <c r="AG2524" t="e">
        <f>IF(#REF!&gt;=10,"High Risk", IF(#REF!&gt;=5,"Medium Risk","Low Risk"))</f>
        <v>#REF!</v>
      </c>
      <c r="AH2524" t="e">
        <f>#REF! + #REF! + #REF! + #REF!</f>
        <v>#REF!</v>
      </c>
    </row>
    <row r="2525" spans="1:34" x14ac:dyDescent="0.35">
      <c r="A2525">
        <v>2524</v>
      </c>
      <c r="B2525" t="s">
        <v>45</v>
      </c>
      <c r="C2525">
        <v>99</v>
      </c>
      <c r="D2525" t="s">
        <v>25</v>
      </c>
      <c r="E2525" t="s">
        <v>22</v>
      </c>
      <c r="F2525" t="s">
        <v>22</v>
      </c>
      <c r="G2525">
        <v>0</v>
      </c>
      <c r="H2525">
        <v>135.69999999999999</v>
      </c>
      <c r="I2525">
        <v>107</v>
      </c>
      <c r="J2525">
        <v>23.07</v>
      </c>
      <c r="K2525">
        <v>208.4</v>
      </c>
      <c r="L2525">
        <v>103</v>
      </c>
      <c r="M2525">
        <v>17.71</v>
      </c>
      <c r="N2525">
        <v>209</v>
      </c>
      <c r="O2525">
        <v>95</v>
      </c>
      <c r="P2525">
        <v>9.4</v>
      </c>
      <c r="Q2525">
        <v>8.8000000000000007</v>
      </c>
      <c r="R2525">
        <v>3</v>
      </c>
      <c r="S2525">
        <v>2.38</v>
      </c>
      <c r="T2525">
        <v>7</v>
      </c>
      <c r="U2525" t="s">
        <v>23</v>
      </c>
      <c r="V2525" t="e">
        <f>IF(#REF! = "yes", 1, 0)</f>
        <v>#REF!</v>
      </c>
      <c r="W2525" t="e">
        <f>IF(#REF! &lt;= 1, "0-1 Calls", IF(#REF! &lt;= 3, "2-3 Calls", IF(#REF! &lt;=5, "4-5 Calls", "6+ Calls")))</f>
        <v>#REF!</v>
      </c>
      <c r="X2525" t="e">
        <f>IF(#REF! &lt;= 50, "0-50", IF(#REF! &lt;=100, "51-100", IF(#REF! &lt;= 150, "101-150", "151+")))</f>
        <v>#REF!</v>
      </c>
      <c r="Y2525" t="e">
        <f>IF(#REF! &lt;= 3, "Low Charges", "High Charges")</f>
        <v>#REF!</v>
      </c>
      <c r="Z2525" t="e">
        <f>IF(#REF!&lt;=80,"Low Calls",
IF(#REF!&lt;=120,"Medium Calls","High Calls"))</f>
        <v>#REF!</v>
      </c>
      <c r="AA2525" t="e">
        <f>IF(#REF!&lt;=15,"Low Charges",
IF(#REF!&lt;=20,"Medium Charges","High Charges"))</f>
        <v>#REF!</v>
      </c>
      <c r="AB2525" t="e">
        <f>IF(AND(#REF!&gt;180, #REF!&gt;200), "Heavy Doemstic User", IF(#REF!&gt;10, "Interntional User", IF(AND(#REF!&lt;180, #REF!&lt;200,#REF!&lt;200), "Light User", "Balanced User")))</f>
        <v>#REF!</v>
      </c>
      <c r="AC2525" t="e">
        <f>IF(#REF! = 0, "No Usage", IF(#REF! &lt;= 20, "Low Usage", IF(#REF! &lt;= 40, "Medium Usgae", "High Usage")))</f>
        <v>#REF!</v>
      </c>
      <c r="AD2525" t="e">
        <f>IF(#REF!&lt;=150,"Low Usage", IF(#REF!&lt;=200,"Medium Usage", IF(#REF!&lt;=250,"High Usage","Very High Usage")))</f>
        <v>#REF!</v>
      </c>
      <c r="AE2525" t="e">
        <f>IF(#REF!&lt;=5,"Low Calls", IF(#REF!&lt;=10, "Medium Calls", "High Calls"))</f>
        <v>#REF!</v>
      </c>
      <c r="AF2525" t="e">
        <f xml:space="preserve">
IF(#REF!&gt;=4,4,0)+
IF(#REF!="yes",3,0)+
IF(#REF!="High Charges",3,0)+
IF(#REF!&gt;250,4,0)+
IF(#REF!="no",1,0)+
IF(#REF!="Heavy Domestic User",2,0)</f>
        <v>#REF!</v>
      </c>
      <c r="AG2525" t="e">
        <f>IF(#REF!&gt;=10,"High Risk", IF(#REF!&gt;=5,"Medium Risk","Low Risk"))</f>
        <v>#REF!</v>
      </c>
      <c r="AH2525" t="e">
        <f>#REF! + #REF! + #REF! + #REF!</f>
        <v>#REF!</v>
      </c>
    </row>
    <row r="2526" spans="1:34" x14ac:dyDescent="0.35">
      <c r="A2526">
        <v>2525</v>
      </c>
      <c r="B2526" t="s">
        <v>70</v>
      </c>
      <c r="C2526">
        <v>84</v>
      </c>
      <c r="D2526" t="s">
        <v>21</v>
      </c>
      <c r="E2526" t="s">
        <v>22</v>
      </c>
      <c r="F2526" t="s">
        <v>22</v>
      </c>
      <c r="G2526">
        <v>0</v>
      </c>
      <c r="H2526">
        <v>225.9</v>
      </c>
      <c r="I2526">
        <v>86</v>
      </c>
      <c r="J2526">
        <v>38.4</v>
      </c>
      <c r="K2526">
        <v>275.60000000000002</v>
      </c>
      <c r="L2526">
        <v>105</v>
      </c>
      <c r="M2526">
        <v>23.43</v>
      </c>
      <c r="N2526">
        <v>201.4</v>
      </c>
      <c r="O2526">
        <v>108</v>
      </c>
      <c r="P2526">
        <v>9.06</v>
      </c>
      <c r="Q2526">
        <v>14.3</v>
      </c>
      <c r="R2526">
        <v>3</v>
      </c>
      <c r="S2526">
        <v>3.86</v>
      </c>
      <c r="T2526">
        <v>3</v>
      </c>
      <c r="U2526" t="s">
        <v>23</v>
      </c>
      <c r="V2526" t="e">
        <f>IF(#REF! = "yes", 1, 0)</f>
        <v>#REF!</v>
      </c>
      <c r="W2526" t="e">
        <f>IF(#REF! &lt;= 1, "0-1 Calls", IF(#REF! &lt;= 3, "2-3 Calls", IF(#REF! &lt;=5, "4-5 Calls", "6+ Calls")))</f>
        <v>#REF!</v>
      </c>
      <c r="X2526" t="e">
        <f>IF(#REF! &lt;= 50, "0-50", IF(#REF! &lt;=100, "51-100", IF(#REF! &lt;= 150, "101-150", "151+")))</f>
        <v>#REF!</v>
      </c>
      <c r="Y2526" t="e">
        <f>IF(#REF! &lt;= 3, "Low Charges", "High Charges")</f>
        <v>#REF!</v>
      </c>
      <c r="Z2526" t="e">
        <f>IF(#REF!&lt;=80,"Low Calls",
IF(#REF!&lt;=120,"Medium Calls","High Calls"))</f>
        <v>#REF!</v>
      </c>
      <c r="AA2526" t="e">
        <f>IF(#REF!&lt;=15,"Low Charges",
IF(#REF!&lt;=20,"Medium Charges","High Charges"))</f>
        <v>#REF!</v>
      </c>
      <c r="AB2526" t="e">
        <f>IF(AND(#REF!&gt;180, #REF!&gt;200), "Heavy Doemstic User", IF(#REF!&gt;10, "Interntional User", IF(AND(#REF!&lt;180, #REF!&lt;200,#REF!&lt;200), "Light User", "Balanced User")))</f>
        <v>#REF!</v>
      </c>
      <c r="AC2526" t="e">
        <f>IF(#REF! = 0, "No Usage", IF(#REF! &lt;= 20, "Low Usage", IF(#REF! &lt;= 40, "Medium Usgae", "High Usage")))</f>
        <v>#REF!</v>
      </c>
      <c r="AD2526" t="e">
        <f>IF(#REF!&lt;=150,"Low Usage", IF(#REF!&lt;=200,"Medium Usage", IF(#REF!&lt;=250,"High Usage","Very High Usage")))</f>
        <v>#REF!</v>
      </c>
      <c r="AE2526" t="e">
        <f>IF(#REF!&lt;=5,"Low Calls", IF(#REF!&lt;=10, "Medium Calls", "High Calls"))</f>
        <v>#REF!</v>
      </c>
      <c r="AF2526" t="e">
        <f xml:space="preserve">
IF(#REF!&gt;=4,4,0)+
IF(#REF!="yes",3,0)+
IF(#REF!="High Charges",3,0)+
IF(#REF!&gt;250,4,0)+
IF(#REF!="no",1,0)+
IF(#REF!="Heavy Domestic User",2,0)</f>
        <v>#REF!</v>
      </c>
      <c r="AG2526" t="e">
        <f>IF(#REF!&gt;=10,"High Risk", IF(#REF!&gt;=5,"Medium Risk","Low Risk"))</f>
        <v>#REF!</v>
      </c>
      <c r="AH2526" t="e">
        <f>#REF! + #REF! + #REF! + #REF!</f>
        <v>#REF!</v>
      </c>
    </row>
    <row r="2527" spans="1:34" x14ac:dyDescent="0.35">
      <c r="A2527">
        <v>2526</v>
      </c>
      <c r="B2527" t="s">
        <v>20</v>
      </c>
      <c r="C2527">
        <v>87</v>
      </c>
      <c r="D2527" t="s">
        <v>28</v>
      </c>
      <c r="E2527" t="s">
        <v>22</v>
      </c>
      <c r="F2527" t="s">
        <v>22</v>
      </c>
      <c r="G2527">
        <v>0</v>
      </c>
      <c r="H2527">
        <v>153.30000000000001</v>
      </c>
      <c r="I2527">
        <v>106</v>
      </c>
      <c r="J2527">
        <v>26.06</v>
      </c>
      <c r="K2527">
        <v>224.5</v>
      </c>
      <c r="L2527">
        <v>117</v>
      </c>
      <c r="M2527">
        <v>19.079999999999998</v>
      </c>
      <c r="N2527">
        <v>273.39999999999998</v>
      </c>
      <c r="O2527">
        <v>152</v>
      </c>
      <c r="P2527">
        <v>12.3</v>
      </c>
      <c r="Q2527">
        <v>8.9</v>
      </c>
      <c r="R2527">
        <v>5</v>
      </c>
      <c r="S2527">
        <v>2.4</v>
      </c>
      <c r="T2527">
        <v>2</v>
      </c>
      <c r="U2527" t="s">
        <v>22</v>
      </c>
      <c r="V2527" t="e">
        <f>IF(#REF! = "yes", 1, 0)</f>
        <v>#REF!</v>
      </c>
      <c r="W2527" t="e">
        <f>IF(#REF! &lt;= 1, "0-1 Calls", IF(#REF! &lt;= 3, "2-3 Calls", IF(#REF! &lt;=5, "4-5 Calls", "6+ Calls")))</f>
        <v>#REF!</v>
      </c>
      <c r="X2527" t="e">
        <f>IF(#REF! &lt;= 50, "0-50", IF(#REF! &lt;=100, "51-100", IF(#REF! &lt;= 150, "101-150", "151+")))</f>
        <v>#REF!</v>
      </c>
      <c r="Y2527" t="e">
        <f>IF(#REF! &lt;= 3, "Low Charges", "High Charges")</f>
        <v>#REF!</v>
      </c>
      <c r="Z2527" t="e">
        <f>IF(#REF!&lt;=80,"Low Calls",
IF(#REF!&lt;=120,"Medium Calls","High Calls"))</f>
        <v>#REF!</v>
      </c>
      <c r="AA2527" t="e">
        <f>IF(#REF!&lt;=15,"Low Charges",
IF(#REF!&lt;=20,"Medium Charges","High Charges"))</f>
        <v>#REF!</v>
      </c>
      <c r="AB2527" t="e">
        <f>IF(AND(#REF!&gt;180, #REF!&gt;200), "Heavy Doemstic User", IF(#REF!&gt;10, "Interntional User", IF(AND(#REF!&lt;180, #REF!&lt;200,#REF!&lt;200), "Light User", "Balanced User")))</f>
        <v>#REF!</v>
      </c>
      <c r="AC2527" t="e">
        <f>IF(#REF! = 0, "No Usage", IF(#REF! &lt;= 20, "Low Usage", IF(#REF! &lt;= 40, "Medium Usgae", "High Usage")))</f>
        <v>#REF!</v>
      </c>
      <c r="AD2527" t="e">
        <f>IF(#REF!&lt;=150,"Low Usage", IF(#REF!&lt;=200,"Medium Usage", IF(#REF!&lt;=250,"High Usage","Very High Usage")))</f>
        <v>#REF!</v>
      </c>
      <c r="AE2527" t="e">
        <f>IF(#REF!&lt;=5,"Low Calls", IF(#REF!&lt;=10, "Medium Calls", "High Calls"))</f>
        <v>#REF!</v>
      </c>
      <c r="AF2527" t="e">
        <f xml:space="preserve">
IF(#REF!&gt;=4,4,0)+
IF(#REF!="yes",3,0)+
IF(#REF!="High Charges",3,0)+
IF(#REF!&gt;250,4,0)+
IF(#REF!="no",1,0)+
IF(#REF!="Heavy Domestic User",2,0)</f>
        <v>#REF!</v>
      </c>
      <c r="AG2527" t="e">
        <f>IF(#REF!&gt;=10,"High Risk", IF(#REF!&gt;=5,"Medium Risk","Low Risk"))</f>
        <v>#REF!</v>
      </c>
      <c r="AH2527" t="e">
        <f>#REF! + #REF! + #REF! + #REF!</f>
        <v>#REF!</v>
      </c>
    </row>
    <row r="2528" spans="1:34" x14ac:dyDescent="0.35">
      <c r="A2528">
        <v>2527</v>
      </c>
      <c r="B2528" t="s">
        <v>32</v>
      </c>
      <c r="C2528">
        <v>7</v>
      </c>
      <c r="D2528" t="s">
        <v>21</v>
      </c>
      <c r="E2528" t="s">
        <v>22</v>
      </c>
      <c r="F2528" t="s">
        <v>22</v>
      </c>
      <c r="G2528">
        <v>0</v>
      </c>
      <c r="H2528">
        <v>206.7</v>
      </c>
      <c r="I2528">
        <v>87</v>
      </c>
      <c r="J2528">
        <v>35.14</v>
      </c>
      <c r="K2528">
        <v>281.10000000000002</v>
      </c>
      <c r="L2528">
        <v>83</v>
      </c>
      <c r="M2528">
        <v>23.89</v>
      </c>
      <c r="N2528">
        <v>158.5</v>
      </c>
      <c r="O2528">
        <v>77</v>
      </c>
      <c r="P2528">
        <v>7.13</v>
      </c>
      <c r="Q2528">
        <v>11</v>
      </c>
      <c r="R2528">
        <v>5</v>
      </c>
      <c r="S2528">
        <v>2.97</v>
      </c>
      <c r="T2528">
        <v>3</v>
      </c>
      <c r="U2528" t="s">
        <v>22</v>
      </c>
      <c r="V2528" t="e">
        <f>IF(#REF! = "yes", 1, 0)</f>
        <v>#REF!</v>
      </c>
      <c r="W2528" t="e">
        <f>IF(#REF! &lt;= 1, "0-1 Calls", IF(#REF! &lt;= 3, "2-3 Calls", IF(#REF! &lt;=5, "4-5 Calls", "6+ Calls")))</f>
        <v>#REF!</v>
      </c>
      <c r="X2528" t="e">
        <f>IF(#REF! &lt;= 50, "0-50", IF(#REF! &lt;=100, "51-100", IF(#REF! &lt;= 150, "101-150", "151+")))</f>
        <v>#REF!</v>
      </c>
      <c r="Y2528" t="e">
        <f>IF(#REF! &lt;= 3, "Low Charges", "High Charges")</f>
        <v>#REF!</v>
      </c>
      <c r="Z2528" t="e">
        <f>IF(#REF!&lt;=80,"Low Calls",
IF(#REF!&lt;=120,"Medium Calls","High Calls"))</f>
        <v>#REF!</v>
      </c>
      <c r="AA2528" t="e">
        <f>IF(#REF!&lt;=15,"Low Charges",
IF(#REF!&lt;=20,"Medium Charges","High Charges"))</f>
        <v>#REF!</v>
      </c>
      <c r="AB2528" t="e">
        <f>IF(AND(#REF!&gt;180, #REF!&gt;200), "Heavy Doemstic User", IF(#REF!&gt;10, "Interntional User", IF(AND(#REF!&lt;180, #REF!&lt;200,#REF!&lt;200), "Light User", "Balanced User")))</f>
        <v>#REF!</v>
      </c>
      <c r="AC2528" t="e">
        <f>IF(#REF! = 0, "No Usage", IF(#REF! &lt;= 20, "Low Usage", IF(#REF! &lt;= 40, "Medium Usgae", "High Usage")))</f>
        <v>#REF!</v>
      </c>
      <c r="AD2528" t="e">
        <f>IF(#REF!&lt;=150,"Low Usage", IF(#REF!&lt;=200,"Medium Usage", IF(#REF!&lt;=250,"High Usage","Very High Usage")))</f>
        <v>#REF!</v>
      </c>
      <c r="AE2528" t="e">
        <f>IF(#REF!&lt;=5,"Low Calls", IF(#REF!&lt;=10, "Medium Calls", "High Calls"))</f>
        <v>#REF!</v>
      </c>
      <c r="AF2528" t="e">
        <f xml:space="preserve">
IF(#REF!&gt;=4,4,0)+
IF(#REF!="yes",3,0)+
IF(#REF!="High Charges",3,0)+
IF(#REF!&gt;250,4,0)+
IF(#REF!="no",1,0)+
IF(#REF!="Heavy Domestic User",2,0)</f>
        <v>#REF!</v>
      </c>
      <c r="AG2528" t="e">
        <f>IF(#REF!&gt;=10,"High Risk", IF(#REF!&gt;=5,"Medium Risk","Low Risk"))</f>
        <v>#REF!</v>
      </c>
      <c r="AH2528" t="e">
        <f>#REF! + #REF! + #REF! + #REF!</f>
        <v>#REF!</v>
      </c>
    </row>
    <row r="2529" spans="1:34" x14ac:dyDescent="0.35">
      <c r="A2529">
        <v>2528</v>
      </c>
      <c r="B2529" t="s">
        <v>52</v>
      </c>
      <c r="C2529">
        <v>89</v>
      </c>
      <c r="D2529" t="s">
        <v>21</v>
      </c>
      <c r="E2529" t="s">
        <v>22</v>
      </c>
      <c r="F2529" t="s">
        <v>23</v>
      </c>
      <c r="G2529">
        <v>12</v>
      </c>
      <c r="H2529">
        <v>188</v>
      </c>
      <c r="I2529">
        <v>105</v>
      </c>
      <c r="J2529">
        <v>31.96</v>
      </c>
      <c r="K2529">
        <v>151.30000000000001</v>
      </c>
      <c r="L2529">
        <v>107</v>
      </c>
      <c r="M2529">
        <v>12.86</v>
      </c>
      <c r="N2529">
        <v>201.9</v>
      </c>
      <c r="O2529">
        <v>132</v>
      </c>
      <c r="P2529">
        <v>9.09</v>
      </c>
      <c r="Q2529">
        <v>10.5</v>
      </c>
      <c r="R2529">
        <v>3</v>
      </c>
      <c r="S2529">
        <v>2.84</v>
      </c>
      <c r="T2529">
        <v>2</v>
      </c>
      <c r="U2529" t="s">
        <v>22</v>
      </c>
      <c r="V2529" t="e">
        <f>IF(#REF! = "yes", 1, 0)</f>
        <v>#REF!</v>
      </c>
      <c r="W2529" t="e">
        <f>IF(#REF! &lt;= 1, "0-1 Calls", IF(#REF! &lt;= 3, "2-3 Calls", IF(#REF! &lt;=5, "4-5 Calls", "6+ Calls")))</f>
        <v>#REF!</v>
      </c>
      <c r="X2529" t="e">
        <f>IF(#REF! &lt;= 50, "0-50", IF(#REF! &lt;=100, "51-100", IF(#REF! &lt;= 150, "101-150", "151+")))</f>
        <v>#REF!</v>
      </c>
      <c r="Y2529" t="e">
        <f>IF(#REF! &lt;= 3, "Low Charges", "High Charges")</f>
        <v>#REF!</v>
      </c>
      <c r="Z2529" t="e">
        <f>IF(#REF!&lt;=80,"Low Calls",
IF(#REF!&lt;=120,"Medium Calls","High Calls"))</f>
        <v>#REF!</v>
      </c>
      <c r="AA2529" t="e">
        <f>IF(#REF!&lt;=15,"Low Charges",
IF(#REF!&lt;=20,"Medium Charges","High Charges"))</f>
        <v>#REF!</v>
      </c>
      <c r="AB2529" t="e">
        <f>IF(AND(#REF!&gt;180, #REF!&gt;200), "Heavy Doemstic User", IF(#REF!&gt;10, "Interntional User", IF(AND(#REF!&lt;180, #REF!&lt;200,#REF!&lt;200), "Light User", "Balanced User")))</f>
        <v>#REF!</v>
      </c>
      <c r="AC2529" t="e">
        <f>IF(#REF! = 0, "No Usage", IF(#REF! &lt;= 20, "Low Usage", IF(#REF! &lt;= 40, "Medium Usgae", "High Usage")))</f>
        <v>#REF!</v>
      </c>
      <c r="AD2529" t="e">
        <f>IF(#REF!&lt;=150,"Low Usage", IF(#REF!&lt;=200,"Medium Usage", IF(#REF!&lt;=250,"High Usage","Very High Usage")))</f>
        <v>#REF!</v>
      </c>
      <c r="AE2529" t="e">
        <f>IF(#REF!&lt;=5,"Low Calls", IF(#REF!&lt;=10, "Medium Calls", "High Calls"))</f>
        <v>#REF!</v>
      </c>
      <c r="AF2529" t="e">
        <f xml:space="preserve">
IF(#REF!&gt;=4,4,0)+
IF(#REF!="yes",3,0)+
IF(#REF!="High Charges",3,0)+
IF(#REF!&gt;250,4,0)+
IF(#REF!="no",1,0)+
IF(#REF!="Heavy Domestic User",2,0)</f>
        <v>#REF!</v>
      </c>
      <c r="AG2529" t="e">
        <f>IF(#REF!&gt;=10,"High Risk", IF(#REF!&gt;=5,"Medium Risk","Low Risk"))</f>
        <v>#REF!</v>
      </c>
      <c r="AH2529" t="e">
        <f>#REF! + #REF! + #REF! + #REF!</f>
        <v>#REF!</v>
      </c>
    </row>
    <row r="2530" spans="1:34" x14ac:dyDescent="0.35">
      <c r="A2530">
        <v>2529</v>
      </c>
      <c r="B2530" t="s">
        <v>36</v>
      </c>
      <c r="C2530">
        <v>131</v>
      </c>
      <c r="D2530" t="s">
        <v>25</v>
      </c>
      <c r="E2530" t="s">
        <v>23</v>
      </c>
      <c r="F2530" t="s">
        <v>22</v>
      </c>
      <c r="G2530">
        <v>0</v>
      </c>
      <c r="H2530">
        <v>122.3</v>
      </c>
      <c r="I2530">
        <v>83</v>
      </c>
      <c r="J2530">
        <v>20.79</v>
      </c>
      <c r="K2530">
        <v>118.8</v>
      </c>
      <c r="L2530">
        <v>94</v>
      </c>
      <c r="M2530">
        <v>10.1</v>
      </c>
      <c r="N2530">
        <v>147.9</v>
      </c>
      <c r="O2530">
        <v>95</v>
      </c>
      <c r="P2530">
        <v>6.66</v>
      </c>
      <c r="Q2530">
        <v>13.7</v>
      </c>
      <c r="R2530">
        <v>3</v>
      </c>
      <c r="S2530">
        <v>3.7</v>
      </c>
      <c r="T2530">
        <v>3</v>
      </c>
      <c r="U2530" t="s">
        <v>23</v>
      </c>
      <c r="V2530" t="e">
        <f>IF(#REF! = "yes", 1, 0)</f>
        <v>#REF!</v>
      </c>
      <c r="W2530" t="e">
        <f>IF(#REF! &lt;= 1, "0-1 Calls", IF(#REF! &lt;= 3, "2-3 Calls", IF(#REF! &lt;=5, "4-5 Calls", "6+ Calls")))</f>
        <v>#REF!</v>
      </c>
      <c r="X2530" t="e">
        <f>IF(#REF! &lt;= 50, "0-50", IF(#REF! &lt;=100, "51-100", IF(#REF! &lt;= 150, "101-150", "151+")))</f>
        <v>#REF!</v>
      </c>
      <c r="Y2530" t="e">
        <f>IF(#REF! &lt;= 3, "Low Charges", "High Charges")</f>
        <v>#REF!</v>
      </c>
      <c r="Z2530" t="e">
        <f>IF(#REF!&lt;=80,"Low Calls",
IF(#REF!&lt;=120,"Medium Calls","High Calls"))</f>
        <v>#REF!</v>
      </c>
      <c r="AA2530" t="e">
        <f>IF(#REF!&lt;=15,"Low Charges",
IF(#REF!&lt;=20,"Medium Charges","High Charges"))</f>
        <v>#REF!</v>
      </c>
      <c r="AB2530" t="e">
        <f>IF(AND(#REF!&gt;180, #REF!&gt;200), "Heavy Doemstic User", IF(#REF!&gt;10, "Interntional User", IF(AND(#REF!&lt;180, #REF!&lt;200,#REF!&lt;200), "Light User", "Balanced User")))</f>
        <v>#REF!</v>
      </c>
      <c r="AC2530" t="e">
        <f>IF(#REF! = 0, "No Usage", IF(#REF! &lt;= 20, "Low Usage", IF(#REF! &lt;= 40, "Medium Usgae", "High Usage")))</f>
        <v>#REF!</v>
      </c>
      <c r="AD2530" t="e">
        <f>IF(#REF!&lt;=150,"Low Usage", IF(#REF!&lt;=200,"Medium Usage", IF(#REF!&lt;=250,"High Usage","Very High Usage")))</f>
        <v>#REF!</v>
      </c>
      <c r="AE2530" t="e">
        <f>IF(#REF!&lt;=5,"Low Calls", IF(#REF!&lt;=10, "Medium Calls", "High Calls"))</f>
        <v>#REF!</v>
      </c>
      <c r="AF2530" t="e">
        <f xml:space="preserve">
IF(#REF!&gt;=4,4,0)+
IF(#REF!="yes",3,0)+
IF(#REF!="High Charges",3,0)+
IF(#REF!&gt;250,4,0)+
IF(#REF!="no",1,0)+
IF(#REF!="Heavy Domestic User",2,0)</f>
        <v>#REF!</v>
      </c>
      <c r="AG2530" t="e">
        <f>IF(#REF!&gt;=10,"High Risk", IF(#REF!&gt;=5,"Medium Risk","Low Risk"))</f>
        <v>#REF!</v>
      </c>
      <c r="AH2530" t="e">
        <f>#REF! + #REF! + #REF! + #REF!</f>
        <v>#REF!</v>
      </c>
    </row>
    <row r="2531" spans="1:34" x14ac:dyDescent="0.35">
      <c r="A2531">
        <v>2530</v>
      </c>
      <c r="B2531" t="s">
        <v>38</v>
      </c>
      <c r="C2531">
        <v>105</v>
      </c>
      <c r="D2531" t="s">
        <v>21</v>
      </c>
      <c r="E2531" t="s">
        <v>22</v>
      </c>
      <c r="F2531" t="s">
        <v>22</v>
      </c>
      <c r="G2531">
        <v>0</v>
      </c>
      <c r="H2531">
        <v>259.3</v>
      </c>
      <c r="I2531">
        <v>96</v>
      </c>
      <c r="J2531">
        <v>44.08</v>
      </c>
      <c r="K2531">
        <v>175.2</v>
      </c>
      <c r="L2531">
        <v>97</v>
      </c>
      <c r="M2531">
        <v>14.89</v>
      </c>
      <c r="N2531">
        <v>222.4</v>
      </c>
      <c r="O2531">
        <v>36</v>
      </c>
      <c r="P2531">
        <v>10.01</v>
      </c>
      <c r="Q2531">
        <v>12</v>
      </c>
      <c r="R2531">
        <v>5</v>
      </c>
      <c r="S2531">
        <v>3.24</v>
      </c>
      <c r="T2531">
        <v>3</v>
      </c>
      <c r="U2531" t="s">
        <v>22</v>
      </c>
      <c r="V2531" t="e">
        <f>IF(#REF! = "yes", 1, 0)</f>
        <v>#REF!</v>
      </c>
      <c r="W2531" t="e">
        <f>IF(#REF! &lt;= 1, "0-1 Calls", IF(#REF! &lt;= 3, "2-3 Calls", IF(#REF! &lt;=5, "4-5 Calls", "6+ Calls")))</f>
        <v>#REF!</v>
      </c>
      <c r="X2531" t="e">
        <f>IF(#REF! &lt;= 50, "0-50", IF(#REF! &lt;=100, "51-100", IF(#REF! &lt;= 150, "101-150", "151+")))</f>
        <v>#REF!</v>
      </c>
      <c r="Y2531" t="e">
        <f>IF(#REF! &lt;= 3, "Low Charges", "High Charges")</f>
        <v>#REF!</v>
      </c>
      <c r="Z2531" t="e">
        <f>IF(#REF!&lt;=80,"Low Calls",
IF(#REF!&lt;=120,"Medium Calls","High Calls"))</f>
        <v>#REF!</v>
      </c>
      <c r="AA2531" t="e">
        <f>IF(#REF!&lt;=15,"Low Charges",
IF(#REF!&lt;=20,"Medium Charges","High Charges"))</f>
        <v>#REF!</v>
      </c>
      <c r="AB2531" t="e">
        <f>IF(AND(#REF!&gt;180, #REF!&gt;200), "Heavy Doemstic User", IF(#REF!&gt;10, "Interntional User", IF(AND(#REF!&lt;180, #REF!&lt;200,#REF!&lt;200), "Light User", "Balanced User")))</f>
        <v>#REF!</v>
      </c>
      <c r="AC2531" t="e">
        <f>IF(#REF! = 0, "No Usage", IF(#REF! &lt;= 20, "Low Usage", IF(#REF! &lt;= 40, "Medium Usgae", "High Usage")))</f>
        <v>#REF!</v>
      </c>
      <c r="AD2531" t="e">
        <f>IF(#REF!&lt;=150,"Low Usage", IF(#REF!&lt;=200,"Medium Usage", IF(#REF!&lt;=250,"High Usage","Very High Usage")))</f>
        <v>#REF!</v>
      </c>
      <c r="AE2531" t="e">
        <f>IF(#REF!&lt;=5,"Low Calls", IF(#REF!&lt;=10, "Medium Calls", "High Calls"))</f>
        <v>#REF!</v>
      </c>
      <c r="AF2531" t="e">
        <f xml:space="preserve">
IF(#REF!&gt;=4,4,0)+
IF(#REF!="yes",3,0)+
IF(#REF!="High Charges",3,0)+
IF(#REF!&gt;250,4,0)+
IF(#REF!="no",1,0)+
IF(#REF!="Heavy Domestic User",2,0)</f>
        <v>#REF!</v>
      </c>
      <c r="AG2531" t="e">
        <f>IF(#REF!&gt;=10,"High Risk", IF(#REF!&gt;=5,"Medium Risk","Low Risk"))</f>
        <v>#REF!</v>
      </c>
      <c r="AH2531" t="e">
        <f>#REF! + #REF! + #REF! + #REF!</f>
        <v>#REF!</v>
      </c>
    </row>
    <row r="2532" spans="1:34" x14ac:dyDescent="0.35">
      <c r="A2532">
        <v>2531</v>
      </c>
      <c r="B2532" t="s">
        <v>53</v>
      </c>
      <c r="C2532">
        <v>108</v>
      </c>
      <c r="D2532" t="s">
        <v>25</v>
      </c>
      <c r="E2532" t="s">
        <v>23</v>
      </c>
      <c r="F2532" t="s">
        <v>22</v>
      </c>
      <c r="G2532">
        <v>0</v>
      </c>
      <c r="H2532">
        <v>115.1</v>
      </c>
      <c r="I2532">
        <v>114</v>
      </c>
      <c r="J2532">
        <v>19.57</v>
      </c>
      <c r="K2532">
        <v>211.3</v>
      </c>
      <c r="L2532">
        <v>70</v>
      </c>
      <c r="M2532">
        <v>17.96</v>
      </c>
      <c r="N2532">
        <v>136.1</v>
      </c>
      <c r="O2532">
        <v>85</v>
      </c>
      <c r="P2532">
        <v>6.12</v>
      </c>
      <c r="Q2532">
        <v>13.8</v>
      </c>
      <c r="R2532">
        <v>3</v>
      </c>
      <c r="S2532">
        <v>3.73</v>
      </c>
      <c r="T2532">
        <v>2</v>
      </c>
      <c r="U2532" t="s">
        <v>23</v>
      </c>
      <c r="V2532" t="e">
        <f>IF(#REF! = "yes", 1, 0)</f>
        <v>#REF!</v>
      </c>
      <c r="W2532" t="e">
        <f>IF(#REF! &lt;= 1, "0-1 Calls", IF(#REF! &lt;= 3, "2-3 Calls", IF(#REF! &lt;=5, "4-5 Calls", "6+ Calls")))</f>
        <v>#REF!</v>
      </c>
      <c r="X2532" t="e">
        <f>IF(#REF! &lt;= 50, "0-50", IF(#REF! &lt;=100, "51-100", IF(#REF! &lt;= 150, "101-150", "151+")))</f>
        <v>#REF!</v>
      </c>
      <c r="Y2532" t="e">
        <f>IF(#REF! &lt;= 3, "Low Charges", "High Charges")</f>
        <v>#REF!</v>
      </c>
      <c r="Z2532" t="e">
        <f>IF(#REF!&lt;=80,"Low Calls",
IF(#REF!&lt;=120,"Medium Calls","High Calls"))</f>
        <v>#REF!</v>
      </c>
      <c r="AA2532" t="e">
        <f>IF(#REF!&lt;=15,"Low Charges",
IF(#REF!&lt;=20,"Medium Charges","High Charges"))</f>
        <v>#REF!</v>
      </c>
      <c r="AB2532" t="e">
        <f>IF(AND(#REF!&gt;180, #REF!&gt;200), "Heavy Doemstic User", IF(#REF!&gt;10, "Interntional User", IF(AND(#REF!&lt;180, #REF!&lt;200,#REF!&lt;200), "Light User", "Balanced User")))</f>
        <v>#REF!</v>
      </c>
      <c r="AC2532" t="e">
        <f>IF(#REF! = 0, "No Usage", IF(#REF! &lt;= 20, "Low Usage", IF(#REF! &lt;= 40, "Medium Usgae", "High Usage")))</f>
        <v>#REF!</v>
      </c>
      <c r="AD2532" t="e">
        <f>IF(#REF!&lt;=150,"Low Usage", IF(#REF!&lt;=200,"Medium Usage", IF(#REF!&lt;=250,"High Usage","Very High Usage")))</f>
        <v>#REF!</v>
      </c>
      <c r="AE2532" t="e">
        <f>IF(#REF!&lt;=5,"Low Calls", IF(#REF!&lt;=10, "Medium Calls", "High Calls"))</f>
        <v>#REF!</v>
      </c>
      <c r="AF2532" t="e">
        <f xml:space="preserve">
IF(#REF!&gt;=4,4,0)+
IF(#REF!="yes",3,0)+
IF(#REF!="High Charges",3,0)+
IF(#REF!&gt;250,4,0)+
IF(#REF!="no",1,0)+
IF(#REF!="Heavy Domestic User",2,0)</f>
        <v>#REF!</v>
      </c>
      <c r="AG2532" t="e">
        <f>IF(#REF!&gt;=10,"High Risk", IF(#REF!&gt;=5,"Medium Risk","Low Risk"))</f>
        <v>#REF!</v>
      </c>
      <c r="AH2532" t="e">
        <f>#REF! + #REF! + #REF! + #REF!</f>
        <v>#REF!</v>
      </c>
    </row>
    <row r="2533" spans="1:34" x14ac:dyDescent="0.35">
      <c r="A2533">
        <v>2532</v>
      </c>
      <c r="B2533" t="s">
        <v>37</v>
      </c>
      <c r="C2533">
        <v>47</v>
      </c>
      <c r="D2533" t="s">
        <v>21</v>
      </c>
      <c r="E2533" t="s">
        <v>22</v>
      </c>
      <c r="F2533" t="s">
        <v>23</v>
      </c>
      <c r="G2533">
        <v>28</v>
      </c>
      <c r="H2533">
        <v>172.9</v>
      </c>
      <c r="I2533">
        <v>109</v>
      </c>
      <c r="J2533">
        <v>29.39</v>
      </c>
      <c r="K2533">
        <v>137.6</v>
      </c>
      <c r="L2533">
        <v>94</v>
      </c>
      <c r="M2533">
        <v>11.7</v>
      </c>
      <c r="N2533">
        <v>203.8</v>
      </c>
      <c r="O2533">
        <v>109</v>
      </c>
      <c r="P2533">
        <v>9.17</v>
      </c>
      <c r="Q2533">
        <v>8.3000000000000007</v>
      </c>
      <c r="R2533">
        <v>6</v>
      </c>
      <c r="S2533">
        <v>2.2400000000000002</v>
      </c>
      <c r="T2533">
        <v>1</v>
      </c>
      <c r="U2533" t="s">
        <v>22</v>
      </c>
      <c r="V2533" t="e">
        <f>IF(#REF! = "yes", 1, 0)</f>
        <v>#REF!</v>
      </c>
      <c r="W2533" t="e">
        <f>IF(#REF! &lt;= 1, "0-1 Calls", IF(#REF! &lt;= 3, "2-3 Calls", IF(#REF! &lt;=5, "4-5 Calls", "6+ Calls")))</f>
        <v>#REF!</v>
      </c>
      <c r="X2533" t="e">
        <f>IF(#REF! &lt;= 50, "0-50", IF(#REF! &lt;=100, "51-100", IF(#REF! &lt;= 150, "101-150", "151+")))</f>
        <v>#REF!</v>
      </c>
      <c r="Y2533" t="e">
        <f>IF(#REF! &lt;= 3, "Low Charges", "High Charges")</f>
        <v>#REF!</v>
      </c>
      <c r="Z2533" t="e">
        <f>IF(#REF!&lt;=80,"Low Calls",
IF(#REF!&lt;=120,"Medium Calls","High Calls"))</f>
        <v>#REF!</v>
      </c>
      <c r="AA2533" t="e">
        <f>IF(#REF!&lt;=15,"Low Charges",
IF(#REF!&lt;=20,"Medium Charges","High Charges"))</f>
        <v>#REF!</v>
      </c>
      <c r="AB2533" t="e">
        <f>IF(AND(#REF!&gt;180, #REF!&gt;200), "Heavy Doemstic User", IF(#REF!&gt;10, "Interntional User", IF(AND(#REF!&lt;180, #REF!&lt;200,#REF!&lt;200), "Light User", "Balanced User")))</f>
        <v>#REF!</v>
      </c>
      <c r="AC2533" t="e">
        <f>IF(#REF! = 0, "No Usage", IF(#REF! &lt;= 20, "Low Usage", IF(#REF! &lt;= 40, "Medium Usgae", "High Usage")))</f>
        <v>#REF!</v>
      </c>
      <c r="AD2533" t="e">
        <f>IF(#REF!&lt;=150,"Low Usage", IF(#REF!&lt;=200,"Medium Usage", IF(#REF!&lt;=250,"High Usage","Very High Usage")))</f>
        <v>#REF!</v>
      </c>
      <c r="AE2533" t="e">
        <f>IF(#REF!&lt;=5,"Low Calls", IF(#REF!&lt;=10, "Medium Calls", "High Calls"))</f>
        <v>#REF!</v>
      </c>
      <c r="AF2533" t="e">
        <f xml:space="preserve">
IF(#REF!&gt;=4,4,0)+
IF(#REF!="yes",3,0)+
IF(#REF!="High Charges",3,0)+
IF(#REF!&gt;250,4,0)+
IF(#REF!="no",1,0)+
IF(#REF!="Heavy Domestic User",2,0)</f>
        <v>#REF!</v>
      </c>
      <c r="AG2533" t="e">
        <f>IF(#REF!&gt;=10,"High Risk", IF(#REF!&gt;=5,"Medium Risk","Low Risk"))</f>
        <v>#REF!</v>
      </c>
      <c r="AH2533" t="e">
        <f>#REF! + #REF! + #REF! + #REF!</f>
        <v>#REF!</v>
      </c>
    </row>
    <row r="2534" spans="1:34" x14ac:dyDescent="0.35">
      <c r="A2534">
        <v>2533</v>
      </c>
      <c r="B2534" t="s">
        <v>29</v>
      </c>
      <c r="C2534">
        <v>101</v>
      </c>
      <c r="D2534" t="s">
        <v>21</v>
      </c>
      <c r="E2534" t="s">
        <v>23</v>
      </c>
      <c r="F2534" t="s">
        <v>22</v>
      </c>
      <c r="G2534">
        <v>0</v>
      </c>
      <c r="H2534">
        <v>156.4</v>
      </c>
      <c r="I2534">
        <v>116</v>
      </c>
      <c r="J2534">
        <v>26.59</v>
      </c>
      <c r="K2534">
        <v>130.4</v>
      </c>
      <c r="L2534">
        <v>114</v>
      </c>
      <c r="M2534">
        <v>11.08</v>
      </c>
      <c r="N2534">
        <v>207.3</v>
      </c>
      <c r="O2534">
        <v>109</v>
      </c>
      <c r="P2534">
        <v>9.33</v>
      </c>
      <c r="Q2534">
        <v>7.3</v>
      </c>
      <c r="R2534">
        <v>5</v>
      </c>
      <c r="S2534">
        <v>1.97</v>
      </c>
      <c r="T2534">
        <v>1</v>
      </c>
      <c r="U2534" t="s">
        <v>22</v>
      </c>
      <c r="V2534" t="e">
        <f>IF(#REF! = "yes", 1, 0)</f>
        <v>#REF!</v>
      </c>
      <c r="W2534" t="e">
        <f>IF(#REF! &lt;= 1, "0-1 Calls", IF(#REF! &lt;= 3, "2-3 Calls", IF(#REF! &lt;=5, "4-5 Calls", "6+ Calls")))</f>
        <v>#REF!</v>
      </c>
      <c r="X2534" t="e">
        <f>IF(#REF! &lt;= 50, "0-50", IF(#REF! &lt;=100, "51-100", IF(#REF! &lt;= 150, "101-150", "151+")))</f>
        <v>#REF!</v>
      </c>
      <c r="Y2534" t="e">
        <f>IF(#REF! &lt;= 3, "Low Charges", "High Charges")</f>
        <v>#REF!</v>
      </c>
      <c r="Z2534" t="e">
        <f>IF(#REF!&lt;=80,"Low Calls",
IF(#REF!&lt;=120,"Medium Calls","High Calls"))</f>
        <v>#REF!</v>
      </c>
      <c r="AA2534" t="e">
        <f>IF(#REF!&lt;=15,"Low Charges",
IF(#REF!&lt;=20,"Medium Charges","High Charges"))</f>
        <v>#REF!</v>
      </c>
      <c r="AB2534" t="e">
        <f>IF(AND(#REF!&gt;180, #REF!&gt;200), "Heavy Doemstic User", IF(#REF!&gt;10, "Interntional User", IF(AND(#REF!&lt;180, #REF!&lt;200,#REF!&lt;200), "Light User", "Balanced User")))</f>
        <v>#REF!</v>
      </c>
      <c r="AC2534" t="e">
        <f>IF(#REF! = 0, "No Usage", IF(#REF! &lt;= 20, "Low Usage", IF(#REF! &lt;= 40, "Medium Usgae", "High Usage")))</f>
        <v>#REF!</v>
      </c>
      <c r="AD2534" t="e">
        <f>IF(#REF!&lt;=150,"Low Usage", IF(#REF!&lt;=200,"Medium Usage", IF(#REF!&lt;=250,"High Usage","Very High Usage")))</f>
        <v>#REF!</v>
      </c>
      <c r="AE2534" t="e">
        <f>IF(#REF!&lt;=5,"Low Calls", IF(#REF!&lt;=10, "Medium Calls", "High Calls"))</f>
        <v>#REF!</v>
      </c>
      <c r="AF2534" t="e">
        <f xml:space="preserve">
IF(#REF!&gt;=4,4,0)+
IF(#REF!="yes",3,0)+
IF(#REF!="High Charges",3,0)+
IF(#REF!&gt;250,4,0)+
IF(#REF!="no",1,0)+
IF(#REF!="Heavy Domestic User",2,0)</f>
        <v>#REF!</v>
      </c>
      <c r="AG2534" t="e">
        <f>IF(#REF!&gt;=10,"High Risk", IF(#REF!&gt;=5,"Medium Risk","Low Risk"))</f>
        <v>#REF!</v>
      </c>
      <c r="AH2534" t="e">
        <f>#REF! + #REF! + #REF! + #REF!</f>
        <v>#REF!</v>
      </c>
    </row>
    <row r="2535" spans="1:34" x14ac:dyDescent="0.35">
      <c r="A2535">
        <v>2534</v>
      </c>
      <c r="B2535" t="s">
        <v>68</v>
      </c>
      <c r="C2535">
        <v>182</v>
      </c>
      <c r="D2535" t="s">
        <v>21</v>
      </c>
      <c r="E2535" t="s">
        <v>22</v>
      </c>
      <c r="F2535" t="s">
        <v>23</v>
      </c>
      <c r="G2535">
        <v>24</v>
      </c>
      <c r="H2535">
        <v>128.1</v>
      </c>
      <c r="I2535">
        <v>104</v>
      </c>
      <c r="J2535">
        <v>21.78</v>
      </c>
      <c r="K2535">
        <v>143.4</v>
      </c>
      <c r="L2535">
        <v>127</v>
      </c>
      <c r="M2535">
        <v>12.19</v>
      </c>
      <c r="N2535">
        <v>191</v>
      </c>
      <c r="O2535">
        <v>98</v>
      </c>
      <c r="P2535">
        <v>8.59</v>
      </c>
      <c r="Q2535">
        <v>11.6</v>
      </c>
      <c r="R2535">
        <v>3</v>
      </c>
      <c r="S2535">
        <v>3.13</v>
      </c>
      <c r="T2535">
        <v>1</v>
      </c>
      <c r="U2535" t="s">
        <v>22</v>
      </c>
      <c r="V2535" t="e">
        <f>IF(#REF! = "yes", 1, 0)</f>
        <v>#REF!</v>
      </c>
      <c r="W2535" t="e">
        <f>IF(#REF! &lt;= 1, "0-1 Calls", IF(#REF! &lt;= 3, "2-3 Calls", IF(#REF! &lt;=5, "4-5 Calls", "6+ Calls")))</f>
        <v>#REF!</v>
      </c>
      <c r="X2535" t="e">
        <f>IF(#REF! &lt;= 50, "0-50", IF(#REF! &lt;=100, "51-100", IF(#REF! &lt;= 150, "101-150", "151+")))</f>
        <v>#REF!</v>
      </c>
      <c r="Y2535" t="e">
        <f>IF(#REF! &lt;= 3, "Low Charges", "High Charges")</f>
        <v>#REF!</v>
      </c>
      <c r="Z2535" t="e">
        <f>IF(#REF!&lt;=80,"Low Calls",
IF(#REF!&lt;=120,"Medium Calls","High Calls"))</f>
        <v>#REF!</v>
      </c>
      <c r="AA2535" t="e">
        <f>IF(#REF!&lt;=15,"Low Charges",
IF(#REF!&lt;=20,"Medium Charges","High Charges"))</f>
        <v>#REF!</v>
      </c>
      <c r="AB2535" t="e">
        <f>IF(AND(#REF!&gt;180, #REF!&gt;200), "Heavy Doemstic User", IF(#REF!&gt;10, "Interntional User", IF(AND(#REF!&lt;180, #REF!&lt;200,#REF!&lt;200), "Light User", "Balanced User")))</f>
        <v>#REF!</v>
      </c>
      <c r="AC2535" t="e">
        <f>IF(#REF! = 0, "No Usage", IF(#REF! &lt;= 20, "Low Usage", IF(#REF! &lt;= 40, "Medium Usgae", "High Usage")))</f>
        <v>#REF!</v>
      </c>
      <c r="AD2535" t="e">
        <f>IF(#REF!&lt;=150,"Low Usage", IF(#REF!&lt;=200,"Medium Usage", IF(#REF!&lt;=250,"High Usage","Very High Usage")))</f>
        <v>#REF!</v>
      </c>
      <c r="AE2535" t="e">
        <f>IF(#REF!&lt;=5,"Low Calls", IF(#REF!&lt;=10, "Medium Calls", "High Calls"))</f>
        <v>#REF!</v>
      </c>
      <c r="AF2535" t="e">
        <f xml:space="preserve">
IF(#REF!&gt;=4,4,0)+
IF(#REF!="yes",3,0)+
IF(#REF!="High Charges",3,0)+
IF(#REF!&gt;250,4,0)+
IF(#REF!="no",1,0)+
IF(#REF!="Heavy Domestic User",2,0)</f>
        <v>#REF!</v>
      </c>
      <c r="AG2535" t="e">
        <f>IF(#REF!&gt;=10,"High Risk", IF(#REF!&gt;=5,"Medium Risk","Low Risk"))</f>
        <v>#REF!</v>
      </c>
      <c r="AH2535" t="e">
        <f>#REF! + #REF! + #REF! + #REF!</f>
        <v>#REF!</v>
      </c>
    </row>
    <row r="2536" spans="1:34" x14ac:dyDescent="0.35">
      <c r="A2536">
        <v>2535</v>
      </c>
      <c r="B2536" t="s">
        <v>64</v>
      </c>
      <c r="C2536">
        <v>128</v>
      </c>
      <c r="D2536" t="s">
        <v>25</v>
      </c>
      <c r="E2536" t="s">
        <v>22</v>
      </c>
      <c r="F2536" t="s">
        <v>22</v>
      </c>
      <c r="G2536">
        <v>0</v>
      </c>
      <c r="H2536">
        <v>227.9</v>
      </c>
      <c r="I2536">
        <v>130</v>
      </c>
      <c r="J2536">
        <v>38.74</v>
      </c>
      <c r="K2536">
        <v>302.60000000000002</v>
      </c>
      <c r="L2536">
        <v>71</v>
      </c>
      <c r="M2536">
        <v>25.72</v>
      </c>
      <c r="N2536">
        <v>191.5</v>
      </c>
      <c r="O2536">
        <v>82</v>
      </c>
      <c r="P2536">
        <v>8.6199999999999992</v>
      </c>
      <c r="Q2536">
        <v>5.5</v>
      </c>
      <c r="R2536">
        <v>7</v>
      </c>
      <c r="S2536">
        <v>1.49</v>
      </c>
      <c r="T2536">
        <v>1</v>
      </c>
      <c r="U2536" t="s">
        <v>23</v>
      </c>
      <c r="V2536" t="e">
        <f>IF(#REF! = "yes", 1, 0)</f>
        <v>#REF!</v>
      </c>
      <c r="W2536" t="e">
        <f>IF(#REF! &lt;= 1, "0-1 Calls", IF(#REF! &lt;= 3, "2-3 Calls", IF(#REF! &lt;=5, "4-5 Calls", "6+ Calls")))</f>
        <v>#REF!</v>
      </c>
      <c r="X2536" t="e">
        <f>IF(#REF! &lt;= 50, "0-50", IF(#REF! &lt;=100, "51-100", IF(#REF! &lt;= 150, "101-150", "151+")))</f>
        <v>#REF!</v>
      </c>
      <c r="Y2536" t="e">
        <f>IF(#REF! &lt;= 3, "Low Charges", "High Charges")</f>
        <v>#REF!</v>
      </c>
      <c r="Z2536" t="e">
        <f>IF(#REF!&lt;=80,"Low Calls",
IF(#REF!&lt;=120,"Medium Calls","High Calls"))</f>
        <v>#REF!</v>
      </c>
      <c r="AA2536" t="e">
        <f>IF(#REF!&lt;=15,"Low Charges",
IF(#REF!&lt;=20,"Medium Charges","High Charges"))</f>
        <v>#REF!</v>
      </c>
      <c r="AB2536" t="e">
        <f>IF(AND(#REF!&gt;180, #REF!&gt;200), "Heavy Doemstic User", IF(#REF!&gt;10, "Interntional User", IF(AND(#REF!&lt;180, #REF!&lt;200,#REF!&lt;200), "Light User", "Balanced User")))</f>
        <v>#REF!</v>
      </c>
      <c r="AC2536" t="e">
        <f>IF(#REF! = 0, "No Usage", IF(#REF! &lt;= 20, "Low Usage", IF(#REF! &lt;= 40, "Medium Usgae", "High Usage")))</f>
        <v>#REF!</v>
      </c>
      <c r="AD2536" t="e">
        <f>IF(#REF!&lt;=150,"Low Usage", IF(#REF!&lt;=200,"Medium Usage", IF(#REF!&lt;=250,"High Usage","Very High Usage")))</f>
        <v>#REF!</v>
      </c>
      <c r="AE2536" t="e">
        <f>IF(#REF!&lt;=5,"Low Calls", IF(#REF!&lt;=10, "Medium Calls", "High Calls"))</f>
        <v>#REF!</v>
      </c>
      <c r="AF2536" t="e">
        <f xml:space="preserve">
IF(#REF!&gt;=4,4,0)+
IF(#REF!="yes",3,0)+
IF(#REF!="High Charges",3,0)+
IF(#REF!&gt;250,4,0)+
IF(#REF!="no",1,0)+
IF(#REF!="Heavy Domestic User",2,0)</f>
        <v>#REF!</v>
      </c>
      <c r="AG2536" t="e">
        <f>IF(#REF!&gt;=10,"High Risk", IF(#REF!&gt;=5,"Medium Risk","Low Risk"))</f>
        <v>#REF!</v>
      </c>
      <c r="AH2536" t="e">
        <f>#REF! + #REF! + #REF! + #REF!</f>
        <v>#REF!</v>
      </c>
    </row>
    <row r="2537" spans="1:34" x14ac:dyDescent="0.35">
      <c r="A2537">
        <v>2536</v>
      </c>
      <c r="B2537" t="s">
        <v>42</v>
      </c>
      <c r="C2537">
        <v>69</v>
      </c>
      <c r="D2537" t="s">
        <v>21</v>
      </c>
      <c r="E2537" t="s">
        <v>22</v>
      </c>
      <c r="F2537" t="s">
        <v>23</v>
      </c>
      <c r="G2537">
        <v>31</v>
      </c>
      <c r="H2537">
        <v>194.9</v>
      </c>
      <c r="I2537">
        <v>63</v>
      </c>
      <c r="J2537">
        <v>33.130000000000003</v>
      </c>
      <c r="K2537">
        <v>191.6</v>
      </c>
      <c r="L2537">
        <v>90</v>
      </c>
      <c r="M2537">
        <v>16.29</v>
      </c>
      <c r="N2537">
        <v>153</v>
      </c>
      <c r="O2537">
        <v>129</v>
      </c>
      <c r="P2537">
        <v>6.89</v>
      </c>
      <c r="Q2537">
        <v>13.2</v>
      </c>
      <c r="R2537">
        <v>2</v>
      </c>
      <c r="S2537">
        <v>3.56</v>
      </c>
      <c r="T2537">
        <v>2</v>
      </c>
      <c r="U2537" t="s">
        <v>22</v>
      </c>
      <c r="V2537" t="e">
        <f>IF(#REF! = "yes", 1, 0)</f>
        <v>#REF!</v>
      </c>
      <c r="W2537" t="e">
        <f>IF(#REF! &lt;= 1, "0-1 Calls", IF(#REF! &lt;= 3, "2-3 Calls", IF(#REF! &lt;=5, "4-5 Calls", "6+ Calls")))</f>
        <v>#REF!</v>
      </c>
      <c r="X2537" t="e">
        <f>IF(#REF! &lt;= 50, "0-50", IF(#REF! &lt;=100, "51-100", IF(#REF! &lt;= 150, "101-150", "151+")))</f>
        <v>#REF!</v>
      </c>
      <c r="Y2537" t="e">
        <f>IF(#REF! &lt;= 3, "Low Charges", "High Charges")</f>
        <v>#REF!</v>
      </c>
      <c r="Z2537" t="e">
        <f>IF(#REF!&lt;=80,"Low Calls",
IF(#REF!&lt;=120,"Medium Calls","High Calls"))</f>
        <v>#REF!</v>
      </c>
      <c r="AA2537" t="e">
        <f>IF(#REF!&lt;=15,"Low Charges",
IF(#REF!&lt;=20,"Medium Charges","High Charges"))</f>
        <v>#REF!</v>
      </c>
      <c r="AB2537" t="e">
        <f>IF(AND(#REF!&gt;180, #REF!&gt;200), "Heavy Doemstic User", IF(#REF!&gt;10, "Interntional User", IF(AND(#REF!&lt;180, #REF!&lt;200,#REF!&lt;200), "Light User", "Balanced User")))</f>
        <v>#REF!</v>
      </c>
      <c r="AC2537" t="e">
        <f>IF(#REF! = 0, "No Usage", IF(#REF! &lt;= 20, "Low Usage", IF(#REF! &lt;= 40, "Medium Usgae", "High Usage")))</f>
        <v>#REF!</v>
      </c>
      <c r="AD2537" t="e">
        <f>IF(#REF!&lt;=150,"Low Usage", IF(#REF!&lt;=200,"Medium Usage", IF(#REF!&lt;=250,"High Usage","Very High Usage")))</f>
        <v>#REF!</v>
      </c>
      <c r="AE2537" t="e">
        <f>IF(#REF!&lt;=5,"Low Calls", IF(#REF!&lt;=10, "Medium Calls", "High Calls"))</f>
        <v>#REF!</v>
      </c>
      <c r="AF2537" t="e">
        <f xml:space="preserve">
IF(#REF!&gt;=4,4,0)+
IF(#REF!="yes",3,0)+
IF(#REF!="High Charges",3,0)+
IF(#REF!&gt;250,4,0)+
IF(#REF!="no",1,0)+
IF(#REF!="Heavy Domestic User",2,0)</f>
        <v>#REF!</v>
      </c>
      <c r="AG2537" t="e">
        <f>IF(#REF!&gt;=10,"High Risk", IF(#REF!&gt;=5,"Medium Risk","Low Risk"))</f>
        <v>#REF!</v>
      </c>
      <c r="AH2537" t="e">
        <f>#REF! + #REF! + #REF! + #REF!</f>
        <v>#REF!</v>
      </c>
    </row>
    <row r="2538" spans="1:34" x14ac:dyDescent="0.35">
      <c r="A2538">
        <v>2537</v>
      </c>
      <c r="B2538" t="s">
        <v>38</v>
      </c>
      <c r="C2538">
        <v>113</v>
      </c>
      <c r="D2538" t="s">
        <v>25</v>
      </c>
      <c r="E2538" t="s">
        <v>22</v>
      </c>
      <c r="F2538" t="s">
        <v>23</v>
      </c>
      <c r="G2538">
        <v>34</v>
      </c>
      <c r="H2538">
        <v>44.9</v>
      </c>
      <c r="I2538">
        <v>63</v>
      </c>
      <c r="J2538">
        <v>7.63</v>
      </c>
      <c r="K2538">
        <v>134.19999999999999</v>
      </c>
      <c r="L2538">
        <v>82</v>
      </c>
      <c r="M2538">
        <v>11.41</v>
      </c>
      <c r="N2538">
        <v>168.4</v>
      </c>
      <c r="O2538">
        <v>118</v>
      </c>
      <c r="P2538">
        <v>7.58</v>
      </c>
      <c r="Q2538">
        <v>13.3</v>
      </c>
      <c r="R2538">
        <v>3</v>
      </c>
      <c r="S2538">
        <v>3.59</v>
      </c>
      <c r="T2538">
        <v>1</v>
      </c>
      <c r="U2538" t="s">
        <v>22</v>
      </c>
      <c r="V2538" t="e">
        <f>IF(#REF! = "yes", 1, 0)</f>
        <v>#REF!</v>
      </c>
      <c r="W2538" t="e">
        <f>IF(#REF! &lt;= 1, "0-1 Calls", IF(#REF! &lt;= 3, "2-3 Calls", IF(#REF! &lt;=5, "4-5 Calls", "6+ Calls")))</f>
        <v>#REF!</v>
      </c>
      <c r="X2538" t="e">
        <f>IF(#REF! &lt;= 50, "0-50", IF(#REF! &lt;=100, "51-100", IF(#REF! &lt;= 150, "101-150", "151+")))</f>
        <v>#REF!</v>
      </c>
      <c r="Y2538" t="e">
        <f>IF(#REF! &lt;= 3, "Low Charges", "High Charges")</f>
        <v>#REF!</v>
      </c>
      <c r="Z2538" t="e">
        <f>IF(#REF!&lt;=80,"Low Calls",
IF(#REF!&lt;=120,"Medium Calls","High Calls"))</f>
        <v>#REF!</v>
      </c>
      <c r="AA2538" t="e">
        <f>IF(#REF!&lt;=15,"Low Charges",
IF(#REF!&lt;=20,"Medium Charges","High Charges"))</f>
        <v>#REF!</v>
      </c>
      <c r="AB2538" t="e">
        <f>IF(AND(#REF!&gt;180, #REF!&gt;200), "Heavy Doemstic User", IF(#REF!&gt;10, "Interntional User", IF(AND(#REF!&lt;180, #REF!&lt;200,#REF!&lt;200), "Light User", "Balanced User")))</f>
        <v>#REF!</v>
      </c>
      <c r="AC2538" t="e">
        <f>IF(#REF! = 0, "No Usage", IF(#REF! &lt;= 20, "Low Usage", IF(#REF! &lt;= 40, "Medium Usgae", "High Usage")))</f>
        <v>#REF!</v>
      </c>
      <c r="AD2538" t="e">
        <f>IF(#REF!&lt;=150,"Low Usage", IF(#REF!&lt;=200,"Medium Usage", IF(#REF!&lt;=250,"High Usage","Very High Usage")))</f>
        <v>#REF!</v>
      </c>
      <c r="AE2538" t="e">
        <f>IF(#REF!&lt;=5,"Low Calls", IF(#REF!&lt;=10, "Medium Calls", "High Calls"))</f>
        <v>#REF!</v>
      </c>
      <c r="AF2538" t="e">
        <f xml:space="preserve">
IF(#REF!&gt;=4,4,0)+
IF(#REF!="yes",3,0)+
IF(#REF!="High Charges",3,0)+
IF(#REF!&gt;250,4,0)+
IF(#REF!="no",1,0)+
IF(#REF!="Heavy Domestic User",2,0)</f>
        <v>#REF!</v>
      </c>
      <c r="AG2538" t="e">
        <f>IF(#REF!&gt;=10,"High Risk", IF(#REF!&gt;=5,"Medium Risk","Low Risk"))</f>
        <v>#REF!</v>
      </c>
      <c r="AH2538" t="e">
        <f>#REF! + #REF! + #REF! + #REF!</f>
        <v>#REF!</v>
      </c>
    </row>
    <row r="2539" spans="1:34" x14ac:dyDescent="0.35">
      <c r="A2539">
        <v>2538</v>
      </c>
      <c r="B2539" t="s">
        <v>73</v>
      </c>
      <c r="C2539">
        <v>87</v>
      </c>
      <c r="D2539" t="s">
        <v>25</v>
      </c>
      <c r="E2539" t="s">
        <v>22</v>
      </c>
      <c r="F2539" t="s">
        <v>23</v>
      </c>
      <c r="G2539">
        <v>30</v>
      </c>
      <c r="H2539">
        <v>262.8</v>
      </c>
      <c r="I2539">
        <v>114</v>
      </c>
      <c r="J2539">
        <v>44.68</v>
      </c>
      <c r="K2539">
        <v>215.8</v>
      </c>
      <c r="L2539">
        <v>130</v>
      </c>
      <c r="M2539">
        <v>18.34</v>
      </c>
      <c r="N2539">
        <v>154.80000000000001</v>
      </c>
      <c r="O2539">
        <v>88</v>
      </c>
      <c r="P2539">
        <v>6.97</v>
      </c>
      <c r="Q2539">
        <v>7.8</v>
      </c>
      <c r="R2539">
        <v>2</v>
      </c>
      <c r="S2539">
        <v>2.11</v>
      </c>
      <c r="T2539">
        <v>0</v>
      </c>
      <c r="U2539" t="s">
        <v>22</v>
      </c>
      <c r="V2539" t="e">
        <f>IF(#REF! = "yes", 1, 0)</f>
        <v>#REF!</v>
      </c>
      <c r="W2539" t="e">
        <f>IF(#REF! &lt;= 1, "0-1 Calls", IF(#REF! &lt;= 3, "2-3 Calls", IF(#REF! &lt;=5, "4-5 Calls", "6+ Calls")))</f>
        <v>#REF!</v>
      </c>
      <c r="X2539" t="e">
        <f>IF(#REF! &lt;= 50, "0-50", IF(#REF! &lt;=100, "51-100", IF(#REF! &lt;= 150, "101-150", "151+")))</f>
        <v>#REF!</v>
      </c>
      <c r="Y2539" t="e">
        <f>IF(#REF! &lt;= 3, "Low Charges", "High Charges")</f>
        <v>#REF!</v>
      </c>
      <c r="Z2539" t="e">
        <f>IF(#REF!&lt;=80,"Low Calls",
IF(#REF!&lt;=120,"Medium Calls","High Calls"))</f>
        <v>#REF!</v>
      </c>
      <c r="AA2539" t="e">
        <f>IF(#REF!&lt;=15,"Low Charges",
IF(#REF!&lt;=20,"Medium Charges","High Charges"))</f>
        <v>#REF!</v>
      </c>
      <c r="AB2539" t="e">
        <f>IF(AND(#REF!&gt;180, #REF!&gt;200), "Heavy Doemstic User", IF(#REF!&gt;10, "Interntional User", IF(AND(#REF!&lt;180, #REF!&lt;200,#REF!&lt;200), "Light User", "Balanced User")))</f>
        <v>#REF!</v>
      </c>
      <c r="AC2539" t="e">
        <f>IF(#REF! = 0, "No Usage", IF(#REF! &lt;= 20, "Low Usage", IF(#REF! &lt;= 40, "Medium Usgae", "High Usage")))</f>
        <v>#REF!</v>
      </c>
      <c r="AD2539" t="e">
        <f>IF(#REF!&lt;=150,"Low Usage", IF(#REF!&lt;=200,"Medium Usage", IF(#REF!&lt;=250,"High Usage","Very High Usage")))</f>
        <v>#REF!</v>
      </c>
      <c r="AE2539" t="e">
        <f>IF(#REF!&lt;=5,"Low Calls", IF(#REF!&lt;=10, "Medium Calls", "High Calls"))</f>
        <v>#REF!</v>
      </c>
      <c r="AF2539" t="e">
        <f xml:space="preserve">
IF(#REF!&gt;=4,4,0)+
IF(#REF!="yes",3,0)+
IF(#REF!="High Charges",3,0)+
IF(#REF!&gt;250,4,0)+
IF(#REF!="no",1,0)+
IF(#REF!="Heavy Domestic User",2,0)</f>
        <v>#REF!</v>
      </c>
      <c r="AG2539" t="e">
        <f>IF(#REF!&gt;=10,"High Risk", IF(#REF!&gt;=5,"Medium Risk","Low Risk"))</f>
        <v>#REF!</v>
      </c>
      <c r="AH2539" t="e">
        <f>#REF! + #REF! + #REF! + #REF!</f>
        <v>#REF!</v>
      </c>
    </row>
    <row r="2540" spans="1:34" x14ac:dyDescent="0.35">
      <c r="A2540">
        <v>2539</v>
      </c>
      <c r="B2540" t="s">
        <v>41</v>
      </c>
      <c r="C2540">
        <v>71</v>
      </c>
      <c r="D2540" t="s">
        <v>21</v>
      </c>
      <c r="E2540" t="s">
        <v>22</v>
      </c>
      <c r="F2540" t="s">
        <v>22</v>
      </c>
      <c r="G2540">
        <v>0</v>
      </c>
      <c r="H2540">
        <v>211.2</v>
      </c>
      <c r="I2540">
        <v>70</v>
      </c>
      <c r="J2540">
        <v>35.9</v>
      </c>
      <c r="K2540">
        <v>252.7</v>
      </c>
      <c r="L2540">
        <v>122</v>
      </c>
      <c r="M2540">
        <v>21.48</v>
      </c>
      <c r="N2540">
        <v>225.8</v>
      </c>
      <c r="O2540">
        <v>104</v>
      </c>
      <c r="P2540">
        <v>10.16</v>
      </c>
      <c r="Q2540">
        <v>12.3</v>
      </c>
      <c r="R2540">
        <v>3</v>
      </c>
      <c r="S2540">
        <v>3.32</v>
      </c>
      <c r="T2540">
        <v>0</v>
      </c>
      <c r="U2540" t="s">
        <v>22</v>
      </c>
      <c r="V2540" t="e">
        <f>IF(#REF! = "yes", 1, 0)</f>
        <v>#REF!</v>
      </c>
      <c r="W2540" t="e">
        <f>IF(#REF! &lt;= 1, "0-1 Calls", IF(#REF! &lt;= 3, "2-3 Calls", IF(#REF! &lt;=5, "4-5 Calls", "6+ Calls")))</f>
        <v>#REF!</v>
      </c>
      <c r="X2540" t="e">
        <f>IF(#REF! &lt;= 50, "0-50", IF(#REF! &lt;=100, "51-100", IF(#REF! &lt;= 150, "101-150", "151+")))</f>
        <v>#REF!</v>
      </c>
      <c r="Y2540" t="e">
        <f>IF(#REF! &lt;= 3, "Low Charges", "High Charges")</f>
        <v>#REF!</v>
      </c>
      <c r="Z2540" t="e">
        <f>IF(#REF!&lt;=80,"Low Calls",
IF(#REF!&lt;=120,"Medium Calls","High Calls"))</f>
        <v>#REF!</v>
      </c>
      <c r="AA2540" t="e">
        <f>IF(#REF!&lt;=15,"Low Charges",
IF(#REF!&lt;=20,"Medium Charges","High Charges"))</f>
        <v>#REF!</v>
      </c>
      <c r="AB2540" t="e">
        <f>IF(AND(#REF!&gt;180, #REF!&gt;200), "Heavy Doemstic User", IF(#REF!&gt;10, "Interntional User", IF(AND(#REF!&lt;180, #REF!&lt;200,#REF!&lt;200), "Light User", "Balanced User")))</f>
        <v>#REF!</v>
      </c>
      <c r="AC2540" t="e">
        <f>IF(#REF! = 0, "No Usage", IF(#REF! &lt;= 20, "Low Usage", IF(#REF! &lt;= 40, "Medium Usgae", "High Usage")))</f>
        <v>#REF!</v>
      </c>
      <c r="AD2540" t="e">
        <f>IF(#REF!&lt;=150,"Low Usage", IF(#REF!&lt;=200,"Medium Usage", IF(#REF!&lt;=250,"High Usage","Very High Usage")))</f>
        <v>#REF!</v>
      </c>
      <c r="AE2540" t="e">
        <f>IF(#REF!&lt;=5,"Low Calls", IF(#REF!&lt;=10, "Medium Calls", "High Calls"))</f>
        <v>#REF!</v>
      </c>
      <c r="AF2540" t="e">
        <f xml:space="preserve">
IF(#REF!&gt;=4,4,0)+
IF(#REF!="yes",3,0)+
IF(#REF!="High Charges",3,0)+
IF(#REF!&gt;250,4,0)+
IF(#REF!="no",1,0)+
IF(#REF!="Heavy Domestic User",2,0)</f>
        <v>#REF!</v>
      </c>
      <c r="AG2540" t="e">
        <f>IF(#REF!&gt;=10,"High Risk", IF(#REF!&gt;=5,"Medium Risk","Low Risk"))</f>
        <v>#REF!</v>
      </c>
      <c r="AH2540" t="e">
        <f>#REF! + #REF! + #REF! + #REF!</f>
        <v>#REF!</v>
      </c>
    </row>
    <row r="2541" spans="1:34" x14ac:dyDescent="0.35">
      <c r="A2541">
        <v>2540</v>
      </c>
      <c r="B2541" t="s">
        <v>24</v>
      </c>
      <c r="C2541">
        <v>87</v>
      </c>
      <c r="D2541" t="s">
        <v>28</v>
      </c>
      <c r="E2541" t="s">
        <v>22</v>
      </c>
      <c r="F2541" t="s">
        <v>22</v>
      </c>
      <c r="G2541">
        <v>0</v>
      </c>
      <c r="H2541">
        <v>223.2</v>
      </c>
      <c r="I2541">
        <v>109</v>
      </c>
      <c r="J2541">
        <v>37.94</v>
      </c>
      <c r="K2541">
        <v>127.5</v>
      </c>
      <c r="L2541">
        <v>86</v>
      </c>
      <c r="M2541">
        <v>10.84</v>
      </c>
      <c r="N2541">
        <v>289.3</v>
      </c>
      <c r="O2541">
        <v>83</v>
      </c>
      <c r="P2541">
        <v>13.02</v>
      </c>
      <c r="Q2541">
        <v>14.5</v>
      </c>
      <c r="R2541">
        <v>4</v>
      </c>
      <c r="S2541">
        <v>3.92</v>
      </c>
      <c r="T2541">
        <v>3</v>
      </c>
      <c r="U2541" t="s">
        <v>22</v>
      </c>
      <c r="V2541" t="e">
        <f>IF(#REF! = "yes", 1, 0)</f>
        <v>#REF!</v>
      </c>
      <c r="W2541" t="e">
        <f>IF(#REF! &lt;= 1, "0-1 Calls", IF(#REF! &lt;= 3, "2-3 Calls", IF(#REF! &lt;=5, "4-5 Calls", "6+ Calls")))</f>
        <v>#REF!</v>
      </c>
      <c r="X2541" t="e">
        <f>IF(#REF! &lt;= 50, "0-50", IF(#REF! &lt;=100, "51-100", IF(#REF! &lt;= 150, "101-150", "151+")))</f>
        <v>#REF!</v>
      </c>
      <c r="Y2541" t="e">
        <f>IF(#REF! &lt;= 3, "Low Charges", "High Charges")</f>
        <v>#REF!</v>
      </c>
      <c r="Z2541" t="e">
        <f>IF(#REF!&lt;=80,"Low Calls",
IF(#REF!&lt;=120,"Medium Calls","High Calls"))</f>
        <v>#REF!</v>
      </c>
      <c r="AA2541" t="e">
        <f>IF(#REF!&lt;=15,"Low Charges",
IF(#REF!&lt;=20,"Medium Charges","High Charges"))</f>
        <v>#REF!</v>
      </c>
      <c r="AB2541" t="e">
        <f>IF(AND(#REF!&gt;180, #REF!&gt;200), "Heavy Doemstic User", IF(#REF!&gt;10, "Interntional User", IF(AND(#REF!&lt;180, #REF!&lt;200,#REF!&lt;200), "Light User", "Balanced User")))</f>
        <v>#REF!</v>
      </c>
      <c r="AC2541" t="e">
        <f>IF(#REF! = 0, "No Usage", IF(#REF! &lt;= 20, "Low Usage", IF(#REF! &lt;= 40, "Medium Usgae", "High Usage")))</f>
        <v>#REF!</v>
      </c>
      <c r="AD2541" t="e">
        <f>IF(#REF!&lt;=150,"Low Usage", IF(#REF!&lt;=200,"Medium Usage", IF(#REF!&lt;=250,"High Usage","Very High Usage")))</f>
        <v>#REF!</v>
      </c>
      <c r="AE2541" t="e">
        <f>IF(#REF!&lt;=5,"Low Calls", IF(#REF!&lt;=10, "Medium Calls", "High Calls"))</f>
        <v>#REF!</v>
      </c>
      <c r="AF2541" t="e">
        <f xml:space="preserve">
IF(#REF!&gt;=4,4,0)+
IF(#REF!="yes",3,0)+
IF(#REF!="High Charges",3,0)+
IF(#REF!&gt;250,4,0)+
IF(#REF!="no",1,0)+
IF(#REF!="Heavy Domestic User",2,0)</f>
        <v>#REF!</v>
      </c>
      <c r="AG2541" t="e">
        <f>IF(#REF!&gt;=10,"High Risk", IF(#REF!&gt;=5,"Medium Risk","Low Risk"))</f>
        <v>#REF!</v>
      </c>
      <c r="AH2541" t="e">
        <f>#REF! + #REF! + #REF! + #REF!</f>
        <v>#REF!</v>
      </c>
    </row>
    <row r="2542" spans="1:34" x14ac:dyDescent="0.35">
      <c r="A2542">
        <v>2541</v>
      </c>
      <c r="B2542" t="s">
        <v>72</v>
      </c>
      <c r="C2542">
        <v>117</v>
      </c>
      <c r="D2542" t="s">
        <v>25</v>
      </c>
      <c r="E2542" t="s">
        <v>22</v>
      </c>
      <c r="F2542" t="s">
        <v>22</v>
      </c>
      <c r="G2542">
        <v>0</v>
      </c>
      <c r="H2542">
        <v>119</v>
      </c>
      <c r="I2542">
        <v>82</v>
      </c>
      <c r="J2542">
        <v>20.23</v>
      </c>
      <c r="K2542">
        <v>187.5</v>
      </c>
      <c r="L2542">
        <v>108</v>
      </c>
      <c r="M2542">
        <v>15.94</v>
      </c>
      <c r="N2542">
        <v>189.3</v>
      </c>
      <c r="O2542">
        <v>97</v>
      </c>
      <c r="P2542">
        <v>8.52</v>
      </c>
      <c r="Q2542">
        <v>11.5</v>
      </c>
      <c r="R2542">
        <v>3</v>
      </c>
      <c r="S2542">
        <v>3.11</v>
      </c>
      <c r="T2542">
        <v>1</v>
      </c>
      <c r="U2542" t="s">
        <v>22</v>
      </c>
      <c r="V2542" t="e">
        <f>IF(#REF! = "yes", 1, 0)</f>
        <v>#REF!</v>
      </c>
      <c r="W2542" t="e">
        <f>IF(#REF! &lt;= 1, "0-1 Calls", IF(#REF! &lt;= 3, "2-3 Calls", IF(#REF! &lt;=5, "4-5 Calls", "6+ Calls")))</f>
        <v>#REF!</v>
      </c>
      <c r="X2542" t="e">
        <f>IF(#REF! &lt;= 50, "0-50", IF(#REF! &lt;=100, "51-100", IF(#REF! &lt;= 150, "101-150", "151+")))</f>
        <v>#REF!</v>
      </c>
      <c r="Y2542" t="e">
        <f>IF(#REF! &lt;= 3, "Low Charges", "High Charges")</f>
        <v>#REF!</v>
      </c>
      <c r="Z2542" t="e">
        <f>IF(#REF!&lt;=80,"Low Calls",
IF(#REF!&lt;=120,"Medium Calls","High Calls"))</f>
        <v>#REF!</v>
      </c>
      <c r="AA2542" t="e">
        <f>IF(#REF!&lt;=15,"Low Charges",
IF(#REF!&lt;=20,"Medium Charges","High Charges"))</f>
        <v>#REF!</v>
      </c>
      <c r="AB2542" t="e">
        <f>IF(AND(#REF!&gt;180, #REF!&gt;200), "Heavy Doemstic User", IF(#REF!&gt;10, "Interntional User", IF(AND(#REF!&lt;180, #REF!&lt;200,#REF!&lt;200), "Light User", "Balanced User")))</f>
        <v>#REF!</v>
      </c>
      <c r="AC2542" t="e">
        <f>IF(#REF! = 0, "No Usage", IF(#REF! &lt;= 20, "Low Usage", IF(#REF! &lt;= 40, "Medium Usgae", "High Usage")))</f>
        <v>#REF!</v>
      </c>
      <c r="AD2542" t="e">
        <f>IF(#REF!&lt;=150,"Low Usage", IF(#REF!&lt;=200,"Medium Usage", IF(#REF!&lt;=250,"High Usage","Very High Usage")))</f>
        <v>#REF!</v>
      </c>
      <c r="AE2542" t="e">
        <f>IF(#REF!&lt;=5,"Low Calls", IF(#REF!&lt;=10, "Medium Calls", "High Calls"))</f>
        <v>#REF!</v>
      </c>
      <c r="AF2542" t="e">
        <f xml:space="preserve">
IF(#REF!&gt;=4,4,0)+
IF(#REF!="yes",3,0)+
IF(#REF!="High Charges",3,0)+
IF(#REF!&gt;250,4,0)+
IF(#REF!="no",1,0)+
IF(#REF!="Heavy Domestic User",2,0)</f>
        <v>#REF!</v>
      </c>
      <c r="AG2542" t="e">
        <f>IF(#REF!&gt;=10,"High Risk", IF(#REF!&gt;=5,"Medium Risk","Low Risk"))</f>
        <v>#REF!</v>
      </c>
      <c r="AH2542" t="e">
        <f>#REF! + #REF! + #REF! + #REF!</f>
        <v>#REF!</v>
      </c>
    </row>
    <row r="2543" spans="1:34" x14ac:dyDescent="0.35">
      <c r="A2543">
        <v>2542</v>
      </c>
      <c r="B2543" t="s">
        <v>59</v>
      </c>
      <c r="C2543">
        <v>177</v>
      </c>
      <c r="D2543" t="s">
        <v>21</v>
      </c>
      <c r="E2543" t="s">
        <v>22</v>
      </c>
      <c r="F2543" t="s">
        <v>22</v>
      </c>
      <c r="G2543">
        <v>0</v>
      </c>
      <c r="H2543">
        <v>266.10000000000002</v>
      </c>
      <c r="I2543">
        <v>91</v>
      </c>
      <c r="J2543">
        <v>45.24</v>
      </c>
      <c r="K2543">
        <v>225.2</v>
      </c>
      <c r="L2543">
        <v>79</v>
      </c>
      <c r="M2543">
        <v>19.14</v>
      </c>
      <c r="N2543">
        <v>224.7</v>
      </c>
      <c r="O2543">
        <v>58</v>
      </c>
      <c r="P2543">
        <v>10.11</v>
      </c>
      <c r="Q2543">
        <v>8.9</v>
      </c>
      <c r="R2543">
        <v>8</v>
      </c>
      <c r="S2543">
        <v>2.4</v>
      </c>
      <c r="T2543">
        <v>3</v>
      </c>
      <c r="U2543" t="s">
        <v>23</v>
      </c>
      <c r="V2543" t="e">
        <f>IF(#REF! = "yes", 1, 0)</f>
        <v>#REF!</v>
      </c>
      <c r="W2543" t="e">
        <f>IF(#REF! &lt;= 1, "0-1 Calls", IF(#REF! &lt;= 3, "2-3 Calls", IF(#REF! &lt;=5, "4-5 Calls", "6+ Calls")))</f>
        <v>#REF!</v>
      </c>
      <c r="X2543" t="e">
        <f>IF(#REF! &lt;= 50, "0-50", IF(#REF! &lt;=100, "51-100", IF(#REF! &lt;= 150, "101-150", "151+")))</f>
        <v>#REF!</v>
      </c>
      <c r="Y2543" t="e">
        <f>IF(#REF! &lt;= 3, "Low Charges", "High Charges")</f>
        <v>#REF!</v>
      </c>
      <c r="Z2543" t="e">
        <f>IF(#REF!&lt;=80,"Low Calls",
IF(#REF!&lt;=120,"Medium Calls","High Calls"))</f>
        <v>#REF!</v>
      </c>
      <c r="AA2543" t="e">
        <f>IF(#REF!&lt;=15,"Low Charges",
IF(#REF!&lt;=20,"Medium Charges","High Charges"))</f>
        <v>#REF!</v>
      </c>
      <c r="AB2543" t="e">
        <f>IF(AND(#REF!&gt;180, #REF!&gt;200), "Heavy Doemstic User", IF(#REF!&gt;10, "Interntional User", IF(AND(#REF!&lt;180, #REF!&lt;200,#REF!&lt;200), "Light User", "Balanced User")))</f>
        <v>#REF!</v>
      </c>
      <c r="AC2543" t="e">
        <f>IF(#REF! = 0, "No Usage", IF(#REF! &lt;= 20, "Low Usage", IF(#REF! &lt;= 40, "Medium Usgae", "High Usage")))</f>
        <v>#REF!</v>
      </c>
      <c r="AD2543" t="e">
        <f>IF(#REF!&lt;=150,"Low Usage", IF(#REF!&lt;=200,"Medium Usage", IF(#REF!&lt;=250,"High Usage","Very High Usage")))</f>
        <v>#REF!</v>
      </c>
      <c r="AE2543" t="e">
        <f>IF(#REF!&lt;=5,"Low Calls", IF(#REF!&lt;=10, "Medium Calls", "High Calls"))</f>
        <v>#REF!</v>
      </c>
      <c r="AF2543" t="e">
        <f xml:space="preserve">
IF(#REF!&gt;=4,4,0)+
IF(#REF!="yes",3,0)+
IF(#REF!="High Charges",3,0)+
IF(#REF!&gt;250,4,0)+
IF(#REF!="no",1,0)+
IF(#REF!="Heavy Domestic User",2,0)</f>
        <v>#REF!</v>
      </c>
      <c r="AG2543" t="e">
        <f>IF(#REF!&gt;=10,"High Risk", IF(#REF!&gt;=5,"Medium Risk","Low Risk"))</f>
        <v>#REF!</v>
      </c>
      <c r="AH2543" t="e">
        <f>#REF! + #REF! + #REF! + #REF!</f>
        <v>#REF!</v>
      </c>
    </row>
    <row r="2544" spans="1:34" x14ac:dyDescent="0.35">
      <c r="A2544">
        <v>2543</v>
      </c>
      <c r="B2544" t="s">
        <v>20</v>
      </c>
      <c r="C2544">
        <v>66</v>
      </c>
      <c r="D2544" t="s">
        <v>21</v>
      </c>
      <c r="E2544" t="s">
        <v>22</v>
      </c>
      <c r="F2544" t="s">
        <v>22</v>
      </c>
      <c r="G2544">
        <v>0</v>
      </c>
      <c r="H2544">
        <v>170.5</v>
      </c>
      <c r="I2544">
        <v>103</v>
      </c>
      <c r="J2544">
        <v>28.99</v>
      </c>
      <c r="K2544">
        <v>254.3</v>
      </c>
      <c r="L2544">
        <v>77</v>
      </c>
      <c r="M2544">
        <v>21.62</v>
      </c>
      <c r="N2544">
        <v>197.3</v>
      </c>
      <c r="O2544">
        <v>138</v>
      </c>
      <c r="P2544">
        <v>8.8800000000000008</v>
      </c>
      <c r="Q2544">
        <v>10.5</v>
      </c>
      <c r="R2544">
        <v>2</v>
      </c>
      <c r="S2544">
        <v>2.84</v>
      </c>
      <c r="T2544">
        <v>2</v>
      </c>
      <c r="U2544" t="s">
        <v>22</v>
      </c>
      <c r="V2544" t="e">
        <f>IF(#REF! = "yes", 1, 0)</f>
        <v>#REF!</v>
      </c>
      <c r="W2544" t="e">
        <f>IF(#REF! &lt;= 1, "0-1 Calls", IF(#REF! &lt;= 3, "2-3 Calls", IF(#REF! &lt;=5, "4-5 Calls", "6+ Calls")))</f>
        <v>#REF!</v>
      </c>
      <c r="X2544" t="e">
        <f>IF(#REF! &lt;= 50, "0-50", IF(#REF! &lt;=100, "51-100", IF(#REF! &lt;= 150, "101-150", "151+")))</f>
        <v>#REF!</v>
      </c>
      <c r="Y2544" t="e">
        <f>IF(#REF! &lt;= 3, "Low Charges", "High Charges")</f>
        <v>#REF!</v>
      </c>
      <c r="Z2544" t="e">
        <f>IF(#REF!&lt;=80,"Low Calls",
IF(#REF!&lt;=120,"Medium Calls","High Calls"))</f>
        <v>#REF!</v>
      </c>
      <c r="AA2544" t="e">
        <f>IF(#REF!&lt;=15,"Low Charges",
IF(#REF!&lt;=20,"Medium Charges","High Charges"))</f>
        <v>#REF!</v>
      </c>
      <c r="AB2544" t="e">
        <f>IF(AND(#REF!&gt;180, #REF!&gt;200), "Heavy Doemstic User", IF(#REF!&gt;10, "Interntional User", IF(AND(#REF!&lt;180, #REF!&lt;200,#REF!&lt;200), "Light User", "Balanced User")))</f>
        <v>#REF!</v>
      </c>
      <c r="AC2544" t="e">
        <f>IF(#REF! = 0, "No Usage", IF(#REF! &lt;= 20, "Low Usage", IF(#REF! &lt;= 40, "Medium Usgae", "High Usage")))</f>
        <v>#REF!</v>
      </c>
      <c r="AD2544" t="e">
        <f>IF(#REF!&lt;=150,"Low Usage", IF(#REF!&lt;=200,"Medium Usage", IF(#REF!&lt;=250,"High Usage","Very High Usage")))</f>
        <v>#REF!</v>
      </c>
      <c r="AE2544" t="e">
        <f>IF(#REF!&lt;=5,"Low Calls", IF(#REF!&lt;=10, "Medium Calls", "High Calls"))</f>
        <v>#REF!</v>
      </c>
      <c r="AF2544" t="e">
        <f xml:space="preserve">
IF(#REF!&gt;=4,4,0)+
IF(#REF!="yes",3,0)+
IF(#REF!="High Charges",3,0)+
IF(#REF!&gt;250,4,0)+
IF(#REF!="no",1,0)+
IF(#REF!="Heavy Domestic User",2,0)</f>
        <v>#REF!</v>
      </c>
      <c r="AG2544" t="e">
        <f>IF(#REF!&gt;=10,"High Risk", IF(#REF!&gt;=5,"Medium Risk","Low Risk"))</f>
        <v>#REF!</v>
      </c>
      <c r="AH2544" t="e">
        <f>#REF! + #REF! + #REF! + #REF!</f>
        <v>#REF!</v>
      </c>
    </row>
    <row r="2545" spans="1:34" x14ac:dyDescent="0.35">
      <c r="A2545">
        <v>2544</v>
      </c>
      <c r="B2545" t="s">
        <v>29</v>
      </c>
      <c r="C2545">
        <v>110</v>
      </c>
      <c r="D2545" t="s">
        <v>21</v>
      </c>
      <c r="E2545" t="s">
        <v>22</v>
      </c>
      <c r="F2545" t="s">
        <v>22</v>
      </c>
      <c r="G2545">
        <v>0</v>
      </c>
      <c r="H2545">
        <v>178.5</v>
      </c>
      <c r="I2545">
        <v>124</v>
      </c>
      <c r="J2545">
        <v>30.35</v>
      </c>
      <c r="K2545">
        <v>146.9</v>
      </c>
      <c r="L2545">
        <v>141</v>
      </c>
      <c r="M2545">
        <v>12.49</v>
      </c>
      <c r="N2545">
        <v>217.1</v>
      </c>
      <c r="O2545">
        <v>102</v>
      </c>
      <c r="P2545">
        <v>9.77</v>
      </c>
      <c r="Q2545">
        <v>9.9</v>
      </c>
      <c r="R2545">
        <v>7</v>
      </c>
      <c r="S2545">
        <v>2.67</v>
      </c>
      <c r="T2545">
        <v>1</v>
      </c>
      <c r="U2545" t="s">
        <v>22</v>
      </c>
      <c r="V2545" t="e">
        <f>IF(#REF! = "yes", 1, 0)</f>
        <v>#REF!</v>
      </c>
      <c r="W2545" t="e">
        <f>IF(#REF! &lt;= 1, "0-1 Calls", IF(#REF! &lt;= 3, "2-3 Calls", IF(#REF! &lt;=5, "4-5 Calls", "6+ Calls")))</f>
        <v>#REF!</v>
      </c>
      <c r="X2545" t="e">
        <f>IF(#REF! &lt;= 50, "0-50", IF(#REF! &lt;=100, "51-100", IF(#REF! &lt;= 150, "101-150", "151+")))</f>
        <v>#REF!</v>
      </c>
      <c r="Y2545" t="e">
        <f>IF(#REF! &lt;= 3, "Low Charges", "High Charges")</f>
        <v>#REF!</v>
      </c>
      <c r="Z2545" t="e">
        <f>IF(#REF!&lt;=80,"Low Calls",
IF(#REF!&lt;=120,"Medium Calls","High Calls"))</f>
        <v>#REF!</v>
      </c>
      <c r="AA2545" t="e">
        <f>IF(#REF!&lt;=15,"Low Charges",
IF(#REF!&lt;=20,"Medium Charges","High Charges"))</f>
        <v>#REF!</v>
      </c>
      <c r="AB2545" t="e">
        <f>IF(AND(#REF!&gt;180, #REF!&gt;200), "Heavy Doemstic User", IF(#REF!&gt;10, "Interntional User", IF(AND(#REF!&lt;180, #REF!&lt;200,#REF!&lt;200), "Light User", "Balanced User")))</f>
        <v>#REF!</v>
      </c>
      <c r="AC2545" t="e">
        <f>IF(#REF! = 0, "No Usage", IF(#REF! &lt;= 20, "Low Usage", IF(#REF! &lt;= 40, "Medium Usgae", "High Usage")))</f>
        <v>#REF!</v>
      </c>
      <c r="AD2545" t="e">
        <f>IF(#REF!&lt;=150,"Low Usage", IF(#REF!&lt;=200,"Medium Usage", IF(#REF!&lt;=250,"High Usage","Very High Usage")))</f>
        <v>#REF!</v>
      </c>
      <c r="AE2545" t="e">
        <f>IF(#REF!&lt;=5,"Low Calls", IF(#REF!&lt;=10, "Medium Calls", "High Calls"))</f>
        <v>#REF!</v>
      </c>
      <c r="AF2545" t="e">
        <f xml:space="preserve">
IF(#REF!&gt;=4,4,0)+
IF(#REF!="yes",3,0)+
IF(#REF!="High Charges",3,0)+
IF(#REF!&gt;250,4,0)+
IF(#REF!="no",1,0)+
IF(#REF!="Heavy Domestic User",2,0)</f>
        <v>#REF!</v>
      </c>
      <c r="AG2545" t="e">
        <f>IF(#REF!&gt;=10,"High Risk", IF(#REF!&gt;=5,"Medium Risk","Low Risk"))</f>
        <v>#REF!</v>
      </c>
      <c r="AH2545" t="e">
        <f>#REF! + #REF! + #REF! + #REF!</f>
        <v>#REF!</v>
      </c>
    </row>
    <row r="2546" spans="1:34" x14ac:dyDescent="0.35">
      <c r="A2546">
        <v>2545</v>
      </c>
      <c r="B2546" t="s">
        <v>49</v>
      </c>
      <c r="C2546">
        <v>204</v>
      </c>
      <c r="D2546" t="s">
        <v>28</v>
      </c>
      <c r="E2546" t="s">
        <v>22</v>
      </c>
      <c r="F2546" t="s">
        <v>22</v>
      </c>
      <c r="G2546">
        <v>0</v>
      </c>
      <c r="H2546">
        <v>205.2</v>
      </c>
      <c r="I2546">
        <v>145</v>
      </c>
      <c r="J2546">
        <v>34.880000000000003</v>
      </c>
      <c r="K2546">
        <v>154.80000000000001</v>
      </c>
      <c r="L2546">
        <v>95</v>
      </c>
      <c r="M2546">
        <v>13.16</v>
      </c>
      <c r="N2546">
        <v>191.4</v>
      </c>
      <c r="O2546">
        <v>77</v>
      </c>
      <c r="P2546">
        <v>8.61</v>
      </c>
      <c r="Q2546">
        <v>14.1</v>
      </c>
      <c r="R2546">
        <v>5</v>
      </c>
      <c r="S2546">
        <v>3.81</v>
      </c>
      <c r="T2546">
        <v>3</v>
      </c>
      <c r="U2546" t="s">
        <v>22</v>
      </c>
      <c r="V2546" t="e">
        <f>IF(#REF! = "yes", 1, 0)</f>
        <v>#REF!</v>
      </c>
      <c r="W2546" t="e">
        <f>IF(#REF! &lt;= 1, "0-1 Calls", IF(#REF! &lt;= 3, "2-3 Calls", IF(#REF! &lt;=5, "4-5 Calls", "6+ Calls")))</f>
        <v>#REF!</v>
      </c>
      <c r="X2546" t="e">
        <f>IF(#REF! &lt;= 50, "0-50", IF(#REF! &lt;=100, "51-100", IF(#REF! &lt;= 150, "101-150", "151+")))</f>
        <v>#REF!</v>
      </c>
      <c r="Y2546" t="e">
        <f>IF(#REF! &lt;= 3, "Low Charges", "High Charges")</f>
        <v>#REF!</v>
      </c>
      <c r="Z2546" t="e">
        <f>IF(#REF!&lt;=80,"Low Calls",
IF(#REF!&lt;=120,"Medium Calls","High Calls"))</f>
        <v>#REF!</v>
      </c>
      <c r="AA2546" t="e">
        <f>IF(#REF!&lt;=15,"Low Charges",
IF(#REF!&lt;=20,"Medium Charges","High Charges"))</f>
        <v>#REF!</v>
      </c>
      <c r="AB2546" t="e">
        <f>IF(AND(#REF!&gt;180, #REF!&gt;200), "Heavy Doemstic User", IF(#REF!&gt;10, "Interntional User", IF(AND(#REF!&lt;180, #REF!&lt;200,#REF!&lt;200), "Light User", "Balanced User")))</f>
        <v>#REF!</v>
      </c>
      <c r="AC2546" t="e">
        <f>IF(#REF! = 0, "No Usage", IF(#REF! &lt;= 20, "Low Usage", IF(#REF! &lt;= 40, "Medium Usgae", "High Usage")))</f>
        <v>#REF!</v>
      </c>
      <c r="AD2546" t="e">
        <f>IF(#REF!&lt;=150,"Low Usage", IF(#REF!&lt;=200,"Medium Usage", IF(#REF!&lt;=250,"High Usage","Very High Usage")))</f>
        <v>#REF!</v>
      </c>
      <c r="AE2546" t="e">
        <f>IF(#REF!&lt;=5,"Low Calls", IF(#REF!&lt;=10, "Medium Calls", "High Calls"))</f>
        <v>#REF!</v>
      </c>
      <c r="AF2546" t="e">
        <f xml:space="preserve">
IF(#REF!&gt;=4,4,0)+
IF(#REF!="yes",3,0)+
IF(#REF!="High Charges",3,0)+
IF(#REF!&gt;250,4,0)+
IF(#REF!="no",1,0)+
IF(#REF!="Heavy Domestic User",2,0)</f>
        <v>#REF!</v>
      </c>
      <c r="AG2546" t="e">
        <f>IF(#REF!&gt;=10,"High Risk", IF(#REF!&gt;=5,"Medium Risk","Low Risk"))</f>
        <v>#REF!</v>
      </c>
      <c r="AH2546" t="e">
        <f>#REF! + #REF! + #REF! + #REF!</f>
        <v>#REF!</v>
      </c>
    </row>
    <row r="2547" spans="1:34" x14ac:dyDescent="0.35">
      <c r="A2547">
        <v>2546</v>
      </c>
      <c r="B2547" t="s">
        <v>20</v>
      </c>
      <c r="C2547">
        <v>32</v>
      </c>
      <c r="D2547" t="s">
        <v>21</v>
      </c>
      <c r="E2547" t="s">
        <v>22</v>
      </c>
      <c r="F2547" t="s">
        <v>23</v>
      </c>
      <c r="G2547">
        <v>31</v>
      </c>
      <c r="H2547">
        <v>232.8</v>
      </c>
      <c r="I2547">
        <v>97</v>
      </c>
      <c r="J2547">
        <v>39.58</v>
      </c>
      <c r="K2547">
        <v>183.5</v>
      </c>
      <c r="L2547">
        <v>111</v>
      </c>
      <c r="M2547">
        <v>15.6</v>
      </c>
      <c r="N2547">
        <v>206.8</v>
      </c>
      <c r="O2547">
        <v>111</v>
      </c>
      <c r="P2547">
        <v>9.31</v>
      </c>
      <c r="Q2547">
        <v>13</v>
      </c>
      <c r="R2547">
        <v>2</v>
      </c>
      <c r="S2547">
        <v>3.51</v>
      </c>
      <c r="T2547">
        <v>0</v>
      </c>
      <c r="U2547" t="s">
        <v>22</v>
      </c>
      <c r="V2547" t="e">
        <f>IF(#REF! = "yes", 1, 0)</f>
        <v>#REF!</v>
      </c>
      <c r="W2547" t="e">
        <f>IF(#REF! &lt;= 1, "0-1 Calls", IF(#REF! &lt;= 3, "2-3 Calls", IF(#REF! &lt;=5, "4-5 Calls", "6+ Calls")))</f>
        <v>#REF!</v>
      </c>
      <c r="X2547" t="e">
        <f>IF(#REF! &lt;= 50, "0-50", IF(#REF! &lt;=100, "51-100", IF(#REF! &lt;= 150, "101-150", "151+")))</f>
        <v>#REF!</v>
      </c>
      <c r="Y2547" t="e">
        <f>IF(#REF! &lt;= 3, "Low Charges", "High Charges")</f>
        <v>#REF!</v>
      </c>
      <c r="Z2547" t="e">
        <f>IF(#REF!&lt;=80,"Low Calls",
IF(#REF!&lt;=120,"Medium Calls","High Calls"))</f>
        <v>#REF!</v>
      </c>
      <c r="AA2547" t="e">
        <f>IF(#REF!&lt;=15,"Low Charges",
IF(#REF!&lt;=20,"Medium Charges","High Charges"))</f>
        <v>#REF!</v>
      </c>
      <c r="AB2547" t="e">
        <f>IF(AND(#REF!&gt;180, #REF!&gt;200), "Heavy Doemstic User", IF(#REF!&gt;10, "Interntional User", IF(AND(#REF!&lt;180, #REF!&lt;200,#REF!&lt;200), "Light User", "Balanced User")))</f>
        <v>#REF!</v>
      </c>
      <c r="AC2547" t="e">
        <f>IF(#REF! = 0, "No Usage", IF(#REF! &lt;= 20, "Low Usage", IF(#REF! &lt;= 40, "Medium Usgae", "High Usage")))</f>
        <v>#REF!</v>
      </c>
      <c r="AD2547" t="e">
        <f>IF(#REF!&lt;=150,"Low Usage", IF(#REF!&lt;=200,"Medium Usage", IF(#REF!&lt;=250,"High Usage","Very High Usage")))</f>
        <v>#REF!</v>
      </c>
      <c r="AE2547" t="e">
        <f>IF(#REF!&lt;=5,"Low Calls", IF(#REF!&lt;=10, "Medium Calls", "High Calls"))</f>
        <v>#REF!</v>
      </c>
      <c r="AF2547" t="e">
        <f xml:space="preserve">
IF(#REF!&gt;=4,4,0)+
IF(#REF!="yes",3,0)+
IF(#REF!="High Charges",3,0)+
IF(#REF!&gt;250,4,0)+
IF(#REF!="no",1,0)+
IF(#REF!="Heavy Domestic User",2,0)</f>
        <v>#REF!</v>
      </c>
      <c r="AG2547" t="e">
        <f>IF(#REF!&gt;=10,"High Risk", IF(#REF!&gt;=5,"Medium Risk","Low Risk"))</f>
        <v>#REF!</v>
      </c>
      <c r="AH2547" t="e">
        <f>#REF! + #REF! + #REF! + #REF!</f>
        <v>#REF!</v>
      </c>
    </row>
    <row r="2548" spans="1:34" x14ac:dyDescent="0.35">
      <c r="A2548">
        <v>2547</v>
      </c>
      <c r="B2548" t="s">
        <v>38</v>
      </c>
      <c r="C2548">
        <v>133</v>
      </c>
      <c r="D2548" t="s">
        <v>25</v>
      </c>
      <c r="E2548" t="s">
        <v>22</v>
      </c>
      <c r="F2548" t="s">
        <v>23</v>
      </c>
      <c r="G2548">
        <v>39</v>
      </c>
      <c r="H2548">
        <v>239.9</v>
      </c>
      <c r="I2548">
        <v>107</v>
      </c>
      <c r="J2548">
        <v>40.78</v>
      </c>
      <c r="K2548">
        <v>253.8</v>
      </c>
      <c r="L2548">
        <v>77</v>
      </c>
      <c r="M2548">
        <v>21.57</v>
      </c>
      <c r="N2548">
        <v>128.69999999999999</v>
      </c>
      <c r="O2548">
        <v>85</v>
      </c>
      <c r="P2548">
        <v>5.79</v>
      </c>
      <c r="Q2548">
        <v>6.7</v>
      </c>
      <c r="R2548">
        <v>3</v>
      </c>
      <c r="S2548">
        <v>1.81</v>
      </c>
      <c r="T2548">
        <v>5</v>
      </c>
      <c r="U2548" t="s">
        <v>22</v>
      </c>
      <c r="V2548" t="e">
        <f>IF(#REF! = "yes", 1, 0)</f>
        <v>#REF!</v>
      </c>
      <c r="W2548" t="e">
        <f>IF(#REF! &lt;= 1, "0-1 Calls", IF(#REF! &lt;= 3, "2-3 Calls", IF(#REF! &lt;=5, "4-5 Calls", "6+ Calls")))</f>
        <v>#REF!</v>
      </c>
      <c r="X2548" t="e">
        <f>IF(#REF! &lt;= 50, "0-50", IF(#REF! &lt;=100, "51-100", IF(#REF! &lt;= 150, "101-150", "151+")))</f>
        <v>#REF!</v>
      </c>
      <c r="Y2548" t="e">
        <f>IF(#REF! &lt;= 3, "Low Charges", "High Charges")</f>
        <v>#REF!</v>
      </c>
      <c r="Z2548" t="e">
        <f>IF(#REF!&lt;=80,"Low Calls",
IF(#REF!&lt;=120,"Medium Calls","High Calls"))</f>
        <v>#REF!</v>
      </c>
      <c r="AA2548" t="e">
        <f>IF(#REF!&lt;=15,"Low Charges",
IF(#REF!&lt;=20,"Medium Charges","High Charges"))</f>
        <v>#REF!</v>
      </c>
      <c r="AB2548" t="e">
        <f>IF(AND(#REF!&gt;180, #REF!&gt;200), "Heavy Doemstic User", IF(#REF!&gt;10, "Interntional User", IF(AND(#REF!&lt;180, #REF!&lt;200,#REF!&lt;200), "Light User", "Balanced User")))</f>
        <v>#REF!</v>
      </c>
      <c r="AC2548" t="e">
        <f>IF(#REF! = 0, "No Usage", IF(#REF! &lt;= 20, "Low Usage", IF(#REF! &lt;= 40, "Medium Usgae", "High Usage")))</f>
        <v>#REF!</v>
      </c>
      <c r="AD2548" t="e">
        <f>IF(#REF!&lt;=150,"Low Usage", IF(#REF!&lt;=200,"Medium Usage", IF(#REF!&lt;=250,"High Usage","Very High Usage")))</f>
        <v>#REF!</v>
      </c>
      <c r="AE2548" t="e">
        <f>IF(#REF!&lt;=5,"Low Calls", IF(#REF!&lt;=10, "Medium Calls", "High Calls"))</f>
        <v>#REF!</v>
      </c>
      <c r="AF2548" t="e">
        <f xml:space="preserve">
IF(#REF!&gt;=4,4,0)+
IF(#REF!="yes",3,0)+
IF(#REF!="High Charges",3,0)+
IF(#REF!&gt;250,4,0)+
IF(#REF!="no",1,0)+
IF(#REF!="Heavy Domestic User",2,0)</f>
        <v>#REF!</v>
      </c>
      <c r="AG2548" t="e">
        <f>IF(#REF!&gt;=10,"High Risk", IF(#REF!&gt;=5,"Medium Risk","Low Risk"))</f>
        <v>#REF!</v>
      </c>
      <c r="AH2548" t="e">
        <f>#REF! + #REF! + #REF! + #REF!</f>
        <v>#REF!</v>
      </c>
    </row>
    <row r="2549" spans="1:34" x14ac:dyDescent="0.35">
      <c r="A2549">
        <v>2548</v>
      </c>
      <c r="B2549" t="s">
        <v>40</v>
      </c>
      <c r="C2549">
        <v>185</v>
      </c>
      <c r="D2549" t="s">
        <v>25</v>
      </c>
      <c r="E2549" t="s">
        <v>22</v>
      </c>
      <c r="F2549" t="s">
        <v>22</v>
      </c>
      <c r="G2549">
        <v>0</v>
      </c>
      <c r="H2549">
        <v>55.6</v>
      </c>
      <c r="I2549">
        <v>97</v>
      </c>
      <c r="J2549">
        <v>9.4499999999999993</v>
      </c>
      <c r="K2549">
        <v>288.7</v>
      </c>
      <c r="L2549">
        <v>83</v>
      </c>
      <c r="M2549">
        <v>24.54</v>
      </c>
      <c r="N2549">
        <v>111.2</v>
      </c>
      <c r="O2549">
        <v>110</v>
      </c>
      <c r="P2549">
        <v>5</v>
      </c>
      <c r="Q2549">
        <v>12.1</v>
      </c>
      <c r="R2549">
        <v>3</v>
      </c>
      <c r="S2549">
        <v>3.27</v>
      </c>
      <c r="T2549">
        <v>2</v>
      </c>
      <c r="U2549" t="s">
        <v>22</v>
      </c>
      <c r="V2549" t="e">
        <f>IF(#REF! = "yes", 1, 0)</f>
        <v>#REF!</v>
      </c>
      <c r="W2549" t="e">
        <f>IF(#REF! &lt;= 1, "0-1 Calls", IF(#REF! &lt;= 3, "2-3 Calls", IF(#REF! &lt;=5, "4-5 Calls", "6+ Calls")))</f>
        <v>#REF!</v>
      </c>
      <c r="X2549" t="e">
        <f>IF(#REF! &lt;= 50, "0-50", IF(#REF! &lt;=100, "51-100", IF(#REF! &lt;= 150, "101-150", "151+")))</f>
        <v>#REF!</v>
      </c>
      <c r="Y2549" t="e">
        <f>IF(#REF! &lt;= 3, "Low Charges", "High Charges")</f>
        <v>#REF!</v>
      </c>
      <c r="Z2549" t="e">
        <f>IF(#REF!&lt;=80,"Low Calls",
IF(#REF!&lt;=120,"Medium Calls","High Calls"))</f>
        <v>#REF!</v>
      </c>
      <c r="AA2549" t="e">
        <f>IF(#REF!&lt;=15,"Low Charges",
IF(#REF!&lt;=20,"Medium Charges","High Charges"))</f>
        <v>#REF!</v>
      </c>
      <c r="AB2549" t="e">
        <f>IF(AND(#REF!&gt;180, #REF!&gt;200), "Heavy Doemstic User", IF(#REF!&gt;10, "Interntional User", IF(AND(#REF!&lt;180, #REF!&lt;200,#REF!&lt;200), "Light User", "Balanced User")))</f>
        <v>#REF!</v>
      </c>
      <c r="AC2549" t="e">
        <f>IF(#REF! = 0, "No Usage", IF(#REF! &lt;= 20, "Low Usage", IF(#REF! &lt;= 40, "Medium Usgae", "High Usage")))</f>
        <v>#REF!</v>
      </c>
      <c r="AD2549" t="e">
        <f>IF(#REF!&lt;=150,"Low Usage", IF(#REF!&lt;=200,"Medium Usage", IF(#REF!&lt;=250,"High Usage","Very High Usage")))</f>
        <v>#REF!</v>
      </c>
      <c r="AE2549" t="e">
        <f>IF(#REF!&lt;=5,"Low Calls", IF(#REF!&lt;=10, "Medium Calls", "High Calls"))</f>
        <v>#REF!</v>
      </c>
      <c r="AF2549" t="e">
        <f xml:space="preserve">
IF(#REF!&gt;=4,4,0)+
IF(#REF!="yes",3,0)+
IF(#REF!="High Charges",3,0)+
IF(#REF!&gt;250,4,0)+
IF(#REF!="no",1,0)+
IF(#REF!="Heavy Domestic User",2,0)</f>
        <v>#REF!</v>
      </c>
      <c r="AG2549" t="e">
        <f>IF(#REF!&gt;=10,"High Risk", IF(#REF!&gt;=5,"Medium Risk","Low Risk"))</f>
        <v>#REF!</v>
      </c>
      <c r="AH2549" t="e">
        <f>#REF! + #REF! + #REF! + #REF!</f>
        <v>#REF!</v>
      </c>
    </row>
    <row r="2550" spans="1:34" x14ac:dyDescent="0.35">
      <c r="A2550">
        <v>2549</v>
      </c>
      <c r="B2550" t="s">
        <v>36</v>
      </c>
      <c r="C2550">
        <v>91</v>
      </c>
      <c r="D2550" t="s">
        <v>28</v>
      </c>
      <c r="E2550" t="s">
        <v>22</v>
      </c>
      <c r="F2550" t="s">
        <v>22</v>
      </c>
      <c r="G2550">
        <v>0</v>
      </c>
      <c r="H2550">
        <v>109.8</v>
      </c>
      <c r="I2550">
        <v>100</v>
      </c>
      <c r="J2550">
        <v>18.670000000000002</v>
      </c>
      <c r="K2550">
        <v>189.6</v>
      </c>
      <c r="L2550">
        <v>104</v>
      </c>
      <c r="M2550">
        <v>16.12</v>
      </c>
      <c r="N2550">
        <v>206.7</v>
      </c>
      <c r="O2550">
        <v>85</v>
      </c>
      <c r="P2550">
        <v>9.3000000000000007</v>
      </c>
      <c r="Q2550">
        <v>11.1</v>
      </c>
      <c r="R2550">
        <v>3</v>
      </c>
      <c r="S2550">
        <v>3</v>
      </c>
      <c r="T2550">
        <v>1</v>
      </c>
      <c r="U2550" t="s">
        <v>22</v>
      </c>
      <c r="V2550" t="e">
        <f>IF(#REF! = "yes", 1, 0)</f>
        <v>#REF!</v>
      </c>
      <c r="W2550" t="e">
        <f>IF(#REF! &lt;= 1, "0-1 Calls", IF(#REF! &lt;= 3, "2-3 Calls", IF(#REF! &lt;=5, "4-5 Calls", "6+ Calls")))</f>
        <v>#REF!</v>
      </c>
      <c r="X2550" t="e">
        <f>IF(#REF! &lt;= 50, "0-50", IF(#REF! &lt;=100, "51-100", IF(#REF! &lt;= 150, "101-150", "151+")))</f>
        <v>#REF!</v>
      </c>
      <c r="Y2550" t="e">
        <f>IF(#REF! &lt;= 3, "Low Charges", "High Charges")</f>
        <v>#REF!</v>
      </c>
      <c r="Z2550" t="e">
        <f>IF(#REF!&lt;=80,"Low Calls",
IF(#REF!&lt;=120,"Medium Calls","High Calls"))</f>
        <v>#REF!</v>
      </c>
      <c r="AA2550" t="e">
        <f>IF(#REF!&lt;=15,"Low Charges",
IF(#REF!&lt;=20,"Medium Charges","High Charges"))</f>
        <v>#REF!</v>
      </c>
      <c r="AB2550" t="e">
        <f>IF(AND(#REF!&gt;180, #REF!&gt;200), "Heavy Doemstic User", IF(#REF!&gt;10, "Interntional User", IF(AND(#REF!&lt;180, #REF!&lt;200,#REF!&lt;200), "Light User", "Balanced User")))</f>
        <v>#REF!</v>
      </c>
      <c r="AC2550" t="e">
        <f>IF(#REF! = 0, "No Usage", IF(#REF! &lt;= 20, "Low Usage", IF(#REF! &lt;= 40, "Medium Usgae", "High Usage")))</f>
        <v>#REF!</v>
      </c>
      <c r="AD2550" t="e">
        <f>IF(#REF!&lt;=150,"Low Usage", IF(#REF!&lt;=200,"Medium Usage", IF(#REF!&lt;=250,"High Usage","Very High Usage")))</f>
        <v>#REF!</v>
      </c>
      <c r="AE2550" t="e">
        <f>IF(#REF!&lt;=5,"Low Calls", IF(#REF!&lt;=10, "Medium Calls", "High Calls"))</f>
        <v>#REF!</v>
      </c>
      <c r="AF2550" t="e">
        <f xml:space="preserve">
IF(#REF!&gt;=4,4,0)+
IF(#REF!="yes",3,0)+
IF(#REF!="High Charges",3,0)+
IF(#REF!&gt;250,4,0)+
IF(#REF!="no",1,0)+
IF(#REF!="Heavy Domestic User",2,0)</f>
        <v>#REF!</v>
      </c>
      <c r="AG2550" t="e">
        <f>IF(#REF!&gt;=10,"High Risk", IF(#REF!&gt;=5,"Medium Risk","Low Risk"))</f>
        <v>#REF!</v>
      </c>
      <c r="AH2550" t="e">
        <f>#REF! + #REF! + #REF! + #REF!</f>
        <v>#REF!</v>
      </c>
    </row>
    <row r="2551" spans="1:34" x14ac:dyDescent="0.35">
      <c r="A2551">
        <v>2550</v>
      </c>
      <c r="B2551" t="s">
        <v>31</v>
      </c>
      <c r="C2551">
        <v>131</v>
      </c>
      <c r="D2551" t="s">
        <v>21</v>
      </c>
      <c r="E2551" t="s">
        <v>22</v>
      </c>
      <c r="F2551" t="s">
        <v>22</v>
      </c>
      <c r="G2551">
        <v>0</v>
      </c>
      <c r="H2551">
        <v>196.1</v>
      </c>
      <c r="I2551">
        <v>89</v>
      </c>
      <c r="J2551">
        <v>33.340000000000003</v>
      </c>
      <c r="K2551">
        <v>185.5</v>
      </c>
      <c r="L2551">
        <v>87</v>
      </c>
      <c r="M2551">
        <v>15.77</v>
      </c>
      <c r="N2551">
        <v>250</v>
      </c>
      <c r="O2551">
        <v>132</v>
      </c>
      <c r="P2551">
        <v>11.25</v>
      </c>
      <c r="Q2551">
        <v>5.2</v>
      </c>
      <c r="R2551">
        <v>6</v>
      </c>
      <c r="S2551">
        <v>1.4</v>
      </c>
      <c r="T2551">
        <v>2</v>
      </c>
      <c r="U2551" t="s">
        <v>22</v>
      </c>
      <c r="V2551" t="e">
        <f>IF(#REF! = "yes", 1, 0)</f>
        <v>#REF!</v>
      </c>
      <c r="W2551" t="e">
        <f>IF(#REF! &lt;= 1, "0-1 Calls", IF(#REF! &lt;= 3, "2-3 Calls", IF(#REF! &lt;=5, "4-5 Calls", "6+ Calls")))</f>
        <v>#REF!</v>
      </c>
      <c r="X2551" t="e">
        <f>IF(#REF! &lt;= 50, "0-50", IF(#REF! &lt;=100, "51-100", IF(#REF! &lt;= 150, "101-150", "151+")))</f>
        <v>#REF!</v>
      </c>
      <c r="Y2551" t="e">
        <f>IF(#REF! &lt;= 3, "Low Charges", "High Charges")</f>
        <v>#REF!</v>
      </c>
      <c r="Z2551" t="e">
        <f>IF(#REF!&lt;=80,"Low Calls",
IF(#REF!&lt;=120,"Medium Calls","High Calls"))</f>
        <v>#REF!</v>
      </c>
      <c r="AA2551" t="e">
        <f>IF(#REF!&lt;=15,"Low Charges",
IF(#REF!&lt;=20,"Medium Charges","High Charges"))</f>
        <v>#REF!</v>
      </c>
      <c r="AB2551" t="e">
        <f>IF(AND(#REF!&gt;180, #REF!&gt;200), "Heavy Doemstic User", IF(#REF!&gt;10, "Interntional User", IF(AND(#REF!&lt;180, #REF!&lt;200,#REF!&lt;200), "Light User", "Balanced User")))</f>
        <v>#REF!</v>
      </c>
      <c r="AC2551" t="e">
        <f>IF(#REF! = 0, "No Usage", IF(#REF! &lt;= 20, "Low Usage", IF(#REF! &lt;= 40, "Medium Usgae", "High Usage")))</f>
        <v>#REF!</v>
      </c>
      <c r="AD2551" t="e">
        <f>IF(#REF!&lt;=150,"Low Usage", IF(#REF!&lt;=200,"Medium Usage", IF(#REF!&lt;=250,"High Usage","Very High Usage")))</f>
        <v>#REF!</v>
      </c>
      <c r="AE2551" t="e">
        <f>IF(#REF!&lt;=5,"Low Calls", IF(#REF!&lt;=10, "Medium Calls", "High Calls"))</f>
        <v>#REF!</v>
      </c>
      <c r="AF2551" t="e">
        <f xml:space="preserve">
IF(#REF!&gt;=4,4,0)+
IF(#REF!="yes",3,0)+
IF(#REF!="High Charges",3,0)+
IF(#REF!&gt;250,4,0)+
IF(#REF!="no",1,0)+
IF(#REF!="Heavy Domestic User",2,0)</f>
        <v>#REF!</v>
      </c>
      <c r="AG2551" t="e">
        <f>IF(#REF!&gt;=10,"High Risk", IF(#REF!&gt;=5,"Medium Risk","Low Risk"))</f>
        <v>#REF!</v>
      </c>
      <c r="AH2551" t="e">
        <f>#REF! + #REF! + #REF! + #REF!</f>
        <v>#REF!</v>
      </c>
    </row>
    <row r="2552" spans="1:34" x14ac:dyDescent="0.35">
      <c r="A2552">
        <v>2551</v>
      </c>
      <c r="B2552" t="s">
        <v>30</v>
      </c>
      <c r="C2552">
        <v>153</v>
      </c>
      <c r="D2552" t="s">
        <v>28</v>
      </c>
      <c r="E2552" t="s">
        <v>22</v>
      </c>
      <c r="F2552" t="s">
        <v>22</v>
      </c>
      <c r="G2552">
        <v>0</v>
      </c>
      <c r="H2552">
        <v>166.8</v>
      </c>
      <c r="I2552">
        <v>127</v>
      </c>
      <c r="J2552">
        <v>28.36</v>
      </c>
      <c r="K2552">
        <v>143.5</v>
      </c>
      <c r="L2552">
        <v>121</v>
      </c>
      <c r="M2552">
        <v>12.2</v>
      </c>
      <c r="N2552">
        <v>210.7</v>
      </c>
      <c r="O2552">
        <v>130</v>
      </c>
      <c r="P2552">
        <v>9.48</v>
      </c>
      <c r="Q2552">
        <v>11.8</v>
      </c>
      <c r="R2552">
        <v>4</v>
      </c>
      <c r="S2552">
        <v>3.19</v>
      </c>
      <c r="T2552">
        <v>0</v>
      </c>
      <c r="U2552" t="s">
        <v>22</v>
      </c>
      <c r="V2552" t="e">
        <f>IF(#REF! = "yes", 1, 0)</f>
        <v>#REF!</v>
      </c>
      <c r="W2552" t="e">
        <f>IF(#REF! &lt;= 1, "0-1 Calls", IF(#REF! &lt;= 3, "2-3 Calls", IF(#REF! &lt;=5, "4-5 Calls", "6+ Calls")))</f>
        <v>#REF!</v>
      </c>
      <c r="X2552" t="e">
        <f>IF(#REF! &lt;= 50, "0-50", IF(#REF! &lt;=100, "51-100", IF(#REF! &lt;= 150, "101-150", "151+")))</f>
        <v>#REF!</v>
      </c>
      <c r="Y2552" t="e">
        <f>IF(#REF! &lt;= 3, "Low Charges", "High Charges")</f>
        <v>#REF!</v>
      </c>
      <c r="Z2552" t="e">
        <f>IF(#REF!&lt;=80,"Low Calls",
IF(#REF!&lt;=120,"Medium Calls","High Calls"))</f>
        <v>#REF!</v>
      </c>
      <c r="AA2552" t="e">
        <f>IF(#REF!&lt;=15,"Low Charges",
IF(#REF!&lt;=20,"Medium Charges","High Charges"))</f>
        <v>#REF!</v>
      </c>
      <c r="AB2552" t="e">
        <f>IF(AND(#REF!&gt;180, #REF!&gt;200), "Heavy Doemstic User", IF(#REF!&gt;10, "Interntional User", IF(AND(#REF!&lt;180, #REF!&lt;200,#REF!&lt;200), "Light User", "Balanced User")))</f>
        <v>#REF!</v>
      </c>
      <c r="AC2552" t="e">
        <f>IF(#REF! = 0, "No Usage", IF(#REF! &lt;= 20, "Low Usage", IF(#REF! &lt;= 40, "Medium Usgae", "High Usage")))</f>
        <v>#REF!</v>
      </c>
      <c r="AD2552" t="e">
        <f>IF(#REF!&lt;=150,"Low Usage", IF(#REF!&lt;=200,"Medium Usage", IF(#REF!&lt;=250,"High Usage","Very High Usage")))</f>
        <v>#REF!</v>
      </c>
      <c r="AE2552" t="e">
        <f>IF(#REF!&lt;=5,"Low Calls", IF(#REF!&lt;=10, "Medium Calls", "High Calls"))</f>
        <v>#REF!</v>
      </c>
      <c r="AF2552" t="e">
        <f xml:space="preserve">
IF(#REF!&gt;=4,4,0)+
IF(#REF!="yes",3,0)+
IF(#REF!="High Charges",3,0)+
IF(#REF!&gt;250,4,0)+
IF(#REF!="no",1,0)+
IF(#REF!="Heavy Domestic User",2,0)</f>
        <v>#REF!</v>
      </c>
      <c r="AG2552" t="e">
        <f>IF(#REF!&gt;=10,"High Risk", IF(#REF!&gt;=5,"Medium Risk","Low Risk"))</f>
        <v>#REF!</v>
      </c>
      <c r="AH2552" t="e">
        <f>#REF! + #REF! + #REF! + #REF!</f>
        <v>#REF!</v>
      </c>
    </row>
    <row r="2553" spans="1:34" x14ac:dyDescent="0.35">
      <c r="A2553">
        <v>2552</v>
      </c>
      <c r="B2553" t="s">
        <v>68</v>
      </c>
      <c r="C2553">
        <v>141</v>
      </c>
      <c r="D2553" t="s">
        <v>25</v>
      </c>
      <c r="E2553" t="s">
        <v>22</v>
      </c>
      <c r="F2553" t="s">
        <v>22</v>
      </c>
      <c r="G2553">
        <v>0</v>
      </c>
      <c r="H2553">
        <v>242.8</v>
      </c>
      <c r="I2553">
        <v>90</v>
      </c>
      <c r="J2553">
        <v>41.28</v>
      </c>
      <c r="K2553">
        <v>234.1</v>
      </c>
      <c r="L2553">
        <v>80</v>
      </c>
      <c r="M2553">
        <v>19.899999999999999</v>
      </c>
      <c r="N2553">
        <v>211.5</v>
      </c>
      <c r="O2553">
        <v>104</v>
      </c>
      <c r="P2553">
        <v>9.52</v>
      </c>
      <c r="Q2553">
        <v>6</v>
      </c>
      <c r="R2553">
        <v>3</v>
      </c>
      <c r="S2553">
        <v>1.62</v>
      </c>
      <c r="T2553">
        <v>5</v>
      </c>
      <c r="U2553" t="s">
        <v>22</v>
      </c>
      <c r="V2553" t="e">
        <f>IF(#REF! = "yes", 1, 0)</f>
        <v>#REF!</v>
      </c>
      <c r="W2553" t="e">
        <f>IF(#REF! &lt;= 1, "0-1 Calls", IF(#REF! &lt;= 3, "2-3 Calls", IF(#REF! &lt;=5, "4-5 Calls", "6+ Calls")))</f>
        <v>#REF!</v>
      </c>
      <c r="X2553" t="e">
        <f>IF(#REF! &lt;= 50, "0-50", IF(#REF! &lt;=100, "51-100", IF(#REF! &lt;= 150, "101-150", "151+")))</f>
        <v>#REF!</v>
      </c>
      <c r="Y2553" t="e">
        <f>IF(#REF! &lt;= 3, "Low Charges", "High Charges")</f>
        <v>#REF!</v>
      </c>
      <c r="Z2553" t="e">
        <f>IF(#REF!&lt;=80,"Low Calls",
IF(#REF!&lt;=120,"Medium Calls","High Calls"))</f>
        <v>#REF!</v>
      </c>
      <c r="AA2553" t="e">
        <f>IF(#REF!&lt;=15,"Low Charges",
IF(#REF!&lt;=20,"Medium Charges","High Charges"))</f>
        <v>#REF!</v>
      </c>
      <c r="AB2553" t="e">
        <f>IF(AND(#REF!&gt;180, #REF!&gt;200), "Heavy Doemstic User", IF(#REF!&gt;10, "Interntional User", IF(AND(#REF!&lt;180, #REF!&lt;200,#REF!&lt;200), "Light User", "Balanced User")))</f>
        <v>#REF!</v>
      </c>
      <c r="AC2553" t="e">
        <f>IF(#REF! = 0, "No Usage", IF(#REF! &lt;= 20, "Low Usage", IF(#REF! &lt;= 40, "Medium Usgae", "High Usage")))</f>
        <v>#REF!</v>
      </c>
      <c r="AD2553" t="e">
        <f>IF(#REF!&lt;=150,"Low Usage", IF(#REF!&lt;=200,"Medium Usage", IF(#REF!&lt;=250,"High Usage","Very High Usage")))</f>
        <v>#REF!</v>
      </c>
      <c r="AE2553" t="e">
        <f>IF(#REF!&lt;=5,"Low Calls", IF(#REF!&lt;=10, "Medium Calls", "High Calls"))</f>
        <v>#REF!</v>
      </c>
      <c r="AF2553" t="e">
        <f xml:space="preserve">
IF(#REF!&gt;=4,4,0)+
IF(#REF!="yes",3,0)+
IF(#REF!="High Charges",3,0)+
IF(#REF!&gt;250,4,0)+
IF(#REF!="no",1,0)+
IF(#REF!="Heavy Domestic User",2,0)</f>
        <v>#REF!</v>
      </c>
      <c r="AG2553" t="e">
        <f>IF(#REF!&gt;=10,"High Risk", IF(#REF!&gt;=5,"Medium Risk","Low Risk"))</f>
        <v>#REF!</v>
      </c>
      <c r="AH2553" t="e">
        <f>#REF! + #REF! + #REF! + #REF!</f>
        <v>#REF!</v>
      </c>
    </row>
    <row r="2554" spans="1:34" x14ac:dyDescent="0.35">
      <c r="A2554">
        <v>2553</v>
      </c>
      <c r="B2554" t="s">
        <v>39</v>
      </c>
      <c r="C2554">
        <v>169</v>
      </c>
      <c r="D2554" t="s">
        <v>25</v>
      </c>
      <c r="E2554" t="s">
        <v>22</v>
      </c>
      <c r="F2554" t="s">
        <v>22</v>
      </c>
      <c r="G2554">
        <v>0</v>
      </c>
      <c r="H2554">
        <v>266.7</v>
      </c>
      <c r="I2554">
        <v>105</v>
      </c>
      <c r="J2554">
        <v>45.34</v>
      </c>
      <c r="K2554">
        <v>158.19999999999999</v>
      </c>
      <c r="L2554">
        <v>88</v>
      </c>
      <c r="M2554">
        <v>13.45</v>
      </c>
      <c r="N2554">
        <v>287.7</v>
      </c>
      <c r="O2554">
        <v>111</v>
      </c>
      <c r="P2554">
        <v>12.95</v>
      </c>
      <c r="Q2554">
        <v>13.8</v>
      </c>
      <c r="R2554">
        <v>3</v>
      </c>
      <c r="S2554">
        <v>3.73</v>
      </c>
      <c r="T2554">
        <v>3</v>
      </c>
      <c r="U2554" t="s">
        <v>23</v>
      </c>
      <c r="V2554" t="e">
        <f>IF(#REF! = "yes", 1, 0)</f>
        <v>#REF!</v>
      </c>
      <c r="W2554" t="e">
        <f>IF(#REF! &lt;= 1, "0-1 Calls", IF(#REF! &lt;= 3, "2-3 Calls", IF(#REF! &lt;=5, "4-5 Calls", "6+ Calls")))</f>
        <v>#REF!</v>
      </c>
      <c r="X2554" t="e">
        <f>IF(#REF! &lt;= 50, "0-50", IF(#REF! &lt;=100, "51-100", IF(#REF! &lt;= 150, "101-150", "151+")))</f>
        <v>#REF!</v>
      </c>
      <c r="Y2554" t="e">
        <f>IF(#REF! &lt;= 3, "Low Charges", "High Charges")</f>
        <v>#REF!</v>
      </c>
      <c r="Z2554" t="e">
        <f>IF(#REF!&lt;=80,"Low Calls",
IF(#REF!&lt;=120,"Medium Calls","High Calls"))</f>
        <v>#REF!</v>
      </c>
      <c r="AA2554" t="e">
        <f>IF(#REF!&lt;=15,"Low Charges",
IF(#REF!&lt;=20,"Medium Charges","High Charges"))</f>
        <v>#REF!</v>
      </c>
      <c r="AB2554" t="e">
        <f>IF(AND(#REF!&gt;180, #REF!&gt;200), "Heavy Doemstic User", IF(#REF!&gt;10, "Interntional User", IF(AND(#REF!&lt;180, #REF!&lt;200,#REF!&lt;200), "Light User", "Balanced User")))</f>
        <v>#REF!</v>
      </c>
      <c r="AC2554" t="e">
        <f>IF(#REF! = 0, "No Usage", IF(#REF! &lt;= 20, "Low Usage", IF(#REF! &lt;= 40, "Medium Usgae", "High Usage")))</f>
        <v>#REF!</v>
      </c>
      <c r="AD2554" t="e">
        <f>IF(#REF!&lt;=150,"Low Usage", IF(#REF!&lt;=200,"Medium Usage", IF(#REF!&lt;=250,"High Usage","Very High Usage")))</f>
        <v>#REF!</v>
      </c>
      <c r="AE2554" t="e">
        <f>IF(#REF!&lt;=5,"Low Calls", IF(#REF!&lt;=10, "Medium Calls", "High Calls"))</f>
        <v>#REF!</v>
      </c>
      <c r="AF2554" t="e">
        <f xml:space="preserve">
IF(#REF!&gt;=4,4,0)+
IF(#REF!="yes",3,0)+
IF(#REF!="High Charges",3,0)+
IF(#REF!&gt;250,4,0)+
IF(#REF!="no",1,0)+
IF(#REF!="Heavy Domestic User",2,0)</f>
        <v>#REF!</v>
      </c>
      <c r="AG2554" t="e">
        <f>IF(#REF!&gt;=10,"High Risk", IF(#REF!&gt;=5,"Medium Risk","Low Risk"))</f>
        <v>#REF!</v>
      </c>
      <c r="AH2554" t="e">
        <f>#REF! + #REF! + #REF! + #REF!</f>
        <v>#REF!</v>
      </c>
    </row>
    <row r="2555" spans="1:34" x14ac:dyDescent="0.35">
      <c r="A2555">
        <v>2554</v>
      </c>
      <c r="B2555" t="s">
        <v>75</v>
      </c>
      <c r="C2555">
        <v>127</v>
      </c>
      <c r="D2555" t="s">
        <v>21</v>
      </c>
      <c r="E2555" t="s">
        <v>22</v>
      </c>
      <c r="F2555" t="s">
        <v>23</v>
      </c>
      <c r="G2555">
        <v>23</v>
      </c>
      <c r="H2555">
        <v>182</v>
      </c>
      <c r="I2555">
        <v>80</v>
      </c>
      <c r="J2555">
        <v>30.94</v>
      </c>
      <c r="K2555">
        <v>216.1</v>
      </c>
      <c r="L2555">
        <v>85</v>
      </c>
      <c r="M2555">
        <v>18.37</v>
      </c>
      <c r="N2555">
        <v>156.9</v>
      </c>
      <c r="O2555">
        <v>82</v>
      </c>
      <c r="P2555">
        <v>7.06</v>
      </c>
      <c r="Q2555">
        <v>9.8000000000000007</v>
      </c>
      <c r="R2555">
        <v>4</v>
      </c>
      <c r="S2555">
        <v>2.65</v>
      </c>
      <c r="T2555">
        <v>1</v>
      </c>
      <c r="U2555" t="s">
        <v>22</v>
      </c>
      <c r="V2555" t="e">
        <f>IF(#REF! = "yes", 1, 0)</f>
        <v>#REF!</v>
      </c>
      <c r="W2555" t="e">
        <f>IF(#REF! &lt;= 1, "0-1 Calls", IF(#REF! &lt;= 3, "2-3 Calls", IF(#REF! &lt;=5, "4-5 Calls", "6+ Calls")))</f>
        <v>#REF!</v>
      </c>
      <c r="X2555" t="e">
        <f>IF(#REF! &lt;= 50, "0-50", IF(#REF! &lt;=100, "51-100", IF(#REF! &lt;= 150, "101-150", "151+")))</f>
        <v>#REF!</v>
      </c>
      <c r="Y2555" t="e">
        <f>IF(#REF! &lt;= 3, "Low Charges", "High Charges")</f>
        <v>#REF!</v>
      </c>
      <c r="Z2555" t="e">
        <f>IF(#REF!&lt;=80,"Low Calls",
IF(#REF!&lt;=120,"Medium Calls","High Calls"))</f>
        <v>#REF!</v>
      </c>
      <c r="AA2555" t="e">
        <f>IF(#REF!&lt;=15,"Low Charges",
IF(#REF!&lt;=20,"Medium Charges","High Charges"))</f>
        <v>#REF!</v>
      </c>
      <c r="AB2555" t="e">
        <f>IF(AND(#REF!&gt;180, #REF!&gt;200), "Heavy Doemstic User", IF(#REF!&gt;10, "Interntional User", IF(AND(#REF!&lt;180, #REF!&lt;200,#REF!&lt;200), "Light User", "Balanced User")))</f>
        <v>#REF!</v>
      </c>
      <c r="AC2555" t="e">
        <f>IF(#REF! = 0, "No Usage", IF(#REF! &lt;= 20, "Low Usage", IF(#REF! &lt;= 40, "Medium Usgae", "High Usage")))</f>
        <v>#REF!</v>
      </c>
      <c r="AD2555" t="e">
        <f>IF(#REF!&lt;=150,"Low Usage", IF(#REF!&lt;=200,"Medium Usage", IF(#REF!&lt;=250,"High Usage","Very High Usage")))</f>
        <v>#REF!</v>
      </c>
      <c r="AE2555" t="e">
        <f>IF(#REF!&lt;=5,"Low Calls", IF(#REF!&lt;=10, "Medium Calls", "High Calls"))</f>
        <v>#REF!</v>
      </c>
      <c r="AF2555" t="e">
        <f xml:space="preserve">
IF(#REF!&gt;=4,4,0)+
IF(#REF!="yes",3,0)+
IF(#REF!="High Charges",3,0)+
IF(#REF!&gt;250,4,0)+
IF(#REF!="no",1,0)+
IF(#REF!="Heavy Domestic User",2,0)</f>
        <v>#REF!</v>
      </c>
      <c r="AG2555" t="e">
        <f>IF(#REF!&gt;=10,"High Risk", IF(#REF!&gt;=5,"Medium Risk","Low Risk"))</f>
        <v>#REF!</v>
      </c>
      <c r="AH2555" t="e">
        <f>#REF! + #REF! + #REF! + #REF!</f>
        <v>#REF!</v>
      </c>
    </row>
    <row r="2556" spans="1:34" x14ac:dyDescent="0.35">
      <c r="A2556">
        <v>2555</v>
      </c>
      <c r="B2556" t="s">
        <v>41</v>
      </c>
      <c r="C2556">
        <v>57</v>
      </c>
      <c r="D2556" t="s">
        <v>21</v>
      </c>
      <c r="E2556" t="s">
        <v>22</v>
      </c>
      <c r="F2556" t="s">
        <v>22</v>
      </c>
      <c r="G2556">
        <v>0</v>
      </c>
      <c r="H2556">
        <v>85.9</v>
      </c>
      <c r="I2556">
        <v>92</v>
      </c>
      <c r="J2556">
        <v>14.6</v>
      </c>
      <c r="K2556">
        <v>193.9</v>
      </c>
      <c r="L2556">
        <v>127</v>
      </c>
      <c r="M2556">
        <v>16.48</v>
      </c>
      <c r="N2556">
        <v>231.5</v>
      </c>
      <c r="O2556">
        <v>93</v>
      </c>
      <c r="P2556">
        <v>10.42</v>
      </c>
      <c r="Q2556">
        <v>10.1</v>
      </c>
      <c r="R2556">
        <v>2</v>
      </c>
      <c r="S2556">
        <v>2.73</v>
      </c>
      <c r="T2556">
        <v>0</v>
      </c>
      <c r="U2556" t="s">
        <v>22</v>
      </c>
      <c r="V2556" t="e">
        <f>IF(#REF! = "yes", 1, 0)</f>
        <v>#REF!</v>
      </c>
      <c r="W2556" t="e">
        <f>IF(#REF! &lt;= 1, "0-1 Calls", IF(#REF! &lt;= 3, "2-3 Calls", IF(#REF! &lt;=5, "4-5 Calls", "6+ Calls")))</f>
        <v>#REF!</v>
      </c>
      <c r="X2556" t="e">
        <f>IF(#REF! &lt;= 50, "0-50", IF(#REF! &lt;=100, "51-100", IF(#REF! &lt;= 150, "101-150", "151+")))</f>
        <v>#REF!</v>
      </c>
      <c r="Y2556" t="e">
        <f>IF(#REF! &lt;= 3, "Low Charges", "High Charges")</f>
        <v>#REF!</v>
      </c>
      <c r="Z2556" t="e">
        <f>IF(#REF!&lt;=80,"Low Calls",
IF(#REF!&lt;=120,"Medium Calls","High Calls"))</f>
        <v>#REF!</v>
      </c>
      <c r="AA2556" t="e">
        <f>IF(#REF!&lt;=15,"Low Charges",
IF(#REF!&lt;=20,"Medium Charges","High Charges"))</f>
        <v>#REF!</v>
      </c>
      <c r="AB2556" t="e">
        <f>IF(AND(#REF!&gt;180, #REF!&gt;200), "Heavy Doemstic User", IF(#REF!&gt;10, "Interntional User", IF(AND(#REF!&lt;180, #REF!&lt;200,#REF!&lt;200), "Light User", "Balanced User")))</f>
        <v>#REF!</v>
      </c>
      <c r="AC2556" t="e">
        <f>IF(#REF! = 0, "No Usage", IF(#REF! &lt;= 20, "Low Usage", IF(#REF! &lt;= 40, "Medium Usgae", "High Usage")))</f>
        <v>#REF!</v>
      </c>
      <c r="AD2556" t="e">
        <f>IF(#REF!&lt;=150,"Low Usage", IF(#REF!&lt;=200,"Medium Usage", IF(#REF!&lt;=250,"High Usage","Very High Usage")))</f>
        <v>#REF!</v>
      </c>
      <c r="AE2556" t="e">
        <f>IF(#REF!&lt;=5,"Low Calls", IF(#REF!&lt;=10, "Medium Calls", "High Calls"))</f>
        <v>#REF!</v>
      </c>
      <c r="AF2556" t="e">
        <f xml:space="preserve">
IF(#REF!&gt;=4,4,0)+
IF(#REF!="yes",3,0)+
IF(#REF!="High Charges",3,0)+
IF(#REF!&gt;250,4,0)+
IF(#REF!="no",1,0)+
IF(#REF!="Heavy Domestic User",2,0)</f>
        <v>#REF!</v>
      </c>
      <c r="AG2556" t="e">
        <f>IF(#REF!&gt;=10,"High Risk", IF(#REF!&gt;=5,"Medium Risk","Low Risk"))</f>
        <v>#REF!</v>
      </c>
      <c r="AH2556" t="e">
        <f>#REF! + #REF! + #REF! + #REF!</f>
        <v>#REF!</v>
      </c>
    </row>
    <row r="2557" spans="1:34" x14ac:dyDescent="0.35">
      <c r="A2557">
        <v>2556</v>
      </c>
      <c r="B2557" t="s">
        <v>30</v>
      </c>
      <c r="C2557">
        <v>123</v>
      </c>
      <c r="D2557" t="s">
        <v>21</v>
      </c>
      <c r="E2557" t="s">
        <v>22</v>
      </c>
      <c r="F2557" t="s">
        <v>23</v>
      </c>
      <c r="G2557">
        <v>33</v>
      </c>
      <c r="H2557">
        <v>146.6</v>
      </c>
      <c r="I2557">
        <v>87</v>
      </c>
      <c r="J2557">
        <v>24.92</v>
      </c>
      <c r="K2557">
        <v>114.8</v>
      </c>
      <c r="L2557">
        <v>59</v>
      </c>
      <c r="M2557">
        <v>9.76</v>
      </c>
      <c r="N2557">
        <v>220.4</v>
      </c>
      <c r="O2557">
        <v>99</v>
      </c>
      <c r="P2557">
        <v>9.92</v>
      </c>
      <c r="Q2557">
        <v>2.9</v>
      </c>
      <c r="R2557">
        <v>7</v>
      </c>
      <c r="S2557">
        <v>0.78</v>
      </c>
      <c r="T2557">
        <v>0</v>
      </c>
      <c r="U2557" t="s">
        <v>22</v>
      </c>
      <c r="V2557" t="e">
        <f>IF(#REF! = "yes", 1, 0)</f>
        <v>#REF!</v>
      </c>
      <c r="W2557" t="e">
        <f>IF(#REF! &lt;= 1, "0-1 Calls", IF(#REF! &lt;= 3, "2-3 Calls", IF(#REF! &lt;=5, "4-5 Calls", "6+ Calls")))</f>
        <v>#REF!</v>
      </c>
      <c r="X2557" t="e">
        <f>IF(#REF! &lt;= 50, "0-50", IF(#REF! &lt;=100, "51-100", IF(#REF! &lt;= 150, "101-150", "151+")))</f>
        <v>#REF!</v>
      </c>
      <c r="Y2557" t="e">
        <f>IF(#REF! &lt;= 3, "Low Charges", "High Charges")</f>
        <v>#REF!</v>
      </c>
      <c r="Z2557" t="e">
        <f>IF(#REF!&lt;=80,"Low Calls",
IF(#REF!&lt;=120,"Medium Calls","High Calls"))</f>
        <v>#REF!</v>
      </c>
      <c r="AA2557" t="e">
        <f>IF(#REF!&lt;=15,"Low Charges",
IF(#REF!&lt;=20,"Medium Charges","High Charges"))</f>
        <v>#REF!</v>
      </c>
      <c r="AB2557" t="e">
        <f>IF(AND(#REF!&gt;180, #REF!&gt;200), "Heavy Doemstic User", IF(#REF!&gt;10, "Interntional User", IF(AND(#REF!&lt;180, #REF!&lt;200,#REF!&lt;200), "Light User", "Balanced User")))</f>
        <v>#REF!</v>
      </c>
      <c r="AC2557" t="e">
        <f>IF(#REF! = 0, "No Usage", IF(#REF! &lt;= 20, "Low Usage", IF(#REF! &lt;= 40, "Medium Usgae", "High Usage")))</f>
        <v>#REF!</v>
      </c>
      <c r="AD2557" t="e">
        <f>IF(#REF!&lt;=150,"Low Usage", IF(#REF!&lt;=200,"Medium Usage", IF(#REF!&lt;=250,"High Usage","Very High Usage")))</f>
        <v>#REF!</v>
      </c>
      <c r="AE2557" t="e">
        <f>IF(#REF!&lt;=5,"Low Calls", IF(#REF!&lt;=10, "Medium Calls", "High Calls"))</f>
        <v>#REF!</v>
      </c>
      <c r="AF2557" t="e">
        <f xml:space="preserve">
IF(#REF!&gt;=4,4,0)+
IF(#REF!="yes",3,0)+
IF(#REF!="High Charges",3,0)+
IF(#REF!&gt;250,4,0)+
IF(#REF!="no",1,0)+
IF(#REF!="Heavy Domestic User",2,0)</f>
        <v>#REF!</v>
      </c>
      <c r="AG2557" t="e">
        <f>IF(#REF!&gt;=10,"High Risk", IF(#REF!&gt;=5,"Medium Risk","Low Risk"))</f>
        <v>#REF!</v>
      </c>
      <c r="AH2557" t="e">
        <f>#REF! + #REF! + #REF! + #REF!</f>
        <v>#REF!</v>
      </c>
    </row>
    <row r="2558" spans="1:34" x14ac:dyDescent="0.35">
      <c r="A2558">
        <v>2557</v>
      </c>
      <c r="B2558" t="s">
        <v>35</v>
      </c>
      <c r="C2558">
        <v>103</v>
      </c>
      <c r="D2558" t="s">
        <v>28</v>
      </c>
      <c r="E2558" t="s">
        <v>22</v>
      </c>
      <c r="F2558" t="s">
        <v>23</v>
      </c>
      <c r="G2558">
        <v>35</v>
      </c>
      <c r="H2558">
        <v>110.5</v>
      </c>
      <c r="I2558">
        <v>101</v>
      </c>
      <c r="J2558">
        <v>18.79</v>
      </c>
      <c r="K2558">
        <v>208.3</v>
      </c>
      <c r="L2558">
        <v>81</v>
      </c>
      <c r="M2558">
        <v>17.71</v>
      </c>
      <c r="N2558">
        <v>87.4</v>
      </c>
      <c r="O2558">
        <v>77</v>
      </c>
      <c r="P2558">
        <v>3.93</v>
      </c>
      <c r="Q2558">
        <v>13.9</v>
      </c>
      <c r="R2558">
        <v>2</v>
      </c>
      <c r="S2558">
        <v>3.75</v>
      </c>
      <c r="T2558">
        <v>4</v>
      </c>
      <c r="U2558" t="s">
        <v>23</v>
      </c>
      <c r="V2558" t="e">
        <f>IF(#REF! = "yes", 1, 0)</f>
        <v>#REF!</v>
      </c>
      <c r="W2558" t="e">
        <f>IF(#REF! &lt;= 1, "0-1 Calls", IF(#REF! &lt;= 3, "2-3 Calls", IF(#REF! &lt;=5, "4-5 Calls", "6+ Calls")))</f>
        <v>#REF!</v>
      </c>
      <c r="X2558" t="e">
        <f>IF(#REF! &lt;= 50, "0-50", IF(#REF! &lt;=100, "51-100", IF(#REF! &lt;= 150, "101-150", "151+")))</f>
        <v>#REF!</v>
      </c>
      <c r="Y2558" t="e">
        <f>IF(#REF! &lt;= 3, "Low Charges", "High Charges")</f>
        <v>#REF!</v>
      </c>
      <c r="Z2558" t="e">
        <f>IF(#REF!&lt;=80,"Low Calls",
IF(#REF!&lt;=120,"Medium Calls","High Calls"))</f>
        <v>#REF!</v>
      </c>
      <c r="AA2558" t="e">
        <f>IF(#REF!&lt;=15,"Low Charges",
IF(#REF!&lt;=20,"Medium Charges","High Charges"))</f>
        <v>#REF!</v>
      </c>
      <c r="AB2558" t="e">
        <f>IF(AND(#REF!&gt;180, #REF!&gt;200), "Heavy Doemstic User", IF(#REF!&gt;10, "Interntional User", IF(AND(#REF!&lt;180, #REF!&lt;200,#REF!&lt;200), "Light User", "Balanced User")))</f>
        <v>#REF!</v>
      </c>
      <c r="AC2558" t="e">
        <f>IF(#REF! = 0, "No Usage", IF(#REF! &lt;= 20, "Low Usage", IF(#REF! &lt;= 40, "Medium Usgae", "High Usage")))</f>
        <v>#REF!</v>
      </c>
      <c r="AD2558" t="e">
        <f>IF(#REF!&lt;=150,"Low Usage", IF(#REF!&lt;=200,"Medium Usage", IF(#REF!&lt;=250,"High Usage","Very High Usage")))</f>
        <v>#REF!</v>
      </c>
      <c r="AE2558" t="e">
        <f>IF(#REF!&lt;=5,"Low Calls", IF(#REF!&lt;=10, "Medium Calls", "High Calls"))</f>
        <v>#REF!</v>
      </c>
      <c r="AF2558" t="e">
        <f xml:space="preserve">
IF(#REF!&gt;=4,4,0)+
IF(#REF!="yes",3,0)+
IF(#REF!="High Charges",3,0)+
IF(#REF!&gt;250,4,0)+
IF(#REF!="no",1,0)+
IF(#REF!="Heavy Domestic User",2,0)</f>
        <v>#REF!</v>
      </c>
      <c r="AG2558" t="e">
        <f>IF(#REF!&gt;=10,"High Risk", IF(#REF!&gt;=5,"Medium Risk","Low Risk"))</f>
        <v>#REF!</v>
      </c>
      <c r="AH2558" t="e">
        <f>#REF! + #REF! + #REF! + #REF!</f>
        <v>#REF!</v>
      </c>
    </row>
    <row r="2559" spans="1:34" x14ac:dyDescent="0.35">
      <c r="A2559">
        <v>2558</v>
      </c>
      <c r="B2559" t="s">
        <v>52</v>
      </c>
      <c r="C2559">
        <v>101</v>
      </c>
      <c r="D2559" t="s">
        <v>21</v>
      </c>
      <c r="E2559" t="s">
        <v>22</v>
      </c>
      <c r="F2559" t="s">
        <v>22</v>
      </c>
      <c r="G2559">
        <v>0</v>
      </c>
      <c r="H2559">
        <v>118.6</v>
      </c>
      <c r="I2559">
        <v>89</v>
      </c>
      <c r="J2559">
        <v>20.16</v>
      </c>
      <c r="K2559">
        <v>199.6</v>
      </c>
      <c r="L2559">
        <v>97</v>
      </c>
      <c r="M2559">
        <v>16.97</v>
      </c>
      <c r="N2559">
        <v>53.3</v>
      </c>
      <c r="O2559">
        <v>61</v>
      </c>
      <c r="P2559">
        <v>2.4</v>
      </c>
      <c r="Q2559">
        <v>11.5</v>
      </c>
      <c r="R2559">
        <v>5</v>
      </c>
      <c r="S2559">
        <v>3.11</v>
      </c>
      <c r="T2559">
        <v>1</v>
      </c>
      <c r="U2559" t="s">
        <v>22</v>
      </c>
      <c r="V2559" t="e">
        <f>IF(#REF! = "yes", 1, 0)</f>
        <v>#REF!</v>
      </c>
      <c r="W2559" t="e">
        <f>IF(#REF! &lt;= 1, "0-1 Calls", IF(#REF! &lt;= 3, "2-3 Calls", IF(#REF! &lt;=5, "4-5 Calls", "6+ Calls")))</f>
        <v>#REF!</v>
      </c>
      <c r="X2559" t="e">
        <f>IF(#REF! &lt;= 50, "0-50", IF(#REF! &lt;=100, "51-100", IF(#REF! &lt;= 150, "101-150", "151+")))</f>
        <v>#REF!</v>
      </c>
      <c r="Y2559" t="e">
        <f>IF(#REF! &lt;= 3, "Low Charges", "High Charges")</f>
        <v>#REF!</v>
      </c>
      <c r="Z2559" t="e">
        <f>IF(#REF!&lt;=80,"Low Calls",
IF(#REF!&lt;=120,"Medium Calls","High Calls"))</f>
        <v>#REF!</v>
      </c>
      <c r="AA2559" t="e">
        <f>IF(#REF!&lt;=15,"Low Charges",
IF(#REF!&lt;=20,"Medium Charges","High Charges"))</f>
        <v>#REF!</v>
      </c>
      <c r="AB2559" t="e">
        <f>IF(AND(#REF!&gt;180, #REF!&gt;200), "Heavy Doemstic User", IF(#REF!&gt;10, "Interntional User", IF(AND(#REF!&lt;180, #REF!&lt;200,#REF!&lt;200), "Light User", "Balanced User")))</f>
        <v>#REF!</v>
      </c>
      <c r="AC2559" t="e">
        <f>IF(#REF! = 0, "No Usage", IF(#REF! &lt;= 20, "Low Usage", IF(#REF! &lt;= 40, "Medium Usgae", "High Usage")))</f>
        <v>#REF!</v>
      </c>
      <c r="AD2559" t="e">
        <f>IF(#REF!&lt;=150,"Low Usage", IF(#REF!&lt;=200,"Medium Usage", IF(#REF!&lt;=250,"High Usage","Very High Usage")))</f>
        <v>#REF!</v>
      </c>
      <c r="AE2559" t="e">
        <f>IF(#REF!&lt;=5,"Low Calls", IF(#REF!&lt;=10, "Medium Calls", "High Calls"))</f>
        <v>#REF!</v>
      </c>
      <c r="AF2559" t="e">
        <f xml:space="preserve">
IF(#REF!&gt;=4,4,0)+
IF(#REF!="yes",3,0)+
IF(#REF!="High Charges",3,0)+
IF(#REF!&gt;250,4,0)+
IF(#REF!="no",1,0)+
IF(#REF!="Heavy Domestic User",2,0)</f>
        <v>#REF!</v>
      </c>
      <c r="AG2559" t="e">
        <f>IF(#REF!&gt;=10,"High Risk", IF(#REF!&gt;=5,"Medium Risk","Low Risk"))</f>
        <v>#REF!</v>
      </c>
      <c r="AH2559" t="e">
        <f>#REF! + #REF! + #REF! + #REF!</f>
        <v>#REF!</v>
      </c>
    </row>
    <row r="2560" spans="1:34" x14ac:dyDescent="0.35">
      <c r="A2560">
        <v>2559</v>
      </c>
      <c r="B2560" t="s">
        <v>46</v>
      </c>
      <c r="C2560">
        <v>123</v>
      </c>
      <c r="D2560" t="s">
        <v>21</v>
      </c>
      <c r="E2560" t="s">
        <v>22</v>
      </c>
      <c r="F2560" t="s">
        <v>23</v>
      </c>
      <c r="G2560">
        <v>22</v>
      </c>
      <c r="H2560">
        <v>197.6</v>
      </c>
      <c r="I2560">
        <v>105</v>
      </c>
      <c r="J2560">
        <v>33.590000000000003</v>
      </c>
      <c r="K2560">
        <v>80</v>
      </c>
      <c r="L2560">
        <v>86</v>
      </c>
      <c r="M2560">
        <v>6.8</v>
      </c>
      <c r="N2560">
        <v>120.8</v>
      </c>
      <c r="O2560">
        <v>82</v>
      </c>
      <c r="P2560">
        <v>5.44</v>
      </c>
      <c r="Q2560">
        <v>15.6</v>
      </c>
      <c r="R2560">
        <v>12</v>
      </c>
      <c r="S2560">
        <v>4.21</v>
      </c>
      <c r="T2560">
        <v>2</v>
      </c>
      <c r="U2560" t="s">
        <v>22</v>
      </c>
      <c r="V2560" t="e">
        <f>IF(#REF! = "yes", 1, 0)</f>
        <v>#REF!</v>
      </c>
      <c r="W2560" t="e">
        <f>IF(#REF! &lt;= 1, "0-1 Calls", IF(#REF! &lt;= 3, "2-3 Calls", IF(#REF! &lt;=5, "4-5 Calls", "6+ Calls")))</f>
        <v>#REF!</v>
      </c>
      <c r="X2560" t="e">
        <f>IF(#REF! &lt;= 50, "0-50", IF(#REF! &lt;=100, "51-100", IF(#REF! &lt;= 150, "101-150", "151+")))</f>
        <v>#REF!</v>
      </c>
      <c r="Y2560" t="e">
        <f>IF(#REF! &lt;= 3, "Low Charges", "High Charges")</f>
        <v>#REF!</v>
      </c>
      <c r="Z2560" t="e">
        <f>IF(#REF!&lt;=80,"Low Calls",
IF(#REF!&lt;=120,"Medium Calls","High Calls"))</f>
        <v>#REF!</v>
      </c>
      <c r="AA2560" t="e">
        <f>IF(#REF!&lt;=15,"Low Charges",
IF(#REF!&lt;=20,"Medium Charges","High Charges"))</f>
        <v>#REF!</v>
      </c>
      <c r="AB2560" t="e">
        <f>IF(AND(#REF!&gt;180, #REF!&gt;200), "Heavy Doemstic User", IF(#REF!&gt;10, "Interntional User", IF(AND(#REF!&lt;180, #REF!&lt;200,#REF!&lt;200), "Light User", "Balanced User")))</f>
        <v>#REF!</v>
      </c>
      <c r="AC2560" t="e">
        <f>IF(#REF! = 0, "No Usage", IF(#REF! &lt;= 20, "Low Usage", IF(#REF! &lt;= 40, "Medium Usgae", "High Usage")))</f>
        <v>#REF!</v>
      </c>
      <c r="AD2560" t="e">
        <f>IF(#REF!&lt;=150,"Low Usage", IF(#REF!&lt;=200,"Medium Usage", IF(#REF!&lt;=250,"High Usage","Very High Usage")))</f>
        <v>#REF!</v>
      </c>
      <c r="AE2560" t="e">
        <f>IF(#REF!&lt;=5,"Low Calls", IF(#REF!&lt;=10, "Medium Calls", "High Calls"))</f>
        <v>#REF!</v>
      </c>
      <c r="AF2560" t="e">
        <f xml:space="preserve">
IF(#REF!&gt;=4,4,0)+
IF(#REF!="yes",3,0)+
IF(#REF!="High Charges",3,0)+
IF(#REF!&gt;250,4,0)+
IF(#REF!="no",1,0)+
IF(#REF!="Heavy Domestic User",2,0)</f>
        <v>#REF!</v>
      </c>
      <c r="AG2560" t="e">
        <f>IF(#REF!&gt;=10,"High Risk", IF(#REF!&gt;=5,"Medium Risk","Low Risk"))</f>
        <v>#REF!</v>
      </c>
      <c r="AH2560" t="e">
        <f>#REF! + #REF! + #REF! + #REF!</f>
        <v>#REF!</v>
      </c>
    </row>
    <row r="2561" spans="1:34" x14ac:dyDescent="0.35">
      <c r="A2561">
        <v>2560</v>
      </c>
      <c r="B2561" t="s">
        <v>69</v>
      </c>
      <c r="C2561">
        <v>78</v>
      </c>
      <c r="D2561" t="s">
        <v>28</v>
      </c>
      <c r="E2561" t="s">
        <v>22</v>
      </c>
      <c r="F2561" t="s">
        <v>23</v>
      </c>
      <c r="G2561">
        <v>32</v>
      </c>
      <c r="H2561">
        <v>210.3</v>
      </c>
      <c r="I2561">
        <v>116</v>
      </c>
      <c r="J2561">
        <v>35.75</v>
      </c>
      <c r="K2561">
        <v>192.2</v>
      </c>
      <c r="L2561">
        <v>83</v>
      </c>
      <c r="M2561">
        <v>16.34</v>
      </c>
      <c r="N2561">
        <v>246.1</v>
      </c>
      <c r="O2561">
        <v>92</v>
      </c>
      <c r="P2561">
        <v>11.07</v>
      </c>
      <c r="Q2561">
        <v>10.8</v>
      </c>
      <c r="R2561">
        <v>4</v>
      </c>
      <c r="S2561">
        <v>2.92</v>
      </c>
      <c r="T2561">
        <v>6</v>
      </c>
      <c r="U2561" t="s">
        <v>22</v>
      </c>
      <c r="V2561" t="e">
        <f>IF(#REF! = "yes", 1, 0)</f>
        <v>#REF!</v>
      </c>
      <c r="W2561" t="e">
        <f>IF(#REF! &lt;= 1, "0-1 Calls", IF(#REF! &lt;= 3, "2-3 Calls", IF(#REF! &lt;=5, "4-5 Calls", "6+ Calls")))</f>
        <v>#REF!</v>
      </c>
      <c r="X2561" t="e">
        <f>IF(#REF! &lt;= 50, "0-50", IF(#REF! &lt;=100, "51-100", IF(#REF! &lt;= 150, "101-150", "151+")))</f>
        <v>#REF!</v>
      </c>
      <c r="Y2561" t="e">
        <f>IF(#REF! &lt;= 3, "Low Charges", "High Charges")</f>
        <v>#REF!</v>
      </c>
      <c r="Z2561" t="e">
        <f>IF(#REF!&lt;=80,"Low Calls",
IF(#REF!&lt;=120,"Medium Calls","High Calls"))</f>
        <v>#REF!</v>
      </c>
      <c r="AA2561" t="e">
        <f>IF(#REF!&lt;=15,"Low Charges",
IF(#REF!&lt;=20,"Medium Charges","High Charges"))</f>
        <v>#REF!</v>
      </c>
      <c r="AB2561" t="e">
        <f>IF(AND(#REF!&gt;180, #REF!&gt;200), "Heavy Doemstic User", IF(#REF!&gt;10, "Interntional User", IF(AND(#REF!&lt;180, #REF!&lt;200,#REF!&lt;200), "Light User", "Balanced User")))</f>
        <v>#REF!</v>
      </c>
      <c r="AC2561" t="e">
        <f>IF(#REF! = 0, "No Usage", IF(#REF! &lt;= 20, "Low Usage", IF(#REF! &lt;= 40, "Medium Usgae", "High Usage")))</f>
        <v>#REF!</v>
      </c>
      <c r="AD2561" t="e">
        <f>IF(#REF!&lt;=150,"Low Usage", IF(#REF!&lt;=200,"Medium Usage", IF(#REF!&lt;=250,"High Usage","Very High Usage")))</f>
        <v>#REF!</v>
      </c>
      <c r="AE2561" t="e">
        <f>IF(#REF!&lt;=5,"Low Calls", IF(#REF!&lt;=10, "Medium Calls", "High Calls"))</f>
        <v>#REF!</v>
      </c>
      <c r="AF2561" t="e">
        <f xml:space="preserve">
IF(#REF!&gt;=4,4,0)+
IF(#REF!="yes",3,0)+
IF(#REF!="High Charges",3,0)+
IF(#REF!&gt;250,4,0)+
IF(#REF!="no",1,0)+
IF(#REF!="Heavy Domestic User",2,0)</f>
        <v>#REF!</v>
      </c>
      <c r="AG2561" t="e">
        <f>IF(#REF!&gt;=10,"High Risk", IF(#REF!&gt;=5,"Medium Risk","Low Risk"))</f>
        <v>#REF!</v>
      </c>
      <c r="AH2561" t="e">
        <f>#REF! + #REF! + #REF! + #REF!</f>
        <v>#REF!</v>
      </c>
    </row>
    <row r="2562" spans="1:34" x14ac:dyDescent="0.35">
      <c r="A2562">
        <v>2561</v>
      </c>
      <c r="B2562" t="s">
        <v>31</v>
      </c>
      <c r="C2562">
        <v>101</v>
      </c>
      <c r="D2562" t="s">
        <v>21</v>
      </c>
      <c r="E2562" t="s">
        <v>22</v>
      </c>
      <c r="F2562" t="s">
        <v>23</v>
      </c>
      <c r="G2562">
        <v>28</v>
      </c>
      <c r="H2562">
        <v>220.3</v>
      </c>
      <c r="I2562">
        <v>96</v>
      </c>
      <c r="J2562">
        <v>37.450000000000003</v>
      </c>
      <c r="K2562">
        <v>285.8</v>
      </c>
      <c r="L2562">
        <v>72</v>
      </c>
      <c r="M2562">
        <v>24.29</v>
      </c>
      <c r="N2562">
        <v>203</v>
      </c>
      <c r="O2562">
        <v>111</v>
      </c>
      <c r="P2562">
        <v>9.14</v>
      </c>
      <c r="Q2562">
        <v>9.4</v>
      </c>
      <c r="R2562">
        <v>6</v>
      </c>
      <c r="S2562">
        <v>2.54</v>
      </c>
      <c r="T2562">
        <v>4</v>
      </c>
      <c r="U2562" t="s">
        <v>22</v>
      </c>
      <c r="V2562" t="e">
        <f>IF(#REF! = "yes", 1, 0)</f>
        <v>#REF!</v>
      </c>
      <c r="W2562" t="e">
        <f>IF(#REF! &lt;= 1, "0-1 Calls", IF(#REF! &lt;= 3, "2-3 Calls", IF(#REF! &lt;=5, "4-5 Calls", "6+ Calls")))</f>
        <v>#REF!</v>
      </c>
      <c r="X2562" t="e">
        <f>IF(#REF! &lt;= 50, "0-50", IF(#REF! &lt;=100, "51-100", IF(#REF! &lt;= 150, "101-150", "151+")))</f>
        <v>#REF!</v>
      </c>
      <c r="Y2562" t="e">
        <f>IF(#REF! &lt;= 3, "Low Charges", "High Charges")</f>
        <v>#REF!</v>
      </c>
      <c r="Z2562" t="e">
        <f>IF(#REF!&lt;=80,"Low Calls",
IF(#REF!&lt;=120,"Medium Calls","High Calls"))</f>
        <v>#REF!</v>
      </c>
      <c r="AA2562" t="e">
        <f>IF(#REF!&lt;=15,"Low Charges",
IF(#REF!&lt;=20,"Medium Charges","High Charges"))</f>
        <v>#REF!</v>
      </c>
      <c r="AB2562" t="e">
        <f>IF(AND(#REF!&gt;180, #REF!&gt;200), "Heavy Doemstic User", IF(#REF!&gt;10, "Interntional User", IF(AND(#REF!&lt;180, #REF!&lt;200,#REF!&lt;200), "Light User", "Balanced User")))</f>
        <v>#REF!</v>
      </c>
      <c r="AC2562" t="e">
        <f>IF(#REF! = 0, "No Usage", IF(#REF! &lt;= 20, "Low Usage", IF(#REF! &lt;= 40, "Medium Usgae", "High Usage")))</f>
        <v>#REF!</v>
      </c>
      <c r="AD2562" t="e">
        <f>IF(#REF!&lt;=150,"Low Usage", IF(#REF!&lt;=200,"Medium Usage", IF(#REF!&lt;=250,"High Usage","Very High Usage")))</f>
        <v>#REF!</v>
      </c>
      <c r="AE2562" t="e">
        <f>IF(#REF!&lt;=5,"Low Calls", IF(#REF!&lt;=10, "Medium Calls", "High Calls"))</f>
        <v>#REF!</v>
      </c>
      <c r="AF2562" t="e">
        <f xml:space="preserve">
IF(#REF!&gt;=4,4,0)+
IF(#REF!="yes",3,0)+
IF(#REF!="High Charges",3,0)+
IF(#REF!&gt;250,4,0)+
IF(#REF!="no",1,0)+
IF(#REF!="Heavy Domestic User",2,0)</f>
        <v>#REF!</v>
      </c>
      <c r="AG2562" t="e">
        <f>IF(#REF!&gt;=10,"High Risk", IF(#REF!&gt;=5,"Medium Risk","Low Risk"))</f>
        <v>#REF!</v>
      </c>
      <c r="AH2562" t="e">
        <f>#REF! + #REF! + #REF! + #REF!</f>
        <v>#REF!</v>
      </c>
    </row>
    <row r="2563" spans="1:34" x14ac:dyDescent="0.35">
      <c r="A2563">
        <v>2562</v>
      </c>
      <c r="B2563" t="s">
        <v>27</v>
      </c>
      <c r="C2563">
        <v>67</v>
      </c>
      <c r="D2563" t="s">
        <v>21</v>
      </c>
      <c r="E2563" t="s">
        <v>22</v>
      </c>
      <c r="F2563" t="s">
        <v>23</v>
      </c>
      <c r="G2563">
        <v>34</v>
      </c>
      <c r="H2563">
        <v>161.69999999999999</v>
      </c>
      <c r="I2563">
        <v>114</v>
      </c>
      <c r="J2563">
        <v>27.49</v>
      </c>
      <c r="K2563">
        <v>207.6</v>
      </c>
      <c r="L2563">
        <v>115</v>
      </c>
      <c r="M2563">
        <v>17.649999999999999</v>
      </c>
      <c r="N2563">
        <v>205.7</v>
      </c>
      <c r="O2563">
        <v>114</v>
      </c>
      <c r="P2563">
        <v>9.26</v>
      </c>
      <c r="Q2563">
        <v>9.1999999999999993</v>
      </c>
      <c r="R2563">
        <v>4</v>
      </c>
      <c r="S2563">
        <v>2.48</v>
      </c>
      <c r="T2563">
        <v>0</v>
      </c>
      <c r="U2563" t="s">
        <v>22</v>
      </c>
      <c r="V2563" t="e">
        <f>IF(#REF! = "yes", 1, 0)</f>
        <v>#REF!</v>
      </c>
      <c r="W2563" t="e">
        <f>IF(#REF! &lt;= 1, "0-1 Calls", IF(#REF! &lt;= 3, "2-3 Calls", IF(#REF! &lt;=5, "4-5 Calls", "6+ Calls")))</f>
        <v>#REF!</v>
      </c>
      <c r="X2563" t="e">
        <f>IF(#REF! &lt;= 50, "0-50", IF(#REF! &lt;=100, "51-100", IF(#REF! &lt;= 150, "101-150", "151+")))</f>
        <v>#REF!</v>
      </c>
      <c r="Y2563" t="e">
        <f>IF(#REF! &lt;= 3, "Low Charges", "High Charges")</f>
        <v>#REF!</v>
      </c>
      <c r="Z2563" t="e">
        <f>IF(#REF!&lt;=80,"Low Calls",
IF(#REF!&lt;=120,"Medium Calls","High Calls"))</f>
        <v>#REF!</v>
      </c>
      <c r="AA2563" t="e">
        <f>IF(#REF!&lt;=15,"Low Charges",
IF(#REF!&lt;=20,"Medium Charges","High Charges"))</f>
        <v>#REF!</v>
      </c>
      <c r="AB2563" t="e">
        <f>IF(AND(#REF!&gt;180, #REF!&gt;200), "Heavy Doemstic User", IF(#REF!&gt;10, "Interntional User", IF(AND(#REF!&lt;180, #REF!&lt;200,#REF!&lt;200), "Light User", "Balanced User")))</f>
        <v>#REF!</v>
      </c>
      <c r="AC2563" t="e">
        <f>IF(#REF! = 0, "No Usage", IF(#REF! &lt;= 20, "Low Usage", IF(#REF! &lt;= 40, "Medium Usgae", "High Usage")))</f>
        <v>#REF!</v>
      </c>
      <c r="AD2563" t="e">
        <f>IF(#REF!&lt;=150,"Low Usage", IF(#REF!&lt;=200,"Medium Usage", IF(#REF!&lt;=250,"High Usage","Very High Usage")))</f>
        <v>#REF!</v>
      </c>
      <c r="AE2563" t="e">
        <f>IF(#REF!&lt;=5,"Low Calls", IF(#REF!&lt;=10, "Medium Calls", "High Calls"))</f>
        <v>#REF!</v>
      </c>
      <c r="AF2563" t="e">
        <f xml:space="preserve">
IF(#REF!&gt;=4,4,0)+
IF(#REF!="yes",3,0)+
IF(#REF!="High Charges",3,0)+
IF(#REF!&gt;250,4,0)+
IF(#REF!="no",1,0)+
IF(#REF!="Heavy Domestic User",2,0)</f>
        <v>#REF!</v>
      </c>
      <c r="AG2563" t="e">
        <f>IF(#REF!&gt;=10,"High Risk", IF(#REF!&gt;=5,"Medium Risk","Low Risk"))</f>
        <v>#REF!</v>
      </c>
      <c r="AH2563" t="e">
        <f>#REF! + #REF! + #REF! + #REF!</f>
        <v>#REF!</v>
      </c>
    </row>
    <row r="2564" spans="1:34" x14ac:dyDescent="0.35">
      <c r="A2564">
        <v>2563</v>
      </c>
      <c r="B2564" t="s">
        <v>65</v>
      </c>
      <c r="C2564">
        <v>64</v>
      </c>
      <c r="D2564" t="s">
        <v>21</v>
      </c>
      <c r="E2564" t="s">
        <v>23</v>
      </c>
      <c r="F2564" t="s">
        <v>22</v>
      </c>
      <c r="G2564">
        <v>0</v>
      </c>
      <c r="H2564">
        <v>146.69999999999999</v>
      </c>
      <c r="I2564">
        <v>83</v>
      </c>
      <c r="J2564">
        <v>24.94</v>
      </c>
      <c r="K2564">
        <v>148.30000000000001</v>
      </c>
      <c r="L2564">
        <v>91</v>
      </c>
      <c r="M2564">
        <v>12.61</v>
      </c>
      <c r="N2564">
        <v>238.6</v>
      </c>
      <c r="O2564">
        <v>69</v>
      </c>
      <c r="P2564">
        <v>10.74</v>
      </c>
      <c r="Q2564">
        <v>12.5</v>
      </c>
      <c r="R2564">
        <v>3</v>
      </c>
      <c r="S2564">
        <v>3.38</v>
      </c>
      <c r="T2564">
        <v>3</v>
      </c>
      <c r="U2564" t="s">
        <v>22</v>
      </c>
      <c r="V2564" t="e">
        <f>IF(#REF! = "yes", 1, 0)</f>
        <v>#REF!</v>
      </c>
      <c r="W2564" t="e">
        <f>IF(#REF! &lt;= 1, "0-1 Calls", IF(#REF! &lt;= 3, "2-3 Calls", IF(#REF! &lt;=5, "4-5 Calls", "6+ Calls")))</f>
        <v>#REF!</v>
      </c>
      <c r="X2564" t="e">
        <f>IF(#REF! &lt;= 50, "0-50", IF(#REF! &lt;=100, "51-100", IF(#REF! &lt;= 150, "101-150", "151+")))</f>
        <v>#REF!</v>
      </c>
      <c r="Y2564" t="e">
        <f>IF(#REF! &lt;= 3, "Low Charges", "High Charges")</f>
        <v>#REF!</v>
      </c>
      <c r="Z2564" t="e">
        <f>IF(#REF!&lt;=80,"Low Calls",
IF(#REF!&lt;=120,"Medium Calls","High Calls"))</f>
        <v>#REF!</v>
      </c>
      <c r="AA2564" t="e">
        <f>IF(#REF!&lt;=15,"Low Charges",
IF(#REF!&lt;=20,"Medium Charges","High Charges"))</f>
        <v>#REF!</v>
      </c>
      <c r="AB2564" t="e">
        <f>IF(AND(#REF!&gt;180, #REF!&gt;200), "Heavy Doemstic User", IF(#REF!&gt;10, "Interntional User", IF(AND(#REF!&lt;180, #REF!&lt;200,#REF!&lt;200), "Light User", "Balanced User")))</f>
        <v>#REF!</v>
      </c>
      <c r="AC2564" t="e">
        <f>IF(#REF! = 0, "No Usage", IF(#REF! &lt;= 20, "Low Usage", IF(#REF! &lt;= 40, "Medium Usgae", "High Usage")))</f>
        <v>#REF!</v>
      </c>
      <c r="AD2564" t="e">
        <f>IF(#REF!&lt;=150,"Low Usage", IF(#REF!&lt;=200,"Medium Usage", IF(#REF!&lt;=250,"High Usage","Very High Usage")))</f>
        <v>#REF!</v>
      </c>
      <c r="AE2564" t="e">
        <f>IF(#REF!&lt;=5,"Low Calls", IF(#REF!&lt;=10, "Medium Calls", "High Calls"))</f>
        <v>#REF!</v>
      </c>
      <c r="AF2564" t="e">
        <f xml:space="preserve">
IF(#REF!&gt;=4,4,0)+
IF(#REF!="yes",3,0)+
IF(#REF!="High Charges",3,0)+
IF(#REF!&gt;250,4,0)+
IF(#REF!="no",1,0)+
IF(#REF!="Heavy Domestic User",2,0)</f>
        <v>#REF!</v>
      </c>
      <c r="AG2564" t="e">
        <f>IF(#REF!&gt;=10,"High Risk", IF(#REF!&gt;=5,"Medium Risk","Low Risk"))</f>
        <v>#REF!</v>
      </c>
      <c r="AH2564" t="e">
        <f>#REF! + #REF! + #REF! + #REF!</f>
        <v>#REF!</v>
      </c>
    </row>
    <row r="2565" spans="1:34" x14ac:dyDescent="0.35">
      <c r="A2565">
        <v>2564</v>
      </c>
      <c r="B2565" t="s">
        <v>31</v>
      </c>
      <c r="C2565">
        <v>173</v>
      </c>
      <c r="D2565" t="s">
        <v>28</v>
      </c>
      <c r="E2565" t="s">
        <v>22</v>
      </c>
      <c r="F2565" t="s">
        <v>22</v>
      </c>
      <c r="G2565">
        <v>0</v>
      </c>
      <c r="H2565">
        <v>109.4</v>
      </c>
      <c r="I2565">
        <v>103</v>
      </c>
      <c r="J2565">
        <v>18.600000000000001</v>
      </c>
      <c r="K2565">
        <v>101.3</v>
      </c>
      <c r="L2565">
        <v>111</v>
      </c>
      <c r="M2565">
        <v>8.61</v>
      </c>
      <c r="N2565">
        <v>167.3</v>
      </c>
      <c r="O2565">
        <v>106</v>
      </c>
      <c r="P2565">
        <v>7.53</v>
      </c>
      <c r="Q2565">
        <v>7.8</v>
      </c>
      <c r="R2565">
        <v>7</v>
      </c>
      <c r="S2565">
        <v>2.11</v>
      </c>
      <c r="T2565">
        <v>1</v>
      </c>
      <c r="U2565" t="s">
        <v>22</v>
      </c>
      <c r="V2565" t="e">
        <f>IF(#REF! = "yes", 1, 0)</f>
        <v>#REF!</v>
      </c>
      <c r="W2565" t="e">
        <f>IF(#REF! &lt;= 1, "0-1 Calls", IF(#REF! &lt;= 3, "2-3 Calls", IF(#REF! &lt;=5, "4-5 Calls", "6+ Calls")))</f>
        <v>#REF!</v>
      </c>
      <c r="X2565" t="e">
        <f>IF(#REF! &lt;= 50, "0-50", IF(#REF! &lt;=100, "51-100", IF(#REF! &lt;= 150, "101-150", "151+")))</f>
        <v>#REF!</v>
      </c>
      <c r="Y2565" t="e">
        <f>IF(#REF! &lt;= 3, "Low Charges", "High Charges")</f>
        <v>#REF!</v>
      </c>
      <c r="Z2565" t="e">
        <f>IF(#REF!&lt;=80,"Low Calls",
IF(#REF!&lt;=120,"Medium Calls","High Calls"))</f>
        <v>#REF!</v>
      </c>
      <c r="AA2565" t="e">
        <f>IF(#REF!&lt;=15,"Low Charges",
IF(#REF!&lt;=20,"Medium Charges","High Charges"))</f>
        <v>#REF!</v>
      </c>
      <c r="AB2565" t="e">
        <f>IF(AND(#REF!&gt;180, #REF!&gt;200), "Heavy Doemstic User", IF(#REF!&gt;10, "Interntional User", IF(AND(#REF!&lt;180, #REF!&lt;200,#REF!&lt;200), "Light User", "Balanced User")))</f>
        <v>#REF!</v>
      </c>
      <c r="AC2565" t="e">
        <f>IF(#REF! = 0, "No Usage", IF(#REF! &lt;= 20, "Low Usage", IF(#REF! &lt;= 40, "Medium Usgae", "High Usage")))</f>
        <v>#REF!</v>
      </c>
      <c r="AD2565" t="e">
        <f>IF(#REF!&lt;=150,"Low Usage", IF(#REF!&lt;=200,"Medium Usage", IF(#REF!&lt;=250,"High Usage","Very High Usage")))</f>
        <v>#REF!</v>
      </c>
      <c r="AE2565" t="e">
        <f>IF(#REF!&lt;=5,"Low Calls", IF(#REF!&lt;=10, "Medium Calls", "High Calls"))</f>
        <v>#REF!</v>
      </c>
      <c r="AF2565" t="e">
        <f xml:space="preserve">
IF(#REF!&gt;=4,4,0)+
IF(#REF!="yes",3,0)+
IF(#REF!="High Charges",3,0)+
IF(#REF!&gt;250,4,0)+
IF(#REF!="no",1,0)+
IF(#REF!="Heavy Domestic User",2,0)</f>
        <v>#REF!</v>
      </c>
      <c r="AG2565" t="e">
        <f>IF(#REF!&gt;=10,"High Risk", IF(#REF!&gt;=5,"Medium Risk","Low Risk"))</f>
        <v>#REF!</v>
      </c>
      <c r="AH2565" t="e">
        <f>#REF! + #REF! + #REF! + #REF!</f>
        <v>#REF!</v>
      </c>
    </row>
    <row r="2566" spans="1:34" x14ac:dyDescent="0.35">
      <c r="A2566">
        <v>2565</v>
      </c>
      <c r="B2566" t="s">
        <v>65</v>
      </c>
      <c r="C2566">
        <v>135</v>
      </c>
      <c r="D2566" t="s">
        <v>28</v>
      </c>
      <c r="E2566" t="s">
        <v>22</v>
      </c>
      <c r="F2566" t="s">
        <v>22</v>
      </c>
      <c r="G2566">
        <v>0</v>
      </c>
      <c r="H2566">
        <v>144.1</v>
      </c>
      <c r="I2566">
        <v>115</v>
      </c>
      <c r="J2566">
        <v>24.5</v>
      </c>
      <c r="K2566">
        <v>249.8</v>
      </c>
      <c r="L2566">
        <v>68</v>
      </c>
      <c r="M2566">
        <v>21.23</v>
      </c>
      <c r="N2566">
        <v>211.4</v>
      </c>
      <c r="O2566">
        <v>82</v>
      </c>
      <c r="P2566">
        <v>9.51</v>
      </c>
      <c r="Q2566">
        <v>13.6</v>
      </c>
      <c r="R2566">
        <v>3</v>
      </c>
      <c r="S2566">
        <v>3.67</v>
      </c>
      <c r="T2566">
        <v>1</v>
      </c>
      <c r="U2566" t="s">
        <v>22</v>
      </c>
      <c r="V2566" t="e">
        <f>IF(#REF! = "yes", 1, 0)</f>
        <v>#REF!</v>
      </c>
      <c r="W2566" t="e">
        <f>IF(#REF! &lt;= 1, "0-1 Calls", IF(#REF! &lt;= 3, "2-3 Calls", IF(#REF! &lt;=5, "4-5 Calls", "6+ Calls")))</f>
        <v>#REF!</v>
      </c>
      <c r="X2566" t="e">
        <f>IF(#REF! &lt;= 50, "0-50", IF(#REF! &lt;=100, "51-100", IF(#REF! &lt;= 150, "101-150", "151+")))</f>
        <v>#REF!</v>
      </c>
      <c r="Y2566" t="e">
        <f>IF(#REF! &lt;= 3, "Low Charges", "High Charges")</f>
        <v>#REF!</v>
      </c>
      <c r="Z2566" t="e">
        <f>IF(#REF!&lt;=80,"Low Calls",
IF(#REF!&lt;=120,"Medium Calls","High Calls"))</f>
        <v>#REF!</v>
      </c>
      <c r="AA2566" t="e">
        <f>IF(#REF!&lt;=15,"Low Charges",
IF(#REF!&lt;=20,"Medium Charges","High Charges"))</f>
        <v>#REF!</v>
      </c>
      <c r="AB2566" t="e">
        <f>IF(AND(#REF!&gt;180, #REF!&gt;200), "Heavy Doemstic User", IF(#REF!&gt;10, "Interntional User", IF(AND(#REF!&lt;180, #REF!&lt;200,#REF!&lt;200), "Light User", "Balanced User")))</f>
        <v>#REF!</v>
      </c>
      <c r="AC2566" t="e">
        <f>IF(#REF! = 0, "No Usage", IF(#REF! &lt;= 20, "Low Usage", IF(#REF! &lt;= 40, "Medium Usgae", "High Usage")))</f>
        <v>#REF!</v>
      </c>
      <c r="AD2566" t="e">
        <f>IF(#REF!&lt;=150,"Low Usage", IF(#REF!&lt;=200,"Medium Usage", IF(#REF!&lt;=250,"High Usage","Very High Usage")))</f>
        <v>#REF!</v>
      </c>
      <c r="AE2566" t="e">
        <f>IF(#REF!&lt;=5,"Low Calls", IF(#REF!&lt;=10, "Medium Calls", "High Calls"))</f>
        <v>#REF!</v>
      </c>
      <c r="AF2566" t="e">
        <f xml:space="preserve">
IF(#REF!&gt;=4,4,0)+
IF(#REF!="yes",3,0)+
IF(#REF!="High Charges",3,0)+
IF(#REF!&gt;250,4,0)+
IF(#REF!="no",1,0)+
IF(#REF!="Heavy Domestic User",2,0)</f>
        <v>#REF!</v>
      </c>
      <c r="AG2566" t="e">
        <f>IF(#REF!&gt;=10,"High Risk", IF(#REF!&gt;=5,"Medium Risk","Low Risk"))</f>
        <v>#REF!</v>
      </c>
      <c r="AH2566" t="e">
        <f>#REF! + #REF! + #REF! + #REF!</f>
        <v>#REF!</v>
      </c>
    </row>
    <row r="2567" spans="1:34" x14ac:dyDescent="0.35">
      <c r="A2567">
        <v>2566</v>
      </c>
      <c r="B2567" t="s">
        <v>24</v>
      </c>
      <c r="C2567">
        <v>75</v>
      </c>
      <c r="D2567" t="s">
        <v>21</v>
      </c>
      <c r="E2567" t="s">
        <v>22</v>
      </c>
      <c r="F2567" t="s">
        <v>23</v>
      </c>
      <c r="G2567">
        <v>42</v>
      </c>
      <c r="H2567">
        <v>248.9</v>
      </c>
      <c r="I2567">
        <v>93</v>
      </c>
      <c r="J2567">
        <v>42.31</v>
      </c>
      <c r="K2567">
        <v>170.8</v>
      </c>
      <c r="L2567">
        <v>108</v>
      </c>
      <c r="M2567">
        <v>14.52</v>
      </c>
      <c r="N2567">
        <v>104.5</v>
      </c>
      <c r="O2567">
        <v>91</v>
      </c>
      <c r="P2567">
        <v>4.7</v>
      </c>
      <c r="Q2567">
        <v>11.2</v>
      </c>
      <c r="R2567">
        <v>8</v>
      </c>
      <c r="S2567">
        <v>3.02</v>
      </c>
      <c r="T2567">
        <v>1</v>
      </c>
      <c r="U2567" t="s">
        <v>22</v>
      </c>
      <c r="V2567" t="e">
        <f>IF(#REF! = "yes", 1, 0)</f>
        <v>#REF!</v>
      </c>
      <c r="W2567" t="e">
        <f>IF(#REF! &lt;= 1, "0-1 Calls", IF(#REF! &lt;= 3, "2-3 Calls", IF(#REF! &lt;=5, "4-5 Calls", "6+ Calls")))</f>
        <v>#REF!</v>
      </c>
      <c r="X2567" t="e">
        <f>IF(#REF! &lt;= 50, "0-50", IF(#REF! &lt;=100, "51-100", IF(#REF! &lt;= 150, "101-150", "151+")))</f>
        <v>#REF!</v>
      </c>
      <c r="Y2567" t="e">
        <f>IF(#REF! &lt;= 3, "Low Charges", "High Charges")</f>
        <v>#REF!</v>
      </c>
      <c r="Z2567" t="e">
        <f>IF(#REF!&lt;=80,"Low Calls",
IF(#REF!&lt;=120,"Medium Calls","High Calls"))</f>
        <v>#REF!</v>
      </c>
      <c r="AA2567" t="e">
        <f>IF(#REF!&lt;=15,"Low Charges",
IF(#REF!&lt;=20,"Medium Charges","High Charges"))</f>
        <v>#REF!</v>
      </c>
      <c r="AB2567" t="e">
        <f>IF(AND(#REF!&gt;180, #REF!&gt;200), "Heavy Doemstic User", IF(#REF!&gt;10, "Interntional User", IF(AND(#REF!&lt;180, #REF!&lt;200,#REF!&lt;200), "Light User", "Balanced User")))</f>
        <v>#REF!</v>
      </c>
      <c r="AC2567" t="e">
        <f>IF(#REF! = 0, "No Usage", IF(#REF! &lt;= 20, "Low Usage", IF(#REF! &lt;= 40, "Medium Usgae", "High Usage")))</f>
        <v>#REF!</v>
      </c>
      <c r="AD2567" t="e">
        <f>IF(#REF!&lt;=150,"Low Usage", IF(#REF!&lt;=200,"Medium Usage", IF(#REF!&lt;=250,"High Usage","Very High Usage")))</f>
        <v>#REF!</v>
      </c>
      <c r="AE2567" t="e">
        <f>IF(#REF!&lt;=5,"Low Calls", IF(#REF!&lt;=10, "Medium Calls", "High Calls"))</f>
        <v>#REF!</v>
      </c>
      <c r="AF2567" t="e">
        <f xml:space="preserve">
IF(#REF!&gt;=4,4,0)+
IF(#REF!="yes",3,0)+
IF(#REF!="High Charges",3,0)+
IF(#REF!&gt;250,4,0)+
IF(#REF!="no",1,0)+
IF(#REF!="Heavy Domestic User",2,0)</f>
        <v>#REF!</v>
      </c>
      <c r="AG2567" t="e">
        <f>IF(#REF!&gt;=10,"High Risk", IF(#REF!&gt;=5,"Medium Risk","Low Risk"))</f>
        <v>#REF!</v>
      </c>
      <c r="AH2567" t="e">
        <f>#REF! + #REF! + #REF! + #REF!</f>
        <v>#REF!</v>
      </c>
    </row>
    <row r="2568" spans="1:34" x14ac:dyDescent="0.35">
      <c r="A2568">
        <v>2567</v>
      </c>
      <c r="B2568" t="s">
        <v>66</v>
      </c>
      <c r="C2568">
        <v>88</v>
      </c>
      <c r="D2568" t="s">
        <v>21</v>
      </c>
      <c r="E2568" t="s">
        <v>22</v>
      </c>
      <c r="F2568" t="s">
        <v>22</v>
      </c>
      <c r="G2568">
        <v>0</v>
      </c>
      <c r="H2568">
        <v>85.7</v>
      </c>
      <c r="I2568">
        <v>112</v>
      </c>
      <c r="J2568">
        <v>14.57</v>
      </c>
      <c r="K2568">
        <v>221.6</v>
      </c>
      <c r="L2568">
        <v>70</v>
      </c>
      <c r="M2568">
        <v>18.84</v>
      </c>
      <c r="N2568">
        <v>190.6</v>
      </c>
      <c r="O2568">
        <v>75</v>
      </c>
      <c r="P2568">
        <v>8.58</v>
      </c>
      <c r="Q2568">
        <v>11.6</v>
      </c>
      <c r="R2568">
        <v>3</v>
      </c>
      <c r="S2568">
        <v>3.13</v>
      </c>
      <c r="T2568">
        <v>4</v>
      </c>
      <c r="U2568" t="s">
        <v>23</v>
      </c>
      <c r="V2568" t="e">
        <f>IF(#REF! = "yes", 1, 0)</f>
        <v>#REF!</v>
      </c>
      <c r="W2568" t="e">
        <f>IF(#REF! &lt;= 1, "0-1 Calls", IF(#REF! &lt;= 3, "2-3 Calls", IF(#REF! &lt;=5, "4-5 Calls", "6+ Calls")))</f>
        <v>#REF!</v>
      </c>
      <c r="X2568" t="e">
        <f>IF(#REF! &lt;= 50, "0-50", IF(#REF! &lt;=100, "51-100", IF(#REF! &lt;= 150, "101-150", "151+")))</f>
        <v>#REF!</v>
      </c>
      <c r="Y2568" t="e">
        <f>IF(#REF! &lt;= 3, "Low Charges", "High Charges")</f>
        <v>#REF!</v>
      </c>
      <c r="Z2568" t="e">
        <f>IF(#REF!&lt;=80,"Low Calls",
IF(#REF!&lt;=120,"Medium Calls","High Calls"))</f>
        <v>#REF!</v>
      </c>
      <c r="AA2568" t="e">
        <f>IF(#REF!&lt;=15,"Low Charges",
IF(#REF!&lt;=20,"Medium Charges","High Charges"))</f>
        <v>#REF!</v>
      </c>
      <c r="AB2568" t="e">
        <f>IF(AND(#REF!&gt;180, #REF!&gt;200), "Heavy Doemstic User", IF(#REF!&gt;10, "Interntional User", IF(AND(#REF!&lt;180, #REF!&lt;200,#REF!&lt;200), "Light User", "Balanced User")))</f>
        <v>#REF!</v>
      </c>
      <c r="AC2568" t="e">
        <f>IF(#REF! = 0, "No Usage", IF(#REF! &lt;= 20, "Low Usage", IF(#REF! &lt;= 40, "Medium Usgae", "High Usage")))</f>
        <v>#REF!</v>
      </c>
      <c r="AD2568" t="e">
        <f>IF(#REF!&lt;=150,"Low Usage", IF(#REF!&lt;=200,"Medium Usage", IF(#REF!&lt;=250,"High Usage","Very High Usage")))</f>
        <v>#REF!</v>
      </c>
      <c r="AE2568" t="e">
        <f>IF(#REF!&lt;=5,"Low Calls", IF(#REF!&lt;=10, "Medium Calls", "High Calls"))</f>
        <v>#REF!</v>
      </c>
      <c r="AF2568" t="e">
        <f xml:space="preserve">
IF(#REF!&gt;=4,4,0)+
IF(#REF!="yes",3,0)+
IF(#REF!="High Charges",3,0)+
IF(#REF!&gt;250,4,0)+
IF(#REF!="no",1,0)+
IF(#REF!="Heavy Domestic User",2,0)</f>
        <v>#REF!</v>
      </c>
      <c r="AG2568" t="e">
        <f>IF(#REF!&gt;=10,"High Risk", IF(#REF!&gt;=5,"Medium Risk","Low Risk"))</f>
        <v>#REF!</v>
      </c>
      <c r="AH2568" t="e">
        <f>#REF! + #REF! + #REF! + #REF!</f>
        <v>#REF!</v>
      </c>
    </row>
    <row r="2569" spans="1:34" x14ac:dyDescent="0.35">
      <c r="A2569">
        <v>2568</v>
      </c>
      <c r="B2569" t="s">
        <v>39</v>
      </c>
      <c r="C2569">
        <v>112</v>
      </c>
      <c r="D2569" t="s">
        <v>21</v>
      </c>
      <c r="E2569" t="s">
        <v>22</v>
      </c>
      <c r="F2569" t="s">
        <v>22</v>
      </c>
      <c r="G2569">
        <v>0</v>
      </c>
      <c r="H2569">
        <v>214.8</v>
      </c>
      <c r="I2569">
        <v>112</v>
      </c>
      <c r="J2569">
        <v>36.520000000000003</v>
      </c>
      <c r="K2569">
        <v>209.7</v>
      </c>
      <c r="L2569">
        <v>104</v>
      </c>
      <c r="M2569">
        <v>17.82</v>
      </c>
      <c r="N2569">
        <v>164.4</v>
      </c>
      <c r="O2569">
        <v>97</v>
      </c>
      <c r="P2569">
        <v>7.4</v>
      </c>
      <c r="Q2569">
        <v>9.4</v>
      </c>
      <c r="R2569">
        <v>5</v>
      </c>
      <c r="S2569">
        <v>2.54</v>
      </c>
      <c r="T2569">
        <v>3</v>
      </c>
      <c r="U2569" t="s">
        <v>22</v>
      </c>
      <c r="V2569" t="e">
        <f>IF(#REF! = "yes", 1, 0)</f>
        <v>#REF!</v>
      </c>
      <c r="W2569" t="e">
        <f>IF(#REF! &lt;= 1, "0-1 Calls", IF(#REF! &lt;= 3, "2-3 Calls", IF(#REF! &lt;=5, "4-5 Calls", "6+ Calls")))</f>
        <v>#REF!</v>
      </c>
      <c r="X2569" t="e">
        <f>IF(#REF! &lt;= 50, "0-50", IF(#REF! &lt;=100, "51-100", IF(#REF! &lt;= 150, "101-150", "151+")))</f>
        <v>#REF!</v>
      </c>
      <c r="Y2569" t="e">
        <f>IF(#REF! &lt;= 3, "Low Charges", "High Charges")</f>
        <v>#REF!</v>
      </c>
      <c r="Z2569" t="e">
        <f>IF(#REF!&lt;=80,"Low Calls",
IF(#REF!&lt;=120,"Medium Calls","High Calls"))</f>
        <v>#REF!</v>
      </c>
      <c r="AA2569" t="e">
        <f>IF(#REF!&lt;=15,"Low Charges",
IF(#REF!&lt;=20,"Medium Charges","High Charges"))</f>
        <v>#REF!</v>
      </c>
      <c r="AB2569" t="e">
        <f>IF(AND(#REF!&gt;180, #REF!&gt;200), "Heavy Doemstic User", IF(#REF!&gt;10, "Interntional User", IF(AND(#REF!&lt;180, #REF!&lt;200,#REF!&lt;200), "Light User", "Balanced User")))</f>
        <v>#REF!</v>
      </c>
      <c r="AC2569" t="e">
        <f>IF(#REF! = 0, "No Usage", IF(#REF! &lt;= 20, "Low Usage", IF(#REF! &lt;= 40, "Medium Usgae", "High Usage")))</f>
        <v>#REF!</v>
      </c>
      <c r="AD2569" t="e">
        <f>IF(#REF!&lt;=150,"Low Usage", IF(#REF!&lt;=200,"Medium Usage", IF(#REF!&lt;=250,"High Usage","Very High Usage")))</f>
        <v>#REF!</v>
      </c>
      <c r="AE2569" t="e">
        <f>IF(#REF!&lt;=5,"Low Calls", IF(#REF!&lt;=10, "Medium Calls", "High Calls"))</f>
        <v>#REF!</v>
      </c>
      <c r="AF2569" t="e">
        <f xml:space="preserve">
IF(#REF!&gt;=4,4,0)+
IF(#REF!="yes",3,0)+
IF(#REF!="High Charges",3,0)+
IF(#REF!&gt;250,4,0)+
IF(#REF!="no",1,0)+
IF(#REF!="Heavy Domestic User",2,0)</f>
        <v>#REF!</v>
      </c>
      <c r="AG2569" t="e">
        <f>IF(#REF!&gt;=10,"High Risk", IF(#REF!&gt;=5,"Medium Risk","Low Risk"))</f>
        <v>#REF!</v>
      </c>
      <c r="AH2569" t="e">
        <f>#REF! + #REF! + #REF! + #REF!</f>
        <v>#REF!</v>
      </c>
    </row>
    <row r="2570" spans="1:34" x14ac:dyDescent="0.35">
      <c r="A2570">
        <v>2569</v>
      </c>
      <c r="B2570" t="s">
        <v>60</v>
      </c>
      <c r="C2570">
        <v>113</v>
      </c>
      <c r="D2570" t="s">
        <v>25</v>
      </c>
      <c r="E2570" t="s">
        <v>22</v>
      </c>
      <c r="F2570" t="s">
        <v>22</v>
      </c>
      <c r="G2570">
        <v>0</v>
      </c>
      <c r="H2570">
        <v>158.9</v>
      </c>
      <c r="I2570">
        <v>137</v>
      </c>
      <c r="J2570">
        <v>27.01</v>
      </c>
      <c r="K2570">
        <v>242.8</v>
      </c>
      <c r="L2570">
        <v>109</v>
      </c>
      <c r="M2570">
        <v>20.64</v>
      </c>
      <c r="N2570">
        <v>247.8</v>
      </c>
      <c r="O2570">
        <v>97</v>
      </c>
      <c r="P2570">
        <v>11.15</v>
      </c>
      <c r="Q2570">
        <v>6.5</v>
      </c>
      <c r="R2570">
        <v>4</v>
      </c>
      <c r="S2570">
        <v>1.76</v>
      </c>
      <c r="T2570">
        <v>0</v>
      </c>
      <c r="U2570" t="s">
        <v>22</v>
      </c>
      <c r="V2570" t="e">
        <f>IF(#REF! = "yes", 1, 0)</f>
        <v>#REF!</v>
      </c>
      <c r="W2570" t="e">
        <f>IF(#REF! &lt;= 1, "0-1 Calls", IF(#REF! &lt;= 3, "2-3 Calls", IF(#REF! &lt;=5, "4-5 Calls", "6+ Calls")))</f>
        <v>#REF!</v>
      </c>
      <c r="X2570" t="e">
        <f>IF(#REF! &lt;= 50, "0-50", IF(#REF! &lt;=100, "51-100", IF(#REF! &lt;= 150, "101-150", "151+")))</f>
        <v>#REF!</v>
      </c>
      <c r="Y2570" t="e">
        <f>IF(#REF! &lt;= 3, "Low Charges", "High Charges")</f>
        <v>#REF!</v>
      </c>
      <c r="Z2570" t="e">
        <f>IF(#REF!&lt;=80,"Low Calls",
IF(#REF!&lt;=120,"Medium Calls","High Calls"))</f>
        <v>#REF!</v>
      </c>
      <c r="AA2570" t="e">
        <f>IF(#REF!&lt;=15,"Low Charges",
IF(#REF!&lt;=20,"Medium Charges","High Charges"))</f>
        <v>#REF!</v>
      </c>
      <c r="AB2570" t="e">
        <f>IF(AND(#REF!&gt;180, #REF!&gt;200), "Heavy Doemstic User", IF(#REF!&gt;10, "Interntional User", IF(AND(#REF!&lt;180, #REF!&lt;200,#REF!&lt;200), "Light User", "Balanced User")))</f>
        <v>#REF!</v>
      </c>
      <c r="AC2570" t="e">
        <f>IF(#REF! = 0, "No Usage", IF(#REF! &lt;= 20, "Low Usage", IF(#REF! &lt;= 40, "Medium Usgae", "High Usage")))</f>
        <v>#REF!</v>
      </c>
      <c r="AD2570" t="e">
        <f>IF(#REF!&lt;=150,"Low Usage", IF(#REF!&lt;=200,"Medium Usage", IF(#REF!&lt;=250,"High Usage","Very High Usage")))</f>
        <v>#REF!</v>
      </c>
      <c r="AE2570" t="e">
        <f>IF(#REF!&lt;=5,"Low Calls", IF(#REF!&lt;=10, "Medium Calls", "High Calls"))</f>
        <v>#REF!</v>
      </c>
      <c r="AF2570" t="e">
        <f xml:space="preserve">
IF(#REF!&gt;=4,4,0)+
IF(#REF!="yes",3,0)+
IF(#REF!="High Charges",3,0)+
IF(#REF!&gt;250,4,0)+
IF(#REF!="no",1,0)+
IF(#REF!="Heavy Domestic User",2,0)</f>
        <v>#REF!</v>
      </c>
      <c r="AG2570" t="e">
        <f>IF(#REF!&gt;=10,"High Risk", IF(#REF!&gt;=5,"Medium Risk","Low Risk"))</f>
        <v>#REF!</v>
      </c>
      <c r="AH2570" t="e">
        <f>#REF! + #REF! + #REF! + #REF!</f>
        <v>#REF!</v>
      </c>
    </row>
    <row r="2571" spans="1:34" x14ac:dyDescent="0.35">
      <c r="A2571">
        <v>2570</v>
      </c>
      <c r="B2571" t="s">
        <v>38</v>
      </c>
      <c r="C2571">
        <v>121</v>
      </c>
      <c r="D2571" t="s">
        <v>28</v>
      </c>
      <c r="E2571" t="s">
        <v>22</v>
      </c>
      <c r="F2571" t="s">
        <v>23</v>
      </c>
      <c r="G2571">
        <v>28</v>
      </c>
      <c r="H2571">
        <v>110</v>
      </c>
      <c r="I2571">
        <v>94</v>
      </c>
      <c r="J2571">
        <v>18.7</v>
      </c>
      <c r="K2571">
        <v>141.5</v>
      </c>
      <c r="L2571">
        <v>76</v>
      </c>
      <c r="M2571">
        <v>12.03</v>
      </c>
      <c r="N2571">
        <v>237.3</v>
      </c>
      <c r="O2571">
        <v>87</v>
      </c>
      <c r="P2571">
        <v>10.68</v>
      </c>
      <c r="Q2571">
        <v>6.4</v>
      </c>
      <c r="R2571">
        <v>3</v>
      </c>
      <c r="S2571">
        <v>1.73</v>
      </c>
      <c r="T2571">
        <v>2</v>
      </c>
      <c r="U2571" t="s">
        <v>22</v>
      </c>
      <c r="V2571" t="e">
        <f>IF(#REF! = "yes", 1, 0)</f>
        <v>#REF!</v>
      </c>
      <c r="W2571" t="e">
        <f>IF(#REF! &lt;= 1, "0-1 Calls", IF(#REF! &lt;= 3, "2-3 Calls", IF(#REF! &lt;=5, "4-5 Calls", "6+ Calls")))</f>
        <v>#REF!</v>
      </c>
      <c r="X2571" t="e">
        <f>IF(#REF! &lt;= 50, "0-50", IF(#REF! &lt;=100, "51-100", IF(#REF! &lt;= 150, "101-150", "151+")))</f>
        <v>#REF!</v>
      </c>
      <c r="Y2571" t="e">
        <f>IF(#REF! &lt;= 3, "Low Charges", "High Charges")</f>
        <v>#REF!</v>
      </c>
      <c r="Z2571" t="e">
        <f>IF(#REF!&lt;=80,"Low Calls",
IF(#REF!&lt;=120,"Medium Calls","High Calls"))</f>
        <v>#REF!</v>
      </c>
      <c r="AA2571" t="e">
        <f>IF(#REF!&lt;=15,"Low Charges",
IF(#REF!&lt;=20,"Medium Charges","High Charges"))</f>
        <v>#REF!</v>
      </c>
      <c r="AB2571" t="e">
        <f>IF(AND(#REF!&gt;180, #REF!&gt;200), "Heavy Doemstic User", IF(#REF!&gt;10, "Interntional User", IF(AND(#REF!&lt;180, #REF!&lt;200,#REF!&lt;200), "Light User", "Balanced User")))</f>
        <v>#REF!</v>
      </c>
      <c r="AC2571" t="e">
        <f>IF(#REF! = 0, "No Usage", IF(#REF! &lt;= 20, "Low Usage", IF(#REF! &lt;= 40, "Medium Usgae", "High Usage")))</f>
        <v>#REF!</v>
      </c>
      <c r="AD2571" t="e">
        <f>IF(#REF!&lt;=150,"Low Usage", IF(#REF!&lt;=200,"Medium Usage", IF(#REF!&lt;=250,"High Usage","Very High Usage")))</f>
        <v>#REF!</v>
      </c>
      <c r="AE2571" t="e">
        <f>IF(#REF!&lt;=5,"Low Calls", IF(#REF!&lt;=10, "Medium Calls", "High Calls"))</f>
        <v>#REF!</v>
      </c>
      <c r="AF2571" t="e">
        <f xml:space="preserve">
IF(#REF!&gt;=4,4,0)+
IF(#REF!="yes",3,0)+
IF(#REF!="High Charges",3,0)+
IF(#REF!&gt;250,4,0)+
IF(#REF!="no",1,0)+
IF(#REF!="Heavy Domestic User",2,0)</f>
        <v>#REF!</v>
      </c>
      <c r="AG2571" t="e">
        <f>IF(#REF!&gt;=10,"High Risk", IF(#REF!&gt;=5,"Medium Risk","Low Risk"))</f>
        <v>#REF!</v>
      </c>
      <c r="AH2571" t="e">
        <f>#REF! + #REF! + #REF! + #REF!</f>
        <v>#REF!</v>
      </c>
    </row>
    <row r="2572" spans="1:34" x14ac:dyDescent="0.35">
      <c r="A2572">
        <v>2571</v>
      </c>
      <c r="B2572" t="s">
        <v>63</v>
      </c>
      <c r="C2572">
        <v>70</v>
      </c>
      <c r="D2572" t="s">
        <v>21</v>
      </c>
      <c r="E2572" t="s">
        <v>22</v>
      </c>
      <c r="F2572" t="s">
        <v>22</v>
      </c>
      <c r="G2572">
        <v>0</v>
      </c>
      <c r="H2572">
        <v>152.80000000000001</v>
      </c>
      <c r="I2572">
        <v>145</v>
      </c>
      <c r="J2572">
        <v>25.98</v>
      </c>
      <c r="K2572">
        <v>183.6</v>
      </c>
      <c r="L2572">
        <v>102</v>
      </c>
      <c r="M2572">
        <v>15.61</v>
      </c>
      <c r="N2572">
        <v>151.80000000000001</v>
      </c>
      <c r="O2572">
        <v>75</v>
      </c>
      <c r="P2572">
        <v>6.83</v>
      </c>
      <c r="Q2572">
        <v>10.5</v>
      </c>
      <c r="R2572">
        <v>2</v>
      </c>
      <c r="S2572">
        <v>2.84</v>
      </c>
      <c r="T2572">
        <v>1</v>
      </c>
      <c r="U2572" t="s">
        <v>22</v>
      </c>
      <c r="V2572" t="e">
        <f>IF(#REF! = "yes", 1, 0)</f>
        <v>#REF!</v>
      </c>
      <c r="W2572" t="e">
        <f>IF(#REF! &lt;= 1, "0-1 Calls", IF(#REF! &lt;= 3, "2-3 Calls", IF(#REF! &lt;=5, "4-5 Calls", "6+ Calls")))</f>
        <v>#REF!</v>
      </c>
      <c r="X2572" t="e">
        <f>IF(#REF! &lt;= 50, "0-50", IF(#REF! &lt;=100, "51-100", IF(#REF! &lt;= 150, "101-150", "151+")))</f>
        <v>#REF!</v>
      </c>
      <c r="Y2572" t="e">
        <f>IF(#REF! &lt;= 3, "Low Charges", "High Charges")</f>
        <v>#REF!</v>
      </c>
      <c r="Z2572" t="e">
        <f>IF(#REF!&lt;=80,"Low Calls",
IF(#REF!&lt;=120,"Medium Calls","High Calls"))</f>
        <v>#REF!</v>
      </c>
      <c r="AA2572" t="e">
        <f>IF(#REF!&lt;=15,"Low Charges",
IF(#REF!&lt;=20,"Medium Charges","High Charges"))</f>
        <v>#REF!</v>
      </c>
      <c r="AB2572" t="e">
        <f>IF(AND(#REF!&gt;180, #REF!&gt;200), "Heavy Doemstic User", IF(#REF!&gt;10, "Interntional User", IF(AND(#REF!&lt;180, #REF!&lt;200,#REF!&lt;200), "Light User", "Balanced User")))</f>
        <v>#REF!</v>
      </c>
      <c r="AC2572" t="e">
        <f>IF(#REF! = 0, "No Usage", IF(#REF! &lt;= 20, "Low Usage", IF(#REF! &lt;= 40, "Medium Usgae", "High Usage")))</f>
        <v>#REF!</v>
      </c>
      <c r="AD2572" t="e">
        <f>IF(#REF!&lt;=150,"Low Usage", IF(#REF!&lt;=200,"Medium Usage", IF(#REF!&lt;=250,"High Usage","Very High Usage")))</f>
        <v>#REF!</v>
      </c>
      <c r="AE2572" t="e">
        <f>IF(#REF!&lt;=5,"Low Calls", IF(#REF!&lt;=10, "Medium Calls", "High Calls"))</f>
        <v>#REF!</v>
      </c>
      <c r="AF2572" t="e">
        <f xml:space="preserve">
IF(#REF!&gt;=4,4,0)+
IF(#REF!="yes",3,0)+
IF(#REF!="High Charges",3,0)+
IF(#REF!&gt;250,4,0)+
IF(#REF!="no",1,0)+
IF(#REF!="Heavy Domestic User",2,0)</f>
        <v>#REF!</v>
      </c>
      <c r="AG2572" t="e">
        <f>IF(#REF!&gt;=10,"High Risk", IF(#REF!&gt;=5,"Medium Risk","Low Risk"))</f>
        <v>#REF!</v>
      </c>
      <c r="AH2572" t="e">
        <f>#REF! + #REF! + #REF! + #REF!</f>
        <v>#REF!</v>
      </c>
    </row>
    <row r="2573" spans="1:34" x14ac:dyDescent="0.35">
      <c r="A2573">
        <v>2572</v>
      </c>
      <c r="B2573" t="s">
        <v>49</v>
      </c>
      <c r="C2573">
        <v>90</v>
      </c>
      <c r="D2573" t="s">
        <v>21</v>
      </c>
      <c r="E2573" t="s">
        <v>22</v>
      </c>
      <c r="F2573" t="s">
        <v>22</v>
      </c>
      <c r="G2573">
        <v>0</v>
      </c>
      <c r="H2573">
        <v>145.6</v>
      </c>
      <c r="I2573">
        <v>103</v>
      </c>
      <c r="J2573">
        <v>24.75</v>
      </c>
      <c r="K2573">
        <v>197.1</v>
      </c>
      <c r="L2573">
        <v>137</v>
      </c>
      <c r="M2573">
        <v>16.75</v>
      </c>
      <c r="N2573">
        <v>294.5</v>
      </c>
      <c r="O2573">
        <v>83</v>
      </c>
      <c r="P2573">
        <v>13.25</v>
      </c>
      <c r="Q2573">
        <v>10.5</v>
      </c>
      <c r="R2573">
        <v>4</v>
      </c>
      <c r="S2573">
        <v>2.84</v>
      </c>
      <c r="T2573">
        <v>0</v>
      </c>
      <c r="U2573" t="s">
        <v>22</v>
      </c>
      <c r="V2573" t="e">
        <f>IF(#REF! = "yes", 1, 0)</f>
        <v>#REF!</v>
      </c>
      <c r="W2573" t="e">
        <f>IF(#REF! &lt;= 1, "0-1 Calls", IF(#REF! &lt;= 3, "2-3 Calls", IF(#REF! &lt;=5, "4-5 Calls", "6+ Calls")))</f>
        <v>#REF!</v>
      </c>
      <c r="X2573" t="e">
        <f>IF(#REF! &lt;= 50, "0-50", IF(#REF! &lt;=100, "51-100", IF(#REF! &lt;= 150, "101-150", "151+")))</f>
        <v>#REF!</v>
      </c>
      <c r="Y2573" t="e">
        <f>IF(#REF! &lt;= 3, "Low Charges", "High Charges")</f>
        <v>#REF!</v>
      </c>
      <c r="Z2573" t="e">
        <f>IF(#REF!&lt;=80,"Low Calls",
IF(#REF!&lt;=120,"Medium Calls","High Calls"))</f>
        <v>#REF!</v>
      </c>
      <c r="AA2573" t="e">
        <f>IF(#REF!&lt;=15,"Low Charges",
IF(#REF!&lt;=20,"Medium Charges","High Charges"))</f>
        <v>#REF!</v>
      </c>
      <c r="AB2573" t="e">
        <f>IF(AND(#REF!&gt;180, #REF!&gt;200), "Heavy Doemstic User", IF(#REF!&gt;10, "Interntional User", IF(AND(#REF!&lt;180, #REF!&lt;200,#REF!&lt;200), "Light User", "Balanced User")))</f>
        <v>#REF!</v>
      </c>
      <c r="AC2573" t="e">
        <f>IF(#REF! = 0, "No Usage", IF(#REF! &lt;= 20, "Low Usage", IF(#REF! &lt;= 40, "Medium Usgae", "High Usage")))</f>
        <v>#REF!</v>
      </c>
      <c r="AD2573" t="e">
        <f>IF(#REF!&lt;=150,"Low Usage", IF(#REF!&lt;=200,"Medium Usage", IF(#REF!&lt;=250,"High Usage","Very High Usage")))</f>
        <v>#REF!</v>
      </c>
      <c r="AE2573" t="e">
        <f>IF(#REF!&lt;=5,"Low Calls", IF(#REF!&lt;=10, "Medium Calls", "High Calls"))</f>
        <v>#REF!</v>
      </c>
      <c r="AF2573" t="e">
        <f xml:space="preserve">
IF(#REF!&gt;=4,4,0)+
IF(#REF!="yes",3,0)+
IF(#REF!="High Charges",3,0)+
IF(#REF!&gt;250,4,0)+
IF(#REF!="no",1,0)+
IF(#REF!="Heavy Domestic User",2,0)</f>
        <v>#REF!</v>
      </c>
      <c r="AG2573" t="e">
        <f>IF(#REF!&gt;=10,"High Risk", IF(#REF!&gt;=5,"Medium Risk","Low Risk"))</f>
        <v>#REF!</v>
      </c>
      <c r="AH2573" t="e">
        <f>#REF! + #REF! + #REF! + #REF!</f>
        <v>#REF!</v>
      </c>
    </row>
    <row r="2574" spans="1:34" x14ac:dyDescent="0.35">
      <c r="A2574">
        <v>2573</v>
      </c>
      <c r="B2574" t="s">
        <v>33</v>
      </c>
      <c r="C2574">
        <v>39</v>
      </c>
      <c r="D2574" t="s">
        <v>25</v>
      </c>
      <c r="E2574" t="s">
        <v>22</v>
      </c>
      <c r="F2574" t="s">
        <v>22</v>
      </c>
      <c r="G2574">
        <v>0</v>
      </c>
      <c r="H2574">
        <v>93.3</v>
      </c>
      <c r="I2574">
        <v>83</v>
      </c>
      <c r="J2574">
        <v>15.86</v>
      </c>
      <c r="K2574">
        <v>199.6</v>
      </c>
      <c r="L2574">
        <v>114</v>
      </c>
      <c r="M2574">
        <v>16.97</v>
      </c>
      <c r="N2574">
        <v>206.2</v>
      </c>
      <c r="O2574">
        <v>104</v>
      </c>
      <c r="P2574">
        <v>9.2799999999999994</v>
      </c>
      <c r="Q2574">
        <v>6.5</v>
      </c>
      <c r="R2574">
        <v>4</v>
      </c>
      <c r="S2574">
        <v>1.76</v>
      </c>
      <c r="T2574">
        <v>0</v>
      </c>
      <c r="U2574" t="s">
        <v>22</v>
      </c>
      <c r="V2574" t="e">
        <f>IF(#REF! = "yes", 1, 0)</f>
        <v>#REF!</v>
      </c>
      <c r="W2574" t="e">
        <f>IF(#REF! &lt;= 1, "0-1 Calls", IF(#REF! &lt;= 3, "2-3 Calls", IF(#REF! &lt;=5, "4-5 Calls", "6+ Calls")))</f>
        <v>#REF!</v>
      </c>
      <c r="X2574" t="e">
        <f>IF(#REF! &lt;= 50, "0-50", IF(#REF! &lt;=100, "51-100", IF(#REF! &lt;= 150, "101-150", "151+")))</f>
        <v>#REF!</v>
      </c>
      <c r="Y2574" t="e">
        <f>IF(#REF! &lt;= 3, "Low Charges", "High Charges")</f>
        <v>#REF!</v>
      </c>
      <c r="Z2574" t="e">
        <f>IF(#REF!&lt;=80,"Low Calls",
IF(#REF!&lt;=120,"Medium Calls","High Calls"))</f>
        <v>#REF!</v>
      </c>
      <c r="AA2574" t="e">
        <f>IF(#REF!&lt;=15,"Low Charges",
IF(#REF!&lt;=20,"Medium Charges","High Charges"))</f>
        <v>#REF!</v>
      </c>
      <c r="AB2574" t="e">
        <f>IF(AND(#REF!&gt;180, #REF!&gt;200), "Heavy Doemstic User", IF(#REF!&gt;10, "Interntional User", IF(AND(#REF!&lt;180, #REF!&lt;200,#REF!&lt;200), "Light User", "Balanced User")))</f>
        <v>#REF!</v>
      </c>
      <c r="AC2574" t="e">
        <f>IF(#REF! = 0, "No Usage", IF(#REF! &lt;= 20, "Low Usage", IF(#REF! &lt;= 40, "Medium Usgae", "High Usage")))</f>
        <v>#REF!</v>
      </c>
      <c r="AD2574" t="e">
        <f>IF(#REF!&lt;=150,"Low Usage", IF(#REF!&lt;=200,"Medium Usage", IF(#REF!&lt;=250,"High Usage","Very High Usage")))</f>
        <v>#REF!</v>
      </c>
      <c r="AE2574" t="e">
        <f>IF(#REF!&lt;=5,"Low Calls", IF(#REF!&lt;=10, "Medium Calls", "High Calls"))</f>
        <v>#REF!</v>
      </c>
      <c r="AF2574" t="e">
        <f xml:space="preserve">
IF(#REF!&gt;=4,4,0)+
IF(#REF!="yes",3,0)+
IF(#REF!="High Charges",3,0)+
IF(#REF!&gt;250,4,0)+
IF(#REF!="no",1,0)+
IF(#REF!="Heavy Domestic User",2,0)</f>
        <v>#REF!</v>
      </c>
      <c r="AG2574" t="e">
        <f>IF(#REF!&gt;=10,"High Risk", IF(#REF!&gt;=5,"Medium Risk","Low Risk"))</f>
        <v>#REF!</v>
      </c>
      <c r="AH2574" t="e">
        <f>#REF! + #REF! + #REF! + #REF!</f>
        <v>#REF!</v>
      </c>
    </row>
    <row r="2575" spans="1:34" x14ac:dyDescent="0.35">
      <c r="A2575">
        <v>2574</v>
      </c>
      <c r="B2575" t="s">
        <v>27</v>
      </c>
      <c r="C2575">
        <v>142</v>
      </c>
      <c r="D2575" t="s">
        <v>25</v>
      </c>
      <c r="E2575" t="s">
        <v>22</v>
      </c>
      <c r="F2575" t="s">
        <v>22</v>
      </c>
      <c r="G2575">
        <v>0</v>
      </c>
      <c r="H2575">
        <v>216.8</v>
      </c>
      <c r="I2575">
        <v>134</v>
      </c>
      <c r="J2575">
        <v>36.86</v>
      </c>
      <c r="K2575">
        <v>187.8</v>
      </c>
      <c r="L2575">
        <v>106</v>
      </c>
      <c r="M2575">
        <v>15.96</v>
      </c>
      <c r="N2575">
        <v>138.1</v>
      </c>
      <c r="O2575">
        <v>108</v>
      </c>
      <c r="P2575">
        <v>6.21</v>
      </c>
      <c r="Q2575">
        <v>8.3000000000000007</v>
      </c>
      <c r="R2575">
        <v>2</v>
      </c>
      <c r="S2575">
        <v>2.2400000000000002</v>
      </c>
      <c r="T2575">
        <v>0</v>
      </c>
      <c r="U2575" t="s">
        <v>22</v>
      </c>
      <c r="V2575" t="e">
        <f>IF(#REF! = "yes", 1, 0)</f>
        <v>#REF!</v>
      </c>
      <c r="W2575" t="e">
        <f>IF(#REF! &lt;= 1, "0-1 Calls", IF(#REF! &lt;= 3, "2-3 Calls", IF(#REF! &lt;=5, "4-5 Calls", "6+ Calls")))</f>
        <v>#REF!</v>
      </c>
      <c r="X2575" t="e">
        <f>IF(#REF! &lt;= 50, "0-50", IF(#REF! &lt;=100, "51-100", IF(#REF! &lt;= 150, "101-150", "151+")))</f>
        <v>#REF!</v>
      </c>
      <c r="Y2575" t="e">
        <f>IF(#REF! &lt;= 3, "Low Charges", "High Charges")</f>
        <v>#REF!</v>
      </c>
      <c r="Z2575" t="e">
        <f>IF(#REF!&lt;=80,"Low Calls",
IF(#REF!&lt;=120,"Medium Calls","High Calls"))</f>
        <v>#REF!</v>
      </c>
      <c r="AA2575" t="e">
        <f>IF(#REF!&lt;=15,"Low Charges",
IF(#REF!&lt;=20,"Medium Charges","High Charges"))</f>
        <v>#REF!</v>
      </c>
      <c r="AB2575" t="e">
        <f>IF(AND(#REF!&gt;180, #REF!&gt;200), "Heavy Doemstic User", IF(#REF!&gt;10, "Interntional User", IF(AND(#REF!&lt;180, #REF!&lt;200,#REF!&lt;200), "Light User", "Balanced User")))</f>
        <v>#REF!</v>
      </c>
      <c r="AC2575" t="e">
        <f>IF(#REF! = 0, "No Usage", IF(#REF! &lt;= 20, "Low Usage", IF(#REF! &lt;= 40, "Medium Usgae", "High Usage")))</f>
        <v>#REF!</v>
      </c>
      <c r="AD2575" t="e">
        <f>IF(#REF!&lt;=150,"Low Usage", IF(#REF!&lt;=200,"Medium Usage", IF(#REF!&lt;=250,"High Usage","Very High Usage")))</f>
        <v>#REF!</v>
      </c>
      <c r="AE2575" t="e">
        <f>IF(#REF!&lt;=5,"Low Calls", IF(#REF!&lt;=10, "Medium Calls", "High Calls"))</f>
        <v>#REF!</v>
      </c>
      <c r="AF2575" t="e">
        <f xml:space="preserve">
IF(#REF!&gt;=4,4,0)+
IF(#REF!="yes",3,0)+
IF(#REF!="High Charges",3,0)+
IF(#REF!&gt;250,4,0)+
IF(#REF!="no",1,0)+
IF(#REF!="Heavy Domestic User",2,0)</f>
        <v>#REF!</v>
      </c>
      <c r="AG2575" t="e">
        <f>IF(#REF!&gt;=10,"High Risk", IF(#REF!&gt;=5,"Medium Risk","Low Risk"))</f>
        <v>#REF!</v>
      </c>
      <c r="AH2575" t="e">
        <f>#REF! + #REF! + #REF! + #REF!</f>
        <v>#REF!</v>
      </c>
    </row>
    <row r="2576" spans="1:34" x14ac:dyDescent="0.35">
      <c r="A2576">
        <v>2575</v>
      </c>
      <c r="B2576" t="s">
        <v>49</v>
      </c>
      <c r="C2576">
        <v>176</v>
      </c>
      <c r="D2576" t="s">
        <v>25</v>
      </c>
      <c r="E2576" t="s">
        <v>22</v>
      </c>
      <c r="F2576" t="s">
        <v>22</v>
      </c>
      <c r="G2576">
        <v>0</v>
      </c>
      <c r="H2576">
        <v>201.9</v>
      </c>
      <c r="I2576">
        <v>101</v>
      </c>
      <c r="J2576">
        <v>34.32</v>
      </c>
      <c r="K2576">
        <v>154.69999999999999</v>
      </c>
      <c r="L2576">
        <v>78</v>
      </c>
      <c r="M2576">
        <v>13.15</v>
      </c>
      <c r="N2576">
        <v>164.4</v>
      </c>
      <c r="O2576">
        <v>79</v>
      </c>
      <c r="P2576">
        <v>7.4</v>
      </c>
      <c r="Q2576">
        <v>9</v>
      </c>
      <c r="R2576">
        <v>2</v>
      </c>
      <c r="S2576">
        <v>2.4300000000000002</v>
      </c>
      <c r="T2576">
        <v>1</v>
      </c>
      <c r="U2576" t="s">
        <v>22</v>
      </c>
      <c r="V2576" t="e">
        <f>IF(#REF! = "yes", 1, 0)</f>
        <v>#REF!</v>
      </c>
      <c r="W2576" t="e">
        <f>IF(#REF! &lt;= 1, "0-1 Calls", IF(#REF! &lt;= 3, "2-3 Calls", IF(#REF! &lt;=5, "4-5 Calls", "6+ Calls")))</f>
        <v>#REF!</v>
      </c>
      <c r="X2576" t="e">
        <f>IF(#REF! &lt;= 50, "0-50", IF(#REF! &lt;=100, "51-100", IF(#REF! &lt;= 150, "101-150", "151+")))</f>
        <v>#REF!</v>
      </c>
      <c r="Y2576" t="e">
        <f>IF(#REF! &lt;= 3, "Low Charges", "High Charges")</f>
        <v>#REF!</v>
      </c>
      <c r="Z2576" t="e">
        <f>IF(#REF!&lt;=80,"Low Calls",
IF(#REF!&lt;=120,"Medium Calls","High Calls"))</f>
        <v>#REF!</v>
      </c>
      <c r="AA2576" t="e">
        <f>IF(#REF!&lt;=15,"Low Charges",
IF(#REF!&lt;=20,"Medium Charges","High Charges"))</f>
        <v>#REF!</v>
      </c>
      <c r="AB2576" t="e">
        <f>IF(AND(#REF!&gt;180, #REF!&gt;200), "Heavy Doemstic User", IF(#REF!&gt;10, "Interntional User", IF(AND(#REF!&lt;180, #REF!&lt;200,#REF!&lt;200), "Light User", "Balanced User")))</f>
        <v>#REF!</v>
      </c>
      <c r="AC2576" t="e">
        <f>IF(#REF! = 0, "No Usage", IF(#REF! &lt;= 20, "Low Usage", IF(#REF! &lt;= 40, "Medium Usgae", "High Usage")))</f>
        <v>#REF!</v>
      </c>
      <c r="AD2576" t="e">
        <f>IF(#REF!&lt;=150,"Low Usage", IF(#REF!&lt;=200,"Medium Usage", IF(#REF!&lt;=250,"High Usage","Very High Usage")))</f>
        <v>#REF!</v>
      </c>
      <c r="AE2576" t="e">
        <f>IF(#REF!&lt;=5,"Low Calls", IF(#REF!&lt;=10, "Medium Calls", "High Calls"))</f>
        <v>#REF!</v>
      </c>
      <c r="AF2576" t="e">
        <f xml:space="preserve">
IF(#REF!&gt;=4,4,0)+
IF(#REF!="yes",3,0)+
IF(#REF!="High Charges",3,0)+
IF(#REF!&gt;250,4,0)+
IF(#REF!="no",1,0)+
IF(#REF!="Heavy Domestic User",2,0)</f>
        <v>#REF!</v>
      </c>
      <c r="AG2576" t="e">
        <f>IF(#REF!&gt;=10,"High Risk", IF(#REF!&gt;=5,"Medium Risk","Low Risk"))</f>
        <v>#REF!</v>
      </c>
      <c r="AH2576" t="e">
        <f>#REF! + #REF! + #REF! + #REF!</f>
        <v>#REF!</v>
      </c>
    </row>
    <row r="2577" spans="1:34" x14ac:dyDescent="0.35">
      <c r="A2577">
        <v>2576</v>
      </c>
      <c r="B2577" t="s">
        <v>61</v>
      </c>
      <c r="C2577">
        <v>105</v>
      </c>
      <c r="D2577" t="s">
        <v>25</v>
      </c>
      <c r="E2577" t="s">
        <v>22</v>
      </c>
      <c r="F2577" t="s">
        <v>22</v>
      </c>
      <c r="G2577">
        <v>0</v>
      </c>
      <c r="H2577">
        <v>146.4</v>
      </c>
      <c r="I2577">
        <v>81</v>
      </c>
      <c r="J2577">
        <v>24.89</v>
      </c>
      <c r="K2577">
        <v>225.1</v>
      </c>
      <c r="L2577">
        <v>80</v>
      </c>
      <c r="M2577">
        <v>19.13</v>
      </c>
      <c r="N2577">
        <v>230.1</v>
      </c>
      <c r="O2577">
        <v>117</v>
      </c>
      <c r="P2577">
        <v>10.35</v>
      </c>
      <c r="Q2577">
        <v>8.5</v>
      </c>
      <c r="R2577">
        <v>2</v>
      </c>
      <c r="S2577">
        <v>2.2999999999999998</v>
      </c>
      <c r="T2577">
        <v>1</v>
      </c>
      <c r="U2577" t="s">
        <v>22</v>
      </c>
      <c r="V2577" t="e">
        <f>IF(#REF! = "yes", 1, 0)</f>
        <v>#REF!</v>
      </c>
      <c r="W2577" t="e">
        <f>IF(#REF! &lt;= 1, "0-1 Calls", IF(#REF! &lt;= 3, "2-3 Calls", IF(#REF! &lt;=5, "4-5 Calls", "6+ Calls")))</f>
        <v>#REF!</v>
      </c>
      <c r="X2577" t="e">
        <f>IF(#REF! &lt;= 50, "0-50", IF(#REF! &lt;=100, "51-100", IF(#REF! &lt;= 150, "101-150", "151+")))</f>
        <v>#REF!</v>
      </c>
      <c r="Y2577" t="e">
        <f>IF(#REF! &lt;= 3, "Low Charges", "High Charges")</f>
        <v>#REF!</v>
      </c>
      <c r="Z2577" t="e">
        <f>IF(#REF!&lt;=80,"Low Calls",
IF(#REF!&lt;=120,"Medium Calls","High Calls"))</f>
        <v>#REF!</v>
      </c>
      <c r="AA2577" t="e">
        <f>IF(#REF!&lt;=15,"Low Charges",
IF(#REF!&lt;=20,"Medium Charges","High Charges"))</f>
        <v>#REF!</v>
      </c>
      <c r="AB2577" t="e">
        <f>IF(AND(#REF!&gt;180, #REF!&gt;200), "Heavy Doemstic User", IF(#REF!&gt;10, "Interntional User", IF(AND(#REF!&lt;180, #REF!&lt;200,#REF!&lt;200), "Light User", "Balanced User")))</f>
        <v>#REF!</v>
      </c>
      <c r="AC2577" t="e">
        <f>IF(#REF! = 0, "No Usage", IF(#REF! &lt;= 20, "Low Usage", IF(#REF! &lt;= 40, "Medium Usgae", "High Usage")))</f>
        <v>#REF!</v>
      </c>
      <c r="AD2577" t="e">
        <f>IF(#REF!&lt;=150,"Low Usage", IF(#REF!&lt;=200,"Medium Usage", IF(#REF!&lt;=250,"High Usage","Very High Usage")))</f>
        <v>#REF!</v>
      </c>
      <c r="AE2577" t="e">
        <f>IF(#REF!&lt;=5,"Low Calls", IF(#REF!&lt;=10, "Medium Calls", "High Calls"))</f>
        <v>#REF!</v>
      </c>
      <c r="AF2577" t="e">
        <f xml:space="preserve">
IF(#REF!&gt;=4,4,0)+
IF(#REF!="yes",3,0)+
IF(#REF!="High Charges",3,0)+
IF(#REF!&gt;250,4,0)+
IF(#REF!="no",1,0)+
IF(#REF!="Heavy Domestic User",2,0)</f>
        <v>#REF!</v>
      </c>
      <c r="AG2577" t="e">
        <f>IF(#REF!&gt;=10,"High Risk", IF(#REF!&gt;=5,"Medium Risk","Low Risk"))</f>
        <v>#REF!</v>
      </c>
      <c r="AH2577" t="e">
        <f>#REF! + #REF! + #REF! + #REF!</f>
        <v>#REF!</v>
      </c>
    </row>
    <row r="2578" spans="1:34" x14ac:dyDescent="0.35">
      <c r="A2578">
        <v>2577</v>
      </c>
      <c r="B2578" t="s">
        <v>60</v>
      </c>
      <c r="C2578">
        <v>57</v>
      </c>
      <c r="D2578" t="s">
        <v>21</v>
      </c>
      <c r="E2578" t="s">
        <v>22</v>
      </c>
      <c r="F2578" t="s">
        <v>22</v>
      </c>
      <c r="G2578">
        <v>0</v>
      </c>
      <c r="H2578">
        <v>272.7</v>
      </c>
      <c r="I2578">
        <v>74</v>
      </c>
      <c r="J2578">
        <v>46.36</v>
      </c>
      <c r="K2578">
        <v>224.9</v>
      </c>
      <c r="L2578">
        <v>85</v>
      </c>
      <c r="M2578">
        <v>19.12</v>
      </c>
      <c r="N2578">
        <v>178.2</v>
      </c>
      <c r="O2578">
        <v>104</v>
      </c>
      <c r="P2578">
        <v>8.02</v>
      </c>
      <c r="Q2578">
        <v>10.5</v>
      </c>
      <c r="R2578">
        <v>3</v>
      </c>
      <c r="S2578">
        <v>2.84</v>
      </c>
      <c r="T2578">
        <v>2</v>
      </c>
      <c r="U2578" t="s">
        <v>23</v>
      </c>
      <c r="V2578" t="e">
        <f>IF(#REF! = "yes", 1, 0)</f>
        <v>#REF!</v>
      </c>
      <c r="W2578" t="e">
        <f>IF(#REF! &lt;= 1, "0-1 Calls", IF(#REF! &lt;= 3, "2-3 Calls", IF(#REF! &lt;=5, "4-5 Calls", "6+ Calls")))</f>
        <v>#REF!</v>
      </c>
      <c r="X2578" t="e">
        <f>IF(#REF! &lt;= 50, "0-50", IF(#REF! &lt;=100, "51-100", IF(#REF! &lt;= 150, "101-150", "151+")))</f>
        <v>#REF!</v>
      </c>
      <c r="Y2578" t="e">
        <f>IF(#REF! &lt;= 3, "Low Charges", "High Charges")</f>
        <v>#REF!</v>
      </c>
      <c r="Z2578" t="e">
        <f>IF(#REF!&lt;=80,"Low Calls",
IF(#REF!&lt;=120,"Medium Calls","High Calls"))</f>
        <v>#REF!</v>
      </c>
      <c r="AA2578" t="e">
        <f>IF(#REF!&lt;=15,"Low Charges",
IF(#REF!&lt;=20,"Medium Charges","High Charges"))</f>
        <v>#REF!</v>
      </c>
      <c r="AB2578" t="e">
        <f>IF(AND(#REF!&gt;180, #REF!&gt;200), "Heavy Doemstic User", IF(#REF!&gt;10, "Interntional User", IF(AND(#REF!&lt;180, #REF!&lt;200,#REF!&lt;200), "Light User", "Balanced User")))</f>
        <v>#REF!</v>
      </c>
      <c r="AC2578" t="e">
        <f>IF(#REF! = 0, "No Usage", IF(#REF! &lt;= 20, "Low Usage", IF(#REF! &lt;= 40, "Medium Usgae", "High Usage")))</f>
        <v>#REF!</v>
      </c>
      <c r="AD2578" t="e">
        <f>IF(#REF!&lt;=150,"Low Usage", IF(#REF!&lt;=200,"Medium Usage", IF(#REF!&lt;=250,"High Usage","Very High Usage")))</f>
        <v>#REF!</v>
      </c>
      <c r="AE2578" t="e">
        <f>IF(#REF!&lt;=5,"Low Calls", IF(#REF!&lt;=10, "Medium Calls", "High Calls"))</f>
        <v>#REF!</v>
      </c>
      <c r="AF2578" t="e">
        <f xml:space="preserve">
IF(#REF!&gt;=4,4,0)+
IF(#REF!="yes",3,0)+
IF(#REF!="High Charges",3,0)+
IF(#REF!&gt;250,4,0)+
IF(#REF!="no",1,0)+
IF(#REF!="Heavy Domestic User",2,0)</f>
        <v>#REF!</v>
      </c>
      <c r="AG2578" t="e">
        <f>IF(#REF!&gt;=10,"High Risk", IF(#REF!&gt;=5,"Medium Risk","Low Risk"))</f>
        <v>#REF!</v>
      </c>
      <c r="AH2578" t="e">
        <f>#REF! + #REF! + #REF! + #REF!</f>
        <v>#REF!</v>
      </c>
    </row>
    <row r="2579" spans="1:34" x14ac:dyDescent="0.35">
      <c r="A2579">
        <v>2578</v>
      </c>
      <c r="B2579" t="s">
        <v>42</v>
      </c>
      <c r="C2579">
        <v>88</v>
      </c>
      <c r="D2579" t="s">
        <v>21</v>
      </c>
      <c r="E2579" t="s">
        <v>22</v>
      </c>
      <c r="F2579" t="s">
        <v>22</v>
      </c>
      <c r="G2579">
        <v>0</v>
      </c>
      <c r="H2579">
        <v>172.8</v>
      </c>
      <c r="I2579">
        <v>81</v>
      </c>
      <c r="J2579">
        <v>29.38</v>
      </c>
      <c r="K2579">
        <v>193.4</v>
      </c>
      <c r="L2579">
        <v>90</v>
      </c>
      <c r="M2579">
        <v>16.440000000000001</v>
      </c>
      <c r="N2579">
        <v>89.6</v>
      </c>
      <c r="O2579">
        <v>107</v>
      </c>
      <c r="P2579">
        <v>4.03</v>
      </c>
      <c r="Q2579">
        <v>12.8</v>
      </c>
      <c r="R2579">
        <v>5</v>
      </c>
      <c r="S2579">
        <v>3.46</v>
      </c>
      <c r="T2579">
        <v>2</v>
      </c>
      <c r="U2579" t="s">
        <v>22</v>
      </c>
      <c r="V2579" t="e">
        <f>IF(#REF! = "yes", 1, 0)</f>
        <v>#REF!</v>
      </c>
      <c r="W2579" t="e">
        <f>IF(#REF! &lt;= 1, "0-1 Calls", IF(#REF! &lt;= 3, "2-3 Calls", IF(#REF! &lt;=5, "4-5 Calls", "6+ Calls")))</f>
        <v>#REF!</v>
      </c>
      <c r="X2579" t="e">
        <f>IF(#REF! &lt;= 50, "0-50", IF(#REF! &lt;=100, "51-100", IF(#REF! &lt;= 150, "101-150", "151+")))</f>
        <v>#REF!</v>
      </c>
      <c r="Y2579" t="e">
        <f>IF(#REF! &lt;= 3, "Low Charges", "High Charges")</f>
        <v>#REF!</v>
      </c>
      <c r="Z2579" t="e">
        <f>IF(#REF!&lt;=80,"Low Calls",
IF(#REF!&lt;=120,"Medium Calls","High Calls"))</f>
        <v>#REF!</v>
      </c>
      <c r="AA2579" t="e">
        <f>IF(#REF!&lt;=15,"Low Charges",
IF(#REF!&lt;=20,"Medium Charges","High Charges"))</f>
        <v>#REF!</v>
      </c>
      <c r="AB2579" t="e">
        <f>IF(AND(#REF!&gt;180, #REF!&gt;200), "Heavy Doemstic User", IF(#REF!&gt;10, "Interntional User", IF(AND(#REF!&lt;180, #REF!&lt;200,#REF!&lt;200), "Light User", "Balanced User")))</f>
        <v>#REF!</v>
      </c>
      <c r="AC2579" t="e">
        <f>IF(#REF! = 0, "No Usage", IF(#REF! &lt;= 20, "Low Usage", IF(#REF! &lt;= 40, "Medium Usgae", "High Usage")))</f>
        <v>#REF!</v>
      </c>
      <c r="AD2579" t="e">
        <f>IF(#REF!&lt;=150,"Low Usage", IF(#REF!&lt;=200,"Medium Usage", IF(#REF!&lt;=250,"High Usage","Very High Usage")))</f>
        <v>#REF!</v>
      </c>
      <c r="AE2579" t="e">
        <f>IF(#REF!&lt;=5,"Low Calls", IF(#REF!&lt;=10, "Medium Calls", "High Calls"))</f>
        <v>#REF!</v>
      </c>
      <c r="AF2579" t="e">
        <f xml:space="preserve">
IF(#REF!&gt;=4,4,0)+
IF(#REF!="yes",3,0)+
IF(#REF!="High Charges",3,0)+
IF(#REF!&gt;250,4,0)+
IF(#REF!="no",1,0)+
IF(#REF!="Heavy Domestic User",2,0)</f>
        <v>#REF!</v>
      </c>
      <c r="AG2579" t="e">
        <f>IF(#REF!&gt;=10,"High Risk", IF(#REF!&gt;=5,"Medium Risk","Low Risk"))</f>
        <v>#REF!</v>
      </c>
      <c r="AH2579" t="e">
        <f>#REF! + #REF! + #REF! + #REF!</f>
        <v>#REF!</v>
      </c>
    </row>
    <row r="2580" spans="1:34" x14ac:dyDescent="0.35">
      <c r="A2580">
        <v>2579</v>
      </c>
      <c r="B2580" t="s">
        <v>68</v>
      </c>
      <c r="C2580">
        <v>95</v>
      </c>
      <c r="D2580" t="s">
        <v>25</v>
      </c>
      <c r="E2580" t="s">
        <v>22</v>
      </c>
      <c r="F2580" t="s">
        <v>22</v>
      </c>
      <c r="G2580">
        <v>0</v>
      </c>
      <c r="H2580">
        <v>190.2</v>
      </c>
      <c r="I2580">
        <v>119</v>
      </c>
      <c r="J2580">
        <v>32.33</v>
      </c>
      <c r="K2580">
        <v>157.1</v>
      </c>
      <c r="L2580">
        <v>70</v>
      </c>
      <c r="M2580">
        <v>13.35</v>
      </c>
      <c r="N2580">
        <v>181.5</v>
      </c>
      <c r="O2580">
        <v>120</v>
      </c>
      <c r="P2580">
        <v>8.17</v>
      </c>
      <c r="Q2580">
        <v>14</v>
      </c>
      <c r="R2580">
        <v>6</v>
      </c>
      <c r="S2580">
        <v>3.78</v>
      </c>
      <c r="T2580">
        <v>0</v>
      </c>
      <c r="U2580" t="s">
        <v>22</v>
      </c>
      <c r="V2580" t="e">
        <f>IF(#REF! = "yes", 1, 0)</f>
        <v>#REF!</v>
      </c>
      <c r="W2580" t="e">
        <f>IF(#REF! &lt;= 1, "0-1 Calls", IF(#REF! &lt;= 3, "2-3 Calls", IF(#REF! &lt;=5, "4-5 Calls", "6+ Calls")))</f>
        <v>#REF!</v>
      </c>
      <c r="X2580" t="e">
        <f>IF(#REF! &lt;= 50, "0-50", IF(#REF! &lt;=100, "51-100", IF(#REF! &lt;= 150, "101-150", "151+")))</f>
        <v>#REF!</v>
      </c>
      <c r="Y2580" t="e">
        <f>IF(#REF! &lt;= 3, "Low Charges", "High Charges")</f>
        <v>#REF!</v>
      </c>
      <c r="Z2580" t="e">
        <f>IF(#REF!&lt;=80,"Low Calls",
IF(#REF!&lt;=120,"Medium Calls","High Calls"))</f>
        <v>#REF!</v>
      </c>
      <c r="AA2580" t="e">
        <f>IF(#REF!&lt;=15,"Low Charges",
IF(#REF!&lt;=20,"Medium Charges","High Charges"))</f>
        <v>#REF!</v>
      </c>
      <c r="AB2580" t="e">
        <f>IF(AND(#REF!&gt;180, #REF!&gt;200), "Heavy Doemstic User", IF(#REF!&gt;10, "Interntional User", IF(AND(#REF!&lt;180, #REF!&lt;200,#REF!&lt;200), "Light User", "Balanced User")))</f>
        <v>#REF!</v>
      </c>
      <c r="AC2580" t="e">
        <f>IF(#REF! = 0, "No Usage", IF(#REF! &lt;= 20, "Low Usage", IF(#REF! &lt;= 40, "Medium Usgae", "High Usage")))</f>
        <v>#REF!</v>
      </c>
      <c r="AD2580" t="e">
        <f>IF(#REF!&lt;=150,"Low Usage", IF(#REF!&lt;=200,"Medium Usage", IF(#REF!&lt;=250,"High Usage","Very High Usage")))</f>
        <v>#REF!</v>
      </c>
      <c r="AE2580" t="e">
        <f>IF(#REF!&lt;=5,"Low Calls", IF(#REF!&lt;=10, "Medium Calls", "High Calls"))</f>
        <v>#REF!</v>
      </c>
      <c r="AF2580" t="e">
        <f xml:space="preserve">
IF(#REF!&gt;=4,4,0)+
IF(#REF!="yes",3,0)+
IF(#REF!="High Charges",3,0)+
IF(#REF!&gt;250,4,0)+
IF(#REF!="no",1,0)+
IF(#REF!="Heavy Domestic User",2,0)</f>
        <v>#REF!</v>
      </c>
      <c r="AG2580" t="e">
        <f>IF(#REF!&gt;=10,"High Risk", IF(#REF!&gt;=5,"Medium Risk","Low Risk"))</f>
        <v>#REF!</v>
      </c>
      <c r="AH2580" t="e">
        <f>#REF! + #REF! + #REF! + #REF!</f>
        <v>#REF!</v>
      </c>
    </row>
    <row r="2581" spans="1:34" x14ac:dyDescent="0.35">
      <c r="A2581">
        <v>2580</v>
      </c>
      <c r="B2581" t="s">
        <v>53</v>
      </c>
      <c r="C2581">
        <v>147</v>
      </c>
      <c r="D2581" t="s">
        <v>21</v>
      </c>
      <c r="E2581" t="s">
        <v>22</v>
      </c>
      <c r="F2581" t="s">
        <v>22</v>
      </c>
      <c r="G2581">
        <v>0</v>
      </c>
      <c r="H2581">
        <v>130.6</v>
      </c>
      <c r="I2581">
        <v>83</v>
      </c>
      <c r="J2581">
        <v>22.2</v>
      </c>
      <c r="K2581">
        <v>208.1</v>
      </c>
      <c r="L2581">
        <v>144</v>
      </c>
      <c r="M2581">
        <v>17.690000000000001</v>
      </c>
      <c r="N2581">
        <v>204.6</v>
      </c>
      <c r="O2581">
        <v>72</v>
      </c>
      <c r="P2581">
        <v>9.2100000000000009</v>
      </c>
      <c r="Q2581">
        <v>15.6</v>
      </c>
      <c r="R2581">
        <v>3</v>
      </c>
      <c r="S2581">
        <v>4.21</v>
      </c>
      <c r="T2581">
        <v>3</v>
      </c>
      <c r="U2581" t="s">
        <v>22</v>
      </c>
      <c r="V2581" t="e">
        <f>IF(#REF! = "yes", 1, 0)</f>
        <v>#REF!</v>
      </c>
      <c r="W2581" t="e">
        <f>IF(#REF! &lt;= 1, "0-1 Calls", IF(#REF! &lt;= 3, "2-3 Calls", IF(#REF! &lt;=5, "4-5 Calls", "6+ Calls")))</f>
        <v>#REF!</v>
      </c>
      <c r="X2581" t="e">
        <f>IF(#REF! &lt;= 50, "0-50", IF(#REF! &lt;=100, "51-100", IF(#REF! &lt;= 150, "101-150", "151+")))</f>
        <v>#REF!</v>
      </c>
      <c r="Y2581" t="e">
        <f>IF(#REF! &lt;= 3, "Low Charges", "High Charges")</f>
        <v>#REF!</v>
      </c>
      <c r="Z2581" t="e">
        <f>IF(#REF!&lt;=80,"Low Calls",
IF(#REF!&lt;=120,"Medium Calls","High Calls"))</f>
        <v>#REF!</v>
      </c>
      <c r="AA2581" t="e">
        <f>IF(#REF!&lt;=15,"Low Charges",
IF(#REF!&lt;=20,"Medium Charges","High Charges"))</f>
        <v>#REF!</v>
      </c>
      <c r="AB2581" t="e">
        <f>IF(AND(#REF!&gt;180, #REF!&gt;200), "Heavy Doemstic User", IF(#REF!&gt;10, "Interntional User", IF(AND(#REF!&lt;180, #REF!&lt;200,#REF!&lt;200), "Light User", "Balanced User")))</f>
        <v>#REF!</v>
      </c>
      <c r="AC2581" t="e">
        <f>IF(#REF! = 0, "No Usage", IF(#REF! &lt;= 20, "Low Usage", IF(#REF! &lt;= 40, "Medium Usgae", "High Usage")))</f>
        <v>#REF!</v>
      </c>
      <c r="AD2581" t="e">
        <f>IF(#REF!&lt;=150,"Low Usage", IF(#REF!&lt;=200,"Medium Usage", IF(#REF!&lt;=250,"High Usage","Very High Usage")))</f>
        <v>#REF!</v>
      </c>
      <c r="AE2581" t="e">
        <f>IF(#REF!&lt;=5,"Low Calls", IF(#REF!&lt;=10, "Medium Calls", "High Calls"))</f>
        <v>#REF!</v>
      </c>
      <c r="AF2581" t="e">
        <f xml:space="preserve">
IF(#REF!&gt;=4,4,0)+
IF(#REF!="yes",3,0)+
IF(#REF!="High Charges",3,0)+
IF(#REF!&gt;250,4,0)+
IF(#REF!="no",1,0)+
IF(#REF!="Heavy Domestic User",2,0)</f>
        <v>#REF!</v>
      </c>
      <c r="AG2581" t="e">
        <f>IF(#REF!&gt;=10,"High Risk", IF(#REF!&gt;=5,"Medium Risk","Low Risk"))</f>
        <v>#REF!</v>
      </c>
      <c r="AH2581" t="e">
        <f>#REF! + #REF! + #REF! + #REF!</f>
        <v>#REF!</v>
      </c>
    </row>
    <row r="2582" spans="1:34" x14ac:dyDescent="0.35">
      <c r="A2582">
        <v>2581</v>
      </c>
      <c r="B2582" t="s">
        <v>43</v>
      </c>
      <c r="C2582">
        <v>101</v>
      </c>
      <c r="D2582" t="s">
        <v>21</v>
      </c>
      <c r="E2582" t="s">
        <v>22</v>
      </c>
      <c r="F2582" t="s">
        <v>22</v>
      </c>
      <c r="G2582">
        <v>0</v>
      </c>
      <c r="H2582">
        <v>158.4</v>
      </c>
      <c r="I2582">
        <v>92</v>
      </c>
      <c r="J2582">
        <v>26.93</v>
      </c>
      <c r="K2582">
        <v>188</v>
      </c>
      <c r="L2582">
        <v>117</v>
      </c>
      <c r="M2582">
        <v>15.98</v>
      </c>
      <c r="N2582">
        <v>219.7</v>
      </c>
      <c r="O2582">
        <v>125</v>
      </c>
      <c r="P2582">
        <v>9.89</v>
      </c>
      <c r="Q2582">
        <v>13.5</v>
      </c>
      <c r="R2582">
        <v>4</v>
      </c>
      <c r="S2582">
        <v>3.65</v>
      </c>
      <c r="T2582">
        <v>4</v>
      </c>
      <c r="U2582" t="s">
        <v>23</v>
      </c>
      <c r="V2582" t="e">
        <f>IF(#REF! = "yes", 1, 0)</f>
        <v>#REF!</v>
      </c>
      <c r="W2582" t="e">
        <f>IF(#REF! &lt;= 1, "0-1 Calls", IF(#REF! &lt;= 3, "2-3 Calls", IF(#REF! &lt;=5, "4-5 Calls", "6+ Calls")))</f>
        <v>#REF!</v>
      </c>
      <c r="X2582" t="e">
        <f>IF(#REF! &lt;= 50, "0-50", IF(#REF! &lt;=100, "51-100", IF(#REF! &lt;= 150, "101-150", "151+")))</f>
        <v>#REF!</v>
      </c>
      <c r="Y2582" t="e">
        <f>IF(#REF! &lt;= 3, "Low Charges", "High Charges")</f>
        <v>#REF!</v>
      </c>
      <c r="Z2582" t="e">
        <f>IF(#REF!&lt;=80,"Low Calls",
IF(#REF!&lt;=120,"Medium Calls","High Calls"))</f>
        <v>#REF!</v>
      </c>
      <c r="AA2582" t="e">
        <f>IF(#REF!&lt;=15,"Low Charges",
IF(#REF!&lt;=20,"Medium Charges","High Charges"))</f>
        <v>#REF!</v>
      </c>
      <c r="AB2582" t="e">
        <f>IF(AND(#REF!&gt;180, #REF!&gt;200), "Heavy Doemstic User", IF(#REF!&gt;10, "Interntional User", IF(AND(#REF!&lt;180, #REF!&lt;200,#REF!&lt;200), "Light User", "Balanced User")))</f>
        <v>#REF!</v>
      </c>
      <c r="AC2582" t="e">
        <f>IF(#REF! = 0, "No Usage", IF(#REF! &lt;= 20, "Low Usage", IF(#REF! &lt;= 40, "Medium Usgae", "High Usage")))</f>
        <v>#REF!</v>
      </c>
      <c r="AD2582" t="e">
        <f>IF(#REF!&lt;=150,"Low Usage", IF(#REF!&lt;=200,"Medium Usage", IF(#REF!&lt;=250,"High Usage","Very High Usage")))</f>
        <v>#REF!</v>
      </c>
      <c r="AE2582" t="e">
        <f>IF(#REF!&lt;=5,"Low Calls", IF(#REF!&lt;=10, "Medium Calls", "High Calls"))</f>
        <v>#REF!</v>
      </c>
      <c r="AF2582" t="e">
        <f xml:space="preserve">
IF(#REF!&gt;=4,4,0)+
IF(#REF!="yes",3,0)+
IF(#REF!="High Charges",3,0)+
IF(#REF!&gt;250,4,0)+
IF(#REF!="no",1,0)+
IF(#REF!="Heavy Domestic User",2,0)</f>
        <v>#REF!</v>
      </c>
      <c r="AG2582" t="e">
        <f>IF(#REF!&gt;=10,"High Risk", IF(#REF!&gt;=5,"Medium Risk","Low Risk"))</f>
        <v>#REF!</v>
      </c>
      <c r="AH2582" t="e">
        <f>#REF! + #REF! + #REF! + #REF!</f>
        <v>#REF!</v>
      </c>
    </row>
    <row r="2583" spans="1:34" x14ac:dyDescent="0.35">
      <c r="A2583">
        <v>2582</v>
      </c>
      <c r="B2583" t="s">
        <v>67</v>
      </c>
      <c r="C2583">
        <v>115</v>
      </c>
      <c r="D2583" t="s">
        <v>21</v>
      </c>
      <c r="E2583" t="s">
        <v>22</v>
      </c>
      <c r="F2583" t="s">
        <v>22</v>
      </c>
      <c r="G2583">
        <v>0</v>
      </c>
      <c r="H2583">
        <v>166.5</v>
      </c>
      <c r="I2583">
        <v>111</v>
      </c>
      <c r="J2583">
        <v>28.31</v>
      </c>
      <c r="K2583">
        <v>236.2</v>
      </c>
      <c r="L2583">
        <v>98</v>
      </c>
      <c r="M2583">
        <v>20.079999999999998</v>
      </c>
      <c r="N2583">
        <v>205.6</v>
      </c>
      <c r="O2583">
        <v>92</v>
      </c>
      <c r="P2583">
        <v>9.25</v>
      </c>
      <c r="Q2583">
        <v>15.6</v>
      </c>
      <c r="R2583">
        <v>2</v>
      </c>
      <c r="S2583">
        <v>4.21</v>
      </c>
      <c r="T2583">
        <v>1</v>
      </c>
      <c r="U2583" t="s">
        <v>22</v>
      </c>
      <c r="V2583" t="e">
        <f>IF(#REF! = "yes", 1, 0)</f>
        <v>#REF!</v>
      </c>
      <c r="W2583" t="e">
        <f>IF(#REF! &lt;= 1, "0-1 Calls", IF(#REF! &lt;= 3, "2-3 Calls", IF(#REF! &lt;=5, "4-5 Calls", "6+ Calls")))</f>
        <v>#REF!</v>
      </c>
      <c r="X2583" t="e">
        <f>IF(#REF! &lt;= 50, "0-50", IF(#REF! &lt;=100, "51-100", IF(#REF! &lt;= 150, "101-150", "151+")))</f>
        <v>#REF!</v>
      </c>
      <c r="Y2583" t="e">
        <f>IF(#REF! &lt;= 3, "Low Charges", "High Charges")</f>
        <v>#REF!</v>
      </c>
      <c r="Z2583" t="e">
        <f>IF(#REF!&lt;=80,"Low Calls",
IF(#REF!&lt;=120,"Medium Calls","High Calls"))</f>
        <v>#REF!</v>
      </c>
      <c r="AA2583" t="e">
        <f>IF(#REF!&lt;=15,"Low Charges",
IF(#REF!&lt;=20,"Medium Charges","High Charges"))</f>
        <v>#REF!</v>
      </c>
      <c r="AB2583" t="e">
        <f>IF(AND(#REF!&gt;180, #REF!&gt;200), "Heavy Doemstic User", IF(#REF!&gt;10, "Interntional User", IF(AND(#REF!&lt;180, #REF!&lt;200,#REF!&lt;200), "Light User", "Balanced User")))</f>
        <v>#REF!</v>
      </c>
      <c r="AC2583" t="e">
        <f>IF(#REF! = 0, "No Usage", IF(#REF! &lt;= 20, "Low Usage", IF(#REF! &lt;= 40, "Medium Usgae", "High Usage")))</f>
        <v>#REF!</v>
      </c>
      <c r="AD2583" t="e">
        <f>IF(#REF!&lt;=150,"Low Usage", IF(#REF!&lt;=200,"Medium Usage", IF(#REF!&lt;=250,"High Usage","Very High Usage")))</f>
        <v>#REF!</v>
      </c>
      <c r="AE2583" t="e">
        <f>IF(#REF!&lt;=5,"Low Calls", IF(#REF!&lt;=10, "Medium Calls", "High Calls"))</f>
        <v>#REF!</v>
      </c>
      <c r="AF2583" t="e">
        <f xml:space="preserve">
IF(#REF!&gt;=4,4,0)+
IF(#REF!="yes",3,0)+
IF(#REF!="High Charges",3,0)+
IF(#REF!&gt;250,4,0)+
IF(#REF!="no",1,0)+
IF(#REF!="Heavy Domestic User",2,0)</f>
        <v>#REF!</v>
      </c>
      <c r="AG2583" t="e">
        <f>IF(#REF!&gt;=10,"High Risk", IF(#REF!&gt;=5,"Medium Risk","Low Risk"))</f>
        <v>#REF!</v>
      </c>
      <c r="AH2583" t="e">
        <f>#REF! + #REF! + #REF! + #REF!</f>
        <v>#REF!</v>
      </c>
    </row>
    <row r="2584" spans="1:34" x14ac:dyDescent="0.35">
      <c r="A2584">
        <v>2583</v>
      </c>
      <c r="B2584" t="s">
        <v>67</v>
      </c>
      <c r="C2584">
        <v>103</v>
      </c>
      <c r="D2584" t="s">
        <v>21</v>
      </c>
      <c r="E2584" t="s">
        <v>22</v>
      </c>
      <c r="F2584" t="s">
        <v>22</v>
      </c>
      <c r="G2584">
        <v>0</v>
      </c>
      <c r="H2584">
        <v>129.30000000000001</v>
      </c>
      <c r="I2584">
        <v>103</v>
      </c>
      <c r="J2584">
        <v>21.98</v>
      </c>
      <c r="K2584">
        <v>202.8</v>
      </c>
      <c r="L2584">
        <v>89</v>
      </c>
      <c r="M2584">
        <v>17.239999999999998</v>
      </c>
      <c r="N2584">
        <v>233</v>
      </c>
      <c r="O2584">
        <v>126</v>
      </c>
      <c r="P2584">
        <v>10.49</v>
      </c>
      <c r="Q2584">
        <v>12.9</v>
      </c>
      <c r="R2584">
        <v>2</v>
      </c>
      <c r="S2584">
        <v>3.48</v>
      </c>
      <c r="T2584">
        <v>2</v>
      </c>
      <c r="U2584" t="s">
        <v>22</v>
      </c>
      <c r="V2584" t="e">
        <f>IF(#REF! = "yes", 1, 0)</f>
        <v>#REF!</v>
      </c>
      <c r="W2584" t="e">
        <f>IF(#REF! &lt;= 1, "0-1 Calls", IF(#REF! &lt;= 3, "2-3 Calls", IF(#REF! &lt;=5, "4-5 Calls", "6+ Calls")))</f>
        <v>#REF!</v>
      </c>
      <c r="X2584" t="e">
        <f>IF(#REF! &lt;= 50, "0-50", IF(#REF! &lt;=100, "51-100", IF(#REF! &lt;= 150, "101-150", "151+")))</f>
        <v>#REF!</v>
      </c>
      <c r="Y2584" t="e">
        <f>IF(#REF! &lt;= 3, "Low Charges", "High Charges")</f>
        <v>#REF!</v>
      </c>
      <c r="Z2584" t="e">
        <f>IF(#REF!&lt;=80,"Low Calls",
IF(#REF!&lt;=120,"Medium Calls","High Calls"))</f>
        <v>#REF!</v>
      </c>
      <c r="AA2584" t="e">
        <f>IF(#REF!&lt;=15,"Low Charges",
IF(#REF!&lt;=20,"Medium Charges","High Charges"))</f>
        <v>#REF!</v>
      </c>
      <c r="AB2584" t="e">
        <f>IF(AND(#REF!&gt;180, #REF!&gt;200), "Heavy Doemstic User", IF(#REF!&gt;10, "Interntional User", IF(AND(#REF!&lt;180, #REF!&lt;200,#REF!&lt;200), "Light User", "Balanced User")))</f>
        <v>#REF!</v>
      </c>
      <c r="AC2584" t="e">
        <f>IF(#REF! = 0, "No Usage", IF(#REF! &lt;= 20, "Low Usage", IF(#REF! &lt;= 40, "Medium Usgae", "High Usage")))</f>
        <v>#REF!</v>
      </c>
      <c r="AD2584" t="e">
        <f>IF(#REF!&lt;=150,"Low Usage", IF(#REF!&lt;=200,"Medium Usage", IF(#REF!&lt;=250,"High Usage","Very High Usage")))</f>
        <v>#REF!</v>
      </c>
      <c r="AE2584" t="e">
        <f>IF(#REF!&lt;=5,"Low Calls", IF(#REF!&lt;=10, "Medium Calls", "High Calls"))</f>
        <v>#REF!</v>
      </c>
      <c r="AF2584" t="e">
        <f xml:space="preserve">
IF(#REF!&gt;=4,4,0)+
IF(#REF!="yes",3,0)+
IF(#REF!="High Charges",3,0)+
IF(#REF!&gt;250,4,0)+
IF(#REF!="no",1,0)+
IF(#REF!="Heavy Domestic User",2,0)</f>
        <v>#REF!</v>
      </c>
      <c r="AG2584" t="e">
        <f>IF(#REF!&gt;=10,"High Risk", IF(#REF!&gt;=5,"Medium Risk","Low Risk"))</f>
        <v>#REF!</v>
      </c>
      <c r="AH2584" t="e">
        <f>#REF! + #REF! + #REF! + #REF!</f>
        <v>#REF!</v>
      </c>
    </row>
    <row r="2585" spans="1:34" x14ac:dyDescent="0.35">
      <c r="A2585">
        <v>2584</v>
      </c>
      <c r="B2585" t="s">
        <v>56</v>
      </c>
      <c r="C2585">
        <v>82</v>
      </c>
      <c r="D2585" t="s">
        <v>21</v>
      </c>
      <c r="E2585" t="s">
        <v>22</v>
      </c>
      <c r="F2585" t="s">
        <v>22</v>
      </c>
      <c r="G2585">
        <v>0</v>
      </c>
      <c r="H2585">
        <v>199.3</v>
      </c>
      <c r="I2585">
        <v>112</v>
      </c>
      <c r="J2585">
        <v>33.880000000000003</v>
      </c>
      <c r="K2585">
        <v>193.4</v>
      </c>
      <c r="L2585">
        <v>120</v>
      </c>
      <c r="M2585">
        <v>16.440000000000001</v>
      </c>
      <c r="N2585">
        <v>254.4</v>
      </c>
      <c r="O2585">
        <v>117</v>
      </c>
      <c r="P2585">
        <v>11.45</v>
      </c>
      <c r="Q2585">
        <v>7</v>
      </c>
      <c r="R2585">
        <v>10</v>
      </c>
      <c r="S2585">
        <v>1.89</v>
      </c>
      <c r="T2585">
        <v>0</v>
      </c>
      <c r="U2585" t="s">
        <v>22</v>
      </c>
      <c r="V2585" t="e">
        <f>IF(#REF! = "yes", 1, 0)</f>
        <v>#REF!</v>
      </c>
      <c r="W2585" t="e">
        <f>IF(#REF! &lt;= 1, "0-1 Calls", IF(#REF! &lt;= 3, "2-3 Calls", IF(#REF! &lt;=5, "4-5 Calls", "6+ Calls")))</f>
        <v>#REF!</v>
      </c>
      <c r="X2585" t="e">
        <f>IF(#REF! &lt;= 50, "0-50", IF(#REF! &lt;=100, "51-100", IF(#REF! &lt;= 150, "101-150", "151+")))</f>
        <v>#REF!</v>
      </c>
      <c r="Y2585" t="e">
        <f>IF(#REF! &lt;= 3, "Low Charges", "High Charges")</f>
        <v>#REF!</v>
      </c>
      <c r="Z2585" t="e">
        <f>IF(#REF!&lt;=80,"Low Calls",
IF(#REF!&lt;=120,"Medium Calls","High Calls"))</f>
        <v>#REF!</v>
      </c>
      <c r="AA2585" t="e">
        <f>IF(#REF!&lt;=15,"Low Charges",
IF(#REF!&lt;=20,"Medium Charges","High Charges"))</f>
        <v>#REF!</v>
      </c>
      <c r="AB2585" t="e">
        <f>IF(AND(#REF!&gt;180, #REF!&gt;200), "Heavy Doemstic User", IF(#REF!&gt;10, "Interntional User", IF(AND(#REF!&lt;180, #REF!&lt;200,#REF!&lt;200), "Light User", "Balanced User")))</f>
        <v>#REF!</v>
      </c>
      <c r="AC2585" t="e">
        <f>IF(#REF! = 0, "No Usage", IF(#REF! &lt;= 20, "Low Usage", IF(#REF! &lt;= 40, "Medium Usgae", "High Usage")))</f>
        <v>#REF!</v>
      </c>
      <c r="AD2585" t="e">
        <f>IF(#REF!&lt;=150,"Low Usage", IF(#REF!&lt;=200,"Medium Usage", IF(#REF!&lt;=250,"High Usage","Very High Usage")))</f>
        <v>#REF!</v>
      </c>
      <c r="AE2585" t="e">
        <f>IF(#REF!&lt;=5,"Low Calls", IF(#REF!&lt;=10, "Medium Calls", "High Calls"))</f>
        <v>#REF!</v>
      </c>
      <c r="AF2585" t="e">
        <f xml:space="preserve">
IF(#REF!&gt;=4,4,0)+
IF(#REF!="yes",3,0)+
IF(#REF!="High Charges",3,0)+
IF(#REF!&gt;250,4,0)+
IF(#REF!="no",1,0)+
IF(#REF!="Heavy Domestic User",2,0)</f>
        <v>#REF!</v>
      </c>
      <c r="AG2585" t="e">
        <f>IF(#REF!&gt;=10,"High Risk", IF(#REF!&gt;=5,"Medium Risk","Low Risk"))</f>
        <v>#REF!</v>
      </c>
      <c r="AH2585" t="e">
        <f>#REF! + #REF! + #REF! + #REF!</f>
        <v>#REF!</v>
      </c>
    </row>
    <row r="2586" spans="1:34" x14ac:dyDescent="0.35">
      <c r="A2586">
        <v>2585</v>
      </c>
      <c r="B2586" t="s">
        <v>49</v>
      </c>
      <c r="C2586">
        <v>141</v>
      </c>
      <c r="D2586" t="s">
        <v>21</v>
      </c>
      <c r="E2586" t="s">
        <v>22</v>
      </c>
      <c r="F2586" t="s">
        <v>22</v>
      </c>
      <c r="G2586">
        <v>0</v>
      </c>
      <c r="H2586">
        <v>185.1</v>
      </c>
      <c r="I2586">
        <v>126</v>
      </c>
      <c r="J2586">
        <v>31.47</v>
      </c>
      <c r="K2586">
        <v>233</v>
      </c>
      <c r="L2586">
        <v>98</v>
      </c>
      <c r="M2586">
        <v>19.809999999999999</v>
      </c>
      <c r="N2586">
        <v>152.19999999999999</v>
      </c>
      <c r="O2586">
        <v>106</v>
      </c>
      <c r="P2586">
        <v>6.85</v>
      </c>
      <c r="Q2586">
        <v>9.1</v>
      </c>
      <c r="R2586">
        <v>7</v>
      </c>
      <c r="S2586">
        <v>2.46</v>
      </c>
      <c r="T2586">
        <v>0</v>
      </c>
      <c r="U2586" t="s">
        <v>22</v>
      </c>
      <c r="V2586" t="e">
        <f>IF(#REF! = "yes", 1, 0)</f>
        <v>#REF!</v>
      </c>
      <c r="W2586" t="e">
        <f>IF(#REF! &lt;= 1, "0-1 Calls", IF(#REF! &lt;= 3, "2-3 Calls", IF(#REF! &lt;=5, "4-5 Calls", "6+ Calls")))</f>
        <v>#REF!</v>
      </c>
      <c r="X2586" t="e">
        <f>IF(#REF! &lt;= 50, "0-50", IF(#REF! &lt;=100, "51-100", IF(#REF! &lt;= 150, "101-150", "151+")))</f>
        <v>#REF!</v>
      </c>
      <c r="Y2586" t="e">
        <f>IF(#REF! &lt;= 3, "Low Charges", "High Charges")</f>
        <v>#REF!</v>
      </c>
      <c r="Z2586" t="e">
        <f>IF(#REF!&lt;=80,"Low Calls",
IF(#REF!&lt;=120,"Medium Calls","High Calls"))</f>
        <v>#REF!</v>
      </c>
      <c r="AA2586" t="e">
        <f>IF(#REF!&lt;=15,"Low Charges",
IF(#REF!&lt;=20,"Medium Charges","High Charges"))</f>
        <v>#REF!</v>
      </c>
      <c r="AB2586" t="e">
        <f>IF(AND(#REF!&gt;180, #REF!&gt;200), "Heavy Doemstic User", IF(#REF!&gt;10, "Interntional User", IF(AND(#REF!&lt;180, #REF!&lt;200,#REF!&lt;200), "Light User", "Balanced User")))</f>
        <v>#REF!</v>
      </c>
      <c r="AC2586" t="e">
        <f>IF(#REF! = 0, "No Usage", IF(#REF! &lt;= 20, "Low Usage", IF(#REF! &lt;= 40, "Medium Usgae", "High Usage")))</f>
        <v>#REF!</v>
      </c>
      <c r="AD2586" t="e">
        <f>IF(#REF!&lt;=150,"Low Usage", IF(#REF!&lt;=200,"Medium Usage", IF(#REF!&lt;=250,"High Usage","Very High Usage")))</f>
        <v>#REF!</v>
      </c>
      <c r="AE2586" t="e">
        <f>IF(#REF!&lt;=5,"Low Calls", IF(#REF!&lt;=10, "Medium Calls", "High Calls"))</f>
        <v>#REF!</v>
      </c>
      <c r="AF2586" t="e">
        <f xml:space="preserve">
IF(#REF!&gt;=4,4,0)+
IF(#REF!="yes",3,0)+
IF(#REF!="High Charges",3,0)+
IF(#REF!&gt;250,4,0)+
IF(#REF!="no",1,0)+
IF(#REF!="Heavy Domestic User",2,0)</f>
        <v>#REF!</v>
      </c>
      <c r="AG2586" t="e">
        <f>IF(#REF!&gt;=10,"High Risk", IF(#REF!&gt;=5,"Medium Risk","Low Risk"))</f>
        <v>#REF!</v>
      </c>
      <c r="AH2586" t="e">
        <f>#REF! + #REF! + #REF! + #REF!</f>
        <v>#REF!</v>
      </c>
    </row>
    <row r="2587" spans="1:34" x14ac:dyDescent="0.35">
      <c r="A2587">
        <v>2586</v>
      </c>
      <c r="B2587" t="s">
        <v>75</v>
      </c>
      <c r="C2587">
        <v>149</v>
      </c>
      <c r="D2587" t="s">
        <v>25</v>
      </c>
      <c r="E2587" t="s">
        <v>22</v>
      </c>
      <c r="F2587" t="s">
        <v>22</v>
      </c>
      <c r="G2587">
        <v>0</v>
      </c>
      <c r="H2587">
        <v>175.4</v>
      </c>
      <c r="I2587">
        <v>80</v>
      </c>
      <c r="J2587">
        <v>29.82</v>
      </c>
      <c r="K2587">
        <v>197.4</v>
      </c>
      <c r="L2587">
        <v>127</v>
      </c>
      <c r="M2587">
        <v>16.78</v>
      </c>
      <c r="N2587">
        <v>188.2</v>
      </c>
      <c r="O2587">
        <v>102</v>
      </c>
      <c r="P2587">
        <v>8.4700000000000006</v>
      </c>
      <c r="Q2587">
        <v>9.6999999999999993</v>
      </c>
      <c r="R2587">
        <v>2</v>
      </c>
      <c r="S2587">
        <v>2.62</v>
      </c>
      <c r="T2587">
        <v>2</v>
      </c>
      <c r="U2587" t="s">
        <v>22</v>
      </c>
      <c r="V2587" t="e">
        <f>IF(#REF! = "yes", 1, 0)</f>
        <v>#REF!</v>
      </c>
      <c r="W2587" t="e">
        <f>IF(#REF! &lt;= 1, "0-1 Calls", IF(#REF! &lt;= 3, "2-3 Calls", IF(#REF! &lt;=5, "4-5 Calls", "6+ Calls")))</f>
        <v>#REF!</v>
      </c>
      <c r="X2587" t="e">
        <f>IF(#REF! &lt;= 50, "0-50", IF(#REF! &lt;=100, "51-100", IF(#REF! &lt;= 150, "101-150", "151+")))</f>
        <v>#REF!</v>
      </c>
      <c r="Y2587" t="e">
        <f>IF(#REF! &lt;= 3, "Low Charges", "High Charges")</f>
        <v>#REF!</v>
      </c>
      <c r="Z2587" t="e">
        <f>IF(#REF!&lt;=80,"Low Calls",
IF(#REF!&lt;=120,"Medium Calls","High Calls"))</f>
        <v>#REF!</v>
      </c>
      <c r="AA2587" t="e">
        <f>IF(#REF!&lt;=15,"Low Charges",
IF(#REF!&lt;=20,"Medium Charges","High Charges"))</f>
        <v>#REF!</v>
      </c>
      <c r="AB2587" t="e">
        <f>IF(AND(#REF!&gt;180, #REF!&gt;200), "Heavy Doemstic User", IF(#REF!&gt;10, "Interntional User", IF(AND(#REF!&lt;180, #REF!&lt;200,#REF!&lt;200), "Light User", "Balanced User")))</f>
        <v>#REF!</v>
      </c>
      <c r="AC2587" t="e">
        <f>IF(#REF! = 0, "No Usage", IF(#REF! &lt;= 20, "Low Usage", IF(#REF! &lt;= 40, "Medium Usgae", "High Usage")))</f>
        <v>#REF!</v>
      </c>
      <c r="AD2587" t="e">
        <f>IF(#REF!&lt;=150,"Low Usage", IF(#REF!&lt;=200,"Medium Usage", IF(#REF!&lt;=250,"High Usage","Very High Usage")))</f>
        <v>#REF!</v>
      </c>
      <c r="AE2587" t="e">
        <f>IF(#REF!&lt;=5,"Low Calls", IF(#REF!&lt;=10, "Medium Calls", "High Calls"))</f>
        <v>#REF!</v>
      </c>
      <c r="AF2587" t="e">
        <f xml:space="preserve">
IF(#REF!&gt;=4,4,0)+
IF(#REF!="yes",3,0)+
IF(#REF!="High Charges",3,0)+
IF(#REF!&gt;250,4,0)+
IF(#REF!="no",1,0)+
IF(#REF!="Heavy Domestic User",2,0)</f>
        <v>#REF!</v>
      </c>
      <c r="AG2587" t="e">
        <f>IF(#REF!&gt;=10,"High Risk", IF(#REF!&gt;=5,"Medium Risk","Low Risk"))</f>
        <v>#REF!</v>
      </c>
      <c r="AH2587" t="e">
        <f>#REF! + #REF! + #REF! + #REF!</f>
        <v>#REF!</v>
      </c>
    </row>
    <row r="2588" spans="1:34" x14ac:dyDescent="0.35">
      <c r="A2588">
        <v>2587</v>
      </c>
      <c r="B2588" t="s">
        <v>72</v>
      </c>
      <c r="C2588">
        <v>131</v>
      </c>
      <c r="D2588" t="s">
        <v>28</v>
      </c>
      <c r="E2588" t="s">
        <v>22</v>
      </c>
      <c r="F2588" t="s">
        <v>22</v>
      </c>
      <c r="G2588">
        <v>0</v>
      </c>
      <c r="H2588">
        <v>263.39999999999998</v>
      </c>
      <c r="I2588">
        <v>123</v>
      </c>
      <c r="J2588">
        <v>44.78</v>
      </c>
      <c r="K2588">
        <v>151.9</v>
      </c>
      <c r="L2588">
        <v>74</v>
      </c>
      <c r="M2588">
        <v>12.91</v>
      </c>
      <c r="N2588">
        <v>218.5</v>
      </c>
      <c r="O2588">
        <v>101</v>
      </c>
      <c r="P2588">
        <v>9.83</v>
      </c>
      <c r="Q2588">
        <v>10.7</v>
      </c>
      <c r="R2588">
        <v>2</v>
      </c>
      <c r="S2588">
        <v>2.89</v>
      </c>
      <c r="T2588">
        <v>2</v>
      </c>
      <c r="U2588" t="s">
        <v>22</v>
      </c>
      <c r="V2588" t="e">
        <f>IF(#REF! = "yes", 1, 0)</f>
        <v>#REF!</v>
      </c>
      <c r="W2588" t="e">
        <f>IF(#REF! &lt;= 1, "0-1 Calls", IF(#REF! &lt;= 3, "2-3 Calls", IF(#REF! &lt;=5, "4-5 Calls", "6+ Calls")))</f>
        <v>#REF!</v>
      </c>
      <c r="X2588" t="e">
        <f>IF(#REF! &lt;= 50, "0-50", IF(#REF! &lt;=100, "51-100", IF(#REF! &lt;= 150, "101-150", "151+")))</f>
        <v>#REF!</v>
      </c>
      <c r="Y2588" t="e">
        <f>IF(#REF! &lt;= 3, "Low Charges", "High Charges")</f>
        <v>#REF!</v>
      </c>
      <c r="Z2588" t="e">
        <f>IF(#REF!&lt;=80,"Low Calls",
IF(#REF!&lt;=120,"Medium Calls","High Calls"))</f>
        <v>#REF!</v>
      </c>
      <c r="AA2588" t="e">
        <f>IF(#REF!&lt;=15,"Low Charges",
IF(#REF!&lt;=20,"Medium Charges","High Charges"))</f>
        <v>#REF!</v>
      </c>
      <c r="AB2588" t="e">
        <f>IF(AND(#REF!&gt;180, #REF!&gt;200), "Heavy Doemstic User", IF(#REF!&gt;10, "Interntional User", IF(AND(#REF!&lt;180, #REF!&lt;200,#REF!&lt;200), "Light User", "Balanced User")))</f>
        <v>#REF!</v>
      </c>
      <c r="AC2588" t="e">
        <f>IF(#REF! = 0, "No Usage", IF(#REF! &lt;= 20, "Low Usage", IF(#REF! &lt;= 40, "Medium Usgae", "High Usage")))</f>
        <v>#REF!</v>
      </c>
      <c r="AD2588" t="e">
        <f>IF(#REF!&lt;=150,"Low Usage", IF(#REF!&lt;=200,"Medium Usage", IF(#REF!&lt;=250,"High Usage","Very High Usage")))</f>
        <v>#REF!</v>
      </c>
      <c r="AE2588" t="e">
        <f>IF(#REF!&lt;=5,"Low Calls", IF(#REF!&lt;=10, "Medium Calls", "High Calls"))</f>
        <v>#REF!</v>
      </c>
      <c r="AF2588" t="e">
        <f xml:space="preserve">
IF(#REF!&gt;=4,4,0)+
IF(#REF!="yes",3,0)+
IF(#REF!="High Charges",3,0)+
IF(#REF!&gt;250,4,0)+
IF(#REF!="no",1,0)+
IF(#REF!="Heavy Domestic User",2,0)</f>
        <v>#REF!</v>
      </c>
      <c r="AG2588" t="e">
        <f>IF(#REF!&gt;=10,"High Risk", IF(#REF!&gt;=5,"Medium Risk","Low Risk"))</f>
        <v>#REF!</v>
      </c>
      <c r="AH2588" t="e">
        <f>#REF! + #REF! + #REF! + #REF!</f>
        <v>#REF!</v>
      </c>
    </row>
    <row r="2589" spans="1:34" x14ac:dyDescent="0.35">
      <c r="A2589">
        <v>2588</v>
      </c>
      <c r="B2589" t="s">
        <v>57</v>
      </c>
      <c r="C2589">
        <v>119</v>
      </c>
      <c r="D2589" t="s">
        <v>28</v>
      </c>
      <c r="E2589" t="s">
        <v>22</v>
      </c>
      <c r="F2589" t="s">
        <v>22</v>
      </c>
      <c r="G2589">
        <v>0</v>
      </c>
      <c r="H2589">
        <v>94.2</v>
      </c>
      <c r="I2589">
        <v>108</v>
      </c>
      <c r="J2589">
        <v>16.010000000000002</v>
      </c>
      <c r="K2589">
        <v>264.10000000000002</v>
      </c>
      <c r="L2589">
        <v>100</v>
      </c>
      <c r="M2589">
        <v>22.45</v>
      </c>
      <c r="N2589">
        <v>203.7</v>
      </c>
      <c r="O2589">
        <v>79</v>
      </c>
      <c r="P2589">
        <v>9.17</v>
      </c>
      <c r="Q2589">
        <v>7.3</v>
      </c>
      <c r="R2589">
        <v>3</v>
      </c>
      <c r="S2589">
        <v>1.97</v>
      </c>
      <c r="T2589">
        <v>1</v>
      </c>
      <c r="U2589" t="s">
        <v>22</v>
      </c>
      <c r="V2589" t="e">
        <f>IF(#REF! = "yes", 1, 0)</f>
        <v>#REF!</v>
      </c>
      <c r="W2589" t="e">
        <f>IF(#REF! &lt;= 1, "0-1 Calls", IF(#REF! &lt;= 3, "2-3 Calls", IF(#REF! &lt;=5, "4-5 Calls", "6+ Calls")))</f>
        <v>#REF!</v>
      </c>
      <c r="X2589" t="e">
        <f>IF(#REF! &lt;= 50, "0-50", IF(#REF! &lt;=100, "51-100", IF(#REF! &lt;= 150, "101-150", "151+")))</f>
        <v>#REF!</v>
      </c>
      <c r="Y2589" t="e">
        <f>IF(#REF! &lt;= 3, "Low Charges", "High Charges")</f>
        <v>#REF!</v>
      </c>
      <c r="Z2589" t="e">
        <f>IF(#REF!&lt;=80,"Low Calls",
IF(#REF!&lt;=120,"Medium Calls","High Calls"))</f>
        <v>#REF!</v>
      </c>
      <c r="AA2589" t="e">
        <f>IF(#REF!&lt;=15,"Low Charges",
IF(#REF!&lt;=20,"Medium Charges","High Charges"))</f>
        <v>#REF!</v>
      </c>
      <c r="AB2589" t="e">
        <f>IF(AND(#REF!&gt;180, #REF!&gt;200), "Heavy Doemstic User", IF(#REF!&gt;10, "Interntional User", IF(AND(#REF!&lt;180, #REF!&lt;200,#REF!&lt;200), "Light User", "Balanced User")))</f>
        <v>#REF!</v>
      </c>
      <c r="AC2589" t="e">
        <f>IF(#REF! = 0, "No Usage", IF(#REF! &lt;= 20, "Low Usage", IF(#REF! &lt;= 40, "Medium Usgae", "High Usage")))</f>
        <v>#REF!</v>
      </c>
      <c r="AD2589" t="e">
        <f>IF(#REF!&lt;=150,"Low Usage", IF(#REF!&lt;=200,"Medium Usage", IF(#REF!&lt;=250,"High Usage","Very High Usage")))</f>
        <v>#REF!</v>
      </c>
      <c r="AE2589" t="e">
        <f>IF(#REF!&lt;=5,"Low Calls", IF(#REF!&lt;=10, "Medium Calls", "High Calls"))</f>
        <v>#REF!</v>
      </c>
      <c r="AF2589" t="e">
        <f xml:space="preserve">
IF(#REF!&gt;=4,4,0)+
IF(#REF!="yes",3,0)+
IF(#REF!="High Charges",3,0)+
IF(#REF!&gt;250,4,0)+
IF(#REF!="no",1,0)+
IF(#REF!="Heavy Domestic User",2,0)</f>
        <v>#REF!</v>
      </c>
      <c r="AG2589" t="e">
        <f>IF(#REF!&gt;=10,"High Risk", IF(#REF!&gt;=5,"Medium Risk","Low Risk"))</f>
        <v>#REF!</v>
      </c>
      <c r="AH2589" t="e">
        <f>#REF! + #REF! + #REF! + #REF!</f>
        <v>#REF!</v>
      </c>
    </row>
    <row r="2590" spans="1:34" x14ac:dyDescent="0.35">
      <c r="A2590">
        <v>2589</v>
      </c>
      <c r="B2590" t="s">
        <v>68</v>
      </c>
      <c r="C2590">
        <v>112</v>
      </c>
      <c r="D2590" t="s">
        <v>28</v>
      </c>
      <c r="E2590" t="s">
        <v>22</v>
      </c>
      <c r="F2590" t="s">
        <v>22</v>
      </c>
      <c r="G2590">
        <v>0</v>
      </c>
      <c r="H2590">
        <v>189.4</v>
      </c>
      <c r="I2590">
        <v>83</v>
      </c>
      <c r="J2590">
        <v>32.200000000000003</v>
      </c>
      <c r="K2590">
        <v>219</v>
      </c>
      <c r="L2590">
        <v>89</v>
      </c>
      <c r="M2590">
        <v>18.62</v>
      </c>
      <c r="N2590">
        <v>168</v>
      </c>
      <c r="O2590">
        <v>116</v>
      </c>
      <c r="P2590">
        <v>7.56</v>
      </c>
      <c r="Q2590">
        <v>7.1</v>
      </c>
      <c r="R2590">
        <v>8</v>
      </c>
      <c r="S2590">
        <v>1.92</v>
      </c>
      <c r="T2590">
        <v>3</v>
      </c>
      <c r="U2590" t="s">
        <v>22</v>
      </c>
      <c r="V2590" t="e">
        <f>IF(#REF! = "yes", 1, 0)</f>
        <v>#REF!</v>
      </c>
      <c r="W2590" t="e">
        <f>IF(#REF! &lt;= 1, "0-1 Calls", IF(#REF! &lt;= 3, "2-3 Calls", IF(#REF! &lt;=5, "4-5 Calls", "6+ Calls")))</f>
        <v>#REF!</v>
      </c>
      <c r="X2590" t="e">
        <f>IF(#REF! &lt;= 50, "0-50", IF(#REF! &lt;=100, "51-100", IF(#REF! &lt;= 150, "101-150", "151+")))</f>
        <v>#REF!</v>
      </c>
      <c r="Y2590" t="e">
        <f>IF(#REF! &lt;= 3, "Low Charges", "High Charges")</f>
        <v>#REF!</v>
      </c>
      <c r="Z2590" t="e">
        <f>IF(#REF!&lt;=80,"Low Calls",
IF(#REF!&lt;=120,"Medium Calls","High Calls"))</f>
        <v>#REF!</v>
      </c>
      <c r="AA2590" t="e">
        <f>IF(#REF!&lt;=15,"Low Charges",
IF(#REF!&lt;=20,"Medium Charges","High Charges"))</f>
        <v>#REF!</v>
      </c>
      <c r="AB2590" t="e">
        <f>IF(AND(#REF!&gt;180, #REF!&gt;200), "Heavy Doemstic User", IF(#REF!&gt;10, "Interntional User", IF(AND(#REF!&lt;180, #REF!&lt;200,#REF!&lt;200), "Light User", "Balanced User")))</f>
        <v>#REF!</v>
      </c>
      <c r="AC2590" t="e">
        <f>IF(#REF! = 0, "No Usage", IF(#REF! &lt;= 20, "Low Usage", IF(#REF! &lt;= 40, "Medium Usgae", "High Usage")))</f>
        <v>#REF!</v>
      </c>
      <c r="AD2590" t="e">
        <f>IF(#REF!&lt;=150,"Low Usage", IF(#REF!&lt;=200,"Medium Usage", IF(#REF!&lt;=250,"High Usage","Very High Usage")))</f>
        <v>#REF!</v>
      </c>
      <c r="AE2590" t="e">
        <f>IF(#REF!&lt;=5,"Low Calls", IF(#REF!&lt;=10, "Medium Calls", "High Calls"))</f>
        <v>#REF!</v>
      </c>
      <c r="AF2590" t="e">
        <f xml:space="preserve">
IF(#REF!&gt;=4,4,0)+
IF(#REF!="yes",3,0)+
IF(#REF!="High Charges",3,0)+
IF(#REF!&gt;250,4,0)+
IF(#REF!="no",1,0)+
IF(#REF!="Heavy Domestic User",2,0)</f>
        <v>#REF!</v>
      </c>
      <c r="AG2590" t="e">
        <f>IF(#REF!&gt;=10,"High Risk", IF(#REF!&gt;=5,"Medium Risk","Low Risk"))</f>
        <v>#REF!</v>
      </c>
      <c r="AH2590" t="e">
        <f>#REF! + #REF! + #REF! + #REF!</f>
        <v>#REF!</v>
      </c>
    </row>
    <row r="2591" spans="1:34" x14ac:dyDescent="0.35">
      <c r="A2591">
        <v>2590</v>
      </c>
      <c r="B2591" t="s">
        <v>62</v>
      </c>
      <c r="C2591">
        <v>116</v>
      </c>
      <c r="D2591" t="s">
        <v>28</v>
      </c>
      <c r="E2591" t="s">
        <v>22</v>
      </c>
      <c r="F2591" t="s">
        <v>23</v>
      </c>
      <c r="G2591">
        <v>35</v>
      </c>
      <c r="H2591">
        <v>118</v>
      </c>
      <c r="I2591">
        <v>103</v>
      </c>
      <c r="J2591">
        <v>20.059999999999999</v>
      </c>
      <c r="K2591">
        <v>167.2</v>
      </c>
      <c r="L2591">
        <v>106</v>
      </c>
      <c r="M2591">
        <v>14.21</v>
      </c>
      <c r="N2591">
        <v>205.7</v>
      </c>
      <c r="O2591">
        <v>102</v>
      </c>
      <c r="P2591">
        <v>9.26</v>
      </c>
      <c r="Q2591">
        <v>11.8</v>
      </c>
      <c r="R2591">
        <v>2</v>
      </c>
      <c r="S2591">
        <v>3.19</v>
      </c>
      <c r="T2591">
        <v>2</v>
      </c>
      <c r="U2591" t="s">
        <v>22</v>
      </c>
      <c r="V2591" t="e">
        <f>IF(#REF! = "yes", 1, 0)</f>
        <v>#REF!</v>
      </c>
      <c r="W2591" t="e">
        <f>IF(#REF! &lt;= 1, "0-1 Calls", IF(#REF! &lt;= 3, "2-3 Calls", IF(#REF! &lt;=5, "4-5 Calls", "6+ Calls")))</f>
        <v>#REF!</v>
      </c>
      <c r="X2591" t="e">
        <f>IF(#REF! &lt;= 50, "0-50", IF(#REF! &lt;=100, "51-100", IF(#REF! &lt;= 150, "101-150", "151+")))</f>
        <v>#REF!</v>
      </c>
      <c r="Y2591" t="e">
        <f>IF(#REF! &lt;= 3, "Low Charges", "High Charges")</f>
        <v>#REF!</v>
      </c>
      <c r="Z2591" t="e">
        <f>IF(#REF!&lt;=80,"Low Calls",
IF(#REF!&lt;=120,"Medium Calls","High Calls"))</f>
        <v>#REF!</v>
      </c>
      <c r="AA2591" t="e">
        <f>IF(#REF!&lt;=15,"Low Charges",
IF(#REF!&lt;=20,"Medium Charges","High Charges"))</f>
        <v>#REF!</v>
      </c>
      <c r="AB2591" t="e">
        <f>IF(AND(#REF!&gt;180, #REF!&gt;200), "Heavy Doemstic User", IF(#REF!&gt;10, "Interntional User", IF(AND(#REF!&lt;180, #REF!&lt;200,#REF!&lt;200), "Light User", "Balanced User")))</f>
        <v>#REF!</v>
      </c>
      <c r="AC2591" t="e">
        <f>IF(#REF! = 0, "No Usage", IF(#REF! &lt;= 20, "Low Usage", IF(#REF! &lt;= 40, "Medium Usgae", "High Usage")))</f>
        <v>#REF!</v>
      </c>
      <c r="AD2591" t="e">
        <f>IF(#REF!&lt;=150,"Low Usage", IF(#REF!&lt;=200,"Medium Usage", IF(#REF!&lt;=250,"High Usage","Very High Usage")))</f>
        <v>#REF!</v>
      </c>
      <c r="AE2591" t="e">
        <f>IF(#REF!&lt;=5,"Low Calls", IF(#REF!&lt;=10, "Medium Calls", "High Calls"))</f>
        <v>#REF!</v>
      </c>
      <c r="AF2591" t="e">
        <f xml:space="preserve">
IF(#REF!&gt;=4,4,0)+
IF(#REF!="yes",3,0)+
IF(#REF!="High Charges",3,0)+
IF(#REF!&gt;250,4,0)+
IF(#REF!="no",1,0)+
IF(#REF!="Heavy Domestic User",2,0)</f>
        <v>#REF!</v>
      </c>
      <c r="AG2591" t="e">
        <f>IF(#REF!&gt;=10,"High Risk", IF(#REF!&gt;=5,"Medium Risk","Low Risk"))</f>
        <v>#REF!</v>
      </c>
      <c r="AH2591" t="e">
        <f>#REF! + #REF! + #REF! + #REF!</f>
        <v>#REF!</v>
      </c>
    </row>
    <row r="2592" spans="1:34" x14ac:dyDescent="0.35">
      <c r="A2592">
        <v>2591</v>
      </c>
      <c r="B2592" t="s">
        <v>30</v>
      </c>
      <c r="C2592">
        <v>94</v>
      </c>
      <c r="D2592" t="s">
        <v>21</v>
      </c>
      <c r="E2592" t="s">
        <v>22</v>
      </c>
      <c r="F2592" t="s">
        <v>22</v>
      </c>
      <c r="G2592">
        <v>0</v>
      </c>
      <c r="H2592">
        <v>212.1</v>
      </c>
      <c r="I2592">
        <v>98</v>
      </c>
      <c r="J2592">
        <v>36.06</v>
      </c>
      <c r="K2592">
        <v>189.4</v>
      </c>
      <c r="L2592">
        <v>89</v>
      </c>
      <c r="M2592">
        <v>16.100000000000001</v>
      </c>
      <c r="N2592">
        <v>352.2</v>
      </c>
      <c r="O2592">
        <v>95</v>
      </c>
      <c r="P2592">
        <v>15.85</v>
      </c>
      <c r="Q2592">
        <v>8.4</v>
      </c>
      <c r="R2592">
        <v>5</v>
      </c>
      <c r="S2592">
        <v>2.27</v>
      </c>
      <c r="T2592">
        <v>3</v>
      </c>
      <c r="U2592" t="s">
        <v>22</v>
      </c>
      <c r="V2592" t="e">
        <f>IF(#REF! = "yes", 1, 0)</f>
        <v>#REF!</v>
      </c>
      <c r="W2592" t="e">
        <f>IF(#REF! &lt;= 1, "0-1 Calls", IF(#REF! &lt;= 3, "2-3 Calls", IF(#REF! &lt;=5, "4-5 Calls", "6+ Calls")))</f>
        <v>#REF!</v>
      </c>
      <c r="X2592" t="e">
        <f>IF(#REF! &lt;= 50, "0-50", IF(#REF! &lt;=100, "51-100", IF(#REF! &lt;= 150, "101-150", "151+")))</f>
        <v>#REF!</v>
      </c>
      <c r="Y2592" t="e">
        <f>IF(#REF! &lt;= 3, "Low Charges", "High Charges")</f>
        <v>#REF!</v>
      </c>
      <c r="Z2592" t="e">
        <f>IF(#REF!&lt;=80,"Low Calls",
IF(#REF!&lt;=120,"Medium Calls","High Calls"))</f>
        <v>#REF!</v>
      </c>
      <c r="AA2592" t="e">
        <f>IF(#REF!&lt;=15,"Low Charges",
IF(#REF!&lt;=20,"Medium Charges","High Charges"))</f>
        <v>#REF!</v>
      </c>
      <c r="AB2592" t="e">
        <f>IF(AND(#REF!&gt;180, #REF!&gt;200), "Heavy Doemstic User", IF(#REF!&gt;10, "Interntional User", IF(AND(#REF!&lt;180, #REF!&lt;200,#REF!&lt;200), "Light User", "Balanced User")))</f>
        <v>#REF!</v>
      </c>
      <c r="AC2592" t="e">
        <f>IF(#REF! = 0, "No Usage", IF(#REF! &lt;= 20, "Low Usage", IF(#REF! &lt;= 40, "Medium Usgae", "High Usage")))</f>
        <v>#REF!</v>
      </c>
      <c r="AD2592" t="e">
        <f>IF(#REF!&lt;=150,"Low Usage", IF(#REF!&lt;=200,"Medium Usage", IF(#REF!&lt;=250,"High Usage","Very High Usage")))</f>
        <v>#REF!</v>
      </c>
      <c r="AE2592" t="e">
        <f>IF(#REF!&lt;=5,"Low Calls", IF(#REF!&lt;=10, "Medium Calls", "High Calls"))</f>
        <v>#REF!</v>
      </c>
      <c r="AF2592" t="e">
        <f xml:space="preserve">
IF(#REF!&gt;=4,4,0)+
IF(#REF!="yes",3,0)+
IF(#REF!="High Charges",3,0)+
IF(#REF!&gt;250,4,0)+
IF(#REF!="no",1,0)+
IF(#REF!="Heavy Domestic User",2,0)</f>
        <v>#REF!</v>
      </c>
      <c r="AG2592" t="e">
        <f>IF(#REF!&gt;=10,"High Risk", IF(#REF!&gt;=5,"Medium Risk","Low Risk"))</f>
        <v>#REF!</v>
      </c>
      <c r="AH2592" t="e">
        <f>#REF! + #REF! + #REF! + #REF!</f>
        <v>#REF!</v>
      </c>
    </row>
    <row r="2593" spans="1:34" x14ac:dyDescent="0.35">
      <c r="A2593">
        <v>2592</v>
      </c>
      <c r="B2593" t="s">
        <v>54</v>
      </c>
      <c r="C2593">
        <v>114</v>
      </c>
      <c r="D2593" t="s">
        <v>21</v>
      </c>
      <c r="E2593" t="s">
        <v>22</v>
      </c>
      <c r="F2593" t="s">
        <v>23</v>
      </c>
      <c r="G2593">
        <v>31</v>
      </c>
      <c r="H2593">
        <v>222.8</v>
      </c>
      <c r="I2593">
        <v>98</v>
      </c>
      <c r="J2593">
        <v>37.880000000000003</v>
      </c>
      <c r="K2593">
        <v>180.5</v>
      </c>
      <c r="L2593">
        <v>105</v>
      </c>
      <c r="M2593">
        <v>15.34</v>
      </c>
      <c r="N2593">
        <v>151.30000000000001</v>
      </c>
      <c r="O2593">
        <v>101</v>
      </c>
      <c r="P2593">
        <v>6.81</v>
      </c>
      <c r="Q2593">
        <v>13</v>
      </c>
      <c r="R2593">
        <v>4</v>
      </c>
      <c r="S2593">
        <v>3.51</v>
      </c>
      <c r="T2593">
        <v>0</v>
      </c>
      <c r="U2593" t="s">
        <v>22</v>
      </c>
      <c r="V2593" t="e">
        <f>IF(#REF! = "yes", 1, 0)</f>
        <v>#REF!</v>
      </c>
      <c r="W2593" t="e">
        <f>IF(#REF! &lt;= 1, "0-1 Calls", IF(#REF! &lt;= 3, "2-3 Calls", IF(#REF! &lt;=5, "4-5 Calls", "6+ Calls")))</f>
        <v>#REF!</v>
      </c>
      <c r="X2593" t="e">
        <f>IF(#REF! &lt;= 50, "0-50", IF(#REF! &lt;=100, "51-100", IF(#REF! &lt;= 150, "101-150", "151+")))</f>
        <v>#REF!</v>
      </c>
      <c r="Y2593" t="e">
        <f>IF(#REF! &lt;= 3, "Low Charges", "High Charges")</f>
        <v>#REF!</v>
      </c>
      <c r="Z2593" t="e">
        <f>IF(#REF!&lt;=80,"Low Calls",
IF(#REF!&lt;=120,"Medium Calls","High Calls"))</f>
        <v>#REF!</v>
      </c>
      <c r="AA2593" t="e">
        <f>IF(#REF!&lt;=15,"Low Charges",
IF(#REF!&lt;=20,"Medium Charges","High Charges"))</f>
        <v>#REF!</v>
      </c>
      <c r="AB2593" t="e">
        <f>IF(AND(#REF!&gt;180, #REF!&gt;200), "Heavy Doemstic User", IF(#REF!&gt;10, "Interntional User", IF(AND(#REF!&lt;180, #REF!&lt;200,#REF!&lt;200), "Light User", "Balanced User")))</f>
        <v>#REF!</v>
      </c>
      <c r="AC2593" t="e">
        <f>IF(#REF! = 0, "No Usage", IF(#REF! &lt;= 20, "Low Usage", IF(#REF! &lt;= 40, "Medium Usgae", "High Usage")))</f>
        <v>#REF!</v>
      </c>
      <c r="AD2593" t="e">
        <f>IF(#REF!&lt;=150,"Low Usage", IF(#REF!&lt;=200,"Medium Usage", IF(#REF!&lt;=250,"High Usage","Very High Usage")))</f>
        <v>#REF!</v>
      </c>
      <c r="AE2593" t="e">
        <f>IF(#REF!&lt;=5,"Low Calls", IF(#REF!&lt;=10, "Medium Calls", "High Calls"))</f>
        <v>#REF!</v>
      </c>
      <c r="AF2593" t="e">
        <f xml:space="preserve">
IF(#REF!&gt;=4,4,0)+
IF(#REF!="yes",3,0)+
IF(#REF!="High Charges",3,0)+
IF(#REF!&gt;250,4,0)+
IF(#REF!="no",1,0)+
IF(#REF!="Heavy Domestic User",2,0)</f>
        <v>#REF!</v>
      </c>
      <c r="AG2593" t="e">
        <f>IF(#REF!&gt;=10,"High Risk", IF(#REF!&gt;=5,"Medium Risk","Low Risk"))</f>
        <v>#REF!</v>
      </c>
      <c r="AH2593" t="e">
        <f>#REF! + #REF! + #REF! + #REF!</f>
        <v>#REF!</v>
      </c>
    </row>
    <row r="2594" spans="1:34" x14ac:dyDescent="0.35">
      <c r="A2594">
        <v>2593</v>
      </c>
      <c r="B2594" t="s">
        <v>74</v>
      </c>
      <c r="C2594">
        <v>63</v>
      </c>
      <c r="D2594" t="s">
        <v>25</v>
      </c>
      <c r="E2594" t="s">
        <v>22</v>
      </c>
      <c r="F2594" t="s">
        <v>23</v>
      </c>
      <c r="G2594">
        <v>25</v>
      </c>
      <c r="H2594">
        <v>190</v>
      </c>
      <c r="I2594">
        <v>137</v>
      </c>
      <c r="J2594">
        <v>32.299999999999997</v>
      </c>
      <c r="K2594">
        <v>116.6</v>
      </c>
      <c r="L2594">
        <v>76</v>
      </c>
      <c r="M2594">
        <v>9.91</v>
      </c>
      <c r="N2594">
        <v>141.5</v>
      </c>
      <c r="O2594">
        <v>110</v>
      </c>
      <c r="P2594">
        <v>6.37</v>
      </c>
      <c r="Q2594">
        <v>12.2</v>
      </c>
      <c r="R2594">
        <v>2</v>
      </c>
      <c r="S2594">
        <v>3.29</v>
      </c>
      <c r="T2594">
        <v>1</v>
      </c>
      <c r="U2594" t="s">
        <v>22</v>
      </c>
      <c r="V2594" t="e">
        <f>IF(#REF! = "yes", 1, 0)</f>
        <v>#REF!</v>
      </c>
      <c r="W2594" t="e">
        <f>IF(#REF! &lt;= 1, "0-1 Calls", IF(#REF! &lt;= 3, "2-3 Calls", IF(#REF! &lt;=5, "4-5 Calls", "6+ Calls")))</f>
        <v>#REF!</v>
      </c>
      <c r="X2594" t="e">
        <f>IF(#REF! &lt;= 50, "0-50", IF(#REF! &lt;=100, "51-100", IF(#REF! &lt;= 150, "101-150", "151+")))</f>
        <v>#REF!</v>
      </c>
      <c r="Y2594" t="e">
        <f>IF(#REF! &lt;= 3, "Low Charges", "High Charges")</f>
        <v>#REF!</v>
      </c>
      <c r="Z2594" t="e">
        <f>IF(#REF!&lt;=80,"Low Calls",
IF(#REF!&lt;=120,"Medium Calls","High Calls"))</f>
        <v>#REF!</v>
      </c>
      <c r="AA2594" t="e">
        <f>IF(#REF!&lt;=15,"Low Charges",
IF(#REF!&lt;=20,"Medium Charges","High Charges"))</f>
        <v>#REF!</v>
      </c>
      <c r="AB2594" t="e">
        <f>IF(AND(#REF!&gt;180, #REF!&gt;200), "Heavy Doemstic User", IF(#REF!&gt;10, "Interntional User", IF(AND(#REF!&lt;180, #REF!&lt;200,#REF!&lt;200), "Light User", "Balanced User")))</f>
        <v>#REF!</v>
      </c>
      <c r="AC2594" t="e">
        <f>IF(#REF! = 0, "No Usage", IF(#REF! &lt;= 20, "Low Usage", IF(#REF! &lt;= 40, "Medium Usgae", "High Usage")))</f>
        <v>#REF!</v>
      </c>
      <c r="AD2594" t="e">
        <f>IF(#REF!&lt;=150,"Low Usage", IF(#REF!&lt;=200,"Medium Usage", IF(#REF!&lt;=250,"High Usage","Very High Usage")))</f>
        <v>#REF!</v>
      </c>
      <c r="AE2594" t="e">
        <f>IF(#REF!&lt;=5,"Low Calls", IF(#REF!&lt;=10, "Medium Calls", "High Calls"))</f>
        <v>#REF!</v>
      </c>
      <c r="AF2594" t="e">
        <f xml:space="preserve">
IF(#REF!&gt;=4,4,0)+
IF(#REF!="yes",3,0)+
IF(#REF!="High Charges",3,0)+
IF(#REF!&gt;250,4,0)+
IF(#REF!="no",1,0)+
IF(#REF!="Heavy Domestic User",2,0)</f>
        <v>#REF!</v>
      </c>
      <c r="AG2594" t="e">
        <f>IF(#REF!&gt;=10,"High Risk", IF(#REF!&gt;=5,"Medium Risk","Low Risk"))</f>
        <v>#REF!</v>
      </c>
      <c r="AH2594" t="e">
        <f>#REF! + #REF! + #REF! + #REF!</f>
        <v>#REF!</v>
      </c>
    </row>
    <row r="2595" spans="1:34" x14ac:dyDescent="0.35">
      <c r="A2595">
        <v>2594</v>
      </c>
      <c r="B2595" t="s">
        <v>41</v>
      </c>
      <c r="C2595">
        <v>130</v>
      </c>
      <c r="D2595" t="s">
        <v>25</v>
      </c>
      <c r="E2595" t="s">
        <v>22</v>
      </c>
      <c r="F2595" t="s">
        <v>22</v>
      </c>
      <c r="G2595">
        <v>0</v>
      </c>
      <c r="H2595">
        <v>271.8</v>
      </c>
      <c r="I2595">
        <v>129</v>
      </c>
      <c r="J2595">
        <v>46.21</v>
      </c>
      <c r="K2595">
        <v>237.2</v>
      </c>
      <c r="L2595">
        <v>128</v>
      </c>
      <c r="M2595">
        <v>20.16</v>
      </c>
      <c r="N2595">
        <v>210.1</v>
      </c>
      <c r="O2595">
        <v>91</v>
      </c>
      <c r="P2595">
        <v>9.4499999999999993</v>
      </c>
      <c r="Q2595">
        <v>8.6999999999999993</v>
      </c>
      <c r="R2595">
        <v>2</v>
      </c>
      <c r="S2595">
        <v>2.35</v>
      </c>
      <c r="T2595">
        <v>4</v>
      </c>
      <c r="U2595" t="s">
        <v>23</v>
      </c>
      <c r="V2595" t="e">
        <f>IF(#REF! = "yes", 1, 0)</f>
        <v>#REF!</v>
      </c>
      <c r="W2595" t="e">
        <f>IF(#REF! &lt;= 1, "0-1 Calls", IF(#REF! &lt;= 3, "2-3 Calls", IF(#REF! &lt;=5, "4-5 Calls", "6+ Calls")))</f>
        <v>#REF!</v>
      </c>
      <c r="X2595" t="e">
        <f>IF(#REF! &lt;= 50, "0-50", IF(#REF! &lt;=100, "51-100", IF(#REF! &lt;= 150, "101-150", "151+")))</f>
        <v>#REF!</v>
      </c>
      <c r="Y2595" t="e">
        <f>IF(#REF! &lt;= 3, "Low Charges", "High Charges")</f>
        <v>#REF!</v>
      </c>
      <c r="Z2595" t="e">
        <f>IF(#REF!&lt;=80,"Low Calls",
IF(#REF!&lt;=120,"Medium Calls","High Calls"))</f>
        <v>#REF!</v>
      </c>
      <c r="AA2595" t="e">
        <f>IF(#REF!&lt;=15,"Low Charges",
IF(#REF!&lt;=20,"Medium Charges","High Charges"))</f>
        <v>#REF!</v>
      </c>
      <c r="AB2595" t="e">
        <f>IF(AND(#REF!&gt;180, #REF!&gt;200), "Heavy Doemstic User", IF(#REF!&gt;10, "Interntional User", IF(AND(#REF!&lt;180, #REF!&lt;200,#REF!&lt;200), "Light User", "Balanced User")))</f>
        <v>#REF!</v>
      </c>
      <c r="AC2595" t="e">
        <f>IF(#REF! = 0, "No Usage", IF(#REF! &lt;= 20, "Low Usage", IF(#REF! &lt;= 40, "Medium Usgae", "High Usage")))</f>
        <v>#REF!</v>
      </c>
      <c r="AD2595" t="e">
        <f>IF(#REF!&lt;=150,"Low Usage", IF(#REF!&lt;=200,"Medium Usage", IF(#REF!&lt;=250,"High Usage","Very High Usage")))</f>
        <v>#REF!</v>
      </c>
      <c r="AE2595" t="e">
        <f>IF(#REF!&lt;=5,"Low Calls", IF(#REF!&lt;=10, "Medium Calls", "High Calls"))</f>
        <v>#REF!</v>
      </c>
      <c r="AF2595" t="e">
        <f xml:space="preserve">
IF(#REF!&gt;=4,4,0)+
IF(#REF!="yes",3,0)+
IF(#REF!="High Charges",3,0)+
IF(#REF!&gt;250,4,0)+
IF(#REF!="no",1,0)+
IF(#REF!="Heavy Domestic User",2,0)</f>
        <v>#REF!</v>
      </c>
      <c r="AG2595" t="e">
        <f>IF(#REF!&gt;=10,"High Risk", IF(#REF!&gt;=5,"Medium Risk","Low Risk"))</f>
        <v>#REF!</v>
      </c>
      <c r="AH2595" t="e">
        <f>#REF! + #REF! + #REF! + #REF!</f>
        <v>#REF!</v>
      </c>
    </row>
    <row r="2596" spans="1:34" x14ac:dyDescent="0.35">
      <c r="A2596">
        <v>2595</v>
      </c>
      <c r="B2596" t="s">
        <v>27</v>
      </c>
      <c r="C2596">
        <v>122</v>
      </c>
      <c r="D2596" t="s">
        <v>25</v>
      </c>
      <c r="E2596" t="s">
        <v>22</v>
      </c>
      <c r="F2596" t="s">
        <v>23</v>
      </c>
      <c r="G2596">
        <v>29</v>
      </c>
      <c r="H2596">
        <v>195.4</v>
      </c>
      <c r="I2596">
        <v>83</v>
      </c>
      <c r="J2596">
        <v>33.22</v>
      </c>
      <c r="K2596">
        <v>268.2</v>
      </c>
      <c r="L2596">
        <v>93</v>
      </c>
      <c r="M2596">
        <v>22.8</v>
      </c>
      <c r="N2596">
        <v>168</v>
      </c>
      <c r="O2596">
        <v>95</v>
      </c>
      <c r="P2596">
        <v>7.56</v>
      </c>
      <c r="Q2596">
        <v>8.4</v>
      </c>
      <c r="R2596">
        <v>6</v>
      </c>
      <c r="S2596">
        <v>2.27</v>
      </c>
      <c r="T2596">
        <v>3</v>
      </c>
      <c r="U2596" t="s">
        <v>22</v>
      </c>
      <c r="V2596" t="e">
        <f>IF(#REF! = "yes", 1, 0)</f>
        <v>#REF!</v>
      </c>
      <c r="W2596" t="e">
        <f>IF(#REF! &lt;= 1, "0-1 Calls", IF(#REF! &lt;= 3, "2-3 Calls", IF(#REF! &lt;=5, "4-5 Calls", "6+ Calls")))</f>
        <v>#REF!</v>
      </c>
      <c r="X2596" t="e">
        <f>IF(#REF! &lt;= 50, "0-50", IF(#REF! &lt;=100, "51-100", IF(#REF! &lt;= 150, "101-150", "151+")))</f>
        <v>#REF!</v>
      </c>
      <c r="Y2596" t="e">
        <f>IF(#REF! &lt;= 3, "Low Charges", "High Charges")</f>
        <v>#REF!</v>
      </c>
      <c r="Z2596" t="e">
        <f>IF(#REF!&lt;=80,"Low Calls",
IF(#REF!&lt;=120,"Medium Calls","High Calls"))</f>
        <v>#REF!</v>
      </c>
      <c r="AA2596" t="e">
        <f>IF(#REF!&lt;=15,"Low Charges",
IF(#REF!&lt;=20,"Medium Charges","High Charges"))</f>
        <v>#REF!</v>
      </c>
      <c r="AB2596" t="e">
        <f>IF(AND(#REF!&gt;180, #REF!&gt;200), "Heavy Doemstic User", IF(#REF!&gt;10, "Interntional User", IF(AND(#REF!&lt;180, #REF!&lt;200,#REF!&lt;200), "Light User", "Balanced User")))</f>
        <v>#REF!</v>
      </c>
      <c r="AC2596" t="e">
        <f>IF(#REF! = 0, "No Usage", IF(#REF! &lt;= 20, "Low Usage", IF(#REF! &lt;= 40, "Medium Usgae", "High Usage")))</f>
        <v>#REF!</v>
      </c>
      <c r="AD2596" t="e">
        <f>IF(#REF!&lt;=150,"Low Usage", IF(#REF!&lt;=200,"Medium Usage", IF(#REF!&lt;=250,"High Usage","Very High Usage")))</f>
        <v>#REF!</v>
      </c>
      <c r="AE2596" t="e">
        <f>IF(#REF!&lt;=5,"Low Calls", IF(#REF!&lt;=10, "Medium Calls", "High Calls"))</f>
        <v>#REF!</v>
      </c>
      <c r="AF2596" t="e">
        <f xml:space="preserve">
IF(#REF!&gt;=4,4,0)+
IF(#REF!="yes",3,0)+
IF(#REF!="High Charges",3,0)+
IF(#REF!&gt;250,4,0)+
IF(#REF!="no",1,0)+
IF(#REF!="Heavy Domestic User",2,0)</f>
        <v>#REF!</v>
      </c>
      <c r="AG2596" t="e">
        <f>IF(#REF!&gt;=10,"High Risk", IF(#REF!&gt;=5,"Medium Risk","Low Risk"))</f>
        <v>#REF!</v>
      </c>
      <c r="AH2596" t="e">
        <f>#REF! + #REF! + #REF! + #REF!</f>
        <v>#REF!</v>
      </c>
    </row>
    <row r="2597" spans="1:34" x14ac:dyDescent="0.35">
      <c r="A2597">
        <v>2596</v>
      </c>
      <c r="B2597" t="s">
        <v>52</v>
      </c>
      <c r="C2597">
        <v>166</v>
      </c>
      <c r="D2597" t="s">
        <v>28</v>
      </c>
      <c r="E2597" t="s">
        <v>22</v>
      </c>
      <c r="F2597" t="s">
        <v>22</v>
      </c>
      <c r="G2597">
        <v>0</v>
      </c>
      <c r="H2597">
        <v>199.6</v>
      </c>
      <c r="I2597">
        <v>93</v>
      </c>
      <c r="J2597">
        <v>33.93</v>
      </c>
      <c r="K2597">
        <v>214.3</v>
      </c>
      <c r="L2597">
        <v>99</v>
      </c>
      <c r="M2597">
        <v>18.22</v>
      </c>
      <c r="N2597">
        <v>196.8</v>
      </c>
      <c r="O2597">
        <v>110</v>
      </c>
      <c r="P2597">
        <v>8.86</v>
      </c>
      <c r="Q2597">
        <v>7.2</v>
      </c>
      <c r="R2597">
        <v>5</v>
      </c>
      <c r="S2597">
        <v>1.94</v>
      </c>
      <c r="T2597">
        <v>3</v>
      </c>
      <c r="U2597" t="s">
        <v>22</v>
      </c>
      <c r="V2597" t="e">
        <f>IF(#REF! = "yes", 1, 0)</f>
        <v>#REF!</v>
      </c>
      <c r="W2597" t="e">
        <f>IF(#REF! &lt;= 1, "0-1 Calls", IF(#REF! &lt;= 3, "2-3 Calls", IF(#REF! &lt;=5, "4-5 Calls", "6+ Calls")))</f>
        <v>#REF!</v>
      </c>
      <c r="X2597" t="e">
        <f>IF(#REF! &lt;= 50, "0-50", IF(#REF! &lt;=100, "51-100", IF(#REF! &lt;= 150, "101-150", "151+")))</f>
        <v>#REF!</v>
      </c>
      <c r="Y2597" t="e">
        <f>IF(#REF! &lt;= 3, "Low Charges", "High Charges")</f>
        <v>#REF!</v>
      </c>
      <c r="Z2597" t="e">
        <f>IF(#REF!&lt;=80,"Low Calls",
IF(#REF!&lt;=120,"Medium Calls","High Calls"))</f>
        <v>#REF!</v>
      </c>
      <c r="AA2597" t="e">
        <f>IF(#REF!&lt;=15,"Low Charges",
IF(#REF!&lt;=20,"Medium Charges","High Charges"))</f>
        <v>#REF!</v>
      </c>
      <c r="AB2597" t="e">
        <f>IF(AND(#REF!&gt;180, #REF!&gt;200), "Heavy Doemstic User", IF(#REF!&gt;10, "Interntional User", IF(AND(#REF!&lt;180, #REF!&lt;200,#REF!&lt;200), "Light User", "Balanced User")))</f>
        <v>#REF!</v>
      </c>
      <c r="AC2597" t="e">
        <f>IF(#REF! = 0, "No Usage", IF(#REF! &lt;= 20, "Low Usage", IF(#REF! &lt;= 40, "Medium Usgae", "High Usage")))</f>
        <v>#REF!</v>
      </c>
      <c r="AD2597" t="e">
        <f>IF(#REF!&lt;=150,"Low Usage", IF(#REF!&lt;=200,"Medium Usage", IF(#REF!&lt;=250,"High Usage","Very High Usage")))</f>
        <v>#REF!</v>
      </c>
      <c r="AE2597" t="e">
        <f>IF(#REF!&lt;=5,"Low Calls", IF(#REF!&lt;=10, "Medium Calls", "High Calls"))</f>
        <v>#REF!</v>
      </c>
      <c r="AF2597" t="e">
        <f xml:space="preserve">
IF(#REF!&gt;=4,4,0)+
IF(#REF!="yes",3,0)+
IF(#REF!="High Charges",3,0)+
IF(#REF!&gt;250,4,0)+
IF(#REF!="no",1,0)+
IF(#REF!="Heavy Domestic User",2,0)</f>
        <v>#REF!</v>
      </c>
      <c r="AG2597" t="e">
        <f>IF(#REF!&gt;=10,"High Risk", IF(#REF!&gt;=5,"Medium Risk","Low Risk"))</f>
        <v>#REF!</v>
      </c>
      <c r="AH2597" t="e">
        <f>#REF! + #REF! + #REF! + #REF!</f>
        <v>#REF!</v>
      </c>
    </row>
    <row r="2598" spans="1:34" x14ac:dyDescent="0.35">
      <c r="A2598">
        <v>2597</v>
      </c>
      <c r="B2598" t="s">
        <v>43</v>
      </c>
      <c r="C2598">
        <v>78</v>
      </c>
      <c r="D2598" t="s">
        <v>21</v>
      </c>
      <c r="E2598" t="s">
        <v>22</v>
      </c>
      <c r="F2598" t="s">
        <v>23</v>
      </c>
      <c r="G2598">
        <v>21</v>
      </c>
      <c r="H2598">
        <v>160.6</v>
      </c>
      <c r="I2598">
        <v>85</v>
      </c>
      <c r="J2598">
        <v>27.3</v>
      </c>
      <c r="K2598">
        <v>223.1</v>
      </c>
      <c r="L2598">
        <v>79</v>
      </c>
      <c r="M2598">
        <v>18.96</v>
      </c>
      <c r="N2598">
        <v>124</v>
      </c>
      <c r="O2598">
        <v>92</v>
      </c>
      <c r="P2598">
        <v>5.58</v>
      </c>
      <c r="Q2598">
        <v>9.5</v>
      </c>
      <c r="R2598">
        <v>1</v>
      </c>
      <c r="S2598">
        <v>2.57</v>
      </c>
      <c r="T2598">
        <v>2</v>
      </c>
      <c r="U2598" t="s">
        <v>22</v>
      </c>
      <c r="V2598" t="e">
        <f>IF(#REF! = "yes", 1, 0)</f>
        <v>#REF!</v>
      </c>
      <c r="W2598" t="e">
        <f>IF(#REF! &lt;= 1, "0-1 Calls", IF(#REF! &lt;= 3, "2-3 Calls", IF(#REF! &lt;=5, "4-5 Calls", "6+ Calls")))</f>
        <v>#REF!</v>
      </c>
      <c r="X2598" t="e">
        <f>IF(#REF! &lt;= 50, "0-50", IF(#REF! &lt;=100, "51-100", IF(#REF! &lt;= 150, "101-150", "151+")))</f>
        <v>#REF!</v>
      </c>
      <c r="Y2598" t="e">
        <f>IF(#REF! &lt;= 3, "Low Charges", "High Charges")</f>
        <v>#REF!</v>
      </c>
      <c r="Z2598" t="e">
        <f>IF(#REF!&lt;=80,"Low Calls",
IF(#REF!&lt;=120,"Medium Calls","High Calls"))</f>
        <v>#REF!</v>
      </c>
      <c r="AA2598" t="e">
        <f>IF(#REF!&lt;=15,"Low Charges",
IF(#REF!&lt;=20,"Medium Charges","High Charges"))</f>
        <v>#REF!</v>
      </c>
      <c r="AB2598" t="e">
        <f>IF(AND(#REF!&gt;180, #REF!&gt;200), "Heavy Doemstic User", IF(#REF!&gt;10, "Interntional User", IF(AND(#REF!&lt;180, #REF!&lt;200,#REF!&lt;200), "Light User", "Balanced User")))</f>
        <v>#REF!</v>
      </c>
      <c r="AC2598" t="e">
        <f>IF(#REF! = 0, "No Usage", IF(#REF! &lt;= 20, "Low Usage", IF(#REF! &lt;= 40, "Medium Usgae", "High Usage")))</f>
        <v>#REF!</v>
      </c>
      <c r="AD2598" t="e">
        <f>IF(#REF!&lt;=150,"Low Usage", IF(#REF!&lt;=200,"Medium Usage", IF(#REF!&lt;=250,"High Usage","Very High Usage")))</f>
        <v>#REF!</v>
      </c>
      <c r="AE2598" t="e">
        <f>IF(#REF!&lt;=5,"Low Calls", IF(#REF!&lt;=10, "Medium Calls", "High Calls"))</f>
        <v>#REF!</v>
      </c>
      <c r="AF2598" t="e">
        <f xml:space="preserve">
IF(#REF!&gt;=4,4,0)+
IF(#REF!="yes",3,0)+
IF(#REF!="High Charges",3,0)+
IF(#REF!&gt;250,4,0)+
IF(#REF!="no",1,0)+
IF(#REF!="Heavy Domestic User",2,0)</f>
        <v>#REF!</v>
      </c>
      <c r="AG2598" t="e">
        <f>IF(#REF!&gt;=10,"High Risk", IF(#REF!&gt;=5,"Medium Risk","Low Risk"))</f>
        <v>#REF!</v>
      </c>
      <c r="AH2598" t="e">
        <f>#REF! + #REF! + #REF! + #REF!</f>
        <v>#REF!</v>
      </c>
    </row>
    <row r="2599" spans="1:34" x14ac:dyDescent="0.35">
      <c r="A2599">
        <v>2598</v>
      </c>
      <c r="B2599" t="s">
        <v>32</v>
      </c>
      <c r="C2599">
        <v>148</v>
      </c>
      <c r="D2599" t="s">
        <v>21</v>
      </c>
      <c r="E2599" t="s">
        <v>22</v>
      </c>
      <c r="F2599" t="s">
        <v>23</v>
      </c>
      <c r="G2599">
        <v>26</v>
      </c>
      <c r="H2599">
        <v>158.69999999999999</v>
      </c>
      <c r="I2599">
        <v>91</v>
      </c>
      <c r="J2599">
        <v>26.98</v>
      </c>
      <c r="K2599">
        <v>160.5</v>
      </c>
      <c r="L2599">
        <v>127</v>
      </c>
      <c r="M2599">
        <v>13.64</v>
      </c>
      <c r="N2599">
        <v>218.3</v>
      </c>
      <c r="O2599">
        <v>88</v>
      </c>
      <c r="P2599">
        <v>9.82</v>
      </c>
      <c r="Q2599">
        <v>9.9</v>
      </c>
      <c r="R2599">
        <v>3</v>
      </c>
      <c r="S2599">
        <v>2.67</v>
      </c>
      <c r="T2599">
        <v>1</v>
      </c>
      <c r="U2599" t="s">
        <v>22</v>
      </c>
      <c r="V2599" t="e">
        <f>IF(#REF! = "yes", 1, 0)</f>
        <v>#REF!</v>
      </c>
      <c r="W2599" t="e">
        <f>IF(#REF! &lt;= 1, "0-1 Calls", IF(#REF! &lt;= 3, "2-3 Calls", IF(#REF! &lt;=5, "4-5 Calls", "6+ Calls")))</f>
        <v>#REF!</v>
      </c>
      <c r="X2599" t="e">
        <f>IF(#REF! &lt;= 50, "0-50", IF(#REF! &lt;=100, "51-100", IF(#REF! &lt;= 150, "101-150", "151+")))</f>
        <v>#REF!</v>
      </c>
      <c r="Y2599" t="e">
        <f>IF(#REF! &lt;= 3, "Low Charges", "High Charges")</f>
        <v>#REF!</v>
      </c>
      <c r="Z2599" t="e">
        <f>IF(#REF!&lt;=80,"Low Calls",
IF(#REF!&lt;=120,"Medium Calls","High Calls"))</f>
        <v>#REF!</v>
      </c>
      <c r="AA2599" t="e">
        <f>IF(#REF!&lt;=15,"Low Charges",
IF(#REF!&lt;=20,"Medium Charges","High Charges"))</f>
        <v>#REF!</v>
      </c>
      <c r="AB2599" t="e">
        <f>IF(AND(#REF!&gt;180, #REF!&gt;200), "Heavy Doemstic User", IF(#REF!&gt;10, "Interntional User", IF(AND(#REF!&lt;180, #REF!&lt;200,#REF!&lt;200), "Light User", "Balanced User")))</f>
        <v>#REF!</v>
      </c>
      <c r="AC2599" t="e">
        <f>IF(#REF! = 0, "No Usage", IF(#REF! &lt;= 20, "Low Usage", IF(#REF! &lt;= 40, "Medium Usgae", "High Usage")))</f>
        <v>#REF!</v>
      </c>
      <c r="AD2599" t="e">
        <f>IF(#REF!&lt;=150,"Low Usage", IF(#REF!&lt;=200,"Medium Usage", IF(#REF!&lt;=250,"High Usage","Very High Usage")))</f>
        <v>#REF!</v>
      </c>
      <c r="AE2599" t="e">
        <f>IF(#REF!&lt;=5,"Low Calls", IF(#REF!&lt;=10, "Medium Calls", "High Calls"))</f>
        <v>#REF!</v>
      </c>
      <c r="AF2599" t="e">
        <f xml:space="preserve">
IF(#REF!&gt;=4,4,0)+
IF(#REF!="yes",3,0)+
IF(#REF!="High Charges",3,0)+
IF(#REF!&gt;250,4,0)+
IF(#REF!="no",1,0)+
IF(#REF!="Heavy Domestic User",2,0)</f>
        <v>#REF!</v>
      </c>
      <c r="AG2599" t="e">
        <f>IF(#REF!&gt;=10,"High Risk", IF(#REF!&gt;=5,"Medium Risk","Low Risk"))</f>
        <v>#REF!</v>
      </c>
      <c r="AH2599" t="e">
        <f>#REF! + #REF! + #REF! + #REF!</f>
        <v>#REF!</v>
      </c>
    </row>
    <row r="2600" spans="1:34" x14ac:dyDescent="0.35">
      <c r="A2600">
        <v>2599</v>
      </c>
      <c r="B2600" t="s">
        <v>49</v>
      </c>
      <c r="C2600">
        <v>154</v>
      </c>
      <c r="D2600" t="s">
        <v>28</v>
      </c>
      <c r="E2600" t="s">
        <v>22</v>
      </c>
      <c r="F2600" t="s">
        <v>22</v>
      </c>
      <c r="G2600">
        <v>0</v>
      </c>
      <c r="H2600">
        <v>154.5</v>
      </c>
      <c r="I2600">
        <v>122</v>
      </c>
      <c r="J2600">
        <v>26.27</v>
      </c>
      <c r="K2600">
        <v>214.2</v>
      </c>
      <c r="L2600">
        <v>71</v>
      </c>
      <c r="M2600">
        <v>18.21</v>
      </c>
      <c r="N2600">
        <v>178</v>
      </c>
      <c r="O2600">
        <v>105</v>
      </c>
      <c r="P2600">
        <v>8.01</v>
      </c>
      <c r="Q2600">
        <v>12</v>
      </c>
      <c r="R2600">
        <v>2</v>
      </c>
      <c r="S2600">
        <v>3.24</v>
      </c>
      <c r="T2600">
        <v>3</v>
      </c>
      <c r="U2600" t="s">
        <v>23</v>
      </c>
      <c r="V2600" t="e">
        <f>IF(#REF! = "yes", 1, 0)</f>
        <v>#REF!</v>
      </c>
      <c r="W2600" t="e">
        <f>IF(#REF! &lt;= 1, "0-1 Calls", IF(#REF! &lt;= 3, "2-3 Calls", IF(#REF! &lt;=5, "4-5 Calls", "6+ Calls")))</f>
        <v>#REF!</v>
      </c>
      <c r="X2600" t="e">
        <f>IF(#REF! &lt;= 50, "0-50", IF(#REF! &lt;=100, "51-100", IF(#REF! &lt;= 150, "101-150", "151+")))</f>
        <v>#REF!</v>
      </c>
      <c r="Y2600" t="e">
        <f>IF(#REF! &lt;= 3, "Low Charges", "High Charges")</f>
        <v>#REF!</v>
      </c>
      <c r="Z2600" t="e">
        <f>IF(#REF!&lt;=80,"Low Calls",
IF(#REF!&lt;=120,"Medium Calls","High Calls"))</f>
        <v>#REF!</v>
      </c>
      <c r="AA2600" t="e">
        <f>IF(#REF!&lt;=15,"Low Charges",
IF(#REF!&lt;=20,"Medium Charges","High Charges"))</f>
        <v>#REF!</v>
      </c>
      <c r="AB2600" t="e">
        <f>IF(AND(#REF!&gt;180, #REF!&gt;200), "Heavy Doemstic User", IF(#REF!&gt;10, "Interntional User", IF(AND(#REF!&lt;180, #REF!&lt;200,#REF!&lt;200), "Light User", "Balanced User")))</f>
        <v>#REF!</v>
      </c>
      <c r="AC2600" t="e">
        <f>IF(#REF! = 0, "No Usage", IF(#REF! &lt;= 20, "Low Usage", IF(#REF! &lt;= 40, "Medium Usgae", "High Usage")))</f>
        <v>#REF!</v>
      </c>
      <c r="AD2600" t="e">
        <f>IF(#REF!&lt;=150,"Low Usage", IF(#REF!&lt;=200,"Medium Usage", IF(#REF!&lt;=250,"High Usage","Very High Usage")))</f>
        <v>#REF!</v>
      </c>
      <c r="AE2600" t="e">
        <f>IF(#REF!&lt;=5,"Low Calls", IF(#REF!&lt;=10, "Medium Calls", "High Calls"))</f>
        <v>#REF!</v>
      </c>
      <c r="AF2600" t="e">
        <f xml:space="preserve">
IF(#REF!&gt;=4,4,0)+
IF(#REF!="yes",3,0)+
IF(#REF!="High Charges",3,0)+
IF(#REF!&gt;250,4,0)+
IF(#REF!="no",1,0)+
IF(#REF!="Heavy Domestic User",2,0)</f>
        <v>#REF!</v>
      </c>
      <c r="AG2600" t="e">
        <f>IF(#REF!&gt;=10,"High Risk", IF(#REF!&gt;=5,"Medium Risk","Low Risk"))</f>
        <v>#REF!</v>
      </c>
      <c r="AH2600" t="e">
        <f>#REF! + #REF! + #REF! + #REF!</f>
        <v>#REF!</v>
      </c>
    </row>
    <row r="2601" spans="1:34" x14ac:dyDescent="0.35">
      <c r="A2601">
        <v>2600</v>
      </c>
      <c r="B2601" t="s">
        <v>62</v>
      </c>
      <c r="C2601">
        <v>110</v>
      </c>
      <c r="D2601" t="s">
        <v>25</v>
      </c>
      <c r="E2601" t="s">
        <v>22</v>
      </c>
      <c r="F2601" t="s">
        <v>23</v>
      </c>
      <c r="G2601">
        <v>34</v>
      </c>
      <c r="H2601">
        <v>192.3</v>
      </c>
      <c r="I2601">
        <v>114</v>
      </c>
      <c r="J2601">
        <v>32.69</v>
      </c>
      <c r="K2601">
        <v>129.30000000000001</v>
      </c>
      <c r="L2601">
        <v>114</v>
      </c>
      <c r="M2601">
        <v>10.99</v>
      </c>
      <c r="N2601">
        <v>136.30000000000001</v>
      </c>
      <c r="O2601">
        <v>102</v>
      </c>
      <c r="P2601">
        <v>6.13</v>
      </c>
      <c r="Q2601">
        <v>6.3</v>
      </c>
      <c r="R2601">
        <v>12</v>
      </c>
      <c r="S2601">
        <v>1.7</v>
      </c>
      <c r="T2601">
        <v>1</v>
      </c>
      <c r="U2601" t="s">
        <v>22</v>
      </c>
      <c r="V2601" t="e">
        <f>IF(#REF! = "yes", 1, 0)</f>
        <v>#REF!</v>
      </c>
      <c r="W2601" t="e">
        <f>IF(#REF! &lt;= 1, "0-1 Calls", IF(#REF! &lt;= 3, "2-3 Calls", IF(#REF! &lt;=5, "4-5 Calls", "6+ Calls")))</f>
        <v>#REF!</v>
      </c>
      <c r="X2601" t="e">
        <f>IF(#REF! &lt;= 50, "0-50", IF(#REF! &lt;=100, "51-100", IF(#REF! &lt;= 150, "101-150", "151+")))</f>
        <v>#REF!</v>
      </c>
      <c r="Y2601" t="e">
        <f>IF(#REF! &lt;= 3, "Low Charges", "High Charges")</f>
        <v>#REF!</v>
      </c>
      <c r="Z2601" t="e">
        <f>IF(#REF!&lt;=80,"Low Calls",
IF(#REF!&lt;=120,"Medium Calls","High Calls"))</f>
        <v>#REF!</v>
      </c>
      <c r="AA2601" t="e">
        <f>IF(#REF!&lt;=15,"Low Charges",
IF(#REF!&lt;=20,"Medium Charges","High Charges"))</f>
        <v>#REF!</v>
      </c>
      <c r="AB2601" t="e">
        <f>IF(AND(#REF!&gt;180, #REF!&gt;200), "Heavy Doemstic User", IF(#REF!&gt;10, "Interntional User", IF(AND(#REF!&lt;180, #REF!&lt;200,#REF!&lt;200), "Light User", "Balanced User")))</f>
        <v>#REF!</v>
      </c>
      <c r="AC2601" t="e">
        <f>IF(#REF! = 0, "No Usage", IF(#REF! &lt;= 20, "Low Usage", IF(#REF! &lt;= 40, "Medium Usgae", "High Usage")))</f>
        <v>#REF!</v>
      </c>
      <c r="AD2601" t="e">
        <f>IF(#REF!&lt;=150,"Low Usage", IF(#REF!&lt;=200,"Medium Usage", IF(#REF!&lt;=250,"High Usage","Very High Usage")))</f>
        <v>#REF!</v>
      </c>
      <c r="AE2601" t="e">
        <f>IF(#REF!&lt;=5,"Low Calls", IF(#REF!&lt;=10, "Medium Calls", "High Calls"))</f>
        <v>#REF!</v>
      </c>
      <c r="AF2601" t="e">
        <f xml:space="preserve">
IF(#REF!&gt;=4,4,0)+
IF(#REF!="yes",3,0)+
IF(#REF!="High Charges",3,0)+
IF(#REF!&gt;250,4,0)+
IF(#REF!="no",1,0)+
IF(#REF!="Heavy Domestic User",2,0)</f>
        <v>#REF!</v>
      </c>
      <c r="AG2601" t="e">
        <f>IF(#REF!&gt;=10,"High Risk", IF(#REF!&gt;=5,"Medium Risk","Low Risk"))</f>
        <v>#REF!</v>
      </c>
      <c r="AH2601" t="e">
        <f>#REF! + #REF! + #REF! + #REF!</f>
        <v>#REF!</v>
      </c>
    </row>
    <row r="2602" spans="1:34" x14ac:dyDescent="0.35">
      <c r="A2602">
        <v>2601</v>
      </c>
      <c r="B2602" t="s">
        <v>39</v>
      </c>
      <c r="C2602">
        <v>75</v>
      </c>
      <c r="D2602" t="s">
        <v>21</v>
      </c>
      <c r="E2602" t="s">
        <v>22</v>
      </c>
      <c r="F2602" t="s">
        <v>22</v>
      </c>
      <c r="G2602">
        <v>0</v>
      </c>
      <c r="H2602">
        <v>305.10000000000002</v>
      </c>
      <c r="I2602">
        <v>106</v>
      </c>
      <c r="J2602">
        <v>51.87</v>
      </c>
      <c r="K2602">
        <v>188</v>
      </c>
      <c r="L2602">
        <v>115</v>
      </c>
      <c r="M2602">
        <v>15.98</v>
      </c>
      <c r="N2602">
        <v>235.4</v>
      </c>
      <c r="O2602">
        <v>116</v>
      </c>
      <c r="P2602">
        <v>10.59</v>
      </c>
      <c r="Q2602">
        <v>8.5</v>
      </c>
      <c r="R2602">
        <v>5</v>
      </c>
      <c r="S2602">
        <v>2.2999999999999998</v>
      </c>
      <c r="T2602">
        <v>0</v>
      </c>
      <c r="U2602" t="s">
        <v>23</v>
      </c>
      <c r="V2602" t="e">
        <f>IF(#REF! = "yes", 1, 0)</f>
        <v>#REF!</v>
      </c>
      <c r="W2602" t="e">
        <f>IF(#REF! &lt;= 1, "0-1 Calls", IF(#REF! &lt;= 3, "2-3 Calls", IF(#REF! &lt;=5, "4-5 Calls", "6+ Calls")))</f>
        <v>#REF!</v>
      </c>
      <c r="X2602" t="e">
        <f>IF(#REF! &lt;= 50, "0-50", IF(#REF! &lt;=100, "51-100", IF(#REF! &lt;= 150, "101-150", "151+")))</f>
        <v>#REF!</v>
      </c>
      <c r="Y2602" t="e">
        <f>IF(#REF! &lt;= 3, "Low Charges", "High Charges")</f>
        <v>#REF!</v>
      </c>
      <c r="Z2602" t="e">
        <f>IF(#REF!&lt;=80,"Low Calls",
IF(#REF!&lt;=120,"Medium Calls","High Calls"))</f>
        <v>#REF!</v>
      </c>
      <c r="AA2602" t="e">
        <f>IF(#REF!&lt;=15,"Low Charges",
IF(#REF!&lt;=20,"Medium Charges","High Charges"))</f>
        <v>#REF!</v>
      </c>
      <c r="AB2602" t="e">
        <f>IF(AND(#REF!&gt;180, #REF!&gt;200), "Heavy Doemstic User", IF(#REF!&gt;10, "Interntional User", IF(AND(#REF!&lt;180, #REF!&lt;200,#REF!&lt;200), "Light User", "Balanced User")))</f>
        <v>#REF!</v>
      </c>
      <c r="AC2602" t="e">
        <f>IF(#REF! = 0, "No Usage", IF(#REF! &lt;= 20, "Low Usage", IF(#REF! &lt;= 40, "Medium Usgae", "High Usage")))</f>
        <v>#REF!</v>
      </c>
      <c r="AD2602" t="e">
        <f>IF(#REF!&lt;=150,"Low Usage", IF(#REF!&lt;=200,"Medium Usage", IF(#REF!&lt;=250,"High Usage","Very High Usage")))</f>
        <v>#REF!</v>
      </c>
      <c r="AE2602" t="e">
        <f>IF(#REF!&lt;=5,"Low Calls", IF(#REF!&lt;=10, "Medium Calls", "High Calls"))</f>
        <v>#REF!</v>
      </c>
      <c r="AF2602" t="e">
        <f xml:space="preserve">
IF(#REF!&gt;=4,4,0)+
IF(#REF!="yes",3,0)+
IF(#REF!="High Charges",3,0)+
IF(#REF!&gt;250,4,0)+
IF(#REF!="no",1,0)+
IF(#REF!="Heavy Domestic User",2,0)</f>
        <v>#REF!</v>
      </c>
      <c r="AG2602" t="e">
        <f>IF(#REF!&gt;=10,"High Risk", IF(#REF!&gt;=5,"Medium Risk","Low Risk"))</f>
        <v>#REF!</v>
      </c>
      <c r="AH2602" t="e">
        <f>#REF! + #REF! + #REF! + #REF!</f>
        <v>#REF!</v>
      </c>
    </row>
    <row r="2603" spans="1:34" x14ac:dyDescent="0.35">
      <c r="A2603">
        <v>2602</v>
      </c>
      <c r="B2603" t="s">
        <v>31</v>
      </c>
      <c r="C2603">
        <v>113</v>
      </c>
      <c r="D2603" t="s">
        <v>28</v>
      </c>
      <c r="E2603" t="s">
        <v>22</v>
      </c>
      <c r="F2603" t="s">
        <v>22</v>
      </c>
      <c r="G2603">
        <v>0</v>
      </c>
      <c r="H2603">
        <v>72.5</v>
      </c>
      <c r="I2603">
        <v>88</v>
      </c>
      <c r="J2603">
        <v>12.33</v>
      </c>
      <c r="K2603">
        <v>204</v>
      </c>
      <c r="L2603">
        <v>112</v>
      </c>
      <c r="M2603">
        <v>17.34</v>
      </c>
      <c r="N2603">
        <v>117.9</v>
      </c>
      <c r="O2603">
        <v>118</v>
      </c>
      <c r="P2603">
        <v>5.31</v>
      </c>
      <c r="Q2603">
        <v>6.6</v>
      </c>
      <c r="R2603">
        <v>3</v>
      </c>
      <c r="S2603">
        <v>1.78</v>
      </c>
      <c r="T2603">
        <v>1</v>
      </c>
      <c r="U2603" t="s">
        <v>22</v>
      </c>
      <c r="V2603" t="e">
        <f>IF(#REF! = "yes", 1, 0)</f>
        <v>#REF!</v>
      </c>
      <c r="W2603" t="e">
        <f>IF(#REF! &lt;= 1, "0-1 Calls", IF(#REF! &lt;= 3, "2-3 Calls", IF(#REF! &lt;=5, "4-5 Calls", "6+ Calls")))</f>
        <v>#REF!</v>
      </c>
      <c r="X2603" t="e">
        <f>IF(#REF! &lt;= 50, "0-50", IF(#REF! &lt;=100, "51-100", IF(#REF! &lt;= 150, "101-150", "151+")))</f>
        <v>#REF!</v>
      </c>
      <c r="Y2603" t="e">
        <f>IF(#REF! &lt;= 3, "Low Charges", "High Charges")</f>
        <v>#REF!</v>
      </c>
      <c r="Z2603" t="e">
        <f>IF(#REF!&lt;=80,"Low Calls",
IF(#REF!&lt;=120,"Medium Calls","High Calls"))</f>
        <v>#REF!</v>
      </c>
      <c r="AA2603" t="e">
        <f>IF(#REF!&lt;=15,"Low Charges",
IF(#REF!&lt;=20,"Medium Charges","High Charges"))</f>
        <v>#REF!</v>
      </c>
      <c r="AB2603" t="e">
        <f>IF(AND(#REF!&gt;180, #REF!&gt;200), "Heavy Doemstic User", IF(#REF!&gt;10, "Interntional User", IF(AND(#REF!&lt;180, #REF!&lt;200,#REF!&lt;200), "Light User", "Balanced User")))</f>
        <v>#REF!</v>
      </c>
      <c r="AC2603" t="e">
        <f>IF(#REF! = 0, "No Usage", IF(#REF! &lt;= 20, "Low Usage", IF(#REF! &lt;= 40, "Medium Usgae", "High Usage")))</f>
        <v>#REF!</v>
      </c>
      <c r="AD2603" t="e">
        <f>IF(#REF!&lt;=150,"Low Usage", IF(#REF!&lt;=200,"Medium Usage", IF(#REF!&lt;=250,"High Usage","Very High Usage")))</f>
        <v>#REF!</v>
      </c>
      <c r="AE2603" t="e">
        <f>IF(#REF!&lt;=5,"Low Calls", IF(#REF!&lt;=10, "Medium Calls", "High Calls"))</f>
        <v>#REF!</v>
      </c>
      <c r="AF2603" t="e">
        <f xml:space="preserve">
IF(#REF!&gt;=4,4,0)+
IF(#REF!="yes",3,0)+
IF(#REF!="High Charges",3,0)+
IF(#REF!&gt;250,4,0)+
IF(#REF!="no",1,0)+
IF(#REF!="Heavy Domestic User",2,0)</f>
        <v>#REF!</v>
      </c>
      <c r="AG2603" t="e">
        <f>IF(#REF!&gt;=10,"High Risk", IF(#REF!&gt;=5,"Medium Risk","Low Risk"))</f>
        <v>#REF!</v>
      </c>
      <c r="AH2603" t="e">
        <f>#REF! + #REF! + #REF! + #REF!</f>
        <v>#REF!</v>
      </c>
    </row>
    <row r="2604" spans="1:34" x14ac:dyDescent="0.35">
      <c r="A2604">
        <v>2603</v>
      </c>
      <c r="B2604" t="s">
        <v>41</v>
      </c>
      <c r="C2604">
        <v>181</v>
      </c>
      <c r="D2604" t="s">
        <v>28</v>
      </c>
      <c r="E2604" t="s">
        <v>22</v>
      </c>
      <c r="F2604" t="s">
        <v>23</v>
      </c>
      <c r="G2604">
        <v>40</v>
      </c>
      <c r="H2604">
        <v>105.2</v>
      </c>
      <c r="I2604">
        <v>61</v>
      </c>
      <c r="J2604">
        <v>17.88</v>
      </c>
      <c r="K2604">
        <v>341.3</v>
      </c>
      <c r="L2604">
        <v>79</v>
      </c>
      <c r="M2604">
        <v>29.01</v>
      </c>
      <c r="N2604">
        <v>165.7</v>
      </c>
      <c r="O2604">
        <v>97</v>
      </c>
      <c r="P2604">
        <v>7.46</v>
      </c>
      <c r="Q2604">
        <v>6.3</v>
      </c>
      <c r="R2604">
        <v>3</v>
      </c>
      <c r="S2604">
        <v>1.7</v>
      </c>
      <c r="T2604">
        <v>2</v>
      </c>
      <c r="U2604" t="s">
        <v>22</v>
      </c>
      <c r="V2604" t="e">
        <f>IF(#REF! = "yes", 1, 0)</f>
        <v>#REF!</v>
      </c>
      <c r="W2604" t="e">
        <f>IF(#REF! &lt;= 1, "0-1 Calls", IF(#REF! &lt;= 3, "2-3 Calls", IF(#REF! &lt;=5, "4-5 Calls", "6+ Calls")))</f>
        <v>#REF!</v>
      </c>
      <c r="X2604" t="e">
        <f>IF(#REF! &lt;= 50, "0-50", IF(#REF! &lt;=100, "51-100", IF(#REF! &lt;= 150, "101-150", "151+")))</f>
        <v>#REF!</v>
      </c>
      <c r="Y2604" t="e">
        <f>IF(#REF! &lt;= 3, "Low Charges", "High Charges")</f>
        <v>#REF!</v>
      </c>
      <c r="Z2604" t="e">
        <f>IF(#REF!&lt;=80,"Low Calls",
IF(#REF!&lt;=120,"Medium Calls","High Calls"))</f>
        <v>#REF!</v>
      </c>
      <c r="AA2604" t="e">
        <f>IF(#REF!&lt;=15,"Low Charges",
IF(#REF!&lt;=20,"Medium Charges","High Charges"))</f>
        <v>#REF!</v>
      </c>
      <c r="AB2604" t="e">
        <f>IF(AND(#REF!&gt;180, #REF!&gt;200), "Heavy Doemstic User", IF(#REF!&gt;10, "Interntional User", IF(AND(#REF!&lt;180, #REF!&lt;200,#REF!&lt;200), "Light User", "Balanced User")))</f>
        <v>#REF!</v>
      </c>
      <c r="AC2604" t="e">
        <f>IF(#REF! = 0, "No Usage", IF(#REF! &lt;= 20, "Low Usage", IF(#REF! &lt;= 40, "Medium Usgae", "High Usage")))</f>
        <v>#REF!</v>
      </c>
      <c r="AD2604" t="e">
        <f>IF(#REF!&lt;=150,"Low Usage", IF(#REF!&lt;=200,"Medium Usage", IF(#REF!&lt;=250,"High Usage","Very High Usage")))</f>
        <v>#REF!</v>
      </c>
      <c r="AE2604" t="e">
        <f>IF(#REF!&lt;=5,"Low Calls", IF(#REF!&lt;=10, "Medium Calls", "High Calls"))</f>
        <v>#REF!</v>
      </c>
      <c r="AF2604" t="e">
        <f xml:space="preserve">
IF(#REF!&gt;=4,4,0)+
IF(#REF!="yes",3,0)+
IF(#REF!="High Charges",3,0)+
IF(#REF!&gt;250,4,0)+
IF(#REF!="no",1,0)+
IF(#REF!="Heavy Domestic User",2,0)</f>
        <v>#REF!</v>
      </c>
      <c r="AG2604" t="e">
        <f>IF(#REF!&gt;=10,"High Risk", IF(#REF!&gt;=5,"Medium Risk","Low Risk"))</f>
        <v>#REF!</v>
      </c>
      <c r="AH2604" t="e">
        <f>#REF! + #REF! + #REF! + #REF!</f>
        <v>#REF!</v>
      </c>
    </row>
    <row r="2605" spans="1:34" x14ac:dyDescent="0.35">
      <c r="A2605">
        <v>2604</v>
      </c>
      <c r="B2605" t="s">
        <v>39</v>
      </c>
      <c r="C2605">
        <v>51</v>
      </c>
      <c r="D2605" t="s">
        <v>21</v>
      </c>
      <c r="E2605" t="s">
        <v>22</v>
      </c>
      <c r="F2605" t="s">
        <v>22</v>
      </c>
      <c r="G2605">
        <v>0</v>
      </c>
      <c r="H2605">
        <v>180.5</v>
      </c>
      <c r="I2605">
        <v>88</v>
      </c>
      <c r="J2605">
        <v>30.69</v>
      </c>
      <c r="K2605">
        <v>134.69999999999999</v>
      </c>
      <c r="L2605">
        <v>102</v>
      </c>
      <c r="M2605">
        <v>11.45</v>
      </c>
      <c r="N2605">
        <v>170.7</v>
      </c>
      <c r="O2605">
        <v>97</v>
      </c>
      <c r="P2605">
        <v>7.68</v>
      </c>
      <c r="Q2605">
        <v>10</v>
      </c>
      <c r="R2605">
        <v>3</v>
      </c>
      <c r="S2605">
        <v>2.7</v>
      </c>
      <c r="T2605">
        <v>2</v>
      </c>
      <c r="U2605" t="s">
        <v>22</v>
      </c>
      <c r="V2605" t="e">
        <f>IF(#REF! = "yes", 1, 0)</f>
        <v>#REF!</v>
      </c>
      <c r="W2605" t="e">
        <f>IF(#REF! &lt;= 1, "0-1 Calls", IF(#REF! &lt;= 3, "2-3 Calls", IF(#REF! &lt;=5, "4-5 Calls", "6+ Calls")))</f>
        <v>#REF!</v>
      </c>
      <c r="X2605" t="e">
        <f>IF(#REF! &lt;= 50, "0-50", IF(#REF! &lt;=100, "51-100", IF(#REF! &lt;= 150, "101-150", "151+")))</f>
        <v>#REF!</v>
      </c>
      <c r="Y2605" t="e">
        <f>IF(#REF! &lt;= 3, "Low Charges", "High Charges")</f>
        <v>#REF!</v>
      </c>
      <c r="Z2605" t="e">
        <f>IF(#REF!&lt;=80,"Low Calls",
IF(#REF!&lt;=120,"Medium Calls","High Calls"))</f>
        <v>#REF!</v>
      </c>
      <c r="AA2605" t="e">
        <f>IF(#REF!&lt;=15,"Low Charges",
IF(#REF!&lt;=20,"Medium Charges","High Charges"))</f>
        <v>#REF!</v>
      </c>
      <c r="AB2605" t="e">
        <f>IF(AND(#REF!&gt;180, #REF!&gt;200), "Heavy Doemstic User", IF(#REF!&gt;10, "Interntional User", IF(AND(#REF!&lt;180, #REF!&lt;200,#REF!&lt;200), "Light User", "Balanced User")))</f>
        <v>#REF!</v>
      </c>
      <c r="AC2605" t="e">
        <f>IF(#REF! = 0, "No Usage", IF(#REF! &lt;= 20, "Low Usage", IF(#REF! &lt;= 40, "Medium Usgae", "High Usage")))</f>
        <v>#REF!</v>
      </c>
      <c r="AD2605" t="e">
        <f>IF(#REF!&lt;=150,"Low Usage", IF(#REF!&lt;=200,"Medium Usage", IF(#REF!&lt;=250,"High Usage","Very High Usage")))</f>
        <v>#REF!</v>
      </c>
      <c r="AE2605" t="e">
        <f>IF(#REF!&lt;=5,"Low Calls", IF(#REF!&lt;=10, "Medium Calls", "High Calls"))</f>
        <v>#REF!</v>
      </c>
      <c r="AF2605" t="e">
        <f xml:space="preserve">
IF(#REF!&gt;=4,4,0)+
IF(#REF!="yes",3,0)+
IF(#REF!="High Charges",3,0)+
IF(#REF!&gt;250,4,0)+
IF(#REF!="no",1,0)+
IF(#REF!="Heavy Domestic User",2,0)</f>
        <v>#REF!</v>
      </c>
      <c r="AG2605" t="e">
        <f>IF(#REF!&gt;=10,"High Risk", IF(#REF!&gt;=5,"Medium Risk","Low Risk"))</f>
        <v>#REF!</v>
      </c>
      <c r="AH2605" t="e">
        <f>#REF! + #REF! + #REF! + #REF!</f>
        <v>#REF!</v>
      </c>
    </row>
    <row r="2606" spans="1:34" x14ac:dyDescent="0.35">
      <c r="A2606">
        <v>2605</v>
      </c>
      <c r="B2606" t="s">
        <v>40</v>
      </c>
      <c r="C2606">
        <v>102</v>
      </c>
      <c r="D2606" t="s">
        <v>25</v>
      </c>
      <c r="E2606" t="s">
        <v>22</v>
      </c>
      <c r="F2606" t="s">
        <v>23</v>
      </c>
      <c r="G2606">
        <v>29</v>
      </c>
      <c r="H2606">
        <v>214.7</v>
      </c>
      <c r="I2606">
        <v>86</v>
      </c>
      <c r="J2606">
        <v>36.5</v>
      </c>
      <c r="K2606">
        <v>314.3</v>
      </c>
      <c r="L2606">
        <v>109</v>
      </c>
      <c r="M2606">
        <v>26.72</v>
      </c>
      <c r="N2606">
        <v>280.2</v>
      </c>
      <c r="O2606">
        <v>110</v>
      </c>
      <c r="P2606">
        <v>12.61</v>
      </c>
      <c r="Q2606">
        <v>14.3</v>
      </c>
      <c r="R2606">
        <v>2</v>
      </c>
      <c r="S2606">
        <v>3.86</v>
      </c>
      <c r="T2606">
        <v>0</v>
      </c>
      <c r="U2606" t="s">
        <v>22</v>
      </c>
      <c r="V2606" t="e">
        <f>IF(#REF! = "yes", 1, 0)</f>
        <v>#REF!</v>
      </c>
      <c r="W2606" t="e">
        <f>IF(#REF! &lt;= 1, "0-1 Calls", IF(#REF! &lt;= 3, "2-3 Calls", IF(#REF! &lt;=5, "4-5 Calls", "6+ Calls")))</f>
        <v>#REF!</v>
      </c>
      <c r="X2606" t="e">
        <f>IF(#REF! &lt;= 50, "0-50", IF(#REF! &lt;=100, "51-100", IF(#REF! &lt;= 150, "101-150", "151+")))</f>
        <v>#REF!</v>
      </c>
      <c r="Y2606" t="e">
        <f>IF(#REF! &lt;= 3, "Low Charges", "High Charges")</f>
        <v>#REF!</v>
      </c>
      <c r="Z2606" t="e">
        <f>IF(#REF!&lt;=80,"Low Calls",
IF(#REF!&lt;=120,"Medium Calls","High Calls"))</f>
        <v>#REF!</v>
      </c>
      <c r="AA2606" t="e">
        <f>IF(#REF!&lt;=15,"Low Charges",
IF(#REF!&lt;=20,"Medium Charges","High Charges"))</f>
        <v>#REF!</v>
      </c>
      <c r="AB2606" t="e">
        <f>IF(AND(#REF!&gt;180, #REF!&gt;200), "Heavy Doemstic User", IF(#REF!&gt;10, "Interntional User", IF(AND(#REF!&lt;180, #REF!&lt;200,#REF!&lt;200), "Light User", "Balanced User")))</f>
        <v>#REF!</v>
      </c>
      <c r="AC2606" t="e">
        <f>IF(#REF! = 0, "No Usage", IF(#REF! &lt;= 20, "Low Usage", IF(#REF! &lt;= 40, "Medium Usgae", "High Usage")))</f>
        <v>#REF!</v>
      </c>
      <c r="AD2606" t="e">
        <f>IF(#REF!&lt;=150,"Low Usage", IF(#REF!&lt;=200,"Medium Usage", IF(#REF!&lt;=250,"High Usage","Very High Usage")))</f>
        <v>#REF!</v>
      </c>
      <c r="AE2606" t="e">
        <f>IF(#REF!&lt;=5,"Low Calls", IF(#REF!&lt;=10, "Medium Calls", "High Calls"))</f>
        <v>#REF!</v>
      </c>
      <c r="AF2606" t="e">
        <f xml:space="preserve">
IF(#REF!&gt;=4,4,0)+
IF(#REF!="yes",3,0)+
IF(#REF!="High Charges",3,0)+
IF(#REF!&gt;250,4,0)+
IF(#REF!="no",1,0)+
IF(#REF!="Heavy Domestic User",2,0)</f>
        <v>#REF!</v>
      </c>
      <c r="AG2606" t="e">
        <f>IF(#REF!&gt;=10,"High Risk", IF(#REF!&gt;=5,"Medium Risk","Low Risk"))</f>
        <v>#REF!</v>
      </c>
      <c r="AH2606" t="e">
        <f>#REF! + #REF! + #REF! + #REF!</f>
        <v>#REF!</v>
      </c>
    </row>
    <row r="2607" spans="1:34" x14ac:dyDescent="0.35">
      <c r="A2607">
        <v>2606</v>
      </c>
      <c r="B2607" t="s">
        <v>68</v>
      </c>
      <c r="C2607">
        <v>107</v>
      </c>
      <c r="D2607" t="s">
        <v>25</v>
      </c>
      <c r="E2607" t="s">
        <v>22</v>
      </c>
      <c r="F2607" t="s">
        <v>22</v>
      </c>
      <c r="G2607">
        <v>0</v>
      </c>
      <c r="H2607">
        <v>86.8</v>
      </c>
      <c r="I2607">
        <v>95</v>
      </c>
      <c r="J2607">
        <v>14.76</v>
      </c>
      <c r="K2607">
        <v>108.1</v>
      </c>
      <c r="L2607">
        <v>85</v>
      </c>
      <c r="M2607">
        <v>9.19</v>
      </c>
      <c r="N2607">
        <v>204.3</v>
      </c>
      <c r="O2607">
        <v>87</v>
      </c>
      <c r="P2607">
        <v>9.19</v>
      </c>
      <c r="Q2607">
        <v>13.2</v>
      </c>
      <c r="R2607">
        <v>3</v>
      </c>
      <c r="S2607">
        <v>3.56</v>
      </c>
      <c r="T2607">
        <v>1</v>
      </c>
      <c r="U2607" t="s">
        <v>22</v>
      </c>
      <c r="V2607" t="e">
        <f>IF(#REF! = "yes", 1, 0)</f>
        <v>#REF!</v>
      </c>
      <c r="W2607" t="e">
        <f>IF(#REF! &lt;= 1, "0-1 Calls", IF(#REF! &lt;= 3, "2-3 Calls", IF(#REF! &lt;=5, "4-5 Calls", "6+ Calls")))</f>
        <v>#REF!</v>
      </c>
      <c r="X2607" t="e">
        <f>IF(#REF! &lt;= 50, "0-50", IF(#REF! &lt;=100, "51-100", IF(#REF! &lt;= 150, "101-150", "151+")))</f>
        <v>#REF!</v>
      </c>
      <c r="Y2607" t="e">
        <f>IF(#REF! &lt;= 3, "Low Charges", "High Charges")</f>
        <v>#REF!</v>
      </c>
      <c r="Z2607" t="e">
        <f>IF(#REF!&lt;=80,"Low Calls",
IF(#REF!&lt;=120,"Medium Calls","High Calls"))</f>
        <v>#REF!</v>
      </c>
      <c r="AA2607" t="e">
        <f>IF(#REF!&lt;=15,"Low Charges",
IF(#REF!&lt;=20,"Medium Charges","High Charges"))</f>
        <v>#REF!</v>
      </c>
      <c r="AB2607" t="e">
        <f>IF(AND(#REF!&gt;180, #REF!&gt;200), "Heavy Doemstic User", IF(#REF!&gt;10, "Interntional User", IF(AND(#REF!&lt;180, #REF!&lt;200,#REF!&lt;200), "Light User", "Balanced User")))</f>
        <v>#REF!</v>
      </c>
      <c r="AC2607" t="e">
        <f>IF(#REF! = 0, "No Usage", IF(#REF! &lt;= 20, "Low Usage", IF(#REF! &lt;= 40, "Medium Usgae", "High Usage")))</f>
        <v>#REF!</v>
      </c>
      <c r="AD2607" t="e">
        <f>IF(#REF!&lt;=150,"Low Usage", IF(#REF!&lt;=200,"Medium Usage", IF(#REF!&lt;=250,"High Usage","Very High Usage")))</f>
        <v>#REF!</v>
      </c>
      <c r="AE2607" t="e">
        <f>IF(#REF!&lt;=5,"Low Calls", IF(#REF!&lt;=10, "Medium Calls", "High Calls"))</f>
        <v>#REF!</v>
      </c>
      <c r="AF2607" t="e">
        <f xml:space="preserve">
IF(#REF!&gt;=4,4,0)+
IF(#REF!="yes",3,0)+
IF(#REF!="High Charges",3,0)+
IF(#REF!&gt;250,4,0)+
IF(#REF!="no",1,0)+
IF(#REF!="Heavy Domestic User",2,0)</f>
        <v>#REF!</v>
      </c>
      <c r="AG2607" t="e">
        <f>IF(#REF!&gt;=10,"High Risk", IF(#REF!&gt;=5,"Medium Risk","Low Risk"))</f>
        <v>#REF!</v>
      </c>
      <c r="AH2607" t="e">
        <f>#REF! + #REF! + #REF! + #REF!</f>
        <v>#REF!</v>
      </c>
    </row>
    <row r="2608" spans="1:34" x14ac:dyDescent="0.35">
      <c r="A2608">
        <v>2607</v>
      </c>
      <c r="B2608" t="s">
        <v>31</v>
      </c>
      <c r="C2608">
        <v>88</v>
      </c>
      <c r="D2608" t="s">
        <v>28</v>
      </c>
      <c r="E2608" t="s">
        <v>22</v>
      </c>
      <c r="F2608" t="s">
        <v>22</v>
      </c>
      <c r="G2608">
        <v>0</v>
      </c>
      <c r="H2608">
        <v>131.5</v>
      </c>
      <c r="I2608">
        <v>99</v>
      </c>
      <c r="J2608">
        <v>22.36</v>
      </c>
      <c r="K2608">
        <v>174.8</v>
      </c>
      <c r="L2608">
        <v>128</v>
      </c>
      <c r="M2608">
        <v>14.86</v>
      </c>
      <c r="N2608">
        <v>184.2</v>
      </c>
      <c r="O2608">
        <v>83</v>
      </c>
      <c r="P2608">
        <v>8.2899999999999991</v>
      </c>
      <c r="Q2608">
        <v>7.9</v>
      </c>
      <c r="R2608">
        <v>2</v>
      </c>
      <c r="S2608">
        <v>2.13</v>
      </c>
      <c r="T2608">
        <v>5</v>
      </c>
      <c r="U2608" t="s">
        <v>23</v>
      </c>
      <c r="V2608" t="e">
        <f>IF(#REF! = "yes", 1, 0)</f>
        <v>#REF!</v>
      </c>
      <c r="W2608" t="e">
        <f>IF(#REF! &lt;= 1, "0-1 Calls", IF(#REF! &lt;= 3, "2-3 Calls", IF(#REF! &lt;=5, "4-5 Calls", "6+ Calls")))</f>
        <v>#REF!</v>
      </c>
      <c r="X2608" t="e">
        <f>IF(#REF! &lt;= 50, "0-50", IF(#REF! &lt;=100, "51-100", IF(#REF! &lt;= 150, "101-150", "151+")))</f>
        <v>#REF!</v>
      </c>
      <c r="Y2608" t="e">
        <f>IF(#REF! &lt;= 3, "Low Charges", "High Charges")</f>
        <v>#REF!</v>
      </c>
      <c r="Z2608" t="e">
        <f>IF(#REF!&lt;=80,"Low Calls",
IF(#REF!&lt;=120,"Medium Calls","High Calls"))</f>
        <v>#REF!</v>
      </c>
      <c r="AA2608" t="e">
        <f>IF(#REF!&lt;=15,"Low Charges",
IF(#REF!&lt;=20,"Medium Charges","High Charges"))</f>
        <v>#REF!</v>
      </c>
      <c r="AB2608" t="e">
        <f>IF(AND(#REF!&gt;180, #REF!&gt;200), "Heavy Doemstic User", IF(#REF!&gt;10, "Interntional User", IF(AND(#REF!&lt;180, #REF!&lt;200,#REF!&lt;200), "Light User", "Balanced User")))</f>
        <v>#REF!</v>
      </c>
      <c r="AC2608" t="e">
        <f>IF(#REF! = 0, "No Usage", IF(#REF! &lt;= 20, "Low Usage", IF(#REF! &lt;= 40, "Medium Usgae", "High Usage")))</f>
        <v>#REF!</v>
      </c>
      <c r="AD2608" t="e">
        <f>IF(#REF!&lt;=150,"Low Usage", IF(#REF!&lt;=200,"Medium Usage", IF(#REF!&lt;=250,"High Usage","Very High Usage")))</f>
        <v>#REF!</v>
      </c>
      <c r="AE2608" t="e">
        <f>IF(#REF!&lt;=5,"Low Calls", IF(#REF!&lt;=10, "Medium Calls", "High Calls"))</f>
        <v>#REF!</v>
      </c>
      <c r="AF2608" t="e">
        <f xml:space="preserve">
IF(#REF!&gt;=4,4,0)+
IF(#REF!="yes",3,0)+
IF(#REF!="High Charges",3,0)+
IF(#REF!&gt;250,4,0)+
IF(#REF!="no",1,0)+
IF(#REF!="Heavy Domestic User",2,0)</f>
        <v>#REF!</v>
      </c>
      <c r="AG2608" t="e">
        <f>IF(#REF!&gt;=10,"High Risk", IF(#REF!&gt;=5,"Medium Risk","Low Risk"))</f>
        <v>#REF!</v>
      </c>
      <c r="AH2608" t="e">
        <f>#REF! + #REF! + #REF! + #REF!</f>
        <v>#REF!</v>
      </c>
    </row>
    <row r="2609" spans="1:34" x14ac:dyDescent="0.35">
      <c r="A2609">
        <v>2608</v>
      </c>
      <c r="B2609" t="s">
        <v>53</v>
      </c>
      <c r="C2609">
        <v>82</v>
      </c>
      <c r="D2609" t="s">
        <v>21</v>
      </c>
      <c r="E2609" t="s">
        <v>22</v>
      </c>
      <c r="F2609" t="s">
        <v>22</v>
      </c>
      <c r="G2609">
        <v>0</v>
      </c>
      <c r="H2609">
        <v>135.4</v>
      </c>
      <c r="I2609">
        <v>102</v>
      </c>
      <c r="J2609">
        <v>23.02</v>
      </c>
      <c r="K2609">
        <v>237.1</v>
      </c>
      <c r="L2609">
        <v>122</v>
      </c>
      <c r="M2609">
        <v>20.149999999999999</v>
      </c>
      <c r="N2609">
        <v>118.3</v>
      </c>
      <c r="O2609">
        <v>91</v>
      </c>
      <c r="P2609">
        <v>5.32</v>
      </c>
      <c r="Q2609">
        <v>17.5</v>
      </c>
      <c r="R2609">
        <v>4</v>
      </c>
      <c r="S2609">
        <v>4.7300000000000004</v>
      </c>
      <c r="T2609">
        <v>0</v>
      </c>
      <c r="U2609" t="s">
        <v>22</v>
      </c>
      <c r="V2609" t="e">
        <f>IF(#REF! = "yes", 1, 0)</f>
        <v>#REF!</v>
      </c>
      <c r="W2609" t="e">
        <f>IF(#REF! &lt;= 1, "0-1 Calls", IF(#REF! &lt;= 3, "2-3 Calls", IF(#REF! &lt;=5, "4-5 Calls", "6+ Calls")))</f>
        <v>#REF!</v>
      </c>
      <c r="X2609" t="e">
        <f>IF(#REF! &lt;= 50, "0-50", IF(#REF! &lt;=100, "51-100", IF(#REF! &lt;= 150, "101-150", "151+")))</f>
        <v>#REF!</v>
      </c>
      <c r="Y2609" t="e">
        <f>IF(#REF! &lt;= 3, "Low Charges", "High Charges")</f>
        <v>#REF!</v>
      </c>
      <c r="Z2609" t="e">
        <f>IF(#REF!&lt;=80,"Low Calls",
IF(#REF!&lt;=120,"Medium Calls","High Calls"))</f>
        <v>#REF!</v>
      </c>
      <c r="AA2609" t="e">
        <f>IF(#REF!&lt;=15,"Low Charges",
IF(#REF!&lt;=20,"Medium Charges","High Charges"))</f>
        <v>#REF!</v>
      </c>
      <c r="AB2609" t="e">
        <f>IF(AND(#REF!&gt;180, #REF!&gt;200), "Heavy Doemstic User", IF(#REF!&gt;10, "Interntional User", IF(AND(#REF!&lt;180, #REF!&lt;200,#REF!&lt;200), "Light User", "Balanced User")))</f>
        <v>#REF!</v>
      </c>
      <c r="AC2609" t="e">
        <f>IF(#REF! = 0, "No Usage", IF(#REF! &lt;= 20, "Low Usage", IF(#REF! &lt;= 40, "Medium Usgae", "High Usage")))</f>
        <v>#REF!</v>
      </c>
      <c r="AD2609" t="e">
        <f>IF(#REF!&lt;=150,"Low Usage", IF(#REF!&lt;=200,"Medium Usage", IF(#REF!&lt;=250,"High Usage","Very High Usage")))</f>
        <v>#REF!</v>
      </c>
      <c r="AE2609" t="e">
        <f>IF(#REF!&lt;=5,"Low Calls", IF(#REF!&lt;=10, "Medium Calls", "High Calls"))</f>
        <v>#REF!</v>
      </c>
      <c r="AF2609" t="e">
        <f xml:space="preserve">
IF(#REF!&gt;=4,4,0)+
IF(#REF!="yes",3,0)+
IF(#REF!="High Charges",3,0)+
IF(#REF!&gt;250,4,0)+
IF(#REF!="no",1,0)+
IF(#REF!="Heavy Domestic User",2,0)</f>
        <v>#REF!</v>
      </c>
      <c r="AG2609" t="e">
        <f>IF(#REF!&gt;=10,"High Risk", IF(#REF!&gt;=5,"Medium Risk","Low Risk"))</f>
        <v>#REF!</v>
      </c>
      <c r="AH2609" t="e">
        <f>#REF! + #REF! + #REF! + #REF!</f>
        <v>#REF!</v>
      </c>
    </row>
    <row r="2610" spans="1:34" x14ac:dyDescent="0.35">
      <c r="A2610">
        <v>2609</v>
      </c>
      <c r="B2610" t="s">
        <v>36</v>
      </c>
      <c r="C2610">
        <v>204</v>
      </c>
      <c r="D2610" t="s">
        <v>21</v>
      </c>
      <c r="E2610" t="s">
        <v>22</v>
      </c>
      <c r="F2610" t="s">
        <v>22</v>
      </c>
      <c r="G2610">
        <v>0</v>
      </c>
      <c r="H2610">
        <v>174.3</v>
      </c>
      <c r="I2610">
        <v>85</v>
      </c>
      <c r="J2610">
        <v>29.63</v>
      </c>
      <c r="K2610">
        <v>254.1</v>
      </c>
      <c r="L2610">
        <v>95</v>
      </c>
      <c r="M2610">
        <v>21.6</v>
      </c>
      <c r="N2610">
        <v>176.4</v>
      </c>
      <c r="O2610">
        <v>96</v>
      </c>
      <c r="P2610">
        <v>7.94</v>
      </c>
      <c r="Q2610">
        <v>5.9</v>
      </c>
      <c r="R2610">
        <v>3</v>
      </c>
      <c r="S2610">
        <v>1.59</v>
      </c>
      <c r="T2610">
        <v>6</v>
      </c>
      <c r="U2610" t="s">
        <v>22</v>
      </c>
      <c r="V2610" t="e">
        <f>IF(#REF! = "yes", 1, 0)</f>
        <v>#REF!</v>
      </c>
      <c r="W2610" t="e">
        <f>IF(#REF! &lt;= 1, "0-1 Calls", IF(#REF! &lt;= 3, "2-3 Calls", IF(#REF! &lt;=5, "4-5 Calls", "6+ Calls")))</f>
        <v>#REF!</v>
      </c>
      <c r="X2610" t="e">
        <f>IF(#REF! &lt;= 50, "0-50", IF(#REF! &lt;=100, "51-100", IF(#REF! &lt;= 150, "101-150", "151+")))</f>
        <v>#REF!</v>
      </c>
      <c r="Y2610" t="e">
        <f>IF(#REF! &lt;= 3, "Low Charges", "High Charges")</f>
        <v>#REF!</v>
      </c>
      <c r="Z2610" t="e">
        <f>IF(#REF!&lt;=80,"Low Calls",
IF(#REF!&lt;=120,"Medium Calls","High Calls"))</f>
        <v>#REF!</v>
      </c>
      <c r="AA2610" t="e">
        <f>IF(#REF!&lt;=15,"Low Charges",
IF(#REF!&lt;=20,"Medium Charges","High Charges"))</f>
        <v>#REF!</v>
      </c>
      <c r="AB2610" t="e">
        <f>IF(AND(#REF!&gt;180, #REF!&gt;200), "Heavy Doemstic User", IF(#REF!&gt;10, "Interntional User", IF(AND(#REF!&lt;180, #REF!&lt;200,#REF!&lt;200), "Light User", "Balanced User")))</f>
        <v>#REF!</v>
      </c>
      <c r="AC2610" t="e">
        <f>IF(#REF! = 0, "No Usage", IF(#REF! &lt;= 20, "Low Usage", IF(#REF! &lt;= 40, "Medium Usgae", "High Usage")))</f>
        <v>#REF!</v>
      </c>
      <c r="AD2610" t="e">
        <f>IF(#REF!&lt;=150,"Low Usage", IF(#REF!&lt;=200,"Medium Usage", IF(#REF!&lt;=250,"High Usage","Very High Usage")))</f>
        <v>#REF!</v>
      </c>
      <c r="AE2610" t="e">
        <f>IF(#REF!&lt;=5,"Low Calls", IF(#REF!&lt;=10, "Medium Calls", "High Calls"))</f>
        <v>#REF!</v>
      </c>
      <c r="AF2610" t="e">
        <f xml:space="preserve">
IF(#REF!&gt;=4,4,0)+
IF(#REF!="yes",3,0)+
IF(#REF!="High Charges",3,0)+
IF(#REF!&gt;250,4,0)+
IF(#REF!="no",1,0)+
IF(#REF!="Heavy Domestic User",2,0)</f>
        <v>#REF!</v>
      </c>
      <c r="AG2610" t="e">
        <f>IF(#REF!&gt;=10,"High Risk", IF(#REF!&gt;=5,"Medium Risk","Low Risk"))</f>
        <v>#REF!</v>
      </c>
      <c r="AH2610" t="e">
        <f>#REF! + #REF! + #REF! + #REF!</f>
        <v>#REF!</v>
      </c>
    </row>
    <row r="2611" spans="1:34" x14ac:dyDescent="0.35">
      <c r="A2611">
        <v>2610</v>
      </c>
      <c r="B2611" t="s">
        <v>67</v>
      </c>
      <c r="C2611">
        <v>130</v>
      </c>
      <c r="D2611" t="s">
        <v>28</v>
      </c>
      <c r="E2611" t="s">
        <v>22</v>
      </c>
      <c r="F2611" t="s">
        <v>22</v>
      </c>
      <c r="G2611">
        <v>0</v>
      </c>
      <c r="H2611">
        <v>203.9</v>
      </c>
      <c r="I2611">
        <v>63</v>
      </c>
      <c r="J2611">
        <v>34.659999999999997</v>
      </c>
      <c r="K2611">
        <v>191.8</v>
      </c>
      <c r="L2611">
        <v>93</v>
      </c>
      <c r="M2611">
        <v>16.3</v>
      </c>
      <c r="N2611">
        <v>132.5</v>
      </c>
      <c r="O2611">
        <v>125</v>
      </c>
      <c r="P2611">
        <v>5.96</v>
      </c>
      <c r="Q2611">
        <v>12.1</v>
      </c>
      <c r="R2611">
        <v>4</v>
      </c>
      <c r="S2611">
        <v>3.27</v>
      </c>
      <c r="T2611">
        <v>3</v>
      </c>
      <c r="U2611" t="s">
        <v>22</v>
      </c>
      <c r="V2611" t="e">
        <f>IF(#REF! = "yes", 1, 0)</f>
        <v>#REF!</v>
      </c>
      <c r="W2611" t="e">
        <f>IF(#REF! &lt;= 1, "0-1 Calls", IF(#REF! &lt;= 3, "2-3 Calls", IF(#REF! &lt;=5, "4-5 Calls", "6+ Calls")))</f>
        <v>#REF!</v>
      </c>
      <c r="X2611" t="e">
        <f>IF(#REF! &lt;= 50, "0-50", IF(#REF! &lt;=100, "51-100", IF(#REF! &lt;= 150, "101-150", "151+")))</f>
        <v>#REF!</v>
      </c>
      <c r="Y2611" t="e">
        <f>IF(#REF! &lt;= 3, "Low Charges", "High Charges")</f>
        <v>#REF!</v>
      </c>
      <c r="Z2611" t="e">
        <f>IF(#REF!&lt;=80,"Low Calls",
IF(#REF!&lt;=120,"Medium Calls","High Calls"))</f>
        <v>#REF!</v>
      </c>
      <c r="AA2611" t="e">
        <f>IF(#REF!&lt;=15,"Low Charges",
IF(#REF!&lt;=20,"Medium Charges","High Charges"))</f>
        <v>#REF!</v>
      </c>
      <c r="AB2611" t="e">
        <f>IF(AND(#REF!&gt;180, #REF!&gt;200), "Heavy Doemstic User", IF(#REF!&gt;10, "Interntional User", IF(AND(#REF!&lt;180, #REF!&lt;200,#REF!&lt;200), "Light User", "Balanced User")))</f>
        <v>#REF!</v>
      </c>
      <c r="AC2611" t="e">
        <f>IF(#REF! = 0, "No Usage", IF(#REF! &lt;= 20, "Low Usage", IF(#REF! &lt;= 40, "Medium Usgae", "High Usage")))</f>
        <v>#REF!</v>
      </c>
      <c r="AD2611" t="e">
        <f>IF(#REF!&lt;=150,"Low Usage", IF(#REF!&lt;=200,"Medium Usage", IF(#REF!&lt;=250,"High Usage","Very High Usage")))</f>
        <v>#REF!</v>
      </c>
      <c r="AE2611" t="e">
        <f>IF(#REF!&lt;=5,"Low Calls", IF(#REF!&lt;=10, "Medium Calls", "High Calls"))</f>
        <v>#REF!</v>
      </c>
      <c r="AF2611" t="e">
        <f xml:space="preserve">
IF(#REF!&gt;=4,4,0)+
IF(#REF!="yes",3,0)+
IF(#REF!="High Charges",3,0)+
IF(#REF!&gt;250,4,0)+
IF(#REF!="no",1,0)+
IF(#REF!="Heavy Domestic User",2,0)</f>
        <v>#REF!</v>
      </c>
      <c r="AG2611" t="e">
        <f>IF(#REF!&gt;=10,"High Risk", IF(#REF!&gt;=5,"Medium Risk","Low Risk"))</f>
        <v>#REF!</v>
      </c>
      <c r="AH2611" t="e">
        <f>#REF! + #REF! + #REF! + #REF!</f>
        <v>#REF!</v>
      </c>
    </row>
    <row r="2612" spans="1:34" x14ac:dyDescent="0.35">
      <c r="A2612">
        <v>2611</v>
      </c>
      <c r="B2612" t="s">
        <v>29</v>
      </c>
      <c r="C2612">
        <v>174</v>
      </c>
      <c r="D2612" t="s">
        <v>28</v>
      </c>
      <c r="E2612" t="s">
        <v>22</v>
      </c>
      <c r="F2612" t="s">
        <v>22</v>
      </c>
      <c r="G2612">
        <v>0</v>
      </c>
      <c r="H2612">
        <v>235.5</v>
      </c>
      <c r="I2612">
        <v>108</v>
      </c>
      <c r="J2612">
        <v>40.04</v>
      </c>
      <c r="K2612">
        <v>142.30000000000001</v>
      </c>
      <c r="L2612">
        <v>143</v>
      </c>
      <c r="M2612">
        <v>12.1</v>
      </c>
      <c r="N2612">
        <v>316.7</v>
      </c>
      <c r="O2612">
        <v>131</v>
      </c>
      <c r="P2612">
        <v>14.25</v>
      </c>
      <c r="Q2612">
        <v>12.5</v>
      </c>
      <c r="R2612">
        <v>5</v>
      </c>
      <c r="S2612">
        <v>3.38</v>
      </c>
      <c r="T2612">
        <v>0</v>
      </c>
      <c r="U2612" t="s">
        <v>22</v>
      </c>
      <c r="V2612" t="e">
        <f>IF(#REF! = "yes", 1, 0)</f>
        <v>#REF!</v>
      </c>
      <c r="W2612" t="e">
        <f>IF(#REF! &lt;= 1, "0-1 Calls", IF(#REF! &lt;= 3, "2-3 Calls", IF(#REF! &lt;=5, "4-5 Calls", "6+ Calls")))</f>
        <v>#REF!</v>
      </c>
      <c r="X2612" t="e">
        <f>IF(#REF! &lt;= 50, "0-50", IF(#REF! &lt;=100, "51-100", IF(#REF! &lt;= 150, "101-150", "151+")))</f>
        <v>#REF!</v>
      </c>
      <c r="Y2612" t="e">
        <f>IF(#REF! &lt;= 3, "Low Charges", "High Charges")</f>
        <v>#REF!</v>
      </c>
      <c r="Z2612" t="e">
        <f>IF(#REF!&lt;=80,"Low Calls",
IF(#REF!&lt;=120,"Medium Calls","High Calls"))</f>
        <v>#REF!</v>
      </c>
      <c r="AA2612" t="e">
        <f>IF(#REF!&lt;=15,"Low Charges",
IF(#REF!&lt;=20,"Medium Charges","High Charges"))</f>
        <v>#REF!</v>
      </c>
      <c r="AB2612" t="e">
        <f>IF(AND(#REF!&gt;180, #REF!&gt;200), "Heavy Doemstic User", IF(#REF!&gt;10, "Interntional User", IF(AND(#REF!&lt;180, #REF!&lt;200,#REF!&lt;200), "Light User", "Balanced User")))</f>
        <v>#REF!</v>
      </c>
      <c r="AC2612" t="e">
        <f>IF(#REF! = 0, "No Usage", IF(#REF! &lt;= 20, "Low Usage", IF(#REF! &lt;= 40, "Medium Usgae", "High Usage")))</f>
        <v>#REF!</v>
      </c>
      <c r="AD2612" t="e">
        <f>IF(#REF!&lt;=150,"Low Usage", IF(#REF!&lt;=200,"Medium Usage", IF(#REF!&lt;=250,"High Usage","Very High Usage")))</f>
        <v>#REF!</v>
      </c>
      <c r="AE2612" t="e">
        <f>IF(#REF!&lt;=5,"Low Calls", IF(#REF!&lt;=10, "Medium Calls", "High Calls"))</f>
        <v>#REF!</v>
      </c>
      <c r="AF2612" t="e">
        <f xml:space="preserve">
IF(#REF!&gt;=4,4,0)+
IF(#REF!="yes",3,0)+
IF(#REF!="High Charges",3,0)+
IF(#REF!&gt;250,4,0)+
IF(#REF!="no",1,0)+
IF(#REF!="Heavy Domestic User",2,0)</f>
        <v>#REF!</v>
      </c>
      <c r="AG2612" t="e">
        <f>IF(#REF!&gt;=10,"High Risk", IF(#REF!&gt;=5,"Medium Risk","Low Risk"))</f>
        <v>#REF!</v>
      </c>
      <c r="AH2612" t="e">
        <f>#REF! + #REF! + #REF! + #REF!</f>
        <v>#REF!</v>
      </c>
    </row>
    <row r="2613" spans="1:34" x14ac:dyDescent="0.35">
      <c r="A2613">
        <v>2612</v>
      </c>
      <c r="B2613" t="s">
        <v>50</v>
      </c>
      <c r="C2613">
        <v>129</v>
      </c>
      <c r="D2613" t="s">
        <v>21</v>
      </c>
      <c r="E2613" t="s">
        <v>22</v>
      </c>
      <c r="F2613" t="s">
        <v>22</v>
      </c>
      <c r="G2613">
        <v>0</v>
      </c>
      <c r="H2613">
        <v>157</v>
      </c>
      <c r="I2613">
        <v>113</v>
      </c>
      <c r="J2613">
        <v>26.69</v>
      </c>
      <c r="K2613">
        <v>256.89999999999998</v>
      </c>
      <c r="L2613">
        <v>97</v>
      </c>
      <c r="M2613">
        <v>21.84</v>
      </c>
      <c r="N2613">
        <v>185.5</v>
      </c>
      <c r="O2613">
        <v>126</v>
      </c>
      <c r="P2613">
        <v>8.35</v>
      </c>
      <c r="Q2613">
        <v>12.1</v>
      </c>
      <c r="R2613">
        <v>2</v>
      </c>
      <c r="S2613">
        <v>3.27</v>
      </c>
      <c r="T2613">
        <v>2</v>
      </c>
      <c r="U2613" t="s">
        <v>22</v>
      </c>
      <c r="V2613" t="e">
        <f>IF(#REF! = "yes", 1, 0)</f>
        <v>#REF!</v>
      </c>
      <c r="W2613" t="e">
        <f>IF(#REF! &lt;= 1, "0-1 Calls", IF(#REF! &lt;= 3, "2-3 Calls", IF(#REF! &lt;=5, "4-5 Calls", "6+ Calls")))</f>
        <v>#REF!</v>
      </c>
      <c r="X2613" t="e">
        <f>IF(#REF! &lt;= 50, "0-50", IF(#REF! &lt;=100, "51-100", IF(#REF! &lt;= 150, "101-150", "151+")))</f>
        <v>#REF!</v>
      </c>
      <c r="Y2613" t="e">
        <f>IF(#REF! &lt;= 3, "Low Charges", "High Charges")</f>
        <v>#REF!</v>
      </c>
      <c r="Z2613" t="e">
        <f>IF(#REF!&lt;=80,"Low Calls",
IF(#REF!&lt;=120,"Medium Calls","High Calls"))</f>
        <v>#REF!</v>
      </c>
      <c r="AA2613" t="e">
        <f>IF(#REF!&lt;=15,"Low Charges",
IF(#REF!&lt;=20,"Medium Charges","High Charges"))</f>
        <v>#REF!</v>
      </c>
      <c r="AB2613" t="e">
        <f>IF(AND(#REF!&gt;180, #REF!&gt;200), "Heavy Doemstic User", IF(#REF!&gt;10, "Interntional User", IF(AND(#REF!&lt;180, #REF!&lt;200,#REF!&lt;200), "Light User", "Balanced User")))</f>
        <v>#REF!</v>
      </c>
      <c r="AC2613" t="e">
        <f>IF(#REF! = 0, "No Usage", IF(#REF! &lt;= 20, "Low Usage", IF(#REF! &lt;= 40, "Medium Usgae", "High Usage")))</f>
        <v>#REF!</v>
      </c>
      <c r="AD2613" t="e">
        <f>IF(#REF!&lt;=150,"Low Usage", IF(#REF!&lt;=200,"Medium Usage", IF(#REF!&lt;=250,"High Usage","Very High Usage")))</f>
        <v>#REF!</v>
      </c>
      <c r="AE2613" t="e">
        <f>IF(#REF!&lt;=5,"Low Calls", IF(#REF!&lt;=10, "Medium Calls", "High Calls"))</f>
        <v>#REF!</v>
      </c>
      <c r="AF2613" t="e">
        <f xml:space="preserve">
IF(#REF!&gt;=4,4,0)+
IF(#REF!="yes",3,0)+
IF(#REF!="High Charges",3,0)+
IF(#REF!&gt;250,4,0)+
IF(#REF!="no",1,0)+
IF(#REF!="Heavy Domestic User",2,0)</f>
        <v>#REF!</v>
      </c>
      <c r="AG2613" t="e">
        <f>IF(#REF!&gt;=10,"High Risk", IF(#REF!&gt;=5,"Medium Risk","Low Risk"))</f>
        <v>#REF!</v>
      </c>
      <c r="AH2613" t="e">
        <f>#REF! + #REF! + #REF! + #REF!</f>
        <v>#REF!</v>
      </c>
    </row>
    <row r="2614" spans="1:34" x14ac:dyDescent="0.35">
      <c r="A2614">
        <v>2613</v>
      </c>
      <c r="B2614" t="s">
        <v>67</v>
      </c>
      <c r="C2614">
        <v>190</v>
      </c>
      <c r="D2614" t="s">
        <v>21</v>
      </c>
      <c r="E2614" t="s">
        <v>23</v>
      </c>
      <c r="F2614" t="s">
        <v>22</v>
      </c>
      <c r="G2614">
        <v>0</v>
      </c>
      <c r="H2614">
        <v>111.9</v>
      </c>
      <c r="I2614">
        <v>55</v>
      </c>
      <c r="J2614">
        <v>19.02</v>
      </c>
      <c r="K2614">
        <v>223</v>
      </c>
      <c r="L2614">
        <v>124</v>
      </c>
      <c r="M2614">
        <v>18.96</v>
      </c>
      <c r="N2614">
        <v>243.2</v>
      </c>
      <c r="O2614">
        <v>81</v>
      </c>
      <c r="P2614">
        <v>10.94</v>
      </c>
      <c r="Q2614">
        <v>10</v>
      </c>
      <c r="R2614">
        <v>7</v>
      </c>
      <c r="S2614">
        <v>2.7</v>
      </c>
      <c r="T2614">
        <v>3</v>
      </c>
      <c r="U2614" t="s">
        <v>22</v>
      </c>
      <c r="V2614" t="e">
        <f>IF(#REF! = "yes", 1, 0)</f>
        <v>#REF!</v>
      </c>
      <c r="W2614" t="e">
        <f>IF(#REF! &lt;= 1, "0-1 Calls", IF(#REF! &lt;= 3, "2-3 Calls", IF(#REF! &lt;=5, "4-5 Calls", "6+ Calls")))</f>
        <v>#REF!</v>
      </c>
      <c r="X2614" t="e">
        <f>IF(#REF! &lt;= 50, "0-50", IF(#REF! &lt;=100, "51-100", IF(#REF! &lt;= 150, "101-150", "151+")))</f>
        <v>#REF!</v>
      </c>
      <c r="Y2614" t="e">
        <f>IF(#REF! &lt;= 3, "Low Charges", "High Charges")</f>
        <v>#REF!</v>
      </c>
      <c r="Z2614" t="e">
        <f>IF(#REF!&lt;=80,"Low Calls",
IF(#REF!&lt;=120,"Medium Calls","High Calls"))</f>
        <v>#REF!</v>
      </c>
      <c r="AA2614" t="e">
        <f>IF(#REF!&lt;=15,"Low Charges",
IF(#REF!&lt;=20,"Medium Charges","High Charges"))</f>
        <v>#REF!</v>
      </c>
      <c r="AB2614" t="e">
        <f>IF(AND(#REF!&gt;180, #REF!&gt;200), "Heavy Doemstic User", IF(#REF!&gt;10, "Interntional User", IF(AND(#REF!&lt;180, #REF!&lt;200,#REF!&lt;200), "Light User", "Balanced User")))</f>
        <v>#REF!</v>
      </c>
      <c r="AC2614" t="e">
        <f>IF(#REF! = 0, "No Usage", IF(#REF! &lt;= 20, "Low Usage", IF(#REF! &lt;= 40, "Medium Usgae", "High Usage")))</f>
        <v>#REF!</v>
      </c>
      <c r="AD2614" t="e">
        <f>IF(#REF!&lt;=150,"Low Usage", IF(#REF!&lt;=200,"Medium Usage", IF(#REF!&lt;=250,"High Usage","Very High Usage")))</f>
        <v>#REF!</v>
      </c>
      <c r="AE2614" t="e">
        <f>IF(#REF!&lt;=5,"Low Calls", IF(#REF!&lt;=10, "Medium Calls", "High Calls"))</f>
        <v>#REF!</v>
      </c>
      <c r="AF2614" t="e">
        <f xml:space="preserve">
IF(#REF!&gt;=4,4,0)+
IF(#REF!="yes",3,0)+
IF(#REF!="High Charges",3,0)+
IF(#REF!&gt;250,4,0)+
IF(#REF!="no",1,0)+
IF(#REF!="Heavy Domestic User",2,0)</f>
        <v>#REF!</v>
      </c>
      <c r="AG2614" t="e">
        <f>IF(#REF!&gt;=10,"High Risk", IF(#REF!&gt;=5,"Medium Risk","Low Risk"))</f>
        <v>#REF!</v>
      </c>
      <c r="AH2614" t="e">
        <f>#REF! + #REF! + #REF! + #REF!</f>
        <v>#REF!</v>
      </c>
    </row>
    <row r="2615" spans="1:34" x14ac:dyDescent="0.35">
      <c r="A2615">
        <v>2614</v>
      </c>
      <c r="B2615" t="s">
        <v>36</v>
      </c>
      <c r="C2615">
        <v>54</v>
      </c>
      <c r="D2615" t="s">
        <v>28</v>
      </c>
      <c r="E2615" t="s">
        <v>23</v>
      </c>
      <c r="F2615" t="s">
        <v>22</v>
      </c>
      <c r="G2615">
        <v>0</v>
      </c>
      <c r="H2615">
        <v>236.3</v>
      </c>
      <c r="I2615">
        <v>91</v>
      </c>
      <c r="J2615">
        <v>40.17</v>
      </c>
      <c r="K2615">
        <v>152.80000000000001</v>
      </c>
      <c r="L2615">
        <v>130</v>
      </c>
      <c r="M2615">
        <v>12.99</v>
      </c>
      <c r="N2615">
        <v>160.30000000000001</v>
      </c>
      <c r="O2615">
        <v>98</v>
      </c>
      <c r="P2615">
        <v>7.21</v>
      </c>
      <c r="Q2615">
        <v>11.2</v>
      </c>
      <c r="R2615">
        <v>8</v>
      </c>
      <c r="S2615">
        <v>3.02</v>
      </c>
      <c r="T2615">
        <v>3</v>
      </c>
      <c r="U2615" t="s">
        <v>22</v>
      </c>
      <c r="V2615" t="e">
        <f>IF(#REF! = "yes", 1, 0)</f>
        <v>#REF!</v>
      </c>
      <c r="W2615" t="e">
        <f>IF(#REF! &lt;= 1, "0-1 Calls", IF(#REF! &lt;= 3, "2-3 Calls", IF(#REF! &lt;=5, "4-5 Calls", "6+ Calls")))</f>
        <v>#REF!</v>
      </c>
      <c r="X2615" t="e">
        <f>IF(#REF! &lt;= 50, "0-50", IF(#REF! &lt;=100, "51-100", IF(#REF! &lt;= 150, "101-150", "151+")))</f>
        <v>#REF!</v>
      </c>
      <c r="Y2615" t="e">
        <f>IF(#REF! &lt;= 3, "Low Charges", "High Charges")</f>
        <v>#REF!</v>
      </c>
      <c r="Z2615" t="e">
        <f>IF(#REF!&lt;=80,"Low Calls",
IF(#REF!&lt;=120,"Medium Calls","High Calls"))</f>
        <v>#REF!</v>
      </c>
      <c r="AA2615" t="e">
        <f>IF(#REF!&lt;=15,"Low Charges",
IF(#REF!&lt;=20,"Medium Charges","High Charges"))</f>
        <v>#REF!</v>
      </c>
      <c r="AB2615" t="e">
        <f>IF(AND(#REF!&gt;180, #REF!&gt;200), "Heavy Doemstic User", IF(#REF!&gt;10, "Interntional User", IF(AND(#REF!&lt;180, #REF!&lt;200,#REF!&lt;200), "Light User", "Balanced User")))</f>
        <v>#REF!</v>
      </c>
      <c r="AC2615" t="e">
        <f>IF(#REF! = 0, "No Usage", IF(#REF! &lt;= 20, "Low Usage", IF(#REF! &lt;= 40, "Medium Usgae", "High Usage")))</f>
        <v>#REF!</v>
      </c>
      <c r="AD2615" t="e">
        <f>IF(#REF!&lt;=150,"Low Usage", IF(#REF!&lt;=200,"Medium Usage", IF(#REF!&lt;=250,"High Usage","Very High Usage")))</f>
        <v>#REF!</v>
      </c>
      <c r="AE2615" t="e">
        <f>IF(#REF!&lt;=5,"Low Calls", IF(#REF!&lt;=10, "Medium Calls", "High Calls"))</f>
        <v>#REF!</v>
      </c>
      <c r="AF2615" t="e">
        <f xml:space="preserve">
IF(#REF!&gt;=4,4,0)+
IF(#REF!="yes",3,0)+
IF(#REF!="High Charges",3,0)+
IF(#REF!&gt;250,4,0)+
IF(#REF!="no",1,0)+
IF(#REF!="Heavy Domestic User",2,0)</f>
        <v>#REF!</v>
      </c>
      <c r="AG2615" t="e">
        <f>IF(#REF!&gt;=10,"High Risk", IF(#REF!&gt;=5,"Medium Risk","Low Risk"))</f>
        <v>#REF!</v>
      </c>
      <c r="AH2615" t="e">
        <f>#REF! + #REF! + #REF! + #REF!</f>
        <v>#REF!</v>
      </c>
    </row>
    <row r="2616" spans="1:34" x14ac:dyDescent="0.35">
      <c r="A2616">
        <v>2615</v>
      </c>
      <c r="B2616" t="s">
        <v>57</v>
      </c>
      <c r="C2616">
        <v>78</v>
      </c>
      <c r="D2616" t="s">
        <v>25</v>
      </c>
      <c r="E2616" t="s">
        <v>22</v>
      </c>
      <c r="F2616" t="s">
        <v>22</v>
      </c>
      <c r="G2616">
        <v>0</v>
      </c>
      <c r="H2616">
        <v>163.6</v>
      </c>
      <c r="I2616">
        <v>88</v>
      </c>
      <c r="J2616">
        <v>27.81</v>
      </c>
      <c r="K2616">
        <v>283.39999999999998</v>
      </c>
      <c r="L2616">
        <v>93</v>
      </c>
      <c r="M2616">
        <v>24.09</v>
      </c>
      <c r="N2616">
        <v>262.10000000000002</v>
      </c>
      <c r="O2616">
        <v>108</v>
      </c>
      <c r="P2616">
        <v>11.79</v>
      </c>
      <c r="Q2616">
        <v>8.6</v>
      </c>
      <c r="R2616">
        <v>9</v>
      </c>
      <c r="S2616">
        <v>2.3199999999999998</v>
      </c>
      <c r="T2616">
        <v>0</v>
      </c>
      <c r="U2616" t="s">
        <v>22</v>
      </c>
      <c r="V2616" t="e">
        <f>IF(#REF! = "yes", 1, 0)</f>
        <v>#REF!</v>
      </c>
      <c r="W2616" t="e">
        <f>IF(#REF! &lt;= 1, "0-1 Calls", IF(#REF! &lt;= 3, "2-3 Calls", IF(#REF! &lt;=5, "4-5 Calls", "6+ Calls")))</f>
        <v>#REF!</v>
      </c>
      <c r="X2616" t="e">
        <f>IF(#REF! &lt;= 50, "0-50", IF(#REF! &lt;=100, "51-100", IF(#REF! &lt;= 150, "101-150", "151+")))</f>
        <v>#REF!</v>
      </c>
      <c r="Y2616" t="e">
        <f>IF(#REF! &lt;= 3, "Low Charges", "High Charges")</f>
        <v>#REF!</v>
      </c>
      <c r="Z2616" t="e">
        <f>IF(#REF!&lt;=80,"Low Calls",
IF(#REF!&lt;=120,"Medium Calls","High Calls"))</f>
        <v>#REF!</v>
      </c>
      <c r="AA2616" t="e">
        <f>IF(#REF!&lt;=15,"Low Charges",
IF(#REF!&lt;=20,"Medium Charges","High Charges"))</f>
        <v>#REF!</v>
      </c>
      <c r="AB2616" t="e">
        <f>IF(AND(#REF!&gt;180, #REF!&gt;200), "Heavy Doemstic User", IF(#REF!&gt;10, "Interntional User", IF(AND(#REF!&lt;180, #REF!&lt;200,#REF!&lt;200), "Light User", "Balanced User")))</f>
        <v>#REF!</v>
      </c>
      <c r="AC2616" t="e">
        <f>IF(#REF! = 0, "No Usage", IF(#REF! &lt;= 20, "Low Usage", IF(#REF! &lt;= 40, "Medium Usgae", "High Usage")))</f>
        <v>#REF!</v>
      </c>
      <c r="AD2616" t="e">
        <f>IF(#REF!&lt;=150,"Low Usage", IF(#REF!&lt;=200,"Medium Usage", IF(#REF!&lt;=250,"High Usage","Very High Usage")))</f>
        <v>#REF!</v>
      </c>
      <c r="AE2616" t="e">
        <f>IF(#REF!&lt;=5,"Low Calls", IF(#REF!&lt;=10, "Medium Calls", "High Calls"))</f>
        <v>#REF!</v>
      </c>
      <c r="AF2616" t="e">
        <f xml:space="preserve">
IF(#REF!&gt;=4,4,0)+
IF(#REF!="yes",3,0)+
IF(#REF!="High Charges",3,0)+
IF(#REF!&gt;250,4,0)+
IF(#REF!="no",1,0)+
IF(#REF!="Heavy Domestic User",2,0)</f>
        <v>#REF!</v>
      </c>
      <c r="AG2616" t="e">
        <f>IF(#REF!&gt;=10,"High Risk", IF(#REF!&gt;=5,"Medium Risk","Low Risk"))</f>
        <v>#REF!</v>
      </c>
      <c r="AH2616" t="e">
        <f>#REF! + #REF! + #REF! + #REF!</f>
        <v>#REF!</v>
      </c>
    </row>
    <row r="2617" spans="1:34" x14ac:dyDescent="0.35">
      <c r="A2617">
        <v>2616</v>
      </c>
      <c r="B2617" t="s">
        <v>47</v>
      </c>
      <c r="C2617">
        <v>100</v>
      </c>
      <c r="D2617" t="s">
        <v>21</v>
      </c>
      <c r="E2617" t="s">
        <v>22</v>
      </c>
      <c r="F2617" t="s">
        <v>23</v>
      </c>
      <c r="G2617">
        <v>29</v>
      </c>
      <c r="H2617">
        <v>213.6</v>
      </c>
      <c r="I2617">
        <v>127</v>
      </c>
      <c r="J2617">
        <v>36.31</v>
      </c>
      <c r="K2617">
        <v>175.9</v>
      </c>
      <c r="L2617">
        <v>82</v>
      </c>
      <c r="M2617">
        <v>14.95</v>
      </c>
      <c r="N2617">
        <v>207.2</v>
      </c>
      <c r="O2617">
        <v>100</v>
      </c>
      <c r="P2617">
        <v>9.32</v>
      </c>
      <c r="Q2617">
        <v>8.9</v>
      </c>
      <c r="R2617">
        <v>3</v>
      </c>
      <c r="S2617">
        <v>2.4</v>
      </c>
      <c r="T2617">
        <v>1</v>
      </c>
      <c r="U2617" t="s">
        <v>22</v>
      </c>
      <c r="V2617" t="e">
        <f>IF(#REF! = "yes", 1, 0)</f>
        <v>#REF!</v>
      </c>
      <c r="W2617" t="e">
        <f>IF(#REF! &lt;= 1, "0-1 Calls", IF(#REF! &lt;= 3, "2-3 Calls", IF(#REF! &lt;=5, "4-5 Calls", "6+ Calls")))</f>
        <v>#REF!</v>
      </c>
      <c r="X2617" t="e">
        <f>IF(#REF! &lt;= 50, "0-50", IF(#REF! &lt;=100, "51-100", IF(#REF! &lt;= 150, "101-150", "151+")))</f>
        <v>#REF!</v>
      </c>
      <c r="Y2617" t="e">
        <f>IF(#REF! &lt;= 3, "Low Charges", "High Charges")</f>
        <v>#REF!</v>
      </c>
      <c r="Z2617" t="e">
        <f>IF(#REF!&lt;=80,"Low Calls",
IF(#REF!&lt;=120,"Medium Calls","High Calls"))</f>
        <v>#REF!</v>
      </c>
      <c r="AA2617" t="e">
        <f>IF(#REF!&lt;=15,"Low Charges",
IF(#REF!&lt;=20,"Medium Charges","High Charges"))</f>
        <v>#REF!</v>
      </c>
      <c r="AB2617" t="e">
        <f>IF(AND(#REF!&gt;180, #REF!&gt;200), "Heavy Doemstic User", IF(#REF!&gt;10, "Interntional User", IF(AND(#REF!&lt;180, #REF!&lt;200,#REF!&lt;200), "Light User", "Balanced User")))</f>
        <v>#REF!</v>
      </c>
      <c r="AC2617" t="e">
        <f>IF(#REF! = 0, "No Usage", IF(#REF! &lt;= 20, "Low Usage", IF(#REF! &lt;= 40, "Medium Usgae", "High Usage")))</f>
        <v>#REF!</v>
      </c>
      <c r="AD2617" t="e">
        <f>IF(#REF!&lt;=150,"Low Usage", IF(#REF!&lt;=200,"Medium Usage", IF(#REF!&lt;=250,"High Usage","Very High Usage")))</f>
        <v>#REF!</v>
      </c>
      <c r="AE2617" t="e">
        <f>IF(#REF!&lt;=5,"Low Calls", IF(#REF!&lt;=10, "Medium Calls", "High Calls"))</f>
        <v>#REF!</v>
      </c>
      <c r="AF2617" t="e">
        <f xml:space="preserve">
IF(#REF!&gt;=4,4,0)+
IF(#REF!="yes",3,0)+
IF(#REF!="High Charges",3,0)+
IF(#REF!&gt;250,4,0)+
IF(#REF!="no",1,0)+
IF(#REF!="Heavy Domestic User",2,0)</f>
        <v>#REF!</v>
      </c>
      <c r="AG2617" t="e">
        <f>IF(#REF!&gt;=10,"High Risk", IF(#REF!&gt;=5,"Medium Risk","Low Risk"))</f>
        <v>#REF!</v>
      </c>
      <c r="AH2617" t="e">
        <f>#REF! + #REF! + #REF! + #REF!</f>
        <v>#REF!</v>
      </c>
    </row>
    <row r="2618" spans="1:34" x14ac:dyDescent="0.35">
      <c r="A2618">
        <v>2617</v>
      </c>
      <c r="B2618" t="s">
        <v>31</v>
      </c>
      <c r="C2618">
        <v>70</v>
      </c>
      <c r="D2618" t="s">
        <v>28</v>
      </c>
      <c r="E2618" t="s">
        <v>22</v>
      </c>
      <c r="F2618" t="s">
        <v>23</v>
      </c>
      <c r="G2618">
        <v>30</v>
      </c>
      <c r="H2618">
        <v>143.4</v>
      </c>
      <c r="I2618">
        <v>72</v>
      </c>
      <c r="J2618">
        <v>24.38</v>
      </c>
      <c r="K2618">
        <v>170</v>
      </c>
      <c r="L2618">
        <v>92</v>
      </c>
      <c r="M2618">
        <v>14.45</v>
      </c>
      <c r="N2618">
        <v>127.9</v>
      </c>
      <c r="O2618">
        <v>68</v>
      </c>
      <c r="P2618">
        <v>5.76</v>
      </c>
      <c r="Q2618">
        <v>9.4</v>
      </c>
      <c r="R2618">
        <v>4</v>
      </c>
      <c r="S2618">
        <v>2.54</v>
      </c>
      <c r="T2618">
        <v>3</v>
      </c>
      <c r="U2618" t="s">
        <v>22</v>
      </c>
      <c r="V2618" t="e">
        <f>IF(#REF! = "yes", 1, 0)</f>
        <v>#REF!</v>
      </c>
      <c r="W2618" t="e">
        <f>IF(#REF! &lt;= 1, "0-1 Calls", IF(#REF! &lt;= 3, "2-3 Calls", IF(#REF! &lt;=5, "4-5 Calls", "6+ Calls")))</f>
        <v>#REF!</v>
      </c>
      <c r="X2618" t="e">
        <f>IF(#REF! &lt;= 50, "0-50", IF(#REF! &lt;=100, "51-100", IF(#REF! &lt;= 150, "101-150", "151+")))</f>
        <v>#REF!</v>
      </c>
      <c r="Y2618" t="e">
        <f>IF(#REF! &lt;= 3, "Low Charges", "High Charges")</f>
        <v>#REF!</v>
      </c>
      <c r="Z2618" t="e">
        <f>IF(#REF!&lt;=80,"Low Calls",
IF(#REF!&lt;=120,"Medium Calls","High Calls"))</f>
        <v>#REF!</v>
      </c>
      <c r="AA2618" t="e">
        <f>IF(#REF!&lt;=15,"Low Charges",
IF(#REF!&lt;=20,"Medium Charges","High Charges"))</f>
        <v>#REF!</v>
      </c>
      <c r="AB2618" t="e">
        <f>IF(AND(#REF!&gt;180, #REF!&gt;200), "Heavy Doemstic User", IF(#REF!&gt;10, "Interntional User", IF(AND(#REF!&lt;180, #REF!&lt;200,#REF!&lt;200), "Light User", "Balanced User")))</f>
        <v>#REF!</v>
      </c>
      <c r="AC2618" t="e">
        <f>IF(#REF! = 0, "No Usage", IF(#REF! &lt;= 20, "Low Usage", IF(#REF! &lt;= 40, "Medium Usgae", "High Usage")))</f>
        <v>#REF!</v>
      </c>
      <c r="AD2618" t="e">
        <f>IF(#REF!&lt;=150,"Low Usage", IF(#REF!&lt;=200,"Medium Usage", IF(#REF!&lt;=250,"High Usage","Very High Usage")))</f>
        <v>#REF!</v>
      </c>
      <c r="AE2618" t="e">
        <f>IF(#REF!&lt;=5,"Low Calls", IF(#REF!&lt;=10, "Medium Calls", "High Calls"))</f>
        <v>#REF!</v>
      </c>
      <c r="AF2618" t="e">
        <f xml:space="preserve">
IF(#REF!&gt;=4,4,0)+
IF(#REF!="yes",3,0)+
IF(#REF!="High Charges",3,0)+
IF(#REF!&gt;250,4,0)+
IF(#REF!="no",1,0)+
IF(#REF!="Heavy Domestic User",2,0)</f>
        <v>#REF!</v>
      </c>
      <c r="AG2618" t="e">
        <f>IF(#REF!&gt;=10,"High Risk", IF(#REF!&gt;=5,"Medium Risk","Low Risk"))</f>
        <v>#REF!</v>
      </c>
      <c r="AH2618" t="e">
        <f>#REF! + #REF! + #REF! + #REF!</f>
        <v>#REF!</v>
      </c>
    </row>
    <row r="2619" spans="1:34" x14ac:dyDescent="0.35">
      <c r="A2619">
        <v>2618</v>
      </c>
      <c r="B2619" t="s">
        <v>38</v>
      </c>
      <c r="C2619">
        <v>117</v>
      </c>
      <c r="D2619" t="s">
        <v>25</v>
      </c>
      <c r="E2619" t="s">
        <v>22</v>
      </c>
      <c r="F2619" t="s">
        <v>22</v>
      </c>
      <c r="G2619">
        <v>0</v>
      </c>
      <c r="H2619">
        <v>97.1</v>
      </c>
      <c r="I2619">
        <v>98</v>
      </c>
      <c r="J2619">
        <v>16.510000000000002</v>
      </c>
      <c r="K2619">
        <v>228</v>
      </c>
      <c r="L2619">
        <v>131</v>
      </c>
      <c r="M2619">
        <v>19.38</v>
      </c>
      <c r="N2619">
        <v>240</v>
      </c>
      <c r="O2619">
        <v>111</v>
      </c>
      <c r="P2619">
        <v>10.8</v>
      </c>
      <c r="Q2619">
        <v>10.6</v>
      </c>
      <c r="R2619">
        <v>3</v>
      </c>
      <c r="S2619">
        <v>2.86</v>
      </c>
      <c r="T2619">
        <v>1</v>
      </c>
      <c r="U2619" t="s">
        <v>22</v>
      </c>
      <c r="V2619" t="e">
        <f>IF(#REF! = "yes", 1, 0)</f>
        <v>#REF!</v>
      </c>
      <c r="W2619" t="e">
        <f>IF(#REF! &lt;= 1, "0-1 Calls", IF(#REF! &lt;= 3, "2-3 Calls", IF(#REF! &lt;=5, "4-5 Calls", "6+ Calls")))</f>
        <v>#REF!</v>
      </c>
      <c r="X2619" t="e">
        <f>IF(#REF! &lt;= 50, "0-50", IF(#REF! &lt;=100, "51-100", IF(#REF! &lt;= 150, "101-150", "151+")))</f>
        <v>#REF!</v>
      </c>
      <c r="Y2619" t="e">
        <f>IF(#REF! &lt;= 3, "Low Charges", "High Charges")</f>
        <v>#REF!</v>
      </c>
      <c r="Z2619" t="e">
        <f>IF(#REF!&lt;=80,"Low Calls",
IF(#REF!&lt;=120,"Medium Calls","High Calls"))</f>
        <v>#REF!</v>
      </c>
      <c r="AA2619" t="e">
        <f>IF(#REF!&lt;=15,"Low Charges",
IF(#REF!&lt;=20,"Medium Charges","High Charges"))</f>
        <v>#REF!</v>
      </c>
      <c r="AB2619" t="e">
        <f>IF(AND(#REF!&gt;180, #REF!&gt;200), "Heavy Doemstic User", IF(#REF!&gt;10, "Interntional User", IF(AND(#REF!&lt;180, #REF!&lt;200,#REF!&lt;200), "Light User", "Balanced User")))</f>
        <v>#REF!</v>
      </c>
      <c r="AC2619" t="e">
        <f>IF(#REF! = 0, "No Usage", IF(#REF! &lt;= 20, "Low Usage", IF(#REF! &lt;= 40, "Medium Usgae", "High Usage")))</f>
        <v>#REF!</v>
      </c>
      <c r="AD2619" t="e">
        <f>IF(#REF!&lt;=150,"Low Usage", IF(#REF!&lt;=200,"Medium Usage", IF(#REF!&lt;=250,"High Usage","Very High Usage")))</f>
        <v>#REF!</v>
      </c>
      <c r="AE2619" t="e">
        <f>IF(#REF!&lt;=5,"Low Calls", IF(#REF!&lt;=10, "Medium Calls", "High Calls"))</f>
        <v>#REF!</v>
      </c>
      <c r="AF2619" t="e">
        <f xml:space="preserve">
IF(#REF!&gt;=4,4,0)+
IF(#REF!="yes",3,0)+
IF(#REF!="High Charges",3,0)+
IF(#REF!&gt;250,4,0)+
IF(#REF!="no",1,0)+
IF(#REF!="Heavy Domestic User",2,0)</f>
        <v>#REF!</v>
      </c>
      <c r="AG2619" t="e">
        <f>IF(#REF!&gt;=10,"High Risk", IF(#REF!&gt;=5,"Medium Risk","Low Risk"))</f>
        <v>#REF!</v>
      </c>
      <c r="AH2619" t="e">
        <f>#REF! + #REF! + #REF! + #REF!</f>
        <v>#REF!</v>
      </c>
    </row>
    <row r="2620" spans="1:34" x14ac:dyDescent="0.35">
      <c r="A2620">
        <v>2619</v>
      </c>
      <c r="B2620" t="s">
        <v>67</v>
      </c>
      <c r="C2620">
        <v>68</v>
      </c>
      <c r="D2620" t="s">
        <v>21</v>
      </c>
      <c r="E2620" t="s">
        <v>22</v>
      </c>
      <c r="F2620" t="s">
        <v>22</v>
      </c>
      <c r="G2620">
        <v>0</v>
      </c>
      <c r="H2620">
        <v>94.1</v>
      </c>
      <c r="I2620">
        <v>93</v>
      </c>
      <c r="J2620">
        <v>16</v>
      </c>
      <c r="K2620">
        <v>147.6</v>
      </c>
      <c r="L2620">
        <v>80</v>
      </c>
      <c r="M2620">
        <v>12.55</v>
      </c>
      <c r="N2620">
        <v>213.5</v>
      </c>
      <c r="O2620">
        <v>85</v>
      </c>
      <c r="P2620">
        <v>9.61</v>
      </c>
      <c r="Q2620">
        <v>10.1</v>
      </c>
      <c r="R2620">
        <v>2</v>
      </c>
      <c r="S2620">
        <v>2.73</v>
      </c>
      <c r="T2620">
        <v>0</v>
      </c>
      <c r="U2620" t="s">
        <v>22</v>
      </c>
      <c r="V2620" t="e">
        <f>IF(#REF! = "yes", 1, 0)</f>
        <v>#REF!</v>
      </c>
      <c r="W2620" t="e">
        <f>IF(#REF! &lt;= 1, "0-1 Calls", IF(#REF! &lt;= 3, "2-3 Calls", IF(#REF! &lt;=5, "4-5 Calls", "6+ Calls")))</f>
        <v>#REF!</v>
      </c>
      <c r="X2620" t="e">
        <f>IF(#REF! &lt;= 50, "0-50", IF(#REF! &lt;=100, "51-100", IF(#REF! &lt;= 150, "101-150", "151+")))</f>
        <v>#REF!</v>
      </c>
      <c r="Y2620" t="e">
        <f>IF(#REF! &lt;= 3, "Low Charges", "High Charges")</f>
        <v>#REF!</v>
      </c>
      <c r="Z2620" t="e">
        <f>IF(#REF!&lt;=80,"Low Calls",
IF(#REF!&lt;=120,"Medium Calls","High Calls"))</f>
        <v>#REF!</v>
      </c>
      <c r="AA2620" t="e">
        <f>IF(#REF!&lt;=15,"Low Charges",
IF(#REF!&lt;=20,"Medium Charges","High Charges"))</f>
        <v>#REF!</v>
      </c>
      <c r="AB2620" t="e">
        <f>IF(AND(#REF!&gt;180, #REF!&gt;200), "Heavy Doemstic User", IF(#REF!&gt;10, "Interntional User", IF(AND(#REF!&lt;180, #REF!&lt;200,#REF!&lt;200), "Light User", "Balanced User")))</f>
        <v>#REF!</v>
      </c>
      <c r="AC2620" t="e">
        <f>IF(#REF! = 0, "No Usage", IF(#REF! &lt;= 20, "Low Usage", IF(#REF! &lt;= 40, "Medium Usgae", "High Usage")))</f>
        <v>#REF!</v>
      </c>
      <c r="AD2620" t="e">
        <f>IF(#REF!&lt;=150,"Low Usage", IF(#REF!&lt;=200,"Medium Usage", IF(#REF!&lt;=250,"High Usage","Very High Usage")))</f>
        <v>#REF!</v>
      </c>
      <c r="AE2620" t="e">
        <f>IF(#REF!&lt;=5,"Low Calls", IF(#REF!&lt;=10, "Medium Calls", "High Calls"))</f>
        <v>#REF!</v>
      </c>
      <c r="AF2620" t="e">
        <f xml:space="preserve">
IF(#REF!&gt;=4,4,0)+
IF(#REF!="yes",3,0)+
IF(#REF!="High Charges",3,0)+
IF(#REF!&gt;250,4,0)+
IF(#REF!="no",1,0)+
IF(#REF!="Heavy Domestic User",2,0)</f>
        <v>#REF!</v>
      </c>
      <c r="AG2620" t="e">
        <f>IF(#REF!&gt;=10,"High Risk", IF(#REF!&gt;=5,"Medium Risk","Low Risk"))</f>
        <v>#REF!</v>
      </c>
      <c r="AH2620" t="e">
        <f>#REF! + #REF! + #REF! + #REF!</f>
        <v>#REF!</v>
      </c>
    </row>
    <row r="2621" spans="1:34" x14ac:dyDescent="0.35">
      <c r="A2621">
        <v>2620</v>
      </c>
      <c r="B2621" t="s">
        <v>57</v>
      </c>
      <c r="C2621">
        <v>27</v>
      </c>
      <c r="D2621" t="s">
        <v>28</v>
      </c>
      <c r="E2621" t="s">
        <v>22</v>
      </c>
      <c r="F2621" t="s">
        <v>22</v>
      </c>
      <c r="G2621">
        <v>0</v>
      </c>
      <c r="H2621">
        <v>226.3</v>
      </c>
      <c r="I2621">
        <v>95</v>
      </c>
      <c r="J2621">
        <v>38.47</v>
      </c>
      <c r="K2621">
        <v>274.3</v>
      </c>
      <c r="L2621">
        <v>109</v>
      </c>
      <c r="M2621">
        <v>23.32</v>
      </c>
      <c r="N2621">
        <v>242.7</v>
      </c>
      <c r="O2621">
        <v>119</v>
      </c>
      <c r="P2621">
        <v>10.92</v>
      </c>
      <c r="Q2621">
        <v>8.1999999999999993</v>
      </c>
      <c r="R2621">
        <v>3</v>
      </c>
      <c r="S2621">
        <v>2.21</v>
      </c>
      <c r="T2621">
        <v>2</v>
      </c>
      <c r="U2621" t="s">
        <v>23</v>
      </c>
      <c r="V2621" t="e">
        <f>IF(#REF! = "yes", 1, 0)</f>
        <v>#REF!</v>
      </c>
      <c r="W2621" t="e">
        <f>IF(#REF! &lt;= 1, "0-1 Calls", IF(#REF! &lt;= 3, "2-3 Calls", IF(#REF! &lt;=5, "4-5 Calls", "6+ Calls")))</f>
        <v>#REF!</v>
      </c>
      <c r="X2621" t="e">
        <f>IF(#REF! &lt;= 50, "0-50", IF(#REF! &lt;=100, "51-100", IF(#REF! &lt;= 150, "101-150", "151+")))</f>
        <v>#REF!</v>
      </c>
      <c r="Y2621" t="e">
        <f>IF(#REF! &lt;= 3, "Low Charges", "High Charges")</f>
        <v>#REF!</v>
      </c>
      <c r="Z2621" t="e">
        <f>IF(#REF!&lt;=80,"Low Calls",
IF(#REF!&lt;=120,"Medium Calls","High Calls"))</f>
        <v>#REF!</v>
      </c>
      <c r="AA2621" t="e">
        <f>IF(#REF!&lt;=15,"Low Charges",
IF(#REF!&lt;=20,"Medium Charges","High Charges"))</f>
        <v>#REF!</v>
      </c>
      <c r="AB2621" t="e">
        <f>IF(AND(#REF!&gt;180, #REF!&gt;200), "Heavy Doemstic User", IF(#REF!&gt;10, "Interntional User", IF(AND(#REF!&lt;180, #REF!&lt;200,#REF!&lt;200), "Light User", "Balanced User")))</f>
        <v>#REF!</v>
      </c>
      <c r="AC2621" t="e">
        <f>IF(#REF! = 0, "No Usage", IF(#REF! &lt;= 20, "Low Usage", IF(#REF! &lt;= 40, "Medium Usgae", "High Usage")))</f>
        <v>#REF!</v>
      </c>
      <c r="AD2621" t="e">
        <f>IF(#REF!&lt;=150,"Low Usage", IF(#REF!&lt;=200,"Medium Usage", IF(#REF!&lt;=250,"High Usage","Very High Usage")))</f>
        <v>#REF!</v>
      </c>
      <c r="AE2621" t="e">
        <f>IF(#REF!&lt;=5,"Low Calls", IF(#REF!&lt;=10, "Medium Calls", "High Calls"))</f>
        <v>#REF!</v>
      </c>
      <c r="AF2621" t="e">
        <f xml:space="preserve">
IF(#REF!&gt;=4,4,0)+
IF(#REF!="yes",3,0)+
IF(#REF!="High Charges",3,0)+
IF(#REF!&gt;250,4,0)+
IF(#REF!="no",1,0)+
IF(#REF!="Heavy Domestic User",2,0)</f>
        <v>#REF!</v>
      </c>
      <c r="AG2621" t="e">
        <f>IF(#REF!&gt;=10,"High Risk", IF(#REF!&gt;=5,"Medium Risk","Low Risk"))</f>
        <v>#REF!</v>
      </c>
      <c r="AH2621" t="e">
        <f>#REF! + #REF! + #REF! + #REF!</f>
        <v>#REF!</v>
      </c>
    </row>
    <row r="2622" spans="1:34" x14ac:dyDescent="0.35">
      <c r="A2622">
        <v>2621</v>
      </c>
      <c r="B2622" t="s">
        <v>68</v>
      </c>
      <c r="C2622">
        <v>181</v>
      </c>
      <c r="D2622" t="s">
        <v>21</v>
      </c>
      <c r="E2622" t="s">
        <v>22</v>
      </c>
      <c r="F2622" t="s">
        <v>23</v>
      </c>
      <c r="G2622">
        <v>27</v>
      </c>
      <c r="H2622">
        <v>190.3</v>
      </c>
      <c r="I2622">
        <v>93</v>
      </c>
      <c r="J2622">
        <v>32.35</v>
      </c>
      <c r="K2622">
        <v>249</v>
      </c>
      <c r="L2622">
        <v>127</v>
      </c>
      <c r="M2622">
        <v>21.17</v>
      </c>
      <c r="N2622">
        <v>215.7</v>
      </c>
      <c r="O2622">
        <v>82</v>
      </c>
      <c r="P2622">
        <v>9.7100000000000009</v>
      </c>
      <c r="Q2622">
        <v>10.6</v>
      </c>
      <c r="R2622">
        <v>4</v>
      </c>
      <c r="S2622">
        <v>2.86</v>
      </c>
      <c r="T2622">
        <v>1</v>
      </c>
      <c r="U2622" t="s">
        <v>22</v>
      </c>
      <c r="V2622" t="e">
        <f>IF(#REF! = "yes", 1, 0)</f>
        <v>#REF!</v>
      </c>
      <c r="W2622" t="e">
        <f>IF(#REF! &lt;= 1, "0-1 Calls", IF(#REF! &lt;= 3, "2-3 Calls", IF(#REF! &lt;=5, "4-5 Calls", "6+ Calls")))</f>
        <v>#REF!</v>
      </c>
      <c r="X2622" t="e">
        <f>IF(#REF! &lt;= 50, "0-50", IF(#REF! &lt;=100, "51-100", IF(#REF! &lt;= 150, "101-150", "151+")))</f>
        <v>#REF!</v>
      </c>
      <c r="Y2622" t="e">
        <f>IF(#REF! &lt;= 3, "Low Charges", "High Charges")</f>
        <v>#REF!</v>
      </c>
      <c r="Z2622" t="e">
        <f>IF(#REF!&lt;=80,"Low Calls",
IF(#REF!&lt;=120,"Medium Calls","High Calls"))</f>
        <v>#REF!</v>
      </c>
      <c r="AA2622" t="e">
        <f>IF(#REF!&lt;=15,"Low Charges",
IF(#REF!&lt;=20,"Medium Charges","High Charges"))</f>
        <v>#REF!</v>
      </c>
      <c r="AB2622" t="e">
        <f>IF(AND(#REF!&gt;180, #REF!&gt;200), "Heavy Doemstic User", IF(#REF!&gt;10, "Interntional User", IF(AND(#REF!&lt;180, #REF!&lt;200,#REF!&lt;200), "Light User", "Balanced User")))</f>
        <v>#REF!</v>
      </c>
      <c r="AC2622" t="e">
        <f>IF(#REF! = 0, "No Usage", IF(#REF! &lt;= 20, "Low Usage", IF(#REF! &lt;= 40, "Medium Usgae", "High Usage")))</f>
        <v>#REF!</v>
      </c>
      <c r="AD2622" t="e">
        <f>IF(#REF!&lt;=150,"Low Usage", IF(#REF!&lt;=200,"Medium Usage", IF(#REF!&lt;=250,"High Usage","Very High Usage")))</f>
        <v>#REF!</v>
      </c>
      <c r="AE2622" t="e">
        <f>IF(#REF!&lt;=5,"Low Calls", IF(#REF!&lt;=10, "Medium Calls", "High Calls"))</f>
        <v>#REF!</v>
      </c>
      <c r="AF2622" t="e">
        <f xml:space="preserve">
IF(#REF!&gt;=4,4,0)+
IF(#REF!="yes",3,0)+
IF(#REF!="High Charges",3,0)+
IF(#REF!&gt;250,4,0)+
IF(#REF!="no",1,0)+
IF(#REF!="Heavy Domestic User",2,0)</f>
        <v>#REF!</v>
      </c>
      <c r="AG2622" t="e">
        <f>IF(#REF!&gt;=10,"High Risk", IF(#REF!&gt;=5,"Medium Risk","Low Risk"))</f>
        <v>#REF!</v>
      </c>
      <c r="AH2622" t="e">
        <f>#REF! + #REF! + #REF! + #REF!</f>
        <v>#REF!</v>
      </c>
    </row>
    <row r="2623" spans="1:34" x14ac:dyDescent="0.35">
      <c r="A2623">
        <v>2622</v>
      </c>
      <c r="B2623" t="s">
        <v>66</v>
      </c>
      <c r="C2623">
        <v>112</v>
      </c>
      <c r="D2623" t="s">
        <v>21</v>
      </c>
      <c r="E2623" t="s">
        <v>22</v>
      </c>
      <c r="F2623" t="s">
        <v>22</v>
      </c>
      <c r="G2623">
        <v>0</v>
      </c>
      <c r="H2623">
        <v>185.4</v>
      </c>
      <c r="I2623">
        <v>114</v>
      </c>
      <c r="J2623">
        <v>31.52</v>
      </c>
      <c r="K2623">
        <v>191.4</v>
      </c>
      <c r="L2623">
        <v>119</v>
      </c>
      <c r="M2623">
        <v>16.27</v>
      </c>
      <c r="N2623">
        <v>144</v>
      </c>
      <c r="O2623">
        <v>78</v>
      </c>
      <c r="P2623">
        <v>6.48</v>
      </c>
      <c r="Q2623">
        <v>10</v>
      </c>
      <c r="R2623">
        <v>11</v>
      </c>
      <c r="S2623">
        <v>2.7</v>
      </c>
      <c r="T2623">
        <v>2</v>
      </c>
      <c r="U2623" t="s">
        <v>22</v>
      </c>
      <c r="V2623" t="e">
        <f>IF(#REF! = "yes", 1, 0)</f>
        <v>#REF!</v>
      </c>
      <c r="W2623" t="e">
        <f>IF(#REF! &lt;= 1, "0-1 Calls", IF(#REF! &lt;= 3, "2-3 Calls", IF(#REF! &lt;=5, "4-5 Calls", "6+ Calls")))</f>
        <v>#REF!</v>
      </c>
      <c r="X2623" t="e">
        <f>IF(#REF! &lt;= 50, "0-50", IF(#REF! &lt;=100, "51-100", IF(#REF! &lt;= 150, "101-150", "151+")))</f>
        <v>#REF!</v>
      </c>
      <c r="Y2623" t="e">
        <f>IF(#REF! &lt;= 3, "Low Charges", "High Charges")</f>
        <v>#REF!</v>
      </c>
      <c r="Z2623" t="e">
        <f>IF(#REF!&lt;=80,"Low Calls",
IF(#REF!&lt;=120,"Medium Calls","High Calls"))</f>
        <v>#REF!</v>
      </c>
      <c r="AA2623" t="e">
        <f>IF(#REF!&lt;=15,"Low Charges",
IF(#REF!&lt;=20,"Medium Charges","High Charges"))</f>
        <v>#REF!</v>
      </c>
      <c r="AB2623" t="e">
        <f>IF(AND(#REF!&gt;180, #REF!&gt;200), "Heavy Doemstic User", IF(#REF!&gt;10, "Interntional User", IF(AND(#REF!&lt;180, #REF!&lt;200,#REF!&lt;200), "Light User", "Balanced User")))</f>
        <v>#REF!</v>
      </c>
      <c r="AC2623" t="e">
        <f>IF(#REF! = 0, "No Usage", IF(#REF! &lt;= 20, "Low Usage", IF(#REF! &lt;= 40, "Medium Usgae", "High Usage")))</f>
        <v>#REF!</v>
      </c>
      <c r="AD2623" t="e">
        <f>IF(#REF!&lt;=150,"Low Usage", IF(#REF!&lt;=200,"Medium Usage", IF(#REF!&lt;=250,"High Usage","Very High Usage")))</f>
        <v>#REF!</v>
      </c>
      <c r="AE2623" t="e">
        <f>IF(#REF!&lt;=5,"Low Calls", IF(#REF!&lt;=10, "Medium Calls", "High Calls"))</f>
        <v>#REF!</v>
      </c>
      <c r="AF2623" t="e">
        <f xml:space="preserve">
IF(#REF!&gt;=4,4,0)+
IF(#REF!="yes",3,0)+
IF(#REF!="High Charges",3,0)+
IF(#REF!&gt;250,4,0)+
IF(#REF!="no",1,0)+
IF(#REF!="Heavy Domestic User",2,0)</f>
        <v>#REF!</v>
      </c>
      <c r="AG2623" t="e">
        <f>IF(#REF!&gt;=10,"High Risk", IF(#REF!&gt;=5,"Medium Risk","Low Risk"))</f>
        <v>#REF!</v>
      </c>
      <c r="AH2623" t="e">
        <f>#REF! + #REF! + #REF! + #REF!</f>
        <v>#REF!</v>
      </c>
    </row>
    <row r="2624" spans="1:34" x14ac:dyDescent="0.35">
      <c r="A2624">
        <v>2623</v>
      </c>
      <c r="B2624" t="s">
        <v>48</v>
      </c>
      <c r="C2624">
        <v>93</v>
      </c>
      <c r="D2624" t="s">
        <v>21</v>
      </c>
      <c r="E2624" t="s">
        <v>22</v>
      </c>
      <c r="F2624" t="s">
        <v>22</v>
      </c>
      <c r="G2624">
        <v>0</v>
      </c>
      <c r="H2624">
        <v>179.5</v>
      </c>
      <c r="I2624">
        <v>121</v>
      </c>
      <c r="J2624">
        <v>30.52</v>
      </c>
      <c r="K2624">
        <v>191.9</v>
      </c>
      <c r="L2624">
        <v>131</v>
      </c>
      <c r="M2624">
        <v>16.309999999999999</v>
      </c>
      <c r="N2624">
        <v>165.5</v>
      </c>
      <c r="O2624">
        <v>125</v>
      </c>
      <c r="P2624">
        <v>7.45</v>
      </c>
      <c r="Q2624">
        <v>12</v>
      </c>
      <c r="R2624">
        <v>4</v>
      </c>
      <c r="S2624">
        <v>3.24</v>
      </c>
      <c r="T2624">
        <v>0</v>
      </c>
      <c r="U2624" t="s">
        <v>22</v>
      </c>
      <c r="V2624" t="e">
        <f>IF(#REF! = "yes", 1, 0)</f>
        <v>#REF!</v>
      </c>
      <c r="W2624" t="e">
        <f>IF(#REF! &lt;= 1, "0-1 Calls", IF(#REF! &lt;= 3, "2-3 Calls", IF(#REF! &lt;=5, "4-5 Calls", "6+ Calls")))</f>
        <v>#REF!</v>
      </c>
      <c r="X2624" t="e">
        <f>IF(#REF! &lt;= 50, "0-50", IF(#REF! &lt;=100, "51-100", IF(#REF! &lt;= 150, "101-150", "151+")))</f>
        <v>#REF!</v>
      </c>
      <c r="Y2624" t="e">
        <f>IF(#REF! &lt;= 3, "Low Charges", "High Charges")</f>
        <v>#REF!</v>
      </c>
      <c r="Z2624" t="e">
        <f>IF(#REF!&lt;=80,"Low Calls",
IF(#REF!&lt;=120,"Medium Calls","High Calls"))</f>
        <v>#REF!</v>
      </c>
      <c r="AA2624" t="e">
        <f>IF(#REF!&lt;=15,"Low Charges",
IF(#REF!&lt;=20,"Medium Charges","High Charges"))</f>
        <v>#REF!</v>
      </c>
      <c r="AB2624" t="e">
        <f>IF(AND(#REF!&gt;180, #REF!&gt;200), "Heavy Doemstic User", IF(#REF!&gt;10, "Interntional User", IF(AND(#REF!&lt;180, #REF!&lt;200,#REF!&lt;200), "Light User", "Balanced User")))</f>
        <v>#REF!</v>
      </c>
      <c r="AC2624" t="e">
        <f>IF(#REF! = 0, "No Usage", IF(#REF! &lt;= 20, "Low Usage", IF(#REF! &lt;= 40, "Medium Usgae", "High Usage")))</f>
        <v>#REF!</v>
      </c>
      <c r="AD2624" t="e">
        <f>IF(#REF!&lt;=150,"Low Usage", IF(#REF!&lt;=200,"Medium Usage", IF(#REF!&lt;=250,"High Usage","Very High Usage")))</f>
        <v>#REF!</v>
      </c>
      <c r="AE2624" t="e">
        <f>IF(#REF!&lt;=5,"Low Calls", IF(#REF!&lt;=10, "Medium Calls", "High Calls"))</f>
        <v>#REF!</v>
      </c>
      <c r="AF2624" t="e">
        <f xml:space="preserve">
IF(#REF!&gt;=4,4,0)+
IF(#REF!="yes",3,0)+
IF(#REF!="High Charges",3,0)+
IF(#REF!&gt;250,4,0)+
IF(#REF!="no",1,0)+
IF(#REF!="Heavy Domestic User",2,0)</f>
        <v>#REF!</v>
      </c>
      <c r="AG2624" t="e">
        <f>IF(#REF!&gt;=10,"High Risk", IF(#REF!&gt;=5,"Medium Risk","Low Risk"))</f>
        <v>#REF!</v>
      </c>
      <c r="AH2624" t="e">
        <f>#REF! + #REF! + #REF! + #REF!</f>
        <v>#REF!</v>
      </c>
    </row>
    <row r="2625" spans="1:34" x14ac:dyDescent="0.35">
      <c r="A2625">
        <v>2624</v>
      </c>
      <c r="B2625" t="s">
        <v>42</v>
      </c>
      <c r="C2625">
        <v>102</v>
      </c>
      <c r="D2625" t="s">
        <v>25</v>
      </c>
      <c r="E2625" t="s">
        <v>22</v>
      </c>
      <c r="F2625" t="s">
        <v>22</v>
      </c>
      <c r="G2625">
        <v>0</v>
      </c>
      <c r="H2625">
        <v>158</v>
      </c>
      <c r="I2625">
        <v>94</v>
      </c>
      <c r="J2625">
        <v>26.86</v>
      </c>
      <c r="K2625">
        <v>207.9</v>
      </c>
      <c r="L2625">
        <v>100</v>
      </c>
      <c r="M2625">
        <v>17.670000000000002</v>
      </c>
      <c r="N2625">
        <v>190.4</v>
      </c>
      <c r="O2625">
        <v>120</v>
      </c>
      <c r="P2625">
        <v>8.57</v>
      </c>
      <c r="Q2625">
        <v>10.1</v>
      </c>
      <c r="R2625">
        <v>10</v>
      </c>
      <c r="S2625">
        <v>2.73</v>
      </c>
      <c r="T2625">
        <v>0</v>
      </c>
      <c r="U2625" t="s">
        <v>22</v>
      </c>
      <c r="V2625" t="e">
        <f>IF(#REF! = "yes", 1, 0)</f>
        <v>#REF!</v>
      </c>
      <c r="W2625" t="e">
        <f>IF(#REF! &lt;= 1, "0-1 Calls", IF(#REF! &lt;= 3, "2-3 Calls", IF(#REF! &lt;=5, "4-5 Calls", "6+ Calls")))</f>
        <v>#REF!</v>
      </c>
      <c r="X2625" t="e">
        <f>IF(#REF! &lt;= 50, "0-50", IF(#REF! &lt;=100, "51-100", IF(#REF! &lt;= 150, "101-150", "151+")))</f>
        <v>#REF!</v>
      </c>
      <c r="Y2625" t="e">
        <f>IF(#REF! &lt;= 3, "Low Charges", "High Charges")</f>
        <v>#REF!</v>
      </c>
      <c r="Z2625" t="e">
        <f>IF(#REF!&lt;=80,"Low Calls",
IF(#REF!&lt;=120,"Medium Calls","High Calls"))</f>
        <v>#REF!</v>
      </c>
      <c r="AA2625" t="e">
        <f>IF(#REF!&lt;=15,"Low Charges",
IF(#REF!&lt;=20,"Medium Charges","High Charges"))</f>
        <v>#REF!</v>
      </c>
      <c r="AB2625" t="e">
        <f>IF(AND(#REF!&gt;180, #REF!&gt;200), "Heavy Doemstic User", IF(#REF!&gt;10, "Interntional User", IF(AND(#REF!&lt;180, #REF!&lt;200,#REF!&lt;200), "Light User", "Balanced User")))</f>
        <v>#REF!</v>
      </c>
      <c r="AC2625" t="e">
        <f>IF(#REF! = 0, "No Usage", IF(#REF! &lt;= 20, "Low Usage", IF(#REF! &lt;= 40, "Medium Usgae", "High Usage")))</f>
        <v>#REF!</v>
      </c>
      <c r="AD2625" t="e">
        <f>IF(#REF!&lt;=150,"Low Usage", IF(#REF!&lt;=200,"Medium Usage", IF(#REF!&lt;=250,"High Usage","Very High Usage")))</f>
        <v>#REF!</v>
      </c>
      <c r="AE2625" t="e">
        <f>IF(#REF!&lt;=5,"Low Calls", IF(#REF!&lt;=10, "Medium Calls", "High Calls"))</f>
        <v>#REF!</v>
      </c>
      <c r="AF2625" t="e">
        <f xml:space="preserve">
IF(#REF!&gt;=4,4,0)+
IF(#REF!="yes",3,0)+
IF(#REF!="High Charges",3,0)+
IF(#REF!&gt;250,4,0)+
IF(#REF!="no",1,0)+
IF(#REF!="Heavy Domestic User",2,0)</f>
        <v>#REF!</v>
      </c>
      <c r="AG2625" t="e">
        <f>IF(#REF!&gt;=10,"High Risk", IF(#REF!&gt;=5,"Medium Risk","Low Risk"))</f>
        <v>#REF!</v>
      </c>
      <c r="AH2625" t="e">
        <f>#REF! + #REF! + #REF! + #REF!</f>
        <v>#REF!</v>
      </c>
    </row>
    <row r="2626" spans="1:34" x14ac:dyDescent="0.35">
      <c r="A2626">
        <v>2625</v>
      </c>
      <c r="B2626" t="s">
        <v>27</v>
      </c>
      <c r="C2626">
        <v>93</v>
      </c>
      <c r="D2626" t="s">
        <v>21</v>
      </c>
      <c r="E2626" t="s">
        <v>22</v>
      </c>
      <c r="F2626" t="s">
        <v>22</v>
      </c>
      <c r="G2626">
        <v>0</v>
      </c>
      <c r="H2626">
        <v>173</v>
      </c>
      <c r="I2626">
        <v>131</v>
      </c>
      <c r="J2626">
        <v>29.41</v>
      </c>
      <c r="K2626">
        <v>190.4</v>
      </c>
      <c r="L2626">
        <v>108</v>
      </c>
      <c r="M2626">
        <v>16.18</v>
      </c>
      <c r="N2626">
        <v>290</v>
      </c>
      <c r="O2626">
        <v>66</v>
      </c>
      <c r="P2626">
        <v>13.05</v>
      </c>
      <c r="Q2626">
        <v>10.4</v>
      </c>
      <c r="R2626">
        <v>2</v>
      </c>
      <c r="S2626">
        <v>2.81</v>
      </c>
      <c r="T2626">
        <v>0</v>
      </c>
      <c r="U2626" t="s">
        <v>22</v>
      </c>
      <c r="V2626" t="e">
        <f>IF(#REF! = "yes", 1, 0)</f>
        <v>#REF!</v>
      </c>
      <c r="W2626" t="e">
        <f>IF(#REF! &lt;= 1, "0-1 Calls", IF(#REF! &lt;= 3, "2-3 Calls", IF(#REF! &lt;=5, "4-5 Calls", "6+ Calls")))</f>
        <v>#REF!</v>
      </c>
      <c r="X2626" t="e">
        <f>IF(#REF! &lt;= 50, "0-50", IF(#REF! &lt;=100, "51-100", IF(#REF! &lt;= 150, "101-150", "151+")))</f>
        <v>#REF!</v>
      </c>
      <c r="Y2626" t="e">
        <f>IF(#REF! &lt;= 3, "Low Charges", "High Charges")</f>
        <v>#REF!</v>
      </c>
      <c r="Z2626" t="e">
        <f>IF(#REF!&lt;=80,"Low Calls",
IF(#REF!&lt;=120,"Medium Calls","High Calls"))</f>
        <v>#REF!</v>
      </c>
      <c r="AA2626" t="e">
        <f>IF(#REF!&lt;=15,"Low Charges",
IF(#REF!&lt;=20,"Medium Charges","High Charges"))</f>
        <v>#REF!</v>
      </c>
      <c r="AB2626" t="e">
        <f>IF(AND(#REF!&gt;180, #REF!&gt;200), "Heavy Doemstic User", IF(#REF!&gt;10, "Interntional User", IF(AND(#REF!&lt;180, #REF!&lt;200,#REF!&lt;200), "Light User", "Balanced User")))</f>
        <v>#REF!</v>
      </c>
      <c r="AC2626" t="e">
        <f>IF(#REF! = 0, "No Usage", IF(#REF! &lt;= 20, "Low Usage", IF(#REF! &lt;= 40, "Medium Usgae", "High Usage")))</f>
        <v>#REF!</v>
      </c>
      <c r="AD2626" t="e">
        <f>IF(#REF!&lt;=150,"Low Usage", IF(#REF!&lt;=200,"Medium Usage", IF(#REF!&lt;=250,"High Usage","Very High Usage")))</f>
        <v>#REF!</v>
      </c>
      <c r="AE2626" t="e">
        <f>IF(#REF!&lt;=5,"Low Calls", IF(#REF!&lt;=10, "Medium Calls", "High Calls"))</f>
        <v>#REF!</v>
      </c>
      <c r="AF2626" t="e">
        <f xml:space="preserve">
IF(#REF!&gt;=4,4,0)+
IF(#REF!="yes",3,0)+
IF(#REF!="High Charges",3,0)+
IF(#REF!&gt;250,4,0)+
IF(#REF!="no",1,0)+
IF(#REF!="Heavy Domestic User",2,0)</f>
        <v>#REF!</v>
      </c>
      <c r="AG2626" t="e">
        <f>IF(#REF!&gt;=10,"High Risk", IF(#REF!&gt;=5,"Medium Risk","Low Risk"))</f>
        <v>#REF!</v>
      </c>
      <c r="AH2626" t="e">
        <f>#REF! + #REF! + #REF! + #REF!</f>
        <v>#REF!</v>
      </c>
    </row>
    <row r="2627" spans="1:34" x14ac:dyDescent="0.35">
      <c r="A2627">
        <v>2626</v>
      </c>
      <c r="B2627" t="s">
        <v>42</v>
      </c>
      <c r="C2627">
        <v>107</v>
      </c>
      <c r="D2627" t="s">
        <v>21</v>
      </c>
      <c r="E2627" t="s">
        <v>22</v>
      </c>
      <c r="F2627" t="s">
        <v>23</v>
      </c>
      <c r="G2627">
        <v>32</v>
      </c>
      <c r="H2627">
        <v>134.19999999999999</v>
      </c>
      <c r="I2627">
        <v>101</v>
      </c>
      <c r="J2627">
        <v>22.81</v>
      </c>
      <c r="K2627">
        <v>211.9</v>
      </c>
      <c r="L2627">
        <v>145</v>
      </c>
      <c r="M2627">
        <v>18.010000000000002</v>
      </c>
      <c r="N2627">
        <v>167.6</v>
      </c>
      <c r="O2627">
        <v>138</v>
      </c>
      <c r="P2627">
        <v>7.54</v>
      </c>
      <c r="Q2627">
        <v>8.1999999999999993</v>
      </c>
      <c r="R2627">
        <v>5</v>
      </c>
      <c r="S2627">
        <v>2.21</v>
      </c>
      <c r="T2627">
        <v>1</v>
      </c>
      <c r="U2627" t="s">
        <v>22</v>
      </c>
      <c r="V2627" t="e">
        <f>IF(#REF! = "yes", 1, 0)</f>
        <v>#REF!</v>
      </c>
      <c r="W2627" t="e">
        <f>IF(#REF! &lt;= 1, "0-1 Calls", IF(#REF! &lt;= 3, "2-3 Calls", IF(#REF! &lt;=5, "4-5 Calls", "6+ Calls")))</f>
        <v>#REF!</v>
      </c>
      <c r="X2627" t="e">
        <f>IF(#REF! &lt;= 50, "0-50", IF(#REF! &lt;=100, "51-100", IF(#REF! &lt;= 150, "101-150", "151+")))</f>
        <v>#REF!</v>
      </c>
      <c r="Y2627" t="e">
        <f>IF(#REF! &lt;= 3, "Low Charges", "High Charges")</f>
        <v>#REF!</v>
      </c>
      <c r="Z2627" t="e">
        <f>IF(#REF!&lt;=80,"Low Calls",
IF(#REF!&lt;=120,"Medium Calls","High Calls"))</f>
        <v>#REF!</v>
      </c>
      <c r="AA2627" t="e">
        <f>IF(#REF!&lt;=15,"Low Charges",
IF(#REF!&lt;=20,"Medium Charges","High Charges"))</f>
        <v>#REF!</v>
      </c>
      <c r="AB2627" t="e">
        <f>IF(AND(#REF!&gt;180, #REF!&gt;200), "Heavy Doemstic User", IF(#REF!&gt;10, "Interntional User", IF(AND(#REF!&lt;180, #REF!&lt;200,#REF!&lt;200), "Light User", "Balanced User")))</f>
        <v>#REF!</v>
      </c>
      <c r="AC2627" t="e">
        <f>IF(#REF! = 0, "No Usage", IF(#REF! &lt;= 20, "Low Usage", IF(#REF! &lt;= 40, "Medium Usgae", "High Usage")))</f>
        <v>#REF!</v>
      </c>
      <c r="AD2627" t="e">
        <f>IF(#REF!&lt;=150,"Low Usage", IF(#REF!&lt;=200,"Medium Usage", IF(#REF!&lt;=250,"High Usage","Very High Usage")))</f>
        <v>#REF!</v>
      </c>
      <c r="AE2627" t="e">
        <f>IF(#REF!&lt;=5,"Low Calls", IF(#REF!&lt;=10, "Medium Calls", "High Calls"))</f>
        <v>#REF!</v>
      </c>
      <c r="AF2627" t="e">
        <f xml:space="preserve">
IF(#REF!&gt;=4,4,0)+
IF(#REF!="yes",3,0)+
IF(#REF!="High Charges",3,0)+
IF(#REF!&gt;250,4,0)+
IF(#REF!="no",1,0)+
IF(#REF!="Heavy Domestic User",2,0)</f>
        <v>#REF!</v>
      </c>
      <c r="AG2627" t="e">
        <f>IF(#REF!&gt;=10,"High Risk", IF(#REF!&gt;=5,"Medium Risk","Low Risk"))</f>
        <v>#REF!</v>
      </c>
      <c r="AH2627" t="e">
        <f>#REF! + #REF! + #REF! + #REF!</f>
        <v>#REF!</v>
      </c>
    </row>
    <row r="2628" spans="1:34" x14ac:dyDescent="0.35">
      <c r="A2628">
        <v>2627</v>
      </c>
      <c r="B2628" t="s">
        <v>32</v>
      </c>
      <c r="C2628">
        <v>100</v>
      </c>
      <c r="D2628" t="s">
        <v>21</v>
      </c>
      <c r="E2628" t="s">
        <v>22</v>
      </c>
      <c r="F2628" t="s">
        <v>23</v>
      </c>
      <c r="G2628">
        <v>32</v>
      </c>
      <c r="H2628">
        <v>125.2</v>
      </c>
      <c r="I2628">
        <v>123</v>
      </c>
      <c r="J2628">
        <v>21.28</v>
      </c>
      <c r="K2628">
        <v>230.9</v>
      </c>
      <c r="L2628">
        <v>101</v>
      </c>
      <c r="M2628">
        <v>19.63</v>
      </c>
      <c r="N2628">
        <v>192</v>
      </c>
      <c r="O2628">
        <v>106</v>
      </c>
      <c r="P2628">
        <v>8.64</v>
      </c>
      <c r="Q2628">
        <v>12.6</v>
      </c>
      <c r="R2628">
        <v>9</v>
      </c>
      <c r="S2628">
        <v>3.4</v>
      </c>
      <c r="T2628">
        <v>3</v>
      </c>
      <c r="U2628" t="s">
        <v>22</v>
      </c>
      <c r="V2628" t="e">
        <f>IF(#REF! = "yes", 1, 0)</f>
        <v>#REF!</v>
      </c>
      <c r="W2628" t="e">
        <f>IF(#REF! &lt;= 1, "0-1 Calls", IF(#REF! &lt;= 3, "2-3 Calls", IF(#REF! &lt;=5, "4-5 Calls", "6+ Calls")))</f>
        <v>#REF!</v>
      </c>
      <c r="X2628" t="e">
        <f>IF(#REF! &lt;= 50, "0-50", IF(#REF! &lt;=100, "51-100", IF(#REF! &lt;= 150, "101-150", "151+")))</f>
        <v>#REF!</v>
      </c>
      <c r="Y2628" t="e">
        <f>IF(#REF! &lt;= 3, "Low Charges", "High Charges")</f>
        <v>#REF!</v>
      </c>
      <c r="Z2628" t="e">
        <f>IF(#REF!&lt;=80,"Low Calls",
IF(#REF!&lt;=120,"Medium Calls","High Calls"))</f>
        <v>#REF!</v>
      </c>
      <c r="AA2628" t="e">
        <f>IF(#REF!&lt;=15,"Low Charges",
IF(#REF!&lt;=20,"Medium Charges","High Charges"))</f>
        <v>#REF!</v>
      </c>
      <c r="AB2628" t="e">
        <f>IF(AND(#REF!&gt;180, #REF!&gt;200), "Heavy Doemstic User", IF(#REF!&gt;10, "Interntional User", IF(AND(#REF!&lt;180, #REF!&lt;200,#REF!&lt;200), "Light User", "Balanced User")))</f>
        <v>#REF!</v>
      </c>
      <c r="AC2628" t="e">
        <f>IF(#REF! = 0, "No Usage", IF(#REF! &lt;= 20, "Low Usage", IF(#REF! &lt;= 40, "Medium Usgae", "High Usage")))</f>
        <v>#REF!</v>
      </c>
      <c r="AD2628" t="e">
        <f>IF(#REF!&lt;=150,"Low Usage", IF(#REF!&lt;=200,"Medium Usage", IF(#REF!&lt;=250,"High Usage","Very High Usage")))</f>
        <v>#REF!</v>
      </c>
      <c r="AE2628" t="e">
        <f>IF(#REF!&lt;=5,"Low Calls", IF(#REF!&lt;=10, "Medium Calls", "High Calls"))</f>
        <v>#REF!</v>
      </c>
      <c r="AF2628" t="e">
        <f xml:space="preserve">
IF(#REF!&gt;=4,4,0)+
IF(#REF!="yes",3,0)+
IF(#REF!="High Charges",3,0)+
IF(#REF!&gt;250,4,0)+
IF(#REF!="no",1,0)+
IF(#REF!="Heavy Domestic User",2,0)</f>
        <v>#REF!</v>
      </c>
      <c r="AG2628" t="e">
        <f>IF(#REF!&gt;=10,"High Risk", IF(#REF!&gt;=5,"Medium Risk","Low Risk"))</f>
        <v>#REF!</v>
      </c>
      <c r="AH2628" t="e">
        <f>#REF! + #REF! + #REF! + #REF!</f>
        <v>#REF!</v>
      </c>
    </row>
    <row r="2629" spans="1:34" x14ac:dyDescent="0.35">
      <c r="A2629">
        <v>2628</v>
      </c>
      <c r="B2629" t="s">
        <v>54</v>
      </c>
      <c r="C2629">
        <v>115</v>
      </c>
      <c r="D2629" t="s">
        <v>21</v>
      </c>
      <c r="E2629" t="s">
        <v>22</v>
      </c>
      <c r="F2629" t="s">
        <v>22</v>
      </c>
      <c r="G2629">
        <v>0</v>
      </c>
      <c r="H2629">
        <v>195.9</v>
      </c>
      <c r="I2629">
        <v>111</v>
      </c>
      <c r="J2629">
        <v>33.299999999999997</v>
      </c>
      <c r="K2629">
        <v>227</v>
      </c>
      <c r="L2629">
        <v>108</v>
      </c>
      <c r="M2629">
        <v>19.3</v>
      </c>
      <c r="N2629">
        <v>313.2</v>
      </c>
      <c r="O2629">
        <v>113</v>
      </c>
      <c r="P2629">
        <v>14.09</v>
      </c>
      <c r="Q2629">
        <v>13.2</v>
      </c>
      <c r="R2629">
        <v>1</v>
      </c>
      <c r="S2629">
        <v>3.56</v>
      </c>
      <c r="T2629">
        <v>2</v>
      </c>
      <c r="U2629" t="s">
        <v>22</v>
      </c>
      <c r="V2629" t="e">
        <f>IF(#REF! = "yes", 1, 0)</f>
        <v>#REF!</v>
      </c>
      <c r="W2629" t="e">
        <f>IF(#REF! &lt;= 1, "0-1 Calls", IF(#REF! &lt;= 3, "2-3 Calls", IF(#REF! &lt;=5, "4-5 Calls", "6+ Calls")))</f>
        <v>#REF!</v>
      </c>
      <c r="X2629" t="e">
        <f>IF(#REF! &lt;= 50, "0-50", IF(#REF! &lt;=100, "51-100", IF(#REF! &lt;= 150, "101-150", "151+")))</f>
        <v>#REF!</v>
      </c>
      <c r="Y2629" t="e">
        <f>IF(#REF! &lt;= 3, "Low Charges", "High Charges")</f>
        <v>#REF!</v>
      </c>
      <c r="Z2629" t="e">
        <f>IF(#REF!&lt;=80,"Low Calls",
IF(#REF!&lt;=120,"Medium Calls","High Calls"))</f>
        <v>#REF!</v>
      </c>
      <c r="AA2629" t="e">
        <f>IF(#REF!&lt;=15,"Low Charges",
IF(#REF!&lt;=20,"Medium Charges","High Charges"))</f>
        <v>#REF!</v>
      </c>
      <c r="AB2629" t="e">
        <f>IF(AND(#REF!&gt;180, #REF!&gt;200), "Heavy Doemstic User", IF(#REF!&gt;10, "Interntional User", IF(AND(#REF!&lt;180, #REF!&lt;200,#REF!&lt;200), "Light User", "Balanced User")))</f>
        <v>#REF!</v>
      </c>
      <c r="AC2629" t="e">
        <f>IF(#REF! = 0, "No Usage", IF(#REF! &lt;= 20, "Low Usage", IF(#REF! &lt;= 40, "Medium Usgae", "High Usage")))</f>
        <v>#REF!</v>
      </c>
      <c r="AD2629" t="e">
        <f>IF(#REF!&lt;=150,"Low Usage", IF(#REF!&lt;=200,"Medium Usage", IF(#REF!&lt;=250,"High Usage","Very High Usage")))</f>
        <v>#REF!</v>
      </c>
      <c r="AE2629" t="e">
        <f>IF(#REF!&lt;=5,"Low Calls", IF(#REF!&lt;=10, "Medium Calls", "High Calls"))</f>
        <v>#REF!</v>
      </c>
      <c r="AF2629" t="e">
        <f xml:space="preserve">
IF(#REF!&gt;=4,4,0)+
IF(#REF!="yes",3,0)+
IF(#REF!="High Charges",3,0)+
IF(#REF!&gt;250,4,0)+
IF(#REF!="no",1,0)+
IF(#REF!="Heavy Domestic User",2,0)</f>
        <v>#REF!</v>
      </c>
      <c r="AG2629" t="e">
        <f>IF(#REF!&gt;=10,"High Risk", IF(#REF!&gt;=5,"Medium Risk","Low Risk"))</f>
        <v>#REF!</v>
      </c>
      <c r="AH2629" t="e">
        <f>#REF! + #REF! + #REF! + #REF!</f>
        <v>#REF!</v>
      </c>
    </row>
    <row r="2630" spans="1:34" x14ac:dyDescent="0.35">
      <c r="A2630">
        <v>2629</v>
      </c>
      <c r="B2630" t="s">
        <v>51</v>
      </c>
      <c r="C2630">
        <v>63</v>
      </c>
      <c r="D2630" t="s">
        <v>28</v>
      </c>
      <c r="E2630" t="s">
        <v>22</v>
      </c>
      <c r="F2630" t="s">
        <v>23</v>
      </c>
      <c r="G2630">
        <v>13</v>
      </c>
      <c r="H2630">
        <v>214.2</v>
      </c>
      <c r="I2630">
        <v>61</v>
      </c>
      <c r="J2630">
        <v>36.409999999999997</v>
      </c>
      <c r="K2630">
        <v>181.2</v>
      </c>
      <c r="L2630">
        <v>88</v>
      </c>
      <c r="M2630">
        <v>15.4</v>
      </c>
      <c r="N2630">
        <v>174</v>
      </c>
      <c r="O2630">
        <v>68</v>
      </c>
      <c r="P2630">
        <v>7.83</v>
      </c>
      <c r="Q2630">
        <v>10.3</v>
      </c>
      <c r="R2630">
        <v>2</v>
      </c>
      <c r="S2630">
        <v>2.78</v>
      </c>
      <c r="T2630">
        <v>0</v>
      </c>
      <c r="U2630" t="s">
        <v>22</v>
      </c>
      <c r="V2630" t="e">
        <f>IF(#REF! = "yes", 1, 0)</f>
        <v>#REF!</v>
      </c>
      <c r="W2630" t="e">
        <f>IF(#REF! &lt;= 1, "0-1 Calls", IF(#REF! &lt;= 3, "2-3 Calls", IF(#REF! &lt;=5, "4-5 Calls", "6+ Calls")))</f>
        <v>#REF!</v>
      </c>
      <c r="X2630" t="e">
        <f>IF(#REF! &lt;= 50, "0-50", IF(#REF! &lt;=100, "51-100", IF(#REF! &lt;= 150, "101-150", "151+")))</f>
        <v>#REF!</v>
      </c>
      <c r="Y2630" t="e">
        <f>IF(#REF! &lt;= 3, "Low Charges", "High Charges")</f>
        <v>#REF!</v>
      </c>
      <c r="Z2630" t="e">
        <f>IF(#REF!&lt;=80,"Low Calls",
IF(#REF!&lt;=120,"Medium Calls","High Calls"))</f>
        <v>#REF!</v>
      </c>
      <c r="AA2630" t="e">
        <f>IF(#REF!&lt;=15,"Low Charges",
IF(#REF!&lt;=20,"Medium Charges","High Charges"))</f>
        <v>#REF!</v>
      </c>
      <c r="AB2630" t="e">
        <f>IF(AND(#REF!&gt;180, #REF!&gt;200), "Heavy Doemstic User", IF(#REF!&gt;10, "Interntional User", IF(AND(#REF!&lt;180, #REF!&lt;200,#REF!&lt;200), "Light User", "Balanced User")))</f>
        <v>#REF!</v>
      </c>
      <c r="AC2630" t="e">
        <f>IF(#REF! = 0, "No Usage", IF(#REF! &lt;= 20, "Low Usage", IF(#REF! &lt;= 40, "Medium Usgae", "High Usage")))</f>
        <v>#REF!</v>
      </c>
      <c r="AD2630" t="e">
        <f>IF(#REF!&lt;=150,"Low Usage", IF(#REF!&lt;=200,"Medium Usage", IF(#REF!&lt;=250,"High Usage","Very High Usage")))</f>
        <v>#REF!</v>
      </c>
      <c r="AE2630" t="e">
        <f>IF(#REF!&lt;=5,"Low Calls", IF(#REF!&lt;=10, "Medium Calls", "High Calls"))</f>
        <v>#REF!</v>
      </c>
      <c r="AF2630" t="e">
        <f xml:space="preserve">
IF(#REF!&gt;=4,4,0)+
IF(#REF!="yes",3,0)+
IF(#REF!="High Charges",3,0)+
IF(#REF!&gt;250,4,0)+
IF(#REF!="no",1,0)+
IF(#REF!="Heavy Domestic User",2,0)</f>
        <v>#REF!</v>
      </c>
      <c r="AG2630" t="e">
        <f>IF(#REF!&gt;=10,"High Risk", IF(#REF!&gt;=5,"Medium Risk","Low Risk"))</f>
        <v>#REF!</v>
      </c>
      <c r="AH2630" t="e">
        <f>#REF! + #REF! + #REF! + #REF!</f>
        <v>#REF!</v>
      </c>
    </row>
    <row r="2631" spans="1:34" x14ac:dyDescent="0.35">
      <c r="A2631">
        <v>2630</v>
      </c>
      <c r="B2631" t="s">
        <v>66</v>
      </c>
      <c r="C2631">
        <v>57</v>
      </c>
      <c r="D2631" t="s">
        <v>21</v>
      </c>
      <c r="E2631" t="s">
        <v>22</v>
      </c>
      <c r="F2631" t="s">
        <v>22</v>
      </c>
      <c r="G2631">
        <v>0</v>
      </c>
      <c r="H2631">
        <v>221.1</v>
      </c>
      <c r="I2631">
        <v>101</v>
      </c>
      <c r="J2631">
        <v>37.590000000000003</v>
      </c>
      <c r="K2631">
        <v>236.7</v>
      </c>
      <c r="L2631">
        <v>65</v>
      </c>
      <c r="M2631">
        <v>20.12</v>
      </c>
      <c r="N2631">
        <v>252.3</v>
      </c>
      <c r="O2631">
        <v>137</v>
      </c>
      <c r="P2631">
        <v>11.35</v>
      </c>
      <c r="Q2631">
        <v>9.5</v>
      </c>
      <c r="R2631">
        <v>1</v>
      </c>
      <c r="S2631">
        <v>2.57</v>
      </c>
      <c r="T2631">
        <v>0</v>
      </c>
      <c r="U2631" t="s">
        <v>22</v>
      </c>
      <c r="V2631" t="e">
        <f>IF(#REF! = "yes", 1, 0)</f>
        <v>#REF!</v>
      </c>
      <c r="W2631" t="e">
        <f>IF(#REF! &lt;= 1, "0-1 Calls", IF(#REF! &lt;= 3, "2-3 Calls", IF(#REF! &lt;=5, "4-5 Calls", "6+ Calls")))</f>
        <v>#REF!</v>
      </c>
      <c r="X2631" t="e">
        <f>IF(#REF! &lt;= 50, "0-50", IF(#REF! &lt;=100, "51-100", IF(#REF! &lt;= 150, "101-150", "151+")))</f>
        <v>#REF!</v>
      </c>
      <c r="Y2631" t="e">
        <f>IF(#REF! &lt;= 3, "Low Charges", "High Charges")</f>
        <v>#REF!</v>
      </c>
      <c r="Z2631" t="e">
        <f>IF(#REF!&lt;=80,"Low Calls",
IF(#REF!&lt;=120,"Medium Calls","High Calls"))</f>
        <v>#REF!</v>
      </c>
      <c r="AA2631" t="e">
        <f>IF(#REF!&lt;=15,"Low Charges",
IF(#REF!&lt;=20,"Medium Charges","High Charges"))</f>
        <v>#REF!</v>
      </c>
      <c r="AB2631" t="e">
        <f>IF(AND(#REF!&gt;180, #REF!&gt;200), "Heavy Doemstic User", IF(#REF!&gt;10, "Interntional User", IF(AND(#REF!&lt;180, #REF!&lt;200,#REF!&lt;200), "Light User", "Balanced User")))</f>
        <v>#REF!</v>
      </c>
      <c r="AC2631" t="e">
        <f>IF(#REF! = 0, "No Usage", IF(#REF! &lt;= 20, "Low Usage", IF(#REF! &lt;= 40, "Medium Usgae", "High Usage")))</f>
        <v>#REF!</v>
      </c>
      <c r="AD2631" t="e">
        <f>IF(#REF!&lt;=150,"Low Usage", IF(#REF!&lt;=200,"Medium Usage", IF(#REF!&lt;=250,"High Usage","Very High Usage")))</f>
        <v>#REF!</v>
      </c>
      <c r="AE2631" t="e">
        <f>IF(#REF!&lt;=5,"Low Calls", IF(#REF!&lt;=10, "Medium Calls", "High Calls"))</f>
        <v>#REF!</v>
      </c>
      <c r="AF2631" t="e">
        <f xml:space="preserve">
IF(#REF!&gt;=4,4,0)+
IF(#REF!="yes",3,0)+
IF(#REF!="High Charges",3,0)+
IF(#REF!&gt;250,4,0)+
IF(#REF!="no",1,0)+
IF(#REF!="Heavy Domestic User",2,0)</f>
        <v>#REF!</v>
      </c>
      <c r="AG2631" t="e">
        <f>IF(#REF!&gt;=10,"High Risk", IF(#REF!&gt;=5,"Medium Risk","Low Risk"))</f>
        <v>#REF!</v>
      </c>
      <c r="AH2631" t="e">
        <f>#REF! + #REF! + #REF! + #REF!</f>
        <v>#REF!</v>
      </c>
    </row>
    <row r="2632" spans="1:34" x14ac:dyDescent="0.35">
      <c r="A2632">
        <v>2631</v>
      </c>
      <c r="B2632" t="s">
        <v>63</v>
      </c>
      <c r="C2632">
        <v>119</v>
      </c>
      <c r="D2632" t="s">
        <v>25</v>
      </c>
      <c r="E2632" t="s">
        <v>22</v>
      </c>
      <c r="F2632" t="s">
        <v>23</v>
      </c>
      <c r="G2632">
        <v>26</v>
      </c>
      <c r="H2632">
        <v>132</v>
      </c>
      <c r="I2632">
        <v>100</v>
      </c>
      <c r="J2632">
        <v>22.44</v>
      </c>
      <c r="K2632">
        <v>173.3</v>
      </c>
      <c r="L2632">
        <v>121</v>
      </c>
      <c r="M2632">
        <v>14.73</v>
      </c>
      <c r="N2632">
        <v>203.5</v>
      </c>
      <c r="O2632">
        <v>108</v>
      </c>
      <c r="P2632">
        <v>9.16</v>
      </c>
      <c r="Q2632">
        <v>11.6</v>
      </c>
      <c r="R2632">
        <v>5</v>
      </c>
      <c r="S2632">
        <v>3.13</v>
      </c>
      <c r="T2632">
        <v>1</v>
      </c>
      <c r="U2632" t="s">
        <v>22</v>
      </c>
      <c r="V2632" t="e">
        <f>IF(#REF! = "yes", 1, 0)</f>
        <v>#REF!</v>
      </c>
      <c r="W2632" t="e">
        <f>IF(#REF! &lt;= 1, "0-1 Calls", IF(#REF! &lt;= 3, "2-3 Calls", IF(#REF! &lt;=5, "4-5 Calls", "6+ Calls")))</f>
        <v>#REF!</v>
      </c>
      <c r="X2632" t="e">
        <f>IF(#REF! &lt;= 50, "0-50", IF(#REF! &lt;=100, "51-100", IF(#REF! &lt;= 150, "101-150", "151+")))</f>
        <v>#REF!</v>
      </c>
      <c r="Y2632" t="e">
        <f>IF(#REF! &lt;= 3, "Low Charges", "High Charges")</f>
        <v>#REF!</v>
      </c>
      <c r="Z2632" t="e">
        <f>IF(#REF!&lt;=80,"Low Calls",
IF(#REF!&lt;=120,"Medium Calls","High Calls"))</f>
        <v>#REF!</v>
      </c>
      <c r="AA2632" t="e">
        <f>IF(#REF!&lt;=15,"Low Charges",
IF(#REF!&lt;=20,"Medium Charges","High Charges"))</f>
        <v>#REF!</v>
      </c>
      <c r="AB2632" t="e">
        <f>IF(AND(#REF!&gt;180, #REF!&gt;200), "Heavy Doemstic User", IF(#REF!&gt;10, "Interntional User", IF(AND(#REF!&lt;180, #REF!&lt;200,#REF!&lt;200), "Light User", "Balanced User")))</f>
        <v>#REF!</v>
      </c>
      <c r="AC2632" t="e">
        <f>IF(#REF! = 0, "No Usage", IF(#REF! &lt;= 20, "Low Usage", IF(#REF! &lt;= 40, "Medium Usgae", "High Usage")))</f>
        <v>#REF!</v>
      </c>
      <c r="AD2632" t="e">
        <f>IF(#REF!&lt;=150,"Low Usage", IF(#REF!&lt;=200,"Medium Usage", IF(#REF!&lt;=250,"High Usage","Very High Usage")))</f>
        <v>#REF!</v>
      </c>
      <c r="AE2632" t="e">
        <f>IF(#REF!&lt;=5,"Low Calls", IF(#REF!&lt;=10, "Medium Calls", "High Calls"))</f>
        <v>#REF!</v>
      </c>
      <c r="AF2632" t="e">
        <f xml:space="preserve">
IF(#REF!&gt;=4,4,0)+
IF(#REF!="yes",3,0)+
IF(#REF!="High Charges",3,0)+
IF(#REF!&gt;250,4,0)+
IF(#REF!="no",1,0)+
IF(#REF!="Heavy Domestic User",2,0)</f>
        <v>#REF!</v>
      </c>
      <c r="AG2632" t="e">
        <f>IF(#REF!&gt;=10,"High Risk", IF(#REF!&gt;=5,"Medium Risk","Low Risk"))</f>
        <v>#REF!</v>
      </c>
      <c r="AH2632" t="e">
        <f>#REF! + #REF! + #REF! + #REF!</f>
        <v>#REF!</v>
      </c>
    </row>
    <row r="2633" spans="1:34" x14ac:dyDescent="0.35">
      <c r="A2633">
        <v>2632</v>
      </c>
      <c r="B2633" t="s">
        <v>48</v>
      </c>
      <c r="C2633">
        <v>73</v>
      </c>
      <c r="D2633" t="s">
        <v>25</v>
      </c>
      <c r="E2633" t="s">
        <v>22</v>
      </c>
      <c r="F2633" t="s">
        <v>22</v>
      </c>
      <c r="G2633">
        <v>0</v>
      </c>
      <c r="H2633">
        <v>157.6</v>
      </c>
      <c r="I2633">
        <v>92</v>
      </c>
      <c r="J2633">
        <v>26.79</v>
      </c>
      <c r="K2633">
        <v>198.3</v>
      </c>
      <c r="L2633">
        <v>87</v>
      </c>
      <c r="M2633">
        <v>16.86</v>
      </c>
      <c r="N2633">
        <v>364.9</v>
      </c>
      <c r="O2633">
        <v>106</v>
      </c>
      <c r="P2633">
        <v>16.420000000000002</v>
      </c>
      <c r="Q2633">
        <v>9.1</v>
      </c>
      <c r="R2633">
        <v>4</v>
      </c>
      <c r="S2633">
        <v>2.46</v>
      </c>
      <c r="T2633">
        <v>1</v>
      </c>
      <c r="U2633" t="s">
        <v>22</v>
      </c>
      <c r="V2633" t="e">
        <f>IF(#REF! = "yes", 1, 0)</f>
        <v>#REF!</v>
      </c>
      <c r="W2633" t="e">
        <f>IF(#REF! &lt;= 1, "0-1 Calls", IF(#REF! &lt;= 3, "2-3 Calls", IF(#REF! &lt;=5, "4-5 Calls", "6+ Calls")))</f>
        <v>#REF!</v>
      </c>
      <c r="X2633" t="e">
        <f>IF(#REF! &lt;= 50, "0-50", IF(#REF! &lt;=100, "51-100", IF(#REF! &lt;= 150, "101-150", "151+")))</f>
        <v>#REF!</v>
      </c>
      <c r="Y2633" t="e">
        <f>IF(#REF! &lt;= 3, "Low Charges", "High Charges")</f>
        <v>#REF!</v>
      </c>
      <c r="Z2633" t="e">
        <f>IF(#REF!&lt;=80,"Low Calls",
IF(#REF!&lt;=120,"Medium Calls","High Calls"))</f>
        <v>#REF!</v>
      </c>
      <c r="AA2633" t="e">
        <f>IF(#REF!&lt;=15,"Low Charges",
IF(#REF!&lt;=20,"Medium Charges","High Charges"))</f>
        <v>#REF!</v>
      </c>
      <c r="AB2633" t="e">
        <f>IF(AND(#REF!&gt;180, #REF!&gt;200), "Heavy Doemstic User", IF(#REF!&gt;10, "Interntional User", IF(AND(#REF!&lt;180, #REF!&lt;200,#REF!&lt;200), "Light User", "Balanced User")))</f>
        <v>#REF!</v>
      </c>
      <c r="AC2633" t="e">
        <f>IF(#REF! = 0, "No Usage", IF(#REF! &lt;= 20, "Low Usage", IF(#REF! &lt;= 40, "Medium Usgae", "High Usage")))</f>
        <v>#REF!</v>
      </c>
      <c r="AD2633" t="e">
        <f>IF(#REF!&lt;=150,"Low Usage", IF(#REF!&lt;=200,"Medium Usage", IF(#REF!&lt;=250,"High Usage","Very High Usage")))</f>
        <v>#REF!</v>
      </c>
      <c r="AE2633" t="e">
        <f>IF(#REF!&lt;=5,"Low Calls", IF(#REF!&lt;=10, "Medium Calls", "High Calls"))</f>
        <v>#REF!</v>
      </c>
      <c r="AF2633" t="e">
        <f xml:space="preserve">
IF(#REF!&gt;=4,4,0)+
IF(#REF!="yes",3,0)+
IF(#REF!="High Charges",3,0)+
IF(#REF!&gt;250,4,0)+
IF(#REF!="no",1,0)+
IF(#REF!="Heavy Domestic User",2,0)</f>
        <v>#REF!</v>
      </c>
      <c r="AG2633" t="e">
        <f>IF(#REF!&gt;=10,"High Risk", IF(#REF!&gt;=5,"Medium Risk","Low Risk"))</f>
        <v>#REF!</v>
      </c>
      <c r="AH2633" t="e">
        <f>#REF! + #REF! + #REF! + #REF!</f>
        <v>#REF!</v>
      </c>
    </row>
    <row r="2634" spans="1:34" x14ac:dyDescent="0.35">
      <c r="A2634">
        <v>2633</v>
      </c>
      <c r="B2634" t="s">
        <v>45</v>
      </c>
      <c r="C2634">
        <v>98</v>
      </c>
      <c r="D2634" t="s">
        <v>25</v>
      </c>
      <c r="E2634" t="s">
        <v>22</v>
      </c>
      <c r="F2634" t="s">
        <v>23</v>
      </c>
      <c r="G2634">
        <v>30</v>
      </c>
      <c r="H2634">
        <v>110.3</v>
      </c>
      <c r="I2634">
        <v>71</v>
      </c>
      <c r="J2634">
        <v>18.75</v>
      </c>
      <c r="K2634">
        <v>182.4</v>
      </c>
      <c r="L2634">
        <v>108</v>
      </c>
      <c r="M2634">
        <v>15.5</v>
      </c>
      <c r="N2634">
        <v>183.8</v>
      </c>
      <c r="O2634">
        <v>88</v>
      </c>
      <c r="P2634">
        <v>8.27</v>
      </c>
      <c r="Q2634">
        <v>11</v>
      </c>
      <c r="R2634">
        <v>8</v>
      </c>
      <c r="S2634">
        <v>2.97</v>
      </c>
      <c r="T2634">
        <v>2</v>
      </c>
      <c r="U2634" t="s">
        <v>22</v>
      </c>
      <c r="V2634" t="e">
        <f>IF(#REF! = "yes", 1, 0)</f>
        <v>#REF!</v>
      </c>
      <c r="W2634" t="e">
        <f>IF(#REF! &lt;= 1, "0-1 Calls", IF(#REF! &lt;= 3, "2-3 Calls", IF(#REF! &lt;=5, "4-5 Calls", "6+ Calls")))</f>
        <v>#REF!</v>
      </c>
      <c r="X2634" t="e">
        <f>IF(#REF! &lt;= 50, "0-50", IF(#REF! &lt;=100, "51-100", IF(#REF! &lt;= 150, "101-150", "151+")))</f>
        <v>#REF!</v>
      </c>
      <c r="Y2634" t="e">
        <f>IF(#REF! &lt;= 3, "Low Charges", "High Charges")</f>
        <v>#REF!</v>
      </c>
      <c r="Z2634" t="e">
        <f>IF(#REF!&lt;=80,"Low Calls",
IF(#REF!&lt;=120,"Medium Calls","High Calls"))</f>
        <v>#REF!</v>
      </c>
      <c r="AA2634" t="e">
        <f>IF(#REF!&lt;=15,"Low Charges",
IF(#REF!&lt;=20,"Medium Charges","High Charges"))</f>
        <v>#REF!</v>
      </c>
      <c r="AB2634" t="e">
        <f>IF(AND(#REF!&gt;180, #REF!&gt;200), "Heavy Doemstic User", IF(#REF!&gt;10, "Interntional User", IF(AND(#REF!&lt;180, #REF!&lt;200,#REF!&lt;200), "Light User", "Balanced User")))</f>
        <v>#REF!</v>
      </c>
      <c r="AC2634" t="e">
        <f>IF(#REF! = 0, "No Usage", IF(#REF! &lt;= 20, "Low Usage", IF(#REF! &lt;= 40, "Medium Usgae", "High Usage")))</f>
        <v>#REF!</v>
      </c>
      <c r="AD2634" t="e">
        <f>IF(#REF!&lt;=150,"Low Usage", IF(#REF!&lt;=200,"Medium Usage", IF(#REF!&lt;=250,"High Usage","Very High Usage")))</f>
        <v>#REF!</v>
      </c>
      <c r="AE2634" t="e">
        <f>IF(#REF!&lt;=5,"Low Calls", IF(#REF!&lt;=10, "Medium Calls", "High Calls"))</f>
        <v>#REF!</v>
      </c>
      <c r="AF2634" t="e">
        <f xml:space="preserve">
IF(#REF!&gt;=4,4,0)+
IF(#REF!="yes",3,0)+
IF(#REF!="High Charges",3,0)+
IF(#REF!&gt;250,4,0)+
IF(#REF!="no",1,0)+
IF(#REF!="Heavy Domestic User",2,0)</f>
        <v>#REF!</v>
      </c>
      <c r="AG2634" t="e">
        <f>IF(#REF!&gt;=10,"High Risk", IF(#REF!&gt;=5,"Medium Risk","Low Risk"))</f>
        <v>#REF!</v>
      </c>
      <c r="AH2634" t="e">
        <f>#REF! + #REF! + #REF! + #REF!</f>
        <v>#REF!</v>
      </c>
    </row>
    <row r="2635" spans="1:34" x14ac:dyDescent="0.35">
      <c r="A2635">
        <v>2634</v>
      </c>
      <c r="B2635" t="s">
        <v>38</v>
      </c>
      <c r="C2635">
        <v>139</v>
      </c>
      <c r="D2635" t="s">
        <v>21</v>
      </c>
      <c r="E2635" t="s">
        <v>23</v>
      </c>
      <c r="F2635" t="s">
        <v>22</v>
      </c>
      <c r="G2635">
        <v>0</v>
      </c>
      <c r="H2635">
        <v>161.5</v>
      </c>
      <c r="I2635">
        <v>121</v>
      </c>
      <c r="J2635">
        <v>27.46</v>
      </c>
      <c r="K2635">
        <v>192.9</v>
      </c>
      <c r="L2635">
        <v>137</v>
      </c>
      <c r="M2635">
        <v>16.399999999999999</v>
      </c>
      <c r="N2635">
        <v>168.3</v>
      </c>
      <c r="O2635">
        <v>96</v>
      </c>
      <c r="P2635">
        <v>7.57</v>
      </c>
      <c r="Q2635">
        <v>11.2</v>
      </c>
      <c r="R2635">
        <v>13</v>
      </c>
      <c r="S2635">
        <v>3.02</v>
      </c>
      <c r="T2635">
        <v>0</v>
      </c>
      <c r="U2635" t="s">
        <v>22</v>
      </c>
      <c r="V2635" t="e">
        <f>IF(#REF! = "yes", 1, 0)</f>
        <v>#REF!</v>
      </c>
      <c r="W2635" t="e">
        <f>IF(#REF! &lt;= 1, "0-1 Calls", IF(#REF! &lt;= 3, "2-3 Calls", IF(#REF! &lt;=5, "4-5 Calls", "6+ Calls")))</f>
        <v>#REF!</v>
      </c>
      <c r="X2635" t="e">
        <f>IF(#REF! &lt;= 50, "0-50", IF(#REF! &lt;=100, "51-100", IF(#REF! &lt;= 150, "101-150", "151+")))</f>
        <v>#REF!</v>
      </c>
      <c r="Y2635" t="e">
        <f>IF(#REF! &lt;= 3, "Low Charges", "High Charges")</f>
        <v>#REF!</v>
      </c>
      <c r="Z2635" t="e">
        <f>IF(#REF!&lt;=80,"Low Calls",
IF(#REF!&lt;=120,"Medium Calls","High Calls"))</f>
        <v>#REF!</v>
      </c>
      <c r="AA2635" t="e">
        <f>IF(#REF!&lt;=15,"Low Charges",
IF(#REF!&lt;=20,"Medium Charges","High Charges"))</f>
        <v>#REF!</v>
      </c>
      <c r="AB2635" t="e">
        <f>IF(AND(#REF!&gt;180, #REF!&gt;200), "Heavy Doemstic User", IF(#REF!&gt;10, "Interntional User", IF(AND(#REF!&lt;180, #REF!&lt;200,#REF!&lt;200), "Light User", "Balanced User")))</f>
        <v>#REF!</v>
      </c>
      <c r="AC2635" t="e">
        <f>IF(#REF! = 0, "No Usage", IF(#REF! &lt;= 20, "Low Usage", IF(#REF! &lt;= 40, "Medium Usgae", "High Usage")))</f>
        <v>#REF!</v>
      </c>
      <c r="AD2635" t="e">
        <f>IF(#REF!&lt;=150,"Low Usage", IF(#REF!&lt;=200,"Medium Usage", IF(#REF!&lt;=250,"High Usage","Very High Usage")))</f>
        <v>#REF!</v>
      </c>
      <c r="AE2635" t="e">
        <f>IF(#REF!&lt;=5,"Low Calls", IF(#REF!&lt;=10, "Medium Calls", "High Calls"))</f>
        <v>#REF!</v>
      </c>
      <c r="AF2635" t="e">
        <f xml:space="preserve">
IF(#REF!&gt;=4,4,0)+
IF(#REF!="yes",3,0)+
IF(#REF!="High Charges",3,0)+
IF(#REF!&gt;250,4,0)+
IF(#REF!="no",1,0)+
IF(#REF!="Heavy Domestic User",2,0)</f>
        <v>#REF!</v>
      </c>
      <c r="AG2635" t="e">
        <f>IF(#REF!&gt;=10,"High Risk", IF(#REF!&gt;=5,"Medium Risk","Low Risk"))</f>
        <v>#REF!</v>
      </c>
      <c r="AH2635" t="e">
        <f>#REF! + #REF! + #REF! + #REF!</f>
        <v>#REF!</v>
      </c>
    </row>
    <row r="2636" spans="1:34" x14ac:dyDescent="0.35">
      <c r="A2636">
        <v>2635</v>
      </c>
      <c r="B2636" t="s">
        <v>36</v>
      </c>
      <c r="C2636">
        <v>31</v>
      </c>
      <c r="D2636" t="s">
        <v>25</v>
      </c>
      <c r="E2636" t="s">
        <v>22</v>
      </c>
      <c r="F2636" t="s">
        <v>23</v>
      </c>
      <c r="G2636">
        <v>28</v>
      </c>
      <c r="H2636">
        <v>171.8</v>
      </c>
      <c r="I2636">
        <v>116</v>
      </c>
      <c r="J2636">
        <v>29.21</v>
      </c>
      <c r="K2636">
        <v>240.7</v>
      </c>
      <c r="L2636">
        <v>125</v>
      </c>
      <c r="M2636">
        <v>20.46</v>
      </c>
      <c r="N2636">
        <v>245.5</v>
      </c>
      <c r="O2636">
        <v>80</v>
      </c>
      <c r="P2636">
        <v>11.05</v>
      </c>
      <c r="Q2636">
        <v>10.6</v>
      </c>
      <c r="R2636">
        <v>7</v>
      </c>
      <c r="S2636">
        <v>2.86</v>
      </c>
      <c r="T2636">
        <v>1</v>
      </c>
      <c r="U2636" t="s">
        <v>22</v>
      </c>
      <c r="V2636" t="e">
        <f>IF(#REF! = "yes", 1, 0)</f>
        <v>#REF!</v>
      </c>
      <c r="W2636" t="e">
        <f>IF(#REF! &lt;= 1, "0-1 Calls", IF(#REF! &lt;= 3, "2-3 Calls", IF(#REF! &lt;=5, "4-5 Calls", "6+ Calls")))</f>
        <v>#REF!</v>
      </c>
      <c r="X2636" t="e">
        <f>IF(#REF! &lt;= 50, "0-50", IF(#REF! &lt;=100, "51-100", IF(#REF! &lt;= 150, "101-150", "151+")))</f>
        <v>#REF!</v>
      </c>
      <c r="Y2636" t="e">
        <f>IF(#REF! &lt;= 3, "Low Charges", "High Charges")</f>
        <v>#REF!</v>
      </c>
      <c r="Z2636" t="e">
        <f>IF(#REF!&lt;=80,"Low Calls",
IF(#REF!&lt;=120,"Medium Calls","High Calls"))</f>
        <v>#REF!</v>
      </c>
      <c r="AA2636" t="e">
        <f>IF(#REF!&lt;=15,"Low Charges",
IF(#REF!&lt;=20,"Medium Charges","High Charges"))</f>
        <v>#REF!</v>
      </c>
      <c r="AB2636" t="e">
        <f>IF(AND(#REF!&gt;180, #REF!&gt;200), "Heavy Doemstic User", IF(#REF!&gt;10, "Interntional User", IF(AND(#REF!&lt;180, #REF!&lt;200,#REF!&lt;200), "Light User", "Balanced User")))</f>
        <v>#REF!</v>
      </c>
      <c r="AC2636" t="e">
        <f>IF(#REF! = 0, "No Usage", IF(#REF! &lt;= 20, "Low Usage", IF(#REF! &lt;= 40, "Medium Usgae", "High Usage")))</f>
        <v>#REF!</v>
      </c>
      <c r="AD2636" t="e">
        <f>IF(#REF!&lt;=150,"Low Usage", IF(#REF!&lt;=200,"Medium Usage", IF(#REF!&lt;=250,"High Usage","Very High Usage")))</f>
        <v>#REF!</v>
      </c>
      <c r="AE2636" t="e">
        <f>IF(#REF!&lt;=5,"Low Calls", IF(#REF!&lt;=10, "Medium Calls", "High Calls"))</f>
        <v>#REF!</v>
      </c>
      <c r="AF2636" t="e">
        <f xml:space="preserve">
IF(#REF!&gt;=4,4,0)+
IF(#REF!="yes",3,0)+
IF(#REF!="High Charges",3,0)+
IF(#REF!&gt;250,4,0)+
IF(#REF!="no",1,0)+
IF(#REF!="Heavy Domestic User",2,0)</f>
        <v>#REF!</v>
      </c>
      <c r="AG2636" t="e">
        <f>IF(#REF!&gt;=10,"High Risk", IF(#REF!&gt;=5,"Medium Risk","Low Risk"))</f>
        <v>#REF!</v>
      </c>
      <c r="AH2636" t="e">
        <f>#REF! + #REF! + #REF! + #REF!</f>
        <v>#REF!</v>
      </c>
    </row>
    <row r="2637" spans="1:34" x14ac:dyDescent="0.35">
      <c r="A2637">
        <v>2636</v>
      </c>
      <c r="B2637" t="s">
        <v>73</v>
      </c>
      <c r="C2637">
        <v>129</v>
      </c>
      <c r="D2637" t="s">
        <v>28</v>
      </c>
      <c r="E2637" t="s">
        <v>22</v>
      </c>
      <c r="F2637" t="s">
        <v>23</v>
      </c>
      <c r="G2637">
        <v>32</v>
      </c>
      <c r="H2637">
        <v>211</v>
      </c>
      <c r="I2637">
        <v>99</v>
      </c>
      <c r="J2637">
        <v>35.869999999999997</v>
      </c>
      <c r="K2637">
        <v>155.1</v>
      </c>
      <c r="L2637">
        <v>89</v>
      </c>
      <c r="M2637">
        <v>13.18</v>
      </c>
      <c r="N2637">
        <v>234.8</v>
      </c>
      <c r="O2637">
        <v>96</v>
      </c>
      <c r="P2637">
        <v>10.57</v>
      </c>
      <c r="Q2637">
        <v>11.4</v>
      </c>
      <c r="R2637">
        <v>5</v>
      </c>
      <c r="S2637">
        <v>3.08</v>
      </c>
      <c r="T2637">
        <v>1</v>
      </c>
      <c r="U2637" t="s">
        <v>22</v>
      </c>
      <c r="V2637" t="e">
        <f>IF(#REF! = "yes", 1, 0)</f>
        <v>#REF!</v>
      </c>
      <c r="W2637" t="e">
        <f>IF(#REF! &lt;= 1, "0-1 Calls", IF(#REF! &lt;= 3, "2-3 Calls", IF(#REF! &lt;=5, "4-5 Calls", "6+ Calls")))</f>
        <v>#REF!</v>
      </c>
      <c r="X2637" t="e">
        <f>IF(#REF! &lt;= 50, "0-50", IF(#REF! &lt;=100, "51-100", IF(#REF! &lt;= 150, "101-150", "151+")))</f>
        <v>#REF!</v>
      </c>
      <c r="Y2637" t="e">
        <f>IF(#REF! &lt;= 3, "Low Charges", "High Charges")</f>
        <v>#REF!</v>
      </c>
      <c r="Z2637" t="e">
        <f>IF(#REF!&lt;=80,"Low Calls",
IF(#REF!&lt;=120,"Medium Calls","High Calls"))</f>
        <v>#REF!</v>
      </c>
      <c r="AA2637" t="e">
        <f>IF(#REF!&lt;=15,"Low Charges",
IF(#REF!&lt;=20,"Medium Charges","High Charges"))</f>
        <v>#REF!</v>
      </c>
      <c r="AB2637" t="e">
        <f>IF(AND(#REF!&gt;180, #REF!&gt;200), "Heavy Doemstic User", IF(#REF!&gt;10, "Interntional User", IF(AND(#REF!&lt;180, #REF!&lt;200,#REF!&lt;200), "Light User", "Balanced User")))</f>
        <v>#REF!</v>
      </c>
      <c r="AC2637" t="e">
        <f>IF(#REF! = 0, "No Usage", IF(#REF! &lt;= 20, "Low Usage", IF(#REF! &lt;= 40, "Medium Usgae", "High Usage")))</f>
        <v>#REF!</v>
      </c>
      <c r="AD2637" t="e">
        <f>IF(#REF!&lt;=150,"Low Usage", IF(#REF!&lt;=200,"Medium Usage", IF(#REF!&lt;=250,"High Usage","Very High Usage")))</f>
        <v>#REF!</v>
      </c>
      <c r="AE2637" t="e">
        <f>IF(#REF!&lt;=5,"Low Calls", IF(#REF!&lt;=10, "Medium Calls", "High Calls"))</f>
        <v>#REF!</v>
      </c>
      <c r="AF2637" t="e">
        <f xml:space="preserve">
IF(#REF!&gt;=4,4,0)+
IF(#REF!="yes",3,0)+
IF(#REF!="High Charges",3,0)+
IF(#REF!&gt;250,4,0)+
IF(#REF!="no",1,0)+
IF(#REF!="Heavy Domestic User",2,0)</f>
        <v>#REF!</v>
      </c>
      <c r="AG2637" t="e">
        <f>IF(#REF!&gt;=10,"High Risk", IF(#REF!&gt;=5,"Medium Risk","Low Risk"))</f>
        <v>#REF!</v>
      </c>
      <c r="AH2637" t="e">
        <f>#REF! + #REF! + #REF! + #REF!</f>
        <v>#REF!</v>
      </c>
    </row>
    <row r="2638" spans="1:34" x14ac:dyDescent="0.35">
      <c r="A2638">
        <v>2637</v>
      </c>
      <c r="B2638" t="s">
        <v>50</v>
      </c>
      <c r="C2638">
        <v>115</v>
      </c>
      <c r="D2638" t="s">
        <v>21</v>
      </c>
      <c r="E2638" t="s">
        <v>22</v>
      </c>
      <c r="F2638" t="s">
        <v>22</v>
      </c>
      <c r="G2638">
        <v>0</v>
      </c>
      <c r="H2638">
        <v>139.30000000000001</v>
      </c>
      <c r="I2638">
        <v>89</v>
      </c>
      <c r="J2638">
        <v>23.68</v>
      </c>
      <c r="K2638">
        <v>192.3</v>
      </c>
      <c r="L2638">
        <v>95</v>
      </c>
      <c r="M2638">
        <v>16.350000000000001</v>
      </c>
      <c r="N2638">
        <v>151</v>
      </c>
      <c r="O2638">
        <v>75</v>
      </c>
      <c r="P2638">
        <v>6.8</v>
      </c>
      <c r="Q2638">
        <v>9.3000000000000007</v>
      </c>
      <c r="R2638">
        <v>3</v>
      </c>
      <c r="S2638">
        <v>2.5099999999999998</v>
      </c>
      <c r="T2638">
        <v>7</v>
      </c>
      <c r="U2638" t="s">
        <v>23</v>
      </c>
      <c r="V2638" t="e">
        <f>IF(#REF! = "yes", 1, 0)</f>
        <v>#REF!</v>
      </c>
      <c r="W2638" t="e">
        <f>IF(#REF! &lt;= 1, "0-1 Calls", IF(#REF! &lt;= 3, "2-3 Calls", IF(#REF! &lt;=5, "4-5 Calls", "6+ Calls")))</f>
        <v>#REF!</v>
      </c>
      <c r="X2638" t="e">
        <f>IF(#REF! &lt;= 50, "0-50", IF(#REF! &lt;=100, "51-100", IF(#REF! &lt;= 150, "101-150", "151+")))</f>
        <v>#REF!</v>
      </c>
      <c r="Y2638" t="e">
        <f>IF(#REF! &lt;= 3, "Low Charges", "High Charges")</f>
        <v>#REF!</v>
      </c>
      <c r="Z2638" t="e">
        <f>IF(#REF!&lt;=80,"Low Calls",
IF(#REF!&lt;=120,"Medium Calls","High Calls"))</f>
        <v>#REF!</v>
      </c>
      <c r="AA2638" t="e">
        <f>IF(#REF!&lt;=15,"Low Charges",
IF(#REF!&lt;=20,"Medium Charges","High Charges"))</f>
        <v>#REF!</v>
      </c>
      <c r="AB2638" t="e">
        <f>IF(AND(#REF!&gt;180, #REF!&gt;200), "Heavy Doemstic User", IF(#REF!&gt;10, "Interntional User", IF(AND(#REF!&lt;180, #REF!&lt;200,#REF!&lt;200), "Light User", "Balanced User")))</f>
        <v>#REF!</v>
      </c>
      <c r="AC2638" t="e">
        <f>IF(#REF! = 0, "No Usage", IF(#REF! &lt;= 20, "Low Usage", IF(#REF! &lt;= 40, "Medium Usgae", "High Usage")))</f>
        <v>#REF!</v>
      </c>
      <c r="AD2638" t="e">
        <f>IF(#REF!&lt;=150,"Low Usage", IF(#REF!&lt;=200,"Medium Usage", IF(#REF!&lt;=250,"High Usage","Very High Usage")))</f>
        <v>#REF!</v>
      </c>
      <c r="AE2638" t="e">
        <f>IF(#REF!&lt;=5,"Low Calls", IF(#REF!&lt;=10, "Medium Calls", "High Calls"))</f>
        <v>#REF!</v>
      </c>
      <c r="AF2638" t="e">
        <f xml:space="preserve">
IF(#REF!&gt;=4,4,0)+
IF(#REF!="yes",3,0)+
IF(#REF!="High Charges",3,0)+
IF(#REF!&gt;250,4,0)+
IF(#REF!="no",1,0)+
IF(#REF!="Heavy Domestic User",2,0)</f>
        <v>#REF!</v>
      </c>
      <c r="AG2638" t="e">
        <f>IF(#REF!&gt;=10,"High Risk", IF(#REF!&gt;=5,"Medium Risk","Low Risk"))</f>
        <v>#REF!</v>
      </c>
      <c r="AH2638" t="e">
        <f>#REF! + #REF! + #REF! + #REF!</f>
        <v>#REF!</v>
      </c>
    </row>
    <row r="2639" spans="1:34" x14ac:dyDescent="0.35">
      <c r="A2639">
        <v>2638</v>
      </c>
      <c r="B2639" t="s">
        <v>45</v>
      </c>
      <c r="C2639">
        <v>108</v>
      </c>
      <c r="D2639" t="s">
        <v>21</v>
      </c>
      <c r="E2639" t="s">
        <v>22</v>
      </c>
      <c r="F2639" t="s">
        <v>22</v>
      </c>
      <c r="G2639">
        <v>0</v>
      </c>
      <c r="H2639">
        <v>291.60000000000002</v>
      </c>
      <c r="I2639">
        <v>99</v>
      </c>
      <c r="J2639">
        <v>49.57</v>
      </c>
      <c r="K2639">
        <v>221.1</v>
      </c>
      <c r="L2639">
        <v>93</v>
      </c>
      <c r="M2639">
        <v>18.79</v>
      </c>
      <c r="N2639">
        <v>229.2</v>
      </c>
      <c r="O2639">
        <v>110</v>
      </c>
      <c r="P2639">
        <v>10.31</v>
      </c>
      <c r="Q2639">
        <v>14</v>
      </c>
      <c r="R2639">
        <v>9</v>
      </c>
      <c r="S2639">
        <v>3.78</v>
      </c>
      <c r="T2639">
        <v>2</v>
      </c>
      <c r="U2639" t="s">
        <v>23</v>
      </c>
      <c r="V2639" t="e">
        <f>IF(#REF! = "yes", 1, 0)</f>
        <v>#REF!</v>
      </c>
      <c r="W2639" t="e">
        <f>IF(#REF! &lt;= 1, "0-1 Calls", IF(#REF! &lt;= 3, "2-3 Calls", IF(#REF! &lt;=5, "4-5 Calls", "6+ Calls")))</f>
        <v>#REF!</v>
      </c>
      <c r="X2639" t="e">
        <f>IF(#REF! &lt;= 50, "0-50", IF(#REF! &lt;=100, "51-100", IF(#REF! &lt;= 150, "101-150", "151+")))</f>
        <v>#REF!</v>
      </c>
      <c r="Y2639" t="e">
        <f>IF(#REF! &lt;= 3, "Low Charges", "High Charges")</f>
        <v>#REF!</v>
      </c>
      <c r="Z2639" t="e">
        <f>IF(#REF!&lt;=80,"Low Calls",
IF(#REF!&lt;=120,"Medium Calls","High Calls"))</f>
        <v>#REF!</v>
      </c>
      <c r="AA2639" t="e">
        <f>IF(#REF!&lt;=15,"Low Charges",
IF(#REF!&lt;=20,"Medium Charges","High Charges"))</f>
        <v>#REF!</v>
      </c>
      <c r="AB2639" t="e">
        <f>IF(AND(#REF!&gt;180, #REF!&gt;200), "Heavy Doemstic User", IF(#REF!&gt;10, "Interntional User", IF(AND(#REF!&lt;180, #REF!&lt;200,#REF!&lt;200), "Light User", "Balanced User")))</f>
        <v>#REF!</v>
      </c>
      <c r="AC2639" t="e">
        <f>IF(#REF! = 0, "No Usage", IF(#REF! &lt;= 20, "Low Usage", IF(#REF! &lt;= 40, "Medium Usgae", "High Usage")))</f>
        <v>#REF!</v>
      </c>
      <c r="AD2639" t="e">
        <f>IF(#REF!&lt;=150,"Low Usage", IF(#REF!&lt;=200,"Medium Usage", IF(#REF!&lt;=250,"High Usage","Very High Usage")))</f>
        <v>#REF!</v>
      </c>
      <c r="AE2639" t="e">
        <f>IF(#REF!&lt;=5,"Low Calls", IF(#REF!&lt;=10, "Medium Calls", "High Calls"))</f>
        <v>#REF!</v>
      </c>
      <c r="AF2639" t="e">
        <f xml:space="preserve">
IF(#REF!&gt;=4,4,0)+
IF(#REF!="yes",3,0)+
IF(#REF!="High Charges",3,0)+
IF(#REF!&gt;250,4,0)+
IF(#REF!="no",1,0)+
IF(#REF!="Heavy Domestic User",2,0)</f>
        <v>#REF!</v>
      </c>
      <c r="AG2639" t="e">
        <f>IF(#REF!&gt;=10,"High Risk", IF(#REF!&gt;=5,"Medium Risk","Low Risk"))</f>
        <v>#REF!</v>
      </c>
      <c r="AH2639" t="e">
        <f>#REF! + #REF! + #REF! + #REF!</f>
        <v>#REF!</v>
      </c>
    </row>
    <row r="2640" spans="1:34" x14ac:dyDescent="0.35">
      <c r="A2640">
        <v>2639</v>
      </c>
      <c r="B2640" t="s">
        <v>54</v>
      </c>
      <c r="C2640">
        <v>139</v>
      </c>
      <c r="D2640" t="s">
        <v>25</v>
      </c>
      <c r="E2640" t="s">
        <v>22</v>
      </c>
      <c r="F2640" t="s">
        <v>22</v>
      </c>
      <c r="G2640">
        <v>0</v>
      </c>
      <c r="H2640">
        <v>139</v>
      </c>
      <c r="I2640">
        <v>110</v>
      </c>
      <c r="J2640">
        <v>23.63</v>
      </c>
      <c r="K2640">
        <v>132.9</v>
      </c>
      <c r="L2640">
        <v>93</v>
      </c>
      <c r="M2640">
        <v>11.3</v>
      </c>
      <c r="N2640">
        <v>272</v>
      </c>
      <c r="O2640">
        <v>120</v>
      </c>
      <c r="P2640">
        <v>12.24</v>
      </c>
      <c r="Q2640">
        <v>12.1</v>
      </c>
      <c r="R2640">
        <v>1</v>
      </c>
      <c r="S2640">
        <v>3.27</v>
      </c>
      <c r="T2640">
        <v>0</v>
      </c>
      <c r="U2640" t="s">
        <v>22</v>
      </c>
      <c r="V2640" t="e">
        <f>IF(#REF! = "yes", 1, 0)</f>
        <v>#REF!</v>
      </c>
      <c r="W2640" t="e">
        <f>IF(#REF! &lt;= 1, "0-1 Calls", IF(#REF! &lt;= 3, "2-3 Calls", IF(#REF! &lt;=5, "4-5 Calls", "6+ Calls")))</f>
        <v>#REF!</v>
      </c>
      <c r="X2640" t="e">
        <f>IF(#REF! &lt;= 50, "0-50", IF(#REF! &lt;=100, "51-100", IF(#REF! &lt;= 150, "101-150", "151+")))</f>
        <v>#REF!</v>
      </c>
      <c r="Y2640" t="e">
        <f>IF(#REF! &lt;= 3, "Low Charges", "High Charges")</f>
        <v>#REF!</v>
      </c>
      <c r="Z2640" t="e">
        <f>IF(#REF!&lt;=80,"Low Calls",
IF(#REF!&lt;=120,"Medium Calls","High Calls"))</f>
        <v>#REF!</v>
      </c>
      <c r="AA2640" t="e">
        <f>IF(#REF!&lt;=15,"Low Charges",
IF(#REF!&lt;=20,"Medium Charges","High Charges"))</f>
        <v>#REF!</v>
      </c>
      <c r="AB2640" t="e">
        <f>IF(AND(#REF!&gt;180, #REF!&gt;200), "Heavy Doemstic User", IF(#REF!&gt;10, "Interntional User", IF(AND(#REF!&lt;180, #REF!&lt;200,#REF!&lt;200), "Light User", "Balanced User")))</f>
        <v>#REF!</v>
      </c>
      <c r="AC2640" t="e">
        <f>IF(#REF! = 0, "No Usage", IF(#REF! &lt;= 20, "Low Usage", IF(#REF! &lt;= 40, "Medium Usgae", "High Usage")))</f>
        <v>#REF!</v>
      </c>
      <c r="AD2640" t="e">
        <f>IF(#REF!&lt;=150,"Low Usage", IF(#REF!&lt;=200,"Medium Usage", IF(#REF!&lt;=250,"High Usage","Very High Usage")))</f>
        <v>#REF!</v>
      </c>
      <c r="AE2640" t="e">
        <f>IF(#REF!&lt;=5,"Low Calls", IF(#REF!&lt;=10, "Medium Calls", "High Calls"))</f>
        <v>#REF!</v>
      </c>
      <c r="AF2640" t="e">
        <f xml:space="preserve">
IF(#REF!&gt;=4,4,0)+
IF(#REF!="yes",3,0)+
IF(#REF!="High Charges",3,0)+
IF(#REF!&gt;250,4,0)+
IF(#REF!="no",1,0)+
IF(#REF!="Heavy Domestic User",2,0)</f>
        <v>#REF!</v>
      </c>
      <c r="AG2640" t="e">
        <f>IF(#REF!&gt;=10,"High Risk", IF(#REF!&gt;=5,"Medium Risk","Low Risk"))</f>
        <v>#REF!</v>
      </c>
      <c r="AH2640" t="e">
        <f>#REF! + #REF! + #REF! + #REF!</f>
        <v>#REF!</v>
      </c>
    </row>
    <row r="2641" spans="1:34" x14ac:dyDescent="0.35">
      <c r="A2641">
        <v>2640</v>
      </c>
      <c r="B2641" t="s">
        <v>31</v>
      </c>
      <c r="C2641">
        <v>102</v>
      </c>
      <c r="D2641" t="s">
        <v>25</v>
      </c>
      <c r="E2641" t="s">
        <v>22</v>
      </c>
      <c r="F2641" t="s">
        <v>22</v>
      </c>
      <c r="G2641">
        <v>0</v>
      </c>
      <c r="H2641">
        <v>234.8</v>
      </c>
      <c r="I2641">
        <v>125</v>
      </c>
      <c r="J2641">
        <v>39.92</v>
      </c>
      <c r="K2641">
        <v>199.2</v>
      </c>
      <c r="L2641">
        <v>99</v>
      </c>
      <c r="M2641">
        <v>16.93</v>
      </c>
      <c r="N2641">
        <v>163.19999999999999</v>
      </c>
      <c r="O2641">
        <v>88</v>
      </c>
      <c r="P2641">
        <v>7.34</v>
      </c>
      <c r="Q2641">
        <v>10</v>
      </c>
      <c r="R2641">
        <v>1</v>
      </c>
      <c r="S2641">
        <v>2.7</v>
      </c>
      <c r="T2641">
        <v>4</v>
      </c>
      <c r="U2641" t="s">
        <v>22</v>
      </c>
      <c r="V2641" t="e">
        <f>IF(#REF! = "yes", 1, 0)</f>
        <v>#REF!</v>
      </c>
      <c r="W2641" t="e">
        <f>IF(#REF! &lt;= 1, "0-1 Calls", IF(#REF! &lt;= 3, "2-3 Calls", IF(#REF! &lt;=5, "4-5 Calls", "6+ Calls")))</f>
        <v>#REF!</v>
      </c>
      <c r="X2641" t="e">
        <f>IF(#REF! &lt;= 50, "0-50", IF(#REF! &lt;=100, "51-100", IF(#REF! &lt;= 150, "101-150", "151+")))</f>
        <v>#REF!</v>
      </c>
      <c r="Y2641" t="e">
        <f>IF(#REF! &lt;= 3, "Low Charges", "High Charges")</f>
        <v>#REF!</v>
      </c>
      <c r="Z2641" t="e">
        <f>IF(#REF!&lt;=80,"Low Calls",
IF(#REF!&lt;=120,"Medium Calls","High Calls"))</f>
        <v>#REF!</v>
      </c>
      <c r="AA2641" t="e">
        <f>IF(#REF!&lt;=15,"Low Charges",
IF(#REF!&lt;=20,"Medium Charges","High Charges"))</f>
        <v>#REF!</v>
      </c>
      <c r="AB2641" t="e">
        <f>IF(AND(#REF!&gt;180, #REF!&gt;200), "Heavy Doemstic User", IF(#REF!&gt;10, "Interntional User", IF(AND(#REF!&lt;180, #REF!&lt;200,#REF!&lt;200), "Light User", "Balanced User")))</f>
        <v>#REF!</v>
      </c>
      <c r="AC2641" t="e">
        <f>IF(#REF! = 0, "No Usage", IF(#REF! &lt;= 20, "Low Usage", IF(#REF! &lt;= 40, "Medium Usgae", "High Usage")))</f>
        <v>#REF!</v>
      </c>
      <c r="AD2641" t="e">
        <f>IF(#REF!&lt;=150,"Low Usage", IF(#REF!&lt;=200,"Medium Usage", IF(#REF!&lt;=250,"High Usage","Very High Usage")))</f>
        <v>#REF!</v>
      </c>
      <c r="AE2641" t="e">
        <f>IF(#REF!&lt;=5,"Low Calls", IF(#REF!&lt;=10, "Medium Calls", "High Calls"))</f>
        <v>#REF!</v>
      </c>
      <c r="AF2641" t="e">
        <f xml:space="preserve">
IF(#REF!&gt;=4,4,0)+
IF(#REF!="yes",3,0)+
IF(#REF!="High Charges",3,0)+
IF(#REF!&gt;250,4,0)+
IF(#REF!="no",1,0)+
IF(#REF!="Heavy Domestic User",2,0)</f>
        <v>#REF!</v>
      </c>
      <c r="AG2641" t="e">
        <f>IF(#REF!&gt;=10,"High Risk", IF(#REF!&gt;=5,"Medium Risk","Low Risk"))</f>
        <v>#REF!</v>
      </c>
      <c r="AH2641" t="e">
        <f>#REF! + #REF! + #REF! + #REF!</f>
        <v>#REF!</v>
      </c>
    </row>
    <row r="2642" spans="1:34" x14ac:dyDescent="0.35">
      <c r="A2642">
        <v>2641</v>
      </c>
      <c r="B2642" t="s">
        <v>26</v>
      </c>
      <c r="C2642">
        <v>149</v>
      </c>
      <c r="D2642" t="s">
        <v>25</v>
      </c>
      <c r="E2642" t="s">
        <v>22</v>
      </c>
      <c r="F2642" t="s">
        <v>22</v>
      </c>
      <c r="G2642">
        <v>0</v>
      </c>
      <c r="H2642">
        <v>187.6</v>
      </c>
      <c r="I2642">
        <v>83</v>
      </c>
      <c r="J2642">
        <v>31.89</v>
      </c>
      <c r="K2642">
        <v>201.4</v>
      </c>
      <c r="L2642">
        <v>81</v>
      </c>
      <c r="M2642">
        <v>17.12</v>
      </c>
      <c r="N2642">
        <v>264.2</v>
      </c>
      <c r="O2642">
        <v>79</v>
      </c>
      <c r="P2642">
        <v>11.89</v>
      </c>
      <c r="Q2642">
        <v>8.8000000000000007</v>
      </c>
      <c r="R2642">
        <v>1</v>
      </c>
      <c r="S2642">
        <v>2.38</v>
      </c>
      <c r="T2642">
        <v>1</v>
      </c>
      <c r="U2642" t="s">
        <v>22</v>
      </c>
      <c r="V2642" t="e">
        <f>IF(#REF! = "yes", 1, 0)</f>
        <v>#REF!</v>
      </c>
      <c r="W2642" t="e">
        <f>IF(#REF! &lt;= 1, "0-1 Calls", IF(#REF! &lt;= 3, "2-3 Calls", IF(#REF! &lt;=5, "4-5 Calls", "6+ Calls")))</f>
        <v>#REF!</v>
      </c>
      <c r="X2642" t="e">
        <f>IF(#REF! &lt;= 50, "0-50", IF(#REF! &lt;=100, "51-100", IF(#REF! &lt;= 150, "101-150", "151+")))</f>
        <v>#REF!</v>
      </c>
      <c r="Y2642" t="e">
        <f>IF(#REF! &lt;= 3, "Low Charges", "High Charges")</f>
        <v>#REF!</v>
      </c>
      <c r="Z2642" t="e">
        <f>IF(#REF!&lt;=80,"Low Calls",
IF(#REF!&lt;=120,"Medium Calls","High Calls"))</f>
        <v>#REF!</v>
      </c>
      <c r="AA2642" t="e">
        <f>IF(#REF!&lt;=15,"Low Charges",
IF(#REF!&lt;=20,"Medium Charges","High Charges"))</f>
        <v>#REF!</v>
      </c>
      <c r="AB2642" t="e">
        <f>IF(AND(#REF!&gt;180, #REF!&gt;200), "Heavy Doemstic User", IF(#REF!&gt;10, "Interntional User", IF(AND(#REF!&lt;180, #REF!&lt;200,#REF!&lt;200), "Light User", "Balanced User")))</f>
        <v>#REF!</v>
      </c>
      <c r="AC2642" t="e">
        <f>IF(#REF! = 0, "No Usage", IF(#REF! &lt;= 20, "Low Usage", IF(#REF! &lt;= 40, "Medium Usgae", "High Usage")))</f>
        <v>#REF!</v>
      </c>
      <c r="AD2642" t="e">
        <f>IF(#REF!&lt;=150,"Low Usage", IF(#REF!&lt;=200,"Medium Usage", IF(#REF!&lt;=250,"High Usage","Very High Usage")))</f>
        <v>#REF!</v>
      </c>
      <c r="AE2642" t="e">
        <f>IF(#REF!&lt;=5,"Low Calls", IF(#REF!&lt;=10, "Medium Calls", "High Calls"))</f>
        <v>#REF!</v>
      </c>
      <c r="AF2642" t="e">
        <f xml:space="preserve">
IF(#REF!&gt;=4,4,0)+
IF(#REF!="yes",3,0)+
IF(#REF!="High Charges",3,0)+
IF(#REF!&gt;250,4,0)+
IF(#REF!="no",1,0)+
IF(#REF!="Heavy Domestic User",2,0)</f>
        <v>#REF!</v>
      </c>
      <c r="AG2642" t="e">
        <f>IF(#REF!&gt;=10,"High Risk", IF(#REF!&gt;=5,"Medium Risk","Low Risk"))</f>
        <v>#REF!</v>
      </c>
      <c r="AH2642" t="e">
        <f>#REF! + #REF! + #REF! + #REF!</f>
        <v>#REF!</v>
      </c>
    </row>
    <row r="2643" spans="1:34" x14ac:dyDescent="0.35">
      <c r="A2643">
        <v>2642</v>
      </c>
      <c r="B2643" t="s">
        <v>52</v>
      </c>
      <c r="C2643">
        <v>113</v>
      </c>
      <c r="D2643" t="s">
        <v>21</v>
      </c>
      <c r="E2643" t="s">
        <v>22</v>
      </c>
      <c r="F2643" t="s">
        <v>22</v>
      </c>
      <c r="G2643">
        <v>0</v>
      </c>
      <c r="H2643">
        <v>159.80000000000001</v>
      </c>
      <c r="I2643">
        <v>143</v>
      </c>
      <c r="J2643">
        <v>27.17</v>
      </c>
      <c r="K2643">
        <v>210.1</v>
      </c>
      <c r="L2643">
        <v>93</v>
      </c>
      <c r="M2643">
        <v>17.86</v>
      </c>
      <c r="N2643">
        <v>175.1</v>
      </c>
      <c r="O2643">
        <v>86</v>
      </c>
      <c r="P2643">
        <v>7.88</v>
      </c>
      <c r="Q2643">
        <v>13.1</v>
      </c>
      <c r="R2643">
        <v>7</v>
      </c>
      <c r="S2643">
        <v>3.54</v>
      </c>
      <c r="T2643">
        <v>2</v>
      </c>
      <c r="U2643" t="s">
        <v>22</v>
      </c>
      <c r="V2643" t="e">
        <f>IF(#REF! = "yes", 1, 0)</f>
        <v>#REF!</v>
      </c>
      <c r="W2643" t="e">
        <f>IF(#REF! &lt;= 1, "0-1 Calls", IF(#REF! &lt;= 3, "2-3 Calls", IF(#REF! &lt;=5, "4-5 Calls", "6+ Calls")))</f>
        <v>#REF!</v>
      </c>
      <c r="X2643" t="e">
        <f>IF(#REF! &lt;= 50, "0-50", IF(#REF! &lt;=100, "51-100", IF(#REF! &lt;= 150, "101-150", "151+")))</f>
        <v>#REF!</v>
      </c>
      <c r="Y2643" t="e">
        <f>IF(#REF! &lt;= 3, "Low Charges", "High Charges")</f>
        <v>#REF!</v>
      </c>
      <c r="Z2643" t="e">
        <f>IF(#REF!&lt;=80,"Low Calls",
IF(#REF!&lt;=120,"Medium Calls","High Calls"))</f>
        <v>#REF!</v>
      </c>
      <c r="AA2643" t="e">
        <f>IF(#REF!&lt;=15,"Low Charges",
IF(#REF!&lt;=20,"Medium Charges","High Charges"))</f>
        <v>#REF!</v>
      </c>
      <c r="AB2643" t="e">
        <f>IF(AND(#REF!&gt;180, #REF!&gt;200), "Heavy Doemstic User", IF(#REF!&gt;10, "Interntional User", IF(AND(#REF!&lt;180, #REF!&lt;200,#REF!&lt;200), "Light User", "Balanced User")))</f>
        <v>#REF!</v>
      </c>
      <c r="AC2643" t="e">
        <f>IF(#REF! = 0, "No Usage", IF(#REF! &lt;= 20, "Low Usage", IF(#REF! &lt;= 40, "Medium Usgae", "High Usage")))</f>
        <v>#REF!</v>
      </c>
      <c r="AD2643" t="e">
        <f>IF(#REF!&lt;=150,"Low Usage", IF(#REF!&lt;=200,"Medium Usage", IF(#REF!&lt;=250,"High Usage","Very High Usage")))</f>
        <v>#REF!</v>
      </c>
      <c r="AE2643" t="e">
        <f>IF(#REF!&lt;=5,"Low Calls", IF(#REF!&lt;=10, "Medium Calls", "High Calls"))</f>
        <v>#REF!</v>
      </c>
      <c r="AF2643" t="e">
        <f xml:space="preserve">
IF(#REF!&gt;=4,4,0)+
IF(#REF!="yes",3,0)+
IF(#REF!="High Charges",3,0)+
IF(#REF!&gt;250,4,0)+
IF(#REF!="no",1,0)+
IF(#REF!="Heavy Domestic User",2,0)</f>
        <v>#REF!</v>
      </c>
      <c r="AG2643" t="e">
        <f>IF(#REF!&gt;=10,"High Risk", IF(#REF!&gt;=5,"Medium Risk","Low Risk"))</f>
        <v>#REF!</v>
      </c>
      <c r="AH2643" t="e">
        <f>#REF! + #REF! + #REF! + #REF!</f>
        <v>#REF!</v>
      </c>
    </row>
    <row r="2644" spans="1:34" x14ac:dyDescent="0.35">
      <c r="A2644">
        <v>2643</v>
      </c>
      <c r="B2644" t="s">
        <v>75</v>
      </c>
      <c r="C2644">
        <v>131</v>
      </c>
      <c r="D2644" t="s">
        <v>25</v>
      </c>
      <c r="E2644" t="s">
        <v>22</v>
      </c>
      <c r="F2644" t="s">
        <v>23</v>
      </c>
      <c r="G2644">
        <v>33</v>
      </c>
      <c r="H2644">
        <v>177.1</v>
      </c>
      <c r="I2644">
        <v>100</v>
      </c>
      <c r="J2644">
        <v>30.11</v>
      </c>
      <c r="K2644">
        <v>194</v>
      </c>
      <c r="L2644">
        <v>85</v>
      </c>
      <c r="M2644">
        <v>16.489999999999998</v>
      </c>
      <c r="N2644">
        <v>253.4</v>
      </c>
      <c r="O2644">
        <v>124</v>
      </c>
      <c r="P2644">
        <v>11.4</v>
      </c>
      <c r="Q2644">
        <v>5.2</v>
      </c>
      <c r="R2644">
        <v>5</v>
      </c>
      <c r="S2644">
        <v>1.4</v>
      </c>
      <c r="T2644">
        <v>1</v>
      </c>
      <c r="U2644" t="s">
        <v>22</v>
      </c>
      <c r="V2644" t="e">
        <f>IF(#REF! = "yes", 1, 0)</f>
        <v>#REF!</v>
      </c>
      <c r="W2644" t="e">
        <f>IF(#REF! &lt;= 1, "0-1 Calls", IF(#REF! &lt;= 3, "2-3 Calls", IF(#REF! &lt;=5, "4-5 Calls", "6+ Calls")))</f>
        <v>#REF!</v>
      </c>
      <c r="X2644" t="e">
        <f>IF(#REF! &lt;= 50, "0-50", IF(#REF! &lt;=100, "51-100", IF(#REF! &lt;= 150, "101-150", "151+")))</f>
        <v>#REF!</v>
      </c>
      <c r="Y2644" t="e">
        <f>IF(#REF! &lt;= 3, "Low Charges", "High Charges")</f>
        <v>#REF!</v>
      </c>
      <c r="Z2644" t="e">
        <f>IF(#REF!&lt;=80,"Low Calls",
IF(#REF!&lt;=120,"Medium Calls","High Calls"))</f>
        <v>#REF!</v>
      </c>
      <c r="AA2644" t="e">
        <f>IF(#REF!&lt;=15,"Low Charges",
IF(#REF!&lt;=20,"Medium Charges","High Charges"))</f>
        <v>#REF!</v>
      </c>
      <c r="AB2644" t="e">
        <f>IF(AND(#REF!&gt;180, #REF!&gt;200), "Heavy Doemstic User", IF(#REF!&gt;10, "Interntional User", IF(AND(#REF!&lt;180, #REF!&lt;200,#REF!&lt;200), "Light User", "Balanced User")))</f>
        <v>#REF!</v>
      </c>
      <c r="AC2644" t="e">
        <f>IF(#REF! = 0, "No Usage", IF(#REF! &lt;= 20, "Low Usage", IF(#REF! &lt;= 40, "Medium Usgae", "High Usage")))</f>
        <v>#REF!</v>
      </c>
      <c r="AD2644" t="e">
        <f>IF(#REF!&lt;=150,"Low Usage", IF(#REF!&lt;=200,"Medium Usage", IF(#REF!&lt;=250,"High Usage","Very High Usage")))</f>
        <v>#REF!</v>
      </c>
      <c r="AE2644" t="e">
        <f>IF(#REF!&lt;=5,"Low Calls", IF(#REF!&lt;=10, "Medium Calls", "High Calls"))</f>
        <v>#REF!</v>
      </c>
      <c r="AF2644" t="e">
        <f xml:space="preserve">
IF(#REF!&gt;=4,4,0)+
IF(#REF!="yes",3,0)+
IF(#REF!="High Charges",3,0)+
IF(#REF!&gt;250,4,0)+
IF(#REF!="no",1,0)+
IF(#REF!="Heavy Domestic User",2,0)</f>
        <v>#REF!</v>
      </c>
      <c r="AG2644" t="e">
        <f>IF(#REF!&gt;=10,"High Risk", IF(#REF!&gt;=5,"Medium Risk","Low Risk"))</f>
        <v>#REF!</v>
      </c>
      <c r="AH2644" t="e">
        <f>#REF! + #REF! + #REF! + #REF!</f>
        <v>#REF!</v>
      </c>
    </row>
    <row r="2645" spans="1:34" x14ac:dyDescent="0.35">
      <c r="A2645">
        <v>2644</v>
      </c>
      <c r="B2645" t="s">
        <v>29</v>
      </c>
      <c r="C2645">
        <v>83</v>
      </c>
      <c r="D2645" t="s">
        <v>25</v>
      </c>
      <c r="E2645" t="s">
        <v>22</v>
      </c>
      <c r="F2645" t="s">
        <v>22</v>
      </c>
      <c r="G2645">
        <v>0</v>
      </c>
      <c r="H2645">
        <v>117.9</v>
      </c>
      <c r="I2645">
        <v>101</v>
      </c>
      <c r="J2645">
        <v>20.04</v>
      </c>
      <c r="K2645">
        <v>160.4</v>
      </c>
      <c r="L2645">
        <v>92</v>
      </c>
      <c r="M2645">
        <v>13.63</v>
      </c>
      <c r="N2645">
        <v>235.3</v>
      </c>
      <c r="O2645">
        <v>150</v>
      </c>
      <c r="P2645">
        <v>10.59</v>
      </c>
      <c r="Q2645">
        <v>11.4</v>
      </c>
      <c r="R2645">
        <v>10</v>
      </c>
      <c r="S2645">
        <v>3.08</v>
      </c>
      <c r="T2645">
        <v>0</v>
      </c>
      <c r="U2645" t="s">
        <v>22</v>
      </c>
      <c r="V2645" t="e">
        <f>IF(#REF! = "yes", 1, 0)</f>
        <v>#REF!</v>
      </c>
      <c r="W2645" t="e">
        <f>IF(#REF! &lt;= 1, "0-1 Calls", IF(#REF! &lt;= 3, "2-3 Calls", IF(#REF! &lt;=5, "4-5 Calls", "6+ Calls")))</f>
        <v>#REF!</v>
      </c>
      <c r="X2645" t="e">
        <f>IF(#REF! &lt;= 50, "0-50", IF(#REF! &lt;=100, "51-100", IF(#REF! &lt;= 150, "101-150", "151+")))</f>
        <v>#REF!</v>
      </c>
      <c r="Y2645" t="e">
        <f>IF(#REF! &lt;= 3, "Low Charges", "High Charges")</f>
        <v>#REF!</v>
      </c>
      <c r="Z2645" t="e">
        <f>IF(#REF!&lt;=80,"Low Calls",
IF(#REF!&lt;=120,"Medium Calls","High Calls"))</f>
        <v>#REF!</v>
      </c>
      <c r="AA2645" t="e">
        <f>IF(#REF!&lt;=15,"Low Charges",
IF(#REF!&lt;=20,"Medium Charges","High Charges"))</f>
        <v>#REF!</v>
      </c>
      <c r="AB2645" t="e">
        <f>IF(AND(#REF!&gt;180, #REF!&gt;200), "Heavy Doemstic User", IF(#REF!&gt;10, "Interntional User", IF(AND(#REF!&lt;180, #REF!&lt;200,#REF!&lt;200), "Light User", "Balanced User")))</f>
        <v>#REF!</v>
      </c>
      <c r="AC2645" t="e">
        <f>IF(#REF! = 0, "No Usage", IF(#REF! &lt;= 20, "Low Usage", IF(#REF! &lt;= 40, "Medium Usgae", "High Usage")))</f>
        <v>#REF!</v>
      </c>
      <c r="AD2645" t="e">
        <f>IF(#REF!&lt;=150,"Low Usage", IF(#REF!&lt;=200,"Medium Usage", IF(#REF!&lt;=250,"High Usage","Very High Usage")))</f>
        <v>#REF!</v>
      </c>
      <c r="AE2645" t="e">
        <f>IF(#REF!&lt;=5,"Low Calls", IF(#REF!&lt;=10, "Medium Calls", "High Calls"))</f>
        <v>#REF!</v>
      </c>
      <c r="AF2645" t="e">
        <f xml:space="preserve">
IF(#REF!&gt;=4,4,0)+
IF(#REF!="yes",3,0)+
IF(#REF!="High Charges",3,0)+
IF(#REF!&gt;250,4,0)+
IF(#REF!="no",1,0)+
IF(#REF!="Heavy Domestic User",2,0)</f>
        <v>#REF!</v>
      </c>
      <c r="AG2645" t="e">
        <f>IF(#REF!&gt;=10,"High Risk", IF(#REF!&gt;=5,"Medium Risk","Low Risk"))</f>
        <v>#REF!</v>
      </c>
      <c r="AH2645" t="e">
        <f>#REF! + #REF! + #REF! + #REF!</f>
        <v>#REF!</v>
      </c>
    </row>
    <row r="2646" spans="1:34" x14ac:dyDescent="0.35">
      <c r="A2646">
        <v>2645</v>
      </c>
      <c r="B2646" t="s">
        <v>50</v>
      </c>
      <c r="C2646">
        <v>96</v>
      </c>
      <c r="D2646" t="s">
        <v>21</v>
      </c>
      <c r="E2646" t="s">
        <v>22</v>
      </c>
      <c r="F2646" t="s">
        <v>23</v>
      </c>
      <c r="G2646">
        <v>21</v>
      </c>
      <c r="H2646">
        <v>247.6</v>
      </c>
      <c r="I2646">
        <v>95</v>
      </c>
      <c r="J2646">
        <v>42.09</v>
      </c>
      <c r="K2646">
        <v>256.3</v>
      </c>
      <c r="L2646">
        <v>150</v>
      </c>
      <c r="M2646">
        <v>21.79</v>
      </c>
      <c r="N2646">
        <v>158.6</v>
      </c>
      <c r="O2646">
        <v>72</v>
      </c>
      <c r="P2646">
        <v>7.14</v>
      </c>
      <c r="Q2646">
        <v>10.8</v>
      </c>
      <c r="R2646">
        <v>6</v>
      </c>
      <c r="S2646">
        <v>2.92</v>
      </c>
      <c r="T2646">
        <v>2</v>
      </c>
      <c r="U2646" t="s">
        <v>22</v>
      </c>
      <c r="V2646" t="e">
        <f>IF(#REF! = "yes", 1, 0)</f>
        <v>#REF!</v>
      </c>
      <c r="W2646" t="e">
        <f>IF(#REF! &lt;= 1, "0-1 Calls", IF(#REF! &lt;= 3, "2-3 Calls", IF(#REF! &lt;=5, "4-5 Calls", "6+ Calls")))</f>
        <v>#REF!</v>
      </c>
      <c r="X2646" t="e">
        <f>IF(#REF! &lt;= 50, "0-50", IF(#REF! &lt;=100, "51-100", IF(#REF! &lt;= 150, "101-150", "151+")))</f>
        <v>#REF!</v>
      </c>
      <c r="Y2646" t="e">
        <f>IF(#REF! &lt;= 3, "Low Charges", "High Charges")</f>
        <v>#REF!</v>
      </c>
      <c r="Z2646" t="e">
        <f>IF(#REF!&lt;=80,"Low Calls",
IF(#REF!&lt;=120,"Medium Calls","High Calls"))</f>
        <v>#REF!</v>
      </c>
      <c r="AA2646" t="e">
        <f>IF(#REF!&lt;=15,"Low Charges",
IF(#REF!&lt;=20,"Medium Charges","High Charges"))</f>
        <v>#REF!</v>
      </c>
      <c r="AB2646" t="e">
        <f>IF(AND(#REF!&gt;180, #REF!&gt;200), "Heavy Doemstic User", IF(#REF!&gt;10, "Interntional User", IF(AND(#REF!&lt;180, #REF!&lt;200,#REF!&lt;200), "Light User", "Balanced User")))</f>
        <v>#REF!</v>
      </c>
      <c r="AC2646" t="e">
        <f>IF(#REF! = 0, "No Usage", IF(#REF! &lt;= 20, "Low Usage", IF(#REF! &lt;= 40, "Medium Usgae", "High Usage")))</f>
        <v>#REF!</v>
      </c>
      <c r="AD2646" t="e">
        <f>IF(#REF!&lt;=150,"Low Usage", IF(#REF!&lt;=200,"Medium Usage", IF(#REF!&lt;=250,"High Usage","Very High Usage")))</f>
        <v>#REF!</v>
      </c>
      <c r="AE2646" t="e">
        <f>IF(#REF!&lt;=5,"Low Calls", IF(#REF!&lt;=10, "Medium Calls", "High Calls"))</f>
        <v>#REF!</v>
      </c>
      <c r="AF2646" t="e">
        <f xml:space="preserve">
IF(#REF!&gt;=4,4,0)+
IF(#REF!="yes",3,0)+
IF(#REF!="High Charges",3,0)+
IF(#REF!&gt;250,4,0)+
IF(#REF!="no",1,0)+
IF(#REF!="Heavy Domestic User",2,0)</f>
        <v>#REF!</v>
      </c>
      <c r="AG2646" t="e">
        <f>IF(#REF!&gt;=10,"High Risk", IF(#REF!&gt;=5,"Medium Risk","Low Risk"))</f>
        <v>#REF!</v>
      </c>
      <c r="AH2646" t="e">
        <f>#REF! + #REF! + #REF! + #REF!</f>
        <v>#REF!</v>
      </c>
    </row>
    <row r="2647" spans="1:34" x14ac:dyDescent="0.35">
      <c r="A2647">
        <v>2646</v>
      </c>
      <c r="B2647" t="s">
        <v>48</v>
      </c>
      <c r="C2647">
        <v>98</v>
      </c>
      <c r="D2647" t="s">
        <v>25</v>
      </c>
      <c r="E2647" t="s">
        <v>22</v>
      </c>
      <c r="F2647" t="s">
        <v>22</v>
      </c>
      <c r="G2647">
        <v>0</v>
      </c>
      <c r="H2647">
        <v>169.9</v>
      </c>
      <c r="I2647">
        <v>77</v>
      </c>
      <c r="J2647">
        <v>28.88</v>
      </c>
      <c r="K2647">
        <v>138.30000000000001</v>
      </c>
      <c r="L2647">
        <v>155</v>
      </c>
      <c r="M2647">
        <v>11.76</v>
      </c>
      <c r="N2647">
        <v>142.6</v>
      </c>
      <c r="O2647">
        <v>105</v>
      </c>
      <c r="P2647">
        <v>6.42</v>
      </c>
      <c r="Q2647">
        <v>8.5</v>
      </c>
      <c r="R2647">
        <v>7</v>
      </c>
      <c r="S2647">
        <v>2.2999999999999998</v>
      </c>
      <c r="T2647">
        <v>1</v>
      </c>
      <c r="U2647" t="s">
        <v>22</v>
      </c>
      <c r="V2647" t="e">
        <f>IF(#REF! = "yes", 1, 0)</f>
        <v>#REF!</v>
      </c>
      <c r="W2647" t="e">
        <f>IF(#REF! &lt;= 1, "0-1 Calls", IF(#REF! &lt;= 3, "2-3 Calls", IF(#REF! &lt;=5, "4-5 Calls", "6+ Calls")))</f>
        <v>#REF!</v>
      </c>
      <c r="X2647" t="e">
        <f>IF(#REF! &lt;= 50, "0-50", IF(#REF! &lt;=100, "51-100", IF(#REF! &lt;= 150, "101-150", "151+")))</f>
        <v>#REF!</v>
      </c>
      <c r="Y2647" t="e">
        <f>IF(#REF! &lt;= 3, "Low Charges", "High Charges")</f>
        <v>#REF!</v>
      </c>
      <c r="Z2647" t="e">
        <f>IF(#REF!&lt;=80,"Low Calls",
IF(#REF!&lt;=120,"Medium Calls","High Calls"))</f>
        <v>#REF!</v>
      </c>
      <c r="AA2647" t="e">
        <f>IF(#REF!&lt;=15,"Low Charges",
IF(#REF!&lt;=20,"Medium Charges","High Charges"))</f>
        <v>#REF!</v>
      </c>
      <c r="AB2647" t="e">
        <f>IF(AND(#REF!&gt;180, #REF!&gt;200), "Heavy Doemstic User", IF(#REF!&gt;10, "Interntional User", IF(AND(#REF!&lt;180, #REF!&lt;200,#REF!&lt;200), "Light User", "Balanced User")))</f>
        <v>#REF!</v>
      </c>
      <c r="AC2647" t="e">
        <f>IF(#REF! = 0, "No Usage", IF(#REF! &lt;= 20, "Low Usage", IF(#REF! &lt;= 40, "Medium Usgae", "High Usage")))</f>
        <v>#REF!</v>
      </c>
      <c r="AD2647" t="e">
        <f>IF(#REF!&lt;=150,"Low Usage", IF(#REF!&lt;=200,"Medium Usage", IF(#REF!&lt;=250,"High Usage","Very High Usage")))</f>
        <v>#REF!</v>
      </c>
      <c r="AE2647" t="e">
        <f>IF(#REF!&lt;=5,"Low Calls", IF(#REF!&lt;=10, "Medium Calls", "High Calls"))</f>
        <v>#REF!</v>
      </c>
      <c r="AF2647" t="e">
        <f xml:space="preserve">
IF(#REF!&gt;=4,4,0)+
IF(#REF!="yes",3,0)+
IF(#REF!="High Charges",3,0)+
IF(#REF!&gt;250,4,0)+
IF(#REF!="no",1,0)+
IF(#REF!="Heavy Domestic User",2,0)</f>
        <v>#REF!</v>
      </c>
      <c r="AG2647" t="e">
        <f>IF(#REF!&gt;=10,"High Risk", IF(#REF!&gt;=5,"Medium Risk","Low Risk"))</f>
        <v>#REF!</v>
      </c>
      <c r="AH2647" t="e">
        <f>#REF! + #REF! + #REF! + #REF!</f>
        <v>#REF!</v>
      </c>
    </row>
    <row r="2648" spans="1:34" x14ac:dyDescent="0.35">
      <c r="A2648">
        <v>2647</v>
      </c>
      <c r="B2648" t="s">
        <v>71</v>
      </c>
      <c r="C2648">
        <v>3</v>
      </c>
      <c r="D2648" t="s">
        <v>21</v>
      </c>
      <c r="E2648" t="s">
        <v>22</v>
      </c>
      <c r="F2648" t="s">
        <v>22</v>
      </c>
      <c r="G2648">
        <v>0</v>
      </c>
      <c r="H2648">
        <v>185</v>
      </c>
      <c r="I2648">
        <v>120</v>
      </c>
      <c r="J2648">
        <v>31.45</v>
      </c>
      <c r="K2648">
        <v>203.7</v>
      </c>
      <c r="L2648">
        <v>129</v>
      </c>
      <c r="M2648">
        <v>17.309999999999999</v>
      </c>
      <c r="N2648">
        <v>170.5</v>
      </c>
      <c r="O2648">
        <v>89</v>
      </c>
      <c r="P2648">
        <v>7.67</v>
      </c>
      <c r="Q2648">
        <v>14.1</v>
      </c>
      <c r="R2648">
        <v>3</v>
      </c>
      <c r="S2648">
        <v>3.81</v>
      </c>
      <c r="T2648">
        <v>3</v>
      </c>
      <c r="U2648" t="s">
        <v>22</v>
      </c>
      <c r="V2648" t="e">
        <f>IF(#REF! = "yes", 1, 0)</f>
        <v>#REF!</v>
      </c>
      <c r="W2648" t="e">
        <f>IF(#REF! &lt;= 1, "0-1 Calls", IF(#REF! &lt;= 3, "2-3 Calls", IF(#REF! &lt;=5, "4-5 Calls", "6+ Calls")))</f>
        <v>#REF!</v>
      </c>
      <c r="X2648" t="e">
        <f>IF(#REF! &lt;= 50, "0-50", IF(#REF! &lt;=100, "51-100", IF(#REF! &lt;= 150, "101-150", "151+")))</f>
        <v>#REF!</v>
      </c>
      <c r="Y2648" t="e">
        <f>IF(#REF! &lt;= 3, "Low Charges", "High Charges")</f>
        <v>#REF!</v>
      </c>
      <c r="Z2648" t="e">
        <f>IF(#REF!&lt;=80,"Low Calls",
IF(#REF!&lt;=120,"Medium Calls","High Calls"))</f>
        <v>#REF!</v>
      </c>
      <c r="AA2648" t="e">
        <f>IF(#REF!&lt;=15,"Low Charges",
IF(#REF!&lt;=20,"Medium Charges","High Charges"))</f>
        <v>#REF!</v>
      </c>
      <c r="AB2648" t="e">
        <f>IF(AND(#REF!&gt;180, #REF!&gt;200), "Heavy Doemstic User", IF(#REF!&gt;10, "Interntional User", IF(AND(#REF!&lt;180, #REF!&lt;200,#REF!&lt;200), "Light User", "Balanced User")))</f>
        <v>#REF!</v>
      </c>
      <c r="AC2648" t="e">
        <f>IF(#REF! = 0, "No Usage", IF(#REF! &lt;= 20, "Low Usage", IF(#REF! &lt;= 40, "Medium Usgae", "High Usage")))</f>
        <v>#REF!</v>
      </c>
      <c r="AD2648" t="e">
        <f>IF(#REF!&lt;=150,"Low Usage", IF(#REF!&lt;=200,"Medium Usage", IF(#REF!&lt;=250,"High Usage","Very High Usage")))</f>
        <v>#REF!</v>
      </c>
      <c r="AE2648" t="e">
        <f>IF(#REF!&lt;=5,"Low Calls", IF(#REF!&lt;=10, "Medium Calls", "High Calls"))</f>
        <v>#REF!</v>
      </c>
      <c r="AF2648" t="e">
        <f xml:space="preserve">
IF(#REF!&gt;=4,4,0)+
IF(#REF!="yes",3,0)+
IF(#REF!="High Charges",3,0)+
IF(#REF!&gt;250,4,0)+
IF(#REF!="no",1,0)+
IF(#REF!="Heavy Domestic User",2,0)</f>
        <v>#REF!</v>
      </c>
      <c r="AG2648" t="e">
        <f>IF(#REF!&gt;=10,"High Risk", IF(#REF!&gt;=5,"Medium Risk","Low Risk"))</f>
        <v>#REF!</v>
      </c>
      <c r="AH2648" t="e">
        <f>#REF! + #REF! + #REF! + #REF!</f>
        <v>#REF!</v>
      </c>
    </row>
    <row r="2649" spans="1:34" x14ac:dyDescent="0.35">
      <c r="A2649">
        <v>2648</v>
      </c>
      <c r="B2649" t="s">
        <v>27</v>
      </c>
      <c r="C2649">
        <v>77</v>
      </c>
      <c r="D2649" t="s">
        <v>25</v>
      </c>
      <c r="E2649" t="s">
        <v>22</v>
      </c>
      <c r="F2649" t="s">
        <v>23</v>
      </c>
      <c r="G2649">
        <v>17</v>
      </c>
      <c r="H2649">
        <v>204.9</v>
      </c>
      <c r="I2649">
        <v>84</v>
      </c>
      <c r="J2649">
        <v>34.83</v>
      </c>
      <c r="K2649">
        <v>201</v>
      </c>
      <c r="L2649">
        <v>102</v>
      </c>
      <c r="M2649">
        <v>17.09</v>
      </c>
      <c r="N2649">
        <v>219.7</v>
      </c>
      <c r="O2649">
        <v>97</v>
      </c>
      <c r="P2649">
        <v>9.89</v>
      </c>
      <c r="Q2649">
        <v>11.3</v>
      </c>
      <c r="R2649">
        <v>5</v>
      </c>
      <c r="S2649">
        <v>3.05</v>
      </c>
      <c r="T2649">
        <v>0</v>
      </c>
      <c r="U2649" t="s">
        <v>22</v>
      </c>
      <c r="V2649" t="e">
        <f>IF(#REF! = "yes", 1, 0)</f>
        <v>#REF!</v>
      </c>
      <c r="W2649" t="e">
        <f>IF(#REF! &lt;= 1, "0-1 Calls", IF(#REF! &lt;= 3, "2-3 Calls", IF(#REF! &lt;=5, "4-5 Calls", "6+ Calls")))</f>
        <v>#REF!</v>
      </c>
      <c r="X2649" t="e">
        <f>IF(#REF! &lt;= 50, "0-50", IF(#REF! &lt;=100, "51-100", IF(#REF! &lt;= 150, "101-150", "151+")))</f>
        <v>#REF!</v>
      </c>
      <c r="Y2649" t="e">
        <f>IF(#REF! &lt;= 3, "Low Charges", "High Charges")</f>
        <v>#REF!</v>
      </c>
      <c r="Z2649" t="e">
        <f>IF(#REF!&lt;=80,"Low Calls",
IF(#REF!&lt;=120,"Medium Calls","High Calls"))</f>
        <v>#REF!</v>
      </c>
      <c r="AA2649" t="e">
        <f>IF(#REF!&lt;=15,"Low Charges",
IF(#REF!&lt;=20,"Medium Charges","High Charges"))</f>
        <v>#REF!</v>
      </c>
      <c r="AB2649" t="e">
        <f>IF(AND(#REF!&gt;180, #REF!&gt;200), "Heavy Doemstic User", IF(#REF!&gt;10, "Interntional User", IF(AND(#REF!&lt;180, #REF!&lt;200,#REF!&lt;200), "Light User", "Balanced User")))</f>
        <v>#REF!</v>
      </c>
      <c r="AC2649" t="e">
        <f>IF(#REF! = 0, "No Usage", IF(#REF! &lt;= 20, "Low Usage", IF(#REF! &lt;= 40, "Medium Usgae", "High Usage")))</f>
        <v>#REF!</v>
      </c>
      <c r="AD2649" t="e">
        <f>IF(#REF!&lt;=150,"Low Usage", IF(#REF!&lt;=200,"Medium Usage", IF(#REF!&lt;=250,"High Usage","Very High Usage")))</f>
        <v>#REF!</v>
      </c>
      <c r="AE2649" t="e">
        <f>IF(#REF!&lt;=5,"Low Calls", IF(#REF!&lt;=10, "Medium Calls", "High Calls"))</f>
        <v>#REF!</v>
      </c>
      <c r="AF2649" t="e">
        <f xml:space="preserve">
IF(#REF!&gt;=4,4,0)+
IF(#REF!="yes",3,0)+
IF(#REF!="High Charges",3,0)+
IF(#REF!&gt;250,4,0)+
IF(#REF!="no",1,0)+
IF(#REF!="Heavy Domestic User",2,0)</f>
        <v>#REF!</v>
      </c>
      <c r="AG2649" t="e">
        <f>IF(#REF!&gt;=10,"High Risk", IF(#REF!&gt;=5,"Medium Risk","Low Risk"))</f>
        <v>#REF!</v>
      </c>
      <c r="AH2649" t="e">
        <f>#REF! + #REF! + #REF! + #REF!</f>
        <v>#REF!</v>
      </c>
    </row>
    <row r="2650" spans="1:34" x14ac:dyDescent="0.35">
      <c r="A2650">
        <v>2649</v>
      </c>
      <c r="B2650" t="s">
        <v>75</v>
      </c>
      <c r="C2650">
        <v>75</v>
      </c>
      <c r="D2650" t="s">
        <v>25</v>
      </c>
      <c r="E2650" t="s">
        <v>22</v>
      </c>
      <c r="F2650" t="s">
        <v>23</v>
      </c>
      <c r="G2650">
        <v>24</v>
      </c>
      <c r="H2650">
        <v>225.5</v>
      </c>
      <c r="I2650">
        <v>119</v>
      </c>
      <c r="J2650">
        <v>38.340000000000003</v>
      </c>
      <c r="K2650">
        <v>182</v>
      </c>
      <c r="L2650">
        <v>108</v>
      </c>
      <c r="M2650">
        <v>15.47</v>
      </c>
      <c r="N2650">
        <v>270.89999999999998</v>
      </c>
      <c r="O2650">
        <v>106</v>
      </c>
      <c r="P2650">
        <v>12.19</v>
      </c>
      <c r="Q2650">
        <v>9.4</v>
      </c>
      <c r="R2650">
        <v>2</v>
      </c>
      <c r="S2650">
        <v>2.54</v>
      </c>
      <c r="T2650">
        <v>3</v>
      </c>
      <c r="U2650" t="s">
        <v>22</v>
      </c>
      <c r="V2650" t="e">
        <f>IF(#REF! = "yes", 1, 0)</f>
        <v>#REF!</v>
      </c>
      <c r="W2650" t="e">
        <f>IF(#REF! &lt;= 1, "0-1 Calls", IF(#REF! &lt;= 3, "2-3 Calls", IF(#REF! &lt;=5, "4-5 Calls", "6+ Calls")))</f>
        <v>#REF!</v>
      </c>
      <c r="X2650" t="e">
        <f>IF(#REF! &lt;= 50, "0-50", IF(#REF! &lt;=100, "51-100", IF(#REF! &lt;= 150, "101-150", "151+")))</f>
        <v>#REF!</v>
      </c>
      <c r="Y2650" t="e">
        <f>IF(#REF! &lt;= 3, "Low Charges", "High Charges")</f>
        <v>#REF!</v>
      </c>
      <c r="Z2650" t="e">
        <f>IF(#REF!&lt;=80,"Low Calls",
IF(#REF!&lt;=120,"Medium Calls","High Calls"))</f>
        <v>#REF!</v>
      </c>
      <c r="AA2650" t="e">
        <f>IF(#REF!&lt;=15,"Low Charges",
IF(#REF!&lt;=20,"Medium Charges","High Charges"))</f>
        <v>#REF!</v>
      </c>
      <c r="AB2650" t="e">
        <f>IF(AND(#REF!&gt;180, #REF!&gt;200), "Heavy Doemstic User", IF(#REF!&gt;10, "Interntional User", IF(AND(#REF!&lt;180, #REF!&lt;200,#REF!&lt;200), "Light User", "Balanced User")))</f>
        <v>#REF!</v>
      </c>
      <c r="AC2650" t="e">
        <f>IF(#REF! = 0, "No Usage", IF(#REF! &lt;= 20, "Low Usage", IF(#REF! &lt;= 40, "Medium Usgae", "High Usage")))</f>
        <v>#REF!</v>
      </c>
      <c r="AD2650" t="e">
        <f>IF(#REF!&lt;=150,"Low Usage", IF(#REF!&lt;=200,"Medium Usage", IF(#REF!&lt;=250,"High Usage","Very High Usage")))</f>
        <v>#REF!</v>
      </c>
      <c r="AE2650" t="e">
        <f>IF(#REF!&lt;=5,"Low Calls", IF(#REF!&lt;=10, "Medium Calls", "High Calls"))</f>
        <v>#REF!</v>
      </c>
      <c r="AF2650" t="e">
        <f xml:space="preserve">
IF(#REF!&gt;=4,4,0)+
IF(#REF!="yes",3,0)+
IF(#REF!="High Charges",3,0)+
IF(#REF!&gt;250,4,0)+
IF(#REF!="no",1,0)+
IF(#REF!="Heavy Domestic User",2,0)</f>
        <v>#REF!</v>
      </c>
      <c r="AG2650" t="e">
        <f>IF(#REF!&gt;=10,"High Risk", IF(#REF!&gt;=5,"Medium Risk","Low Risk"))</f>
        <v>#REF!</v>
      </c>
      <c r="AH2650" t="e">
        <f>#REF! + #REF! + #REF! + #REF!</f>
        <v>#REF!</v>
      </c>
    </row>
    <row r="2651" spans="1:34" x14ac:dyDescent="0.35">
      <c r="A2651">
        <v>2650</v>
      </c>
      <c r="B2651" t="s">
        <v>34</v>
      </c>
      <c r="C2651">
        <v>40</v>
      </c>
      <c r="D2651" t="s">
        <v>28</v>
      </c>
      <c r="E2651" t="s">
        <v>22</v>
      </c>
      <c r="F2651" t="s">
        <v>22</v>
      </c>
      <c r="G2651">
        <v>0</v>
      </c>
      <c r="H2651">
        <v>169.7</v>
      </c>
      <c r="I2651">
        <v>115</v>
      </c>
      <c r="J2651">
        <v>28.85</v>
      </c>
      <c r="K2651">
        <v>141.4</v>
      </c>
      <c r="L2651">
        <v>123</v>
      </c>
      <c r="M2651">
        <v>12.02</v>
      </c>
      <c r="N2651">
        <v>253</v>
      </c>
      <c r="O2651">
        <v>115</v>
      </c>
      <c r="P2651">
        <v>11.39</v>
      </c>
      <c r="Q2651">
        <v>10.5</v>
      </c>
      <c r="R2651">
        <v>3</v>
      </c>
      <c r="S2651">
        <v>2.84</v>
      </c>
      <c r="T2651">
        <v>4</v>
      </c>
      <c r="U2651" t="s">
        <v>23</v>
      </c>
      <c r="V2651" t="e">
        <f>IF(#REF! = "yes", 1, 0)</f>
        <v>#REF!</v>
      </c>
      <c r="W2651" t="e">
        <f>IF(#REF! &lt;= 1, "0-1 Calls", IF(#REF! &lt;= 3, "2-3 Calls", IF(#REF! &lt;=5, "4-5 Calls", "6+ Calls")))</f>
        <v>#REF!</v>
      </c>
      <c r="X2651" t="e">
        <f>IF(#REF! &lt;= 50, "0-50", IF(#REF! &lt;=100, "51-100", IF(#REF! &lt;= 150, "101-150", "151+")))</f>
        <v>#REF!</v>
      </c>
      <c r="Y2651" t="e">
        <f>IF(#REF! &lt;= 3, "Low Charges", "High Charges")</f>
        <v>#REF!</v>
      </c>
      <c r="Z2651" t="e">
        <f>IF(#REF!&lt;=80,"Low Calls",
IF(#REF!&lt;=120,"Medium Calls","High Calls"))</f>
        <v>#REF!</v>
      </c>
      <c r="AA2651" t="e">
        <f>IF(#REF!&lt;=15,"Low Charges",
IF(#REF!&lt;=20,"Medium Charges","High Charges"))</f>
        <v>#REF!</v>
      </c>
      <c r="AB2651" t="e">
        <f>IF(AND(#REF!&gt;180, #REF!&gt;200), "Heavy Doemstic User", IF(#REF!&gt;10, "Interntional User", IF(AND(#REF!&lt;180, #REF!&lt;200,#REF!&lt;200), "Light User", "Balanced User")))</f>
        <v>#REF!</v>
      </c>
      <c r="AC2651" t="e">
        <f>IF(#REF! = 0, "No Usage", IF(#REF! &lt;= 20, "Low Usage", IF(#REF! &lt;= 40, "Medium Usgae", "High Usage")))</f>
        <v>#REF!</v>
      </c>
      <c r="AD2651" t="e">
        <f>IF(#REF!&lt;=150,"Low Usage", IF(#REF!&lt;=200,"Medium Usage", IF(#REF!&lt;=250,"High Usage","Very High Usage")))</f>
        <v>#REF!</v>
      </c>
      <c r="AE2651" t="e">
        <f>IF(#REF!&lt;=5,"Low Calls", IF(#REF!&lt;=10, "Medium Calls", "High Calls"))</f>
        <v>#REF!</v>
      </c>
      <c r="AF2651" t="e">
        <f xml:space="preserve">
IF(#REF!&gt;=4,4,0)+
IF(#REF!="yes",3,0)+
IF(#REF!="High Charges",3,0)+
IF(#REF!&gt;250,4,0)+
IF(#REF!="no",1,0)+
IF(#REF!="Heavy Domestic User",2,0)</f>
        <v>#REF!</v>
      </c>
      <c r="AG2651" t="e">
        <f>IF(#REF!&gt;=10,"High Risk", IF(#REF!&gt;=5,"Medium Risk","Low Risk"))</f>
        <v>#REF!</v>
      </c>
      <c r="AH2651" t="e">
        <f>#REF! + #REF! + #REF! + #REF!</f>
        <v>#REF!</v>
      </c>
    </row>
    <row r="2652" spans="1:34" x14ac:dyDescent="0.35">
      <c r="A2652">
        <v>2651</v>
      </c>
      <c r="B2652" t="s">
        <v>24</v>
      </c>
      <c r="C2652">
        <v>108</v>
      </c>
      <c r="D2652" t="s">
        <v>21</v>
      </c>
      <c r="E2652" t="s">
        <v>22</v>
      </c>
      <c r="F2652" t="s">
        <v>22</v>
      </c>
      <c r="G2652">
        <v>0</v>
      </c>
      <c r="H2652">
        <v>239.3</v>
      </c>
      <c r="I2652">
        <v>102</v>
      </c>
      <c r="J2652">
        <v>40.68</v>
      </c>
      <c r="K2652">
        <v>223.4</v>
      </c>
      <c r="L2652">
        <v>127</v>
      </c>
      <c r="M2652">
        <v>18.989999999999998</v>
      </c>
      <c r="N2652">
        <v>251.4</v>
      </c>
      <c r="O2652">
        <v>104</v>
      </c>
      <c r="P2652">
        <v>11.31</v>
      </c>
      <c r="Q2652">
        <v>10.6</v>
      </c>
      <c r="R2652">
        <v>6</v>
      </c>
      <c r="S2652">
        <v>2.86</v>
      </c>
      <c r="T2652">
        <v>0</v>
      </c>
      <c r="U2652" t="s">
        <v>22</v>
      </c>
      <c r="V2652" t="e">
        <f>IF(#REF! = "yes", 1, 0)</f>
        <v>#REF!</v>
      </c>
      <c r="W2652" t="e">
        <f>IF(#REF! &lt;= 1, "0-1 Calls", IF(#REF! &lt;= 3, "2-3 Calls", IF(#REF! &lt;=5, "4-5 Calls", "6+ Calls")))</f>
        <v>#REF!</v>
      </c>
      <c r="X2652" t="e">
        <f>IF(#REF! &lt;= 50, "0-50", IF(#REF! &lt;=100, "51-100", IF(#REF! &lt;= 150, "101-150", "151+")))</f>
        <v>#REF!</v>
      </c>
      <c r="Y2652" t="e">
        <f>IF(#REF! &lt;= 3, "Low Charges", "High Charges")</f>
        <v>#REF!</v>
      </c>
      <c r="Z2652" t="e">
        <f>IF(#REF!&lt;=80,"Low Calls",
IF(#REF!&lt;=120,"Medium Calls","High Calls"))</f>
        <v>#REF!</v>
      </c>
      <c r="AA2652" t="e">
        <f>IF(#REF!&lt;=15,"Low Charges",
IF(#REF!&lt;=20,"Medium Charges","High Charges"))</f>
        <v>#REF!</v>
      </c>
      <c r="AB2652" t="e">
        <f>IF(AND(#REF!&gt;180, #REF!&gt;200), "Heavy Doemstic User", IF(#REF!&gt;10, "Interntional User", IF(AND(#REF!&lt;180, #REF!&lt;200,#REF!&lt;200), "Light User", "Balanced User")))</f>
        <v>#REF!</v>
      </c>
      <c r="AC2652" t="e">
        <f>IF(#REF! = 0, "No Usage", IF(#REF! &lt;= 20, "Low Usage", IF(#REF! &lt;= 40, "Medium Usgae", "High Usage")))</f>
        <v>#REF!</v>
      </c>
      <c r="AD2652" t="e">
        <f>IF(#REF!&lt;=150,"Low Usage", IF(#REF!&lt;=200,"Medium Usage", IF(#REF!&lt;=250,"High Usage","Very High Usage")))</f>
        <v>#REF!</v>
      </c>
      <c r="AE2652" t="e">
        <f>IF(#REF!&lt;=5,"Low Calls", IF(#REF!&lt;=10, "Medium Calls", "High Calls"))</f>
        <v>#REF!</v>
      </c>
      <c r="AF2652" t="e">
        <f xml:space="preserve">
IF(#REF!&gt;=4,4,0)+
IF(#REF!="yes",3,0)+
IF(#REF!="High Charges",3,0)+
IF(#REF!&gt;250,4,0)+
IF(#REF!="no",1,0)+
IF(#REF!="Heavy Domestic User",2,0)</f>
        <v>#REF!</v>
      </c>
      <c r="AG2652" t="e">
        <f>IF(#REF!&gt;=10,"High Risk", IF(#REF!&gt;=5,"Medium Risk","Low Risk"))</f>
        <v>#REF!</v>
      </c>
      <c r="AH2652" t="e">
        <f>#REF! + #REF! + #REF! + #REF!</f>
        <v>#REF!</v>
      </c>
    </row>
    <row r="2653" spans="1:34" x14ac:dyDescent="0.35">
      <c r="A2653">
        <v>2652</v>
      </c>
      <c r="B2653" t="s">
        <v>35</v>
      </c>
      <c r="C2653">
        <v>100</v>
      </c>
      <c r="D2653" t="s">
        <v>21</v>
      </c>
      <c r="E2653" t="s">
        <v>22</v>
      </c>
      <c r="F2653" t="s">
        <v>22</v>
      </c>
      <c r="G2653">
        <v>0</v>
      </c>
      <c r="H2653">
        <v>113.3</v>
      </c>
      <c r="I2653">
        <v>96</v>
      </c>
      <c r="J2653">
        <v>19.260000000000002</v>
      </c>
      <c r="K2653">
        <v>197.9</v>
      </c>
      <c r="L2653">
        <v>89</v>
      </c>
      <c r="M2653">
        <v>16.82</v>
      </c>
      <c r="N2653">
        <v>284.5</v>
      </c>
      <c r="O2653">
        <v>93</v>
      </c>
      <c r="P2653">
        <v>12.8</v>
      </c>
      <c r="Q2653">
        <v>11.7</v>
      </c>
      <c r="R2653">
        <v>2</v>
      </c>
      <c r="S2653">
        <v>3.16</v>
      </c>
      <c r="T2653">
        <v>4</v>
      </c>
      <c r="U2653" t="s">
        <v>23</v>
      </c>
      <c r="V2653" t="e">
        <f>IF(#REF! = "yes", 1, 0)</f>
        <v>#REF!</v>
      </c>
      <c r="W2653" t="e">
        <f>IF(#REF! &lt;= 1, "0-1 Calls", IF(#REF! &lt;= 3, "2-3 Calls", IF(#REF! &lt;=5, "4-5 Calls", "6+ Calls")))</f>
        <v>#REF!</v>
      </c>
      <c r="X2653" t="e">
        <f>IF(#REF! &lt;= 50, "0-50", IF(#REF! &lt;=100, "51-100", IF(#REF! &lt;= 150, "101-150", "151+")))</f>
        <v>#REF!</v>
      </c>
      <c r="Y2653" t="e">
        <f>IF(#REF! &lt;= 3, "Low Charges", "High Charges")</f>
        <v>#REF!</v>
      </c>
      <c r="Z2653" t="e">
        <f>IF(#REF!&lt;=80,"Low Calls",
IF(#REF!&lt;=120,"Medium Calls","High Calls"))</f>
        <v>#REF!</v>
      </c>
      <c r="AA2653" t="e">
        <f>IF(#REF!&lt;=15,"Low Charges",
IF(#REF!&lt;=20,"Medium Charges","High Charges"))</f>
        <v>#REF!</v>
      </c>
      <c r="AB2653" t="e">
        <f>IF(AND(#REF!&gt;180, #REF!&gt;200), "Heavy Doemstic User", IF(#REF!&gt;10, "Interntional User", IF(AND(#REF!&lt;180, #REF!&lt;200,#REF!&lt;200), "Light User", "Balanced User")))</f>
        <v>#REF!</v>
      </c>
      <c r="AC2653" t="e">
        <f>IF(#REF! = 0, "No Usage", IF(#REF! &lt;= 20, "Low Usage", IF(#REF! &lt;= 40, "Medium Usgae", "High Usage")))</f>
        <v>#REF!</v>
      </c>
      <c r="AD2653" t="e">
        <f>IF(#REF!&lt;=150,"Low Usage", IF(#REF!&lt;=200,"Medium Usage", IF(#REF!&lt;=250,"High Usage","Very High Usage")))</f>
        <v>#REF!</v>
      </c>
      <c r="AE2653" t="e">
        <f>IF(#REF!&lt;=5,"Low Calls", IF(#REF!&lt;=10, "Medium Calls", "High Calls"))</f>
        <v>#REF!</v>
      </c>
      <c r="AF2653" t="e">
        <f xml:space="preserve">
IF(#REF!&gt;=4,4,0)+
IF(#REF!="yes",3,0)+
IF(#REF!="High Charges",3,0)+
IF(#REF!&gt;250,4,0)+
IF(#REF!="no",1,0)+
IF(#REF!="Heavy Domestic User",2,0)</f>
        <v>#REF!</v>
      </c>
      <c r="AG2653" t="e">
        <f>IF(#REF!&gt;=10,"High Risk", IF(#REF!&gt;=5,"Medium Risk","Low Risk"))</f>
        <v>#REF!</v>
      </c>
      <c r="AH2653" t="e">
        <f>#REF! + #REF! + #REF! + #REF!</f>
        <v>#REF!</v>
      </c>
    </row>
    <row r="2654" spans="1:34" x14ac:dyDescent="0.35">
      <c r="A2654">
        <v>2653</v>
      </c>
      <c r="B2654" t="s">
        <v>68</v>
      </c>
      <c r="C2654">
        <v>16</v>
      </c>
      <c r="D2654" t="s">
        <v>21</v>
      </c>
      <c r="E2654" t="s">
        <v>22</v>
      </c>
      <c r="F2654" t="s">
        <v>22</v>
      </c>
      <c r="G2654">
        <v>0</v>
      </c>
      <c r="H2654">
        <v>161.9</v>
      </c>
      <c r="I2654">
        <v>100</v>
      </c>
      <c r="J2654">
        <v>27.52</v>
      </c>
      <c r="K2654">
        <v>230.1</v>
      </c>
      <c r="L2654">
        <v>138</v>
      </c>
      <c r="M2654">
        <v>19.559999999999999</v>
      </c>
      <c r="N2654">
        <v>148.80000000000001</v>
      </c>
      <c r="O2654">
        <v>78</v>
      </c>
      <c r="P2654">
        <v>6.7</v>
      </c>
      <c r="Q2654">
        <v>10.199999999999999</v>
      </c>
      <c r="R2654">
        <v>11</v>
      </c>
      <c r="S2654">
        <v>2.75</v>
      </c>
      <c r="T2654">
        <v>3</v>
      </c>
      <c r="U2654" t="s">
        <v>22</v>
      </c>
      <c r="V2654" t="e">
        <f>IF(#REF! = "yes", 1, 0)</f>
        <v>#REF!</v>
      </c>
      <c r="W2654" t="e">
        <f>IF(#REF! &lt;= 1, "0-1 Calls", IF(#REF! &lt;= 3, "2-3 Calls", IF(#REF! &lt;=5, "4-5 Calls", "6+ Calls")))</f>
        <v>#REF!</v>
      </c>
      <c r="X2654" t="e">
        <f>IF(#REF! &lt;= 50, "0-50", IF(#REF! &lt;=100, "51-100", IF(#REF! &lt;= 150, "101-150", "151+")))</f>
        <v>#REF!</v>
      </c>
      <c r="Y2654" t="e">
        <f>IF(#REF! &lt;= 3, "Low Charges", "High Charges")</f>
        <v>#REF!</v>
      </c>
      <c r="Z2654" t="e">
        <f>IF(#REF!&lt;=80,"Low Calls",
IF(#REF!&lt;=120,"Medium Calls","High Calls"))</f>
        <v>#REF!</v>
      </c>
      <c r="AA2654" t="e">
        <f>IF(#REF!&lt;=15,"Low Charges",
IF(#REF!&lt;=20,"Medium Charges","High Charges"))</f>
        <v>#REF!</v>
      </c>
      <c r="AB2654" t="e">
        <f>IF(AND(#REF!&gt;180, #REF!&gt;200), "Heavy Doemstic User", IF(#REF!&gt;10, "Interntional User", IF(AND(#REF!&lt;180, #REF!&lt;200,#REF!&lt;200), "Light User", "Balanced User")))</f>
        <v>#REF!</v>
      </c>
      <c r="AC2654" t="e">
        <f>IF(#REF! = 0, "No Usage", IF(#REF! &lt;= 20, "Low Usage", IF(#REF! &lt;= 40, "Medium Usgae", "High Usage")))</f>
        <v>#REF!</v>
      </c>
      <c r="AD2654" t="e">
        <f>IF(#REF!&lt;=150,"Low Usage", IF(#REF!&lt;=200,"Medium Usage", IF(#REF!&lt;=250,"High Usage","Very High Usage")))</f>
        <v>#REF!</v>
      </c>
      <c r="AE2654" t="e">
        <f>IF(#REF!&lt;=5,"Low Calls", IF(#REF!&lt;=10, "Medium Calls", "High Calls"))</f>
        <v>#REF!</v>
      </c>
      <c r="AF2654" t="e">
        <f xml:space="preserve">
IF(#REF!&gt;=4,4,0)+
IF(#REF!="yes",3,0)+
IF(#REF!="High Charges",3,0)+
IF(#REF!&gt;250,4,0)+
IF(#REF!="no",1,0)+
IF(#REF!="Heavy Domestic User",2,0)</f>
        <v>#REF!</v>
      </c>
      <c r="AG2654" t="e">
        <f>IF(#REF!&gt;=10,"High Risk", IF(#REF!&gt;=5,"Medium Risk","Low Risk"))</f>
        <v>#REF!</v>
      </c>
      <c r="AH2654" t="e">
        <f>#REF! + #REF! + #REF! + #REF!</f>
        <v>#REF!</v>
      </c>
    </row>
    <row r="2655" spans="1:34" x14ac:dyDescent="0.35">
      <c r="A2655">
        <v>2654</v>
      </c>
      <c r="B2655" t="s">
        <v>36</v>
      </c>
      <c r="C2655">
        <v>115</v>
      </c>
      <c r="D2655" t="s">
        <v>28</v>
      </c>
      <c r="E2655" t="s">
        <v>22</v>
      </c>
      <c r="F2655" t="s">
        <v>23</v>
      </c>
      <c r="G2655">
        <v>16</v>
      </c>
      <c r="H2655">
        <v>133.30000000000001</v>
      </c>
      <c r="I2655">
        <v>110</v>
      </c>
      <c r="J2655">
        <v>22.66</v>
      </c>
      <c r="K2655">
        <v>185.7</v>
      </c>
      <c r="L2655">
        <v>111</v>
      </c>
      <c r="M2655">
        <v>15.78</v>
      </c>
      <c r="N2655">
        <v>161.5</v>
      </c>
      <c r="O2655">
        <v>113</v>
      </c>
      <c r="P2655">
        <v>7.27</v>
      </c>
      <c r="Q2655">
        <v>5.6</v>
      </c>
      <c r="R2655">
        <v>4</v>
      </c>
      <c r="S2655">
        <v>1.51</v>
      </c>
      <c r="T2655">
        <v>2</v>
      </c>
      <c r="U2655" t="s">
        <v>22</v>
      </c>
      <c r="V2655" t="e">
        <f>IF(#REF! = "yes", 1, 0)</f>
        <v>#REF!</v>
      </c>
      <c r="W2655" t="e">
        <f>IF(#REF! &lt;= 1, "0-1 Calls", IF(#REF! &lt;= 3, "2-3 Calls", IF(#REF! &lt;=5, "4-5 Calls", "6+ Calls")))</f>
        <v>#REF!</v>
      </c>
      <c r="X2655" t="e">
        <f>IF(#REF! &lt;= 50, "0-50", IF(#REF! &lt;=100, "51-100", IF(#REF! &lt;= 150, "101-150", "151+")))</f>
        <v>#REF!</v>
      </c>
      <c r="Y2655" t="e">
        <f>IF(#REF! &lt;= 3, "Low Charges", "High Charges")</f>
        <v>#REF!</v>
      </c>
      <c r="Z2655" t="e">
        <f>IF(#REF!&lt;=80,"Low Calls",
IF(#REF!&lt;=120,"Medium Calls","High Calls"))</f>
        <v>#REF!</v>
      </c>
      <c r="AA2655" t="e">
        <f>IF(#REF!&lt;=15,"Low Charges",
IF(#REF!&lt;=20,"Medium Charges","High Charges"))</f>
        <v>#REF!</v>
      </c>
      <c r="AB2655" t="e">
        <f>IF(AND(#REF!&gt;180, #REF!&gt;200), "Heavy Doemstic User", IF(#REF!&gt;10, "Interntional User", IF(AND(#REF!&lt;180, #REF!&lt;200,#REF!&lt;200), "Light User", "Balanced User")))</f>
        <v>#REF!</v>
      </c>
      <c r="AC2655" t="e">
        <f>IF(#REF! = 0, "No Usage", IF(#REF! &lt;= 20, "Low Usage", IF(#REF! &lt;= 40, "Medium Usgae", "High Usage")))</f>
        <v>#REF!</v>
      </c>
      <c r="AD2655" t="e">
        <f>IF(#REF!&lt;=150,"Low Usage", IF(#REF!&lt;=200,"Medium Usage", IF(#REF!&lt;=250,"High Usage","Very High Usage")))</f>
        <v>#REF!</v>
      </c>
      <c r="AE2655" t="e">
        <f>IF(#REF!&lt;=5,"Low Calls", IF(#REF!&lt;=10, "Medium Calls", "High Calls"))</f>
        <v>#REF!</v>
      </c>
      <c r="AF2655" t="e">
        <f xml:space="preserve">
IF(#REF!&gt;=4,4,0)+
IF(#REF!="yes",3,0)+
IF(#REF!="High Charges",3,0)+
IF(#REF!&gt;250,4,0)+
IF(#REF!="no",1,0)+
IF(#REF!="Heavy Domestic User",2,0)</f>
        <v>#REF!</v>
      </c>
      <c r="AG2655" t="e">
        <f>IF(#REF!&gt;=10,"High Risk", IF(#REF!&gt;=5,"Medium Risk","Low Risk"))</f>
        <v>#REF!</v>
      </c>
      <c r="AH2655" t="e">
        <f>#REF! + #REF! + #REF! + #REF!</f>
        <v>#REF!</v>
      </c>
    </row>
    <row r="2656" spans="1:34" x14ac:dyDescent="0.35">
      <c r="A2656">
        <v>2655</v>
      </c>
      <c r="B2656" t="s">
        <v>73</v>
      </c>
      <c r="C2656">
        <v>108</v>
      </c>
      <c r="D2656" t="s">
        <v>28</v>
      </c>
      <c r="E2656" t="s">
        <v>22</v>
      </c>
      <c r="F2656" t="s">
        <v>23</v>
      </c>
      <c r="G2656">
        <v>25</v>
      </c>
      <c r="H2656">
        <v>170.7</v>
      </c>
      <c r="I2656">
        <v>88</v>
      </c>
      <c r="J2656">
        <v>29.02</v>
      </c>
      <c r="K2656">
        <v>109.9</v>
      </c>
      <c r="L2656">
        <v>113</v>
      </c>
      <c r="M2656">
        <v>9.34</v>
      </c>
      <c r="N2656">
        <v>165.7</v>
      </c>
      <c r="O2656">
        <v>99</v>
      </c>
      <c r="P2656">
        <v>7.46</v>
      </c>
      <c r="Q2656">
        <v>8.6999999999999993</v>
      </c>
      <c r="R2656">
        <v>1</v>
      </c>
      <c r="S2656">
        <v>2.35</v>
      </c>
      <c r="T2656">
        <v>3</v>
      </c>
      <c r="U2656" t="s">
        <v>22</v>
      </c>
      <c r="V2656" t="e">
        <f>IF(#REF! = "yes", 1, 0)</f>
        <v>#REF!</v>
      </c>
      <c r="W2656" t="e">
        <f>IF(#REF! &lt;= 1, "0-1 Calls", IF(#REF! &lt;= 3, "2-3 Calls", IF(#REF! &lt;=5, "4-5 Calls", "6+ Calls")))</f>
        <v>#REF!</v>
      </c>
      <c r="X2656" t="e">
        <f>IF(#REF! &lt;= 50, "0-50", IF(#REF! &lt;=100, "51-100", IF(#REF! &lt;= 150, "101-150", "151+")))</f>
        <v>#REF!</v>
      </c>
      <c r="Y2656" t="e">
        <f>IF(#REF! &lt;= 3, "Low Charges", "High Charges")</f>
        <v>#REF!</v>
      </c>
      <c r="Z2656" t="e">
        <f>IF(#REF!&lt;=80,"Low Calls",
IF(#REF!&lt;=120,"Medium Calls","High Calls"))</f>
        <v>#REF!</v>
      </c>
      <c r="AA2656" t="e">
        <f>IF(#REF!&lt;=15,"Low Charges",
IF(#REF!&lt;=20,"Medium Charges","High Charges"))</f>
        <v>#REF!</v>
      </c>
      <c r="AB2656" t="e">
        <f>IF(AND(#REF!&gt;180, #REF!&gt;200), "Heavy Doemstic User", IF(#REF!&gt;10, "Interntional User", IF(AND(#REF!&lt;180, #REF!&lt;200,#REF!&lt;200), "Light User", "Balanced User")))</f>
        <v>#REF!</v>
      </c>
      <c r="AC2656" t="e">
        <f>IF(#REF! = 0, "No Usage", IF(#REF! &lt;= 20, "Low Usage", IF(#REF! &lt;= 40, "Medium Usgae", "High Usage")))</f>
        <v>#REF!</v>
      </c>
      <c r="AD2656" t="e">
        <f>IF(#REF!&lt;=150,"Low Usage", IF(#REF!&lt;=200,"Medium Usage", IF(#REF!&lt;=250,"High Usage","Very High Usage")))</f>
        <v>#REF!</v>
      </c>
      <c r="AE2656" t="e">
        <f>IF(#REF!&lt;=5,"Low Calls", IF(#REF!&lt;=10, "Medium Calls", "High Calls"))</f>
        <v>#REF!</v>
      </c>
      <c r="AF2656" t="e">
        <f xml:space="preserve">
IF(#REF!&gt;=4,4,0)+
IF(#REF!="yes",3,0)+
IF(#REF!="High Charges",3,0)+
IF(#REF!&gt;250,4,0)+
IF(#REF!="no",1,0)+
IF(#REF!="Heavy Domestic User",2,0)</f>
        <v>#REF!</v>
      </c>
      <c r="AG2656" t="e">
        <f>IF(#REF!&gt;=10,"High Risk", IF(#REF!&gt;=5,"Medium Risk","Low Risk"))</f>
        <v>#REF!</v>
      </c>
      <c r="AH2656" t="e">
        <f>#REF! + #REF! + #REF! + #REF!</f>
        <v>#REF!</v>
      </c>
    </row>
    <row r="2657" spans="1:34" x14ac:dyDescent="0.35">
      <c r="A2657">
        <v>2656</v>
      </c>
      <c r="B2657" t="s">
        <v>58</v>
      </c>
      <c r="C2657">
        <v>161</v>
      </c>
      <c r="D2657" t="s">
        <v>21</v>
      </c>
      <c r="E2657" t="s">
        <v>22</v>
      </c>
      <c r="F2657" t="s">
        <v>22</v>
      </c>
      <c r="G2657">
        <v>0</v>
      </c>
      <c r="H2657">
        <v>322.3</v>
      </c>
      <c r="I2657">
        <v>100</v>
      </c>
      <c r="J2657">
        <v>54.79</v>
      </c>
      <c r="K2657">
        <v>230.4</v>
      </c>
      <c r="L2657">
        <v>135</v>
      </c>
      <c r="M2657">
        <v>19.579999999999998</v>
      </c>
      <c r="N2657">
        <v>241.5</v>
      </c>
      <c r="O2657">
        <v>104</v>
      </c>
      <c r="P2657">
        <v>10.87</v>
      </c>
      <c r="Q2657">
        <v>7.8</v>
      </c>
      <c r="R2657">
        <v>5</v>
      </c>
      <c r="S2657">
        <v>2.11</v>
      </c>
      <c r="T2657">
        <v>2</v>
      </c>
      <c r="U2657" t="s">
        <v>23</v>
      </c>
      <c r="V2657" t="e">
        <f>IF(#REF! = "yes", 1, 0)</f>
        <v>#REF!</v>
      </c>
      <c r="W2657" t="e">
        <f>IF(#REF! &lt;= 1, "0-1 Calls", IF(#REF! &lt;= 3, "2-3 Calls", IF(#REF! &lt;=5, "4-5 Calls", "6+ Calls")))</f>
        <v>#REF!</v>
      </c>
      <c r="X2657" t="e">
        <f>IF(#REF! &lt;= 50, "0-50", IF(#REF! &lt;=100, "51-100", IF(#REF! &lt;= 150, "101-150", "151+")))</f>
        <v>#REF!</v>
      </c>
      <c r="Y2657" t="e">
        <f>IF(#REF! &lt;= 3, "Low Charges", "High Charges")</f>
        <v>#REF!</v>
      </c>
      <c r="Z2657" t="e">
        <f>IF(#REF!&lt;=80,"Low Calls",
IF(#REF!&lt;=120,"Medium Calls","High Calls"))</f>
        <v>#REF!</v>
      </c>
      <c r="AA2657" t="e">
        <f>IF(#REF!&lt;=15,"Low Charges",
IF(#REF!&lt;=20,"Medium Charges","High Charges"))</f>
        <v>#REF!</v>
      </c>
      <c r="AB2657" t="e">
        <f>IF(AND(#REF!&gt;180, #REF!&gt;200), "Heavy Doemstic User", IF(#REF!&gt;10, "Interntional User", IF(AND(#REF!&lt;180, #REF!&lt;200,#REF!&lt;200), "Light User", "Balanced User")))</f>
        <v>#REF!</v>
      </c>
      <c r="AC2657" t="e">
        <f>IF(#REF! = 0, "No Usage", IF(#REF! &lt;= 20, "Low Usage", IF(#REF! &lt;= 40, "Medium Usgae", "High Usage")))</f>
        <v>#REF!</v>
      </c>
      <c r="AD2657" t="e">
        <f>IF(#REF!&lt;=150,"Low Usage", IF(#REF!&lt;=200,"Medium Usage", IF(#REF!&lt;=250,"High Usage","Very High Usage")))</f>
        <v>#REF!</v>
      </c>
      <c r="AE2657" t="e">
        <f>IF(#REF!&lt;=5,"Low Calls", IF(#REF!&lt;=10, "Medium Calls", "High Calls"))</f>
        <v>#REF!</v>
      </c>
      <c r="AF2657" t="e">
        <f xml:space="preserve">
IF(#REF!&gt;=4,4,0)+
IF(#REF!="yes",3,0)+
IF(#REF!="High Charges",3,0)+
IF(#REF!&gt;250,4,0)+
IF(#REF!="no",1,0)+
IF(#REF!="Heavy Domestic User",2,0)</f>
        <v>#REF!</v>
      </c>
      <c r="AG2657" t="e">
        <f>IF(#REF!&gt;=10,"High Risk", IF(#REF!&gt;=5,"Medium Risk","Low Risk"))</f>
        <v>#REF!</v>
      </c>
      <c r="AH2657" t="e">
        <f>#REF! + #REF! + #REF! + #REF!</f>
        <v>#REF!</v>
      </c>
    </row>
    <row r="2658" spans="1:34" x14ac:dyDescent="0.35">
      <c r="A2658">
        <v>2657</v>
      </c>
      <c r="B2658" t="s">
        <v>74</v>
      </c>
      <c r="C2658">
        <v>147</v>
      </c>
      <c r="D2658" t="s">
        <v>21</v>
      </c>
      <c r="E2658" t="s">
        <v>22</v>
      </c>
      <c r="F2658" t="s">
        <v>22</v>
      </c>
      <c r="G2658">
        <v>0</v>
      </c>
      <c r="H2658">
        <v>124.4</v>
      </c>
      <c r="I2658">
        <v>74</v>
      </c>
      <c r="J2658">
        <v>21.15</v>
      </c>
      <c r="K2658">
        <v>320.89999999999998</v>
      </c>
      <c r="L2658">
        <v>78</v>
      </c>
      <c r="M2658">
        <v>27.28</v>
      </c>
      <c r="N2658">
        <v>157.19999999999999</v>
      </c>
      <c r="O2658">
        <v>126</v>
      </c>
      <c r="P2658">
        <v>7.07</v>
      </c>
      <c r="Q2658">
        <v>10.4</v>
      </c>
      <c r="R2658">
        <v>4</v>
      </c>
      <c r="S2658">
        <v>2.81</v>
      </c>
      <c r="T2658">
        <v>2</v>
      </c>
      <c r="U2658" t="s">
        <v>22</v>
      </c>
      <c r="V2658" t="e">
        <f>IF(#REF! = "yes", 1, 0)</f>
        <v>#REF!</v>
      </c>
      <c r="W2658" t="e">
        <f>IF(#REF! &lt;= 1, "0-1 Calls", IF(#REF! &lt;= 3, "2-3 Calls", IF(#REF! &lt;=5, "4-5 Calls", "6+ Calls")))</f>
        <v>#REF!</v>
      </c>
      <c r="X2658" t="e">
        <f>IF(#REF! &lt;= 50, "0-50", IF(#REF! &lt;=100, "51-100", IF(#REF! &lt;= 150, "101-150", "151+")))</f>
        <v>#REF!</v>
      </c>
      <c r="Y2658" t="e">
        <f>IF(#REF! &lt;= 3, "Low Charges", "High Charges")</f>
        <v>#REF!</v>
      </c>
      <c r="Z2658" t="e">
        <f>IF(#REF!&lt;=80,"Low Calls",
IF(#REF!&lt;=120,"Medium Calls","High Calls"))</f>
        <v>#REF!</v>
      </c>
      <c r="AA2658" t="e">
        <f>IF(#REF!&lt;=15,"Low Charges",
IF(#REF!&lt;=20,"Medium Charges","High Charges"))</f>
        <v>#REF!</v>
      </c>
      <c r="AB2658" t="e">
        <f>IF(AND(#REF!&gt;180, #REF!&gt;200), "Heavy Doemstic User", IF(#REF!&gt;10, "Interntional User", IF(AND(#REF!&lt;180, #REF!&lt;200,#REF!&lt;200), "Light User", "Balanced User")))</f>
        <v>#REF!</v>
      </c>
      <c r="AC2658" t="e">
        <f>IF(#REF! = 0, "No Usage", IF(#REF! &lt;= 20, "Low Usage", IF(#REF! &lt;= 40, "Medium Usgae", "High Usage")))</f>
        <v>#REF!</v>
      </c>
      <c r="AD2658" t="e">
        <f>IF(#REF!&lt;=150,"Low Usage", IF(#REF!&lt;=200,"Medium Usage", IF(#REF!&lt;=250,"High Usage","Very High Usage")))</f>
        <v>#REF!</v>
      </c>
      <c r="AE2658" t="e">
        <f>IF(#REF!&lt;=5,"Low Calls", IF(#REF!&lt;=10, "Medium Calls", "High Calls"))</f>
        <v>#REF!</v>
      </c>
      <c r="AF2658" t="e">
        <f xml:space="preserve">
IF(#REF!&gt;=4,4,0)+
IF(#REF!="yes",3,0)+
IF(#REF!="High Charges",3,0)+
IF(#REF!&gt;250,4,0)+
IF(#REF!="no",1,0)+
IF(#REF!="Heavy Domestic User",2,0)</f>
        <v>#REF!</v>
      </c>
      <c r="AG2658" t="e">
        <f>IF(#REF!&gt;=10,"High Risk", IF(#REF!&gt;=5,"Medium Risk","Low Risk"))</f>
        <v>#REF!</v>
      </c>
      <c r="AH2658" t="e">
        <f>#REF! + #REF! + #REF! + #REF!</f>
        <v>#REF!</v>
      </c>
    </row>
    <row r="2659" spans="1:34" x14ac:dyDescent="0.35">
      <c r="A2659">
        <v>2658</v>
      </c>
      <c r="B2659" t="s">
        <v>29</v>
      </c>
      <c r="C2659">
        <v>107</v>
      </c>
      <c r="D2659" t="s">
        <v>21</v>
      </c>
      <c r="E2659" t="s">
        <v>22</v>
      </c>
      <c r="F2659" t="s">
        <v>22</v>
      </c>
      <c r="G2659">
        <v>0</v>
      </c>
      <c r="H2659">
        <v>146.9</v>
      </c>
      <c r="I2659">
        <v>94</v>
      </c>
      <c r="J2659">
        <v>24.97</v>
      </c>
      <c r="K2659">
        <v>114.3</v>
      </c>
      <c r="L2659">
        <v>111</v>
      </c>
      <c r="M2659">
        <v>9.7200000000000006</v>
      </c>
      <c r="N2659">
        <v>114.5</v>
      </c>
      <c r="O2659">
        <v>97</v>
      </c>
      <c r="P2659">
        <v>5.15</v>
      </c>
      <c r="Q2659">
        <v>11.4</v>
      </c>
      <c r="R2659">
        <v>5</v>
      </c>
      <c r="S2659">
        <v>3.08</v>
      </c>
      <c r="T2659">
        <v>3</v>
      </c>
      <c r="U2659" t="s">
        <v>22</v>
      </c>
      <c r="V2659" t="e">
        <f>IF(#REF! = "yes", 1, 0)</f>
        <v>#REF!</v>
      </c>
      <c r="W2659" t="e">
        <f>IF(#REF! &lt;= 1, "0-1 Calls", IF(#REF! &lt;= 3, "2-3 Calls", IF(#REF! &lt;=5, "4-5 Calls", "6+ Calls")))</f>
        <v>#REF!</v>
      </c>
      <c r="X2659" t="e">
        <f>IF(#REF! &lt;= 50, "0-50", IF(#REF! &lt;=100, "51-100", IF(#REF! &lt;= 150, "101-150", "151+")))</f>
        <v>#REF!</v>
      </c>
      <c r="Y2659" t="e">
        <f>IF(#REF! &lt;= 3, "Low Charges", "High Charges")</f>
        <v>#REF!</v>
      </c>
      <c r="Z2659" t="e">
        <f>IF(#REF!&lt;=80,"Low Calls",
IF(#REF!&lt;=120,"Medium Calls","High Calls"))</f>
        <v>#REF!</v>
      </c>
      <c r="AA2659" t="e">
        <f>IF(#REF!&lt;=15,"Low Charges",
IF(#REF!&lt;=20,"Medium Charges","High Charges"))</f>
        <v>#REF!</v>
      </c>
      <c r="AB2659" t="e">
        <f>IF(AND(#REF!&gt;180, #REF!&gt;200), "Heavy Doemstic User", IF(#REF!&gt;10, "Interntional User", IF(AND(#REF!&lt;180, #REF!&lt;200,#REF!&lt;200), "Light User", "Balanced User")))</f>
        <v>#REF!</v>
      </c>
      <c r="AC2659" t="e">
        <f>IF(#REF! = 0, "No Usage", IF(#REF! &lt;= 20, "Low Usage", IF(#REF! &lt;= 40, "Medium Usgae", "High Usage")))</f>
        <v>#REF!</v>
      </c>
      <c r="AD2659" t="e">
        <f>IF(#REF!&lt;=150,"Low Usage", IF(#REF!&lt;=200,"Medium Usage", IF(#REF!&lt;=250,"High Usage","Very High Usage")))</f>
        <v>#REF!</v>
      </c>
      <c r="AE2659" t="e">
        <f>IF(#REF!&lt;=5,"Low Calls", IF(#REF!&lt;=10, "Medium Calls", "High Calls"))</f>
        <v>#REF!</v>
      </c>
      <c r="AF2659" t="e">
        <f xml:space="preserve">
IF(#REF!&gt;=4,4,0)+
IF(#REF!="yes",3,0)+
IF(#REF!="High Charges",3,0)+
IF(#REF!&gt;250,4,0)+
IF(#REF!="no",1,0)+
IF(#REF!="Heavy Domestic User",2,0)</f>
        <v>#REF!</v>
      </c>
      <c r="AG2659" t="e">
        <f>IF(#REF!&gt;=10,"High Risk", IF(#REF!&gt;=5,"Medium Risk","Low Risk"))</f>
        <v>#REF!</v>
      </c>
      <c r="AH2659" t="e">
        <f>#REF! + #REF! + #REF! + #REF!</f>
        <v>#REF!</v>
      </c>
    </row>
    <row r="2660" spans="1:34" x14ac:dyDescent="0.35">
      <c r="A2660">
        <v>2659</v>
      </c>
      <c r="B2660" t="s">
        <v>31</v>
      </c>
      <c r="C2660">
        <v>120</v>
      </c>
      <c r="D2660" t="s">
        <v>28</v>
      </c>
      <c r="E2660" t="s">
        <v>22</v>
      </c>
      <c r="F2660" t="s">
        <v>22</v>
      </c>
      <c r="G2660">
        <v>0</v>
      </c>
      <c r="H2660">
        <v>192.6</v>
      </c>
      <c r="I2660">
        <v>123</v>
      </c>
      <c r="J2660">
        <v>32.74</v>
      </c>
      <c r="K2660">
        <v>206.4</v>
      </c>
      <c r="L2660">
        <v>105</v>
      </c>
      <c r="M2660">
        <v>17.54</v>
      </c>
      <c r="N2660">
        <v>283.2</v>
      </c>
      <c r="O2660">
        <v>93</v>
      </c>
      <c r="P2660">
        <v>12.74</v>
      </c>
      <c r="Q2660">
        <v>10.8</v>
      </c>
      <c r="R2660">
        <v>3</v>
      </c>
      <c r="S2660">
        <v>2.92</v>
      </c>
      <c r="T2660">
        <v>1</v>
      </c>
      <c r="U2660" t="s">
        <v>22</v>
      </c>
      <c r="V2660" t="e">
        <f>IF(#REF! = "yes", 1, 0)</f>
        <v>#REF!</v>
      </c>
      <c r="W2660" t="e">
        <f>IF(#REF! &lt;= 1, "0-1 Calls", IF(#REF! &lt;= 3, "2-3 Calls", IF(#REF! &lt;=5, "4-5 Calls", "6+ Calls")))</f>
        <v>#REF!</v>
      </c>
      <c r="X2660" t="e">
        <f>IF(#REF! &lt;= 50, "0-50", IF(#REF! &lt;=100, "51-100", IF(#REF! &lt;= 150, "101-150", "151+")))</f>
        <v>#REF!</v>
      </c>
      <c r="Y2660" t="e">
        <f>IF(#REF! &lt;= 3, "Low Charges", "High Charges")</f>
        <v>#REF!</v>
      </c>
      <c r="Z2660" t="e">
        <f>IF(#REF!&lt;=80,"Low Calls",
IF(#REF!&lt;=120,"Medium Calls","High Calls"))</f>
        <v>#REF!</v>
      </c>
      <c r="AA2660" t="e">
        <f>IF(#REF!&lt;=15,"Low Charges",
IF(#REF!&lt;=20,"Medium Charges","High Charges"))</f>
        <v>#REF!</v>
      </c>
      <c r="AB2660" t="e">
        <f>IF(AND(#REF!&gt;180, #REF!&gt;200), "Heavy Doemstic User", IF(#REF!&gt;10, "Interntional User", IF(AND(#REF!&lt;180, #REF!&lt;200,#REF!&lt;200), "Light User", "Balanced User")))</f>
        <v>#REF!</v>
      </c>
      <c r="AC2660" t="e">
        <f>IF(#REF! = 0, "No Usage", IF(#REF! &lt;= 20, "Low Usage", IF(#REF! &lt;= 40, "Medium Usgae", "High Usage")))</f>
        <v>#REF!</v>
      </c>
      <c r="AD2660" t="e">
        <f>IF(#REF!&lt;=150,"Low Usage", IF(#REF!&lt;=200,"Medium Usage", IF(#REF!&lt;=250,"High Usage","Very High Usage")))</f>
        <v>#REF!</v>
      </c>
      <c r="AE2660" t="e">
        <f>IF(#REF!&lt;=5,"Low Calls", IF(#REF!&lt;=10, "Medium Calls", "High Calls"))</f>
        <v>#REF!</v>
      </c>
      <c r="AF2660" t="e">
        <f xml:space="preserve">
IF(#REF!&gt;=4,4,0)+
IF(#REF!="yes",3,0)+
IF(#REF!="High Charges",3,0)+
IF(#REF!&gt;250,4,0)+
IF(#REF!="no",1,0)+
IF(#REF!="Heavy Domestic User",2,0)</f>
        <v>#REF!</v>
      </c>
      <c r="AG2660" t="e">
        <f>IF(#REF!&gt;=10,"High Risk", IF(#REF!&gt;=5,"Medium Risk","Low Risk"))</f>
        <v>#REF!</v>
      </c>
      <c r="AH2660" t="e">
        <f>#REF! + #REF! + #REF! + #REF!</f>
        <v>#REF!</v>
      </c>
    </row>
    <row r="2661" spans="1:34" x14ac:dyDescent="0.35">
      <c r="A2661">
        <v>2660</v>
      </c>
      <c r="B2661" t="s">
        <v>24</v>
      </c>
      <c r="C2661">
        <v>107</v>
      </c>
      <c r="D2661" t="s">
        <v>25</v>
      </c>
      <c r="E2661" t="s">
        <v>22</v>
      </c>
      <c r="F2661" t="s">
        <v>23</v>
      </c>
      <c r="G2661">
        <v>36</v>
      </c>
      <c r="H2661">
        <v>96.3</v>
      </c>
      <c r="I2661">
        <v>83</v>
      </c>
      <c r="J2661">
        <v>16.37</v>
      </c>
      <c r="K2661">
        <v>179.6</v>
      </c>
      <c r="L2661">
        <v>91</v>
      </c>
      <c r="M2661">
        <v>15.27</v>
      </c>
      <c r="N2661">
        <v>166.3</v>
      </c>
      <c r="O2661">
        <v>121</v>
      </c>
      <c r="P2661">
        <v>7.48</v>
      </c>
      <c r="Q2661">
        <v>10.3</v>
      </c>
      <c r="R2661">
        <v>2</v>
      </c>
      <c r="S2661">
        <v>2.78</v>
      </c>
      <c r="T2661">
        <v>1</v>
      </c>
      <c r="U2661" t="s">
        <v>22</v>
      </c>
      <c r="V2661" t="e">
        <f>IF(#REF! = "yes", 1, 0)</f>
        <v>#REF!</v>
      </c>
      <c r="W2661" t="e">
        <f>IF(#REF! &lt;= 1, "0-1 Calls", IF(#REF! &lt;= 3, "2-3 Calls", IF(#REF! &lt;=5, "4-5 Calls", "6+ Calls")))</f>
        <v>#REF!</v>
      </c>
      <c r="X2661" t="e">
        <f>IF(#REF! &lt;= 50, "0-50", IF(#REF! &lt;=100, "51-100", IF(#REF! &lt;= 150, "101-150", "151+")))</f>
        <v>#REF!</v>
      </c>
      <c r="Y2661" t="e">
        <f>IF(#REF! &lt;= 3, "Low Charges", "High Charges")</f>
        <v>#REF!</v>
      </c>
      <c r="Z2661" t="e">
        <f>IF(#REF!&lt;=80,"Low Calls",
IF(#REF!&lt;=120,"Medium Calls","High Calls"))</f>
        <v>#REF!</v>
      </c>
      <c r="AA2661" t="e">
        <f>IF(#REF!&lt;=15,"Low Charges",
IF(#REF!&lt;=20,"Medium Charges","High Charges"))</f>
        <v>#REF!</v>
      </c>
      <c r="AB2661" t="e">
        <f>IF(AND(#REF!&gt;180, #REF!&gt;200), "Heavy Doemstic User", IF(#REF!&gt;10, "Interntional User", IF(AND(#REF!&lt;180, #REF!&lt;200,#REF!&lt;200), "Light User", "Balanced User")))</f>
        <v>#REF!</v>
      </c>
      <c r="AC2661" t="e">
        <f>IF(#REF! = 0, "No Usage", IF(#REF! &lt;= 20, "Low Usage", IF(#REF! &lt;= 40, "Medium Usgae", "High Usage")))</f>
        <v>#REF!</v>
      </c>
      <c r="AD2661" t="e">
        <f>IF(#REF!&lt;=150,"Low Usage", IF(#REF!&lt;=200,"Medium Usage", IF(#REF!&lt;=250,"High Usage","Very High Usage")))</f>
        <v>#REF!</v>
      </c>
      <c r="AE2661" t="e">
        <f>IF(#REF!&lt;=5,"Low Calls", IF(#REF!&lt;=10, "Medium Calls", "High Calls"))</f>
        <v>#REF!</v>
      </c>
      <c r="AF2661" t="e">
        <f xml:space="preserve">
IF(#REF!&gt;=4,4,0)+
IF(#REF!="yes",3,0)+
IF(#REF!="High Charges",3,0)+
IF(#REF!&gt;250,4,0)+
IF(#REF!="no",1,0)+
IF(#REF!="Heavy Domestic User",2,0)</f>
        <v>#REF!</v>
      </c>
      <c r="AG2661" t="e">
        <f>IF(#REF!&gt;=10,"High Risk", IF(#REF!&gt;=5,"Medium Risk","Low Risk"))</f>
        <v>#REF!</v>
      </c>
      <c r="AH2661" t="e">
        <f>#REF! + #REF! + #REF! + #REF!</f>
        <v>#REF!</v>
      </c>
    </row>
    <row r="2662" spans="1:34" x14ac:dyDescent="0.35">
      <c r="A2662">
        <v>2661</v>
      </c>
      <c r="B2662" t="s">
        <v>47</v>
      </c>
      <c r="C2662">
        <v>58</v>
      </c>
      <c r="D2662" t="s">
        <v>28</v>
      </c>
      <c r="E2662" t="s">
        <v>22</v>
      </c>
      <c r="F2662" t="s">
        <v>22</v>
      </c>
      <c r="G2662">
        <v>0</v>
      </c>
      <c r="H2662">
        <v>131.9</v>
      </c>
      <c r="I2662">
        <v>96</v>
      </c>
      <c r="J2662">
        <v>22.42</v>
      </c>
      <c r="K2662">
        <v>167.6</v>
      </c>
      <c r="L2662">
        <v>107</v>
      </c>
      <c r="M2662">
        <v>14.25</v>
      </c>
      <c r="N2662">
        <v>205.9</v>
      </c>
      <c r="O2662">
        <v>106</v>
      </c>
      <c r="P2662">
        <v>9.27</v>
      </c>
      <c r="Q2662">
        <v>14.7</v>
      </c>
      <c r="R2662">
        <v>5</v>
      </c>
      <c r="S2662">
        <v>3.97</v>
      </c>
      <c r="T2662">
        <v>3</v>
      </c>
      <c r="U2662" t="s">
        <v>22</v>
      </c>
      <c r="V2662" t="e">
        <f>IF(#REF! = "yes", 1, 0)</f>
        <v>#REF!</v>
      </c>
      <c r="W2662" t="e">
        <f>IF(#REF! &lt;= 1, "0-1 Calls", IF(#REF! &lt;= 3, "2-3 Calls", IF(#REF! &lt;=5, "4-5 Calls", "6+ Calls")))</f>
        <v>#REF!</v>
      </c>
      <c r="X2662" t="e">
        <f>IF(#REF! &lt;= 50, "0-50", IF(#REF! &lt;=100, "51-100", IF(#REF! &lt;= 150, "101-150", "151+")))</f>
        <v>#REF!</v>
      </c>
      <c r="Y2662" t="e">
        <f>IF(#REF! &lt;= 3, "Low Charges", "High Charges")</f>
        <v>#REF!</v>
      </c>
      <c r="Z2662" t="e">
        <f>IF(#REF!&lt;=80,"Low Calls",
IF(#REF!&lt;=120,"Medium Calls","High Calls"))</f>
        <v>#REF!</v>
      </c>
      <c r="AA2662" t="e">
        <f>IF(#REF!&lt;=15,"Low Charges",
IF(#REF!&lt;=20,"Medium Charges","High Charges"))</f>
        <v>#REF!</v>
      </c>
      <c r="AB2662" t="e">
        <f>IF(AND(#REF!&gt;180, #REF!&gt;200), "Heavy Doemstic User", IF(#REF!&gt;10, "Interntional User", IF(AND(#REF!&lt;180, #REF!&lt;200,#REF!&lt;200), "Light User", "Balanced User")))</f>
        <v>#REF!</v>
      </c>
      <c r="AC2662" t="e">
        <f>IF(#REF! = 0, "No Usage", IF(#REF! &lt;= 20, "Low Usage", IF(#REF! &lt;= 40, "Medium Usgae", "High Usage")))</f>
        <v>#REF!</v>
      </c>
      <c r="AD2662" t="e">
        <f>IF(#REF!&lt;=150,"Low Usage", IF(#REF!&lt;=200,"Medium Usage", IF(#REF!&lt;=250,"High Usage","Very High Usage")))</f>
        <v>#REF!</v>
      </c>
      <c r="AE2662" t="e">
        <f>IF(#REF!&lt;=5,"Low Calls", IF(#REF!&lt;=10, "Medium Calls", "High Calls"))</f>
        <v>#REF!</v>
      </c>
      <c r="AF2662" t="e">
        <f xml:space="preserve">
IF(#REF!&gt;=4,4,0)+
IF(#REF!="yes",3,0)+
IF(#REF!="High Charges",3,0)+
IF(#REF!&gt;250,4,0)+
IF(#REF!="no",1,0)+
IF(#REF!="Heavy Domestic User",2,0)</f>
        <v>#REF!</v>
      </c>
      <c r="AG2662" t="e">
        <f>IF(#REF!&gt;=10,"High Risk", IF(#REF!&gt;=5,"Medium Risk","Low Risk"))</f>
        <v>#REF!</v>
      </c>
      <c r="AH2662" t="e">
        <f>#REF! + #REF! + #REF! + #REF!</f>
        <v>#REF!</v>
      </c>
    </row>
    <row r="2663" spans="1:34" x14ac:dyDescent="0.35">
      <c r="A2663">
        <v>2662</v>
      </c>
      <c r="B2663" t="s">
        <v>30</v>
      </c>
      <c r="C2663">
        <v>91</v>
      </c>
      <c r="D2663" t="s">
        <v>25</v>
      </c>
      <c r="E2663" t="s">
        <v>22</v>
      </c>
      <c r="F2663" t="s">
        <v>22</v>
      </c>
      <c r="G2663">
        <v>0</v>
      </c>
      <c r="H2663">
        <v>147.19999999999999</v>
      </c>
      <c r="I2663">
        <v>121</v>
      </c>
      <c r="J2663">
        <v>25.02</v>
      </c>
      <c r="K2663">
        <v>175.2</v>
      </c>
      <c r="L2663">
        <v>87</v>
      </c>
      <c r="M2663">
        <v>14.89</v>
      </c>
      <c r="N2663">
        <v>136.30000000000001</v>
      </c>
      <c r="O2663">
        <v>80</v>
      </c>
      <c r="P2663">
        <v>6.13</v>
      </c>
      <c r="Q2663">
        <v>13.3</v>
      </c>
      <c r="R2663">
        <v>3</v>
      </c>
      <c r="S2663">
        <v>3.59</v>
      </c>
      <c r="T2663">
        <v>2</v>
      </c>
      <c r="U2663" t="s">
        <v>22</v>
      </c>
      <c r="V2663" t="e">
        <f>IF(#REF! = "yes", 1, 0)</f>
        <v>#REF!</v>
      </c>
      <c r="W2663" t="e">
        <f>IF(#REF! &lt;= 1, "0-1 Calls", IF(#REF! &lt;= 3, "2-3 Calls", IF(#REF! &lt;=5, "4-5 Calls", "6+ Calls")))</f>
        <v>#REF!</v>
      </c>
      <c r="X2663" t="e">
        <f>IF(#REF! &lt;= 50, "0-50", IF(#REF! &lt;=100, "51-100", IF(#REF! &lt;= 150, "101-150", "151+")))</f>
        <v>#REF!</v>
      </c>
      <c r="Y2663" t="e">
        <f>IF(#REF! &lt;= 3, "Low Charges", "High Charges")</f>
        <v>#REF!</v>
      </c>
      <c r="Z2663" t="e">
        <f>IF(#REF!&lt;=80,"Low Calls",
IF(#REF!&lt;=120,"Medium Calls","High Calls"))</f>
        <v>#REF!</v>
      </c>
      <c r="AA2663" t="e">
        <f>IF(#REF!&lt;=15,"Low Charges",
IF(#REF!&lt;=20,"Medium Charges","High Charges"))</f>
        <v>#REF!</v>
      </c>
      <c r="AB2663" t="e">
        <f>IF(AND(#REF!&gt;180, #REF!&gt;200), "Heavy Doemstic User", IF(#REF!&gt;10, "Interntional User", IF(AND(#REF!&lt;180, #REF!&lt;200,#REF!&lt;200), "Light User", "Balanced User")))</f>
        <v>#REF!</v>
      </c>
      <c r="AC2663" t="e">
        <f>IF(#REF! = 0, "No Usage", IF(#REF! &lt;= 20, "Low Usage", IF(#REF! &lt;= 40, "Medium Usgae", "High Usage")))</f>
        <v>#REF!</v>
      </c>
      <c r="AD2663" t="e">
        <f>IF(#REF!&lt;=150,"Low Usage", IF(#REF!&lt;=200,"Medium Usage", IF(#REF!&lt;=250,"High Usage","Very High Usage")))</f>
        <v>#REF!</v>
      </c>
      <c r="AE2663" t="e">
        <f>IF(#REF!&lt;=5,"Low Calls", IF(#REF!&lt;=10, "Medium Calls", "High Calls"))</f>
        <v>#REF!</v>
      </c>
      <c r="AF2663" t="e">
        <f xml:space="preserve">
IF(#REF!&gt;=4,4,0)+
IF(#REF!="yes",3,0)+
IF(#REF!="High Charges",3,0)+
IF(#REF!&gt;250,4,0)+
IF(#REF!="no",1,0)+
IF(#REF!="Heavy Domestic User",2,0)</f>
        <v>#REF!</v>
      </c>
      <c r="AG2663" t="e">
        <f>IF(#REF!&gt;=10,"High Risk", IF(#REF!&gt;=5,"Medium Risk","Low Risk"))</f>
        <v>#REF!</v>
      </c>
      <c r="AH2663" t="e">
        <f>#REF! + #REF! + #REF! + #REF!</f>
        <v>#REF!</v>
      </c>
    </row>
    <row r="2664" spans="1:34" x14ac:dyDescent="0.35">
      <c r="A2664">
        <v>2663</v>
      </c>
      <c r="B2664" t="s">
        <v>68</v>
      </c>
      <c r="C2664">
        <v>13</v>
      </c>
      <c r="D2664" t="s">
        <v>21</v>
      </c>
      <c r="E2664" t="s">
        <v>22</v>
      </c>
      <c r="F2664" t="s">
        <v>22</v>
      </c>
      <c r="G2664">
        <v>0</v>
      </c>
      <c r="H2664">
        <v>143.1</v>
      </c>
      <c r="I2664">
        <v>139</v>
      </c>
      <c r="J2664">
        <v>24.33</v>
      </c>
      <c r="K2664">
        <v>239.6</v>
      </c>
      <c r="L2664">
        <v>88</v>
      </c>
      <c r="M2664">
        <v>20.37</v>
      </c>
      <c r="N2664">
        <v>221.7</v>
      </c>
      <c r="O2664">
        <v>123</v>
      </c>
      <c r="P2664">
        <v>9.98</v>
      </c>
      <c r="Q2664">
        <v>7.1</v>
      </c>
      <c r="R2664">
        <v>5</v>
      </c>
      <c r="S2664">
        <v>1.92</v>
      </c>
      <c r="T2664">
        <v>2</v>
      </c>
      <c r="U2664" t="s">
        <v>22</v>
      </c>
      <c r="V2664" t="e">
        <f>IF(#REF! = "yes", 1, 0)</f>
        <v>#REF!</v>
      </c>
      <c r="W2664" t="e">
        <f>IF(#REF! &lt;= 1, "0-1 Calls", IF(#REF! &lt;= 3, "2-3 Calls", IF(#REF! &lt;=5, "4-5 Calls", "6+ Calls")))</f>
        <v>#REF!</v>
      </c>
      <c r="X2664" t="e">
        <f>IF(#REF! &lt;= 50, "0-50", IF(#REF! &lt;=100, "51-100", IF(#REF! &lt;= 150, "101-150", "151+")))</f>
        <v>#REF!</v>
      </c>
      <c r="Y2664" t="e">
        <f>IF(#REF! &lt;= 3, "Low Charges", "High Charges")</f>
        <v>#REF!</v>
      </c>
      <c r="Z2664" t="e">
        <f>IF(#REF!&lt;=80,"Low Calls",
IF(#REF!&lt;=120,"Medium Calls","High Calls"))</f>
        <v>#REF!</v>
      </c>
      <c r="AA2664" t="e">
        <f>IF(#REF!&lt;=15,"Low Charges",
IF(#REF!&lt;=20,"Medium Charges","High Charges"))</f>
        <v>#REF!</v>
      </c>
      <c r="AB2664" t="e">
        <f>IF(AND(#REF!&gt;180, #REF!&gt;200), "Heavy Doemstic User", IF(#REF!&gt;10, "Interntional User", IF(AND(#REF!&lt;180, #REF!&lt;200,#REF!&lt;200), "Light User", "Balanced User")))</f>
        <v>#REF!</v>
      </c>
      <c r="AC2664" t="e">
        <f>IF(#REF! = 0, "No Usage", IF(#REF! &lt;= 20, "Low Usage", IF(#REF! &lt;= 40, "Medium Usgae", "High Usage")))</f>
        <v>#REF!</v>
      </c>
      <c r="AD2664" t="e">
        <f>IF(#REF!&lt;=150,"Low Usage", IF(#REF!&lt;=200,"Medium Usage", IF(#REF!&lt;=250,"High Usage","Very High Usage")))</f>
        <v>#REF!</v>
      </c>
      <c r="AE2664" t="e">
        <f>IF(#REF!&lt;=5,"Low Calls", IF(#REF!&lt;=10, "Medium Calls", "High Calls"))</f>
        <v>#REF!</v>
      </c>
      <c r="AF2664" t="e">
        <f xml:space="preserve">
IF(#REF!&gt;=4,4,0)+
IF(#REF!="yes",3,0)+
IF(#REF!="High Charges",3,0)+
IF(#REF!&gt;250,4,0)+
IF(#REF!="no",1,0)+
IF(#REF!="Heavy Domestic User",2,0)</f>
        <v>#REF!</v>
      </c>
      <c r="AG2664" t="e">
        <f>IF(#REF!&gt;=10,"High Risk", IF(#REF!&gt;=5,"Medium Risk","Low Risk"))</f>
        <v>#REF!</v>
      </c>
      <c r="AH2664" t="e">
        <f>#REF! + #REF! + #REF! + #REF!</f>
        <v>#REF!</v>
      </c>
    </row>
    <row r="2665" spans="1:34" x14ac:dyDescent="0.35">
      <c r="A2665">
        <v>2664</v>
      </c>
      <c r="B2665" t="s">
        <v>32</v>
      </c>
      <c r="C2665">
        <v>104</v>
      </c>
      <c r="D2665" t="s">
        <v>25</v>
      </c>
      <c r="E2665" t="s">
        <v>22</v>
      </c>
      <c r="F2665" t="s">
        <v>22</v>
      </c>
      <c r="G2665">
        <v>0</v>
      </c>
      <c r="H2665">
        <v>280.39999999999998</v>
      </c>
      <c r="I2665">
        <v>127</v>
      </c>
      <c r="J2665">
        <v>47.67</v>
      </c>
      <c r="K2665">
        <v>179.4</v>
      </c>
      <c r="L2665">
        <v>79</v>
      </c>
      <c r="M2665">
        <v>15.25</v>
      </c>
      <c r="N2665">
        <v>150.6</v>
      </c>
      <c r="O2665">
        <v>77</v>
      </c>
      <c r="P2665">
        <v>6.78</v>
      </c>
      <c r="Q2665">
        <v>15.2</v>
      </c>
      <c r="R2665">
        <v>6</v>
      </c>
      <c r="S2665">
        <v>4.0999999999999996</v>
      </c>
      <c r="T2665">
        <v>5</v>
      </c>
      <c r="U2665" t="s">
        <v>22</v>
      </c>
      <c r="V2665" t="e">
        <f>IF(#REF! = "yes", 1, 0)</f>
        <v>#REF!</v>
      </c>
      <c r="W2665" t="e">
        <f>IF(#REF! &lt;= 1, "0-1 Calls", IF(#REF! &lt;= 3, "2-3 Calls", IF(#REF! &lt;=5, "4-5 Calls", "6+ Calls")))</f>
        <v>#REF!</v>
      </c>
      <c r="X2665" t="e">
        <f>IF(#REF! &lt;= 50, "0-50", IF(#REF! &lt;=100, "51-100", IF(#REF! &lt;= 150, "101-150", "151+")))</f>
        <v>#REF!</v>
      </c>
      <c r="Y2665" t="e">
        <f>IF(#REF! &lt;= 3, "Low Charges", "High Charges")</f>
        <v>#REF!</v>
      </c>
      <c r="Z2665" t="e">
        <f>IF(#REF!&lt;=80,"Low Calls",
IF(#REF!&lt;=120,"Medium Calls","High Calls"))</f>
        <v>#REF!</v>
      </c>
      <c r="AA2665" t="e">
        <f>IF(#REF!&lt;=15,"Low Charges",
IF(#REF!&lt;=20,"Medium Charges","High Charges"))</f>
        <v>#REF!</v>
      </c>
      <c r="AB2665" t="e">
        <f>IF(AND(#REF!&gt;180, #REF!&gt;200), "Heavy Doemstic User", IF(#REF!&gt;10, "Interntional User", IF(AND(#REF!&lt;180, #REF!&lt;200,#REF!&lt;200), "Light User", "Balanced User")))</f>
        <v>#REF!</v>
      </c>
      <c r="AC2665" t="e">
        <f>IF(#REF! = 0, "No Usage", IF(#REF! &lt;= 20, "Low Usage", IF(#REF! &lt;= 40, "Medium Usgae", "High Usage")))</f>
        <v>#REF!</v>
      </c>
      <c r="AD2665" t="e">
        <f>IF(#REF!&lt;=150,"Low Usage", IF(#REF!&lt;=200,"Medium Usage", IF(#REF!&lt;=250,"High Usage","Very High Usage")))</f>
        <v>#REF!</v>
      </c>
      <c r="AE2665" t="e">
        <f>IF(#REF!&lt;=5,"Low Calls", IF(#REF!&lt;=10, "Medium Calls", "High Calls"))</f>
        <v>#REF!</v>
      </c>
      <c r="AF2665" t="e">
        <f xml:space="preserve">
IF(#REF!&gt;=4,4,0)+
IF(#REF!="yes",3,0)+
IF(#REF!="High Charges",3,0)+
IF(#REF!&gt;250,4,0)+
IF(#REF!="no",1,0)+
IF(#REF!="Heavy Domestic User",2,0)</f>
        <v>#REF!</v>
      </c>
      <c r="AG2665" t="e">
        <f>IF(#REF!&gt;=10,"High Risk", IF(#REF!&gt;=5,"Medium Risk","Low Risk"))</f>
        <v>#REF!</v>
      </c>
      <c r="AH2665" t="e">
        <f>#REF! + #REF! + #REF! + #REF!</f>
        <v>#REF!</v>
      </c>
    </row>
    <row r="2666" spans="1:34" x14ac:dyDescent="0.35">
      <c r="A2666">
        <v>2665</v>
      </c>
      <c r="B2666" t="s">
        <v>27</v>
      </c>
      <c r="C2666">
        <v>93</v>
      </c>
      <c r="D2666" t="s">
        <v>21</v>
      </c>
      <c r="E2666" t="s">
        <v>22</v>
      </c>
      <c r="F2666" t="s">
        <v>23</v>
      </c>
      <c r="G2666">
        <v>31</v>
      </c>
      <c r="H2666">
        <v>237.2</v>
      </c>
      <c r="I2666">
        <v>85</v>
      </c>
      <c r="J2666">
        <v>40.32</v>
      </c>
      <c r="K2666">
        <v>213.1</v>
      </c>
      <c r="L2666">
        <v>100</v>
      </c>
      <c r="M2666">
        <v>18.11</v>
      </c>
      <c r="N2666">
        <v>192.7</v>
      </c>
      <c r="O2666">
        <v>87</v>
      </c>
      <c r="P2666">
        <v>8.67</v>
      </c>
      <c r="Q2666">
        <v>10.7</v>
      </c>
      <c r="R2666">
        <v>4</v>
      </c>
      <c r="S2666">
        <v>2.89</v>
      </c>
      <c r="T2666">
        <v>1</v>
      </c>
      <c r="U2666" t="s">
        <v>22</v>
      </c>
      <c r="V2666" t="e">
        <f>IF(#REF! = "yes", 1, 0)</f>
        <v>#REF!</v>
      </c>
      <c r="W2666" t="e">
        <f>IF(#REF! &lt;= 1, "0-1 Calls", IF(#REF! &lt;= 3, "2-3 Calls", IF(#REF! &lt;=5, "4-5 Calls", "6+ Calls")))</f>
        <v>#REF!</v>
      </c>
      <c r="X2666" t="e">
        <f>IF(#REF! &lt;= 50, "0-50", IF(#REF! &lt;=100, "51-100", IF(#REF! &lt;= 150, "101-150", "151+")))</f>
        <v>#REF!</v>
      </c>
      <c r="Y2666" t="e">
        <f>IF(#REF! &lt;= 3, "Low Charges", "High Charges")</f>
        <v>#REF!</v>
      </c>
      <c r="Z2666" t="e">
        <f>IF(#REF!&lt;=80,"Low Calls",
IF(#REF!&lt;=120,"Medium Calls","High Calls"))</f>
        <v>#REF!</v>
      </c>
      <c r="AA2666" t="e">
        <f>IF(#REF!&lt;=15,"Low Charges",
IF(#REF!&lt;=20,"Medium Charges","High Charges"))</f>
        <v>#REF!</v>
      </c>
      <c r="AB2666" t="e">
        <f>IF(AND(#REF!&gt;180, #REF!&gt;200), "Heavy Doemstic User", IF(#REF!&gt;10, "Interntional User", IF(AND(#REF!&lt;180, #REF!&lt;200,#REF!&lt;200), "Light User", "Balanced User")))</f>
        <v>#REF!</v>
      </c>
      <c r="AC2666" t="e">
        <f>IF(#REF! = 0, "No Usage", IF(#REF! &lt;= 20, "Low Usage", IF(#REF! &lt;= 40, "Medium Usgae", "High Usage")))</f>
        <v>#REF!</v>
      </c>
      <c r="AD2666" t="e">
        <f>IF(#REF!&lt;=150,"Low Usage", IF(#REF!&lt;=200,"Medium Usage", IF(#REF!&lt;=250,"High Usage","Very High Usage")))</f>
        <v>#REF!</v>
      </c>
      <c r="AE2666" t="e">
        <f>IF(#REF!&lt;=5,"Low Calls", IF(#REF!&lt;=10, "Medium Calls", "High Calls"))</f>
        <v>#REF!</v>
      </c>
      <c r="AF2666" t="e">
        <f xml:space="preserve">
IF(#REF!&gt;=4,4,0)+
IF(#REF!="yes",3,0)+
IF(#REF!="High Charges",3,0)+
IF(#REF!&gt;250,4,0)+
IF(#REF!="no",1,0)+
IF(#REF!="Heavy Domestic User",2,0)</f>
        <v>#REF!</v>
      </c>
      <c r="AG2666" t="e">
        <f>IF(#REF!&gt;=10,"High Risk", IF(#REF!&gt;=5,"Medium Risk","Low Risk"))</f>
        <v>#REF!</v>
      </c>
      <c r="AH2666" t="e">
        <f>#REF! + #REF! + #REF! + #REF!</f>
        <v>#REF!</v>
      </c>
    </row>
    <row r="2667" spans="1:34" x14ac:dyDescent="0.35">
      <c r="A2667">
        <v>2666</v>
      </c>
      <c r="B2667" t="s">
        <v>54</v>
      </c>
      <c r="C2667">
        <v>95</v>
      </c>
      <c r="D2667" t="s">
        <v>28</v>
      </c>
      <c r="E2667" t="s">
        <v>22</v>
      </c>
      <c r="F2667" t="s">
        <v>22</v>
      </c>
      <c r="G2667">
        <v>0</v>
      </c>
      <c r="H2667">
        <v>184.2</v>
      </c>
      <c r="I2667">
        <v>95</v>
      </c>
      <c r="J2667">
        <v>31.31</v>
      </c>
      <c r="K2667">
        <v>181.6</v>
      </c>
      <c r="L2667">
        <v>101</v>
      </c>
      <c r="M2667">
        <v>15.44</v>
      </c>
      <c r="N2667">
        <v>143.4</v>
      </c>
      <c r="O2667">
        <v>113</v>
      </c>
      <c r="P2667">
        <v>6.45</v>
      </c>
      <c r="Q2667">
        <v>12.8</v>
      </c>
      <c r="R2667">
        <v>4</v>
      </c>
      <c r="S2667">
        <v>3.46</v>
      </c>
      <c r="T2667">
        <v>2</v>
      </c>
      <c r="U2667" t="s">
        <v>22</v>
      </c>
      <c r="V2667" t="e">
        <f>IF(#REF! = "yes", 1, 0)</f>
        <v>#REF!</v>
      </c>
      <c r="W2667" t="e">
        <f>IF(#REF! &lt;= 1, "0-1 Calls", IF(#REF! &lt;= 3, "2-3 Calls", IF(#REF! &lt;=5, "4-5 Calls", "6+ Calls")))</f>
        <v>#REF!</v>
      </c>
      <c r="X2667" t="e">
        <f>IF(#REF! &lt;= 50, "0-50", IF(#REF! &lt;=100, "51-100", IF(#REF! &lt;= 150, "101-150", "151+")))</f>
        <v>#REF!</v>
      </c>
      <c r="Y2667" t="e">
        <f>IF(#REF! &lt;= 3, "Low Charges", "High Charges")</f>
        <v>#REF!</v>
      </c>
      <c r="Z2667" t="e">
        <f>IF(#REF!&lt;=80,"Low Calls",
IF(#REF!&lt;=120,"Medium Calls","High Calls"))</f>
        <v>#REF!</v>
      </c>
      <c r="AA2667" t="e">
        <f>IF(#REF!&lt;=15,"Low Charges",
IF(#REF!&lt;=20,"Medium Charges","High Charges"))</f>
        <v>#REF!</v>
      </c>
      <c r="AB2667" t="e">
        <f>IF(AND(#REF!&gt;180, #REF!&gt;200), "Heavy Doemstic User", IF(#REF!&gt;10, "Interntional User", IF(AND(#REF!&lt;180, #REF!&lt;200,#REF!&lt;200), "Light User", "Balanced User")))</f>
        <v>#REF!</v>
      </c>
      <c r="AC2667" t="e">
        <f>IF(#REF! = 0, "No Usage", IF(#REF! &lt;= 20, "Low Usage", IF(#REF! &lt;= 40, "Medium Usgae", "High Usage")))</f>
        <v>#REF!</v>
      </c>
      <c r="AD2667" t="e">
        <f>IF(#REF!&lt;=150,"Low Usage", IF(#REF!&lt;=200,"Medium Usage", IF(#REF!&lt;=250,"High Usage","Very High Usage")))</f>
        <v>#REF!</v>
      </c>
      <c r="AE2667" t="e">
        <f>IF(#REF!&lt;=5,"Low Calls", IF(#REF!&lt;=10, "Medium Calls", "High Calls"))</f>
        <v>#REF!</v>
      </c>
      <c r="AF2667" t="e">
        <f xml:space="preserve">
IF(#REF!&gt;=4,4,0)+
IF(#REF!="yes",3,0)+
IF(#REF!="High Charges",3,0)+
IF(#REF!&gt;250,4,0)+
IF(#REF!="no",1,0)+
IF(#REF!="Heavy Domestic User",2,0)</f>
        <v>#REF!</v>
      </c>
      <c r="AG2667" t="e">
        <f>IF(#REF!&gt;=10,"High Risk", IF(#REF!&gt;=5,"Medium Risk","Low Risk"))</f>
        <v>#REF!</v>
      </c>
      <c r="AH2667" t="e">
        <f>#REF! + #REF! + #REF! + #REF!</f>
        <v>#REF!</v>
      </c>
    </row>
    <row r="2668" spans="1:34" x14ac:dyDescent="0.35">
      <c r="A2668">
        <v>2667</v>
      </c>
      <c r="B2668" t="s">
        <v>43</v>
      </c>
      <c r="C2668">
        <v>104</v>
      </c>
      <c r="D2668" t="s">
        <v>21</v>
      </c>
      <c r="E2668" t="s">
        <v>22</v>
      </c>
      <c r="F2668" t="s">
        <v>22</v>
      </c>
      <c r="G2668">
        <v>0</v>
      </c>
      <c r="H2668">
        <v>109.1</v>
      </c>
      <c r="I2668">
        <v>141</v>
      </c>
      <c r="J2668">
        <v>18.55</v>
      </c>
      <c r="K2668">
        <v>187.1</v>
      </c>
      <c r="L2668">
        <v>140</v>
      </c>
      <c r="M2668">
        <v>15.9</v>
      </c>
      <c r="N2668">
        <v>216.6</v>
      </c>
      <c r="O2668">
        <v>100</v>
      </c>
      <c r="P2668">
        <v>9.75</v>
      </c>
      <c r="Q2668">
        <v>10</v>
      </c>
      <c r="R2668">
        <v>4</v>
      </c>
      <c r="S2668">
        <v>2.7</v>
      </c>
      <c r="T2668">
        <v>3</v>
      </c>
      <c r="U2668" t="s">
        <v>22</v>
      </c>
      <c r="V2668" t="e">
        <f>IF(#REF! = "yes", 1, 0)</f>
        <v>#REF!</v>
      </c>
      <c r="W2668" t="e">
        <f>IF(#REF! &lt;= 1, "0-1 Calls", IF(#REF! &lt;= 3, "2-3 Calls", IF(#REF! &lt;=5, "4-5 Calls", "6+ Calls")))</f>
        <v>#REF!</v>
      </c>
      <c r="X2668" t="e">
        <f>IF(#REF! &lt;= 50, "0-50", IF(#REF! &lt;=100, "51-100", IF(#REF! &lt;= 150, "101-150", "151+")))</f>
        <v>#REF!</v>
      </c>
      <c r="Y2668" t="e">
        <f>IF(#REF! &lt;= 3, "Low Charges", "High Charges")</f>
        <v>#REF!</v>
      </c>
      <c r="Z2668" t="e">
        <f>IF(#REF!&lt;=80,"Low Calls",
IF(#REF!&lt;=120,"Medium Calls","High Calls"))</f>
        <v>#REF!</v>
      </c>
      <c r="AA2668" t="e">
        <f>IF(#REF!&lt;=15,"Low Charges",
IF(#REF!&lt;=20,"Medium Charges","High Charges"))</f>
        <v>#REF!</v>
      </c>
      <c r="AB2668" t="e">
        <f>IF(AND(#REF!&gt;180, #REF!&gt;200), "Heavy Doemstic User", IF(#REF!&gt;10, "Interntional User", IF(AND(#REF!&lt;180, #REF!&lt;200,#REF!&lt;200), "Light User", "Balanced User")))</f>
        <v>#REF!</v>
      </c>
      <c r="AC2668" t="e">
        <f>IF(#REF! = 0, "No Usage", IF(#REF! &lt;= 20, "Low Usage", IF(#REF! &lt;= 40, "Medium Usgae", "High Usage")))</f>
        <v>#REF!</v>
      </c>
      <c r="AD2668" t="e">
        <f>IF(#REF!&lt;=150,"Low Usage", IF(#REF!&lt;=200,"Medium Usage", IF(#REF!&lt;=250,"High Usage","Very High Usage")))</f>
        <v>#REF!</v>
      </c>
      <c r="AE2668" t="e">
        <f>IF(#REF!&lt;=5,"Low Calls", IF(#REF!&lt;=10, "Medium Calls", "High Calls"))</f>
        <v>#REF!</v>
      </c>
      <c r="AF2668" t="e">
        <f xml:space="preserve">
IF(#REF!&gt;=4,4,0)+
IF(#REF!="yes",3,0)+
IF(#REF!="High Charges",3,0)+
IF(#REF!&gt;250,4,0)+
IF(#REF!="no",1,0)+
IF(#REF!="Heavy Domestic User",2,0)</f>
        <v>#REF!</v>
      </c>
      <c r="AG2668" t="e">
        <f>IF(#REF!&gt;=10,"High Risk", IF(#REF!&gt;=5,"Medium Risk","Low Risk"))</f>
        <v>#REF!</v>
      </c>
      <c r="AH2668" t="e">
        <f>#REF! + #REF! + #REF! + #REF!</f>
        <v>#REF!</v>
      </c>
    </row>
    <row r="2669" spans="1:34" x14ac:dyDescent="0.35">
      <c r="A2669">
        <v>2668</v>
      </c>
      <c r="B2669" t="s">
        <v>46</v>
      </c>
      <c r="C2669">
        <v>35</v>
      </c>
      <c r="D2669" t="s">
        <v>25</v>
      </c>
      <c r="E2669" t="s">
        <v>22</v>
      </c>
      <c r="F2669" t="s">
        <v>22</v>
      </c>
      <c r="G2669">
        <v>0</v>
      </c>
      <c r="H2669">
        <v>138.1</v>
      </c>
      <c r="I2669">
        <v>115</v>
      </c>
      <c r="J2669">
        <v>23.48</v>
      </c>
      <c r="K2669">
        <v>158.19999999999999</v>
      </c>
      <c r="L2669">
        <v>82</v>
      </c>
      <c r="M2669">
        <v>13.45</v>
      </c>
      <c r="N2669">
        <v>215.7</v>
      </c>
      <c r="O2669">
        <v>118</v>
      </c>
      <c r="P2669">
        <v>9.7100000000000009</v>
      </c>
      <c r="Q2669">
        <v>10.3</v>
      </c>
      <c r="R2669">
        <v>2</v>
      </c>
      <c r="S2669">
        <v>2.78</v>
      </c>
      <c r="T2669">
        <v>5</v>
      </c>
      <c r="U2669" t="s">
        <v>23</v>
      </c>
      <c r="V2669" t="e">
        <f>IF(#REF! = "yes", 1, 0)</f>
        <v>#REF!</v>
      </c>
      <c r="W2669" t="e">
        <f>IF(#REF! &lt;= 1, "0-1 Calls", IF(#REF! &lt;= 3, "2-3 Calls", IF(#REF! &lt;=5, "4-5 Calls", "6+ Calls")))</f>
        <v>#REF!</v>
      </c>
      <c r="X2669" t="e">
        <f>IF(#REF! &lt;= 50, "0-50", IF(#REF! &lt;=100, "51-100", IF(#REF! &lt;= 150, "101-150", "151+")))</f>
        <v>#REF!</v>
      </c>
      <c r="Y2669" t="e">
        <f>IF(#REF! &lt;= 3, "Low Charges", "High Charges")</f>
        <v>#REF!</v>
      </c>
      <c r="Z2669" t="e">
        <f>IF(#REF!&lt;=80,"Low Calls",
IF(#REF!&lt;=120,"Medium Calls","High Calls"))</f>
        <v>#REF!</v>
      </c>
      <c r="AA2669" t="e">
        <f>IF(#REF!&lt;=15,"Low Charges",
IF(#REF!&lt;=20,"Medium Charges","High Charges"))</f>
        <v>#REF!</v>
      </c>
      <c r="AB2669" t="e">
        <f>IF(AND(#REF!&gt;180, #REF!&gt;200), "Heavy Doemstic User", IF(#REF!&gt;10, "Interntional User", IF(AND(#REF!&lt;180, #REF!&lt;200,#REF!&lt;200), "Light User", "Balanced User")))</f>
        <v>#REF!</v>
      </c>
      <c r="AC2669" t="e">
        <f>IF(#REF! = 0, "No Usage", IF(#REF! &lt;= 20, "Low Usage", IF(#REF! &lt;= 40, "Medium Usgae", "High Usage")))</f>
        <v>#REF!</v>
      </c>
      <c r="AD2669" t="e">
        <f>IF(#REF!&lt;=150,"Low Usage", IF(#REF!&lt;=200,"Medium Usage", IF(#REF!&lt;=250,"High Usage","Very High Usage")))</f>
        <v>#REF!</v>
      </c>
      <c r="AE2669" t="e">
        <f>IF(#REF!&lt;=5,"Low Calls", IF(#REF!&lt;=10, "Medium Calls", "High Calls"))</f>
        <v>#REF!</v>
      </c>
      <c r="AF2669" t="e">
        <f xml:space="preserve">
IF(#REF!&gt;=4,4,0)+
IF(#REF!="yes",3,0)+
IF(#REF!="High Charges",3,0)+
IF(#REF!&gt;250,4,0)+
IF(#REF!="no",1,0)+
IF(#REF!="Heavy Domestic User",2,0)</f>
        <v>#REF!</v>
      </c>
      <c r="AG2669" t="e">
        <f>IF(#REF!&gt;=10,"High Risk", IF(#REF!&gt;=5,"Medium Risk","Low Risk"))</f>
        <v>#REF!</v>
      </c>
      <c r="AH2669" t="e">
        <f>#REF! + #REF! + #REF! + #REF!</f>
        <v>#REF!</v>
      </c>
    </row>
    <row r="2670" spans="1:34" x14ac:dyDescent="0.35">
      <c r="A2670">
        <v>2669</v>
      </c>
      <c r="B2670" t="s">
        <v>67</v>
      </c>
      <c r="C2670">
        <v>143</v>
      </c>
      <c r="D2670" t="s">
        <v>28</v>
      </c>
      <c r="E2670" t="s">
        <v>22</v>
      </c>
      <c r="F2670" t="s">
        <v>22</v>
      </c>
      <c r="G2670">
        <v>0</v>
      </c>
      <c r="H2670">
        <v>155.4</v>
      </c>
      <c r="I2670">
        <v>112</v>
      </c>
      <c r="J2670">
        <v>26.42</v>
      </c>
      <c r="K2670">
        <v>290.89999999999998</v>
      </c>
      <c r="L2670">
        <v>92</v>
      </c>
      <c r="M2670">
        <v>24.73</v>
      </c>
      <c r="N2670">
        <v>228.4</v>
      </c>
      <c r="O2670">
        <v>91</v>
      </c>
      <c r="P2670">
        <v>10.28</v>
      </c>
      <c r="Q2670">
        <v>13.9</v>
      </c>
      <c r="R2670">
        <v>5</v>
      </c>
      <c r="S2670">
        <v>3.75</v>
      </c>
      <c r="T2670">
        <v>1</v>
      </c>
      <c r="U2670" t="s">
        <v>22</v>
      </c>
      <c r="V2670" t="e">
        <f>IF(#REF! = "yes", 1, 0)</f>
        <v>#REF!</v>
      </c>
      <c r="W2670" t="e">
        <f>IF(#REF! &lt;= 1, "0-1 Calls", IF(#REF! &lt;= 3, "2-3 Calls", IF(#REF! &lt;=5, "4-5 Calls", "6+ Calls")))</f>
        <v>#REF!</v>
      </c>
      <c r="X2670" t="e">
        <f>IF(#REF! &lt;= 50, "0-50", IF(#REF! &lt;=100, "51-100", IF(#REF! &lt;= 150, "101-150", "151+")))</f>
        <v>#REF!</v>
      </c>
      <c r="Y2670" t="e">
        <f>IF(#REF! &lt;= 3, "Low Charges", "High Charges")</f>
        <v>#REF!</v>
      </c>
      <c r="Z2670" t="e">
        <f>IF(#REF!&lt;=80,"Low Calls",
IF(#REF!&lt;=120,"Medium Calls","High Calls"))</f>
        <v>#REF!</v>
      </c>
      <c r="AA2670" t="e">
        <f>IF(#REF!&lt;=15,"Low Charges",
IF(#REF!&lt;=20,"Medium Charges","High Charges"))</f>
        <v>#REF!</v>
      </c>
      <c r="AB2670" t="e">
        <f>IF(AND(#REF!&gt;180, #REF!&gt;200), "Heavy Doemstic User", IF(#REF!&gt;10, "Interntional User", IF(AND(#REF!&lt;180, #REF!&lt;200,#REF!&lt;200), "Light User", "Balanced User")))</f>
        <v>#REF!</v>
      </c>
      <c r="AC2670" t="e">
        <f>IF(#REF! = 0, "No Usage", IF(#REF! &lt;= 20, "Low Usage", IF(#REF! &lt;= 40, "Medium Usgae", "High Usage")))</f>
        <v>#REF!</v>
      </c>
      <c r="AD2670" t="e">
        <f>IF(#REF!&lt;=150,"Low Usage", IF(#REF!&lt;=200,"Medium Usage", IF(#REF!&lt;=250,"High Usage","Very High Usage")))</f>
        <v>#REF!</v>
      </c>
      <c r="AE2670" t="e">
        <f>IF(#REF!&lt;=5,"Low Calls", IF(#REF!&lt;=10, "Medium Calls", "High Calls"))</f>
        <v>#REF!</v>
      </c>
      <c r="AF2670" t="e">
        <f xml:space="preserve">
IF(#REF!&gt;=4,4,0)+
IF(#REF!="yes",3,0)+
IF(#REF!="High Charges",3,0)+
IF(#REF!&gt;250,4,0)+
IF(#REF!="no",1,0)+
IF(#REF!="Heavy Domestic User",2,0)</f>
        <v>#REF!</v>
      </c>
      <c r="AG2670" t="e">
        <f>IF(#REF!&gt;=10,"High Risk", IF(#REF!&gt;=5,"Medium Risk","Low Risk"))</f>
        <v>#REF!</v>
      </c>
      <c r="AH2670" t="e">
        <f>#REF! + #REF! + #REF! + #REF!</f>
        <v>#REF!</v>
      </c>
    </row>
    <row r="2671" spans="1:34" x14ac:dyDescent="0.35">
      <c r="A2671">
        <v>2670</v>
      </c>
      <c r="B2671" t="s">
        <v>61</v>
      </c>
      <c r="C2671">
        <v>62</v>
      </c>
      <c r="D2671" t="s">
        <v>21</v>
      </c>
      <c r="E2671" t="s">
        <v>22</v>
      </c>
      <c r="F2671" t="s">
        <v>22</v>
      </c>
      <c r="G2671">
        <v>0</v>
      </c>
      <c r="H2671">
        <v>245.3</v>
      </c>
      <c r="I2671">
        <v>91</v>
      </c>
      <c r="J2671">
        <v>41.7</v>
      </c>
      <c r="K2671">
        <v>122.9</v>
      </c>
      <c r="L2671">
        <v>130</v>
      </c>
      <c r="M2671">
        <v>10.45</v>
      </c>
      <c r="N2671">
        <v>228.4</v>
      </c>
      <c r="O2671">
        <v>102</v>
      </c>
      <c r="P2671">
        <v>10.28</v>
      </c>
      <c r="Q2671">
        <v>8.5</v>
      </c>
      <c r="R2671">
        <v>4</v>
      </c>
      <c r="S2671">
        <v>2.2999999999999998</v>
      </c>
      <c r="T2671">
        <v>4</v>
      </c>
      <c r="U2671" t="s">
        <v>22</v>
      </c>
      <c r="V2671" t="e">
        <f>IF(#REF! = "yes", 1, 0)</f>
        <v>#REF!</v>
      </c>
      <c r="W2671" t="e">
        <f>IF(#REF! &lt;= 1, "0-1 Calls", IF(#REF! &lt;= 3, "2-3 Calls", IF(#REF! &lt;=5, "4-5 Calls", "6+ Calls")))</f>
        <v>#REF!</v>
      </c>
      <c r="X2671" t="e">
        <f>IF(#REF! &lt;= 50, "0-50", IF(#REF! &lt;=100, "51-100", IF(#REF! &lt;= 150, "101-150", "151+")))</f>
        <v>#REF!</v>
      </c>
      <c r="Y2671" t="e">
        <f>IF(#REF! &lt;= 3, "Low Charges", "High Charges")</f>
        <v>#REF!</v>
      </c>
      <c r="Z2671" t="e">
        <f>IF(#REF!&lt;=80,"Low Calls",
IF(#REF!&lt;=120,"Medium Calls","High Calls"))</f>
        <v>#REF!</v>
      </c>
      <c r="AA2671" t="e">
        <f>IF(#REF!&lt;=15,"Low Charges",
IF(#REF!&lt;=20,"Medium Charges","High Charges"))</f>
        <v>#REF!</v>
      </c>
      <c r="AB2671" t="e">
        <f>IF(AND(#REF!&gt;180, #REF!&gt;200), "Heavy Doemstic User", IF(#REF!&gt;10, "Interntional User", IF(AND(#REF!&lt;180, #REF!&lt;200,#REF!&lt;200), "Light User", "Balanced User")))</f>
        <v>#REF!</v>
      </c>
      <c r="AC2671" t="e">
        <f>IF(#REF! = 0, "No Usage", IF(#REF! &lt;= 20, "Low Usage", IF(#REF! &lt;= 40, "Medium Usgae", "High Usage")))</f>
        <v>#REF!</v>
      </c>
      <c r="AD2671" t="e">
        <f>IF(#REF!&lt;=150,"Low Usage", IF(#REF!&lt;=200,"Medium Usage", IF(#REF!&lt;=250,"High Usage","Very High Usage")))</f>
        <v>#REF!</v>
      </c>
      <c r="AE2671" t="e">
        <f>IF(#REF!&lt;=5,"Low Calls", IF(#REF!&lt;=10, "Medium Calls", "High Calls"))</f>
        <v>#REF!</v>
      </c>
      <c r="AF2671" t="e">
        <f xml:space="preserve">
IF(#REF!&gt;=4,4,0)+
IF(#REF!="yes",3,0)+
IF(#REF!="High Charges",3,0)+
IF(#REF!&gt;250,4,0)+
IF(#REF!="no",1,0)+
IF(#REF!="Heavy Domestic User",2,0)</f>
        <v>#REF!</v>
      </c>
      <c r="AG2671" t="e">
        <f>IF(#REF!&gt;=10,"High Risk", IF(#REF!&gt;=5,"Medium Risk","Low Risk"))</f>
        <v>#REF!</v>
      </c>
      <c r="AH2671" t="e">
        <f>#REF! + #REF! + #REF! + #REF!</f>
        <v>#REF!</v>
      </c>
    </row>
    <row r="2672" spans="1:34" x14ac:dyDescent="0.35">
      <c r="A2672">
        <v>2671</v>
      </c>
      <c r="B2672" t="s">
        <v>59</v>
      </c>
      <c r="C2672">
        <v>60</v>
      </c>
      <c r="D2672" t="s">
        <v>21</v>
      </c>
      <c r="E2672" t="s">
        <v>23</v>
      </c>
      <c r="F2672" t="s">
        <v>22</v>
      </c>
      <c r="G2672">
        <v>0</v>
      </c>
      <c r="H2672">
        <v>205.9</v>
      </c>
      <c r="I2672">
        <v>97</v>
      </c>
      <c r="J2672">
        <v>35</v>
      </c>
      <c r="K2672">
        <v>277.39999999999998</v>
      </c>
      <c r="L2672">
        <v>117</v>
      </c>
      <c r="M2672">
        <v>23.58</v>
      </c>
      <c r="N2672">
        <v>202</v>
      </c>
      <c r="O2672">
        <v>139</v>
      </c>
      <c r="P2672">
        <v>9.09</v>
      </c>
      <c r="Q2672">
        <v>11</v>
      </c>
      <c r="R2672">
        <v>2</v>
      </c>
      <c r="S2672">
        <v>2.97</v>
      </c>
      <c r="T2672">
        <v>0</v>
      </c>
      <c r="U2672" t="s">
        <v>23</v>
      </c>
      <c r="V2672" t="e">
        <f>IF(#REF! = "yes", 1, 0)</f>
        <v>#REF!</v>
      </c>
      <c r="W2672" t="e">
        <f>IF(#REF! &lt;= 1, "0-1 Calls", IF(#REF! &lt;= 3, "2-3 Calls", IF(#REF! &lt;=5, "4-5 Calls", "6+ Calls")))</f>
        <v>#REF!</v>
      </c>
      <c r="X2672" t="e">
        <f>IF(#REF! &lt;= 50, "0-50", IF(#REF! &lt;=100, "51-100", IF(#REF! &lt;= 150, "101-150", "151+")))</f>
        <v>#REF!</v>
      </c>
      <c r="Y2672" t="e">
        <f>IF(#REF! &lt;= 3, "Low Charges", "High Charges")</f>
        <v>#REF!</v>
      </c>
      <c r="Z2672" t="e">
        <f>IF(#REF!&lt;=80,"Low Calls",
IF(#REF!&lt;=120,"Medium Calls","High Calls"))</f>
        <v>#REF!</v>
      </c>
      <c r="AA2672" t="e">
        <f>IF(#REF!&lt;=15,"Low Charges",
IF(#REF!&lt;=20,"Medium Charges","High Charges"))</f>
        <v>#REF!</v>
      </c>
      <c r="AB2672" t="e">
        <f>IF(AND(#REF!&gt;180, #REF!&gt;200), "Heavy Doemstic User", IF(#REF!&gt;10, "Interntional User", IF(AND(#REF!&lt;180, #REF!&lt;200,#REF!&lt;200), "Light User", "Balanced User")))</f>
        <v>#REF!</v>
      </c>
      <c r="AC2672" t="e">
        <f>IF(#REF! = 0, "No Usage", IF(#REF! &lt;= 20, "Low Usage", IF(#REF! &lt;= 40, "Medium Usgae", "High Usage")))</f>
        <v>#REF!</v>
      </c>
      <c r="AD2672" t="e">
        <f>IF(#REF!&lt;=150,"Low Usage", IF(#REF!&lt;=200,"Medium Usage", IF(#REF!&lt;=250,"High Usage","Very High Usage")))</f>
        <v>#REF!</v>
      </c>
      <c r="AE2672" t="e">
        <f>IF(#REF!&lt;=5,"Low Calls", IF(#REF!&lt;=10, "Medium Calls", "High Calls"))</f>
        <v>#REF!</v>
      </c>
      <c r="AF2672" t="e">
        <f xml:space="preserve">
IF(#REF!&gt;=4,4,0)+
IF(#REF!="yes",3,0)+
IF(#REF!="High Charges",3,0)+
IF(#REF!&gt;250,4,0)+
IF(#REF!="no",1,0)+
IF(#REF!="Heavy Domestic User",2,0)</f>
        <v>#REF!</v>
      </c>
      <c r="AG2672" t="e">
        <f>IF(#REF!&gt;=10,"High Risk", IF(#REF!&gt;=5,"Medium Risk","Low Risk"))</f>
        <v>#REF!</v>
      </c>
      <c r="AH2672" t="e">
        <f>#REF! + #REF! + #REF! + #REF!</f>
        <v>#REF!</v>
      </c>
    </row>
    <row r="2673" spans="1:34" x14ac:dyDescent="0.35">
      <c r="A2673">
        <v>2672</v>
      </c>
      <c r="B2673" t="s">
        <v>66</v>
      </c>
      <c r="C2673">
        <v>56</v>
      </c>
      <c r="D2673" t="s">
        <v>25</v>
      </c>
      <c r="E2673" t="s">
        <v>22</v>
      </c>
      <c r="F2673" t="s">
        <v>22</v>
      </c>
      <c r="G2673">
        <v>0</v>
      </c>
      <c r="H2673">
        <v>221.9</v>
      </c>
      <c r="I2673">
        <v>112</v>
      </c>
      <c r="J2673">
        <v>37.72</v>
      </c>
      <c r="K2673">
        <v>278.2</v>
      </c>
      <c r="L2673">
        <v>122</v>
      </c>
      <c r="M2673">
        <v>23.65</v>
      </c>
      <c r="N2673">
        <v>288.10000000000002</v>
      </c>
      <c r="O2673">
        <v>85</v>
      </c>
      <c r="P2673">
        <v>12.96</v>
      </c>
      <c r="Q2673">
        <v>7.1</v>
      </c>
      <c r="R2673">
        <v>5</v>
      </c>
      <c r="S2673">
        <v>1.92</v>
      </c>
      <c r="T2673">
        <v>0</v>
      </c>
      <c r="U2673" t="s">
        <v>23</v>
      </c>
      <c r="V2673" t="e">
        <f>IF(#REF! = "yes", 1, 0)</f>
        <v>#REF!</v>
      </c>
      <c r="W2673" t="e">
        <f>IF(#REF! &lt;= 1, "0-1 Calls", IF(#REF! &lt;= 3, "2-3 Calls", IF(#REF! &lt;=5, "4-5 Calls", "6+ Calls")))</f>
        <v>#REF!</v>
      </c>
      <c r="X2673" t="e">
        <f>IF(#REF! &lt;= 50, "0-50", IF(#REF! &lt;=100, "51-100", IF(#REF! &lt;= 150, "101-150", "151+")))</f>
        <v>#REF!</v>
      </c>
      <c r="Y2673" t="e">
        <f>IF(#REF! &lt;= 3, "Low Charges", "High Charges")</f>
        <v>#REF!</v>
      </c>
      <c r="Z2673" t="e">
        <f>IF(#REF!&lt;=80,"Low Calls",
IF(#REF!&lt;=120,"Medium Calls","High Calls"))</f>
        <v>#REF!</v>
      </c>
      <c r="AA2673" t="e">
        <f>IF(#REF!&lt;=15,"Low Charges",
IF(#REF!&lt;=20,"Medium Charges","High Charges"))</f>
        <v>#REF!</v>
      </c>
      <c r="AB2673" t="e">
        <f>IF(AND(#REF!&gt;180, #REF!&gt;200), "Heavy Doemstic User", IF(#REF!&gt;10, "Interntional User", IF(AND(#REF!&lt;180, #REF!&lt;200,#REF!&lt;200), "Light User", "Balanced User")))</f>
        <v>#REF!</v>
      </c>
      <c r="AC2673" t="e">
        <f>IF(#REF! = 0, "No Usage", IF(#REF! &lt;= 20, "Low Usage", IF(#REF! &lt;= 40, "Medium Usgae", "High Usage")))</f>
        <v>#REF!</v>
      </c>
      <c r="AD2673" t="e">
        <f>IF(#REF!&lt;=150,"Low Usage", IF(#REF!&lt;=200,"Medium Usage", IF(#REF!&lt;=250,"High Usage","Very High Usage")))</f>
        <v>#REF!</v>
      </c>
      <c r="AE2673" t="e">
        <f>IF(#REF!&lt;=5,"Low Calls", IF(#REF!&lt;=10, "Medium Calls", "High Calls"))</f>
        <v>#REF!</v>
      </c>
      <c r="AF2673" t="e">
        <f xml:space="preserve">
IF(#REF!&gt;=4,4,0)+
IF(#REF!="yes",3,0)+
IF(#REF!="High Charges",3,0)+
IF(#REF!&gt;250,4,0)+
IF(#REF!="no",1,0)+
IF(#REF!="Heavy Domestic User",2,0)</f>
        <v>#REF!</v>
      </c>
      <c r="AG2673" t="e">
        <f>IF(#REF!&gt;=10,"High Risk", IF(#REF!&gt;=5,"Medium Risk","Low Risk"))</f>
        <v>#REF!</v>
      </c>
      <c r="AH2673" t="e">
        <f>#REF! + #REF! + #REF! + #REF!</f>
        <v>#REF!</v>
      </c>
    </row>
    <row r="2674" spans="1:34" x14ac:dyDescent="0.35">
      <c r="A2674">
        <v>2673</v>
      </c>
      <c r="B2674" t="s">
        <v>61</v>
      </c>
      <c r="C2674">
        <v>183</v>
      </c>
      <c r="D2674" t="s">
        <v>21</v>
      </c>
      <c r="E2674" t="s">
        <v>22</v>
      </c>
      <c r="F2674" t="s">
        <v>22</v>
      </c>
      <c r="G2674">
        <v>0</v>
      </c>
      <c r="H2674">
        <v>190</v>
      </c>
      <c r="I2674">
        <v>100</v>
      </c>
      <c r="J2674">
        <v>32.299999999999997</v>
      </c>
      <c r="K2674">
        <v>246.6</v>
      </c>
      <c r="L2674">
        <v>78</v>
      </c>
      <c r="M2674">
        <v>20.96</v>
      </c>
      <c r="N2674">
        <v>304.2</v>
      </c>
      <c r="O2674">
        <v>107</v>
      </c>
      <c r="P2674">
        <v>13.69</v>
      </c>
      <c r="Q2674">
        <v>9.5</v>
      </c>
      <c r="R2674">
        <v>4</v>
      </c>
      <c r="S2674">
        <v>2.57</v>
      </c>
      <c r="T2674">
        <v>1</v>
      </c>
      <c r="U2674" t="s">
        <v>22</v>
      </c>
      <c r="V2674" t="e">
        <f>IF(#REF! = "yes", 1, 0)</f>
        <v>#REF!</v>
      </c>
      <c r="W2674" t="e">
        <f>IF(#REF! &lt;= 1, "0-1 Calls", IF(#REF! &lt;= 3, "2-3 Calls", IF(#REF! &lt;=5, "4-5 Calls", "6+ Calls")))</f>
        <v>#REF!</v>
      </c>
      <c r="X2674" t="e">
        <f>IF(#REF! &lt;= 50, "0-50", IF(#REF! &lt;=100, "51-100", IF(#REF! &lt;= 150, "101-150", "151+")))</f>
        <v>#REF!</v>
      </c>
      <c r="Y2674" t="e">
        <f>IF(#REF! &lt;= 3, "Low Charges", "High Charges")</f>
        <v>#REF!</v>
      </c>
      <c r="Z2674" t="e">
        <f>IF(#REF!&lt;=80,"Low Calls",
IF(#REF!&lt;=120,"Medium Calls","High Calls"))</f>
        <v>#REF!</v>
      </c>
      <c r="AA2674" t="e">
        <f>IF(#REF!&lt;=15,"Low Charges",
IF(#REF!&lt;=20,"Medium Charges","High Charges"))</f>
        <v>#REF!</v>
      </c>
      <c r="AB2674" t="e">
        <f>IF(AND(#REF!&gt;180, #REF!&gt;200), "Heavy Doemstic User", IF(#REF!&gt;10, "Interntional User", IF(AND(#REF!&lt;180, #REF!&lt;200,#REF!&lt;200), "Light User", "Balanced User")))</f>
        <v>#REF!</v>
      </c>
      <c r="AC2674" t="e">
        <f>IF(#REF! = 0, "No Usage", IF(#REF! &lt;= 20, "Low Usage", IF(#REF! &lt;= 40, "Medium Usgae", "High Usage")))</f>
        <v>#REF!</v>
      </c>
      <c r="AD2674" t="e">
        <f>IF(#REF!&lt;=150,"Low Usage", IF(#REF!&lt;=200,"Medium Usage", IF(#REF!&lt;=250,"High Usage","Very High Usage")))</f>
        <v>#REF!</v>
      </c>
      <c r="AE2674" t="e">
        <f>IF(#REF!&lt;=5,"Low Calls", IF(#REF!&lt;=10, "Medium Calls", "High Calls"))</f>
        <v>#REF!</v>
      </c>
      <c r="AF2674" t="e">
        <f xml:space="preserve">
IF(#REF!&gt;=4,4,0)+
IF(#REF!="yes",3,0)+
IF(#REF!="High Charges",3,0)+
IF(#REF!&gt;250,4,0)+
IF(#REF!="no",1,0)+
IF(#REF!="Heavy Domestic User",2,0)</f>
        <v>#REF!</v>
      </c>
      <c r="AG2674" t="e">
        <f>IF(#REF!&gt;=10,"High Risk", IF(#REF!&gt;=5,"Medium Risk","Low Risk"))</f>
        <v>#REF!</v>
      </c>
      <c r="AH2674" t="e">
        <f>#REF! + #REF! + #REF! + #REF!</f>
        <v>#REF!</v>
      </c>
    </row>
    <row r="2675" spans="1:34" x14ac:dyDescent="0.35">
      <c r="A2675">
        <v>2674</v>
      </c>
      <c r="B2675" t="s">
        <v>42</v>
      </c>
      <c r="C2675">
        <v>94</v>
      </c>
      <c r="D2675" t="s">
        <v>21</v>
      </c>
      <c r="E2675" t="s">
        <v>22</v>
      </c>
      <c r="F2675" t="s">
        <v>22</v>
      </c>
      <c r="G2675">
        <v>0</v>
      </c>
      <c r="H2675">
        <v>220.8</v>
      </c>
      <c r="I2675">
        <v>111</v>
      </c>
      <c r="J2675">
        <v>37.54</v>
      </c>
      <c r="K2675">
        <v>156.19999999999999</v>
      </c>
      <c r="L2675">
        <v>67</v>
      </c>
      <c r="M2675">
        <v>13.28</v>
      </c>
      <c r="N2675">
        <v>187.9</v>
      </c>
      <c r="O2675">
        <v>89</v>
      </c>
      <c r="P2675">
        <v>8.4600000000000009</v>
      </c>
      <c r="Q2675">
        <v>10.5</v>
      </c>
      <c r="R2675">
        <v>4</v>
      </c>
      <c r="S2675">
        <v>2.84</v>
      </c>
      <c r="T2675">
        <v>2</v>
      </c>
      <c r="U2675" t="s">
        <v>22</v>
      </c>
      <c r="V2675" t="e">
        <f>IF(#REF! = "yes", 1, 0)</f>
        <v>#REF!</v>
      </c>
      <c r="W2675" t="e">
        <f>IF(#REF! &lt;= 1, "0-1 Calls", IF(#REF! &lt;= 3, "2-3 Calls", IF(#REF! &lt;=5, "4-5 Calls", "6+ Calls")))</f>
        <v>#REF!</v>
      </c>
      <c r="X2675" t="e">
        <f>IF(#REF! &lt;= 50, "0-50", IF(#REF! &lt;=100, "51-100", IF(#REF! &lt;= 150, "101-150", "151+")))</f>
        <v>#REF!</v>
      </c>
      <c r="Y2675" t="e">
        <f>IF(#REF! &lt;= 3, "Low Charges", "High Charges")</f>
        <v>#REF!</v>
      </c>
      <c r="Z2675" t="e">
        <f>IF(#REF!&lt;=80,"Low Calls",
IF(#REF!&lt;=120,"Medium Calls","High Calls"))</f>
        <v>#REF!</v>
      </c>
      <c r="AA2675" t="e">
        <f>IF(#REF!&lt;=15,"Low Charges",
IF(#REF!&lt;=20,"Medium Charges","High Charges"))</f>
        <v>#REF!</v>
      </c>
      <c r="AB2675" t="e">
        <f>IF(AND(#REF!&gt;180, #REF!&gt;200), "Heavy Doemstic User", IF(#REF!&gt;10, "Interntional User", IF(AND(#REF!&lt;180, #REF!&lt;200,#REF!&lt;200), "Light User", "Balanced User")))</f>
        <v>#REF!</v>
      </c>
      <c r="AC2675" t="e">
        <f>IF(#REF! = 0, "No Usage", IF(#REF! &lt;= 20, "Low Usage", IF(#REF! &lt;= 40, "Medium Usgae", "High Usage")))</f>
        <v>#REF!</v>
      </c>
      <c r="AD2675" t="e">
        <f>IF(#REF!&lt;=150,"Low Usage", IF(#REF!&lt;=200,"Medium Usage", IF(#REF!&lt;=250,"High Usage","Very High Usage")))</f>
        <v>#REF!</v>
      </c>
      <c r="AE2675" t="e">
        <f>IF(#REF!&lt;=5,"Low Calls", IF(#REF!&lt;=10, "Medium Calls", "High Calls"))</f>
        <v>#REF!</v>
      </c>
      <c r="AF2675" t="e">
        <f xml:space="preserve">
IF(#REF!&gt;=4,4,0)+
IF(#REF!="yes",3,0)+
IF(#REF!="High Charges",3,0)+
IF(#REF!&gt;250,4,0)+
IF(#REF!="no",1,0)+
IF(#REF!="Heavy Domestic User",2,0)</f>
        <v>#REF!</v>
      </c>
      <c r="AG2675" t="e">
        <f>IF(#REF!&gt;=10,"High Risk", IF(#REF!&gt;=5,"Medium Risk","Low Risk"))</f>
        <v>#REF!</v>
      </c>
      <c r="AH2675" t="e">
        <f>#REF! + #REF! + #REF! + #REF!</f>
        <v>#REF!</v>
      </c>
    </row>
    <row r="2676" spans="1:34" x14ac:dyDescent="0.35">
      <c r="A2676">
        <v>2675</v>
      </c>
      <c r="B2676" t="s">
        <v>74</v>
      </c>
      <c r="C2676">
        <v>73</v>
      </c>
      <c r="D2676" t="s">
        <v>21</v>
      </c>
      <c r="E2676" t="s">
        <v>22</v>
      </c>
      <c r="F2676" t="s">
        <v>23</v>
      </c>
      <c r="G2676">
        <v>47</v>
      </c>
      <c r="H2676">
        <v>173.7</v>
      </c>
      <c r="I2676">
        <v>117</v>
      </c>
      <c r="J2676">
        <v>29.53</v>
      </c>
      <c r="K2676">
        <v>204</v>
      </c>
      <c r="L2676">
        <v>114</v>
      </c>
      <c r="M2676">
        <v>17.34</v>
      </c>
      <c r="N2676">
        <v>174.6</v>
      </c>
      <c r="O2676">
        <v>94</v>
      </c>
      <c r="P2676">
        <v>7.86</v>
      </c>
      <c r="Q2676">
        <v>6.3</v>
      </c>
      <c r="R2676">
        <v>3</v>
      </c>
      <c r="S2676">
        <v>1.7</v>
      </c>
      <c r="T2676">
        <v>2</v>
      </c>
      <c r="U2676" t="s">
        <v>22</v>
      </c>
      <c r="V2676" t="e">
        <f>IF(#REF! = "yes", 1, 0)</f>
        <v>#REF!</v>
      </c>
      <c r="W2676" t="e">
        <f>IF(#REF! &lt;= 1, "0-1 Calls", IF(#REF! &lt;= 3, "2-3 Calls", IF(#REF! &lt;=5, "4-5 Calls", "6+ Calls")))</f>
        <v>#REF!</v>
      </c>
      <c r="X2676" t="e">
        <f>IF(#REF! &lt;= 50, "0-50", IF(#REF! &lt;=100, "51-100", IF(#REF! &lt;= 150, "101-150", "151+")))</f>
        <v>#REF!</v>
      </c>
      <c r="Y2676" t="e">
        <f>IF(#REF! &lt;= 3, "Low Charges", "High Charges")</f>
        <v>#REF!</v>
      </c>
      <c r="Z2676" t="e">
        <f>IF(#REF!&lt;=80,"Low Calls",
IF(#REF!&lt;=120,"Medium Calls","High Calls"))</f>
        <v>#REF!</v>
      </c>
      <c r="AA2676" t="e">
        <f>IF(#REF!&lt;=15,"Low Charges",
IF(#REF!&lt;=20,"Medium Charges","High Charges"))</f>
        <v>#REF!</v>
      </c>
      <c r="AB2676" t="e">
        <f>IF(AND(#REF!&gt;180, #REF!&gt;200), "Heavy Doemstic User", IF(#REF!&gt;10, "Interntional User", IF(AND(#REF!&lt;180, #REF!&lt;200,#REF!&lt;200), "Light User", "Balanced User")))</f>
        <v>#REF!</v>
      </c>
      <c r="AC2676" t="e">
        <f>IF(#REF! = 0, "No Usage", IF(#REF! &lt;= 20, "Low Usage", IF(#REF! &lt;= 40, "Medium Usgae", "High Usage")))</f>
        <v>#REF!</v>
      </c>
      <c r="AD2676" t="e">
        <f>IF(#REF!&lt;=150,"Low Usage", IF(#REF!&lt;=200,"Medium Usage", IF(#REF!&lt;=250,"High Usage","Very High Usage")))</f>
        <v>#REF!</v>
      </c>
      <c r="AE2676" t="e">
        <f>IF(#REF!&lt;=5,"Low Calls", IF(#REF!&lt;=10, "Medium Calls", "High Calls"))</f>
        <v>#REF!</v>
      </c>
      <c r="AF2676" t="e">
        <f xml:space="preserve">
IF(#REF!&gt;=4,4,0)+
IF(#REF!="yes",3,0)+
IF(#REF!="High Charges",3,0)+
IF(#REF!&gt;250,4,0)+
IF(#REF!="no",1,0)+
IF(#REF!="Heavy Domestic User",2,0)</f>
        <v>#REF!</v>
      </c>
      <c r="AG2676" t="e">
        <f>IF(#REF!&gt;=10,"High Risk", IF(#REF!&gt;=5,"Medium Risk","Low Risk"))</f>
        <v>#REF!</v>
      </c>
      <c r="AH2676" t="e">
        <f>#REF! + #REF! + #REF! + #REF!</f>
        <v>#REF!</v>
      </c>
    </row>
    <row r="2677" spans="1:34" x14ac:dyDescent="0.35">
      <c r="A2677">
        <v>2676</v>
      </c>
      <c r="B2677" t="s">
        <v>72</v>
      </c>
      <c r="C2677">
        <v>123</v>
      </c>
      <c r="D2677" t="s">
        <v>25</v>
      </c>
      <c r="E2677" t="s">
        <v>22</v>
      </c>
      <c r="F2677" t="s">
        <v>22</v>
      </c>
      <c r="G2677">
        <v>0</v>
      </c>
      <c r="H2677">
        <v>114.8</v>
      </c>
      <c r="I2677">
        <v>94</v>
      </c>
      <c r="J2677">
        <v>19.52</v>
      </c>
      <c r="K2677">
        <v>150</v>
      </c>
      <c r="L2677">
        <v>104</v>
      </c>
      <c r="M2677">
        <v>12.75</v>
      </c>
      <c r="N2677">
        <v>268.60000000000002</v>
      </c>
      <c r="O2677">
        <v>119</v>
      </c>
      <c r="P2677">
        <v>12.09</v>
      </c>
      <c r="Q2677">
        <v>9.6</v>
      </c>
      <c r="R2677">
        <v>4</v>
      </c>
      <c r="S2677">
        <v>2.59</v>
      </c>
      <c r="T2677">
        <v>2</v>
      </c>
      <c r="U2677" t="s">
        <v>22</v>
      </c>
      <c r="V2677" t="e">
        <f>IF(#REF! = "yes", 1, 0)</f>
        <v>#REF!</v>
      </c>
      <c r="W2677" t="e">
        <f>IF(#REF! &lt;= 1, "0-1 Calls", IF(#REF! &lt;= 3, "2-3 Calls", IF(#REF! &lt;=5, "4-5 Calls", "6+ Calls")))</f>
        <v>#REF!</v>
      </c>
      <c r="X2677" t="e">
        <f>IF(#REF! &lt;= 50, "0-50", IF(#REF! &lt;=100, "51-100", IF(#REF! &lt;= 150, "101-150", "151+")))</f>
        <v>#REF!</v>
      </c>
      <c r="Y2677" t="e">
        <f>IF(#REF! &lt;= 3, "Low Charges", "High Charges")</f>
        <v>#REF!</v>
      </c>
      <c r="Z2677" t="e">
        <f>IF(#REF!&lt;=80,"Low Calls",
IF(#REF!&lt;=120,"Medium Calls","High Calls"))</f>
        <v>#REF!</v>
      </c>
      <c r="AA2677" t="e">
        <f>IF(#REF!&lt;=15,"Low Charges",
IF(#REF!&lt;=20,"Medium Charges","High Charges"))</f>
        <v>#REF!</v>
      </c>
      <c r="AB2677" t="e">
        <f>IF(AND(#REF!&gt;180, #REF!&gt;200), "Heavy Doemstic User", IF(#REF!&gt;10, "Interntional User", IF(AND(#REF!&lt;180, #REF!&lt;200,#REF!&lt;200), "Light User", "Balanced User")))</f>
        <v>#REF!</v>
      </c>
      <c r="AC2677" t="e">
        <f>IF(#REF! = 0, "No Usage", IF(#REF! &lt;= 20, "Low Usage", IF(#REF! &lt;= 40, "Medium Usgae", "High Usage")))</f>
        <v>#REF!</v>
      </c>
      <c r="AD2677" t="e">
        <f>IF(#REF!&lt;=150,"Low Usage", IF(#REF!&lt;=200,"Medium Usage", IF(#REF!&lt;=250,"High Usage","Very High Usage")))</f>
        <v>#REF!</v>
      </c>
      <c r="AE2677" t="e">
        <f>IF(#REF!&lt;=5,"Low Calls", IF(#REF!&lt;=10, "Medium Calls", "High Calls"))</f>
        <v>#REF!</v>
      </c>
      <c r="AF2677" t="e">
        <f xml:space="preserve">
IF(#REF!&gt;=4,4,0)+
IF(#REF!="yes",3,0)+
IF(#REF!="High Charges",3,0)+
IF(#REF!&gt;250,4,0)+
IF(#REF!="no",1,0)+
IF(#REF!="Heavy Domestic User",2,0)</f>
        <v>#REF!</v>
      </c>
      <c r="AG2677" t="e">
        <f>IF(#REF!&gt;=10,"High Risk", IF(#REF!&gt;=5,"Medium Risk","Low Risk"))</f>
        <v>#REF!</v>
      </c>
      <c r="AH2677" t="e">
        <f>#REF! + #REF! + #REF! + #REF!</f>
        <v>#REF!</v>
      </c>
    </row>
    <row r="2678" spans="1:34" x14ac:dyDescent="0.35">
      <c r="A2678">
        <v>2677</v>
      </c>
      <c r="B2678" t="s">
        <v>32</v>
      </c>
      <c r="C2678">
        <v>64</v>
      </c>
      <c r="D2678" t="s">
        <v>25</v>
      </c>
      <c r="E2678" t="s">
        <v>22</v>
      </c>
      <c r="F2678" t="s">
        <v>22</v>
      </c>
      <c r="G2678">
        <v>0</v>
      </c>
      <c r="H2678">
        <v>113.8</v>
      </c>
      <c r="I2678">
        <v>97</v>
      </c>
      <c r="J2678">
        <v>19.350000000000001</v>
      </c>
      <c r="K2678">
        <v>192.3</v>
      </c>
      <c r="L2678">
        <v>97</v>
      </c>
      <c r="M2678">
        <v>16.350000000000001</v>
      </c>
      <c r="N2678">
        <v>214.9</v>
      </c>
      <c r="O2678">
        <v>89</v>
      </c>
      <c r="P2678">
        <v>9.67</v>
      </c>
      <c r="Q2678">
        <v>10.4</v>
      </c>
      <c r="R2678">
        <v>1</v>
      </c>
      <c r="S2678">
        <v>2.81</v>
      </c>
      <c r="T2678">
        <v>3</v>
      </c>
      <c r="U2678" t="s">
        <v>22</v>
      </c>
      <c r="V2678" t="e">
        <f>IF(#REF! = "yes", 1, 0)</f>
        <v>#REF!</v>
      </c>
      <c r="W2678" t="e">
        <f>IF(#REF! &lt;= 1, "0-1 Calls", IF(#REF! &lt;= 3, "2-3 Calls", IF(#REF! &lt;=5, "4-5 Calls", "6+ Calls")))</f>
        <v>#REF!</v>
      </c>
      <c r="X2678" t="e">
        <f>IF(#REF! &lt;= 50, "0-50", IF(#REF! &lt;=100, "51-100", IF(#REF! &lt;= 150, "101-150", "151+")))</f>
        <v>#REF!</v>
      </c>
      <c r="Y2678" t="e">
        <f>IF(#REF! &lt;= 3, "Low Charges", "High Charges")</f>
        <v>#REF!</v>
      </c>
      <c r="Z2678" t="e">
        <f>IF(#REF!&lt;=80,"Low Calls",
IF(#REF!&lt;=120,"Medium Calls","High Calls"))</f>
        <v>#REF!</v>
      </c>
      <c r="AA2678" t="e">
        <f>IF(#REF!&lt;=15,"Low Charges",
IF(#REF!&lt;=20,"Medium Charges","High Charges"))</f>
        <v>#REF!</v>
      </c>
      <c r="AB2678" t="e">
        <f>IF(AND(#REF!&gt;180, #REF!&gt;200), "Heavy Doemstic User", IF(#REF!&gt;10, "Interntional User", IF(AND(#REF!&lt;180, #REF!&lt;200,#REF!&lt;200), "Light User", "Balanced User")))</f>
        <v>#REF!</v>
      </c>
      <c r="AC2678" t="e">
        <f>IF(#REF! = 0, "No Usage", IF(#REF! &lt;= 20, "Low Usage", IF(#REF! &lt;= 40, "Medium Usgae", "High Usage")))</f>
        <v>#REF!</v>
      </c>
      <c r="AD2678" t="e">
        <f>IF(#REF!&lt;=150,"Low Usage", IF(#REF!&lt;=200,"Medium Usage", IF(#REF!&lt;=250,"High Usage","Very High Usage")))</f>
        <v>#REF!</v>
      </c>
      <c r="AE2678" t="e">
        <f>IF(#REF!&lt;=5,"Low Calls", IF(#REF!&lt;=10, "Medium Calls", "High Calls"))</f>
        <v>#REF!</v>
      </c>
      <c r="AF2678" t="e">
        <f xml:space="preserve">
IF(#REF!&gt;=4,4,0)+
IF(#REF!="yes",3,0)+
IF(#REF!="High Charges",3,0)+
IF(#REF!&gt;250,4,0)+
IF(#REF!="no",1,0)+
IF(#REF!="Heavy Domestic User",2,0)</f>
        <v>#REF!</v>
      </c>
      <c r="AG2678" t="e">
        <f>IF(#REF!&gt;=10,"High Risk", IF(#REF!&gt;=5,"Medium Risk","Low Risk"))</f>
        <v>#REF!</v>
      </c>
      <c r="AH2678" t="e">
        <f>#REF! + #REF! + #REF! + #REF!</f>
        <v>#REF!</v>
      </c>
    </row>
    <row r="2679" spans="1:34" x14ac:dyDescent="0.35">
      <c r="A2679">
        <v>2678</v>
      </c>
      <c r="B2679" t="s">
        <v>50</v>
      </c>
      <c r="C2679">
        <v>127</v>
      </c>
      <c r="D2679" t="s">
        <v>21</v>
      </c>
      <c r="E2679" t="s">
        <v>23</v>
      </c>
      <c r="F2679" t="s">
        <v>22</v>
      </c>
      <c r="G2679">
        <v>0</v>
      </c>
      <c r="H2679">
        <v>143.19999999999999</v>
      </c>
      <c r="I2679">
        <v>60</v>
      </c>
      <c r="J2679">
        <v>24.34</v>
      </c>
      <c r="K2679">
        <v>179.5</v>
      </c>
      <c r="L2679">
        <v>159</v>
      </c>
      <c r="M2679">
        <v>15.26</v>
      </c>
      <c r="N2679">
        <v>171.8</v>
      </c>
      <c r="O2679">
        <v>122</v>
      </c>
      <c r="P2679">
        <v>7.73</v>
      </c>
      <c r="Q2679">
        <v>6.2</v>
      </c>
      <c r="R2679">
        <v>4</v>
      </c>
      <c r="S2679">
        <v>1.67</v>
      </c>
      <c r="T2679">
        <v>4</v>
      </c>
      <c r="U2679" t="s">
        <v>23</v>
      </c>
      <c r="V2679" t="e">
        <f>IF(#REF! = "yes", 1, 0)</f>
        <v>#REF!</v>
      </c>
      <c r="W2679" t="e">
        <f>IF(#REF! &lt;= 1, "0-1 Calls", IF(#REF! &lt;= 3, "2-3 Calls", IF(#REF! &lt;=5, "4-5 Calls", "6+ Calls")))</f>
        <v>#REF!</v>
      </c>
      <c r="X2679" t="e">
        <f>IF(#REF! &lt;= 50, "0-50", IF(#REF! &lt;=100, "51-100", IF(#REF! &lt;= 150, "101-150", "151+")))</f>
        <v>#REF!</v>
      </c>
      <c r="Y2679" t="e">
        <f>IF(#REF! &lt;= 3, "Low Charges", "High Charges")</f>
        <v>#REF!</v>
      </c>
      <c r="Z2679" t="e">
        <f>IF(#REF!&lt;=80,"Low Calls",
IF(#REF!&lt;=120,"Medium Calls","High Calls"))</f>
        <v>#REF!</v>
      </c>
      <c r="AA2679" t="e">
        <f>IF(#REF!&lt;=15,"Low Charges",
IF(#REF!&lt;=20,"Medium Charges","High Charges"))</f>
        <v>#REF!</v>
      </c>
      <c r="AB2679" t="e">
        <f>IF(AND(#REF!&gt;180, #REF!&gt;200), "Heavy Doemstic User", IF(#REF!&gt;10, "Interntional User", IF(AND(#REF!&lt;180, #REF!&lt;200,#REF!&lt;200), "Light User", "Balanced User")))</f>
        <v>#REF!</v>
      </c>
      <c r="AC2679" t="e">
        <f>IF(#REF! = 0, "No Usage", IF(#REF! &lt;= 20, "Low Usage", IF(#REF! &lt;= 40, "Medium Usgae", "High Usage")))</f>
        <v>#REF!</v>
      </c>
      <c r="AD2679" t="e">
        <f>IF(#REF!&lt;=150,"Low Usage", IF(#REF!&lt;=200,"Medium Usage", IF(#REF!&lt;=250,"High Usage","Very High Usage")))</f>
        <v>#REF!</v>
      </c>
      <c r="AE2679" t="e">
        <f>IF(#REF!&lt;=5,"Low Calls", IF(#REF!&lt;=10, "Medium Calls", "High Calls"))</f>
        <v>#REF!</v>
      </c>
      <c r="AF2679" t="e">
        <f xml:space="preserve">
IF(#REF!&gt;=4,4,0)+
IF(#REF!="yes",3,0)+
IF(#REF!="High Charges",3,0)+
IF(#REF!&gt;250,4,0)+
IF(#REF!="no",1,0)+
IF(#REF!="Heavy Domestic User",2,0)</f>
        <v>#REF!</v>
      </c>
      <c r="AG2679" t="e">
        <f>IF(#REF!&gt;=10,"High Risk", IF(#REF!&gt;=5,"Medium Risk","Low Risk"))</f>
        <v>#REF!</v>
      </c>
      <c r="AH2679" t="e">
        <f>#REF! + #REF! + #REF! + #REF!</f>
        <v>#REF!</v>
      </c>
    </row>
    <row r="2680" spans="1:34" x14ac:dyDescent="0.35">
      <c r="A2680">
        <v>2679</v>
      </c>
      <c r="B2680" t="s">
        <v>33</v>
      </c>
      <c r="C2680">
        <v>33</v>
      </c>
      <c r="D2680" t="s">
        <v>21</v>
      </c>
      <c r="E2680" t="s">
        <v>22</v>
      </c>
      <c r="F2680" t="s">
        <v>22</v>
      </c>
      <c r="G2680">
        <v>0</v>
      </c>
      <c r="H2680">
        <v>184.4</v>
      </c>
      <c r="I2680">
        <v>111</v>
      </c>
      <c r="J2680">
        <v>31.35</v>
      </c>
      <c r="K2680">
        <v>203.8</v>
      </c>
      <c r="L2680">
        <v>110</v>
      </c>
      <c r="M2680">
        <v>17.32</v>
      </c>
      <c r="N2680">
        <v>237.4</v>
      </c>
      <c r="O2680">
        <v>100</v>
      </c>
      <c r="P2680">
        <v>10.68</v>
      </c>
      <c r="Q2680">
        <v>9.3000000000000007</v>
      </c>
      <c r="R2680">
        <v>5</v>
      </c>
      <c r="S2680">
        <v>2.5099999999999998</v>
      </c>
      <c r="T2680">
        <v>3</v>
      </c>
      <c r="U2680" t="s">
        <v>22</v>
      </c>
      <c r="V2680" t="e">
        <f>IF(#REF! = "yes", 1, 0)</f>
        <v>#REF!</v>
      </c>
      <c r="W2680" t="e">
        <f>IF(#REF! &lt;= 1, "0-1 Calls", IF(#REF! &lt;= 3, "2-3 Calls", IF(#REF! &lt;=5, "4-5 Calls", "6+ Calls")))</f>
        <v>#REF!</v>
      </c>
      <c r="X2680" t="e">
        <f>IF(#REF! &lt;= 50, "0-50", IF(#REF! &lt;=100, "51-100", IF(#REF! &lt;= 150, "101-150", "151+")))</f>
        <v>#REF!</v>
      </c>
      <c r="Y2680" t="e">
        <f>IF(#REF! &lt;= 3, "Low Charges", "High Charges")</f>
        <v>#REF!</v>
      </c>
      <c r="Z2680" t="e">
        <f>IF(#REF!&lt;=80,"Low Calls",
IF(#REF!&lt;=120,"Medium Calls","High Calls"))</f>
        <v>#REF!</v>
      </c>
      <c r="AA2680" t="e">
        <f>IF(#REF!&lt;=15,"Low Charges",
IF(#REF!&lt;=20,"Medium Charges","High Charges"))</f>
        <v>#REF!</v>
      </c>
      <c r="AB2680" t="e">
        <f>IF(AND(#REF!&gt;180, #REF!&gt;200), "Heavy Doemstic User", IF(#REF!&gt;10, "Interntional User", IF(AND(#REF!&lt;180, #REF!&lt;200,#REF!&lt;200), "Light User", "Balanced User")))</f>
        <v>#REF!</v>
      </c>
      <c r="AC2680" t="e">
        <f>IF(#REF! = 0, "No Usage", IF(#REF! &lt;= 20, "Low Usage", IF(#REF! &lt;= 40, "Medium Usgae", "High Usage")))</f>
        <v>#REF!</v>
      </c>
      <c r="AD2680" t="e">
        <f>IF(#REF!&lt;=150,"Low Usage", IF(#REF!&lt;=200,"Medium Usage", IF(#REF!&lt;=250,"High Usage","Very High Usage")))</f>
        <v>#REF!</v>
      </c>
      <c r="AE2680" t="e">
        <f>IF(#REF!&lt;=5,"Low Calls", IF(#REF!&lt;=10, "Medium Calls", "High Calls"))</f>
        <v>#REF!</v>
      </c>
      <c r="AF2680" t="e">
        <f xml:space="preserve">
IF(#REF!&gt;=4,4,0)+
IF(#REF!="yes",3,0)+
IF(#REF!="High Charges",3,0)+
IF(#REF!&gt;250,4,0)+
IF(#REF!="no",1,0)+
IF(#REF!="Heavy Domestic User",2,0)</f>
        <v>#REF!</v>
      </c>
      <c r="AG2680" t="e">
        <f>IF(#REF!&gt;=10,"High Risk", IF(#REF!&gt;=5,"Medium Risk","Low Risk"))</f>
        <v>#REF!</v>
      </c>
      <c r="AH2680" t="e">
        <f>#REF! + #REF! + #REF! + #REF!</f>
        <v>#REF!</v>
      </c>
    </row>
    <row r="2681" spans="1:34" x14ac:dyDescent="0.35">
      <c r="A2681">
        <v>2680</v>
      </c>
      <c r="B2681" t="s">
        <v>46</v>
      </c>
      <c r="C2681">
        <v>123</v>
      </c>
      <c r="D2681" t="s">
        <v>25</v>
      </c>
      <c r="E2681" t="s">
        <v>22</v>
      </c>
      <c r="F2681" t="s">
        <v>22</v>
      </c>
      <c r="G2681">
        <v>0</v>
      </c>
      <c r="H2681">
        <v>224</v>
      </c>
      <c r="I2681">
        <v>99</v>
      </c>
      <c r="J2681">
        <v>38.08</v>
      </c>
      <c r="K2681">
        <v>210.7</v>
      </c>
      <c r="L2681">
        <v>80</v>
      </c>
      <c r="M2681">
        <v>17.91</v>
      </c>
      <c r="N2681">
        <v>231.9</v>
      </c>
      <c r="O2681">
        <v>75</v>
      </c>
      <c r="P2681">
        <v>10.44</v>
      </c>
      <c r="Q2681">
        <v>2.1</v>
      </c>
      <c r="R2681">
        <v>5</v>
      </c>
      <c r="S2681">
        <v>0.56999999999999995</v>
      </c>
      <c r="T2681">
        <v>0</v>
      </c>
      <c r="U2681" t="s">
        <v>22</v>
      </c>
      <c r="V2681" t="e">
        <f>IF(#REF! = "yes", 1, 0)</f>
        <v>#REF!</v>
      </c>
      <c r="W2681" t="e">
        <f>IF(#REF! &lt;= 1, "0-1 Calls", IF(#REF! &lt;= 3, "2-3 Calls", IF(#REF! &lt;=5, "4-5 Calls", "6+ Calls")))</f>
        <v>#REF!</v>
      </c>
      <c r="X2681" t="e">
        <f>IF(#REF! &lt;= 50, "0-50", IF(#REF! &lt;=100, "51-100", IF(#REF! &lt;= 150, "101-150", "151+")))</f>
        <v>#REF!</v>
      </c>
      <c r="Y2681" t="e">
        <f>IF(#REF! &lt;= 3, "Low Charges", "High Charges")</f>
        <v>#REF!</v>
      </c>
      <c r="Z2681" t="e">
        <f>IF(#REF!&lt;=80,"Low Calls",
IF(#REF!&lt;=120,"Medium Calls","High Calls"))</f>
        <v>#REF!</v>
      </c>
      <c r="AA2681" t="e">
        <f>IF(#REF!&lt;=15,"Low Charges",
IF(#REF!&lt;=20,"Medium Charges","High Charges"))</f>
        <v>#REF!</v>
      </c>
      <c r="AB2681" t="e">
        <f>IF(AND(#REF!&gt;180, #REF!&gt;200), "Heavy Doemstic User", IF(#REF!&gt;10, "Interntional User", IF(AND(#REF!&lt;180, #REF!&lt;200,#REF!&lt;200), "Light User", "Balanced User")))</f>
        <v>#REF!</v>
      </c>
      <c r="AC2681" t="e">
        <f>IF(#REF! = 0, "No Usage", IF(#REF! &lt;= 20, "Low Usage", IF(#REF! &lt;= 40, "Medium Usgae", "High Usage")))</f>
        <v>#REF!</v>
      </c>
      <c r="AD2681" t="e">
        <f>IF(#REF!&lt;=150,"Low Usage", IF(#REF!&lt;=200,"Medium Usage", IF(#REF!&lt;=250,"High Usage","Very High Usage")))</f>
        <v>#REF!</v>
      </c>
      <c r="AE2681" t="e">
        <f>IF(#REF!&lt;=5,"Low Calls", IF(#REF!&lt;=10, "Medium Calls", "High Calls"))</f>
        <v>#REF!</v>
      </c>
      <c r="AF2681" t="e">
        <f xml:space="preserve">
IF(#REF!&gt;=4,4,0)+
IF(#REF!="yes",3,0)+
IF(#REF!="High Charges",3,0)+
IF(#REF!&gt;250,4,0)+
IF(#REF!="no",1,0)+
IF(#REF!="Heavy Domestic User",2,0)</f>
        <v>#REF!</v>
      </c>
      <c r="AG2681" t="e">
        <f>IF(#REF!&gt;=10,"High Risk", IF(#REF!&gt;=5,"Medium Risk","Low Risk"))</f>
        <v>#REF!</v>
      </c>
      <c r="AH2681" t="e">
        <f>#REF! + #REF! + #REF! + #REF!</f>
        <v>#REF!</v>
      </c>
    </row>
    <row r="2682" spans="1:34" x14ac:dyDescent="0.35">
      <c r="A2682">
        <v>2681</v>
      </c>
      <c r="B2682" t="s">
        <v>62</v>
      </c>
      <c r="C2682">
        <v>148</v>
      </c>
      <c r="D2682" t="s">
        <v>28</v>
      </c>
      <c r="E2682" t="s">
        <v>22</v>
      </c>
      <c r="F2682" t="s">
        <v>22</v>
      </c>
      <c r="G2682">
        <v>0</v>
      </c>
      <c r="H2682">
        <v>216.2</v>
      </c>
      <c r="I2682">
        <v>95</v>
      </c>
      <c r="J2682">
        <v>36.75</v>
      </c>
      <c r="K2682">
        <v>185.7</v>
      </c>
      <c r="L2682">
        <v>105</v>
      </c>
      <c r="M2682">
        <v>15.78</v>
      </c>
      <c r="N2682">
        <v>300</v>
      </c>
      <c r="O2682">
        <v>143</v>
      </c>
      <c r="P2682">
        <v>13.5</v>
      </c>
      <c r="Q2682">
        <v>10</v>
      </c>
      <c r="R2682">
        <v>5</v>
      </c>
      <c r="S2682">
        <v>2.7</v>
      </c>
      <c r="T2682">
        <v>2</v>
      </c>
      <c r="U2682" t="s">
        <v>22</v>
      </c>
      <c r="V2682" t="e">
        <f>IF(#REF! = "yes", 1, 0)</f>
        <v>#REF!</v>
      </c>
      <c r="W2682" t="e">
        <f>IF(#REF! &lt;= 1, "0-1 Calls", IF(#REF! &lt;= 3, "2-3 Calls", IF(#REF! &lt;=5, "4-5 Calls", "6+ Calls")))</f>
        <v>#REF!</v>
      </c>
      <c r="X2682" t="e">
        <f>IF(#REF! &lt;= 50, "0-50", IF(#REF! &lt;=100, "51-100", IF(#REF! &lt;= 150, "101-150", "151+")))</f>
        <v>#REF!</v>
      </c>
      <c r="Y2682" t="e">
        <f>IF(#REF! &lt;= 3, "Low Charges", "High Charges")</f>
        <v>#REF!</v>
      </c>
      <c r="Z2682" t="e">
        <f>IF(#REF!&lt;=80,"Low Calls",
IF(#REF!&lt;=120,"Medium Calls","High Calls"))</f>
        <v>#REF!</v>
      </c>
      <c r="AA2682" t="e">
        <f>IF(#REF!&lt;=15,"Low Charges",
IF(#REF!&lt;=20,"Medium Charges","High Charges"))</f>
        <v>#REF!</v>
      </c>
      <c r="AB2682" t="e">
        <f>IF(AND(#REF!&gt;180, #REF!&gt;200), "Heavy Doemstic User", IF(#REF!&gt;10, "Interntional User", IF(AND(#REF!&lt;180, #REF!&lt;200,#REF!&lt;200), "Light User", "Balanced User")))</f>
        <v>#REF!</v>
      </c>
      <c r="AC2682" t="e">
        <f>IF(#REF! = 0, "No Usage", IF(#REF! &lt;= 20, "Low Usage", IF(#REF! &lt;= 40, "Medium Usgae", "High Usage")))</f>
        <v>#REF!</v>
      </c>
      <c r="AD2682" t="e">
        <f>IF(#REF!&lt;=150,"Low Usage", IF(#REF!&lt;=200,"Medium Usage", IF(#REF!&lt;=250,"High Usage","Very High Usage")))</f>
        <v>#REF!</v>
      </c>
      <c r="AE2682" t="e">
        <f>IF(#REF!&lt;=5,"Low Calls", IF(#REF!&lt;=10, "Medium Calls", "High Calls"))</f>
        <v>#REF!</v>
      </c>
      <c r="AF2682" t="e">
        <f xml:space="preserve">
IF(#REF!&gt;=4,4,0)+
IF(#REF!="yes",3,0)+
IF(#REF!="High Charges",3,0)+
IF(#REF!&gt;250,4,0)+
IF(#REF!="no",1,0)+
IF(#REF!="Heavy Domestic User",2,0)</f>
        <v>#REF!</v>
      </c>
      <c r="AG2682" t="e">
        <f>IF(#REF!&gt;=10,"High Risk", IF(#REF!&gt;=5,"Medium Risk","Low Risk"))</f>
        <v>#REF!</v>
      </c>
      <c r="AH2682" t="e">
        <f>#REF! + #REF! + #REF! + #REF!</f>
        <v>#REF!</v>
      </c>
    </row>
    <row r="2683" spans="1:34" x14ac:dyDescent="0.35">
      <c r="A2683">
        <v>2682</v>
      </c>
      <c r="B2683" t="s">
        <v>55</v>
      </c>
      <c r="C2683">
        <v>81</v>
      </c>
      <c r="D2683" t="s">
        <v>21</v>
      </c>
      <c r="E2683" t="s">
        <v>22</v>
      </c>
      <c r="F2683" t="s">
        <v>22</v>
      </c>
      <c r="G2683">
        <v>0</v>
      </c>
      <c r="H2683">
        <v>129.9</v>
      </c>
      <c r="I2683">
        <v>121</v>
      </c>
      <c r="J2683">
        <v>22.08</v>
      </c>
      <c r="K2683">
        <v>230.1</v>
      </c>
      <c r="L2683">
        <v>105</v>
      </c>
      <c r="M2683">
        <v>19.559999999999999</v>
      </c>
      <c r="N2683">
        <v>140.5</v>
      </c>
      <c r="O2683">
        <v>123</v>
      </c>
      <c r="P2683">
        <v>6.32</v>
      </c>
      <c r="Q2683">
        <v>13.3</v>
      </c>
      <c r="R2683">
        <v>3</v>
      </c>
      <c r="S2683">
        <v>3.59</v>
      </c>
      <c r="T2683">
        <v>0</v>
      </c>
      <c r="U2683" t="s">
        <v>22</v>
      </c>
      <c r="V2683" t="e">
        <f>IF(#REF! = "yes", 1, 0)</f>
        <v>#REF!</v>
      </c>
      <c r="W2683" t="e">
        <f>IF(#REF! &lt;= 1, "0-1 Calls", IF(#REF! &lt;= 3, "2-3 Calls", IF(#REF! &lt;=5, "4-5 Calls", "6+ Calls")))</f>
        <v>#REF!</v>
      </c>
      <c r="X2683" t="e">
        <f>IF(#REF! &lt;= 50, "0-50", IF(#REF! &lt;=100, "51-100", IF(#REF! &lt;= 150, "101-150", "151+")))</f>
        <v>#REF!</v>
      </c>
      <c r="Y2683" t="e">
        <f>IF(#REF! &lt;= 3, "Low Charges", "High Charges")</f>
        <v>#REF!</v>
      </c>
      <c r="Z2683" t="e">
        <f>IF(#REF!&lt;=80,"Low Calls",
IF(#REF!&lt;=120,"Medium Calls","High Calls"))</f>
        <v>#REF!</v>
      </c>
      <c r="AA2683" t="e">
        <f>IF(#REF!&lt;=15,"Low Charges",
IF(#REF!&lt;=20,"Medium Charges","High Charges"))</f>
        <v>#REF!</v>
      </c>
      <c r="AB2683" t="e">
        <f>IF(AND(#REF!&gt;180, #REF!&gt;200), "Heavy Doemstic User", IF(#REF!&gt;10, "Interntional User", IF(AND(#REF!&lt;180, #REF!&lt;200,#REF!&lt;200), "Light User", "Balanced User")))</f>
        <v>#REF!</v>
      </c>
      <c r="AC2683" t="e">
        <f>IF(#REF! = 0, "No Usage", IF(#REF! &lt;= 20, "Low Usage", IF(#REF! &lt;= 40, "Medium Usgae", "High Usage")))</f>
        <v>#REF!</v>
      </c>
      <c r="AD2683" t="e">
        <f>IF(#REF!&lt;=150,"Low Usage", IF(#REF!&lt;=200,"Medium Usage", IF(#REF!&lt;=250,"High Usage","Very High Usage")))</f>
        <v>#REF!</v>
      </c>
      <c r="AE2683" t="e">
        <f>IF(#REF!&lt;=5,"Low Calls", IF(#REF!&lt;=10, "Medium Calls", "High Calls"))</f>
        <v>#REF!</v>
      </c>
      <c r="AF2683" t="e">
        <f xml:space="preserve">
IF(#REF!&gt;=4,4,0)+
IF(#REF!="yes",3,0)+
IF(#REF!="High Charges",3,0)+
IF(#REF!&gt;250,4,0)+
IF(#REF!="no",1,0)+
IF(#REF!="Heavy Domestic User",2,0)</f>
        <v>#REF!</v>
      </c>
      <c r="AG2683" t="e">
        <f>IF(#REF!&gt;=10,"High Risk", IF(#REF!&gt;=5,"Medium Risk","Low Risk"))</f>
        <v>#REF!</v>
      </c>
      <c r="AH2683" t="e">
        <f>#REF! + #REF! + #REF! + #REF!</f>
        <v>#REF!</v>
      </c>
    </row>
    <row r="2684" spans="1:34" x14ac:dyDescent="0.35">
      <c r="A2684">
        <v>2683</v>
      </c>
      <c r="B2684" t="s">
        <v>53</v>
      </c>
      <c r="C2684">
        <v>52</v>
      </c>
      <c r="D2684" t="s">
        <v>21</v>
      </c>
      <c r="E2684" t="s">
        <v>22</v>
      </c>
      <c r="F2684" t="s">
        <v>22</v>
      </c>
      <c r="G2684">
        <v>0</v>
      </c>
      <c r="H2684">
        <v>204.4</v>
      </c>
      <c r="I2684">
        <v>97</v>
      </c>
      <c r="J2684">
        <v>34.75</v>
      </c>
      <c r="K2684">
        <v>273.2</v>
      </c>
      <c r="L2684">
        <v>128</v>
      </c>
      <c r="M2684">
        <v>23.22</v>
      </c>
      <c r="N2684">
        <v>179.6</v>
      </c>
      <c r="O2684">
        <v>118</v>
      </c>
      <c r="P2684">
        <v>8.08</v>
      </c>
      <c r="Q2684">
        <v>11</v>
      </c>
      <c r="R2684">
        <v>5</v>
      </c>
      <c r="S2684">
        <v>2.97</v>
      </c>
      <c r="T2684">
        <v>1</v>
      </c>
      <c r="U2684" t="s">
        <v>22</v>
      </c>
      <c r="V2684" t="e">
        <f>IF(#REF! = "yes", 1, 0)</f>
        <v>#REF!</v>
      </c>
      <c r="W2684" t="e">
        <f>IF(#REF! &lt;= 1, "0-1 Calls", IF(#REF! &lt;= 3, "2-3 Calls", IF(#REF! &lt;=5, "4-5 Calls", "6+ Calls")))</f>
        <v>#REF!</v>
      </c>
      <c r="X2684" t="e">
        <f>IF(#REF! &lt;= 50, "0-50", IF(#REF! &lt;=100, "51-100", IF(#REF! &lt;= 150, "101-150", "151+")))</f>
        <v>#REF!</v>
      </c>
      <c r="Y2684" t="e">
        <f>IF(#REF! &lt;= 3, "Low Charges", "High Charges")</f>
        <v>#REF!</v>
      </c>
      <c r="Z2684" t="e">
        <f>IF(#REF!&lt;=80,"Low Calls",
IF(#REF!&lt;=120,"Medium Calls","High Calls"))</f>
        <v>#REF!</v>
      </c>
      <c r="AA2684" t="e">
        <f>IF(#REF!&lt;=15,"Low Charges",
IF(#REF!&lt;=20,"Medium Charges","High Charges"))</f>
        <v>#REF!</v>
      </c>
      <c r="AB2684" t="e">
        <f>IF(AND(#REF!&gt;180, #REF!&gt;200), "Heavy Doemstic User", IF(#REF!&gt;10, "Interntional User", IF(AND(#REF!&lt;180, #REF!&lt;200,#REF!&lt;200), "Light User", "Balanced User")))</f>
        <v>#REF!</v>
      </c>
      <c r="AC2684" t="e">
        <f>IF(#REF! = 0, "No Usage", IF(#REF! &lt;= 20, "Low Usage", IF(#REF! &lt;= 40, "Medium Usgae", "High Usage")))</f>
        <v>#REF!</v>
      </c>
      <c r="AD2684" t="e">
        <f>IF(#REF!&lt;=150,"Low Usage", IF(#REF!&lt;=200,"Medium Usage", IF(#REF!&lt;=250,"High Usage","Very High Usage")))</f>
        <v>#REF!</v>
      </c>
      <c r="AE2684" t="e">
        <f>IF(#REF!&lt;=5,"Low Calls", IF(#REF!&lt;=10, "Medium Calls", "High Calls"))</f>
        <v>#REF!</v>
      </c>
      <c r="AF2684" t="e">
        <f xml:space="preserve">
IF(#REF!&gt;=4,4,0)+
IF(#REF!="yes",3,0)+
IF(#REF!="High Charges",3,0)+
IF(#REF!&gt;250,4,0)+
IF(#REF!="no",1,0)+
IF(#REF!="Heavy Domestic User",2,0)</f>
        <v>#REF!</v>
      </c>
      <c r="AG2684" t="e">
        <f>IF(#REF!&gt;=10,"High Risk", IF(#REF!&gt;=5,"Medium Risk","Low Risk"))</f>
        <v>#REF!</v>
      </c>
      <c r="AH2684" t="e">
        <f>#REF! + #REF! + #REF! + #REF!</f>
        <v>#REF!</v>
      </c>
    </row>
    <row r="2685" spans="1:34" x14ac:dyDescent="0.35">
      <c r="A2685">
        <v>2684</v>
      </c>
      <c r="B2685" t="s">
        <v>51</v>
      </c>
      <c r="C2685">
        <v>91</v>
      </c>
      <c r="D2685" t="s">
        <v>25</v>
      </c>
      <c r="E2685" t="s">
        <v>22</v>
      </c>
      <c r="F2685" t="s">
        <v>23</v>
      </c>
      <c r="G2685">
        <v>44</v>
      </c>
      <c r="H2685">
        <v>216.6</v>
      </c>
      <c r="I2685">
        <v>101</v>
      </c>
      <c r="J2685">
        <v>36.82</v>
      </c>
      <c r="K2685">
        <v>173.1</v>
      </c>
      <c r="L2685">
        <v>98</v>
      </c>
      <c r="M2685">
        <v>14.71</v>
      </c>
      <c r="N2685">
        <v>242.1</v>
      </c>
      <c r="O2685">
        <v>95</v>
      </c>
      <c r="P2685">
        <v>10.89</v>
      </c>
      <c r="Q2685">
        <v>9.1</v>
      </c>
      <c r="R2685">
        <v>3</v>
      </c>
      <c r="S2685">
        <v>2.46</v>
      </c>
      <c r="T2685">
        <v>1</v>
      </c>
      <c r="U2685" t="s">
        <v>22</v>
      </c>
      <c r="V2685" t="e">
        <f>IF(#REF! = "yes", 1, 0)</f>
        <v>#REF!</v>
      </c>
      <c r="W2685" t="e">
        <f>IF(#REF! &lt;= 1, "0-1 Calls", IF(#REF! &lt;= 3, "2-3 Calls", IF(#REF! &lt;=5, "4-5 Calls", "6+ Calls")))</f>
        <v>#REF!</v>
      </c>
      <c r="X2685" t="e">
        <f>IF(#REF! &lt;= 50, "0-50", IF(#REF! &lt;=100, "51-100", IF(#REF! &lt;= 150, "101-150", "151+")))</f>
        <v>#REF!</v>
      </c>
      <c r="Y2685" t="e">
        <f>IF(#REF! &lt;= 3, "Low Charges", "High Charges")</f>
        <v>#REF!</v>
      </c>
      <c r="Z2685" t="e">
        <f>IF(#REF!&lt;=80,"Low Calls",
IF(#REF!&lt;=120,"Medium Calls","High Calls"))</f>
        <v>#REF!</v>
      </c>
      <c r="AA2685" t="e">
        <f>IF(#REF!&lt;=15,"Low Charges",
IF(#REF!&lt;=20,"Medium Charges","High Charges"))</f>
        <v>#REF!</v>
      </c>
      <c r="AB2685" t="e">
        <f>IF(AND(#REF!&gt;180, #REF!&gt;200), "Heavy Doemstic User", IF(#REF!&gt;10, "Interntional User", IF(AND(#REF!&lt;180, #REF!&lt;200,#REF!&lt;200), "Light User", "Balanced User")))</f>
        <v>#REF!</v>
      </c>
      <c r="AC2685" t="e">
        <f>IF(#REF! = 0, "No Usage", IF(#REF! &lt;= 20, "Low Usage", IF(#REF! &lt;= 40, "Medium Usgae", "High Usage")))</f>
        <v>#REF!</v>
      </c>
      <c r="AD2685" t="e">
        <f>IF(#REF!&lt;=150,"Low Usage", IF(#REF!&lt;=200,"Medium Usage", IF(#REF!&lt;=250,"High Usage","Very High Usage")))</f>
        <v>#REF!</v>
      </c>
      <c r="AE2685" t="e">
        <f>IF(#REF!&lt;=5,"Low Calls", IF(#REF!&lt;=10, "Medium Calls", "High Calls"))</f>
        <v>#REF!</v>
      </c>
      <c r="AF2685" t="e">
        <f xml:space="preserve">
IF(#REF!&gt;=4,4,0)+
IF(#REF!="yes",3,0)+
IF(#REF!="High Charges",3,0)+
IF(#REF!&gt;250,4,0)+
IF(#REF!="no",1,0)+
IF(#REF!="Heavy Domestic User",2,0)</f>
        <v>#REF!</v>
      </c>
      <c r="AG2685" t="e">
        <f>IF(#REF!&gt;=10,"High Risk", IF(#REF!&gt;=5,"Medium Risk","Low Risk"))</f>
        <v>#REF!</v>
      </c>
      <c r="AH2685" t="e">
        <f>#REF! + #REF! + #REF! + #REF!</f>
        <v>#REF!</v>
      </c>
    </row>
    <row r="2686" spans="1:34" x14ac:dyDescent="0.35">
      <c r="A2686">
        <v>2685</v>
      </c>
      <c r="B2686" t="s">
        <v>46</v>
      </c>
      <c r="C2686">
        <v>152</v>
      </c>
      <c r="D2686" t="s">
        <v>28</v>
      </c>
      <c r="E2686" t="s">
        <v>22</v>
      </c>
      <c r="F2686" t="s">
        <v>22</v>
      </c>
      <c r="G2686">
        <v>0</v>
      </c>
      <c r="H2686">
        <v>228.1</v>
      </c>
      <c r="I2686">
        <v>93</v>
      </c>
      <c r="J2686">
        <v>38.78</v>
      </c>
      <c r="K2686">
        <v>136.4</v>
      </c>
      <c r="L2686">
        <v>106</v>
      </c>
      <c r="M2686">
        <v>11.59</v>
      </c>
      <c r="N2686">
        <v>197.3</v>
      </c>
      <c r="O2686">
        <v>107</v>
      </c>
      <c r="P2686">
        <v>8.8800000000000008</v>
      </c>
      <c r="Q2686">
        <v>9</v>
      </c>
      <c r="R2686">
        <v>2</v>
      </c>
      <c r="S2686">
        <v>2.4300000000000002</v>
      </c>
      <c r="T2686">
        <v>1</v>
      </c>
      <c r="U2686" t="s">
        <v>22</v>
      </c>
      <c r="V2686" t="e">
        <f>IF(#REF! = "yes", 1, 0)</f>
        <v>#REF!</v>
      </c>
      <c r="W2686" t="e">
        <f>IF(#REF! &lt;= 1, "0-1 Calls", IF(#REF! &lt;= 3, "2-3 Calls", IF(#REF! &lt;=5, "4-5 Calls", "6+ Calls")))</f>
        <v>#REF!</v>
      </c>
      <c r="X2686" t="e">
        <f>IF(#REF! &lt;= 50, "0-50", IF(#REF! &lt;=100, "51-100", IF(#REF! &lt;= 150, "101-150", "151+")))</f>
        <v>#REF!</v>
      </c>
      <c r="Y2686" t="e">
        <f>IF(#REF! &lt;= 3, "Low Charges", "High Charges")</f>
        <v>#REF!</v>
      </c>
      <c r="Z2686" t="e">
        <f>IF(#REF!&lt;=80,"Low Calls",
IF(#REF!&lt;=120,"Medium Calls","High Calls"))</f>
        <v>#REF!</v>
      </c>
      <c r="AA2686" t="e">
        <f>IF(#REF!&lt;=15,"Low Charges",
IF(#REF!&lt;=20,"Medium Charges","High Charges"))</f>
        <v>#REF!</v>
      </c>
      <c r="AB2686" t="e">
        <f>IF(AND(#REF!&gt;180, #REF!&gt;200), "Heavy Doemstic User", IF(#REF!&gt;10, "Interntional User", IF(AND(#REF!&lt;180, #REF!&lt;200,#REF!&lt;200), "Light User", "Balanced User")))</f>
        <v>#REF!</v>
      </c>
      <c r="AC2686" t="e">
        <f>IF(#REF! = 0, "No Usage", IF(#REF! &lt;= 20, "Low Usage", IF(#REF! &lt;= 40, "Medium Usgae", "High Usage")))</f>
        <v>#REF!</v>
      </c>
      <c r="AD2686" t="e">
        <f>IF(#REF!&lt;=150,"Low Usage", IF(#REF!&lt;=200,"Medium Usage", IF(#REF!&lt;=250,"High Usage","Very High Usage")))</f>
        <v>#REF!</v>
      </c>
      <c r="AE2686" t="e">
        <f>IF(#REF!&lt;=5,"Low Calls", IF(#REF!&lt;=10, "Medium Calls", "High Calls"))</f>
        <v>#REF!</v>
      </c>
      <c r="AF2686" t="e">
        <f xml:space="preserve">
IF(#REF!&gt;=4,4,0)+
IF(#REF!="yes",3,0)+
IF(#REF!="High Charges",3,0)+
IF(#REF!&gt;250,4,0)+
IF(#REF!="no",1,0)+
IF(#REF!="Heavy Domestic User",2,0)</f>
        <v>#REF!</v>
      </c>
      <c r="AG2686" t="e">
        <f>IF(#REF!&gt;=10,"High Risk", IF(#REF!&gt;=5,"Medium Risk","Low Risk"))</f>
        <v>#REF!</v>
      </c>
      <c r="AH2686" t="e">
        <f>#REF! + #REF! + #REF! + #REF!</f>
        <v>#REF!</v>
      </c>
    </row>
    <row r="2687" spans="1:34" x14ac:dyDescent="0.35">
      <c r="A2687">
        <v>2686</v>
      </c>
      <c r="B2687" t="s">
        <v>39</v>
      </c>
      <c r="C2687">
        <v>201</v>
      </c>
      <c r="D2687" t="s">
        <v>21</v>
      </c>
      <c r="E2687" t="s">
        <v>22</v>
      </c>
      <c r="F2687" t="s">
        <v>22</v>
      </c>
      <c r="G2687">
        <v>0</v>
      </c>
      <c r="H2687">
        <v>225.9</v>
      </c>
      <c r="I2687">
        <v>110</v>
      </c>
      <c r="J2687">
        <v>38.4</v>
      </c>
      <c r="K2687">
        <v>299.10000000000002</v>
      </c>
      <c r="L2687">
        <v>86</v>
      </c>
      <c r="M2687">
        <v>25.42</v>
      </c>
      <c r="N2687">
        <v>251.3</v>
      </c>
      <c r="O2687">
        <v>81</v>
      </c>
      <c r="P2687">
        <v>11.31</v>
      </c>
      <c r="Q2687">
        <v>11.2</v>
      </c>
      <c r="R2687">
        <v>4</v>
      </c>
      <c r="S2687">
        <v>3.02</v>
      </c>
      <c r="T2687">
        <v>1</v>
      </c>
      <c r="U2687" t="s">
        <v>23</v>
      </c>
      <c r="V2687" t="e">
        <f>IF(#REF! = "yes", 1, 0)</f>
        <v>#REF!</v>
      </c>
      <c r="W2687" t="e">
        <f>IF(#REF! &lt;= 1, "0-1 Calls", IF(#REF! &lt;= 3, "2-3 Calls", IF(#REF! &lt;=5, "4-5 Calls", "6+ Calls")))</f>
        <v>#REF!</v>
      </c>
      <c r="X2687" t="e">
        <f>IF(#REF! &lt;= 50, "0-50", IF(#REF! &lt;=100, "51-100", IF(#REF! &lt;= 150, "101-150", "151+")))</f>
        <v>#REF!</v>
      </c>
      <c r="Y2687" t="e">
        <f>IF(#REF! &lt;= 3, "Low Charges", "High Charges")</f>
        <v>#REF!</v>
      </c>
      <c r="Z2687" t="e">
        <f>IF(#REF!&lt;=80,"Low Calls",
IF(#REF!&lt;=120,"Medium Calls","High Calls"))</f>
        <v>#REF!</v>
      </c>
      <c r="AA2687" t="e">
        <f>IF(#REF!&lt;=15,"Low Charges",
IF(#REF!&lt;=20,"Medium Charges","High Charges"))</f>
        <v>#REF!</v>
      </c>
      <c r="AB2687" t="e">
        <f>IF(AND(#REF!&gt;180, #REF!&gt;200), "Heavy Doemstic User", IF(#REF!&gt;10, "Interntional User", IF(AND(#REF!&lt;180, #REF!&lt;200,#REF!&lt;200), "Light User", "Balanced User")))</f>
        <v>#REF!</v>
      </c>
      <c r="AC2687" t="e">
        <f>IF(#REF! = 0, "No Usage", IF(#REF! &lt;= 20, "Low Usage", IF(#REF! &lt;= 40, "Medium Usgae", "High Usage")))</f>
        <v>#REF!</v>
      </c>
      <c r="AD2687" t="e">
        <f>IF(#REF!&lt;=150,"Low Usage", IF(#REF!&lt;=200,"Medium Usage", IF(#REF!&lt;=250,"High Usage","Very High Usage")))</f>
        <v>#REF!</v>
      </c>
      <c r="AE2687" t="e">
        <f>IF(#REF!&lt;=5,"Low Calls", IF(#REF!&lt;=10, "Medium Calls", "High Calls"))</f>
        <v>#REF!</v>
      </c>
      <c r="AF2687" t="e">
        <f xml:space="preserve">
IF(#REF!&gt;=4,4,0)+
IF(#REF!="yes",3,0)+
IF(#REF!="High Charges",3,0)+
IF(#REF!&gt;250,4,0)+
IF(#REF!="no",1,0)+
IF(#REF!="Heavy Domestic User",2,0)</f>
        <v>#REF!</v>
      </c>
      <c r="AG2687" t="e">
        <f>IF(#REF!&gt;=10,"High Risk", IF(#REF!&gt;=5,"Medium Risk","Low Risk"))</f>
        <v>#REF!</v>
      </c>
      <c r="AH2687" t="e">
        <f>#REF! + #REF! + #REF! + #REF!</f>
        <v>#REF!</v>
      </c>
    </row>
    <row r="2688" spans="1:34" x14ac:dyDescent="0.35">
      <c r="A2688">
        <v>2687</v>
      </c>
      <c r="B2688" t="s">
        <v>37</v>
      </c>
      <c r="C2688">
        <v>78</v>
      </c>
      <c r="D2688" t="s">
        <v>21</v>
      </c>
      <c r="E2688" t="s">
        <v>22</v>
      </c>
      <c r="F2688" t="s">
        <v>22</v>
      </c>
      <c r="G2688">
        <v>0</v>
      </c>
      <c r="H2688">
        <v>103.5</v>
      </c>
      <c r="I2688">
        <v>115</v>
      </c>
      <c r="J2688">
        <v>17.600000000000001</v>
      </c>
      <c r="K2688">
        <v>117.9</v>
      </c>
      <c r="L2688">
        <v>102</v>
      </c>
      <c r="M2688">
        <v>10.02</v>
      </c>
      <c r="N2688">
        <v>201</v>
      </c>
      <c r="O2688">
        <v>94</v>
      </c>
      <c r="P2688">
        <v>9.0500000000000007</v>
      </c>
      <c r="Q2688">
        <v>12</v>
      </c>
      <c r="R2688">
        <v>3</v>
      </c>
      <c r="S2688">
        <v>3.24</v>
      </c>
      <c r="T2688">
        <v>4</v>
      </c>
      <c r="U2688" t="s">
        <v>23</v>
      </c>
      <c r="V2688" t="e">
        <f>IF(#REF! = "yes", 1, 0)</f>
        <v>#REF!</v>
      </c>
      <c r="W2688" t="e">
        <f>IF(#REF! &lt;= 1, "0-1 Calls", IF(#REF! &lt;= 3, "2-3 Calls", IF(#REF! &lt;=5, "4-5 Calls", "6+ Calls")))</f>
        <v>#REF!</v>
      </c>
      <c r="X2688" t="e">
        <f>IF(#REF! &lt;= 50, "0-50", IF(#REF! &lt;=100, "51-100", IF(#REF! &lt;= 150, "101-150", "151+")))</f>
        <v>#REF!</v>
      </c>
      <c r="Y2688" t="e">
        <f>IF(#REF! &lt;= 3, "Low Charges", "High Charges")</f>
        <v>#REF!</v>
      </c>
      <c r="Z2688" t="e">
        <f>IF(#REF!&lt;=80,"Low Calls",
IF(#REF!&lt;=120,"Medium Calls","High Calls"))</f>
        <v>#REF!</v>
      </c>
      <c r="AA2688" t="e">
        <f>IF(#REF!&lt;=15,"Low Charges",
IF(#REF!&lt;=20,"Medium Charges","High Charges"))</f>
        <v>#REF!</v>
      </c>
      <c r="AB2688" t="e">
        <f>IF(AND(#REF!&gt;180, #REF!&gt;200), "Heavy Doemstic User", IF(#REF!&gt;10, "Interntional User", IF(AND(#REF!&lt;180, #REF!&lt;200,#REF!&lt;200), "Light User", "Balanced User")))</f>
        <v>#REF!</v>
      </c>
      <c r="AC2688" t="e">
        <f>IF(#REF! = 0, "No Usage", IF(#REF! &lt;= 20, "Low Usage", IF(#REF! &lt;= 40, "Medium Usgae", "High Usage")))</f>
        <v>#REF!</v>
      </c>
      <c r="AD2688" t="e">
        <f>IF(#REF!&lt;=150,"Low Usage", IF(#REF!&lt;=200,"Medium Usage", IF(#REF!&lt;=250,"High Usage","Very High Usage")))</f>
        <v>#REF!</v>
      </c>
      <c r="AE2688" t="e">
        <f>IF(#REF!&lt;=5,"Low Calls", IF(#REF!&lt;=10, "Medium Calls", "High Calls"))</f>
        <v>#REF!</v>
      </c>
      <c r="AF2688" t="e">
        <f xml:space="preserve">
IF(#REF!&gt;=4,4,0)+
IF(#REF!="yes",3,0)+
IF(#REF!="High Charges",3,0)+
IF(#REF!&gt;250,4,0)+
IF(#REF!="no",1,0)+
IF(#REF!="Heavy Domestic User",2,0)</f>
        <v>#REF!</v>
      </c>
      <c r="AG2688" t="e">
        <f>IF(#REF!&gt;=10,"High Risk", IF(#REF!&gt;=5,"Medium Risk","Low Risk"))</f>
        <v>#REF!</v>
      </c>
      <c r="AH2688" t="e">
        <f>#REF! + #REF! + #REF! + #REF!</f>
        <v>#REF!</v>
      </c>
    </row>
    <row r="2689" spans="1:34" x14ac:dyDescent="0.35">
      <c r="A2689">
        <v>2688</v>
      </c>
      <c r="B2689" t="s">
        <v>74</v>
      </c>
      <c r="C2689">
        <v>67</v>
      </c>
      <c r="D2689" t="s">
        <v>21</v>
      </c>
      <c r="E2689" t="s">
        <v>22</v>
      </c>
      <c r="F2689" t="s">
        <v>22</v>
      </c>
      <c r="G2689">
        <v>0</v>
      </c>
      <c r="H2689">
        <v>115.5</v>
      </c>
      <c r="I2689">
        <v>70</v>
      </c>
      <c r="J2689">
        <v>19.64</v>
      </c>
      <c r="K2689">
        <v>252.2</v>
      </c>
      <c r="L2689">
        <v>143</v>
      </c>
      <c r="M2689">
        <v>21.44</v>
      </c>
      <c r="N2689">
        <v>208.9</v>
      </c>
      <c r="O2689">
        <v>91</v>
      </c>
      <c r="P2689">
        <v>9.4</v>
      </c>
      <c r="Q2689">
        <v>7.5</v>
      </c>
      <c r="R2689">
        <v>6</v>
      </c>
      <c r="S2689">
        <v>2.0299999999999998</v>
      </c>
      <c r="T2689">
        <v>0</v>
      </c>
      <c r="U2689" t="s">
        <v>22</v>
      </c>
      <c r="V2689" t="e">
        <f>IF(#REF! = "yes", 1, 0)</f>
        <v>#REF!</v>
      </c>
      <c r="W2689" t="e">
        <f>IF(#REF! &lt;= 1, "0-1 Calls", IF(#REF! &lt;= 3, "2-3 Calls", IF(#REF! &lt;=5, "4-5 Calls", "6+ Calls")))</f>
        <v>#REF!</v>
      </c>
      <c r="X2689" t="e">
        <f>IF(#REF! &lt;= 50, "0-50", IF(#REF! &lt;=100, "51-100", IF(#REF! &lt;= 150, "101-150", "151+")))</f>
        <v>#REF!</v>
      </c>
      <c r="Y2689" t="e">
        <f>IF(#REF! &lt;= 3, "Low Charges", "High Charges")</f>
        <v>#REF!</v>
      </c>
      <c r="Z2689" t="e">
        <f>IF(#REF!&lt;=80,"Low Calls",
IF(#REF!&lt;=120,"Medium Calls","High Calls"))</f>
        <v>#REF!</v>
      </c>
      <c r="AA2689" t="e">
        <f>IF(#REF!&lt;=15,"Low Charges",
IF(#REF!&lt;=20,"Medium Charges","High Charges"))</f>
        <v>#REF!</v>
      </c>
      <c r="AB2689" t="e">
        <f>IF(AND(#REF!&gt;180, #REF!&gt;200), "Heavy Doemstic User", IF(#REF!&gt;10, "Interntional User", IF(AND(#REF!&lt;180, #REF!&lt;200,#REF!&lt;200), "Light User", "Balanced User")))</f>
        <v>#REF!</v>
      </c>
      <c r="AC2689" t="e">
        <f>IF(#REF! = 0, "No Usage", IF(#REF! &lt;= 20, "Low Usage", IF(#REF! &lt;= 40, "Medium Usgae", "High Usage")))</f>
        <v>#REF!</v>
      </c>
      <c r="AD2689" t="e">
        <f>IF(#REF!&lt;=150,"Low Usage", IF(#REF!&lt;=200,"Medium Usage", IF(#REF!&lt;=250,"High Usage","Very High Usage")))</f>
        <v>#REF!</v>
      </c>
      <c r="AE2689" t="e">
        <f>IF(#REF!&lt;=5,"Low Calls", IF(#REF!&lt;=10, "Medium Calls", "High Calls"))</f>
        <v>#REF!</v>
      </c>
      <c r="AF2689" t="e">
        <f xml:space="preserve">
IF(#REF!&gt;=4,4,0)+
IF(#REF!="yes",3,0)+
IF(#REF!="High Charges",3,0)+
IF(#REF!&gt;250,4,0)+
IF(#REF!="no",1,0)+
IF(#REF!="Heavy Domestic User",2,0)</f>
        <v>#REF!</v>
      </c>
      <c r="AG2689" t="e">
        <f>IF(#REF!&gt;=10,"High Risk", IF(#REF!&gt;=5,"Medium Risk","Low Risk"))</f>
        <v>#REF!</v>
      </c>
      <c r="AH2689" t="e">
        <f>#REF! + #REF! + #REF! + #REF!</f>
        <v>#REF!</v>
      </c>
    </row>
    <row r="2690" spans="1:34" x14ac:dyDescent="0.35">
      <c r="A2690">
        <v>2689</v>
      </c>
      <c r="B2690" t="s">
        <v>46</v>
      </c>
      <c r="C2690">
        <v>100</v>
      </c>
      <c r="D2690" t="s">
        <v>25</v>
      </c>
      <c r="E2690" t="s">
        <v>22</v>
      </c>
      <c r="F2690" t="s">
        <v>22</v>
      </c>
      <c r="G2690">
        <v>0</v>
      </c>
      <c r="H2690">
        <v>218.8</v>
      </c>
      <c r="I2690">
        <v>125</v>
      </c>
      <c r="J2690">
        <v>37.200000000000003</v>
      </c>
      <c r="K2690">
        <v>148.30000000000001</v>
      </c>
      <c r="L2690">
        <v>102</v>
      </c>
      <c r="M2690">
        <v>12.61</v>
      </c>
      <c r="N2690">
        <v>277.8</v>
      </c>
      <c r="O2690">
        <v>97</v>
      </c>
      <c r="P2690">
        <v>12.5</v>
      </c>
      <c r="Q2690">
        <v>9.6999999999999993</v>
      </c>
      <c r="R2690">
        <v>6</v>
      </c>
      <c r="S2690">
        <v>2.62</v>
      </c>
      <c r="T2690">
        <v>1</v>
      </c>
      <c r="U2690" t="s">
        <v>22</v>
      </c>
      <c r="V2690" t="e">
        <f>IF(#REF! = "yes", 1, 0)</f>
        <v>#REF!</v>
      </c>
      <c r="W2690" t="e">
        <f>IF(#REF! &lt;= 1, "0-1 Calls", IF(#REF! &lt;= 3, "2-3 Calls", IF(#REF! &lt;=5, "4-5 Calls", "6+ Calls")))</f>
        <v>#REF!</v>
      </c>
      <c r="X2690" t="e">
        <f>IF(#REF! &lt;= 50, "0-50", IF(#REF! &lt;=100, "51-100", IF(#REF! &lt;= 150, "101-150", "151+")))</f>
        <v>#REF!</v>
      </c>
      <c r="Y2690" t="e">
        <f>IF(#REF! &lt;= 3, "Low Charges", "High Charges")</f>
        <v>#REF!</v>
      </c>
      <c r="Z2690" t="e">
        <f>IF(#REF!&lt;=80,"Low Calls",
IF(#REF!&lt;=120,"Medium Calls","High Calls"))</f>
        <v>#REF!</v>
      </c>
      <c r="AA2690" t="e">
        <f>IF(#REF!&lt;=15,"Low Charges",
IF(#REF!&lt;=20,"Medium Charges","High Charges"))</f>
        <v>#REF!</v>
      </c>
      <c r="AB2690" t="e">
        <f>IF(AND(#REF!&gt;180, #REF!&gt;200), "Heavy Doemstic User", IF(#REF!&gt;10, "Interntional User", IF(AND(#REF!&lt;180, #REF!&lt;200,#REF!&lt;200), "Light User", "Balanced User")))</f>
        <v>#REF!</v>
      </c>
      <c r="AC2690" t="e">
        <f>IF(#REF! = 0, "No Usage", IF(#REF! &lt;= 20, "Low Usage", IF(#REF! &lt;= 40, "Medium Usgae", "High Usage")))</f>
        <v>#REF!</v>
      </c>
      <c r="AD2690" t="e">
        <f>IF(#REF!&lt;=150,"Low Usage", IF(#REF!&lt;=200,"Medium Usage", IF(#REF!&lt;=250,"High Usage","Very High Usage")))</f>
        <v>#REF!</v>
      </c>
      <c r="AE2690" t="e">
        <f>IF(#REF!&lt;=5,"Low Calls", IF(#REF!&lt;=10, "Medium Calls", "High Calls"))</f>
        <v>#REF!</v>
      </c>
      <c r="AF2690" t="e">
        <f xml:space="preserve">
IF(#REF!&gt;=4,4,0)+
IF(#REF!="yes",3,0)+
IF(#REF!="High Charges",3,0)+
IF(#REF!&gt;250,4,0)+
IF(#REF!="no",1,0)+
IF(#REF!="Heavy Domestic User",2,0)</f>
        <v>#REF!</v>
      </c>
      <c r="AG2690" t="e">
        <f>IF(#REF!&gt;=10,"High Risk", IF(#REF!&gt;=5,"Medium Risk","Low Risk"))</f>
        <v>#REF!</v>
      </c>
      <c r="AH2690" t="e">
        <f>#REF! + #REF! + #REF! + #REF!</f>
        <v>#REF!</v>
      </c>
    </row>
    <row r="2691" spans="1:34" x14ac:dyDescent="0.35">
      <c r="A2691">
        <v>2690</v>
      </c>
      <c r="B2691" t="s">
        <v>44</v>
      </c>
      <c r="C2691">
        <v>41</v>
      </c>
      <c r="D2691" t="s">
        <v>28</v>
      </c>
      <c r="E2691" t="s">
        <v>22</v>
      </c>
      <c r="F2691" t="s">
        <v>22</v>
      </c>
      <c r="G2691">
        <v>0</v>
      </c>
      <c r="H2691">
        <v>223.8</v>
      </c>
      <c r="I2691">
        <v>67</v>
      </c>
      <c r="J2691">
        <v>38.049999999999997</v>
      </c>
      <c r="K2691">
        <v>244.8</v>
      </c>
      <c r="L2691">
        <v>74</v>
      </c>
      <c r="M2691">
        <v>20.81</v>
      </c>
      <c r="N2691">
        <v>223.8</v>
      </c>
      <c r="O2691">
        <v>156</v>
      </c>
      <c r="P2691">
        <v>10.07</v>
      </c>
      <c r="Q2691">
        <v>12.3</v>
      </c>
      <c r="R2691">
        <v>5</v>
      </c>
      <c r="S2691">
        <v>3.32</v>
      </c>
      <c r="T2691">
        <v>3</v>
      </c>
      <c r="U2691" t="s">
        <v>22</v>
      </c>
      <c r="V2691" t="e">
        <f>IF(#REF! = "yes", 1, 0)</f>
        <v>#REF!</v>
      </c>
      <c r="W2691" t="e">
        <f>IF(#REF! &lt;= 1, "0-1 Calls", IF(#REF! &lt;= 3, "2-3 Calls", IF(#REF! &lt;=5, "4-5 Calls", "6+ Calls")))</f>
        <v>#REF!</v>
      </c>
      <c r="X2691" t="e">
        <f>IF(#REF! &lt;= 50, "0-50", IF(#REF! &lt;=100, "51-100", IF(#REF! &lt;= 150, "101-150", "151+")))</f>
        <v>#REF!</v>
      </c>
      <c r="Y2691" t="e">
        <f>IF(#REF! &lt;= 3, "Low Charges", "High Charges")</f>
        <v>#REF!</v>
      </c>
      <c r="Z2691" t="e">
        <f>IF(#REF!&lt;=80,"Low Calls",
IF(#REF!&lt;=120,"Medium Calls","High Calls"))</f>
        <v>#REF!</v>
      </c>
      <c r="AA2691" t="e">
        <f>IF(#REF!&lt;=15,"Low Charges",
IF(#REF!&lt;=20,"Medium Charges","High Charges"))</f>
        <v>#REF!</v>
      </c>
      <c r="AB2691" t="e">
        <f>IF(AND(#REF!&gt;180, #REF!&gt;200), "Heavy Doemstic User", IF(#REF!&gt;10, "Interntional User", IF(AND(#REF!&lt;180, #REF!&lt;200,#REF!&lt;200), "Light User", "Balanced User")))</f>
        <v>#REF!</v>
      </c>
      <c r="AC2691" t="e">
        <f>IF(#REF! = 0, "No Usage", IF(#REF! &lt;= 20, "Low Usage", IF(#REF! &lt;= 40, "Medium Usgae", "High Usage")))</f>
        <v>#REF!</v>
      </c>
      <c r="AD2691" t="e">
        <f>IF(#REF!&lt;=150,"Low Usage", IF(#REF!&lt;=200,"Medium Usage", IF(#REF!&lt;=250,"High Usage","Very High Usage")))</f>
        <v>#REF!</v>
      </c>
      <c r="AE2691" t="e">
        <f>IF(#REF!&lt;=5,"Low Calls", IF(#REF!&lt;=10, "Medium Calls", "High Calls"))</f>
        <v>#REF!</v>
      </c>
      <c r="AF2691" t="e">
        <f xml:space="preserve">
IF(#REF!&gt;=4,4,0)+
IF(#REF!="yes",3,0)+
IF(#REF!="High Charges",3,0)+
IF(#REF!&gt;250,4,0)+
IF(#REF!="no",1,0)+
IF(#REF!="Heavy Domestic User",2,0)</f>
        <v>#REF!</v>
      </c>
      <c r="AG2691" t="e">
        <f>IF(#REF!&gt;=10,"High Risk", IF(#REF!&gt;=5,"Medium Risk","Low Risk"))</f>
        <v>#REF!</v>
      </c>
      <c r="AH2691" t="e">
        <f>#REF! + #REF! + #REF! + #REF!</f>
        <v>#REF!</v>
      </c>
    </row>
    <row r="2692" spans="1:34" x14ac:dyDescent="0.35">
      <c r="A2692">
        <v>2691</v>
      </c>
      <c r="B2692" t="s">
        <v>52</v>
      </c>
      <c r="C2692">
        <v>133</v>
      </c>
      <c r="D2692" t="s">
        <v>21</v>
      </c>
      <c r="E2692" t="s">
        <v>22</v>
      </c>
      <c r="F2692" t="s">
        <v>22</v>
      </c>
      <c r="G2692">
        <v>0</v>
      </c>
      <c r="H2692">
        <v>143.80000000000001</v>
      </c>
      <c r="I2692">
        <v>71</v>
      </c>
      <c r="J2692">
        <v>24.45</v>
      </c>
      <c r="K2692">
        <v>184</v>
      </c>
      <c r="L2692">
        <v>131</v>
      </c>
      <c r="M2692">
        <v>15.64</v>
      </c>
      <c r="N2692">
        <v>275.5</v>
      </c>
      <c r="O2692">
        <v>132</v>
      </c>
      <c r="P2692">
        <v>12.4</v>
      </c>
      <c r="Q2692">
        <v>12.9</v>
      </c>
      <c r="R2692">
        <v>4</v>
      </c>
      <c r="S2692">
        <v>3.48</v>
      </c>
      <c r="T2692">
        <v>3</v>
      </c>
      <c r="U2692" t="s">
        <v>22</v>
      </c>
      <c r="V2692" t="e">
        <f>IF(#REF! = "yes", 1, 0)</f>
        <v>#REF!</v>
      </c>
      <c r="W2692" t="e">
        <f>IF(#REF! &lt;= 1, "0-1 Calls", IF(#REF! &lt;= 3, "2-3 Calls", IF(#REF! &lt;=5, "4-5 Calls", "6+ Calls")))</f>
        <v>#REF!</v>
      </c>
      <c r="X2692" t="e">
        <f>IF(#REF! &lt;= 50, "0-50", IF(#REF! &lt;=100, "51-100", IF(#REF! &lt;= 150, "101-150", "151+")))</f>
        <v>#REF!</v>
      </c>
      <c r="Y2692" t="e">
        <f>IF(#REF! &lt;= 3, "Low Charges", "High Charges")</f>
        <v>#REF!</v>
      </c>
      <c r="Z2692" t="e">
        <f>IF(#REF!&lt;=80,"Low Calls",
IF(#REF!&lt;=120,"Medium Calls","High Calls"))</f>
        <v>#REF!</v>
      </c>
      <c r="AA2692" t="e">
        <f>IF(#REF!&lt;=15,"Low Charges",
IF(#REF!&lt;=20,"Medium Charges","High Charges"))</f>
        <v>#REF!</v>
      </c>
      <c r="AB2692" t="e">
        <f>IF(AND(#REF!&gt;180, #REF!&gt;200), "Heavy Doemstic User", IF(#REF!&gt;10, "Interntional User", IF(AND(#REF!&lt;180, #REF!&lt;200,#REF!&lt;200), "Light User", "Balanced User")))</f>
        <v>#REF!</v>
      </c>
      <c r="AC2692" t="e">
        <f>IF(#REF! = 0, "No Usage", IF(#REF! &lt;= 20, "Low Usage", IF(#REF! &lt;= 40, "Medium Usgae", "High Usage")))</f>
        <v>#REF!</v>
      </c>
      <c r="AD2692" t="e">
        <f>IF(#REF!&lt;=150,"Low Usage", IF(#REF!&lt;=200,"Medium Usage", IF(#REF!&lt;=250,"High Usage","Very High Usage")))</f>
        <v>#REF!</v>
      </c>
      <c r="AE2692" t="e">
        <f>IF(#REF!&lt;=5,"Low Calls", IF(#REF!&lt;=10, "Medium Calls", "High Calls"))</f>
        <v>#REF!</v>
      </c>
      <c r="AF2692" t="e">
        <f xml:space="preserve">
IF(#REF!&gt;=4,4,0)+
IF(#REF!="yes",3,0)+
IF(#REF!="High Charges",3,0)+
IF(#REF!&gt;250,4,0)+
IF(#REF!="no",1,0)+
IF(#REF!="Heavy Domestic User",2,0)</f>
        <v>#REF!</v>
      </c>
      <c r="AG2692" t="e">
        <f>IF(#REF!&gt;=10,"High Risk", IF(#REF!&gt;=5,"Medium Risk","Low Risk"))</f>
        <v>#REF!</v>
      </c>
      <c r="AH2692" t="e">
        <f>#REF! + #REF! + #REF! + #REF!</f>
        <v>#REF!</v>
      </c>
    </row>
    <row r="2693" spans="1:34" x14ac:dyDescent="0.35">
      <c r="A2693">
        <v>2692</v>
      </c>
      <c r="B2693" t="s">
        <v>43</v>
      </c>
      <c r="C2693">
        <v>36</v>
      </c>
      <c r="D2693" t="s">
        <v>25</v>
      </c>
      <c r="E2693" t="s">
        <v>22</v>
      </c>
      <c r="F2693" t="s">
        <v>23</v>
      </c>
      <c r="G2693">
        <v>43</v>
      </c>
      <c r="H2693">
        <v>29.9</v>
      </c>
      <c r="I2693">
        <v>123</v>
      </c>
      <c r="J2693">
        <v>5.08</v>
      </c>
      <c r="K2693">
        <v>129.1</v>
      </c>
      <c r="L2693">
        <v>117</v>
      </c>
      <c r="M2693">
        <v>10.97</v>
      </c>
      <c r="N2693">
        <v>325.89999999999998</v>
      </c>
      <c r="O2693">
        <v>105</v>
      </c>
      <c r="P2693">
        <v>14.67</v>
      </c>
      <c r="Q2693">
        <v>8.6</v>
      </c>
      <c r="R2693">
        <v>6</v>
      </c>
      <c r="S2693">
        <v>2.3199999999999998</v>
      </c>
      <c r="T2693">
        <v>2</v>
      </c>
      <c r="U2693" t="s">
        <v>22</v>
      </c>
      <c r="V2693" t="e">
        <f>IF(#REF! = "yes", 1, 0)</f>
        <v>#REF!</v>
      </c>
      <c r="W2693" t="e">
        <f>IF(#REF! &lt;= 1, "0-1 Calls", IF(#REF! &lt;= 3, "2-3 Calls", IF(#REF! &lt;=5, "4-5 Calls", "6+ Calls")))</f>
        <v>#REF!</v>
      </c>
      <c r="X2693" t="e">
        <f>IF(#REF! &lt;= 50, "0-50", IF(#REF! &lt;=100, "51-100", IF(#REF! &lt;= 150, "101-150", "151+")))</f>
        <v>#REF!</v>
      </c>
      <c r="Y2693" t="e">
        <f>IF(#REF! &lt;= 3, "Low Charges", "High Charges")</f>
        <v>#REF!</v>
      </c>
      <c r="Z2693" t="e">
        <f>IF(#REF!&lt;=80,"Low Calls",
IF(#REF!&lt;=120,"Medium Calls","High Calls"))</f>
        <v>#REF!</v>
      </c>
      <c r="AA2693" t="e">
        <f>IF(#REF!&lt;=15,"Low Charges",
IF(#REF!&lt;=20,"Medium Charges","High Charges"))</f>
        <v>#REF!</v>
      </c>
      <c r="AB2693" t="e">
        <f>IF(AND(#REF!&gt;180, #REF!&gt;200), "Heavy Doemstic User", IF(#REF!&gt;10, "Interntional User", IF(AND(#REF!&lt;180, #REF!&lt;200,#REF!&lt;200), "Light User", "Balanced User")))</f>
        <v>#REF!</v>
      </c>
      <c r="AC2693" t="e">
        <f>IF(#REF! = 0, "No Usage", IF(#REF! &lt;= 20, "Low Usage", IF(#REF! &lt;= 40, "Medium Usgae", "High Usage")))</f>
        <v>#REF!</v>
      </c>
      <c r="AD2693" t="e">
        <f>IF(#REF!&lt;=150,"Low Usage", IF(#REF!&lt;=200,"Medium Usage", IF(#REF!&lt;=250,"High Usage","Very High Usage")))</f>
        <v>#REF!</v>
      </c>
      <c r="AE2693" t="e">
        <f>IF(#REF!&lt;=5,"Low Calls", IF(#REF!&lt;=10, "Medium Calls", "High Calls"))</f>
        <v>#REF!</v>
      </c>
      <c r="AF2693" t="e">
        <f xml:space="preserve">
IF(#REF!&gt;=4,4,0)+
IF(#REF!="yes",3,0)+
IF(#REF!="High Charges",3,0)+
IF(#REF!&gt;250,4,0)+
IF(#REF!="no",1,0)+
IF(#REF!="Heavy Domestic User",2,0)</f>
        <v>#REF!</v>
      </c>
      <c r="AG2693" t="e">
        <f>IF(#REF!&gt;=10,"High Risk", IF(#REF!&gt;=5,"Medium Risk","Low Risk"))</f>
        <v>#REF!</v>
      </c>
      <c r="AH2693" t="e">
        <f>#REF! + #REF! + #REF! + #REF!</f>
        <v>#REF!</v>
      </c>
    </row>
    <row r="2694" spans="1:34" x14ac:dyDescent="0.35">
      <c r="A2694">
        <v>2693</v>
      </c>
      <c r="B2694" t="s">
        <v>49</v>
      </c>
      <c r="C2694">
        <v>51</v>
      </c>
      <c r="D2694" t="s">
        <v>28</v>
      </c>
      <c r="E2694" t="s">
        <v>22</v>
      </c>
      <c r="F2694" t="s">
        <v>23</v>
      </c>
      <c r="G2694">
        <v>28</v>
      </c>
      <c r="H2694">
        <v>276.7</v>
      </c>
      <c r="I2694">
        <v>121</v>
      </c>
      <c r="J2694">
        <v>47.04</v>
      </c>
      <c r="K2694">
        <v>203.7</v>
      </c>
      <c r="L2694">
        <v>99</v>
      </c>
      <c r="M2694">
        <v>17.309999999999999</v>
      </c>
      <c r="N2694">
        <v>246.2</v>
      </c>
      <c r="O2694">
        <v>88</v>
      </c>
      <c r="P2694">
        <v>11.08</v>
      </c>
      <c r="Q2694">
        <v>8.3000000000000007</v>
      </c>
      <c r="R2694">
        <v>3</v>
      </c>
      <c r="S2694">
        <v>2.2400000000000002</v>
      </c>
      <c r="T2694">
        <v>0</v>
      </c>
      <c r="U2694" t="s">
        <v>22</v>
      </c>
      <c r="V2694" t="e">
        <f>IF(#REF! = "yes", 1, 0)</f>
        <v>#REF!</v>
      </c>
      <c r="W2694" t="e">
        <f>IF(#REF! &lt;= 1, "0-1 Calls", IF(#REF! &lt;= 3, "2-3 Calls", IF(#REF! &lt;=5, "4-5 Calls", "6+ Calls")))</f>
        <v>#REF!</v>
      </c>
      <c r="X2694" t="e">
        <f>IF(#REF! &lt;= 50, "0-50", IF(#REF! &lt;=100, "51-100", IF(#REF! &lt;= 150, "101-150", "151+")))</f>
        <v>#REF!</v>
      </c>
      <c r="Y2694" t="e">
        <f>IF(#REF! &lt;= 3, "Low Charges", "High Charges")</f>
        <v>#REF!</v>
      </c>
      <c r="Z2694" t="e">
        <f>IF(#REF!&lt;=80,"Low Calls",
IF(#REF!&lt;=120,"Medium Calls","High Calls"))</f>
        <v>#REF!</v>
      </c>
      <c r="AA2694" t="e">
        <f>IF(#REF!&lt;=15,"Low Charges",
IF(#REF!&lt;=20,"Medium Charges","High Charges"))</f>
        <v>#REF!</v>
      </c>
      <c r="AB2694" t="e">
        <f>IF(AND(#REF!&gt;180, #REF!&gt;200), "Heavy Doemstic User", IF(#REF!&gt;10, "Interntional User", IF(AND(#REF!&lt;180, #REF!&lt;200,#REF!&lt;200), "Light User", "Balanced User")))</f>
        <v>#REF!</v>
      </c>
      <c r="AC2694" t="e">
        <f>IF(#REF! = 0, "No Usage", IF(#REF! &lt;= 20, "Low Usage", IF(#REF! &lt;= 40, "Medium Usgae", "High Usage")))</f>
        <v>#REF!</v>
      </c>
      <c r="AD2694" t="e">
        <f>IF(#REF!&lt;=150,"Low Usage", IF(#REF!&lt;=200,"Medium Usage", IF(#REF!&lt;=250,"High Usage","Very High Usage")))</f>
        <v>#REF!</v>
      </c>
      <c r="AE2694" t="e">
        <f>IF(#REF!&lt;=5,"Low Calls", IF(#REF!&lt;=10, "Medium Calls", "High Calls"))</f>
        <v>#REF!</v>
      </c>
      <c r="AF2694" t="e">
        <f xml:space="preserve">
IF(#REF!&gt;=4,4,0)+
IF(#REF!="yes",3,0)+
IF(#REF!="High Charges",3,0)+
IF(#REF!&gt;250,4,0)+
IF(#REF!="no",1,0)+
IF(#REF!="Heavy Domestic User",2,0)</f>
        <v>#REF!</v>
      </c>
      <c r="AG2694" t="e">
        <f>IF(#REF!&gt;=10,"High Risk", IF(#REF!&gt;=5,"Medium Risk","Low Risk"))</f>
        <v>#REF!</v>
      </c>
      <c r="AH2694" t="e">
        <f>#REF! + #REF! + #REF! + #REF!</f>
        <v>#REF!</v>
      </c>
    </row>
    <row r="2695" spans="1:34" x14ac:dyDescent="0.35">
      <c r="A2695">
        <v>2694</v>
      </c>
      <c r="B2695" t="s">
        <v>61</v>
      </c>
      <c r="C2695">
        <v>84</v>
      </c>
      <c r="D2695" t="s">
        <v>25</v>
      </c>
      <c r="E2695" t="s">
        <v>22</v>
      </c>
      <c r="F2695" t="s">
        <v>23</v>
      </c>
      <c r="G2695">
        <v>41</v>
      </c>
      <c r="H2695">
        <v>153.9</v>
      </c>
      <c r="I2695">
        <v>102</v>
      </c>
      <c r="J2695">
        <v>26.16</v>
      </c>
      <c r="K2695">
        <v>140.69999999999999</v>
      </c>
      <c r="L2695">
        <v>117</v>
      </c>
      <c r="M2695">
        <v>11.96</v>
      </c>
      <c r="N2695">
        <v>217.7</v>
      </c>
      <c r="O2695">
        <v>101</v>
      </c>
      <c r="P2695">
        <v>9.8000000000000007</v>
      </c>
      <c r="Q2695">
        <v>12.8</v>
      </c>
      <c r="R2695">
        <v>5</v>
      </c>
      <c r="S2695">
        <v>3.46</v>
      </c>
      <c r="T2695">
        <v>1</v>
      </c>
      <c r="U2695" t="s">
        <v>22</v>
      </c>
      <c r="V2695" t="e">
        <f>IF(#REF! = "yes", 1, 0)</f>
        <v>#REF!</v>
      </c>
      <c r="W2695" t="e">
        <f>IF(#REF! &lt;= 1, "0-1 Calls", IF(#REF! &lt;= 3, "2-3 Calls", IF(#REF! &lt;=5, "4-5 Calls", "6+ Calls")))</f>
        <v>#REF!</v>
      </c>
      <c r="X2695" t="e">
        <f>IF(#REF! &lt;= 50, "0-50", IF(#REF! &lt;=100, "51-100", IF(#REF! &lt;= 150, "101-150", "151+")))</f>
        <v>#REF!</v>
      </c>
      <c r="Y2695" t="e">
        <f>IF(#REF! &lt;= 3, "Low Charges", "High Charges")</f>
        <v>#REF!</v>
      </c>
      <c r="Z2695" t="e">
        <f>IF(#REF!&lt;=80,"Low Calls",
IF(#REF!&lt;=120,"Medium Calls","High Calls"))</f>
        <v>#REF!</v>
      </c>
      <c r="AA2695" t="e">
        <f>IF(#REF!&lt;=15,"Low Charges",
IF(#REF!&lt;=20,"Medium Charges","High Charges"))</f>
        <v>#REF!</v>
      </c>
      <c r="AB2695" t="e">
        <f>IF(AND(#REF!&gt;180, #REF!&gt;200), "Heavy Doemstic User", IF(#REF!&gt;10, "Interntional User", IF(AND(#REF!&lt;180, #REF!&lt;200,#REF!&lt;200), "Light User", "Balanced User")))</f>
        <v>#REF!</v>
      </c>
      <c r="AC2695" t="e">
        <f>IF(#REF! = 0, "No Usage", IF(#REF! &lt;= 20, "Low Usage", IF(#REF! &lt;= 40, "Medium Usgae", "High Usage")))</f>
        <v>#REF!</v>
      </c>
      <c r="AD2695" t="e">
        <f>IF(#REF!&lt;=150,"Low Usage", IF(#REF!&lt;=200,"Medium Usage", IF(#REF!&lt;=250,"High Usage","Very High Usage")))</f>
        <v>#REF!</v>
      </c>
      <c r="AE2695" t="e">
        <f>IF(#REF!&lt;=5,"Low Calls", IF(#REF!&lt;=10, "Medium Calls", "High Calls"))</f>
        <v>#REF!</v>
      </c>
      <c r="AF2695" t="e">
        <f xml:space="preserve">
IF(#REF!&gt;=4,4,0)+
IF(#REF!="yes",3,0)+
IF(#REF!="High Charges",3,0)+
IF(#REF!&gt;250,4,0)+
IF(#REF!="no",1,0)+
IF(#REF!="Heavy Domestic User",2,0)</f>
        <v>#REF!</v>
      </c>
      <c r="AG2695" t="e">
        <f>IF(#REF!&gt;=10,"High Risk", IF(#REF!&gt;=5,"Medium Risk","Low Risk"))</f>
        <v>#REF!</v>
      </c>
      <c r="AH2695" t="e">
        <f>#REF! + #REF! + #REF! + #REF!</f>
        <v>#REF!</v>
      </c>
    </row>
    <row r="2696" spans="1:34" x14ac:dyDescent="0.35">
      <c r="A2696">
        <v>2695</v>
      </c>
      <c r="B2696" t="s">
        <v>30</v>
      </c>
      <c r="C2696">
        <v>91</v>
      </c>
      <c r="D2696" t="s">
        <v>21</v>
      </c>
      <c r="E2696" t="s">
        <v>22</v>
      </c>
      <c r="F2696" t="s">
        <v>22</v>
      </c>
      <c r="G2696">
        <v>0</v>
      </c>
      <c r="H2696">
        <v>190.5</v>
      </c>
      <c r="I2696">
        <v>128</v>
      </c>
      <c r="J2696">
        <v>32.39</v>
      </c>
      <c r="K2696">
        <v>205.5</v>
      </c>
      <c r="L2696">
        <v>103</v>
      </c>
      <c r="M2696">
        <v>17.47</v>
      </c>
      <c r="N2696">
        <v>130.69999999999999</v>
      </c>
      <c r="O2696">
        <v>63</v>
      </c>
      <c r="P2696">
        <v>5.88</v>
      </c>
      <c r="Q2696">
        <v>13.8</v>
      </c>
      <c r="R2696">
        <v>5</v>
      </c>
      <c r="S2696">
        <v>3.73</v>
      </c>
      <c r="T2696">
        <v>0</v>
      </c>
      <c r="U2696" t="s">
        <v>22</v>
      </c>
      <c r="V2696" t="e">
        <f>IF(#REF! = "yes", 1, 0)</f>
        <v>#REF!</v>
      </c>
      <c r="W2696" t="e">
        <f>IF(#REF! &lt;= 1, "0-1 Calls", IF(#REF! &lt;= 3, "2-3 Calls", IF(#REF! &lt;=5, "4-5 Calls", "6+ Calls")))</f>
        <v>#REF!</v>
      </c>
      <c r="X2696" t="e">
        <f>IF(#REF! &lt;= 50, "0-50", IF(#REF! &lt;=100, "51-100", IF(#REF! &lt;= 150, "101-150", "151+")))</f>
        <v>#REF!</v>
      </c>
      <c r="Y2696" t="e">
        <f>IF(#REF! &lt;= 3, "Low Charges", "High Charges")</f>
        <v>#REF!</v>
      </c>
      <c r="Z2696" t="e">
        <f>IF(#REF!&lt;=80,"Low Calls",
IF(#REF!&lt;=120,"Medium Calls","High Calls"))</f>
        <v>#REF!</v>
      </c>
      <c r="AA2696" t="e">
        <f>IF(#REF!&lt;=15,"Low Charges",
IF(#REF!&lt;=20,"Medium Charges","High Charges"))</f>
        <v>#REF!</v>
      </c>
      <c r="AB2696" t="e">
        <f>IF(AND(#REF!&gt;180, #REF!&gt;200), "Heavy Doemstic User", IF(#REF!&gt;10, "Interntional User", IF(AND(#REF!&lt;180, #REF!&lt;200,#REF!&lt;200), "Light User", "Balanced User")))</f>
        <v>#REF!</v>
      </c>
      <c r="AC2696" t="e">
        <f>IF(#REF! = 0, "No Usage", IF(#REF! &lt;= 20, "Low Usage", IF(#REF! &lt;= 40, "Medium Usgae", "High Usage")))</f>
        <v>#REF!</v>
      </c>
      <c r="AD2696" t="e">
        <f>IF(#REF!&lt;=150,"Low Usage", IF(#REF!&lt;=200,"Medium Usage", IF(#REF!&lt;=250,"High Usage","Very High Usage")))</f>
        <v>#REF!</v>
      </c>
      <c r="AE2696" t="e">
        <f>IF(#REF!&lt;=5,"Low Calls", IF(#REF!&lt;=10, "Medium Calls", "High Calls"))</f>
        <v>#REF!</v>
      </c>
      <c r="AF2696" t="e">
        <f xml:space="preserve">
IF(#REF!&gt;=4,4,0)+
IF(#REF!="yes",3,0)+
IF(#REF!="High Charges",3,0)+
IF(#REF!&gt;250,4,0)+
IF(#REF!="no",1,0)+
IF(#REF!="Heavy Domestic User",2,0)</f>
        <v>#REF!</v>
      </c>
      <c r="AG2696" t="e">
        <f>IF(#REF!&gt;=10,"High Risk", IF(#REF!&gt;=5,"Medium Risk","Low Risk"))</f>
        <v>#REF!</v>
      </c>
      <c r="AH2696" t="e">
        <f>#REF! + #REF! + #REF! + #REF!</f>
        <v>#REF!</v>
      </c>
    </row>
    <row r="2697" spans="1:34" x14ac:dyDescent="0.35">
      <c r="A2697">
        <v>2696</v>
      </c>
      <c r="B2697" t="s">
        <v>55</v>
      </c>
      <c r="C2697">
        <v>110</v>
      </c>
      <c r="D2697" t="s">
        <v>25</v>
      </c>
      <c r="E2697" t="s">
        <v>22</v>
      </c>
      <c r="F2697" t="s">
        <v>22</v>
      </c>
      <c r="G2697">
        <v>0</v>
      </c>
      <c r="H2697">
        <v>192.6</v>
      </c>
      <c r="I2697">
        <v>102</v>
      </c>
      <c r="J2697">
        <v>32.74</v>
      </c>
      <c r="K2697">
        <v>178.9</v>
      </c>
      <c r="L2697">
        <v>118</v>
      </c>
      <c r="M2697">
        <v>15.21</v>
      </c>
      <c r="N2697">
        <v>214.6</v>
      </c>
      <c r="O2697">
        <v>74</v>
      </c>
      <c r="P2697">
        <v>9.66</v>
      </c>
      <c r="Q2697">
        <v>9.4</v>
      </c>
      <c r="R2697">
        <v>4</v>
      </c>
      <c r="S2697">
        <v>2.54</v>
      </c>
      <c r="T2697">
        <v>1</v>
      </c>
      <c r="U2697" t="s">
        <v>22</v>
      </c>
      <c r="V2697" t="e">
        <f>IF(#REF! = "yes", 1, 0)</f>
        <v>#REF!</v>
      </c>
      <c r="W2697" t="e">
        <f>IF(#REF! &lt;= 1, "0-1 Calls", IF(#REF! &lt;= 3, "2-3 Calls", IF(#REF! &lt;=5, "4-5 Calls", "6+ Calls")))</f>
        <v>#REF!</v>
      </c>
      <c r="X2697" t="e">
        <f>IF(#REF! &lt;= 50, "0-50", IF(#REF! &lt;=100, "51-100", IF(#REF! &lt;= 150, "101-150", "151+")))</f>
        <v>#REF!</v>
      </c>
      <c r="Y2697" t="e">
        <f>IF(#REF! &lt;= 3, "Low Charges", "High Charges")</f>
        <v>#REF!</v>
      </c>
      <c r="Z2697" t="e">
        <f>IF(#REF!&lt;=80,"Low Calls",
IF(#REF!&lt;=120,"Medium Calls","High Calls"))</f>
        <v>#REF!</v>
      </c>
      <c r="AA2697" t="e">
        <f>IF(#REF!&lt;=15,"Low Charges",
IF(#REF!&lt;=20,"Medium Charges","High Charges"))</f>
        <v>#REF!</v>
      </c>
      <c r="AB2697" t="e">
        <f>IF(AND(#REF!&gt;180, #REF!&gt;200), "Heavy Doemstic User", IF(#REF!&gt;10, "Interntional User", IF(AND(#REF!&lt;180, #REF!&lt;200,#REF!&lt;200), "Light User", "Balanced User")))</f>
        <v>#REF!</v>
      </c>
      <c r="AC2697" t="e">
        <f>IF(#REF! = 0, "No Usage", IF(#REF! &lt;= 20, "Low Usage", IF(#REF! &lt;= 40, "Medium Usgae", "High Usage")))</f>
        <v>#REF!</v>
      </c>
      <c r="AD2697" t="e">
        <f>IF(#REF!&lt;=150,"Low Usage", IF(#REF!&lt;=200,"Medium Usage", IF(#REF!&lt;=250,"High Usage","Very High Usage")))</f>
        <v>#REF!</v>
      </c>
      <c r="AE2697" t="e">
        <f>IF(#REF!&lt;=5,"Low Calls", IF(#REF!&lt;=10, "Medium Calls", "High Calls"))</f>
        <v>#REF!</v>
      </c>
      <c r="AF2697" t="e">
        <f xml:space="preserve">
IF(#REF!&gt;=4,4,0)+
IF(#REF!="yes",3,0)+
IF(#REF!="High Charges",3,0)+
IF(#REF!&gt;250,4,0)+
IF(#REF!="no",1,0)+
IF(#REF!="Heavy Domestic User",2,0)</f>
        <v>#REF!</v>
      </c>
      <c r="AG2697" t="e">
        <f>IF(#REF!&gt;=10,"High Risk", IF(#REF!&gt;=5,"Medium Risk","Low Risk"))</f>
        <v>#REF!</v>
      </c>
      <c r="AH2697" t="e">
        <f>#REF! + #REF! + #REF! + #REF!</f>
        <v>#REF!</v>
      </c>
    </row>
    <row r="2698" spans="1:34" x14ac:dyDescent="0.35">
      <c r="A2698">
        <v>2697</v>
      </c>
      <c r="B2698" t="s">
        <v>54</v>
      </c>
      <c r="C2698">
        <v>121</v>
      </c>
      <c r="D2698" t="s">
        <v>25</v>
      </c>
      <c r="E2698" t="s">
        <v>22</v>
      </c>
      <c r="F2698" t="s">
        <v>22</v>
      </c>
      <c r="G2698">
        <v>0</v>
      </c>
      <c r="H2698">
        <v>215.6</v>
      </c>
      <c r="I2698">
        <v>74</v>
      </c>
      <c r="J2698">
        <v>36.65</v>
      </c>
      <c r="K2698">
        <v>192.9</v>
      </c>
      <c r="L2698">
        <v>98</v>
      </c>
      <c r="M2698">
        <v>16.399999999999999</v>
      </c>
      <c r="N2698">
        <v>144</v>
      </c>
      <c r="O2698">
        <v>103</v>
      </c>
      <c r="P2698">
        <v>6.48</v>
      </c>
      <c r="Q2698">
        <v>10.1</v>
      </c>
      <c r="R2698">
        <v>4</v>
      </c>
      <c r="S2698">
        <v>2.73</v>
      </c>
      <c r="T2698">
        <v>5</v>
      </c>
      <c r="U2698" t="s">
        <v>22</v>
      </c>
      <c r="V2698" t="e">
        <f>IF(#REF! = "yes", 1, 0)</f>
        <v>#REF!</v>
      </c>
      <c r="W2698" t="e">
        <f>IF(#REF! &lt;= 1, "0-1 Calls", IF(#REF! &lt;= 3, "2-3 Calls", IF(#REF! &lt;=5, "4-5 Calls", "6+ Calls")))</f>
        <v>#REF!</v>
      </c>
      <c r="X2698" t="e">
        <f>IF(#REF! &lt;= 50, "0-50", IF(#REF! &lt;=100, "51-100", IF(#REF! &lt;= 150, "101-150", "151+")))</f>
        <v>#REF!</v>
      </c>
      <c r="Y2698" t="e">
        <f>IF(#REF! &lt;= 3, "Low Charges", "High Charges")</f>
        <v>#REF!</v>
      </c>
      <c r="Z2698" t="e">
        <f>IF(#REF!&lt;=80,"Low Calls",
IF(#REF!&lt;=120,"Medium Calls","High Calls"))</f>
        <v>#REF!</v>
      </c>
      <c r="AA2698" t="e">
        <f>IF(#REF!&lt;=15,"Low Charges",
IF(#REF!&lt;=20,"Medium Charges","High Charges"))</f>
        <v>#REF!</v>
      </c>
      <c r="AB2698" t="e">
        <f>IF(AND(#REF!&gt;180, #REF!&gt;200), "Heavy Doemstic User", IF(#REF!&gt;10, "Interntional User", IF(AND(#REF!&lt;180, #REF!&lt;200,#REF!&lt;200), "Light User", "Balanced User")))</f>
        <v>#REF!</v>
      </c>
      <c r="AC2698" t="e">
        <f>IF(#REF! = 0, "No Usage", IF(#REF! &lt;= 20, "Low Usage", IF(#REF! &lt;= 40, "Medium Usgae", "High Usage")))</f>
        <v>#REF!</v>
      </c>
      <c r="AD2698" t="e">
        <f>IF(#REF!&lt;=150,"Low Usage", IF(#REF!&lt;=200,"Medium Usage", IF(#REF!&lt;=250,"High Usage","Very High Usage")))</f>
        <v>#REF!</v>
      </c>
      <c r="AE2698" t="e">
        <f>IF(#REF!&lt;=5,"Low Calls", IF(#REF!&lt;=10, "Medium Calls", "High Calls"))</f>
        <v>#REF!</v>
      </c>
      <c r="AF2698" t="e">
        <f xml:space="preserve">
IF(#REF!&gt;=4,4,0)+
IF(#REF!="yes",3,0)+
IF(#REF!="High Charges",3,0)+
IF(#REF!&gt;250,4,0)+
IF(#REF!="no",1,0)+
IF(#REF!="Heavy Domestic User",2,0)</f>
        <v>#REF!</v>
      </c>
      <c r="AG2698" t="e">
        <f>IF(#REF!&gt;=10,"High Risk", IF(#REF!&gt;=5,"Medium Risk","Low Risk"))</f>
        <v>#REF!</v>
      </c>
      <c r="AH2698" t="e">
        <f>#REF! + #REF! + #REF! + #REF!</f>
        <v>#REF!</v>
      </c>
    </row>
    <row r="2699" spans="1:34" x14ac:dyDescent="0.35">
      <c r="A2699">
        <v>2698</v>
      </c>
      <c r="B2699" t="s">
        <v>31</v>
      </c>
      <c r="C2699">
        <v>109</v>
      </c>
      <c r="D2699" t="s">
        <v>21</v>
      </c>
      <c r="E2699" t="s">
        <v>22</v>
      </c>
      <c r="F2699" t="s">
        <v>22</v>
      </c>
      <c r="G2699">
        <v>0</v>
      </c>
      <c r="H2699">
        <v>180</v>
      </c>
      <c r="I2699">
        <v>100</v>
      </c>
      <c r="J2699">
        <v>30.6</v>
      </c>
      <c r="K2699">
        <v>229</v>
      </c>
      <c r="L2699">
        <v>103</v>
      </c>
      <c r="M2699">
        <v>19.47</v>
      </c>
      <c r="N2699">
        <v>139.4</v>
      </c>
      <c r="O2699">
        <v>105</v>
      </c>
      <c r="P2699">
        <v>6.27</v>
      </c>
      <c r="Q2699">
        <v>7.8</v>
      </c>
      <c r="R2699">
        <v>8</v>
      </c>
      <c r="S2699">
        <v>2.11</v>
      </c>
      <c r="T2699">
        <v>3</v>
      </c>
      <c r="U2699" t="s">
        <v>22</v>
      </c>
      <c r="V2699" t="e">
        <f>IF(#REF! = "yes", 1, 0)</f>
        <v>#REF!</v>
      </c>
      <c r="W2699" t="e">
        <f>IF(#REF! &lt;= 1, "0-1 Calls", IF(#REF! &lt;= 3, "2-3 Calls", IF(#REF! &lt;=5, "4-5 Calls", "6+ Calls")))</f>
        <v>#REF!</v>
      </c>
      <c r="X2699" t="e">
        <f>IF(#REF! &lt;= 50, "0-50", IF(#REF! &lt;=100, "51-100", IF(#REF! &lt;= 150, "101-150", "151+")))</f>
        <v>#REF!</v>
      </c>
      <c r="Y2699" t="e">
        <f>IF(#REF! &lt;= 3, "Low Charges", "High Charges")</f>
        <v>#REF!</v>
      </c>
      <c r="Z2699" t="e">
        <f>IF(#REF!&lt;=80,"Low Calls",
IF(#REF!&lt;=120,"Medium Calls","High Calls"))</f>
        <v>#REF!</v>
      </c>
      <c r="AA2699" t="e">
        <f>IF(#REF!&lt;=15,"Low Charges",
IF(#REF!&lt;=20,"Medium Charges","High Charges"))</f>
        <v>#REF!</v>
      </c>
      <c r="AB2699" t="e">
        <f>IF(AND(#REF!&gt;180, #REF!&gt;200), "Heavy Doemstic User", IF(#REF!&gt;10, "Interntional User", IF(AND(#REF!&lt;180, #REF!&lt;200,#REF!&lt;200), "Light User", "Balanced User")))</f>
        <v>#REF!</v>
      </c>
      <c r="AC2699" t="e">
        <f>IF(#REF! = 0, "No Usage", IF(#REF! &lt;= 20, "Low Usage", IF(#REF! &lt;= 40, "Medium Usgae", "High Usage")))</f>
        <v>#REF!</v>
      </c>
      <c r="AD2699" t="e">
        <f>IF(#REF!&lt;=150,"Low Usage", IF(#REF!&lt;=200,"Medium Usage", IF(#REF!&lt;=250,"High Usage","Very High Usage")))</f>
        <v>#REF!</v>
      </c>
      <c r="AE2699" t="e">
        <f>IF(#REF!&lt;=5,"Low Calls", IF(#REF!&lt;=10, "Medium Calls", "High Calls"))</f>
        <v>#REF!</v>
      </c>
      <c r="AF2699" t="e">
        <f xml:space="preserve">
IF(#REF!&gt;=4,4,0)+
IF(#REF!="yes",3,0)+
IF(#REF!="High Charges",3,0)+
IF(#REF!&gt;250,4,0)+
IF(#REF!="no",1,0)+
IF(#REF!="Heavy Domestic User",2,0)</f>
        <v>#REF!</v>
      </c>
      <c r="AG2699" t="e">
        <f>IF(#REF!&gt;=10,"High Risk", IF(#REF!&gt;=5,"Medium Risk","Low Risk"))</f>
        <v>#REF!</v>
      </c>
      <c r="AH2699" t="e">
        <f>#REF! + #REF! + #REF! + #REF!</f>
        <v>#REF!</v>
      </c>
    </row>
    <row r="2700" spans="1:34" x14ac:dyDescent="0.35">
      <c r="A2700">
        <v>2699</v>
      </c>
      <c r="B2700" t="s">
        <v>65</v>
      </c>
      <c r="C2700">
        <v>95</v>
      </c>
      <c r="D2700" t="s">
        <v>28</v>
      </c>
      <c r="E2700" t="s">
        <v>22</v>
      </c>
      <c r="F2700" t="s">
        <v>22</v>
      </c>
      <c r="G2700">
        <v>0</v>
      </c>
      <c r="H2700">
        <v>157.30000000000001</v>
      </c>
      <c r="I2700">
        <v>116</v>
      </c>
      <c r="J2700">
        <v>26.74</v>
      </c>
      <c r="K2700">
        <v>197.5</v>
      </c>
      <c r="L2700">
        <v>77</v>
      </c>
      <c r="M2700">
        <v>16.79</v>
      </c>
      <c r="N2700">
        <v>128.19999999999999</v>
      </c>
      <c r="O2700">
        <v>111</v>
      </c>
      <c r="P2700">
        <v>5.77</v>
      </c>
      <c r="Q2700">
        <v>8.4</v>
      </c>
      <c r="R2700">
        <v>4</v>
      </c>
      <c r="S2700">
        <v>2.27</v>
      </c>
      <c r="T2700">
        <v>2</v>
      </c>
      <c r="U2700" t="s">
        <v>22</v>
      </c>
      <c r="V2700" t="e">
        <f>IF(#REF! = "yes", 1, 0)</f>
        <v>#REF!</v>
      </c>
      <c r="W2700" t="e">
        <f>IF(#REF! &lt;= 1, "0-1 Calls", IF(#REF! &lt;= 3, "2-3 Calls", IF(#REF! &lt;=5, "4-5 Calls", "6+ Calls")))</f>
        <v>#REF!</v>
      </c>
      <c r="X2700" t="e">
        <f>IF(#REF! &lt;= 50, "0-50", IF(#REF! &lt;=100, "51-100", IF(#REF! &lt;= 150, "101-150", "151+")))</f>
        <v>#REF!</v>
      </c>
      <c r="Y2700" t="e">
        <f>IF(#REF! &lt;= 3, "Low Charges", "High Charges")</f>
        <v>#REF!</v>
      </c>
      <c r="Z2700" t="e">
        <f>IF(#REF!&lt;=80,"Low Calls",
IF(#REF!&lt;=120,"Medium Calls","High Calls"))</f>
        <v>#REF!</v>
      </c>
      <c r="AA2700" t="e">
        <f>IF(#REF!&lt;=15,"Low Charges",
IF(#REF!&lt;=20,"Medium Charges","High Charges"))</f>
        <v>#REF!</v>
      </c>
      <c r="AB2700" t="e">
        <f>IF(AND(#REF!&gt;180, #REF!&gt;200), "Heavy Doemstic User", IF(#REF!&gt;10, "Interntional User", IF(AND(#REF!&lt;180, #REF!&lt;200,#REF!&lt;200), "Light User", "Balanced User")))</f>
        <v>#REF!</v>
      </c>
      <c r="AC2700" t="e">
        <f>IF(#REF! = 0, "No Usage", IF(#REF! &lt;= 20, "Low Usage", IF(#REF! &lt;= 40, "Medium Usgae", "High Usage")))</f>
        <v>#REF!</v>
      </c>
      <c r="AD2700" t="e">
        <f>IF(#REF!&lt;=150,"Low Usage", IF(#REF!&lt;=200,"Medium Usage", IF(#REF!&lt;=250,"High Usage","Very High Usage")))</f>
        <v>#REF!</v>
      </c>
      <c r="AE2700" t="e">
        <f>IF(#REF!&lt;=5,"Low Calls", IF(#REF!&lt;=10, "Medium Calls", "High Calls"))</f>
        <v>#REF!</v>
      </c>
      <c r="AF2700" t="e">
        <f xml:space="preserve">
IF(#REF!&gt;=4,4,0)+
IF(#REF!="yes",3,0)+
IF(#REF!="High Charges",3,0)+
IF(#REF!&gt;250,4,0)+
IF(#REF!="no",1,0)+
IF(#REF!="Heavy Domestic User",2,0)</f>
        <v>#REF!</v>
      </c>
      <c r="AG2700" t="e">
        <f>IF(#REF!&gt;=10,"High Risk", IF(#REF!&gt;=5,"Medium Risk","Low Risk"))</f>
        <v>#REF!</v>
      </c>
      <c r="AH2700" t="e">
        <f>#REF! + #REF! + #REF! + #REF!</f>
        <v>#REF!</v>
      </c>
    </row>
    <row r="2701" spans="1:34" x14ac:dyDescent="0.35">
      <c r="A2701">
        <v>2700</v>
      </c>
      <c r="B2701" t="s">
        <v>58</v>
      </c>
      <c r="C2701">
        <v>72</v>
      </c>
      <c r="D2701" t="s">
        <v>21</v>
      </c>
      <c r="E2701" t="s">
        <v>22</v>
      </c>
      <c r="F2701" t="s">
        <v>22</v>
      </c>
      <c r="G2701">
        <v>0</v>
      </c>
      <c r="H2701">
        <v>196.5</v>
      </c>
      <c r="I2701">
        <v>88</v>
      </c>
      <c r="J2701">
        <v>33.409999999999997</v>
      </c>
      <c r="K2701">
        <v>158.6</v>
      </c>
      <c r="L2701">
        <v>129</v>
      </c>
      <c r="M2701">
        <v>13.48</v>
      </c>
      <c r="N2701">
        <v>269.3</v>
      </c>
      <c r="O2701">
        <v>118</v>
      </c>
      <c r="P2701">
        <v>12.12</v>
      </c>
      <c r="Q2701">
        <v>6.8</v>
      </c>
      <c r="R2701">
        <v>3</v>
      </c>
      <c r="S2701">
        <v>1.84</v>
      </c>
      <c r="T2701">
        <v>0</v>
      </c>
      <c r="U2701" t="s">
        <v>22</v>
      </c>
      <c r="V2701" t="e">
        <f>IF(#REF! = "yes", 1, 0)</f>
        <v>#REF!</v>
      </c>
      <c r="W2701" t="e">
        <f>IF(#REF! &lt;= 1, "0-1 Calls", IF(#REF! &lt;= 3, "2-3 Calls", IF(#REF! &lt;=5, "4-5 Calls", "6+ Calls")))</f>
        <v>#REF!</v>
      </c>
      <c r="X2701" t="e">
        <f>IF(#REF! &lt;= 50, "0-50", IF(#REF! &lt;=100, "51-100", IF(#REF! &lt;= 150, "101-150", "151+")))</f>
        <v>#REF!</v>
      </c>
      <c r="Y2701" t="e">
        <f>IF(#REF! &lt;= 3, "Low Charges", "High Charges")</f>
        <v>#REF!</v>
      </c>
      <c r="Z2701" t="e">
        <f>IF(#REF!&lt;=80,"Low Calls",
IF(#REF!&lt;=120,"Medium Calls","High Calls"))</f>
        <v>#REF!</v>
      </c>
      <c r="AA2701" t="e">
        <f>IF(#REF!&lt;=15,"Low Charges",
IF(#REF!&lt;=20,"Medium Charges","High Charges"))</f>
        <v>#REF!</v>
      </c>
      <c r="AB2701" t="e">
        <f>IF(AND(#REF!&gt;180, #REF!&gt;200), "Heavy Doemstic User", IF(#REF!&gt;10, "Interntional User", IF(AND(#REF!&lt;180, #REF!&lt;200,#REF!&lt;200), "Light User", "Balanced User")))</f>
        <v>#REF!</v>
      </c>
      <c r="AC2701" t="e">
        <f>IF(#REF! = 0, "No Usage", IF(#REF! &lt;= 20, "Low Usage", IF(#REF! &lt;= 40, "Medium Usgae", "High Usage")))</f>
        <v>#REF!</v>
      </c>
      <c r="AD2701" t="e">
        <f>IF(#REF!&lt;=150,"Low Usage", IF(#REF!&lt;=200,"Medium Usage", IF(#REF!&lt;=250,"High Usage","Very High Usage")))</f>
        <v>#REF!</v>
      </c>
      <c r="AE2701" t="e">
        <f>IF(#REF!&lt;=5,"Low Calls", IF(#REF!&lt;=10, "Medium Calls", "High Calls"))</f>
        <v>#REF!</v>
      </c>
      <c r="AF2701" t="e">
        <f xml:space="preserve">
IF(#REF!&gt;=4,4,0)+
IF(#REF!="yes",3,0)+
IF(#REF!="High Charges",3,0)+
IF(#REF!&gt;250,4,0)+
IF(#REF!="no",1,0)+
IF(#REF!="Heavy Domestic User",2,0)</f>
        <v>#REF!</v>
      </c>
      <c r="AG2701" t="e">
        <f>IF(#REF!&gt;=10,"High Risk", IF(#REF!&gt;=5,"Medium Risk","Low Risk"))</f>
        <v>#REF!</v>
      </c>
      <c r="AH2701" t="e">
        <f>#REF! + #REF! + #REF! + #REF!</f>
        <v>#REF!</v>
      </c>
    </row>
    <row r="2702" spans="1:34" x14ac:dyDescent="0.35">
      <c r="A2702">
        <v>2701</v>
      </c>
      <c r="B2702" t="s">
        <v>31</v>
      </c>
      <c r="C2702">
        <v>73</v>
      </c>
      <c r="D2702" t="s">
        <v>21</v>
      </c>
      <c r="E2702" t="s">
        <v>22</v>
      </c>
      <c r="F2702" t="s">
        <v>22</v>
      </c>
      <c r="G2702">
        <v>0</v>
      </c>
      <c r="H2702">
        <v>240.3</v>
      </c>
      <c r="I2702">
        <v>130</v>
      </c>
      <c r="J2702">
        <v>40.85</v>
      </c>
      <c r="K2702">
        <v>162.5</v>
      </c>
      <c r="L2702">
        <v>83</v>
      </c>
      <c r="M2702">
        <v>13.81</v>
      </c>
      <c r="N2702">
        <v>231.9</v>
      </c>
      <c r="O2702">
        <v>136</v>
      </c>
      <c r="P2702">
        <v>10.44</v>
      </c>
      <c r="Q2702">
        <v>11.9</v>
      </c>
      <c r="R2702">
        <v>3</v>
      </c>
      <c r="S2702">
        <v>3.21</v>
      </c>
      <c r="T2702">
        <v>0</v>
      </c>
      <c r="U2702" t="s">
        <v>22</v>
      </c>
      <c r="V2702" t="e">
        <f>IF(#REF! = "yes", 1, 0)</f>
        <v>#REF!</v>
      </c>
      <c r="W2702" t="e">
        <f>IF(#REF! &lt;= 1, "0-1 Calls", IF(#REF! &lt;= 3, "2-3 Calls", IF(#REF! &lt;=5, "4-5 Calls", "6+ Calls")))</f>
        <v>#REF!</v>
      </c>
      <c r="X2702" t="e">
        <f>IF(#REF! &lt;= 50, "0-50", IF(#REF! &lt;=100, "51-100", IF(#REF! &lt;= 150, "101-150", "151+")))</f>
        <v>#REF!</v>
      </c>
      <c r="Y2702" t="e">
        <f>IF(#REF! &lt;= 3, "Low Charges", "High Charges")</f>
        <v>#REF!</v>
      </c>
      <c r="Z2702" t="e">
        <f>IF(#REF!&lt;=80,"Low Calls",
IF(#REF!&lt;=120,"Medium Calls","High Calls"))</f>
        <v>#REF!</v>
      </c>
      <c r="AA2702" t="e">
        <f>IF(#REF!&lt;=15,"Low Charges",
IF(#REF!&lt;=20,"Medium Charges","High Charges"))</f>
        <v>#REF!</v>
      </c>
      <c r="AB2702" t="e">
        <f>IF(AND(#REF!&gt;180, #REF!&gt;200), "Heavy Doemstic User", IF(#REF!&gt;10, "Interntional User", IF(AND(#REF!&lt;180, #REF!&lt;200,#REF!&lt;200), "Light User", "Balanced User")))</f>
        <v>#REF!</v>
      </c>
      <c r="AC2702" t="e">
        <f>IF(#REF! = 0, "No Usage", IF(#REF! &lt;= 20, "Low Usage", IF(#REF! &lt;= 40, "Medium Usgae", "High Usage")))</f>
        <v>#REF!</v>
      </c>
      <c r="AD2702" t="e">
        <f>IF(#REF!&lt;=150,"Low Usage", IF(#REF!&lt;=200,"Medium Usage", IF(#REF!&lt;=250,"High Usage","Very High Usage")))</f>
        <v>#REF!</v>
      </c>
      <c r="AE2702" t="e">
        <f>IF(#REF!&lt;=5,"Low Calls", IF(#REF!&lt;=10, "Medium Calls", "High Calls"))</f>
        <v>#REF!</v>
      </c>
      <c r="AF2702" t="e">
        <f xml:space="preserve">
IF(#REF!&gt;=4,4,0)+
IF(#REF!="yes",3,0)+
IF(#REF!="High Charges",3,0)+
IF(#REF!&gt;250,4,0)+
IF(#REF!="no",1,0)+
IF(#REF!="Heavy Domestic User",2,0)</f>
        <v>#REF!</v>
      </c>
      <c r="AG2702" t="e">
        <f>IF(#REF!&gt;=10,"High Risk", IF(#REF!&gt;=5,"Medium Risk","Low Risk"))</f>
        <v>#REF!</v>
      </c>
      <c r="AH2702" t="e">
        <f>#REF! + #REF! + #REF! + #REF!</f>
        <v>#REF!</v>
      </c>
    </row>
    <row r="2703" spans="1:34" x14ac:dyDescent="0.35">
      <c r="A2703">
        <v>2702</v>
      </c>
      <c r="B2703" t="s">
        <v>42</v>
      </c>
      <c r="C2703">
        <v>108</v>
      </c>
      <c r="D2703" t="s">
        <v>21</v>
      </c>
      <c r="E2703" t="s">
        <v>22</v>
      </c>
      <c r="F2703" t="s">
        <v>22</v>
      </c>
      <c r="G2703">
        <v>0</v>
      </c>
      <c r="H2703">
        <v>193.3</v>
      </c>
      <c r="I2703">
        <v>126</v>
      </c>
      <c r="J2703">
        <v>32.86</v>
      </c>
      <c r="K2703">
        <v>154.69999999999999</v>
      </c>
      <c r="L2703">
        <v>85</v>
      </c>
      <c r="M2703">
        <v>13.15</v>
      </c>
      <c r="N2703">
        <v>174.8</v>
      </c>
      <c r="O2703">
        <v>98</v>
      </c>
      <c r="P2703">
        <v>7.87</v>
      </c>
      <c r="Q2703">
        <v>9.4</v>
      </c>
      <c r="R2703">
        <v>6</v>
      </c>
      <c r="S2703">
        <v>2.54</v>
      </c>
      <c r="T2703">
        <v>3</v>
      </c>
      <c r="U2703" t="s">
        <v>22</v>
      </c>
      <c r="V2703" t="e">
        <f>IF(#REF! = "yes", 1, 0)</f>
        <v>#REF!</v>
      </c>
      <c r="W2703" t="e">
        <f>IF(#REF! &lt;= 1, "0-1 Calls", IF(#REF! &lt;= 3, "2-3 Calls", IF(#REF! &lt;=5, "4-5 Calls", "6+ Calls")))</f>
        <v>#REF!</v>
      </c>
      <c r="X2703" t="e">
        <f>IF(#REF! &lt;= 50, "0-50", IF(#REF! &lt;=100, "51-100", IF(#REF! &lt;= 150, "101-150", "151+")))</f>
        <v>#REF!</v>
      </c>
      <c r="Y2703" t="e">
        <f>IF(#REF! &lt;= 3, "Low Charges", "High Charges")</f>
        <v>#REF!</v>
      </c>
      <c r="Z2703" t="e">
        <f>IF(#REF!&lt;=80,"Low Calls",
IF(#REF!&lt;=120,"Medium Calls","High Calls"))</f>
        <v>#REF!</v>
      </c>
      <c r="AA2703" t="e">
        <f>IF(#REF!&lt;=15,"Low Charges",
IF(#REF!&lt;=20,"Medium Charges","High Charges"))</f>
        <v>#REF!</v>
      </c>
      <c r="AB2703" t="e">
        <f>IF(AND(#REF!&gt;180, #REF!&gt;200), "Heavy Doemstic User", IF(#REF!&gt;10, "Interntional User", IF(AND(#REF!&lt;180, #REF!&lt;200,#REF!&lt;200), "Light User", "Balanced User")))</f>
        <v>#REF!</v>
      </c>
      <c r="AC2703" t="e">
        <f>IF(#REF! = 0, "No Usage", IF(#REF! &lt;= 20, "Low Usage", IF(#REF! &lt;= 40, "Medium Usgae", "High Usage")))</f>
        <v>#REF!</v>
      </c>
      <c r="AD2703" t="e">
        <f>IF(#REF!&lt;=150,"Low Usage", IF(#REF!&lt;=200,"Medium Usage", IF(#REF!&lt;=250,"High Usage","Very High Usage")))</f>
        <v>#REF!</v>
      </c>
      <c r="AE2703" t="e">
        <f>IF(#REF!&lt;=5,"Low Calls", IF(#REF!&lt;=10, "Medium Calls", "High Calls"))</f>
        <v>#REF!</v>
      </c>
      <c r="AF2703" t="e">
        <f xml:space="preserve">
IF(#REF!&gt;=4,4,0)+
IF(#REF!="yes",3,0)+
IF(#REF!="High Charges",3,0)+
IF(#REF!&gt;250,4,0)+
IF(#REF!="no",1,0)+
IF(#REF!="Heavy Domestic User",2,0)</f>
        <v>#REF!</v>
      </c>
      <c r="AG2703" t="e">
        <f>IF(#REF!&gt;=10,"High Risk", IF(#REF!&gt;=5,"Medium Risk","Low Risk"))</f>
        <v>#REF!</v>
      </c>
      <c r="AH2703" t="e">
        <f>#REF! + #REF! + #REF! + #REF!</f>
        <v>#REF!</v>
      </c>
    </row>
    <row r="2704" spans="1:34" x14ac:dyDescent="0.35">
      <c r="A2704">
        <v>2703</v>
      </c>
      <c r="B2704" t="s">
        <v>31</v>
      </c>
      <c r="C2704">
        <v>58</v>
      </c>
      <c r="D2704" t="s">
        <v>25</v>
      </c>
      <c r="E2704" t="s">
        <v>22</v>
      </c>
      <c r="F2704" t="s">
        <v>23</v>
      </c>
      <c r="G2704">
        <v>39</v>
      </c>
      <c r="H2704">
        <v>211.9</v>
      </c>
      <c r="I2704">
        <v>40</v>
      </c>
      <c r="J2704">
        <v>36.020000000000003</v>
      </c>
      <c r="K2704">
        <v>274.39999999999998</v>
      </c>
      <c r="L2704">
        <v>76</v>
      </c>
      <c r="M2704">
        <v>23.32</v>
      </c>
      <c r="N2704">
        <v>210.5</v>
      </c>
      <c r="O2704">
        <v>139</v>
      </c>
      <c r="P2704">
        <v>9.4700000000000006</v>
      </c>
      <c r="Q2704">
        <v>5.4</v>
      </c>
      <c r="R2704">
        <v>4</v>
      </c>
      <c r="S2704">
        <v>1.46</v>
      </c>
      <c r="T2704">
        <v>1</v>
      </c>
      <c r="U2704" t="s">
        <v>22</v>
      </c>
      <c r="V2704" t="e">
        <f>IF(#REF! = "yes", 1, 0)</f>
        <v>#REF!</v>
      </c>
      <c r="W2704" t="e">
        <f>IF(#REF! &lt;= 1, "0-1 Calls", IF(#REF! &lt;= 3, "2-3 Calls", IF(#REF! &lt;=5, "4-5 Calls", "6+ Calls")))</f>
        <v>#REF!</v>
      </c>
      <c r="X2704" t="e">
        <f>IF(#REF! &lt;= 50, "0-50", IF(#REF! &lt;=100, "51-100", IF(#REF! &lt;= 150, "101-150", "151+")))</f>
        <v>#REF!</v>
      </c>
      <c r="Y2704" t="e">
        <f>IF(#REF! &lt;= 3, "Low Charges", "High Charges")</f>
        <v>#REF!</v>
      </c>
      <c r="Z2704" t="e">
        <f>IF(#REF!&lt;=80,"Low Calls",
IF(#REF!&lt;=120,"Medium Calls","High Calls"))</f>
        <v>#REF!</v>
      </c>
      <c r="AA2704" t="e">
        <f>IF(#REF!&lt;=15,"Low Charges",
IF(#REF!&lt;=20,"Medium Charges","High Charges"))</f>
        <v>#REF!</v>
      </c>
      <c r="AB2704" t="e">
        <f>IF(AND(#REF!&gt;180, #REF!&gt;200), "Heavy Doemstic User", IF(#REF!&gt;10, "Interntional User", IF(AND(#REF!&lt;180, #REF!&lt;200,#REF!&lt;200), "Light User", "Balanced User")))</f>
        <v>#REF!</v>
      </c>
      <c r="AC2704" t="e">
        <f>IF(#REF! = 0, "No Usage", IF(#REF! &lt;= 20, "Low Usage", IF(#REF! &lt;= 40, "Medium Usgae", "High Usage")))</f>
        <v>#REF!</v>
      </c>
      <c r="AD2704" t="e">
        <f>IF(#REF!&lt;=150,"Low Usage", IF(#REF!&lt;=200,"Medium Usage", IF(#REF!&lt;=250,"High Usage","Very High Usage")))</f>
        <v>#REF!</v>
      </c>
      <c r="AE2704" t="e">
        <f>IF(#REF!&lt;=5,"Low Calls", IF(#REF!&lt;=10, "Medium Calls", "High Calls"))</f>
        <v>#REF!</v>
      </c>
      <c r="AF2704" t="e">
        <f xml:space="preserve">
IF(#REF!&gt;=4,4,0)+
IF(#REF!="yes",3,0)+
IF(#REF!="High Charges",3,0)+
IF(#REF!&gt;250,4,0)+
IF(#REF!="no",1,0)+
IF(#REF!="Heavy Domestic User",2,0)</f>
        <v>#REF!</v>
      </c>
      <c r="AG2704" t="e">
        <f>IF(#REF!&gt;=10,"High Risk", IF(#REF!&gt;=5,"Medium Risk","Low Risk"))</f>
        <v>#REF!</v>
      </c>
      <c r="AH2704" t="e">
        <f>#REF! + #REF! + #REF! + #REF!</f>
        <v>#REF!</v>
      </c>
    </row>
    <row r="2705" spans="1:34" x14ac:dyDescent="0.35">
      <c r="A2705">
        <v>2704</v>
      </c>
      <c r="B2705" t="s">
        <v>59</v>
      </c>
      <c r="C2705">
        <v>76</v>
      </c>
      <c r="D2705" t="s">
        <v>28</v>
      </c>
      <c r="E2705" t="s">
        <v>23</v>
      </c>
      <c r="F2705" t="s">
        <v>22</v>
      </c>
      <c r="G2705">
        <v>0</v>
      </c>
      <c r="H2705">
        <v>246.8</v>
      </c>
      <c r="I2705">
        <v>110</v>
      </c>
      <c r="J2705">
        <v>41.96</v>
      </c>
      <c r="K2705">
        <v>206.3</v>
      </c>
      <c r="L2705">
        <v>63</v>
      </c>
      <c r="M2705">
        <v>17.54</v>
      </c>
      <c r="N2705">
        <v>208.4</v>
      </c>
      <c r="O2705">
        <v>123</v>
      </c>
      <c r="P2705">
        <v>9.3800000000000008</v>
      </c>
      <c r="Q2705">
        <v>13.2</v>
      </c>
      <c r="R2705">
        <v>5</v>
      </c>
      <c r="S2705">
        <v>3.56</v>
      </c>
      <c r="T2705">
        <v>0</v>
      </c>
      <c r="U2705" t="s">
        <v>23</v>
      </c>
      <c r="V2705" t="e">
        <f>IF(#REF! = "yes", 1, 0)</f>
        <v>#REF!</v>
      </c>
      <c r="W2705" t="e">
        <f>IF(#REF! &lt;= 1, "0-1 Calls", IF(#REF! &lt;= 3, "2-3 Calls", IF(#REF! &lt;=5, "4-5 Calls", "6+ Calls")))</f>
        <v>#REF!</v>
      </c>
      <c r="X2705" t="e">
        <f>IF(#REF! &lt;= 50, "0-50", IF(#REF! &lt;=100, "51-100", IF(#REF! &lt;= 150, "101-150", "151+")))</f>
        <v>#REF!</v>
      </c>
      <c r="Y2705" t="e">
        <f>IF(#REF! &lt;= 3, "Low Charges", "High Charges")</f>
        <v>#REF!</v>
      </c>
      <c r="Z2705" t="e">
        <f>IF(#REF!&lt;=80,"Low Calls",
IF(#REF!&lt;=120,"Medium Calls","High Calls"))</f>
        <v>#REF!</v>
      </c>
      <c r="AA2705" t="e">
        <f>IF(#REF!&lt;=15,"Low Charges",
IF(#REF!&lt;=20,"Medium Charges","High Charges"))</f>
        <v>#REF!</v>
      </c>
      <c r="AB2705" t="e">
        <f>IF(AND(#REF!&gt;180, #REF!&gt;200), "Heavy Doemstic User", IF(#REF!&gt;10, "Interntional User", IF(AND(#REF!&lt;180, #REF!&lt;200,#REF!&lt;200), "Light User", "Balanced User")))</f>
        <v>#REF!</v>
      </c>
      <c r="AC2705" t="e">
        <f>IF(#REF! = 0, "No Usage", IF(#REF! &lt;= 20, "Low Usage", IF(#REF! &lt;= 40, "Medium Usgae", "High Usage")))</f>
        <v>#REF!</v>
      </c>
      <c r="AD2705" t="e">
        <f>IF(#REF!&lt;=150,"Low Usage", IF(#REF!&lt;=200,"Medium Usage", IF(#REF!&lt;=250,"High Usage","Very High Usage")))</f>
        <v>#REF!</v>
      </c>
      <c r="AE2705" t="e">
        <f>IF(#REF!&lt;=5,"Low Calls", IF(#REF!&lt;=10, "Medium Calls", "High Calls"))</f>
        <v>#REF!</v>
      </c>
      <c r="AF2705" t="e">
        <f xml:space="preserve">
IF(#REF!&gt;=4,4,0)+
IF(#REF!="yes",3,0)+
IF(#REF!="High Charges",3,0)+
IF(#REF!&gt;250,4,0)+
IF(#REF!="no",1,0)+
IF(#REF!="Heavy Domestic User",2,0)</f>
        <v>#REF!</v>
      </c>
      <c r="AG2705" t="e">
        <f>IF(#REF!&gt;=10,"High Risk", IF(#REF!&gt;=5,"Medium Risk","Low Risk"))</f>
        <v>#REF!</v>
      </c>
      <c r="AH2705" t="e">
        <f>#REF! + #REF! + #REF! + #REF!</f>
        <v>#REF!</v>
      </c>
    </row>
    <row r="2706" spans="1:34" x14ac:dyDescent="0.35">
      <c r="A2706">
        <v>2705</v>
      </c>
      <c r="B2706" t="s">
        <v>37</v>
      </c>
      <c r="C2706">
        <v>103</v>
      </c>
      <c r="D2706" t="s">
        <v>21</v>
      </c>
      <c r="E2706" t="s">
        <v>22</v>
      </c>
      <c r="F2706" t="s">
        <v>22</v>
      </c>
      <c r="G2706">
        <v>0</v>
      </c>
      <c r="H2706">
        <v>174.7</v>
      </c>
      <c r="I2706">
        <v>151</v>
      </c>
      <c r="J2706">
        <v>29.7</v>
      </c>
      <c r="K2706">
        <v>148</v>
      </c>
      <c r="L2706">
        <v>56</v>
      </c>
      <c r="M2706">
        <v>12.58</v>
      </c>
      <c r="N2706">
        <v>168.2</v>
      </c>
      <c r="O2706">
        <v>109</v>
      </c>
      <c r="P2706">
        <v>7.57</v>
      </c>
      <c r="Q2706">
        <v>15.8</v>
      </c>
      <c r="R2706">
        <v>3</v>
      </c>
      <c r="S2706">
        <v>4.2699999999999996</v>
      </c>
      <c r="T2706">
        <v>6</v>
      </c>
      <c r="U2706" t="s">
        <v>23</v>
      </c>
      <c r="V2706" t="e">
        <f>IF(#REF! = "yes", 1, 0)</f>
        <v>#REF!</v>
      </c>
      <c r="W2706" t="e">
        <f>IF(#REF! &lt;= 1, "0-1 Calls", IF(#REF! &lt;= 3, "2-3 Calls", IF(#REF! &lt;=5, "4-5 Calls", "6+ Calls")))</f>
        <v>#REF!</v>
      </c>
      <c r="X2706" t="e">
        <f>IF(#REF! &lt;= 50, "0-50", IF(#REF! &lt;=100, "51-100", IF(#REF! &lt;= 150, "101-150", "151+")))</f>
        <v>#REF!</v>
      </c>
      <c r="Y2706" t="e">
        <f>IF(#REF! &lt;= 3, "Low Charges", "High Charges")</f>
        <v>#REF!</v>
      </c>
      <c r="Z2706" t="e">
        <f>IF(#REF!&lt;=80,"Low Calls",
IF(#REF!&lt;=120,"Medium Calls","High Calls"))</f>
        <v>#REF!</v>
      </c>
      <c r="AA2706" t="e">
        <f>IF(#REF!&lt;=15,"Low Charges",
IF(#REF!&lt;=20,"Medium Charges","High Charges"))</f>
        <v>#REF!</v>
      </c>
      <c r="AB2706" t="e">
        <f>IF(AND(#REF!&gt;180, #REF!&gt;200), "Heavy Doemstic User", IF(#REF!&gt;10, "Interntional User", IF(AND(#REF!&lt;180, #REF!&lt;200,#REF!&lt;200), "Light User", "Balanced User")))</f>
        <v>#REF!</v>
      </c>
      <c r="AC2706" t="e">
        <f>IF(#REF! = 0, "No Usage", IF(#REF! &lt;= 20, "Low Usage", IF(#REF! &lt;= 40, "Medium Usgae", "High Usage")))</f>
        <v>#REF!</v>
      </c>
      <c r="AD2706" t="e">
        <f>IF(#REF!&lt;=150,"Low Usage", IF(#REF!&lt;=200,"Medium Usage", IF(#REF!&lt;=250,"High Usage","Very High Usage")))</f>
        <v>#REF!</v>
      </c>
      <c r="AE2706" t="e">
        <f>IF(#REF!&lt;=5,"Low Calls", IF(#REF!&lt;=10, "Medium Calls", "High Calls"))</f>
        <v>#REF!</v>
      </c>
      <c r="AF2706" t="e">
        <f xml:space="preserve">
IF(#REF!&gt;=4,4,0)+
IF(#REF!="yes",3,0)+
IF(#REF!="High Charges",3,0)+
IF(#REF!&gt;250,4,0)+
IF(#REF!="no",1,0)+
IF(#REF!="Heavy Domestic User",2,0)</f>
        <v>#REF!</v>
      </c>
      <c r="AG2706" t="e">
        <f>IF(#REF!&gt;=10,"High Risk", IF(#REF!&gt;=5,"Medium Risk","Low Risk"))</f>
        <v>#REF!</v>
      </c>
      <c r="AH2706" t="e">
        <f>#REF! + #REF! + #REF! + #REF!</f>
        <v>#REF!</v>
      </c>
    </row>
    <row r="2707" spans="1:34" x14ac:dyDescent="0.35">
      <c r="A2707">
        <v>2706</v>
      </c>
      <c r="B2707" t="s">
        <v>74</v>
      </c>
      <c r="C2707">
        <v>87</v>
      </c>
      <c r="D2707" t="s">
        <v>21</v>
      </c>
      <c r="E2707" t="s">
        <v>22</v>
      </c>
      <c r="F2707" t="s">
        <v>22</v>
      </c>
      <c r="G2707">
        <v>0</v>
      </c>
      <c r="H2707">
        <v>240</v>
      </c>
      <c r="I2707">
        <v>83</v>
      </c>
      <c r="J2707">
        <v>40.799999999999997</v>
      </c>
      <c r="K2707">
        <v>134.1</v>
      </c>
      <c r="L2707">
        <v>106</v>
      </c>
      <c r="M2707">
        <v>11.4</v>
      </c>
      <c r="N2707">
        <v>189.1</v>
      </c>
      <c r="O2707">
        <v>84</v>
      </c>
      <c r="P2707">
        <v>8.51</v>
      </c>
      <c r="Q2707">
        <v>9.3000000000000007</v>
      </c>
      <c r="R2707">
        <v>2</v>
      </c>
      <c r="S2707">
        <v>2.5099999999999998</v>
      </c>
      <c r="T2707">
        <v>0</v>
      </c>
      <c r="U2707" t="s">
        <v>23</v>
      </c>
      <c r="V2707" t="e">
        <f>IF(#REF! = "yes", 1, 0)</f>
        <v>#REF!</v>
      </c>
      <c r="W2707" t="e">
        <f>IF(#REF! &lt;= 1, "0-1 Calls", IF(#REF! &lt;= 3, "2-3 Calls", IF(#REF! &lt;=5, "4-5 Calls", "6+ Calls")))</f>
        <v>#REF!</v>
      </c>
      <c r="X2707" t="e">
        <f>IF(#REF! &lt;= 50, "0-50", IF(#REF! &lt;=100, "51-100", IF(#REF! &lt;= 150, "101-150", "151+")))</f>
        <v>#REF!</v>
      </c>
      <c r="Y2707" t="e">
        <f>IF(#REF! &lt;= 3, "Low Charges", "High Charges")</f>
        <v>#REF!</v>
      </c>
      <c r="Z2707" t="e">
        <f>IF(#REF!&lt;=80,"Low Calls",
IF(#REF!&lt;=120,"Medium Calls","High Calls"))</f>
        <v>#REF!</v>
      </c>
      <c r="AA2707" t="e">
        <f>IF(#REF!&lt;=15,"Low Charges",
IF(#REF!&lt;=20,"Medium Charges","High Charges"))</f>
        <v>#REF!</v>
      </c>
      <c r="AB2707" t="e">
        <f>IF(AND(#REF!&gt;180, #REF!&gt;200), "Heavy Doemstic User", IF(#REF!&gt;10, "Interntional User", IF(AND(#REF!&lt;180, #REF!&lt;200,#REF!&lt;200), "Light User", "Balanced User")))</f>
        <v>#REF!</v>
      </c>
      <c r="AC2707" t="e">
        <f>IF(#REF! = 0, "No Usage", IF(#REF! &lt;= 20, "Low Usage", IF(#REF! &lt;= 40, "Medium Usgae", "High Usage")))</f>
        <v>#REF!</v>
      </c>
      <c r="AD2707" t="e">
        <f>IF(#REF!&lt;=150,"Low Usage", IF(#REF!&lt;=200,"Medium Usage", IF(#REF!&lt;=250,"High Usage","Very High Usage")))</f>
        <v>#REF!</v>
      </c>
      <c r="AE2707" t="e">
        <f>IF(#REF!&lt;=5,"Low Calls", IF(#REF!&lt;=10, "Medium Calls", "High Calls"))</f>
        <v>#REF!</v>
      </c>
      <c r="AF2707" t="e">
        <f xml:space="preserve">
IF(#REF!&gt;=4,4,0)+
IF(#REF!="yes",3,0)+
IF(#REF!="High Charges",3,0)+
IF(#REF!&gt;250,4,0)+
IF(#REF!="no",1,0)+
IF(#REF!="Heavy Domestic User",2,0)</f>
        <v>#REF!</v>
      </c>
      <c r="AG2707" t="e">
        <f>IF(#REF!&gt;=10,"High Risk", IF(#REF!&gt;=5,"Medium Risk","Low Risk"))</f>
        <v>#REF!</v>
      </c>
      <c r="AH2707" t="e">
        <f>#REF! + #REF! + #REF! + #REF!</f>
        <v>#REF!</v>
      </c>
    </row>
    <row r="2708" spans="1:34" x14ac:dyDescent="0.35">
      <c r="A2708">
        <v>2707</v>
      </c>
      <c r="B2708" t="s">
        <v>26</v>
      </c>
      <c r="C2708">
        <v>35</v>
      </c>
      <c r="D2708" t="s">
        <v>28</v>
      </c>
      <c r="E2708" t="s">
        <v>22</v>
      </c>
      <c r="F2708" t="s">
        <v>23</v>
      </c>
      <c r="G2708">
        <v>37</v>
      </c>
      <c r="H2708">
        <v>181.2</v>
      </c>
      <c r="I2708">
        <v>76</v>
      </c>
      <c r="J2708">
        <v>30.8</v>
      </c>
      <c r="K2708">
        <v>177.6</v>
      </c>
      <c r="L2708">
        <v>98</v>
      </c>
      <c r="M2708">
        <v>15.1</v>
      </c>
      <c r="N2708">
        <v>228</v>
      </c>
      <c r="O2708">
        <v>136</v>
      </c>
      <c r="P2708">
        <v>10.26</v>
      </c>
      <c r="Q2708">
        <v>5</v>
      </c>
      <c r="R2708">
        <v>3</v>
      </c>
      <c r="S2708">
        <v>1.35</v>
      </c>
      <c r="T2708">
        <v>2</v>
      </c>
      <c r="U2708" t="s">
        <v>22</v>
      </c>
      <c r="V2708" t="e">
        <f>IF(#REF! = "yes", 1, 0)</f>
        <v>#REF!</v>
      </c>
      <c r="W2708" t="e">
        <f>IF(#REF! &lt;= 1, "0-1 Calls", IF(#REF! &lt;= 3, "2-3 Calls", IF(#REF! &lt;=5, "4-5 Calls", "6+ Calls")))</f>
        <v>#REF!</v>
      </c>
      <c r="X2708" t="e">
        <f>IF(#REF! &lt;= 50, "0-50", IF(#REF! &lt;=100, "51-100", IF(#REF! &lt;= 150, "101-150", "151+")))</f>
        <v>#REF!</v>
      </c>
      <c r="Y2708" t="e">
        <f>IF(#REF! &lt;= 3, "Low Charges", "High Charges")</f>
        <v>#REF!</v>
      </c>
      <c r="Z2708" t="e">
        <f>IF(#REF!&lt;=80,"Low Calls",
IF(#REF!&lt;=120,"Medium Calls","High Calls"))</f>
        <v>#REF!</v>
      </c>
      <c r="AA2708" t="e">
        <f>IF(#REF!&lt;=15,"Low Charges",
IF(#REF!&lt;=20,"Medium Charges","High Charges"))</f>
        <v>#REF!</v>
      </c>
      <c r="AB2708" t="e">
        <f>IF(AND(#REF!&gt;180, #REF!&gt;200), "Heavy Doemstic User", IF(#REF!&gt;10, "Interntional User", IF(AND(#REF!&lt;180, #REF!&lt;200,#REF!&lt;200), "Light User", "Balanced User")))</f>
        <v>#REF!</v>
      </c>
      <c r="AC2708" t="e">
        <f>IF(#REF! = 0, "No Usage", IF(#REF! &lt;= 20, "Low Usage", IF(#REF! &lt;= 40, "Medium Usgae", "High Usage")))</f>
        <v>#REF!</v>
      </c>
      <c r="AD2708" t="e">
        <f>IF(#REF!&lt;=150,"Low Usage", IF(#REF!&lt;=200,"Medium Usage", IF(#REF!&lt;=250,"High Usage","Very High Usage")))</f>
        <v>#REF!</v>
      </c>
      <c r="AE2708" t="e">
        <f>IF(#REF!&lt;=5,"Low Calls", IF(#REF!&lt;=10, "Medium Calls", "High Calls"))</f>
        <v>#REF!</v>
      </c>
      <c r="AF2708" t="e">
        <f xml:space="preserve">
IF(#REF!&gt;=4,4,0)+
IF(#REF!="yes",3,0)+
IF(#REF!="High Charges",3,0)+
IF(#REF!&gt;250,4,0)+
IF(#REF!="no",1,0)+
IF(#REF!="Heavy Domestic User",2,0)</f>
        <v>#REF!</v>
      </c>
      <c r="AG2708" t="e">
        <f>IF(#REF!&gt;=10,"High Risk", IF(#REF!&gt;=5,"Medium Risk","Low Risk"))</f>
        <v>#REF!</v>
      </c>
      <c r="AH2708" t="e">
        <f>#REF! + #REF! + #REF! + #REF!</f>
        <v>#REF!</v>
      </c>
    </row>
    <row r="2709" spans="1:34" x14ac:dyDescent="0.35">
      <c r="A2709">
        <v>2708</v>
      </c>
      <c r="B2709" t="s">
        <v>34</v>
      </c>
      <c r="C2709">
        <v>88</v>
      </c>
      <c r="D2709" t="s">
        <v>21</v>
      </c>
      <c r="E2709" t="s">
        <v>22</v>
      </c>
      <c r="F2709" t="s">
        <v>22</v>
      </c>
      <c r="G2709">
        <v>0</v>
      </c>
      <c r="H2709">
        <v>113.7</v>
      </c>
      <c r="I2709">
        <v>67</v>
      </c>
      <c r="J2709">
        <v>19.329999999999998</v>
      </c>
      <c r="K2709">
        <v>165.1</v>
      </c>
      <c r="L2709">
        <v>127</v>
      </c>
      <c r="M2709">
        <v>14.03</v>
      </c>
      <c r="N2709">
        <v>141.5</v>
      </c>
      <c r="O2709">
        <v>142</v>
      </c>
      <c r="P2709">
        <v>6.37</v>
      </c>
      <c r="Q2709">
        <v>10.8</v>
      </c>
      <c r="R2709">
        <v>3</v>
      </c>
      <c r="S2709">
        <v>2.92</v>
      </c>
      <c r="T2709">
        <v>1</v>
      </c>
      <c r="U2709" t="s">
        <v>22</v>
      </c>
      <c r="V2709" t="e">
        <f>IF(#REF! = "yes", 1, 0)</f>
        <v>#REF!</v>
      </c>
      <c r="W2709" t="e">
        <f>IF(#REF! &lt;= 1, "0-1 Calls", IF(#REF! &lt;= 3, "2-3 Calls", IF(#REF! &lt;=5, "4-5 Calls", "6+ Calls")))</f>
        <v>#REF!</v>
      </c>
      <c r="X2709" t="e">
        <f>IF(#REF! &lt;= 50, "0-50", IF(#REF! &lt;=100, "51-100", IF(#REF! &lt;= 150, "101-150", "151+")))</f>
        <v>#REF!</v>
      </c>
      <c r="Y2709" t="e">
        <f>IF(#REF! &lt;= 3, "Low Charges", "High Charges")</f>
        <v>#REF!</v>
      </c>
      <c r="Z2709" t="e">
        <f>IF(#REF!&lt;=80,"Low Calls",
IF(#REF!&lt;=120,"Medium Calls","High Calls"))</f>
        <v>#REF!</v>
      </c>
      <c r="AA2709" t="e">
        <f>IF(#REF!&lt;=15,"Low Charges",
IF(#REF!&lt;=20,"Medium Charges","High Charges"))</f>
        <v>#REF!</v>
      </c>
      <c r="AB2709" t="e">
        <f>IF(AND(#REF!&gt;180, #REF!&gt;200), "Heavy Doemstic User", IF(#REF!&gt;10, "Interntional User", IF(AND(#REF!&lt;180, #REF!&lt;200,#REF!&lt;200), "Light User", "Balanced User")))</f>
        <v>#REF!</v>
      </c>
      <c r="AC2709" t="e">
        <f>IF(#REF! = 0, "No Usage", IF(#REF! &lt;= 20, "Low Usage", IF(#REF! &lt;= 40, "Medium Usgae", "High Usage")))</f>
        <v>#REF!</v>
      </c>
      <c r="AD2709" t="e">
        <f>IF(#REF!&lt;=150,"Low Usage", IF(#REF!&lt;=200,"Medium Usage", IF(#REF!&lt;=250,"High Usage","Very High Usage")))</f>
        <v>#REF!</v>
      </c>
      <c r="AE2709" t="e">
        <f>IF(#REF!&lt;=5,"Low Calls", IF(#REF!&lt;=10, "Medium Calls", "High Calls"))</f>
        <v>#REF!</v>
      </c>
      <c r="AF2709" t="e">
        <f xml:space="preserve">
IF(#REF!&gt;=4,4,0)+
IF(#REF!="yes",3,0)+
IF(#REF!="High Charges",3,0)+
IF(#REF!&gt;250,4,0)+
IF(#REF!="no",1,0)+
IF(#REF!="Heavy Domestic User",2,0)</f>
        <v>#REF!</v>
      </c>
      <c r="AG2709" t="e">
        <f>IF(#REF!&gt;=10,"High Risk", IF(#REF!&gt;=5,"Medium Risk","Low Risk"))</f>
        <v>#REF!</v>
      </c>
      <c r="AH2709" t="e">
        <f>#REF! + #REF! + #REF! + #REF!</f>
        <v>#REF!</v>
      </c>
    </row>
    <row r="2710" spans="1:34" x14ac:dyDescent="0.35">
      <c r="A2710">
        <v>2709</v>
      </c>
      <c r="B2710" t="s">
        <v>37</v>
      </c>
      <c r="C2710">
        <v>77</v>
      </c>
      <c r="D2710" t="s">
        <v>28</v>
      </c>
      <c r="E2710" t="s">
        <v>22</v>
      </c>
      <c r="F2710" t="s">
        <v>23</v>
      </c>
      <c r="G2710">
        <v>29</v>
      </c>
      <c r="H2710">
        <v>211.1</v>
      </c>
      <c r="I2710">
        <v>89</v>
      </c>
      <c r="J2710">
        <v>35.89</v>
      </c>
      <c r="K2710">
        <v>223.5</v>
      </c>
      <c r="L2710">
        <v>97</v>
      </c>
      <c r="M2710">
        <v>19</v>
      </c>
      <c r="N2710">
        <v>148.4</v>
      </c>
      <c r="O2710">
        <v>106</v>
      </c>
      <c r="P2710">
        <v>6.68</v>
      </c>
      <c r="Q2710">
        <v>9.6999999999999993</v>
      </c>
      <c r="R2710">
        <v>9</v>
      </c>
      <c r="S2710">
        <v>2.62</v>
      </c>
      <c r="T2710">
        <v>2</v>
      </c>
      <c r="U2710" t="s">
        <v>22</v>
      </c>
      <c r="V2710" t="e">
        <f>IF(#REF! = "yes", 1, 0)</f>
        <v>#REF!</v>
      </c>
      <c r="W2710" t="e">
        <f>IF(#REF! &lt;= 1, "0-1 Calls", IF(#REF! &lt;= 3, "2-3 Calls", IF(#REF! &lt;=5, "4-5 Calls", "6+ Calls")))</f>
        <v>#REF!</v>
      </c>
      <c r="X2710" t="e">
        <f>IF(#REF! &lt;= 50, "0-50", IF(#REF! &lt;=100, "51-100", IF(#REF! &lt;= 150, "101-150", "151+")))</f>
        <v>#REF!</v>
      </c>
      <c r="Y2710" t="e">
        <f>IF(#REF! &lt;= 3, "Low Charges", "High Charges")</f>
        <v>#REF!</v>
      </c>
      <c r="Z2710" t="e">
        <f>IF(#REF!&lt;=80,"Low Calls",
IF(#REF!&lt;=120,"Medium Calls","High Calls"))</f>
        <v>#REF!</v>
      </c>
      <c r="AA2710" t="e">
        <f>IF(#REF!&lt;=15,"Low Charges",
IF(#REF!&lt;=20,"Medium Charges","High Charges"))</f>
        <v>#REF!</v>
      </c>
      <c r="AB2710" t="e">
        <f>IF(AND(#REF!&gt;180, #REF!&gt;200), "Heavy Doemstic User", IF(#REF!&gt;10, "Interntional User", IF(AND(#REF!&lt;180, #REF!&lt;200,#REF!&lt;200), "Light User", "Balanced User")))</f>
        <v>#REF!</v>
      </c>
      <c r="AC2710" t="e">
        <f>IF(#REF! = 0, "No Usage", IF(#REF! &lt;= 20, "Low Usage", IF(#REF! &lt;= 40, "Medium Usgae", "High Usage")))</f>
        <v>#REF!</v>
      </c>
      <c r="AD2710" t="e">
        <f>IF(#REF!&lt;=150,"Low Usage", IF(#REF!&lt;=200,"Medium Usage", IF(#REF!&lt;=250,"High Usage","Very High Usage")))</f>
        <v>#REF!</v>
      </c>
      <c r="AE2710" t="e">
        <f>IF(#REF!&lt;=5,"Low Calls", IF(#REF!&lt;=10, "Medium Calls", "High Calls"))</f>
        <v>#REF!</v>
      </c>
      <c r="AF2710" t="e">
        <f xml:space="preserve">
IF(#REF!&gt;=4,4,0)+
IF(#REF!="yes",3,0)+
IF(#REF!="High Charges",3,0)+
IF(#REF!&gt;250,4,0)+
IF(#REF!="no",1,0)+
IF(#REF!="Heavy Domestic User",2,0)</f>
        <v>#REF!</v>
      </c>
      <c r="AG2710" t="e">
        <f>IF(#REF!&gt;=10,"High Risk", IF(#REF!&gt;=5,"Medium Risk","Low Risk"))</f>
        <v>#REF!</v>
      </c>
      <c r="AH2710" t="e">
        <f>#REF! + #REF! + #REF! + #REF!</f>
        <v>#REF!</v>
      </c>
    </row>
    <row r="2711" spans="1:34" x14ac:dyDescent="0.35">
      <c r="A2711">
        <v>2710</v>
      </c>
      <c r="B2711" t="s">
        <v>57</v>
      </c>
      <c r="C2711">
        <v>30</v>
      </c>
      <c r="D2711" t="s">
        <v>21</v>
      </c>
      <c r="E2711" t="s">
        <v>22</v>
      </c>
      <c r="F2711" t="s">
        <v>22</v>
      </c>
      <c r="G2711">
        <v>0</v>
      </c>
      <c r="H2711">
        <v>247.4</v>
      </c>
      <c r="I2711">
        <v>107</v>
      </c>
      <c r="J2711">
        <v>42.06</v>
      </c>
      <c r="K2711">
        <v>175.9</v>
      </c>
      <c r="L2711">
        <v>76</v>
      </c>
      <c r="M2711">
        <v>14.95</v>
      </c>
      <c r="N2711">
        <v>287.39999999999998</v>
      </c>
      <c r="O2711">
        <v>90</v>
      </c>
      <c r="P2711">
        <v>12.93</v>
      </c>
      <c r="Q2711">
        <v>11.3</v>
      </c>
      <c r="R2711">
        <v>2</v>
      </c>
      <c r="S2711">
        <v>3.05</v>
      </c>
      <c r="T2711">
        <v>0</v>
      </c>
      <c r="U2711" t="s">
        <v>22</v>
      </c>
      <c r="V2711" t="e">
        <f>IF(#REF! = "yes", 1, 0)</f>
        <v>#REF!</v>
      </c>
      <c r="W2711" t="e">
        <f>IF(#REF! &lt;= 1, "0-1 Calls", IF(#REF! &lt;= 3, "2-3 Calls", IF(#REF! &lt;=5, "4-5 Calls", "6+ Calls")))</f>
        <v>#REF!</v>
      </c>
      <c r="X2711" t="e">
        <f>IF(#REF! &lt;= 50, "0-50", IF(#REF! &lt;=100, "51-100", IF(#REF! &lt;= 150, "101-150", "151+")))</f>
        <v>#REF!</v>
      </c>
      <c r="Y2711" t="e">
        <f>IF(#REF! &lt;= 3, "Low Charges", "High Charges")</f>
        <v>#REF!</v>
      </c>
      <c r="Z2711" t="e">
        <f>IF(#REF!&lt;=80,"Low Calls",
IF(#REF!&lt;=120,"Medium Calls","High Calls"))</f>
        <v>#REF!</v>
      </c>
      <c r="AA2711" t="e">
        <f>IF(#REF!&lt;=15,"Low Charges",
IF(#REF!&lt;=20,"Medium Charges","High Charges"))</f>
        <v>#REF!</v>
      </c>
      <c r="AB2711" t="e">
        <f>IF(AND(#REF!&gt;180, #REF!&gt;200), "Heavy Doemstic User", IF(#REF!&gt;10, "Interntional User", IF(AND(#REF!&lt;180, #REF!&lt;200,#REF!&lt;200), "Light User", "Balanced User")))</f>
        <v>#REF!</v>
      </c>
      <c r="AC2711" t="e">
        <f>IF(#REF! = 0, "No Usage", IF(#REF! &lt;= 20, "Low Usage", IF(#REF! &lt;= 40, "Medium Usgae", "High Usage")))</f>
        <v>#REF!</v>
      </c>
      <c r="AD2711" t="e">
        <f>IF(#REF!&lt;=150,"Low Usage", IF(#REF!&lt;=200,"Medium Usage", IF(#REF!&lt;=250,"High Usage","Very High Usage")))</f>
        <v>#REF!</v>
      </c>
      <c r="AE2711" t="e">
        <f>IF(#REF!&lt;=5,"Low Calls", IF(#REF!&lt;=10, "Medium Calls", "High Calls"))</f>
        <v>#REF!</v>
      </c>
      <c r="AF2711" t="e">
        <f xml:space="preserve">
IF(#REF!&gt;=4,4,0)+
IF(#REF!="yes",3,0)+
IF(#REF!="High Charges",3,0)+
IF(#REF!&gt;250,4,0)+
IF(#REF!="no",1,0)+
IF(#REF!="Heavy Domestic User",2,0)</f>
        <v>#REF!</v>
      </c>
      <c r="AG2711" t="e">
        <f>IF(#REF!&gt;=10,"High Risk", IF(#REF!&gt;=5,"Medium Risk","Low Risk"))</f>
        <v>#REF!</v>
      </c>
      <c r="AH2711" t="e">
        <f>#REF! + #REF! + #REF! + #REF!</f>
        <v>#REF!</v>
      </c>
    </row>
    <row r="2712" spans="1:34" x14ac:dyDescent="0.35">
      <c r="A2712">
        <v>2711</v>
      </c>
      <c r="B2712" t="s">
        <v>54</v>
      </c>
      <c r="C2712">
        <v>53</v>
      </c>
      <c r="D2712" t="s">
        <v>21</v>
      </c>
      <c r="E2712" t="s">
        <v>22</v>
      </c>
      <c r="F2712" t="s">
        <v>23</v>
      </c>
      <c r="G2712">
        <v>32</v>
      </c>
      <c r="H2712">
        <v>131.19999999999999</v>
      </c>
      <c r="I2712">
        <v>63</v>
      </c>
      <c r="J2712">
        <v>22.3</v>
      </c>
      <c r="K2712">
        <v>227.4</v>
      </c>
      <c r="L2712">
        <v>125</v>
      </c>
      <c r="M2712">
        <v>19.329999999999998</v>
      </c>
      <c r="N2712">
        <v>178.9</v>
      </c>
      <c r="O2712">
        <v>105</v>
      </c>
      <c r="P2712">
        <v>8.0500000000000007</v>
      </c>
      <c r="Q2712">
        <v>12.8</v>
      </c>
      <c r="R2712">
        <v>2</v>
      </c>
      <c r="S2712">
        <v>3.46</v>
      </c>
      <c r="T2712">
        <v>2</v>
      </c>
      <c r="U2712" t="s">
        <v>22</v>
      </c>
      <c r="V2712" t="e">
        <f>IF(#REF! = "yes", 1, 0)</f>
        <v>#REF!</v>
      </c>
      <c r="W2712" t="e">
        <f>IF(#REF! &lt;= 1, "0-1 Calls", IF(#REF! &lt;= 3, "2-3 Calls", IF(#REF! &lt;=5, "4-5 Calls", "6+ Calls")))</f>
        <v>#REF!</v>
      </c>
      <c r="X2712" t="e">
        <f>IF(#REF! &lt;= 50, "0-50", IF(#REF! &lt;=100, "51-100", IF(#REF! &lt;= 150, "101-150", "151+")))</f>
        <v>#REF!</v>
      </c>
      <c r="Y2712" t="e">
        <f>IF(#REF! &lt;= 3, "Low Charges", "High Charges")</f>
        <v>#REF!</v>
      </c>
      <c r="Z2712" t="e">
        <f>IF(#REF!&lt;=80,"Low Calls",
IF(#REF!&lt;=120,"Medium Calls","High Calls"))</f>
        <v>#REF!</v>
      </c>
      <c r="AA2712" t="e">
        <f>IF(#REF!&lt;=15,"Low Charges",
IF(#REF!&lt;=20,"Medium Charges","High Charges"))</f>
        <v>#REF!</v>
      </c>
      <c r="AB2712" t="e">
        <f>IF(AND(#REF!&gt;180, #REF!&gt;200), "Heavy Doemstic User", IF(#REF!&gt;10, "Interntional User", IF(AND(#REF!&lt;180, #REF!&lt;200,#REF!&lt;200), "Light User", "Balanced User")))</f>
        <v>#REF!</v>
      </c>
      <c r="AC2712" t="e">
        <f>IF(#REF! = 0, "No Usage", IF(#REF! &lt;= 20, "Low Usage", IF(#REF! &lt;= 40, "Medium Usgae", "High Usage")))</f>
        <v>#REF!</v>
      </c>
      <c r="AD2712" t="e">
        <f>IF(#REF!&lt;=150,"Low Usage", IF(#REF!&lt;=200,"Medium Usage", IF(#REF!&lt;=250,"High Usage","Very High Usage")))</f>
        <v>#REF!</v>
      </c>
      <c r="AE2712" t="e">
        <f>IF(#REF!&lt;=5,"Low Calls", IF(#REF!&lt;=10, "Medium Calls", "High Calls"))</f>
        <v>#REF!</v>
      </c>
      <c r="AF2712" t="e">
        <f xml:space="preserve">
IF(#REF!&gt;=4,4,0)+
IF(#REF!="yes",3,0)+
IF(#REF!="High Charges",3,0)+
IF(#REF!&gt;250,4,0)+
IF(#REF!="no",1,0)+
IF(#REF!="Heavy Domestic User",2,0)</f>
        <v>#REF!</v>
      </c>
      <c r="AG2712" t="e">
        <f>IF(#REF!&gt;=10,"High Risk", IF(#REF!&gt;=5,"Medium Risk","Low Risk"))</f>
        <v>#REF!</v>
      </c>
      <c r="AH2712" t="e">
        <f>#REF! + #REF! + #REF! + #REF!</f>
        <v>#REF!</v>
      </c>
    </row>
    <row r="2713" spans="1:34" x14ac:dyDescent="0.35">
      <c r="A2713">
        <v>2712</v>
      </c>
      <c r="B2713" t="s">
        <v>59</v>
      </c>
      <c r="C2713">
        <v>152</v>
      </c>
      <c r="D2713" t="s">
        <v>28</v>
      </c>
      <c r="E2713" t="s">
        <v>22</v>
      </c>
      <c r="F2713" t="s">
        <v>22</v>
      </c>
      <c r="G2713">
        <v>0</v>
      </c>
      <c r="H2713">
        <v>161.4</v>
      </c>
      <c r="I2713">
        <v>84</v>
      </c>
      <c r="J2713">
        <v>27.44</v>
      </c>
      <c r="K2713">
        <v>163.6</v>
      </c>
      <c r="L2713">
        <v>88</v>
      </c>
      <c r="M2713">
        <v>13.91</v>
      </c>
      <c r="N2713">
        <v>153.19999999999999</v>
      </c>
      <c r="O2713">
        <v>121</v>
      </c>
      <c r="P2713">
        <v>6.89</v>
      </c>
      <c r="Q2713">
        <v>11.8</v>
      </c>
      <c r="R2713">
        <v>5</v>
      </c>
      <c r="S2713">
        <v>3.19</v>
      </c>
      <c r="T2713">
        <v>1</v>
      </c>
      <c r="U2713" t="s">
        <v>22</v>
      </c>
      <c r="V2713" t="e">
        <f>IF(#REF! = "yes", 1, 0)</f>
        <v>#REF!</v>
      </c>
      <c r="W2713" t="e">
        <f>IF(#REF! &lt;= 1, "0-1 Calls", IF(#REF! &lt;= 3, "2-3 Calls", IF(#REF! &lt;=5, "4-5 Calls", "6+ Calls")))</f>
        <v>#REF!</v>
      </c>
      <c r="X2713" t="e">
        <f>IF(#REF! &lt;= 50, "0-50", IF(#REF! &lt;=100, "51-100", IF(#REF! &lt;= 150, "101-150", "151+")))</f>
        <v>#REF!</v>
      </c>
      <c r="Y2713" t="e">
        <f>IF(#REF! &lt;= 3, "Low Charges", "High Charges")</f>
        <v>#REF!</v>
      </c>
      <c r="Z2713" t="e">
        <f>IF(#REF!&lt;=80,"Low Calls",
IF(#REF!&lt;=120,"Medium Calls","High Calls"))</f>
        <v>#REF!</v>
      </c>
      <c r="AA2713" t="e">
        <f>IF(#REF!&lt;=15,"Low Charges",
IF(#REF!&lt;=20,"Medium Charges","High Charges"))</f>
        <v>#REF!</v>
      </c>
      <c r="AB2713" t="e">
        <f>IF(AND(#REF!&gt;180, #REF!&gt;200), "Heavy Doemstic User", IF(#REF!&gt;10, "Interntional User", IF(AND(#REF!&lt;180, #REF!&lt;200,#REF!&lt;200), "Light User", "Balanced User")))</f>
        <v>#REF!</v>
      </c>
      <c r="AC2713" t="e">
        <f>IF(#REF! = 0, "No Usage", IF(#REF! &lt;= 20, "Low Usage", IF(#REF! &lt;= 40, "Medium Usgae", "High Usage")))</f>
        <v>#REF!</v>
      </c>
      <c r="AD2713" t="e">
        <f>IF(#REF!&lt;=150,"Low Usage", IF(#REF!&lt;=200,"Medium Usage", IF(#REF!&lt;=250,"High Usage","Very High Usage")))</f>
        <v>#REF!</v>
      </c>
      <c r="AE2713" t="e">
        <f>IF(#REF!&lt;=5,"Low Calls", IF(#REF!&lt;=10, "Medium Calls", "High Calls"))</f>
        <v>#REF!</v>
      </c>
      <c r="AF2713" t="e">
        <f xml:space="preserve">
IF(#REF!&gt;=4,4,0)+
IF(#REF!="yes",3,0)+
IF(#REF!="High Charges",3,0)+
IF(#REF!&gt;250,4,0)+
IF(#REF!="no",1,0)+
IF(#REF!="Heavy Domestic User",2,0)</f>
        <v>#REF!</v>
      </c>
      <c r="AG2713" t="e">
        <f>IF(#REF!&gt;=10,"High Risk", IF(#REF!&gt;=5,"Medium Risk","Low Risk"))</f>
        <v>#REF!</v>
      </c>
      <c r="AH2713" t="e">
        <f>#REF! + #REF! + #REF! + #REF!</f>
        <v>#REF!</v>
      </c>
    </row>
    <row r="2714" spans="1:34" x14ac:dyDescent="0.35">
      <c r="A2714">
        <v>2713</v>
      </c>
      <c r="B2714" t="s">
        <v>60</v>
      </c>
      <c r="C2714">
        <v>59</v>
      </c>
      <c r="D2714" t="s">
        <v>25</v>
      </c>
      <c r="E2714" t="s">
        <v>22</v>
      </c>
      <c r="F2714" t="s">
        <v>23</v>
      </c>
      <c r="G2714">
        <v>32</v>
      </c>
      <c r="H2714">
        <v>211.9</v>
      </c>
      <c r="I2714">
        <v>120</v>
      </c>
      <c r="J2714">
        <v>36.020000000000003</v>
      </c>
      <c r="K2714">
        <v>202.9</v>
      </c>
      <c r="L2714">
        <v>136</v>
      </c>
      <c r="M2714">
        <v>17.25</v>
      </c>
      <c r="N2714">
        <v>213.5</v>
      </c>
      <c r="O2714">
        <v>95</v>
      </c>
      <c r="P2714">
        <v>9.61</v>
      </c>
      <c r="Q2714">
        <v>8.8000000000000007</v>
      </c>
      <c r="R2714">
        <v>5</v>
      </c>
      <c r="S2714">
        <v>2.38</v>
      </c>
      <c r="T2714">
        <v>1</v>
      </c>
      <c r="U2714" t="s">
        <v>22</v>
      </c>
      <c r="V2714" t="e">
        <f>IF(#REF! = "yes", 1, 0)</f>
        <v>#REF!</v>
      </c>
      <c r="W2714" t="e">
        <f>IF(#REF! &lt;= 1, "0-1 Calls", IF(#REF! &lt;= 3, "2-3 Calls", IF(#REF! &lt;=5, "4-5 Calls", "6+ Calls")))</f>
        <v>#REF!</v>
      </c>
      <c r="X2714" t="e">
        <f>IF(#REF! &lt;= 50, "0-50", IF(#REF! &lt;=100, "51-100", IF(#REF! &lt;= 150, "101-150", "151+")))</f>
        <v>#REF!</v>
      </c>
      <c r="Y2714" t="e">
        <f>IF(#REF! &lt;= 3, "Low Charges", "High Charges")</f>
        <v>#REF!</v>
      </c>
      <c r="Z2714" t="e">
        <f>IF(#REF!&lt;=80,"Low Calls",
IF(#REF!&lt;=120,"Medium Calls","High Calls"))</f>
        <v>#REF!</v>
      </c>
      <c r="AA2714" t="e">
        <f>IF(#REF!&lt;=15,"Low Charges",
IF(#REF!&lt;=20,"Medium Charges","High Charges"))</f>
        <v>#REF!</v>
      </c>
      <c r="AB2714" t="e">
        <f>IF(AND(#REF!&gt;180, #REF!&gt;200), "Heavy Doemstic User", IF(#REF!&gt;10, "Interntional User", IF(AND(#REF!&lt;180, #REF!&lt;200,#REF!&lt;200), "Light User", "Balanced User")))</f>
        <v>#REF!</v>
      </c>
      <c r="AC2714" t="e">
        <f>IF(#REF! = 0, "No Usage", IF(#REF! &lt;= 20, "Low Usage", IF(#REF! &lt;= 40, "Medium Usgae", "High Usage")))</f>
        <v>#REF!</v>
      </c>
      <c r="AD2714" t="e">
        <f>IF(#REF!&lt;=150,"Low Usage", IF(#REF!&lt;=200,"Medium Usage", IF(#REF!&lt;=250,"High Usage","Very High Usage")))</f>
        <v>#REF!</v>
      </c>
      <c r="AE2714" t="e">
        <f>IF(#REF!&lt;=5,"Low Calls", IF(#REF!&lt;=10, "Medium Calls", "High Calls"))</f>
        <v>#REF!</v>
      </c>
      <c r="AF2714" t="e">
        <f xml:space="preserve">
IF(#REF!&gt;=4,4,0)+
IF(#REF!="yes",3,0)+
IF(#REF!="High Charges",3,0)+
IF(#REF!&gt;250,4,0)+
IF(#REF!="no",1,0)+
IF(#REF!="Heavy Domestic User",2,0)</f>
        <v>#REF!</v>
      </c>
      <c r="AG2714" t="e">
        <f>IF(#REF!&gt;=10,"High Risk", IF(#REF!&gt;=5,"Medium Risk","Low Risk"))</f>
        <v>#REF!</v>
      </c>
      <c r="AH2714" t="e">
        <f>#REF! + #REF! + #REF! + #REF!</f>
        <v>#REF!</v>
      </c>
    </row>
    <row r="2715" spans="1:34" x14ac:dyDescent="0.35">
      <c r="A2715">
        <v>2714</v>
      </c>
      <c r="B2715" t="s">
        <v>59</v>
      </c>
      <c r="C2715">
        <v>143</v>
      </c>
      <c r="D2715" t="s">
        <v>28</v>
      </c>
      <c r="E2715" t="s">
        <v>22</v>
      </c>
      <c r="F2715" t="s">
        <v>22</v>
      </c>
      <c r="G2715">
        <v>0</v>
      </c>
      <c r="H2715">
        <v>160.4</v>
      </c>
      <c r="I2715">
        <v>120</v>
      </c>
      <c r="J2715">
        <v>27.27</v>
      </c>
      <c r="K2715">
        <v>285.89999999999998</v>
      </c>
      <c r="L2715">
        <v>104</v>
      </c>
      <c r="M2715">
        <v>24.3</v>
      </c>
      <c r="N2715">
        <v>182.5</v>
      </c>
      <c r="O2715">
        <v>85</v>
      </c>
      <c r="P2715">
        <v>8.2100000000000009</v>
      </c>
      <c r="Q2715">
        <v>6.9</v>
      </c>
      <c r="R2715">
        <v>4</v>
      </c>
      <c r="S2715">
        <v>1.86</v>
      </c>
      <c r="T2715">
        <v>3</v>
      </c>
      <c r="U2715" t="s">
        <v>22</v>
      </c>
      <c r="V2715" t="e">
        <f>IF(#REF! = "yes", 1, 0)</f>
        <v>#REF!</v>
      </c>
      <c r="W2715" t="e">
        <f>IF(#REF! &lt;= 1, "0-1 Calls", IF(#REF! &lt;= 3, "2-3 Calls", IF(#REF! &lt;=5, "4-5 Calls", "6+ Calls")))</f>
        <v>#REF!</v>
      </c>
      <c r="X2715" t="e">
        <f>IF(#REF! &lt;= 50, "0-50", IF(#REF! &lt;=100, "51-100", IF(#REF! &lt;= 150, "101-150", "151+")))</f>
        <v>#REF!</v>
      </c>
      <c r="Y2715" t="e">
        <f>IF(#REF! &lt;= 3, "Low Charges", "High Charges")</f>
        <v>#REF!</v>
      </c>
      <c r="Z2715" t="e">
        <f>IF(#REF!&lt;=80,"Low Calls",
IF(#REF!&lt;=120,"Medium Calls","High Calls"))</f>
        <v>#REF!</v>
      </c>
      <c r="AA2715" t="e">
        <f>IF(#REF!&lt;=15,"Low Charges",
IF(#REF!&lt;=20,"Medium Charges","High Charges"))</f>
        <v>#REF!</v>
      </c>
      <c r="AB2715" t="e">
        <f>IF(AND(#REF!&gt;180, #REF!&gt;200), "Heavy Doemstic User", IF(#REF!&gt;10, "Interntional User", IF(AND(#REF!&lt;180, #REF!&lt;200,#REF!&lt;200), "Light User", "Balanced User")))</f>
        <v>#REF!</v>
      </c>
      <c r="AC2715" t="e">
        <f>IF(#REF! = 0, "No Usage", IF(#REF! &lt;= 20, "Low Usage", IF(#REF! &lt;= 40, "Medium Usgae", "High Usage")))</f>
        <v>#REF!</v>
      </c>
      <c r="AD2715" t="e">
        <f>IF(#REF!&lt;=150,"Low Usage", IF(#REF!&lt;=200,"Medium Usage", IF(#REF!&lt;=250,"High Usage","Very High Usage")))</f>
        <v>#REF!</v>
      </c>
      <c r="AE2715" t="e">
        <f>IF(#REF!&lt;=5,"Low Calls", IF(#REF!&lt;=10, "Medium Calls", "High Calls"))</f>
        <v>#REF!</v>
      </c>
      <c r="AF2715" t="e">
        <f xml:space="preserve">
IF(#REF!&gt;=4,4,0)+
IF(#REF!="yes",3,0)+
IF(#REF!="High Charges",3,0)+
IF(#REF!&gt;250,4,0)+
IF(#REF!="no",1,0)+
IF(#REF!="Heavy Domestic User",2,0)</f>
        <v>#REF!</v>
      </c>
      <c r="AG2715" t="e">
        <f>IF(#REF!&gt;=10,"High Risk", IF(#REF!&gt;=5,"Medium Risk","Low Risk"))</f>
        <v>#REF!</v>
      </c>
      <c r="AH2715" t="e">
        <f>#REF! + #REF! + #REF! + #REF!</f>
        <v>#REF!</v>
      </c>
    </row>
    <row r="2716" spans="1:34" x14ac:dyDescent="0.35">
      <c r="A2716">
        <v>2715</v>
      </c>
      <c r="B2716" t="s">
        <v>73</v>
      </c>
      <c r="C2716">
        <v>142</v>
      </c>
      <c r="D2716" t="s">
        <v>28</v>
      </c>
      <c r="E2716" t="s">
        <v>22</v>
      </c>
      <c r="F2716" t="s">
        <v>23</v>
      </c>
      <c r="G2716">
        <v>40</v>
      </c>
      <c r="H2716">
        <v>230.7</v>
      </c>
      <c r="I2716">
        <v>101</v>
      </c>
      <c r="J2716">
        <v>39.22</v>
      </c>
      <c r="K2716">
        <v>256.8</v>
      </c>
      <c r="L2716">
        <v>88</v>
      </c>
      <c r="M2716">
        <v>21.83</v>
      </c>
      <c r="N2716">
        <v>263.89999999999998</v>
      </c>
      <c r="O2716">
        <v>92</v>
      </c>
      <c r="P2716">
        <v>11.88</v>
      </c>
      <c r="Q2716">
        <v>6.4</v>
      </c>
      <c r="R2716">
        <v>3</v>
      </c>
      <c r="S2716">
        <v>1.73</v>
      </c>
      <c r="T2716">
        <v>1</v>
      </c>
      <c r="U2716" t="s">
        <v>22</v>
      </c>
      <c r="V2716" t="e">
        <f>IF(#REF! = "yes", 1, 0)</f>
        <v>#REF!</v>
      </c>
      <c r="W2716" t="e">
        <f>IF(#REF! &lt;= 1, "0-1 Calls", IF(#REF! &lt;= 3, "2-3 Calls", IF(#REF! &lt;=5, "4-5 Calls", "6+ Calls")))</f>
        <v>#REF!</v>
      </c>
      <c r="X2716" t="e">
        <f>IF(#REF! &lt;= 50, "0-50", IF(#REF! &lt;=100, "51-100", IF(#REF! &lt;= 150, "101-150", "151+")))</f>
        <v>#REF!</v>
      </c>
      <c r="Y2716" t="e">
        <f>IF(#REF! &lt;= 3, "Low Charges", "High Charges")</f>
        <v>#REF!</v>
      </c>
      <c r="Z2716" t="e">
        <f>IF(#REF!&lt;=80,"Low Calls",
IF(#REF!&lt;=120,"Medium Calls","High Calls"))</f>
        <v>#REF!</v>
      </c>
      <c r="AA2716" t="e">
        <f>IF(#REF!&lt;=15,"Low Charges",
IF(#REF!&lt;=20,"Medium Charges","High Charges"))</f>
        <v>#REF!</v>
      </c>
      <c r="AB2716" t="e">
        <f>IF(AND(#REF!&gt;180, #REF!&gt;200), "Heavy Doemstic User", IF(#REF!&gt;10, "Interntional User", IF(AND(#REF!&lt;180, #REF!&lt;200,#REF!&lt;200), "Light User", "Balanced User")))</f>
        <v>#REF!</v>
      </c>
      <c r="AC2716" t="e">
        <f>IF(#REF! = 0, "No Usage", IF(#REF! &lt;= 20, "Low Usage", IF(#REF! &lt;= 40, "Medium Usgae", "High Usage")))</f>
        <v>#REF!</v>
      </c>
      <c r="AD2716" t="e">
        <f>IF(#REF!&lt;=150,"Low Usage", IF(#REF!&lt;=200,"Medium Usage", IF(#REF!&lt;=250,"High Usage","Very High Usage")))</f>
        <v>#REF!</v>
      </c>
      <c r="AE2716" t="e">
        <f>IF(#REF!&lt;=5,"Low Calls", IF(#REF!&lt;=10, "Medium Calls", "High Calls"))</f>
        <v>#REF!</v>
      </c>
      <c r="AF2716" t="e">
        <f xml:space="preserve">
IF(#REF!&gt;=4,4,0)+
IF(#REF!="yes",3,0)+
IF(#REF!="High Charges",3,0)+
IF(#REF!&gt;250,4,0)+
IF(#REF!="no",1,0)+
IF(#REF!="Heavy Domestic User",2,0)</f>
        <v>#REF!</v>
      </c>
      <c r="AG2716" t="e">
        <f>IF(#REF!&gt;=10,"High Risk", IF(#REF!&gt;=5,"Medium Risk","Low Risk"))</f>
        <v>#REF!</v>
      </c>
      <c r="AH2716" t="e">
        <f>#REF! + #REF! + #REF! + #REF!</f>
        <v>#REF!</v>
      </c>
    </row>
    <row r="2717" spans="1:34" x14ac:dyDescent="0.35">
      <c r="A2717">
        <v>2716</v>
      </c>
      <c r="B2717" t="s">
        <v>37</v>
      </c>
      <c r="C2717">
        <v>105</v>
      </c>
      <c r="D2717" t="s">
        <v>25</v>
      </c>
      <c r="E2717" t="s">
        <v>22</v>
      </c>
      <c r="F2717" t="s">
        <v>22</v>
      </c>
      <c r="G2717">
        <v>0</v>
      </c>
      <c r="H2717">
        <v>232.6</v>
      </c>
      <c r="I2717">
        <v>96</v>
      </c>
      <c r="J2717">
        <v>39.54</v>
      </c>
      <c r="K2717">
        <v>253.4</v>
      </c>
      <c r="L2717">
        <v>117</v>
      </c>
      <c r="M2717">
        <v>21.54</v>
      </c>
      <c r="N2717">
        <v>154</v>
      </c>
      <c r="O2717">
        <v>101</v>
      </c>
      <c r="P2717">
        <v>6.93</v>
      </c>
      <c r="Q2717">
        <v>10.5</v>
      </c>
      <c r="R2717">
        <v>9</v>
      </c>
      <c r="S2717">
        <v>2.84</v>
      </c>
      <c r="T2717">
        <v>1</v>
      </c>
      <c r="U2717" t="s">
        <v>22</v>
      </c>
      <c r="V2717" t="e">
        <f>IF(#REF! = "yes", 1, 0)</f>
        <v>#REF!</v>
      </c>
      <c r="W2717" t="e">
        <f>IF(#REF! &lt;= 1, "0-1 Calls", IF(#REF! &lt;= 3, "2-3 Calls", IF(#REF! &lt;=5, "4-5 Calls", "6+ Calls")))</f>
        <v>#REF!</v>
      </c>
      <c r="X2717" t="e">
        <f>IF(#REF! &lt;= 50, "0-50", IF(#REF! &lt;=100, "51-100", IF(#REF! &lt;= 150, "101-150", "151+")))</f>
        <v>#REF!</v>
      </c>
      <c r="Y2717" t="e">
        <f>IF(#REF! &lt;= 3, "Low Charges", "High Charges")</f>
        <v>#REF!</v>
      </c>
      <c r="Z2717" t="e">
        <f>IF(#REF!&lt;=80,"Low Calls",
IF(#REF!&lt;=120,"Medium Calls","High Calls"))</f>
        <v>#REF!</v>
      </c>
      <c r="AA2717" t="e">
        <f>IF(#REF!&lt;=15,"Low Charges",
IF(#REF!&lt;=20,"Medium Charges","High Charges"))</f>
        <v>#REF!</v>
      </c>
      <c r="AB2717" t="e">
        <f>IF(AND(#REF!&gt;180, #REF!&gt;200), "Heavy Doemstic User", IF(#REF!&gt;10, "Interntional User", IF(AND(#REF!&lt;180, #REF!&lt;200,#REF!&lt;200), "Light User", "Balanced User")))</f>
        <v>#REF!</v>
      </c>
      <c r="AC2717" t="e">
        <f>IF(#REF! = 0, "No Usage", IF(#REF! &lt;= 20, "Low Usage", IF(#REF! &lt;= 40, "Medium Usgae", "High Usage")))</f>
        <v>#REF!</v>
      </c>
      <c r="AD2717" t="e">
        <f>IF(#REF!&lt;=150,"Low Usage", IF(#REF!&lt;=200,"Medium Usage", IF(#REF!&lt;=250,"High Usage","Very High Usage")))</f>
        <v>#REF!</v>
      </c>
      <c r="AE2717" t="e">
        <f>IF(#REF!&lt;=5,"Low Calls", IF(#REF!&lt;=10, "Medium Calls", "High Calls"))</f>
        <v>#REF!</v>
      </c>
      <c r="AF2717" t="e">
        <f xml:space="preserve">
IF(#REF!&gt;=4,4,0)+
IF(#REF!="yes",3,0)+
IF(#REF!="High Charges",3,0)+
IF(#REF!&gt;250,4,0)+
IF(#REF!="no",1,0)+
IF(#REF!="Heavy Domestic User",2,0)</f>
        <v>#REF!</v>
      </c>
      <c r="AG2717" t="e">
        <f>IF(#REF!&gt;=10,"High Risk", IF(#REF!&gt;=5,"Medium Risk","Low Risk"))</f>
        <v>#REF!</v>
      </c>
      <c r="AH2717" t="e">
        <f>#REF! + #REF! + #REF! + #REF!</f>
        <v>#REF!</v>
      </c>
    </row>
    <row r="2718" spans="1:34" x14ac:dyDescent="0.35">
      <c r="A2718">
        <v>2717</v>
      </c>
      <c r="B2718" t="s">
        <v>67</v>
      </c>
      <c r="C2718">
        <v>111</v>
      </c>
      <c r="D2718" t="s">
        <v>25</v>
      </c>
      <c r="E2718" t="s">
        <v>22</v>
      </c>
      <c r="F2718" t="s">
        <v>22</v>
      </c>
      <c r="G2718">
        <v>0</v>
      </c>
      <c r="H2718">
        <v>294.7</v>
      </c>
      <c r="I2718">
        <v>90</v>
      </c>
      <c r="J2718">
        <v>50.1</v>
      </c>
      <c r="K2718">
        <v>294.60000000000002</v>
      </c>
      <c r="L2718">
        <v>72</v>
      </c>
      <c r="M2718">
        <v>25.04</v>
      </c>
      <c r="N2718">
        <v>260.10000000000002</v>
      </c>
      <c r="O2718">
        <v>121</v>
      </c>
      <c r="P2718">
        <v>11.7</v>
      </c>
      <c r="Q2718">
        <v>10.8</v>
      </c>
      <c r="R2718">
        <v>3</v>
      </c>
      <c r="S2718">
        <v>2.92</v>
      </c>
      <c r="T2718">
        <v>1</v>
      </c>
      <c r="U2718" t="s">
        <v>23</v>
      </c>
      <c r="V2718" t="e">
        <f>IF(#REF! = "yes", 1, 0)</f>
        <v>#REF!</v>
      </c>
      <c r="W2718" t="e">
        <f>IF(#REF! &lt;= 1, "0-1 Calls", IF(#REF! &lt;= 3, "2-3 Calls", IF(#REF! &lt;=5, "4-5 Calls", "6+ Calls")))</f>
        <v>#REF!</v>
      </c>
      <c r="X2718" t="e">
        <f>IF(#REF! &lt;= 50, "0-50", IF(#REF! &lt;=100, "51-100", IF(#REF! &lt;= 150, "101-150", "151+")))</f>
        <v>#REF!</v>
      </c>
      <c r="Y2718" t="e">
        <f>IF(#REF! &lt;= 3, "Low Charges", "High Charges")</f>
        <v>#REF!</v>
      </c>
      <c r="Z2718" t="e">
        <f>IF(#REF!&lt;=80,"Low Calls",
IF(#REF!&lt;=120,"Medium Calls","High Calls"))</f>
        <v>#REF!</v>
      </c>
      <c r="AA2718" t="e">
        <f>IF(#REF!&lt;=15,"Low Charges",
IF(#REF!&lt;=20,"Medium Charges","High Charges"))</f>
        <v>#REF!</v>
      </c>
      <c r="AB2718" t="e">
        <f>IF(AND(#REF!&gt;180, #REF!&gt;200), "Heavy Doemstic User", IF(#REF!&gt;10, "Interntional User", IF(AND(#REF!&lt;180, #REF!&lt;200,#REF!&lt;200), "Light User", "Balanced User")))</f>
        <v>#REF!</v>
      </c>
      <c r="AC2718" t="e">
        <f>IF(#REF! = 0, "No Usage", IF(#REF! &lt;= 20, "Low Usage", IF(#REF! &lt;= 40, "Medium Usgae", "High Usage")))</f>
        <v>#REF!</v>
      </c>
      <c r="AD2718" t="e">
        <f>IF(#REF!&lt;=150,"Low Usage", IF(#REF!&lt;=200,"Medium Usage", IF(#REF!&lt;=250,"High Usage","Very High Usage")))</f>
        <v>#REF!</v>
      </c>
      <c r="AE2718" t="e">
        <f>IF(#REF!&lt;=5,"Low Calls", IF(#REF!&lt;=10, "Medium Calls", "High Calls"))</f>
        <v>#REF!</v>
      </c>
      <c r="AF2718" t="e">
        <f xml:space="preserve">
IF(#REF!&gt;=4,4,0)+
IF(#REF!="yes",3,0)+
IF(#REF!="High Charges",3,0)+
IF(#REF!&gt;250,4,0)+
IF(#REF!="no",1,0)+
IF(#REF!="Heavy Domestic User",2,0)</f>
        <v>#REF!</v>
      </c>
      <c r="AG2718" t="e">
        <f>IF(#REF!&gt;=10,"High Risk", IF(#REF!&gt;=5,"Medium Risk","Low Risk"))</f>
        <v>#REF!</v>
      </c>
      <c r="AH2718" t="e">
        <f>#REF! + #REF! + #REF! + #REF!</f>
        <v>#REF!</v>
      </c>
    </row>
    <row r="2719" spans="1:34" x14ac:dyDescent="0.35">
      <c r="A2719">
        <v>2718</v>
      </c>
      <c r="B2719" t="s">
        <v>59</v>
      </c>
      <c r="C2719">
        <v>143</v>
      </c>
      <c r="D2719" t="s">
        <v>28</v>
      </c>
      <c r="E2719" t="s">
        <v>22</v>
      </c>
      <c r="F2719" t="s">
        <v>22</v>
      </c>
      <c r="G2719">
        <v>0</v>
      </c>
      <c r="H2719">
        <v>133.4</v>
      </c>
      <c r="I2719">
        <v>107</v>
      </c>
      <c r="J2719">
        <v>22.68</v>
      </c>
      <c r="K2719">
        <v>223.9</v>
      </c>
      <c r="L2719">
        <v>117</v>
      </c>
      <c r="M2719">
        <v>19.03</v>
      </c>
      <c r="N2719">
        <v>180.4</v>
      </c>
      <c r="O2719">
        <v>85</v>
      </c>
      <c r="P2719">
        <v>8.1199999999999992</v>
      </c>
      <c r="Q2719">
        <v>10.199999999999999</v>
      </c>
      <c r="R2719">
        <v>13</v>
      </c>
      <c r="S2719">
        <v>2.75</v>
      </c>
      <c r="T2719">
        <v>1</v>
      </c>
      <c r="U2719" t="s">
        <v>22</v>
      </c>
      <c r="V2719" t="e">
        <f>IF(#REF! = "yes", 1, 0)</f>
        <v>#REF!</v>
      </c>
      <c r="W2719" t="e">
        <f>IF(#REF! &lt;= 1, "0-1 Calls", IF(#REF! &lt;= 3, "2-3 Calls", IF(#REF! &lt;=5, "4-5 Calls", "6+ Calls")))</f>
        <v>#REF!</v>
      </c>
      <c r="X2719" t="e">
        <f>IF(#REF! &lt;= 50, "0-50", IF(#REF! &lt;=100, "51-100", IF(#REF! &lt;= 150, "101-150", "151+")))</f>
        <v>#REF!</v>
      </c>
      <c r="Y2719" t="e">
        <f>IF(#REF! &lt;= 3, "Low Charges", "High Charges")</f>
        <v>#REF!</v>
      </c>
      <c r="Z2719" t="e">
        <f>IF(#REF!&lt;=80,"Low Calls",
IF(#REF!&lt;=120,"Medium Calls","High Calls"))</f>
        <v>#REF!</v>
      </c>
      <c r="AA2719" t="e">
        <f>IF(#REF!&lt;=15,"Low Charges",
IF(#REF!&lt;=20,"Medium Charges","High Charges"))</f>
        <v>#REF!</v>
      </c>
      <c r="AB2719" t="e">
        <f>IF(AND(#REF!&gt;180, #REF!&gt;200), "Heavy Doemstic User", IF(#REF!&gt;10, "Interntional User", IF(AND(#REF!&lt;180, #REF!&lt;200,#REF!&lt;200), "Light User", "Balanced User")))</f>
        <v>#REF!</v>
      </c>
      <c r="AC2719" t="e">
        <f>IF(#REF! = 0, "No Usage", IF(#REF! &lt;= 20, "Low Usage", IF(#REF! &lt;= 40, "Medium Usgae", "High Usage")))</f>
        <v>#REF!</v>
      </c>
      <c r="AD2719" t="e">
        <f>IF(#REF!&lt;=150,"Low Usage", IF(#REF!&lt;=200,"Medium Usage", IF(#REF!&lt;=250,"High Usage","Very High Usage")))</f>
        <v>#REF!</v>
      </c>
      <c r="AE2719" t="e">
        <f>IF(#REF!&lt;=5,"Low Calls", IF(#REF!&lt;=10, "Medium Calls", "High Calls"))</f>
        <v>#REF!</v>
      </c>
      <c r="AF2719" t="e">
        <f xml:space="preserve">
IF(#REF!&gt;=4,4,0)+
IF(#REF!="yes",3,0)+
IF(#REF!="High Charges",3,0)+
IF(#REF!&gt;250,4,0)+
IF(#REF!="no",1,0)+
IF(#REF!="Heavy Domestic User",2,0)</f>
        <v>#REF!</v>
      </c>
      <c r="AG2719" t="e">
        <f>IF(#REF!&gt;=10,"High Risk", IF(#REF!&gt;=5,"Medium Risk","Low Risk"))</f>
        <v>#REF!</v>
      </c>
      <c r="AH2719" t="e">
        <f>#REF! + #REF! + #REF! + #REF!</f>
        <v>#REF!</v>
      </c>
    </row>
    <row r="2720" spans="1:34" x14ac:dyDescent="0.35">
      <c r="A2720">
        <v>2719</v>
      </c>
      <c r="B2720" t="s">
        <v>63</v>
      </c>
      <c r="C2720">
        <v>93</v>
      </c>
      <c r="D2720" t="s">
        <v>25</v>
      </c>
      <c r="E2720" t="s">
        <v>22</v>
      </c>
      <c r="F2720" t="s">
        <v>23</v>
      </c>
      <c r="G2720">
        <v>22</v>
      </c>
      <c r="H2720">
        <v>306.2</v>
      </c>
      <c r="I2720">
        <v>123</v>
      </c>
      <c r="J2720">
        <v>52.05</v>
      </c>
      <c r="K2720">
        <v>189.7</v>
      </c>
      <c r="L2720">
        <v>83</v>
      </c>
      <c r="M2720">
        <v>16.12</v>
      </c>
      <c r="N2720">
        <v>240.3</v>
      </c>
      <c r="O2720">
        <v>107</v>
      </c>
      <c r="P2720">
        <v>10.81</v>
      </c>
      <c r="Q2720">
        <v>11.7</v>
      </c>
      <c r="R2720">
        <v>2</v>
      </c>
      <c r="S2720">
        <v>3.16</v>
      </c>
      <c r="T2720">
        <v>0</v>
      </c>
      <c r="U2720" t="s">
        <v>22</v>
      </c>
      <c r="V2720" t="e">
        <f>IF(#REF! = "yes", 1, 0)</f>
        <v>#REF!</v>
      </c>
      <c r="W2720" t="e">
        <f>IF(#REF! &lt;= 1, "0-1 Calls", IF(#REF! &lt;= 3, "2-3 Calls", IF(#REF! &lt;=5, "4-5 Calls", "6+ Calls")))</f>
        <v>#REF!</v>
      </c>
      <c r="X2720" t="e">
        <f>IF(#REF! &lt;= 50, "0-50", IF(#REF! &lt;=100, "51-100", IF(#REF! &lt;= 150, "101-150", "151+")))</f>
        <v>#REF!</v>
      </c>
      <c r="Y2720" t="e">
        <f>IF(#REF! &lt;= 3, "Low Charges", "High Charges")</f>
        <v>#REF!</v>
      </c>
      <c r="Z2720" t="e">
        <f>IF(#REF!&lt;=80,"Low Calls",
IF(#REF!&lt;=120,"Medium Calls","High Calls"))</f>
        <v>#REF!</v>
      </c>
      <c r="AA2720" t="e">
        <f>IF(#REF!&lt;=15,"Low Charges",
IF(#REF!&lt;=20,"Medium Charges","High Charges"))</f>
        <v>#REF!</v>
      </c>
      <c r="AB2720" t="e">
        <f>IF(AND(#REF!&gt;180, #REF!&gt;200), "Heavy Doemstic User", IF(#REF!&gt;10, "Interntional User", IF(AND(#REF!&lt;180, #REF!&lt;200,#REF!&lt;200), "Light User", "Balanced User")))</f>
        <v>#REF!</v>
      </c>
      <c r="AC2720" t="e">
        <f>IF(#REF! = 0, "No Usage", IF(#REF! &lt;= 20, "Low Usage", IF(#REF! &lt;= 40, "Medium Usgae", "High Usage")))</f>
        <v>#REF!</v>
      </c>
      <c r="AD2720" t="e">
        <f>IF(#REF!&lt;=150,"Low Usage", IF(#REF!&lt;=200,"Medium Usage", IF(#REF!&lt;=250,"High Usage","Very High Usage")))</f>
        <v>#REF!</v>
      </c>
      <c r="AE2720" t="e">
        <f>IF(#REF!&lt;=5,"Low Calls", IF(#REF!&lt;=10, "Medium Calls", "High Calls"))</f>
        <v>#REF!</v>
      </c>
      <c r="AF2720" t="e">
        <f xml:space="preserve">
IF(#REF!&gt;=4,4,0)+
IF(#REF!="yes",3,0)+
IF(#REF!="High Charges",3,0)+
IF(#REF!&gt;250,4,0)+
IF(#REF!="no",1,0)+
IF(#REF!="Heavy Domestic User",2,0)</f>
        <v>#REF!</v>
      </c>
      <c r="AG2720" t="e">
        <f>IF(#REF!&gt;=10,"High Risk", IF(#REF!&gt;=5,"Medium Risk","Low Risk"))</f>
        <v>#REF!</v>
      </c>
      <c r="AH2720" t="e">
        <f>#REF! + #REF! + #REF! + #REF!</f>
        <v>#REF!</v>
      </c>
    </row>
    <row r="2721" spans="1:34" x14ac:dyDescent="0.35">
      <c r="A2721">
        <v>2720</v>
      </c>
      <c r="B2721" t="s">
        <v>65</v>
      </c>
      <c r="C2721">
        <v>79</v>
      </c>
      <c r="D2721" t="s">
        <v>21</v>
      </c>
      <c r="E2721" t="s">
        <v>22</v>
      </c>
      <c r="F2721" t="s">
        <v>22</v>
      </c>
      <c r="G2721">
        <v>0</v>
      </c>
      <c r="H2721">
        <v>236.8</v>
      </c>
      <c r="I2721">
        <v>135</v>
      </c>
      <c r="J2721">
        <v>40.26</v>
      </c>
      <c r="K2721">
        <v>186.4</v>
      </c>
      <c r="L2721">
        <v>87</v>
      </c>
      <c r="M2721">
        <v>15.84</v>
      </c>
      <c r="N2721">
        <v>126.9</v>
      </c>
      <c r="O2721">
        <v>112</v>
      </c>
      <c r="P2721">
        <v>5.71</v>
      </c>
      <c r="Q2721">
        <v>10.4</v>
      </c>
      <c r="R2721">
        <v>5</v>
      </c>
      <c r="S2721">
        <v>2.81</v>
      </c>
      <c r="T2721">
        <v>2</v>
      </c>
      <c r="U2721" t="s">
        <v>22</v>
      </c>
      <c r="V2721" t="e">
        <f>IF(#REF! = "yes", 1, 0)</f>
        <v>#REF!</v>
      </c>
      <c r="W2721" t="e">
        <f>IF(#REF! &lt;= 1, "0-1 Calls", IF(#REF! &lt;= 3, "2-3 Calls", IF(#REF! &lt;=5, "4-5 Calls", "6+ Calls")))</f>
        <v>#REF!</v>
      </c>
      <c r="X2721" t="e">
        <f>IF(#REF! &lt;= 50, "0-50", IF(#REF! &lt;=100, "51-100", IF(#REF! &lt;= 150, "101-150", "151+")))</f>
        <v>#REF!</v>
      </c>
      <c r="Y2721" t="e">
        <f>IF(#REF! &lt;= 3, "Low Charges", "High Charges")</f>
        <v>#REF!</v>
      </c>
      <c r="Z2721" t="e">
        <f>IF(#REF!&lt;=80,"Low Calls",
IF(#REF!&lt;=120,"Medium Calls","High Calls"))</f>
        <v>#REF!</v>
      </c>
      <c r="AA2721" t="e">
        <f>IF(#REF!&lt;=15,"Low Charges",
IF(#REF!&lt;=20,"Medium Charges","High Charges"))</f>
        <v>#REF!</v>
      </c>
      <c r="AB2721" t="e">
        <f>IF(AND(#REF!&gt;180, #REF!&gt;200), "Heavy Doemstic User", IF(#REF!&gt;10, "Interntional User", IF(AND(#REF!&lt;180, #REF!&lt;200,#REF!&lt;200), "Light User", "Balanced User")))</f>
        <v>#REF!</v>
      </c>
      <c r="AC2721" t="e">
        <f>IF(#REF! = 0, "No Usage", IF(#REF! &lt;= 20, "Low Usage", IF(#REF! &lt;= 40, "Medium Usgae", "High Usage")))</f>
        <v>#REF!</v>
      </c>
      <c r="AD2721" t="e">
        <f>IF(#REF!&lt;=150,"Low Usage", IF(#REF!&lt;=200,"Medium Usage", IF(#REF!&lt;=250,"High Usage","Very High Usage")))</f>
        <v>#REF!</v>
      </c>
      <c r="AE2721" t="e">
        <f>IF(#REF!&lt;=5,"Low Calls", IF(#REF!&lt;=10, "Medium Calls", "High Calls"))</f>
        <v>#REF!</v>
      </c>
      <c r="AF2721" t="e">
        <f xml:space="preserve">
IF(#REF!&gt;=4,4,0)+
IF(#REF!="yes",3,0)+
IF(#REF!="High Charges",3,0)+
IF(#REF!&gt;250,4,0)+
IF(#REF!="no",1,0)+
IF(#REF!="Heavy Domestic User",2,0)</f>
        <v>#REF!</v>
      </c>
      <c r="AG2721" t="e">
        <f>IF(#REF!&gt;=10,"High Risk", IF(#REF!&gt;=5,"Medium Risk","Low Risk"))</f>
        <v>#REF!</v>
      </c>
      <c r="AH2721" t="e">
        <f>#REF! + #REF! + #REF! + #REF!</f>
        <v>#REF!</v>
      </c>
    </row>
    <row r="2722" spans="1:34" x14ac:dyDescent="0.35">
      <c r="A2722">
        <v>2721</v>
      </c>
      <c r="B2722" t="s">
        <v>71</v>
      </c>
      <c r="C2722">
        <v>93</v>
      </c>
      <c r="D2722" t="s">
        <v>28</v>
      </c>
      <c r="E2722" t="s">
        <v>23</v>
      </c>
      <c r="F2722" t="s">
        <v>22</v>
      </c>
      <c r="G2722">
        <v>0</v>
      </c>
      <c r="H2722">
        <v>168.4</v>
      </c>
      <c r="I2722">
        <v>114</v>
      </c>
      <c r="J2722">
        <v>28.63</v>
      </c>
      <c r="K2722">
        <v>276</v>
      </c>
      <c r="L2722">
        <v>127</v>
      </c>
      <c r="M2722">
        <v>23.46</v>
      </c>
      <c r="N2722">
        <v>196.2</v>
      </c>
      <c r="O2722">
        <v>48</v>
      </c>
      <c r="P2722">
        <v>8.83</v>
      </c>
      <c r="Q2722">
        <v>11.4</v>
      </c>
      <c r="R2722">
        <v>3</v>
      </c>
      <c r="S2722">
        <v>3.08</v>
      </c>
      <c r="T2722">
        <v>1</v>
      </c>
      <c r="U2722" t="s">
        <v>22</v>
      </c>
      <c r="V2722" t="e">
        <f>IF(#REF! = "yes", 1, 0)</f>
        <v>#REF!</v>
      </c>
      <c r="W2722" t="e">
        <f>IF(#REF! &lt;= 1, "0-1 Calls", IF(#REF! &lt;= 3, "2-3 Calls", IF(#REF! &lt;=5, "4-5 Calls", "6+ Calls")))</f>
        <v>#REF!</v>
      </c>
      <c r="X2722" t="e">
        <f>IF(#REF! &lt;= 50, "0-50", IF(#REF! &lt;=100, "51-100", IF(#REF! &lt;= 150, "101-150", "151+")))</f>
        <v>#REF!</v>
      </c>
      <c r="Y2722" t="e">
        <f>IF(#REF! &lt;= 3, "Low Charges", "High Charges")</f>
        <v>#REF!</v>
      </c>
      <c r="Z2722" t="e">
        <f>IF(#REF!&lt;=80,"Low Calls",
IF(#REF!&lt;=120,"Medium Calls","High Calls"))</f>
        <v>#REF!</v>
      </c>
      <c r="AA2722" t="e">
        <f>IF(#REF!&lt;=15,"Low Charges",
IF(#REF!&lt;=20,"Medium Charges","High Charges"))</f>
        <v>#REF!</v>
      </c>
      <c r="AB2722" t="e">
        <f>IF(AND(#REF!&gt;180, #REF!&gt;200), "Heavy Doemstic User", IF(#REF!&gt;10, "Interntional User", IF(AND(#REF!&lt;180, #REF!&lt;200,#REF!&lt;200), "Light User", "Balanced User")))</f>
        <v>#REF!</v>
      </c>
      <c r="AC2722" t="e">
        <f>IF(#REF! = 0, "No Usage", IF(#REF! &lt;= 20, "Low Usage", IF(#REF! &lt;= 40, "Medium Usgae", "High Usage")))</f>
        <v>#REF!</v>
      </c>
      <c r="AD2722" t="e">
        <f>IF(#REF!&lt;=150,"Low Usage", IF(#REF!&lt;=200,"Medium Usage", IF(#REF!&lt;=250,"High Usage","Very High Usage")))</f>
        <v>#REF!</v>
      </c>
      <c r="AE2722" t="e">
        <f>IF(#REF!&lt;=5,"Low Calls", IF(#REF!&lt;=10, "Medium Calls", "High Calls"))</f>
        <v>#REF!</v>
      </c>
      <c r="AF2722" t="e">
        <f xml:space="preserve">
IF(#REF!&gt;=4,4,0)+
IF(#REF!="yes",3,0)+
IF(#REF!="High Charges",3,0)+
IF(#REF!&gt;250,4,0)+
IF(#REF!="no",1,0)+
IF(#REF!="Heavy Domestic User",2,0)</f>
        <v>#REF!</v>
      </c>
      <c r="AG2722" t="e">
        <f>IF(#REF!&gt;=10,"High Risk", IF(#REF!&gt;=5,"Medium Risk","Low Risk"))</f>
        <v>#REF!</v>
      </c>
      <c r="AH2722" t="e">
        <f>#REF! + #REF! + #REF! + #REF!</f>
        <v>#REF!</v>
      </c>
    </row>
    <row r="2723" spans="1:34" x14ac:dyDescent="0.35">
      <c r="A2723">
        <v>2722</v>
      </c>
      <c r="B2723" t="s">
        <v>37</v>
      </c>
      <c r="C2723">
        <v>103</v>
      </c>
      <c r="D2723" t="s">
        <v>21</v>
      </c>
      <c r="E2723" t="s">
        <v>22</v>
      </c>
      <c r="F2723" t="s">
        <v>22</v>
      </c>
      <c r="G2723">
        <v>0</v>
      </c>
      <c r="H2723">
        <v>70.900000000000006</v>
      </c>
      <c r="I2723">
        <v>134</v>
      </c>
      <c r="J2723">
        <v>12.05</v>
      </c>
      <c r="K2723">
        <v>134.5</v>
      </c>
      <c r="L2723">
        <v>112</v>
      </c>
      <c r="M2723">
        <v>11.43</v>
      </c>
      <c r="N2723">
        <v>168.8</v>
      </c>
      <c r="O2723">
        <v>164</v>
      </c>
      <c r="P2723">
        <v>7.6</v>
      </c>
      <c r="Q2723">
        <v>12</v>
      </c>
      <c r="R2723">
        <v>6</v>
      </c>
      <c r="S2723">
        <v>3.24</v>
      </c>
      <c r="T2723">
        <v>2</v>
      </c>
      <c r="U2723" t="s">
        <v>22</v>
      </c>
      <c r="V2723" t="e">
        <f>IF(#REF! = "yes", 1, 0)</f>
        <v>#REF!</v>
      </c>
      <c r="W2723" t="e">
        <f>IF(#REF! &lt;= 1, "0-1 Calls", IF(#REF! &lt;= 3, "2-3 Calls", IF(#REF! &lt;=5, "4-5 Calls", "6+ Calls")))</f>
        <v>#REF!</v>
      </c>
      <c r="X2723" t="e">
        <f>IF(#REF! &lt;= 50, "0-50", IF(#REF! &lt;=100, "51-100", IF(#REF! &lt;= 150, "101-150", "151+")))</f>
        <v>#REF!</v>
      </c>
      <c r="Y2723" t="e">
        <f>IF(#REF! &lt;= 3, "Low Charges", "High Charges")</f>
        <v>#REF!</v>
      </c>
      <c r="Z2723" t="e">
        <f>IF(#REF!&lt;=80,"Low Calls",
IF(#REF!&lt;=120,"Medium Calls","High Calls"))</f>
        <v>#REF!</v>
      </c>
      <c r="AA2723" t="e">
        <f>IF(#REF!&lt;=15,"Low Charges",
IF(#REF!&lt;=20,"Medium Charges","High Charges"))</f>
        <v>#REF!</v>
      </c>
      <c r="AB2723" t="e">
        <f>IF(AND(#REF!&gt;180, #REF!&gt;200), "Heavy Doemstic User", IF(#REF!&gt;10, "Interntional User", IF(AND(#REF!&lt;180, #REF!&lt;200,#REF!&lt;200), "Light User", "Balanced User")))</f>
        <v>#REF!</v>
      </c>
      <c r="AC2723" t="e">
        <f>IF(#REF! = 0, "No Usage", IF(#REF! &lt;= 20, "Low Usage", IF(#REF! &lt;= 40, "Medium Usgae", "High Usage")))</f>
        <v>#REF!</v>
      </c>
      <c r="AD2723" t="e">
        <f>IF(#REF!&lt;=150,"Low Usage", IF(#REF!&lt;=200,"Medium Usage", IF(#REF!&lt;=250,"High Usage","Very High Usage")))</f>
        <v>#REF!</v>
      </c>
      <c r="AE2723" t="e">
        <f>IF(#REF!&lt;=5,"Low Calls", IF(#REF!&lt;=10, "Medium Calls", "High Calls"))</f>
        <v>#REF!</v>
      </c>
      <c r="AF2723" t="e">
        <f xml:space="preserve">
IF(#REF!&gt;=4,4,0)+
IF(#REF!="yes",3,0)+
IF(#REF!="High Charges",3,0)+
IF(#REF!&gt;250,4,0)+
IF(#REF!="no",1,0)+
IF(#REF!="Heavy Domestic User",2,0)</f>
        <v>#REF!</v>
      </c>
      <c r="AG2723" t="e">
        <f>IF(#REF!&gt;=10,"High Risk", IF(#REF!&gt;=5,"Medium Risk","Low Risk"))</f>
        <v>#REF!</v>
      </c>
      <c r="AH2723" t="e">
        <f>#REF! + #REF! + #REF! + #REF!</f>
        <v>#REF!</v>
      </c>
    </row>
    <row r="2724" spans="1:34" x14ac:dyDescent="0.35">
      <c r="A2724">
        <v>2723</v>
      </c>
      <c r="B2724" t="s">
        <v>51</v>
      </c>
      <c r="C2724">
        <v>93</v>
      </c>
      <c r="D2724" t="s">
        <v>21</v>
      </c>
      <c r="E2724" t="s">
        <v>22</v>
      </c>
      <c r="F2724" t="s">
        <v>22</v>
      </c>
      <c r="G2724">
        <v>0</v>
      </c>
      <c r="H2724">
        <v>152.1</v>
      </c>
      <c r="I2724">
        <v>141</v>
      </c>
      <c r="J2724">
        <v>25.86</v>
      </c>
      <c r="K2724">
        <v>215.5</v>
      </c>
      <c r="L2724">
        <v>107</v>
      </c>
      <c r="M2724">
        <v>18.32</v>
      </c>
      <c r="N2724">
        <v>262.39999999999998</v>
      </c>
      <c r="O2724">
        <v>111</v>
      </c>
      <c r="P2724">
        <v>11.81</v>
      </c>
      <c r="Q2724">
        <v>12</v>
      </c>
      <c r="R2724">
        <v>7</v>
      </c>
      <c r="S2724">
        <v>3.24</v>
      </c>
      <c r="T2724">
        <v>1</v>
      </c>
      <c r="U2724" t="s">
        <v>22</v>
      </c>
      <c r="V2724" t="e">
        <f>IF(#REF! = "yes", 1, 0)</f>
        <v>#REF!</v>
      </c>
      <c r="W2724" t="e">
        <f>IF(#REF! &lt;= 1, "0-1 Calls", IF(#REF! &lt;= 3, "2-3 Calls", IF(#REF! &lt;=5, "4-5 Calls", "6+ Calls")))</f>
        <v>#REF!</v>
      </c>
      <c r="X2724" t="e">
        <f>IF(#REF! &lt;= 50, "0-50", IF(#REF! &lt;=100, "51-100", IF(#REF! &lt;= 150, "101-150", "151+")))</f>
        <v>#REF!</v>
      </c>
      <c r="Y2724" t="e">
        <f>IF(#REF! &lt;= 3, "Low Charges", "High Charges")</f>
        <v>#REF!</v>
      </c>
      <c r="Z2724" t="e">
        <f>IF(#REF!&lt;=80,"Low Calls",
IF(#REF!&lt;=120,"Medium Calls","High Calls"))</f>
        <v>#REF!</v>
      </c>
      <c r="AA2724" t="e">
        <f>IF(#REF!&lt;=15,"Low Charges",
IF(#REF!&lt;=20,"Medium Charges","High Charges"))</f>
        <v>#REF!</v>
      </c>
      <c r="AB2724" t="e">
        <f>IF(AND(#REF!&gt;180, #REF!&gt;200), "Heavy Doemstic User", IF(#REF!&gt;10, "Interntional User", IF(AND(#REF!&lt;180, #REF!&lt;200,#REF!&lt;200), "Light User", "Balanced User")))</f>
        <v>#REF!</v>
      </c>
      <c r="AC2724" t="e">
        <f>IF(#REF! = 0, "No Usage", IF(#REF! &lt;= 20, "Low Usage", IF(#REF! &lt;= 40, "Medium Usgae", "High Usage")))</f>
        <v>#REF!</v>
      </c>
      <c r="AD2724" t="e">
        <f>IF(#REF!&lt;=150,"Low Usage", IF(#REF!&lt;=200,"Medium Usage", IF(#REF!&lt;=250,"High Usage","Very High Usage")))</f>
        <v>#REF!</v>
      </c>
      <c r="AE2724" t="e">
        <f>IF(#REF!&lt;=5,"Low Calls", IF(#REF!&lt;=10, "Medium Calls", "High Calls"))</f>
        <v>#REF!</v>
      </c>
      <c r="AF2724" t="e">
        <f xml:space="preserve">
IF(#REF!&gt;=4,4,0)+
IF(#REF!="yes",3,0)+
IF(#REF!="High Charges",3,0)+
IF(#REF!&gt;250,4,0)+
IF(#REF!="no",1,0)+
IF(#REF!="Heavy Domestic User",2,0)</f>
        <v>#REF!</v>
      </c>
      <c r="AG2724" t="e">
        <f>IF(#REF!&gt;=10,"High Risk", IF(#REF!&gt;=5,"Medium Risk","Low Risk"))</f>
        <v>#REF!</v>
      </c>
      <c r="AH2724" t="e">
        <f>#REF! + #REF! + #REF! + #REF!</f>
        <v>#REF!</v>
      </c>
    </row>
    <row r="2725" spans="1:34" x14ac:dyDescent="0.35">
      <c r="A2725">
        <v>2724</v>
      </c>
      <c r="B2725" t="s">
        <v>26</v>
      </c>
      <c r="C2725">
        <v>149</v>
      </c>
      <c r="D2725" t="s">
        <v>28</v>
      </c>
      <c r="E2725" t="s">
        <v>23</v>
      </c>
      <c r="F2725" t="s">
        <v>22</v>
      </c>
      <c r="G2725">
        <v>0</v>
      </c>
      <c r="H2725">
        <v>180.9</v>
      </c>
      <c r="I2725">
        <v>79</v>
      </c>
      <c r="J2725">
        <v>30.75</v>
      </c>
      <c r="K2725">
        <v>194.9</v>
      </c>
      <c r="L2725">
        <v>83</v>
      </c>
      <c r="M2725">
        <v>16.57</v>
      </c>
      <c r="N2725">
        <v>197.8</v>
      </c>
      <c r="O2725">
        <v>109</v>
      </c>
      <c r="P2725">
        <v>8.9</v>
      </c>
      <c r="Q2725">
        <v>8.8000000000000007</v>
      </c>
      <c r="R2725">
        <v>9</v>
      </c>
      <c r="S2725">
        <v>2.38</v>
      </c>
      <c r="T2725">
        <v>3</v>
      </c>
      <c r="U2725" t="s">
        <v>22</v>
      </c>
      <c r="V2725" t="e">
        <f>IF(#REF! = "yes", 1, 0)</f>
        <v>#REF!</v>
      </c>
      <c r="W2725" t="e">
        <f>IF(#REF! &lt;= 1, "0-1 Calls", IF(#REF! &lt;= 3, "2-3 Calls", IF(#REF! &lt;=5, "4-5 Calls", "6+ Calls")))</f>
        <v>#REF!</v>
      </c>
      <c r="X2725" t="e">
        <f>IF(#REF! &lt;= 50, "0-50", IF(#REF! &lt;=100, "51-100", IF(#REF! &lt;= 150, "101-150", "151+")))</f>
        <v>#REF!</v>
      </c>
      <c r="Y2725" t="e">
        <f>IF(#REF! &lt;= 3, "Low Charges", "High Charges")</f>
        <v>#REF!</v>
      </c>
      <c r="Z2725" t="e">
        <f>IF(#REF!&lt;=80,"Low Calls",
IF(#REF!&lt;=120,"Medium Calls","High Calls"))</f>
        <v>#REF!</v>
      </c>
      <c r="AA2725" t="e">
        <f>IF(#REF!&lt;=15,"Low Charges",
IF(#REF!&lt;=20,"Medium Charges","High Charges"))</f>
        <v>#REF!</v>
      </c>
      <c r="AB2725" t="e">
        <f>IF(AND(#REF!&gt;180, #REF!&gt;200), "Heavy Doemstic User", IF(#REF!&gt;10, "Interntional User", IF(AND(#REF!&lt;180, #REF!&lt;200,#REF!&lt;200), "Light User", "Balanced User")))</f>
        <v>#REF!</v>
      </c>
      <c r="AC2725" t="e">
        <f>IF(#REF! = 0, "No Usage", IF(#REF! &lt;= 20, "Low Usage", IF(#REF! &lt;= 40, "Medium Usgae", "High Usage")))</f>
        <v>#REF!</v>
      </c>
      <c r="AD2725" t="e">
        <f>IF(#REF!&lt;=150,"Low Usage", IF(#REF!&lt;=200,"Medium Usage", IF(#REF!&lt;=250,"High Usage","Very High Usage")))</f>
        <v>#REF!</v>
      </c>
      <c r="AE2725" t="e">
        <f>IF(#REF!&lt;=5,"Low Calls", IF(#REF!&lt;=10, "Medium Calls", "High Calls"))</f>
        <v>#REF!</v>
      </c>
      <c r="AF2725" t="e">
        <f xml:space="preserve">
IF(#REF!&gt;=4,4,0)+
IF(#REF!="yes",3,0)+
IF(#REF!="High Charges",3,0)+
IF(#REF!&gt;250,4,0)+
IF(#REF!="no",1,0)+
IF(#REF!="Heavy Domestic User",2,0)</f>
        <v>#REF!</v>
      </c>
      <c r="AG2725" t="e">
        <f>IF(#REF!&gt;=10,"High Risk", IF(#REF!&gt;=5,"Medium Risk","Low Risk"))</f>
        <v>#REF!</v>
      </c>
      <c r="AH2725" t="e">
        <f>#REF! + #REF! + #REF! + #REF!</f>
        <v>#REF!</v>
      </c>
    </row>
    <row r="2726" spans="1:34" x14ac:dyDescent="0.35">
      <c r="A2726">
        <v>2725</v>
      </c>
      <c r="B2726" t="s">
        <v>31</v>
      </c>
      <c r="C2726">
        <v>23</v>
      </c>
      <c r="D2726" t="s">
        <v>28</v>
      </c>
      <c r="E2726" t="s">
        <v>22</v>
      </c>
      <c r="F2726" t="s">
        <v>23</v>
      </c>
      <c r="G2726">
        <v>31</v>
      </c>
      <c r="H2726">
        <v>156.6</v>
      </c>
      <c r="I2726">
        <v>84</v>
      </c>
      <c r="J2726">
        <v>26.62</v>
      </c>
      <c r="K2726">
        <v>161.5</v>
      </c>
      <c r="L2726">
        <v>96</v>
      </c>
      <c r="M2726">
        <v>13.73</v>
      </c>
      <c r="N2726">
        <v>294.60000000000002</v>
      </c>
      <c r="O2726">
        <v>107</v>
      </c>
      <c r="P2726">
        <v>13.26</v>
      </c>
      <c r="Q2726">
        <v>9.4</v>
      </c>
      <c r="R2726">
        <v>6</v>
      </c>
      <c r="S2726">
        <v>2.54</v>
      </c>
      <c r="T2726">
        <v>1</v>
      </c>
      <c r="U2726" t="s">
        <v>22</v>
      </c>
      <c r="V2726" t="e">
        <f>IF(#REF! = "yes", 1, 0)</f>
        <v>#REF!</v>
      </c>
      <c r="W2726" t="e">
        <f>IF(#REF! &lt;= 1, "0-1 Calls", IF(#REF! &lt;= 3, "2-3 Calls", IF(#REF! &lt;=5, "4-5 Calls", "6+ Calls")))</f>
        <v>#REF!</v>
      </c>
      <c r="X2726" t="e">
        <f>IF(#REF! &lt;= 50, "0-50", IF(#REF! &lt;=100, "51-100", IF(#REF! &lt;= 150, "101-150", "151+")))</f>
        <v>#REF!</v>
      </c>
      <c r="Y2726" t="e">
        <f>IF(#REF! &lt;= 3, "Low Charges", "High Charges")</f>
        <v>#REF!</v>
      </c>
      <c r="Z2726" t="e">
        <f>IF(#REF!&lt;=80,"Low Calls",
IF(#REF!&lt;=120,"Medium Calls","High Calls"))</f>
        <v>#REF!</v>
      </c>
      <c r="AA2726" t="e">
        <f>IF(#REF!&lt;=15,"Low Charges",
IF(#REF!&lt;=20,"Medium Charges","High Charges"))</f>
        <v>#REF!</v>
      </c>
      <c r="AB2726" t="e">
        <f>IF(AND(#REF!&gt;180, #REF!&gt;200), "Heavy Doemstic User", IF(#REF!&gt;10, "Interntional User", IF(AND(#REF!&lt;180, #REF!&lt;200,#REF!&lt;200), "Light User", "Balanced User")))</f>
        <v>#REF!</v>
      </c>
      <c r="AC2726" t="e">
        <f>IF(#REF! = 0, "No Usage", IF(#REF! &lt;= 20, "Low Usage", IF(#REF! &lt;= 40, "Medium Usgae", "High Usage")))</f>
        <v>#REF!</v>
      </c>
      <c r="AD2726" t="e">
        <f>IF(#REF!&lt;=150,"Low Usage", IF(#REF!&lt;=200,"Medium Usage", IF(#REF!&lt;=250,"High Usage","Very High Usage")))</f>
        <v>#REF!</v>
      </c>
      <c r="AE2726" t="e">
        <f>IF(#REF!&lt;=5,"Low Calls", IF(#REF!&lt;=10, "Medium Calls", "High Calls"))</f>
        <v>#REF!</v>
      </c>
      <c r="AF2726" t="e">
        <f xml:space="preserve">
IF(#REF!&gt;=4,4,0)+
IF(#REF!="yes",3,0)+
IF(#REF!="High Charges",3,0)+
IF(#REF!&gt;250,4,0)+
IF(#REF!="no",1,0)+
IF(#REF!="Heavy Domestic User",2,0)</f>
        <v>#REF!</v>
      </c>
      <c r="AG2726" t="e">
        <f>IF(#REF!&gt;=10,"High Risk", IF(#REF!&gt;=5,"Medium Risk","Low Risk"))</f>
        <v>#REF!</v>
      </c>
      <c r="AH2726" t="e">
        <f>#REF! + #REF! + #REF! + #REF!</f>
        <v>#REF!</v>
      </c>
    </row>
    <row r="2727" spans="1:34" x14ac:dyDescent="0.35">
      <c r="A2727">
        <v>2726</v>
      </c>
      <c r="B2727" t="s">
        <v>57</v>
      </c>
      <c r="C2727">
        <v>221</v>
      </c>
      <c r="D2727" t="s">
        <v>28</v>
      </c>
      <c r="E2727" t="s">
        <v>22</v>
      </c>
      <c r="F2727" t="s">
        <v>23</v>
      </c>
      <c r="G2727">
        <v>24</v>
      </c>
      <c r="H2727">
        <v>180.5</v>
      </c>
      <c r="I2727">
        <v>85</v>
      </c>
      <c r="J2727">
        <v>30.69</v>
      </c>
      <c r="K2727">
        <v>224.1</v>
      </c>
      <c r="L2727">
        <v>92</v>
      </c>
      <c r="M2727">
        <v>19.05</v>
      </c>
      <c r="N2727">
        <v>205.7</v>
      </c>
      <c r="O2727">
        <v>103</v>
      </c>
      <c r="P2727">
        <v>9.26</v>
      </c>
      <c r="Q2727">
        <v>2.4</v>
      </c>
      <c r="R2727">
        <v>3</v>
      </c>
      <c r="S2727">
        <v>0.65</v>
      </c>
      <c r="T2727">
        <v>0</v>
      </c>
      <c r="U2727" t="s">
        <v>22</v>
      </c>
      <c r="V2727" t="e">
        <f>IF(#REF! = "yes", 1, 0)</f>
        <v>#REF!</v>
      </c>
      <c r="W2727" t="e">
        <f>IF(#REF! &lt;= 1, "0-1 Calls", IF(#REF! &lt;= 3, "2-3 Calls", IF(#REF! &lt;=5, "4-5 Calls", "6+ Calls")))</f>
        <v>#REF!</v>
      </c>
      <c r="X2727" t="e">
        <f>IF(#REF! &lt;= 50, "0-50", IF(#REF! &lt;=100, "51-100", IF(#REF! &lt;= 150, "101-150", "151+")))</f>
        <v>#REF!</v>
      </c>
      <c r="Y2727" t="e">
        <f>IF(#REF! &lt;= 3, "Low Charges", "High Charges")</f>
        <v>#REF!</v>
      </c>
      <c r="Z2727" t="e">
        <f>IF(#REF!&lt;=80,"Low Calls",
IF(#REF!&lt;=120,"Medium Calls","High Calls"))</f>
        <v>#REF!</v>
      </c>
      <c r="AA2727" t="e">
        <f>IF(#REF!&lt;=15,"Low Charges",
IF(#REF!&lt;=20,"Medium Charges","High Charges"))</f>
        <v>#REF!</v>
      </c>
      <c r="AB2727" t="e">
        <f>IF(AND(#REF!&gt;180, #REF!&gt;200), "Heavy Doemstic User", IF(#REF!&gt;10, "Interntional User", IF(AND(#REF!&lt;180, #REF!&lt;200,#REF!&lt;200), "Light User", "Balanced User")))</f>
        <v>#REF!</v>
      </c>
      <c r="AC2727" t="e">
        <f>IF(#REF! = 0, "No Usage", IF(#REF! &lt;= 20, "Low Usage", IF(#REF! &lt;= 40, "Medium Usgae", "High Usage")))</f>
        <v>#REF!</v>
      </c>
      <c r="AD2727" t="e">
        <f>IF(#REF!&lt;=150,"Low Usage", IF(#REF!&lt;=200,"Medium Usage", IF(#REF!&lt;=250,"High Usage","Very High Usage")))</f>
        <v>#REF!</v>
      </c>
      <c r="AE2727" t="e">
        <f>IF(#REF!&lt;=5,"Low Calls", IF(#REF!&lt;=10, "Medium Calls", "High Calls"))</f>
        <v>#REF!</v>
      </c>
      <c r="AF2727" t="e">
        <f xml:space="preserve">
IF(#REF!&gt;=4,4,0)+
IF(#REF!="yes",3,0)+
IF(#REF!="High Charges",3,0)+
IF(#REF!&gt;250,4,0)+
IF(#REF!="no",1,0)+
IF(#REF!="Heavy Domestic User",2,0)</f>
        <v>#REF!</v>
      </c>
      <c r="AG2727" t="e">
        <f>IF(#REF!&gt;=10,"High Risk", IF(#REF!&gt;=5,"Medium Risk","Low Risk"))</f>
        <v>#REF!</v>
      </c>
      <c r="AH2727" t="e">
        <f>#REF! + #REF! + #REF! + #REF!</f>
        <v>#REF!</v>
      </c>
    </row>
    <row r="2728" spans="1:34" x14ac:dyDescent="0.35">
      <c r="A2728">
        <v>2727</v>
      </c>
      <c r="B2728" t="s">
        <v>70</v>
      </c>
      <c r="C2728">
        <v>164</v>
      </c>
      <c r="D2728" t="s">
        <v>28</v>
      </c>
      <c r="E2728" t="s">
        <v>22</v>
      </c>
      <c r="F2728" t="s">
        <v>23</v>
      </c>
      <c r="G2728">
        <v>30</v>
      </c>
      <c r="H2728">
        <v>238.8</v>
      </c>
      <c r="I2728">
        <v>100</v>
      </c>
      <c r="J2728">
        <v>40.6</v>
      </c>
      <c r="K2728">
        <v>230</v>
      </c>
      <c r="L2728">
        <v>121</v>
      </c>
      <c r="M2728">
        <v>19.55</v>
      </c>
      <c r="N2728">
        <v>206.3</v>
      </c>
      <c r="O2728">
        <v>66</v>
      </c>
      <c r="P2728">
        <v>9.2799999999999994</v>
      </c>
      <c r="Q2728">
        <v>13.2</v>
      </c>
      <c r="R2728">
        <v>8</v>
      </c>
      <c r="S2728">
        <v>3.56</v>
      </c>
      <c r="T2728">
        <v>1</v>
      </c>
      <c r="U2728" t="s">
        <v>22</v>
      </c>
      <c r="V2728" t="e">
        <f>IF(#REF! = "yes", 1, 0)</f>
        <v>#REF!</v>
      </c>
      <c r="W2728" t="e">
        <f>IF(#REF! &lt;= 1, "0-1 Calls", IF(#REF! &lt;= 3, "2-3 Calls", IF(#REF! &lt;=5, "4-5 Calls", "6+ Calls")))</f>
        <v>#REF!</v>
      </c>
      <c r="X2728" t="e">
        <f>IF(#REF! &lt;= 50, "0-50", IF(#REF! &lt;=100, "51-100", IF(#REF! &lt;= 150, "101-150", "151+")))</f>
        <v>#REF!</v>
      </c>
      <c r="Y2728" t="e">
        <f>IF(#REF! &lt;= 3, "Low Charges", "High Charges")</f>
        <v>#REF!</v>
      </c>
      <c r="Z2728" t="e">
        <f>IF(#REF!&lt;=80,"Low Calls",
IF(#REF!&lt;=120,"Medium Calls","High Calls"))</f>
        <v>#REF!</v>
      </c>
      <c r="AA2728" t="e">
        <f>IF(#REF!&lt;=15,"Low Charges",
IF(#REF!&lt;=20,"Medium Charges","High Charges"))</f>
        <v>#REF!</v>
      </c>
      <c r="AB2728" t="e">
        <f>IF(AND(#REF!&gt;180, #REF!&gt;200), "Heavy Doemstic User", IF(#REF!&gt;10, "Interntional User", IF(AND(#REF!&lt;180, #REF!&lt;200,#REF!&lt;200), "Light User", "Balanced User")))</f>
        <v>#REF!</v>
      </c>
      <c r="AC2728" t="e">
        <f>IF(#REF! = 0, "No Usage", IF(#REF! &lt;= 20, "Low Usage", IF(#REF! &lt;= 40, "Medium Usgae", "High Usage")))</f>
        <v>#REF!</v>
      </c>
      <c r="AD2728" t="e">
        <f>IF(#REF!&lt;=150,"Low Usage", IF(#REF!&lt;=200,"Medium Usage", IF(#REF!&lt;=250,"High Usage","Very High Usage")))</f>
        <v>#REF!</v>
      </c>
      <c r="AE2728" t="e">
        <f>IF(#REF!&lt;=5,"Low Calls", IF(#REF!&lt;=10, "Medium Calls", "High Calls"))</f>
        <v>#REF!</v>
      </c>
      <c r="AF2728" t="e">
        <f xml:space="preserve">
IF(#REF!&gt;=4,4,0)+
IF(#REF!="yes",3,0)+
IF(#REF!="High Charges",3,0)+
IF(#REF!&gt;250,4,0)+
IF(#REF!="no",1,0)+
IF(#REF!="Heavy Domestic User",2,0)</f>
        <v>#REF!</v>
      </c>
      <c r="AG2728" t="e">
        <f>IF(#REF!&gt;=10,"High Risk", IF(#REF!&gt;=5,"Medium Risk","Low Risk"))</f>
        <v>#REF!</v>
      </c>
      <c r="AH2728" t="e">
        <f>#REF! + #REF! + #REF! + #REF!</f>
        <v>#REF!</v>
      </c>
    </row>
    <row r="2729" spans="1:34" x14ac:dyDescent="0.35">
      <c r="A2729">
        <v>2728</v>
      </c>
      <c r="B2729" t="s">
        <v>58</v>
      </c>
      <c r="C2729">
        <v>104</v>
      </c>
      <c r="D2729" t="s">
        <v>21</v>
      </c>
      <c r="E2729" t="s">
        <v>22</v>
      </c>
      <c r="F2729" t="s">
        <v>23</v>
      </c>
      <c r="G2729">
        <v>18</v>
      </c>
      <c r="H2729">
        <v>182.1</v>
      </c>
      <c r="I2729">
        <v>66</v>
      </c>
      <c r="J2729">
        <v>30.96</v>
      </c>
      <c r="K2729">
        <v>213.6</v>
      </c>
      <c r="L2729">
        <v>65</v>
      </c>
      <c r="M2729">
        <v>18.16</v>
      </c>
      <c r="N2729">
        <v>193</v>
      </c>
      <c r="O2729">
        <v>108</v>
      </c>
      <c r="P2729">
        <v>8.69</v>
      </c>
      <c r="Q2729">
        <v>13.4</v>
      </c>
      <c r="R2729">
        <v>9</v>
      </c>
      <c r="S2729">
        <v>3.62</v>
      </c>
      <c r="T2729">
        <v>2</v>
      </c>
      <c r="U2729" t="s">
        <v>22</v>
      </c>
      <c r="V2729" t="e">
        <f>IF(#REF! = "yes", 1, 0)</f>
        <v>#REF!</v>
      </c>
      <c r="W2729" t="e">
        <f>IF(#REF! &lt;= 1, "0-1 Calls", IF(#REF! &lt;= 3, "2-3 Calls", IF(#REF! &lt;=5, "4-5 Calls", "6+ Calls")))</f>
        <v>#REF!</v>
      </c>
      <c r="X2729" t="e">
        <f>IF(#REF! &lt;= 50, "0-50", IF(#REF! &lt;=100, "51-100", IF(#REF! &lt;= 150, "101-150", "151+")))</f>
        <v>#REF!</v>
      </c>
      <c r="Y2729" t="e">
        <f>IF(#REF! &lt;= 3, "Low Charges", "High Charges")</f>
        <v>#REF!</v>
      </c>
      <c r="Z2729" t="e">
        <f>IF(#REF!&lt;=80,"Low Calls",
IF(#REF!&lt;=120,"Medium Calls","High Calls"))</f>
        <v>#REF!</v>
      </c>
      <c r="AA2729" t="e">
        <f>IF(#REF!&lt;=15,"Low Charges",
IF(#REF!&lt;=20,"Medium Charges","High Charges"))</f>
        <v>#REF!</v>
      </c>
      <c r="AB2729" t="e">
        <f>IF(AND(#REF!&gt;180, #REF!&gt;200), "Heavy Doemstic User", IF(#REF!&gt;10, "Interntional User", IF(AND(#REF!&lt;180, #REF!&lt;200,#REF!&lt;200), "Light User", "Balanced User")))</f>
        <v>#REF!</v>
      </c>
      <c r="AC2729" t="e">
        <f>IF(#REF! = 0, "No Usage", IF(#REF! &lt;= 20, "Low Usage", IF(#REF! &lt;= 40, "Medium Usgae", "High Usage")))</f>
        <v>#REF!</v>
      </c>
      <c r="AD2729" t="e">
        <f>IF(#REF!&lt;=150,"Low Usage", IF(#REF!&lt;=200,"Medium Usage", IF(#REF!&lt;=250,"High Usage","Very High Usage")))</f>
        <v>#REF!</v>
      </c>
      <c r="AE2729" t="e">
        <f>IF(#REF!&lt;=5,"Low Calls", IF(#REF!&lt;=10, "Medium Calls", "High Calls"))</f>
        <v>#REF!</v>
      </c>
      <c r="AF2729" t="e">
        <f xml:space="preserve">
IF(#REF!&gt;=4,4,0)+
IF(#REF!="yes",3,0)+
IF(#REF!="High Charges",3,0)+
IF(#REF!&gt;250,4,0)+
IF(#REF!="no",1,0)+
IF(#REF!="Heavy Domestic User",2,0)</f>
        <v>#REF!</v>
      </c>
      <c r="AG2729" t="e">
        <f>IF(#REF!&gt;=10,"High Risk", IF(#REF!&gt;=5,"Medium Risk","Low Risk"))</f>
        <v>#REF!</v>
      </c>
      <c r="AH2729" t="e">
        <f>#REF! + #REF! + #REF! + #REF!</f>
        <v>#REF!</v>
      </c>
    </row>
    <row r="2730" spans="1:34" x14ac:dyDescent="0.35">
      <c r="A2730">
        <v>2729</v>
      </c>
      <c r="B2730" t="s">
        <v>36</v>
      </c>
      <c r="C2730">
        <v>150</v>
      </c>
      <c r="D2730" t="s">
        <v>21</v>
      </c>
      <c r="E2730" t="s">
        <v>22</v>
      </c>
      <c r="F2730" t="s">
        <v>23</v>
      </c>
      <c r="G2730">
        <v>35</v>
      </c>
      <c r="H2730">
        <v>139.6</v>
      </c>
      <c r="I2730">
        <v>72</v>
      </c>
      <c r="J2730">
        <v>23.73</v>
      </c>
      <c r="K2730">
        <v>332.8</v>
      </c>
      <c r="L2730">
        <v>170</v>
      </c>
      <c r="M2730">
        <v>28.29</v>
      </c>
      <c r="N2730">
        <v>213.8</v>
      </c>
      <c r="O2730">
        <v>105</v>
      </c>
      <c r="P2730">
        <v>9.6199999999999992</v>
      </c>
      <c r="Q2730">
        <v>8.8000000000000007</v>
      </c>
      <c r="R2730">
        <v>2</v>
      </c>
      <c r="S2730">
        <v>2.38</v>
      </c>
      <c r="T2730">
        <v>2</v>
      </c>
      <c r="U2730" t="s">
        <v>22</v>
      </c>
      <c r="V2730" t="e">
        <f>IF(#REF! = "yes", 1, 0)</f>
        <v>#REF!</v>
      </c>
      <c r="W2730" t="e">
        <f>IF(#REF! &lt;= 1, "0-1 Calls", IF(#REF! &lt;= 3, "2-3 Calls", IF(#REF! &lt;=5, "4-5 Calls", "6+ Calls")))</f>
        <v>#REF!</v>
      </c>
      <c r="X2730" t="e">
        <f>IF(#REF! &lt;= 50, "0-50", IF(#REF! &lt;=100, "51-100", IF(#REF! &lt;= 150, "101-150", "151+")))</f>
        <v>#REF!</v>
      </c>
      <c r="Y2730" t="e">
        <f>IF(#REF! &lt;= 3, "Low Charges", "High Charges")</f>
        <v>#REF!</v>
      </c>
      <c r="Z2730" t="e">
        <f>IF(#REF!&lt;=80,"Low Calls",
IF(#REF!&lt;=120,"Medium Calls","High Calls"))</f>
        <v>#REF!</v>
      </c>
      <c r="AA2730" t="e">
        <f>IF(#REF!&lt;=15,"Low Charges",
IF(#REF!&lt;=20,"Medium Charges","High Charges"))</f>
        <v>#REF!</v>
      </c>
      <c r="AB2730" t="e">
        <f>IF(AND(#REF!&gt;180, #REF!&gt;200), "Heavy Doemstic User", IF(#REF!&gt;10, "Interntional User", IF(AND(#REF!&lt;180, #REF!&lt;200,#REF!&lt;200), "Light User", "Balanced User")))</f>
        <v>#REF!</v>
      </c>
      <c r="AC2730" t="e">
        <f>IF(#REF! = 0, "No Usage", IF(#REF! &lt;= 20, "Low Usage", IF(#REF! &lt;= 40, "Medium Usgae", "High Usage")))</f>
        <v>#REF!</v>
      </c>
      <c r="AD2730" t="e">
        <f>IF(#REF!&lt;=150,"Low Usage", IF(#REF!&lt;=200,"Medium Usage", IF(#REF!&lt;=250,"High Usage","Very High Usage")))</f>
        <v>#REF!</v>
      </c>
      <c r="AE2730" t="e">
        <f>IF(#REF!&lt;=5,"Low Calls", IF(#REF!&lt;=10, "Medium Calls", "High Calls"))</f>
        <v>#REF!</v>
      </c>
      <c r="AF2730" t="e">
        <f xml:space="preserve">
IF(#REF!&gt;=4,4,0)+
IF(#REF!="yes",3,0)+
IF(#REF!="High Charges",3,0)+
IF(#REF!&gt;250,4,0)+
IF(#REF!="no",1,0)+
IF(#REF!="Heavy Domestic User",2,0)</f>
        <v>#REF!</v>
      </c>
      <c r="AG2730" t="e">
        <f>IF(#REF!&gt;=10,"High Risk", IF(#REF!&gt;=5,"Medium Risk","Low Risk"))</f>
        <v>#REF!</v>
      </c>
      <c r="AH2730" t="e">
        <f>#REF! + #REF! + #REF! + #REF!</f>
        <v>#REF!</v>
      </c>
    </row>
    <row r="2731" spans="1:34" x14ac:dyDescent="0.35">
      <c r="A2731">
        <v>2730</v>
      </c>
      <c r="B2731" t="s">
        <v>51</v>
      </c>
      <c r="C2731">
        <v>184</v>
      </c>
      <c r="D2731" t="s">
        <v>25</v>
      </c>
      <c r="E2731" t="s">
        <v>22</v>
      </c>
      <c r="F2731" t="s">
        <v>23</v>
      </c>
      <c r="G2731">
        <v>12</v>
      </c>
      <c r="H2731">
        <v>200.3</v>
      </c>
      <c r="I2731">
        <v>76</v>
      </c>
      <c r="J2731">
        <v>34.049999999999997</v>
      </c>
      <c r="K2731">
        <v>253.6</v>
      </c>
      <c r="L2731">
        <v>105</v>
      </c>
      <c r="M2731">
        <v>21.56</v>
      </c>
      <c r="N2731">
        <v>149.30000000000001</v>
      </c>
      <c r="O2731">
        <v>93</v>
      </c>
      <c r="P2731">
        <v>6.72</v>
      </c>
      <c r="Q2731">
        <v>10.199999999999999</v>
      </c>
      <c r="R2731">
        <v>5</v>
      </c>
      <c r="S2731">
        <v>2.75</v>
      </c>
      <c r="T2731">
        <v>0</v>
      </c>
      <c r="U2731" t="s">
        <v>22</v>
      </c>
      <c r="V2731" t="e">
        <f>IF(#REF! = "yes", 1, 0)</f>
        <v>#REF!</v>
      </c>
      <c r="W2731" t="e">
        <f>IF(#REF! &lt;= 1, "0-1 Calls", IF(#REF! &lt;= 3, "2-3 Calls", IF(#REF! &lt;=5, "4-5 Calls", "6+ Calls")))</f>
        <v>#REF!</v>
      </c>
      <c r="X2731" t="e">
        <f>IF(#REF! &lt;= 50, "0-50", IF(#REF! &lt;=100, "51-100", IF(#REF! &lt;= 150, "101-150", "151+")))</f>
        <v>#REF!</v>
      </c>
      <c r="Y2731" t="e">
        <f>IF(#REF! &lt;= 3, "Low Charges", "High Charges")</f>
        <v>#REF!</v>
      </c>
      <c r="Z2731" t="e">
        <f>IF(#REF!&lt;=80,"Low Calls",
IF(#REF!&lt;=120,"Medium Calls","High Calls"))</f>
        <v>#REF!</v>
      </c>
      <c r="AA2731" t="e">
        <f>IF(#REF!&lt;=15,"Low Charges",
IF(#REF!&lt;=20,"Medium Charges","High Charges"))</f>
        <v>#REF!</v>
      </c>
      <c r="AB2731" t="e">
        <f>IF(AND(#REF!&gt;180, #REF!&gt;200), "Heavy Doemstic User", IF(#REF!&gt;10, "Interntional User", IF(AND(#REF!&lt;180, #REF!&lt;200,#REF!&lt;200), "Light User", "Balanced User")))</f>
        <v>#REF!</v>
      </c>
      <c r="AC2731" t="e">
        <f>IF(#REF! = 0, "No Usage", IF(#REF! &lt;= 20, "Low Usage", IF(#REF! &lt;= 40, "Medium Usgae", "High Usage")))</f>
        <v>#REF!</v>
      </c>
      <c r="AD2731" t="e">
        <f>IF(#REF!&lt;=150,"Low Usage", IF(#REF!&lt;=200,"Medium Usage", IF(#REF!&lt;=250,"High Usage","Very High Usage")))</f>
        <v>#REF!</v>
      </c>
      <c r="AE2731" t="e">
        <f>IF(#REF!&lt;=5,"Low Calls", IF(#REF!&lt;=10, "Medium Calls", "High Calls"))</f>
        <v>#REF!</v>
      </c>
      <c r="AF2731" t="e">
        <f xml:space="preserve">
IF(#REF!&gt;=4,4,0)+
IF(#REF!="yes",3,0)+
IF(#REF!="High Charges",3,0)+
IF(#REF!&gt;250,4,0)+
IF(#REF!="no",1,0)+
IF(#REF!="Heavy Domestic User",2,0)</f>
        <v>#REF!</v>
      </c>
      <c r="AG2731" t="e">
        <f>IF(#REF!&gt;=10,"High Risk", IF(#REF!&gt;=5,"Medium Risk","Low Risk"))</f>
        <v>#REF!</v>
      </c>
      <c r="AH2731" t="e">
        <f>#REF! + #REF! + #REF! + #REF!</f>
        <v>#REF!</v>
      </c>
    </row>
    <row r="2732" spans="1:34" x14ac:dyDescent="0.35">
      <c r="A2732">
        <v>2731</v>
      </c>
      <c r="B2732" t="s">
        <v>43</v>
      </c>
      <c r="C2732">
        <v>88</v>
      </c>
      <c r="D2732" t="s">
        <v>25</v>
      </c>
      <c r="E2732" t="s">
        <v>22</v>
      </c>
      <c r="F2732" t="s">
        <v>22</v>
      </c>
      <c r="G2732">
        <v>0</v>
      </c>
      <c r="H2732">
        <v>153.5</v>
      </c>
      <c r="I2732">
        <v>94</v>
      </c>
      <c r="J2732">
        <v>26.1</v>
      </c>
      <c r="K2732">
        <v>251.7</v>
      </c>
      <c r="L2732">
        <v>118</v>
      </c>
      <c r="M2732">
        <v>21.39</v>
      </c>
      <c r="N2732">
        <v>182.2</v>
      </c>
      <c r="O2732">
        <v>99</v>
      </c>
      <c r="P2732">
        <v>8.1999999999999993</v>
      </c>
      <c r="Q2732">
        <v>8.5</v>
      </c>
      <c r="R2732">
        <v>6</v>
      </c>
      <c r="S2732">
        <v>2.2999999999999998</v>
      </c>
      <c r="T2732">
        <v>1</v>
      </c>
      <c r="U2732" t="s">
        <v>22</v>
      </c>
      <c r="V2732" t="e">
        <f>IF(#REF! = "yes", 1, 0)</f>
        <v>#REF!</v>
      </c>
      <c r="W2732" t="e">
        <f>IF(#REF! &lt;= 1, "0-1 Calls", IF(#REF! &lt;= 3, "2-3 Calls", IF(#REF! &lt;=5, "4-5 Calls", "6+ Calls")))</f>
        <v>#REF!</v>
      </c>
      <c r="X2732" t="e">
        <f>IF(#REF! &lt;= 50, "0-50", IF(#REF! &lt;=100, "51-100", IF(#REF! &lt;= 150, "101-150", "151+")))</f>
        <v>#REF!</v>
      </c>
      <c r="Y2732" t="e">
        <f>IF(#REF! &lt;= 3, "Low Charges", "High Charges")</f>
        <v>#REF!</v>
      </c>
      <c r="Z2732" t="e">
        <f>IF(#REF!&lt;=80,"Low Calls",
IF(#REF!&lt;=120,"Medium Calls","High Calls"))</f>
        <v>#REF!</v>
      </c>
      <c r="AA2732" t="e">
        <f>IF(#REF!&lt;=15,"Low Charges",
IF(#REF!&lt;=20,"Medium Charges","High Charges"))</f>
        <v>#REF!</v>
      </c>
      <c r="AB2732" t="e">
        <f>IF(AND(#REF!&gt;180, #REF!&gt;200), "Heavy Doemstic User", IF(#REF!&gt;10, "Interntional User", IF(AND(#REF!&lt;180, #REF!&lt;200,#REF!&lt;200), "Light User", "Balanced User")))</f>
        <v>#REF!</v>
      </c>
      <c r="AC2732" t="e">
        <f>IF(#REF! = 0, "No Usage", IF(#REF! &lt;= 20, "Low Usage", IF(#REF! &lt;= 40, "Medium Usgae", "High Usage")))</f>
        <v>#REF!</v>
      </c>
      <c r="AD2732" t="e">
        <f>IF(#REF!&lt;=150,"Low Usage", IF(#REF!&lt;=200,"Medium Usage", IF(#REF!&lt;=250,"High Usage","Very High Usage")))</f>
        <v>#REF!</v>
      </c>
      <c r="AE2732" t="e">
        <f>IF(#REF!&lt;=5,"Low Calls", IF(#REF!&lt;=10, "Medium Calls", "High Calls"))</f>
        <v>#REF!</v>
      </c>
      <c r="AF2732" t="e">
        <f xml:space="preserve">
IF(#REF!&gt;=4,4,0)+
IF(#REF!="yes",3,0)+
IF(#REF!="High Charges",3,0)+
IF(#REF!&gt;250,4,0)+
IF(#REF!="no",1,0)+
IF(#REF!="Heavy Domestic User",2,0)</f>
        <v>#REF!</v>
      </c>
      <c r="AG2732" t="e">
        <f>IF(#REF!&gt;=10,"High Risk", IF(#REF!&gt;=5,"Medium Risk","Low Risk"))</f>
        <v>#REF!</v>
      </c>
      <c r="AH2732" t="e">
        <f>#REF! + #REF! + #REF! + #REF!</f>
        <v>#REF!</v>
      </c>
    </row>
    <row r="2733" spans="1:34" x14ac:dyDescent="0.35">
      <c r="A2733">
        <v>2732</v>
      </c>
      <c r="B2733" t="s">
        <v>55</v>
      </c>
      <c r="C2733">
        <v>61</v>
      </c>
      <c r="D2733" t="s">
        <v>21</v>
      </c>
      <c r="E2733" t="s">
        <v>23</v>
      </c>
      <c r="F2733" t="s">
        <v>23</v>
      </c>
      <c r="G2733">
        <v>29</v>
      </c>
      <c r="H2733">
        <v>128.19999999999999</v>
      </c>
      <c r="I2733">
        <v>119</v>
      </c>
      <c r="J2733">
        <v>21.79</v>
      </c>
      <c r="K2733">
        <v>171.7</v>
      </c>
      <c r="L2733">
        <v>83</v>
      </c>
      <c r="M2733">
        <v>14.59</v>
      </c>
      <c r="N2733">
        <v>250.9</v>
      </c>
      <c r="O2733">
        <v>114</v>
      </c>
      <c r="P2733">
        <v>11.29</v>
      </c>
      <c r="Q2733">
        <v>11.7</v>
      </c>
      <c r="R2733">
        <v>6</v>
      </c>
      <c r="S2733">
        <v>3.16</v>
      </c>
      <c r="T2733">
        <v>3</v>
      </c>
      <c r="U2733" t="s">
        <v>22</v>
      </c>
      <c r="V2733" t="e">
        <f>IF(#REF! = "yes", 1, 0)</f>
        <v>#REF!</v>
      </c>
      <c r="W2733" t="e">
        <f>IF(#REF! &lt;= 1, "0-1 Calls", IF(#REF! &lt;= 3, "2-3 Calls", IF(#REF! &lt;=5, "4-5 Calls", "6+ Calls")))</f>
        <v>#REF!</v>
      </c>
      <c r="X2733" t="e">
        <f>IF(#REF! &lt;= 50, "0-50", IF(#REF! &lt;=100, "51-100", IF(#REF! &lt;= 150, "101-150", "151+")))</f>
        <v>#REF!</v>
      </c>
      <c r="Y2733" t="e">
        <f>IF(#REF! &lt;= 3, "Low Charges", "High Charges")</f>
        <v>#REF!</v>
      </c>
      <c r="Z2733" t="e">
        <f>IF(#REF!&lt;=80,"Low Calls",
IF(#REF!&lt;=120,"Medium Calls","High Calls"))</f>
        <v>#REF!</v>
      </c>
      <c r="AA2733" t="e">
        <f>IF(#REF!&lt;=15,"Low Charges",
IF(#REF!&lt;=20,"Medium Charges","High Charges"))</f>
        <v>#REF!</v>
      </c>
      <c r="AB2733" t="e">
        <f>IF(AND(#REF!&gt;180, #REF!&gt;200), "Heavy Doemstic User", IF(#REF!&gt;10, "Interntional User", IF(AND(#REF!&lt;180, #REF!&lt;200,#REF!&lt;200), "Light User", "Balanced User")))</f>
        <v>#REF!</v>
      </c>
      <c r="AC2733" t="e">
        <f>IF(#REF! = 0, "No Usage", IF(#REF! &lt;= 20, "Low Usage", IF(#REF! &lt;= 40, "Medium Usgae", "High Usage")))</f>
        <v>#REF!</v>
      </c>
      <c r="AD2733" t="e">
        <f>IF(#REF!&lt;=150,"Low Usage", IF(#REF!&lt;=200,"Medium Usage", IF(#REF!&lt;=250,"High Usage","Very High Usage")))</f>
        <v>#REF!</v>
      </c>
      <c r="AE2733" t="e">
        <f>IF(#REF!&lt;=5,"Low Calls", IF(#REF!&lt;=10, "Medium Calls", "High Calls"))</f>
        <v>#REF!</v>
      </c>
      <c r="AF2733" t="e">
        <f xml:space="preserve">
IF(#REF!&gt;=4,4,0)+
IF(#REF!="yes",3,0)+
IF(#REF!="High Charges",3,0)+
IF(#REF!&gt;250,4,0)+
IF(#REF!="no",1,0)+
IF(#REF!="Heavy Domestic User",2,0)</f>
        <v>#REF!</v>
      </c>
      <c r="AG2733" t="e">
        <f>IF(#REF!&gt;=10,"High Risk", IF(#REF!&gt;=5,"Medium Risk","Low Risk"))</f>
        <v>#REF!</v>
      </c>
      <c r="AH2733" t="e">
        <f>#REF! + #REF! + #REF! + #REF!</f>
        <v>#REF!</v>
      </c>
    </row>
    <row r="2734" spans="1:34" x14ac:dyDescent="0.35">
      <c r="A2734">
        <v>2733</v>
      </c>
      <c r="B2734" t="s">
        <v>58</v>
      </c>
      <c r="C2734">
        <v>110</v>
      </c>
      <c r="D2734" t="s">
        <v>25</v>
      </c>
      <c r="E2734" t="s">
        <v>22</v>
      </c>
      <c r="F2734" t="s">
        <v>22</v>
      </c>
      <c r="G2734">
        <v>0</v>
      </c>
      <c r="H2734">
        <v>159.5</v>
      </c>
      <c r="I2734">
        <v>145</v>
      </c>
      <c r="J2734">
        <v>27.12</v>
      </c>
      <c r="K2734">
        <v>202.3</v>
      </c>
      <c r="L2734">
        <v>101</v>
      </c>
      <c r="M2734">
        <v>17.2</v>
      </c>
      <c r="N2734">
        <v>256</v>
      </c>
      <c r="O2734">
        <v>96</v>
      </c>
      <c r="P2734">
        <v>11.52</v>
      </c>
      <c r="Q2734">
        <v>16.7</v>
      </c>
      <c r="R2734">
        <v>2</v>
      </c>
      <c r="S2734">
        <v>4.51</v>
      </c>
      <c r="T2734">
        <v>2</v>
      </c>
      <c r="U2734" t="s">
        <v>22</v>
      </c>
      <c r="V2734" t="e">
        <f>IF(#REF! = "yes", 1, 0)</f>
        <v>#REF!</v>
      </c>
      <c r="W2734" t="e">
        <f>IF(#REF! &lt;= 1, "0-1 Calls", IF(#REF! &lt;= 3, "2-3 Calls", IF(#REF! &lt;=5, "4-5 Calls", "6+ Calls")))</f>
        <v>#REF!</v>
      </c>
      <c r="X2734" t="e">
        <f>IF(#REF! &lt;= 50, "0-50", IF(#REF! &lt;=100, "51-100", IF(#REF! &lt;= 150, "101-150", "151+")))</f>
        <v>#REF!</v>
      </c>
      <c r="Y2734" t="e">
        <f>IF(#REF! &lt;= 3, "Low Charges", "High Charges")</f>
        <v>#REF!</v>
      </c>
      <c r="Z2734" t="e">
        <f>IF(#REF!&lt;=80,"Low Calls",
IF(#REF!&lt;=120,"Medium Calls","High Calls"))</f>
        <v>#REF!</v>
      </c>
      <c r="AA2734" t="e">
        <f>IF(#REF!&lt;=15,"Low Charges",
IF(#REF!&lt;=20,"Medium Charges","High Charges"))</f>
        <v>#REF!</v>
      </c>
      <c r="AB2734" t="e">
        <f>IF(AND(#REF!&gt;180, #REF!&gt;200), "Heavy Doemstic User", IF(#REF!&gt;10, "Interntional User", IF(AND(#REF!&lt;180, #REF!&lt;200,#REF!&lt;200), "Light User", "Balanced User")))</f>
        <v>#REF!</v>
      </c>
      <c r="AC2734" t="e">
        <f>IF(#REF! = 0, "No Usage", IF(#REF! &lt;= 20, "Low Usage", IF(#REF! &lt;= 40, "Medium Usgae", "High Usage")))</f>
        <v>#REF!</v>
      </c>
      <c r="AD2734" t="e">
        <f>IF(#REF!&lt;=150,"Low Usage", IF(#REF!&lt;=200,"Medium Usage", IF(#REF!&lt;=250,"High Usage","Very High Usage")))</f>
        <v>#REF!</v>
      </c>
      <c r="AE2734" t="e">
        <f>IF(#REF!&lt;=5,"Low Calls", IF(#REF!&lt;=10, "Medium Calls", "High Calls"))</f>
        <v>#REF!</v>
      </c>
      <c r="AF2734" t="e">
        <f xml:space="preserve">
IF(#REF!&gt;=4,4,0)+
IF(#REF!="yes",3,0)+
IF(#REF!="High Charges",3,0)+
IF(#REF!&gt;250,4,0)+
IF(#REF!="no",1,0)+
IF(#REF!="Heavy Domestic User",2,0)</f>
        <v>#REF!</v>
      </c>
      <c r="AG2734" t="e">
        <f>IF(#REF!&gt;=10,"High Risk", IF(#REF!&gt;=5,"Medium Risk","Low Risk"))</f>
        <v>#REF!</v>
      </c>
      <c r="AH2734" t="e">
        <f>#REF! + #REF! + #REF! + #REF!</f>
        <v>#REF!</v>
      </c>
    </row>
    <row r="2735" spans="1:34" x14ac:dyDescent="0.35">
      <c r="A2735">
        <v>2734</v>
      </c>
      <c r="B2735" t="s">
        <v>32</v>
      </c>
      <c r="C2735">
        <v>115</v>
      </c>
      <c r="D2735" t="s">
        <v>21</v>
      </c>
      <c r="E2735" t="s">
        <v>22</v>
      </c>
      <c r="F2735" t="s">
        <v>22</v>
      </c>
      <c r="G2735">
        <v>0</v>
      </c>
      <c r="H2735">
        <v>226.4</v>
      </c>
      <c r="I2735">
        <v>101</v>
      </c>
      <c r="J2735">
        <v>38.49</v>
      </c>
      <c r="K2735">
        <v>276.8</v>
      </c>
      <c r="L2735">
        <v>60</v>
      </c>
      <c r="M2735">
        <v>23.53</v>
      </c>
      <c r="N2735">
        <v>213.4</v>
      </c>
      <c r="O2735">
        <v>82</v>
      </c>
      <c r="P2735">
        <v>9.6</v>
      </c>
      <c r="Q2735">
        <v>12.3</v>
      </c>
      <c r="R2735">
        <v>4</v>
      </c>
      <c r="S2735">
        <v>3.32</v>
      </c>
      <c r="T2735">
        <v>3</v>
      </c>
      <c r="U2735" t="s">
        <v>23</v>
      </c>
      <c r="V2735" t="e">
        <f>IF(#REF! = "yes", 1, 0)</f>
        <v>#REF!</v>
      </c>
      <c r="W2735" t="e">
        <f>IF(#REF! &lt;= 1, "0-1 Calls", IF(#REF! &lt;= 3, "2-3 Calls", IF(#REF! &lt;=5, "4-5 Calls", "6+ Calls")))</f>
        <v>#REF!</v>
      </c>
      <c r="X2735" t="e">
        <f>IF(#REF! &lt;= 50, "0-50", IF(#REF! &lt;=100, "51-100", IF(#REF! &lt;= 150, "101-150", "151+")))</f>
        <v>#REF!</v>
      </c>
      <c r="Y2735" t="e">
        <f>IF(#REF! &lt;= 3, "Low Charges", "High Charges")</f>
        <v>#REF!</v>
      </c>
      <c r="Z2735" t="e">
        <f>IF(#REF!&lt;=80,"Low Calls",
IF(#REF!&lt;=120,"Medium Calls","High Calls"))</f>
        <v>#REF!</v>
      </c>
      <c r="AA2735" t="e">
        <f>IF(#REF!&lt;=15,"Low Charges",
IF(#REF!&lt;=20,"Medium Charges","High Charges"))</f>
        <v>#REF!</v>
      </c>
      <c r="AB2735" t="e">
        <f>IF(AND(#REF!&gt;180, #REF!&gt;200), "Heavy Doemstic User", IF(#REF!&gt;10, "Interntional User", IF(AND(#REF!&lt;180, #REF!&lt;200,#REF!&lt;200), "Light User", "Balanced User")))</f>
        <v>#REF!</v>
      </c>
      <c r="AC2735" t="e">
        <f>IF(#REF! = 0, "No Usage", IF(#REF! &lt;= 20, "Low Usage", IF(#REF! &lt;= 40, "Medium Usgae", "High Usage")))</f>
        <v>#REF!</v>
      </c>
      <c r="AD2735" t="e">
        <f>IF(#REF!&lt;=150,"Low Usage", IF(#REF!&lt;=200,"Medium Usage", IF(#REF!&lt;=250,"High Usage","Very High Usage")))</f>
        <v>#REF!</v>
      </c>
      <c r="AE2735" t="e">
        <f>IF(#REF!&lt;=5,"Low Calls", IF(#REF!&lt;=10, "Medium Calls", "High Calls"))</f>
        <v>#REF!</v>
      </c>
      <c r="AF2735" t="e">
        <f xml:space="preserve">
IF(#REF!&gt;=4,4,0)+
IF(#REF!="yes",3,0)+
IF(#REF!="High Charges",3,0)+
IF(#REF!&gt;250,4,0)+
IF(#REF!="no",1,0)+
IF(#REF!="Heavy Domestic User",2,0)</f>
        <v>#REF!</v>
      </c>
      <c r="AG2735" t="e">
        <f>IF(#REF!&gt;=10,"High Risk", IF(#REF!&gt;=5,"Medium Risk","Low Risk"))</f>
        <v>#REF!</v>
      </c>
      <c r="AH2735" t="e">
        <f>#REF! + #REF! + #REF! + #REF!</f>
        <v>#REF!</v>
      </c>
    </row>
    <row r="2736" spans="1:34" x14ac:dyDescent="0.35">
      <c r="A2736">
        <v>2735</v>
      </c>
      <c r="B2736" t="s">
        <v>50</v>
      </c>
      <c r="C2736">
        <v>33</v>
      </c>
      <c r="D2736" t="s">
        <v>25</v>
      </c>
      <c r="E2736" t="s">
        <v>22</v>
      </c>
      <c r="F2736" t="s">
        <v>22</v>
      </c>
      <c r="G2736">
        <v>0</v>
      </c>
      <c r="H2736">
        <v>251.9</v>
      </c>
      <c r="I2736">
        <v>81</v>
      </c>
      <c r="J2736">
        <v>42.82</v>
      </c>
      <c r="K2736">
        <v>194.6</v>
      </c>
      <c r="L2736">
        <v>96</v>
      </c>
      <c r="M2736">
        <v>16.54</v>
      </c>
      <c r="N2736">
        <v>211.2</v>
      </c>
      <c r="O2736">
        <v>87</v>
      </c>
      <c r="P2736">
        <v>9.5</v>
      </c>
      <c r="Q2736">
        <v>8.4</v>
      </c>
      <c r="R2736">
        <v>3</v>
      </c>
      <c r="S2736">
        <v>2.27</v>
      </c>
      <c r="T2736">
        <v>2</v>
      </c>
      <c r="U2736" t="s">
        <v>22</v>
      </c>
      <c r="V2736" t="e">
        <f>IF(#REF! = "yes", 1, 0)</f>
        <v>#REF!</v>
      </c>
      <c r="W2736" t="e">
        <f>IF(#REF! &lt;= 1, "0-1 Calls", IF(#REF! &lt;= 3, "2-3 Calls", IF(#REF! &lt;=5, "4-5 Calls", "6+ Calls")))</f>
        <v>#REF!</v>
      </c>
      <c r="X2736" t="e">
        <f>IF(#REF! &lt;= 50, "0-50", IF(#REF! &lt;=100, "51-100", IF(#REF! &lt;= 150, "101-150", "151+")))</f>
        <v>#REF!</v>
      </c>
      <c r="Y2736" t="e">
        <f>IF(#REF! &lt;= 3, "Low Charges", "High Charges")</f>
        <v>#REF!</v>
      </c>
      <c r="Z2736" t="e">
        <f>IF(#REF!&lt;=80,"Low Calls",
IF(#REF!&lt;=120,"Medium Calls","High Calls"))</f>
        <v>#REF!</v>
      </c>
      <c r="AA2736" t="e">
        <f>IF(#REF!&lt;=15,"Low Charges",
IF(#REF!&lt;=20,"Medium Charges","High Charges"))</f>
        <v>#REF!</v>
      </c>
      <c r="AB2736" t="e">
        <f>IF(AND(#REF!&gt;180, #REF!&gt;200), "Heavy Doemstic User", IF(#REF!&gt;10, "Interntional User", IF(AND(#REF!&lt;180, #REF!&lt;200,#REF!&lt;200), "Light User", "Balanced User")))</f>
        <v>#REF!</v>
      </c>
      <c r="AC2736" t="e">
        <f>IF(#REF! = 0, "No Usage", IF(#REF! &lt;= 20, "Low Usage", IF(#REF! &lt;= 40, "Medium Usgae", "High Usage")))</f>
        <v>#REF!</v>
      </c>
      <c r="AD2736" t="e">
        <f>IF(#REF!&lt;=150,"Low Usage", IF(#REF!&lt;=200,"Medium Usage", IF(#REF!&lt;=250,"High Usage","Very High Usage")))</f>
        <v>#REF!</v>
      </c>
      <c r="AE2736" t="e">
        <f>IF(#REF!&lt;=5,"Low Calls", IF(#REF!&lt;=10, "Medium Calls", "High Calls"))</f>
        <v>#REF!</v>
      </c>
      <c r="AF2736" t="e">
        <f xml:space="preserve">
IF(#REF!&gt;=4,4,0)+
IF(#REF!="yes",3,0)+
IF(#REF!="High Charges",3,0)+
IF(#REF!&gt;250,4,0)+
IF(#REF!="no",1,0)+
IF(#REF!="Heavy Domestic User",2,0)</f>
        <v>#REF!</v>
      </c>
      <c r="AG2736" t="e">
        <f>IF(#REF!&gt;=10,"High Risk", IF(#REF!&gt;=5,"Medium Risk","Low Risk"))</f>
        <v>#REF!</v>
      </c>
      <c r="AH2736" t="e">
        <f>#REF! + #REF! + #REF! + #REF!</f>
        <v>#REF!</v>
      </c>
    </row>
    <row r="2737" spans="1:34" x14ac:dyDescent="0.35">
      <c r="A2737">
        <v>2736</v>
      </c>
      <c r="B2737" t="s">
        <v>66</v>
      </c>
      <c r="C2737">
        <v>100</v>
      </c>
      <c r="D2737" t="s">
        <v>28</v>
      </c>
      <c r="E2737" t="s">
        <v>22</v>
      </c>
      <c r="F2737" t="s">
        <v>22</v>
      </c>
      <c r="G2737">
        <v>0</v>
      </c>
      <c r="H2737">
        <v>264.5</v>
      </c>
      <c r="I2737">
        <v>117</v>
      </c>
      <c r="J2737">
        <v>44.97</v>
      </c>
      <c r="K2737">
        <v>194</v>
      </c>
      <c r="L2737">
        <v>111</v>
      </c>
      <c r="M2737">
        <v>16.489999999999998</v>
      </c>
      <c r="N2737">
        <v>262.7</v>
      </c>
      <c r="O2737">
        <v>111</v>
      </c>
      <c r="P2737">
        <v>11.82</v>
      </c>
      <c r="Q2737">
        <v>7.5</v>
      </c>
      <c r="R2737">
        <v>4</v>
      </c>
      <c r="S2737">
        <v>2.0299999999999998</v>
      </c>
      <c r="T2737">
        <v>2</v>
      </c>
      <c r="U2737" t="s">
        <v>23</v>
      </c>
      <c r="V2737" t="e">
        <f>IF(#REF! = "yes", 1, 0)</f>
        <v>#REF!</v>
      </c>
      <c r="W2737" t="e">
        <f>IF(#REF! &lt;= 1, "0-1 Calls", IF(#REF! &lt;= 3, "2-3 Calls", IF(#REF! &lt;=5, "4-5 Calls", "6+ Calls")))</f>
        <v>#REF!</v>
      </c>
      <c r="X2737" t="e">
        <f>IF(#REF! &lt;= 50, "0-50", IF(#REF! &lt;=100, "51-100", IF(#REF! &lt;= 150, "101-150", "151+")))</f>
        <v>#REF!</v>
      </c>
      <c r="Y2737" t="e">
        <f>IF(#REF! &lt;= 3, "Low Charges", "High Charges")</f>
        <v>#REF!</v>
      </c>
      <c r="Z2737" t="e">
        <f>IF(#REF!&lt;=80,"Low Calls",
IF(#REF!&lt;=120,"Medium Calls","High Calls"))</f>
        <v>#REF!</v>
      </c>
      <c r="AA2737" t="e">
        <f>IF(#REF!&lt;=15,"Low Charges",
IF(#REF!&lt;=20,"Medium Charges","High Charges"))</f>
        <v>#REF!</v>
      </c>
      <c r="AB2737" t="e">
        <f>IF(AND(#REF!&gt;180, #REF!&gt;200), "Heavy Doemstic User", IF(#REF!&gt;10, "Interntional User", IF(AND(#REF!&lt;180, #REF!&lt;200,#REF!&lt;200), "Light User", "Balanced User")))</f>
        <v>#REF!</v>
      </c>
      <c r="AC2737" t="e">
        <f>IF(#REF! = 0, "No Usage", IF(#REF! &lt;= 20, "Low Usage", IF(#REF! &lt;= 40, "Medium Usgae", "High Usage")))</f>
        <v>#REF!</v>
      </c>
      <c r="AD2737" t="e">
        <f>IF(#REF!&lt;=150,"Low Usage", IF(#REF!&lt;=200,"Medium Usage", IF(#REF!&lt;=250,"High Usage","Very High Usage")))</f>
        <v>#REF!</v>
      </c>
      <c r="AE2737" t="e">
        <f>IF(#REF!&lt;=5,"Low Calls", IF(#REF!&lt;=10, "Medium Calls", "High Calls"))</f>
        <v>#REF!</v>
      </c>
      <c r="AF2737" t="e">
        <f xml:space="preserve">
IF(#REF!&gt;=4,4,0)+
IF(#REF!="yes",3,0)+
IF(#REF!="High Charges",3,0)+
IF(#REF!&gt;250,4,0)+
IF(#REF!="no",1,0)+
IF(#REF!="Heavy Domestic User",2,0)</f>
        <v>#REF!</v>
      </c>
      <c r="AG2737" t="e">
        <f>IF(#REF!&gt;=10,"High Risk", IF(#REF!&gt;=5,"Medium Risk","Low Risk"))</f>
        <v>#REF!</v>
      </c>
      <c r="AH2737" t="e">
        <f>#REF! + #REF! + #REF! + #REF!</f>
        <v>#REF!</v>
      </c>
    </row>
    <row r="2738" spans="1:34" x14ac:dyDescent="0.35">
      <c r="A2738">
        <v>2737</v>
      </c>
      <c r="B2738" t="s">
        <v>36</v>
      </c>
      <c r="C2738">
        <v>209</v>
      </c>
      <c r="D2738" t="s">
        <v>21</v>
      </c>
      <c r="E2738" t="s">
        <v>22</v>
      </c>
      <c r="F2738" t="s">
        <v>22</v>
      </c>
      <c r="G2738">
        <v>0</v>
      </c>
      <c r="H2738">
        <v>153.69999999999999</v>
      </c>
      <c r="I2738">
        <v>105</v>
      </c>
      <c r="J2738">
        <v>26.13</v>
      </c>
      <c r="K2738">
        <v>188.6</v>
      </c>
      <c r="L2738">
        <v>87</v>
      </c>
      <c r="M2738">
        <v>16.03</v>
      </c>
      <c r="N2738">
        <v>200.8</v>
      </c>
      <c r="O2738">
        <v>95</v>
      </c>
      <c r="P2738">
        <v>9.0399999999999991</v>
      </c>
      <c r="Q2738">
        <v>10.7</v>
      </c>
      <c r="R2738">
        <v>2</v>
      </c>
      <c r="S2738">
        <v>2.89</v>
      </c>
      <c r="T2738">
        <v>0</v>
      </c>
      <c r="U2738" t="s">
        <v>22</v>
      </c>
      <c r="V2738" t="e">
        <f>IF(#REF! = "yes", 1, 0)</f>
        <v>#REF!</v>
      </c>
      <c r="W2738" t="e">
        <f>IF(#REF! &lt;= 1, "0-1 Calls", IF(#REF! &lt;= 3, "2-3 Calls", IF(#REF! &lt;=5, "4-5 Calls", "6+ Calls")))</f>
        <v>#REF!</v>
      </c>
      <c r="X2738" t="e">
        <f>IF(#REF! &lt;= 50, "0-50", IF(#REF! &lt;=100, "51-100", IF(#REF! &lt;= 150, "101-150", "151+")))</f>
        <v>#REF!</v>
      </c>
      <c r="Y2738" t="e">
        <f>IF(#REF! &lt;= 3, "Low Charges", "High Charges")</f>
        <v>#REF!</v>
      </c>
      <c r="Z2738" t="e">
        <f>IF(#REF!&lt;=80,"Low Calls",
IF(#REF!&lt;=120,"Medium Calls","High Calls"))</f>
        <v>#REF!</v>
      </c>
      <c r="AA2738" t="e">
        <f>IF(#REF!&lt;=15,"Low Charges",
IF(#REF!&lt;=20,"Medium Charges","High Charges"))</f>
        <v>#REF!</v>
      </c>
      <c r="AB2738" t="e">
        <f>IF(AND(#REF!&gt;180, #REF!&gt;200), "Heavy Doemstic User", IF(#REF!&gt;10, "Interntional User", IF(AND(#REF!&lt;180, #REF!&lt;200,#REF!&lt;200), "Light User", "Balanced User")))</f>
        <v>#REF!</v>
      </c>
      <c r="AC2738" t="e">
        <f>IF(#REF! = 0, "No Usage", IF(#REF! &lt;= 20, "Low Usage", IF(#REF! &lt;= 40, "Medium Usgae", "High Usage")))</f>
        <v>#REF!</v>
      </c>
      <c r="AD2738" t="e">
        <f>IF(#REF!&lt;=150,"Low Usage", IF(#REF!&lt;=200,"Medium Usage", IF(#REF!&lt;=250,"High Usage","Very High Usage")))</f>
        <v>#REF!</v>
      </c>
      <c r="AE2738" t="e">
        <f>IF(#REF!&lt;=5,"Low Calls", IF(#REF!&lt;=10, "Medium Calls", "High Calls"))</f>
        <v>#REF!</v>
      </c>
      <c r="AF2738" t="e">
        <f xml:space="preserve">
IF(#REF!&gt;=4,4,0)+
IF(#REF!="yes",3,0)+
IF(#REF!="High Charges",3,0)+
IF(#REF!&gt;250,4,0)+
IF(#REF!="no",1,0)+
IF(#REF!="Heavy Domestic User",2,0)</f>
        <v>#REF!</v>
      </c>
      <c r="AG2738" t="e">
        <f>IF(#REF!&gt;=10,"High Risk", IF(#REF!&gt;=5,"Medium Risk","Low Risk"))</f>
        <v>#REF!</v>
      </c>
      <c r="AH2738" t="e">
        <f>#REF! + #REF! + #REF! + #REF!</f>
        <v>#REF!</v>
      </c>
    </row>
    <row r="2739" spans="1:34" x14ac:dyDescent="0.35">
      <c r="A2739">
        <v>2738</v>
      </c>
      <c r="B2739" t="s">
        <v>52</v>
      </c>
      <c r="C2739">
        <v>27</v>
      </c>
      <c r="D2739" t="s">
        <v>28</v>
      </c>
      <c r="E2739" t="s">
        <v>22</v>
      </c>
      <c r="F2739" t="s">
        <v>22</v>
      </c>
      <c r="G2739">
        <v>0</v>
      </c>
      <c r="H2739">
        <v>232.1</v>
      </c>
      <c r="I2739">
        <v>81</v>
      </c>
      <c r="J2739">
        <v>39.46</v>
      </c>
      <c r="K2739">
        <v>210.8</v>
      </c>
      <c r="L2739">
        <v>101</v>
      </c>
      <c r="M2739">
        <v>17.920000000000002</v>
      </c>
      <c r="N2739">
        <v>165.4</v>
      </c>
      <c r="O2739">
        <v>87</v>
      </c>
      <c r="P2739">
        <v>7.44</v>
      </c>
      <c r="Q2739">
        <v>15</v>
      </c>
      <c r="R2739">
        <v>6</v>
      </c>
      <c r="S2739">
        <v>4.05</v>
      </c>
      <c r="T2739">
        <v>5</v>
      </c>
      <c r="U2739" t="s">
        <v>22</v>
      </c>
      <c r="V2739" t="e">
        <f>IF(#REF! = "yes", 1, 0)</f>
        <v>#REF!</v>
      </c>
      <c r="W2739" t="e">
        <f>IF(#REF! &lt;= 1, "0-1 Calls", IF(#REF! &lt;= 3, "2-3 Calls", IF(#REF! &lt;=5, "4-5 Calls", "6+ Calls")))</f>
        <v>#REF!</v>
      </c>
      <c r="X2739" t="e">
        <f>IF(#REF! &lt;= 50, "0-50", IF(#REF! &lt;=100, "51-100", IF(#REF! &lt;= 150, "101-150", "151+")))</f>
        <v>#REF!</v>
      </c>
      <c r="Y2739" t="e">
        <f>IF(#REF! &lt;= 3, "Low Charges", "High Charges")</f>
        <v>#REF!</v>
      </c>
      <c r="Z2739" t="e">
        <f>IF(#REF!&lt;=80,"Low Calls",
IF(#REF!&lt;=120,"Medium Calls","High Calls"))</f>
        <v>#REF!</v>
      </c>
      <c r="AA2739" t="e">
        <f>IF(#REF!&lt;=15,"Low Charges",
IF(#REF!&lt;=20,"Medium Charges","High Charges"))</f>
        <v>#REF!</v>
      </c>
      <c r="AB2739" t="e">
        <f>IF(AND(#REF!&gt;180, #REF!&gt;200), "Heavy Doemstic User", IF(#REF!&gt;10, "Interntional User", IF(AND(#REF!&lt;180, #REF!&lt;200,#REF!&lt;200), "Light User", "Balanced User")))</f>
        <v>#REF!</v>
      </c>
      <c r="AC2739" t="e">
        <f>IF(#REF! = 0, "No Usage", IF(#REF! &lt;= 20, "Low Usage", IF(#REF! &lt;= 40, "Medium Usgae", "High Usage")))</f>
        <v>#REF!</v>
      </c>
      <c r="AD2739" t="e">
        <f>IF(#REF!&lt;=150,"Low Usage", IF(#REF!&lt;=200,"Medium Usage", IF(#REF!&lt;=250,"High Usage","Very High Usage")))</f>
        <v>#REF!</v>
      </c>
      <c r="AE2739" t="e">
        <f>IF(#REF!&lt;=5,"Low Calls", IF(#REF!&lt;=10, "Medium Calls", "High Calls"))</f>
        <v>#REF!</v>
      </c>
      <c r="AF2739" t="e">
        <f xml:space="preserve">
IF(#REF!&gt;=4,4,0)+
IF(#REF!="yes",3,0)+
IF(#REF!="High Charges",3,0)+
IF(#REF!&gt;250,4,0)+
IF(#REF!="no",1,0)+
IF(#REF!="Heavy Domestic User",2,0)</f>
        <v>#REF!</v>
      </c>
      <c r="AG2739" t="e">
        <f>IF(#REF!&gt;=10,"High Risk", IF(#REF!&gt;=5,"Medium Risk","Low Risk"))</f>
        <v>#REF!</v>
      </c>
      <c r="AH2739" t="e">
        <f>#REF! + #REF! + #REF! + #REF!</f>
        <v>#REF!</v>
      </c>
    </row>
    <row r="2740" spans="1:34" x14ac:dyDescent="0.35">
      <c r="A2740">
        <v>2739</v>
      </c>
      <c r="B2740" t="s">
        <v>72</v>
      </c>
      <c r="C2740">
        <v>117</v>
      </c>
      <c r="D2740" t="s">
        <v>21</v>
      </c>
      <c r="E2740" t="s">
        <v>22</v>
      </c>
      <c r="F2740" t="s">
        <v>22</v>
      </c>
      <c r="G2740">
        <v>0</v>
      </c>
      <c r="H2740">
        <v>201.9</v>
      </c>
      <c r="I2740">
        <v>86</v>
      </c>
      <c r="J2740">
        <v>34.32</v>
      </c>
      <c r="K2740">
        <v>212.3</v>
      </c>
      <c r="L2740">
        <v>96</v>
      </c>
      <c r="M2740">
        <v>18.05</v>
      </c>
      <c r="N2740">
        <v>176.9</v>
      </c>
      <c r="O2740">
        <v>98</v>
      </c>
      <c r="P2740">
        <v>7.96</v>
      </c>
      <c r="Q2740">
        <v>7.8</v>
      </c>
      <c r="R2740">
        <v>10</v>
      </c>
      <c r="S2740">
        <v>2.11</v>
      </c>
      <c r="T2740">
        <v>1</v>
      </c>
      <c r="U2740" t="s">
        <v>22</v>
      </c>
      <c r="V2740" t="e">
        <f>IF(#REF! = "yes", 1, 0)</f>
        <v>#REF!</v>
      </c>
      <c r="W2740" t="e">
        <f>IF(#REF! &lt;= 1, "0-1 Calls", IF(#REF! &lt;= 3, "2-3 Calls", IF(#REF! &lt;=5, "4-5 Calls", "6+ Calls")))</f>
        <v>#REF!</v>
      </c>
      <c r="X2740" t="e">
        <f>IF(#REF! &lt;= 50, "0-50", IF(#REF! &lt;=100, "51-100", IF(#REF! &lt;= 150, "101-150", "151+")))</f>
        <v>#REF!</v>
      </c>
      <c r="Y2740" t="e">
        <f>IF(#REF! &lt;= 3, "Low Charges", "High Charges")</f>
        <v>#REF!</v>
      </c>
      <c r="Z2740" t="e">
        <f>IF(#REF!&lt;=80,"Low Calls",
IF(#REF!&lt;=120,"Medium Calls","High Calls"))</f>
        <v>#REF!</v>
      </c>
      <c r="AA2740" t="e">
        <f>IF(#REF!&lt;=15,"Low Charges",
IF(#REF!&lt;=20,"Medium Charges","High Charges"))</f>
        <v>#REF!</v>
      </c>
      <c r="AB2740" t="e">
        <f>IF(AND(#REF!&gt;180, #REF!&gt;200), "Heavy Doemstic User", IF(#REF!&gt;10, "Interntional User", IF(AND(#REF!&lt;180, #REF!&lt;200,#REF!&lt;200), "Light User", "Balanced User")))</f>
        <v>#REF!</v>
      </c>
      <c r="AC2740" t="e">
        <f>IF(#REF! = 0, "No Usage", IF(#REF! &lt;= 20, "Low Usage", IF(#REF! &lt;= 40, "Medium Usgae", "High Usage")))</f>
        <v>#REF!</v>
      </c>
      <c r="AD2740" t="e">
        <f>IF(#REF!&lt;=150,"Low Usage", IF(#REF!&lt;=200,"Medium Usage", IF(#REF!&lt;=250,"High Usage","Very High Usage")))</f>
        <v>#REF!</v>
      </c>
      <c r="AE2740" t="e">
        <f>IF(#REF!&lt;=5,"Low Calls", IF(#REF!&lt;=10, "Medium Calls", "High Calls"))</f>
        <v>#REF!</v>
      </c>
      <c r="AF2740" t="e">
        <f xml:space="preserve">
IF(#REF!&gt;=4,4,0)+
IF(#REF!="yes",3,0)+
IF(#REF!="High Charges",3,0)+
IF(#REF!&gt;250,4,0)+
IF(#REF!="no",1,0)+
IF(#REF!="Heavy Domestic User",2,0)</f>
        <v>#REF!</v>
      </c>
      <c r="AG2740" t="e">
        <f>IF(#REF!&gt;=10,"High Risk", IF(#REF!&gt;=5,"Medium Risk","Low Risk"))</f>
        <v>#REF!</v>
      </c>
      <c r="AH2740" t="e">
        <f>#REF! + #REF! + #REF! + #REF!</f>
        <v>#REF!</v>
      </c>
    </row>
    <row r="2741" spans="1:34" x14ac:dyDescent="0.35">
      <c r="A2741">
        <v>2740</v>
      </c>
      <c r="B2741" t="s">
        <v>27</v>
      </c>
      <c r="C2741">
        <v>87</v>
      </c>
      <c r="D2741" t="s">
        <v>25</v>
      </c>
      <c r="E2741" t="s">
        <v>22</v>
      </c>
      <c r="F2741" t="s">
        <v>22</v>
      </c>
      <c r="G2741">
        <v>0</v>
      </c>
      <c r="H2741">
        <v>186.9</v>
      </c>
      <c r="I2741">
        <v>79</v>
      </c>
      <c r="J2741">
        <v>31.77</v>
      </c>
      <c r="K2741">
        <v>182.6</v>
      </c>
      <c r="L2741">
        <v>105</v>
      </c>
      <c r="M2741">
        <v>15.52</v>
      </c>
      <c r="N2741">
        <v>143.1</v>
      </c>
      <c r="O2741">
        <v>90</v>
      </c>
      <c r="P2741">
        <v>6.44</v>
      </c>
      <c r="Q2741">
        <v>4.2</v>
      </c>
      <c r="R2741">
        <v>14</v>
      </c>
      <c r="S2741">
        <v>1.1299999999999999</v>
      </c>
      <c r="T2741">
        <v>1</v>
      </c>
      <c r="U2741" t="s">
        <v>22</v>
      </c>
      <c r="V2741" t="e">
        <f>IF(#REF! = "yes", 1, 0)</f>
        <v>#REF!</v>
      </c>
      <c r="W2741" t="e">
        <f>IF(#REF! &lt;= 1, "0-1 Calls", IF(#REF! &lt;= 3, "2-3 Calls", IF(#REF! &lt;=5, "4-5 Calls", "6+ Calls")))</f>
        <v>#REF!</v>
      </c>
      <c r="X2741" t="e">
        <f>IF(#REF! &lt;= 50, "0-50", IF(#REF! &lt;=100, "51-100", IF(#REF! &lt;= 150, "101-150", "151+")))</f>
        <v>#REF!</v>
      </c>
      <c r="Y2741" t="e">
        <f>IF(#REF! &lt;= 3, "Low Charges", "High Charges")</f>
        <v>#REF!</v>
      </c>
      <c r="Z2741" t="e">
        <f>IF(#REF!&lt;=80,"Low Calls",
IF(#REF!&lt;=120,"Medium Calls","High Calls"))</f>
        <v>#REF!</v>
      </c>
      <c r="AA2741" t="e">
        <f>IF(#REF!&lt;=15,"Low Charges",
IF(#REF!&lt;=20,"Medium Charges","High Charges"))</f>
        <v>#REF!</v>
      </c>
      <c r="AB2741" t="e">
        <f>IF(AND(#REF!&gt;180, #REF!&gt;200), "Heavy Doemstic User", IF(#REF!&gt;10, "Interntional User", IF(AND(#REF!&lt;180, #REF!&lt;200,#REF!&lt;200), "Light User", "Balanced User")))</f>
        <v>#REF!</v>
      </c>
      <c r="AC2741" t="e">
        <f>IF(#REF! = 0, "No Usage", IF(#REF! &lt;= 20, "Low Usage", IF(#REF! &lt;= 40, "Medium Usgae", "High Usage")))</f>
        <v>#REF!</v>
      </c>
      <c r="AD2741" t="e">
        <f>IF(#REF!&lt;=150,"Low Usage", IF(#REF!&lt;=200,"Medium Usage", IF(#REF!&lt;=250,"High Usage","Very High Usage")))</f>
        <v>#REF!</v>
      </c>
      <c r="AE2741" t="e">
        <f>IF(#REF!&lt;=5,"Low Calls", IF(#REF!&lt;=10, "Medium Calls", "High Calls"))</f>
        <v>#REF!</v>
      </c>
      <c r="AF2741" t="e">
        <f xml:space="preserve">
IF(#REF!&gt;=4,4,0)+
IF(#REF!="yes",3,0)+
IF(#REF!="High Charges",3,0)+
IF(#REF!&gt;250,4,0)+
IF(#REF!="no",1,0)+
IF(#REF!="Heavy Domestic User",2,0)</f>
        <v>#REF!</v>
      </c>
      <c r="AG2741" t="e">
        <f>IF(#REF!&gt;=10,"High Risk", IF(#REF!&gt;=5,"Medium Risk","Low Risk"))</f>
        <v>#REF!</v>
      </c>
      <c r="AH2741" t="e">
        <f>#REF! + #REF! + #REF! + #REF!</f>
        <v>#REF!</v>
      </c>
    </row>
    <row r="2742" spans="1:34" x14ac:dyDescent="0.35">
      <c r="A2742">
        <v>2741</v>
      </c>
      <c r="B2742" t="s">
        <v>74</v>
      </c>
      <c r="C2742">
        <v>129</v>
      </c>
      <c r="D2742" t="s">
        <v>28</v>
      </c>
      <c r="E2742" t="s">
        <v>22</v>
      </c>
      <c r="F2742" t="s">
        <v>23</v>
      </c>
      <c r="G2742">
        <v>27</v>
      </c>
      <c r="H2742">
        <v>196.6</v>
      </c>
      <c r="I2742">
        <v>89</v>
      </c>
      <c r="J2742">
        <v>33.42</v>
      </c>
      <c r="K2742">
        <v>180.6</v>
      </c>
      <c r="L2742">
        <v>95</v>
      </c>
      <c r="M2742">
        <v>15.35</v>
      </c>
      <c r="N2742">
        <v>245</v>
      </c>
      <c r="O2742">
        <v>83</v>
      </c>
      <c r="P2742">
        <v>11.03</v>
      </c>
      <c r="Q2742">
        <v>6.6</v>
      </c>
      <c r="R2742">
        <v>5</v>
      </c>
      <c r="S2742">
        <v>1.78</v>
      </c>
      <c r="T2742">
        <v>1</v>
      </c>
      <c r="U2742" t="s">
        <v>22</v>
      </c>
      <c r="V2742" t="e">
        <f>IF(#REF! = "yes", 1, 0)</f>
        <v>#REF!</v>
      </c>
      <c r="W2742" t="e">
        <f>IF(#REF! &lt;= 1, "0-1 Calls", IF(#REF! &lt;= 3, "2-3 Calls", IF(#REF! &lt;=5, "4-5 Calls", "6+ Calls")))</f>
        <v>#REF!</v>
      </c>
      <c r="X2742" t="e">
        <f>IF(#REF! &lt;= 50, "0-50", IF(#REF! &lt;=100, "51-100", IF(#REF! &lt;= 150, "101-150", "151+")))</f>
        <v>#REF!</v>
      </c>
      <c r="Y2742" t="e">
        <f>IF(#REF! &lt;= 3, "Low Charges", "High Charges")</f>
        <v>#REF!</v>
      </c>
      <c r="Z2742" t="e">
        <f>IF(#REF!&lt;=80,"Low Calls",
IF(#REF!&lt;=120,"Medium Calls","High Calls"))</f>
        <v>#REF!</v>
      </c>
      <c r="AA2742" t="e">
        <f>IF(#REF!&lt;=15,"Low Charges",
IF(#REF!&lt;=20,"Medium Charges","High Charges"))</f>
        <v>#REF!</v>
      </c>
      <c r="AB2742" t="e">
        <f>IF(AND(#REF!&gt;180, #REF!&gt;200), "Heavy Doemstic User", IF(#REF!&gt;10, "Interntional User", IF(AND(#REF!&lt;180, #REF!&lt;200,#REF!&lt;200), "Light User", "Balanced User")))</f>
        <v>#REF!</v>
      </c>
      <c r="AC2742" t="e">
        <f>IF(#REF! = 0, "No Usage", IF(#REF! &lt;= 20, "Low Usage", IF(#REF! &lt;= 40, "Medium Usgae", "High Usage")))</f>
        <v>#REF!</v>
      </c>
      <c r="AD2742" t="e">
        <f>IF(#REF!&lt;=150,"Low Usage", IF(#REF!&lt;=200,"Medium Usage", IF(#REF!&lt;=250,"High Usage","Very High Usage")))</f>
        <v>#REF!</v>
      </c>
      <c r="AE2742" t="e">
        <f>IF(#REF!&lt;=5,"Low Calls", IF(#REF!&lt;=10, "Medium Calls", "High Calls"))</f>
        <v>#REF!</v>
      </c>
      <c r="AF2742" t="e">
        <f xml:space="preserve">
IF(#REF!&gt;=4,4,0)+
IF(#REF!="yes",3,0)+
IF(#REF!="High Charges",3,0)+
IF(#REF!&gt;250,4,0)+
IF(#REF!="no",1,0)+
IF(#REF!="Heavy Domestic User",2,0)</f>
        <v>#REF!</v>
      </c>
      <c r="AG2742" t="e">
        <f>IF(#REF!&gt;=10,"High Risk", IF(#REF!&gt;=5,"Medium Risk","Low Risk"))</f>
        <v>#REF!</v>
      </c>
      <c r="AH2742" t="e">
        <f>#REF! + #REF! + #REF! + #REF!</f>
        <v>#REF!</v>
      </c>
    </row>
    <row r="2743" spans="1:34" x14ac:dyDescent="0.35">
      <c r="A2743">
        <v>2742</v>
      </c>
      <c r="B2743" t="s">
        <v>51</v>
      </c>
      <c r="C2743">
        <v>142</v>
      </c>
      <c r="D2743" t="s">
        <v>28</v>
      </c>
      <c r="E2743" t="s">
        <v>22</v>
      </c>
      <c r="F2743" t="s">
        <v>22</v>
      </c>
      <c r="G2743">
        <v>0</v>
      </c>
      <c r="H2743">
        <v>232.1</v>
      </c>
      <c r="I2743">
        <v>102</v>
      </c>
      <c r="J2743">
        <v>39.46</v>
      </c>
      <c r="K2743">
        <v>168.2</v>
      </c>
      <c r="L2743">
        <v>110</v>
      </c>
      <c r="M2743">
        <v>14.3</v>
      </c>
      <c r="N2743">
        <v>197.3</v>
      </c>
      <c r="O2743">
        <v>120</v>
      </c>
      <c r="P2743">
        <v>8.8800000000000008</v>
      </c>
      <c r="Q2743">
        <v>9.9</v>
      </c>
      <c r="R2743">
        <v>3</v>
      </c>
      <c r="S2743">
        <v>2.67</v>
      </c>
      <c r="T2743">
        <v>1</v>
      </c>
      <c r="U2743" t="s">
        <v>22</v>
      </c>
      <c r="V2743" t="e">
        <f>IF(#REF! = "yes", 1, 0)</f>
        <v>#REF!</v>
      </c>
      <c r="W2743" t="e">
        <f>IF(#REF! &lt;= 1, "0-1 Calls", IF(#REF! &lt;= 3, "2-3 Calls", IF(#REF! &lt;=5, "4-5 Calls", "6+ Calls")))</f>
        <v>#REF!</v>
      </c>
      <c r="X2743" t="e">
        <f>IF(#REF! &lt;= 50, "0-50", IF(#REF! &lt;=100, "51-100", IF(#REF! &lt;= 150, "101-150", "151+")))</f>
        <v>#REF!</v>
      </c>
      <c r="Y2743" t="e">
        <f>IF(#REF! &lt;= 3, "Low Charges", "High Charges")</f>
        <v>#REF!</v>
      </c>
      <c r="Z2743" t="e">
        <f>IF(#REF!&lt;=80,"Low Calls",
IF(#REF!&lt;=120,"Medium Calls","High Calls"))</f>
        <v>#REF!</v>
      </c>
      <c r="AA2743" t="e">
        <f>IF(#REF!&lt;=15,"Low Charges",
IF(#REF!&lt;=20,"Medium Charges","High Charges"))</f>
        <v>#REF!</v>
      </c>
      <c r="AB2743" t="e">
        <f>IF(AND(#REF!&gt;180, #REF!&gt;200), "Heavy Doemstic User", IF(#REF!&gt;10, "Interntional User", IF(AND(#REF!&lt;180, #REF!&lt;200,#REF!&lt;200), "Light User", "Balanced User")))</f>
        <v>#REF!</v>
      </c>
      <c r="AC2743" t="e">
        <f>IF(#REF! = 0, "No Usage", IF(#REF! &lt;= 20, "Low Usage", IF(#REF! &lt;= 40, "Medium Usgae", "High Usage")))</f>
        <v>#REF!</v>
      </c>
      <c r="AD2743" t="e">
        <f>IF(#REF!&lt;=150,"Low Usage", IF(#REF!&lt;=200,"Medium Usage", IF(#REF!&lt;=250,"High Usage","Very High Usage")))</f>
        <v>#REF!</v>
      </c>
      <c r="AE2743" t="e">
        <f>IF(#REF!&lt;=5,"Low Calls", IF(#REF!&lt;=10, "Medium Calls", "High Calls"))</f>
        <v>#REF!</v>
      </c>
      <c r="AF2743" t="e">
        <f xml:space="preserve">
IF(#REF!&gt;=4,4,0)+
IF(#REF!="yes",3,0)+
IF(#REF!="High Charges",3,0)+
IF(#REF!&gt;250,4,0)+
IF(#REF!="no",1,0)+
IF(#REF!="Heavy Domestic User",2,0)</f>
        <v>#REF!</v>
      </c>
      <c r="AG2743" t="e">
        <f>IF(#REF!&gt;=10,"High Risk", IF(#REF!&gt;=5,"Medium Risk","Low Risk"))</f>
        <v>#REF!</v>
      </c>
      <c r="AH2743" t="e">
        <f>#REF! + #REF! + #REF! + #REF!</f>
        <v>#REF!</v>
      </c>
    </row>
    <row r="2744" spans="1:34" x14ac:dyDescent="0.35">
      <c r="A2744">
        <v>2743</v>
      </c>
      <c r="B2744" t="s">
        <v>26</v>
      </c>
      <c r="C2744">
        <v>112</v>
      </c>
      <c r="D2744" t="s">
        <v>21</v>
      </c>
      <c r="E2744" t="s">
        <v>22</v>
      </c>
      <c r="F2744" t="s">
        <v>22</v>
      </c>
      <c r="G2744">
        <v>0</v>
      </c>
      <c r="H2744">
        <v>166</v>
      </c>
      <c r="I2744">
        <v>79</v>
      </c>
      <c r="J2744">
        <v>28.22</v>
      </c>
      <c r="K2744">
        <v>74.599999999999994</v>
      </c>
      <c r="L2744">
        <v>100</v>
      </c>
      <c r="M2744">
        <v>6.34</v>
      </c>
      <c r="N2744">
        <v>247.9</v>
      </c>
      <c r="O2744">
        <v>74</v>
      </c>
      <c r="P2744">
        <v>11.16</v>
      </c>
      <c r="Q2744">
        <v>6.3</v>
      </c>
      <c r="R2744">
        <v>7</v>
      </c>
      <c r="S2744">
        <v>1.7</v>
      </c>
      <c r="T2744">
        <v>0</v>
      </c>
      <c r="U2744" t="s">
        <v>22</v>
      </c>
      <c r="V2744" t="e">
        <f>IF(#REF! = "yes", 1, 0)</f>
        <v>#REF!</v>
      </c>
      <c r="W2744" t="e">
        <f>IF(#REF! &lt;= 1, "0-1 Calls", IF(#REF! &lt;= 3, "2-3 Calls", IF(#REF! &lt;=5, "4-5 Calls", "6+ Calls")))</f>
        <v>#REF!</v>
      </c>
      <c r="X2744" t="e">
        <f>IF(#REF! &lt;= 50, "0-50", IF(#REF! &lt;=100, "51-100", IF(#REF! &lt;= 150, "101-150", "151+")))</f>
        <v>#REF!</v>
      </c>
      <c r="Y2744" t="e">
        <f>IF(#REF! &lt;= 3, "Low Charges", "High Charges")</f>
        <v>#REF!</v>
      </c>
      <c r="Z2744" t="e">
        <f>IF(#REF!&lt;=80,"Low Calls",
IF(#REF!&lt;=120,"Medium Calls","High Calls"))</f>
        <v>#REF!</v>
      </c>
      <c r="AA2744" t="e">
        <f>IF(#REF!&lt;=15,"Low Charges",
IF(#REF!&lt;=20,"Medium Charges","High Charges"))</f>
        <v>#REF!</v>
      </c>
      <c r="AB2744" t="e">
        <f>IF(AND(#REF!&gt;180, #REF!&gt;200), "Heavy Doemstic User", IF(#REF!&gt;10, "Interntional User", IF(AND(#REF!&lt;180, #REF!&lt;200,#REF!&lt;200), "Light User", "Balanced User")))</f>
        <v>#REF!</v>
      </c>
      <c r="AC2744" t="e">
        <f>IF(#REF! = 0, "No Usage", IF(#REF! &lt;= 20, "Low Usage", IF(#REF! &lt;= 40, "Medium Usgae", "High Usage")))</f>
        <v>#REF!</v>
      </c>
      <c r="AD2744" t="e">
        <f>IF(#REF!&lt;=150,"Low Usage", IF(#REF!&lt;=200,"Medium Usage", IF(#REF!&lt;=250,"High Usage","Very High Usage")))</f>
        <v>#REF!</v>
      </c>
      <c r="AE2744" t="e">
        <f>IF(#REF!&lt;=5,"Low Calls", IF(#REF!&lt;=10, "Medium Calls", "High Calls"))</f>
        <v>#REF!</v>
      </c>
      <c r="AF2744" t="e">
        <f xml:space="preserve">
IF(#REF!&gt;=4,4,0)+
IF(#REF!="yes",3,0)+
IF(#REF!="High Charges",3,0)+
IF(#REF!&gt;250,4,0)+
IF(#REF!="no",1,0)+
IF(#REF!="Heavy Domestic User",2,0)</f>
        <v>#REF!</v>
      </c>
      <c r="AG2744" t="e">
        <f>IF(#REF!&gt;=10,"High Risk", IF(#REF!&gt;=5,"Medium Risk","Low Risk"))</f>
        <v>#REF!</v>
      </c>
      <c r="AH2744" t="e">
        <f>#REF! + #REF! + #REF! + #REF!</f>
        <v>#REF!</v>
      </c>
    </row>
    <row r="2745" spans="1:34" x14ac:dyDescent="0.35">
      <c r="A2745">
        <v>2744</v>
      </c>
      <c r="B2745" t="s">
        <v>54</v>
      </c>
      <c r="C2745">
        <v>75</v>
      </c>
      <c r="D2745" t="s">
        <v>28</v>
      </c>
      <c r="E2745" t="s">
        <v>22</v>
      </c>
      <c r="F2745" t="s">
        <v>23</v>
      </c>
      <c r="G2745">
        <v>28</v>
      </c>
      <c r="H2745">
        <v>200.6</v>
      </c>
      <c r="I2745">
        <v>96</v>
      </c>
      <c r="J2745">
        <v>34.1</v>
      </c>
      <c r="K2745">
        <v>164.1</v>
      </c>
      <c r="L2745">
        <v>111</v>
      </c>
      <c r="M2745">
        <v>13.95</v>
      </c>
      <c r="N2745">
        <v>169.6</v>
      </c>
      <c r="O2745">
        <v>153</v>
      </c>
      <c r="P2745">
        <v>7.63</v>
      </c>
      <c r="Q2745">
        <v>2.5</v>
      </c>
      <c r="R2745">
        <v>5</v>
      </c>
      <c r="S2745">
        <v>0.68</v>
      </c>
      <c r="T2745">
        <v>1</v>
      </c>
      <c r="U2745" t="s">
        <v>22</v>
      </c>
      <c r="V2745" t="e">
        <f>IF(#REF! = "yes", 1, 0)</f>
        <v>#REF!</v>
      </c>
      <c r="W2745" t="e">
        <f>IF(#REF! &lt;= 1, "0-1 Calls", IF(#REF! &lt;= 3, "2-3 Calls", IF(#REF! &lt;=5, "4-5 Calls", "6+ Calls")))</f>
        <v>#REF!</v>
      </c>
      <c r="X2745" t="e">
        <f>IF(#REF! &lt;= 50, "0-50", IF(#REF! &lt;=100, "51-100", IF(#REF! &lt;= 150, "101-150", "151+")))</f>
        <v>#REF!</v>
      </c>
      <c r="Y2745" t="e">
        <f>IF(#REF! &lt;= 3, "Low Charges", "High Charges")</f>
        <v>#REF!</v>
      </c>
      <c r="Z2745" t="e">
        <f>IF(#REF!&lt;=80,"Low Calls",
IF(#REF!&lt;=120,"Medium Calls","High Calls"))</f>
        <v>#REF!</v>
      </c>
      <c r="AA2745" t="e">
        <f>IF(#REF!&lt;=15,"Low Charges",
IF(#REF!&lt;=20,"Medium Charges","High Charges"))</f>
        <v>#REF!</v>
      </c>
      <c r="AB2745" t="e">
        <f>IF(AND(#REF!&gt;180, #REF!&gt;200), "Heavy Doemstic User", IF(#REF!&gt;10, "Interntional User", IF(AND(#REF!&lt;180, #REF!&lt;200,#REF!&lt;200), "Light User", "Balanced User")))</f>
        <v>#REF!</v>
      </c>
      <c r="AC2745" t="e">
        <f>IF(#REF! = 0, "No Usage", IF(#REF! &lt;= 20, "Low Usage", IF(#REF! &lt;= 40, "Medium Usgae", "High Usage")))</f>
        <v>#REF!</v>
      </c>
      <c r="AD2745" t="e">
        <f>IF(#REF!&lt;=150,"Low Usage", IF(#REF!&lt;=200,"Medium Usage", IF(#REF!&lt;=250,"High Usage","Very High Usage")))</f>
        <v>#REF!</v>
      </c>
      <c r="AE2745" t="e">
        <f>IF(#REF!&lt;=5,"Low Calls", IF(#REF!&lt;=10, "Medium Calls", "High Calls"))</f>
        <v>#REF!</v>
      </c>
      <c r="AF2745" t="e">
        <f xml:space="preserve">
IF(#REF!&gt;=4,4,0)+
IF(#REF!="yes",3,0)+
IF(#REF!="High Charges",3,0)+
IF(#REF!&gt;250,4,0)+
IF(#REF!="no",1,0)+
IF(#REF!="Heavy Domestic User",2,0)</f>
        <v>#REF!</v>
      </c>
      <c r="AG2745" t="e">
        <f>IF(#REF!&gt;=10,"High Risk", IF(#REF!&gt;=5,"Medium Risk","Low Risk"))</f>
        <v>#REF!</v>
      </c>
      <c r="AH2745" t="e">
        <f>#REF! + #REF! + #REF! + #REF!</f>
        <v>#REF!</v>
      </c>
    </row>
    <row r="2746" spans="1:34" x14ac:dyDescent="0.35">
      <c r="A2746">
        <v>2745</v>
      </c>
      <c r="B2746" t="s">
        <v>42</v>
      </c>
      <c r="C2746">
        <v>97</v>
      </c>
      <c r="D2746" t="s">
        <v>25</v>
      </c>
      <c r="E2746" t="s">
        <v>22</v>
      </c>
      <c r="F2746" t="s">
        <v>23</v>
      </c>
      <c r="G2746">
        <v>25</v>
      </c>
      <c r="H2746">
        <v>141</v>
      </c>
      <c r="I2746">
        <v>101</v>
      </c>
      <c r="J2746">
        <v>23.97</v>
      </c>
      <c r="K2746">
        <v>212</v>
      </c>
      <c r="L2746">
        <v>85</v>
      </c>
      <c r="M2746">
        <v>18.02</v>
      </c>
      <c r="N2746">
        <v>175.2</v>
      </c>
      <c r="O2746">
        <v>138</v>
      </c>
      <c r="P2746">
        <v>7.88</v>
      </c>
      <c r="Q2746">
        <v>4.9000000000000004</v>
      </c>
      <c r="R2746">
        <v>2</v>
      </c>
      <c r="S2746">
        <v>1.32</v>
      </c>
      <c r="T2746">
        <v>3</v>
      </c>
      <c r="U2746" t="s">
        <v>22</v>
      </c>
      <c r="V2746" t="e">
        <f>IF(#REF! = "yes", 1, 0)</f>
        <v>#REF!</v>
      </c>
      <c r="W2746" t="e">
        <f>IF(#REF! &lt;= 1, "0-1 Calls", IF(#REF! &lt;= 3, "2-3 Calls", IF(#REF! &lt;=5, "4-5 Calls", "6+ Calls")))</f>
        <v>#REF!</v>
      </c>
      <c r="X2746" t="e">
        <f>IF(#REF! &lt;= 50, "0-50", IF(#REF! &lt;=100, "51-100", IF(#REF! &lt;= 150, "101-150", "151+")))</f>
        <v>#REF!</v>
      </c>
      <c r="Y2746" t="e">
        <f>IF(#REF! &lt;= 3, "Low Charges", "High Charges")</f>
        <v>#REF!</v>
      </c>
      <c r="Z2746" t="e">
        <f>IF(#REF!&lt;=80,"Low Calls",
IF(#REF!&lt;=120,"Medium Calls","High Calls"))</f>
        <v>#REF!</v>
      </c>
      <c r="AA2746" t="e">
        <f>IF(#REF!&lt;=15,"Low Charges",
IF(#REF!&lt;=20,"Medium Charges","High Charges"))</f>
        <v>#REF!</v>
      </c>
      <c r="AB2746" t="e">
        <f>IF(AND(#REF!&gt;180, #REF!&gt;200), "Heavy Doemstic User", IF(#REF!&gt;10, "Interntional User", IF(AND(#REF!&lt;180, #REF!&lt;200,#REF!&lt;200), "Light User", "Balanced User")))</f>
        <v>#REF!</v>
      </c>
      <c r="AC2746" t="e">
        <f>IF(#REF! = 0, "No Usage", IF(#REF! &lt;= 20, "Low Usage", IF(#REF! &lt;= 40, "Medium Usgae", "High Usage")))</f>
        <v>#REF!</v>
      </c>
      <c r="AD2746" t="e">
        <f>IF(#REF!&lt;=150,"Low Usage", IF(#REF!&lt;=200,"Medium Usage", IF(#REF!&lt;=250,"High Usage","Very High Usage")))</f>
        <v>#REF!</v>
      </c>
      <c r="AE2746" t="e">
        <f>IF(#REF!&lt;=5,"Low Calls", IF(#REF!&lt;=10, "Medium Calls", "High Calls"))</f>
        <v>#REF!</v>
      </c>
      <c r="AF2746" t="e">
        <f xml:space="preserve">
IF(#REF!&gt;=4,4,0)+
IF(#REF!="yes",3,0)+
IF(#REF!="High Charges",3,0)+
IF(#REF!&gt;250,4,0)+
IF(#REF!="no",1,0)+
IF(#REF!="Heavy Domestic User",2,0)</f>
        <v>#REF!</v>
      </c>
      <c r="AG2746" t="e">
        <f>IF(#REF!&gt;=10,"High Risk", IF(#REF!&gt;=5,"Medium Risk","Low Risk"))</f>
        <v>#REF!</v>
      </c>
      <c r="AH2746" t="e">
        <f>#REF! + #REF! + #REF! + #REF!</f>
        <v>#REF!</v>
      </c>
    </row>
    <row r="2747" spans="1:34" x14ac:dyDescent="0.35">
      <c r="A2747">
        <v>2746</v>
      </c>
      <c r="B2747" t="s">
        <v>47</v>
      </c>
      <c r="C2747">
        <v>121</v>
      </c>
      <c r="D2747" t="s">
        <v>25</v>
      </c>
      <c r="E2747" t="s">
        <v>22</v>
      </c>
      <c r="F2747" t="s">
        <v>23</v>
      </c>
      <c r="G2747">
        <v>34</v>
      </c>
      <c r="H2747">
        <v>245</v>
      </c>
      <c r="I2747">
        <v>95</v>
      </c>
      <c r="J2747">
        <v>41.65</v>
      </c>
      <c r="K2747">
        <v>216.9</v>
      </c>
      <c r="L2747">
        <v>66</v>
      </c>
      <c r="M2747">
        <v>18.440000000000001</v>
      </c>
      <c r="N2747">
        <v>112.4</v>
      </c>
      <c r="O2747">
        <v>125</v>
      </c>
      <c r="P2747">
        <v>5.0599999999999996</v>
      </c>
      <c r="Q2747">
        <v>7.5</v>
      </c>
      <c r="R2747">
        <v>8</v>
      </c>
      <c r="S2747">
        <v>2.0299999999999998</v>
      </c>
      <c r="T2747">
        <v>0</v>
      </c>
      <c r="U2747" t="s">
        <v>22</v>
      </c>
      <c r="V2747" t="e">
        <f>IF(#REF! = "yes", 1, 0)</f>
        <v>#REF!</v>
      </c>
      <c r="W2747" t="e">
        <f>IF(#REF! &lt;= 1, "0-1 Calls", IF(#REF! &lt;= 3, "2-3 Calls", IF(#REF! &lt;=5, "4-5 Calls", "6+ Calls")))</f>
        <v>#REF!</v>
      </c>
      <c r="X2747" t="e">
        <f>IF(#REF! &lt;= 50, "0-50", IF(#REF! &lt;=100, "51-100", IF(#REF! &lt;= 150, "101-150", "151+")))</f>
        <v>#REF!</v>
      </c>
      <c r="Y2747" t="e">
        <f>IF(#REF! &lt;= 3, "Low Charges", "High Charges")</f>
        <v>#REF!</v>
      </c>
      <c r="Z2747" t="e">
        <f>IF(#REF!&lt;=80,"Low Calls",
IF(#REF!&lt;=120,"Medium Calls","High Calls"))</f>
        <v>#REF!</v>
      </c>
      <c r="AA2747" t="e">
        <f>IF(#REF!&lt;=15,"Low Charges",
IF(#REF!&lt;=20,"Medium Charges","High Charges"))</f>
        <v>#REF!</v>
      </c>
      <c r="AB2747" t="e">
        <f>IF(AND(#REF!&gt;180, #REF!&gt;200), "Heavy Doemstic User", IF(#REF!&gt;10, "Interntional User", IF(AND(#REF!&lt;180, #REF!&lt;200,#REF!&lt;200), "Light User", "Balanced User")))</f>
        <v>#REF!</v>
      </c>
      <c r="AC2747" t="e">
        <f>IF(#REF! = 0, "No Usage", IF(#REF! &lt;= 20, "Low Usage", IF(#REF! &lt;= 40, "Medium Usgae", "High Usage")))</f>
        <v>#REF!</v>
      </c>
      <c r="AD2747" t="e">
        <f>IF(#REF!&lt;=150,"Low Usage", IF(#REF!&lt;=200,"Medium Usage", IF(#REF!&lt;=250,"High Usage","Very High Usage")))</f>
        <v>#REF!</v>
      </c>
      <c r="AE2747" t="e">
        <f>IF(#REF!&lt;=5,"Low Calls", IF(#REF!&lt;=10, "Medium Calls", "High Calls"))</f>
        <v>#REF!</v>
      </c>
      <c r="AF2747" t="e">
        <f xml:space="preserve">
IF(#REF!&gt;=4,4,0)+
IF(#REF!="yes",3,0)+
IF(#REF!="High Charges",3,0)+
IF(#REF!&gt;250,4,0)+
IF(#REF!="no",1,0)+
IF(#REF!="Heavy Domestic User",2,0)</f>
        <v>#REF!</v>
      </c>
      <c r="AG2747" t="e">
        <f>IF(#REF!&gt;=10,"High Risk", IF(#REF!&gt;=5,"Medium Risk","Low Risk"))</f>
        <v>#REF!</v>
      </c>
      <c r="AH2747" t="e">
        <f>#REF! + #REF! + #REF! + #REF!</f>
        <v>#REF!</v>
      </c>
    </row>
    <row r="2748" spans="1:34" x14ac:dyDescent="0.35">
      <c r="A2748">
        <v>2747</v>
      </c>
      <c r="B2748" t="s">
        <v>53</v>
      </c>
      <c r="C2748">
        <v>142</v>
      </c>
      <c r="D2748" t="s">
        <v>21</v>
      </c>
      <c r="E2748" t="s">
        <v>23</v>
      </c>
      <c r="F2748" t="s">
        <v>22</v>
      </c>
      <c r="G2748">
        <v>0</v>
      </c>
      <c r="H2748">
        <v>140.80000000000001</v>
      </c>
      <c r="I2748">
        <v>140</v>
      </c>
      <c r="J2748">
        <v>23.94</v>
      </c>
      <c r="K2748">
        <v>228.6</v>
      </c>
      <c r="L2748">
        <v>119</v>
      </c>
      <c r="M2748">
        <v>19.43</v>
      </c>
      <c r="N2748">
        <v>152.9</v>
      </c>
      <c r="O2748">
        <v>88</v>
      </c>
      <c r="P2748">
        <v>6.88</v>
      </c>
      <c r="Q2748">
        <v>10.9</v>
      </c>
      <c r="R2748">
        <v>7</v>
      </c>
      <c r="S2748">
        <v>2.94</v>
      </c>
      <c r="T2748">
        <v>1</v>
      </c>
      <c r="U2748" t="s">
        <v>22</v>
      </c>
      <c r="V2748" t="e">
        <f>IF(#REF! = "yes", 1, 0)</f>
        <v>#REF!</v>
      </c>
      <c r="W2748" t="e">
        <f>IF(#REF! &lt;= 1, "0-1 Calls", IF(#REF! &lt;= 3, "2-3 Calls", IF(#REF! &lt;=5, "4-5 Calls", "6+ Calls")))</f>
        <v>#REF!</v>
      </c>
      <c r="X2748" t="e">
        <f>IF(#REF! &lt;= 50, "0-50", IF(#REF! &lt;=100, "51-100", IF(#REF! &lt;= 150, "101-150", "151+")))</f>
        <v>#REF!</v>
      </c>
      <c r="Y2748" t="e">
        <f>IF(#REF! &lt;= 3, "Low Charges", "High Charges")</f>
        <v>#REF!</v>
      </c>
      <c r="Z2748" t="e">
        <f>IF(#REF!&lt;=80,"Low Calls",
IF(#REF!&lt;=120,"Medium Calls","High Calls"))</f>
        <v>#REF!</v>
      </c>
      <c r="AA2748" t="e">
        <f>IF(#REF!&lt;=15,"Low Charges",
IF(#REF!&lt;=20,"Medium Charges","High Charges"))</f>
        <v>#REF!</v>
      </c>
      <c r="AB2748" t="e">
        <f>IF(AND(#REF!&gt;180, #REF!&gt;200), "Heavy Doemstic User", IF(#REF!&gt;10, "Interntional User", IF(AND(#REF!&lt;180, #REF!&lt;200,#REF!&lt;200), "Light User", "Balanced User")))</f>
        <v>#REF!</v>
      </c>
      <c r="AC2748" t="e">
        <f>IF(#REF! = 0, "No Usage", IF(#REF! &lt;= 20, "Low Usage", IF(#REF! &lt;= 40, "Medium Usgae", "High Usage")))</f>
        <v>#REF!</v>
      </c>
      <c r="AD2748" t="e">
        <f>IF(#REF!&lt;=150,"Low Usage", IF(#REF!&lt;=200,"Medium Usage", IF(#REF!&lt;=250,"High Usage","Very High Usage")))</f>
        <v>#REF!</v>
      </c>
      <c r="AE2748" t="e">
        <f>IF(#REF!&lt;=5,"Low Calls", IF(#REF!&lt;=10, "Medium Calls", "High Calls"))</f>
        <v>#REF!</v>
      </c>
      <c r="AF2748" t="e">
        <f xml:space="preserve">
IF(#REF!&gt;=4,4,0)+
IF(#REF!="yes",3,0)+
IF(#REF!="High Charges",3,0)+
IF(#REF!&gt;250,4,0)+
IF(#REF!="no",1,0)+
IF(#REF!="Heavy Domestic User",2,0)</f>
        <v>#REF!</v>
      </c>
      <c r="AG2748" t="e">
        <f>IF(#REF!&gt;=10,"High Risk", IF(#REF!&gt;=5,"Medium Risk","Low Risk"))</f>
        <v>#REF!</v>
      </c>
      <c r="AH2748" t="e">
        <f>#REF! + #REF! + #REF! + #REF!</f>
        <v>#REF!</v>
      </c>
    </row>
    <row r="2749" spans="1:34" x14ac:dyDescent="0.35">
      <c r="A2749">
        <v>2748</v>
      </c>
      <c r="B2749" t="s">
        <v>59</v>
      </c>
      <c r="C2749">
        <v>121</v>
      </c>
      <c r="D2749" t="s">
        <v>28</v>
      </c>
      <c r="E2749" t="s">
        <v>22</v>
      </c>
      <c r="F2749" t="s">
        <v>22</v>
      </c>
      <c r="G2749">
        <v>0</v>
      </c>
      <c r="H2749">
        <v>255.1</v>
      </c>
      <c r="I2749">
        <v>93</v>
      </c>
      <c r="J2749">
        <v>43.37</v>
      </c>
      <c r="K2749">
        <v>266.89999999999998</v>
      </c>
      <c r="L2749">
        <v>97</v>
      </c>
      <c r="M2749">
        <v>22.69</v>
      </c>
      <c r="N2749">
        <v>197.7</v>
      </c>
      <c r="O2749">
        <v>118</v>
      </c>
      <c r="P2749">
        <v>8.9</v>
      </c>
      <c r="Q2749">
        <v>8.8000000000000007</v>
      </c>
      <c r="R2749">
        <v>3</v>
      </c>
      <c r="S2749">
        <v>2.38</v>
      </c>
      <c r="T2749">
        <v>3</v>
      </c>
      <c r="U2749" t="s">
        <v>23</v>
      </c>
      <c r="V2749" t="e">
        <f>IF(#REF! = "yes", 1, 0)</f>
        <v>#REF!</v>
      </c>
      <c r="W2749" t="e">
        <f>IF(#REF! &lt;= 1, "0-1 Calls", IF(#REF! &lt;= 3, "2-3 Calls", IF(#REF! &lt;=5, "4-5 Calls", "6+ Calls")))</f>
        <v>#REF!</v>
      </c>
      <c r="X2749" t="e">
        <f>IF(#REF! &lt;= 50, "0-50", IF(#REF! &lt;=100, "51-100", IF(#REF! &lt;= 150, "101-150", "151+")))</f>
        <v>#REF!</v>
      </c>
      <c r="Y2749" t="e">
        <f>IF(#REF! &lt;= 3, "Low Charges", "High Charges")</f>
        <v>#REF!</v>
      </c>
      <c r="Z2749" t="e">
        <f>IF(#REF!&lt;=80,"Low Calls",
IF(#REF!&lt;=120,"Medium Calls","High Calls"))</f>
        <v>#REF!</v>
      </c>
      <c r="AA2749" t="e">
        <f>IF(#REF!&lt;=15,"Low Charges",
IF(#REF!&lt;=20,"Medium Charges","High Charges"))</f>
        <v>#REF!</v>
      </c>
      <c r="AB2749" t="e">
        <f>IF(AND(#REF!&gt;180, #REF!&gt;200), "Heavy Doemstic User", IF(#REF!&gt;10, "Interntional User", IF(AND(#REF!&lt;180, #REF!&lt;200,#REF!&lt;200), "Light User", "Balanced User")))</f>
        <v>#REF!</v>
      </c>
      <c r="AC2749" t="e">
        <f>IF(#REF! = 0, "No Usage", IF(#REF! &lt;= 20, "Low Usage", IF(#REF! &lt;= 40, "Medium Usgae", "High Usage")))</f>
        <v>#REF!</v>
      </c>
      <c r="AD2749" t="e">
        <f>IF(#REF!&lt;=150,"Low Usage", IF(#REF!&lt;=200,"Medium Usage", IF(#REF!&lt;=250,"High Usage","Very High Usage")))</f>
        <v>#REF!</v>
      </c>
      <c r="AE2749" t="e">
        <f>IF(#REF!&lt;=5,"Low Calls", IF(#REF!&lt;=10, "Medium Calls", "High Calls"))</f>
        <v>#REF!</v>
      </c>
      <c r="AF2749" t="e">
        <f xml:space="preserve">
IF(#REF!&gt;=4,4,0)+
IF(#REF!="yes",3,0)+
IF(#REF!="High Charges",3,0)+
IF(#REF!&gt;250,4,0)+
IF(#REF!="no",1,0)+
IF(#REF!="Heavy Domestic User",2,0)</f>
        <v>#REF!</v>
      </c>
      <c r="AG2749" t="e">
        <f>IF(#REF!&gt;=10,"High Risk", IF(#REF!&gt;=5,"Medium Risk","Low Risk"))</f>
        <v>#REF!</v>
      </c>
      <c r="AH2749" t="e">
        <f>#REF! + #REF! + #REF! + #REF!</f>
        <v>#REF!</v>
      </c>
    </row>
    <row r="2750" spans="1:34" x14ac:dyDescent="0.35">
      <c r="A2750">
        <v>2749</v>
      </c>
      <c r="B2750" t="s">
        <v>57</v>
      </c>
      <c r="C2750">
        <v>87</v>
      </c>
      <c r="D2750" t="s">
        <v>21</v>
      </c>
      <c r="E2750" t="s">
        <v>22</v>
      </c>
      <c r="F2750" t="s">
        <v>23</v>
      </c>
      <c r="G2750">
        <v>33</v>
      </c>
      <c r="H2750">
        <v>125</v>
      </c>
      <c r="I2750">
        <v>99</v>
      </c>
      <c r="J2750">
        <v>21.25</v>
      </c>
      <c r="K2750">
        <v>235.3</v>
      </c>
      <c r="L2750">
        <v>81</v>
      </c>
      <c r="M2750">
        <v>20</v>
      </c>
      <c r="N2750">
        <v>215.3</v>
      </c>
      <c r="O2750">
        <v>95</v>
      </c>
      <c r="P2750">
        <v>9.69</v>
      </c>
      <c r="Q2750">
        <v>10.199999999999999</v>
      </c>
      <c r="R2750">
        <v>7</v>
      </c>
      <c r="S2750">
        <v>2.75</v>
      </c>
      <c r="T2750">
        <v>2</v>
      </c>
      <c r="U2750" t="s">
        <v>22</v>
      </c>
      <c r="V2750" t="e">
        <f>IF(#REF! = "yes", 1, 0)</f>
        <v>#REF!</v>
      </c>
      <c r="W2750" t="e">
        <f>IF(#REF! &lt;= 1, "0-1 Calls", IF(#REF! &lt;= 3, "2-3 Calls", IF(#REF! &lt;=5, "4-5 Calls", "6+ Calls")))</f>
        <v>#REF!</v>
      </c>
      <c r="X2750" t="e">
        <f>IF(#REF! &lt;= 50, "0-50", IF(#REF! &lt;=100, "51-100", IF(#REF! &lt;= 150, "101-150", "151+")))</f>
        <v>#REF!</v>
      </c>
      <c r="Y2750" t="e">
        <f>IF(#REF! &lt;= 3, "Low Charges", "High Charges")</f>
        <v>#REF!</v>
      </c>
      <c r="Z2750" t="e">
        <f>IF(#REF!&lt;=80,"Low Calls",
IF(#REF!&lt;=120,"Medium Calls","High Calls"))</f>
        <v>#REF!</v>
      </c>
      <c r="AA2750" t="e">
        <f>IF(#REF!&lt;=15,"Low Charges",
IF(#REF!&lt;=20,"Medium Charges","High Charges"))</f>
        <v>#REF!</v>
      </c>
      <c r="AB2750" t="e">
        <f>IF(AND(#REF!&gt;180, #REF!&gt;200), "Heavy Doemstic User", IF(#REF!&gt;10, "Interntional User", IF(AND(#REF!&lt;180, #REF!&lt;200,#REF!&lt;200), "Light User", "Balanced User")))</f>
        <v>#REF!</v>
      </c>
      <c r="AC2750" t="e">
        <f>IF(#REF! = 0, "No Usage", IF(#REF! &lt;= 20, "Low Usage", IF(#REF! &lt;= 40, "Medium Usgae", "High Usage")))</f>
        <v>#REF!</v>
      </c>
      <c r="AD2750" t="e">
        <f>IF(#REF!&lt;=150,"Low Usage", IF(#REF!&lt;=200,"Medium Usage", IF(#REF!&lt;=250,"High Usage","Very High Usage")))</f>
        <v>#REF!</v>
      </c>
      <c r="AE2750" t="e">
        <f>IF(#REF!&lt;=5,"Low Calls", IF(#REF!&lt;=10, "Medium Calls", "High Calls"))</f>
        <v>#REF!</v>
      </c>
      <c r="AF2750" t="e">
        <f xml:space="preserve">
IF(#REF!&gt;=4,4,0)+
IF(#REF!="yes",3,0)+
IF(#REF!="High Charges",3,0)+
IF(#REF!&gt;250,4,0)+
IF(#REF!="no",1,0)+
IF(#REF!="Heavy Domestic User",2,0)</f>
        <v>#REF!</v>
      </c>
      <c r="AG2750" t="e">
        <f>IF(#REF!&gt;=10,"High Risk", IF(#REF!&gt;=5,"Medium Risk","Low Risk"))</f>
        <v>#REF!</v>
      </c>
      <c r="AH2750" t="e">
        <f>#REF! + #REF! + #REF! + #REF!</f>
        <v>#REF!</v>
      </c>
    </row>
    <row r="2751" spans="1:34" x14ac:dyDescent="0.35">
      <c r="A2751">
        <v>2750</v>
      </c>
      <c r="B2751" t="s">
        <v>57</v>
      </c>
      <c r="C2751">
        <v>34</v>
      </c>
      <c r="D2751" t="s">
        <v>25</v>
      </c>
      <c r="E2751" t="s">
        <v>22</v>
      </c>
      <c r="F2751" t="s">
        <v>22</v>
      </c>
      <c r="G2751">
        <v>0</v>
      </c>
      <c r="H2751">
        <v>180.6</v>
      </c>
      <c r="I2751">
        <v>65</v>
      </c>
      <c r="J2751">
        <v>30.7</v>
      </c>
      <c r="K2751">
        <v>280.39999999999998</v>
      </c>
      <c r="L2751">
        <v>99</v>
      </c>
      <c r="M2751">
        <v>23.83</v>
      </c>
      <c r="N2751">
        <v>292.39999999999998</v>
      </c>
      <c r="O2751">
        <v>105</v>
      </c>
      <c r="P2751">
        <v>13.16</v>
      </c>
      <c r="Q2751">
        <v>5</v>
      </c>
      <c r="R2751">
        <v>3</v>
      </c>
      <c r="S2751">
        <v>1.35</v>
      </c>
      <c r="T2751">
        <v>1</v>
      </c>
      <c r="U2751" t="s">
        <v>22</v>
      </c>
      <c r="V2751" t="e">
        <f>IF(#REF! = "yes", 1, 0)</f>
        <v>#REF!</v>
      </c>
      <c r="W2751" t="e">
        <f>IF(#REF! &lt;= 1, "0-1 Calls", IF(#REF! &lt;= 3, "2-3 Calls", IF(#REF! &lt;=5, "4-5 Calls", "6+ Calls")))</f>
        <v>#REF!</v>
      </c>
      <c r="X2751" t="e">
        <f>IF(#REF! &lt;= 50, "0-50", IF(#REF! &lt;=100, "51-100", IF(#REF! &lt;= 150, "101-150", "151+")))</f>
        <v>#REF!</v>
      </c>
      <c r="Y2751" t="e">
        <f>IF(#REF! &lt;= 3, "Low Charges", "High Charges")</f>
        <v>#REF!</v>
      </c>
      <c r="Z2751" t="e">
        <f>IF(#REF!&lt;=80,"Low Calls",
IF(#REF!&lt;=120,"Medium Calls","High Calls"))</f>
        <v>#REF!</v>
      </c>
      <c r="AA2751" t="e">
        <f>IF(#REF!&lt;=15,"Low Charges",
IF(#REF!&lt;=20,"Medium Charges","High Charges"))</f>
        <v>#REF!</v>
      </c>
      <c r="AB2751" t="e">
        <f>IF(AND(#REF!&gt;180, #REF!&gt;200), "Heavy Doemstic User", IF(#REF!&gt;10, "Interntional User", IF(AND(#REF!&lt;180, #REF!&lt;200,#REF!&lt;200), "Light User", "Balanced User")))</f>
        <v>#REF!</v>
      </c>
      <c r="AC2751" t="e">
        <f>IF(#REF! = 0, "No Usage", IF(#REF! &lt;= 20, "Low Usage", IF(#REF! &lt;= 40, "Medium Usgae", "High Usage")))</f>
        <v>#REF!</v>
      </c>
      <c r="AD2751" t="e">
        <f>IF(#REF!&lt;=150,"Low Usage", IF(#REF!&lt;=200,"Medium Usage", IF(#REF!&lt;=250,"High Usage","Very High Usage")))</f>
        <v>#REF!</v>
      </c>
      <c r="AE2751" t="e">
        <f>IF(#REF!&lt;=5,"Low Calls", IF(#REF!&lt;=10, "Medium Calls", "High Calls"))</f>
        <v>#REF!</v>
      </c>
      <c r="AF2751" t="e">
        <f xml:space="preserve">
IF(#REF!&gt;=4,4,0)+
IF(#REF!="yes",3,0)+
IF(#REF!="High Charges",3,0)+
IF(#REF!&gt;250,4,0)+
IF(#REF!="no",1,0)+
IF(#REF!="Heavy Domestic User",2,0)</f>
        <v>#REF!</v>
      </c>
      <c r="AG2751" t="e">
        <f>IF(#REF!&gt;=10,"High Risk", IF(#REF!&gt;=5,"Medium Risk","Low Risk"))</f>
        <v>#REF!</v>
      </c>
      <c r="AH2751" t="e">
        <f>#REF! + #REF! + #REF! + #REF!</f>
        <v>#REF!</v>
      </c>
    </row>
    <row r="2752" spans="1:34" x14ac:dyDescent="0.35">
      <c r="A2752">
        <v>2751</v>
      </c>
      <c r="B2752" t="s">
        <v>47</v>
      </c>
      <c r="C2752">
        <v>177</v>
      </c>
      <c r="D2752" t="s">
        <v>21</v>
      </c>
      <c r="E2752" t="s">
        <v>23</v>
      </c>
      <c r="F2752" t="s">
        <v>22</v>
      </c>
      <c r="G2752">
        <v>0</v>
      </c>
      <c r="H2752">
        <v>248.7</v>
      </c>
      <c r="I2752">
        <v>118</v>
      </c>
      <c r="J2752">
        <v>42.28</v>
      </c>
      <c r="K2752">
        <v>172.3</v>
      </c>
      <c r="L2752">
        <v>73</v>
      </c>
      <c r="M2752">
        <v>14.65</v>
      </c>
      <c r="N2752">
        <v>191.9</v>
      </c>
      <c r="O2752">
        <v>87</v>
      </c>
      <c r="P2752">
        <v>8.64</v>
      </c>
      <c r="Q2752">
        <v>11.3</v>
      </c>
      <c r="R2752">
        <v>2</v>
      </c>
      <c r="S2752">
        <v>3.05</v>
      </c>
      <c r="T2752">
        <v>1</v>
      </c>
      <c r="U2752" t="s">
        <v>23</v>
      </c>
      <c r="V2752" t="e">
        <f>IF(#REF! = "yes", 1, 0)</f>
        <v>#REF!</v>
      </c>
      <c r="W2752" t="e">
        <f>IF(#REF! &lt;= 1, "0-1 Calls", IF(#REF! &lt;= 3, "2-3 Calls", IF(#REF! &lt;=5, "4-5 Calls", "6+ Calls")))</f>
        <v>#REF!</v>
      </c>
      <c r="X2752" t="e">
        <f>IF(#REF! &lt;= 50, "0-50", IF(#REF! &lt;=100, "51-100", IF(#REF! &lt;= 150, "101-150", "151+")))</f>
        <v>#REF!</v>
      </c>
      <c r="Y2752" t="e">
        <f>IF(#REF! &lt;= 3, "Low Charges", "High Charges")</f>
        <v>#REF!</v>
      </c>
      <c r="Z2752" t="e">
        <f>IF(#REF!&lt;=80,"Low Calls",
IF(#REF!&lt;=120,"Medium Calls","High Calls"))</f>
        <v>#REF!</v>
      </c>
      <c r="AA2752" t="e">
        <f>IF(#REF!&lt;=15,"Low Charges",
IF(#REF!&lt;=20,"Medium Charges","High Charges"))</f>
        <v>#REF!</v>
      </c>
      <c r="AB2752" t="e">
        <f>IF(AND(#REF!&gt;180, #REF!&gt;200), "Heavy Doemstic User", IF(#REF!&gt;10, "Interntional User", IF(AND(#REF!&lt;180, #REF!&lt;200,#REF!&lt;200), "Light User", "Balanced User")))</f>
        <v>#REF!</v>
      </c>
      <c r="AC2752" t="e">
        <f>IF(#REF! = 0, "No Usage", IF(#REF! &lt;= 20, "Low Usage", IF(#REF! &lt;= 40, "Medium Usgae", "High Usage")))</f>
        <v>#REF!</v>
      </c>
      <c r="AD2752" t="e">
        <f>IF(#REF!&lt;=150,"Low Usage", IF(#REF!&lt;=200,"Medium Usage", IF(#REF!&lt;=250,"High Usage","Very High Usage")))</f>
        <v>#REF!</v>
      </c>
      <c r="AE2752" t="e">
        <f>IF(#REF!&lt;=5,"Low Calls", IF(#REF!&lt;=10, "Medium Calls", "High Calls"))</f>
        <v>#REF!</v>
      </c>
      <c r="AF2752" t="e">
        <f xml:space="preserve">
IF(#REF!&gt;=4,4,0)+
IF(#REF!="yes",3,0)+
IF(#REF!="High Charges",3,0)+
IF(#REF!&gt;250,4,0)+
IF(#REF!="no",1,0)+
IF(#REF!="Heavy Domestic User",2,0)</f>
        <v>#REF!</v>
      </c>
      <c r="AG2752" t="e">
        <f>IF(#REF!&gt;=10,"High Risk", IF(#REF!&gt;=5,"Medium Risk","Low Risk"))</f>
        <v>#REF!</v>
      </c>
      <c r="AH2752" t="e">
        <f>#REF! + #REF! + #REF! + #REF!</f>
        <v>#REF!</v>
      </c>
    </row>
    <row r="2753" spans="1:34" x14ac:dyDescent="0.35">
      <c r="A2753">
        <v>2752</v>
      </c>
      <c r="B2753" t="s">
        <v>27</v>
      </c>
      <c r="C2753">
        <v>58</v>
      </c>
      <c r="D2753" t="s">
        <v>21</v>
      </c>
      <c r="E2753" t="s">
        <v>22</v>
      </c>
      <c r="F2753" t="s">
        <v>23</v>
      </c>
      <c r="G2753">
        <v>30</v>
      </c>
      <c r="H2753">
        <v>178.1</v>
      </c>
      <c r="I2753">
        <v>111</v>
      </c>
      <c r="J2753">
        <v>30.28</v>
      </c>
      <c r="K2753">
        <v>236.7</v>
      </c>
      <c r="L2753">
        <v>109</v>
      </c>
      <c r="M2753">
        <v>20.12</v>
      </c>
      <c r="N2753">
        <v>264</v>
      </c>
      <c r="O2753">
        <v>118</v>
      </c>
      <c r="P2753">
        <v>11.88</v>
      </c>
      <c r="Q2753">
        <v>8.4</v>
      </c>
      <c r="R2753">
        <v>2</v>
      </c>
      <c r="S2753">
        <v>2.27</v>
      </c>
      <c r="T2753">
        <v>0</v>
      </c>
      <c r="U2753" t="s">
        <v>22</v>
      </c>
      <c r="V2753" t="e">
        <f>IF(#REF! = "yes", 1, 0)</f>
        <v>#REF!</v>
      </c>
      <c r="W2753" t="e">
        <f>IF(#REF! &lt;= 1, "0-1 Calls", IF(#REF! &lt;= 3, "2-3 Calls", IF(#REF! &lt;=5, "4-5 Calls", "6+ Calls")))</f>
        <v>#REF!</v>
      </c>
      <c r="X2753" t="e">
        <f>IF(#REF! &lt;= 50, "0-50", IF(#REF! &lt;=100, "51-100", IF(#REF! &lt;= 150, "101-150", "151+")))</f>
        <v>#REF!</v>
      </c>
      <c r="Y2753" t="e">
        <f>IF(#REF! &lt;= 3, "Low Charges", "High Charges")</f>
        <v>#REF!</v>
      </c>
      <c r="Z2753" t="e">
        <f>IF(#REF!&lt;=80,"Low Calls",
IF(#REF!&lt;=120,"Medium Calls","High Calls"))</f>
        <v>#REF!</v>
      </c>
      <c r="AA2753" t="e">
        <f>IF(#REF!&lt;=15,"Low Charges",
IF(#REF!&lt;=20,"Medium Charges","High Charges"))</f>
        <v>#REF!</v>
      </c>
      <c r="AB2753" t="e">
        <f>IF(AND(#REF!&gt;180, #REF!&gt;200), "Heavy Doemstic User", IF(#REF!&gt;10, "Interntional User", IF(AND(#REF!&lt;180, #REF!&lt;200,#REF!&lt;200), "Light User", "Balanced User")))</f>
        <v>#REF!</v>
      </c>
      <c r="AC2753" t="e">
        <f>IF(#REF! = 0, "No Usage", IF(#REF! &lt;= 20, "Low Usage", IF(#REF! &lt;= 40, "Medium Usgae", "High Usage")))</f>
        <v>#REF!</v>
      </c>
      <c r="AD2753" t="e">
        <f>IF(#REF!&lt;=150,"Low Usage", IF(#REF!&lt;=200,"Medium Usage", IF(#REF!&lt;=250,"High Usage","Very High Usage")))</f>
        <v>#REF!</v>
      </c>
      <c r="AE2753" t="e">
        <f>IF(#REF!&lt;=5,"Low Calls", IF(#REF!&lt;=10, "Medium Calls", "High Calls"))</f>
        <v>#REF!</v>
      </c>
      <c r="AF2753" t="e">
        <f xml:space="preserve">
IF(#REF!&gt;=4,4,0)+
IF(#REF!="yes",3,0)+
IF(#REF!="High Charges",3,0)+
IF(#REF!&gt;250,4,0)+
IF(#REF!="no",1,0)+
IF(#REF!="Heavy Domestic User",2,0)</f>
        <v>#REF!</v>
      </c>
      <c r="AG2753" t="e">
        <f>IF(#REF!&gt;=10,"High Risk", IF(#REF!&gt;=5,"Medium Risk","Low Risk"))</f>
        <v>#REF!</v>
      </c>
      <c r="AH2753" t="e">
        <f>#REF! + #REF! + #REF! + #REF!</f>
        <v>#REF!</v>
      </c>
    </row>
    <row r="2754" spans="1:34" x14ac:dyDescent="0.35">
      <c r="A2754">
        <v>2753</v>
      </c>
      <c r="B2754" t="s">
        <v>50</v>
      </c>
      <c r="C2754">
        <v>113</v>
      </c>
      <c r="D2754" t="s">
        <v>21</v>
      </c>
      <c r="E2754" t="s">
        <v>23</v>
      </c>
      <c r="F2754" t="s">
        <v>22</v>
      </c>
      <c r="G2754">
        <v>0</v>
      </c>
      <c r="H2754">
        <v>122.2</v>
      </c>
      <c r="I2754">
        <v>112</v>
      </c>
      <c r="J2754">
        <v>20.77</v>
      </c>
      <c r="K2754">
        <v>131.69999999999999</v>
      </c>
      <c r="L2754">
        <v>94</v>
      </c>
      <c r="M2754">
        <v>11.19</v>
      </c>
      <c r="N2754">
        <v>169.5</v>
      </c>
      <c r="O2754">
        <v>106</v>
      </c>
      <c r="P2754">
        <v>7.63</v>
      </c>
      <c r="Q2754">
        <v>10.3</v>
      </c>
      <c r="R2754">
        <v>9</v>
      </c>
      <c r="S2754">
        <v>2.78</v>
      </c>
      <c r="T2754">
        <v>5</v>
      </c>
      <c r="U2754" t="s">
        <v>23</v>
      </c>
      <c r="V2754" t="e">
        <f>IF(#REF! = "yes", 1, 0)</f>
        <v>#REF!</v>
      </c>
      <c r="W2754" t="e">
        <f>IF(#REF! &lt;= 1, "0-1 Calls", IF(#REF! &lt;= 3, "2-3 Calls", IF(#REF! &lt;=5, "4-5 Calls", "6+ Calls")))</f>
        <v>#REF!</v>
      </c>
      <c r="X2754" t="e">
        <f>IF(#REF! &lt;= 50, "0-50", IF(#REF! &lt;=100, "51-100", IF(#REF! &lt;= 150, "101-150", "151+")))</f>
        <v>#REF!</v>
      </c>
      <c r="Y2754" t="e">
        <f>IF(#REF! &lt;= 3, "Low Charges", "High Charges")</f>
        <v>#REF!</v>
      </c>
      <c r="Z2754" t="e">
        <f>IF(#REF!&lt;=80,"Low Calls",
IF(#REF!&lt;=120,"Medium Calls","High Calls"))</f>
        <v>#REF!</v>
      </c>
      <c r="AA2754" t="e">
        <f>IF(#REF!&lt;=15,"Low Charges",
IF(#REF!&lt;=20,"Medium Charges","High Charges"))</f>
        <v>#REF!</v>
      </c>
      <c r="AB2754" t="e">
        <f>IF(AND(#REF!&gt;180, #REF!&gt;200), "Heavy Doemstic User", IF(#REF!&gt;10, "Interntional User", IF(AND(#REF!&lt;180, #REF!&lt;200,#REF!&lt;200), "Light User", "Balanced User")))</f>
        <v>#REF!</v>
      </c>
      <c r="AC2754" t="e">
        <f>IF(#REF! = 0, "No Usage", IF(#REF! &lt;= 20, "Low Usage", IF(#REF! &lt;= 40, "Medium Usgae", "High Usage")))</f>
        <v>#REF!</v>
      </c>
      <c r="AD2754" t="e">
        <f>IF(#REF!&lt;=150,"Low Usage", IF(#REF!&lt;=200,"Medium Usage", IF(#REF!&lt;=250,"High Usage","Very High Usage")))</f>
        <v>#REF!</v>
      </c>
      <c r="AE2754" t="e">
        <f>IF(#REF!&lt;=5,"Low Calls", IF(#REF!&lt;=10, "Medium Calls", "High Calls"))</f>
        <v>#REF!</v>
      </c>
      <c r="AF2754" t="e">
        <f xml:space="preserve">
IF(#REF!&gt;=4,4,0)+
IF(#REF!="yes",3,0)+
IF(#REF!="High Charges",3,0)+
IF(#REF!&gt;250,4,0)+
IF(#REF!="no",1,0)+
IF(#REF!="Heavy Domestic User",2,0)</f>
        <v>#REF!</v>
      </c>
      <c r="AG2754" t="e">
        <f>IF(#REF!&gt;=10,"High Risk", IF(#REF!&gt;=5,"Medium Risk","Low Risk"))</f>
        <v>#REF!</v>
      </c>
      <c r="AH2754" t="e">
        <f>#REF! + #REF! + #REF! + #REF!</f>
        <v>#REF!</v>
      </c>
    </row>
    <row r="2755" spans="1:34" x14ac:dyDescent="0.35">
      <c r="A2755">
        <v>2754</v>
      </c>
      <c r="B2755" t="s">
        <v>70</v>
      </c>
      <c r="C2755">
        <v>101</v>
      </c>
      <c r="D2755" t="s">
        <v>21</v>
      </c>
      <c r="E2755" t="s">
        <v>22</v>
      </c>
      <c r="F2755" t="s">
        <v>22</v>
      </c>
      <c r="G2755">
        <v>0</v>
      </c>
      <c r="H2755">
        <v>231.3</v>
      </c>
      <c r="I2755">
        <v>87</v>
      </c>
      <c r="J2755">
        <v>39.32</v>
      </c>
      <c r="K2755">
        <v>224.7</v>
      </c>
      <c r="L2755">
        <v>88</v>
      </c>
      <c r="M2755">
        <v>19.100000000000001</v>
      </c>
      <c r="N2755">
        <v>214.6</v>
      </c>
      <c r="O2755">
        <v>69</v>
      </c>
      <c r="P2755">
        <v>9.66</v>
      </c>
      <c r="Q2755">
        <v>7.2</v>
      </c>
      <c r="R2755">
        <v>7</v>
      </c>
      <c r="S2755">
        <v>1.94</v>
      </c>
      <c r="T2755">
        <v>1</v>
      </c>
      <c r="U2755" t="s">
        <v>22</v>
      </c>
      <c r="V2755" t="e">
        <f>IF(#REF! = "yes", 1, 0)</f>
        <v>#REF!</v>
      </c>
      <c r="W2755" t="e">
        <f>IF(#REF! &lt;= 1, "0-1 Calls", IF(#REF! &lt;= 3, "2-3 Calls", IF(#REF! &lt;=5, "4-5 Calls", "6+ Calls")))</f>
        <v>#REF!</v>
      </c>
      <c r="X2755" t="e">
        <f>IF(#REF! &lt;= 50, "0-50", IF(#REF! &lt;=100, "51-100", IF(#REF! &lt;= 150, "101-150", "151+")))</f>
        <v>#REF!</v>
      </c>
      <c r="Y2755" t="e">
        <f>IF(#REF! &lt;= 3, "Low Charges", "High Charges")</f>
        <v>#REF!</v>
      </c>
      <c r="Z2755" t="e">
        <f>IF(#REF!&lt;=80,"Low Calls",
IF(#REF!&lt;=120,"Medium Calls","High Calls"))</f>
        <v>#REF!</v>
      </c>
      <c r="AA2755" t="e">
        <f>IF(#REF!&lt;=15,"Low Charges",
IF(#REF!&lt;=20,"Medium Charges","High Charges"))</f>
        <v>#REF!</v>
      </c>
      <c r="AB2755" t="e">
        <f>IF(AND(#REF!&gt;180, #REF!&gt;200), "Heavy Doemstic User", IF(#REF!&gt;10, "Interntional User", IF(AND(#REF!&lt;180, #REF!&lt;200,#REF!&lt;200), "Light User", "Balanced User")))</f>
        <v>#REF!</v>
      </c>
      <c r="AC2755" t="e">
        <f>IF(#REF! = 0, "No Usage", IF(#REF! &lt;= 20, "Low Usage", IF(#REF! &lt;= 40, "Medium Usgae", "High Usage")))</f>
        <v>#REF!</v>
      </c>
      <c r="AD2755" t="e">
        <f>IF(#REF!&lt;=150,"Low Usage", IF(#REF!&lt;=200,"Medium Usage", IF(#REF!&lt;=250,"High Usage","Very High Usage")))</f>
        <v>#REF!</v>
      </c>
      <c r="AE2755" t="e">
        <f>IF(#REF!&lt;=5,"Low Calls", IF(#REF!&lt;=10, "Medium Calls", "High Calls"))</f>
        <v>#REF!</v>
      </c>
      <c r="AF2755" t="e">
        <f xml:space="preserve">
IF(#REF!&gt;=4,4,0)+
IF(#REF!="yes",3,0)+
IF(#REF!="High Charges",3,0)+
IF(#REF!&gt;250,4,0)+
IF(#REF!="no",1,0)+
IF(#REF!="Heavy Domestic User",2,0)</f>
        <v>#REF!</v>
      </c>
      <c r="AG2755" t="e">
        <f>IF(#REF!&gt;=10,"High Risk", IF(#REF!&gt;=5,"Medium Risk","Low Risk"))</f>
        <v>#REF!</v>
      </c>
      <c r="AH2755" t="e">
        <f>#REF! + #REF! + #REF! + #REF!</f>
        <v>#REF!</v>
      </c>
    </row>
    <row r="2756" spans="1:34" x14ac:dyDescent="0.35">
      <c r="A2756">
        <v>2755</v>
      </c>
      <c r="B2756" t="s">
        <v>52</v>
      </c>
      <c r="C2756">
        <v>89</v>
      </c>
      <c r="D2756" t="s">
        <v>21</v>
      </c>
      <c r="E2756" t="s">
        <v>22</v>
      </c>
      <c r="F2756" t="s">
        <v>22</v>
      </c>
      <c r="G2756">
        <v>0</v>
      </c>
      <c r="H2756">
        <v>111.2</v>
      </c>
      <c r="I2756">
        <v>101</v>
      </c>
      <c r="J2756">
        <v>18.899999999999999</v>
      </c>
      <c r="K2756">
        <v>122.1</v>
      </c>
      <c r="L2756">
        <v>94</v>
      </c>
      <c r="M2756">
        <v>10.38</v>
      </c>
      <c r="N2756">
        <v>180.8</v>
      </c>
      <c r="O2756">
        <v>85</v>
      </c>
      <c r="P2756">
        <v>8.14</v>
      </c>
      <c r="Q2756">
        <v>12.6</v>
      </c>
      <c r="R2756">
        <v>2</v>
      </c>
      <c r="S2756">
        <v>3.4</v>
      </c>
      <c r="T2756">
        <v>3</v>
      </c>
      <c r="U2756" t="s">
        <v>22</v>
      </c>
      <c r="V2756" t="e">
        <f>IF(#REF! = "yes", 1, 0)</f>
        <v>#REF!</v>
      </c>
      <c r="W2756" t="e">
        <f>IF(#REF! &lt;= 1, "0-1 Calls", IF(#REF! &lt;= 3, "2-3 Calls", IF(#REF! &lt;=5, "4-5 Calls", "6+ Calls")))</f>
        <v>#REF!</v>
      </c>
      <c r="X2756" t="e">
        <f>IF(#REF! &lt;= 50, "0-50", IF(#REF! &lt;=100, "51-100", IF(#REF! &lt;= 150, "101-150", "151+")))</f>
        <v>#REF!</v>
      </c>
      <c r="Y2756" t="e">
        <f>IF(#REF! &lt;= 3, "Low Charges", "High Charges")</f>
        <v>#REF!</v>
      </c>
      <c r="Z2756" t="e">
        <f>IF(#REF!&lt;=80,"Low Calls",
IF(#REF!&lt;=120,"Medium Calls","High Calls"))</f>
        <v>#REF!</v>
      </c>
      <c r="AA2756" t="e">
        <f>IF(#REF!&lt;=15,"Low Charges",
IF(#REF!&lt;=20,"Medium Charges","High Charges"))</f>
        <v>#REF!</v>
      </c>
      <c r="AB2756" t="e">
        <f>IF(AND(#REF!&gt;180, #REF!&gt;200), "Heavy Doemstic User", IF(#REF!&gt;10, "Interntional User", IF(AND(#REF!&lt;180, #REF!&lt;200,#REF!&lt;200), "Light User", "Balanced User")))</f>
        <v>#REF!</v>
      </c>
      <c r="AC2756" t="e">
        <f>IF(#REF! = 0, "No Usage", IF(#REF! &lt;= 20, "Low Usage", IF(#REF! &lt;= 40, "Medium Usgae", "High Usage")))</f>
        <v>#REF!</v>
      </c>
      <c r="AD2756" t="e">
        <f>IF(#REF!&lt;=150,"Low Usage", IF(#REF!&lt;=200,"Medium Usage", IF(#REF!&lt;=250,"High Usage","Very High Usage")))</f>
        <v>#REF!</v>
      </c>
      <c r="AE2756" t="e">
        <f>IF(#REF!&lt;=5,"Low Calls", IF(#REF!&lt;=10, "Medium Calls", "High Calls"))</f>
        <v>#REF!</v>
      </c>
      <c r="AF2756" t="e">
        <f xml:space="preserve">
IF(#REF!&gt;=4,4,0)+
IF(#REF!="yes",3,0)+
IF(#REF!="High Charges",3,0)+
IF(#REF!&gt;250,4,0)+
IF(#REF!="no",1,0)+
IF(#REF!="Heavy Domestic User",2,0)</f>
        <v>#REF!</v>
      </c>
      <c r="AG2756" t="e">
        <f>IF(#REF!&gt;=10,"High Risk", IF(#REF!&gt;=5,"Medium Risk","Low Risk"))</f>
        <v>#REF!</v>
      </c>
      <c r="AH2756" t="e">
        <f>#REF! + #REF! + #REF! + #REF!</f>
        <v>#REF!</v>
      </c>
    </row>
    <row r="2757" spans="1:34" x14ac:dyDescent="0.35">
      <c r="A2757">
        <v>2756</v>
      </c>
      <c r="B2757" t="s">
        <v>58</v>
      </c>
      <c r="C2757">
        <v>77</v>
      </c>
      <c r="D2757" t="s">
        <v>25</v>
      </c>
      <c r="E2757" t="s">
        <v>23</v>
      </c>
      <c r="F2757" t="s">
        <v>23</v>
      </c>
      <c r="G2757">
        <v>44</v>
      </c>
      <c r="H2757">
        <v>103.2</v>
      </c>
      <c r="I2757">
        <v>117</v>
      </c>
      <c r="J2757">
        <v>17.54</v>
      </c>
      <c r="K2757">
        <v>236.3</v>
      </c>
      <c r="L2757">
        <v>86</v>
      </c>
      <c r="M2757">
        <v>20.09</v>
      </c>
      <c r="N2757">
        <v>203.5</v>
      </c>
      <c r="O2757">
        <v>101</v>
      </c>
      <c r="P2757">
        <v>9.16</v>
      </c>
      <c r="Q2757">
        <v>11.9</v>
      </c>
      <c r="R2757">
        <v>2</v>
      </c>
      <c r="S2757">
        <v>3.21</v>
      </c>
      <c r="T2757">
        <v>0</v>
      </c>
      <c r="U2757" t="s">
        <v>23</v>
      </c>
      <c r="V2757" t="e">
        <f>IF(#REF! = "yes", 1, 0)</f>
        <v>#REF!</v>
      </c>
      <c r="W2757" t="e">
        <f>IF(#REF! &lt;= 1, "0-1 Calls", IF(#REF! &lt;= 3, "2-3 Calls", IF(#REF! &lt;=5, "4-5 Calls", "6+ Calls")))</f>
        <v>#REF!</v>
      </c>
      <c r="X2757" t="e">
        <f>IF(#REF! &lt;= 50, "0-50", IF(#REF! &lt;=100, "51-100", IF(#REF! &lt;= 150, "101-150", "151+")))</f>
        <v>#REF!</v>
      </c>
      <c r="Y2757" t="e">
        <f>IF(#REF! &lt;= 3, "Low Charges", "High Charges")</f>
        <v>#REF!</v>
      </c>
      <c r="Z2757" t="e">
        <f>IF(#REF!&lt;=80,"Low Calls",
IF(#REF!&lt;=120,"Medium Calls","High Calls"))</f>
        <v>#REF!</v>
      </c>
      <c r="AA2757" t="e">
        <f>IF(#REF!&lt;=15,"Low Charges",
IF(#REF!&lt;=20,"Medium Charges","High Charges"))</f>
        <v>#REF!</v>
      </c>
      <c r="AB2757" t="e">
        <f>IF(AND(#REF!&gt;180, #REF!&gt;200), "Heavy Doemstic User", IF(#REF!&gt;10, "Interntional User", IF(AND(#REF!&lt;180, #REF!&lt;200,#REF!&lt;200), "Light User", "Balanced User")))</f>
        <v>#REF!</v>
      </c>
      <c r="AC2757" t="e">
        <f>IF(#REF! = 0, "No Usage", IF(#REF! &lt;= 20, "Low Usage", IF(#REF! &lt;= 40, "Medium Usgae", "High Usage")))</f>
        <v>#REF!</v>
      </c>
      <c r="AD2757" t="e">
        <f>IF(#REF!&lt;=150,"Low Usage", IF(#REF!&lt;=200,"Medium Usage", IF(#REF!&lt;=250,"High Usage","Very High Usage")))</f>
        <v>#REF!</v>
      </c>
      <c r="AE2757" t="e">
        <f>IF(#REF!&lt;=5,"Low Calls", IF(#REF!&lt;=10, "Medium Calls", "High Calls"))</f>
        <v>#REF!</v>
      </c>
      <c r="AF2757" t="e">
        <f xml:space="preserve">
IF(#REF!&gt;=4,4,0)+
IF(#REF!="yes",3,0)+
IF(#REF!="High Charges",3,0)+
IF(#REF!&gt;250,4,0)+
IF(#REF!="no",1,0)+
IF(#REF!="Heavy Domestic User",2,0)</f>
        <v>#REF!</v>
      </c>
      <c r="AG2757" t="e">
        <f>IF(#REF!&gt;=10,"High Risk", IF(#REF!&gt;=5,"Medium Risk","Low Risk"))</f>
        <v>#REF!</v>
      </c>
      <c r="AH2757" t="e">
        <f>#REF! + #REF! + #REF! + #REF!</f>
        <v>#REF!</v>
      </c>
    </row>
    <row r="2758" spans="1:34" x14ac:dyDescent="0.35">
      <c r="A2758">
        <v>2757</v>
      </c>
      <c r="B2758" t="s">
        <v>26</v>
      </c>
      <c r="C2758">
        <v>146</v>
      </c>
      <c r="D2758" t="s">
        <v>28</v>
      </c>
      <c r="E2758" t="s">
        <v>22</v>
      </c>
      <c r="F2758" t="s">
        <v>22</v>
      </c>
      <c r="G2758">
        <v>0</v>
      </c>
      <c r="H2758">
        <v>138.4</v>
      </c>
      <c r="I2758">
        <v>104</v>
      </c>
      <c r="J2758">
        <v>23.53</v>
      </c>
      <c r="K2758">
        <v>158.9</v>
      </c>
      <c r="L2758">
        <v>122</v>
      </c>
      <c r="M2758">
        <v>13.51</v>
      </c>
      <c r="N2758">
        <v>47.4</v>
      </c>
      <c r="O2758">
        <v>73</v>
      </c>
      <c r="P2758">
        <v>2.13</v>
      </c>
      <c r="Q2758">
        <v>3.9</v>
      </c>
      <c r="R2758">
        <v>9</v>
      </c>
      <c r="S2758">
        <v>1.05</v>
      </c>
      <c r="T2758">
        <v>4</v>
      </c>
      <c r="U2758" t="s">
        <v>23</v>
      </c>
      <c r="V2758" t="e">
        <f>IF(#REF! = "yes", 1, 0)</f>
        <v>#REF!</v>
      </c>
      <c r="W2758" t="e">
        <f>IF(#REF! &lt;= 1, "0-1 Calls", IF(#REF! &lt;= 3, "2-3 Calls", IF(#REF! &lt;=5, "4-5 Calls", "6+ Calls")))</f>
        <v>#REF!</v>
      </c>
      <c r="X2758" t="e">
        <f>IF(#REF! &lt;= 50, "0-50", IF(#REF! &lt;=100, "51-100", IF(#REF! &lt;= 150, "101-150", "151+")))</f>
        <v>#REF!</v>
      </c>
      <c r="Y2758" t="e">
        <f>IF(#REF! &lt;= 3, "Low Charges", "High Charges")</f>
        <v>#REF!</v>
      </c>
      <c r="Z2758" t="e">
        <f>IF(#REF!&lt;=80,"Low Calls",
IF(#REF!&lt;=120,"Medium Calls","High Calls"))</f>
        <v>#REF!</v>
      </c>
      <c r="AA2758" t="e">
        <f>IF(#REF!&lt;=15,"Low Charges",
IF(#REF!&lt;=20,"Medium Charges","High Charges"))</f>
        <v>#REF!</v>
      </c>
      <c r="AB2758" t="e">
        <f>IF(AND(#REF!&gt;180, #REF!&gt;200), "Heavy Doemstic User", IF(#REF!&gt;10, "Interntional User", IF(AND(#REF!&lt;180, #REF!&lt;200,#REF!&lt;200), "Light User", "Balanced User")))</f>
        <v>#REF!</v>
      </c>
      <c r="AC2758" t="e">
        <f>IF(#REF! = 0, "No Usage", IF(#REF! &lt;= 20, "Low Usage", IF(#REF! &lt;= 40, "Medium Usgae", "High Usage")))</f>
        <v>#REF!</v>
      </c>
      <c r="AD2758" t="e">
        <f>IF(#REF!&lt;=150,"Low Usage", IF(#REF!&lt;=200,"Medium Usage", IF(#REF!&lt;=250,"High Usage","Very High Usage")))</f>
        <v>#REF!</v>
      </c>
      <c r="AE2758" t="e">
        <f>IF(#REF!&lt;=5,"Low Calls", IF(#REF!&lt;=10, "Medium Calls", "High Calls"))</f>
        <v>#REF!</v>
      </c>
      <c r="AF2758" t="e">
        <f xml:space="preserve">
IF(#REF!&gt;=4,4,0)+
IF(#REF!="yes",3,0)+
IF(#REF!="High Charges",3,0)+
IF(#REF!&gt;250,4,0)+
IF(#REF!="no",1,0)+
IF(#REF!="Heavy Domestic User",2,0)</f>
        <v>#REF!</v>
      </c>
      <c r="AG2758" t="e">
        <f>IF(#REF!&gt;=10,"High Risk", IF(#REF!&gt;=5,"Medium Risk","Low Risk"))</f>
        <v>#REF!</v>
      </c>
      <c r="AH2758" t="e">
        <f>#REF! + #REF! + #REF! + #REF!</f>
        <v>#REF!</v>
      </c>
    </row>
    <row r="2759" spans="1:34" x14ac:dyDescent="0.35">
      <c r="A2759">
        <v>2758</v>
      </c>
      <c r="B2759" t="s">
        <v>24</v>
      </c>
      <c r="C2759">
        <v>93</v>
      </c>
      <c r="D2759" t="s">
        <v>21</v>
      </c>
      <c r="E2759" t="s">
        <v>22</v>
      </c>
      <c r="F2759" t="s">
        <v>22</v>
      </c>
      <c r="G2759">
        <v>0</v>
      </c>
      <c r="H2759">
        <v>146.30000000000001</v>
      </c>
      <c r="I2759">
        <v>85</v>
      </c>
      <c r="J2759">
        <v>24.87</v>
      </c>
      <c r="K2759">
        <v>216.6</v>
      </c>
      <c r="L2759">
        <v>95</v>
      </c>
      <c r="M2759">
        <v>18.41</v>
      </c>
      <c r="N2759">
        <v>233</v>
      </c>
      <c r="O2759">
        <v>82</v>
      </c>
      <c r="P2759">
        <v>10.49</v>
      </c>
      <c r="Q2759">
        <v>11.5</v>
      </c>
      <c r="R2759">
        <v>3</v>
      </c>
      <c r="S2759">
        <v>3.11</v>
      </c>
      <c r="T2759">
        <v>0</v>
      </c>
      <c r="U2759" t="s">
        <v>22</v>
      </c>
      <c r="V2759" t="e">
        <f>IF(#REF! = "yes", 1, 0)</f>
        <v>#REF!</v>
      </c>
      <c r="W2759" t="e">
        <f>IF(#REF! &lt;= 1, "0-1 Calls", IF(#REF! &lt;= 3, "2-3 Calls", IF(#REF! &lt;=5, "4-5 Calls", "6+ Calls")))</f>
        <v>#REF!</v>
      </c>
      <c r="X2759" t="e">
        <f>IF(#REF! &lt;= 50, "0-50", IF(#REF! &lt;=100, "51-100", IF(#REF! &lt;= 150, "101-150", "151+")))</f>
        <v>#REF!</v>
      </c>
      <c r="Y2759" t="e">
        <f>IF(#REF! &lt;= 3, "Low Charges", "High Charges")</f>
        <v>#REF!</v>
      </c>
      <c r="Z2759" t="e">
        <f>IF(#REF!&lt;=80,"Low Calls",
IF(#REF!&lt;=120,"Medium Calls","High Calls"))</f>
        <v>#REF!</v>
      </c>
      <c r="AA2759" t="e">
        <f>IF(#REF!&lt;=15,"Low Charges",
IF(#REF!&lt;=20,"Medium Charges","High Charges"))</f>
        <v>#REF!</v>
      </c>
      <c r="AB2759" t="e">
        <f>IF(AND(#REF!&gt;180, #REF!&gt;200), "Heavy Doemstic User", IF(#REF!&gt;10, "Interntional User", IF(AND(#REF!&lt;180, #REF!&lt;200,#REF!&lt;200), "Light User", "Balanced User")))</f>
        <v>#REF!</v>
      </c>
      <c r="AC2759" t="e">
        <f>IF(#REF! = 0, "No Usage", IF(#REF! &lt;= 20, "Low Usage", IF(#REF! &lt;= 40, "Medium Usgae", "High Usage")))</f>
        <v>#REF!</v>
      </c>
      <c r="AD2759" t="e">
        <f>IF(#REF!&lt;=150,"Low Usage", IF(#REF!&lt;=200,"Medium Usage", IF(#REF!&lt;=250,"High Usage","Very High Usage")))</f>
        <v>#REF!</v>
      </c>
      <c r="AE2759" t="e">
        <f>IF(#REF!&lt;=5,"Low Calls", IF(#REF!&lt;=10, "Medium Calls", "High Calls"))</f>
        <v>#REF!</v>
      </c>
      <c r="AF2759" t="e">
        <f xml:space="preserve">
IF(#REF!&gt;=4,4,0)+
IF(#REF!="yes",3,0)+
IF(#REF!="High Charges",3,0)+
IF(#REF!&gt;250,4,0)+
IF(#REF!="no",1,0)+
IF(#REF!="Heavy Domestic User",2,0)</f>
        <v>#REF!</v>
      </c>
      <c r="AG2759" t="e">
        <f>IF(#REF!&gt;=10,"High Risk", IF(#REF!&gt;=5,"Medium Risk","Low Risk"))</f>
        <v>#REF!</v>
      </c>
      <c r="AH2759" t="e">
        <f>#REF! + #REF! + #REF! + #REF!</f>
        <v>#REF!</v>
      </c>
    </row>
    <row r="2760" spans="1:34" x14ac:dyDescent="0.35">
      <c r="A2760">
        <v>2759</v>
      </c>
      <c r="B2760" t="s">
        <v>61</v>
      </c>
      <c r="C2760">
        <v>55</v>
      </c>
      <c r="D2760" t="s">
        <v>21</v>
      </c>
      <c r="E2760" t="s">
        <v>22</v>
      </c>
      <c r="F2760" t="s">
        <v>22</v>
      </c>
      <c r="G2760">
        <v>0</v>
      </c>
      <c r="H2760">
        <v>132</v>
      </c>
      <c r="I2760">
        <v>103</v>
      </c>
      <c r="J2760">
        <v>22.44</v>
      </c>
      <c r="K2760">
        <v>279.60000000000002</v>
      </c>
      <c r="L2760">
        <v>114</v>
      </c>
      <c r="M2760">
        <v>23.77</v>
      </c>
      <c r="N2760">
        <v>180</v>
      </c>
      <c r="O2760">
        <v>74</v>
      </c>
      <c r="P2760">
        <v>8.1</v>
      </c>
      <c r="Q2760">
        <v>13.5</v>
      </c>
      <c r="R2760">
        <v>4</v>
      </c>
      <c r="S2760">
        <v>3.65</v>
      </c>
      <c r="T2760">
        <v>0</v>
      </c>
      <c r="U2760" t="s">
        <v>22</v>
      </c>
      <c r="V2760" t="e">
        <f>IF(#REF! = "yes", 1, 0)</f>
        <v>#REF!</v>
      </c>
      <c r="W2760" t="e">
        <f>IF(#REF! &lt;= 1, "0-1 Calls", IF(#REF! &lt;= 3, "2-3 Calls", IF(#REF! &lt;=5, "4-5 Calls", "6+ Calls")))</f>
        <v>#REF!</v>
      </c>
      <c r="X2760" t="e">
        <f>IF(#REF! &lt;= 50, "0-50", IF(#REF! &lt;=100, "51-100", IF(#REF! &lt;= 150, "101-150", "151+")))</f>
        <v>#REF!</v>
      </c>
      <c r="Y2760" t="e">
        <f>IF(#REF! &lt;= 3, "Low Charges", "High Charges")</f>
        <v>#REF!</v>
      </c>
      <c r="Z2760" t="e">
        <f>IF(#REF!&lt;=80,"Low Calls",
IF(#REF!&lt;=120,"Medium Calls","High Calls"))</f>
        <v>#REF!</v>
      </c>
      <c r="AA2760" t="e">
        <f>IF(#REF!&lt;=15,"Low Charges",
IF(#REF!&lt;=20,"Medium Charges","High Charges"))</f>
        <v>#REF!</v>
      </c>
      <c r="AB2760" t="e">
        <f>IF(AND(#REF!&gt;180, #REF!&gt;200), "Heavy Doemstic User", IF(#REF!&gt;10, "Interntional User", IF(AND(#REF!&lt;180, #REF!&lt;200,#REF!&lt;200), "Light User", "Balanced User")))</f>
        <v>#REF!</v>
      </c>
      <c r="AC2760" t="e">
        <f>IF(#REF! = 0, "No Usage", IF(#REF! &lt;= 20, "Low Usage", IF(#REF! &lt;= 40, "Medium Usgae", "High Usage")))</f>
        <v>#REF!</v>
      </c>
      <c r="AD2760" t="e">
        <f>IF(#REF!&lt;=150,"Low Usage", IF(#REF!&lt;=200,"Medium Usage", IF(#REF!&lt;=250,"High Usage","Very High Usage")))</f>
        <v>#REF!</v>
      </c>
      <c r="AE2760" t="e">
        <f>IF(#REF!&lt;=5,"Low Calls", IF(#REF!&lt;=10, "Medium Calls", "High Calls"))</f>
        <v>#REF!</v>
      </c>
      <c r="AF2760" t="e">
        <f xml:space="preserve">
IF(#REF!&gt;=4,4,0)+
IF(#REF!="yes",3,0)+
IF(#REF!="High Charges",3,0)+
IF(#REF!&gt;250,4,0)+
IF(#REF!="no",1,0)+
IF(#REF!="Heavy Domestic User",2,0)</f>
        <v>#REF!</v>
      </c>
      <c r="AG2760" t="e">
        <f>IF(#REF!&gt;=10,"High Risk", IF(#REF!&gt;=5,"Medium Risk","Low Risk"))</f>
        <v>#REF!</v>
      </c>
      <c r="AH2760" t="e">
        <f>#REF! + #REF! + #REF! + #REF!</f>
        <v>#REF!</v>
      </c>
    </row>
    <row r="2761" spans="1:34" x14ac:dyDescent="0.35">
      <c r="A2761">
        <v>2760</v>
      </c>
      <c r="B2761" t="s">
        <v>20</v>
      </c>
      <c r="C2761">
        <v>88</v>
      </c>
      <c r="D2761" t="s">
        <v>25</v>
      </c>
      <c r="E2761" t="s">
        <v>22</v>
      </c>
      <c r="F2761" t="s">
        <v>22</v>
      </c>
      <c r="G2761">
        <v>0</v>
      </c>
      <c r="H2761">
        <v>274.60000000000002</v>
      </c>
      <c r="I2761">
        <v>105</v>
      </c>
      <c r="J2761">
        <v>46.68</v>
      </c>
      <c r="K2761">
        <v>161.1</v>
      </c>
      <c r="L2761">
        <v>121</v>
      </c>
      <c r="M2761">
        <v>13.69</v>
      </c>
      <c r="N2761">
        <v>194.4</v>
      </c>
      <c r="O2761">
        <v>123</v>
      </c>
      <c r="P2761">
        <v>8.75</v>
      </c>
      <c r="Q2761">
        <v>9.1999999999999993</v>
      </c>
      <c r="R2761">
        <v>4</v>
      </c>
      <c r="S2761">
        <v>2.48</v>
      </c>
      <c r="T2761">
        <v>2</v>
      </c>
      <c r="U2761" t="s">
        <v>22</v>
      </c>
      <c r="V2761" t="e">
        <f>IF(#REF! = "yes", 1, 0)</f>
        <v>#REF!</v>
      </c>
      <c r="W2761" t="e">
        <f>IF(#REF! &lt;= 1, "0-1 Calls", IF(#REF! &lt;= 3, "2-3 Calls", IF(#REF! &lt;=5, "4-5 Calls", "6+ Calls")))</f>
        <v>#REF!</v>
      </c>
      <c r="X2761" t="e">
        <f>IF(#REF! &lt;= 50, "0-50", IF(#REF! &lt;=100, "51-100", IF(#REF! &lt;= 150, "101-150", "151+")))</f>
        <v>#REF!</v>
      </c>
      <c r="Y2761" t="e">
        <f>IF(#REF! &lt;= 3, "Low Charges", "High Charges")</f>
        <v>#REF!</v>
      </c>
      <c r="Z2761" t="e">
        <f>IF(#REF!&lt;=80,"Low Calls",
IF(#REF!&lt;=120,"Medium Calls","High Calls"))</f>
        <v>#REF!</v>
      </c>
      <c r="AA2761" t="e">
        <f>IF(#REF!&lt;=15,"Low Charges",
IF(#REF!&lt;=20,"Medium Charges","High Charges"))</f>
        <v>#REF!</v>
      </c>
      <c r="AB2761" t="e">
        <f>IF(AND(#REF!&gt;180, #REF!&gt;200), "Heavy Doemstic User", IF(#REF!&gt;10, "Interntional User", IF(AND(#REF!&lt;180, #REF!&lt;200,#REF!&lt;200), "Light User", "Balanced User")))</f>
        <v>#REF!</v>
      </c>
      <c r="AC2761" t="e">
        <f>IF(#REF! = 0, "No Usage", IF(#REF! &lt;= 20, "Low Usage", IF(#REF! &lt;= 40, "Medium Usgae", "High Usage")))</f>
        <v>#REF!</v>
      </c>
      <c r="AD2761" t="e">
        <f>IF(#REF!&lt;=150,"Low Usage", IF(#REF!&lt;=200,"Medium Usage", IF(#REF!&lt;=250,"High Usage","Very High Usage")))</f>
        <v>#REF!</v>
      </c>
      <c r="AE2761" t="e">
        <f>IF(#REF!&lt;=5,"Low Calls", IF(#REF!&lt;=10, "Medium Calls", "High Calls"))</f>
        <v>#REF!</v>
      </c>
      <c r="AF2761" t="e">
        <f xml:space="preserve">
IF(#REF!&gt;=4,4,0)+
IF(#REF!="yes",3,0)+
IF(#REF!="High Charges",3,0)+
IF(#REF!&gt;250,4,0)+
IF(#REF!="no",1,0)+
IF(#REF!="Heavy Domestic User",2,0)</f>
        <v>#REF!</v>
      </c>
      <c r="AG2761" t="e">
        <f>IF(#REF!&gt;=10,"High Risk", IF(#REF!&gt;=5,"Medium Risk","Low Risk"))</f>
        <v>#REF!</v>
      </c>
      <c r="AH2761" t="e">
        <f>#REF! + #REF! + #REF! + #REF!</f>
        <v>#REF!</v>
      </c>
    </row>
    <row r="2762" spans="1:34" x14ac:dyDescent="0.35">
      <c r="A2762">
        <v>2761</v>
      </c>
      <c r="B2762" t="s">
        <v>53</v>
      </c>
      <c r="C2762">
        <v>63</v>
      </c>
      <c r="D2762" t="s">
        <v>28</v>
      </c>
      <c r="E2762" t="s">
        <v>22</v>
      </c>
      <c r="F2762" t="s">
        <v>22</v>
      </c>
      <c r="G2762">
        <v>0</v>
      </c>
      <c r="H2762">
        <v>185.3</v>
      </c>
      <c r="I2762">
        <v>87</v>
      </c>
      <c r="J2762">
        <v>31.5</v>
      </c>
      <c r="K2762">
        <v>225.3</v>
      </c>
      <c r="L2762">
        <v>87</v>
      </c>
      <c r="M2762">
        <v>19.149999999999999</v>
      </c>
      <c r="N2762">
        <v>194.3</v>
      </c>
      <c r="O2762">
        <v>93</v>
      </c>
      <c r="P2762">
        <v>8.74</v>
      </c>
      <c r="Q2762">
        <v>11.7</v>
      </c>
      <c r="R2762">
        <v>3</v>
      </c>
      <c r="S2762">
        <v>3.16</v>
      </c>
      <c r="T2762">
        <v>0</v>
      </c>
      <c r="U2762" t="s">
        <v>22</v>
      </c>
      <c r="V2762" t="e">
        <f>IF(#REF! = "yes", 1, 0)</f>
        <v>#REF!</v>
      </c>
      <c r="W2762" t="e">
        <f>IF(#REF! &lt;= 1, "0-1 Calls", IF(#REF! &lt;= 3, "2-3 Calls", IF(#REF! &lt;=5, "4-5 Calls", "6+ Calls")))</f>
        <v>#REF!</v>
      </c>
      <c r="X2762" t="e">
        <f>IF(#REF! &lt;= 50, "0-50", IF(#REF! &lt;=100, "51-100", IF(#REF! &lt;= 150, "101-150", "151+")))</f>
        <v>#REF!</v>
      </c>
      <c r="Y2762" t="e">
        <f>IF(#REF! &lt;= 3, "Low Charges", "High Charges")</f>
        <v>#REF!</v>
      </c>
      <c r="Z2762" t="e">
        <f>IF(#REF!&lt;=80,"Low Calls",
IF(#REF!&lt;=120,"Medium Calls","High Calls"))</f>
        <v>#REF!</v>
      </c>
      <c r="AA2762" t="e">
        <f>IF(#REF!&lt;=15,"Low Charges",
IF(#REF!&lt;=20,"Medium Charges","High Charges"))</f>
        <v>#REF!</v>
      </c>
      <c r="AB2762" t="e">
        <f>IF(AND(#REF!&gt;180, #REF!&gt;200), "Heavy Doemstic User", IF(#REF!&gt;10, "Interntional User", IF(AND(#REF!&lt;180, #REF!&lt;200,#REF!&lt;200), "Light User", "Balanced User")))</f>
        <v>#REF!</v>
      </c>
      <c r="AC2762" t="e">
        <f>IF(#REF! = 0, "No Usage", IF(#REF! &lt;= 20, "Low Usage", IF(#REF! &lt;= 40, "Medium Usgae", "High Usage")))</f>
        <v>#REF!</v>
      </c>
      <c r="AD2762" t="e">
        <f>IF(#REF!&lt;=150,"Low Usage", IF(#REF!&lt;=200,"Medium Usage", IF(#REF!&lt;=250,"High Usage","Very High Usage")))</f>
        <v>#REF!</v>
      </c>
      <c r="AE2762" t="e">
        <f>IF(#REF!&lt;=5,"Low Calls", IF(#REF!&lt;=10, "Medium Calls", "High Calls"))</f>
        <v>#REF!</v>
      </c>
      <c r="AF2762" t="e">
        <f xml:space="preserve">
IF(#REF!&gt;=4,4,0)+
IF(#REF!="yes",3,0)+
IF(#REF!="High Charges",3,0)+
IF(#REF!&gt;250,4,0)+
IF(#REF!="no",1,0)+
IF(#REF!="Heavy Domestic User",2,0)</f>
        <v>#REF!</v>
      </c>
      <c r="AG2762" t="e">
        <f>IF(#REF!&gt;=10,"High Risk", IF(#REF!&gt;=5,"Medium Risk","Low Risk"))</f>
        <v>#REF!</v>
      </c>
      <c r="AH2762" t="e">
        <f>#REF! + #REF! + #REF! + #REF!</f>
        <v>#REF!</v>
      </c>
    </row>
    <row r="2763" spans="1:34" x14ac:dyDescent="0.35">
      <c r="A2763">
        <v>2762</v>
      </c>
      <c r="B2763" t="s">
        <v>70</v>
      </c>
      <c r="C2763">
        <v>127</v>
      </c>
      <c r="D2763" t="s">
        <v>21</v>
      </c>
      <c r="E2763" t="s">
        <v>22</v>
      </c>
      <c r="F2763" t="s">
        <v>23</v>
      </c>
      <c r="G2763">
        <v>24</v>
      </c>
      <c r="H2763">
        <v>154.80000000000001</v>
      </c>
      <c r="I2763">
        <v>69</v>
      </c>
      <c r="J2763">
        <v>26.32</v>
      </c>
      <c r="K2763">
        <v>177.2</v>
      </c>
      <c r="L2763">
        <v>105</v>
      </c>
      <c r="M2763">
        <v>15.06</v>
      </c>
      <c r="N2763">
        <v>207.6</v>
      </c>
      <c r="O2763">
        <v>102</v>
      </c>
      <c r="P2763">
        <v>9.34</v>
      </c>
      <c r="Q2763">
        <v>9</v>
      </c>
      <c r="R2763">
        <v>4</v>
      </c>
      <c r="S2763">
        <v>2.4300000000000002</v>
      </c>
      <c r="T2763">
        <v>1</v>
      </c>
      <c r="U2763" t="s">
        <v>22</v>
      </c>
      <c r="V2763" t="e">
        <f>IF(#REF! = "yes", 1, 0)</f>
        <v>#REF!</v>
      </c>
      <c r="W2763" t="e">
        <f>IF(#REF! &lt;= 1, "0-1 Calls", IF(#REF! &lt;= 3, "2-3 Calls", IF(#REF! &lt;=5, "4-5 Calls", "6+ Calls")))</f>
        <v>#REF!</v>
      </c>
      <c r="X2763" t="e">
        <f>IF(#REF! &lt;= 50, "0-50", IF(#REF! &lt;=100, "51-100", IF(#REF! &lt;= 150, "101-150", "151+")))</f>
        <v>#REF!</v>
      </c>
      <c r="Y2763" t="e">
        <f>IF(#REF! &lt;= 3, "Low Charges", "High Charges")</f>
        <v>#REF!</v>
      </c>
      <c r="Z2763" t="e">
        <f>IF(#REF!&lt;=80,"Low Calls",
IF(#REF!&lt;=120,"Medium Calls","High Calls"))</f>
        <v>#REF!</v>
      </c>
      <c r="AA2763" t="e">
        <f>IF(#REF!&lt;=15,"Low Charges",
IF(#REF!&lt;=20,"Medium Charges","High Charges"))</f>
        <v>#REF!</v>
      </c>
      <c r="AB2763" t="e">
        <f>IF(AND(#REF!&gt;180, #REF!&gt;200), "Heavy Doemstic User", IF(#REF!&gt;10, "Interntional User", IF(AND(#REF!&lt;180, #REF!&lt;200,#REF!&lt;200), "Light User", "Balanced User")))</f>
        <v>#REF!</v>
      </c>
      <c r="AC2763" t="e">
        <f>IF(#REF! = 0, "No Usage", IF(#REF! &lt;= 20, "Low Usage", IF(#REF! &lt;= 40, "Medium Usgae", "High Usage")))</f>
        <v>#REF!</v>
      </c>
      <c r="AD2763" t="e">
        <f>IF(#REF!&lt;=150,"Low Usage", IF(#REF!&lt;=200,"Medium Usage", IF(#REF!&lt;=250,"High Usage","Very High Usage")))</f>
        <v>#REF!</v>
      </c>
      <c r="AE2763" t="e">
        <f>IF(#REF!&lt;=5,"Low Calls", IF(#REF!&lt;=10, "Medium Calls", "High Calls"))</f>
        <v>#REF!</v>
      </c>
      <c r="AF2763" t="e">
        <f xml:space="preserve">
IF(#REF!&gt;=4,4,0)+
IF(#REF!="yes",3,0)+
IF(#REF!="High Charges",3,0)+
IF(#REF!&gt;250,4,0)+
IF(#REF!="no",1,0)+
IF(#REF!="Heavy Domestic User",2,0)</f>
        <v>#REF!</v>
      </c>
      <c r="AG2763" t="e">
        <f>IF(#REF!&gt;=10,"High Risk", IF(#REF!&gt;=5,"Medium Risk","Low Risk"))</f>
        <v>#REF!</v>
      </c>
      <c r="AH2763" t="e">
        <f>#REF! + #REF! + #REF! + #REF!</f>
        <v>#REF!</v>
      </c>
    </row>
    <row r="2764" spans="1:34" x14ac:dyDescent="0.35">
      <c r="A2764">
        <v>2763</v>
      </c>
      <c r="B2764" t="s">
        <v>72</v>
      </c>
      <c r="C2764">
        <v>57</v>
      </c>
      <c r="D2764" t="s">
        <v>21</v>
      </c>
      <c r="E2764" t="s">
        <v>22</v>
      </c>
      <c r="F2764" t="s">
        <v>23</v>
      </c>
      <c r="G2764">
        <v>30</v>
      </c>
      <c r="H2764">
        <v>179.2</v>
      </c>
      <c r="I2764">
        <v>105</v>
      </c>
      <c r="J2764">
        <v>30.46</v>
      </c>
      <c r="K2764">
        <v>283.2</v>
      </c>
      <c r="L2764">
        <v>83</v>
      </c>
      <c r="M2764">
        <v>24.07</v>
      </c>
      <c r="N2764">
        <v>228.1</v>
      </c>
      <c r="O2764">
        <v>77</v>
      </c>
      <c r="P2764">
        <v>10.26</v>
      </c>
      <c r="Q2764">
        <v>14.7</v>
      </c>
      <c r="R2764">
        <v>5</v>
      </c>
      <c r="S2764">
        <v>3.97</v>
      </c>
      <c r="T2764">
        <v>1</v>
      </c>
      <c r="U2764" t="s">
        <v>22</v>
      </c>
      <c r="V2764" t="e">
        <f>IF(#REF! = "yes", 1, 0)</f>
        <v>#REF!</v>
      </c>
      <c r="W2764" t="e">
        <f>IF(#REF! &lt;= 1, "0-1 Calls", IF(#REF! &lt;= 3, "2-3 Calls", IF(#REF! &lt;=5, "4-5 Calls", "6+ Calls")))</f>
        <v>#REF!</v>
      </c>
      <c r="X2764" t="e">
        <f>IF(#REF! &lt;= 50, "0-50", IF(#REF! &lt;=100, "51-100", IF(#REF! &lt;= 150, "101-150", "151+")))</f>
        <v>#REF!</v>
      </c>
      <c r="Y2764" t="e">
        <f>IF(#REF! &lt;= 3, "Low Charges", "High Charges")</f>
        <v>#REF!</v>
      </c>
      <c r="Z2764" t="e">
        <f>IF(#REF!&lt;=80,"Low Calls",
IF(#REF!&lt;=120,"Medium Calls","High Calls"))</f>
        <v>#REF!</v>
      </c>
      <c r="AA2764" t="e">
        <f>IF(#REF!&lt;=15,"Low Charges",
IF(#REF!&lt;=20,"Medium Charges","High Charges"))</f>
        <v>#REF!</v>
      </c>
      <c r="AB2764" t="e">
        <f>IF(AND(#REF!&gt;180, #REF!&gt;200), "Heavy Doemstic User", IF(#REF!&gt;10, "Interntional User", IF(AND(#REF!&lt;180, #REF!&lt;200,#REF!&lt;200), "Light User", "Balanced User")))</f>
        <v>#REF!</v>
      </c>
      <c r="AC2764" t="e">
        <f>IF(#REF! = 0, "No Usage", IF(#REF! &lt;= 20, "Low Usage", IF(#REF! &lt;= 40, "Medium Usgae", "High Usage")))</f>
        <v>#REF!</v>
      </c>
      <c r="AD2764" t="e">
        <f>IF(#REF!&lt;=150,"Low Usage", IF(#REF!&lt;=200,"Medium Usage", IF(#REF!&lt;=250,"High Usage","Very High Usage")))</f>
        <v>#REF!</v>
      </c>
      <c r="AE2764" t="e">
        <f>IF(#REF!&lt;=5,"Low Calls", IF(#REF!&lt;=10, "Medium Calls", "High Calls"))</f>
        <v>#REF!</v>
      </c>
      <c r="AF2764" t="e">
        <f xml:space="preserve">
IF(#REF!&gt;=4,4,0)+
IF(#REF!="yes",3,0)+
IF(#REF!="High Charges",3,0)+
IF(#REF!&gt;250,4,0)+
IF(#REF!="no",1,0)+
IF(#REF!="Heavy Domestic User",2,0)</f>
        <v>#REF!</v>
      </c>
      <c r="AG2764" t="e">
        <f>IF(#REF!&gt;=10,"High Risk", IF(#REF!&gt;=5,"Medium Risk","Low Risk"))</f>
        <v>#REF!</v>
      </c>
      <c r="AH2764" t="e">
        <f>#REF! + #REF! + #REF! + #REF!</f>
        <v>#REF!</v>
      </c>
    </row>
    <row r="2765" spans="1:34" x14ac:dyDescent="0.35">
      <c r="A2765">
        <v>2764</v>
      </c>
      <c r="B2765" t="s">
        <v>33</v>
      </c>
      <c r="C2765">
        <v>138</v>
      </c>
      <c r="D2765" t="s">
        <v>28</v>
      </c>
      <c r="E2765" t="s">
        <v>23</v>
      </c>
      <c r="F2765" t="s">
        <v>22</v>
      </c>
      <c r="G2765">
        <v>0</v>
      </c>
      <c r="H2765">
        <v>286.2</v>
      </c>
      <c r="I2765">
        <v>61</v>
      </c>
      <c r="J2765">
        <v>48.65</v>
      </c>
      <c r="K2765">
        <v>187.2</v>
      </c>
      <c r="L2765">
        <v>60</v>
      </c>
      <c r="M2765">
        <v>15.91</v>
      </c>
      <c r="N2765">
        <v>146.19999999999999</v>
      </c>
      <c r="O2765">
        <v>114</v>
      </c>
      <c r="P2765">
        <v>6.58</v>
      </c>
      <c r="Q2765">
        <v>11</v>
      </c>
      <c r="R2765">
        <v>4</v>
      </c>
      <c r="S2765">
        <v>2.97</v>
      </c>
      <c r="T2765">
        <v>2</v>
      </c>
      <c r="U2765" t="s">
        <v>23</v>
      </c>
      <c r="V2765" t="e">
        <f>IF(#REF! = "yes", 1, 0)</f>
        <v>#REF!</v>
      </c>
      <c r="W2765" t="e">
        <f>IF(#REF! &lt;= 1, "0-1 Calls", IF(#REF! &lt;= 3, "2-3 Calls", IF(#REF! &lt;=5, "4-5 Calls", "6+ Calls")))</f>
        <v>#REF!</v>
      </c>
      <c r="X2765" t="e">
        <f>IF(#REF! &lt;= 50, "0-50", IF(#REF! &lt;=100, "51-100", IF(#REF! &lt;= 150, "101-150", "151+")))</f>
        <v>#REF!</v>
      </c>
      <c r="Y2765" t="e">
        <f>IF(#REF! &lt;= 3, "Low Charges", "High Charges")</f>
        <v>#REF!</v>
      </c>
      <c r="Z2765" t="e">
        <f>IF(#REF!&lt;=80,"Low Calls",
IF(#REF!&lt;=120,"Medium Calls","High Calls"))</f>
        <v>#REF!</v>
      </c>
      <c r="AA2765" t="e">
        <f>IF(#REF!&lt;=15,"Low Charges",
IF(#REF!&lt;=20,"Medium Charges","High Charges"))</f>
        <v>#REF!</v>
      </c>
      <c r="AB2765" t="e">
        <f>IF(AND(#REF!&gt;180, #REF!&gt;200), "Heavy Doemstic User", IF(#REF!&gt;10, "Interntional User", IF(AND(#REF!&lt;180, #REF!&lt;200,#REF!&lt;200), "Light User", "Balanced User")))</f>
        <v>#REF!</v>
      </c>
      <c r="AC2765" t="e">
        <f>IF(#REF! = 0, "No Usage", IF(#REF! &lt;= 20, "Low Usage", IF(#REF! &lt;= 40, "Medium Usgae", "High Usage")))</f>
        <v>#REF!</v>
      </c>
      <c r="AD2765" t="e">
        <f>IF(#REF!&lt;=150,"Low Usage", IF(#REF!&lt;=200,"Medium Usage", IF(#REF!&lt;=250,"High Usage","Very High Usage")))</f>
        <v>#REF!</v>
      </c>
      <c r="AE2765" t="e">
        <f>IF(#REF!&lt;=5,"Low Calls", IF(#REF!&lt;=10, "Medium Calls", "High Calls"))</f>
        <v>#REF!</v>
      </c>
      <c r="AF2765" t="e">
        <f xml:space="preserve">
IF(#REF!&gt;=4,4,0)+
IF(#REF!="yes",3,0)+
IF(#REF!="High Charges",3,0)+
IF(#REF!&gt;250,4,0)+
IF(#REF!="no",1,0)+
IF(#REF!="Heavy Domestic User",2,0)</f>
        <v>#REF!</v>
      </c>
      <c r="AG2765" t="e">
        <f>IF(#REF!&gt;=10,"High Risk", IF(#REF!&gt;=5,"Medium Risk","Low Risk"))</f>
        <v>#REF!</v>
      </c>
      <c r="AH2765" t="e">
        <f>#REF! + #REF! + #REF! + #REF!</f>
        <v>#REF!</v>
      </c>
    </row>
    <row r="2766" spans="1:34" x14ac:dyDescent="0.35">
      <c r="A2766">
        <v>2765</v>
      </c>
      <c r="B2766" t="s">
        <v>36</v>
      </c>
      <c r="C2766">
        <v>171</v>
      </c>
      <c r="D2766" t="s">
        <v>21</v>
      </c>
      <c r="E2766" t="s">
        <v>22</v>
      </c>
      <c r="F2766" t="s">
        <v>22</v>
      </c>
      <c r="G2766">
        <v>0</v>
      </c>
      <c r="H2766">
        <v>137.5</v>
      </c>
      <c r="I2766">
        <v>110</v>
      </c>
      <c r="J2766">
        <v>23.38</v>
      </c>
      <c r="K2766">
        <v>198.1</v>
      </c>
      <c r="L2766">
        <v>109</v>
      </c>
      <c r="M2766">
        <v>16.84</v>
      </c>
      <c r="N2766">
        <v>292.7</v>
      </c>
      <c r="O2766">
        <v>131</v>
      </c>
      <c r="P2766">
        <v>13.17</v>
      </c>
      <c r="Q2766">
        <v>13.3</v>
      </c>
      <c r="R2766">
        <v>5</v>
      </c>
      <c r="S2766">
        <v>3.59</v>
      </c>
      <c r="T2766">
        <v>2</v>
      </c>
      <c r="U2766" t="s">
        <v>22</v>
      </c>
      <c r="V2766" t="e">
        <f>IF(#REF! = "yes", 1, 0)</f>
        <v>#REF!</v>
      </c>
      <c r="W2766" t="e">
        <f>IF(#REF! &lt;= 1, "0-1 Calls", IF(#REF! &lt;= 3, "2-3 Calls", IF(#REF! &lt;=5, "4-5 Calls", "6+ Calls")))</f>
        <v>#REF!</v>
      </c>
      <c r="X2766" t="e">
        <f>IF(#REF! &lt;= 50, "0-50", IF(#REF! &lt;=100, "51-100", IF(#REF! &lt;= 150, "101-150", "151+")))</f>
        <v>#REF!</v>
      </c>
      <c r="Y2766" t="e">
        <f>IF(#REF! &lt;= 3, "Low Charges", "High Charges")</f>
        <v>#REF!</v>
      </c>
      <c r="Z2766" t="e">
        <f>IF(#REF!&lt;=80,"Low Calls",
IF(#REF!&lt;=120,"Medium Calls","High Calls"))</f>
        <v>#REF!</v>
      </c>
      <c r="AA2766" t="e">
        <f>IF(#REF!&lt;=15,"Low Charges",
IF(#REF!&lt;=20,"Medium Charges","High Charges"))</f>
        <v>#REF!</v>
      </c>
      <c r="AB2766" t="e">
        <f>IF(AND(#REF!&gt;180, #REF!&gt;200), "Heavy Doemstic User", IF(#REF!&gt;10, "Interntional User", IF(AND(#REF!&lt;180, #REF!&lt;200,#REF!&lt;200), "Light User", "Balanced User")))</f>
        <v>#REF!</v>
      </c>
      <c r="AC2766" t="e">
        <f>IF(#REF! = 0, "No Usage", IF(#REF! &lt;= 20, "Low Usage", IF(#REF! &lt;= 40, "Medium Usgae", "High Usage")))</f>
        <v>#REF!</v>
      </c>
      <c r="AD2766" t="e">
        <f>IF(#REF!&lt;=150,"Low Usage", IF(#REF!&lt;=200,"Medium Usage", IF(#REF!&lt;=250,"High Usage","Very High Usage")))</f>
        <v>#REF!</v>
      </c>
      <c r="AE2766" t="e">
        <f>IF(#REF!&lt;=5,"Low Calls", IF(#REF!&lt;=10, "Medium Calls", "High Calls"))</f>
        <v>#REF!</v>
      </c>
      <c r="AF2766" t="e">
        <f xml:space="preserve">
IF(#REF!&gt;=4,4,0)+
IF(#REF!="yes",3,0)+
IF(#REF!="High Charges",3,0)+
IF(#REF!&gt;250,4,0)+
IF(#REF!="no",1,0)+
IF(#REF!="Heavy Domestic User",2,0)</f>
        <v>#REF!</v>
      </c>
      <c r="AG2766" t="e">
        <f>IF(#REF!&gt;=10,"High Risk", IF(#REF!&gt;=5,"Medium Risk","Low Risk"))</f>
        <v>#REF!</v>
      </c>
      <c r="AH2766" t="e">
        <f>#REF! + #REF! + #REF! + #REF!</f>
        <v>#REF!</v>
      </c>
    </row>
    <row r="2767" spans="1:34" x14ac:dyDescent="0.35">
      <c r="A2767">
        <v>2766</v>
      </c>
      <c r="B2767" t="s">
        <v>44</v>
      </c>
      <c r="C2767">
        <v>148</v>
      </c>
      <c r="D2767" t="s">
        <v>25</v>
      </c>
      <c r="E2767" t="s">
        <v>22</v>
      </c>
      <c r="F2767" t="s">
        <v>22</v>
      </c>
      <c r="G2767">
        <v>0</v>
      </c>
      <c r="H2767">
        <v>243</v>
      </c>
      <c r="I2767">
        <v>115</v>
      </c>
      <c r="J2767">
        <v>41.31</v>
      </c>
      <c r="K2767">
        <v>191.8</v>
      </c>
      <c r="L2767">
        <v>91</v>
      </c>
      <c r="M2767">
        <v>16.3</v>
      </c>
      <c r="N2767">
        <v>117.8</v>
      </c>
      <c r="O2767">
        <v>93</v>
      </c>
      <c r="P2767">
        <v>5.3</v>
      </c>
      <c r="Q2767">
        <v>13.4</v>
      </c>
      <c r="R2767">
        <v>5</v>
      </c>
      <c r="S2767">
        <v>3.62</v>
      </c>
      <c r="T2767">
        <v>2</v>
      </c>
      <c r="U2767" t="s">
        <v>22</v>
      </c>
      <c r="V2767" t="e">
        <f>IF(#REF! = "yes", 1, 0)</f>
        <v>#REF!</v>
      </c>
      <c r="W2767" t="e">
        <f>IF(#REF! &lt;= 1, "0-1 Calls", IF(#REF! &lt;= 3, "2-3 Calls", IF(#REF! &lt;=5, "4-5 Calls", "6+ Calls")))</f>
        <v>#REF!</v>
      </c>
      <c r="X2767" t="e">
        <f>IF(#REF! &lt;= 50, "0-50", IF(#REF! &lt;=100, "51-100", IF(#REF! &lt;= 150, "101-150", "151+")))</f>
        <v>#REF!</v>
      </c>
      <c r="Y2767" t="e">
        <f>IF(#REF! &lt;= 3, "Low Charges", "High Charges")</f>
        <v>#REF!</v>
      </c>
      <c r="Z2767" t="e">
        <f>IF(#REF!&lt;=80,"Low Calls",
IF(#REF!&lt;=120,"Medium Calls","High Calls"))</f>
        <v>#REF!</v>
      </c>
      <c r="AA2767" t="e">
        <f>IF(#REF!&lt;=15,"Low Charges",
IF(#REF!&lt;=20,"Medium Charges","High Charges"))</f>
        <v>#REF!</v>
      </c>
      <c r="AB2767" t="e">
        <f>IF(AND(#REF!&gt;180, #REF!&gt;200), "Heavy Doemstic User", IF(#REF!&gt;10, "Interntional User", IF(AND(#REF!&lt;180, #REF!&lt;200,#REF!&lt;200), "Light User", "Balanced User")))</f>
        <v>#REF!</v>
      </c>
      <c r="AC2767" t="e">
        <f>IF(#REF! = 0, "No Usage", IF(#REF! &lt;= 20, "Low Usage", IF(#REF! &lt;= 40, "Medium Usgae", "High Usage")))</f>
        <v>#REF!</v>
      </c>
      <c r="AD2767" t="e">
        <f>IF(#REF!&lt;=150,"Low Usage", IF(#REF!&lt;=200,"Medium Usage", IF(#REF!&lt;=250,"High Usage","Very High Usage")))</f>
        <v>#REF!</v>
      </c>
      <c r="AE2767" t="e">
        <f>IF(#REF!&lt;=5,"Low Calls", IF(#REF!&lt;=10, "Medium Calls", "High Calls"))</f>
        <v>#REF!</v>
      </c>
      <c r="AF2767" t="e">
        <f xml:space="preserve">
IF(#REF!&gt;=4,4,0)+
IF(#REF!="yes",3,0)+
IF(#REF!="High Charges",3,0)+
IF(#REF!&gt;250,4,0)+
IF(#REF!="no",1,0)+
IF(#REF!="Heavy Domestic User",2,0)</f>
        <v>#REF!</v>
      </c>
      <c r="AG2767" t="e">
        <f>IF(#REF!&gt;=10,"High Risk", IF(#REF!&gt;=5,"Medium Risk","Low Risk"))</f>
        <v>#REF!</v>
      </c>
      <c r="AH2767" t="e">
        <f>#REF! + #REF! + #REF! + #REF!</f>
        <v>#REF!</v>
      </c>
    </row>
    <row r="2768" spans="1:34" x14ac:dyDescent="0.35">
      <c r="A2768">
        <v>2767</v>
      </c>
      <c r="B2768" t="s">
        <v>58</v>
      </c>
      <c r="C2768">
        <v>127</v>
      </c>
      <c r="D2768" t="s">
        <v>28</v>
      </c>
      <c r="E2768" t="s">
        <v>22</v>
      </c>
      <c r="F2768" t="s">
        <v>22</v>
      </c>
      <c r="G2768">
        <v>0</v>
      </c>
      <c r="H2768">
        <v>134.9</v>
      </c>
      <c r="I2768">
        <v>79</v>
      </c>
      <c r="J2768">
        <v>22.93</v>
      </c>
      <c r="K2768">
        <v>221.5</v>
      </c>
      <c r="L2768">
        <v>114</v>
      </c>
      <c r="M2768">
        <v>18.829999999999998</v>
      </c>
      <c r="N2768">
        <v>113.8</v>
      </c>
      <c r="O2768">
        <v>118</v>
      </c>
      <c r="P2768">
        <v>5.12</v>
      </c>
      <c r="Q2768">
        <v>15</v>
      </c>
      <c r="R2768">
        <v>2</v>
      </c>
      <c r="S2768">
        <v>4.05</v>
      </c>
      <c r="T2768">
        <v>1</v>
      </c>
      <c r="U2768" t="s">
        <v>22</v>
      </c>
      <c r="V2768" t="e">
        <f>IF(#REF! = "yes", 1, 0)</f>
        <v>#REF!</v>
      </c>
      <c r="W2768" t="e">
        <f>IF(#REF! &lt;= 1, "0-1 Calls", IF(#REF! &lt;= 3, "2-3 Calls", IF(#REF! &lt;=5, "4-5 Calls", "6+ Calls")))</f>
        <v>#REF!</v>
      </c>
      <c r="X2768" t="e">
        <f>IF(#REF! &lt;= 50, "0-50", IF(#REF! &lt;=100, "51-100", IF(#REF! &lt;= 150, "101-150", "151+")))</f>
        <v>#REF!</v>
      </c>
      <c r="Y2768" t="e">
        <f>IF(#REF! &lt;= 3, "Low Charges", "High Charges")</f>
        <v>#REF!</v>
      </c>
      <c r="Z2768" t="e">
        <f>IF(#REF!&lt;=80,"Low Calls",
IF(#REF!&lt;=120,"Medium Calls","High Calls"))</f>
        <v>#REF!</v>
      </c>
      <c r="AA2768" t="e">
        <f>IF(#REF!&lt;=15,"Low Charges",
IF(#REF!&lt;=20,"Medium Charges","High Charges"))</f>
        <v>#REF!</v>
      </c>
      <c r="AB2768" t="e">
        <f>IF(AND(#REF!&gt;180, #REF!&gt;200), "Heavy Doemstic User", IF(#REF!&gt;10, "Interntional User", IF(AND(#REF!&lt;180, #REF!&lt;200,#REF!&lt;200), "Light User", "Balanced User")))</f>
        <v>#REF!</v>
      </c>
      <c r="AC2768" t="e">
        <f>IF(#REF! = 0, "No Usage", IF(#REF! &lt;= 20, "Low Usage", IF(#REF! &lt;= 40, "Medium Usgae", "High Usage")))</f>
        <v>#REF!</v>
      </c>
      <c r="AD2768" t="e">
        <f>IF(#REF!&lt;=150,"Low Usage", IF(#REF!&lt;=200,"Medium Usage", IF(#REF!&lt;=250,"High Usage","Very High Usage")))</f>
        <v>#REF!</v>
      </c>
      <c r="AE2768" t="e">
        <f>IF(#REF!&lt;=5,"Low Calls", IF(#REF!&lt;=10, "Medium Calls", "High Calls"))</f>
        <v>#REF!</v>
      </c>
      <c r="AF2768" t="e">
        <f xml:space="preserve">
IF(#REF!&gt;=4,4,0)+
IF(#REF!="yes",3,0)+
IF(#REF!="High Charges",3,0)+
IF(#REF!&gt;250,4,0)+
IF(#REF!="no",1,0)+
IF(#REF!="Heavy Domestic User",2,0)</f>
        <v>#REF!</v>
      </c>
      <c r="AG2768" t="e">
        <f>IF(#REF!&gt;=10,"High Risk", IF(#REF!&gt;=5,"Medium Risk","Low Risk"))</f>
        <v>#REF!</v>
      </c>
      <c r="AH2768" t="e">
        <f>#REF! + #REF! + #REF! + #REF!</f>
        <v>#REF!</v>
      </c>
    </row>
    <row r="2769" spans="1:34" x14ac:dyDescent="0.35">
      <c r="A2769">
        <v>2768</v>
      </c>
      <c r="B2769" t="s">
        <v>52</v>
      </c>
      <c r="C2769">
        <v>61</v>
      </c>
      <c r="D2769" t="s">
        <v>21</v>
      </c>
      <c r="E2769" t="s">
        <v>22</v>
      </c>
      <c r="F2769" t="s">
        <v>22</v>
      </c>
      <c r="G2769">
        <v>0</v>
      </c>
      <c r="H2769">
        <v>234.2</v>
      </c>
      <c r="I2769">
        <v>76</v>
      </c>
      <c r="J2769">
        <v>39.81</v>
      </c>
      <c r="K2769">
        <v>216.7</v>
      </c>
      <c r="L2769">
        <v>108</v>
      </c>
      <c r="M2769">
        <v>18.420000000000002</v>
      </c>
      <c r="N2769">
        <v>130.6</v>
      </c>
      <c r="O2769">
        <v>122</v>
      </c>
      <c r="P2769">
        <v>5.88</v>
      </c>
      <c r="Q2769">
        <v>13.9</v>
      </c>
      <c r="R2769">
        <v>2</v>
      </c>
      <c r="S2769">
        <v>3.75</v>
      </c>
      <c r="T2769">
        <v>1</v>
      </c>
      <c r="U2769" t="s">
        <v>22</v>
      </c>
      <c r="V2769" t="e">
        <f>IF(#REF! = "yes", 1, 0)</f>
        <v>#REF!</v>
      </c>
      <c r="W2769" t="e">
        <f>IF(#REF! &lt;= 1, "0-1 Calls", IF(#REF! &lt;= 3, "2-3 Calls", IF(#REF! &lt;=5, "4-5 Calls", "6+ Calls")))</f>
        <v>#REF!</v>
      </c>
      <c r="X2769" t="e">
        <f>IF(#REF! &lt;= 50, "0-50", IF(#REF! &lt;=100, "51-100", IF(#REF! &lt;= 150, "101-150", "151+")))</f>
        <v>#REF!</v>
      </c>
      <c r="Y2769" t="e">
        <f>IF(#REF! &lt;= 3, "Low Charges", "High Charges")</f>
        <v>#REF!</v>
      </c>
      <c r="Z2769" t="e">
        <f>IF(#REF!&lt;=80,"Low Calls",
IF(#REF!&lt;=120,"Medium Calls","High Calls"))</f>
        <v>#REF!</v>
      </c>
      <c r="AA2769" t="e">
        <f>IF(#REF!&lt;=15,"Low Charges",
IF(#REF!&lt;=20,"Medium Charges","High Charges"))</f>
        <v>#REF!</v>
      </c>
      <c r="AB2769" t="e">
        <f>IF(AND(#REF!&gt;180, #REF!&gt;200), "Heavy Doemstic User", IF(#REF!&gt;10, "Interntional User", IF(AND(#REF!&lt;180, #REF!&lt;200,#REF!&lt;200), "Light User", "Balanced User")))</f>
        <v>#REF!</v>
      </c>
      <c r="AC2769" t="e">
        <f>IF(#REF! = 0, "No Usage", IF(#REF! &lt;= 20, "Low Usage", IF(#REF! &lt;= 40, "Medium Usgae", "High Usage")))</f>
        <v>#REF!</v>
      </c>
      <c r="AD2769" t="e">
        <f>IF(#REF!&lt;=150,"Low Usage", IF(#REF!&lt;=200,"Medium Usage", IF(#REF!&lt;=250,"High Usage","Very High Usage")))</f>
        <v>#REF!</v>
      </c>
      <c r="AE2769" t="e">
        <f>IF(#REF!&lt;=5,"Low Calls", IF(#REF!&lt;=10, "Medium Calls", "High Calls"))</f>
        <v>#REF!</v>
      </c>
      <c r="AF2769" t="e">
        <f xml:space="preserve">
IF(#REF!&gt;=4,4,0)+
IF(#REF!="yes",3,0)+
IF(#REF!="High Charges",3,0)+
IF(#REF!&gt;250,4,0)+
IF(#REF!="no",1,0)+
IF(#REF!="Heavy Domestic User",2,0)</f>
        <v>#REF!</v>
      </c>
      <c r="AG2769" t="e">
        <f>IF(#REF!&gt;=10,"High Risk", IF(#REF!&gt;=5,"Medium Risk","Low Risk"))</f>
        <v>#REF!</v>
      </c>
      <c r="AH2769" t="e">
        <f>#REF! + #REF! + #REF! + #REF!</f>
        <v>#REF!</v>
      </c>
    </row>
    <row r="2770" spans="1:34" x14ac:dyDescent="0.35">
      <c r="A2770">
        <v>2769</v>
      </c>
      <c r="B2770" t="s">
        <v>64</v>
      </c>
      <c r="C2770">
        <v>131</v>
      </c>
      <c r="D2770" t="s">
        <v>21</v>
      </c>
      <c r="E2770" t="s">
        <v>22</v>
      </c>
      <c r="F2770" t="s">
        <v>22</v>
      </c>
      <c r="G2770">
        <v>0</v>
      </c>
      <c r="H2770">
        <v>175.1</v>
      </c>
      <c r="I2770">
        <v>73</v>
      </c>
      <c r="J2770">
        <v>29.77</v>
      </c>
      <c r="K2770">
        <v>171.9</v>
      </c>
      <c r="L2770">
        <v>116</v>
      </c>
      <c r="M2770">
        <v>14.61</v>
      </c>
      <c r="N2770">
        <v>131.1</v>
      </c>
      <c r="O2770">
        <v>94</v>
      </c>
      <c r="P2770">
        <v>5.9</v>
      </c>
      <c r="Q2770">
        <v>7.3</v>
      </c>
      <c r="R2770">
        <v>6</v>
      </c>
      <c r="S2770">
        <v>1.97</v>
      </c>
      <c r="T2770">
        <v>1</v>
      </c>
      <c r="U2770" t="s">
        <v>22</v>
      </c>
      <c r="V2770" t="e">
        <f>IF(#REF! = "yes", 1, 0)</f>
        <v>#REF!</v>
      </c>
      <c r="W2770" t="e">
        <f>IF(#REF! &lt;= 1, "0-1 Calls", IF(#REF! &lt;= 3, "2-3 Calls", IF(#REF! &lt;=5, "4-5 Calls", "6+ Calls")))</f>
        <v>#REF!</v>
      </c>
      <c r="X2770" t="e">
        <f>IF(#REF! &lt;= 50, "0-50", IF(#REF! &lt;=100, "51-100", IF(#REF! &lt;= 150, "101-150", "151+")))</f>
        <v>#REF!</v>
      </c>
      <c r="Y2770" t="e">
        <f>IF(#REF! &lt;= 3, "Low Charges", "High Charges")</f>
        <v>#REF!</v>
      </c>
      <c r="Z2770" t="e">
        <f>IF(#REF!&lt;=80,"Low Calls",
IF(#REF!&lt;=120,"Medium Calls","High Calls"))</f>
        <v>#REF!</v>
      </c>
      <c r="AA2770" t="e">
        <f>IF(#REF!&lt;=15,"Low Charges",
IF(#REF!&lt;=20,"Medium Charges","High Charges"))</f>
        <v>#REF!</v>
      </c>
      <c r="AB2770" t="e">
        <f>IF(AND(#REF!&gt;180, #REF!&gt;200), "Heavy Doemstic User", IF(#REF!&gt;10, "Interntional User", IF(AND(#REF!&lt;180, #REF!&lt;200,#REF!&lt;200), "Light User", "Balanced User")))</f>
        <v>#REF!</v>
      </c>
      <c r="AC2770" t="e">
        <f>IF(#REF! = 0, "No Usage", IF(#REF! &lt;= 20, "Low Usage", IF(#REF! &lt;= 40, "Medium Usgae", "High Usage")))</f>
        <v>#REF!</v>
      </c>
      <c r="AD2770" t="e">
        <f>IF(#REF!&lt;=150,"Low Usage", IF(#REF!&lt;=200,"Medium Usage", IF(#REF!&lt;=250,"High Usage","Very High Usage")))</f>
        <v>#REF!</v>
      </c>
      <c r="AE2770" t="e">
        <f>IF(#REF!&lt;=5,"Low Calls", IF(#REF!&lt;=10, "Medium Calls", "High Calls"))</f>
        <v>#REF!</v>
      </c>
      <c r="AF2770" t="e">
        <f xml:space="preserve">
IF(#REF!&gt;=4,4,0)+
IF(#REF!="yes",3,0)+
IF(#REF!="High Charges",3,0)+
IF(#REF!&gt;250,4,0)+
IF(#REF!="no",1,0)+
IF(#REF!="Heavy Domestic User",2,0)</f>
        <v>#REF!</v>
      </c>
      <c r="AG2770" t="e">
        <f>IF(#REF!&gt;=10,"High Risk", IF(#REF!&gt;=5,"Medium Risk","Low Risk"))</f>
        <v>#REF!</v>
      </c>
      <c r="AH2770" t="e">
        <f>#REF! + #REF! + #REF! + #REF!</f>
        <v>#REF!</v>
      </c>
    </row>
    <row r="2771" spans="1:34" x14ac:dyDescent="0.35">
      <c r="A2771">
        <v>2770</v>
      </c>
      <c r="B2771" t="s">
        <v>57</v>
      </c>
      <c r="C2771">
        <v>88</v>
      </c>
      <c r="D2771" t="s">
        <v>25</v>
      </c>
      <c r="E2771" t="s">
        <v>22</v>
      </c>
      <c r="F2771" t="s">
        <v>22</v>
      </c>
      <c r="G2771">
        <v>0</v>
      </c>
      <c r="H2771">
        <v>142.19999999999999</v>
      </c>
      <c r="I2771">
        <v>107</v>
      </c>
      <c r="J2771">
        <v>24.17</v>
      </c>
      <c r="K2771">
        <v>262.39999999999998</v>
      </c>
      <c r="L2771">
        <v>84</v>
      </c>
      <c r="M2771">
        <v>22.3</v>
      </c>
      <c r="N2771">
        <v>139.19999999999999</v>
      </c>
      <c r="O2771">
        <v>99</v>
      </c>
      <c r="P2771">
        <v>6.26</v>
      </c>
      <c r="Q2771">
        <v>10.1</v>
      </c>
      <c r="R2771">
        <v>5</v>
      </c>
      <c r="S2771">
        <v>2.73</v>
      </c>
      <c r="T2771">
        <v>1</v>
      </c>
      <c r="U2771" t="s">
        <v>22</v>
      </c>
      <c r="V2771" t="e">
        <f>IF(#REF! = "yes", 1, 0)</f>
        <v>#REF!</v>
      </c>
      <c r="W2771" t="e">
        <f>IF(#REF! &lt;= 1, "0-1 Calls", IF(#REF! &lt;= 3, "2-3 Calls", IF(#REF! &lt;=5, "4-5 Calls", "6+ Calls")))</f>
        <v>#REF!</v>
      </c>
      <c r="X2771" t="e">
        <f>IF(#REF! &lt;= 50, "0-50", IF(#REF! &lt;=100, "51-100", IF(#REF! &lt;= 150, "101-150", "151+")))</f>
        <v>#REF!</v>
      </c>
      <c r="Y2771" t="e">
        <f>IF(#REF! &lt;= 3, "Low Charges", "High Charges")</f>
        <v>#REF!</v>
      </c>
      <c r="Z2771" t="e">
        <f>IF(#REF!&lt;=80,"Low Calls",
IF(#REF!&lt;=120,"Medium Calls","High Calls"))</f>
        <v>#REF!</v>
      </c>
      <c r="AA2771" t="e">
        <f>IF(#REF!&lt;=15,"Low Charges",
IF(#REF!&lt;=20,"Medium Charges","High Charges"))</f>
        <v>#REF!</v>
      </c>
      <c r="AB2771" t="e">
        <f>IF(AND(#REF!&gt;180, #REF!&gt;200), "Heavy Doemstic User", IF(#REF!&gt;10, "Interntional User", IF(AND(#REF!&lt;180, #REF!&lt;200,#REF!&lt;200), "Light User", "Balanced User")))</f>
        <v>#REF!</v>
      </c>
      <c r="AC2771" t="e">
        <f>IF(#REF! = 0, "No Usage", IF(#REF! &lt;= 20, "Low Usage", IF(#REF! &lt;= 40, "Medium Usgae", "High Usage")))</f>
        <v>#REF!</v>
      </c>
      <c r="AD2771" t="e">
        <f>IF(#REF!&lt;=150,"Low Usage", IF(#REF!&lt;=200,"Medium Usage", IF(#REF!&lt;=250,"High Usage","Very High Usage")))</f>
        <v>#REF!</v>
      </c>
      <c r="AE2771" t="e">
        <f>IF(#REF!&lt;=5,"Low Calls", IF(#REF!&lt;=10, "Medium Calls", "High Calls"))</f>
        <v>#REF!</v>
      </c>
      <c r="AF2771" t="e">
        <f xml:space="preserve">
IF(#REF!&gt;=4,4,0)+
IF(#REF!="yes",3,0)+
IF(#REF!="High Charges",3,0)+
IF(#REF!&gt;250,4,0)+
IF(#REF!="no",1,0)+
IF(#REF!="Heavy Domestic User",2,0)</f>
        <v>#REF!</v>
      </c>
      <c r="AG2771" t="e">
        <f>IF(#REF!&gt;=10,"High Risk", IF(#REF!&gt;=5,"Medium Risk","Low Risk"))</f>
        <v>#REF!</v>
      </c>
      <c r="AH2771" t="e">
        <f>#REF! + #REF! + #REF! + #REF!</f>
        <v>#REF!</v>
      </c>
    </row>
    <row r="2772" spans="1:34" x14ac:dyDescent="0.35">
      <c r="A2772">
        <v>2771</v>
      </c>
      <c r="B2772" t="s">
        <v>33</v>
      </c>
      <c r="C2772">
        <v>89</v>
      </c>
      <c r="D2772" t="s">
        <v>21</v>
      </c>
      <c r="E2772" t="s">
        <v>22</v>
      </c>
      <c r="F2772" t="s">
        <v>23</v>
      </c>
      <c r="G2772">
        <v>24</v>
      </c>
      <c r="H2772">
        <v>97.8</v>
      </c>
      <c r="I2772">
        <v>98</v>
      </c>
      <c r="J2772">
        <v>16.63</v>
      </c>
      <c r="K2772">
        <v>207.2</v>
      </c>
      <c r="L2772">
        <v>67</v>
      </c>
      <c r="M2772">
        <v>17.61</v>
      </c>
      <c r="N2772">
        <v>214.5</v>
      </c>
      <c r="O2772">
        <v>126</v>
      </c>
      <c r="P2772">
        <v>9.65</v>
      </c>
      <c r="Q2772">
        <v>5.9</v>
      </c>
      <c r="R2772">
        <v>2</v>
      </c>
      <c r="S2772">
        <v>1.59</v>
      </c>
      <c r="T2772">
        <v>0</v>
      </c>
      <c r="U2772" t="s">
        <v>22</v>
      </c>
      <c r="V2772" t="e">
        <f>IF(#REF! = "yes", 1, 0)</f>
        <v>#REF!</v>
      </c>
      <c r="W2772" t="e">
        <f>IF(#REF! &lt;= 1, "0-1 Calls", IF(#REF! &lt;= 3, "2-3 Calls", IF(#REF! &lt;=5, "4-5 Calls", "6+ Calls")))</f>
        <v>#REF!</v>
      </c>
      <c r="X2772" t="e">
        <f>IF(#REF! &lt;= 50, "0-50", IF(#REF! &lt;=100, "51-100", IF(#REF! &lt;= 150, "101-150", "151+")))</f>
        <v>#REF!</v>
      </c>
      <c r="Y2772" t="e">
        <f>IF(#REF! &lt;= 3, "Low Charges", "High Charges")</f>
        <v>#REF!</v>
      </c>
      <c r="Z2772" t="e">
        <f>IF(#REF!&lt;=80,"Low Calls",
IF(#REF!&lt;=120,"Medium Calls","High Calls"))</f>
        <v>#REF!</v>
      </c>
      <c r="AA2772" t="e">
        <f>IF(#REF!&lt;=15,"Low Charges",
IF(#REF!&lt;=20,"Medium Charges","High Charges"))</f>
        <v>#REF!</v>
      </c>
      <c r="AB2772" t="e">
        <f>IF(AND(#REF!&gt;180, #REF!&gt;200), "Heavy Doemstic User", IF(#REF!&gt;10, "Interntional User", IF(AND(#REF!&lt;180, #REF!&lt;200,#REF!&lt;200), "Light User", "Balanced User")))</f>
        <v>#REF!</v>
      </c>
      <c r="AC2772" t="e">
        <f>IF(#REF! = 0, "No Usage", IF(#REF! &lt;= 20, "Low Usage", IF(#REF! &lt;= 40, "Medium Usgae", "High Usage")))</f>
        <v>#REF!</v>
      </c>
      <c r="AD2772" t="e">
        <f>IF(#REF!&lt;=150,"Low Usage", IF(#REF!&lt;=200,"Medium Usage", IF(#REF!&lt;=250,"High Usage","Very High Usage")))</f>
        <v>#REF!</v>
      </c>
      <c r="AE2772" t="e">
        <f>IF(#REF!&lt;=5,"Low Calls", IF(#REF!&lt;=10, "Medium Calls", "High Calls"))</f>
        <v>#REF!</v>
      </c>
      <c r="AF2772" t="e">
        <f xml:space="preserve">
IF(#REF!&gt;=4,4,0)+
IF(#REF!="yes",3,0)+
IF(#REF!="High Charges",3,0)+
IF(#REF!&gt;250,4,0)+
IF(#REF!="no",1,0)+
IF(#REF!="Heavy Domestic User",2,0)</f>
        <v>#REF!</v>
      </c>
      <c r="AG2772" t="e">
        <f>IF(#REF!&gt;=10,"High Risk", IF(#REF!&gt;=5,"Medium Risk","Low Risk"))</f>
        <v>#REF!</v>
      </c>
      <c r="AH2772" t="e">
        <f>#REF! + #REF! + #REF! + #REF!</f>
        <v>#REF!</v>
      </c>
    </row>
    <row r="2773" spans="1:34" x14ac:dyDescent="0.35">
      <c r="A2773">
        <v>2772</v>
      </c>
      <c r="B2773" t="s">
        <v>37</v>
      </c>
      <c r="C2773">
        <v>82</v>
      </c>
      <c r="D2773" t="s">
        <v>21</v>
      </c>
      <c r="E2773" t="s">
        <v>22</v>
      </c>
      <c r="F2773" t="s">
        <v>22</v>
      </c>
      <c r="G2773">
        <v>0</v>
      </c>
      <c r="H2773">
        <v>266.89999999999998</v>
      </c>
      <c r="I2773">
        <v>83</v>
      </c>
      <c r="J2773">
        <v>45.37</v>
      </c>
      <c r="K2773">
        <v>229.7</v>
      </c>
      <c r="L2773">
        <v>74</v>
      </c>
      <c r="M2773">
        <v>19.52</v>
      </c>
      <c r="N2773">
        <v>251.7</v>
      </c>
      <c r="O2773">
        <v>99</v>
      </c>
      <c r="P2773">
        <v>11.33</v>
      </c>
      <c r="Q2773">
        <v>11</v>
      </c>
      <c r="R2773">
        <v>6</v>
      </c>
      <c r="S2773">
        <v>2.97</v>
      </c>
      <c r="T2773">
        <v>3</v>
      </c>
      <c r="U2773" t="s">
        <v>23</v>
      </c>
      <c r="V2773" t="e">
        <f>IF(#REF! = "yes", 1, 0)</f>
        <v>#REF!</v>
      </c>
      <c r="W2773" t="e">
        <f>IF(#REF! &lt;= 1, "0-1 Calls", IF(#REF! &lt;= 3, "2-3 Calls", IF(#REF! &lt;=5, "4-5 Calls", "6+ Calls")))</f>
        <v>#REF!</v>
      </c>
      <c r="X2773" t="e">
        <f>IF(#REF! &lt;= 50, "0-50", IF(#REF! &lt;=100, "51-100", IF(#REF! &lt;= 150, "101-150", "151+")))</f>
        <v>#REF!</v>
      </c>
      <c r="Y2773" t="e">
        <f>IF(#REF! &lt;= 3, "Low Charges", "High Charges")</f>
        <v>#REF!</v>
      </c>
      <c r="Z2773" t="e">
        <f>IF(#REF!&lt;=80,"Low Calls",
IF(#REF!&lt;=120,"Medium Calls","High Calls"))</f>
        <v>#REF!</v>
      </c>
      <c r="AA2773" t="e">
        <f>IF(#REF!&lt;=15,"Low Charges",
IF(#REF!&lt;=20,"Medium Charges","High Charges"))</f>
        <v>#REF!</v>
      </c>
      <c r="AB2773" t="e">
        <f>IF(AND(#REF!&gt;180, #REF!&gt;200), "Heavy Doemstic User", IF(#REF!&gt;10, "Interntional User", IF(AND(#REF!&lt;180, #REF!&lt;200,#REF!&lt;200), "Light User", "Balanced User")))</f>
        <v>#REF!</v>
      </c>
      <c r="AC2773" t="e">
        <f>IF(#REF! = 0, "No Usage", IF(#REF! &lt;= 20, "Low Usage", IF(#REF! &lt;= 40, "Medium Usgae", "High Usage")))</f>
        <v>#REF!</v>
      </c>
      <c r="AD2773" t="e">
        <f>IF(#REF!&lt;=150,"Low Usage", IF(#REF!&lt;=200,"Medium Usage", IF(#REF!&lt;=250,"High Usage","Very High Usage")))</f>
        <v>#REF!</v>
      </c>
      <c r="AE2773" t="e">
        <f>IF(#REF!&lt;=5,"Low Calls", IF(#REF!&lt;=10, "Medium Calls", "High Calls"))</f>
        <v>#REF!</v>
      </c>
      <c r="AF2773" t="e">
        <f xml:space="preserve">
IF(#REF!&gt;=4,4,0)+
IF(#REF!="yes",3,0)+
IF(#REF!="High Charges",3,0)+
IF(#REF!&gt;250,4,0)+
IF(#REF!="no",1,0)+
IF(#REF!="Heavy Domestic User",2,0)</f>
        <v>#REF!</v>
      </c>
      <c r="AG2773" t="e">
        <f>IF(#REF!&gt;=10,"High Risk", IF(#REF!&gt;=5,"Medium Risk","Low Risk"))</f>
        <v>#REF!</v>
      </c>
      <c r="AH2773" t="e">
        <f>#REF! + #REF! + #REF! + #REF!</f>
        <v>#REF!</v>
      </c>
    </row>
    <row r="2774" spans="1:34" x14ac:dyDescent="0.35">
      <c r="A2774">
        <v>2773</v>
      </c>
      <c r="B2774" t="s">
        <v>26</v>
      </c>
      <c r="C2774">
        <v>138</v>
      </c>
      <c r="D2774" t="s">
        <v>28</v>
      </c>
      <c r="E2774" t="s">
        <v>22</v>
      </c>
      <c r="F2774" t="s">
        <v>23</v>
      </c>
      <c r="G2774">
        <v>33</v>
      </c>
      <c r="H2774">
        <v>155.19999999999999</v>
      </c>
      <c r="I2774">
        <v>139</v>
      </c>
      <c r="J2774">
        <v>26.38</v>
      </c>
      <c r="K2774">
        <v>268.3</v>
      </c>
      <c r="L2774">
        <v>79</v>
      </c>
      <c r="M2774">
        <v>22.81</v>
      </c>
      <c r="N2774">
        <v>186.4</v>
      </c>
      <c r="O2774">
        <v>71</v>
      </c>
      <c r="P2774">
        <v>8.39</v>
      </c>
      <c r="Q2774">
        <v>9.6999999999999993</v>
      </c>
      <c r="R2774">
        <v>4</v>
      </c>
      <c r="S2774">
        <v>2.62</v>
      </c>
      <c r="T2774">
        <v>3</v>
      </c>
      <c r="U2774" t="s">
        <v>22</v>
      </c>
      <c r="V2774" t="e">
        <f>IF(#REF! = "yes", 1, 0)</f>
        <v>#REF!</v>
      </c>
      <c r="W2774" t="e">
        <f>IF(#REF! &lt;= 1, "0-1 Calls", IF(#REF! &lt;= 3, "2-3 Calls", IF(#REF! &lt;=5, "4-5 Calls", "6+ Calls")))</f>
        <v>#REF!</v>
      </c>
      <c r="X2774" t="e">
        <f>IF(#REF! &lt;= 50, "0-50", IF(#REF! &lt;=100, "51-100", IF(#REF! &lt;= 150, "101-150", "151+")))</f>
        <v>#REF!</v>
      </c>
      <c r="Y2774" t="e">
        <f>IF(#REF! &lt;= 3, "Low Charges", "High Charges")</f>
        <v>#REF!</v>
      </c>
      <c r="Z2774" t="e">
        <f>IF(#REF!&lt;=80,"Low Calls",
IF(#REF!&lt;=120,"Medium Calls","High Calls"))</f>
        <v>#REF!</v>
      </c>
      <c r="AA2774" t="e">
        <f>IF(#REF!&lt;=15,"Low Charges",
IF(#REF!&lt;=20,"Medium Charges","High Charges"))</f>
        <v>#REF!</v>
      </c>
      <c r="AB2774" t="e">
        <f>IF(AND(#REF!&gt;180, #REF!&gt;200), "Heavy Doemstic User", IF(#REF!&gt;10, "Interntional User", IF(AND(#REF!&lt;180, #REF!&lt;200,#REF!&lt;200), "Light User", "Balanced User")))</f>
        <v>#REF!</v>
      </c>
      <c r="AC2774" t="e">
        <f>IF(#REF! = 0, "No Usage", IF(#REF! &lt;= 20, "Low Usage", IF(#REF! &lt;= 40, "Medium Usgae", "High Usage")))</f>
        <v>#REF!</v>
      </c>
      <c r="AD2774" t="e">
        <f>IF(#REF!&lt;=150,"Low Usage", IF(#REF!&lt;=200,"Medium Usage", IF(#REF!&lt;=250,"High Usage","Very High Usage")))</f>
        <v>#REF!</v>
      </c>
      <c r="AE2774" t="e">
        <f>IF(#REF!&lt;=5,"Low Calls", IF(#REF!&lt;=10, "Medium Calls", "High Calls"))</f>
        <v>#REF!</v>
      </c>
      <c r="AF2774" t="e">
        <f xml:space="preserve">
IF(#REF!&gt;=4,4,0)+
IF(#REF!="yes",3,0)+
IF(#REF!="High Charges",3,0)+
IF(#REF!&gt;250,4,0)+
IF(#REF!="no",1,0)+
IF(#REF!="Heavy Domestic User",2,0)</f>
        <v>#REF!</v>
      </c>
      <c r="AG2774" t="e">
        <f>IF(#REF!&gt;=10,"High Risk", IF(#REF!&gt;=5,"Medium Risk","Low Risk"))</f>
        <v>#REF!</v>
      </c>
      <c r="AH2774" t="e">
        <f>#REF! + #REF! + #REF! + #REF!</f>
        <v>#REF!</v>
      </c>
    </row>
    <row r="2775" spans="1:34" x14ac:dyDescent="0.35">
      <c r="A2775">
        <v>2774</v>
      </c>
      <c r="B2775" t="s">
        <v>60</v>
      </c>
      <c r="C2775">
        <v>115</v>
      </c>
      <c r="D2775" t="s">
        <v>21</v>
      </c>
      <c r="E2775" t="s">
        <v>22</v>
      </c>
      <c r="F2775" t="s">
        <v>22</v>
      </c>
      <c r="G2775">
        <v>0</v>
      </c>
      <c r="H2775">
        <v>200.2</v>
      </c>
      <c r="I2775">
        <v>92</v>
      </c>
      <c r="J2775">
        <v>34.03</v>
      </c>
      <c r="K2775">
        <v>244.9</v>
      </c>
      <c r="L2775">
        <v>107</v>
      </c>
      <c r="M2775">
        <v>20.82</v>
      </c>
      <c r="N2775">
        <v>190.9</v>
      </c>
      <c r="O2775">
        <v>96</v>
      </c>
      <c r="P2775">
        <v>8.59</v>
      </c>
      <c r="Q2775">
        <v>8.8000000000000007</v>
      </c>
      <c r="R2775">
        <v>3</v>
      </c>
      <c r="S2775">
        <v>2.38</v>
      </c>
      <c r="T2775">
        <v>1</v>
      </c>
      <c r="U2775" t="s">
        <v>22</v>
      </c>
      <c r="V2775" t="e">
        <f>IF(#REF! = "yes", 1, 0)</f>
        <v>#REF!</v>
      </c>
      <c r="W2775" t="e">
        <f>IF(#REF! &lt;= 1, "0-1 Calls", IF(#REF! &lt;= 3, "2-3 Calls", IF(#REF! &lt;=5, "4-5 Calls", "6+ Calls")))</f>
        <v>#REF!</v>
      </c>
      <c r="X2775" t="e">
        <f>IF(#REF! &lt;= 50, "0-50", IF(#REF! &lt;=100, "51-100", IF(#REF! &lt;= 150, "101-150", "151+")))</f>
        <v>#REF!</v>
      </c>
      <c r="Y2775" t="e">
        <f>IF(#REF! &lt;= 3, "Low Charges", "High Charges")</f>
        <v>#REF!</v>
      </c>
      <c r="Z2775" t="e">
        <f>IF(#REF!&lt;=80,"Low Calls",
IF(#REF!&lt;=120,"Medium Calls","High Calls"))</f>
        <v>#REF!</v>
      </c>
      <c r="AA2775" t="e">
        <f>IF(#REF!&lt;=15,"Low Charges",
IF(#REF!&lt;=20,"Medium Charges","High Charges"))</f>
        <v>#REF!</v>
      </c>
      <c r="AB2775" t="e">
        <f>IF(AND(#REF!&gt;180, #REF!&gt;200), "Heavy Doemstic User", IF(#REF!&gt;10, "Interntional User", IF(AND(#REF!&lt;180, #REF!&lt;200,#REF!&lt;200), "Light User", "Balanced User")))</f>
        <v>#REF!</v>
      </c>
      <c r="AC2775" t="e">
        <f>IF(#REF! = 0, "No Usage", IF(#REF! &lt;= 20, "Low Usage", IF(#REF! &lt;= 40, "Medium Usgae", "High Usage")))</f>
        <v>#REF!</v>
      </c>
      <c r="AD2775" t="e">
        <f>IF(#REF!&lt;=150,"Low Usage", IF(#REF!&lt;=200,"Medium Usage", IF(#REF!&lt;=250,"High Usage","Very High Usage")))</f>
        <v>#REF!</v>
      </c>
      <c r="AE2775" t="e">
        <f>IF(#REF!&lt;=5,"Low Calls", IF(#REF!&lt;=10, "Medium Calls", "High Calls"))</f>
        <v>#REF!</v>
      </c>
      <c r="AF2775" t="e">
        <f xml:space="preserve">
IF(#REF!&gt;=4,4,0)+
IF(#REF!="yes",3,0)+
IF(#REF!="High Charges",3,0)+
IF(#REF!&gt;250,4,0)+
IF(#REF!="no",1,0)+
IF(#REF!="Heavy Domestic User",2,0)</f>
        <v>#REF!</v>
      </c>
      <c r="AG2775" t="e">
        <f>IF(#REF!&gt;=10,"High Risk", IF(#REF!&gt;=5,"Medium Risk","Low Risk"))</f>
        <v>#REF!</v>
      </c>
      <c r="AH2775" t="e">
        <f>#REF! + #REF! + #REF! + #REF!</f>
        <v>#REF!</v>
      </c>
    </row>
    <row r="2776" spans="1:34" x14ac:dyDescent="0.35">
      <c r="A2776">
        <v>2775</v>
      </c>
      <c r="B2776" t="s">
        <v>31</v>
      </c>
      <c r="C2776">
        <v>117</v>
      </c>
      <c r="D2776" t="s">
        <v>28</v>
      </c>
      <c r="E2776" t="s">
        <v>23</v>
      </c>
      <c r="F2776" t="s">
        <v>22</v>
      </c>
      <c r="G2776">
        <v>0</v>
      </c>
      <c r="H2776">
        <v>198.4</v>
      </c>
      <c r="I2776">
        <v>121</v>
      </c>
      <c r="J2776">
        <v>33.729999999999997</v>
      </c>
      <c r="K2776">
        <v>249.5</v>
      </c>
      <c r="L2776">
        <v>104</v>
      </c>
      <c r="M2776">
        <v>21.21</v>
      </c>
      <c r="N2776">
        <v>162.80000000000001</v>
      </c>
      <c r="O2776">
        <v>115</v>
      </c>
      <c r="P2776">
        <v>7.33</v>
      </c>
      <c r="Q2776">
        <v>10.5</v>
      </c>
      <c r="R2776">
        <v>5</v>
      </c>
      <c r="S2776">
        <v>2.84</v>
      </c>
      <c r="T2776">
        <v>1</v>
      </c>
      <c r="U2776" t="s">
        <v>22</v>
      </c>
      <c r="V2776" t="e">
        <f>IF(#REF! = "yes", 1, 0)</f>
        <v>#REF!</v>
      </c>
      <c r="W2776" t="e">
        <f>IF(#REF! &lt;= 1, "0-1 Calls", IF(#REF! &lt;= 3, "2-3 Calls", IF(#REF! &lt;=5, "4-5 Calls", "6+ Calls")))</f>
        <v>#REF!</v>
      </c>
      <c r="X2776" t="e">
        <f>IF(#REF! &lt;= 50, "0-50", IF(#REF! &lt;=100, "51-100", IF(#REF! &lt;= 150, "101-150", "151+")))</f>
        <v>#REF!</v>
      </c>
      <c r="Y2776" t="e">
        <f>IF(#REF! &lt;= 3, "Low Charges", "High Charges")</f>
        <v>#REF!</v>
      </c>
      <c r="Z2776" t="e">
        <f>IF(#REF!&lt;=80,"Low Calls",
IF(#REF!&lt;=120,"Medium Calls","High Calls"))</f>
        <v>#REF!</v>
      </c>
      <c r="AA2776" t="e">
        <f>IF(#REF!&lt;=15,"Low Charges",
IF(#REF!&lt;=20,"Medium Charges","High Charges"))</f>
        <v>#REF!</v>
      </c>
      <c r="AB2776" t="e">
        <f>IF(AND(#REF!&gt;180, #REF!&gt;200), "Heavy Doemstic User", IF(#REF!&gt;10, "Interntional User", IF(AND(#REF!&lt;180, #REF!&lt;200,#REF!&lt;200), "Light User", "Balanced User")))</f>
        <v>#REF!</v>
      </c>
      <c r="AC2776" t="e">
        <f>IF(#REF! = 0, "No Usage", IF(#REF! &lt;= 20, "Low Usage", IF(#REF! &lt;= 40, "Medium Usgae", "High Usage")))</f>
        <v>#REF!</v>
      </c>
      <c r="AD2776" t="e">
        <f>IF(#REF!&lt;=150,"Low Usage", IF(#REF!&lt;=200,"Medium Usage", IF(#REF!&lt;=250,"High Usage","Very High Usage")))</f>
        <v>#REF!</v>
      </c>
      <c r="AE2776" t="e">
        <f>IF(#REF!&lt;=5,"Low Calls", IF(#REF!&lt;=10, "Medium Calls", "High Calls"))</f>
        <v>#REF!</v>
      </c>
      <c r="AF2776" t="e">
        <f xml:space="preserve">
IF(#REF!&gt;=4,4,0)+
IF(#REF!="yes",3,0)+
IF(#REF!="High Charges",3,0)+
IF(#REF!&gt;250,4,0)+
IF(#REF!="no",1,0)+
IF(#REF!="Heavy Domestic User",2,0)</f>
        <v>#REF!</v>
      </c>
      <c r="AG2776" t="e">
        <f>IF(#REF!&gt;=10,"High Risk", IF(#REF!&gt;=5,"Medium Risk","Low Risk"))</f>
        <v>#REF!</v>
      </c>
      <c r="AH2776" t="e">
        <f>#REF! + #REF! + #REF! + #REF!</f>
        <v>#REF!</v>
      </c>
    </row>
    <row r="2777" spans="1:34" x14ac:dyDescent="0.35">
      <c r="A2777">
        <v>2776</v>
      </c>
      <c r="B2777" t="s">
        <v>46</v>
      </c>
      <c r="C2777">
        <v>60</v>
      </c>
      <c r="D2777" t="s">
        <v>21</v>
      </c>
      <c r="E2777" t="s">
        <v>22</v>
      </c>
      <c r="F2777" t="s">
        <v>22</v>
      </c>
      <c r="G2777">
        <v>0</v>
      </c>
      <c r="H2777">
        <v>180.3</v>
      </c>
      <c r="I2777">
        <v>67</v>
      </c>
      <c r="J2777">
        <v>30.65</v>
      </c>
      <c r="K2777">
        <v>208</v>
      </c>
      <c r="L2777">
        <v>68</v>
      </c>
      <c r="M2777">
        <v>17.68</v>
      </c>
      <c r="N2777">
        <v>181.2</v>
      </c>
      <c r="O2777">
        <v>101</v>
      </c>
      <c r="P2777">
        <v>8.15</v>
      </c>
      <c r="Q2777">
        <v>12.8</v>
      </c>
      <c r="R2777">
        <v>6</v>
      </c>
      <c r="S2777">
        <v>3.46</v>
      </c>
      <c r="T2777">
        <v>2</v>
      </c>
      <c r="U2777" t="s">
        <v>22</v>
      </c>
      <c r="V2777" t="e">
        <f>IF(#REF! = "yes", 1, 0)</f>
        <v>#REF!</v>
      </c>
      <c r="W2777" t="e">
        <f>IF(#REF! &lt;= 1, "0-1 Calls", IF(#REF! &lt;= 3, "2-3 Calls", IF(#REF! &lt;=5, "4-5 Calls", "6+ Calls")))</f>
        <v>#REF!</v>
      </c>
      <c r="X2777" t="e">
        <f>IF(#REF! &lt;= 50, "0-50", IF(#REF! &lt;=100, "51-100", IF(#REF! &lt;= 150, "101-150", "151+")))</f>
        <v>#REF!</v>
      </c>
      <c r="Y2777" t="e">
        <f>IF(#REF! &lt;= 3, "Low Charges", "High Charges")</f>
        <v>#REF!</v>
      </c>
      <c r="Z2777" t="e">
        <f>IF(#REF!&lt;=80,"Low Calls",
IF(#REF!&lt;=120,"Medium Calls","High Calls"))</f>
        <v>#REF!</v>
      </c>
      <c r="AA2777" t="e">
        <f>IF(#REF!&lt;=15,"Low Charges",
IF(#REF!&lt;=20,"Medium Charges","High Charges"))</f>
        <v>#REF!</v>
      </c>
      <c r="AB2777" t="e">
        <f>IF(AND(#REF!&gt;180, #REF!&gt;200), "Heavy Doemstic User", IF(#REF!&gt;10, "Interntional User", IF(AND(#REF!&lt;180, #REF!&lt;200,#REF!&lt;200), "Light User", "Balanced User")))</f>
        <v>#REF!</v>
      </c>
      <c r="AC2777" t="e">
        <f>IF(#REF! = 0, "No Usage", IF(#REF! &lt;= 20, "Low Usage", IF(#REF! &lt;= 40, "Medium Usgae", "High Usage")))</f>
        <v>#REF!</v>
      </c>
      <c r="AD2777" t="e">
        <f>IF(#REF!&lt;=150,"Low Usage", IF(#REF!&lt;=200,"Medium Usage", IF(#REF!&lt;=250,"High Usage","Very High Usage")))</f>
        <v>#REF!</v>
      </c>
      <c r="AE2777" t="e">
        <f>IF(#REF!&lt;=5,"Low Calls", IF(#REF!&lt;=10, "Medium Calls", "High Calls"))</f>
        <v>#REF!</v>
      </c>
      <c r="AF2777" t="e">
        <f xml:space="preserve">
IF(#REF!&gt;=4,4,0)+
IF(#REF!="yes",3,0)+
IF(#REF!="High Charges",3,0)+
IF(#REF!&gt;250,4,0)+
IF(#REF!="no",1,0)+
IF(#REF!="Heavy Domestic User",2,0)</f>
        <v>#REF!</v>
      </c>
      <c r="AG2777" t="e">
        <f>IF(#REF!&gt;=10,"High Risk", IF(#REF!&gt;=5,"Medium Risk","Low Risk"))</f>
        <v>#REF!</v>
      </c>
      <c r="AH2777" t="e">
        <f>#REF! + #REF! + #REF! + #REF!</f>
        <v>#REF!</v>
      </c>
    </row>
    <row r="2778" spans="1:34" x14ac:dyDescent="0.35">
      <c r="A2778">
        <v>2777</v>
      </c>
      <c r="B2778" t="s">
        <v>51</v>
      </c>
      <c r="C2778">
        <v>62</v>
      </c>
      <c r="D2778" t="s">
        <v>21</v>
      </c>
      <c r="E2778" t="s">
        <v>22</v>
      </c>
      <c r="F2778" t="s">
        <v>22</v>
      </c>
      <c r="G2778">
        <v>0</v>
      </c>
      <c r="H2778">
        <v>86.3</v>
      </c>
      <c r="I2778">
        <v>84</v>
      </c>
      <c r="J2778">
        <v>14.67</v>
      </c>
      <c r="K2778">
        <v>238.7</v>
      </c>
      <c r="L2778">
        <v>99</v>
      </c>
      <c r="M2778">
        <v>20.29</v>
      </c>
      <c r="N2778">
        <v>238.4</v>
      </c>
      <c r="O2778">
        <v>79</v>
      </c>
      <c r="P2778">
        <v>10.73</v>
      </c>
      <c r="Q2778">
        <v>12.5</v>
      </c>
      <c r="R2778">
        <v>1</v>
      </c>
      <c r="S2778">
        <v>3.38</v>
      </c>
      <c r="T2778">
        <v>2</v>
      </c>
      <c r="U2778" t="s">
        <v>22</v>
      </c>
      <c r="V2778" t="e">
        <f>IF(#REF! = "yes", 1, 0)</f>
        <v>#REF!</v>
      </c>
      <c r="W2778" t="e">
        <f>IF(#REF! &lt;= 1, "0-1 Calls", IF(#REF! &lt;= 3, "2-3 Calls", IF(#REF! &lt;=5, "4-5 Calls", "6+ Calls")))</f>
        <v>#REF!</v>
      </c>
      <c r="X2778" t="e">
        <f>IF(#REF! &lt;= 50, "0-50", IF(#REF! &lt;=100, "51-100", IF(#REF! &lt;= 150, "101-150", "151+")))</f>
        <v>#REF!</v>
      </c>
      <c r="Y2778" t="e">
        <f>IF(#REF! &lt;= 3, "Low Charges", "High Charges")</f>
        <v>#REF!</v>
      </c>
      <c r="Z2778" t="e">
        <f>IF(#REF!&lt;=80,"Low Calls",
IF(#REF!&lt;=120,"Medium Calls","High Calls"))</f>
        <v>#REF!</v>
      </c>
      <c r="AA2778" t="e">
        <f>IF(#REF!&lt;=15,"Low Charges",
IF(#REF!&lt;=20,"Medium Charges","High Charges"))</f>
        <v>#REF!</v>
      </c>
      <c r="AB2778" t="e">
        <f>IF(AND(#REF!&gt;180, #REF!&gt;200), "Heavy Doemstic User", IF(#REF!&gt;10, "Interntional User", IF(AND(#REF!&lt;180, #REF!&lt;200,#REF!&lt;200), "Light User", "Balanced User")))</f>
        <v>#REF!</v>
      </c>
      <c r="AC2778" t="e">
        <f>IF(#REF! = 0, "No Usage", IF(#REF! &lt;= 20, "Low Usage", IF(#REF! &lt;= 40, "Medium Usgae", "High Usage")))</f>
        <v>#REF!</v>
      </c>
      <c r="AD2778" t="e">
        <f>IF(#REF!&lt;=150,"Low Usage", IF(#REF!&lt;=200,"Medium Usage", IF(#REF!&lt;=250,"High Usage","Very High Usage")))</f>
        <v>#REF!</v>
      </c>
      <c r="AE2778" t="e">
        <f>IF(#REF!&lt;=5,"Low Calls", IF(#REF!&lt;=10, "Medium Calls", "High Calls"))</f>
        <v>#REF!</v>
      </c>
      <c r="AF2778" t="e">
        <f xml:space="preserve">
IF(#REF!&gt;=4,4,0)+
IF(#REF!="yes",3,0)+
IF(#REF!="High Charges",3,0)+
IF(#REF!&gt;250,4,0)+
IF(#REF!="no",1,0)+
IF(#REF!="Heavy Domestic User",2,0)</f>
        <v>#REF!</v>
      </c>
      <c r="AG2778" t="e">
        <f>IF(#REF!&gt;=10,"High Risk", IF(#REF!&gt;=5,"Medium Risk","Low Risk"))</f>
        <v>#REF!</v>
      </c>
      <c r="AH2778" t="e">
        <f>#REF! + #REF! + #REF! + #REF!</f>
        <v>#REF!</v>
      </c>
    </row>
    <row r="2779" spans="1:34" x14ac:dyDescent="0.35">
      <c r="A2779">
        <v>2778</v>
      </c>
      <c r="B2779" t="s">
        <v>49</v>
      </c>
      <c r="C2779">
        <v>133</v>
      </c>
      <c r="D2779" t="s">
        <v>28</v>
      </c>
      <c r="E2779" t="s">
        <v>22</v>
      </c>
      <c r="F2779" t="s">
        <v>22</v>
      </c>
      <c r="G2779">
        <v>0</v>
      </c>
      <c r="H2779">
        <v>295</v>
      </c>
      <c r="I2779">
        <v>141</v>
      </c>
      <c r="J2779">
        <v>50.15</v>
      </c>
      <c r="K2779">
        <v>223.6</v>
      </c>
      <c r="L2779">
        <v>101</v>
      </c>
      <c r="M2779">
        <v>19.010000000000002</v>
      </c>
      <c r="N2779">
        <v>229.4</v>
      </c>
      <c r="O2779">
        <v>109</v>
      </c>
      <c r="P2779">
        <v>10.32</v>
      </c>
      <c r="Q2779">
        <v>12.9</v>
      </c>
      <c r="R2779">
        <v>4</v>
      </c>
      <c r="S2779">
        <v>3.48</v>
      </c>
      <c r="T2779">
        <v>2</v>
      </c>
      <c r="U2779" t="s">
        <v>23</v>
      </c>
      <c r="V2779" t="e">
        <f>IF(#REF! = "yes", 1, 0)</f>
        <v>#REF!</v>
      </c>
      <c r="W2779" t="e">
        <f>IF(#REF! &lt;= 1, "0-1 Calls", IF(#REF! &lt;= 3, "2-3 Calls", IF(#REF! &lt;=5, "4-5 Calls", "6+ Calls")))</f>
        <v>#REF!</v>
      </c>
      <c r="X2779" t="e">
        <f>IF(#REF! &lt;= 50, "0-50", IF(#REF! &lt;=100, "51-100", IF(#REF! &lt;= 150, "101-150", "151+")))</f>
        <v>#REF!</v>
      </c>
      <c r="Y2779" t="e">
        <f>IF(#REF! &lt;= 3, "Low Charges", "High Charges")</f>
        <v>#REF!</v>
      </c>
      <c r="Z2779" t="e">
        <f>IF(#REF!&lt;=80,"Low Calls",
IF(#REF!&lt;=120,"Medium Calls","High Calls"))</f>
        <v>#REF!</v>
      </c>
      <c r="AA2779" t="e">
        <f>IF(#REF!&lt;=15,"Low Charges",
IF(#REF!&lt;=20,"Medium Charges","High Charges"))</f>
        <v>#REF!</v>
      </c>
      <c r="AB2779" t="e">
        <f>IF(AND(#REF!&gt;180, #REF!&gt;200), "Heavy Doemstic User", IF(#REF!&gt;10, "Interntional User", IF(AND(#REF!&lt;180, #REF!&lt;200,#REF!&lt;200), "Light User", "Balanced User")))</f>
        <v>#REF!</v>
      </c>
      <c r="AC2779" t="e">
        <f>IF(#REF! = 0, "No Usage", IF(#REF! &lt;= 20, "Low Usage", IF(#REF! &lt;= 40, "Medium Usgae", "High Usage")))</f>
        <v>#REF!</v>
      </c>
      <c r="AD2779" t="e">
        <f>IF(#REF!&lt;=150,"Low Usage", IF(#REF!&lt;=200,"Medium Usage", IF(#REF!&lt;=250,"High Usage","Very High Usage")))</f>
        <v>#REF!</v>
      </c>
      <c r="AE2779" t="e">
        <f>IF(#REF!&lt;=5,"Low Calls", IF(#REF!&lt;=10, "Medium Calls", "High Calls"))</f>
        <v>#REF!</v>
      </c>
      <c r="AF2779" t="e">
        <f xml:space="preserve">
IF(#REF!&gt;=4,4,0)+
IF(#REF!="yes",3,0)+
IF(#REF!="High Charges",3,0)+
IF(#REF!&gt;250,4,0)+
IF(#REF!="no",1,0)+
IF(#REF!="Heavy Domestic User",2,0)</f>
        <v>#REF!</v>
      </c>
      <c r="AG2779" t="e">
        <f>IF(#REF!&gt;=10,"High Risk", IF(#REF!&gt;=5,"Medium Risk","Low Risk"))</f>
        <v>#REF!</v>
      </c>
      <c r="AH2779" t="e">
        <f>#REF! + #REF! + #REF! + #REF!</f>
        <v>#REF!</v>
      </c>
    </row>
    <row r="2780" spans="1:34" x14ac:dyDescent="0.35">
      <c r="A2780">
        <v>2779</v>
      </c>
      <c r="B2780" t="s">
        <v>32</v>
      </c>
      <c r="C2780">
        <v>131</v>
      </c>
      <c r="D2780" t="s">
        <v>25</v>
      </c>
      <c r="E2780" t="s">
        <v>22</v>
      </c>
      <c r="F2780" t="s">
        <v>22</v>
      </c>
      <c r="G2780">
        <v>0</v>
      </c>
      <c r="H2780">
        <v>240.9</v>
      </c>
      <c r="I2780">
        <v>108</v>
      </c>
      <c r="J2780">
        <v>40.950000000000003</v>
      </c>
      <c r="K2780">
        <v>167.4</v>
      </c>
      <c r="L2780">
        <v>91</v>
      </c>
      <c r="M2780">
        <v>14.23</v>
      </c>
      <c r="N2780">
        <v>322.2</v>
      </c>
      <c r="O2780">
        <v>109</v>
      </c>
      <c r="P2780">
        <v>14.5</v>
      </c>
      <c r="Q2780">
        <v>14.7</v>
      </c>
      <c r="R2780">
        <v>8</v>
      </c>
      <c r="S2780">
        <v>3.97</v>
      </c>
      <c r="T2780">
        <v>3</v>
      </c>
      <c r="U2780" t="s">
        <v>22</v>
      </c>
      <c r="V2780" t="e">
        <f>IF(#REF! = "yes", 1, 0)</f>
        <v>#REF!</v>
      </c>
      <c r="W2780" t="e">
        <f>IF(#REF! &lt;= 1, "0-1 Calls", IF(#REF! &lt;= 3, "2-3 Calls", IF(#REF! &lt;=5, "4-5 Calls", "6+ Calls")))</f>
        <v>#REF!</v>
      </c>
      <c r="X2780" t="e">
        <f>IF(#REF! &lt;= 50, "0-50", IF(#REF! &lt;=100, "51-100", IF(#REF! &lt;= 150, "101-150", "151+")))</f>
        <v>#REF!</v>
      </c>
      <c r="Y2780" t="e">
        <f>IF(#REF! &lt;= 3, "Low Charges", "High Charges")</f>
        <v>#REF!</v>
      </c>
      <c r="Z2780" t="e">
        <f>IF(#REF!&lt;=80,"Low Calls",
IF(#REF!&lt;=120,"Medium Calls","High Calls"))</f>
        <v>#REF!</v>
      </c>
      <c r="AA2780" t="e">
        <f>IF(#REF!&lt;=15,"Low Charges",
IF(#REF!&lt;=20,"Medium Charges","High Charges"))</f>
        <v>#REF!</v>
      </c>
      <c r="AB2780" t="e">
        <f>IF(AND(#REF!&gt;180, #REF!&gt;200), "Heavy Doemstic User", IF(#REF!&gt;10, "Interntional User", IF(AND(#REF!&lt;180, #REF!&lt;200,#REF!&lt;200), "Light User", "Balanced User")))</f>
        <v>#REF!</v>
      </c>
      <c r="AC2780" t="e">
        <f>IF(#REF! = 0, "No Usage", IF(#REF! &lt;= 20, "Low Usage", IF(#REF! &lt;= 40, "Medium Usgae", "High Usage")))</f>
        <v>#REF!</v>
      </c>
      <c r="AD2780" t="e">
        <f>IF(#REF!&lt;=150,"Low Usage", IF(#REF!&lt;=200,"Medium Usage", IF(#REF!&lt;=250,"High Usage","Very High Usage")))</f>
        <v>#REF!</v>
      </c>
      <c r="AE2780" t="e">
        <f>IF(#REF!&lt;=5,"Low Calls", IF(#REF!&lt;=10, "Medium Calls", "High Calls"))</f>
        <v>#REF!</v>
      </c>
      <c r="AF2780" t="e">
        <f xml:space="preserve">
IF(#REF!&gt;=4,4,0)+
IF(#REF!="yes",3,0)+
IF(#REF!="High Charges",3,0)+
IF(#REF!&gt;250,4,0)+
IF(#REF!="no",1,0)+
IF(#REF!="Heavy Domestic User",2,0)</f>
        <v>#REF!</v>
      </c>
      <c r="AG2780" t="e">
        <f>IF(#REF!&gt;=10,"High Risk", IF(#REF!&gt;=5,"Medium Risk","Low Risk"))</f>
        <v>#REF!</v>
      </c>
      <c r="AH2780" t="e">
        <f>#REF! + #REF! + #REF! + #REF!</f>
        <v>#REF!</v>
      </c>
    </row>
    <row r="2781" spans="1:34" x14ac:dyDescent="0.35">
      <c r="A2781">
        <v>2780</v>
      </c>
      <c r="B2781" t="s">
        <v>32</v>
      </c>
      <c r="C2781">
        <v>65</v>
      </c>
      <c r="D2781" t="s">
        <v>25</v>
      </c>
      <c r="E2781" t="s">
        <v>22</v>
      </c>
      <c r="F2781" t="s">
        <v>22</v>
      </c>
      <c r="G2781">
        <v>0</v>
      </c>
      <c r="H2781">
        <v>207.7</v>
      </c>
      <c r="I2781">
        <v>109</v>
      </c>
      <c r="J2781">
        <v>35.31</v>
      </c>
      <c r="K2781">
        <v>217.5</v>
      </c>
      <c r="L2781">
        <v>117</v>
      </c>
      <c r="M2781">
        <v>18.489999999999998</v>
      </c>
      <c r="N2781">
        <v>125.6</v>
      </c>
      <c r="O2781">
        <v>111</v>
      </c>
      <c r="P2781">
        <v>5.65</v>
      </c>
      <c r="Q2781">
        <v>8</v>
      </c>
      <c r="R2781">
        <v>5</v>
      </c>
      <c r="S2781">
        <v>2.16</v>
      </c>
      <c r="T2781">
        <v>1</v>
      </c>
      <c r="U2781" t="s">
        <v>22</v>
      </c>
      <c r="V2781" t="e">
        <f>IF(#REF! = "yes", 1, 0)</f>
        <v>#REF!</v>
      </c>
      <c r="W2781" t="e">
        <f>IF(#REF! &lt;= 1, "0-1 Calls", IF(#REF! &lt;= 3, "2-3 Calls", IF(#REF! &lt;=5, "4-5 Calls", "6+ Calls")))</f>
        <v>#REF!</v>
      </c>
      <c r="X2781" t="e">
        <f>IF(#REF! &lt;= 50, "0-50", IF(#REF! &lt;=100, "51-100", IF(#REF! &lt;= 150, "101-150", "151+")))</f>
        <v>#REF!</v>
      </c>
      <c r="Y2781" t="e">
        <f>IF(#REF! &lt;= 3, "Low Charges", "High Charges")</f>
        <v>#REF!</v>
      </c>
      <c r="Z2781" t="e">
        <f>IF(#REF!&lt;=80,"Low Calls",
IF(#REF!&lt;=120,"Medium Calls","High Calls"))</f>
        <v>#REF!</v>
      </c>
      <c r="AA2781" t="e">
        <f>IF(#REF!&lt;=15,"Low Charges",
IF(#REF!&lt;=20,"Medium Charges","High Charges"))</f>
        <v>#REF!</v>
      </c>
      <c r="AB2781" t="e">
        <f>IF(AND(#REF!&gt;180, #REF!&gt;200), "Heavy Doemstic User", IF(#REF!&gt;10, "Interntional User", IF(AND(#REF!&lt;180, #REF!&lt;200,#REF!&lt;200), "Light User", "Balanced User")))</f>
        <v>#REF!</v>
      </c>
      <c r="AC2781" t="e">
        <f>IF(#REF! = 0, "No Usage", IF(#REF! &lt;= 20, "Low Usage", IF(#REF! &lt;= 40, "Medium Usgae", "High Usage")))</f>
        <v>#REF!</v>
      </c>
      <c r="AD2781" t="e">
        <f>IF(#REF!&lt;=150,"Low Usage", IF(#REF!&lt;=200,"Medium Usage", IF(#REF!&lt;=250,"High Usage","Very High Usage")))</f>
        <v>#REF!</v>
      </c>
      <c r="AE2781" t="e">
        <f>IF(#REF!&lt;=5,"Low Calls", IF(#REF!&lt;=10, "Medium Calls", "High Calls"))</f>
        <v>#REF!</v>
      </c>
      <c r="AF2781" t="e">
        <f xml:space="preserve">
IF(#REF!&gt;=4,4,0)+
IF(#REF!="yes",3,0)+
IF(#REF!="High Charges",3,0)+
IF(#REF!&gt;250,4,0)+
IF(#REF!="no",1,0)+
IF(#REF!="Heavy Domestic User",2,0)</f>
        <v>#REF!</v>
      </c>
      <c r="AG2781" t="e">
        <f>IF(#REF!&gt;=10,"High Risk", IF(#REF!&gt;=5,"Medium Risk","Low Risk"))</f>
        <v>#REF!</v>
      </c>
      <c r="AH2781" t="e">
        <f>#REF! + #REF! + #REF! + #REF!</f>
        <v>#REF!</v>
      </c>
    </row>
    <row r="2782" spans="1:34" x14ac:dyDescent="0.35">
      <c r="A2782">
        <v>2781</v>
      </c>
      <c r="B2782" t="s">
        <v>36</v>
      </c>
      <c r="C2782">
        <v>120</v>
      </c>
      <c r="D2782" t="s">
        <v>28</v>
      </c>
      <c r="E2782" t="s">
        <v>22</v>
      </c>
      <c r="F2782" t="s">
        <v>23</v>
      </c>
      <c r="G2782">
        <v>27</v>
      </c>
      <c r="H2782">
        <v>128.5</v>
      </c>
      <c r="I2782">
        <v>115</v>
      </c>
      <c r="J2782">
        <v>21.85</v>
      </c>
      <c r="K2782">
        <v>163.69999999999999</v>
      </c>
      <c r="L2782">
        <v>91</v>
      </c>
      <c r="M2782">
        <v>13.91</v>
      </c>
      <c r="N2782">
        <v>242.9</v>
      </c>
      <c r="O2782">
        <v>121</v>
      </c>
      <c r="P2782">
        <v>10.93</v>
      </c>
      <c r="Q2782">
        <v>0</v>
      </c>
      <c r="R2782">
        <v>0</v>
      </c>
      <c r="S2782">
        <v>0</v>
      </c>
      <c r="T2782">
        <v>1</v>
      </c>
      <c r="U2782" t="s">
        <v>22</v>
      </c>
      <c r="V2782" t="e">
        <f>IF(#REF! = "yes", 1, 0)</f>
        <v>#REF!</v>
      </c>
      <c r="W2782" t="e">
        <f>IF(#REF! &lt;= 1, "0-1 Calls", IF(#REF! &lt;= 3, "2-3 Calls", IF(#REF! &lt;=5, "4-5 Calls", "6+ Calls")))</f>
        <v>#REF!</v>
      </c>
      <c r="X2782" t="e">
        <f>IF(#REF! &lt;= 50, "0-50", IF(#REF! &lt;=100, "51-100", IF(#REF! &lt;= 150, "101-150", "151+")))</f>
        <v>#REF!</v>
      </c>
      <c r="Y2782" t="e">
        <f>IF(#REF! &lt;= 3, "Low Charges", "High Charges")</f>
        <v>#REF!</v>
      </c>
      <c r="Z2782" t="e">
        <f>IF(#REF!&lt;=80,"Low Calls",
IF(#REF!&lt;=120,"Medium Calls","High Calls"))</f>
        <v>#REF!</v>
      </c>
      <c r="AA2782" t="e">
        <f>IF(#REF!&lt;=15,"Low Charges",
IF(#REF!&lt;=20,"Medium Charges","High Charges"))</f>
        <v>#REF!</v>
      </c>
      <c r="AB2782" t="e">
        <f>IF(AND(#REF!&gt;180, #REF!&gt;200), "Heavy Doemstic User", IF(#REF!&gt;10, "Interntional User", IF(AND(#REF!&lt;180, #REF!&lt;200,#REF!&lt;200), "Light User", "Balanced User")))</f>
        <v>#REF!</v>
      </c>
      <c r="AC2782" t="e">
        <f>IF(#REF! = 0, "No Usage", IF(#REF! &lt;= 20, "Low Usage", IF(#REF! &lt;= 40, "Medium Usgae", "High Usage")))</f>
        <v>#REF!</v>
      </c>
      <c r="AD2782" t="e">
        <f>IF(#REF!&lt;=150,"Low Usage", IF(#REF!&lt;=200,"Medium Usage", IF(#REF!&lt;=250,"High Usage","Very High Usage")))</f>
        <v>#REF!</v>
      </c>
      <c r="AE2782" t="e">
        <f>IF(#REF!&lt;=5,"Low Calls", IF(#REF!&lt;=10, "Medium Calls", "High Calls"))</f>
        <v>#REF!</v>
      </c>
      <c r="AF2782" t="e">
        <f xml:space="preserve">
IF(#REF!&gt;=4,4,0)+
IF(#REF!="yes",3,0)+
IF(#REF!="High Charges",3,0)+
IF(#REF!&gt;250,4,0)+
IF(#REF!="no",1,0)+
IF(#REF!="Heavy Domestic User",2,0)</f>
        <v>#REF!</v>
      </c>
      <c r="AG2782" t="e">
        <f>IF(#REF!&gt;=10,"High Risk", IF(#REF!&gt;=5,"Medium Risk","Low Risk"))</f>
        <v>#REF!</v>
      </c>
      <c r="AH2782" t="e">
        <f>#REF! + #REF! + #REF! + #REF!</f>
        <v>#REF!</v>
      </c>
    </row>
    <row r="2783" spans="1:34" x14ac:dyDescent="0.35">
      <c r="A2783">
        <v>2782</v>
      </c>
      <c r="B2783" t="s">
        <v>52</v>
      </c>
      <c r="C2783">
        <v>142</v>
      </c>
      <c r="D2783" t="s">
        <v>28</v>
      </c>
      <c r="E2783" t="s">
        <v>22</v>
      </c>
      <c r="F2783" t="s">
        <v>23</v>
      </c>
      <c r="G2783">
        <v>22</v>
      </c>
      <c r="H2783">
        <v>224.4</v>
      </c>
      <c r="I2783">
        <v>114</v>
      </c>
      <c r="J2783">
        <v>38.15</v>
      </c>
      <c r="K2783">
        <v>146</v>
      </c>
      <c r="L2783">
        <v>106</v>
      </c>
      <c r="M2783">
        <v>12.41</v>
      </c>
      <c r="N2783">
        <v>241.4</v>
      </c>
      <c r="O2783">
        <v>98</v>
      </c>
      <c r="P2783">
        <v>10.86</v>
      </c>
      <c r="Q2783">
        <v>8.8000000000000007</v>
      </c>
      <c r="R2783">
        <v>2</v>
      </c>
      <c r="S2783">
        <v>2.38</v>
      </c>
      <c r="T2783">
        <v>1</v>
      </c>
      <c r="U2783" t="s">
        <v>22</v>
      </c>
      <c r="V2783" t="e">
        <f>IF(#REF! = "yes", 1, 0)</f>
        <v>#REF!</v>
      </c>
      <c r="W2783" t="e">
        <f>IF(#REF! &lt;= 1, "0-1 Calls", IF(#REF! &lt;= 3, "2-3 Calls", IF(#REF! &lt;=5, "4-5 Calls", "6+ Calls")))</f>
        <v>#REF!</v>
      </c>
      <c r="X2783" t="e">
        <f>IF(#REF! &lt;= 50, "0-50", IF(#REF! &lt;=100, "51-100", IF(#REF! &lt;= 150, "101-150", "151+")))</f>
        <v>#REF!</v>
      </c>
      <c r="Y2783" t="e">
        <f>IF(#REF! &lt;= 3, "Low Charges", "High Charges")</f>
        <v>#REF!</v>
      </c>
      <c r="Z2783" t="e">
        <f>IF(#REF!&lt;=80,"Low Calls",
IF(#REF!&lt;=120,"Medium Calls","High Calls"))</f>
        <v>#REF!</v>
      </c>
      <c r="AA2783" t="e">
        <f>IF(#REF!&lt;=15,"Low Charges",
IF(#REF!&lt;=20,"Medium Charges","High Charges"))</f>
        <v>#REF!</v>
      </c>
      <c r="AB2783" t="e">
        <f>IF(AND(#REF!&gt;180, #REF!&gt;200), "Heavy Doemstic User", IF(#REF!&gt;10, "Interntional User", IF(AND(#REF!&lt;180, #REF!&lt;200,#REF!&lt;200), "Light User", "Balanced User")))</f>
        <v>#REF!</v>
      </c>
      <c r="AC2783" t="e">
        <f>IF(#REF! = 0, "No Usage", IF(#REF! &lt;= 20, "Low Usage", IF(#REF! &lt;= 40, "Medium Usgae", "High Usage")))</f>
        <v>#REF!</v>
      </c>
      <c r="AD2783" t="e">
        <f>IF(#REF!&lt;=150,"Low Usage", IF(#REF!&lt;=200,"Medium Usage", IF(#REF!&lt;=250,"High Usage","Very High Usage")))</f>
        <v>#REF!</v>
      </c>
      <c r="AE2783" t="e">
        <f>IF(#REF!&lt;=5,"Low Calls", IF(#REF!&lt;=10, "Medium Calls", "High Calls"))</f>
        <v>#REF!</v>
      </c>
      <c r="AF2783" t="e">
        <f xml:space="preserve">
IF(#REF!&gt;=4,4,0)+
IF(#REF!="yes",3,0)+
IF(#REF!="High Charges",3,0)+
IF(#REF!&gt;250,4,0)+
IF(#REF!="no",1,0)+
IF(#REF!="Heavy Domestic User",2,0)</f>
        <v>#REF!</v>
      </c>
      <c r="AG2783" t="e">
        <f>IF(#REF!&gt;=10,"High Risk", IF(#REF!&gt;=5,"Medium Risk","Low Risk"))</f>
        <v>#REF!</v>
      </c>
      <c r="AH2783" t="e">
        <f>#REF! + #REF! + #REF! + #REF!</f>
        <v>#REF!</v>
      </c>
    </row>
    <row r="2784" spans="1:34" x14ac:dyDescent="0.35">
      <c r="A2784">
        <v>2783</v>
      </c>
      <c r="B2784" t="s">
        <v>26</v>
      </c>
      <c r="C2784">
        <v>134</v>
      </c>
      <c r="D2784" t="s">
        <v>21</v>
      </c>
      <c r="E2784" t="s">
        <v>22</v>
      </c>
      <c r="F2784" t="s">
        <v>22</v>
      </c>
      <c r="G2784">
        <v>0</v>
      </c>
      <c r="H2784">
        <v>164.9</v>
      </c>
      <c r="I2784">
        <v>115</v>
      </c>
      <c r="J2784">
        <v>28.03</v>
      </c>
      <c r="K2784">
        <v>126.5</v>
      </c>
      <c r="L2784">
        <v>96</v>
      </c>
      <c r="M2784">
        <v>10.75</v>
      </c>
      <c r="N2784">
        <v>238.5</v>
      </c>
      <c r="O2784">
        <v>125</v>
      </c>
      <c r="P2784">
        <v>10.73</v>
      </c>
      <c r="Q2784">
        <v>10</v>
      </c>
      <c r="R2784">
        <v>9</v>
      </c>
      <c r="S2784">
        <v>2.7</v>
      </c>
      <c r="T2784">
        <v>2</v>
      </c>
      <c r="U2784" t="s">
        <v>22</v>
      </c>
      <c r="V2784" t="e">
        <f>IF(#REF! = "yes", 1, 0)</f>
        <v>#REF!</v>
      </c>
      <c r="W2784" t="e">
        <f>IF(#REF! &lt;= 1, "0-1 Calls", IF(#REF! &lt;= 3, "2-3 Calls", IF(#REF! &lt;=5, "4-5 Calls", "6+ Calls")))</f>
        <v>#REF!</v>
      </c>
      <c r="X2784" t="e">
        <f>IF(#REF! &lt;= 50, "0-50", IF(#REF! &lt;=100, "51-100", IF(#REF! &lt;= 150, "101-150", "151+")))</f>
        <v>#REF!</v>
      </c>
      <c r="Y2784" t="e">
        <f>IF(#REF! &lt;= 3, "Low Charges", "High Charges")</f>
        <v>#REF!</v>
      </c>
      <c r="Z2784" t="e">
        <f>IF(#REF!&lt;=80,"Low Calls",
IF(#REF!&lt;=120,"Medium Calls","High Calls"))</f>
        <v>#REF!</v>
      </c>
      <c r="AA2784" t="e">
        <f>IF(#REF!&lt;=15,"Low Charges",
IF(#REF!&lt;=20,"Medium Charges","High Charges"))</f>
        <v>#REF!</v>
      </c>
      <c r="AB2784" t="e">
        <f>IF(AND(#REF!&gt;180, #REF!&gt;200), "Heavy Doemstic User", IF(#REF!&gt;10, "Interntional User", IF(AND(#REF!&lt;180, #REF!&lt;200,#REF!&lt;200), "Light User", "Balanced User")))</f>
        <v>#REF!</v>
      </c>
      <c r="AC2784" t="e">
        <f>IF(#REF! = 0, "No Usage", IF(#REF! &lt;= 20, "Low Usage", IF(#REF! &lt;= 40, "Medium Usgae", "High Usage")))</f>
        <v>#REF!</v>
      </c>
      <c r="AD2784" t="e">
        <f>IF(#REF!&lt;=150,"Low Usage", IF(#REF!&lt;=200,"Medium Usage", IF(#REF!&lt;=250,"High Usage","Very High Usage")))</f>
        <v>#REF!</v>
      </c>
      <c r="AE2784" t="e">
        <f>IF(#REF!&lt;=5,"Low Calls", IF(#REF!&lt;=10, "Medium Calls", "High Calls"))</f>
        <v>#REF!</v>
      </c>
      <c r="AF2784" t="e">
        <f xml:space="preserve">
IF(#REF!&gt;=4,4,0)+
IF(#REF!="yes",3,0)+
IF(#REF!="High Charges",3,0)+
IF(#REF!&gt;250,4,0)+
IF(#REF!="no",1,0)+
IF(#REF!="Heavy Domestic User",2,0)</f>
        <v>#REF!</v>
      </c>
      <c r="AG2784" t="e">
        <f>IF(#REF!&gt;=10,"High Risk", IF(#REF!&gt;=5,"Medium Risk","Low Risk"))</f>
        <v>#REF!</v>
      </c>
      <c r="AH2784" t="e">
        <f>#REF! + #REF! + #REF! + #REF!</f>
        <v>#REF!</v>
      </c>
    </row>
    <row r="2785" spans="1:34" x14ac:dyDescent="0.35">
      <c r="A2785">
        <v>2784</v>
      </c>
      <c r="B2785" t="s">
        <v>51</v>
      </c>
      <c r="C2785">
        <v>87</v>
      </c>
      <c r="D2785" t="s">
        <v>21</v>
      </c>
      <c r="E2785" t="s">
        <v>22</v>
      </c>
      <c r="F2785" t="s">
        <v>22</v>
      </c>
      <c r="G2785">
        <v>0</v>
      </c>
      <c r="H2785">
        <v>238</v>
      </c>
      <c r="I2785">
        <v>97</v>
      </c>
      <c r="J2785">
        <v>40.46</v>
      </c>
      <c r="K2785">
        <v>164.5</v>
      </c>
      <c r="L2785">
        <v>97</v>
      </c>
      <c r="M2785">
        <v>13.98</v>
      </c>
      <c r="N2785">
        <v>282.5</v>
      </c>
      <c r="O2785">
        <v>132</v>
      </c>
      <c r="P2785">
        <v>12.71</v>
      </c>
      <c r="Q2785">
        <v>10.6</v>
      </c>
      <c r="R2785">
        <v>6</v>
      </c>
      <c r="S2785">
        <v>2.86</v>
      </c>
      <c r="T2785">
        <v>2</v>
      </c>
      <c r="U2785" t="s">
        <v>22</v>
      </c>
      <c r="V2785" t="e">
        <f>IF(#REF! = "yes", 1, 0)</f>
        <v>#REF!</v>
      </c>
      <c r="W2785" t="e">
        <f>IF(#REF! &lt;= 1, "0-1 Calls", IF(#REF! &lt;= 3, "2-3 Calls", IF(#REF! &lt;=5, "4-5 Calls", "6+ Calls")))</f>
        <v>#REF!</v>
      </c>
      <c r="X2785" t="e">
        <f>IF(#REF! &lt;= 50, "0-50", IF(#REF! &lt;=100, "51-100", IF(#REF! &lt;= 150, "101-150", "151+")))</f>
        <v>#REF!</v>
      </c>
      <c r="Y2785" t="e">
        <f>IF(#REF! &lt;= 3, "Low Charges", "High Charges")</f>
        <v>#REF!</v>
      </c>
      <c r="Z2785" t="e">
        <f>IF(#REF!&lt;=80,"Low Calls",
IF(#REF!&lt;=120,"Medium Calls","High Calls"))</f>
        <v>#REF!</v>
      </c>
      <c r="AA2785" t="e">
        <f>IF(#REF!&lt;=15,"Low Charges",
IF(#REF!&lt;=20,"Medium Charges","High Charges"))</f>
        <v>#REF!</v>
      </c>
      <c r="AB2785" t="e">
        <f>IF(AND(#REF!&gt;180, #REF!&gt;200), "Heavy Doemstic User", IF(#REF!&gt;10, "Interntional User", IF(AND(#REF!&lt;180, #REF!&lt;200,#REF!&lt;200), "Light User", "Balanced User")))</f>
        <v>#REF!</v>
      </c>
      <c r="AC2785" t="e">
        <f>IF(#REF! = 0, "No Usage", IF(#REF! &lt;= 20, "Low Usage", IF(#REF! &lt;= 40, "Medium Usgae", "High Usage")))</f>
        <v>#REF!</v>
      </c>
      <c r="AD2785" t="e">
        <f>IF(#REF!&lt;=150,"Low Usage", IF(#REF!&lt;=200,"Medium Usage", IF(#REF!&lt;=250,"High Usage","Very High Usage")))</f>
        <v>#REF!</v>
      </c>
      <c r="AE2785" t="e">
        <f>IF(#REF!&lt;=5,"Low Calls", IF(#REF!&lt;=10, "Medium Calls", "High Calls"))</f>
        <v>#REF!</v>
      </c>
      <c r="AF2785" t="e">
        <f xml:space="preserve">
IF(#REF!&gt;=4,4,0)+
IF(#REF!="yes",3,0)+
IF(#REF!="High Charges",3,0)+
IF(#REF!&gt;250,4,0)+
IF(#REF!="no",1,0)+
IF(#REF!="Heavy Domestic User",2,0)</f>
        <v>#REF!</v>
      </c>
      <c r="AG2785" t="e">
        <f>IF(#REF!&gt;=10,"High Risk", IF(#REF!&gt;=5,"Medium Risk","Low Risk"))</f>
        <v>#REF!</v>
      </c>
      <c r="AH2785" t="e">
        <f>#REF! + #REF! + #REF! + #REF!</f>
        <v>#REF!</v>
      </c>
    </row>
    <row r="2786" spans="1:34" x14ac:dyDescent="0.35">
      <c r="A2786">
        <v>2785</v>
      </c>
      <c r="B2786" t="s">
        <v>24</v>
      </c>
      <c r="C2786">
        <v>139</v>
      </c>
      <c r="D2786" t="s">
        <v>21</v>
      </c>
      <c r="E2786" t="s">
        <v>22</v>
      </c>
      <c r="F2786" t="s">
        <v>23</v>
      </c>
      <c r="G2786">
        <v>43</v>
      </c>
      <c r="H2786">
        <v>231</v>
      </c>
      <c r="I2786">
        <v>85</v>
      </c>
      <c r="J2786">
        <v>39.270000000000003</v>
      </c>
      <c r="K2786">
        <v>222.3</v>
      </c>
      <c r="L2786">
        <v>82</v>
      </c>
      <c r="M2786">
        <v>18.899999999999999</v>
      </c>
      <c r="N2786">
        <v>148</v>
      </c>
      <c r="O2786">
        <v>105</v>
      </c>
      <c r="P2786">
        <v>6.66</v>
      </c>
      <c r="Q2786">
        <v>8.3000000000000007</v>
      </c>
      <c r="R2786">
        <v>5</v>
      </c>
      <c r="S2786">
        <v>2.2400000000000002</v>
      </c>
      <c r="T2786">
        <v>2</v>
      </c>
      <c r="U2786" t="s">
        <v>22</v>
      </c>
      <c r="V2786" t="e">
        <f>IF(#REF! = "yes", 1, 0)</f>
        <v>#REF!</v>
      </c>
      <c r="W2786" t="e">
        <f>IF(#REF! &lt;= 1, "0-1 Calls", IF(#REF! &lt;= 3, "2-3 Calls", IF(#REF! &lt;=5, "4-5 Calls", "6+ Calls")))</f>
        <v>#REF!</v>
      </c>
      <c r="X2786" t="e">
        <f>IF(#REF! &lt;= 50, "0-50", IF(#REF! &lt;=100, "51-100", IF(#REF! &lt;= 150, "101-150", "151+")))</f>
        <v>#REF!</v>
      </c>
      <c r="Y2786" t="e">
        <f>IF(#REF! &lt;= 3, "Low Charges", "High Charges")</f>
        <v>#REF!</v>
      </c>
      <c r="Z2786" t="e">
        <f>IF(#REF!&lt;=80,"Low Calls",
IF(#REF!&lt;=120,"Medium Calls","High Calls"))</f>
        <v>#REF!</v>
      </c>
      <c r="AA2786" t="e">
        <f>IF(#REF!&lt;=15,"Low Charges",
IF(#REF!&lt;=20,"Medium Charges","High Charges"))</f>
        <v>#REF!</v>
      </c>
      <c r="AB2786" t="e">
        <f>IF(AND(#REF!&gt;180, #REF!&gt;200), "Heavy Doemstic User", IF(#REF!&gt;10, "Interntional User", IF(AND(#REF!&lt;180, #REF!&lt;200,#REF!&lt;200), "Light User", "Balanced User")))</f>
        <v>#REF!</v>
      </c>
      <c r="AC2786" t="e">
        <f>IF(#REF! = 0, "No Usage", IF(#REF! &lt;= 20, "Low Usage", IF(#REF! &lt;= 40, "Medium Usgae", "High Usage")))</f>
        <v>#REF!</v>
      </c>
      <c r="AD2786" t="e">
        <f>IF(#REF!&lt;=150,"Low Usage", IF(#REF!&lt;=200,"Medium Usage", IF(#REF!&lt;=250,"High Usage","Very High Usage")))</f>
        <v>#REF!</v>
      </c>
      <c r="AE2786" t="e">
        <f>IF(#REF!&lt;=5,"Low Calls", IF(#REF!&lt;=10, "Medium Calls", "High Calls"))</f>
        <v>#REF!</v>
      </c>
      <c r="AF2786" t="e">
        <f xml:space="preserve">
IF(#REF!&gt;=4,4,0)+
IF(#REF!="yes",3,0)+
IF(#REF!="High Charges",3,0)+
IF(#REF!&gt;250,4,0)+
IF(#REF!="no",1,0)+
IF(#REF!="Heavy Domestic User",2,0)</f>
        <v>#REF!</v>
      </c>
      <c r="AG2786" t="e">
        <f>IF(#REF!&gt;=10,"High Risk", IF(#REF!&gt;=5,"Medium Risk","Low Risk"))</f>
        <v>#REF!</v>
      </c>
      <c r="AH2786" t="e">
        <f>#REF! + #REF! + #REF! + #REF!</f>
        <v>#REF!</v>
      </c>
    </row>
    <row r="2787" spans="1:34" x14ac:dyDescent="0.35">
      <c r="A2787">
        <v>2786</v>
      </c>
      <c r="B2787" t="s">
        <v>50</v>
      </c>
      <c r="C2787">
        <v>76</v>
      </c>
      <c r="D2787" t="s">
        <v>25</v>
      </c>
      <c r="E2787" t="s">
        <v>22</v>
      </c>
      <c r="F2787" t="s">
        <v>22</v>
      </c>
      <c r="G2787">
        <v>0</v>
      </c>
      <c r="H2787">
        <v>107.3</v>
      </c>
      <c r="I2787">
        <v>140</v>
      </c>
      <c r="J2787">
        <v>18.239999999999998</v>
      </c>
      <c r="K2787">
        <v>238.2</v>
      </c>
      <c r="L2787">
        <v>133</v>
      </c>
      <c r="M2787">
        <v>20.25</v>
      </c>
      <c r="N2787">
        <v>271.8</v>
      </c>
      <c r="O2787">
        <v>116</v>
      </c>
      <c r="P2787">
        <v>12.23</v>
      </c>
      <c r="Q2787">
        <v>10</v>
      </c>
      <c r="R2787">
        <v>3</v>
      </c>
      <c r="S2787">
        <v>2.7</v>
      </c>
      <c r="T2787">
        <v>4</v>
      </c>
      <c r="U2787" t="s">
        <v>23</v>
      </c>
      <c r="V2787" t="e">
        <f>IF(#REF! = "yes", 1, 0)</f>
        <v>#REF!</v>
      </c>
      <c r="W2787" t="e">
        <f>IF(#REF! &lt;= 1, "0-1 Calls", IF(#REF! &lt;= 3, "2-3 Calls", IF(#REF! &lt;=5, "4-5 Calls", "6+ Calls")))</f>
        <v>#REF!</v>
      </c>
      <c r="X2787" t="e">
        <f>IF(#REF! &lt;= 50, "0-50", IF(#REF! &lt;=100, "51-100", IF(#REF! &lt;= 150, "101-150", "151+")))</f>
        <v>#REF!</v>
      </c>
      <c r="Y2787" t="e">
        <f>IF(#REF! &lt;= 3, "Low Charges", "High Charges")</f>
        <v>#REF!</v>
      </c>
      <c r="Z2787" t="e">
        <f>IF(#REF!&lt;=80,"Low Calls",
IF(#REF!&lt;=120,"Medium Calls","High Calls"))</f>
        <v>#REF!</v>
      </c>
      <c r="AA2787" t="e">
        <f>IF(#REF!&lt;=15,"Low Charges",
IF(#REF!&lt;=20,"Medium Charges","High Charges"))</f>
        <v>#REF!</v>
      </c>
      <c r="AB2787" t="e">
        <f>IF(AND(#REF!&gt;180, #REF!&gt;200), "Heavy Doemstic User", IF(#REF!&gt;10, "Interntional User", IF(AND(#REF!&lt;180, #REF!&lt;200,#REF!&lt;200), "Light User", "Balanced User")))</f>
        <v>#REF!</v>
      </c>
      <c r="AC2787" t="e">
        <f>IF(#REF! = 0, "No Usage", IF(#REF! &lt;= 20, "Low Usage", IF(#REF! &lt;= 40, "Medium Usgae", "High Usage")))</f>
        <v>#REF!</v>
      </c>
      <c r="AD2787" t="e">
        <f>IF(#REF!&lt;=150,"Low Usage", IF(#REF!&lt;=200,"Medium Usage", IF(#REF!&lt;=250,"High Usage","Very High Usage")))</f>
        <v>#REF!</v>
      </c>
      <c r="AE2787" t="e">
        <f>IF(#REF!&lt;=5,"Low Calls", IF(#REF!&lt;=10, "Medium Calls", "High Calls"))</f>
        <v>#REF!</v>
      </c>
      <c r="AF2787" t="e">
        <f xml:space="preserve">
IF(#REF!&gt;=4,4,0)+
IF(#REF!="yes",3,0)+
IF(#REF!="High Charges",3,0)+
IF(#REF!&gt;250,4,0)+
IF(#REF!="no",1,0)+
IF(#REF!="Heavy Domestic User",2,0)</f>
        <v>#REF!</v>
      </c>
      <c r="AG2787" t="e">
        <f>IF(#REF!&gt;=10,"High Risk", IF(#REF!&gt;=5,"Medium Risk","Low Risk"))</f>
        <v>#REF!</v>
      </c>
      <c r="AH2787" t="e">
        <f>#REF! + #REF! + #REF! + #REF!</f>
        <v>#REF!</v>
      </c>
    </row>
    <row r="2788" spans="1:34" x14ac:dyDescent="0.35">
      <c r="A2788">
        <v>2787</v>
      </c>
      <c r="B2788" t="s">
        <v>55</v>
      </c>
      <c r="C2788">
        <v>100</v>
      </c>
      <c r="D2788" t="s">
        <v>25</v>
      </c>
      <c r="E2788" t="s">
        <v>22</v>
      </c>
      <c r="F2788" t="s">
        <v>22</v>
      </c>
      <c r="G2788">
        <v>0</v>
      </c>
      <c r="H2788">
        <v>185</v>
      </c>
      <c r="I2788">
        <v>122</v>
      </c>
      <c r="J2788">
        <v>31.45</v>
      </c>
      <c r="K2788">
        <v>182.5</v>
      </c>
      <c r="L2788">
        <v>92</v>
      </c>
      <c r="M2788">
        <v>15.51</v>
      </c>
      <c r="N2788">
        <v>274.89999999999998</v>
      </c>
      <c r="O2788">
        <v>92</v>
      </c>
      <c r="P2788">
        <v>12.37</v>
      </c>
      <c r="Q2788">
        <v>5.0999999999999996</v>
      </c>
      <c r="R2788">
        <v>8</v>
      </c>
      <c r="S2788">
        <v>1.38</v>
      </c>
      <c r="T2788">
        <v>1</v>
      </c>
      <c r="U2788" t="s">
        <v>22</v>
      </c>
      <c r="V2788" t="e">
        <f>IF(#REF! = "yes", 1, 0)</f>
        <v>#REF!</v>
      </c>
      <c r="W2788" t="e">
        <f>IF(#REF! &lt;= 1, "0-1 Calls", IF(#REF! &lt;= 3, "2-3 Calls", IF(#REF! &lt;=5, "4-5 Calls", "6+ Calls")))</f>
        <v>#REF!</v>
      </c>
      <c r="X2788" t="e">
        <f>IF(#REF! &lt;= 50, "0-50", IF(#REF! &lt;=100, "51-100", IF(#REF! &lt;= 150, "101-150", "151+")))</f>
        <v>#REF!</v>
      </c>
      <c r="Y2788" t="e">
        <f>IF(#REF! &lt;= 3, "Low Charges", "High Charges")</f>
        <v>#REF!</v>
      </c>
      <c r="Z2788" t="e">
        <f>IF(#REF!&lt;=80,"Low Calls",
IF(#REF!&lt;=120,"Medium Calls","High Calls"))</f>
        <v>#REF!</v>
      </c>
      <c r="AA2788" t="e">
        <f>IF(#REF!&lt;=15,"Low Charges",
IF(#REF!&lt;=20,"Medium Charges","High Charges"))</f>
        <v>#REF!</v>
      </c>
      <c r="AB2788" t="e">
        <f>IF(AND(#REF!&gt;180, #REF!&gt;200), "Heavy Doemstic User", IF(#REF!&gt;10, "Interntional User", IF(AND(#REF!&lt;180, #REF!&lt;200,#REF!&lt;200), "Light User", "Balanced User")))</f>
        <v>#REF!</v>
      </c>
      <c r="AC2788" t="e">
        <f>IF(#REF! = 0, "No Usage", IF(#REF! &lt;= 20, "Low Usage", IF(#REF! &lt;= 40, "Medium Usgae", "High Usage")))</f>
        <v>#REF!</v>
      </c>
      <c r="AD2788" t="e">
        <f>IF(#REF!&lt;=150,"Low Usage", IF(#REF!&lt;=200,"Medium Usage", IF(#REF!&lt;=250,"High Usage","Very High Usage")))</f>
        <v>#REF!</v>
      </c>
      <c r="AE2788" t="e">
        <f>IF(#REF!&lt;=5,"Low Calls", IF(#REF!&lt;=10, "Medium Calls", "High Calls"))</f>
        <v>#REF!</v>
      </c>
      <c r="AF2788" t="e">
        <f xml:space="preserve">
IF(#REF!&gt;=4,4,0)+
IF(#REF!="yes",3,0)+
IF(#REF!="High Charges",3,0)+
IF(#REF!&gt;250,4,0)+
IF(#REF!="no",1,0)+
IF(#REF!="Heavy Domestic User",2,0)</f>
        <v>#REF!</v>
      </c>
      <c r="AG2788" t="e">
        <f>IF(#REF!&gt;=10,"High Risk", IF(#REF!&gt;=5,"Medium Risk","Low Risk"))</f>
        <v>#REF!</v>
      </c>
      <c r="AH2788" t="e">
        <f>#REF! + #REF! + #REF! + #REF!</f>
        <v>#REF!</v>
      </c>
    </row>
    <row r="2789" spans="1:34" x14ac:dyDescent="0.35">
      <c r="A2789">
        <v>2788</v>
      </c>
      <c r="B2789" t="s">
        <v>63</v>
      </c>
      <c r="C2789">
        <v>99</v>
      </c>
      <c r="D2789" t="s">
        <v>21</v>
      </c>
      <c r="E2789" t="s">
        <v>22</v>
      </c>
      <c r="F2789" t="s">
        <v>23</v>
      </c>
      <c r="G2789">
        <v>31</v>
      </c>
      <c r="H2789">
        <v>244.1</v>
      </c>
      <c r="I2789">
        <v>71</v>
      </c>
      <c r="J2789">
        <v>41.5</v>
      </c>
      <c r="K2789">
        <v>203.4</v>
      </c>
      <c r="L2789">
        <v>58</v>
      </c>
      <c r="M2789">
        <v>17.29</v>
      </c>
      <c r="N2789">
        <v>234</v>
      </c>
      <c r="O2789">
        <v>115</v>
      </c>
      <c r="P2789">
        <v>10.53</v>
      </c>
      <c r="Q2789">
        <v>7.7</v>
      </c>
      <c r="R2789">
        <v>4</v>
      </c>
      <c r="S2789">
        <v>2.08</v>
      </c>
      <c r="T2789">
        <v>3</v>
      </c>
      <c r="U2789" t="s">
        <v>22</v>
      </c>
      <c r="V2789" t="e">
        <f>IF(#REF! = "yes", 1, 0)</f>
        <v>#REF!</v>
      </c>
      <c r="W2789" t="e">
        <f>IF(#REF! &lt;= 1, "0-1 Calls", IF(#REF! &lt;= 3, "2-3 Calls", IF(#REF! &lt;=5, "4-5 Calls", "6+ Calls")))</f>
        <v>#REF!</v>
      </c>
      <c r="X2789" t="e">
        <f>IF(#REF! &lt;= 50, "0-50", IF(#REF! &lt;=100, "51-100", IF(#REF! &lt;= 150, "101-150", "151+")))</f>
        <v>#REF!</v>
      </c>
      <c r="Y2789" t="e">
        <f>IF(#REF! &lt;= 3, "Low Charges", "High Charges")</f>
        <v>#REF!</v>
      </c>
      <c r="Z2789" t="e">
        <f>IF(#REF!&lt;=80,"Low Calls",
IF(#REF!&lt;=120,"Medium Calls","High Calls"))</f>
        <v>#REF!</v>
      </c>
      <c r="AA2789" t="e">
        <f>IF(#REF!&lt;=15,"Low Charges",
IF(#REF!&lt;=20,"Medium Charges","High Charges"))</f>
        <v>#REF!</v>
      </c>
      <c r="AB2789" t="e">
        <f>IF(AND(#REF!&gt;180, #REF!&gt;200), "Heavy Doemstic User", IF(#REF!&gt;10, "Interntional User", IF(AND(#REF!&lt;180, #REF!&lt;200,#REF!&lt;200), "Light User", "Balanced User")))</f>
        <v>#REF!</v>
      </c>
      <c r="AC2789" t="e">
        <f>IF(#REF! = 0, "No Usage", IF(#REF! &lt;= 20, "Low Usage", IF(#REF! &lt;= 40, "Medium Usgae", "High Usage")))</f>
        <v>#REF!</v>
      </c>
      <c r="AD2789" t="e">
        <f>IF(#REF!&lt;=150,"Low Usage", IF(#REF!&lt;=200,"Medium Usage", IF(#REF!&lt;=250,"High Usage","Very High Usage")))</f>
        <v>#REF!</v>
      </c>
      <c r="AE2789" t="e">
        <f>IF(#REF!&lt;=5,"Low Calls", IF(#REF!&lt;=10, "Medium Calls", "High Calls"))</f>
        <v>#REF!</v>
      </c>
      <c r="AF2789" t="e">
        <f xml:space="preserve">
IF(#REF!&gt;=4,4,0)+
IF(#REF!="yes",3,0)+
IF(#REF!="High Charges",3,0)+
IF(#REF!&gt;250,4,0)+
IF(#REF!="no",1,0)+
IF(#REF!="Heavy Domestic User",2,0)</f>
        <v>#REF!</v>
      </c>
      <c r="AG2789" t="e">
        <f>IF(#REF!&gt;=10,"High Risk", IF(#REF!&gt;=5,"Medium Risk","Low Risk"))</f>
        <v>#REF!</v>
      </c>
      <c r="AH2789" t="e">
        <f>#REF! + #REF! + #REF! + #REF!</f>
        <v>#REF!</v>
      </c>
    </row>
    <row r="2790" spans="1:34" x14ac:dyDescent="0.35">
      <c r="A2790">
        <v>2789</v>
      </c>
      <c r="B2790" t="s">
        <v>42</v>
      </c>
      <c r="C2790">
        <v>48</v>
      </c>
      <c r="D2790" t="s">
        <v>21</v>
      </c>
      <c r="E2790" t="s">
        <v>22</v>
      </c>
      <c r="F2790" t="s">
        <v>23</v>
      </c>
      <c r="G2790">
        <v>27</v>
      </c>
      <c r="H2790">
        <v>141.1</v>
      </c>
      <c r="I2790">
        <v>109</v>
      </c>
      <c r="J2790">
        <v>23.99</v>
      </c>
      <c r="K2790">
        <v>224.7</v>
      </c>
      <c r="L2790">
        <v>94</v>
      </c>
      <c r="M2790">
        <v>19.100000000000001</v>
      </c>
      <c r="N2790">
        <v>174.3</v>
      </c>
      <c r="O2790">
        <v>122</v>
      </c>
      <c r="P2790">
        <v>7.84</v>
      </c>
      <c r="Q2790">
        <v>13.2</v>
      </c>
      <c r="R2790">
        <v>2</v>
      </c>
      <c r="S2790">
        <v>3.56</v>
      </c>
      <c r="T2790">
        <v>1</v>
      </c>
      <c r="U2790" t="s">
        <v>22</v>
      </c>
      <c r="V2790" t="e">
        <f>IF(#REF! = "yes", 1, 0)</f>
        <v>#REF!</v>
      </c>
      <c r="W2790" t="e">
        <f>IF(#REF! &lt;= 1, "0-1 Calls", IF(#REF! &lt;= 3, "2-3 Calls", IF(#REF! &lt;=5, "4-5 Calls", "6+ Calls")))</f>
        <v>#REF!</v>
      </c>
      <c r="X2790" t="e">
        <f>IF(#REF! &lt;= 50, "0-50", IF(#REF! &lt;=100, "51-100", IF(#REF! &lt;= 150, "101-150", "151+")))</f>
        <v>#REF!</v>
      </c>
      <c r="Y2790" t="e">
        <f>IF(#REF! &lt;= 3, "Low Charges", "High Charges")</f>
        <v>#REF!</v>
      </c>
      <c r="Z2790" t="e">
        <f>IF(#REF!&lt;=80,"Low Calls",
IF(#REF!&lt;=120,"Medium Calls","High Calls"))</f>
        <v>#REF!</v>
      </c>
      <c r="AA2790" t="e">
        <f>IF(#REF!&lt;=15,"Low Charges",
IF(#REF!&lt;=20,"Medium Charges","High Charges"))</f>
        <v>#REF!</v>
      </c>
      <c r="AB2790" t="e">
        <f>IF(AND(#REF!&gt;180, #REF!&gt;200), "Heavy Doemstic User", IF(#REF!&gt;10, "Interntional User", IF(AND(#REF!&lt;180, #REF!&lt;200,#REF!&lt;200), "Light User", "Balanced User")))</f>
        <v>#REF!</v>
      </c>
      <c r="AC2790" t="e">
        <f>IF(#REF! = 0, "No Usage", IF(#REF! &lt;= 20, "Low Usage", IF(#REF! &lt;= 40, "Medium Usgae", "High Usage")))</f>
        <v>#REF!</v>
      </c>
      <c r="AD2790" t="e">
        <f>IF(#REF!&lt;=150,"Low Usage", IF(#REF!&lt;=200,"Medium Usage", IF(#REF!&lt;=250,"High Usage","Very High Usage")))</f>
        <v>#REF!</v>
      </c>
      <c r="AE2790" t="e">
        <f>IF(#REF!&lt;=5,"Low Calls", IF(#REF!&lt;=10, "Medium Calls", "High Calls"))</f>
        <v>#REF!</v>
      </c>
      <c r="AF2790" t="e">
        <f xml:space="preserve">
IF(#REF!&gt;=4,4,0)+
IF(#REF!="yes",3,0)+
IF(#REF!="High Charges",3,0)+
IF(#REF!&gt;250,4,0)+
IF(#REF!="no",1,0)+
IF(#REF!="Heavy Domestic User",2,0)</f>
        <v>#REF!</v>
      </c>
      <c r="AG2790" t="e">
        <f>IF(#REF!&gt;=10,"High Risk", IF(#REF!&gt;=5,"Medium Risk","Low Risk"))</f>
        <v>#REF!</v>
      </c>
      <c r="AH2790" t="e">
        <f>#REF! + #REF! + #REF! + #REF!</f>
        <v>#REF!</v>
      </c>
    </row>
    <row r="2791" spans="1:34" x14ac:dyDescent="0.35">
      <c r="A2791">
        <v>2790</v>
      </c>
      <c r="B2791" t="s">
        <v>70</v>
      </c>
      <c r="C2791">
        <v>57</v>
      </c>
      <c r="D2791" t="s">
        <v>21</v>
      </c>
      <c r="E2791" t="s">
        <v>22</v>
      </c>
      <c r="F2791" t="s">
        <v>22</v>
      </c>
      <c r="G2791">
        <v>0</v>
      </c>
      <c r="H2791">
        <v>158.1</v>
      </c>
      <c r="I2791">
        <v>117</v>
      </c>
      <c r="J2791">
        <v>26.88</v>
      </c>
      <c r="K2791">
        <v>115.2</v>
      </c>
      <c r="L2791">
        <v>149</v>
      </c>
      <c r="M2791">
        <v>9.7899999999999991</v>
      </c>
      <c r="N2791">
        <v>182.4</v>
      </c>
      <c r="O2791">
        <v>92</v>
      </c>
      <c r="P2791">
        <v>8.2100000000000009</v>
      </c>
      <c r="Q2791">
        <v>11.8</v>
      </c>
      <c r="R2791">
        <v>7</v>
      </c>
      <c r="S2791">
        <v>3.19</v>
      </c>
      <c r="T2791">
        <v>0</v>
      </c>
      <c r="U2791" t="s">
        <v>22</v>
      </c>
      <c r="V2791" t="e">
        <f>IF(#REF! = "yes", 1, 0)</f>
        <v>#REF!</v>
      </c>
      <c r="W2791" t="e">
        <f>IF(#REF! &lt;= 1, "0-1 Calls", IF(#REF! &lt;= 3, "2-3 Calls", IF(#REF! &lt;=5, "4-5 Calls", "6+ Calls")))</f>
        <v>#REF!</v>
      </c>
      <c r="X2791" t="e">
        <f>IF(#REF! &lt;= 50, "0-50", IF(#REF! &lt;=100, "51-100", IF(#REF! &lt;= 150, "101-150", "151+")))</f>
        <v>#REF!</v>
      </c>
      <c r="Y2791" t="e">
        <f>IF(#REF! &lt;= 3, "Low Charges", "High Charges")</f>
        <v>#REF!</v>
      </c>
      <c r="Z2791" t="e">
        <f>IF(#REF!&lt;=80,"Low Calls",
IF(#REF!&lt;=120,"Medium Calls","High Calls"))</f>
        <v>#REF!</v>
      </c>
      <c r="AA2791" t="e">
        <f>IF(#REF!&lt;=15,"Low Charges",
IF(#REF!&lt;=20,"Medium Charges","High Charges"))</f>
        <v>#REF!</v>
      </c>
      <c r="AB2791" t="e">
        <f>IF(AND(#REF!&gt;180, #REF!&gt;200), "Heavy Doemstic User", IF(#REF!&gt;10, "Interntional User", IF(AND(#REF!&lt;180, #REF!&lt;200,#REF!&lt;200), "Light User", "Balanced User")))</f>
        <v>#REF!</v>
      </c>
      <c r="AC2791" t="e">
        <f>IF(#REF! = 0, "No Usage", IF(#REF! &lt;= 20, "Low Usage", IF(#REF! &lt;= 40, "Medium Usgae", "High Usage")))</f>
        <v>#REF!</v>
      </c>
      <c r="AD2791" t="e">
        <f>IF(#REF!&lt;=150,"Low Usage", IF(#REF!&lt;=200,"Medium Usage", IF(#REF!&lt;=250,"High Usage","Very High Usage")))</f>
        <v>#REF!</v>
      </c>
      <c r="AE2791" t="e">
        <f>IF(#REF!&lt;=5,"Low Calls", IF(#REF!&lt;=10, "Medium Calls", "High Calls"))</f>
        <v>#REF!</v>
      </c>
      <c r="AF2791" t="e">
        <f xml:space="preserve">
IF(#REF!&gt;=4,4,0)+
IF(#REF!="yes",3,0)+
IF(#REF!="High Charges",3,0)+
IF(#REF!&gt;250,4,0)+
IF(#REF!="no",1,0)+
IF(#REF!="Heavy Domestic User",2,0)</f>
        <v>#REF!</v>
      </c>
      <c r="AG2791" t="e">
        <f>IF(#REF!&gt;=10,"High Risk", IF(#REF!&gt;=5,"Medium Risk","Low Risk"))</f>
        <v>#REF!</v>
      </c>
      <c r="AH2791" t="e">
        <f>#REF! + #REF! + #REF! + #REF!</f>
        <v>#REF!</v>
      </c>
    </row>
    <row r="2792" spans="1:34" x14ac:dyDescent="0.35">
      <c r="A2792">
        <v>2791</v>
      </c>
      <c r="B2792" t="s">
        <v>70</v>
      </c>
      <c r="C2792">
        <v>170</v>
      </c>
      <c r="D2792" t="s">
        <v>21</v>
      </c>
      <c r="E2792" t="s">
        <v>22</v>
      </c>
      <c r="F2792" t="s">
        <v>23</v>
      </c>
      <c r="G2792">
        <v>42</v>
      </c>
      <c r="H2792">
        <v>199.5</v>
      </c>
      <c r="I2792">
        <v>119</v>
      </c>
      <c r="J2792">
        <v>33.92</v>
      </c>
      <c r="K2792">
        <v>135</v>
      </c>
      <c r="L2792">
        <v>90</v>
      </c>
      <c r="M2792">
        <v>11.48</v>
      </c>
      <c r="N2792">
        <v>184.6</v>
      </c>
      <c r="O2792">
        <v>49</v>
      </c>
      <c r="P2792">
        <v>8.31</v>
      </c>
      <c r="Q2792">
        <v>10.9</v>
      </c>
      <c r="R2792">
        <v>3</v>
      </c>
      <c r="S2792">
        <v>2.94</v>
      </c>
      <c r="T2792">
        <v>4</v>
      </c>
      <c r="U2792" t="s">
        <v>23</v>
      </c>
      <c r="V2792" t="e">
        <f>IF(#REF! = "yes", 1, 0)</f>
        <v>#REF!</v>
      </c>
      <c r="W2792" t="e">
        <f>IF(#REF! &lt;= 1, "0-1 Calls", IF(#REF! &lt;= 3, "2-3 Calls", IF(#REF! &lt;=5, "4-5 Calls", "6+ Calls")))</f>
        <v>#REF!</v>
      </c>
      <c r="X2792" t="e">
        <f>IF(#REF! &lt;= 50, "0-50", IF(#REF! &lt;=100, "51-100", IF(#REF! &lt;= 150, "101-150", "151+")))</f>
        <v>#REF!</v>
      </c>
      <c r="Y2792" t="e">
        <f>IF(#REF! &lt;= 3, "Low Charges", "High Charges")</f>
        <v>#REF!</v>
      </c>
      <c r="Z2792" t="e">
        <f>IF(#REF!&lt;=80,"Low Calls",
IF(#REF!&lt;=120,"Medium Calls","High Calls"))</f>
        <v>#REF!</v>
      </c>
      <c r="AA2792" t="e">
        <f>IF(#REF!&lt;=15,"Low Charges",
IF(#REF!&lt;=20,"Medium Charges","High Charges"))</f>
        <v>#REF!</v>
      </c>
      <c r="AB2792" t="e">
        <f>IF(AND(#REF!&gt;180, #REF!&gt;200), "Heavy Doemstic User", IF(#REF!&gt;10, "Interntional User", IF(AND(#REF!&lt;180, #REF!&lt;200,#REF!&lt;200), "Light User", "Balanced User")))</f>
        <v>#REF!</v>
      </c>
      <c r="AC2792" t="e">
        <f>IF(#REF! = 0, "No Usage", IF(#REF! &lt;= 20, "Low Usage", IF(#REF! &lt;= 40, "Medium Usgae", "High Usage")))</f>
        <v>#REF!</v>
      </c>
      <c r="AD2792" t="e">
        <f>IF(#REF!&lt;=150,"Low Usage", IF(#REF!&lt;=200,"Medium Usage", IF(#REF!&lt;=250,"High Usage","Very High Usage")))</f>
        <v>#REF!</v>
      </c>
      <c r="AE2792" t="e">
        <f>IF(#REF!&lt;=5,"Low Calls", IF(#REF!&lt;=10, "Medium Calls", "High Calls"))</f>
        <v>#REF!</v>
      </c>
      <c r="AF2792" t="e">
        <f xml:space="preserve">
IF(#REF!&gt;=4,4,0)+
IF(#REF!="yes",3,0)+
IF(#REF!="High Charges",3,0)+
IF(#REF!&gt;250,4,0)+
IF(#REF!="no",1,0)+
IF(#REF!="Heavy Domestic User",2,0)</f>
        <v>#REF!</v>
      </c>
      <c r="AG2792" t="e">
        <f>IF(#REF!&gt;=10,"High Risk", IF(#REF!&gt;=5,"Medium Risk","Low Risk"))</f>
        <v>#REF!</v>
      </c>
      <c r="AH2792" t="e">
        <f>#REF! + #REF! + #REF! + #REF!</f>
        <v>#REF!</v>
      </c>
    </row>
    <row r="2793" spans="1:34" x14ac:dyDescent="0.35">
      <c r="A2793">
        <v>2792</v>
      </c>
      <c r="B2793" t="s">
        <v>43</v>
      </c>
      <c r="C2793">
        <v>78</v>
      </c>
      <c r="D2793" t="s">
        <v>21</v>
      </c>
      <c r="E2793" t="s">
        <v>22</v>
      </c>
      <c r="F2793" t="s">
        <v>22</v>
      </c>
      <c r="G2793">
        <v>0</v>
      </c>
      <c r="H2793">
        <v>109.5</v>
      </c>
      <c r="I2793">
        <v>105</v>
      </c>
      <c r="J2793">
        <v>18.62</v>
      </c>
      <c r="K2793">
        <v>286.10000000000002</v>
      </c>
      <c r="L2793">
        <v>90</v>
      </c>
      <c r="M2793">
        <v>24.32</v>
      </c>
      <c r="N2793">
        <v>247.6</v>
      </c>
      <c r="O2793">
        <v>113</v>
      </c>
      <c r="P2793">
        <v>11.14</v>
      </c>
      <c r="Q2793">
        <v>4.9000000000000004</v>
      </c>
      <c r="R2793">
        <v>9</v>
      </c>
      <c r="S2793">
        <v>1.32</v>
      </c>
      <c r="T2793">
        <v>1</v>
      </c>
      <c r="U2793" t="s">
        <v>22</v>
      </c>
      <c r="V2793" t="e">
        <f>IF(#REF! = "yes", 1, 0)</f>
        <v>#REF!</v>
      </c>
      <c r="W2793" t="e">
        <f>IF(#REF! &lt;= 1, "0-1 Calls", IF(#REF! &lt;= 3, "2-3 Calls", IF(#REF! &lt;=5, "4-5 Calls", "6+ Calls")))</f>
        <v>#REF!</v>
      </c>
      <c r="X2793" t="e">
        <f>IF(#REF! &lt;= 50, "0-50", IF(#REF! &lt;=100, "51-100", IF(#REF! &lt;= 150, "101-150", "151+")))</f>
        <v>#REF!</v>
      </c>
      <c r="Y2793" t="e">
        <f>IF(#REF! &lt;= 3, "Low Charges", "High Charges")</f>
        <v>#REF!</v>
      </c>
      <c r="Z2793" t="e">
        <f>IF(#REF!&lt;=80,"Low Calls",
IF(#REF!&lt;=120,"Medium Calls","High Calls"))</f>
        <v>#REF!</v>
      </c>
      <c r="AA2793" t="e">
        <f>IF(#REF!&lt;=15,"Low Charges",
IF(#REF!&lt;=20,"Medium Charges","High Charges"))</f>
        <v>#REF!</v>
      </c>
      <c r="AB2793" t="e">
        <f>IF(AND(#REF!&gt;180, #REF!&gt;200), "Heavy Doemstic User", IF(#REF!&gt;10, "Interntional User", IF(AND(#REF!&lt;180, #REF!&lt;200,#REF!&lt;200), "Light User", "Balanced User")))</f>
        <v>#REF!</v>
      </c>
      <c r="AC2793" t="e">
        <f>IF(#REF! = 0, "No Usage", IF(#REF! &lt;= 20, "Low Usage", IF(#REF! &lt;= 40, "Medium Usgae", "High Usage")))</f>
        <v>#REF!</v>
      </c>
      <c r="AD2793" t="e">
        <f>IF(#REF!&lt;=150,"Low Usage", IF(#REF!&lt;=200,"Medium Usage", IF(#REF!&lt;=250,"High Usage","Very High Usage")))</f>
        <v>#REF!</v>
      </c>
      <c r="AE2793" t="e">
        <f>IF(#REF!&lt;=5,"Low Calls", IF(#REF!&lt;=10, "Medium Calls", "High Calls"))</f>
        <v>#REF!</v>
      </c>
      <c r="AF2793" t="e">
        <f xml:space="preserve">
IF(#REF!&gt;=4,4,0)+
IF(#REF!="yes",3,0)+
IF(#REF!="High Charges",3,0)+
IF(#REF!&gt;250,4,0)+
IF(#REF!="no",1,0)+
IF(#REF!="Heavy Domestic User",2,0)</f>
        <v>#REF!</v>
      </c>
      <c r="AG2793" t="e">
        <f>IF(#REF!&gt;=10,"High Risk", IF(#REF!&gt;=5,"Medium Risk","Low Risk"))</f>
        <v>#REF!</v>
      </c>
      <c r="AH2793" t="e">
        <f>#REF! + #REF! + #REF! + #REF!</f>
        <v>#REF!</v>
      </c>
    </row>
    <row r="2794" spans="1:34" x14ac:dyDescent="0.35">
      <c r="A2794">
        <v>2793</v>
      </c>
      <c r="B2794" t="s">
        <v>56</v>
      </c>
      <c r="C2794">
        <v>127</v>
      </c>
      <c r="D2794" t="s">
        <v>28</v>
      </c>
      <c r="E2794" t="s">
        <v>22</v>
      </c>
      <c r="F2794" t="s">
        <v>22</v>
      </c>
      <c r="G2794">
        <v>0</v>
      </c>
      <c r="H2794">
        <v>107.9</v>
      </c>
      <c r="I2794">
        <v>128</v>
      </c>
      <c r="J2794">
        <v>18.34</v>
      </c>
      <c r="K2794">
        <v>187</v>
      </c>
      <c r="L2794">
        <v>77</v>
      </c>
      <c r="M2794">
        <v>15.9</v>
      </c>
      <c r="N2794">
        <v>218.5</v>
      </c>
      <c r="O2794">
        <v>95</v>
      </c>
      <c r="P2794">
        <v>9.83</v>
      </c>
      <c r="Q2794">
        <v>0</v>
      </c>
      <c r="R2794">
        <v>0</v>
      </c>
      <c r="S2794">
        <v>0</v>
      </c>
      <c r="T2794">
        <v>0</v>
      </c>
      <c r="U2794" t="s">
        <v>22</v>
      </c>
      <c r="V2794" t="e">
        <f>IF(#REF! = "yes", 1, 0)</f>
        <v>#REF!</v>
      </c>
      <c r="W2794" t="e">
        <f>IF(#REF! &lt;= 1, "0-1 Calls", IF(#REF! &lt;= 3, "2-3 Calls", IF(#REF! &lt;=5, "4-5 Calls", "6+ Calls")))</f>
        <v>#REF!</v>
      </c>
      <c r="X2794" t="e">
        <f>IF(#REF! &lt;= 50, "0-50", IF(#REF! &lt;=100, "51-100", IF(#REF! &lt;= 150, "101-150", "151+")))</f>
        <v>#REF!</v>
      </c>
      <c r="Y2794" t="e">
        <f>IF(#REF! &lt;= 3, "Low Charges", "High Charges")</f>
        <v>#REF!</v>
      </c>
      <c r="Z2794" t="e">
        <f>IF(#REF!&lt;=80,"Low Calls",
IF(#REF!&lt;=120,"Medium Calls","High Calls"))</f>
        <v>#REF!</v>
      </c>
      <c r="AA2794" t="e">
        <f>IF(#REF!&lt;=15,"Low Charges",
IF(#REF!&lt;=20,"Medium Charges","High Charges"))</f>
        <v>#REF!</v>
      </c>
      <c r="AB2794" t="e">
        <f>IF(AND(#REF!&gt;180, #REF!&gt;200), "Heavy Doemstic User", IF(#REF!&gt;10, "Interntional User", IF(AND(#REF!&lt;180, #REF!&lt;200,#REF!&lt;200), "Light User", "Balanced User")))</f>
        <v>#REF!</v>
      </c>
      <c r="AC2794" t="e">
        <f>IF(#REF! = 0, "No Usage", IF(#REF! &lt;= 20, "Low Usage", IF(#REF! &lt;= 40, "Medium Usgae", "High Usage")))</f>
        <v>#REF!</v>
      </c>
      <c r="AD2794" t="e">
        <f>IF(#REF!&lt;=150,"Low Usage", IF(#REF!&lt;=200,"Medium Usage", IF(#REF!&lt;=250,"High Usage","Very High Usage")))</f>
        <v>#REF!</v>
      </c>
      <c r="AE2794" t="e">
        <f>IF(#REF!&lt;=5,"Low Calls", IF(#REF!&lt;=10, "Medium Calls", "High Calls"))</f>
        <v>#REF!</v>
      </c>
      <c r="AF2794" t="e">
        <f xml:space="preserve">
IF(#REF!&gt;=4,4,0)+
IF(#REF!="yes",3,0)+
IF(#REF!="High Charges",3,0)+
IF(#REF!&gt;250,4,0)+
IF(#REF!="no",1,0)+
IF(#REF!="Heavy Domestic User",2,0)</f>
        <v>#REF!</v>
      </c>
      <c r="AG2794" t="e">
        <f>IF(#REF!&gt;=10,"High Risk", IF(#REF!&gt;=5,"Medium Risk","Low Risk"))</f>
        <v>#REF!</v>
      </c>
      <c r="AH2794" t="e">
        <f>#REF! + #REF! + #REF! + #REF!</f>
        <v>#REF!</v>
      </c>
    </row>
    <row r="2795" spans="1:34" x14ac:dyDescent="0.35">
      <c r="A2795">
        <v>2794</v>
      </c>
      <c r="B2795" t="s">
        <v>53</v>
      </c>
      <c r="C2795">
        <v>119</v>
      </c>
      <c r="D2795" t="s">
        <v>28</v>
      </c>
      <c r="E2795" t="s">
        <v>23</v>
      </c>
      <c r="F2795" t="s">
        <v>23</v>
      </c>
      <c r="G2795">
        <v>22</v>
      </c>
      <c r="H2795">
        <v>172.1</v>
      </c>
      <c r="I2795">
        <v>119</v>
      </c>
      <c r="J2795">
        <v>29.26</v>
      </c>
      <c r="K2795">
        <v>223.6</v>
      </c>
      <c r="L2795">
        <v>133</v>
      </c>
      <c r="M2795">
        <v>19.010000000000002</v>
      </c>
      <c r="N2795">
        <v>150</v>
      </c>
      <c r="O2795">
        <v>94</v>
      </c>
      <c r="P2795">
        <v>6.75</v>
      </c>
      <c r="Q2795">
        <v>13.9</v>
      </c>
      <c r="R2795">
        <v>20</v>
      </c>
      <c r="S2795">
        <v>3.75</v>
      </c>
      <c r="T2795">
        <v>1</v>
      </c>
      <c r="U2795" t="s">
        <v>23</v>
      </c>
      <c r="V2795" t="e">
        <f>IF(#REF! = "yes", 1, 0)</f>
        <v>#REF!</v>
      </c>
      <c r="W2795" t="e">
        <f>IF(#REF! &lt;= 1, "0-1 Calls", IF(#REF! &lt;= 3, "2-3 Calls", IF(#REF! &lt;=5, "4-5 Calls", "6+ Calls")))</f>
        <v>#REF!</v>
      </c>
      <c r="X2795" t="e">
        <f>IF(#REF! &lt;= 50, "0-50", IF(#REF! &lt;=100, "51-100", IF(#REF! &lt;= 150, "101-150", "151+")))</f>
        <v>#REF!</v>
      </c>
      <c r="Y2795" t="e">
        <f>IF(#REF! &lt;= 3, "Low Charges", "High Charges")</f>
        <v>#REF!</v>
      </c>
      <c r="Z2795" t="e">
        <f>IF(#REF!&lt;=80,"Low Calls",
IF(#REF!&lt;=120,"Medium Calls","High Calls"))</f>
        <v>#REF!</v>
      </c>
      <c r="AA2795" t="e">
        <f>IF(#REF!&lt;=15,"Low Charges",
IF(#REF!&lt;=20,"Medium Charges","High Charges"))</f>
        <v>#REF!</v>
      </c>
      <c r="AB2795" t="e">
        <f>IF(AND(#REF!&gt;180, #REF!&gt;200), "Heavy Doemstic User", IF(#REF!&gt;10, "Interntional User", IF(AND(#REF!&lt;180, #REF!&lt;200,#REF!&lt;200), "Light User", "Balanced User")))</f>
        <v>#REF!</v>
      </c>
      <c r="AC2795" t="e">
        <f>IF(#REF! = 0, "No Usage", IF(#REF! &lt;= 20, "Low Usage", IF(#REF! &lt;= 40, "Medium Usgae", "High Usage")))</f>
        <v>#REF!</v>
      </c>
      <c r="AD2795" t="e">
        <f>IF(#REF!&lt;=150,"Low Usage", IF(#REF!&lt;=200,"Medium Usage", IF(#REF!&lt;=250,"High Usage","Very High Usage")))</f>
        <v>#REF!</v>
      </c>
      <c r="AE2795" t="e">
        <f>IF(#REF!&lt;=5,"Low Calls", IF(#REF!&lt;=10, "Medium Calls", "High Calls"))</f>
        <v>#REF!</v>
      </c>
      <c r="AF2795" t="e">
        <f xml:space="preserve">
IF(#REF!&gt;=4,4,0)+
IF(#REF!="yes",3,0)+
IF(#REF!="High Charges",3,0)+
IF(#REF!&gt;250,4,0)+
IF(#REF!="no",1,0)+
IF(#REF!="Heavy Domestic User",2,0)</f>
        <v>#REF!</v>
      </c>
      <c r="AG2795" t="e">
        <f>IF(#REF!&gt;=10,"High Risk", IF(#REF!&gt;=5,"Medium Risk","Low Risk"))</f>
        <v>#REF!</v>
      </c>
      <c r="AH2795" t="e">
        <f>#REF! + #REF! + #REF! + #REF!</f>
        <v>#REF!</v>
      </c>
    </row>
    <row r="2796" spans="1:34" x14ac:dyDescent="0.35">
      <c r="A2796">
        <v>2795</v>
      </c>
      <c r="B2796" t="s">
        <v>33</v>
      </c>
      <c r="C2796">
        <v>95</v>
      </c>
      <c r="D2796" t="s">
        <v>25</v>
      </c>
      <c r="E2796" t="s">
        <v>22</v>
      </c>
      <c r="F2796" t="s">
        <v>22</v>
      </c>
      <c r="G2796">
        <v>0</v>
      </c>
      <c r="H2796">
        <v>160</v>
      </c>
      <c r="I2796">
        <v>133</v>
      </c>
      <c r="J2796">
        <v>27.2</v>
      </c>
      <c r="K2796">
        <v>215.3</v>
      </c>
      <c r="L2796">
        <v>98</v>
      </c>
      <c r="M2796">
        <v>18.3</v>
      </c>
      <c r="N2796">
        <v>188.9</v>
      </c>
      <c r="O2796">
        <v>87</v>
      </c>
      <c r="P2796">
        <v>8.5</v>
      </c>
      <c r="Q2796">
        <v>9.1</v>
      </c>
      <c r="R2796">
        <v>4</v>
      </c>
      <c r="S2796">
        <v>2.46</v>
      </c>
      <c r="T2796">
        <v>0</v>
      </c>
      <c r="U2796" t="s">
        <v>22</v>
      </c>
      <c r="V2796" t="e">
        <f>IF(#REF! = "yes", 1, 0)</f>
        <v>#REF!</v>
      </c>
      <c r="W2796" t="e">
        <f>IF(#REF! &lt;= 1, "0-1 Calls", IF(#REF! &lt;= 3, "2-3 Calls", IF(#REF! &lt;=5, "4-5 Calls", "6+ Calls")))</f>
        <v>#REF!</v>
      </c>
      <c r="X2796" t="e">
        <f>IF(#REF! &lt;= 50, "0-50", IF(#REF! &lt;=100, "51-100", IF(#REF! &lt;= 150, "101-150", "151+")))</f>
        <v>#REF!</v>
      </c>
      <c r="Y2796" t="e">
        <f>IF(#REF! &lt;= 3, "Low Charges", "High Charges")</f>
        <v>#REF!</v>
      </c>
      <c r="Z2796" t="e">
        <f>IF(#REF!&lt;=80,"Low Calls",
IF(#REF!&lt;=120,"Medium Calls","High Calls"))</f>
        <v>#REF!</v>
      </c>
      <c r="AA2796" t="e">
        <f>IF(#REF!&lt;=15,"Low Charges",
IF(#REF!&lt;=20,"Medium Charges","High Charges"))</f>
        <v>#REF!</v>
      </c>
      <c r="AB2796" t="e">
        <f>IF(AND(#REF!&gt;180, #REF!&gt;200), "Heavy Doemstic User", IF(#REF!&gt;10, "Interntional User", IF(AND(#REF!&lt;180, #REF!&lt;200,#REF!&lt;200), "Light User", "Balanced User")))</f>
        <v>#REF!</v>
      </c>
      <c r="AC2796" t="e">
        <f>IF(#REF! = 0, "No Usage", IF(#REF! &lt;= 20, "Low Usage", IF(#REF! &lt;= 40, "Medium Usgae", "High Usage")))</f>
        <v>#REF!</v>
      </c>
      <c r="AD2796" t="e">
        <f>IF(#REF!&lt;=150,"Low Usage", IF(#REF!&lt;=200,"Medium Usage", IF(#REF!&lt;=250,"High Usage","Very High Usage")))</f>
        <v>#REF!</v>
      </c>
      <c r="AE2796" t="e">
        <f>IF(#REF!&lt;=5,"Low Calls", IF(#REF!&lt;=10, "Medium Calls", "High Calls"))</f>
        <v>#REF!</v>
      </c>
      <c r="AF2796" t="e">
        <f xml:space="preserve">
IF(#REF!&gt;=4,4,0)+
IF(#REF!="yes",3,0)+
IF(#REF!="High Charges",3,0)+
IF(#REF!&gt;250,4,0)+
IF(#REF!="no",1,0)+
IF(#REF!="Heavy Domestic User",2,0)</f>
        <v>#REF!</v>
      </c>
      <c r="AG2796" t="e">
        <f>IF(#REF!&gt;=10,"High Risk", IF(#REF!&gt;=5,"Medium Risk","Low Risk"))</f>
        <v>#REF!</v>
      </c>
      <c r="AH2796" t="e">
        <f>#REF! + #REF! + #REF! + #REF!</f>
        <v>#REF!</v>
      </c>
    </row>
    <row r="2797" spans="1:34" x14ac:dyDescent="0.35">
      <c r="A2797">
        <v>2796</v>
      </c>
      <c r="B2797" t="s">
        <v>71</v>
      </c>
      <c r="C2797">
        <v>110</v>
      </c>
      <c r="D2797" t="s">
        <v>21</v>
      </c>
      <c r="E2797" t="s">
        <v>22</v>
      </c>
      <c r="F2797" t="s">
        <v>22</v>
      </c>
      <c r="G2797">
        <v>0</v>
      </c>
      <c r="H2797">
        <v>227.7</v>
      </c>
      <c r="I2797">
        <v>88</v>
      </c>
      <c r="J2797">
        <v>38.71</v>
      </c>
      <c r="K2797">
        <v>170</v>
      </c>
      <c r="L2797">
        <v>96</v>
      </c>
      <c r="M2797">
        <v>14.45</v>
      </c>
      <c r="N2797">
        <v>128.69999999999999</v>
      </c>
      <c r="O2797">
        <v>57</v>
      </c>
      <c r="P2797">
        <v>5.79</v>
      </c>
      <c r="Q2797">
        <v>11.7</v>
      </c>
      <c r="R2797">
        <v>5</v>
      </c>
      <c r="S2797">
        <v>3.16</v>
      </c>
      <c r="T2797">
        <v>1</v>
      </c>
      <c r="U2797" t="s">
        <v>22</v>
      </c>
      <c r="V2797" t="e">
        <f>IF(#REF! = "yes", 1, 0)</f>
        <v>#REF!</v>
      </c>
      <c r="W2797" t="e">
        <f>IF(#REF! &lt;= 1, "0-1 Calls", IF(#REF! &lt;= 3, "2-3 Calls", IF(#REF! &lt;=5, "4-5 Calls", "6+ Calls")))</f>
        <v>#REF!</v>
      </c>
      <c r="X2797" t="e">
        <f>IF(#REF! &lt;= 50, "0-50", IF(#REF! &lt;=100, "51-100", IF(#REF! &lt;= 150, "101-150", "151+")))</f>
        <v>#REF!</v>
      </c>
      <c r="Y2797" t="e">
        <f>IF(#REF! &lt;= 3, "Low Charges", "High Charges")</f>
        <v>#REF!</v>
      </c>
      <c r="Z2797" t="e">
        <f>IF(#REF!&lt;=80,"Low Calls",
IF(#REF!&lt;=120,"Medium Calls","High Calls"))</f>
        <v>#REF!</v>
      </c>
      <c r="AA2797" t="e">
        <f>IF(#REF!&lt;=15,"Low Charges",
IF(#REF!&lt;=20,"Medium Charges","High Charges"))</f>
        <v>#REF!</v>
      </c>
      <c r="AB2797" t="e">
        <f>IF(AND(#REF!&gt;180, #REF!&gt;200), "Heavy Doemstic User", IF(#REF!&gt;10, "Interntional User", IF(AND(#REF!&lt;180, #REF!&lt;200,#REF!&lt;200), "Light User", "Balanced User")))</f>
        <v>#REF!</v>
      </c>
      <c r="AC2797" t="e">
        <f>IF(#REF! = 0, "No Usage", IF(#REF! &lt;= 20, "Low Usage", IF(#REF! &lt;= 40, "Medium Usgae", "High Usage")))</f>
        <v>#REF!</v>
      </c>
      <c r="AD2797" t="e">
        <f>IF(#REF!&lt;=150,"Low Usage", IF(#REF!&lt;=200,"Medium Usage", IF(#REF!&lt;=250,"High Usage","Very High Usage")))</f>
        <v>#REF!</v>
      </c>
      <c r="AE2797" t="e">
        <f>IF(#REF!&lt;=5,"Low Calls", IF(#REF!&lt;=10, "Medium Calls", "High Calls"))</f>
        <v>#REF!</v>
      </c>
      <c r="AF2797" t="e">
        <f xml:space="preserve">
IF(#REF!&gt;=4,4,0)+
IF(#REF!="yes",3,0)+
IF(#REF!="High Charges",3,0)+
IF(#REF!&gt;250,4,0)+
IF(#REF!="no",1,0)+
IF(#REF!="Heavy Domestic User",2,0)</f>
        <v>#REF!</v>
      </c>
      <c r="AG2797" t="e">
        <f>IF(#REF!&gt;=10,"High Risk", IF(#REF!&gt;=5,"Medium Risk","Low Risk"))</f>
        <v>#REF!</v>
      </c>
      <c r="AH2797" t="e">
        <f>#REF! + #REF! + #REF! + #REF!</f>
        <v>#REF!</v>
      </c>
    </row>
    <row r="2798" spans="1:34" x14ac:dyDescent="0.35">
      <c r="A2798">
        <v>2797</v>
      </c>
      <c r="B2798" t="s">
        <v>74</v>
      </c>
      <c r="C2798">
        <v>74</v>
      </c>
      <c r="D2798" t="s">
        <v>28</v>
      </c>
      <c r="E2798" t="s">
        <v>22</v>
      </c>
      <c r="F2798" t="s">
        <v>22</v>
      </c>
      <c r="G2798">
        <v>0</v>
      </c>
      <c r="H2798">
        <v>203.8</v>
      </c>
      <c r="I2798">
        <v>77</v>
      </c>
      <c r="J2798">
        <v>34.65</v>
      </c>
      <c r="K2798">
        <v>205.1</v>
      </c>
      <c r="L2798">
        <v>111</v>
      </c>
      <c r="M2798">
        <v>17.43</v>
      </c>
      <c r="N2798">
        <v>154.9</v>
      </c>
      <c r="O2798">
        <v>109</v>
      </c>
      <c r="P2798">
        <v>6.97</v>
      </c>
      <c r="Q2798">
        <v>9</v>
      </c>
      <c r="R2798">
        <v>2</v>
      </c>
      <c r="S2798">
        <v>2.4300000000000002</v>
      </c>
      <c r="T2798">
        <v>1</v>
      </c>
      <c r="U2798" t="s">
        <v>22</v>
      </c>
      <c r="V2798" t="e">
        <f>IF(#REF! = "yes", 1, 0)</f>
        <v>#REF!</v>
      </c>
      <c r="W2798" t="e">
        <f>IF(#REF! &lt;= 1, "0-1 Calls", IF(#REF! &lt;= 3, "2-3 Calls", IF(#REF! &lt;=5, "4-5 Calls", "6+ Calls")))</f>
        <v>#REF!</v>
      </c>
      <c r="X2798" t="e">
        <f>IF(#REF! &lt;= 50, "0-50", IF(#REF! &lt;=100, "51-100", IF(#REF! &lt;= 150, "101-150", "151+")))</f>
        <v>#REF!</v>
      </c>
      <c r="Y2798" t="e">
        <f>IF(#REF! &lt;= 3, "Low Charges", "High Charges")</f>
        <v>#REF!</v>
      </c>
      <c r="Z2798" t="e">
        <f>IF(#REF!&lt;=80,"Low Calls",
IF(#REF!&lt;=120,"Medium Calls","High Calls"))</f>
        <v>#REF!</v>
      </c>
      <c r="AA2798" t="e">
        <f>IF(#REF!&lt;=15,"Low Charges",
IF(#REF!&lt;=20,"Medium Charges","High Charges"))</f>
        <v>#REF!</v>
      </c>
      <c r="AB2798" t="e">
        <f>IF(AND(#REF!&gt;180, #REF!&gt;200), "Heavy Doemstic User", IF(#REF!&gt;10, "Interntional User", IF(AND(#REF!&lt;180, #REF!&lt;200,#REF!&lt;200), "Light User", "Balanced User")))</f>
        <v>#REF!</v>
      </c>
      <c r="AC2798" t="e">
        <f>IF(#REF! = 0, "No Usage", IF(#REF! &lt;= 20, "Low Usage", IF(#REF! &lt;= 40, "Medium Usgae", "High Usage")))</f>
        <v>#REF!</v>
      </c>
      <c r="AD2798" t="e">
        <f>IF(#REF!&lt;=150,"Low Usage", IF(#REF!&lt;=200,"Medium Usage", IF(#REF!&lt;=250,"High Usage","Very High Usage")))</f>
        <v>#REF!</v>
      </c>
      <c r="AE2798" t="e">
        <f>IF(#REF!&lt;=5,"Low Calls", IF(#REF!&lt;=10, "Medium Calls", "High Calls"))</f>
        <v>#REF!</v>
      </c>
      <c r="AF2798" t="e">
        <f xml:space="preserve">
IF(#REF!&gt;=4,4,0)+
IF(#REF!="yes",3,0)+
IF(#REF!="High Charges",3,0)+
IF(#REF!&gt;250,4,0)+
IF(#REF!="no",1,0)+
IF(#REF!="Heavy Domestic User",2,0)</f>
        <v>#REF!</v>
      </c>
      <c r="AG2798" t="e">
        <f>IF(#REF!&gt;=10,"High Risk", IF(#REF!&gt;=5,"Medium Risk","Low Risk"))</f>
        <v>#REF!</v>
      </c>
      <c r="AH2798" t="e">
        <f>#REF! + #REF! + #REF! + #REF!</f>
        <v>#REF!</v>
      </c>
    </row>
    <row r="2799" spans="1:34" x14ac:dyDescent="0.35">
      <c r="A2799">
        <v>2798</v>
      </c>
      <c r="B2799" t="s">
        <v>66</v>
      </c>
      <c r="C2799">
        <v>148</v>
      </c>
      <c r="D2799" t="s">
        <v>25</v>
      </c>
      <c r="E2799" t="s">
        <v>22</v>
      </c>
      <c r="F2799" t="s">
        <v>23</v>
      </c>
      <c r="G2799">
        <v>33</v>
      </c>
      <c r="H2799">
        <v>241.7</v>
      </c>
      <c r="I2799">
        <v>84</v>
      </c>
      <c r="J2799">
        <v>41.09</v>
      </c>
      <c r="K2799">
        <v>165.8</v>
      </c>
      <c r="L2799">
        <v>84</v>
      </c>
      <c r="M2799">
        <v>14.09</v>
      </c>
      <c r="N2799">
        <v>160.6</v>
      </c>
      <c r="O2799">
        <v>80</v>
      </c>
      <c r="P2799">
        <v>7.23</v>
      </c>
      <c r="Q2799">
        <v>11.3</v>
      </c>
      <c r="R2799">
        <v>3</v>
      </c>
      <c r="S2799">
        <v>3.05</v>
      </c>
      <c r="T2799">
        <v>1</v>
      </c>
      <c r="U2799" t="s">
        <v>22</v>
      </c>
      <c r="V2799" t="e">
        <f>IF(#REF! = "yes", 1, 0)</f>
        <v>#REF!</v>
      </c>
      <c r="W2799" t="e">
        <f>IF(#REF! &lt;= 1, "0-1 Calls", IF(#REF! &lt;= 3, "2-3 Calls", IF(#REF! &lt;=5, "4-5 Calls", "6+ Calls")))</f>
        <v>#REF!</v>
      </c>
      <c r="X2799" t="e">
        <f>IF(#REF! &lt;= 50, "0-50", IF(#REF! &lt;=100, "51-100", IF(#REF! &lt;= 150, "101-150", "151+")))</f>
        <v>#REF!</v>
      </c>
      <c r="Y2799" t="e">
        <f>IF(#REF! &lt;= 3, "Low Charges", "High Charges")</f>
        <v>#REF!</v>
      </c>
      <c r="Z2799" t="e">
        <f>IF(#REF!&lt;=80,"Low Calls",
IF(#REF!&lt;=120,"Medium Calls","High Calls"))</f>
        <v>#REF!</v>
      </c>
      <c r="AA2799" t="e">
        <f>IF(#REF!&lt;=15,"Low Charges",
IF(#REF!&lt;=20,"Medium Charges","High Charges"))</f>
        <v>#REF!</v>
      </c>
      <c r="AB2799" t="e">
        <f>IF(AND(#REF!&gt;180, #REF!&gt;200), "Heavy Doemstic User", IF(#REF!&gt;10, "Interntional User", IF(AND(#REF!&lt;180, #REF!&lt;200,#REF!&lt;200), "Light User", "Balanced User")))</f>
        <v>#REF!</v>
      </c>
      <c r="AC2799" t="e">
        <f>IF(#REF! = 0, "No Usage", IF(#REF! &lt;= 20, "Low Usage", IF(#REF! &lt;= 40, "Medium Usgae", "High Usage")))</f>
        <v>#REF!</v>
      </c>
      <c r="AD2799" t="e">
        <f>IF(#REF!&lt;=150,"Low Usage", IF(#REF!&lt;=200,"Medium Usage", IF(#REF!&lt;=250,"High Usage","Very High Usage")))</f>
        <v>#REF!</v>
      </c>
      <c r="AE2799" t="e">
        <f>IF(#REF!&lt;=5,"Low Calls", IF(#REF!&lt;=10, "Medium Calls", "High Calls"))</f>
        <v>#REF!</v>
      </c>
      <c r="AF2799" t="e">
        <f xml:space="preserve">
IF(#REF!&gt;=4,4,0)+
IF(#REF!="yes",3,0)+
IF(#REF!="High Charges",3,0)+
IF(#REF!&gt;250,4,0)+
IF(#REF!="no",1,0)+
IF(#REF!="Heavy Domestic User",2,0)</f>
        <v>#REF!</v>
      </c>
      <c r="AG2799" t="e">
        <f>IF(#REF!&gt;=10,"High Risk", IF(#REF!&gt;=5,"Medium Risk","Low Risk"))</f>
        <v>#REF!</v>
      </c>
      <c r="AH2799" t="e">
        <f>#REF! + #REF! + #REF! + #REF!</f>
        <v>#REF!</v>
      </c>
    </row>
    <row r="2800" spans="1:34" x14ac:dyDescent="0.35">
      <c r="A2800">
        <v>2799</v>
      </c>
      <c r="B2800" t="s">
        <v>49</v>
      </c>
      <c r="C2800">
        <v>83</v>
      </c>
      <c r="D2800" t="s">
        <v>28</v>
      </c>
      <c r="E2800" t="s">
        <v>22</v>
      </c>
      <c r="F2800" t="s">
        <v>22</v>
      </c>
      <c r="G2800">
        <v>0</v>
      </c>
      <c r="H2800">
        <v>78.099999999999994</v>
      </c>
      <c r="I2800">
        <v>70</v>
      </c>
      <c r="J2800">
        <v>13.28</v>
      </c>
      <c r="K2800">
        <v>239.3</v>
      </c>
      <c r="L2800">
        <v>115</v>
      </c>
      <c r="M2800">
        <v>20.34</v>
      </c>
      <c r="N2800">
        <v>144.4</v>
      </c>
      <c r="O2800">
        <v>112</v>
      </c>
      <c r="P2800">
        <v>6.5</v>
      </c>
      <c r="Q2800">
        <v>12.3</v>
      </c>
      <c r="R2800">
        <v>4</v>
      </c>
      <c r="S2800">
        <v>3.32</v>
      </c>
      <c r="T2800">
        <v>1</v>
      </c>
      <c r="U2800" t="s">
        <v>22</v>
      </c>
      <c r="V2800" t="e">
        <f>IF(#REF! = "yes", 1, 0)</f>
        <v>#REF!</v>
      </c>
      <c r="W2800" t="e">
        <f>IF(#REF! &lt;= 1, "0-1 Calls", IF(#REF! &lt;= 3, "2-3 Calls", IF(#REF! &lt;=5, "4-5 Calls", "6+ Calls")))</f>
        <v>#REF!</v>
      </c>
      <c r="X2800" t="e">
        <f>IF(#REF! &lt;= 50, "0-50", IF(#REF! &lt;=100, "51-100", IF(#REF! &lt;= 150, "101-150", "151+")))</f>
        <v>#REF!</v>
      </c>
      <c r="Y2800" t="e">
        <f>IF(#REF! &lt;= 3, "Low Charges", "High Charges")</f>
        <v>#REF!</v>
      </c>
      <c r="Z2800" t="e">
        <f>IF(#REF!&lt;=80,"Low Calls",
IF(#REF!&lt;=120,"Medium Calls","High Calls"))</f>
        <v>#REF!</v>
      </c>
      <c r="AA2800" t="e">
        <f>IF(#REF!&lt;=15,"Low Charges",
IF(#REF!&lt;=20,"Medium Charges","High Charges"))</f>
        <v>#REF!</v>
      </c>
      <c r="AB2800" t="e">
        <f>IF(AND(#REF!&gt;180, #REF!&gt;200), "Heavy Doemstic User", IF(#REF!&gt;10, "Interntional User", IF(AND(#REF!&lt;180, #REF!&lt;200,#REF!&lt;200), "Light User", "Balanced User")))</f>
        <v>#REF!</v>
      </c>
      <c r="AC2800" t="e">
        <f>IF(#REF! = 0, "No Usage", IF(#REF! &lt;= 20, "Low Usage", IF(#REF! &lt;= 40, "Medium Usgae", "High Usage")))</f>
        <v>#REF!</v>
      </c>
      <c r="AD2800" t="e">
        <f>IF(#REF!&lt;=150,"Low Usage", IF(#REF!&lt;=200,"Medium Usage", IF(#REF!&lt;=250,"High Usage","Very High Usage")))</f>
        <v>#REF!</v>
      </c>
      <c r="AE2800" t="e">
        <f>IF(#REF!&lt;=5,"Low Calls", IF(#REF!&lt;=10, "Medium Calls", "High Calls"))</f>
        <v>#REF!</v>
      </c>
      <c r="AF2800" t="e">
        <f xml:space="preserve">
IF(#REF!&gt;=4,4,0)+
IF(#REF!="yes",3,0)+
IF(#REF!="High Charges",3,0)+
IF(#REF!&gt;250,4,0)+
IF(#REF!="no",1,0)+
IF(#REF!="Heavy Domestic User",2,0)</f>
        <v>#REF!</v>
      </c>
      <c r="AG2800" t="e">
        <f>IF(#REF!&gt;=10,"High Risk", IF(#REF!&gt;=5,"Medium Risk","Low Risk"))</f>
        <v>#REF!</v>
      </c>
      <c r="AH2800" t="e">
        <f>#REF! + #REF! + #REF! + #REF!</f>
        <v>#REF!</v>
      </c>
    </row>
    <row r="2801" spans="1:34" x14ac:dyDescent="0.35">
      <c r="A2801">
        <v>2800</v>
      </c>
      <c r="B2801" t="s">
        <v>58</v>
      </c>
      <c r="C2801">
        <v>73</v>
      </c>
      <c r="D2801" t="s">
        <v>25</v>
      </c>
      <c r="E2801" t="s">
        <v>22</v>
      </c>
      <c r="F2801" t="s">
        <v>22</v>
      </c>
      <c r="G2801">
        <v>0</v>
      </c>
      <c r="H2801">
        <v>187.8</v>
      </c>
      <c r="I2801">
        <v>95</v>
      </c>
      <c r="J2801">
        <v>31.93</v>
      </c>
      <c r="K2801">
        <v>149.19999999999999</v>
      </c>
      <c r="L2801">
        <v>143</v>
      </c>
      <c r="M2801">
        <v>12.68</v>
      </c>
      <c r="N2801">
        <v>201.4</v>
      </c>
      <c r="O2801">
        <v>113</v>
      </c>
      <c r="P2801">
        <v>9.06</v>
      </c>
      <c r="Q2801">
        <v>11</v>
      </c>
      <c r="R2801">
        <v>4</v>
      </c>
      <c r="S2801">
        <v>2.97</v>
      </c>
      <c r="T2801">
        <v>2</v>
      </c>
      <c r="U2801" t="s">
        <v>22</v>
      </c>
      <c r="V2801" t="e">
        <f>IF(#REF! = "yes", 1, 0)</f>
        <v>#REF!</v>
      </c>
      <c r="W2801" t="e">
        <f>IF(#REF! &lt;= 1, "0-1 Calls", IF(#REF! &lt;= 3, "2-3 Calls", IF(#REF! &lt;=5, "4-5 Calls", "6+ Calls")))</f>
        <v>#REF!</v>
      </c>
      <c r="X2801" t="e">
        <f>IF(#REF! &lt;= 50, "0-50", IF(#REF! &lt;=100, "51-100", IF(#REF! &lt;= 150, "101-150", "151+")))</f>
        <v>#REF!</v>
      </c>
      <c r="Y2801" t="e">
        <f>IF(#REF! &lt;= 3, "Low Charges", "High Charges")</f>
        <v>#REF!</v>
      </c>
      <c r="Z2801" t="e">
        <f>IF(#REF!&lt;=80,"Low Calls",
IF(#REF!&lt;=120,"Medium Calls","High Calls"))</f>
        <v>#REF!</v>
      </c>
      <c r="AA2801" t="e">
        <f>IF(#REF!&lt;=15,"Low Charges",
IF(#REF!&lt;=20,"Medium Charges","High Charges"))</f>
        <v>#REF!</v>
      </c>
      <c r="AB2801" t="e">
        <f>IF(AND(#REF!&gt;180, #REF!&gt;200), "Heavy Doemstic User", IF(#REF!&gt;10, "Interntional User", IF(AND(#REF!&lt;180, #REF!&lt;200,#REF!&lt;200), "Light User", "Balanced User")))</f>
        <v>#REF!</v>
      </c>
      <c r="AC2801" t="e">
        <f>IF(#REF! = 0, "No Usage", IF(#REF! &lt;= 20, "Low Usage", IF(#REF! &lt;= 40, "Medium Usgae", "High Usage")))</f>
        <v>#REF!</v>
      </c>
      <c r="AD2801" t="e">
        <f>IF(#REF!&lt;=150,"Low Usage", IF(#REF!&lt;=200,"Medium Usage", IF(#REF!&lt;=250,"High Usage","Very High Usage")))</f>
        <v>#REF!</v>
      </c>
      <c r="AE2801" t="e">
        <f>IF(#REF!&lt;=5,"Low Calls", IF(#REF!&lt;=10, "Medium Calls", "High Calls"))</f>
        <v>#REF!</v>
      </c>
      <c r="AF2801" t="e">
        <f xml:space="preserve">
IF(#REF!&gt;=4,4,0)+
IF(#REF!="yes",3,0)+
IF(#REF!="High Charges",3,0)+
IF(#REF!&gt;250,4,0)+
IF(#REF!="no",1,0)+
IF(#REF!="Heavy Domestic User",2,0)</f>
        <v>#REF!</v>
      </c>
      <c r="AG2801" t="e">
        <f>IF(#REF!&gt;=10,"High Risk", IF(#REF!&gt;=5,"Medium Risk","Low Risk"))</f>
        <v>#REF!</v>
      </c>
      <c r="AH2801" t="e">
        <f>#REF! + #REF! + #REF! + #REF!</f>
        <v>#REF!</v>
      </c>
    </row>
    <row r="2802" spans="1:34" x14ac:dyDescent="0.35">
      <c r="A2802">
        <v>2801</v>
      </c>
      <c r="B2802" t="s">
        <v>43</v>
      </c>
      <c r="C2802">
        <v>111</v>
      </c>
      <c r="D2802" t="s">
        <v>21</v>
      </c>
      <c r="E2802" t="s">
        <v>22</v>
      </c>
      <c r="F2802" t="s">
        <v>23</v>
      </c>
      <c r="G2802">
        <v>21</v>
      </c>
      <c r="H2802">
        <v>127.1</v>
      </c>
      <c r="I2802">
        <v>94</v>
      </c>
      <c r="J2802">
        <v>21.61</v>
      </c>
      <c r="K2802">
        <v>228.3</v>
      </c>
      <c r="L2802">
        <v>116</v>
      </c>
      <c r="M2802">
        <v>19.41</v>
      </c>
      <c r="N2802">
        <v>166.7</v>
      </c>
      <c r="O2802">
        <v>108</v>
      </c>
      <c r="P2802">
        <v>7.5</v>
      </c>
      <c r="Q2802">
        <v>7.1</v>
      </c>
      <c r="R2802">
        <v>3</v>
      </c>
      <c r="S2802">
        <v>1.92</v>
      </c>
      <c r="T2802">
        <v>1</v>
      </c>
      <c r="U2802" t="s">
        <v>22</v>
      </c>
      <c r="V2802" t="e">
        <f>IF(#REF! = "yes", 1, 0)</f>
        <v>#REF!</v>
      </c>
      <c r="W2802" t="e">
        <f>IF(#REF! &lt;= 1, "0-1 Calls", IF(#REF! &lt;= 3, "2-3 Calls", IF(#REF! &lt;=5, "4-5 Calls", "6+ Calls")))</f>
        <v>#REF!</v>
      </c>
      <c r="X2802" t="e">
        <f>IF(#REF! &lt;= 50, "0-50", IF(#REF! &lt;=100, "51-100", IF(#REF! &lt;= 150, "101-150", "151+")))</f>
        <v>#REF!</v>
      </c>
      <c r="Y2802" t="e">
        <f>IF(#REF! &lt;= 3, "Low Charges", "High Charges")</f>
        <v>#REF!</v>
      </c>
      <c r="Z2802" t="e">
        <f>IF(#REF!&lt;=80,"Low Calls",
IF(#REF!&lt;=120,"Medium Calls","High Calls"))</f>
        <v>#REF!</v>
      </c>
      <c r="AA2802" t="e">
        <f>IF(#REF!&lt;=15,"Low Charges",
IF(#REF!&lt;=20,"Medium Charges","High Charges"))</f>
        <v>#REF!</v>
      </c>
      <c r="AB2802" t="e">
        <f>IF(AND(#REF!&gt;180, #REF!&gt;200), "Heavy Doemstic User", IF(#REF!&gt;10, "Interntional User", IF(AND(#REF!&lt;180, #REF!&lt;200,#REF!&lt;200), "Light User", "Balanced User")))</f>
        <v>#REF!</v>
      </c>
      <c r="AC2802" t="e">
        <f>IF(#REF! = 0, "No Usage", IF(#REF! &lt;= 20, "Low Usage", IF(#REF! &lt;= 40, "Medium Usgae", "High Usage")))</f>
        <v>#REF!</v>
      </c>
      <c r="AD2802" t="e">
        <f>IF(#REF!&lt;=150,"Low Usage", IF(#REF!&lt;=200,"Medium Usage", IF(#REF!&lt;=250,"High Usage","Very High Usage")))</f>
        <v>#REF!</v>
      </c>
      <c r="AE2802" t="e">
        <f>IF(#REF!&lt;=5,"Low Calls", IF(#REF!&lt;=10, "Medium Calls", "High Calls"))</f>
        <v>#REF!</v>
      </c>
      <c r="AF2802" t="e">
        <f xml:space="preserve">
IF(#REF!&gt;=4,4,0)+
IF(#REF!="yes",3,0)+
IF(#REF!="High Charges",3,0)+
IF(#REF!&gt;250,4,0)+
IF(#REF!="no",1,0)+
IF(#REF!="Heavy Domestic User",2,0)</f>
        <v>#REF!</v>
      </c>
      <c r="AG2802" t="e">
        <f>IF(#REF!&gt;=10,"High Risk", IF(#REF!&gt;=5,"Medium Risk","Low Risk"))</f>
        <v>#REF!</v>
      </c>
      <c r="AH2802" t="e">
        <f>#REF! + #REF! + #REF! + #REF!</f>
        <v>#REF!</v>
      </c>
    </row>
    <row r="2803" spans="1:34" x14ac:dyDescent="0.35">
      <c r="A2803">
        <v>2802</v>
      </c>
      <c r="B2803" t="s">
        <v>56</v>
      </c>
      <c r="C2803">
        <v>84</v>
      </c>
      <c r="D2803" t="s">
        <v>21</v>
      </c>
      <c r="E2803" t="s">
        <v>22</v>
      </c>
      <c r="F2803" t="s">
        <v>22</v>
      </c>
      <c r="G2803">
        <v>0</v>
      </c>
      <c r="H2803">
        <v>280</v>
      </c>
      <c r="I2803">
        <v>113</v>
      </c>
      <c r="J2803">
        <v>47.6</v>
      </c>
      <c r="K2803">
        <v>202.2</v>
      </c>
      <c r="L2803">
        <v>90</v>
      </c>
      <c r="M2803">
        <v>17.190000000000001</v>
      </c>
      <c r="N2803">
        <v>156.80000000000001</v>
      </c>
      <c r="O2803">
        <v>103</v>
      </c>
      <c r="P2803">
        <v>7.06</v>
      </c>
      <c r="Q2803">
        <v>10.4</v>
      </c>
      <c r="R2803">
        <v>4</v>
      </c>
      <c r="S2803">
        <v>2.81</v>
      </c>
      <c r="T2803">
        <v>0</v>
      </c>
      <c r="U2803" t="s">
        <v>23</v>
      </c>
      <c r="V2803" t="e">
        <f>IF(#REF! = "yes", 1, 0)</f>
        <v>#REF!</v>
      </c>
      <c r="W2803" t="e">
        <f>IF(#REF! &lt;= 1, "0-1 Calls", IF(#REF! &lt;= 3, "2-3 Calls", IF(#REF! &lt;=5, "4-5 Calls", "6+ Calls")))</f>
        <v>#REF!</v>
      </c>
      <c r="X2803" t="e">
        <f>IF(#REF! &lt;= 50, "0-50", IF(#REF! &lt;=100, "51-100", IF(#REF! &lt;= 150, "101-150", "151+")))</f>
        <v>#REF!</v>
      </c>
      <c r="Y2803" t="e">
        <f>IF(#REF! &lt;= 3, "Low Charges", "High Charges")</f>
        <v>#REF!</v>
      </c>
      <c r="Z2803" t="e">
        <f>IF(#REF!&lt;=80,"Low Calls",
IF(#REF!&lt;=120,"Medium Calls","High Calls"))</f>
        <v>#REF!</v>
      </c>
      <c r="AA2803" t="e">
        <f>IF(#REF!&lt;=15,"Low Charges",
IF(#REF!&lt;=20,"Medium Charges","High Charges"))</f>
        <v>#REF!</v>
      </c>
      <c r="AB2803" t="e">
        <f>IF(AND(#REF!&gt;180, #REF!&gt;200), "Heavy Doemstic User", IF(#REF!&gt;10, "Interntional User", IF(AND(#REF!&lt;180, #REF!&lt;200,#REF!&lt;200), "Light User", "Balanced User")))</f>
        <v>#REF!</v>
      </c>
      <c r="AC2803" t="e">
        <f>IF(#REF! = 0, "No Usage", IF(#REF! &lt;= 20, "Low Usage", IF(#REF! &lt;= 40, "Medium Usgae", "High Usage")))</f>
        <v>#REF!</v>
      </c>
      <c r="AD2803" t="e">
        <f>IF(#REF!&lt;=150,"Low Usage", IF(#REF!&lt;=200,"Medium Usage", IF(#REF!&lt;=250,"High Usage","Very High Usage")))</f>
        <v>#REF!</v>
      </c>
      <c r="AE2803" t="e">
        <f>IF(#REF!&lt;=5,"Low Calls", IF(#REF!&lt;=10, "Medium Calls", "High Calls"))</f>
        <v>#REF!</v>
      </c>
      <c r="AF2803" t="e">
        <f xml:space="preserve">
IF(#REF!&gt;=4,4,0)+
IF(#REF!="yes",3,0)+
IF(#REF!="High Charges",3,0)+
IF(#REF!&gt;250,4,0)+
IF(#REF!="no",1,0)+
IF(#REF!="Heavy Domestic User",2,0)</f>
        <v>#REF!</v>
      </c>
      <c r="AG2803" t="e">
        <f>IF(#REF!&gt;=10,"High Risk", IF(#REF!&gt;=5,"Medium Risk","Low Risk"))</f>
        <v>#REF!</v>
      </c>
      <c r="AH2803" t="e">
        <f>#REF! + #REF! + #REF! + #REF!</f>
        <v>#REF!</v>
      </c>
    </row>
    <row r="2804" spans="1:34" x14ac:dyDescent="0.35">
      <c r="A2804">
        <v>2803</v>
      </c>
      <c r="B2804" t="s">
        <v>30</v>
      </c>
      <c r="C2804">
        <v>75</v>
      </c>
      <c r="D2804" t="s">
        <v>28</v>
      </c>
      <c r="E2804" t="s">
        <v>23</v>
      </c>
      <c r="F2804" t="s">
        <v>22</v>
      </c>
      <c r="G2804">
        <v>0</v>
      </c>
      <c r="H2804">
        <v>153.19999999999999</v>
      </c>
      <c r="I2804">
        <v>78</v>
      </c>
      <c r="J2804">
        <v>26.04</v>
      </c>
      <c r="K2804">
        <v>210.8</v>
      </c>
      <c r="L2804">
        <v>99</v>
      </c>
      <c r="M2804">
        <v>17.920000000000002</v>
      </c>
      <c r="N2804">
        <v>153.5</v>
      </c>
      <c r="O2804">
        <v>100</v>
      </c>
      <c r="P2804">
        <v>6.91</v>
      </c>
      <c r="Q2804">
        <v>7.8</v>
      </c>
      <c r="R2804">
        <v>3</v>
      </c>
      <c r="S2804">
        <v>2.11</v>
      </c>
      <c r="T2804">
        <v>1</v>
      </c>
      <c r="U2804" t="s">
        <v>22</v>
      </c>
      <c r="V2804" t="e">
        <f>IF(#REF! = "yes", 1, 0)</f>
        <v>#REF!</v>
      </c>
      <c r="W2804" t="e">
        <f>IF(#REF! &lt;= 1, "0-1 Calls", IF(#REF! &lt;= 3, "2-3 Calls", IF(#REF! &lt;=5, "4-5 Calls", "6+ Calls")))</f>
        <v>#REF!</v>
      </c>
      <c r="X2804" t="e">
        <f>IF(#REF! &lt;= 50, "0-50", IF(#REF! &lt;=100, "51-100", IF(#REF! &lt;= 150, "101-150", "151+")))</f>
        <v>#REF!</v>
      </c>
      <c r="Y2804" t="e">
        <f>IF(#REF! &lt;= 3, "Low Charges", "High Charges")</f>
        <v>#REF!</v>
      </c>
      <c r="Z2804" t="e">
        <f>IF(#REF!&lt;=80,"Low Calls",
IF(#REF!&lt;=120,"Medium Calls","High Calls"))</f>
        <v>#REF!</v>
      </c>
      <c r="AA2804" t="e">
        <f>IF(#REF!&lt;=15,"Low Charges",
IF(#REF!&lt;=20,"Medium Charges","High Charges"))</f>
        <v>#REF!</v>
      </c>
      <c r="AB2804" t="e">
        <f>IF(AND(#REF!&gt;180, #REF!&gt;200), "Heavy Doemstic User", IF(#REF!&gt;10, "Interntional User", IF(AND(#REF!&lt;180, #REF!&lt;200,#REF!&lt;200), "Light User", "Balanced User")))</f>
        <v>#REF!</v>
      </c>
      <c r="AC2804" t="e">
        <f>IF(#REF! = 0, "No Usage", IF(#REF! &lt;= 20, "Low Usage", IF(#REF! &lt;= 40, "Medium Usgae", "High Usage")))</f>
        <v>#REF!</v>
      </c>
      <c r="AD2804" t="e">
        <f>IF(#REF!&lt;=150,"Low Usage", IF(#REF!&lt;=200,"Medium Usage", IF(#REF!&lt;=250,"High Usage","Very High Usage")))</f>
        <v>#REF!</v>
      </c>
      <c r="AE2804" t="e">
        <f>IF(#REF!&lt;=5,"Low Calls", IF(#REF!&lt;=10, "Medium Calls", "High Calls"))</f>
        <v>#REF!</v>
      </c>
      <c r="AF2804" t="e">
        <f xml:space="preserve">
IF(#REF!&gt;=4,4,0)+
IF(#REF!="yes",3,0)+
IF(#REF!="High Charges",3,0)+
IF(#REF!&gt;250,4,0)+
IF(#REF!="no",1,0)+
IF(#REF!="Heavy Domestic User",2,0)</f>
        <v>#REF!</v>
      </c>
      <c r="AG2804" t="e">
        <f>IF(#REF!&gt;=10,"High Risk", IF(#REF!&gt;=5,"Medium Risk","Low Risk"))</f>
        <v>#REF!</v>
      </c>
      <c r="AH2804" t="e">
        <f>#REF! + #REF! + #REF! + #REF!</f>
        <v>#REF!</v>
      </c>
    </row>
    <row r="2805" spans="1:34" x14ac:dyDescent="0.35">
      <c r="A2805">
        <v>2804</v>
      </c>
      <c r="B2805" t="s">
        <v>51</v>
      </c>
      <c r="C2805">
        <v>114</v>
      </c>
      <c r="D2805" t="s">
        <v>21</v>
      </c>
      <c r="E2805" t="s">
        <v>22</v>
      </c>
      <c r="F2805" t="s">
        <v>23</v>
      </c>
      <c r="G2805">
        <v>26</v>
      </c>
      <c r="H2805">
        <v>137.1</v>
      </c>
      <c r="I2805">
        <v>88</v>
      </c>
      <c r="J2805">
        <v>23.31</v>
      </c>
      <c r="K2805">
        <v>155.69999999999999</v>
      </c>
      <c r="L2805">
        <v>125</v>
      </c>
      <c r="M2805">
        <v>13.23</v>
      </c>
      <c r="N2805">
        <v>247.6</v>
      </c>
      <c r="O2805">
        <v>94</v>
      </c>
      <c r="P2805">
        <v>11.14</v>
      </c>
      <c r="Q2805">
        <v>11.5</v>
      </c>
      <c r="R2805">
        <v>7</v>
      </c>
      <c r="S2805">
        <v>3.11</v>
      </c>
      <c r="T2805">
        <v>2</v>
      </c>
      <c r="U2805" t="s">
        <v>22</v>
      </c>
      <c r="V2805" t="e">
        <f>IF(#REF! = "yes", 1, 0)</f>
        <v>#REF!</v>
      </c>
      <c r="W2805" t="e">
        <f>IF(#REF! &lt;= 1, "0-1 Calls", IF(#REF! &lt;= 3, "2-3 Calls", IF(#REF! &lt;=5, "4-5 Calls", "6+ Calls")))</f>
        <v>#REF!</v>
      </c>
      <c r="X2805" t="e">
        <f>IF(#REF! &lt;= 50, "0-50", IF(#REF! &lt;=100, "51-100", IF(#REF! &lt;= 150, "101-150", "151+")))</f>
        <v>#REF!</v>
      </c>
      <c r="Y2805" t="e">
        <f>IF(#REF! &lt;= 3, "Low Charges", "High Charges")</f>
        <v>#REF!</v>
      </c>
      <c r="Z2805" t="e">
        <f>IF(#REF!&lt;=80,"Low Calls",
IF(#REF!&lt;=120,"Medium Calls","High Calls"))</f>
        <v>#REF!</v>
      </c>
      <c r="AA2805" t="e">
        <f>IF(#REF!&lt;=15,"Low Charges",
IF(#REF!&lt;=20,"Medium Charges","High Charges"))</f>
        <v>#REF!</v>
      </c>
      <c r="AB2805" t="e">
        <f>IF(AND(#REF!&gt;180, #REF!&gt;200), "Heavy Doemstic User", IF(#REF!&gt;10, "Interntional User", IF(AND(#REF!&lt;180, #REF!&lt;200,#REF!&lt;200), "Light User", "Balanced User")))</f>
        <v>#REF!</v>
      </c>
      <c r="AC2805" t="e">
        <f>IF(#REF! = 0, "No Usage", IF(#REF! &lt;= 20, "Low Usage", IF(#REF! &lt;= 40, "Medium Usgae", "High Usage")))</f>
        <v>#REF!</v>
      </c>
      <c r="AD2805" t="e">
        <f>IF(#REF!&lt;=150,"Low Usage", IF(#REF!&lt;=200,"Medium Usage", IF(#REF!&lt;=250,"High Usage","Very High Usage")))</f>
        <v>#REF!</v>
      </c>
      <c r="AE2805" t="e">
        <f>IF(#REF!&lt;=5,"Low Calls", IF(#REF!&lt;=10, "Medium Calls", "High Calls"))</f>
        <v>#REF!</v>
      </c>
      <c r="AF2805" t="e">
        <f xml:space="preserve">
IF(#REF!&gt;=4,4,0)+
IF(#REF!="yes",3,0)+
IF(#REF!="High Charges",3,0)+
IF(#REF!&gt;250,4,0)+
IF(#REF!="no",1,0)+
IF(#REF!="Heavy Domestic User",2,0)</f>
        <v>#REF!</v>
      </c>
      <c r="AG2805" t="e">
        <f>IF(#REF!&gt;=10,"High Risk", IF(#REF!&gt;=5,"Medium Risk","Low Risk"))</f>
        <v>#REF!</v>
      </c>
      <c r="AH2805" t="e">
        <f>#REF! + #REF! + #REF! + #REF!</f>
        <v>#REF!</v>
      </c>
    </row>
    <row r="2806" spans="1:34" x14ac:dyDescent="0.35">
      <c r="A2806">
        <v>2805</v>
      </c>
      <c r="B2806" t="s">
        <v>72</v>
      </c>
      <c r="C2806">
        <v>71</v>
      </c>
      <c r="D2806" t="s">
        <v>28</v>
      </c>
      <c r="E2806" t="s">
        <v>23</v>
      </c>
      <c r="F2806" t="s">
        <v>22</v>
      </c>
      <c r="G2806">
        <v>0</v>
      </c>
      <c r="H2806">
        <v>186.1</v>
      </c>
      <c r="I2806">
        <v>114</v>
      </c>
      <c r="J2806">
        <v>31.64</v>
      </c>
      <c r="K2806">
        <v>198.6</v>
      </c>
      <c r="L2806">
        <v>140</v>
      </c>
      <c r="M2806">
        <v>16.88</v>
      </c>
      <c r="N2806">
        <v>206.5</v>
      </c>
      <c r="O2806">
        <v>80</v>
      </c>
      <c r="P2806">
        <v>9.2899999999999991</v>
      </c>
      <c r="Q2806">
        <v>13.8</v>
      </c>
      <c r="R2806">
        <v>5</v>
      </c>
      <c r="S2806">
        <v>3.73</v>
      </c>
      <c r="T2806">
        <v>4</v>
      </c>
      <c r="U2806" t="s">
        <v>23</v>
      </c>
      <c r="V2806" t="e">
        <f>IF(#REF! = "yes", 1, 0)</f>
        <v>#REF!</v>
      </c>
      <c r="W2806" t="e">
        <f>IF(#REF! &lt;= 1, "0-1 Calls", IF(#REF! &lt;= 3, "2-3 Calls", IF(#REF! &lt;=5, "4-5 Calls", "6+ Calls")))</f>
        <v>#REF!</v>
      </c>
      <c r="X2806" t="e">
        <f>IF(#REF! &lt;= 50, "0-50", IF(#REF! &lt;=100, "51-100", IF(#REF! &lt;= 150, "101-150", "151+")))</f>
        <v>#REF!</v>
      </c>
      <c r="Y2806" t="e">
        <f>IF(#REF! &lt;= 3, "Low Charges", "High Charges")</f>
        <v>#REF!</v>
      </c>
      <c r="Z2806" t="e">
        <f>IF(#REF!&lt;=80,"Low Calls",
IF(#REF!&lt;=120,"Medium Calls","High Calls"))</f>
        <v>#REF!</v>
      </c>
      <c r="AA2806" t="e">
        <f>IF(#REF!&lt;=15,"Low Charges",
IF(#REF!&lt;=20,"Medium Charges","High Charges"))</f>
        <v>#REF!</v>
      </c>
      <c r="AB2806" t="e">
        <f>IF(AND(#REF!&gt;180, #REF!&gt;200), "Heavy Doemstic User", IF(#REF!&gt;10, "Interntional User", IF(AND(#REF!&lt;180, #REF!&lt;200,#REF!&lt;200), "Light User", "Balanced User")))</f>
        <v>#REF!</v>
      </c>
      <c r="AC2806" t="e">
        <f>IF(#REF! = 0, "No Usage", IF(#REF! &lt;= 20, "Low Usage", IF(#REF! &lt;= 40, "Medium Usgae", "High Usage")))</f>
        <v>#REF!</v>
      </c>
      <c r="AD2806" t="e">
        <f>IF(#REF!&lt;=150,"Low Usage", IF(#REF!&lt;=200,"Medium Usage", IF(#REF!&lt;=250,"High Usage","Very High Usage")))</f>
        <v>#REF!</v>
      </c>
      <c r="AE2806" t="e">
        <f>IF(#REF!&lt;=5,"Low Calls", IF(#REF!&lt;=10, "Medium Calls", "High Calls"))</f>
        <v>#REF!</v>
      </c>
      <c r="AF2806" t="e">
        <f xml:space="preserve">
IF(#REF!&gt;=4,4,0)+
IF(#REF!="yes",3,0)+
IF(#REF!="High Charges",3,0)+
IF(#REF!&gt;250,4,0)+
IF(#REF!="no",1,0)+
IF(#REF!="Heavy Domestic User",2,0)</f>
        <v>#REF!</v>
      </c>
      <c r="AG2806" t="e">
        <f>IF(#REF!&gt;=10,"High Risk", IF(#REF!&gt;=5,"Medium Risk","Low Risk"))</f>
        <v>#REF!</v>
      </c>
      <c r="AH2806" t="e">
        <f>#REF! + #REF! + #REF! + #REF!</f>
        <v>#REF!</v>
      </c>
    </row>
    <row r="2807" spans="1:34" x14ac:dyDescent="0.35">
      <c r="A2807">
        <v>2806</v>
      </c>
      <c r="B2807" t="s">
        <v>32</v>
      </c>
      <c r="C2807">
        <v>58</v>
      </c>
      <c r="D2807" t="s">
        <v>21</v>
      </c>
      <c r="E2807" t="s">
        <v>22</v>
      </c>
      <c r="F2807" t="s">
        <v>23</v>
      </c>
      <c r="G2807">
        <v>22</v>
      </c>
      <c r="H2807">
        <v>224.1</v>
      </c>
      <c r="I2807">
        <v>127</v>
      </c>
      <c r="J2807">
        <v>38.1</v>
      </c>
      <c r="K2807">
        <v>238.8</v>
      </c>
      <c r="L2807">
        <v>85</v>
      </c>
      <c r="M2807">
        <v>20.3</v>
      </c>
      <c r="N2807">
        <v>174.2</v>
      </c>
      <c r="O2807">
        <v>86</v>
      </c>
      <c r="P2807">
        <v>7.84</v>
      </c>
      <c r="Q2807">
        <v>11.5</v>
      </c>
      <c r="R2807">
        <v>7</v>
      </c>
      <c r="S2807">
        <v>3.11</v>
      </c>
      <c r="T2807">
        <v>2</v>
      </c>
      <c r="U2807" t="s">
        <v>22</v>
      </c>
      <c r="V2807" t="e">
        <f>IF(#REF! = "yes", 1, 0)</f>
        <v>#REF!</v>
      </c>
      <c r="W2807" t="e">
        <f>IF(#REF! &lt;= 1, "0-1 Calls", IF(#REF! &lt;= 3, "2-3 Calls", IF(#REF! &lt;=5, "4-5 Calls", "6+ Calls")))</f>
        <v>#REF!</v>
      </c>
      <c r="X2807" t="e">
        <f>IF(#REF! &lt;= 50, "0-50", IF(#REF! &lt;=100, "51-100", IF(#REF! &lt;= 150, "101-150", "151+")))</f>
        <v>#REF!</v>
      </c>
      <c r="Y2807" t="e">
        <f>IF(#REF! &lt;= 3, "Low Charges", "High Charges")</f>
        <v>#REF!</v>
      </c>
      <c r="Z2807" t="e">
        <f>IF(#REF!&lt;=80,"Low Calls",
IF(#REF!&lt;=120,"Medium Calls","High Calls"))</f>
        <v>#REF!</v>
      </c>
      <c r="AA2807" t="e">
        <f>IF(#REF!&lt;=15,"Low Charges",
IF(#REF!&lt;=20,"Medium Charges","High Charges"))</f>
        <v>#REF!</v>
      </c>
      <c r="AB2807" t="e">
        <f>IF(AND(#REF!&gt;180, #REF!&gt;200), "Heavy Doemstic User", IF(#REF!&gt;10, "Interntional User", IF(AND(#REF!&lt;180, #REF!&lt;200,#REF!&lt;200), "Light User", "Balanced User")))</f>
        <v>#REF!</v>
      </c>
      <c r="AC2807" t="e">
        <f>IF(#REF! = 0, "No Usage", IF(#REF! &lt;= 20, "Low Usage", IF(#REF! &lt;= 40, "Medium Usgae", "High Usage")))</f>
        <v>#REF!</v>
      </c>
      <c r="AD2807" t="e">
        <f>IF(#REF!&lt;=150,"Low Usage", IF(#REF!&lt;=200,"Medium Usage", IF(#REF!&lt;=250,"High Usage","Very High Usage")))</f>
        <v>#REF!</v>
      </c>
      <c r="AE2807" t="e">
        <f>IF(#REF!&lt;=5,"Low Calls", IF(#REF!&lt;=10, "Medium Calls", "High Calls"))</f>
        <v>#REF!</v>
      </c>
      <c r="AF2807" t="e">
        <f xml:space="preserve">
IF(#REF!&gt;=4,4,0)+
IF(#REF!="yes",3,0)+
IF(#REF!="High Charges",3,0)+
IF(#REF!&gt;250,4,0)+
IF(#REF!="no",1,0)+
IF(#REF!="Heavy Domestic User",2,0)</f>
        <v>#REF!</v>
      </c>
      <c r="AG2807" t="e">
        <f>IF(#REF!&gt;=10,"High Risk", IF(#REF!&gt;=5,"Medium Risk","Low Risk"))</f>
        <v>#REF!</v>
      </c>
      <c r="AH2807" t="e">
        <f>#REF! + #REF! + #REF! + #REF!</f>
        <v>#REF!</v>
      </c>
    </row>
    <row r="2808" spans="1:34" x14ac:dyDescent="0.35">
      <c r="A2808">
        <v>2807</v>
      </c>
      <c r="B2808" t="s">
        <v>68</v>
      </c>
      <c r="C2808">
        <v>106</v>
      </c>
      <c r="D2808" t="s">
        <v>25</v>
      </c>
      <c r="E2808" t="s">
        <v>22</v>
      </c>
      <c r="F2808" t="s">
        <v>23</v>
      </c>
      <c r="G2808">
        <v>29</v>
      </c>
      <c r="H2808">
        <v>83.6</v>
      </c>
      <c r="I2808">
        <v>131</v>
      </c>
      <c r="J2808">
        <v>14.21</v>
      </c>
      <c r="K2808">
        <v>203.9</v>
      </c>
      <c r="L2808">
        <v>131</v>
      </c>
      <c r="M2808">
        <v>17.329999999999998</v>
      </c>
      <c r="N2808">
        <v>229.5</v>
      </c>
      <c r="O2808">
        <v>73</v>
      </c>
      <c r="P2808">
        <v>10.33</v>
      </c>
      <c r="Q2808">
        <v>8.1</v>
      </c>
      <c r="R2808">
        <v>3</v>
      </c>
      <c r="S2808">
        <v>2.19</v>
      </c>
      <c r="T2808">
        <v>1</v>
      </c>
      <c r="U2808" t="s">
        <v>22</v>
      </c>
      <c r="V2808" t="e">
        <f>IF(#REF! = "yes", 1, 0)</f>
        <v>#REF!</v>
      </c>
      <c r="W2808" t="e">
        <f>IF(#REF! &lt;= 1, "0-1 Calls", IF(#REF! &lt;= 3, "2-3 Calls", IF(#REF! &lt;=5, "4-5 Calls", "6+ Calls")))</f>
        <v>#REF!</v>
      </c>
      <c r="X2808" t="e">
        <f>IF(#REF! &lt;= 50, "0-50", IF(#REF! &lt;=100, "51-100", IF(#REF! &lt;= 150, "101-150", "151+")))</f>
        <v>#REF!</v>
      </c>
      <c r="Y2808" t="e">
        <f>IF(#REF! &lt;= 3, "Low Charges", "High Charges")</f>
        <v>#REF!</v>
      </c>
      <c r="Z2808" t="e">
        <f>IF(#REF!&lt;=80,"Low Calls",
IF(#REF!&lt;=120,"Medium Calls","High Calls"))</f>
        <v>#REF!</v>
      </c>
      <c r="AA2808" t="e">
        <f>IF(#REF!&lt;=15,"Low Charges",
IF(#REF!&lt;=20,"Medium Charges","High Charges"))</f>
        <v>#REF!</v>
      </c>
      <c r="AB2808" t="e">
        <f>IF(AND(#REF!&gt;180, #REF!&gt;200), "Heavy Doemstic User", IF(#REF!&gt;10, "Interntional User", IF(AND(#REF!&lt;180, #REF!&lt;200,#REF!&lt;200), "Light User", "Balanced User")))</f>
        <v>#REF!</v>
      </c>
      <c r="AC2808" t="e">
        <f>IF(#REF! = 0, "No Usage", IF(#REF! &lt;= 20, "Low Usage", IF(#REF! &lt;= 40, "Medium Usgae", "High Usage")))</f>
        <v>#REF!</v>
      </c>
      <c r="AD2808" t="e">
        <f>IF(#REF!&lt;=150,"Low Usage", IF(#REF!&lt;=200,"Medium Usage", IF(#REF!&lt;=250,"High Usage","Very High Usage")))</f>
        <v>#REF!</v>
      </c>
      <c r="AE2808" t="e">
        <f>IF(#REF!&lt;=5,"Low Calls", IF(#REF!&lt;=10, "Medium Calls", "High Calls"))</f>
        <v>#REF!</v>
      </c>
      <c r="AF2808" t="e">
        <f xml:space="preserve">
IF(#REF!&gt;=4,4,0)+
IF(#REF!="yes",3,0)+
IF(#REF!="High Charges",3,0)+
IF(#REF!&gt;250,4,0)+
IF(#REF!="no",1,0)+
IF(#REF!="Heavy Domestic User",2,0)</f>
        <v>#REF!</v>
      </c>
      <c r="AG2808" t="e">
        <f>IF(#REF!&gt;=10,"High Risk", IF(#REF!&gt;=5,"Medium Risk","Low Risk"))</f>
        <v>#REF!</v>
      </c>
      <c r="AH2808" t="e">
        <f>#REF! + #REF! + #REF! + #REF!</f>
        <v>#REF!</v>
      </c>
    </row>
    <row r="2809" spans="1:34" x14ac:dyDescent="0.35">
      <c r="A2809">
        <v>2808</v>
      </c>
      <c r="B2809" t="s">
        <v>26</v>
      </c>
      <c r="C2809">
        <v>172</v>
      </c>
      <c r="D2809" t="s">
        <v>25</v>
      </c>
      <c r="E2809" t="s">
        <v>22</v>
      </c>
      <c r="F2809" t="s">
        <v>22</v>
      </c>
      <c r="G2809">
        <v>0</v>
      </c>
      <c r="H2809">
        <v>203.9</v>
      </c>
      <c r="I2809">
        <v>109</v>
      </c>
      <c r="J2809">
        <v>34.659999999999997</v>
      </c>
      <c r="K2809">
        <v>234</v>
      </c>
      <c r="L2809">
        <v>123</v>
      </c>
      <c r="M2809">
        <v>19.89</v>
      </c>
      <c r="N2809">
        <v>160.69999999999999</v>
      </c>
      <c r="O2809">
        <v>65</v>
      </c>
      <c r="P2809">
        <v>7.23</v>
      </c>
      <c r="Q2809">
        <v>17.8</v>
      </c>
      <c r="R2809">
        <v>4</v>
      </c>
      <c r="S2809">
        <v>4.8099999999999996</v>
      </c>
      <c r="T2809">
        <v>4</v>
      </c>
      <c r="U2809" t="s">
        <v>22</v>
      </c>
      <c r="V2809" t="e">
        <f>IF(#REF! = "yes", 1, 0)</f>
        <v>#REF!</v>
      </c>
      <c r="W2809" t="e">
        <f>IF(#REF! &lt;= 1, "0-1 Calls", IF(#REF! &lt;= 3, "2-3 Calls", IF(#REF! &lt;=5, "4-5 Calls", "6+ Calls")))</f>
        <v>#REF!</v>
      </c>
      <c r="X2809" t="e">
        <f>IF(#REF! &lt;= 50, "0-50", IF(#REF! &lt;=100, "51-100", IF(#REF! &lt;= 150, "101-150", "151+")))</f>
        <v>#REF!</v>
      </c>
      <c r="Y2809" t="e">
        <f>IF(#REF! &lt;= 3, "Low Charges", "High Charges")</f>
        <v>#REF!</v>
      </c>
      <c r="Z2809" t="e">
        <f>IF(#REF!&lt;=80,"Low Calls",
IF(#REF!&lt;=120,"Medium Calls","High Calls"))</f>
        <v>#REF!</v>
      </c>
      <c r="AA2809" t="e">
        <f>IF(#REF!&lt;=15,"Low Charges",
IF(#REF!&lt;=20,"Medium Charges","High Charges"))</f>
        <v>#REF!</v>
      </c>
      <c r="AB2809" t="e">
        <f>IF(AND(#REF!&gt;180, #REF!&gt;200), "Heavy Doemstic User", IF(#REF!&gt;10, "Interntional User", IF(AND(#REF!&lt;180, #REF!&lt;200,#REF!&lt;200), "Light User", "Balanced User")))</f>
        <v>#REF!</v>
      </c>
      <c r="AC2809" t="e">
        <f>IF(#REF! = 0, "No Usage", IF(#REF! &lt;= 20, "Low Usage", IF(#REF! &lt;= 40, "Medium Usgae", "High Usage")))</f>
        <v>#REF!</v>
      </c>
      <c r="AD2809" t="e">
        <f>IF(#REF!&lt;=150,"Low Usage", IF(#REF!&lt;=200,"Medium Usage", IF(#REF!&lt;=250,"High Usage","Very High Usage")))</f>
        <v>#REF!</v>
      </c>
      <c r="AE2809" t="e">
        <f>IF(#REF!&lt;=5,"Low Calls", IF(#REF!&lt;=10, "Medium Calls", "High Calls"))</f>
        <v>#REF!</v>
      </c>
      <c r="AF2809" t="e">
        <f xml:space="preserve">
IF(#REF!&gt;=4,4,0)+
IF(#REF!="yes",3,0)+
IF(#REF!="High Charges",3,0)+
IF(#REF!&gt;250,4,0)+
IF(#REF!="no",1,0)+
IF(#REF!="Heavy Domestic User",2,0)</f>
        <v>#REF!</v>
      </c>
      <c r="AG2809" t="e">
        <f>IF(#REF!&gt;=10,"High Risk", IF(#REF!&gt;=5,"Medium Risk","Low Risk"))</f>
        <v>#REF!</v>
      </c>
      <c r="AH2809" t="e">
        <f>#REF! + #REF! + #REF! + #REF!</f>
        <v>#REF!</v>
      </c>
    </row>
    <row r="2810" spans="1:34" x14ac:dyDescent="0.35">
      <c r="A2810">
        <v>2809</v>
      </c>
      <c r="B2810" t="s">
        <v>34</v>
      </c>
      <c r="C2810">
        <v>45</v>
      </c>
      <c r="D2810" t="s">
        <v>21</v>
      </c>
      <c r="E2810" t="s">
        <v>22</v>
      </c>
      <c r="F2810" t="s">
        <v>22</v>
      </c>
      <c r="G2810">
        <v>0</v>
      </c>
      <c r="H2810">
        <v>211.3</v>
      </c>
      <c r="I2810">
        <v>87</v>
      </c>
      <c r="J2810">
        <v>35.92</v>
      </c>
      <c r="K2810">
        <v>165.7</v>
      </c>
      <c r="L2810">
        <v>97</v>
      </c>
      <c r="M2810">
        <v>14.08</v>
      </c>
      <c r="N2810">
        <v>265.89999999999998</v>
      </c>
      <c r="O2810">
        <v>72</v>
      </c>
      <c r="P2810">
        <v>11.97</v>
      </c>
      <c r="Q2810">
        <v>13.3</v>
      </c>
      <c r="R2810">
        <v>6</v>
      </c>
      <c r="S2810">
        <v>3.59</v>
      </c>
      <c r="T2810">
        <v>1</v>
      </c>
      <c r="U2810" t="s">
        <v>22</v>
      </c>
      <c r="V2810" t="e">
        <f>IF(#REF! = "yes", 1, 0)</f>
        <v>#REF!</v>
      </c>
      <c r="W2810" t="e">
        <f>IF(#REF! &lt;= 1, "0-1 Calls", IF(#REF! &lt;= 3, "2-3 Calls", IF(#REF! &lt;=5, "4-5 Calls", "6+ Calls")))</f>
        <v>#REF!</v>
      </c>
      <c r="X2810" t="e">
        <f>IF(#REF! &lt;= 50, "0-50", IF(#REF! &lt;=100, "51-100", IF(#REF! &lt;= 150, "101-150", "151+")))</f>
        <v>#REF!</v>
      </c>
      <c r="Y2810" t="e">
        <f>IF(#REF! &lt;= 3, "Low Charges", "High Charges")</f>
        <v>#REF!</v>
      </c>
      <c r="Z2810" t="e">
        <f>IF(#REF!&lt;=80,"Low Calls",
IF(#REF!&lt;=120,"Medium Calls","High Calls"))</f>
        <v>#REF!</v>
      </c>
      <c r="AA2810" t="e">
        <f>IF(#REF!&lt;=15,"Low Charges",
IF(#REF!&lt;=20,"Medium Charges","High Charges"))</f>
        <v>#REF!</v>
      </c>
      <c r="AB2810" t="e">
        <f>IF(AND(#REF!&gt;180, #REF!&gt;200), "Heavy Doemstic User", IF(#REF!&gt;10, "Interntional User", IF(AND(#REF!&lt;180, #REF!&lt;200,#REF!&lt;200), "Light User", "Balanced User")))</f>
        <v>#REF!</v>
      </c>
      <c r="AC2810" t="e">
        <f>IF(#REF! = 0, "No Usage", IF(#REF! &lt;= 20, "Low Usage", IF(#REF! &lt;= 40, "Medium Usgae", "High Usage")))</f>
        <v>#REF!</v>
      </c>
      <c r="AD2810" t="e">
        <f>IF(#REF!&lt;=150,"Low Usage", IF(#REF!&lt;=200,"Medium Usage", IF(#REF!&lt;=250,"High Usage","Very High Usage")))</f>
        <v>#REF!</v>
      </c>
      <c r="AE2810" t="e">
        <f>IF(#REF!&lt;=5,"Low Calls", IF(#REF!&lt;=10, "Medium Calls", "High Calls"))</f>
        <v>#REF!</v>
      </c>
      <c r="AF2810" t="e">
        <f xml:space="preserve">
IF(#REF!&gt;=4,4,0)+
IF(#REF!="yes",3,0)+
IF(#REF!="High Charges",3,0)+
IF(#REF!&gt;250,4,0)+
IF(#REF!="no",1,0)+
IF(#REF!="Heavy Domestic User",2,0)</f>
        <v>#REF!</v>
      </c>
      <c r="AG2810" t="e">
        <f>IF(#REF!&gt;=10,"High Risk", IF(#REF!&gt;=5,"Medium Risk","Low Risk"))</f>
        <v>#REF!</v>
      </c>
      <c r="AH2810" t="e">
        <f>#REF! + #REF! + #REF! + #REF!</f>
        <v>#REF!</v>
      </c>
    </row>
    <row r="2811" spans="1:34" x14ac:dyDescent="0.35">
      <c r="A2811">
        <v>2810</v>
      </c>
      <c r="B2811" t="s">
        <v>64</v>
      </c>
      <c r="C2811">
        <v>100</v>
      </c>
      <c r="D2811" t="s">
        <v>25</v>
      </c>
      <c r="E2811" t="s">
        <v>23</v>
      </c>
      <c r="F2811" t="s">
        <v>22</v>
      </c>
      <c r="G2811">
        <v>0</v>
      </c>
      <c r="H2811">
        <v>219.4</v>
      </c>
      <c r="I2811">
        <v>112</v>
      </c>
      <c r="J2811">
        <v>37.299999999999997</v>
      </c>
      <c r="K2811">
        <v>225.7</v>
      </c>
      <c r="L2811">
        <v>102</v>
      </c>
      <c r="M2811">
        <v>19.18</v>
      </c>
      <c r="N2811">
        <v>255.3</v>
      </c>
      <c r="O2811">
        <v>95</v>
      </c>
      <c r="P2811">
        <v>11.49</v>
      </c>
      <c r="Q2811">
        <v>12</v>
      </c>
      <c r="R2811">
        <v>4</v>
      </c>
      <c r="S2811">
        <v>3.24</v>
      </c>
      <c r="T2811">
        <v>4</v>
      </c>
      <c r="U2811" t="s">
        <v>22</v>
      </c>
      <c r="V2811" t="e">
        <f>IF(#REF! = "yes", 1, 0)</f>
        <v>#REF!</v>
      </c>
      <c r="W2811" t="e">
        <f>IF(#REF! &lt;= 1, "0-1 Calls", IF(#REF! &lt;= 3, "2-3 Calls", IF(#REF! &lt;=5, "4-5 Calls", "6+ Calls")))</f>
        <v>#REF!</v>
      </c>
      <c r="X2811" t="e">
        <f>IF(#REF! &lt;= 50, "0-50", IF(#REF! &lt;=100, "51-100", IF(#REF! &lt;= 150, "101-150", "151+")))</f>
        <v>#REF!</v>
      </c>
      <c r="Y2811" t="e">
        <f>IF(#REF! &lt;= 3, "Low Charges", "High Charges")</f>
        <v>#REF!</v>
      </c>
      <c r="Z2811" t="e">
        <f>IF(#REF!&lt;=80,"Low Calls",
IF(#REF!&lt;=120,"Medium Calls","High Calls"))</f>
        <v>#REF!</v>
      </c>
      <c r="AA2811" t="e">
        <f>IF(#REF!&lt;=15,"Low Charges",
IF(#REF!&lt;=20,"Medium Charges","High Charges"))</f>
        <v>#REF!</v>
      </c>
      <c r="AB2811" t="e">
        <f>IF(AND(#REF!&gt;180, #REF!&gt;200), "Heavy Doemstic User", IF(#REF!&gt;10, "Interntional User", IF(AND(#REF!&lt;180, #REF!&lt;200,#REF!&lt;200), "Light User", "Balanced User")))</f>
        <v>#REF!</v>
      </c>
      <c r="AC2811" t="e">
        <f>IF(#REF! = 0, "No Usage", IF(#REF! &lt;= 20, "Low Usage", IF(#REF! &lt;= 40, "Medium Usgae", "High Usage")))</f>
        <v>#REF!</v>
      </c>
      <c r="AD2811" t="e">
        <f>IF(#REF!&lt;=150,"Low Usage", IF(#REF!&lt;=200,"Medium Usage", IF(#REF!&lt;=250,"High Usage","Very High Usage")))</f>
        <v>#REF!</v>
      </c>
      <c r="AE2811" t="e">
        <f>IF(#REF!&lt;=5,"Low Calls", IF(#REF!&lt;=10, "Medium Calls", "High Calls"))</f>
        <v>#REF!</v>
      </c>
      <c r="AF2811" t="e">
        <f xml:space="preserve">
IF(#REF!&gt;=4,4,0)+
IF(#REF!="yes",3,0)+
IF(#REF!="High Charges",3,0)+
IF(#REF!&gt;250,4,0)+
IF(#REF!="no",1,0)+
IF(#REF!="Heavy Domestic User",2,0)</f>
        <v>#REF!</v>
      </c>
      <c r="AG2811" t="e">
        <f>IF(#REF!&gt;=10,"High Risk", IF(#REF!&gt;=5,"Medium Risk","Low Risk"))</f>
        <v>#REF!</v>
      </c>
      <c r="AH2811" t="e">
        <f>#REF! + #REF! + #REF! + #REF!</f>
        <v>#REF!</v>
      </c>
    </row>
    <row r="2812" spans="1:34" x14ac:dyDescent="0.35">
      <c r="A2812">
        <v>2811</v>
      </c>
      <c r="B2812" t="s">
        <v>36</v>
      </c>
      <c r="C2812">
        <v>94</v>
      </c>
      <c r="D2812" t="s">
        <v>21</v>
      </c>
      <c r="E2812" t="s">
        <v>22</v>
      </c>
      <c r="F2812" t="s">
        <v>22</v>
      </c>
      <c r="G2812">
        <v>0</v>
      </c>
      <c r="H2812">
        <v>190.4</v>
      </c>
      <c r="I2812">
        <v>91</v>
      </c>
      <c r="J2812">
        <v>32.369999999999997</v>
      </c>
      <c r="K2812">
        <v>92</v>
      </c>
      <c r="L2812">
        <v>107</v>
      </c>
      <c r="M2812">
        <v>7.82</v>
      </c>
      <c r="N2812">
        <v>224.8</v>
      </c>
      <c r="O2812">
        <v>108</v>
      </c>
      <c r="P2812">
        <v>10.119999999999999</v>
      </c>
      <c r="Q2812">
        <v>13.6</v>
      </c>
      <c r="R2812">
        <v>17</v>
      </c>
      <c r="S2812">
        <v>3.67</v>
      </c>
      <c r="T2812">
        <v>2</v>
      </c>
      <c r="U2812" t="s">
        <v>22</v>
      </c>
      <c r="V2812" t="e">
        <f>IF(#REF! = "yes", 1, 0)</f>
        <v>#REF!</v>
      </c>
      <c r="W2812" t="e">
        <f>IF(#REF! &lt;= 1, "0-1 Calls", IF(#REF! &lt;= 3, "2-3 Calls", IF(#REF! &lt;=5, "4-5 Calls", "6+ Calls")))</f>
        <v>#REF!</v>
      </c>
      <c r="X2812" t="e">
        <f>IF(#REF! &lt;= 50, "0-50", IF(#REF! &lt;=100, "51-100", IF(#REF! &lt;= 150, "101-150", "151+")))</f>
        <v>#REF!</v>
      </c>
      <c r="Y2812" t="e">
        <f>IF(#REF! &lt;= 3, "Low Charges", "High Charges")</f>
        <v>#REF!</v>
      </c>
      <c r="Z2812" t="e">
        <f>IF(#REF!&lt;=80,"Low Calls",
IF(#REF!&lt;=120,"Medium Calls","High Calls"))</f>
        <v>#REF!</v>
      </c>
      <c r="AA2812" t="e">
        <f>IF(#REF!&lt;=15,"Low Charges",
IF(#REF!&lt;=20,"Medium Charges","High Charges"))</f>
        <v>#REF!</v>
      </c>
      <c r="AB2812" t="e">
        <f>IF(AND(#REF!&gt;180, #REF!&gt;200), "Heavy Doemstic User", IF(#REF!&gt;10, "Interntional User", IF(AND(#REF!&lt;180, #REF!&lt;200,#REF!&lt;200), "Light User", "Balanced User")))</f>
        <v>#REF!</v>
      </c>
      <c r="AC2812" t="e">
        <f>IF(#REF! = 0, "No Usage", IF(#REF! &lt;= 20, "Low Usage", IF(#REF! &lt;= 40, "Medium Usgae", "High Usage")))</f>
        <v>#REF!</v>
      </c>
      <c r="AD2812" t="e">
        <f>IF(#REF!&lt;=150,"Low Usage", IF(#REF!&lt;=200,"Medium Usage", IF(#REF!&lt;=250,"High Usage","Very High Usage")))</f>
        <v>#REF!</v>
      </c>
      <c r="AE2812" t="e">
        <f>IF(#REF!&lt;=5,"Low Calls", IF(#REF!&lt;=10, "Medium Calls", "High Calls"))</f>
        <v>#REF!</v>
      </c>
      <c r="AF2812" t="e">
        <f xml:space="preserve">
IF(#REF!&gt;=4,4,0)+
IF(#REF!="yes",3,0)+
IF(#REF!="High Charges",3,0)+
IF(#REF!&gt;250,4,0)+
IF(#REF!="no",1,0)+
IF(#REF!="Heavy Domestic User",2,0)</f>
        <v>#REF!</v>
      </c>
      <c r="AG2812" t="e">
        <f>IF(#REF!&gt;=10,"High Risk", IF(#REF!&gt;=5,"Medium Risk","Low Risk"))</f>
        <v>#REF!</v>
      </c>
      <c r="AH2812" t="e">
        <f>#REF! + #REF! + #REF! + #REF!</f>
        <v>#REF!</v>
      </c>
    </row>
    <row r="2813" spans="1:34" x14ac:dyDescent="0.35">
      <c r="A2813">
        <v>2812</v>
      </c>
      <c r="B2813" t="s">
        <v>30</v>
      </c>
      <c r="C2813">
        <v>128</v>
      </c>
      <c r="D2813" t="s">
        <v>21</v>
      </c>
      <c r="E2813" t="s">
        <v>22</v>
      </c>
      <c r="F2813" t="s">
        <v>22</v>
      </c>
      <c r="G2813">
        <v>0</v>
      </c>
      <c r="H2813">
        <v>147.69999999999999</v>
      </c>
      <c r="I2813">
        <v>94</v>
      </c>
      <c r="J2813">
        <v>25.11</v>
      </c>
      <c r="K2813">
        <v>283.3</v>
      </c>
      <c r="L2813">
        <v>83</v>
      </c>
      <c r="M2813">
        <v>24.08</v>
      </c>
      <c r="N2813">
        <v>188.3</v>
      </c>
      <c r="O2813">
        <v>124</v>
      </c>
      <c r="P2813">
        <v>8.4700000000000006</v>
      </c>
      <c r="Q2813">
        <v>6.9</v>
      </c>
      <c r="R2813">
        <v>5</v>
      </c>
      <c r="S2813">
        <v>1.86</v>
      </c>
      <c r="T2813">
        <v>2</v>
      </c>
      <c r="U2813" t="s">
        <v>22</v>
      </c>
      <c r="V2813" t="e">
        <f>IF(#REF! = "yes", 1, 0)</f>
        <v>#REF!</v>
      </c>
      <c r="W2813" t="e">
        <f>IF(#REF! &lt;= 1, "0-1 Calls", IF(#REF! &lt;= 3, "2-3 Calls", IF(#REF! &lt;=5, "4-5 Calls", "6+ Calls")))</f>
        <v>#REF!</v>
      </c>
      <c r="X2813" t="e">
        <f>IF(#REF! &lt;= 50, "0-50", IF(#REF! &lt;=100, "51-100", IF(#REF! &lt;= 150, "101-150", "151+")))</f>
        <v>#REF!</v>
      </c>
      <c r="Y2813" t="e">
        <f>IF(#REF! &lt;= 3, "Low Charges", "High Charges")</f>
        <v>#REF!</v>
      </c>
      <c r="Z2813" t="e">
        <f>IF(#REF!&lt;=80,"Low Calls",
IF(#REF!&lt;=120,"Medium Calls","High Calls"))</f>
        <v>#REF!</v>
      </c>
      <c r="AA2813" t="e">
        <f>IF(#REF!&lt;=15,"Low Charges",
IF(#REF!&lt;=20,"Medium Charges","High Charges"))</f>
        <v>#REF!</v>
      </c>
      <c r="AB2813" t="e">
        <f>IF(AND(#REF!&gt;180, #REF!&gt;200), "Heavy Doemstic User", IF(#REF!&gt;10, "Interntional User", IF(AND(#REF!&lt;180, #REF!&lt;200,#REF!&lt;200), "Light User", "Balanced User")))</f>
        <v>#REF!</v>
      </c>
      <c r="AC2813" t="e">
        <f>IF(#REF! = 0, "No Usage", IF(#REF! &lt;= 20, "Low Usage", IF(#REF! &lt;= 40, "Medium Usgae", "High Usage")))</f>
        <v>#REF!</v>
      </c>
      <c r="AD2813" t="e">
        <f>IF(#REF!&lt;=150,"Low Usage", IF(#REF!&lt;=200,"Medium Usage", IF(#REF!&lt;=250,"High Usage","Very High Usage")))</f>
        <v>#REF!</v>
      </c>
      <c r="AE2813" t="e">
        <f>IF(#REF!&lt;=5,"Low Calls", IF(#REF!&lt;=10, "Medium Calls", "High Calls"))</f>
        <v>#REF!</v>
      </c>
      <c r="AF2813" t="e">
        <f xml:space="preserve">
IF(#REF!&gt;=4,4,0)+
IF(#REF!="yes",3,0)+
IF(#REF!="High Charges",3,0)+
IF(#REF!&gt;250,4,0)+
IF(#REF!="no",1,0)+
IF(#REF!="Heavy Domestic User",2,0)</f>
        <v>#REF!</v>
      </c>
      <c r="AG2813" t="e">
        <f>IF(#REF!&gt;=10,"High Risk", IF(#REF!&gt;=5,"Medium Risk","Low Risk"))</f>
        <v>#REF!</v>
      </c>
      <c r="AH2813" t="e">
        <f>#REF! + #REF! + #REF! + #REF!</f>
        <v>#REF!</v>
      </c>
    </row>
    <row r="2814" spans="1:34" x14ac:dyDescent="0.35">
      <c r="A2814">
        <v>2813</v>
      </c>
      <c r="B2814" t="s">
        <v>43</v>
      </c>
      <c r="C2814">
        <v>181</v>
      </c>
      <c r="D2814" t="s">
        <v>25</v>
      </c>
      <c r="E2814" t="s">
        <v>22</v>
      </c>
      <c r="F2814" t="s">
        <v>22</v>
      </c>
      <c r="G2814">
        <v>0</v>
      </c>
      <c r="H2814">
        <v>229.9</v>
      </c>
      <c r="I2814">
        <v>130</v>
      </c>
      <c r="J2814">
        <v>39.08</v>
      </c>
      <c r="K2814">
        <v>144.4</v>
      </c>
      <c r="L2814">
        <v>93</v>
      </c>
      <c r="M2814">
        <v>12.27</v>
      </c>
      <c r="N2814">
        <v>262.39999999999998</v>
      </c>
      <c r="O2814">
        <v>110</v>
      </c>
      <c r="P2814">
        <v>11.81</v>
      </c>
      <c r="Q2814">
        <v>14.2</v>
      </c>
      <c r="R2814">
        <v>4</v>
      </c>
      <c r="S2814">
        <v>3.83</v>
      </c>
      <c r="T2814">
        <v>2</v>
      </c>
      <c r="U2814" t="s">
        <v>22</v>
      </c>
      <c r="V2814" t="e">
        <f>IF(#REF! = "yes", 1, 0)</f>
        <v>#REF!</v>
      </c>
      <c r="W2814" t="e">
        <f>IF(#REF! &lt;= 1, "0-1 Calls", IF(#REF! &lt;= 3, "2-3 Calls", IF(#REF! &lt;=5, "4-5 Calls", "6+ Calls")))</f>
        <v>#REF!</v>
      </c>
      <c r="X2814" t="e">
        <f>IF(#REF! &lt;= 50, "0-50", IF(#REF! &lt;=100, "51-100", IF(#REF! &lt;= 150, "101-150", "151+")))</f>
        <v>#REF!</v>
      </c>
      <c r="Y2814" t="e">
        <f>IF(#REF! &lt;= 3, "Low Charges", "High Charges")</f>
        <v>#REF!</v>
      </c>
      <c r="Z2814" t="e">
        <f>IF(#REF!&lt;=80,"Low Calls",
IF(#REF!&lt;=120,"Medium Calls","High Calls"))</f>
        <v>#REF!</v>
      </c>
      <c r="AA2814" t="e">
        <f>IF(#REF!&lt;=15,"Low Charges",
IF(#REF!&lt;=20,"Medium Charges","High Charges"))</f>
        <v>#REF!</v>
      </c>
      <c r="AB2814" t="e">
        <f>IF(AND(#REF!&gt;180, #REF!&gt;200), "Heavy Doemstic User", IF(#REF!&gt;10, "Interntional User", IF(AND(#REF!&lt;180, #REF!&lt;200,#REF!&lt;200), "Light User", "Balanced User")))</f>
        <v>#REF!</v>
      </c>
      <c r="AC2814" t="e">
        <f>IF(#REF! = 0, "No Usage", IF(#REF! &lt;= 20, "Low Usage", IF(#REF! &lt;= 40, "Medium Usgae", "High Usage")))</f>
        <v>#REF!</v>
      </c>
      <c r="AD2814" t="e">
        <f>IF(#REF!&lt;=150,"Low Usage", IF(#REF!&lt;=200,"Medium Usage", IF(#REF!&lt;=250,"High Usage","Very High Usage")))</f>
        <v>#REF!</v>
      </c>
      <c r="AE2814" t="e">
        <f>IF(#REF!&lt;=5,"Low Calls", IF(#REF!&lt;=10, "Medium Calls", "High Calls"))</f>
        <v>#REF!</v>
      </c>
      <c r="AF2814" t="e">
        <f xml:space="preserve">
IF(#REF!&gt;=4,4,0)+
IF(#REF!="yes",3,0)+
IF(#REF!="High Charges",3,0)+
IF(#REF!&gt;250,4,0)+
IF(#REF!="no",1,0)+
IF(#REF!="Heavy Domestic User",2,0)</f>
        <v>#REF!</v>
      </c>
      <c r="AG2814" t="e">
        <f>IF(#REF!&gt;=10,"High Risk", IF(#REF!&gt;=5,"Medium Risk","Low Risk"))</f>
        <v>#REF!</v>
      </c>
      <c r="AH2814" t="e">
        <f>#REF! + #REF! + #REF! + #REF!</f>
        <v>#REF!</v>
      </c>
    </row>
    <row r="2815" spans="1:34" x14ac:dyDescent="0.35">
      <c r="A2815">
        <v>2814</v>
      </c>
      <c r="B2815" t="s">
        <v>37</v>
      </c>
      <c r="C2815">
        <v>127</v>
      </c>
      <c r="D2815" t="s">
        <v>25</v>
      </c>
      <c r="E2815" t="s">
        <v>22</v>
      </c>
      <c r="F2815" t="s">
        <v>22</v>
      </c>
      <c r="G2815">
        <v>0</v>
      </c>
      <c r="H2815">
        <v>102.8</v>
      </c>
      <c r="I2815">
        <v>128</v>
      </c>
      <c r="J2815">
        <v>17.48</v>
      </c>
      <c r="K2815">
        <v>143.69999999999999</v>
      </c>
      <c r="L2815">
        <v>95</v>
      </c>
      <c r="M2815">
        <v>12.21</v>
      </c>
      <c r="N2815">
        <v>191.4</v>
      </c>
      <c r="O2815">
        <v>97</v>
      </c>
      <c r="P2815">
        <v>8.61</v>
      </c>
      <c r="Q2815">
        <v>10</v>
      </c>
      <c r="R2815">
        <v>5</v>
      </c>
      <c r="S2815">
        <v>2.7</v>
      </c>
      <c r="T2815">
        <v>1</v>
      </c>
      <c r="U2815" t="s">
        <v>22</v>
      </c>
      <c r="V2815" t="e">
        <f>IF(#REF! = "yes", 1, 0)</f>
        <v>#REF!</v>
      </c>
      <c r="W2815" t="e">
        <f>IF(#REF! &lt;= 1, "0-1 Calls", IF(#REF! &lt;= 3, "2-3 Calls", IF(#REF! &lt;=5, "4-5 Calls", "6+ Calls")))</f>
        <v>#REF!</v>
      </c>
      <c r="X2815" t="e">
        <f>IF(#REF! &lt;= 50, "0-50", IF(#REF! &lt;=100, "51-100", IF(#REF! &lt;= 150, "101-150", "151+")))</f>
        <v>#REF!</v>
      </c>
      <c r="Y2815" t="e">
        <f>IF(#REF! &lt;= 3, "Low Charges", "High Charges")</f>
        <v>#REF!</v>
      </c>
      <c r="Z2815" t="e">
        <f>IF(#REF!&lt;=80,"Low Calls",
IF(#REF!&lt;=120,"Medium Calls","High Calls"))</f>
        <v>#REF!</v>
      </c>
      <c r="AA2815" t="e">
        <f>IF(#REF!&lt;=15,"Low Charges",
IF(#REF!&lt;=20,"Medium Charges","High Charges"))</f>
        <v>#REF!</v>
      </c>
      <c r="AB2815" t="e">
        <f>IF(AND(#REF!&gt;180, #REF!&gt;200), "Heavy Doemstic User", IF(#REF!&gt;10, "Interntional User", IF(AND(#REF!&lt;180, #REF!&lt;200,#REF!&lt;200), "Light User", "Balanced User")))</f>
        <v>#REF!</v>
      </c>
      <c r="AC2815" t="e">
        <f>IF(#REF! = 0, "No Usage", IF(#REF! &lt;= 20, "Low Usage", IF(#REF! &lt;= 40, "Medium Usgae", "High Usage")))</f>
        <v>#REF!</v>
      </c>
      <c r="AD2815" t="e">
        <f>IF(#REF!&lt;=150,"Low Usage", IF(#REF!&lt;=200,"Medium Usage", IF(#REF!&lt;=250,"High Usage","Very High Usage")))</f>
        <v>#REF!</v>
      </c>
      <c r="AE2815" t="e">
        <f>IF(#REF!&lt;=5,"Low Calls", IF(#REF!&lt;=10, "Medium Calls", "High Calls"))</f>
        <v>#REF!</v>
      </c>
      <c r="AF2815" t="e">
        <f xml:space="preserve">
IF(#REF!&gt;=4,4,0)+
IF(#REF!="yes",3,0)+
IF(#REF!="High Charges",3,0)+
IF(#REF!&gt;250,4,0)+
IF(#REF!="no",1,0)+
IF(#REF!="Heavy Domestic User",2,0)</f>
        <v>#REF!</v>
      </c>
      <c r="AG2815" t="e">
        <f>IF(#REF!&gt;=10,"High Risk", IF(#REF!&gt;=5,"Medium Risk","Low Risk"))</f>
        <v>#REF!</v>
      </c>
      <c r="AH2815" t="e">
        <f>#REF! + #REF! + #REF! + #REF!</f>
        <v>#REF!</v>
      </c>
    </row>
    <row r="2816" spans="1:34" x14ac:dyDescent="0.35">
      <c r="A2816">
        <v>2815</v>
      </c>
      <c r="B2816" t="s">
        <v>29</v>
      </c>
      <c r="C2816">
        <v>89</v>
      </c>
      <c r="D2816" t="s">
        <v>21</v>
      </c>
      <c r="E2816" t="s">
        <v>22</v>
      </c>
      <c r="F2816" t="s">
        <v>22</v>
      </c>
      <c r="G2816">
        <v>0</v>
      </c>
      <c r="H2816">
        <v>178.7</v>
      </c>
      <c r="I2816">
        <v>81</v>
      </c>
      <c r="J2816">
        <v>30.38</v>
      </c>
      <c r="K2816">
        <v>233.7</v>
      </c>
      <c r="L2816">
        <v>74</v>
      </c>
      <c r="M2816">
        <v>19.86</v>
      </c>
      <c r="N2816">
        <v>131.9</v>
      </c>
      <c r="O2816">
        <v>120</v>
      </c>
      <c r="P2816">
        <v>5.94</v>
      </c>
      <c r="Q2816">
        <v>9.1</v>
      </c>
      <c r="R2816">
        <v>4</v>
      </c>
      <c r="S2816">
        <v>2.46</v>
      </c>
      <c r="T2816">
        <v>1</v>
      </c>
      <c r="U2816" t="s">
        <v>22</v>
      </c>
      <c r="V2816" t="e">
        <f>IF(#REF! = "yes", 1, 0)</f>
        <v>#REF!</v>
      </c>
      <c r="W2816" t="e">
        <f>IF(#REF! &lt;= 1, "0-1 Calls", IF(#REF! &lt;= 3, "2-3 Calls", IF(#REF! &lt;=5, "4-5 Calls", "6+ Calls")))</f>
        <v>#REF!</v>
      </c>
      <c r="X2816" t="e">
        <f>IF(#REF! &lt;= 50, "0-50", IF(#REF! &lt;=100, "51-100", IF(#REF! &lt;= 150, "101-150", "151+")))</f>
        <v>#REF!</v>
      </c>
      <c r="Y2816" t="e">
        <f>IF(#REF! &lt;= 3, "Low Charges", "High Charges")</f>
        <v>#REF!</v>
      </c>
      <c r="Z2816" t="e">
        <f>IF(#REF!&lt;=80,"Low Calls",
IF(#REF!&lt;=120,"Medium Calls","High Calls"))</f>
        <v>#REF!</v>
      </c>
      <c r="AA2816" t="e">
        <f>IF(#REF!&lt;=15,"Low Charges",
IF(#REF!&lt;=20,"Medium Charges","High Charges"))</f>
        <v>#REF!</v>
      </c>
      <c r="AB2816" t="e">
        <f>IF(AND(#REF!&gt;180, #REF!&gt;200), "Heavy Doemstic User", IF(#REF!&gt;10, "Interntional User", IF(AND(#REF!&lt;180, #REF!&lt;200,#REF!&lt;200), "Light User", "Balanced User")))</f>
        <v>#REF!</v>
      </c>
      <c r="AC2816" t="e">
        <f>IF(#REF! = 0, "No Usage", IF(#REF! &lt;= 20, "Low Usage", IF(#REF! &lt;= 40, "Medium Usgae", "High Usage")))</f>
        <v>#REF!</v>
      </c>
      <c r="AD2816" t="e">
        <f>IF(#REF!&lt;=150,"Low Usage", IF(#REF!&lt;=200,"Medium Usage", IF(#REF!&lt;=250,"High Usage","Very High Usage")))</f>
        <v>#REF!</v>
      </c>
      <c r="AE2816" t="e">
        <f>IF(#REF!&lt;=5,"Low Calls", IF(#REF!&lt;=10, "Medium Calls", "High Calls"))</f>
        <v>#REF!</v>
      </c>
      <c r="AF2816" t="e">
        <f xml:space="preserve">
IF(#REF!&gt;=4,4,0)+
IF(#REF!="yes",3,0)+
IF(#REF!="High Charges",3,0)+
IF(#REF!&gt;250,4,0)+
IF(#REF!="no",1,0)+
IF(#REF!="Heavy Domestic User",2,0)</f>
        <v>#REF!</v>
      </c>
      <c r="AG2816" t="e">
        <f>IF(#REF!&gt;=10,"High Risk", IF(#REF!&gt;=5,"Medium Risk","Low Risk"))</f>
        <v>#REF!</v>
      </c>
      <c r="AH2816" t="e">
        <f>#REF! + #REF! + #REF! + #REF!</f>
        <v>#REF!</v>
      </c>
    </row>
    <row r="2817" spans="1:34" x14ac:dyDescent="0.35">
      <c r="A2817">
        <v>2816</v>
      </c>
      <c r="B2817" t="s">
        <v>66</v>
      </c>
      <c r="C2817">
        <v>149</v>
      </c>
      <c r="D2817" t="s">
        <v>21</v>
      </c>
      <c r="E2817" t="s">
        <v>22</v>
      </c>
      <c r="F2817" t="s">
        <v>23</v>
      </c>
      <c r="G2817">
        <v>18</v>
      </c>
      <c r="H2817">
        <v>148.5</v>
      </c>
      <c r="I2817">
        <v>106</v>
      </c>
      <c r="J2817">
        <v>25.25</v>
      </c>
      <c r="K2817">
        <v>114.5</v>
      </c>
      <c r="L2817">
        <v>106</v>
      </c>
      <c r="M2817">
        <v>9.73</v>
      </c>
      <c r="N2817">
        <v>178.3</v>
      </c>
      <c r="O2817">
        <v>98</v>
      </c>
      <c r="P2817">
        <v>8.02</v>
      </c>
      <c r="Q2817">
        <v>6.5</v>
      </c>
      <c r="R2817">
        <v>4</v>
      </c>
      <c r="S2817">
        <v>1.76</v>
      </c>
      <c r="T2817">
        <v>0</v>
      </c>
      <c r="U2817" t="s">
        <v>22</v>
      </c>
      <c r="V2817" t="e">
        <f>IF(#REF! = "yes", 1, 0)</f>
        <v>#REF!</v>
      </c>
      <c r="W2817" t="e">
        <f>IF(#REF! &lt;= 1, "0-1 Calls", IF(#REF! &lt;= 3, "2-3 Calls", IF(#REF! &lt;=5, "4-5 Calls", "6+ Calls")))</f>
        <v>#REF!</v>
      </c>
      <c r="X2817" t="e">
        <f>IF(#REF! &lt;= 50, "0-50", IF(#REF! &lt;=100, "51-100", IF(#REF! &lt;= 150, "101-150", "151+")))</f>
        <v>#REF!</v>
      </c>
      <c r="Y2817" t="e">
        <f>IF(#REF! &lt;= 3, "Low Charges", "High Charges")</f>
        <v>#REF!</v>
      </c>
      <c r="Z2817" t="e">
        <f>IF(#REF!&lt;=80,"Low Calls",
IF(#REF!&lt;=120,"Medium Calls","High Calls"))</f>
        <v>#REF!</v>
      </c>
      <c r="AA2817" t="e">
        <f>IF(#REF!&lt;=15,"Low Charges",
IF(#REF!&lt;=20,"Medium Charges","High Charges"))</f>
        <v>#REF!</v>
      </c>
      <c r="AB2817" t="e">
        <f>IF(AND(#REF!&gt;180, #REF!&gt;200), "Heavy Doemstic User", IF(#REF!&gt;10, "Interntional User", IF(AND(#REF!&lt;180, #REF!&lt;200,#REF!&lt;200), "Light User", "Balanced User")))</f>
        <v>#REF!</v>
      </c>
      <c r="AC2817" t="e">
        <f>IF(#REF! = 0, "No Usage", IF(#REF! &lt;= 20, "Low Usage", IF(#REF! &lt;= 40, "Medium Usgae", "High Usage")))</f>
        <v>#REF!</v>
      </c>
      <c r="AD2817" t="e">
        <f>IF(#REF!&lt;=150,"Low Usage", IF(#REF!&lt;=200,"Medium Usage", IF(#REF!&lt;=250,"High Usage","Very High Usage")))</f>
        <v>#REF!</v>
      </c>
      <c r="AE2817" t="e">
        <f>IF(#REF!&lt;=5,"Low Calls", IF(#REF!&lt;=10, "Medium Calls", "High Calls"))</f>
        <v>#REF!</v>
      </c>
      <c r="AF2817" t="e">
        <f xml:space="preserve">
IF(#REF!&gt;=4,4,0)+
IF(#REF!="yes",3,0)+
IF(#REF!="High Charges",3,0)+
IF(#REF!&gt;250,4,0)+
IF(#REF!="no",1,0)+
IF(#REF!="Heavy Domestic User",2,0)</f>
        <v>#REF!</v>
      </c>
      <c r="AG2817" t="e">
        <f>IF(#REF!&gt;=10,"High Risk", IF(#REF!&gt;=5,"Medium Risk","Low Risk"))</f>
        <v>#REF!</v>
      </c>
      <c r="AH2817" t="e">
        <f>#REF! + #REF! + #REF! + #REF!</f>
        <v>#REF!</v>
      </c>
    </row>
    <row r="2818" spans="1:34" x14ac:dyDescent="0.35">
      <c r="A2818">
        <v>2817</v>
      </c>
      <c r="B2818" t="s">
        <v>67</v>
      </c>
      <c r="C2818">
        <v>103</v>
      </c>
      <c r="D2818" t="s">
        <v>28</v>
      </c>
      <c r="E2818" t="s">
        <v>22</v>
      </c>
      <c r="F2818" t="s">
        <v>23</v>
      </c>
      <c r="G2818">
        <v>29</v>
      </c>
      <c r="H2818">
        <v>164.1</v>
      </c>
      <c r="I2818">
        <v>111</v>
      </c>
      <c r="J2818">
        <v>27.9</v>
      </c>
      <c r="K2818">
        <v>219.1</v>
      </c>
      <c r="L2818">
        <v>96</v>
      </c>
      <c r="M2818">
        <v>18.62</v>
      </c>
      <c r="N2818">
        <v>220.3</v>
      </c>
      <c r="O2818">
        <v>108</v>
      </c>
      <c r="P2818">
        <v>9.91</v>
      </c>
      <c r="Q2818">
        <v>12.3</v>
      </c>
      <c r="R2818">
        <v>9</v>
      </c>
      <c r="S2818">
        <v>3.32</v>
      </c>
      <c r="T2818">
        <v>0</v>
      </c>
      <c r="U2818" t="s">
        <v>22</v>
      </c>
      <c r="V2818" t="e">
        <f>IF(#REF! = "yes", 1, 0)</f>
        <v>#REF!</v>
      </c>
      <c r="W2818" t="e">
        <f>IF(#REF! &lt;= 1, "0-1 Calls", IF(#REF! &lt;= 3, "2-3 Calls", IF(#REF! &lt;=5, "4-5 Calls", "6+ Calls")))</f>
        <v>#REF!</v>
      </c>
      <c r="X2818" t="e">
        <f>IF(#REF! &lt;= 50, "0-50", IF(#REF! &lt;=100, "51-100", IF(#REF! &lt;= 150, "101-150", "151+")))</f>
        <v>#REF!</v>
      </c>
      <c r="Y2818" t="e">
        <f>IF(#REF! &lt;= 3, "Low Charges", "High Charges")</f>
        <v>#REF!</v>
      </c>
      <c r="Z2818" t="e">
        <f>IF(#REF!&lt;=80,"Low Calls",
IF(#REF!&lt;=120,"Medium Calls","High Calls"))</f>
        <v>#REF!</v>
      </c>
      <c r="AA2818" t="e">
        <f>IF(#REF!&lt;=15,"Low Charges",
IF(#REF!&lt;=20,"Medium Charges","High Charges"))</f>
        <v>#REF!</v>
      </c>
      <c r="AB2818" t="e">
        <f>IF(AND(#REF!&gt;180, #REF!&gt;200), "Heavy Doemstic User", IF(#REF!&gt;10, "Interntional User", IF(AND(#REF!&lt;180, #REF!&lt;200,#REF!&lt;200), "Light User", "Balanced User")))</f>
        <v>#REF!</v>
      </c>
      <c r="AC2818" t="e">
        <f>IF(#REF! = 0, "No Usage", IF(#REF! &lt;= 20, "Low Usage", IF(#REF! &lt;= 40, "Medium Usgae", "High Usage")))</f>
        <v>#REF!</v>
      </c>
      <c r="AD2818" t="e">
        <f>IF(#REF!&lt;=150,"Low Usage", IF(#REF!&lt;=200,"Medium Usage", IF(#REF!&lt;=250,"High Usage","Very High Usage")))</f>
        <v>#REF!</v>
      </c>
      <c r="AE2818" t="e">
        <f>IF(#REF!&lt;=5,"Low Calls", IF(#REF!&lt;=10, "Medium Calls", "High Calls"))</f>
        <v>#REF!</v>
      </c>
      <c r="AF2818" t="e">
        <f xml:space="preserve">
IF(#REF!&gt;=4,4,0)+
IF(#REF!="yes",3,0)+
IF(#REF!="High Charges",3,0)+
IF(#REF!&gt;250,4,0)+
IF(#REF!="no",1,0)+
IF(#REF!="Heavy Domestic User",2,0)</f>
        <v>#REF!</v>
      </c>
      <c r="AG2818" t="e">
        <f>IF(#REF!&gt;=10,"High Risk", IF(#REF!&gt;=5,"Medium Risk","Low Risk"))</f>
        <v>#REF!</v>
      </c>
      <c r="AH2818" t="e">
        <f>#REF! + #REF! + #REF! + #REF!</f>
        <v>#REF!</v>
      </c>
    </row>
    <row r="2819" spans="1:34" x14ac:dyDescent="0.35">
      <c r="A2819">
        <v>2818</v>
      </c>
      <c r="B2819" t="s">
        <v>57</v>
      </c>
      <c r="C2819">
        <v>163</v>
      </c>
      <c r="D2819" t="s">
        <v>21</v>
      </c>
      <c r="E2819" t="s">
        <v>23</v>
      </c>
      <c r="F2819" t="s">
        <v>22</v>
      </c>
      <c r="G2819">
        <v>0</v>
      </c>
      <c r="H2819">
        <v>197.2</v>
      </c>
      <c r="I2819">
        <v>90</v>
      </c>
      <c r="J2819">
        <v>33.520000000000003</v>
      </c>
      <c r="K2819">
        <v>188.5</v>
      </c>
      <c r="L2819">
        <v>113</v>
      </c>
      <c r="M2819">
        <v>16.02</v>
      </c>
      <c r="N2819">
        <v>211.1</v>
      </c>
      <c r="O2819">
        <v>94</v>
      </c>
      <c r="P2819">
        <v>9.5</v>
      </c>
      <c r="Q2819">
        <v>7.8</v>
      </c>
      <c r="R2819">
        <v>8</v>
      </c>
      <c r="S2819">
        <v>2.11</v>
      </c>
      <c r="T2819">
        <v>1</v>
      </c>
      <c r="U2819" t="s">
        <v>22</v>
      </c>
      <c r="V2819" t="e">
        <f>IF(#REF! = "yes", 1, 0)</f>
        <v>#REF!</v>
      </c>
      <c r="W2819" t="e">
        <f>IF(#REF! &lt;= 1, "0-1 Calls", IF(#REF! &lt;= 3, "2-3 Calls", IF(#REF! &lt;=5, "4-5 Calls", "6+ Calls")))</f>
        <v>#REF!</v>
      </c>
      <c r="X2819" t="e">
        <f>IF(#REF! &lt;= 50, "0-50", IF(#REF! &lt;=100, "51-100", IF(#REF! &lt;= 150, "101-150", "151+")))</f>
        <v>#REF!</v>
      </c>
      <c r="Y2819" t="e">
        <f>IF(#REF! &lt;= 3, "Low Charges", "High Charges")</f>
        <v>#REF!</v>
      </c>
      <c r="Z2819" t="e">
        <f>IF(#REF!&lt;=80,"Low Calls",
IF(#REF!&lt;=120,"Medium Calls","High Calls"))</f>
        <v>#REF!</v>
      </c>
      <c r="AA2819" t="e">
        <f>IF(#REF!&lt;=15,"Low Charges",
IF(#REF!&lt;=20,"Medium Charges","High Charges"))</f>
        <v>#REF!</v>
      </c>
      <c r="AB2819" t="e">
        <f>IF(AND(#REF!&gt;180, #REF!&gt;200), "Heavy Doemstic User", IF(#REF!&gt;10, "Interntional User", IF(AND(#REF!&lt;180, #REF!&lt;200,#REF!&lt;200), "Light User", "Balanced User")))</f>
        <v>#REF!</v>
      </c>
      <c r="AC2819" t="e">
        <f>IF(#REF! = 0, "No Usage", IF(#REF! &lt;= 20, "Low Usage", IF(#REF! &lt;= 40, "Medium Usgae", "High Usage")))</f>
        <v>#REF!</v>
      </c>
      <c r="AD2819" t="e">
        <f>IF(#REF!&lt;=150,"Low Usage", IF(#REF!&lt;=200,"Medium Usage", IF(#REF!&lt;=250,"High Usage","Very High Usage")))</f>
        <v>#REF!</v>
      </c>
      <c r="AE2819" t="e">
        <f>IF(#REF!&lt;=5,"Low Calls", IF(#REF!&lt;=10, "Medium Calls", "High Calls"))</f>
        <v>#REF!</v>
      </c>
      <c r="AF2819" t="e">
        <f xml:space="preserve">
IF(#REF!&gt;=4,4,0)+
IF(#REF!="yes",3,0)+
IF(#REF!="High Charges",3,0)+
IF(#REF!&gt;250,4,0)+
IF(#REF!="no",1,0)+
IF(#REF!="Heavy Domestic User",2,0)</f>
        <v>#REF!</v>
      </c>
      <c r="AG2819" t="e">
        <f>IF(#REF!&gt;=10,"High Risk", IF(#REF!&gt;=5,"Medium Risk","Low Risk"))</f>
        <v>#REF!</v>
      </c>
      <c r="AH2819" t="e">
        <f>#REF! + #REF! + #REF! + #REF!</f>
        <v>#REF!</v>
      </c>
    </row>
    <row r="2820" spans="1:34" x14ac:dyDescent="0.35">
      <c r="A2820">
        <v>2819</v>
      </c>
      <c r="B2820" t="s">
        <v>48</v>
      </c>
      <c r="C2820">
        <v>122</v>
      </c>
      <c r="D2820" t="s">
        <v>28</v>
      </c>
      <c r="E2820" t="s">
        <v>23</v>
      </c>
      <c r="F2820" t="s">
        <v>22</v>
      </c>
      <c r="G2820">
        <v>0</v>
      </c>
      <c r="H2820">
        <v>140</v>
      </c>
      <c r="I2820">
        <v>101</v>
      </c>
      <c r="J2820">
        <v>23.8</v>
      </c>
      <c r="K2820">
        <v>196.4</v>
      </c>
      <c r="L2820">
        <v>77</v>
      </c>
      <c r="M2820">
        <v>16.690000000000001</v>
      </c>
      <c r="N2820">
        <v>120.1</v>
      </c>
      <c r="O2820">
        <v>133</v>
      </c>
      <c r="P2820">
        <v>5.4</v>
      </c>
      <c r="Q2820">
        <v>9.6999999999999993</v>
      </c>
      <c r="R2820">
        <v>4</v>
      </c>
      <c r="S2820">
        <v>2.62</v>
      </c>
      <c r="T2820">
        <v>4</v>
      </c>
      <c r="U2820" t="s">
        <v>23</v>
      </c>
      <c r="V2820" t="e">
        <f>IF(#REF! = "yes", 1, 0)</f>
        <v>#REF!</v>
      </c>
      <c r="W2820" t="e">
        <f>IF(#REF! &lt;= 1, "0-1 Calls", IF(#REF! &lt;= 3, "2-3 Calls", IF(#REF! &lt;=5, "4-5 Calls", "6+ Calls")))</f>
        <v>#REF!</v>
      </c>
      <c r="X2820" t="e">
        <f>IF(#REF! &lt;= 50, "0-50", IF(#REF! &lt;=100, "51-100", IF(#REF! &lt;= 150, "101-150", "151+")))</f>
        <v>#REF!</v>
      </c>
      <c r="Y2820" t="e">
        <f>IF(#REF! &lt;= 3, "Low Charges", "High Charges")</f>
        <v>#REF!</v>
      </c>
      <c r="Z2820" t="e">
        <f>IF(#REF!&lt;=80,"Low Calls",
IF(#REF!&lt;=120,"Medium Calls","High Calls"))</f>
        <v>#REF!</v>
      </c>
      <c r="AA2820" t="e">
        <f>IF(#REF!&lt;=15,"Low Charges",
IF(#REF!&lt;=20,"Medium Charges","High Charges"))</f>
        <v>#REF!</v>
      </c>
      <c r="AB2820" t="e">
        <f>IF(AND(#REF!&gt;180, #REF!&gt;200), "Heavy Doemstic User", IF(#REF!&gt;10, "Interntional User", IF(AND(#REF!&lt;180, #REF!&lt;200,#REF!&lt;200), "Light User", "Balanced User")))</f>
        <v>#REF!</v>
      </c>
      <c r="AC2820" t="e">
        <f>IF(#REF! = 0, "No Usage", IF(#REF! &lt;= 20, "Low Usage", IF(#REF! &lt;= 40, "Medium Usgae", "High Usage")))</f>
        <v>#REF!</v>
      </c>
      <c r="AD2820" t="e">
        <f>IF(#REF!&lt;=150,"Low Usage", IF(#REF!&lt;=200,"Medium Usage", IF(#REF!&lt;=250,"High Usage","Very High Usage")))</f>
        <v>#REF!</v>
      </c>
      <c r="AE2820" t="e">
        <f>IF(#REF!&lt;=5,"Low Calls", IF(#REF!&lt;=10, "Medium Calls", "High Calls"))</f>
        <v>#REF!</v>
      </c>
      <c r="AF2820" t="e">
        <f xml:space="preserve">
IF(#REF!&gt;=4,4,0)+
IF(#REF!="yes",3,0)+
IF(#REF!="High Charges",3,0)+
IF(#REF!&gt;250,4,0)+
IF(#REF!="no",1,0)+
IF(#REF!="Heavy Domestic User",2,0)</f>
        <v>#REF!</v>
      </c>
      <c r="AG2820" t="e">
        <f>IF(#REF!&gt;=10,"High Risk", IF(#REF!&gt;=5,"Medium Risk","Low Risk"))</f>
        <v>#REF!</v>
      </c>
      <c r="AH2820" t="e">
        <f>#REF! + #REF! + #REF! + #REF!</f>
        <v>#REF!</v>
      </c>
    </row>
    <row r="2821" spans="1:34" x14ac:dyDescent="0.35">
      <c r="A2821">
        <v>2820</v>
      </c>
      <c r="B2821" t="s">
        <v>64</v>
      </c>
      <c r="C2821">
        <v>60</v>
      </c>
      <c r="D2821" t="s">
        <v>21</v>
      </c>
      <c r="E2821" t="s">
        <v>22</v>
      </c>
      <c r="F2821" t="s">
        <v>22</v>
      </c>
      <c r="G2821">
        <v>0</v>
      </c>
      <c r="H2821">
        <v>193.9</v>
      </c>
      <c r="I2821">
        <v>118</v>
      </c>
      <c r="J2821">
        <v>32.96</v>
      </c>
      <c r="K2821">
        <v>85</v>
      </c>
      <c r="L2821">
        <v>110</v>
      </c>
      <c r="M2821">
        <v>7.23</v>
      </c>
      <c r="N2821">
        <v>210.1</v>
      </c>
      <c r="O2821">
        <v>134</v>
      </c>
      <c r="P2821">
        <v>9.4499999999999993</v>
      </c>
      <c r="Q2821">
        <v>13.2</v>
      </c>
      <c r="R2821">
        <v>8</v>
      </c>
      <c r="S2821">
        <v>3.56</v>
      </c>
      <c r="T2821">
        <v>3</v>
      </c>
      <c r="U2821" t="s">
        <v>22</v>
      </c>
      <c r="V2821" t="e">
        <f>IF(#REF! = "yes", 1, 0)</f>
        <v>#REF!</v>
      </c>
      <c r="W2821" t="e">
        <f>IF(#REF! &lt;= 1, "0-1 Calls", IF(#REF! &lt;= 3, "2-3 Calls", IF(#REF! &lt;=5, "4-5 Calls", "6+ Calls")))</f>
        <v>#REF!</v>
      </c>
      <c r="X2821" t="e">
        <f>IF(#REF! &lt;= 50, "0-50", IF(#REF! &lt;=100, "51-100", IF(#REF! &lt;= 150, "101-150", "151+")))</f>
        <v>#REF!</v>
      </c>
      <c r="Y2821" t="e">
        <f>IF(#REF! &lt;= 3, "Low Charges", "High Charges")</f>
        <v>#REF!</v>
      </c>
      <c r="Z2821" t="e">
        <f>IF(#REF!&lt;=80,"Low Calls",
IF(#REF!&lt;=120,"Medium Calls","High Calls"))</f>
        <v>#REF!</v>
      </c>
      <c r="AA2821" t="e">
        <f>IF(#REF!&lt;=15,"Low Charges",
IF(#REF!&lt;=20,"Medium Charges","High Charges"))</f>
        <v>#REF!</v>
      </c>
      <c r="AB2821" t="e">
        <f>IF(AND(#REF!&gt;180, #REF!&gt;200), "Heavy Doemstic User", IF(#REF!&gt;10, "Interntional User", IF(AND(#REF!&lt;180, #REF!&lt;200,#REF!&lt;200), "Light User", "Balanced User")))</f>
        <v>#REF!</v>
      </c>
      <c r="AC2821" t="e">
        <f>IF(#REF! = 0, "No Usage", IF(#REF! &lt;= 20, "Low Usage", IF(#REF! &lt;= 40, "Medium Usgae", "High Usage")))</f>
        <v>#REF!</v>
      </c>
      <c r="AD2821" t="e">
        <f>IF(#REF!&lt;=150,"Low Usage", IF(#REF!&lt;=200,"Medium Usage", IF(#REF!&lt;=250,"High Usage","Very High Usage")))</f>
        <v>#REF!</v>
      </c>
      <c r="AE2821" t="e">
        <f>IF(#REF!&lt;=5,"Low Calls", IF(#REF!&lt;=10, "Medium Calls", "High Calls"))</f>
        <v>#REF!</v>
      </c>
      <c r="AF2821" t="e">
        <f xml:space="preserve">
IF(#REF!&gt;=4,4,0)+
IF(#REF!="yes",3,0)+
IF(#REF!="High Charges",3,0)+
IF(#REF!&gt;250,4,0)+
IF(#REF!="no",1,0)+
IF(#REF!="Heavy Domestic User",2,0)</f>
        <v>#REF!</v>
      </c>
      <c r="AG2821" t="e">
        <f>IF(#REF!&gt;=10,"High Risk", IF(#REF!&gt;=5,"Medium Risk","Low Risk"))</f>
        <v>#REF!</v>
      </c>
      <c r="AH2821" t="e">
        <f>#REF! + #REF! + #REF! + #REF!</f>
        <v>#REF!</v>
      </c>
    </row>
    <row r="2822" spans="1:34" x14ac:dyDescent="0.35">
      <c r="A2822">
        <v>2821</v>
      </c>
      <c r="B2822" t="s">
        <v>49</v>
      </c>
      <c r="C2822">
        <v>62</v>
      </c>
      <c r="D2822" t="s">
        <v>25</v>
      </c>
      <c r="E2822" t="s">
        <v>22</v>
      </c>
      <c r="F2822" t="s">
        <v>22</v>
      </c>
      <c r="G2822">
        <v>0</v>
      </c>
      <c r="H2822">
        <v>321.10000000000002</v>
      </c>
      <c r="I2822">
        <v>105</v>
      </c>
      <c r="J2822">
        <v>54.59</v>
      </c>
      <c r="K2822">
        <v>265.5</v>
      </c>
      <c r="L2822">
        <v>122</v>
      </c>
      <c r="M2822">
        <v>22.57</v>
      </c>
      <c r="N2822">
        <v>180.5</v>
      </c>
      <c r="O2822">
        <v>72</v>
      </c>
      <c r="P2822">
        <v>8.1199999999999992</v>
      </c>
      <c r="Q2822">
        <v>11.5</v>
      </c>
      <c r="R2822">
        <v>2</v>
      </c>
      <c r="S2822">
        <v>3.11</v>
      </c>
      <c r="T2822">
        <v>4</v>
      </c>
      <c r="U2822" t="s">
        <v>23</v>
      </c>
      <c r="V2822" t="e">
        <f>IF(#REF! = "yes", 1, 0)</f>
        <v>#REF!</v>
      </c>
      <c r="W2822" t="e">
        <f>IF(#REF! &lt;= 1, "0-1 Calls", IF(#REF! &lt;= 3, "2-3 Calls", IF(#REF! &lt;=5, "4-5 Calls", "6+ Calls")))</f>
        <v>#REF!</v>
      </c>
      <c r="X2822" t="e">
        <f>IF(#REF! &lt;= 50, "0-50", IF(#REF! &lt;=100, "51-100", IF(#REF! &lt;= 150, "101-150", "151+")))</f>
        <v>#REF!</v>
      </c>
      <c r="Y2822" t="e">
        <f>IF(#REF! &lt;= 3, "Low Charges", "High Charges")</f>
        <v>#REF!</v>
      </c>
      <c r="Z2822" t="e">
        <f>IF(#REF!&lt;=80,"Low Calls",
IF(#REF!&lt;=120,"Medium Calls","High Calls"))</f>
        <v>#REF!</v>
      </c>
      <c r="AA2822" t="e">
        <f>IF(#REF!&lt;=15,"Low Charges",
IF(#REF!&lt;=20,"Medium Charges","High Charges"))</f>
        <v>#REF!</v>
      </c>
      <c r="AB2822" t="e">
        <f>IF(AND(#REF!&gt;180, #REF!&gt;200), "Heavy Doemstic User", IF(#REF!&gt;10, "Interntional User", IF(AND(#REF!&lt;180, #REF!&lt;200,#REF!&lt;200), "Light User", "Balanced User")))</f>
        <v>#REF!</v>
      </c>
      <c r="AC2822" t="e">
        <f>IF(#REF! = 0, "No Usage", IF(#REF! &lt;= 20, "Low Usage", IF(#REF! &lt;= 40, "Medium Usgae", "High Usage")))</f>
        <v>#REF!</v>
      </c>
      <c r="AD2822" t="e">
        <f>IF(#REF!&lt;=150,"Low Usage", IF(#REF!&lt;=200,"Medium Usage", IF(#REF!&lt;=250,"High Usage","Very High Usage")))</f>
        <v>#REF!</v>
      </c>
      <c r="AE2822" t="e">
        <f>IF(#REF!&lt;=5,"Low Calls", IF(#REF!&lt;=10, "Medium Calls", "High Calls"))</f>
        <v>#REF!</v>
      </c>
      <c r="AF2822" t="e">
        <f xml:space="preserve">
IF(#REF!&gt;=4,4,0)+
IF(#REF!="yes",3,0)+
IF(#REF!="High Charges",3,0)+
IF(#REF!&gt;250,4,0)+
IF(#REF!="no",1,0)+
IF(#REF!="Heavy Domestic User",2,0)</f>
        <v>#REF!</v>
      </c>
      <c r="AG2822" t="e">
        <f>IF(#REF!&gt;=10,"High Risk", IF(#REF!&gt;=5,"Medium Risk","Low Risk"))</f>
        <v>#REF!</v>
      </c>
      <c r="AH2822" t="e">
        <f>#REF! + #REF! + #REF! + #REF!</f>
        <v>#REF!</v>
      </c>
    </row>
    <row r="2823" spans="1:34" x14ac:dyDescent="0.35">
      <c r="A2823">
        <v>2822</v>
      </c>
      <c r="B2823" t="s">
        <v>32</v>
      </c>
      <c r="C2823">
        <v>117</v>
      </c>
      <c r="D2823" t="s">
        <v>21</v>
      </c>
      <c r="E2823" t="s">
        <v>22</v>
      </c>
      <c r="F2823" t="s">
        <v>22</v>
      </c>
      <c r="G2823">
        <v>0</v>
      </c>
      <c r="H2823">
        <v>118.4</v>
      </c>
      <c r="I2823">
        <v>126</v>
      </c>
      <c r="J2823">
        <v>20.13</v>
      </c>
      <c r="K2823">
        <v>249.3</v>
      </c>
      <c r="L2823">
        <v>97</v>
      </c>
      <c r="M2823">
        <v>21.19</v>
      </c>
      <c r="N2823">
        <v>227</v>
      </c>
      <c r="O2823">
        <v>56</v>
      </c>
      <c r="P2823">
        <v>10.220000000000001</v>
      </c>
      <c r="Q2823">
        <v>13.6</v>
      </c>
      <c r="R2823">
        <v>3</v>
      </c>
      <c r="S2823">
        <v>3.67</v>
      </c>
      <c r="T2823">
        <v>5</v>
      </c>
      <c r="U2823" t="s">
        <v>23</v>
      </c>
      <c r="V2823" t="e">
        <f>IF(#REF! = "yes", 1, 0)</f>
        <v>#REF!</v>
      </c>
      <c r="W2823" t="e">
        <f>IF(#REF! &lt;= 1, "0-1 Calls", IF(#REF! &lt;= 3, "2-3 Calls", IF(#REF! &lt;=5, "4-5 Calls", "6+ Calls")))</f>
        <v>#REF!</v>
      </c>
      <c r="X2823" t="e">
        <f>IF(#REF! &lt;= 50, "0-50", IF(#REF! &lt;=100, "51-100", IF(#REF! &lt;= 150, "101-150", "151+")))</f>
        <v>#REF!</v>
      </c>
      <c r="Y2823" t="e">
        <f>IF(#REF! &lt;= 3, "Low Charges", "High Charges")</f>
        <v>#REF!</v>
      </c>
      <c r="Z2823" t="e">
        <f>IF(#REF!&lt;=80,"Low Calls",
IF(#REF!&lt;=120,"Medium Calls","High Calls"))</f>
        <v>#REF!</v>
      </c>
      <c r="AA2823" t="e">
        <f>IF(#REF!&lt;=15,"Low Charges",
IF(#REF!&lt;=20,"Medium Charges","High Charges"))</f>
        <v>#REF!</v>
      </c>
      <c r="AB2823" t="e">
        <f>IF(AND(#REF!&gt;180, #REF!&gt;200), "Heavy Doemstic User", IF(#REF!&gt;10, "Interntional User", IF(AND(#REF!&lt;180, #REF!&lt;200,#REF!&lt;200), "Light User", "Balanced User")))</f>
        <v>#REF!</v>
      </c>
      <c r="AC2823" t="e">
        <f>IF(#REF! = 0, "No Usage", IF(#REF! &lt;= 20, "Low Usage", IF(#REF! &lt;= 40, "Medium Usgae", "High Usage")))</f>
        <v>#REF!</v>
      </c>
      <c r="AD2823" t="e">
        <f>IF(#REF!&lt;=150,"Low Usage", IF(#REF!&lt;=200,"Medium Usage", IF(#REF!&lt;=250,"High Usage","Very High Usage")))</f>
        <v>#REF!</v>
      </c>
      <c r="AE2823" t="e">
        <f>IF(#REF!&lt;=5,"Low Calls", IF(#REF!&lt;=10, "Medium Calls", "High Calls"))</f>
        <v>#REF!</v>
      </c>
      <c r="AF2823" t="e">
        <f xml:space="preserve">
IF(#REF!&gt;=4,4,0)+
IF(#REF!="yes",3,0)+
IF(#REF!="High Charges",3,0)+
IF(#REF!&gt;250,4,0)+
IF(#REF!="no",1,0)+
IF(#REF!="Heavy Domestic User",2,0)</f>
        <v>#REF!</v>
      </c>
      <c r="AG2823" t="e">
        <f>IF(#REF!&gt;=10,"High Risk", IF(#REF!&gt;=5,"Medium Risk","Low Risk"))</f>
        <v>#REF!</v>
      </c>
      <c r="AH2823" t="e">
        <f>#REF! + #REF! + #REF! + #REF!</f>
        <v>#REF!</v>
      </c>
    </row>
    <row r="2824" spans="1:34" x14ac:dyDescent="0.35">
      <c r="A2824">
        <v>2823</v>
      </c>
      <c r="B2824" t="s">
        <v>31</v>
      </c>
      <c r="C2824">
        <v>159</v>
      </c>
      <c r="D2824" t="s">
        <v>21</v>
      </c>
      <c r="E2824" t="s">
        <v>22</v>
      </c>
      <c r="F2824" t="s">
        <v>22</v>
      </c>
      <c r="G2824">
        <v>0</v>
      </c>
      <c r="H2824">
        <v>169.8</v>
      </c>
      <c r="I2824">
        <v>114</v>
      </c>
      <c r="J2824">
        <v>28.87</v>
      </c>
      <c r="K2824">
        <v>197.7</v>
      </c>
      <c r="L2824">
        <v>105</v>
      </c>
      <c r="M2824">
        <v>16.8</v>
      </c>
      <c r="N2824">
        <v>193.7</v>
      </c>
      <c r="O2824">
        <v>82</v>
      </c>
      <c r="P2824">
        <v>8.7200000000000006</v>
      </c>
      <c r="Q2824">
        <v>11.6</v>
      </c>
      <c r="R2824">
        <v>4</v>
      </c>
      <c r="S2824">
        <v>3.13</v>
      </c>
      <c r="T2824">
        <v>1</v>
      </c>
      <c r="U2824" t="s">
        <v>22</v>
      </c>
      <c r="V2824" t="e">
        <f>IF(#REF! = "yes", 1, 0)</f>
        <v>#REF!</v>
      </c>
      <c r="W2824" t="e">
        <f>IF(#REF! &lt;= 1, "0-1 Calls", IF(#REF! &lt;= 3, "2-3 Calls", IF(#REF! &lt;=5, "4-5 Calls", "6+ Calls")))</f>
        <v>#REF!</v>
      </c>
      <c r="X2824" t="e">
        <f>IF(#REF! &lt;= 50, "0-50", IF(#REF! &lt;=100, "51-100", IF(#REF! &lt;= 150, "101-150", "151+")))</f>
        <v>#REF!</v>
      </c>
      <c r="Y2824" t="e">
        <f>IF(#REF! &lt;= 3, "Low Charges", "High Charges")</f>
        <v>#REF!</v>
      </c>
      <c r="Z2824" t="e">
        <f>IF(#REF!&lt;=80,"Low Calls",
IF(#REF!&lt;=120,"Medium Calls","High Calls"))</f>
        <v>#REF!</v>
      </c>
      <c r="AA2824" t="e">
        <f>IF(#REF!&lt;=15,"Low Charges",
IF(#REF!&lt;=20,"Medium Charges","High Charges"))</f>
        <v>#REF!</v>
      </c>
      <c r="AB2824" t="e">
        <f>IF(AND(#REF!&gt;180, #REF!&gt;200), "Heavy Doemstic User", IF(#REF!&gt;10, "Interntional User", IF(AND(#REF!&lt;180, #REF!&lt;200,#REF!&lt;200), "Light User", "Balanced User")))</f>
        <v>#REF!</v>
      </c>
      <c r="AC2824" t="e">
        <f>IF(#REF! = 0, "No Usage", IF(#REF! &lt;= 20, "Low Usage", IF(#REF! &lt;= 40, "Medium Usgae", "High Usage")))</f>
        <v>#REF!</v>
      </c>
      <c r="AD2824" t="e">
        <f>IF(#REF!&lt;=150,"Low Usage", IF(#REF!&lt;=200,"Medium Usage", IF(#REF!&lt;=250,"High Usage","Very High Usage")))</f>
        <v>#REF!</v>
      </c>
      <c r="AE2824" t="e">
        <f>IF(#REF!&lt;=5,"Low Calls", IF(#REF!&lt;=10, "Medium Calls", "High Calls"))</f>
        <v>#REF!</v>
      </c>
      <c r="AF2824" t="e">
        <f xml:space="preserve">
IF(#REF!&gt;=4,4,0)+
IF(#REF!="yes",3,0)+
IF(#REF!="High Charges",3,0)+
IF(#REF!&gt;250,4,0)+
IF(#REF!="no",1,0)+
IF(#REF!="Heavy Domestic User",2,0)</f>
        <v>#REF!</v>
      </c>
      <c r="AG2824" t="e">
        <f>IF(#REF!&gt;=10,"High Risk", IF(#REF!&gt;=5,"Medium Risk","Low Risk"))</f>
        <v>#REF!</v>
      </c>
      <c r="AH2824" t="e">
        <f>#REF! + #REF! + #REF! + #REF!</f>
        <v>#REF!</v>
      </c>
    </row>
    <row r="2825" spans="1:34" x14ac:dyDescent="0.35">
      <c r="A2825">
        <v>2824</v>
      </c>
      <c r="B2825" t="s">
        <v>20</v>
      </c>
      <c r="C2825">
        <v>78</v>
      </c>
      <c r="D2825" t="s">
        <v>25</v>
      </c>
      <c r="E2825" t="s">
        <v>22</v>
      </c>
      <c r="F2825" t="s">
        <v>22</v>
      </c>
      <c r="G2825">
        <v>0</v>
      </c>
      <c r="H2825">
        <v>193.4</v>
      </c>
      <c r="I2825">
        <v>99</v>
      </c>
      <c r="J2825">
        <v>32.880000000000003</v>
      </c>
      <c r="K2825">
        <v>116.9</v>
      </c>
      <c r="L2825">
        <v>88</v>
      </c>
      <c r="M2825">
        <v>9.94</v>
      </c>
      <c r="N2825">
        <v>243.3</v>
      </c>
      <c r="O2825">
        <v>109</v>
      </c>
      <c r="P2825">
        <v>10.95</v>
      </c>
      <c r="Q2825">
        <v>9.3000000000000007</v>
      </c>
      <c r="R2825">
        <v>4</v>
      </c>
      <c r="S2825">
        <v>2.5099999999999998</v>
      </c>
      <c r="T2825">
        <v>2</v>
      </c>
      <c r="U2825" t="s">
        <v>22</v>
      </c>
      <c r="V2825" t="e">
        <f>IF(#REF! = "yes", 1, 0)</f>
        <v>#REF!</v>
      </c>
      <c r="W2825" t="e">
        <f>IF(#REF! &lt;= 1, "0-1 Calls", IF(#REF! &lt;= 3, "2-3 Calls", IF(#REF! &lt;=5, "4-5 Calls", "6+ Calls")))</f>
        <v>#REF!</v>
      </c>
      <c r="X2825" t="e">
        <f>IF(#REF! &lt;= 50, "0-50", IF(#REF! &lt;=100, "51-100", IF(#REF! &lt;= 150, "101-150", "151+")))</f>
        <v>#REF!</v>
      </c>
      <c r="Y2825" t="e">
        <f>IF(#REF! &lt;= 3, "Low Charges", "High Charges")</f>
        <v>#REF!</v>
      </c>
      <c r="Z2825" t="e">
        <f>IF(#REF!&lt;=80,"Low Calls",
IF(#REF!&lt;=120,"Medium Calls","High Calls"))</f>
        <v>#REF!</v>
      </c>
      <c r="AA2825" t="e">
        <f>IF(#REF!&lt;=15,"Low Charges",
IF(#REF!&lt;=20,"Medium Charges","High Charges"))</f>
        <v>#REF!</v>
      </c>
      <c r="AB2825" t="e">
        <f>IF(AND(#REF!&gt;180, #REF!&gt;200), "Heavy Doemstic User", IF(#REF!&gt;10, "Interntional User", IF(AND(#REF!&lt;180, #REF!&lt;200,#REF!&lt;200), "Light User", "Balanced User")))</f>
        <v>#REF!</v>
      </c>
      <c r="AC2825" t="e">
        <f>IF(#REF! = 0, "No Usage", IF(#REF! &lt;= 20, "Low Usage", IF(#REF! &lt;= 40, "Medium Usgae", "High Usage")))</f>
        <v>#REF!</v>
      </c>
      <c r="AD2825" t="e">
        <f>IF(#REF!&lt;=150,"Low Usage", IF(#REF!&lt;=200,"Medium Usage", IF(#REF!&lt;=250,"High Usage","Very High Usage")))</f>
        <v>#REF!</v>
      </c>
      <c r="AE2825" t="e">
        <f>IF(#REF!&lt;=5,"Low Calls", IF(#REF!&lt;=10, "Medium Calls", "High Calls"))</f>
        <v>#REF!</v>
      </c>
      <c r="AF2825" t="e">
        <f xml:space="preserve">
IF(#REF!&gt;=4,4,0)+
IF(#REF!="yes",3,0)+
IF(#REF!="High Charges",3,0)+
IF(#REF!&gt;250,4,0)+
IF(#REF!="no",1,0)+
IF(#REF!="Heavy Domestic User",2,0)</f>
        <v>#REF!</v>
      </c>
      <c r="AG2825" t="e">
        <f>IF(#REF!&gt;=10,"High Risk", IF(#REF!&gt;=5,"Medium Risk","Low Risk"))</f>
        <v>#REF!</v>
      </c>
      <c r="AH2825" t="e">
        <f>#REF! + #REF! + #REF! + #REF!</f>
        <v>#REF!</v>
      </c>
    </row>
    <row r="2826" spans="1:34" x14ac:dyDescent="0.35">
      <c r="A2826">
        <v>2825</v>
      </c>
      <c r="B2826" t="s">
        <v>20</v>
      </c>
      <c r="C2826">
        <v>96</v>
      </c>
      <c r="D2826" t="s">
        <v>21</v>
      </c>
      <c r="E2826" t="s">
        <v>22</v>
      </c>
      <c r="F2826" t="s">
        <v>22</v>
      </c>
      <c r="G2826">
        <v>0</v>
      </c>
      <c r="H2826">
        <v>106.6</v>
      </c>
      <c r="I2826">
        <v>128</v>
      </c>
      <c r="J2826">
        <v>18.12</v>
      </c>
      <c r="K2826">
        <v>284.8</v>
      </c>
      <c r="L2826">
        <v>87</v>
      </c>
      <c r="M2826">
        <v>24.21</v>
      </c>
      <c r="N2826">
        <v>178.9</v>
      </c>
      <c r="O2826">
        <v>92</v>
      </c>
      <c r="P2826">
        <v>8.0500000000000007</v>
      </c>
      <c r="Q2826">
        <v>14.9</v>
      </c>
      <c r="R2826">
        <v>7</v>
      </c>
      <c r="S2826">
        <v>4.0199999999999996</v>
      </c>
      <c r="T2826">
        <v>1</v>
      </c>
      <c r="U2826" t="s">
        <v>22</v>
      </c>
      <c r="V2826" t="e">
        <f>IF(#REF! = "yes", 1, 0)</f>
        <v>#REF!</v>
      </c>
      <c r="W2826" t="e">
        <f>IF(#REF! &lt;= 1, "0-1 Calls", IF(#REF! &lt;= 3, "2-3 Calls", IF(#REF! &lt;=5, "4-5 Calls", "6+ Calls")))</f>
        <v>#REF!</v>
      </c>
      <c r="X2826" t="e">
        <f>IF(#REF! &lt;= 50, "0-50", IF(#REF! &lt;=100, "51-100", IF(#REF! &lt;= 150, "101-150", "151+")))</f>
        <v>#REF!</v>
      </c>
      <c r="Y2826" t="e">
        <f>IF(#REF! &lt;= 3, "Low Charges", "High Charges")</f>
        <v>#REF!</v>
      </c>
      <c r="Z2826" t="e">
        <f>IF(#REF!&lt;=80,"Low Calls",
IF(#REF!&lt;=120,"Medium Calls","High Calls"))</f>
        <v>#REF!</v>
      </c>
      <c r="AA2826" t="e">
        <f>IF(#REF!&lt;=15,"Low Charges",
IF(#REF!&lt;=20,"Medium Charges","High Charges"))</f>
        <v>#REF!</v>
      </c>
      <c r="AB2826" t="e">
        <f>IF(AND(#REF!&gt;180, #REF!&gt;200), "Heavy Doemstic User", IF(#REF!&gt;10, "Interntional User", IF(AND(#REF!&lt;180, #REF!&lt;200,#REF!&lt;200), "Light User", "Balanced User")))</f>
        <v>#REF!</v>
      </c>
      <c r="AC2826" t="e">
        <f>IF(#REF! = 0, "No Usage", IF(#REF! &lt;= 20, "Low Usage", IF(#REF! &lt;= 40, "Medium Usgae", "High Usage")))</f>
        <v>#REF!</v>
      </c>
      <c r="AD2826" t="e">
        <f>IF(#REF!&lt;=150,"Low Usage", IF(#REF!&lt;=200,"Medium Usage", IF(#REF!&lt;=250,"High Usage","Very High Usage")))</f>
        <v>#REF!</v>
      </c>
      <c r="AE2826" t="e">
        <f>IF(#REF!&lt;=5,"Low Calls", IF(#REF!&lt;=10, "Medium Calls", "High Calls"))</f>
        <v>#REF!</v>
      </c>
      <c r="AF2826" t="e">
        <f xml:space="preserve">
IF(#REF!&gt;=4,4,0)+
IF(#REF!="yes",3,0)+
IF(#REF!="High Charges",3,0)+
IF(#REF!&gt;250,4,0)+
IF(#REF!="no",1,0)+
IF(#REF!="Heavy Domestic User",2,0)</f>
        <v>#REF!</v>
      </c>
      <c r="AG2826" t="e">
        <f>IF(#REF!&gt;=10,"High Risk", IF(#REF!&gt;=5,"Medium Risk","Low Risk"))</f>
        <v>#REF!</v>
      </c>
      <c r="AH2826" t="e">
        <f>#REF! + #REF! + #REF! + #REF!</f>
        <v>#REF!</v>
      </c>
    </row>
    <row r="2827" spans="1:34" x14ac:dyDescent="0.35">
      <c r="A2827">
        <v>2826</v>
      </c>
      <c r="B2827" t="s">
        <v>43</v>
      </c>
      <c r="C2827">
        <v>79</v>
      </c>
      <c r="D2827" t="s">
        <v>21</v>
      </c>
      <c r="E2827" t="s">
        <v>22</v>
      </c>
      <c r="F2827" t="s">
        <v>22</v>
      </c>
      <c r="G2827">
        <v>0</v>
      </c>
      <c r="H2827">
        <v>134.69999999999999</v>
      </c>
      <c r="I2827">
        <v>98</v>
      </c>
      <c r="J2827">
        <v>22.9</v>
      </c>
      <c r="K2827">
        <v>189.7</v>
      </c>
      <c r="L2827">
        <v>68</v>
      </c>
      <c r="M2827">
        <v>16.12</v>
      </c>
      <c r="N2827">
        <v>221.4</v>
      </c>
      <c r="O2827">
        <v>128</v>
      </c>
      <c r="P2827">
        <v>9.9600000000000009</v>
      </c>
      <c r="Q2827">
        <v>11.8</v>
      </c>
      <c r="R2827">
        <v>5</v>
      </c>
      <c r="S2827">
        <v>3.19</v>
      </c>
      <c r="T2827">
        <v>2</v>
      </c>
      <c r="U2827" t="s">
        <v>22</v>
      </c>
      <c r="V2827" t="e">
        <f>IF(#REF! = "yes", 1, 0)</f>
        <v>#REF!</v>
      </c>
      <c r="W2827" t="e">
        <f>IF(#REF! &lt;= 1, "0-1 Calls", IF(#REF! &lt;= 3, "2-3 Calls", IF(#REF! &lt;=5, "4-5 Calls", "6+ Calls")))</f>
        <v>#REF!</v>
      </c>
      <c r="X2827" t="e">
        <f>IF(#REF! &lt;= 50, "0-50", IF(#REF! &lt;=100, "51-100", IF(#REF! &lt;= 150, "101-150", "151+")))</f>
        <v>#REF!</v>
      </c>
      <c r="Y2827" t="e">
        <f>IF(#REF! &lt;= 3, "Low Charges", "High Charges")</f>
        <v>#REF!</v>
      </c>
      <c r="Z2827" t="e">
        <f>IF(#REF!&lt;=80,"Low Calls",
IF(#REF!&lt;=120,"Medium Calls","High Calls"))</f>
        <v>#REF!</v>
      </c>
      <c r="AA2827" t="e">
        <f>IF(#REF!&lt;=15,"Low Charges",
IF(#REF!&lt;=20,"Medium Charges","High Charges"))</f>
        <v>#REF!</v>
      </c>
      <c r="AB2827" t="e">
        <f>IF(AND(#REF!&gt;180, #REF!&gt;200), "Heavy Doemstic User", IF(#REF!&gt;10, "Interntional User", IF(AND(#REF!&lt;180, #REF!&lt;200,#REF!&lt;200), "Light User", "Balanced User")))</f>
        <v>#REF!</v>
      </c>
      <c r="AC2827" t="e">
        <f>IF(#REF! = 0, "No Usage", IF(#REF! &lt;= 20, "Low Usage", IF(#REF! &lt;= 40, "Medium Usgae", "High Usage")))</f>
        <v>#REF!</v>
      </c>
      <c r="AD2827" t="e">
        <f>IF(#REF!&lt;=150,"Low Usage", IF(#REF!&lt;=200,"Medium Usage", IF(#REF!&lt;=250,"High Usage","Very High Usage")))</f>
        <v>#REF!</v>
      </c>
      <c r="AE2827" t="e">
        <f>IF(#REF!&lt;=5,"Low Calls", IF(#REF!&lt;=10, "Medium Calls", "High Calls"))</f>
        <v>#REF!</v>
      </c>
      <c r="AF2827" t="e">
        <f xml:space="preserve">
IF(#REF!&gt;=4,4,0)+
IF(#REF!="yes",3,0)+
IF(#REF!="High Charges",3,0)+
IF(#REF!&gt;250,4,0)+
IF(#REF!="no",1,0)+
IF(#REF!="Heavy Domestic User",2,0)</f>
        <v>#REF!</v>
      </c>
      <c r="AG2827" t="e">
        <f>IF(#REF!&gt;=10,"High Risk", IF(#REF!&gt;=5,"Medium Risk","Low Risk"))</f>
        <v>#REF!</v>
      </c>
      <c r="AH2827" t="e">
        <f>#REF! + #REF! + #REF! + #REF!</f>
        <v>#REF!</v>
      </c>
    </row>
    <row r="2828" spans="1:34" x14ac:dyDescent="0.35">
      <c r="A2828">
        <v>2827</v>
      </c>
      <c r="B2828" t="s">
        <v>42</v>
      </c>
      <c r="C2828">
        <v>192</v>
      </c>
      <c r="D2828" t="s">
        <v>21</v>
      </c>
      <c r="E2828" t="s">
        <v>22</v>
      </c>
      <c r="F2828" t="s">
        <v>23</v>
      </c>
      <c r="G2828">
        <v>36</v>
      </c>
      <c r="H2828">
        <v>156.19999999999999</v>
      </c>
      <c r="I2828">
        <v>77</v>
      </c>
      <c r="J2828">
        <v>26.55</v>
      </c>
      <c r="K2828">
        <v>215.5</v>
      </c>
      <c r="L2828">
        <v>126</v>
      </c>
      <c r="M2828">
        <v>18.32</v>
      </c>
      <c r="N2828">
        <v>279.10000000000002</v>
      </c>
      <c r="O2828">
        <v>83</v>
      </c>
      <c r="P2828">
        <v>12.56</v>
      </c>
      <c r="Q2828">
        <v>9.9</v>
      </c>
      <c r="R2828">
        <v>6</v>
      </c>
      <c r="S2828">
        <v>2.67</v>
      </c>
      <c r="T2828">
        <v>2</v>
      </c>
      <c r="U2828" t="s">
        <v>22</v>
      </c>
      <c r="V2828" t="e">
        <f>IF(#REF! = "yes", 1, 0)</f>
        <v>#REF!</v>
      </c>
      <c r="W2828" t="e">
        <f>IF(#REF! &lt;= 1, "0-1 Calls", IF(#REF! &lt;= 3, "2-3 Calls", IF(#REF! &lt;=5, "4-5 Calls", "6+ Calls")))</f>
        <v>#REF!</v>
      </c>
      <c r="X2828" t="e">
        <f>IF(#REF! &lt;= 50, "0-50", IF(#REF! &lt;=100, "51-100", IF(#REF! &lt;= 150, "101-150", "151+")))</f>
        <v>#REF!</v>
      </c>
      <c r="Y2828" t="e">
        <f>IF(#REF! &lt;= 3, "Low Charges", "High Charges")</f>
        <v>#REF!</v>
      </c>
      <c r="Z2828" t="e">
        <f>IF(#REF!&lt;=80,"Low Calls",
IF(#REF!&lt;=120,"Medium Calls","High Calls"))</f>
        <v>#REF!</v>
      </c>
      <c r="AA2828" t="e">
        <f>IF(#REF!&lt;=15,"Low Charges",
IF(#REF!&lt;=20,"Medium Charges","High Charges"))</f>
        <v>#REF!</v>
      </c>
      <c r="AB2828" t="e">
        <f>IF(AND(#REF!&gt;180, #REF!&gt;200), "Heavy Doemstic User", IF(#REF!&gt;10, "Interntional User", IF(AND(#REF!&lt;180, #REF!&lt;200,#REF!&lt;200), "Light User", "Balanced User")))</f>
        <v>#REF!</v>
      </c>
      <c r="AC2828" t="e">
        <f>IF(#REF! = 0, "No Usage", IF(#REF! &lt;= 20, "Low Usage", IF(#REF! &lt;= 40, "Medium Usgae", "High Usage")))</f>
        <v>#REF!</v>
      </c>
      <c r="AD2828" t="e">
        <f>IF(#REF!&lt;=150,"Low Usage", IF(#REF!&lt;=200,"Medium Usage", IF(#REF!&lt;=250,"High Usage","Very High Usage")))</f>
        <v>#REF!</v>
      </c>
      <c r="AE2828" t="e">
        <f>IF(#REF!&lt;=5,"Low Calls", IF(#REF!&lt;=10, "Medium Calls", "High Calls"))</f>
        <v>#REF!</v>
      </c>
      <c r="AF2828" t="e">
        <f xml:space="preserve">
IF(#REF!&gt;=4,4,0)+
IF(#REF!="yes",3,0)+
IF(#REF!="High Charges",3,0)+
IF(#REF!&gt;250,4,0)+
IF(#REF!="no",1,0)+
IF(#REF!="Heavy Domestic User",2,0)</f>
        <v>#REF!</v>
      </c>
      <c r="AG2828" t="e">
        <f>IF(#REF!&gt;=10,"High Risk", IF(#REF!&gt;=5,"Medium Risk","Low Risk"))</f>
        <v>#REF!</v>
      </c>
      <c r="AH2828" t="e">
        <f>#REF! + #REF! + #REF! + #REF!</f>
        <v>#REF!</v>
      </c>
    </row>
    <row r="2829" spans="1:34" x14ac:dyDescent="0.35">
      <c r="A2829">
        <v>2828</v>
      </c>
      <c r="B2829" t="s">
        <v>31</v>
      </c>
      <c r="C2829">
        <v>68</v>
      </c>
      <c r="D2829" t="s">
        <v>21</v>
      </c>
      <c r="E2829" t="s">
        <v>22</v>
      </c>
      <c r="F2829" t="s">
        <v>22</v>
      </c>
      <c r="G2829">
        <v>0</v>
      </c>
      <c r="H2829">
        <v>231.1</v>
      </c>
      <c r="I2829">
        <v>57</v>
      </c>
      <c r="J2829">
        <v>39.29</v>
      </c>
      <c r="K2829">
        <v>153.4</v>
      </c>
      <c r="L2829">
        <v>55</v>
      </c>
      <c r="M2829">
        <v>13.04</v>
      </c>
      <c r="N2829">
        <v>191.3</v>
      </c>
      <c r="O2829">
        <v>123</v>
      </c>
      <c r="P2829">
        <v>8.61</v>
      </c>
      <c r="Q2829">
        <v>9.6</v>
      </c>
      <c r="R2829">
        <v>4</v>
      </c>
      <c r="S2829">
        <v>2.59</v>
      </c>
      <c r="T2829">
        <v>3</v>
      </c>
      <c r="U2829" t="s">
        <v>22</v>
      </c>
      <c r="V2829" t="e">
        <f>IF(#REF! = "yes", 1, 0)</f>
        <v>#REF!</v>
      </c>
      <c r="W2829" t="e">
        <f>IF(#REF! &lt;= 1, "0-1 Calls", IF(#REF! &lt;= 3, "2-3 Calls", IF(#REF! &lt;=5, "4-5 Calls", "6+ Calls")))</f>
        <v>#REF!</v>
      </c>
      <c r="X2829" t="e">
        <f>IF(#REF! &lt;= 50, "0-50", IF(#REF! &lt;=100, "51-100", IF(#REF! &lt;= 150, "101-150", "151+")))</f>
        <v>#REF!</v>
      </c>
      <c r="Y2829" t="e">
        <f>IF(#REF! &lt;= 3, "Low Charges", "High Charges")</f>
        <v>#REF!</v>
      </c>
      <c r="Z2829" t="e">
        <f>IF(#REF!&lt;=80,"Low Calls",
IF(#REF!&lt;=120,"Medium Calls","High Calls"))</f>
        <v>#REF!</v>
      </c>
      <c r="AA2829" t="e">
        <f>IF(#REF!&lt;=15,"Low Charges",
IF(#REF!&lt;=20,"Medium Charges","High Charges"))</f>
        <v>#REF!</v>
      </c>
      <c r="AB2829" t="e">
        <f>IF(AND(#REF!&gt;180, #REF!&gt;200), "Heavy Doemstic User", IF(#REF!&gt;10, "Interntional User", IF(AND(#REF!&lt;180, #REF!&lt;200,#REF!&lt;200), "Light User", "Balanced User")))</f>
        <v>#REF!</v>
      </c>
      <c r="AC2829" t="e">
        <f>IF(#REF! = 0, "No Usage", IF(#REF! &lt;= 20, "Low Usage", IF(#REF! &lt;= 40, "Medium Usgae", "High Usage")))</f>
        <v>#REF!</v>
      </c>
      <c r="AD2829" t="e">
        <f>IF(#REF!&lt;=150,"Low Usage", IF(#REF!&lt;=200,"Medium Usage", IF(#REF!&lt;=250,"High Usage","Very High Usage")))</f>
        <v>#REF!</v>
      </c>
      <c r="AE2829" t="e">
        <f>IF(#REF!&lt;=5,"Low Calls", IF(#REF!&lt;=10, "Medium Calls", "High Calls"))</f>
        <v>#REF!</v>
      </c>
      <c r="AF2829" t="e">
        <f xml:space="preserve">
IF(#REF!&gt;=4,4,0)+
IF(#REF!="yes",3,0)+
IF(#REF!="High Charges",3,0)+
IF(#REF!&gt;250,4,0)+
IF(#REF!="no",1,0)+
IF(#REF!="Heavy Domestic User",2,0)</f>
        <v>#REF!</v>
      </c>
      <c r="AG2829" t="e">
        <f>IF(#REF!&gt;=10,"High Risk", IF(#REF!&gt;=5,"Medium Risk","Low Risk"))</f>
        <v>#REF!</v>
      </c>
      <c r="AH2829" t="e">
        <f>#REF! + #REF! + #REF! + #REF!</f>
        <v>#REF!</v>
      </c>
    </row>
    <row r="2830" spans="1:34" x14ac:dyDescent="0.35">
      <c r="A2830">
        <v>2829</v>
      </c>
      <c r="B2830" t="s">
        <v>33</v>
      </c>
      <c r="C2830">
        <v>28</v>
      </c>
      <c r="D2830" t="s">
        <v>28</v>
      </c>
      <c r="E2830" t="s">
        <v>22</v>
      </c>
      <c r="F2830" t="s">
        <v>22</v>
      </c>
      <c r="G2830">
        <v>0</v>
      </c>
      <c r="H2830">
        <v>180.8</v>
      </c>
      <c r="I2830">
        <v>109</v>
      </c>
      <c r="J2830">
        <v>30.74</v>
      </c>
      <c r="K2830">
        <v>288.8</v>
      </c>
      <c r="L2830">
        <v>58</v>
      </c>
      <c r="M2830">
        <v>24.55</v>
      </c>
      <c r="N2830">
        <v>191.9</v>
      </c>
      <c r="O2830">
        <v>91</v>
      </c>
      <c r="P2830">
        <v>8.64</v>
      </c>
      <c r="Q2830">
        <v>14.1</v>
      </c>
      <c r="R2830">
        <v>6</v>
      </c>
      <c r="S2830">
        <v>3.81</v>
      </c>
      <c r="T2830">
        <v>2</v>
      </c>
      <c r="U2830" t="s">
        <v>22</v>
      </c>
      <c r="V2830" t="e">
        <f>IF(#REF! = "yes", 1, 0)</f>
        <v>#REF!</v>
      </c>
      <c r="W2830" t="e">
        <f>IF(#REF! &lt;= 1, "0-1 Calls", IF(#REF! &lt;= 3, "2-3 Calls", IF(#REF! &lt;=5, "4-5 Calls", "6+ Calls")))</f>
        <v>#REF!</v>
      </c>
      <c r="X2830" t="e">
        <f>IF(#REF! &lt;= 50, "0-50", IF(#REF! &lt;=100, "51-100", IF(#REF! &lt;= 150, "101-150", "151+")))</f>
        <v>#REF!</v>
      </c>
      <c r="Y2830" t="e">
        <f>IF(#REF! &lt;= 3, "Low Charges", "High Charges")</f>
        <v>#REF!</v>
      </c>
      <c r="Z2830" t="e">
        <f>IF(#REF!&lt;=80,"Low Calls",
IF(#REF!&lt;=120,"Medium Calls","High Calls"))</f>
        <v>#REF!</v>
      </c>
      <c r="AA2830" t="e">
        <f>IF(#REF!&lt;=15,"Low Charges",
IF(#REF!&lt;=20,"Medium Charges","High Charges"))</f>
        <v>#REF!</v>
      </c>
      <c r="AB2830" t="e">
        <f>IF(AND(#REF!&gt;180, #REF!&gt;200), "Heavy Doemstic User", IF(#REF!&gt;10, "Interntional User", IF(AND(#REF!&lt;180, #REF!&lt;200,#REF!&lt;200), "Light User", "Balanced User")))</f>
        <v>#REF!</v>
      </c>
      <c r="AC2830" t="e">
        <f>IF(#REF! = 0, "No Usage", IF(#REF! &lt;= 20, "Low Usage", IF(#REF! &lt;= 40, "Medium Usgae", "High Usage")))</f>
        <v>#REF!</v>
      </c>
      <c r="AD2830" t="e">
        <f>IF(#REF!&lt;=150,"Low Usage", IF(#REF!&lt;=200,"Medium Usage", IF(#REF!&lt;=250,"High Usage","Very High Usage")))</f>
        <v>#REF!</v>
      </c>
      <c r="AE2830" t="e">
        <f>IF(#REF!&lt;=5,"Low Calls", IF(#REF!&lt;=10, "Medium Calls", "High Calls"))</f>
        <v>#REF!</v>
      </c>
      <c r="AF2830" t="e">
        <f xml:space="preserve">
IF(#REF!&gt;=4,4,0)+
IF(#REF!="yes",3,0)+
IF(#REF!="High Charges",3,0)+
IF(#REF!&gt;250,4,0)+
IF(#REF!="no",1,0)+
IF(#REF!="Heavy Domestic User",2,0)</f>
        <v>#REF!</v>
      </c>
      <c r="AG2830" t="e">
        <f>IF(#REF!&gt;=10,"High Risk", IF(#REF!&gt;=5,"Medium Risk","Low Risk"))</f>
        <v>#REF!</v>
      </c>
      <c r="AH2830" t="e">
        <f>#REF! + #REF! + #REF! + #REF!</f>
        <v>#REF!</v>
      </c>
    </row>
    <row r="2831" spans="1:34" x14ac:dyDescent="0.35">
      <c r="A2831">
        <v>2830</v>
      </c>
      <c r="B2831" t="s">
        <v>74</v>
      </c>
      <c r="C2831">
        <v>184</v>
      </c>
      <c r="D2831" t="s">
        <v>28</v>
      </c>
      <c r="E2831" t="s">
        <v>23</v>
      </c>
      <c r="F2831" t="s">
        <v>22</v>
      </c>
      <c r="G2831">
        <v>0</v>
      </c>
      <c r="H2831">
        <v>213.8</v>
      </c>
      <c r="I2831">
        <v>105</v>
      </c>
      <c r="J2831">
        <v>36.35</v>
      </c>
      <c r="K2831">
        <v>159.6</v>
      </c>
      <c r="L2831">
        <v>84</v>
      </c>
      <c r="M2831">
        <v>13.57</v>
      </c>
      <c r="N2831">
        <v>139.19999999999999</v>
      </c>
      <c r="O2831">
        <v>137</v>
      </c>
      <c r="P2831">
        <v>6.26</v>
      </c>
      <c r="Q2831">
        <v>5</v>
      </c>
      <c r="R2831">
        <v>10</v>
      </c>
      <c r="S2831">
        <v>1.35</v>
      </c>
      <c r="T2831">
        <v>2</v>
      </c>
      <c r="U2831" t="s">
        <v>22</v>
      </c>
      <c r="V2831" t="e">
        <f>IF(#REF! = "yes", 1, 0)</f>
        <v>#REF!</v>
      </c>
      <c r="W2831" t="e">
        <f>IF(#REF! &lt;= 1, "0-1 Calls", IF(#REF! &lt;= 3, "2-3 Calls", IF(#REF! &lt;=5, "4-5 Calls", "6+ Calls")))</f>
        <v>#REF!</v>
      </c>
      <c r="X2831" t="e">
        <f>IF(#REF! &lt;= 50, "0-50", IF(#REF! &lt;=100, "51-100", IF(#REF! &lt;= 150, "101-150", "151+")))</f>
        <v>#REF!</v>
      </c>
      <c r="Y2831" t="e">
        <f>IF(#REF! &lt;= 3, "Low Charges", "High Charges")</f>
        <v>#REF!</v>
      </c>
      <c r="Z2831" t="e">
        <f>IF(#REF!&lt;=80,"Low Calls",
IF(#REF!&lt;=120,"Medium Calls","High Calls"))</f>
        <v>#REF!</v>
      </c>
      <c r="AA2831" t="e">
        <f>IF(#REF!&lt;=15,"Low Charges",
IF(#REF!&lt;=20,"Medium Charges","High Charges"))</f>
        <v>#REF!</v>
      </c>
      <c r="AB2831" t="e">
        <f>IF(AND(#REF!&gt;180, #REF!&gt;200), "Heavy Doemstic User", IF(#REF!&gt;10, "Interntional User", IF(AND(#REF!&lt;180, #REF!&lt;200,#REF!&lt;200), "Light User", "Balanced User")))</f>
        <v>#REF!</v>
      </c>
      <c r="AC2831" t="e">
        <f>IF(#REF! = 0, "No Usage", IF(#REF! &lt;= 20, "Low Usage", IF(#REF! &lt;= 40, "Medium Usgae", "High Usage")))</f>
        <v>#REF!</v>
      </c>
      <c r="AD2831" t="e">
        <f>IF(#REF!&lt;=150,"Low Usage", IF(#REF!&lt;=200,"Medium Usage", IF(#REF!&lt;=250,"High Usage","Very High Usage")))</f>
        <v>#REF!</v>
      </c>
      <c r="AE2831" t="e">
        <f>IF(#REF!&lt;=5,"Low Calls", IF(#REF!&lt;=10, "Medium Calls", "High Calls"))</f>
        <v>#REF!</v>
      </c>
      <c r="AF2831" t="e">
        <f xml:space="preserve">
IF(#REF!&gt;=4,4,0)+
IF(#REF!="yes",3,0)+
IF(#REF!="High Charges",3,0)+
IF(#REF!&gt;250,4,0)+
IF(#REF!="no",1,0)+
IF(#REF!="Heavy Domestic User",2,0)</f>
        <v>#REF!</v>
      </c>
      <c r="AG2831" t="e">
        <f>IF(#REF!&gt;=10,"High Risk", IF(#REF!&gt;=5,"Medium Risk","Low Risk"))</f>
        <v>#REF!</v>
      </c>
      <c r="AH2831" t="e">
        <f>#REF! + #REF! + #REF! + #REF!</f>
        <v>#REF!</v>
      </c>
    </row>
    <row r="2832" spans="1:34" x14ac:dyDescent="0.35">
      <c r="A2832">
        <v>2831</v>
      </c>
      <c r="B2832" t="s">
        <v>71</v>
      </c>
      <c r="C2832">
        <v>74</v>
      </c>
      <c r="D2832" t="s">
        <v>21</v>
      </c>
      <c r="E2832" t="s">
        <v>22</v>
      </c>
      <c r="F2832" t="s">
        <v>23</v>
      </c>
      <c r="G2832">
        <v>25</v>
      </c>
      <c r="H2832">
        <v>234.4</v>
      </c>
      <c r="I2832">
        <v>113</v>
      </c>
      <c r="J2832">
        <v>39.85</v>
      </c>
      <c r="K2832">
        <v>265.89999999999998</v>
      </c>
      <c r="L2832">
        <v>82</v>
      </c>
      <c r="M2832">
        <v>22.6</v>
      </c>
      <c r="N2832">
        <v>241.4</v>
      </c>
      <c r="O2832">
        <v>77</v>
      </c>
      <c r="P2832">
        <v>10.86</v>
      </c>
      <c r="Q2832">
        <v>13.7</v>
      </c>
      <c r="R2832">
        <v>4</v>
      </c>
      <c r="S2832">
        <v>3.7</v>
      </c>
      <c r="T2832">
        <v>0</v>
      </c>
      <c r="U2832" t="s">
        <v>22</v>
      </c>
      <c r="V2832" t="e">
        <f>IF(#REF! = "yes", 1, 0)</f>
        <v>#REF!</v>
      </c>
      <c r="W2832" t="e">
        <f>IF(#REF! &lt;= 1, "0-1 Calls", IF(#REF! &lt;= 3, "2-3 Calls", IF(#REF! &lt;=5, "4-5 Calls", "6+ Calls")))</f>
        <v>#REF!</v>
      </c>
      <c r="X2832" t="e">
        <f>IF(#REF! &lt;= 50, "0-50", IF(#REF! &lt;=100, "51-100", IF(#REF! &lt;= 150, "101-150", "151+")))</f>
        <v>#REF!</v>
      </c>
      <c r="Y2832" t="e">
        <f>IF(#REF! &lt;= 3, "Low Charges", "High Charges")</f>
        <v>#REF!</v>
      </c>
      <c r="Z2832" t="e">
        <f>IF(#REF!&lt;=80,"Low Calls",
IF(#REF!&lt;=120,"Medium Calls","High Calls"))</f>
        <v>#REF!</v>
      </c>
      <c r="AA2832" t="e">
        <f>IF(#REF!&lt;=15,"Low Charges",
IF(#REF!&lt;=20,"Medium Charges","High Charges"))</f>
        <v>#REF!</v>
      </c>
      <c r="AB2832" t="e">
        <f>IF(AND(#REF!&gt;180, #REF!&gt;200), "Heavy Doemstic User", IF(#REF!&gt;10, "Interntional User", IF(AND(#REF!&lt;180, #REF!&lt;200,#REF!&lt;200), "Light User", "Balanced User")))</f>
        <v>#REF!</v>
      </c>
      <c r="AC2832" t="e">
        <f>IF(#REF! = 0, "No Usage", IF(#REF! &lt;= 20, "Low Usage", IF(#REF! &lt;= 40, "Medium Usgae", "High Usage")))</f>
        <v>#REF!</v>
      </c>
      <c r="AD2832" t="e">
        <f>IF(#REF!&lt;=150,"Low Usage", IF(#REF!&lt;=200,"Medium Usage", IF(#REF!&lt;=250,"High Usage","Very High Usage")))</f>
        <v>#REF!</v>
      </c>
      <c r="AE2832" t="e">
        <f>IF(#REF!&lt;=5,"Low Calls", IF(#REF!&lt;=10, "Medium Calls", "High Calls"))</f>
        <v>#REF!</v>
      </c>
      <c r="AF2832" t="e">
        <f xml:space="preserve">
IF(#REF!&gt;=4,4,0)+
IF(#REF!="yes",3,0)+
IF(#REF!="High Charges",3,0)+
IF(#REF!&gt;250,4,0)+
IF(#REF!="no",1,0)+
IF(#REF!="Heavy Domestic User",2,0)</f>
        <v>#REF!</v>
      </c>
      <c r="AG2832" t="e">
        <f>IF(#REF!&gt;=10,"High Risk", IF(#REF!&gt;=5,"Medium Risk","Low Risk"))</f>
        <v>#REF!</v>
      </c>
      <c r="AH2832" t="e">
        <f>#REF! + #REF! + #REF! + #REF!</f>
        <v>#REF!</v>
      </c>
    </row>
    <row r="2833" spans="1:34" x14ac:dyDescent="0.35">
      <c r="A2833">
        <v>2832</v>
      </c>
      <c r="B2833" t="s">
        <v>35</v>
      </c>
      <c r="C2833">
        <v>137</v>
      </c>
      <c r="D2833" t="s">
        <v>28</v>
      </c>
      <c r="E2833" t="s">
        <v>22</v>
      </c>
      <c r="F2833" t="s">
        <v>22</v>
      </c>
      <c r="G2833">
        <v>0</v>
      </c>
      <c r="H2833">
        <v>223.6</v>
      </c>
      <c r="I2833">
        <v>86</v>
      </c>
      <c r="J2833">
        <v>38.01</v>
      </c>
      <c r="K2833">
        <v>244.8</v>
      </c>
      <c r="L2833">
        <v>139</v>
      </c>
      <c r="M2833">
        <v>20.81</v>
      </c>
      <c r="N2833">
        <v>94.2</v>
      </c>
      <c r="O2833">
        <v>81</v>
      </c>
      <c r="P2833">
        <v>4.24</v>
      </c>
      <c r="Q2833">
        <v>9.5</v>
      </c>
      <c r="R2833">
        <v>7</v>
      </c>
      <c r="S2833">
        <v>2.57</v>
      </c>
      <c r="T2833">
        <v>0</v>
      </c>
      <c r="U2833" t="s">
        <v>22</v>
      </c>
      <c r="V2833" t="e">
        <f>IF(#REF! = "yes", 1, 0)</f>
        <v>#REF!</v>
      </c>
      <c r="W2833" t="e">
        <f>IF(#REF! &lt;= 1, "0-1 Calls", IF(#REF! &lt;= 3, "2-3 Calls", IF(#REF! &lt;=5, "4-5 Calls", "6+ Calls")))</f>
        <v>#REF!</v>
      </c>
      <c r="X2833" t="e">
        <f>IF(#REF! &lt;= 50, "0-50", IF(#REF! &lt;=100, "51-100", IF(#REF! &lt;= 150, "101-150", "151+")))</f>
        <v>#REF!</v>
      </c>
      <c r="Y2833" t="e">
        <f>IF(#REF! &lt;= 3, "Low Charges", "High Charges")</f>
        <v>#REF!</v>
      </c>
      <c r="Z2833" t="e">
        <f>IF(#REF!&lt;=80,"Low Calls",
IF(#REF!&lt;=120,"Medium Calls","High Calls"))</f>
        <v>#REF!</v>
      </c>
      <c r="AA2833" t="e">
        <f>IF(#REF!&lt;=15,"Low Charges",
IF(#REF!&lt;=20,"Medium Charges","High Charges"))</f>
        <v>#REF!</v>
      </c>
      <c r="AB2833" t="e">
        <f>IF(AND(#REF!&gt;180, #REF!&gt;200), "Heavy Doemstic User", IF(#REF!&gt;10, "Interntional User", IF(AND(#REF!&lt;180, #REF!&lt;200,#REF!&lt;200), "Light User", "Balanced User")))</f>
        <v>#REF!</v>
      </c>
      <c r="AC2833" t="e">
        <f>IF(#REF! = 0, "No Usage", IF(#REF! &lt;= 20, "Low Usage", IF(#REF! &lt;= 40, "Medium Usgae", "High Usage")))</f>
        <v>#REF!</v>
      </c>
      <c r="AD2833" t="e">
        <f>IF(#REF!&lt;=150,"Low Usage", IF(#REF!&lt;=200,"Medium Usage", IF(#REF!&lt;=250,"High Usage","Very High Usage")))</f>
        <v>#REF!</v>
      </c>
      <c r="AE2833" t="e">
        <f>IF(#REF!&lt;=5,"Low Calls", IF(#REF!&lt;=10, "Medium Calls", "High Calls"))</f>
        <v>#REF!</v>
      </c>
      <c r="AF2833" t="e">
        <f xml:space="preserve">
IF(#REF!&gt;=4,4,0)+
IF(#REF!="yes",3,0)+
IF(#REF!="High Charges",3,0)+
IF(#REF!&gt;250,4,0)+
IF(#REF!="no",1,0)+
IF(#REF!="Heavy Domestic User",2,0)</f>
        <v>#REF!</v>
      </c>
      <c r="AG2833" t="e">
        <f>IF(#REF!&gt;=10,"High Risk", IF(#REF!&gt;=5,"Medium Risk","Low Risk"))</f>
        <v>#REF!</v>
      </c>
      <c r="AH2833" t="e">
        <f>#REF! + #REF! + #REF! + #REF!</f>
        <v>#REF!</v>
      </c>
    </row>
    <row r="2834" spans="1:34" x14ac:dyDescent="0.35">
      <c r="A2834">
        <v>2833</v>
      </c>
      <c r="B2834" t="s">
        <v>20</v>
      </c>
      <c r="C2834">
        <v>103</v>
      </c>
      <c r="D2834" t="s">
        <v>25</v>
      </c>
      <c r="E2834" t="s">
        <v>22</v>
      </c>
      <c r="F2834" t="s">
        <v>23</v>
      </c>
      <c r="G2834">
        <v>29</v>
      </c>
      <c r="H2834">
        <v>294.7</v>
      </c>
      <c r="I2834">
        <v>95</v>
      </c>
      <c r="J2834">
        <v>50.1</v>
      </c>
      <c r="K2834">
        <v>237.3</v>
      </c>
      <c r="L2834">
        <v>105</v>
      </c>
      <c r="M2834">
        <v>20.170000000000002</v>
      </c>
      <c r="N2834">
        <v>300.3</v>
      </c>
      <c r="O2834">
        <v>127</v>
      </c>
      <c r="P2834">
        <v>13.51</v>
      </c>
      <c r="Q2834">
        <v>13.7</v>
      </c>
      <c r="R2834">
        <v>6</v>
      </c>
      <c r="S2834">
        <v>3.7</v>
      </c>
      <c r="T2834">
        <v>1</v>
      </c>
      <c r="U2834" t="s">
        <v>22</v>
      </c>
      <c r="V2834" t="e">
        <f>IF(#REF! = "yes", 1, 0)</f>
        <v>#REF!</v>
      </c>
      <c r="W2834" t="e">
        <f>IF(#REF! &lt;= 1, "0-1 Calls", IF(#REF! &lt;= 3, "2-3 Calls", IF(#REF! &lt;=5, "4-5 Calls", "6+ Calls")))</f>
        <v>#REF!</v>
      </c>
      <c r="X2834" t="e">
        <f>IF(#REF! &lt;= 50, "0-50", IF(#REF! &lt;=100, "51-100", IF(#REF! &lt;= 150, "101-150", "151+")))</f>
        <v>#REF!</v>
      </c>
      <c r="Y2834" t="e">
        <f>IF(#REF! &lt;= 3, "Low Charges", "High Charges")</f>
        <v>#REF!</v>
      </c>
      <c r="Z2834" t="e">
        <f>IF(#REF!&lt;=80,"Low Calls",
IF(#REF!&lt;=120,"Medium Calls","High Calls"))</f>
        <v>#REF!</v>
      </c>
      <c r="AA2834" t="e">
        <f>IF(#REF!&lt;=15,"Low Charges",
IF(#REF!&lt;=20,"Medium Charges","High Charges"))</f>
        <v>#REF!</v>
      </c>
      <c r="AB2834" t="e">
        <f>IF(AND(#REF!&gt;180, #REF!&gt;200), "Heavy Doemstic User", IF(#REF!&gt;10, "Interntional User", IF(AND(#REF!&lt;180, #REF!&lt;200,#REF!&lt;200), "Light User", "Balanced User")))</f>
        <v>#REF!</v>
      </c>
      <c r="AC2834" t="e">
        <f>IF(#REF! = 0, "No Usage", IF(#REF! &lt;= 20, "Low Usage", IF(#REF! &lt;= 40, "Medium Usgae", "High Usage")))</f>
        <v>#REF!</v>
      </c>
      <c r="AD2834" t="e">
        <f>IF(#REF!&lt;=150,"Low Usage", IF(#REF!&lt;=200,"Medium Usage", IF(#REF!&lt;=250,"High Usage","Very High Usage")))</f>
        <v>#REF!</v>
      </c>
      <c r="AE2834" t="e">
        <f>IF(#REF!&lt;=5,"Low Calls", IF(#REF!&lt;=10, "Medium Calls", "High Calls"))</f>
        <v>#REF!</v>
      </c>
      <c r="AF2834" t="e">
        <f xml:space="preserve">
IF(#REF!&gt;=4,4,0)+
IF(#REF!="yes",3,0)+
IF(#REF!="High Charges",3,0)+
IF(#REF!&gt;250,4,0)+
IF(#REF!="no",1,0)+
IF(#REF!="Heavy Domestic User",2,0)</f>
        <v>#REF!</v>
      </c>
      <c r="AG2834" t="e">
        <f>IF(#REF!&gt;=10,"High Risk", IF(#REF!&gt;=5,"Medium Risk","Low Risk"))</f>
        <v>#REF!</v>
      </c>
      <c r="AH2834" t="e">
        <f>#REF! + #REF! + #REF! + #REF!</f>
        <v>#REF!</v>
      </c>
    </row>
    <row r="2835" spans="1:34" x14ac:dyDescent="0.35">
      <c r="A2835">
        <v>2834</v>
      </c>
      <c r="B2835" t="s">
        <v>61</v>
      </c>
      <c r="C2835">
        <v>99</v>
      </c>
      <c r="D2835" t="s">
        <v>21</v>
      </c>
      <c r="E2835" t="s">
        <v>22</v>
      </c>
      <c r="F2835" t="s">
        <v>22</v>
      </c>
      <c r="G2835">
        <v>0</v>
      </c>
      <c r="H2835">
        <v>216.8</v>
      </c>
      <c r="I2835">
        <v>123</v>
      </c>
      <c r="J2835">
        <v>36.86</v>
      </c>
      <c r="K2835">
        <v>126.4</v>
      </c>
      <c r="L2835">
        <v>88</v>
      </c>
      <c r="M2835">
        <v>10.74</v>
      </c>
      <c r="N2835">
        <v>220.6</v>
      </c>
      <c r="O2835">
        <v>82</v>
      </c>
      <c r="P2835">
        <v>9.93</v>
      </c>
      <c r="Q2835">
        <v>15.7</v>
      </c>
      <c r="R2835">
        <v>2</v>
      </c>
      <c r="S2835">
        <v>4.24</v>
      </c>
      <c r="T2835">
        <v>1</v>
      </c>
      <c r="U2835" t="s">
        <v>22</v>
      </c>
      <c r="V2835" t="e">
        <f>IF(#REF! = "yes", 1, 0)</f>
        <v>#REF!</v>
      </c>
      <c r="W2835" t="e">
        <f>IF(#REF! &lt;= 1, "0-1 Calls", IF(#REF! &lt;= 3, "2-3 Calls", IF(#REF! &lt;=5, "4-5 Calls", "6+ Calls")))</f>
        <v>#REF!</v>
      </c>
      <c r="X2835" t="e">
        <f>IF(#REF! &lt;= 50, "0-50", IF(#REF! &lt;=100, "51-100", IF(#REF! &lt;= 150, "101-150", "151+")))</f>
        <v>#REF!</v>
      </c>
      <c r="Y2835" t="e">
        <f>IF(#REF! &lt;= 3, "Low Charges", "High Charges")</f>
        <v>#REF!</v>
      </c>
      <c r="Z2835" t="e">
        <f>IF(#REF!&lt;=80,"Low Calls",
IF(#REF!&lt;=120,"Medium Calls","High Calls"))</f>
        <v>#REF!</v>
      </c>
      <c r="AA2835" t="e">
        <f>IF(#REF!&lt;=15,"Low Charges",
IF(#REF!&lt;=20,"Medium Charges","High Charges"))</f>
        <v>#REF!</v>
      </c>
      <c r="AB2835" t="e">
        <f>IF(AND(#REF!&gt;180, #REF!&gt;200), "Heavy Doemstic User", IF(#REF!&gt;10, "Interntional User", IF(AND(#REF!&lt;180, #REF!&lt;200,#REF!&lt;200), "Light User", "Balanced User")))</f>
        <v>#REF!</v>
      </c>
      <c r="AC2835" t="e">
        <f>IF(#REF! = 0, "No Usage", IF(#REF! &lt;= 20, "Low Usage", IF(#REF! &lt;= 40, "Medium Usgae", "High Usage")))</f>
        <v>#REF!</v>
      </c>
      <c r="AD2835" t="e">
        <f>IF(#REF!&lt;=150,"Low Usage", IF(#REF!&lt;=200,"Medium Usage", IF(#REF!&lt;=250,"High Usage","Very High Usage")))</f>
        <v>#REF!</v>
      </c>
      <c r="AE2835" t="e">
        <f>IF(#REF!&lt;=5,"Low Calls", IF(#REF!&lt;=10, "Medium Calls", "High Calls"))</f>
        <v>#REF!</v>
      </c>
      <c r="AF2835" t="e">
        <f xml:space="preserve">
IF(#REF!&gt;=4,4,0)+
IF(#REF!="yes",3,0)+
IF(#REF!="High Charges",3,0)+
IF(#REF!&gt;250,4,0)+
IF(#REF!="no",1,0)+
IF(#REF!="Heavy Domestic User",2,0)</f>
        <v>#REF!</v>
      </c>
      <c r="AG2835" t="e">
        <f>IF(#REF!&gt;=10,"High Risk", IF(#REF!&gt;=5,"Medium Risk","Low Risk"))</f>
        <v>#REF!</v>
      </c>
      <c r="AH2835" t="e">
        <f>#REF! + #REF! + #REF! + #REF!</f>
        <v>#REF!</v>
      </c>
    </row>
    <row r="2836" spans="1:34" x14ac:dyDescent="0.35">
      <c r="A2836">
        <v>2835</v>
      </c>
      <c r="B2836" t="s">
        <v>43</v>
      </c>
      <c r="C2836">
        <v>108</v>
      </c>
      <c r="D2836" t="s">
        <v>21</v>
      </c>
      <c r="E2836" t="s">
        <v>22</v>
      </c>
      <c r="F2836" t="s">
        <v>22</v>
      </c>
      <c r="G2836">
        <v>0</v>
      </c>
      <c r="H2836">
        <v>197.4</v>
      </c>
      <c r="I2836">
        <v>78</v>
      </c>
      <c r="J2836">
        <v>33.56</v>
      </c>
      <c r="K2836">
        <v>124</v>
      </c>
      <c r="L2836">
        <v>101</v>
      </c>
      <c r="M2836">
        <v>10.54</v>
      </c>
      <c r="N2836">
        <v>204.5</v>
      </c>
      <c r="O2836">
        <v>107</v>
      </c>
      <c r="P2836">
        <v>9.1999999999999993</v>
      </c>
      <c r="Q2836">
        <v>7.7</v>
      </c>
      <c r="R2836">
        <v>4</v>
      </c>
      <c r="S2836">
        <v>2.08</v>
      </c>
      <c r="T2836">
        <v>2</v>
      </c>
      <c r="U2836" t="s">
        <v>22</v>
      </c>
      <c r="V2836" t="e">
        <f>IF(#REF! = "yes", 1, 0)</f>
        <v>#REF!</v>
      </c>
      <c r="W2836" t="e">
        <f>IF(#REF! &lt;= 1, "0-1 Calls", IF(#REF! &lt;= 3, "2-3 Calls", IF(#REF! &lt;=5, "4-5 Calls", "6+ Calls")))</f>
        <v>#REF!</v>
      </c>
      <c r="X2836" t="e">
        <f>IF(#REF! &lt;= 50, "0-50", IF(#REF! &lt;=100, "51-100", IF(#REF! &lt;= 150, "101-150", "151+")))</f>
        <v>#REF!</v>
      </c>
      <c r="Y2836" t="e">
        <f>IF(#REF! &lt;= 3, "Low Charges", "High Charges")</f>
        <v>#REF!</v>
      </c>
      <c r="Z2836" t="e">
        <f>IF(#REF!&lt;=80,"Low Calls",
IF(#REF!&lt;=120,"Medium Calls","High Calls"))</f>
        <v>#REF!</v>
      </c>
      <c r="AA2836" t="e">
        <f>IF(#REF!&lt;=15,"Low Charges",
IF(#REF!&lt;=20,"Medium Charges","High Charges"))</f>
        <v>#REF!</v>
      </c>
      <c r="AB2836" t="e">
        <f>IF(AND(#REF!&gt;180, #REF!&gt;200), "Heavy Doemstic User", IF(#REF!&gt;10, "Interntional User", IF(AND(#REF!&lt;180, #REF!&lt;200,#REF!&lt;200), "Light User", "Balanced User")))</f>
        <v>#REF!</v>
      </c>
      <c r="AC2836" t="e">
        <f>IF(#REF! = 0, "No Usage", IF(#REF! &lt;= 20, "Low Usage", IF(#REF! &lt;= 40, "Medium Usgae", "High Usage")))</f>
        <v>#REF!</v>
      </c>
      <c r="AD2836" t="e">
        <f>IF(#REF!&lt;=150,"Low Usage", IF(#REF!&lt;=200,"Medium Usage", IF(#REF!&lt;=250,"High Usage","Very High Usage")))</f>
        <v>#REF!</v>
      </c>
      <c r="AE2836" t="e">
        <f>IF(#REF!&lt;=5,"Low Calls", IF(#REF!&lt;=10, "Medium Calls", "High Calls"))</f>
        <v>#REF!</v>
      </c>
      <c r="AF2836" t="e">
        <f xml:space="preserve">
IF(#REF!&gt;=4,4,0)+
IF(#REF!="yes",3,0)+
IF(#REF!="High Charges",3,0)+
IF(#REF!&gt;250,4,0)+
IF(#REF!="no",1,0)+
IF(#REF!="Heavy Domestic User",2,0)</f>
        <v>#REF!</v>
      </c>
      <c r="AG2836" t="e">
        <f>IF(#REF!&gt;=10,"High Risk", IF(#REF!&gt;=5,"Medium Risk","Low Risk"))</f>
        <v>#REF!</v>
      </c>
      <c r="AH2836" t="e">
        <f>#REF! + #REF! + #REF! + #REF!</f>
        <v>#REF!</v>
      </c>
    </row>
    <row r="2837" spans="1:34" x14ac:dyDescent="0.35">
      <c r="A2837">
        <v>2836</v>
      </c>
      <c r="B2837" t="s">
        <v>34</v>
      </c>
      <c r="C2837">
        <v>117</v>
      </c>
      <c r="D2837" t="s">
        <v>21</v>
      </c>
      <c r="E2837" t="s">
        <v>22</v>
      </c>
      <c r="F2837" t="s">
        <v>22</v>
      </c>
      <c r="G2837">
        <v>0</v>
      </c>
      <c r="H2837">
        <v>226.5</v>
      </c>
      <c r="I2837">
        <v>85</v>
      </c>
      <c r="J2837">
        <v>38.51</v>
      </c>
      <c r="K2837">
        <v>141.6</v>
      </c>
      <c r="L2837">
        <v>68</v>
      </c>
      <c r="M2837">
        <v>12.04</v>
      </c>
      <c r="N2837">
        <v>223</v>
      </c>
      <c r="O2837">
        <v>90</v>
      </c>
      <c r="P2837">
        <v>10.039999999999999</v>
      </c>
      <c r="Q2837">
        <v>6.9</v>
      </c>
      <c r="R2837">
        <v>5</v>
      </c>
      <c r="S2837">
        <v>1.86</v>
      </c>
      <c r="T2837">
        <v>1</v>
      </c>
      <c r="U2837" t="s">
        <v>22</v>
      </c>
      <c r="V2837" t="e">
        <f>IF(#REF! = "yes", 1, 0)</f>
        <v>#REF!</v>
      </c>
      <c r="W2837" t="e">
        <f>IF(#REF! &lt;= 1, "0-1 Calls", IF(#REF! &lt;= 3, "2-3 Calls", IF(#REF! &lt;=5, "4-5 Calls", "6+ Calls")))</f>
        <v>#REF!</v>
      </c>
      <c r="X2837" t="e">
        <f>IF(#REF! &lt;= 50, "0-50", IF(#REF! &lt;=100, "51-100", IF(#REF! &lt;= 150, "101-150", "151+")))</f>
        <v>#REF!</v>
      </c>
      <c r="Y2837" t="e">
        <f>IF(#REF! &lt;= 3, "Low Charges", "High Charges")</f>
        <v>#REF!</v>
      </c>
      <c r="Z2837" t="e">
        <f>IF(#REF!&lt;=80,"Low Calls",
IF(#REF!&lt;=120,"Medium Calls","High Calls"))</f>
        <v>#REF!</v>
      </c>
      <c r="AA2837" t="e">
        <f>IF(#REF!&lt;=15,"Low Charges",
IF(#REF!&lt;=20,"Medium Charges","High Charges"))</f>
        <v>#REF!</v>
      </c>
      <c r="AB2837" t="e">
        <f>IF(AND(#REF!&gt;180, #REF!&gt;200), "Heavy Doemstic User", IF(#REF!&gt;10, "Interntional User", IF(AND(#REF!&lt;180, #REF!&lt;200,#REF!&lt;200), "Light User", "Balanced User")))</f>
        <v>#REF!</v>
      </c>
      <c r="AC2837" t="e">
        <f>IF(#REF! = 0, "No Usage", IF(#REF! &lt;= 20, "Low Usage", IF(#REF! &lt;= 40, "Medium Usgae", "High Usage")))</f>
        <v>#REF!</v>
      </c>
      <c r="AD2837" t="e">
        <f>IF(#REF!&lt;=150,"Low Usage", IF(#REF!&lt;=200,"Medium Usage", IF(#REF!&lt;=250,"High Usage","Very High Usage")))</f>
        <v>#REF!</v>
      </c>
      <c r="AE2837" t="e">
        <f>IF(#REF!&lt;=5,"Low Calls", IF(#REF!&lt;=10, "Medium Calls", "High Calls"))</f>
        <v>#REF!</v>
      </c>
      <c r="AF2837" t="e">
        <f xml:space="preserve">
IF(#REF!&gt;=4,4,0)+
IF(#REF!="yes",3,0)+
IF(#REF!="High Charges",3,0)+
IF(#REF!&gt;250,4,0)+
IF(#REF!="no",1,0)+
IF(#REF!="Heavy Domestic User",2,0)</f>
        <v>#REF!</v>
      </c>
      <c r="AG2837" t="e">
        <f>IF(#REF!&gt;=10,"High Risk", IF(#REF!&gt;=5,"Medium Risk","Low Risk"))</f>
        <v>#REF!</v>
      </c>
      <c r="AH2837" t="e">
        <f>#REF! + #REF! + #REF! + #REF!</f>
        <v>#REF!</v>
      </c>
    </row>
    <row r="2838" spans="1:34" x14ac:dyDescent="0.35">
      <c r="A2838">
        <v>2837</v>
      </c>
      <c r="B2838" t="s">
        <v>75</v>
      </c>
      <c r="C2838">
        <v>63</v>
      </c>
      <c r="D2838" t="s">
        <v>21</v>
      </c>
      <c r="E2838" t="s">
        <v>22</v>
      </c>
      <c r="F2838" t="s">
        <v>23</v>
      </c>
      <c r="G2838">
        <v>32</v>
      </c>
      <c r="H2838">
        <v>218.9</v>
      </c>
      <c r="I2838">
        <v>124</v>
      </c>
      <c r="J2838">
        <v>37.21</v>
      </c>
      <c r="K2838">
        <v>214.3</v>
      </c>
      <c r="L2838">
        <v>125</v>
      </c>
      <c r="M2838">
        <v>18.22</v>
      </c>
      <c r="N2838">
        <v>260.3</v>
      </c>
      <c r="O2838">
        <v>120</v>
      </c>
      <c r="P2838">
        <v>11.71</v>
      </c>
      <c r="Q2838">
        <v>12.9</v>
      </c>
      <c r="R2838">
        <v>3</v>
      </c>
      <c r="S2838">
        <v>3.48</v>
      </c>
      <c r="T2838">
        <v>1</v>
      </c>
      <c r="U2838" t="s">
        <v>22</v>
      </c>
      <c r="V2838" t="e">
        <f>IF(#REF! = "yes", 1, 0)</f>
        <v>#REF!</v>
      </c>
      <c r="W2838" t="e">
        <f>IF(#REF! &lt;= 1, "0-1 Calls", IF(#REF! &lt;= 3, "2-3 Calls", IF(#REF! &lt;=5, "4-5 Calls", "6+ Calls")))</f>
        <v>#REF!</v>
      </c>
      <c r="X2838" t="e">
        <f>IF(#REF! &lt;= 50, "0-50", IF(#REF! &lt;=100, "51-100", IF(#REF! &lt;= 150, "101-150", "151+")))</f>
        <v>#REF!</v>
      </c>
      <c r="Y2838" t="e">
        <f>IF(#REF! &lt;= 3, "Low Charges", "High Charges")</f>
        <v>#REF!</v>
      </c>
      <c r="Z2838" t="e">
        <f>IF(#REF!&lt;=80,"Low Calls",
IF(#REF!&lt;=120,"Medium Calls","High Calls"))</f>
        <v>#REF!</v>
      </c>
      <c r="AA2838" t="e">
        <f>IF(#REF!&lt;=15,"Low Charges",
IF(#REF!&lt;=20,"Medium Charges","High Charges"))</f>
        <v>#REF!</v>
      </c>
      <c r="AB2838" t="e">
        <f>IF(AND(#REF!&gt;180, #REF!&gt;200), "Heavy Doemstic User", IF(#REF!&gt;10, "Interntional User", IF(AND(#REF!&lt;180, #REF!&lt;200,#REF!&lt;200), "Light User", "Balanced User")))</f>
        <v>#REF!</v>
      </c>
      <c r="AC2838" t="e">
        <f>IF(#REF! = 0, "No Usage", IF(#REF! &lt;= 20, "Low Usage", IF(#REF! &lt;= 40, "Medium Usgae", "High Usage")))</f>
        <v>#REF!</v>
      </c>
      <c r="AD2838" t="e">
        <f>IF(#REF!&lt;=150,"Low Usage", IF(#REF!&lt;=200,"Medium Usage", IF(#REF!&lt;=250,"High Usage","Very High Usage")))</f>
        <v>#REF!</v>
      </c>
      <c r="AE2838" t="e">
        <f>IF(#REF!&lt;=5,"Low Calls", IF(#REF!&lt;=10, "Medium Calls", "High Calls"))</f>
        <v>#REF!</v>
      </c>
      <c r="AF2838" t="e">
        <f xml:space="preserve">
IF(#REF!&gt;=4,4,0)+
IF(#REF!="yes",3,0)+
IF(#REF!="High Charges",3,0)+
IF(#REF!&gt;250,4,0)+
IF(#REF!="no",1,0)+
IF(#REF!="Heavy Domestic User",2,0)</f>
        <v>#REF!</v>
      </c>
      <c r="AG2838" t="e">
        <f>IF(#REF!&gt;=10,"High Risk", IF(#REF!&gt;=5,"Medium Risk","Low Risk"))</f>
        <v>#REF!</v>
      </c>
      <c r="AH2838" t="e">
        <f>#REF! + #REF! + #REF! + #REF!</f>
        <v>#REF!</v>
      </c>
    </row>
    <row r="2839" spans="1:34" x14ac:dyDescent="0.35">
      <c r="A2839">
        <v>2838</v>
      </c>
      <c r="B2839" t="s">
        <v>29</v>
      </c>
      <c r="C2839">
        <v>138</v>
      </c>
      <c r="D2839" t="s">
        <v>28</v>
      </c>
      <c r="E2839" t="s">
        <v>22</v>
      </c>
      <c r="F2839" t="s">
        <v>22</v>
      </c>
      <c r="G2839">
        <v>0</v>
      </c>
      <c r="H2839">
        <v>89.1</v>
      </c>
      <c r="I2839">
        <v>117</v>
      </c>
      <c r="J2839">
        <v>15.15</v>
      </c>
      <c r="K2839">
        <v>126.8</v>
      </c>
      <c r="L2839">
        <v>46</v>
      </c>
      <c r="M2839">
        <v>10.78</v>
      </c>
      <c r="N2839">
        <v>190.5</v>
      </c>
      <c r="O2839">
        <v>71</v>
      </c>
      <c r="P2839">
        <v>8.57</v>
      </c>
      <c r="Q2839">
        <v>9.9</v>
      </c>
      <c r="R2839">
        <v>4</v>
      </c>
      <c r="S2839">
        <v>2.67</v>
      </c>
      <c r="T2839">
        <v>2</v>
      </c>
      <c r="U2839" t="s">
        <v>22</v>
      </c>
      <c r="V2839" t="e">
        <f>IF(#REF! = "yes", 1, 0)</f>
        <v>#REF!</v>
      </c>
      <c r="W2839" t="e">
        <f>IF(#REF! &lt;= 1, "0-1 Calls", IF(#REF! &lt;= 3, "2-3 Calls", IF(#REF! &lt;=5, "4-5 Calls", "6+ Calls")))</f>
        <v>#REF!</v>
      </c>
      <c r="X2839" t="e">
        <f>IF(#REF! &lt;= 50, "0-50", IF(#REF! &lt;=100, "51-100", IF(#REF! &lt;= 150, "101-150", "151+")))</f>
        <v>#REF!</v>
      </c>
      <c r="Y2839" t="e">
        <f>IF(#REF! &lt;= 3, "Low Charges", "High Charges")</f>
        <v>#REF!</v>
      </c>
      <c r="Z2839" t="e">
        <f>IF(#REF!&lt;=80,"Low Calls",
IF(#REF!&lt;=120,"Medium Calls","High Calls"))</f>
        <v>#REF!</v>
      </c>
      <c r="AA2839" t="e">
        <f>IF(#REF!&lt;=15,"Low Charges",
IF(#REF!&lt;=20,"Medium Charges","High Charges"))</f>
        <v>#REF!</v>
      </c>
      <c r="AB2839" t="e">
        <f>IF(AND(#REF!&gt;180, #REF!&gt;200), "Heavy Doemstic User", IF(#REF!&gt;10, "Interntional User", IF(AND(#REF!&lt;180, #REF!&lt;200,#REF!&lt;200), "Light User", "Balanced User")))</f>
        <v>#REF!</v>
      </c>
      <c r="AC2839" t="e">
        <f>IF(#REF! = 0, "No Usage", IF(#REF! &lt;= 20, "Low Usage", IF(#REF! &lt;= 40, "Medium Usgae", "High Usage")))</f>
        <v>#REF!</v>
      </c>
      <c r="AD2839" t="e">
        <f>IF(#REF!&lt;=150,"Low Usage", IF(#REF!&lt;=200,"Medium Usage", IF(#REF!&lt;=250,"High Usage","Very High Usage")))</f>
        <v>#REF!</v>
      </c>
      <c r="AE2839" t="e">
        <f>IF(#REF!&lt;=5,"Low Calls", IF(#REF!&lt;=10, "Medium Calls", "High Calls"))</f>
        <v>#REF!</v>
      </c>
      <c r="AF2839" t="e">
        <f xml:space="preserve">
IF(#REF!&gt;=4,4,0)+
IF(#REF!="yes",3,0)+
IF(#REF!="High Charges",3,0)+
IF(#REF!&gt;250,4,0)+
IF(#REF!="no",1,0)+
IF(#REF!="Heavy Domestic User",2,0)</f>
        <v>#REF!</v>
      </c>
      <c r="AG2839" t="e">
        <f>IF(#REF!&gt;=10,"High Risk", IF(#REF!&gt;=5,"Medium Risk","Low Risk"))</f>
        <v>#REF!</v>
      </c>
      <c r="AH2839" t="e">
        <f>#REF! + #REF! + #REF! + #REF!</f>
        <v>#REF!</v>
      </c>
    </row>
    <row r="2840" spans="1:34" x14ac:dyDescent="0.35">
      <c r="A2840">
        <v>2839</v>
      </c>
      <c r="B2840" t="s">
        <v>39</v>
      </c>
      <c r="C2840">
        <v>128</v>
      </c>
      <c r="D2840" t="s">
        <v>21</v>
      </c>
      <c r="E2840" t="s">
        <v>22</v>
      </c>
      <c r="F2840" t="s">
        <v>23</v>
      </c>
      <c r="G2840">
        <v>43</v>
      </c>
      <c r="H2840">
        <v>177.8</v>
      </c>
      <c r="I2840">
        <v>100</v>
      </c>
      <c r="J2840">
        <v>30.23</v>
      </c>
      <c r="K2840">
        <v>147.30000000000001</v>
      </c>
      <c r="L2840">
        <v>89</v>
      </c>
      <c r="M2840">
        <v>12.52</v>
      </c>
      <c r="N2840">
        <v>194.2</v>
      </c>
      <c r="O2840">
        <v>92</v>
      </c>
      <c r="P2840">
        <v>8.74</v>
      </c>
      <c r="Q2840">
        <v>11.9</v>
      </c>
      <c r="R2840">
        <v>1</v>
      </c>
      <c r="S2840">
        <v>3.21</v>
      </c>
      <c r="T2840">
        <v>0</v>
      </c>
      <c r="U2840" t="s">
        <v>22</v>
      </c>
      <c r="V2840" t="e">
        <f>IF(#REF! = "yes", 1, 0)</f>
        <v>#REF!</v>
      </c>
      <c r="W2840" t="e">
        <f>IF(#REF! &lt;= 1, "0-1 Calls", IF(#REF! &lt;= 3, "2-3 Calls", IF(#REF! &lt;=5, "4-5 Calls", "6+ Calls")))</f>
        <v>#REF!</v>
      </c>
      <c r="X2840" t="e">
        <f>IF(#REF! &lt;= 50, "0-50", IF(#REF! &lt;=100, "51-100", IF(#REF! &lt;= 150, "101-150", "151+")))</f>
        <v>#REF!</v>
      </c>
      <c r="Y2840" t="e">
        <f>IF(#REF! &lt;= 3, "Low Charges", "High Charges")</f>
        <v>#REF!</v>
      </c>
      <c r="Z2840" t="e">
        <f>IF(#REF!&lt;=80,"Low Calls",
IF(#REF!&lt;=120,"Medium Calls","High Calls"))</f>
        <v>#REF!</v>
      </c>
      <c r="AA2840" t="e">
        <f>IF(#REF!&lt;=15,"Low Charges",
IF(#REF!&lt;=20,"Medium Charges","High Charges"))</f>
        <v>#REF!</v>
      </c>
      <c r="AB2840" t="e">
        <f>IF(AND(#REF!&gt;180, #REF!&gt;200), "Heavy Doemstic User", IF(#REF!&gt;10, "Interntional User", IF(AND(#REF!&lt;180, #REF!&lt;200,#REF!&lt;200), "Light User", "Balanced User")))</f>
        <v>#REF!</v>
      </c>
      <c r="AC2840" t="e">
        <f>IF(#REF! = 0, "No Usage", IF(#REF! &lt;= 20, "Low Usage", IF(#REF! &lt;= 40, "Medium Usgae", "High Usage")))</f>
        <v>#REF!</v>
      </c>
      <c r="AD2840" t="e">
        <f>IF(#REF!&lt;=150,"Low Usage", IF(#REF!&lt;=200,"Medium Usage", IF(#REF!&lt;=250,"High Usage","Very High Usage")))</f>
        <v>#REF!</v>
      </c>
      <c r="AE2840" t="e">
        <f>IF(#REF!&lt;=5,"Low Calls", IF(#REF!&lt;=10, "Medium Calls", "High Calls"))</f>
        <v>#REF!</v>
      </c>
      <c r="AF2840" t="e">
        <f xml:space="preserve">
IF(#REF!&gt;=4,4,0)+
IF(#REF!="yes",3,0)+
IF(#REF!="High Charges",3,0)+
IF(#REF!&gt;250,4,0)+
IF(#REF!="no",1,0)+
IF(#REF!="Heavy Domestic User",2,0)</f>
        <v>#REF!</v>
      </c>
      <c r="AG2840" t="e">
        <f>IF(#REF!&gt;=10,"High Risk", IF(#REF!&gt;=5,"Medium Risk","Low Risk"))</f>
        <v>#REF!</v>
      </c>
      <c r="AH2840" t="e">
        <f>#REF! + #REF! + #REF! + #REF!</f>
        <v>#REF!</v>
      </c>
    </row>
    <row r="2841" spans="1:34" x14ac:dyDescent="0.35">
      <c r="A2841">
        <v>2840</v>
      </c>
      <c r="B2841" t="s">
        <v>39</v>
      </c>
      <c r="C2841">
        <v>140</v>
      </c>
      <c r="D2841" t="s">
        <v>21</v>
      </c>
      <c r="E2841" t="s">
        <v>22</v>
      </c>
      <c r="F2841" t="s">
        <v>22</v>
      </c>
      <c r="G2841">
        <v>0</v>
      </c>
      <c r="H2841">
        <v>93.2</v>
      </c>
      <c r="I2841">
        <v>109</v>
      </c>
      <c r="J2841">
        <v>15.84</v>
      </c>
      <c r="K2841">
        <v>197.6</v>
      </c>
      <c r="L2841">
        <v>116</v>
      </c>
      <c r="M2841">
        <v>16.8</v>
      </c>
      <c r="N2841">
        <v>219.8</v>
      </c>
      <c r="O2841">
        <v>94</v>
      </c>
      <c r="P2841">
        <v>9.89</v>
      </c>
      <c r="Q2841">
        <v>10.5</v>
      </c>
      <c r="R2841">
        <v>2</v>
      </c>
      <c r="S2841">
        <v>2.84</v>
      </c>
      <c r="T2841">
        <v>1</v>
      </c>
      <c r="U2841" t="s">
        <v>22</v>
      </c>
      <c r="V2841" t="e">
        <f>IF(#REF! = "yes", 1, 0)</f>
        <v>#REF!</v>
      </c>
      <c r="W2841" t="e">
        <f>IF(#REF! &lt;= 1, "0-1 Calls", IF(#REF! &lt;= 3, "2-3 Calls", IF(#REF! &lt;=5, "4-5 Calls", "6+ Calls")))</f>
        <v>#REF!</v>
      </c>
      <c r="X2841" t="e">
        <f>IF(#REF! &lt;= 50, "0-50", IF(#REF! &lt;=100, "51-100", IF(#REF! &lt;= 150, "101-150", "151+")))</f>
        <v>#REF!</v>
      </c>
      <c r="Y2841" t="e">
        <f>IF(#REF! &lt;= 3, "Low Charges", "High Charges")</f>
        <v>#REF!</v>
      </c>
      <c r="Z2841" t="e">
        <f>IF(#REF!&lt;=80,"Low Calls",
IF(#REF!&lt;=120,"Medium Calls","High Calls"))</f>
        <v>#REF!</v>
      </c>
      <c r="AA2841" t="e">
        <f>IF(#REF!&lt;=15,"Low Charges",
IF(#REF!&lt;=20,"Medium Charges","High Charges"))</f>
        <v>#REF!</v>
      </c>
      <c r="AB2841" t="e">
        <f>IF(AND(#REF!&gt;180, #REF!&gt;200), "Heavy Doemstic User", IF(#REF!&gt;10, "Interntional User", IF(AND(#REF!&lt;180, #REF!&lt;200,#REF!&lt;200), "Light User", "Balanced User")))</f>
        <v>#REF!</v>
      </c>
      <c r="AC2841" t="e">
        <f>IF(#REF! = 0, "No Usage", IF(#REF! &lt;= 20, "Low Usage", IF(#REF! &lt;= 40, "Medium Usgae", "High Usage")))</f>
        <v>#REF!</v>
      </c>
      <c r="AD2841" t="e">
        <f>IF(#REF!&lt;=150,"Low Usage", IF(#REF!&lt;=200,"Medium Usage", IF(#REF!&lt;=250,"High Usage","Very High Usage")))</f>
        <v>#REF!</v>
      </c>
      <c r="AE2841" t="e">
        <f>IF(#REF!&lt;=5,"Low Calls", IF(#REF!&lt;=10, "Medium Calls", "High Calls"))</f>
        <v>#REF!</v>
      </c>
      <c r="AF2841" t="e">
        <f xml:space="preserve">
IF(#REF!&gt;=4,4,0)+
IF(#REF!="yes",3,0)+
IF(#REF!="High Charges",3,0)+
IF(#REF!&gt;250,4,0)+
IF(#REF!="no",1,0)+
IF(#REF!="Heavy Domestic User",2,0)</f>
        <v>#REF!</v>
      </c>
      <c r="AG2841" t="e">
        <f>IF(#REF!&gt;=10,"High Risk", IF(#REF!&gt;=5,"Medium Risk","Low Risk"))</f>
        <v>#REF!</v>
      </c>
      <c r="AH2841" t="e">
        <f>#REF! + #REF! + #REF! + #REF!</f>
        <v>#REF!</v>
      </c>
    </row>
    <row r="2842" spans="1:34" x14ac:dyDescent="0.35">
      <c r="A2842">
        <v>2841</v>
      </c>
      <c r="B2842" t="s">
        <v>66</v>
      </c>
      <c r="C2842">
        <v>102</v>
      </c>
      <c r="D2842" t="s">
        <v>21</v>
      </c>
      <c r="E2842" t="s">
        <v>22</v>
      </c>
      <c r="F2842" t="s">
        <v>22</v>
      </c>
      <c r="G2842">
        <v>0</v>
      </c>
      <c r="H2842">
        <v>228.1</v>
      </c>
      <c r="I2842">
        <v>86</v>
      </c>
      <c r="J2842">
        <v>38.78</v>
      </c>
      <c r="K2842">
        <v>156</v>
      </c>
      <c r="L2842">
        <v>97</v>
      </c>
      <c r="M2842">
        <v>13.26</v>
      </c>
      <c r="N2842">
        <v>227.9</v>
      </c>
      <c r="O2842">
        <v>124</v>
      </c>
      <c r="P2842">
        <v>10.26</v>
      </c>
      <c r="Q2842">
        <v>10.6</v>
      </c>
      <c r="R2842">
        <v>9</v>
      </c>
      <c r="S2842">
        <v>2.86</v>
      </c>
      <c r="T2842">
        <v>1</v>
      </c>
      <c r="U2842" t="s">
        <v>22</v>
      </c>
      <c r="V2842" t="e">
        <f>IF(#REF! = "yes", 1, 0)</f>
        <v>#REF!</v>
      </c>
      <c r="W2842" t="e">
        <f>IF(#REF! &lt;= 1, "0-1 Calls", IF(#REF! &lt;= 3, "2-3 Calls", IF(#REF! &lt;=5, "4-5 Calls", "6+ Calls")))</f>
        <v>#REF!</v>
      </c>
      <c r="X2842" t="e">
        <f>IF(#REF! &lt;= 50, "0-50", IF(#REF! &lt;=100, "51-100", IF(#REF! &lt;= 150, "101-150", "151+")))</f>
        <v>#REF!</v>
      </c>
      <c r="Y2842" t="e">
        <f>IF(#REF! &lt;= 3, "Low Charges", "High Charges")</f>
        <v>#REF!</v>
      </c>
      <c r="Z2842" t="e">
        <f>IF(#REF!&lt;=80,"Low Calls",
IF(#REF!&lt;=120,"Medium Calls","High Calls"))</f>
        <v>#REF!</v>
      </c>
      <c r="AA2842" t="e">
        <f>IF(#REF!&lt;=15,"Low Charges",
IF(#REF!&lt;=20,"Medium Charges","High Charges"))</f>
        <v>#REF!</v>
      </c>
      <c r="AB2842" t="e">
        <f>IF(AND(#REF!&gt;180, #REF!&gt;200), "Heavy Doemstic User", IF(#REF!&gt;10, "Interntional User", IF(AND(#REF!&lt;180, #REF!&lt;200,#REF!&lt;200), "Light User", "Balanced User")))</f>
        <v>#REF!</v>
      </c>
      <c r="AC2842" t="e">
        <f>IF(#REF! = 0, "No Usage", IF(#REF! &lt;= 20, "Low Usage", IF(#REF! &lt;= 40, "Medium Usgae", "High Usage")))</f>
        <v>#REF!</v>
      </c>
      <c r="AD2842" t="e">
        <f>IF(#REF!&lt;=150,"Low Usage", IF(#REF!&lt;=200,"Medium Usage", IF(#REF!&lt;=250,"High Usage","Very High Usage")))</f>
        <v>#REF!</v>
      </c>
      <c r="AE2842" t="e">
        <f>IF(#REF!&lt;=5,"Low Calls", IF(#REF!&lt;=10, "Medium Calls", "High Calls"))</f>
        <v>#REF!</v>
      </c>
      <c r="AF2842" t="e">
        <f xml:space="preserve">
IF(#REF!&gt;=4,4,0)+
IF(#REF!="yes",3,0)+
IF(#REF!="High Charges",3,0)+
IF(#REF!&gt;250,4,0)+
IF(#REF!="no",1,0)+
IF(#REF!="Heavy Domestic User",2,0)</f>
        <v>#REF!</v>
      </c>
      <c r="AG2842" t="e">
        <f>IF(#REF!&gt;=10,"High Risk", IF(#REF!&gt;=5,"Medium Risk","Low Risk"))</f>
        <v>#REF!</v>
      </c>
      <c r="AH2842" t="e">
        <f>#REF! + #REF! + #REF! + #REF!</f>
        <v>#REF!</v>
      </c>
    </row>
    <row r="2843" spans="1:34" x14ac:dyDescent="0.35">
      <c r="A2843">
        <v>2842</v>
      </c>
      <c r="B2843" t="s">
        <v>60</v>
      </c>
      <c r="C2843">
        <v>96</v>
      </c>
      <c r="D2843" t="s">
        <v>25</v>
      </c>
      <c r="E2843" t="s">
        <v>22</v>
      </c>
      <c r="F2843" t="s">
        <v>22</v>
      </c>
      <c r="G2843">
        <v>0</v>
      </c>
      <c r="H2843">
        <v>208.1</v>
      </c>
      <c r="I2843">
        <v>93</v>
      </c>
      <c r="J2843">
        <v>35.380000000000003</v>
      </c>
      <c r="K2843">
        <v>189.2</v>
      </c>
      <c r="L2843">
        <v>107</v>
      </c>
      <c r="M2843">
        <v>16.079999999999998</v>
      </c>
      <c r="N2843">
        <v>279.60000000000002</v>
      </c>
      <c r="O2843">
        <v>90</v>
      </c>
      <c r="P2843">
        <v>12.58</v>
      </c>
      <c r="Q2843">
        <v>7.4</v>
      </c>
      <c r="R2843">
        <v>2</v>
      </c>
      <c r="S2843">
        <v>2</v>
      </c>
      <c r="T2843">
        <v>1</v>
      </c>
      <c r="U2843" t="s">
        <v>22</v>
      </c>
      <c r="V2843" t="e">
        <f>IF(#REF! = "yes", 1, 0)</f>
        <v>#REF!</v>
      </c>
      <c r="W2843" t="e">
        <f>IF(#REF! &lt;= 1, "0-1 Calls", IF(#REF! &lt;= 3, "2-3 Calls", IF(#REF! &lt;=5, "4-5 Calls", "6+ Calls")))</f>
        <v>#REF!</v>
      </c>
      <c r="X2843" t="e">
        <f>IF(#REF! &lt;= 50, "0-50", IF(#REF! &lt;=100, "51-100", IF(#REF! &lt;= 150, "101-150", "151+")))</f>
        <v>#REF!</v>
      </c>
      <c r="Y2843" t="e">
        <f>IF(#REF! &lt;= 3, "Low Charges", "High Charges")</f>
        <v>#REF!</v>
      </c>
      <c r="Z2843" t="e">
        <f>IF(#REF!&lt;=80,"Low Calls",
IF(#REF!&lt;=120,"Medium Calls","High Calls"))</f>
        <v>#REF!</v>
      </c>
      <c r="AA2843" t="e">
        <f>IF(#REF!&lt;=15,"Low Charges",
IF(#REF!&lt;=20,"Medium Charges","High Charges"))</f>
        <v>#REF!</v>
      </c>
      <c r="AB2843" t="e">
        <f>IF(AND(#REF!&gt;180, #REF!&gt;200), "Heavy Doemstic User", IF(#REF!&gt;10, "Interntional User", IF(AND(#REF!&lt;180, #REF!&lt;200,#REF!&lt;200), "Light User", "Balanced User")))</f>
        <v>#REF!</v>
      </c>
      <c r="AC2843" t="e">
        <f>IF(#REF! = 0, "No Usage", IF(#REF! &lt;= 20, "Low Usage", IF(#REF! &lt;= 40, "Medium Usgae", "High Usage")))</f>
        <v>#REF!</v>
      </c>
      <c r="AD2843" t="e">
        <f>IF(#REF!&lt;=150,"Low Usage", IF(#REF!&lt;=200,"Medium Usage", IF(#REF!&lt;=250,"High Usage","Very High Usage")))</f>
        <v>#REF!</v>
      </c>
      <c r="AE2843" t="e">
        <f>IF(#REF!&lt;=5,"Low Calls", IF(#REF!&lt;=10, "Medium Calls", "High Calls"))</f>
        <v>#REF!</v>
      </c>
      <c r="AF2843" t="e">
        <f xml:space="preserve">
IF(#REF!&gt;=4,4,0)+
IF(#REF!="yes",3,0)+
IF(#REF!="High Charges",3,0)+
IF(#REF!&gt;250,4,0)+
IF(#REF!="no",1,0)+
IF(#REF!="Heavy Domestic User",2,0)</f>
        <v>#REF!</v>
      </c>
      <c r="AG2843" t="e">
        <f>IF(#REF!&gt;=10,"High Risk", IF(#REF!&gt;=5,"Medium Risk","Low Risk"))</f>
        <v>#REF!</v>
      </c>
      <c r="AH2843" t="e">
        <f>#REF! + #REF! + #REF! + #REF!</f>
        <v>#REF!</v>
      </c>
    </row>
    <row r="2844" spans="1:34" x14ac:dyDescent="0.35">
      <c r="A2844">
        <v>2843</v>
      </c>
      <c r="B2844" t="s">
        <v>70</v>
      </c>
      <c r="C2844">
        <v>178</v>
      </c>
      <c r="D2844" t="s">
        <v>21</v>
      </c>
      <c r="E2844" t="s">
        <v>22</v>
      </c>
      <c r="F2844" t="s">
        <v>23</v>
      </c>
      <c r="G2844">
        <v>22</v>
      </c>
      <c r="H2844">
        <v>112.8</v>
      </c>
      <c r="I2844">
        <v>66</v>
      </c>
      <c r="J2844">
        <v>19.18</v>
      </c>
      <c r="K2844">
        <v>232.6</v>
      </c>
      <c r="L2844">
        <v>100</v>
      </c>
      <c r="M2844">
        <v>19.77</v>
      </c>
      <c r="N2844">
        <v>194.8</v>
      </c>
      <c r="O2844">
        <v>119</v>
      </c>
      <c r="P2844">
        <v>8.77</v>
      </c>
      <c r="Q2844">
        <v>14.3</v>
      </c>
      <c r="R2844">
        <v>3</v>
      </c>
      <c r="S2844">
        <v>3.86</v>
      </c>
      <c r="T2844">
        <v>1</v>
      </c>
      <c r="U2844" t="s">
        <v>22</v>
      </c>
      <c r="V2844" t="e">
        <f>IF(#REF! = "yes", 1, 0)</f>
        <v>#REF!</v>
      </c>
      <c r="W2844" t="e">
        <f>IF(#REF! &lt;= 1, "0-1 Calls", IF(#REF! &lt;= 3, "2-3 Calls", IF(#REF! &lt;=5, "4-5 Calls", "6+ Calls")))</f>
        <v>#REF!</v>
      </c>
      <c r="X2844" t="e">
        <f>IF(#REF! &lt;= 50, "0-50", IF(#REF! &lt;=100, "51-100", IF(#REF! &lt;= 150, "101-150", "151+")))</f>
        <v>#REF!</v>
      </c>
      <c r="Y2844" t="e">
        <f>IF(#REF! &lt;= 3, "Low Charges", "High Charges")</f>
        <v>#REF!</v>
      </c>
      <c r="Z2844" t="e">
        <f>IF(#REF!&lt;=80,"Low Calls",
IF(#REF!&lt;=120,"Medium Calls","High Calls"))</f>
        <v>#REF!</v>
      </c>
      <c r="AA2844" t="e">
        <f>IF(#REF!&lt;=15,"Low Charges",
IF(#REF!&lt;=20,"Medium Charges","High Charges"))</f>
        <v>#REF!</v>
      </c>
      <c r="AB2844" t="e">
        <f>IF(AND(#REF!&gt;180, #REF!&gt;200), "Heavy Doemstic User", IF(#REF!&gt;10, "Interntional User", IF(AND(#REF!&lt;180, #REF!&lt;200,#REF!&lt;200), "Light User", "Balanced User")))</f>
        <v>#REF!</v>
      </c>
      <c r="AC2844" t="e">
        <f>IF(#REF! = 0, "No Usage", IF(#REF! &lt;= 20, "Low Usage", IF(#REF! &lt;= 40, "Medium Usgae", "High Usage")))</f>
        <v>#REF!</v>
      </c>
      <c r="AD2844" t="e">
        <f>IF(#REF!&lt;=150,"Low Usage", IF(#REF!&lt;=200,"Medium Usage", IF(#REF!&lt;=250,"High Usage","Very High Usage")))</f>
        <v>#REF!</v>
      </c>
      <c r="AE2844" t="e">
        <f>IF(#REF!&lt;=5,"Low Calls", IF(#REF!&lt;=10, "Medium Calls", "High Calls"))</f>
        <v>#REF!</v>
      </c>
      <c r="AF2844" t="e">
        <f xml:space="preserve">
IF(#REF!&gt;=4,4,0)+
IF(#REF!="yes",3,0)+
IF(#REF!="High Charges",3,0)+
IF(#REF!&gt;250,4,0)+
IF(#REF!="no",1,0)+
IF(#REF!="Heavy Domestic User",2,0)</f>
        <v>#REF!</v>
      </c>
      <c r="AG2844" t="e">
        <f>IF(#REF!&gt;=10,"High Risk", IF(#REF!&gt;=5,"Medium Risk","Low Risk"))</f>
        <v>#REF!</v>
      </c>
      <c r="AH2844" t="e">
        <f>#REF! + #REF! + #REF! + #REF!</f>
        <v>#REF!</v>
      </c>
    </row>
    <row r="2845" spans="1:34" x14ac:dyDescent="0.35">
      <c r="A2845">
        <v>2844</v>
      </c>
      <c r="B2845" t="s">
        <v>60</v>
      </c>
      <c r="C2845">
        <v>75</v>
      </c>
      <c r="D2845" t="s">
        <v>21</v>
      </c>
      <c r="E2845" t="s">
        <v>22</v>
      </c>
      <c r="F2845" t="s">
        <v>22</v>
      </c>
      <c r="G2845">
        <v>0</v>
      </c>
      <c r="H2845">
        <v>225.3</v>
      </c>
      <c r="I2845">
        <v>124</v>
      </c>
      <c r="J2845">
        <v>38.299999999999997</v>
      </c>
      <c r="K2845">
        <v>228</v>
      </c>
      <c r="L2845">
        <v>81</v>
      </c>
      <c r="M2845">
        <v>19.38</v>
      </c>
      <c r="N2845">
        <v>254.3</v>
      </c>
      <c r="O2845">
        <v>106</v>
      </c>
      <c r="P2845">
        <v>11.44</v>
      </c>
      <c r="Q2845">
        <v>11.7</v>
      </c>
      <c r="R2845">
        <v>3</v>
      </c>
      <c r="S2845">
        <v>3.16</v>
      </c>
      <c r="T2845">
        <v>1</v>
      </c>
      <c r="U2845" t="s">
        <v>22</v>
      </c>
      <c r="V2845" t="e">
        <f>IF(#REF! = "yes", 1, 0)</f>
        <v>#REF!</v>
      </c>
      <c r="W2845" t="e">
        <f>IF(#REF! &lt;= 1, "0-1 Calls", IF(#REF! &lt;= 3, "2-3 Calls", IF(#REF! &lt;=5, "4-5 Calls", "6+ Calls")))</f>
        <v>#REF!</v>
      </c>
      <c r="X2845" t="e">
        <f>IF(#REF! &lt;= 50, "0-50", IF(#REF! &lt;=100, "51-100", IF(#REF! &lt;= 150, "101-150", "151+")))</f>
        <v>#REF!</v>
      </c>
      <c r="Y2845" t="e">
        <f>IF(#REF! &lt;= 3, "Low Charges", "High Charges")</f>
        <v>#REF!</v>
      </c>
      <c r="Z2845" t="e">
        <f>IF(#REF!&lt;=80,"Low Calls",
IF(#REF!&lt;=120,"Medium Calls","High Calls"))</f>
        <v>#REF!</v>
      </c>
      <c r="AA2845" t="e">
        <f>IF(#REF!&lt;=15,"Low Charges",
IF(#REF!&lt;=20,"Medium Charges","High Charges"))</f>
        <v>#REF!</v>
      </c>
      <c r="AB2845" t="e">
        <f>IF(AND(#REF!&gt;180, #REF!&gt;200), "Heavy Doemstic User", IF(#REF!&gt;10, "Interntional User", IF(AND(#REF!&lt;180, #REF!&lt;200,#REF!&lt;200), "Light User", "Balanced User")))</f>
        <v>#REF!</v>
      </c>
      <c r="AC2845" t="e">
        <f>IF(#REF! = 0, "No Usage", IF(#REF! &lt;= 20, "Low Usage", IF(#REF! &lt;= 40, "Medium Usgae", "High Usage")))</f>
        <v>#REF!</v>
      </c>
      <c r="AD2845" t="e">
        <f>IF(#REF!&lt;=150,"Low Usage", IF(#REF!&lt;=200,"Medium Usage", IF(#REF!&lt;=250,"High Usage","Very High Usage")))</f>
        <v>#REF!</v>
      </c>
      <c r="AE2845" t="e">
        <f>IF(#REF!&lt;=5,"Low Calls", IF(#REF!&lt;=10, "Medium Calls", "High Calls"))</f>
        <v>#REF!</v>
      </c>
      <c r="AF2845" t="e">
        <f xml:space="preserve">
IF(#REF!&gt;=4,4,0)+
IF(#REF!="yes",3,0)+
IF(#REF!="High Charges",3,0)+
IF(#REF!&gt;250,4,0)+
IF(#REF!="no",1,0)+
IF(#REF!="Heavy Domestic User",2,0)</f>
        <v>#REF!</v>
      </c>
      <c r="AG2845" t="e">
        <f>IF(#REF!&gt;=10,"High Risk", IF(#REF!&gt;=5,"Medium Risk","Low Risk"))</f>
        <v>#REF!</v>
      </c>
      <c r="AH2845" t="e">
        <f>#REF! + #REF! + #REF! + #REF!</f>
        <v>#REF!</v>
      </c>
    </row>
    <row r="2846" spans="1:34" x14ac:dyDescent="0.35">
      <c r="A2846">
        <v>2845</v>
      </c>
      <c r="B2846" t="s">
        <v>58</v>
      </c>
      <c r="C2846">
        <v>106</v>
      </c>
      <c r="D2846" t="s">
        <v>21</v>
      </c>
      <c r="E2846" t="s">
        <v>22</v>
      </c>
      <c r="F2846" t="s">
        <v>23</v>
      </c>
      <c r="G2846">
        <v>25</v>
      </c>
      <c r="H2846">
        <v>169.4</v>
      </c>
      <c r="I2846">
        <v>105</v>
      </c>
      <c r="J2846">
        <v>28.8</v>
      </c>
      <c r="K2846">
        <v>240.5</v>
      </c>
      <c r="L2846">
        <v>108</v>
      </c>
      <c r="M2846">
        <v>20.440000000000001</v>
      </c>
      <c r="N2846">
        <v>159.4</v>
      </c>
      <c r="O2846">
        <v>114</v>
      </c>
      <c r="P2846">
        <v>7.17</v>
      </c>
      <c r="Q2846">
        <v>13.9</v>
      </c>
      <c r="R2846">
        <v>5</v>
      </c>
      <c r="S2846">
        <v>3.75</v>
      </c>
      <c r="T2846">
        <v>4</v>
      </c>
      <c r="U2846" t="s">
        <v>22</v>
      </c>
      <c r="V2846" t="e">
        <f>IF(#REF! = "yes", 1, 0)</f>
        <v>#REF!</v>
      </c>
      <c r="W2846" t="e">
        <f>IF(#REF! &lt;= 1, "0-1 Calls", IF(#REF! &lt;= 3, "2-3 Calls", IF(#REF! &lt;=5, "4-5 Calls", "6+ Calls")))</f>
        <v>#REF!</v>
      </c>
      <c r="X2846" t="e">
        <f>IF(#REF! &lt;= 50, "0-50", IF(#REF! &lt;=100, "51-100", IF(#REF! &lt;= 150, "101-150", "151+")))</f>
        <v>#REF!</v>
      </c>
      <c r="Y2846" t="e">
        <f>IF(#REF! &lt;= 3, "Low Charges", "High Charges")</f>
        <v>#REF!</v>
      </c>
      <c r="Z2846" t="e">
        <f>IF(#REF!&lt;=80,"Low Calls",
IF(#REF!&lt;=120,"Medium Calls","High Calls"))</f>
        <v>#REF!</v>
      </c>
      <c r="AA2846" t="e">
        <f>IF(#REF!&lt;=15,"Low Charges",
IF(#REF!&lt;=20,"Medium Charges","High Charges"))</f>
        <v>#REF!</v>
      </c>
      <c r="AB2846" t="e">
        <f>IF(AND(#REF!&gt;180, #REF!&gt;200), "Heavy Doemstic User", IF(#REF!&gt;10, "Interntional User", IF(AND(#REF!&lt;180, #REF!&lt;200,#REF!&lt;200), "Light User", "Balanced User")))</f>
        <v>#REF!</v>
      </c>
      <c r="AC2846" t="e">
        <f>IF(#REF! = 0, "No Usage", IF(#REF! &lt;= 20, "Low Usage", IF(#REF! &lt;= 40, "Medium Usgae", "High Usage")))</f>
        <v>#REF!</v>
      </c>
      <c r="AD2846" t="e">
        <f>IF(#REF!&lt;=150,"Low Usage", IF(#REF!&lt;=200,"Medium Usage", IF(#REF!&lt;=250,"High Usage","Very High Usage")))</f>
        <v>#REF!</v>
      </c>
      <c r="AE2846" t="e">
        <f>IF(#REF!&lt;=5,"Low Calls", IF(#REF!&lt;=10, "Medium Calls", "High Calls"))</f>
        <v>#REF!</v>
      </c>
      <c r="AF2846" t="e">
        <f xml:space="preserve">
IF(#REF!&gt;=4,4,0)+
IF(#REF!="yes",3,0)+
IF(#REF!="High Charges",3,0)+
IF(#REF!&gt;250,4,0)+
IF(#REF!="no",1,0)+
IF(#REF!="Heavy Domestic User",2,0)</f>
        <v>#REF!</v>
      </c>
      <c r="AG2846" t="e">
        <f>IF(#REF!&gt;=10,"High Risk", IF(#REF!&gt;=5,"Medium Risk","Low Risk"))</f>
        <v>#REF!</v>
      </c>
      <c r="AH2846" t="e">
        <f>#REF! + #REF! + #REF! + #REF!</f>
        <v>#REF!</v>
      </c>
    </row>
    <row r="2847" spans="1:34" x14ac:dyDescent="0.35">
      <c r="A2847">
        <v>2846</v>
      </c>
      <c r="B2847" t="s">
        <v>45</v>
      </c>
      <c r="C2847">
        <v>158</v>
      </c>
      <c r="D2847" t="s">
        <v>28</v>
      </c>
      <c r="E2847" t="s">
        <v>22</v>
      </c>
      <c r="F2847" t="s">
        <v>22</v>
      </c>
      <c r="G2847">
        <v>0</v>
      </c>
      <c r="H2847">
        <v>193.3</v>
      </c>
      <c r="I2847">
        <v>121</v>
      </c>
      <c r="J2847">
        <v>32.86</v>
      </c>
      <c r="K2847">
        <v>208.1</v>
      </c>
      <c r="L2847">
        <v>97</v>
      </c>
      <c r="M2847">
        <v>17.690000000000001</v>
      </c>
      <c r="N2847">
        <v>228.1</v>
      </c>
      <c r="O2847">
        <v>99</v>
      </c>
      <c r="P2847">
        <v>10.26</v>
      </c>
      <c r="Q2847">
        <v>7.1</v>
      </c>
      <c r="R2847">
        <v>9</v>
      </c>
      <c r="S2847">
        <v>1.92</v>
      </c>
      <c r="T2847">
        <v>1</v>
      </c>
      <c r="U2847" t="s">
        <v>22</v>
      </c>
      <c r="V2847" t="e">
        <f>IF(#REF! = "yes", 1, 0)</f>
        <v>#REF!</v>
      </c>
      <c r="W2847" t="e">
        <f>IF(#REF! &lt;= 1, "0-1 Calls", IF(#REF! &lt;= 3, "2-3 Calls", IF(#REF! &lt;=5, "4-5 Calls", "6+ Calls")))</f>
        <v>#REF!</v>
      </c>
      <c r="X2847" t="e">
        <f>IF(#REF! &lt;= 50, "0-50", IF(#REF! &lt;=100, "51-100", IF(#REF! &lt;= 150, "101-150", "151+")))</f>
        <v>#REF!</v>
      </c>
      <c r="Y2847" t="e">
        <f>IF(#REF! &lt;= 3, "Low Charges", "High Charges")</f>
        <v>#REF!</v>
      </c>
      <c r="Z2847" t="e">
        <f>IF(#REF!&lt;=80,"Low Calls",
IF(#REF!&lt;=120,"Medium Calls","High Calls"))</f>
        <v>#REF!</v>
      </c>
      <c r="AA2847" t="e">
        <f>IF(#REF!&lt;=15,"Low Charges",
IF(#REF!&lt;=20,"Medium Charges","High Charges"))</f>
        <v>#REF!</v>
      </c>
      <c r="AB2847" t="e">
        <f>IF(AND(#REF!&gt;180, #REF!&gt;200), "Heavy Doemstic User", IF(#REF!&gt;10, "Interntional User", IF(AND(#REF!&lt;180, #REF!&lt;200,#REF!&lt;200), "Light User", "Balanced User")))</f>
        <v>#REF!</v>
      </c>
      <c r="AC2847" t="e">
        <f>IF(#REF! = 0, "No Usage", IF(#REF! &lt;= 20, "Low Usage", IF(#REF! &lt;= 40, "Medium Usgae", "High Usage")))</f>
        <v>#REF!</v>
      </c>
      <c r="AD2847" t="e">
        <f>IF(#REF!&lt;=150,"Low Usage", IF(#REF!&lt;=200,"Medium Usage", IF(#REF!&lt;=250,"High Usage","Very High Usage")))</f>
        <v>#REF!</v>
      </c>
      <c r="AE2847" t="e">
        <f>IF(#REF!&lt;=5,"Low Calls", IF(#REF!&lt;=10, "Medium Calls", "High Calls"))</f>
        <v>#REF!</v>
      </c>
      <c r="AF2847" t="e">
        <f xml:space="preserve">
IF(#REF!&gt;=4,4,0)+
IF(#REF!="yes",3,0)+
IF(#REF!="High Charges",3,0)+
IF(#REF!&gt;250,4,0)+
IF(#REF!="no",1,0)+
IF(#REF!="Heavy Domestic User",2,0)</f>
        <v>#REF!</v>
      </c>
      <c r="AG2847" t="e">
        <f>IF(#REF!&gt;=10,"High Risk", IF(#REF!&gt;=5,"Medium Risk","Low Risk"))</f>
        <v>#REF!</v>
      </c>
      <c r="AH2847" t="e">
        <f>#REF! + #REF! + #REF! + #REF!</f>
        <v>#REF!</v>
      </c>
    </row>
    <row r="2848" spans="1:34" x14ac:dyDescent="0.35">
      <c r="A2848">
        <v>2847</v>
      </c>
      <c r="B2848" t="s">
        <v>41</v>
      </c>
      <c r="C2848">
        <v>102</v>
      </c>
      <c r="D2848" t="s">
        <v>28</v>
      </c>
      <c r="E2848" t="s">
        <v>22</v>
      </c>
      <c r="F2848" t="s">
        <v>22</v>
      </c>
      <c r="G2848">
        <v>0</v>
      </c>
      <c r="H2848">
        <v>95.6</v>
      </c>
      <c r="I2848">
        <v>88</v>
      </c>
      <c r="J2848">
        <v>16.25</v>
      </c>
      <c r="K2848">
        <v>167.6</v>
      </c>
      <c r="L2848">
        <v>106</v>
      </c>
      <c r="M2848">
        <v>14.25</v>
      </c>
      <c r="N2848">
        <v>177.3</v>
      </c>
      <c r="O2848">
        <v>95</v>
      </c>
      <c r="P2848">
        <v>7.98</v>
      </c>
      <c r="Q2848">
        <v>9.8000000000000007</v>
      </c>
      <c r="R2848">
        <v>2</v>
      </c>
      <c r="S2848">
        <v>2.65</v>
      </c>
      <c r="T2848">
        <v>3</v>
      </c>
      <c r="U2848" t="s">
        <v>22</v>
      </c>
      <c r="V2848" t="e">
        <f>IF(#REF! = "yes", 1, 0)</f>
        <v>#REF!</v>
      </c>
      <c r="W2848" t="e">
        <f>IF(#REF! &lt;= 1, "0-1 Calls", IF(#REF! &lt;= 3, "2-3 Calls", IF(#REF! &lt;=5, "4-5 Calls", "6+ Calls")))</f>
        <v>#REF!</v>
      </c>
      <c r="X2848" t="e">
        <f>IF(#REF! &lt;= 50, "0-50", IF(#REF! &lt;=100, "51-100", IF(#REF! &lt;= 150, "101-150", "151+")))</f>
        <v>#REF!</v>
      </c>
      <c r="Y2848" t="e">
        <f>IF(#REF! &lt;= 3, "Low Charges", "High Charges")</f>
        <v>#REF!</v>
      </c>
      <c r="Z2848" t="e">
        <f>IF(#REF!&lt;=80,"Low Calls",
IF(#REF!&lt;=120,"Medium Calls","High Calls"))</f>
        <v>#REF!</v>
      </c>
      <c r="AA2848" t="e">
        <f>IF(#REF!&lt;=15,"Low Charges",
IF(#REF!&lt;=20,"Medium Charges","High Charges"))</f>
        <v>#REF!</v>
      </c>
      <c r="AB2848" t="e">
        <f>IF(AND(#REF!&gt;180, #REF!&gt;200), "Heavy Doemstic User", IF(#REF!&gt;10, "Interntional User", IF(AND(#REF!&lt;180, #REF!&lt;200,#REF!&lt;200), "Light User", "Balanced User")))</f>
        <v>#REF!</v>
      </c>
      <c r="AC2848" t="e">
        <f>IF(#REF! = 0, "No Usage", IF(#REF! &lt;= 20, "Low Usage", IF(#REF! &lt;= 40, "Medium Usgae", "High Usage")))</f>
        <v>#REF!</v>
      </c>
      <c r="AD2848" t="e">
        <f>IF(#REF!&lt;=150,"Low Usage", IF(#REF!&lt;=200,"Medium Usage", IF(#REF!&lt;=250,"High Usage","Very High Usage")))</f>
        <v>#REF!</v>
      </c>
      <c r="AE2848" t="e">
        <f>IF(#REF!&lt;=5,"Low Calls", IF(#REF!&lt;=10, "Medium Calls", "High Calls"))</f>
        <v>#REF!</v>
      </c>
      <c r="AF2848" t="e">
        <f xml:space="preserve">
IF(#REF!&gt;=4,4,0)+
IF(#REF!="yes",3,0)+
IF(#REF!="High Charges",3,0)+
IF(#REF!&gt;250,4,0)+
IF(#REF!="no",1,0)+
IF(#REF!="Heavy Domestic User",2,0)</f>
        <v>#REF!</v>
      </c>
      <c r="AG2848" t="e">
        <f>IF(#REF!&gt;=10,"High Risk", IF(#REF!&gt;=5,"Medium Risk","Low Risk"))</f>
        <v>#REF!</v>
      </c>
      <c r="AH2848" t="e">
        <f>#REF! + #REF! + #REF! + #REF!</f>
        <v>#REF!</v>
      </c>
    </row>
    <row r="2849" spans="1:34" x14ac:dyDescent="0.35">
      <c r="A2849">
        <v>2848</v>
      </c>
      <c r="B2849" t="s">
        <v>71</v>
      </c>
      <c r="C2849">
        <v>92</v>
      </c>
      <c r="D2849" t="s">
        <v>28</v>
      </c>
      <c r="E2849" t="s">
        <v>22</v>
      </c>
      <c r="F2849" t="s">
        <v>23</v>
      </c>
      <c r="G2849">
        <v>25</v>
      </c>
      <c r="H2849">
        <v>79.8</v>
      </c>
      <c r="I2849">
        <v>99</v>
      </c>
      <c r="J2849">
        <v>13.57</v>
      </c>
      <c r="K2849">
        <v>313.60000000000002</v>
      </c>
      <c r="L2849">
        <v>120</v>
      </c>
      <c r="M2849">
        <v>26.66</v>
      </c>
      <c r="N2849">
        <v>135.5</v>
      </c>
      <c r="O2849">
        <v>104</v>
      </c>
      <c r="P2849">
        <v>6.1</v>
      </c>
      <c r="Q2849">
        <v>9.3000000000000007</v>
      </c>
      <c r="R2849">
        <v>8</v>
      </c>
      <c r="S2849">
        <v>2.5099999999999998</v>
      </c>
      <c r="T2849">
        <v>2</v>
      </c>
      <c r="U2849" t="s">
        <v>22</v>
      </c>
      <c r="V2849" t="e">
        <f>IF(#REF! = "yes", 1, 0)</f>
        <v>#REF!</v>
      </c>
      <c r="W2849" t="e">
        <f>IF(#REF! &lt;= 1, "0-1 Calls", IF(#REF! &lt;= 3, "2-3 Calls", IF(#REF! &lt;=5, "4-5 Calls", "6+ Calls")))</f>
        <v>#REF!</v>
      </c>
      <c r="X2849" t="e">
        <f>IF(#REF! &lt;= 50, "0-50", IF(#REF! &lt;=100, "51-100", IF(#REF! &lt;= 150, "101-150", "151+")))</f>
        <v>#REF!</v>
      </c>
      <c r="Y2849" t="e">
        <f>IF(#REF! &lt;= 3, "Low Charges", "High Charges")</f>
        <v>#REF!</v>
      </c>
      <c r="Z2849" t="e">
        <f>IF(#REF!&lt;=80,"Low Calls",
IF(#REF!&lt;=120,"Medium Calls","High Calls"))</f>
        <v>#REF!</v>
      </c>
      <c r="AA2849" t="e">
        <f>IF(#REF!&lt;=15,"Low Charges",
IF(#REF!&lt;=20,"Medium Charges","High Charges"))</f>
        <v>#REF!</v>
      </c>
      <c r="AB2849" t="e">
        <f>IF(AND(#REF!&gt;180, #REF!&gt;200), "Heavy Doemstic User", IF(#REF!&gt;10, "Interntional User", IF(AND(#REF!&lt;180, #REF!&lt;200,#REF!&lt;200), "Light User", "Balanced User")))</f>
        <v>#REF!</v>
      </c>
      <c r="AC2849" t="e">
        <f>IF(#REF! = 0, "No Usage", IF(#REF! &lt;= 20, "Low Usage", IF(#REF! &lt;= 40, "Medium Usgae", "High Usage")))</f>
        <v>#REF!</v>
      </c>
      <c r="AD2849" t="e">
        <f>IF(#REF!&lt;=150,"Low Usage", IF(#REF!&lt;=200,"Medium Usage", IF(#REF!&lt;=250,"High Usage","Very High Usage")))</f>
        <v>#REF!</v>
      </c>
      <c r="AE2849" t="e">
        <f>IF(#REF!&lt;=5,"Low Calls", IF(#REF!&lt;=10, "Medium Calls", "High Calls"))</f>
        <v>#REF!</v>
      </c>
      <c r="AF2849" t="e">
        <f xml:space="preserve">
IF(#REF!&gt;=4,4,0)+
IF(#REF!="yes",3,0)+
IF(#REF!="High Charges",3,0)+
IF(#REF!&gt;250,4,0)+
IF(#REF!="no",1,0)+
IF(#REF!="Heavy Domestic User",2,0)</f>
        <v>#REF!</v>
      </c>
      <c r="AG2849" t="e">
        <f>IF(#REF!&gt;=10,"High Risk", IF(#REF!&gt;=5,"Medium Risk","Low Risk"))</f>
        <v>#REF!</v>
      </c>
      <c r="AH2849" t="e">
        <f>#REF! + #REF! + #REF! + #REF!</f>
        <v>#REF!</v>
      </c>
    </row>
    <row r="2850" spans="1:34" x14ac:dyDescent="0.35">
      <c r="A2850">
        <v>2849</v>
      </c>
      <c r="B2850" t="s">
        <v>20</v>
      </c>
      <c r="C2850">
        <v>69</v>
      </c>
      <c r="D2850" t="s">
        <v>21</v>
      </c>
      <c r="E2850" t="s">
        <v>22</v>
      </c>
      <c r="F2850" t="s">
        <v>22</v>
      </c>
      <c r="G2850">
        <v>0</v>
      </c>
      <c r="H2850">
        <v>229.2</v>
      </c>
      <c r="I2850">
        <v>111</v>
      </c>
      <c r="J2850">
        <v>38.96</v>
      </c>
      <c r="K2850">
        <v>165.3</v>
      </c>
      <c r="L2850">
        <v>104</v>
      </c>
      <c r="M2850">
        <v>14.05</v>
      </c>
      <c r="N2850">
        <v>235.1</v>
      </c>
      <c r="O2850">
        <v>80</v>
      </c>
      <c r="P2850">
        <v>10.58</v>
      </c>
      <c r="Q2850">
        <v>5.2</v>
      </c>
      <c r="R2850">
        <v>5</v>
      </c>
      <c r="S2850">
        <v>1.4</v>
      </c>
      <c r="T2850">
        <v>1</v>
      </c>
      <c r="U2850" t="s">
        <v>22</v>
      </c>
      <c r="V2850" t="e">
        <f>IF(#REF! = "yes", 1, 0)</f>
        <v>#REF!</v>
      </c>
      <c r="W2850" t="e">
        <f>IF(#REF! &lt;= 1, "0-1 Calls", IF(#REF! &lt;= 3, "2-3 Calls", IF(#REF! &lt;=5, "4-5 Calls", "6+ Calls")))</f>
        <v>#REF!</v>
      </c>
      <c r="X2850" t="e">
        <f>IF(#REF! &lt;= 50, "0-50", IF(#REF! &lt;=100, "51-100", IF(#REF! &lt;= 150, "101-150", "151+")))</f>
        <v>#REF!</v>
      </c>
      <c r="Y2850" t="e">
        <f>IF(#REF! &lt;= 3, "Low Charges", "High Charges")</f>
        <v>#REF!</v>
      </c>
      <c r="Z2850" t="e">
        <f>IF(#REF!&lt;=80,"Low Calls",
IF(#REF!&lt;=120,"Medium Calls","High Calls"))</f>
        <v>#REF!</v>
      </c>
      <c r="AA2850" t="e">
        <f>IF(#REF!&lt;=15,"Low Charges",
IF(#REF!&lt;=20,"Medium Charges","High Charges"))</f>
        <v>#REF!</v>
      </c>
      <c r="AB2850" t="e">
        <f>IF(AND(#REF!&gt;180, #REF!&gt;200), "Heavy Doemstic User", IF(#REF!&gt;10, "Interntional User", IF(AND(#REF!&lt;180, #REF!&lt;200,#REF!&lt;200), "Light User", "Balanced User")))</f>
        <v>#REF!</v>
      </c>
      <c r="AC2850" t="e">
        <f>IF(#REF! = 0, "No Usage", IF(#REF! &lt;= 20, "Low Usage", IF(#REF! &lt;= 40, "Medium Usgae", "High Usage")))</f>
        <v>#REF!</v>
      </c>
      <c r="AD2850" t="e">
        <f>IF(#REF!&lt;=150,"Low Usage", IF(#REF!&lt;=200,"Medium Usage", IF(#REF!&lt;=250,"High Usage","Very High Usage")))</f>
        <v>#REF!</v>
      </c>
      <c r="AE2850" t="e">
        <f>IF(#REF!&lt;=5,"Low Calls", IF(#REF!&lt;=10, "Medium Calls", "High Calls"))</f>
        <v>#REF!</v>
      </c>
      <c r="AF2850" t="e">
        <f xml:space="preserve">
IF(#REF!&gt;=4,4,0)+
IF(#REF!="yes",3,0)+
IF(#REF!="High Charges",3,0)+
IF(#REF!&gt;250,4,0)+
IF(#REF!="no",1,0)+
IF(#REF!="Heavy Domestic User",2,0)</f>
        <v>#REF!</v>
      </c>
      <c r="AG2850" t="e">
        <f>IF(#REF!&gt;=10,"High Risk", IF(#REF!&gt;=5,"Medium Risk","Low Risk"))</f>
        <v>#REF!</v>
      </c>
      <c r="AH2850" t="e">
        <f>#REF! + #REF! + #REF! + #REF!</f>
        <v>#REF!</v>
      </c>
    </row>
    <row r="2851" spans="1:34" x14ac:dyDescent="0.35">
      <c r="A2851">
        <v>2850</v>
      </c>
      <c r="B2851" t="s">
        <v>52</v>
      </c>
      <c r="C2851">
        <v>117</v>
      </c>
      <c r="D2851" t="s">
        <v>21</v>
      </c>
      <c r="E2851" t="s">
        <v>22</v>
      </c>
      <c r="F2851" t="s">
        <v>23</v>
      </c>
      <c r="G2851">
        <v>38</v>
      </c>
      <c r="H2851">
        <v>259.3</v>
      </c>
      <c r="I2851">
        <v>94</v>
      </c>
      <c r="J2851">
        <v>44.08</v>
      </c>
      <c r="K2851">
        <v>245.6</v>
      </c>
      <c r="L2851">
        <v>71</v>
      </c>
      <c r="M2851">
        <v>20.88</v>
      </c>
      <c r="N2851">
        <v>269.3</v>
      </c>
      <c r="O2851">
        <v>125</v>
      </c>
      <c r="P2851">
        <v>12.12</v>
      </c>
      <c r="Q2851">
        <v>9.1999999999999993</v>
      </c>
      <c r="R2851">
        <v>1</v>
      </c>
      <c r="S2851">
        <v>2.48</v>
      </c>
      <c r="T2851">
        <v>3</v>
      </c>
      <c r="U2851" t="s">
        <v>22</v>
      </c>
      <c r="V2851" t="e">
        <f>IF(#REF! = "yes", 1, 0)</f>
        <v>#REF!</v>
      </c>
      <c r="W2851" t="e">
        <f>IF(#REF! &lt;= 1, "0-1 Calls", IF(#REF! &lt;= 3, "2-3 Calls", IF(#REF! &lt;=5, "4-5 Calls", "6+ Calls")))</f>
        <v>#REF!</v>
      </c>
      <c r="X2851" t="e">
        <f>IF(#REF! &lt;= 50, "0-50", IF(#REF! &lt;=100, "51-100", IF(#REF! &lt;= 150, "101-150", "151+")))</f>
        <v>#REF!</v>
      </c>
      <c r="Y2851" t="e">
        <f>IF(#REF! &lt;= 3, "Low Charges", "High Charges")</f>
        <v>#REF!</v>
      </c>
      <c r="Z2851" t="e">
        <f>IF(#REF!&lt;=80,"Low Calls",
IF(#REF!&lt;=120,"Medium Calls","High Calls"))</f>
        <v>#REF!</v>
      </c>
      <c r="AA2851" t="e">
        <f>IF(#REF!&lt;=15,"Low Charges",
IF(#REF!&lt;=20,"Medium Charges","High Charges"))</f>
        <v>#REF!</v>
      </c>
      <c r="AB2851" t="e">
        <f>IF(AND(#REF!&gt;180, #REF!&gt;200), "Heavy Doemstic User", IF(#REF!&gt;10, "Interntional User", IF(AND(#REF!&lt;180, #REF!&lt;200,#REF!&lt;200), "Light User", "Balanced User")))</f>
        <v>#REF!</v>
      </c>
      <c r="AC2851" t="e">
        <f>IF(#REF! = 0, "No Usage", IF(#REF! &lt;= 20, "Low Usage", IF(#REF! &lt;= 40, "Medium Usgae", "High Usage")))</f>
        <v>#REF!</v>
      </c>
      <c r="AD2851" t="e">
        <f>IF(#REF!&lt;=150,"Low Usage", IF(#REF!&lt;=200,"Medium Usage", IF(#REF!&lt;=250,"High Usage","Very High Usage")))</f>
        <v>#REF!</v>
      </c>
      <c r="AE2851" t="e">
        <f>IF(#REF!&lt;=5,"Low Calls", IF(#REF!&lt;=10, "Medium Calls", "High Calls"))</f>
        <v>#REF!</v>
      </c>
      <c r="AF2851" t="e">
        <f xml:space="preserve">
IF(#REF!&gt;=4,4,0)+
IF(#REF!="yes",3,0)+
IF(#REF!="High Charges",3,0)+
IF(#REF!&gt;250,4,0)+
IF(#REF!="no",1,0)+
IF(#REF!="Heavy Domestic User",2,0)</f>
        <v>#REF!</v>
      </c>
      <c r="AG2851" t="e">
        <f>IF(#REF!&gt;=10,"High Risk", IF(#REF!&gt;=5,"Medium Risk","Low Risk"))</f>
        <v>#REF!</v>
      </c>
      <c r="AH2851" t="e">
        <f>#REF! + #REF! + #REF! + #REF!</f>
        <v>#REF!</v>
      </c>
    </row>
    <row r="2852" spans="1:34" x14ac:dyDescent="0.35">
      <c r="A2852">
        <v>2851</v>
      </c>
      <c r="B2852" t="s">
        <v>69</v>
      </c>
      <c r="C2852">
        <v>76</v>
      </c>
      <c r="D2852" t="s">
        <v>21</v>
      </c>
      <c r="E2852" t="s">
        <v>22</v>
      </c>
      <c r="F2852" t="s">
        <v>23</v>
      </c>
      <c r="G2852">
        <v>41</v>
      </c>
      <c r="H2852">
        <v>212.6</v>
      </c>
      <c r="I2852">
        <v>110</v>
      </c>
      <c r="J2852">
        <v>36.14</v>
      </c>
      <c r="K2852">
        <v>172.7</v>
      </c>
      <c r="L2852">
        <v>97</v>
      </c>
      <c r="M2852">
        <v>14.68</v>
      </c>
      <c r="N2852">
        <v>186.3</v>
      </c>
      <c r="O2852">
        <v>78</v>
      </c>
      <c r="P2852">
        <v>8.3800000000000008</v>
      </c>
      <c r="Q2852">
        <v>10.1</v>
      </c>
      <c r="R2852">
        <v>5</v>
      </c>
      <c r="S2852">
        <v>2.73</v>
      </c>
      <c r="T2852">
        <v>0</v>
      </c>
      <c r="U2852" t="s">
        <v>22</v>
      </c>
      <c r="V2852" t="e">
        <f>IF(#REF! = "yes", 1, 0)</f>
        <v>#REF!</v>
      </c>
      <c r="W2852" t="e">
        <f>IF(#REF! &lt;= 1, "0-1 Calls", IF(#REF! &lt;= 3, "2-3 Calls", IF(#REF! &lt;=5, "4-5 Calls", "6+ Calls")))</f>
        <v>#REF!</v>
      </c>
      <c r="X2852" t="e">
        <f>IF(#REF! &lt;= 50, "0-50", IF(#REF! &lt;=100, "51-100", IF(#REF! &lt;= 150, "101-150", "151+")))</f>
        <v>#REF!</v>
      </c>
      <c r="Y2852" t="e">
        <f>IF(#REF! &lt;= 3, "Low Charges", "High Charges")</f>
        <v>#REF!</v>
      </c>
      <c r="Z2852" t="e">
        <f>IF(#REF!&lt;=80,"Low Calls",
IF(#REF!&lt;=120,"Medium Calls","High Calls"))</f>
        <v>#REF!</v>
      </c>
      <c r="AA2852" t="e">
        <f>IF(#REF!&lt;=15,"Low Charges",
IF(#REF!&lt;=20,"Medium Charges","High Charges"))</f>
        <v>#REF!</v>
      </c>
      <c r="AB2852" t="e">
        <f>IF(AND(#REF!&gt;180, #REF!&gt;200), "Heavy Doemstic User", IF(#REF!&gt;10, "Interntional User", IF(AND(#REF!&lt;180, #REF!&lt;200,#REF!&lt;200), "Light User", "Balanced User")))</f>
        <v>#REF!</v>
      </c>
      <c r="AC2852" t="e">
        <f>IF(#REF! = 0, "No Usage", IF(#REF! &lt;= 20, "Low Usage", IF(#REF! &lt;= 40, "Medium Usgae", "High Usage")))</f>
        <v>#REF!</v>
      </c>
      <c r="AD2852" t="e">
        <f>IF(#REF!&lt;=150,"Low Usage", IF(#REF!&lt;=200,"Medium Usage", IF(#REF!&lt;=250,"High Usage","Very High Usage")))</f>
        <v>#REF!</v>
      </c>
      <c r="AE2852" t="e">
        <f>IF(#REF!&lt;=5,"Low Calls", IF(#REF!&lt;=10, "Medium Calls", "High Calls"))</f>
        <v>#REF!</v>
      </c>
      <c r="AF2852" t="e">
        <f xml:space="preserve">
IF(#REF!&gt;=4,4,0)+
IF(#REF!="yes",3,0)+
IF(#REF!="High Charges",3,0)+
IF(#REF!&gt;250,4,0)+
IF(#REF!="no",1,0)+
IF(#REF!="Heavy Domestic User",2,0)</f>
        <v>#REF!</v>
      </c>
      <c r="AG2852" t="e">
        <f>IF(#REF!&gt;=10,"High Risk", IF(#REF!&gt;=5,"Medium Risk","Low Risk"))</f>
        <v>#REF!</v>
      </c>
      <c r="AH2852" t="e">
        <f>#REF! + #REF! + #REF! + #REF!</f>
        <v>#REF!</v>
      </c>
    </row>
    <row r="2853" spans="1:34" x14ac:dyDescent="0.35">
      <c r="A2853">
        <v>2852</v>
      </c>
      <c r="B2853" t="s">
        <v>37</v>
      </c>
      <c r="C2853">
        <v>72</v>
      </c>
      <c r="D2853" t="s">
        <v>21</v>
      </c>
      <c r="E2853" t="s">
        <v>23</v>
      </c>
      <c r="F2853" t="s">
        <v>22</v>
      </c>
      <c r="G2853">
        <v>0</v>
      </c>
      <c r="H2853">
        <v>101</v>
      </c>
      <c r="I2853">
        <v>110</v>
      </c>
      <c r="J2853">
        <v>17.170000000000002</v>
      </c>
      <c r="K2853">
        <v>240</v>
      </c>
      <c r="L2853">
        <v>70</v>
      </c>
      <c r="M2853">
        <v>20.399999999999999</v>
      </c>
      <c r="N2853">
        <v>333.5</v>
      </c>
      <c r="O2853">
        <v>105</v>
      </c>
      <c r="P2853">
        <v>15.01</v>
      </c>
      <c r="Q2853">
        <v>11.1</v>
      </c>
      <c r="R2853">
        <v>6</v>
      </c>
      <c r="S2853">
        <v>3</v>
      </c>
      <c r="T2853">
        <v>0</v>
      </c>
      <c r="U2853" t="s">
        <v>22</v>
      </c>
      <c r="V2853" t="e">
        <f>IF(#REF! = "yes", 1, 0)</f>
        <v>#REF!</v>
      </c>
      <c r="W2853" t="e">
        <f>IF(#REF! &lt;= 1, "0-1 Calls", IF(#REF! &lt;= 3, "2-3 Calls", IF(#REF! &lt;=5, "4-5 Calls", "6+ Calls")))</f>
        <v>#REF!</v>
      </c>
      <c r="X2853" t="e">
        <f>IF(#REF! &lt;= 50, "0-50", IF(#REF! &lt;=100, "51-100", IF(#REF! &lt;= 150, "101-150", "151+")))</f>
        <v>#REF!</v>
      </c>
      <c r="Y2853" t="e">
        <f>IF(#REF! &lt;= 3, "Low Charges", "High Charges")</f>
        <v>#REF!</v>
      </c>
      <c r="Z2853" t="e">
        <f>IF(#REF!&lt;=80,"Low Calls",
IF(#REF!&lt;=120,"Medium Calls","High Calls"))</f>
        <v>#REF!</v>
      </c>
      <c r="AA2853" t="e">
        <f>IF(#REF!&lt;=15,"Low Charges",
IF(#REF!&lt;=20,"Medium Charges","High Charges"))</f>
        <v>#REF!</v>
      </c>
      <c r="AB2853" t="e">
        <f>IF(AND(#REF!&gt;180, #REF!&gt;200), "Heavy Doemstic User", IF(#REF!&gt;10, "Interntional User", IF(AND(#REF!&lt;180, #REF!&lt;200,#REF!&lt;200), "Light User", "Balanced User")))</f>
        <v>#REF!</v>
      </c>
      <c r="AC2853" t="e">
        <f>IF(#REF! = 0, "No Usage", IF(#REF! &lt;= 20, "Low Usage", IF(#REF! &lt;= 40, "Medium Usgae", "High Usage")))</f>
        <v>#REF!</v>
      </c>
      <c r="AD2853" t="e">
        <f>IF(#REF!&lt;=150,"Low Usage", IF(#REF!&lt;=200,"Medium Usage", IF(#REF!&lt;=250,"High Usage","Very High Usage")))</f>
        <v>#REF!</v>
      </c>
      <c r="AE2853" t="e">
        <f>IF(#REF!&lt;=5,"Low Calls", IF(#REF!&lt;=10, "Medium Calls", "High Calls"))</f>
        <v>#REF!</v>
      </c>
      <c r="AF2853" t="e">
        <f xml:space="preserve">
IF(#REF!&gt;=4,4,0)+
IF(#REF!="yes",3,0)+
IF(#REF!="High Charges",3,0)+
IF(#REF!&gt;250,4,0)+
IF(#REF!="no",1,0)+
IF(#REF!="Heavy Domestic User",2,0)</f>
        <v>#REF!</v>
      </c>
      <c r="AG2853" t="e">
        <f>IF(#REF!&gt;=10,"High Risk", IF(#REF!&gt;=5,"Medium Risk","Low Risk"))</f>
        <v>#REF!</v>
      </c>
      <c r="AH2853" t="e">
        <f>#REF! + #REF! + #REF! + #REF!</f>
        <v>#REF!</v>
      </c>
    </row>
    <row r="2854" spans="1:34" x14ac:dyDescent="0.35">
      <c r="A2854">
        <v>2853</v>
      </c>
      <c r="B2854" t="s">
        <v>44</v>
      </c>
      <c r="C2854">
        <v>115</v>
      </c>
      <c r="D2854" t="s">
        <v>21</v>
      </c>
      <c r="E2854" t="s">
        <v>23</v>
      </c>
      <c r="F2854" t="s">
        <v>23</v>
      </c>
      <c r="G2854">
        <v>6</v>
      </c>
      <c r="H2854">
        <v>140.1</v>
      </c>
      <c r="I2854">
        <v>125</v>
      </c>
      <c r="J2854">
        <v>23.82</v>
      </c>
      <c r="K2854">
        <v>157.9</v>
      </c>
      <c r="L2854">
        <v>100</v>
      </c>
      <c r="M2854">
        <v>13.42</v>
      </c>
      <c r="N2854">
        <v>249.4</v>
      </c>
      <c r="O2854">
        <v>96</v>
      </c>
      <c r="P2854">
        <v>11.22</v>
      </c>
      <c r="Q2854">
        <v>10.1</v>
      </c>
      <c r="R2854">
        <v>3</v>
      </c>
      <c r="S2854">
        <v>2.73</v>
      </c>
      <c r="T2854">
        <v>1</v>
      </c>
      <c r="U2854" t="s">
        <v>22</v>
      </c>
      <c r="V2854" t="e">
        <f>IF(#REF! = "yes", 1, 0)</f>
        <v>#REF!</v>
      </c>
      <c r="W2854" t="e">
        <f>IF(#REF! &lt;= 1, "0-1 Calls", IF(#REF! &lt;= 3, "2-3 Calls", IF(#REF! &lt;=5, "4-5 Calls", "6+ Calls")))</f>
        <v>#REF!</v>
      </c>
      <c r="X2854" t="e">
        <f>IF(#REF! &lt;= 50, "0-50", IF(#REF! &lt;=100, "51-100", IF(#REF! &lt;= 150, "101-150", "151+")))</f>
        <v>#REF!</v>
      </c>
      <c r="Y2854" t="e">
        <f>IF(#REF! &lt;= 3, "Low Charges", "High Charges")</f>
        <v>#REF!</v>
      </c>
      <c r="Z2854" t="e">
        <f>IF(#REF!&lt;=80,"Low Calls",
IF(#REF!&lt;=120,"Medium Calls","High Calls"))</f>
        <v>#REF!</v>
      </c>
      <c r="AA2854" t="e">
        <f>IF(#REF!&lt;=15,"Low Charges",
IF(#REF!&lt;=20,"Medium Charges","High Charges"))</f>
        <v>#REF!</v>
      </c>
      <c r="AB2854" t="e">
        <f>IF(AND(#REF!&gt;180, #REF!&gt;200), "Heavy Doemstic User", IF(#REF!&gt;10, "Interntional User", IF(AND(#REF!&lt;180, #REF!&lt;200,#REF!&lt;200), "Light User", "Balanced User")))</f>
        <v>#REF!</v>
      </c>
      <c r="AC2854" t="e">
        <f>IF(#REF! = 0, "No Usage", IF(#REF! &lt;= 20, "Low Usage", IF(#REF! &lt;= 40, "Medium Usgae", "High Usage")))</f>
        <v>#REF!</v>
      </c>
      <c r="AD2854" t="e">
        <f>IF(#REF!&lt;=150,"Low Usage", IF(#REF!&lt;=200,"Medium Usage", IF(#REF!&lt;=250,"High Usage","Very High Usage")))</f>
        <v>#REF!</v>
      </c>
      <c r="AE2854" t="e">
        <f>IF(#REF!&lt;=5,"Low Calls", IF(#REF!&lt;=10, "Medium Calls", "High Calls"))</f>
        <v>#REF!</v>
      </c>
      <c r="AF2854" t="e">
        <f xml:space="preserve">
IF(#REF!&gt;=4,4,0)+
IF(#REF!="yes",3,0)+
IF(#REF!="High Charges",3,0)+
IF(#REF!&gt;250,4,0)+
IF(#REF!="no",1,0)+
IF(#REF!="Heavy Domestic User",2,0)</f>
        <v>#REF!</v>
      </c>
      <c r="AG2854" t="e">
        <f>IF(#REF!&gt;=10,"High Risk", IF(#REF!&gt;=5,"Medium Risk","Low Risk"))</f>
        <v>#REF!</v>
      </c>
      <c r="AH2854" t="e">
        <f>#REF! + #REF! + #REF! + #REF!</f>
        <v>#REF!</v>
      </c>
    </row>
    <row r="2855" spans="1:34" x14ac:dyDescent="0.35">
      <c r="A2855">
        <v>2854</v>
      </c>
      <c r="B2855" t="s">
        <v>49</v>
      </c>
      <c r="C2855">
        <v>68</v>
      </c>
      <c r="D2855" t="s">
        <v>25</v>
      </c>
      <c r="E2855" t="s">
        <v>22</v>
      </c>
      <c r="F2855" t="s">
        <v>22</v>
      </c>
      <c r="G2855">
        <v>0</v>
      </c>
      <c r="H2855">
        <v>150.4</v>
      </c>
      <c r="I2855">
        <v>106</v>
      </c>
      <c r="J2855">
        <v>25.57</v>
      </c>
      <c r="K2855">
        <v>199</v>
      </c>
      <c r="L2855">
        <v>131</v>
      </c>
      <c r="M2855">
        <v>16.920000000000002</v>
      </c>
      <c r="N2855">
        <v>109.7</v>
      </c>
      <c r="O2855">
        <v>103</v>
      </c>
      <c r="P2855">
        <v>4.9400000000000004</v>
      </c>
      <c r="Q2855">
        <v>12.3</v>
      </c>
      <c r="R2855">
        <v>3</v>
      </c>
      <c r="S2855">
        <v>3.32</v>
      </c>
      <c r="T2855">
        <v>3</v>
      </c>
      <c r="U2855" t="s">
        <v>22</v>
      </c>
      <c r="V2855" t="e">
        <f>IF(#REF! = "yes", 1, 0)</f>
        <v>#REF!</v>
      </c>
      <c r="W2855" t="e">
        <f>IF(#REF! &lt;= 1, "0-1 Calls", IF(#REF! &lt;= 3, "2-3 Calls", IF(#REF! &lt;=5, "4-5 Calls", "6+ Calls")))</f>
        <v>#REF!</v>
      </c>
      <c r="X2855" t="e">
        <f>IF(#REF! &lt;= 50, "0-50", IF(#REF! &lt;=100, "51-100", IF(#REF! &lt;= 150, "101-150", "151+")))</f>
        <v>#REF!</v>
      </c>
      <c r="Y2855" t="e">
        <f>IF(#REF! &lt;= 3, "Low Charges", "High Charges")</f>
        <v>#REF!</v>
      </c>
      <c r="Z2855" t="e">
        <f>IF(#REF!&lt;=80,"Low Calls",
IF(#REF!&lt;=120,"Medium Calls","High Calls"))</f>
        <v>#REF!</v>
      </c>
      <c r="AA2855" t="e">
        <f>IF(#REF!&lt;=15,"Low Charges",
IF(#REF!&lt;=20,"Medium Charges","High Charges"))</f>
        <v>#REF!</v>
      </c>
      <c r="AB2855" t="e">
        <f>IF(AND(#REF!&gt;180, #REF!&gt;200), "Heavy Doemstic User", IF(#REF!&gt;10, "Interntional User", IF(AND(#REF!&lt;180, #REF!&lt;200,#REF!&lt;200), "Light User", "Balanced User")))</f>
        <v>#REF!</v>
      </c>
      <c r="AC2855" t="e">
        <f>IF(#REF! = 0, "No Usage", IF(#REF! &lt;= 20, "Low Usage", IF(#REF! &lt;= 40, "Medium Usgae", "High Usage")))</f>
        <v>#REF!</v>
      </c>
      <c r="AD2855" t="e">
        <f>IF(#REF!&lt;=150,"Low Usage", IF(#REF!&lt;=200,"Medium Usage", IF(#REF!&lt;=250,"High Usage","Very High Usage")))</f>
        <v>#REF!</v>
      </c>
      <c r="AE2855" t="e">
        <f>IF(#REF!&lt;=5,"Low Calls", IF(#REF!&lt;=10, "Medium Calls", "High Calls"))</f>
        <v>#REF!</v>
      </c>
      <c r="AF2855" t="e">
        <f xml:space="preserve">
IF(#REF!&gt;=4,4,0)+
IF(#REF!="yes",3,0)+
IF(#REF!="High Charges",3,0)+
IF(#REF!&gt;250,4,0)+
IF(#REF!="no",1,0)+
IF(#REF!="Heavy Domestic User",2,0)</f>
        <v>#REF!</v>
      </c>
      <c r="AG2855" t="e">
        <f>IF(#REF!&gt;=10,"High Risk", IF(#REF!&gt;=5,"Medium Risk","Low Risk"))</f>
        <v>#REF!</v>
      </c>
      <c r="AH2855" t="e">
        <f>#REF! + #REF! + #REF! + #REF!</f>
        <v>#REF!</v>
      </c>
    </row>
    <row r="2856" spans="1:34" x14ac:dyDescent="0.35">
      <c r="A2856">
        <v>2855</v>
      </c>
      <c r="B2856" t="s">
        <v>42</v>
      </c>
      <c r="C2856">
        <v>97</v>
      </c>
      <c r="D2856" t="s">
        <v>21</v>
      </c>
      <c r="E2856" t="s">
        <v>22</v>
      </c>
      <c r="F2856" t="s">
        <v>22</v>
      </c>
      <c r="G2856">
        <v>0</v>
      </c>
      <c r="H2856">
        <v>100.8</v>
      </c>
      <c r="I2856">
        <v>74</v>
      </c>
      <c r="J2856">
        <v>17.14</v>
      </c>
      <c r="K2856">
        <v>233.8</v>
      </c>
      <c r="L2856">
        <v>88</v>
      </c>
      <c r="M2856">
        <v>19.87</v>
      </c>
      <c r="N2856">
        <v>208.7</v>
      </c>
      <c r="O2856">
        <v>79</v>
      </c>
      <c r="P2856">
        <v>9.39</v>
      </c>
      <c r="Q2856">
        <v>12.6</v>
      </c>
      <c r="R2856">
        <v>3</v>
      </c>
      <c r="S2856">
        <v>3.4</v>
      </c>
      <c r="T2856">
        <v>2</v>
      </c>
      <c r="U2856" t="s">
        <v>22</v>
      </c>
      <c r="V2856" t="e">
        <f>IF(#REF! = "yes", 1, 0)</f>
        <v>#REF!</v>
      </c>
      <c r="W2856" t="e">
        <f>IF(#REF! &lt;= 1, "0-1 Calls", IF(#REF! &lt;= 3, "2-3 Calls", IF(#REF! &lt;=5, "4-5 Calls", "6+ Calls")))</f>
        <v>#REF!</v>
      </c>
      <c r="X2856" t="e">
        <f>IF(#REF! &lt;= 50, "0-50", IF(#REF! &lt;=100, "51-100", IF(#REF! &lt;= 150, "101-150", "151+")))</f>
        <v>#REF!</v>
      </c>
      <c r="Y2856" t="e">
        <f>IF(#REF! &lt;= 3, "Low Charges", "High Charges")</f>
        <v>#REF!</v>
      </c>
      <c r="Z2856" t="e">
        <f>IF(#REF!&lt;=80,"Low Calls",
IF(#REF!&lt;=120,"Medium Calls","High Calls"))</f>
        <v>#REF!</v>
      </c>
      <c r="AA2856" t="e">
        <f>IF(#REF!&lt;=15,"Low Charges",
IF(#REF!&lt;=20,"Medium Charges","High Charges"))</f>
        <v>#REF!</v>
      </c>
      <c r="AB2856" t="e">
        <f>IF(AND(#REF!&gt;180, #REF!&gt;200), "Heavy Doemstic User", IF(#REF!&gt;10, "Interntional User", IF(AND(#REF!&lt;180, #REF!&lt;200,#REF!&lt;200), "Light User", "Balanced User")))</f>
        <v>#REF!</v>
      </c>
      <c r="AC2856" t="e">
        <f>IF(#REF! = 0, "No Usage", IF(#REF! &lt;= 20, "Low Usage", IF(#REF! &lt;= 40, "Medium Usgae", "High Usage")))</f>
        <v>#REF!</v>
      </c>
      <c r="AD2856" t="e">
        <f>IF(#REF!&lt;=150,"Low Usage", IF(#REF!&lt;=200,"Medium Usage", IF(#REF!&lt;=250,"High Usage","Very High Usage")))</f>
        <v>#REF!</v>
      </c>
      <c r="AE2856" t="e">
        <f>IF(#REF!&lt;=5,"Low Calls", IF(#REF!&lt;=10, "Medium Calls", "High Calls"))</f>
        <v>#REF!</v>
      </c>
      <c r="AF2856" t="e">
        <f xml:space="preserve">
IF(#REF!&gt;=4,4,0)+
IF(#REF!="yes",3,0)+
IF(#REF!="High Charges",3,0)+
IF(#REF!&gt;250,4,0)+
IF(#REF!="no",1,0)+
IF(#REF!="Heavy Domestic User",2,0)</f>
        <v>#REF!</v>
      </c>
      <c r="AG2856" t="e">
        <f>IF(#REF!&gt;=10,"High Risk", IF(#REF!&gt;=5,"Medium Risk","Low Risk"))</f>
        <v>#REF!</v>
      </c>
      <c r="AH2856" t="e">
        <f>#REF! + #REF! + #REF! + #REF!</f>
        <v>#REF!</v>
      </c>
    </row>
    <row r="2857" spans="1:34" x14ac:dyDescent="0.35">
      <c r="A2857">
        <v>2856</v>
      </c>
      <c r="B2857" t="s">
        <v>34</v>
      </c>
      <c r="C2857">
        <v>92</v>
      </c>
      <c r="D2857" t="s">
        <v>21</v>
      </c>
      <c r="E2857" t="s">
        <v>22</v>
      </c>
      <c r="F2857" t="s">
        <v>22</v>
      </c>
      <c r="G2857">
        <v>0</v>
      </c>
      <c r="H2857">
        <v>138.1</v>
      </c>
      <c r="I2857">
        <v>131</v>
      </c>
      <c r="J2857">
        <v>23.48</v>
      </c>
      <c r="K2857">
        <v>175.7</v>
      </c>
      <c r="L2857">
        <v>128</v>
      </c>
      <c r="M2857">
        <v>14.93</v>
      </c>
      <c r="N2857">
        <v>192.7</v>
      </c>
      <c r="O2857">
        <v>119</v>
      </c>
      <c r="P2857">
        <v>8.67</v>
      </c>
      <c r="Q2857">
        <v>10</v>
      </c>
      <c r="R2857">
        <v>3</v>
      </c>
      <c r="S2857">
        <v>2.7</v>
      </c>
      <c r="T2857">
        <v>3</v>
      </c>
      <c r="U2857" t="s">
        <v>22</v>
      </c>
      <c r="V2857" t="e">
        <f>IF(#REF! = "yes", 1, 0)</f>
        <v>#REF!</v>
      </c>
      <c r="W2857" t="e">
        <f>IF(#REF! &lt;= 1, "0-1 Calls", IF(#REF! &lt;= 3, "2-3 Calls", IF(#REF! &lt;=5, "4-5 Calls", "6+ Calls")))</f>
        <v>#REF!</v>
      </c>
      <c r="X2857" t="e">
        <f>IF(#REF! &lt;= 50, "0-50", IF(#REF! &lt;=100, "51-100", IF(#REF! &lt;= 150, "101-150", "151+")))</f>
        <v>#REF!</v>
      </c>
      <c r="Y2857" t="e">
        <f>IF(#REF! &lt;= 3, "Low Charges", "High Charges")</f>
        <v>#REF!</v>
      </c>
      <c r="Z2857" t="e">
        <f>IF(#REF!&lt;=80,"Low Calls",
IF(#REF!&lt;=120,"Medium Calls","High Calls"))</f>
        <v>#REF!</v>
      </c>
      <c r="AA2857" t="e">
        <f>IF(#REF!&lt;=15,"Low Charges",
IF(#REF!&lt;=20,"Medium Charges","High Charges"))</f>
        <v>#REF!</v>
      </c>
      <c r="AB2857" t="e">
        <f>IF(AND(#REF!&gt;180, #REF!&gt;200), "Heavy Doemstic User", IF(#REF!&gt;10, "Interntional User", IF(AND(#REF!&lt;180, #REF!&lt;200,#REF!&lt;200), "Light User", "Balanced User")))</f>
        <v>#REF!</v>
      </c>
      <c r="AC2857" t="e">
        <f>IF(#REF! = 0, "No Usage", IF(#REF! &lt;= 20, "Low Usage", IF(#REF! &lt;= 40, "Medium Usgae", "High Usage")))</f>
        <v>#REF!</v>
      </c>
      <c r="AD2857" t="e">
        <f>IF(#REF!&lt;=150,"Low Usage", IF(#REF!&lt;=200,"Medium Usage", IF(#REF!&lt;=250,"High Usage","Very High Usage")))</f>
        <v>#REF!</v>
      </c>
      <c r="AE2857" t="e">
        <f>IF(#REF!&lt;=5,"Low Calls", IF(#REF!&lt;=10, "Medium Calls", "High Calls"))</f>
        <v>#REF!</v>
      </c>
      <c r="AF2857" t="e">
        <f xml:space="preserve">
IF(#REF!&gt;=4,4,0)+
IF(#REF!="yes",3,0)+
IF(#REF!="High Charges",3,0)+
IF(#REF!&gt;250,4,0)+
IF(#REF!="no",1,0)+
IF(#REF!="Heavy Domestic User",2,0)</f>
        <v>#REF!</v>
      </c>
      <c r="AG2857" t="e">
        <f>IF(#REF!&gt;=10,"High Risk", IF(#REF!&gt;=5,"Medium Risk","Low Risk"))</f>
        <v>#REF!</v>
      </c>
      <c r="AH2857" t="e">
        <f>#REF! + #REF! + #REF! + #REF!</f>
        <v>#REF!</v>
      </c>
    </row>
    <row r="2858" spans="1:34" x14ac:dyDescent="0.35">
      <c r="A2858">
        <v>2857</v>
      </c>
      <c r="B2858" t="s">
        <v>70</v>
      </c>
      <c r="C2858">
        <v>90</v>
      </c>
      <c r="D2858" t="s">
        <v>21</v>
      </c>
      <c r="E2858" t="s">
        <v>22</v>
      </c>
      <c r="F2858" t="s">
        <v>23</v>
      </c>
      <c r="G2858">
        <v>30</v>
      </c>
      <c r="H2858">
        <v>191.3</v>
      </c>
      <c r="I2858">
        <v>104</v>
      </c>
      <c r="J2858">
        <v>32.520000000000003</v>
      </c>
      <c r="K2858">
        <v>257.10000000000002</v>
      </c>
      <c r="L2858">
        <v>109</v>
      </c>
      <c r="M2858">
        <v>21.85</v>
      </c>
      <c r="N2858">
        <v>177.7</v>
      </c>
      <c r="O2858">
        <v>89</v>
      </c>
      <c r="P2858">
        <v>8</v>
      </c>
      <c r="Q2858">
        <v>11</v>
      </c>
      <c r="R2858">
        <v>1</v>
      </c>
      <c r="S2858">
        <v>2.97</v>
      </c>
      <c r="T2858">
        <v>1</v>
      </c>
      <c r="U2858" t="s">
        <v>22</v>
      </c>
      <c r="V2858" t="e">
        <f>IF(#REF! = "yes", 1, 0)</f>
        <v>#REF!</v>
      </c>
      <c r="W2858" t="e">
        <f>IF(#REF! &lt;= 1, "0-1 Calls", IF(#REF! &lt;= 3, "2-3 Calls", IF(#REF! &lt;=5, "4-5 Calls", "6+ Calls")))</f>
        <v>#REF!</v>
      </c>
      <c r="X2858" t="e">
        <f>IF(#REF! &lt;= 50, "0-50", IF(#REF! &lt;=100, "51-100", IF(#REF! &lt;= 150, "101-150", "151+")))</f>
        <v>#REF!</v>
      </c>
      <c r="Y2858" t="e">
        <f>IF(#REF! &lt;= 3, "Low Charges", "High Charges")</f>
        <v>#REF!</v>
      </c>
      <c r="Z2858" t="e">
        <f>IF(#REF!&lt;=80,"Low Calls",
IF(#REF!&lt;=120,"Medium Calls","High Calls"))</f>
        <v>#REF!</v>
      </c>
      <c r="AA2858" t="e">
        <f>IF(#REF!&lt;=15,"Low Charges",
IF(#REF!&lt;=20,"Medium Charges","High Charges"))</f>
        <v>#REF!</v>
      </c>
      <c r="AB2858" t="e">
        <f>IF(AND(#REF!&gt;180, #REF!&gt;200), "Heavy Doemstic User", IF(#REF!&gt;10, "Interntional User", IF(AND(#REF!&lt;180, #REF!&lt;200,#REF!&lt;200), "Light User", "Balanced User")))</f>
        <v>#REF!</v>
      </c>
      <c r="AC2858" t="e">
        <f>IF(#REF! = 0, "No Usage", IF(#REF! &lt;= 20, "Low Usage", IF(#REF! &lt;= 40, "Medium Usgae", "High Usage")))</f>
        <v>#REF!</v>
      </c>
      <c r="AD2858" t="e">
        <f>IF(#REF!&lt;=150,"Low Usage", IF(#REF!&lt;=200,"Medium Usage", IF(#REF!&lt;=250,"High Usage","Very High Usage")))</f>
        <v>#REF!</v>
      </c>
      <c r="AE2858" t="e">
        <f>IF(#REF!&lt;=5,"Low Calls", IF(#REF!&lt;=10, "Medium Calls", "High Calls"))</f>
        <v>#REF!</v>
      </c>
      <c r="AF2858" t="e">
        <f xml:space="preserve">
IF(#REF!&gt;=4,4,0)+
IF(#REF!="yes",3,0)+
IF(#REF!="High Charges",3,0)+
IF(#REF!&gt;250,4,0)+
IF(#REF!="no",1,0)+
IF(#REF!="Heavy Domestic User",2,0)</f>
        <v>#REF!</v>
      </c>
      <c r="AG2858" t="e">
        <f>IF(#REF!&gt;=10,"High Risk", IF(#REF!&gt;=5,"Medium Risk","Low Risk"))</f>
        <v>#REF!</v>
      </c>
      <c r="AH2858" t="e">
        <f>#REF! + #REF! + #REF! + #REF!</f>
        <v>#REF!</v>
      </c>
    </row>
    <row r="2859" spans="1:34" x14ac:dyDescent="0.35">
      <c r="A2859">
        <v>2858</v>
      </c>
      <c r="B2859" t="s">
        <v>67</v>
      </c>
      <c r="C2859">
        <v>72</v>
      </c>
      <c r="D2859" t="s">
        <v>28</v>
      </c>
      <c r="E2859" t="s">
        <v>22</v>
      </c>
      <c r="F2859" t="s">
        <v>22</v>
      </c>
      <c r="G2859">
        <v>0</v>
      </c>
      <c r="H2859">
        <v>168.3</v>
      </c>
      <c r="I2859">
        <v>76</v>
      </c>
      <c r="J2859">
        <v>28.61</v>
      </c>
      <c r="K2859">
        <v>212.4</v>
      </c>
      <c r="L2859">
        <v>126</v>
      </c>
      <c r="M2859">
        <v>18.05</v>
      </c>
      <c r="N2859">
        <v>200.2</v>
      </c>
      <c r="O2859">
        <v>132</v>
      </c>
      <c r="P2859">
        <v>9.01</v>
      </c>
      <c r="Q2859">
        <v>12</v>
      </c>
      <c r="R2859">
        <v>3</v>
      </c>
      <c r="S2859">
        <v>3.24</v>
      </c>
      <c r="T2859">
        <v>2</v>
      </c>
      <c r="U2859" t="s">
        <v>22</v>
      </c>
      <c r="V2859" t="e">
        <f>IF(#REF! = "yes", 1, 0)</f>
        <v>#REF!</v>
      </c>
      <c r="W2859" t="e">
        <f>IF(#REF! &lt;= 1, "0-1 Calls", IF(#REF! &lt;= 3, "2-3 Calls", IF(#REF! &lt;=5, "4-5 Calls", "6+ Calls")))</f>
        <v>#REF!</v>
      </c>
      <c r="X2859" t="e">
        <f>IF(#REF! &lt;= 50, "0-50", IF(#REF! &lt;=100, "51-100", IF(#REF! &lt;= 150, "101-150", "151+")))</f>
        <v>#REF!</v>
      </c>
      <c r="Y2859" t="e">
        <f>IF(#REF! &lt;= 3, "Low Charges", "High Charges")</f>
        <v>#REF!</v>
      </c>
      <c r="Z2859" t="e">
        <f>IF(#REF!&lt;=80,"Low Calls",
IF(#REF!&lt;=120,"Medium Calls","High Calls"))</f>
        <v>#REF!</v>
      </c>
      <c r="AA2859" t="e">
        <f>IF(#REF!&lt;=15,"Low Charges",
IF(#REF!&lt;=20,"Medium Charges","High Charges"))</f>
        <v>#REF!</v>
      </c>
      <c r="AB2859" t="e">
        <f>IF(AND(#REF!&gt;180, #REF!&gt;200), "Heavy Doemstic User", IF(#REF!&gt;10, "Interntional User", IF(AND(#REF!&lt;180, #REF!&lt;200,#REF!&lt;200), "Light User", "Balanced User")))</f>
        <v>#REF!</v>
      </c>
      <c r="AC2859" t="e">
        <f>IF(#REF! = 0, "No Usage", IF(#REF! &lt;= 20, "Low Usage", IF(#REF! &lt;= 40, "Medium Usgae", "High Usage")))</f>
        <v>#REF!</v>
      </c>
      <c r="AD2859" t="e">
        <f>IF(#REF!&lt;=150,"Low Usage", IF(#REF!&lt;=200,"Medium Usage", IF(#REF!&lt;=250,"High Usage","Very High Usage")))</f>
        <v>#REF!</v>
      </c>
      <c r="AE2859" t="e">
        <f>IF(#REF!&lt;=5,"Low Calls", IF(#REF!&lt;=10, "Medium Calls", "High Calls"))</f>
        <v>#REF!</v>
      </c>
      <c r="AF2859" t="e">
        <f xml:space="preserve">
IF(#REF!&gt;=4,4,0)+
IF(#REF!="yes",3,0)+
IF(#REF!="High Charges",3,0)+
IF(#REF!&gt;250,4,0)+
IF(#REF!="no",1,0)+
IF(#REF!="Heavy Domestic User",2,0)</f>
        <v>#REF!</v>
      </c>
      <c r="AG2859" t="e">
        <f>IF(#REF!&gt;=10,"High Risk", IF(#REF!&gt;=5,"Medium Risk","Low Risk"))</f>
        <v>#REF!</v>
      </c>
      <c r="AH2859" t="e">
        <f>#REF! + #REF! + #REF! + #REF!</f>
        <v>#REF!</v>
      </c>
    </row>
    <row r="2860" spans="1:34" x14ac:dyDescent="0.35">
      <c r="A2860">
        <v>2859</v>
      </c>
      <c r="B2860" t="s">
        <v>56</v>
      </c>
      <c r="C2860">
        <v>73</v>
      </c>
      <c r="D2860" t="s">
        <v>21</v>
      </c>
      <c r="E2860" t="s">
        <v>22</v>
      </c>
      <c r="F2860" t="s">
        <v>22</v>
      </c>
      <c r="G2860">
        <v>0</v>
      </c>
      <c r="H2860">
        <v>137.6</v>
      </c>
      <c r="I2860">
        <v>113</v>
      </c>
      <c r="J2860">
        <v>23.39</v>
      </c>
      <c r="K2860">
        <v>179.7</v>
      </c>
      <c r="L2860">
        <v>75</v>
      </c>
      <c r="M2860">
        <v>15.27</v>
      </c>
      <c r="N2860">
        <v>172.8</v>
      </c>
      <c r="O2860">
        <v>71</v>
      </c>
      <c r="P2860">
        <v>7.78</v>
      </c>
      <c r="Q2860">
        <v>10.7</v>
      </c>
      <c r="R2860">
        <v>2</v>
      </c>
      <c r="S2860">
        <v>2.89</v>
      </c>
      <c r="T2860">
        <v>1</v>
      </c>
      <c r="U2860" t="s">
        <v>23</v>
      </c>
      <c r="V2860" t="e">
        <f>IF(#REF! = "yes", 1, 0)</f>
        <v>#REF!</v>
      </c>
      <c r="W2860" t="e">
        <f>IF(#REF! &lt;= 1, "0-1 Calls", IF(#REF! &lt;= 3, "2-3 Calls", IF(#REF! &lt;=5, "4-5 Calls", "6+ Calls")))</f>
        <v>#REF!</v>
      </c>
      <c r="X2860" t="e">
        <f>IF(#REF! &lt;= 50, "0-50", IF(#REF! &lt;=100, "51-100", IF(#REF! &lt;= 150, "101-150", "151+")))</f>
        <v>#REF!</v>
      </c>
      <c r="Y2860" t="e">
        <f>IF(#REF! &lt;= 3, "Low Charges", "High Charges")</f>
        <v>#REF!</v>
      </c>
      <c r="Z2860" t="e">
        <f>IF(#REF!&lt;=80,"Low Calls",
IF(#REF!&lt;=120,"Medium Calls","High Calls"))</f>
        <v>#REF!</v>
      </c>
      <c r="AA2860" t="e">
        <f>IF(#REF!&lt;=15,"Low Charges",
IF(#REF!&lt;=20,"Medium Charges","High Charges"))</f>
        <v>#REF!</v>
      </c>
      <c r="AB2860" t="e">
        <f>IF(AND(#REF!&gt;180, #REF!&gt;200), "Heavy Doemstic User", IF(#REF!&gt;10, "Interntional User", IF(AND(#REF!&lt;180, #REF!&lt;200,#REF!&lt;200), "Light User", "Balanced User")))</f>
        <v>#REF!</v>
      </c>
      <c r="AC2860" t="e">
        <f>IF(#REF! = 0, "No Usage", IF(#REF! &lt;= 20, "Low Usage", IF(#REF! &lt;= 40, "Medium Usgae", "High Usage")))</f>
        <v>#REF!</v>
      </c>
      <c r="AD2860" t="e">
        <f>IF(#REF!&lt;=150,"Low Usage", IF(#REF!&lt;=200,"Medium Usage", IF(#REF!&lt;=250,"High Usage","Very High Usage")))</f>
        <v>#REF!</v>
      </c>
      <c r="AE2860" t="e">
        <f>IF(#REF!&lt;=5,"Low Calls", IF(#REF!&lt;=10, "Medium Calls", "High Calls"))</f>
        <v>#REF!</v>
      </c>
      <c r="AF2860" t="e">
        <f xml:space="preserve">
IF(#REF!&gt;=4,4,0)+
IF(#REF!="yes",3,0)+
IF(#REF!="High Charges",3,0)+
IF(#REF!&gt;250,4,0)+
IF(#REF!="no",1,0)+
IF(#REF!="Heavy Domestic User",2,0)</f>
        <v>#REF!</v>
      </c>
      <c r="AG2860" t="e">
        <f>IF(#REF!&gt;=10,"High Risk", IF(#REF!&gt;=5,"Medium Risk","Low Risk"))</f>
        <v>#REF!</v>
      </c>
      <c r="AH2860" t="e">
        <f>#REF! + #REF! + #REF! + #REF!</f>
        <v>#REF!</v>
      </c>
    </row>
    <row r="2861" spans="1:34" x14ac:dyDescent="0.35">
      <c r="A2861">
        <v>2860</v>
      </c>
      <c r="B2861" t="s">
        <v>20</v>
      </c>
      <c r="C2861">
        <v>54</v>
      </c>
      <c r="D2861" t="s">
        <v>21</v>
      </c>
      <c r="E2861" t="s">
        <v>22</v>
      </c>
      <c r="F2861" t="s">
        <v>22</v>
      </c>
      <c r="G2861">
        <v>0</v>
      </c>
      <c r="H2861">
        <v>255.4</v>
      </c>
      <c r="I2861">
        <v>122</v>
      </c>
      <c r="J2861">
        <v>43.42</v>
      </c>
      <c r="K2861">
        <v>22.3</v>
      </c>
      <c r="L2861">
        <v>87</v>
      </c>
      <c r="M2861">
        <v>1.9</v>
      </c>
      <c r="N2861">
        <v>152.6</v>
      </c>
      <c r="O2861">
        <v>72</v>
      </c>
      <c r="P2861">
        <v>6.87</v>
      </c>
      <c r="Q2861">
        <v>11.1</v>
      </c>
      <c r="R2861">
        <v>6</v>
      </c>
      <c r="S2861">
        <v>3</v>
      </c>
      <c r="T2861">
        <v>0</v>
      </c>
      <c r="U2861" t="s">
        <v>22</v>
      </c>
      <c r="V2861" t="e">
        <f>IF(#REF! = "yes", 1, 0)</f>
        <v>#REF!</v>
      </c>
      <c r="W2861" t="e">
        <f>IF(#REF! &lt;= 1, "0-1 Calls", IF(#REF! &lt;= 3, "2-3 Calls", IF(#REF! &lt;=5, "4-5 Calls", "6+ Calls")))</f>
        <v>#REF!</v>
      </c>
      <c r="X2861" t="e">
        <f>IF(#REF! &lt;= 50, "0-50", IF(#REF! &lt;=100, "51-100", IF(#REF! &lt;= 150, "101-150", "151+")))</f>
        <v>#REF!</v>
      </c>
      <c r="Y2861" t="e">
        <f>IF(#REF! &lt;= 3, "Low Charges", "High Charges")</f>
        <v>#REF!</v>
      </c>
      <c r="Z2861" t="e">
        <f>IF(#REF!&lt;=80,"Low Calls",
IF(#REF!&lt;=120,"Medium Calls","High Calls"))</f>
        <v>#REF!</v>
      </c>
      <c r="AA2861" t="e">
        <f>IF(#REF!&lt;=15,"Low Charges",
IF(#REF!&lt;=20,"Medium Charges","High Charges"))</f>
        <v>#REF!</v>
      </c>
      <c r="AB2861" t="e">
        <f>IF(AND(#REF!&gt;180, #REF!&gt;200), "Heavy Doemstic User", IF(#REF!&gt;10, "Interntional User", IF(AND(#REF!&lt;180, #REF!&lt;200,#REF!&lt;200), "Light User", "Balanced User")))</f>
        <v>#REF!</v>
      </c>
      <c r="AC2861" t="e">
        <f>IF(#REF! = 0, "No Usage", IF(#REF! &lt;= 20, "Low Usage", IF(#REF! &lt;= 40, "Medium Usgae", "High Usage")))</f>
        <v>#REF!</v>
      </c>
      <c r="AD2861" t="e">
        <f>IF(#REF!&lt;=150,"Low Usage", IF(#REF!&lt;=200,"Medium Usage", IF(#REF!&lt;=250,"High Usage","Very High Usage")))</f>
        <v>#REF!</v>
      </c>
      <c r="AE2861" t="e">
        <f>IF(#REF!&lt;=5,"Low Calls", IF(#REF!&lt;=10, "Medium Calls", "High Calls"))</f>
        <v>#REF!</v>
      </c>
      <c r="AF2861" t="e">
        <f xml:space="preserve">
IF(#REF!&gt;=4,4,0)+
IF(#REF!="yes",3,0)+
IF(#REF!="High Charges",3,0)+
IF(#REF!&gt;250,4,0)+
IF(#REF!="no",1,0)+
IF(#REF!="Heavy Domestic User",2,0)</f>
        <v>#REF!</v>
      </c>
      <c r="AG2861" t="e">
        <f>IF(#REF!&gt;=10,"High Risk", IF(#REF!&gt;=5,"Medium Risk","Low Risk"))</f>
        <v>#REF!</v>
      </c>
      <c r="AH2861" t="e">
        <f>#REF! + #REF! + #REF! + #REF!</f>
        <v>#REF!</v>
      </c>
    </row>
    <row r="2862" spans="1:34" x14ac:dyDescent="0.35">
      <c r="A2862">
        <v>2861</v>
      </c>
      <c r="B2862" t="s">
        <v>69</v>
      </c>
      <c r="C2862">
        <v>161</v>
      </c>
      <c r="D2862" t="s">
        <v>21</v>
      </c>
      <c r="E2862" t="s">
        <v>22</v>
      </c>
      <c r="F2862" t="s">
        <v>22</v>
      </c>
      <c r="G2862">
        <v>0</v>
      </c>
      <c r="H2862">
        <v>166.2</v>
      </c>
      <c r="I2862">
        <v>125</v>
      </c>
      <c r="J2862">
        <v>28.25</v>
      </c>
      <c r="K2862">
        <v>279.39999999999998</v>
      </c>
      <c r="L2862">
        <v>78</v>
      </c>
      <c r="M2862">
        <v>23.75</v>
      </c>
      <c r="N2862">
        <v>181</v>
      </c>
      <c r="O2862">
        <v>85</v>
      </c>
      <c r="P2862">
        <v>8.15</v>
      </c>
      <c r="Q2862">
        <v>13.4</v>
      </c>
      <c r="R2862">
        <v>6</v>
      </c>
      <c r="S2862">
        <v>3.62</v>
      </c>
      <c r="T2862">
        <v>1</v>
      </c>
      <c r="U2862" t="s">
        <v>22</v>
      </c>
      <c r="V2862" t="e">
        <f>IF(#REF! = "yes", 1, 0)</f>
        <v>#REF!</v>
      </c>
      <c r="W2862" t="e">
        <f>IF(#REF! &lt;= 1, "0-1 Calls", IF(#REF! &lt;= 3, "2-3 Calls", IF(#REF! &lt;=5, "4-5 Calls", "6+ Calls")))</f>
        <v>#REF!</v>
      </c>
      <c r="X2862" t="e">
        <f>IF(#REF! &lt;= 50, "0-50", IF(#REF! &lt;=100, "51-100", IF(#REF! &lt;= 150, "101-150", "151+")))</f>
        <v>#REF!</v>
      </c>
      <c r="Y2862" t="e">
        <f>IF(#REF! &lt;= 3, "Low Charges", "High Charges")</f>
        <v>#REF!</v>
      </c>
      <c r="Z2862" t="e">
        <f>IF(#REF!&lt;=80,"Low Calls",
IF(#REF!&lt;=120,"Medium Calls","High Calls"))</f>
        <v>#REF!</v>
      </c>
      <c r="AA2862" t="e">
        <f>IF(#REF!&lt;=15,"Low Charges",
IF(#REF!&lt;=20,"Medium Charges","High Charges"))</f>
        <v>#REF!</v>
      </c>
      <c r="AB2862" t="e">
        <f>IF(AND(#REF!&gt;180, #REF!&gt;200), "Heavy Doemstic User", IF(#REF!&gt;10, "Interntional User", IF(AND(#REF!&lt;180, #REF!&lt;200,#REF!&lt;200), "Light User", "Balanced User")))</f>
        <v>#REF!</v>
      </c>
      <c r="AC2862" t="e">
        <f>IF(#REF! = 0, "No Usage", IF(#REF! &lt;= 20, "Low Usage", IF(#REF! &lt;= 40, "Medium Usgae", "High Usage")))</f>
        <v>#REF!</v>
      </c>
      <c r="AD2862" t="e">
        <f>IF(#REF!&lt;=150,"Low Usage", IF(#REF!&lt;=200,"Medium Usage", IF(#REF!&lt;=250,"High Usage","Very High Usage")))</f>
        <v>#REF!</v>
      </c>
      <c r="AE2862" t="e">
        <f>IF(#REF!&lt;=5,"Low Calls", IF(#REF!&lt;=10, "Medium Calls", "High Calls"))</f>
        <v>#REF!</v>
      </c>
      <c r="AF2862" t="e">
        <f xml:space="preserve">
IF(#REF!&gt;=4,4,0)+
IF(#REF!="yes",3,0)+
IF(#REF!="High Charges",3,0)+
IF(#REF!&gt;250,4,0)+
IF(#REF!="no",1,0)+
IF(#REF!="Heavy Domestic User",2,0)</f>
        <v>#REF!</v>
      </c>
      <c r="AG2862" t="e">
        <f>IF(#REF!&gt;=10,"High Risk", IF(#REF!&gt;=5,"Medium Risk","Low Risk"))</f>
        <v>#REF!</v>
      </c>
      <c r="AH2862" t="e">
        <f>#REF! + #REF! + #REF! + #REF!</f>
        <v>#REF!</v>
      </c>
    </row>
    <row r="2863" spans="1:34" x14ac:dyDescent="0.35">
      <c r="A2863">
        <v>2862</v>
      </c>
      <c r="B2863" t="s">
        <v>56</v>
      </c>
      <c r="C2863">
        <v>125</v>
      </c>
      <c r="D2863" t="s">
        <v>28</v>
      </c>
      <c r="E2863" t="s">
        <v>23</v>
      </c>
      <c r="F2863" t="s">
        <v>22</v>
      </c>
      <c r="G2863">
        <v>0</v>
      </c>
      <c r="H2863">
        <v>158.69999999999999</v>
      </c>
      <c r="I2863">
        <v>112</v>
      </c>
      <c r="J2863">
        <v>26.98</v>
      </c>
      <c r="K2863">
        <v>155.69999999999999</v>
      </c>
      <c r="L2863">
        <v>126</v>
      </c>
      <c r="M2863">
        <v>13.23</v>
      </c>
      <c r="N2863">
        <v>246</v>
      </c>
      <c r="O2863">
        <v>110</v>
      </c>
      <c r="P2863">
        <v>11.07</v>
      </c>
      <c r="Q2863">
        <v>8.3000000000000007</v>
      </c>
      <c r="R2863">
        <v>1</v>
      </c>
      <c r="S2863">
        <v>2.2400000000000002</v>
      </c>
      <c r="T2863">
        <v>2</v>
      </c>
      <c r="U2863" t="s">
        <v>23</v>
      </c>
      <c r="V2863" t="e">
        <f>IF(#REF! = "yes", 1, 0)</f>
        <v>#REF!</v>
      </c>
      <c r="W2863" t="e">
        <f>IF(#REF! &lt;= 1, "0-1 Calls", IF(#REF! &lt;= 3, "2-3 Calls", IF(#REF! &lt;=5, "4-5 Calls", "6+ Calls")))</f>
        <v>#REF!</v>
      </c>
      <c r="X2863" t="e">
        <f>IF(#REF! &lt;= 50, "0-50", IF(#REF! &lt;=100, "51-100", IF(#REF! &lt;= 150, "101-150", "151+")))</f>
        <v>#REF!</v>
      </c>
      <c r="Y2863" t="e">
        <f>IF(#REF! &lt;= 3, "Low Charges", "High Charges")</f>
        <v>#REF!</v>
      </c>
      <c r="Z2863" t="e">
        <f>IF(#REF!&lt;=80,"Low Calls",
IF(#REF!&lt;=120,"Medium Calls","High Calls"))</f>
        <v>#REF!</v>
      </c>
      <c r="AA2863" t="e">
        <f>IF(#REF!&lt;=15,"Low Charges",
IF(#REF!&lt;=20,"Medium Charges","High Charges"))</f>
        <v>#REF!</v>
      </c>
      <c r="AB2863" t="e">
        <f>IF(AND(#REF!&gt;180, #REF!&gt;200), "Heavy Doemstic User", IF(#REF!&gt;10, "Interntional User", IF(AND(#REF!&lt;180, #REF!&lt;200,#REF!&lt;200), "Light User", "Balanced User")))</f>
        <v>#REF!</v>
      </c>
      <c r="AC2863" t="e">
        <f>IF(#REF! = 0, "No Usage", IF(#REF! &lt;= 20, "Low Usage", IF(#REF! &lt;= 40, "Medium Usgae", "High Usage")))</f>
        <v>#REF!</v>
      </c>
      <c r="AD2863" t="e">
        <f>IF(#REF!&lt;=150,"Low Usage", IF(#REF!&lt;=200,"Medium Usage", IF(#REF!&lt;=250,"High Usage","Very High Usage")))</f>
        <v>#REF!</v>
      </c>
      <c r="AE2863" t="e">
        <f>IF(#REF!&lt;=5,"Low Calls", IF(#REF!&lt;=10, "Medium Calls", "High Calls"))</f>
        <v>#REF!</v>
      </c>
      <c r="AF2863" t="e">
        <f xml:space="preserve">
IF(#REF!&gt;=4,4,0)+
IF(#REF!="yes",3,0)+
IF(#REF!="High Charges",3,0)+
IF(#REF!&gt;250,4,0)+
IF(#REF!="no",1,0)+
IF(#REF!="Heavy Domestic User",2,0)</f>
        <v>#REF!</v>
      </c>
      <c r="AG2863" t="e">
        <f>IF(#REF!&gt;=10,"High Risk", IF(#REF!&gt;=5,"Medium Risk","Low Risk"))</f>
        <v>#REF!</v>
      </c>
      <c r="AH2863" t="e">
        <f>#REF! + #REF! + #REF! + #REF!</f>
        <v>#REF!</v>
      </c>
    </row>
    <row r="2864" spans="1:34" x14ac:dyDescent="0.35">
      <c r="A2864">
        <v>2863</v>
      </c>
      <c r="B2864" t="s">
        <v>52</v>
      </c>
      <c r="C2864">
        <v>194</v>
      </c>
      <c r="D2864" t="s">
        <v>21</v>
      </c>
      <c r="E2864" t="s">
        <v>22</v>
      </c>
      <c r="F2864" t="s">
        <v>22</v>
      </c>
      <c r="G2864">
        <v>0</v>
      </c>
      <c r="H2864">
        <v>258.3</v>
      </c>
      <c r="I2864">
        <v>76</v>
      </c>
      <c r="J2864">
        <v>43.91</v>
      </c>
      <c r="K2864">
        <v>306</v>
      </c>
      <c r="L2864">
        <v>88</v>
      </c>
      <c r="M2864">
        <v>26.01</v>
      </c>
      <c r="N2864">
        <v>241.8</v>
      </c>
      <c r="O2864">
        <v>106</v>
      </c>
      <c r="P2864">
        <v>10.88</v>
      </c>
      <c r="Q2864">
        <v>13.6</v>
      </c>
      <c r="R2864">
        <v>4</v>
      </c>
      <c r="S2864">
        <v>3.67</v>
      </c>
      <c r="T2864">
        <v>1</v>
      </c>
      <c r="U2864" t="s">
        <v>23</v>
      </c>
      <c r="V2864" t="e">
        <f>IF(#REF! = "yes", 1, 0)</f>
        <v>#REF!</v>
      </c>
      <c r="W2864" t="e">
        <f>IF(#REF! &lt;= 1, "0-1 Calls", IF(#REF! &lt;= 3, "2-3 Calls", IF(#REF! &lt;=5, "4-5 Calls", "6+ Calls")))</f>
        <v>#REF!</v>
      </c>
      <c r="X2864" t="e">
        <f>IF(#REF! &lt;= 50, "0-50", IF(#REF! &lt;=100, "51-100", IF(#REF! &lt;= 150, "101-150", "151+")))</f>
        <v>#REF!</v>
      </c>
      <c r="Y2864" t="e">
        <f>IF(#REF! &lt;= 3, "Low Charges", "High Charges")</f>
        <v>#REF!</v>
      </c>
      <c r="Z2864" t="e">
        <f>IF(#REF!&lt;=80,"Low Calls",
IF(#REF!&lt;=120,"Medium Calls","High Calls"))</f>
        <v>#REF!</v>
      </c>
      <c r="AA2864" t="e">
        <f>IF(#REF!&lt;=15,"Low Charges",
IF(#REF!&lt;=20,"Medium Charges","High Charges"))</f>
        <v>#REF!</v>
      </c>
      <c r="AB2864" t="e">
        <f>IF(AND(#REF!&gt;180, #REF!&gt;200), "Heavy Doemstic User", IF(#REF!&gt;10, "Interntional User", IF(AND(#REF!&lt;180, #REF!&lt;200,#REF!&lt;200), "Light User", "Balanced User")))</f>
        <v>#REF!</v>
      </c>
      <c r="AC2864" t="e">
        <f>IF(#REF! = 0, "No Usage", IF(#REF! &lt;= 20, "Low Usage", IF(#REF! &lt;= 40, "Medium Usgae", "High Usage")))</f>
        <v>#REF!</v>
      </c>
      <c r="AD2864" t="e">
        <f>IF(#REF!&lt;=150,"Low Usage", IF(#REF!&lt;=200,"Medium Usage", IF(#REF!&lt;=250,"High Usage","Very High Usage")))</f>
        <v>#REF!</v>
      </c>
      <c r="AE2864" t="e">
        <f>IF(#REF!&lt;=5,"Low Calls", IF(#REF!&lt;=10, "Medium Calls", "High Calls"))</f>
        <v>#REF!</v>
      </c>
      <c r="AF2864" t="e">
        <f xml:space="preserve">
IF(#REF!&gt;=4,4,0)+
IF(#REF!="yes",3,0)+
IF(#REF!="High Charges",3,0)+
IF(#REF!&gt;250,4,0)+
IF(#REF!="no",1,0)+
IF(#REF!="Heavy Domestic User",2,0)</f>
        <v>#REF!</v>
      </c>
      <c r="AG2864" t="e">
        <f>IF(#REF!&gt;=10,"High Risk", IF(#REF!&gt;=5,"Medium Risk","Low Risk"))</f>
        <v>#REF!</v>
      </c>
      <c r="AH2864" t="e">
        <f>#REF! + #REF! + #REF! + #REF!</f>
        <v>#REF!</v>
      </c>
    </row>
    <row r="2865" spans="1:34" x14ac:dyDescent="0.35">
      <c r="A2865">
        <v>2864</v>
      </c>
      <c r="B2865" t="s">
        <v>35</v>
      </c>
      <c r="C2865">
        <v>69</v>
      </c>
      <c r="D2865" t="s">
        <v>28</v>
      </c>
      <c r="E2865" t="s">
        <v>22</v>
      </c>
      <c r="F2865" t="s">
        <v>23</v>
      </c>
      <c r="G2865">
        <v>40</v>
      </c>
      <c r="H2865">
        <v>77</v>
      </c>
      <c r="I2865">
        <v>106</v>
      </c>
      <c r="J2865">
        <v>13.09</v>
      </c>
      <c r="K2865">
        <v>161.69999999999999</v>
      </c>
      <c r="L2865">
        <v>94</v>
      </c>
      <c r="M2865">
        <v>13.74</v>
      </c>
      <c r="N2865">
        <v>188.6</v>
      </c>
      <c r="O2865">
        <v>82</v>
      </c>
      <c r="P2865">
        <v>8.49</v>
      </c>
      <c r="Q2865">
        <v>12.5</v>
      </c>
      <c r="R2865">
        <v>6</v>
      </c>
      <c r="S2865">
        <v>3.38</v>
      </c>
      <c r="T2865">
        <v>1</v>
      </c>
      <c r="U2865" t="s">
        <v>22</v>
      </c>
      <c r="V2865" t="e">
        <f>IF(#REF! = "yes", 1, 0)</f>
        <v>#REF!</v>
      </c>
      <c r="W2865" t="e">
        <f>IF(#REF! &lt;= 1, "0-1 Calls", IF(#REF! &lt;= 3, "2-3 Calls", IF(#REF! &lt;=5, "4-5 Calls", "6+ Calls")))</f>
        <v>#REF!</v>
      </c>
      <c r="X2865" t="e">
        <f>IF(#REF! &lt;= 50, "0-50", IF(#REF! &lt;=100, "51-100", IF(#REF! &lt;= 150, "101-150", "151+")))</f>
        <v>#REF!</v>
      </c>
      <c r="Y2865" t="e">
        <f>IF(#REF! &lt;= 3, "Low Charges", "High Charges")</f>
        <v>#REF!</v>
      </c>
      <c r="Z2865" t="e">
        <f>IF(#REF!&lt;=80,"Low Calls",
IF(#REF!&lt;=120,"Medium Calls","High Calls"))</f>
        <v>#REF!</v>
      </c>
      <c r="AA2865" t="e">
        <f>IF(#REF!&lt;=15,"Low Charges",
IF(#REF!&lt;=20,"Medium Charges","High Charges"))</f>
        <v>#REF!</v>
      </c>
      <c r="AB2865" t="e">
        <f>IF(AND(#REF!&gt;180, #REF!&gt;200), "Heavy Doemstic User", IF(#REF!&gt;10, "Interntional User", IF(AND(#REF!&lt;180, #REF!&lt;200,#REF!&lt;200), "Light User", "Balanced User")))</f>
        <v>#REF!</v>
      </c>
      <c r="AC2865" t="e">
        <f>IF(#REF! = 0, "No Usage", IF(#REF! &lt;= 20, "Low Usage", IF(#REF! &lt;= 40, "Medium Usgae", "High Usage")))</f>
        <v>#REF!</v>
      </c>
      <c r="AD2865" t="e">
        <f>IF(#REF!&lt;=150,"Low Usage", IF(#REF!&lt;=200,"Medium Usage", IF(#REF!&lt;=250,"High Usage","Very High Usage")))</f>
        <v>#REF!</v>
      </c>
      <c r="AE2865" t="e">
        <f>IF(#REF!&lt;=5,"Low Calls", IF(#REF!&lt;=10, "Medium Calls", "High Calls"))</f>
        <v>#REF!</v>
      </c>
      <c r="AF2865" t="e">
        <f xml:space="preserve">
IF(#REF!&gt;=4,4,0)+
IF(#REF!="yes",3,0)+
IF(#REF!="High Charges",3,0)+
IF(#REF!&gt;250,4,0)+
IF(#REF!="no",1,0)+
IF(#REF!="Heavy Domestic User",2,0)</f>
        <v>#REF!</v>
      </c>
      <c r="AG2865" t="e">
        <f>IF(#REF!&gt;=10,"High Risk", IF(#REF!&gt;=5,"Medium Risk","Low Risk"))</f>
        <v>#REF!</v>
      </c>
      <c r="AH2865" t="e">
        <f>#REF! + #REF! + #REF! + #REF!</f>
        <v>#REF!</v>
      </c>
    </row>
    <row r="2866" spans="1:34" x14ac:dyDescent="0.35">
      <c r="A2866">
        <v>2865</v>
      </c>
      <c r="B2866" t="s">
        <v>51</v>
      </c>
      <c r="C2866">
        <v>141</v>
      </c>
      <c r="D2866" t="s">
        <v>21</v>
      </c>
      <c r="E2866" t="s">
        <v>22</v>
      </c>
      <c r="F2866" t="s">
        <v>23</v>
      </c>
      <c r="G2866">
        <v>33</v>
      </c>
      <c r="H2866">
        <v>168.4</v>
      </c>
      <c r="I2866">
        <v>127</v>
      </c>
      <c r="J2866">
        <v>28.63</v>
      </c>
      <c r="K2866">
        <v>185.1</v>
      </c>
      <c r="L2866">
        <v>106</v>
      </c>
      <c r="M2866">
        <v>15.73</v>
      </c>
      <c r="N2866">
        <v>220</v>
      </c>
      <c r="O2866">
        <v>78</v>
      </c>
      <c r="P2866">
        <v>9.9</v>
      </c>
      <c r="Q2866">
        <v>11</v>
      </c>
      <c r="R2866">
        <v>4</v>
      </c>
      <c r="S2866">
        <v>2.97</v>
      </c>
      <c r="T2866">
        <v>2</v>
      </c>
      <c r="U2866" t="s">
        <v>22</v>
      </c>
      <c r="V2866" t="e">
        <f>IF(#REF! = "yes", 1, 0)</f>
        <v>#REF!</v>
      </c>
      <c r="W2866" t="e">
        <f>IF(#REF! &lt;= 1, "0-1 Calls", IF(#REF! &lt;= 3, "2-3 Calls", IF(#REF! &lt;=5, "4-5 Calls", "6+ Calls")))</f>
        <v>#REF!</v>
      </c>
      <c r="X2866" t="e">
        <f>IF(#REF! &lt;= 50, "0-50", IF(#REF! &lt;=100, "51-100", IF(#REF! &lt;= 150, "101-150", "151+")))</f>
        <v>#REF!</v>
      </c>
      <c r="Y2866" t="e">
        <f>IF(#REF! &lt;= 3, "Low Charges", "High Charges")</f>
        <v>#REF!</v>
      </c>
      <c r="Z2866" t="e">
        <f>IF(#REF!&lt;=80,"Low Calls",
IF(#REF!&lt;=120,"Medium Calls","High Calls"))</f>
        <v>#REF!</v>
      </c>
      <c r="AA2866" t="e">
        <f>IF(#REF!&lt;=15,"Low Charges",
IF(#REF!&lt;=20,"Medium Charges","High Charges"))</f>
        <v>#REF!</v>
      </c>
      <c r="AB2866" t="e">
        <f>IF(AND(#REF!&gt;180, #REF!&gt;200), "Heavy Doemstic User", IF(#REF!&gt;10, "Interntional User", IF(AND(#REF!&lt;180, #REF!&lt;200,#REF!&lt;200), "Light User", "Balanced User")))</f>
        <v>#REF!</v>
      </c>
      <c r="AC2866" t="e">
        <f>IF(#REF! = 0, "No Usage", IF(#REF! &lt;= 20, "Low Usage", IF(#REF! &lt;= 40, "Medium Usgae", "High Usage")))</f>
        <v>#REF!</v>
      </c>
      <c r="AD2866" t="e">
        <f>IF(#REF!&lt;=150,"Low Usage", IF(#REF!&lt;=200,"Medium Usage", IF(#REF!&lt;=250,"High Usage","Very High Usage")))</f>
        <v>#REF!</v>
      </c>
      <c r="AE2866" t="e">
        <f>IF(#REF!&lt;=5,"Low Calls", IF(#REF!&lt;=10, "Medium Calls", "High Calls"))</f>
        <v>#REF!</v>
      </c>
      <c r="AF2866" t="e">
        <f xml:space="preserve">
IF(#REF!&gt;=4,4,0)+
IF(#REF!="yes",3,0)+
IF(#REF!="High Charges",3,0)+
IF(#REF!&gt;250,4,0)+
IF(#REF!="no",1,0)+
IF(#REF!="Heavy Domestic User",2,0)</f>
        <v>#REF!</v>
      </c>
      <c r="AG2866" t="e">
        <f>IF(#REF!&gt;=10,"High Risk", IF(#REF!&gt;=5,"Medium Risk","Low Risk"))</f>
        <v>#REF!</v>
      </c>
      <c r="AH2866" t="e">
        <f>#REF! + #REF! + #REF! + #REF!</f>
        <v>#REF!</v>
      </c>
    </row>
    <row r="2867" spans="1:34" x14ac:dyDescent="0.35">
      <c r="A2867">
        <v>2866</v>
      </c>
      <c r="B2867" t="s">
        <v>57</v>
      </c>
      <c r="C2867">
        <v>98</v>
      </c>
      <c r="D2867" t="s">
        <v>21</v>
      </c>
      <c r="E2867" t="s">
        <v>22</v>
      </c>
      <c r="F2867" t="s">
        <v>22</v>
      </c>
      <c r="G2867">
        <v>0</v>
      </c>
      <c r="H2867">
        <v>307.2</v>
      </c>
      <c r="I2867">
        <v>65</v>
      </c>
      <c r="J2867">
        <v>52.22</v>
      </c>
      <c r="K2867">
        <v>138.6</v>
      </c>
      <c r="L2867">
        <v>97</v>
      </c>
      <c r="M2867">
        <v>11.78</v>
      </c>
      <c r="N2867">
        <v>381.6</v>
      </c>
      <c r="O2867">
        <v>99</v>
      </c>
      <c r="P2867">
        <v>17.170000000000002</v>
      </c>
      <c r="Q2867">
        <v>10.199999999999999</v>
      </c>
      <c r="R2867">
        <v>4</v>
      </c>
      <c r="S2867">
        <v>2.75</v>
      </c>
      <c r="T2867">
        <v>2</v>
      </c>
      <c r="U2867" t="s">
        <v>23</v>
      </c>
      <c r="V2867" t="e">
        <f>IF(#REF! = "yes", 1, 0)</f>
        <v>#REF!</v>
      </c>
      <c r="W2867" t="e">
        <f>IF(#REF! &lt;= 1, "0-1 Calls", IF(#REF! &lt;= 3, "2-3 Calls", IF(#REF! &lt;=5, "4-5 Calls", "6+ Calls")))</f>
        <v>#REF!</v>
      </c>
      <c r="X2867" t="e">
        <f>IF(#REF! &lt;= 50, "0-50", IF(#REF! &lt;=100, "51-100", IF(#REF! &lt;= 150, "101-150", "151+")))</f>
        <v>#REF!</v>
      </c>
      <c r="Y2867" t="e">
        <f>IF(#REF! &lt;= 3, "Low Charges", "High Charges")</f>
        <v>#REF!</v>
      </c>
      <c r="Z2867" t="e">
        <f>IF(#REF!&lt;=80,"Low Calls",
IF(#REF!&lt;=120,"Medium Calls","High Calls"))</f>
        <v>#REF!</v>
      </c>
      <c r="AA2867" t="e">
        <f>IF(#REF!&lt;=15,"Low Charges",
IF(#REF!&lt;=20,"Medium Charges","High Charges"))</f>
        <v>#REF!</v>
      </c>
      <c r="AB2867" t="e">
        <f>IF(AND(#REF!&gt;180, #REF!&gt;200), "Heavy Doemstic User", IF(#REF!&gt;10, "Interntional User", IF(AND(#REF!&lt;180, #REF!&lt;200,#REF!&lt;200), "Light User", "Balanced User")))</f>
        <v>#REF!</v>
      </c>
      <c r="AC2867" t="e">
        <f>IF(#REF! = 0, "No Usage", IF(#REF! &lt;= 20, "Low Usage", IF(#REF! &lt;= 40, "Medium Usgae", "High Usage")))</f>
        <v>#REF!</v>
      </c>
      <c r="AD2867" t="e">
        <f>IF(#REF!&lt;=150,"Low Usage", IF(#REF!&lt;=200,"Medium Usage", IF(#REF!&lt;=250,"High Usage","Very High Usage")))</f>
        <v>#REF!</v>
      </c>
      <c r="AE2867" t="e">
        <f>IF(#REF!&lt;=5,"Low Calls", IF(#REF!&lt;=10, "Medium Calls", "High Calls"))</f>
        <v>#REF!</v>
      </c>
      <c r="AF2867" t="e">
        <f xml:space="preserve">
IF(#REF!&gt;=4,4,0)+
IF(#REF!="yes",3,0)+
IF(#REF!="High Charges",3,0)+
IF(#REF!&gt;250,4,0)+
IF(#REF!="no",1,0)+
IF(#REF!="Heavy Domestic User",2,0)</f>
        <v>#REF!</v>
      </c>
      <c r="AG2867" t="e">
        <f>IF(#REF!&gt;=10,"High Risk", IF(#REF!&gt;=5,"Medium Risk","Low Risk"))</f>
        <v>#REF!</v>
      </c>
      <c r="AH2867" t="e">
        <f>#REF! + #REF! + #REF! + #REF!</f>
        <v>#REF!</v>
      </c>
    </row>
    <row r="2868" spans="1:34" x14ac:dyDescent="0.35">
      <c r="A2868">
        <v>2867</v>
      </c>
      <c r="B2868" t="s">
        <v>20</v>
      </c>
      <c r="C2868">
        <v>110</v>
      </c>
      <c r="D2868" t="s">
        <v>28</v>
      </c>
      <c r="E2868" t="s">
        <v>22</v>
      </c>
      <c r="F2868" t="s">
        <v>22</v>
      </c>
      <c r="G2868">
        <v>0</v>
      </c>
      <c r="H2868">
        <v>175.6</v>
      </c>
      <c r="I2868">
        <v>91</v>
      </c>
      <c r="J2868">
        <v>29.85</v>
      </c>
      <c r="K2868">
        <v>236.5</v>
      </c>
      <c r="L2868">
        <v>127</v>
      </c>
      <c r="M2868">
        <v>20.100000000000001</v>
      </c>
      <c r="N2868">
        <v>194.9</v>
      </c>
      <c r="O2868">
        <v>114</v>
      </c>
      <c r="P2868">
        <v>8.77</v>
      </c>
      <c r="Q2868">
        <v>9.5</v>
      </c>
      <c r="R2868">
        <v>8</v>
      </c>
      <c r="S2868">
        <v>2.57</v>
      </c>
      <c r="T2868">
        <v>0</v>
      </c>
      <c r="U2868" t="s">
        <v>22</v>
      </c>
      <c r="V2868" t="e">
        <f>IF(#REF! = "yes", 1, 0)</f>
        <v>#REF!</v>
      </c>
      <c r="W2868" t="e">
        <f>IF(#REF! &lt;= 1, "0-1 Calls", IF(#REF! &lt;= 3, "2-3 Calls", IF(#REF! &lt;=5, "4-5 Calls", "6+ Calls")))</f>
        <v>#REF!</v>
      </c>
      <c r="X2868" t="e">
        <f>IF(#REF! &lt;= 50, "0-50", IF(#REF! &lt;=100, "51-100", IF(#REF! &lt;= 150, "101-150", "151+")))</f>
        <v>#REF!</v>
      </c>
      <c r="Y2868" t="e">
        <f>IF(#REF! &lt;= 3, "Low Charges", "High Charges")</f>
        <v>#REF!</v>
      </c>
      <c r="Z2868" t="e">
        <f>IF(#REF!&lt;=80,"Low Calls",
IF(#REF!&lt;=120,"Medium Calls","High Calls"))</f>
        <v>#REF!</v>
      </c>
      <c r="AA2868" t="e">
        <f>IF(#REF!&lt;=15,"Low Charges",
IF(#REF!&lt;=20,"Medium Charges","High Charges"))</f>
        <v>#REF!</v>
      </c>
      <c r="AB2868" t="e">
        <f>IF(AND(#REF!&gt;180, #REF!&gt;200), "Heavy Doemstic User", IF(#REF!&gt;10, "Interntional User", IF(AND(#REF!&lt;180, #REF!&lt;200,#REF!&lt;200), "Light User", "Balanced User")))</f>
        <v>#REF!</v>
      </c>
      <c r="AC2868" t="e">
        <f>IF(#REF! = 0, "No Usage", IF(#REF! &lt;= 20, "Low Usage", IF(#REF! &lt;= 40, "Medium Usgae", "High Usage")))</f>
        <v>#REF!</v>
      </c>
      <c r="AD2868" t="e">
        <f>IF(#REF!&lt;=150,"Low Usage", IF(#REF!&lt;=200,"Medium Usage", IF(#REF!&lt;=250,"High Usage","Very High Usage")))</f>
        <v>#REF!</v>
      </c>
      <c r="AE2868" t="e">
        <f>IF(#REF!&lt;=5,"Low Calls", IF(#REF!&lt;=10, "Medium Calls", "High Calls"))</f>
        <v>#REF!</v>
      </c>
      <c r="AF2868" t="e">
        <f xml:space="preserve">
IF(#REF!&gt;=4,4,0)+
IF(#REF!="yes",3,0)+
IF(#REF!="High Charges",3,0)+
IF(#REF!&gt;250,4,0)+
IF(#REF!="no",1,0)+
IF(#REF!="Heavy Domestic User",2,0)</f>
        <v>#REF!</v>
      </c>
      <c r="AG2868" t="e">
        <f>IF(#REF!&gt;=10,"High Risk", IF(#REF!&gt;=5,"Medium Risk","Low Risk"))</f>
        <v>#REF!</v>
      </c>
      <c r="AH2868" t="e">
        <f>#REF! + #REF! + #REF! + #REF!</f>
        <v>#REF!</v>
      </c>
    </row>
    <row r="2869" spans="1:34" x14ac:dyDescent="0.35">
      <c r="A2869">
        <v>2868</v>
      </c>
      <c r="B2869" t="s">
        <v>66</v>
      </c>
      <c r="C2869">
        <v>70</v>
      </c>
      <c r="D2869" t="s">
        <v>21</v>
      </c>
      <c r="E2869" t="s">
        <v>22</v>
      </c>
      <c r="F2869" t="s">
        <v>22</v>
      </c>
      <c r="G2869">
        <v>0</v>
      </c>
      <c r="H2869">
        <v>169.1</v>
      </c>
      <c r="I2869">
        <v>48</v>
      </c>
      <c r="J2869">
        <v>28.75</v>
      </c>
      <c r="K2869">
        <v>219.8</v>
      </c>
      <c r="L2869">
        <v>62</v>
      </c>
      <c r="M2869">
        <v>18.68</v>
      </c>
      <c r="N2869">
        <v>193.5</v>
      </c>
      <c r="O2869">
        <v>105</v>
      </c>
      <c r="P2869">
        <v>8.7100000000000009</v>
      </c>
      <c r="Q2869">
        <v>10.7</v>
      </c>
      <c r="R2869">
        <v>8</v>
      </c>
      <c r="S2869">
        <v>2.89</v>
      </c>
      <c r="T2869">
        <v>3</v>
      </c>
      <c r="U2869" t="s">
        <v>22</v>
      </c>
      <c r="V2869" t="e">
        <f>IF(#REF! = "yes", 1, 0)</f>
        <v>#REF!</v>
      </c>
      <c r="W2869" t="e">
        <f>IF(#REF! &lt;= 1, "0-1 Calls", IF(#REF! &lt;= 3, "2-3 Calls", IF(#REF! &lt;=5, "4-5 Calls", "6+ Calls")))</f>
        <v>#REF!</v>
      </c>
      <c r="X2869" t="e">
        <f>IF(#REF! &lt;= 50, "0-50", IF(#REF! &lt;=100, "51-100", IF(#REF! &lt;= 150, "101-150", "151+")))</f>
        <v>#REF!</v>
      </c>
      <c r="Y2869" t="e">
        <f>IF(#REF! &lt;= 3, "Low Charges", "High Charges")</f>
        <v>#REF!</v>
      </c>
      <c r="Z2869" t="e">
        <f>IF(#REF!&lt;=80,"Low Calls",
IF(#REF!&lt;=120,"Medium Calls","High Calls"))</f>
        <v>#REF!</v>
      </c>
      <c r="AA2869" t="e">
        <f>IF(#REF!&lt;=15,"Low Charges",
IF(#REF!&lt;=20,"Medium Charges","High Charges"))</f>
        <v>#REF!</v>
      </c>
      <c r="AB2869" t="e">
        <f>IF(AND(#REF!&gt;180, #REF!&gt;200), "Heavy Doemstic User", IF(#REF!&gt;10, "Interntional User", IF(AND(#REF!&lt;180, #REF!&lt;200,#REF!&lt;200), "Light User", "Balanced User")))</f>
        <v>#REF!</v>
      </c>
      <c r="AC2869" t="e">
        <f>IF(#REF! = 0, "No Usage", IF(#REF! &lt;= 20, "Low Usage", IF(#REF! &lt;= 40, "Medium Usgae", "High Usage")))</f>
        <v>#REF!</v>
      </c>
      <c r="AD2869" t="e">
        <f>IF(#REF!&lt;=150,"Low Usage", IF(#REF!&lt;=200,"Medium Usage", IF(#REF!&lt;=250,"High Usage","Very High Usage")))</f>
        <v>#REF!</v>
      </c>
      <c r="AE2869" t="e">
        <f>IF(#REF!&lt;=5,"Low Calls", IF(#REF!&lt;=10, "Medium Calls", "High Calls"))</f>
        <v>#REF!</v>
      </c>
      <c r="AF2869" t="e">
        <f xml:space="preserve">
IF(#REF!&gt;=4,4,0)+
IF(#REF!="yes",3,0)+
IF(#REF!="High Charges",3,0)+
IF(#REF!&gt;250,4,0)+
IF(#REF!="no",1,0)+
IF(#REF!="Heavy Domestic User",2,0)</f>
        <v>#REF!</v>
      </c>
      <c r="AG2869" t="e">
        <f>IF(#REF!&gt;=10,"High Risk", IF(#REF!&gt;=5,"Medium Risk","Low Risk"))</f>
        <v>#REF!</v>
      </c>
      <c r="AH2869" t="e">
        <f>#REF! + #REF! + #REF! + #REF!</f>
        <v>#REF!</v>
      </c>
    </row>
    <row r="2870" spans="1:34" x14ac:dyDescent="0.35">
      <c r="A2870">
        <v>2869</v>
      </c>
      <c r="B2870" t="s">
        <v>61</v>
      </c>
      <c r="C2870">
        <v>72</v>
      </c>
      <c r="D2870" t="s">
        <v>21</v>
      </c>
      <c r="E2870" t="s">
        <v>22</v>
      </c>
      <c r="F2870" t="s">
        <v>22</v>
      </c>
      <c r="G2870">
        <v>0</v>
      </c>
      <c r="H2870">
        <v>190.7</v>
      </c>
      <c r="I2870">
        <v>111</v>
      </c>
      <c r="J2870">
        <v>32.42</v>
      </c>
      <c r="K2870">
        <v>241.6</v>
      </c>
      <c r="L2870">
        <v>103</v>
      </c>
      <c r="M2870">
        <v>20.54</v>
      </c>
      <c r="N2870">
        <v>278.10000000000002</v>
      </c>
      <c r="O2870">
        <v>95</v>
      </c>
      <c r="P2870">
        <v>12.51</v>
      </c>
      <c r="Q2870">
        <v>4.4000000000000004</v>
      </c>
      <c r="R2870">
        <v>3</v>
      </c>
      <c r="S2870">
        <v>1.19</v>
      </c>
      <c r="T2870">
        <v>1</v>
      </c>
      <c r="U2870" t="s">
        <v>22</v>
      </c>
      <c r="V2870" t="e">
        <f>IF(#REF! = "yes", 1, 0)</f>
        <v>#REF!</v>
      </c>
      <c r="W2870" t="e">
        <f>IF(#REF! &lt;= 1, "0-1 Calls", IF(#REF! &lt;= 3, "2-3 Calls", IF(#REF! &lt;=5, "4-5 Calls", "6+ Calls")))</f>
        <v>#REF!</v>
      </c>
      <c r="X2870" t="e">
        <f>IF(#REF! &lt;= 50, "0-50", IF(#REF! &lt;=100, "51-100", IF(#REF! &lt;= 150, "101-150", "151+")))</f>
        <v>#REF!</v>
      </c>
      <c r="Y2870" t="e">
        <f>IF(#REF! &lt;= 3, "Low Charges", "High Charges")</f>
        <v>#REF!</v>
      </c>
      <c r="Z2870" t="e">
        <f>IF(#REF!&lt;=80,"Low Calls",
IF(#REF!&lt;=120,"Medium Calls","High Calls"))</f>
        <v>#REF!</v>
      </c>
      <c r="AA2870" t="e">
        <f>IF(#REF!&lt;=15,"Low Charges",
IF(#REF!&lt;=20,"Medium Charges","High Charges"))</f>
        <v>#REF!</v>
      </c>
      <c r="AB2870" t="e">
        <f>IF(AND(#REF!&gt;180, #REF!&gt;200), "Heavy Doemstic User", IF(#REF!&gt;10, "Interntional User", IF(AND(#REF!&lt;180, #REF!&lt;200,#REF!&lt;200), "Light User", "Balanced User")))</f>
        <v>#REF!</v>
      </c>
      <c r="AC2870" t="e">
        <f>IF(#REF! = 0, "No Usage", IF(#REF! &lt;= 20, "Low Usage", IF(#REF! &lt;= 40, "Medium Usgae", "High Usage")))</f>
        <v>#REF!</v>
      </c>
      <c r="AD2870" t="e">
        <f>IF(#REF!&lt;=150,"Low Usage", IF(#REF!&lt;=200,"Medium Usage", IF(#REF!&lt;=250,"High Usage","Very High Usage")))</f>
        <v>#REF!</v>
      </c>
      <c r="AE2870" t="e">
        <f>IF(#REF!&lt;=5,"Low Calls", IF(#REF!&lt;=10, "Medium Calls", "High Calls"))</f>
        <v>#REF!</v>
      </c>
      <c r="AF2870" t="e">
        <f xml:space="preserve">
IF(#REF!&gt;=4,4,0)+
IF(#REF!="yes",3,0)+
IF(#REF!="High Charges",3,0)+
IF(#REF!&gt;250,4,0)+
IF(#REF!="no",1,0)+
IF(#REF!="Heavy Domestic User",2,0)</f>
        <v>#REF!</v>
      </c>
      <c r="AG2870" t="e">
        <f>IF(#REF!&gt;=10,"High Risk", IF(#REF!&gt;=5,"Medium Risk","Low Risk"))</f>
        <v>#REF!</v>
      </c>
      <c r="AH2870" t="e">
        <f>#REF! + #REF! + #REF! + #REF!</f>
        <v>#REF!</v>
      </c>
    </row>
    <row r="2871" spans="1:34" x14ac:dyDescent="0.35">
      <c r="A2871">
        <v>2870</v>
      </c>
      <c r="B2871" t="s">
        <v>31</v>
      </c>
      <c r="C2871">
        <v>66</v>
      </c>
      <c r="D2871" t="s">
        <v>21</v>
      </c>
      <c r="E2871" t="s">
        <v>22</v>
      </c>
      <c r="F2871" t="s">
        <v>22</v>
      </c>
      <c r="G2871">
        <v>0</v>
      </c>
      <c r="H2871">
        <v>239.6</v>
      </c>
      <c r="I2871">
        <v>120</v>
      </c>
      <c r="J2871">
        <v>40.729999999999997</v>
      </c>
      <c r="K2871">
        <v>230.3</v>
      </c>
      <c r="L2871">
        <v>110</v>
      </c>
      <c r="M2871">
        <v>19.579999999999998</v>
      </c>
      <c r="N2871">
        <v>153</v>
      </c>
      <c r="O2871">
        <v>82</v>
      </c>
      <c r="P2871">
        <v>6.89</v>
      </c>
      <c r="Q2871">
        <v>8.6</v>
      </c>
      <c r="R2871">
        <v>3</v>
      </c>
      <c r="S2871">
        <v>2.3199999999999998</v>
      </c>
      <c r="T2871">
        <v>1</v>
      </c>
      <c r="U2871" t="s">
        <v>22</v>
      </c>
      <c r="V2871" t="e">
        <f>IF(#REF! = "yes", 1, 0)</f>
        <v>#REF!</v>
      </c>
      <c r="W2871" t="e">
        <f>IF(#REF! &lt;= 1, "0-1 Calls", IF(#REF! &lt;= 3, "2-3 Calls", IF(#REF! &lt;=5, "4-5 Calls", "6+ Calls")))</f>
        <v>#REF!</v>
      </c>
      <c r="X2871" t="e">
        <f>IF(#REF! &lt;= 50, "0-50", IF(#REF! &lt;=100, "51-100", IF(#REF! &lt;= 150, "101-150", "151+")))</f>
        <v>#REF!</v>
      </c>
      <c r="Y2871" t="e">
        <f>IF(#REF! &lt;= 3, "Low Charges", "High Charges")</f>
        <v>#REF!</v>
      </c>
      <c r="Z2871" t="e">
        <f>IF(#REF!&lt;=80,"Low Calls",
IF(#REF!&lt;=120,"Medium Calls","High Calls"))</f>
        <v>#REF!</v>
      </c>
      <c r="AA2871" t="e">
        <f>IF(#REF!&lt;=15,"Low Charges",
IF(#REF!&lt;=20,"Medium Charges","High Charges"))</f>
        <v>#REF!</v>
      </c>
      <c r="AB2871" t="e">
        <f>IF(AND(#REF!&gt;180, #REF!&gt;200), "Heavy Doemstic User", IF(#REF!&gt;10, "Interntional User", IF(AND(#REF!&lt;180, #REF!&lt;200,#REF!&lt;200), "Light User", "Balanced User")))</f>
        <v>#REF!</v>
      </c>
      <c r="AC2871" t="e">
        <f>IF(#REF! = 0, "No Usage", IF(#REF! &lt;= 20, "Low Usage", IF(#REF! &lt;= 40, "Medium Usgae", "High Usage")))</f>
        <v>#REF!</v>
      </c>
      <c r="AD2871" t="e">
        <f>IF(#REF!&lt;=150,"Low Usage", IF(#REF!&lt;=200,"Medium Usage", IF(#REF!&lt;=250,"High Usage","Very High Usage")))</f>
        <v>#REF!</v>
      </c>
      <c r="AE2871" t="e">
        <f>IF(#REF!&lt;=5,"Low Calls", IF(#REF!&lt;=10, "Medium Calls", "High Calls"))</f>
        <v>#REF!</v>
      </c>
      <c r="AF2871" t="e">
        <f xml:space="preserve">
IF(#REF!&gt;=4,4,0)+
IF(#REF!="yes",3,0)+
IF(#REF!="High Charges",3,0)+
IF(#REF!&gt;250,4,0)+
IF(#REF!="no",1,0)+
IF(#REF!="Heavy Domestic User",2,0)</f>
        <v>#REF!</v>
      </c>
      <c r="AG2871" t="e">
        <f>IF(#REF!&gt;=10,"High Risk", IF(#REF!&gt;=5,"Medium Risk","Low Risk"))</f>
        <v>#REF!</v>
      </c>
      <c r="AH2871" t="e">
        <f>#REF! + #REF! + #REF! + #REF!</f>
        <v>#REF!</v>
      </c>
    </row>
    <row r="2872" spans="1:34" x14ac:dyDescent="0.35">
      <c r="A2872">
        <v>2871</v>
      </c>
      <c r="B2872" t="s">
        <v>60</v>
      </c>
      <c r="C2872">
        <v>79</v>
      </c>
      <c r="D2872" t="s">
        <v>28</v>
      </c>
      <c r="E2872" t="s">
        <v>22</v>
      </c>
      <c r="F2872" t="s">
        <v>22</v>
      </c>
      <c r="G2872">
        <v>0</v>
      </c>
      <c r="H2872">
        <v>121.3</v>
      </c>
      <c r="I2872">
        <v>112</v>
      </c>
      <c r="J2872">
        <v>20.62</v>
      </c>
      <c r="K2872">
        <v>282.8</v>
      </c>
      <c r="L2872">
        <v>107</v>
      </c>
      <c r="M2872">
        <v>24.04</v>
      </c>
      <c r="N2872">
        <v>123.1</v>
      </c>
      <c r="O2872">
        <v>83</v>
      </c>
      <c r="P2872">
        <v>5.54</v>
      </c>
      <c r="Q2872">
        <v>7.4</v>
      </c>
      <c r="R2872">
        <v>4</v>
      </c>
      <c r="S2872">
        <v>2</v>
      </c>
      <c r="T2872">
        <v>1</v>
      </c>
      <c r="U2872" t="s">
        <v>22</v>
      </c>
      <c r="V2872" t="e">
        <f>IF(#REF! = "yes", 1, 0)</f>
        <v>#REF!</v>
      </c>
      <c r="W2872" t="e">
        <f>IF(#REF! &lt;= 1, "0-1 Calls", IF(#REF! &lt;= 3, "2-3 Calls", IF(#REF! &lt;=5, "4-5 Calls", "6+ Calls")))</f>
        <v>#REF!</v>
      </c>
      <c r="X2872" t="e">
        <f>IF(#REF! &lt;= 50, "0-50", IF(#REF! &lt;=100, "51-100", IF(#REF! &lt;= 150, "101-150", "151+")))</f>
        <v>#REF!</v>
      </c>
      <c r="Y2872" t="e">
        <f>IF(#REF! &lt;= 3, "Low Charges", "High Charges")</f>
        <v>#REF!</v>
      </c>
      <c r="Z2872" t="e">
        <f>IF(#REF!&lt;=80,"Low Calls",
IF(#REF!&lt;=120,"Medium Calls","High Calls"))</f>
        <v>#REF!</v>
      </c>
      <c r="AA2872" t="e">
        <f>IF(#REF!&lt;=15,"Low Charges",
IF(#REF!&lt;=20,"Medium Charges","High Charges"))</f>
        <v>#REF!</v>
      </c>
      <c r="AB2872" t="e">
        <f>IF(AND(#REF!&gt;180, #REF!&gt;200), "Heavy Doemstic User", IF(#REF!&gt;10, "Interntional User", IF(AND(#REF!&lt;180, #REF!&lt;200,#REF!&lt;200), "Light User", "Balanced User")))</f>
        <v>#REF!</v>
      </c>
      <c r="AC2872" t="e">
        <f>IF(#REF! = 0, "No Usage", IF(#REF! &lt;= 20, "Low Usage", IF(#REF! &lt;= 40, "Medium Usgae", "High Usage")))</f>
        <v>#REF!</v>
      </c>
      <c r="AD2872" t="e">
        <f>IF(#REF!&lt;=150,"Low Usage", IF(#REF!&lt;=200,"Medium Usage", IF(#REF!&lt;=250,"High Usage","Very High Usage")))</f>
        <v>#REF!</v>
      </c>
      <c r="AE2872" t="e">
        <f>IF(#REF!&lt;=5,"Low Calls", IF(#REF!&lt;=10, "Medium Calls", "High Calls"))</f>
        <v>#REF!</v>
      </c>
      <c r="AF2872" t="e">
        <f xml:space="preserve">
IF(#REF!&gt;=4,4,0)+
IF(#REF!="yes",3,0)+
IF(#REF!="High Charges",3,0)+
IF(#REF!&gt;250,4,0)+
IF(#REF!="no",1,0)+
IF(#REF!="Heavy Domestic User",2,0)</f>
        <v>#REF!</v>
      </c>
      <c r="AG2872" t="e">
        <f>IF(#REF!&gt;=10,"High Risk", IF(#REF!&gt;=5,"Medium Risk","Low Risk"))</f>
        <v>#REF!</v>
      </c>
      <c r="AH2872" t="e">
        <f>#REF! + #REF! + #REF! + #REF!</f>
        <v>#REF!</v>
      </c>
    </row>
    <row r="2873" spans="1:34" x14ac:dyDescent="0.35">
      <c r="A2873">
        <v>2872</v>
      </c>
      <c r="B2873" t="s">
        <v>53</v>
      </c>
      <c r="C2873">
        <v>61</v>
      </c>
      <c r="D2873" t="s">
        <v>25</v>
      </c>
      <c r="E2873" t="s">
        <v>22</v>
      </c>
      <c r="F2873" t="s">
        <v>22</v>
      </c>
      <c r="G2873">
        <v>0</v>
      </c>
      <c r="H2873">
        <v>208.4</v>
      </c>
      <c r="I2873">
        <v>102</v>
      </c>
      <c r="J2873">
        <v>35.43</v>
      </c>
      <c r="K2873">
        <v>326.10000000000002</v>
      </c>
      <c r="L2873">
        <v>96</v>
      </c>
      <c r="M2873">
        <v>27.72</v>
      </c>
      <c r="N2873">
        <v>201.9</v>
      </c>
      <c r="O2873">
        <v>73</v>
      </c>
      <c r="P2873">
        <v>9.09</v>
      </c>
      <c r="Q2873">
        <v>10.1</v>
      </c>
      <c r="R2873">
        <v>8</v>
      </c>
      <c r="S2873">
        <v>2.73</v>
      </c>
      <c r="T2873">
        <v>1</v>
      </c>
      <c r="U2873" t="s">
        <v>23</v>
      </c>
      <c r="V2873" t="e">
        <f>IF(#REF! = "yes", 1, 0)</f>
        <v>#REF!</v>
      </c>
      <c r="W2873" t="e">
        <f>IF(#REF! &lt;= 1, "0-1 Calls", IF(#REF! &lt;= 3, "2-3 Calls", IF(#REF! &lt;=5, "4-5 Calls", "6+ Calls")))</f>
        <v>#REF!</v>
      </c>
      <c r="X2873" t="e">
        <f>IF(#REF! &lt;= 50, "0-50", IF(#REF! &lt;=100, "51-100", IF(#REF! &lt;= 150, "101-150", "151+")))</f>
        <v>#REF!</v>
      </c>
      <c r="Y2873" t="e">
        <f>IF(#REF! &lt;= 3, "Low Charges", "High Charges")</f>
        <v>#REF!</v>
      </c>
      <c r="Z2873" t="e">
        <f>IF(#REF!&lt;=80,"Low Calls",
IF(#REF!&lt;=120,"Medium Calls","High Calls"))</f>
        <v>#REF!</v>
      </c>
      <c r="AA2873" t="e">
        <f>IF(#REF!&lt;=15,"Low Charges",
IF(#REF!&lt;=20,"Medium Charges","High Charges"))</f>
        <v>#REF!</v>
      </c>
      <c r="AB2873" t="e">
        <f>IF(AND(#REF!&gt;180, #REF!&gt;200), "Heavy Doemstic User", IF(#REF!&gt;10, "Interntional User", IF(AND(#REF!&lt;180, #REF!&lt;200,#REF!&lt;200), "Light User", "Balanced User")))</f>
        <v>#REF!</v>
      </c>
      <c r="AC2873" t="e">
        <f>IF(#REF! = 0, "No Usage", IF(#REF! &lt;= 20, "Low Usage", IF(#REF! &lt;= 40, "Medium Usgae", "High Usage")))</f>
        <v>#REF!</v>
      </c>
      <c r="AD2873" t="e">
        <f>IF(#REF!&lt;=150,"Low Usage", IF(#REF!&lt;=200,"Medium Usage", IF(#REF!&lt;=250,"High Usage","Very High Usage")))</f>
        <v>#REF!</v>
      </c>
      <c r="AE2873" t="e">
        <f>IF(#REF!&lt;=5,"Low Calls", IF(#REF!&lt;=10, "Medium Calls", "High Calls"))</f>
        <v>#REF!</v>
      </c>
      <c r="AF2873" t="e">
        <f xml:space="preserve">
IF(#REF!&gt;=4,4,0)+
IF(#REF!="yes",3,0)+
IF(#REF!="High Charges",3,0)+
IF(#REF!&gt;250,4,0)+
IF(#REF!="no",1,0)+
IF(#REF!="Heavy Domestic User",2,0)</f>
        <v>#REF!</v>
      </c>
      <c r="AG2873" t="e">
        <f>IF(#REF!&gt;=10,"High Risk", IF(#REF!&gt;=5,"Medium Risk","Low Risk"))</f>
        <v>#REF!</v>
      </c>
      <c r="AH2873" t="e">
        <f>#REF! + #REF! + #REF! + #REF!</f>
        <v>#REF!</v>
      </c>
    </row>
    <row r="2874" spans="1:34" x14ac:dyDescent="0.35">
      <c r="A2874">
        <v>2873</v>
      </c>
      <c r="B2874" t="s">
        <v>41</v>
      </c>
      <c r="C2874">
        <v>97</v>
      </c>
      <c r="D2874" t="s">
        <v>28</v>
      </c>
      <c r="E2874" t="s">
        <v>23</v>
      </c>
      <c r="F2874" t="s">
        <v>22</v>
      </c>
      <c r="G2874">
        <v>0</v>
      </c>
      <c r="H2874">
        <v>230.6</v>
      </c>
      <c r="I2874">
        <v>131</v>
      </c>
      <c r="J2874">
        <v>39.200000000000003</v>
      </c>
      <c r="K2874">
        <v>261.3</v>
      </c>
      <c r="L2874">
        <v>136</v>
      </c>
      <c r="M2874">
        <v>22.21</v>
      </c>
      <c r="N2874">
        <v>157.1</v>
      </c>
      <c r="O2874">
        <v>96</v>
      </c>
      <c r="P2874">
        <v>7.07</v>
      </c>
      <c r="Q2874">
        <v>6.8</v>
      </c>
      <c r="R2874">
        <v>4</v>
      </c>
      <c r="S2874">
        <v>1.84</v>
      </c>
      <c r="T2874">
        <v>0</v>
      </c>
      <c r="U2874" t="s">
        <v>22</v>
      </c>
      <c r="V2874" t="e">
        <f>IF(#REF! = "yes", 1, 0)</f>
        <v>#REF!</v>
      </c>
      <c r="W2874" t="e">
        <f>IF(#REF! &lt;= 1, "0-1 Calls", IF(#REF! &lt;= 3, "2-3 Calls", IF(#REF! &lt;=5, "4-5 Calls", "6+ Calls")))</f>
        <v>#REF!</v>
      </c>
      <c r="X2874" t="e">
        <f>IF(#REF! &lt;= 50, "0-50", IF(#REF! &lt;=100, "51-100", IF(#REF! &lt;= 150, "101-150", "151+")))</f>
        <v>#REF!</v>
      </c>
      <c r="Y2874" t="e">
        <f>IF(#REF! &lt;= 3, "Low Charges", "High Charges")</f>
        <v>#REF!</v>
      </c>
      <c r="Z2874" t="e">
        <f>IF(#REF!&lt;=80,"Low Calls",
IF(#REF!&lt;=120,"Medium Calls","High Calls"))</f>
        <v>#REF!</v>
      </c>
      <c r="AA2874" t="e">
        <f>IF(#REF!&lt;=15,"Low Charges",
IF(#REF!&lt;=20,"Medium Charges","High Charges"))</f>
        <v>#REF!</v>
      </c>
      <c r="AB2874" t="e">
        <f>IF(AND(#REF!&gt;180, #REF!&gt;200), "Heavy Doemstic User", IF(#REF!&gt;10, "Interntional User", IF(AND(#REF!&lt;180, #REF!&lt;200,#REF!&lt;200), "Light User", "Balanced User")))</f>
        <v>#REF!</v>
      </c>
      <c r="AC2874" t="e">
        <f>IF(#REF! = 0, "No Usage", IF(#REF! &lt;= 20, "Low Usage", IF(#REF! &lt;= 40, "Medium Usgae", "High Usage")))</f>
        <v>#REF!</v>
      </c>
      <c r="AD2874" t="e">
        <f>IF(#REF!&lt;=150,"Low Usage", IF(#REF!&lt;=200,"Medium Usage", IF(#REF!&lt;=250,"High Usage","Very High Usage")))</f>
        <v>#REF!</v>
      </c>
      <c r="AE2874" t="e">
        <f>IF(#REF!&lt;=5,"Low Calls", IF(#REF!&lt;=10, "Medium Calls", "High Calls"))</f>
        <v>#REF!</v>
      </c>
      <c r="AF2874" t="e">
        <f xml:space="preserve">
IF(#REF!&gt;=4,4,0)+
IF(#REF!="yes",3,0)+
IF(#REF!="High Charges",3,0)+
IF(#REF!&gt;250,4,0)+
IF(#REF!="no",1,0)+
IF(#REF!="Heavy Domestic User",2,0)</f>
        <v>#REF!</v>
      </c>
      <c r="AG2874" t="e">
        <f>IF(#REF!&gt;=10,"High Risk", IF(#REF!&gt;=5,"Medium Risk","Low Risk"))</f>
        <v>#REF!</v>
      </c>
      <c r="AH2874" t="e">
        <f>#REF! + #REF! + #REF! + #REF!</f>
        <v>#REF!</v>
      </c>
    </row>
    <row r="2875" spans="1:34" x14ac:dyDescent="0.35">
      <c r="A2875">
        <v>2874</v>
      </c>
      <c r="B2875" t="s">
        <v>45</v>
      </c>
      <c r="C2875">
        <v>63</v>
      </c>
      <c r="D2875" t="s">
        <v>21</v>
      </c>
      <c r="E2875" t="s">
        <v>22</v>
      </c>
      <c r="F2875" t="s">
        <v>22</v>
      </c>
      <c r="G2875">
        <v>0</v>
      </c>
      <c r="H2875">
        <v>112.5</v>
      </c>
      <c r="I2875">
        <v>95</v>
      </c>
      <c r="J2875">
        <v>19.13</v>
      </c>
      <c r="K2875">
        <v>211.2</v>
      </c>
      <c r="L2875">
        <v>67</v>
      </c>
      <c r="M2875">
        <v>17.95</v>
      </c>
      <c r="N2875">
        <v>227.5</v>
      </c>
      <c r="O2875">
        <v>96</v>
      </c>
      <c r="P2875">
        <v>10.24</v>
      </c>
      <c r="Q2875">
        <v>11.1</v>
      </c>
      <c r="R2875">
        <v>8</v>
      </c>
      <c r="S2875">
        <v>3</v>
      </c>
      <c r="T2875">
        <v>0</v>
      </c>
      <c r="U2875" t="s">
        <v>22</v>
      </c>
      <c r="V2875" t="e">
        <f>IF(#REF! = "yes", 1, 0)</f>
        <v>#REF!</v>
      </c>
      <c r="W2875" t="e">
        <f>IF(#REF! &lt;= 1, "0-1 Calls", IF(#REF! &lt;= 3, "2-3 Calls", IF(#REF! &lt;=5, "4-5 Calls", "6+ Calls")))</f>
        <v>#REF!</v>
      </c>
      <c r="X2875" t="e">
        <f>IF(#REF! &lt;= 50, "0-50", IF(#REF! &lt;=100, "51-100", IF(#REF! &lt;= 150, "101-150", "151+")))</f>
        <v>#REF!</v>
      </c>
      <c r="Y2875" t="e">
        <f>IF(#REF! &lt;= 3, "Low Charges", "High Charges")</f>
        <v>#REF!</v>
      </c>
      <c r="Z2875" t="e">
        <f>IF(#REF!&lt;=80,"Low Calls",
IF(#REF!&lt;=120,"Medium Calls","High Calls"))</f>
        <v>#REF!</v>
      </c>
      <c r="AA2875" t="e">
        <f>IF(#REF!&lt;=15,"Low Charges",
IF(#REF!&lt;=20,"Medium Charges","High Charges"))</f>
        <v>#REF!</v>
      </c>
      <c r="AB2875" t="e">
        <f>IF(AND(#REF!&gt;180, #REF!&gt;200), "Heavy Doemstic User", IF(#REF!&gt;10, "Interntional User", IF(AND(#REF!&lt;180, #REF!&lt;200,#REF!&lt;200), "Light User", "Balanced User")))</f>
        <v>#REF!</v>
      </c>
      <c r="AC2875" t="e">
        <f>IF(#REF! = 0, "No Usage", IF(#REF! &lt;= 20, "Low Usage", IF(#REF! &lt;= 40, "Medium Usgae", "High Usage")))</f>
        <v>#REF!</v>
      </c>
      <c r="AD2875" t="e">
        <f>IF(#REF!&lt;=150,"Low Usage", IF(#REF!&lt;=200,"Medium Usage", IF(#REF!&lt;=250,"High Usage","Very High Usage")))</f>
        <v>#REF!</v>
      </c>
      <c r="AE2875" t="e">
        <f>IF(#REF!&lt;=5,"Low Calls", IF(#REF!&lt;=10, "Medium Calls", "High Calls"))</f>
        <v>#REF!</v>
      </c>
      <c r="AF2875" t="e">
        <f xml:space="preserve">
IF(#REF!&gt;=4,4,0)+
IF(#REF!="yes",3,0)+
IF(#REF!="High Charges",3,0)+
IF(#REF!&gt;250,4,0)+
IF(#REF!="no",1,0)+
IF(#REF!="Heavy Domestic User",2,0)</f>
        <v>#REF!</v>
      </c>
      <c r="AG2875" t="e">
        <f>IF(#REF!&gt;=10,"High Risk", IF(#REF!&gt;=5,"Medium Risk","Low Risk"))</f>
        <v>#REF!</v>
      </c>
      <c r="AH2875" t="e">
        <f>#REF! + #REF! + #REF! + #REF!</f>
        <v>#REF!</v>
      </c>
    </row>
    <row r="2876" spans="1:34" x14ac:dyDescent="0.35">
      <c r="A2876">
        <v>2875</v>
      </c>
      <c r="B2876" t="s">
        <v>64</v>
      </c>
      <c r="C2876">
        <v>105</v>
      </c>
      <c r="D2876" t="s">
        <v>28</v>
      </c>
      <c r="E2876" t="s">
        <v>22</v>
      </c>
      <c r="F2876" t="s">
        <v>22</v>
      </c>
      <c r="G2876">
        <v>0</v>
      </c>
      <c r="H2876">
        <v>167.7</v>
      </c>
      <c r="I2876">
        <v>93</v>
      </c>
      <c r="J2876">
        <v>28.51</v>
      </c>
      <c r="K2876">
        <v>234.1</v>
      </c>
      <c r="L2876">
        <v>103</v>
      </c>
      <c r="M2876">
        <v>19.899999999999999</v>
      </c>
      <c r="N2876">
        <v>169.7</v>
      </c>
      <c r="O2876">
        <v>121</v>
      </c>
      <c r="P2876">
        <v>7.64</v>
      </c>
      <c r="Q2876">
        <v>6.9</v>
      </c>
      <c r="R2876">
        <v>5</v>
      </c>
      <c r="S2876">
        <v>1.86</v>
      </c>
      <c r="T2876">
        <v>3</v>
      </c>
      <c r="U2876" t="s">
        <v>22</v>
      </c>
      <c r="V2876" t="e">
        <f>IF(#REF! = "yes", 1, 0)</f>
        <v>#REF!</v>
      </c>
      <c r="W2876" t="e">
        <f>IF(#REF! &lt;= 1, "0-1 Calls", IF(#REF! &lt;= 3, "2-3 Calls", IF(#REF! &lt;=5, "4-5 Calls", "6+ Calls")))</f>
        <v>#REF!</v>
      </c>
      <c r="X2876" t="e">
        <f>IF(#REF! &lt;= 50, "0-50", IF(#REF! &lt;=100, "51-100", IF(#REF! &lt;= 150, "101-150", "151+")))</f>
        <v>#REF!</v>
      </c>
      <c r="Y2876" t="e">
        <f>IF(#REF! &lt;= 3, "Low Charges", "High Charges")</f>
        <v>#REF!</v>
      </c>
      <c r="Z2876" t="e">
        <f>IF(#REF!&lt;=80,"Low Calls",
IF(#REF!&lt;=120,"Medium Calls","High Calls"))</f>
        <v>#REF!</v>
      </c>
      <c r="AA2876" t="e">
        <f>IF(#REF!&lt;=15,"Low Charges",
IF(#REF!&lt;=20,"Medium Charges","High Charges"))</f>
        <v>#REF!</v>
      </c>
      <c r="AB2876" t="e">
        <f>IF(AND(#REF!&gt;180, #REF!&gt;200), "Heavy Doemstic User", IF(#REF!&gt;10, "Interntional User", IF(AND(#REF!&lt;180, #REF!&lt;200,#REF!&lt;200), "Light User", "Balanced User")))</f>
        <v>#REF!</v>
      </c>
      <c r="AC2876" t="e">
        <f>IF(#REF! = 0, "No Usage", IF(#REF! &lt;= 20, "Low Usage", IF(#REF! &lt;= 40, "Medium Usgae", "High Usage")))</f>
        <v>#REF!</v>
      </c>
      <c r="AD2876" t="e">
        <f>IF(#REF!&lt;=150,"Low Usage", IF(#REF!&lt;=200,"Medium Usage", IF(#REF!&lt;=250,"High Usage","Very High Usage")))</f>
        <v>#REF!</v>
      </c>
      <c r="AE2876" t="e">
        <f>IF(#REF!&lt;=5,"Low Calls", IF(#REF!&lt;=10, "Medium Calls", "High Calls"))</f>
        <v>#REF!</v>
      </c>
      <c r="AF2876" t="e">
        <f xml:space="preserve">
IF(#REF!&gt;=4,4,0)+
IF(#REF!="yes",3,0)+
IF(#REF!="High Charges",3,0)+
IF(#REF!&gt;250,4,0)+
IF(#REF!="no",1,0)+
IF(#REF!="Heavy Domestic User",2,0)</f>
        <v>#REF!</v>
      </c>
      <c r="AG2876" t="e">
        <f>IF(#REF!&gt;=10,"High Risk", IF(#REF!&gt;=5,"Medium Risk","Low Risk"))</f>
        <v>#REF!</v>
      </c>
      <c r="AH2876" t="e">
        <f>#REF! + #REF! + #REF! + #REF!</f>
        <v>#REF!</v>
      </c>
    </row>
    <row r="2877" spans="1:34" x14ac:dyDescent="0.35">
      <c r="A2877">
        <v>2876</v>
      </c>
      <c r="B2877" t="s">
        <v>52</v>
      </c>
      <c r="C2877">
        <v>159</v>
      </c>
      <c r="D2877" t="s">
        <v>25</v>
      </c>
      <c r="E2877" t="s">
        <v>22</v>
      </c>
      <c r="F2877" t="s">
        <v>22</v>
      </c>
      <c r="G2877">
        <v>0</v>
      </c>
      <c r="H2877">
        <v>180.1</v>
      </c>
      <c r="I2877">
        <v>103</v>
      </c>
      <c r="J2877">
        <v>30.62</v>
      </c>
      <c r="K2877">
        <v>193.4</v>
      </c>
      <c r="L2877">
        <v>148</v>
      </c>
      <c r="M2877">
        <v>16.440000000000001</v>
      </c>
      <c r="N2877">
        <v>251.2</v>
      </c>
      <c r="O2877">
        <v>109</v>
      </c>
      <c r="P2877">
        <v>11.3</v>
      </c>
      <c r="Q2877">
        <v>13.4</v>
      </c>
      <c r="R2877">
        <v>5</v>
      </c>
      <c r="S2877">
        <v>3.62</v>
      </c>
      <c r="T2877">
        <v>0</v>
      </c>
      <c r="U2877" t="s">
        <v>22</v>
      </c>
      <c r="V2877" t="e">
        <f>IF(#REF! = "yes", 1, 0)</f>
        <v>#REF!</v>
      </c>
      <c r="W2877" t="e">
        <f>IF(#REF! &lt;= 1, "0-1 Calls", IF(#REF! &lt;= 3, "2-3 Calls", IF(#REF! &lt;=5, "4-5 Calls", "6+ Calls")))</f>
        <v>#REF!</v>
      </c>
      <c r="X2877" t="e">
        <f>IF(#REF! &lt;= 50, "0-50", IF(#REF! &lt;=100, "51-100", IF(#REF! &lt;= 150, "101-150", "151+")))</f>
        <v>#REF!</v>
      </c>
      <c r="Y2877" t="e">
        <f>IF(#REF! &lt;= 3, "Low Charges", "High Charges")</f>
        <v>#REF!</v>
      </c>
      <c r="Z2877" t="e">
        <f>IF(#REF!&lt;=80,"Low Calls",
IF(#REF!&lt;=120,"Medium Calls","High Calls"))</f>
        <v>#REF!</v>
      </c>
      <c r="AA2877" t="e">
        <f>IF(#REF!&lt;=15,"Low Charges",
IF(#REF!&lt;=20,"Medium Charges","High Charges"))</f>
        <v>#REF!</v>
      </c>
      <c r="AB2877" t="e">
        <f>IF(AND(#REF!&gt;180, #REF!&gt;200), "Heavy Doemstic User", IF(#REF!&gt;10, "Interntional User", IF(AND(#REF!&lt;180, #REF!&lt;200,#REF!&lt;200), "Light User", "Balanced User")))</f>
        <v>#REF!</v>
      </c>
      <c r="AC2877" t="e">
        <f>IF(#REF! = 0, "No Usage", IF(#REF! &lt;= 20, "Low Usage", IF(#REF! &lt;= 40, "Medium Usgae", "High Usage")))</f>
        <v>#REF!</v>
      </c>
      <c r="AD2877" t="e">
        <f>IF(#REF!&lt;=150,"Low Usage", IF(#REF!&lt;=200,"Medium Usage", IF(#REF!&lt;=250,"High Usage","Very High Usage")))</f>
        <v>#REF!</v>
      </c>
      <c r="AE2877" t="e">
        <f>IF(#REF!&lt;=5,"Low Calls", IF(#REF!&lt;=10, "Medium Calls", "High Calls"))</f>
        <v>#REF!</v>
      </c>
      <c r="AF2877" t="e">
        <f xml:space="preserve">
IF(#REF!&gt;=4,4,0)+
IF(#REF!="yes",3,0)+
IF(#REF!="High Charges",3,0)+
IF(#REF!&gt;250,4,0)+
IF(#REF!="no",1,0)+
IF(#REF!="Heavy Domestic User",2,0)</f>
        <v>#REF!</v>
      </c>
      <c r="AG2877" t="e">
        <f>IF(#REF!&gt;=10,"High Risk", IF(#REF!&gt;=5,"Medium Risk","Low Risk"))</f>
        <v>#REF!</v>
      </c>
      <c r="AH2877" t="e">
        <f>#REF! + #REF! + #REF! + #REF!</f>
        <v>#REF!</v>
      </c>
    </row>
    <row r="2878" spans="1:34" x14ac:dyDescent="0.35">
      <c r="A2878">
        <v>2877</v>
      </c>
      <c r="B2878" t="s">
        <v>61</v>
      </c>
      <c r="C2878">
        <v>83</v>
      </c>
      <c r="D2878" t="s">
        <v>28</v>
      </c>
      <c r="E2878" t="s">
        <v>22</v>
      </c>
      <c r="F2878" t="s">
        <v>22</v>
      </c>
      <c r="G2878">
        <v>0</v>
      </c>
      <c r="H2878">
        <v>129.6</v>
      </c>
      <c r="I2878">
        <v>81</v>
      </c>
      <c r="J2878">
        <v>22.03</v>
      </c>
      <c r="K2878">
        <v>189.7</v>
      </c>
      <c r="L2878">
        <v>117</v>
      </c>
      <c r="M2878">
        <v>16.12</v>
      </c>
      <c r="N2878">
        <v>219</v>
      </c>
      <c r="O2878">
        <v>118</v>
      </c>
      <c r="P2878">
        <v>9.86</v>
      </c>
      <c r="Q2878">
        <v>9.8000000000000007</v>
      </c>
      <c r="R2878">
        <v>4</v>
      </c>
      <c r="S2878">
        <v>2.65</v>
      </c>
      <c r="T2878">
        <v>2</v>
      </c>
      <c r="U2878" t="s">
        <v>22</v>
      </c>
      <c r="V2878" t="e">
        <f>IF(#REF! = "yes", 1, 0)</f>
        <v>#REF!</v>
      </c>
      <c r="W2878" t="e">
        <f>IF(#REF! &lt;= 1, "0-1 Calls", IF(#REF! &lt;= 3, "2-3 Calls", IF(#REF! &lt;=5, "4-5 Calls", "6+ Calls")))</f>
        <v>#REF!</v>
      </c>
      <c r="X2878" t="e">
        <f>IF(#REF! &lt;= 50, "0-50", IF(#REF! &lt;=100, "51-100", IF(#REF! &lt;= 150, "101-150", "151+")))</f>
        <v>#REF!</v>
      </c>
      <c r="Y2878" t="e">
        <f>IF(#REF! &lt;= 3, "Low Charges", "High Charges")</f>
        <v>#REF!</v>
      </c>
      <c r="Z2878" t="e">
        <f>IF(#REF!&lt;=80,"Low Calls",
IF(#REF!&lt;=120,"Medium Calls","High Calls"))</f>
        <v>#REF!</v>
      </c>
      <c r="AA2878" t="e">
        <f>IF(#REF!&lt;=15,"Low Charges",
IF(#REF!&lt;=20,"Medium Charges","High Charges"))</f>
        <v>#REF!</v>
      </c>
      <c r="AB2878" t="e">
        <f>IF(AND(#REF!&gt;180, #REF!&gt;200), "Heavy Doemstic User", IF(#REF!&gt;10, "Interntional User", IF(AND(#REF!&lt;180, #REF!&lt;200,#REF!&lt;200), "Light User", "Balanced User")))</f>
        <v>#REF!</v>
      </c>
      <c r="AC2878" t="e">
        <f>IF(#REF! = 0, "No Usage", IF(#REF! &lt;= 20, "Low Usage", IF(#REF! &lt;= 40, "Medium Usgae", "High Usage")))</f>
        <v>#REF!</v>
      </c>
      <c r="AD2878" t="e">
        <f>IF(#REF!&lt;=150,"Low Usage", IF(#REF!&lt;=200,"Medium Usage", IF(#REF!&lt;=250,"High Usage","Very High Usage")))</f>
        <v>#REF!</v>
      </c>
      <c r="AE2878" t="e">
        <f>IF(#REF!&lt;=5,"Low Calls", IF(#REF!&lt;=10, "Medium Calls", "High Calls"))</f>
        <v>#REF!</v>
      </c>
      <c r="AF2878" t="e">
        <f xml:space="preserve">
IF(#REF!&gt;=4,4,0)+
IF(#REF!="yes",3,0)+
IF(#REF!="High Charges",3,0)+
IF(#REF!&gt;250,4,0)+
IF(#REF!="no",1,0)+
IF(#REF!="Heavy Domestic User",2,0)</f>
        <v>#REF!</v>
      </c>
      <c r="AG2878" t="e">
        <f>IF(#REF!&gt;=10,"High Risk", IF(#REF!&gt;=5,"Medium Risk","Low Risk"))</f>
        <v>#REF!</v>
      </c>
      <c r="AH2878" t="e">
        <f>#REF! + #REF! + #REF! + #REF!</f>
        <v>#REF!</v>
      </c>
    </row>
    <row r="2879" spans="1:34" x14ac:dyDescent="0.35">
      <c r="A2879">
        <v>2878</v>
      </c>
      <c r="B2879" t="s">
        <v>57</v>
      </c>
      <c r="C2879">
        <v>93</v>
      </c>
      <c r="D2879" t="s">
        <v>28</v>
      </c>
      <c r="E2879" t="s">
        <v>22</v>
      </c>
      <c r="F2879" t="s">
        <v>22</v>
      </c>
      <c r="G2879">
        <v>0</v>
      </c>
      <c r="H2879">
        <v>215.5</v>
      </c>
      <c r="I2879">
        <v>108</v>
      </c>
      <c r="J2879">
        <v>36.64</v>
      </c>
      <c r="K2879">
        <v>230.9</v>
      </c>
      <c r="L2879">
        <v>70</v>
      </c>
      <c r="M2879">
        <v>19.63</v>
      </c>
      <c r="N2879">
        <v>144.1</v>
      </c>
      <c r="O2879">
        <v>134</v>
      </c>
      <c r="P2879">
        <v>6.48</v>
      </c>
      <c r="Q2879">
        <v>13.2</v>
      </c>
      <c r="R2879">
        <v>4</v>
      </c>
      <c r="S2879">
        <v>3.56</v>
      </c>
      <c r="T2879">
        <v>0</v>
      </c>
      <c r="U2879" t="s">
        <v>22</v>
      </c>
      <c r="V2879" t="e">
        <f>IF(#REF! = "yes", 1, 0)</f>
        <v>#REF!</v>
      </c>
      <c r="W2879" t="e">
        <f>IF(#REF! &lt;= 1, "0-1 Calls", IF(#REF! &lt;= 3, "2-3 Calls", IF(#REF! &lt;=5, "4-5 Calls", "6+ Calls")))</f>
        <v>#REF!</v>
      </c>
      <c r="X2879" t="e">
        <f>IF(#REF! &lt;= 50, "0-50", IF(#REF! &lt;=100, "51-100", IF(#REF! &lt;= 150, "101-150", "151+")))</f>
        <v>#REF!</v>
      </c>
      <c r="Y2879" t="e">
        <f>IF(#REF! &lt;= 3, "Low Charges", "High Charges")</f>
        <v>#REF!</v>
      </c>
      <c r="Z2879" t="e">
        <f>IF(#REF!&lt;=80,"Low Calls",
IF(#REF!&lt;=120,"Medium Calls","High Calls"))</f>
        <v>#REF!</v>
      </c>
      <c r="AA2879" t="e">
        <f>IF(#REF!&lt;=15,"Low Charges",
IF(#REF!&lt;=20,"Medium Charges","High Charges"))</f>
        <v>#REF!</v>
      </c>
      <c r="AB2879" t="e">
        <f>IF(AND(#REF!&gt;180, #REF!&gt;200), "Heavy Doemstic User", IF(#REF!&gt;10, "Interntional User", IF(AND(#REF!&lt;180, #REF!&lt;200,#REF!&lt;200), "Light User", "Balanced User")))</f>
        <v>#REF!</v>
      </c>
      <c r="AC2879" t="e">
        <f>IF(#REF! = 0, "No Usage", IF(#REF! &lt;= 20, "Low Usage", IF(#REF! &lt;= 40, "Medium Usgae", "High Usage")))</f>
        <v>#REF!</v>
      </c>
      <c r="AD2879" t="e">
        <f>IF(#REF!&lt;=150,"Low Usage", IF(#REF!&lt;=200,"Medium Usage", IF(#REF!&lt;=250,"High Usage","Very High Usage")))</f>
        <v>#REF!</v>
      </c>
      <c r="AE2879" t="e">
        <f>IF(#REF!&lt;=5,"Low Calls", IF(#REF!&lt;=10, "Medium Calls", "High Calls"))</f>
        <v>#REF!</v>
      </c>
      <c r="AF2879" t="e">
        <f xml:space="preserve">
IF(#REF!&gt;=4,4,0)+
IF(#REF!="yes",3,0)+
IF(#REF!="High Charges",3,0)+
IF(#REF!&gt;250,4,0)+
IF(#REF!="no",1,0)+
IF(#REF!="Heavy Domestic User",2,0)</f>
        <v>#REF!</v>
      </c>
      <c r="AG2879" t="e">
        <f>IF(#REF!&gt;=10,"High Risk", IF(#REF!&gt;=5,"Medium Risk","Low Risk"))</f>
        <v>#REF!</v>
      </c>
      <c r="AH2879" t="e">
        <f>#REF! + #REF! + #REF! + #REF!</f>
        <v>#REF!</v>
      </c>
    </row>
    <row r="2880" spans="1:34" x14ac:dyDescent="0.35">
      <c r="A2880">
        <v>2879</v>
      </c>
      <c r="B2880" t="s">
        <v>55</v>
      </c>
      <c r="C2880">
        <v>98</v>
      </c>
      <c r="D2880" t="s">
        <v>21</v>
      </c>
      <c r="E2880" t="s">
        <v>22</v>
      </c>
      <c r="F2880" t="s">
        <v>22</v>
      </c>
      <c r="G2880">
        <v>0</v>
      </c>
      <c r="H2880">
        <v>211.9</v>
      </c>
      <c r="I2880">
        <v>65</v>
      </c>
      <c r="J2880">
        <v>36.020000000000003</v>
      </c>
      <c r="K2880">
        <v>224.6</v>
      </c>
      <c r="L2880">
        <v>95</v>
      </c>
      <c r="M2880">
        <v>19.09</v>
      </c>
      <c r="N2880">
        <v>233</v>
      </c>
      <c r="O2880">
        <v>81</v>
      </c>
      <c r="P2880">
        <v>10.49</v>
      </c>
      <c r="Q2880">
        <v>9.9</v>
      </c>
      <c r="R2880">
        <v>3</v>
      </c>
      <c r="S2880">
        <v>2.67</v>
      </c>
      <c r="T2880">
        <v>2</v>
      </c>
      <c r="U2880" t="s">
        <v>22</v>
      </c>
      <c r="V2880" t="e">
        <f>IF(#REF! = "yes", 1, 0)</f>
        <v>#REF!</v>
      </c>
      <c r="W2880" t="e">
        <f>IF(#REF! &lt;= 1, "0-1 Calls", IF(#REF! &lt;= 3, "2-3 Calls", IF(#REF! &lt;=5, "4-5 Calls", "6+ Calls")))</f>
        <v>#REF!</v>
      </c>
      <c r="X2880" t="e">
        <f>IF(#REF! &lt;= 50, "0-50", IF(#REF! &lt;=100, "51-100", IF(#REF! &lt;= 150, "101-150", "151+")))</f>
        <v>#REF!</v>
      </c>
      <c r="Y2880" t="e">
        <f>IF(#REF! &lt;= 3, "Low Charges", "High Charges")</f>
        <v>#REF!</v>
      </c>
      <c r="Z2880" t="e">
        <f>IF(#REF!&lt;=80,"Low Calls",
IF(#REF!&lt;=120,"Medium Calls","High Calls"))</f>
        <v>#REF!</v>
      </c>
      <c r="AA2880" t="e">
        <f>IF(#REF!&lt;=15,"Low Charges",
IF(#REF!&lt;=20,"Medium Charges","High Charges"))</f>
        <v>#REF!</v>
      </c>
      <c r="AB2880" t="e">
        <f>IF(AND(#REF!&gt;180, #REF!&gt;200), "Heavy Doemstic User", IF(#REF!&gt;10, "Interntional User", IF(AND(#REF!&lt;180, #REF!&lt;200,#REF!&lt;200), "Light User", "Balanced User")))</f>
        <v>#REF!</v>
      </c>
      <c r="AC2880" t="e">
        <f>IF(#REF! = 0, "No Usage", IF(#REF! &lt;= 20, "Low Usage", IF(#REF! &lt;= 40, "Medium Usgae", "High Usage")))</f>
        <v>#REF!</v>
      </c>
      <c r="AD2880" t="e">
        <f>IF(#REF!&lt;=150,"Low Usage", IF(#REF!&lt;=200,"Medium Usage", IF(#REF!&lt;=250,"High Usage","Very High Usage")))</f>
        <v>#REF!</v>
      </c>
      <c r="AE2880" t="e">
        <f>IF(#REF!&lt;=5,"Low Calls", IF(#REF!&lt;=10, "Medium Calls", "High Calls"))</f>
        <v>#REF!</v>
      </c>
      <c r="AF2880" t="e">
        <f xml:space="preserve">
IF(#REF!&gt;=4,4,0)+
IF(#REF!="yes",3,0)+
IF(#REF!="High Charges",3,0)+
IF(#REF!&gt;250,4,0)+
IF(#REF!="no",1,0)+
IF(#REF!="Heavy Domestic User",2,0)</f>
        <v>#REF!</v>
      </c>
      <c r="AG2880" t="e">
        <f>IF(#REF!&gt;=10,"High Risk", IF(#REF!&gt;=5,"Medium Risk","Low Risk"))</f>
        <v>#REF!</v>
      </c>
      <c r="AH2880" t="e">
        <f>#REF! + #REF! + #REF! + #REF!</f>
        <v>#REF!</v>
      </c>
    </row>
    <row r="2881" spans="1:34" x14ac:dyDescent="0.35">
      <c r="A2881">
        <v>2880</v>
      </c>
      <c r="B2881" t="s">
        <v>24</v>
      </c>
      <c r="C2881">
        <v>163</v>
      </c>
      <c r="D2881" t="s">
        <v>21</v>
      </c>
      <c r="E2881" t="s">
        <v>22</v>
      </c>
      <c r="F2881" t="s">
        <v>22</v>
      </c>
      <c r="G2881">
        <v>0</v>
      </c>
      <c r="H2881">
        <v>82</v>
      </c>
      <c r="I2881">
        <v>95</v>
      </c>
      <c r="J2881">
        <v>13.94</v>
      </c>
      <c r="K2881">
        <v>125.2</v>
      </c>
      <c r="L2881">
        <v>103</v>
      </c>
      <c r="M2881">
        <v>10.64</v>
      </c>
      <c r="N2881">
        <v>171.3</v>
      </c>
      <c r="O2881">
        <v>107</v>
      </c>
      <c r="P2881">
        <v>7.71</v>
      </c>
      <c r="Q2881">
        <v>8</v>
      </c>
      <c r="R2881">
        <v>4</v>
      </c>
      <c r="S2881">
        <v>2.16</v>
      </c>
      <c r="T2881">
        <v>1</v>
      </c>
      <c r="U2881" t="s">
        <v>22</v>
      </c>
      <c r="V2881" t="e">
        <f>IF(#REF! = "yes", 1, 0)</f>
        <v>#REF!</v>
      </c>
      <c r="W2881" t="e">
        <f>IF(#REF! &lt;= 1, "0-1 Calls", IF(#REF! &lt;= 3, "2-3 Calls", IF(#REF! &lt;=5, "4-5 Calls", "6+ Calls")))</f>
        <v>#REF!</v>
      </c>
      <c r="X2881" t="e">
        <f>IF(#REF! &lt;= 50, "0-50", IF(#REF! &lt;=100, "51-100", IF(#REF! &lt;= 150, "101-150", "151+")))</f>
        <v>#REF!</v>
      </c>
      <c r="Y2881" t="e">
        <f>IF(#REF! &lt;= 3, "Low Charges", "High Charges")</f>
        <v>#REF!</v>
      </c>
      <c r="Z2881" t="e">
        <f>IF(#REF!&lt;=80,"Low Calls",
IF(#REF!&lt;=120,"Medium Calls","High Calls"))</f>
        <v>#REF!</v>
      </c>
      <c r="AA2881" t="e">
        <f>IF(#REF!&lt;=15,"Low Charges",
IF(#REF!&lt;=20,"Medium Charges","High Charges"))</f>
        <v>#REF!</v>
      </c>
      <c r="AB2881" t="e">
        <f>IF(AND(#REF!&gt;180, #REF!&gt;200), "Heavy Doemstic User", IF(#REF!&gt;10, "Interntional User", IF(AND(#REF!&lt;180, #REF!&lt;200,#REF!&lt;200), "Light User", "Balanced User")))</f>
        <v>#REF!</v>
      </c>
      <c r="AC2881" t="e">
        <f>IF(#REF! = 0, "No Usage", IF(#REF! &lt;= 20, "Low Usage", IF(#REF! &lt;= 40, "Medium Usgae", "High Usage")))</f>
        <v>#REF!</v>
      </c>
      <c r="AD2881" t="e">
        <f>IF(#REF!&lt;=150,"Low Usage", IF(#REF!&lt;=200,"Medium Usage", IF(#REF!&lt;=250,"High Usage","Very High Usage")))</f>
        <v>#REF!</v>
      </c>
      <c r="AE2881" t="e">
        <f>IF(#REF!&lt;=5,"Low Calls", IF(#REF!&lt;=10, "Medium Calls", "High Calls"))</f>
        <v>#REF!</v>
      </c>
      <c r="AF2881" t="e">
        <f xml:space="preserve">
IF(#REF!&gt;=4,4,0)+
IF(#REF!="yes",3,0)+
IF(#REF!="High Charges",3,0)+
IF(#REF!&gt;250,4,0)+
IF(#REF!="no",1,0)+
IF(#REF!="Heavy Domestic User",2,0)</f>
        <v>#REF!</v>
      </c>
      <c r="AG2881" t="e">
        <f>IF(#REF!&gt;=10,"High Risk", IF(#REF!&gt;=5,"Medium Risk","Low Risk"))</f>
        <v>#REF!</v>
      </c>
      <c r="AH2881" t="e">
        <f>#REF! + #REF! + #REF! + #REF!</f>
        <v>#REF!</v>
      </c>
    </row>
    <row r="2882" spans="1:34" x14ac:dyDescent="0.35">
      <c r="A2882">
        <v>2881</v>
      </c>
      <c r="B2882" t="s">
        <v>27</v>
      </c>
      <c r="C2882">
        <v>169</v>
      </c>
      <c r="D2882" t="s">
        <v>25</v>
      </c>
      <c r="E2882" t="s">
        <v>22</v>
      </c>
      <c r="F2882" t="s">
        <v>23</v>
      </c>
      <c r="G2882">
        <v>22</v>
      </c>
      <c r="H2882">
        <v>149.1</v>
      </c>
      <c r="I2882">
        <v>103</v>
      </c>
      <c r="J2882">
        <v>25.35</v>
      </c>
      <c r="K2882">
        <v>207.2</v>
      </c>
      <c r="L2882">
        <v>91</v>
      </c>
      <c r="M2882">
        <v>17.61</v>
      </c>
      <c r="N2882">
        <v>265.39999999999998</v>
      </c>
      <c r="O2882">
        <v>92</v>
      </c>
      <c r="P2882">
        <v>11.94</v>
      </c>
      <c r="Q2882">
        <v>11.4</v>
      </c>
      <c r="R2882">
        <v>7</v>
      </c>
      <c r="S2882">
        <v>3.08</v>
      </c>
      <c r="T2882">
        <v>2</v>
      </c>
      <c r="U2882" t="s">
        <v>22</v>
      </c>
      <c r="V2882" t="e">
        <f>IF(#REF! = "yes", 1, 0)</f>
        <v>#REF!</v>
      </c>
      <c r="W2882" t="e">
        <f>IF(#REF! &lt;= 1, "0-1 Calls", IF(#REF! &lt;= 3, "2-3 Calls", IF(#REF! &lt;=5, "4-5 Calls", "6+ Calls")))</f>
        <v>#REF!</v>
      </c>
      <c r="X2882" t="e">
        <f>IF(#REF! &lt;= 50, "0-50", IF(#REF! &lt;=100, "51-100", IF(#REF! &lt;= 150, "101-150", "151+")))</f>
        <v>#REF!</v>
      </c>
      <c r="Y2882" t="e">
        <f>IF(#REF! &lt;= 3, "Low Charges", "High Charges")</f>
        <v>#REF!</v>
      </c>
      <c r="Z2882" t="e">
        <f>IF(#REF!&lt;=80,"Low Calls",
IF(#REF!&lt;=120,"Medium Calls","High Calls"))</f>
        <v>#REF!</v>
      </c>
      <c r="AA2882" t="e">
        <f>IF(#REF!&lt;=15,"Low Charges",
IF(#REF!&lt;=20,"Medium Charges","High Charges"))</f>
        <v>#REF!</v>
      </c>
      <c r="AB2882" t="e">
        <f>IF(AND(#REF!&gt;180, #REF!&gt;200), "Heavy Doemstic User", IF(#REF!&gt;10, "Interntional User", IF(AND(#REF!&lt;180, #REF!&lt;200,#REF!&lt;200), "Light User", "Balanced User")))</f>
        <v>#REF!</v>
      </c>
      <c r="AC2882" t="e">
        <f>IF(#REF! = 0, "No Usage", IF(#REF! &lt;= 20, "Low Usage", IF(#REF! &lt;= 40, "Medium Usgae", "High Usage")))</f>
        <v>#REF!</v>
      </c>
      <c r="AD2882" t="e">
        <f>IF(#REF!&lt;=150,"Low Usage", IF(#REF!&lt;=200,"Medium Usage", IF(#REF!&lt;=250,"High Usage","Very High Usage")))</f>
        <v>#REF!</v>
      </c>
      <c r="AE2882" t="e">
        <f>IF(#REF!&lt;=5,"Low Calls", IF(#REF!&lt;=10, "Medium Calls", "High Calls"))</f>
        <v>#REF!</v>
      </c>
      <c r="AF2882" t="e">
        <f xml:space="preserve">
IF(#REF!&gt;=4,4,0)+
IF(#REF!="yes",3,0)+
IF(#REF!="High Charges",3,0)+
IF(#REF!&gt;250,4,0)+
IF(#REF!="no",1,0)+
IF(#REF!="Heavy Domestic User",2,0)</f>
        <v>#REF!</v>
      </c>
      <c r="AG2882" t="e">
        <f>IF(#REF!&gt;=10,"High Risk", IF(#REF!&gt;=5,"Medium Risk","Low Risk"))</f>
        <v>#REF!</v>
      </c>
      <c r="AH2882" t="e">
        <f>#REF! + #REF! + #REF! + #REF!</f>
        <v>#REF!</v>
      </c>
    </row>
    <row r="2883" spans="1:34" x14ac:dyDescent="0.35">
      <c r="A2883">
        <v>2882</v>
      </c>
      <c r="B2883" t="s">
        <v>62</v>
      </c>
      <c r="C2883">
        <v>111</v>
      </c>
      <c r="D2883" t="s">
        <v>21</v>
      </c>
      <c r="E2883" t="s">
        <v>22</v>
      </c>
      <c r="F2883" t="s">
        <v>22</v>
      </c>
      <c r="G2883">
        <v>0</v>
      </c>
      <c r="H2883">
        <v>304.60000000000002</v>
      </c>
      <c r="I2883">
        <v>56</v>
      </c>
      <c r="J2883">
        <v>51.78</v>
      </c>
      <c r="K2883">
        <v>157.6</v>
      </c>
      <c r="L2883">
        <v>101</v>
      </c>
      <c r="M2883">
        <v>13.4</v>
      </c>
      <c r="N2883">
        <v>188.2</v>
      </c>
      <c r="O2883">
        <v>116</v>
      </c>
      <c r="P2883">
        <v>8.4700000000000006</v>
      </c>
      <c r="Q2883">
        <v>12.4</v>
      </c>
      <c r="R2883">
        <v>1</v>
      </c>
      <c r="S2883">
        <v>3.35</v>
      </c>
      <c r="T2883">
        <v>1</v>
      </c>
      <c r="U2883" t="s">
        <v>23</v>
      </c>
      <c r="V2883" t="e">
        <f>IF(#REF! = "yes", 1, 0)</f>
        <v>#REF!</v>
      </c>
      <c r="W2883" t="e">
        <f>IF(#REF! &lt;= 1, "0-1 Calls", IF(#REF! &lt;= 3, "2-3 Calls", IF(#REF! &lt;=5, "4-5 Calls", "6+ Calls")))</f>
        <v>#REF!</v>
      </c>
      <c r="X2883" t="e">
        <f>IF(#REF! &lt;= 50, "0-50", IF(#REF! &lt;=100, "51-100", IF(#REF! &lt;= 150, "101-150", "151+")))</f>
        <v>#REF!</v>
      </c>
      <c r="Y2883" t="e">
        <f>IF(#REF! &lt;= 3, "Low Charges", "High Charges")</f>
        <v>#REF!</v>
      </c>
      <c r="Z2883" t="e">
        <f>IF(#REF!&lt;=80,"Low Calls",
IF(#REF!&lt;=120,"Medium Calls","High Calls"))</f>
        <v>#REF!</v>
      </c>
      <c r="AA2883" t="e">
        <f>IF(#REF!&lt;=15,"Low Charges",
IF(#REF!&lt;=20,"Medium Charges","High Charges"))</f>
        <v>#REF!</v>
      </c>
      <c r="AB2883" t="e">
        <f>IF(AND(#REF!&gt;180, #REF!&gt;200), "Heavy Doemstic User", IF(#REF!&gt;10, "Interntional User", IF(AND(#REF!&lt;180, #REF!&lt;200,#REF!&lt;200), "Light User", "Balanced User")))</f>
        <v>#REF!</v>
      </c>
      <c r="AC2883" t="e">
        <f>IF(#REF! = 0, "No Usage", IF(#REF! &lt;= 20, "Low Usage", IF(#REF! &lt;= 40, "Medium Usgae", "High Usage")))</f>
        <v>#REF!</v>
      </c>
      <c r="AD2883" t="e">
        <f>IF(#REF!&lt;=150,"Low Usage", IF(#REF!&lt;=200,"Medium Usage", IF(#REF!&lt;=250,"High Usage","Very High Usage")))</f>
        <v>#REF!</v>
      </c>
      <c r="AE2883" t="e">
        <f>IF(#REF!&lt;=5,"Low Calls", IF(#REF!&lt;=10, "Medium Calls", "High Calls"))</f>
        <v>#REF!</v>
      </c>
      <c r="AF2883" t="e">
        <f xml:space="preserve">
IF(#REF!&gt;=4,4,0)+
IF(#REF!="yes",3,0)+
IF(#REF!="High Charges",3,0)+
IF(#REF!&gt;250,4,0)+
IF(#REF!="no",1,0)+
IF(#REF!="Heavy Domestic User",2,0)</f>
        <v>#REF!</v>
      </c>
      <c r="AG2883" t="e">
        <f>IF(#REF!&gt;=10,"High Risk", IF(#REF!&gt;=5,"Medium Risk","Low Risk"))</f>
        <v>#REF!</v>
      </c>
      <c r="AH2883" t="e">
        <f>#REF! + #REF! + #REF! + #REF!</f>
        <v>#REF!</v>
      </c>
    </row>
    <row r="2884" spans="1:34" x14ac:dyDescent="0.35">
      <c r="A2884">
        <v>2883</v>
      </c>
      <c r="B2884" t="s">
        <v>71</v>
      </c>
      <c r="C2884">
        <v>163</v>
      </c>
      <c r="D2884" t="s">
        <v>28</v>
      </c>
      <c r="E2884" t="s">
        <v>22</v>
      </c>
      <c r="F2884" t="s">
        <v>22</v>
      </c>
      <c r="G2884">
        <v>0</v>
      </c>
      <c r="H2884">
        <v>277.7</v>
      </c>
      <c r="I2884">
        <v>118</v>
      </c>
      <c r="J2884">
        <v>47.21</v>
      </c>
      <c r="K2884">
        <v>115.3</v>
      </c>
      <c r="L2884">
        <v>91</v>
      </c>
      <c r="M2884">
        <v>9.8000000000000007</v>
      </c>
      <c r="N2884">
        <v>170.3</v>
      </c>
      <c r="O2884">
        <v>90</v>
      </c>
      <c r="P2884">
        <v>7.66</v>
      </c>
      <c r="Q2884">
        <v>10.4</v>
      </c>
      <c r="R2884">
        <v>8</v>
      </c>
      <c r="S2884">
        <v>2.81</v>
      </c>
      <c r="T2884">
        <v>0</v>
      </c>
      <c r="U2884" t="s">
        <v>22</v>
      </c>
      <c r="V2884" t="e">
        <f>IF(#REF! = "yes", 1, 0)</f>
        <v>#REF!</v>
      </c>
      <c r="W2884" t="e">
        <f>IF(#REF! &lt;= 1, "0-1 Calls", IF(#REF! &lt;= 3, "2-3 Calls", IF(#REF! &lt;=5, "4-5 Calls", "6+ Calls")))</f>
        <v>#REF!</v>
      </c>
      <c r="X2884" t="e">
        <f>IF(#REF! &lt;= 50, "0-50", IF(#REF! &lt;=100, "51-100", IF(#REF! &lt;= 150, "101-150", "151+")))</f>
        <v>#REF!</v>
      </c>
      <c r="Y2884" t="e">
        <f>IF(#REF! &lt;= 3, "Low Charges", "High Charges")</f>
        <v>#REF!</v>
      </c>
      <c r="Z2884" t="e">
        <f>IF(#REF!&lt;=80,"Low Calls",
IF(#REF!&lt;=120,"Medium Calls","High Calls"))</f>
        <v>#REF!</v>
      </c>
      <c r="AA2884" t="e">
        <f>IF(#REF!&lt;=15,"Low Charges",
IF(#REF!&lt;=20,"Medium Charges","High Charges"))</f>
        <v>#REF!</v>
      </c>
      <c r="AB2884" t="e">
        <f>IF(AND(#REF!&gt;180, #REF!&gt;200), "Heavy Doemstic User", IF(#REF!&gt;10, "Interntional User", IF(AND(#REF!&lt;180, #REF!&lt;200,#REF!&lt;200), "Light User", "Balanced User")))</f>
        <v>#REF!</v>
      </c>
      <c r="AC2884" t="e">
        <f>IF(#REF! = 0, "No Usage", IF(#REF! &lt;= 20, "Low Usage", IF(#REF! &lt;= 40, "Medium Usgae", "High Usage")))</f>
        <v>#REF!</v>
      </c>
      <c r="AD2884" t="e">
        <f>IF(#REF!&lt;=150,"Low Usage", IF(#REF!&lt;=200,"Medium Usage", IF(#REF!&lt;=250,"High Usage","Very High Usage")))</f>
        <v>#REF!</v>
      </c>
      <c r="AE2884" t="e">
        <f>IF(#REF!&lt;=5,"Low Calls", IF(#REF!&lt;=10, "Medium Calls", "High Calls"))</f>
        <v>#REF!</v>
      </c>
      <c r="AF2884" t="e">
        <f xml:space="preserve">
IF(#REF!&gt;=4,4,0)+
IF(#REF!="yes",3,0)+
IF(#REF!="High Charges",3,0)+
IF(#REF!&gt;250,4,0)+
IF(#REF!="no",1,0)+
IF(#REF!="Heavy Domestic User",2,0)</f>
        <v>#REF!</v>
      </c>
      <c r="AG2884" t="e">
        <f>IF(#REF!&gt;=10,"High Risk", IF(#REF!&gt;=5,"Medium Risk","Low Risk"))</f>
        <v>#REF!</v>
      </c>
      <c r="AH2884" t="e">
        <f>#REF! + #REF! + #REF! + #REF!</f>
        <v>#REF!</v>
      </c>
    </row>
    <row r="2885" spans="1:34" x14ac:dyDescent="0.35">
      <c r="A2885">
        <v>2884</v>
      </c>
      <c r="B2885" t="s">
        <v>30</v>
      </c>
      <c r="C2885">
        <v>85</v>
      </c>
      <c r="D2885" t="s">
        <v>25</v>
      </c>
      <c r="E2885" t="s">
        <v>22</v>
      </c>
      <c r="F2885" t="s">
        <v>22</v>
      </c>
      <c r="G2885">
        <v>0</v>
      </c>
      <c r="H2885">
        <v>209.1</v>
      </c>
      <c r="I2885">
        <v>57</v>
      </c>
      <c r="J2885">
        <v>35.549999999999997</v>
      </c>
      <c r="K2885">
        <v>110.7</v>
      </c>
      <c r="L2885">
        <v>111</v>
      </c>
      <c r="M2885">
        <v>9.41</v>
      </c>
      <c r="N2885">
        <v>113.3</v>
      </c>
      <c r="O2885">
        <v>113</v>
      </c>
      <c r="P2885">
        <v>5.0999999999999996</v>
      </c>
      <c r="Q2885">
        <v>12.8</v>
      </c>
      <c r="R2885">
        <v>4</v>
      </c>
      <c r="S2885">
        <v>3.46</v>
      </c>
      <c r="T2885">
        <v>1</v>
      </c>
      <c r="U2885" t="s">
        <v>22</v>
      </c>
      <c r="V2885" t="e">
        <f>IF(#REF! = "yes", 1, 0)</f>
        <v>#REF!</v>
      </c>
      <c r="W2885" t="e">
        <f>IF(#REF! &lt;= 1, "0-1 Calls", IF(#REF! &lt;= 3, "2-3 Calls", IF(#REF! &lt;=5, "4-5 Calls", "6+ Calls")))</f>
        <v>#REF!</v>
      </c>
      <c r="X2885" t="e">
        <f>IF(#REF! &lt;= 50, "0-50", IF(#REF! &lt;=100, "51-100", IF(#REF! &lt;= 150, "101-150", "151+")))</f>
        <v>#REF!</v>
      </c>
      <c r="Y2885" t="e">
        <f>IF(#REF! &lt;= 3, "Low Charges", "High Charges")</f>
        <v>#REF!</v>
      </c>
      <c r="Z2885" t="e">
        <f>IF(#REF!&lt;=80,"Low Calls",
IF(#REF!&lt;=120,"Medium Calls","High Calls"))</f>
        <v>#REF!</v>
      </c>
      <c r="AA2885" t="e">
        <f>IF(#REF!&lt;=15,"Low Charges",
IF(#REF!&lt;=20,"Medium Charges","High Charges"))</f>
        <v>#REF!</v>
      </c>
      <c r="AB2885" t="e">
        <f>IF(AND(#REF!&gt;180, #REF!&gt;200), "Heavy Doemstic User", IF(#REF!&gt;10, "Interntional User", IF(AND(#REF!&lt;180, #REF!&lt;200,#REF!&lt;200), "Light User", "Balanced User")))</f>
        <v>#REF!</v>
      </c>
      <c r="AC2885" t="e">
        <f>IF(#REF! = 0, "No Usage", IF(#REF! &lt;= 20, "Low Usage", IF(#REF! &lt;= 40, "Medium Usgae", "High Usage")))</f>
        <v>#REF!</v>
      </c>
      <c r="AD2885" t="e">
        <f>IF(#REF!&lt;=150,"Low Usage", IF(#REF!&lt;=200,"Medium Usage", IF(#REF!&lt;=250,"High Usage","Very High Usage")))</f>
        <v>#REF!</v>
      </c>
      <c r="AE2885" t="e">
        <f>IF(#REF!&lt;=5,"Low Calls", IF(#REF!&lt;=10, "Medium Calls", "High Calls"))</f>
        <v>#REF!</v>
      </c>
      <c r="AF2885" t="e">
        <f xml:space="preserve">
IF(#REF!&gt;=4,4,0)+
IF(#REF!="yes",3,0)+
IF(#REF!="High Charges",3,0)+
IF(#REF!&gt;250,4,0)+
IF(#REF!="no",1,0)+
IF(#REF!="Heavy Domestic User",2,0)</f>
        <v>#REF!</v>
      </c>
      <c r="AG2885" t="e">
        <f>IF(#REF!&gt;=10,"High Risk", IF(#REF!&gt;=5,"Medium Risk","Low Risk"))</f>
        <v>#REF!</v>
      </c>
      <c r="AH2885" t="e">
        <f>#REF! + #REF! + #REF! + #REF!</f>
        <v>#REF!</v>
      </c>
    </row>
    <row r="2886" spans="1:34" x14ac:dyDescent="0.35">
      <c r="A2886">
        <v>2885</v>
      </c>
      <c r="B2886" t="s">
        <v>40</v>
      </c>
      <c r="C2886">
        <v>190</v>
      </c>
      <c r="D2886" t="s">
        <v>21</v>
      </c>
      <c r="E2886" t="s">
        <v>22</v>
      </c>
      <c r="F2886" t="s">
        <v>22</v>
      </c>
      <c r="G2886">
        <v>0</v>
      </c>
      <c r="H2886">
        <v>196.1</v>
      </c>
      <c r="I2886">
        <v>95</v>
      </c>
      <c r="J2886">
        <v>33.340000000000003</v>
      </c>
      <c r="K2886">
        <v>228.3</v>
      </c>
      <c r="L2886">
        <v>88</v>
      </c>
      <c r="M2886">
        <v>19.41</v>
      </c>
      <c r="N2886">
        <v>243.6</v>
      </c>
      <c r="O2886">
        <v>95</v>
      </c>
      <c r="P2886">
        <v>10.96</v>
      </c>
      <c r="Q2886">
        <v>7.6</v>
      </c>
      <c r="R2886">
        <v>3</v>
      </c>
      <c r="S2886">
        <v>2.0499999999999998</v>
      </c>
      <c r="T2886">
        <v>3</v>
      </c>
      <c r="U2886" t="s">
        <v>22</v>
      </c>
      <c r="V2886" t="e">
        <f>IF(#REF! = "yes", 1, 0)</f>
        <v>#REF!</v>
      </c>
      <c r="W2886" t="e">
        <f>IF(#REF! &lt;= 1, "0-1 Calls", IF(#REF! &lt;= 3, "2-3 Calls", IF(#REF! &lt;=5, "4-5 Calls", "6+ Calls")))</f>
        <v>#REF!</v>
      </c>
      <c r="X2886" t="e">
        <f>IF(#REF! &lt;= 50, "0-50", IF(#REF! &lt;=100, "51-100", IF(#REF! &lt;= 150, "101-150", "151+")))</f>
        <v>#REF!</v>
      </c>
      <c r="Y2886" t="e">
        <f>IF(#REF! &lt;= 3, "Low Charges", "High Charges")</f>
        <v>#REF!</v>
      </c>
      <c r="Z2886" t="e">
        <f>IF(#REF!&lt;=80,"Low Calls",
IF(#REF!&lt;=120,"Medium Calls","High Calls"))</f>
        <v>#REF!</v>
      </c>
      <c r="AA2886" t="e">
        <f>IF(#REF!&lt;=15,"Low Charges",
IF(#REF!&lt;=20,"Medium Charges","High Charges"))</f>
        <v>#REF!</v>
      </c>
      <c r="AB2886" t="e">
        <f>IF(AND(#REF!&gt;180, #REF!&gt;200), "Heavy Doemstic User", IF(#REF!&gt;10, "Interntional User", IF(AND(#REF!&lt;180, #REF!&lt;200,#REF!&lt;200), "Light User", "Balanced User")))</f>
        <v>#REF!</v>
      </c>
      <c r="AC2886" t="e">
        <f>IF(#REF! = 0, "No Usage", IF(#REF! &lt;= 20, "Low Usage", IF(#REF! &lt;= 40, "Medium Usgae", "High Usage")))</f>
        <v>#REF!</v>
      </c>
      <c r="AD2886" t="e">
        <f>IF(#REF!&lt;=150,"Low Usage", IF(#REF!&lt;=200,"Medium Usage", IF(#REF!&lt;=250,"High Usage","Very High Usage")))</f>
        <v>#REF!</v>
      </c>
      <c r="AE2886" t="e">
        <f>IF(#REF!&lt;=5,"Low Calls", IF(#REF!&lt;=10, "Medium Calls", "High Calls"))</f>
        <v>#REF!</v>
      </c>
      <c r="AF2886" t="e">
        <f xml:space="preserve">
IF(#REF!&gt;=4,4,0)+
IF(#REF!="yes",3,0)+
IF(#REF!="High Charges",3,0)+
IF(#REF!&gt;250,4,0)+
IF(#REF!="no",1,0)+
IF(#REF!="Heavy Domestic User",2,0)</f>
        <v>#REF!</v>
      </c>
      <c r="AG2886" t="e">
        <f>IF(#REF!&gt;=10,"High Risk", IF(#REF!&gt;=5,"Medium Risk","Low Risk"))</f>
        <v>#REF!</v>
      </c>
      <c r="AH2886" t="e">
        <f>#REF! + #REF! + #REF! + #REF!</f>
        <v>#REF!</v>
      </c>
    </row>
    <row r="2887" spans="1:34" x14ac:dyDescent="0.35">
      <c r="A2887">
        <v>2886</v>
      </c>
      <c r="B2887" t="s">
        <v>40</v>
      </c>
      <c r="C2887">
        <v>39</v>
      </c>
      <c r="D2887" t="s">
        <v>28</v>
      </c>
      <c r="E2887" t="s">
        <v>22</v>
      </c>
      <c r="F2887" t="s">
        <v>22</v>
      </c>
      <c r="G2887">
        <v>0</v>
      </c>
      <c r="H2887">
        <v>121.6</v>
      </c>
      <c r="I2887">
        <v>99</v>
      </c>
      <c r="J2887">
        <v>20.67</v>
      </c>
      <c r="K2887">
        <v>267.60000000000002</v>
      </c>
      <c r="L2887">
        <v>99</v>
      </c>
      <c r="M2887">
        <v>22.75</v>
      </c>
      <c r="N2887">
        <v>99.7</v>
      </c>
      <c r="O2887">
        <v>88</v>
      </c>
      <c r="P2887">
        <v>4.49</v>
      </c>
      <c r="Q2887">
        <v>7.1</v>
      </c>
      <c r="R2887">
        <v>2</v>
      </c>
      <c r="S2887">
        <v>1.92</v>
      </c>
      <c r="T2887">
        <v>1</v>
      </c>
      <c r="U2887" t="s">
        <v>22</v>
      </c>
      <c r="V2887" t="e">
        <f>IF(#REF! = "yes", 1, 0)</f>
        <v>#REF!</v>
      </c>
      <c r="W2887" t="e">
        <f>IF(#REF! &lt;= 1, "0-1 Calls", IF(#REF! &lt;= 3, "2-3 Calls", IF(#REF! &lt;=5, "4-5 Calls", "6+ Calls")))</f>
        <v>#REF!</v>
      </c>
      <c r="X2887" t="e">
        <f>IF(#REF! &lt;= 50, "0-50", IF(#REF! &lt;=100, "51-100", IF(#REF! &lt;= 150, "101-150", "151+")))</f>
        <v>#REF!</v>
      </c>
      <c r="Y2887" t="e">
        <f>IF(#REF! &lt;= 3, "Low Charges", "High Charges")</f>
        <v>#REF!</v>
      </c>
      <c r="Z2887" t="e">
        <f>IF(#REF!&lt;=80,"Low Calls",
IF(#REF!&lt;=120,"Medium Calls","High Calls"))</f>
        <v>#REF!</v>
      </c>
      <c r="AA2887" t="e">
        <f>IF(#REF!&lt;=15,"Low Charges",
IF(#REF!&lt;=20,"Medium Charges","High Charges"))</f>
        <v>#REF!</v>
      </c>
      <c r="AB2887" t="e">
        <f>IF(AND(#REF!&gt;180, #REF!&gt;200), "Heavy Doemstic User", IF(#REF!&gt;10, "Interntional User", IF(AND(#REF!&lt;180, #REF!&lt;200,#REF!&lt;200), "Light User", "Balanced User")))</f>
        <v>#REF!</v>
      </c>
      <c r="AC2887" t="e">
        <f>IF(#REF! = 0, "No Usage", IF(#REF! &lt;= 20, "Low Usage", IF(#REF! &lt;= 40, "Medium Usgae", "High Usage")))</f>
        <v>#REF!</v>
      </c>
      <c r="AD2887" t="e">
        <f>IF(#REF!&lt;=150,"Low Usage", IF(#REF!&lt;=200,"Medium Usage", IF(#REF!&lt;=250,"High Usage","Very High Usage")))</f>
        <v>#REF!</v>
      </c>
      <c r="AE2887" t="e">
        <f>IF(#REF!&lt;=5,"Low Calls", IF(#REF!&lt;=10, "Medium Calls", "High Calls"))</f>
        <v>#REF!</v>
      </c>
      <c r="AF2887" t="e">
        <f xml:space="preserve">
IF(#REF!&gt;=4,4,0)+
IF(#REF!="yes",3,0)+
IF(#REF!="High Charges",3,0)+
IF(#REF!&gt;250,4,0)+
IF(#REF!="no",1,0)+
IF(#REF!="Heavy Domestic User",2,0)</f>
        <v>#REF!</v>
      </c>
      <c r="AG2887" t="e">
        <f>IF(#REF!&gt;=10,"High Risk", IF(#REF!&gt;=5,"Medium Risk","Low Risk"))</f>
        <v>#REF!</v>
      </c>
      <c r="AH2887" t="e">
        <f>#REF! + #REF! + #REF! + #REF!</f>
        <v>#REF!</v>
      </c>
    </row>
    <row r="2888" spans="1:34" x14ac:dyDescent="0.35">
      <c r="A2888">
        <v>2887</v>
      </c>
      <c r="B2888" t="s">
        <v>43</v>
      </c>
      <c r="C2888">
        <v>84</v>
      </c>
      <c r="D2888" t="s">
        <v>21</v>
      </c>
      <c r="E2888" t="s">
        <v>22</v>
      </c>
      <c r="F2888" t="s">
        <v>22</v>
      </c>
      <c r="G2888">
        <v>0</v>
      </c>
      <c r="H2888">
        <v>204.1</v>
      </c>
      <c r="I2888">
        <v>132</v>
      </c>
      <c r="J2888">
        <v>34.700000000000003</v>
      </c>
      <c r="K2888">
        <v>164.4</v>
      </c>
      <c r="L2888">
        <v>117</v>
      </c>
      <c r="M2888">
        <v>13.97</v>
      </c>
      <c r="N2888">
        <v>165.1</v>
      </c>
      <c r="O2888">
        <v>123</v>
      </c>
      <c r="P2888">
        <v>7.43</v>
      </c>
      <c r="Q2888">
        <v>0</v>
      </c>
      <c r="R2888">
        <v>0</v>
      </c>
      <c r="S2888">
        <v>0</v>
      </c>
      <c r="T2888">
        <v>1</v>
      </c>
      <c r="U2888" t="s">
        <v>22</v>
      </c>
      <c r="V2888" t="e">
        <f>IF(#REF! = "yes", 1, 0)</f>
        <v>#REF!</v>
      </c>
      <c r="W2888" t="e">
        <f>IF(#REF! &lt;= 1, "0-1 Calls", IF(#REF! &lt;= 3, "2-3 Calls", IF(#REF! &lt;=5, "4-5 Calls", "6+ Calls")))</f>
        <v>#REF!</v>
      </c>
      <c r="X2888" t="e">
        <f>IF(#REF! &lt;= 50, "0-50", IF(#REF! &lt;=100, "51-100", IF(#REF! &lt;= 150, "101-150", "151+")))</f>
        <v>#REF!</v>
      </c>
      <c r="Y2888" t="e">
        <f>IF(#REF! &lt;= 3, "Low Charges", "High Charges")</f>
        <v>#REF!</v>
      </c>
      <c r="Z2888" t="e">
        <f>IF(#REF!&lt;=80,"Low Calls",
IF(#REF!&lt;=120,"Medium Calls","High Calls"))</f>
        <v>#REF!</v>
      </c>
      <c r="AA2888" t="e">
        <f>IF(#REF!&lt;=15,"Low Charges",
IF(#REF!&lt;=20,"Medium Charges","High Charges"))</f>
        <v>#REF!</v>
      </c>
      <c r="AB2888" t="e">
        <f>IF(AND(#REF!&gt;180, #REF!&gt;200), "Heavy Doemstic User", IF(#REF!&gt;10, "Interntional User", IF(AND(#REF!&lt;180, #REF!&lt;200,#REF!&lt;200), "Light User", "Balanced User")))</f>
        <v>#REF!</v>
      </c>
      <c r="AC2888" t="e">
        <f>IF(#REF! = 0, "No Usage", IF(#REF! &lt;= 20, "Low Usage", IF(#REF! &lt;= 40, "Medium Usgae", "High Usage")))</f>
        <v>#REF!</v>
      </c>
      <c r="AD2888" t="e">
        <f>IF(#REF!&lt;=150,"Low Usage", IF(#REF!&lt;=200,"Medium Usage", IF(#REF!&lt;=250,"High Usage","Very High Usage")))</f>
        <v>#REF!</v>
      </c>
      <c r="AE2888" t="e">
        <f>IF(#REF!&lt;=5,"Low Calls", IF(#REF!&lt;=10, "Medium Calls", "High Calls"))</f>
        <v>#REF!</v>
      </c>
      <c r="AF2888" t="e">
        <f xml:space="preserve">
IF(#REF!&gt;=4,4,0)+
IF(#REF!="yes",3,0)+
IF(#REF!="High Charges",3,0)+
IF(#REF!&gt;250,4,0)+
IF(#REF!="no",1,0)+
IF(#REF!="Heavy Domestic User",2,0)</f>
        <v>#REF!</v>
      </c>
      <c r="AG2888" t="e">
        <f>IF(#REF!&gt;=10,"High Risk", IF(#REF!&gt;=5,"Medium Risk","Low Risk"))</f>
        <v>#REF!</v>
      </c>
      <c r="AH2888" t="e">
        <f>#REF! + #REF! + #REF! + #REF!</f>
        <v>#REF!</v>
      </c>
    </row>
    <row r="2889" spans="1:34" x14ac:dyDescent="0.35">
      <c r="A2889">
        <v>2888</v>
      </c>
      <c r="B2889" t="s">
        <v>37</v>
      </c>
      <c r="C2889">
        <v>71</v>
      </c>
      <c r="D2889" t="s">
        <v>21</v>
      </c>
      <c r="E2889" t="s">
        <v>22</v>
      </c>
      <c r="F2889" t="s">
        <v>22</v>
      </c>
      <c r="G2889">
        <v>0</v>
      </c>
      <c r="H2889">
        <v>212.1</v>
      </c>
      <c r="I2889">
        <v>114</v>
      </c>
      <c r="J2889">
        <v>36.06</v>
      </c>
      <c r="K2889">
        <v>235.9</v>
      </c>
      <c r="L2889">
        <v>91</v>
      </c>
      <c r="M2889">
        <v>20.05</v>
      </c>
      <c r="N2889">
        <v>207.7</v>
      </c>
      <c r="O2889">
        <v>135</v>
      </c>
      <c r="P2889">
        <v>9.35</v>
      </c>
      <c r="Q2889">
        <v>11.3</v>
      </c>
      <c r="R2889">
        <v>5</v>
      </c>
      <c r="S2889">
        <v>3.05</v>
      </c>
      <c r="T2889">
        <v>4</v>
      </c>
      <c r="U2889" t="s">
        <v>22</v>
      </c>
      <c r="V2889" t="e">
        <f>IF(#REF! = "yes", 1, 0)</f>
        <v>#REF!</v>
      </c>
      <c r="W2889" t="e">
        <f>IF(#REF! &lt;= 1, "0-1 Calls", IF(#REF! &lt;= 3, "2-3 Calls", IF(#REF! &lt;=5, "4-5 Calls", "6+ Calls")))</f>
        <v>#REF!</v>
      </c>
      <c r="X2889" t="e">
        <f>IF(#REF! &lt;= 50, "0-50", IF(#REF! &lt;=100, "51-100", IF(#REF! &lt;= 150, "101-150", "151+")))</f>
        <v>#REF!</v>
      </c>
      <c r="Y2889" t="e">
        <f>IF(#REF! &lt;= 3, "Low Charges", "High Charges")</f>
        <v>#REF!</v>
      </c>
      <c r="Z2889" t="e">
        <f>IF(#REF!&lt;=80,"Low Calls",
IF(#REF!&lt;=120,"Medium Calls","High Calls"))</f>
        <v>#REF!</v>
      </c>
      <c r="AA2889" t="e">
        <f>IF(#REF!&lt;=15,"Low Charges",
IF(#REF!&lt;=20,"Medium Charges","High Charges"))</f>
        <v>#REF!</v>
      </c>
      <c r="AB2889" t="e">
        <f>IF(AND(#REF!&gt;180, #REF!&gt;200), "Heavy Doemstic User", IF(#REF!&gt;10, "Interntional User", IF(AND(#REF!&lt;180, #REF!&lt;200,#REF!&lt;200), "Light User", "Balanced User")))</f>
        <v>#REF!</v>
      </c>
      <c r="AC2889" t="e">
        <f>IF(#REF! = 0, "No Usage", IF(#REF! &lt;= 20, "Low Usage", IF(#REF! &lt;= 40, "Medium Usgae", "High Usage")))</f>
        <v>#REF!</v>
      </c>
      <c r="AD2889" t="e">
        <f>IF(#REF!&lt;=150,"Low Usage", IF(#REF!&lt;=200,"Medium Usage", IF(#REF!&lt;=250,"High Usage","Very High Usage")))</f>
        <v>#REF!</v>
      </c>
      <c r="AE2889" t="e">
        <f>IF(#REF!&lt;=5,"Low Calls", IF(#REF!&lt;=10, "Medium Calls", "High Calls"))</f>
        <v>#REF!</v>
      </c>
      <c r="AF2889" t="e">
        <f xml:space="preserve">
IF(#REF!&gt;=4,4,0)+
IF(#REF!="yes",3,0)+
IF(#REF!="High Charges",3,0)+
IF(#REF!&gt;250,4,0)+
IF(#REF!="no",1,0)+
IF(#REF!="Heavy Domestic User",2,0)</f>
        <v>#REF!</v>
      </c>
      <c r="AG2889" t="e">
        <f>IF(#REF!&gt;=10,"High Risk", IF(#REF!&gt;=5,"Medium Risk","Low Risk"))</f>
        <v>#REF!</v>
      </c>
      <c r="AH2889" t="e">
        <f>#REF! + #REF! + #REF! + #REF!</f>
        <v>#REF!</v>
      </c>
    </row>
    <row r="2890" spans="1:34" x14ac:dyDescent="0.35">
      <c r="A2890">
        <v>2889</v>
      </c>
      <c r="B2890" t="s">
        <v>44</v>
      </c>
      <c r="C2890">
        <v>114</v>
      </c>
      <c r="D2890" t="s">
        <v>21</v>
      </c>
      <c r="E2890" t="s">
        <v>22</v>
      </c>
      <c r="F2890" t="s">
        <v>22</v>
      </c>
      <c r="G2890">
        <v>0</v>
      </c>
      <c r="H2890">
        <v>178.3</v>
      </c>
      <c r="I2890">
        <v>86</v>
      </c>
      <c r="J2890">
        <v>30.31</v>
      </c>
      <c r="K2890">
        <v>176.5</v>
      </c>
      <c r="L2890">
        <v>99</v>
      </c>
      <c r="M2890">
        <v>15</v>
      </c>
      <c r="N2890">
        <v>187.1</v>
      </c>
      <c r="O2890">
        <v>83</v>
      </c>
      <c r="P2890">
        <v>8.42</v>
      </c>
      <c r="Q2890">
        <v>13.8</v>
      </c>
      <c r="R2890">
        <v>2</v>
      </c>
      <c r="S2890">
        <v>3.73</v>
      </c>
      <c r="T2890">
        <v>1</v>
      </c>
      <c r="U2890" t="s">
        <v>22</v>
      </c>
      <c r="V2890" t="e">
        <f>IF(#REF! = "yes", 1, 0)</f>
        <v>#REF!</v>
      </c>
      <c r="W2890" t="e">
        <f>IF(#REF! &lt;= 1, "0-1 Calls", IF(#REF! &lt;= 3, "2-3 Calls", IF(#REF! &lt;=5, "4-5 Calls", "6+ Calls")))</f>
        <v>#REF!</v>
      </c>
      <c r="X2890" t="e">
        <f>IF(#REF! &lt;= 50, "0-50", IF(#REF! &lt;=100, "51-100", IF(#REF! &lt;= 150, "101-150", "151+")))</f>
        <v>#REF!</v>
      </c>
      <c r="Y2890" t="e">
        <f>IF(#REF! &lt;= 3, "Low Charges", "High Charges")</f>
        <v>#REF!</v>
      </c>
      <c r="Z2890" t="e">
        <f>IF(#REF!&lt;=80,"Low Calls",
IF(#REF!&lt;=120,"Medium Calls","High Calls"))</f>
        <v>#REF!</v>
      </c>
      <c r="AA2890" t="e">
        <f>IF(#REF!&lt;=15,"Low Charges",
IF(#REF!&lt;=20,"Medium Charges","High Charges"))</f>
        <v>#REF!</v>
      </c>
      <c r="AB2890" t="e">
        <f>IF(AND(#REF!&gt;180, #REF!&gt;200), "Heavy Doemstic User", IF(#REF!&gt;10, "Interntional User", IF(AND(#REF!&lt;180, #REF!&lt;200,#REF!&lt;200), "Light User", "Balanced User")))</f>
        <v>#REF!</v>
      </c>
      <c r="AC2890" t="e">
        <f>IF(#REF! = 0, "No Usage", IF(#REF! &lt;= 20, "Low Usage", IF(#REF! &lt;= 40, "Medium Usgae", "High Usage")))</f>
        <v>#REF!</v>
      </c>
      <c r="AD2890" t="e">
        <f>IF(#REF!&lt;=150,"Low Usage", IF(#REF!&lt;=200,"Medium Usage", IF(#REF!&lt;=250,"High Usage","Very High Usage")))</f>
        <v>#REF!</v>
      </c>
      <c r="AE2890" t="e">
        <f>IF(#REF!&lt;=5,"Low Calls", IF(#REF!&lt;=10, "Medium Calls", "High Calls"))</f>
        <v>#REF!</v>
      </c>
      <c r="AF2890" t="e">
        <f xml:space="preserve">
IF(#REF!&gt;=4,4,0)+
IF(#REF!="yes",3,0)+
IF(#REF!="High Charges",3,0)+
IF(#REF!&gt;250,4,0)+
IF(#REF!="no",1,0)+
IF(#REF!="Heavy Domestic User",2,0)</f>
        <v>#REF!</v>
      </c>
      <c r="AG2890" t="e">
        <f>IF(#REF!&gt;=10,"High Risk", IF(#REF!&gt;=5,"Medium Risk","Low Risk"))</f>
        <v>#REF!</v>
      </c>
      <c r="AH2890" t="e">
        <f>#REF! + #REF! + #REF! + #REF!</f>
        <v>#REF!</v>
      </c>
    </row>
    <row r="2891" spans="1:34" x14ac:dyDescent="0.35">
      <c r="A2891">
        <v>2890</v>
      </c>
      <c r="B2891" t="s">
        <v>69</v>
      </c>
      <c r="C2891">
        <v>135</v>
      </c>
      <c r="D2891" t="s">
        <v>21</v>
      </c>
      <c r="E2891" t="s">
        <v>22</v>
      </c>
      <c r="F2891" t="s">
        <v>22</v>
      </c>
      <c r="G2891">
        <v>0</v>
      </c>
      <c r="H2891">
        <v>181.8</v>
      </c>
      <c r="I2891">
        <v>92</v>
      </c>
      <c r="J2891">
        <v>30.91</v>
      </c>
      <c r="K2891">
        <v>159.6</v>
      </c>
      <c r="L2891">
        <v>63</v>
      </c>
      <c r="M2891">
        <v>13.57</v>
      </c>
      <c r="N2891">
        <v>232.4</v>
      </c>
      <c r="O2891">
        <v>78</v>
      </c>
      <c r="P2891">
        <v>10.46</v>
      </c>
      <c r="Q2891">
        <v>7</v>
      </c>
      <c r="R2891">
        <v>6</v>
      </c>
      <c r="S2891">
        <v>1.89</v>
      </c>
      <c r="T2891">
        <v>0</v>
      </c>
      <c r="U2891" t="s">
        <v>22</v>
      </c>
      <c r="V2891" t="e">
        <f>IF(#REF! = "yes", 1, 0)</f>
        <v>#REF!</v>
      </c>
      <c r="W2891" t="e">
        <f>IF(#REF! &lt;= 1, "0-1 Calls", IF(#REF! &lt;= 3, "2-3 Calls", IF(#REF! &lt;=5, "4-5 Calls", "6+ Calls")))</f>
        <v>#REF!</v>
      </c>
      <c r="X2891" t="e">
        <f>IF(#REF! &lt;= 50, "0-50", IF(#REF! &lt;=100, "51-100", IF(#REF! &lt;= 150, "101-150", "151+")))</f>
        <v>#REF!</v>
      </c>
      <c r="Y2891" t="e">
        <f>IF(#REF! &lt;= 3, "Low Charges", "High Charges")</f>
        <v>#REF!</v>
      </c>
      <c r="Z2891" t="e">
        <f>IF(#REF!&lt;=80,"Low Calls",
IF(#REF!&lt;=120,"Medium Calls","High Calls"))</f>
        <v>#REF!</v>
      </c>
      <c r="AA2891" t="e">
        <f>IF(#REF!&lt;=15,"Low Charges",
IF(#REF!&lt;=20,"Medium Charges","High Charges"))</f>
        <v>#REF!</v>
      </c>
      <c r="AB2891" t="e">
        <f>IF(AND(#REF!&gt;180, #REF!&gt;200), "Heavy Doemstic User", IF(#REF!&gt;10, "Interntional User", IF(AND(#REF!&lt;180, #REF!&lt;200,#REF!&lt;200), "Light User", "Balanced User")))</f>
        <v>#REF!</v>
      </c>
      <c r="AC2891" t="e">
        <f>IF(#REF! = 0, "No Usage", IF(#REF! &lt;= 20, "Low Usage", IF(#REF! &lt;= 40, "Medium Usgae", "High Usage")))</f>
        <v>#REF!</v>
      </c>
      <c r="AD2891" t="e">
        <f>IF(#REF!&lt;=150,"Low Usage", IF(#REF!&lt;=200,"Medium Usage", IF(#REF!&lt;=250,"High Usage","Very High Usage")))</f>
        <v>#REF!</v>
      </c>
      <c r="AE2891" t="e">
        <f>IF(#REF!&lt;=5,"Low Calls", IF(#REF!&lt;=10, "Medium Calls", "High Calls"))</f>
        <v>#REF!</v>
      </c>
      <c r="AF2891" t="e">
        <f xml:space="preserve">
IF(#REF!&gt;=4,4,0)+
IF(#REF!="yes",3,0)+
IF(#REF!="High Charges",3,0)+
IF(#REF!&gt;250,4,0)+
IF(#REF!="no",1,0)+
IF(#REF!="Heavy Domestic User",2,0)</f>
        <v>#REF!</v>
      </c>
      <c r="AG2891" t="e">
        <f>IF(#REF!&gt;=10,"High Risk", IF(#REF!&gt;=5,"Medium Risk","Low Risk"))</f>
        <v>#REF!</v>
      </c>
      <c r="AH2891" t="e">
        <f>#REF! + #REF! + #REF! + #REF!</f>
        <v>#REF!</v>
      </c>
    </row>
    <row r="2892" spans="1:34" x14ac:dyDescent="0.35">
      <c r="A2892">
        <v>2891</v>
      </c>
      <c r="B2892" t="s">
        <v>41</v>
      </c>
      <c r="C2892">
        <v>93</v>
      </c>
      <c r="D2892" t="s">
        <v>21</v>
      </c>
      <c r="E2892" t="s">
        <v>22</v>
      </c>
      <c r="F2892" t="s">
        <v>22</v>
      </c>
      <c r="G2892">
        <v>0</v>
      </c>
      <c r="H2892">
        <v>120.6</v>
      </c>
      <c r="I2892">
        <v>104</v>
      </c>
      <c r="J2892">
        <v>20.5</v>
      </c>
      <c r="K2892">
        <v>205.5</v>
      </c>
      <c r="L2892">
        <v>95</v>
      </c>
      <c r="M2892">
        <v>17.47</v>
      </c>
      <c r="N2892">
        <v>182.5</v>
      </c>
      <c r="O2892">
        <v>107</v>
      </c>
      <c r="P2892">
        <v>8.2100000000000009</v>
      </c>
      <c r="Q2892">
        <v>9.6</v>
      </c>
      <c r="R2892">
        <v>6</v>
      </c>
      <c r="S2892">
        <v>2.59</v>
      </c>
      <c r="T2892">
        <v>2</v>
      </c>
      <c r="U2892" t="s">
        <v>22</v>
      </c>
      <c r="V2892" t="e">
        <f>IF(#REF! = "yes", 1, 0)</f>
        <v>#REF!</v>
      </c>
      <c r="W2892" t="e">
        <f>IF(#REF! &lt;= 1, "0-1 Calls", IF(#REF! &lt;= 3, "2-3 Calls", IF(#REF! &lt;=5, "4-5 Calls", "6+ Calls")))</f>
        <v>#REF!</v>
      </c>
      <c r="X2892" t="e">
        <f>IF(#REF! &lt;= 50, "0-50", IF(#REF! &lt;=100, "51-100", IF(#REF! &lt;= 150, "101-150", "151+")))</f>
        <v>#REF!</v>
      </c>
      <c r="Y2892" t="e">
        <f>IF(#REF! &lt;= 3, "Low Charges", "High Charges")</f>
        <v>#REF!</v>
      </c>
      <c r="Z2892" t="e">
        <f>IF(#REF!&lt;=80,"Low Calls",
IF(#REF!&lt;=120,"Medium Calls","High Calls"))</f>
        <v>#REF!</v>
      </c>
      <c r="AA2892" t="e">
        <f>IF(#REF!&lt;=15,"Low Charges",
IF(#REF!&lt;=20,"Medium Charges","High Charges"))</f>
        <v>#REF!</v>
      </c>
      <c r="AB2892" t="e">
        <f>IF(AND(#REF!&gt;180, #REF!&gt;200), "Heavy Doemstic User", IF(#REF!&gt;10, "Interntional User", IF(AND(#REF!&lt;180, #REF!&lt;200,#REF!&lt;200), "Light User", "Balanced User")))</f>
        <v>#REF!</v>
      </c>
      <c r="AC2892" t="e">
        <f>IF(#REF! = 0, "No Usage", IF(#REF! &lt;= 20, "Low Usage", IF(#REF! &lt;= 40, "Medium Usgae", "High Usage")))</f>
        <v>#REF!</v>
      </c>
      <c r="AD2892" t="e">
        <f>IF(#REF!&lt;=150,"Low Usage", IF(#REF!&lt;=200,"Medium Usage", IF(#REF!&lt;=250,"High Usage","Very High Usage")))</f>
        <v>#REF!</v>
      </c>
      <c r="AE2892" t="e">
        <f>IF(#REF!&lt;=5,"Low Calls", IF(#REF!&lt;=10, "Medium Calls", "High Calls"))</f>
        <v>#REF!</v>
      </c>
      <c r="AF2892" t="e">
        <f xml:space="preserve">
IF(#REF!&gt;=4,4,0)+
IF(#REF!="yes",3,0)+
IF(#REF!="High Charges",3,0)+
IF(#REF!&gt;250,4,0)+
IF(#REF!="no",1,0)+
IF(#REF!="Heavy Domestic User",2,0)</f>
        <v>#REF!</v>
      </c>
      <c r="AG2892" t="e">
        <f>IF(#REF!&gt;=10,"High Risk", IF(#REF!&gt;=5,"Medium Risk","Low Risk"))</f>
        <v>#REF!</v>
      </c>
      <c r="AH2892" t="e">
        <f>#REF! + #REF! + #REF! + #REF!</f>
        <v>#REF!</v>
      </c>
    </row>
    <row r="2893" spans="1:34" x14ac:dyDescent="0.35">
      <c r="A2893">
        <v>2892</v>
      </c>
      <c r="B2893" t="s">
        <v>38</v>
      </c>
      <c r="C2893">
        <v>82</v>
      </c>
      <c r="D2893" t="s">
        <v>21</v>
      </c>
      <c r="E2893" t="s">
        <v>22</v>
      </c>
      <c r="F2893" t="s">
        <v>22</v>
      </c>
      <c r="G2893">
        <v>0</v>
      </c>
      <c r="H2893">
        <v>172.4</v>
      </c>
      <c r="I2893">
        <v>112</v>
      </c>
      <c r="J2893">
        <v>29.31</v>
      </c>
      <c r="K2893">
        <v>131.69999999999999</v>
      </c>
      <c r="L2893">
        <v>89</v>
      </c>
      <c r="M2893">
        <v>11.19</v>
      </c>
      <c r="N2893">
        <v>182.8</v>
      </c>
      <c r="O2893">
        <v>78</v>
      </c>
      <c r="P2893">
        <v>8.23</v>
      </c>
      <c r="Q2893">
        <v>8.8000000000000007</v>
      </c>
      <c r="R2893">
        <v>9</v>
      </c>
      <c r="S2893">
        <v>2.38</v>
      </c>
      <c r="T2893">
        <v>1</v>
      </c>
      <c r="U2893" t="s">
        <v>22</v>
      </c>
      <c r="V2893" t="e">
        <f>IF(#REF! = "yes", 1, 0)</f>
        <v>#REF!</v>
      </c>
      <c r="W2893" t="e">
        <f>IF(#REF! &lt;= 1, "0-1 Calls", IF(#REF! &lt;= 3, "2-3 Calls", IF(#REF! &lt;=5, "4-5 Calls", "6+ Calls")))</f>
        <v>#REF!</v>
      </c>
      <c r="X2893" t="e">
        <f>IF(#REF! &lt;= 50, "0-50", IF(#REF! &lt;=100, "51-100", IF(#REF! &lt;= 150, "101-150", "151+")))</f>
        <v>#REF!</v>
      </c>
      <c r="Y2893" t="e">
        <f>IF(#REF! &lt;= 3, "Low Charges", "High Charges")</f>
        <v>#REF!</v>
      </c>
      <c r="Z2893" t="e">
        <f>IF(#REF!&lt;=80,"Low Calls",
IF(#REF!&lt;=120,"Medium Calls","High Calls"))</f>
        <v>#REF!</v>
      </c>
      <c r="AA2893" t="e">
        <f>IF(#REF!&lt;=15,"Low Charges",
IF(#REF!&lt;=20,"Medium Charges","High Charges"))</f>
        <v>#REF!</v>
      </c>
      <c r="AB2893" t="e">
        <f>IF(AND(#REF!&gt;180, #REF!&gt;200), "Heavy Doemstic User", IF(#REF!&gt;10, "Interntional User", IF(AND(#REF!&lt;180, #REF!&lt;200,#REF!&lt;200), "Light User", "Balanced User")))</f>
        <v>#REF!</v>
      </c>
      <c r="AC2893" t="e">
        <f>IF(#REF! = 0, "No Usage", IF(#REF! &lt;= 20, "Low Usage", IF(#REF! &lt;= 40, "Medium Usgae", "High Usage")))</f>
        <v>#REF!</v>
      </c>
      <c r="AD2893" t="e">
        <f>IF(#REF!&lt;=150,"Low Usage", IF(#REF!&lt;=200,"Medium Usage", IF(#REF!&lt;=250,"High Usage","Very High Usage")))</f>
        <v>#REF!</v>
      </c>
      <c r="AE2893" t="e">
        <f>IF(#REF!&lt;=5,"Low Calls", IF(#REF!&lt;=10, "Medium Calls", "High Calls"))</f>
        <v>#REF!</v>
      </c>
      <c r="AF2893" t="e">
        <f xml:space="preserve">
IF(#REF!&gt;=4,4,0)+
IF(#REF!="yes",3,0)+
IF(#REF!="High Charges",3,0)+
IF(#REF!&gt;250,4,0)+
IF(#REF!="no",1,0)+
IF(#REF!="Heavy Domestic User",2,0)</f>
        <v>#REF!</v>
      </c>
      <c r="AG2893" t="e">
        <f>IF(#REF!&gt;=10,"High Risk", IF(#REF!&gt;=5,"Medium Risk","Low Risk"))</f>
        <v>#REF!</v>
      </c>
      <c r="AH2893" t="e">
        <f>#REF! + #REF! + #REF! + #REF!</f>
        <v>#REF!</v>
      </c>
    </row>
    <row r="2894" spans="1:34" x14ac:dyDescent="0.35">
      <c r="A2894">
        <v>2893</v>
      </c>
      <c r="B2894" t="s">
        <v>31</v>
      </c>
      <c r="C2894">
        <v>64</v>
      </c>
      <c r="D2894" t="s">
        <v>21</v>
      </c>
      <c r="E2894" t="s">
        <v>22</v>
      </c>
      <c r="F2894" t="s">
        <v>22</v>
      </c>
      <c r="G2894">
        <v>0</v>
      </c>
      <c r="H2894">
        <v>160.6</v>
      </c>
      <c r="I2894">
        <v>110</v>
      </c>
      <c r="J2894">
        <v>27.3</v>
      </c>
      <c r="K2894">
        <v>171.9</v>
      </c>
      <c r="L2894">
        <v>97</v>
      </c>
      <c r="M2894">
        <v>14.61</v>
      </c>
      <c r="N2894">
        <v>105.2</v>
      </c>
      <c r="O2894">
        <v>56</v>
      </c>
      <c r="P2894">
        <v>4.7300000000000004</v>
      </c>
      <c r="Q2894">
        <v>7.3</v>
      </c>
      <c r="R2894">
        <v>2</v>
      </c>
      <c r="S2894">
        <v>1.97</v>
      </c>
      <c r="T2894">
        <v>0</v>
      </c>
      <c r="U2894" t="s">
        <v>23</v>
      </c>
      <c r="V2894" t="e">
        <f>IF(#REF! = "yes", 1, 0)</f>
        <v>#REF!</v>
      </c>
      <c r="W2894" t="e">
        <f>IF(#REF! &lt;= 1, "0-1 Calls", IF(#REF! &lt;= 3, "2-3 Calls", IF(#REF! &lt;=5, "4-5 Calls", "6+ Calls")))</f>
        <v>#REF!</v>
      </c>
      <c r="X2894" t="e">
        <f>IF(#REF! &lt;= 50, "0-50", IF(#REF! &lt;=100, "51-100", IF(#REF! &lt;= 150, "101-150", "151+")))</f>
        <v>#REF!</v>
      </c>
      <c r="Y2894" t="e">
        <f>IF(#REF! &lt;= 3, "Low Charges", "High Charges")</f>
        <v>#REF!</v>
      </c>
      <c r="Z2894" t="e">
        <f>IF(#REF!&lt;=80,"Low Calls",
IF(#REF!&lt;=120,"Medium Calls","High Calls"))</f>
        <v>#REF!</v>
      </c>
      <c r="AA2894" t="e">
        <f>IF(#REF!&lt;=15,"Low Charges",
IF(#REF!&lt;=20,"Medium Charges","High Charges"))</f>
        <v>#REF!</v>
      </c>
      <c r="AB2894" t="e">
        <f>IF(AND(#REF!&gt;180, #REF!&gt;200), "Heavy Doemstic User", IF(#REF!&gt;10, "Interntional User", IF(AND(#REF!&lt;180, #REF!&lt;200,#REF!&lt;200), "Light User", "Balanced User")))</f>
        <v>#REF!</v>
      </c>
      <c r="AC2894" t="e">
        <f>IF(#REF! = 0, "No Usage", IF(#REF! &lt;= 20, "Low Usage", IF(#REF! &lt;= 40, "Medium Usgae", "High Usage")))</f>
        <v>#REF!</v>
      </c>
      <c r="AD2894" t="e">
        <f>IF(#REF!&lt;=150,"Low Usage", IF(#REF!&lt;=200,"Medium Usage", IF(#REF!&lt;=250,"High Usage","Very High Usage")))</f>
        <v>#REF!</v>
      </c>
      <c r="AE2894" t="e">
        <f>IF(#REF!&lt;=5,"Low Calls", IF(#REF!&lt;=10, "Medium Calls", "High Calls"))</f>
        <v>#REF!</v>
      </c>
      <c r="AF2894" t="e">
        <f xml:space="preserve">
IF(#REF!&gt;=4,4,0)+
IF(#REF!="yes",3,0)+
IF(#REF!="High Charges",3,0)+
IF(#REF!&gt;250,4,0)+
IF(#REF!="no",1,0)+
IF(#REF!="Heavy Domestic User",2,0)</f>
        <v>#REF!</v>
      </c>
      <c r="AG2894" t="e">
        <f>IF(#REF!&gt;=10,"High Risk", IF(#REF!&gt;=5,"Medium Risk","Low Risk"))</f>
        <v>#REF!</v>
      </c>
      <c r="AH2894" t="e">
        <f>#REF! + #REF! + #REF! + #REF!</f>
        <v>#REF!</v>
      </c>
    </row>
    <row r="2895" spans="1:34" x14ac:dyDescent="0.35">
      <c r="A2895">
        <v>2894</v>
      </c>
      <c r="B2895" t="s">
        <v>42</v>
      </c>
      <c r="C2895">
        <v>76</v>
      </c>
      <c r="D2895" t="s">
        <v>25</v>
      </c>
      <c r="E2895" t="s">
        <v>22</v>
      </c>
      <c r="F2895" t="s">
        <v>23</v>
      </c>
      <c r="G2895">
        <v>12</v>
      </c>
      <c r="H2895">
        <v>98.4</v>
      </c>
      <c r="I2895">
        <v>100</v>
      </c>
      <c r="J2895">
        <v>16.73</v>
      </c>
      <c r="K2895">
        <v>187.5</v>
      </c>
      <c r="L2895">
        <v>119</v>
      </c>
      <c r="M2895">
        <v>15.94</v>
      </c>
      <c r="N2895">
        <v>177</v>
      </c>
      <c r="O2895">
        <v>68</v>
      </c>
      <c r="P2895">
        <v>7.97</v>
      </c>
      <c r="Q2895">
        <v>15.1</v>
      </c>
      <c r="R2895">
        <v>3</v>
      </c>
      <c r="S2895">
        <v>4.08</v>
      </c>
      <c r="T2895">
        <v>1</v>
      </c>
      <c r="U2895" t="s">
        <v>22</v>
      </c>
      <c r="V2895" t="e">
        <f>IF(#REF! = "yes", 1, 0)</f>
        <v>#REF!</v>
      </c>
      <c r="W2895" t="e">
        <f>IF(#REF! &lt;= 1, "0-1 Calls", IF(#REF! &lt;= 3, "2-3 Calls", IF(#REF! &lt;=5, "4-5 Calls", "6+ Calls")))</f>
        <v>#REF!</v>
      </c>
      <c r="X2895" t="e">
        <f>IF(#REF! &lt;= 50, "0-50", IF(#REF! &lt;=100, "51-100", IF(#REF! &lt;= 150, "101-150", "151+")))</f>
        <v>#REF!</v>
      </c>
      <c r="Y2895" t="e">
        <f>IF(#REF! &lt;= 3, "Low Charges", "High Charges")</f>
        <v>#REF!</v>
      </c>
      <c r="Z2895" t="e">
        <f>IF(#REF!&lt;=80,"Low Calls",
IF(#REF!&lt;=120,"Medium Calls","High Calls"))</f>
        <v>#REF!</v>
      </c>
      <c r="AA2895" t="e">
        <f>IF(#REF!&lt;=15,"Low Charges",
IF(#REF!&lt;=20,"Medium Charges","High Charges"))</f>
        <v>#REF!</v>
      </c>
      <c r="AB2895" t="e">
        <f>IF(AND(#REF!&gt;180, #REF!&gt;200), "Heavy Doemstic User", IF(#REF!&gt;10, "Interntional User", IF(AND(#REF!&lt;180, #REF!&lt;200,#REF!&lt;200), "Light User", "Balanced User")))</f>
        <v>#REF!</v>
      </c>
      <c r="AC2895" t="e">
        <f>IF(#REF! = 0, "No Usage", IF(#REF! &lt;= 20, "Low Usage", IF(#REF! &lt;= 40, "Medium Usgae", "High Usage")))</f>
        <v>#REF!</v>
      </c>
      <c r="AD2895" t="e">
        <f>IF(#REF!&lt;=150,"Low Usage", IF(#REF!&lt;=200,"Medium Usage", IF(#REF!&lt;=250,"High Usage","Very High Usage")))</f>
        <v>#REF!</v>
      </c>
      <c r="AE2895" t="e">
        <f>IF(#REF!&lt;=5,"Low Calls", IF(#REF!&lt;=10, "Medium Calls", "High Calls"))</f>
        <v>#REF!</v>
      </c>
      <c r="AF2895" t="e">
        <f xml:space="preserve">
IF(#REF!&gt;=4,4,0)+
IF(#REF!="yes",3,0)+
IF(#REF!="High Charges",3,0)+
IF(#REF!&gt;250,4,0)+
IF(#REF!="no",1,0)+
IF(#REF!="Heavy Domestic User",2,0)</f>
        <v>#REF!</v>
      </c>
      <c r="AG2895" t="e">
        <f>IF(#REF!&gt;=10,"High Risk", IF(#REF!&gt;=5,"Medium Risk","Low Risk"))</f>
        <v>#REF!</v>
      </c>
      <c r="AH2895" t="e">
        <f>#REF! + #REF! + #REF! + #REF!</f>
        <v>#REF!</v>
      </c>
    </row>
    <row r="2896" spans="1:34" x14ac:dyDescent="0.35">
      <c r="A2896">
        <v>2895</v>
      </c>
      <c r="B2896" t="s">
        <v>70</v>
      </c>
      <c r="C2896">
        <v>112</v>
      </c>
      <c r="D2896" t="s">
        <v>21</v>
      </c>
      <c r="E2896" t="s">
        <v>22</v>
      </c>
      <c r="F2896" t="s">
        <v>22</v>
      </c>
      <c r="G2896">
        <v>0</v>
      </c>
      <c r="H2896">
        <v>109</v>
      </c>
      <c r="I2896">
        <v>126</v>
      </c>
      <c r="J2896">
        <v>18.53</v>
      </c>
      <c r="K2896">
        <v>212.7</v>
      </c>
      <c r="L2896">
        <v>106</v>
      </c>
      <c r="M2896">
        <v>18.079999999999998</v>
      </c>
      <c r="N2896">
        <v>208.3</v>
      </c>
      <c r="O2896">
        <v>92</v>
      </c>
      <c r="P2896">
        <v>9.3699999999999992</v>
      </c>
      <c r="Q2896">
        <v>7.9</v>
      </c>
      <c r="R2896">
        <v>3</v>
      </c>
      <c r="S2896">
        <v>2.13</v>
      </c>
      <c r="T2896">
        <v>1</v>
      </c>
      <c r="U2896" t="s">
        <v>22</v>
      </c>
      <c r="V2896" t="e">
        <f>IF(#REF! = "yes", 1, 0)</f>
        <v>#REF!</v>
      </c>
      <c r="W2896" t="e">
        <f>IF(#REF! &lt;= 1, "0-1 Calls", IF(#REF! &lt;= 3, "2-3 Calls", IF(#REF! &lt;=5, "4-5 Calls", "6+ Calls")))</f>
        <v>#REF!</v>
      </c>
      <c r="X2896" t="e">
        <f>IF(#REF! &lt;= 50, "0-50", IF(#REF! &lt;=100, "51-100", IF(#REF! &lt;= 150, "101-150", "151+")))</f>
        <v>#REF!</v>
      </c>
      <c r="Y2896" t="e">
        <f>IF(#REF! &lt;= 3, "Low Charges", "High Charges")</f>
        <v>#REF!</v>
      </c>
      <c r="Z2896" t="e">
        <f>IF(#REF!&lt;=80,"Low Calls",
IF(#REF!&lt;=120,"Medium Calls","High Calls"))</f>
        <v>#REF!</v>
      </c>
      <c r="AA2896" t="e">
        <f>IF(#REF!&lt;=15,"Low Charges",
IF(#REF!&lt;=20,"Medium Charges","High Charges"))</f>
        <v>#REF!</v>
      </c>
      <c r="AB2896" t="e">
        <f>IF(AND(#REF!&gt;180, #REF!&gt;200), "Heavy Doemstic User", IF(#REF!&gt;10, "Interntional User", IF(AND(#REF!&lt;180, #REF!&lt;200,#REF!&lt;200), "Light User", "Balanced User")))</f>
        <v>#REF!</v>
      </c>
      <c r="AC2896" t="e">
        <f>IF(#REF! = 0, "No Usage", IF(#REF! &lt;= 20, "Low Usage", IF(#REF! &lt;= 40, "Medium Usgae", "High Usage")))</f>
        <v>#REF!</v>
      </c>
      <c r="AD2896" t="e">
        <f>IF(#REF!&lt;=150,"Low Usage", IF(#REF!&lt;=200,"Medium Usage", IF(#REF!&lt;=250,"High Usage","Very High Usage")))</f>
        <v>#REF!</v>
      </c>
      <c r="AE2896" t="e">
        <f>IF(#REF!&lt;=5,"Low Calls", IF(#REF!&lt;=10, "Medium Calls", "High Calls"))</f>
        <v>#REF!</v>
      </c>
      <c r="AF2896" t="e">
        <f xml:space="preserve">
IF(#REF!&gt;=4,4,0)+
IF(#REF!="yes",3,0)+
IF(#REF!="High Charges",3,0)+
IF(#REF!&gt;250,4,0)+
IF(#REF!="no",1,0)+
IF(#REF!="Heavy Domestic User",2,0)</f>
        <v>#REF!</v>
      </c>
      <c r="AG2896" t="e">
        <f>IF(#REF!&gt;=10,"High Risk", IF(#REF!&gt;=5,"Medium Risk","Low Risk"))</f>
        <v>#REF!</v>
      </c>
      <c r="AH2896" t="e">
        <f>#REF! + #REF! + #REF! + #REF!</f>
        <v>#REF!</v>
      </c>
    </row>
    <row r="2897" spans="1:34" x14ac:dyDescent="0.35">
      <c r="A2897">
        <v>2896</v>
      </c>
      <c r="B2897" t="s">
        <v>57</v>
      </c>
      <c r="C2897">
        <v>137</v>
      </c>
      <c r="D2897" t="s">
        <v>21</v>
      </c>
      <c r="E2897" t="s">
        <v>22</v>
      </c>
      <c r="F2897" t="s">
        <v>22</v>
      </c>
      <c r="G2897">
        <v>0</v>
      </c>
      <c r="H2897">
        <v>144.5</v>
      </c>
      <c r="I2897">
        <v>119</v>
      </c>
      <c r="J2897">
        <v>24.57</v>
      </c>
      <c r="K2897">
        <v>167.3</v>
      </c>
      <c r="L2897">
        <v>89</v>
      </c>
      <c r="M2897">
        <v>14.22</v>
      </c>
      <c r="N2897">
        <v>175.1</v>
      </c>
      <c r="O2897">
        <v>76</v>
      </c>
      <c r="P2897">
        <v>7.88</v>
      </c>
      <c r="Q2897">
        <v>6.1</v>
      </c>
      <c r="R2897">
        <v>4</v>
      </c>
      <c r="S2897">
        <v>1.65</v>
      </c>
      <c r="T2897">
        <v>5</v>
      </c>
      <c r="U2897" t="s">
        <v>23</v>
      </c>
      <c r="V2897" t="e">
        <f>IF(#REF! = "yes", 1, 0)</f>
        <v>#REF!</v>
      </c>
      <c r="W2897" t="e">
        <f>IF(#REF! &lt;= 1, "0-1 Calls", IF(#REF! &lt;= 3, "2-3 Calls", IF(#REF! &lt;=5, "4-5 Calls", "6+ Calls")))</f>
        <v>#REF!</v>
      </c>
      <c r="X2897" t="e">
        <f>IF(#REF! &lt;= 50, "0-50", IF(#REF! &lt;=100, "51-100", IF(#REF! &lt;= 150, "101-150", "151+")))</f>
        <v>#REF!</v>
      </c>
      <c r="Y2897" t="e">
        <f>IF(#REF! &lt;= 3, "Low Charges", "High Charges")</f>
        <v>#REF!</v>
      </c>
      <c r="Z2897" t="e">
        <f>IF(#REF!&lt;=80,"Low Calls",
IF(#REF!&lt;=120,"Medium Calls","High Calls"))</f>
        <v>#REF!</v>
      </c>
      <c r="AA2897" t="e">
        <f>IF(#REF!&lt;=15,"Low Charges",
IF(#REF!&lt;=20,"Medium Charges","High Charges"))</f>
        <v>#REF!</v>
      </c>
      <c r="AB2897" t="e">
        <f>IF(AND(#REF!&gt;180, #REF!&gt;200), "Heavy Doemstic User", IF(#REF!&gt;10, "Interntional User", IF(AND(#REF!&lt;180, #REF!&lt;200,#REF!&lt;200), "Light User", "Balanced User")))</f>
        <v>#REF!</v>
      </c>
      <c r="AC2897" t="e">
        <f>IF(#REF! = 0, "No Usage", IF(#REF! &lt;= 20, "Low Usage", IF(#REF! &lt;= 40, "Medium Usgae", "High Usage")))</f>
        <v>#REF!</v>
      </c>
      <c r="AD2897" t="e">
        <f>IF(#REF!&lt;=150,"Low Usage", IF(#REF!&lt;=200,"Medium Usage", IF(#REF!&lt;=250,"High Usage","Very High Usage")))</f>
        <v>#REF!</v>
      </c>
      <c r="AE2897" t="e">
        <f>IF(#REF!&lt;=5,"Low Calls", IF(#REF!&lt;=10, "Medium Calls", "High Calls"))</f>
        <v>#REF!</v>
      </c>
      <c r="AF2897" t="e">
        <f xml:space="preserve">
IF(#REF!&gt;=4,4,0)+
IF(#REF!="yes",3,0)+
IF(#REF!="High Charges",3,0)+
IF(#REF!&gt;250,4,0)+
IF(#REF!="no",1,0)+
IF(#REF!="Heavy Domestic User",2,0)</f>
        <v>#REF!</v>
      </c>
      <c r="AG2897" t="e">
        <f>IF(#REF!&gt;=10,"High Risk", IF(#REF!&gt;=5,"Medium Risk","Low Risk"))</f>
        <v>#REF!</v>
      </c>
      <c r="AH2897" t="e">
        <f>#REF! + #REF! + #REF! + #REF!</f>
        <v>#REF!</v>
      </c>
    </row>
    <row r="2898" spans="1:34" x14ac:dyDescent="0.35">
      <c r="A2898">
        <v>2897</v>
      </c>
      <c r="B2898" t="s">
        <v>37</v>
      </c>
      <c r="C2898">
        <v>140</v>
      </c>
      <c r="D2898" t="s">
        <v>28</v>
      </c>
      <c r="E2898" t="s">
        <v>22</v>
      </c>
      <c r="F2898" t="s">
        <v>22</v>
      </c>
      <c r="G2898">
        <v>0</v>
      </c>
      <c r="H2898">
        <v>193.1</v>
      </c>
      <c r="I2898">
        <v>82</v>
      </c>
      <c r="J2898">
        <v>32.83</v>
      </c>
      <c r="K2898">
        <v>260.3</v>
      </c>
      <c r="L2898">
        <v>107</v>
      </c>
      <c r="M2898">
        <v>22.13</v>
      </c>
      <c r="N2898">
        <v>241.3</v>
      </c>
      <c r="O2898">
        <v>93</v>
      </c>
      <c r="P2898">
        <v>10.86</v>
      </c>
      <c r="Q2898">
        <v>13.3</v>
      </c>
      <c r="R2898">
        <v>5</v>
      </c>
      <c r="S2898">
        <v>3.59</v>
      </c>
      <c r="T2898">
        <v>2</v>
      </c>
      <c r="U2898" t="s">
        <v>22</v>
      </c>
      <c r="V2898" t="e">
        <f>IF(#REF! = "yes", 1, 0)</f>
        <v>#REF!</v>
      </c>
      <c r="W2898" t="e">
        <f>IF(#REF! &lt;= 1, "0-1 Calls", IF(#REF! &lt;= 3, "2-3 Calls", IF(#REF! &lt;=5, "4-5 Calls", "6+ Calls")))</f>
        <v>#REF!</v>
      </c>
      <c r="X2898" t="e">
        <f>IF(#REF! &lt;= 50, "0-50", IF(#REF! &lt;=100, "51-100", IF(#REF! &lt;= 150, "101-150", "151+")))</f>
        <v>#REF!</v>
      </c>
      <c r="Y2898" t="e">
        <f>IF(#REF! &lt;= 3, "Low Charges", "High Charges")</f>
        <v>#REF!</v>
      </c>
      <c r="Z2898" t="e">
        <f>IF(#REF!&lt;=80,"Low Calls",
IF(#REF!&lt;=120,"Medium Calls","High Calls"))</f>
        <v>#REF!</v>
      </c>
      <c r="AA2898" t="e">
        <f>IF(#REF!&lt;=15,"Low Charges",
IF(#REF!&lt;=20,"Medium Charges","High Charges"))</f>
        <v>#REF!</v>
      </c>
      <c r="AB2898" t="e">
        <f>IF(AND(#REF!&gt;180, #REF!&gt;200), "Heavy Doemstic User", IF(#REF!&gt;10, "Interntional User", IF(AND(#REF!&lt;180, #REF!&lt;200,#REF!&lt;200), "Light User", "Balanced User")))</f>
        <v>#REF!</v>
      </c>
      <c r="AC2898" t="e">
        <f>IF(#REF! = 0, "No Usage", IF(#REF! &lt;= 20, "Low Usage", IF(#REF! &lt;= 40, "Medium Usgae", "High Usage")))</f>
        <v>#REF!</v>
      </c>
      <c r="AD2898" t="e">
        <f>IF(#REF!&lt;=150,"Low Usage", IF(#REF!&lt;=200,"Medium Usage", IF(#REF!&lt;=250,"High Usage","Very High Usage")))</f>
        <v>#REF!</v>
      </c>
      <c r="AE2898" t="e">
        <f>IF(#REF!&lt;=5,"Low Calls", IF(#REF!&lt;=10, "Medium Calls", "High Calls"))</f>
        <v>#REF!</v>
      </c>
      <c r="AF2898" t="e">
        <f xml:space="preserve">
IF(#REF!&gt;=4,4,0)+
IF(#REF!="yes",3,0)+
IF(#REF!="High Charges",3,0)+
IF(#REF!&gt;250,4,0)+
IF(#REF!="no",1,0)+
IF(#REF!="Heavy Domestic User",2,0)</f>
        <v>#REF!</v>
      </c>
      <c r="AG2898" t="e">
        <f>IF(#REF!&gt;=10,"High Risk", IF(#REF!&gt;=5,"Medium Risk","Low Risk"))</f>
        <v>#REF!</v>
      </c>
      <c r="AH2898" t="e">
        <f>#REF! + #REF! + #REF! + #REF!</f>
        <v>#REF!</v>
      </c>
    </row>
    <row r="2899" spans="1:34" x14ac:dyDescent="0.35">
      <c r="A2899">
        <v>2898</v>
      </c>
      <c r="B2899" t="s">
        <v>39</v>
      </c>
      <c r="C2899">
        <v>106</v>
      </c>
      <c r="D2899" t="s">
        <v>21</v>
      </c>
      <c r="E2899" t="s">
        <v>22</v>
      </c>
      <c r="F2899" t="s">
        <v>22</v>
      </c>
      <c r="G2899">
        <v>0</v>
      </c>
      <c r="H2899">
        <v>182.8</v>
      </c>
      <c r="I2899">
        <v>96</v>
      </c>
      <c r="J2899">
        <v>31.08</v>
      </c>
      <c r="K2899">
        <v>193.7</v>
      </c>
      <c r="L2899">
        <v>93</v>
      </c>
      <c r="M2899">
        <v>16.46</v>
      </c>
      <c r="N2899">
        <v>219.5</v>
      </c>
      <c r="O2899">
        <v>113</v>
      </c>
      <c r="P2899">
        <v>9.8800000000000008</v>
      </c>
      <c r="Q2899">
        <v>7.7</v>
      </c>
      <c r="R2899">
        <v>2</v>
      </c>
      <c r="S2899">
        <v>2.08</v>
      </c>
      <c r="T2899">
        <v>2</v>
      </c>
      <c r="U2899" t="s">
        <v>22</v>
      </c>
      <c r="V2899" t="e">
        <f>IF(#REF! = "yes", 1, 0)</f>
        <v>#REF!</v>
      </c>
      <c r="W2899" t="e">
        <f>IF(#REF! &lt;= 1, "0-1 Calls", IF(#REF! &lt;= 3, "2-3 Calls", IF(#REF! &lt;=5, "4-5 Calls", "6+ Calls")))</f>
        <v>#REF!</v>
      </c>
      <c r="X2899" t="e">
        <f>IF(#REF! &lt;= 50, "0-50", IF(#REF! &lt;=100, "51-100", IF(#REF! &lt;= 150, "101-150", "151+")))</f>
        <v>#REF!</v>
      </c>
      <c r="Y2899" t="e">
        <f>IF(#REF! &lt;= 3, "Low Charges", "High Charges")</f>
        <v>#REF!</v>
      </c>
      <c r="Z2899" t="e">
        <f>IF(#REF!&lt;=80,"Low Calls",
IF(#REF!&lt;=120,"Medium Calls","High Calls"))</f>
        <v>#REF!</v>
      </c>
      <c r="AA2899" t="e">
        <f>IF(#REF!&lt;=15,"Low Charges",
IF(#REF!&lt;=20,"Medium Charges","High Charges"))</f>
        <v>#REF!</v>
      </c>
      <c r="AB2899" t="e">
        <f>IF(AND(#REF!&gt;180, #REF!&gt;200), "Heavy Doemstic User", IF(#REF!&gt;10, "Interntional User", IF(AND(#REF!&lt;180, #REF!&lt;200,#REF!&lt;200), "Light User", "Balanced User")))</f>
        <v>#REF!</v>
      </c>
      <c r="AC2899" t="e">
        <f>IF(#REF! = 0, "No Usage", IF(#REF! &lt;= 20, "Low Usage", IF(#REF! &lt;= 40, "Medium Usgae", "High Usage")))</f>
        <v>#REF!</v>
      </c>
      <c r="AD2899" t="e">
        <f>IF(#REF!&lt;=150,"Low Usage", IF(#REF!&lt;=200,"Medium Usage", IF(#REF!&lt;=250,"High Usage","Very High Usage")))</f>
        <v>#REF!</v>
      </c>
      <c r="AE2899" t="e">
        <f>IF(#REF!&lt;=5,"Low Calls", IF(#REF!&lt;=10, "Medium Calls", "High Calls"))</f>
        <v>#REF!</v>
      </c>
      <c r="AF2899" t="e">
        <f xml:space="preserve">
IF(#REF!&gt;=4,4,0)+
IF(#REF!="yes",3,0)+
IF(#REF!="High Charges",3,0)+
IF(#REF!&gt;250,4,0)+
IF(#REF!="no",1,0)+
IF(#REF!="Heavy Domestic User",2,0)</f>
        <v>#REF!</v>
      </c>
      <c r="AG2899" t="e">
        <f>IF(#REF!&gt;=10,"High Risk", IF(#REF!&gt;=5,"Medium Risk","Low Risk"))</f>
        <v>#REF!</v>
      </c>
      <c r="AH2899" t="e">
        <f>#REF! + #REF! + #REF! + #REF!</f>
        <v>#REF!</v>
      </c>
    </row>
    <row r="2900" spans="1:34" x14ac:dyDescent="0.35">
      <c r="A2900">
        <v>2899</v>
      </c>
      <c r="B2900" t="s">
        <v>57</v>
      </c>
      <c r="C2900">
        <v>166</v>
      </c>
      <c r="D2900" t="s">
        <v>28</v>
      </c>
      <c r="E2900" t="s">
        <v>22</v>
      </c>
      <c r="F2900" t="s">
        <v>23</v>
      </c>
      <c r="G2900">
        <v>32</v>
      </c>
      <c r="H2900">
        <v>148.4</v>
      </c>
      <c r="I2900">
        <v>86</v>
      </c>
      <c r="J2900">
        <v>25.23</v>
      </c>
      <c r="K2900">
        <v>170.6</v>
      </c>
      <c r="L2900">
        <v>119</v>
      </c>
      <c r="M2900">
        <v>14.5</v>
      </c>
      <c r="N2900">
        <v>201.5</v>
      </c>
      <c r="O2900">
        <v>124</v>
      </c>
      <c r="P2900">
        <v>9.07</v>
      </c>
      <c r="Q2900">
        <v>11.3</v>
      </c>
      <c r="R2900">
        <v>12</v>
      </c>
      <c r="S2900">
        <v>3.05</v>
      </c>
      <c r="T2900">
        <v>1</v>
      </c>
      <c r="U2900" t="s">
        <v>22</v>
      </c>
      <c r="V2900" t="e">
        <f>IF(#REF! = "yes", 1, 0)</f>
        <v>#REF!</v>
      </c>
      <c r="W2900" t="e">
        <f>IF(#REF! &lt;= 1, "0-1 Calls", IF(#REF! &lt;= 3, "2-3 Calls", IF(#REF! &lt;=5, "4-5 Calls", "6+ Calls")))</f>
        <v>#REF!</v>
      </c>
      <c r="X2900" t="e">
        <f>IF(#REF! &lt;= 50, "0-50", IF(#REF! &lt;=100, "51-100", IF(#REF! &lt;= 150, "101-150", "151+")))</f>
        <v>#REF!</v>
      </c>
      <c r="Y2900" t="e">
        <f>IF(#REF! &lt;= 3, "Low Charges", "High Charges")</f>
        <v>#REF!</v>
      </c>
      <c r="Z2900" t="e">
        <f>IF(#REF!&lt;=80,"Low Calls",
IF(#REF!&lt;=120,"Medium Calls","High Calls"))</f>
        <v>#REF!</v>
      </c>
      <c r="AA2900" t="e">
        <f>IF(#REF!&lt;=15,"Low Charges",
IF(#REF!&lt;=20,"Medium Charges","High Charges"))</f>
        <v>#REF!</v>
      </c>
      <c r="AB2900" t="e">
        <f>IF(AND(#REF!&gt;180, #REF!&gt;200), "Heavy Doemstic User", IF(#REF!&gt;10, "Interntional User", IF(AND(#REF!&lt;180, #REF!&lt;200,#REF!&lt;200), "Light User", "Balanced User")))</f>
        <v>#REF!</v>
      </c>
      <c r="AC2900" t="e">
        <f>IF(#REF! = 0, "No Usage", IF(#REF! &lt;= 20, "Low Usage", IF(#REF! &lt;= 40, "Medium Usgae", "High Usage")))</f>
        <v>#REF!</v>
      </c>
      <c r="AD2900" t="e">
        <f>IF(#REF!&lt;=150,"Low Usage", IF(#REF!&lt;=200,"Medium Usage", IF(#REF!&lt;=250,"High Usage","Very High Usage")))</f>
        <v>#REF!</v>
      </c>
      <c r="AE2900" t="e">
        <f>IF(#REF!&lt;=5,"Low Calls", IF(#REF!&lt;=10, "Medium Calls", "High Calls"))</f>
        <v>#REF!</v>
      </c>
      <c r="AF2900" t="e">
        <f xml:space="preserve">
IF(#REF!&gt;=4,4,0)+
IF(#REF!="yes",3,0)+
IF(#REF!="High Charges",3,0)+
IF(#REF!&gt;250,4,0)+
IF(#REF!="no",1,0)+
IF(#REF!="Heavy Domestic User",2,0)</f>
        <v>#REF!</v>
      </c>
      <c r="AG2900" t="e">
        <f>IF(#REF!&gt;=10,"High Risk", IF(#REF!&gt;=5,"Medium Risk","Low Risk"))</f>
        <v>#REF!</v>
      </c>
      <c r="AH2900" t="e">
        <f>#REF! + #REF! + #REF! + #REF!</f>
        <v>#REF!</v>
      </c>
    </row>
    <row r="2901" spans="1:34" x14ac:dyDescent="0.35">
      <c r="A2901">
        <v>2900</v>
      </c>
      <c r="B2901" t="s">
        <v>71</v>
      </c>
      <c r="C2901">
        <v>137</v>
      </c>
      <c r="D2901" t="s">
        <v>25</v>
      </c>
      <c r="E2901" t="s">
        <v>22</v>
      </c>
      <c r="F2901" t="s">
        <v>22</v>
      </c>
      <c r="G2901">
        <v>0</v>
      </c>
      <c r="H2901">
        <v>75.8</v>
      </c>
      <c r="I2901">
        <v>107</v>
      </c>
      <c r="J2901">
        <v>12.89</v>
      </c>
      <c r="K2901">
        <v>256.89999999999998</v>
      </c>
      <c r="L2901">
        <v>98</v>
      </c>
      <c r="M2901">
        <v>21.84</v>
      </c>
      <c r="N2901">
        <v>204.4</v>
      </c>
      <c r="O2901">
        <v>118</v>
      </c>
      <c r="P2901">
        <v>9.1999999999999993</v>
      </c>
      <c r="Q2901">
        <v>10.5</v>
      </c>
      <c r="R2901">
        <v>3</v>
      </c>
      <c r="S2901">
        <v>2.84</v>
      </c>
      <c r="T2901">
        <v>2</v>
      </c>
      <c r="U2901" t="s">
        <v>22</v>
      </c>
      <c r="V2901" t="e">
        <f>IF(#REF! = "yes", 1, 0)</f>
        <v>#REF!</v>
      </c>
      <c r="W2901" t="e">
        <f>IF(#REF! &lt;= 1, "0-1 Calls", IF(#REF! &lt;= 3, "2-3 Calls", IF(#REF! &lt;=5, "4-5 Calls", "6+ Calls")))</f>
        <v>#REF!</v>
      </c>
      <c r="X2901" t="e">
        <f>IF(#REF! &lt;= 50, "0-50", IF(#REF! &lt;=100, "51-100", IF(#REF! &lt;= 150, "101-150", "151+")))</f>
        <v>#REF!</v>
      </c>
      <c r="Y2901" t="e">
        <f>IF(#REF! &lt;= 3, "Low Charges", "High Charges")</f>
        <v>#REF!</v>
      </c>
      <c r="Z2901" t="e">
        <f>IF(#REF!&lt;=80,"Low Calls",
IF(#REF!&lt;=120,"Medium Calls","High Calls"))</f>
        <v>#REF!</v>
      </c>
      <c r="AA2901" t="e">
        <f>IF(#REF!&lt;=15,"Low Charges",
IF(#REF!&lt;=20,"Medium Charges","High Charges"))</f>
        <v>#REF!</v>
      </c>
      <c r="AB2901" t="e">
        <f>IF(AND(#REF!&gt;180, #REF!&gt;200), "Heavy Doemstic User", IF(#REF!&gt;10, "Interntional User", IF(AND(#REF!&lt;180, #REF!&lt;200,#REF!&lt;200), "Light User", "Balanced User")))</f>
        <v>#REF!</v>
      </c>
      <c r="AC2901" t="e">
        <f>IF(#REF! = 0, "No Usage", IF(#REF! &lt;= 20, "Low Usage", IF(#REF! &lt;= 40, "Medium Usgae", "High Usage")))</f>
        <v>#REF!</v>
      </c>
      <c r="AD2901" t="e">
        <f>IF(#REF!&lt;=150,"Low Usage", IF(#REF!&lt;=200,"Medium Usage", IF(#REF!&lt;=250,"High Usage","Very High Usage")))</f>
        <v>#REF!</v>
      </c>
      <c r="AE2901" t="e">
        <f>IF(#REF!&lt;=5,"Low Calls", IF(#REF!&lt;=10, "Medium Calls", "High Calls"))</f>
        <v>#REF!</v>
      </c>
      <c r="AF2901" t="e">
        <f xml:space="preserve">
IF(#REF!&gt;=4,4,0)+
IF(#REF!="yes",3,0)+
IF(#REF!="High Charges",3,0)+
IF(#REF!&gt;250,4,0)+
IF(#REF!="no",1,0)+
IF(#REF!="Heavy Domestic User",2,0)</f>
        <v>#REF!</v>
      </c>
      <c r="AG2901" t="e">
        <f>IF(#REF!&gt;=10,"High Risk", IF(#REF!&gt;=5,"Medium Risk","Low Risk"))</f>
        <v>#REF!</v>
      </c>
      <c r="AH2901" t="e">
        <f>#REF! + #REF! + #REF! + #REF!</f>
        <v>#REF!</v>
      </c>
    </row>
    <row r="2902" spans="1:34" x14ac:dyDescent="0.35">
      <c r="A2902">
        <v>2901</v>
      </c>
      <c r="B2902" t="s">
        <v>71</v>
      </c>
      <c r="C2902">
        <v>161</v>
      </c>
      <c r="D2902" t="s">
        <v>21</v>
      </c>
      <c r="E2902" t="s">
        <v>22</v>
      </c>
      <c r="F2902" t="s">
        <v>22</v>
      </c>
      <c r="G2902">
        <v>0</v>
      </c>
      <c r="H2902">
        <v>198</v>
      </c>
      <c r="I2902">
        <v>90</v>
      </c>
      <c r="J2902">
        <v>33.659999999999997</v>
      </c>
      <c r="K2902">
        <v>186.4</v>
      </c>
      <c r="L2902">
        <v>102</v>
      </c>
      <c r="M2902">
        <v>15.84</v>
      </c>
      <c r="N2902">
        <v>219.2</v>
      </c>
      <c r="O2902">
        <v>90</v>
      </c>
      <c r="P2902">
        <v>9.86</v>
      </c>
      <c r="Q2902">
        <v>9.3000000000000007</v>
      </c>
      <c r="R2902">
        <v>2</v>
      </c>
      <c r="S2902">
        <v>2.5099999999999998</v>
      </c>
      <c r="T2902">
        <v>1</v>
      </c>
      <c r="U2902" t="s">
        <v>22</v>
      </c>
      <c r="V2902" t="e">
        <f>IF(#REF! = "yes", 1, 0)</f>
        <v>#REF!</v>
      </c>
      <c r="W2902" t="e">
        <f>IF(#REF! &lt;= 1, "0-1 Calls", IF(#REF! &lt;= 3, "2-3 Calls", IF(#REF! &lt;=5, "4-5 Calls", "6+ Calls")))</f>
        <v>#REF!</v>
      </c>
      <c r="X2902" t="e">
        <f>IF(#REF! &lt;= 50, "0-50", IF(#REF! &lt;=100, "51-100", IF(#REF! &lt;= 150, "101-150", "151+")))</f>
        <v>#REF!</v>
      </c>
      <c r="Y2902" t="e">
        <f>IF(#REF! &lt;= 3, "Low Charges", "High Charges")</f>
        <v>#REF!</v>
      </c>
      <c r="Z2902" t="e">
        <f>IF(#REF!&lt;=80,"Low Calls",
IF(#REF!&lt;=120,"Medium Calls","High Calls"))</f>
        <v>#REF!</v>
      </c>
      <c r="AA2902" t="e">
        <f>IF(#REF!&lt;=15,"Low Charges",
IF(#REF!&lt;=20,"Medium Charges","High Charges"))</f>
        <v>#REF!</v>
      </c>
      <c r="AB2902" t="e">
        <f>IF(AND(#REF!&gt;180, #REF!&gt;200), "Heavy Doemstic User", IF(#REF!&gt;10, "Interntional User", IF(AND(#REF!&lt;180, #REF!&lt;200,#REF!&lt;200), "Light User", "Balanced User")))</f>
        <v>#REF!</v>
      </c>
      <c r="AC2902" t="e">
        <f>IF(#REF! = 0, "No Usage", IF(#REF! &lt;= 20, "Low Usage", IF(#REF! &lt;= 40, "Medium Usgae", "High Usage")))</f>
        <v>#REF!</v>
      </c>
      <c r="AD2902" t="e">
        <f>IF(#REF!&lt;=150,"Low Usage", IF(#REF!&lt;=200,"Medium Usage", IF(#REF!&lt;=250,"High Usage","Very High Usage")))</f>
        <v>#REF!</v>
      </c>
      <c r="AE2902" t="e">
        <f>IF(#REF!&lt;=5,"Low Calls", IF(#REF!&lt;=10, "Medium Calls", "High Calls"))</f>
        <v>#REF!</v>
      </c>
      <c r="AF2902" t="e">
        <f xml:space="preserve">
IF(#REF!&gt;=4,4,0)+
IF(#REF!="yes",3,0)+
IF(#REF!="High Charges",3,0)+
IF(#REF!&gt;250,4,0)+
IF(#REF!="no",1,0)+
IF(#REF!="Heavy Domestic User",2,0)</f>
        <v>#REF!</v>
      </c>
      <c r="AG2902" t="e">
        <f>IF(#REF!&gt;=10,"High Risk", IF(#REF!&gt;=5,"Medium Risk","Low Risk"))</f>
        <v>#REF!</v>
      </c>
      <c r="AH2902" t="e">
        <f>#REF! + #REF! + #REF! + #REF!</f>
        <v>#REF!</v>
      </c>
    </row>
    <row r="2903" spans="1:34" x14ac:dyDescent="0.35">
      <c r="A2903">
        <v>2902</v>
      </c>
      <c r="B2903" t="s">
        <v>54</v>
      </c>
      <c r="C2903">
        <v>120</v>
      </c>
      <c r="D2903" t="s">
        <v>21</v>
      </c>
      <c r="E2903" t="s">
        <v>22</v>
      </c>
      <c r="F2903" t="s">
        <v>22</v>
      </c>
      <c r="G2903">
        <v>0</v>
      </c>
      <c r="H2903">
        <v>253.2</v>
      </c>
      <c r="I2903">
        <v>95</v>
      </c>
      <c r="J2903">
        <v>43.04</v>
      </c>
      <c r="K2903">
        <v>210.8</v>
      </c>
      <c r="L2903">
        <v>86</v>
      </c>
      <c r="M2903">
        <v>17.920000000000002</v>
      </c>
      <c r="N2903">
        <v>253.9</v>
      </c>
      <c r="O2903">
        <v>81</v>
      </c>
      <c r="P2903">
        <v>11.43</v>
      </c>
      <c r="Q2903">
        <v>9.5</v>
      </c>
      <c r="R2903">
        <v>4</v>
      </c>
      <c r="S2903">
        <v>2.57</v>
      </c>
      <c r="T2903">
        <v>5</v>
      </c>
      <c r="U2903" t="s">
        <v>23</v>
      </c>
      <c r="V2903" t="e">
        <f>IF(#REF! = "yes", 1, 0)</f>
        <v>#REF!</v>
      </c>
      <c r="W2903" t="e">
        <f>IF(#REF! &lt;= 1, "0-1 Calls", IF(#REF! &lt;= 3, "2-3 Calls", IF(#REF! &lt;=5, "4-5 Calls", "6+ Calls")))</f>
        <v>#REF!</v>
      </c>
      <c r="X2903" t="e">
        <f>IF(#REF! &lt;= 50, "0-50", IF(#REF! &lt;=100, "51-100", IF(#REF! &lt;= 150, "101-150", "151+")))</f>
        <v>#REF!</v>
      </c>
      <c r="Y2903" t="e">
        <f>IF(#REF! &lt;= 3, "Low Charges", "High Charges")</f>
        <v>#REF!</v>
      </c>
      <c r="Z2903" t="e">
        <f>IF(#REF!&lt;=80,"Low Calls",
IF(#REF!&lt;=120,"Medium Calls","High Calls"))</f>
        <v>#REF!</v>
      </c>
      <c r="AA2903" t="e">
        <f>IF(#REF!&lt;=15,"Low Charges",
IF(#REF!&lt;=20,"Medium Charges","High Charges"))</f>
        <v>#REF!</v>
      </c>
      <c r="AB2903" t="e">
        <f>IF(AND(#REF!&gt;180, #REF!&gt;200), "Heavy Doemstic User", IF(#REF!&gt;10, "Interntional User", IF(AND(#REF!&lt;180, #REF!&lt;200,#REF!&lt;200), "Light User", "Balanced User")))</f>
        <v>#REF!</v>
      </c>
      <c r="AC2903" t="e">
        <f>IF(#REF! = 0, "No Usage", IF(#REF! &lt;= 20, "Low Usage", IF(#REF! &lt;= 40, "Medium Usgae", "High Usage")))</f>
        <v>#REF!</v>
      </c>
      <c r="AD2903" t="e">
        <f>IF(#REF!&lt;=150,"Low Usage", IF(#REF!&lt;=200,"Medium Usage", IF(#REF!&lt;=250,"High Usage","Very High Usage")))</f>
        <v>#REF!</v>
      </c>
      <c r="AE2903" t="e">
        <f>IF(#REF!&lt;=5,"Low Calls", IF(#REF!&lt;=10, "Medium Calls", "High Calls"))</f>
        <v>#REF!</v>
      </c>
      <c r="AF2903" t="e">
        <f xml:space="preserve">
IF(#REF!&gt;=4,4,0)+
IF(#REF!="yes",3,0)+
IF(#REF!="High Charges",3,0)+
IF(#REF!&gt;250,4,0)+
IF(#REF!="no",1,0)+
IF(#REF!="Heavy Domestic User",2,0)</f>
        <v>#REF!</v>
      </c>
      <c r="AG2903" t="e">
        <f>IF(#REF!&gt;=10,"High Risk", IF(#REF!&gt;=5,"Medium Risk","Low Risk"))</f>
        <v>#REF!</v>
      </c>
      <c r="AH2903" t="e">
        <f>#REF! + #REF! + #REF! + #REF!</f>
        <v>#REF!</v>
      </c>
    </row>
    <row r="2904" spans="1:34" x14ac:dyDescent="0.35">
      <c r="A2904">
        <v>2903</v>
      </c>
      <c r="B2904" t="s">
        <v>71</v>
      </c>
      <c r="C2904">
        <v>187</v>
      </c>
      <c r="D2904" t="s">
        <v>28</v>
      </c>
      <c r="E2904" t="s">
        <v>22</v>
      </c>
      <c r="F2904" t="s">
        <v>23</v>
      </c>
      <c r="G2904">
        <v>25</v>
      </c>
      <c r="H2904">
        <v>199.9</v>
      </c>
      <c r="I2904">
        <v>64</v>
      </c>
      <c r="J2904">
        <v>33.979999999999997</v>
      </c>
      <c r="K2904">
        <v>134.6</v>
      </c>
      <c r="L2904">
        <v>110</v>
      </c>
      <c r="M2904">
        <v>11.44</v>
      </c>
      <c r="N2904">
        <v>210.4</v>
      </c>
      <c r="O2904">
        <v>78</v>
      </c>
      <c r="P2904">
        <v>9.4700000000000006</v>
      </c>
      <c r="Q2904">
        <v>11.7</v>
      </c>
      <c r="R2904">
        <v>6</v>
      </c>
      <c r="S2904">
        <v>3.16</v>
      </c>
      <c r="T2904">
        <v>3</v>
      </c>
      <c r="U2904" t="s">
        <v>22</v>
      </c>
      <c r="V2904" t="e">
        <f>IF(#REF! = "yes", 1, 0)</f>
        <v>#REF!</v>
      </c>
      <c r="W2904" t="e">
        <f>IF(#REF! &lt;= 1, "0-1 Calls", IF(#REF! &lt;= 3, "2-3 Calls", IF(#REF! &lt;=5, "4-5 Calls", "6+ Calls")))</f>
        <v>#REF!</v>
      </c>
      <c r="X2904" t="e">
        <f>IF(#REF! &lt;= 50, "0-50", IF(#REF! &lt;=100, "51-100", IF(#REF! &lt;= 150, "101-150", "151+")))</f>
        <v>#REF!</v>
      </c>
      <c r="Y2904" t="e">
        <f>IF(#REF! &lt;= 3, "Low Charges", "High Charges")</f>
        <v>#REF!</v>
      </c>
      <c r="Z2904" t="e">
        <f>IF(#REF!&lt;=80,"Low Calls",
IF(#REF!&lt;=120,"Medium Calls","High Calls"))</f>
        <v>#REF!</v>
      </c>
      <c r="AA2904" t="e">
        <f>IF(#REF!&lt;=15,"Low Charges",
IF(#REF!&lt;=20,"Medium Charges","High Charges"))</f>
        <v>#REF!</v>
      </c>
      <c r="AB2904" t="e">
        <f>IF(AND(#REF!&gt;180, #REF!&gt;200), "Heavy Doemstic User", IF(#REF!&gt;10, "Interntional User", IF(AND(#REF!&lt;180, #REF!&lt;200,#REF!&lt;200), "Light User", "Balanced User")))</f>
        <v>#REF!</v>
      </c>
      <c r="AC2904" t="e">
        <f>IF(#REF! = 0, "No Usage", IF(#REF! &lt;= 20, "Low Usage", IF(#REF! &lt;= 40, "Medium Usgae", "High Usage")))</f>
        <v>#REF!</v>
      </c>
      <c r="AD2904" t="e">
        <f>IF(#REF!&lt;=150,"Low Usage", IF(#REF!&lt;=200,"Medium Usage", IF(#REF!&lt;=250,"High Usage","Very High Usage")))</f>
        <v>#REF!</v>
      </c>
      <c r="AE2904" t="e">
        <f>IF(#REF!&lt;=5,"Low Calls", IF(#REF!&lt;=10, "Medium Calls", "High Calls"))</f>
        <v>#REF!</v>
      </c>
      <c r="AF2904" t="e">
        <f xml:space="preserve">
IF(#REF!&gt;=4,4,0)+
IF(#REF!="yes",3,0)+
IF(#REF!="High Charges",3,0)+
IF(#REF!&gt;250,4,0)+
IF(#REF!="no",1,0)+
IF(#REF!="Heavy Domestic User",2,0)</f>
        <v>#REF!</v>
      </c>
      <c r="AG2904" t="e">
        <f>IF(#REF!&gt;=10,"High Risk", IF(#REF!&gt;=5,"Medium Risk","Low Risk"))</f>
        <v>#REF!</v>
      </c>
      <c r="AH2904" t="e">
        <f>#REF! + #REF! + #REF! + #REF!</f>
        <v>#REF!</v>
      </c>
    </row>
    <row r="2905" spans="1:34" x14ac:dyDescent="0.35">
      <c r="A2905">
        <v>2904</v>
      </c>
      <c r="B2905" t="s">
        <v>52</v>
      </c>
      <c r="C2905">
        <v>102</v>
      </c>
      <c r="D2905" t="s">
        <v>21</v>
      </c>
      <c r="E2905" t="s">
        <v>22</v>
      </c>
      <c r="F2905" t="s">
        <v>23</v>
      </c>
      <c r="G2905">
        <v>25</v>
      </c>
      <c r="H2905">
        <v>187.5</v>
      </c>
      <c r="I2905">
        <v>105</v>
      </c>
      <c r="J2905">
        <v>31.88</v>
      </c>
      <c r="K2905">
        <v>272.3</v>
      </c>
      <c r="L2905">
        <v>88</v>
      </c>
      <c r="M2905">
        <v>23.15</v>
      </c>
      <c r="N2905">
        <v>216.4</v>
      </c>
      <c r="O2905">
        <v>91</v>
      </c>
      <c r="P2905">
        <v>9.74</v>
      </c>
      <c r="Q2905">
        <v>11.7</v>
      </c>
      <c r="R2905">
        <v>2</v>
      </c>
      <c r="S2905">
        <v>3.16</v>
      </c>
      <c r="T2905">
        <v>2</v>
      </c>
      <c r="U2905" t="s">
        <v>22</v>
      </c>
      <c r="V2905" t="e">
        <f>IF(#REF! = "yes", 1, 0)</f>
        <v>#REF!</v>
      </c>
      <c r="W2905" t="e">
        <f>IF(#REF! &lt;= 1, "0-1 Calls", IF(#REF! &lt;= 3, "2-3 Calls", IF(#REF! &lt;=5, "4-5 Calls", "6+ Calls")))</f>
        <v>#REF!</v>
      </c>
      <c r="X2905" t="e">
        <f>IF(#REF! &lt;= 50, "0-50", IF(#REF! &lt;=100, "51-100", IF(#REF! &lt;= 150, "101-150", "151+")))</f>
        <v>#REF!</v>
      </c>
      <c r="Y2905" t="e">
        <f>IF(#REF! &lt;= 3, "Low Charges", "High Charges")</f>
        <v>#REF!</v>
      </c>
      <c r="Z2905" t="e">
        <f>IF(#REF!&lt;=80,"Low Calls",
IF(#REF!&lt;=120,"Medium Calls","High Calls"))</f>
        <v>#REF!</v>
      </c>
      <c r="AA2905" t="e">
        <f>IF(#REF!&lt;=15,"Low Charges",
IF(#REF!&lt;=20,"Medium Charges","High Charges"))</f>
        <v>#REF!</v>
      </c>
      <c r="AB2905" t="e">
        <f>IF(AND(#REF!&gt;180, #REF!&gt;200), "Heavy Doemstic User", IF(#REF!&gt;10, "Interntional User", IF(AND(#REF!&lt;180, #REF!&lt;200,#REF!&lt;200), "Light User", "Balanced User")))</f>
        <v>#REF!</v>
      </c>
      <c r="AC2905" t="e">
        <f>IF(#REF! = 0, "No Usage", IF(#REF! &lt;= 20, "Low Usage", IF(#REF! &lt;= 40, "Medium Usgae", "High Usage")))</f>
        <v>#REF!</v>
      </c>
      <c r="AD2905" t="e">
        <f>IF(#REF!&lt;=150,"Low Usage", IF(#REF!&lt;=200,"Medium Usage", IF(#REF!&lt;=250,"High Usage","Very High Usage")))</f>
        <v>#REF!</v>
      </c>
      <c r="AE2905" t="e">
        <f>IF(#REF!&lt;=5,"Low Calls", IF(#REF!&lt;=10, "Medium Calls", "High Calls"))</f>
        <v>#REF!</v>
      </c>
      <c r="AF2905" t="e">
        <f xml:space="preserve">
IF(#REF!&gt;=4,4,0)+
IF(#REF!="yes",3,0)+
IF(#REF!="High Charges",3,0)+
IF(#REF!&gt;250,4,0)+
IF(#REF!="no",1,0)+
IF(#REF!="Heavy Domestic User",2,0)</f>
        <v>#REF!</v>
      </c>
      <c r="AG2905" t="e">
        <f>IF(#REF!&gt;=10,"High Risk", IF(#REF!&gt;=5,"Medium Risk","Low Risk"))</f>
        <v>#REF!</v>
      </c>
      <c r="AH2905" t="e">
        <f>#REF! + #REF! + #REF! + #REF!</f>
        <v>#REF!</v>
      </c>
    </row>
    <row r="2906" spans="1:34" x14ac:dyDescent="0.35">
      <c r="A2906">
        <v>2905</v>
      </c>
      <c r="B2906" t="s">
        <v>34</v>
      </c>
      <c r="C2906">
        <v>82</v>
      </c>
      <c r="D2906" t="s">
        <v>25</v>
      </c>
      <c r="E2906" t="s">
        <v>22</v>
      </c>
      <c r="F2906" t="s">
        <v>22</v>
      </c>
      <c r="G2906">
        <v>0</v>
      </c>
      <c r="H2906">
        <v>183.6</v>
      </c>
      <c r="I2906">
        <v>111</v>
      </c>
      <c r="J2906">
        <v>31.21</v>
      </c>
      <c r="K2906">
        <v>303.5</v>
      </c>
      <c r="L2906">
        <v>88</v>
      </c>
      <c r="M2906">
        <v>25.8</v>
      </c>
      <c r="N2906">
        <v>189.8</v>
      </c>
      <c r="O2906">
        <v>115</v>
      </c>
      <c r="P2906">
        <v>8.5399999999999991</v>
      </c>
      <c r="Q2906">
        <v>10.3</v>
      </c>
      <c r="R2906">
        <v>6</v>
      </c>
      <c r="S2906">
        <v>2.78</v>
      </c>
      <c r="T2906">
        <v>0</v>
      </c>
      <c r="U2906" t="s">
        <v>22</v>
      </c>
      <c r="V2906" t="e">
        <f>IF(#REF! = "yes", 1, 0)</f>
        <v>#REF!</v>
      </c>
      <c r="W2906" t="e">
        <f>IF(#REF! &lt;= 1, "0-1 Calls", IF(#REF! &lt;= 3, "2-3 Calls", IF(#REF! &lt;=5, "4-5 Calls", "6+ Calls")))</f>
        <v>#REF!</v>
      </c>
      <c r="X2906" t="e">
        <f>IF(#REF! &lt;= 50, "0-50", IF(#REF! &lt;=100, "51-100", IF(#REF! &lt;= 150, "101-150", "151+")))</f>
        <v>#REF!</v>
      </c>
      <c r="Y2906" t="e">
        <f>IF(#REF! &lt;= 3, "Low Charges", "High Charges")</f>
        <v>#REF!</v>
      </c>
      <c r="Z2906" t="e">
        <f>IF(#REF!&lt;=80,"Low Calls",
IF(#REF!&lt;=120,"Medium Calls","High Calls"))</f>
        <v>#REF!</v>
      </c>
      <c r="AA2906" t="e">
        <f>IF(#REF!&lt;=15,"Low Charges",
IF(#REF!&lt;=20,"Medium Charges","High Charges"))</f>
        <v>#REF!</v>
      </c>
      <c r="AB2906" t="e">
        <f>IF(AND(#REF!&gt;180, #REF!&gt;200), "Heavy Doemstic User", IF(#REF!&gt;10, "Interntional User", IF(AND(#REF!&lt;180, #REF!&lt;200,#REF!&lt;200), "Light User", "Balanced User")))</f>
        <v>#REF!</v>
      </c>
      <c r="AC2906" t="e">
        <f>IF(#REF! = 0, "No Usage", IF(#REF! &lt;= 20, "Low Usage", IF(#REF! &lt;= 40, "Medium Usgae", "High Usage")))</f>
        <v>#REF!</v>
      </c>
      <c r="AD2906" t="e">
        <f>IF(#REF!&lt;=150,"Low Usage", IF(#REF!&lt;=200,"Medium Usage", IF(#REF!&lt;=250,"High Usage","Very High Usage")))</f>
        <v>#REF!</v>
      </c>
      <c r="AE2906" t="e">
        <f>IF(#REF!&lt;=5,"Low Calls", IF(#REF!&lt;=10, "Medium Calls", "High Calls"))</f>
        <v>#REF!</v>
      </c>
      <c r="AF2906" t="e">
        <f xml:space="preserve">
IF(#REF!&gt;=4,4,0)+
IF(#REF!="yes",3,0)+
IF(#REF!="High Charges",3,0)+
IF(#REF!&gt;250,4,0)+
IF(#REF!="no",1,0)+
IF(#REF!="Heavy Domestic User",2,0)</f>
        <v>#REF!</v>
      </c>
      <c r="AG2906" t="e">
        <f>IF(#REF!&gt;=10,"High Risk", IF(#REF!&gt;=5,"Medium Risk","Low Risk"))</f>
        <v>#REF!</v>
      </c>
      <c r="AH2906" t="e">
        <f>#REF! + #REF! + #REF! + #REF!</f>
        <v>#REF!</v>
      </c>
    </row>
    <row r="2907" spans="1:34" x14ac:dyDescent="0.35">
      <c r="A2907">
        <v>2906</v>
      </c>
      <c r="B2907" t="s">
        <v>53</v>
      </c>
      <c r="C2907">
        <v>100</v>
      </c>
      <c r="D2907" t="s">
        <v>28</v>
      </c>
      <c r="E2907" t="s">
        <v>22</v>
      </c>
      <c r="F2907" t="s">
        <v>23</v>
      </c>
      <c r="G2907">
        <v>21</v>
      </c>
      <c r="H2907">
        <v>86.1</v>
      </c>
      <c r="I2907">
        <v>95</v>
      </c>
      <c r="J2907">
        <v>14.64</v>
      </c>
      <c r="K2907">
        <v>189.9</v>
      </c>
      <c r="L2907">
        <v>126</v>
      </c>
      <c r="M2907">
        <v>16.14</v>
      </c>
      <c r="N2907">
        <v>201.3</v>
      </c>
      <c r="O2907">
        <v>113</v>
      </c>
      <c r="P2907">
        <v>9.06</v>
      </c>
      <c r="Q2907">
        <v>11.7</v>
      </c>
      <c r="R2907">
        <v>4</v>
      </c>
      <c r="S2907">
        <v>3.16</v>
      </c>
      <c r="T2907">
        <v>0</v>
      </c>
      <c r="U2907" t="s">
        <v>22</v>
      </c>
      <c r="V2907" t="e">
        <f>IF(#REF! = "yes", 1, 0)</f>
        <v>#REF!</v>
      </c>
      <c r="W2907" t="e">
        <f>IF(#REF! &lt;= 1, "0-1 Calls", IF(#REF! &lt;= 3, "2-3 Calls", IF(#REF! &lt;=5, "4-5 Calls", "6+ Calls")))</f>
        <v>#REF!</v>
      </c>
      <c r="X2907" t="e">
        <f>IF(#REF! &lt;= 50, "0-50", IF(#REF! &lt;=100, "51-100", IF(#REF! &lt;= 150, "101-150", "151+")))</f>
        <v>#REF!</v>
      </c>
      <c r="Y2907" t="e">
        <f>IF(#REF! &lt;= 3, "Low Charges", "High Charges")</f>
        <v>#REF!</v>
      </c>
      <c r="Z2907" t="e">
        <f>IF(#REF!&lt;=80,"Low Calls",
IF(#REF!&lt;=120,"Medium Calls","High Calls"))</f>
        <v>#REF!</v>
      </c>
      <c r="AA2907" t="e">
        <f>IF(#REF!&lt;=15,"Low Charges",
IF(#REF!&lt;=20,"Medium Charges","High Charges"))</f>
        <v>#REF!</v>
      </c>
      <c r="AB2907" t="e">
        <f>IF(AND(#REF!&gt;180, #REF!&gt;200), "Heavy Doemstic User", IF(#REF!&gt;10, "Interntional User", IF(AND(#REF!&lt;180, #REF!&lt;200,#REF!&lt;200), "Light User", "Balanced User")))</f>
        <v>#REF!</v>
      </c>
      <c r="AC2907" t="e">
        <f>IF(#REF! = 0, "No Usage", IF(#REF! &lt;= 20, "Low Usage", IF(#REF! &lt;= 40, "Medium Usgae", "High Usage")))</f>
        <v>#REF!</v>
      </c>
      <c r="AD2907" t="e">
        <f>IF(#REF!&lt;=150,"Low Usage", IF(#REF!&lt;=200,"Medium Usage", IF(#REF!&lt;=250,"High Usage","Very High Usage")))</f>
        <v>#REF!</v>
      </c>
      <c r="AE2907" t="e">
        <f>IF(#REF!&lt;=5,"Low Calls", IF(#REF!&lt;=10, "Medium Calls", "High Calls"))</f>
        <v>#REF!</v>
      </c>
      <c r="AF2907" t="e">
        <f xml:space="preserve">
IF(#REF!&gt;=4,4,0)+
IF(#REF!="yes",3,0)+
IF(#REF!="High Charges",3,0)+
IF(#REF!&gt;250,4,0)+
IF(#REF!="no",1,0)+
IF(#REF!="Heavy Domestic User",2,0)</f>
        <v>#REF!</v>
      </c>
      <c r="AG2907" t="e">
        <f>IF(#REF!&gt;=10,"High Risk", IF(#REF!&gt;=5,"Medium Risk","Low Risk"))</f>
        <v>#REF!</v>
      </c>
      <c r="AH2907" t="e">
        <f>#REF! + #REF! + #REF! + #REF!</f>
        <v>#REF!</v>
      </c>
    </row>
    <row r="2908" spans="1:34" x14ac:dyDescent="0.35">
      <c r="A2908">
        <v>2907</v>
      </c>
      <c r="B2908" t="s">
        <v>50</v>
      </c>
      <c r="C2908">
        <v>45</v>
      </c>
      <c r="D2908" t="s">
        <v>25</v>
      </c>
      <c r="E2908" t="s">
        <v>22</v>
      </c>
      <c r="F2908" t="s">
        <v>22</v>
      </c>
      <c r="G2908">
        <v>0</v>
      </c>
      <c r="H2908">
        <v>126.8</v>
      </c>
      <c r="I2908">
        <v>83</v>
      </c>
      <c r="J2908">
        <v>21.56</v>
      </c>
      <c r="K2908">
        <v>157.80000000000001</v>
      </c>
      <c r="L2908">
        <v>100</v>
      </c>
      <c r="M2908">
        <v>13.41</v>
      </c>
      <c r="N2908">
        <v>158.30000000000001</v>
      </c>
      <c r="O2908">
        <v>97</v>
      </c>
      <c r="P2908">
        <v>7.12</v>
      </c>
      <c r="Q2908">
        <v>11</v>
      </c>
      <c r="R2908">
        <v>4</v>
      </c>
      <c r="S2908">
        <v>2.97</v>
      </c>
      <c r="T2908">
        <v>3</v>
      </c>
      <c r="U2908" t="s">
        <v>22</v>
      </c>
      <c r="V2908" t="e">
        <f>IF(#REF! = "yes", 1, 0)</f>
        <v>#REF!</v>
      </c>
      <c r="W2908" t="e">
        <f>IF(#REF! &lt;= 1, "0-1 Calls", IF(#REF! &lt;= 3, "2-3 Calls", IF(#REF! &lt;=5, "4-5 Calls", "6+ Calls")))</f>
        <v>#REF!</v>
      </c>
      <c r="X2908" t="e">
        <f>IF(#REF! &lt;= 50, "0-50", IF(#REF! &lt;=100, "51-100", IF(#REF! &lt;= 150, "101-150", "151+")))</f>
        <v>#REF!</v>
      </c>
      <c r="Y2908" t="e">
        <f>IF(#REF! &lt;= 3, "Low Charges", "High Charges")</f>
        <v>#REF!</v>
      </c>
      <c r="Z2908" t="e">
        <f>IF(#REF!&lt;=80,"Low Calls",
IF(#REF!&lt;=120,"Medium Calls","High Calls"))</f>
        <v>#REF!</v>
      </c>
      <c r="AA2908" t="e">
        <f>IF(#REF!&lt;=15,"Low Charges",
IF(#REF!&lt;=20,"Medium Charges","High Charges"))</f>
        <v>#REF!</v>
      </c>
      <c r="AB2908" t="e">
        <f>IF(AND(#REF!&gt;180, #REF!&gt;200), "Heavy Doemstic User", IF(#REF!&gt;10, "Interntional User", IF(AND(#REF!&lt;180, #REF!&lt;200,#REF!&lt;200), "Light User", "Balanced User")))</f>
        <v>#REF!</v>
      </c>
      <c r="AC2908" t="e">
        <f>IF(#REF! = 0, "No Usage", IF(#REF! &lt;= 20, "Low Usage", IF(#REF! &lt;= 40, "Medium Usgae", "High Usage")))</f>
        <v>#REF!</v>
      </c>
      <c r="AD2908" t="e">
        <f>IF(#REF!&lt;=150,"Low Usage", IF(#REF!&lt;=200,"Medium Usage", IF(#REF!&lt;=250,"High Usage","Very High Usage")))</f>
        <v>#REF!</v>
      </c>
      <c r="AE2908" t="e">
        <f>IF(#REF!&lt;=5,"Low Calls", IF(#REF!&lt;=10, "Medium Calls", "High Calls"))</f>
        <v>#REF!</v>
      </c>
      <c r="AF2908" t="e">
        <f xml:space="preserve">
IF(#REF!&gt;=4,4,0)+
IF(#REF!="yes",3,0)+
IF(#REF!="High Charges",3,0)+
IF(#REF!&gt;250,4,0)+
IF(#REF!="no",1,0)+
IF(#REF!="Heavy Domestic User",2,0)</f>
        <v>#REF!</v>
      </c>
      <c r="AG2908" t="e">
        <f>IF(#REF!&gt;=10,"High Risk", IF(#REF!&gt;=5,"Medium Risk","Low Risk"))</f>
        <v>#REF!</v>
      </c>
      <c r="AH2908" t="e">
        <f>#REF! + #REF! + #REF! + #REF!</f>
        <v>#REF!</v>
      </c>
    </row>
    <row r="2909" spans="1:34" x14ac:dyDescent="0.35">
      <c r="A2909">
        <v>2908</v>
      </c>
      <c r="B2909" t="s">
        <v>71</v>
      </c>
      <c r="C2909">
        <v>114</v>
      </c>
      <c r="D2909" t="s">
        <v>21</v>
      </c>
      <c r="E2909" t="s">
        <v>22</v>
      </c>
      <c r="F2909" t="s">
        <v>22</v>
      </c>
      <c r="G2909">
        <v>0</v>
      </c>
      <c r="H2909">
        <v>108.3</v>
      </c>
      <c r="I2909">
        <v>95</v>
      </c>
      <c r="J2909">
        <v>18.41</v>
      </c>
      <c r="K2909">
        <v>168.3</v>
      </c>
      <c r="L2909">
        <v>104</v>
      </c>
      <c r="M2909">
        <v>14.31</v>
      </c>
      <c r="N2909">
        <v>153.1</v>
      </c>
      <c r="O2909">
        <v>109</v>
      </c>
      <c r="P2909">
        <v>6.89</v>
      </c>
      <c r="Q2909">
        <v>9.1</v>
      </c>
      <c r="R2909">
        <v>2</v>
      </c>
      <c r="S2909">
        <v>2.46</v>
      </c>
      <c r="T2909">
        <v>1</v>
      </c>
      <c r="U2909" t="s">
        <v>22</v>
      </c>
      <c r="V2909" t="e">
        <f>IF(#REF! = "yes", 1, 0)</f>
        <v>#REF!</v>
      </c>
      <c r="W2909" t="e">
        <f>IF(#REF! &lt;= 1, "0-1 Calls", IF(#REF! &lt;= 3, "2-3 Calls", IF(#REF! &lt;=5, "4-5 Calls", "6+ Calls")))</f>
        <v>#REF!</v>
      </c>
      <c r="X2909" t="e">
        <f>IF(#REF! &lt;= 50, "0-50", IF(#REF! &lt;=100, "51-100", IF(#REF! &lt;= 150, "101-150", "151+")))</f>
        <v>#REF!</v>
      </c>
      <c r="Y2909" t="e">
        <f>IF(#REF! &lt;= 3, "Low Charges", "High Charges")</f>
        <v>#REF!</v>
      </c>
      <c r="Z2909" t="e">
        <f>IF(#REF!&lt;=80,"Low Calls",
IF(#REF!&lt;=120,"Medium Calls","High Calls"))</f>
        <v>#REF!</v>
      </c>
      <c r="AA2909" t="e">
        <f>IF(#REF!&lt;=15,"Low Charges",
IF(#REF!&lt;=20,"Medium Charges","High Charges"))</f>
        <v>#REF!</v>
      </c>
      <c r="AB2909" t="e">
        <f>IF(AND(#REF!&gt;180, #REF!&gt;200), "Heavy Doemstic User", IF(#REF!&gt;10, "Interntional User", IF(AND(#REF!&lt;180, #REF!&lt;200,#REF!&lt;200), "Light User", "Balanced User")))</f>
        <v>#REF!</v>
      </c>
      <c r="AC2909" t="e">
        <f>IF(#REF! = 0, "No Usage", IF(#REF! &lt;= 20, "Low Usage", IF(#REF! &lt;= 40, "Medium Usgae", "High Usage")))</f>
        <v>#REF!</v>
      </c>
      <c r="AD2909" t="e">
        <f>IF(#REF!&lt;=150,"Low Usage", IF(#REF!&lt;=200,"Medium Usage", IF(#REF!&lt;=250,"High Usage","Very High Usage")))</f>
        <v>#REF!</v>
      </c>
      <c r="AE2909" t="e">
        <f>IF(#REF!&lt;=5,"Low Calls", IF(#REF!&lt;=10, "Medium Calls", "High Calls"))</f>
        <v>#REF!</v>
      </c>
      <c r="AF2909" t="e">
        <f xml:space="preserve">
IF(#REF!&gt;=4,4,0)+
IF(#REF!="yes",3,0)+
IF(#REF!="High Charges",3,0)+
IF(#REF!&gt;250,4,0)+
IF(#REF!="no",1,0)+
IF(#REF!="Heavy Domestic User",2,0)</f>
        <v>#REF!</v>
      </c>
      <c r="AG2909" t="e">
        <f>IF(#REF!&gt;=10,"High Risk", IF(#REF!&gt;=5,"Medium Risk","Low Risk"))</f>
        <v>#REF!</v>
      </c>
      <c r="AH2909" t="e">
        <f>#REF! + #REF! + #REF! + #REF!</f>
        <v>#REF!</v>
      </c>
    </row>
    <row r="2910" spans="1:34" x14ac:dyDescent="0.35">
      <c r="A2910">
        <v>2909</v>
      </c>
      <c r="B2910" t="s">
        <v>31</v>
      </c>
      <c r="C2910">
        <v>43</v>
      </c>
      <c r="D2910" t="s">
        <v>25</v>
      </c>
      <c r="E2910" t="s">
        <v>23</v>
      </c>
      <c r="F2910" t="s">
        <v>22</v>
      </c>
      <c r="G2910">
        <v>0</v>
      </c>
      <c r="H2910">
        <v>160.5</v>
      </c>
      <c r="I2910">
        <v>92</v>
      </c>
      <c r="J2910">
        <v>27.29</v>
      </c>
      <c r="K2910">
        <v>235.8</v>
      </c>
      <c r="L2910">
        <v>121</v>
      </c>
      <c r="M2910">
        <v>20.04</v>
      </c>
      <c r="N2910">
        <v>111.8</v>
      </c>
      <c r="O2910">
        <v>95</v>
      </c>
      <c r="P2910">
        <v>5.03</v>
      </c>
      <c r="Q2910">
        <v>13.8</v>
      </c>
      <c r="R2910">
        <v>5</v>
      </c>
      <c r="S2910">
        <v>3.73</v>
      </c>
      <c r="T2910">
        <v>1</v>
      </c>
      <c r="U2910" t="s">
        <v>23</v>
      </c>
      <c r="V2910" t="e">
        <f>IF(#REF! = "yes", 1, 0)</f>
        <v>#REF!</v>
      </c>
      <c r="W2910" t="e">
        <f>IF(#REF! &lt;= 1, "0-1 Calls", IF(#REF! &lt;= 3, "2-3 Calls", IF(#REF! &lt;=5, "4-5 Calls", "6+ Calls")))</f>
        <v>#REF!</v>
      </c>
      <c r="X2910" t="e">
        <f>IF(#REF! &lt;= 50, "0-50", IF(#REF! &lt;=100, "51-100", IF(#REF! &lt;= 150, "101-150", "151+")))</f>
        <v>#REF!</v>
      </c>
      <c r="Y2910" t="e">
        <f>IF(#REF! &lt;= 3, "Low Charges", "High Charges")</f>
        <v>#REF!</v>
      </c>
      <c r="Z2910" t="e">
        <f>IF(#REF!&lt;=80,"Low Calls",
IF(#REF!&lt;=120,"Medium Calls","High Calls"))</f>
        <v>#REF!</v>
      </c>
      <c r="AA2910" t="e">
        <f>IF(#REF!&lt;=15,"Low Charges",
IF(#REF!&lt;=20,"Medium Charges","High Charges"))</f>
        <v>#REF!</v>
      </c>
      <c r="AB2910" t="e">
        <f>IF(AND(#REF!&gt;180, #REF!&gt;200), "Heavy Doemstic User", IF(#REF!&gt;10, "Interntional User", IF(AND(#REF!&lt;180, #REF!&lt;200,#REF!&lt;200), "Light User", "Balanced User")))</f>
        <v>#REF!</v>
      </c>
      <c r="AC2910" t="e">
        <f>IF(#REF! = 0, "No Usage", IF(#REF! &lt;= 20, "Low Usage", IF(#REF! &lt;= 40, "Medium Usgae", "High Usage")))</f>
        <v>#REF!</v>
      </c>
      <c r="AD2910" t="e">
        <f>IF(#REF!&lt;=150,"Low Usage", IF(#REF!&lt;=200,"Medium Usage", IF(#REF!&lt;=250,"High Usage","Very High Usage")))</f>
        <v>#REF!</v>
      </c>
      <c r="AE2910" t="e">
        <f>IF(#REF!&lt;=5,"Low Calls", IF(#REF!&lt;=10, "Medium Calls", "High Calls"))</f>
        <v>#REF!</v>
      </c>
      <c r="AF2910" t="e">
        <f xml:space="preserve">
IF(#REF!&gt;=4,4,0)+
IF(#REF!="yes",3,0)+
IF(#REF!="High Charges",3,0)+
IF(#REF!&gt;250,4,0)+
IF(#REF!="no",1,0)+
IF(#REF!="Heavy Domestic User",2,0)</f>
        <v>#REF!</v>
      </c>
      <c r="AG2910" t="e">
        <f>IF(#REF!&gt;=10,"High Risk", IF(#REF!&gt;=5,"Medium Risk","Low Risk"))</f>
        <v>#REF!</v>
      </c>
      <c r="AH2910" t="e">
        <f>#REF! + #REF! + #REF! + #REF!</f>
        <v>#REF!</v>
      </c>
    </row>
    <row r="2911" spans="1:34" x14ac:dyDescent="0.35">
      <c r="A2911">
        <v>2910</v>
      </c>
      <c r="B2911" t="s">
        <v>72</v>
      </c>
      <c r="C2911">
        <v>103</v>
      </c>
      <c r="D2911" t="s">
        <v>25</v>
      </c>
      <c r="E2911" t="s">
        <v>22</v>
      </c>
      <c r="F2911" t="s">
        <v>22</v>
      </c>
      <c r="G2911">
        <v>0</v>
      </c>
      <c r="H2911">
        <v>147.30000000000001</v>
      </c>
      <c r="I2911">
        <v>81</v>
      </c>
      <c r="J2911">
        <v>25.04</v>
      </c>
      <c r="K2911">
        <v>158.4</v>
      </c>
      <c r="L2911">
        <v>88</v>
      </c>
      <c r="M2911">
        <v>13.46</v>
      </c>
      <c r="N2911">
        <v>193.8</v>
      </c>
      <c r="O2911">
        <v>103</v>
      </c>
      <c r="P2911">
        <v>8.7200000000000006</v>
      </c>
      <c r="Q2911">
        <v>11</v>
      </c>
      <c r="R2911">
        <v>3</v>
      </c>
      <c r="S2911">
        <v>2.97</v>
      </c>
      <c r="T2911">
        <v>2</v>
      </c>
      <c r="U2911" t="s">
        <v>22</v>
      </c>
      <c r="V2911" t="e">
        <f>IF(#REF! = "yes", 1, 0)</f>
        <v>#REF!</v>
      </c>
      <c r="W2911" t="e">
        <f>IF(#REF! &lt;= 1, "0-1 Calls", IF(#REF! &lt;= 3, "2-3 Calls", IF(#REF! &lt;=5, "4-5 Calls", "6+ Calls")))</f>
        <v>#REF!</v>
      </c>
      <c r="X2911" t="e">
        <f>IF(#REF! &lt;= 50, "0-50", IF(#REF! &lt;=100, "51-100", IF(#REF! &lt;= 150, "101-150", "151+")))</f>
        <v>#REF!</v>
      </c>
      <c r="Y2911" t="e">
        <f>IF(#REF! &lt;= 3, "Low Charges", "High Charges")</f>
        <v>#REF!</v>
      </c>
      <c r="Z2911" t="e">
        <f>IF(#REF!&lt;=80,"Low Calls",
IF(#REF!&lt;=120,"Medium Calls","High Calls"))</f>
        <v>#REF!</v>
      </c>
      <c r="AA2911" t="e">
        <f>IF(#REF!&lt;=15,"Low Charges",
IF(#REF!&lt;=20,"Medium Charges","High Charges"))</f>
        <v>#REF!</v>
      </c>
      <c r="AB2911" t="e">
        <f>IF(AND(#REF!&gt;180, #REF!&gt;200), "Heavy Doemstic User", IF(#REF!&gt;10, "Interntional User", IF(AND(#REF!&lt;180, #REF!&lt;200,#REF!&lt;200), "Light User", "Balanced User")))</f>
        <v>#REF!</v>
      </c>
      <c r="AC2911" t="e">
        <f>IF(#REF! = 0, "No Usage", IF(#REF! &lt;= 20, "Low Usage", IF(#REF! &lt;= 40, "Medium Usgae", "High Usage")))</f>
        <v>#REF!</v>
      </c>
      <c r="AD2911" t="e">
        <f>IF(#REF!&lt;=150,"Low Usage", IF(#REF!&lt;=200,"Medium Usage", IF(#REF!&lt;=250,"High Usage","Very High Usage")))</f>
        <v>#REF!</v>
      </c>
      <c r="AE2911" t="e">
        <f>IF(#REF!&lt;=5,"Low Calls", IF(#REF!&lt;=10, "Medium Calls", "High Calls"))</f>
        <v>#REF!</v>
      </c>
      <c r="AF2911" t="e">
        <f xml:space="preserve">
IF(#REF!&gt;=4,4,0)+
IF(#REF!="yes",3,0)+
IF(#REF!="High Charges",3,0)+
IF(#REF!&gt;250,4,0)+
IF(#REF!="no",1,0)+
IF(#REF!="Heavy Domestic User",2,0)</f>
        <v>#REF!</v>
      </c>
      <c r="AG2911" t="e">
        <f>IF(#REF!&gt;=10,"High Risk", IF(#REF!&gt;=5,"Medium Risk","Low Risk"))</f>
        <v>#REF!</v>
      </c>
      <c r="AH2911" t="e">
        <f>#REF! + #REF! + #REF! + #REF!</f>
        <v>#REF!</v>
      </c>
    </row>
    <row r="2912" spans="1:34" x14ac:dyDescent="0.35">
      <c r="A2912">
        <v>2911</v>
      </c>
      <c r="B2912" t="s">
        <v>54</v>
      </c>
      <c r="C2912">
        <v>57</v>
      </c>
      <c r="D2912" t="s">
        <v>28</v>
      </c>
      <c r="E2912" t="s">
        <v>22</v>
      </c>
      <c r="F2912" t="s">
        <v>22</v>
      </c>
      <c r="G2912">
        <v>0</v>
      </c>
      <c r="H2912">
        <v>165.1</v>
      </c>
      <c r="I2912">
        <v>91</v>
      </c>
      <c r="J2912">
        <v>28.07</v>
      </c>
      <c r="K2912">
        <v>240.8</v>
      </c>
      <c r="L2912">
        <v>56</v>
      </c>
      <c r="M2912">
        <v>20.47</v>
      </c>
      <c r="N2912">
        <v>277</v>
      </c>
      <c r="O2912">
        <v>100</v>
      </c>
      <c r="P2912">
        <v>12.47</v>
      </c>
      <c r="Q2912">
        <v>9.5</v>
      </c>
      <c r="R2912">
        <v>3</v>
      </c>
      <c r="S2912">
        <v>2.57</v>
      </c>
      <c r="T2912">
        <v>2</v>
      </c>
      <c r="U2912" t="s">
        <v>22</v>
      </c>
      <c r="V2912" t="e">
        <f>IF(#REF! = "yes", 1, 0)</f>
        <v>#REF!</v>
      </c>
      <c r="W2912" t="e">
        <f>IF(#REF! &lt;= 1, "0-1 Calls", IF(#REF! &lt;= 3, "2-3 Calls", IF(#REF! &lt;=5, "4-5 Calls", "6+ Calls")))</f>
        <v>#REF!</v>
      </c>
      <c r="X2912" t="e">
        <f>IF(#REF! &lt;= 50, "0-50", IF(#REF! &lt;=100, "51-100", IF(#REF! &lt;= 150, "101-150", "151+")))</f>
        <v>#REF!</v>
      </c>
      <c r="Y2912" t="e">
        <f>IF(#REF! &lt;= 3, "Low Charges", "High Charges")</f>
        <v>#REF!</v>
      </c>
      <c r="Z2912" t="e">
        <f>IF(#REF!&lt;=80,"Low Calls",
IF(#REF!&lt;=120,"Medium Calls","High Calls"))</f>
        <v>#REF!</v>
      </c>
      <c r="AA2912" t="e">
        <f>IF(#REF!&lt;=15,"Low Charges",
IF(#REF!&lt;=20,"Medium Charges","High Charges"))</f>
        <v>#REF!</v>
      </c>
      <c r="AB2912" t="e">
        <f>IF(AND(#REF!&gt;180, #REF!&gt;200), "Heavy Doemstic User", IF(#REF!&gt;10, "Interntional User", IF(AND(#REF!&lt;180, #REF!&lt;200,#REF!&lt;200), "Light User", "Balanced User")))</f>
        <v>#REF!</v>
      </c>
      <c r="AC2912" t="e">
        <f>IF(#REF! = 0, "No Usage", IF(#REF! &lt;= 20, "Low Usage", IF(#REF! &lt;= 40, "Medium Usgae", "High Usage")))</f>
        <v>#REF!</v>
      </c>
      <c r="AD2912" t="e">
        <f>IF(#REF!&lt;=150,"Low Usage", IF(#REF!&lt;=200,"Medium Usage", IF(#REF!&lt;=250,"High Usage","Very High Usage")))</f>
        <v>#REF!</v>
      </c>
      <c r="AE2912" t="e">
        <f>IF(#REF!&lt;=5,"Low Calls", IF(#REF!&lt;=10, "Medium Calls", "High Calls"))</f>
        <v>#REF!</v>
      </c>
      <c r="AF2912" t="e">
        <f xml:space="preserve">
IF(#REF!&gt;=4,4,0)+
IF(#REF!="yes",3,0)+
IF(#REF!="High Charges",3,0)+
IF(#REF!&gt;250,4,0)+
IF(#REF!="no",1,0)+
IF(#REF!="Heavy Domestic User",2,0)</f>
        <v>#REF!</v>
      </c>
      <c r="AG2912" t="e">
        <f>IF(#REF!&gt;=10,"High Risk", IF(#REF!&gt;=5,"Medium Risk","Low Risk"))</f>
        <v>#REF!</v>
      </c>
      <c r="AH2912" t="e">
        <f>#REF! + #REF! + #REF! + #REF!</f>
        <v>#REF!</v>
      </c>
    </row>
    <row r="2913" spans="1:34" x14ac:dyDescent="0.35">
      <c r="A2913">
        <v>2912</v>
      </c>
      <c r="B2913" t="s">
        <v>58</v>
      </c>
      <c r="C2913">
        <v>52</v>
      </c>
      <c r="D2913" t="s">
        <v>25</v>
      </c>
      <c r="E2913" t="s">
        <v>22</v>
      </c>
      <c r="F2913" t="s">
        <v>23</v>
      </c>
      <c r="G2913">
        <v>31</v>
      </c>
      <c r="H2913">
        <v>122.2</v>
      </c>
      <c r="I2913">
        <v>88</v>
      </c>
      <c r="J2913">
        <v>20.77</v>
      </c>
      <c r="K2913">
        <v>139</v>
      </c>
      <c r="L2913">
        <v>100</v>
      </c>
      <c r="M2913">
        <v>11.82</v>
      </c>
      <c r="N2913">
        <v>141.9</v>
      </c>
      <c r="O2913">
        <v>141</v>
      </c>
      <c r="P2913">
        <v>6.39</v>
      </c>
      <c r="Q2913">
        <v>5.7</v>
      </c>
      <c r="R2913">
        <v>10</v>
      </c>
      <c r="S2913">
        <v>1.54</v>
      </c>
      <c r="T2913">
        <v>3</v>
      </c>
      <c r="U2913" t="s">
        <v>22</v>
      </c>
      <c r="V2913" t="e">
        <f>IF(#REF! = "yes", 1, 0)</f>
        <v>#REF!</v>
      </c>
      <c r="W2913" t="e">
        <f>IF(#REF! &lt;= 1, "0-1 Calls", IF(#REF! &lt;= 3, "2-3 Calls", IF(#REF! &lt;=5, "4-5 Calls", "6+ Calls")))</f>
        <v>#REF!</v>
      </c>
      <c r="X2913" t="e">
        <f>IF(#REF! &lt;= 50, "0-50", IF(#REF! &lt;=100, "51-100", IF(#REF! &lt;= 150, "101-150", "151+")))</f>
        <v>#REF!</v>
      </c>
      <c r="Y2913" t="e">
        <f>IF(#REF! &lt;= 3, "Low Charges", "High Charges")</f>
        <v>#REF!</v>
      </c>
      <c r="Z2913" t="e">
        <f>IF(#REF!&lt;=80,"Low Calls",
IF(#REF!&lt;=120,"Medium Calls","High Calls"))</f>
        <v>#REF!</v>
      </c>
      <c r="AA2913" t="e">
        <f>IF(#REF!&lt;=15,"Low Charges",
IF(#REF!&lt;=20,"Medium Charges","High Charges"))</f>
        <v>#REF!</v>
      </c>
      <c r="AB2913" t="e">
        <f>IF(AND(#REF!&gt;180, #REF!&gt;200), "Heavy Doemstic User", IF(#REF!&gt;10, "Interntional User", IF(AND(#REF!&lt;180, #REF!&lt;200,#REF!&lt;200), "Light User", "Balanced User")))</f>
        <v>#REF!</v>
      </c>
      <c r="AC2913" t="e">
        <f>IF(#REF! = 0, "No Usage", IF(#REF! &lt;= 20, "Low Usage", IF(#REF! &lt;= 40, "Medium Usgae", "High Usage")))</f>
        <v>#REF!</v>
      </c>
      <c r="AD2913" t="e">
        <f>IF(#REF!&lt;=150,"Low Usage", IF(#REF!&lt;=200,"Medium Usage", IF(#REF!&lt;=250,"High Usage","Very High Usage")))</f>
        <v>#REF!</v>
      </c>
      <c r="AE2913" t="e">
        <f>IF(#REF!&lt;=5,"Low Calls", IF(#REF!&lt;=10, "Medium Calls", "High Calls"))</f>
        <v>#REF!</v>
      </c>
      <c r="AF2913" t="e">
        <f xml:space="preserve">
IF(#REF!&gt;=4,4,0)+
IF(#REF!="yes",3,0)+
IF(#REF!="High Charges",3,0)+
IF(#REF!&gt;250,4,0)+
IF(#REF!="no",1,0)+
IF(#REF!="Heavy Domestic User",2,0)</f>
        <v>#REF!</v>
      </c>
      <c r="AG2913" t="e">
        <f>IF(#REF!&gt;=10,"High Risk", IF(#REF!&gt;=5,"Medium Risk","Low Risk"))</f>
        <v>#REF!</v>
      </c>
      <c r="AH2913" t="e">
        <f>#REF! + #REF! + #REF! + #REF!</f>
        <v>#REF!</v>
      </c>
    </row>
    <row r="2914" spans="1:34" x14ac:dyDescent="0.35">
      <c r="A2914">
        <v>2913</v>
      </c>
      <c r="B2914" t="s">
        <v>34</v>
      </c>
      <c r="C2914">
        <v>74</v>
      </c>
      <c r="D2914" t="s">
        <v>25</v>
      </c>
      <c r="E2914" t="s">
        <v>22</v>
      </c>
      <c r="F2914" t="s">
        <v>22</v>
      </c>
      <c r="G2914">
        <v>0</v>
      </c>
      <c r="H2914">
        <v>156.30000000000001</v>
      </c>
      <c r="I2914">
        <v>102</v>
      </c>
      <c r="J2914">
        <v>26.57</v>
      </c>
      <c r="K2914">
        <v>273.10000000000002</v>
      </c>
      <c r="L2914">
        <v>118</v>
      </c>
      <c r="M2914">
        <v>23.21</v>
      </c>
      <c r="N2914">
        <v>215.8</v>
      </c>
      <c r="O2914">
        <v>113</v>
      </c>
      <c r="P2914">
        <v>9.7100000000000009</v>
      </c>
      <c r="Q2914">
        <v>9</v>
      </c>
      <c r="R2914">
        <v>4</v>
      </c>
      <c r="S2914">
        <v>2.4300000000000002</v>
      </c>
      <c r="T2914">
        <v>3</v>
      </c>
      <c r="U2914" t="s">
        <v>22</v>
      </c>
      <c r="V2914" t="e">
        <f>IF(#REF! = "yes", 1, 0)</f>
        <v>#REF!</v>
      </c>
      <c r="W2914" t="e">
        <f>IF(#REF! &lt;= 1, "0-1 Calls", IF(#REF! &lt;= 3, "2-3 Calls", IF(#REF! &lt;=5, "4-5 Calls", "6+ Calls")))</f>
        <v>#REF!</v>
      </c>
      <c r="X2914" t="e">
        <f>IF(#REF! &lt;= 50, "0-50", IF(#REF! &lt;=100, "51-100", IF(#REF! &lt;= 150, "101-150", "151+")))</f>
        <v>#REF!</v>
      </c>
      <c r="Y2914" t="e">
        <f>IF(#REF! &lt;= 3, "Low Charges", "High Charges")</f>
        <v>#REF!</v>
      </c>
      <c r="Z2914" t="e">
        <f>IF(#REF!&lt;=80,"Low Calls",
IF(#REF!&lt;=120,"Medium Calls","High Calls"))</f>
        <v>#REF!</v>
      </c>
      <c r="AA2914" t="e">
        <f>IF(#REF!&lt;=15,"Low Charges",
IF(#REF!&lt;=20,"Medium Charges","High Charges"))</f>
        <v>#REF!</v>
      </c>
      <c r="AB2914" t="e">
        <f>IF(AND(#REF!&gt;180, #REF!&gt;200), "Heavy Doemstic User", IF(#REF!&gt;10, "Interntional User", IF(AND(#REF!&lt;180, #REF!&lt;200,#REF!&lt;200), "Light User", "Balanced User")))</f>
        <v>#REF!</v>
      </c>
      <c r="AC2914" t="e">
        <f>IF(#REF! = 0, "No Usage", IF(#REF! &lt;= 20, "Low Usage", IF(#REF! &lt;= 40, "Medium Usgae", "High Usage")))</f>
        <v>#REF!</v>
      </c>
      <c r="AD2914" t="e">
        <f>IF(#REF!&lt;=150,"Low Usage", IF(#REF!&lt;=200,"Medium Usage", IF(#REF!&lt;=250,"High Usage","Very High Usage")))</f>
        <v>#REF!</v>
      </c>
      <c r="AE2914" t="e">
        <f>IF(#REF!&lt;=5,"Low Calls", IF(#REF!&lt;=10, "Medium Calls", "High Calls"))</f>
        <v>#REF!</v>
      </c>
      <c r="AF2914" t="e">
        <f xml:space="preserve">
IF(#REF!&gt;=4,4,0)+
IF(#REF!="yes",3,0)+
IF(#REF!="High Charges",3,0)+
IF(#REF!&gt;250,4,0)+
IF(#REF!="no",1,0)+
IF(#REF!="Heavy Domestic User",2,0)</f>
        <v>#REF!</v>
      </c>
      <c r="AG2914" t="e">
        <f>IF(#REF!&gt;=10,"High Risk", IF(#REF!&gt;=5,"Medium Risk","Low Risk"))</f>
        <v>#REF!</v>
      </c>
      <c r="AH2914" t="e">
        <f>#REF! + #REF! + #REF! + #REF!</f>
        <v>#REF!</v>
      </c>
    </row>
    <row r="2915" spans="1:34" x14ac:dyDescent="0.35">
      <c r="A2915">
        <v>2914</v>
      </c>
      <c r="B2915" t="s">
        <v>68</v>
      </c>
      <c r="C2915">
        <v>74</v>
      </c>
      <c r="D2915" t="s">
        <v>25</v>
      </c>
      <c r="E2915" t="s">
        <v>22</v>
      </c>
      <c r="F2915" t="s">
        <v>23</v>
      </c>
      <c r="G2915">
        <v>46</v>
      </c>
      <c r="H2915">
        <v>277.7</v>
      </c>
      <c r="I2915">
        <v>109</v>
      </c>
      <c r="J2915">
        <v>47.21</v>
      </c>
      <c r="K2915">
        <v>270</v>
      </c>
      <c r="L2915">
        <v>114</v>
      </c>
      <c r="M2915">
        <v>22.95</v>
      </c>
      <c r="N2915">
        <v>165.3</v>
      </c>
      <c r="O2915">
        <v>82</v>
      </c>
      <c r="P2915">
        <v>7.44</v>
      </c>
      <c r="Q2915">
        <v>10.4</v>
      </c>
      <c r="R2915">
        <v>2</v>
      </c>
      <c r="S2915">
        <v>2.81</v>
      </c>
      <c r="T2915">
        <v>1</v>
      </c>
      <c r="U2915" t="s">
        <v>22</v>
      </c>
      <c r="V2915" t="e">
        <f>IF(#REF! = "yes", 1, 0)</f>
        <v>#REF!</v>
      </c>
      <c r="W2915" t="e">
        <f>IF(#REF! &lt;= 1, "0-1 Calls", IF(#REF! &lt;= 3, "2-3 Calls", IF(#REF! &lt;=5, "4-5 Calls", "6+ Calls")))</f>
        <v>#REF!</v>
      </c>
      <c r="X2915" t="e">
        <f>IF(#REF! &lt;= 50, "0-50", IF(#REF! &lt;=100, "51-100", IF(#REF! &lt;= 150, "101-150", "151+")))</f>
        <v>#REF!</v>
      </c>
      <c r="Y2915" t="e">
        <f>IF(#REF! &lt;= 3, "Low Charges", "High Charges")</f>
        <v>#REF!</v>
      </c>
      <c r="Z2915" t="e">
        <f>IF(#REF!&lt;=80,"Low Calls",
IF(#REF!&lt;=120,"Medium Calls","High Calls"))</f>
        <v>#REF!</v>
      </c>
      <c r="AA2915" t="e">
        <f>IF(#REF!&lt;=15,"Low Charges",
IF(#REF!&lt;=20,"Medium Charges","High Charges"))</f>
        <v>#REF!</v>
      </c>
      <c r="AB2915" t="e">
        <f>IF(AND(#REF!&gt;180, #REF!&gt;200), "Heavy Doemstic User", IF(#REF!&gt;10, "Interntional User", IF(AND(#REF!&lt;180, #REF!&lt;200,#REF!&lt;200), "Light User", "Balanced User")))</f>
        <v>#REF!</v>
      </c>
      <c r="AC2915" t="e">
        <f>IF(#REF! = 0, "No Usage", IF(#REF! &lt;= 20, "Low Usage", IF(#REF! &lt;= 40, "Medium Usgae", "High Usage")))</f>
        <v>#REF!</v>
      </c>
      <c r="AD2915" t="e">
        <f>IF(#REF!&lt;=150,"Low Usage", IF(#REF!&lt;=200,"Medium Usage", IF(#REF!&lt;=250,"High Usage","Very High Usage")))</f>
        <v>#REF!</v>
      </c>
      <c r="AE2915" t="e">
        <f>IF(#REF!&lt;=5,"Low Calls", IF(#REF!&lt;=10, "Medium Calls", "High Calls"))</f>
        <v>#REF!</v>
      </c>
      <c r="AF2915" t="e">
        <f xml:space="preserve">
IF(#REF!&gt;=4,4,0)+
IF(#REF!="yes",3,0)+
IF(#REF!="High Charges",3,0)+
IF(#REF!&gt;250,4,0)+
IF(#REF!="no",1,0)+
IF(#REF!="Heavy Domestic User",2,0)</f>
        <v>#REF!</v>
      </c>
      <c r="AG2915" t="e">
        <f>IF(#REF!&gt;=10,"High Risk", IF(#REF!&gt;=5,"Medium Risk","Low Risk"))</f>
        <v>#REF!</v>
      </c>
      <c r="AH2915" t="e">
        <f>#REF! + #REF! + #REF! + #REF!</f>
        <v>#REF!</v>
      </c>
    </row>
    <row r="2916" spans="1:34" x14ac:dyDescent="0.35">
      <c r="A2916">
        <v>2915</v>
      </c>
      <c r="B2916" t="s">
        <v>45</v>
      </c>
      <c r="C2916">
        <v>40</v>
      </c>
      <c r="D2916" t="s">
        <v>21</v>
      </c>
      <c r="E2916" t="s">
        <v>23</v>
      </c>
      <c r="F2916" t="s">
        <v>23</v>
      </c>
      <c r="G2916">
        <v>21</v>
      </c>
      <c r="H2916">
        <v>147.4</v>
      </c>
      <c r="I2916">
        <v>117</v>
      </c>
      <c r="J2916">
        <v>25.06</v>
      </c>
      <c r="K2916">
        <v>262.8</v>
      </c>
      <c r="L2916">
        <v>110</v>
      </c>
      <c r="M2916">
        <v>22.34</v>
      </c>
      <c r="N2916">
        <v>202</v>
      </c>
      <c r="O2916">
        <v>97</v>
      </c>
      <c r="P2916">
        <v>9.09</v>
      </c>
      <c r="Q2916">
        <v>10.9</v>
      </c>
      <c r="R2916">
        <v>5</v>
      </c>
      <c r="S2916">
        <v>2.94</v>
      </c>
      <c r="T2916">
        <v>0</v>
      </c>
      <c r="U2916" t="s">
        <v>22</v>
      </c>
      <c r="V2916" t="e">
        <f>IF(#REF! = "yes", 1, 0)</f>
        <v>#REF!</v>
      </c>
      <c r="W2916" t="e">
        <f>IF(#REF! &lt;= 1, "0-1 Calls", IF(#REF! &lt;= 3, "2-3 Calls", IF(#REF! &lt;=5, "4-5 Calls", "6+ Calls")))</f>
        <v>#REF!</v>
      </c>
      <c r="X2916" t="e">
        <f>IF(#REF! &lt;= 50, "0-50", IF(#REF! &lt;=100, "51-100", IF(#REF! &lt;= 150, "101-150", "151+")))</f>
        <v>#REF!</v>
      </c>
      <c r="Y2916" t="e">
        <f>IF(#REF! &lt;= 3, "Low Charges", "High Charges")</f>
        <v>#REF!</v>
      </c>
      <c r="Z2916" t="e">
        <f>IF(#REF!&lt;=80,"Low Calls",
IF(#REF!&lt;=120,"Medium Calls","High Calls"))</f>
        <v>#REF!</v>
      </c>
      <c r="AA2916" t="e">
        <f>IF(#REF!&lt;=15,"Low Charges",
IF(#REF!&lt;=20,"Medium Charges","High Charges"))</f>
        <v>#REF!</v>
      </c>
      <c r="AB2916" t="e">
        <f>IF(AND(#REF!&gt;180, #REF!&gt;200), "Heavy Doemstic User", IF(#REF!&gt;10, "Interntional User", IF(AND(#REF!&lt;180, #REF!&lt;200,#REF!&lt;200), "Light User", "Balanced User")))</f>
        <v>#REF!</v>
      </c>
      <c r="AC2916" t="e">
        <f>IF(#REF! = 0, "No Usage", IF(#REF! &lt;= 20, "Low Usage", IF(#REF! &lt;= 40, "Medium Usgae", "High Usage")))</f>
        <v>#REF!</v>
      </c>
      <c r="AD2916" t="e">
        <f>IF(#REF!&lt;=150,"Low Usage", IF(#REF!&lt;=200,"Medium Usage", IF(#REF!&lt;=250,"High Usage","Very High Usage")))</f>
        <v>#REF!</v>
      </c>
      <c r="AE2916" t="e">
        <f>IF(#REF!&lt;=5,"Low Calls", IF(#REF!&lt;=10, "Medium Calls", "High Calls"))</f>
        <v>#REF!</v>
      </c>
      <c r="AF2916" t="e">
        <f xml:space="preserve">
IF(#REF!&gt;=4,4,0)+
IF(#REF!="yes",3,0)+
IF(#REF!="High Charges",3,0)+
IF(#REF!&gt;250,4,0)+
IF(#REF!="no",1,0)+
IF(#REF!="Heavy Domestic User",2,0)</f>
        <v>#REF!</v>
      </c>
      <c r="AG2916" t="e">
        <f>IF(#REF!&gt;=10,"High Risk", IF(#REF!&gt;=5,"Medium Risk","Low Risk"))</f>
        <v>#REF!</v>
      </c>
      <c r="AH2916" t="e">
        <f>#REF! + #REF! + #REF! + #REF!</f>
        <v>#REF!</v>
      </c>
    </row>
    <row r="2917" spans="1:34" x14ac:dyDescent="0.35">
      <c r="A2917">
        <v>2916</v>
      </c>
      <c r="B2917" t="s">
        <v>73</v>
      </c>
      <c r="C2917">
        <v>83</v>
      </c>
      <c r="D2917" t="s">
        <v>21</v>
      </c>
      <c r="E2917" t="s">
        <v>22</v>
      </c>
      <c r="F2917" t="s">
        <v>22</v>
      </c>
      <c r="G2917">
        <v>0</v>
      </c>
      <c r="H2917">
        <v>228.4</v>
      </c>
      <c r="I2917">
        <v>113</v>
      </c>
      <c r="J2917">
        <v>38.83</v>
      </c>
      <c r="K2917">
        <v>163.30000000000001</v>
      </c>
      <c r="L2917">
        <v>103</v>
      </c>
      <c r="M2917">
        <v>13.88</v>
      </c>
      <c r="N2917">
        <v>248</v>
      </c>
      <c r="O2917">
        <v>114</v>
      </c>
      <c r="P2917">
        <v>11.16</v>
      </c>
      <c r="Q2917">
        <v>7.8</v>
      </c>
      <c r="R2917">
        <v>6</v>
      </c>
      <c r="S2917">
        <v>2.11</v>
      </c>
      <c r="T2917">
        <v>1</v>
      </c>
      <c r="U2917" t="s">
        <v>22</v>
      </c>
      <c r="V2917" t="e">
        <f>IF(#REF! = "yes", 1, 0)</f>
        <v>#REF!</v>
      </c>
      <c r="W2917" t="e">
        <f>IF(#REF! &lt;= 1, "0-1 Calls", IF(#REF! &lt;= 3, "2-3 Calls", IF(#REF! &lt;=5, "4-5 Calls", "6+ Calls")))</f>
        <v>#REF!</v>
      </c>
      <c r="X2917" t="e">
        <f>IF(#REF! &lt;= 50, "0-50", IF(#REF! &lt;=100, "51-100", IF(#REF! &lt;= 150, "101-150", "151+")))</f>
        <v>#REF!</v>
      </c>
      <c r="Y2917" t="e">
        <f>IF(#REF! &lt;= 3, "Low Charges", "High Charges")</f>
        <v>#REF!</v>
      </c>
      <c r="Z2917" t="e">
        <f>IF(#REF!&lt;=80,"Low Calls",
IF(#REF!&lt;=120,"Medium Calls","High Calls"))</f>
        <v>#REF!</v>
      </c>
      <c r="AA2917" t="e">
        <f>IF(#REF!&lt;=15,"Low Charges",
IF(#REF!&lt;=20,"Medium Charges","High Charges"))</f>
        <v>#REF!</v>
      </c>
      <c r="AB2917" t="e">
        <f>IF(AND(#REF!&gt;180, #REF!&gt;200), "Heavy Doemstic User", IF(#REF!&gt;10, "Interntional User", IF(AND(#REF!&lt;180, #REF!&lt;200,#REF!&lt;200), "Light User", "Balanced User")))</f>
        <v>#REF!</v>
      </c>
      <c r="AC2917" t="e">
        <f>IF(#REF! = 0, "No Usage", IF(#REF! &lt;= 20, "Low Usage", IF(#REF! &lt;= 40, "Medium Usgae", "High Usage")))</f>
        <v>#REF!</v>
      </c>
      <c r="AD2917" t="e">
        <f>IF(#REF!&lt;=150,"Low Usage", IF(#REF!&lt;=200,"Medium Usage", IF(#REF!&lt;=250,"High Usage","Very High Usage")))</f>
        <v>#REF!</v>
      </c>
      <c r="AE2917" t="e">
        <f>IF(#REF!&lt;=5,"Low Calls", IF(#REF!&lt;=10, "Medium Calls", "High Calls"))</f>
        <v>#REF!</v>
      </c>
      <c r="AF2917" t="e">
        <f xml:space="preserve">
IF(#REF!&gt;=4,4,0)+
IF(#REF!="yes",3,0)+
IF(#REF!="High Charges",3,0)+
IF(#REF!&gt;250,4,0)+
IF(#REF!="no",1,0)+
IF(#REF!="Heavy Domestic User",2,0)</f>
        <v>#REF!</v>
      </c>
      <c r="AG2917" t="e">
        <f>IF(#REF!&gt;=10,"High Risk", IF(#REF!&gt;=5,"Medium Risk","Low Risk"))</f>
        <v>#REF!</v>
      </c>
      <c r="AH2917" t="e">
        <f>#REF! + #REF! + #REF! + #REF!</f>
        <v>#REF!</v>
      </c>
    </row>
    <row r="2918" spans="1:34" x14ac:dyDescent="0.35">
      <c r="A2918">
        <v>2917</v>
      </c>
      <c r="B2918" t="s">
        <v>33</v>
      </c>
      <c r="C2918">
        <v>102</v>
      </c>
      <c r="D2918" t="s">
        <v>28</v>
      </c>
      <c r="E2918" t="s">
        <v>22</v>
      </c>
      <c r="F2918" t="s">
        <v>22</v>
      </c>
      <c r="G2918">
        <v>0</v>
      </c>
      <c r="H2918">
        <v>184.6</v>
      </c>
      <c r="I2918">
        <v>133</v>
      </c>
      <c r="J2918">
        <v>31.38</v>
      </c>
      <c r="K2918">
        <v>166.8</v>
      </c>
      <c r="L2918">
        <v>94</v>
      </c>
      <c r="M2918">
        <v>14.18</v>
      </c>
      <c r="N2918">
        <v>225.2</v>
      </c>
      <c r="O2918">
        <v>105</v>
      </c>
      <c r="P2918">
        <v>10.130000000000001</v>
      </c>
      <c r="Q2918">
        <v>6.8</v>
      </c>
      <c r="R2918">
        <v>8</v>
      </c>
      <c r="S2918">
        <v>1.84</v>
      </c>
      <c r="T2918">
        <v>1</v>
      </c>
      <c r="U2918" t="s">
        <v>22</v>
      </c>
      <c r="V2918" t="e">
        <f>IF(#REF! = "yes", 1, 0)</f>
        <v>#REF!</v>
      </c>
      <c r="W2918" t="e">
        <f>IF(#REF! &lt;= 1, "0-1 Calls", IF(#REF! &lt;= 3, "2-3 Calls", IF(#REF! &lt;=5, "4-5 Calls", "6+ Calls")))</f>
        <v>#REF!</v>
      </c>
      <c r="X2918" t="e">
        <f>IF(#REF! &lt;= 50, "0-50", IF(#REF! &lt;=100, "51-100", IF(#REF! &lt;= 150, "101-150", "151+")))</f>
        <v>#REF!</v>
      </c>
      <c r="Y2918" t="e">
        <f>IF(#REF! &lt;= 3, "Low Charges", "High Charges")</f>
        <v>#REF!</v>
      </c>
      <c r="Z2918" t="e">
        <f>IF(#REF!&lt;=80,"Low Calls",
IF(#REF!&lt;=120,"Medium Calls","High Calls"))</f>
        <v>#REF!</v>
      </c>
      <c r="AA2918" t="e">
        <f>IF(#REF!&lt;=15,"Low Charges",
IF(#REF!&lt;=20,"Medium Charges","High Charges"))</f>
        <v>#REF!</v>
      </c>
      <c r="AB2918" t="e">
        <f>IF(AND(#REF!&gt;180, #REF!&gt;200), "Heavy Doemstic User", IF(#REF!&gt;10, "Interntional User", IF(AND(#REF!&lt;180, #REF!&lt;200,#REF!&lt;200), "Light User", "Balanced User")))</f>
        <v>#REF!</v>
      </c>
      <c r="AC2918" t="e">
        <f>IF(#REF! = 0, "No Usage", IF(#REF! &lt;= 20, "Low Usage", IF(#REF! &lt;= 40, "Medium Usgae", "High Usage")))</f>
        <v>#REF!</v>
      </c>
      <c r="AD2918" t="e">
        <f>IF(#REF!&lt;=150,"Low Usage", IF(#REF!&lt;=200,"Medium Usage", IF(#REF!&lt;=250,"High Usage","Very High Usage")))</f>
        <v>#REF!</v>
      </c>
      <c r="AE2918" t="e">
        <f>IF(#REF!&lt;=5,"Low Calls", IF(#REF!&lt;=10, "Medium Calls", "High Calls"))</f>
        <v>#REF!</v>
      </c>
      <c r="AF2918" t="e">
        <f xml:space="preserve">
IF(#REF!&gt;=4,4,0)+
IF(#REF!="yes",3,0)+
IF(#REF!="High Charges",3,0)+
IF(#REF!&gt;250,4,0)+
IF(#REF!="no",1,0)+
IF(#REF!="Heavy Domestic User",2,0)</f>
        <v>#REF!</v>
      </c>
      <c r="AG2918" t="e">
        <f>IF(#REF!&gt;=10,"High Risk", IF(#REF!&gt;=5,"Medium Risk","Low Risk"))</f>
        <v>#REF!</v>
      </c>
      <c r="AH2918" t="e">
        <f>#REF! + #REF! + #REF! + #REF!</f>
        <v>#REF!</v>
      </c>
    </row>
    <row r="2919" spans="1:34" x14ac:dyDescent="0.35">
      <c r="A2919">
        <v>2918</v>
      </c>
      <c r="B2919" t="s">
        <v>63</v>
      </c>
      <c r="C2919">
        <v>79</v>
      </c>
      <c r="D2919" t="s">
        <v>25</v>
      </c>
      <c r="E2919" t="s">
        <v>22</v>
      </c>
      <c r="F2919" t="s">
        <v>23</v>
      </c>
      <c r="G2919">
        <v>25</v>
      </c>
      <c r="H2919">
        <v>219</v>
      </c>
      <c r="I2919">
        <v>95</v>
      </c>
      <c r="J2919">
        <v>37.229999999999997</v>
      </c>
      <c r="K2919">
        <v>241.9</v>
      </c>
      <c r="L2919">
        <v>95</v>
      </c>
      <c r="M2919">
        <v>20.56</v>
      </c>
      <c r="N2919">
        <v>203.4</v>
      </c>
      <c r="O2919">
        <v>102</v>
      </c>
      <c r="P2919">
        <v>9.15</v>
      </c>
      <c r="Q2919">
        <v>5.6</v>
      </c>
      <c r="R2919">
        <v>5</v>
      </c>
      <c r="S2919">
        <v>1.51</v>
      </c>
      <c r="T2919">
        <v>4</v>
      </c>
      <c r="U2919" t="s">
        <v>22</v>
      </c>
      <c r="V2919" t="e">
        <f>IF(#REF! = "yes", 1, 0)</f>
        <v>#REF!</v>
      </c>
      <c r="W2919" t="e">
        <f>IF(#REF! &lt;= 1, "0-1 Calls", IF(#REF! &lt;= 3, "2-3 Calls", IF(#REF! &lt;=5, "4-5 Calls", "6+ Calls")))</f>
        <v>#REF!</v>
      </c>
      <c r="X2919" t="e">
        <f>IF(#REF! &lt;= 50, "0-50", IF(#REF! &lt;=100, "51-100", IF(#REF! &lt;= 150, "101-150", "151+")))</f>
        <v>#REF!</v>
      </c>
      <c r="Y2919" t="e">
        <f>IF(#REF! &lt;= 3, "Low Charges", "High Charges")</f>
        <v>#REF!</v>
      </c>
      <c r="Z2919" t="e">
        <f>IF(#REF!&lt;=80,"Low Calls",
IF(#REF!&lt;=120,"Medium Calls","High Calls"))</f>
        <v>#REF!</v>
      </c>
      <c r="AA2919" t="e">
        <f>IF(#REF!&lt;=15,"Low Charges",
IF(#REF!&lt;=20,"Medium Charges","High Charges"))</f>
        <v>#REF!</v>
      </c>
      <c r="AB2919" t="e">
        <f>IF(AND(#REF!&gt;180, #REF!&gt;200), "Heavy Doemstic User", IF(#REF!&gt;10, "Interntional User", IF(AND(#REF!&lt;180, #REF!&lt;200,#REF!&lt;200), "Light User", "Balanced User")))</f>
        <v>#REF!</v>
      </c>
      <c r="AC2919" t="e">
        <f>IF(#REF! = 0, "No Usage", IF(#REF! &lt;= 20, "Low Usage", IF(#REF! &lt;= 40, "Medium Usgae", "High Usage")))</f>
        <v>#REF!</v>
      </c>
      <c r="AD2919" t="e">
        <f>IF(#REF!&lt;=150,"Low Usage", IF(#REF!&lt;=200,"Medium Usage", IF(#REF!&lt;=250,"High Usage","Very High Usage")))</f>
        <v>#REF!</v>
      </c>
      <c r="AE2919" t="e">
        <f>IF(#REF!&lt;=5,"Low Calls", IF(#REF!&lt;=10, "Medium Calls", "High Calls"))</f>
        <v>#REF!</v>
      </c>
      <c r="AF2919" t="e">
        <f xml:space="preserve">
IF(#REF!&gt;=4,4,0)+
IF(#REF!="yes",3,0)+
IF(#REF!="High Charges",3,0)+
IF(#REF!&gt;250,4,0)+
IF(#REF!="no",1,0)+
IF(#REF!="Heavy Domestic User",2,0)</f>
        <v>#REF!</v>
      </c>
      <c r="AG2919" t="e">
        <f>IF(#REF!&gt;=10,"High Risk", IF(#REF!&gt;=5,"Medium Risk","Low Risk"))</f>
        <v>#REF!</v>
      </c>
      <c r="AH2919" t="e">
        <f>#REF! + #REF! + #REF! + #REF!</f>
        <v>#REF!</v>
      </c>
    </row>
    <row r="2920" spans="1:34" x14ac:dyDescent="0.35">
      <c r="A2920">
        <v>2919</v>
      </c>
      <c r="B2920" t="s">
        <v>71</v>
      </c>
      <c r="C2920">
        <v>110</v>
      </c>
      <c r="D2920" t="s">
        <v>28</v>
      </c>
      <c r="E2920" t="s">
        <v>22</v>
      </c>
      <c r="F2920" t="s">
        <v>22</v>
      </c>
      <c r="G2920">
        <v>0</v>
      </c>
      <c r="H2920">
        <v>220.9</v>
      </c>
      <c r="I2920">
        <v>100</v>
      </c>
      <c r="J2920">
        <v>37.549999999999997</v>
      </c>
      <c r="K2920">
        <v>279.60000000000002</v>
      </c>
      <c r="L2920">
        <v>76</v>
      </c>
      <c r="M2920">
        <v>23.77</v>
      </c>
      <c r="N2920">
        <v>239.8</v>
      </c>
      <c r="O2920">
        <v>107</v>
      </c>
      <c r="P2920">
        <v>10.79</v>
      </c>
      <c r="Q2920">
        <v>13.5</v>
      </c>
      <c r="R2920">
        <v>9</v>
      </c>
      <c r="S2920">
        <v>3.65</v>
      </c>
      <c r="T2920">
        <v>1</v>
      </c>
      <c r="U2920" t="s">
        <v>23</v>
      </c>
      <c r="V2920" t="e">
        <f>IF(#REF! = "yes", 1, 0)</f>
        <v>#REF!</v>
      </c>
      <c r="W2920" t="e">
        <f>IF(#REF! &lt;= 1, "0-1 Calls", IF(#REF! &lt;= 3, "2-3 Calls", IF(#REF! &lt;=5, "4-5 Calls", "6+ Calls")))</f>
        <v>#REF!</v>
      </c>
      <c r="X2920" t="e">
        <f>IF(#REF! &lt;= 50, "0-50", IF(#REF! &lt;=100, "51-100", IF(#REF! &lt;= 150, "101-150", "151+")))</f>
        <v>#REF!</v>
      </c>
      <c r="Y2920" t="e">
        <f>IF(#REF! &lt;= 3, "Low Charges", "High Charges")</f>
        <v>#REF!</v>
      </c>
      <c r="Z2920" t="e">
        <f>IF(#REF!&lt;=80,"Low Calls",
IF(#REF!&lt;=120,"Medium Calls","High Calls"))</f>
        <v>#REF!</v>
      </c>
      <c r="AA2920" t="e">
        <f>IF(#REF!&lt;=15,"Low Charges",
IF(#REF!&lt;=20,"Medium Charges","High Charges"))</f>
        <v>#REF!</v>
      </c>
      <c r="AB2920" t="e">
        <f>IF(AND(#REF!&gt;180, #REF!&gt;200), "Heavy Doemstic User", IF(#REF!&gt;10, "Interntional User", IF(AND(#REF!&lt;180, #REF!&lt;200,#REF!&lt;200), "Light User", "Balanced User")))</f>
        <v>#REF!</v>
      </c>
      <c r="AC2920" t="e">
        <f>IF(#REF! = 0, "No Usage", IF(#REF! &lt;= 20, "Low Usage", IF(#REF! &lt;= 40, "Medium Usgae", "High Usage")))</f>
        <v>#REF!</v>
      </c>
      <c r="AD2920" t="e">
        <f>IF(#REF!&lt;=150,"Low Usage", IF(#REF!&lt;=200,"Medium Usage", IF(#REF!&lt;=250,"High Usage","Very High Usage")))</f>
        <v>#REF!</v>
      </c>
      <c r="AE2920" t="e">
        <f>IF(#REF!&lt;=5,"Low Calls", IF(#REF!&lt;=10, "Medium Calls", "High Calls"))</f>
        <v>#REF!</v>
      </c>
      <c r="AF2920" t="e">
        <f xml:space="preserve">
IF(#REF!&gt;=4,4,0)+
IF(#REF!="yes",3,0)+
IF(#REF!="High Charges",3,0)+
IF(#REF!&gt;250,4,0)+
IF(#REF!="no",1,0)+
IF(#REF!="Heavy Domestic User",2,0)</f>
        <v>#REF!</v>
      </c>
      <c r="AG2920" t="e">
        <f>IF(#REF!&gt;=10,"High Risk", IF(#REF!&gt;=5,"Medium Risk","Low Risk"))</f>
        <v>#REF!</v>
      </c>
      <c r="AH2920" t="e">
        <f>#REF! + #REF! + #REF! + #REF!</f>
        <v>#REF!</v>
      </c>
    </row>
    <row r="2921" spans="1:34" x14ac:dyDescent="0.35">
      <c r="A2921">
        <v>2920</v>
      </c>
      <c r="B2921" t="s">
        <v>68</v>
      </c>
      <c r="C2921">
        <v>69</v>
      </c>
      <c r="D2921" t="s">
        <v>25</v>
      </c>
      <c r="E2921" t="s">
        <v>22</v>
      </c>
      <c r="F2921" t="s">
        <v>23</v>
      </c>
      <c r="G2921">
        <v>27</v>
      </c>
      <c r="H2921">
        <v>188.4</v>
      </c>
      <c r="I2921">
        <v>104</v>
      </c>
      <c r="J2921">
        <v>32.03</v>
      </c>
      <c r="K2921">
        <v>320.60000000000002</v>
      </c>
      <c r="L2921">
        <v>128</v>
      </c>
      <c r="M2921">
        <v>27.25</v>
      </c>
      <c r="N2921">
        <v>161.69999999999999</v>
      </c>
      <c r="O2921">
        <v>120</v>
      </c>
      <c r="P2921">
        <v>7.28</v>
      </c>
      <c r="Q2921">
        <v>9.6999999999999993</v>
      </c>
      <c r="R2921">
        <v>7</v>
      </c>
      <c r="S2921">
        <v>2.62</v>
      </c>
      <c r="T2921">
        <v>1</v>
      </c>
      <c r="U2921" t="s">
        <v>22</v>
      </c>
      <c r="V2921" t="e">
        <f>IF(#REF! = "yes", 1, 0)</f>
        <v>#REF!</v>
      </c>
      <c r="W2921" t="e">
        <f>IF(#REF! &lt;= 1, "0-1 Calls", IF(#REF! &lt;= 3, "2-3 Calls", IF(#REF! &lt;=5, "4-5 Calls", "6+ Calls")))</f>
        <v>#REF!</v>
      </c>
      <c r="X2921" t="e">
        <f>IF(#REF! &lt;= 50, "0-50", IF(#REF! &lt;=100, "51-100", IF(#REF! &lt;= 150, "101-150", "151+")))</f>
        <v>#REF!</v>
      </c>
      <c r="Y2921" t="e">
        <f>IF(#REF! &lt;= 3, "Low Charges", "High Charges")</f>
        <v>#REF!</v>
      </c>
      <c r="Z2921" t="e">
        <f>IF(#REF!&lt;=80,"Low Calls",
IF(#REF!&lt;=120,"Medium Calls","High Calls"))</f>
        <v>#REF!</v>
      </c>
      <c r="AA2921" t="e">
        <f>IF(#REF!&lt;=15,"Low Charges",
IF(#REF!&lt;=20,"Medium Charges","High Charges"))</f>
        <v>#REF!</v>
      </c>
      <c r="AB2921" t="e">
        <f>IF(AND(#REF!&gt;180, #REF!&gt;200), "Heavy Doemstic User", IF(#REF!&gt;10, "Interntional User", IF(AND(#REF!&lt;180, #REF!&lt;200,#REF!&lt;200), "Light User", "Balanced User")))</f>
        <v>#REF!</v>
      </c>
      <c r="AC2921" t="e">
        <f>IF(#REF! = 0, "No Usage", IF(#REF! &lt;= 20, "Low Usage", IF(#REF! &lt;= 40, "Medium Usgae", "High Usage")))</f>
        <v>#REF!</v>
      </c>
      <c r="AD2921" t="e">
        <f>IF(#REF!&lt;=150,"Low Usage", IF(#REF!&lt;=200,"Medium Usage", IF(#REF!&lt;=250,"High Usage","Very High Usage")))</f>
        <v>#REF!</v>
      </c>
      <c r="AE2921" t="e">
        <f>IF(#REF!&lt;=5,"Low Calls", IF(#REF!&lt;=10, "Medium Calls", "High Calls"))</f>
        <v>#REF!</v>
      </c>
      <c r="AF2921" t="e">
        <f xml:space="preserve">
IF(#REF!&gt;=4,4,0)+
IF(#REF!="yes",3,0)+
IF(#REF!="High Charges",3,0)+
IF(#REF!&gt;250,4,0)+
IF(#REF!="no",1,0)+
IF(#REF!="Heavy Domestic User",2,0)</f>
        <v>#REF!</v>
      </c>
      <c r="AG2921" t="e">
        <f>IF(#REF!&gt;=10,"High Risk", IF(#REF!&gt;=5,"Medium Risk","Low Risk"))</f>
        <v>#REF!</v>
      </c>
      <c r="AH2921" t="e">
        <f>#REF! + #REF! + #REF! + #REF!</f>
        <v>#REF!</v>
      </c>
    </row>
    <row r="2922" spans="1:34" x14ac:dyDescent="0.35">
      <c r="A2922">
        <v>2921</v>
      </c>
      <c r="B2922" t="s">
        <v>32</v>
      </c>
      <c r="C2922">
        <v>56</v>
      </c>
      <c r="D2922" t="s">
        <v>28</v>
      </c>
      <c r="E2922" t="s">
        <v>22</v>
      </c>
      <c r="F2922" t="s">
        <v>22</v>
      </c>
      <c r="G2922">
        <v>0</v>
      </c>
      <c r="H2922">
        <v>254.8</v>
      </c>
      <c r="I2922">
        <v>83</v>
      </c>
      <c r="J2922">
        <v>43.32</v>
      </c>
      <c r="K2922">
        <v>194</v>
      </c>
      <c r="L2922">
        <v>98</v>
      </c>
      <c r="M2922">
        <v>16.489999999999998</v>
      </c>
      <c r="N2922">
        <v>186.2</v>
      </c>
      <c r="O2922">
        <v>118</v>
      </c>
      <c r="P2922">
        <v>8.3800000000000008</v>
      </c>
      <c r="Q2922">
        <v>13.5</v>
      </c>
      <c r="R2922">
        <v>2</v>
      </c>
      <c r="S2922">
        <v>3.65</v>
      </c>
      <c r="T2922">
        <v>4</v>
      </c>
      <c r="U2922" t="s">
        <v>22</v>
      </c>
      <c r="V2922" t="e">
        <f>IF(#REF! = "yes", 1, 0)</f>
        <v>#REF!</v>
      </c>
      <c r="W2922" t="e">
        <f>IF(#REF! &lt;= 1, "0-1 Calls", IF(#REF! &lt;= 3, "2-3 Calls", IF(#REF! &lt;=5, "4-5 Calls", "6+ Calls")))</f>
        <v>#REF!</v>
      </c>
      <c r="X2922" t="e">
        <f>IF(#REF! &lt;= 50, "0-50", IF(#REF! &lt;=100, "51-100", IF(#REF! &lt;= 150, "101-150", "151+")))</f>
        <v>#REF!</v>
      </c>
      <c r="Y2922" t="e">
        <f>IF(#REF! &lt;= 3, "Low Charges", "High Charges")</f>
        <v>#REF!</v>
      </c>
      <c r="Z2922" t="e">
        <f>IF(#REF!&lt;=80,"Low Calls",
IF(#REF!&lt;=120,"Medium Calls","High Calls"))</f>
        <v>#REF!</v>
      </c>
      <c r="AA2922" t="e">
        <f>IF(#REF!&lt;=15,"Low Charges",
IF(#REF!&lt;=20,"Medium Charges","High Charges"))</f>
        <v>#REF!</v>
      </c>
      <c r="AB2922" t="e">
        <f>IF(AND(#REF!&gt;180, #REF!&gt;200), "Heavy Doemstic User", IF(#REF!&gt;10, "Interntional User", IF(AND(#REF!&lt;180, #REF!&lt;200,#REF!&lt;200), "Light User", "Balanced User")))</f>
        <v>#REF!</v>
      </c>
      <c r="AC2922" t="e">
        <f>IF(#REF! = 0, "No Usage", IF(#REF! &lt;= 20, "Low Usage", IF(#REF! &lt;= 40, "Medium Usgae", "High Usage")))</f>
        <v>#REF!</v>
      </c>
      <c r="AD2922" t="e">
        <f>IF(#REF!&lt;=150,"Low Usage", IF(#REF!&lt;=200,"Medium Usage", IF(#REF!&lt;=250,"High Usage","Very High Usage")))</f>
        <v>#REF!</v>
      </c>
      <c r="AE2922" t="e">
        <f>IF(#REF!&lt;=5,"Low Calls", IF(#REF!&lt;=10, "Medium Calls", "High Calls"))</f>
        <v>#REF!</v>
      </c>
      <c r="AF2922" t="e">
        <f xml:space="preserve">
IF(#REF!&gt;=4,4,0)+
IF(#REF!="yes",3,0)+
IF(#REF!="High Charges",3,0)+
IF(#REF!&gt;250,4,0)+
IF(#REF!="no",1,0)+
IF(#REF!="Heavy Domestic User",2,0)</f>
        <v>#REF!</v>
      </c>
      <c r="AG2922" t="e">
        <f>IF(#REF!&gt;=10,"High Risk", IF(#REF!&gt;=5,"Medium Risk","Low Risk"))</f>
        <v>#REF!</v>
      </c>
      <c r="AH2922" t="e">
        <f>#REF! + #REF! + #REF! + #REF!</f>
        <v>#REF!</v>
      </c>
    </row>
    <row r="2923" spans="1:34" x14ac:dyDescent="0.35">
      <c r="A2923">
        <v>2922</v>
      </c>
      <c r="B2923" t="s">
        <v>55</v>
      </c>
      <c r="C2923">
        <v>133</v>
      </c>
      <c r="D2923" t="s">
        <v>28</v>
      </c>
      <c r="E2923" t="s">
        <v>22</v>
      </c>
      <c r="F2923" t="s">
        <v>22</v>
      </c>
      <c r="G2923">
        <v>0</v>
      </c>
      <c r="H2923">
        <v>338.4</v>
      </c>
      <c r="I2923">
        <v>86</v>
      </c>
      <c r="J2923">
        <v>57.53</v>
      </c>
      <c r="K2923">
        <v>234.6</v>
      </c>
      <c r="L2923">
        <v>97</v>
      </c>
      <c r="M2923">
        <v>19.940000000000001</v>
      </c>
      <c r="N2923">
        <v>264.8</v>
      </c>
      <c r="O2923">
        <v>139</v>
      </c>
      <c r="P2923">
        <v>11.92</v>
      </c>
      <c r="Q2923">
        <v>14.8</v>
      </c>
      <c r="R2923">
        <v>4</v>
      </c>
      <c r="S2923">
        <v>4</v>
      </c>
      <c r="T2923">
        <v>3</v>
      </c>
      <c r="U2923" t="s">
        <v>23</v>
      </c>
      <c r="V2923" t="e">
        <f>IF(#REF! = "yes", 1, 0)</f>
        <v>#REF!</v>
      </c>
      <c r="W2923" t="e">
        <f>IF(#REF! &lt;= 1, "0-1 Calls", IF(#REF! &lt;= 3, "2-3 Calls", IF(#REF! &lt;=5, "4-5 Calls", "6+ Calls")))</f>
        <v>#REF!</v>
      </c>
      <c r="X2923" t="e">
        <f>IF(#REF! &lt;= 50, "0-50", IF(#REF! &lt;=100, "51-100", IF(#REF! &lt;= 150, "101-150", "151+")))</f>
        <v>#REF!</v>
      </c>
      <c r="Y2923" t="e">
        <f>IF(#REF! &lt;= 3, "Low Charges", "High Charges")</f>
        <v>#REF!</v>
      </c>
      <c r="Z2923" t="e">
        <f>IF(#REF!&lt;=80,"Low Calls",
IF(#REF!&lt;=120,"Medium Calls","High Calls"))</f>
        <v>#REF!</v>
      </c>
      <c r="AA2923" t="e">
        <f>IF(#REF!&lt;=15,"Low Charges",
IF(#REF!&lt;=20,"Medium Charges","High Charges"))</f>
        <v>#REF!</v>
      </c>
      <c r="AB2923" t="e">
        <f>IF(AND(#REF!&gt;180, #REF!&gt;200), "Heavy Doemstic User", IF(#REF!&gt;10, "Interntional User", IF(AND(#REF!&lt;180, #REF!&lt;200,#REF!&lt;200), "Light User", "Balanced User")))</f>
        <v>#REF!</v>
      </c>
      <c r="AC2923" t="e">
        <f>IF(#REF! = 0, "No Usage", IF(#REF! &lt;= 20, "Low Usage", IF(#REF! &lt;= 40, "Medium Usgae", "High Usage")))</f>
        <v>#REF!</v>
      </c>
      <c r="AD2923" t="e">
        <f>IF(#REF!&lt;=150,"Low Usage", IF(#REF!&lt;=200,"Medium Usage", IF(#REF!&lt;=250,"High Usage","Very High Usage")))</f>
        <v>#REF!</v>
      </c>
      <c r="AE2923" t="e">
        <f>IF(#REF!&lt;=5,"Low Calls", IF(#REF!&lt;=10, "Medium Calls", "High Calls"))</f>
        <v>#REF!</v>
      </c>
      <c r="AF2923" t="e">
        <f xml:space="preserve">
IF(#REF!&gt;=4,4,0)+
IF(#REF!="yes",3,0)+
IF(#REF!="High Charges",3,0)+
IF(#REF!&gt;250,4,0)+
IF(#REF!="no",1,0)+
IF(#REF!="Heavy Domestic User",2,0)</f>
        <v>#REF!</v>
      </c>
      <c r="AG2923" t="e">
        <f>IF(#REF!&gt;=10,"High Risk", IF(#REF!&gt;=5,"Medium Risk","Low Risk"))</f>
        <v>#REF!</v>
      </c>
      <c r="AH2923" t="e">
        <f>#REF! + #REF! + #REF! + #REF!</f>
        <v>#REF!</v>
      </c>
    </row>
    <row r="2924" spans="1:34" x14ac:dyDescent="0.35">
      <c r="A2924">
        <v>2923</v>
      </c>
      <c r="B2924" t="s">
        <v>38</v>
      </c>
      <c r="C2924">
        <v>131</v>
      </c>
      <c r="D2924" t="s">
        <v>21</v>
      </c>
      <c r="E2924" t="s">
        <v>22</v>
      </c>
      <c r="F2924" t="s">
        <v>22</v>
      </c>
      <c r="G2924">
        <v>0</v>
      </c>
      <c r="H2924">
        <v>143.1</v>
      </c>
      <c r="I2924">
        <v>114</v>
      </c>
      <c r="J2924">
        <v>24.33</v>
      </c>
      <c r="K2924">
        <v>138.1</v>
      </c>
      <c r="L2924">
        <v>119</v>
      </c>
      <c r="M2924">
        <v>11.74</v>
      </c>
      <c r="N2924">
        <v>199.4</v>
      </c>
      <c r="O2924">
        <v>100</v>
      </c>
      <c r="P2924">
        <v>8.9700000000000006</v>
      </c>
      <c r="Q2924">
        <v>8.9</v>
      </c>
      <c r="R2924">
        <v>3</v>
      </c>
      <c r="S2924">
        <v>2.4</v>
      </c>
      <c r="T2924">
        <v>3</v>
      </c>
      <c r="U2924" t="s">
        <v>22</v>
      </c>
      <c r="V2924" t="e">
        <f>IF(#REF! = "yes", 1, 0)</f>
        <v>#REF!</v>
      </c>
      <c r="W2924" t="e">
        <f>IF(#REF! &lt;= 1, "0-1 Calls", IF(#REF! &lt;= 3, "2-3 Calls", IF(#REF! &lt;=5, "4-5 Calls", "6+ Calls")))</f>
        <v>#REF!</v>
      </c>
      <c r="X2924" t="e">
        <f>IF(#REF! &lt;= 50, "0-50", IF(#REF! &lt;=100, "51-100", IF(#REF! &lt;= 150, "101-150", "151+")))</f>
        <v>#REF!</v>
      </c>
      <c r="Y2924" t="e">
        <f>IF(#REF! &lt;= 3, "Low Charges", "High Charges")</f>
        <v>#REF!</v>
      </c>
      <c r="Z2924" t="e">
        <f>IF(#REF!&lt;=80,"Low Calls",
IF(#REF!&lt;=120,"Medium Calls","High Calls"))</f>
        <v>#REF!</v>
      </c>
      <c r="AA2924" t="e">
        <f>IF(#REF!&lt;=15,"Low Charges",
IF(#REF!&lt;=20,"Medium Charges","High Charges"))</f>
        <v>#REF!</v>
      </c>
      <c r="AB2924" t="e">
        <f>IF(AND(#REF!&gt;180, #REF!&gt;200), "Heavy Doemstic User", IF(#REF!&gt;10, "Interntional User", IF(AND(#REF!&lt;180, #REF!&lt;200,#REF!&lt;200), "Light User", "Balanced User")))</f>
        <v>#REF!</v>
      </c>
      <c r="AC2924" t="e">
        <f>IF(#REF! = 0, "No Usage", IF(#REF! &lt;= 20, "Low Usage", IF(#REF! &lt;= 40, "Medium Usgae", "High Usage")))</f>
        <v>#REF!</v>
      </c>
      <c r="AD2924" t="e">
        <f>IF(#REF!&lt;=150,"Low Usage", IF(#REF!&lt;=200,"Medium Usage", IF(#REF!&lt;=250,"High Usage","Very High Usage")))</f>
        <v>#REF!</v>
      </c>
      <c r="AE2924" t="e">
        <f>IF(#REF!&lt;=5,"Low Calls", IF(#REF!&lt;=10, "Medium Calls", "High Calls"))</f>
        <v>#REF!</v>
      </c>
      <c r="AF2924" t="e">
        <f xml:space="preserve">
IF(#REF!&gt;=4,4,0)+
IF(#REF!="yes",3,0)+
IF(#REF!="High Charges",3,0)+
IF(#REF!&gt;250,4,0)+
IF(#REF!="no",1,0)+
IF(#REF!="Heavy Domestic User",2,0)</f>
        <v>#REF!</v>
      </c>
      <c r="AG2924" t="e">
        <f>IF(#REF!&gt;=10,"High Risk", IF(#REF!&gt;=5,"Medium Risk","Low Risk"))</f>
        <v>#REF!</v>
      </c>
      <c r="AH2924" t="e">
        <f>#REF! + #REF! + #REF! + #REF!</f>
        <v>#REF!</v>
      </c>
    </row>
    <row r="2925" spans="1:34" x14ac:dyDescent="0.35">
      <c r="A2925">
        <v>2924</v>
      </c>
      <c r="B2925" t="s">
        <v>74</v>
      </c>
      <c r="C2925">
        <v>60</v>
      </c>
      <c r="D2925" t="s">
        <v>21</v>
      </c>
      <c r="E2925" t="s">
        <v>22</v>
      </c>
      <c r="F2925" t="s">
        <v>23</v>
      </c>
      <c r="G2925">
        <v>20</v>
      </c>
      <c r="H2925">
        <v>118.3</v>
      </c>
      <c r="I2925">
        <v>113</v>
      </c>
      <c r="J2925">
        <v>20.11</v>
      </c>
      <c r="K2925">
        <v>253.8</v>
      </c>
      <c r="L2925">
        <v>97</v>
      </c>
      <c r="M2925">
        <v>21.57</v>
      </c>
      <c r="N2925">
        <v>172.8</v>
      </c>
      <c r="O2925">
        <v>78</v>
      </c>
      <c r="P2925">
        <v>7.78</v>
      </c>
      <c r="Q2925">
        <v>9.4</v>
      </c>
      <c r="R2925">
        <v>4</v>
      </c>
      <c r="S2925">
        <v>2.54</v>
      </c>
      <c r="T2925">
        <v>1</v>
      </c>
      <c r="U2925" t="s">
        <v>22</v>
      </c>
      <c r="V2925" t="e">
        <f>IF(#REF! = "yes", 1, 0)</f>
        <v>#REF!</v>
      </c>
      <c r="W2925" t="e">
        <f>IF(#REF! &lt;= 1, "0-1 Calls", IF(#REF! &lt;= 3, "2-3 Calls", IF(#REF! &lt;=5, "4-5 Calls", "6+ Calls")))</f>
        <v>#REF!</v>
      </c>
      <c r="X2925" t="e">
        <f>IF(#REF! &lt;= 50, "0-50", IF(#REF! &lt;=100, "51-100", IF(#REF! &lt;= 150, "101-150", "151+")))</f>
        <v>#REF!</v>
      </c>
      <c r="Y2925" t="e">
        <f>IF(#REF! &lt;= 3, "Low Charges", "High Charges")</f>
        <v>#REF!</v>
      </c>
      <c r="Z2925" t="e">
        <f>IF(#REF!&lt;=80,"Low Calls",
IF(#REF!&lt;=120,"Medium Calls","High Calls"))</f>
        <v>#REF!</v>
      </c>
      <c r="AA2925" t="e">
        <f>IF(#REF!&lt;=15,"Low Charges",
IF(#REF!&lt;=20,"Medium Charges","High Charges"))</f>
        <v>#REF!</v>
      </c>
      <c r="AB2925" t="e">
        <f>IF(AND(#REF!&gt;180, #REF!&gt;200), "Heavy Doemstic User", IF(#REF!&gt;10, "Interntional User", IF(AND(#REF!&lt;180, #REF!&lt;200,#REF!&lt;200), "Light User", "Balanced User")))</f>
        <v>#REF!</v>
      </c>
      <c r="AC2925" t="e">
        <f>IF(#REF! = 0, "No Usage", IF(#REF! &lt;= 20, "Low Usage", IF(#REF! &lt;= 40, "Medium Usgae", "High Usage")))</f>
        <v>#REF!</v>
      </c>
      <c r="AD2925" t="e">
        <f>IF(#REF!&lt;=150,"Low Usage", IF(#REF!&lt;=200,"Medium Usage", IF(#REF!&lt;=250,"High Usage","Very High Usage")))</f>
        <v>#REF!</v>
      </c>
      <c r="AE2925" t="e">
        <f>IF(#REF!&lt;=5,"Low Calls", IF(#REF!&lt;=10, "Medium Calls", "High Calls"))</f>
        <v>#REF!</v>
      </c>
      <c r="AF2925" t="e">
        <f xml:space="preserve">
IF(#REF!&gt;=4,4,0)+
IF(#REF!="yes",3,0)+
IF(#REF!="High Charges",3,0)+
IF(#REF!&gt;250,4,0)+
IF(#REF!="no",1,0)+
IF(#REF!="Heavy Domestic User",2,0)</f>
        <v>#REF!</v>
      </c>
      <c r="AG2925" t="e">
        <f>IF(#REF!&gt;=10,"High Risk", IF(#REF!&gt;=5,"Medium Risk","Low Risk"))</f>
        <v>#REF!</v>
      </c>
      <c r="AH2925" t="e">
        <f>#REF! + #REF! + #REF! + #REF!</f>
        <v>#REF!</v>
      </c>
    </row>
    <row r="2926" spans="1:34" x14ac:dyDescent="0.35">
      <c r="A2926">
        <v>2925</v>
      </c>
      <c r="B2926" t="s">
        <v>73</v>
      </c>
      <c r="C2926">
        <v>92</v>
      </c>
      <c r="D2926" t="s">
        <v>28</v>
      </c>
      <c r="E2926" t="s">
        <v>22</v>
      </c>
      <c r="F2926" t="s">
        <v>22</v>
      </c>
      <c r="G2926">
        <v>0</v>
      </c>
      <c r="H2926">
        <v>185.9</v>
      </c>
      <c r="I2926">
        <v>111</v>
      </c>
      <c r="J2926">
        <v>31.6</v>
      </c>
      <c r="K2926">
        <v>216.8</v>
      </c>
      <c r="L2926">
        <v>93</v>
      </c>
      <c r="M2926">
        <v>18.43</v>
      </c>
      <c r="N2926">
        <v>231</v>
      </c>
      <c r="O2926">
        <v>58</v>
      </c>
      <c r="P2926">
        <v>10.4</v>
      </c>
      <c r="Q2926">
        <v>8.5</v>
      </c>
      <c r="R2926">
        <v>2</v>
      </c>
      <c r="S2926">
        <v>2.2999999999999998</v>
      </c>
      <c r="T2926">
        <v>1</v>
      </c>
      <c r="U2926" t="s">
        <v>22</v>
      </c>
      <c r="V2926" t="e">
        <f>IF(#REF! = "yes", 1, 0)</f>
        <v>#REF!</v>
      </c>
      <c r="W2926" t="e">
        <f>IF(#REF! &lt;= 1, "0-1 Calls", IF(#REF! &lt;= 3, "2-3 Calls", IF(#REF! &lt;=5, "4-5 Calls", "6+ Calls")))</f>
        <v>#REF!</v>
      </c>
      <c r="X2926" t="e">
        <f>IF(#REF! &lt;= 50, "0-50", IF(#REF! &lt;=100, "51-100", IF(#REF! &lt;= 150, "101-150", "151+")))</f>
        <v>#REF!</v>
      </c>
      <c r="Y2926" t="e">
        <f>IF(#REF! &lt;= 3, "Low Charges", "High Charges")</f>
        <v>#REF!</v>
      </c>
      <c r="Z2926" t="e">
        <f>IF(#REF!&lt;=80,"Low Calls",
IF(#REF!&lt;=120,"Medium Calls","High Calls"))</f>
        <v>#REF!</v>
      </c>
      <c r="AA2926" t="e">
        <f>IF(#REF!&lt;=15,"Low Charges",
IF(#REF!&lt;=20,"Medium Charges","High Charges"))</f>
        <v>#REF!</v>
      </c>
      <c r="AB2926" t="e">
        <f>IF(AND(#REF!&gt;180, #REF!&gt;200), "Heavy Doemstic User", IF(#REF!&gt;10, "Interntional User", IF(AND(#REF!&lt;180, #REF!&lt;200,#REF!&lt;200), "Light User", "Balanced User")))</f>
        <v>#REF!</v>
      </c>
      <c r="AC2926" t="e">
        <f>IF(#REF! = 0, "No Usage", IF(#REF! &lt;= 20, "Low Usage", IF(#REF! &lt;= 40, "Medium Usgae", "High Usage")))</f>
        <v>#REF!</v>
      </c>
      <c r="AD2926" t="e">
        <f>IF(#REF!&lt;=150,"Low Usage", IF(#REF!&lt;=200,"Medium Usage", IF(#REF!&lt;=250,"High Usage","Very High Usage")))</f>
        <v>#REF!</v>
      </c>
      <c r="AE2926" t="e">
        <f>IF(#REF!&lt;=5,"Low Calls", IF(#REF!&lt;=10, "Medium Calls", "High Calls"))</f>
        <v>#REF!</v>
      </c>
      <c r="AF2926" t="e">
        <f xml:space="preserve">
IF(#REF!&gt;=4,4,0)+
IF(#REF!="yes",3,0)+
IF(#REF!="High Charges",3,0)+
IF(#REF!&gt;250,4,0)+
IF(#REF!="no",1,0)+
IF(#REF!="Heavy Domestic User",2,0)</f>
        <v>#REF!</v>
      </c>
      <c r="AG2926" t="e">
        <f>IF(#REF!&gt;=10,"High Risk", IF(#REF!&gt;=5,"Medium Risk","Low Risk"))</f>
        <v>#REF!</v>
      </c>
      <c r="AH2926" t="e">
        <f>#REF! + #REF! + #REF! + #REF!</f>
        <v>#REF!</v>
      </c>
    </row>
    <row r="2927" spans="1:34" x14ac:dyDescent="0.35">
      <c r="A2927">
        <v>2926</v>
      </c>
      <c r="B2927" t="s">
        <v>53</v>
      </c>
      <c r="C2927">
        <v>52</v>
      </c>
      <c r="D2927" t="s">
        <v>28</v>
      </c>
      <c r="E2927" t="s">
        <v>22</v>
      </c>
      <c r="F2927" t="s">
        <v>22</v>
      </c>
      <c r="G2927">
        <v>0</v>
      </c>
      <c r="H2927">
        <v>219</v>
      </c>
      <c r="I2927">
        <v>100</v>
      </c>
      <c r="J2927">
        <v>37.229999999999997</v>
      </c>
      <c r="K2927">
        <v>148.9</v>
      </c>
      <c r="L2927">
        <v>110</v>
      </c>
      <c r="M2927">
        <v>12.66</v>
      </c>
      <c r="N2927">
        <v>151.80000000000001</v>
      </c>
      <c r="O2927">
        <v>129</v>
      </c>
      <c r="P2927">
        <v>6.83</v>
      </c>
      <c r="Q2927">
        <v>11.9</v>
      </c>
      <c r="R2927">
        <v>8</v>
      </c>
      <c r="S2927">
        <v>3.21</v>
      </c>
      <c r="T2927">
        <v>3</v>
      </c>
      <c r="U2927" t="s">
        <v>22</v>
      </c>
      <c r="V2927" t="e">
        <f>IF(#REF! = "yes", 1, 0)</f>
        <v>#REF!</v>
      </c>
      <c r="W2927" t="e">
        <f>IF(#REF! &lt;= 1, "0-1 Calls", IF(#REF! &lt;= 3, "2-3 Calls", IF(#REF! &lt;=5, "4-5 Calls", "6+ Calls")))</f>
        <v>#REF!</v>
      </c>
      <c r="X2927" t="e">
        <f>IF(#REF! &lt;= 50, "0-50", IF(#REF! &lt;=100, "51-100", IF(#REF! &lt;= 150, "101-150", "151+")))</f>
        <v>#REF!</v>
      </c>
      <c r="Y2927" t="e">
        <f>IF(#REF! &lt;= 3, "Low Charges", "High Charges")</f>
        <v>#REF!</v>
      </c>
      <c r="Z2927" t="e">
        <f>IF(#REF!&lt;=80,"Low Calls",
IF(#REF!&lt;=120,"Medium Calls","High Calls"))</f>
        <v>#REF!</v>
      </c>
      <c r="AA2927" t="e">
        <f>IF(#REF!&lt;=15,"Low Charges",
IF(#REF!&lt;=20,"Medium Charges","High Charges"))</f>
        <v>#REF!</v>
      </c>
      <c r="AB2927" t="e">
        <f>IF(AND(#REF!&gt;180, #REF!&gt;200), "Heavy Doemstic User", IF(#REF!&gt;10, "Interntional User", IF(AND(#REF!&lt;180, #REF!&lt;200,#REF!&lt;200), "Light User", "Balanced User")))</f>
        <v>#REF!</v>
      </c>
      <c r="AC2927" t="e">
        <f>IF(#REF! = 0, "No Usage", IF(#REF! &lt;= 20, "Low Usage", IF(#REF! &lt;= 40, "Medium Usgae", "High Usage")))</f>
        <v>#REF!</v>
      </c>
      <c r="AD2927" t="e">
        <f>IF(#REF!&lt;=150,"Low Usage", IF(#REF!&lt;=200,"Medium Usage", IF(#REF!&lt;=250,"High Usage","Very High Usage")))</f>
        <v>#REF!</v>
      </c>
      <c r="AE2927" t="e">
        <f>IF(#REF!&lt;=5,"Low Calls", IF(#REF!&lt;=10, "Medium Calls", "High Calls"))</f>
        <v>#REF!</v>
      </c>
      <c r="AF2927" t="e">
        <f xml:space="preserve">
IF(#REF!&gt;=4,4,0)+
IF(#REF!="yes",3,0)+
IF(#REF!="High Charges",3,0)+
IF(#REF!&gt;250,4,0)+
IF(#REF!="no",1,0)+
IF(#REF!="Heavy Domestic User",2,0)</f>
        <v>#REF!</v>
      </c>
      <c r="AG2927" t="e">
        <f>IF(#REF!&gt;=10,"High Risk", IF(#REF!&gt;=5,"Medium Risk","Low Risk"))</f>
        <v>#REF!</v>
      </c>
      <c r="AH2927" t="e">
        <f>#REF! + #REF! + #REF! + #REF!</f>
        <v>#REF!</v>
      </c>
    </row>
    <row r="2928" spans="1:34" x14ac:dyDescent="0.35">
      <c r="A2928">
        <v>2927</v>
      </c>
      <c r="B2928" t="s">
        <v>58</v>
      </c>
      <c r="C2928">
        <v>135</v>
      </c>
      <c r="D2928" t="s">
        <v>28</v>
      </c>
      <c r="E2928" t="s">
        <v>22</v>
      </c>
      <c r="F2928" t="s">
        <v>23</v>
      </c>
      <c r="G2928">
        <v>18</v>
      </c>
      <c r="H2928">
        <v>180.1</v>
      </c>
      <c r="I2928">
        <v>90</v>
      </c>
      <c r="J2928">
        <v>30.62</v>
      </c>
      <c r="K2928">
        <v>152.5</v>
      </c>
      <c r="L2928">
        <v>65</v>
      </c>
      <c r="M2928">
        <v>12.96</v>
      </c>
      <c r="N2928">
        <v>258.2</v>
      </c>
      <c r="O2928">
        <v>85</v>
      </c>
      <c r="P2928">
        <v>11.62</v>
      </c>
      <c r="Q2928">
        <v>12.7</v>
      </c>
      <c r="R2928">
        <v>9</v>
      </c>
      <c r="S2928">
        <v>3.43</v>
      </c>
      <c r="T2928">
        <v>1</v>
      </c>
      <c r="U2928" t="s">
        <v>22</v>
      </c>
      <c r="V2928" t="e">
        <f>IF(#REF! = "yes", 1, 0)</f>
        <v>#REF!</v>
      </c>
      <c r="W2928" t="e">
        <f>IF(#REF! &lt;= 1, "0-1 Calls", IF(#REF! &lt;= 3, "2-3 Calls", IF(#REF! &lt;=5, "4-5 Calls", "6+ Calls")))</f>
        <v>#REF!</v>
      </c>
      <c r="X2928" t="e">
        <f>IF(#REF! &lt;= 50, "0-50", IF(#REF! &lt;=100, "51-100", IF(#REF! &lt;= 150, "101-150", "151+")))</f>
        <v>#REF!</v>
      </c>
      <c r="Y2928" t="e">
        <f>IF(#REF! &lt;= 3, "Low Charges", "High Charges")</f>
        <v>#REF!</v>
      </c>
      <c r="Z2928" t="e">
        <f>IF(#REF!&lt;=80,"Low Calls",
IF(#REF!&lt;=120,"Medium Calls","High Calls"))</f>
        <v>#REF!</v>
      </c>
      <c r="AA2928" t="e">
        <f>IF(#REF!&lt;=15,"Low Charges",
IF(#REF!&lt;=20,"Medium Charges","High Charges"))</f>
        <v>#REF!</v>
      </c>
      <c r="AB2928" t="e">
        <f>IF(AND(#REF!&gt;180, #REF!&gt;200), "Heavy Doemstic User", IF(#REF!&gt;10, "Interntional User", IF(AND(#REF!&lt;180, #REF!&lt;200,#REF!&lt;200), "Light User", "Balanced User")))</f>
        <v>#REF!</v>
      </c>
      <c r="AC2928" t="e">
        <f>IF(#REF! = 0, "No Usage", IF(#REF! &lt;= 20, "Low Usage", IF(#REF! &lt;= 40, "Medium Usgae", "High Usage")))</f>
        <v>#REF!</v>
      </c>
      <c r="AD2928" t="e">
        <f>IF(#REF!&lt;=150,"Low Usage", IF(#REF!&lt;=200,"Medium Usage", IF(#REF!&lt;=250,"High Usage","Very High Usage")))</f>
        <v>#REF!</v>
      </c>
      <c r="AE2928" t="e">
        <f>IF(#REF!&lt;=5,"Low Calls", IF(#REF!&lt;=10, "Medium Calls", "High Calls"))</f>
        <v>#REF!</v>
      </c>
      <c r="AF2928" t="e">
        <f xml:space="preserve">
IF(#REF!&gt;=4,4,0)+
IF(#REF!="yes",3,0)+
IF(#REF!="High Charges",3,0)+
IF(#REF!&gt;250,4,0)+
IF(#REF!="no",1,0)+
IF(#REF!="Heavy Domestic User",2,0)</f>
        <v>#REF!</v>
      </c>
      <c r="AG2928" t="e">
        <f>IF(#REF!&gt;=10,"High Risk", IF(#REF!&gt;=5,"Medium Risk","Low Risk"))</f>
        <v>#REF!</v>
      </c>
      <c r="AH2928" t="e">
        <f>#REF! + #REF! + #REF! + #REF!</f>
        <v>#REF!</v>
      </c>
    </row>
    <row r="2929" spans="1:34" x14ac:dyDescent="0.35">
      <c r="A2929">
        <v>2928</v>
      </c>
      <c r="B2929" t="s">
        <v>48</v>
      </c>
      <c r="C2929">
        <v>107</v>
      </c>
      <c r="D2929" t="s">
        <v>25</v>
      </c>
      <c r="E2929" t="s">
        <v>22</v>
      </c>
      <c r="F2929" t="s">
        <v>22</v>
      </c>
      <c r="G2929">
        <v>0</v>
      </c>
      <c r="H2929">
        <v>114.9</v>
      </c>
      <c r="I2929">
        <v>119</v>
      </c>
      <c r="J2929">
        <v>19.53</v>
      </c>
      <c r="K2929">
        <v>239.7</v>
      </c>
      <c r="L2929">
        <v>91</v>
      </c>
      <c r="M2929">
        <v>20.37</v>
      </c>
      <c r="N2929">
        <v>165.3</v>
      </c>
      <c r="O2929">
        <v>112</v>
      </c>
      <c r="P2929">
        <v>7.44</v>
      </c>
      <c r="Q2929">
        <v>12.6</v>
      </c>
      <c r="R2929">
        <v>5</v>
      </c>
      <c r="S2929">
        <v>3.4</v>
      </c>
      <c r="T2929">
        <v>2</v>
      </c>
      <c r="U2929" t="s">
        <v>22</v>
      </c>
      <c r="V2929" t="e">
        <f>IF(#REF! = "yes", 1, 0)</f>
        <v>#REF!</v>
      </c>
      <c r="W2929" t="e">
        <f>IF(#REF! &lt;= 1, "0-1 Calls", IF(#REF! &lt;= 3, "2-3 Calls", IF(#REF! &lt;=5, "4-5 Calls", "6+ Calls")))</f>
        <v>#REF!</v>
      </c>
      <c r="X2929" t="e">
        <f>IF(#REF! &lt;= 50, "0-50", IF(#REF! &lt;=100, "51-100", IF(#REF! &lt;= 150, "101-150", "151+")))</f>
        <v>#REF!</v>
      </c>
      <c r="Y2929" t="e">
        <f>IF(#REF! &lt;= 3, "Low Charges", "High Charges")</f>
        <v>#REF!</v>
      </c>
      <c r="Z2929" t="e">
        <f>IF(#REF!&lt;=80,"Low Calls",
IF(#REF!&lt;=120,"Medium Calls","High Calls"))</f>
        <v>#REF!</v>
      </c>
      <c r="AA2929" t="e">
        <f>IF(#REF!&lt;=15,"Low Charges",
IF(#REF!&lt;=20,"Medium Charges","High Charges"))</f>
        <v>#REF!</v>
      </c>
      <c r="AB2929" t="e">
        <f>IF(AND(#REF!&gt;180, #REF!&gt;200), "Heavy Doemstic User", IF(#REF!&gt;10, "Interntional User", IF(AND(#REF!&lt;180, #REF!&lt;200,#REF!&lt;200), "Light User", "Balanced User")))</f>
        <v>#REF!</v>
      </c>
      <c r="AC2929" t="e">
        <f>IF(#REF! = 0, "No Usage", IF(#REF! &lt;= 20, "Low Usage", IF(#REF! &lt;= 40, "Medium Usgae", "High Usage")))</f>
        <v>#REF!</v>
      </c>
      <c r="AD2929" t="e">
        <f>IF(#REF!&lt;=150,"Low Usage", IF(#REF!&lt;=200,"Medium Usage", IF(#REF!&lt;=250,"High Usage","Very High Usage")))</f>
        <v>#REF!</v>
      </c>
      <c r="AE2929" t="e">
        <f>IF(#REF!&lt;=5,"Low Calls", IF(#REF!&lt;=10, "Medium Calls", "High Calls"))</f>
        <v>#REF!</v>
      </c>
      <c r="AF2929" t="e">
        <f xml:space="preserve">
IF(#REF!&gt;=4,4,0)+
IF(#REF!="yes",3,0)+
IF(#REF!="High Charges",3,0)+
IF(#REF!&gt;250,4,0)+
IF(#REF!="no",1,0)+
IF(#REF!="Heavy Domestic User",2,0)</f>
        <v>#REF!</v>
      </c>
      <c r="AG2929" t="e">
        <f>IF(#REF!&gt;=10,"High Risk", IF(#REF!&gt;=5,"Medium Risk","Low Risk"))</f>
        <v>#REF!</v>
      </c>
      <c r="AH2929" t="e">
        <f>#REF! + #REF! + #REF! + #REF!</f>
        <v>#REF!</v>
      </c>
    </row>
    <row r="2930" spans="1:34" x14ac:dyDescent="0.35">
      <c r="A2930">
        <v>2929</v>
      </c>
      <c r="B2930" t="s">
        <v>73</v>
      </c>
      <c r="C2930">
        <v>110</v>
      </c>
      <c r="D2930" t="s">
        <v>28</v>
      </c>
      <c r="E2930" t="s">
        <v>22</v>
      </c>
      <c r="F2930" t="s">
        <v>22</v>
      </c>
      <c r="G2930">
        <v>0</v>
      </c>
      <c r="H2930">
        <v>158.6</v>
      </c>
      <c r="I2930">
        <v>97</v>
      </c>
      <c r="J2930">
        <v>26.96</v>
      </c>
      <c r="K2930">
        <v>204.4</v>
      </c>
      <c r="L2930">
        <v>123</v>
      </c>
      <c r="M2930">
        <v>17.37</v>
      </c>
      <c r="N2930">
        <v>182.5</v>
      </c>
      <c r="O2930">
        <v>123</v>
      </c>
      <c r="P2930">
        <v>8.2100000000000009</v>
      </c>
      <c r="Q2930">
        <v>11.3</v>
      </c>
      <c r="R2930">
        <v>3</v>
      </c>
      <c r="S2930">
        <v>3.05</v>
      </c>
      <c r="T2930">
        <v>2</v>
      </c>
      <c r="U2930" t="s">
        <v>22</v>
      </c>
      <c r="V2930" t="e">
        <f>IF(#REF! = "yes", 1, 0)</f>
        <v>#REF!</v>
      </c>
      <c r="W2930" t="e">
        <f>IF(#REF! &lt;= 1, "0-1 Calls", IF(#REF! &lt;= 3, "2-3 Calls", IF(#REF! &lt;=5, "4-5 Calls", "6+ Calls")))</f>
        <v>#REF!</v>
      </c>
      <c r="X2930" t="e">
        <f>IF(#REF! &lt;= 50, "0-50", IF(#REF! &lt;=100, "51-100", IF(#REF! &lt;= 150, "101-150", "151+")))</f>
        <v>#REF!</v>
      </c>
      <c r="Y2930" t="e">
        <f>IF(#REF! &lt;= 3, "Low Charges", "High Charges")</f>
        <v>#REF!</v>
      </c>
      <c r="Z2930" t="e">
        <f>IF(#REF!&lt;=80,"Low Calls",
IF(#REF!&lt;=120,"Medium Calls","High Calls"))</f>
        <v>#REF!</v>
      </c>
      <c r="AA2930" t="e">
        <f>IF(#REF!&lt;=15,"Low Charges",
IF(#REF!&lt;=20,"Medium Charges","High Charges"))</f>
        <v>#REF!</v>
      </c>
      <c r="AB2930" t="e">
        <f>IF(AND(#REF!&gt;180, #REF!&gt;200), "Heavy Doemstic User", IF(#REF!&gt;10, "Interntional User", IF(AND(#REF!&lt;180, #REF!&lt;200,#REF!&lt;200), "Light User", "Balanced User")))</f>
        <v>#REF!</v>
      </c>
      <c r="AC2930" t="e">
        <f>IF(#REF! = 0, "No Usage", IF(#REF! &lt;= 20, "Low Usage", IF(#REF! &lt;= 40, "Medium Usgae", "High Usage")))</f>
        <v>#REF!</v>
      </c>
      <c r="AD2930" t="e">
        <f>IF(#REF!&lt;=150,"Low Usage", IF(#REF!&lt;=200,"Medium Usage", IF(#REF!&lt;=250,"High Usage","Very High Usage")))</f>
        <v>#REF!</v>
      </c>
      <c r="AE2930" t="e">
        <f>IF(#REF!&lt;=5,"Low Calls", IF(#REF!&lt;=10, "Medium Calls", "High Calls"))</f>
        <v>#REF!</v>
      </c>
      <c r="AF2930" t="e">
        <f xml:space="preserve">
IF(#REF!&gt;=4,4,0)+
IF(#REF!="yes",3,0)+
IF(#REF!="High Charges",3,0)+
IF(#REF!&gt;250,4,0)+
IF(#REF!="no",1,0)+
IF(#REF!="Heavy Domestic User",2,0)</f>
        <v>#REF!</v>
      </c>
      <c r="AG2930" t="e">
        <f>IF(#REF!&gt;=10,"High Risk", IF(#REF!&gt;=5,"Medium Risk","Low Risk"))</f>
        <v>#REF!</v>
      </c>
      <c r="AH2930" t="e">
        <f>#REF! + #REF! + #REF! + #REF!</f>
        <v>#REF!</v>
      </c>
    </row>
    <row r="2931" spans="1:34" x14ac:dyDescent="0.35">
      <c r="A2931">
        <v>2930</v>
      </c>
      <c r="B2931" t="s">
        <v>54</v>
      </c>
      <c r="C2931">
        <v>109</v>
      </c>
      <c r="D2931" t="s">
        <v>21</v>
      </c>
      <c r="E2931" t="s">
        <v>23</v>
      </c>
      <c r="F2931" t="s">
        <v>23</v>
      </c>
      <c r="G2931">
        <v>36</v>
      </c>
      <c r="H2931">
        <v>244.2</v>
      </c>
      <c r="I2931">
        <v>147</v>
      </c>
      <c r="J2931">
        <v>41.51</v>
      </c>
      <c r="K2931">
        <v>199.7</v>
      </c>
      <c r="L2931">
        <v>65</v>
      </c>
      <c r="M2931">
        <v>16.97</v>
      </c>
      <c r="N2931">
        <v>144.4</v>
      </c>
      <c r="O2931">
        <v>109</v>
      </c>
      <c r="P2931">
        <v>6.5</v>
      </c>
      <c r="Q2931">
        <v>15.4</v>
      </c>
      <c r="R2931">
        <v>3</v>
      </c>
      <c r="S2931">
        <v>4.16</v>
      </c>
      <c r="T2931">
        <v>2</v>
      </c>
      <c r="U2931" t="s">
        <v>23</v>
      </c>
      <c r="V2931" t="e">
        <f>IF(#REF! = "yes", 1, 0)</f>
        <v>#REF!</v>
      </c>
      <c r="W2931" t="e">
        <f>IF(#REF! &lt;= 1, "0-1 Calls", IF(#REF! &lt;= 3, "2-3 Calls", IF(#REF! &lt;=5, "4-5 Calls", "6+ Calls")))</f>
        <v>#REF!</v>
      </c>
      <c r="X2931" t="e">
        <f>IF(#REF! &lt;= 50, "0-50", IF(#REF! &lt;=100, "51-100", IF(#REF! &lt;= 150, "101-150", "151+")))</f>
        <v>#REF!</v>
      </c>
      <c r="Y2931" t="e">
        <f>IF(#REF! &lt;= 3, "Low Charges", "High Charges")</f>
        <v>#REF!</v>
      </c>
      <c r="Z2931" t="e">
        <f>IF(#REF!&lt;=80,"Low Calls",
IF(#REF!&lt;=120,"Medium Calls","High Calls"))</f>
        <v>#REF!</v>
      </c>
      <c r="AA2931" t="e">
        <f>IF(#REF!&lt;=15,"Low Charges",
IF(#REF!&lt;=20,"Medium Charges","High Charges"))</f>
        <v>#REF!</v>
      </c>
      <c r="AB2931" t="e">
        <f>IF(AND(#REF!&gt;180, #REF!&gt;200), "Heavy Doemstic User", IF(#REF!&gt;10, "Interntional User", IF(AND(#REF!&lt;180, #REF!&lt;200,#REF!&lt;200), "Light User", "Balanced User")))</f>
        <v>#REF!</v>
      </c>
      <c r="AC2931" t="e">
        <f>IF(#REF! = 0, "No Usage", IF(#REF! &lt;= 20, "Low Usage", IF(#REF! &lt;= 40, "Medium Usgae", "High Usage")))</f>
        <v>#REF!</v>
      </c>
      <c r="AD2931" t="e">
        <f>IF(#REF!&lt;=150,"Low Usage", IF(#REF!&lt;=200,"Medium Usage", IF(#REF!&lt;=250,"High Usage","Very High Usage")))</f>
        <v>#REF!</v>
      </c>
      <c r="AE2931" t="e">
        <f>IF(#REF!&lt;=5,"Low Calls", IF(#REF!&lt;=10, "Medium Calls", "High Calls"))</f>
        <v>#REF!</v>
      </c>
      <c r="AF2931" t="e">
        <f xml:space="preserve">
IF(#REF!&gt;=4,4,0)+
IF(#REF!="yes",3,0)+
IF(#REF!="High Charges",3,0)+
IF(#REF!&gt;250,4,0)+
IF(#REF!="no",1,0)+
IF(#REF!="Heavy Domestic User",2,0)</f>
        <v>#REF!</v>
      </c>
      <c r="AG2931" t="e">
        <f>IF(#REF!&gt;=10,"High Risk", IF(#REF!&gt;=5,"Medium Risk","Low Risk"))</f>
        <v>#REF!</v>
      </c>
      <c r="AH2931" t="e">
        <f>#REF! + #REF! + #REF! + #REF!</f>
        <v>#REF!</v>
      </c>
    </row>
    <row r="2932" spans="1:34" x14ac:dyDescent="0.35">
      <c r="A2932">
        <v>2931</v>
      </c>
      <c r="B2932" t="s">
        <v>36</v>
      </c>
      <c r="C2932">
        <v>90</v>
      </c>
      <c r="D2932" t="s">
        <v>21</v>
      </c>
      <c r="E2932" t="s">
        <v>22</v>
      </c>
      <c r="F2932" t="s">
        <v>22</v>
      </c>
      <c r="G2932">
        <v>0</v>
      </c>
      <c r="H2932">
        <v>180</v>
      </c>
      <c r="I2932">
        <v>58</v>
      </c>
      <c r="J2932">
        <v>30.6</v>
      </c>
      <c r="K2932">
        <v>229.4</v>
      </c>
      <c r="L2932">
        <v>88</v>
      </c>
      <c r="M2932">
        <v>19.5</v>
      </c>
      <c r="N2932">
        <v>162.19999999999999</v>
      </c>
      <c r="O2932">
        <v>110</v>
      </c>
      <c r="P2932">
        <v>7.3</v>
      </c>
      <c r="Q2932">
        <v>13.2</v>
      </c>
      <c r="R2932">
        <v>9</v>
      </c>
      <c r="S2932">
        <v>3.56</v>
      </c>
      <c r="T2932">
        <v>1</v>
      </c>
      <c r="U2932" t="s">
        <v>22</v>
      </c>
      <c r="V2932" t="e">
        <f>IF(#REF! = "yes", 1, 0)</f>
        <v>#REF!</v>
      </c>
      <c r="W2932" t="e">
        <f>IF(#REF! &lt;= 1, "0-1 Calls", IF(#REF! &lt;= 3, "2-3 Calls", IF(#REF! &lt;=5, "4-5 Calls", "6+ Calls")))</f>
        <v>#REF!</v>
      </c>
      <c r="X2932" t="e">
        <f>IF(#REF! &lt;= 50, "0-50", IF(#REF! &lt;=100, "51-100", IF(#REF! &lt;= 150, "101-150", "151+")))</f>
        <v>#REF!</v>
      </c>
      <c r="Y2932" t="e">
        <f>IF(#REF! &lt;= 3, "Low Charges", "High Charges")</f>
        <v>#REF!</v>
      </c>
      <c r="Z2932" t="e">
        <f>IF(#REF!&lt;=80,"Low Calls",
IF(#REF!&lt;=120,"Medium Calls","High Calls"))</f>
        <v>#REF!</v>
      </c>
      <c r="AA2932" t="e">
        <f>IF(#REF!&lt;=15,"Low Charges",
IF(#REF!&lt;=20,"Medium Charges","High Charges"))</f>
        <v>#REF!</v>
      </c>
      <c r="AB2932" t="e">
        <f>IF(AND(#REF!&gt;180, #REF!&gt;200), "Heavy Doemstic User", IF(#REF!&gt;10, "Interntional User", IF(AND(#REF!&lt;180, #REF!&lt;200,#REF!&lt;200), "Light User", "Balanced User")))</f>
        <v>#REF!</v>
      </c>
      <c r="AC2932" t="e">
        <f>IF(#REF! = 0, "No Usage", IF(#REF! &lt;= 20, "Low Usage", IF(#REF! &lt;= 40, "Medium Usgae", "High Usage")))</f>
        <v>#REF!</v>
      </c>
      <c r="AD2932" t="e">
        <f>IF(#REF!&lt;=150,"Low Usage", IF(#REF!&lt;=200,"Medium Usage", IF(#REF!&lt;=250,"High Usage","Very High Usage")))</f>
        <v>#REF!</v>
      </c>
      <c r="AE2932" t="e">
        <f>IF(#REF!&lt;=5,"Low Calls", IF(#REF!&lt;=10, "Medium Calls", "High Calls"))</f>
        <v>#REF!</v>
      </c>
      <c r="AF2932" t="e">
        <f xml:space="preserve">
IF(#REF!&gt;=4,4,0)+
IF(#REF!="yes",3,0)+
IF(#REF!="High Charges",3,0)+
IF(#REF!&gt;250,4,0)+
IF(#REF!="no",1,0)+
IF(#REF!="Heavy Domestic User",2,0)</f>
        <v>#REF!</v>
      </c>
      <c r="AG2932" t="e">
        <f>IF(#REF!&gt;=10,"High Risk", IF(#REF!&gt;=5,"Medium Risk","Low Risk"))</f>
        <v>#REF!</v>
      </c>
      <c r="AH2932" t="e">
        <f>#REF! + #REF! + #REF! + #REF!</f>
        <v>#REF!</v>
      </c>
    </row>
    <row r="2933" spans="1:34" x14ac:dyDescent="0.35">
      <c r="A2933">
        <v>2932</v>
      </c>
      <c r="B2933" t="s">
        <v>69</v>
      </c>
      <c r="C2933">
        <v>115</v>
      </c>
      <c r="D2933" t="s">
        <v>21</v>
      </c>
      <c r="E2933" t="s">
        <v>22</v>
      </c>
      <c r="F2933" t="s">
        <v>22</v>
      </c>
      <c r="G2933">
        <v>0</v>
      </c>
      <c r="H2933">
        <v>135.4</v>
      </c>
      <c r="I2933">
        <v>104</v>
      </c>
      <c r="J2933">
        <v>23.02</v>
      </c>
      <c r="K2933">
        <v>138.80000000000001</v>
      </c>
      <c r="L2933">
        <v>91</v>
      </c>
      <c r="M2933">
        <v>11.8</v>
      </c>
      <c r="N2933">
        <v>208.5</v>
      </c>
      <c r="O2933">
        <v>92</v>
      </c>
      <c r="P2933">
        <v>9.3800000000000008</v>
      </c>
      <c r="Q2933">
        <v>5.4</v>
      </c>
      <c r="R2933">
        <v>3</v>
      </c>
      <c r="S2933">
        <v>1.46</v>
      </c>
      <c r="T2933">
        <v>1</v>
      </c>
      <c r="U2933" t="s">
        <v>22</v>
      </c>
      <c r="V2933" t="e">
        <f>IF(#REF! = "yes", 1, 0)</f>
        <v>#REF!</v>
      </c>
      <c r="W2933" t="e">
        <f>IF(#REF! &lt;= 1, "0-1 Calls", IF(#REF! &lt;= 3, "2-3 Calls", IF(#REF! &lt;=5, "4-5 Calls", "6+ Calls")))</f>
        <v>#REF!</v>
      </c>
      <c r="X2933" t="e">
        <f>IF(#REF! &lt;= 50, "0-50", IF(#REF! &lt;=100, "51-100", IF(#REF! &lt;= 150, "101-150", "151+")))</f>
        <v>#REF!</v>
      </c>
      <c r="Y2933" t="e">
        <f>IF(#REF! &lt;= 3, "Low Charges", "High Charges")</f>
        <v>#REF!</v>
      </c>
      <c r="Z2933" t="e">
        <f>IF(#REF!&lt;=80,"Low Calls",
IF(#REF!&lt;=120,"Medium Calls","High Calls"))</f>
        <v>#REF!</v>
      </c>
      <c r="AA2933" t="e">
        <f>IF(#REF!&lt;=15,"Low Charges",
IF(#REF!&lt;=20,"Medium Charges","High Charges"))</f>
        <v>#REF!</v>
      </c>
      <c r="AB2933" t="e">
        <f>IF(AND(#REF!&gt;180, #REF!&gt;200), "Heavy Doemstic User", IF(#REF!&gt;10, "Interntional User", IF(AND(#REF!&lt;180, #REF!&lt;200,#REF!&lt;200), "Light User", "Balanced User")))</f>
        <v>#REF!</v>
      </c>
      <c r="AC2933" t="e">
        <f>IF(#REF! = 0, "No Usage", IF(#REF! &lt;= 20, "Low Usage", IF(#REF! &lt;= 40, "Medium Usgae", "High Usage")))</f>
        <v>#REF!</v>
      </c>
      <c r="AD2933" t="e">
        <f>IF(#REF!&lt;=150,"Low Usage", IF(#REF!&lt;=200,"Medium Usage", IF(#REF!&lt;=250,"High Usage","Very High Usage")))</f>
        <v>#REF!</v>
      </c>
      <c r="AE2933" t="e">
        <f>IF(#REF!&lt;=5,"Low Calls", IF(#REF!&lt;=10, "Medium Calls", "High Calls"))</f>
        <v>#REF!</v>
      </c>
      <c r="AF2933" t="e">
        <f xml:space="preserve">
IF(#REF!&gt;=4,4,0)+
IF(#REF!="yes",3,0)+
IF(#REF!="High Charges",3,0)+
IF(#REF!&gt;250,4,0)+
IF(#REF!="no",1,0)+
IF(#REF!="Heavy Domestic User",2,0)</f>
        <v>#REF!</v>
      </c>
      <c r="AG2933" t="e">
        <f>IF(#REF!&gt;=10,"High Risk", IF(#REF!&gt;=5,"Medium Risk","Low Risk"))</f>
        <v>#REF!</v>
      </c>
      <c r="AH2933" t="e">
        <f>#REF! + #REF! + #REF! + #REF!</f>
        <v>#REF!</v>
      </c>
    </row>
    <row r="2934" spans="1:34" x14ac:dyDescent="0.35">
      <c r="A2934">
        <v>2933</v>
      </c>
      <c r="B2934" t="s">
        <v>66</v>
      </c>
      <c r="C2934">
        <v>73</v>
      </c>
      <c r="D2934" t="s">
        <v>25</v>
      </c>
      <c r="E2934" t="s">
        <v>22</v>
      </c>
      <c r="F2934" t="s">
        <v>22</v>
      </c>
      <c r="G2934">
        <v>0</v>
      </c>
      <c r="H2934">
        <v>272.39999999999998</v>
      </c>
      <c r="I2934">
        <v>112</v>
      </c>
      <c r="J2934">
        <v>46.31</v>
      </c>
      <c r="K2934">
        <v>252.2</v>
      </c>
      <c r="L2934">
        <v>91</v>
      </c>
      <c r="M2934">
        <v>21.44</v>
      </c>
      <c r="N2934">
        <v>255.4</v>
      </c>
      <c r="O2934">
        <v>112</v>
      </c>
      <c r="P2934">
        <v>11.49</v>
      </c>
      <c r="Q2934">
        <v>10.9</v>
      </c>
      <c r="R2934">
        <v>5</v>
      </c>
      <c r="S2934">
        <v>2.94</v>
      </c>
      <c r="T2934">
        <v>1</v>
      </c>
      <c r="U2934" t="s">
        <v>23</v>
      </c>
      <c r="V2934" t="e">
        <f>IF(#REF! = "yes", 1, 0)</f>
        <v>#REF!</v>
      </c>
      <c r="W2934" t="e">
        <f>IF(#REF! &lt;= 1, "0-1 Calls", IF(#REF! &lt;= 3, "2-3 Calls", IF(#REF! &lt;=5, "4-5 Calls", "6+ Calls")))</f>
        <v>#REF!</v>
      </c>
      <c r="X2934" t="e">
        <f>IF(#REF! &lt;= 50, "0-50", IF(#REF! &lt;=100, "51-100", IF(#REF! &lt;= 150, "101-150", "151+")))</f>
        <v>#REF!</v>
      </c>
      <c r="Y2934" t="e">
        <f>IF(#REF! &lt;= 3, "Low Charges", "High Charges")</f>
        <v>#REF!</v>
      </c>
      <c r="Z2934" t="e">
        <f>IF(#REF!&lt;=80,"Low Calls",
IF(#REF!&lt;=120,"Medium Calls","High Calls"))</f>
        <v>#REF!</v>
      </c>
      <c r="AA2934" t="e">
        <f>IF(#REF!&lt;=15,"Low Charges",
IF(#REF!&lt;=20,"Medium Charges","High Charges"))</f>
        <v>#REF!</v>
      </c>
      <c r="AB2934" t="e">
        <f>IF(AND(#REF!&gt;180, #REF!&gt;200), "Heavy Doemstic User", IF(#REF!&gt;10, "Interntional User", IF(AND(#REF!&lt;180, #REF!&lt;200,#REF!&lt;200), "Light User", "Balanced User")))</f>
        <v>#REF!</v>
      </c>
      <c r="AC2934" t="e">
        <f>IF(#REF! = 0, "No Usage", IF(#REF! &lt;= 20, "Low Usage", IF(#REF! &lt;= 40, "Medium Usgae", "High Usage")))</f>
        <v>#REF!</v>
      </c>
      <c r="AD2934" t="e">
        <f>IF(#REF!&lt;=150,"Low Usage", IF(#REF!&lt;=200,"Medium Usage", IF(#REF!&lt;=250,"High Usage","Very High Usage")))</f>
        <v>#REF!</v>
      </c>
      <c r="AE2934" t="e">
        <f>IF(#REF!&lt;=5,"Low Calls", IF(#REF!&lt;=10, "Medium Calls", "High Calls"))</f>
        <v>#REF!</v>
      </c>
      <c r="AF2934" t="e">
        <f xml:space="preserve">
IF(#REF!&gt;=4,4,0)+
IF(#REF!="yes",3,0)+
IF(#REF!="High Charges",3,0)+
IF(#REF!&gt;250,4,0)+
IF(#REF!="no",1,0)+
IF(#REF!="Heavy Domestic User",2,0)</f>
        <v>#REF!</v>
      </c>
      <c r="AG2934" t="e">
        <f>IF(#REF!&gt;=10,"High Risk", IF(#REF!&gt;=5,"Medium Risk","Low Risk"))</f>
        <v>#REF!</v>
      </c>
      <c r="AH2934" t="e">
        <f>#REF! + #REF! + #REF! + #REF!</f>
        <v>#REF!</v>
      </c>
    </row>
    <row r="2935" spans="1:34" x14ac:dyDescent="0.35">
      <c r="A2935">
        <v>2934</v>
      </c>
      <c r="B2935" t="s">
        <v>24</v>
      </c>
      <c r="C2935">
        <v>127</v>
      </c>
      <c r="D2935" t="s">
        <v>28</v>
      </c>
      <c r="E2935" t="s">
        <v>22</v>
      </c>
      <c r="F2935" t="s">
        <v>22</v>
      </c>
      <c r="G2935">
        <v>0</v>
      </c>
      <c r="H2935">
        <v>262.89999999999998</v>
      </c>
      <c r="I2935">
        <v>95</v>
      </c>
      <c r="J2935">
        <v>44.69</v>
      </c>
      <c r="K2935">
        <v>175.9</v>
      </c>
      <c r="L2935">
        <v>126</v>
      </c>
      <c r="M2935">
        <v>14.95</v>
      </c>
      <c r="N2935">
        <v>202.1</v>
      </c>
      <c r="O2935">
        <v>101</v>
      </c>
      <c r="P2935">
        <v>9.09</v>
      </c>
      <c r="Q2935">
        <v>7.5</v>
      </c>
      <c r="R2935">
        <v>5</v>
      </c>
      <c r="S2935">
        <v>2.0299999999999998</v>
      </c>
      <c r="T2935">
        <v>1</v>
      </c>
      <c r="U2935" t="s">
        <v>22</v>
      </c>
      <c r="V2935" t="e">
        <f>IF(#REF! = "yes", 1, 0)</f>
        <v>#REF!</v>
      </c>
      <c r="W2935" t="e">
        <f>IF(#REF! &lt;= 1, "0-1 Calls", IF(#REF! &lt;= 3, "2-3 Calls", IF(#REF! &lt;=5, "4-5 Calls", "6+ Calls")))</f>
        <v>#REF!</v>
      </c>
      <c r="X2935" t="e">
        <f>IF(#REF! &lt;= 50, "0-50", IF(#REF! &lt;=100, "51-100", IF(#REF! &lt;= 150, "101-150", "151+")))</f>
        <v>#REF!</v>
      </c>
      <c r="Y2935" t="e">
        <f>IF(#REF! &lt;= 3, "Low Charges", "High Charges")</f>
        <v>#REF!</v>
      </c>
      <c r="Z2935" t="e">
        <f>IF(#REF!&lt;=80,"Low Calls",
IF(#REF!&lt;=120,"Medium Calls","High Calls"))</f>
        <v>#REF!</v>
      </c>
      <c r="AA2935" t="e">
        <f>IF(#REF!&lt;=15,"Low Charges",
IF(#REF!&lt;=20,"Medium Charges","High Charges"))</f>
        <v>#REF!</v>
      </c>
      <c r="AB2935" t="e">
        <f>IF(AND(#REF!&gt;180, #REF!&gt;200), "Heavy Doemstic User", IF(#REF!&gt;10, "Interntional User", IF(AND(#REF!&lt;180, #REF!&lt;200,#REF!&lt;200), "Light User", "Balanced User")))</f>
        <v>#REF!</v>
      </c>
      <c r="AC2935" t="e">
        <f>IF(#REF! = 0, "No Usage", IF(#REF! &lt;= 20, "Low Usage", IF(#REF! &lt;= 40, "Medium Usgae", "High Usage")))</f>
        <v>#REF!</v>
      </c>
      <c r="AD2935" t="e">
        <f>IF(#REF!&lt;=150,"Low Usage", IF(#REF!&lt;=200,"Medium Usage", IF(#REF!&lt;=250,"High Usage","Very High Usage")))</f>
        <v>#REF!</v>
      </c>
      <c r="AE2935" t="e">
        <f>IF(#REF!&lt;=5,"Low Calls", IF(#REF!&lt;=10, "Medium Calls", "High Calls"))</f>
        <v>#REF!</v>
      </c>
      <c r="AF2935" t="e">
        <f xml:space="preserve">
IF(#REF!&gt;=4,4,0)+
IF(#REF!="yes",3,0)+
IF(#REF!="High Charges",3,0)+
IF(#REF!&gt;250,4,0)+
IF(#REF!="no",1,0)+
IF(#REF!="Heavy Domestic User",2,0)</f>
        <v>#REF!</v>
      </c>
      <c r="AG2935" t="e">
        <f>IF(#REF!&gt;=10,"High Risk", IF(#REF!&gt;=5,"Medium Risk","Low Risk"))</f>
        <v>#REF!</v>
      </c>
      <c r="AH2935" t="e">
        <f>#REF! + #REF! + #REF! + #REF!</f>
        <v>#REF!</v>
      </c>
    </row>
    <row r="2936" spans="1:34" x14ac:dyDescent="0.35">
      <c r="A2936">
        <v>2935</v>
      </c>
      <c r="B2936" t="s">
        <v>54</v>
      </c>
      <c r="C2936">
        <v>79</v>
      </c>
      <c r="D2936" t="s">
        <v>21</v>
      </c>
      <c r="E2936" t="s">
        <v>22</v>
      </c>
      <c r="F2936" t="s">
        <v>22</v>
      </c>
      <c r="G2936">
        <v>0</v>
      </c>
      <c r="H2936">
        <v>66.7</v>
      </c>
      <c r="I2936">
        <v>124</v>
      </c>
      <c r="J2936">
        <v>11.34</v>
      </c>
      <c r="K2936">
        <v>204</v>
      </c>
      <c r="L2936">
        <v>91</v>
      </c>
      <c r="M2936">
        <v>17.34</v>
      </c>
      <c r="N2936">
        <v>254.7</v>
      </c>
      <c r="O2936">
        <v>110</v>
      </c>
      <c r="P2936">
        <v>11.46</v>
      </c>
      <c r="Q2936">
        <v>15.1</v>
      </c>
      <c r="R2936">
        <v>2</v>
      </c>
      <c r="S2936">
        <v>4.08</v>
      </c>
      <c r="T2936">
        <v>1</v>
      </c>
      <c r="U2936" t="s">
        <v>22</v>
      </c>
      <c r="V2936" t="e">
        <f>IF(#REF! = "yes", 1, 0)</f>
        <v>#REF!</v>
      </c>
      <c r="W2936" t="e">
        <f>IF(#REF! &lt;= 1, "0-1 Calls", IF(#REF! &lt;= 3, "2-3 Calls", IF(#REF! &lt;=5, "4-5 Calls", "6+ Calls")))</f>
        <v>#REF!</v>
      </c>
      <c r="X2936" t="e">
        <f>IF(#REF! &lt;= 50, "0-50", IF(#REF! &lt;=100, "51-100", IF(#REF! &lt;= 150, "101-150", "151+")))</f>
        <v>#REF!</v>
      </c>
      <c r="Y2936" t="e">
        <f>IF(#REF! &lt;= 3, "Low Charges", "High Charges")</f>
        <v>#REF!</v>
      </c>
      <c r="Z2936" t="e">
        <f>IF(#REF!&lt;=80,"Low Calls",
IF(#REF!&lt;=120,"Medium Calls","High Calls"))</f>
        <v>#REF!</v>
      </c>
      <c r="AA2936" t="e">
        <f>IF(#REF!&lt;=15,"Low Charges",
IF(#REF!&lt;=20,"Medium Charges","High Charges"))</f>
        <v>#REF!</v>
      </c>
      <c r="AB2936" t="e">
        <f>IF(AND(#REF!&gt;180, #REF!&gt;200), "Heavy Doemstic User", IF(#REF!&gt;10, "Interntional User", IF(AND(#REF!&lt;180, #REF!&lt;200,#REF!&lt;200), "Light User", "Balanced User")))</f>
        <v>#REF!</v>
      </c>
      <c r="AC2936" t="e">
        <f>IF(#REF! = 0, "No Usage", IF(#REF! &lt;= 20, "Low Usage", IF(#REF! &lt;= 40, "Medium Usgae", "High Usage")))</f>
        <v>#REF!</v>
      </c>
      <c r="AD2936" t="e">
        <f>IF(#REF!&lt;=150,"Low Usage", IF(#REF!&lt;=200,"Medium Usage", IF(#REF!&lt;=250,"High Usage","Very High Usage")))</f>
        <v>#REF!</v>
      </c>
      <c r="AE2936" t="e">
        <f>IF(#REF!&lt;=5,"Low Calls", IF(#REF!&lt;=10, "Medium Calls", "High Calls"))</f>
        <v>#REF!</v>
      </c>
      <c r="AF2936" t="e">
        <f xml:space="preserve">
IF(#REF!&gt;=4,4,0)+
IF(#REF!="yes",3,0)+
IF(#REF!="High Charges",3,0)+
IF(#REF!&gt;250,4,0)+
IF(#REF!="no",1,0)+
IF(#REF!="Heavy Domestic User",2,0)</f>
        <v>#REF!</v>
      </c>
      <c r="AG2936" t="e">
        <f>IF(#REF!&gt;=10,"High Risk", IF(#REF!&gt;=5,"Medium Risk","Low Risk"))</f>
        <v>#REF!</v>
      </c>
      <c r="AH2936" t="e">
        <f>#REF! + #REF! + #REF! + #REF!</f>
        <v>#REF!</v>
      </c>
    </row>
    <row r="2937" spans="1:34" x14ac:dyDescent="0.35">
      <c r="A2937">
        <v>2936</v>
      </c>
      <c r="B2937" t="s">
        <v>74</v>
      </c>
      <c r="C2937">
        <v>133</v>
      </c>
      <c r="D2937" t="s">
        <v>25</v>
      </c>
      <c r="E2937" t="s">
        <v>22</v>
      </c>
      <c r="F2937" t="s">
        <v>22</v>
      </c>
      <c r="G2937">
        <v>0</v>
      </c>
      <c r="H2937">
        <v>240.8</v>
      </c>
      <c r="I2937">
        <v>72</v>
      </c>
      <c r="J2937">
        <v>40.94</v>
      </c>
      <c r="K2937">
        <v>202.7</v>
      </c>
      <c r="L2937">
        <v>62</v>
      </c>
      <c r="M2937">
        <v>17.23</v>
      </c>
      <c r="N2937">
        <v>212.9</v>
      </c>
      <c r="O2937">
        <v>76</v>
      </c>
      <c r="P2937">
        <v>9.58</v>
      </c>
      <c r="Q2937">
        <v>7.7</v>
      </c>
      <c r="R2937">
        <v>5</v>
      </c>
      <c r="S2937">
        <v>2.08</v>
      </c>
      <c r="T2937">
        <v>1</v>
      </c>
      <c r="U2937" t="s">
        <v>22</v>
      </c>
      <c r="V2937" t="e">
        <f>IF(#REF! = "yes", 1, 0)</f>
        <v>#REF!</v>
      </c>
      <c r="W2937" t="e">
        <f>IF(#REF! &lt;= 1, "0-1 Calls", IF(#REF! &lt;= 3, "2-3 Calls", IF(#REF! &lt;=5, "4-5 Calls", "6+ Calls")))</f>
        <v>#REF!</v>
      </c>
      <c r="X2937" t="e">
        <f>IF(#REF! &lt;= 50, "0-50", IF(#REF! &lt;=100, "51-100", IF(#REF! &lt;= 150, "101-150", "151+")))</f>
        <v>#REF!</v>
      </c>
      <c r="Y2937" t="e">
        <f>IF(#REF! &lt;= 3, "Low Charges", "High Charges")</f>
        <v>#REF!</v>
      </c>
      <c r="Z2937" t="e">
        <f>IF(#REF!&lt;=80,"Low Calls",
IF(#REF!&lt;=120,"Medium Calls","High Calls"))</f>
        <v>#REF!</v>
      </c>
      <c r="AA2937" t="e">
        <f>IF(#REF!&lt;=15,"Low Charges",
IF(#REF!&lt;=20,"Medium Charges","High Charges"))</f>
        <v>#REF!</v>
      </c>
      <c r="AB2937" t="e">
        <f>IF(AND(#REF!&gt;180, #REF!&gt;200), "Heavy Doemstic User", IF(#REF!&gt;10, "Interntional User", IF(AND(#REF!&lt;180, #REF!&lt;200,#REF!&lt;200), "Light User", "Balanced User")))</f>
        <v>#REF!</v>
      </c>
      <c r="AC2937" t="e">
        <f>IF(#REF! = 0, "No Usage", IF(#REF! &lt;= 20, "Low Usage", IF(#REF! &lt;= 40, "Medium Usgae", "High Usage")))</f>
        <v>#REF!</v>
      </c>
      <c r="AD2937" t="e">
        <f>IF(#REF!&lt;=150,"Low Usage", IF(#REF!&lt;=200,"Medium Usage", IF(#REF!&lt;=250,"High Usage","Very High Usage")))</f>
        <v>#REF!</v>
      </c>
      <c r="AE2937" t="e">
        <f>IF(#REF!&lt;=5,"Low Calls", IF(#REF!&lt;=10, "Medium Calls", "High Calls"))</f>
        <v>#REF!</v>
      </c>
      <c r="AF2937" t="e">
        <f xml:space="preserve">
IF(#REF!&gt;=4,4,0)+
IF(#REF!="yes",3,0)+
IF(#REF!="High Charges",3,0)+
IF(#REF!&gt;250,4,0)+
IF(#REF!="no",1,0)+
IF(#REF!="Heavy Domestic User",2,0)</f>
        <v>#REF!</v>
      </c>
      <c r="AG2937" t="e">
        <f>IF(#REF!&gt;=10,"High Risk", IF(#REF!&gt;=5,"Medium Risk","Low Risk"))</f>
        <v>#REF!</v>
      </c>
      <c r="AH2937" t="e">
        <f>#REF! + #REF! + #REF! + #REF!</f>
        <v>#REF!</v>
      </c>
    </row>
    <row r="2938" spans="1:34" x14ac:dyDescent="0.35">
      <c r="A2938">
        <v>2937</v>
      </c>
      <c r="B2938" t="s">
        <v>65</v>
      </c>
      <c r="C2938">
        <v>47</v>
      </c>
      <c r="D2938" t="s">
        <v>21</v>
      </c>
      <c r="E2938" t="s">
        <v>22</v>
      </c>
      <c r="F2938" t="s">
        <v>23</v>
      </c>
      <c r="G2938">
        <v>40</v>
      </c>
      <c r="H2938">
        <v>158.30000000000001</v>
      </c>
      <c r="I2938">
        <v>90</v>
      </c>
      <c r="J2938">
        <v>26.91</v>
      </c>
      <c r="K2938">
        <v>213.2</v>
      </c>
      <c r="L2938">
        <v>71</v>
      </c>
      <c r="M2938">
        <v>18.12</v>
      </c>
      <c r="N2938">
        <v>123</v>
      </c>
      <c r="O2938">
        <v>132</v>
      </c>
      <c r="P2938">
        <v>5.54</v>
      </c>
      <c r="Q2938">
        <v>14</v>
      </c>
      <c r="R2938">
        <v>2</v>
      </c>
      <c r="S2938">
        <v>3.78</v>
      </c>
      <c r="T2938">
        <v>2</v>
      </c>
      <c r="U2938" t="s">
        <v>22</v>
      </c>
      <c r="V2938" t="e">
        <f>IF(#REF! = "yes", 1, 0)</f>
        <v>#REF!</v>
      </c>
      <c r="W2938" t="e">
        <f>IF(#REF! &lt;= 1, "0-1 Calls", IF(#REF! &lt;= 3, "2-3 Calls", IF(#REF! &lt;=5, "4-5 Calls", "6+ Calls")))</f>
        <v>#REF!</v>
      </c>
      <c r="X2938" t="e">
        <f>IF(#REF! &lt;= 50, "0-50", IF(#REF! &lt;=100, "51-100", IF(#REF! &lt;= 150, "101-150", "151+")))</f>
        <v>#REF!</v>
      </c>
      <c r="Y2938" t="e">
        <f>IF(#REF! &lt;= 3, "Low Charges", "High Charges")</f>
        <v>#REF!</v>
      </c>
      <c r="Z2938" t="e">
        <f>IF(#REF!&lt;=80,"Low Calls",
IF(#REF!&lt;=120,"Medium Calls","High Calls"))</f>
        <v>#REF!</v>
      </c>
      <c r="AA2938" t="e">
        <f>IF(#REF!&lt;=15,"Low Charges",
IF(#REF!&lt;=20,"Medium Charges","High Charges"))</f>
        <v>#REF!</v>
      </c>
      <c r="AB2938" t="e">
        <f>IF(AND(#REF!&gt;180, #REF!&gt;200), "Heavy Doemstic User", IF(#REF!&gt;10, "Interntional User", IF(AND(#REF!&lt;180, #REF!&lt;200,#REF!&lt;200), "Light User", "Balanced User")))</f>
        <v>#REF!</v>
      </c>
      <c r="AC2938" t="e">
        <f>IF(#REF! = 0, "No Usage", IF(#REF! &lt;= 20, "Low Usage", IF(#REF! &lt;= 40, "Medium Usgae", "High Usage")))</f>
        <v>#REF!</v>
      </c>
      <c r="AD2938" t="e">
        <f>IF(#REF!&lt;=150,"Low Usage", IF(#REF!&lt;=200,"Medium Usage", IF(#REF!&lt;=250,"High Usage","Very High Usage")))</f>
        <v>#REF!</v>
      </c>
      <c r="AE2938" t="e">
        <f>IF(#REF!&lt;=5,"Low Calls", IF(#REF!&lt;=10, "Medium Calls", "High Calls"))</f>
        <v>#REF!</v>
      </c>
      <c r="AF2938" t="e">
        <f xml:space="preserve">
IF(#REF!&gt;=4,4,0)+
IF(#REF!="yes",3,0)+
IF(#REF!="High Charges",3,0)+
IF(#REF!&gt;250,4,0)+
IF(#REF!="no",1,0)+
IF(#REF!="Heavy Domestic User",2,0)</f>
        <v>#REF!</v>
      </c>
      <c r="AG2938" t="e">
        <f>IF(#REF!&gt;=10,"High Risk", IF(#REF!&gt;=5,"Medium Risk","Low Risk"))</f>
        <v>#REF!</v>
      </c>
      <c r="AH2938" t="e">
        <f>#REF! + #REF! + #REF! + #REF!</f>
        <v>#REF!</v>
      </c>
    </row>
    <row r="2939" spans="1:34" x14ac:dyDescent="0.35">
      <c r="A2939">
        <v>2938</v>
      </c>
      <c r="B2939" t="s">
        <v>41</v>
      </c>
      <c r="C2939">
        <v>53</v>
      </c>
      <c r="D2939" t="s">
        <v>28</v>
      </c>
      <c r="E2939" t="s">
        <v>22</v>
      </c>
      <c r="F2939" t="s">
        <v>23</v>
      </c>
      <c r="G2939">
        <v>24</v>
      </c>
      <c r="H2939">
        <v>201.7</v>
      </c>
      <c r="I2939">
        <v>87</v>
      </c>
      <c r="J2939">
        <v>34.29</v>
      </c>
      <c r="K2939">
        <v>251.7</v>
      </c>
      <c r="L2939">
        <v>97</v>
      </c>
      <c r="M2939">
        <v>21.39</v>
      </c>
      <c r="N2939">
        <v>297.39999999999998</v>
      </c>
      <c r="O2939">
        <v>95</v>
      </c>
      <c r="P2939">
        <v>13.38</v>
      </c>
      <c r="Q2939">
        <v>7.9</v>
      </c>
      <c r="R2939">
        <v>5</v>
      </c>
      <c r="S2939">
        <v>2.13</v>
      </c>
      <c r="T2939">
        <v>0</v>
      </c>
      <c r="U2939" t="s">
        <v>22</v>
      </c>
      <c r="V2939" t="e">
        <f>IF(#REF! = "yes", 1, 0)</f>
        <v>#REF!</v>
      </c>
      <c r="W2939" t="e">
        <f>IF(#REF! &lt;= 1, "0-1 Calls", IF(#REF! &lt;= 3, "2-3 Calls", IF(#REF! &lt;=5, "4-5 Calls", "6+ Calls")))</f>
        <v>#REF!</v>
      </c>
      <c r="X2939" t="e">
        <f>IF(#REF! &lt;= 50, "0-50", IF(#REF! &lt;=100, "51-100", IF(#REF! &lt;= 150, "101-150", "151+")))</f>
        <v>#REF!</v>
      </c>
      <c r="Y2939" t="e">
        <f>IF(#REF! &lt;= 3, "Low Charges", "High Charges")</f>
        <v>#REF!</v>
      </c>
      <c r="Z2939" t="e">
        <f>IF(#REF!&lt;=80,"Low Calls",
IF(#REF!&lt;=120,"Medium Calls","High Calls"))</f>
        <v>#REF!</v>
      </c>
      <c r="AA2939" t="e">
        <f>IF(#REF!&lt;=15,"Low Charges",
IF(#REF!&lt;=20,"Medium Charges","High Charges"))</f>
        <v>#REF!</v>
      </c>
      <c r="AB2939" t="e">
        <f>IF(AND(#REF!&gt;180, #REF!&gt;200), "Heavy Doemstic User", IF(#REF!&gt;10, "Interntional User", IF(AND(#REF!&lt;180, #REF!&lt;200,#REF!&lt;200), "Light User", "Balanced User")))</f>
        <v>#REF!</v>
      </c>
      <c r="AC2939" t="e">
        <f>IF(#REF! = 0, "No Usage", IF(#REF! &lt;= 20, "Low Usage", IF(#REF! &lt;= 40, "Medium Usgae", "High Usage")))</f>
        <v>#REF!</v>
      </c>
      <c r="AD2939" t="e">
        <f>IF(#REF!&lt;=150,"Low Usage", IF(#REF!&lt;=200,"Medium Usage", IF(#REF!&lt;=250,"High Usage","Very High Usage")))</f>
        <v>#REF!</v>
      </c>
      <c r="AE2939" t="e">
        <f>IF(#REF!&lt;=5,"Low Calls", IF(#REF!&lt;=10, "Medium Calls", "High Calls"))</f>
        <v>#REF!</v>
      </c>
      <c r="AF2939" t="e">
        <f xml:space="preserve">
IF(#REF!&gt;=4,4,0)+
IF(#REF!="yes",3,0)+
IF(#REF!="High Charges",3,0)+
IF(#REF!&gt;250,4,0)+
IF(#REF!="no",1,0)+
IF(#REF!="Heavy Domestic User",2,0)</f>
        <v>#REF!</v>
      </c>
      <c r="AG2939" t="e">
        <f>IF(#REF!&gt;=10,"High Risk", IF(#REF!&gt;=5,"Medium Risk","Low Risk"))</f>
        <v>#REF!</v>
      </c>
      <c r="AH2939" t="e">
        <f>#REF! + #REF! + #REF! + #REF!</f>
        <v>#REF!</v>
      </c>
    </row>
    <row r="2940" spans="1:34" x14ac:dyDescent="0.35">
      <c r="A2940">
        <v>2939</v>
      </c>
      <c r="B2940" t="s">
        <v>46</v>
      </c>
      <c r="C2940">
        <v>148</v>
      </c>
      <c r="D2940" t="s">
        <v>28</v>
      </c>
      <c r="E2940" t="s">
        <v>22</v>
      </c>
      <c r="F2940" t="s">
        <v>22</v>
      </c>
      <c r="G2940">
        <v>0</v>
      </c>
      <c r="H2940">
        <v>168.8</v>
      </c>
      <c r="I2940">
        <v>102</v>
      </c>
      <c r="J2940">
        <v>28.7</v>
      </c>
      <c r="K2940">
        <v>248.1</v>
      </c>
      <c r="L2940">
        <v>125</v>
      </c>
      <c r="M2940">
        <v>21.09</v>
      </c>
      <c r="N2940">
        <v>250.7</v>
      </c>
      <c r="O2940">
        <v>96</v>
      </c>
      <c r="P2940">
        <v>11.28</v>
      </c>
      <c r="Q2940">
        <v>10.6</v>
      </c>
      <c r="R2940">
        <v>4</v>
      </c>
      <c r="S2940">
        <v>2.86</v>
      </c>
      <c r="T2940">
        <v>1</v>
      </c>
      <c r="U2940" t="s">
        <v>22</v>
      </c>
      <c r="V2940" t="e">
        <f>IF(#REF! = "yes", 1, 0)</f>
        <v>#REF!</v>
      </c>
      <c r="W2940" t="e">
        <f>IF(#REF! &lt;= 1, "0-1 Calls", IF(#REF! &lt;= 3, "2-3 Calls", IF(#REF! &lt;=5, "4-5 Calls", "6+ Calls")))</f>
        <v>#REF!</v>
      </c>
      <c r="X2940" t="e">
        <f>IF(#REF! &lt;= 50, "0-50", IF(#REF! &lt;=100, "51-100", IF(#REF! &lt;= 150, "101-150", "151+")))</f>
        <v>#REF!</v>
      </c>
      <c r="Y2940" t="e">
        <f>IF(#REF! &lt;= 3, "Low Charges", "High Charges")</f>
        <v>#REF!</v>
      </c>
      <c r="Z2940" t="e">
        <f>IF(#REF!&lt;=80,"Low Calls",
IF(#REF!&lt;=120,"Medium Calls","High Calls"))</f>
        <v>#REF!</v>
      </c>
      <c r="AA2940" t="e">
        <f>IF(#REF!&lt;=15,"Low Charges",
IF(#REF!&lt;=20,"Medium Charges","High Charges"))</f>
        <v>#REF!</v>
      </c>
      <c r="AB2940" t="e">
        <f>IF(AND(#REF!&gt;180, #REF!&gt;200), "Heavy Doemstic User", IF(#REF!&gt;10, "Interntional User", IF(AND(#REF!&lt;180, #REF!&lt;200,#REF!&lt;200), "Light User", "Balanced User")))</f>
        <v>#REF!</v>
      </c>
      <c r="AC2940" t="e">
        <f>IF(#REF! = 0, "No Usage", IF(#REF! &lt;= 20, "Low Usage", IF(#REF! &lt;= 40, "Medium Usgae", "High Usage")))</f>
        <v>#REF!</v>
      </c>
      <c r="AD2940" t="e">
        <f>IF(#REF!&lt;=150,"Low Usage", IF(#REF!&lt;=200,"Medium Usage", IF(#REF!&lt;=250,"High Usage","Very High Usage")))</f>
        <v>#REF!</v>
      </c>
      <c r="AE2940" t="e">
        <f>IF(#REF!&lt;=5,"Low Calls", IF(#REF!&lt;=10, "Medium Calls", "High Calls"))</f>
        <v>#REF!</v>
      </c>
      <c r="AF2940" t="e">
        <f xml:space="preserve">
IF(#REF!&gt;=4,4,0)+
IF(#REF!="yes",3,0)+
IF(#REF!="High Charges",3,0)+
IF(#REF!&gt;250,4,0)+
IF(#REF!="no",1,0)+
IF(#REF!="Heavy Domestic User",2,0)</f>
        <v>#REF!</v>
      </c>
      <c r="AG2940" t="e">
        <f>IF(#REF!&gt;=10,"High Risk", IF(#REF!&gt;=5,"Medium Risk","Low Risk"))</f>
        <v>#REF!</v>
      </c>
      <c r="AH2940" t="e">
        <f>#REF! + #REF! + #REF! + #REF!</f>
        <v>#REF!</v>
      </c>
    </row>
    <row r="2941" spans="1:34" x14ac:dyDescent="0.35">
      <c r="A2941">
        <v>2940</v>
      </c>
      <c r="B2941" t="s">
        <v>27</v>
      </c>
      <c r="C2941">
        <v>72</v>
      </c>
      <c r="D2941" t="s">
        <v>21</v>
      </c>
      <c r="E2941" t="s">
        <v>22</v>
      </c>
      <c r="F2941" t="s">
        <v>22</v>
      </c>
      <c r="G2941">
        <v>0</v>
      </c>
      <c r="H2941">
        <v>141.9</v>
      </c>
      <c r="I2941">
        <v>98</v>
      </c>
      <c r="J2941">
        <v>24.12</v>
      </c>
      <c r="K2941">
        <v>188.1</v>
      </c>
      <c r="L2941">
        <v>63</v>
      </c>
      <c r="M2941">
        <v>15.99</v>
      </c>
      <c r="N2941">
        <v>115.2</v>
      </c>
      <c r="O2941">
        <v>49</v>
      </c>
      <c r="P2941">
        <v>5.18</v>
      </c>
      <c r="Q2941">
        <v>12</v>
      </c>
      <c r="R2941">
        <v>5</v>
      </c>
      <c r="S2941">
        <v>3.24</v>
      </c>
      <c r="T2941">
        <v>2</v>
      </c>
      <c r="U2941" t="s">
        <v>22</v>
      </c>
      <c r="V2941" t="e">
        <f>IF(#REF! = "yes", 1, 0)</f>
        <v>#REF!</v>
      </c>
      <c r="W2941" t="e">
        <f>IF(#REF! &lt;= 1, "0-1 Calls", IF(#REF! &lt;= 3, "2-3 Calls", IF(#REF! &lt;=5, "4-5 Calls", "6+ Calls")))</f>
        <v>#REF!</v>
      </c>
      <c r="X2941" t="e">
        <f>IF(#REF! &lt;= 50, "0-50", IF(#REF! &lt;=100, "51-100", IF(#REF! &lt;= 150, "101-150", "151+")))</f>
        <v>#REF!</v>
      </c>
      <c r="Y2941" t="e">
        <f>IF(#REF! &lt;= 3, "Low Charges", "High Charges")</f>
        <v>#REF!</v>
      </c>
      <c r="Z2941" t="e">
        <f>IF(#REF!&lt;=80,"Low Calls",
IF(#REF!&lt;=120,"Medium Calls","High Calls"))</f>
        <v>#REF!</v>
      </c>
      <c r="AA2941" t="e">
        <f>IF(#REF!&lt;=15,"Low Charges",
IF(#REF!&lt;=20,"Medium Charges","High Charges"))</f>
        <v>#REF!</v>
      </c>
      <c r="AB2941" t="e">
        <f>IF(AND(#REF!&gt;180, #REF!&gt;200), "Heavy Doemstic User", IF(#REF!&gt;10, "Interntional User", IF(AND(#REF!&lt;180, #REF!&lt;200,#REF!&lt;200), "Light User", "Balanced User")))</f>
        <v>#REF!</v>
      </c>
      <c r="AC2941" t="e">
        <f>IF(#REF! = 0, "No Usage", IF(#REF! &lt;= 20, "Low Usage", IF(#REF! &lt;= 40, "Medium Usgae", "High Usage")))</f>
        <v>#REF!</v>
      </c>
      <c r="AD2941" t="e">
        <f>IF(#REF!&lt;=150,"Low Usage", IF(#REF!&lt;=200,"Medium Usage", IF(#REF!&lt;=250,"High Usage","Very High Usage")))</f>
        <v>#REF!</v>
      </c>
      <c r="AE2941" t="e">
        <f>IF(#REF!&lt;=5,"Low Calls", IF(#REF!&lt;=10, "Medium Calls", "High Calls"))</f>
        <v>#REF!</v>
      </c>
      <c r="AF2941" t="e">
        <f xml:space="preserve">
IF(#REF!&gt;=4,4,0)+
IF(#REF!="yes",3,0)+
IF(#REF!="High Charges",3,0)+
IF(#REF!&gt;250,4,0)+
IF(#REF!="no",1,0)+
IF(#REF!="Heavy Domestic User",2,0)</f>
        <v>#REF!</v>
      </c>
      <c r="AG2941" t="e">
        <f>IF(#REF!&gt;=10,"High Risk", IF(#REF!&gt;=5,"Medium Risk","Low Risk"))</f>
        <v>#REF!</v>
      </c>
      <c r="AH2941" t="e">
        <f>#REF! + #REF! + #REF! + #REF!</f>
        <v>#REF!</v>
      </c>
    </row>
    <row r="2942" spans="1:34" x14ac:dyDescent="0.35">
      <c r="A2942">
        <v>2941</v>
      </c>
      <c r="B2942" t="s">
        <v>30</v>
      </c>
      <c r="C2942">
        <v>96</v>
      </c>
      <c r="D2942" t="s">
        <v>28</v>
      </c>
      <c r="E2942" t="s">
        <v>22</v>
      </c>
      <c r="F2942" t="s">
        <v>22</v>
      </c>
      <c r="G2942">
        <v>0</v>
      </c>
      <c r="H2942">
        <v>182.6</v>
      </c>
      <c r="I2942">
        <v>75</v>
      </c>
      <c r="J2942">
        <v>31.04</v>
      </c>
      <c r="K2942">
        <v>188.6</v>
      </c>
      <c r="L2942">
        <v>67</v>
      </c>
      <c r="M2942">
        <v>16.03</v>
      </c>
      <c r="N2942">
        <v>137.69999999999999</v>
      </c>
      <c r="O2942">
        <v>81</v>
      </c>
      <c r="P2942">
        <v>6.2</v>
      </c>
      <c r="Q2942">
        <v>9.5</v>
      </c>
      <c r="R2942">
        <v>3</v>
      </c>
      <c r="S2942">
        <v>2.57</v>
      </c>
      <c r="T2942">
        <v>5</v>
      </c>
      <c r="U2942" t="s">
        <v>23</v>
      </c>
      <c r="V2942" t="e">
        <f>IF(#REF! = "yes", 1, 0)</f>
        <v>#REF!</v>
      </c>
      <c r="W2942" t="e">
        <f>IF(#REF! &lt;= 1, "0-1 Calls", IF(#REF! &lt;= 3, "2-3 Calls", IF(#REF! &lt;=5, "4-5 Calls", "6+ Calls")))</f>
        <v>#REF!</v>
      </c>
      <c r="X2942" t="e">
        <f>IF(#REF! &lt;= 50, "0-50", IF(#REF! &lt;=100, "51-100", IF(#REF! &lt;= 150, "101-150", "151+")))</f>
        <v>#REF!</v>
      </c>
      <c r="Y2942" t="e">
        <f>IF(#REF! &lt;= 3, "Low Charges", "High Charges")</f>
        <v>#REF!</v>
      </c>
      <c r="Z2942" t="e">
        <f>IF(#REF!&lt;=80,"Low Calls",
IF(#REF!&lt;=120,"Medium Calls","High Calls"))</f>
        <v>#REF!</v>
      </c>
      <c r="AA2942" t="e">
        <f>IF(#REF!&lt;=15,"Low Charges",
IF(#REF!&lt;=20,"Medium Charges","High Charges"))</f>
        <v>#REF!</v>
      </c>
      <c r="AB2942" t="e">
        <f>IF(AND(#REF!&gt;180, #REF!&gt;200), "Heavy Doemstic User", IF(#REF!&gt;10, "Interntional User", IF(AND(#REF!&lt;180, #REF!&lt;200,#REF!&lt;200), "Light User", "Balanced User")))</f>
        <v>#REF!</v>
      </c>
      <c r="AC2942" t="e">
        <f>IF(#REF! = 0, "No Usage", IF(#REF! &lt;= 20, "Low Usage", IF(#REF! &lt;= 40, "Medium Usgae", "High Usage")))</f>
        <v>#REF!</v>
      </c>
      <c r="AD2942" t="e">
        <f>IF(#REF!&lt;=150,"Low Usage", IF(#REF!&lt;=200,"Medium Usage", IF(#REF!&lt;=250,"High Usage","Very High Usage")))</f>
        <v>#REF!</v>
      </c>
      <c r="AE2942" t="e">
        <f>IF(#REF!&lt;=5,"Low Calls", IF(#REF!&lt;=10, "Medium Calls", "High Calls"))</f>
        <v>#REF!</v>
      </c>
      <c r="AF2942" t="e">
        <f xml:space="preserve">
IF(#REF!&gt;=4,4,0)+
IF(#REF!="yes",3,0)+
IF(#REF!="High Charges",3,0)+
IF(#REF!&gt;250,4,0)+
IF(#REF!="no",1,0)+
IF(#REF!="Heavy Domestic User",2,0)</f>
        <v>#REF!</v>
      </c>
      <c r="AG2942" t="e">
        <f>IF(#REF!&gt;=10,"High Risk", IF(#REF!&gt;=5,"Medium Risk","Low Risk"))</f>
        <v>#REF!</v>
      </c>
      <c r="AH2942" t="e">
        <f>#REF! + #REF! + #REF! + #REF!</f>
        <v>#REF!</v>
      </c>
    </row>
    <row r="2943" spans="1:34" x14ac:dyDescent="0.35">
      <c r="A2943">
        <v>2942</v>
      </c>
      <c r="B2943" t="s">
        <v>72</v>
      </c>
      <c r="C2943">
        <v>55</v>
      </c>
      <c r="D2943" t="s">
        <v>21</v>
      </c>
      <c r="E2943" t="s">
        <v>22</v>
      </c>
      <c r="F2943" t="s">
        <v>22</v>
      </c>
      <c r="G2943">
        <v>0</v>
      </c>
      <c r="H2943">
        <v>203.7</v>
      </c>
      <c r="I2943">
        <v>80</v>
      </c>
      <c r="J2943">
        <v>34.630000000000003</v>
      </c>
      <c r="K2943">
        <v>230.2</v>
      </c>
      <c r="L2943">
        <v>112</v>
      </c>
      <c r="M2943">
        <v>19.57</v>
      </c>
      <c r="N2943">
        <v>120.3</v>
      </c>
      <c r="O2943">
        <v>48</v>
      </c>
      <c r="P2943">
        <v>5.41</v>
      </c>
      <c r="Q2943">
        <v>9.4</v>
      </c>
      <c r="R2943">
        <v>1</v>
      </c>
      <c r="S2943">
        <v>2.54</v>
      </c>
      <c r="T2943">
        <v>3</v>
      </c>
      <c r="U2943" t="s">
        <v>22</v>
      </c>
      <c r="V2943" t="e">
        <f>IF(#REF! = "yes", 1, 0)</f>
        <v>#REF!</v>
      </c>
      <c r="W2943" t="e">
        <f>IF(#REF! &lt;= 1, "0-1 Calls", IF(#REF! &lt;= 3, "2-3 Calls", IF(#REF! &lt;=5, "4-5 Calls", "6+ Calls")))</f>
        <v>#REF!</v>
      </c>
      <c r="X2943" t="e">
        <f>IF(#REF! &lt;= 50, "0-50", IF(#REF! &lt;=100, "51-100", IF(#REF! &lt;= 150, "101-150", "151+")))</f>
        <v>#REF!</v>
      </c>
      <c r="Y2943" t="e">
        <f>IF(#REF! &lt;= 3, "Low Charges", "High Charges")</f>
        <v>#REF!</v>
      </c>
      <c r="Z2943" t="e">
        <f>IF(#REF!&lt;=80,"Low Calls",
IF(#REF!&lt;=120,"Medium Calls","High Calls"))</f>
        <v>#REF!</v>
      </c>
      <c r="AA2943" t="e">
        <f>IF(#REF!&lt;=15,"Low Charges",
IF(#REF!&lt;=20,"Medium Charges","High Charges"))</f>
        <v>#REF!</v>
      </c>
      <c r="AB2943" t="e">
        <f>IF(AND(#REF!&gt;180, #REF!&gt;200), "Heavy Doemstic User", IF(#REF!&gt;10, "Interntional User", IF(AND(#REF!&lt;180, #REF!&lt;200,#REF!&lt;200), "Light User", "Balanced User")))</f>
        <v>#REF!</v>
      </c>
      <c r="AC2943" t="e">
        <f>IF(#REF! = 0, "No Usage", IF(#REF! &lt;= 20, "Low Usage", IF(#REF! &lt;= 40, "Medium Usgae", "High Usage")))</f>
        <v>#REF!</v>
      </c>
      <c r="AD2943" t="e">
        <f>IF(#REF!&lt;=150,"Low Usage", IF(#REF!&lt;=200,"Medium Usage", IF(#REF!&lt;=250,"High Usage","Very High Usage")))</f>
        <v>#REF!</v>
      </c>
      <c r="AE2943" t="e">
        <f>IF(#REF!&lt;=5,"Low Calls", IF(#REF!&lt;=10, "Medium Calls", "High Calls"))</f>
        <v>#REF!</v>
      </c>
      <c r="AF2943" t="e">
        <f xml:space="preserve">
IF(#REF!&gt;=4,4,0)+
IF(#REF!="yes",3,0)+
IF(#REF!="High Charges",3,0)+
IF(#REF!&gt;250,4,0)+
IF(#REF!="no",1,0)+
IF(#REF!="Heavy Domestic User",2,0)</f>
        <v>#REF!</v>
      </c>
      <c r="AG2943" t="e">
        <f>IF(#REF!&gt;=10,"High Risk", IF(#REF!&gt;=5,"Medium Risk","Low Risk"))</f>
        <v>#REF!</v>
      </c>
      <c r="AH2943" t="e">
        <f>#REF! + #REF! + #REF! + #REF!</f>
        <v>#REF!</v>
      </c>
    </row>
    <row r="2944" spans="1:34" x14ac:dyDescent="0.35">
      <c r="A2944">
        <v>2943</v>
      </c>
      <c r="B2944" t="s">
        <v>53</v>
      </c>
      <c r="C2944">
        <v>143</v>
      </c>
      <c r="D2944" t="s">
        <v>21</v>
      </c>
      <c r="E2944" t="s">
        <v>22</v>
      </c>
      <c r="F2944" t="s">
        <v>22</v>
      </c>
      <c r="G2944">
        <v>0</v>
      </c>
      <c r="H2944">
        <v>191.6</v>
      </c>
      <c r="I2944">
        <v>53</v>
      </c>
      <c r="J2944">
        <v>32.57</v>
      </c>
      <c r="K2944">
        <v>104.6</v>
      </c>
      <c r="L2944">
        <v>104</v>
      </c>
      <c r="M2944">
        <v>8.89</v>
      </c>
      <c r="N2944">
        <v>195.8</v>
      </c>
      <c r="O2944">
        <v>125</v>
      </c>
      <c r="P2944">
        <v>8.81</v>
      </c>
      <c r="Q2944">
        <v>10.7</v>
      </c>
      <c r="R2944">
        <v>9</v>
      </c>
      <c r="S2944">
        <v>2.89</v>
      </c>
      <c r="T2944">
        <v>3</v>
      </c>
      <c r="U2944" t="s">
        <v>22</v>
      </c>
      <c r="V2944" t="e">
        <f>IF(#REF! = "yes", 1, 0)</f>
        <v>#REF!</v>
      </c>
      <c r="W2944" t="e">
        <f>IF(#REF! &lt;= 1, "0-1 Calls", IF(#REF! &lt;= 3, "2-3 Calls", IF(#REF! &lt;=5, "4-5 Calls", "6+ Calls")))</f>
        <v>#REF!</v>
      </c>
      <c r="X2944" t="e">
        <f>IF(#REF! &lt;= 50, "0-50", IF(#REF! &lt;=100, "51-100", IF(#REF! &lt;= 150, "101-150", "151+")))</f>
        <v>#REF!</v>
      </c>
      <c r="Y2944" t="e">
        <f>IF(#REF! &lt;= 3, "Low Charges", "High Charges")</f>
        <v>#REF!</v>
      </c>
      <c r="Z2944" t="e">
        <f>IF(#REF!&lt;=80,"Low Calls",
IF(#REF!&lt;=120,"Medium Calls","High Calls"))</f>
        <v>#REF!</v>
      </c>
      <c r="AA2944" t="e">
        <f>IF(#REF!&lt;=15,"Low Charges",
IF(#REF!&lt;=20,"Medium Charges","High Charges"))</f>
        <v>#REF!</v>
      </c>
      <c r="AB2944" t="e">
        <f>IF(AND(#REF!&gt;180, #REF!&gt;200), "Heavy Doemstic User", IF(#REF!&gt;10, "Interntional User", IF(AND(#REF!&lt;180, #REF!&lt;200,#REF!&lt;200), "Light User", "Balanced User")))</f>
        <v>#REF!</v>
      </c>
      <c r="AC2944" t="e">
        <f>IF(#REF! = 0, "No Usage", IF(#REF! &lt;= 20, "Low Usage", IF(#REF! &lt;= 40, "Medium Usgae", "High Usage")))</f>
        <v>#REF!</v>
      </c>
      <c r="AD2944" t="e">
        <f>IF(#REF!&lt;=150,"Low Usage", IF(#REF!&lt;=200,"Medium Usage", IF(#REF!&lt;=250,"High Usage","Very High Usage")))</f>
        <v>#REF!</v>
      </c>
      <c r="AE2944" t="e">
        <f>IF(#REF!&lt;=5,"Low Calls", IF(#REF!&lt;=10, "Medium Calls", "High Calls"))</f>
        <v>#REF!</v>
      </c>
      <c r="AF2944" t="e">
        <f xml:space="preserve">
IF(#REF!&gt;=4,4,0)+
IF(#REF!="yes",3,0)+
IF(#REF!="High Charges",3,0)+
IF(#REF!&gt;250,4,0)+
IF(#REF!="no",1,0)+
IF(#REF!="Heavy Domestic User",2,0)</f>
        <v>#REF!</v>
      </c>
      <c r="AG2944" t="e">
        <f>IF(#REF!&gt;=10,"High Risk", IF(#REF!&gt;=5,"Medium Risk","Low Risk"))</f>
        <v>#REF!</v>
      </c>
      <c r="AH2944" t="e">
        <f>#REF! + #REF! + #REF! + #REF!</f>
        <v>#REF!</v>
      </c>
    </row>
    <row r="2945" spans="1:34" x14ac:dyDescent="0.35">
      <c r="A2945">
        <v>2944</v>
      </c>
      <c r="B2945" t="s">
        <v>32</v>
      </c>
      <c r="C2945">
        <v>60</v>
      </c>
      <c r="D2945" t="s">
        <v>21</v>
      </c>
      <c r="E2945" t="s">
        <v>22</v>
      </c>
      <c r="F2945" t="s">
        <v>22</v>
      </c>
      <c r="G2945">
        <v>0</v>
      </c>
      <c r="H2945">
        <v>136.4</v>
      </c>
      <c r="I2945">
        <v>147</v>
      </c>
      <c r="J2945">
        <v>23.19</v>
      </c>
      <c r="K2945">
        <v>219.9</v>
      </c>
      <c r="L2945">
        <v>101</v>
      </c>
      <c r="M2945">
        <v>18.690000000000001</v>
      </c>
      <c r="N2945">
        <v>99.7</v>
      </c>
      <c r="O2945">
        <v>73</v>
      </c>
      <c r="P2945">
        <v>4.49</v>
      </c>
      <c r="Q2945">
        <v>7</v>
      </c>
      <c r="R2945">
        <v>3</v>
      </c>
      <c r="S2945">
        <v>1.89</v>
      </c>
      <c r="T2945">
        <v>0</v>
      </c>
      <c r="U2945" t="s">
        <v>22</v>
      </c>
      <c r="V2945" t="e">
        <f>IF(#REF! = "yes", 1, 0)</f>
        <v>#REF!</v>
      </c>
      <c r="W2945" t="e">
        <f>IF(#REF! &lt;= 1, "0-1 Calls", IF(#REF! &lt;= 3, "2-3 Calls", IF(#REF! &lt;=5, "4-5 Calls", "6+ Calls")))</f>
        <v>#REF!</v>
      </c>
      <c r="X2945" t="e">
        <f>IF(#REF! &lt;= 50, "0-50", IF(#REF! &lt;=100, "51-100", IF(#REF! &lt;= 150, "101-150", "151+")))</f>
        <v>#REF!</v>
      </c>
      <c r="Y2945" t="e">
        <f>IF(#REF! &lt;= 3, "Low Charges", "High Charges")</f>
        <v>#REF!</v>
      </c>
      <c r="Z2945" t="e">
        <f>IF(#REF!&lt;=80,"Low Calls",
IF(#REF!&lt;=120,"Medium Calls","High Calls"))</f>
        <v>#REF!</v>
      </c>
      <c r="AA2945" t="e">
        <f>IF(#REF!&lt;=15,"Low Charges",
IF(#REF!&lt;=20,"Medium Charges","High Charges"))</f>
        <v>#REF!</v>
      </c>
      <c r="AB2945" t="e">
        <f>IF(AND(#REF!&gt;180, #REF!&gt;200), "Heavy Doemstic User", IF(#REF!&gt;10, "Interntional User", IF(AND(#REF!&lt;180, #REF!&lt;200,#REF!&lt;200), "Light User", "Balanced User")))</f>
        <v>#REF!</v>
      </c>
      <c r="AC2945" t="e">
        <f>IF(#REF! = 0, "No Usage", IF(#REF! &lt;= 20, "Low Usage", IF(#REF! &lt;= 40, "Medium Usgae", "High Usage")))</f>
        <v>#REF!</v>
      </c>
      <c r="AD2945" t="e">
        <f>IF(#REF!&lt;=150,"Low Usage", IF(#REF!&lt;=200,"Medium Usage", IF(#REF!&lt;=250,"High Usage","Very High Usage")))</f>
        <v>#REF!</v>
      </c>
      <c r="AE2945" t="e">
        <f>IF(#REF!&lt;=5,"Low Calls", IF(#REF!&lt;=10, "Medium Calls", "High Calls"))</f>
        <v>#REF!</v>
      </c>
      <c r="AF2945" t="e">
        <f xml:space="preserve">
IF(#REF!&gt;=4,4,0)+
IF(#REF!="yes",3,0)+
IF(#REF!="High Charges",3,0)+
IF(#REF!&gt;250,4,0)+
IF(#REF!="no",1,0)+
IF(#REF!="Heavy Domestic User",2,0)</f>
        <v>#REF!</v>
      </c>
      <c r="AG2945" t="e">
        <f>IF(#REF!&gt;=10,"High Risk", IF(#REF!&gt;=5,"Medium Risk","Low Risk"))</f>
        <v>#REF!</v>
      </c>
      <c r="AH2945" t="e">
        <f>#REF! + #REF! + #REF! + #REF!</f>
        <v>#REF!</v>
      </c>
    </row>
    <row r="2946" spans="1:34" x14ac:dyDescent="0.35">
      <c r="A2946">
        <v>2945</v>
      </c>
      <c r="B2946" t="s">
        <v>41</v>
      </c>
      <c r="C2946">
        <v>90</v>
      </c>
      <c r="D2946" t="s">
        <v>21</v>
      </c>
      <c r="E2946" t="s">
        <v>22</v>
      </c>
      <c r="F2946" t="s">
        <v>23</v>
      </c>
      <c r="G2946">
        <v>30</v>
      </c>
      <c r="H2946">
        <v>168.2</v>
      </c>
      <c r="I2946">
        <v>103</v>
      </c>
      <c r="J2946">
        <v>28.59</v>
      </c>
      <c r="K2946">
        <v>220.9</v>
      </c>
      <c r="L2946">
        <v>75</v>
      </c>
      <c r="M2946">
        <v>18.78</v>
      </c>
      <c r="N2946">
        <v>224.3</v>
      </c>
      <c r="O2946">
        <v>105</v>
      </c>
      <c r="P2946">
        <v>10.09</v>
      </c>
      <c r="Q2946">
        <v>8.1999999999999993</v>
      </c>
      <c r="R2946">
        <v>2</v>
      </c>
      <c r="S2946">
        <v>2.21</v>
      </c>
      <c r="T2946">
        <v>0</v>
      </c>
      <c r="U2946" t="s">
        <v>22</v>
      </c>
      <c r="V2946" t="e">
        <f>IF(#REF! = "yes", 1, 0)</f>
        <v>#REF!</v>
      </c>
      <c r="W2946" t="e">
        <f>IF(#REF! &lt;= 1, "0-1 Calls", IF(#REF! &lt;= 3, "2-3 Calls", IF(#REF! &lt;=5, "4-5 Calls", "6+ Calls")))</f>
        <v>#REF!</v>
      </c>
      <c r="X2946" t="e">
        <f>IF(#REF! &lt;= 50, "0-50", IF(#REF! &lt;=100, "51-100", IF(#REF! &lt;= 150, "101-150", "151+")))</f>
        <v>#REF!</v>
      </c>
      <c r="Y2946" t="e">
        <f>IF(#REF! &lt;= 3, "Low Charges", "High Charges")</f>
        <v>#REF!</v>
      </c>
      <c r="Z2946" t="e">
        <f>IF(#REF!&lt;=80,"Low Calls",
IF(#REF!&lt;=120,"Medium Calls","High Calls"))</f>
        <v>#REF!</v>
      </c>
      <c r="AA2946" t="e">
        <f>IF(#REF!&lt;=15,"Low Charges",
IF(#REF!&lt;=20,"Medium Charges","High Charges"))</f>
        <v>#REF!</v>
      </c>
      <c r="AB2946" t="e">
        <f>IF(AND(#REF!&gt;180, #REF!&gt;200), "Heavy Doemstic User", IF(#REF!&gt;10, "Interntional User", IF(AND(#REF!&lt;180, #REF!&lt;200,#REF!&lt;200), "Light User", "Balanced User")))</f>
        <v>#REF!</v>
      </c>
      <c r="AC2946" t="e">
        <f>IF(#REF! = 0, "No Usage", IF(#REF! &lt;= 20, "Low Usage", IF(#REF! &lt;= 40, "Medium Usgae", "High Usage")))</f>
        <v>#REF!</v>
      </c>
      <c r="AD2946" t="e">
        <f>IF(#REF!&lt;=150,"Low Usage", IF(#REF!&lt;=200,"Medium Usage", IF(#REF!&lt;=250,"High Usage","Very High Usage")))</f>
        <v>#REF!</v>
      </c>
      <c r="AE2946" t="e">
        <f>IF(#REF!&lt;=5,"Low Calls", IF(#REF!&lt;=10, "Medium Calls", "High Calls"))</f>
        <v>#REF!</v>
      </c>
      <c r="AF2946" t="e">
        <f xml:space="preserve">
IF(#REF!&gt;=4,4,0)+
IF(#REF!="yes",3,0)+
IF(#REF!="High Charges",3,0)+
IF(#REF!&gt;250,4,0)+
IF(#REF!="no",1,0)+
IF(#REF!="Heavy Domestic User",2,0)</f>
        <v>#REF!</v>
      </c>
      <c r="AG2946" t="e">
        <f>IF(#REF!&gt;=10,"High Risk", IF(#REF!&gt;=5,"Medium Risk","Low Risk"))</f>
        <v>#REF!</v>
      </c>
      <c r="AH2946" t="e">
        <f>#REF! + #REF! + #REF! + #REF!</f>
        <v>#REF!</v>
      </c>
    </row>
    <row r="2947" spans="1:34" x14ac:dyDescent="0.35">
      <c r="A2947">
        <v>2946</v>
      </c>
      <c r="B2947" t="s">
        <v>39</v>
      </c>
      <c r="C2947">
        <v>65</v>
      </c>
      <c r="D2947" t="s">
        <v>21</v>
      </c>
      <c r="E2947" t="s">
        <v>22</v>
      </c>
      <c r="F2947" t="s">
        <v>22</v>
      </c>
      <c r="G2947">
        <v>0</v>
      </c>
      <c r="H2947">
        <v>217.9</v>
      </c>
      <c r="I2947">
        <v>89</v>
      </c>
      <c r="J2947">
        <v>37.04</v>
      </c>
      <c r="K2947">
        <v>238.8</v>
      </c>
      <c r="L2947">
        <v>101</v>
      </c>
      <c r="M2947">
        <v>20.3</v>
      </c>
      <c r="N2947">
        <v>194.4</v>
      </c>
      <c r="O2947">
        <v>105</v>
      </c>
      <c r="P2947">
        <v>8.75</v>
      </c>
      <c r="Q2947">
        <v>6.6</v>
      </c>
      <c r="R2947">
        <v>4</v>
      </c>
      <c r="S2947">
        <v>1.78</v>
      </c>
      <c r="T2947">
        <v>0</v>
      </c>
      <c r="U2947" t="s">
        <v>22</v>
      </c>
      <c r="V2947" t="e">
        <f>IF(#REF! = "yes", 1, 0)</f>
        <v>#REF!</v>
      </c>
      <c r="W2947" t="e">
        <f>IF(#REF! &lt;= 1, "0-1 Calls", IF(#REF! &lt;= 3, "2-3 Calls", IF(#REF! &lt;=5, "4-5 Calls", "6+ Calls")))</f>
        <v>#REF!</v>
      </c>
      <c r="X2947" t="e">
        <f>IF(#REF! &lt;= 50, "0-50", IF(#REF! &lt;=100, "51-100", IF(#REF! &lt;= 150, "101-150", "151+")))</f>
        <v>#REF!</v>
      </c>
      <c r="Y2947" t="e">
        <f>IF(#REF! &lt;= 3, "Low Charges", "High Charges")</f>
        <v>#REF!</v>
      </c>
      <c r="Z2947" t="e">
        <f>IF(#REF!&lt;=80,"Low Calls",
IF(#REF!&lt;=120,"Medium Calls","High Calls"))</f>
        <v>#REF!</v>
      </c>
      <c r="AA2947" t="e">
        <f>IF(#REF!&lt;=15,"Low Charges",
IF(#REF!&lt;=20,"Medium Charges","High Charges"))</f>
        <v>#REF!</v>
      </c>
      <c r="AB2947" t="e">
        <f>IF(AND(#REF!&gt;180, #REF!&gt;200), "Heavy Doemstic User", IF(#REF!&gt;10, "Interntional User", IF(AND(#REF!&lt;180, #REF!&lt;200,#REF!&lt;200), "Light User", "Balanced User")))</f>
        <v>#REF!</v>
      </c>
      <c r="AC2947" t="e">
        <f>IF(#REF! = 0, "No Usage", IF(#REF! &lt;= 20, "Low Usage", IF(#REF! &lt;= 40, "Medium Usgae", "High Usage")))</f>
        <v>#REF!</v>
      </c>
      <c r="AD2947" t="e">
        <f>IF(#REF!&lt;=150,"Low Usage", IF(#REF!&lt;=200,"Medium Usage", IF(#REF!&lt;=250,"High Usage","Very High Usage")))</f>
        <v>#REF!</v>
      </c>
      <c r="AE2947" t="e">
        <f>IF(#REF!&lt;=5,"Low Calls", IF(#REF!&lt;=10, "Medium Calls", "High Calls"))</f>
        <v>#REF!</v>
      </c>
      <c r="AF2947" t="e">
        <f xml:space="preserve">
IF(#REF!&gt;=4,4,0)+
IF(#REF!="yes",3,0)+
IF(#REF!="High Charges",3,0)+
IF(#REF!&gt;250,4,0)+
IF(#REF!="no",1,0)+
IF(#REF!="Heavy Domestic User",2,0)</f>
        <v>#REF!</v>
      </c>
      <c r="AG2947" t="e">
        <f>IF(#REF!&gt;=10,"High Risk", IF(#REF!&gt;=5,"Medium Risk","Low Risk"))</f>
        <v>#REF!</v>
      </c>
      <c r="AH2947" t="e">
        <f>#REF! + #REF! + #REF! + #REF!</f>
        <v>#REF!</v>
      </c>
    </row>
    <row r="2948" spans="1:34" x14ac:dyDescent="0.35">
      <c r="A2948">
        <v>2947</v>
      </c>
      <c r="B2948" t="s">
        <v>34</v>
      </c>
      <c r="C2948">
        <v>93</v>
      </c>
      <c r="D2948" t="s">
        <v>25</v>
      </c>
      <c r="E2948" t="s">
        <v>22</v>
      </c>
      <c r="F2948" t="s">
        <v>22</v>
      </c>
      <c r="G2948">
        <v>0</v>
      </c>
      <c r="H2948">
        <v>198.1</v>
      </c>
      <c r="I2948">
        <v>93</v>
      </c>
      <c r="J2948">
        <v>33.68</v>
      </c>
      <c r="K2948">
        <v>236.1</v>
      </c>
      <c r="L2948">
        <v>95</v>
      </c>
      <c r="M2948">
        <v>20.07</v>
      </c>
      <c r="N2948">
        <v>127.3</v>
      </c>
      <c r="O2948">
        <v>121</v>
      </c>
      <c r="P2948">
        <v>5.73</v>
      </c>
      <c r="Q2948">
        <v>12.6</v>
      </c>
      <c r="R2948">
        <v>4</v>
      </c>
      <c r="S2948">
        <v>3.4</v>
      </c>
      <c r="T2948">
        <v>2</v>
      </c>
      <c r="U2948" t="s">
        <v>22</v>
      </c>
      <c r="V2948" t="e">
        <f>IF(#REF! = "yes", 1, 0)</f>
        <v>#REF!</v>
      </c>
      <c r="W2948" t="e">
        <f>IF(#REF! &lt;= 1, "0-1 Calls", IF(#REF! &lt;= 3, "2-3 Calls", IF(#REF! &lt;=5, "4-5 Calls", "6+ Calls")))</f>
        <v>#REF!</v>
      </c>
      <c r="X2948" t="e">
        <f>IF(#REF! &lt;= 50, "0-50", IF(#REF! &lt;=100, "51-100", IF(#REF! &lt;= 150, "101-150", "151+")))</f>
        <v>#REF!</v>
      </c>
      <c r="Y2948" t="e">
        <f>IF(#REF! &lt;= 3, "Low Charges", "High Charges")</f>
        <v>#REF!</v>
      </c>
      <c r="Z2948" t="e">
        <f>IF(#REF!&lt;=80,"Low Calls",
IF(#REF!&lt;=120,"Medium Calls","High Calls"))</f>
        <v>#REF!</v>
      </c>
      <c r="AA2948" t="e">
        <f>IF(#REF!&lt;=15,"Low Charges",
IF(#REF!&lt;=20,"Medium Charges","High Charges"))</f>
        <v>#REF!</v>
      </c>
      <c r="AB2948" t="e">
        <f>IF(AND(#REF!&gt;180, #REF!&gt;200), "Heavy Doemstic User", IF(#REF!&gt;10, "Interntional User", IF(AND(#REF!&lt;180, #REF!&lt;200,#REF!&lt;200), "Light User", "Balanced User")))</f>
        <v>#REF!</v>
      </c>
      <c r="AC2948" t="e">
        <f>IF(#REF! = 0, "No Usage", IF(#REF! &lt;= 20, "Low Usage", IF(#REF! &lt;= 40, "Medium Usgae", "High Usage")))</f>
        <v>#REF!</v>
      </c>
      <c r="AD2948" t="e">
        <f>IF(#REF!&lt;=150,"Low Usage", IF(#REF!&lt;=200,"Medium Usage", IF(#REF!&lt;=250,"High Usage","Very High Usage")))</f>
        <v>#REF!</v>
      </c>
      <c r="AE2948" t="e">
        <f>IF(#REF!&lt;=5,"Low Calls", IF(#REF!&lt;=10, "Medium Calls", "High Calls"))</f>
        <v>#REF!</v>
      </c>
      <c r="AF2948" t="e">
        <f xml:space="preserve">
IF(#REF!&gt;=4,4,0)+
IF(#REF!="yes",3,0)+
IF(#REF!="High Charges",3,0)+
IF(#REF!&gt;250,4,0)+
IF(#REF!="no",1,0)+
IF(#REF!="Heavy Domestic User",2,0)</f>
        <v>#REF!</v>
      </c>
      <c r="AG2948" t="e">
        <f>IF(#REF!&gt;=10,"High Risk", IF(#REF!&gt;=5,"Medium Risk","Low Risk"))</f>
        <v>#REF!</v>
      </c>
      <c r="AH2948" t="e">
        <f>#REF! + #REF! + #REF! + #REF!</f>
        <v>#REF!</v>
      </c>
    </row>
    <row r="2949" spans="1:34" x14ac:dyDescent="0.35">
      <c r="A2949">
        <v>2948</v>
      </c>
      <c r="B2949" t="s">
        <v>55</v>
      </c>
      <c r="C2949">
        <v>117</v>
      </c>
      <c r="D2949" t="s">
        <v>25</v>
      </c>
      <c r="E2949" t="s">
        <v>23</v>
      </c>
      <c r="F2949" t="s">
        <v>23</v>
      </c>
      <c r="G2949">
        <v>15</v>
      </c>
      <c r="H2949">
        <v>178.8</v>
      </c>
      <c r="I2949">
        <v>81</v>
      </c>
      <c r="J2949">
        <v>30.4</v>
      </c>
      <c r="K2949">
        <v>286.10000000000002</v>
      </c>
      <c r="L2949">
        <v>85</v>
      </c>
      <c r="M2949">
        <v>24.32</v>
      </c>
      <c r="N2949">
        <v>229.4</v>
      </c>
      <c r="O2949">
        <v>128</v>
      </c>
      <c r="P2949">
        <v>10.32</v>
      </c>
      <c r="Q2949">
        <v>7.1</v>
      </c>
      <c r="R2949">
        <v>5</v>
      </c>
      <c r="S2949">
        <v>1.92</v>
      </c>
      <c r="T2949">
        <v>1</v>
      </c>
      <c r="U2949" t="s">
        <v>22</v>
      </c>
      <c r="V2949" t="e">
        <f>IF(#REF! = "yes", 1, 0)</f>
        <v>#REF!</v>
      </c>
      <c r="W2949" t="e">
        <f>IF(#REF! &lt;= 1, "0-1 Calls", IF(#REF! &lt;= 3, "2-3 Calls", IF(#REF! &lt;=5, "4-5 Calls", "6+ Calls")))</f>
        <v>#REF!</v>
      </c>
      <c r="X2949" t="e">
        <f>IF(#REF! &lt;= 50, "0-50", IF(#REF! &lt;=100, "51-100", IF(#REF! &lt;= 150, "101-150", "151+")))</f>
        <v>#REF!</v>
      </c>
      <c r="Y2949" t="e">
        <f>IF(#REF! &lt;= 3, "Low Charges", "High Charges")</f>
        <v>#REF!</v>
      </c>
      <c r="Z2949" t="e">
        <f>IF(#REF!&lt;=80,"Low Calls",
IF(#REF!&lt;=120,"Medium Calls","High Calls"))</f>
        <v>#REF!</v>
      </c>
      <c r="AA2949" t="e">
        <f>IF(#REF!&lt;=15,"Low Charges",
IF(#REF!&lt;=20,"Medium Charges","High Charges"))</f>
        <v>#REF!</v>
      </c>
      <c r="AB2949" t="e">
        <f>IF(AND(#REF!&gt;180, #REF!&gt;200), "Heavy Doemstic User", IF(#REF!&gt;10, "Interntional User", IF(AND(#REF!&lt;180, #REF!&lt;200,#REF!&lt;200), "Light User", "Balanced User")))</f>
        <v>#REF!</v>
      </c>
      <c r="AC2949" t="e">
        <f>IF(#REF! = 0, "No Usage", IF(#REF! &lt;= 20, "Low Usage", IF(#REF! &lt;= 40, "Medium Usgae", "High Usage")))</f>
        <v>#REF!</v>
      </c>
      <c r="AD2949" t="e">
        <f>IF(#REF!&lt;=150,"Low Usage", IF(#REF!&lt;=200,"Medium Usage", IF(#REF!&lt;=250,"High Usage","Very High Usage")))</f>
        <v>#REF!</v>
      </c>
      <c r="AE2949" t="e">
        <f>IF(#REF!&lt;=5,"Low Calls", IF(#REF!&lt;=10, "Medium Calls", "High Calls"))</f>
        <v>#REF!</v>
      </c>
      <c r="AF2949" t="e">
        <f xml:space="preserve">
IF(#REF!&gt;=4,4,0)+
IF(#REF!="yes",3,0)+
IF(#REF!="High Charges",3,0)+
IF(#REF!&gt;250,4,0)+
IF(#REF!="no",1,0)+
IF(#REF!="Heavy Domestic User",2,0)</f>
        <v>#REF!</v>
      </c>
      <c r="AG2949" t="e">
        <f>IF(#REF!&gt;=10,"High Risk", IF(#REF!&gt;=5,"Medium Risk","Low Risk"))</f>
        <v>#REF!</v>
      </c>
      <c r="AH2949" t="e">
        <f>#REF! + #REF! + #REF! + #REF!</f>
        <v>#REF!</v>
      </c>
    </row>
    <row r="2950" spans="1:34" x14ac:dyDescent="0.35">
      <c r="A2950">
        <v>2949</v>
      </c>
      <c r="B2950" t="s">
        <v>68</v>
      </c>
      <c r="C2950">
        <v>96</v>
      </c>
      <c r="D2950" t="s">
        <v>21</v>
      </c>
      <c r="E2950" t="s">
        <v>22</v>
      </c>
      <c r="F2950" t="s">
        <v>23</v>
      </c>
      <c r="G2950">
        <v>18</v>
      </c>
      <c r="H2950">
        <v>262.89999999999998</v>
      </c>
      <c r="I2950">
        <v>57</v>
      </c>
      <c r="J2950">
        <v>44.69</v>
      </c>
      <c r="K2950">
        <v>190.2</v>
      </c>
      <c r="L2950">
        <v>107</v>
      </c>
      <c r="M2950">
        <v>16.170000000000002</v>
      </c>
      <c r="N2950">
        <v>293.5</v>
      </c>
      <c r="O2950">
        <v>103</v>
      </c>
      <c r="P2950">
        <v>13.21</v>
      </c>
      <c r="Q2950">
        <v>11.8</v>
      </c>
      <c r="R2950">
        <v>4</v>
      </c>
      <c r="S2950">
        <v>3.19</v>
      </c>
      <c r="T2950">
        <v>3</v>
      </c>
      <c r="U2950" t="s">
        <v>22</v>
      </c>
      <c r="V2950" t="e">
        <f>IF(#REF! = "yes", 1, 0)</f>
        <v>#REF!</v>
      </c>
      <c r="W2950" t="e">
        <f>IF(#REF! &lt;= 1, "0-1 Calls", IF(#REF! &lt;= 3, "2-3 Calls", IF(#REF! &lt;=5, "4-5 Calls", "6+ Calls")))</f>
        <v>#REF!</v>
      </c>
      <c r="X2950" t="e">
        <f>IF(#REF! &lt;= 50, "0-50", IF(#REF! &lt;=100, "51-100", IF(#REF! &lt;= 150, "101-150", "151+")))</f>
        <v>#REF!</v>
      </c>
      <c r="Y2950" t="e">
        <f>IF(#REF! &lt;= 3, "Low Charges", "High Charges")</f>
        <v>#REF!</v>
      </c>
      <c r="Z2950" t="e">
        <f>IF(#REF!&lt;=80,"Low Calls",
IF(#REF!&lt;=120,"Medium Calls","High Calls"))</f>
        <v>#REF!</v>
      </c>
      <c r="AA2950" t="e">
        <f>IF(#REF!&lt;=15,"Low Charges",
IF(#REF!&lt;=20,"Medium Charges","High Charges"))</f>
        <v>#REF!</v>
      </c>
      <c r="AB2950" t="e">
        <f>IF(AND(#REF!&gt;180, #REF!&gt;200), "Heavy Doemstic User", IF(#REF!&gt;10, "Interntional User", IF(AND(#REF!&lt;180, #REF!&lt;200,#REF!&lt;200), "Light User", "Balanced User")))</f>
        <v>#REF!</v>
      </c>
      <c r="AC2950" t="e">
        <f>IF(#REF! = 0, "No Usage", IF(#REF! &lt;= 20, "Low Usage", IF(#REF! &lt;= 40, "Medium Usgae", "High Usage")))</f>
        <v>#REF!</v>
      </c>
      <c r="AD2950" t="e">
        <f>IF(#REF!&lt;=150,"Low Usage", IF(#REF!&lt;=200,"Medium Usage", IF(#REF!&lt;=250,"High Usage","Very High Usage")))</f>
        <v>#REF!</v>
      </c>
      <c r="AE2950" t="e">
        <f>IF(#REF!&lt;=5,"Low Calls", IF(#REF!&lt;=10, "Medium Calls", "High Calls"))</f>
        <v>#REF!</v>
      </c>
      <c r="AF2950" t="e">
        <f xml:space="preserve">
IF(#REF!&gt;=4,4,0)+
IF(#REF!="yes",3,0)+
IF(#REF!="High Charges",3,0)+
IF(#REF!&gt;250,4,0)+
IF(#REF!="no",1,0)+
IF(#REF!="Heavy Domestic User",2,0)</f>
        <v>#REF!</v>
      </c>
      <c r="AG2950" t="e">
        <f>IF(#REF!&gt;=10,"High Risk", IF(#REF!&gt;=5,"Medium Risk","Low Risk"))</f>
        <v>#REF!</v>
      </c>
      <c r="AH2950" t="e">
        <f>#REF! + #REF! + #REF! + #REF!</f>
        <v>#REF!</v>
      </c>
    </row>
    <row r="2951" spans="1:34" x14ac:dyDescent="0.35">
      <c r="A2951">
        <v>2950</v>
      </c>
      <c r="B2951" t="s">
        <v>62</v>
      </c>
      <c r="C2951">
        <v>60</v>
      </c>
      <c r="D2951" t="s">
        <v>21</v>
      </c>
      <c r="E2951" t="s">
        <v>22</v>
      </c>
      <c r="F2951" t="s">
        <v>22</v>
      </c>
      <c r="G2951">
        <v>0</v>
      </c>
      <c r="H2951">
        <v>197</v>
      </c>
      <c r="I2951">
        <v>130</v>
      </c>
      <c r="J2951">
        <v>33.49</v>
      </c>
      <c r="K2951">
        <v>219.2</v>
      </c>
      <c r="L2951">
        <v>105</v>
      </c>
      <c r="M2951">
        <v>18.63</v>
      </c>
      <c r="N2951">
        <v>102.8</v>
      </c>
      <c r="O2951">
        <v>113</v>
      </c>
      <c r="P2951">
        <v>4.63</v>
      </c>
      <c r="Q2951">
        <v>12.6</v>
      </c>
      <c r="R2951">
        <v>4</v>
      </c>
      <c r="S2951">
        <v>3.4</v>
      </c>
      <c r="T2951">
        <v>1</v>
      </c>
      <c r="U2951" t="s">
        <v>22</v>
      </c>
      <c r="V2951" t="e">
        <f>IF(#REF! = "yes", 1, 0)</f>
        <v>#REF!</v>
      </c>
      <c r="W2951" t="e">
        <f>IF(#REF! &lt;= 1, "0-1 Calls", IF(#REF! &lt;= 3, "2-3 Calls", IF(#REF! &lt;=5, "4-5 Calls", "6+ Calls")))</f>
        <v>#REF!</v>
      </c>
      <c r="X2951" t="e">
        <f>IF(#REF! &lt;= 50, "0-50", IF(#REF! &lt;=100, "51-100", IF(#REF! &lt;= 150, "101-150", "151+")))</f>
        <v>#REF!</v>
      </c>
      <c r="Y2951" t="e">
        <f>IF(#REF! &lt;= 3, "Low Charges", "High Charges")</f>
        <v>#REF!</v>
      </c>
      <c r="Z2951" t="e">
        <f>IF(#REF!&lt;=80,"Low Calls",
IF(#REF!&lt;=120,"Medium Calls","High Calls"))</f>
        <v>#REF!</v>
      </c>
      <c r="AA2951" t="e">
        <f>IF(#REF!&lt;=15,"Low Charges",
IF(#REF!&lt;=20,"Medium Charges","High Charges"))</f>
        <v>#REF!</v>
      </c>
      <c r="AB2951" t="e">
        <f>IF(AND(#REF!&gt;180, #REF!&gt;200), "Heavy Doemstic User", IF(#REF!&gt;10, "Interntional User", IF(AND(#REF!&lt;180, #REF!&lt;200,#REF!&lt;200), "Light User", "Balanced User")))</f>
        <v>#REF!</v>
      </c>
      <c r="AC2951" t="e">
        <f>IF(#REF! = 0, "No Usage", IF(#REF! &lt;= 20, "Low Usage", IF(#REF! &lt;= 40, "Medium Usgae", "High Usage")))</f>
        <v>#REF!</v>
      </c>
      <c r="AD2951" t="e">
        <f>IF(#REF!&lt;=150,"Low Usage", IF(#REF!&lt;=200,"Medium Usage", IF(#REF!&lt;=250,"High Usage","Very High Usage")))</f>
        <v>#REF!</v>
      </c>
      <c r="AE2951" t="e">
        <f>IF(#REF!&lt;=5,"Low Calls", IF(#REF!&lt;=10, "Medium Calls", "High Calls"))</f>
        <v>#REF!</v>
      </c>
      <c r="AF2951" t="e">
        <f xml:space="preserve">
IF(#REF!&gt;=4,4,0)+
IF(#REF!="yes",3,0)+
IF(#REF!="High Charges",3,0)+
IF(#REF!&gt;250,4,0)+
IF(#REF!="no",1,0)+
IF(#REF!="Heavy Domestic User",2,0)</f>
        <v>#REF!</v>
      </c>
      <c r="AG2951" t="e">
        <f>IF(#REF!&gt;=10,"High Risk", IF(#REF!&gt;=5,"Medium Risk","Low Risk"))</f>
        <v>#REF!</v>
      </c>
      <c r="AH2951" t="e">
        <f>#REF! + #REF! + #REF! + #REF!</f>
        <v>#REF!</v>
      </c>
    </row>
    <row r="2952" spans="1:34" x14ac:dyDescent="0.35">
      <c r="A2952">
        <v>2951</v>
      </c>
      <c r="B2952" t="s">
        <v>34</v>
      </c>
      <c r="C2952">
        <v>157</v>
      </c>
      <c r="D2952" t="s">
        <v>28</v>
      </c>
      <c r="E2952" t="s">
        <v>22</v>
      </c>
      <c r="F2952" t="s">
        <v>22</v>
      </c>
      <c r="G2952">
        <v>0</v>
      </c>
      <c r="H2952">
        <v>102.9</v>
      </c>
      <c r="I2952">
        <v>94</v>
      </c>
      <c r="J2952">
        <v>17.489999999999998</v>
      </c>
      <c r="K2952">
        <v>229.1</v>
      </c>
      <c r="L2952">
        <v>96</v>
      </c>
      <c r="M2952">
        <v>19.47</v>
      </c>
      <c r="N2952">
        <v>198.7</v>
      </c>
      <c r="O2952">
        <v>129</v>
      </c>
      <c r="P2952">
        <v>8.94</v>
      </c>
      <c r="Q2952">
        <v>13.6</v>
      </c>
      <c r="R2952">
        <v>2</v>
      </c>
      <c r="S2952">
        <v>3.67</v>
      </c>
      <c r="T2952">
        <v>1</v>
      </c>
      <c r="U2952" t="s">
        <v>22</v>
      </c>
      <c r="V2952" t="e">
        <f>IF(#REF! = "yes", 1, 0)</f>
        <v>#REF!</v>
      </c>
      <c r="W2952" t="e">
        <f>IF(#REF! &lt;= 1, "0-1 Calls", IF(#REF! &lt;= 3, "2-3 Calls", IF(#REF! &lt;=5, "4-5 Calls", "6+ Calls")))</f>
        <v>#REF!</v>
      </c>
      <c r="X2952" t="e">
        <f>IF(#REF! &lt;= 50, "0-50", IF(#REF! &lt;=100, "51-100", IF(#REF! &lt;= 150, "101-150", "151+")))</f>
        <v>#REF!</v>
      </c>
      <c r="Y2952" t="e">
        <f>IF(#REF! &lt;= 3, "Low Charges", "High Charges")</f>
        <v>#REF!</v>
      </c>
      <c r="Z2952" t="e">
        <f>IF(#REF!&lt;=80,"Low Calls",
IF(#REF!&lt;=120,"Medium Calls","High Calls"))</f>
        <v>#REF!</v>
      </c>
      <c r="AA2952" t="e">
        <f>IF(#REF!&lt;=15,"Low Charges",
IF(#REF!&lt;=20,"Medium Charges","High Charges"))</f>
        <v>#REF!</v>
      </c>
      <c r="AB2952" t="e">
        <f>IF(AND(#REF!&gt;180, #REF!&gt;200), "Heavy Doemstic User", IF(#REF!&gt;10, "Interntional User", IF(AND(#REF!&lt;180, #REF!&lt;200,#REF!&lt;200), "Light User", "Balanced User")))</f>
        <v>#REF!</v>
      </c>
      <c r="AC2952" t="e">
        <f>IF(#REF! = 0, "No Usage", IF(#REF! &lt;= 20, "Low Usage", IF(#REF! &lt;= 40, "Medium Usgae", "High Usage")))</f>
        <v>#REF!</v>
      </c>
      <c r="AD2952" t="e">
        <f>IF(#REF!&lt;=150,"Low Usage", IF(#REF!&lt;=200,"Medium Usage", IF(#REF!&lt;=250,"High Usage","Very High Usage")))</f>
        <v>#REF!</v>
      </c>
      <c r="AE2952" t="e">
        <f>IF(#REF!&lt;=5,"Low Calls", IF(#REF!&lt;=10, "Medium Calls", "High Calls"))</f>
        <v>#REF!</v>
      </c>
      <c r="AF2952" t="e">
        <f xml:space="preserve">
IF(#REF!&gt;=4,4,0)+
IF(#REF!="yes",3,0)+
IF(#REF!="High Charges",3,0)+
IF(#REF!&gt;250,4,0)+
IF(#REF!="no",1,0)+
IF(#REF!="Heavy Domestic User",2,0)</f>
        <v>#REF!</v>
      </c>
      <c r="AG2952" t="e">
        <f>IF(#REF!&gt;=10,"High Risk", IF(#REF!&gt;=5,"Medium Risk","Low Risk"))</f>
        <v>#REF!</v>
      </c>
      <c r="AH2952" t="e">
        <f>#REF! + #REF! + #REF! + #REF!</f>
        <v>#REF!</v>
      </c>
    </row>
    <row r="2953" spans="1:34" x14ac:dyDescent="0.35">
      <c r="A2953">
        <v>2952</v>
      </c>
      <c r="B2953" t="s">
        <v>55</v>
      </c>
      <c r="C2953">
        <v>89</v>
      </c>
      <c r="D2953" t="s">
        <v>25</v>
      </c>
      <c r="E2953" t="s">
        <v>22</v>
      </c>
      <c r="F2953" t="s">
        <v>22</v>
      </c>
      <c r="G2953">
        <v>0</v>
      </c>
      <c r="H2953">
        <v>144.19999999999999</v>
      </c>
      <c r="I2953">
        <v>74</v>
      </c>
      <c r="J2953">
        <v>24.51</v>
      </c>
      <c r="K2953">
        <v>164.7</v>
      </c>
      <c r="L2953">
        <v>119</v>
      </c>
      <c r="M2953">
        <v>14</v>
      </c>
      <c r="N2953">
        <v>279.2</v>
      </c>
      <c r="O2953">
        <v>121</v>
      </c>
      <c r="P2953">
        <v>12.56</v>
      </c>
      <c r="Q2953">
        <v>12.1</v>
      </c>
      <c r="R2953">
        <v>7</v>
      </c>
      <c r="S2953">
        <v>3.27</v>
      </c>
      <c r="T2953">
        <v>4</v>
      </c>
      <c r="U2953" t="s">
        <v>23</v>
      </c>
      <c r="V2953" t="e">
        <f>IF(#REF! = "yes", 1, 0)</f>
        <v>#REF!</v>
      </c>
      <c r="W2953" t="e">
        <f>IF(#REF! &lt;= 1, "0-1 Calls", IF(#REF! &lt;= 3, "2-3 Calls", IF(#REF! &lt;=5, "4-5 Calls", "6+ Calls")))</f>
        <v>#REF!</v>
      </c>
      <c r="X2953" t="e">
        <f>IF(#REF! &lt;= 50, "0-50", IF(#REF! &lt;=100, "51-100", IF(#REF! &lt;= 150, "101-150", "151+")))</f>
        <v>#REF!</v>
      </c>
      <c r="Y2953" t="e">
        <f>IF(#REF! &lt;= 3, "Low Charges", "High Charges")</f>
        <v>#REF!</v>
      </c>
      <c r="Z2953" t="e">
        <f>IF(#REF!&lt;=80,"Low Calls",
IF(#REF!&lt;=120,"Medium Calls","High Calls"))</f>
        <v>#REF!</v>
      </c>
      <c r="AA2953" t="e">
        <f>IF(#REF!&lt;=15,"Low Charges",
IF(#REF!&lt;=20,"Medium Charges","High Charges"))</f>
        <v>#REF!</v>
      </c>
      <c r="AB2953" t="e">
        <f>IF(AND(#REF!&gt;180, #REF!&gt;200), "Heavy Doemstic User", IF(#REF!&gt;10, "Interntional User", IF(AND(#REF!&lt;180, #REF!&lt;200,#REF!&lt;200), "Light User", "Balanced User")))</f>
        <v>#REF!</v>
      </c>
      <c r="AC2953" t="e">
        <f>IF(#REF! = 0, "No Usage", IF(#REF! &lt;= 20, "Low Usage", IF(#REF! &lt;= 40, "Medium Usgae", "High Usage")))</f>
        <v>#REF!</v>
      </c>
      <c r="AD2953" t="e">
        <f>IF(#REF!&lt;=150,"Low Usage", IF(#REF!&lt;=200,"Medium Usage", IF(#REF!&lt;=250,"High Usage","Very High Usage")))</f>
        <v>#REF!</v>
      </c>
      <c r="AE2953" t="e">
        <f>IF(#REF!&lt;=5,"Low Calls", IF(#REF!&lt;=10, "Medium Calls", "High Calls"))</f>
        <v>#REF!</v>
      </c>
      <c r="AF2953" t="e">
        <f xml:space="preserve">
IF(#REF!&gt;=4,4,0)+
IF(#REF!="yes",3,0)+
IF(#REF!="High Charges",3,0)+
IF(#REF!&gt;250,4,0)+
IF(#REF!="no",1,0)+
IF(#REF!="Heavy Domestic User",2,0)</f>
        <v>#REF!</v>
      </c>
      <c r="AG2953" t="e">
        <f>IF(#REF!&gt;=10,"High Risk", IF(#REF!&gt;=5,"Medium Risk","Low Risk"))</f>
        <v>#REF!</v>
      </c>
      <c r="AH2953" t="e">
        <f>#REF! + #REF! + #REF! + #REF!</f>
        <v>#REF!</v>
      </c>
    </row>
    <row r="2954" spans="1:34" x14ac:dyDescent="0.35">
      <c r="A2954">
        <v>2953</v>
      </c>
      <c r="B2954" t="s">
        <v>73</v>
      </c>
      <c r="C2954">
        <v>91</v>
      </c>
      <c r="D2954" t="s">
        <v>21</v>
      </c>
      <c r="E2954" t="s">
        <v>22</v>
      </c>
      <c r="F2954" t="s">
        <v>22</v>
      </c>
      <c r="G2954">
        <v>0</v>
      </c>
      <c r="H2954">
        <v>139.80000000000001</v>
      </c>
      <c r="I2954">
        <v>109</v>
      </c>
      <c r="J2954">
        <v>23.77</v>
      </c>
      <c r="K2954">
        <v>157</v>
      </c>
      <c r="L2954">
        <v>91</v>
      </c>
      <c r="M2954">
        <v>13.35</v>
      </c>
      <c r="N2954">
        <v>218.6</v>
      </c>
      <c r="O2954">
        <v>122</v>
      </c>
      <c r="P2954">
        <v>9.84</v>
      </c>
      <c r="Q2954">
        <v>13.6</v>
      </c>
      <c r="R2954">
        <v>4</v>
      </c>
      <c r="S2954">
        <v>3.67</v>
      </c>
      <c r="T2954">
        <v>3</v>
      </c>
      <c r="U2954" t="s">
        <v>22</v>
      </c>
      <c r="V2954" t="e">
        <f>IF(#REF! = "yes", 1, 0)</f>
        <v>#REF!</v>
      </c>
      <c r="W2954" t="e">
        <f>IF(#REF! &lt;= 1, "0-1 Calls", IF(#REF! &lt;= 3, "2-3 Calls", IF(#REF! &lt;=5, "4-5 Calls", "6+ Calls")))</f>
        <v>#REF!</v>
      </c>
      <c r="X2954" t="e">
        <f>IF(#REF! &lt;= 50, "0-50", IF(#REF! &lt;=100, "51-100", IF(#REF! &lt;= 150, "101-150", "151+")))</f>
        <v>#REF!</v>
      </c>
      <c r="Y2954" t="e">
        <f>IF(#REF! &lt;= 3, "Low Charges", "High Charges")</f>
        <v>#REF!</v>
      </c>
      <c r="Z2954" t="e">
        <f>IF(#REF!&lt;=80,"Low Calls",
IF(#REF!&lt;=120,"Medium Calls","High Calls"))</f>
        <v>#REF!</v>
      </c>
      <c r="AA2954" t="e">
        <f>IF(#REF!&lt;=15,"Low Charges",
IF(#REF!&lt;=20,"Medium Charges","High Charges"))</f>
        <v>#REF!</v>
      </c>
      <c r="AB2954" t="e">
        <f>IF(AND(#REF!&gt;180, #REF!&gt;200), "Heavy Doemstic User", IF(#REF!&gt;10, "Interntional User", IF(AND(#REF!&lt;180, #REF!&lt;200,#REF!&lt;200), "Light User", "Balanced User")))</f>
        <v>#REF!</v>
      </c>
      <c r="AC2954" t="e">
        <f>IF(#REF! = 0, "No Usage", IF(#REF! &lt;= 20, "Low Usage", IF(#REF! &lt;= 40, "Medium Usgae", "High Usage")))</f>
        <v>#REF!</v>
      </c>
      <c r="AD2954" t="e">
        <f>IF(#REF!&lt;=150,"Low Usage", IF(#REF!&lt;=200,"Medium Usage", IF(#REF!&lt;=250,"High Usage","Very High Usage")))</f>
        <v>#REF!</v>
      </c>
      <c r="AE2954" t="e">
        <f>IF(#REF!&lt;=5,"Low Calls", IF(#REF!&lt;=10, "Medium Calls", "High Calls"))</f>
        <v>#REF!</v>
      </c>
      <c r="AF2954" t="e">
        <f xml:space="preserve">
IF(#REF!&gt;=4,4,0)+
IF(#REF!="yes",3,0)+
IF(#REF!="High Charges",3,0)+
IF(#REF!&gt;250,4,0)+
IF(#REF!="no",1,0)+
IF(#REF!="Heavy Domestic User",2,0)</f>
        <v>#REF!</v>
      </c>
      <c r="AG2954" t="e">
        <f>IF(#REF!&gt;=10,"High Risk", IF(#REF!&gt;=5,"Medium Risk","Low Risk"))</f>
        <v>#REF!</v>
      </c>
      <c r="AH2954" t="e">
        <f>#REF! + #REF! + #REF! + #REF!</f>
        <v>#REF!</v>
      </c>
    </row>
    <row r="2955" spans="1:34" x14ac:dyDescent="0.35">
      <c r="A2955">
        <v>2954</v>
      </c>
      <c r="B2955" t="s">
        <v>38</v>
      </c>
      <c r="C2955">
        <v>104</v>
      </c>
      <c r="D2955" t="s">
        <v>21</v>
      </c>
      <c r="E2955" t="s">
        <v>22</v>
      </c>
      <c r="F2955" t="s">
        <v>22</v>
      </c>
      <c r="G2955">
        <v>0</v>
      </c>
      <c r="H2955">
        <v>139.69999999999999</v>
      </c>
      <c r="I2955">
        <v>112</v>
      </c>
      <c r="J2955">
        <v>23.75</v>
      </c>
      <c r="K2955">
        <v>199.8</v>
      </c>
      <c r="L2955">
        <v>127</v>
      </c>
      <c r="M2955">
        <v>16.98</v>
      </c>
      <c r="N2955">
        <v>189.3</v>
      </c>
      <c r="O2955">
        <v>104</v>
      </c>
      <c r="P2955">
        <v>8.52</v>
      </c>
      <c r="Q2955">
        <v>10.3</v>
      </c>
      <c r="R2955">
        <v>2</v>
      </c>
      <c r="S2955">
        <v>2.78</v>
      </c>
      <c r="T2955">
        <v>2</v>
      </c>
      <c r="U2955" t="s">
        <v>22</v>
      </c>
      <c r="V2955" t="e">
        <f>IF(#REF! = "yes", 1, 0)</f>
        <v>#REF!</v>
      </c>
      <c r="W2955" t="e">
        <f>IF(#REF! &lt;= 1, "0-1 Calls", IF(#REF! &lt;= 3, "2-3 Calls", IF(#REF! &lt;=5, "4-5 Calls", "6+ Calls")))</f>
        <v>#REF!</v>
      </c>
      <c r="X2955" t="e">
        <f>IF(#REF! &lt;= 50, "0-50", IF(#REF! &lt;=100, "51-100", IF(#REF! &lt;= 150, "101-150", "151+")))</f>
        <v>#REF!</v>
      </c>
      <c r="Y2955" t="e">
        <f>IF(#REF! &lt;= 3, "Low Charges", "High Charges")</f>
        <v>#REF!</v>
      </c>
      <c r="Z2955" t="e">
        <f>IF(#REF!&lt;=80,"Low Calls",
IF(#REF!&lt;=120,"Medium Calls","High Calls"))</f>
        <v>#REF!</v>
      </c>
      <c r="AA2955" t="e">
        <f>IF(#REF!&lt;=15,"Low Charges",
IF(#REF!&lt;=20,"Medium Charges","High Charges"))</f>
        <v>#REF!</v>
      </c>
      <c r="AB2955" t="e">
        <f>IF(AND(#REF!&gt;180, #REF!&gt;200), "Heavy Doemstic User", IF(#REF!&gt;10, "Interntional User", IF(AND(#REF!&lt;180, #REF!&lt;200,#REF!&lt;200), "Light User", "Balanced User")))</f>
        <v>#REF!</v>
      </c>
      <c r="AC2955" t="e">
        <f>IF(#REF! = 0, "No Usage", IF(#REF! &lt;= 20, "Low Usage", IF(#REF! &lt;= 40, "Medium Usgae", "High Usage")))</f>
        <v>#REF!</v>
      </c>
      <c r="AD2955" t="e">
        <f>IF(#REF!&lt;=150,"Low Usage", IF(#REF!&lt;=200,"Medium Usage", IF(#REF!&lt;=250,"High Usage","Very High Usage")))</f>
        <v>#REF!</v>
      </c>
      <c r="AE2955" t="e">
        <f>IF(#REF!&lt;=5,"Low Calls", IF(#REF!&lt;=10, "Medium Calls", "High Calls"))</f>
        <v>#REF!</v>
      </c>
      <c r="AF2955" t="e">
        <f xml:space="preserve">
IF(#REF!&gt;=4,4,0)+
IF(#REF!="yes",3,0)+
IF(#REF!="High Charges",3,0)+
IF(#REF!&gt;250,4,0)+
IF(#REF!="no",1,0)+
IF(#REF!="Heavy Domestic User",2,0)</f>
        <v>#REF!</v>
      </c>
      <c r="AG2955" t="e">
        <f>IF(#REF!&gt;=10,"High Risk", IF(#REF!&gt;=5,"Medium Risk","Low Risk"))</f>
        <v>#REF!</v>
      </c>
      <c r="AH2955" t="e">
        <f>#REF! + #REF! + #REF! + #REF!</f>
        <v>#REF!</v>
      </c>
    </row>
    <row r="2956" spans="1:34" x14ac:dyDescent="0.35">
      <c r="A2956">
        <v>2955</v>
      </c>
      <c r="B2956" t="s">
        <v>43</v>
      </c>
      <c r="C2956">
        <v>40</v>
      </c>
      <c r="D2956" t="s">
        <v>21</v>
      </c>
      <c r="E2956" t="s">
        <v>22</v>
      </c>
      <c r="F2956" t="s">
        <v>22</v>
      </c>
      <c r="G2956">
        <v>0</v>
      </c>
      <c r="H2956">
        <v>309.39999999999998</v>
      </c>
      <c r="I2956">
        <v>86</v>
      </c>
      <c r="J2956">
        <v>52.6</v>
      </c>
      <c r="K2956">
        <v>271.3</v>
      </c>
      <c r="L2956">
        <v>98</v>
      </c>
      <c r="M2956">
        <v>23.06</v>
      </c>
      <c r="N2956">
        <v>197.1</v>
      </c>
      <c r="O2956">
        <v>116</v>
      </c>
      <c r="P2956">
        <v>8.8699999999999992</v>
      </c>
      <c r="Q2956">
        <v>11.2</v>
      </c>
      <c r="R2956">
        <v>5</v>
      </c>
      <c r="S2956">
        <v>3.02</v>
      </c>
      <c r="T2956">
        <v>3</v>
      </c>
      <c r="U2956" t="s">
        <v>23</v>
      </c>
      <c r="V2956" t="e">
        <f>IF(#REF! = "yes", 1, 0)</f>
        <v>#REF!</v>
      </c>
      <c r="W2956" t="e">
        <f>IF(#REF! &lt;= 1, "0-1 Calls", IF(#REF! &lt;= 3, "2-3 Calls", IF(#REF! &lt;=5, "4-5 Calls", "6+ Calls")))</f>
        <v>#REF!</v>
      </c>
      <c r="X2956" t="e">
        <f>IF(#REF! &lt;= 50, "0-50", IF(#REF! &lt;=100, "51-100", IF(#REF! &lt;= 150, "101-150", "151+")))</f>
        <v>#REF!</v>
      </c>
      <c r="Y2956" t="e">
        <f>IF(#REF! &lt;= 3, "Low Charges", "High Charges")</f>
        <v>#REF!</v>
      </c>
      <c r="Z2956" t="e">
        <f>IF(#REF!&lt;=80,"Low Calls",
IF(#REF!&lt;=120,"Medium Calls","High Calls"))</f>
        <v>#REF!</v>
      </c>
      <c r="AA2956" t="e">
        <f>IF(#REF!&lt;=15,"Low Charges",
IF(#REF!&lt;=20,"Medium Charges","High Charges"))</f>
        <v>#REF!</v>
      </c>
      <c r="AB2956" t="e">
        <f>IF(AND(#REF!&gt;180, #REF!&gt;200), "Heavy Doemstic User", IF(#REF!&gt;10, "Interntional User", IF(AND(#REF!&lt;180, #REF!&lt;200,#REF!&lt;200), "Light User", "Balanced User")))</f>
        <v>#REF!</v>
      </c>
      <c r="AC2956" t="e">
        <f>IF(#REF! = 0, "No Usage", IF(#REF! &lt;= 20, "Low Usage", IF(#REF! &lt;= 40, "Medium Usgae", "High Usage")))</f>
        <v>#REF!</v>
      </c>
      <c r="AD2956" t="e">
        <f>IF(#REF!&lt;=150,"Low Usage", IF(#REF!&lt;=200,"Medium Usage", IF(#REF!&lt;=250,"High Usage","Very High Usage")))</f>
        <v>#REF!</v>
      </c>
      <c r="AE2956" t="e">
        <f>IF(#REF!&lt;=5,"Low Calls", IF(#REF!&lt;=10, "Medium Calls", "High Calls"))</f>
        <v>#REF!</v>
      </c>
      <c r="AF2956" t="e">
        <f xml:space="preserve">
IF(#REF!&gt;=4,4,0)+
IF(#REF!="yes",3,0)+
IF(#REF!="High Charges",3,0)+
IF(#REF!&gt;250,4,0)+
IF(#REF!="no",1,0)+
IF(#REF!="Heavy Domestic User",2,0)</f>
        <v>#REF!</v>
      </c>
      <c r="AG2956" t="e">
        <f>IF(#REF!&gt;=10,"High Risk", IF(#REF!&gt;=5,"Medium Risk","Low Risk"))</f>
        <v>#REF!</v>
      </c>
      <c r="AH2956" t="e">
        <f>#REF! + #REF! + #REF! + #REF!</f>
        <v>#REF!</v>
      </c>
    </row>
    <row r="2957" spans="1:34" x14ac:dyDescent="0.35">
      <c r="A2957">
        <v>2956</v>
      </c>
      <c r="B2957" t="s">
        <v>31</v>
      </c>
      <c r="C2957">
        <v>161</v>
      </c>
      <c r="D2957" t="s">
        <v>21</v>
      </c>
      <c r="E2957" t="s">
        <v>22</v>
      </c>
      <c r="F2957" t="s">
        <v>22</v>
      </c>
      <c r="G2957">
        <v>0</v>
      </c>
      <c r="H2957">
        <v>159.6</v>
      </c>
      <c r="I2957">
        <v>102</v>
      </c>
      <c r="J2957">
        <v>27.13</v>
      </c>
      <c r="K2957">
        <v>212.6</v>
      </c>
      <c r="L2957">
        <v>119</v>
      </c>
      <c r="M2957">
        <v>18.07</v>
      </c>
      <c r="N2957">
        <v>151.4</v>
      </c>
      <c r="O2957">
        <v>83</v>
      </c>
      <c r="P2957">
        <v>6.81</v>
      </c>
      <c r="Q2957">
        <v>12.6</v>
      </c>
      <c r="R2957">
        <v>7</v>
      </c>
      <c r="S2957">
        <v>3.4</v>
      </c>
      <c r="T2957">
        <v>5</v>
      </c>
      <c r="U2957" t="s">
        <v>23</v>
      </c>
      <c r="V2957" t="e">
        <f>IF(#REF! = "yes", 1, 0)</f>
        <v>#REF!</v>
      </c>
      <c r="W2957" t="e">
        <f>IF(#REF! &lt;= 1, "0-1 Calls", IF(#REF! &lt;= 3, "2-3 Calls", IF(#REF! &lt;=5, "4-5 Calls", "6+ Calls")))</f>
        <v>#REF!</v>
      </c>
      <c r="X2957" t="e">
        <f>IF(#REF! &lt;= 50, "0-50", IF(#REF! &lt;=100, "51-100", IF(#REF! &lt;= 150, "101-150", "151+")))</f>
        <v>#REF!</v>
      </c>
      <c r="Y2957" t="e">
        <f>IF(#REF! &lt;= 3, "Low Charges", "High Charges")</f>
        <v>#REF!</v>
      </c>
      <c r="Z2957" t="e">
        <f>IF(#REF!&lt;=80,"Low Calls",
IF(#REF!&lt;=120,"Medium Calls","High Calls"))</f>
        <v>#REF!</v>
      </c>
      <c r="AA2957" t="e">
        <f>IF(#REF!&lt;=15,"Low Charges",
IF(#REF!&lt;=20,"Medium Charges","High Charges"))</f>
        <v>#REF!</v>
      </c>
      <c r="AB2957" t="e">
        <f>IF(AND(#REF!&gt;180, #REF!&gt;200), "Heavy Doemstic User", IF(#REF!&gt;10, "Interntional User", IF(AND(#REF!&lt;180, #REF!&lt;200,#REF!&lt;200), "Light User", "Balanced User")))</f>
        <v>#REF!</v>
      </c>
      <c r="AC2957" t="e">
        <f>IF(#REF! = 0, "No Usage", IF(#REF! &lt;= 20, "Low Usage", IF(#REF! &lt;= 40, "Medium Usgae", "High Usage")))</f>
        <v>#REF!</v>
      </c>
      <c r="AD2957" t="e">
        <f>IF(#REF!&lt;=150,"Low Usage", IF(#REF!&lt;=200,"Medium Usage", IF(#REF!&lt;=250,"High Usage","Very High Usage")))</f>
        <v>#REF!</v>
      </c>
      <c r="AE2957" t="e">
        <f>IF(#REF!&lt;=5,"Low Calls", IF(#REF!&lt;=10, "Medium Calls", "High Calls"))</f>
        <v>#REF!</v>
      </c>
      <c r="AF2957" t="e">
        <f xml:space="preserve">
IF(#REF!&gt;=4,4,0)+
IF(#REF!="yes",3,0)+
IF(#REF!="High Charges",3,0)+
IF(#REF!&gt;250,4,0)+
IF(#REF!="no",1,0)+
IF(#REF!="Heavy Domestic User",2,0)</f>
        <v>#REF!</v>
      </c>
      <c r="AG2957" t="e">
        <f>IF(#REF!&gt;=10,"High Risk", IF(#REF!&gt;=5,"Medium Risk","Low Risk"))</f>
        <v>#REF!</v>
      </c>
      <c r="AH2957" t="e">
        <f>#REF! + #REF! + #REF! + #REF!</f>
        <v>#REF!</v>
      </c>
    </row>
    <row r="2958" spans="1:34" x14ac:dyDescent="0.35">
      <c r="A2958">
        <v>2957</v>
      </c>
      <c r="B2958" t="s">
        <v>65</v>
      </c>
      <c r="C2958">
        <v>131</v>
      </c>
      <c r="D2958" t="s">
        <v>25</v>
      </c>
      <c r="E2958" t="s">
        <v>22</v>
      </c>
      <c r="F2958" t="s">
        <v>23</v>
      </c>
      <c r="G2958">
        <v>29</v>
      </c>
      <c r="H2958">
        <v>239.7</v>
      </c>
      <c r="I2958">
        <v>102</v>
      </c>
      <c r="J2958">
        <v>40.75</v>
      </c>
      <c r="K2958">
        <v>212.8</v>
      </c>
      <c r="L2958">
        <v>109</v>
      </c>
      <c r="M2958">
        <v>18.09</v>
      </c>
      <c r="N2958">
        <v>187.7</v>
      </c>
      <c r="O2958">
        <v>77</v>
      </c>
      <c r="P2958">
        <v>8.4499999999999993</v>
      </c>
      <c r="Q2958">
        <v>10.5</v>
      </c>
      <c r="R2958">
        <v>2</v>
      </c>
      <c r="S2958">
        <v>2.84</v>
      </c>
      <c r="T2958">
        <v>1</v>
      </c>
      <c r="U2958" t="s">
        <v>22</v>
      </c>
      <c r="V2958" t="e">
        <f>IF(#REF! = "yes", 1, 0)</f>
        <v>#REF!</v>
      </c>
      <c r="W2958" t="e">
        <f>IF(#REF! &lt;= 1, "0-1 Calls", IF(#REF! &lt;= 3, "2-3 Calls", IF(#REF! &lt;=5, "4-5 Calls", "6+ Calls")))</f>
        <v>#REF!</v>
      </c>
      <c r="X2958" t="e">
        <f>IF(#REF! &lt;= 50, "0-50", IF(#REF! &lt;=100, "51-100", IF(#REF! &lt;= 150, "101-150", "151+")))</f>
        <v>#REF!</v>
      </c>
      <c r="Y2958" t="e">
        <f>IF(#REF! &lt;= 3, "Low Charges", "High Charges")</f>
        <v>#REF!</v>
      </c>
      <c r="Z2958" t="e">
        <f>IF(#REF!&lt;=80,"Low Calls",
IF(#REF!&lt;=120,"Medium Calls","High Calls"))</f>
        <v>#REF!</v>
      </c>
      <c r="AA2958" t="e">
        <f>IF(#REF!&lt;=15,"Low Charges",
IF(#REF!&lt;=20,"Medium Charges","High Charges"))</f>
        <v>#REF!</v>
      </c>
      <c r="AB2958" t="e">
        <f>IF(AND(#REF!&gt;180, #REF!&gt;200), "Heavy Doemstic User", IF(#REF!&gt;10, "Interntional User", IF(AND(#REF!&lt;180, #REF!&lt;200,#REF!&lt;200), "Light User", "Balanced User")))</f>
        <v>#REF!</v>
      </c>
      <c r="AC2958" t="e">
        <f>IF(#REF! = 0, "No Usage", IF(#REF! &lt;= 20, "Low Usage", IF(#REF! &lt;= 40, "Medium Usgae", "High Usage")))</f>
        <v>#REF!</v>
      </c>
      <c r="AD2958" t="e">
        <f>IF(#REF!&lt;=150,"Low Usage", IF(#REF!&lt;=200,"Medium Usage", IF(#REF!&lt;=250,"High Usage","Very High Usage")))</f>
        <v>#REF!</v>
      </c>
      <c r="AE2958" t="e">
        <f>IF(#REF!&lt;=5,"Low Calls", IF(#REF!&lt;=10, "Medium Calls", "High Calls"))</f>
        <v>#REF!</v>
      </c>
      <c r="AF2958" t="e">
        <f xml:space="preserve">
IF(#REF!&gt;=4,4,0)+
IF(#REF!="yes",3,0)+
IF(#REF!="High Charges",3,0)+
IF(#REF!&gt;250,4,0)+
IF(#REF!="no",1,0)+
IF(#REF!="Heavy Domestic User",2,0)</f>
        <v>#REF!</v>
      </c>
      <c r="AG2958" t="e">
        <f>IF(#REF!&gt;=10,"High Risk", IF(#REF!&gt;=5,"Medium Risk","Low Risk"))</f>
        <v>#REF!</v>
      </c>
      <c r="AH2958" t="e">
        <f>#REF! + #REF! + #REF! + #REF!</f>
        <v>#REF!</v>
      </c>
    </row>
    <row r="2959" spans="1:34" x14ac:dyDescent="0.35">
      <c r="A2959">
        <v>2958</v>
      </c>
      <c r="B2959" t="s">
        <v>63</v>
      </c>
      <c r="C2959">
        <v>79</v>
      </c>
      <c r="D2959" t="s">
        <v>28</v>
      </c>
      <c r="E2959" t="s">
        <v>22</v>
      </c>
      <c r="F2959" t="s">
        <v>22</v>
      </c>
      <c r="G2959">
        <v>0</v>
      </c>
      <c r="H2959">
        <v>161.1</v>
      </c>
      <c r="I2959">
        <v>110</v>
      </c>
      <c r="J2959">
        <v>27.39</v>
      </c>
      <c r="K2959">
        <v>170.6</v>
      </c>
      <c r="L2959">
        <v>111</v>
      </c>
      <c r="M2959">
        <v>14.5</v>
      </c>
      <c r="N2959">
        <v>274.39999999999998</v>
      </c>
      <c r="O2959">
        <v>80</v>
      </c>
      <c r="P2959">
        <v>12.35</v>
      </c>
      <c r="Q2959">
        <v>7.6</v>
      </c>
      <c r="R2959">
        <v>2</v>
      </c>
      <c r="S2959">
        <v>2.0499999999999998</v>
      </c>
      <c r="T2959">
        <v>2</v>
      </c>
      <c r="U2959" t="s">
        <v>22</v>
      </c>
      <c r="V2959" t="e">
        <f>IF(#REF! = "yes", 1, 0)</f>
        <v>#REF!</v>
      </c>
      <c r="W2959" t="e">
        <f>IF(#REF! &lt;= 1, "0-1 Calls", IF(#REF! &lt;= 3, "2-3 Calls", IF(#REF! &lt;=5, "4-5 Calls", "6+ Calls")))</f>
        <v>#REF!</v>
      </c>
      <c r="X2959" t="e">
        <f>IF(#REF! &lt;= 50, "0-50", IF(#REF! &lt;=100, "51-100", IF(#REF! &lt;= 150, "101-150", "151+")))</f>
        <v>#REF!</v>
      </c>
      <c r="Y2959" t="e">
        <f>IF(#REF! &lt;= 3, "Low Charges", "High Charges")</f>
        <v>#REF!</v>
      </c>
      <c r="Z2959" t="e">
        <f>IF(#REF!&lt;=80,"Low Calls",
IF(#REF!&lt;=120,"Medium Calls","High Calls"))</f>
        <v>#REF!</v>
      </c>
      <c r="AA2959" t="e">
        <f>IF(#REF!&lt;=15,"Low Charges",
IF(#REF!&lt;=20,"Medium Charges","High Charges"))</f>
        <v>#REF!</v>
      </c>
      <c r="AB2959" t="e">
        <f>IF(AND(#REF!&gt;180, #REF!&gt;200), "Heavy Doemstic User", IF(#REF!&gt;10, "Interntional User", IF(AND(#REF!&lt;180, #REF!&lt;200,#REF!&lt;200), "Light User", "Balanced User")))</f>
        <v>#REF!</v>
      </c>
      <c r="AC2959" t="e">
        <f>IF(#REF! = 0, "No Usage", IF(#REF! &lt;= 20, "Low Usage", IF(#REF! &lt;= 40, "Medium Usgae", "High Usage")))</f>
        <v>#REF!</v>
      </c>
      <c r="AD2959" t="e">
        <f>IF(#REF!&lt;=150,"Low Usage", IF(#REF!&lt;=200,"Medium Usage", IF(#REF!&lt;=250,"High Usage","Very High Usage")))</f>
        <v>#REF!</v>
      </c>
      <c r="AE2959" t="e">
        <f>IF(#REF!&lt;=5,"Low Calls", IF(#REF!&lt;=10, "Medium Calls", "High Calls"))</f>
        <v>#REF!</v>
      </c>
      <c r="AF2959" t="e">
        <f xml:space="preserve">
IF(#REF!&gt;=4,4,0)+
IF(#REF!="yes",3,0)+
IF(#REF!="High Charges",3,0)+
IF(#REF!&gt;250,4,0)+
IF(#REF!="no",1,0)+
IF(#REF!="Heavy Domestic User",2,0)</f>
        <v>#REF!</v>
      </c>
      <c r="AG2959" t="e">
        <f>IF(#REF!&gt;=10,"High Risk", IF(#REF!&gt;=5,"Medium Risk","Low Risk"))</f>
        <v>#REF!</v>
      </c>
      <c r="AH2959" t="e">
        <f>#REF! + #REF! + #REF! + #REF!</f>
        <v>#REF!</v>
      </c>
    </row>
    <row r="2960" spans="1:34" x14ac:dyDescent="0.35">
      <c r="A2960">
        <v>2959</v>
      </c>
      <c r="B2960" t="s">
        <v>45</v>
      </c>
      <c r="C2960">
        <v>161</v>
      </c>
      <c r="D2960" t="s">
        <v>25</v>
      </c>
      <c r="E2960" t="s">
        <v>22</v>
      </c>
      <c r="F2960" t="s">
        <v>22</v>
      </c>
      <c r="G2960">
        <v>0</v>
      </c>
      <c r="H2960">
        <v>165.4</v>
      </c>
      <c r="I2960">
        <v>88</v>
      </c>
      <c r="J2960">
        <v>28.12</v>
      </c>
      <c r="K2960">
        <v>209.7</v>
      </c>
      <c r="L2960">
        <v>111</v>
      </c>
      <c r="M2960">
        <v>17.82</v>
      </c>
      <c r="N2960">
        <v>270.7</v>
      </c>
      <c r="O2960">
        <v>129</v>
      </c>
      <c r="P2960">
        <v>12.18</v>
      </c>
      <c r="Q2960">
        <v>10.5</v>
      </c>
      <c r="R2960">
        <v>3</v>
      </c>
      <c r="S2960">
        <v>2.84</v>
      </c>
      <c r="T2960">
        <v>4</v>
      </c>
      <c r="U2960" t="s">
        <v>22</v>
      </c>
      <c r="V2960" t="e">
        <f>IF(#REF! = "yes", 1, 0)</f>
        <v>#REF!</v>
      </c>
      <c r="W2960" t="e">
        <f>IF(#REF! &lt;= 1, "0-1 Calls", IF(#REF! &lt;= 3, "2-3 Calls", IF(#REF! &lt;=5, "4-5 Calls", "6+ Calls")))</f>
        <v>#REF!</v>
      </c>
      <c r="X2960" t="e">
        <f>IF(#REF! &lt;= 50, "0-50", IF(#REF! &lt;=100, "51-100", IF(#REF! &lt;= 150, "101-150", "151+")))</f>
        <v>#REF!</v>
      </c>
      <c r="Y2960" t="e">
        <f>IF(#REF! &lt;= 3, "Low Charges", "High Charges")</f>
        <v>#REF!</v>
      </c>
      <c r="Z2960" t="e">
        <f>IF(#REF!&lt;=80,"Low Calls",
IF(#REF!&lt;=120,"Medium Calls","High Calls"))</f>
        <v>#REF!</v>
      </c>
      <c r="AA2960" t="e">
        <f>IF(#REF!&lt;=15,"Low Charges",
IF(#REF!&lt;=20,"Medium Charges","High Charges"))</f>
        <v>#REF!</v>
      </c>
      <c r="AB2960" t="e">
        <f>IF(AND(#REF!&gt;180, #REF!&gt;200), "Heavy Doemstic User", IF(#REF!&gt;10, "Interntional User", IF(AND(#REF!&lt;180, #REF!&lt;200,#REF!&lt;200), "Light User", "Balanced User")))</f>
        <v>#REF!</v>
      </c>
      <c r="AC2960" t="e">
        <f>IF(#REF! = 0, "No Usage", IF(#REF! &lt;= 20, "Low Usage", IF(#REF! &lt;= 40, "Medium Usgae", "High Usage")))</f>
        <v>#REF!</v>
      </c>
      <c r="AD2960" t="e">
        <f>IF(#REF!&lt;=150,"Low Usage", IF(#REF!&lt;=200,"Medium Usage", IF(#REF!&lt;=250,"High Usage","Very High Usage")))</f>
        <v>#REF!</v>
      </c>
      <c r="AE2960" t="e">
        <f>IF(#REF!&lt;=5,"Low Calls", IF(#REF!&lt;=10, "Medium Calls", "High Calls"))</f>
        <v>#REF!</v>
      </c>
      <c r="AF2960" t="e">
        <f xml:space="preserve">
IF(#REF!&gt;=4,4,0)+
IF(#REF!="yes",3,0)+
IF(#REF!="High Charges",3,0)+
IF(#REF!&gt;250,4,0)+
IF(#REF!="no",1,0)+
IF(#REF!="Heavy Domestic User",2,0)</f>
        <v>#REF!</v>
      </c>
      <c r="AG2960" t="e">
        <f>IF(#REF!&gt;=10,"High Risk", IF(#REF!&gt;=5,"Medium Risk","Low Risk"))</f>
        <v>#REF!</v>
      </c>
      <c r="AH2960" t="e">
        <f>#REF! + #REF! + #REF! + #REF!</f>
        <v>#REF!</v>
      </c>
    </row>
    <row r="2961" spans="1:34" x14ac:dyDescent="0.35">
      <c r="A2961">
        <v>2960</v>
      </c>
      <c r="B2961" t="s">
        <v>67</v>
      </c>
      <c r="C2961">
        <v>108</v>
      </c>
      <c r="D2961" t="s">
        <v>21</v>
      </c>
      <c r="E2961" t="s">
        <v>22</v>
      </c>
      <c r="F2961" t="s">
        <v>23</v>
      </c>
      <c r="G2961">
        <v>28</v>
      </c>
      <c r="H2961">
        <v>221.3</v>
      </c>
      <c r="I2961">
        <v>117</v>
      </c>
      <c r="J2961">
        <v>37.619999999999997</v>
      </c>
      <c r="K2961">
        <v>156</v>
      </c>
      <c r="L2961">
        <v>102</v>
      </c>
      <c r="M2961">
        <v>13.26</v>
      </c>
      <c r="N2961">
        <v>159.30000000000001</v>
      </c>
      <c r="O2961">
        <v>80</v>
      </c>
      <c r="P2961">
        <v>7.17</v>
      </c>
      <c r="Q2961">
        <v>8.6999999999999993</v>
      </c>
      <c r="R2961">
        <v>3</v>
      </c>
      <c r="S2961">
        <v>2.35</v>
      </c>
      <c r="T2961">
        <v>0</v>
      </c>
      <c r="U2961" t="s">
        <v>22</v>
      </c>
      <c r="V2961" t="e">
        <f>IF(#REF! = "yes", 1, 0)</f>
        <v>#REF!</v>
      </c>
      <c r="W2961" t="e">
        <f>IF(#REF! &lt;= 1, "0-1 Calls", IF(#REF! &lt;= 3, "2-3 Calls", IF(#REF! &lt;=5, "4-5 Calls", "6+ Calls")))</f>
        <v>#REF!</v>
      </c>
      <c r="X2961" t="e">
        <f>IF(#REF! &lt;= 50, "0-50", IF(#REF! &lt;=100, "51-100", IF(#REF! &lt;= 150, "101-150", "151+")))</f>
        <v>#REF!</v>
      </c>
      <c r="Y2961" t="e">
        <f>IF(#REF! &lt;= 3, "Low Charges", "High Charges")</f>
        <v>#REF!</v>
      </c>
      <c r="Z2961" t="e">
        <f>IF(#REF!&lt;=80,"Low Calls",
IF(#REF!&lt;=120,"Medium Calls","High Calls"))</f>
        <v>#REF!</v>
      </c>
      <c r="AA2961" t="e">
        <f>IF(#REF!&lt;=15,"Low Charges",
IF(#REF!&lt;=20,"Medium Charges","High Charges"))</f>
        <v>#REF!</v>
      </c>
      <c r="AB2961" t="e">
        <f>IF(AND(#REF!&gt;180, #REF!&gt;200), "Heavy Doemstic User", IF(#REF!&gt;10, "Interntional User", IF(AND(#REF!&lt;180, #REF!&lt;200,#REF!&lt;200), "Light User", "Balanced User")))</f>
        <v>#REF!</v>
      </c>
      <c r="AC2961" t="e">
        <f>IF(#REF! = 0, "No Usage", IF(#REF! &lt;= 20, "Low Usage", IF(#REF! &lt;= 40, "Medium Usgae", "High Usage")))</f>
        <v>#REF!</v>
      </c>
      <c r="AD2961" t="e">
        <f>IF(#REF!&lt;=150,"Low Usage", IF(#REF!&lt;=200,"Medium Usage", IF(#REF!&lt;=250,"High Usage","Very High Usage")))</f>
        <v>#REF!</v>
      </c>
      <c r="AE2961" t="e">
        <f>IF(#REF!&lt;=5,"Low Calls", IF(#REF!&lt;=10, "Medium Calls", "High Calls"))</f>
        <v>#REF!</v>
      </c>
      <c r="AF2961" t="e">
        <f xml:space="preserve">
IF(#REF!&gt;=4,4,0)+
IF(#REF!="yes",3,0)+
IF(#REF!="High Charges",3,0)+
IF(#REF!&gt;250,4,0)+
IF(#REF!="no",1,0)+
IF(#REF!="Heavy Domestic User",2,0)</f>
        <v>#REF!</v>
      </c>
      <c r="AG2961" t="e">
        <f>IF(#REF!&gt;=10,"High Risk", IF(#REF!&gt;=5,"Medium Risk","Low Risk"))</f>
        <v>#REF!</v>
      </c>
      <c r="AH2961" t="e">
        <f>#REF! + #REF! + #REF! + #REF!</f>
        <v>#REF!</v>
      </c>
    </row>
    <row r="2962" spans="1:34" x14ac:dyDescent="0.35">
      <c r="A2962">
        <v>2961</v>
      </c>
      <c r="B2962" t="s">
        <v>31</v>
      </c>
      <c r="C2962">
        <v>69</v>
      </c>
      <c r="D2962" t="s">
        <v>21</v>
      </c>
      <c r="E2962" t="s">
        <v>23</v>
      </c>
      <c r="F2962" t="s">
        <v>22</v>
      </c>
      <c r="G2962">
        <v>0</v>
      </c>
      <c r="H2962">
        <v>176.8</v>
      </c>
      <c r="I2962">
        <v>89</v>
      </c>
      <c r="J2962">
        <v>30.06</v>
      </c>
      <c r="K2962">
        <v>196</v>
      </c>
      <c r="L2962">
        <v>89</v>
      </c>
      <c r="M2962">
        <v>16.66</v>
      </c>
      <c r="N2962">
        <v>232.6</v>
      </c>
      <c r="O2962">
        <v>151</v>
      </c>
      <c r="P2962">
        <v>10.47</v>
      </c>
      <c r="Q2962">
        <v>13.1</v>
      </c>
      <c r="R2962">
        <v>5</v>
      </c>
      <c r="S2962">
        <v>3.54</v>
      </c>
      <c r="T2962">
        <v>1</v>
      </c>
      <c r="U2962" t="s">
        <v>23</v>
      </c>
      <c r="V2962" t="e">
        <f>IF(#REF! = "yes", 1, 0)</f>
        <v>#REF!</v>
      </c>
      <c r="W2962" t="e">
        <f>IF(#REF! &lt;= 1, "0-1 Calls", IF(#REF! &lt;= 3, "2-3 Calls", IF(#REF! &lt;=5, "4-5 Calls", "6+ Calls")))</f>
        <v>#REF!</v>
      </c>
      <c r="X2962" t="e">
        <f>IF(#REF! &lt;= 50, "0-50", IF(#REF! &lt;=100, "51-100", IF(#REF! &lt;= 150, "101-150", "151+")))</f>
        <v>#REF!</v>
      </c>
      <c r="Y2962" t="e">
        <f>IF(#REF! &lt;= 3, "Low Charges", "High Charges")</f>
        <v>#REF!</v>
      </c>
      <c r="Z2962" t="e">
        <f>IF(#REF!&lt;=80,"Low Calls",
IF(#REF!&lt;=120,"Medium Calls","High Calls"))</f>
        <v>#REF!</v>
      </c>
      <c r="AA2962" t="e">
        <f>IF(#REF!&lt;=15,"Low Charges",
IF(#REF!&lt;=20,"Medium Charges","High Charges"))</f>
        <v>#REF!</v>
      </c>
      <c r="AB2962" t="e">
        <f>IF(AND(#REF!&gt;180, #REF!&gt;200), "Heavy Doemstic User", IF(#REF!&gt;10, "Interntional User", IF(AND(#REF!&lt;180, #REF!&lt;200,#REF!&lt;200), "Light User", "Balanced User")))</f>
        <v>#REF!</v>
      </c>
      <c r="AC2962" t="e">
        <f>IF(#REF! = 0, "No Usage", IF(#REF! &lt;= 20, "Low Usage", IF(#REF! &lt;= 40, "Medium Usgae", "High Usage")))</f>
        <v>#REF!</v>
      </c>
      <c r="AD2962" t="e">
        <f>IF(#REF!&lt;=150,"Low Usage", IF(#REF!&lt;=200,"Medium Usage", IF(#REF!&lt;=250,"High Usage","Very High Usage")))</f>
        <v>#REF!</v>
      </c>
      <c r="AE2962" t="e">
        <f>IF(#REF!&lt;=5,"Low Calls", IF(#REF!&lt;=10, "Medium Calls", "High Calls"))</f>
        <v>#REF!</v>
      </c>
      <c r="AF2962" t="e">
        <f xml:space="preserve">
IF(#REF!&gt;=4,4,0)+
IF(#REF!="yes",3,0)+
IF(#REF!="High Charges",3,0)+
IF(#REF!&gt;250,4,0)+
IF(#REF!="no",1,0)+
IF(#REF!="Heavy Domestic User",2,0)</f>
        <v>#REF!</v>
      </c>
      <c r="AG2962" t="e">
        <f>IF(#REF!&gt;=10,"High Risk", IF(#REF!&gt;=5,"Medium Risk","Low Risk"))</f>
        <v>#REF!</v>
      </c>
      <c r="AH2962" t="e">
        <f>#REF! + #REF! + #REF! + #REF!</f>
        <v>#REF!</v>
      </c>
    </row>
    <row r="2963" spans="1:34" x14ac:dyDescent="0.35">
      <c r="A2963">
        <v>2962</v>
      </c>
      <c r="B2963" t="s">
        <v>58</v>
      </c>
      <c r="C2963">
        <v>80</v>
      </c>
      <c r="D2963" t="s">
        <v>25</v>
      </c>
      <c r="E2963" t="s">
        <v>22</v>
      </c>
      <c r="F2963" t="s">
        <v>22</v>
      </c>
      <c r="G2963">
        <v>0</v>
      </c>
      <c r="H2963">
        <v>196</v>
      </c>
      <c r="I2963">
        <v>75</v>
      </c>
      <c r="J2963">
        <v>33.32</v>
      </c>
      <c r="K2963">
        <v>237.8</v>
      </c>
      <c r="L2963">
        <v>112</v>
      </c>
      <c r="M2963">
        <v>20.21</v>
      </c>
      <c r="N2963">
        <v>220.1</v>
      </c>
      <c r="O2963">
        <v>127</v>
      </c>
      <c r="P2963">
        <v>9.9</v>
      </c>
      <c r="Q2963">
        <v>13.9</v>
      </c>
      <c r="R2963">
        <v>5</v>
      </c>
      <c r="S2963">
        <v>3.75</v>
      </c>
      <c r="T2963">
        <v>1</v>
      </c>
      <c r="U2963" t="s">
        <v>22</v>
      </c>
      <c r="V2963" t="e">
        <f>IF(#REF! = "yes", 1, 0)</f>
        <v>#REF!</v>
      </c>
      <c r="W2963" t="e">
        <f>IF(#REF! &lt;= 1, "0-1 Calls", IF(#REF! &lt;= 3, "2-3 Calls", IF(#REF! &lt;=5, "4-5 Calls", "6+ Calls")))</f>
        <v>#REF!</v>
      </c>
      <c r="X2963" t="e">
        <f>IF(#REF! &lt;= 50, "0-50", IF(#REF! &lt;=100, "51-100", IF(#REF! &lt;= 150, "101-150", "151+")))</f>
        <v>#REF!</v>
      </c>
      <c r="Y2963" t="e">
        <f>IF(#REF! &lt;= 3, "Low Charges", "High Charges")</f>
        <v>#REF!</v>
      </c>
      <c r="Z2963" t="e">
        <f>IF(#REF!&lt;=80,"Low Calls",
IF(#REF!&lt;=120,"Medium Calls","High Calls"))</f>
        <v>#REF!</v>
      </c>
      <c r="AA2963" t="e">
        <f>IF(#REF!&lt;=15,"Low Charges",
IF(#REF!&lt;=20,"Medium Charges","High Charges"))</f>
        <v>#REF!</v>
      </c>
      <c r="AB2963" t="e">
        <f>IF(AND(#REF!&gt;180, #REF!&gt;200), "Heavy Doemstic User", IF(#REF!&gt;10, "Interntional User", IF(AND(#REF!&lt;180, #REF!&lt;200,#REF!&lt;200), "Light User", "Balanced User")))</f>
        <v>#REF!</v>
      </c>
      <c r="AC2963" t="e">
        <f>IF(#REF! = 0, "No Usage", IF(#REF! &lt;= 20, "Low Usage", IF(#REF! &lt;= 40, "Medium Usgae", "High Usage")))</f>
        <v>#REF!</v>
      </c>
      <c r="AD2963" t="e">
        <f>IF(#REF!&lt;=150,"Low Usage", IF(#REF!&lt;=200,"Medium Usage", IF(#REF!&lt;=250,"High Usage","Very High Usage")))</f>
        <v>#REF!</v>
      </c>
      <c r="AE2963" t="e">
        <f>IF(#REF!&lt;=5,"Low Calls", IF(#REF!&lt;=10, "Medium Calls", "High Calls"))</f>
        <v>#REF!</v>
      </c>
      <c r="AF2963" t="e">
        <f xml:space="preserve">
IF(#REF!&gt;=4,4,0)+
IF(#REF!="yes",3,0)+
IF(#REF!="High Charges",3,0)+
IF(#REF!&gt;250,4,0)+
IF(#REF!="no",1,0)+
IF(#REF!="Heavy Domestic User",2,0)</f>
        <v>#REF!</v>
      </c>
      <c r="AG2963" t="e">
        <f>IF(#REF!&gt;=10,"High Risk", IF(#REF!&gt;=5,"Medium Risk","Low Risk"))</f>
        <v>#REF!</v>
      </c>
      <c r="AH2963" t="e">
        <f>#REF! + #REF! + #REF! + #REF!</f>
        <v>#REF!</v>
      </c>
    </row>
    <row r="2964" spans="1:34" x14ac:dyDescent="0.35">
      <c r="A2964">
        <v>2963</v>
      </c>
      <c r="B2964" t="s">
        <v>66</v>
      </c>
      <c r="C2964">
        <v>146</v>
      </c>
      <c r="D2964" t="s">
        <v>21</v>
      </c>
      <c r="E2964" t="s">
        <v>22</v>
      </c>
      <c r="F2964" t="s">
        <v>22</v>
      </c>
      <c r="G2964">
        <v>0</v>
      </c>
      <c r="H2964">
        <v>174.3</v>
      </c>
      <c r="I2964">
        <v>113</v>
      </c>
      <c r="J2964">
        <v>29.63</v>
      </c>
      <c r="K2964">
        <v>200.7</v>
      </c>
      <c r="L2964">
        <v>107</v>
      </c>
      <c r="M2964">
        <v>17.059999999999999</v>
      </c>
      <c r="N2964">
        <v>281.2</v>
      </c>
      <c r="O2964">
        <v>145</v>
      </c>
      <c r="P2964">
        <v>12.65</v>
      </c>
      <c r="Q2964">
        <v>11.6</v>
      </c>
      <c r="R2964">
        <v>3</v>
      </c>
      <c r="S2964">
        <v>3.13</v>
      </c>
      <c r="T2964">
        <v>4</v>
      </c>
      <c r="U2964" t="s">
        <v>22</v>
      </c>
      <c r="V2964" t="e">
        <f>IF(#REF! = "yes", 1, 0)</f>
        <v>#REF!</v>
      </c>
      <c r="W2964" t="e">
        <f>IF(#REF! &lt;= 1, "0-1 Calls", IF(#REF! &lt;= 3, "2-3 Calls", IF(#REF! &lt;=5, "4-5 Calls", "6+ Calls")))</f>
        <v>#REF!</v>
      </c>
      <c r="X2964" t="e">
        <f>IF(#REF! &lt;= 50, "0-50", IF(#REF! &lt;=100, "51-100", IF(#REF! &lt;= 150, "101-150", "151+")))</f>
        <v>#REF!</v>
      </c>
      <c r="Y2964" t="e">
        <f>IF(#REF! &lt;= 3, "Low Charges", "High Charges")</f>
        <v>#REF!</v>
      </c>
      <c r="Z2964" t="e">
        <f>IF(#REF!&lt;=80,"Low Calls",
IF(#REF!&lt;=120,"Medium Calls","High Calls"))</f>
        <v>#REF!</v>
      </c>
      <c r="AA2964" t="e">
        <f>IF(#REF!&lt;=15,"Low Charges",
IF(#REF!&lt;=20,"Medium Charges","High Charges"))</f>
        <v>#REF!</v>
      </c>
      <c r="AB2964" t="e">
        <f>IF(AND(#REF!&gt;180, #REF!&gt;200), "Heavy Doemstic User", IF(#REF!&gt;10, "Interntional User", IF(AND(#REF!&lt;180, #REF!&lt;200,#REF!&lt;200), "Light User", "Balanced User")))</f>
        <v>#REF!</v>
      </c>
      <c r="AC2964" t="e">
        <f>IF(#REF! = 0, "No Usage", IF(#REF! &lt;= 20, "Low Usage", IF(#REF! &lt;= 40, "Medium Usgae", "High Usage")))</f>
        <v>#REF!</v>
      </c>
      <c r="AD2964" t="e">
        <f>IF(#REF!&lt;=150,"Low Usage", IF(#REF!&lt;=200,"Medium Usage", IF(#REF!&lt;=250,"High Usage","Very High Usage")))</f>
        <v>#REF!</v>
      </c>
      <c r="AE2964" t="e">
        <f>IF(#REF!&lt;=5,"Low Calls", IF(#REF!&lt;=10, "Medium Calls", "High Calls"))</f>
        <v>#REF!</v>
      </c>
      <c r="AF2964" t="e">
        <f xml:space="preserve">
IF(#REF!&gt;=4,4,0)+
IF(#REF!="yes",3,0)+
IF(#REF!="High Charges",3,0)+
IF(#REF!&gt;250,4,0)+
IF(#REF!="no",1,0)+
IF(#REF!="Heavy Domestic User",2,0)</f>
        <v>#REF!</v>
      </c>
      <c r="AG2964" t="e">
        <f>IF(#REF!&gt;=10,"High Risk", IF(#REF!&gt;=5,"Medium Risk","Low Risk"))</f>
        <v>#REF!</v>
      </c>
      <c r="AH2964" t="e">
        <f>#REF! + #REF! + #REF! + #REF!</f>
        <v>#REF!</v>
      </c>
    </row>
    <row r="2965" spans="1:34" x14ac:dyDescent="0.35">
      <c r="A2965">
        <v>2964</v>
      </c>
      <c r="B2965" t="s">
        <v>44</v>
      </c>
      <c r="C2965">
        <v>113</v>
      </c>
      <c r="D2965" t="s">
        <v>25</v>
      </c>
      <c r="E2965" t="s">
        <v>22</v>
      </c>
      <c r="F2965" t="s">
        <v>22</v>
      </c>
      <c r="G2965">
        <v>0</v>
      </c>
      <c r="H2965">
        <v>158.4</v>
      </c>
      <c r="I2965">
        <v>107</v>
      </c>
      <c r="J2965">
        <v>26.93</v>
      </c>
      <c r="K2965">
        <v>142.19999999999999</v>
      </c>
      <c r="L2965">
        <v>104</v>
      </c>
      <c r="M2965">
        <v>12.09</v>
      </c>
      <c r="N2965">
        <v>174.7</v>
      </c>
      <c r="O2965">
        <v>108</v>
      </c>
      <c r="P2965">
        <v>7.86</v>
      </c>
      <c r="Q2965">
        <v>14.9</v>
      </c>
      <c r="R2965">
        <v>2</v>
      </c>
      <c r="S2965">
        <v>4.0199999999999996</v>
      </c>
      <c r="T2965">
        <v>0</v>
      </c>
      <c r="U2965" t="s">
        <v>22</v>
      </c>
      <c r="V2965" t="e">
        <f>IF(#REF! = "yes", 1, 0)</f>
        <v>#REF!</v>
      </c>
      <c r="W2965" t="e">
        <f>IF(#REF! &lt;= 1, "0-1 Calls", IF(#REF! &lt;= 3, "2-3 Calls", IF(#REF! &lt;=5, "4-5 Calls", "6+ Calls")))</f>
        <v>#REF!</v>
      </c>
      <c r="X2965" t="e">
        <f>IF(#REF! &lt;= 50, "0-50", IF(#REF! &lt;=100, "51-100", IF(#REF! &lt;= 150, "101-150", "151+")))</f>
        <v>#REF!</v>
      </c>
      <c r="Y2965" t="e">
        <f>IF(#REF! &lt;= 3, "Low Charges", "High Charges")</f>
        <v>#REF!</v>
      </c>
      <c r="Z2965" t="e">
        <f>IF(#REF!&lt;=80,"Low Calls",
IF(#REF!&lt;=120,"Medium Calls","High Calls"))</f>
        <v>#REF!</v>
      </c>
      <c r="AA2965" t="e">
        <f>IF(#REF!&lt;=15,"Low Charges",
IF(#REF!&lt;=20,"Medium Charges","High Charges"))</f>
        <v>#REF!</v>
      </c>
      <c r="AB2965" t="e">
        <f>IF(AND(#REF!&gt;180, #REF!&gt;200), "Heavy Doemstic User", IF(#REF!&gt;10, "Interntional User", IF(AND(#REF!&lt;180, #REF!&lt;200,#REF!&lt;200), "Light User", "Balanced User")))</f>
        <v>#REF!</v>
      </c>
      <c r="AC2965" t="e">
        <f>IF(#REF! = 0, "No Usage", IF(#REF! &lt;= 20, "Low Usage", IF(#REF! &lt;= 40, "Medium Usgae", "High Usage")))</f>
        <v>#REF!</v>
      </c>
      <c r="AD2965" t="e">
        <f>IF(#REF!&lt;=150,"Low Usage", IF(#REF!&lt;=200,"Medium Usage", IF(#REF!&lt;=250,"High Usage","Very High Usage")))</f>
        <v>#REF!</v>
      </c>
      <c r="AE2965" t="e">
        <f>IF(#REF!&lt;=5,"Low Calls", IF(#REF!&lt;=10, "Medium Calls", "High Calls"))</f>
        <v>#REF!</v>
      </c>
      <c r="AF2965" t="e">
        <f xml:space="preserve">
IF(#REF!&gt;=4,4,0)+
IF(#REF!="yes",3,0)+
IF(#REF!="High Charges",3,0)+
IF(#REF!&gt;250,4,0)+
IF(#REF!="no",1,0)+
IF(#REF!="Heavy Domestic User",2,0)</f>
        <v>#REF!</v>
      </c>
      <c r="AG2965" t="e">
        <f>IF(#REF!&gt;=10,"High Risk", IF(#REF!&gt;=5,"Medium Risk","Low Risk"))</f>
        <v>#REF!</v>
      </c>
      <c r="AH2965" t="e">
        <f>#REF! + #REF! + #REF! + #REF!</f>
        <v>#REF!</v>
      </c>
    </row>
    <row r="2966" spans="1:34" x14ac:dyDescent="0.35">
      <c r="A2966">
        <v>2965</v>
      </c>
      <c r="B2966" t="s">
        <v>66</v>
      </c>
      <c r="C2966">
        <v>29</v>
      </c>
      <c r="D2966" t="s">
        <v>21</v>
      </c>
      <c r="E2966" t="s">
        <v>22</v>
      </c>
      <c r="F2966" t="s">
        <v>23</v>
      </c>
      <c r="G2966">
        <v>38</v>
      </c>
      <c r="H2966">
        <v>149.4</v>
      </c>
      <c r="I2966">
        <v>93</v>
      </c>
      <c r="J2966">
        <v>25.4</v>
      </c>
      <c r="K2966">
        <v>189.8</v>
      </c>
      <c r="L2966">
        <v>96</v>
      </c>
      <c r="M2966">
        <v>16.13</v>
      </c>
      <c r="N2966">
        <v>127.4</v>
      </c>
      <c r="O2966">
        <v>71</v>
      </c>
      <c r="P2966">
        <v>5.73</v>
      </c>
      <c r="Q2966">
        <v>6</v>
      </c>
      <c r="R2966">
        <v>3</v>
      </c>
      <c r="S2966">
        <v>1.62</v>
      </c>
      <c r="T2966">
        <v>1</v>
      </c>
      <c r="U2966" t="s">
        <v>22</v>
      </c>
      <c r="V2966" t="e">
        <f>IF(#REF! = "yes", 1, 0)</f>
        <v>#REF!</v>
      </c>
      <c r="W2966" t="e">
        <f>IF(#REF! &lt;= 1, "0-1 Calls", IF(#REF! &lt;= 3, "2-3 Calls", IF(#REF! &lt;=5, "4-5 Calls", "6+ Calls")))</f>
        <v>#REF!</v>
      </c>
      <c r="X2966" t="e">
        <f>IF(#REF! &lt;= 50, "0-50", IF(#REF! &lt;=100, "51-100", IF(#REF! &lt;= 150, "101-150", "151+")))</f>
        <v>#REF!</v>
      </c>
      <c r="Y2966" t="e">
        <f>IF(#REF! &lt;= 3, "Low Charges", "High Charges")</f>
        <v>#REF!</v>
      </c>
      <c r="Z2966" t="e">
        <f>IF(#REF!&lt;=80,"Low Calls",
IF(#REF!&lt;=120,"Medium Calls","High Calls"))</f>
        <v>#REF!</v>
      </c>
      <c r="AA2966" t="e">
        <f>IF(#REF!&lt;=15,"Low Charges",
IF(#REF!&lt;=20,"Medium Charges","High Charges"))</f>
        <v>#REF!</v>
      </c>
      <c r="AB2966" t="e">
        <f>IF(AND(#REF!&gt;180, #REF!&gt;200), "Heavy Doemstic User", IF(#REF!&gt;10, "Interntional User", IF(AND(#REF!&lt;180, #REF!&lt;200,#REF!&lt;200), "Light User", "Balanced User")))</f>
        <v>#REF!</v>
      </c>
      <c r="AC2966" t="e">
        <f>IF(#REF! = 0, "No Usage", IF(#REF! &lt;= 20, "Low Usage", IF(#REF! &lt;= 40, "Medium Usgae", "High Usage")))</f>
        <v>#REF!</v>
      </c>
      <c r="AD2966" t="e">
        <f>IF(#REF!&lt;=150,"Low Usage", IF(#REF!&lt;=200,"Medium Usage", IF(#REF!&lt;=250,"High Usage","Very High Usage")))</f>
        <v>#REF!</v>
      </c>
      <c r="AE2966" t="e">
        <f>IF(#REF!&lt;=5,"Low Calls", IF(#REF!&lt;=10, "Medium Calls", "High Calls"))</f>
        <v>#REF!</v>
      </c>
      <c r="AF2966" t="e">
        <f xml:space="preserve">
IF(#REF!&gt;=4,4,0)+
IF(#REF!="yes",3,0)+
IF(#REF!="High Charges",3,0)+
IF(#REF!&gt;250,4,0)+
IF(#REF!="no",1,0)+
IF(#REF!="Heavy Domestic User",2,0)</f>
        <v>#REF!</v>
      </c>
      <c r="AG2966" t="e">
        <f>IF(#REF!&gt;=10,"High Risk", IF(#REF!&gt;=5,"Medium Risk","Low Risk"))</f>
        <v>#REF!</v>
      </c>
      <c r="AH2966" t="e">
        <f>#REF! + #REF! + #REF! + #REF!</f>
        <v>#REF!</v>
      </c>
    </row>
    <row r="2967" spans="1:34" x14ac:dyDescent="0.35">
      <c r="A2967">
        <v>2966</v>
      </c>
      <c r="B2967" t="s">
        <v>65</v>
      </c>
      <c r="C2967">
        <v>78</v>
      </c>
      <c r="D2967" t="s">
        <v>21</v>
      </c>
      <c r="E2967" t="s">
        <v>22</v>
      </c>
      <c r="F2967" t="s">
        <v>22</v>
      </c>
      <c r="G2967">
        <v>0</v>
      </c>
      <c r="H2967">
        <v>145.5</v>
      </c>
      <c r="I2967">
        <v>124</v>
      </c>
      <c r="J2967">
        <v>24.74</v>
      </c>
      <c r="K2967">
        <v>143.4</v>
      </c>
      <c r="L2967">
        <v>71</v>
      </c>
      <c r="M2967">
        <v>12.19</v>
      </c>
      <c r="N2967">
        <v>291.10000000000002</v>
      </c>
      <c r="O2967">
        <v>123</v>
      </c>
      <c r="P2967">
        <v>13.1</v>
      </c>
      <c r="Q2967">
        <v>9.5</v>
      </c>
      <c r="R2967">
        <v>5</v>
      </c>
      <c r="S2967">
        <v>2.57</v>
      </c>
      <c r="T2967">
        <v>3</v>
      </c>
      <c r="U2967" t="s">
        <v>22</v>
      </c>
      <c r="V2967" t="e">
        <f>IF(#REF! = "yes", 1, 0)</f>
        <v>#REF!</v>
      </c>
      <c r="W2967" t="e">
        <f>IF(#REF! &lt;= 1, "0-1 Calls", IF(#REF! &lt;= 3, "2-3 Calls", IF(#REF! &lt;=5, "4-5 Calls", "6+ Calls")))</f>
        <v>#REF!</v>
      </c>
      <c r="X2967" t="e">
        <f>IF(#REF! &lt;= 50, "0-50", IF(#REF! &lt;=100, "51-100", IF(#REF! &lt;= 150, "101-150", "151+")))</f>
        <v>#REF!</v>
      </c>
      <c r="Y2967" t="e">
        <f>IF(#REF! &lt;= 3, "Low Charges", "High Charges")</f>
        <v>#REF!</v>
      </c>
      <c r="Z2967" t="e">
        <f>IF(#REF!&lt;=80,"Low Calls",
IF(#REF!&lt;=120,"Medium Calls","High Calls"))</f>
        <v>#REF!</v>
      </c>
      <c r="AA2967" t="e">
        <f>IF(#REF!&lt;=15,"Low Charges",
IF(#REF!&lt;=20,"Medium Charges","High Charges"))</f>
        <v>#REF!</v>
      </c>
      <c r="AB2967" t="e">
        <f>IF(AND(#REF!&gt;180, #REF!&gt;200), "Heavy Doemstic User", IF(#REF!&gt;10, "Interntional User", IF(AND(#REF!&lt;180, #REF!&lt;200,#REF!&lt;200), "Light User", "Balanced User")))</f>
        <v>#REF!</v>
      </c>
      <c r="AC2967" t="e">
        <f>IF(#REF! = 0, "No Usage", IF(#REF! &lt;= 20, "Low Usage", IF(#REF! &lt;= 40, "Medium Usgae", "High Usage")))</f>
        <v>#REF!</v>
      </c>
      <c r="AD2967" t="e">
        <f>IF(#REF!&lt;=150,"Low Usage", IF(#REF!&lt;=200,"Medium Usage", IF(#REF!&lt;=250,"High Usage","Very High Usage")))</f>
        <v>#REF!</v>
      </c>
      <c r="AE2967" t="e">
        <f>IF(#REF!&lt;=5,"Low Calls", IF(#REF!&lt;=10, "Medium Calls", "High Calls"))</f>
        <v>#REF!</v>
      </c>
      <c r="AF2967" t="e">
        <f xml:space="preserve">
IF(#REF!&gt;=4,4,0)+
IF(#REF!="yes",3,0)+
IF(#REF!="High Charges",3,0)+
IF(#REF!&gt;250,4,0)+
IF(#REF!="no",1,0)+
IF(#REF!="Heavy Domestic User",2,0)</f>
        <v>#REF!</v>
      </c>
      <c r="AG2967" t="e">
        <f>IF(#REF!&gt;=10,"High Risk", IF(#REF!&gt;=5,"Medium Risk","Low Risk"))</f>
        <v>#REF!</v>
      </c>
      <c r="AH2967" t="e">
        <f>#REF! + #REF! + #REF! + #REF!</f>
        <v>#REF!</v>
      </c>
    </row>
    <row r="2968" spans="1:34" x14ac:dyDescent="0.35">
      <c r="A2968">
        <v>2967</v>
      </c>
      <c r="B2968" t="s">
        <v>48</v>
      </c>
      <c r="C2968">
        <v>120</v>
      </c>
      <c r="D2968" t="s">
        <v>28</v>
      </c>
      <c r="E2968" t="s">
        <v>22</v>
      </c>
      <c r="F2968" t="s">
        <v>22</v>
      </c>
      <c r="G2968">
        <v>0</v>
      </c>
      <c r="H2968">
        <v>147.69999999999999</v>
      </c>
      <c r="I2968">
        <v>101</v>
      </c>
      <c r="J2968">
        <v>25.11</v>
      </c>
      <c r="K2968">
        <v>144.1</v>
      </c>
      <c r="L2968">
        <v>71</v>
      </c>
      <c r="M2968">
        <v>12.25</v>
      </c>
      <c r="N2968">
        <v>237</v>
      </c>
      <c r="O2968">
        <v>115</v>
      </c>
      <c r="P2968">
        <v>10.67</v>
      </c>
      <c r="Q2968">
        <v>11.1</v>
      </c>
      <c r="R2968">
        <v>5</v>
      </c>
      <c r="S2968">
        <v>3</v>
      </c>
      <c r="T2968">
        <v>0</v>
      </c>
      <c r="U2968" t="s">
        <v>22</v>
      </c>
      <c r="V2968" t="e">
        <f>IF(#REF! = "yes", 1, 0)</f>
        <v>#REF!</v>
      </c>
      <c r="W2968" t="e">
        <f>IF(#REF! &lt;= 1, "0-1 Calls", IF(#REF! &lt;= 3, "2-3 Calls", IF(#REF! &lt;=5, "4-5 Calls", "6+ Calls")))</f>
        <v>#REF!</v>
      </c>
      <c r="X2968" t="e">
        <f>IF(#REF! &lt;= 50, "0-50", IF(#REF! &lt;=100, "51-100", IF(#REF! &lt;= 150, "101-150", "151+")))</f>
        <v>#REF!</v>
      </c>
      <c r="Y2968" t="e">
        <f>IF(#REF! &lt;= 3, "Low Charges", "High Charges")</f>
        <v>#REF!</v>
      </c>
      <c r="Z2968" t="e">
        <f>IF(#REF!&lt;=80,"Low Calls",
IF(#REF!&lt;=120,"Medium Calls","High Calls"))</f>
        <v>#REF!</v>
      </c>
      <c r="AA2968" t="e">
        <f>IF(#REF!&lt;=15,"Low Charges",
IF(#REF!&lt;=20,"Medium Charges","High Charges"))</f>
        <v>#REF!</v>
      </c>
      <c r="AB2968" t="e">
        <f>IF(AND(#REF!&gt;180, #REF!&gt;200), "Heavy Doemstic User", IF(#REF!&gt;10, "Interntional User", IF(AND(#REF!&lt;180, #REF!&lt;200,#REF!&lt;200), "Light User", "Balanced User")))</f>
        <v>#REF!</v>
      </c>
      <c r="AC2968" t="e">
        <f>IF(#REF! = 0, "No Usage", IF(#REF! &lt;= 20, "Low Usage", IF(#REF! &lt;= 40, "Medium Usgae", "High Usage")))</f>
        <v>#REF!</v>
      </c>
      <c r="AD2968" t="e">
        <f>IF(#REF!&lt;=150,"Low Usage", IF(#REF!&lt;=200,"Medium Usage", IF(#REF!&lt;=250,"High Usage","Very High Usage")))</f>
        <v>#REF!</v>
      </c>
      <c r="AE2968" t="e">
        <f>IF(#REF!&lt;=5,"Low Calls", IF(#REF!&lt;=10, "Medium Calls", "High Calls"))</f>
        <v>#REF!</v>
      </c>
      <c r="AF2968" t="e">
        <f xml:space="preserve">
IF(#REF!&gt;=4,4,0)+
IF(#REF!="yes",3,0)+
IF(#REF!="High Charges",3,0)+
IF(#REF!&gt;250,4,0)+
IF(#REF!="no",1,0)+
IF(#REF!="Heavy Domestic User",2,0)</f>
        <v>#REF!</v>
      </c>
      <c r="AG2968" t="e">
        <f>IF(#REF!&gt;=10,"High Risk", IF(#REF!&gt;=5,"Medium Risk","Low Risk"))</f>
        <v>#REF!</v>
      </c>
      <c r="AH2968" t="e">
        <f>#REF! + #REF! + #REF! + #REF!</f>
        <v>#REF!</v>
      </c>
    </row>
    <row r="2969" spans="1:34" x14ac:dyDescent="0.35">
      <c r="A2969">
        <v>2968</v>
      </c>
      <c r="B2969" t="s">
        <v>32</v>
      </c>
      <c r="C2969">
        <v>185</v>
      </c>
      <c r="D2969" t="s">
        <v>21</v>
      </c>
      <c r="E2969" t="s">
        <v>22</v>
      </c>
      <c r="F2969" t="s">
        <v>22</v>
      </c>
      <c r="G2969">
        <v>0</v>
      </c>
      <c r="H2969">
        <v>89.4</v>
      </c>
      <c r="I2969">
        <v>77</v>
      </c>
      <c r="J2969">
        <v>15.2</v>
      </c>
      <c r="K2969">
        <v>288.89999999999998</v>
      </c>
      <c r="L2969">
        <v>128</v>
      </c>
      <c r="M2969">
        <v>24.56</v>
      </c>
      <c r="N2969">
        <v>162.9</v>
      </c>
      <c r="O2969">
        <v>93</v>
      </c>
      <c r="P2969">
        <v>7.33</v>
      </c>
      <c r="Q2969">
        <v>10.4</v>
      </c>
      <c r="R2969">
        <v>2</v>
      </c>
      <c r="S2969">
        <v>2.81</v>
      </c>
      <c r="T2969">
        <v>3</v>
      </c>
      <c r="U2969" t="s">
        <v>22</v>
      </c>
      <c r="V2969" t="e">
        <f>IF(#REF! = "yes", 1, 0)</f>
        <v>#REF!</v>
      </c>
      <c r="W2969" t="e">
        <f>IF(#REF! &lt;= 1, "0-1 Calls", IF(#REF! &lt;= 3, "2-3 Calls", IF(#REF! &lt;=5, "4-5 Calls", "6+ Calls")))</f>
        <v>#REF!</v>
      </c>
      <c r="X2969" t="e">
        <f>IF(#REF! &lt;= 50, "0-50", IF(#REF! &lt;=100, "51-100", IF(#REF! &lt;= 150, "101-150", "151+")))</f>
        <v>#REF!</v>
      </c>
      <c r="Y2969" t="e">
        <f>IF(#REF! &lt;= 3, "Low Charges", "High Charges")</f>
        <v>#REF!</v>
      </c>
      <c r="Z2969" t="e">
        <f>IF(#REF!&lt;=80,"Low Calls",
IF(#REF!&lt;=120,"Medium Calls","High Calls"))</f>
        <v>#REF!</v>
      </c>
      <c r="AA2969" t="e">
        <f>IF(#REF!&lt;=15,"Low Charges",
IF(#REF!&lt;=20,"Medium Charges","High Charges"))</f>
        <v>#REF!</v>
      </c>
      <c r="AB2969" t="e">
        <f>IF(AND(#REF!&gt;180, #REF!&gt;200), "Heavy Doemstic User", IF(#REF!&gt;10, "Interntional User", IF(AND(#REF!&lt;180, #REF!&lt;200,#REF!&lt;200), "Light User", "Balanced User")))</f>
        <v>#REF!</v>
      </c>
      <c r="AC2969" t="e">
        <f>IF(#REF! = 0, "No Usage", IF(#REF! &lt;= 20, "Low Usage", IF(#REF! &lt;= 40, "Medium Usgae", "High Usage")))</f>
        <v>#REF!</v>
      </c>
      <c r="AD2969" t="e">
        <f>IF(#REF!&lt;=150,"Low Usage", IF(#REF!&lt;=200,"Medium Usage", IF(#REF!&lt;=250,"High Usage","Very High Usage")))</f>
        <v>#REF!</v>
      </c>
      <c r="AE2969" t="e">
        <f>IF(#REF!&lt;=5,"Low Calls", IF(#REF!&lt;=10, "Medium Calls", "High Calls"))</f>
        <v>#REF!</v>
      </c>
      <c r="AF2969" t="e">
        <f xml:space="preserve">
IF(#REF!&gt;=4,4,0)+
IF(#REF!="yes",3,0)+
IF(#REF!="High Charges",3,0)+
IF(#REF!&gt;250,4,0)+
IF(#REF!="no",1,0)+
IF(#REF!="Heavy Domestic User",2,0)</f>
        <v>#REF!</v>
      </c>
      <c r="AG2969" t="e">
        <f>IF(#REF!&gt;=10,"High Risk", IF(#REF!&gt;=5,"Medium Risk","Low Risk"))</f>
        <v>#REF!</v>
      </c>
      <c r="AH2969" t="e">
        <f>#REF! + #REF! + #REF! + #REF!</f>
        <v>#REF!</v>
      </c>
    </row>
    <row r="2970" spans="1:34" x14ac:dyDescent="0.35">
      <c r="A2970">
        <v>2969</v>
      </c>
      <c r="B2970" t="s">
        <v>38</v>
      </c>
      <c r="C2970">
        <v>130</v>
      </c>
      <c r="D2970" t="s">
        <v>21</v>
      </c>
      <c r="E2970" t="s">
        <v>22</v>
      </c>
      <c r="F2970" t="s">
        <v>22</v>
      </c>
      <c r="G2970">
        <v>0</v>
      </c>
      <c r="H2970">
        <v>138.69999999999999</v>
      </c>
      <c r="I2970">
        <v>68</v>
      </c>
      <c r="J2970">
        <v>23.58</v>
      </c>
      <c r="K2970">
        <v>205.6</v>
      </c>
      <c r="L2970">
        <v>102</v>
      </c>
      <c r="M2970">
        <v>17.48</v>
      </c>
      <c r="N2970">
        <v>231.2</v>
      </c>
      <c r="O2970">
        <v>108</v>
      </c>
      <c r="P2970">
        <v>10.4</v>
      </c>
      <c r="Q2970">
        <v>13.6</v>
      </c>
      <c r="R2970">
        <v>3</v>
      </c>
      <c r="S2970">
        <v>3.67</v>
      </c>
      <c r="T2970">
        <v>2</v>
      </c>
      <c r="U2970" t="s">
        <v>22</v>
      </c>
      <c r="V2970" t="e">
        <f>IF(#REF! = "yes", 1, 0)</f>
        <v>#REF!</v>
      </c>
      <c r="W2970" t="e">
        <f>IF(#REF! &lt;= 1, "0-1 Calls", IF(#REF! &lt;= 3, "2-3 Calls", IF(#REF! &lt;=5, "4-5 Calls", "6+ Calls")))</f>
        <v>#REF!</v>
      </c>
      <c r="X2970" t="e">
        <f>IF(#REF! &lt;= 50, "0-50", IF(#REF! &lt;=100, "51-100", IF(#REF! &lt;= 150, "101-150", "151+")))</f>
        <v>#REF!</v>
      </c>
      <c r="Y2970" t="e">
        <f>IF(#REF! &lt;= 3, "Low Charges", "High Charges")</f>
        <v>#REF!</v>
      </c>
      <c r="Z2970" t="e">
        <f>IF(#REF!&lt;=80,"Low Calls",
IF(#REF!&lt;=120,"Medium Calls","High Calls"))</f>
        <v>#REF!</v>
      </c>
      <c r="AA2970" t="e">
        <f>IF(#REF!&lt;=15,"Low Charges",
IF(#REF!&lt;=20,"Medium Charges","High Charges"))</f>
        <v>#REF!</v>
      </c>
      <c r="AB2970" t="e">
        <f>IF(AND(#REF!&gt;180, #REF!&gt;200), "Heavy Doemstic User", IF(#REF!&gt;10, "Interntional User", IF(AND(#REF!&lt;180, #REF!&lt;200,#REF!&lt;200), "Light User", "Balanced User")))</f>
        <v>#REF!</v>
      </c>
      <c r="AC2970" t="e">
        <f>IF(#REF! = 0, "No Usage", IF(#REF! &lt;= 20, "Low Usage", IF(#REF! &lt;= 40, "Medium Usgae", "High Usage")))</f>
        <v>#REF!</v>
      </c>
      <c r="AD2970" t="e">
        <f>IF(#REF!&lt;=150,"Low Usage", IF(#REF!&lt;=200,"Medium Usage", IF(#REF!&lt;=250,"High Usage","Very High Usage")))</f>
        <v>#REF!</v>
      </c>
      <c r="AE2970" t="e">
        <f>IF(#REF!&lt;=5,"Low Calls", IF(#REF!&lt;=10, "Medium Calls", "High Calls"))</f>
        <v>#REF!</v>
      </c>
      <c r="AF2970" t="e">
        <f xml:space="preserve">
IF(#REF!&gt;=4,4,0)+
IF(#REF!="yes",3,0)+
IF(#REF!="High Charges",3,0)+
IF(#REF!&gt;250,4,0)+
IF(#REF!="no",1,0)+
IF(#REF!="Heavy Domestic User",2,0)</f>
        <v>#REF!</v>
      </c>
      <c r="AG2970" t="e">
        <f>IF(#REF!&gt;=10,"High Risk", IF(#REF!&gt;=5,"Medium Risk","Low Risk"))</f>
        <v>#REF!</v>
      </c>
      <c r="AH2970" t="e">
        <f>#REF! + #REF! + #REF! + #REF!</f>
        <v>#REF!</v>
      </c>
    </row>
    <row r="2971" spans="1:34" x14ac:dyDescent="0.35">
      <c r="A2971">
        <v>2970</v>
      </c>
      <c r="B2971" t="s">
        <v>63</v>
      </c>
      <c r="C2971">
        <v>59</v>
      </c>
      <c r="D2971" t="s">
        <v>21</v>
      </c>
      <c r="E2971" t="s">
        <v>22</v>
      </c>
      <c r="F2971" t="s">
        <v>23</v>
      </c>
      <c r="G2971">
        <v>26</v>
      </c>
      <c r="H2971">
        <v>205.4</v>
      </c>
      <c r="I2971">
        <v>68</v>
      </c>
      <c r="J2971">
        <v>34.92</v>
      </c>
      <c r="K2971">
        <v>115</v>
      </c>
      <c r="L2971">
        <v>115</v>
      </c>
      <c r="M2971">
        <v>9.7799999999999994</v>
      </c>
      <c r="N2971">
        <v>214.7</v>
      </c>
      <c r="O2971">
        <v>130</v>
      </c>
      <c r="P2971">
        <v>9.66</v>
      </c>
      <c r="Q2971">
        <v>9.4</v>
      </c>
      <c r="R2971">
        <v>2</v>
      </c>
      <c r="S2971">
        <v>2.54</v>
      </c>
      <c r="T2971">
        <v>5</v>
      </c>
      <c r="U2971" t="s">
        <v>22</v>
      </c>
      <c r="V2971" t="e">
        <f>IF(#REF! = "yes", 1, 0)</f>
        <v>#REF!</v>
      </c>
      <c r="W2971" t="e">
        <f>IF(#REF! &lt;= 1, "0-1 Calls", IF(#REF! &lt;= 3, "2-3 Calls", IF(#REF! &lt;=5, "4-5 Calls", "6+ Calls")))</f>
        <v>#REF!</v>
      </c>
      <c r="X2971" t="e">
        <f>IF(#REF! &lt;= 50, "0-50", IF(#REF! &lt;=100, "51-100", IF(#REF! &lt;= 150, "101-150", "151+")))</f>
        <v>#REF!</v>
      </c>
      <c r="Y2971" t="e">
        <f>IF(#REF! &lt;= 3, "Low Charges", "High Charges")</f>
        <v>#REF!</v>
      </c>
      <c r="Z2971" t="e">
        <f>IF(#REF!&lt;=80,"Low Calls",
IF(#REF!&lt;=120,"Medium Calls","High Calls"))</f>
        <v>#REF!</v>
      </c>
      <c r="AA2971" t="e">
        <f>IF(#REF!&lt;=15,"Low Charges",
IF(#REF!&lt;=20,"Medium Charges","High Charges"))</f>
        <v>#REF!</v>
      </c>
      <c r="AB2971" t="e">
        <f>IF(AND(#REF!&gt;180, #REF!&gt;200), "Heavy Doemstic User", IF(#REF!&gt;10, "Interntional User", IF(AND(#REF!&lt;180, #REF!&lt;200,#REF!&lt;200), "Light User", "Balanced User")))</f>
        <v>#REF!</v>
      </c>
      <c r="AC2971" t="e">
        <f>IF(#REF! = 0, "No Usage", IF(#REF! &lt;= 20, "Low Usage", IF(#REF! &lt;= 40, "Medium Usgae", "High Usage")))</f>
        <v>#REF!</v>
      </c>
      <c r="AD2971" t="e">
        <f>IF(#REF!&lt;=150,"Low Usage", IF(#REF!&lt;=200,"Medium Usage", IF(#REF!&lt;=250,"High Usage","Very High Usage")))</f>
        <v>#REF!</v>
      </c>
      <c r="AE2971" t="e">
        <f>IF(#REF!&lt;=5,"Low Calls", IF(#REF!&lt;=10, "Medium Calls", "High Calls"))</f>
        <v>#REF!</v>
      </c>
      <c r="AF2971" t="e">
        <f xml:space="preserve">
IF(#REF!&gt;=4,4,0)+
IF(#REF!="yes",3,0)+
IF(#REF!="High Charges",3,0)+
IF(#REF!&gt;250,4,0)+
IF(#REF!="no",1,0)+
IF(#REF!="Heavy Domestic User",2,0)</f>
        <v>#REF!</v>
      </c>
      <c r="AG2971" t="e">
        <f>IF(#REF!&gt;=10,"High Risk", IF(#REF!&gt;=5,"Medium Risk","Low Risk"))</f>
        <v>#REF!</v>
      </c>
      <c r="AH2971" t="e">
        <f>#REF! + #REF! + #REF! + #REF!</f>
        <v>#REF!</v>
      </c>
    </row>
    <row r="2972" spans="1:34" x14ac:dyDescent="0.35">
      <c r="A2972">
        <v>2971</v>
      </c>
      <c r="B2972" t="s">
        <v>37</v>
      </c>
      <c r="C2972">
        <v>139</v>
      </c>
      <c r="D2972" t="s">
        <v>25</v>
      </c>
      <c r="E2972" t="s">
        <v>22</v>
      </c>
      <c r="F2972" t="s">
        <v>22</v>
      </c>
      <c r="G2972">
        <v>0</v>
      </c>
      <c r="H2972">
        <v>187.4</v>
      </c>
      <c r="I2972">
        <v>86</v>
      </c>
      <c r="J2972">
        <v>31.86</v>
      </c>
      <c r="K2972">
        <v>169.3</v>
      </c>
      <c r="L2972">
        <v>116</v>
      </c>
      <c r="M2972">
        <v>14.39</v>
      </c>
      <c r="N2972">
        <v>153.4</v>
      </c>
      <c r="O2972">
        <v>88</v>
      </c>
      <c r="P2972">
        <v>6.9</v>
      </c>
      <c r="Q2972">
        <v>11.7</v>
      </c>
      <c r="R2972">
        <v>3</v>
      </c>
      <c r="S2972">
        <v>3.16</v>
      </c>
      <c r="T2972">
        <v>1</v>
      </c>
      <c r="U2972" t="s">
        <v>22</v>
      </c>
      <c r="V2972" t="e">
        <f>IF(#REF! = "yes", 1, 0)</f>
        <v>#REF!</v>
      </c>
      <c r="W2972" t="e">
        <f>IF(#REF! &lt;= 1, "0-1 Calls", IF(#REF! &lt;= 3, "2-3 Calls", IF(#REF! &lt;=5, "4-5 Calls", "6+ Calls")))</f>
        <v>#REF!</v>
      </c>
      <c r="X2972" t="e">
        <f>IF(#REF! &lt;= 50, "0-50", IF(#REF! &lt;=100, "51-100", IF(#REF! &lt;= 150, "101-150", "151+")))</f>
        <v>#REF!</v>
      </c>
      <c r="Y2972" t="e">
        <f>IF(#REF! &lt;= 3, "Low Charges", "High Charges")</f>
        <v>#REF!</v>
      </c>
      <c r="Z2972" t="e">
        <f>IF(#REF!&lt;=80,"Low Calls",
IF(#REF!&lt;=120,"Medium Calls","High Calls"))</f>
        <v>#REF!</v>
      </c>
      <c r="AA2972" t="e">
        <f>IF(#REF!&lt;=15,"Low Charges",
IF(#REF!&lt;=20,"Medium Charges","High Charges"))</f>
        <v>#REF!</v>
      </c>
      <c r="AB2972" t="e">
        <f>IF(AND(#REF!&gt;180, #REF!&gt;200), "Heavy Doemstic User", IF(#REF!&gt;10, "Interntional User", IF(AND(#REF!&lt;180, #REF!&lt;200,#REF!&lt;200), "Light User", "Balanced User")))</f>
        <v>#REF!</v>
      </c>
      <c r="AC2972" t="e">
        <f>IF(#REF! = 0, "No Usage", IF(#REF! &lt;= 20, "Low Usage", IF(#REF! &lt;= 40, "Medium Usgae", "High Usage")))</f>
        <v>#REF!</v>
      </c>
      <c r="AD2972" t="e">
        <f>IF(#REF!&lt;=150,"Low Usage", IF(#REF!&lt;=200,"Medium Usage", IF(#REF!&lt;=250,"High Usage","Very High Usage")))</f>
        <v>#REF!</v>
      </c>
      <c r="AE2972" t="e">
        <f>IF(#REF!&lt;=5,"Low Calls", IF(#REF!&lt;=10, "Medium Calls", "High Calls"))</f>
        <v>#REF!</v>
      </c>
      <c r="AF2972" t="e">
        <f xml:space="preserve">
IF(#REF!&gt;=4,4,0)+
IF(#REF!="yes",3,0)+
IF(#REF!="High Charges",3,0)+
IF(#REF!&gt;250,4,0)+
IF(#REF!="no",1,0)+
IF(#REF!="Heavy Domestic User",2,0)</f>
        <v>#REF!</v>
      </c>
      <c r="AG2972" t="e">
        <f>IF(#REF!&gt;=10,"High Risk", IF(#REF!&gt;=5,"Medium Risk","Low Risk"))</f>
        <v>#REF!</v>
      </c>
      <c r="AH2972" t="e">
        <f>#REF! + #REF! + #REF! + #REF!</f>
        <v>#REF!</v>
      </c>
    </row>
    <row r="2973" spans="1:34" x14ac:dyDescent="0.35">
      <c r="A2973">
        <v>2972</v>
      </c>
      <c r="B2973" t="s">
        <v>54</v>
      </c>
      <c r="C2973">
        <v>12</v>
      </c>
      <c r="D2973" t="s">
        <v>21</v>
      </c>
      <c r="E2973" t="s">
        <v>22</v>
      </c>
      <c r="F2973" t="s">
        <v>22</v>
      </c>
      <c r="G2973">
        <v>0</v>
      </c>
      <c r="H2973">
        <v>206.1</v>
      </c>
      <c r="I2973">
        <v>105</v>
      </c>
      <c r="J2973">
        <v>35.04</v>
      </c>
      <c r="K2973">
        <v>246.6</v>
      </c>
      <c r="L2973">
        <v>104</v>
      </c>
      <c r="M2973">
        <v>20.96</v>
      </c>
      <c r="N2973">
        <v>254.6</v>
      </c>
      <c r="O2973">
        <v>83</v>
      </c>
      <c r="P2973">
        <v>11.46</v>
      </c>
      <c r="Q2973">
        <v>12.1</v>
      </c>
      <c r="R2973">
        <v>7</v>
      </c>
      <c r="S2973">
        <v>3.27</v>
      </c>
      <c r="T2973">
        <v>2</v>
      </c>
      <c r="U2973" t="s">
        <v>22</v>
      </c>
      <c r="V2973" t="e">
        <f>IF(#REF! = "yes", 1, 0)</f>
        <v>#REF!</v>
      </c>
      <c r="W2973" t="e">
        <f>IF(#REF! &lt;= 1, "0-1 Calls", IF(#REF! &lt;= 3, "2-3 Calls", IF(#REF! &lt;=5, "4-5 Calls", "6+ Calls")))</f>
        <v>#REF!</v>
      </c>
      <c r="X2973" t="e">
        <f>IF(#REF! &lt;= 50, "0-50", IF(#REF! &lt;=100, "51-100", IF(#REF! &lt;= 150, "101-150", "151+")))</f>
        <v>#REF!</v>
      </c>
      <c r="Y2973" t="e">
        <f>IF(#REF! &lt;= 3, "Low Charges", "High Charges")</f>
        <v>#REF!</v>
      </c>
      <c r="Z2973" t="e">
        <f>IF(#REF!&lt;=80,"Low Calls",
IF(#REF!&lt;=120,"Medium Calls","High Calls"))</f>
        <v>#REF!</v>
      </c>
      <c r="AA2973" t="e">
        <f>IF(#REF!&lt;=15,"Low Charges",
IF(#REF!&lt;=20,"Medium Charges","High Charges"))</f>
        <v>#REF!</v>
      </c>
      <c r="AB2973" t="e">
        <f>IF(AND(#REF!&gt;180, #REF!&gt;200), "Heavy Doemstic User", IF(#REF!&gt;10, "Interntional User", IF(AND(#REF!&lt;180, #REF!&lt;200,#REF!&lt;200), "Light User", "Balanced User")))</f>
        <v>#REF!</v>
      </c>
      <c r="AC2973" t="e">
        <f>IF(#REF! = 0, "No Usage", IF(#REF! &lt;= 20, "Low Usage", IF(#REF! &lt;= 40, "Medium Usgae", "High Usage")))</f>
        <v>#REF!</v>
      </c>
      <c r="AD2973" t="e">
        <f>IF(#REF!&lt;=150,"Low Usage", IF(#REF!&lt;=200,"Medium Usage", IF(#REF!&lt;=250,"High Usage","Very High Usage")))</f>
        <v>#REF!</v>
      </c>
      <c r="AE2973" t="e">
        <f>IF(#REF!&lt;=5,"Low Calls", IF(#REF!&lt;=10, "Medium Calls", "High Calls"))</f>
        <v>#REF!</v>
      </c>
      <c r="AF2973" t="e">
        <f xml:space="preserve">
IF(#REF!&gt;=4,4,0)+
IF(#REF!="yes",3,0)+
IF(#REF!="High Charges",3,0)+
IF(#REF!&gt;250,4,0)+
IF(#REF!="no",1,0)+
IF(#REF!="Heavy Domestic User",2,0)</f>
        <v>#REF!</v>
      </c>
      <c r="AG2973" t="e">
        <f>IF(#REF!&gt;=10,"High Risk", IF(#REF!&gt;=5,"Medium Risk","Low Risk"))</f>
        <v>#REF!</v>
      </c>
      <c r="AH2973" t="e">
        <f>#REF! + #REF! + #REF! + #REF!</f>
        <v>#REF!</v>
      </c>
    </row>
    <row r="2974" spans="1:34" x14ac:dyDescent="0.35">
      <c r="A2974">
        <v>2973</v>
      </c>
      <c r="B2974" t="s">
        <v>60</v>
      </c>
      <c r="C2974">
        <v>42</v>
      </c>
      <c r="D2974" t="s">
        <v>25</v>
      </c>
      <c r="E2974" t="s">
        <v>22</v>
      </c>
      <c r="F2974" t="s">
        <v>23</v>
      </c>
      <c r="G2974">
        <v>34</v>
      </c>
      <c r="H2974">
        <v>131.5</v>
      </c>
      <c r="I2974">
        <v>143</v>
      </c>
      <c r="J2974">
        <v>22.36</v>
      </c>
      <c r="K2974">
        <v>185.3</v>
      </c>
      <c r="L2974">
        <v>109</v>
      </c>
      <c r="M2974">
        <v>15.75</v>
      </c>
      <c r="N2974">
        <v>177.3</v>
      </c>
      <c r="O2974">
        <v>117</v>
      </c>
      <c r="P2974">
        <v>7.98</v>
      </c>
      <c r="Q2974">
        <v>10.9</v>
      </c>
      <c r="R2974">
        <v>5</v>
      </c>
      <c r="S2974">
        <v>2.94</v>
      </c>
      <c r="T2974">
        <v>0</v>
      </c>
      <c r="U2974" t="s">
        <v>22</v>
      </c>
      <c r="V2974" t="e">
        <f>IF(#REF! = "yes", 1, 0)</f>
        <v>#REF!</v>
      </c>
      <c r="W2974" t="e">
        <f>IF(#REF! &lt;= 1, "0-1 Calls", IF(#REF! &lt;= 3, "2-3 Calls", IF(#REF! &lt;=5, "4-5 Calls", "6+ Calls")))</f>
        <v>#REF!</v>
      </c>
      <c r="X2974" t="e">
        <f>IF(#REF! &lt;= 50, "0-50", IF(#REF! &lt;=100, "51-100", IF(#REF! &lt;= 150, "101-150", "151+")))</f>
        <v>#REF!</v>
      </c>
      <c r="Y2974" t="e">
        <f>IF(#REF! &lt;= 3, "Low Charges", "High Charges")</f>
        <v>#REF!</v>
      </c>
      <c r="Z2974" t="e">
        <f>IF(#REF!&lt;=80,"Low Calls",
IF(#REF!&lt;=120,"Medium Calls","High Calls"))</f>
        <v>#REF!</v>
      </c>
      <c r="AA2974" t="e">
        <f>IF(#REF!&lt;=15,"Low Charges",
IF(#REF!&lt;=20,"Medium Charges","High Charges"))</f>
        <v>#REF!</v>
      </c>
      <c r="AB2974" t="e">
        <f>IF(AND(#REF!&gt;180, #REF!&gt;200), "Heavy Doemstic User", IF(#REF!&gt;10, "Interntional User", IF(AND(#REF!&lt;180, #REF!&lt;200,#REF!&lt;200), "Light User", "Balanced User")))</f>
        <v>#REF!</v>
      </c>
      <c r="AC2974" t="e">
        <f>IF(#REF! = 0, "No Usage", IF(#REF! &lt;= 20, "Low Usage", IF(#REF! &lt;= 40, "Medium Usgae", "High Usage")))</f>
        <v>#REF!</v>
      </c>
      <c r="AD2974" t="e">
        <f>IF(#REF!&lt;=150,"Low Usage", IF(#REF!&lt;=200,"Medium Usage", IF(#REF!&lt;=250,"High Usage","Very High Usage")))</f>
        <v>#REF!</v>
      </c>
      <c r="AE2974" t="e">
        <f>IF(#REF!&lt;=5,"Low Calls", IF(#REF!&lt;=10, "Medium Calls", "High Calls"))</f>
        <v>#REF!</v>
      </c>
      <c r="AF2974" t="e">
        <f xml:space="preserve">
IF(#REF!&gt;=4,4,0)+
IF(#REF!="yes",3,0)+
IF(#REF!="High Charges",3,0)+
IF(#REF!&gt;250,4,0)+
IF(#REF!="no",1,0)+
IF(#REF!="Heavy Domestic User",2,0)</f>
        <v>#REF!</v>
      </c>
      <c r="AG2974" t="e">
        <f>IF(#REF!&gt;=10,"High Risk", IF(#REF!&gt;=5,"Medium Risk","Low Risk"))</f>
        <v>#REF!</v>
      </c>
      <c r="AH2974" t="e">
        <f>#REF! + #REF! + #REF! + #REF!</f>
        <v>#REF!</v>
      </c>
    </row>
    <row r="2975" spans="1:34" x14ac:dyDescent="0.35">
      <c r="A2975">
        <v>2974</v>
      </c>
      <c r="B2975" t="s">
        <v>44</v>
      </c>
      <c r="C2975">
        <v>63</v>
      </c>
      <c r="D2975" t="s">
        <v>21</v>
      </c>
      <c r="E2975" t="s">
        <v>22</v>
      </c>
      <c r="F2975" t="s">
        <v>22</v>
      </c>
      <c r="G2975">
        <v>0</v>
      </c>
      <c r="H2975">
        <v>120.1</v>
      </c>
      <c r="I2975">
        <v>103</v>
      </c>
      <c r="J2975">
        <v>20.420000000000002</v>
      </c>
      <c r="K2975">
        <v>179.2</v>
      </c>
      <c r="L2975">
        <v>132</v>
      </c>
      <c r="M2975">
        <v>15.23</v>
      </c>
      <c r="N2975">
        <v>127.3</v>
      </c>
      <c r="O2975">
        <v>82</v>
      </c>
      <c r="P2975">
        <v>5.73</v>
      </c>
      <c r="Q2975">
        <v>6.3</v>
      </c>
      <c r="R2975">
        <v>4</v>
      </c>
      <c r="S2975">
        <v>1.7</v>
      </c>
      <c r="T2975">
        <v>1</v>
      </c>
      <c r="U2975" t="s">
        <v>22</v>
      </c>
      <c r="V2975" t="e">
        <f>IF(#REF! = "yes", 1, 0)</f>
        <v>#REF!</v>
      </c>
      <c r="W2975" t="e">
        <f>IF(#REF! &lt;= 1, "0-1 Calls", IF(#REF! &lt;= 3, "2-3 Calls", IF(#REF! &lt;=5, "4-5 Calls", "6+ Calls")))</f>
        <v>#REF!</v>
      </c>
      <c r="X2975" t="e">
        <f>IF(#REF! &lt;= 50, "0-50", IF(#REF! &lt;=100, "51-100", IF(#REF! &lt;= 150, "101-150", "151+")))</f>
        <v>#REF!</v>
      </c>
      <c r="Y2975" t="e">
        <f>IF(#REF! &lt;= 3, "Low Charges", "High Charges")</f>
        <v>#REF!</v>
      </c>
      <c r="Z2975" t="e">
        <f>IF(#REF!&lt;=80,"Low Calls",
IF(#REF!&lt;=120,"Medium Calls","High Calls"))</f>
        <v>#REF!</v>
      </c>
      <c r="AA2975" t="e">
        <f>IF(#REF!&lt;=15,"Low Charges",
IF(#REF!&lt;=20,"Medium Charges","High Charges"))</f>
        <v>#REF!</v>
      </c>
      <c r="AB2975" t="e">
        <f>IF(AND(#REF!&gt;180, #REF!&gt;200), "Heavy Doemstic User", IF(#REF!&gt;10, "Interntional User", IF(AND(#REF!&lt;180, #REF!&lt;200,#REF!&lt;200), "Light User", "Balanced User")))</f>
        <v>#REF!</v>
      </c>
      <c r="AC2975" t="e">
        <f>IF(#REF! = 0, "No Usage", IF(#REF! &lt;= 20, "Low Usage", IF(#REF! &lt;= 40, "Medium Usgae", "High Usage")))</f>
        <v>#REF!</v>
      </c>
      <c r="AD2975" t="e">
        <f>IF(#REF!&lt;=150,"Low Usage", IF(#REF!&lt;=200,"Medium Usage", IF(#REF!&lt;=250,"High Usage","Very High Usage")))</f>
        <v>#REF!</v>
      </c>
      <c r="AE2975" t="e">
        <f>IF(#REF!&lt;=5,"Low Calls", IF(#REF!&lt;=10, "Medium Calls", "High Calls"))</f>
        <v>#REF!</v>
      </c>
      <c r="AF2975" t="e">
        <f xml:space="preserve">
IF(#REF!&gt;=4,4,0)+
IF(#REF!="yes",3,0)+
IF(#REF!="High Charges",3,0)+
IF(#REF!&gt;250,4,0)+
IF(#REF!="no",1,0)+
IF(#REF!="Heavy Domestic User",2,0)</f>
        <v>#REF!</v>
      </c>
      <c r="AG2975" t="e">
        <f>IF(#REF!&gt;=10,"High Risk", IF(#REF!&gt;=5,"Medium Risk","Low Risk"))</f>
        <v>#REF!</v>
      </c>
      <c r="AH2975" t="e">
        <f>#REF! + #REF! + #REF! + #REF!</f>
        <v>#REF!</v>
      </c>
    </row>
    <row r="2976" spans="1:34" x14ac:dyDescent="0.35">
      <c r="A2976">
        <v>2975</v>
      </c>
      <c r="B2976" t="s">
        <v>36</v>
      </c>
      <c r="C2976">
        <v>143</v>
      </c>
      <c r="D2976" t="s">
        <v>21</v>
      </c>
      <c r="E2976" t="s">
        <v>22</v>
      </c>
      <c r="F2976" t="s">
        <v>22</v>
      </c>
      <c r="G2976">
        <v>0</v>
      </c>
      <c r="H2976">
        <v>168.6</v>
      </c>
      <c r="I2976">
        <v>85</v>
      </c>
      <c r="J2976">
        <v>28.66</v>
      </c>
      <c r="K2976">
        <v>176.3</v>
      </c>
      <c r="L2976">
        <v>89</v>
      </c>
      <c r="M2976">
        <v>14.99</v>
      </c>
      <c r="N2976">
        <v>282.3</v>
      </c>
      <c r="O2976">
        <v>69</v>
      </c>
      <c r="P2976">
        <v>12.7</v>
      </c>
      <c r="Q2976">
        <v>13.3</v>
      </c>
      <c r="R2976">
        <v>10</v>
      </c>
      <c r="S2976">
        <v>3.59</v>
      </c>
      <c r="T2976">
        <v>1</v>
      </c>
      <c r="U2976" t="s">
        <v>22</v>
      </c>
      <c r="V2976" t="e">
        <f>IF(#REF! = "yes", 1, 0)</f>
        <v>#REF!</v>
      </c>
      <c r="W2976" t="e">
        <f>IF(#REF! &lt;= 1, "0-1 Calls", IF(#REF! &lt;= 3, "2-3 Calls", IF(#REF! &lt;=5, "4-5 Calls", "6+ Calls")))</f>
        <v>#REF!</v>
      </c>
      <c r="X2976" t="e">
        <f>IF(#REF! &lt;= 50, "0-50", IF(#REF! &lt;=100, "51-100", IF(#REF! &lt;= 150, "101-150", "151+")))</f>
        <v>#REF!</v>
      </c>
      <c r="Y2976" t="e">
        <f>IF(#REF! &lt;= 3, "Low Charges", "High Charges")</f>
        <v>#REF!</v>
      </c>
      <c r="Z2976" t="e">
        <f>IF(#REF!&lt;=80,"Low Calls",
IF(#REF!&lt;=120,"Medium Calls","High Calls"))</f>
        <v>#REF!</v>
      </c>
      <c r="AA2976" t="e">
        <f>IF(#REF!&lt;=15,"Low Charges",
IF(#REF!&lt;=20,"Medium Charges","High Charges"))</f>
        <v>#REF!</v>
      </c>
      <c r="AB2976" t="e">
        <f>IF(AND(#REF!&gt;180, #REF!&gt;200), "Heavy Doemstic User", IF(#REF!&gt;10, "Interntional User", IF(AND(#REF!&lt;180, #REF!&lt;200,#REF!&lt;200), "Light User", "Balanced User")))</f>
        <v>#REF!</v>
      </c>
      <c r="AC2976" t="e">
        <f>IF(#REF! = 0, "No Usage", IF(#REF! &lt;= 20, "Low Usage", IF(#REF! &lt;= 40, "Medium Usgae", "High Usage")))</f>
        <v>#REF!</v>
      </c>
      <c r="AD2976" t="e">
        <f>IF(#REF!&lt;=150,"Low Usage", IF(#REF!&lt;=200,"Medium Usage", IF(#REF!&lt;=250,"High Usage","Very High Usage")))</f>
        <v>#REF!</v>
      </c>
      <c r="AE2976" t="e">
        <f>IF(#REF!&lt;=5,"Low Calls", IF(#REF!&lt;=10, "Medium Calls", "High Calls"))</f>
        <v>#REF!</v>
      </c>
      <c r="AF2976" t="e">
        <f xml:space="preserve">
IF(#REF!&gt;=4,4,0)+
IF(#REF!="yes",3,0)+
IF(#REF!="High Charges",3,0)+
IF(#REF!&gt;250,4,0)+
IF(#REF!="no",1,0)+
IF(#REF!="Heavy Domestic User",2,0)</f>
        <v>#REF!</v>
      </c>
      <c r="AG2976" t="e">
        <f>IF(#REF!&gt;=10,"High Risk", IF(#REF!&gt;=5,"Medium Risk","Low Risk"))</f>
        <v>#REF!</v>
      </c>
      <c r="AH2976" t="e">
        <f>#REF! + #REF! + #REF! + #REF!</f>
        <v>#REF!</v>
      </c>
    </row>
    <row r="2977" spans="1:34" x14ac:dyDescent="0.35">
      <c r="A2977">
        <v>2976</v>
      </c>
      <c r="B2977" t="s">
        <v>50</v>
      </c>
      <c r="C2977">
        <v>156</v>
      </c>
      <c r="D2977" t="s">
        <v>28</v>
      </c>
      <c r="E2977" t="s">
        <v>22</v>
      </c>
      <c r="F2977" t="s">
        <v>22</v>
      </c>
      <c r="G2977">
        <v>0</v>
      </c>
      <c r="H2977">
        <v>189.4</v>
      </c>
      <c r="I2977">
        <v>114</v>
      </c>
      <c r="J2977">
        <v>32.200000000000003</v>
      </c>
      <c r="K2977">
        <v>145.69999999999999</v>
      </c>
      <c r="L2977">
        <v>96</v>
      </c>
      <c r="M2977">
        <v>12.38</v>
      </c>
      <c r="N2977">
        <v>192.8</v>
      </c>
      <c r="O2977">
        <v>121</v>
      </c>
      <c r="P2977">
        <v>8.68</v>
      </c>
      <c r="Q2977">
        <v>4.5</v>
      </c>
      <c r="R2977">
        <v>13</v>
      </c>
      <c r="S2977">
        <v>1.22</v>
      </c>
      <c r="T2977">
        <v>0</v>
      </c>
      <c r="U2977" t="s">
        <v>22</v>
      </c>
      <c r="V2977" t="e">
        <f>IF(#REF! = "yes", 1, 0)</f>
        <v>#REF!</v>
      </c>
      <c r="W2977" t="e">
        <f>IF(#REF! &lt;= 1, "0-1 Calls", IF(#REF! &lt;= 3, "2-3 Calls", IF(#REF! &lt;=5, "4-5 Calls", "6+ Calls")))</f>
        <v>#REF!</v>
      </c>
      <c r="X2977" t="e">
        <f>IF(#REF! &lt;= 50, "0-50", IF(#REF! &lt;=100, "51-100", IF(#REF! &lt;= 150, "101-150", "151+")))</f>
        <v>#REF!</v>
      </c>
      <c r="Y2977" t="e">
        <f>IF(#REF! &lt;= 3, "Low Charges", "High Charges")</f>
        <v>#REF!</v>
      </c>
      <c r="Z2977" t="e">
        <f>IF(#REF!&lt;=80,"Low Calls",
IF(#REF!&lt;=120,"Medium Calls","High Calls"))</f>
        <v>#REF!</v>
      </c>
      <c r="AA2977" t="e">
        <f>IF(#REF!&lt;=15,"Low Charges",
IF(#REF!&lt;=20,"Medium Charges","High Charges"))</f>
        <v>#REF!</v>
      </c>
      <c r="AB2977" t="e">
        <f>IF(AND(#REF!&gt;180, #REF!&gt;200), "Heavy Doemstic User", IF(#REF!&gt;10, "Interntional User", IF(AND(#REF!&lt;180, #REF!&lt;200,#REF!&lt;200), "Light User", "Balanced User")))</f>
        <v>#REF!</v>
      </c>
      <c r="AC2977" t="e">
        <f>IF(#REF! = 0, "No Usage", IF(#REF! &lt;= 20, "Low Usage", IF(#REF! &lt;= 40, "Medium Usgae", "High Usage")))</f>
        <v>#REF!</v>
      </c>
      <c r="AD2977" t="e">
        <f>IF(#REF!&lt;=150,"Low Usage", IF(#REF!&lt;=200,"Medium Usage", IF(#REF!&lt;=250,"High Usage","Very High Usage")))</f>
        <v>#REF!</v>
      </c>
      <c r="AE2977" t="e">
        <f>IF(#REF!&lt;=5,"Low Calls", IF(#REF!&lt;=10, "Medium Calls", "High Calls"))</f>
        <v>#REF!</v>
      </c>
      <c r="AF2977" t="e">
        <f xml:space="preserve">
IF(#REF!&gt;=4,4,0)+
IF(#REF!="yes",3,0)+
IF(#REF!="High Charges",3,0)+
IF(#REF!&gt;250,4,0)+
IF(#REF!="no",1,0)+
IF(#REF!="Heavy Domestic User",2,0)</f>
        <v>#REF!</v>
      </c>
      <c r="AG2977" t="e">
        <f>IF(#REF!&gt;=10,"High Risk", IF(#REF!&gt;=5,"Medium Risk","Low Risk"))</f>
        <v>#REF!</v>
      </c>
      <c r="AH2977" t="e">
        <f>#REF! + #REF! + #REF! + #REF!</f>
        <v>#REF!</v>
      </c>
    </row>
    <row r="2978" spans="1:34" x14ac:dyDescent="0.35">
      <c r="A2978">
        <v>2977</v>
      </c>
      <c r="B2978" t="s">
        <v>39</v>
      </c>
      <c r="C2978">
        <v>98</v>
      </c>
      <c r="D2978" t="s">
        <v>25</v>
      </c>
      <c r="E2978" t="s">
        <v>22</v>
      </c>
      <c r="F2978" t="s">
        <v>22</v>
      </c>
      <c r="G2978">
        <v>0</v>
      </c>
      <c r="H2978">
        <v>158.5</v>
      </c>
      <c r="I2978">
        <v>90</v>
      </c>
      <c r="J2978">
        <v>26.95</v>
      </c>
      <c r="K2978">
        <v>254.4</v>
      </c>
      <c r="L2978">
        <v>67</v>
      </c>
      <c r="M2978">
        <v>21.62</v>
      </c>
      <c r="N2978">
        <v>178.4</v>
      </c>
      <c r="O2978">
        <v>104</v>
      </c>
      <c r="P2978">
        <v>8.0299999999999994</v>
      </c>
      <c r="Q2978">
        <v>14.8</v>
      </c>
      <c r="R2978">
        <v>5</v>
      </c>
      <c r="S2978">
        <v>4</v>
      </c>
      <c r="T2978">
        <v>2</v>
      </c>
      <c r="U2978" t="s">
        <v>22</v>
      </c>
      <c r="V2978" t="e">
        <f>IF(#REF! = "yes", 1, 0)</f>
        <v>#REF!</v>
      </c>
      <c r="W2978" t="e">
        <f>IF(#REF! &lt;= 1, "0-1 Calls", IF(#REF! &lt;= 3, "2-3 Calls", IF(#REF! &lt;=5, "4-5 Calls", "6+ Calls")))</f>
        <v>#REF!</v>
      </c>
      <c r="X2978" t="e">
        <f>IF(#REF! &lt;= 50, "0-50", IF(#REF! &lt;=100, "51-100", IF(#REF! &lt;= 150, "101-150", "151+")))</f>
        <v>#REF!</v>
      </c>
      <c r="Y2978" t="e">
        <f>IF(#REF! &lt;= 3, "Low Charges", "High Charges")</f>
        <v>#REF!</v>
      </c>
      <c r="Z2978" t="e">
        <f>IF(#REF!&lt;=80,"Low Calls",
IF(#REF!&lt;=120,"Medium Calls","High Calls"))</f>
        <v>#REF!</v>
      </c>
      <c r="AA2978" t="e">
        <f>IF(#REF!&lt;=15,"Low Charges",
IF(#REF!&lt;=20,"Medium Charges","High Charges"))</f>
        <v>#REF!</v>
      </c>
      <c r="AB2978" t="e">
        <f>IF(AND(#REF!&gt;180, #REF!&gt;200), "Heavy Doemstic User", IF(#REF!&gt;10, "Interntional User", IF(AND(#REF!&lt;180, #REF!&lt;200,#REF!&lt;200), "Light User", "Balanced User")))</f>
        <v>#REF!</v>
      </c>
      <c r="AC2978" t="e">
        <f>IF(#REF! = 0, "No Usage", IF(#REF! &lt;= 20, "Low Usage", IF(#REF! &lt;= 40, "Medium Usgae", "High Usage")))</f>
        <v>#REF!</v>
      </c>
      <c r="AD2978" t="e">
        <f>IF(#REF!&lt;=150,"Low Usage", IF(#REF!&lt;=200,"Medium Usage", IF(#REF!&lt;=250,"High Usage","Very High Usage")))</f>
        <v>#REF!</v>
      </c>
      <c r="AE2978" t="e">
        <f>IF(#REF!&lt;=5,"Low Calls", IF(#REF!&lt;=10, "Medium Calls", "High Calls"))</f>
        <v>#REF!</v>
      </c>
      <c r="AF2978" t="e">
        <f xml:space="preserve">
IF(#REF!&gt;=4,4,0)+
IF(#REF!="yes",3,0)+
IF(#REF!="High Charges",3,0)+
IF(#REF!&gt;250,4,0)+
IF(#REF!="no",1,0)+
IF(#REF!="Heavy Domestic User",2,0)</f>
        <v>#REF!</v>
      </c>
      <c r="AG2978" t="e">
        <f>IF(#REF!&gt;=10,"High Risk", IF(#REF!&gt;=5,"Medium Risk","Low Risk"))</f>
        <v>#REF!</v>
      </c>
      <c r="AH2978" t="e">
        <f>#REF! + #REF! + #REF! + #REF!</f>
        <v>#REF!</v>
      </c>
    </row>
    <row r="2979" spans="1:34" x14ac:dyDescent="0.35">
      <c r="A2979">
        <v>2978</v>
      </c>
      <c r="B2979" t="s">
        <v>30</v>
      </c>
      <c r="C2979">
        <v>140</v>
      </c>
      <c r="D2979" t="s">
        <v>21</v>
      </c>
      <c r="E2979" t="s">
        <v>22</v>
      </c>
      <c r="F2979" t="s">
        <v>23</v>
      </c>
      <c r="G2979">
        <v>27</v>
      </c>
      <c r="H2979">
        <v>176</v>
      </c>
      <c r="I2979">
        <v>141</v>
      </c>
      <c r="J2979">
        <v>29.92</v>
      </c>
      <c r="K2979">
        <v>201.3</v>
      </c>
      <c r="L2979">
        <v>143</v>
      </c>
      <c r="M2979">
        <v>17.11</v>
      </c>
      <c r="N2979">
        <v>167.9</v>
      </c>
      <c r="O2979">
        <v>93</v>
      </c>
      <c r="P2979">
        <v>7.56</v>
      </c>
      <c r="Q2979">
        <v>7.1</v>
      </c>
      <c r="R2979">
        <v>5</v>
      </c>
      <c r="S2979">
        <v>1.92</v>
      </c>
      <c r="T2979">
        <v>3</v>
      </c>
      <c r="U2979" t="s">
        <v>22</v>
      </c>
      <c r="V2979" t="e">
        <f>IF(#REF! = "yes", 1, 0)</f>
        <v>#REF!</v>
      </c>
      <c r="W2979" t="e">
        <f>IF(#REF! &lt;= 1, "0-1 Calls", IF(#REF! &lt;= 3, "2-3 Calls", IF(#REF! &lt;=5, "4-5 Calls", "6+ Calls")))</f>
        <v>#REF!</v>
      </c>
      <c r="X2979" t="e">
        <f>IF(#REF! &lt;= 50, "0-50", IF(#REF! &lt;=100, "51-100", IF(#REF! &lt;= 150, "101-150", "151+")))</f>
        <v>#REF!</v>
      </c>
      <c r="Y2979" t="e">
        <f>IF(#REF! &lt;= 3, "Low Charges", "High Charges")</f>
        <v>#REF!</v>
      </c>
      <c r="Z2979" t="e">
        <f>IF(#REF!&lt;=80,"Low Calls",
IF(#REF!&lt;=120,"Medium Calls","High Calls"))</f>
        <v>#REF!</v>
      </c>
      <c r="AA2979" t="e">
        <f>IF(#REF!&lt;=15,"Low Charges",
IF(#REF!&lt;=20,"Medium Charges","High Charges"))</f>
        <v>#REF!</v>
      </c>
      <c r="AB2979" t="e">
        <f>IF(AND(#REF!&gt;180, #REF!&gt;200), "Heavy Doemstic User", IF(#REF!&gt;10, "Interntional User", IF(AND(#REF!&lt;180, #REF!&lt;200,#REF!&lt;200), "Light User", "Balanced User")))</f>
        <v>#REF!</v>
      </c>
      <c r="AC2979" t="e">
        <f>IF(#REF! = 0, "No Usage", IF(#REF! &lt;= 20, "Low Usage", IF(#REF! &lt;= 40, "Medium Usgae", "High Usage")))</f>
        <v>#REF!</v>
      </c>
      <c r="AD2979" t="e">
        <f>IF(#REF!&lt;=150,"Low Usage", IF(#REF!&lt;=200,"Medium Usage", IF(#REF!&lt;=250,"High Usage","Very High Usage")))</f>
        <v>#REF!</v>
      </c>
      <c r="AE2979" t="e">
        <f>IF(#REF!&lt;=5,"Low Calls", IF(#REF!&lt;=10, "Medium Calls", "High Calls"))</f>
        <v>#REF!</v>
      </c>
      <c r="AF2979" t="e">
        <f xml:space="preserve">
IF(#REF!&gt;=4,4,0)+
IF(#REF!="yes",3,0)+
IF(#REF!="High Charges",3,0)+
IF(#REF!&gt;250,4,0)+
IF(#REF!="no",1,0)+
IF(#REF!="Heavy Domestic User",2,0)</f>
        <v>#REF!</v>
      </c>
      <c r="AG2979" t="e">
        <f>IF(#REF!&gt;=10,"High Risk", IF(#REF!&gt;=5,"Medium Risk","Low Risk"))</f>
        <v>#REF!</v>
      </c>
      <c r="AH2979" t="e">
        <f>#REF! + #REF! + #REF! + #REF!</f>
        <v>#REF!</v>
      </c>
    </row>
    <row r="2980" spans="1:34" x14ac:dyDescent="0.35">
      <c r="A2980">
        <v>2979</v>
      </c>
      <c r="B2980" t="s">
        <v>55</v>
      </c>
      <c r="C2980">
        <v>102</v>
      </c>
      <c r="D2980" t="s">
        <v>28</v>
      </c>
      <c r="E2980" t="s">
        <v>22</v>
      </c>
      <c r="F2980" t="s">
        <v>23</v>
      </c>
      <c r="G2980">
        <v>45</v>
      </c>
      <c r="H2980">
        <v>129.19999999999999</v>
      </c>
      <c r="I2980">
        <v>142</v>
      </c>
      <c r="J2980">
        <v>21.96</v>
      </c>
      <c r="K2980">
        <v>239.4</v>
      </c>
      <c r="L2980">
        <v>114</v>
      </c>
      <c r="M2980">
        <v>20.350000000000001</v>
      </c>
      <c r="N2980">
        <v>223.4</v>
      </c>
      <c r="O2980">
        <v>66</v>
      </c>
      <c r="P2980">
        <v>10.050000000000001</v>
      </c>
      <c r="Q2980">
        <v>8.6999999999999993</v>
      </c>
      <c r="R2980">
        <v>4</v>
      </c>
      <c r="S2980">
        <v>2.35</v>
      </c>
      <c r="T2980">
        <v>0</v>
      </c>
      <c r="U2980" t="s">
        <v>22</v>
      </c>
      <c r="V2980" t="e">
        <f>IF(#REF! = "yes", 1, 0)</f>
        <v>#REF!</v>
      </c>
      <c r="W2980" t="e">
        <f>IF(#REF! &lt;= 1, "0-1 Calls", IF(#REF! &lt;= 3, "2-3 Calls", IF(#REF! &lt;=5, "4-5 Calls", "6+ Calls")))</f>
        <v>#REF!</v>
      </c>
      <c r="X2980" t="e">
        <f>IF(#REF! &lt;= 50, "0-50", IF(#REF! &lt;=100, "51-100", IF(#REF! &lt;= 150, "101-150", "151+")))</f>
        <v>#REF!</v>
      </c>
      <c r="Y2980" t="e">
        <f>IF(#REF! &lt;= 3, "Low Charges", "High Charges")</f>
        <v>#REF!</v>
      </c>
      <c r="Z2980" t="e">
        <f>IF(#REF!&lt;=80,"Low Calls",
IF(#REF!&lt;=120,"Medium Calls","High Calls"))</f>
        <v>#REF!</v>
      </c>
      <c r="AA2980" t="e">
        <f>IF(#REF!&lt;=15,"Low Charges",
IF(#REF!&lt;=20,"Medium Charges","High Charges"))</f>
        <v>#REF!</v>
      </c>
      <c r="AB2980" t="e">
        <f>IF(AND(#REF!&gt;180, #REF!&gt;200), "Heavy Doemstic User", IF(#REF!&gt;10, "Interntional User", IF(AND(#REF!&lt;180, #REF!&lt;200,#REF!&lt;200), "Light User", "Balanced User")))</f>
        <v>#REF!</v>
      </c>
      <c r="AC2980" t="e">
        <f>IF(#REF! = 0, "No Usage", IF(#REF! &lt;= 20, "Low Usage", IF(#REF! &lt;= 40, "Medium Usgae", "High Usage")))</f>
        <v>#REF!</v>
      </c>
      <c r="AD2980" t="e">
        <f>IF(#REF!&lt;=150,"Low Usage", IF(#REF!&lt;=200,"Medium Usage", IF(#REF!&lt;=250,"High Usage","Very High Usage")))</f>
        <v>#REF!</v>
      </c>
      <c r="AE2980" t="e">
        <f>IF(#REF!&lt;=5,"Low Calls", IF(#REF!&lt;=10, "Medium Calls", "High Calls"))</f>
        <v>#REF!</v>
      </c>
      <c r="AF2980" t="e">
        <f xml:space="preserve">
IF(#REF!&gt;=4,4,0)+
IF(#REF!="yes",3,0)+
IF(#REF!="High Charges",3,0)+
IF(#REF!&gt;250,4,0)+
IF(#REF!="no",1,0)+
IF(#REF!="Heavy Domestic User",2,0)</f>
        <v>#REF!</v>
      </c>
      <c r="AG2980" t="e">
        <f>IF(#REF!&gt;=10,"High Risk", IF(#REF!&gt;=5,"Medium Risk","Low Risk"))</f>
        <v>#REF!</v>
      </c>
      <c r="AH2980" t="e">
        <f>#REF! + #REF! + #REF! + #REF!</f>
        <v>#REF!</v>
      </c>
    </row>
    <row r="2981" spans="1:34" x14ac:dyDescent="0.35">
      <c r="A2981">
        <v>2980</v>
      </c>
      <c r="B2981" t="s">
        <v>38</v>
      </c>
      <c r="C2981">
        <v>71</v>
      </c>
      <c r="D2981" t="s">
        <v>21</v>
      </c>
      <c r="E2981" t="s">
        <v>22</v>
      </c>
      <c r="F2981" t="s">
        <v>23</v>
      </c>
      <c r="G2981">
        <v>49</v>
      </c>
      <c r="H2981">
        <v>174</v>
      </c>
      <c r="I2981">
        <v>122</v>
      </c>
      <c r="J2981">
        <v>29.58</v>
      </c>
      <c r="K2981">
        <v>168.6</v>
      </c>
      <c r="L2981">
        <v>85</v>
      </c>
      <c r="M2981">
        <v>14.33</v>
      </c>
      <c r="N2981">
        <v>132.1</v>
      </c>
      <c r="O2981">
        <v>120</v>
      </c>
      <c r="P2981">
        <v>5.94</v>
      </c>
      <c r="Q2981">
        <v>7.8</v>
      </c>
      <c r="R2981">
        <v>4</v>
      </c>
      <c r="S2981">
        <v>2.11</v>
      </c>
      <c r="T2981">
        <v>1</v>
      </c>
      <c r="U2981" t="s">
        <v>22</v>
      </c>
      <c r="V2981" t="e">
        <f>IF(#REF! = "yes", 1, 0)</f>
        <v>#REF!</v>
      </c>
      <c r="W2981" t="e">
        <f>IF(#REF! &lt;= 1, "0-1 Calls", IF(#REF! &lt;= 3, "2-3 Calls", IF(#REF! &lt;=5, "4-5 Calls", "6+ Calls")))</f>
        <v>#REF!</v>
      </c>
      <c r="X2981" t="e">
        <f>IF(#REF! &lt;= 50, "0-50", IF(#REF! &lt;=100, "51-100", IF(#REF! &lt;= 150, "101-150", "151+")))</f>
        <v>#REF!</v>
      </c>
      <c r="Y2981" t="e">
        <f>IF(#REF! &lt;= 3, "Low Charges", "High Charges")</f>
        <v>#REF!</v>
      </c>
      <c r="Z2981" t="e">
        <f>IF(#REF!&lt;=80,"Low Calls",
IF(#REF!&lt;=120,"Medium Calls","High Calls"))</f>
        <v>#REF!</v>
      </c>
      <c r="AA2981" t="e">
        <f>IF(#REF!&lt;=15,"Low Charges",
IF(#REF!&lt;=20,"Medium Charges","High Charges"))</f>
        <v>#REF!</v>
      </c>
      <c r="AB2981" t="e">
        <f>IF(AND(#REF!&gt;180, #REF!&gt;200), "Heavy Doemstic User", IF(#REF!&gt;10, "Interntional User", IF(AND(#REF!&lt;180, #REF!&lt;200,#REF!&lt;200), "Light User", "Balanced User")))</f>
        <v>#REF!</v>
      </c>
      <c r="AC2981" t="e">
        <f>IF(#REF! = 0, "No Usage", IF(#REF! &lt;= 20, "Low Usage", IF(#REF! &lt;= 40, "Medium Usgae", "High Usage")))</f>
        <v>#REF!</v>
      </c>
      <c r="AD2981" t="e">
        <f>IF(#REF!&lt;=150,"Low Usage", IF(#REF!&lt;=200,"Medium Usage", IF(#REF!&lt;=250,"High Usage","Very High Usage")))</f>
        <v>#REF!</v>
      </c>
      <c r="AE2981" t="e">
        <f>IF(#REF!&lt;=5,"Low Calls", IF(#REF!&lt;=10, "Medium Calls", "High Calls"))</f>
        <v>#REF!</v>
      </c>
      <c r="AF2981" t="e">
        <f xml:space="preserve">
IF(#REF!&gt;=4,4,0)+
IF(#REF!="yes",3,0)+
IF(#REF!="High Charges",3,0)+
IF(#REF!&gt;250,4,0)+
IF(#REF!="no",1,0)+
IF(#REF!="Heavy Domestic User",2,0)</f>
        <v>#REF!</v>
      </c>
      <c r="AG2981" t="e">
        <f>IF(#REF!&gt;=10,"High Risk", IF(#REF!&gt;=5,"Medium Risk","Low Risk"))</f>
        <v>#REF!</v>
      </c>
      <c r="AH2981" t="e">
        <f>#REF! + #REF! + #REF! + #REF!</f>
        <v>#REF!</v>
      </c>
    </row>
    <row r="2982" spans="1:34" x14ac:dyDescent="0.35">
      <c r="A2982">
        <v>2981</v>
      </c>
      <c r="B2982" t="s">
        <v>39</v>
      </c>
      <c r="C2982">
        <v>104</v>
      </c>
      <c r="D2982" t="s">
        <v>21</v>
      </c>
      <c r="E2982" t="s">
        <v>22</v>
      </c>
      <c r="F2982" t="s">
        <v>22</v>
      </c>
      <c r="G2982">
        <v>0</v>
      </c>
      <c r="H2982">
        <v>261.2</v>
      </c>
      <c r="I2982">
        <v>81</v>
      </c>
      <c r="J2982">
        <v>44.4</v>
      </c>
      <c r="K2982">
        <v>209.1</v>
      </c>
      <c r="L2982">
        <v>130</v>
      </c>
      <c r="M2982">
        <v>17.77</v>
      </c>
      <c r="N2982">
        <v>281.10000000000002</v>
      </c>
      <c r="O2982">
        <v>121</v>
      </c>
      <c r="P2982">
        <v>12.65</v>
      </c>
      <c r="Q2982">
        <v>11.3</v>
      </c>
      <c r="R2982">
        <v>1</v>
      </c>
      <c r="S2982">
        <v>3.05</v>
      </c>
      <c r="T2982">
        <v>2</v>
      </c>
      <c r="U2982" t="s">
        <v>23</v>
      </c>
      <c r="V2982" t="e">
        <f>IF(#REF! = "yes", 1, 0)</f>
        <v>#REF!</v>
      </c>
      <c r="W2982" t="e">
        <f>IF(#REF! &lt;= 1, "0-1 Calls", IF(#REF! &lt;= 3, "2-3 Calls", IF(#REF! &lt;=5, "4-5 Calls", "6+ Calls")))</f>
        <v>#REF!</v>
      </c>
      <c r="X2982" t="e">
        <f>IF(#REF! &lt;= 50, "0-50", IF(#REF! &lt;=100, "51-100", IF(#REF! &lt;= 150, "101-150", "151+")))</f>
        <v>#REF!</v>
      </c>
      <c r="Y2982" t="e">
        <f>IF(#REF! &lt;= 3, "Low Charges", "High Charges")</f>
        <v>#REF!</v>
      </c>
      <c r="Z2982" t="e">
        <f>IF(#REF!&lt;=80,"Low Calls",
IF(#REF!&lt;=120,"Medium Calls","High Calls"))</f>
        <v>#REF!</v>
      </c>
      <c r="AA2982" t="e">
        <f>IF(#REF!&lt;=15,"Low Charges",
IF(#REF!&lt;=20,"Medium Charges","High Charges"))</f>
        <v>#REF!</v>
      </c>
      <c r="AB2982" t="e">
        <f>IF(AND(#REF!&gt;180, #REF!&gt;200), "Heavy Doemstic User", IF(#REF!&gt;10, "Interntional User", IF(AND(#REF!&lt;180, #REF!&lt;200,#REF!&lt;200), "Light User", "Balanced User")))</f>
        <v>#REF!</v>
      </c>
      <c r="AC2982" t="e">
        <f>IF(#REF! = 0, "No Usage", IF(#REF! &lt;= 20, "Low Usage", IF(#REF! &lt;= 40, "Medium Usgae", "High Usage")))</f>
        <v>#REF!</v>
      </c>
      <c r="AD2982" t="e">
        <f>IF(#REF!&lt;=150,"Low Usage", IF(#REF!&lt;=200,"Medium Usage", IF(#REF!&lt;=250,"High Usage","Very High Usage")))</f>
        <v>#REF!</v>
      </c>
      <c r="AE2982" t="e">
        <f>IF(#REF!&lt;=5,"Low Calls", IF(#REF!&lt;=10, "Medium Calls", "High Calls"))</f>
        <v>#REF!</v>
      </c>
      <c r="AF2982" t="e">
        <f xml:space="preserve">
IF(#REF!&gt;=4,4,0)+
IF(#REF!="yes",3,0)+
IF(#REF!="High Charges",3,0)+
IF(#REF!&gt;250,4,0)+
IF(#REF!="no",1,0)+
IF(#REF!="Heavy Domestic User",2,0)</f>
        <v>#REF!</v>
      </c>
      <c r="AG2982" t="e">
        <f>IF(#REF!&gt;=10,"High Risk", IF(#REF!&gt;=5,"Medium Risk","Low Risk"))</f>
        <v>#REF!</v>
      </c>
      <c r="AH2982" t="e">
        <f>#REF! + #REF! + #REF! + #REF!</f>
        <v>#REF!</v>
      </c>
    </row>
    <row r="2983" spans="1:34" x14ac:dyDescent="0.35">
      <c r="A2983">
        <v>2982</v>
      </c>
      <c r="B2983" t="s">
        <v>71</v>
      </c>
      <c r="C2983">
        <v>96</v>
      </c>
      <c r="D2983" t="s">
        <v>21</v>
      </c>
      <c r="E2983" t="s">
        <v>22</v>
      </c>
      <c r="F2983" t="s">
        <v>22</v>
      </c>
      <c r="G2983">
        <v>0</v>
      </c>
      <c r="H2983">
        <v>264.60000000000002</v>
      </c>
      <c r="I2983">
        <v>117</v>
      </c>
      <c r="J2983">
        <v>44.98</v>
      </c>
      <c r="K2983">
        <v>264.10000000000002</v>
      </c>
      <c r="L2983">
        <v>121</v>
      </c>
      <c r="M2983">
        <v>22.45</v>
      </c>
      <c r="N2983">
        <v>77.099999999999994</v>
      </c>
      <c r="O2983">
        <v>89</v>
      </c>
      <c r="P2983">
        <v>3.47</v>
      </c>
      <c r="Q2983">
        <v>8.1</v>
      </c>
      <c r="R2983">
        <v>4</v>
      </c>
      <c r="S2983">
        <v>2.19</v>
      </c>
      <c r="T2983">
        <v>0</v>
      </c>
      <c r="U2983" t="s">
        <v>22</v>
      </c>
      <c r="V2983" t="e">
        <f>IF(#REF! = "yes", 1, 0)</f>
        <v>#REF!</v>
      </c>
      <c r="W2983" t="e">
        <f>IF(#REF! &lt;= 1, "0-1 Calls", IF(#REF! &lt;= 3, "2-3 Calls", IF(#REF! &lt;=5, "4-5 Calls", "6+ Calls")))</f>
        <v>#REF!</v>
      </c>
      <c r="X2983" t="e">
        <f>IF(#REF! &lt;= 50, "0-50", IF(#REF! &lt;=100, "51-100", IF(#REF! &lt;= 150, "101-150", "151+")))</f>
        <v>#REF!</v>
      </c>
      <c r="Y2983" t="e">
        <f>IF(#REF! &lt;= 3, "Low Charges", "High Charges")</f>
        <v>#REF!</v>
      </c>
      <c r="Z2983" t="e">
        <f>IF(#REF!&lt;=80,"Low Calls",
IF(#REF!&lt;=120,"Medium Calls","High Calls"))</f>
        <v>#REF!</v>
      </c>
      <c r="AA2983" t="e">
        <f>IF(#REF!&lt;=15,"Low Charges",
IF(#REF!&lt;=20,"Medium Charges","High Charges"))</f>
        <v>#REF!</v>
      </c>
      <c r="AB2983" t="e">
        <f>IF(AND(#REF!&gt;180, #REF!&gt;200), "Heavy Doemstic User", IF(#REF!&gt;10, "Interntional User", IF(AND(#REF!&lt;180, #REF!&lt;200,#REF!&lt;200), "Light User", "Balanced User")))</f>
        <v>#REF!</v>
      </c>
      <c r="AC2983" t="e">
        <f>IF(#REF! = 0, "No Usage", IF(#REF! &lt;= 20, "Low Usage", IF(#REF! &lt;= 40, "Medium Usgae", "High Usage")))</f>
        <v>#REF!</v>
      </c>
      <c r="AD2983" t="e">
        <f>IF(#REF!&lt;=150,"Low Usage", IF(#REF!&lt;=200,"Medium Usage", IF(#REF!&lt;=250,"High Usage","Very High Usage")))</f>
        <v>#REF!</v>
      </c>
      <c r="AE2983" t="e">
        <f>IF(#REF!&lt;=5,"Low Calls", IF(#REF!&lt;=10, "Medium Calls", "High Calls"))</f>
        <v>#REF!</v>
      </c>
      <c r="AF2983" t="e">
        <f xml:space="preserve">
IF(#REF!&gt;=4,4,0)+
IF(#REF!="yes",3,0)+
IF(#REF!="High Charges",3,0)+
IF(#REF!&gt;250,4,0)+
IF(#REF!="no",1,0)+
IF(#REF!="Heavy Domestic User",2,0)</f>
        <v>#REF!</v>
      </c>
      <c r="AG2983" t="e">
        <f>IF(#REF!&gt;=10,"High Risk", IF(#REF!&gt;=5,"Medium Risk","Low Risk"))</f>
        <v>#REF!</v>
      </c>
      <c r="AH2983" t="e">
        <f>#REF! + #REF! + #REF! + #REF!</f>
        <v>#REF!</v>
      </c>
    </row>
    <row r="2984" spans="1:34" x14ac:dyDescent="0.35">
      <c r="A2984">
        <v>2983</v>
      </c>
      <c r="B2984" t="s">
        <v>73</v>
      </c>
      <c r="C2984">
        <v>90</v>
      </c>
      <c r="D2984" t="s">
        <v>25</v>
      </c>
      <c r="E2984" t="s">
        <v>22</v>
      </c>
      <c r="F2984" t="s">
        <v>22</v>
      </c>
      <c r="G2984">
        <v>0</v>
      </c>
      <c r="H2984">
        <v>160.9</v>
      </c>
      <c r="I2984">
        <v>97</v>
      </c>
      <c r="J2984">
        <v>27.35</v>
      </c>
      <c r="K2984">
        <v>136.4</v>
      </c>
      <c r="L2984">
        <v>46</v>
      </c>
      <c r="M2984">
        <v>11.59</v>
      </c>
      <c r="N2984">
        <v>209</v>
      </c>
      <c r="O2984">
        <v>121</v>
      </c>
      <c r="P2984">
        <v>9.4</v>
      </c>
      <c r="Q2984">
        <v>9.1</v>
      </c>
      <c r="R2984">
        <v>4</v>
      </c>
      <c r="S2984">
        <v>2.46</v>
      </c>
      <c r="T2984">
        <v>2</v>
      </c>
      <c r="U2984" t="s">
        <v>22</v>
      </c>
      <c r="V2984" t="e">
        <f>IF(#REF! = "yes", 1, 0)</f>
        <v>#REF!</v>
      </c>
      <c r="W2984" t="e">
        <f>IF(#REF! &lt;= 1, "0-1 Calls", IF(#REF! &lt;= 3, "2-3 Calls", IF(#REF! &lt;=5, "4-5 Calls", "6+ Calls")))</f>
        <v>#REF!</v>
      </c>
      <c r="X2984" t="e">
        <f>IF(#REF! &lt;= 50, "0-50", IF(#REF! &lt;=100, "51-100", IF(#REF! &lt;= 150, "101-150", "151+")))</f>
        <v>#REF!</v>
      </c>
      <c r="Y2984" t="e">
        <f>IF(#REF! &lt;= 3, "Low Charges", "High Charges")</f>
        <v>#REF!</v>
      </c>
      <c r="Z2984" t="e">
        <f>IF(#REF!&lt;=80,"Low Calls",
IF(#REF!&lt;=120,"Medium Calls","High Calls"))</f>
        <v>#REF!</v>
      </c>
      <c r="AA2984" t="e">
        <f>IF(#REF!&lt;=15,"Low Charges",
IF(#REF!&lt;=20,"Medium Charges","High Charges"))</f>
        <v>#REF!</v>
      </c>
      <c r="AB2984" t="e">
        <f>IF(AND(#REF!&gt;180, #REF!&gt;200), "Heavy Doemstic User", IF(#REF!&gt;10, "Interntional User", IF(AND(#REF!&lt;180, #REF!&lt;200,#REF!&lt;200), "Light User", "Balanced User")))</f>
        <v>#REF!</v>
      </c>
      <c r="AC2984" t="e">
        <f>IF(#REF! = 0, "No Usage", IF(#REF! &lt;= 20, "Low Usage", IF(#REF! &lt;= 40, "Medium Usgae", "High Usage")))</f>
        <v>#REF!</v>
      </c>
      <c r="AD2984" t="e">
        <f>IF(#REF!&lt;=150,"Low Usage", IF(#REF!&lt;=200,"Medium Usage", IF(#REF!&lt;=250,"High Usage","Very High Usage")))</f>
        <v>#REF!</v>
      </c>
      <c r="AE2984" t="e">
        <f>IF(#REF!&lt;=5,"Low Calls", IF(#REF!&lt;=10, "Medium Calls", "High Calls"))</f>
        <v>#REF!</v>
      </c>
      <c r="AF2984" t="e">
        <f xml:space="preserve">
IF(#REF!&gt;=4,4,0)+
IF(#REF!="yes",3,0)+
IF(#REF!="High Charges",3,0)+
IF(#REF!&gt;250,4,0)+
IF(#REF!="no",1,0)+
IF(#REF!="Heavy Domestic User",2,0)</f>
        <v>#REF!</v>
      </c>
      <c r="AG2984" t="e">
        <f>IF(#REF!&gt;=10,"High Risk", IF(#REF!&gt;=5,"Medium Risk","Low Risk"))</f>
        <v>#REF!</v>
      </c>
      <c r="AH2984" t="e">
        <f>#REF! + #REF! + #REF! + #REF!</f>
        <v>#REF!</v>
      </c>
    </row>
    <row r="2985" spans="1:34" x14ac:dyDescent="0.35">
      <c r="A2985">
        <v>2984</v>
      </c>
      <c r="B2985" t="s">
        <v>74</v>
      </c>
      <c r="C2985">
        <v>106</v>
      </c>
      <c r="D2985" t="s">
        <v>28</v>
      </c>
      <c r="E2985" t="s">
        <v>22</v>
      </c>
      <c r="F2985" t="s">
        <v>23</v>
      </c>
      <c r="G2985">
        <v>36</v>
      </c>
      <c r="H2985">
        <v>124.8</v>
      </c>
      <c r="I2985">
        <v>93</v>
      </c>
      <c r="J2985">
        <v>21.22</v>
      </c>
      <c r="K2985">
        <v>241.7</v>
      </c>
      <c r="L2985">
        <v>83</v>
      </c>
      <c r="M2985">
        <v>20.54</v>
      </c>
      <c r="N2985">
        <v>219</v>
      </c>
      <c r="O2985">
        <v>110</v>
      </c>
      <c r="P2985">
        <v>9.86</v>
      </c>
      <c r="Q2985">
        <v>11.3</v>
      </c>
      <c r="R2985">
        <v>3</v>
      </c>
      <c r="S2985">
        <v>3.05</v>
      </c>
      <c r="T2985">
        <v>1</v>
      </c>
      <c r="U2985" t="s">
        <v>22</v>
      </c>
      <c r="V2985" t="e">
        <f>IF(#REF! = "yes", 1, 0)</f>
        <v>#REF!</v>
      </c>
      <c r="W2985" t="e">
        <f>IF(#REF! &lt;= 1, "0-1 Calls", IF(#REF! &lt;= 3, "2-3 Calls", IF(#REF! &lt;=5, "4-5 Calls", "6+ Calls")))</f>
        <v>#REF!</v>
      </c>
      <c r="X2985" t="e">
        <f>IF(#REF! &lt;= 50, "0-50", IF(#REF! &lt;=100, "51-100", IF(#REF! &lt;= 150, "101-150", "151+")))</f>
        <v>#REF!</v>
      </c>
      <c r="Y2985" t="e">
        <f>IF(#REF! &lt;= 3, "Low Charges", "High Charges")</f>
        <v>#REF!</v>
      </c>
      <c r="Z2985" t="e">
        <f>IF(#REF!&lt;=80,"Low Calls",
IF(#REF!&lt;=120,"Medium Calls","High Calls"))</f>
        <v>#REF!</v>
      </c>
      <c r="AA2985" t="e">
        <f>IF(#REF!&lt;=15,"Low Charges",
IF(#REF!&lt;=20,"Medium Charges","High Charges"))</f>
        <v>#REF!</v>
      </c>
      <c r="AB2985" t="e">
        <f>IF(AND(#REF!&gt;180, #REF!&gt;200), "Heavy Doemstic User", IF(#REF!&gt;10, "Interntional User", IF(AND(#REF!&lt;180, #REF!&lt;200,#REF!&lt;200), "Light User", "Balanced User")))</f>
        <v>#REF!</v>
      </c>
      <c r="AC2985" t="e">
        <f>IF(#REF! = 0, "No Usage", IF(#REF! &lt;= 20, "Low Usage", IF(#REF! &lt;= 40, "Medium Usgae", "High Usage")))</f>
        <v>#REF!</v>
      </c>
      <c r="AD2985" t="e">
        <f>IF(#REF!&lt;=150,"Low Usage", IF(#REF!&lt;=200,"Medium Usage", IF(#REF!&lt;=250,"High Usage","Very High Usage")))</f>
        <v>#REF!</v>
      </c>
      <c r="AE2985" t="e">
        <f>IF(#REF!&lt;=5,"Low Calls", IF(#REF!&lt;=10, "Medium Calls", "High Calls"))</f>
        <v>#REF!</v>
      </c>
      <c r="AF2985" t="e">
        <f xml:space="preserve">
IF(#REF!&gt;=4,4,0)+
IF(#REF!="yes",3,0)+
IF(#REF!="High Charges",3,0)+
IF(#REF!&gt;250,4,0)+
IF(#REF!="no",1,0)+
IF(#REF!="Heavy Domestic User",2,0)</f>
        <v>#REF!</v>
      </c>
      <c r="AG2985" t="e">
        <f>IF(#REF!&gt;=10,"High Risk", IF(#REF!&gt;=5,"Medium Risk","Low Risk"))</f>
        <v>#REF!</v>
      </c>
      <c r="AH2985" t="e">
        <f>#REF! + #REF! + #REF! + #REF!</f>
        <v>#REF!</v>
      </c>
    </row>
    <row r="2986" spans="1:34" x14ac:dyDescent="0.35">
      <c r="A2986">
        <v>2985</v>
      </c>
      <c r="B2986" t="s">
        <v>54</v>
      </c>
      <c r="C2986">
        <v>148</v>
      </c>
      <c r="D2986" t="s">
        <v>28</v>
      </c>
      <c r="E2986" t="s">
        <v>22</v>
      </c>
      <c r="F2986" t="s">
        <v>22</v>
      </c>
      <c r="G2986">
        <v>0</v>
      </c>
      <c r="H2986">
        <v>230.6</v>
      </c>
      <c r="I2986">
        <v>92</v>
      </c>
      <c r="J2986">
        <v>39.200000000000003</v>
      </c>
      <c r="K2986">
        <v>185.6</v>
      </c>
      <c r="L2986">
        <v>97</v>
      </c>
      <c r="M2986">
        <v>15.78</v>
      </c>
      <c r="N2986">
        <v>183.2</v>
      </c>
      <c r="O2986">
        <v>79</v>
      </c>
      <c r="P2986">
        <v>8.24</v>
      </c>
      <c r="Q2986">
        <v>6.2</v>
      </c>
      <c r="R2986">
        <v>4</v>
      </c>
      <c r="S2986">
        <v>1.67</v>
      </c>
      <c r="T2986">
        <v>2</v>
      </c>
      <c r="U2986" t="s">
        <v>22</v>
      </c>
      <c r="V2986" t="e">
        <f>IF(#REF! = "yes", 1, 0)</f>
        <v>#REF!</v>
      </c>
      <c r="W2986" t="e">
        <f>IF(#REF! &lt;= 1, "0-1 Calls", IF(#REF! &lt;= 3, "2-3 Calls", IF(#REF! &lt;=5, "4-5 Calls", "6+ Calls")))</f>
        <v>#REF!</v>
      </c>
      <c r="X2986" t="e">
        <f>IF(#REF! &lt;= 50, "0-50", IF(#REF! &lt;=100, "51-100", IF(#REF! &lt;= 150, "101-150", "151+")))</f>
        <v>#REF!</v>
      </c>
      <c r="Y2986" t="e">
        <f>IF(#REF! &lt;= 3, "Low Charges", "High Charges")</f>
        <v>#REF!</v>
      </c>
      <c r="Z2986" t="e">
        <f>IF(#REF!&lt;=80,"Low Calls",
IF(#REF!&lt;=120,"Medium Calls","High Calls"))</f>
        <v>#REF!</v>
      </c>
      <c r="AA2986" t="e">
        <f>IF(#REF!&lt;=15,"Low Charges",
IF(#REF!&lt;=20,"Medium Charges","High Charges"))</f>
        <v>#REF!</v>
      </c>
      <c r="AB2986" t="e">
        <f>IF(AND(#REF!&gt;180, #REF!&gt;200), "Heavy Doemstic User", IF(#REF!&gt;10, "Interntional User", IF(AND(#REF!&lt;180, #REF!&lt;200,#REF!&lt;200), "Light User", "Balanced User")))</f>
        <v>#REF!</v>
      </c>
      <c r="AC2986" t="e">
        <f>IF(#REF! = 0, "No Usage", IF(#REF! &lt;= 20, "Low Usage", IF(#REF! &lt;= 40, "Medium Usgae", "High Usage")))</f>
        <v>#REF!</v>
      </c>
      <c r="AD2986" t="e">
        <f>IF(#REF!&lt;=150,"Low Usage", IF(#REF!&lt;=200,"Medium Usage", IF(#REF!&lt;=250,"High Usage","Very High Usage")))</f>
        <v>#REF!</v>
      </c>
      <c r="AE2986" t="e">
        <f>IF(#REF!&lt;=5,"Low Calls", IF(#REF!&lt;=10, "Medium Calls", "High Calls"))</f>
        <v>#REF!</v>
      </c>
      <c r="AF2986" t="e">
        <f xml:space="preserve">
IF(#REF!&gt;=4,4,0)+
IF(#REF!="yes",3,0)+
IF(#REF!="High Charges",3,0)+
IF(#REF!&gt;250,4,0)+
IF(#REF!="no",1,0)+
IF(#REF!="Heavy Domestic User",2,0)</f>
        <v>#REF!</v>
      </c>
      <c r="AG2986" t="e">
        <f>IF(#REF!&gt;=10,"High Risk", IF(#REF!&gt;=5,"Medium Risk","Low Risk"))</f>
        <v>#REF!</v>
      </c>
      <c r="AH2986" t="e">
        <f>#REF! + #REF! + #REF! + #REF!</f>
        <v>#REF!</v>
      </c>
    </row>
    <row r="2987" spans="1:34" x14ac:dyDescent="0.35">
      <c r="A2987">
        <v>2986</v>
      </c>
      <c r="B2987" t="s">
        <v>55</v>
      </c>
      <c r="C2987">
        <v>95</v>
      </c>
      <c r="D2987" t="s">
        <v>25</v>
      </c>
      <c r="E2987" t="s">
        <v>22</v>
      </c>
      <c r="F2987" t="s">
        <v>23</v>
      </c>
      <c r="G2987">
        <v>35</v>
      </c>
      <c r="H2987">
        <v>229.1</v>
      </c>
      <c r="I2987">
        <v>143</v>
      </c>
      <c r="J2987">
        <v>38.950000000000003</v>
      </c>
      <c r="K2987">
        <v>148.19999999999999</v>
      </c>
      <c r="L2987">
        <v>104</v>
      </c>
      <c r="M2987">
        <v>12.6</v>
      </c>
      <c r="N2987">
        <v>248.4</v>
      </c>
      <c r="O2987">
        <v>110</v>
      </c>
      <c r="P2987">
        <v>11.18</v>
      </c>
      <c r="Q2987">
        <v>3.9</v>
      </c>
      <c r="R2987">
        <v>3</v>
      </c>
      <c r="S2987">
        <v>1.05</v>
      </c>
      <c r="T2987">
        <v>0</v>
      </c>
      <c r="U2987" t="s">
        <v>22</v>
      </c>
      <c r="V2987" t="e">
        <f>IF(#REF! = "yes", 1, 0)</f>
        <v>#REF!</v>
      </c>
      <c r="W2987" t="e">
        <f>IF(#REF! &lt;= 1, "0-1 Calls", IF(#REF! &lt;= 3, "2-3 Calls", IF(#REF! &lt;=5, "4-5 Calls", "6+ Calls")))</f>
        <v>#REF!</v>
      </c>
      <c r="X2987" t="e">
        <f>IF(#REF! &lt;= 50, "0-50", IF(#REF! &lt;=100, "51-100", IF(#REF! &lt;= 150, "101-150", "151+")))</f>
        <v>#REF!</v>
      </c>
      <c r="Y2987" t="e">
        <f>IF(#REF! &lt;= 3, "Low Charges", "High Charges")</f>
        <v>#REF!</v>
      </c>
      <c r="Z2987" t="e">
        <f>IF(#REF!&lt;=80,"Low Calls",
IF(#REF!&lt;=120,"Medium Calls","High Calls"))</f>
        <v>#REF!</v>
      </c>
      <c r="AA2987" t="e">
        <f>IF(#REF!&lt;=15,"Low Charges",
IF(#REF!&lt;=20,"Medium Charges","High Charges"))</f>
        <v>#REF!</v>
      </c>
      <c r="AB2987" t="e">
        <f>IF(AND(#REF!&gt;180, #REF!&gt;200), "Heavy Doemstic User", IF(#REF!&gt;10, "Interntional User", IF(AND(#REF!&lt;180, #REF!&lt;200,#REF!&lt;200), "Light User", "Balanced User")))</f>
        <v>#REF!</v>
      </c>
      <c r="AC2987" t="e">
        <f>IF(#REF! = 0, "No Usage", IF(#REF! &lt;= 20, "Low Usage", IF(#REF! &lt;= 40, "Medium Usgae", "High Usage")))</f>
        <v>#REF!</v>
      </c>
      <c r="AD2987" t="e">
        <f>IF(#REF!&lt;=150,"Low Usage", IF(#REF!&lt;=200,"Medium Usage", IF(#REF!&lt;=250,"High Usage","Very High Usage")))</f>
        <v>#REF!</v>
      </c>
      <c r="AE2987" t="e">
        <f>IF(#REF!&lt;=5,"Low Calls", IF(#REF!&lt;=10, "Medium Calls", "High Calls"))</f>
        <v>#REF!</v>
      </c>
      <c r="AF2987" t="e">
        <f xml:space="preserve">
IF(#REF!&gt;=4,4,0)+
IF(#REF!="yes",3,0)+
IF(#REF!="High Charges",3,0)+
IF(#REF!&gt;250,4,0)+
IF(#REF!="no",1,0)+
IF(#REF!="Heavy Domestic User",2,0)</f>
        <v>#REF!</v>
      </c>
      <c r="AG2987" t="e">
        <f>IF(#REF!&gt;=10,"High Risk", IF(#REF!&gt;=5,"Medium Risk","Low Risk"))</f>
        <v>#REF!</v>
      </c>
      <c r="AH2987" t="e">
        <f>#REF! + #REF! + #REF! + #REF!</f>
        <v>#REF!</v>
      </c>
    </row>
    <row r="2988" spans="1:34" x14ac:dyDescent="0.35">
      <c r="A2988">
        <v>2987</v>
      </c>
      <c r="B2988" t="s">
        <v>26</v>
      </c>
      <c r="C2988">
        <v>127</v>
      </c>
      <c r="D2988" t="s">
        <v>25</v>
      </c>
      <c r="E2988" t="s">
        <v>22</v>
      </c>
      <c r="F2988" t="s">
        <v>22</v>
      </c>
      <c r="G2988">
        <v>0</v>
      </c>
      <c r="H2988">
        <v>212.9</v>
      </c>
      <c r="I2988">
        <v>92</v>
      </c>
      <c r="J2988">
        <v>36.19</v>
      </c>
      <c r="K2988">
        <v>260.10000000000002</v>
      </c>
      <c r="L2988">
        <v>124</v>
      </c>
      <c r="M2988">
        <v>22.11</v>
      </c>
      <c r="N2988">
        <v>177.6</v>
      </c>
      <c r="O2988">
        <v>85</v>
      </c>
      <c r="P2988">
        <v>7.99</v>
      </c>
      <c r="Q2988">
        <v>8.6</v>
      </c>
      <c r="R2988">
        <v>2</v>
      </c>
      <c r="S2988">
        <v>2.3199999999999998</v>
      </c>
      <c r="T2988">
        <v>2</v>
      </c>
      <c r="U2988" t="s">
        <v>22</v>
      </c>
      <c r="V2988" t="e">
        <f>IF(#REF! = "yes", 1, 0)</f>
        <v>#REF!</v>
      </c>
      <c r="W2988" t="e">
        <f>IF(#REF! &lt;= 1, "0-1 Calls", IF(#REF! &lt;= 3, "2-3 Calls", IF(#REF! &lt;=5, "4-5 Calls", "6+ Calls")))</f>
        <v>#REF!</v>
      </c>
      <c r="X2988" t="e">
        <f>IF(#REF! &lt;= 50, "0-50", IF(#REF! &lt;=100, "51-100", IF(#REF! &lt;= 150, "101-150", "151+")))</f>
        <v>#REF!</v>
      </c>
      <c r="Y2988" t="e">
        <f>IF(#REF! &lt;= 3, "Low Charges", "High Charges")</f>
        <v>#REF!</v>
      </c>
      <c r="Z2988" t="e">
        <f>IF(#REF!&lt;=80,"Low Calls",
IF(#REF!&lt;=120,"Medium Calls","High Calls"))</f>
        <v>#REF!</v>
      </c>
      <c r="AA2988" t="e">
        <f>IF(#REF!&lt;=15,"Low Charges",
IF(#REF!&lt;=20,"Medium Charges","High Charges"))</f>
        <v>#REF!</v>
      </c>
      <c r="AB2988" t="e">
        <f>IF(AND(#REF!&gt;180, #REF!&gt;200), "Heavy Doemstic User", IF(#REF!&gt;10, "Interntional User", IF(AND(#REF!&lt;180, #REF!&lt;200,#REF!&lt;200), "Light User", "Balanced User")))</f>
        <v>#REF!</v>
      </c>
      <c r="AC2988" t="e">
        <f>IF(#REF! = 0, "No Usage", IF(#REF! &lt;= 20, "Low Usage", IF(#REF! &lt;= 40, "Medium Usgae", "High Usage")))</f>
        <v>#REF!</v>
      </c>
      <c r="AD2988" t="e">
        <f>IF(#REF!&lt;=150,"Low Usage", IF(#REF!&lt;=200,"Medium Usage", IF(#REF!&lt;=250,"High Usage","Very High Usage")))</f>
        <v>#REF!</v>
      </c>
      <c r="AE2988" t="e">
        <f>IF(#REF!&lt;=5,"Low Calls", IF(#REF!&lt;=10, "Medium Calls", "High Calls"))</f>
        <v>#REF!</v>
      </c>
      <c r="AF2988" t="e">
        <f xml:space="preserve">
IF(#REF!&gt;=4,4,0)+
IF(#REF!="yes",3,0)+
IF(#REF!="High Charges",3,0)+
IF(#REF!&gt;250,4,0)+
IF(#REF!="no",1,0)+
IF(#REF!="Heavy Domestic User",2,0)</f>
        <v>#REF!</v>
      </c>
      <c r="AG2988" t="e">
        <f>IF(#REF!&gt;=10,"High Risk", IF(#REF!&gt;=5,"Medium Risk","Low Risk"))</f>
        <v>#REF!</v>
      </c>
      <c r="AH2988" t="e">
        <f>#REF! + #REF! + #REF! + #REF!</f>
        <v>#REF!</v>
      </c>
    </row>
    <row r="2989" spans="1:34" x14ac:dyDescent="0.35">
      <c r="A2989">
        <v>2988</v>
      </c>
      <c r="B2989" t="s">
        <v>46</v>
      </c>
      <c r="C2989">
        <v>79</v>
      </c>
      <c r="D2989" t="s">
        <v>25</v>
      </c>
      <c r="E2989" t="s">
        <v>22</v>
      </c>
      <c r="F2989" t="s">
        <v>23</v>
      </c>
      <c r="G2989">
        <v>30</v>
      </c>
      <c r="H2989">
        <v>124.8</v>
      </c>
      <c r="I2989">
        <v>99</v>
      </c>
      <c r="J2989">
        <v>21.22</v>
      </c>
      <c r="K2989">
        <v>207.6</v>
      </c>
      <c r="L2989">
        <v>142</v>
      </c>
      <c r="M2989">
        <v>17.649999999999999</v>
      </c>
      <c r="N2989">
        <v>175</v>
      </c>
      <c r="O2989">
        <v>95</v>
      </c>
      <c r="P2989">
        <v>7.88</v>
      </c>
      <c r="Q2989">
        <v>4.5999999999999996</v>
      </c>
      <c r="R2989">
        <v>3</v>
      </c>
      <c r="S2989">
        <v>1.24</v>
      </c>
      <c r="T2989">
        <v>1</v>
      </c>
      <c r="U2989" t="s">
        <v>22</v>
      </c>
      <c r="V2989" t="e">
        <f>IF(#REF! = "yes", 1, 0)</f>
        <v>#REF!</v>
      </c>
      <c r="W2989" t="e">
        <f>IF(#REF! &lt;= 1, "0-1 Calls", IF(#REF! &lt;= 3, "2-3 Calls", IF(#REF! &lt;=5, "4-5 Calls", "6+ Calls")))</f>
        <v>#REF!</v>
      </c>
      <c r="X2989" t="e">
        <f>IF(#REF! &lt;= 50, "0-50", IF(#REF! &lt;=100, "51-100", IF(#REF! &lt;= 150, "101-150", "151+")))</f>
        <v>#REF!</v>
      </c>
      <c r="Y2989" t="e">
        <f>IF(#REF! &lt;= 3, "Low Charges", "High Charges")</f>
        <v>#REF!</v>
      </c>
      <c r="Z2989" t="e">
        <f>IF(#REF!&lt;=80,"Low Calls",
IF(#REF!&lt;=120,"Medium Calls","High Calls"))</f>
        <v>#REF!</v>
      </c>
      <c r="AA2989" t="e">
        <f>IF(#REF!&lt;=15,"Low Charges",
IF(#REF!&lt;=20,"Medium Charges","High Charges"))</f>
        <v>#REF!</v>
      </c>
      <c r="AB2989" t="e">
        <f>IF(AND(#REF!&gt;180, #REF!&gt;200), "Heavy Doemstic User", IF(#REF!&gt;10, "Interntional User", IF(AND(#REF!&lt;180, #REF!&lt;200,#REF!&lt;200), "Light User", "Balanced User")))</f>
        <v>#REF!</v>
      </c>
      <c r="AC2989" t="e">
        <f>IF(#REF! = 0, "No Usage", IF(#REF! &lt;= 20, "Low Usage", IF(#REF! &lt;= 40, "Medium Usgae", "High Usage")))</f>
        <v>#REF!</v>
      </c>
      <c r="AD2989" t="e">
        <f>IF(#REF!&lt;=150,"Low Usage", IF(#REF!&lt;=200,"Medium Usage", IF(#REF!&lt;=250,"High Usage","Very High Usage")))</f>
        <v>#REF!</v>
      </c>
      <c r="AE2989" t="e">
        <f>IF(#REF!&lt;=5,"Low Calls", IF(#REF!&lt;=10, "Medium Calls", "High Calls"))</f>
        <v>#REF!</v>
      </c>
      <c r="AF2989" t="e">
        <f xml:space="preserve">
IF(#REF!&gt;=4,4,0)+
IF(#REF!="yes",3,0)+
IF(#REF!="High Charges",3,0)+
IF(#REF!&gt;250,4,0)+
IF(#REF!="no",1,0)+
IF(#REF!="Heavy Domestic User",2,0)</f>
        <v>#REF!</v>
      </c>
      <c r="AG2989" t="e">
        <f>IF(#REF!&gt;=10,"High Risk", IF(#REF!&gt;=5,"Medium Risk","Low Risk"))</f>
        <v>#REF!</v>
      </c>
      <c r="AH2989" t="e">
        <f>#REF! + #REF! + #REF! + #REF!</f>
        <v>#REF!</v>
      </c>
    </row>
    <row r="2990" spans="1:34" x14ac:dyDescent="0.35">
      <c r="A2990">
        <v>2989</v>
      </c>
      <c r="B2990" t="s">
        <v>29</v>
      </c>
      <c r="C2990">
        <v>83</v>
      </c>
      <c r="D2990" t="s">
        <v>28</v>
      </c>
      <c r="E2990" t="s">
        <v>22</v>
      </c>
      <c r="F2990" t="s">
        <v>22</v>
      </c>
      <c r="G2990">
        <v>0</v>
      </c>
      <c r="H2990">
        <v>133.9</v>
      </c>
      <c r="I2990">
        <v>82</v>
      </c>
      <c r="J2990">
        <v>22.76</v>
      </c>
      <c r="K2990">
        <v>169.6</v>
      </c>
      <c r="L2990">
        <v>105</v>
      </c>
      <c r="M2990">
        <v>14.42</v>
      </c>
      <c r="N2990">
        <v>222.8</v>
      </c>
      <c r="O2990">
        <v>114</v>
      </c>
      <c r="P2990">
        <v>10.029999999999999</v>
      </c>
      <c r="Q2990">
        <v>11.7</v>
      </c>
      <c r="R2990">
        <v>4</v>
      </c>
      <c r="S2990">
        <v>3.16</v>
      </c>
      <c r="T2990">
        <v>0</v>
      </c>
      <c r="U2990" t="s">
        <v>22</v>
      </c>
      <c r="V2990" t="e">
        <f>IF(#REF! = "yes", 1, 0)</f>
        <v>#REF!</v>
      </c>
      <c r="W2990" t="e">
        <f>IF(#REF! &lt;= 1, "0-1 Calls", IF(#REF! &lt;= 3, "2-3 Calls", IF(#REF! &lt;=5, "4-5 Calls", "6+ Calls")))</f>
        <v>#REF!</v>
      </c>
      <c r="X2990" t="e">
        <f>IF(#REF! &lt;= 50, "0-50", IF(#REF! &lt;=100, "51-100", IF(#REF! &lt;= 150, "101-150", "151+")))</f>
        <v>#REF!</v>
      </c>
      <c r="Y2990" t="e">
        <f>IF(#REF! &lt;= 3, "Low Charges", "High Charges")</f>
        <v>#REF!</v>
      </c>
      <c r="Z2990" t="e">
        <f>IF(#REF!&lt;=80,"Low Calls",
IF(#REF!&lt;=120,"Medium Calls","High Calls"))</f>
        <v>#REF!</v>
      </c>
      <c r="AA2990" t="e">
        <f>IF(#REF!&lt;=15,"Low Charges",
IF(#REF!&lt;=20,"Medium Charges","High Charges"))</f>
        <v>#REF!</v>
      </c>
      <c r="AB2990" t="e">
        <f>IF(AND(#REF!&gt;180, #REF!&gt;200), "Heavy Doemstic User", IF(#REF!&gt;10, "Interntional User", IF(AND(#REF!&lt;180, #REF!&lt;200,#REF!&lt;200), "Light User", "Balanced User")))</f>
        <v>#REF!</v>
      </c>
      <c r="AC2990" t="e">
        <f>IF(#REF! = 0, "No Usage", IF(#REF! &lt;= 20, "Low Usage", IF(#REF! &lt;= 40, "Medium Usgae", "High Usage")))</f>
        <v>#REF!</v>
      </c>
      <c r="AD2990" t="e">
        <f>IF(#REF!&lt;=150,"Low Usage", IF(#REF!&lt;=200,"Medium Usage", IF(#REF!&lt;=250,"High Usage","Very High Usage")))</f>
        <v>#REF!</v>
      </c>
      <c r="AE2990" t="e">
        <f>IF(#REF!&lt;=5,"Low Calls", IF(#REF!&lt;=10, "Medium Calls", "High Calls"))</f>
        <v>#REF!</v>
      </c>
      <c r="AF2990" t="e">
        <f xml:space="preserve">
IF(#REF!&gt;=4,4,0)+
IF(#REF!="yes",3,0)+
IF(#REF!="High Charges",3,0)+
IF(#REF!&gt;250,4,0)+
IF(#REF!="no",1,0)+
IF(#REF!="Heavy Domestic User",2,0)</f>
        <v>#REF!</v>
      </c>
      <c r="AG2990" t="e">
        <f>IF(#REF!&gt;=10,"High Risk", IF(#REF!&gt;=5,"Medium Risk","Low Risk"))</f>
        <v>#REF!</v>
      </c>
      <c r="AH2990" t="e">
        <f>#REF! + #REF! + #REF! + #REF!</f>
        <v>#REF!</v>
      </c>
    </row>
    <row r="2991" spans="1:34" x14ac:dyDescent="0.35">
      <c r="A2991">
        <v>2990</v>
      </c>
      <c r="B2991" t="s">
        <v>62</v>
      </c>
      <c r="C2991">
        <v>83</v>
      </c>
      <c r="D2991" t="s">
        <v>28</v>
      </c>
      <c r="E2991" t="s">
        <v>22</v>
      </c>
      <c r="F2991" t="s">
        <v>23</v>
      </c>
      <c r="G2991">
        <v>31</v>
      </c>
      <c r="H2991">
        <v>129.80000000000001</v>
      </c>
      <c r="I2991">
        <v>87</v>
      </c>
      <c r="J2991">
        <v>22.07</v>
      </c>
      <c r="K2991">
        <v>183.4</v>
      </c>
      <c r="L2991">
        <v>110</v>
      </c>
      <c r="M2991">
        <v>15.59</v>
      </c>
      <c r="N2991">
        <v>169.4</v>
      </c>
      <c r="O2991">
        <v>40</v>
      </c>
      <c r="P2991">
        <v>7.62</v>
      </c>
      <c r="Q2991">
        <v>14.3</v>
      </c>
      <c r="R2991">
        <v>6</v>
      </c>
      <c r="S2991">
        <v>3.86</v>
      </c>
      <c r="T2991">
        <v>1</v>
      </c>
      <c r="U2991" t="s">
        <v>22</v>
      </c>
      <c r="V2991" t="e">
        <f>IF(#REF! = "yes", 1, 0)</f>
        <v>#REF!</v>
      </c>
      <c r="W2991" t="e">
        <f>IF(#REF! &lt;= 1, "0-1 Calls", IF(#REF! &lt;= 3, "2-3 Calls", IF(#REF! &lt;=5, "4-5 Calls", "6+ Calls")))</f>
        <v>#REF!</v>
      </c>
      <c r="X2991" t="e">
        <f>IF(#REF! &lt;= 50, "0-50", IF(#REF! &lt;=100, "51-100", IF(#REF! &lt;= 150, "101-150", "151+")))</f>
        <v>#REF!</v>
      </c>
      <c r="Y2991" t="e">
        <f>IF(#REF! &lt;= 3, "Low Charges", "High Charges")</f>
        <v>#REF!</v>
      </c>
      <c r="Z2991" t="e">
        <f>IF(#REF!&lt;=80,"Low Calls",
IF(#REF!&lt;=120,"Medium Calls","High Calls"))</f>
        <v>#REF!</v>
      </c>
      <c r="AA2991" t="e">
        <f>IF(#REF!&lt;=15,"Low Charges",
IF(#REF!&lt;=20,"Medium Charges","High Charges"))</f>
        <v>#REF!</v>
      </c>
      <c r="AB2991" t="e">
        <f>IF(AND(#REF!&gt;180, #REF!&gt;200), "Heavy Doemstic User", IF(#REF!&gt;10, "Interntional User", IF(AND(#REF!&lt;180, #REF!&lt;200,#REF!&lt;200), "Light User", "Balanced User")))</f>
        <v>#REF!</v>
      </c>
      <c r="AC2991" t="e">
        <f>IF(#REF! = 0, "No Usage", IF(#REF! &lt;= 20, "Low Usage", IF(#REF! &lt;= 40, "Medium Usgae", "High Usage")))</f>
        <v>#REF!</v>
      </c>
      <c r="AD2991" t="e">
        <f>IF(#REF!&lt;=150,"Low Usage", IF(#REF!&lt;=200,"Medium Usage", IF(#REF!&lt;=250,"High Usage","Very High Usage")))</f>
        <v>#REF!</v>
      </c>
      <c r="AE2991" t="e">
        <f>IF(#REF!&lt;=5,"Low Calls", IF(#REF!&lt;=10, "Medium Calls", "High Calls"))</f>
        <v>#REF!</v>
      </c>
      <c r="AF2991" t="e">
        <f xml:space="preserve">
IF(#REF!&gt;=4,4,0)+
IF(#REF!="yes",3,0)+
IF(#REF!="High Charges",3,0)+
IF(#REF!&gt;250,4,0)+
IF(#REF!="no",1,0)+
IF(#REF!="Heavy Domestic User",2,0)</f>
        <v>#REF!</v>
      </c>
      <c r="AG2991" t="e">
        <f>IF(#REF!&gt;=10,"High Risk", IF(#REF!&gt;=5,"Medium Risk","Low Risk"))</f>
        <v>#REF!</v>
      </c>
      <c r="AH2991" t="e">
        <f>#REF! + #REF! + #REF! + #REF!</f>
        <v>#REF!</v>
      </c>
    </row>
    <row r="2992" spans="1:34" x14ac:dyDescent="0.35">
      <c r="A2992">
        <v>2991</v>
      </c>
      <c r="B2992" t="s">
        <v>45</v>
      </c>
      <c r="C2992">
        <v>17</v>
      </c>
      <c r="D2992" t="s">
        <v>25</v>
      </c>
      <c r="E2992" t="s">
        <v>22</v>
      </c>
      <c r="F2992" t="s">
        <v>22</v>
      </c>
      <c r="G2992">
        <v>0</v>
      </c>
      <c r="H2992">
        <v>168.5</v>
      </c>
      <c r="I2992">
        <v>102</v>
      </c>
      <c r="J2992">
        <v>28.65</v>
      </c>
      <c r="K2992">
        <v>297.2</v>
      </c>
      <c r="L2992">
        <v>130</v>
      </c>
      <c r="M2992">
        <v>25.26</v>
      </c>
      <c r="N2992">
        <v>244.7</v>
      </c>
      <c r="O2992">
        <v>117</v>
      </c>
      <c r="P2992">
        <v>11.01</v>
      </c>
      <c r="Q2992">
        <v>8.8000000000000007</v>
      </c>
      <c r="R2992">
        <v>6</v>
      </c>
      <c r="S2992">
        <v>2.38</v>
      </c>
      <c r="T2992">
        <v>3</v>
      </c>
      <c r="U2992" t="s">
        <v>22</v>
      </c>
      <c r="V2992" t="e">
        <f>IF(#REF! = "yes", 1, 0)</f>
        <v>#REF!</v>
      </c>
      <c r="W2992" t="e">
        <f>IF(#REF! &lt;= 1, "0-1 Calls", IF(#REF! &lt;= 3, "2-3 Calls", IF(#REF! &lt;=5, "4-5 Calls", "6+ Calls")))</f>
        <v>#REF!</v>
      </c>
      <c r="X2992" t="e">
        <f>IF(#REF! &lt;= 50, "0-50", IF(#REF! &lt;=100, "51-100", IF(#REF! &lt;= 150, "101-150", "151+")))</f>
        <v>#REF!</v>
      </c>
      <c r="Y2992" t="e">
        <f>IF(#REF! &lt;= 3, "Low Charges", "High Charges")</f>
        <v>#REF!</v>
      </c>
      <c r="Z2992" t="e">
        <f>IF(#REF!&lt;=80,"Low Calls",
IF(#REF!&lt;=120,"Medium Calls","High Calls"))</f>
        <v>#REF!</v>
      </c>
      <c r="AA2992" t="e">
        <f>IF(#REF!&lt;=15,"Low Charges",
IF(#REF!&lt;=20,"Medium Charges","High Charges"))</f>
        <v>#REF!</v>
      </c>
      <c r="AB2992" t="e">
        <f>IF(AND(#REF!&gt;180, #REF!&gt;200), "Heavy Doemstic User", IF(#REF!&gt;10, "Interntional User", IF(AND(#REF!&lt;180, #REF!&lt;200,#REF!&lt;200), "Light User", "Balanced User")))</f>
        <v>#REF!</v>
      </c>
      <c r="AC2992" t="e">
        <f>IF(#REF! = 0, "No Usage", IF(#REF! &lt;= 20, "Low Usage", IF(#REF! &lt;= 40, "Medium Usgae", "High Usage")))</f>
        <v>#REF!</v>
      </c>
      <c r="AD2992" t="e">
        <f>IF(#REF!&lt;=150,"Low Usage", IF(#REF!&lt;=200,"Medium Usage", IF(#REF!&lt;=250,"High Usage","Very High Usage")))</f>
        <v>#REF!</v>
      </c>
      <c r="AE2992" t="e">
        <f>IF(#REF!&lt;=5,"Low Calls", IF(#REF!&lt;=10, "Medium Calls", "High Calls"))</f>
        <v>#REF!</v>
      </c>
      <c r="AF2992" t="e">
        <f xml:space="preserve">
IF(#REF!&gt;=4,4,0)+
IF(#REF!="yes",3,0)+
IF(#REF!="High Charges",3,0)+
IF(#REF!&gt;250,4,0)+
IF(#REF!="no",1,0)+
IF(#REF!="Heavy Domestic User",2,0)</f>
        <v>#REF!</v>
      </c>
      <c r="AG2992" t="e">
        <f>IF(#REF!&gt;=10,"High Risk", IF(#REF!&gt;=5,"Medium Risk","Low Risk"))</f>
        <v>#REF!</v>
      </c>
      <c r="AH2992" t="e">
        <f>#REF! + #REF! + #REF! + #REF!</f>
        <v>#REF!</v>
      </c>
    </row>
    <row r="2993" spans="1:34" x14ac:dyDescent="0.35">
      <c r="A2993">
        <v>2992</v>
      </c>
      <c r="B2993" t="s">
        <v>63</v>
      </c>
      <c r="C2993">
        <v>165</v>
      </c>
      <c r="D2993" t="s">
        <v>21</v>
      </c>
      <c r="E2993" t="s">
        <v>23</v>
      </c>
      <c r="F2993" t="s">
        <v>22</v>
      </c>
      <c r="G2993">
        <v>0</v>
      </c>
      <c r="H2993">
        <v>81.400000000000006</v>
      </c>
      <c r="I2993">
        <v>110</v>
      </c>
      <c r="J2993">
        <v>13.84</v>
      </c>
      <c r="K2993">
        <v>263.7</v>
      </c>
      <c r="L2993">
        <v>150</v>
      </c>
      <c r="M2993">
        <v>22.41</v>
      </c>
      <c r="N2993">
        <v>219.7</v>
      </c>
      <c r="O2993">
        <v>107</v>
      </c>
      <c r="P2993">
        <v>9.89</v>
      </c>
      <c r="Q2993">
        <v>12.2</v>
      </c>
      <c r="R2993">
        <v>3</v>
      </c>
      <c r="S2993">
        <v>3.29</v>
      </c>
      <c r="T2993">
        <v>1</v>
      </c>
      <c r="U2993" t="s">
        <v>22</v>
      </c>
      <c r="V2993" t="e">
        <f>IF(#REF! = "yes", 1, 0)</f>
        <v>#REF!</v>
      </c>
      <c r="W2993" t="e">
        <f>IF(#REF! &lt;= 1, "0-1 Calls", IF(#REF! &lt;= 3, "2-3 Calls", IF(#REF! &lt;=5, "4-5 Calls", "6+ Calls")))</f>
        <v>#REF!</v>
      </c>
      <c r="X2993" t="e">
        <f>IF(#REF! &lt;= 50, "0-50", IF(#REF! &lt;=100, "51-100", IF(#REF! &lt;= 150, "101-150", "151+")))</f>
        <v>#REF!</v>
      </c>
      <c r="Y2993" t="e">
        <f>IF(#REF! &lt;= 3, "Low Charges", "High Charges")</f>
        <v>#REF!</v>
      </c>
      <c r="Z2993" t="e">
        <f>IF(#REF!&lt;=80,"Low Calls",
IF(#REF!&lt;=120,"Medium Calls","High Calls"))</f>
        <v>#REF!</v>
      </c>
      <c r="AA2993" t="e">
        <f>IF(#REF!&lt;=15,"Low Charges",
IF(#REF!&lt;=20,"Medium Charges","High Charges"))</f>
        <v>#REF!</v>
      </c>
      <c r="AB2993" t="e">
        <f>IF(AND(#REF!&gt;180, #REF!&gt;200), "Heavy Doemstic User", IF(#REF!&gt;10, "Interntional User", IF(AND(#REF!&lt;180, #REF!&lt;200,#REF!&lt;200), "Light User", "Balanced User")))</f>
        <v>#REF!</v>
      </c>
      <c r="AC2993" t="e">
        <f>IF(#REF! = 0, "No Usage", IF(#REF! &lt;= 20, "Low Usage", IF(#REF! &lt;= 40, "Medium Usgae", "High Usage")))</f>
        <v>#REF!</v>
      </c>
      <c r="AD2993" t="e">
        <f>IF(#REF!&lt;=150,"Low Usage", IF(#REF!&lt;=200,"Medium Usage", IF(#REF!&lt;=250,"High Usage","Very High Usage")))</f>
        <v>#REF!</v>
      </c>
      <c r="AE2993" t="e">
        <f>IF(#REF!&lt;=5,"Low Calls", IF(#REF!&lt;=10, "Medium Calls", "High Calls"))</f>
        <v>#REF!</v>
      </c>
      <c r="AF2993" t="e">
        <f xml:space="preserve">
IF(#REF!&gt;=4,4,0)+
IF(#REF!="yes",3,0)+
IF(#REF!="High Charges",3,0)+
IF(#REF!&gt;250,4,0)+
IF(#REF!="no",1,0)+
IF(#REF!="Heavy Domestic User",2,0)</f>
        <v>#REF!</v>
      </c>
      <c r="AG2993" t="e">
        <f>IF(#REF!&gt;=10,"High Risk", IF(#REF!&gt;=5,"Medium Risk","Low Risk"))</f>
        <v>#REF!</v>
      </c>
      <c r="AH2993" t="e">
        <f>#REF! + #REF! + #REF! + #REF!</f>
        <v>#REF!</v>
      </c>
    </row>
    <row r="2994" spans="1:34" x14ac:dyDescent="0.35">
      <c r="A2994">
        <v>2993</v>
      </c>
      <c r="B2994" t="s">
        <v>26</v>
      </c>
      <c r="C2994">
        <v>149</v>
      </c>
      <c r="D2994" t="s">
        <v>28</v>
      </c>
      <c r="E2994" t="s">
        <v>22</v>
      </c>
      <c r="F2994" t="s">
        <v>22</v>
      </c>
      <c r="G2994">
        <v>0</v>
      </c>
      <c r="H2994">
        <v>117.2</v>
      </c>
      <c r="I2994">
        <v>99</v>
      </c>
      <c r="J2994">
        <v>19.920000000000002</v>
      </c>
      <c r="K2994">
        <v>227.7</v>
      </c>
      <c r="L2994">
        <v>74</v>
      </c>
      <c r="M2994">
        <v>19.350000000000001</v>
      </c>
      <c r="N2994">
        <v>221.7</v>
      </c>
      <c r="O2994">
        <v>141</v>
      </c>
      <c r="P2994">
        <v>9.98</v>
      </c>
      <c r="Q2994">
        <v>9</v>
      </c>
      <c r="R2994">
        <v>7</v>
      </c>
      <c r="S2994">
        <v>2.4300000000000002</v>
      </c>
      <c r="T2994">
        <v>1</v>
      </c>
      <c r="U2994" t="s">
        <v>22</v>
      </c>
      <c r="V2994" t="e">
        <f>IF(#REF! = "yes", 1, 0)</f>
        <v>#REF!</v>
      </c>
      <c r="W2994" t="e">
        <f>IF(#REF! &lt;= 1, "0-1 Calls", IF(#REF! &lt;= 3, "2-3 Calls", IF(#REF! &lt;=5, "4-5 Calls", "6+ Calls")))</f>
        <v>#REF!</v>
      </c>
      <c r="X2994" t="e">
        <f>IF(#REF! &lt;= 50, "0-50", IF(#REF! &lt;=100, "51-100", IF(#REF! &lt;= 150, "101-150", "151+")))</f>
        <v>#REF!</v>
      </c>
      <c r="Y2994" t="e">
        <f>IF(#REF! &lt;= 3, "Low Charges", "High Charges")</f>
        <v>#REF!</v>
      </c>
      <c r="Z2994" t="e">
        <f>IF(#REF!&lt;=80,"Low Calls",
IF(#REF!&lt;=120,"Medium Calls","High Calls"))</f>
        <v>#REF!</v>
      </c>
      <c r="AA2994" t="e">
        <f>IF(#REF!&lt;=15,"Low Charges",
IF(#REF!&lt;=20,"Medium Charges","High Charges"))</f>
        <v>#REF!</v>
      </c>
      <c r="AB2994" t="e">
        <f>IF(AND(#REF!&gt;180, #REF!&gt;200), "Heavy Doemstic User", IF(#REF!&gt;10, "Interntional User", IF(AND(#REF!&lt;180, #REF!&lt;200,#REF!&lt;200), "Light User", "Balanced User")))</f>
        <v>#REF!</v>
      </c>
      <c r="AC2994" t="e">
        <f>IF(#REF! = 0, "No Usage", IF(#REF! &lt;= 20, "Low Usage", IF(#REF! &lt;= 40, "Medium Usgae", "High Usage")))</f>
        <v>#REF!</v>
      </c>
      <c r="AD2994" t="e">
        <f>IF(#REF!&lt;=150,"Low Usage", IF(#REF!&lt;=200,"Medium Usage", IF(#REF!&lt;=250,"High Usage","Very High Usage")))</f>
        <v>#REF!</v>
      </c>
      <c r="AE2994" t="e">
        <f>IF(#REF!&lt;=5,"Low Calls", IF(#REF!&lt;=10, "Medium Calls", "High Calls"))</f>
        <v>#REF!</v>
      </c>
      <c r="AF2994" t="e">
        <f xml:space="preserve">
IF(#REF!&gt;=4,4,0)+
IF(#REF!="yes",3,0)+
IF(#REF!="High Charges",3,0)+
IF(#REF!&gt;250,4,0)+
IF(#REF!="no",1,0)+
IF(#REF!="Heavy Domestic User",2,0)</f>
        <v>#REF!</v>
      </c>
      <c r="AG2994" t="e">
        <f>IF(#REF!&gt;=10,"High Risk", IF(#REF!&gt;=5,"Medium Risk","Low Risk"))</f>
        <v>#REF!</v>
      </c>
      <c r="AH2994" t="e">
        <f>#REF! + #REF! + #REF! + #REF!</f>
        <v>#REF!</v>
      </c>
    </row>
    <row r="2995" spans="1:34" x14ac:dyDescent="0.35">
      <c r="A2995">
        <v>2994</v>
      </c>
      <c r="B2995" t="s">
        <v>66</v>
      </c>
      <c r="C2995">
        <v>79</v>
      </c>
      <c r="D2995" t="s">
        <v>28</v>
      </c>
      <c r="E2995" t="s">
        <v>23</v>
      </c>
      <c r="F2995" t="s">
        <v>22</v>
      </c>
      <c r="G2995">
        <v>0</v>
      </c>
      <c r="H2995">
        <v>300.39999999999998</v>
      </c>
      <c r="I2995">
        <v>113</v>
      </c>
      <c r="J2995">
        <v>51.07</v>
      </c>
      <c r="K2995">
        <v>210.8</v>
      </c>
      <c r="L2995">
        <v>93</v>
      </c>
      <c r="M2995">
        <v>17.920000000000002</v>
      </c>
      <c r="N2995">
        <v>173.4</v>
      </c>
      <c r="O2995">
        <v>121</v>
      </c>
      <c r="P2995">
        <v>7.8</v>
      </c>
      <c r="Q2995">
        <v>11.9</v>
      </c>
      <c r="R2995">
        <v>3</v>
      </c>
      <c r="S2995">
        <v>3.21</v>
      </c>
      <c r="T2995">
        <v>2</v>
      </c>
      <c r="U2995" t="s">
        <v>23</v>
      </c>
      <c r="V2995" t="e">
        <f>IF(#REF! = "yes", 1, 0)</f>
        <v>#REF!</v>
      </c>
      <c r="W2995" t="e">
        <f>IF(#REF! &lt;= 1, "0-1 Calls", IF(#REF! &lt;= 3, "2-3 Calls", IF(#REF! &lt;=5, "4-5 Calls", "6+ Calls")))</f>
        <v>#REF!</v>
      </c>
      <c r="X2995" t="e">
        <f>IF(#REF! &lt;= 50, "0-50", IF(#REF! &lt;=100, "51-100", IF(#REF! &lt;= 150, "101-150", "151+")))</f>
        <v>#REF!</v>
      </c>
      <c r="Y2995" t="e">
        <f>IF(#REF! &lt;= 3, "Low Charges", "High Charges")</f>
        <v>#REF!</v>
      </c>
      <c r="Z2995" t="e">
        <f>IF(#REF!&lt;=80,"Low Calls",
IF(#REF!&lt;=120,"Medium Calls","High Calls"))</f>
        <v>#REF!</v>
      </c>
      <c r="AA2995" t="e">
        <f>IF(#REF!&lt;=15,"Low Charges",
IF(#REF!&lt;=20,"Medium Charges","High Charges"))</f>
        <v>#REF!</v>
      </c>
      <c r="AB2995" t="e">
        <f>IF(AND(#REF!&gt;180, #REF!&gt;200), "Heavy Doemstic User", IF(#REF!&gt;10, "Interntional User", IF(AND(#REF!&lt;180, #REF!&lt;200,#REF!&lt;200), "Light User", "Balanced User")))</f>
        <v>#REF!</v>
      </c>
      <c r="AC2995" t="e">
        <f>IF(#REF! = 0, "No Usage", IF(#REF! &lt;= 20, "Low Usage", IF(#REF! &lt;= 40, "Medium Usgae", "High Usage")))</f>
        <v>#REF!</v>
      </c>
      <c r="AD2995" t="e">
        <f>IF(#REF!&lt;=150,"Low Usage", IF(#REF!&lt;=200,"Medium Usage", IF(#REF!&lt;=250,"High Usage","Very High Usage")))</f>
        <v>#REF!</v>
      </c>
      <c r="AE2995" t="e">
        <f>IF(#REF!&lt;=5,"Low Calls", IF(#REF!&lt;=10, "Medium Calls", "High Calls"))</f>
        <v>#REF!</v>
      </c>
      <c r="AF2995" t="e">
        <f xml:space="preserve">
IF(#REF!&gt;=4,4,0)+
IF(#REF!="yes",3,0)+
IF(#REF!="High Charges",3,0)+
IF(#REF!&gt;250,4,0)+
IF(#REF!="no",1,0)+
IF(#REF!="Heavy Domestic User",2,0)</f>
        <v>#REF!</v>
      </c>
      <c r="AG2995" t="e">
        <f>IF(#REF!&gt;=10,"High Risk", IF(#REF!&gt;=5,"Medium Risk","Low Risk"))</f>
        <v>#REF!</v>
      </c>
      <c r="AH2995" t="e">
        <f>#REF! + #REF! + #REF! + #REF!</f>
        <v>#REF!</v>
      </c>
    </row>
    <row r="2996" spans="1:34" x14ac:dyDescent="0.35">
      <c r="A2996">
        <v>2995</v>
      </c>
      <c r="B2996" t="s">
        <v>42</v>
      </c>
      <c r="C2996">
        <v>94</v>
      </c>
      <c r="D2996" t="s">
        <v>21</v>
      </c>
      <c r="E2996" t="s">
        <v>22</v>
      </c>
      <c r="F2996" t="s">
        <v>22</v>
      </c>
      <c r="G2996">
        <v>0</v>
      </c>
      <c r="H2996">
        <v>195.1</v>
      </c>
      <c r="I2996">
        <v>105</v>
      </c>
      <c r="J2996">
        <v>33.17</v>
      </c>
      <c r="K2996">
        <v>272.39999999999998</v>
      </c>
      <c r="L2996">
        <v>100</v>
      </c>
      <c r="M2996">
        <v>23.15</v>
      </c>
      <c r="N2996">
        <v>142.69999999999999</v>
      </c>
      <c r="O2996">
        <v>102</v>
      </c>
      <c r="P2996">
        <v>6.42</v>
      </c>
      <c r="Q2996">
        <v>11.5</v>
      </c>
      <c r="R2996">
        <v>16</v>
      </c>
      <c r="S2996">
        <v>3.11</v>
      </c>
      <c r="T2996">
        <v>1</v>
      </c>
      <c r="U2996" t="s">
        <v>22</v>
      </c>
      <c r="V2996" t="e">
        <f>IF(#REF! = "yes", 1, 0)</f>
        <v>#REF!</v>
      </c>
      <c r="W2996" t="e">
        <f>IF(#REF! &lt;= 1, "0-1 Calls", IF(#REF! &lt;= 3, "2-3 Calls", IF(#REF! &lt;=5, "4-5 Calls", "6+ Calls")))</f>
        <v>#REF!</v>
      </c>
      <c r="X2996" t="e">
        <f>IF(#REF! &lt;= 50, "0-50", IF(#REF! &lt;=100, "51-100", IF(#REF! &lt;= 150, "101-150", "151+")))</f>
        <v>#REF!</v>
      </c>
      <c r="Y2996" t="e">
        <f>IF(#REF! &lt;= 3, "Low Charges", "High Charges")</f>
        <v>#REF!</v>
      </c>
      <c r="Z2996" t="e">
        <f>IF(#REF!&lt;=80,"Low Calls",
IF(#REF!&lt;=120,"Medium Calls","High Calls"))</f>
        <v>#REF!</v>
      </c>
      <c r="AA2996" t="e">
        <f>IF(#REF!&lt;=15,"Low Charges",
IF(#REF!&lt;=20,"Medium Charges","High Charges"))</f>
        <v>#REF!</v>
      </c>
      <c r="AB2996" t="e">
        <f>IF(AND(#REF!&gt;180, #REF!&gt;200), "Heavy Doemstic User", IF(#REF!&gt;10, "Interntional User", IF(AND(#REF!&lt;180, #REF!&lt;200,#REF!&lt;200), "Light User", "Balanced User")))</f>
        <v>#REF!</v>
      </c>
      <c r="AC2996" t="e">
        <f>IF(#REF! = 0, "No Usage", IF(#REF! &lt;= 20, "Low Usage", IF(#REF! &lt;= 40, "Medium Usgae", "High Usage")))</f>
        <v>#REF!</v>
      </c>
      <c r="AD2996" t="e">
        <f>IF(#REF!&lt;=150,"Low Usage", IF(#REF!&lt;=200,"Medium Usage", IF(#REF!&lt;=250,"High Usage","Very High Usage")))</f>
        <v>#REF!</v>
      </c>
      <c r="AE2996" t="e">
        <f>IF(#REF!&lt;=5,"Low Calls", IF(#REF!&lt;=10, "Medium Calls", "High Calls"))</f>
        <v>#REF!</v>
      </c>
      <c r="AF2996" t="e">
        <f xml:space="preserve">
IF(#REF!&gt;=4,4,0)+
IF(#REF!="yes",3,0)+
IF(#REF!="High Charges",3,0)+
IF(#REF!&gt;250,4,0)+
IF(#REF!="no",1,0)+
IF(#REF!="Heavy Domestic User",2,0)</f>
        <v>#REF!</v>
      </c>
      <c r="AG2996" t="e">
        <f>IF(#REF!&gt;=10,"High Risk", IF(#REF!&gt;=5,"Medium Risk","Low Risk"))</f>
        <v>#REF!</v>
      </c>
      <c r="AH2996" t="e">
        <f>#REF! + #REF! + #REF! + #REF!</f>
        <v>#REF!</v>
      </c>
    </row>
    <row r="2997" spans="1:34" x14ac:dyDescent="0.35">
      <c r="A2997">
        <v>2996</v>
      </c>
      <c r="B2997" t="s">
        <v>60</v>
      </c>
      <c r="C2997">
        <v>93</v>
      </c>
      <c r="D2997" t="s">
        <v>21</v>
      </c>
      <c r="E2997" t="s">
        <v>22</v>
      </c>
      <c r="F2997" t="s">
        <v>22</v>
      </c>
      <c r="G2997">
        <v>0</v>
      </c>
      <c r="H2997">
        <v>172</v>
      </c>
      <c r="I2997">
        <v>80</v>
      </c>
      <c r="J2997">
        <v>29.24</v>
      </c>
      <c r="K2997">
        <v>219.1</v>
      </c>
      <c r="L2997">
        <v>76</v>
      </c>
      <c r="M2997">
        <v>18.62</v>
      </c>
      <c r="N2997">
        <v>169.8</v>
      </c>
      <c r="O2997">
        <v>108</v>
      </c>
      <c r="P2997">
        <v>7.64</v>
      </c>
      <c r="Q2997">
        <v>10.3</v>
      </c>
      <c r="R2997">
        <v>3</v>
      </c>
      <c r="S2997">
        <v>2.78</v>
      </c>
      <c r="T2997">
        <v>0</v>
      </c>
      <c r="U2997" t="s">
        <v>22</v>
      </c>
      <c r="V2997" t="e">
        <f>IF(#REF! = "yes", 1, 0)</f>
        <v>#REF!</v>
      </c>
      <c r="W2997" t="e">
        <f>IF(#REF! &lt;= 1, "0-1 Calls", IF(#REF! &lt;= 3, "2-3 Calls", IF(#REF! &lt;=5, "4-5 Calls", "6+ Calls")))</f>
        <v>#REF!</v>
      </c>
      <c r="X2997" t="e">
        <f>IF(#REF! &lt;= 50, "0-50", IF(#REF! &lt;=100, "51-100", IF(#REF! &lt;= 150, "101-150", "151+")))</f>
        <v>#REF!</v>
      </c>
      <c r="Y2997" t="e">
        <f>IF(#REF! &lt;= 3, "Low Charges", "High Charges")</f>
        <v>#REF!</v>
      </c>
      <c r="Z2997" t="e">
        <f>IF(#REF!&lt;=80,"Low Calls",
IF(#REF!&lt;=120,"Medium Calls","High Calls"))</f>
        <v>#REF!</v>
      </c>
      <c r="AA2997" t="e">
        <f>IF(#REF!&lt;=15,"Low Charges",
IF(#REF!&lt;=20,"Medium Charges","High Charges"))</f>
        <v>#REF!</v>
      </c>
      <c r="AB2997" t="e">
        <f>IF(AND(#REF!&gt;180, #REF!&gt;200), "Heavy Doemstic User", IF(#REF!&gt;10, "Interntional User", IF(AND(#REF!&lt;180, #REF!&lt;200,#REF!&lt;200), "Light User", "Balanced User")))</f>
        <v>#REF!</v>
      </c>
      <c r="AC2997" t="e">
        <f>IF(#REF! = 0, "No Usage", IF(#REF! &lt;= 20, "Low Usage", IF(#REF! &lt;= 40, "Medium Usgae", "High Usage")))</f>
        <v>#REF!</v>
      </c>
      <c r="AD2997" t="e">
        <f>IF(#REF!&lt;=150,"Low Usage", IF(#REF!&lt;=200,"Medium Usage", IF(#REF!&lt;=250,"High Usage","Very High Usage")))</f>
        <v>#REF!</v>
      </c>
      <c r="AE2997" t="e">
        <f>IF(#REF!&lt;=5,"Low Calls", IF(#REF!&lt;=10, "Medium Calls", "High Calls"))</f>
        <v>#REF!</v>
      </c>
      <c r="AF2997" t="e">
        <f xml:space="preserve">
IF(#REF!&gt;=4,4,0)+
IF(#REF!="yes",3,0)+
IF(#REF!="High Charges",3,0)+
IF(#REF!&gt;250,4,0)+
IF(#REF!="no",1,0)+
IF(#REF!="Heavy Domestic User",2,0)</f>
        <v>#REF!</v>
      </c>
      <c r="AG2997" t="e">
        <f>IF(#REF!&gt;=10,"High Risk", IF(#REF!&gt;=5,"Medium Risk","Low Risk"))</f>
        <v>#REF!</v>
      </c>
      <c r="AH2997" t="e">
        <f>#REF! + #REF! + #REF! + #REF!</f>
        <v>#REF!</v>
      </c>
    </row>
    <row r="2998" spans="1:34" x14ac:dyDescent="0.35">
      <c r="A2998">
        <v>2997</v>
      </c>
      <c r="B2998" t="s">
        <v>44</v>
      </c>
      <c r="C2998">
        <v>109</v>
      </c>
      <c r="D2998" t="s">
        <v>21</v>
      </c>
      <c r="E2998" t="s">
        <v>23</v>
      </c>
      <c r="F2998" t="s">
        <v>23</v>
      </c>
      <c r="G2998">
        <v>46</v>
      </c>
      <c r="H2998">
        <v>165.2</v>
      </c>
      <c r="I2998">
        <v>85</v>
      </c>
      <c r="J2998">
        <v>28.08</v>
      </c>
      <c r="K2998">
        <v>136</v>
      </c>
      <c r="L2998">
        <v>92</v>
      </c>
      <c r="M2998">
        <v>11.56</v>
      </c>
      <c r="N2998">
        <v>184.8</v>
      </c>
      <c r="O2998">
        <v>100</v>
      </c>
      <c r="P2998">
        <v>8.32</v>
      </c>
      <c r="Q2998">
        <v>11.9</v>
      </c>
      <c r="R2998">
        <v>5</v>
      </c>
      <c r="S2998">
        <v>3.21</v>
      </c>
      <c r="T2998">
        <v>1</v>
      </c>
      <c r="U2998" t="s">
        <v>22</v>
      </c>
      <c r="V2998" t="e">
        <f>IF(#REF! = "yes", 1, 0)</f>
        <v>#REF!</v>
      </c>
      <c r="W2998" t="e">
        <f>IF(#REF! &lt;= 1, "0-1 Calls", IF(#REF! &lt;= 3, "2-3 Calls", IF(#REF! &lt;=5, "4-5 Calls", "6+ Calls")))</f>
        <v>#REF!</v>
      </c>
      <c r="X2998" t="e">
        <f>IF(#REF! &lt;= 50, "0-50", IF(#REF! &lt;=100, "51-100", IF(#REF! &lt;= 150, "101-150", "151+")))</f>
        <v>#REF!</v>
      </c>
      <c r="Y2998" t="e">
        <f>IF(#REF! &lt;= 3, "Low Charges", "High Charges")</f>
        <v>#REF!</v>
      </c>
      <c r="Z2998" t="e">
        <f>IF(#REF!&lt;=80,"Low Calls",
IF(#REF!&lt;=120,"Medium Calls","High Calls"))</f>
        <v>#REF!</v>
      </c>
      <c r="AA2998" t="e">
        <f>IF(#REF!&lt;=15,"Low Charges",
IF(#REF!&lt;=20,"Medium Charges","High Charges"))</f>
        <v>#REF!</v>
      </c>
      <c r="AB2998" t="e">
        <f>IF(AND(#REF!&gt;180, #REF!&gt;200), "Heavy Doemstic User", IF(#REF!&gt;10, "Interntional User", IF(AND(#REF!&lt;180, #REF!&lt;200,#REF!&lt;200), "Light User", "Balanced User")))</f>
        <v>#REF!</v>
      </c>
      <c r="AC2998" t="e">
        <f>IF(#REF! = 0, "No Usage", IF(#REF! &lt;= 20, "Low Usage", IF(#REF! &lt;= 40, "Medium Usgae", "High Usage")))</f>
        <v>#REF!</v>
      </c>
      <c r="AD2998" t="e">
        <f>IF(#REF!&lt;=150,"Low Usage", IF(#REF!&lt;=200,"Medium Usage", IF(#REF!&lt;=250,"High Usage","Very High Usage")))</f>
        <v>#REF!</v>
      </c>
      <c r="AE2998" t="e">
        <f>IF(#REF!&lt;=5,"Low Calls", IF(#REF!&lt;=10, "Medium Calls", "High Calls"))</f>
        <v>#REF!</v>
      </c>
      <c r="AF2998" t="e">
        <f xml:space="preserve">
IF(#REF!&gt;=4,4,0)+
IF(#REF!="yes",3,0)+
IF(#REF!="High Charges",3,0)+
IF(#REF!&gt;250,4,0)+
IF(#REF!="no",1,0)+
IF(#REF!="Heavy Domestic User",2,0)</f>
        <v>#REF!</v>
      </c>
      <c r="AG2998" t="e">
        <f>IF(#REF!&gt;=10,"High Risk", IF(#REF!&gt;=5,"Medium Risk","Low Risk"))</f>
        <v>#REF!</v>
      </c>
      <c r="AH2998" t="e">
        <f>#REF! + #REF! + #REF! + #REF!</f>
        <v>#REF!</v>
      </c>
    </row>
    <row r="2999" spans="1:34" x14ac:dyDescent="0.35">
      <c r="A2999">
        <v>2998</v>
      </c>
      <c r="B2999" t="s">
        <v>59</v>
      </c>
      <c r="C2999">
        <v>106</v>
      </c>
      <c r="D2999" t="s">
        <v>21</v>
      </c>
      <c r="E2999" t="s">
        <v>22</v>
      </c>
      <c r="F2999" t="s">
        <v>22</v>
      </c>
      <c r="G2999">
        <v>0</v>
      </c>
      <c r="H2999">
        <v>149.69999999999999</v>
      </c>
      <c r="I2999">
        <v>114</v>
      </c>
      <c r="J2999">
        <v>25.45</v>
      </c>
      <c r="K2999">
        <v>104.5</v>
      </c>
      <c r="L2999">
        <v>72</v>
      </c>
      <c r="M2999">
        <v>8.8800000000000008</v>
      </c>
      <c r="N2999">
        <v>227.9</v>
      </c>
      <c r="O2999">
        <v>87</v>
      </c>
      <c r="P2999">
        <v>10.26</v>
      </c>
      <c r="Q2999">
        <v>9</v>
      </c>
      <c r="R2999">
        <v>2</v>
      </c>
      <c r="S2999">
        <v>2.4300000000000002</v>
      </c>
      <c r="T2999">
        <v>2</v>
      </c>
      <c r="U2999" t="s">
        <v>22</v>
      </c>
      <c r="V2999" t="e">
        <f>IF(#REF! = "yes", 1, 0)</f>
        <v>#REF!</v>
      </c>
      <c r="W2999" t="e">
        <f>IF(#REF! &lt;= 1, "0-1 Calls", IF(#REF! &lt;= 3, "2-3 Calls", IF(#REF! &lt;=5, "4-5 Calls", "6+ Calls")))</f>
        <v>#REF!</v>
      </c>
      <c r="X2999" t="e">
        <f>IF(#REF! &lt;= 50, "0-50", IF(#REF! &lt;=100, "51-100", IF(#REF! &lt;= 150, "101-150", "151+")))</f>
        <v>#REF!</v>
      </c>
      <c r="Y2999" t="e">
        <f>IF(#REF! &lt;= 3, "Low Charges", "High Charges")</f>
        <v>#REF!</v>
      </c>
      <c r="Z2999" t="e">
        <f>IF(#REF!&lt;=80,"Low Calls",
IF(#REF!&lt;=120,"Medium Calls","High Calls"))</f>
        <v>#REF!</v>
      </c>
      <c r="AA2999" t="e">
        <f>IF(#REF!&lt;=15,"Low Charges",
IF(#REF!&lt;=20,"Medium Charges","High Charges"))</f>
        <v>#REF!</v>
      </c>
      <c r="AB2999" t="e">
        <f>IF(AND(#REF!&gt;180, #REF!&gt;200), "Heavy Doemstic User", IF(#REF!&gt;10, "Interntional User", IF(AND(#REF!&lt;180, #REF!&lt;200,#REF!&lt;200), "Light User", "Balanced User")))</f>
        <v>#REF!</v>
      </c>
      <c r="AC2999" t="e">
        <f>IF(#REF! = 0, "No Usage", IF(#REF! &lt;= 20, "Low Usage", IF(#REF! &lt;= 40, "Medium Usgae", "High Usage")))</f>
        <v>#REF!</v>
      </c>
      <c r="AD2999" t="e">
        <f>IF(#REF!&lt;=150,"Low Usage", IF(#REF!&lt;=200,"Medium Usage", IF(#REF!&lt;=250,"High Usage","Very High Usage")))</f>
        <v>#REF!</v>
      </c>
      <c r="AE2999" t="e">
        <f>IF(#REF!&lt;=5,"Low Calls", IF(#REF!&lt;=10, "Medium Calls", "High Calls"))</f>
        <v>#REF!</v>
      </c>
      <c r="AF2999" t="e">
        <f xml:space="preserve">
IF(#REF!&gt;=4,4,0)+
IF(#REF!="yes",3,0)+
IF(#REF!="High Charges",3,0)+
IF(#REF!&gt;250,4,0)+
IF(#REF!="no",1,0)+
IF(#REF!="Heavy Domestic User",2,0)</f>
        <v>#REF!</v>
      </c>
      <c r="AG2999" t="e">
        <f>IF(#REF!&gt;=10,"High Risk", IF(#REF!&gt;=5,"Medium Risk","Low Risk"))</f>
        <v>#REF!</v>
      </c>
      <c r="AH2999" t="e">
        <f>#REF! + #REF! + #REF! + #REF!</f>
        <v>#REF!</v>
      </c>
    </row>
    <row r="3000" spans="1:34" x14ac:dyDescent="0.35">
      <c r="A3000">
        <v>2999</v>
      </c>
      <c r="B3000" t="s">
        <v>68</v>
      </c>
      <c r="C3000">
        <v>92</v>
      </c>
      <c r="D3000" t="s">
        <v>25</v>
      </c>
      <c r="E3000" t="s">
        <v>22</v>
      </c>
      <c r="F3000" t="s">
        <v>22</v>
      </c>
      <c r="G3000">
        <v>0</v>
      </c>
      <c r="H3000">
        <v>185.8</v>
      </c>
      <c r="I3000">
        <v>61</v>
      </c>
      <c r="J3000">
        <v>31.59</v>
      </c>
      <c r="K3000">
        <v>118.1</v>
      </c>
      <c r="L3000">
        <v>131</v>
      </c>
      <c r="M3000">
        <v>10.039999999999999</v>
      </c>
      <c r="N3000">
        <v>257.5</v>
      </c>
      <c r="O3000">
        <v>70</v>
      </c>
      <c r="P3000">
        <v>11.59</v>
      </c>
      <c r="Q3000">
        <v>11.8</v>
      </c>
      <c r="R3000">
        <v>4</v>
      </c>
      <c r="S3000">
        <v>3.19</v>
      </c>
      <c r="T3000">
        <v>1</v>
      </c>
      <c r="U3000" t="s">
        <v>22</v>
      </c>
      <c r="V3000" t="e">
        <f>IF(#REF! = "yes", 1, 0)</f>
        <v>#REF!</v>
      </c>
      <c r="W3000" t="e">
        <f>IF(#REF! &lt;= 1, "0-1 Calls", IF(#REF! &lt;= 3, "2-3 Calls", IF(#REF! &lt;=5, "4-5 Calls", "6+ Calls")))</f>
        <v>#REF!</v>
      </c>
      <c r="X3000" t="e">
        <f>IF(#REF! &lt;= 50, "0-50", IF(#REF! &lt;=100, "51-100", IF(#REF! &lt;= 150, "101-150", "151+")))</f>
        <v>#REF!</v>
      </c>
      <c r="Y3000" t="e">
        <f>IF(#REF! &lt;= 3, "Low Charges", "High Charges")</f>
        <v>#REF!</v>
      </c>
      <c r="Z3000" t="e">
        <f>IF(#REF!&lt;=80,"Low Calls",
IF(#REF!&lt;=120,"Medium Calls","High Calls"))</f>
        <v>#REF!</v>
      </c>
      <c r="AA3000" t="e">
        <f>IF(#REF!&lt;=15,"Low Charges",
IF(#REF!&lt;=20,"Medium Charges","High Charges"))</f>
        <v>#REF!</v>
      </c>
      <c r="AB3000" t="e">
        <f>IF(AND(#REF!&gt;180, #REF!&gt;200), "Heavy Doemstic User", IF(#REF!&gt;10, "Interntional User", IF(AND(#REF!&lt;180, #REF!&lt;200,#REF!&lt;200), "Light User", "Balanced User")))</f>
        <v>#REF!</v>
      </c>
      <c r="AC3000" t="e">
        <f>IF(#REF! = 0, "No Usage", IF(#REF! &lt;= 20, "Low Usage", IF(#REF! &lt;= 40, "Medium Usgae", "High Usage")))</f>
        <v>#REF!</v>
      </c>
      <c r="AD3000" t="e">
        <f>IF(#REF!&lt;=150,"Low Usage", IF(#REF!&lt;=200,"Medium Usage", IF(#REF!&lt;=250,"High Usage","Very High Usage")))</f>
        <v>#REF!</v>
      </c>
      <c r="AE3000" t="e">
        <f>IF(#REF!&lt;=5,"Low Calls", IF(#REF!&lt;=10, "Medium Calls", "High Calls"))</f>
        <v>#REF!</v>
      </c>
      <c r="AF3000" t="e">
        <f xml:space="preserve">
IF(#REF!&gt;=4,4,0)+
IF(#REF!="yes",3,0)+
IF(#REF!="High Charges",3,0)+
IF(#REF!&gt;250,4,0)+
IF(#REF!="no",1,0)+
IF(#REF!="Heavy Domestic User",2,0)</f>
        <v>#REF!</v>
      </c>
      <c r="AG3000" t="e">
        <f>IF(#REF!&gt;=10,"High Risk", IF(#REF!&gt;=5,"Medium Risk","Low Risk"))</f>
        <v>#REF!</v>
      </c>
      <c r="AH3000" t="e">
        <f>#REF! + #REF! + #REF! + #REF!</f>
        <v>#REF!</v>
      </c>
    </row>
    <row r="3001" spans="1:34" x14ac:dyDescent="0.35">
      <c r="A3001">
        <v>3000</v>
      </c>
      <c r="B3001" t="s">
        <v>61</v>
      </c>
      <c r="C3001">
        <v>124</v>
      </c>
      <c r="D3001" t="s">
        <v>25</v>
      </c>
      <c r="E3001" t="s">
        <v>22</v>
      </c>
      <c r="F3001" t="s">
        <v>22</v>
      </c>
      <c r="G3001">
        <v>0</v>
      </c>
      <c r="H3001">
        <v>244.6</v>
      </c>
      <c r="I3001">
        <v>91</v>
      </c>
      <c r="J3001">
        <v>41.58</v>
      </c>
      <c r="K3001">
        <v>125.1</v>
      </c>
      <c r="L3001">
        <v>70</v>
      </c>
      <c r="M3001">
        <v>10.63</v>
      </c>
      <c r="N3001">
        <v>303.39999999999998</v>
      </c>
      <c r="O3001">
        <v>104</v>
      </c>
      <c r="P3001">
        <v>13.65</v>
      </c>
      <c r="Q3001">
        <v>12</v>
      </c>
      <c r="R3001">
        <v>5</v>
      </c>
      <c r="S3001">
        <v>3.24</v>
      </c>
      <c r="T3001">
        <v>0</v>
      </c>
      <c r="U3001" t="s">
        <v>22</v>
      </c>
      <c r="V3001" t="e">
        <f>IF(#REF! = "yes", 1, 0)</f>
        <v>#REF!</v>
      </c>
      <c r="W3001" t="e">
        <f>IF(#REF! &lt;= 1, "0-1 Calls", IF(#REF! &lt;= 3, "2-3 Calls", IF(#REF! &lt;=5, "4-5 Calls", "6+ Calls")))</f>
        <v>#REF!</v>
      </c>
      <c r="X3001" t="e">
        <f>IF(#REF! &lt;= 50, "0-50", IF(#REF! &lt;=100, "51-100", IF(#REF! &lt;= 150, "101-150", "151+")))</f>
        <v>#REF!</v>
      </c>
      <c r="Y3001" t="e">
        <f>IF(#REF! &lt;= 3, "Low Charges", "High Charges")</f>
        <v>#REF!</v>
      </c>
      <c r="Z3001" t="e">
        <f>IF(#REF!&lt;=80,"Low Calls",
IF(#REF!&lt;=120,"Medium Calls","High Calls"))</f>
        <v>#REF!</v>
      </c>
      <c r="AA3001" t="e">
        <f>IF(#REF!&lt;=15,"Low Charges",
IF(#REF!&lt;=20,"Medium Charges","High Charges"))</f>
        <v>#REF!</v>
      </c>
      <c r="AB3001" t="e">
        <f>IF(AND(#REF!&gt;180, #REF!&gt;200), "Heavy Doemstic User", IF(#REF!&gt;10, "Interntional User", IF(AND(#REF!&lt;180, #REF!&lt;200,#REF!&lt;200), "Light User", "Balanced User")))</f>
        <v>#REF!</v>
      </c>
      <c r="AC3001" t="e">
        <f>IF(#REF! = 0, "No Usage", IF(#REF! &lt;= 20, "Low Usage", IF(#REF! &lt;= 40, "Medium Usgae", "High Usage")))</f>
        <v>#REF!</v>
      </c>
      <c r="AD3001" t="e">
        <f>IF(#REF!&lt;=150,"Low Usage", IF(#REF!&lt;=200,"Medium Usage", IF(#REF!&lt;=250,"High Usage","Very High Usage")))</f>
        <v>#REF!</v>
      </c>
      <c r="AE3001" t="e">
        <f>IF(#REF!&lt;=5,"Low Calls", IF(#REF!&lt;=10, "Medium Calls", "High Calls"))</f>
        <v>#REF!</v>
      </c>
      <c r="AF3001" t="e">
        <f xml:space="preserve">
IF(#REF!&gt;=4,4,0)+
IF(#REF!="yes",3,0)+
IF(#REF!="High Charges",3,0)+
IF(#REF!&gt;250,4,0)+
IF(#REF!="no",1,0)+
IF(#REF!="Heavy Domestic User",2,0)</f>
        <v>#REF!</v>
      </c>
      <c r="AG3001" t="e">
        <f>IF(#REF!&gt;=10,"High Risk", IF(#REF!&gt;=5,"Medium Risk","Low Risk"))</f>
        <v>#REF!</v>
      </c>
      <c r="AH3001" t="e">
        <f>#REF! + #REF! + #REF! + #REF!</f>
        <v>#REF!</v>
      </c>
    </row>
    <row r="3002" spans="1:34" x14ac:dyDescent="0.35">
      <c r="A3002">
        <v>3001</v>
      </c>
      <c r="B3002" t="s">
        <v>27</v>
      </c>
      <c r="C3002">
        <v>117</v>
      </c>
      <c r="D3002" t="s">
        <v>25</v>
      </c>
      <c r="E3002" t="s">
        <v>22</v>
      </c>
      <c r="F3002" t="s">
        <v>22</v>
      </c>
      <c r="G3002">
        <v>0</v>
      </c>
      <c r="H3002">
        <v>302.60000000000002</v>
      </c>
      <c r="I3002">
        <v>83</v>
      </c>
      <c r="J3002">
        <v>51.44</v>
      </c>
      <c r="K3002">
        <v>167.1</v>
      </c>
      <c r="L3002">
        <v>106</v>
      </c>
      <c r="M3002">
        <v>14.2</v>
      </c>
      <c r="N3002">
        <v>209.8</v>
      </c>
      <c r="O3002">
        <v>79</v>
      </c>
      <c r="P3002">
        <v>9.44</v>
      </c>
      <c r="Q3002">
        <v>10.4</v>
      </c>
      <c r="R3002">
        <v>7</v>
      </c>
      <c r="S3002">
        <v>2.81</v>
      </c>
      <c r="T3002">
        <v>1</v>
      </c>
      <c r="U3002" t="s">
        <v>23</v>
      </c>
      <c r="V3002" t="e">
        <f>IF(#REF! = "yes", 1, 0)</f>
        <v>#REF!</v>
      </c>
      <c r="W3002" t="e">
        <f>IF(#REF! &lt;= 1, "0-1 Calls", IF(#REF! &lt;= 3, "2-3 Calls", IF(#REF! &lt;=5, "4-5 Calls", "6+ Calls")))</f>
        <v>#REF!</v>
      </c>
      <c r="X3002" t="e">
        <f>IF(#REF! &lt;= 50, "0-50", IF(#REF! &lt;=100, "51-100", IF(#REF! &lt;= 150, "101-150", "151+")))</f>
        <v>#REF!</v>
      </c>
      <c r="Y3002" t="e">
        <f>IF(#REF! &lt;= 3, "Low Charges", "High Charges")</f>
        <v>#REF!</v>
      </c>
      <c r="Z3002" t="e">
        <f>IF(#REF!&lt;=80,"Low Calls",
IF(#REF!&lt;=120,"Medium Calls","High Calls"))</f>
        <v>#REF!</v>
      </c>
      <c r="AA3002" t="e">
        <f>IF(#REF!&lt;=15,"Low Charges",
IF(#REF!&lt;=20,"Medium Charges","High Charges"))</f>
        <v>#REF!</v>
      </c>
      <c r="AB3002" t="e">
        <f>IF(AND(#REF!&gt;180, #REF!&gt;200), "Heavy Doemstic User", IF(#REF!&gt;10, "Interntional User", IF(AND(#REF!&lt;180, #REF!&lt;200,#REF!&lt;200), "Light User", "Balanced User")))</f>
        <v>#REF!</v>
      </c>
      <c r="AC3002" t="e">
        <f>IF(#REF! = 0, "No Usage", IF(#REF! &lt;= 20, "Low Usage", IF(#REF! &lt;= 40, "Medium Usgae", "High Usage")))</f>
        <v>#REF!</v>
      </c>
      <c r="AD3002" t="e">
        <f>IF(#REF!&lt;=150,"Low Usage", IF(#REF!&lt;=200,"Medium Usage", IF(#REF!&lt;=250,"High Usage","Very High Usage")))</f>
        <v>#REF!</v>
      </c>
      <c r="AE3002" t="e">
        <f>IF(#REF!&lt;=5,"Low Calls", IF(#REF!&lt;=10, "Medium Calls", "High Calls"))</f>
        <v>#REF!</v>
      </c>
      <c r="AF3002" t="e">
        <f xml:space="preserve">
IF(#REF!&gt;=4,4,0)+
IF(#REF!="yes",3,0)+
IF(#REF!="High Charges",3,0)+
IF(#REF!&gt;250,4,0)+
IF(#REF!="no",1,0)+
IF(#REF!="Heavy Domestic User",2,0)</f>
        <v>#REF!</v>
      </c>
      <c r="AG3002" t="e">
        <f>IF(#REF!&gt;=10,"High Risk", IF(#REF!&gt;=5,"Medium Risk","Low Risk"))</f>
        <v>#REF!</v>
      </c>
      <c r="AH3002" t="e">
        <f>#REF! + #REF! + #REF! + #REF!</f>
        <v>#REF!</v>
      </c>
    </row>
    <row r="3003" spans="1:34" x14ac:dyDescent="0.35">
      <c r="A3003">
        <v>3002</v>
      </c>
      <c r="B3003" t="s">
        <v>66</v>
      </c>
      <c r="C3003">
        <v>163</v>
      </c>
      <c r="D3003" t="s">
        <v>21</v>
      </c>
      <c r="E3003" t="s">
        <v>22</v>
      </c>
      <c r="F3003" t="s">
        <v>23</v>
      </c>
      <c r="G3003">
        <v>30</v>
      </c>
      <c r="H3003">
        <v>195.2</v>
      </c>
      <c r="I3003">
        <v>123</v>
      </c>
      <c r="J3003">
        <v>33.18</v>
      </c>
      <c r="K3003">
        <v>126.4</v>
      </c>
      <c r="L3003">
        <v>115</v>
      </c>
      <c r="M3003">
        <v>10.74</v>
      </c>
      <c r="N3003">
        <v>221</v>
      </c>
      <c r="O3003">
        <v>90</v>
      </c>
      <c r="P3003">
        <v>9.9499999999999993</v>
      </c>
      <c r="Q3003">
        <v>9</v>
      </c>
      <c r="R3003">
        <v>5</v>
      </c>
      <c r="S3003">
        <v>2.4300000000000002</v>
      </c>
      <c r="T3003">
        <v>5</v>
      </c>
      <c r="U3003" t="s">
        <v>23</v>
      </c>
      <c r="V3003" t="e">
        <f>IF(#REF! = "yes", 1, 0)</f>
        <v>#REF!</v>
      </c>
      <c r="W3003" t="e">
        <f>IF(#REF! &lt;= 1, "0-1 Calls", IF(#REF! &lt;= 3, "2-3 Calls", IF(#REF! &lt;=5, "4-5 Calls", "6+ Calls")))</f>
        <v>#REF!</v>
      </c>
      <c r="X3003" t="e">
        <f>IF(#REF! &lt;= 50, "0-50", IF(#REF! &lt;=100, "51-100", IF(#REF! &lt;= 150, "101-150", "151+")))</f>
        <v>#REF!</v>
      </c>
      <c r="Y3003" t="e">
        <f>IF(#REF! &lt;= 3, "Low Charges", "High Charges")</f>
        <v>#REF!</v>
      </c>
      <c r="Z3003" t="e">
        <f>IF(#REF!&lt;=80,"Low Calls",
IF(#REF!&lt;=120,"Medium Calls","High Calls"))</f>
        <v>#REF!</v>
      </c>
      <c r="AA3003" t="e">
        <f>IF(#REF!&lt;=15,"Low Charges",
IF(#REF!&lt;=20,"Medium Charges","High Charges"))</f>
        <v>#REF!</v>
      </c>
      <c r="AB3003" t="e">
        <f>IF(AND(#REF!&gt;180, #REF!&gt;200), "Heavy Doemstic User", IF(#REF!&gt;10, "Interntional User", IF(AND(#REF!&lt;180, #REF!&lt;200,#REF!&lt;200), "Light User", "Balanced User")))</f>
        <v>#REF!</v>
      </c>
      <c r="AC3003" t="e">
        <f>IF(#REF! = 0, "No Usage", IF(#REF! &lt;= 20, "Low Usage", IF(#REF! &lt;= 40, "Medium Usgae", "High Usage")))</f>
        <v>#REF!</v>
      </c>
      <c r="AD3003" t="e">
        <f>IF(#REF!&lt;=150,"Low Usage", IF(#REF!&lt;=200,"Medium Usage", IF(#REF!&lt;=250,"High Usage","Very High Usage")))</f>
        <v>#REF!</v>
      </c>
      <c r="AE3003" t="e">
        <f>IF(#REF!&lt;=5,"Low Calls", IF(#REF!&lt;=10, "Medium Calls", "High Calls"))</f>
        <v>#REF!</v>
      </c>
      <c r="AF3003" t="e">
        <f xml:space="preserve">
IF(#REF!&gt;=4,4,0)+
IF(#REF!="yes",3,0)+
IF(#REF!="High Charges",3,0)+
IF(#REF!&gt;250,4,0)+
IF(#REF!="no",1,0)+
IF(#REF!="Heavy Domestic User",2,0)</f>
        <v>#REF!</v>
      </c>
      <c r="AG3003" t="e">
        <f>IF(#REF!&gt;=10,"High Risk", IF(#REF!&gt;=5,"Medium Risk","Low Risk"))</f>
        <v>#REF!</v>
      </c>
      <c r="AH3003" t="e">
        <f>#REF! + #REF! + #REF! + #REF!</f>
        <v>#REF!</v>
      </c>
    </row>
    <row r="3004" spans="1:34" x14ac:dyDescent="0.35">
      <c r="A3004">
        <v>3003</v>
      </c>
      <c r="B3004" t="s">
        <v>57</v>
      </c>
      <c r="C3004">
        <v>87</v>
      </c>
      <c r="D3004" t="s">
        <v>28</v>
      </c>
      <c r="E3004" t="s">
        <v>23</v>
      </c>
      <c r="F3004" t="s">
        <v>22</v>
      </c>
      <c r="G3004">
        <v>0</v>
      </c>
      <c r="H3004">
        <v>207.8</v>
      </c>
      <c r="I3004">
        <v>113</v>
      </c>
      <c r="J3004">
        <v>35.33</v>
      </c>
      <c r="K3004">
        <v>182.2</v>
      </c>
      <c r="L3004">
        <v>129</v>
      </c>
      <c r="M3004">
        <v>15.49</v>
      </c>
      <c r="N3004">
        <v>163.4</v>
      </c>
      <c r="O3004">
        <v>98</v>
      </c>
      <c r="P3004">
        <v>7.35</v>
      </c>
      <c r="Q3004">
        <v>13</v>
      </c>
      <c r="R3004">
        <v>3</v>
      </c>
      <c r="S3004">
        <v>3.51</v>
      </c>
      <c r="T3004">
        <v>1</v>
      </c>
      <c r="U3004" t="s">
        <v>22</v>
      </c>
      <c r="V3004" t="e">
        <f>IF(#REF! = "yes", 1, 0)</f>
        <v>#REF!</v>
      </c>
      <c r="W3004" t="e">
        <f>IF(#REF! &lt;= 1, "0-1 Calls", IF(#REF! &lt;= 3, "2-3 Calls", IF(#REF! &lt;=5, "4-5 Calls", "6+ Calls")))</f>
        <v>#REF!</v>
      </c>
      <c r="X3004" t="e">
        <f>IF(#REF! &lt;= 50, "0-50", IF(#REF! &lt;=100, "51-100", IF(#REF! &lt;= 150, "101-150", "151+")))</f>
        <v>#REF!</v>
      </c>
      <c r="Y3004" t="e">
        <f>IF(#REF! &lt;= 3, "Low Charges", "High Charges")</f>
        <v>#REF!</v>
      </c>
      <c r="Z3004" t="e">
        <f>IF(#REF!&lt;=80,"Low Calls",
IF(#REF!&lt;=120,"Medium Calls","High Calls"))</f>
        <v>#REF!</v>
      </c>
      <c r="AA3004" t="e">
        <f>IF(#REF!&lt;=15,"Low Charges",
IF(#REF!&lt;=20,"Medium Charges","High Charges"))</f>
        <v>#REF!</v>
      </c>
      <c r="AB3004" t="e">
        <f>IF(AND(#REF!&gt;180, #REF!&gt;200), "Heavy Doemstic User", IF(#REF!&gt;10, "Interntional User", IF(AND(#REF!&lt;180, #REF!&lt;200,#REF!&lt;200), "Light User", "Balanced User")))</f>
        <v>#REF!</v>
      </c>
      <c r="AC3004" t="e">
        <f>IF(#REF! = 0, "No Usage", IF(#REF! &lt;= 20, "Low Usage", IF(#REF! &lt;= 40, "Medium Usgae", "High Usage")))</f>
        <v>#REF!</v>
      </c>
      <c r="AD3004" t="e">
        <f>IF(#REF!&lt;=150,"Low Usage", IF(#REF!&lt;=200,"Medium Usage", IF(#REF!&lt;=250,"High Usage","Very High Usage")))</f>
        <v>#REF!</v>
      </c>
      <c r="AE3004" t="e">
        <f>IF(#REF!&lt;=5,"Low Calls", IF(#REF!&lt;=10, "Medium Calls", "High Calls"))</f>
        <v>#REF!</v>
      </c>
      <c r="AF3004" t="e">
        <f xml:space="preserve">
IF(#REF!&gt;=4,4,0)+
IF(#REF!="yes",3,0)+
IF(#REF!="High Charges",3,0)+
IF(#REF!&gt;250,4,0)+
IF(#REF!="no",1,0)+
IF(#REF!="Heavy Domestic User",2,0)</f>
        <v>#REF!</v>
      </c>
      <c r="AG3004" t="e">
        <f>IF(#REF!&gt;=10,"High Risk", IF(#REF!&gt;=5,"Medium Risk","Low Risk"))</f>
        <v>#REF!</v>
      </c>
      <c r="AH3004" t="e">
        <f>#REF! + #REF! + #REF! + #REF!</f>
        <v>#REF!</v>
      </c>
    </row>
    <row r="3005" spans="1:34" x14ac:dyDescent="0.35">
      <c r="A3005">
        <v>3004</v>
      </c>
      <c r="B3005" t="s">
        <v>30</v>
      </c>
      <c r="C3005">
        <v>59</v>
      </c>
      <c r="D3005" t="s">
        <v>21</v>
      </c>
      <c r="E3005" t="s">
        <v>22</v>
      </c>
      <c r="F3005" t="s">
        <v>22</v>
      </c>
      <c r="G3005">
        <v>0</v>
      </c>
      <c r="H3005">
        <v>119</v>
      </c>
      <c r="I3005">
        <v>119</v>
      </c>
      <c r="J3005">
        <v>20.23</v>
      </c>
      <c r="K3005">
        <v>134.5</v>
      </c>
      <c r="L3005">
        <v>115</v>
      </c>
      <c r="M3005">
        <v>11.43</v>
      </c>
      <c r="N3005">
        <v>298.60000000000002</v>
      </c>
      <c r="O3005">
        <v>75</v>
      </c>
      <c r="P3005">
        <v>13.44</v>
      </c>
      <c r="Q3005">
        <v>9</v>
      </c>
      <c r="R3005">
        <v>6</v>
      </c>
      <c r="S3005">
        <v>2.4300000000000002</v>
      </c>
      <c r="T3005">
        <v>2</v>
      </c>
      <c r="U3005" t="s">
        <v>23</v>
      </c>
      <c r="V3005" t="e">
        <f>IF(#REF! = "yes", 1, 0)</f>
        <v>#REF!</v>
      </c>
      <c r="W3005" t="e">
        <f>IF(#REF! &lt;= 1, "0-1 Calls", IF(#REF! &lt;= 3, "2-3 Calls", IF(#REF! &lt;=5, "4-5 Calls", "6+ Calls")))</f>
        <v>#REF!</v>
      </c>
      <c r="X3005" t="e">
        <f>IF(#REF! &lt;= 50, "0-50", IF(#REF! &lt;=100, "51-100", IF(#REF! &lt;= 150, "101-150", "151+")))</f>
        <v>#REF!</v>
      </c>
      <c r="Y3005" t="e">
        <f>IF(#REF! &lt;= 3, "Low Charges", "High Charges")</f>
        <v>#REF!</v>
      </c>
      <c r="Z3005" t="e">
        <f>IF(#REF!&lt;=80,"Low Calls",
IF(#REF!&lt;=120,"Medium Calls","High Calls"))</f>
        <v>#REF!</v>
      </c>
      <c r="AA3005" t="e">
        <f>IF(#REF!&lt;=15,"Low Charges",
IF(#REF!&lt;=20,"Medium Charges","High Charges"))</f>
        <v>#REF!</v>
      </c>
      <c r="AB3005" t="e">
        <f>IF(AND(#REF!&gt;180, #REF!&gt;200), "Heavy Doemstic User", IF(#REF!&gt;10, "Interntional User", IF(AND(#REF!&lt;180, #REF!&lt;200,#REF!&lt;200), "Light User", "Balanced User")))</f>
        <v>#REF!</v>
      </c>
      <c r="AC3005" t="e">
        <f>IF(#REF! = 0, "No Usage", IF(#REF! &lt;= 20, "Low Usage", IF(#REF! &lt;= 40, "Medium Usgae", "High Usage")))</f>
        <v>#REF!</v>
      </c>
      <c r="AD3005" t="e">
        <f>IF(#REF!&lt;=150,"Low Usage", IF(#REF!&lt;=200,"Medium Usage", IF(#REF!&lt;=250,"High Usage","Very High Usage")))</f>
        <v>#REF!</v>
      </c>
      <c r="AE3005" t="e">
        <f>IF(#REF!&lt;=5,"Low Calls", IF(#REF!&lt;=10, "Medium Calls", "High Calls"))</f>
        <v>#REF!</v>
      </c>
      <c r="AF3005" t="e">
        <f xml:space="preserve">
IF(#REF!&gt;=4,4,0)+
IF(#REF!="yes",3,0)+
IF(#REF!="High Charges",3,0)+
IF(#REF!&gt;250,4,0)+
IF(#REF!="no",1,0)+
IF(#REF!="Heavy Domestic User",2,0)</f>
        <v>#REF!</v>
      </c>
      <c r="AG3005" t="e">
        <f>IF(#REF!&gt;=10,"High Risk", IF(#REF!&gt;=5,"Medium Risk","Low Risk"))</f>
        <v>#REF!</v>
      </c>
      <c r="AH3005" t="e">
        <f>#REF! + #REF! + #REF! + #REF!</f>
        <v>#REF!</v>
      </c>
    </row>
    <row r="3006" spans="1:34" x14ac:dyDescent="0.35">
      <c r="A3006">
        <v>3005</v>
      </c>
      <c r="B3006" t="s">
        <v>45</v>
      </c>
      <c r="C3006">
        <v>103</v>
      </c>
      <c r="D3006" t="s">
        <v>21</v>
      </c>
      <c r="E3006" t="s">
        <v>22</v>
      </c>
      <c r="F3006" t="s">
        <v>22</v>
      </c>
      <c r="G3006">
        <v>0</v>
      </c>
      <c r="H3006">
        <v>245.8</v>
      </c>
      <c r="I3006">
        <v>116</v>
      </c>
      <c r="J3006">
        <v>41.79</v>
      </c>
      <c r="K3006">
        <v>135.4</v>
      </c>
      <c r="L3006">
        <v>97</v>
      </c>
      <c r="M3006">
        <v>11.51</v>
      </c>
      <c r="N3006">
        <v>190.9</v>
      </c>
      <c r="O3006">
        <v>73</v>
      </c>
      <c r="P3006">
        <v>8.59</v>
      </c>
      <c r="Q3006">
        <v>9.9</v>
      </c>
      <c r="R3006">
        <v>7</v>
      </c>
      <c r="S3006">
        <v>2.67</v>
      </c>
      <c r="T3006">
        <v>1</v>
      </c>
      <c r="U3006" t="s">
        <v>22</v>
      </c>
      <c r="V3006" t="e">
        <f>IF(#REF! = "yes", 1, 0)</f>
        <v>#REF!</v>
      </c>
      <c r="W3006" t="e">
        <f>IF(#REF! &lt;= 1, "0-1 Calls", IF(#REF! &lt;= 3, "2-3 Calls", IF(#REF! &lt;=5, "4-5 Calls", "6+ Calls")))</f>
        <v>#REF!</v>
      </c>
      <c r="X3006" t="e">
        <f>IF(#REF! &lt;= 50, "0-50", IF(#REF! &lt;=100, "51-100", IF(#REF! &lt;= 150, "101-150", "151+")))</f>
        <v>#REF!</v>
      </c>
      <c r="Y3006" t="e">
        <f>IF(#REF! &lt;= 3, "Low Charges", "High Charges")</f>
        <v>#REF!</v>
      </c>
      <c r="Z3006" t="e">
        <f>IF(#REF!&lt;=80,"Low Calls",
IF(#REF!&lt;=120,"Medium Calls","High Calls"))</f>
        <v>#REF!</v>
      </c>
      <c r="AA3006" t="e">
        <f>IF(#REF!&lt;=15,"Low Charges",
IF(#REF!&lt;=20,"Medium Charges","High Charges"))</f>
        <v>#REF!</v>
      </c>
      <c r="AB3006" t="e">
        <f>IF(AND(#REF!&gt;180, #REF!&gt;200), "Heavy Doemstic User", IF(#REF!&gt;10, "Interntional User", IF(AND(#REF!&lt;180, #REF!&lt;200,#REF!&lt;200), "Light User", "Balanced User")))</f>
        <v>#REF!</v>
      </c>
      <c r="AC3006" t="e">
        <f>IF(#REF! = 0, "No Usage", IF(#REF! &lt;= 20, "Low Usage", IF(#REF! &lt;= 40, "Medium Usgae", "High Usage")))</f>
        <v>#REF!</v>
      </c>
      <c r="AD3006" t="e">
        <f>IF(#REF!&lt;=150,"Low Usage", IF(#REF!&lt;=200,"Medium Usage", IF(#REF!&lt;=250,"High Usage","Very High Usage")))</f>
        <v>#REF!</v>
      </c>
      <c r="AE3006" t="e">
        <f>IF(#REF!&lt;=5,"Low Calls", IF(#REF!&lt;=10, "Medium Calls", "High Calls"))</f>
        <v>#REF!</v>
      </c>
      <c r="AF3006" t="e">
        <f xml:space="preserve">
IF(#REF!&gt;=4,4,0)+
IF(#REF!="yes",3,0)+
IF(#REF!="High Charges",3,0)+
IF(#REF!&gt;250,4,0)+
IF(#REF!="no",1,0)+
IF(#REF!="Heavy Domestic User",2,0)</f>
        <v>#REF!</v>
      </c>
      <c r="AG3006" t="e">
        <f>IF(#REF!&gt;=10,"High Risk", IF(#REF!&gt;=5,"Medium Risk","Low Risk"))</f>
        <v>#REF!</v>
      </c>
      <c r="AH3006" t="e">
        <f>#REF! + #REF! + #REF! + #REF!</f>
        <v>#REF!</v>
      </c>
    </row>
    <row r="3007" spans="1:34" x14ac:dyDescent="0.35">
      <c r="A3007">
        <v>3006</v>
      </c>
      <c r="B3007" t="s">
        <v>40</v>
      </c>
      <c r="C3007">
        <v>101</v>
      </c>
      <c r="D3007" t="s">
        <v>25</v>
      </c>
      <c r="E3007" t="s">
        <v>22</v>
      </c>
      <c r="F3007" t="s">
        <v>22</v>
      </c>
      <c r="G3007">
        <v>0</v>
      </c>
      <c r="H3007">
        <v>131</v>
      </c>
      <c r="I3007">
        <v>148</v>
      </c>
      <c r="J3007">
        <v>22.27</v>
      </c>
      <c r="K3007">
        <v>237.7</v>
      </c>
      <c r="L3007">
        <v>126</v>
      </c>
      <c r="M3007">
        <v>20.2</v>
      </c>
      <c r="N3007">
        <v>281.3</v>
      </c>
      <c r="O3007">
        <v>111</v>
      </c>
      <c r="P3007">
        <v>12.66</v>
      </c>
      <c r="Q3007">
        <v>12.6</v>
      </c>
      <c r="R3007">
        <v>4</v>
      </c>
      <c r="S3007">
        <v>3.4</v>
      </c>
      <c r="T3007">
        <v>3</v>
      </c>
      <c r="U3007" t="s">
        <v>22</v>
      </c>
      <c r="V3007" t="e">
        <f>IF(#REF! = "yes", 1, 0)</f>
        <v>#REF!</v>
      </c>
      <c r="W3007" t="e">
        <f>IF(#REF! &lt;= 1, "0-1 Calls", IF(#REF! &lt;= 3, "2-3 Calls", IF(#REF! &lt;=5, "4-5 Calls", "6+ Calls")))</f>
        <v>#REF!</v>
      </c>
      <c r="X3007" t="e">
        <f>IF(#REF! &lt;= 50, "0-50", IF(#REF! &lt;=100, "51-100", IF(#REF! &lt;= 150, "101-150", "151+")))</f>
        <v>#REF!</v>
      </c>
      <c r="Y3007" t="e">
        <f>IF(#REF! &lt;= 3, "Low Charges", "High Charges")</f>
        <v>#REF!</v>
      </c>
      <c r="Z3007" t="e">
        <f>IF(#REF!&lt;=80,"Low Calls",
IF(#REF!&lt;=120,"Medium Calls","High Calls"))</f>
        <v>#REF!</v>
      </c>
      <c r="AA3007" t="e">
        <f>IF(#REF!&lt;=15,"Low Charges",
IF(#REF!&lt;=20,"Medium Charges","High Charges"))</f>
        <v>#REF!</v>
      </c>
      <c r="AB3007" t="e">
        <f>IF(AND(#REF!&gt;180, #REF!&gt;200), "Heavy Doemstic User", IF(#REF!&gt;10, "Interntional User", IF(AND(#REF!&lt;180, #REF!&lt;200,#REF!&lt;200), "Light User", "Balanced User")))</f>
        <v>#REF!</v>
      </c>
      <c r="AC3007" t="e">
        <f>IF(#REF! = 0, "No Usage", IF(#REF! &lt;= 20, "Low Usage", IF(#REF! &lt;= 40, "Medium Usgae", "High Usage")))</f>
        <v>#REF!</v>
      </c>
      <c r="AD3007" t="e">
        <f>IF(#REF!&lt;=150,"Low Usage", IF(#REF!&lt;=200,"Medium Usage", IF(#REF!&lt;=250,"High Usage","Very High Usage")))</f>
        <v>#REF!</v>
      </c>
      <c r="AE3007" t="e">
        <f>IF(#REF!&lt;=5,"Low Calls", IF(#REF!&lt;=10, "Medium Calls", "High Calls"))</f>
        <v>#REF!</v>
      </c>
      <c r="AF3007" t="e">
        <f xml:space="preserve">
IF(#REF!&gt;=4,4,0)+
IF(#REF!="yes",3,0)+
IF(#REF!="High Charges",3,0)+
IF(#REF!&gt;250,4,0)+
IF(#REF!="no",1,0)+
IF(#REF!="Heavy Domestic User",2,0)</f>
        <v>#REF!</v>
      </c>
      <c r="AG3007" t="e">
        <f>IF(#REF!&gt;=10,"High Risk", IF(#REF!&gt;=5,"Medium Risk","Low Risk"))</f>
        <v>#REF!</v>
      </c>
      <c r="AH3007" t="e">
        <f>#REF! + #REF! + #REF! + #REF!</f>
        <v>#REF!</v>
      </c>
    </row>
    <row r="3008" spans="1:34" x14ac:dyDescent="0.35">
      <c r="A3008">
        <v>3007</v>
      </c>
      <c r="B3008" t="s">
        <v>51</v>
      </c>
      <c r="C3008">
        <v>72</v>
      </c>
      <c r="D3008" t="s">
        <v>21</v>
      </c>
      <c r="E3008" t="s">
        <v>22</v>
      </c>
      <c r="F3008" t="s">
        <v>22</v>
      </c>
      <c r="G3008">
        <v>0</v>
      </c>
      <c r="H3008">
        <v>129.80000000000001</v>
      </c>
      <c r="I3008">
        <v>106</v>
      </c>
      <c r="J3008">
        <v>22.07</v>
      </c>
      <c r="K3008">
        <v>188.7</v>
      </c>
      <c r="L3008">
        <v>138</v>
      </c>
      <c r="M3008">
        <v>16.04</v>
      </c>
      <c r="N3008">
        <v>212.5</v>
      </c>
      <c r="O3008">
        <v>116</v>
      </c>
      <c r="P3008">
        <v>9.56</v>
      </c>
      <c r="Q3008">
        <v>8.3000000000000007</v>
      </c>
      <c r="R3008">
        <v>4</v>
      </c>
      <c r="S3008">
        <v>2.2400000000000002</v>
      </c>
      <c r="T3008">
        <v>4</v>
      </c>
      <c r="U3008" t="s">
        <v>23</v>
      </c>
      <c r="V3008" t="e">
        <f>IF(#REF! = "yes", 1, 0)</f>
        <v>#REF!</v>
      </c>
      <c r="W3008" t="e">
        <f>IF(#REF! &lt;= 1, "0-1 Calls", IF(#REF! &lt;= 3, "2-3 Calls", IF(#REF! &lt;=5, "4-5 Calls", "6+ Calls")))</f>
        <v>#REF!</v>
      </c>
      <c r="X3008" t="e">
        <f>IF(#REF! &lt;= 50, "0-50", IF(#REF! &lt;=100, "51-100", IF(#REF! &lt;= 150, "101-150", "151+")))</f>
        <v>#REF!</v>
      </c>
      <c r="Y3008" t="e">
        <f>IF(#REF! &lt;= 3, "Low Charges", "High Charges")</f>
        <v>#REF!</v>
      </c>
      <c r="Z3008" t="e">
        <f>IF(#REF!&lt;=80,"Low Calls",
IF(#REF!&lt;=120,"Medium Calls","High Calls"))</f>
        <v>#REF!</v>
      </c>
      <c r="AA3008" t="e">
        <f>IF(#REF!&lt;=15,"Low Charges",
IF(#REF!&lt;=20,"Medium Charges","High Charges"))</f>
        <v>#REF!</v>
      </c>
      <c r="AB3008" t="e">
        <f>IF(AND(#REF!&gt;180, #REF!&gt;200), "Heavy Doemstic User", IF(#REF!&gt;10, "Interntional User", IF(AND(#REF!&lt;180, #REF!&lt;200,#REF!&lt;200), "Light User", "Balanced User")))</f>
        <v>#REF!</v>
      </c>
      <c r="AC3008" t="e">
        <f>IF(#REF! = 0, "No Usage", IF(#REF! &lt;= 20, "Low Usage", IF(#REF! &lt;= 40, "Medium Usgae", "High Usage")))</f>
        <v>#REF!</v>
      </c>
      <c r="AD3008" t="e">
        <f>IF(#REF!&lt;=150,"Low Usage", IF(#REF!&lt;=200,"Medium Usage", IF(#REF!&lt;=250,"High Usage","Very High Usage")))</f>
        <v>#REF!</v>
      </c>
      <c r="AE3008" t="e">
        <f>IF(#REF!&lt;=5,"Low Calls", IF(#REF!&lt;=10, "Medium Calls", "High Calls"))</f>
        <v>#REF!</v>
      </c>
      <c r="AF3008" t="e">
        <f xml:space="preserve">
IF(#REF!&gt;=4,4,0)+
IF(#REF!="yes",3,0)+
IF(#REF!="High Charges",3,0)+
IF(#REF!&gt;250,4,0)+
IF(#REF!="no",1,0)+
IF(#REF!="Heavy Domestic User",2,0)</f>
        <v>#REF!</v>
      </c>
      <c r="AG3008" t="e">
        <f>IF(#REF!&gt;=10,"High Risk", IF(#REF!&gt;=5,"Medium Risk","Low Risk"))</f>
        <v>#REF!</v>
      </c>
      <c r="AH3008" t="e">
        <f>#REF! + #REF! + #REF! + #REF!</f>
        <v>#REF!</v>
      </c>
    </row>
    <row r="3009" spans="1:34" x14ac:dyDescent="0.35">
      <c r="A3009">
        <v>3008</v>
      </c>
      <c r="B3009" t="s">
        <v>57</v>
      </c>
      <c r="C3009">
        <v>108</v>
      </c>
      <c r="D3009" t="s">
        <v>28</v>
      </c>
      <c r="E3009" t="s">
        <v>23</v>
      </c>
      <c r="F3009" t="s">
        <v>22</v>
      </c>
      <c r="G3009">
        <v>0</v>
      </c>
      <c r="H3009">
        <v>275.89999999999998</v>
      </c>
      <c r="I3009">
        <v>84</v>
      </c>
      <c r="J3009">
        <v>46.9</v>
      </c>
      <c r="K3009">
        <v>203</v>
      </c>
      <c r="L3009">
        <v>91</v>
      </c>
      <c r="M3009">
        <v>17.260000000000002</v>
      </c>
      <c r="N3009">
        <v>211.4</v>
      </c>
      <c r="O3009">
        <v>108</v>
      </c>
      <c r="P3009">
        <v>9.51</v>
      </c>
      <c r="Q3009">
        <v>6.7</v>
      </c>
      <c r="R3009">
        <v>4</v>
      </c>
      <c r="S3009">
        <v>1.81</v>
      </c>
      <c r="T3009">
        <v>2</v>
      </c>
      <c r="U3009" t="s">
        <v>23</v>
      </c>
      <c r="V3009" t="e">
        <f>IF(#REF! = "yes", 1, 0)</f>
        <v>#REF!</v>
      </c>
      <c r="W3009" t="e">
        <f>IF(#REF! &lt;= 1, "0-1 Calls", IF(#REF! &lt;= 3, "2-3 Calls", IF(#REF! &lt;=5, "4-5 Calls", "6+ Calls")))</f>
        <v>#REF!</v>
      </c>
      <c r="X3009" t="e">
        <f>IF(#REF! &lt;= 50, "0-50", IF(#REF! &lt;=100, "51-100", IF(#REF! &lt;= 150, "101-150", "151+")))</f>
        <v>#REF!</v>
      </c>
      <c r="Y3009" t="e">
        <f>IF(#REF! &lt;= 3, "Low Charges", "High Charges")</f>
        <v>#REF!</v>
      </c>
      <c r="Z3009" t="e">
        <f>IF(#REF!&lt;=80,"Low Calls",
IF(#REF!&lt;=120,"Medium Calls","High Calls"))</f>
        <v>#REF!</v>
      </c>
      <c r="AA3009" t="e">
        <f>IF(#REF!&lt;=15,"Low Charges",
IF(#REF!&lt;=20,"Medium Charges","High Charges"))</f>
        <v>#REF!</v>
      </c>
      <c r="AB3009" t="e">
        <f>IF(AND(#REF!&gt;180, #REF!&gt;200), "Heavy Doemstic User", IF(#REF!&gt;10, "Interntional User", IF(AND(#REF!&lt;180, #REF!&lt;200,#REF!&lt;200), "Light User", "Balanced User")))</f>
        <v>#REF!</v>
      </c>
      <c r="AC3009" t="e">
        <f>IF(#REF! = 0, "No Usage", IF(#REF! &lt;= 20, "Low Usage", IF(#REF! &lt;= 40, "Medium Usgae", "High Usage")))</f>
        <v>#REF!</v>
      </c>
      <c r="AD3009" t="e">
        <f>IF(#REF!&lt;=150,"Low Usage", IF(#REF!&lt;=200,"Medium Usage", IF(#REF!&lt;=250,"High Usage","Very High Usage")))</f>
        <v>#REF!</v>
      </c>
      <c r="AE3009" t="e">
        <f>IF(#REF!&lt;=5,"Low Calls", IF(#REF!&lt;=10, "Medium Calls", "High Calls"))</f>
        <v>#REF!</v>
      </c>
      <c r="AF3009" t="e">
        <f xml:space="preserve">
IF(#REF!&gt;=4,4,0)+
IF(#REF!="yes",3,0)+
IF(#REF!="High Charges",3,0)+
IF(#REF!&gt;250,4,0)+
IF(#REF!="no",1,0)+
IF(#REF!="Heavy Domestic User",2,0)</f>
        <v>#REF!</v>
      </c>
      <c r="AG3009" t="e">
        <f>IF(#REF!&gt;=10,"High Risk", IF(#REF!&gt;=5,"Medium Risk","Low Risk"))</f>
        <v>#REF!</v>
      </c>
      <c r="AH3009" t="e">
        <f>#REF! + #REF! + #REF! + #REF!</f>
        <v>#REF!</v>
      </c>
    </row>
    <row r="3010" spans="1:34" x14ac:dyDescent="0.35">
      <c r="A3010">
        <v>3009</v>
      </c>
      <c r="B3010" t="s">
        <v>46</v>
      </c>
      <c r="C3010">
        <v>80</v>
      </c>
      <c r="D3010" t="s">
        <v>28</v>
      </c>
      <c r="E3010" t="s">
        <v>22</v>
      </c>
      <c r="F3010" t="s">
        <v>22</v>
      </c>
      <c r="G3010">
        <v>0</v>
      </c>
      <c r="H3010">
        <v>213.3</v>
      </c>
      <c r="I3010">
        <v>124</v>
      </c>
      <c r="J3010">
        <v>36.26</v>
      </c>
      <c r="K3010">
        <v>189.6</v>
      </c>
      <c r="L3010">
        <v>86</v>
      </c>
      <c r="M3010">
        <v>16.12</v>
      </c>
      <c r="N3010">
        <v>193.7</v>
      </c>
      <c r="O3010">
        <v>107</v>
      </c>
      <c r="P3010">
        <v>8.7200000000000006</v>
      </c>
      <c r="Q3010">
        <v>12.1</v>
      </c>
      <c r="R3010">
        <v>2</v>
      </c>
      <c r="S3010">
        <v>3.27</v>
      </c>
      <c r="T3010">
        <v>1</v>
      </c>
      <c r="U3010" t="s">
        <v>22</v>
      </c>
      <c r="V3010" t="e">
        <f>IF(#REF! = "yes", 1, 0)</f>
        <v>#REF!</v>
      </c>
      <c r="W3010" t="e">
        <f>IF(#REF! &lt;= 1, "0-1 Calls", IF(#REF! &lt;= 3, "2-3 Calls", IF(#REF! &lt;=5, "4-5 Calls", "6+ Calls")))</f>
        <v>#REF!</v>
      </c>
      <c r="X3010" t="e">
        <f>IF(#REF! &lt;= 50, "0-50", IF(#REF! &lt;=100, "51-100", IF(#REF! &lt;= 150, "101-150", "151+")))</f>
        <v>#REF!</v>
      </c>
      <c r="Y3010" t="e">
        <f>IF(#REF! &lt;= 3, "Low Charges", "High Charges")</f>
        <v>#REF!</v>
      </c>
      <c r="Z3010" t="e">
        <f>IF(#REF!&lt;=80,"Low Calls",
IF(#REF!&lt;=120,"Medium Calls","High Calls"))</f>
        <v>#REF!</v>
      </c>
      <c r="AA3010" t="e">
        <f>IF(#REF!&lt;=15,"Low Charges",
IF(#REF!&lt;=20,"Medium Charges","High Charges"))</f>
        <v>#REF!</v>
      </c>
      <c r="AB3010" t="e">
        <f>IF(AND(#REF!&gt;180, #REF!&gt;200), "Heavy Doemstic User", IF(#REF!&gt;10, "Interntional User", IF(AND(#REF!&lt;180, #REF!&lt;200,#REF!&lt;200), "Light User", "Balanced User")))</f>
        <v>#REF!</v>
      </c>
      <c r="AC3010" t="e">
        <f>IF(#REF! = 0, "No Usage", IF(#REF! &lt;= 20, "Low Usage", IF(#REF! &lt;= 40, "Medium Usgae", "High Usage")))</f>
        <v>#REF!</v>
      </c>
      <c r="AD3010" t="e">
        <f>IF(#REF!&lt;=150,"Low Usage", IF(#REF!&lt;=200,"Medium Usage", IF(#REF!&lt;=250,"High Usage","Very High Usage")))</f>
        <v>#REF!</v>
      </c>
      <c r="AE3010" t="e">
        <f>IF(#REF!&lt;=5,"Low Calls", IF(#REF!&lt;=10, "Medium Calls", "High Calls"))</f>
        <v>#REF!</v>
      </c>
      <c r="AF3010" t="e">
        <f xml:space="preserve">
IF(#REF!&gt;=4,4,0)+
IF(#REF!="yes",3,0)+
IF(#REF!="High Charges",3,0)+
IF(#REF!&gt;250,4,0)+
IF(#REF!="no",1,0)+
IF(#REF!="Heavy Domestic User",2,0)</f>
        <v>#REF!</v>
      </c>
      <c r="AG3010" t="e">
        <f>IF(#REF!&gt;=10,"High Risk", IF(#REF!&gt;=5,"Medium Risk","Low Risk"))</f>
        <v>#REF!</v>
      </c>
      <c r="AH3010" t="e">
        <f>#REF! + #REF! + #REF! + #REF!</f>
        <v>#REF!</v>
      </c>
    </row>
    <row r="3011" spans="1:34" x14ac:dyDescent="0.35">
      <c r="A3011">
        <v>3010</v>
      </c>
      <c r="B3011" t="s">
        <v>24</v>
      </c>
      <c r="C3011">
        <v>117</v>
      </c>
      <c r="D3011" t="s">
        <v>21</v>
      </c>
      <c r="E3011" t="s">
        <v>22</v>
      </c>
      <c r="F3011" t="s">
        <v>22</v>
      </c>
      <c r="G3011">
        <v>0</v>
      </c>
      <c r="H3011">
        <v>128.6</v>
      </c>
      <c r="I3011">
        <v>92</v>
      </c>
      <c r="J3011">
        <v>21.86</v>
      </c>
      <c r="K3011">
        <v>191.7</v>
      </c>
      <c r="L3011">
        <v>61</v>
      </c>
      <c r="M3011">
        <v>16.29</v>
      </c>
      <c r="N3011">
        <v>121.7</v>
      </c>
      <c r="O3011">
        <v>117</v>
      </c>
      <c r="P3011">
        <v>5.48</v>
      </c>
      <c r="Q3011">
        <v>12.4</v>
      </c>
      <c r="R3011">
        <v>9</v>
      </c>
      <c r="S3011">
        <v>3.35</v>
      </c>
      <c r="T3011">
        <v>2</v>
      </c>
      <c r="U3011" t="s">
        <v>22</v>
      </c>
      <c r="V3011" t="e">
        <f>IF(#REF! = "yes", 1, 0)</f>
        <v>#REF!</v>
      </c>
      <c r="W3011" t="e">
        <f>IF(#REF! &lt;= 1, "0-1 Calls", IF(#REF! &lt;= 3, "2-3 Calls", IF(#REF! &lt;=5, "4-5 Calls", "6+ Calls")))</f>
        <v>#REF!</v>
      </c>
      <c r="X3011" t="e">
        <f>IF(#REF! &lt;= 50, "0-50", IF(#REF! &lt;=100, "51-100", IF(#REF! &lt;= 150, "101-150", "151+")))</f>
        <v>#REF!</v>
      </c>
      <c r="Y3011" t="e">
        <f>IF(#REF! &lt;= 3, "Low Charges", "High Charges")</f>
        <v>#REF!</v>
      </c>
      <c r="Z3011" t="e">
        <f>IF(#REF!&lt;=80,"Low Calls",
IF(#REF!&lt;=120,"Medium Calls","High Calls"))</f>
        <v>#REF!</v>
      </c>
      <c r="AA3011" t="e">
        <f>IF(#REF!&lt;=15,"Low Charges",
IF(#REF!&lt;=20,"Medium Charges","High Charges"))</f>
        <v>#REF!</v>
      </c>
      <c r="AB3011" t="e">
        <f>IF(AND(#REF!&gt;180, #REF!&gt;200), "Heavy Doemstic User", IF(#REF!&gt;10, "Interntional User", IF(AND(#REF!&lt;180, #REF!&lt;200,#REF!&lt;200), "Light User", "Balanced User")))</f>
        <v>#REF!</v>
      </c>
      <c r="AC3011" t="e">
        <f>IF(#REF! = 0, "No Usage", IF(#REF! &lt;= 20, "Low Usage", IF(#REF! &lt;= 40, "Medium Usgae", "High Usage")))</f>
        <v>#REF!</v>
      </c>
      <c r="AD3011" t="e">
        <f>IF(#REF!&lt;=150,"Low Usage", IF(#REF!&lt;=200,"Medium Usage", IF(#REF!&lt;=250,"High Usage","Very High Usage")))</f>
        <v>#REF!</v>
      </c>
      <c r="AE3011" t="e">
        <f>IF(#REF!&lt;=5,"Low Calls", IF(#REF!&lt;=10, "Medium Calls", "High Calls"))</f>
        <v>#REF!</v>
      </c>
      <c r="AF3011" t="e">
        <f xml:space="preserve">
IF(#REF!&gt;=4,4,0)+
IF(#REF!="yes",3,0)+
IF(#REF!="High Charges",3,0)+
IF(#REF!&gt;250,4,0)+
IF(#REF!="no",1,0)+
IF(#REF!="Heavy Domestic User",2,0)</f>
        <v>#REF!</v>
      </c>
      <c r="AG3011" t="e">
        <f>IF(#REF!&gt;=10,"High Risk", IF(#REF!&gt;=5,"Medium Risk","Low Risk"))</f>
        <v>#REF!</v>
      </c>
      <c r="AH3011" t="e">
        <f>#REF! + #REF! + #REF! + #REF!</f>
        <v>#REF!</v>
      </c>
    </row>
    <row r="3012" spans="1:34" x14ac:dyDescent="0.35">
      <c r="A3012">
        <v>3011</v>
      </c>
      <c r="B3012" t="s">
        <v>75</v>
      </c>
      <c r="C3012">
        <v>51</v>
      </c>
      <c r="D3012" t="s">
        <v>28</v>
      </c>
      <c r="E3012" t="s">
        <v>22</v>
      </c>
      <c r="F3012" t="s">
        <v>22</v>
      </c>
      <c r="G3012">
        <v>0</v>
      </c>
      <c r="H3012">
        <v>95.3</v>
      </c>
      <c r="I3012">
        <v>103</v>
      </c>
      <c r="J3012">
        <v>16.2</v>
      </c>
      <c r="K3012">
        <v>189.3</v>
      </c>
      <c r="L3012">
        <v>116</v>
      </c>
      <c r="M3012">
        <v>16.09</v>
      </c>
      <c r="N3012">
        <v>238.7</v>
      </c>
      <c r="O3012">
        <v>110</v>
      </c>
      <c r="P3012">
        <v>10.74</v>
      </c>
      <c r="Q3012">
        <v>13.6</v>
      </c>
      <c r="R3012">
        <v>4</v>
      </c>
      <c r="S3012">
        <v>3.67</v>
      </c>
      <c r="T3012">
        <v>1</v>
      </c>
      <c r="U3012" t="s">
        <v>22</v>
      </c>
      <c r="V3012" t="e">
        <f>IF(#REF! = "yes", 1, 0)</f>
        <v>#REF!</v>
      </c>
      <c r="W3012" t="e">
        <f>IF(#REF! &lt;= 1, "0-1 Calls", IF(#REF! &lt;= 3, "2-3 Calls", IF(#REF! &lt;=5, "4-5 Calls", "6+ Calls")))</f>
        <v>#REF!</v>
      </c>
      <c r="X3012" t="e">
        <f>IF(#REF! &lt;= 50, "0-50", IF(#REF! &lt;=100, "51-100", IF(#REF! &lt;= 150, "101-150", "151+")))</f>
        <v>#REF!</v>
      </c>
      <c r="Y3012" t="e">
        <f>IF(#REF! &lt;= 3, "Low Charges", "High Charges")</f>
        <v>#REF!</v>
      </c>
      <c r="Z3012" t="e">
        <f>IF(#REF!&lt;=80,"Low Calls",
IF(#REF!&lt;=120,"Medium Calls","High Calls"))</f>
        <v>#REF!</v>
      </c>
      <c r="AA3012" t="e">
        <f>IF(#REF!&lt;=15,"Low Charges",
IF(#REF!&lt;=20,"Medium Charges","High Charges"))</f>
        <v>#REF!</v>
      </c>
      <c r="AB3012" t="e">
        <f>IF(AND(#REF!&gt;180, #REF!&gt;200), "Heavy Doemstic User", IF(#REF!&gt;10, "Interntional User", IF(AND(#REF!&lt;180, #REF!&lt;200,#REF!&lt;200), "Light User", "Balanced User")))</f>
        <v>#REF!</v>
      </c>
      <c r="AC3012" t="e">
        <f>IF(#REF! = 0, "No Usage", IF(#REF! &lt;= 20, "Low Usage", IF(#REF! &lt;= 40, "Medium Usgae", "High Usage")))</f>
        <v>#REF!</v>
      </c>
      <c r="AD3012" t="e">
        <f>IF(#REF!&lt;=150,"Low Usage", IF(#REF!&lt;=200,"Medium Usage", IF(#REF!&lt;=250,"High Usage","Very High Usage")))</f>
        <v>#REF!</v>
      </c>
      <c r="AE3012" t="e">
        <f>IF(#REF!&lt;=5,"Low Calls", IF(#REF!&lt;=10, "Medium Calls", "High Calls"))</f>
        <v>#REF!</v>
      </c>
      <c r="AF3012" t="e">
        <f xml:space="preserve">
IF(#REF!&gt;=4,4,0)+
IF(#REF!="yes",3,0)+
IF(#REF!="High Charges",3,0)+
IF(#REF!&gt;250,4,0)+
IF(#REF!="no",1,0)+
IF(#REF!="Heavy Domestic User",2,0)</f>
        <v>#REF!</v>
      </c>
      <c r="AG3012" t="e">
        <f>IF(#REF!&gt;=10,"High Risk", IF(#REF!&gt;=5,"Medium Risk","Low Risk"))</f>
        <v>#REF!</v>
      </c>
      <c r="AH3012" t="e">
        <f>#REF! + #REF! + #REF! + #REF!</f>
        <v>#REF!</v>
      </c>
    </row>
    <row r="3013" spans="1:34" x14ac:dyDescent="0.35">
      <c r="A3013">
        <v>3012</v>
      </c>
      <c r="B3013" t="s">
        <v>27</v>
      </c>
      <c r="C3013">
        <v>158</v>
      </c>
      <c r="D3013" t="s">
        <v>21</v>
      </c>
      <c r="E3013" t="s">
        <v>22</v>
      </c>
      <c r="F3013" t="s">
        <v>22</v>
      </c>
      <c r="G3013">
        <v>0</v>
      </c>
      <c r="H3013">
        <v>214.7</v>
      </c>
      <c r="I3013">
        <v>112</v>
      </c>
      <c r="J3013">
        <v>36.5</v>
      </c>
      <c r="K3013">
        <v>262.89999999999998</v>
      </c>
      <c r="L3013">
        <v>115</v>
      </c>
      <c r="M3013">
        <v>22.35</v>
      </c>
      <c r="N3013">
        <v>228.9</v>
      </c>
      <c r="O3013">
        <v>68</v>
      </c>
      <c r="P3013">
        <v>10.3</v>
      </c>
      <c r="Q3013">
        <v>11.6</v>
      </c>
      <c r="R3013">
        <v>2</v>
      </c>
      <c r="S3013">
        <v>3.13</v>
      </c>
      <c r="T3013">
        <v>1</v>
      </c>
      <c r="U3013" t="s">
        <v>22</v>
      </c>
      <c r="V3013" t="e">
        <f>IF(#REF! = "yes", 1, 0)</f>
        <v>#REF!</v>
      </c>
      <c r="W3013" t="e">
        <f>IF(#REF! &lt;= 1, "0-1 Calls", IF(#REF! &lt;= 3, "2-3 Calls", IF(#REF! &lt;=5, "4-5 Calls", "6+ Calls")))</f>
        <v>#REF!</v>
      </c>
      <c r="X3013" t="e">
        <f>IF(#REF! &lt;= 50, "0-50", IF(#REF! &lt;=100, "51-100", IF(#REF! &lt;= 150, "101-150", "151+")))</f>
        <v>#REF!</v>
      </c>
      <c r="Y3013" t="e">
        <f>IF(#REF! &lt;= 3, "Low Charges", "High Charges")</f>
        <v>#REF!</v>
      </c>
      <c r="Z3013" t="e">
        <f>IF(#REF!&lt;=80,"Low Calls",
IF(#REF!&lt;=120,"Medium Calls","High Calls"))</f>
        <v>#REF!</v>
      </c>
      <c r="AA3013" t="e">
        <f>IF(#REF!&lt;=15,"Low Charges",
IF(#REF!&lt;=20,"Medium Charges","High Charges"))</f>
        <v>#REF!</v>
      </c>
      <c r="AB3013" t="e">
        <f>IF(AND(#REF!&gt;180, #REF!&gt;200), "Heavy Doemstic User", IF(#REF!&gt;10, "Interntional User", IF(AND(#REF!&lt;180, #REF!&lt;200,#REF!&lt;200), "Light User", "Balanced User")))</f>
        <v>#REF!</v>
      </c>
      <c r="AC3013" t="e">
        <f>IF(#REF! = 0, "No Usage", IF(#REF! &lt;= 20, "Low Usage", IF(#REF! &lt;= 40, "Medium Usgae", "High Usage")))</f>
        <v>#REF!</v>
      </c>
      <c r="AD3013" t="e">
        <f>IF(#REF!&lt;=150,"Low Usage", IF(#REF!&lt;=200,"Medium Usage", IF(#REF!&lt;=250,"High Usage","Very High Usage")))</f>
        <v>#REF!</v>
      </c>
      <c r="AE3013" t="e">
        <f>IF(#REF!&lt;=5,"Low Calls", IF(#REF!&lt;=10, "Medium Calls", "High Calls"))</f>
        <v>#REF!</v>
      </c>
      <c r="AF3013" t="e">
        <f xml:space="preserve">
IF(#REF!&gt;=4,4,0)+
IF(#REF!="yes",3,0)+
IF(#REF!="High Charges",3,0)+
IF(#REF!&gt;250,4,0)+
IF(#REF!="no",1,0)+
IF(#REF!="Heavy Domestic User",2,0)</f>
        <v>#REF!</v>
      </c>
      <c r="AG3013" t="e">
        <f>IF(#REF!&gt;=10,"High Risk", IF(#REF!&gt;=5,"Medium Risk","Low Risk"))</f>
        <v>#REF!</v>
      </c>
      <c r="AH3013" t="e">
        <f>#REF! + #REF! + #REF! + #REF!</f>
        <v>#REF!</v>
      </c>
    </row>
    <row r="3014" spans="1:34" x14ac:dyDescent="0.35">
      <c r="A3014">
        <v>3013</v>
      </c>
      <c r="B3014" t="s">
        <v>31</v>
      </c>
      <c r="C3014">
        <v>66</v>
      </c>
      <c r="D3014" t="s">
        <v>21</v>
      </c>
      <c r="E3014" t="s">
        <v>22</v>
      </c>
      <c r="F3014" t="s">
        <v>22</v>
      </c>
      <c r="G3014">
        <v>0</v>
      </c>
      <c r="H3014">
        <v>180.4</v>
      </c>
      <c r="I3014">
        <v>99</v>
      </c>
      <c r="J3014">
        <v>30.67</v>
      </c>
      <c r="K3014">
        <v>135.1</v>
      </c>
      <c r="L3014">
        <v>114</v>
      </c>
      <c r="M3014">
        <v>11.48</v>
      </c>
      <c r="N3014">
        <v>206</v>
      </c>
      <c r="O3014">
        <v>98</v>
      </c>
      <c r="P3014">
        <v>9.27</v>
      </c>
      <c r="Q3014">
        <v>9.5</v>
      </c>
      <c r="R3014">
        <v>6</v>
      </c>
      <c r="S3014">
        <v>2.57</v>
      </c>
      <c r="T3014">
        <v>1</v>
      </c>
      <c r="U3014" t="s">
        <v>22</v>
      </c>
      <c r="V3014" t="e">
        <f>IF(#REF! = "yes", 1, 0)</f>
        <v>#REF!</v>
      </c>
      <c r="W3014" t="e">
        <f>IF(#REF! &lt;= 1, "0-1 Calls", IF(#REF! &lt;= 3, "2-3 Calls", IF(#REF! &lt;=5, "4-5 Calls", "6+ Calls")))</f>
        <v>#REF!</v>
      </c>
      <c r="X3014" t="e">
        <f>IF(#REF! &lt;= 50, "0-50", IF(#REF! &lt;=100, "51-100", IF(#REF! &lt;= 150, "101-150", "151+")))</f>
        <v>#REF!</v>
      </c>
      <c r="Y3014" t="e">
        <f>IF(#REF! &lt;= 3, "Low Charges", "High Charges")</f>
        <v>#REF!</v>
      </c>
      <c r="Z3014" t="e">
        <f>IF(#REF!&lt;=80,"Low Calls",
IF(#REF!&lt;=120,"Medium Calls","High Calls"))</f>
        <v>#REF!</v>
      </c>
      <c r="AA3014" t="e">
        <f>IF(#REF!&lt;=15,"Low Charges",
IF(#REF!&lt;=20,"Medium Charges","High Charges"))</f>
        <v>#REF!</v>
      </c>
      <c r="AB3014" t="e">
        <f>IF(AND(#REF!&gt;180, #REF!&gt;200), "Heavy Doemstic User", IF(#REF!&gt;10, "Interntional User", IF(AND(#REF!&lt;180, #REF!&lt;200,#REF!&lt;200), "Light User", "Balanced User")))</f>
        <v>#REF!</v>
      </c>
      <c r="AC3014" t="e">
        <f>IF(#REF! = 0, "No Usage", IF(#REF! &lt;= 20, "Low Usage", IF(#REF! &lt;= 40, "Medium Usgae", "High Usage")))</f>
        <v>#REF!</v>
      </c>
      <c r="AD3014" t="e">
        <f>IF(#REF!&lt;=150,"Low Usage", IF(#REF!&lt;=200,"Medium Usage", IF(#REF!&lt;=250,"High Usage","Very High Usage")))</f>
        <v>#REF!</v>
      </c>
      <c r="AE3014" t="e">
        <f>IF(#REF!&lt;=5,"Low Calls", IF(#REF!&lt;=10, "Medium Calls", "High Calls"))</f>
        <v>#REF!</v>
      </c>
      <c r="AF3014" t="e">
        <f xml:space="preserve">
IF(#REF!&gt;=4,4,0)+
IF(#REF!="yes",3,0)+
IF(#REF!="High Charges",3,0)+
IF(#REF!&gt;250,4,0)+
IF(#REF!="no",1,0)+
IF(#REF!="Heavy Domestic User",2,0)</f>
        <v>#REF!</v>
      </c>
      <c r="AG3014" t="e">
        <f>IF(#REF!&gt;=10,"High Risk", IF(#REF!&gt;=5,"Medium Risk","Low Risk"))</f>
        <v>#REF!</v>
      </c>
      <c r="AH3014" t="e">
        <f>#REF! + #REF! + #REF! + #REF!</f>
        <v>#REF!</v>
      </c>
    </row>
    <row r="3015" spans="1:34" x14ac:dyDescent="0.35">
      <c r="A3015">
        <v>3014</v>
      </c>
      <c r="B3015" t="s">
        <v>53</v>
      </c>
      <c r="C3015">
        <v>82</v>
      </c>
      <c r="D3015" t="s">
        <v>21</v>
      </c>
      <c r="E3015" t="s">
        <v>22</v>
      </c>
      <c r="F3015" t="s">
        <v>22</v>
      </c>
      <c r="G3015">
        <v>0</v>
      </c>
      <c r="H3015">
        <v>164.1</v>
      </c>
      <c r="I3015">
        <v>84</v>
      </c>
      <c r="J3015">
        <v>27.9</v>
      </c>
      <c r="K3015">
        <v>317.7</v>
      </c>
      <c r="L3015">
        <v>109</v>
      </c>
      <c r="M3015">
        <v>27</v>
      </c>
      <c r="N3015">
        <v>241.5</v>
      </c>
      <c r="O3015">
        <v>87</v>
      </c>
      <c r="P3015">
        <v>10.87</v>
      </c>
      <c r="Q3015">
        <v>13.3</v>
      </c>
      <c r="R3015">
        <v>4</v>
      </c>
      <c r="S3015">
        <v>3.59</v>
      </c>
      <c r="T3015">
        <v>1</v>
      </c>
      <c r="U3015" t="s">
        <v>22</v>
      </c>
      <c r="V3015" t="e">
        <f>IF(#REF! = "yes", 1, 0)</f>
        <v>#REF!</v>
      </c>
      <c r="W3015" t="e">
        <f>IF(#REF! &lt;= 1, "0-1 Calls", IF(#REF! &lt;= 3, "2-3 Calls", IF(#REF! &lt;=5, "4-5 Calls", "6+ Calls")))</f>
        <v>#REF!</v>
      </c>
      <c r="X3015" t="e">
        <f>IF(#REF! &lt;= 50, "0-50", IF(#REF! &lt;=100, "51-100", IF(#REF! &lt;= 150, "101-150", "151+")))</f>
        <v>#REF!</v>
      </c>
      <c r="Y3015" t="e">
        <f>IF(#REF! &lt;= 3, "Low Charges", "High Charges")</f>
        <v>#REF!</v>
      </c>
      <c r="Z3015" t="e">
        <f>IF(#REF!&lt;=80,"Low Calls",
IF(#REF!&lt;=120,"Medium Calls","High Calls"))</f>
        <v>#REF!</v>
      </c>
      <c r="AA3015" t="e">
        <f>IF(#REF!&lt;=15,"Low Charges",
IF(#REF!&lt;=20,"Medium Charges","High Charges"))</f>
        <v>#REF!</v>
      </c>
      <c r="AB3015" t="e">
        <f>IF(AND(#REF!&gt;180, #REF!&gt;200), "Heavy Doemstic User", IF(#REF!&gt;10, "Interntional User", IF(AND(#REF!&lt;180, #REF!&lt;200,#REF!&lt;200), "Light User", "Balanced User")))</f>
        <v>#REF!</v>
      </c>
      <c r="AC3015" t="e">
        <f>IF(#REF! = 0, "No Usage", IF(#REF! &lt;= 20, "Low Usage", IF(#REF! &lt;= 40, "Medium Usgae", "High Usage")))</f>
        <v>#REF!</v>
      </c>
      <c r="AD3015" t="e">
        <f>IF(#REF!&lt;=150,"Low Usage", IF(#REF!&lt;=200,"Medium Usage", IF(#REF!&lt;=250,"High Usage","Very High Usage")))</f>
        <v>#REF!</v>
      </c>
      <c r="AE3015" t="e">
        <f>IF(#REF!&lt;=5,"Low Calls", IF(#REF!&lt;=10, "Medium Calls", "High Calls"))</f>
        <v>#REF!</v>
      </c>
      <c r="AF3015" t="e">
        <f xml:space="preserve">
IF(#REF!&gt;=4,4,0)+
IF(#REF!="yes",3,0)+
IF(#REF!="High Charges",3,0)+
IF(#REF!&gt;250,4,0)+
IF(#REF!="no",1,0)+
IF(#REF!="Heavy Domestic User",2,0)</f>
        <v>#REF!</v>
      </c>
      <c r="AG3015" t="e">
        <f>IF(#REF!&gt;=10,"High Risk", IF(#REF!&gt;=5,"Medium Risk","Low Risk"))</f>
        <v>#REF!</v>
      </c>
      <c r="AH3015" t="e">
        <f>#REF! + #REF! + #REF! + #REF!</f>
        <v>#REF!</v>
      </c>
    </row>
    <row r="3016" spans="1:34" x14ac:dyDescent="0.35">
      <c r="A3016">
        <v>3015</v>
      </c>
      <c r="B3016" t="s">
        <v>33</v>
      </c>
      <c r="C3016">
        <v>127</v>
      </c>
      <c r="D3016" t="s">
        <v>28</v>
      </c>
      <c r="E3016" t="s">
        <v>22</v>
      </c>
      <c r="F3016" t="s">
        <v>22</v>
      </c>
      <c r="G3016">
        <v>0</v>
      </c>
      <c r="H3016">
        <v>211.1</v>
      </c>
      <c r="I3016">
        <v>62</v>
      </c>
      <c r="J3016">
        <v>35.89</v>
      </c>
      <c r="K3016">
        <v>235.2</v>
      </c>
      <c r="L3016">
        <v>143</v>
      </c>
      <c r="M3016">
        <v>19.989999999999998</v>
      </c>
      <c r="N3016">
        <v>227.5</v>
      </c>
      <c r="O3016">
        <v>66</v>
      </c>
      <c r="P3016">
        <v>10.24</v>
      </c>
      <c r="Q3016">
        <v>15.6</v>
      </c>
      <c r="R3016">
        <v>3</v>
      </c>
      <c r="S3016">
        <v>4.21</v>
      </c>
      <c r="T3016">
        <v>2</v>
      </c>
      <c r="U3016" t="s">
        <v>22</v>
      </c>
      <c r="V3016" t="e">
        <f>IF(#REF! = "yes", 1, 0)</f>
        <v>#REF!</v>
      </c>
      <c r="W3016" t="e">
        <f>IF(#REF! &lt;= 1, "0-1 Calls", IF(#REF! &lt;= 3, "2-3 Calls", IF(#REF! &lt;=5, "4-5 Calls", "6+ Calls")))</f>
        <v>#REF!</v>
      </c>
      <c r="X3016" t="e">
        <f>IF(#REF! &lt;= 50, "0-50", IF(#REF! &lt;=100, "51-100", IF(#REF! &lt;= 150, "101-150", "151+")))</f>
        <v>#REF!</v>
      </c>
      <c r="Y3016" t="e">
        <f>IF(#REF! &lt;= 3, "Low Charges", "High Charges")</f>
        <v>#REF!</v>
      </c>
      <c r="Z3016" t="e">
        <f>IF(#REF!&lt;=80,"Low Calls",
IF(#REF!&lt;=120,"Medium Calls","High Calls"))</f>
        <v>#REF!</v>
      </c>
      <c r="AA3016" t="e">
        <f>IF(#REF!&lt;=15,"Low Charges",
IF(#REF!&lt;=20,"Medium Charges","High Charges"))</f>
        <v>#REF!</v>
      </c>
      <c r="AB3016" t="e">
        <f>IF(AND(#REF!&gt;180, #REF!&gt;200), "Heavy Doemstic User", IF(#REF!&gt;10, "Interntional User", IF(AND(#REF!&lt;180, #REF!&lt;200,#REF!&lt;200), "Light User", "Balanced User")))</f>
        <v>#REF!</v>
      </c>
      <c r="AC3016" t="e">
        <f>IF(#REF! = 0, "No Usage", IF(#REF! &lt;= 20, "Low Usage", IF(#REF! &lt;= 40, "Medium Usgae", "High Usage")))</f>
        <v>#REF!</v>
      </c>
      <c r="AD3016" t="e">
        <f>IF(#REF!&lt;=150,"Low Usage", IF(#REF!&lt;=200,"Medium Usage", IF(#REF!&lt;=250,"High Usage","Very High Usage")))</f>
        <v>#REF!</v>
      </c>
      <c r="AE3016" t="e">
        <f>IF(#REF!&lt;=5,"Low Calls", IF(#REF!&lt;=10, "Medium Calls", "High Calls"))</f>
        <v>#REF!</v>
      </c>
      <c r="AF3016" t="e">
        <f xml:space="preserve">
IF(#REF!&gt;=4,4,0)+
IF(#REF!="yes",3,0)+
IF(#REF!="High Charges",3,0)+
IF(#REF!&gt;250,4,0)+
IF(#REF!="no",1,0)+
IF(#REF!="Heavy Domestic User",2,0)</f>
        <v>#REF!</v>
      </c>
      <c r="AG3016" t="e">
        <f>IF(#REF!&gt;=10,"High Risk", IF(#REF!&gt;=5,"Medium Risk","Low Risk"))</f>
        <v>#REF!</v>
      </c>
      <c r="AH3016" t="e">
        <f>#REF! + #REF! + #REF! + #REF!</f>
        <v>#REF!</v>
      </c>
    </row>
    <row r="3017" spans="1:34" x14ac:dyDescent="0.35">
      <c r="A3017">
        <v>3016</v>
      </c>
      <c r="B3017" t="s">
        <v>36</v>
      </c>
      <c r="C3017">
        <v>108</v>
      </c>
      <c r="D3017" t="s">
        <v>21</v>
      </c>
      <c r="E3017" t="s">
        <v>22</v>
      </c>
      <c r="F3017" t="s">
        <v>23</v>
      </c>
      <c r="G3017">
        <v>19</v>
      </c>
      <c r="H3017">
        <v>312.39999999999998</v>
      </c>
      <c r="I3017">
        <v>98</v>
      </c>
      <c r="J3017">
        <v>53.11</v>
      </c>
      <c r="K3017">
        <v>271.39999999999998</v>
      </c>
      <c r="L3017">
        <v>122</v>
      </c>
      <c r="M3017">
        <v>23.07</v>
      </c>
      <c r="N3017">
        <v>162.6</v>
      </c>
      <c r="O3017">
        <v>91</v>
      </c>
      <c r="P3017">
        <v>7.32</v>
      </c>
      <c r="Q3017">
        <v>10.1</v>
      </c>
      <c r="R3017">
        <v>6</v>
      </c>
      <c r="S3017">
        <v>2.73</v>
      </c>
      <c r="T3017">
        <v>0</v>
      </c>
      <c r="U3017" t="s">
        <v>22</v>
      </c>
      <c r="V3017" t="e">
        <f>IF(#REF! = "yes", 1, 0)</f>
        <v>#REF!</v>
      </c>
      <c r="W3017" t="e">
        <f>IF(#REF! &lt;= 1, "0-1 Calls", IF(#REF! &lt;= 3, "2-3 Calls", IF(#REF! &lt;=5, "4-5 Calls", "6+ Calls")))</f>
        <v>#REF!</v>
      </c>
      <c r="X3017" t="e">
        <f>IF(#REF! &lt;= 50, "0-50", IF(#REF! &lt;=100, "51-100", IF(#REF! &lt;= 150, "101-150", "151+")))</f>
        <v>#REF!</v>
      </c>
      <c r="Y3017" t="e">
        <f>IF(#REF! &lt;= 3, "Low Charges", "High Charges")</f>
        <v>#REF!</v>
      </c>
      <c r="Z3017" t="e">
        <f>IF(#REF!&lt;=80,"Low Calls",
IF(#REF!&lt;=120,"Medium Calls","High Calls"))</f>
        <v>#REF!</v>
      </c>
      <c r="AA3017" t="e">
        <f>IF(#REF!&lt;=15,"Low Charges",
IF(#REF!&lt;=20,"Medium Charges","High Charges"))</f>
        <v>#REF!</v>
      </c>
      <c r="AB3017" t="e">
        <f>IF(AND(#REF!&gt;180, #REF!&gt;200), "Heavy Doemstic User", IF(#REF!&gt;10, "Interntional User", IF(AND(#REF!&lt;180, #REF!&lt;200,#REF!&lt;200), "Light User", "Balanced User")))</f>
        <v>#REF!</v>
      </c>
      <c r="AC3017" t="e">
        <f>IF(#REF! = 0, "No Usage", IF(#REF! &lt;= 20, "Low Usage", IF(#REF! &lt;= 40, "Medium Usgae", "High Usage")))</f>
        <v>#REF!</v>
      </c>
      <c r="AD3017" t="e">
        <f>IF(#REF!&lt;=150,"Low Usage", IF(#REF!&lt;=200,"Medium Usage", IF(#REF!&lt;=250,"High Usage","Very High Usage")))</f>
        <v>#REF!</v>
      </c>
      <c r="AE3017" t="e">
        <f>IF(#REF!&lt;=5,"Low Calls", IF(#REF!&lt;=10, "Medium Calls", "High Calls"))</f>
        <v>#REF!</v>
      </c>
      <c r="AF3017" t="e">
        <f xml:space="preserve">
IF(#REF!&gt;=4,4,0)+
IF(#REF!="yes",3,0)+
IF(#REF!="High Charges",3,0)+
IF(#REF!&gt;250,4,0)+
IF(#REF!="no",1,0)+
IF(#REF!="Heavy Domestic User",2,0)</f>
        <v>#REF!</v>
      </c>
      <c r="AG3017" t="e">
        <f>IF(#REF!&gt;=10,"High Risk", IF(#REF!&gt;=5,"Medium Risk","Low Risk"))</f>
        <v>#REF!</v>
      </c>
      <c r="AH3017" t="e">
        <f>#REF! + #REF! + #REF! + #REF!</f>
        <v>#REF!</v>
      </c>
    </row>
    <row r="3018" spans="1:34" x14ac:dyDescent="0.35">
      <c r="A3018">
        <v>3017</v>
      </c>
      <c r="B3018" t="s">
        <v>57</v>
      </c>
      <c r="C3018">
        <v>106</v>
      </c>
      <c r="D3018" t="s">
        <v>25</v>
      </c>
      <c r="E3018" t="s">
        <v>22</v>
      </c>
      <c r="F3018" t="s">
        <v>23</v>
      </c>
      <c r="G3018">
        <v>27</v>
      </c>
      <c r="H3018">
        <v>223.3</v>
      </c>
      <c r="I3018">
        <v>97</v>
      </c>
      <c r="J3018">
        <v>37.96</v>
      </c>
      <c r="K3018">
        <v>212.5</v>
      </c>
      <c r="L3018">
        <v>131</v>
      </c>
      <c r="M3018">
        <v>18.059999999999999</v>
      </c>
      <c r="N3018">
        <v>154.6</v>
      </c>
      <c r="O3018">
        <v>149</v>
      </c>
      <c r="P3018">
        <v>6.96</v>
      </c>
      <c r="Q3018">
        <v>11.6</v>
      </c>
      <c r="R3018">
        <v>2</v>
      </c>
      <c r="S3018">
        <v>3.13</v>
      </c>
      <c r="T3018">
        <v>1</v>
      </c>
      <c r="U3018" t="s">
        <v>22</v>
      </c>
      <c r="V3018" t="e">
        <f>IF(#REF! = "yes", 1, 0)</f>
        <v>#REF!</v>
      </c>
      <c r="W3018" t="e">
        <f>IF(#REF! &lt;= 1, "0-1 Calls", IF(#REF! &lt;= 3, "2-3 Calls", IF(#REF! &lt;=5, "4-5 Calls", "6+ Calls")))</f>
        <v>#REF!</v>
      </c>
      <c r="X3018" t="e">
        <f>IF(#REF! &lt;= 50, "0-50", IF(#REF! &lt;=100, "51-100", IF(#REF! &lt;= 150, "101-150", "151+")))</f>
        <v>#REF!</v>
      </c>
      <c r="Y3018" t="e">
        <f>IF(#REF! &lt;= 3, "Low Charges", "High Charges")</f>
        <v>#REF!</v>
      </c>
      <c r="Z3018" t="e">
        <f>IF(#REF!&lt;=80,"Low Calls",
IF(#REF!&lt;=120,"Medium Calls","High Calls"))</f>
        <v>#REF!</v>
      </c>
      <c r="AA3018" t="e">
        <f>IF(#REF!&lt;=15,"Low Charges",
IF(#REF!&lt;=20,"Medium Charges","High Charges"))</f>
        <v>#REF!</v>
      </c>
      <c r="AB3018" t="e">
        <f>IF(AND(#REF!&gt;180, #REF!&gt;200), "Heavy Doemstic User", IF(#REF!&gt;10, "Interntional User", IF(AND(#REF!&lt;180, #REF!&lt;200,#REF!&lt;200), "Light User", "Balanced User")))</f>
        <v>#REF!</v>
      </c>
      <c r="AC3018" t="e">
        <f>IF(#REF! = 0, "No Usage", IF(#REF! &lt;= 20, "Low Usage", IF(#REF! &lt;= 40, "Medium Usgae", "High Usage")))</f>
        <v>#REF!</v>
      </c>
      <c r="AD3018" t="e">
        <f>IF(#REF!&lt;=150,"Low Usage", IF(#REF!&lt;=200,"Medium Usage", IF(#REF!&lt;=250,"High Usage","Very High Usage")))</f>
        <v>#REF!</v>
      </c>
      <c r="AE3018" t="e">
        <f>IF(#REF!&lt;=5,"Low Calls", IF(#REF!&lt;=10, "Medium Calls", "High Calls"))</f>
        <v>#REF!</v>
      </c>
      <c r="AF3018" t="e">
        <f xml:space="preserve">
IF(#REF!&gt;=4,4,0)+
IF(#REF!="yes",3,0)+
IF(#REF!="High Charges",3,0)+
IF(#REF!&gt;250,4,0)+
IF(#REF!="no",1,0)+
IF(#REF!="Heavy Domestic User",2,0)</f>
        <v>#REF!</v>
      </c>
      <c r="AG3018" t="e">
        <f>IF(#REF!&gt;=10,"High Risk", IF(#REF!&gt;=5,"Medium Risk","Low Risk"))</f>
        <v>#REF!</v>
      </c>
      <c r="AH3018" t="e">
        <f>#REF! + #REF! + #REF! + #REF!</f>
        <v>#REF!</v>
      </c>
    </row>
    <row r="3019" spans="1:34" x14ac:dyDescent="0.35">
      <c r="A3019">
        <v>3018</v>
      </c>
      <c r="B3019" t="s">
        <v>62</v>
      </c>
      <c r="C3019">
        <v>58</v>
      </c>
      <c r="D3019" t="s">
        <v>21</v>
      </c>
      <c r="E3019" t="s">
        <v>22</v>
      </c>
      <c r="F3019" t="s">
        <v>23</v>
      </c>
      <c r="G3019">
        <v>28</v>
      </c>
      <c r="H3019">
        <v>236.8</v>
      </c>
      <c r="I3019">
        <v>89</v>
      </c>
      <c r="J3019">
        <v>40.26</v>
      </c>
      <c r="K3019">
        <v>158.4</v>
      </c>
      <c r="L3019">
        <v>91</v>
      </c>
      <c r="M3019">
        <v>13.46</v>
      </c>
      <c r="N3019">
        <v>212.3</v>
      </c>
      <c r="O3019">
        <v>97</v>
      </c>
      <c r="P3019">
        <v>9.5500000000000007</v>
      </c>
      <c r="Q3019">
        <v>8</v>
      </c>
      <c r="R3019">
        <v>3</v>
      </c>
      <c r="S3019">
        <v>2.16</v>
      </c>
      <c r="T3019">
        <v>2</v>
      </c>
      <c r="U3019" t="s">
        <v>22</v>
      </c>
      <c r="V3019" t="e">
        <f>IF(#REF! = "yes", 1, 0)</f>
        <v>#REF!</v>
      </c>
      <c r="W3019" t="e">
        <f>IF(#REF! &lt;= 1, "0-1 Calls", IF(#REF! &lt;= 3, "2-3 Calls", IF(#REF! &lt;=5, "4-5 Calls", "6+ Calls")))</f>
        <v>#REF!</v>
      </c>
      <c r="X3019" t="e">
        <f>IF(#REF! &lt;= 50, "0-50", IF(#REF! &lt;=100, "51-100", IF(#REF! &lt;= 150, "101-150", "151+")))</f>
        <v>#REF!</v>
      </c>
      <c r="Y3019" t="e">
        <f>IF(#REF! &lt;= 3, "Low Charges", "High Charges")</f>
        <v>#REF!</v>
      </c>
      <c r="Z3019" t="e">
        <f>IF(#REF!&lt;=80,"Low Calls",
IF(#REF!&lt;=120,"Medium Calls","High Calls"))</f>
        <v>#REF!</v>
      </c>
      <c r="AA3019" t="e">
        <f>IF(#REF!&lt;=15,"Low Charges",
IF(#REF!&lt;=20,"Medium Charges","High Charges"))</f>
        <v>#REF!</v>
      </c>
      <c r="AB3019" t="e">
        <f>IF(AND(#REF!&gt;180, #REF!&gt;200), "Heavy Doemstic User", IF(#REF!&gt;10, "Interntional User", IF(AND(#REF!&lt;180, #REF!&lt;200,#REF!&lt;200), "Light User", "Balanced User")))</f>
        <v>#REF!</v>
      </c>
      <c r="AC3019" t="e">
        <f>IF(#REF! = 0, "No Usage", IF(#REF! &lt;= 20, "Low Usage", IF(#REF! &lt;= 40, "Medium Usgae", "High Usage")))</f>
        <v>#REF!</v>
      </c>
      <c r="AD3019" t="e">
        <f>IF(#REF!&lt;=150,"Low Usage", IF(#REF!&lt;=200,"Medium Usage", IF(#REF!&lt;=250,"High Usage","Very High Usage")))</f>
        <v>#REF!</v>
      </c>
      <c r="AE3019" t="e">
        <f>IF(#REF!&lt;=5,"Low Calls", IF(#REF!&lt;=10, "Medium Calls", "High Calls"))</f>
        <v>#REF!</v>
      </c>
      <c r="AF3019" t="e">
        <f xml:space="preserve">
IF(#REF!&gt;=4,4,0)+
IF(#REF!="yes",3,0)+
IF(#REF!="High Charges",3,0)+
IF(#REF!&gt;250,4,0)+
IF(#REF!="no",1,0)+
IF(#REF!="Heavy Domestic User",2,0)</f>
        <v>#REF!</v>
      </c>
      <c r="AG3019" t="e">
        <f>IF(#REF!&gt;=10,"High Risk", IF(#REF!&gt;=5,"Medium Risk","Low Risk"))</f>
        <v>#REF!</v>
      </c>
      <c r="AH3019" t="e">
        <f>#REF! + #REF! + #REF! + #REF!</f>
        <v>#REF!</v>
      </c>
    </row>
    <row r="3020" spans="1:34" x14ac:dyDescent="0.35">
      <c r="A3020">
        <v>3019</v>
      </c>
      <c r="B3020" t="s">
        <v>63</v>
      </c>
      <c r="C3020">
        <v>138</v>
      </c>
      <c r="D3020" t="s">
        <v>21</v>
      </c>
      <c r="E3020" t="s">
        <v>22</v>
      </c>
      <c r="F3020" t="s">
        <v>22</v>
      </c>
      <c r="G3020">
        <v>0</v>
      </c>
      <c r="H3020">
        <v>149.69999999999999</v>
      </c>
      <c r="I3020">
        <v>99</v>
      </c>
      <c r="J3020">
        <v>25.45</v>
      </c>
      <c r="K3020">
        <v>160</v>
      </c>
      <c r="L3020">
        <v>97</v>
      </c>
      <c r="M3020">
        <v>13.6</v>
      </c>
      <c r="N3020">
        <v>256.5</v>
      </c>
      <c r="O3020">
        <v>161</v>
      </c>
      <c r="P3020">
        <v>11.54</v>
      </c>
      <c r="Q3020">
        <v>9.5</v>
      </c>
      <c r="R3020">
        <v>5</v>
      </c>
      <c r="S3020">
        <v>2.57</v>
      </c>
      <c r="T3020">
        <v>1</v>
      </c>
      <c r="U3020" t="s">
        <v>22</v>
      </c>
      <c r="V3020" t="e">
        <f>IF(#REF! = "yes", 1, 0)</f>
        <v>#REF!</v>
      </c>
      <c r="W3020" t="e">
        <f>IF(#REF! &lt;= 1, "0-1 Calls", IF(#REF! &lt;= 3, "2-3 Calls", IF(#REF! &lt;=5, "4-5 Calls", "6+ Calls")))</f>
        <v>#REF!</v>
      </c>
      <c r="X3020" t="e">
        <f>IF(#REF! &lt;= 50, "0-50", IF(#REF! &lt;=100, "51-100", IF(#REF! &lt;= 150, "101-150", "151+")))</f>
        <v>#REF!</v>
      </c>
      <c r="Y3020" t="e">
        <f>IF(#REF! &lt;= 3, "Low Charges", "High Charges")</f>
        <v>#REF!</v>
      </c>
      <c r="Z3020" t="e">
        <f>IF(#REF!&lt;=80,"Low Calls",
IF(#REF!&lt;=120,"Medium Calls","High Calls"))</f>
        <v>#REF!</v>
      </c>
      <c r="AA3020" t="e">
        <f>IF(#REF!&lt;=15,"Low Charges",
IF(#REF!&lt;=20,"Medium Charges","High Charges"))</f>
        <v>#REF!</v>
      </c>
      <c r="AB3020" t="e">
        <f>IF(AND(#REF!&gt;180, #REF!&gt;200), "Heavy Doemstic User", IF(#REF!&gt;10, "Interntional User", IF(AND(#REF!&lt;180, #REF!&lt;200,#REF!&lt;200), "Light User", "Balanced User")))</f>
        <v>#REF!</v>
      </c>
      <c r="AC3020" t="e">
        <f>IF(#REF! = 0, "No Usage", IF(#REF! &lt;= 20, "Low Usage", IF(#REF! &lt;= 40, "Medium Usgae", "High Usage")))</f>
        <v>#REF!</v>
      </c>
      <c r="AD3020" t="e">
        <f>IF(#REF!&lt;=150,"Low Usage", IF(#REF!&lt;=200,"Medium Usage", IF(#REF!&lt;=250,"High Usage","Very High Usage")))</f>
        <v>#REF!</v>
      </c>
      <c r="AE3020" t="e">
        <f>IF(#REF!&lt;=5,"Low Calls", IF(#REF!&lt;=10, "Medium Calls", "High Calls"))</f>
        <v>#REF!</v>
      </c>
      <c r="AF3020" t="e">
        <f xml:space="preserve">
IF(#REF!&gt;=4,4,0)+
IF(#REF!="yes",3,0)+
IF(#REF!="High Charges",3,0)+
IF(#REF!&gt;250,4,0)+
IF(#REF!="no",1,0)+
IF(#REF!="Heavy Domestic User",2,0)</f>
        <v>#REF!</v>
      </c>
      <c r="AG3020" t="e">
        <f>IF(#REF!&gt;=10,"High Risk", IF(#REF!&gt;=5,"Medium Risk","Low Risk"))</f>
        <v>#REF!</v>
      </c>
      <c r="AH3020" t="e">
        <f>#REF! + #REF! + #REF! + #REF!</f>
        <v>#REF!</v>
      </c>
    </row>
    <row r="3021" spans="1:34" x14ac:dyDescent="0.35">
      <c r="A3021">
        <v>3020</v>
      </c>
      <c r="B3021" t="s">
        <v>50</v>
      </c>
      <c r="C3021">
        <v>81</v>
      </c>
      <c r="D3021" t="s">
        <v>21</v>
      </c>
      <c r="E3021" t="s">
        <v>22</v>
      </c>
      <c r="F3021" t="s">
        <v>23</v>
      </c>
      <c r="G3021">
        <v>17</v>
      </c>
      <c r="H3021">
        <v>268.10000000000002</v>
      </c>
      <c r="I3021">
        <v>94</v>
      </c>
      <c r="J3021">
        <v>45.58</v>
      </c>
      <c r="K3021">
        <v>156.1</v>
      </c>
      <c r="L3021">
        <v>124</v>
      </c>
      <c r="M3021">
        <v>13.27</v>
      </c>
      <c r="N3021">
        <v>160.4</v>
      </c>
      <c r="O3021">
        <v>90</v>
      </c>
      <c r="P3021">
        <v>7.22</v>
      </c>
      <c r="Q3021">
        <v>13.6</v>
      </c>
      <c r="R3021">
        <v>5</v>
      </c>
      <c r="S3021">
        <v>3.67</v>
      </c>
      <c r="T3021">
        <v>2</v>
      </c>
      <c r="U3021" t="s">
        <v>22</v>
      </c>
      <c r="V3021" t="e">
        <f>IF(#REF! = "yes", 1, 0)</f>
        <v>#REF!</v>
      </c>
      <c r="W3021" t="e">
        <f>IF(#REF! &lt;= 1, "0-1 Calls", IF(#REF! &lt;= 3, "2-3 Calls", IF(#REF! &lt;=5, "4-5 Calls", "6+ Calls")))</f>
        <v>#REF!</v>
      </c>
      <c r="X3021" t="e">
        <f>IF(#REF! &lt;= 50, "0-50", IF(#REF! &lt;=100, "51-100", IF(#REF! &lt;= 150, "101-150", "151+")))</f>
        <v>#REF!</v>
      </c>
      <c r="Y3021" t="e">
        <f>IF(#REF! &lt;= 3, "Low Charges", "High Charges")</f>
        <v>#REF!</v>
      </c>
      <c r="Z3021" t="e">
        <f>IF(#REF!&lt;=80,"Low Calls",
IF(#REF!&lt;=120,"Medium Calls","High Calls"))</f>
        <v>#REF!</v>
      </c>
      <c r="AA3021" t="e">
        <f>IF(#REF!&lt;=15,"Low Charges",
IF(#REF!&lt;=20,"Medium Charges","High Charges"))</f>
        <v>#REF!</v>
      </c>
      <c r="AB3021" t="e">
        <f>IF(AND(#REF!&gt;180, #REF!&gt;200), "Heavy Doemstic User", IF(#REF!&gt;10, "Interntional User", IF(AND(#REF!&lt;180, #REF!&lt;200,#REF!&lt;200), "Light User", "Balanced User")))</f>
        <v>#REF!</v>
      </c>
      <c r="AC3021" t="e">
        <f>IF(#REF! = 0, "No Usage", IF(#REF! &lt;= 20, "Low Usage", IF(#REF! &lt;= 40, "Medium Usgae", "High Usage")))</f>
        <v>#REF!</v>
      </c>
      <c r="AD3021" t="e">
        <f>IF(#REF!&lt;=150,"Low Usage", IF(#REF!&lt;=200,"Medium Usage", IF(#REF!&lt;=250,"High Usage","Very High Usage")))</f>
        <v>#REF!</v>
      </c>
      <c r="AE3021" t="e">
        <f>IF(#REF!&lt;=5,"Low Calls", IF(#REF!&lt;=10, "Medium Calls", "High Calls"))</f>
        <v>#REF!</v>
      </c>
      <c r="AF3021" t="e">
        <f xml:space="preserve">
IF(#REF!&gt;=4,4,0)+
IF(#REF!="yes",3,0)+
IF(#REF!="High Charges",3,0)+
IF(#REF!&gt;250,4,0)+
IF(#REF!="no",1,0)+
IF(#REF!="Heavy Domestic User",2,0)</f>
        <v>#REF!</v>
      </c>
      <c r="AG3021" t="e">
        <f>IF(#REF!&gt;=10,"High Risk", IF(#REF!&gt;=5,"Medium Risk","Low Risk"))</f>
        <v>#REF!</v>
      </c>
      <c r="AH3021" t="e">
        <f>#REF! + #REF! + #REF! + #REF!</f>
        <v>#REF!</v>
      </c>
    </row>
    <row r="3022" spans="1:34" x14ac:dyDescent="0.35">
      <c r="A3022">
        <v>3021</v>
      </c>
      <c r="B3022" t="s">
        <v>41</v>
      </c>
      <c r="C3022">
        <v>36</v>
      </c>
      <c r="D3022" t="s">
        <v>21</v>
      </c>
      <c r="E3022" t="s">
        <v>23</v>
      </c>
      <c r="F3022" t="s">
        <v>22</v>
      </c>
      <c r="G3022">
        <v>0</v>
      </c>
      <c r="H3022">
        <v>245</v>
      </c>
      <c r="I3022">
        <v>119</v>
      </c>
      <c r="J3022">
        <v>41.65</v>
      </c>
      <c r="K3022">
        <v>195.5</v>
      </c>
      <c r="L3022">
        <v>91</v>
      </c>
      <c r="M3022">
        <v>16.62</v>
      </c>
      <c r="N3022">
        <v>165.7</v>
      </c>
      <c r="O3022">
        <v>87</v>
      </c>
      <c r="P3022">
        <v>7.46</v>
      </c>
      <c r="Q3022">
        <v>7.8</v>
      </c>
      <c r="R3022">
        <v>7</v>
      </c>
      <c r="S3022">
        <v>2.11</v>
      </c>
      <c r="T3022">
        <v>1</v>
      </c>
      <c r="U3022" t="s">
        <v>22</v>
      </c>
      <c r="V3022" t="e">
        <f>IF(#REF! = "yes", 1, 0)</f>
        <v>#REF!</v>
      </c>
      <c r="W3022" t="e">
        <f>IF(#REF! &lt;= 1, "0-1 Calls", IF(#REF! &lt;= 3, "2-3 Calls", IF(#REF! &lt;=5, "4-5 Calls", "6+ Calls")))</f>
        <v>#REF!</v>
      </c>
      <c r="X3022" t="e">
        <f>IF(#REF! &lt;= 50, "0-50", IF(#REF! &lt;=100, "51-100", IF(#REF! &lt;= 150, "101-150", "151+")))</f>
        <v>#REF!</v>
      </c>
      <c r="Y3022" t="e">
        <f>IF(#REF! &lt;= 3, "Low Charges", "High Charges")</f>
        <v>#REF!</v>
      </c>
      <c r="Z3022" t="e">
        <f>IF(#REF!&lt;=80,"Low Calls",
IF(#REF!&lt;=120,"Medium Calls","High Calls"))</f>
        <v>#REF!</v>
      </c>
      <c r="AA3022" t="e">
        <f>IF(#REF!&lt;=15,"Low Charges",
IF(#REF!&lt;=20,"Medium Charges","High Charges"))</f>
        <v>#REF!</v>
      </c>
      <c r="AB3022" t="e">
        <f>IF(AND(#REF!&gt;180, #REF!&gt;200), "Heavy Doemstic User", IF(#REF!&gt;10, "Interntional User", IF(AND(#REF!&lt;180, #REF!&lt;200,#REF!&lt;200), "Light User", "Balanced User")))</f>
        <v>#REF!</v>
      </c>
      <c r="AC3022" t="e">
        <f>IF(#REF! = 0, "No Usage", IF(#REF! &lt;= 20, "Low Usage", IF(#REF! &lt;= 40, "Medium Usgae", "High Usage")))</f>
        <v>#REF!</v>
      </c>
      <c r="AD3022" t="e">
        <f>IF(#REF!&lt;=150,"Low Usage", IF(#REF!&lt;=200,"Medium Usage", IF(#REF!&lt;=250,"High Usage","Very High Usage")))</f>
        <v>#REF!</v>
      </c>
      <c r="AE3022" t="e">
        <f>IF(#REF!&lt;=5,"Low Calls", IF(#REF!&lt;=10, "Medium Calls", "High Calls"))</f>
        <v>#REF!</v>
      </c>
      <c r="AF3022" t="e">
        <f xml:space="preserve">
IF(#REF!&gt;=4,4,0)+
IF(#REF!="yes",3,0)+
IF(#REF!="High Charges",3,0)+
IF(#REF!&gt;250,4,0)+
IF(#REF!="no",1,0)+
IF(#REF!="Heavy Domestic User",2,0)</f>
        <v>#REF!</v>
      </c>
      <c r="AG3022" t="e">
        <f>IF(#REF!&gt;=10,"High Risk", IF(#REF!&gt;=5,"Medium Risk","Low Risk"))</f>
        <v>#REF!</v>
      </c>
      <c r="AH3022" t="e">
        <f>#REF! + #REF! + #REF! + #REF!</f>
        <v>#REF!</v>
      </c>
    </row>
    <row r="3023" spans="1:34" x14ac:dyDescent="0.35">
      <c r="A3023">
        <v>3022</v>
      </c>
      <c r="B3023" t="s">
        <v>63</v>
      </c>
      <c r="C3023">
        <v>108</v>
      </c>
      <c r="D3023" t="s">
        <v>28</v>
      </c>
      <c r="E3023" t="s">
        <v>23</v>
      </c>
      <c r="F3023" t="s">
        <v>23</v>
      </c>
      <c r="G3023">
        <v>36</v>
      </c>
      <c r="H3023">
        <v>153.80000000000001</v>
      </c>
      <c r="I3023">
        <v>105</v>
      </c>
      <c r="J3023">
        <v>26.15</v>
      </c>
      <c r="K3023">
        <v>246.2</v>
      </c>
      <c r="L3023">
        <v>62</v>
      </c>
      <c r="M3023">
        <v>20.93</v>
      </c>
      <c r="N3023">
        <v>150.9</v>
      </c>
      <c r="O3023">
        <v>125</v>
      </c>
      <c r="P3023">
        <v>6.79</v>
      </c>
      <c r="Q3023">
        <v>11.1</v>
      </c>
      <c r="R3023">
        <v>4</v>
      </c>
      <c r="S3023">
        <v>3</v>
      </c>
      <c r="T3023">
        <v>1</v>
      </c>
      <c r="U3023" t="s">
        <v>22</v>
      </c>
      <c r="V3023" t="e">
        <f>IF(#REF! = "yes", 1, 0)</f>
        <v>#REF!</v>
      </c>
      <c r="W3023" t="e">
        <f>IF(#REF! &lt;= 1, "0-1 Calls", IF(#REF! &lt;= 3, "2-3 Calls", IF(#REF! &lt;=5, "4-5 Calls", "6+ Calls")))</f>
        <v>#REF!</v>
      </c>
      <c r="X3023" t="e">
        <f>IF(#REF! &lt;= 50, "0-50", IF(#REF! &lt;=100, "51-100", IF(#REF! &lt;= 150, "101-150", "151+")))</f>
        <v>#REF!</v>
      </c>
      <c r="Y3023" t="e">
        <f>IF(#REF! &lt;= 3, "Low Charges", "High Charges")</f>
        <v>#REF!</v>
      </c>
      <c r="Z3023" t="e">
        <f>IF(#REF!&lt;=80,"Low Calls",
IF(#REF!&lt;=120,"Medium Calls","High Calls"))</f>
        <v>#REF!</v>
      </c>
      <c r="AA3023" t="e">
        <f>IF(#REF!&lt;=15,"Low Charges",
IF(#REF!&lt;=20,"Medium Charges","High Charges"))</f>
        <v>#REF!</v>
      </c>
      <c r="AB3023" t="e">
        <f>IF(AND(#REF!&gt;180, #REF!&gt;200), "Heavy Doemstic User", IF(#REF!&gt;10, "Interntional User", IF(AND(#REF!&lt;180, #REF!&lt;200,#REF!&lt;200), "Light User", "Balanced User")))</f>
        <v>#REF!</v>
      </c>
      <c r="AC3023" t="e">
        <f>IF(#REF! = 0, "No Usage", IF(#REF! &lt;= 20, "Low Usage", IF(#REF! &lt;= 40, "Medium Usgae", "High Usage")))</f>
        <v>#REF!</v>
      </c>
      <c r="AD3023" t="e">
        <f>IF(#REF!&lt;=150,"Low Usage", IF(#REF!&lt;=200,"Medium Usage", IF(#REF!&lt;=250,"High Usage","Very High Usage")))</f>
        <v>#REF!</v>
      </c>
      <c r="AE3023" t="e">
        <f>IF(#REF!&lt;=5,"Low Calls", IF(#REF!&lt;=10, "Medium Calls", "High Calls"))</f>
        <v>#REF!</v>
      </c>
      <c r="AF3023" t="e">
        <f xml:space="preserve">
IF(#REF!&gt;=4,4,0)+
IF(#REF!="yes",3,0)+
IF(#REF!="High Charges",3,0)+
IF(#REF!&gt;250,4,0)+
IF(#REF!="no",1,0)+
IF(#REF!="Heavy Domestic User",2,0)</f>
        <v>#REF!</v>
      </c>
      <c r="AG3023" t="e">
        <f>IF(#REF!&gt;=10,"High Risk", IF(#REF!&gt;=5,"Medium Risk","Low Risk"))</f>
        <v>#REF!</v>
      </c>
      <c r="AH3023" t="e">
        <f>#REF! + #REF! + #REF! + #REF!</f>
        <v>#REF!</v>
      </c>
    </row>
    <row r="3024" spans="1:34" x14ac:dyDescent="0.35">
      <c r="A3024">
        <v>3023</v>
      </c>
      <c r="B3024" t="s">
        <v>40</v>
      </c>
      <c r="C3024">
        <v>133</v>
      </c>
      <c r="D3024" t="s">
        <v>25</v>
      </c>
      <c r="E3024" t="s">
        <v>22</v>
      </c>
      <c r="F3024" t="s">
        <v>23</v>
      </c>
      <c r="G3024">
        <v>49</v>
      </c>
      <c r="H3024">
        <v>229.4</v>
      </c>
      <c r="I3024">
        <v>78</v>
      </c>
      <c r="J3024">
        <v>39</v>
      </c>
      <c r="K3024">
        <v>219.5</v>
      </c>
      <c r="L3024">
        <v>106</v>
      </c>
      <c r="M3024">
        <v>18.66</v>
      </c>
      <c r="N3024">
        <v>172.3</v>
      </c>
      <c r="O3024">
        <v>115</v>
      </c>
      <c r="P3024">
        <v>7.75</v>
      </c>
      <c r="Q3024">
        <v>12</v>
      </c>
      <c r="R3024">
        <v>4</v>
      </c>
      <c r="S3024">
        <v>3.24</v>
      </c>
      <c r="T3024">
        <v>3</v>
      </c>
      <c r="U3024" t="s">
        <v>22</v>
      </c>
      <c r="V3024" t="e">
        <f>IF(#REF! = "yes", 1, 0)</f>
        <v>#REF!</v>
      </c>
      <c r="W3024" t="e">
        <f>IF(#REF! &lt;= 1, "0-1 Calls", IF(#REF! &lt;= 3, "2-3 Calls", IF(#REF! &lt;=5, "4-5 Calls", "6+ Calls")))</f>
        <v>#REF!</v>
      </c>
      <c r="X3024" t="e">
        <f>IF(#REF! &lt;= 50, "0-50", IF(#REF! &lt;=100, "51-100", IF(#REF! &lt;= 150, "101-150", "151+")))</f>
        <v>#REF!</v>
      </c>
      <c r="Y3024" t="e">
        <f>IF(#REF! &lt;= 3, "Low Charges", "High Charges")</f>
        <v>#REF!</v>
      </c>
      <c r="Z3024" t="e">
        <f>IF(#REF!&lt;=80,"Low Calls",
IF(#REF!&lt;=120,"Medium Calls","High Calls"))</f>
        <v>#REF!</v>
      </c>
      <c r="AA3024" t="e">
        <f>IF(#REF!&lt;=15,"Low Charges",
IF(#REF!&lt;=20,"Medium Charges","High Charges"))</f>
        <v>#REF!</v>
      </c>
      <c r="AB3024" t="e">
        <f>IF(AND(#REF!&gt;180, #REF!&gt;200), "Heavy Doemstic User", IF(#REF!&gt;10, "Interntional User", IF(AND(#REF!&lt;180, #REF!&lt;200,#REF!&lt;200), "Light User", "Balanced User")))</f>
        <v>#REF!</v>
      </c>
      <c r="AC3024" t="e">
        <f>IF(#REF! = 0, "No Usage", IF(#REF! &lt;= 20, "Low Usage", IF(#REF! &lt;= 40, "Medium Usgae", "High Usage")))</f>
        <v>#REF!</v>
      </c>
      <c r="AD3024" t="e">
        <f>IF(#REF!&lt;=150,"Low Usage", IF(#REF!&lt;=200,"Medium Usage", IF(#REF!&lt;=250,"High Usage","Very High Usage")))</f>
        <v>#REF!</v>
      </c>
      <c r="AE3024" t="e">
        <f>IF(#REF!&lt;=5,"Low Calls", IF(#REF!&lt;=10, "Medium Calls", "High Calls"))</f>
        <v>#REF!</v>
      </c>
      <c r="AF3024" t="e">
        <f xml:space="preserve">
IF(#REF!&gt;=4,4,0)+
IF(#REF!="yes",3,0)+
IF(#REF!="High Charges",3,0)+
IF(#REF!&gt;250,4,0)+
IF(#REF!="no",1,0)+
IF(#REF!="Heavy Domestic User",2,0)</f>
        <v>#REF!</v>
      </c>
      <c r="AG3024" t="e">
        <f>IF(#REF!&gt;=10,"High Risk", IF(#REF!&gt;=5,"Medium Risk","Low Risk"))</f>
        <v>#REF!</v>
      </c>
      <c r="AH3024" t="e">
        <f>#REF! + #REF! + #REF! + #REF!</f>
        <v>#REF!</v>
      </c>
    </row>
    <row r="3025" spans="1:34" x14ac:dyDescent="0.35">
      <c r="A3025">
        <v>3024</v>
      </c>
      <c r="B3025" t="s">
        <v>48</v>
      </c>
      <c r="C3025">
        <v>90</v>
      </c>
      <c r="D3025" t="s">
        <v>21</v>
      </c>
      <c r="E3025" t="s">
        <v>22</v>
      </c>
      <c r="F3025" t="s">
        <v>22</v>
      </c>
      <c r="G3025">
        <v>0</v>
      </c>
      <c r="H3025">
        <v>68.8</v>
      </c>
      <c r="I3025">
        <v>124</v>
      </c>
      <c r="J3025">
        <v>11.7</v>
      </c>
      <c r="K3025">
        <v>168.1</v>
      </c>
      <c r="L3025">
        <v>106</v>
      </c>
      <c r="M3025">
        <v>14.29</v>
      </c>
      <c r="N3025">
        <v>281.7</v>
      </c>
      <c r="O3025">
        <v>96</v>
      </c>
      <c r="P3025">
        <v>12.68</v>
      </c>
      <c r="Q3025">
        <v>9.8000000000000007</v>
      </c>
      <c r="R3025">
        <v>5</v>
      </c>
      <c r="S3025">
        <v>2.65</v>
      </c>
      <c r="T3025">
        <v>1</v>
      </c>
      <c r="U3025" t="s">
        <v>22</v>
      </c>
      <c r="V3025" t="e">
        <f>IF(#REF! = "yes", 1, 0)</f>
        <v>#REF!</v>
      </c>
      <c r="W3025" t="e">
        <f>IF(#REF! &lt;= 1, "0-1 Calls", IF(#REF! &lt;= 3, "2-3 Calls", IF(#REF! &lt;=5, "4-5 Calls", "6+ Calls")))</f>
        <v>#REF!</v>
      </c>
      <c r="X3025" t="e">
        <f>IF(#REF! &lt;= 50, "0-50", IF(#REF! &lt;=100, "51-100", IF(#REF! &lt;= 150, "101-150", "151+")))</f>
        <v>#REF!</v>
      </c>
      <c r="Y3025" t="e">
        <f>IF(#REF! &lt;= 3, "Low Charges", "High Charges")</f>
        <v>#REF!</v>
      </c>
      <c r="Z3025" t="e">
        <f>IF(#REF!&lt;=80,"Low Calls",
IF(#REF!&lt;=120,"Medium Calls","High Calls"))</f>
        <v>#REF!</v>
      </c>
      <c r="AA3025" t="e">
        <f>IF(#REF!&lt;=15,"Low Charges",
IF(#REF!&lt;=20,"Medium Charges","High Charges"))</f>
        <v>#REF!</v>
      </c>
      <c r="AB3025" t="e">
        <f>IF(AND(#REF!&gt;180, #REF!&gt;200), "Heavy Doemstic User", IF(#REF!&gt;10, "Interntional User", IF(AND(#REF!&lt;180, #REF!&lt;200,#REF!&lt;200), "Light User", "Balanced User")))</f>
        <v>#REF!</v>
      </c>
      <c r="AC3025" t="e">
        <f>IF(#REF! = 0, "No Usage", IF(#REF! &lt;= 20, "Low Usage", IF(#REF! &lt;= 40, "Medium Usgae", "High Usage")))</f>
        <v>#REF!</v>
      </c>
      <c r="AD3025" t="e">
        <f>IF(#REF!&lt;=150,"Low Usage", IF(#REF!&lt;=200,"Medium Usage", IF(#REF!&lt;=250,"High Usage","Very High Usage")))</f>
        <v>#REF!</v>
      </c>
      <c r="AE3025" t="e">
        <f>IF(#REF!&lt;=5,"Low Calls", IF(#REF!&lt;=10, "Medium Calls", "High Calls"))</f>
        <v>#REF!</v>
      </c>
      <c r="AF3025" t="e">
        <f xml:space="preserve">
IF(#REF!&gt;=4,4,0)+
IF(#REF!="yes",3,0)+
IF(#REF!="High Charges",3,0)+
IF(#REF!&gt;250,4,0)+
IF(#REF!="no",1,0)+
IF(#REF!="Heavy Domestic User",2,0)</f>
        <v>#REF!</v>
      </c>
      <c r="AG3025" t="e">
        <f>IF(#REF!&gt;=10,"High Risk", IF(#REF!&gt;=5,"Medium Risk","Low Risk"))</f>
        <v>#REF!</v>
      </c>
      <c r="AH3025" t="e">
        <f>#REF! + #REF! + #REF! + #REF!</f>
        <v>#REF!</v>
      </c>
    </row>
    <row r="3026" spans="1:34" x14ac:dyDescent="0.35">
      <c r="A3026">
        <v>3025</v>
      </c>
      <c r="B3026" t="s">
        <v>74</v>
      </c>
      <c r="C3026">
        <v>94</v>
      </c>
      <c r="D3026" t="s">
        <v>21</v>
      </c>
      <c r="E3026" t="s">
        <v>22</v>
      </c>
      <c r="F3026" t="s">
        <v>22</v>
      </c>
      <c r="G3026">
        <v>0</v>
      </c>
      <c r="H3026">
        <v>200.2</v>
      </c>
      <c r="I3026">
        <v>113</v>
      </c>
      <c r="J3026">
        <v>34.03</v>
      </c>
      <c r="K3026">
        <v>128.9</v>
      </c>
      <c r="L3026">
        <v>116</v>
      </c>
      <c r="M3026">
        <v>10.96</v>
      </c>
      <c r="N3026">
        <v>278.89999999999998</v>
      </c>
      <c r="O3026">
        <v>109</v>
      </c>
      <c r="P3026">
        <v>12.55</v>
      </c>
      <c r="Q3026">
        <v>10.4</v>
      </c>
      <c r="R3026">
        <v>5</v>
      </c>
      <c r="S3026">
        <v>2.81</v>
      </c>
      <c r="T3026">
        <v>0</v>
      </c>
      <c r="U3026" t="s">
        <v>22</v>
      </c>
      <c r="V3026" t="e">
        <f>IF(#REF! = "yes", 1, 0)</f>
        <v>#REF!</v>
      </c>
      <c r="W3026" t="e">
        <f>IF(#REF! &lt;= 1, "0-1 Calls", IF(#REF! &lt;= 3, "2-3 Calls", IF(#REF! &lt;=5, "4-5 Calls", "6+ Calls")))</f>
        <v>#REF!</v>
      </c>
      <c r="X3026" t="e">
        <f>IF(#REF! &lt;= 50, "0-50", IF(#REF! &lt;=100, "51-100", IF(#REF! &lt;= 150, "101-150", "151+")))</f>
        <v>#REF!</v>
      </c>
      <c r="Y3026" t="e">
        <f>IF(#REF! &lt;= 3, "Low Charges", "High Charges")</f>
        <v>#REF!</v>
      </c>
      <c r="Z3026" t="e">
        <f>IF(#REF!&lt;=80,"Low Calls",
IF(#REF!&lt;=120,"Medium Calls","High Calls"))</f>
        <v>#REF!</v>
      </c>
      <c r="AA3026" t="e">
        <f>IF(#REF!&lt;=15,"Low Charges",
IF(#REF!&lt;=20,"Medium Charges","High Charges"))</f>
        <v>#REF!</v>
      </c>
      <c r="AB3026" t="e">
        <f>IF(AND(#REF!&gt;180, #REF!&gt;200), "Heavy Doemstic User", IF(#REF!&gt;10, "Interntional User", IF(AND(#REF!&lt;180, #REF!&lt;200,#REF!&lt;200), "Light User", "Balanced User")))</f>
        <v>#REF!</v>
      </c>
      <c r="AC3026" t="e">
        <f>IF(#REF! = 0, "No Usage", IF(#REF! &lt;= 20, "Low Usage", IF(#REF! &lt;= 40, "Medium Usgae", "High Usage")))</f>
        <v>#REF!</v>
      </c>
      <c r="AD3026" t="e">
        <f>IF(#REF!&lt;=150,"Low Usage", IF(#REF!&lt;=200,"Medium Usage", IF(#REF!&lt;=250,"High Usage","Very High Usage")))</f>
        <v>#REF!</v>
      </c>
      <c r="AE3026" t="e">
        <f>IF(#REF!&lt;=5,"Low Calls", IF(#REF!&lt;=10, "Medium Calls", "High Calls"))</f>
        <v>#REF!</v>
      </c>
      <c r="AF3026" t="e">
        <f xml:space="preserve">
IF(#REF!&gt;=4,4,0)+
IF(#REF!="yes",3,0)+
IF(#REF!="High Charges",3,0)+
IF(#REF!&gt;250,4,0)+
IF(#REF!="no",1,0)+
IF(#REF!="Heavy Domestic User",2,0)</f>
        <v>#REF!</v>
      </c>
      <c r="AG3026" t="e">
        <f>IF(#REF!&gt;=10,"High Risk", IF(#REF!&gt;=5,"Medium Risk","Low Risk"))</f>
        <v>#REF!</v>
      </c>
      <c r="AH3026" t="e">
        <f>#REF! + #REF! + #REF! + #REF!</f>
        <v>#REF!</v>
      </c>
    </row>
    <row r="3027" spans="1:34" x14ac:dyDescent="0.35">
      <c r="A3027">
        <v>3026</v>
      </c>
      <c r="B3027" t="s">
        <v>72</v>
      </c>
      <c r="C3027">
        <v>68</v>
      </c>
      <c r="D3027" t="s">
        <v>21</v>
      </c>
      <c r="E3027" t="s">
        <v>22</v>
      </c>
      <c r="F3027" t="s">
        <v>22</v>
      </c>
      <c r="G3027">
        <v>0</v>
      </c>
      <c r="H3027">
        <v>134.6</v>
      </c>
      <c r="I3027">
        <v>73</v>
      </c>
      <c r="J3027">
        <v>22.88</v>
      </c>
      <c r="K3027">
        <v>206.8</v>
      </c>
      <c r="L3027">
        <v>117</v>
      </c>
      <c r="M3027">
        <v>17.579999999999998</v>
      </c>
      <c r="N3027">
        <v>138.4</v>
      </c>
      <c r="O3027">
        <v>104</v>
      </c>
      <c r="P3027">
        <v>6.23</v>
      </c>
      <c r="Q3027">
        <v>9.4</v>
      </c>
      <c r="R3027">
        <v>2</v>
      </c>
      <c r="S3027">
        <v>2.54</v>
      </c>
      <c r="T3027">
        <v>2</v>
      </c>
      <c r="U3027" t="s">
        <v>22</v>
      </c>
      <c r="V3027" t="e">
        <f>IF(#REF! = "yes", 1, 0)</f>
        <v>#REF!</v>
      </c>
      <c r="W3027" t="e">
        <f>IF(#REF! &lt;= 1, "0-1 Calls", IF(#REF! &lt;= 3, "2-3 Calls", IF(#REF! &lt;=5, "4-5 Calls", "6+ Calls")))</f>
        <v>#REF!</v>
      </c>
      <c r="X3027" t="e">
        <f>IF(#REF! &lt;= 50, "0-50", IF(#REF! &lt;=100, "51-100", IF(#REF! &lt;= 150, "101-150", "151+")))</f>
        <v>#REF!</v>
      </c>
      <c r="Y3027" t="e">
        <f>IF(#REF! &lt;= 3, "Low Charges", "High Charges")</f>
        <v>#REF!</v>
      </c>
      <c r="Z3027" t="e">
        <f>IF(#REF!&lt;=80,"Low Calls",
IF(#REF!&lt;=120,"Medium Calls","High Calls"))</f>
        <v>#REF!</v>
      </c>
      <c r="AA3027" t="e">
        <f>IF(#REF!&lt;=15,"Low Charges",
IF(#REF!&lt;=20,"Medium Charges","High Charges"))</f>
        <v>#REF!</v>
      </c>
      <c r="AB3027" t="e">
        <f>IF(AND(#REF!&gt;180, #REF!&gt;200), "Heavy Doemstic User", IF(#REF!&gt;10, "Interntional User", IF(AND(#REF!&lt;180, #REF!&lt;200,#REF!&lt;200), "Light User", "Balanced User")))</f>
        <v>#REF!</v>
      </c>
      <c r="AC3027" t="e">
        <f>IF(#REF! = 0, "No Usage", IF(#REF! &lt;= 20, "Low Usage", IF(#REF! &lt;= 40, "Medium Usgae", "High Usage")))</f>
        <v>#REF!</v>
      </c>
      <c r="AD3027" t="e">
        <f>IF(#REF!&lt;=150,"Low Usage", IF(#REF!&lt;=200,"Medium Usage", IF(#REF!&lt;=250,"High Usage","Very High Usage")))</f>
        <v>#REF!</v>
      </c>
      <c r="AE3027" t="e">
        <f>IF(#REF!&lt;=5,"Low Calls", IF(#REF!&lt;=10, "Medium Calls", "High Calls"))</f>
        <v>#REF!</v>
      </c>
      <c r="AF3027" t="e">
        <f xml:space="preserve">
IF(#REF!&gt;=4,4,0)+
IF(#REF!="yes",3,0)+
IF(#REF!="High Charges",3,0)+
IF(#REF!&gt;250,4,0)+
IF(#REF!="no",1,0)+
IF(#REF!="Heavy Domestic User",2,0)</f>
        <v>#REF!</v>
      </c>
      <c r="AG3027" t="e">
        <f>IF(#REF!&gt;=10,"High Risk", IF(#REF!&gt;=5,"Medium Risk","Low Risk"))</f>
        <v>#REF!</v>
      </c>
      <c r="AH3027" t="e">
        <f>#REF! + #REF! + #REF! + #REF!</f>
        <v>#REF!</v>
      </c>
    </row>
    <row r="3028" spans="1:34" x14ac:dyDescent="0.35">
      <c r="A3028">
        <v>3027</v>
      </c>
      <c r="B3028" t="s">
        <v>59</v>
      </c>
      <c r="C3028">
        <v>171</v>
      </c>
      <c r="D3028" t="s">
        <v>21</v>
      </c>
      <c r="E3028" t="s">
        <v>22</v>
      </c>
      <c r="F3028" t="s">
        <v>22</v>
      </c>
      <c r="G3028">
        <v>0</v>
      </c>
      <c r="H3028">
        <v>232.4</v>
      </c>
      <c r="I3028">
        <v>101</v>
      </c>
      <c r="J3028">
        <v>39.51</v>
      </c>
      <c r="K3028">
        <v>182</v>
      </c>
      <c r="L3028">
        <v>80</v>
      </c>
      <c r="M3028">
        <v>15.47</v>
      </c>
      <c r="N3028">
        <v>271.8</v>
      </c>
      <c r="O3028">
        <v>133</v>
      </c>
      <c r="P3028">
        <v>12.23</v>
      </c>
      <c r="Q3028">
        <v>9.5</v>
      </c>
      <c r="R3028">
        <v>3</v>
      </c>
      <c r="S3028">
        <v>2.57</v>
      </c>
      <c r="T3028">
        <v>0</v>
      </c>
      <c r="U3028" t="s">
        <v>22</v>
      </c>
      <c r="V3028" t="e">
        <f>IF(#REF! = "yes", 1, 0)</f>
        <v>#REF!</v>
      </c>
      <c r="W3028" t="e">
        <f>IF(#REF! &lt;= 1, "0-1 Calls", IF(#REF! &lt;= 3, "2-3 Calls", IF(#REF! &lt;=5, "4-5 Calls", "6+ Calls")))</f>
        <v>#REF!</v>
      </c>
      <c r="X3028" t="e">
        <f>IF(#REF! &lt;= 50, "0-50", IF(#REF! &lt;=100, "51-100", IF(#REF! &lt;= 150, "101-150", "151+")))</f>
        <v>#REF!</v>
      </c>
      <c r="Y3028" t="e">
        <f>IF(#REF! &lt;= 3, "Low Charges", "High Charges")</f>
        <v>#REF!</v>
      </c>
      <c r="Z3028" t="e">
        <f>IF(#REF!&lt;=80,"Low Calls",
IF(#REF!&lt;=120,"Medium Calls","High Calls"))</f>
        <v>#REF!</v>
      </c>
      <c r="AA3028" t="e">
        <f>IF(#REF!&lt;=15,"Low Charges",
IF(#REF!&lt;=20,"Medium Charges","High Charges"))</f>
        <v>#REF!</v>
      </c>
      <c r="AB3028" t="e">
        <f>IF(AND(#REF!&gt;180, #REF!&gt;200), "Heavy Doemstic User", IF(#REF!&gt;10, "Interntional User", IF(AND(#REF!&lt;180, #REF!&lt;200,#REF!&lt;200), "Light User", "Balanced User")))</f>
        <v>#REF!</v>
      </c>
      <c r="AC3028" t="e">
        <f>IF(#REF! = 0, "No Usage", IF(#REF! &lt;= 20, "Low Usage", IF(#REF! &lt;= 40, "Medium Usgae", "High Usage")))</f>
        <v>#REF!</v>
      </c>
      <c r="AD3028" t="e">
        <f>IF(#REF!&lt;=150,"Low Usage", IF(#REF!&lt;=200,"Medium Usage", IF(#REF!&lt;=250,"High Usage","Very High Usage")))</f>
        <v>#REF!</v>
      </c>
      <c r="AE3028" t="e">
        <f>IF(#REF!&lt;=5,"Low Calls", IF(#REF!&lt;=10, "Medium Calls", "High Calls"))</f>
        <v>#REF!</v>
      </c>
      <c r="AF3028" t="e">
        <f xml:space="preserve">
IF(#REF!&gt;=4,4,0)+
IF(#REF!="yes",3,0)+
IF(#REF!="High Charges",3,0)+
IF(#REF!&gt;250,4,0)+
IF(#REF!="no",1,0)+
IF(#REF!="Heavy Domestic User",2,0)</f>
        <v>#REF!</v>
      </c>
      <c r="AG3028" t="e">
        <f>IF(#REF!&gt;=10,"High Risk", IF(#REF!&gt;=5,"Medium Risk","Low Risk"))</f>
        <v>#REF!</v>
      </c>
      <c r="AH3028" t="e">
        <f>#REF! + #REF! + #REF! + #REF!</f>
        <v>#REF!</v>
      </c>
    </row>
    <row r="3029" spans="1:34" x14ac:dyDescent="0.35">
      <c r="A3029">
        <v>3028</v>
      </c>
      <c r="B3029" t="s">
        <v>60</v>
      </c>
      <c r="C3029">
        <v>122</v>
      </c>
      <c r="D3029" t="s">
        <v>21</v>
      </c>
      <c r="E3029" t="s">
        <v>22</v>
      </c>
      <c r="F3029" t="s">
        <v>22</v>
      </c>
      <c r="G3029">
        <v>0</v>
      </c>
      <c r="H3029">
        <v>126</v>
      </c>
      <c r="I3029">
        <v>89</v>
      </c>
      <c r="J3029">
        <v>21.42</v>
      </c>
      <c r="K3029">
        <v>147</v>
      </c>
      <c r="L3029">
        <v>95</v>
      </c>
      <c r="M3029">
        <v>12.5</v>
      </c>
      <c r="N3029">
        <v>280.2</v>
      </c>
      <c r="O3029">
        <v>97</v>
      </c>
      <c r="P3029">
        <v>12.61</v>
      </c>
      <c r="Q3029">
        <v>5.6</v>
      </c>
      <c r="R3029">
        <v>4</v>
      </c>
      <c r="S3029">
        <v>1.51</v>
      </c>
      <c r="T3029">
        <v>0</v>
      </c>
      <c r="U3029" t="s">
        <v>22</v>
      </c>
      <c r="V3029" t="e">
        <f>IF(#REF! = "yes", 1, 0)</f>
        <v>#REF!</v>
      </c>
      <c r="W3029" t="e">
        <f>IF(#REF! &lt;= 1, "0-1 Calls", IF(#REF! &lt;= 3, "2-3 Calls", IF(#REF! &lt;=5, "4-5 Calls", "6+ Calls")))</f>
        <v>#REF!</v>
      </c>
      <c r="X3029" t="e">
        <f>IF(#REF! &lt;= 50, "0-50", IF(#REF! &lt;=100, "51-100", IF(#REF! &lt;= 150, "101-150", "151+")))</f>
        <v>#REF!</v>
      </c>
      <c r="Y3029" t="e">
        <f>IF(#REF! &lt;= 3, "Low Charges", "High Charges")</f>
        <v>#REF!</v>
      </c>
      <c r="Z3029" t="e">
        <f>IF(#REF!&lt;=80,"Low Calls",
IF(#REF!&lt;=120,"Medium Calls","High Calls"))</f>
        <v>#REF!</v>
      </c>
      <c r="AA3029" t="e">
        <f>IF(#REF!&lt;=15,"Low Charges",
IF(#REF!&lt;=20,"Medium Charges","High Charges"))</f>
        <v>#REF!</v>
      </c>
      <c r="AB3029" t="e">
        <f>IF(AND(#REF!&gt;180, #REF!&gt;200), "Heavy Doemstic User", IF(#REF!&gt;10, "Interntional User", IF(AND(#REF!&lt;180, #REF!&lt;200,#REF!&lt;200), "Light User", "Balanced User")))</f>
        <v>#REF!</v>
      </c>
      <c r="AC3029" t="e">
        <f>IF(#REF! = 0, "No Usage", IF(#REF! &lt;= 20, "Low Usage", IF(#REF! &lt;= 40, "Medium Usgae", "High Usage")))</f>
        <v>#REF!</v>
      </c>
      <c r="AD3029" t="e">
        <f>IF(#REF!&lt;=150,"Low Usage", IF(#REF!&lt;=200,"Medium Usage", IF(#REF!&lt;=250,"High Usage","Very High Usage")))</f>
        <v>#REF!</v>
      </c>
      <c r="AE3029" t="e">
        <f>IF(#REF!&lt;=5,"Low Calls", IF(#REF!&lt;=10, "Medium Calls", "High Calls"))</f>
        <v>#REF!</v>
      </c>
      <c r="AF3029" t="e">
        <f xml:space="preserve">
IF(#REF!&gt;=4,4,0)+
IF(#REF!="yes",3,0)+
IF(#REF!="High Charges",3,0)+
IF(#REF!&gt;250,4,0)+
IF(#REF!="no",1,0)+
IF(#REF!="Heavy Domestic User",2,0)</f>
        <v>#REF!</v>
      </c>
      <c r="AG3029" t="e">
        <f>IF(#REF!&gt;=10,"High Risk", IF(#REF!&gt;=5,"Medium Risk","Low Risk"))</f>
        <v>#REF!</v>
      </c>
      <c r="AH3029" t="e">
        <f>#REF! + #REF! + #REF! + #REF!</f>
        <v>#REF!</v>
      </c>
    </row>
    <row r="3030" spans="1:34" x14ac:dyDescent="0.35">
      <c r="A3030">
        <v>3029</v>
      </c>
      <c r="B3030" t="s">
        <v>62</v>
      </c>
      <c r="C3030">
        <v>94</v>
      </c>
      <c r="D3030" t="s">
        <v>28</v>
      </c>
      <c r="E3030" t="s">
        <v>22</v>
      </c>
      <c r="F3030" t="s">
        <v>22</v>
      </c>
      <c r="G3030">
        <v>0</v>
      </c>
      <c r="H3030">
        <v>175.9</v>
      </c>
      <c r="I3030">
        <v>121</v>
      </c>
      <c r="J3030">
        <v>29.9</v>
      </c>
      <c r="K3030">
        <v>222.1</v>
      </c>
      <c r="L3030">
        <v>94</v>
      </c>
      <c r="M3030">
        <v>18.88</v>
      </c>
      <c r="N3030">
        <v>191.8</v>
      </c>
      <c r="O3030">
        <v>123</v>
      </c>
      <c r="P3030">
        <v>8.6300000000000008</v>
      </c>
      <c r="Q3030">
        <v>10.9</v>
      </c>
      <c r="R3030">
        <v>5</v>
      </c>
      <c r="S3030">
        <v>2.94</v>
      </c>
      <c r="T3030">
        <v>1</v>
      </c>
      <c r="U3030" t="s">
        <v>22</v>
      </c>
      <c r="V3030" t="e">
        <f>IF(#REF! = "yes", 1, 0)</f>
        <v>#REF!</v>
      </c>
      <c r="W3030" t="e">
        <f>IF(#REF! &lt;= 1, "0-1 Calls", IF(#REF! &lt;= 3, "2-3 Calls", IF(#REF! &lt;=5, "4-5 Calls", "6+ Calls")))</f>
        <v>#REF!</v>
      </c>
      <c r="X3030" t="e">
        <f>IF(#REF! &lt;= 50, "0-50", IF(#REF! &lt;=100, "51-100", IF(#REF! &lt;= 150, "101-150", "151+")))</f>
        <v>#REF!</v>
      </c>
      <c r="Y3030" t="e">
        <f>IF(#REF! &lt;= 3, "Low Charges", "High Charges")</f>
        <v>#REF!</v>
      </c>
      <c r="Z3030" t="e">
        <f>IF(#REF!&lt;=80,"Low Calls",
IF(#REF!&lt;=120,"Medium Calls","High Calls"))</f>
        <v>#REF!</v>
      </c>
      <c r="AA3030" t="e">
        <f>IF(#REF!&lt;=15,"Low Charges",
IF(#REF!&lt;=20,"Medium Charges","High Charges"))</f>
        <v>#REF!</v>
      </c>
      <c r="AB3030" t="e">
        <f>IF(AND(#REF!&gt;180, #REF!&gt;200), "Heavy Doemstic User", IF(#REF!&gt;10, "Interntional User", IF(AND(#REF!&lt;180, #REF!&lt;200,#REF!&lt;200), "Light User", "Balanced User")))</f>
        <v>#REF!</v>
      </c>
      <c r="AC3030" t="e">
        <f>IF(#REF! = 0, "No Usage", IF(#REF! &lt;= 20, "Low Usage", IF(#REF! &lt;= 40, "Medium Usgae", "High Usage")))</f>
        <v>#REF!</v>
      </c>
      <c r="AD3030" t="e">
        <f>IF(#REF!&lt;=150,"Low Usage", IF(#REF!&lt;=200,"Medium Usage", IF(#REF!&lt;=250,"High Usage","Very High Usage")))</f>
        <v>#REF!</v>
      </c>
      <c r="AE3030" t="e">
        <f>IF(#REF!&lt;=5,"Low Calls", IF(#REF!&lt;=10, "Medium Calls", "High Calls"))</f>
        <v>#REF!</v>
      </c>
      <c r="AF3030" t="e">
        <f xml:space="preserve">
IF(#REF!&gt;=4,4,0)+
IF(#REF!="yes",3,0)+
IF(#REF!="High Charges",3,0)+
IF(#REF!&gt;250,4,0)+
IF(#REF!="no",1,0)+
IF(#REF!="Heavy Domestic User",2,0)</f>
        <v>#REF!</v>
      </c>
      <c r="AG3030" t="e">
        <f>IF(#REF!&gt;=10,"High Risk", IF(#REF!&gt;=5,"Medium Risk","Low Risk"))</f>
        <v>#REF!</v>
      </c>
      <c r="AH3030" t="e">
        <f>#REF! + #REF! + #REF! + #REF!</f>
        <v>#REF!</v>
      </c>
    </row>
    <row r="3031" spans="1:34" x14ac:dyDescent="0.35">
      <c r="A3031">
        <v>3030</v>
      </c>
      <c r="B3031" t="s">
        <v>55</v>
      </c>
      <c r="C3031">
        <v>25</v>
      </c>
      <c r="D3031" t="s">
        <v>21</v>
      </c>
      <c r="E3031" t="s">
        <v>23</v>
      </c>
      <c r="F3031" t="s">
        <v>22</v>
      </c>
      <c r="G3031">
        <v>0</v>
      </c>
      <c r="H3031">
        <v>161.69999999999999</v>
      </c>
      <c r="I3031">
        <v>99</v>
      </c>
      <c r="J3031">
        <v>27.49</v>
      </c>
      <c r="K3031">
        <v>216.1</v>
      </c>
      <c r="L3031">
        <v>89</v>
      </c>
      <c r="M3031">
        <v>18.37</v>
      </c>
      <c r="N3031">
        <v>176.7</v>
      </c>
      <c r="O3031">
        <v>115</v>
      </c>
      <c r="P3031">
        <v>7.95</v>
      </c>
      <c r="Q3031">
        <v>12.4</v>
      </c>
      <c r="R3031">
        <v>6</v>
      </c>
      <c r="S3031">
        <v>3.35</v>
      </c>
      <c r="T3031">
        <v>1</v>
      </c>
      <c r="U3031" t="s">
        <v>22</v>
      </c>
      <c r="V3031" t="e">
        <f>IF(#REF! = "yes", 1, 0)</f>
        <v>#REF!</v>
      </c>
      <c r="W3031" t="e">
        <f>IF(#REF! &lt;= 1, "0-1 Calls", IF(#REF! &lt;= 3, "2-3 Calls", IF(#REF! &lt;=5, "4-5 Calls", "6+ Calls")))</f>
        <v>#REF!</v>
      </c>
      <c r="X3031" t="e">
        <f>IF(#REF! &lt;= 50, "0-50", IF(#REF! &lt;=100, "51-100", IF(#REF! &lt;= 150, "101-150", "151+")))</f>
        <v>#REF!</v>
      </c>
      <c r="Y3031" t="e">
        <f>IF(#REF! &lt;= 3, "Low Charges", "High Charges")</f>
        <v>#REF!</v>
      </c>
      <c r="Z3031" t="e">
        <f>IF(#REF!&lt;=80,"Low Calls",
IF(#REF!&lt;=120,"Medium Calls","High Calls"))</f>
        <v>#REF!</v>
      </c>
      <c r="AA3031" t="e">
        <f>IF(#REF!&lt;=15,"Low Charges",
IF(#REF!&lt;=20,"Medium Charges","High Charges"))</f>
        <v>#REF!</v>
      </c>
      <c r="AB3031" t="e">
        <f>IF(AND(#REF!&gt;180, #REF!&gt;200), "Heavy Doemstic User", IF(#REF!&gt;10, "Interntional User", IF(AND(#REF!&lt;180, #REF!&lt;200,#REF!&lt;200), "Light User", "Balanced User")))</f>
        <v>#REF!</v>
      </c>
      <c r="AC3031" t="e">
        <f>IF(#REF! = 0, "No Usage", IF(#REF! &lt;= 20, "Low Usage", IF(#REF! &lt;= 40, "Medium Usgae", "High Usage")))</f>
        <v>#REF!</v>
      </c>
      <c r="AD3031" t="e">
        <f>IF(#REF!&lt;=150,"Low Usage", IF(#REF!&lt;=200,"Medium Usage", IF(#REF!&lt;=250,"High Usage","Very High Usage")))</f>
        <v>#REF!</v>
      </c>
      <c r="AE3031" t="e">
        <f>IF(#REF!&lt;=5,"Low Calls", IF(#REF!&lt;=10, "Medium Calls", "High Calls"))</f>
        <v>#REF!</v>
      </c>
      <c r="AF3031" t="e">
        <f xml:space="preserve">
IF(#REF!&gt;=4,4,0)+
IF(#REF!="yes",3,0)+
IF(#REF!="High Charges",3,0)+
IF(#REF!&gt;250,4,0)+
IF(#REF!="no",1,0)+
IF(#REF!="Heavy Domestic User",2,0)</f>
        <v>#REF!</v>
      </c>
      <c r="AG3031" t="e">
        <f>IF(#REF!&gt;=10,"High Risk", IF(#REF!&gt;=5,"Medium Risk","Low Risk"))</f>
        <v>#REF!</v>
      </c>
      <c r="AH3031" t="e">
        <f>#REF! + #REF! + #REF! + #REF!</f>
        <v>#REF!</v>
      </c>
    </row>
    <row r="3032" spans="1:34" x14ac:dyDescent="0.35">
      <c r="A3032">
        <v>3031</v>
      </c>
      <c r="B3032" t="s">
        <v>67</v>
      </c>
      <c r="C3032">
        <v>120</v>
      </c>
      <c r="D3032" t="s">
        <v>21</v>
      </c>
      <c r="E3032" t="s">
        <v>22</v>
      </c>
      <c r="F3032" t="s">
        <v>22</v>
      </c>
      <c r="G3032">
        <v>0</v>
      </c>
      <c r="H3032">
        <v>112.6</v>
      </c>
      <c r="I3032">
        <v>80</v>
      </c>
      <c r="J3032">
        <v>19.14</v>
      </c>
      <c r="K3032">
        <v>124.4</v>
      </c>
      <c r="L3032">
        <v>86</v>
      </c>
      <c r="M3032">
        <v>10.57</v>
      </c>
      <c r="N3032">
        <v>234.9</v>
      </c>
      <c r="O3032">
        <v>88</v>
      </c>
      <c r="P3032">
        <v>10.57</v>
      </c>
      <c r="Q3032">
        <v>8.1</v>
      </c>
      <c r="R3032">
        <v>3</v>
      </c>
      <c r="S3032">
        <v>2.19</v>
      </c>
      <c r="T3032">
        <v>6</v>
      </c>
      <c r="U3032" t="s">
        <v>23</v>
      </c>
      <c r="V3032" t="e">
        <f>IF(#REF! = "yes", 1, 0)</f>
        <v>#REF!</v>
      </c>
      <c r="W3032" t="e">
        <f>IF(#REF! &lt;= 1, "0-1 Calls", IF(#REF! &lt;= 3, "2-3 Calls", IF(#REF! &lt;=5, "4-5 Calls", "6+ Calls")))</f>
        <v>#REF!</v>
      </c>
      <c r="X3032" t="e">
        <f>IF(#REF! &lt;= 50, "0-50", IF(#REF! &lt;=100, "51-100", IF(#REF! &lt;= 150, "101-150", "151+")))</f>
        <v>#REF!</v>
      </c>
      <c r="Y3032" t="e">
        <f>IF(#REF! &lt;= 3, "Low Charges", "High Charges")</f>
        <v>#REF!</v>
      </c>
      <c r="Z3032" t="e">
        <f>IF(#REF!&lt;=80,"Low Calls",
IF(#REF!&lt;=120,"Medium Calls","High Calls"))</f>
        <v>#REF!</v>
      </c>
      <c r="AA3032" t="e">
        <f>IF(#REF!&lt;=15,"Low Charges",
IF(#REF!&lt;=20,"Medium Charges","High Charges"))</f>
        <v>#REF!</v>
      </c>
      <c r="AB3032" t="e">
        <f>IF(AND(#REF!&gt;180, #REF!&gt;200), "Heavy Doemstic User", IF(#REF!&gt;10, "Interntional User", IF(AND(#REF!&lt;180, #REF!&lt;200,#REF!&lt;200), "Light User", "Balanced User")))</f>
        <v>#REF!</v>
      </c>
      <c r="AC3032" t="e">
        <f>IF(#REF! = 0, "No Usage", IF(#REF! &lt;= 20, "Low Usage", IF(#REF! &lt;= 40, "Medium Usgae", "High Usage")))</f>
        <v>#REF!</v>
      </c>
      <c r="AD3032" t="e">
        <f>IF(#REF!&lt;=150,"Low Usage", IF(#REF!&lt;=200,"Medium Usage", IF(#REF!&lt;=250,"High Usage","Very High Usage")))</f>
        <v>#REF!</v>
      </c>
      <c r="AE3032" t="e">
        <f>IF(#REF!&lt;=5,"Low Calls", IF(#REF!&lt;=10, "Medium Calls", "High Calls"))</f>
        <v>#REF!</v>
      </c>
      <c r="AF3032" t="e">
        <f xml:space="preserve">
IF(#REF!&gt;=4,4,0)+
IF(#REF!="yes",3,0)+
IF(#REF!="High Charges",3,0)+
IF(#REF!&gt;250,4,0)+
IF(#REF!="no",1,0)+
IF(#REF!="Heavy Domestic User",2,0)</f>
        <v>#REF!</v>
      </c>
      <c r="AG3032" t="e">
        <f>IF(#REF!&gt;=10,"High Risk", IF(#REF!&gt;=5,"Medium Risk","Low Risk"))</f>
        <v>#REF!</v>
      </c>
      <c r="AH3032" t="e">
        <f>#REF! + #REF! + #REF! + #REF!</f>
        <v>#REF!</v>
      </c>
    </row>
    <row r="3033" spans="1:34" x14ac:dyDescent="0.35">
      <c r="A3033">
        <v>3032</v>
      </c>
      <c r="B3033" t="s">
        <v>20</v>
      </c>
      <c r="C3033">
        <v>107</v>
      </c>
      <c r="D3033" t="s">
        <v>21</v>
      </c>
      <c r="E3033" t="s">
        <v>22</v>
      </c>
      <c r="F3033" t="s">
        <v>23</v>
      </c>
      <c r="G3033">
        <v>26</v>
      </c>
      <c r="H3033">
        <v>234</v>
      </c>
      <c r="I3033">
        <v>116</v>
      </c>
      <c r="J3033">
        <v>39.78</v>
      </c>
      <c r="K3033">
        <v>223.9</v>
      </c>
      <c r="L3033">
        <v>103</v>
      </c>
      <c r="M3033">
        <v>19.03</v>
      </c>
      <c r="N3033">
        <v>246.5</v>
      </c>
      <c r="O3033">
        <v>105</v>
      </c>
      <c r="P3033">
        <v>11.09</v>
      </c>
      <c r="Q3033">
        <v>13.8</v>
      </c>
      <c r="R3033">
        <v>1</v>
      </c>
      <c r="S3033">
        <v>3.73</v>
      </c>
      <c r="T3033">
        <v>1</v>
      </c>
      <c r="U3033" t="s">
        <v>22</v>
      </c>
      <c r="V3033" t="e">
        <f>IF(#REF! = "yes", 1, 0)</f>
        <v>#REF!</v>
      </c>
      <c r="W3033" t="e">
        <f>IF(#REF! &lt;= 1, "0-1 Calls", IF(#REF! &lt;= 3, "2-3 Calls", IF(#REF! &lt;=5, "4-5 Calls", "6+ Calls")))</f>
        <v>#REF!</v>
      </c>
      <c r="X3033" t="e">
        <f>IF(#REF! &lt;= 50, "0-50", IF(#REF! &lt;=100, "51-100", IF(#REF! &lt;= 150, "101-150", "151+")))</f>
        <v>#REF!</v>
      </c>
      <c r="Y3033" t="e">
        <f>IF(#REF! &lt;= 3, "Low Charges", "High Charges")</f>
        <v>#REF!</v>
      </c>
      <c r="Z3033" t="e">
        <f>IF(#REF!&lt;=80,"Low Calls",
IF(#REF!&lt;=120,"Medium Calls","High Calls"))</f>
        <v>#REF!</v>
      </c>
      <c r="AA3033" t="e">
        <f>IF(#REF!&lt;=15,"Low Charges",
IF(#REF!&lt;=20,"Medium Charges","High Charges"))</f>
        <v>#REF!</v>
      </c>
      <c r="AB3033" t="e">
        <f>IF(AND(#REF!&gt;180, #REF!&gt;200), "Heavy Doemstic User", IF(#REF!&gt;10, "Interntional User", IF(AND(#REF!&lt;180, #REF!&lt;200,#REF!&lt;200), "Light User", "Balanced User")))</f>
        <v>#REF!</v>
      </c>
      <c r="AC3033" t="e">
        <f>IF(#REF! = 0, "No Usage", IF(#REF! &lt;= 20, "Low Usage", IF(#REF! &lt;= 40, "Medium Usgae", "High Usage")))</f>
        <v>#REF!</v>
      </c>
      <c r="AD3033" t="e">
        <f>IF(#REF!&lt;=150,"Low Usage", IF(#REF!&lt;=200,"Medium Usage", IF(#REF!&lt;=250,"High Usage","Very High Usage")))</f>
        <v>#REF!</v>
      </c>
      <c r="AE3033" t="e">
        <f>IF(#REF!&lt;=5,"Low Calls", IF(#REF!&lt;=10, "Medium Calls", "High Calls"))</f>
        <v>#REF!</v>
      </c>
      <c r="AF3033" t="e">
        <f xml:space="preserve">
IF(#REF!&gt;=4,4,0)+
IF(#REF!="yes",3,0)+
IF(#REF!="High Charges",3,0)+
IF(#REF!&gt;250,4,0)+
IF(#REF!="no",1,0)+
IF(#REF!="Heavy Domestic User",2,0)</f>
        <v>#REF!</v>
      </c>
      <c r="AG3033" t="e">
        <f>IF(#REF!&gt;=10,"High Risk", IF(#REF!&gt;=5,"Medium Risk","Low Risk"))</f>
        <v>#REF!</v>
      </c>
      <c r="AH3033" t="e">
        <f>#REF! + #REF! + #REF! + #REF!</f>
        <v>#REF!</v>
      </c>
    </row>
    <row r="3034" spans="1:34" x14ac:dyDescent="0.35">
      <c r="A3034">
        <v>3033</v>
      </c>
      <c r="B3034" t="s">
        <v>31</v>
      </c>
      <c r="C3034">
        <v>78</v>
      </c>
      <c r="D3034" t="s">
        <v>25</v>
      </c>
      <c r="E3034" t="s">
        <v>22</v>
      </c>
      <c r="F3034" t="s">
        <v>22</v>
      </c>
      <c r="G3034">
        <v>0</v>
      </c>
      <c r="H3034">
        <v>226.3</v>
      </c>
      <c r="I3034">
        <v>88</v>
      </c>
      <c r="J3034">
        <v>38.47</v>
      </c>
      <c r="K3034">
        <v>306.2</v>
      </c>
      <c r="L3034">
        <v>81</v>
      </c>
      <c r="M3034">
        <v>26.03</v>
      </c>
      <c r="N3034">
        <v>200.9</v>
      </c>
      <c r="O3034">
        <v>120</v>
      </c>
      <c r="P3034">
        <v>9.0399999999999991</v>
      </c>
      <c r="Q3034">
        <v>7.8</v>
      </c>
      <c r="R3034">
        <v>11</v>
      </c>
      <c r="S3034">
        <v>2.11</v>
      </c>
      <c r="T3034">
        <v>1</v>
      </c>
      <c r="U3034" t="s">
        <v>23</v>
      </c>
      <c r="V3034" t="e">
        <f>IF(#REF! = "yes", 1, 0)</f>
        <v>#REF!</v>
      </c>
      <c r="W3034" t="e">
        <f>IF(#REF! &lt;= 1, "0-1 Calls", IF(#REF! &lt;= 3, "2-3 Calls", IF(#REF! &lt;=5, "4-5 Calls", "6+ Calls")))</f>
        <v>#REF!</v>
      </c>
      <c r="X3034" t="e">
        <f>IF(#REF! &lt;= 50, "0-50", IF(#REF! &lt;=100, "51-100", IF(#REF! &lt;= 150, "101-150", "151+")))</f>
        <v>#REF!</v>
      </c>
      <c r="Y3034" t="e">
        <f>IF(#REF! &lt;= 3, "Low Charges", "High Charges")</f>
        <v>#REF!</v>
      </c>
      <c r="Z3034" t="e">
        <f>IF(#REF!&lt;=80,"Low Calls",
IF(#REF!&lt;=120,"Medium Calls","High Calls"))</f>
        <v>#REF!</v>
      </c>
      <c r="AA3034" t="e">
        <f>IF(#REF!&lt;=15,"Low Charges",
IF(#REF!&lt;=20,"Medium Charges","High Charges"))</f>
        <v>#REF!</v>
      </c>
      <c r="AB3034" t="e">
        <f>IF(AND(#REF!&gt;180, #REF!&gt;200), "Heavy Doemstic User", IF(#REF!&gt;10, "Interntional User", IF(AND(#REF!&lt;180, #REF!&lt;200,#REF!&lt;200), "Light User", "Balanced User")))</f>
        <v>#REF!</v>
      </c>
      <c r="AC3034" t="e">
        <f>IF(#REF! = 0, "No Usage", IF(#REF! &lt;= 20, "Low Usage", IF(#REF! &lt;= 40, "Medium Usgae", "High Usage")))</f>
        <v>#REF!</v>
      </c>
      <c r="AD3034" t="e">
        <f>IF(#REF!&lt;=150,"Low Usage", IF(#REF!&lt;=200,"Medium Usage", IF(#REF!&lt;=250,"High Usage","Very High Usage")))</f>
        <v>#REF!</v>
      </c>
      <c r="AE3034" t="e">
        <f>IF(#REF!&lt;=5,"Low Calls", IF(#REF!&lt;=10, "Medium Calls", "High Calls"))</f>
        <v>#REF!</v>
      </c>
      <c r="AF3034" t="e">
        <f xml:space="preserve">
IF(#REF!&gt;=4,4,0)+
IF(#REF!="yes",3,0)+
IF(#REF!="High Charges",3,0)+
IF(#REF!&gt;250,4,0)+
IF(#REF!="no",1,0)+
IF(#REF!="Heavy Domestic User",2,0)</f>
        <v>#REF!</v>
      </c>
      <c r="AG3034" t="e">
        <f>IF(#REF!&gt;=10,"High Risk", IF(#REF!&gt;=5,"Medium Risk","Low Risk"))</f>
        <v>#REF!</v>
      </c>
      <c r="AH3034" t="e">
        <f>#REF! + #REF! + #REF! + #REF!</f>
        <v>#REF!</v>
      </c>
    </row>
    <row r="3035" spans="1:34" x14ac:dyDescent="0.35">
      <c r="A3035">
        <v>3034</v>
      </c>
      <c r="B3035" t="s">
        <v>55</v>
      </c>
      <c r="C3035">
        <v>93</v>
      </c>
      <c r="D3035" t="s">
        <v>21</v>
      </c>
      <c r="E3035" t="s">
        <v>22</v>
      </c>
      <c r="F3035" t="s">
        <v>22</v>
      </c>
      <c r="G3035">
        <v>0</v>
      </c>
      <c r="H3035">
        <v>174.1</v>
      </c>
      <c r="I3035">
        <v>127</v>
      </c>
      <c r="J3035">
        <v>29.6</v>
      </c>
      <c r="K3035">
        <v>176.8</v>
      </c>
      <c r="L3035">
        <v>73</v>
      </c>
      <c r="M3035">
        <v>15.03</v>
      </c>
      <c r="N3035">
        <v>240</v>
      </c>
      <c r="O3035">
        <v>111</v>
      </c>
      <c r="P3035">
        <v>10.8</v>
      </c>
      <c r="Q3035">
        <v>10.7</v>
      </c>
      <c r="R3035">
        <v>3</v>
      </c>
      <c r="S3035">
        <v>2.89</v>
      </c>
      <c r="T3035">
        <v>0</v>
      </c>
      <c r="U3035" t="s">
        <v>22</v>
      </c>
      <c r="V3035" t="e">
        <f>IF(#REF! = "yes", 1, 0)</f>
        <v>#REF!</v>
      </c>
      <c r="W3035" t="e">
        <f>IF(#REF! &lt;= 1, "0-1 Calls", IF(#REF! &lt;= 3, "2-3 Calls", IF(#REF! &lt;=5, "4-5 Calls", "6+ Calls")))</f>
        <v>#REF!</v>
      </c>
      <c r="X3035" t="e">
        <f>IF(#REF! &lt;= 50, "0-50", IF(#REF! &lt;=100, "51-100", IF(#REF! &lt;= 150, "101-150", "151+")))</f>
        <v>#REF!</v>
      </c>
      <c r="Y3035" t="e">
        <f>IF(#REF! &lt;= 3, "Low Charges", "High Charges")</f>
        <v>#REF!</v>
      </c>
      <c r="Z3035" t="e">
        <f>IF(#REF!&lt;=80,"Low Calls",
IF(#REF!&lt;=120,"Medium Calls","High Calls"))</f>
        <v>#REF!</v>
      </c>
      <c r="AA3035" t="e">
        <f>IF(#REF!&lt;=15,"Low Charges",
IF(#REF!&lt;=20,"Medium Charges","High Charges"))</f>
        <v>#REF!</v>
      </c>
      <c r="AB3035" t="e">
        <f>IF(AND(#REF!&gt;180, #REF!&gt;200), "Heavy Doemstic User", IF(#REF!&gt;10, "Interntional User", IF(AND(#REF!&lt;180, #REF!&lt;200,#REF!&lt;200), "Light User", "Balanced User")))</f>
        <v>#REF!</v>
      </c>
      <c r="AC3035" t="e">
        <f>IF(#REF! = 0, "No Usage", IF(#REF! &lt;= 20, "Low Usage", IF(#REF! &lt;= 40, "Medium Usgae", "High Usage")))</f>
        <v>#REF!</v>
      </c>
      <c r="AD3035" t="e">
        <f>IF(#REF!&lt;=150,"Low Usage", IF(#REF!&lt;=200,"Medium Usage", IF(#REF!&lt;=250,"High Usage","Very High Usage")))</f>
        <v>#REF!</v>
      </c>
      <c r="AE3035" t="e">
        <f>IF(#REF!&lt;=5,"Low Calls", IF(#REF!&lt;=10, "Medium Calls", "High Calls"))</f>
        <v>#REF!</v>
      </c>
      <c r="AF3035" t="e">
        <f xml:space="preserve">
IF(#REF!&gt;=4,4,0)+
IF(#REF!="yes",3,0)+
IF(#REF!="High Charges",3,0)+
IF(#REF!&gt;250,4,0)+
IF(#REF!="no",1,0)+
IF(#REF!="Heavy Domestic User",2,0)</f>
        <v>#REF!</v>
      </c>
      <c r="AG3035" t="e">
        <f>IF(#REF!&gt;=10,"High Risk", IF(#REF!&gt;=5,"Medium Risk","Low Risk"))</f>
        <v>#REF!</v>
      </c>
      <c r="AH3035" t="e">
        <f>#REF! + #REF! + #REF! + #REF!</f>
        <v>#REF!</v>
      </c>
    </row>
    <row r="3036" spans="1:34" x14ac:dyDescent="0.35">
      <c r="A3036">
        <v>3035</v>
      </c>
      <c r="B3036" t="s">
        <v>74</v>
      </c>
      <c r="C3036">
        <v>80</v>
      </c>
      <c r="D3036" t="s">
        <v>21</v>
      </c>
      <c r="E3036" t="s">
        <v>22</v>
      </c>
      <c r="F3036" t="s">
        <v>22</v>
      </c>
      <c r="G3036">
        <v>0</v>
      </c>
      <c r="H3036">
        <v>195.6</v>
      </c>
      <c r="I3036">
        <v>111</v>
      </c>
      <c r="J3036">
        <v>33.25</v>
      </c>
      <c r="K3036">
        <v>221.5</v>
      </c>
      <c r="L3036">
        <v>122</v>
      </c>
      <c r="M3036">
        <v>18.829999999999998</v>
      </c>
      <c r="N3036">
        <v>182</v>
      </c>
      <c r="O3036">
        <v>89</v>
      </c>
      <c r="P3036">
        <v>8.19</v>
      </c>
      <c r="Q3036">
        <v>10.8</v>
      </c>
      <c r="R3036">
        <v>1</v>
      </c>
      <c r="S3036">
        <v>2.92</v>
      </c>
      <c r="T3036">
        <v>1</v>
      </c>
      <c r="U3036" t="s">
        <v>22</v>
      </c>
      <c r="V3036" t="e">
        <f>IF(#REF! = "yes", 1, 0)</f>
        <v>#REF!</v>
      </c>
      <c r="W3036" t="e">
        <f>IF(#REF! &lt;= 1, "0-1 Calls", IF(#REF! &lt;= 3, "2-3 Calls", IF(#REF! &lt;=5, "4-5 Calls", "6+ Calls")))</f>
        <v>#REF!</v>
      </c>
      <c r="X3036" t="e">
        <f>IF(#REF! &lt;= 50, "0-50", IF(#REF! &lt;=100, "51-100", IF(#REF! &lt;= 150, "101-150", "151+")))</f>
        <v>#REF!</v>
      </c>
      <c r="Y3036" t="e">
        <f>IF(#REF! &lt;= 3, "Low Charges", "High Charges")</f>
        <v>#REF!</v>
      </c>
      <c r="Z3036" t="e">
        <f>IF(#REF!&lt;=80,"Low Calls",
IF(#REF!&lt;=120,"Medium Calls","High Calls"))</f>
        <v>#REF!</v>
      </c>
      <c r="AA3036" t="e">
        <f>IF(#REF!&lt;=15,"Low Charges",
IF(#REF!&lt;=20,"Medium Charges","High Charges"))</f>
        <v>#REF!</v>
      </c>
      <c r="AB3036" t="e">
        <f>IF(AND(#REF!&gt;180, #REF!&gt;200), "Heavy Doemstic User", IF(#REF!&gt;10, "Interntional User", IF(AND(#REF!&lt;180, #REF!&lt;200,#REF!&lt;200), "Light User", "Balanced User")))</f>
        <v>#REF!</v>
      </c>
      <c r="AC3036" t="e">
        <f>IF(#REF! = 0, "No Usage", IF(#REF! &lt;= 20, "Low Usage", IF(#REF! &lt;= 40, "Medium Usgae", "High Usage")))</f>
        <v>#REF!</v>
      </c>
      <c r="AD3036" t="e">
        <f>IF(#REF!&lt;=150,"Low Usage", IF(#REF!&lt;=200,"Medium Usage", IF(#REF!&lt;=250,"High Usage","Very High Usage")))</f>
        <v>#REF!</v>
      </c>
      <c r="AE3036" t="e">
        <f>IF(#REF!&lt;=5,"Low Calls", IF(#REF!&lt;=10, "Medium Calls", "High Calls"))</f>
        <v>#REF!</v>
      </c>
      <c r="AF3036" t="e">
        <f xml:space="preserve">
IF(#REF!&gt;=4,4,0)+
IF(#REF!="yes",3,0)+
IF(#REF!="High Charges",3,0)+
IF(#REF!&gt;250,4,0)+
IF(#REF!="no",1,0)+
IF(#REF!="Heavy Domestic User",2,0)</f>
        <v>#REF!</v>
      </c>
      <c r="AG3036" t="e">
        <f>IF(#REF!&gt;=10,"High Risk", IF(#REF!&gt;=5,"Medium Risk","Low Risk"))</f>
        <v>#REF!</v>
      </c>
      <c r="AH3036" t="e">
        <f>#REF! + #REF! + #REF! + #REF!</f>
        <v>#REF!</v>
      </c>
    </row>
    <row r="3037" spans="1:34" x14ac:dyDescent="0.35">
      <c r="A3037">
        <v>3036</v>
      </c>
      <c r="B3037" t="s">
        <v>46</v>
      </c>
      <c r="C3037">
        <v>127</v>
      </c>
      <c r="D3037" t="s">
        <v>21</v>
      </c>
      <c r="E3037" t="s">
        <v>22</v>
      </c>
      <c r="F3037" t="s">
        <v>22</v>
      </c>
      <c r="G3037">
        <v>0</v>
      </c>
      <c r="H3037">
        <v>200.8</v>
      </c>
      <c r="I3037">
        <v>104</v>
      </c>
      <c r="J3037">
        <v>34.14</v>
      </c>
      <c r="K3037">
        <v>181.4</v>
      </c>
      <c r="L3037">
        <v>73</v>
      </c>
      <c r="M3037">
        <v>15.42</v>
      </c>
      <c r="N3037">
        <v>89.7</v>
      </c>
      <c r="O3037">
        <v>49</v>
      </c>
      <c r="P3037">
        <v>4.04</v>
      </c>
      <c r="Q3037">
        <v>9.6999999999999993</v>
      </c>
      <c r="R3037">
        <v>5</v>
      </c>
      <c r="S3037">
        <v>2.62</v>
      </c>
      <c r="T3037">
        <v>0</v>
      </c>
      <c r="U3037" t="s">
        <v>22</v>
      </c>
      <c r="V3037" t="e">
        <f>IF(#REF! = "yes", 1, 0)</f>
        <v>#REF!</v>
      </c>
      <c r="W3037" t="e">
        <f>IF(#REF! &lt;= 1, "0-1 Calls", IF(#REF! &lt;= 3, "2-3 Calls", IF(#REF! &lt;=5, "4-5 Calls", "6+ Calls")))</f>
        <v>#REF!</v>
      </c>
      <c r="X3037" t="e">
        <f>IF(#REF! &lt;= 50, "0-50", IF(#REF! &lt;=100, "51-100", IF(#REF! &lt;= 150, "101-150", "151+")))</f>
        <v>#REF!</v>
      </c>
      <c r="Y3037" t="e">
        <f>IF(#REF! &lt;= 3, "Low Charges", "High Charges")</f>
        <v>#REF!</v>
      </c>
      <c r="Z3037" t="e">
        <f>IF(#REF!&lt;=80,"Low Calls",
IF(#REF!&lt;=120,"Medium Calls","High Calls"))</f>
        <v>#REF!</v>
      </c>
      <c r="AA3037" t="e">
        <f>IF(#REF!&lt;=15,"Low Charges",
IF(#REF!&lt;=20,"Medium Charges","High Charges"))</f>
        <v>#REF!</v>
      </c>
      <c r="AB3037" t="e">
        <f>IF(AND(#REF!&gt;180, #REF!&gt;200), "Heavy Doemstic User", IF(#REF!&gt;10, "Interntional User", IF(AND(#REF!&lt;180, #REF!&lt;200,#REF!&lt;200), "Light User", "Balanced User")))</f>
        <v>#REF!</v>
      </c>
      <c r="AC3037" t="e">
        <f>IF(#REF! = 0, "No Usage", IF(#REF! &lt;= 20, "Low Usage", IF(#REF! &lt;= 40, "Medium Usgae", "High Usage")))</f>
        <v>#REF!</v>
      </c>
      <c r="AD3037" t="e">
        <f>IF(#REF!&lt;=150,"Low Usage", IF(#REF!&lt;=200,"Medium Usage", IF(#REF!&lt;=250,"High Usage","Very High Usage")))</f>
        <v>#REF!</v>
      </c>
      <c r="AE3037" t="e">
        <f>IF(#REF!&lt;=5,"Low Calls", IF(#REF!&lt;=10, "Medium Calls", "High Calls"))</f>
        <v>#REF!</v>
      </c>
      <c r="AF3037" t="e">
        <f xml:space="preserve">
IF(#REF!&gt;=4,4,0)+
IF(#REF!="yes",3,0)+
IF(#REF!="High Charges",3,0)+
IF(#REF!&gt;250,4,0)+
IF(#REF!="no",1,0)+
IF(#REF!="Heavy Domestic User",2,0)</f>
        <v>#REF!</v>
      </c>
      <c r="AG3037" t="e">
        <f>IF(#REF!&gt;=10,"High Risk", IF(#REF!&gt;=5,"Medium Risk","Low Risk"))</f>
        <v>#REF!</v>
      </c>
      <c r="AH3037" t="e">
        <f>#REF! + #REF! + #REF! + #REF!</f>
        <v>#REF!</v>
      </c>
    </row>
    <row r="3038" spans="1:34" x14ac:dyDescent="0.35">
      <c r="A3038">
        <v>3037</v>
      </c>
      <c r="B3038" t="s">
        <v>54</v>
      </c>
      <c r="C3038">
        <v>44</v>
      </c>
      <c r="D3038" t="s">
        <v>21</v>
      </c>
      <c r="E3038" t="s">
        <v>22</v>
      </c>
      <c r="F3038" t="s">
        <v>22</v>
      </c>
      <c r="G3038">
        <v>0</v>
      </c>
      <c r="H3038">
        <v>225.6</v>
      </c>
      <c r="I3038">
        <v>118</v>
      </c>
      <c r="J3038">
        <v>38.35</v>
      </c>
      <c r="K3038">
        <v>135.4</v>
      </c>
      <c r="L3038">
        <v>122</v>
      </c>
      <c r="M3038">
        <v>11.51</v>
      </c>
      <c r="N3038">
        <v>190.1</v>
      </c>
      <c r="O3038">
        <v>96</v>
      </c>
      <c r="P3038">
        <v>8.5500000000000007</v>
      </c>
      <c r="Q3038">
        <v>12.1</v>
      </c>
      <c r="R3038">
        <v>5</v>
      </c>
      <c r="S3038">
        <v>3.27</v>
      </c>
      <c r="T3038">
        <v>1</v>
      </c>
      <c r="U3038" t="s">
        <v>22</v>
      </c>
      <c r="V3038" t="e">
        <f>IF(#REF! = "yes", 1, 0)</f>
        <v>#REF!</v>
      </c>
      <c r="W3038" t="e">
        <f>IF(#REF! &lt;= 1, "0-1 Calls", IF(#REF! &lt;= 3, "2-3 Calls", IF(#REF! &lt;=5, "4-5 Calls", "6+ Calls")))</f>
        <v>#REF!</v>
      </c>
      <c r="X3038" t="e">
        <f>IF(#REF! &lt;= 50, "0-50", IF(#REF! &lt;=100, "51-100", IF(#REF! &lt;= 150, "101-150", "151+")))</f>
        <v>#REF!</v>
      </c>
      <c r="Y3038" t="e">
        <f>IF(#REF! &lt;= 3, "Low Charges", "High Charges")</f>
        <v>#REF!</v>
      </c>
      <c r="Z3038" t="e">
        <f>IF(#REF!&lt;=80,"Low Calls",
IF(#REF!&lt;=120,"Medium Calls","High Calls"))</f>
        <v>#REF!</v>
      </c>
      <c r="AA3038" t="e">
        <f>IF(#REF!&lt;=15,"Low Charges",
IF(#REF!&lt;=20,"Medium Charges","High Charges"))</f>
        <v>#REF!</v>
      </c>
      <c r="AB3038" t="e">
        <f>IF(AND(#REF!&gt;180, #REF!&gt;200), "Heavy Doemstic User", IF(#REF!&gt;10, "Interntional User", IF(AND(#REF!&lt;180, #REF!&lt;200,#REF!&lt;200), "Light User", "Balanced User")))</f>
        <v>#REF!</v>
      </c>
      <c r="AC3038" t="e">
        <f>IF(#REF! = 0, "No Usage", IF(#REF! &lt;= 20, "Low Usage", IF(#REF! &lt;= 40, "Medium Usgae", "High Usage")))</f>
        <v>#REF!</v>
      </c>
      <c r="AD3038" t="e">
        <f>IF(#REF!&lt;=150,"Low Usage", IF(#REF!&lt;=200,"Medium Usage", IF(#REF!&lt;=250,"High Usage","Very High Usage")))</f>
        <v>#REF!</v>
      </c>
      <c r="AE3038" t="e">
        <f>IF(#REF!&lt;=5,"Low Calls", IF(#REF!&lt;=10, "Medium Calls", "High Calls"))</f>
        <v>#REF!</v>
      </c>
      <c r="AF3038" t="e">
        <f xml:space="preserve">
IF(#REF!&gt;=4,4,0)+
IF(#REF!="yes",3,0)+
IF(#REF!="High Charges",3,0)+
IF(#REF!&gt;250,4,0)+
IF(#REF!="no",1,0)+
IF(#REF!="Heavy Domestic User",2,0)</f>
        <v>#REF!</v>
      </c>
      <c r="AG3038" t="e">
        <f>IF(#REF!&gt;=10,"High Risk", IF(#REF!&gt;=5,"Medium Risk","Low Risk"))</f>
        <v>#REF!</v>
      </c>
      <c r="AH3038" t="e">
        <f>#REF! + #REF! + #REF! + #REF!</f>
        <v>#REF!</v>
      </c>
    </row>
    <row r="3039" spans="1:34" x14ac:dyDescent="0.35">
      <c r="A3039">
        <v>3038</v>
      </c>
      <c r="B3039" t="s">
        <v>41</v>
      </c>
      <c r="C3039">
        <v>69</v>
      </c>
      <c r="D3039" t="s">
        <v>25</v>
      </c>
      <c r="E3039" t="s">
        <v>22</v>
      </c>
      <c r="F3039" t="s">
        <v>23</v>
      </c>
      <c r="G3039">
        <v>38</v>
      </c>
      <c r="H3039">
        <v>272.89999999999998</v>
      </c>
      <c r="I3039">
        <v>122</v>
      </c>
      <c r="J3039">
        <v>46.39</v>
      </c>
      <c r="K3039">
        <v>188.4</v>
      </c>
      <c r="L3039">
        <v>97</v>
      </c>
      <c r="M3039">
        <v>16.010000000000002</v>
      </c>
      <c r="N3039">
        <v>132.4</v>
      </c>
      <c r="O3039">
        <v>87</v>
      </c>
      <c r="P3039">
        <v>5.96</v>
      </c>
      <c r="Q3039">
        <v>10.5</v>
      </c>
      <c r="R3039">
        <v>3</v>
      </c>
      <c r="S3039">
        <v>2.84</v>
      </c>
      <c r="T3039">
        <v>2</v>
      </c>
      <c r="U3039" t="s">
        <v>22</v>
      </c>
      <c r="V3039" t="e">
        <f>IF(#REF! = "yes", 1, 0)</f>
        <v>#REF!</v>
      </c>
      <c r="W3039" t="e">
        <f>IF(#REF! &lt;= 1, "0-1 Calls", IF(#REF! &lt;= 3, "2-3 Calls", IF(#REF! &lt;=5, "4-5 Calls", "6+ Calls")))</f>
        <v>#REF!</v>
      </c>
      <c r="X3039" t="e">
        <f>IF(#REF! &lt;= 50, "0-50", IF(#REF! &lt;=100, "51-100", IF(#REF! &lt;= 150, "101-150", "151+")))</f>
        <v>#REF!</v>
      </c>
      <c r="Y3039" t="e">
        <f>IF(#REF! &lt;= 3, "Low Charges", "High Charges")</f>
        <v>#REF!</v>
      </c>
      <c r="Z3039" t="e">
        <f>IF(#REF!&lt;=80,"Low Calls",
IF(#REF!&lt;=120,"Medium Calls","High Calls"))</f>
        <v>#REF!</v>
      </c>
      <c r="AA3039" t="e">
        <f>IF(#REF!&lt;=15,"Low Charges",
IF(#REF!&lt;=20,"Medium Charges","High Charges"))</f>
        <v>#REF!</v>
      </c>
      <c r="AB3039" t="e">
        <f>IF(AND(#REF!&gt;180, #REF!&gt;200), "Heavy Doemstic User", IF(#REF!&gt;10, "Interntional User", IF(AND(#REF!&lt;180, #REF!&lt;200,#REF!&lt;200), "Light User", "Balanced User")))</f>
        <v>#REF!</v>
      </c>
      <c r="AC3039" t="e">
        <f>IF(#REF! = 0, "No Usage", IF(#REF! &lt;= 20, "Low Usage", IF(#REF! &lt;= 40, "Medium Usgae", "High Usage")))</f>
        <v>#REF!</v>
      </c>
      <c r="AD3039" t="e">
        <f>IF(#REF!&lt;=150,"Low Usage", IF(#REF!&lt;=200,"Medium Usage", IF(#REF!&lt;=250,"High Usage","Very High Usage")))</f>
        <v>#REF!</v>
      </c>
      <c r="AE3039" t="e">
        <f>IF(#REF!&lt;=5,"Low Calls", IF(#REF!&lt;=10, "Medium Calls", "High Calls"))</f>
        <v>#REF!</v>
      </c>
      <c r="AF3039" t="e">
        <f xml:space="preserve">
IF(#REF!&gt;=4,4,0)+
IF(#REF!="yes",3,0)+
IF(#REF!="High Charges",3,0)+
IF(#REF!&gt;250,4,0)+
IF(#REF!="no",1,0)+
IF(#REF!="Heavy Domestic User",2,0)</f>
        <v>#REF!</v>
      </c>
      <c r="AG3039" t="e">
        <f>IF(#REF!&gt;=10,"High Risk", IF(#REF!&gt;=5,"Medium Risk","Low Risk"))</f>
        <v>#REF!</v>
      </c>
      <c r="AH3039" t="e">
        <f>#REF! + #REF! + #REF! + #REF!</f>
        <v>#REF!</v>
      </c>
    </row>
    <row r="3040" spans="1:34" x14ac:dyDescent="0.35">
      <c r="A3040">
        <v>3039</v>
      </c>
      <c r="B3040" t="s">
        <v>37</v>
      </c>
      <c r="C3040">
        <v>69</v>
      </c>
      <c r="D3040" t="s">
        <v>28</v>
      </c>
      <c r="E3040" t="s">
        <v>23</v>
      </c>
      <c r="F3040" t="s">
        <v>22</v>
      </c>
      <c r="G3040">
        <v>0</v>
      </c>
      <c r="H3040">
        <v>199.7</v>
      </c>
      <c r="I3040">
        <v>121</v>
      </c>
      <c r="J3040">
        <v>33.950000000000003</v>
      </c>
      <c r="K3040">
        <v>189.4</v>
      </c>
      <c r="L3040">
        <v>92</v>
      </c>
      <c r="M3040">
        <v>16.100000000000001</v>
      </c>
      <c r="N3040">
        <v>264</v>
      </c>
      <c r="O3040">
        <v>120</v>
      </c>
      <c r="P3040">
        <v>11.88</v>
      </c>
      <c r="Q3040">
        <v>11.1</v>
      </c>
      <c r="R3040">
        <v>4</v>
      </c>
      <c r="S3040">
        <v>3</v>
      </c>
      <c r="T3040">
        <v>6</v>
      </c>
      <c r="U3040" t="s">
        <v>23</v>
      </c>
      <c r="V3040" t="e">
        <f>IF(#REF! = "yes", 1, 0)</f>
        <v>#REF!</v>
      </c>
      <c r="W3040" t="e">
        <f>IF(#REF! &lt;= 1, "0-1 Calls", IF(#REF! &lt;= 3, "2-3 Calls", IF(#REF! &lt;=5, "4-5 Calls", "6+ Calls")))</f>
        <v>#REF!</v>
      </c>
      <c r="X3040" t="e">
        <f>IF(#REF! &lt;= 50, "0-50", IF(#REF! &lt;=100, "51-100", IF(#REF! &lt;= 150, "101-150", "151+")))</f>
        <v>#REF!</v>
      </c>
      <c r="Y3040" t="e">
        <f>IF(#REF! &lt;= 3, "Low Charges", "High Charges")</f>
        <v>#REF!</v>
      </c>
      <c r="Z3040" t="e">
        <f>IF(#REF!&lt;=80,"Low Calls",
IF(#REF!&lt;=120,"Medium Calls","High Calls"))</f>
        <v>#REF!</v>
      </c>
      <c r="AA3040" t="e">
        <f>IF(#REF!&lt;=15,"Low Charges",
IF(#REF!&lt;=20,"Medium Charges","High Charges"))</f>
        <v>#REF!</v>
      </c>
      <c r="AB3040" t="e">
        <f>IF(AND(#REF!&gt;180, #REF!&gt;200), "Heavy Doemstic User", IF(#REF!&gt;10, "Interntional User", IF(AND(#REF!&lt;180, #REF!&lt;200,#REF!&lt;200), "Light User", "Balanced User")))</f>
        <v>#REF!</v>
      </c>
      <c r="AC3040" t="e">
        <f>IF(#REF! = 0, "No Usage", IF(#REF! &lt;= 20, "Low Usage", IF(#REF! &lt;= 40, "Medium Usgae", "High Usage")))</f>
        <v>#REF!</v>
      </c>
      <c r="AD3040" t="e">
        <f>IF(#REF!&lt;=150,"Low Usage", IF(#REF!&lt;=200,"Medium Usage", IF(#REF!&lt;=250,"High Usage","Very High Usage")))</f>
        <v>#REF!</v>
      </c>
      <c r="AE3040" t="e">
        <f>IF(#REF!&lt;=5,"Low Calls", IF(#REF!&lt;=10, "Medium Calls", "High Calls"))</f>
        <v>#REF!</v>
      </c>
      <c r="AF3040" t="e">
        <f xml:space="preserve">
IF(#REF!&gt;=4,4,0)+
IF(#REF!="yes",3,0)+
IF(#REF!="High Charges",3,0)+
IF(#REF!&gt;250,4,0)+
IF(#REF!="no",1,0)+
IF(#REF!="Heavy Domestic User",2,0)</f>
        <v>#REF!</v>
      </c>
      <c r="AG3040" t="e">
        <f>IF(#REF!&gt;=10,"High Risk", IF(#REF!&gt;=5,"Medium Risk","Low Risk"))</f>
        <v>#REF!</v>
      </c>
      <c r="AH3040" t="e">
        <f>#REF! + #REF! + #REF! + #REF!</f>
        <v>#REF!</v>
      </c>
    </row>
    <row r="3041" spans="1:34" x14ac:dyDescent="0.35">
      <c r="A3041">
        <v>3040</v>
      </c>
      <c r="B3041" t="s">
        <v>54</v>
      </c>
      <c r="C3041">
        <v>64</v>
      </c>
      <c r="D3041" t="s">
        <v>21</v>
      </c>
      <c r="E3041" t="s">
        <v>22</v>
      </c>
      <c r="F3041" t="s">
        <v>23</v>
      </c>
      <c r="G3041">
        <v>31</v>
      </c>
      <c r="H3041">
        <v>281.89999999999998</v>
      </c>
      <c r="I3041">
        <v>121</v>
      </c>
      <c r="J3041">
        <v>47.92</v>
      </c>
      <c r="K3041">
        <v>240.6</v>
      </c>
      <c r="L3041">
        <v>104</v>
      </c>
      <c r="M3041">
        <v>20.45</v>
      </c>
      <c r="N3041">
        <v>212.2</v>
      </c>
      <c r="O3041">
        <v>120</v>
      </c>
      <c r="P3041">
        <v>9.5500000000000007</v>
      </c>
      <c r="Q3041">
        <v>7</v>
      </c>
      <c r="R3041">
        <v>5</v>
      </c>
      <c r="S3041">
        <v>1.89</v>
      </c>
      <c r="T3041">
        <v>3</v>
      </c>
      <c r="U3041" t="s">
        <v>22</v>
      </c>
      <c r="V3041" t="e">
        <f>IF(#REF! = "yes", 1, 0)</f>
        <v>#REF!</v>
      </c>
      <c r="W3041" t="e">
        <f>IF(#REF! &lt;= 1, "0-1 Calls", IF(#REF! &lt;= 3, "2-3 Calls", IF(#REF! &lt;=5, "4-5 Calls", "6+ Calls")))</f>
        <v>#REF!</v>
      </c>
      <c r="X3041" t="e">
        <f>IF(#REF! &lt;= 50, "0-50", IF(#REF! &lt;=100, "51-100", IF(#REF! &lt;= 150, "101-150", "151+")))</f>
        <v>#REF!</v>
      </c>
      <c r="Y3041" t="e">
        <f>IF(#REF! &lt;= 3, "Low Charges", "High Charges")</f>
        <v>#REF!</v>
      </c>
      <c r="Z3041" t="e">
        <f>IF(#REF!&lt;=80,"Low Calls",
IF(#REF!&lt;=120,"Medium Calls","High Calls"))</f>
        <v>#REF!</v>
      </c>
      <c r="AA3041" t="e">
        <f>IF(#REF!&lt;=15,"Low Charges",
IF(#REF!&lt;=20,"Medium Charges","High Charges"))</f>
        <v>#REF!</v>
      </c>
      <c r="AB3041" t="e">
        <f>IF(AND(#REF!&gt;180, #REF!&gt;200), "Heavy Doemstic User", IF(#REF!&gt;10, "Interntional User", IF(AND(#REF!&lt;180, #REF!&lt;200,#REF!&lt;200), "Light User", "Balanced User")))</f>
        <v>#REF!</v>
      </c>
      <c r="AC3041" t="e">
        <f>IF(#REF! = 0, "No Usage", IF(#REF! &lt;= 20, "Low Usage", IF(#REF! &lt;= 40, "Medium Usgae", "High Usage")))</f>
        <v>#REF!</v>
      </c>
      <c r="AD3041" t="e">
        <f>IF(#REF!&lt;=150,"Low Usage", IF(#REF!&lt;=200,"Medium Usage", IF(#REF!&lt;=250,"High Usage","Very High Usage")))</f>
        <v>#REF!</v>
      </c>
      <c r="AE3041" t="e">
        <f>IF(#REF!&lt;=5,"Low Calls", IF(#REF!&lt;=10, "Medium Calls", "High Calls"))</f>
        <v>#REF!</v>
      </c>
      <c r="AF3041" t="e">
        <f xml:space="preserve">
IF(#REF!&gt;=4,4,0)+
IF(#REF!="yes",3,0)+
IF(#REF!="High Charges",3,0)+
IF(#REF!&gt;250,4,0)+
IF(#REF!="no",1,0)+
IF(#REF!="Heavy Domestic User",2,0)</f>
        <v>#REF!</v>
      </c>
      <c r="AG3041" t="e">
        <f>IF(#REF!&gt;=10,"High Risk", IF(#REF!&gt;=5,"Medium Risk","Low Risk"))</f>
        <v>#REF!</v>
      </c>
      <c r="AH3041" t="e">
        <f>#REF! + #REF! + #REF! + #REF!</f>
        <v>#REF!</v>
      </c>
    </row>
    <row r="3042" spans="1:34" x14ac:dyDescent="0.35">
      <c r="A3042">
        <v>3041</v>
      </c>
      <c r="B3042" t="s">
        <v>73</v>
      </c>
      <c r="C3042">
        <v>167</v>
      </c>
      <c r="D3042" t="s">
        <v>21</v>
      </c>
      <c r="E3042" t="s">
        <v>23</v>
      </c>
      <c r="F3042" t="s">
        <v>22</v>
      </c>
      <c r="G3042">
        <v>0</v>
      </c>
      <c r="H3042">
        <v>181.2</v>
      </c>
      <c r="I3042">
        <v>122</v>
      </c>
      <c r="J3042">
        <v>30.8</v>
      </c>
      <c r="K3042">
        <v>262.5</v>
      </c>
      <c r="L3042">
        <v>77</v>
      </c>
      <c r="M3042">
        <v>22.31</v>
      </c>
      <c r="N3042">
        <v>214</v>
      </c>
      <c r="O3042">
        <v>88</v>
      </c>
      <c r="P3042">
        <v>9.6300000000000008</v>
      </c>
      <c r="Q3042">
        <v>8.4</v>
      </c>
      <c r="R3042">
        <v>4</v>
      </c>
      <c r="S3042">
        <v>2.27</v>
      </c>
      <c r="T3042">
        <v>0</v>
      </c>
      <c r="U3042" t="s">
        <v>22</v>
      </c>
      <c r="V3042" t="e">
        <f>IF(#REF! = "yes", 1, 0)</f>
        <v>#REF!</v>
      </c>
      <c r="W3042" t="e">
        <f>IF(#REF! &lt;= 1, "0-1 Calls", IF(#REF! &lt;= 3, "2-3 Calls", IF(#REF! &lt;=5, "4-5 Calls", "6+ Calls")))</f>
        <v>#REF!</v>
      </c>
      <c r="X3042" t="e">
        <f>IF(#REF! &lt;= 50, "0-50", IF(#REF! &lt;=100, "51-100", IF(#REF! &lt;= 150, "101-150", "151+")))</f>
        <v>#REF!</v>
      </c>
      <c r="Y3042" t="e">
        <f>IF(#REF! &lt;= 3, "Low Charges", "High Charges")</f>
        <v>#REF!</v>
      </c>
      <c r="Z3042" t="e">
        <f>IF(#REF!&lt;=80,"Low Calls",
IF(#REF!&lt;=120,"Medium Calls","High Calls"))</f>
        <v>#REF!</v>
      </c>
      <c r="AA3042" t="e">
        <f>IF(#REF!&lt;=15,"Low Charges",
IF(#REF!&lt;=20,"Medium Charges","High Charges"))</f>
        <v>#REF!</v>
      </c>
      <c r="AB3042" t="e">
        <f>IF(AND(#REF!&gt;180, #REF!&gt;200), "Heavy Doemstic User", IF(#REF!&gt;10, "Interntional User", IF(AND(#REF!&lt;180, #REF!&lt;200,#REF!&lt;200), "Light User", "Balanced User")))</f>
        <v>#REF!</v>
      </c>
      <c r="AC3042" t="e">
        <f>IF(#REF! = 0, "No Usage", IF(#REF! &lt;= 20, "Low Usage", IF(#REF! &lt;= 40, "Medium Usgae", "High Usage")))</f>
        <v>#REF!</v>
      </c>
      <c r="AD3042" t="e">
        <f>IF(#REF!&lt;=150,"Low Usage", IF(#REF!&lt;=200,"Medium Usage", IF(#REF!&lt;=250,"High Usage","Very High Usage")))</f>
        <v>#REF!</v>
      </c>
      <c r="AE3042" t="e">
        <f>IF(#REF!&lt;=5,"Low Calls", IF(#REF!&lt;=10, "Medium Calls", "High Calls"))</f>
        <v>#REF!</v>
      </c>
      <c r="AF3042" t="e">
        <f xml:space="preserve">
IF(#REF!&gt;=4,4,0)+
IF(#REF!="yes",3,0)+
IF(#REF!="High Charges",3,0)+
IF(#REF!&gt;250,4,0)+
IF(#REF!="no",1,0)+
IF(#REF!="Heavy Domestic User",2,0)</f>
        <v>#REF!</v>
      </c>
      <c r="AG3042" t="e">
        <f>IF(#REF!&gt;=10,"High Risk", IF(#REF!&gt;=5,"Medium Risk","Low Risk"))</f>
        <v>#REF!</v>
      </c>
      <c r="AH3042" t="e">
        <f>#REF! + #REF! + #REF! + #REF!</f>
        <v>#REF!</v>
      </c>
    </row>
    <row r="3043" spans="1:34" x14ac:dyDescent="0.35">
      <c r="A3043">
        <v>3042</v>
      </c>
      <c r="B3043" t="s">
        <v>24</v>
      </c>
      <c r="C3043">
        <v>139</v>
      </c>
      <c r="D3043" t="s">
        <v>21</v>
      </c>
      <c r="E3043" t="s">
        <v>22</v>
      </c>
      <c r="F3043" t="s">
        <v>22</v>
      </c>
      <c r="G3043">
        <v>0</v>
      </c>
      <c r="H3043">
        <v>63.3</v>
      </c>
      <c r="I3043">
        <v>116</v>
      </c>
      <c r="J3043">
        <v>10.76</v>
      </c>
      <c r="K3043">
        <v>177.3</v>
      </c>
      <c r="L3043">
        <v>113</v>
      </c>
      <c r="M3043">
        <v>15.07</v>
      </c>
      <c r="N3043">
        <v>171.6</v>
      </c>
      <c r="O3043">
        <v>82</v>
      </c>
      <c r="P3043">
        <v>7.72</v>
      </c>
      <c r="Q3043">
        <v>14.2</v>
      </c>
      <c r="R3043">
        <v>4</v>
      </c>
      <c r="S3043">
        <v>3.83</v>
      </c>
      <c r="T3043">
        <v>1</v>
      </c>
      <c r="U3043" t="s">
        <v>22</v>
      </c>
      <c r="V3043" t="e">
        <f>IF(#REF! = "yes", 1, 0)</f>
        <v>#REF!</v>
      </c>
      <c r="W3043" t="e">
        <f>IF(#REF! &lt;= 1, "0-1 Calls", IF(#REF! &lt;= 3, "2-3 Calls", IF(#REF! &lt;=5, "4-5 Calls", "6+ Calls")))</f>
        <v>#REF!</v>
      </c>
      <c r="X3043" t="e">
        <f>IF(#REF! &lt;= 50, "0-50", IF(#REF! &lt;=100, "51-100", IF(#REF! &lt;= 150, "101-150", "151+")))</f>
        <v>#REF!</v>
      </c>
      <c r="Y3043" t="e">
        <f>IF(#REF! &lt;= 3, "Low Charges", "High Charges")</f>
        <v>#REF!</v>
      </c>
      <c r="Z3043" t="e">
        <f>IF(#REF!&lt;=80,"Low Calls",
IF(#REF!&lt;=120,"Medium Calls","High Calls"))</f>
        <v>#REF!</v>
      </c>
      <c r="AA3043" t="e">
        <f>IF(#REF!&lt;=15,"Low Charges",
IF(#REF!&lt;=20,"Medium Charges","High Charges"))</f>
        <v>#REF!</v>
      </c>
      <c r="AB3043" t="e">
        <f>IF(AND(#REF!&gt;180, #REF!&gt;200), "Heavy Doemstic User", IF(#REF!&gt;10, "Interntional User", IF(AND(#REF!&lt;180, #REF!&lt;200,#REF!&lt;200), "Light User", "Balanced User")))</f>
        <v>#REF!</v>
      </c>
      <c r="AC3043" t="e">
        <f>IF(#REF! = 0, "No Usage", IF(#REF! &lt;= 20, "Low Usage", IF(#REF! &lt;= 40, "Medium Usgae", "High Usage")))</f>
        <v>#REF!</v>
      </c>
      <c r="AD3043" t="e">
        <f>IF(#REF!&lt;=150,"Low Usage", IF(#REF!&lt;=200,"Medium Usage", IF(#REF!&lt;=250,"High Usage","Very High Usage")))</f>
        <v>#REF!</v>
      </c>
      <c r="AE3043" t="e">
        <f>IF(#REF!&lt;=5,"Low Calls", IF(#REF!&lt;=10, "Medium Calls", "High Calls"))</f>
        <v>#REF!</v>
      </c>
      <c r="AF3043" t="e">
        <f xml:space="preserve">
IF(#REF!&gt;=4,4,0)+
IF(#REF!="yes",3,0)+
IF(#REF!="High Charges",3,0)+
IF(#REF!&gt;250,4,0)+
IF(#REF!="no",1,0)+
IF(#REF!="Heavy Domestic User",2,0)</f>
        <v>#REF!</v>
      </c>
      <c r="AG3043" t="e">
        <f>IF(#REF!&gt;=10,"High Risk", IF(#REF!&gt;=5,"Medium Risk","Low Risk"))</f>
        <v>#REF!</v>
      </c>
      <c r="AH3043" t="e">
        <f>#REF! + #REF! + #REF! + #REF!</f>
        <v>#REF!</v>
      </c>
    </row>
    <row r="3044" spans="1:34" x14ac:dyDescent="0.35">
      <c r="A3044">
        <v>3043</v>
      </c>
      <c r="B3044" t="s">
        <v>29</v>
      </c>
      <c r="C3044">
        <v>104</v>
      </c>
      <c r="D3044" t="s">
        <v>28</v>
      </c>
      <c r="E3044" t="s">
        <v>22</v>
      </c>
      <c r="F3044" t="s">
        <v>22</v>
      </c>
      <c r="G3044">
        <v>0</v>
      </c>
      <c r="H3044">
        <v>189.3</v>
      </c>
      <c r="I3044">
        <v>73</v>
      </c>
      <c r="J3044">
        <v>32.18</v>
      </c>
      <c r="K3044">
        <v>156.19999999999999</v>
      </c>
      <c r="L3044">
        <v>120</v>
      </c>
      <c r="M3044">
        <v>13.28</v>
      </c>
      <c r="N3044">
        <v>232.2</v>
      </c>
      <c r="O3044">
        <v>76</v>
      </c>
      <c r="P3044">
        <v>10.45</v>
      </c>
      <c r="Q3044">
        <v>7.5</v>
      </c>
      <c r="R3044">
        <v>8</v>
      </c>
      <c r="S3044">
        <v>2.0299999999999998</v>
      </c>
      <c r="T3044">
        <v>3</v>
      </c>
      <c r="U3044" t="s">
        <v>22</v>
      </c>
      <c r="V3044" t="e">
        <f>IF(#REF! = "yes", 1, 0)</f>
        <v>#REF!</v>
      </c>
      <c r="W3044" t="e">
        <f>IF(#REF! &lt;= 1, "0-1 Calls", IF(#REF! &lt;= 3, "2-3 Calls", IF(#REF! &lt;=5, "4-5 Calls", "6+ Calls")))</f>
        <v>#REF!</v>
      </c>
      <c r="X3044" t="e">
        <f>IF(#REF! &lt;= 50, "0-50", IF(#REF! &lt;=100, "51-100", IF(#REF! &lt;= 150, "101-150", "151+")))</f>
        <v>#REF!</v>
      </c>
      <c r="Y3044" t="e">
        <f>IF(#REF! &lt;= 3, "Low Charges", "High Charges")</f>
        <v>#REF!</v>
      </c>
      <c r="Z3044" t="e">
        <f>IF(#REF!&lt;=80,"Low Calls",
IF(#REF!&lt;=120,"Medium Calls","High Calls"))</f>
        <v>#REF!</v>
      </c>
      <c r="AA3044" t="e">
        <f>IF(#REF!&lt;=15,"Low Charges",
IF(#REF!&lt;=20,"Medium Charges","High Charges"))</f>
        <v>#REF!</v>
      </c>
      <c r="AB3044" t="e">
        <f>IF(AND(#REF!&gt;180, #REF!&gt;200), "Heavy Doemstic User", IF(#REF!&gt;10, "Interntional User", IF(AND(#REF!&lt;180, #REF!&lt;200,#REF!&lt;200), "Light User", "Balanced User")))</f>
        <v>#REF!</v>
      </c>
      <c r="AC3044" t="e">
        <f>IF(#REF! = 0, "No Usage", IF(#REF! &lt;= 20, "Low Usage", IF(#REF! &lt;= 40, "Medium Usgae", "High Usage")))</f>
        <v>#REF!</v>
      </c>
      <c r="AD3044" t="e">
        <f>IF(#REF!&lt;=150,"Low Usage", IF(#REF!&lt;=200,"Medium Usage", IF(#REF!&lt;=250,"High Usage","Very High Usage")))</f>
        <v>#REF!</v>
      </c>
      <c r="AE3044" t="e">
        <f>IF(#REF!&lt;=5,"Low Calls", IF(#REF!&lt;=10, "Medium Calls", "High Calls"))</f>
        <v>#REF!</v>
      </c>
      <c r="AF3044" t="e">
        <f xml:space="preserve">
IF(#REF!&gt;=4,4,0)+
IF(#REF!="yes",3,0)+
IF(#REF!="High Charges",3,0)+
IF(#REF!&gt;250,4,0)+
IF(#REF!="no",1,0)+
IF(#REF!="Heavy Domestic User",2,0)</f>
        <v>#REF!</v>
      </c>
      <c r="AG3044" t="e">
        <f>IF(#REF!&gt;=10,"High Risk", IF(#REF!&gt;=5,"Medium Risk","Low Risk"))</f>
        <v>#REF!</v>
      </c>
      <c r="AH3044" t="e">
        <f>#REF! + #REF! + #REF! + #REF!</f>
        <v>#REF!</v>
      </c>
    </row>
    <row r="3045" spans="1:34" x14ac:dyDescent="0.35">
      <c r="A3045">
        <v>3044</v>
      </c>
      <c r="B3045" t="s">
        <v>26</v>
      </c>
      <c r="C3045">
        <v>78</v>
      </c>
      <c r="D3045" t="s">
        <v>28</v>
      </c>
      <c r="E3045" t="s">
        <v>22</v>
      </c>
      <c r="F3045" t="s">
        <v>22</v>
      </c>
      <c r="G3045">
        <v>0</v>
      </c>
      <c r="H3045">
        <v>140</v>
      </c>
      <c r="I3045">
        <v>84</v>
      </c>
      <c r="J3045">
        <v>23.8</v>
      </c>
      <c r="K3045">
        <v>216.8</v>
      </c>
      <c r="L3045">
        <v>73</v>
      </c>
      <c r="M3045">
        <v>18.43</v>
      </c>
      <c r="N3045">
        <v>224.5</v>
      </c>
      <c r="O3045">
        <v>102</v>
      </c>
      <c r="P3045">
        <v>10.1</v>
      </c>
      <c r="Q3045">
        <v>9</v>
      </c>
      <c r="R3045">
        <v>6</v>
      </c>
      <c r="S3045">
        <v>2.4300000000000002</v>
      </c>
      <c r="T3045">
        <v>2</v>
      </c>
      <c r="U3045" t="s">
        <v>22</v>
      </c>
      <c r="V3045" t="e">
        <f>IF(#REF! = "yes", 1, 0)</f>
        <v>#REF!</v>
      </c>
      <c r="W3045" t="e">
        <f>IF(#REF! &lt;= 1, "0-1 Calls", IF(#REF! &lt;= 3, "2-3 Calls", IF(#REF! &lt;=5, "4-5 Calls", "6+ Calls")))</f>
        <v>#REF!</v>
      </c>
      <c r="X3045" t="e">
        <f>IF(#REF! &lt;= 50, "0-50", IF(#REF! &lt;=100, "51-100", IF(#REF! &lt;= 150, "101-150", "151+")))</f>
        <v>#REF!</v>
      </c>
      <c r="Y3045" t="e">
        <f>IF(#REF! &lt;= 3, "Low Charges", "High Charges")</f>
        <v>#REF!</v>
      </c>
      <c r="Z3045" t="e">
        <f>IF(#REF!&lt;=80,"Low Calls",
IF(#REF!&lt;=120,"Medium Calls","High Calls"))</f>
        <v>#REF!</v>
      </c>
      <c r="AA3045" t="e">
        <f>IF(#REF!&lt;=15,"Low Charges",
IF(#REF!&lt;=20,"Medium Charges","High Charges"))</f>
        <v>#REF!</v>
      </c>
      <c r="AB3045" t="e">
        <f>IF(AND(#REF!&gt;180, #REF!&gt;200), "Heavy Doemstic User", IF(#REF!&gt;10, "Interntional User", IF(AND(#REF!&lt;180, #REF!&lt;200,#REF!&lt;200), "Light User", "Balanced User")))</f>
        <v>#REF!</v>
      </c>
      <c r="AC3045" t="e">
        <f>IF(#REF! = 0, "No Usage", IF(#REF! &lt;= 20, "Low Usage", IF(#REF! &lt;= 40, "Medium Usgae", "High Usage")))</f>
        <v>#REF!</v>
      </c>
      <c r="AD3045" t="e">
        <f>IF(#REF!&lt;=150,"Low Usage", IF(#REF!&lt;=200,"Medium Usage", IF(#REF!&lt;=250,"High Usage","Very High Usage")))</f>
        <v>#REF!</v>
      </c>
      <c r="AE3045" t="e">
        <f>IF(#REF!&lt;=5,"Low Calls", IF(#REF!&lt;=10, "Medium Calls", "High Calls"))</f>
        <v>#REF!</v>
      </c>
      <c r="AF3045" t="e">
        <f xml:space="preserve">
IF(#REF!&gt;=4,4,0)+
IF(#REF!="yes",3,0)+
IF(#REF!="High Charges",3,0)+
IF(#REF!&gt;250,4,0)+
IF(#REF!="no",1,0)+
IF(#REF!="Heavy Domestic User",2,0)</f>
        <v>#REF!</v>
      </c>
      <c r="AG3045" t="e">
        <f>IF(#REF!&gt;=10,"High Risk", IF(#REF!&gt;=5,"Medium Risk","Low Risk"))</f>
        <v>#REF!</v>
      </c>
      <c r="AH3045" t="e">
        <f>#REF! + #REF! + #REF! + #REF!</f>
        <v>#REF!</v>
      </c>
    </row>
    <row r="3046" spans="1:34" x14ac:dyDescent="0.35">
      <c r="A3046">
        <v>3045</v>
      </c>
      <c r="B3046" t="s">
        <v>33</v>
      </c>
      <c r="C3046">
        <v>60</v>
      </c>
      <c r="D3046" t="s">
        <v>21</v>
      </c>
      <c r="E3046" t="s">
        <v>22</v>
      </c>
      <c r="F3046" t="s">
        <v>22</v>
      </c>
      <c r="G3046">
        <v>0</v>
      </c>
      <c r="H3046">
        <v>221</v>
      </c>
      <c r="I3046">
        <v>94</v>
      </c>
      <c r="J3046">
        <v>37.57</v>
      </c>
      <c r="K3046">
        <v>308.2</v>
      </c>
      <c r="L3046">
        <v>72</v>
      </c>
      <c r="M3046">
        <v>26.2</v>
      </c>
      <c r="N3046">
        <v>233.2</v>
      </c>
      <c r="O3046">
        <v>94</v>
      </c>
      <c r="P3046">
        <v>10.49</v>
      </c>
      <c r="Q3046">
        <v>10.1</v>
      </c>
      <c r="R3046">
        <v>5</v>
      </c>
      <c r="S3046">
        <v>2.73</v>
      </c>
      <c r="T3046">
        <v>1</v>
      </c>
      <c r="U3046" t="s">
        <v>23</v>
      </c>
      <c r="V3046" t="e">
        <f>IF(#REF! = "yes", 1, 0)</f>
        <v>#REF!</v>
      </c>
      <c r="W3046" t="e">
        <f>IF(#REF! &lt;= 1, "0-1 Calls", IF(#REF! &lt;= 3, "2-3 Calls", IF(#REF! &lt;=5, "4-5 Calls", "6+ Calls")))</f>
        <v>#REF!</v>
      </c>
      <c r="X3046" t="e">
        <f>IF(#REF! &lt;= 50, "0-50", IF(#REF! &lt;=100, "51-100", IF(#REF! &lt;= 150, "101-150", "151+")))</f>
        <v>#REF!</v>
      </c>
      <c r="Y3046" t="e">
        <f>IF(#REF! &lt;= 3, "Low Charges", "High Charges")</f>
        <v>#REF!</v>
      </c>
      <c r="Z3046" t="e">
        <f>IF(#REF!&lt;=80,"Low Calls",
IF(#REF!&lt;=120,"Medium Calls","High Calls"))</f>
        <v>#REF!</v>
      </c>
      <c r="AA3046" t="e">
        <f>IF(#REF!&lt;=15,"Low Charges",
IF(#REF!&lt;=20,"Medium Charges","High Charges"))</f>
        <v>#REF!</v>
      </c>
      <c r="AB3046" t="e">
        <f>IF(AND(#REF!&gt;180, #REF!&gt;200), "Heavy Doemstic User", IF(#REF!&gt;10, "Interntional User", IF(AND(#REF!&lt;180, #REF!&lt;200,#REF!&lt;200), "Light User", "Balanced User")))</f>
        <v>#REF!</v>
      </c>
      <c r="AC3046" t="e">
        <f>IF(#REF! = 0, "No Usage", IF(#REF! &lt;= 20, "Low Usage", IF(#REF! &lt;= 40, "Medium Usgae", "High Usage")))</f>
        <v>#REF!</v>
      </c>
      <c r="AD3046" t="e">
        <f>IF(#REF!&lt;=150,"Low Usage", IF(#REF!&lt;=200,"Medium Usage", IF(#REF!&lt;=250,"High Usage","Very High Usage")))</f>
        <v>#REF!</v>
      </c>
      <c r="AE3046" t="e">
        <f>IF(#REF!&lt;=5,"Low Calls", IF(#REF!&lt;=10, "Medium Calls", "High Calls"))</f>
        <v>#REF!</v>
      </c>
      <c r="AF3046" t="e">
        <f xml:space="preserve">
IF(#REF!&gt;=4,4,0)+
IF(#REF!="yes",3,0)+
IF(#REF!="High Charges",3,0)+
IF(#REF!&gt;250,4,0)+
IF(#REF!="no",1,0)+
IF(#REF!="Heavy Domestic User",2,0)</f>
        <v>#REF!</v>
      </c>
      <c r="AG3046" t="e">
        <f>IF(#REF!&gt;=10,"High Risk", IF(#REF!&gt;=5,"Medium Risk","Low Risk"))</f>
        <v>#REF!</v>
      </c>
      <c r="AH3046" t="e">
        <f>#REF! + #REF! + #REF! + #REF!</f>
        <v>#REF!</v>
      </c>
    </row>
    <row r="3047" spans="1:34" x14ac:dyDescent="0.35">
      <c r="A3047">
        <v>3046</v>
      </c>
      <c r="B3047" t="s">
        <v>67</v>
      </c>
      <c r="C3047">
        <v>171</v>
      </c>
      <c r="D3047" t="s">
        <v>28</v>
      </c>
      <c r="E3047" t="s">
        <v>23</v>
      </c>
      <c r="F3047" t="s">
        <v>22</v>
      </c>
      <c r="G3047">
        <v>0</v>
      </c>
      <c r="H3047">
        <v>191.6</v>
      </c>
      <c r="I3047">
        <v>83</v>
      </c>
      <c r="J3047">
        <v>32.57</v>
      </c>
      <c r="K3047">
        <v>181.1</v>
      </c>
      <c r="L3047">
        <v>103</v>
      </c>
      <c r="M3047">
        <v>15.39</v>
      </c>
      <c r="N3047">
        <v>195.3</v>
      </c>
      <c r="O3047">
        <v>73</v>
      </c>
      <c r="P3047">
        <v>8.7899999999999991</v>
      </c>
      <c r="Q3047">
        <v>8.6</v>
      </c>
      <c r="R3047">
        <v>3</v>
      </c>
      <c r="S3047">
        <v>2.3199999999999998</v>
      </c>
      <c r="T3047">
        <v>3</v>
      </c>
      <c r="U3047" t="s">
        <v>22</v>
      </c>
      <c r="V3047" t="e">
        <f>IF(#REF! = "yes", 1, 0)</f>
        <v>#REF!</v>
      </c>
      <c r="W3047" t="e">
        <f>IF(#REF! &lt;= 1, "0-1 Calls", IF(#REF! &lt;= 3, "2-3 Calls", IF(#REF! &lt;=5, "4-5 Calls", "6+ Calls")))</f>
        <v>#REF!</v>
      </c>
      <c r="X3047" t="e">
        <f>IF(#REF! &lt;= 50, "0-50", IF(#REF! &lt;=100, "51-100", IF(#REF! &lt;= 150, "101-150", "151+")))</f>
        <v>#REF!</v>
      </c>
      <c r="Y3047" t="e">
        <f>IF(#REF! &lt;= 3, "Low Charges", "High Charges")</f>
        <v>#REF!</v>
      </c>
      <c r="Z3047" t="e">
        <f>IF(#REF!&lt;=80,"Low Calls",
IF(#REF!&lt;=120,"Medium Calls","High Calls"))</f>
        <v>#REF!</v>
      </c>
      <c r="AA3047" t="e">
        <f>IF(#REF!&lt;=15,"Low Charges",
IF(#REF!&lt;=20,"Medium Charges","High Charges"))</f>
        <v>#REF!</v>
      </c>
      <c r="AB3047" t="e">
        <f>IF(AND(#REF!&gt;180, #REF!&gt;200), "Heavy Doemstic User", IF(#REF!&gt;10, "Interntional User", IF(AND(#REF!&lt;180, #REF!&lt;200,#REF!&lt;200), "Light User", "Balanced User")))</f>
        <v>#REF!</v>
      </c>
      <c r="AC3047" t="e">
        <f>IF(#REF! = 0, "No Usage", IF(#REF! &lt;= 20, "Low Usage", IF(#REF! &lt;= 40, "Medium Usgae", "High Usage")))</f>
        <v>#REF!</v>
      </c>
      <c r="AD3047" t="e">
        <f>IF(#REF!&lt;=150,"Low Usage", IF(#REF!&lt;=200,"Medium Usage", IF(#REF!&lt;=250,"High Usage","Very High Usage")))</f>
        <v>#REF!</v>
      </c>
      <c r="AE3047" t="e">
        <f>IF(#REF!&lt;=5,"Low Calls", IF(#REF!&lt;=10, "Medium Calls", "High Calls"))</f>
        <v>#REF!</v>
      </c>
      <c r="AF3047" t="e">
        <f xml:space="preserve">
IF(#REF!&gt;=4,4,0)+
IF(#REF!="yes",3,0)+
IF(#REF!="High Charges",3,0)+
IF(#REF!&gt;250,4,0)+
IF(#REF!="no",1,0)+
IF(#REF!="Heavy Domestic User",2,0)</f>
        <v>#REF!</v>
      </c>
      <c r="AG3047" t="e">
        <f>IF(#REF!&gt;=10,"High Risk", IF(#REF!&gt;=5,"Medium Risk","Low Risk"))</f>
        <v>#REF!</v>
      </c>
      <c r="AH3047" t="e">
        <f>#REF! + #REF! + #REF! + #REF!</f>
        <v>#REF!</v>
      </c>
    </row>
    <row r="3048" spans="1:34" x14ac:dyDescent="0.35">
      <c r="A3048">
        <v>3047</v>
      </c>
      <c r="B3048" t="s">
        <v>38</v>
      </c>
      <c r="C3048">
        <v>88</v>
      </c>
      <c r="D3048" t="s">
        <v>21</v>
      </c>
      <c r="E3048" t="s">
        <v>22</v>
      </c>
      <c r="F3048" t="s">
        <v>22</v>
      </c>
      <c r="G3048">
        <v>0</v>
      </c>
      <c r="H3048">
        <v>294.3</v>
      </c>
      <c r="I3048">
        <v>83</v>
      </c>
      <c r="J3048">
        <v>50.03</v>
      </c>
      <c r="K3048">
        <v>172.1</v>
      </c>
      <c r="L3048">
        <v>104</v>
      </c>
      <c r="M3048">
        <v>14.63</v>
      </c>
      <c r="N3048">
        <v>177.3</v>
      </c>
      <c r="O3048">
        <v>105</v>
      </c>
      <c r="P3048">
        <v>7.98</v>
      </c>
      <c r="Q3048">
        <v>5.8</v>
      </c>
      <c r="R3048">
        <v>7</v>
      </c>
      <c r="S3048">
        <v>1.57</v>
      </c>
      <c r="T3048">
        <v>2</v>
      </c>
      <c r="U3048" t="s">
        <v>23</v>
      </c>
      <c r="V3048" t="e">
        <f>IF(#REF! = "yes", 1, 0)</f>
        <v>#REF!</v>
      </c>
      <c r="W3048" t="e">
        <f>IF(#REF! &lt;= 1, "0-1 Calls", IF(#REF! &lt;= 3, "2-3 Calls", IF(#REF! &lt;=5, "4-5 Calls", "6+ Calls")))</f>
        <v>#REF!</v>
      </c>
      <c r="X3048" t="e">
        <f>IF(#REF! &lt;= 50, "0-50", IF(#REF! &lt;=100, "51-100", IF(#REF! &lt;= 150, "101-150", "151+")))</f>
        <v>#REF!</v>
      </c>
      <c r="Y3048" t="e">
        <f>IF(#REF! &lt;= 3, "Low Charges", "High Charges")</f>
        <v>#REF!</v>
      </c>
      <c r="Z3048" t="e">
        <f>IF(#REF!&lt;=80,"Low Calls",
IF(#REF!&lt;=120,"Medium Calls","High Calls"))</f>
        <v>#REF!</v>
      </c>
      <c r="AA3048" t="e">
        <f>IF(#REF!&lt;=15,"Low Charges",
IF(#REF!&lt;=20,"Medium Charges","High Charges"))</f>
        <v>#REF!</v>
      </c>
      <c r="AB3048" t="e">
        <f>IF(AND(#REF!&gt;180, #REF!&gt;200), "Heavy Doemstic User", IF(#REF!&gt;10, "Interntional User", IF(AND(#REF!&lt;180, #REF!&lt;200,#REF!&lt;200), "Light User", "Balanced User")))</f>
        <v>#REF!</v>
      </c>
      <c r="AC3048" t="e">
        <f>IF(#REF! = 0, "No Usage", IF(#REF! &lt;= 20, "Low Usage", IF(#REF! &lt;= 40, "Medium Usgae", "High Usage")))</f>
        <v>#REF!</v>
      </c>
      <c r="AD3048" t="e">
        <f>IF(#REF!&lt;=150,"Low Usage", IF(#REF!&lt;=200,"Medium Usage", IF(#REF!&lt;=250,"High Usage","Very High Usage")))</f>
        <v>#REF!</v>
      </c>
      <c r="AE3048" t="e">
        <f>IF(#REF!&lt;=5,"Low Calls", IF(#REF!&lt;=10, "Medium Calls", "High Calls"))</f>
        <v>#REF!</v>
      </c>
      <c r="AF3048" t="e">
        <f xml:space="preserve">
IF(#REF!&gt;=4,4,0)+
IF(#REF!="yes",3,0)+
IF(#REF!="High Charges",3,0)+
IF(#REF!&gt;250,4,0)+
IF(#REF!="no",1,0)+
IF(#REF!="Heavy Domestic User",2,0)</f>
        <v>#REF!</v>
      </c>
      <c r="AG3048" t="e">
        <f>IF(#REF!&gt;=10,"High Risk", IF(#REF!&gt;=5,"Medium Risk","Low Risk"))</f>
        <v>#REF!</v>
      </c>
      <c r="AH3048" t="e">
        <f>#REF! + #REF! + #REF! + #REF!</f>
        <v>#REF!</v>
      </c>
    </row>
    <row r="3049" spans="1:34" x14ac:dyDescent="0.35">
      <c r="A3049">
        <v>3048</v>
      </c>
      <c r="B3049" t="s">
        <v>72</v>
      </c>
      <c r="C3049">
        <v>156</v>
      </c>
      <c r="D3049" t="s">
        <v>21</v>
      </c>
      <c r="E3049" t="s">
        <v>22</v>
      </c>
      <c r="F3049" t="s">
        <v>22</v>
      </c>
      <c r="G3049">
        <v>0</v>
      </c>
      <c r="H3049">
        <v>162.6</v>
      </c>
      <c r="I3049">
        <v>113</v>
      </c>
      <c r="J3049">
        <v>27.64</v>
      </c>
      <c r="K3049">
        <v>260.2</v>
      </c>
      <c r="L3049">
        <v>90</v>
      </c>
      <c r="M3049">
        <v>22.12</v>
      </c>
      <c r="N3049">
        <v>214.7</v>
      </c>
      <c r="O3049">
        <v>93</v>
      </c>
      <c r="P3049">
        <v>9.66</v>
      </c>
      <c r="Q3049">
        <v>10.9</v>
      </c>
      <c r="R3049">
        <v>2</v>
      </c>
      <c r="S3049">
        <v>2.94</v>
      </c>
      <c r="T3049">
        <v>0</v>
      </c>
      <c r="U3049" t="s">
        <v>22</v>
      </c>
      <c r="V3049" t="e">
        <f>IF(#REF! = "yes", 1, 0)</f>
        <v>#REF!</v>
      </c>
      <c r="W3049" t="e">
        <f>IF(#REF! &lt;= 1, "0-1 Calls", IF(#REF! &lt;= 3, "2-3 Calls", IF(#REF! &lt;=5, "4-5 Calls", "6+ Calls")))</f>
        <v>#REF!</v>
      </c>
      <c r="X3049" t="e">
        <f>IF(#REF! &lt;= 50, "0-50", IF(#REF! &lt;=100, "51-100", IF(#REF! &lt;= 150, "101-150", "151+")))</f>
        <v>#REF!</v>
      </c>
      <c r="Y3049" t="e">
        <f>IF(#REF! &lt;= 3, "Low Charges", "High Charges")</f>
        <v>#REF!</v>
      </c>
      <c r="Z3049" t="e">
        <f>IF(#REF!&lt;=80,"Low Calls",
IF(#REF!&lt;=120,"Medium Calls","High Calls"))</f>
        <v>#REF!</v>
      </c>
      <c r="AA3049" t="e">
        <f>IF(#REF!&lt;=15,"Low Charges",
IF(#REF!&lt;=20,"Medium Charges","High Charges"))</f>
        <v>#REF!</v>
      </c>
      <c r="AB3049" t="e">
        <f>IF(AND(#REF!&gt;180, #REF!&gt;200), "Heavy Doemstic User", IF(#REF!&gt;10, "Interntional User", IF(AND(#REF!&lt;180, #REF!&lt;200,#REF!&lt;200), "Light User", "Balanced User")))</f>
        <v>#REF!</v>
      </c>
      <c r="AC3049" t="e">
        <f>IF(#REF! = 0, "No Usage", IF(#REF! &lt;= 20, "Low Usage", IF(#REF! &lt;= 40, "Medium Usgae", "High Usage")))</f>
        <v>#REF!</v>
      </c>
      <c r="AD3049" t="e">
        <f>IF(#REF!&lt;=150,"Low Usage", IF(#REF!&lt;=200,"Medium Usage", IF(#REF!&lt;=250,"High Usage","Very High Usage")))</f>
        <v>#REF!</v>
      </c>
      <c r="AE3049" t="e">
        <f>IF(#REF!&lt;=5,"Low Calls", IF(#REF!&lt;=10, "Medium Calls", "High Calls"))</f>
        <v>#REF!</v>
      </c>
      <c r="AF3049" t="e">
        <f xml:space="preserve">
IF(#REF!&gt;=4,4,0)+
IF(#REF!="yes",3,0)+
IF(#REF!="High Charges",3,0)+
IF(#REF!&gt;250,4,0)+
IF(#REF!="no",1,0)+
IF(#REF!="Heavy Domestic User",2,0)</f>
        <v>#REF!</v>
      </c>
      <c r="AG3049" t="e">
        <f>IF(#REF!&gt;=10,"High Risk", IF(#REF!&gt;=5,"Medium Risk","Low Risk"))</f>
        <v>#REF!</v>
      </c>
      <c r="AH3049" t="e">
        <f>#REF! + #REF! + #REF! + #REF!</f>
        <v>#REF!</v>
      </c>
    </row>
    <row r="3050" spans="1:34" x14ac:dyDescent="0.35">
      <c r="A3050">
        <v>3049</v>
      </c>
      <c r="B3050" t="s">
        <v>67</v>
      </c>
      <c r="C3050">
        <v>92</v>
      </c>
      <c r="D3050" t="s">
        <v>28</v>
      </c>
      <c r="E3050" t="s">
        <v>22</v>
      </c>
      <c r="F3050" t="s">
        <v>23</v>
      </c>
      <c r="G3050">
        <v>27</v>
      </c>
      <c r="H3050">
        <v>233.6</v>
      </c>
      <c r="I3050">
        <v>126</v>
      </c>
      <c r="J3050">
        <v>39.71</v>
      </c>
      <c r="K3050">
        <v>152.9</v>
      </c>
      <c r="L3050">
        <v>94</v>
      </c>
      <c r="M3050">
        <v>13</v>
      </c>
      <c r="N3050">
        <v>262.10000000000002</v>
      </c>
      <c r="O3050">
        <v>95</v>
      </c>
      <c r="P3050">
        <v>11.79</v>
      </c>
      <c r="Q3050">
        <v>12.8</v>
      </c>
      <c r="R3050">
        <v>4</v>
      </c>
      <c r="S3050">
        <v>3.46</v>
      </c>
      <c r="T3050">
        <v>1</v>
      </c>
      <c r="U3050" t="s">
        <v>22</v>
      </c>
      <c r="V3050" t="e">
        <f>IF(#REF! = "yes", 1, 0)</f>
        <v>#REF!</v>
      </c>
      <c r="W3050" t="e">
        <f>IF(#REF! &lt;= 1, "0-1 Calls", IF(#REF! &lt;= 3, "2-3 Calls", IF(#REF! &lt;=5, "4-5 Calls", "6+ Calls")))</f>
        <v>#REF!</v>
      </c>
      <c r="X3050" t="e">
        <f>IF(#REF! &lt;= 50, "0-50", IF(#REF! &lt;=100, "51-100", IF(#REF! &lt;= 150, "101-150", "151+")))</f>
        <v>#REF!</v>
      </c>
      <c r="Y3050" t="e">
        <f>IF(#REF! &lt;= 3, "Low Charges", "High Charges")</f>
        <v>#REF!</v>
      </c>
      <c r="Z3050" t="e">
        <f>IF(#REF!&lt;=80,"Low Calls",
IF(#REF!&lt;=120,"Medium Calls","High Calls"))</f>
        <v>#REF!</v>
      </c>
      <c r="AA3050" t="e">
        <f>IF(#REF!&lt;=15,"Low Charges",
IF(#REF!&lt;=20,"Medium Charges","High Charges"))</f>
        <v>#REF!</v>
      </c>
      <c r="AB3050" t="e">
        <f>IF(AND(#REF!&gt;180, #REF!&gt;200), "Heavy Doemstic User", IF(#REF!&gt;10, "Interntional User", IF(AND(#REF!&lt;180, #REF!&lt;200,#REF!&lt;200), "Light User", "Balanced User")))</f>
        <v>#REF!</v>
      </c>
      <c r="AC3050" t="e">
        <f>IF(#REF! = 0, "No Usage", IF(#REF! &lt;= 20, "Low Usage", IF(#REF! &lt;= 40, "Medium Usgae", "High Usage")))</f>
        <v>#REF!</v>
      </c>
      <c r="AD3050" t="e">
        <f>IF(#REF!&lt;=150,"Low Usage", IF(#REF!&lt;=200,"Medium Usage", IF(#REF!&lt;=250,"High Usage","Very High Usage")))</f>
        <v>#REF!</v>
      </c>
      <c r="AE3050" t="e">
        <f>IF(#REF!&lt;=5,"Low Calls", IF(#REF!&lt;=10, "Medium Calls", "High Calls"))</f>
        <v>#REF!</v>
      </c>
      <c r="AF3050" t="e">
        <f xml:space="preserve">
IF(#REF!&gt;=4,4,0)+
IF(#REF!="yes",3,0)+
IF(#REF!="High Charges",3,0)+
IF(#REF!&gt;250,4,0)+
IF(#REF!="no",1,0)+
IF(#REF!="Heavy Domestic User",2,0)</f>
        <v>#REF!</v>
      </c>
      <c r="AG3050" t="e">
        <f>IF(#REF!&gt;=10,"High Risk", IF(#REF!&gt;=5,"Medium Risk","Low Risk"))</f>
        <v>#REF!</v>
      </c>
      <c r="AH3050" t="e">
        <f>#REF! + #REF! + #REF! + #REF!</f>
        <v>#REF!</v>
      </c>
    </row>
    <row r="3051" spans="1:34" x14ac:dyDescent="0.35">
      <c r="A3051">
        <v>3050</v>
      </c>
      <c r="B3051" t="s">
        <v>26</v>
      </c>
      <c r="C3051">
        <v>78</v>
      </c>
      <c r="D3051" t="s">
        <v>21</v>
      </c>
      <c r="E3051" t="s">
        <v>22</v>
      </c>
      <c r="F3051" t="s">
        <v>22</v>
      </c>
      <c r="G3051">
        <v>0</v>
      </c>
      <c r="H3051">
        <v>290.5</v>
      </c>
      <c r="I3051">
        <v>119</v>
      </c>
      <c r="J3051">
        <v>49.39</v>
      </c>
      <c r="K3051">
        <v>158.4</v>
      </c>
      <c r="L3051">
        <v>75</v>
      </c>
      <c r="M3051">
        <v>13.46</v>
      </c>
      <c r="N3051">
        <v>255.6</v>
      </c>
      <c r="O3051">
        <v>101</v>
      </c>
      <c r="P3051">
        <v>11.5</v>
      </c>
      <c r="Q3051">
        <v>8.6</v>
      </c>
      <c r="R3051">
        <v>6</v>
      </c>
      <c r="S3051">
        <v>2.3199999999999998</v>
      </c>
      <c r="T3051">
        <v>2</v>
      </c>
      <c r="U3051" t="s">
        <v>23</v>
      </c>
      <c r="V3051" t="e">
        <f>IF(#REF! = "yes", 1, 0)</f>
        <v>#REF!</v>
      </c>
      <c r="W3051" t="e">
        <f>IF(#REF! &lt;= 1, "0-1 Calls", IF(#REF! &lt;= 3, "2-3 Calls", IF(#REF! &lt;=5, "4-5 Calls", "6+ Calls")))</f>
        <v>#REF!</v>
      </c>
      <c r="X3051" t="e">
        <f>IF(#REF! &lt;= 50, "0-50", IF(#REF! &lt;=100, "51-100", IF(#REF! &lt;= 150, "101-150", "151+")))</f>
        <v>#REF!</v>
      </c>
      <c r="Y3051" t="e">
        <f>IF(#REF! &lt;= 3, "Low Charges", "High Charges")</f>
        <v>#REF!</v>
      </c>
      <c r="Z3051" t="e">
        <f>IF(#REF!&lt;=80,"Low Calls",
IF(#REF!&lt;=120,"Medium Calls","High Calls"))</f>
        <v>#REF!</v>
      </c>
      <c r="AA3051" t="e">
        <f>IF(#REF!&lt;=15,"Low Charges",
IF(#REF!&lt;=20,"Medium Charges","High Charges"))</f>
        <v>#REF!</v>
      </c>
      <c r="AB3051" t="e">
        <f>IF(AND(#REF!&gt;180, #REF!&gt;200), "Heavy Doemstic User", IF(#REF!&gt;10, "Interntional User", IF(AND(#REF!&lt;180, #REF!&lt;200,#REF!&lt;200), "Light User", "Balanced User")))</f>
        <v>#REF!</v>
      </c>
      <c r="AC3051" t="e">
        <f>IF(#REF! = 0, "No Usage", IF(#REF! &lt;= 20, "Low Usage", IF(#REF! &lt;= 40, "Medium Usgae", "High Usage")))</f>
        <v>#REF!</v>
      </c>
      <c r="AD3051" t="e">
        <f>IF(#REF!&lt;=150,"Low Usage", IF(#REF!&lt;=200,"Medium Usage", IF(#REF!&lt;=250,"High Usage","Very High Usage")))</f>
        <v>#REF!</v>
      </c>
      <c r="AE3051" t="e">
        <f>IF(#REF!&lt;=5,"Low Calls", IF(#REF!&lt;=10, "Medium Calls", "High Calls"))</f>
        <v>#REF!</v>
      </c>
      <c r="AF3051" t="e">
        <f xml:space="preserve">
IF(#REF!&gt;=4,4,0)+
IF(#REF!="yes",3,0)+
IF(#REF!="High Charges",3,0)+
IF(#REF!&gt;250,4,0)+
IF(#REF!="no",1,0)+
IF(#REF!="Heavy Domestic User",2,0)</f>
        <v>#REF!</v>
      </c>
      <c r="AG3051" t="e">
        <f>IF(#REF!&gt;=10,"High Risk", IF(#REF!&gt;=5,"Medium Risk","Low Risk"))</f>
        <v>#REF!</v>
      </c>
      <c r="AH3051" t="e">
        <f>#REF! + #REF! + #REF! + #REF!</f>
        <v>#REF!</v>
      </c>
    </row>
    <row r="3052" spans="1:34" x14ac:dyDescent="0.35">
      <c r="A3052">
        <v>3051</v>
      </c>
      <c r="B3052" t="s">
        <v>71</v>
      </c>
      <c r="C3052">
        <v>102</v>
      </c>
      <c r="D3052" t="s">
        <v>21</v>
      </c>
      <c r="E3052" t="s">
        <v>22</v>
      </c>
      <c r="F3052" t="s">
        <v>22</v>
      </c>
      <c r="G3052">
        <v>0</v>
      </c>
      <c r="H3052">
        <v>183.2</v>
      </c>
      <c r="I3052">
        <v>112</v>
      </c>
      <c r="J3052">
        <v>31.14</v>
      </c>
      <c r="K3052">
        <v>187.5</v>
      </c>
      <c r="L3052">
        <v>113</v>
      </c>
      <c r="M3052">
        <v>15.94</v>
      </c>
      <c r="N3052">
        <v>232.3</v>
      </c>
      <c r="O3052">
        <v>77</v>
      </c>
      <c r="P3052">
        <v>10.45</v>
      </c>
      <c r="Q3052">
        <v>9.1999999999999993</v>
      </c>
      <c r="R3052">
        <v>5</v>
      </c>
      <c r="S3052">
        <v>2.48</v>
      </c>
      <c r="T3052">
        <v>1</v>
      </c>
      <c r="U3052" t="s">
        <v>23</v>
      </c>
      <c r="V3052" t="e">
        <f>IF(#REF! = "yes", 1, 0)</f>
        <v>#REF!</v>
      </c>
      <c r="W3052" t="e">
        <f>IF(#REF! &lt;= 1, "0-1 Calls", IF(#REF! &lt;= 3, "2-3 Calls", IF(#REF! &lt;=5, "4-5 Calls", "6+ Calls")))</f>
        <v>#REF!</v>
      </c>
      <c r="X3052" t="e">
        <f>IF(#REF! &lt;= 50, "0-50", IF(#REF! &lt;=100, "51-100", IF(#REF! &lt;= 150, "101-150", "151+")))</f>
        <v>#REF!</v>
      </c>
      <c r="Y3052" t="e">
        <f>IF(#REF! &lt;= 3, "Low Charges", "High Charges")</f>
        <v>#REF!</v>
      </c>
      <c r="Z3052" t="e">
        <f>IF(#REF!&lt;=80,"Low Calls",
IF(#REF!&lt;=120,"Medium Calls","High Calls"))</f>
        <v>#REF!</v>
      </c>
      <c r="AA3052" t="e">
        <f>IF(#REF!&lt;=15,"Low Charges",
IF(#REF!&lt;=20,"Medium Charges","High Charges"))</f>
        <v>#REF!</v>
      </c>
      <c r="AB3052" t="e">
        <f>IF(AND(#REF!&gt;180, #REF!&gt;200), "Heavy Doemstic User", IF(#REF!&gt;10, "Interntional User", IF(AND(#REF!&lt;180, #REF!&lt;200,#REF!&lt;200), "Light User", "Balanced User")))</f>
        <v>#REF!</v>
      </c>
      <c r="AC3052" t="e">
        <f>IF(#REF! = 0, "No Usage", IF(#REF! &lt;= 20, "Low Usage", IF(#REF! &lt;= 40, "Medium Usgae", "High Usage")))</f>
        <v>#REF!</v>
      </c>
      <c r="AD3052" t="e">
        <f>IF(#REF!&lt;=150,"Low Usage", IF(#REF!&lt;=200,"Medium Usage", IF(#REF!&lt;=250,"High Usage","Very High Usage")))</f>
        <v>#REF!</v>
      </c>
      <c r="AE3052" t="e">
        <f>IF(#REF!&lt;=5,"Low Calls", IF(#REF!&lt;=10, "Medium Calls", "High Calls"))</f>
        <v>#REF!</v>
      </c>
      <c r="AF3052" t="e">
        <f xml:space="preserve">
IF(#REF!&gt;=4,4,0)+
IF(#REF!="yes",3,0)+
IF(#REF!="High Charges",3,0)+
IF(#REF!&gt;250,4,0)+
IF(#REF!="no",1,0)+
IF(#REF!="Heavy Domestic User",2,0)</f>
        <v>#REF!</v>
      </c>
      <c r="AG3052" t="e">
        <f>IF(#REF!&gt;=10,"High Risk", IF(#REF!&gt;=5,"Medium Risk","Low Risk"))</f>
        <v>#REF!</v>
      </c>
      <c r="AH3052" t="e">
        <f>#REF! + #REF! + #REF! + #REF!</f>
        <v>#REF!</v>
      </c>
    </row>
    <row r="3053" spans="1:34" x14ac:dyDescent="0.35">
      <c r="A3053">
        <v>3052</v>
      </c>
      <c r="B3053" t="s">
        <v>31</v>
      </c>
      <c r="C3053">
        <v>131</v>
      </c>
      <c r="D3053" t="s">
        <v>25</v>
      </c>
      <c r="E3053" t="s">
        <v>22</v>
      </c>
      <c r="F3053" t="s">
        <v>22</v>
      </c>
      <c r="G3053">
        <v>0</v>
      </c>
      <c r="H3053">
        <v>155.6</v>
      </c>
      <c r="I3053">
        <v>78</v>
      </c>
      <c r="J3053">
        <v>26.45</v>
      </c>
      <c r="K3053">
        <v>165.2</v>
      </c>
      <c r="L3053">
        <v>134</v>
      </c>
      <c r="M3053">
        <v>14.04</v>
      </c>
      <c r="N3053">
        <v>184.1</v>
      </c>
      <c r="O3053">
        <v>89</v>
      </c>
      <c r="P3053">
        <v>8.2799999999999994</v>
      </c>
      <c r="Q3053">
        <v>8.6999999999999993</v>
      </c>
      <c r="R3053">
        <v>2</v>
      </c>
      <c r="S3053">
        <v>2.35</v>
      </c>
      <c r="T3053">
        <v>2</v>
      </c>
      <c r="U3053" t="s">
        <v>22</v>
      </c>
      <c r="V3053" t="e">
        <f>IF(#REF! = "yes", 1, 0)</f>
        <v>#REF!</v>
      </c>
      <c r="W3053" t="e">
        <f>IF(#REF! &lt;= 1, "0-1 Calls", IF(#REF! &lt;= 3, "2-3 Calls", IF(#REF! &lt;=5, "4-5 Calls", "6+ Calls")))</f>
        <v>#REF!</v>
      </c>
      <c r="X3053" t="e">
        <f>IF(#REF! &lt;= 50, "0-50", IF(#REF! &lt;=100, "51-100", IF(#REF! &lt;= 150, "101-150", "151+")))</f>
        <v>#REF!</v>
      </c>
      <c r="Y3053" t="e">
        <f>IF(#REF! &lt;= 3, "Low Charges", "High Charges")</f>
        <v>#REF!</v>
      </c>
      <c r="Z3053" t="e">
        <f>IF(#REF!&lt;=80,"Low Calls",
IF(#REF!&lt;=120,"Medium Calls","High Calls"))</f>
        <v>#REF!</v>
      </c>
      <c r="AA3053" t="e">
        <f>IF(#REF!&lt;=15,"Low Charges",
IF(#REF!&lt;=20,"Medium Charges","High Charges"))</f>
        <v>#REF!</v>
      </c>
      <c r="AB3053" t="e">
        <f>IF(AND(#REF!&gt;180, #REF!&gt;200), "Heavy Doemstic User", IF(#REF!&gt;10, "Interntional User", IF(AND(#REF!&lt;180, #REF!&lt;200,#REF!&lt;200), "Light User", "Balanced User")))</f>
        <v>#REF!</v>
      </c>
      <c r="AC3053" t="e">
        <f>IF(#REF! = 0, "No Usage", IF(#REF! &lt;= 20, "Low Usage", IF(#REF! &lt;= 40, "Medium Usgae", "High Usage")))</f>
        <v>#REF!</v>
      </c>
      <c r="AD3053" t="e">
        <f>IF(#REF!&lt;=150,"Low Usage", IF(#REF!&lt;=200,"Medium Usage", IF(#REF!&lt;=250,"High Usage","Very High Usage")))</f>
        <v>#REF!</v>
      </c>
      <c r="AE3053" t="e">
        <f>IF(#REF!&lt;=5,"Low Calls", IF(#REF!&lt;=10, "Medium Calls", "High Calls"))</f>
        <v>#REF!</v>
      </c>
      <c r="AF3053" t="e">
        <f xml:space="preserve">
IF(#REF!&gt;=4,4,0)+
IF(#REF!="yes",3,0)+
IF(#REF!="High Charges",3,0)+
IF(#REF!&gt;250,4,0)+
IF(#REF!="no",1,0)+
IF(#REF!="Heavy Domestic User",2,0)</f>
        <v>#REF!</v>
      </c>
      <c r="AG3053" t="e">
        <f>IF(#REF!&gt;=10,"High Risk", IF(#REF!&gt;=5,"Medium Risk","Low Risk"))</f>
        <v>#REF!</v>
      </c>
      <c r="AH3053" t="e">
        <f>#REF! + #REF! + #REF! + #REF!</f>
        <v>#REF!</v>
      </c>
    </row>
    <row r="3054" spans="1:34" x14ac:dyDescent="0.35">
      <c r="A3054">
        <v>3053</v>
      </c>
      <c r="B3054" t="s">
        <v>40</v>
      </c>
      <c r="C3054">
        <v>100</v>
      </c>
      <c r="D3054" t="s">
        <v>21</v>
      </c>
      <c r="E3054" t="s">
        <v>22</v>
      </c>
      <c r="F3054" t="s">
        <v>22</v>
      </c>
      <c r="G3054">
        <v>0</v>
      </c>
      <c r="H3054">
        <v>303</v>
      </c>
      <c r="I3054">
        <v>93</v>
      </c>
      <c r="J3054">
        <v>51.51</v>
      </c>
      <c r="K3054">
        <v>175.6</v>
      </c>
      <c r="L3054">
        <v>89</v>
      </c>
      <c r="M3054">
        <v>14.93</v>
      </c>
      <c r="N3054">
        <v>135.19999999999999</v>
      </c>
      <c r="O3054">
        <v>102</v>
      </c>
      <c r="P3054">
        <v>6.08</v>
      </c>
      <c r="Q3054">
        <v>10.4</v>
      </c>
      <c r="R3054">
        <v>5</v>
      </c>
      <c r="S3054">
        <v>2.81</v>
      </c>
      <c r="T3054">
        <v>1</v>
      </c>
      <c r="U3054" t="s">
        <v>23</v>
      </c>
      <c r="V3054" t="e">
        <f>IF(#REF! = "yes", 1, 0)</f>
        <v>#REF!</v>
      </c>
      <c r="W3054" t="e">
        <f>IF(#REF! &lt;= 1, "0-1 Calls", IF(#REF! &lt;= 3, "2-3 Calls", IF(#REF! &lt;=5, "4-5 Calls", "6+ Calls")))</f>
        <v>#REF!</v>
      </c>
      <c r="X3054" t="e">
        <f>IF(#REF! &lt;= 50, "0-50", IF(#REF! &lt;=100, "51-100", IF(#REF! &lt;= 150, "101-150", "151+")))</f>
        <v>#REF!</v>
      </c>
      <c r="Y3054" t="e">
        <f>IF(#REF! &lt;= 3, "Low Charges", "High Charges")</f>
        <v>#REF!</v>
      </c>
      <c r="Z3054" t="e">
        <f>IF(#REF!&lt;=80,"Low Calls",
IF(#REF!&lt;=120,"Medium Calls","High Calls"))</f>
        <v>#REF!</v>
      </c>
      <c r="AA3054" t="e">
        <f>IF(#REF!&lt;=15,"Low Charges",
IF(#REF!&lt;=20,"Medium Charges","High Charges"))</f>
        <v>#REF!</v>
      </c>
      <c r="AB3054" t="e">
        <f>IF(AND(#REF!&gt;180, #REF!&gt;200), "Heavy Doemstic User", IF(#REF!&gt;10, "Interntional User", IF(AND(#REF!&lt;180, #REF!&lt;200,#REF!&lt;200), "Light User", "Balanced User")))</f>
        <v>#REF!</v>
      </c>
      <c r="AC3054" t="e">
        <f>IF(#REF! = 0, "No Usage", IF(#REF! &lt;= 20, "Low Usage", IF(#REF! &lt;= 40, "Medium Usgae", "High Usage")))</f>
        <v>#REF!</v>
      </c>
      <c r="AD3054" t="e">
        <f>IF(#REF!&lt;=150,"Low Usage", IF(#REF!&lt;=200,"Medium Usage", IF(#REF!&lt;=250,"High Usage","Very High Usage")))</f>
        <v>#REF!</v>
      </c>
      <c r="AE3054" t="e">
        <f>IF(#REF!&lt;=5,"Low Calls", IF(#REF!&lt;=10, "Medium Calls", "High Calls"))</f>
        <v>#REF!</v>
      </c>
      <c r="AF3054" t="e">
        <f xml:space="preserve">
IF(#REF!&gt;=4,4,0)+
IF(#REF!="yes",3,0)+
IF(#REF!="High Charges",3,0)+
IF(#REF!&gt;250,4,0)+
IF(#REF!="no",1,0)+
IF(#REF!="Heavy Domestic User",2,0)</f>
        <v>#REF!</v>
      </c>
      <c r="AG3054" t="e">
        <f>IF(#REF!&gt;=10,"High Risk", IF(#REF!&gt;=5,"Medium Risk","Low Risk"))</f>
        <v>#REF!</v>
      </c>
      <c r="AH3054" t="e">
        <f>#REF! + #REF! + #REF! + #REF!</f>
        <v>#REF!</v>
      </c>
    </row>
    <row r="3055" spans="1:34" x14ac:dyDescent="0.35">
      <c r="A3055">
        <v>3054</v>
      </c>
      <c r="B3055" t="s">
        <v>46</v>
      </c>
      <c r="C3055">
        <v>94</v>
      </c>
      <c r="D3055" t="s">
        <v>21</v>
      </c>
      <c r="E3055" t="s">
        <v>22</v>
      </c>
      <c r="F3055" t="s">
        <v>22</v>
      </c>
      <c r="G3055">
        <v>0</v>
      </c>
      <c r="H3055">
        <v>114.4</v>
      </c>
      <c r="I3055">
        <v>115</v>
      </c>
      <c r="J3055">
        <v>19.45</v>
      </c>
      <c r="K3055">
        <v>183.9</v>
      </c>
      <c r="L3055">
        <v>79</v>
      </c>
      <c r="M3055">
        <v>15.63</v>
      </c>
      <c r="N3055">
        <v>205.2</v>
      </c>
      <c r="O3055">
        <v>78</v>
      </c>
      <c r="P3055">
        <v>9.23</v>
      </c>
      <c r="Q3055">
        <v>5.9</v>
      </c>
      <c r="R3055">
        <v>2</v>
      </c>
      <c r="S3055">
        <v>1.59</v>
      </c>
      <c r="T3055">
        <v>3</v>
      </c>
      <c r="U3055" t="s">
        <v>22</v>
      </c>
      <c r="V3055" t="e">
        <f>IF(#REF! = "yes", 1, 0)</f>
        <v>#REF!</v>
      </c>
      <c r="W3055" t="e">
        <f>IF(#REF! &lt;= 1, "0-1 Calls", IF(#REF! &lt;= 3, "2-3 Calls", IF(#REF! &lt;=5, "4-5 Calls", "6+ Calls")))</f>
        <v>#REF!</v>
      </c>
      <c r="X3055" t="e">
        <f>IF(#REF! &lt;= 50, "0-50", IF(#REF! &lt;=100, "51-100", IF(#REF! &lt;= 150, "101-150", "151+")))</f>
        <v>#REF!</v>
      </c>
      <c r="Y3055" t="e">
        <f>IF(#REF! &lt;= 3, "Low Charges", "High Charges")</f>
        <v>#REF!</v>
      </c>
      <c r="Z3055" t="e">
        <f>IF(#REF!&lt;=80,"Low Calls",
IF(#REF!&lt;=120,"Medium Calls","High Calls"))</f>
        <v>#REF!</v>
      </c>
      <c r="AA3055" t="e">
        <f>IF(#REF!&lt;=15,"Low Charges",
IF(#REF!&lt;=20,"Medium Charges","High Charges"))</f>
        <v>#REF!</v>
      </c>
      <c r="AB3055" t="e">
        <f>IF(AND(#REF!&gt;180, #REF!&gt;200), "Heavy Doemstic User", IF(#REF!&gt;10, "Interntional User", IF(AND(#REF!&lt;180, #REF!&lt;200,#REF!&lt;200), "Light User", "Balanced User")))</f>
        <v>#REF!</v>
      </c>
      <c r="AC3055" t="e">
        <f>IF(#REF! = 0, "No Usage", IF(#REF! &lt;= 20, "Low Usage", IF(#REF! &lt;= 40, "Medium Usgae", "High Usage")))</f>
        <v>#REF!</v>
      </c>
      <c r="AD3055" t="e">
        <f>IF(#REF!&lt;=150,"Low Usage", IF(#REF!&lt;=200,"Medium Usage", IF(#REF!&lt;=250,"High Usage","Very High Usage")))</f>
        <v>#REF!</v>
      </c>
      <c r="AE3055" t="e">
        <f>IF(#REF!&lt;=5,"Low Calls", IF(#REF!&lt;=10, "Medium Calls", "High Calls"))</f>
        <v>#REF!</v>
      </c>
      <c r="AF3055" t="e">
        <f xml:space="preserve">
IF(#REF!&gt;=4,4,0)+
IF(#REF!="yes",3,0)+
IF(#REF!="High Charges",3,0)+
IF(#REF!&gt;250,4,0)+
IF(#REF!="no",1,0)+
IF(#REF!="Heavy Domestic User",2,0)</f>
        <v>#REF!</v>
      </c>
      <c r="AG3055" t="e">
        <f>IF(#REF!&gt;=10,"High Risk", IF(#REF!&gt;=5,"Medium Risk","Low Risk"))</f>
        <v>#REF!</v>
      </c>
      <c r="AH3055" t="e">
        <f>#REF! + #REF! + #REF! + #REF!</f>
        <v>#REF!</v>
      </c>
    </row>
    <row r="3056" spans="1:34" x14ac:dyDescent="0.35">
      <c r="A3056">
        <v>3055</v>
      </c>
      <c r="B3056" t="s">
        <v>36</v>
      </c>
      <c r="C3056">
        <v>81</v>
      </c>
      <c r="D3056" t="s">
        <v>25</v>
      </c>
      <c r="E3056" t="s">
        <v>22</v>
      </c>
      <c r="F3056" t="s">
        <v>23</v>
      </c>
      <c r="G3056">
        <v>36</v>
      </c>
      <c r="H3056">
        <v>164.8</v>
      </c>
      <c r="I3056">
        <v>106</v>
      </c>
      <c r="J3056">
        <v>28.02</v>
      </c>
      <c r="K3056">
        <v>210.2</v>
      </c>
      <c r="L3056">
        <v>138</v>
      </c>
      <c r="M3056">
        <v>17.87</v>
      </c>
      <c r="N3056">
        <v>173.6</v>
      </c>
      <c r="O3056">
        <v>78</v>
      </c>
      <c r="P3056">
        <v>7.81</v>
      </c>
      <c r="Q3056">
        <v>4.3</v>
      </c>
      <c r="R3056">
        <v>2</v>
      </c>
      <c r="S3056">
        <v>1.1599999999999999</v>
      </c>
      <c r="T3056">
        <v>2</v>
      </c>
      <c r="U3056" t="s">
        <v>22</v>
      </c>
      <c r="V3056" t="e">
        <f>IF(#REF! = "yes", 1, 0)</f>
        <v>#REF!</v>
      </c>
      <c r="W3056" t="e">
        <f>IF(#REF! &lt;= 1, "0-1 Calls", IF(#REF! &lt;= 3, "2-3 Calls", IF(#REF! &lt;=5, "4-5 Calls", "6+ Calls")))</f>
        <v>#REF!</v>
      </c>
      <c r="X3056" t="e">
        <f>IF(#REF! &lt;= 50, "0-50", IF(#REF! &lt;=100, "51-100", IF(#REF! &lt;= 150, "101-150", "151+")))</f>
        <v>#REF!</v>
      </c>
      <c r="Y3056" t="e">
        <f>IF(#REF! &lt;= 3, "Low Charges", "High Charges")</f>
        <v>#REF!</v>
      </c>
      <c r="Z3056" t="e">
        <f>IF(#REF!&lt;=80,"Low Calls",
IF(#REF!&lt;=120,"Medium Calls","High Calls"))</f>
        <v>#REF!</v>
      </c>
      <c r="AA3056" t="e">
        <f>IF(#REF!&lt;=15,"Low Charges",
IF(#REF!&lt;=20,"Medium Charges","High Charges"))</f>
        <v>#REF!</v>
      </c>
      <c r="AB3056" t="e">
        <f>IF(AND(#REF!&gt;180, #REF!&gt;200), "Heavy Doemstic User", IF(#REF!&gt;10, "Interntional User", IF(AND(#REF!&lt;180, #REF!&lt;200,#REF!&lt;200), "Light User", "Balanced User")))</f>
        <v>#REF!</v>
      </c>
      <c r="AC3056" t="e">
        <f>IF(#REF! = 0, "No Usage", IF(#REF! &lt;= 20, "Low Usage", IF(#REF! &lt;= 40, "Medium Usgae", "High Usage")))</f>
        <v>#REF!</v>
      </c>
      <c r="AD3056" t="e">
        <f>IF(#REF!&lt;=150,"Low Usage", IF(#REF!&lt;=200,"Medium Usage", IF(#REF!&lt;=250,"High Usage","Very High Usage")))</f>
        <v>#REF!</v>
      </c>
      <c r="AE3056" t="e">
        <f>IF(#REF!&lt;=5,"Low Calls", IF(#REF!&lt;=10, "Medium Calls", "High Calls"))</f>
        <v>#REF!</v>
      </c>
      <c r="AF3056" t="e">
        <f xml:space="preserve">
IF(#REF!&gt;=4,4,0)+
IF(#REF!="yes",3,0)+
IF(#REF!="High Charges",3,0)+
IF(#REF!&gt;250,4,0)+
IF(#REF!="no",1,0)+
IF(#REF!="Heavy Domestic User",2,0)</f>
        <v>#REF!</v>
      </c>
      <c r="AG3056" t="e">
        <f>IF(#REF!&gt;=10,"High Risk", IF(#REF!&gt;=5,"Medium Risk","Low Risk"))</f>
        <v>#REF!</v>
      </c>
      <c r="AH3056" t="e">
        <f>#REF! + #REF! + #REF! + #REF!</f>
        <v>#REF!</v>
      </c>
    </row>
    <row r="3057" spans="1:34" x14ac:dyDescent="0.35">
      <c r="A3057">
        <v>3056</v>
      </c>
      <c r="B3057" t="s">
        <v>69</v>
      </c>
      <c r="C3057">
        <v>100</v>
      </c>
      <c r="D3057" t="s">
        <v>21</v>
      </c>
      <c r="E3057" t="s">
        <v>22</v>
      </c>
      <c r="F3057" t="s">
        <v>22</v>
      </c>
      <c r="G3057">
        <v>0</v>
      </c>
      <c r="H3057">
        <v>220.3</v>
      </c>
      <c r="I3057">
        <v>106</v>
      </c>
      <c r="J3057">
        <v>37.450000000000003</v>
      </c>
      <c r="K3057">
        <v>126.1</v>
      </c>
      <c r="L3057">
        <v>124</v>
      </c>
      <c r="M3057">
        <v>10.72</v>
      </c>
      <c r="N3057">
        <v>242</v>
      </c>
      <c r="O3057">
        <v>67</v>
      </c>
      <c r="P3057">
        <v>10.89</v>
      </c>
      <c r="Q3057">
        <v>10.199999999999999</v>
      </c>
      <c r="R3057">
        <v>1</v>
      </c>
      <c r="S3057">
        <v>2.75</v>
      </c>
      <c r="T3057">
        <v>3</v>
      </c>
      <c r="U3057" t="s">
        <v>22</v>
      </c>
      <c r="V3057" t="e">
        <f>IF(#REF! = "yes", 1, 0)</f>
        <v>#REF!</v>
      </c>
      <c r="W3057" t="e">
        <f>IF(#REF! &lt;= 1, "0-1 Calls", IF(#REF! &lt;= 3, "2-3 Calls", IF(#REF! &lt;=5, "4-5 Calls", "6+ Calls")))</f>
        <v>#REF!</v>
      </c>
      <c r="X3057" t="e">
        <f>IF(#REF! &lt;= 50, "0-50", IF(#REF! &lt;=100, "51-100", IF(#REF! &lt;= 150, "101-150", "151+")))</f>
        <v>#REF!</v>
      </c>
      <c r="Y3057" t="e">
        <f>IF(#REF! &lt;= 3, "Low Charges", "High Charges")</f>
        <v>#REF!</v>
      </c>
      <c r="Z3057" t="e">
        <f>IF(#REF!&lt;=80,"Low Calls",
IF(#REF!&lt;=120,"Medium Calls","High Calls"))</f>
        <v>#REF!</v>
      </c>
      <c r="AA3057" t="e">
        <f>IF(#REF!&lt;=15,"Low Charges",
IF(#REF!&lt;=20,"Medium Charges","High Charges"))</f>
        <v>#REF!</v>
      </c>
      <c r="AB3057" t="e">
        <f>IF(AND(#REF!&gt;180, #REF!&gt;200), "Heavy Doemstic User", IF(#REF!&gt;10, "Interntional User", IF(AND(#REF!&lt;180, #REF!&lt;200,#REF!&lt;200), "Light User", "Balanced User")))</f>
        <v>#REF!</v>
      </c>
      <c r="AC3057" t="e">
        <f>IF(#REF! = 0, "No Usage", IF(#REF! &lt;= 20, "Low Usage", IF(#REF! &lt;= 40, "Medium Usgae", "High Usage")))</f>
        <v>#REF!</v>
      </c>
      <c r="AD3057" t="e">
        <f>IF(#REF!&lt;=150,"Low Usage", IF(#REF!&lt;=200,"Medium Usage", IF(#REF!&lt;=250,"High Usage","Very High Usage")))</f>
        <v>#REF!</v>
      </c>
      <c r="AE3057" t="e">
        <f>IF(#REF!&lt;=5,"Low Calls", IF(#REF!&lt;=10, "Medium Calls", "High Calls"))</f>
        <v>#REF!</v>
      </c>
      <c r="AF3057" t="e">
        <f xml:space="preserve">
IF(#REF!&gt;=4,4,0)+
IF(#REF!="yes",3,0)+
IF(#REF!="High Charges",3,0)+
IF(#REF!&gt;250,4,0)+
IF(#REF!="no",1,0)+
IF(#REF!="Heavy Domestic User",2,0)</f>
        <v>#REF!</v>
      </c>
      <c r="AG3057" t="e">
        <f>IF(#REF!&gt;=10,"High Risk", IF(#REF!&gt;=5,"Medium Risk","Low Risk"))</f>
        <v>#REF!</v>
      </c>
      <c r="AH3057" t="e">
        <f>#REF! + #REF! + #REF! + #REF!</f>
        <v>#REF!</v>
      </c>
    </row>
    <row r="3058" spans="1:34" x14ac:dyDescent="0.35">
      <c r="A3058">
        <v>3057</v>
      </c>
      <c r="B3058" t="s">
        <v>31</v>
      </c>
      <c r="C3058">
        <v>78</v>
      </c>
      <c r="D3058" t="s">
        <v>28</v>
      </c>
      <c r="E3058" t="s">
        <v>22</v>
      </c>
      <c r="F3058" t="s">
        <v>23</v>
      </c>
      <c r="G3058">
        <v>26</v>
      </c>
      <c r="H3058">
        <v>189</v>
      </c>
      <c r="I3058">
        <v>98</v>
      </c>
      <c r="J3058">
        <v>32.130000000000003</v>
      </c>
      <c r="K3058">
        <v>191.7</v>
      </c>
      <c r="L3058">
        <v>67</v>
      </c>
      <c r="M3058">
        <v>16.29</v>
      </c>
      <c r="N3058">
        <v>217</v>
      </c>
      <c r="O3058">
        <v>68</v>
      </c>
      <c r="P3058">
        <v>9.76</v>
      </c>
      <c r="Q3058">
        <v>11.3</v>
      </c>
      <c r="R3058">
        <v>3</v>
      </c>
      <c r="S3058">
        <v>3.05</v>
      </c>
      <c r="T3058">
        <v>0</v>
      </c>
      <c r="U3058" t="s">
        <v>22</v>
      </c>
      <c r="V3058" t="e">
        <f>IF(#REF! = "yes", 1, 0)</f>
        <v>#REF!</v>
      </c>
      <c r="W3058" t="e">
        <f>IF(#REF! &lt;= 1, "0-1 Calls", IF(#REF! &lt;= 3, "2-3 Calls", IF(#REF! &lt;=5, "4-5 Calls", "6+ Calls")))</f>
        <v>#REF!</v>
      </c>
      <c r="X3058" t="e">
        <f>IF(#REF! &lt;= 50, "0-50", IF(#REF! &lt;=100, "51-100", IF(#REF! &lt;= 150, "101-150", "151+")))</f>
        <v>#REF!</v>
      </c>
      <c r="Y3058" t="e">
        <f>IF(#REF! &lt;= 3, "Low Charges", "High Charges")</f>
        <v>#REF!</v>
      </c>
      <c r="Z3058" t="e">
        <f>IF(#REF!&lt;=80,"Low Calls",
IF(#REF!&lt;=120,"Medium Calls","High Calls"))</f>
        <v>#REF!</v>
      </c>
      <c r="AA3058" t="e">
        <f>IF(#REF!&lt;=15,"Low Charges",
IF(#REF!&lt;=20,"Medium Charges","High Charges"))</f>
        <v>#REF!</v>
      </c>
      <c r="AB3058" t="e">
        <f>IF(AND(#REF!&gt;180, #REF!&gt;200), "Heavy Doemstic User", IF(#REF!&gt;10, "Interntional User", IF(AND(#REF!&lt;180, #REF!&lt;200,#REF!&lt;200), "Light User", "Balanced User")))</f>
        <v>#REF!</v>
      </c>
      <c r="AC3058" t="e">
        <f>IF(#REF! = 0, "No Usage", IF(#REF! &lt;= 20, "Low Usage", IF(#REF! &lt;= 40, "Medium Usgae", "High Usage")))</f>
        <v>#REF!</v>
      </c>
      <c r="AD3058" t="e">
        <f>IF(#REF!&lt;=150,"Low Usage", IF(#REF!&lt;=200,"Medium Usage", IF(#REF!&lt;=250,"High Usage","Very High Usage")))</f>
        <v>#REF!</v>
      </c>
      <c r="AE3058" t="e">
        <f>IF(#REF!&lt;=5,"Low Calls", IF(#REF!&lt;=10, "Medium Calls", "High Calls"))</f>
        <v>#REF!</v>
      </c>
      <c r="AF3058" t="e">
        <f xml:space="preserve">
IF(#REF!&gt;=4,4,0)+
IF(#REF!="yes",3,0)+
IF(#REF!="High Charges",3,0)+
IF(#REF!&gt;250,4,0)+
IF(#REF!="no",1,0)+
IF(#REF!="Heavy Domestic User",2,0)</f>
        <v>#REF!</v>
      </c>
      <c r="AG3058" t="e">
        <f>IF(#REF!&gt;=10,"High Risk", IF(#REF!&gt;=5,"Medium Risk","Low Risk"))</f>
        <v>#REF!</v>
      </c>
      <c r="AH3058" t="e">
        <f>#REF! + #REF! + #REF! + #REF!</f>
        <v>#REF!</v>
      </c>
    </row>
    <row r="3059" spans="1:34" x14ac:dyDescent="0.35">
      <c r="A3059">
        <v>3058</v>
      </c>
      <c r="B3059" t="s">
        <v>62</v>
      </c>
      <c r="C3059">
        <v>139</v>
      </c>
      <c r="D3059" t="s">
        <v>28</v>
      </c>
      <c r="E3059" t="s">
        <v>23</v>
      </c>
      <c r="F3059" t="s">
        <v>22</v>
      </c>
      <c r="G3059">
        <v>0</v>
      </c>
      <c r="H3059">
        <v>172.6</v>
      </c>
      <c r="I3059">
        <v>92</v>
      </c>
      <c r="J3059">
        <v>29.34</v>
      </c>
      <c r="K3059">
        <v>281.7</v>
      </c>
      <c r="L3059">
        <v>123</v>
      </c>
      <c r="M3059">
        <v>23.94</v>
      </c>
      <c r="N3059">
        <v>253.4</v>
      </c>
      <c r="O3059">
        <v>117</v>
      </c>
      <c r="P3059">
        <v>11.4</v>
      </c>
      <c r="Q3059">
        <v>10.5</v>
      </c>
      <c r="R3059">
        <v>3</v>
      </c>
      <c r="S3059">
        <v>2.84</v>
      </c>
      <c r="T3059">
        <v>3</v>
      </c>
      <c r="U3059" t="s">
        <v>22</v>
      </c>
      <c r="V3059" t="e">
        <f>IF(#REF! = "yes", 1, 0)</f>
        <v>#REF!</v>
      </c>
      <c r="W3059" t="e">
        <f>IF(#REF! &lt;= 1, "0-1 Calls", IF(#REF! &lt;= 3, "2-3 Calls", IF(#REF! &lt;=5, "4-5 Calls", "6+ Calls")))</f>
        <v>#REF!</v>
      </c>
      <c r="X3059" t="e">
        <f>IF(#REF! &lt;= 50, "0-50", IF(#REF! &lt;=100, "51-100", IF(#REF! &lt;= 150, "101-150", "151+")))</f>
        <v>#REF!</v>
      </c>
      <c r="Y3059" t="e">
        <f>IF(#REF! &lt;= 3, "Low Charges", "High Charges")</f>
        <v>#REF!</v>
      </c>
      <c r="Z3059" t="e">
        <f>IF(#REF!&lt;=80,"Low Calls",
IF(#REF!&lt;=120,"Medium Calls","High Calls"))</f>
        <v>#REF!</v>
      </c>
      <c r="AA3059" t="e">
        <f>IF(#REF!&lt;=15,"Low Charges",
IF(#REF!&lt;=20,"Medium Charges","High Charges"))</f>
        <v>#REF!</v>
      </c>
      <c r="AB3059" t="e">
        <f>IF(AND(#REF!&gt;180, #REF!&gt;200), "Heavy Doemstic User", IF(#REF!&gt;10, "Interntional User", IF(AND(#REF!&lt;180, #REF!&lt;200,#REF!&lt;200), "Light User", "Balanced User")))</f>
        <v>#REF!</v>
      </c>
      <c r="AC3059" t="e">
        <f>IF(#REF! = 0, "No Usage", IF(#REF! &lt;= 20, "Low Usage", IF(#REF! &lt;= 40, "Medium Usgae", "High Usage")))</f>
        <v>#REF!</v>
      </c>
      <c r="AD3059" t="e">
        <f>IF(#REF!&lt;=150,"Low Usage", IF(#REF!&lt;=200,"Medium Usage", IF(#REF!&lt;=250,"High Usage","Very High Usage")))</f>
        <v>#REF!</v>
      </c>
      <c r="AE3059" t="e">
        <f>IF(#REF!&lt;=5,"Low Calls", IF(#REF!&lt;=10, "Medium Calls", "High Calls"))</f>
        <v>#REF!</v>
      </c>
      <c r="AF3059" t="e">
        <f xml:space="preserve">
IF(#REF!&gt;=4,4,0)+
IF(#REF!="yes",3,0)+
IF(#REF!="High Charges",3,0)+
IF(#REF!&gt;250,4,0)+
IF(#REF!="no",1,0)+
IF(#REF!="Heavy Domestic User",2,0)</f>
        <v>#REF!</v>
      </c>
      <c r="AG3059" t="e">
        <f>IF(#REF!&gt;=10,"High Risk", IF(#REF!&gt;=5,"Medium Risk","Low Risk"))</f>
        <v>#REF!</v>
      </c>
      <c r="AH3059" t="e">
        <f>#REF! + #REF! + #REF! + #REF!</f>
        <v>#REF!</v>
      </c>
    </row>
    <row r="3060" spans="1:34" x14ac:dyDescent="0.35">
      <c r="A3060">
        <v>3059</v>
      </c>
      <c r="B3060" t="s">
        <v>74</v>
      </c>
      <c r="C3060">
        <v>88</v>
      </c>
      <c r="D3060" t="s">
        <v>21</v>
      </c>
      <c r="E3060" t="s">
        <v>22</v>
      </c>
      <c r="F3060" t="s">
        <v>22</v>
      </c>
      <c r="G3060">
        <v>0</v>
      </c>
      <c r="H3060">
        <v>168.8</v>
      </c>
      <c r="I3060">
        <v>141</v>
      </c>
      <c r="J3060">
        <v>28.7</v>
      </c>
      <c r="K3060">
        <v>211.5</v>
      </c>
      <c r="L3060">
        <v>129</v>
      </c>
      <c r="M3060">
        <v>17.98</v>
      </c>
      <c r="N3060">
        <v>86.9</v>
      </c>
      <c r="O3060">
        <v>92</v>
      </c>
      <c r="P3060">
        <v>3.91</v>
      </c>
      <c r="Q3060">
        <v>10.5</v>
      </c>
      <c r="R3060">
        <v>7</v>
      </c>
      <c r="S3060">
        <v>2.84</v>
      </c>
      <c r="T3060">
        <v>3</v>
      </c>
      <c r="U3060" t="s">
        <v>22</v>
      </c>
      <c r="V3060" t="e">
        <f>IF(#REF! = "yes", 1, 0)</f>
        <v>#REF!</v>
      </c>
      <c r="W3060" t="e">
        <f>IF(#REF! &lt;= 1, "0-1 Calls", IF(#REF! &lt;= 3, "2-3 Calls", IF(#REF! &lt;=5, "4-5 Calls", "6+ Calls")))</f>
        <v>#REF!</v>
      </c>
      <c r="X3060" t="e">
        <f>IF(#REF! &lt;= 50, "0-50", IF(#REF! &lt;=100, "51-100", IF(#REF! &lt;= 150, "101-150", "151+")))</f>
        <v>#REF!</v>
      </c>
      <c r="Y3060" t="e">
        <f>IF(#REF! &lt;= 3, "Low Charges", "High Charges")</f>
        <v>#REF!</v>
      </c>
      <c r="Z3060" t="e">
        <f>IF(#REF!&lt;=80,"Low Calls",
IF(#REF!&lt;=120,"Medium Calls","High Calls"))</f>
        <v>#REF!</v>
      </c>
      <c r="AA3060" t="e">
        <f>IF(#REF!&lt;=15,"Low Charges",
IF(#REF!&lt;=20,"Medium Charges","High Charges"))</f>
        <v>#REF!</v>
      </c>
      <c r="AB3060" t="e">
        <f>IF(AND(#REF!&gt;180, #REF!&gt;200), "Heavy Doemstic User", IF(#REF!&gt;10, "Interntional User", IF(AND(#REF!&lt;180, #REF!&lt;200,#REF!&lt;200), "Light User", "Balanced User")))</f>
        <v>#REF!</v>
      </c>
      <c r="AC3060" t="e">
        <f>IF(#REF! = 0, "No Usage", IF(#REF! &lt;= 20, "Low Usage", IF(#REF! &lt;= 40, "Medium Usgae", "High Usage")))</f>
        <v>#REF!</v>
      </c>
      <c r="AD3060" t="e">
        <f>IF(#REF!&lt;=150,"Low Usage", IF(#REF!&lt;=200,"Medium Usage", IF(#REF!&lt;=250,"High Usage","Very High Usage")))</f>
        <v>#REF!</v>
      </c>
      <c r="AE3060" t="e">
        <f>IF(#REF!&lt;=5,"Low Calls", IF(#REF!&lt;=10, "Medium Calls", "High Calls"))</f>
        <v>#REF!</v>
      </c>
      <c r="AF3060" t="e">
        <f xml:space="preserve">
IF(#REF!&gt;=4,4,0)+
IF(#REF!="yes",3,0)+
IF(#REF!="High Charges",3,0)+
IF(#REF!&gt;250,4,0)+
IF(#REF!="no",1,0)+
IF(#REF!="Heavy Domestic User",2,0)</f>
        <v>#REF!</v>
      </c>
      <c r="AG3060" t="e">
        <f>IF(#REF!&gt;=10,"High Risk", IF(#REF!&gt;=5,"Medium Risk","Low Risk"))</f>
        <v>#REF!</v>
      </c>
      <c r="AH3060" t="e">
        <f>#REF! + #REF! + #REF! + #REF!</f>
        <v>#REF!</v>
      </c>
    </row>
    <row r="3061" spans="1:34" x14ac:dyDescent="0.35">
      <c r="A3061">
        <v>3060</v>
      </c>
      <c r="B3061" t="s">
        <v>70</v>
      </c>
      <c r="C3061">
        <v>152</v>
      </c>
      <c r="D3061" t="s">
        <v>25</v>
      </c>
      <c r="E3061" t="s">
        <v>22</v>
      </c>
      <c r="F3061" t="s">
        <v>23</v>
      </c>
      <c r="G3061">
        <v>39</v>
      </c>
      <c r="H3061">
        <v>243.1</v>
      </c>
      <c r="I3061">
        <v>137</v>
      </c>
      <c r="J3061">
        <v>41.33</v>
      </c>
      <c r="K3061">
        <v>236.7</v>
      </c>
      <c r="L3061">
        <v>103</v>
      </c>
      <c r="M3061">
        <v>20.12</v>
      </c>
      <c r="N3061">
        <v>191.2</v>
      </c>
      <c r="O3061">
        <v>118</v>
      </c>
      <c r="P3061">
        <v>8.6</v>
      </c>
      <c r="Q3061">
        <v>9.9</v>
      </c>
      <c r="R3061">
        <v>3</v>
      </c>
      <c r="S3061">
        <v>2.67</v>
      </c>
      <c r="T3061">
        <v>1</v>
      </c>
      <c r="U3061" t="s">
        <v>22</v>
      </c>
      <c r="V3061" t="e">
        <f>IF(#REF! = "yes", 1, 0)</f>
        <v>#REF!</v>
      </c>
      <c r="W3061" t="e">
        <f>IF(#REF! &lt;= 1, "0-1 Calls", IF(#REF! &lt;= 3, "2-3 Calls", IF(#REF! &lt;=5, "4-5 Calls", "6+ Calls")))</f>
        <v>#REF!</v>
      </c>
      <c r="X3061" t="e">
        <f>IF(#REF! &lt;= 50, "0-50", IF(#REF! &lt;=100, "51-100", IF(#REF! &lt;= 150, "101-150", "151+")))</f>
        <v>#REF!</v>
      </c>
      <c r="Y3061" t="e">
        <f>IF(#REF! &lt;= 3, "Low Charges", "High Charges")</f>
        <v>#REF!</v>
      </c>
      <c r="Z3061" t="e">
        <f>IF(#REF!&lt;=80,"Low Calls",
IF(#REF!&lt;=120,"Medium Calls","High Calls"))</f>
        <v>#REF!</v>
      </c>
      <c r="AA3061" t="e">
        <f>IF(#REF!&lt;=15,"Low Charges",
IF(#REF!&lt;=20,"Medium Charges","High Charges"))</f>
        <v>#REF!</v>
      </c>
      <c r="AB3061" t="e">
        <f>IF(AND(#REF!&gt;180, #REF!&gt;200), "Heavy Doemstic User", IF(#REF!&gt;10, "Interntional User", IF(AND(#REF!&lt;180, #REF!&lt;200,#REF!&lt;200), "Light User", "Balanced User")))</f>
        <v>#REF!</v>
      </c>
      <c r="AC3061" t="e">
        <f>IF(#REF! = 0, "No Usage", IF(#REF! &lt;= 20, "Low Usage", IF(#REF! &lt;= 40, "Medium Usgae", "High Usage")))</f>
        <v>#REF!</v>
      </c>
      <c r="AD3061" t="e">
        <f>IF(#REF!&lt;=150,"Low Usage", IF(#REF!&lt;=200,"Medium Usage", IF(#REF!&lt;=250,"High Usage","Very High Usage")))</f>
        <v>#REF!</v>
      </c>
      <c r="AE3061" t="e">
        <f>IF(#REF!&lt;=5,"Low Calls", IF(#REF!&lt;=10, "Medium Calls", "High Calls"))</f>
        <v>#REF!</v>
      </c>
      <c r="AF3061" t="e">
        <f xml:space="preserve">
IF(#REF!&gt;=4,4,0)+
IF(#REF!="yes",3,0)+
IF(#REF!="High Charges",3,0)+
IF(#REF!&gt;250,4,0)+
IF(#REF!="no",1,0)+
IF(#REF!="Heavy Domestic User",2,0)</f>
        <v>#REF!</v>
      </c>
      <c r="AG3061" t="e">
        <f>IF(#REF!&gt;=10,"High Risk", IF(#REF!&gt;=5,"Medium Risk","Low Risk"))</f>
        <v>#REF!</v>
      </c>
      <c r="AH3061" t="e">
        <f>#REF! + #REF! + #REF! + #REF!</f>
        <v>#REF!</v>
      </c>
    </row>
    <row r="3062" spans="1:34" x14ac:dyDescent="0.35">
      <c r="A3062">
        <v>3061</v>
      </c>
      <c r="B3062" t="s">
        <v>46</v>
      </c>
      <c r="C3062">
        <v>127</v>
      </c>
      <c r="D3062" t="s">
        <v>21</v>
      </c>
      <c r="E3062" t="s">
        <v>23</v>
      </c>
      <c r="F3062" t="s">
        <v>22</v>
      </c>
      <c r="G3062">
        <v>0</v>
      </c>
      <c r="H3062">
        <v>324.3</v>
      </c>
      <c r="I3062">
        <v>107</v>
      </c>
      <c r="J3062">
        <v>55.13</v>
      </c>
      <c r="K3062">
        <v>141.6</v>
      </c>
      <c r="L3062">
        <v>90</v>
      </c>
      <c r="M3062">
        <v>12.04</v>
      </c>
      <c r="N3062">
        <v>207.6</v>
      </c>
      <c r="O3062">
        <v>90</v>
      </c>
      <c r="P3062">
        <v>9.34</v>
      </c>
      <c r="Q3062">
        <v>12.8</v>
      </c>
      <c r="R3062">
        <v>7</v>
      </c>
      <c r="S3062">
        <v>3.46</v>
      </c>
      <c r="T3062">
        <v>1</v>
      </c>
      <c r="U3062" t="s">
        <v>23</v>
      </c>
      <c r="V3062" t="e">
        <f>IF(#REF! = "yes", 1, 0)</f>
        <v>#REF!</v>
      </c>
      <c r="W3062" t="e">
        <f>IF(#REF! &lt;= 1, "0-1 Calls", IF(#REF! &lt;= 3, "2-3 Calls", IF(#REF! &lt;=5, "4-5 Calls", "6+ Calls")))</f>
        <v>#REF!</v>
      </c>
      <c r="X3062" t="e">
        <f>IF(#REF! &lt;= 50, "0-50", IF(#REF! &lt;=100, "51-100", IF(#REF! &lt;= 150, "101-150", "151+")))</f>
        <v>#REF!</v>
      </c>
      <c r="Y3062" t="e">
        <f>IF(#REF! &lt;= 3, "Low Charges", "High Charges")</f>
        <v>#REF!</v>
      </c>
      <c r="Z3062" t="e">
        <f>IF(#REF!&lt;=80,"Low Calls",
IF(#REF!&lt;=120,"Medium Calls","High Calls"))</f>
        <v>#REF!</v>
      </c>
      <c r="AA3062" t="e">
        <f>IF(#REF!&lt;=15,"Low Charges",
IF(#REF!&lt;=20,"Medium Charges","High Charges"))</f>
        <v>#REF!</v>
      </c>
      <c r="AB3062" t="e">
        <f>IF(AND(#REF!&gt;180, #REF!&gt;200), "Heavy Doemstic User", IF(#REF!&gt;10, "Interntional User", IF(AND(#REF!&lt;180, #REF!&lt;200,#REF!&lt;200), "Light User", "Balanced User")))</f>
        <v>#REF!</v>
      </c>
      <c r="AC3062" t="e">
        <f>IF(#REF! = 0, "No Usage", IF(#REF! &lt;= 20, "Low Usage", IF(#REF! &lt;= 40, "Medium Usgae", "High Usage")))</f>
        <v>#REF!</v>
      </c>
      <c r="AD3062" t="e">
        <f>IF(#REF!&lt;=150,"Low Usage", IF(#REF!&lt;=200,"Medium Usage", IF(#REF!&lt;=250,"High Usage","Very High Usage")))</f>
        <v>#REF!</v>
      </c>
      <c r="AE3062" t="e">
        <f>IF(#REF!&lt;=5,"Low Calls", IF(#REF!&lt;=10, "Medium Calls", "High Calls"))</f>
        <v>#REF!</v>
      </c>
      <c r="AF3062" t="e">
        <f xml:space="preserve">
IF(#REF!&gt;=4,4,0)+
IF(#REF!="yes",3,0)+
IF(#REF!="High Charges",3,0)+
IF(#REF!&gt;250,4,0)+
IF(#REF!="no",1,0)+
IF(#REF!="Heavy Domestic User",2,0)</f>
        <v>#REF!</v>
      </c>
      <c r="AG3062" t="e">
        <f>IF(#REF!&gt;=10,"High Risk", IF(#REF!&gt;=5,"Medium Risk","Low Risk"))</f>
        <v>#REF!</v>
      </c>
      <c r="AH3062" t="e">
        <f>#REF! + #REF! + #REF! + #REF!</f>
        <v>#REF!</v>
      </c>
    </row>
    <row r="3063" spans="1:34" x14ac:dyDescent="0.35">
      <c r="A3063">
        <v>3062</v>
      </c>
      <c r="B3063" t="s">
        <v>75</v>
      </c>
      <c r="C3063">
        <v>102</v>
      </c>
      <c r="D3063" t="s">
        <v>28</v>
      </c>
      <c r="E3063" t="s">
        <v>22</v>
      </c>
      <c r="F3063" t="s">
        <v>22</v>
      </c>
      <c r="G3063">
        <v>0</v>
      </c>
      <c r="H3063">
        <v>69.7</v>
      </c>
      <c r="I3063">
        <v>85</v>
      </c>
      <c r="J3063">
        <v>11.85</v>
      </c>
      <c r="K3063">
        <v>226.5</v>
      </c>
      <c r="L3063">
        <v>107</v>
      </c>
      <c r="M3063">
        <v>19.25</v>
      </c>
      <c r="N3063">
        <v>128.5</v>
      </c>
      <c r="O3063">
        <v>104</v>
      </c>
      <c r="P3063">
        <v>5.78</v>
      </c>
      <c r="Q3063">
        <v>11.1</v>
      </c>
      <c r="R3063">
        <v>2</v>
      </c>
      <c r="S3063">
        <v>3</v>
      </c>
      <c r="T3063">
        <v>2</v>
      </c>
      <c r="U3063" t="s">
        <v>22</v>
      </c>
      <c r="V3063" t="e">
        <f>IF(#REF! = "yes", 1, 0)</f>
        <v>#REF!</v>
      </c>
      <c r="W3063" t="e">
        <f>IF(#REF! &lt;= 1, "0-1 Calls", IF(#REF! &lt;= 3, "2-3 Calls", IF(#REF! &lt;=5, "4-5 Calls", "6+ Calls")))</f>
        <v>#REF!</v>
      </c>
      <c r="X3063" t="e">
        <f>IF(#REF! &lt;= 50, "0-50", IF(#REF! &lt;=100, "51-100", IF(#REF! &lt;= 150, "101-150", "151+")))</f>
        <v>#REF!</v>
      </c>
      <c r="Y3063" t="e">
        <f>IF(#REF! &lt;= 3, "Low Charges", "High Charges")</f>
        <v>#REF!</v>
      </c>
      <c r="Z3063" t="e">
        <f>IF(#REF!&lt;=80,"Low Calls",
IF(#REF!&lt;=120,"Medium Calls","High Calls"))</f>
        <v>#REF!</v>
      </c>
      <c r="AA3063" t="e">
        <f>IF(#REF!&lt;=15,"Low Charges",
IF(#REF!&lt;=20,"Medium Charges","High Charges"))</f>
        <v>#REF!</v>
      </c>
      <c r="AB3063" t="e">
        <f>IF(AND(#REF!&gt;180, #REF!&gt;200), "Heavy Doemstic User", IF(#REF!&gt;10, "Interntional User", IF(AND(#REF!&lt;180, #REF!&lt;200,#REF!&lt;200), "Light User", "Balanced User")))</f>
        <v>#REF!</v>
      </c>
      <c r="AC3063" t="e">
        <f>IF(#REF! = 0, "No Usage", IF(#REF! &lt;= 20, "Low Usage", IF(#REF! &lt;= 40, "Medium Usgae", "High Usage")))</f>
        <v>#REF!</v>
      </c>
      <c r="AD3063" t="e">
        <f>IF(#REF!&lt;=150,"Low Usage", IF(#REF!&lt;=200,"Medium Usage", IF(#REF!&lt;=250,"High Usage","Very High Usage")))</f>
        <v>#REF!</v>
      </c>
      <c r="AE3063" t="e">
        <f>IF(#REF!&lt;=5,"Low Calls", IF(#REF!&lt;=10, "Medium Calls", "High Calls"))</f>
        <v>#REF!</v>
      </c>
      <c r="AF3063" t="e">
        <f xml:space="preserve">
IF(#REF!&gt;=4,4,0)+
IF(#REF!="yes",3,0)+
IF(#REF!="High Charges",3,0)+
IF(#REF!&gt;250,4,0)+
IF(#REF!="no",1,0)+
IF(#REF!="Heavy Domestic User",2,0)</f>
        <v>#REF!</v>
      </c>
      <c r="AG3063" t="e">
        <f>IF(#REF!&gt;=10,"High Risk", IF(#REF!&gt;=5,"Medium Risk","Low Risk"))</f>
        <v>#REF!</v>
      </c>
      <c r="AH3063" t="e">
        <f>#REF! + #REF! + #REF! + #REF!</f>
        <v>#REF!</v>
      </c>
    </row>
    <row r="3064" spans="1:34" x14ac:dyDescent="0.35">
      <c r="A3064">
        <v>3063</v>
      </c>
      <c r="B3064" t="s">
        <v>50</v>
      </c>
      <c r="C3064">
        <v>49</v>
      </c>
      <c r="D3064" t="s">
        <v>25</v>
      </c>
      <c r="E3064" t="s">
        <v>23</v>
      </c>
      <c r="F3064" t="s">
        <v>23</v>
      </c>
      <c r="G3064">
        <v>32</v>
      </c>
      <c r="H3064">
        <v>176.9</v>
      </c>
      <c r="I3064">
        <v>118</v>
      </c>
      <c r="J3064">
        <v>30.07</v>
      </c>
      <c r="K3064">
        <v>227</v>
      </c>
      <c r="L3064">
        <v>121</v>
      </c>
      <c r="M3064">
        <v>19.3</v>
      </c>
      <c r="N3064">
        <v>204.4</v>
      </c>
      <c r="O3064">
        <v>115</v>
      </c>
      <c r="P3064">
        <v>9.1999999999999993</v>
      </c>
      <c r="Q3064">
        <v>15.1</v>
      </c>
      <c r="R3064">
        <v>3</v>
      </c>
      <c r="S3064">
        <v>4.08</v>
      </c>
      <c r="T3064">
        <v>3</v>
      </c>
      <c r="U3064" t="s">
        <v>23</v>
      </c>
      <c r="V3064" t="e">
        <f>IF(#REF! = "yes", 1, 0)</f>
        <v>#REF!</v>
      </c>
      <c r="W3064" t="e">
        <f>IF(#REF! &lt;= 1, "0-1 Calls", IF(#REF! &lt;= 3, "2-3 Calls", IF(#REF! &lt;=5, "4-5 Calls", "6+ Calls")))</f>
        <v>#REF!</v>
      </c>
      <c r="X3064" t="e">
        <f>IF(#REF! &lt;= 50, "0-50", IF(#REF! &lt;=100, "51-100", IF(#REF! &lt;= 150, "101-150", "151+")))</f>
        <v>#REF!</v>
      </c>
      <c r="Y3064" t="e">
        <f>IF(#REF! &lt;= 3, "Low Charges", "High Charges")</f>
        <v>#REF!</v>
      </c>
      <c r="Z3064" t="e">
        <f>IF(#REF!&lt;=80,"Low Calls",
IF(#REF!&lt;=120,"Medium Calls","High Calls"))</f>
        <v>#REF!</v>
      </c>
      <c r="AA3064" t="e">
        <f>IF(#REF!&lt;=15,"Low Charges",
IF(#REF!&lt;=20,"Medium Charges","High Charges"))</f>
        <v>#REF!</v>
      </c>
      <c r="AB3064" t="e">
        <f>IF(AND(#REF!&gt;180, #REF!&gt;200), "Heavy Doemstic User", IF(#REF!&gt;10, "Interntional User", IF(AND(#REF!&lt;180, #REF!&lt;200,#REF!&lt;200), "Light User", "Balanced User")))</f>
        <v>#REF!</v>
      </c>
      <c r="AC3064" t="e">
        <f>IF(#REF! = 0, "No Usage", IF(#REF! &lt;= 20, "Low Usage", IF(#REF! &lt;= 40, "Medium Usgae", "High Usage")))</f>
        <v>#REF!</v>
      </c>
      <c r="AD3064" t="e">
        <f>IF(#REF!&lt;=150,"Low Usage", IF(#REF!&lt;=200,"Medium Usage", IF(#REF!&lt;=250,"High Usage","Very High Usage")))</f>
        <v>#REF!</v>
      </c>
      <c r="AE3064" t="e">
        <f>IF(#REF!&lt;=5,"Low Calls", IF(#REF!&lt;=10, "Medium Calls", "High Calls"))</f>
        <v>#REF!</v>
      </c>
      <c r="AF3064" t="e">
        <f xml:space="preserve">
IF(#REF!&gt;=4,4,0)+
IF(#REF!="yes",3,0)+
IF(#REF!="High Charges",3,0)+
IF(#REF!&gt;250,4,0)+
IF(#REF!="no",1,0)+
IF(#REF!="Heavy Domestic User",2,0)</f>
        <v>#REF!</v>
      </c>
      <c r="AG3064" t="e">
        <f>IF(#REF!&gt;=10,"High Risk", IF(#REF!&gt;=5,"Medium Risk","Low Risk"))</f>
        <v>#REF!</v>
      </c>
      <c r="AH3064" t="e">
        <f>#REF! + #REF! + #REF! + #REF!</f>
        <v>#REF!</v>
      </c>
    </row>
    <row r="3065" spans="1:34" x14ac:dyDescent="0.35">
      <c r="A3065">
        <v>3064</v>
      </c>
      <c r="B3065" t="s">
        <v>27</v>
      </c>
      <c r="C3065">
        <v>36</v>
      </c>
      <c r="D3065" t="s">
        <v>21</v>
      </c>
      <c r="E3065" t="s">
        <v>22</v>
      </c>
      <c r="F3065" t="s">
        <v>22</v>
      </c>
      <c r="G3065">
        <v>0</v>
      </c>
      <c r="H3065">
        <v>140.4</v>
      </c>
      <c r="I3065">
        <v>117</v>
      </c>
      <c r="J3065">
        <v>23.87</v>
      </c>
      <c r="K3065">
        <v>204.5</v>
      </c>
      <c r="L3065">
        <v>121</v>
      </c>
      <c r="M3065">
        <v>17.38</v>
      </c>
      <c r="N3065">
        <v>251.3</v>
      </c>
      <c r="O3065">
        <v>79</v>
      </c>
      <c r="P3065">
        <v>11.31</v>
      </c>
      <c r="Q3065">
        <v>8.6999999999999993</v>
      </c>
      <c r="R3065">
        <v>4</v>
      </c>
      <c r="S3065">
        <v>2.35</v>
      </c>
      <c r="T3065">
        <v>2</v>
      </c>
      <c r="U3065" t="s">
        <v>22</v>
      </c>
      <c r="V3065" t="e">
        <f>IF(#REF! = "yes", 1, 0)</f>
        <v>#REF!</v>
      </c>
      <c r="W3065" t="e">
        <f>IF(#REF! &lt;= 1, "0-1 Calls", IF(#REF! &lt;= 3, "2-3 Calls", IF(#REF! &lt;=5, "4-5 Calls", "6+ Calls")))</f>
        <v>#REF!</v>
      </c>
      <c r="X3065" t="e">
        <f>IF(#REF! &lt;= 50, "0-50", IF(#REF! &lt;=100, "51-100", IF(#REF! &lt;= 150, "101-150", "151+")))</f>
        <v>#REF!</v>
      </c>
      <c r="Y3065" t="e">
        <f>IF(#REF! &lt;= 3, "Low Charges", "High Charges")</f>
        <v>#REF!</v>
      </c>
      <c r="Z3065" t="e">
        <f>IF(#REF!&lt;=80,"Low Calls",
IF(#REF!&lt;=120,"Medium Calls","High Calls"))</f>
        <v>#REF!</v>
      </c>
      <c r="AA3065" t="e">
        <f>IF(#REF!&lt;=15,"Low Charges",
IF(#REF!&lt;=20,"Medium Charges","High Charges"))</f>
        <v>#REF!</v>
      </c>
      <c r="AB3065" t="e">
        <f>IF(AND(#REF!&gt;180, #REF!&gt;200), "Heavy Doemstic User", IF(#REF!&gt;10, "Interntional User", IF(AND(#REF!&lt;180, #REF!&lt;200,#REF!&lt;200), "Light User", "Balanced User")))</f>
        <v>#REF!</v>
      </c>
      <c r="AC3065" t="e">
        <f>IF(#REF! = 0, "No Usage", IF(#REF! &lt;= 20, "Low Usage", IF(#REF! &lt;= 40, "Medium Usgae", "High Usage")))</f>
        <v>#REF!</v>
      </c>
      <c r="AD3065" t="e">
        <f>IF(#REF!&lt;=150,"Low Usage", IF(#REF!&lt;=200,"Medium Usage", IF(#REF!&lt;=250,"High Usage","Very High Usage")))</f>
        <v>#REF!</v>
      </c>
      <c r="AE3065" t="e">
        <f>IF(#REF!&lt;=5,"Low Calls", IF(#REF!&lt;=10, "Medium Calls", "High Calls"))</f>
        <v>#REF!</v>
      </c>
      <c r="AF3065" t="e">
        <f xml:space="preserve">
IF(#REF!&gt;=4,4,0)+
IF(#REF!="yes",3,0)+
IF(#REF!="High Charges",3,0)+
IF(#REF!&gt;250,4,0)+
IF(#REF!="no",1,0)+
IF(#REF!="Heavy Domestic User",2,0)</f>
        <v>#REF!</v>
      </c>
      <c r="AG3065" t="e">
        <f>IF(#REF!&gt;=10,"High Risk", IF(#REF!&gt;=5,"Medium Risk","Low Risk"))</f>
        <v>#REF!</v>
      </c>
      <c r="AH3065" t="e">
        <f>#REF! + #REF! + #REF! + #REF!</f>
        <v>#REF!</v>
      </c>
    </row>
    <row r="3066" spans="1:34" x14ac:dyDescent="0.35">
      <c r="A3066">
        <v>3065</v>
      </c>
      <c r="B3066" t="s">
        <v>51</v>
      </c>
      <c r="C3066">
        <v>13</v>
      </c>
      <c r="D3066" t="s">
        <v>28</v>
      </c>
      <c r="E3066" t="s">
        <v>22</v>
      </c>
      <c r="F3066" t="s">
        <v>22</v>
      </c>
      <c r="G3066">
        <v>0</v>
      </c>
      <c r="H3066">
        <v>167.4</v>
      </c>
      <c r="I3066">
        <v>117</v>
      </c>
      <c r="J3066">
        <v>28.46</v>
      </c>
      <c r="K3066">
        <v>223.5</v>
      </c>
      <c r="L3066">
        <v>102</v>
      </c>
      <c r="M3066">
        <v>19</v>
      </c>
      <c r="N3066">
        <v>215.8</v>
      </c>
      <c r="O3066">
        <v>108</v>
      </c>
      <c r="P3066">
        <v>9.7100000000000009</v>
      </c>
      <c r="Q3066">
        <v>9</v>
      </c>
      <c r="R3066">
        <v>3</v>
      </c>
      <c r="S3066">
        <v>2.4300000000000002</v>
      </c>
      <c r="T3066">
        <v>1</v>
      </c>
      <c r="U3066" t="s">
        <v>22</v>
      </c>
      <c r="V3066" t="e">
        <f>IF(#REF! = "yes", 1, 0)</f>
        <v>#REF!</v>
      </c>
      <c r="W3066" t="e">
        <f>IF(#REF! &lt;= 1, "0-1 Calls", IF(#REF! &lt;= 3, "2-3 Calls", IF(#REF! &lt;=5, "4-5 Calls", "6+ Calls")))</f>
        <v>#REF!</v>
      </c>
      <c r="X3066" t="e">
        <f>IF(#REF! &lt;= 50, "0-50", IF(#REF! &lt;=100, "51-100", IF(#REF! &lt;= 150, "101-150", "151+")))</f>
        <v>#REF!</v>
      </c>
      <c r="Y3066" t="e">
        <f>IF(#REF! &lt;= 3, "Low Charges", "High Charges")</f>
        <v>#REF!</v>
      </c>
      <c r="Z3066" t="e">
        <f>IF(#REF!&lt;=80,"Low Calls",
IF(#REF!&lt;=120,"Medium Calls","High Calls"))</f>
        <v>#REF!</v>
      </c>
      <c r="AA3066" t="e">
        <f>IF(#REF!&lt;=15,"Low Charges",
IF(#REF!&lt;=20,"Medium Charges","High Charges"))</f>
        <v>#REF!</v>
      </c>
      <c r="AB3066" t="e">
        <f>IF(AND(#REF!&gt;180, #REF!&gt;200), "Heavy Doemstic User", IF(#REF!&gt;10, "Interntional User", IF(AND(#REF!&lt;180, #REF!&lt;200,#REF!&lt;200), "Light User", "Balanced User")))</f>
        <v>#REF!</v>
      </c>
      <c r="AC3066" t="e">
        <f>IF(#REF! = 0, "No Usage", IF(#REF! &lt;= 20, "Low Usage", IF(#REF! &lt;= 40, "Medium Usgae", "High Usage")))</f>
        <v>#REF!</v>
      </c>
      <c r="AD3066" t="e">
        <f>IF(#REF!&lt;=150,"Low Usage", IF(#REF!&lt;=200,"Medium Usage", IF(#REF!&lt;=250,"High Usage","Very High Usage")))</f>
        <v>#REF!</v>
      </c>
      <c r="AE3066" t="e">
        <f>IF(#REF!&lt;=5,"Low Calls", IF(#REF!&lt;=10, "Medium Calls", "High Calls"))</f>
        <v>#REF!</v>
      </c>
      <c r="AF3066" t="e">
        <f xml:space="preserve">
IF(#REF!&gt;=4,4,0)+
IF(#REF!="yes",3,0)+
IF(#REF!="High Charges",3,0)+
IF(#REF!&gt;250,4,0)+
IF(#REF!="no",1,0)+
IF(#REF!="Heavy Domestic User",2,0)</f>
        <v>#REF!</v>
      </c>
      <c r="AG3066" t="e">
        <f>IF(#REF!&gt;=10,"High Risk", IF(#REF!&gt;=5,"Medium Risk","Low Risk"))</f>
        <v>#REF!</v>
      </c>
      <c r="AH3066" t="e">
        <f>#REF! + #REF! + #REF! + #REF!</f>
        <v>#REF!</v>
      </c>
    </row>
    <row r="3067" spans="1:34" x14ac:dyDescent="0.35">
      <c r="A3067">
        <v>3066</v>
      </c>
      <c r="B3067" t="s">
        <v>68</v>
      </c>
      <c r="C3067">
        <v>151</v>
      </c>
      <c r="D3067" t="s">
        <v>25</v>
      </c>
      <c r="E3067" t="s">
        <v>22</v>
      </c>
      <c r="F3067" t="s">
        <v>23</v>
      </c>
      <c r="G3067">
        <v>27</v>
      </c>
      <c r="H3067">
        <v>166.4</v>
      </c>
      <c r="I3067">
        <v>112</v>
      </c>
      <c r="J3067">
        <v>28.29</v>
      </c>
      <c r="K3067">
        <v>234.3</v>
      </c>
      <c r="L3067">
        <v>116</v>
      </c>
      <c r="M3067">
        <v>19.920000000000002</v>
      </c>
      <c r="N3067">
        <v>161.1</v>
      </c>
      <c r="O3067">
        <v>95</v>
      </c>
      <c r="P3067">
        <v>7.25</v>
      </c>
      <c r="Q3067">
        <v>5.5</v>
      </c>
      <c r="R3067">
        <v>2</v>
      </c>
      <c r="S3067">
        <v>1.49</v>
      </c>
      <c r="T3067">
        <v>0</v>
      </c>
      <c r="U3067" t="s">
        <v>22</v>
      </c>
      <c r="V3067" t="e">
        <f>IF(#REF! = "yes", 1, 0)</f>
        <v>#REF!</v>
      </c>
      <c r="W3067" t="e">
        <f>IF(#REF! &lt;= 1, "0-1 Calls", IF(#REF! &lt;= 3, "2-3 Calls", IF(#REF! &lt;=5, "4-5 Calls", "6+ Calls")))</f>
        <v>#REF!</v>
      </c>
      <c r="X3067" t="e">
        <f>IF(#REF! &lt;= 50, "0-50", IF(#REF! &lt;=100, "51-100", IF(#REF! &lt;= 150, "101-150", "151+")))</f>
        <v>#REF!</v>
      </c>
      <c r="Y3067" t="e">
        <f>IF(#REF! &lt;= 3, "Low Charges", "High Charges")</f>
        <v>#REF!</v>
      </c>
      <c r="Z3067" t="e">
        <f>IF(#REF!&lt;=80,"Low Calls",
IF(#REF!&lt;=120,"Medium Calls","High Calls"))</f>
        <v>#REF!</v>
      </c>
      <c r="AA3067" t="e">
        <f>IF(#REF!&lt;=15,"Low Charges",
IF(#REF!&lt;=20,"Medium Charges","High Charges"))</f>
        <v>#REF!</v>
      </c>
      <c r="AB3067" t="e">
        <f>IF(AND(#REF!&gt;180, #REF!&gt;200), "Heavy Doemstic User", IF(#REF!&gt;10, "Interntional User", IF(AND(#REF!&lt;180, #REF!&lt;200,#REF!&lt;200), "Light User", "Balanced User")))</f>
        <v>#REF!</v>
      </c>
      <c r="AC3067" t="e">
        <f>IF(#REF! = 0, "No Usage", IF(#REF! &lt;= 20, "Low Usage", IF(#REF! &lt;= 40, "Medium Usgae", "High Usage")))</f>
        <v>#REF!</v>
      </c>
      <c r="AD3067" t="e">
        <f>IF(#REF!&lt;=150,"Low Usage", IF(#REF!&lt;=200,"Medium Usage", IF(#REF!&lt;=250,"High Usage","Very High Usage")))</f>
        <v>#REF!</v>
      </c>
      <c r="AE3067" t="e">
        <f>IF(#REF!&lt;=5,"Low Calls", IF(#REF!&lt;=10, "Medium Calls", "High Calls"))</f>
        <v>#REF!</v>
      </c>
      <c r="AF3067" t="e">
        <f xml:space="preserve">
IF(#REF!&gt;=4,4,0)+
IF(#REF!="yes",3,0)+
IF(#REF!="High Charges",3,0)+
IF(#REF!&gt;250,4,0)+
IF(#REF!="no",1,0)+
IF(#REF!="Heavy Domestic User",2,0)</f>
        <v>#REF!</v>
      </c>
      <c r="AG3067" t="e">
        <f>IF(#REF!&gt;=10,"High Risk", IF(#REF!&gt;=5,"Medium Risk","Low Risk"))</f>
        <v>#REF!</v>
      </c>
      <c r="AH3067" t="e">
        <f>#REF! + #REF! + #REF! + #REF!</f>
        <v>#REF!</v>
      </c>
    </row>
    <row r="3068" spans="1:34" x14ac:dyDescent="0.35">
      <c r="A3068">
        <v>3067</v>
      </c>
      <c r="B3068" t="s">
        <v>31</v>
      </c>
      <c r="C3068">
        <v>111</v>
      </c>
      <c r="D3068" t="s">
        <v>25</v>
      </c>
      <c r="E3068" t="s">
        <v>22</v>
      </c>
      <c r="F3068" t="s">
        <v>22</v>
      </c>
      <c r="G3068">
        <v>0</v>
      </c>
      <c r="H3068">
        <v>171.5</v>
      </c>
      <c r="I3068">
        <v>108</v>
      </c>
      <c r="J3068">
        <v>29.16</v>
      </c>
      <c r="K3068">
        <v>204.4</v>
      </c>
      <c r="L3068">
        <v>106</v>
      </c>
      <c r="M3068">
        <v>17.37</v>
      </c>
      <c r="N3068">
        <v>238.8</v>
      </c>
      <c r="O3068">
        <v>90</v>
      </c>
      <c r="P3068">
        <v>10.75</v>
      </c>
      <c r="Q3068">
        <v>10.7</v>
      </c>
      <c r="R3068">
        <v>4</v>
      </c>
      <c r="S3068">
        <v>2.89</v>
      </c>
      <c r="T3068">
        <v>3</v>
      </c>
      <c r="U3068" t="s">
        <v>22</v>
      </c>
      <c r="V3068" t="e">
        <f>IF(#REF! = "yes", 1, 0)</f>
        <v>#REF!</v>
      </c>
      <c r="W3068" t="e">
        <f>IF(#REF! &lt;= 1, "0-1 Calls", IF(#REF! &lt;= 3, "2-3 Calls", IF(#REF! &lt;=5, "4-5 Calls", "6+ Calls")))</f>
        <v>#REF!</v>
      </c>
      <c r="X3068" t="e">
        <f>IF(#REF! &lt;= 50, "0-50", IF(#REF! &lt;=100, "51-100", IF(#REF! &lt;= 150, "101-150", "151+")))</f>
        <v>#REF!</v>
      </c>
      <c r="Y3068" t="e">
        <f>IF(#REF! &lt;= 3, "Low Charges", "High Charges")</f>
        <v>#REF!</v>
      </c>
      <c r="Z3068" t="e">
        <f>IF(#REF!&lt;=80,"Low Calls",
IF(#REF!&lt;=120,"Medium Calls","High Calls"))</f>
        <v>#REF!</v>
      </c>
      <c r="AA3068" t="e">
        <f>IF(#REF!&lt;=15,"Low Charges",
IF(#REF!&lt;=20,"Medium Charges","High Charges"))</f>
        <v>#REF!</v>
      </c>
      <c r="AB3068" t="e">
        <f>IF(AND(#REF!&gt;180, #REF!&gt;200), "Heavy Doemstic User", IF(#REF!&gt;10, "Interntional User", IF(AND(#REF!&lt;180, #REF!&lt;200,#REF!&lt;200), "Light User", "Balanced User")))</f>
        <v>#REF!</v>
      </c>
      <c r="AC3068" t="e">
        <f>IF(#REF! = 0, "No Usage", IF(#REF! &lt;= 20, "Low Usage", IF(#REF! &lt;= 40, "Medium Usgae", "High Usage")))</f>
        <v>#REF!</v>
      </c>
      <c r="AD3068" t="e">
        <f>IF(#REF!&lt;=150,"Low Usage", IF(#REF!&lt;=200,"Medium Usage", IF(#REF!&lt;=250,"High Usage","Very High Usage")))</f>
        <v>#REF!</v>
      </c>
      <c r="AE3068" t="e">
        <f>IF(#REF!&lt;=5,"Low Calls", IF(#REF!&lt;=10, "Medium Calls", "High Calls"))</f>
        <v>#REF!</v>
      </c>
      <c r="AF3068" t="e">
        <f xml:space="preserve">
IF(#REF!&gt;=4,4,0)+
IF(#REF!="yes",3,0)+
IF(#REF!="High Charges",3,0)+
IF(#REF!&gt;250,4,0)+
IF(#REF!="no",1,0)+
IF(#REF!="Heavy Domestic User",2,0)</f>
        <v>#REF!</v>
      </c>
      <c r="AG3068" t="e">
        <f>IF(#REF!&gt;=10,"High Risk", IF(#REF!&gt;=5,"Medium Risk","Low Risk"))</f>
        <v>#REF!</v>
      </c>
      <c r="AH3068" t="e">
        <f>#REF! + #REF! + #REF! + #REF!</f>
        <v>#REF!</v>
      </c>
    </row>
    <row r="3069" spans="1:34" x14ac:dyDescent="0.35">
      <c r="A3069">
        <v>3068</v>
      </c>
      <c r="B3069" t="s">
        <v>41</v>
      </c>
      <c r="C3069">
        <v>135</v>
      </c>
      <c r="D3069" t="s">
        <v>21</v>
      </c>
      <c r="E3069" t="s">
        <v>23</v>
      </c>
      <c r="F3069" t="s">
        <v>22</v>
      </c>
      <c r="G3069">
        <v>0</v>
      </c>
      <c r="H3069">
        <v>177.2</v>
      </c>
      <c r="I3069">
        <v>151</v>
      </c>
      <c r="J3069">
        <v>30.12</v>
      </c>
      <c r="K3069">
        <v>209.3</v>
      </c>
      <c r="L3069">
        <v>83</v>
      </c>
      <c r="M3069">
        <v>17.79</v>
      </c>
      <c r="N3069">
        <v>236.3</v>
      </c>
      <c r="O3069">
        <v>114</v>
      </c>
      <c r="P3069">
        <v>10.63</v>
      </c>
      <c r="Q3069">
        <v>11.1</v>
      </c>
      <c r="R3069">
        <v>5</v>
      </c>
      <c r="S3069">
        <v>3</v>
      </c>
      <c r="T3069">
        <v>2</v>
      </c>
      <c r="U3069" t="s">
        <v>22</v>
      </c>
      <c r="V3069" t="e">
        <f>IF(#REF! = "yes", 1, 0)</f>
        <v>#REF!</v>
      </c>
      <c r="W3069" t="e">
        <f>IF(#REF! &lt;= 1, "0-1 Calls", IF(#REF! &lt;= 3, "2-3 Calls", IF(#REF! &lt;=5, "4-5 Calls", "6+ Calls")))</f>
        <v>#REF!</v>
      </c>
      <c r="X3069" t="e">
        <f>IF(#REF! &lt;= 50, "0-50", IF(#REF! &lt;=100, "51-100", IF(#REF! &lt;= 150, "101-150", "151+")))</f>
        <v>#REF!</v>
      </c>
      <c r="Y3069" t="e">
        <f>IF(#REF! &lt;= 3, "Low Charges", "High Charges")</f>
        <v>#REF!</v>
      </c>
      <c r="Z3069" t="e">
        <f>IF(#REF!&lt;=80,"Low Calls",
IF(#REF!&lt;=120,"Medium Calls","High Calls"))</f>
        <v>#REF!</v>
      </c>
      <c r="AA3069" t="e">
        <f>IF(#REF!&lt;=15,"Low Charges",
IF(#REF!&lt;=20,"Medium Charges","High Charges"))</f>
        <v>#REF!</v>
      </c>
      <c r="AB3069" t="e">
        <f>IF(AND(#REF!&gt;180, #REF!&gt;200), "Heavy Doemstic User", IF(#REF!&gt;10, "Interntional User", IF(AND(#REF!&lt;180, #REF!&lt;200,#REF!&lt;200), "Light User", "Balanced User")))</f>
        <v>#REF!</v>
      </c>
      <c r="AC3069" t="e">
        <f>IF(#REF! = 0, "No Usage", IF(#REF! &lt;= 20, "Low Usage", IF(#REF! &lt;= 40, "Medium Usgae", "High Usage")))</f>
        <v>#REF!</v>
      </c>
      <c r="AD3069" t="e">
        <f>IF(#REF!&lt;=150,"Low Usage", IF(#REF!&lt;=200,"Medium Usage", IF(#REF!&lt;=250,"High Usage","Very High Usage")))</f>
        <v>#REF!</v>
      </c>
      <c r="AE3069" t="e">
        <f>IF(#REF!&lt;=5,"Low Calls", IF(#REF!&lt;=10, "Medium Calls", "High Calls"))</f>
        <v>#REF!</v>
      </c>
      <c r="AF3069" t="e">
        <f xml:space="preserve">
IF(#REF!&gt;=4,4,0)+
IF(#REF!="yes",3,0)+
IF(#REF!="High Charges",3,0)+
IF(#REF!&gt;250,4,0)+
IF(#REF!="no",1,0)+
IF(#REF!="Heavy Domestic User",2,0)</f>
        <v>#REF!</v>
      </c>
      <c r="AG3069" t="e">
        <f>IF(#REF!&gt;=10,"High Risk", IF(#REF!&gt;=5,"Medium Risk","Low Risk"))</f>
        <v>#REF!</v>
      </c>
      <c r="AH3069" t="e">
        <f>#REF! + #REF! + #REF! + #REF!</f>
        <v>#REF!</v>
      </c>
    </row>
    <row r="3070" spans="1:34" x14ac:dyDescent="0.35">
      <c r="A3070">
        <v>3069</v>
      </c>
      <c r="B3070" t="s">
        <v>38</v>
      </c>
      <c r="C3070">
        <v>114</v>
      </c>
      <c r="D3070" t="s">
        <v>21</v>
      </c>
      <c r="E3070" t="s">
        <v>22</v>
      </c>
      <c r="F3070" t="s">
        <v>23</v>
      </c>
      <c r="G3070">
        <v>34</v>
      </c>
      <c r="H3070">
        <v>114.5</v>
      </c>
      <c r="I3070">
        <v>64</v>
      </c>
      <c r="J3070">
        <v>19.47</v>
      </c>
      <c r="K3070">
        <v>229.3</v>
      </c>
      <c r="L3070">
        <v>84</v>
      </c>
      <c r="M3070">
        <v>19.489999999999998</v>
      </c>
      <c r="N3070">
        <v>288.8</v>
      </c>
      <c r="O3070">
        <v>68</v>
      </c>
      <c r="P3070">
        <v>13</v>
      </c>
      <c r="Q3070">
        <v>10.4</v>
      </c>
      <c r="R3070">
        <v>16</v>
      </c>
      <c r="S3070">
        <v>2.81</v>
      </c>
      <c r="T3070">
        <v>0</v>
      </c>
      <c r="U3070" t="s">
        <v>22</v>
      </c>
      <c r="V3070" t="e">
        <f>IF(#REF! = "yes", 1, 0)</f>
        <v>#REF!</v>
      </c>
      <c r="W3070" t="e">
        <f>IF(#REF! &lt;= 1, "0-1 Calls", IF(#REF! &lt;= 3, "2-3 Calls", IF(#REF! &lt;=5, "4-5 Calls", "6+ Calls")))</f>
        <v>#REF!</v>
      </c>
      <c r="X3070" t="e">
        <f>IF(#REF! &lt;= 50, "0-50", IF(#REF! &lt;=100, "51-100", IF(#REF! &lt;= 150, "101-150", "151+")))</f>
        <v>#REF!</v>
      </c>
      <c r="Y3070" t="e">
        <f>IF(#REF! &lt;= 3, "Low Charges", "High Charges")</f>
        <v>#REF!</v>
      </c>
      <c r="Z3070" t="e">
        <f>IF(#REF!&lt;=80,"Low Calls",
IF(#REF!&lt;=120,"Medium Calls","High Calls"))</f>
        <v>#REF!</v>
      </c>
      <c r="AA3070" t="e">
        <f>IF(#REF!&lt;=15,"Low Charges",
IF(#REF!&lt;=20,"Medium Charges","High Charges"))</f>
        <v>#REF!</v>
      </c>
      <c r="AB3070" t="e">
        <f>IF(AND(#REF!&gt;180, #REF!&gt;200), "Heavy Doemstic User", IF(#REF!&gt;10, "Interntional User", IF(AND(#REF!&lt;180, #REF!&lt;200,#REF!&lt;200), "Light User", "Balanced User")))</f>
        <v>#REF!</v>
      </c>
      <c r="AC3070" t="e">
        <f>IF(#REF! = 0, "No Usage", IF(#REF! &lt;= 20, "Low Usage", IF(#REF! &lt;= 40, "Medium Usgae", "High Usage")))</f>
        <v>#REF!</v>
      </c>
      <c r="AD3070" t="e">
        <f>IF(#REF!&lt;=150,"Low Usage", IF(#REF!&lt;=200,"Medium Usage", IF(#REF!&lt;=250,"High Usage","Very High Usage")))</f>
        <v>#REF!</v>
      </c>
      <c r="AE3070" t="e">
        <f>IF(#REF!&lt;=5,"Low Calls", IF(#REF!&lt;=10, "Medium Calls", "High Calls"))</f>
        <v>#REF!</v>
      </c>
      <c r="AF3070" t="e">
        <f xml:space="preserve">
IF(#REF!&gt;=4,4,0)+
IF(#REF!="yes",3,0)+
IF(#REF!="High Charges",3,0)+
IF(#REF!&gt;250,4,0)+
IF(#REF!="no",1,0)+
IF(#REF!="Heavy Domestic User",2,0)</f>
        <v>#REF!</v>
      </c>
      <c r="AG3070" t="e">
        <f>IF(#REF!&gt;=10,"High Risk", IF(#REF!&gt;=5,"Medium Risk","Low Risk"))</f>
        <v>#REF!</v>
      </c>
      <c r="AH3070" t="e">
        <f>#REF! + #REF! + #REF! + #REF!</f>
        <v>#REF!</v>
      </c>
    </row>
    <row r="3071" spans="1:34" x14ac:dyDescent="0.35">
      <c r="A3071">
        <v>3070</v>
      </c>
      <c r="B3071" t="s">
        <v>46</v>
      </c>
      <c r="C3071">
        <v>122</v>
      </c>
      <c r="D3071" t="s">
        <v>21</v>
      </c>
      <c r="E3071" t="s">
        <v>22</v>
      </c>
      <c r="F3071" t="s">
        <v>23</v>
      </c>
      <c r="G3071">
        <v>34</v>
      </c>
      <c r="H3071">
        <v>205.1</v>
      </c>
      <c r="I3071">
        <v>123</v>
      </c>
      <c r="J3071">
        <v>34.869999999999997</v>
      </c>
      <c r="K3071">
        <v>203.3</v>
      </c>
      <c r="L3071">
        <v>123</v>
      </c>
      <c r="M3071">
        <v>17.28</v>
      </c>
      <c r="N3071">
        <v>126.7</v>
      </c>
      <c r="O3071">
        <v>106</v>
      </c>
      <c r="P3071">
        <v>5.7</v>
      </c>
      <c r="Q3071">
        <v>10.7</v>
      </c>
      <c r="R3071">
        <v>1</v>
      </c>
      <c r="S3071">
        <v>2.89</v>
      </c>
      <c r="T3071">
        <v>2</v>
      </c>
      <c r="U3071" t="s">
        <v>22</v>
      </c>
      <c r="V3071" t="e">
        <f>IF(#REF! = "yes", 1, 0)</f>
        <v>#REF!</v>
      </c>
      <c r="W3071" t="e">
        <f>IF(#REF! &lt;= 1, "0-1 Calls", IF(#REF! &lt;= 3, "2-3 Calls", IF(#REF! &lt;=5, "4-5 Calls", "6+ Calls")))</f>
        <v>#REF!</v>
      </c>
      <c r="X3071" t="e">
        <f>IF(#REF! &lt;= 50, "0-50", IF(#REF! &lt;=100, "51-100", IF(#REF! &lt;= 150, "101-150", "151+")))</f>
        <v>#REF!</v>
      </c>
      <c r="Y3071" t="e">
        <f>IF(#REF! &lt;= 3, "Low Charges", "High Charges")</f>
        <v>#REF!</v>
      </c>
      <c r="Z3071" t="e">
        <f>IF(#REF!&lt;=80,"Low Calls",
IF(#REF!&lt;=120,"Medium Calls","High Calls"))</f>
        <v>#REF!</v>
      </c>
      <c r="AA3071" t="e">
        <f>IF(#REF!&lt;=15,"Low Charges",
IF(#REF!&lt;=20,"Medium Charges","High Charges"))</f>
        <v>#REF!</v>
      </c>
      <c r="AB3071" t="e">
        <f>IF(AND(#REF!&gt;180, #REF!&gt;200), "Heavy Doemstic User", IF(#REF!&gt;10, "Interntional User", IF(AND(#REF!&lt;180, #REF!&lt;200,#REF!&lt;200), "Light User", "Balanced User")))</f>
        <v>#REF!</v>
      </c>
      <c r="AC3071" t="e">
        <f>IF(#REF! = 0, "No Usage", IF(#REF! &lt;= 20, "Low Usage", IF(#REF! &lt;= 40, "Medium Usgae", "High Usage")))</f>
        <v>#REF!</v>
      </c>
      <c r="AD3071" t="e">
        <f>IF(#REF!&lt;=150,"Low Usage", IF(#REF!&lt;=200,"Medium Usage", IF(#REF!&lt;=250,"High Usage","Very High Usage")))</f>
        <v>#REF!</v>
      </c>
      <c r="AE3071" t="e">
        <f>IF(#REF!&lt;=5,"Low Calls", IF(#REF!&lt;=10, "Medium Calls", "High Calls"))</f>
        <v>#REF!</v>
      </c>
      <c r="AF3071" t="e">
        <f xml:space="preserve">
IF(#REF!&gt;=4,4,0)+
IF(#REF!="yes",3,0)+
IF(#REF!="High Charges",3,0)+
IF(#REF!&gt;250,4,0)+
IF(#REF!="no",1,0)+
IF(#REF!="Heavy Domestic User",2,0)</f>
        <v>#REF!</v>
      </c>
      <c r="AG3071" t="e">
        <f>IF(#REF!&gt;=10,"High Risk", IF(#REF!&gt;=5,"Medium Risk","Low Risk"))</f>
        <v>#REF!</v>
      </c>
      <c r="AH3071" t="e">
        <f>#REF! + #REF! + #REF! + #REF!</f>
        <v>#REF!</v>
      </c>
    </row>
    <row r="3072" spans="1:34" x14ac:dyDescent="0.35">
      <c r="A3072">
        <v>3071</v>
      </c>
      <c r="B3072" t="s">
        <v>71</v>
      </c>
      <c r="C3072">
        <v>89</v>
      </c>
      <c r="D3072" t="s">
        <v>21</v>
      </c>
      <c r="E3072" t="s">
        <v>22</v>
      </c>
      <c r="F3072" t="s">
        <v>22</v>
      </c>
      <c r="G3072">
        <v>0</v>
      </c>
      <c r="H3072">
        <v>208.4</v>
      </c>
      <c r="I3072">
        <v>112</v>
      </c>
      <c r="J3072">
        <v>35.43</v>
      </c>
      <c r="K3072">
        <v>189.5</v>
      </c>
      <c r="L3072">
        <v>116</v>
      </c>
      <c r="M3072">
        <v>16.11</v>
      </c>
      <c r="N3072">
        <v>264.39999999999998</v>
      </c>
      <c r="O3072">
        <v>101</v>
      </c>
      <c r="P3072">
        <v>11.9</v>
      </c>
      <c r="Q3072">
        <v>16.8</v>
      </c>
      <c r="R3072">
        <v>1</v>
      </c>
      <c r="S3072">
        <v>4.54</v>
      </c>
      <c r="T3072">
        <v>0</v>
      </c>
      <c r="U3072" t="s">
        <v>23</v>
      </c>
      <c r="V3072" t="e">
        <f>IF(#REF! = "yes", 1, 0)</f>
        <v>#REF!</v>
      </c>
      <c r="W3072" t="e">
        <f>IF(#REF! &lt;= 1, "0-1 Calls", IF(#REF! &lt;= 3, "2-3 Calls", IF(#REF! &lt;=5, "4-5 Calls", "6+ Calls")))</f>
        <v>#REF!</v>
      </c>
      <c r="X3072" t="e">
        <f>IF(#REF! &lt;= 50, "0-50", IF(#REF! &lt;=100, "51-100", IF(#REF! &lt;= 150, "101-150", "151+")))</f>
        <v>#REF!</v>
      </c>
      <c r="Y3072" t="e">
        <f>IF(#REF! &lt;= 3, "Low Charges", "High Charges")</f>
        <v>#REF!</v>
      </c>
      <c r="Z3072" t="e">
        <f>IF(#REF!&lt;=80,"Low Calls",
IF(#REF!&lt;=120,"Medium Calls","High Calls"))</f>
        <v>#REF!</v>
      </c>
      <c r="AA3072" t="e">
        <f>IF(#REF!&lt;=15,"Low Charges",
IF(#REF!&lt;=20,"Medium Charges","High Charges"))</f>
        <v>#REF!</v>
      </c>
      <c r="AB3072" t="e">
        <f>IF(AND(#REF!&gt;180, #REF!&gt;200), "Heavy Doemstic User", IF(#REF!&gt;10, "Interntional User", IF(AND(#REF!&lt;180, #REF!&lt;200,#REF!&lt;200), "Light User", "Balanced User")))</f>
        <v>#REF!</v>
      </c>
      <c r="AC3072" t="e">
        <f>IF(#REF! = 0, "No Usage", IF(#REF! &lt;= 20, "Low Usage", IF(#REF! &lt;= 40, "Medium Usgae", "High Usage")))</f>
        <v>#REF!</v>
      </c>
      <c r="AD3072" t="e">
        <f>IF(#REF!&lt;=150,"Low Usage", IF(#REF!&lt;=200,"Medium Usage", IF(#REF!&lt;=250,"High Usage","Very High Usage")))</f>
        <v>#REF!</v>
      </c>
      <c r="AE3072" t="e">
        <f>IF(#REF!&lt;=5,"Low Calls", IF(#REF!&lt;=10, "Medium Calls", "High Calls"))</f>
        <v>#REF!</v>
      </c>
      <c r="AF3072" t="e">
        <f xml:space="preserve">
IF(#REF!&gt;=4,4,0)+
IF(#REF!="yes",3,0)+
IF(#REF!="High Charges",3,0)+
IF(#REF!&gt;250,4,0)+
IF(#REF!="no",1,0)+
IF(#REF!="Heavy Domestic User",2,0)</f>
        <v>#REF!</v>
      </c>
      <c r="AG3072" t="e">
        <f>IF(#REF!&gt;=10,"High Risk", IF(#REF!&gt;=5,"Medium Risk","Low Risk"))</f>
        <v>#REF!</v>
      </c>
      <c r="AH3072" t="e">
        <f>#REF! + #REF! + #REF! + #REF!</f>
        <v>#REF!</v>
      </c>
    </row>
    <row r="3073" spans="1:34" x14ac:dyDescent="0.35">
      <c r="A3073">
        <v>3072</v>
      </c>
      <c r="B3073" t="s">
        <v>55</v>
      </c>
      <c r="C3073">
        <v>96</v>
      </c>
      <c r="D3073" t="s">
        <v>21</v>
      </c>
      <c r="E3073" t="s">
        <v>22</v>
      </c>
      <c r="F3073" t="s">
        <v>22</v>
      </c>
      <c r="G3073">
        <v>0</v>
      </c>
      <c r="H3073">
        <v>125.8</v>
      </c>
      <c r="I3073">
        <v>102</v>
      </c>
      <c r="J3073">
        <v>21.39</v>
      </c>
      <c r="K3073">
        <v>244.4</v>
      </c>
      <c r="L3073">
        <v>111</v>
      </c>
      <c r="M3073">
        <v>20.77</v>
      </c>
      <c r="N3073">
        <v>167.7</v>
      </c>
      <c r="O3073">
        <v>90</v>
      </c>
      <c r="P3073">
        <v>7.55</v>
      </c>
      <c r="Q3073">
        <v>9</v>
      </c>
      <c r="R3073">
        <v>2</v>
      </c>
      <c r="S3073">
        <v>2.4300000000000002</v>
      </c>
      <c r="T3073">
        <v>2</v>
      </c>
      <c r="U3073" t="s">
        <v>22</v>
      </c>
      <c r="V3073" t="e">
        <f>IF(#REF! = "yes", 1, 0)</f>
        <v>#REF!</v>
      </c>
      <c r="W3073" t="e">
        <f>IF(#REF! &lt;= 1, "0-1 Calls", IF(#REF! &lt;= 3, "2-3 Calls", IF(#REF! &lt;=5, "4-5 Calls", "6+ Calls")))</f>
        <v>#REF!</v>
      </c>
      <c r="X3073" t="e">
        <f>IF(#REF! &lt;= 50, "0-50", IF(#REF! &lt;=100, "51-100", IF(#REF! &lt;= 150, "101-150", "151+")))</f>
        <v>#REF!</v>
      </c>
      <c r="Y3073" t="e">
        <f>IF(#REF! &lt;= 3, "Low Charges", "High Charges")</f>
        <v>#REF!</v>
      </c>
      <c r="Z3073" t="e">
        <f>IF(#REF!&lt;=80,"Low Calls",
IF(#REF!&lt;=120,"Medium Calls","High Calls"))</f>
        <v>#REF!</v>
      </c>
      <c r="AA3073" t="e">
        <f>IF(#REF!&lt;=15,"Low Charges",
IF(#REF!&lt;=20,"Medium Charges","High Charges"))</f>
        <v>#REF!</v>
      </c>
      <c r="AB3073" t="e">
        <f>IF(AND(#REF!&gt;180, #REF!&gt;200), "Heavy Doemstic User", IF(#REF!&gt;10, "Interntional User", IF(AND(#REF!&lt;180, #REF!&lt;200,#REF!&lt;200), "Light User", "Balanced User")))</f>
        <v>#REF!</v>
      </c>
      <c r="AC3073" t="e">
        <f>IF(#REF! = 0, "No Usage", IF(#REF! &lt;= 20, "Low Usage", IF(#REF! &lt;= 40, "Medium Usgae", "High Usage")))</f>
        <v>#REF!</v>
      </c>
      <c r="AD3073" t="e">
        <f>IF(#REF!&lt;=150,"Low Usage", IF(#REF!&lt;=200,"Medium Usage", IF(#REF!&lt;=250,"High Usage","Very High Usage")))</f>
        <v>#REF!</v>
      </c>
      <c r="AE3073" t="e">
        <f>IF(#REF!&lt;=5,"Low Calls", IF(#REF!&lt;=10, "Medium Calls", "High Calls"))</f>
        <v>#REF!</v>
      </c>
      <c r="AF3073" t="e">
        <f xml:space="preserve">
IF(#REF!&gt;=4,4,0)+
IF(#REF!="yes",3,0)+
IF(#REF!="High Charges",3,0)+
IF(#REF!&gt;250,4,0)+
IF(#REF!="no",1,0)+
IF(#REF!="Heavy Domestic User",2,0)</f>
        <v>#REF!</v>
      </c>
      <c r="AG3073" t="e">
        <f>IF(#REF!&gt;=10,"High Risk", IF(#REF!&gt;=5,"Medium Risk","Low Risk"))</f>
        <v>#REF!</v>
      </c>
      <c r="AH3073" t="e">
        <f>#REF! + #REF! + #REF! + #REF!</f>
        <v>#REF!</v>
      </c>
    </row>
    <row r="3074" spans="1:34" x14ac:dyDescent="0.35">
      <c r="A3074">
        <v>3073</v>
      </c>
      <c r="B3074" t="s">
        <v>27</v>
      </c>
      <c r="C3074">
        <v>106</v>
      </c>
      <c r="D3074" t="s">
        <v>25</v>
      </c>
      <c r="E3074" t="s">
        <v>22</v>
      </c>
      <c r="F3074" t="s">
        <v>22</v>
      </c>
      <c r="G3074">
        <v>0</v>
      </c>
      <c r="H3074">
        <v>186.2</v>
      </c>
      <c r="I3074">
        <v>97</v>
      </c>
      <c r="J3074">
        <v>31.65</v>
      </c>
      <c r="K3074">
        <v>257.7</v>
      </c>
      <c r="L3074">
        <v>89</v>
      </c>
      <c r="M3074">
        <v>21.9</v>
      </c>
      <c r="N3074">
        <v>164.3</v>
      </c>
      <c r="O3074">
        <v>106</v>
      </c>
      <c r="P3074">
        <v>7.39</v>
      </c>
      <c r="Q3074">
        <v>11</v>
      </c>
      <c r="R3074">
        <v>4</v>
      </c>
      <c r="S3074">
        <v>2.97</v>
      </c>
      <c r="T3074">
        <v>2</v>
      </c>
      <c r="U3074" t="s">
        <v>22</v>
      </c>
      <c r="V3074" t="e">
        <f>IF(#REF! = "yes", 1, 0)</f>
        <v>#REF!</v>
      </c>
      <c r="W3074" t="e">
        <f>IF(#REF! &lt;= 1, "0-1 Calls", IF(#REF! &lt;= 3, "2-3 Calls", IF(#REF! &lt;=5, "4-5 Calls", "6+ Calls")))</f>
        <v>#REF!</v>
      </c>
      <c r="X3074" t="e">
        <f>IF(#REF! &lt;= 50, "0-50", IF(#REF! &lt;=100, "51-100", IF(#REF! &lt;= 150, "101-150", "151+")))</f>
        <v>#REF!</v>
      </c>
      <c r="Y3074" t="e">
        <f>IF(#REF! &lt;= 3, "Low Charges", "High Charges")</f>
        <v>#REF!</v>
      </c>
      <c r="Z3074" t="e">
        <f>IF(#REF!&lt;=80,"Low Calls",
IF(#REF!&lt;=120,"Medium Calls","High Calls"))</f>
        <v>#REF!</v>
      </c>
      <c r="AA3074" t="e">
        <f>IF(#REF!&lt;=15,"Low Charges",
IF(#REF!&lt;=20,"Medium Charges","High Charges"))</f>
        <v>#REF!</v>
      </c>
      <c r="AB3074" t="e">
        <f>IF(AND(#REF!&gt;180, #REF!&gt;200), "Heavy Doemstic User", IF(#REF!&gt;10, "Interntional User", IF(AND(#REF!&lt;180, #REF!&lt;200,#REF!&lt;200), "Light User", "Balanced User")))</f>
        <v>#REF!</v>
      </c>
      <c r="AC3074" t="e">
        <f>IF(#REF! = 0, "No Usage", IF(#REF! &lt;= 20, "Low Usage", IF(#REF! &lt;= 40, "Medium Usgae", "High Usage")))</f>
        <v>#REF!</v>
      </c>
      <c r="AD3074" t="e">
        <f>IF(#REF!&lt;=150,"Low Usage", IF(#REF!&lt;=200,"Medium Usage", IF(#REF!&lt;=250,"High Usage","Very High Usage")))</f>
        <v>#REF!</v>
      </c>
      <c r="AE3074" t="e">
        <f>IF(#REF!&lt;=5,"Low Calls", IF(#REF!&lt;=10, "Medium Calls", "High Calls"))</f>
        <v>#REF!</v>
      </c>
      <c r="AF3074" t="e">
        <f xml:space="preserve">
IF(#REF!&gt;=4,4,0)+
IF(#REF!="yes",3,0)+
IF(#REF!="High Charges",3,0)+
IF(#REF!&gt;250,4,0)+
IF(#REF!="no",1,0)+
IF(#REF!="Heavy Domestic User",2,0)</f>
        <v>#REF!</v>
      </c>
      <c r="AG3074" t="e">
        <f>IF(#REF!&gt;=10,"High Risk", IF(#REF!&gt;=5,"Medium Risk","Low Risk"))</f>
        <v>#REF!</v>
      </c>
      <c r="AH3074" t="e">
        <f>#REF! + #REF! + #REF! + #REF!</f>
        <v>#REF!</v>
      </c>
    </row>
    <row r="3075" spans="1:34" x14ac:dyDescent="0.35">
      <c r="A3075">
        <v>3074</v>
      </c>
      <c r="B3075" t="s">
        <v>65</v>
      </c>
      <c r="C3075">
        <v>122</v>
      </c>
      <c r="D3075" t="s">
        <v>21</v>
      </c>
      <c r="E3075" t="s">
        <v>22</v>
      </c>
      <c r="F3075" t="s">
        <v>22</v>
      </c>
      <c r="G3075">
        <v>0</v>
      </c>
      <c r="H3075">
        <v>128.9</v>
      </c>
      <c r="I3075">
        <v>136</v>
      </c>
      <c r="J3075">
        <v>21.91</v>
      </c>
      <c r="K3075">
        <v>244.4</v>
      </c>
      <c r="L3075">
        <v>133</v>
      </c>
      <c r="M3075">
        <v>20.77</v>
      </c>
      <c r="N3075">
        <v>148.69999999999999</v>
      </c>
      <c r="O3075">
        <v>133</v>
      </c>
      <c r="P3075">
        <v>6.69</v>
      </c>
      <c r="Q3075">
        <v>10.7</v>
      </c>
      <c r="R3075">
        <v>5</v>
      </c>
      <c r="S3075">
        <v>2.89</v>
      </c>
      <c r="T3075">
        <v>0</v>
      </c>
      <c r="U3075" t="s">
        <v>22</v>
      </c>
      <c r="V3075" t="e">
        <f>IF(#REF! = "yes", 1, 0)</f>
        <v>#REF!</v>
      </c>
      <c r="W3075" t="e">
        <f>IF(#REF! &lt;= 1, "0-1 Calls", IF(#REF! &lt;= 3, "2-3 Calls", IF(#REF! &lt;=5, "4-5 Calls", "6+ Calls")))</f>
        <v>#REF!</v>
      </c>
      <c r="X3075" t="e">
        <f>IF(#REF! &lt;= 50, "0-50", IF(#REF! &lt;=100, "51-100", IF(#REF! &lt;= 150, "101-150", "151+")))</f>
        <v>#REF!</v>
      </c>
      <c r="Y3075" t="e">
        <f>IF(#REF! &lt;= 3, "Low Charges", "High Charges")</f>
        <v>#REF!</v>
      </c>
      <c r="Z3075" t="e">
        <f>IF(#REF!&lt;=80,"Low Calls",
IF(#REF!&lt;=120,"Medium Calls","High Calls"))</f>
        <v>#REF!</v>
      </c>
      <c r="AA3075" t="e">
        <f>IF(#REF!&lt;=15,"Low Charges",
IF(#REF!&lt;=20,"Medium Charges","High Charges"))</f>
        <v>#REF!</v>
      </c>
      <c r="AB3075" t="e">
        <f>IF(AND(#REF!&gt;180, #REF!&gt;200), "Heavy Doemstic User", IF(#REF!&gt;10, "Interntional User", IF(AND(#REF!&lt;180, #REF!&lt;200,#REF!&lt;200), "Light User", "Balanced User")))</f>
        <v>#REF!</v>
      </c>
      <c r="AC3075" t="e">
        <f>IF(#REF! = 0, "No Usage", IF(#REF! &lt;= 20, "Low Usage", IF(#REF! &lt;= 40, "Medium Usgae", "High Usage")))</f>
        <v>#REF!</v>
      </c>
      <c r="AD3075" t="e">
        <f>IF(#REF!&lt;=150,"Low Usage", IF(#REF!&lt;=200,"Medium Usage", IF(#REF!&lt;=250,"High Usage","Very High Usage")))</f>
        <v>#REF!</v>
      </c>
      <c r="AE3075" t="e">
        <f>IF(#REF!&lt;=5,"Low Calls", IF(#REF!&lt;=10, "Medium Calls", "High Calls"))</f>
        <v>#REF!</v>
      </c>
      <c r="AF3075" t="e">
        <f xml:space="preserve">
IF(#REF!&gt;=4,4,0)+
IF(#REF!="yes",3,0)+
IF(#REF!="High Charges",3,0)+
IF(#REF!&gt;250,4,0)+
IF(#REF!="no",1,0)+
IF(#REF!="Heavy Domestic User",2,0)</f>
        <v>#REF!</v>
      </c>
      <c r="AG3075" t="e">
        <f>IF(#REF!&gt;=10,"High Risk", IF(#REF!&gt;=5,"Medium Risk","Low Risk"))</f>
        <v>#REF!</v>
      </c>
      <c r="AH3075" t="e">
        <f>#REF! + #REF! + #REF! + #REF!</f>
        <v>#REF!</v>
      </c>
    </row>
    <row r="3076" spans="1:34" x14ac:dyDescent="0.35">
      <c r="A3076">
        <v>3075</v>
      </c>
      <c r="B3076" t="s">
        <v>44</v>
      </c>
      <c r="C3076">
        <v>87</v>
      </c>
      <c r="D3076" t="s">
        <v>21</v>
      </c>
      <c r="E3076" t="s">
        <v>22</v>
      </c>
      <c r="F3076" t="s">
        <v>23</v>
      </c>
      <c r="G3076">
        <v>16</v>
      </c>
      <c r="H3076">
        <v>257.39999999999998</v>
      </c>
      <c r="I3076">
        <v>91</v>
      </c>
      <c r="J3076">
        <v>43.76</v>
      </c>
      <c r="K3076">
        <v>232</v>
      </c>
      <c r="L3076">
        <v>101</v>
      </c>
      <c r="M3076">
        <v>19.72</v>
      </c>
      <c r="N3076">
        <v>143.19999999999999</v>
      </c>
      <c r="O3076">
        <v>73</v>
      </c>
      <c r="P3076">
        <v>6.44</v>
      </c>
      <c r="Q3076">
        <v>14.7</v>
      </c>
      <c r="R3076">
        <v>2</v>
      </c>
      <c r="S3076">
        <v>3.97</v>
      </c>
      <c r="T3076">
        <v>1</v>
      </c>
      <c r="U3076" t="s">
        <v>22</v>
      </c>
      <c r="V3076" t="e">
        <f>IF(#REF! = "yes", 1, 0)</f>
        <v>#REF!</v>
      </c>
      <c r="W3076" t="e">
        <f>IF(#REF! &lt;= 1, "0-1 Calls", IF(#REF! &lt;= 3, "2-3 Calls", IF(#REF! &lt;=5, "4-5 Calls", "6+ Calls")))</f>
        <v>#REF!</v>
      </c>
      <c r="X3076" t="e">
        <f>IF(#REF! &lt;= 50, "0-50", IF(#REF! &lt;=100, "51-100", IF(#REF! &lt;= 150, "101-150", "151+")))</f>
        <v>#REF!</v>
      </c>
      <c r="Y3076" t="e">
        <f>IF(#REF! &lt;= 3, "Low Charges", "High Charges")</f>
        <v>#REF!</v>
      </c>
      <c r="Z3076" t="e">
        <f>IF(#REF!&lt;=80,"Low Calls",
IF(#REF!&lt;=120,"Medium Calls","High Calls"))</f>
        <v>#REF!</v>
      </c>
      <c r="AA3076" t="e">
        <f>IF(#REF!&lt;=15,"Low Charges",
IF(#REF!&lt;=20,"Medium Charges","High Charges"))</f>
        <v>#REF!</v>
      </c>
      <c r="AB3076" t="e">
        <f>IF(AND(#REF!&gt;180, #REF!&gt;200), "Heavy Doemstic User", IF(#REF!&gt;10, "Interntional User", IF(AND(#REF!&lt;180, #REF!&lt;200,#REF!&lt;200), "Light User", "Balanced User")))</f>
        <v>#REF!</v>
      </c>
      <c r="AC3076" t="e">
        <f>IF(#REF! = 0, "No Usage", IF(#REF! &lt;= 20, "Low Usage", IF(#REF! &lt;= 40, "Medium Usgae", "High Usage")))</f>
        <v>#REF!</v>
      </c>
      <c r="AD3076" t="e">
        <f>IF(#REF!&lt;=150,"Low Usage", IF(#REF!&lt;=200,"Medium Usage", IF(#REF!&lt;=250,"High Usage","Very High Usage")))</f>
        <v>#REF!</v>
      </c>
      <c r="AE3076" t="e">
        <f>IF(#REF!&lt;=5,"Low Calls", IF(#REF!&lt;=10, "Medium Calls", "High Calls"))</f>
        <v>#REF!</v>
      </c>
      <c r="AF3076" t="e">
        <f xml:space="preserve">
IF(#REF!&gt;=4,4,0)+
IF(#REF!="yes",3,0)+
IF(#REF!="High Charges",3,0)+
IF(#REF!&gt;250,4,0)+
IF(#REF!="no",1,0)+
IF(#REF!="Heavy Domestic User",2,0)</f>
        <v>#REF!</v>
      </c>
      <c r="AG3076" t="e">
        <f>IF(#REF!&gt;=10,"High Risk", IF(#REF!&gt;=5,"Medium Risk","Low Risk"))</f>
        <v>#REF!</v>
      </c>
      <c r="AH3076" t="e">
        <f>#REF! + #REF! + #REF! + #REF!</f>
        <v>#REF!</v>
      </c>
    </row>
    <row r="3077" spans="1:34" x14ac:dyDescent="0.35">
      <c r="A3077">
        <v>3076</v>
      </c>
      <c r="B3077" t="s">
        <v>54</v>
      </c>
      <c r="C3077">
        <v>145</v>
      </c>
      <c r="D3077" t="s">
        <v>21</v>
      </c>
      <c r="E3077" t="s">
        <v>22</v>
      </c>
      <c r="F3077" t="s">
        <v>22</v>
      </c>
      <c r="G3077">
        <v>0</v>
      </c>
      <c r="H3077">
        <v>189.3</v>
      </c>
      <c r="I3077">
        <v>113</v>
      </c>
      <c r="J3077">
        <v>32.18</v>
      </c>
      <c r="K3077">
        <v>203.7</v>
      </c>
      <c r="L3077">
        <v>92</v>
      </c>
      <c r="M3077">
        <v>17.309999999999999</v>
      </c>
      <c r="N3077">
        <v>218.3</v>
      </c>
      <c r="O3077">
        <v>103</v>
      </c>
      <c r="P3077">
        <v>9.82</v>
      </c>
      <c r="Q3077">
        <v>14.2</v>
      </c>
      <c r="R3077">
        <v>3</v>
      </c>
      <c r="S3077">
        <v>3.83</v>
      </c>
      <c r="T3077">
        <v>5</v>
      </c>
      <c r="U3077" t="s">
        <v>22</v>
      </c>
      <c r="V3077" t="e">
        <f>IF(#REF! = "yes", 1, 0)</f>
        <v>#REF!</v>
      </c>
      <c r="W3077" t="e">
        <f>IF(#REF! &lt;= 1, "0-1 Calls", IF(#REF! &lt;= 3, "2-3 Calls", IF(#REF! &lt;=5, "4-5 Calls", "6+ Calls")))</f>
        <v>#REF!</v>
      </c>
      <c r="X3077" t="e">
        <f>IF(#REF! &lt;= 50, "0-50", IF(#REF! &lt;=100, "51-100", IF(#REF! &lt;= 150, "101-150", "151+")))</f>
        <v>#REF!</v>
      </c>
      <c r="Y3077" t="e">
        <f>IF(#REF! &lt;= 3, "Low Charges", "High Charges")</f>
        <v>#REF!</v>
      </c>
      <c r="Z3077" t="e">
        <f>IF(#REF!&lt;=80,"Low Calls",
IF(#REF!&lt;=120,"Medium Calls","High Calls"))</f>
        <v>#REF!</v>
      </c>
      <c r="AA3077" t="e">
        <f>IF(#REF!&lt;=15,"Low Charges",
IF(#REF!&lt;=20,"Medium Charges","High Charges"))</f>
        <v>#REF!</v>
      </c>
      <c r="AB3077" t="e">
        <f>IF(AND(#REF!&gt;180, #REF!&gt;200), "Heavy Doemstic User", IF(#REF!&gt;10, "Interntional User", IF(AND(#REF!&lt;180, #REF!&lt;200,#REF!&lt;200), "Light User", "Balanced User")))</f>
        <v>#REF!</v>
      </c>
      <c r="AC3077" t="e">
        <f>IF(#REF! = 0, "No Usage", IF(#REF! &lt;= 20, "Low Usage", IF(#REF! &lt;= 40, "Medium Usgae", "High Usage")))</f>
        <v>#REF!</v>
      </c>
      <c r="AD3077" t="e">
        <f>IF(#REF!&lt;=150,"Low Usage", IF(#REF!&lt;=200,"Medium Usage", IF(#REF!&lt;=250,"High Usage","Very High Usage")))</f>
        <v>#REF!</v>
      </c>
      <c r="AE3077" t="e">
        <f>IF(#REF!&lt;=5,"Low Calls", IF(#REF!&lt;=10, "Medium Calls", "High Calls"))</f>
        <v>#REF!</v>
      </c>
      <c r="AF3077" t="e">
        <f xml:space="preserve">
IF(#REF!&gt;=4,4,0)+
IF(#REF!="yes",3,0)+
IF(#REF!="High Charges",3,0)+
IF(#REF!&gt;250,4,0)+
IF(#REF!="no",1,0)+
IF(#REF!="Heavy Domestic User",2,0)</f>
        <v>#REF!</v>
      </c>
      <c r="AG3077" t="e">
        <f>IF(#REF!&gt;=10,"High Risk", IF(#REF!&gt;=5,"Medium Risk","Low Risk"))</f>
        <v>#REF!</v>
      </c>
      <c r="AH3077" t="e">
        <f>#REF! + #REF! + #REF! + #REF!</f>
        <v>#REF!</v>
      </c>
    </row>
    <row r="3078" spans="1:34" x14ac:dyDescent="0.35">
      <c r="A3078">
        <v>3077</v>
      </c>
      <c r="B3078" t="s">
        <v>53</v>
      </c>
      <c r="C3078">
        <v>136</v>
      </c>
      <c r="D3078" t="s">
        <v>21</v>
      </c>
      <c r="E3078" t="s">
        <v>22</v>
      </c>
      <c r="F3078" t="s">
        <v>23</v>
      </c>
      <c r="G3078">
        <v>24</v>
      </c>
      <c r="H3078">
        <v>50.1</v>
      </c>
      <c r="I3078">
        <v>134</v>
      </c>
      <c r="J3078">
        <v>8.52</v>
      </c>
      <c r="K3078">
        <v>295.8</v>
      </c>
      <c r="L3078">
        <v>89</v>
      </c>
      <c r="M3078">
        <v>25.14</v>
      </c>
      <c r="N3078">
        <v>111.8</v>
      </c>
      <c r="O3078">
        <v>115</v>
      </c>
      <c r="P3078">
        <v>5.03</v>
      </c>
      <c r="Q3078">
        <v>11</v>
      </c>
      <c r="R3078">
        <v>6</v>
      </c>
      <c r="S3078">
        <v>2.97</v>
      </c>
      <c r="T3078">
        <v>0</v>
      </c>
      <c r="U3078" t="s">
        <v>22</v>
      </c>
      <c r="V3078" t="e">
        <f>IF(#REF! = "yes", 1, 0)</f>
        <v>#REF!</v>
      </c>
      <c r="W3078" t="e">
        <f>IF(#REF! &lt;= 1, "0-1 Calls", IF(#REF! &lt;= 3, "2-3 Calls", IF(#REF! &lt;=5, "4-5 Calls", "6+ Calls")))</f>
        <v>#REF!</v>
      </c>
      <c r="X3078" t="e">
        <f>IF(#REF! &lt;= 50, "0-50", IF(#REF! &lt;=100, "51-100", IF(#REF! &lt;= 150, "101-150", "151+")))</f>
        <v>#REF!</v>
      </c>
      <c r="Y3078" t="e">
        <f>IF(#REF! &lt;= 3, "Low Charges", "High Charges")</f>
        <v>#REF!</v>
      </c>
      <c r="Z3078" t="e">
        <f>IF(#REF!&lt;=80,"Low Calls",
IF(#REF!&lt;=120,"Medium Calls","High Calls"))</f>
        <v>#REF!</v>
      </c>
      <c r="AA3078" t="e">
        <f>IF(#REF!&lt;=15,"Low Charges",
IF(#REF!&lt;=20,"Medium Charges","High Charges"))</f>
        <v>#REF!</v>
      </c>
      <c r="AB3078" t="e">
        <f>IF(AND(#REF!&gt;180, #REF!&gt;200), "Heavy Doemstic User", IF(#REF!&gt;10, "Interntional User", IF(AND(#REF!&lt;180, #REF!&lt;200,#REF!&lt;200), "Light User", "Balanced User")))</f>
        <v>#REF!</v>
      </c>
      <c r="AC3078" t="e">
        <f>IF(#REF! = 0, "No Usage", IF(#REF! &lt;= 20, "Low Usage", IF(#REF! &lt;= 40, "Medium Usgae", "High Usage")))</f>
        <v>#REF!</v>
      </c>
      <c r="AD3078" t="e">
        <f>IF(#REF!&lt;=150,"Low Usage", IF(#REF!&lt;=200,"Medium Usage", IF(#REF!&lt;=250,"High Usage","Very High Usage")))</f>
        <v>#REF!</v>
      </c>
      <c r="AE3078" t="e">
        <f>IF(#REF!&lt;=5,"Low Calls", IF(#REF!&lt;=10, "Medium Calls", "High Calls"))</f>
        <v>#REF!</v>
      </c>
      <c r="AF3078" t="e">
        <f xml:space="preserve">
IF(#REF!&gt;=4,4,0)+
IF(#REF!="yes",3,0)+
IF(#REF!="High Charges",3,0)+
IF(#REF!&gt;250,4,0)+
IF(#REF!="no",1,0)+
IF(#REF!="Heavy Domestic User",2,0)</f>
        <v>#REF!</v>
      </c>
      <c r="AG3078" t="e">
        <f>IF(#REF!&gt;=10,"High Risk", IF(#REF!&gt;=5,"Medium Risk","Low Risk"))</f>
        <v>#REF!</v>
      </c>
      <c r="AH3078" t="e">
        <f>#REF! + #REF! + #REF! + #REF!</f>
        <v>#REF!</v>
      </c>
    </row>
    <row r="3079" spans="1:34" x14ac:dyDescent="0.35">
      <c r="A3079">
        <v>3078</v>
      </c>
      <c r="B3079" t="s">
        <v>36</v>
      </c>
      <c r="C3079">
        <v>131</v>
      </c>
      <c r="D3079" t="s">
        <v>21</v>
      </c>
      <c r="E3079" t="s">
        <v>22</v>
      </c>
      <c r="F3079" t="s">
        <v>22</v>
      </c>
      <c r="G3079">
        <v>0</v>
      </c>
      <c r="H3079">
        <v>264.2</v>
      </c>
      <c r="I3079">
        <v>118</v>
      </c>
      <c r="J3079">
        <v>44.91</v>
      </c>
      <c r="K3079">
        <v>180</v>
      </c>
      <c r="L3079">
        <v>89</v>
      </c>
      <c r="M3079">
        <v>15.3</v>
      </c>
      <c r="N3079">
        <v>223.9</v>
      </c>
      <c r="O3079">
        <v>104</v>
      </c>
      <c r="P3079">
        <v>10.08</v>
      </c>
      <c r="Q3079">
        <v>10.7</v>
      </c>
      <c r="R3079">
        <v>1</v>
      </c>
      <c r="S3079">
        <v>2.89</v>
      </c>
      <c r="T3079">
        <v>2</v>
      </c>
      <c r="U3079" t="s">
        <v>22</v>
      </c>
      <c r="V3079" t="e">
        <f>IF(#REF! = "yes", 1, 0)</f>
        <v>#REF!</v>
      </c>
      <c r="W3079" t="e">
        <f>IF(#REF! &lt;= 1, "0-1 Calls", IF(#REF! &lt;= 3, "2-3 Calls", IF(#REF! &lt;=5, "4-5 Calls", "6+ Calls")))</f>
        <v>#REF!</v>
      </c>
      <c r="X3079" t="e">
        <f>IF(#REF! &lt;= 50, "0-50", IF(#REF! &lt;=100, "51-100", IF(#REF! &lt;= 150, "101-150", "151+")))</f>
        <v>#REF!</v>
      </c>
      <c r="Y3079" t="e">
        <f>IF(#REF! &lt;= 3, "Low Charges", "High Charges")</f>
        <v>#REF!</v>
      </c>
      <c r="Z3079" t="e">
        <f>IF(#REF!&lt;=80,"Low Calls",
IF(#REF!&lt;=120,"Medium Calls","High Calls"))</f>
        <v>#REF!</v>
      </c>
      <c r="AA3079" t="e">
        <f>IF(#REF!&lt;=15,"Low Charges",
IF(#REF!&lt;=20,"Medium Charges","High Charges"))</f>
        <v>#REF!</v>
      </c>
      <c r="AB3079" t="e">
        <f>IF(AND(#REF!&gt;180, #REF!&gt;200), "Heavy Doemstic User", IF(#REF!&gt;10, "Interntional User", IF(AND(#REF!&lt;180, #REF!&lt;200,#REF!&lt;200), "Light User", "Balanced User")))</f>
        <v>#REF!</v>
      </c>
      <c r="AC3079" t="e">
        <f>IF(#REF! = 0, "No Usage", IF(#REF! &lt;= 20, "Low Usage", IF(#REF! &lt;= 40, "Medium Usgae", "High Usage")))</f>
        <v>#REF!</v>
      </c>
      <c r="AD3079" t="e">
        <f>IF(#REF!&lt;=150,"Low Usage", IF(#REF!&lt;=200,"Medium Usage", IF(#REF!&lt;=250,"High Usage","Very High Usage")))</f>
        <v>#REF!</v>
      </c>
      <c r="AE3079" t="e">
        <f>IF(#REF!&lt;=5,"Low Calls", IF(#REF!&lt;=10, "Medium Calls", "High Calls"))</f>
        <v>#REF!</v>
      </c>
      <c r="AF3079" t="e">
        <f xml:space="preserve">
IF(#REF!&gt;=4,4,0)+
IF(#REF!="yes",3,0)+
IF(#REF!="High Charges",3,0)+
IF(#REF!&gt;250,4,0)+
IF(#REF!="no",1,0)+
IF(#REF!="Heavy Domestic User",2,0)</f>
        <v>#REF!</v>
      </c>
      <c r="AG3079" t="e">
        <f>IF(#REF!&gt;=10,"High Risk", IF(#REF!&gt;=5,"Medium Risk","Low Risk"))</f>
        <v>#REF!</v>
      </c>
      <c r="AH3079" t="e">
        <f>#REF! + #REF! + #REF! + #REF!</f>
        <v>#REF!</v>
      </c>
    </row>
    <row r="3080" spans="1:34" x14ac:dyDescent="0.35">
      <c r="A3080">
        <v>3079</v>
      </c>
      <c r="B3080" t="s">
        <v>46</v>
      </c>
      <c r="C3080">
        <v>90</v>
      </c>
      <c r="D3080" t="s">
        <v>25</v>
      </c>
      <c r="E3080" t="s">
        <v>22</v>
      </c>
      <c r="F3080" t="s">
        <v>22</v>
      </c>
      <c r="G3080">
        <v>0</v>
      </c>
      <c r="H3080">
        <v>192.1</v>
      </c>
      <c r="I3080">
        <v>80</v>
      </c>
      <c r="J3080">
        <v>32.659999999999997</v>
      </c>
      <c r="K3080">
        <v>269.3</v>
      </c>
      <c r="L3080">
        <v>125</v>
      </c>
      <c r="M3080">
        <v>22.89</v>
      </c>
      <c r="N3080">
        <v>259.60000000000002</v>
      </c>
      <c r="O3080">
        <v>97</v>
      </c>
      <c r="P3080">
        <v>11.68</v>
      </c>
      <c r="Q3080">
        <v>11.7</v>
      </c>
      <c r="R3080">
        <v>4</v>
      </c>
      <c r="S3080">
        <v>3.16</v>
      </c>
      <c r="T3080">
        <v>2</v>
      </c>
      <c r="U3080" t="s">
        <v>22</v>
      </c>
      <c r="V3080" t="e">
        <f>IF(#REF! = "yes", 1, 0)</f>
        <v>#REF!</v>
      </c>
      <c r="W3080" t="e">
        <f>IF(#REF! &lt;= 1, "0-1 Calls", IF(#REF! &lt;= 3, "2-3 Calls", IF(#REF! &lt;=5, "4-5 Calls", "6+ Calls")))</f>
        <v>#REF!</v>
      </c>
      <c r="X3080" t="e">
        <f>IF(#REF! &lt;= 50, "0-50", IF(#REF! &lt;=100, "51-100", IF(#REF! &lt;= 150, "101-150", "151+")))</f>
        <v>#REF!</v>
      </c>
      <c r="Y3080" t="e">
        <f>IF(#REF! &lt;= 3, "Low Charges", "High Charges")</f>
        <v>#REF!</v>
      </c>
      <c r="Z3080" t="e">
        <f>IF(#REF!&lt;=80,"Low Calls",
IF(#REF!&lt;=120,"Medium Calls","High Calls"))</f>
        <v>#REF!</v>
      </c>
      <c r="AA3080" t="e">
        <f>IF(#REF!&lt;=15,"Low Charges",
IF(#REF!&lt;=20,"Medium Charges","High Charges"))</f>
        <v>#REF!</v>
      </c>
      <c r="AB3080" t="e">
        <f>IF(AND(#REF!&gt;180, #REF!&gt;200), "Heavy Doemstic User", IF(#REF!&gt;10, "Interntional User", IF(AND(#REF!&lt;180, #REF!&lt;200,#REF!&lt;200), "Light User", "Balanced User")))</f>
        <v>#REF!</v>
      </c>
      <c r="AC3080" t="e">
        <f>IF(#REF! = 0, "No Usage", IF(#REF! &lt;= 20, "Low Usage", IF(#REF! &lt;= 40, "Medium Usgae", "High Usage")))</f>
        <v>#REF!</v>
      </c>
      <c r="AD3080" t="e">
        <f>IF(#REF!&lt;=150,"Low Usage", IF(#REF!&lt;=200,"Medium Usage", IF(#REF!&lt;=250,"High Usage","Very High Usage")))</f>
        <v>#REF!</v>
      </c>
      <c r="AE3080" t="e">
        <f>IF(#REF!&lt;=5,"Low Calls", IF(#REF!&lt;=10, "Medium Calls", "High Calls"))</f>
        <v>#REF!</v>
      </c>
      <c r="AF3080" t="e">
        <f xml:space="preserve">
IF(#REF!&gt;=4,4,0)+
IF(#REF!="yes",3,0)+
IF(#REF!="High Charges",3,0)+
IF(#REF!&gt;250,4,0)+
IF(#REF!="no",1,0)+
IF(#REF!="Heavy Domestic User",2,0)</f>
        <v>#REF!</v>
      </c>
      <c r="AG3080" t="e">
        <f>IF(#REF!&gt;=10,"High Risk", IF(#REF!&gt;=5,"Medium Risk","Low Risk"))</f>
        <v>#REF!</v>
      </c>
      <c r="AH3080" t="e">
        <f>#REF! + #REF! + #REF! + #REF!</f>
        <v>#REF!</v>
      </c>
    </row>
    <row r="3081" spans="1:34" x14ac:dyDescent="0.35">
      <c r="A3081">
        <v>3080</v>
      </c>
      <c r="B3081" t="s">
        <v>54</v>
      </c>
      <c r="C3081">
        <v>95</v>
      </c>
      <c r="D3081" t="s">
        <v>21</v>
      </c>
      <c r="E3081" t="s">
        <v>22</v>
      </c>
      <c r="F3081" t="s">
        <v>22</v>
      </c>
      <c r="G3081">
        <v>0</v>
      </c>
      <c r="H3081">
        <v>145.4</v>
      </c>
      <c r="I3081">
        <v>98</v>
      </c>
      <c r="J3081">
        <v>24.72</v>
      </c>
      <c r="K3081">
        <v>334.1</v>
      </c>
      <c r="L3081">
        <v>109</v>
      </c>
      <c r="M3081">
        <v>28.4</v>
      </c>
      <c r="N3081">
        <v>209.8</v>
      </c>
      <c r="O3081">
        <v>72</v>
      </c>
      <c r="P3081">
        <v>9.44</v>
      </c>
      <c r="Q3081">
        <v>8.8000000000000007</v>
      </c>
      <c r="R3081">
        <v>2</v>
      </c>
      <c r="S3081">
        <v>2.38</v>
      </c>
      <c r="T3081">
        <v>1</v>
      </c>
      <c r="U3081" t="s">
        <v>22</v>
      </c>
      <c r="V3081" t="e">
        <f>IF(#REF! = "yes", 1, 0)</f>
        <v>#REF!</v>
      </c>
      <c r="W3081" t="e">
        <f>IF(#REF! &lt;= 1, "0-1 Calls", IF(#REF! &lt;= 3, "2-3 Calls", IF(#REF! &lt;=5, "4-5 Calls", "6+ Calls")))</f>
        <v>#REF!</v>
      </c>
      <c r="X3081" t="e">
        <f>IF(#REF! &lt;= 50, "0-50", IF(#REF! &lt;=100, "51-100", IF(#REF! &lt;= 150, "101-150", "151+")))</f>
        <v>#REF!</v>
      </c>
      <c r="Y3081" t="e">
        <f>IF(#REF! &lt;= 3, "Low Charges", "High Charges")</f>
        <v>#REF!</v>
      </c>
      <c r="Z3081" t="e">
        <f>IF(#REF!&lt;=80,"Low Calls",
IF(#REF!&lt;=120,"Medium Calls","High Calls"))</f>
        <v>#REF!</v>
      </c>
      <c r="AA3081" t="e">
        <f>IF(#REF!&lt;=15,"Low Charges",
IF(#REF!&lt;=20,"Medium Charges","High Charges"))</f>
        <v>#REF!</v>
      </c>
      <c r="AB3081" t="e">
        <f>IF(AND(#REF!&gt;180, #REF!&gt;200), "Heavy Doemstic User", IF(#REF!&gt;10, "Interntional User", IF(AND(#REF!&lt;180, #REF!&lt;200,#REF!&lt;200), "Light User", "Balanced User")))</f>
        <v>#REF!</v>
      </c>
      <c r="AC3081" t="e">
        <f>IF(#REF! = 0, "No Usage", IF(#REF! &lt;= 20, "Low Usage", IF(#REF! &lt;= 40, "Medium Usgae", "High Usage")))</f>
        <v>#REF!</v>
      </c>
      <c r="AD3081" t="e">
        <f>IF(#REF!&lt;=150,"Low Usage", IF(#REF!&lt;=200,"Medium Usage", IF(#REF!&lt;=250,"High Usage","Very High Usage")))</f>
        <v>#REF!</v>
      </c>
      <c r="AE3081" t="e">
        <f>IF(#REF!&lt;=5,"Low Calls", IF(#REF!&lt;=10, "Medium Calls", "High Calls"))</f>
        <v>#REF!</v>
      </c>
      <c r="AF3081" t="e">
        <f xml:space="preserve">
IF(#REF!&gt;=4,4,0)+
IF(#REF!="yes",3,0)+
IF(#REF!="High Charges",3,0)+
IF(#REF!&gt;250,4,0)+
IF(#REF!="no",1,0)+
IF(#REF!="Heavy Domestic User",2,0)</f>
        <v>#REF!</v>
      </c>
      <c r="AG3081" t="e">
        <f>IF(#REF!&gt;=10,"High Risk", IF(#REF!&gt;=5,"Medium Risk","Low Risk"))</f>
        <v>#REF!</v>
      </c>
      <c r="AH3081" t="e">
        <f>#REF! + #REF! + #REF! + #REF!</f>
        <v>#REF!</v>
      </c>
    </row>
    <row r="3082" spans="1:34" x14ac:dyDescent="0.35">
      <c r="A3082">
        <v>3081</v>
      </c>
      <c r="B3082" t="s">
        <v>24</v>
      </c>
      <c r="C3082">
        <v>42</v>
      </c>
      <c r="D3082" t="s">
        <v>25</v>
      </c>
      <c r="E3082" t="s">
        <v>22</v>
      </c>
      <c r="F3082" t="s">
        <v>23</v>
      </c>
      <c r="G3082">
        <v>16</v>
      </c>
      <c r="H3082">
        <v>240.8</v>
      </c>
      <c r="I3082">
        <v>80</v>
      </c>
      <c r="J3082">
        <v>40.94</v>
      </c>
      <c r="K3082">
        <v>212.6</v>
      </c>
      <c r="L3082">
        <v>121</v>
      </c>
      <c r="M3082">
        <v>18.07</v>
      </c>
      <c r="N3082">
        <v>271.7</v>
      </c>
      <c r="O3082">
        <v>138</v>
      </c>
      <c r="P3082">
        <v>12.23</v>
      </c>
      <c r="Q3082">
        <v>9.4</v>
      </c>
      <c r="R3082">
        <v>4</v>
      </c>
      <c r="S3082">
        <v>2.54</v>
      </c>
      <c r="T3082">
        <v>1</v>
      </c>
      <c r="U3082" t="s">
        <v>22</v>
      </c>
      <c r="V3082" t="e">
        <f>IF(#REF! = "yes", 1, 0)</f>
        <v>#REF!</v>
      </c>
      <c r="W3082" t="e">
        <f>IF(#REF! &lt;= 1, "0-1 Calls", IF(#REF! &lt;= 3, "2-3 Calls", IF(#REF! &lt;=5, "4-5 Calls", "6+ Calls")))</f>
        <v>#REF!</v>
      </c>
      <c r="X3082" t="e">
        <f>IF(#REF! &lt;= 50, "0-50", IF(#REF! &lt;=100, "51-100", IF(#REF! &lt;= 150, "101-150", "151+")))</f>
        <v>#REF!</v>
      </c>
      <c r="Y3082" t="e">
        <f>IF(#REF! &lt;= 3, "Low Charges", "High Charges")</f>
        <v>#REF!</v>
      </c>
      <c r="Z3082" t="e">
        <f>IF(#REF!&lt;=80,"Low Calls",
IF(#REF!&lt;=120,"Medium Calls","High Calls"))</f>
        <v>#REF!</v>
      </c>
      <c r="AA3082" t="e">
        <f>IF(#REF!&lt;=15,"Low Charges",
IF(#REF!&lt;=20,"Medium Charges","High Charges"))</f>
        <v>#REF!</v>
      </c>
      <c r="AB3082" t="e">
        <f>IF(AND(#REF!&gt;180, #REF!&gt;200), "Heavy Doemstic User", IF(#REF!&gt;10, "Interntional User", IF(AND(#REF!&lt;180, #REF!&lt;200,#REF!&lt;200), "Light User", "Balanced User")))</f>
        <v>#REF!</v>
      </c>
      <c r="AC3082" t="e">
        <f>IF(#REF! = 0, "No Usage", IF(#REF! &lt;= 20, "Low Usage", IF(#REF! &lt;= 40, "Medium Usgae", "High Usage")))</f>
        <v>#REF!</v>
      </c>
      <c r="AD3082" t="e">
        <f>IF(#REF!&lt;=150,"Low Usage", IF(#REF!&lt;=200,"Medium Usage", IF(#REF!&lt;=250,"High Usage","Very High Usage")))</f>
        <v>#REF!</v>
      </c>
      <c r="AE3082" t="e">
        <f>IF(#REF!&lt;=5,"Low Calls", IF(#REF!&lt;=10, "Medium Calls", "High Calls"))</f>
        <v>#REF!</v>
      </c>
      <c r="AF3082" t="e">
        <f xml:space="preserve">
IF(#REF!&gt;=4,4,0)+
IF(#REF!="yes",3,0)+
IF(#REF!="High Charges",3,0)+
IF(#REF!&gt;250,4,0)+
IF(#REF!="no",1,0)+
IF(#REF!="Heavy Domestic User",2,0)</f>
        <v>#REF!</v>
      </c>
      <c r="AG3082" t="e">
        <f>IF(#REF!&gt;=10,"High Risk", IF(#REF!&gt;=5,"Medium Risk","Low Risk"))</f>
        <v>#REF!</v>
      </c>
      <c r="AH3082" t="e">
        <f>#REF! + #REF! + #REF! + #REF!</f>
        <v>#REF!</v>
      </c>
    </row>
    <row r="3083" spans="1:34" x14ac:dyDescent="0.35">
      <c r="A3083">
        <v>3082</v>
      </c>
      <c r="B3083" t="s">
        <v>34</v>
      </c>
      <c r="C3083">
        <v>69</v>
      </c>
      <c r="D3083" t="s">
        <v>28</v>
      </c>
      <c r="E3083" t="s">
        <v>22</v>
      </c>
      <c r="F3083" t="s">
        <v>22</v>
      </c>
      <c r="G3083">
        <v>0</v>
      </c>
      <c r="H3083">
        <v>170.7</v>
      </c>
      <c r="I3083">
        <v>98</v>
      </c>
      <c r="J3083">
        <v>29.02</v>
      </c>
      <c r="K3083">
        <v>111.6</v>
      </c>
      <c r="L3083">
        <v>109</v>
      </c>
      <c r="M3083">
        <v>9.49</v>
      </c>
      <c r="N3083">
        <v>171.5</v>
      </c>
      <c r="O3083">
        <v>107</v>
      </c>
      <c r="P3083">
        <v>7.72</v>
      </c>
      <c r="Q3083">
        <v>4.8</v>
      </c>
      <c r="R3083">
        <v>7</v>
      </c>
      <c r="S3083">
        <v>1.3</v>
      </c>
      <c r="T3083">
        <v>3</v>
      </c>
      <c r="U3083" t="s">
        <v>22</v>
      </c>
      <c r="V3083" t="e">
        <f>IF(#REF! = "yes", 1, 0)</f>
        <v>#REF!</v>
      </c>
      <c r="W3083" t="e">
        <f>IF(#REF! &lt;= 1, "0-1 Calls", IF(#REF! &lt;= 3, "2-3 Calls", IF(#REF! &lt;=5, "4-5 Calls", "6+ Calls")))</f>
        <v>#REF!</v>
      </c>
      <c r="X3083" t="e">
        <f>IF(#REF! &lt;= 50, "0-50", IF(#REF! &lt;=100, "51-100", IF(#REF! &lt;= 150, "101-150", "151+")))</f>
        <v>#REF!</v>
      </c>
      <c r="Y3083" t="e">
        <f>IF(#REF! &lt;= 3, "Low Charges", "High Charges")</f>
        <v>#REF!</v>
      </c>
      <c r="Z3083" t="e">
        <f>IF(#REF!&lt;=80,"Low Calls",
IF(#REF!&lt;=120,"Medium Calls","High Calls"))</f>
        <v>#REF!</v>
      </c>
      <c r="AA3083" t="e">
        <f>IF(#REF!&lt;=15,"Low Charges",
IF(#REF!&lt;=20,"Medium Charges","High Charges"))</f>
        <v>#REF!</v>
      </c>
      <c r="AB3083" t="e">
        <f>IF(AND(#REF!&gt;180, #REF!&gt;200), "Heavy Doemstic User", IF(#REF!&gt;10, "Interntional User", IF(AND(#REF!&lt;180, #REF!&lt;200,#REF!&lt;200), "Light User", "Balanced User")))</f>
        <v>#REF!</v>
      </c>
      <c r="AC3083" t="e">
        <f>IF(#REF! = 0, "No Usage", IF(#REF! &lt;= 20, "Low Usage", IF(#REF! &lt;= 40, "Medium Usgae", "High Usage")))</f>
        <v>#REF!</v>
      </c>
      <c r="AD3083" t="e">
        <f>IF(#REF!&lt;=150,"Low Usage", IF(#REF!&lt;=200,"Medium Usage", IF(#REF!&lt;=250,"High Usage","Very High Usage")))</f>
        <v>#REF!</v>
      </c>
      <c r="AE3083" t="e">
        <f>IF(#REF!&lt;=5,"Low Calls", IF(#REF!&lt;=10, "Medium Calls", "High Calls"))</f>
        <v>#REF!</v>
      </c>
      <c r="AF3083" t="e">
        <f xml:space="preserve">
IF(#REF!&gt;=4,4,0)+
IF(#REF!="yes",3,0)+
IF(#REF!="High Charges",3,0)+
IF(#REF!&gt;250,4,0)+
IF(#REF!="no",1,0)+
IF(#REF!="Heavy Domestic User",2,0)</f>
        <v>#REF!</v>
      </c>
      <c r="AG3083" t="e">
        <f>IF(#REF!&gt;=10,"High Risk", IF(#REF!&gt;=5,"Medium Risk","Low Risk"))</f>
        <v>#REF!</v>
      </c>
      <c r="AH3083" t="e">
        <f>#REF! + #REF! + #REF! + #REF!</f>
        <v>#REF!</v>
      </c>
    </row>
    <row r="3084" spans="1:34" x14ac:dyDescent="0.35">
      <c r="A3084">
        <v>3083</v>
      </c>
      <c r="B3084" t="s">
        <v>52</v>
      </c>
      <c r="C3084">
        <v>99</v>
      </c>
      <c r="D3084" t="s">
        <v>25</v>
      </c>
      <c r="E3084" t="s">
        <v>22</v>
      </c>
      <c r="F3084" t="s">
        <v>22</v>
      </c>
      <c r="G3084">
        <v>0</v>
      </c>
      <c r="H3084">
        <v>221</v>
      </c>
      <c r="I3084">
        <v>118</v>
      </c>
      <c r="J3084">
        <v>37.57</v>
      </c>
      <c r="K3084">
        <v>138.80000000000001</v>
      </c>
      <c r="L3084">
        <v>104</v>
      </c>
      <c r="M3084">
        <v>11.8</v>
      </c>
      <c r="N3084">
        <v>198.6</v>
      </c>
      <c r="O3084">
        <v>96</v>
      </c>
      <c r="P3084">
        <v>8.94</v>
      </c>
      <c r="Q3084">
        <v>12.1</v>
      </c>
      <c r="R3084">
        <v>4</v>
      </c>
      <c r="S3084">
        <v>3.27</v>
      </c>
      <c r="T3084">
        <v>0</v>
      </c>
      <c r="U3084" t="s">
        <v>22</v>
      </c>
      <c r="V3084" t="e">
        <f>IF(#REF! = "yes", 1, 0)</f>
        <v>#REF!</v>
      </c>
      <c r="W3084" t="e">
        <f>IF(#REF! &lt;= 1, "0-1 Calls", IF(#REF! &lt;= 3, "2-3 Calls", IF(#REF! &lt;=5, "4-5 Calls", "6+ Calls")))</f>
        <v>#REF!</v>
      </c>
      <c r="X3084" t="e">
        <f>IF(#REF! &lt;= 50, "0-50", IF(#REF! &lt;=100, "51-100", IF(#REF! &lt;= 150, "101-150", "151+")))</f>
        <v>#REF!</v>
      </c>
      <c r="Y3084" t="e">
        <f>IF(#REF! &lt;= 3, "Low Charges", "High Charges")</f>
        <v>#REF!</v>
      </c>
      <c r="Z3084" t="e">
        <f>IF(#REF!&lt;=80,"Low Calls",
IF(#REF!&lt;=120,"Medium Calls","High Calls"))</f>
        <v>#REF!</v>
      </c>
      <c r="AA3084" t="e">
        <f>IF(#REF!&lt;=15,"Low Charges",
IF(#REF!&lt;=20,"Medium Charges","High Charges"))</f>
        <v>#REF!</v>
      </c>
      <c r="AB3084" t="e">
        <f>IF(AND(#REF!&gt;180, #REF!&gt;200), "Heavy Doemstic User", IF(#REF!&gt;10, "Interntional User", IF(AND(#REF!&lt;180, #REF!&lt;200,#REF!&lt;200), "Light User", "Balanced User")))</f>
        <v>#REF!</v>
      </c>
      <c r="AC3084" t="e">
        <f>IF(#REF! = 0, "No Usage", IF(#REF! &lt;= 20, "Low Usage", IF(#REF! &lt;= 40, "Medium Usgae", "High Usage")))</f>
        <v>#REF!</v>
      </c>
      <c r="AD3084" t="e">
        <f>IF(#REF!&lt;=150,"Low Usage", IF(#REF!&lt;=200,"Medium Usage", IF(#REF!&lt;=250,"High Usage","Very High Usage")))</f>
        <v>#REF!</v>
      </c>
      <c r="AE3084" t="e">
        <f>IF(#REF!&lt;=5,"Low Calls", IF(#REF!&lt;=10, "Medium Calls", "High Calls"))</f>
        <v>#REF!</v>
      </c>
      <c r="AF3084" t="e">
        <f xml:space="preserve">
IF(#REF!&gt;=4,4,0)+
IF(#REF!="yes",3,0)+
IF(#REF!="High Charges",3,0)+
IF(#REF!&gt;250,4,0)+
IF(#REF!="no",1,0)+
IF(#REF!="Heavy Domestic User",2,0)</f>
        <v>#REF!</v>
      </c>
      <c r="AG3084" t="e">
        <f>IF(#REF!&gt;=10,"High Risk", IF(#REF!&gt;=5,"Medium Risk","Low Risk"))</f>
        <v>#REF!</v>
      </c>
      <c r="AH3084" t="e">
        <f>#REF! + #REF! + #REF! + #REF!</f>
        <v>#REF!</v>
      </c>
    </row>
    <row r="3085" spans="1:34" x14ac:dyDescent="0.35">
      <c r="A3085">
        <v>3084</v>
      </c>
      <c r="B3085" t="s">
        <v>73</v>
      </c>
      <c r="C3085">
        <v>72</v>
      </c>
      <c r="D3085" t="s">
        <v>21</v>
      </c>
      <c r="E3085" t="s">
        <v>22</v>
      </c>
      <c r="F3085" t="s">
        <v>22</v>
      </c>
      <c r="G3085">
        <v>0</v>
      </c>
      <c r="H3085">
        <v>180</v>
      </c>
      <c r="I3085">
        <v>109</v>
      </c>
      <c r="J3085">
        <v>30.6</v>
      </c>
      <c r="K3085">
        <v>292.7</v>
      </c>
      <c r="L3085">
        <v>96</v>
      </c>
      <c r="M3085">
        <v>24.88</v>
      </c>
      <c r="N3085">
        <v>194.9</v>
      </c>
      <c r="O3085">
        <v>114</v>
      </c>
      <c r="P3085">
        <v>8.77</v>
      </c>
      <c r="Q3085">
        <v>10.8</v>
      </c>
      <c r="R3085">
        <v>4</v>
      </c>
      <c r="S3085">
        <v>2.92</v>
      </c>
      <c r="T3085">
        <v>0</v>
      </c>
      <c r="U3085" t="s">
        <v>22</v>
      </c>
      <c r="V3085" t="e">
        <f>IF(#REF! = "yes", 1, 0)</f>
        <v>#REF!</v>
      </c>
      <c r="W3085" t="e">
        <f>IF(#REF! &lt;= 1, "0-1 Calls", IF(#REF! &lt;= 3, "2-3 Calls", IF(#REF! &lt;=5, "4-5 Calls", "6+ Calls")))</f>
        <v>#REF!</v>
      </c>
      <c r="X3085" t="e">
        <f>IF(#REF! &lt;= 50, "0-50", IF(#REF! &lt;=100, "51-100", IF(#REF! &lt;= 150, "101-150", "151+")))</f>
        <v>#REF!</v>
      </c>
      <c r="Y3085" t="e">
        <f>IF(#REF! &lt;= 3, "Low Charges", "High Charges")</f>
        <v>#REF!</v>
      </c>
      <c r="Z3085" t="e">
        <f>IF(#REF!&lt;=80,"Low Calls",
IF(#REF!&lt;=120,"Medium Calls","High Calls"))</f>
        <v>#REF!</v>
      </c>
      <c r="AA3085" t="e">
        <f>IF(#REF!&lt;=15,"Low Charges",
IF(#REF!&lt;=20,"Medium Charges","High Charges"))</f>
        <v>#REF!</v>
      </c>
      <c r="AB3085" t="e">
        <f>IF(AND(#REF!&gt;180, #REF!&gt;200), "Heavy Doemstic User", IF(#REF!&gt;10, "Interntional User", IF(AND(#REF!&lt;180, #REF!&lt;200,#REF!&lt;200), "Light User", "Balanced User")))</f>
        <v>#REF!</v>
      </c>
      <c r="AC3085" t="e">
        <f>IF(#REF! = 0, "No Usage", IF(#REF! &lt;= 20, "Low Usage", IF(#REF! &lt;= 40, "Medium Usgae", "High Usage")))</f>
        <v>#REF!</v>
      </c>
      <c r="AD3085" t="e">
        <f>IF(#REF!&lt;=150,"Low Usage", IF(#REF!&lt;=200,"Medium Usage", IF(#REF!&lt;=250,"High Usage","Very High Usage")))</f>
        <v>#REF!</v>
      </c>
      <c r="AE3085" t="e">
        <f>IF(#REF!&lt;=5,"Low Calls", IF(#REF!&lt;=10, "Medium Calls", "High Calls"))</f>
        <v>#REF!</v>
      </c>
      <c r="AF3085" t="e">
        <f xml:space="preserve">
IF(#REF!&gt;=4,4,0)+
IF(#REF!="yes",3,0)+
IF(#REF!="High Charges",3,0)+
IF(#REF!&gt;250,4,0)+
IF(#REF!="no",1,0)+
IF(#REF!="Heavy Domestic User",2,0)</f>
        <v>#REF!</v>
      </c>
      <c r="AG3085" t="e">
        <f>IF(#REF!&gt;=10,"High Risk", IF(#REF!&gt;=5,"Medium Risk","Low Risk"))</f>
        <v>#REF!</v>
      </c>
      <c r="AH3085" t="e">
        <f>#REF! + #REF! + #REF! + #REF!</f>
        <v>#REF!</v>
      </c>
    </row>
    <row r="3086" spans="1:34" x14ac:dyDescent="0.35">
      <c r="A3086">
        <v>3085</v>
      </c>
      <c r="B3086" t="s">
        <v>53</v>
      </c>
      <c r="C3086">
        <v>88</v>
      </c>
      <c r="D3086" t="s">
        <v>21</v>
      </c>
      <c r="E3086" t="s">
        <v>22</v>
      </c>
      <c r="F3086" t="s">
        <v>23</v>
      </c>
      <c r="G3086">
        <v>14</v>
      </c>
      <c r="H3086">
        <v>298.8</v>
      </c>
      <c r="I3086">
        <v>92</v>
      </c>
      <c r="J3086">
        <v>50.8</v>
      </c>
      <c r="K3086">
        <v>207.3</v>
      </c>
      <c r="L3086">
        <v>86</v>
      </c>
      <c r="M3086">
        <v>17.62</v>
      </c>
      <c r="N3086">
        <v>257.89999999999998</v>
      </c>
      <c r="O3086">
        <v>65</v>
      </c>
      <c r="P3086">
        <v>11.61</v>
      </c>
      <c r="Q3086">
        <v>11.9</v>
      </c>
      <c r="R3086">
        <v>4</v>
      </c>
      <c r="S3086">
        <v>3.21</v>
      </c>
      <c r="T3086">
        <v>5</v>
      </c>
      <c r="U3086" t="s">
        <v>22</v>
      </c>
      <c r="V3086" t="e">
        <f>IF(#REF! = "yes", 1, 0)</f>
        <v>#REF!</v>
      </c>
      <c r="W3086" t="e">
        <f>IF(#REF! &lt;= 1, "0-1 Calls", IF(#REF! &lt;= 3, "2-3 Calls", IF(#REF! &lt;=5, "4-5 Calls", "6+ Calls")))</f>
        <v>#REF!</v>
      </c>
      <c r="X3086" t="e">
        <f>IF(#REF! &lt;= 50, "0-50", IF(#REF! &lt;=100, "51-100", IF(#REF! &lt;= 150, "101-150", "151+")))</f>
        <v>#REF!</v>
      </c>
      <c r="Y3086" t="e">
        <f>IF(#REF! &lt;= 3, "Low Charges", "High Charges")</f>
        <v>#REF!</v>
      </c>
      <c r="Z3086" t="e">
        <f>IF(#REF!&lt;=80,"Low Calls",
IF(#REF!&lt;=120,"Medium Calls","High Calls"))</f>
        <v>#REF!</v>
      </c>
      <c r="AA3086" t="e">
        <f>IF(#REF!&lt;=15,"Low Charges",
IF(#REF!&lt;=20,"Medium Charges","High Charges"))</f>
        <v>#REF!</v>
      </c>
      <c r="AB3086" t="e">
        <f>IF(AND(#REF!&gt;180, #REF!&gt;200), "Heavy Doemstic User", IF(#REF!&gt;10, "Interntional User", IF(AND(#REF!&lt;180, #REF!&lt;200,#REF!&lt;200), "Light User", "Balanced User")))</f>
        <v>#REF!</v>
      </c>
      <c r="AC3086" t="e">
        <f>IF(#REF! = 0, "No Usage", IF(#REF! &lt;= 20, "Low Usage", IF(#REF! &lt;= 40, "Medium Usgae", "High Usage")))</f>
        <v>#REF!</v>
      </c>
      <c r="AD3086" t="e">
        <f>IF(#REF!&lt;=150,"Low Usage", IF(#REF!&lt;=200,"Medium Usage", IF(#REF!&lt;=250,"High Usage","Very High Usage")))</f>
        <v>#REF!</v>
      </c>
      <c r="AE3086" t="e">
        <f>IF(#REF!&lt;=5,"Low Calls", IF(#REF!&lt;=10, "Medium Calls", "High Calls"))</f>
        <v>#REF!</v>
      </c>
      <c r="AF3086" t="e">
        <f xml:space="preserve">
IF(#REF!&gt;=4,4,0)+
IF(#REF!="yes",3,0)+
IF(#REF!="High Charges",3,0)+
IF(#REF!&gt;250,4,0)+
IF(#REF!="no",1,0)+
IF(#REF!="Heavy Domestic User",2,0)</f>
        <v>#REF!</v>
      </c>
      <c r="AG3086" t="e">
        <f>IF(#REF!&gt;=10,"High Risk", IF(#REF!&gt;=5,"Medium Risk","Low Risk"))</f>
        <v>#REF!</v>
      </c>
      <c r="AH3086" t="e">
        <f>#REF! + #REF! + #REF! + #REF!</f>
        <v>#REF!</v>
      </c>
    </row>
    <row r="3087" spans="1:34" x14ac:dyDescent="0.35">
      <c r="A3087">
        <v>3086</v>
      </c>
      <c r="B3087" t="s">
        <v>40</v>
      </c>
      <c r="C3087">
        <v>113</v>
      </c>
      <c r="D3087" t="s">
        <v>21</v>
      </c>
      <c r="E3087" t="s">
        <v>22</v>
      </c>
      <c r="F3087" t="s">
        <v>22</v>
      </c>
      <c r="G3087">
        <v>0</v>
      </c>
      <c r="H3087">
        <v>317.10000000000002</v>
      </c>
      <c r="I3087">
        <v>97</v>
      </c>
      <c r="J3087">
        <v>53.91</v>
      </c>
      <c r="K3087">
        <v>224.8</v>
      </c>
      <c r="L3087">
        <v>70</v>
      </c>
      <c r="M3087">
        <v>19.11</v>
      </c>
      <c r="N3087">
        <v>215.1</v>
      </c>
      <c r="O3087">
        <v>90</v>
      </c>
      <c r="P3087">
        <v>9.68</v>
      </c>
      <c r="Q3087">
        <v>13.6</v>
      </c>
      <c r="R3087">
        <v>2</v>
      </c>
      <c r="S3087">
        <v>3.67</v>
      </c>
      <c r="T3087">
        <v>1</v>
      </c>
      <c r="U3087" t="s">
        <v>23</v>
      </c>
      <c r="V3087" t="e">
        <f>IF(#REF! = "yes", 1, 0)</f>
        <v>#REF!</v>
      </c>
      <c r="W3087" t="e">
        <f>IF(#REF! &lt;= 1, "0-1 Calls", IF(#REF! &lt;= 3, "2-3 Calls", IF(#REF! &lt;=5, "4-5 Calls", "6+ Calls")))</f>
        <v>#REF!</v>
      </c>
      <c r="X3087" t="e">
        <f>IF(#REF! &lt;= 50, "0-50", IF(#REF! &lt;=100, "51-100", IF(#REF! &lt;= 150, "101-150", "151+")))</f>
        <v>#REF!</v>
      </c>
      <c r="Y3087" t="e">
        <f>IF(#REF! &lt;= 3, "Low Charges", "High Charges")</f>
        <v>#REF!</v>
      </c>
      <c r="Z3087" t="e">
        <f>IF(#REF!&lt;=80,"Low Calls",
IF(#REF!&lt;=120,"Medium Calls","High Calls"))</f>
        <v>#REF!</v>
      </c>
      <c r="AA3087" t="e">
        <f>IF(#REF!&lt;=15,"Low Charges",
IF(#REF!&lt;=20,"Medium Charges","High Charges"))</f>
        <v>#REF!</v>
      </c>
      <c r="AB3087" t="e">
        <f>IF(AND(#REF!&gt;180, #REF!&gt;200), "Heavy Doemstic User", IF(#REF!&gt;10, "Interntional User", IF(AND(#REF!&lt;180, #REF!&lt;200,#REF!&lt;200), "Light User", "Balanced User")))</f>
        <v>#REF!</v>
      </c>
      <c r="AC3087" t="e">
        <f>IF(#REF! = 0, "No Usage", IF(#REF! &lt;= 20, "Low Usage", IF(#REF! &lt;= 40, "Medium Usgae", "High Usage")))</f>
        <v>#REF!</v>
      </c>
      <c r="AD3087" t="e">
        <f>IF(#REF!&lt;=150,"Low Usage", IF(#REF!&lt;=200,"Medium Usage", IF(#REF!&lt;=250,"High Usage","Very High Usage")))</f>
        <v>#REF!</v>
      </c>
      <c r="AE3087" t="e">
        <f>IF(#REF!&lt;=5,"Low Calls", IF(#REF!&lt;=10, "Medium Calls", "High Calls"))</f>
        <v>#REF!</v>
      </c>
      <c r="AF3087" t="e">
        <f xml:space="preserve">
IF(#REF!&gt;=4,4,0)+
IF(#REF!="yes",3,0)+
IF(#REF!="High Charges",3,0)+
IF(#REF!&gt;250,4,0)+
IF(#REF!="no",1,0)+
IF(#REF!="Heavy Domestic User",2,0)</f>
        <v>#REF!</v>
      </c>
      <c r="AG3087" t="e">
        <f>IF(#REF!&gt;=10,"High Risk", IF(#REF!&gt;=5,"Medium Risk","Low Risk"))</f>
        <v>#REF!</v>
      </c>
      <c r="AH3087" t="e">
        <f>#REF! + #REF! + #REF! + #REF!</f>
        <v>#REF!</v>
      </c>
    </row>
    <row r="3088" spans="1:34" x14ac:dyDescent="0.35">
      <c r="A3088">
        <v>3087</v>
      </c>
      <c r="B3088" t="s">
        <v>73</v>
      </c>
      <c r="C3088">
        <v>142</v>
      </c>
      <c r="D3088" t="s">
        <v>25</v>
      </c>
      <c r="E3088" t="s">
        <v>23</v>
      </c>
      <c r="F3088" t="s">
        <v>23</v>
      </c>
      <c r="G3088">
        <v>23</v>
      </c>
      <c r="H3088">
        <v>102.2</v>
      </c>
      <c r="I3088">
        <v>103</v>
      </c>
      <c r="J3088">
        <v>17.37</v>
      </c>
      <c r="K3088">
        <v>229.7</v>
      </c>
      <c r="L3088">
        <v>110</v>
      </c>
      <c r="M3088">
        <v>19.52</v>
      </c>
      <c r="N3088">
        <v>176.3</v>
      </c>
      <c r="O3088">
        <v>100</v>
      </c>
      <c r="P3088">
        <v>7.93</v>
      </c>
      <c r="Q3088">
        <v>9</v>
      </c>
      <c r="R3088">
        <v>4</v>
      </c>
      <c r="S3088">
        <v>2.4300000000000002</v>
      </c>
      <c r="T3088">
        <v>1</v>
      </c>
      <c r="U3088" t="s">
        <v>22</v>
      </c>
      <c r="V3088" t="e">
        <f>IF(#REF! = "yes", 1, 0)</f>
        <v>#REF!</v>
      </c>
      <c r="W3088" t="e">
        <f>IF(#REF! &lt;= 1, "0-1 Calls", IF(#REF! &lt;= 3, "2-3 Calls", IF(#REF! &lt;=5, "4-5 Calls", "6+ Calls")))</f>
        <v>#REF!</v>
      </c>
      <c r="X3088" t="e">
        <f>IF(#REF! &lt;= 50, "0-50", IF(#REF! &lt;=100, "51-100", IF(#REF! &lt;= 150, "101-150", "151+")))</f>
        <v>#REF!</v>
      </c>
      <c r="Y3088" t="e">
        <f>IF(#REF! &lt;= 3, "Low Charges", "High Charges")</f>
        <v>#REF!</v>
      </c>
      <c r="Z3088" t="e">
        <f>IF(#REF!&lt;=80,"Low Calls",
IF(#REF!&lt;=120,"Medium Calls","High Calls"))</f>
        <v>#REF!</v>
      </c>
      <c r="AA3088" t="e">
        <f>IF(#REF!&lt;=15,"Low Charges",
IF(#REF!&lt;=20,"Medium Charges","High Charges"))</f>
        <v>#REF!</v>
      </c>
      <c r="AB3088" t="e">
        <f>IF(AND(#REF!&gt;180, #REF!&gt;200), "Heavy Doemstic User", IF(#REF!&gt;10, "Interntional User", IF(AND(#REF!&lt;180, #REF!&lt;200,#REF!&lt;200), "Light User", "Balanced User")))</f>
        <v>#REF!</v>
      </c>
      <c r="AC3088" t="e">
        <f>IF(#REF! = 0, "No Usage", IF(#REF! &lt;= 20, "Low Usage", IF(#REF! &lt;= 40, "Medium Usgae", "High Usage")))</f>
        <v>#REF!</v>
      </c>
      <c r="AD3088" t="e">
        <f>IF(#REF!&lt;=150,"Low Usage", IF(#REF!&lt;=200,"Medium Usage", IF(#REF!&lt;=250,"High Usage","Very High Usage")))</f>
        <v>#REF!</v>
      </c>
      <c r="AE3088" t="e">
        <f>IF(#REF!&lt;=5,"Low Calls", IF(#REF!&lt;=10, "Medium Calls", "High Calls"))</f>
        <v>#REF!</v>
      </c>
      <c r="AF3088" t="e">
        <f xml:space="preserve">
IF(#REF!&gt;=4,4,0)+
IF(#REF!="yes",3,0)+
IF(#REF!="High Charges",3,0)+
IF(#REF!&gt;250,4,0)+
IF(#REF!="no",1,0)+
IF(#REF!="Heavy Domestic User",2,0)</f>
        <v>#REF!</v>
      </c>
      <c r="AG3088" t="e">
        <f>IF(#REF!&gt;=10,"High Risk", IF(#REF!&gt;=5,"Medium Risk","Low Risk"))</f>
        <v>#REF!</v>
      </c>
      <c r="AH3088" t="e">
        <f>#REF! + #REF! + #REF! + #REF!</f>
        <v>#REF!</v>
      </c>
    </row>
    <row r="3089" spans="1:34" x14ac:dyDescent="0.35">
      <c r="A3089">
        <v>3088</v>
      </c>
      <c r="B3089" t="s">
        <v>31</v>
      </c>
      <c r="C3089">
        <v>3</v>
      </c>
      <c r="D3089" t="s">
        <v>25</v>
      </c>
      <c r="E3089" t="s">
        <v>22</v>
      </c>
      <c r="F3089" t="s">
        <v>22</v>
      </c>
      <c r="G3089">
        <v>0</v>
      </c>
      <c r="H3089">
        <v>182.9</v>
      </c>
      <c r="I3089">
        <v>87</v>
      </c>
      <c r="J3089">
        <v>31.09</v>
      </c>
      <c r="K3089">
        <v>172.1</v>
      </c>
      <c r="L3089">
        <v>103</v>
      </c>
      <c r="M3089">
        <v>14.63</v>
      </c>
      <c r="N3089">
        <v>233.1</v>
      </c>
      <c r="O3089">
        <v>89</v>
      </c>
      <c r="P3089">
        <v>10.49</v>
      </c>
      <c r="Q3089">
        <v>12.1</v>
      </c>
      <c r="R3089">
        <v>3</v>
      </c>
      <c r="S3089">
        <v>3.27</v>
      </c>
      <c r="T3089">
        <v>4</v>
      </c>
      <c r="U3089" t="s">
        <v>22</v>
      </c>
      <c r="V3089" t="e">
        <f>IF(#REF! = "yes", 1, 0)</f>
        <v>#REF!</v>
      </c>
      <c r="W3089" t="e">
        <f>IF(#REF! &lt;= 1, "0-1 Calls", IF(#REF! &lt;= 3, "2-3 Calls", IF(#REF! &lt;=5, "4-5 Calls", "6+ Calls")))</f>
        <v>#REF!</v>
      </c>
      <c r="X3089" t="e">
        <f>IF(#REF! &lt;= 50, "0-50", IF(#REF! &lt;=100, "51-100", IF(#REF! &lt;= 150, "101-150", "151+")))</f>
        <v>#REF!</v>
      </c>
      <c r="Y3089" t="e">
        <f>IF(#REF! &lt;= 3, "Low Charges", "High Charges")</f>
        <v>#REF!</v>
      </c>
      <c r="Z3089" t="e">
        <f>IF(#REF!&lt;=80,"Low Calls",
IF(#REF!&lt;=120,"Medium Calls","High Calls"))</f>
        <v>#REF!</v>
      </c>
      <c r="AA3089" t="e">
        <f>IF(#REF!&lt;=15,"Low Charges",
IF(#REF!&lt;=20,"Medium Charges","High Charges"))</f>
        <v>#REF!</v>
      </c>
      <c r="AB3089" t="e">
        <f>IF(AND(#REF!&gt;180, #REF!&gt;200), "Heavy Doemstic User", IF(#REF!&gt;10, "Interntional User", IF(AND(#REF!&lt;180, #REF!&lt;200,#REF!&lt;200), "Light User", "Balanced User")))</f>
        <v>#REF!</v>
      </c>
      <c r="AC3089" t="e">
        <f>IF(#REF! = 0, "No Usage", IF(#REF! &lt;= 20, "Low Usage", IF(#REF! &lt;= 40, "Medium Usgae", "High Usage")))</f>
        <v>#REF!</v>
      </c>
      <c r="AD3089" t="e">
        <f>IF(#REF!&lt;=150,"Low Usage", IF(#REF!&lt;=200,"Medium Usage", IF(#REF!&lt;=250,"High Usage","Very High Usage")))</f>
        <v>#REF!</v>
      </c>
      <c r="AE3089" t="e">
        <f>IF(#REF!&lt;=5,"Low Calls", IF(#REF!&lt;=10, "Medium Calls", "High Calls"))</f>
        <v>#REF!</v>
      </c>
      <c r="AF3089" t="e">
        <f xml:space="preserve">
IF(#REF!&gt;=4,4,0)+
IF(#REF!="yes",3,0)+
IF(#REF!="High Charges",3,0)+
IF(#REF!&gt;250,4,0)+
IF(#REF!="no",1,0)+
IF(#REF!="Heavy Domestic User",2,0)</f>
        <v>#REF!</v>
      </c>
      <c r="AG3089" t="e">
        <f>IF(#REF!&gt;=10,"High Risk", IF(#REF!&gt;=5,"Medium Risk","Low Risk"))</f>
        <v>#REF!</v>
      </c>
      <c r="AH3089" t="e">
        <f>#REF! + #REF! + #REF! + #REF!</f>
        <v>#REF!</v>
      </c>
    </row>
    <row r="3090" spans="1:34" x14ac:dyDescent="0.35">
      <c r="A3090">
        <v>3089</v>
      </c>
      <c r="B3090" t="s">
        <v>51</v>
      </c>
      <c r="C3090">
        <v>75</v>
      </c>
      <c r="D3090" t="s">
        <v>21</v>
      </c>
      <c r="E3090" t="s">
        <v>22</v>
      </c>
      <c r="F3090" t="s">
        <v>22</v>
      </c>
      <c r="G3090">
        <v>0</v>
      </c>
      <c r="H3090">
        <v>184.8</v>
      </c>
      <c r="I3090">
        <v>126</v>
      </c>
      <c r="J3090">
        <v>31.42</v>
      </c>
      <c r="K3090">
        <v>198.6</v>
      </c>
      <c r="L3090">
        <v>103</v>
      </c>
      <c r="M3090">
        <v>16.88</v>
      </c>
      <c r="N3090">
        <v>103</v>
      </c>
      <c r="O3090">
        <v>90</v>
      </c>
      <c r="P3090">
        <v>4.6399999999999997</v>
      </c>
      <c r="Q3090">
        <v>8.3000000000000007</v>
      </c>
      <c r="R3090">
        <v>3</v>
      </c>
      <c r="S3090">
        <v>2.2400000000000002</v>
      </c>
      <c r="T3090">
        <v>1</v>
      </c>
      <c r="U3090" t="s">
        <v>22</v>
      </c>
      <c r="V3090" t="e">
        <f>IF(#REF! = "yes", 1, 0)</f>
        <v>#REF!</v>
      </c>
      <c r="W3090" t="e">
        <f>IF(#REF! &lt;= 1, "0-1 Calls", IF(#REF! &lt;= 3, "2-3 Calls", IF(#REF! &lt;=5, "4-5 Calls", "6+ Calls")))</f>
        <v>#REF!</v>
      </c>
      <c r="X3090" t="e">
        <f>IF(#REF! &lt;= 50, "0-50", IF(#REF! &lt;=100, "51-100", IF(#REF! &lt;= 150, "101-150", "151+")))</f>
        <v>#REF!</v>
      </c>
      <c r="Y3090" t="e">
        <f>IF(#REF! &lt;= 3, "Low Charges", "High Charges")</f>
        <v>#REF!</v>
      </c>
      <c r="Z3090" t="e">
        <f>IF(#REF!&lt;=80,"Low Calls",
IF(#REF!&lt;=120,"Medium Calls","High Calls"))</f>
        <v>#REF!</v>
      </c>
      <c r="AA3090" t="e">
        <f>IF(#REF!&lt;=15,"Low Charges",
IF(#REF!&lt;=20,"Medium Charges","High Charges"))</f>
        <v>#REF!</v>
      </c>
      <c r="AB3090" t="e">
        <f>IF(AND(#REF!&gt;180, #REF!&gt;200), "Heavy Doemstic User", IF(#REF!&gt;10, "Interntional User", IF(AND(#REF!&lt;180, #REF!&lt;200,#REF!&lt;200), "Light User", "Balanced User")))</f>
        <v>#REF!</v>
      </c>
      <c r="AC3090" t="e">
        <f>IF(#REF! = 0, "No Usage", IF(#REF! &lt;= 20, "Low Usage", IF(#REF! &lt;= 40, "Medium Usgae", "High Usage")))</f>
        <v>#REF!</v>
      </c>
      <c r="AD3090" t="e">
        <f>IF(#REF!&lt;=150,"Low Usage", IF(#REF!&lt;=200,"Medium Usage", IF(#REF!&lt;=250,"High Usage","Very High Usage")))</f>
        <v>#REF!</v>
      </c>
      <c r="AE3090" t="e">
        <f>IF(#REF!&lt;=5,"Low Calls", IF(#REF!&lt;=10, "Medium Calls", "High Calls"))</f>
        <v>#REF!</v>
      </c>
      <c r="AF3090" t="e">
        <f xml:space="preserve">
IF(#REF!&gt;=4,4,0)+
IF(#REF!="yes",3,0)+
IF(#REF!="High Charges",3,0)+
IF(#REF!&gt;250,4,0)+
IF(#REF!="no",1,0)+
IF(#REF!="Heavy Domestic User",2,0)</f>
        <v>#REF!</v>
      </c>
      <c r="AG3090" t="e">
        <f>IF(#REF!&gt;=10,"High Risk", IF(#REF!&gt;=5,"Medium Risk","Low Risk"))</f>
        <v>#REF!</v>
      </c>
      <c r="AH3090" t="e">
        <f>#REF! + #REF! + #REF! + #REF!</f>
        <v>#REF!</v>
      </c>
    </row>
    <row r="3091" spans="1:34" x14ac:dyDescent="0.35">
      <c r="A3091">
        <v>3090</v>
      </c>
      <c r="B3091" t="s">
        <v>39</v>
      </c>
      <c r="C3091">
        <v>91</v>
      </c>
      <c r="D3091" t="s">
        <v>21</v>
      </c>
      <c r="E3091" t="s">
        <v>22</v>
      </c>
      <c r="F3091" t="s">
        <v>22</v>
      </c>
      <c r="G3091">
        <v>0</v>
      </c>
      <c r="H3091">
        <v>251.5</v>
      </c>
      <c r="I3091">
        <v>57</v>
      </c>
      <c r="J3091">
        <v>42.76</v>
      </c>
      <c r="K3091">
        <v>179.1</v>
      </c>
      <c r="L3091">
        <v>113</v>
      </c>
      <c r="M3091">
        <v>15.22</v>
      </c>
      <c r="N3091">
        <v>163.19999999999999</v>
      </c>
      <c r="O3091">
        <v>72</v>
      </c>
      <c r="P3091">
        <v>7.34</v>
      </c>
      <c r="Q3091">
        <v>6.6</v>
      </c>
      <c r="R3091">
        <v>3</v>
      </c>
      <c r="S3091">
        <v>1.78</v>
      </c>
      <c r="T3091">
        <v>1</v>
      </c>
      <c r="U3091" t="s">
        <v>22</v>
      </c>
      <c r="V3091" t="e">
        <f>IF(#REF! = "yes", 1, 0)</f>
        <v>#REF!</v>
      </c>
      <c r="W3091" t="e">
        <f>IF(#REF! &lt;= 1, "0-1 Calls", IF(#REF! &lt;= 3, "2-3 Calls", IF(#REF! &lt;=5, "4-5 Calls", "6+ Calls")))</f>
        <v>#REF!</v>
      </c>
      <c r="X3091" t="e">
        <f>IF(#REF! &lt;= 50, "0-50", IF(#REF! &lt;=100, "51-100", IF(#REF! &lt;= 150, "101-150", "151+")))</f>
        <v>#REF!</v>
      </c>
      <c r="Y3091" t="e">
        <f>IF(#REF! &lt;= 3, "Low Charges", "High Charges")</f>
        <v>#REF!</v>
      </c>
      <c r="Z3091" t="e">
        <f>IF(#REF!&lt;=80,"Low Calls",
IF(#REF!&lt;=120,"Medium Calls","High Calls"))</f>
        <v>#REF!</v>
      </c>
      <c r="AA3091" t="e">
        <f>IF(#REF!&lt;=15,"Low Charges",
IF(#REF!&lt;=20,"Medium Charges","High Charges"))</f>
        <v>#REF!</v>
      </c>
      <c r="AB3091" t="e">
        <f>IF(AND(#REF!&gt;180, #REF!&gt;200), "Heavy Doemstic User", IF(#REF!&gt;10, "Interntional User", IF(AND(#REF!&lt;180, #REF!&lt;200,#REF!&lt;200), "Light User", "Balanced User")))</f>
        <v>#REF!</v>
      </c>
      <c r="AC3091" t="e">
        <f>IF(#REF! = 0, "No Usage", IF(#REF! &lt;= 20, "Low Usage", IF(#REF! &lt;= 40, "Medium Usgae", "High Usage")))</f>
        <v>#REF!</v>
      </c>
      <c r="AD3091" t="e">
        <f>IF(#REF!&lt;=150,"Low Usage", IF(#REF!&lt;=200,"Medium Usage", IF(#REF!&lt;=250,"High Usage","Very High Usage")))</f>
        <v>#REF!</v>
      </c>
      <c r="AE3091" t="e">
        <f>IF(#REF!&lt;=5,"Low Calls", IF(#REF!&lt;=10, "Medium Calls", "High Calls"))</f>
        <v>#REF!</v>
      </c>
      <c r="AF3091" t="e">
        <f xml:space="preserve">
IF(#REF!&gt;=4,4,0)+
IF(#REF!="yes",3,0)+
IF(#REF!="High Charges",3,0)+
IF(#REF!&gt;250,4,0)+
IF(#REF!="no",1,0)+
IF(#REF!="Heavy Domestic User",2,0)</f>
        <v>#REF!</v>
      </c>
      <c r="AG3091" t="e">
        <f>IF(#REF!&gt;=10,"High Risk", IF(#REF!&gt;=5,"Medium Risk","Low Risk"))</f>
        <v>#REF!</v>
      </c>
      <c r="AH3091" t="e">
        <f>#REF! + #REF! + #REF! + #REF!</f>
        <v>#REF!</v>
      </c>
    </row>
    <row r="3092" spans="1:34" x14ac:dyDescent="0.35">
      <c r="A3092">
        <v>3091</v>
      </c>
      <c r="B3092" t="s">
        <v>67</v>
      </c>
      <c r="C3092">
        <v>78</v>
      </c>
      <c r="D3092" t="s">
        <v>28</v>
      </c>
      <c r="E3092" t="s">
        <v>22</v>
      </c>
      <c r="F3092" t="s">
        <v>22</v>
      </c>
      <c r="G3092">
        <v>0</v>
      </c>
      <c r="H3092">
        <v>131.6</v>
      </c>
      <c r="I3092">
        <v>102</v>
      </c>
      <c r="J3092">
        <v>22.37</v>
      </c>
      <c r="K3092">
        <v>290.39999999999998</v>
      </c>
      <c r="L3092">
        <v>134</v>
      </c>
      <c r="M3092">
        <v>24.68</v>
      </c>
      <c r="N3092">
        <v>190.5</v>
      </c>
      <c r="O3092">
        <v>95</v>
      </c>
      <c r="P3092">
        <v>8.57</v>
      </c>
      <c r="Q3092">
        <v>0</v>
      </c>
      <c r="R3092">
        <v>0</v>
      </c>
      <c r="S3092">
        <v>0</v>
      </c>
      <c r="T3092">
        <v>3</v>
      </c>
      <c r="U3092" t="s">
        <v>22</v>
      </c>
      <c r="V3092" t="e">
        <f>IF(#REF! = "yes", 1, 0)</f>
        <v>#REF!</v>
      </c>
      <c r="W3092" t="e">
        <f>IF(#REF! &lt;= 1, "0-1 Calls", IF(#REF! &lt;= 3, "2-3 Calls", IF(#REF! &lt;=5, "4-5 Calls", "6+ Calls")))</f>
        <v>#REF!</v>
      </c>
      <c r="X3092" t="e">
        <f>IF(#REF! &lt;= 50, "0-50", IF(#REF! &lt;=100, "51-100", IF(#REF! &lt;= 150, "101-150", "151+")))</f>
        <v>#REF!</v>
      </c>
      <c r="Y3092" t="e">
        <f>IF(#REF! &lt;= 3, "Low Charges", "High Charges")</f>
        <v>#REF!</v>
      </c>
      <c r="Z3092" t="e">
        <f>IF(#REF!&lt;=80,"Low Calls",
IF(#REF!&lt;=120,"Medium Calls","High Calls"))</f>
        <v>#REF!</v>
      </c>
      <c r="AA3092" t="e">
        <f>IF(#REF!&lt;=15,"Low Charges",
IF(#REF!&lt;=20,"Medium Charges","High Charges"))</f>
        <v>#REF!</v>
      </c>
      <c r="AB3092" t="e">
        <f>IF(AND(#REF!&gt;180, #REF!&gt;200), "Heavy Doemstic User", IF(#REF!&gt;10, "Interntional User", IF(AND(#REF!&lt;180, #REF!&lt;200,#REF!&lt;200), "Light User", "Balanced User")))</f>
        <v>#REF!</v>
      </c>
      <c r="AC3092" t="e">
        <f>IF(#REF! = 0, "No Usage", IF(#REF! &lt;= 20, "Low Usage", IF(#REF! &lt;= 40, "Medium Usgae", "High Usage")))</f>
        <v>#REF!</v>
      </c>
      <c r="AD3092" t="e">
        <f>IF(#REF!&lt;=150,"Low Usage", IF(#REF!&lt;=200,"Medium Usage", IF(#REF!&lt;=250,"High Usage","Very High Usage")))</f>
        <v>#REF!</v>
      </c>
      <c r="AE3092" t="e">
        <f>IF(#REF!&lt;=5,"Low Calls", IF(#REF!&lt;=10, "Medium Calls", "High Calls"))</f>
        <v>#REF!</v>
      </c>
      <c r="AF3092" t="e">
        <f xml:space="preserve">
IF(#REF!&gt;=4,4,0)+
IF(#REF!="yes",3,0)+
IF(#REF!="High Charges",3,0)+
IF(#REF!&gt;250,4,0)+
IF(#REF!="no",1,0)+
IF(#REF!="Heavy Domestic User",2,0)</f>
        <v>#REF!</v>
      </c>
      <c r="AG3092" t="e">
        <f>IF(#REF!&gt;=10,"High Risk", IF(#REF!&gt;=5,"Medium Risk","Low Risk"))</f>
        <v>#REF!</v>
      </c>
      <c r="AH3092" t="e">
        <f>#REF! + #REF! + #REF! + #REF!</f>
        <v>#REF!</v>
      </c>
    </row>
    <row r="3093" spans="1:34" x14ac:dyDescent="0.35">
      <c r="A3093">
        <v>3092</v>
      </c>
      <c r="B3093" t="s">
        <v>40</v>
      </c>
      <c r="C3093">
        <v>98</v>
      </c>
      <c r="D3093" t="s">
        <v>25</v>
      </c>
      <c r="E3093" t="s">
        <v>22</v>
      </c>
      <c r="F3093" t="s">
        <v>22</v>
      </c>
      <c r="G3093">
        <v>0</v>
      </c>
      <c r="H3093">
        <v>92.3</v>
      </c>
      <c r="I3093">
        <v>128</v>
      </c>
      <c r="J3093">
        <v>15.69</v>
      </c>
      <c r="K3093">
        <v>250.1</v>
      </c>
      <c r="L3093">
        <v>89</v>
      </c>
      <c r="M3093">
        <v>21.26</v>
      </c>
      <c r="N3093">
        <v>211.9</v>
      </c>
      <c r="O3093">
        <v>110</v>
      </c>
      <c r="P3093">
        <v>9.5399999999999991</v>
      </c>
      <c r="Q3093">
        <v>10.8</v>
      </c>
      <c r="R3093">
        <v>16</v>
      </c>
      <c r="S3093">
        <v>2.92</v>
      </c>
      <c r="T3093">
        <v>3</v>
      </c>
      <c r="U3093" t="s">
        <v>22</v>
      </c>
      <c r="V3093" t="e">
        <f>IF(#REF! = "yes", 1, 0)</f>
        <v>#REF!</v>
      </c>
      <c r="W3093" t="e">
        <f>IF(#REF! &lt;= 1, "0-1 Calls", IF(#REF! &lt;= 3, "2-3 Calls", IF(#REF! &lt;=5, "4-5 Calls", "6+ Calls")))</f>
        <v>#REF!</v>
      </c>
      <c r="X3093" t="e">
        <f>IF(#REF! &lt;= 50, "0-50", IF(#REF! &lt;=100, "51-100", IF(#REF! &lt;= 150, "101-150", "151+")))</f>
        <v>#REF!</v>
      </c>
      <c r="Y3093" t="e">
        <f>IF(#REF! &lt;= 3, "Low Charges", "High Charges")</f>
        <v>#REF!</v>
      </c>
      <c r="Z3093" t="e">
        <f>IF(#REF!&lt;=80,"Low Calls",
IF(#REF!&lt;=120,"Medium Calls","High Calls"))</f>
        <v>#REF!</v>
      </c>
      <c r="AA3093" t="e">
        <f>IF(#REF!&lt;=15,"Low Charges",
IF(#REF!&lt;=20,"Medium Charges","High Charges"))</f>
        <v>#REF!</v>
      </c>
      <c r="AB3093" t="e">
        <f>IF(AND(#REF!&gt;180, #REF!&gt;200), "Heavy Doemstic User", IF(#REF!&gt;10, "Interntional User", IF(AND(#REF!&lt;180, #REF!&lt;200,#REF!&lt;200), "Light User", "Balanced User")))</f>
        <v>#REF!</v>
      </c>
      <c r="AC3093" t="e">
        <f>IF(#REF! = 0, "No Usage", IF(#REF! &lt;= 20, "Low Usage", IF(#REF! &lt;= 40, "Medium Usgae", "High Usage")))</f>
        <v>#REF!</v>
      </c>
      <c r="AD3093" t="e">
        <f>IF(#REF!&lt;=150,"Low Usage", IF(#REF!&lt;=200,"Medium Usage", IF(#REF!&lt;=250,"High Usage","Very High Usage")))</f>
        <v>#REF!</v>
      </c>
      <c r="AE3093" t="e">
        <f>IF(#REF!&lt;=5,"Low Calls", IF(#REF!&lt;=10, "Medium Calls", "High Calls"))</f>
        <v>#REF!</v>
      </c>
      <c r="AF3093" t="e">
        <f xml:space="preserve">
IF(#REF!&gt;=4,4,0)+
IF(#REF!="yes",3,0)+
IF(#REF!="High Charges",3,0)+
IF(#REF!&gt;250,4,0)+
IF(#REF!="no",1,0)+
IF(#REF!="Heavy Domestic User",2,0)</f>
        <v>#REF!</v>
      </c>
      <c r="AG3093" t="e">
        <f>IF(#REF!&gt;=10,"High Risk", IF(#REF!&gt;=5,"Medium Risk","Low Risk"))</f>
        <v>#REF!</v>
      </c>
      <c r="AH3093" t="e">
        <f>#REF! + #REF! + #REF! + #REF!</f>
        <v>#REF!</v>
      </c>
    </row>
    <row r="3094" spans="1:34" x14ac:dyDescent="0.35">
      <c r="A3094">
        <v>3093</v>
      </c>
      <c r="B3094" t="s">
        <v>31</v>
      </c>
      <c r="C3094">
        <v>166</v>
      </c>
      <c r="D3094" t="s">
        <v>25</v>
      </c>
      <c r="E3094" t="s">
        <v>22</v>
      </c>
      <c r="F3094" t="s">
        <v>23</v>
      </c>
      <c r="G3094">
        <v>41</v>
      </c>
      <c r="H3094">
        <v>196.7</v>
      </c>
      <c r="I3094">
        <v>109</v>
      </c>
      <c r="J3094">
        <v>33.44</v>
      </c>
      <c r="K3094">
        <v>124.3</v>
      </c>
      <c r="L3094">
        <v>107</v>
      </c>
      <c r="M3094">
        <v>10.57</v>
      </c>
      <c r="N3094">
        <v>198.3</v>
      </c>
      <c r="O3094">
        <v>94</v>
      </c>
      <c r="P3094">
        <v>8.92</v>
      </c>
      <c r="Q3094">
        <v>11</v>
      </c>
      <c r="R3094">
        <v>5</v>
      </c>
      <c r="S3094">
        <v>2.97</v>
      </c>
      <c r="T3094">
        <v>5</v>
      </c>
      <c r="U3094" t="s">
        <v>23</v>
      </c>
      <c r="V3094" t="e">
        <f>IF(#REF! = "yes", 1, 0)</f>
        <v>#REF!</v>
      </c>
      <c r="W3094" t="e">
        <f>IF(#REF! &lt;= 1, "0-1 Calls", IF(#REF! &lt;= 3, "2-3 Calls", IF(#REF! &lt;=5, "4-5 Calls", "6+ Calls")))</f>
        <v>#REF!</v>
      </c>
      <c r="X3094" t="e">
        <f>IF(#REF! &lt;= 50, "0-50", IF(#REF! &lt;=100, "51-100", IF(#REF! &lt;= 150, "101-150", "151+")))</f>
        <v>#REF!</v>
      </c>
      <c r="Y3094" t="e">
        <f>IF(#REF! &lt;= 3, "Low Charges", "High Charges")</f>
        <v>#REF!</v>
      </c>
      <c r="Z3094" t="e">
        <f>IF(#REF!&lt;=80,"Low Calls",
IF(#REF!&lt;=120,"Medium Calls","High Calls"))</f>
        <v>#REF!</v>
      </c>
      <c r="AA3094" t="e">
        <f>IF(#REF!&lt;=15,"Low Charges",
IF(#REF!&lt;=20,"Medium Charges","High Charges"))</f>
        <v>#REF!</v>
      </c>
      <c r="AB3094" t="e">
        <f>IF(AND(#REF!&gt;180, #REF!&gt;200), "Heavy Doemstic User", IF(#REF!&gt;10, "Interntional User", IF(AND(#REF!&lt;180, #REF!&lt;200,#REF!&lt;200), "Light User", "Balanced User")))</f>
        <v>#REF!</v>
      </c>
      <c r="AC3094" t="e">
        <f>IF(#REF! = 0, "No Usage", IF(#REF! &lt;= 20, "Low Usage", IF(#REF! &lt;= 40, "Medium Usgae", "High Usage")))</f>
        <v>#REF!</v>
      </c>
      <c r="AD3094" t="e">
        <f>IF(#REF!&lt;=150,"Low Usage", IF(#REF!&lt;=200,"Medium Usage", IF(#REF!&lt;=250,"High Usage","Very High Usage")))</f>
        <v>#REF!</v>
      </c>
      <c r="AE3094" t="e">
        <f>IF(#REF!&lt;=5,"Low Calls", IF(#REF!&lt;=10, "Medium Calls", "High Calls"))</f>
        <v>#REF!</v>
      </c>
      <c r="AF3094" t="e">
        <f xml:space="preserve">
IF(#REF!&gt;=4,4,0)+
IF(#REF!="yes",3,0)+
IF(#REF!="High Charges",3,0)+
IF(#REF!&gt;250,4,0)+
IF(#REF!="no",1,0)+
IF(#REF!="Heavy Domestic User",2,0)</f>
        <v>#REF!</v>
      </c>
      <c r="AG3094" t="e">
        <f>IF(#REF!&gt;=10,"High Risk", IF(#REF!&gt;=5,"Medium Risk","Low Risk"))</f>
        <v>#REF!</v>
      </c>
      <c r="AH3094" t="e">
        <f>#REF! + #REF! + #REF! + #REF!</f>
        <v>#REF!</v>
      </c>
    </row>
    <row r="3095" spans="1:34" x14ac:dyDescent="0.35">
      <c r="A3095">
        <v>3094</v>
      </c>
      <c r="B3095" t="s">
        <v>43</v>
      </c>
      <c r="C3095">
        <v>78</v>
      </c>
      <c r="D3095" t="s">
        <v>21</v>
      </c>
      <c r="E3095" t="s">
        <v>22</v>
      </c>
      <c r="F3095" t="s">
        <v>22</v>
      </c>
      <c r="G3095">
        <v>0</v>
      </c>
      <c r="H3095">
        <v>131.4</v>
      </c>
      <c r="I3095">
        <v>98</v>
      </c>
      <c r="J3095">
        <v>22.34</v>
      </c>
      <c r="K3095">
        <v>189.9</v>
      </c>
      <c r="L3095">
        <v>95</v>
      </c>
      <c r="M3095">
        <v>16.14</v>
      </c>
      <c r="N3095">
        <v>147.4</v>
      </c>
      <c r="O3095">
        <v>83</v>
      </c>
      <c r="P3095">
        <v>6.63</v>
      </c>
      <c r="Q3095">
        <v>11.2</v>
      </c>
      <c r="R3095">
        <v>2</v>
      </c>
      <c r="S3095">
        <v>3.02</v>
      </c>
      <c r="T3095">
        <v>2</v>
      </c>
      <c r="U3095" t="s">
        <v>22</v>
      </c>
      <c r="V3095" t="e">
        <f>IF(#REF! = "yes", 1, 0)</f>
        <v>#REF!</v>
      </c>
      <c r="W3095" t="e">
        <f>IF(#REF! &lt;= 1, "0-1 Calls", IF(#REF! &lt;= 3, "2-3 Calls", IF(#REF! &lt;=5, "4-5 Calls", "6+ Calls")))</f>
        <v>#REF!</v>
      </c>
      <c r="X3095" t="e">
        <f>IF(#REF! &lt;= 50, "0-50", IF(#REF! &lt;=100, "51-100", IF(#REF! &lt;= 150, "101-150", "151+")))</f>
        <v>#REF!</v>
      </c>
      <c r="Y3095" t="e">
        <f>IF(#REF! &lt;= 3, "Low Charges", "High Charges")</f>
        <v>#REF!</v>
      </c>
      <c r="Z3095" t="e">
        <f>IF(#REF!&lt;=80,"Low Calls",
IF(#REF!&lt;=120,"Medium Calls","High Calls"))</f>
        <v>#REF!</v>
      </c>
      <c r="AA3095" t="e">
        <f>IF(#REF!&lt;=15,"Low Charges",
IF(#REF!&lt;=20,"Medium Charges","High Charges"))</f>
        <v>#REF!</v>
      </c>
      <c r="AB3095" t="e">
        <f>IF(AND(#REF!&gt;180, #REF!&gt;200), "Heavy Doemstic User", IF(#REF!&gt;10, "Interntional User", IF(AND(#REF!&lt;180, #REF!&lt;200,#REF!&lt;200), "Light User", "Balanced User")))</f>
        <v>#REF!</v>
      </c>
      <c r="AC3095" t="e">
        <f>IF(#REF! = 0, "No Usage", IF(#REF! &lt;= 20, "Low Usage", IF(#REF! &lt;= 40, "Medium Usgae", "High Usage")))</f>
        <v>#REF!</v>
      </c>
      <c r="AD3095" t="e">
        <f>IF(#REF!&lt;=150,"Low Usage", IF(#REF!&lt;=200,"Medium Usage", IF(#REF!&lt;=250,"High Usage","Very High Usage")))</f>
        <v>#REF!</v>
      </c>
      <c r="AE3095" t="e">
        <f>IF(#REF!&lt;=5,"Low Calls", IF(#REF!&lt;=10, "Medium Calls", "High Calls"))</f>
        <v>#REF!</v>
      </c>
      <c r="AF3095" t="e">
        <f xml:space="preserve">
IF(#REF!&gt;=4,4,0)+
IF(#REF!="yes",3,0)+
IF(#REF!="High Charges",3,0)+
IF(#REF!&gt;250,4,0)+
IF(#REF!="no",1,0)+
IF(#REF!="Heavy Domestic User",2,0)</f>
        <v>#REF!</v>
      </c>
      <c r="AG3095" t="e">
        <f>IF(#REF!&gt;=10,"High Risk", IF(#REF!&gt;=5,"Medium Risk","Low Risk"))</f>
        <v>#REF!</v>
      </c>
      <c r="AH3095" t="e">
        <f>#REF! + #REF! + #REF! + #REF!</f>
        <v>#REF!</v>
      </c>
    </row>
    <row r="3096" spans="1:34" x14ac:dyDescent="0.35">
      <c r="A3096">
        <v>3095</v>
      </c>
      <c r="B3096" t="s">
        <v>48</v>
      </c>
      <c r="C3096">
        <v>69</v>
      </c>
      <c r="D3096" t="s">
        <v>25</v>
      </c>
      <c r="E3096" t="s">
        <v>22</v>
      </c>
      <c r="F3096" t="s">
        <v>22</v>
      </c>
      <c r="G3096">
        <v>0</v>
      </c>
      <c r="H3096">
        <v>215.9</v>
      </c>
      <c r="I3096">
        <v>122</v>
      </c>
      <c r="J3096">
        <v>36.700000000000003</v>
      </c>
      <c r="K3096">
        <v>270.3</v>
      </c>
      <c r="L3096">
        <v>114</v>
      </c>
      <c r="M3096">
        <v>22.98</v>
      </c>
      <c r="N3096">
        <v>301.8</v>
      </c>
      <c r="O3096">
        <v>129</v>
      </c>
      <c r="P3096">
        <v>13.58</v>
      </c>
      <c r="Q3096">
        <v>6.1</v>
      </c>
      <c r="R3096">
        <v>5</v>
      </c>
      <c r="S3096">
        <v>1.65</v>
      </c>
      <c r="T3096">
        <v>4</v>
      </c>
      <c r="U3096" t="s">
        <v>23</v>
      </c>
      <c r="V3096" t="e">
        <f>IF(#REF! = "yes", 1, 0)</f>
        <v>#REF!</v>
      </c>
      <c r="W3096" t="e">
        <f>IF(#REF! &lt;= 1, "0-1 Calls", IF(#REF! &lt;= 3, "2-3 Calls", IF(#REF! &lt;=5, "4-5 Calls", "6+ Calls")))</f>
        <v>#REF!</v>
      </c>
      <c r="X3096" t="e">
        <f>IF(#REF! &lt;= 50, "0-50", IF(#REF! &lt;=100, "51-100", IF(#REF! &lt;= 150, "101-150", "151+")))</f>
        <v>#REF!</v>
      </c>
      <c r="Y3096" t="e">
        <f>IF(#REF! &lt;= 3, "Low Charges", "High Charges")</f>
        <v>#REF!</v>
      </c>
      <c r="Z3096" t="e">
        <f>IF(#REF!&lt;=80,"Low Calls",
IF(#REF!&lt;=120,"Medium Calls","High Calls"))</f>
        <v>#REF!</v>
      </c>
      <c r="AA3096" t="e">
        <f>IF(#REF!&lt;=15,"Low Charges",
IF(#REF!&lt;=20,"Medium Charges","High Charges"))</f>
        <v>#REF!</v>
      </c>
      <c r="AB3096" t="e">
        <f>IF(AND(#REF!&gt;180, #REF!&gt;200), "Heavy Doemstic User", IF(#REF!&gt;10, "Interntional User", IF(AND(#REF!&lt;180, #REF!&lt;200,#REF!&lt;200), "Light User", "Balanced User")))</f>
        <v>#REF!</v>
      </c>
      <c r="AC3096" t="e">
        <f>IF(#REF! = 0, "No Usage", IF(#REF! &lt;= 20, "Low Usage", IF(#REF! &lt;= 40, "Medium Usgae", "High Usage")))</f>
        <v>#REF!</v>
      </c>
      <c r="AD3096" t="e">
        <f>IF(#REF!&lt;=150,"Low Usage", IF(#REF!&lt;=200,"Medium Usage", IF(#REF!&lt;=250,"High Usage","Very High Usage")))</f>
        <v>#REF!</v>
      </c>
      <c r="AE3096" t="e">
        <f>IF(#REF!&lt;=5,"Low Calls", IF(#REF!&lt;=10, "Medium Calls", "High Calls"))</f>
        <v>#REF!</v>
      </c>
      <c r="AF3096" t="e">
        <f xml:space="preserve">
IF(#REF!&gt;=4,4,0)+
IF(#REF!="yes",3,0)+
IF(#REF!="High Charges",3,0)+
IF(#REF!&gt;250,4,0)+
IF(#REF!="no",1,0)+
IF(#REF!="Heavy Domestic User",2,0)</f>
        <v>#REF!</v>
      </c>
      <c r="AG3096" t="e">
        <f>IF(#REF!&gt;=10,"High Risk", IF(#REF!&gt;=5,"Medium Risk","Low Risk"))</f>
        <v>#REF!</v>
      </c>
      <c r="AH3096" t="e">
        <f>#REF! + #REF! + #REF! + #REF!</f>
        <v>#REF!</v>
      </c>
    </row>
    <row r="3097" spans="1:34" x14ac:dyDescent="0.35">
      <c r="A3097">
        <v>3096</v>
      </c>
      <c r="B3097" t="s">
        <v>48</v>
      </c>
      <c r="C3097">
        <v>122</v>
      </c>
      <c r="D3097" t="s">
        <v>25</v>
      </c>
      <c r="E3097" t="s">
        <v>22</v>
      </c>
      <c r="F3097" t="s">
        <v>22</v>
      </c>
      <c r="G3097">
        <v>0</v>
      </c>
      <c r="H3097">
        <v>158.19999999999999</v>
      </c>
      <c r="I3097">
        <v>95</v>
      </c>
      <c r="J3097">
        <v>26.89</v>
      </c>
      <c r="K3097">
        <v>178.5</v>
      </c>
      <c r="L3097">
        <v>113</v>
      </c>
      <c r="M3097">
        <v>15.17</v>
      </c>
      <c r="N3097">
        <v>154.30000000000001</v>
      </c>
      <c r="O3097">
        <v>76</v>
      </c>
      <c r="P3097">
        <v>6.94</v>
      </c>
      <c r="Q3097">
        <v>8.5</v>
      </c>
      <c r="R3097">
        <v>5</v>
      </c>
      <c r="S3097">
        <v>2.2999999999999998</v>
      </c>
      <c r="T3097">
        <v>2</v>
      </c>
      <c r="U3097" t="s">
        <v>22</v>
      </c>
      <c r="V3097" t="e">
        <f>IF(#REF! = "yes", 1, 0)</f>
        <v>#REF!</v>
      </c>
      <c r="W3097" t="e">
        <f>IF(#REF! &lt;= 1, "0-1 Calls", IF(#REF! &lt;= 3, "2-3 Calls", IF(#REF! &lt;=5, "4-5 Calls", "6+ Calls")))</f>
        <v>#REF!</v>
      </c>
      <c r="X3097" t="e">
        <f>IF(#REF! &lt;= 50, "0-50", IF(#REF! &lt;=100, "51-100", IF(#REF! &lt;= 150, "101-150", "151+")))</f>
        <v>#REF!</v>
      </c>
      <c r="Y3097" t="e">
        <f>IF(#REF! &lt;= 3, "Low Charges", "High Charges")</f>
        <v>#REF!</v>
      </c>
      <c r="Z3097" t="e">
        <f>IF(#REF!&lt;=80,"Low Calls",
IF(#REF!&lt;=120,"Medium Calls","High Calls"))</f>
        <v>#REF!</v>
      </c>
      <c r="AA3097" t="e">
        <f>IF(#REF!&lt;=15,"Low Charges",
IF(#REF!&lt;=20,"Medium Charges","High Charges"))</f>
        <v>#REF!</v>
      </c>
      <c r="AB3097" t="e">
        <f>IF(AND(#REF!&gt;180, #REF!&gt;200), "Heavy Doemstic User", IF(#REF!&gt;10, "Interntional User", IF(AND(#REF!&lt;180, #REF!&lt;200,#REF!&lt;200), "Light User", "Balanced User")))</f>
        <v>#REF!</v>
      </c>
      <c r="AC3097" t="e">
        <f>IF(#REF! = 0, "No Usage", IF(#REF! &lt;= 20, "Low Usage", IF(#REF! &lt;= 40, "Medium Usgae", "High Usage")))</f>
        <v>#REF!</v>
      </c>
      <c r="AD3097" t="e">
        <f>IF(#REF!&lt;=150,"Low Usage", IF(#REF!&lt;=200,"Medium Usage", IF(#REF!&lt;=250,"High Usage","Very High Usage")))</f>
        <v>#REF!</v>
      </c>
      <c r="AE3097" t="e">
        <f>IF(#REF!&lt;=5,"Low Calls", IF(#REF!&lt;=10, "Medium Calls", "High Calls"))</f>
        <v>#REF!</v>
      </c>
      <c r="AF3097" t="e">
        <f xml:space="preserve">
IF(#REF!&gt;=4,4,0)+
IF(#REF!="yes",3,0)+
IF(#REF!="High Charges",3,0)+
IF(#REF!&gt;250,4,0)+
IF(#REF!="no",1,0)+
IF(#REF!="Heavy Domestic User",2,0)</f>
        <v>#REF!</v>
      </c>
      <c r="AG3097" t="e">
        <f>IF(#REF!&gt;=10,"High Risk", IF(#REF!&gt;=5,"Medium Risk","Low Risk"))</f>
        <v>#REF!</v>
      </c>
      <c r="AH3097" t="e">
        <f>#REF! + #REF! + #REF! + #REF!</f>
        <v>#REF!</v>
      </c>
    </row>
    <row r="3098" spans="1:34" x14ac:dyDescent="0.35">
      <c r="A3098">
        <v>3097</v>
      </c>
      <c r="B3098" t="s">
        <v>45</v>
      </c>
      <c r="C3098">
        <v>19</v>
      </c>
      <c r="D3098" t="s">
        <v>28</v>
      </c>
      <c r="E3098" t="s">
        <v>22</v>
      </c>
      <c r="F3098" t="s">
        <v>23</v>
      </c>
      <c r="G3098">
        <v>34</v>
      </c>
      <c r="H3098">
        <v>206.4</v>
      </c>
      <c r="I3098">
        <v>111</v>
      </c>
      <c r="J3098">
        <v>35.090000000000003</v>
      </c>
      <c r="K3098">
        <v>229.7</v>
      </c>
      <c r="L3098">
        <v>118</v>
      </c>
      <c r="M3098">
        <v>19.52</v>
      </c>
      <c r="N3098">
        <v>156.69999999999999</v>
      </c>
      <c r="O3098">
        <v>81</v>
      </c>
      <c r="P3098">
        <v>7.05</v>
      </c>
      <c r="Q3098">
        <v>11.8</v>
      </c>
      <c r="R3098">
        <v>10</v>
      </c>
      <c r="S3098">
        <v>3.19</v>
      </c>
      <c r="T3098">
        <v>3</v>
      </c>
      <c r="U3098" t="s">
        <v>22</v>
      </c>
      <c r="V3098" t="e">
        <f>IF(#REF! = "yes", 1, 0)</f>
        <v>#REF!</v>
      </c>
      <c r="W3098" t="e">
        <f>IF(#REF! &lt;= 1, "0-1 Calls", IF(#REF! &lt;= 3, "2-3 Calls", IF(#REF! &lt;=5, "4-5 Calls", "6+ Calls")))</f>
        <v>#REF!</v>
      </c>
      <c r="X3098" t="e">
        <f>IF(#REF! &lt;= 50, "0-50", IF(#REF! &lt;=100, "51-100", IF(#REF! &lt;= 150, "101-150", "151+")))</f>
        <v>#REF!</v>
      </c>
      <c r="Y3098" t="e">
        <f>IF(#REF! &lt;= 3, "Low Charges", "High Charges")</f>
        <v>#REF!</v>
      </c>
      <c r="Z3098" t="e">
        <f>IF(#REF!&lt;=80,"Low Calls",
IF(#REF!&lt;=120,"Medium Calls","High Calls"))</f>
        <v>#REF!</v>
      </c>
      <c r="AA3098" t="e">
        <f>IF(#REF!&lt;=15,"Low Charges",
IF(#REF!&lt;=20,"Medium Charges","High Charges"))</f>
        <v>#REF!</v>
      </c>
      <c r="AB3098" t="e">
        <f>IF(AND(#REF!&gt;180, #REF!&gt;200), "Heavy Doemstic User", IF(#REF!&gt;10, "Interntional User", IF(AND(#REF!&lt;180, #REF!&lt;200,#REF!&lt;200), "Light User", "Balanced User")))</f>
        <v>#REF!</v>
      </c>
      <c r="AC3098" t="e">
        <f>IF(#REF! = 0, "No Usage", IF(#REF! &lt;= 20, "Low Usage", IF(#REF! &lt;= 40, "Medium Usgae", "High Usage")))</f>
        <v>#REF!</v>
      </c>
      <c r="AD3098" t="e">
        <f>IF(#REF!&lt;=150,"Low Usage", IF(#REF!&lt;=200,"Medium Usage", IF(#REF!&lt;=250,"High Usage","Very High Usage")))</f>
        <v>#REF!</v>
      </c>
      <c r="AE3098" t="e">
        <f>IF(#REF!&lt;=5,"Low Calls", IF(#REF!&lt;=10, "Medium Calls", "High Calls"))</f>
        <v>#REF!</v>
      </c>
      <c r="AF3098" t="e">
        <f xml:space="preserve">
IF(#REF!&gt;=4,4,0)+
IF(#REF!="yes",3,0)+
IF(#REF!="High Charges",3,0)+
IF(#REF!&gt;250,4,0)+
IF(#REF!="no",1,0)+
IF(#REF!="Heavy Domestic User",2,0)</f>
        <v>#REF!</v>
      </c>
      <c r="AG3098" t="e">
        <f>IF(#REF!&gt;=10,"High Risk", IF(#REF!&gt;=5,"Medium Risk","Low Risk"))</f>
        <v>#REF!</v>
      </c>
      <c r="AH3098" t="e">
        <f>#REF! + #REF! + #REF! + #REF!</f>
        <v>#REF!</v>
      </c>
    </row>
    <row r="3099" spans="1:34" x14ac:dyDescent="0.35">
      <c r="A3099">
        <v>3098</v>
      </c>
      <c r="B3099" t="s">
        <v>45</v>
      </c>
      <c r="C3099">
        <v>141</v>
      </c>
      <c r="D3099" t="s">
        <v>28</v>
      </c>
      <c r="E3099" t="s">
        <v>22</v>
      </c>
      <c r="F3099" t="s">
        <v>22</v>
      </c>
      <c r="G3099">
        <v>0</v>
      </c>
      <c r="H3099">
        <v>138.19999999999999</v>
      </c>
      <c r="I3099">
        <v>94</v>
      </c>
      <c r="J3099">
        <v>23.49</v>
      </c>
      <c r="K3099">
        <v>176.4</v>
      </c>
      <c r="L3099">
        <v>84</v>
      </c>
      <c r="M3099">
        <v>14.99</v>
      </c>
      <c r="N3099">
        <v>182.9</v>
      </c>
      <c r="O3099">
        <v>110</v>
      </c>
      <c r="P3099">
        <v>8.23</v>
      </c>
      <c r="Q3099">
        <v>11.1</v>
      </c>
      <c r="R3099">
        <v>6</v>
      </c>
      <c r="S3099">
        <v>3</v>
      </c>
      <c r="T3099">
        <v>3</v>
      </c>
      <c r="U3099" t="s">
        <v>22</v>
      </c>
      <c r="V3099" t="e">
        <f>IF(#REF! = "yes", 1, 0)</f>
        <v>#REF!</v>
      </c>
      <c r="W3099" t="e">
        <f>IF(#REF! &lt;= 1, "0-1 Calls", IF(#REF! &lt;= 3, "2-3 Calls", IF(#REF! &lt;=5, "4-5 Calls", "6+ Calls")))</f>
        <v>#REF!</v>
      </c>
      <c r="X3099" t="e">
        <f>IF(#REF! &lt;= 50, "0-50", IF(#REF! &lt;=100, "51-100", IF(#REF! &lt;= 150, "101-150", "151+")))</f>
        <v>#REF!</v>
      </c>
      <c r="Y3099" t="e">
        <f>IF(#REF! &lt;= 3, "Low Charges", "High Charges")</f>
        <v>#REF!</v>
      </c>
      <c r="Z3099" t="e">
        <f>IF(#REF!&lt;=80,"Low Calls",
IF(#REF!&lt;=120,"Medium Calls","High Calls"))</f>
        <v>#REF!</v>
      </c>
      <c r="AA3099" t="e">
        <f>IF(#REF!&lt;=15,"Low Charges",
IF(#REF!&lt;=20,"Medium Charges","High Charges"))</f>
        <v>#REF!</v>
      </c>
      <c r="AB3099" t="e">
        <f>IF(AND(#REF!&gt;180, #REF!&gt;200), "Heavy Doemstic User", IF(#REF!&gt;10, "Interntional User", IF(AND(#REF!&lt;180, #REF!&lt;200,#REF!&lt;200), "Light User", "Balanced User")))</f>
        <v>#REF!</v>
      </c>
      <c r="AC3099" t="e">
        <f>IF(#REF! = 0, "No Usage", IF(#REF! &lt;= 20, "Low Usage", IF(#REF! &lt;= 40, "Medium Usgae", "High Usage")))</f>
        <v>#REF!</v>
      </c>
      <c r="AD3099" t="e">
        <f>IF(#REF!&lt;=150,"Low Usage", IF(#REF!&lt;=200,"Medium Usage", IF(#REF!&lt;=250,"High Usage","Very High Usage")))</f>
        <v>#REF!</v>
      </c>
      <c r="AE3099" t="e">
        <f>IF(#REF!&lt;=5,"Low Calls", IF(#REF!&lt;=10, "Medium Calls", "High Calls"))</f>
        <v>#REF!</v>
      </c>
      <c r="AF3099" t="e">
        <f xml:space="preserve">
IF(#REF!&gt;=4,4,0)+
IF(#REF!="yes",3,0)+
IF(#REF!="High Charges",3,0)+
IF(#REF!&gt;250,4,0)+
IF(#REF!="no",1,0)+
IF(#REF!="Heavy Domestic User",2,0)</f>
        <v>#REF!</v>
      </c>
      <c r="AG3099" t="e">
        <f>IF(#REF!&gt;=10,"High Risk", IF(#REF!&gt;=5,"Medium Risk","Low Risk"))</f>
        <v>#REF!</v>
      </c>
      <c r="AH3099" t="e">
        <f>#REF! + #REF! + #REF! + #REF!</f>
        <v>#REF!</v>
      </c>
    </row>
    <row r="3100" spans="1:34" x14ac:dyDescent="0.35">
      <c r="A3100">
        <v>3099</v>
      </c>
      <c r="B3100" t="s">
        <v>27</v>
      </c>
      <c r="C3100">
        <v>79</v>
      </c>
      <c r="D3100" t="s">
        <v>25</v>
      </c>
      <c r="E3100" t="s">
        <v>22</v>
      </c>
      <c r="F3100" t="s">
        <v>23</v>
      </c>
      <c r="G3100">
        <v>27</v>
      </c>
      <c r="H3100">
        <v>192.3</v>
      </c>
      <c r="I3100">
        <v>125</v>
      </c>
      <c r="J3100">
        <v>32.69</v>
      </c>
      <c r="K3100">
        <v>147.30000000000001</v>
      </c>
      <c r="L3100">
        <v>108</v>
      </c>
      <c r="M3100">
        <v>12.52</v>
      </c>
      <c r="N3100">
        <v>215</v>
      </c>
      <c r="O3100">
        <v>97</v>
      </c>
      <c r="P3100">
        <v>9.67</v>
      </c>
      <c r="Q3100">
        <v>7.8</v>
      </c>
      <c r="R3100">
        <v>4</v>
      </c>
      <c r="S3100">
        <v>2.11</v>
      </c>
      <c r="T3100">
        <v>1</v>
      </c>
      <c r="U3100" t="s">
        <v>22</v>
      </c>
      <c r="V3100" t="e">
        <f>IF(#REF! = "yes", 1, 0)</f>
        <v>#REF!</v>
      </c>
      <c r="W3100" t="e">
        <f>IF(#REF! &lt;= 1, "0-1 Calls", IF(#REF! &lt;= 3, "2-3 Calls", IF(#REF! &lt;=5, "4-5 Calls", "6+ Calls")))</f>
        <v>#REF!</v>
      </c>
      <c r="X3100" t="e">
        <f>IF(#REF! &lt;= 50, "0-50", IF(#REF! &lt;=100, "51-100", IF(#REF! &lt;= 150, "101-150", "151+")))</f>
        <v>#REF!</v>
      </c>
      <c r="Y3100" t="e">
        <f>IF(#REF! &lt;= 3, "Low Charges", "High Charges")</f>
        <v>#REF!</v>
      </c>
      <c r="Z3100" t="e">
        <f>IF(#REF!&lt;=80,"Low Calls",
IF(#REF!&lt;=120,"Medium Calls","High Calls"))</f>
        <v>#REF!</v>
      </c>
      <c r="AA3100" t="e">
        <f>IF(#REF!&lt;=15,"Low Charges",
IF(#REF!&lt;=20,"Medium Charges","High Charges"))</f>
        <v>#REF!</v>
      </c>
      <c r="AB3100" t="e">
        <f>IF(AND(#REF!&gt;180, #REF!&gt;200), "Heavy Doemstic User", IF(#REF!&gt;10, "Interntional User", IF(AND(#REF!&lt;180, #REF!&lt;200,#REF!&lt;200), "Light User", "Balanced User")))</f>
        <v>#REF!</v>
      </c>
      <c r="AC3100" t="e">
        <f>IF(#REF! = 0, "No Usage", IF(#REF! &lt;= 20, "Low Usage", IF(#REF! &lt;= 40, "Medium Usgae", "High Usage")))</f>
        <v>#REF!</v>
      </c>
      <c r="AD3100" t="e">
        <f>IF(#REF!&lt;=150,"Low Usage", IF(#REF!&lt;=200,"Medium Usage", IF(#REF!&lt;=250,"High Usage","Very High Usage")))</f>
        <v>#REF!</v>
      </c>
      <c r="AE3100" t="e">
        <f>IF(#REF!&lt;=5,"Low Calls", IF(#REF!&lt;=10, "Medium Calls", "High Calls"))</f>
        <v>#REF!</v>
      </c>
      <c r="AF3100" t="e">
        <f xml:space="preserve">
IF(#REF!&gt;=4,4,0)+
IF(#REF!="yes",3,0)+
IF(#REF!="High Charges",3,0)+
IF(#REF!&gt;250,4,0)+
IF(#REF!="no",1,0)+
IF(#REF!="Heavy Domestic User",2,0)</f>
        <v>#REF!</v>
      </c>
      <c r="AG3100" t="e">
        <f>IF(#REF!&gt;=10,"High Risk", IF(#REF!&gt;=5,"Medium Risk","Low Risk"))</f>
        <v>#REF!</v>
      </c>
      <c r="AH3100" t="e">
        <f>#REF! + #REF! + #REF! + #REF!</f>
        <v>#REF!</v>
      </c>
    </row>
    <row r="3101" spans="1:34" x14ac:dyDescent="0.35">
      <c r="A3101">
        <v>3100</v>
      </c>
      <c r="B3101" t="s">
        <v>46</v>
      </c>
      <c r="C3101">
        <v>171</v>
      </c>
      <c r="D3101" t="s">
        <v>21</v>
      </c>
      <c r="E3101" t="s">
        <v>22</v>
      </c>
      <c r="F3101" t="s">
        <v>22</v>
      </c>
      <c r="G3101">
        <v>0</v>
      </c>
      <c r="H3101">
        <v>262.10000000000002</v>
      </c>
      <c r="I3101">
        <v>78</v>
      </c>
      <c r="J3101">
        <v>44.56</v>
      </c>
      <c r="K3101">
        <v>171.6</v>
      </c>
      <c r="L3101">
        <v>113</v>
      </c>
      <c r="M3101">
        <v>14.59</v>
      </c>
      <c r="N3101">
        <v>208.7</v>
      </c>
      <c r="O3101">
        <v>100</v>
      </c>
      <c r="P3101">
        <v>9.39</v>
      </c>
      <c r="Q3101">
        <v>5.3</v>
      </c>
      <c r="R3101">
        <v>3</v>
      </c>
      <c r="S3101">
        <v>1.43</v>
      </c>
      <c r="T3101">
        <v>0</v>
      </c>
      <c r="U3101" t="s">
        <v>22</v>
      </c>
      <c r="V3101" t="e">
        <f>IF(#REF! = "yes", 1, 0)</f>
        <v>#REF!</v>
      </c>
      <c r="W3101" t="e">
        <f>IF(#REF! &lt;= 1, "0-1 Calls", IF(#REF! &lt;= 3, "2-3 Calls", IF(#REF! &lt;=5, "4-5 Calls", "6+ Calls")))</f>
        <v>#REF!</v>
      </c>
      <c r="X3101" t="e">
        <f>IF(#REF! &lt;= 50, "0-50", IF(#REF! &lt;=100, "51-100", IF(#REF! &lt;= 150, "101-150", "151+")))</f>
        <v>#REF!</v>
      </c>
      <c r="Y3101" t="e">
        <f>IF(#REF! &lt;= 3, "Low Charges", "High Charges")</f>
        <v>#REF!</v>
      </c>
      <c r="Z3101" t="e">
        <f>IF(#REF!&lt;=80,"Low Calls",
IF(#REF!&lt;=120,"Medium Calls","High Calls"))</f>
        <v>#REF!</v>
      </c>
      <c r="AA3101" t="e">
        <f>IF(#REF!&lt;=15,"Low Charges",
IF(#REF!&lt;=20,"Medium Charges","High Charges"))</f>
        <v>#REF!</v>
      </c>
      <c r="AB3101" t="e">
        <f>IF(AND(#REF!&gt;180, #REF!&gt;200), "Heavy Doemstic User", IF(#REF!&gt;10, "Interntional User", IF(AND(#REF!&lt;180, #REF!&lt;200,#REF!&lt;200), "Light User", "Balanced User")))</f>
        <v>#REF!</v>
      </c>
      <c r="AC3101" t="e">
        <f>IF(#REF! = 0, "No Usage", IF(#REF! &lt;= 20, "Low Usage", IF(#REF! &lt;= 40, "Medium Usgae", "High Usage")))</f>
        <v>#REF!</v>
      </c>
      <c r="AD3101" t="e">
        <f>IF(#REF!&lt;=150,"Low Usage", IF(#REF!&lt;=200,"Medium Usage", IF(#REF!&lt;=250,"High Usage","Very High Usage")))</f>
        <v>#REF!</v>
      </c>
      <c r="AE3101" t="e">
        <f>IF(#REF!&lt;=5,"Low Calls", IF(#REF!&lt;=10, "Medium Calls", "High Calls"))</f>
        <v>#REF!</v>
      </c>
      <c r="AF3101" t="e">
        <f xml:space="preserve">
IF(#REF!&gt;=4,4,0)+
IF(#REF!="yes",3,0)+
IF(#REF!="High Charges",3,0)+
IF(#REF!&gt;250,4,0)+
IF(#REF!="no",1,0)+
IF(#REF!="Heavy Domestic User",2,0)</f>
        <v>#REF!</v>
      </c>
      <c r="AG3101" t="e">
        <f>IF(#REF!&gt;=10,"High Risk", IF(#REF!&gt;=5,"Medium Risk","Low Risk"))</f>
        <v>#REF!</v>
      </c>
      <c r="AH3101" t="e">
        <f>#REF! + #REF! + #REF! + #REF!</f>
        <v>#REF!</v>
      </c>
    </row>
    <row r="3102" spans="1:34" x14ac:dyDescent="0.35">
      <c r="A3102">
        <v>3101</v>
      </c>
      <c r="B3102" t="s">
        <v>68</v>
      </c>
      <c r="C3102">
        <v>51</v>
      </c>
      <c r="D3102" t="s">
        <v>21</v>
      </c>
      <c r="E3102" t="s">
        <v>22</v>
      </c>
      <c r="F3102" t="s">
        <v>22</v>
      </c>
      <c r="G3102">
        <v>0</v>
      </c>
      <c r="H3102">
        <v>41.2</v>
      </c>
      <c r="I3102">
        <v>106</v>
      </c>
      <c r="J3102">
        <v>7</v>
      </c>
      <c r="K3102">
        <v>210.6</v>
      </c>
      <c r="L3102">
        <v>82</v>
      </c>
      <c r="M3102">
        <v>17.899999999999999</v>
      </c>
      <c r="N3102">
        <v>220.1</v>
      </c>
      <c r="O3102">
        <v>115</v>
      </c>
      <c r="P3102">
        <v>9.9</v>
      </c>
      <c r="Q3102">
        <v>12.4</v>
      </c>
      <c r="R3102">
        <v>3</v>
      </c>
      <c r="S3102">
        <v>3.35</v>
      </c>
      <c r="T3102">
        <v>0</v>
      </c>
      <c r="U3102" t="s">
        <v>22</v>
      </c>
      <c r="V3102" t="e">
        <f>IF(#REF! = "yes", 1, 0)</f>
        <v>#REF!</v>
      </c>
      <c r="W3102" t="e">
        <f>IF(#REF! &lt;= 1, "0-1 Calls", IF(#REF! &lt;= 3, "2-3 Calls", IF(#REF! &lt;=5, "4-5 Calls", "6+ Calls")))</f>
        <v>#REF!</v>
      </c>
      <c r="X3102" t="e">
        <f>IF(#REF! &lt;= 50, "0-50", IF(#REF! &lt;=100, "51-100", IF(#REF! &lt;= 150, "101-150", "151+")))</f>
        <v>#REF!</v>
      </c>
      <c r="Y3102" t="e">
        <f>IF(#REF! &lt;= 3, "Low Charges", "High Charges")</f>
        <v>#REF!</v>
      </c>
      <c r="Z3102" t="e">
        <f>IF(#REF!&lt;=80,"Low Calls",
IF(#REF!&lt;=120,"Medium Calls","High Calls"))</f>
        <v>#REF!</v>
      </c>
      <c r="AA3102" t="e">
        <f>IF(#REF!&lt;=15,"Low Charges",
IF(#REF!&lt;=20,"Medium Charges","High Charges"))</f>
        <v>#REF!</v>
      </c>
      <c r="AB3102" t="e">
        <f>IF(AND(#REF!&gt;180, #REF!&gt;200), "Heavy Doemstic User", IF(#REF!&gt;10, "Interntional User", IF(AND(#REF!&lt;180, #REF!&lt;200,#REF!&lt;200), "Light User", "Balanced User")))</f>
        <v>#REF!</v>
      </c>
      <c r="AC3102" t="e">
        <f>IF(#REF! = 0, "No Usage", IF(#REF! &lt;= 20, "Low Usage", IF(#REF! &lt;= 40, "Medium Usgae", "High Usage")))</f>
        <v>#REF!</v>
      </c>
      <c r="AD3102" t="e">
        <f>IF(#REF!&lt;=150,"Low Usage", IF(#REF!&lt;=200,"Medium Usage", IF(#REF!&lt;=250,"High Usage","Very High Usage")))</f>
        <v>#REF!</v>
      </c>
      <c r="AE3102" t="e">
        <f>IF(#REF!&lt;=5,"Low Calls", IF(#REF!&lt;=10, "Medium Calls", "High Calls"))</f>
        <v>#REF!</v>
      </c>
      <c r="AF3102" t="e">
        <f xml:space="preserve">
IF(#REF!&gt;=4,4,0)+
IF(#REF!="yes",3,0)+
IF(#REF!="High Charges",3,0)+
IF(#REF!&gt;250,4,0)+
IF(#REF!="no",1,0)+
IF(#REF!="Heavy Domestic User",2,0)</f>
        <v>#REF!</v>
      </c>
      <c r="AG3102" t="e">
        <f>IF(#REF!&gt;=10,"High Risk", IF(#REF!&gt;=5,"Medium Risk","Low Risk"))</f>
        <v>#REF!</v>
      </c>
      <c r="AH3102" t="e">
        <f>#REF! + #REF! + #REF! + #REF!</f>
        <v>#REF!</v>
      </c>
    </row>
    <row r="3103" spans="1:34" x14ac:dyDescent="0.35">
      <c r="A3103">
        <v>3102</v>
      </c>
      <c r="B3103" t="s">
        <v>58</v>
      </c>
      <c r="C3103">
        <v>98</v>
      </c>
      <c r="D3103" t="s">
        <v>28</v>
      </c>
      <c r="E3103" t="s">
        <v>22</v>
      </c>
      <c r="F3103" t="s">
        <v>22</v>
      </c>
      <c r="G3103">
        <v>0</v>
      </c>
      <c r="H3103">
        <v>167</v>
      </c>
      <c r="I3103">
        <v>60</v>
      </c>
      <c r="J3103">
        <v>28.39</v>
      </c>
      <c r="K3103">
        <v>125.1</v>
      </c>
      <c r="L3103">
        <v>65</v>
      </c>
      <c r="M3103">
        <v>10.63</v>
      </c>
      <c r="N3103">
        <v>262.5</v>
      </c>
      <c r="O3103">
        <v>100</v>
      </c>
      <c r="P3103">
        <v>11.81</v>
      </c>
      <c r="Q3103">
        <v>8.9</v>
      </c>
      <c r="R3103">
        <v>2</v>
      </c>
      <c r="S3103">
        <v>2.4</v>
      </c>
      <c r="T3103">
        <v>1</v>
      </c>
      <c r="U3103" t="s">
        <v>22</v>
      </c>
      <c r="V3103" t="e">
        <f>IF(#REF! = "yes", 1, 0)</f>
        <v>#REF!</v>
      </c>
      <c r="W3103" t="e">
        <f>IF(#REF! &lt;= 1, "0-1 Calls", IF(#REF! &lt;= 3, "2-3 Calls", IF(#REF! &lt;=5, "4-5 Calls", "6+ Calls")))</f>
        <v>#REF!</v>
      </c>
      <c r="X3103" t="e">
        <f>IF(#REF! &lt;= 50, "0-50", IF(#REF! &lt;=100, "51-100", IF(#REF! &lt;= 150, "101-150", "151+")))</f>
        <v>#REF!</v>
      </c>
      <c r="Y3103" t="e">
        <f>IF(#REF! &lt;= 3, "Low Charges", "High Charges")</f>
        <v>#REF!</v>
      </c>
      <c r="Z3103" t="e">
        <f>IF(#REF!&lt;=80,"Low Calls",
IF(#REF!&lt;=120,"Medium Calls","High Calls"))</f>
        <v>#REF!</v>
      </c>
      <c r="AA3103" t="e">
        <f>IF(#REF!&lt;=15,"Low Charges",
IF(#REF!&lt;=20,"Medium Charges","High Charges"))</f>
        <v>#REF!</v>
      </c>
      <c r="AB3103" t="e">
        <f>IF(AND(#REF!&gt;180, #REF!&gt;200), "Heavy Doemstic User", IF(#REF!&gt;10, "Interntional User", IF(AND(#REF!&lt;180, #REF!&lt;200,#REF!&lt;200), "Light User", "Balanced User")))</f>
        <v>#REF!</v>
      </c>
      <c r="AC3103" t="e">
        <f>IF(#REF! = 0, "No Usage", IF(#REF! &lt;= 20, "Low Usage", IF(#REF! &lt;= 40, "Medium Usgae", "High Usage")))</f>
        <v>#REF!</v>
      </c>
      <c r="AD3103" t="e">
        <f>IF(#REF!&lt;=150,"Low Usage", IF(#REF!&lt;=200,"Medium Usage", IF(#REF!&lt;=250,"High Usage","Very High Usage")))</f>
        <v>#REF!</v>
      </c>
      <c r="AE3103" t="e">
        <f>IF(#REF!&lt;=5,"Low Calls", IF(#REF!&lt;=10, "Medium Calls", "High Calls"))</f>
        <v>#REF!</v>
      </c>
      <c r="AF3103" t="e">
        <f xml:space="preserve">
IF(#REF!&gt;=4,4,0)+
IF(#REF!="yes",3,0)+
IF(#REF!="High Charges",3,0)+
IF(#REF!&gt;250,4,0)+
IF(#REF!="no",1,0)+
IF(#REF!="Heavy Domestic User",2,0)</f>
        <v>#REF!</v>
      </c>
      <c r="AG3103" t="e">
        <f>IF(#REF!&gt;=10,"High Risk", IF(#REF!&gt;=5,"Medium Risk","Low Risk"))</f>
        <v>#REF!</v>
      </c>
      <c r="AH3103" t="e">
        <f>#REF! + #REF! + #REF! + #REF!</f>
        <v>#REF!</v>
      </c>
    </row>
    <row r="3104" spans="1:34" x14ac:dyDescent="0.35">
      <c r="A3104">
        <v>3103</v>
      </c>
      <c r="B3104" t="s">
        <v>35</v>
      </c>
      <c r="C3104">
        <v>94</v>
      </c>
      <c r="D3104" t="s">
        <v>28</v>
      </c>
      <c r="E3104" t="s">
        <v>22</v>
      </c>
      <c r="F3104" t="s">
        <v>22</v>
      </c>
      <c r="G3104">
        <v>0</v>
      </c>
      <c r="H3104">
        <v>210.2</v>
      </c>
      <c r="I3104">
        <v>95</v>
      </c>
      <c r="J3104">
        <v>35.729999999999997</v>
      </c>
      <c r="K3104">
        <v>191.2</v>
      </c>
      <c r="L3104">
        <v>87</v>
      </c>
      <c r="M3104">
        <v>16.25</v>
      </c>
      <c r="N3104">
        <v>150.80000000000001</v>
      </c>
      <c r="O3104">
        <v>111</v>
      </c>
      <c r="P3104">
        <v>6.79</v>
      </c>
      <c r="Q3104">
        <v>9.4</v>
      </c>
      <c r="R3104">
        <v>3</v>
      </c>
      <c r="S3104">
        <v>2.54</v>
      </c>
      <c r="T3104">
        <v>2</v>
      </c>
      <c r="U3104" t="s">
        <v>22</v>
      </c>
      <c r="V3104" t="e">
        <f>IF(#REF! = "yes", 1, 0)</f>
        <v>#REF!</v>
      </c>
      <c r="W3104" t="e">
        <f>IF(#REF! &lt;= 1, "0-1 Calls", IF(#REF! &lt;= 3, "2-3 Calls", IF(#REF! &lt;=5, "4-5 Calls", "6+ Calls")))</f>
        <v>#REF!</v>
      </c>
      <c r="X3104" t="e">
        <f>IF(#REF! &lt;= 50, "0-50", IF(#REF! &lt;=100, "51-100", IF(#REF! &lt;= 150, "101-150", "151+")))</f>
        <v>#REF!</v>
      </c>
      <c r="Y3104" t="e">
        <f>IF(#REF! &lt;= 3, "Low Charges", "High Charges")</f>
        <v>#REF!</v>
      </c>
      <c r="Z3104" t="e">
        <f>IF(#REF!&lt;=80,"Low Calls",
IF(#REF!&lt;=120,"Medium Calls","High Calls"))</f>
        <v>#REF!</v>
      </c>
      <c r="AA3104" t="e">
        <f>IF(#REF!&lt;=15,"Low Charges",
IF(#REF!&lt;=20,"Medium Charges","High Charges"))</f>
        <v>#REF!</v>
      </c>
      <c r="AB3104" t="e">
        <f>IF(AND(#REF!&gt;180, #REF!&gt;200), "Heavy Doemstic User", IF(#REF!&gt;10, "Interntional User", IF(AND(#REF!&lt;180, #REF!&lt;200,#REF!&lt;200), "Light User", "Balanced User")))</f>
        <v>#REF!</v>
      </c>
      <c r="AC3104" t="e">
        <f>IF(#REF! = 0, "No Usage", IF(#REF! &lt;= 20, "Low Usage", IF(#REF! &lt;= 40, "Medium Usgae", "High Usage")))</f>
        <v>#REF!</v>
      </c>
      <c r="AD3104" t="e">
        <f>IF(#REF!&lt;=150,"Low Usage", IF(#REF!&lt;=200,"Medium Usage", IF(#REF!&lt;=250,"High Usage","Very High Usage")))</f>
        <v>#REF!</v>
      </c>
      <c r="AE3104" t="e">
        <f>IF(#REF!&lt;=5,"Low Calls", IF(#REF!&lt;=10, "Medium Calls", "High Calls"))</f>
        <v>#REF!</v>
      </c>
      <c r="AF3104" t="e">
        <f xml:space="preserve">
IF(#REF!&gt;=4,4,0)+
IF(#REF!="yes",3,0)+
IF(#REF!="High Charges",3,0)+
IF(#REF!&gt;250,4,0)+
IF(#REF!="no",1,0)+
IF(#REF!="Heavy Domestic User",2,0)</f>
        <v>#REF!</v>
      </c>
      <c r="AG3104" t="e">
        <f>IF(#REF!&gt;=10,"High Risk", IF(#REF!&gt;=5,"Medium Risk","Low Risk"))</f>
        <v>#REF!</v>
      </c>
      <c r="AH3104" t="e">
        <f>#REF! + #REF! + #REF! + #REF!</f>
        <v>#REF!</v>
      </c>
    </row>
    <row r="3105" spans="1:34" x14ac:dyDescent="0.35">
      <c r="A3105">
        <v>3104</v>
      </c>
      <c r="B3105" t="s">
        <v>62</v>
      </c>
      <c r="C3105">
        <v>100</v>
      </c>
      <c r="D3105" t="s">
        <v>21</v>
      </c>
      <c r="E3105" t="s">
        <v>22</v>
      </c>
      <c r="F3105" t="s">
        <v>23</v>
      </c>
      <c r="G3105">
        <v>39</v>
      </c>
      <c r="H3105">
        <v>204.9</v>
      </c>
      <c r="I3105">
        <v>74</v>
      </c>
      <c r="J3105">
        <v>34.83</v>
      </c>
      <c r="K3105">
        <v>210.2</v>
      </c>
      <c r="L3105">
        <v>80</v>
      </c>
      <c r="M3105">
        <v>17.87</v>
      </c>
      <c r="N3105">
        <v>168.8</v>
      </c>
      <c r="O3105">
        <v>89</v>
      </c>
      <c r="P3105">
        <v>7.6</v>
      </c>
      <c r="Q3105">
        <v>11.2</v>
      </c>
      <c r="R3105">
        <v>4</v>
      </c>
      <c r="S3105">
        <v>3.02</v>
      </c>
      <c r="T3105">
        <v>2</v>
      </c>
      <c r="U3105" t="s">
        <v>22</v>
      </c>
      <c r="V3105" t="e">
        <f>IF(#REF! = "yes", 1, 0)</f>
        <v>#REF!</v>
      </c>
      <c r="W3105" t="e">
        <f>IF(#REF! &lt;= 1, "0-1 Calls", IF(#REF! &lt;= 3, "2-3 Calls", IF(#REF! &lt;=5, "4-5 Calls", "6+ Calls")))</f>
        <v>#REF!</v>
      </c>
      <c r="X3105" t="e">
        <f>IF(#REF! &lt;= 50, "0-50", IF(#REF! &lt;=100, "51-100", IF(#REF! &lt;= 150, "101-150", "151+")))</f>
        <v>#REF!</v>
      </c>
      <c r="Y3105" t="e">
        <f>IF(#REF! &lt;= 3, "Low Charges", "High Charges")</f>
        <v>#REF!</v>
      </c>
      <c r="Z3105" t="e">
        <f>IF(#REF!&lt;=80,"Low Calls",
IF(#REF!&lt;=120,"Medium Calls","High Calls"))</f>
        <v>#REF!</v>
      </c>
      <c r="AA3105" t="e">
        <f>IF(#REF!&lt;=15,"Low Charges",
IF(#REF!&lt;=20,"Medium Charges","High Charges"))</f>
        <v>#REF!</v>
      </c>
      <c r="AB3105" t="e">
        <f>IF(AND(#REF!&gt;180, #REF!&gt;200), "Heavy Doemstic User", IF(#REF!&gt;10, "Interntional User", IF(AND(#REF!&lt;180, #REF!&lt;200,#REF!&lt;200), "Light User", "Balanced User")))</f>
        <v>#REF!</v>
      </c>
      <c r="AC3105" t="e">
        <f>IF(#REF! = 0, "No Usage", IF(#REF! &lt;= 20, "Low Usage", IF(#REF! &lt;= 40, "Medium Usgae", "High Usage")))</f>
        <v>#REF!</v>
      </c>
      <c r="AD3105" t="e">
        <f>IF(#REF!&lt;=150,"Low Usage", IF(#REF!&lt;=200,"Medium Usage", IF(#REF!&lt;=250,"High Usage","Very High Usage")))</f>
        <v>#REF!</v>
      </c>
      <c r="AE3105" t="e">
        <f>IF(#REF!&lt;=5,"Low Calls", IF(#REF!&lt;=10, "Medium Calls", "High Calls"))</f>
        <v>#REF!</v>
      </c>
      <c r="AF3105" t="e">
        <f xml:space="preserve">
IF(#REF!&gt;=4,4,0)+
IF(#REF!="yes",3,0)+
IF(#REF!="High Charges",3,0)+
IF(#REF!&gt;250,4,0)+
IF(#REF!="no",1,0)+
IF(#REF!="Heavy Domestic User",2,0)</f>
        <v>#REF!</v>
      </c>
      <c r="AG3105" t="e">
        <f>IF(#REF!&gt;=10,"High Risk", IF(#REF!&gt;=5,"Medium Risk","Low Risk"))</f>
        <v>#REF!</v>
      </c>
      <c r="AH3105" t="e">
        <f>#REF! + #REF! + #REF! + #REF!</f>
        <v>#REF!</v>
      </c>
    </row>
    <row r="3106" spans="1:34" x14ac:dyDescent="0.35">
      <c r="A3106">
        <v>3105</v>
      </c>
      <c r="B3106" t="s">
        <v>43</v>
      </c>
      <c r="C3106">
        <v>125</v>
      </c>
      <c r="D3106" t="s">
        <v>28</v>
      </c>
      <c r="E3106" t="s">
        <v>22</v>
      </c>
      <c r="F3106" t="s">
        <v>22</v>
      </c>
      <c r="G3106">
        <v>0</v>
      </c>
      <c r="H3106">
        <v>184.1</v>
      </c>
      <c r="I3106">
        <v>105</v>
      </c>
      <c r="J3106">
        <v>31.3</v>
      </c>
      <c r="K3106">
        <v>126.7</v>
      </c>
      <c r="L3106">
        <v>123</v>
      </c>
      <c r="M3106">
        <v>10.77</v>
      </c>
      <c r="N3106">
        <v>241.5</v>
      </c>
      <c r="O3106">
        <v>94</v>
      </c>
      <c r="P3106">
        <v>10.87</v>
      </c>
      <c r="Q3106">
        <v>4.7</v>
      </c>
      <c r="R3106">
        <v>6</v>
      </c>
      <c r="S3106">
        <v>1.27</v>
      </c>
      <c r="T3106">
        <v>1</v>
      </c>
      <c r="U3106" t="s">
        <v>22</v>
      </c>
      <c r="V3106" t="e">
        <f>IF(#REF! = "yes", 1, 0)</f>
        <v>#REF!</v>
      </c>
      <c r="W3106" t="e">
        <f>IF(#REF! &lt;= 1, "0-1 Calls", IF(#REF! &lt;= 3, "2-3 Calls", IF(#REF! &lt;=5, "4-5 Calls", "6+ Calls")))</f>
        <v>#REF!</v>
      </c>
      <c r="X3106" t="e">
        <f>IF(#REF! &lt;= 50, "0-50", IF(#REF! &lt;=100, "51-100", IF(#REF! &lt;= 150, "101-150", "151+")))</f>
        <v>#REF!</v>
      </c>
      <c r="Y3106" t="e">
        <f>IF(#REF! &lt;= 3, "Low Charges", "High Charges")</f>
        <v>#REF!</v>
      </c>
      <c r="Z3106" t="e">
        <f>IF(#REF!&lt;=80,"Low Calls",
IF(#REF!&lt;=120,"Medium Calls","High Calls"))</f>
        <v>#REF!</v>
      </c>
      <c r="AA3106" t="e">
        <f>IF(#REF!&lt;=15,"Low Charges",
IF(#REF!&lt;=20,"Medium Charges","High Charges"))</f>
        <v>#REF!</v>
      </c>
      <c r="AB3106" t="e">
        <f>IF(AND(#REF!&gt;180, #REF!&gt;200), "Heavy Doemstic User", IF(#REF!&gt;10, "Interntional User", IF(AND(#REF!&lt;180, #REF!&lt;200,#REF!&lt;200), "Light User", "Balanced User")))</f>
        <v>#REF!</v>
      </c>
      <c r="AC3106" t="e">
        <f>IF(#REF! = 0, "No Usage", IF(#REF! &lt;= 20, "Low Usage", IF(#REF! &lt;= 40, "Medium Usgae", "High Usage")))</f>
        <v>#REF!</v>
      </c>
      <c r="AD3106" t="e">
        <f>IF(#REF!&lt;=150,"Low Usage", IF(#REF!&lt;=200,"Medium Usage", IF(#REF!&lt;=250,"High Usage","Very High Usage")))</f>
        <v>#REF!</v>
      </c>
      <c r="AE3106" t="e">
        <f>IF(#REF!&lt;=5,"Low Calls", IF(#REF!&lt;=10, "Medium Calls", "High Calls"))</f>
        <v>#REF!</v>
      </c>
      <c r="AF3106" t="e">
        <f xml:space="preserve">
IF(#REF!&gt;=4,4,0)+
IF(#REF!="yes",3,0)+
IF(#REF!="High Charges",3,0)+
IF(#REF!&gt;250,4,0)+
IF(#REF!="no",1,0)+
IF(#REF!="Heavy Domestic User",2,0)</f>
        <v>#REF!</v>
      </c>
      <c r="AG3106" t="e">
        <f>IF(#REF!&gt;=10,"High Risk", IF(#REF!&gt;=5,"Medium Risk","Low Risk"))</f>
        <v>#REF!</v>
      </c>
      <c r="AH3106" t="e">
        <f>#REF! + #REF! + #REF! + #REF!</f>
        <v>#REF!</v>
      </c>
    </row>
    <row r="3107" spans="1:34" x14ac:dyDescent="0.35">
      <c r="A3107">
        <v>3106</v>
      </c>
      <c r="B3107" t="s">
        <v>38</v>
      </c>
      <c r="C3107">
        <v>81</v>
      </c>
      <c r="D3107" t="s">
        <v>28</v>
      </c>
      <c r="E3107" t="s">
        <v>22</v>
      </c>
      <c r="F3107" t="s">
        <v>22</v>
      </c>
      <c r="G3107">
        <v>0</v>
      </c>
      <c r="H3107">
        <v>263.8</v>
      </c>
      <c r="I3107">
        <v>84</v>
      </c>
      <c r="J3107">
        <v>44.85</v>
      </c>
      <c r="K3107">
        <v>162.80000000000001</v>
      </c>
      <c r="L3107">
        <v>107</v>
      </c>
      <c r="M3107">
        <v>13.84</v>
      </c>
      <c r="N3107">
        <v>149.69999999999999</v>
      </c>
      <c r="O3107">
        <v>94</v>
      </c>
      <c r="P3107">
        <v>6.74</v>
      </c>
      <c r="Q3107">
        <v>8.6999999999999993</v>
      </c>
      <c r="R3107">
        <v>6</v>
      </c>
      <c r="S3107">
        <v>2.35</v>
      </c>
      <c r="T3107">
        <v>2</v>
      </c>
      <c r="U3107" t="s">
        <v>22</v>
      </c>
      <c r="V3107" t="e">
        <f>IF(#REF! = "yes", 1, 0)</f>
        <v>#REF!</v>
      </c>
      <c r="W3107" t="e">
        <f>IF(#REF! &lt;= 1, "0-1 Calls", IF(#REF! &lt;= 3, "2-3 Calls", IF(#REF! &lt;=5, "4-5 Calls", "6+ Calls")))</f>
        <v>#REF!</v>
      </c>
      <c r="X3107" t="e">
        <f>IF(#REF! &lt;= 50, "0-50", IF(#REF! &lt;=100, "51-100", IF(#REF! &lt;= 150, "101-150", "151+")))</f>
        <v>#REF!</v>
      </c>
      <c r="Y3107" t="e">
        <f>IF(#REF! &lt;= 3, "Low Charges", "High Charges")</f>
        <v>#REF!</v>
      </c>
      <c r="Z3107" t="e">
        <f>IF(#REF!&lt;=80,"Low Calls",
IF(#REF!&lt;=120,"Medium Calls","High Calls"))</f>
        <v>#REF!</v>
      </c>
      <c r="AA3107" t="e">
        <f>IF(#REF!&lt;=15,"Low Charges",
IF(#REF!&lt;=20,"Medium Charges","High Charges"))</f>
        <v>#REF!</v>
      </c>
      <c r="AB3107" t="e">
        <f>IF(AND(#REF!&gt;180, #REF!&gt;200), "Heavy Doemstic User", IF(#REF!&gt;10, "Interntional User", IF(AND(#REF!&lt;180, #REF!&lt;200,#REF!&lt;200), "Light User", "Balanced User")))</f>
        <v>#REF!</v>
      </c>
      <c r="AC3107" t="e">
        <f>IF(#REF! = 0, "No Usage", IF(#REF! &lt;= 20, "Low Usage", IF(#REF! &lt;= 40, "Medium Usgae", "High Usage")))</f>
        <v>#REF!</v>
      </c>
      <c r="AD3107" t="e">
        <f>IF(#REF!&lt;=150,"Low Usage", IF(#REF!&lt;=200,"Medium Usage", IF(#REF!&lt;=250,"High Usage","Very High Usage")))</f>
        <v>#REF!</v>
      </c>
      <c r="AE3107" t="e">
        <f>IF(#REF!&lt;=5,"Low Calls", IF(#REF!&lt;=10, "Medium Calls", "High Calls"))</f>
        <v>#REF!</v>
      </c>
      <c r="AF3107" t="e">
        <f xml:space="preserve">
IF(#REF!&gt;=4,4,0)+
IF(#REF!="yes",3,0)+
IF(#REF!="High Charges",3,0)+
IF(#REF!&gt;250,4,0)+
IF(#REF!="no",1,0)+
IF(#REF!="Heavy Domestic User",2,0)</f>
        <v>#REF!</v>
      </c>
      <c r="AG3107" t="e">
        <f>IF(#REF!&gt;=10,"High Risk", IF(#REF!&gt;=5,"Medium Risk","Low Risk"))</f>
        <v>#REF!</v>
      </c>
      <c r="AH3107" t="e">
        <f>#REF! + #REF! + #REF! + #REF!</f>
        <v>#REF!</v>
      </c>
    </row>
    <row r="3108" spans="1:34" x14ac:dyDescent="0.35">
      <c r="A3108">
        <v>3107</v>
      </c>
      <c r="B3108" t="s">
        <v>33</v>
      </c>
      <c r="C3108">
        <v>94</v>
      </c>
      <c r="D3108" t="s">
        <v>21</v>
      </c>
      <c r="E3108" t="s">
        <v>22</v>
      </c>
      <c r="F3108" t="s">
        <v>22</v>
      </c>
      <c r="G3108">
        <v>0</v>
      </c>
      <c r="H3108">
        <v>142.30000000000001</v>
      </c>
      <c r="I3108">
        <v>50</v>
      </c>
      <c r="J3108">
        <v>24.19</v>
      </c>
      <c r="K3108">
        <v>231.5</v>
      </c>
      <c r="L3108">
        <v>142</v>
      </c>
      <c r="M3108">
        <v>19.68</v>
      </c>
      <c r="N3108">
        <v>205.6</v>
      </c>
      <c r="O3108">
        <v>79</v>
      </c>
      <c r="P3108">
        <v>9.25</v>
      </c>
      <c r="Q3108">
        <v>5.5</v>
      </c>
      <c r="R3108">
        <v>3</v>
      </c>
      <c r="S3108">
        <v>1.49</v>
      </c>
      <c r="T3108">
        <v>1</v>
      </c>
      <c r="U3108" t="s">
        <v>22</v>
      </c>
      <c r="V3108" t="e">
        <f>IF(#REF! = "yes", 1, 0)</f>
        <v>#REF!</v>
      </c>
      <c r="W3108" t="e">
        <f>IF(#REF! &lt;= 1, "0-1 Calls", IF(#REF! &lt;= 3, "2-3 Calls", IF(#REF! &lt;=5, "4-5 Calls", "6+ Calls")))</f>
        <v>#REF!</v>
      </c>
      <c r="X3108" t="e">
        <f>IF(#REF! &lt;= 50, "0-50", IF(#REF! &lt;=100, "51-100", IF(#REF! &lt;= 150, "101-150", "151+")))</f>
        <v>#REF!</v>
      </c>
      <c r="Y3108" t="e">
        <f>IF(#REF! &lt;= 3, "Low Charges", "High Charges")</f>
        <v>#REF!</v>
      </c>
      <c r="Z3108" t="e">
        <f>IF(#REF!&lt;=80,"Low Calls",
IF(#REF!&lt;=120,"Medium Calls","High Calls"))</f>
        <v>#REF!</v>
      </c>
      <c r="AA3108" t="e">
        <f>IF(#REF!&lt;=15,"Low Charges",
IF(#REF!&lt;=20,"Medium Charges","High Charges"))</f>
        <v>#REF!</v>
      </c>
      <c r="AB3108" t="e">
        <f>IF(AND(#REF!&gt;180, #REF!&gt;200), "Heavy Doemstic User", IF(#REF!&gt;10, "Interntional User", IF(AND(#REF!&lt;180, #REF!&lt;200,#REF!&lt;200), "Light User", "Balanced User")))</f>
        <v>#REF!</v>
      </c>
      <c r="AC3108" t="e">
        <f>IF(#REF! = 0, "No Usage", IF(#REF! &lt;= 20, "Low Usage", IF(#REF! &lt;= 40, "Medium Usgae", "High Usage")))</f>
        <v>#REF!</v>
      </c>
      <c r="AD3108" t="e">
        <f>IF(#REF!&lt;=150,"Low Usage", IF(#REF!&lt;=200,"Medium Usage", IF(#REF!&lt;=250,"High Usage","Very High Usage")))</f>
        <v>#REF!</v>
      </c>
      <c r="AE3108" t="e">
        <f>IF(#REF!&lt;=5,"Low Calls", IF(#REF!&lt;=10, "Medium Calls", "High Calls"))</f>
        <v>#REF!</v>
      </c>
      <c r="AF3108" t="e">
        <f xml:space="preserve">
IF(#REF!&gt;=4,4,0)+
IF(#REF!="yes",3,0)+
IF(#REF!="High Charges",3,0)+
IF(#REF!&gt;250,4,0)+
IF(#REF!="no",1,0)+
IF(#REF!="Heavy Domestic User",2,0)</f>
        <v>#REF!</v>
      </c>
      <c r="AG3108" t="e">
        <f>IF(#REF!&gt;=10,"High Risk", IF(#REF!&gt;=5,"Medium Risk","Low Risk"))</f>
        <v>#REF!</v>
      </c>
      <c r="AH3108" t="e">
        <f>#REF! + #REF! + #REF! + #REF!</f>
        <v>#REF!</v>
      </c>
    </row>
    <row r="3109" spans="1:34" x14ac:dyDescent="0.35">
      <c r="A3109">
        <v>3108</v>
      </c>
      <c r="B3109" t="s">
        <v>31</v>
      </c>
      <c r="C3109">
        <v>57</v>
      </c>
      <c r="D3109" t="s">
        <v>21</v>
      </c>
      <c r="E3109" t="s">
        <v>22</v>
      </c>
      <c r="F3109" t="s">
        <v>22</v>
      </c>
      <c r="G3109">
        <v>0</v>
      </c>
      <c r="H3109">
        <v>167.1</v>
      </c>
      <c r="I3109">
        <v>103</v>
      </c>
      <c r="J3109">
        <v>28.41</v>
      </c>
      <c r="K3109">
        <v>188.4</v>
      </c>
      <c r="L3109">
        <v>112</v>
      </c>
      <c r="M3109">
        <v>16.010000000000002</v>
      </c>
      <c r="N3109">
        <v>111.4</v>
      </c>
      <c r="O3109">
        <v>74</v>
      </c>
      <c r="P3109">
        <v>5.01</v>
      </c>
      <c r="Q3109">
        <v>9.1</v>
      </c>
      <c r="R3109">
        <v>2</v>
      </c>
      <c r="S3109">
        <v>2.46</v>
      </c>
      <c r="T3109">
        <v>1</v>
      </c>
      <c r="U3109" t="s">
        <v>22</v>
      </c>
      <c r="V3109" t="e">
        <f>IF(#REF! = "yes", 1, 0)</f>
        <v>#REF!</v>
      </c>
      <c r="W3109" t="e">
        <f>IF(#REF! &lt;= 1, "0-1 Calls", IF(#REF! &lt;= 3, "2-3 Calls", IF(#REF! &lt;=5, "4-5 Calls", "6+ Calls")))</f>
        <v>#REF!</v>
      </c>
      <c r="X3109" t="e">
        <f>IF(#REF! &lt;= 50, "0-50", IF(#REF! &lt;=100, "51-100", IF(#REF! &lt;= 150, "101-150", "151+")))</f>
        <v>#REF!</v>
      </c>
      <c r="Y3109" t="e">
        <f>IF(#REF! &lt;= 3, "Low Charges", "High Charges")</f>
        <v>#REF!</v>
      </c>
      <c r="Z3109" t="e">
        <f>IF(#REF!&lt;=80,"Low Calls",
IF(#REF!&lt;=120,"Medium Calls","High Calls"))</f>
        <v>#REF!</v>
      </c>
      <c r="AA3109" t="e">
        <f>IF(#REF!&lt;=15,"Low Charges",
IF(#REF!&lt;=20,"Medium Charges","High Charges"))</f>
        <v>#REF!</v>
      </c>
      <c r="AB3109" t="e">
        <f>IF(AND(#REF!&gt;180, #REF!&gt;200), "Heavy Doemstic User", IF(#REF!&gt;10, "Interntional User", IF(AND(#REF!&lt;180, #REF!&lt;200,#REF!&lt;200), "Light User", "Balanced User")))</f>
        <v>#REF!</v>
      </c>
      <c r="AC3109" t="e">
        <f>IF(#REF! = 0, "No Usage", IF(#REF! &lt;= 20, "Low Usage", IF(#REF! &lt;= 40, "Medium Usgae", "High Usage")))</f>
        <v>#REF!</v>
      </c>
      <c r="AD3109" t="e">
        <f>IF(#REF!&lt;=150,"Low Usage", IF(#REF!&lt;=200,"Medium Usage", IF(#REF!&lt;=250,"High Usage","Very High Usage")))</f>
        <v>#REF!</v>
      </c>
      <c r="AE3109" t="e">
        <f>IF(#REF!&lt;=5,"Low Calls", IF(#REF!&lt;=10, "Medium Calls", "High Calls"))</f>
        <v>#REF!</v>
      </c>
      <c r="AF3109" t="e">
        <f xml:space="preserve">
IF(#REF!&gt;=4,4,0)+
IF(#REF!="yes",3,0)+
IF(#REF!="High Charges",3,0)+
IF(#REF!&gt;250,4,0)+
IF(#REF!="no",1,0)+
IF(#REF!="Heavy Domestic User",2,0)</f>
        <v>#REF!</v>
      </c>
      <c r="AG3109" t="e">
        <f>IF(#REF!&gt;=10,"High Risk", IF(#REF!&gt;=5,"Medium Risk","Low Risk"))</f>
        <v>#REF!</v>
      </c>
      <c r="AH3109" t="e">
        <f>#REF! + #REF! + #REF! + #REF!</f>
        <v>#REF!</v>
      </c>
    </row>
    <row r="3110" spans="1:34" x14ac:dyDescent="0.35">
      <c r="A3110">
        <v>3109</v>
      </c>
      <c r="B3110" t="s">
        <v>66</v>
      </c>
      <c r="C3110">
        <v>140</v>
      </c>
      <c r="D3110" t="s">
        <v>28</v>
      </c>
      <c r="E3110" t="s">
        <v>22</v>
      </c>
      <c r="F3110" t="s">
        <v>22</v>
      </c>
      <c r="G3110">
        <v>0</v>
      </c>
      <c r="H3110">
        <v>148.30000000000001</v>
      </c>
      <c r="I3110">
        <v>86</v>
      </c>
      <c r="J3110">
        <v>25.21</v>
      </c>
      <c r="K3110">
        <v>184.2</v>
      </c>
      <c r="L3110">
        <v>151</v>
      </c>
      <c r="M3110">
        <v>15.66</v>
      </c>
      <c r="N3110">
        <v>179.1</v>
      </c>
      <c r="O3110">
        <v>83</v>
      </c>
      <c r="P3110">
        <v>8.06</v>
      </c>
      <c r="Q3110">
        <v>10.9</v>
      </c>
      <c r="R3110">
        <v>4</v>
      </c>
      <c r="S3110">
        <v>2.94</v>
      </c>
      <c r="T3110">
        <v>0</v>
      </c>
      <c r="U3110" t="s">
        <v>22</v>
      </c>
      <c r="V3110" t="e">
        <f>IF(#REF! = "yes", 1, 0)</f>
        <v>#REF!</v>
      </c>
      <c r="W3110" t="e">
        <f>IF(#REF! &lt;= 1, "0-1 Calls", IF(#REF! &lt;= 3, "2-3 Calls", IF(#REF! &lt;=5, "4-5 Calls", "6+ Calls")))</f>
        <v>#REF!</v>
      </c>
      <c r="X3110" t="e">
        <f>IF(#REF! &lt;= 50, "0-50", IF(#REF! &lt;=100, "51-100", IF(#REF! &lt;= 150, "101-150", "151+")))</f>
        <v>#REF!</v>
      </c>
      <c r="Y3110" t="e">
        <f>IF(#REF! &lt;= 3, "Low Charges", "High Charges")</f>
        <v>#REF!</v>
      </c>
      <c r="Z3110" t="e">
        <f>IF(#REF!&lt;=80,"Low Calls",
IF(#REF!&lt;=120,"Medium Calls","High Calls"))</f>
        <v>#REF!</v>
      </c>
      <c r="AA3110" t="e">
        <f>IF(#REF!&lt;=15,"Low Charges",
IF(#REF!&lt;=20,"Medium Charges","High Charges"))</f>
        <v>#REF!</v>
      </c>
      <c r="AB3110" t="e">
        <f>IF(AND(#REF!&gt;180, #REF!&gt;200), "Heavy Doemstic User", IF(#REF!&gt;10, "Interntional User", IF(AND(#REF!&lt;180, #REF!&lt;200,#REF!&lt;200), "Light User", "Balanced User")))</f>
        <v>#REF!</v>
      </c>
      <c r="AC3110" t="e">
        <f>IF(#REF! = 0, "No Usage", IF(#REF! &lt;= 20, "Low Usage", IF(#REF! &lt;= 40, "Medium Usgae", "High Usage")))</f>
        <v>#REF!</v>
      </c>
      <c r="AD3110" t="e">
        <f>IF(#REF!&lt;=150,"Low Usage", IF(#REF!&lt;=200,"Medium Usage", IF(#REF!&lt;=250,"High Usage","Very High Usage")))</f>
        <v>#REF!</v>
      </c>
      <c r="AE3110" t="e">
        <f>IF(#REF!&lt;=5,"Low Calls", IF(#REF!&lt;=10, "Medium Calls", "High Calls"))</f>
        <v>#REF!</v>
      </c>
      <c r="AF3110" t="e">
        <f xml:space="preserve">
IF(#REF!&gt;=4,4,0)+
IF(#REF!="yes",3,0)+
IF(#REF!="High Charges",3,0)+
IF(#REF!&gt;250,4,0)+
IF(#REF!="no",1,0)+
IF(#REF!="Heavy Domestic User",2,0)</f>
        <v>#REF!</v>
      </c>
      <c r="AG3110" t="e">
        <f>IF(#REF!&gt;=10,"High Risk", IF(#REF!&gt;=5,"Medium Risk","Low Risk"))</f>
        <v>#REF!</v>
      </c>
      <c r="AH3110" t="e">
        <f>#REF! + #REF! + #REF! + #REF!</f>
        <v>#REF!</v>
      </c>
    </row>
    <row r="3111" spans="1:34" x14ac:dyDescent="0.35">
      <c r="A3111">
        <v>3110</v>
      </c>
      <c r="B3111" t="s">
        <v>68</v>
      </c>
      <c r="C3111">
        <v>64</v>
      </c>
      <c r="D3111" t="s">
        <v>28</v>
      </c>
      <c r="E3111" t="s">
        <v>22</v>
      </c>
      <c r="F3111" t="s">
        <v>22</v>
      </c>
      <c r="G3111">
        <v>0</v>
      </c>
      <c r="H3111">
        <v>297.8</v>
      </c>
      <c r="I3111">
        <v>88</v>
      </c>
      <c r="J3111">
        <v>50.63</v>
      </c>
      <c r="K3111">
        <v>196</v>
      </c>
      <c r="L3111">
        <v>89</v>
      </c>
      <c r="M3111">
        <v>16.66</v>
      </c>
      <c r="N3111">
        <v>213.7</v>
      </c>
      <c r="O3111">
        <v>107</v>
      </c>
      <c r="P3111">
        <v>9.6199999999999992</v>
      </c>
      <c r="Q3111">
        <v>12</v>
      </c>
      <c r="R3111">
        <v>2</v>
      </c>
      <c r="S3111">
        <v>3.24</v>
      </c>
      <c r="T3111">
        <v>1</v>
      </c>
      <c r="U3111" t="s">
        <v>23</v>
      </c>
      <c r="V3111" t="e">
        <f>IF(#REF! = "yes", 1, 0)</f>
        <v>#REF!</v>
      </c>
      <c r="W3111" t="e">
        <f>IF(#REF! &lt;= 1, "0-1 Calls", IF(#REF! &lt;= 3, "2-3 Calls", IF(#REF! &lt;=5, "4-5 Calls", "6+ Calls")))</f>
        <v>#REF!</v>
      </c>
      <c r="X3111" t="e">
        <f>IF(#REF! &lt;= 50, "0-50", IF(#REF! &lt;=100, "51-100", IF(#REF! &lt;= 150, "101-150", "151+")))</f>
        <v>#REF!</v>
      </c>
      <c r="Y3111" t="e">
        <f>IF(#REF! &lt;= 3, "Low Charges", "High Charges")</f>
        <v>#REF!</v>
      </c>
      <c r="Z3111" t="e">
        <f>IF(#REF!&lt;=80,"Low Calls",
IF(#REF!&lt;=120,"Medium Calls","High Calls"))</f>
        <v>#REF!</v>
      </c>
      <c r="AA3111" t="e">
        <f>IF(#REF!&lt;=15,"Low Charges",
IF(#REF!&lt;=20,"Medium Charges","High Charges"))</f>
        <v>#REF!</v>
      </c>
      <c r="AB3111" t="e">
        <f>IF(AND(#REF!&gt;180, #REF!&gt;200), "Heavy Doemstic User", IF(#REF!&gt;10, "Interntional User", IF(AND(#REF!&lt;180, #REF!&lt;200,#REF!&lt;200), "Light User", "Balanced User")))</f>
        <v>#REF!</v>
      </c>
      <c r="AC3111" t="e">
        <f>IF(#REF! = 0, "No Usage", IF(#REF! &lt;= 20, "Low Usage", IF(#REF! &lt;= 40, "Medium Usgae", "High Usage")))</f>
        <v>#REF!</v>
      </c>
      <c r="AD3111" t="e">
        <f>IF(#REF!&lt;=150,"Low Usage", IF(#REF!&lt;=200,"Medium Usage", IF(#REF!&lt;=250,"High Usage","Very High Usage")))</f>
        <v>#REF!</v>
      </c>
      <c r="AE3111" t="e">
        <f>IF(#REF!&lt;=5,"Low Calls", IF(#REF!&lt;=10, "Medium Calls", "High Calls"))</f>
        <v>#REF!</v>
      </c>
      <c r="AF3111" t="e">
        <f xml:space="preserve">
IF(#REF!&gt;=4,4,0)+
IF(#REF!="yes",3,0)+
IF(#REF!="High Charges",3,0)+
IF(#REF!&gt;250,4,0)+
IF(#REF!="no",1,0)+
IF(#REF!="Heavy Domestic User",2,0)</f>
        <v>#REF!</v>
      </c>
      <c r="AG3111" t="e">
        <f>IF(#REF!&gt;=10,"High Risk", IF(#REF!&gt;=5,"Medium Risk","Low Risk"))</f>
        <v>#REF!</v>
      </c>
      <c r="AH3111" t="e">
        <f>#REF! + #REF! + #REF! + #REF!</f>
        <v>#REF!</v>
      </c>
    </row>
    <row r="3112" spans="1:34" x14ac:dyDescent="0.35">
      <c r="A3112">
        <v>3111</v>
      </c>
      <c r="B3112" t="s">
        <v>58</v>
      </c>
      <c r="C3112">
        <v>52</v>
      </c>
      <c r="D3112" t="s">
        <v>25</v>
      </c>
      <c r="E3112" t="s">
        <v>23</v>
      </c>
      <c r="F3112" t="s">
        <v>22</v>
      </c>
      <c r="G3112">
        <v>0</v>
      </c>
      <c r="H3112">
        <v>144.5</v>
      </c>
      <c r="I3112">
        <v>60</v>
      </c>
      <c r="J3112">
        <v>24.57</v>
      </c>
      <c r="K3112">
        <v>296.5</v>
      </c>
      <c r="L3112">
        <v>129</v>
      </c>
      <c r="M3112">
        <v>25.2</v>
      </c>
      <c r="N3112">
        <v>194.3</v>
      </c>
      <c r="O3112">
        <v>117</v>
      </c>
      <c r="P3112">
        <v>8.74</v>
      </c>
      <c r="Q3112">
        <v>12.4</v>
      </c>
      <c r="R3112">
        <v>3</v>
      </c>
      <c r="S3112">
        <v>3.35</v>
      </c>
      <c r="T3112">
        <v>1</v>
      </c>
      <c r="U3112" t="s">
        <v>22</v>
      </c>
      <c r="V3112" t="e">
        <f>IF(#REF! = "yes", 1, 0)</f>
        <v>#REF!</v>
      </c>
      <c r="W3112" t="e">
        <f>IF(#REF! &lt;= 1, "0-1 Calls", IF(#REF! &lt;= 3, "2-3 Calls", IF(#REF! &lt;=5, "4-5 Calls", "6+ Calls")))</f>
        <v>#REF!</v>
      </c>
      <c r="X3112" t="e">
        <f>IF(#REF! &lt;= 50, "0-50", IF(#REF! &lt;=100, "51-100", IF(#REF! &lt;= 150, "101-150", "151+")))</f>
        <v>#REF!</v>
      </c>
      <c r="Y3112" t="e">
        <f>IF(#REF! &lt;= 3, "Low Charges", "High Charges")</f>
        <v>#REF!</v>
      </c>
      <c r="Z3112" t="e">
        <f>IF(#REF!&lt;=80,"Low Calls",
IF(#REF!&lt;=120,"Medium Calls","High Calls"))</f>
        <v>#REF!</v>
      </c>
      <c r="AA3112" t="e">
        <f>IF(#REF!&lt;=15,"Low Charges",
IF(#REF!&lt;=20,"Medium Charges","High Charges"))</f>
        <v>#REF!</v>
      </c>
      <c r="AB3112" t="e">
        <f>IF(AND(#REF!&gt;180, #REF!&gt;200), "Heavy Doemstic User", IF(#REF!&gt;10, "Interntional User", IF(AND(#REF!&lt;180, #REF!&lt;200,#REF!&lt;200), "Light User", "Balanced User")))</f>
        <v>#REF!</v>
      </c>
      <c r="AC3112" t="e">
        <f>IF(#REF! = 0, "No Usage", IF(#REF! &lt;= 20, "Low Usage", IF(#REF! &lt;= 40, "Medium Usgae", "High Usage")))</f>
        <v>#REF!</v>
      </c>
      <c r="AD3112" t="e">
        <f>IF(#REF!&lt;=150,"Low Usage", IF(#REF!&lt;=200,"Medium Usage", IF(#REF!&lt;=250,"High Usage","Very High Usage")))</f>
        <v>#REF!</v>
      </c>
      <c r="AE3112" t="e">
        <f>IF(#REF!&lt;=5,"Low Calls", IF(#REF!&lt;=10, "Medium Calls", "High Calls"))</f>
        <v>#REF!</v>
      </c>
      <c r="AF3112" t="e">
        <f xml:space="preserve">
IF(#REF!&gt;=4,4,0)+
IF(#REF!="yes",3,0)+
IF(#REF!="High Charges",3,0)+
IF(#REF!&gt;250,4,0)+
IF(#REF!="no",1,0)+
IF(#REF!="Heavy Domestic User",2,0)</f>
        <v>#REF!</v>
      </c>
      <c r="AG3112" t="e">
        <f>IF(#REF!&gt;=10,"High Risk", IF(#REF!&gt;=5,"Medium Risk","Low Risk"))</f>
        <v>#REF!</v>
      </c>
      <c r="AH3112" t="e">
        <f>#REF! + #REF! + #REF! + #REF!</f>
        <v>#REF!</v>
      </c>
    </row>
    <row r="3113" spans="1:34" x14ac:dyDescent="0.35">
      <c r="A3113">
        <v>3112</v>
      </c>
      <c r="B3113" t="s">
        <v>35</v>
      </c>
      <c r="C3113">
        <v>117</v>
      </c>
      <c r="D3113" t="s">
        <v>21</v>
      </c>
      <c r="E3113" t="s">
        <v>22</v>
      </c>
      <c r="F3113" t="s">
        <v>22</v>
      </c>
      <c r="G3113">
        <v>0</v>
      </c>
      <c r="H3113">
        <v>233.4</v>
      </c>
      <c r="I3113">
        <v>71</v>
      </c>
      <c r="J3113">
        <v>39.68</v>
      </c>
      <c r="K3113">
        <v>296.39999999999998</v>
      </c>
      <c r="L3113">
        <v>76</v>
      </c>
      <c r="M3113">
        <v>25.19</v>
      </c>
      <c r="N3113">
        <v>276.89999999999998</v>
      </c>
      <c r="O3113">
        <v>103</v>
      </c>
      <c r="P3113">
        <v>12.46</v>
      </c>
      <c r="Q3113">
        <v>10.3</v>
      </c>
      <c r="R3113">
        <v>1</v>
      </c>
      <c r="S3113">
        <v>2.78</v>
      </c>
      <c r="T3113">
        <v>0</v>
      </c>
      <c r="U3113" t="s">
        <v>23</v>
      </c>
      <c r="V3113" t="e">
        <f>IF(#REF! = "yes", 1, 0)</f>
        <v>#REF!</v>
      </c>
      <c r="W3113" t="e">
        <f>IF(#REF! &lt;= 1, "0-1 Calls", IF(#REF! &lt;= 3, "2-3 Calls", IF(#REF! &lt;=5, "4-5 Calls", "6+ Calls")))</f>
        <v>#REF!</v>
      </c>
      <c r="X3113" t="e">
        <f>IF(#REF! &lt;= 50, "0-50", IF(#REF! &lt;=100, "51-100", IF(#REF! &lt;= 150, "101-150", "151+")))</f>
        <v>#REF!</v>
      </c>
      <c r="Y3113" t="e">
        <f>IF(#REF! &lt;= 3, "Low Charges", "High Charges")</f>
        <v>#REF!</v>
      </c>
      <c r="Z3113" t="e">
        <f>IF(#REF!&lt;=80,"Low Calls",
IF(#REF!&lt;=120,"Medium Calls","High Calls"))</f>
        <v>#REF!</v>
      </c>
      <c r="AA3113" t="e">
        <f>IF(#REF!&lt;=15,"Low Charges",
IF(#REF!&lt;=20,"Medium Charges","High Charges"))</f>
        <v>#REF!</v>
      </c>
      <c r="AB3113" t="e">
        <f>IF(AND(#REF!&gt;180, #REF!&gt;200), "Heavy Doemstic User", IF(#REF!&gt;10, "Interntional User", IF(AND(#REF!&lt;180, #REF!&lt;200,#REF!&lt;200), "Light User", "Balanced User")))</f>
        <v>#REF!</v>
      </c>
      <c r="AC3113" t="e">
        <f>IF(#REF! = 0, "No Usage", IF(#REF! &lt;= 20, "Low Usage", IF(#REF! &lt;= 40, "Medium Usgae", "High Usage")))</f>
        <v>#REF!</v>
      </c>
      <c r="AD3113" t="e">
        <f>IF(#REF!&lt;=150,"Low Usage", IF(#REF!&lt;=200,"Medium Usage", IF(#REF!&lt;=250,"High Usage","Very High Usage")))</f>
        <v>#REF!</v>
      </c>
      <c r="AE3113" t="e">
        <f>IF(#REF!&lt;=5,"Low Calls", IF(#REF!&lt;=10, "Medium Calls", "High Calls"))</f>
        <v>#REF!</v>
      </c>
      <c r="AF3113" t="e">
        <f xml:space="preserve">
IF(#REF!&gt;=4,4,0)+
IF(#REF!="yes",3,0)+
IF(#REF!="High Charges",3,0)+
IF(#REF!&gt;250,4,0)+
IF(#REF!="no",1,0)+
IF(#REF!="Heavy Domestic User",2,0)</f>
        <v>#REF!</v>
      </c>
      <c r="AG3113" t="e">
        <f>IF(#REF!&gt;=10,"High Risk", IF(#REF!&gt;=5,"Medium Risk","Low Risk"))</f>
        <v>#REF!</v>
      </c>
      <c r="AH3113" t="e">
        <f>#REF! + #REF! + #REF! + #REF!</f>
        <v>#REF!</v>
      </c>
    </row>
    <row r="3114" spans="1:34" x14ac:dyDescent="0.35">
      <c r="A3114">
        <v>3113</v>
      </c>
      <c r="B3114" t="s">
        <v>71</v>
      </c>
      <c r="C3114">
        <v>119</v>
      </c>
      <c r="D3114" t="s">
        <v>21</v>
      </c>
      <c r="E3114" t="s">
        <v>22</v>
      </c>
      <c r="F3114" t="s">
        <v>22</v>
      </c>
      <c r="G3114">
        <v>0</v>
      </c>
      <c r="H3114">
        <v>130.5</v>
      </c>
      <c r="I3114">
        <v>98</v>
      </c>
      <c r="J3114">
        <v>22.19</v>
      </c>
      <c r="K3114">
        <v>249.5</v>
      </c>
      <c r="L3114">
        <v>91</v>
      </c>
      <c r="M3114">
        <v>21.21</v>
      </c>
      <c r="N3114">
        <v>219.9</v>
      </c>
      <c r="O3114">
        <v>117</v>
      </c>
      <c r="P3114">
        <v>9.9</v>
      </c>
      <c r="Q3114">
        <v>12.7</v>
      </c>
      <c r="R3114">
        <v>1</v>
      </c>
      <c r="S3114">
        <v>3.43</v>
      </c>
      <c r="T3114">
        <v>3</v>
      </c>
      <c r="U3114" t="s">
        <v>22</v>
      </c>
      <c r="V3114" t="e">
        <f>IF(#REF! = "yes", 1, 0)</f>
        <v>#REF!</v>
      </c>
      <c r="W3114" t="e">
        <f>IF(#REF! &lt;= 1, "0-1 Calls", IF(#REF! &lt;= 3, "2-3 Calls", IF(#REF! &lt;=5, "4-5 Calls", "6+ Calls")))</f>
        <v>#REF!</v>
      </c>
      <c r="X3114" t="e">
        <f>IF(#REF! &lt;= 50, "0-50", IF(#REF! &lt;=100, "51-100", IF(#REF! &lt;= 150, "101-150", "151+")))</f>
        <v>#REF!</v>
      </c>
      <c r="Y3114" t="e">
        <f>IF(#REF! &lt;= 3, "Low Charges", "High Charges")</f>
        <v>#REF!</v>
      </c>
      <c r="Z3114" t="e">
        <f>IF(#REF!&lt;=80,"Low Calls",
IF(#REF!&lt;=120,"Medium Calls","High Calls"))</f>
        <v>#REF!</v>
      </c>
      <c r="AA3114" t="e">
        <f>IF(#REF!&lt;=15,"Low Charges",
IF(#REF!&lt;=20,"Medium Charges","High Charges"))</f>
        <v>#REF!</v>
      </c>
      <c r="AB3114" t="e">
        <f>IF(AND(#REF!&gt;180, #REF!&gt;200), "Heavy Doemstic User", IF(#REF!&gt;10, "Interntional User", IF(AND(#REF!&lt;180, #REF!&lt;200,#REF!&lt;200), "Light User", "Balanced User")))</f>
        <v>#REF!</v>
      </c>
      <c r="AC3114" t="e">
        <f>IF(#REF! = 0, "No Usage", IF(#REF! &lt;= 20, "Low Usage", IF(#REF! &lt;= 40, "Medium Usgae", "High Usage")))</f>
        <v>#REF!</v>
      </c>
      <c r="AD3114" t="e">
        <f>IF(#REF!&lt;=150,"Low Usage", IF(#REF!&lt;=200,"Medium Usage", IF(#REF!&lt;=250,"High Usage","Very High Usage")))</f>
        <v>#REF!</v>
      </c>
      <c r="AE3114" t="e">
        <f>IF(#REF!&lt;=5,"Low Calls", IF(#REF!&lt;=10, "Medium Calls", "High Calls"))</f>
        <v>#REF!</v>
      </c>
      <c r="AF3114" t="e">
        <f xml:space="preserve">
IF(#REF!&gt;=4,4,0)+
IF(#REF!="yes",3,0)+
IF(#REF!="High Charges",3,0)+
IF(#REF!&gt;250,4,0)+
IF(#REF!="no",1,0)+
IF(#REF!="Heavy Domestic User",2,0)</f>
        <v>#REF!</v>
      </c>
      <c r="AG3114" t="e">
        <f>IF(#REF!&gt;=10,"High Risk", IF(#REF!&gt;=5,"Medium Risk","Low Risk"))</f>
        <v>#REF!</v>
      </c>
      <c r="AH3114" t="e">
        <f>#REF! + #REF! + #REF! + #REF!</f>
        <v>#REF!</v>
      </c>
    </row>
    <row r="3115" spans="1:34" x14ac:dyDescent="0.35">
      <c r="A3115">
        <v>3114</v>
      </c>
      <c r="B3115" t="s">
        <v>30</v>
      </c>
      <c r="C3115">
        <v>85</v>
      </c>
      <c r="D3115" t="s">
        <v>28</v>
      </c>
      <c r="E3115" t="s">
        <v>22</v>
      </c>
      <c r="F3115" t="s">
        <v>22</v>
      </c>
      <c r="G3115">
        <v>0</v>
      </c>
      <c r="H3115">
        <v>133.30000000000001</v>
      </c>
      <c r="I3115">
        <v>107</v>
      </c>
      <c r="J3115">
        <v>22.66</v>
      </c>
      <c r="K3115">
        <v>185</v>
      </c>
      <c r="L3115">
        <v>101</v>
      </c>
      <c r="M3115">
        <v>15.73</v>
      </c>
      <c r="N3115">
        <v>289</v>
      </c>
      <c r="O3115">
        <v>99</v>
      </c>
      <c r="P3115">
        <v>13.01</v>
      </c>
      <c r="Q3115">
        <v>9.1</v>
      </c>
      <c r="R3115">
        <v>4</v>
      </c>
      <c r="S3115">
        <v>2.46</v>
      </c>
      <c r="T3115">
        <v>3</v>
      </c>
      <c r="U3115" t="s">
        <v>22</v>
      </c>
      <c r="V3115" t="e">
        <f>IF(#REF! = "yes", 1, 0)</f>
        <v>#REF!</v>
      </c>
      <c r="W3115" t="e">
        <f>IF(#REF! &lt;= 1, "0-1 Calls", IF(#REF! &lt;= 3, "2-3 Calls", IF(#REF! &lt;=5, "4-5 Calls", "6+ Calls")))</f>
        <v>#REF!</v>
      </c>
      <c r="X3115" t="e">
        <f>IF(#REF! &lt;= 50, "0-50", IF(#REF! &lt;=100, "51-100", IF(#REF! &lt;= 150, "101-150", "151+")))</f>
        <v>#REF!</v>
      </c>
      <c r="Y3115" t="e">
        <f>IF(#REF! &lt;= 3, "Low Charges", "High Charges")</f>
        <v>#REF!</v>
      </c>
      <c r="Z3115" t="e">
        <f>IF(#REF!&lt;=80,"Low Calls",
IF(#REF!&lt;=120,"Medium Calls","High Calls"))</f>
        <v>#REF!</v>
      </c>
      <c r="AA3115" t="e">
        <f>IF(#REF!&lt;=15,"Low Charges",
IF(#REF!&lt;=20,"Medium Charges","High Charges"))</f>
        <v>#REF!</v>
      </c>
      <c r="AB3115" t="e">
        <f>IF(AND(#REF!&gt;180, #REF!&gt;200), "Heavy Doemstic User", IF(#REF!&gt;10, "Interntional User", IF(AND(#REF!&lt;180, #REF!&lt;200,#REF!&lt;200), "Light User", "Balanced User")))</f>
        <v>#REF!</v>
      </c>
      <c r="AC3115" t="e">
        <f>IF(#REF! = 0, "No Usage", IF(#REF! &lt;= 20, "Low Usage", IF(#REF! &lt;= 40, "Medium Usgae", "High Usage")))</f>
        <v>#REF!</v>
      </c>
      <c r="AD3115" t="e">
        <f>IF(#REF!&lt;=150,"Low Usage", IF(#REF!&lt;=200,"Medium Usage", IF(#REF!&lt;=250,"High Usage","Very High Usage")))</f>
        <v>#REF!</v>
      </c>
      <c r="AE3115" t="e">
        <f>IF(#REF!&lt;=5,"Low Calls", IF(#REF!&lt;=10, "Medium Calls", "High Calls"))</f>
        <v>#REF!</v>
      </c>
      <c r="AF3115" t="e">
        <f xml:space="preserve">
IF(#REF!&gt;=4,4,0)+
IF(#REF!="yes",3,0)+
IF(#REF!="High Charges",3,0)+
IF(#REF!&gt;250,4,0)+
IF(#REF!="no",1,0)+
IF(#REF!="Heavy Domestic User",2,0)</f>
        <v>#REF!</v>
      </c>
      <c r="AG3115" t="e">
        <f>IF(#REF!&gt;=10,"High Risk", IF(#REF!&gt;=5,"Medium Risk","Low Risk"))</f>
        <v>#REF!</v>
      </c>
      <c r="AH3115" t="e">
        <f>#REF! + #REF! + #REF! + #REF!</f>
        <v>#REF!</v>
      </c>
    </row>
    <row r="3116" spans="1:34" x14ac:dyDescent="0.35">
      <c r="A3116">
        <v>3115</v>
      </c>
      <c r="B3116" t="s">
        <v>43</v>
      </c>
      <c r="C3116">
        <v>92</v>
      </c>
      <c r="D3116" t="s">
        <v>28</v>
      </c>
      <c r="E3116" t="s">
        <v>22</v>
      </c>
      <c r="F3116" t="s">
        <v>22</v>
      </c>
      <c r="G3116">
        <v>0</v>
      </c>
      <c r="H3116">
        <v>183.7</v>
      </c>
      <c r="I3116">
        <v>103</v>
      </c>
      <c r="J3116">
        <v>31.23</v>
      </c>
      <c r="K3116">
        <v>270.60000000000002</v>
      </c>
      <c r="L3116">
        <v>97</v>
      </c>
      <c r="M3116">
        <v>23</v>
      </c>
      <c r="N3116">
        <v>132.9</v>
      </c>
      <c r="O3116">
        <v>104</v>
      </c>
      <c r="P3116">
        <v>5.98</v>
      </c>
      <c r="Q3116">
        <v>11.2</v>
      </c>
      <c r="R3116">
        <v>2</v>
      </c>
      <c r="S3116">
        <v>3.02</v>
      </c>
      <c r="T3116">
        <v>0</v>
      </c>
      <c r="U3116" t="s">
        <v>22</v>
      </c>
      <c r="V3116" t="e">
        <f>IF(#REF! = "yes", 1, 0)</f>
        <v>#REF!</v>
      </c>
      <c r="W3116" t="e">
        <f>IF(#REF! &lt;= 1, "0-1 Calls", IF(#REF! &lt;= 3, "2-3 Calls", IF(#REF! &lt;=5, "4-5 Calls", "6+ Calls")))</f>
        <v>#REF!</v>
      </c>
      <c r="X3116" t="e">
        <f>IF(#REF! &lt;= 50, "0-50", IF(#REF! &lt;=100, "51-100", IF(#REF! &lt;= 150, "101-150", "151+")))</f>
        <v>#REF!</v>
      </c>
      <c r="Y3116" t="e">
        <f>IF(#REF! &lt;= 3, "Low Charges", "High Charges")</f>
        <v>#REF!</v>
      </c>
      <c r="Z3116" t="e">
        <f>IF(#REF!&lt;=80,"Low Calls",
IF(#REF!&lt;=120,"Medium Calls","High Calls"))</f>
        <v>#REF!</v>
      </c>
      <c r="AA3116" t="e">
        <f>IF(#REF!&lt;=15,"Low Charges",
IF(#REF!&lt;=20,"Medium Charges","High Charges"))</f>
        <v>#REF!</v>
      </c>
      <c r="AB3116" t="e">
        <f>IF(AND(#REF!&gt;180, #REF!&gt;200), "Heavy Doemstic User", IF(#REF!&gt;10, "Interntional User", IF(AND(#REF!&lt;180, #REF!&lt;200,#REF!&lt;200), "Light User", "Balanced User")))</f>
        <v>#REF!</v>
      </c>
      <c r="AC3116" t="e">
        <f>IF(#REF! = 0, "No Usage", IF(#REF! &lt;= 20, "Low Usage", IF(#REF! &lt;= 40, "Medium Usgae", "High Usage")))</f>
        <v>#REF!</v>
      </c>
      <c r="AD3116" t="e">
        <f>IF(#REF!&lt;=150,"Low Usage", IF(#REF!&lt;=200,"Medium Usage", IF(#REF!&lt;=250,"High Usage","Very High Usage")))</f>
        <v>#REF!</v>
      </c>
      <c r="AE3116" t="e">
        <f>IF(#REF!&lt;=5,"Low Calls", IF(#REF!&lt;=10, "Medium Calls", "High Calls"))</f>
        <v>#REF!</v>
      </c>
      <c r="AF3116" t="e">
        <f xml:space="preserve">
IF(#REF!&gt;=4,4,0)+
IF(#REF!="yes",3,0)+
IF(#REF!="High Charges",3,0)+
IF(#REF!&gt;250,4,0)+
IF(#REF!="no",1,0)+
IF(#REF!="Heavy Domestic User",2,0)</f>
        <v>#REF!</v>
      </c>
      <c r="AG3116" t="e">
        <f>IF(#REF!&gt;=10,"High Risk", IF(#REF!&gt;=5,"Medium Risk","Low Risk"))</f>
        <v>#REF!</v>
      </c>
      <c r="AH3116" t="e">
        <f>#REF! + #REF! + #REF! + #REF!</f>
        <v>#REF!</v>
      </c>
    </row>
    <row r="3117" spans="1:34" x14ac:dyDescent="0.35">
      <c r="A3117">
        <v>3116</v>
      </c>
      <c r="B3117" t="s">
        <v>32</v>
      </c>
      <c r="C3117">
        <v>116</v>
      </c>
      <c r="D3117" t="s">
        <v>21</v>
      </c>
      <c r="E3117" t="s">
        <v>22</v>
      </c>
      <c r="F3117" t="s">
        <v>22</v>
      </c>
      <c r="G3117">
        <v>0</v>
      </c>
      <c r="H3117">
        <v>271</v>
      </c>
      <c r="I3117">
        <v>114</v>
      </c>
      <c r="J3117">
        <v>46.07</v>
      </c>
      <c r="K3117">
        <v>209.9</v>
      </c>
      <c r="L3117">
        <v>71</v>
      </c>
      <c r="M3117">
        <v>17.84</v>
      </c>
      <c r="N3117">
        <v>193.5</v>
      </c>
      <c r="O3117">
        <v>109</v>
      </c>
      <c r="P3117">
        <v>8.7100000000000009</v>
      </c>
      <c r="Q3117">
        <v>13.7</v>
      </c>
      <c r="R3117">
        <v>2</v>
      </c>
      <c r="S3117">
        <v>3.7</v>
      </c>
      <c r="T3117">
        <v>5</v>
      </c>
      <c r="U3117" t="s">
        <v>23</v>
      </c>
      <c r="V3117" t="e">
        <f>IF(#REF! = "yes", 1, 0)</f>
        <v>#REF!</v>
      </c>
      <c r="W3117" t="e">
        <f>IF(#REF! &lt;= 1, "0-1 Calls", IF(#REF! &lt;= 3, "2-3 Calls", IF(#REF! &lt;=5, "4-5 Calls", "6+ Calls")))</f>
        <v>#REF!</v>
      </c>
      <c r="X3117" t="e">
        <f>IF(#REF! &lt;= 50, "0-50", IF(#REF! &lt;=100, "51-100", IF(#REF! &lt;= 150, "101-150", "151+")))</f>
        <v>#REF!</v>
      </c>
      <c r="Y3117" t="e">
        <f>IF(#REF! &lt;= 3, "Low Charges", "High Charges")</f>
        <v>#REF!</v>
      </c>
      <c r="Z3117" t="e">
        <f>IF(#REF!&lt;=80,"Low Calls",
IF(#REF!&lt;=120,"Medium Calls","High Calls"))</f>
        <v>#REF!</v>
      </c>
      <c r="AA3117" t="e">
        <f>IF(#REF!&lt;=15,"Low Charges",
IF(#REF!&lt;=20,"Medium Charges","High Charges"))</f>
        <v>#REF!</v>
      </c>
      <c r="AB3117" t="e">
        <f>IF(AND(#REF!&gt;180, #REF!&gt;200), "Heavy Doemstic User", IF(#REF!&gt;10, "Interntional User", IF(AND(#REF!&lt;180, #REF!&lt;200,#REF!&lt;200), "Light User", "Balanced User")))</f>
        <v>#REF!</v>
      </c>
      <c r="AC3117" t="e">
        <f>IF(#REF! = 0, "No Usage", IF(#REF! &lt;= 20, "Low Usage", IF(#REF! &lt;= 40, "Medium Usgae", "High Usage")))</f>
        <v>#REF!</v>
      </c>
      <c r="AD3117" t="e">
        <f>IF(#REF!&lt;=150,"Low Usage", IF(#REF!&lt;=200,"Medium Usage", IF(#REF!&lt;=250,"High Usage","Very High Usage")))</f>
        <v>#REF!</v>
      </c>
      <c r="AE3117" t="e">
        <f>IF(#REF!&lt;=5,"Low Calls", IF(#REF!&lt;=10, "Medium Calls", "High Calls"))</f>
        <v>#REF!</v>
      </c>
      <c r="AF3117" t="e">
        <f xml:space="preserve">
IF(#REF!&gt;=4,4,0)+
IF(#REF!="yes",3,0)+
IF(#REF!="High Charges",3,0)+
IF(#REF!&gt;250,4,0)+
IF(#REF!="no",1,0)+
IF(#REF!="Heavy Domestic User",2,0)</f>
        <v>#REF!</v>
      </c>
      <c r="AG3117" t="e">
        <f>IF(#REF!&gt;=10,"High Risk", IF(#REF!&gt;=5,"Medium Risk","Low Risk"))</f>
        <v>#REF!</v>
      </c>
      <c r="AH3117" t="e">
        <f>#REF! + #REF! + #REF! + #REF!</f>
        <v>#REF!</v>
      </c>
    </row>
    <row r="3118" spans="1:34" x14ac:dyDescent="0.35">
      <c r="A3118">
        <v>3117</v>
      </c>
      <c r="B3118" t="s">
        <v>34</v>
      </c>
      <c r="C3118">
        <v>163</v>
      </c>
      <c r="D3118" t="s">
        <v>28</v>
      </c>
      <c r="E3118" t="s">
        <v>22</v>
      </c>
      <c r="F3118" t="s">
        <v>22</v>
      </c>
      <c r="G3118">
        <v>0</v>
      </c>
      <c r="H3118">
        <v>122.5</v>
      </c>
      <c r="I3118">
        <v>70</v>
      </c>
      <c r="J3118">
        <v>20.83</v>
      </c>
      <c r="K3118">
        <v>221.4</v>
      </c>
      <c r="L3118">
        <v>92</v>
      </c>
      <c r="M3118">
        <v>18.82</v>
      </c>
      <c r="N3118">
        <v>187.5</v>
      </c>
      <c r="O3118">
        <v>88</v>
      </c>
      <c r="P3118">
        <v>8.44</v>
      </c>
      <c r="Q3118">
        <v>10.4</v>
      </c>
      <c r="R3118">
        <v>6</v>
      </c>
      <c r="S3118">
        <v>2.81</v>
      </c>
      <c r="T3118">
        <v>0</v>
      </c>
      <c r="U3118" t="s">
        <v>22</v>
      </c>
      <c r="V3118" t="e">
        <f>IF(#REF! = "yes", 1, 0)</f>
        <v>#REF!</v>
      </c>
      <c r="W3118" t="e">
        <f>IF(#REF! &lt;= 1, "0-1 Calls", IF(#REF! &lt;= 3, "2-3 Calls", IF(#REF! &lt;=5, "4-5 Calls", "6+ Calls")))</f>
        <v>#REF!</v>
      </c>
      <c r="X3118" t="e">
        <f>IF(#REF! &lt;= 50, "0-50", IF(#REF! &lt;=100, "51-100", IF(#REF! &lt;= 150, "101-150", "151+")))</f>
        <v>#REF!</v>
      </c>
      <c r="Y3118" t="e">
        <f>IF(#REF! &lt;= 3, "Low Charges", "High Charges")</f>
        <v>#REF!</v>
      </c>
      <c r="Z3118" t="e">
        <f>IF(#REF!&lt;=80,"Low Calls",
IF(#REF!&lt;=120,"Medium Calls","High Calls"))</f>
        <v>#REF!</v>
      </c>
      <c r="AA3118" t="e">
        <f>IF(#REF!&lt;=15,"Low Charges",
IF(#REF!&lt;=20,"Medium Charges","High Charges"))</f>
        <v>#REF!</v>
      </c>
      <c r="AB3118" t="e">
        <f>IF(AND(#REF!&gt;180, #REF!&gt;200), "Heavy Doemstic User", IF(#REF!&gt;10, "Interntional User", IF(AND(#REF!&lt;180, #REF!&lt;200,#REF!&lt;200), "Light User", "Balanced User")))</f>
        <v>#REF!</v>
      </c>
      <c r="AC3118" t="e">
        <f>IF(#REF! = 0, "No Usage", IF(#REF! &lt;= 20, "Low Usage", IF(#REF! &lt;= 40, "Medium Usgae", "High Usage")))</f>
        <v>#REF!</v>
      </c>
      <c r="AD3118" t="e">
        <f>IF(#REF!&lt;=150,"Low Usage", IF(#REF!&lt;=200,"Medium Usage", IF(#REF!&lt;=250,"High Usage","Very High Usage")))</f>
        <v>#REF!</v>
      </c>
      <c r="AE3118" t="e">
        <f>IF(#REF!&lt;=5,"Low Calls", IF(#REF!&lt;=10, "Medium Calls", "High Calls"))</f>
        <v>#REF!</v>
      </c>
      <c r="AF3118" t="e">
        <f xml:space="preserve">
IF(#REF!&gt;=4,4,0)+
IF(#REF!="yes",3,0)+
IF(#REF!="High Charges",3,0)+
IF(#REF!&gt;250,4,0)+
IF(#REF!="no",1,0)+
IF(#REF!="Heavy Domestic User",2,0)</f>
        <v>#REF!</v>
      </c>
      <c r="AG3118" t="e">
        <f>IF(#REF!&gt;=10,"High Risk", IF(#REF!&gt;=5,"Medium Risk","Low Risk"))</f>
        <v>#REF!</v>
      </c>
      <c r="AH3118" t="e">
        <f>#REF! + #REF! + #REF! + #REF!</f>
        <v>#REF!</v>
      </c>
    </row>
    <row r="3119" spans="1:34" x14ac:dyDescent="0.35">
      <c r="A3119">
        <v>3118</v>
      </c>
      <c r="B3119" t="s">
        <v>47</v>
      </c>
      <c r="C3119">
        <v>83</v>
      </c>
      <c r="D3119" t="s">
        <v>21</v>
      </c>
      <c r="E3119" t="s">
        <v>22</v>
      </c>
      <c r="F3119" t="s">
        <v>22</v>
      </c>
      <c r="G3119">
        <v>0</v>
      </c>
      <c r="H3119">
        <v>182.5</v>
      </c>
      <c r="I3119">
        <v>85</v>
      </c>
      <c r="J3119">
        <v>31.03</v>
      </c>
      <c r="K3119">
        <v>181.5</v>
      </c>
      <c r="L3119">
        <v>114</v>
      </c>
      <c r="M3119">
        <v>15.43</v>
      </c>
      <c r="N3119">
        <v>199.1</v>
      </c>
      <c r="O3119">
        <v>110</v>
      </c>
      <c r="P3119">
        <v>8.9600000000000009</v>
      </c>
      <c r="Q3119">
        <v>14.7</v>
      </c>
      <c r="R3119">
        <v>6</v>
      </c>
      <c r="S3119">
        <v>3.97</v>
      </c>
      <c r="T3119">
        <v>1</v>
      </c>
      <c r="U3119" t="s">
        <v>22</v>
      </c>
      <c r="V3119" t="e">
        <f>IF(#REF! = "yes", 1, 0)</f>
        <v>#REF!</v>
      </c>
      <c r="W3119" t="e">
        <f>IF(#REF! &lt;= 1, "0-1 Calls", IF(#REF! &lt;= 3, "2-3 Calls", IF(#REF! &lt;=5, "4-5 Calls", "6+ Calls")))</f>
        <v>#REF!</v>
      </c>
      <c r="X3119" t="e">
        <f>IF(#REF! &lt;= 50, "0-50", IF(#REF! &lt;=100, "51-100", IF(#REF! &lt;= 150, "101-150", "151+")))</f>
        <v>#REF!</v>
      </c>
      <c r="Y3119" t="e">
        <f>IF(#REF! &lt;= 3, "Low Charges", "High Charges")</f>
        <v>#REF!</v>
      </c>
      <c r="Z3119" t="e">
        <f>IF(#REF!&lt;=80,"Low Calls",
IF(#REF!&lt;=120,"Medium Calls","High Calls"))</f>
        <v>#REF!</v>
      </c>
      <c r="AA3119" t="e">
        <f>IF(#REF!&lt;=15,"Low Charges",
IF(#REF!&lt;=20,"Medium Charges","High Charges"))</f>
        <v>#REF!</v>
      </c>
      <c r="AB3119" t="e">
        <f>IF(AND(#REF!&gt;180, #REF!&gt;200), "Heavy Doemstic User", IF(#REF!&gt;10, "Interntional User", IF(AND(#REF!&lt;180, #REF!&lt;200,#REF!&lt;200), "Light User", "Balanced User")))</f>
        <v>#REF!</v>
      </c>
      <c r="AC3119" t="e">
        <f>IF(#REF! = 0, "No Usage", IF(#REF! &lt;= 20, "Low Usage", IF(#REF! &lt;= 40, "Medium Usgae", "High Usage")))</f>
        <v>#REF!</v>
      </c>
      <c r="AD3119" t="e">
        <f>IF(#REF!&lt;=150,"Low Usage", IF(#REF!&lt;=200,"Medium Usage", IF(#REF!&lt;=250,"High Usage","Very High Usage")))</f>
        <v>#REF!</v>
      </c>
      <c r="AE3119" t="e">
        <f>IF(#REF!&lt;=5,"Low Calls", IF(#REF!&lt;=10, "Medium Calls", "High Calls"))</f>
        <v>#REF!</v>
      </c>
      <c r="AF3119" t="e">
        <f xml:space="preserve">
IF(#REF!&gt;=4,4,0)+
IF(#REF!="yes",3,0)+
IF(#REF!="High Charges",3,0)+
IF(#REF!&gt;250,4,0)+
IF(#REF!="no",1,0)+
IF(#REF!="Heavy Domestic User",2,0)</f>
        <v>#REF!</v>
      </c>
      <c r="AG3119" t="e">
        <f>IF(#REF!&gt;=10,"High Risk", IF(#REF!&gt;=5,"Medium Risk","Low Risk"))</f>
        <v>#REF!</v>
      </c>
      <c r="AH3119" t="e">
        <f>#REF! + #REF! + #REF! + #REF!</f>
        <v>#REF!</v>
      </c>
    </row>
    <row r="3120" spans="1:34" x14ac:dyDescent="0.35">
      <c r="A3120">
        <v>3119</v>
      </c>
      <c r="B3120" t="s">
        <v>48</v>
      </c>
      <c r="C3120">
        <v>117</v>
      </c>
      <c r="D3120" t="s">
        <v>28</v>
      </c>
      <c r="E3120" t="s">
        <v>22</v>
      </c>
      <c r="F3120" t="s">
        <v>22</v>
      </c>
      <c r="G3120">
        <v>0</v>
      </c>
      <c r="H3120">
        <v>110.4</v>
      </c>
      <c r="I3120">
        <v>122</v>
      </c>
      <c r="J3120">
        <v>18.77</v>
      </c>
      <c r="K3120">
        <v>242.9</v>
      </c>
      <c r="L3120">
        <v>103</v>
      </c>
      <c r="M3120">
        <v>20.65</v>
      </c>
      <c r="N3120">
        <v>170.4</v>
      </c>
      <c r="O3120">
        <v>75</v>
      </c>
      <c r="P3120">
        <v>7.67</v>
      </c>
      <c r="Q3120">
        <v>13.9</v>
      </c>
      <c r="R3120">
        <v>5</v>
      </c>
      <c r="S3120">
        <v>3.75</v>
      </c>
      <c r="T3120">
        <v>1</v>
      </c>
      <c r="U3120" t="s">
        <v>22</v>
      </c>
      <c r="V3120" t="e">
        <f>IF(#REF! = "yes", 1, 0)</f>
        <v>#REF!</v>
      </c>
      <c r="W3120" t="e">
        <f>IF(#REF! &lt;= 1, "0-1 Calls", IF(#REF! &lt;= 3, "2-3 Calls", IF(#REF! &lt;=5, "4-5 Calls", "6+ Calls")))</f>
        <v>#REF!</v>
      </c>
      <c r="X3120" t="e">
        <f>IF(#REF! &lt;= 50, "0-50", IF(#REF! &lt;=100, "51-100", IF(#REF! &lt;= 150, "101-150", "151+")))</f>
        <v>#REF!</v>
      </c>
      <c r="Y3120" t="e">
        <f>IF(#REF! &lt;= 3, "Low Charges", "High Charges")</f>
        <v>#REF!</v>
      </c>
      <c r="Z3120" t="e">
        <f>IF(#REF!&lt;=80,"Low Calls",
IF(#REF!&lt;=120,"Medium Calls","High Calls"))</f>
        <v>#REF!</v>
      </c>
      <c r="AA3120" t="e">
        <f>IF(#REF!&lt;=15,"Low Charges",
IF(#REF!&lt;=20,"Medium Charges","High Charges"))</f>
        <v>#REF!</v>
      </c>
      <c r="AB3120" t="e">
        <f>IF(AND(#REF!&gt;180, #REF!&gt;200), "Heavy Doemstic User", IF(#REF!&gt;10, "Interntional User", IF(AND(#REF!&lt;180, #REF!&lt;200,#REF!&lt;200), "Light User", "Balanced User")))</f>
        <v>#REF!</v>
      </c>
      <c r="AC3120" t="e">
        <f>IF(#REF! = 0, "No Usage", IF(#REF! &lt;= 20, "Low Usage", IF(#REF! &lt;= 40, "Medium Usgae", "High Usage")))</f>
        <v>#REF!</v>
      </c>
      <c r="AD3120" t="e">
        <f>IF(#REF!&lt;=150,"Low Usage", IF(#REF!&lt;=200,"Medium Usage", IF(#REF!&lt;=250,"High Usage","Very High Usage")))</f>
        <v>#REF!</v>
      </c>
      <c r="AE3120" t="e">
        <f>IF(#REF!&lt;=5,"Low Calls", IF(#REF!&lt;=10, "Medium Calls", "High Calls"))</f>
        <v>#REF!</v>
      </c>
      <c r="AF3120" t="e">
        <f xml:space="preserve">
IF(#REF!&gt;=4,4,0)+
IF(#REF!="yes",3,0)+
IF(#REF!="High Charges",3,0)+
IF(#REF!&gt;250,4,0)+
IF(#REF!="no",1,0)+
IF(#REF!="Heavy Domestic User",2,0)</f>
        <v>#REF!</v>
      </c>
      <c r="AG3120" t="e">
        <f>IF(#REF!&gt;=10,"High Risk", IF(#REF!&gt;=5,"Medium Risk","Low Risk"))</f>
        <v>#REF!</v>
      </c>
      <c r="AH3120" t="e">
        <f>#REF! + #REF! + #REF! + #REF!</f>
        <v>#REF!</v>
      </c>
    </row>
    <row r="3121" spans="1:34" x14ac:dyDescent="0.35">
      <c r="A3121">
        <v>3120</v>
      </c>
      <c r="B3121" t="s">
        <v>30</v>
      </c>
      <c r="C3121">
        <v>90</v>
      </c>
      <c r="D3121" t="s">
        <v>25</v>
      </c>
      <c r="E3121" t="s">
        <v>22</v>
      </c>
      <c r="F3121" t="s">
        <v>22</v>
      </c>
      <c r="G3121">
        <v>0</v>
      </c>
      <c r="H3121">
        <v>140.80000000000001</v>
      </c>
      <c r="I3121">
        <v>109</v>
      </c>
      <c r="J3121">
        <v>23.94</v>
      </c>
      <c r="K3121">
        <v>303</v>
      </c>
      <c r="L3121">
        <v>114</v>
      </c>
      <c r="M3121">
        <v>25.76</v>
      </c>
      <c r="N3121">
        <v>267.39999999999998</v>
      </c>
      <c r="O3121">
        <v>112</v>
      </c>
      <c r="P3121">
        <v>12.03</v>
      </c>
      <c r="Q3121">
        <v>14.1</v>
      </c>
      <c r="R3121">
        <v>1</v>
      </c>
      <c r="S3121">
        <v>3.81</v>
      </c>
      <c r="T3121">
        <v>0</v>
      </c>
      <c r="U3121" t="s">
        <v>22</v>
      </c>
      <c r="V3121" t="e">
        <f>IF(#REF! = "yes", 1, 0)</f>
        <v>#REF!</v>
      </c>
      <c r="W3121" t="e">
        <f>IF(#REF! &lt;= 1, "0-1 Calls", IF(#REF! &lt;= 3, "2-3 Calls", IF(#REF! &lt;=5, "4-5 Calls", "6+ Calls")))</f>
        <v>#REF!</v>
      </c>
      <c r="X3121" t="e">
        <f>IF(#REF! &lt;= 50, "0-50", IF(#REF! &lt;=100, "51-100", IF(#REF! &lt;= 150, "101-150", "151+")))</f>
        <v>#REF!</v>
      </c>
      <c r="Y3121" t="e">
        <f>IF(#REF! &lt;= 3, "Low Charges", "High Charges")</f>
        <v>#REF!</v>
      </c>
      <c r="Z3121" t="e">
        <f>IF(#REF!&lt;=80,"Low Calls",
IF(#REF!&lt;=120,"Medium Calls","High Calls"))</f>
        <v>#REF!</v>
      </c>
      <c r="AA3121" t="e">
        <f>IF(#REF!&lt;=15,"Low Charges",
IF(#REF!&lt;=20,"Medium Charges","High Charges"))</f>
        <v>#REF!</v>
      </c>
      <c r="AB3121" t="e">
        <f>IF(AND(#REF!&gt;180, #REF!&gt;200), "Heavy Doemstic User", IF(#REF!&gt;10, "Interntional User", IF(AND(#REF!&lt;180, #REF!&lt;200,#REF!&lt;200), "Light User", "Balanced User")))</f>
        <v>#REF!</v>
      </c>
      <c r="AC3121" t="e">
        <f>IF(#REF! = 0, "No Usage", IF(#REF! &lt;= 20, "Low Usage", IF(#REF! &lt;= 40, "Medium Usgae", "High Usage")))</f>
        <v>#REF!</v>
      </c>
      <c r="AD3121" t="e">
        <f>IF(#REF!&lt;=150,"Low Usage", IF(#REF!&lt;=200,"Medium Usage", IF(#REF!&lt;=250,"High Usage","Very High Usage")))</f>
        <v>#REF!</v>
      </c>
      <c r="AE3121" t="e">
        <f>IF(#REF!&lt;=5,"Low Calls", IF(#REF!&lt;=10, "Medium Calls", "High Calls"))</f>
        <v>#REF!</v>
      </c>
      <c r="AF3121" t="e">
        <f xml:space="preserve">
IF(#REF!&gt;=4,4,0)+
IF(#REF!="yes",3,0)+
IF(#REF!="High Charges",3,0)+
IF(#REF!&gt;250,4,0)+
IF(#REF!="no",1,0)+
IF(#REF!="Heavy Domestic User",2,0)</f>
        <v>#REF!</v>
      </c>
      <c r="AG3121" t="e">
        <f>IF(#REF!&gt;=10,"High Risk", IF(#REF!&gt;=5,"Medium Risk","Low Risk"))</f>
        <v>#REF!</v>
      </c>
      <c r="AH3121" t="e">
        <f>#REF! + #REF! + #REF! + #REF!</f>
        <v>#REF!</v>
      </c>
    </row>
    <row r="3122" spans="1:34" x14ac:dyDescent="0.35">
      <c r="A3122">
        <v>3121</v>
      </c>
      <c r="B3122" t="s">
        <v>53</v>
      </c>
      <c r="C3122">
        <v>137</v>
      </c>
      <c r="D3122" t="s">
        <v>21</v>
      </c>
      <c r="E3122" t="s">
        <v>22</v>
      </c>
      <c r="F3122" t="s">
        <v>22</v>
      </c>
      <c r="G3122">
        <v>0</v>
      </c>
      <c r="H3122">
        <v>137.5</v>
      </c>
      <c r="I3122">
        <v>102</v>
      </c>
      <c r="J3122">
        <v>23.38</v>
      </c>
      <c r="K3122">
        <v>176</v>
      </c>
      <c r="L3122">
        <v>98</v>
      </c>
      <c r="M3122">
        <v>14.96</v>
      </c>
      <c r="N3122">
        <v>210.6</v>
      </c>
      <c r="O3122">
        <v>88</v>
      </c>
      <c r="P3122">
        <v>9.48</v>
      </c>
      <c r="Q3122">
        <v>10.4</v>
      </c>
      <c r="R3122">
        <v>6</v>
      </c>
      <c r="S3122">
        <v>2.81</v>
      </c>
      <c r="T3122">
        <v>0</v>
      </c>
      <c r="U3122" t="s">
        <v>22</v>
      </c>
      <c r="V3122" t="e">
        <f>IF(#REF! = "yes", 1, 0)</f>
        <v>#REF!</v>
      </c>
      <c r="W3122" t="e">
        <f>IF(#REF! &lt;= 1, "0-1 Calls", IF(#REF! &lt;= 3, "2-3 Calls", IF(#REF! &lt;=5, "4-5 Calls", "6+ Calls")))</f>
        <v>#REF!</v>
      </c>
      <c r="X3122" t="e">
        <f>IF(#REF! &lt;= 50, "0-50", IF(#REF! &lt;=100, "51-100", IF(#REF! &lt;= 150, "101-150", "151+")))</f>
        <v>#REF!</v>
      </c>
      <c r="Y3122" t="e">
        <f>IF(#REF! &lt;= 3, "Low Charges", "High Charges")</f>
        <v>#REF!</v>
      </c>
      <c r="Z3122" t="e">
        <f>IF(#REF!&lt;=80,"Low Calls",
IF(#REF!&lt;=120,"Medium Calls","High Calls"))</f>
        <v>#REF!</v>
      </c>
      <c r="AA3122" t="e">
        <f>IF(#REF!&lt;=15,"Low Charges",
IF(#REF!&lt;=20,"Medium Charges","High Charges"))</f>
        <v>#REF!</v>
      </c>
      <c r="AB3122" t="e">
        <f>IF(AND(#REF!&gt;180, #REF!&gt;200), "Heavy Doemstic User", IF(#REF!&gt;10, "Interntional User", IF(AND(#REF!&lt;180, #REF!&lt;200,#REF!&lt;200), "Light User", "Balanced User")))</f>
        <v>#REF!</v>
      </c>
      <c r="AC3122" t="e">
        <f>IF(#REF! = 0, "No Usage", IF(#REF! &lt;= 20, "Low Usage", IF(#REF! &lt;= 40, "Medium Usgae", "High Usage")))</f>
        <v>#REF!</v>
      </c>
      <c r="AD3122" t="e">
        <f>IF(#REF!&lt;=150,"Low Usage", IF(#REF!&lt;=200,"Medium Usage", IF(#REF!&lt;=250,"High Usage","Very High Usage")))</f>
        <v>#REF!</v>
      </c>
      <c r="AE3122" t="e">
        <f>IF(#REF!&lt;=5,"Low Calls", IF(#REF!&lt;=10, "Medium Calls", "High Calls"))</f>
        <v>#REF!</v>
      </c>
      <c r="AF3122" t="e">
        <f xml:space="preserve">
IF(#REF!&gt;=4,4,0)+
IF(#REF!="yes",3,0)+
IF(#REF!="High Charges",3,0)+
IF(#REF!&gt;250,4,0)+
IF(#REF!="no",1,0)+
IF(#REF!="Heavy Domestic User",2,0)</f>
        <v>#REF!</v>
      </c>
      <c r="AG3122" t="e">
        <f>IF(#REF!&gt;=10,"High Risk", IF(#REF!&gt;=5,"Medium Risk","Low Risk"))</f>
        <v>#REF!</v>
      </c>
      <c r="AH3122" t="e">
        <f>#REF! + #REF! + #REF! + #REF!</f>
        <v>#REF!</v>
      </c>
    </row>
    <row r="3123" spans="1:34" x14ac:dyDescent="0.35">
      <c r="A3123">
        <v>3122</v>
      </c>
      <c r="B3123" t="s">
        <v>40</v>
      </c>
      <c r="C3123">
        <v>112</v>
      </c>
      <c r="D3123" t="s">
        <v>21</v>
      </c>
      <c r="E3123" t="s">
        <v>22</v>
      </c>
      <c r="F3123" t="s">
        <v>22</v>
      </c>
      <c r="G3123">
        <v>0</v>
      </c>
      <c r="H3123">
        <v>115.9</v>
      </c>
      <c r="I3123">
        <v>81</v>
      </c>
      <c r="J3123">
        <v>19.7</v>
      </c>
      <c r="K3123">
        <v>199.7</v>
      </c>
      <c r="L3123">
        <v>100</v>
      </c>
      <c r="M3123">
        <v>16.97</v>
      </c>
      <c r="N3123">
        <v>249.3</v>
      </c>
      <c r="O3123">
        <v>111</v>
      </c>
      <c r="P3123">
        <v>11.22</v>
      </c>
      <c r="Q3123">
        <v>10</v>
      </c>
      <c r="R3123">
        <v>4</v>
      </c>
      <c r="S3123">
        <v>2.7</v>
      </c>
      <c r="T3123">
        <v>1</v>
      </c>
      <c r="U3123" t="s">
        <v>22</v>
      </c>
      <c r="V3123" t="e">
        <f>IF(#REF! = "yes", 1, 0)</f>
        <v>#REF!</v>
      </c>
      <c r="W3123" t="e">
        <f>IF(#REF! &lt;= 1, "0-1 Calls", IF(#REF! &lt;= 3, "2-3 Calls", IF(#REF! &lt;=5, "4-5 Calls", "6+ Calls")))</f>
        <v>#REF!</v>
      </c>
      <c r="X3123" t="e">
        <f>IF(#REF! &lt;= 50, "0-50", IF(#REF! &lt;=100, "51-100", IF(#REF! &lt;= 150, "101-150", "151+")))</f>
        <v>#REF!</v>
      </c>
      <c r="Y3123" t="e">
        <f>IF(#REF! &lt;= 3, "Low Charges", "High Charges")</f>
        <v>#REF!</v>
      </c>
      <c r="Z3123" t="e">
        <f>IF(#REF!&lt;=80,"Low Calls",
IF(#REF!&lt;=120,"Medium Calls","High Calls"))</f>
        <v>#REF!</v>
      </c>
      <c r="AA3123" t="e">
        <f>IF(#REF!&lt;=15,"Low Charges",
IF(#REF!&lt;=20,"Medium Charges","High Charges"))</f>
        <v>#REF!</v>
      </c>
      <c r="AB3123" t="e">
        <f>IF(AND(#REF!&gt;180, #REF!&gt;200), "Heavy Doemstic User", IF(#REF!&gt;10, "Interntional User", IF(AND(#REF!&lt;180, #REF!&lt;200,#REF!&lt;200), "Light User", "Balanced User")))</f>
        <v>#REF!</v>
      </c>
      <c r="AC3123" t="e">
        <f>IF(#REF! = 0, "No Usage", IF(#REF! &lt;= 20, "Low Usage", IF(#REF! &lt;= 40, "Medium Usgae", "High Usage")))</f>
        <v>#REF!</v>
      </c>
      <c r="AD3123" t="e">
        <f>IF(#REF!&lt;=150,"Low Usage", IF(#REF!&lt;=200,"Medium Usage", IF(#REF!&lt;=250,"High Usage","Very High Usage")))</f>
        <v>#REF!</v>
      </c>
      <c r="AE3123" t="e">
        <f>IF(#REF!&lt;=5,"Low Calls", IF(#REF!&lt;=10, "Medium Calls", "High Calls"))</f>
        <v>#REF!</v>
      </c>
      <c r="AF3123" t="e">
        <f xml:space="preserve">
IF(#REF!&gt;=4,4,0)+
IF(#REF!="yes",3,0)+
IF(#REF!="High Charges",3,0)+
IF(#REF!&gt;250,4,0)+
IF(#REF!="no",1,0)+
IF(#REF!="Heavy Domestic User",2,0)</f>
        <v>#REF!</v>
      </c>
      <c r="AG3123" t="e">
        <f>IF(#REF!&gt;=10,"High Risk", IF(#REF!&gt;=5,"Medium Risk","Low Risk"))</f>
        <v>#REF!</v>
      </c>
      <c r="AH3123" t="e">
        <f>#REF! + #REF! + #REF! + #REF!</f>
        <v>#REF!</v>
      </c>
    </row>
    <row r="3124" spans="1:34" x14ac:dyDescent="0.35">
      <c r="A3124">
        <v>3123</v>
      </c>
      <c r="B3124" t="s">
        <v>55</v>
      </c>
      <c r="C3124">
        <v>52</v>
      </c>
      <c r="D3124" t="s">
        <v>25</v>
      </c>
      <c r="E3124" t="s">
        <v>22</v>
      </c>
      <c r="F3124" t="s">
        <v>22</v>
      </c>
      <c r="G3124">
        <v>0</v>
      </c>
      <c r="H3124">
        <v>288.2</v>
      </c>
      <c r="I3124">
        <v>108</v>
      </c>
      <c r="J3124">
        <v>48.99</v>
      </c>
      <c r="K3124">
        <v>129.6</v>
      </c>
      <c r="L3124">
        <v>136</v>
      </c>
      <c r="M3124">
        <v>11.02</v>
      </c>
      <c r="N3124">
        <v>229.6</v>
      </c>
      <c r="O3124">
        <v>73</v>
      </c>
      <c r="P3124">
        <v>10.33</v>
      </c>
      <c r="Q3124">
        <v>9.6</v>
      </c>
      <c r="R3124">
        <v>5</v>
      </c>
      <c r="S3124">
        <v>2.59</v>
      </c>
      <c r="T3124">
        <v>4</v>
      </c>
      <c r="U3124" t="s">
        <v>22</v>
      </c>
      <c r="V3124" t="e">
        <f>IF(#REF! = "yes", 1, 0)</f>
        <v>#REF!</v>
      </c>
      <c r="W3124" t="e">
        <f>IF(#REF! &lt;= 1, "0-1 Calls", IF(#REF! &lt;= 3, "2-3 Calls", IF(#REF! &lt;=5, "4-5 Calls", "6+ Calls")))</f>
        <v>#REF!</v>
      </c>
      <c r="X3124" t="e">
        <f>IF(#REF! &lt;= 50, "0-50", IF(#REF! &lt;=100, "51-100", IF(#REF! &lt;= 150, "101-150", "151+")))</f>
        <v>#REF!</v>
      </c>
      <c r="Y3124" t="e">
        <f>IF(#REF! &lt;= 3, "Low Charges", "High Charges")</f>
        <v>#REF!</v>
      </c>
      <c r="Z3124" t="e">
        <f>IF(#REF!&lt;=80,"Low Calls",
IF(#REF!&lt;=120,"Medium Calls","High Calls"))</f>
        <v>#REF!</v>
      </c>
      <c r="AA3124" t="e">
        <f>IF(#REF!&lt;=15,"Low Charges",
IF(#REF!&lt;=20,"Medium Charges","High Charges"))</f>
        <v>#REF!</v>
      </c>
      <c r="AB3124" t="e">
        <f>IF(AND(#REF!&gt;180, #REF!&gt;200), "Heavy Doemstic User", IF(#REF!&gt;10, "Interntional User", IF(AND(#REF!&lt;180, #REF!&lt;200,#REF!&lt;200), "Light User", "Balanced User")))</f>
        <v>#REF!</v>
      </c>
      <c r="AC3124" t="e">
        <f>IF(#REF! = 0, "No Usage", IF(#REF! &lt;= 20, "Low Usage", IF(#REF! &lt;= 40, "Medium Usgae", "High Usage")))</f>
        <v>#REF!</v>
      </c>
      <c r="AD3124" t="e">
        <f>IF(#REF!&lt;=150,"Low Usage", IF(#REF!&lt;=200,"Medium Usage", IF(#REF!&lt;=250,"High Usage","Very High Usage")))</f>
        <v>#REF!</v>
      </c>
      <c r="AE3124" t="e">
        <f>IF(#REF!&lt;=5,"Low Calls", IF(#REF!&lt;=10, "Medium Calls", "High Calls"))</f>
        <v>#REF!</v>
      </c>
      <c r="AF3124" t="e">
        <f xml:space="preserve">
IF(#REF!&gt;=4,4,0)+
IF(#REF!="yes",3,0)+
IF(#REF!="High Charges",3,0)+
IF(#REF!&gt;250,4,0)+
IF(#REF!="no",1,0)+
IF(#REF!="Heavy Domestic User",2,0)</f>
        <v>#REF!</v>
      </c>
      <c r="AG3124" t="e">
        <f>IF(#REF!&gt;=10,"High Risk", IF(#REF!&gt;=5,"Medium Risk","Low Risk"))</f>
        <v>#REF!</v>
      </c>
      <c r="AH3124" t="e">
        <f>#REF! + #REF! + #REF! + #REF!</f>
        <v>#REF!</v>
      </c>
    </row>
    <row r="3125" spans="1:34" x14ac:dyDescent="0.35">
      <c r="A3125">
        <v>3124</v>
      </c>
      <c r="B3125" t="s">
        <v>35</v>
      </c>
      <c r="C3125">
        <v>173</v>
      </c>
      <c r="D3125" t="s">
        <v>28</v>
      </c>
      <c r="E3125" t="s">
        <v>22</v>
      </c>
      <c r="F3125" t="s">
        <v>23</v>
      </c>
      <c r="G3125">
        <v>20</v>
      </c>
      <c r="H3125">
        <v>60.2</v>
      </c>
      <c r="I3125">
        <v>100</v>
      </c>
      <c r="J3125">
        <v>10.23</v>
      </c>
      <c r="K3125">
        <v>118.1</v>
      </c>
      <c r="L3125">
        <v>76</v>
      </c>
      <c r="M3125">
        <v>10.039999999999999</v>
      </c>
      <c r="N3125">
        <v>230.1</v>
      </c>
      <c r="O3125">
        <v>131</v>
      </c>
      <c r="P3125">
        <v>10.35</v>
      </c>
      <c r="Q3125">
        <v>13.3</v>
      </c>
      <c r="R3125">
        <v>4</v>
      </c>
      <c r="S3125">
        <v>3.59</v>
      </c>
      <c r="T3125">
        <v>1</v>
      </c>
      <c r="U3125" t="s">
        <v>22</v>
      </c>
      <c r="V3125" t="e">
        <f>IF(#REF! = "yes", 1, 0)</f>
        <v>#REF!</v>
      </c>
      <c r="W3125" t="e">
        <f>IF(#REF! &lt;= 1, "0-1 Calls", IF(#REF! &lt;= 3, "2-3 Calls", IF(#REF! &lt;=5, "4-5 Calls", "6+ Calls")))</f>
        <v>#REF!</v>
      </c>
      <c r="X3125" t="e">
        <f>IF(#REF! &lt;= 50, "0-50", IF(#REF! &lt;=100, "51-100", IF(#REF! &lt;= 150, "101-150", "151+")))</f>
        <v>#REF!</v>
      </c>
      <c r="Y3125" t="e">
        <f>IF(#REF! &lt;= 3, "Low Charges", "High Charges")</f>
        <v>#REF!</v>
      </c>
      <c r="Z3125" t="e">
        <f>IF(#REF!&lt;=80,"Low Calls",
IF(#REF!&lt;=120,"Medium Calls","High Calls"))</f>
        <v>#REF!</v>
      </c>
      <c r="AA3125" t="e">
        <f>IF(#REF!&lt;=15,"Low Charges",
IF(#REF!&lt;=20,"Medium Charges","High Charges"))</f>
        <v>#REF!</v>
      </c>
      <c r="AB3125" t="e">
        <f>IF(AND(#REF!&gt;180, #REF!&gt;200), "Heavy Doemstic User", IF(#REF!&gt;10, "Interntional User", IF(AND(#REF!&lt;180, #REF!&lt;200,#REF!&lt;200), "Light User", "Balanced User")))</f>
        <v>#REF!</v>
      </c>
      <c r="AC3125" t="e">
        <f>IF(#REF! = 0, "No Usage", IF(#REF! &lt;= 20, "Low Usage", IF(#REF! &lt;= 40, "Medium Usgae", "High Usage")))</f>
        <v>#REF!</v>
      </c>
      <c r="AD3125" t="e">
        <f>IF(#REF!&lt;=150,"Low Usage", IF(#REF!&lt;=200,"Medium Usage", IF(#REF!&lt;=250,"High Usage","Very High Usage")))</f>
        <v>#REF!</v>
      </c>
      <c r="AE3125" t="e">
        <f>IF(#REF!&lt;=5,"Low Calls", IF(#REF!&lt;=10, "Medium Calls", "High Calls"))</f>
        <v>#REF!</v>
      </c>
      <c r="AF3125" t="e">
        <f xml:space="preserve">
IF(#REF!&gt;=4,4,0)+
IF(#REF!="yes",3,0)+
IF(#REF!="High Charges",3,0)+
IF(#REF!&gt;250,4,0)+
IF(#REF!="no",1,0)+
IF(#REF!="Heavy Domestic User",2,0)</f>
        <v>#REF!</v>
      </c>
      <c r="AG3125" t="e">
        <f>IF(#REF!&gt;=10,"High Risk", IF(#REF!&gt;=5,"Medium Risk","Low Risk"))</f>
        <v>#REF!</v>
      </c>
      <c r="AH3125" t="e">
        <f>#REF! + #REF! + #REF! + #REF!</f>
        <v>#REF!</v>
      </c>
    </row>
    <row r="3126" spans="1:34" x14ac:dyDescent="0.35">
      <c r="A3126">
        <v>3125</v>
      </c>
      <c r="B3126" t="s">
        <v>52</v>
      </c>
      <c r="C3126">
        <v>3</v>
      </c>
      <c r="D3126" t="s">
        <v>28</v>
      </c>
      <c r="E3126" t="s">
        <v>22</v>
      </c>
      <c r="F3126" t="s">
        <v>22</v>
      </c>
      <c r="G3126">
        <v>0</v>
      </c>
      <c r="H3126">
        <v>125.5</v>
      </c>
      <c r="I3126">
        <v>100</v>
      </c>
      <c r="J3126">
        <v>21.34</v>
      </c>
      <c r="K3126">
        <v>266.2</v>
      </c>
      <c r="L3126">
        <v>78</v>
      </c>
      <c r="M3126">
        <v>22.63</v>
      </c>
      <c r="N3126">
        <v>270.39999999999998</v>
      </c>
      <c r="O3126">
        <v>119</v>
      </c>
      <c r="P3126">
        <v>12.17</v>
      </c>
      <c r="Q3126">
        <v>5.9</v>
      </c>
      <c r="R3126">
        <v>6</v>
      </c>
      <c r="S3126">
        <v>1.59</v>
      </c>
      <c r="T3126">
        <v>3</v>
      </c>
      <c r="U3126" t="s">
        <v>23</v>
      </c>
      <c r="V3126" t="e">
        <f>IF(#REF! = "yes", 1, 0)</f>
        <v>#REF!</v>
      </c>
      <c r="W3126" t="e">
        <f>IF(#REF! &lt;= 1, "0-1 Calls", IF(#REF! &lt;= 3, "2-3 Calls", IF(#REF! &lt;=5, "4-5 Calls", "6+ Calls")))</f>
        <v>#REF!</v>
      </c>
      <c r="X3126" t="e">
        <f>IF(#REF! &lt;= 50, "0-50", IF(#REF! &lt;=100, "51-100", IF(#REF! &lt;= 150, "101-150", "151+")))</f>
        <v>#REF!</v>
      </c>
      <c r="Y3126" t="e">
        <f>IF(#REF! &lt;= 3, "Low Charges", "High Charges")</f>
        <v>#REF!</v>
      </c>
      <c r="Z3126" t="e">
        <f>IF(#REF!&lt;=80,"Low Calls",
IF(#REF!&lt;=120,"Medium Calls","High Calls"))</f>
        <v>#REF!</v>
      </c>
      <c r="AA3126" t="e">
        <f>IF(#REF!&lt;=15,"Low Charges",
IF(#REF!&lt;=20,"Medium Charges","High Charges"))</f>
        <v>#REF!</v>
      </c>
      <c r="AB3126" t="e">
        <f>IF(AND(#REF!&gt;180, #REF!&gt;200), "Heavy Doemstic User", IF(#REF!&gt;10, "Interntional User", IF(AND(#REF!&lt;180, #REF!&lt;200,#REF!&lt;200), "Light User", "Balanced User")))</f>
        <v>#REF!</v>
      </c>
      <c r="AC3126" t="e">
        <f>IF(#REF! = 0, "No Usage", IF(#REF! &lt;= 20, "Low Usage", IF(#REF! &lt;= 40, "Medium Usgae", "High Usage")))</f>
        <v>#REF!</v>
      </c>
      <c r="AD3126" t="e">
        <f>IF(#REF!&lt;=150,"Low Usage", IF(#REF!&lt;=200,"Medium Usage", IF(#REF!&lt;=250,"High Usage","Very High Usage")))</f>
        <v>#REF!</v>
      </c>
      <c r="AE3126" t="e">
        <f>IF(#REF!&lt;=5,"Low Calls", IF(#REF!&lt;=10, "Medium Calls", "High Calls"))</f>
        <v>#REF!</v>
      </c>
      <c r="AF3126" t="e">
        <f xml:space="preserve">
IF(#REF!&gt;=4,4,0)+
IF(#REF!="yes",3,0)+
IF(#REF!="High Charges",3,0)+
IF(#REF!&gt;250,4,0)+
IF(#REF!="no",1,0)+
IF(#REF!="Heavy Domestic User",2,0)</f>
        <v>#REF!</v>
      </c>
      <c r="AG3126" t="e">
        <f>IF(#REF!&gt;=10,"High Risk", IF(#REF!&gt;=5,"Medium Risk","Low Risk"))</f>
        <v>#REF!</v>
      </c>
      <c r="AH3126" t="e">
        <f>#REF! + #REF! + #REF! + #REF!</f>
        <v>#REF!</v>
      </c>
    </row>
    <row r="3127" spans="1:34" x14ac:dyDescent="0.35">
      <c r="A3127">
        <v>3126</v>
      </c>
      <c r="B3127" t="s">
        <v>68</v>
      </c>
      <c r="C3127">
        <v>120</v>
      </c>
      <c r="D3127" t="s">
        <v>21</v>
      </c>
      <c r="E3127" t="s">
        <v>22</v>
      </c>
      <c r="F3127" t="s">
        <v>23</v>
      </c>
      <c r="G3127">
        <v>27</v>
      </c>
      <c r="H3127">
        <v>179.6</v>
      </c>
      <c r="I3127">
        <v>142</v>
      </c>
      <c r="J3127">
        <v>30.53</v>
      </c>
      <c r="K3127">
        <v>262.8</v>
      </c>
      <c r="L3127">
        <v>103</v>
      </c>
      <c r="M3127">
        <v>22.34</v>
      </c>
      <c r="N3127">
        <v>239.9</v>
      </c>
      <c r="O3127">
        <v>81</v>
      </c>
      <c r="P3127">
        <v>10.8</v>
      </c>
      <c r="Q3127">
        <v>11.1</v>
      </c>
      <c r="R3127">
        <v>2</v>
      </c>
      <c r="S3127">
        <v>3</v>
      </c>
      <c r="T3127">
        <v>1</v>
      </c>
      <c r="U3127" t="s">
        <v>22</v>
      </c>
      <c r="V3127" t="e">
        <f>IF(#REF! = "yes", 1, 0)</f>
        <v>#REF!</v>
      </c>
      <c r="W3127" t="e">
        <f>IF(#REF! &lt;= 1, "0-1 Calls", IF(#REF! &lt;= 3, "2-3 Calls", IF(#REF! &lt;=5, "4-5 Calls", "6+ Calls")))</f>
        <v>#REF!</v>
      </c>
      <c r="X3127" t="e">
        <f>IF(#REF! &lt;= 50, "0-50", IF(#REF! &lt;=100, "51-100", IF(#REF! &lt;= 150, "101-150", "151+")))</f>
        <v>#REF!</v>
      </c>
      <c r="Y3127" t="e">
        <f>IF(#REF! &lt;= 3, "Low Charges", "High Charges")</f>
        <v>#REF!</v>
      </c>
      <c r="Z3127" t="e">
        <f>IF(#REF!&lt;=80,"Low Calls",
IF(#REF!&lt;=120,"Medium Calls","High Calls"))</f>
        <v>#REF!</v>
      </c>
      <c r="AA3127" t="e">
        <f>IF(#REF!&lt;=15,"Low Charges",
IF(#REF!&lt;=20,"Medium Charges","High Charges"))</f>
        <v>#REF!</v>
      </c>
      <c r="AB3127" t="e">
        <f>IF(AND(#REF!&gt;180, #REF!&gt;200), "Heavy Doemstic User", IF(#REF!&gt;10, "Interntional User", IF(AND(#REF!&lt;180, #REF!&lt;200,#REF!&lt;200), "Light User", "Balanced User")))</f>
        <v>#REF!</v>
      </c>
      <c r="AC3127" t="e">
        <f>IF(#REF! = 0, "No Usage", IF(#REF! &lt;= 20, "Low Usage", IF(#REF! &lt;= 40, "Medium Usgae", "High Usage")))</f>
        <v>#REF!</v>
      </c>
      <c r="AD3127" t="e">
        <f>IF(#REF!&lt;=150,"Low Usage", IF(#REF!&lt;=200,"Medium Usage", IF(#REF!&lt;=250,"High Usage","Very High Usage")))</f>
        <v>#REF!</v>
      </c>
      <c r="AE3127" t="e">
        <f>IF(#REF!&lt;=5,"Low Calls", IF(#REF!&lt;=10, "Medium Calls", "High Calls"))</f>
        <v>#REF!</v>
      </c>
      <c r="AF3127" t="e">
        <f xml:space="preserve">
IF(#REF!&gt;=4,4,0)+
IF(#REF!="yes",3,0)+
IF(#REF!="High Charges",3,0)+
IF(#REF!&gt;250,4,0)+
IF(#REF!="no",1,0)+
IF(#REF!="Heavy Domestic User",2,0)</f>
        <v>#REF!</v>
      </c>
      <c r="AG3127" t="e">
        <f>IF(#REF!&gt;=10,"High Risk", IF(#REF!&gt;=5,"Medium Risk","Low Risk"))</f>
        <v>#REF!</v>
      </c>
      <c r="AH3127" t="e">
        <f>#REF! + #REF! + #REF! + #REF!</f>
        <v>#REF!</v>
      </c>
    </row>
    <row r="3128" spans="1:34" x14ac:dyDescent="0.35">
      <c r="A3128">
        <v>3127</v>
      </c>
      <c r="B3128" t="s">
        <v>50</v>
      </c>
      <c r="C3128">
        <v>132</v>
      </c>
      <c r="D3128" t="s">
        <v>21</v>
      </c>
      <c r="E3128" t="s">
        <v>22</v>
      </c>
      <c r="F3128" t="s">
        <v>22</v>
      </c>
      <c r="G3128">
        <v>0</v>
      </c>
      <c r="H3128">
        <v>99</v>
      </c>
      <c r="I3128">
        <v>126</v>
      </c>
      <c r="J3128">
        <v>16.829999999999998</v>
      </c>
      <c r="K3128">
        <v>189.4</v>
      </c>
      <c r="L3128">
        <v>76</v>
      </c>
      <c r="M3128">
        <v>16.100000000000001</v>
      </c>
      <c r="N3128">
        <v>156.30000000000001</v>
      </c>
      <c r="O3128">
        <v>108</v>
      </c>
      <c r="P3128">
        <v>7.03</v>
      </c>
      <c r="Q3128">
        <v>8.4</v>
      </c>
      <c r="R3128">
        <v>3</v>
      </c>
      <c r="S3128">
        <v>2.27</v>
      </c>
      <c r="T3128">
        <v>1</v>
      </c>
      <c r="U3128" t="s">
        <v>22</v>
      </c>
      <c r="V3128" t="e">
        <f>IF(#REF! = "yes", 1, 0)</f>
        <v>#REF!</v>
      </c>
      <c r="W3128" t="e">
        <f>IF(#REF! &lt;= 1, "0-1 Calls", IF(#REF! &lt;= 3, "2-3 Calls", IF(#REF! &lt;=5, "4-5 Calls", "6+ Calls")))</f>
        <v>#REF!</v>
      </c>
      <c r="X3128" t="e">
        <f>IF(#REF! &lt;= 50, "0-50", IF(#REF! &lt;=100, "51-100", IF(#REF! &lt;= 150, "101-150", "151+")))</f>
        <v>#REF!</v>
      </c>
      <c r="Y3128" t="e">
        <f>IF(#REF! &lt;= 3, "Low Charges", "High Charges")</f>
        <v>#REF!</v>
      </c>
      <c r="Z3128" t="e">
        <f>IF(#REF!&lt;=80,"Low Calls",
IF(#REF!&lt;=120,"Medium Calls","High Calls"))</f>
        <v>#REF!</v>
      </c>
      <c r="AA3128" t="e">
        <f>IF(#REF!&lt;=15,"Low Charges",
IF(#REF!&lt;=20,"Medium Charges","High Charges"))</f>
        <v>#REF!</v>
      </c>
      <c r="AB3128" t="e">
        <f>IF(AND(#REF!&gt;180, #REF!&gt;200), "Heavy Doemstic User", IF(#REF!&gt;10, "Interntional User", IF(AND(#REF!&lt;180, #REF!&lt;200,#REF!&lt;200), "Light User", "Balanced User")))</f>
        <v>#REF!</v>
      </c>
      <c r="AC3128" t="e">
        <f>IF(#REF! = 0, "No Usage", IF(#REF! &lt;= 20, "Low Usage", IF(#REF! &lt;= 40, "Medium Usgae", "High Usage")))</f>
        <v>#REF!</v>
      </c>
      <c r="AD3128" t="e">
        <f>IF(#REF!&lt;=150,"Low Usage", IF(#REF!&lt;=200,"Medium Usage", IF(#REF!&lt;=250,"High Usage","Very High Usage")))</f>
        <v>#REF!</v>
      </c>
      <c r="AE3128" t="e">
        <f>IF(#REF!&lt;=5,"Low Calls", IF(#REF!&lt;=10, "Medium Calls", "High Calls"))</f>
        <v>#REF!</v>
      </c>
      <c r="AF3128" t="e">
        <f xml:space="preserve">
IF(#REF!&gt;=4,4,0)+
IF(#REF!="yes",3,0)+
IF(#REF!="High Charges",3,0)+
IF(#REF!&gt;250,4,0)+
IF(#REF!="no",1,0)+
IF(#REF!="Heavy Domestic User",2,0)</f>
        <v>#REF!</v>
      </c>
      <c r="AG3128" t="e">
        <f>IF(#REF!&gt;=10,"High Risk", IF(#REF!&gt;=5,"Medium Risk","Low Risk"))</f>
        <v>#REF!</v>
      </c>
      <c r="AH3128" t="e">
        <f>#REF! + #REF! + #REF! + #REF!</f>
        <v>#REF!</v>
      </c>
    </row>
    <row r="3129" spans="1:34" x14ac:dyDescent="0.35">
      <c r="A3129">
        <v>3128</v>
      </c>
      <c r="B3129" t="s">
        <v>49</v>
      </c>
      <c r="C3129">
        <v>101</v>
      </c>
      <c r="D3129" t="s">
        <v>25</v>
      </c>
      <c r="E3129" t="s">
        <v>22</v>
      </c>
      <c r="F3129" t="s">
        <v>22</v>
      </c>
      <c r="G3129">
        <v>0</v>
      </c>
      <c r="H3129">
        <v>155.4</v>
      </c>
      <c r="I3129">
        <v>71</v>
      </c>
      <c r="J3129">
        <v>26.42</v>
      </c>
      <c r="K3129">
        <v>84</v>
      </c>
      <c r="L3129">
        <v>122</v>
      </c>
      <c r="M3129">
        <v>7.14</v>
      </c>
      <c r="N3129">
        <v>229.1</v>
      </c>
      <c r="O3129">
        <v>97</v>
      </c>
      <c r="P3129">
        <v>10.31</v>
      </c>
      <c r="Q3129">
        <v>5.8</v>
      </c>
      <c r="R3129">
        <v>1</v>
      </c>
      <c r="S3129">
        <v>1.57</v>
      </c>
      <c r="T3129">
        <v>1</v>
      </c>
      <c r="U3129" t="s">
        <v>22</v>
      </c>
      <c r="V3129" t="e">
        <f>IF(#REF! = "yes", 1, 0)</f>
        <v>#REF!</v>
      </c>
      <c r="W3129" t="e">
        <f>IF(#REF! &lt;= 1, "0-1 Calls", IF(#REF! &lt;= 3, "2-3 Calls", IF(#REF! &lt;=5, "4-5 Calls", "6+ Calls")))</f>
        <v>#REF!</v>
      </c>
      <c r="X3129" t="e">
        <f>IF(#REF! &lt;= 50, "0-50", IF(#REF! &lt;=100, "51-100", IF(#REF! &lt;= 150, "101-150", "151+")))</f>
        <v>#REF!</v>
      </c>
      <c r="Y3129" t="e">
        <f>IF(#REF! &lt;= 3, "Low Charges", "High Charges")</f>
        <v>#REF!</v>
      </c>
      <c r="Z3129" t="e">
        <f>IF(#REF!&lt;=80,"Low Calls",
IF(#REF!&lt;=120,"Medium Calls","High Calls"))</f>
        <v>#REF!</v>
      </c>
      <c r="AA3129" t="e">
        <f>IF(#REF!&lt;=15,"Low Charges",
IF(#REF!&lt;=20,"Medium Charges","High Charges"))</f>
        <v>#REF!</v>
      </c>
      <c r="AB3129" t="e">
        <f>IF(AND(#REF!&gt;180, #REF!&gt;200), "Heavy Doemstic User", IF(#REF!&gt;10, "Interntional User", IF(AND(#REF!&lt;180, #REF!&lt;200,#REF!&lt;200), "Light User", "Balanced User")))</f>
        <v>#REF!</v>
      </c>
      <c r="AC3129" t="e">
        <f>IF(#REF! = 0, "No Usage", IF(#REF! &lt;= 20, "Low Usage", IF(#REF! &lt;= 40, "Medium Usgae", "High Usage")))</f>
        <v>#REF!</v>
      </c>
      <c r="AD3129" t="e">
        <f>IF(#REF!&lt;=150,"Low Usage", IF(#REF!&lt;=200,"Medium Usage", IF(#REF!&lt;=250,"High Usage","Very High Usage")))</f>
        <v>#REF!</v>
      </c>
      <c r="AE3129" t="e">
        <f>IF(#REF!&lt;=5,"Low Calls", IF(#REF!&lt;=10, "Medium Calls", "High Calls"))</f>
        <v>#REF!</v>
      </c>
      <c r="AF3129" t="e">
        <f xml:space="preserve">
IF(#REF!&gt;=4,4,0)+
IF(#REF!="yes",3,0)+
IF(#REF!="High Charges",3,0)+
IF(#REF!&gt;250,4,0)+
IF(#REF!="no",1,0)+
IF(#REF!="Heavy Domestic User",2,0)</f>
        <v>#REF!</v>
      </c>
      <c r="AG3129" t="e">
        <f>IF(#REF!&gt;=10,"High Risk", IF(#REF!&gt;=5,"Medium Risk","Low Risk"))</f>
        <v>#REF!</v>
      </c>
      <c r="AH3129" t="e">
        <f>#REF! + #REF! + #REF! + #REF!</f>
        <v>#REF!</v>
      </c>
    </row>
    <row r="3130" spans="1:34" x14ac:dyDescent="0.35">
      <c r="A3130">
        <v>3129</v>
      </c>
      <c r="B3130" t="s">
        <v>75</v>
      </c>
      <c r="C3130">
        <v>58</v>
      </c>
      <c r="D3130" t="s">
        <v>25</v>
      </c>
      <c r="E3130" t="s">
        <v>22</v>
      </c>
      <c r="F3130" t="s">
        <v>22</v>
      </c>
      <c r="G3130">
        <v>0</v>
      </c>
      <c r="H3130">
        <v>177.4</v>
      </c>
      <c r="I3130">
        <v>107</v>
      </c>
      <c r="J3130">
        <v>30.16</v>
      </c>
      <c r="K3130">
        <v>204.7</v>
      </c>
      <c r="L3130">
        <v>104</v>
      </c>
      <c r="M3130">
        <v>17.399999999999999</v>
      </c>
      <c r="N3130">
        <v>141.9</v>
      </c>
      <c r="O3130">
        <v>123</v>
      </c>
      <c r="P3130">
        <v>6.39</v>
      </c>
      <c r="Q3130">
        <v>15</v>
      </c>
      <c r="R3130">
        <v>9</v>
      </c>
      <c r="S3130">
        <v>4.05</v>
      </c>
      <c r="T3130">
        <v>3</v>
      </c>
      <c r="U3130" t="s">
        <v>22</v>
      </c>
      <c r="V3130" t="e">
        <f>IF(#REF! = "yes", 1, 0)</f>
        <v>#REF!</v>
      </c>
      <c r="W3130" t="e">
        <f>IF(#REF! &lt;= 1, "0-1 Calls", IF(#REF! &lt;= 3, "2-3 Calls", IF(#REF! &lt;=5, "4-5 Calls", "6+ Calls")))</f>
        <v>#REF!</v>
      </c>
      <c r="X3130" t="e">
        <f>IF(#REF! &lt;= 50, "0-50", IF(#REF! &lt;=100, "51-100", IF(#REF! &lt;= 150, "101-150", "151+")))</f>
        <v>#REF!</v>
      </c>
      <c r="Y3130" t="e">
        <f>IF(#REF! &lt;= 3, "Low Charges", "High Charges")</f>
        <v>#REF!</v>
      </c>
      <c r="Z3130" t="e">
        <f>IF(#REF!&lt;=80,"Low Calls",
IF(#REF!&lt;=120,"Medium Calls","High Calls"))</f>
        <v>#REF!</v>
      </c>
      <c r="AA3130" t="e">
        <f>IF(#REF!&lt;=15,"Low Charges",
IF(#REF!&lt;=20,"Medium Charges","High Charges"))</f>
        <v>#REF!</v>
      </c>
      <c r="AB3130" t="e">
        <f>IF(AND(#REF!&gt;180, #REF!&gt;200), "Heavy Doemstic User", IF(#REF!&gt;10, "Interntional User", IF(AND(#REF!&lt;180, #REF!&lt;200,#REF!&lt;200), "Light User", "Balanced User")))</f>
        <v>#REF!</v>
      </c>
      <c r="AC3130" t="e">
        <f>IF(#REF! = 0, "No Usage", IF(#REF! &lt;= 20, "Low Usage", IF(#REF! &lt;= 40, "Medium Usgae", "High Usage")))</f>
        <v>#REF!</v>
      </c>
      <c r="AD3130" t="e">
        <f>IF(#REF!&lt;=150,"Low Usage", IF(#REF!&lt;=200,"Medium Usage", IF(#REF!&lt;=250,"High Usage","Very High Usage")))</f>
        <v>#REF!</v>
      </c>
      <c r="AE3130" t="e">
        <f>IF(#REF!&lt;=5,"Low Calls", IF(#REF!&lt;=10, "Medium Calls", "High Calls"))</f>
        <v>#REF!</v>
      </c>
      <c r="AF3130" t="e">
        <f xml:space="preserve">
IF(#REF!&gt;=4,4,0)+
IF(#REF!="yes",3,0)+
IF(#REF!="High Charges",3,0)+
IF(#REF!&gt;250,4,0)+
IF(#REF!="no",1,0)+
IF(#REF!="Heavy Domestic User",2,0)</f>
        <v>#REF!</v>
      </c>
      <c r="AG3130" t="e">
        <f>IF(#REF!&gt;=10,"High Risk", IF(#REF!&gt;=5,"Medium Risk","Low Risk"))</f>
        <v>#REF!</v>
      </c>
      <c r="AH3130" t="e">
        <f>#REF! + #REF! + #REF! + #REF!</f>
        <v>#REF!</v>
      </c>
    </row>
    <row r="3131" spans="1:34" x14ac:dyDescent="0.35">
      <c r="A3131">
        <v>3130</v>
      </c>
      <c r="B3131" t="s">
        <v>46</v>
      </c>
      <c r="C3131">
        <v>74</v>
      </c>
      <c r="D3131" t="s">
        <v>28</v>
      </c>
      <c r="E3131" t="s">
        <v>22</v>
      </c>
      <c r="F3131" t="s">
        <v>22</v>
      </c>
      <c r="G3131">
        <v>0</v>
      </c>
      <c r="H3131">
        <v>233.6</v>
      </c>
      <c r="I3131">
        <v>72</v>
      </c>
      <c r="J3131">
        <v>39.71</v>
      </c>
      <c r="K3131">
        <v>168</v>
      </c>
      <c r="L3131">
        <v>103</v>
      </c>
      <c r="M3131">
        <v>14.28</v>
      </c>
      <c r="N3131">
        <v>276.3</v>
      </c>
      <c r="O3131">
        <v>71</v>
      </c>
      <c r="P3131">
        <v>12.43</v>
      </c>
      <c r="Q3131">
        <v>6.3</v>
      </c>
      <c r="R3131">
        <v>2</v>
      </c>
      <c r="S3131">
        <v>1.7</v>
      </c>
      <c r="T3131">
        <v>2</v>
      </c>
      <c r="U3131" t="s">
        <v>22</v>
      </c>
      <c r="V3131" t="e">
        <f>IF(#REF! = "yes", 1, 0)</f>
        <v>#REF!</v>
      </c>
      <c r="W3131" t="e">
        <f>IF(#REF! &lt;= 1, "0-1 Calls", IF(#REF! &lt;= 3, "2-3 Calls", IF(#REF! &lt;=5, "4-5 Calls", "6+ Calls")))</f>
        <v>#REF!</v>
      </c>
      <c r="X3131" t="e">
        <f>IF(#REF! &lt;= 50, "0-50", IF(#REF! &lt;=100, "51-100", IF(#REF! &lt;= 150, "101-150", "151+")))</f>
        <v>#REF!</v>
      </c>
      <c r="Y3131" t="e">
        <f>IF(#REF! &lt;= 3, "Low Charges", "High Charges")</f>
        <v>#REF!</v>
      </c>
      <c r="Z3131" t="e">
        <f>IF(#REF!&lt;=80,"Low Calls",
IF(#REF!&lt;=120,"Medium Calls","High Calls"))</f>
        <v>#REF!</v>
      </c>
      <c r="AA3131" t="e">
        <f>IF(#REF!&lt;=15,"Low Charges",
IF(#REF!&lt;=20,"Medium Charges","High Charges"))</f>
        <v>#REF!</v>
      </c>
      <c r="AB3131" t="e">
        <f>IF(AND(#REF!&gt;180, #REF!&gt;200), "Heavy Doemstic User", IF(#REF!&gt;10, "Interntional User", IF(AND(#REF!&lt;180, #REF!&lt;200,#REF!&lt;200), "Light User", "Balanced User")))</f>
        <v>#REF!</v>
      </c>
      <c r="AC3131" t="e">
        <f>IF(#REF! = 0, "No Usage", IF(#REF! &lt;= 20, "Low Usage", IF(#REF! &lt;= 40, "Medium Usgae", "High Usage")))</f>
        <v>#REF!</v>
      </c>
      <c r="AD3131" t="e">
        <f>IF(#REF!&lt;=150,"Low Usage", IF(#REF!&lt;=200,"Medium Usage", IF(#REF!&lt;=250,"High Usage","Very High Usage")))</f>
        <v>#REF!</v>
      </c>
      <c r="AE3131" t="e">
        <f>IF(#REF!&lt;=5,"Low Calls", IF(#REF!&lt;=10, "Medium Calls", "High Calls"))</f>
        <v>#REF!</v>
      </c>
      <c r="AF3131" t="e">
        <f xml:space="preserve">
IF(#REF!&gt;=4,4,0)+
IF(#REF!="yes",3,0)+
IF(#REF!="High Charges",3,0)+
IF(#REF!&gt;250,4,0)+
IF(#REF!="no",1,0)+
IF(#REF!="Heavy Domestic User",2,0)</f>
        <v>#REF!</v>
      </c>
      <c r="AG3131" t="e">
        <f>IF(#REF!&gt;=10,"High Risk", IF(#REF!&gt;=5,"Medium Risk","Low Risk"))</f>
        <v>#REF!</v>
      </c>
      <c r="AH3131" t="e">
        <f>#REF! + #REF! + #REF! + #REF!</f>
        <v>#REF!</v>
      </c>
    </row>
    <row r="3132" spans="1:34" x14ac:dyDescent="0.35">
      <c r="A3132">
        <v>3131</v>
      </c>
      <c r="B3132" t="s">
        <v>37</v>
      </c>
      <c r="C3132">
        <v>113</v>
      </c>
      <c r="D3132" t="s">
        <v>25</v>
      </c>
      <c r="E3132" t="s">
        <v>22</v>
      </c>
      <c r="F3132" t="s">
        <v>22</v>
      </c>
      <c r="G3132">
        <v>0</v>
      </c>
      <c r="H3132">
        <v>210.2</v>
      </c>
      <c r="I3132">
        <v>109</v>
      </c>
      <c r="J3132">
        <v>35.729999999999997</v>
      </c>
      <c r="K3132">
        <v>199.4</v>
      </c>
      <c r="L3132">
        <v>81</v>
      </c>
      <c r="M3132">
        <v>16.95</v>
      </c>
      <c r="N3132">
        <v>173.3</v>
      </c>
      <c r="O3132">
        <v>94</v>
      </c>
      <c r="P3132">
        <v>7.8</v>
      </c>
      <c r="Q3132">
        <v>9.9</v>
      </c>
      <c r="R3132">
        <v>4</v>
      </c>
      <c r="S3132">
        <v>2.67</v>
      </c>
      <c r="T3132">
        <v>3</v>
      </c>
      <c r="U3132" t="s">
        <v>22</v>
      </c>
      <c r="V3132" t="e">
        <f>IF(#REF! = "yes", 1, 0)</f>
        <v>#REF!</v>
      </c>
      <c r="W3132" t="e">
        <f>IF(#REF! &lt;= 1, "0-1 Calls", IF(#REF! &lt;= 3, "2-3 Calls", IF(#REF! &lt;=5, "4-5 Calls", "6+ Calls")))</f>
        <v>#REF!</v>
      </c>
      <c r="X3132" t="e">
        <f>IF(#REF! &lt;= 50, "0-50", IF(#REF! &lt;=100, "51-100", IF(#REF! &lt;= 150, "101-150", "151+")))</f>
        <v>#REF!</v>
      </c>
      <c r="Y3132" t="e">
        <f>IF(#REF! &lt;= 3, "Low Charges", "High Charges")</f>
        <v>#REF!</v>
      </c>
      <c r="Z3132" t="e">
        <f>IF(#REF!&lt;=80,"Low Calls",
IF(#REF!&lt;=120,"Medium Calls","High Calls"))</f>
        <v>#REF!</v>
      </c>
      <c r="AA3132" t="e">
        <f>IF(#REF!&lt;=15,"Low Charges",
IF(#REF!&lt;=20,"Medium Charges","High Charges"))</f>
        <v>#REF!</v>
      </c>
      <c r="AB3132" t="e">
        <f>IF(AND(#REF!&gt;180, #REF!&gt;200), "Heavy Doemstic User", IF(#REF!&gt;10, "Interntional User", IF(AND(#REF!&lt;180, #REF!&lt;200,#REF!&lt;200), "Light User", "Balanced User")))</f>
        <v>#REF!</v>
      </c>
      <c r="AC3132" t="e">
        <f>IF(#REF! = 0, "No Usage", IF(#REF! &lt;= 20, "Low Usage", IF(#REF! &lt;= 40, "Medium Usgae", "High Usage")))</f>
        <v>#REF!</v>
      </c>
      <c r="AD3132" t="e">
        <f>IF(#REF!&lt;=150,"Low Usage", IF(#REF!&lt;=200,"Medium Usage", IF(#REF!&lt;=250,"High Usage","Very High Usage")))</f>
        <v>#REF!</v>
      </c>
      <c r="AE3132" t="e">
        <f>IF(#REF!&lt;=5,"Low Calls", IF(#REF!&lt;=10, "Medium Calls", "High Calls"))</f>
        <v>#REF!</v>
      </c>
      <c r="AF3132" t="e">
        <f xml:space="preserve">
IF(#REF!&gt;=4,4,0)+
IF(#REF!="yes",3,0)+
IF(#REF!="High Charges",3,0)+
IF(#REF!&gt;250,4,0)+
IF(#REF!="no",1,0)+
IF(#REF!="Heavy Domestic User",2,0)</f>
        <v>#REF!</v>
      </c>
      <c r="AG3132" t="e">
        <f>IF(#REF!&gt;=10,"High Risk", IF(#REF!&gt;=5,"Medium Risk","Low Risk"))</f>
        <v>#REF!</v>
      </c>
      <c r="AH3132" t="e">
        <f>#REF! + #REF! + #REF! + #REF!</f>
        <v>#REF!</v>
      </c>
    </row>
    <row r="3133" spans="1:34" x14ac:dyDescent="0.35">
      <c r="A3133">
        <v>3132</v>
      </c>
      <c r="B3133" t="s">
        <v>67</v>
      </c>
      <c r="C3133">
        <v>132</v>
      </c>
      <c r="D3133" t="s">
        <v>28</v>
      </c>
      <c r="E3133" t="s">
        <v>22</v>
      </c>
      <c r="F3133" t="s">
        <v>22</v>
      </c>
      <c r="G3133">
        <v>0</v>
      </c>
      <c r="H3133">
        <v>126.8</v>
      </c>
      <c r="I3133">
        <v>83</v>
      </c>
      <c r="J3133">
        <v>21.56</v>
      </c>
      <c r="K3133">
        <v>243.2</v>
      </c>
      <c r="L3133">
        <v>97</v>
      </c>
      <c r="M3133">
        <v>20.67</v>
      </c>
      <c r="N3133">
        <v>223.4</v>
      </c>
      <c r="O3133">
        <v>106</v>
      </c>
      <c r="P3133">
        <v>10.050000000000001</v>
      </c>
      <c r="Q3133">
        <v>7.1</v>
      </c>
      <c r="R3133">
        <v>5</v>
      </c>
      <c r="S3133">
        <v>1.92</v>
      </c>
      <c r="T3133">
        <v>3</v>
      </c>
      <c r="U3133" t="s">
        <v>22</v>
      </c>
      <c r="V3133" t="e">
        <f>IF(#REF! = "yes", 1, 0)</f>
        <v>#REF!</v>
      </c>
      <c r="W3133" t="e">
        <f>IF(#REF! &lt;= 1, "0-1 Calls", IF(#REF! &lt;= 3, "2-3 Calls", IF(#REF! &lt;=5, "4-5 Calls", "6+ Calls")))</f>
        <v>#REF!</v>
      </c>
      <c r="X3133" t="e">
        <f>IF(#REF! &lt;= 50, "0-50", IF(#REF! &lt;=100, "51-100", IF(#REF! &lt;= 150, "101-150", "151+")))</f>
        <v>#REF!</v>
      </c>
      <c r="Y3133" t="e">
        <f>IF(#REF! &lt;= 3, "Low Charges", "High Charges")</f>
        <v>#REF!</v>
      </c>
      <c r="Z3133" t="e">
        <f>IF(#REF!&lt;=80,"Low Calls",
IF(#REF!&lt;=120,"Medium Calls","High Calls"))</f>
        <v>#REF!</v>
      </c>
      <c r="AA3133" t="e">
        <f>IF(#REF!&lt;=15,"Low Charges",
IF(#REF!&lt;=20,"Medium Charges","High Charges"))</f>
        <v>#REF!</v>
      </c>
      <c r="AB3133" t="e">
        <f>IF(AND(#REF!&gt;180, #REF!&gt;200), "Heavy Doemstic User", IF(#REF!&gt;10, "Interntional User", IF(AND(#REF!&lt;180, #REF!&lt;200,#REF!&lt;200), "Light User", "Balanced User")))</f>
        <v>#REF!</v>
      </c>
      <c r="AC3133" t="e">
        <f>IF(#REF! = 0, "No Usage", IF(#REF! &lt;= 20, "Low Usage", IF(#REF! &lt;= 40, "Medium Usgae", "High Usage")))</f>
        <v>#REF!</v>
      </c>
      <c r="AD3133" t="e">
        <f>IF(#REF!&lt;=150,"Low Usage", IF(#REF!&lt;=200,"Medium Usage", IF(#REF!&lt;=250,"High Usage","Very High Usage")))</f>
        <v>#REF!</v>
      </c>
      <c r="AE3133" t="e">
        <f>IF(#REF!&lt;=5,"Low Calls", IF(#REF!&lt;=10, "Medium Calls", "High Calls"))</f>
        <v>#REF!</v>
      </c>
      <c r="AF3133" t="e">
        <f xml:space="preserve">
IF(#REF!&gt;=4,4,0)+
IF(#REF!="yes",3,0)+
IF(#REF!="High Charges",3,0)+
IF(#REF!&gt;250,4,0)+
IF(#REF!="no",1,0)+
IF(#REF!="Heavy Domestic User",2,0)</f>
        <v>#REF!</v>
      </c>
      <c r="AG3133" t="e">
        <f>IF(#REF!&gt;=10,"High Risk", IF(#REF!&gt;=5,"Medium Risk","Low Risk"))</f>
        <v>#REF!</v>
      </c>
      <c r="AH3133" t="e">
        <f>#REF! + #REF! + #REF! + #REF!</f>
        <v>#REF!</v>
      </c>
    </row>
    <row r="3134" spans="1:34" x14ac:dyDescent="0.35">
      <c r="A3134">
        <v>3133</v>
      </c>
      <c r="B3134" t="s">
        <v>70</v>
      </c>
      <c r="C3134">
        <v>24</v>
      </c>
      <c r="D3134" t="s">
        <v>28</v>
      </c>
      <c r="E3134" t="s">
        <v>22</v>
      </c>
      <c r="F3134" t="s">
        <v>23</v>
      </c>
      <c r="G3134">
        <v>41</v>
      </c>
      <c r="H3134">
        <v>187.1</v>
      </c>
      <c r="I3134">
        <v>80</v>
      </c>
      <c r="J3134">
        <v>31.81</v>
      </c>
      <c r="K3134">
        <v>286.10000000000002</v>
      </c>
      <c r="L3134">
        <v>77</v>
      </c>
      <c r="M3134">
        <v>24.32</v>
      </c>
      <c r="N3134">
        <v>188</v>
      </c>
      <c r="O3134">
        <v>107</v>
      </c>
      <c r="P3134">
        <v>8.4600000000000009</v>
      </c>
      <c r="Q3134">
        <v>10.4</v>
      </c>
      <c r="R3134">
        <v>2</v>
      </c>
      <c r="S3134">
        <v>2.81</v>
      </c>
      <c r="T3134">
        <v>1</v>
      </c>
      <c r="U3134" t="s">
        <v>22</v>
      </c>
      <c r="V3134" t="e">
        <f>IF(#REF! = "yes", 1, 0)</f>
        <v>#REF!</v>
      </c>
      <c r="W3134" t="e">
        <f>IF(#REF! &lt;= 1, "0-1 Calls", IF(#REF! &lt;= 3, "2-3 Calls", IF(#REF! &lt;=5, "4-5 Calls", "6+ Calls")))</f>
        <v>#REF!</v>
      </c>
      <c r="X3134" t="e">
        <f>IF(#REF! &lt;= 50, "0-50", IF(#REF! &lt;=100, "51-100", IF(#REF! &lt;= 150, "101-150", "151+")))</f>
        <v>#REF!</v>
      </c>
      <c r="Y3134" t="e">
        <f>IF(#REF! &lt;= 3, "Low Charges", "High Charges")</f>
        <v>#REF!</v>
      </c>
      <c r="Z3134" t="e">
        <f>IF(#REF!&lt;=80,"Low Calls",
IF(#REF!&lt;=120,"Medium Calls","High Calls"))</f>
        <v>#REF!</v>
      </c>
      <c r="AA3134" t="e">
        <f>IF(#REF!&lt;=15,"Low Charges",
IF(#REF!&lt;=20,"Medium Charges","High Charges"))</f>
        <v>#REF!</v>
      </c>
      <c r="AB3134" t="e">
        <f>IF(AND(#REF!&gt;180, #REF!&gt;200), "Heavy Doemstic User", IF(#REF!&gt;10, "Interntional User", IF(AND(#REF!&lt;180, #REF!&lt;200,#REF!&lt;200), "Light User", "Balanced User")))</f>
        <v>#REF!</v>
      </c>
      <c r="AC3134" t="e">
        <f>IF(#REF! = 0, "No Usage", IF(#REF! &lt;= 20, "Low Usage", IF(#REF! &lt;= 40, "Medium Usgae", "High Usage")))</f>
        <v>#REF!</v>
      </c>
      <c r="AD3134" t="e">
        <f>IF(#REF!&lt;=150,"Low Usage", IF(#REF!&lt;=200,"Medium Usage", IF(#REF!&lt;=250,"High Usage","Very High Usage")))</f>
        <v>#REF!</v>
      </c>
      <c r="AE3134" t="e">
        <f>IF(#REF!&lt;=5,"Low Calls", IF(#REF!&lt;=10, "Medium Calls", "High Calls"))</f>
        <v>#REF!</v>
      </c>
      <c r="AF3134" t="e">
        <f xml:space="preserve">
IF(#REF!&gt;=4,4,0)+
IF(#REF!="yes",3,0)+
IF(#REF!="High Charges",3,0)+
IF(#REF!&gt;250,4,0)+
IF(#REF!="no",1,0)+
IF(#REF!="Heavy Domestic User",2,0)</f>
        <v>#REF!</v>
      </c>
      <c r="AG3134" t="e">
        <f>IF(#REF!&gt;=10,"High Risk", IF(#REF!&gt;=5,"Medium Risk","Low Risk"))</f>
        <v>#REF!</v>
      </c>
      <c r="AH3134" t="e">
        <f>#REF! + #REF! + #REF! + #REF!</f>
        <v>#REF!</v>
      </c>
    </row>
    <row r="3135" spans="1:34" x14ac:dyDescent="0.35">
      <c r="A3135">
        <v>3134</v>
      </c>
      <c r="B3135" t="s">
        <v>74</v>
      </c>
      <c r="C3135">
        <v>127</v>
      </c>
      <c r="D3135" t="s">
        <v>25</v>
      </c>
      <c r="E3135" t="s">
        <v>22</v>
      </c>
      <c r="F3135" t="s">
        <v>22</v>
      </c>
      <c r="G3135">
        <v>0</v>
      </c>
      <c r="H3135">
        <v>155.80000000000001</v>
      </c>
      <c r="I3135">
        <v>91</v>
      </c>
      <c r="J3135">
        <v>26.49</v>
      </c>
      <c r="K3135">
        <v>103.7</v>
      </c>
      <c r="L3135">
        <v>85</v>
      </c>
      <c r="M3135">
        <v>8.81</v>
      </c>
      <c r="N3135">
        <v>117.2</v>
      </c>
      <c r="O3135">
        <v>125</v>
      </c>
      <c r="P3135">
        <v>5.27</v>
      </c>
      <c r="Q3135">
        <v>8.6</v>
      </c>
      <c r="R3135">
        <v>3</v>
      </c>
      <c r="S3135">
        <v>2.3199999999999998</v>
      </c>
      <c r="T3135">
        <v>2</v>
      </c>
      <c r="U3135" t="s">
        <v>22</v>
      </c>
      <c r="V3135" t="e">
        <f>IF(#REF! = "yes", 1, 0)</f>
        <v>#REF!</v>
      </c>
      <c r="W3135" t="e">
        <f>IF(#REF! &lt;= 1, "0-1 Calls", IF(#REF! &lt;= 3, "2-3 Calls", IF(#REF! &lt;=5, "4-5 Calls", "6+ Calls")))</f>
        <v>#REF!</v>
      </c>
      <c r="X3135" t="e">
        <f>IF(#REF! &lt;= 50, "0-50", IF(#REF! &lt;=100, "51-100", IF(#REF! &lt;= 150, "101-150", "151+")))</f>
        <v>#REF!</v>
      </c>
      <c r="Y3135" t="e">
        <f>IF(#REF! &lt;= 3, "Low Charges", "High Charges")</f>
        <v>#REF!</v>
      </c>
      <c r="Z3135" t="e">
        <f>IF(#REF!&lt;=80,"Low Calls",
IF(#REF!&lt;=120,"Medium Calls","High Calls"))</f>
        <v>#REF!</v>
      </c>
      <c r="AA3135" t="e">
        <f>IF(#REF!&lt;=15,"Low Charges",
IF(#REF!&lt;=20,"Medium Charges","High Charges"))</f>
        <v>#REF!</v>
      </c>
      <c r="AB3135" t="e">
        <f>IF(AND(#REF!&gt;180, #REF!&gt;200), "Heavy Doemstic User", IF(#REF!&gt;10, "Interntional User", IF(AND(#REF!&lt;180, #REF!&lt;200,#REF!&lt;200), "Light User", "Balanced User")))</f>
        <v>#REF!</v>
      </c>
      <c r="AC3135" t="e">
        <f>IF(#REF! = 0, "No Usage", IF(#REF! &lt;= 20, "Low Usage", IF(#REF! &lt;= 40, "Medium Usgae", "High Usage")))</f>
        <v>#REF!</v>
      </c>
      <c r="AD3135" t="e">
        <f>IF(#REF!&lt;=150,"Low Usage", IF(#REF!&lt;=200,"Medium Usage", IF(#REF!&lt;=250,"High Usage","Very High Usage")))</f>
        <v>#REF!</v>
      </c>
      <c r="AE3135" t="e">
        <f>IF(#REF!&lt;=5,"Low Calls", IF(#REF!&lt;=10, "Medium Calls", "High Calls"))</f>
        <v>#REF!</v>
      </c>
      <c r="AF3135" t="e">
        <f xml:space="preserve">
IF(#REF!&gt;=4,4,0)+
IF(#REF!="yes",3,0)+
IF(#REF!="High Charges",3,0)+
IF(#REF!&gt;250,4,0)+
IF(#REF!="no",1,0)+
IF(#REF!="Heavy Domestic User",2,0)</f>
        <v>#REF!</v>
      </c>
      <c r="AG3135" t="e">
        <f>IF(#REF!&gt;=10,"High Risk", IF(#REF!&gt;=5,"Medium Risk","Low Risk"))</f>
        <v>#REF!</v>
      </c>
      <c r="AH3135" t="e">
        <f>#REF! + #REF! + #REF! + #REF!</f>
        <v>#REF!</v>
      </c>
    </row>
    <row r="3136" spans="1:34" x14ac:dyDescent="0.35">
      <c r="A3136">
        <v>3135</v>
      </c>
      <c r="B3136" t="s">
        <v>24</v>
      </c>
      <c r="C3136">
        <v>85</v>
      </c>
      <c r="D3136" t="s">
        <v>28</v>
      </c>
      <c r="E3136" t="s">
        <v>22</v>
      </c>
      <c r="F3136" t="s">
        <v>22</v>
      </c>
      <c r="G3136">
        <v>0</v>
      </c>
      <c r="H3136">
        <v>232.1</v>
      </c>
      <c r="I3136">
        <v>130</v>
      </c>
      <c r="J3136">
        <v>39.46</v>
      </c>
      <c r="K3136">
        <v>150.69999999999999</v>
      </c>
      <c r="L3136">
        <v>75</v>
      </c>
      <c r="M3136">
        <v>12.81</v>
      </c>
      <c r="N3136">
        <v>253.9</v>
      </c>
      <c r="O3136">
        <v>77</v>
      </c>
      <c r="P3136">
        <v>11.43</v>
      </c>
      <c r="Q3136">
        <v>13</v>
      </c>
      <c r="R3136">
        <v>3</v>
      </c>
      <c r="S3136">
        <v>3.51</v>
      </c>
      <c r="T3136">
        <v>0</v>
      </c>
      <c r="U3136" t="s">
        <v>22</v>
      </c>
      <c r="V3136" t="e">
        <f>IF(#REF! = "yes", 1, 0)</f>
        <v>#REF!</v>
      </c>
      <c r="W3136" t="e">
        <f>IF(#REF! &lt;= 1, "0-1 Calls", IF(#REF! &lt;= 3, "2-3 Calls", IF(#REF! &lt;=5, "4-5 Calls", "6+ Calls")))</f>
        <v>#REF!</v>
      </c>
      <c r="X3136" t="e">
        <f>IF(#REF! &lt;= 50, "0-50", IF(#REF! &lt;=100, "51-100", IF(#REF! &lt;= 150, "101-150", "151+")))</f>
        <v>#REF!</v>
      </c>
      <c r="Y3136" t="e">
        <f>IF(#REF! &lt;= 3, "Low Charges", "High Charges")</f>
        <v>#REF!</v>
      </c>
      <c r="Z3136" t="e">
        <f>IF(#REF!&lt;=80,"Low Calls",
IF(#REF!&lt;=120,"Medium Calls","High Calls"))</f>
        <v>#REF!</v>
      </c>
      <c r="AA3136" t="e">
        <f>IF(#REF!&lt;=15,"Low Charges",
IF(#REF!&lt;=20,"Medium Charges","High Charges"))</f>
        <v>#REF!</v>
      </c>
      <c r="AB3136" t="e">
        <f>IF(AND(#REF!&gt;180, #REF!&gt;200), "Heavy Doemstic User", IF(#REF!&gt;10, "Interntional User", IF(AND(#REF!&lt;180, #REF!&lt;200,#REF!&lt;200), "Light User", "Balanced User")))</f>
        <v>#REF!</v>
      </c>
      <c r="AC3136" t="e">
        <f>IF(#REF! = 0, "No Usage", IF(#REF! &lt;= 20, "Low Usage", IF(#REF! &lt;= 40, "Medium Usgae", "High Usage")))</f>
        <v>#REF!</v>
      </c>
      <c r="AD3136" t="e">
        <f>IF(#REF!&lt;=150,"Low Usage", IF(#REF!&lt;=200,"Medium Usage", IF(#REF!&lt;=250,"High Usage","Very High Usage")))</f>
        <v>#REF!</v>
      </c>
      <c r="AE3136" t="e">
        <f>IF(#REF!&lt;=5,"Low Calls", IF(#REF!&lt;=10, "Medium Calls", "High Calls"))</f>
        <v>#REF!</v>
      </c>
      <c r="AF3136" t="e">
        <f xml:space="preserve">
IF(#REF!&gt;=4,4,0)+
IF(#REF!="yes",3,0)+
IF(#REF!="High Charges",3,0)+
IF(#REF!&gt;250,4,0)+
IF(#REF!="no",1,0)+
IF(#REF!="Heavy Domestic User",2,0)</f>
        <v>#REF!</v>
      </c>
      <c r="AG3136" t="e">
        <f>IF(#REF!&gt;=10,"High Risk", IF(#REF!&gt;=5,"Medium Risk","Low Risk"))</f>
        <v>#REF!</v>
      </c>
      <c r="AH3136" t="e">
        <f>#REF! + #REF! + #REF! + #REF!</f>
        <v>#REF!</v>
      </c>
    </row>
    <row r="3137" spans="1:34" x14ac:dyDescent="0.35">
      <c r="A3137">
        <v>3136</v>
      </c>
      <c r="B3137" t="s">
        <v>43</v>
      </c>
      <c r="C3137">
        <v>59</v>
      </c>
      <c r="D3137" t="s">
        <v>21</v>
      </c>
      <c r="E3137" t="s">
        <v>22</v>
      </c>
      <c r="F3137" t="s">
        <v>22</v>
      </c>
      <c r="G3137">
        <v>0</v>
      </c>
      <c r="H3137">
        <v>128.69999999999999</v>
      </c>
      <c r="I3137">
        <v>85</v>
      </c>
      <c r="J3137">
        <v>21.88</v>
      </c>
      <c r="K3137">
        <v>169.8</v>
      </c>
      <c r="L3137">
        <v>121</v>
      </c>
      <c r="M3137">
        <v>14.43</v>
      </c>
      <c r="N3137">
        <v>207.3</v>
      </c>
      <c r="O3137">
        <v>98</v>
      </c>
      <c r="P3137">
        <v>9.33</v>
      </c>
      <c r="Q3137">
        <v>10.5</v>
      </c>
      <c r="R3137">
        <v>4</v>
      </c>
      <c r="S3137">
        <v>2.84</v>
      </c>
      <c r="T3137">
        <v>3</v>
      </c>
      <c r="U3137" t="s">
        <v>22</v>
      </c>
      <c r="V3137" t="e">
        <f>IF(#REF! = "yes", 1, 0)</f>
        <v>#REF!</v>
      </c>
      <c r="W3137" t="e">
        <f>IF(#REF! &lt;= 1, "0-1 Calls", IF(#REF! &lt;= 3, "2-3 Calls", IF(#REF! &lt;=5, "4-5 Calls", "6+ Calls")))</f>
        <v>#REF!</v>
      </c>
      <c r="X3137" t="e">
        <f>IF(#REF! &lt;= 50, "0-50", IF(#REF! &lt;=100, "51-100", IF(#REF! &lt;= 150, "101-150", "151+")))</f>
        <v>#REF!</v>
      </c>
      <c r="Y3137" t="e">
        <f>IF(#REF! &lt;= 3, "Low Charges", "High Charges")</f>
        <v>#REF!</v>
      </c>
      <c r="Z3137" t="e">
        <f>IF(#REF!&lt;=80,"Low Calls",
IF(#REF!&lt;=120,"Medium Calls","High Calls"))</f>
        <v>#REF!</v>
      </c>
      <c r="AA3137" t="e">
        <f>IF(#REF!&lt;=15,"Low Charges",
IF(#REF!&lt;=20,"Medium Charges","High Charges"))</f>
        <v>#REF!</v>
      </c>
      <c r="AB3137" t="e">
        <f>IF(AND(#REF!&gt;180, #REF!&gt;200), "Heavy Doemstic User", IF(#REF!&gt;10, "Interntional User", IF(AND(#REF!&lt;180, #REF!&lt;200,#REF!&lt;200), "Light User", "Balanced User")))</f>
        <v>#REF!</v>
      </c>
      <c r="AC3137" t="e">
        <f>IF(#REF! = 0, "No Usage", IF(#REF! &lt;= 20, "Low Usage", IF(#REF! &lt;= 40, "Medium Usgae", "High Usage")))</f>
        <v>#REF!</v>
      </c>
      <c r="AD3137" t="e">
        <f>IF(#REF!&lt;=150,"Low Usage", IF(#REF!&lt;=200,"Medium Usage", IF(#REF!&lt;=250,"High Usage","Very High Usage")))</f>
        <v>#REF!</v>
      </c>
      <c r="AE3137" t="e">
        <f>IF(#REF!&lt;=5,"Low Calls", IF(#REF!&lt;=10, "Medium Calls", "High Calls"))</f>
        <v>#REF!</v>
      </c>
      <c r="AF3137" t="e">
        <f xml:space="preserve">
IF(#REF!&gt;=4,4,0)+
IF(#REF!="yes",3,0)+
IF(#REF!="High Charges",3,0)+
IF(#REF!&gt;250,4,0)+
IF(#REF!="no",1,0)+
IF(#REF!="Heavy Domestic User",2,0)</f>
        <v>#REF!</v>
      </c>
      <c r="AG3137" t="e">
        <f>IF(#REF!&gt;=10,"High Risk", IF(#REF!&gt;=5,"Medium Risk","Low Risk"))</f>
        <v>#REF!</v>
      </c>
      <c r="AH3137" t="e">
        <f>#REF! + #REF! + #REF! + #REF!</f>
        <v>#REF!</v>
      </c>
    </row>
    <row r="3138" spans="1:34" x14ac:dyDescent="0.35">
      <c r="A3138">
        <v>3137</v>
      </c>
      <c r="B3138" t="s">
        <v>38</v>
      </c>
      <c r="C3138">
        <v>113</v>
      </c>
      <c r="D3138" t="s">
        <v>25</v>
      </c>
      <c r="E3138" t="s">
        <v>22</v>
      </c>
      <c r="F3138" t="s">
        <v>23</v>
      </c>
      <c r="G3138">
        <v>30</v>
      </c>
      <c r="H3138">
        <v>208.9</v>
      </c>
      <c r="I3138">
        <v>87</v>
      </c>
      <c r="J3138">
        <v>35.51</v>
      </c>
      <c r="K3138">
        <v>145.19999999999999</v>
      </c>
      <c r="L3138">
        <v>89</v>
      </c>
      <c r="M3138">
        <v>12.34</v>
      </c>
      <c r="N3138">
        <v>198.2</v>
      </c>
      <c r="O3138">
        <v>77</v>
      </c>
      <c r="P3138">
        <v>8.92</v>
      </c>
      <c r="Q3138">
        <v>14.9</v>
      </c>
      <c r="R3138">
        <v>5</v>
      </c>
      <c r="S3138">
        <v>4.0199999999999996</v>
      </c>
      <c r="T3138">
        <v>2</v>
      </c>
      <c r="U3138" t="s">
        <v>22</v>
      </c>
      <c r="V3138" t="e">
        <f>IF(#REF! = "yes", 1, 0)</f>
        <v>#REF!</v>
      </c>
      <c r="W3138" t="e">
        <f>IF(#REF! &lt;= 1, "0-1 Calls", IF(#REF! &lt;= 3, "2-3 Calls", IF(#REF! &lt;=5, "4-5 Calls", "6+ Calls")))</f>
        <v>#REF!</v>
      </c>
      <c r="X3138" t="e">
        <f>IF(#REF! &lt;= 50, "0-50", IF(#REF! &lt;=100, "51-100", IF(#REF! &lt;= 150, "101-150", "151+")))</f>
        <v>#REF!</v>
      </c>
      <c r="Y3138" t="e">
        <f>IF(#REF! &lt;= 3, "Low Charges", "High Charges")</f>
        <v>#REF!</v>
      </c>
      <c r="Z3138" t="e">
        <f>IF(#REF!&lt;=80,"Low Calls",
IF(#REF!&lt;=120,"Medium Calls","High Calls"))</f>
        <v>#REF!</v>
      </c>
      <c r="AA3138" t="e">
        <f>IF(#REF!&lt;=15,"Low Charges",
IF(#REF!&lt;=20,"Medium Charges","High Charges"))</f>
        <v>#REF!</v>
      </c>
      <c r="AB3138" t="e">
        <f>IF(AND(#REF!&gt;180, #REF!&gt;200), "Heavy Doemstic User", IF(#REF!&gt;10, "Interntional User", IF(AND(#REF!&lt;180, #REF!&lt;200,#REF!&lt;200), "Light User", "Balanced User")))</f>
        <v>#REF!</v>
      </c>
      <c r="AC3138" t="e">
        <f>IF(#REF! = 0, "No Usage", IF(#REF! &lt;= 20, "Low Usage", IF(#REF! &lt;= 40, "Medium Usgae", "High Usage")))</f>
        <v>#REF!</v>
      </c>
      <c r="AD3138" t="e">
        <f>IF(#REF!&lt;=150,"Low Usage", IF(#REF!&lt;=200,"Medium Usage", IF(#REF!&lt;=250,"High Usage","Very High Usage")))</f>
        <v>#REF!</v>
      </c>
      <c r="AE3138" t="e">
        <f>IF(#REF!&lt;=5,"Low Calls", IF(#REF!&lt;=10, "Medium Calls", "High Calls"))</f>
        <v>#REF!</v>
      </c>
      <c r="AF3138" t="e">
        <f xml:space="preserve">
IF(#REF!&gt;=4,4,0)+
IF(#REF!="yes",3,0)+
IF(#REF!="High Charges",3,0)+
IF(#REF!&gt;250,4,0)+
IF(#REF!="no",1,0)+
IF(#REF!="Heavy Domestic User",2,0)</f>
        <v>#REF!</v>
      </c>
      <c r="AG3138" t="e">
        <f>IF(#REF!&gt;=10,"High Risk", IF(#REF!&gt;=5,"Medium Risk","Low Risk"))</f>
        <v>#REF!</v>
      </c>
      <c r="AH3138" t="e">
        <f>#REF! + #REF! + #REF! + #REF!</f>
        <v>#REF!</v>
      </c>
    </row>
    <row r="3139" spans="1:34" x14ac:dyDescent="0.35">
      <c r="A3139">
        <v>3138</v>
      </c>
      <c r="B3139" t="s">
        <v>40</v>
      </c>
      <c r="C3139">
        <v>185</v>
      </c>
      <c r="D3139" t="s">
        <v>28</v>
      </c>
      <c r="E3139" t="s">
        <v>22</v>
      </c>
      <c r="F3139" t="s">
        <v>23</v>
      </c>
      <c r="G3139">
        <v>24</v>
      </c>
      <c r="H3139">
        <v>121.6</v>
      </c>
      <c r="I3139">
        <v>100</v>
      </c>
      <c r="J3139">
        <v>20.67</v>
      </c>
      <c r="K3139">
        <v>108.3</v>
      </c>
      <c r="L3139">
        <v>77</v>
      </c>
      <c r="M3139">
        <v>9.2100000000000009</v>
      </c>
      <c r="N3139">
        <v>206.3</v>
      </c>
      <c r="O3139">
        <v>98</v>
      </c>
      <c r="P3139">
        <v>9.2799999999999994</v>
      </c>
      <c r="Q3139">
        <v>12.3</v>
      </c>
      <c r="R3139">
        <v>2</v>
      </c>
      <c r="S3139">
        <v>3.32</v>
      </c>
      <c r="T3139">
        <v>5</v>
      </c>
      <c r="U3139" t="s">
        <v>23</v>
      </c>
      <c r="V3139" t="e">
        <f>IF(#REF! = "yes", 1, 0)</f>
        <v>#REF!</v>
      </c>
      <c r="W3139" t="e">
        <f>IF(#REF! &lt;= 1, "0-1 Calls", IF(#REF! &lt;= 3, "2-3 Calls", IF(#REF! &lt;=5, "4-5 Calls", "6+ Calls")))</f>
        <v>#REF!</v>
      </c>
      <c r="X3139" t="e">
        <f>IF(#REF! &lt;= 50, "0-50", IF(#REF! &lt;=100, "51-100", IF(#REF! &lt;= 150, "101-150", "151+")))</f>
        <v>#REF!</v>
      </c>
      <c r="Y3139" t="e">
        <f>IF(#REF! &lt;= 3, "Low Charges", "High Charges")</f>
        <v>#REF!</v>
      </c>
      <c r="Z3139" t="e">
        <f>IF(#REF!&lt;=80,"Low Calls",
IF(#REF!&lt;=120,"Medium Calls","High Calls"))</f>
        <v>#REF!</v>
      </c>
      <c r="AA3139" t="e">
        <f>IF(#REF!&lt;=15,"Low Charges",
IF(#REF!&lt;=20,"Medium Charges","High Charges"))</f>
        <v>#REF!</v>
      </c>
      <c r="AB3139" t="e">
        <f>IF(AND(#REF!&gt;180, #REF!&gt;200), "Heavy Doemstic User", IF(#REF!&gt;10, "Interntional User", IF(AND(#REF!&lt;180, #REF!&lt;200,#REF!&lt;200), "Light User", "Balanced User")))</f>
        <v>#REF!</v>
      </c>
      <c r="AC3139" t="e">
        <f>IF(#REF! = 0, "No Usage", IF(#REF! &lt;= 20, "Low Usage", IF(#REF! &lt;= 40, "Medium Usgae", "High Usage")))</f>
        <v>#REF!</v>
      </c>
      <c r="AD3139" t="e">
        <f>IF(#REF!&lt;=150,"Low Usage", IF(#REF!&lt;=200,"Medium Usage", IF(#REF!&lt;=250,"High Usage","Very High Usage")))</f>
        <v>#REF!</v>
      </c>
      <c r="AE3139" t="e">
        <f>IF(#REF!&lt;=5,"Low Calls", IF(#REF!&lt;=10, "Medium Calls", "High Calls"))</f>
        <v>#REF!</v>
      </c>
      <c r="AF3139" t="e">
        <f xml:space="preserve">
IF(#REF!&gt;=4,4,0)+
IF(#REF!="yes",3,0)+
IF(#REF!="High Charges",3,0)+
IF(#REF!&gt;250,4,0)+
IF(#REF!="no",1,0)+
IF(#REF!="Heavy Domestic User",2,0)</f>
        <v>#REF!</v>
      </c>
      <c r="AG3139" t="e">
        <f>IF(#REF!&gt;=10,"High Risk", IF(#REF!&gt;=5,"Medium Risk","Low Risk"))</f>
        <v>#REF!</v>
      </c>
      <c r="AH3139" t="e">
        <f>#REF! + #REF! + #REF! + #REF!</f>
        <v>#REF!</v>
      </c>
    </row>
    <row r="3140" spans="1:34" x14ac:dyDescent="0.35">
      <c r="A3140">
        <v>3139</v>
      </c>
      <c r="B3140" t="s">
        <v>42</v>
      </c>
      <c r="C3140">
        <v>127</v>
      </c>
      <c r="D3140" t="s">
        <v>21</v>
      </c>
      <c r="E3140" t="s">
        <v>22</v>
      </c>
      <c r="F3140" t="s">
        <v>22</v>
      </c>
      <c r="G3140">
        <v>0</v>
      </c>
      <c r="H3140">
        <v>145</v>
      </c>
      <c r="I3140">
        <v>106</v>
      </c>
      <c r="J3140">
        <v>24.65</v>
      </c>
      <c r="K3140">
        <v>230.3</v>
      </c>
      <c r="L3140">
        <v>99</v>
      </c>
      <c r="M3140">
        <v>19.579999999999998</v>
      </c>
      <c r="N3140">
        <v>164.9</v>
      </c>
      <c r="O3140">
        <v>103</v>
      </c>
      <c r="P3140">
        <v>7.42</v>
      </c>
      <c r="Q3140">
        <v>12.7</v>
      </c>
      <c r="R3140">
        <v>3</v>
      </c>
      <c r="S3140">
        <v>3.43</v>
      </c>
      <c r="T3140">
        <v>1</v>
      </c>
      <c r="U3140" t="s">
        <v>22</v>
      </c>
      <c r="V3140" t="e">
        <f>IF(#REF! = "yes", 1, 0)</f>
        <v>#REF!</v>
      </c>
      <c r="W3140" t="e">
        <f>IF(#REF! &lt;= 1, "0-1 Calls", IF(#REF! &lt;= 3, "2-3 Calls", IF(#REF! &lt;=5, "4-5 Calls", "6+ Calls")))</f>
        <v>#REF!</v>
      </c>
      <c r="X3140" t="e">
        <f>IF(#REF! &lt;= 50, "0-50", IF(#REF! &lt;=100, "51-100", IF(#REF! &lt;= 150, "101-150", "151+")))</f>
        <v>#REF!</v>
      </c>
      <c r="Y3140" t="e">
        <f>IF(#REF! &lt;= 3, "Low Charges", "High Charges")</f>
        <v>#REF!</v>
      </c>
      <c r="Z3140" t="e">
        <f>IF(#REF!&lt;=80,"Low Calls",
IF(#REF!&lt;=120,"Medium Calls","High Calls"))</f>
        <v>#REF!</v>
      </c>
      <c r="AA3140" t="e">
        <f>IF(#REF!&lt;=15,"Low Charges",
IF(#REF!&lt;=20,"Medium Charges","High Charges"))</f>
        <v>#REF!</v>
      </c>
      <c r="AB3140" t="e">
        <f>IF(AND(#REF!&gt;180, #REF!&gt;200), "Heavy Doemstic User", IF(#REF!&gt;10, "Interntional User", IF(AND(#REF!&lt;180, #REF!&lt;200,#REF!&lt;200), "Light User", "Balanced User")))</f>
        <v>#REF!</v>
      </c>
      <c r="AC3140" t="e">
        <f>IF(#REF! = 0, "No Usage", IF(#REF! &lt;= 20, "Low Usage", IF(#REF! &lt;= 40, "Medium Usgae", "High Usage")))</f>
        <v>#REF!</v>
      </c>
      <c r="AD3140" t="e">
        <f>IF(#REF!&lt;=150,"Low Usage", IF(#REF!&lt;=200,"Medium Usage", IF(#REF!&lt;=250,"High Usage","Very High Usage")))</f>
        <v>#REF!</v>
      </c>
      <c r="AE3140" t="e">
        <f>IF(#REF!&lt;=5,"Low Calls", IF(#REF!&lt;=10, "Medium Calls", "High Calls"))</f>
        <v>#REF!</v>
      </c>
      <c r="AF3140" t="e">
        <f xml:space="preserve">
IF(#REF!&gt;=4,4,0)+
IF(#REF!="yes",3,0)+
IF(#REF!="High Charges",3,0)+
IF(#REF!&gt;250,4,0)+
IF(#REF!="no",1,0)+
IF(#REF!="Heavy Domestic User",2,0)</f>
        <v>#REF!</v>
      </c>
      <c r="AG3140" t="e">
        <f>IF(#REF!&gt;=10,"High Risk", IF(#REF!&gt;=5,"Medium Risk","Low Risk"))</f>
        <v>#REF!</v>
      </c>
      <c r="AH3140" t="e">
        <f>#REF! + #REF! + #REF! + #REF!</f>
        <v>#REF!</v>
      </c>
    </row>
    <row r="3141" spans="1:34" x14ac:dyDescent="0.35">
      <c r="A3141">
        <v>3140</v>
      </c>
      <c r="B3141" t="s">
        <v>52</v>
      </c>
      <c r="C3141">
        <v>69</v>
      </c>
      <c r="D3141" t="s">
        <v>21</v>
      </c>
      <c r="E3141" t="s">
        <v>22</v>
      </c>
      <c r="F3141" t="s">
        <v>22</v>
      </c>
      <c r="G3141">
        <v>0</v>
      </c>
      <c r="H3141">
        <v>243.3</v>
      </c>
      <c r="I3141">
        <v>101</v>
      </c>
      <c r="J3141">
        <v>41.36</v>
      </c>
      <c r="K3141">
        <v>109.2</v>
      </c>
      <c r="L3141">
        <v>99</v>
      </c>
      <c r="M3141">
        <v>9.2799999999999994</v>
      </c>
      <c r="N3141">
        <v>176.9</v>
      </c>
      <c r="O3141">
        <v>138</v>
      </c>
      <c r="P3141">
        <v>7.96</v>
      </c>
      <c r="Q3141">
        <v>9.3000000000000007</v>
      </c>
      <c r="R3141">
        <v>3</v>
      </c>
      <c r="S3141">
        <v>2.5099999999999998</v>
      </c>
      <c r="T3141">
        <v>0</v>
      </c>
      <c r="U3141" t="s">
        <v>22</v>
      </c>
      <c r="V3141" t="e">
        <f>IF(#REF! = "yes", 1, 0)</f>
        <v>#REF!</v>
      </c>
      <c r="W3141" t="e">
        <f>IF(#REF! &lt;= 1, "0-1 Calls", IF(#REF! &lt;= 3, "2-3 Calls", IF(#REF! &lt;=5, "4-5 Calls", "6+ Calls")))</f>
        <v>#REF!</v>
      </c>
      <c r="X3141" t="e">
        <f>IF(#REF! &lt;= 50, "0-50", IF(#REF! &lt;=100, "51-100", IF(#REF! &lt;= 150, "101-150", "151+")))</f>
        <v>#REF!</v>
      </c>
      <c r="Y3141" t="e">
        <f>IF(#REF! &lt;= 3, "Low Charges", "High Charges")</f>
        <v>#REF!</v>
      </c>
      <c r="Z3141" t="e">
        <f>IF(#REF!&lt;=80,"Low Calls",
IF(#REF!&lt;=120,"Medium Calls","High Calls"))</f>
        <v>#REF!</v>
      </c>
      <c r="AA3141" t="e">
        <f>IF(#REF!&lt;=15,"Low Charges",
IF(#REF!&lt;=20,"Medium Charges","High Charges"))</f>
        <v>#REF!</v>
      </c>
      <c r="AB3141" t="e">
        <f>IF(AND(#REF!&gt;180, #REF!&gt;200), "Heavy Doemstic User", IF(#REF!&gt;10, "Interntional User", IF(AND(#REF!&lt;180, #REF!&lt;200,#REF!&lt;200), "Light User", "Balanced User")))</f>
        <v>#REF!</v>
      </c>
      <c r="AC3141" t="e">
        <f>IF(#REF! = 0, "No Usage", IF(#REF! &lt;= 20, "Low Usage", IF(#REF! &lt;= 40, "Medium Usgae", "High Usage")))</f>
        <v>#REF!</v>
      </c>
      <c r="AD3141" t="e">
        <f>IF(#REF!&lt;=150,"Low Usage", IF(#REF!&lt;=200,"Medium Usage", IF(#REF!&lt;=250,"High Usage","Very High Usage")))</f>
        <v>#REF!</v>
      </c>
      <c r="AE3141" t="e">
        <f>IF(#REF!&lt;=5,"Low Calls", IF(#REF!&lt;=10, "Medium Calls", "High Calls"))</f>
        <v>#REF!</v>
      </c>
      <c r="AF3141" t="e">
        <f xml:space="preserve">
IF(#REF!&gt;=4,4,0)+
IF(#REF!="yes",3,0)+
IF(#REF!="High Charges",3,0)+
IF(#REF!&gt;250,4,0)+
IF(#REF!="no",1,0)+
IF(#REF!="Heavy Domestic User",2,0)</f>
        <v>#REF!</v>
      </c>
      <c r="AG3141" t="e">
        <f>IF(#REF!&gt;=10,"High Risk", IF(#REF!&gt;=5,"Medium Risk","Low Risk"))</f>
        <v>#REF!</v>
      </c>
      <c r="AH3141" t="e">
        <f>#REF! + #REF! + #REF! + #REF!</f>
        <v>#REF!</v>
      </c>
    </row>
    <row r="3142" spans="1:34" x14ac:dyDescent="0.35">
      <c r="A3142">
        <v>3141</v>
      </c>
      <c r="B3142" t="s">
        <v>39</v>
      </c>
      <c r="C3142">
        <v>102</v>
      </c>
      <c r="D3142" t="s">
        <v>28</v>
      </c>
      <c r="E3142" t="s">
        <v>22</v>
      </c>
      <c r="F3142" t="s">
        <v>22</v>
      </c>
      <c r="G3142">
        <v>0</v>
      </c>
      <c r="H3142">
        <v>214.8</v>
      </c>
      <c r="I3142">
        <v>60</v>
      </c>
      <c r="J3142">
        <v>36.520000000000003</v>
      </c>
      <c r="K3142">
        <v>173.8</v>
      </c>
      <c r="L3142">
        <v>70</v>
      </c>
      <c r="M3142">
        <v>14.77</v>
      </c>
      <c r="N3142">
        <v>166.7</v>
      </c>
      <c r="O3142">
        <v>90</v>
      </c>
      <c r="P3142">
        <v>7.5</v>
      </c>
      <c r="Q3142">
        <v>10.9</v>
      </c>
      <c r="R3142">
        <v>2</v>
      </c>
      <c r="S3142">
        <v>2.94</v>
      </c>
      <c r="T3142">
        <v>1</v>
      </c>
      <c r="U3142" t="s">
        <v>22</v>
      </c>
      <c r="V3142" t="e">
        <f>IF(#REF! = "yes", 1, 0)</f>
        <v>#REF!</v>
      </c>
      <c r="W3142" t="e">
        <f>IF(#REF! &lt;= 1, "0-1 Calls", IF(#REF! &lt;= 3, "2-3 Calls", IF(#REF! &lt;=5, "4-5 Calls", "6+ Calls")))</f>
        <v>#REF!</v>
      </c>
      <c r="X3142" t="e">
        <f>IF(#REF! &lt;= 50, "0-50", IF(#REF! &lt;=100, "51-100", IF(#REF! &lt;= 150, "101-150", "151+")))</f>
        <v>#REF!</v>
      </c>
      <c r="Y3142" t="e">
        <f>IF(#REF! &lt;= 3, "Low Charges", "High Charges")</f>
        <v>#REF!</v>
      </c>
      <c r="Z3142" t="e">
        <f>IF(#REF!&lt;=80,"Low Calls",
IF(#REF!&lt;=120,"Medium Calls","High Calls"))</f>
        <v>#REF!</v>
      </c>
      <c r="AA3142" t="e">
        <f>IF(#REF!&lt;=15,"Low Charges",
IF(#REF!&lt;=20,"Medium Charges","High Charges"))</f>
        <v>#REF!</v>
      </c>
      <c r="AB3142" t="e">
        <f>IF(AND(#REF!&gt;180, #REF!&gt;200), "Heavy Doemstic User", IF(#REF!&gt;10, "Interntional User", IF(AND(#REF!&lt;180, #REF!&lt;200,#REF!&lt;200), "Light User", "Balanced User")))</f>
        <v>#REF!</v>
      </c>
      <c r="AC3142" t="e">
        <f>IF(#REF! = 0, "No Usage", IF(#REF! &lt;= 20, "Low Usage", IF(#REF! &lt;= 40, "Medium Usgae", "High Usage")))</f>
        <v>#REF!</v>
      </c>
      <c r="AD3142" t="e">
        <f>IF(#REF!&lt;=150,"Low Usage", IF(#REF!&lt;=200,"Medium Usage", IF(#REF!&lt;=250,"High Usage","Very High Usage")))</f>
        <v>#REF!</v>
      </c>
      <c r="AE3142" t="e">
        <f>IF(#REF!&lt;=5,"Low Calls", IF(#REF!&lt;=10, "Medium Calls", "High Calls"))</f>
        <v>#REF!</v>
      </c>
      <c r="AF3142" t="e">
        <f xml:space="preserve">
IF(#REF!&gt;=4,4,0)+
IF(#REF!="yes",3,0)+
IF(#REF!="High Charges",3,0)+
IF(#REF!&gt;250,4,0)+
IF(#REF!="no",1,0)+
IF(#REF!="Heavy Domestic User",2,0)</f>
        <v>#REF!</v>
      </c>
      <c r="AG3142" t="e">
        <f>IF(#REF!&gt;=10,"High Risk", IF(#REF!&gt;=5,"Medium Risk","Low Risk"))</f>
        <v>#REF!</v>
      </c>
      <c r="AH3142" t="e">
        <f>#REF! + #REF! + #REF! + #REF!</f>
        <v>#REF!</v>
      </c>
    </row>
    <row r="3143" spans="1:34" x14ac:dyDescent="0.35">
      <c r="A3143">
        <v>3142</v>
      </c>
      <c r="B3143" t="s">
        <v>49</v>
      </c>
      <c r="C3143">
        <v>126</v>
      </c>
      <c r="D3143" t="s">
        <v>28</v>
      </c>
      <c r="E3143" t="s">
        <v>22</v>
      </c>
      <c r="F3143" t="s">
        <v>22</v>
      </c>
      <c r="G3143">
        <v>0</v>
      </c>
      <c r="H3143">
        <v>184.5</v>
      </c>
      <c r="I3143">
        <v>56</v>
      </c>
      <c r="J3143">
        <v>31.37</v>
      </c>
      <c r="K3143">
        <v>197.7</v>
      </c>
      <c r="L3143">
        <v>91</v>
      </c>
      <c r="M3143">
        <v>16.8</v>
      </c>
      <c r="N3143">
        <v>242.3</v>
      </c>
      <c r="O3143">
        <v>74</v>
      </c>
      <c r="P3143">
        <v>10.9</v>
      </c>
      <c r="Q3143">
        <v>11.2</v>
      </c>
      <c r="R3143">
        <v>3</v>
      </c>
      <c r="S3143">
        <v>3.02</v>
      </c>
      <c r="T3143">
        <v>2</v>
      </c>
      <c r="U3143" t="s">
        <v>22</v>
      </c>
      <c r="V3143" t="e">
        <f>IF(#REF! = "yes", 1, 0)</f>
        <v>#REF!</v>
      </c>
      <c r="W3143" t="e">
        <f>IF(#REF! &lt;= 1, "0-1 Calls", IF(#REF! &lt;= 3, "2-3 Calls", IF(#REF! &lt;=5, "4-5 Calls", "6+ Calls")))</f>
        <v>#REF!</v>
      </c>
      <c r="X3143" t="e">
        <f>IF(#REF! &lt;= 50, "0-50", IF(#REF! &lt;=100, "51-100", IF(#REF! &lt;= 150, "101-150", "151+")))</f>
        <v>#REF!</v>
      </c>
      <c r="Y3143" t="e">
        <f>IF(#REF! &lt;= 3, "Low Charges", "High Charges")</f>
        <v>#REF!</v>
      </c>
      <c r="Z3143" t="e">
        <f>IF(#REF!&lt;=80,"Low Calls",
IF(#REF!&lt;=120,"Medium Calls","High Calls"))</f>
        <v>#REF!</v>
      </c>
      <c r="AA3143" t="e">
        <f>IF(#REF!&lt;=15,"Low Charges",
IF(#REF!&lt;=20,"Medium Charges","High Charges"))</f>
        <v>#REF!</v>
      </c>
      <c r="AB3143" t="e">
        <f>IF(AND(#REF!&gt;180, #REF!&gt;200), "Heavy Doemstic User", IF(#REF!&gt;10, "Interntional User", IF(AND(#REF!&lt;180, #REF!&lt;200,#REF!&lt;200), "Light User", "Balanced User")))</f>
        <v>#REF!</v>
      </c>
      <c r="AC3143" t="e">
        <f>IF(#REF! = 0, "No Usage", IF(#REF! &lt;= 20, "Low Usage", IF(#REF! &lt;= 40, "Medium Usgae", "High Usage")))</f>
        <v>#REF!</v>
      </c>
      <c r="AD3143" t="e">
        <f>IF(#REF!&lt;=150,"Low Usage", IF(#REF!&lt;=200,"Medium Usage", IF(#REF!&lt;=250,"High Usage","Very High Usage")))</f>
        <v>#REF!</v>
      </c>
      <c r="AE3143" t="e">
        <f>IF(#REF!&lt;=5,"Low Calls", IF(#REF!&lt;=10, "Medium Calls", "High Calls"))</f>
        <v>#REF!</v>
      </c>
      <c r="AF3143" t="e">
        <f xml:space="preserve">
IF(#REF!&gt;=4,4,0)+
IF(#REF!="yes",3,0)+
IF(#REF!="High Charges",3,0)+
IF(#REF!&gt;250,4,0)+
IF(#REF!="no",1,0)+
IF(#REF!="Heavy Domestic User",2,0)</f>
        <v>#REF!</v>
      </c>
      <c r="AG3143" t="e">
        <f>IF(#REF!&gt;=10,"High Risk", IF(#REF!&gt;=5,"Medium Risk","Low Risk"))</f>
        <v>#REF!</v>
      </c>
      <c r="AH3143" t="e">
        <f>#REF! + #REF! + #REF! + #REF!</f>
        <v>#REF!</v>
      </c>
    </row>
    <row r="3144" spans="1:34" x14ac:dyDescent="0.35">
      <c r="A3144">
        <v>3143</v>
      </c>
      <c r="B3144" t="s">
        <v>31</v>
      </c>
      <c r="C3144">
        <v>137</v>
      </c>
      <c r="D3144" t="s">
        <v>21</v>
      </c>
      <c r="E3144" t="s">
        <v>22</v>
      </c>
      <c r="F3144" t="s">
        <v>22</v>
      </c>
      <c r="G3144">
        <v>0</v>
      </c>
      <c r="H3144">
        <v>84.3</v>
      </c>
      <c r="I3144">
        <v>98</v>
      </c>
      <c r="J3144">
        <v>14.33</v>
      </c>
      <c r="K3144">
        <v>259.5</v>
      </c>
      <c r="L3144">
        <v>115</v>
      </c>
      <c r="M3144">
        <v>22.06</v>
      </c>
      <c r="N3144">
        <v>197.5</v>
      </c>
      <c r="O3144">
        <v>115</v>
      </c>
      <c r="P3144">
        <v>8.89</v>
      </c>
      <c r="Q3144">
        <v>10.3</v>
      </c>
      <c r="R3144">
        <v>2</v>
      </c>
      <c r="S3144">
        <v>2.78</v>
      </c>
      <c r="T3144">
        <v>2</v>
      </c>
      <c r="U3144" t="s">
        <v>22</v>
      </c>
      <c r="V3144" t="e">
        <f>IF(#REF! = "yes", 1, 0)</f>
        <v>#REF!</v>
      </c>
      <c r="W3144" t="e">
        <f>IF(#REF! &lt;= 1, "0-1 Calls", IF(#REF! &lt;= 3, "2-3 Calls", IF(#REF! &lt;=5, "4-5 Calls", "6+ Calls")))</f>
        <v>#REF!</v>
      </c>
      <c r="X3144" t="e">
        <f>IF(#REF! &lt;= 50, "0-50", IF(#REF! &lt;=100, "51-100", IF(#REF! &lt;= 150, "101-150", "151+")))</f>
        <v>#REF!</v>
      </c>
      <c r="Y3144" t="e">
        <f>IF(#REF! &lt;= 3, "Low Charges", "High Charges")</f>
        <v>#REF!</v>
      </c>
      <c r="Z3144" t="e">
        <f>IF(#REF!&lt;=80,"Low Calls",
IF(#REF!&lt;=120,"Medium Calls","High Calls"))</f>
        <v>#REF!</v>
      </c>
      <c r="AA3144" t="e">
        <f>IF(#REF!&lt;=15,"Low Charges",
IF(#REF!&lt;=20,"Medium Charges","High Charges"))</f>
        <v>#REF!</v>
      </c>
      <c r="AB3144" t="e">
        <f>IF(AND(#REF!&gt;180, #REF!&gt;200), "Heavy Doemstic User", IF(#REF!&gt;10, "Interntional User", IF(AND(#REF!&lt;180, #REF!&lt;200,#REF!&lt;200), "Light User", "Balanced User")))</f>
        <v>#REF!</v>
      </c>
      <c r="AC3144" t="e">
        <f>IF(#REF! = 0, "No Usage", IF(#REF! &lt;= 20, "Low Usage", IF(#REF! &lt;= 40, "Medium Usgae", "High Usage")))</f>
        <v>#REF!</v>
      </c>
      <c r="AD3144" t="e">
        <f>IF(#REF!&lt;=150,"Low Usage", IF(#REF!&lt;=200,"Medium Usage", IF(#REF!&lt;=250,"High Usage","Very High Usage")))</f>
        <v>#REF!</v>
      </c>
      <c r="AE3144" t="e">
        <f>IF(#REF!&lt;=5,"Low Calls", IF(#REF!&lt;=10, "Medium Calls", "High Calls"))</f>
        <v>#REF!</v>
      </c>
      <c r="AF3144" t="e">
        <f xml:space="preserve">
IF(#REF!&gt;=4,4,0)+
IF(#REF!="yes",3,0)+
IF(#REF!="High Charges",3,0)+
IF(#REF!&gt;250,4,0)+
IF(#REF!="no",1,0)+
IF(#REF!="Heavy Domestic User",2,0)</f>
        <v>#REF!</v>
      </c>
      <c r="AG3144" t="e">
        <f>IF(#REF!&gt;=10,"High Risk", IF(#REF!&gt;=5,"Medium Risk","Low Risk"))</f>
        <v>#REF!</v>
      </c>
      <c r="AH3144" t="e">
        <f>#REF! + #REF! + #REF! + #REF!</f>
        <v>#REF!</v>
      </c>
    </row>
    <row r="3145" spans="1:34" x14ac:dyDescent="0.35">
      <c r="A3145">
        <v>3144</v>
      </c>
      <c r="B3145" t="s">
        <v>48</v>
      </c>
      <c r="C3145">
        <v>80</v>
      </c>
      <c r="D3145" t="s">
        <v>25</v>
      </c>
      <c r="E3145" t="s">
        <v>22</v>
      </c>
      <c r="F3145" t="s">
        <v>22</v>
      </c>
      <c r="G3145">
        <v>0</v>
      </c>
      <c r="H3145">
        <v>142.9</v>
      </c>
      <c r="I3145">
        <v>70</v>
      </c>
      <c r="J3145">
        <v>24.29</v>
      </c>
      <c r="K3145">
        <v>221.6</v>
      </c>
      <c r="L3145">
        <v>83</v>
      </c>
      <c r="M3145">
        <v>18.84</v>
      </c>
      <c r="N3145">
        <v>121.4</v>
      </c>
      <c r="O3145">
        <v>111</v>
      </c>
      <c r="P3145">
        <v>5.46</v>
      </c>
      <c r="Q3145">
        <v>15.2</v>
      </c>
      <c r="R3145">
        <v>4</v>
      </c>
      <c r="S3145">
        <v>4.0999999999999996</v>
      </c>
      <c r="T3145">
        <v>1</v>
      </c>
      <c r="U3145" t="s">
        <v>22</v>
      </c>
      <c r="V3145" t="e">
        <f>IF(#REF! = "yes", 1, 0)</f>
        <v>#REF!</v>
      </c>
      <c r="W3145" t="e">
        <f>IF(#REF! &lt;= 1, "0-1 Calls", IF(#REF! &lt;= 3, "2-3 Calls", IF(#REF! &lt;=5, "4-5 Calls", "6+ Calls")))</f>
        <v>#REF!</v>
      </c>
      <c r="X3145" t="e">
        <f>IF(#REF! &lt;= 50, "0-50", IF(#REF! &lt;=100, "51-100", IF(#REF! &lt;= 150, "101-150", "151+")))</f>
        <v>#REF!</v>
      </c>
      <c r="Y3145" t="e">
        <f>IF(#REF! &lt;= 3, "Low Charges", "High Charges")</f>
        <v>#REF!</v>
      </c>
      <c r="Z3145" t="e">
        <f>IF(#REF!&lt;=80,"Low Calls",
IF(#REF!&lt;=120,"Medium Calls","High Calls"))</f>
        <v>#REF!</v>
      </c>
      <c r="AA3145" t="e">
        <f>IF(#REF!&lt;=15,"Low Charges",
IF(#REF!&lt;=20,"Medium Charges","High Charges"))</f>
        <v>#REF!</v>
      </c>
      <c r="AB3145" t="e">
        <f>IF(AND(#REF!&gt;180, #REF!&gt;200), "Heavy Doemstic User", IF(#REF!&gt;10, "Interntional User", IF(AND(#REF!&lt;180, #REF!&lt;200,#REF!&lt;200), "Light User", "Balanced User")))</f>
        <v>#REF!</v>
      </c>
      <c r="AC3145" t="e">
        <f>IF(#REF! = 0, "No Usage", IF(#REF! &lt;= 20, "Low Usage", IF(#REF! &lt;= 40, "Medium Usgae", "High Usage")))</f>
        <v>#REF!</v>
      </c>
      <c r="AD3145" t="e">
        <f>IF(#REF!&lt;=150,"Low Usage", IF(#REF!&lt;=200,"Medium Usage", IF(#REF!&lt;=250,"High Usage","Very High Usage")))</f>
        <v>#REF!</v>
      </c>
      <c r="AE3145" t="e">
        <f>IF(#REF!&lt;=5,"Low Calls", IF(#REF!&lt;=10, "Medium Calls", "High Calls"))</f>
        <v>#REF!</v>
      </c>
      <c r="AF3145" t="e">
        <f xml:space="preserve">
IF(#REF!&gt;=4,4,0)+
IF(#REF!="yes",3,0)+
IF(#REF!="High Charges",3,0)+
IF(#REF!&gt;250,4,0)+
IF(#REF!="no",1,0)+
IF(#REF!="Heavy Domestic User",2,0)</f>
        <v>#REF!</v>
      </c>
      <c r="AG3145" t="e">
        <f>IF(#REF!&gt;=10,"High Risk", IF(#REF!&gt;=5,"Medium Risk","Low Risk"))</f>
        <v>#REF!</v>
      </c>
      <c r="AH3145" t="e">
        <f>#REF! + #REF! + #REF! + #REF!</f>
        <v>#REF!</v>
      </c>
    </row>
    <row r="3146" spans="1:34" x14ac:dyDescent="0.35">
      <c r="A3146">
        <v>3145</v>
      </c>
      <c r="B3146" t="s">
        <v>38</v>
      </c>
      <c r="C3146">
        <v>86</v>
      </c>
      <c r="D3146" t="s">
        <v>21</v>
      </c>
      <c r="E3146" t="s">
        <v>22</v>
      </c>
      <c r="F3146" t="s">
        <v>22</v>
      </c>
      <c r="G3146">
        <v>0</v>
      </c>
      <c r="H3146">
        <v>120.6</v>
      </c>
      <c r="I3146">
        <v>82</v>
      </c>
      <c r="J3146">
        <v>20.5</v>
      </c>
      <c r="K3146">
        <v>238.3</v>
      </c>
      <c r="L3146">
        <v>96</v>
      </c>
      <c r="M3146">
        <v>20.260000000000002</v>
      </c>
      <c r="N3146">
        <v>219.8</v>
      </c>
      <c r="O3146">
        <v>125</v>
      </c>
      <c r="P3146">
        <v>9.89</v>
      </c>
      <c r="Q3146">
        <v>11.4</v>
      </c>
      <c r="R3146">
        <v>5</v>
      </c>
      <c r="S3146">
        <v>3.08</v>
      </c>
      <c r="T3146">
        <v>0</v>
      </c>
      <c r="U3146" t="s">
        <v>22</v>
      </c>
      <c r="V3146" t="e">
        <f>IF(#REF! = "yes", 1, 0)</f>
        <v>#REF!</v>
      </c>
      <c r="W3146" t="e">
        <f>IF(#REF! &lt;= 1, "0-1 Calls", IF(#REF! &lt;= 3, "2-3 Calls", IF(#REF! &lt;=5, "4-5 Calls", "6+ Calls")))</f>
        <v>#REF!</v>
      </c>
      <c r="X3146" t="e">
        <f>IF(#REF! &lt;= 50, "0-50", IF(#REF! &lt;=100, "51-100", IF(#REF! &lt;= 150, "101-150", "151+")))</f>
        <v>#REF!</v>
      </c>
      <c r="Y3146" t="e">
        <f>IF(#REF! &lt;= 3, "Low Charges", "High Charges")</f>
        <v>#REF!</v>
      </c>
      <c r="Z3146" t="e">
        <f>IF(#REF!&lt;=80,"Low Calls",
IF(#REF!&lt;=120,"Medium Calls","High Calls"))</f>
        <v>#REF!</v>
      </c>
      <c r="AA3146" t="e">
        <f>IF(#REF!&lt;=15,"Low Charges",
IF(#REF!&lt;=20,"Medium Charges","High Charges"))</f>
        <v>#REF!</v>
      </c>
      <c r="AB3146" t="e">
        <f>IF(AND(#REF!&gt;180, #REF!&gt;200), "Heavy Doemstic User", IF(#REF!&gt;10, "Interntional User", IF(AND(#REF!&lt;180, #REF!&lt;200,#REF!&lt;200), "Light User", "Balanced User")))</f>
        <v>#REF!</v>
      </c>
      <c r="AC3146" t="e">
        <f>IF(#REF! = 0, "No Usage", IF(#REF! &lt;= 20, "Low Usage", IF(#REF! &lt;= 40, "Medium Usgae", "High Usage")))</f>
        <v>#REF!</v>
      </c>
      <c r="AD3146" t="e">
        <f>IF(#REF!&lt;=150,"Low Usage", IF(#REF!&lt;=200,"Medium Usage", IF(#REF!&lt;=250,"High Usage","Very High Usage")))</f>
        <v>#REF!</v>
      </c>
      <c r="AE3146" t="e">
        <f>IF(#REF!&lt;=5,"Low Calls", IF(#REF!&lt;=10, "Medium Calls", "High Calls"))</f>
        <v>#REF!</v>
      </c>
      <c r="AF3146" t="e">
        <f xml:space="preserve">
IF(#REF!&gt;=4,4,0)+
IF(#REF!="yes",3,0)+
IF(#REF!="High Charges",3,0)+
IF(#REF!&gt;250,4,0)+
IF(#REF!="no",1,0)+
IF(#REF!="Heavy Domestic User",2,0)</f>
        <v>#REF!</v>
      </c>
      <c r="AG3146" t="e">
        <f>IF(#REF!&gt;=10,"High Risk", IF(#REF!&gt;=5,"Medium Risk","Low Risk"))</f>
        <v>#REF!</v>
      </c>
      <c r="AH3146" t="e">
        <f>#REF! + #REF! + #REF! + #REF!</f>
        <v>#REF!</v>
      </c>
    </row>
    <row r="3147" spans="1:34" x14ac:dyDescent="0.35">
      <c r="A3147">
        <v>3146</v>
      </c>
      <c r="B3147" t="s">
        <v>69</v>
      </c>
      <c r="C3147">
        <v>120</v>
      </c>
      <c r="D3147" t="s">
        <v>21</v>
      </c>
      <c r="E3147" t="s">
        <v>22</v>
      </c>
      <c r="F3147" t="s">
        <v>23</v>
      </c>
      <c r="G3147">
        <v>40</v>
      </c>
      <c r="H3147">
        <v>222.2</v>
      </c>
      <c r="I3147">
        <v>80</v>
      </c>
      <c r="J3147">
        <v>37.770000000000003</v>
      </c>
      <c r="K3147">
        <v>223.1</v>
      </c>
      <c r="L3147">
        <v>84</v>
      </c>
      <c r="M3147">
        <v>18.96</v>
      </c>
      <c r="N3147">
        <v>164</v>
      </c>
      <c r="O3147">
        <v>65</v>
      </c>
      <c r="P3147">
        <v>7.38</v>
      </c>
      <c r="Q3147">
        <v>12.1</v>
      </c>
      <c r="R3147">
        <v>3</v>
      </c>
      <c r="S3147">
        <v>3.27</v>
      </c>
      <c r="T3147">
        <v>1</v>
      </c>
      <c r="U3147" t="s">
        <v>22</v>
      </c>
      <c r="V3147" t="e">
        <f>IF(#REF! = "yes", 1, 0)</f>
        <v>#REF!</v>
      </c>
      <c r="W3147" t="e">
        <f>IF(#REF! &lt;= 1, "0-1 Calls", IF(#REF! &lt;= 3, "2-3 Calls", IF(#REF! &lt;=5, "4-5 Calls", "6+ Calls")))</f>
        <v>#REF!</v>
      </c>
      <c r="X3147" t="e">
        <f>IF(#REF! &lt;= 50, "0-50", IF(#REF! &lt;=100, "51-100", IF(#REF! &lt;= 150, "101-150", "151+")))</f>
        <v>#REF!</v>
      </c>
      <c r="Y3147" t="e">
        <f>IF(#REF! &lt;= 3, "Low Charges", "High Charges")</f>
        <v>#REF!</v>
      </c>
      <c r="Z3147" t="e">
        <f>IF(#REF!&lt;=80,"Low Calls",
IF(#REF!&lt;=120,"Medium Calls","High Calls"))</f>
        <v>#REF!</v>
      </c>
      <c r="AA3147" t="e">
        <f>IF(#REF!&lt;=15,"Low Charges",
IF(#REF!&lt;=20,"Medium Charges","High Charges"))</f>
        <v>#REF!</v>
      </c>
      <c r="AB3147" t="e">
        <f>IF(AND(#REF!&gt;180, #REF!&gt;200), "Heavy Doemstic User", IF(#REF!&gt;10, "Interntional User", IF(AND(#REF!&lt;180, #REF!&lt;200,#REF!&lt;200), "Light User", "Balanced User")))</f>
        <v>#REF!</v>
      </c>
      <c r="AC3147" t="e">
        <f>IF(#REF! = 0, "No Usage", IF(#REF! &lt;= 20, "Low Usage", IF(#REF! &lt;= 40, "Medium Usgae", "High Usage")))</f>
        <v>#REF!</v>
      </c>
      <c r="AD3147" t="e">
        <f>IF(#REF!&lt;=150,"Low Usage", IF(#REF!&lt;=200,"Medium Usage", IF(#REF!&lt;=250,"High Usage","Very High Usage")))</f>
        <v>#REF!</v>
      </c>
      <c r="AE3147" t="e">
        <f>IF(#REF!&lt;=5,"Low Calls", IF(#REF!&lt;=10, "Medium Calls", "High Calls"))</f>
        <v>#REF!</v>
      </c>
      <c r="AF3147" t="e">
        <f xml:space="preserve">
IF(#REF!&gt;=4,4,0)+
IF(#REF!="yes",3,0)+
IF(#REF!="High Charges",3,0)+
IF(#REF!&gt;250,4,0)+
IF(#REF!="no",1,0)+
IF(#REF!="Heavy Domestic User",2,0)</f>
        <v>#REF!</v>
      </c>
      <c r="AG3147" t="e">
        <f>IF(#REF!&gt;=10,"High Risk", IF(#REF!&gt;=5,"Medium Risk","Low Risk"))</f>
        <v>#REF!</v>
      </c>
      <c r="AH3147" t="e">
        <f>#REF! + #REF! + #REF! + #REF!</f>
        <v>#REF!</v>
      </c>
    </row>
    <row r="3148" spans="1:34" x14ac:dyDescent="0.35">
      <c r="A3148">
        <v>3147</v>
      </c>
      <c r="B3148" t="s">
        <v>39</v>
      </c>
      <c r="C3148">
        <v>85</v>
      </c>
      <c r="D3148" t="s">
        <v>25</v>
      </c>
      <c r="E3148" t="s">
        <v>22</v>
      </c>
      <c r="F3148" t="s">
        <v>23</v>
      </c>
      <c r="G3148">
        <v>21</v>
      </c>
      <c r="H3148">
        <v>219.3</v>
      </c>
      <c r="I3148">
        <v>132</v>
      </c>
      <c r="J3148">
        <v>37.28</v>
      </c>
      <c r="K3148">
        <v>218.2</v>
      </c>
      <c r="L3148">
        <v>105</v>
      </c>
      <c r="M3148">
        <v>18.55</v>
      </c>
      <c r="N3148">
        <v>267.60000000000002</v>
      </c>
      <c r="O3148">
        <v>95</v>
      </c>
      <c r="P3148">
        <v>12.04</v>
      </c>
      <c r="Q3148">
        <v>15.7</v>
      </c>
      <c r="R3148">
        <v>2</v>
      </c>
      <c r="S3148">
        <v>4.24</v>
      </c>
      <c r="T3148">
        <v>2</v>
      </c>
      <c r="U3148" t="s">
        <v>22</v>
      </c>
      <c r="V3148" t="e">
        <f>IF(#REF! = "yes", 1, 0)</f>
        <v>#REF!</v>
      </c>
      <c r="W3148" t="e">
        <f>IF(#REF! &lt;= 1, "0-1 Calls", IF(#REF! &lt;= 3, "2-3 Calls", IF(#REF! &lt;=5, "4-5 Calls", "6+ Calls")))</f>
        <v>#REF!</v>
      </c>
      <c r="X3148" t="e">
        <f>IF(#REF! &lt;= 50, "0-50", IF(#REF! &lt;=100, "51-100", IF(#REF! &lt;= 150, "101-150", "151+")))</f>
        <v>#REF!</v>
      </c>
      <c r="Y3148" t="e">
        <f>IF(#REF! &lt;= 3, "Low Charges", "High Charges")</f>
        <v>#REF!</v>
      </c>
      <c r="Z3148" t="e">
        <f>IF(#REF!&lt;=80,"Low Calls",
IF(#REF!&lt;=120,"Medium Calls","High Calls"))</f>
        <v>#REF!</v>
      </c>
      <c r="AA3148" t="e">
        <f>IF(#REF!&lt;=15,"Low Charges",
IF(#REF!&lt;=20,"Medium Charges","High Charges"))</f>
        <v>#REF!</v>
      </c>
      <c r="AB3148" t="e">
        <f>IF(AND(#REF!&gt;180, #REF!&gt;200), "Heavy Doemstic User", IF(#REF!&gt;10, "Interntional User", IF(AND(#REF!&lt;180, #REF!&lt;200,#REF!&lt;200), "Light User", "Balanced User")))</f>
        <v>#REF!</v>
      </c>
      <c r="AC3148" t="e">
        <f>IF(#REF! = 0, "No Usage", IF(#REF! &lt;= 20, "Low Usage", IF(#REF! &lt;= 40, "Medium Usgae", "High Usage")))</f>
        <v>#REF!</v>
      </c>
      <c r="AD3148" t="e">
        <f>IF(#REF!&lt;=150,"Low Usage", IF(#REF!&lt;=200,"Medium Usage", IF(#REF!&lt;=250,"High Usage","Very High Usage")))</f>
        <v>#REF!</v>
      </c>
      <c r="AE3148" t="e">
        <f>IF(#REF!&lt;=5,"Low Calls", IF(#REF!&lt;=10, "Medium Calls", "High Calls"))</f>
        <v>#REF!</v>
      </c>
      <c r="AF3148" t="e">
        <f xml:space="preserve">
IF(#REF!&gt;=4,4,0)+
IF(#REF!="yes",3,0)+
IF(#REF!="High Charges",3,0)+
IF(#REF!&gt;250,4,0)+
IF(#REF!="no",1,0)+
IF(#REF!="Heavy Domestic User",2,0)</f>
        <v>#REF!</v>
      </c>
      <c r="AG3148" t="e">
        <f>IF(#REF!&gt;=10,"High Risk", IF(#REF!&gt;=5,"Medium Risk","Low Risk"))</f>
        <v>#REF!</v>
      </c>
      <c r="AH3148" t="e">
        <f>#REF! + #REF! + #REF! + #REF!</f>
        <v>#REF!</v>
      </c>
    </row>
    <row r="3149" spans="1:34" x14ac:dyDescent="0.35">
      <c r="A3149">
        <v>3148</v>
      </c>
      <c r="B3149" t="s">
        <v>38</v>
      </c>
      <c r="C3149">
        <v>103</v>
      </c>
      <c r="D3149" t="s">
        <v>21</v>
      </c>
      <c r="E3149" t="s">
        <v>22</v>
      </c>
      <c r="F3149" t="s">
        <v>22</v>
      </c>
      <c r="G3149">
        <v>0</v>
      </c>
      <c r="H3149">
        <v>230.2</v>
      </c>
      <c r="I3149">
        <v>100</v>
      </c>
      <c r="J3149">
        <v>39.130000000000003</v>
      </c>
      <c r="K3149">
        <v>174.1</v>
      </c>
      <c r="L3149">
        <v>100</v>
      </c>
      <c r="M3149">
        <v>14.8</v>
      </c>
      <c r="N3149">
        <v>194.1</v>
      </c>
      <c r="O3149">
        <v>112</v>
      </c>
      <c r="P3149">
        <v>8.73</v>
      </c>
      <c r="Q3149">
        <v>9</v>
      </c>
      <c r="R3149">
        <v>11</v>
      </c>
      <c r="S3149">
        <v>2.4300000000000002</v>
      </c>
      <c r="T3149">
        <v>2</v>
      </c>
      <c r="U3149" t="s">
        <v>22</v>
      </c>
      <c r="V3149" t="e">
        <f>IF(#REF! = "yes", 1, 0)</f>
        <v>#REF!</v>
      </c>
      <c r="W3149" t="e">
        <f>IF(#REF! &lt;= 1, "0-1 Calls", IF(#REF! &lt;= 3, "2-3 Calls", IF(#REF! &lt;=5, "4-5 Calls", "6+ Calls")))</f>
        <v>#REF!</v>
      </c>
      <c r="X3149" t="e">
        <f>IF(#REF! &lt;= 50, "0-50", IF(#REF! &lt;=100, "51-100", IF(#REF! &lt;= 150, "101-150", "151+")))</f>
        <v>#REF!</v>
      </c>
      <c r="Y3149" t="e">
        <f>IF(#REF! &lt;= 3, "Low Charges", "High Charges")</f>
        <v>#REF!</v>
      </c>
      <c r="Z3149" t="e">
        <f>IF(#REF!&lt;=80,"Low Calls",
IF(#REF!&lt;=120,"Medium Calls","High Calls"))</f>
        <v>#REF!</v>
      </c>
      <c r="AA3149" t="e">
        <f>IF(#REF!&lt;=15,"Low Charges",
IF(#REF!&lt;=20,"Medium Charges","High Charges"))</f>
        <v>#REF!</v>
      </c>
      <c r="AB3149" t="e">
        <f>IF(AND(#REF!&gt;180, #REF!&gt;200), "Heavy Doemstic User", IF(#REF!&gt;10, "Interntional User", IF(AND(#REF!&lt;180, #REF!&lt;200,#REF!&lt;200), "Light User", "Balanced User")))</f>
        <v>#REF!</v>
      </c>
      <c r="AC3149" t="e">
        <f>IF(#REF! = 0, "No Usage", IF(#REF! &lt;= 20, "Low Usage", IF(#REF! &lt;= 40, "Medium Usgae", "High Usage")))</f>
        <v>#REF!</v>
      </c>
      <c r="AD3149" t="e">
        <f>IF(#REF!&lt;=150,"Low Usage", IF(#REF!&lt;=200,"Medium Usage", IF(#REF!&lt;=250,"High Usage","Very High Usage")))</f>
        <v>#REF!</v>
      </c>
      <c r="AE3149" t="e">
        <f>IF(#REF!&lt;=5,"Low Calls", IF(#REF!&lt;=10, "Medium Calls", "High Calls"))</f>
        <v>#REF!</v>
      </c>
      <c r="AF3149" t="e">
        <f xml:space="preserve">
IF(#REF!&gt;=4,4,0)+
IF(#REF!="yes",3,0)+
IF(#REF!="High Charges",3,0)+
IF(#REF!&gt;250,4,0)+
IF(#REF!="no",1,0)+
IF(#REF!="Heavy Domestic User",2,0)</f>
        <v>#REF!</v>
      </c>
      <c r="AG3149" t="e">
        <f>IF(#REF!&gt;=10,"High Risk", IF(#REF!&gt;=5,"Medium Risk","Low Risk"))</f>
        <v>#REF!</v>
      </c>
      <c r="AH3149" t="e">
        <f>#REF! + #REF! + #REF! + #REF!</f>
        <v>#REF!</v>
      </c>
    </row>
    <row r="3150" spans="1:34" x14ac:dyDescent="0.35">
      <c r="A3150">
        <v>3149</v>
      </c>
      <c r="B3150" t="s">
        <v>63</v>
      </c>
      <c r="C3150">
        <v>53</v>
      </c>
      <c r="D3150" t="s">
        <v>21</v>
      </c>
      <c r="E3150" t="s">
        <v>22</v>
      </c>
      <c r="F3150" t="s">
        <v>23</v>
      </c>
      <c r="G3150">
        <v>22</v>
      </c>
      <c r="H3150">
        <v>76.099999999999994</v>
      </c>
      <c r="I3150">
        <v>115</v>
      </c>
      <c r="J3150">
        <v>12.94</v>
      </c>
      <c r="K3150">
        <v>171.2</v>
      </c>
      <c r="L3150">
        <v>119</v>
      </c>
      <c r="M3150">
        <v>14.55</v>
      </c>
      <c r="N3150">
        <v>246.3</v>
      </c>
      <c r="O3150">
        <v>126</v>
      </c>
      <c r="P3150">
        <v>11.08</v>
      </c>
      <c r="Q3150">
        <v>6</v>
      </c>
      <c r="R3150">
        <v>2</v>
      </c>
      <c r="S3150">
        <v>1.62</v>
      </c>
      <c r="T3150">
        <v>0</v>
      </c>
      <c r="U3150" t="s">
        <v>22</v>
      </c>
      <c r="V3150" t="e">
        <f>IF(#REF! = "yes", 1, 0)</f>
        <v>#REF!</v>
      </c>
      <c r="W3150" t="e">
        <f>IF(#REF! &lt;= 1, "0-1 Calls", IF(#REF! &lt;= 3, "2-3 Calls", IF(#REF! &lt;=5, "4-5 Calls", "6+ Calls")))</f>
        <v>#REF!</v>
      </c>
      <c r="X3150" t="e">
        <f>IF(#REF! &lt;= 50, "0-50", IF(#REF! &lt;=100, "51-100", IF(#REF! &lt;= 150, "101-150", "151+")))</f>
        <v>#REF!</v>
      </c>
      <c r="Y3150" t="e">
        <f>IF(#REF! &lt;= 3, "Low Charges", "High Charges")</f>
        <v>#REF!</v>
      </c>
      <c r="Z3150" t="e">
        <f>IF(#REF!&lt;=80,"Low Calls",
IF(#REF!&lt;=120,"Medium Calls","High Calls"))</f>
        <v>#REF!</v>
      </c>
      <c r="AA3150" t="e">
        <f>IF(#REF!&lt;=15,"Low Charges",
IF(#REF!&lt;=20,"Medium Charges","High Charges"))</f>
        <v>#REF!</v>
      </c>
      <c r="AB3150" t="e">
        <f>IF(AND(#REF!&gt;180, #REF!&gt;200), "Heavy Doemstic User", IF(#REF!&gt;10, "Interntional User", IF(AND(#REF!&lt;180, #REF!&lt;200,#REF!&lt;200), "Light User", "Balanced User")))</f>
        <v>#REF!</v>
      </c>
      <c r="AC3150" t="e">
        <f>IF(#REF! = 0, "No Usage", IF(#REF! &lt;= 20, "Low Usage", IF(#REF! &lt;= 40, "Medium Usgae", "High Usage")))</f>
        <v>#REF!</v>
      </c>
      <c r="AD3150" t="e">
        <f>IF(#REF!&lt;=150,"Low Usage", IF(#REF!&lt;=200,"Medium Usage", IF(#REF!&lt;=250,"High Usage","Very High Usage")))</f>
        <v>#REF!</v>
      </c>
      <c r="AE3150" t="e">
        <f>IF(#REF!&lt;=5,"Low Calls", IF(#REF!&lt;=10, "Medium Calls", "High Calls"))</f>
        <v>#REF!</v>
      </c>
      <c r="AF3150" t="e">
        <f xml:space="preserve">
IF(#REF!&gt;=4,4,0)+
IF(#REF!="yes",3,0)+
IF(#REF!="High Charges",3,0)+
IF(#REF!&gt;250,4,0)+
IF(#REF!="no",1,0)+
IF(#REF!="Heavy Domestic User",2,0)</f>
        <v>#REF!</v>
      </c>
      <c r="AG3150" t="e">
        <f>IF(#REF!&gt;=10,"High Risk", IF(#REF!&gt;=5,"Medium Risk","Low Risk"))</f>
        <v>#REF!</v>
      </c>
      <c r="AH3150" t="e">
        <f>#REF! + #REF! + #REF! + #REF!</f>
        <v>#REF!</v>
      </c>
    </row>
    <row r="3151" spans="1:34" x14ac:dyDescent="0.35">
      <c r="A3151">
        <v>3150</v>
      </c>
      <c r="B3151" t="s">
        <v>69</v>
      </c>
      <c r="C3151">
        <v>115</v>
      </c>
      <c r="D3151" t="s">
        <v>21</v>
      </c>
      <c r="E3151" t="s">
        <v>23</v>
      </c>
      <c r="F3151" t="s">
        <v>22</v>
      </c>
      <c r="G3151">
        <v>0</v>
      </c>
      <c r="H3151">
        <v>147.69999999999999</v>
      </c>
      <c r="I3151">
        <v>105</v>
      </c>
      <c r="J3151">
        <v>25.11</v>
      </c>
      <c r="K3151">
        <v>184.1</v>
      </c>
      <c r="L3151">
        <v>68</v>
      </c>
      <c r="M3151">
        <v>15.65</v>
      </c>
      <c r="N3151">
        <v>153.5</v>
      </c>
      <c r="O3151">
        <v>102</v>
      </c>
      <c r="P3151">
        <v>6.91</v>
      </c>
      <c r="Q3151">
        <v>12.7</v>
      </c>
      <c r="R3151">
        <v>5</v>
      </c>
      <c r="S3151">
        <v>3.43</v>
      </c>
      <c r="T3151">
        <v>0</v>
      </c>
      <c r="U3151" t="s">
        <v>22</v>
      </c>
      <c r="V3151" t="e">
        <f>IF(#REF! = "yes", 1, 0)</f>
        <v>#REF!</v>
      </c>
      <c r="W3151" t="e">
        <f>IF(#REF! &lt;= 1, "0-1 Calls", IF(#REF! &lt;= 3, "2-3 Calls", IF(#REF! &lt;=5, "4-5 Calls", "6+ Calls")))</f>
        <v>#REF!</v>
      </c>
      <c r="X3151" t="e">
        <f>IF(#REF! &lt;= 50, "0-50", IF(#REF! &lt;=100, "51-100", IF(#REF! &lt;= 150, "101-150", "151+")))</f>
        <v>#REF!</v>
      </c>
      <c r="Y3151" t="e">
        <f>IF(#REF! &lt;= 3, "Low Charges", "High Charges")</f>
        <v>#REF!</v>
      </c>
      <c r="Z3151" t="e">
        <f>IF(#REF!&lt;=80,"Low Calls",
IF(#REF!&lt;=120,"Medium Calls","High Calls"))</f>
        <v>#REF!</v>
      </c>
      <c r="AA3151" t="e">
        <f>IF(#REF!&lt;=15,"Low Charges",
IF(#REF!&lt;=20,"Medium Charges","High Charges"))</f>
        <v>#REF!</v>
      </c>
      <c r="AB3151" t="e">
        <f>IF(AND(#REF!&gt;180, #REF!&gt;200), "Heavy Doemstic User", IF(#REF!&gt;10, "Interntional User", IF(AND(#REF!&lt;180, #REF!&lt;200,#REF!&lt;200), "Light User", "Balanced User")))</f>
        <v>#REF!</v>
      </c>
      <c r="AC3151" t="e">
        <f>IF(#REF! = 0, "No Usage", IF(#REF! &lt;= 20, "Low Usage", IF(#REF! &lt;= 40, "Medium Usgae", "High Usage")))</f>
        <v>#REF!</v>
      </c>
      <c r="AD3151" t="e">
        <f>IF(#REF!&lt;=150,"Low Usage", IF(#REF!&lt;=200,"Medium Usage", IF(#REF!&lt;=250,"High Usage","Very High Usage")))</f>
        <v>#REF!</v>
      </c>
      <c r="AE3151" t="e">
        <f>IF(#REF!&lt;=5,"Low Calls", IF(#REF!&lt;=10, "Medium Calls", "High Calls"))</f>
        <v>#REF!</v>
      </c>
      <c r="AF3151" t="e">
        <f xml:space="preserve">
IF(#REF!&gt;=4,4,0)+
IF(#REF!="yes",3,0)+
IF(#REF!="High Charges",3,0)+
IF(#REF!&gt;250,4,0)+
IF(#REF!="no",1,0)+
IF(#REF!="Heavy Domestic User",2,0)</f>
        <v>#REF!</v>
      </c>
      <c r="AG3151" t="e">
        <f>IF(#REF!&gt;=10,"High Risk", IF(#REF!&gt;=5,"Medium Risk","Low Risk"))</f>
        <v>#REF!</v>
      </c>
      <c r="AH3151" t="e">
        <f>#REF! + #REF! + #REF! + #REF!</f>
        <v>#REF!</v>
      </c>
    </row>
    <row r="3152" spans="1:34" x14ac:dyDescent="0.35">
      <c r="A3152">
        <v>3151</v>
      </c>
      <c r="B3152" t="s">
        <v>67</v>
      </c>
      <c r="C3152">
        <v>116</v>
      </c>
      <c r="D3152" t="s">
        <v>25</v>
      </c>
      <c r="E3152" t="s">
        <v>23</v>
      </c>
      <c r="F3152" t="s">
        <v>22</v>
      </c>
      <c r="G3152">
        <v>0</v>
      </c>
      <c r="H3152">
        <v>139.4</v>
      </c>
      <c r="I3152">
        <v>102</v>
      </c>
      <c r="J3152">
        <v>23.7</v>
      </c>
      <c r="K3152">
        <v>261.8</v>
      </c>
      <c r="L3152">
        <v>97</v>
      </c>
      <c r="M3152">
        <v>22.25</v>
      </c>
      <c r="N3152">
        <v>167.4</v>
      </c>
      <c r="O3152">
        <v>101</v>
      </c>
      <c r="P3152">
        <v>7.53</v>
      </c>
      <c r="Q3152">
        <v>10.5</v>
      </c>
      <c r="R3152">
        <v>4</v>
      </c>
      <c r="S3152">
        <v>2.84</v>
      </c>
      <c r="T3152">
        <v>1</v>
      </c>
      <c r="U3152" t="s">
        <v>22</v>
      </c>
      <c r="V3152" t="e">
        <f>IF(#REF! = "yes", 1, 0)</f>
        <v>#REF!</v>
      </c>
      <c r="W3152" t="e">
        <f>IF(#REF! &lt;= 1, "0-1 Calls", IF(#REF! &lt;= 3, "2-3 Calls", IF(#REF! &lt;=5, "4-5 Calls", "6+ Calls")))</f>
        <v>#REF!</v>
      </c>
      <c r="X3152" t="e">
        <f>IF(#REF! &lt;= 50, "0-50", IF(#REF! &lt;=100, "51-100", IF(#REF! &lt;= 150, "101-150", "151+")))</f>
        <v>#REF!</v>
      </c>
      <c r="Y3152" t="e">
        <f>IF(#REF! &lt;= 3, "Low Charges", "High Charges")</f>
        <v>#REF!</v>
      </c>
      <c r="Z3152" t="e">
        <f>IF(#REF!&lt;=80,"Low Calls",
IF(#REF!&lt;=120,"Medium Calls","High Calls"))</f>
        <v>#REF!</v>
      </c>
      <c r="AA3152" t="e">
        <f>IF(#REF!&lt;=15,"Low Charges",
IF(#REF!&lt;=20,"Medium Charges","High Charges"))</f>
        <v>#REF!</v>
      </c>
      <c r="AB3152" t="e">
        <f>IF(AND(#REF!&gt;180, #REF!&gt;200), "Heavy Doemstic User", IF(#REF!&gt;10, "Interntional User", IF(AND(#REF!&lt;180, #REF!&lt;200,#REF!&lt;200), "Light User", "Balanced User")))</f>
        <v>#REF!</v>
      </c>
      <c r="AC3152" t="e">
        <f>IF(#REF! = 0, "No Usage", IF(#REF! &lt;= 20, "Low Usage", IF(#REF! &lt;= 40, "Medium Usgae", "High Usage")))</f>
        <v>#REF!</v>
      </c>
      <c r="AD3152" t="e">
        <f>IF(#REF!&lt;=150,"Low Usage", IF(#REF!&lt;=200,"Medium Usage", IF(#REF!&lt;=250,"High Usage","Very High Usage")))</f>
        <v>#REF!</v>
      </c>
      <c r="AE3152" t="e">
        <f>IF(#REF!&lt;=5,"Low Calls", IF(#REF!&lt;=10, "Medium Calls", "High Calls"))</f>
        <v>#REF!</v>
      </c>
      <c r="AF3152" t="e">
        <f xml:space="preserve">
IF(#REF!&gt;=4,4,0)+
IF(#REF!="yes",3,0)+
IF(#REF!="High Charges",3,0)+
IF(#REF!&gt;250,4,0)+
IF(#REF!="no",1,0)+
IF(#REF!="Heavy Domestic User",2,0)</f>
        <v>#REF!</v>
      </c>
      <c r="AG3152" t="e">
        <f>IF(#REF!&gt;=10,"High Risk", IF(#REF!&gt;=5,"Medium Risk","Low Risk"))</f>
        <v>#REF!</v>
      </c>
      <c r="AH3152" t="e">
        <f>#REF! + #REF! + #REF! + #REF!</f>
        <v>#REF!</v>
      </c>
    </row>
    <row r="3153" spans="1:34" x14ac:dyDescent="0.35">
      <c r="A3153">
        <v>3152</v>
      </c>
      <c r="B3153" t="s">
        <v>71</v>
      </c>
      <c r="C3153">
        <v>93</v>
      </c>
      <c r="D3153" t="s">
        <v>28</v>
      </c>
      <c r="E3153" t="s">
        <v>22</v>
      </c>
      <c r="F3153" t="s">
        <v>23</v>
      </c>
      <c r="G3153">
        <v>23</v>
      </c>
      <c r="H3153">
        <v>196</v>
      </c>
      <c r="I3153">
        <v>91</v>
      </c>
      <c r="J3153">
        <v>33.32</v>
      </c>
      <c r="K3153">
        <v>156.30000000000001</v>
      </c>
      <c r="L3153">
        <v>107</v>
      </c>
      <c r="M3153">
        <v>13.29</v>
      </c>
      <c r="N3153">
        <v>200.5</v>
      </c>
      <c r="O3153">
        <v>68</v>
      </c>
      <c r="P3153">
        <v>9.02</v>
      </c>
      <c r="Q3153">
        <v>15.3</v>
      </c>
      <c r="R3153">
        <v>2</v>
      </c>
      <c r="S3153">
        <v>4.13</v>
      </c>
      <c r="T3153">
        <v>1</v>
      </c>
      <c r="U3153" t="s">
        <v>22</v>
      </c>
      <c r="V3153" t="e">
        <f>IF(#REF! = "yes", 1, 0)</f>
        <v>#REF!</v>
      </c>
      <c r="W3153" t="e">
        <f>IF(#REF! &lt;= 1, "0-1 Calls", IF(#REF! &lt;= 3, "2-3 Calls", IF(#REF! &lt;=5, "4-5 Calls", "6+ Calls")))</f>
        <v>#REF!</v>
      </c>
      <c r="X3153" t="e">
        <f>IF(#REF! &lt;= 50, "0-50", IF(#REF! &lt;=100, "51-100", IF(#REF! &lt;= 150, "101-150", "151+")))</f>
        <v>#REF!</v>
      </c>
      <c r="Y3153" t="e">
        <f>IF(#REF! &lt;= 3, "Low Charges", "High Charges")</f>
        <v>#REF!</v>
      </c>
      <c r="Z3153" t="e">
        <f>IF(#REF!&lt;=80,"Low Calls",
IF(#REF!&lt;=120,"Medium Calls","High Calls"))</f>
        <v>#REF!</v>
      </c>
      <c r="AA3153" t="e">
        <f>IF(#REF!&lt;=15,"Low Charges",
IF(#REF!&lt;=20,"Medium Charges","High Charges"))</f>
        <v>#REF!</v>
      </c>
      <c r="AB3153" t="e">
        <f>IF(AND(#REF!&gt;180, #REF!&gt;200), "Heavy Doemstic User", IF(#REF!&gt;10, "Interntional User", IF(AND(#REF!&lt;180, #REF!&lt;200,#REF!&lt;200), "Light User", "Balanced User")))</f>
        <v>#REF!</v>
      </c>
      <c r="AC3153" t="e">
        <f>IF(#REF! = 0, "No Usage", IF(#REF! &lt;= 20, "Low Usage", IF(#REF! &lt;= 40, "Medium Usgae", "High Usage")))</f>
        <v>#REF!</v>
      </c>
      <c r="AD3153" t="e">
        <f>IF(#REF!&lt;=150,"Low Usage", IF(#REF!&lt;=200,"Medium Usage", IF(#REF!&lt;=250,"High Usage","Very High Usage")))</f>
        <v>#REF!</v>
      </c>
      <c r="AE3153" t="e">
        <f>IF(#REF!&lt;=5,"Low Calls", IF(#REF!&lt;=10, "Medium Calls", "High Calls"))</f>
        <v>#REF!</v>
      </c>
      <c r="AF3153" t="e">
        <f xml:space="preserve">
IF(#REF!&gt;=4,4,0)+
IF(#REF!="yes",3,0)+
IF(#REF!="High Charges",3,0)+
IF(#REF!&gt;250,4,0)+
IF(#REF!="no",1,0)+
IF(#REF!="Heavy Domestic User",2,0)</f>
        <v>#REF!</v>
      </c>
      <c r="AG3153" t="e">
        <f>IF(#REF!&gt;=10,"High Risk", IF(#REF!&gt;=5,"Medium Risk","Low Risk"))</f>
        <v>#REF!</v>
      </c>
      <c r="AH3153" t="e">
        <f>#REF! + #REF! + #REF! + #REF!</f>
        <v>#REF!</v>
      </c>
    </row>
    <row r="3154" spans="1:34" x14ac:dyDescent="0.35">
      <c r="A3154">
        <v>3153</v>
      </c>
      <c r="B3154" t="s">
        <v>37</v>
      </c>
      <c r="C3154">
        <v>106</v>
      </c>
      <c r="D3154" t="s">
        <v>28</v>
      </c>
      <c r="E3154" t="s">
        <v>22</v>
      </c>
      <c r="F3154" t="s">
        <v>22</v>
      </c>
      <c r="G3154">
        <v>0</v>
      </c>
      <c r="H3154">
        <v>160.80000000000001</v>
      </c>
      <c r="I3154">
        <v>73</v>
      </c>
      <c r="J3154">
        <v>27.34</v>
      </c>
      <c r="K3154">
        <v>170.4</v>
      </c>
      <c r="L3154">
        <v>112</v>
      </c>
      <c r="M3154">
        <v>14.48</v>
      </c>
      <c r="N3154">
        <v>249.2</v>
      </c>
      <c r="O3154">
        <v>131</v>
      </c>
      <c r="P3154">
        <v>11.21</v>
      </c>
      <c r="Q3154">
        <v>7.2</v>
      </c>
      <c r="R3154">
        <v>3</v>
      </c>
      <c r="S3154">
        <v>1.94</v>
      </c>
      <c r="T3154">
        <v>1</v>
      </c>
      <c r="U3154" t="s">
        <v>22</v>
      </c>
      <c r="V3154" t="e">
        <f>IF(#REF! = "yes", 1, 0)</f>
        <v>#REF!</v>
      </c>
      <c r="W3154" t="e">
        <f>IF(#REF! &lt;= 1, "0-1 Calls", IF(#REF! &lt;= 3, "2-3 Calls", IF(#REF! &lt;=5, "4-5 Calls", "6+ Calls")))</f>
        <v>#REF!</v>
      </c>
      <c r="X3154" t="e">
        <f>IF(#REF! &lt;= 50, "0-50", IF(#REF! &lt;=100, "51-100", IF(#REF! &lt;= 150, "101-150", "151+")))</f>
        <v>#REF!</v>
      </c>
      <c r="Y3154" t="e">
        <f>IF(#REF! &lt;= 3, "Low Charges", "High Charges")</f>
        <v>#REF!</v>
      </c>
      <c r="Z3154" t="e">
        <f>IF(#REF!&lt;=80,"Low Calls",
IF(#REF!&lt;=120,"Medium Calls","High Calls"))</f>
        <v>#REF!</v>
      </c>
      <c r="AA3154" t="e">
        <f>IF(#REF!&lt;=15,"Low Charges",
IF(#REF!&lt;=20,"Medium Charges","High Charges"))</f>
        <v>#REF!</v>
      </c>
      <c r="AB3154" t="e">
        <f>IF(AND(#REF!&gt;180, #REF!&gt;200), "Heavy Doemstic User", IF(#REF!&gt;10, "Interntional User", IF(AND(#REF!&lt;180, #REF!&lt;200,#REF!&lt;200), "Light User", "Balanced User")))</f>
        <v>#REF!</v>
      </c>
      <c r="AC3154" t="e">
        <f>IF(#REF! = 0, "No Usage", IF(#REF! &lt;= 20, "Low Usage", IF(#REF! &lt;= 40, "Medium Usgae", "High Usage")))</f>
        <v>#REF!</v>
      </c>
      <c r="AD3154" t="e">
        <f>IF(#REF!&lt;=150,"Low Usage", IF(#REF!&lt;=200,"Medium Usage", IF(#REF!&lt;=250,"High Usage","Very High Usage")))</f>
        <v>#REF!</v>
      </c>
      <c r="AE3154" t="e">
        <f>IF(#REF!&lt;=5,"Low Calls", IF(#REF!&lt;=10, "Medium Calls", "High Calls"))</f>
        <v>#REF!</v>
      </c>
      <c r="AF3154" t="e">
        <f xml:space="preserve">
IF(#REF!&gt;=4,4,0)+
IF(#REF!="yes",3,0)+
IF(#REF!="High Charges",3,0)+
IF(#REF!&gt;250,4,0)+
IF(#REF!="no",1,0)+
IF(#REF!="Heavy Domestic User",2,0)</f>
        <v>#REF!</v>
      </c>
      <c r="AG3154" t="e">
        <f>IF(#REF!&gt;=10,"High Risk", IF(#REF!&gt;=5,"Medium Risk","Low Risk"))</f>
        <v>#REF!</v>
      </c>
      <c r="AH3154" t="e">
        <f>#REF! + #REF! + #REF! + #REF!</f>
        <v>#REF!</v>
      </c>
    </row>
    <row r="3155" spans="1:34" x14ac:dyDescent="0.35">
      <c r="A3155">
        <v>3154</v>
      </c>
      <c r="B3155" t="s">
        <v>70</v>
      </c>
      <c r="C3155">
        <v>92</v>
      </c>
      <c r="D3155" t="s">
        <v>28</v>
      </c>
      <c r="E3155" t="s">
        <v>22</v>
      </c>
      <c r="F3155" t="s">
        <v>22</v>
      </c>
      <c r="G3155">
        <v>0</v>
      </c>
      <c r="H3155">
        <v>325.39999999999998</v>
      </c>
      <c r="I3155">
        <v>73</v>
      </c>
      <c r="J3155">
        <v>55.32</v>
      </c>
      <c r="K3155">
        <v>127.8</v>
      </c>
      <c r="L3155">
        <v>100</v>
      </c>
      <c r="M3155">
        <v>10.86</v>
      </c>
      <c r="N3155">
        <v>209.9</v>
      </c>
      <c r="O3155">
        <v>98</v>
      </c>
      <c r="P3155">
        <v>9.4499999999999993</v>
      </c>
      <c r="Q3155">
        <v>9.3000000000000007</v>
      </c>
      <c r="R3155">
        <v>10</v>
      </c>
      <c r="S3155">
        <v>2.5099999999999998</v>
      </c>
      <c r="T3155">
        <v>1</v>
      </c>
      <c r="U3155" t="s">
        <v>23</v>
      </c>
      <c r="V3155" t="e">
        <f>IF(#REF! = "yes", 1, 0)</f>
        <v>#REF!</v>
      </c>
      <c r="W3155" t="e">
        <f>IF(#REF! &lt;= 1, "0-1 Calls", IF(#REF! &lt;= 3, "2-3 Calls", IF(#REF! &lt;=5, "4-5 Calls", "6+ Calls")))</f>
        <v>#REF!</v>
      </c>
      <c r="X3155" t="e">
        <f>IF(#REF! &lt;= 50, "0-50", IF(#REF! &lt;=100, "51-100", IF(#REF! &lt;= 150, "101-150", "151+")))</f>
        <v>#REF!</v>
      </c>
      <c r="Y3155" t="e">
        <f>IF(#REF! &lt;= 3, "Low Charges", "High Charges")</f>
        <v>#REF!</v>
      </c>
      <c r="Z3155" t="e">
        <f>IF(#REF!&lt;=80,"Low Calls",
IF(#REF!&lt;=120,"Medium Calls","High Calls"))</f>
        <v>#REF!</v>
      </c>
      <c r="AA3155" t="e">
        <f>IF(#REF!&lt;=15,"Low Charges",
IF(#REF!&lt;=20,"Medium Charges","High Charges"))</f>
        <v>#REF!</v>
      </c>
      <c r="AB3155" t="e">
        <f>IF(AND(#REF!&gt;180, #REF!&gt;200), "Heavy Doemstic User", IF(#REF!&gt;10, "Interntional User", IF(AND(#REF!&lt;180, #REF!&lt;200,#REF!&lt;200), "Light User", "Balanced User")))</f>
        <v>#REF!</v>
      </c>
      <c r="AC3155" t="e">
        <f>IF(#REF! = 0, "No Usage", IF(#REF! &lt;= 20, "Low Usage", IF(#REF! &lt;= 40, "Medium Usgae", "High Usage")))</f>
        <v>#REF!</v>
      </c>
      <c r="AD3155" t="e">
        <f>IF(#REF!&lt;=150,"Low Usage", IF(#REF!&lt;=200,"Medium Usage", IF(#REF!&lt;=250,"High Usage","Very High Usage")))</f>
        <v>#REF!</v>
      </c>
      <c r="AE3155" t="e">
        <f>IF(#REF!&lt;=5,"Low Calls", IF(#REF!&lt;=10, "Medium Calls", "High Calls"))</f>
        <v>#REF!</v>
      </c>
      <c r="AF3155" t="e">
        <f xml:space="preserve">
IF(#REF!&gt;=4,4,0)+
IF(#REF!="yes",3,0)+
IF(#REF!="High Charges",3,0)+
IF(#REF!&gt;250,4,0)+
IF(#REF!="no",1,0)+
IF(#REF!="Heavy Domestic User",2,0)</f>
        <v>#REF!</v>
      </c>
      <c r="AG3155" t="e">
        <f>IF(#REF!&gt;=10,"High Risk", IF(#REF!&gt;=5,"Medium Risk","Low Risk"))</f>
        <v>#REF!</v>
      </c>
      <c r="AH3155" t="e">
        <f>#REF! + #REF! + #REF! + #REF!</f>
        <v>#REF!</v>
      </c>
    </row>
    <row r="3156" spans="1:34" x14ac:dyDescent="0.35">
      <c r="A3156">
        <v>3155</v>
      </c>
      <c r="B3156" t="s">
        <v>61</v>
      </c>
      <c r="C3156">
        <v>110</v>
      </c>
      <c r="D3156" t="s">
        <v>21</v>
      </c>
      <c r="E3156" t="s">
        <v>22</v>
      </c>
      <c r="F3156" t="s">
        <v>22</v>
      </c>
      <c r="G3156">
        <v>0</v>
      </c>
      <c r="H3156">
        <v>198.2</v>
      </c>
      <c r="I3156">
        <v>92</v>
      </c>
      <c r="J3156">
        <v>33.69</v>
      </c>
      <c r="K3156">
        <v>147.1</v>
      </c>
      <c r="L3156">
        <v>97</v>
      </c>
      <c r="M3156">
        <v>12.5</v>
      </c>
      <c r="N3156">
        <v>199.6</v>
      </c>
      <c r="O3156">
        <v>76</v>
      </c>
      <c r="P3156">
        <v>8.98</v>
      </c>
      <c r="Q3156">
        <v>16.5</v>
      </c>
      <c r="R3156">
        <v>4</v>
      </c>
      <c r="S3156">
        <v>4.46</v>
      </c>
      <c r="T3156">
        <v>4</v>
      </c>
      <c r="U3156" t="s">
        <v>22</v>
      </c>
      <c r="V3156" t="e">
        <f>IF(#REF! = "yes", 1, 0)</f>
        <v>#REF!</v>
      </c>
      <c r="W3156" t="e">
        <f>IF(#REF! &lt;= 1, "0-1 Calls", IF(#REF! &lt;= 3, "2-3 Calls", IF(#REF! &lt;=5, "4-5 Calls", "6+ Calls")))</f>
        <v>#REF!</v>
      </c>
      <c r="X3156" t="e">
        <f>IF(#REF! &lt;= 50, "0-50", IF(#REF! &lt;=100, "51-100", IF(#REF! &lt;= 150, "101-150", "151+")))</f>
        <v>#REF!</v>
      </c>
      <c r="Y3156" t="e">
        <f>IF(#REF! &lt;= 3, "Low Charges", "High Charges")</f>
        <v>#REF!</v>
      </c>
      <c r="Z3156" t="e">
        <f>IF(#REF!&lt;=80,"Low Calls",
IF(#REF!&lt;=120,"Medium Calls","High Calls"))</f>
        <v>#REF!</v>
      </c>
      <c r="AA3156" t="e">
        <f>IF(#REF!&lt;=15,"Low Charges",
IF(#REF!&lt;=20,"Medium Charges","High Charges"))</f>
        <v>#REF!</v>
      </c>
      <c r="AB3156" t="e">
        <f>IF(AND(#REF!&gt;180, #REF!&gt;200), "Heavy Doemstic User", IF(#REF!&gt;10, "Interntional User", IF(AND(#REF!&lt;180, #REF!&lt;200,#REF!&lt;200), "Light User", "Balanced User")))</f>
        <v>#REF!</v>
      </c>
      <c r="AC3156" t="e">
        <f>IF(#REF! = 0, "No Usage", IF(#REF! &lt;= 20, "Low Usage", IF(#REF! &lt;= 40, "Medium Usgae", "High Usage")))</f>
        <v>#REF!</v>
      </c>
      <c r="AD3156" t="e">
        <f>IF(#REF!&lt;=150,"Low Usage", IF(#REF!&lt;=200,"Medium Usage", IF(#REF!&lt;=250,"High Usage","Very High Usage")))</f>
        <v>#REF!</v>
      </c>
      <c r="AE3156" t="e">
        <f>IF(#REF!&lt;=5,"Low Calls", IF(#REF!&lt;=10, "Medium Calls", "High Calls"))</f>
        <v>#REF!</v>
      </c>
      <c r="AF3156" t="e">
        <f xml:space="preserve">
IF(#REF!&gt;=4,4,0)+
IF(#REF!="yes",3,0)+
IF(#REF!="High Charges",3,0)+
IF(#REF!&gt;250,4,0)+
IF(#REF!="no",1,0)+
IF(#REF!="Heavy Domestic User",2,0)</f>
        <v>#REF!</v>
      </c>
      <c r="AG3156" t="e">
        <f>IF(#REF!&gt;=10,"High Risk", IF(#REF!&gt;=5,"Medium Risk","Low Risk"))</f>
        <v>#REF!</v>
      </c>
      <c r="AH3156" t="e">
        <f>#REF! + #REF! + #REF! + #REF!</f>
        <v>#REF!</v>
      </c>
    </row>
    <row r="3157" spans="1:34" x14ac:dyDescent="0.35">
      <c r="A3157">
        <v>3156</v>
      </c>
      <c r="B3157" t="s">
        <v>31</v>
      </c>
      <c r="C3157">
        <v>122</v>
      </c>
      <c r="D3157" t="s">
        <v>21</v>
      </c>
      <c r="E3157" t="s">
        <v>23</v>
      </c>
      <c r="F3157" t="s">
        <v>22</v>
      </c>
      <c r="G3157">
        <v>0</v>
      </c>
      <c r="H3157">
        <v>168.8</v>
      </c>
      <c r="I3157">
        <v>86</v>
      </c>
      <c r="J3157">
        <v>28.7</v>
      </c>
      <c r="K3157">
        <v>237.6</v>
      </c>
      <c r="L3157">
        <v>98</v>
      </c>
      <c r="M3157">
        <v>20.2</v>
      </c>
      <c r="N3157">
        <v>204.3</v>
      </c>
      <c r="O3157">
        <v>94</v>
      </c>
      <c r="P3157">
        <v>9.19</v>
      </c>
      <c r="Q3157">
        <v>5.3</v>
      </c>
      <c r="R3157">
        <v>9</v>
      </c>
      <c r="S3157">
        <v>1.43</v>
      </c>
      <c r="T3157">
        <v>1</v>
      </c>
      <c r="U3157" t="s">
        <v>22</v>
      </c>
      <c r="V3157" t="e">
        <f>IF(#REF! = "yes", 1, 0)</f>
        <v>#REF!</v>
      </c>
      <c r="W3157" t="e">
        <f>IF(#REF! &lt;= 1, "0-1 Calls", IF(#REF! &lt;= 3, "2-3 Calls", IF(#REF! &lt;=5, "4-5 Calls", "6+ Calls")))</f>
        <v>#REF!</v>
      </c>
      <c r="X3157" t="e">
        <f>IF(#REF! &lt;= 50, "0-50", IF(#REF! &lt;=100, "51-100", IF(#REF! &lt;= 150, "101-150", "151+")))</f>
        <v>#REF!</v>
      </c>
      <c r="Y3157" t="e">
        <f>IF(#REF! &lt;= 3, "Low Charges", "High Charges")</f>
        <v>#REF!</v>
      </c>
      <c r="Z3157" t="e">
        <f>IF(#REF!&lt;=80,"Low Calls",
IF(#REF!&lt;=120,"Medium Calls","High Calls"))</f>
        <v>#REF!</v>
      </c>
      <c r="AA3157" t="e">
        <f>IF(#REF!&lt;=15,"Low Charges",
IF(#REF!&lt;=20,"Medium Charges","High Charges"))</f>
        <v>#REF!</v>
      </c>
      <c r="AB3157" t="e">
        <f>IF(AND(#REF!&gt;180, #REF!&gt;200), "Heavy Doemstic User", IF(#REF!&gt;10, "Interntional User", IF(AND(#REF!&lt;180, #REF!&lt;200,#REF!&lt;200), "Light User", "Balanced User")))</f>
        <v>#REF!</v>
      </c>
      <c r="AC3157" t="e">
        <f>IF(#REF! = 0, "No Usage", IF(#REF! &lt;= 20, "Low Usage", IF(#REF! &lt;= 40, "Medium Usgae", "High Usage")))</f>
        <v>#REF!</v>
      </c>
      <c r="AD3157" t="e">
        <f>IF(#REF!&lt;=150,"Low Usage", IF(#REF!&lt;=200,"Medium Usage", IF(#REF!&lt;=250,"High Usage","Very High Usage")))</f>
        <v>#REF!</v>
      </c>
      <c r="AE3157" t="e">
        <f>IF(#REF!&lt;=5,"Low Calls", IF(#REF!&lt;=10, "Medium Calls", "High Calls"))</f>
        <v>#REF!</v>
      </c>
      <c r="AF3157" t="e">
        <f xml:space="preserve">
IF(#REF!&gt;=4,4,0)+
IF(#REF!="yes",3,0)+
IF(#REF!="High Charges",3,0)+
IF(#REF!&gt;250,4,0)+
IF(#REF!="no",1,0)+
IF(#REF!="Heavy Domestic User",2,0)</f>
        <v>#REF!</v>
      </c>
      <c r="AG3157" t="e">
        <f>IF(#REF!&gt;=10,"High Risk", IF(#REF!&gt;=5,"Medium Risk","Low Risk"))</f>
        <v>#REF!</v>
      </c>
      <c r="AH3157" t="e">
        <f>#REF! + #REF! + #REF! + #REF!</f>
        <v>#REF!</v>
      </c>
    </row>
    <row r="3158" spans="1:34" x14ac:dyDescent="0.35">
      <c r="A3158">
        <v>3157</v>
      </c>
      <c r="B3158" t="s">
        <v>68</v>
      </c>
      <c r="C3158">
        <v>82</v>
      </c>
      <c r="D3158" t="s">
        <v>21</v>
      </c>
      <c r="E3158" t="s">
        <v>22</v>
      </c>
      <c r="F3158" t="s">
        <v>22</v>
      </c>
      <c r="G3158">
        <v>0</v>
      </c>
      <c r="H3158">
        <v>273.8</v>
      </c>
      <c r="I3158">
        <v>99</v>
      </c>
      <c r="J3158">
        <v>46.55</v>
      </c>
      <c r="K3158">
        <v>123.8</v>
      </c>
      <c r="L3158">
        <v>110</v>
      </c>
      <c r="M3158">
        <v>10.52</v>
      </c>
      <c r="N3158">
        <v>147.69999999999999</v>
      </c>
      <c r="O3158">
        <v>61</v>
      </c>
      <c r="P3158">
        <v>6.65</v>
      </c>
      <c r="Q3158">
        <v>6.9</v>
      </c>
      <c r="R3158">
        <v>4</v>
      </c>
      <c r="S3158">
        <v>1.86</v>
      </c>
      <c r="T3158">
        <v>2</v>
      </c>
      <c r="U3158" t="s">
        <v>22</v>
      </c>
      <c r="V3158" t="e">
        <f>IF(#REF! = "yes", 1, 0)</f>
        <v>#REF!</v>
      </c>
      <c r="W3158" t="e">
        <f>IF(#REF! &lt;= 1, "0-1 Calls", IF(#REF! &lt;= 3, "2-3 Calls", IF(#REF! &lt;=5, "4-5 Calls", "6+ Calls")))</f>
        <v>#REF!</v>
      </c>
      <c r="X3158" t="e">
        <f>IF(#REF! &lt;= 50, "0-50", IF(#REF! &lt;=100, "51-100", IF(#REF! &lt;= 150, "101-150", "151+")))</f>
        <v>#REF!</v>
      </c>
      <c r="Y3158" t="e">
        <f>IF(#REF! &lt;= 3, "Low Charges", "High Charges")</f>
        <v>#REF!</v>
      </c>
      <c r="Z3158" t="e">
        <f>IF(#REF!&lt;=80,"Low Calls",
IF(#REF!&lt;=120,"Medium Calls","High Calls"))</f>
        <v>#REF!</v>
      </c>
      <c r="AA3158" t="e">
        <f>IF(#REF!&lt;=15,"Low Charges",
IF(#REF!&lt;=20,"Medium Charges","High Charges"))</f>
        <v>#REF!</v>
      </c>
      <c r="AB3158" t="e">
        <f>IF(AND(#REF!&gt;180, #REF!&gt;200), "Heavy Doemstic User", IF(#REF!&gt;10, "Interntional User", IF(AND(#REF!&lt;180, #REF!&lt;200,#REF!&lt;200), "Light User", "Balanced User")))</f>
        <v>#REF!</v>
      </c>
      <c r="AC3158" t="e">
        <f>IF(#REF! = 0, "No Usage", IF(#REF! &lt;= 20, "Low Usage", IF(#REF! &lt;= 40, "Medium Usgae", "High Usage")))</f>
        <v>#REF!</v>
      </c>
      <c r="AD3158" t="e">
        <f>IF(#REF!&lt;=150,"Low Usage", IF(#REF!&lt;=200,"Medium Usage", IF(#REF!&lt;=250,"High Usage","Very High Usage")))</f>
        <v>#REF!</v>
      </c>
      <c r="AE3158" t="e">
        <f>IF(#REF!&lt;=5,"Low Calls", IF(#REF!&lt;=10, "Medium Calls", "High Calls"))</f>
        <v>#REF!</v>
      </c>
      <c r="AF3158" t="e">
        <f xml:space="preserve">
IF(#REF!&gt;=4,4,0)+
IF(#REF!="yes",3,0)+
IF(#REF!="High Charges",3,0)+
IF(#REF!&gt;250,4,0)+
IF(#REF!="no",1,0)+
IF(#REF!="Heavy Domestic User",2,0)</f>
        <v>#REF!</v>
      </c>
      <c r="AG3158" t="e">
        <f>IF(#REF!&gt;=10,"High Risk", IF(#REF!&gt;=5,"Medium Risk","Low Risk"))</f>
        <v>#REF!</v>
      </c>
      <c r="AH3158" t="e">
        <f>#REF! + #REF! + #REF! + #REF!</f>
        <v>#REF!</v>
      </c>
    </row>
    <row r="3159" spans="1:34" x14ac:dyDescent="0.35">
      <c r="A3159">
        <v>3158</v>
      </c>
      <c r="B3159" t="s">
        <v>41</v>
      </c>
      <c r="C3159">
        <v>71</v>
      </c>
      <c r="D3159" t="s">
        <v>21</v>
      </c>
      <c r="E3159" t="s">
        <v>22</v>
      </c>
      <c r="F3159" t="s">
        <v>22</v>
      </c>
      <c r="G3159">
        <v>0</v>
      </c>
      <c r="H3159">
        <v>217.7</v>
      </c>
      <c r="I3159">
        <v>114</v>
      </c>
      <c r="J3159">
        <v>37.01</v>
      </c>
      <c r="K3159">
        <v>182</v>
      </c>
      <c r="L3159">
        <v>105</v>
      </c>
      <c r="M3159">
        <v>15.47</v>
      </c>
      <c r="N3159">
        <v>113.5</v>
      </c>
      <c r="O3159">
        <v>87</v>
      </c>
      <c r="P3159">
        <v>5.1100000000000003</v>
      </c>
      <c r="Q3159">
        <v>8.5</v>
      </c>
      <c r="R3159">
        <v>10</v>
      </c>
      <c r="S3159">
        <v>2.2999999999999998</v>
      </c>
      <c r="T3159">
        <v>4</v>
      </c>
      <c r="U3159" t="s">
        <v>22</v>
      </c>
      <c r="V3159" t="e">
        <f>IF(#REF! = "yes", 1, 0)</f>
        <v>#REF!</v>
      </c>
      <c r="W3159" t="e">
        <f>IF(#REF! &lt;= 1, "0-1 Calls", IF(#REF! &lt;= 3, "2-3 Calls", IF(#REF! &lt;=5, "4-5 Calls", "6+ Calls")))</f>
        <v>#REF!</v>
      </c>
      <c r="X3159" t="e">
        <f>IF(#REF! &lt;= 50, "0-50", IF(#REF! &lt;=100, "51-100", IF(#REF! &lt;= 150, "101-150", "151+")))</f>
        <v>#REF!</v>
      </c>
      <c r="Y3159" t="e">
        <f>IF(#REF! &lt;= 3, "Low Charges", "High Charges")</f>
        <v>#REF!</v>
      </c>
      <c r="Z3159" t="e">
        <f>IF(#REF!&lt;=80,"Low Calls",
IF(#REF!&lt;=120,"Medium Calls","High Calls"))</f>
        <v>#REF!</v>
      </c>
      <c r="AA3159" t="e">
        <f>IF(#REF!&lt;=15,"Low Charges",
IF(#REF!&lt;=20,"Medium Charges","High Charges"))</f>
        <v>#REF!</v>
      </c>
      <c r="AB3159" t="e">
        <f>IF(AND(#REF!&gt;180, #REF!&gt;200), "Heavy Doemstic User", IF(#REF!&gt;10, "Interntional User", IF(AND(#REF!&lt;180, #REF!&lt;200,#REF!&lt;200), "Light User", "Balanced User")))</f>
        <v>#REF!</v>
      </c>
      <c r="AC3159" t="e">
        <f>IF(#REF! = 0, "No Usage", IF(#REF! &lt;= 20, "Low Usage", IF(#REF! &lt;= 40, "Medium Usgae", "High Usage")))</f>
        <v>#REF!</v>
      </c>
      <c r="AD3159" t="e">
        <f>IF(#REF!&lt;=150,"Low Usage", IF(#REF!&lt;=200,"Medium Usage", IF(#REF!&lt;=250,"High Usage","Very High Usage")))</f>
        <v>#REF!</v>
      </c>
      <c r="AE3159" t="e">
        <f>IF(#REF!&lt;=5,"Low Calls", IF(#REF!&lt;=10, "Medium Calls", "High Calls"))</f>
        <v>#REF!</v>
      </c>
      <c r="AF3159" t="e">
        <f xml:space="preserve">
IF(#REF!&gt;=4,4,0)+
IF(#REF!="yes",3,0)+
IF(#REF!="High Charges",3,0)+
IF(#REF!&gt;250,4,0)+
IF(#REF!="no",1,0)+
IF(#REF!="Heavy Domestic User",2,0)</f>
        <v>#REF!</v>
      </c>
      <c r="AG3159" t="e">
        <f>IF(#REF!&gt;=10,"High Risk", IF(#REF!&gt;=5,"Medium Risk","Low Risk"))</f>
        <v>#REF!</v>
      </c>
      <c r="AH3159" t="e">
        <f>#REF! + #REF! + #REF! + #REF!</f>
        <v>#REF!</v>
      </c>
    </row>
    <row r="3160" spans="1:34" x14ac:dyDescent="0.35">
      <c r="A3160">
        <v>3159</v>
      </c>
      <c r="B3160" t="s">
        <v>24</v>
      </c>
      <c r="C3160">
        <v>91</v>
      </c>
      <c r="D3160" t="s">
        <v>21</v>
      </c>
      <c r="E3160" t="s">
        <v>22</v>
      </c>
      <c r="F3160" t="s">
        <v>22</v>
      </c>
      <c r="G3160">
        <v>0</v>
      </c>
      <c r="H3160">
        <v>93.5</v>
      </c>
      <c r="I3160">
        <v>110</v>
      </c>
      <c r="J3160">
        <v>15.9</v>
      </c>
      <c r="K3160">
        <v>213.3</v>
      </c>
      <c r="L3160">
        <v>79</v>
      </c>
      <c r="M3160">
        <v>18.13</v>
      </c>
      <c r="N3160">
        <v>171.7</v>
      </c>
      <c r="O3160">
        <v>83</v>
      </c>
      <c r="P3160">
        <v>7.73</v>
      </c>
      <c r="Q3160">
        <v>8.9</v>
      </c>
      <c r="R3160">
        <v>4</v>
      </c>
      <c r="S3160">
        <v>2.4</v>
      </c>
      <c r="T3160">
        <v>4</v>
      </c>
      <c r="U3160" t="s">
        <v>23</v>
      </c>
      <c r="V3160" t="e">
        <f>IF(#REF! = "yes", 1, 0)</f>
        <v>#REF!</v>
      </c>
      <c r="W3160" t="e">
        <f>IF(#REF! &lt;= 1, "0-1 Calls", IF(#REF! &lt;= 3, "2-3 Calls", IF(#REF! &lt;=5, "4-5 Calls", "6+ Calls")))</f>
        <v>#REF!</v>
      </c>
      <c r="X3160" t="e">
        <f>IF(#REF! &lt;= 50, "0-50", IF(#REF! &lt;=100, "51-100", IF(#REF! &lt;= 150, "101-150", "151+")))</f>
        <v>#REF!</v>
      </c>
      <c r="Y3160" t="e">
        <f>IF(#REF! &lt;= 3, "Low Charges", "High Charges")</f>
        <v>#REF!</v>
      </c>
      <c r="Z3160" t="e">
        <f>IF(#REF!&lt;=80,"Low Calls",
IF(#REF!&lt;=120,"Medium Calls","High Calls"))</f>
        <v>#REF!</v>
      </c>
      <c r="AA3160" t="e">
        <f>IF(#REF!&lt;=15,"Low Charges",
IF(#REF!&lt;=20,"Medium Charges","High Charges"))</f>
        <v>#REF!</v>
      </c>
      <c r="AB3160" t="e">
        <f>IF(AND(#REF!&gt;180, #REF!&gt;200), "Heavy Doemstic User", IF(#REF!&gt;10, "Interntional User", IF(AND(#REF!&lt;180, #REF!&lt;200,#REF!&lt;200), "Light User", "Balanced User")))</f>
        <v>#REF!</v>
      </c>
      <c r="AC3160" t="e">
        <f>IF(#REF! = 0, "No Usage", IF(#REF! &lt;= 20, "Low Usage", IF(#REF! &lt;= 40, "Medium Usgae", "High Usage")))</f>
        <v>#REF!</v>
      </c>
      <c r="AD3160" t="e">
        <f>IF(#REF!&lt;=150,"Low Usage", IF(#REF!&lt;=200,"Medium Usage", IF(#REF!&lt;=250,"High Usage","Very High Usage")))</f>
        <v>#REF!</v>
      </c>
      <c r="AE3160" t="e">
        <f>IF(#REF!&lt;=5,"Low Calls", IF(#REF!&lt;=10, "Medium Calls", "High Calls"))</f>
        <v>#REF!</v>
      </c>
      <c r="AF3160" t="e">
        <f xml:space="preserve">
IF(#REF!&gt;=4,4,0)+
IF(#REF!="yes",3,0)+
IF(#REF!="High Charges",3,0)+
IF(#REF!&gt;250,4,0)+
IF(#REF!="no",1,0)+
IF(#REF!="Heavy Domestic User",2,0)</f>
        <v>#REF!</v>
      </c>
      <c r="AG3160" t="e">
        <f>IF(#REF!&gt;=10,"High Risk", IF(#REF!&gt;=5,"Medium Risk","Low Risk"))</f>
        <v>#REF!</v>
      </c>
      <c r="AH3160" t="e">
        <f>#REF! + #REF! + #REF! + #REF!</f>
        <v>#REF!</v>
      </c>
    </row>
    <row r="3161" spans="1:34" x14ac:dyDescent="0.35">
      <c r="A3161">
        <v>3160</v>
      </c>
      <c r="B3161" t="s">
        <v>37</v>
      </c>
      <c r="C3161">
        <v>109</v>
      </c>
      <c r="D3161" t="s">
        <v>21</v>
      </c>
      <c r="E3161" t="s">
        <v>22</v>
      </c>
      <c r="F3161" t="s">
        <v>22</v>
      </c>
      <c r="G3161">
        <v>0</v>
      </c>
      <c r="H3161">
        <v>195.4</v>
      </c>
      <c r="I3161">
        <v>104</v>
      </c>
      <c r="J3161">
        <v>33.22</v>
      </c>
      <c r="K3161">
        <v>204.9</v>
      </c>
      <c r="L3161">
        <v>91</v>
      </c>
      <c r="M3161">
        <v>17.420000000000002</v>
      </c>
      <c r="N3161">
        <v>230.2</v>
      </c>
      <c r="O3161">
        <v>95</v>
      </c>
      <c r="P3161">
        <v>10.36</v>
      </c>
      <c r="Q3161">
        <v>14</v>
      </c>
      <c r="R3161">
        <v>4</v>
      </c>
      <c r="S3161">
        <v>3.78</v>
      </c>
      <c r="T3161">
        <v>0</v>
      </c>
      <c r="U3161" t="s">
        <v>22</v>
      </c>
      <c r="V3161" t="e">
        <f>IF(#REF! = "yes", 1, 0)</f>
        <v>#REF!</v>
      </c>
      <c r="W3161" t="e">
        <f>IF(#REF! &lt;= 1, "0-1 Calls", IF(#REF! &lt;= 3, "2-3 Calls", IF(#REF! &lt;=5, "4-5 Calls", "6+ Calls")))</f>
        <v>#REF!</v>
      </c>
      <c r="X3161" t="e">
        <f>IF(#REF! &lt;= 50, "0-50", IF(#REF! &lt;=100, "51-100", IF(#REF! &lt;= 150, "101-150", "151+")))</f>
        <v>#REF!</v>
      </c>
      <c r="Y3161" t="e">
        <f>IF(#REF! &lt;= 3, "Low Charges", "High Charges")</f>
        <v>#REF!</v>
      </c>
      <c r="Z3161" t="e">
        <f>IF(#REF!&lt;=80,"Low Calls",
IF(#REF!&lt;=120,"Medium Calls","High Calls"))</f>
        <v>#REF!</v>
      </c>
      <c r="AA3161" t="e">
        <f>IF(#REF!&lt;=15,"Low Charges",
IF(#REF!&lt;=20,"Medium Charges","High Charges"))</f>
        <v>#REF!</v>
      </c>
      <c r="AB3161" t="e">
        <f>IF(AND(#REF!&gt;180, #REF!&gt;200), "Heavy Doemstic User", IF(#REF!&gt;10, "Interntional User", IF(AND(#REF!&lt;180, #REF!&lt;200,#REF!&lt;200), "Light User", "Balanced User")))</f>
        <v>#REF!</v>
      </c>
      <c r="AC3161" t="e">
        <f>IF(#REF! = 0, "No Usage", IF(#REF! &lt;= 20, "Low Usage", IF(#REF! &lt;= 40, "Medium Usgae", "High Usage")))</f>
        <v>#REF!</v>
      </c>
      <c r="AD3161" t="e">
        <f>IF(#REF!&lt;=150,"Low Usage", IF(#REF!&lt;=200,"Medium Usage", IF(#REF!&lt;=250,"High Usage","Very High Usage")))</f>
        <v>#REF!</v>
      </c>
      <c r="AE3161" t="e">
        <f>IF(#REF!&lt;=5,"Low Calls", IF(#REF!&lt;=10, "Medium Calls", "High Calls"))</f>
        <v>#REF!</v>
      </c>
      <c r="AF3161" t="e">
        <f xml:space="preserve">
IF(#REF!&gt;=4,4,0)+
IF(#REF!="yes",3,0)+
IF(#REF!="High Charges",3,0)+
IF(#REF!&gt;250,4,0)+
IF(#REF!="no",1,0)+
IF(#REF!="Heavy Domestic User",2,0)</f>
        <v>#REF!</v>
      </c>
      <c r="AG3161" t="e">
        <f>IF(#REF!&gt;=10,"High Risk", IF(#REF!&gt;=5,"Medium Risk","Low Risk"))</f>
        <v>#REF!</v>
      </c>
      <c r="AH3161" t="e">
        <f>#REF! + #REF! + #REF! + #REF!</f>
        <v>#REF!</v>
      </c>
    </row>
    <row r="3162" spans="1:34" x14ac:dyDescent="0.35">
      <c r="A3162">
        <v>3161</v>
      </c>
      <c r="B3162" t="s">
        <v>59</v>
      </c>
      <c r="C3162">
        <v>126</v>
      </c>
      <c r="D3162" t="s">
        <v>28</v>
      </c>
      <c r="E3162" t="s">
        <v>22</v>
      </c>
      <c r="F3162" t="s">
        <v>23</v>
      </c>
      <c r="G3162">
        <v>42</v>
      </c>
      <c r="H3162">
        <v>247.8</v>
      </c>
      <c r="I3162">
        <v>96</v>
      </c>
      <c r="J3162">
        <v>42.13</v>
      </c>
      <c r="K3162">
        <v>159.1</v>
      </c>
      <c r="L3162">
        <v>98</v>
      </c>
      <c r="M3162">
        <v>13.52</v>
      </c>
      <c r="N3162">
        <v>201.8</v>
      </c>
      <c r="O3162">
        <v>73</v>
      </c>
      <c r="P3162">
        <v>9.08</v>
      </c>
      <c r="Q3162">
        <v>10.6</v>
      </c>
      <c r="R3162">
        <v>3</v>
      </c>
      <c r="S3162">
        <v>2.86</v>
      </c>
      <c r="T3162">
        <v>2</v>
      </c>
      <c r="U3162" t="s">
        <v>22</v>
      </c>
      <c r="V3162" t="e">
        <f>IF(#REF! = "yes", 1, 0)</f>
        <v>#REF!</v>
      </c>
      <c r="W3162" t="e">
        <f>IF(#REF! &lt;= 1, "0-1 Calls", IF(#REF! &lt;= 3, "2-3 Calls", IF(#REF! &lt;=5, "4-5 Calls", "6+ Calls")))</f>
        <v>#REF!</v>
      </c>
      <c r="X3162" t="e">
        <f>IF(#REF! &lt;= 50, "0-50", IF(#REF! &lt;=100, "51-100", IF(#REF! &lt;= 150, "101-150", "151+")))</f>
        <v>#REF!</v>
      </c>
      <c r="Y3162" t="e">
        <f>IF(#REF! &lt;= 3, "Low Charges", "High Charges")</f>
        <v>#REF!</v>
      </c>
      <c r="Z3162" t="e">
        <f>IF(#REF!&lt;=80,"Low Calls",
IF(#REF!&lt;=120,"Medium Calls","High Calls"))</f>
        <v>#REF!</v>
      </c>
      <c r="AA3162" t="e">
        <f>IF(#REF!&lt;=15,"Low Charges",
IF(#REF!&lt;=20,"Medium Charges","High Charges"))</f>
        <v>#REF!</v>
      </c>
      <c r="AB3162" t="e">
        <f>IF(AND(#REF!&gt;180, #REF!&gt;200), "Heavy Doemstic User", IF(#REF!&gt;10, "Interntional User", IF(AND(#REF!&lt;180, #REF!&lt;200,#REF!&lt;200), "Light User", "Balanced User")))</f>
        <v>#REF!</v>
      </c>
      <c r="AC3162" t="e">
        <f>IF(#REF! = 0, "No Usage", IF(#REF! &lt;= 20, "Low Usage", IF(#REF! &lt;= 40, "Medium Usgae", "High Usage")))</f>
        <v>#REF!</v>
      </c>
      <c r="AD3162" t="e">
        <f>IF(#REF!&lt;=150,"Low Usage", IF(#REF!&lt;=200,"Medium Usage", IF(#REF!&lt;=250,"High Usage","Very High Usage")))</f>
        <v>#REF!</v>
      </c>
      <c r="AE3162" t="e">
        <f>IF(#REF!&lt;=5,"Low Calls", IF(#REF!&lt;=10, "Medium Calls", "High Calls"))</f>
        <v>#REF!</v>
      </c>
      <c r="AF3162" t="e">
        <f xml:space="preserve">
IF(#REF!&gt;=4,4,0)+
IF(#REF!="yes",3,0)+
IF(#REF!="High Charges",3,0)+
IF(#REF!&gt;250,4,0)+
IF(#REF!="no",1,0)+
IF(#REF!="Heavy Domestic User",2,0)</f>
        <v>#REF!</v>
      </c>
      <c r="AG3162" t="e">
        <f>IF(#REF!&gt;=10,"High Risk", IF(#REF!&gt;=5,"Medium Risk","Low Risk"))</f>
        <v>#REF!</v>
      </c>
      <c r="AH3162" t="e">
        <f>#REF! + #REF! + #REF! + #REF!</f>
        <v>#REF!</v>
      </c>
    </row>
    <row r="3163" spans="1:34" x14ac:dyDescent="0.35">
      <c r="A3163">
        <v>3162</v>
      </c>
      <c r="B3163" t="s">
        <v>63</v>
      </c>
      <c r="C3163">
        <v>98</v>
      </c>
      <c r="D3163" t="s">
        <v>21</v>
      </c>
      <c r="E3163" t="s">
        <v>22</v>
      </c>
      <c r="F3163" t="s">
        <v>22</v>
      </c>
      <c r="G3163">
        <v>0</v>
      </c>
      <c r="H3163">
        <v>162.5</v>
      </c>
      <c r="I3163">
        <v>81</v>
      </c>
      <c r="J3163">
        <v>27.63</v>
      </c>
      <c r="K3163">
        <v>159.19999999999999</v>
      </c>
      <c r="L3163">
        <v>114</v>
      </c>
      <c r="M3163">
        <v>13.53</v>
      </c>
      <c r="N3163">
        <v>157.19999999999999</v>
      </c>
      <c r="O3163">
        <v>97</v>
      </c>
      <c r="P3163">
        <v>7.07</v>
      </c>
      <c r="Q3163">
        <v>9.6999999999999993</v>
      </c>
      <c r="R3163">
        <v>1</v>
      </c>
      <c r="S3163">
        <v>2.62</v>
      </c>
      <c r="T3163">
        <v>2</v>
      </c>
      <c r="U3163" t="s">
        <v>22</v>
      </c>
      <c r="V3163" t="e">
        <f>IF(#REF! = "yes", 1, 0)</f>
        <v>#REF!</v>
      </c>
      <c r="W3163" t="e">
        <f>IF(#REF! &lt;= 1, "0-1 Calls", IF(#REF! &lt;= 3, "2-3 Calls", IF(#REF! &lt;=5, "4-5 Calls", "6+ Calls")))</f>
        <v>#REF!</v>
      </c>
      <c r="X3163" t="e">
        <f>IF(#REF! &lt;= 50, "0-50", IF(#REF! &lt;=100, "51-100", IF(#REF! &lt;= 150, "101-150", "151+")))</f>
        <v>#REF!</v>
      </c>
      <c r="Y3163" t="e">
        <f>IF(#REF! &lt;= 3, "Low Charges", "High Charges")</f>
        <v>#REF!</v>
      </c>
      <c r="Z3163" t="e">
        <f>IF(#REF!&lt;=80,"Low Calls",
IF(#REF!&lt;=120,"Medium Calls","High Calls"))</f>
        <v>#REF!</v>
      </c>
      <c r="AA3163" t="e">
        <f>IF(#REF!&lt;=15,"Low Charges",
IF(#REF!&lt;=20,"Medium Charges","High Charges"))</f>
        <v>#REF!</v>
      </c>
      <c r="AB3163" t="e">
        <f>IF(AND(#REF!&gt;180, #REF!&gt;200), "Heavy Doemstic User", IF(#REF!&gt;10, "Interntional User", IF(AND(#REF!&lt;180, #REF!&lt;200,#REF!&lt;200), "Light User", "Balanced User")))</f>
        <v>#REF!</v>
      </c>
      <c r="AC3163" t="e">
        <f>IF(#REF! = 0, "No Usage", IF(#REF! &lt;= 20, "Low Usage", IF(#REF! &lt;= 40, "Medium Usgae", "High Usage")))</f>
        <v>#REF!</v>
      </c>
      <c r="AD3163" t="e">
        <f>IF(#REF!&lt;=150,"Low Usage", IF(#REF!&lt;=200,"Medium Usage", IF(#REF!&lt;=250,"High Usage","Very High Usage")))</f>
        <v>#REF!</v>
      </c>
      <c r="AE3163" t="e">
        <f>IF(#REF!&lt;=5,"Low Calls", IF(#REF!&lt;=10, "Medium Calls", "High Calls"))</f>
        <v>#REF!</v>
      </c>
      <c r="AF3163" t="e">
        <f xml:space="preserve">
IF(#REF!&gt;=4,4,0)+
IF(#REF!="yes",3,0)+
IF(#REF!="High Charges",3,0)+
IF(#REF!&gt;250,4,0)+
IF(#REF!="no",1,0)+
IF(#REF!="Heavy Domestic User",2,0)</f>
        <v>#REF!</v>
      </c>
      <c r="AG3163" t="e">
        <f>IF(#REF!&gt;=10,"High Risk", IF(#REF!&gt;=5,"Medium Risk","Low Risk"))</f>
        <v>#REF!</v>
      </c>
      <c r="AH3163" t="e">
        <f>#REF! + #REF! + #REF! + #REF!</f>
        <v>#REF!</v>
      </c>
    </row>
    <row r="3164" spans="1:34" x14ac:dyDescent="0.35">
      <c r="A3164">
        <v>3163</v>
      </c>
      <c r="B3164" t="s">
        <v>39</v>
      </c>
      <c r="C3164">
        <v>98</v>
      </c>
      <c r="D3164" t="s">
        <v>28</v>
      </c>
      <c r="E3164" t="s">
        <v>22</v>
      </c>
      <c r="F3164" t="s">
        <v>22</v>
      </c>
      <c r="G3164">
        <v>0</v>
      </c>
      <c r="H3164">
        <v>86.1</v>
      </c>
      <c r="I3164">
        <v>78</v>
      </c>
      <c r="J3164">
        <v>14.64</v>
      </c>
      <c r="K3164">
        <v>222.7</v>
      </c>
      <c r="L3164">
        <v>130</v>
      </c>
      <c r="M3164">
        <v>18.93</v>
      </c>
      <c r="N3164">
        <v>155</v>
      </c>
      <c r="O3164">
        <v>124</v>
      </c>
      <c r="P3164">
        <v>6.98</v>
      </c>
      <c r="Q3164">
        <v>9</v>
      </c>
      <c r="R3164">
        <v>7</v>
      </c>
      <c r="S3164">
        <v>2.4300000000000002</v>
      </c>
      <c r="T3164">
        <v>0</v>
      </c>
      <c r="U3164" t="s">
        <v>22</v>
      </c>
      <c r="V3164" t="e">
        <f>IF(#REF! = "yes", 1, 0)</f>
        <v>#REF!</v>
      </c>
      <c r="W3164" t="e">
        <f>IF(#REF! &lt;= 1, "0-1 Calls", IF(#REF! &lt;= 3, "2-3 Calls", IF(#REF! &lt;=5, "4-5 Calls", "6+ Calls")))</f>
        <v>#REF!</v>
      </c>
      <c r="X3164" t="e">
        <f>IF(#REF! &lt;= 50, "0-50", IF(#REF! &lt;=100, "51-100", IF(#REF! &lt;= 150, "101-150", "151+")))</f>
        <v>#REF!</v>
      </c>
      <c r="Y3164" t="e">
        <f>IF(#REF! &lt;= 3, "Low Charges", "High Charges")</f>
        <v>#REF!</v>
      </c>
      <c r="Z3164" t="e">
        <f>IF(#REF!&lt;=80,"Low Calls",
IF(#REF!&lt;=120,"Medium Calls","High Calls"))</f>
        <v>#REF!</v>
      </c>
      <c r="AA3164" t="e">
        <f>IF(#REF!&lt;=15,"Low Charges",
IF(#REF!&lt;=20,"Medium Charges","High Charges"))</f>
        <v>#REF!</v>
      </c>
      <c r="AB3164" t="e">
        <f>IF(AND(#REF!&gt;180, #REF!&gt;200), "Heavy Doemstic User", IF(#REF!&gt;10, "Interntional User", IF(AND(#REF!&lt;180, #REF!&lt;200,#REF!&lt;200), "Light User", "Balanced User")))</f>
        <v>#REF!</v>
      </c>
      <c r="AC3164" t="e">
        <f>IF(#REF! = 0, "No Usage", IF(#REF! &lt;= 20, "Low Usage", IF(#REF! &lt;= 40, "Medium Usgae", "High Usage")))</f>
        <v>#REF!</v>
      </c>
      <c r="AD3164" t="e">
        <f>IF(#REF!&lt;=150,"Low Usage", IF(#REF!&lt;=200,"Medium Usage", IF(#REF!&lt;=250,"High Usage","Very High Usage")))</f>
        <v>#REF!</v>
      </c>
      <c r="AE3164" t="e">
        <f>IF(#REF!&lt;=5,"Low Calls", IF(#REF!&lt;=10, "Medium Calls", "High Calls"))</f>
        <v>#REF!</v>
      </c>
      <c r="AF3164" t="e">
        <f xml:space="preserve">
IF(#REF!&gt;=4,4,0)+
IF(#REF!="yes",3,0)+
IF(#REF!="High Charges",3,0)+
IF(#REF!&gt;250,4,0)+
IF(#REF!="no",1,0)+
IF(#REF!="Heavy Domestic User",2,0)</f>
        <v>#REF!</v>
      </c>
      <c r="AG3164" t="e">
        <f>IF(#REF!&gt;=10,"High Risk", IF(#REF!&gt;=5,"Medium Risk","Low Risk"))</f>
        <v>#REF!</v>
      </c>
      <c r="AH3164" t="e">
        <f>#REF! + #REF! + #REF! + #REF!</f>
        <v>#REF!</v>
      </c>
    </row>
    <row r="3165" spans="1:34" x14ac:dyDescent="0.35">
      <c r="A3165">
        <v>3164</v>
      </c>
      <c r="B3165" t="s">
        <v>45</v>
      </c>
      <c r="C3165">
        <v>78</v>
      </c>
      <c r="D3165" t="s">
        <v>25</v>
      </c>
      <c r="E3165" t="s">
        <v>22</v>
      </c>
      <c r="F3165" t="s">
        <v>22</v>
      </c>
      <c r="G3165">
        <v>0</v>
      </c>
      <c r="H3165">
        <v>89.1</v>
      </c>
      <c r="I3165">
        <v>124</v>
      </c>
      <c r="J3165">
        <v>15.15</v>
      </c>
      <c r="K3165">
        <v>226.6</v>
      </c>
      <c r="L3165">
        <v>121</v>
      </c>
      <c r="M3165">
        <v>19.260000000000002</v>
      </c>
      <c r="N3165">
        <v>249.2</v>
      </c>
      <c r="O3165">
        <v>88</v>
      </c>
      <c r="P3165">
        <v>11.21</v>
      </c>
      <c r="Q3165">
        <v>6.9</v>
      </c>
      <c r="R3165">
        <v>5</v>
      </c>
      <c r="S3165">
        <v>1.86</v>
      </c>
      <c r="T3165">
        <v>0</v>
      </c>
      <c r="U3165" t="s">
        <v>22</v>
      </c>
      <c r="V3165" t="e">
        <f>IF(#REF! = "yes", 1, 0)</f>
        <v>#REF!</v>
      </c>
      <c r="W3165" t="e">
        <f>IF(#REF! &lt;= 1, "0-1 Calls", IF(#REF! &lt;= 3, "2-3 Calls", IF(#REF! &lt;=5, "4-5 Calls", "6+ Calls")))</f>
        <v>#REF!</v>
      </c>
      <c r="X3165" t="e">
        <f>IF(#REF! &lt;= 50, "0-50", IF(#REF! &lt;=100, "51-100", IF(#REF! &lt;= 150, "101-150", "151+")))</f>
        <v>#REF!</v>
      </c>
      <c r="Y3165" t="e">
        <f>IF(#REF! &lt;= 3, "Low Charges", "High Charges")</f>
        <v>#REF!</v>
      </c>
      <c r="Z3165" t="e">
        <f>IF(#REF!&lt;=80,"Low Calls",
IF(#REF!&lt;=120,"Medium Calls","High Calls"))</f>
        <v>#REF!</v>
      </c>
      <c r="AA3165" t="e">
        <f>IF(#REF!&lt;=15,"Low Charges",
IF(#REF!&lt;=20,"Medium Charges","High Charges"))</f>
        <v>#REF!</v>
      </c>
      <c r="AB3165" t="e">
        <f>IF(AND(#REF!&gt;180, #REF!&gt;200), "Heavy Doemstic User", IF(#REF!&gt;10, "Interntional User", IF(AND(#REF!&lt;180, #REF!&lt;200,#REF!&lt;200), "Light User", "Balanced User")))</f>
        <v>#REF!</v>
      </c>
      <c r="AC3165" t="e">
        <f>IF(#REF! = 0, "No Usage", IF(#REF! &lt;= 20, "Low Usage", IF(#REF! &lt;= 40, "Medium Usgae", "High Usage")))</f>
        <v>#REF!</v>
      </c>
      <c r="AD3165" t="e">
        <f>IF(#REF!&lt;=150,"Low Usage", IF(#REF!&lt;=200,"Medium Usage", IF(#REF!&lt;=250,"High Usage","Very High Usage")))</f>
        <v>#REF!</v>
      </c>
      <c r="AE3165" t="e">
        <f>IF(#REF!&lt;=5,"Low Calls", IF(#REF!&lt;=10, "Medium Calls", "High Calls"))</f>
        <v>#REF!</v>
      </c>
      <c r="AF3165" t="e">
        <f xml:space="preserve">
IF(#REF!&gt;=4,4,0)+
IF(#REF!="yes",3,0)+
IF(#REF!="High Charges",3,0)+
IF(#REF!&gt;250,4,0)+
IF(#REF!="no",1,0)+
IF(#REF!="Heavy Domestic User",2,0)</f>
        <v>#REF!</v>
      </c>
      <c r="AG3165" t="e">
        <f>IF(#REF!&gt;=10,"High Risk", IF(#REF!&gt;=5,"Medium Risk","Low Risk"))</f>
        <v>#REF!</v>
      </c>
      <c r="AH3165" t="e">
        <f>#REF! + #REF! + #REF! + #REF!</f>
        <v>#REF!</v>
      </c>
    </row>
    <row r="3166" spans="1:34" x14ac:dyDescent="0.35">
      <c r="A3166">
        <v>3165</v>
      </c>
      <c r="B3166" t="s">
        <v>30</v>
      </c>
      <c r="C3166">
        <v>44</v>
      </c>
      <c r="D3166" t="s">
        <v>28</v>
      </c>
      <c r="E3166" t="s">
        <v>22</v>
      </c>
      <c r="F3166" t="s">
        <v>22</v>
      </c>
      <c r="G3166">
        <v>0</v>
      </c>
      <c r="H3166">
        <v>189.7</v>
      </c>
      <c r="I3166">
        <v>122</v>
      </c>
      <c r="J3166">
        <v>32.25</v>
      </c>
      <c r="K3166">
        <v>178.9</v>
      </c>
      <c r="L3166">
        <v>72</v>
      </c>
      <c r="M3166">
        <v>15.21</v>
      </c>
      <c r="N3166">
        <v>244.7</v>
      </c>
      <c r="O3166">
        <v>93</v>
      </c>
      <c r="P3166">
        <v>11.01</v>
      </c>
      <c r="Q3166">
        <v>9.8000000000000007</v>
      </c>
      <c r="R3166">
        <v>5</v>
      </c>
      <c r="S3166">
        <v>2.65</v>
      </c>
      <c r="T3166">
        <v>0</v>
      </c>
      <c r="U3166" t="s">
        <v>22</v>
      </c>
      <c r="V3166" t="e">
        <f>IF(#REF! = "yes", 1, 0)</f>
        <v>#REF!</v>
      </c>
      <c r="W3166" t="e">
        <f>IF(#REF! &lt;= 1, "0-1 Calls", IF(#REF! &lt;= 3, "2-3 Calls", IF(#REF! &lt;=5, "4-5 Calls", "6+ Calls")))</f>
        <v>#REF!</v>
      </c>
      <c r="X3166" t="e">
        <f>IF(#REF! &lt;= 50, "0-50", IF(#REF! &lt;=100, "51-100", IF(#REF! &lt;= 150, "101-150", "151+")))</f>
        <v>#REF!</v>
      </c>
      <c r="Y3166" t="e">
        <f>IF(#REF! &lt;= 3, "Low Charges", "High Charges")</f>
        <v>#REF!</v>
      </c>
      <c r="Z3166" t="e">
        <f>IF(#REF!&lt;=80,"Low Calls",
IF(#REF!&lt;=120,"Medium Calls","High Calls"))</f>
        <v>#REF!</v>
      </c>
      <c r="AA3166" t="e">
        <f>IF(#REF!&lt;=15,"Low Charges",
IF(#REF!&lt;=20,"Medium Charges","High Charges"))</f>
        <v>#REF!</v>
      </c>
      <c r="AB3166" t="e">
        <f>IF(AND(#REF!&gt;180, #REF!&gt;200), "Heavy Doemstic User", IF(#REF!&gt;10, "Interntional User", IF(AND(#REF!&lt;180, #REF!&lt;200,#REF!&lt;200), "Light User", "Balanced User")))</f>
        <v>#REF!</v>
      </c>
      <c r="AC3166" t="e">
        <f>IF(#REF! = 0, "No Usage", IF(#REF! &lt;= 20, "Low Usage", IF(#REF! &lt;= 40, "Medium Usgae", "High Usage")))</f>
        <v>#REF!</v>
      </c>
      <c r="AD3166" t="e">
        <f>IF(#REF!&lt;=150,"Low Usage", IF(#REF!&lt;=200,"Medium Usage", IF(#REF!&lt;=250,"High Usage","Very High Usage")))</f>
        <v>#REF!</v>
      </c>
      <c r="AE3166" t="e">
        <f>IF(#REF!&lt;=5,"Low Calls", IF(#REF!&lt;=10, "Medium Calls", "High Calls"))</f>
        <v>#REF!</v>
      </c>
      <c r="AF3166" t="e">
        <f xml:space="preserve">
IF(#REF!&gt;=4,4,0)+
IF(#REF!="yes",3,0)+
IF(#REF!="High Charges",3,0)+
IF(#REF!&gt;250,4,0)+
IF(#REF!="no",1,0)+
IF(#REF!="Heavy Domestic User",2,0)</f>
        <v>#REF!</v>
      </c>
      <c r="AG3166" t="e">
        <f>IF(#REF!&gt;=10,"High Risk", IF(#REF!&gt;=5,"Medium Risk","Low Risk"))</f>
        <v>#REF!</v>
      </c>
      <c r="AH3166" t="e">
        <f>#REF! + #REF! + #REF! + #REF!</f>
        <v>#REF!</v>
      </c>
    </row>
    <row r="3167" spans="1:34" x14ac:dyDescent="0.35">
      <c r="A3167">
        <v>3166</v>
      </c>
      <c r="B3167" t="s">
        <v>49</v>
      </c>
      <c r="C3167">
        <v>60</v>
      </c>
      <c r="D3167" t="s">
        <v>28</v>
      </c>
      <c r="E3167" t="s">
        <v>22</v>
      </c>
      <c r="F3167" t="s">
        <v>22</v>
      </c>
      <c r="G3167">
        <v>0</v>
      </c>
      <c r="H3167">
        <v>190.8</v>
      </c>
      <c r="I3167">
        <v>100</v>
      </c>
      <c r="J3167">
        <v>32.44</v>
      </c>
      <c r="K3167">
        <v>196</v>
      </c>
      <c r="L3167">
        <v>85</v>
      </c>
      <c r="M3167">
        <v>16.66</v>
      </c>
      <c r="N3167">
        <v>151.69999999999999</v>
      </c>
      <c r="O3167">
        <v>110</v>
      </c>
      <c r="P3167">
        <v>6.83</v>
      </c>
      <c r="Q3167">
        <v>9.9</v>
      </c>
      <c r="R3167">
        <v>9</v>
      </c>
      <c r="S3167">
        <v>2.67</v>
      </c>
      <c r="T3167">
        <v>0</v>
      </c>
      <c r="U3167" t="s">
        <v>22</v>
      </c>
      <c r="V3167" t="e">
        <f>IF(#REF! = "yes", 1, 0)</f>
        <v>#REF!</v>
      </c>
      <c r="W3167" t="e">
        <f>IF(#REF! &lt;= 1, "0-1 Calls", IF(#REF! &lt;= 3, "2-3 Calls", IF(#REF! &lt;=5, "4-5 Calls", "6+ Calls")))</f>
        <v>#REF!</v>
      </c>
      <c r="X3167" t="e">
        <f>IF(#REF! &lt;= 50, "0-50", IF(#REF! &lt;=100, "51-100", IF(#REF! &lt;= 150, "101-150", "151+")))</f>
        <v>#REF!</v>
      </c>
      <c r="Y3167" t="e">
        <f>IF(#REF! &lt;= 3, "Low Charges", "High Charges")</f>
        <v>#REF!</v>
      </c>
      <c r="Z3167" t="e">
        <f>IF(#REF!&lt;=80,"Low Calls",
IF(#REF!&lt;=120,"Medium Calls","High Calls"))</f>
        <v>#REF!</v>
      </c>
      <c r="AA3167" t="e">
        <f>IF(#REF!&lt;=15,"Low Charges",
IF(#REF!&lt;=20,"Medium Charges","High Charges"))</f>
        <v>#REF!</v>
      </c>
      <c r="AB3167" t="e">
        <f>IF(AND(#REF!&gt;180, #REF!&gt;200), "Heavy Doemstic User", IF(#REF!&gt;10, "Interntional User", IF(AND(#REF!&lt;180, #REF!&lt;200,#REF!&lt;200), "Light User", "Balanced User")))</f>
        <v>#REF!</v>
      </c>
      <c r="AC3167" t="e">
        <f>IF(#REF! = 0, "No Usage", IF(#REF! &lt;= 20, "Low Usage", IF(#REF! &lt;= 40, "Medium Usgae", "High Usage")))</f>
        <v>#REF!</v>
      </c>
      <c r="AD3167" t="e">
        <f>IF(#REF!&lt;=150,"Low Usage", IF(#REF!&lt;=200,"Medium Usage", IF(#REF!&lt;=250,"High Usage","Very High Usage")))</f>
        <v>#REF!</v>
      </c>
      <c r="AE3167" t="e">
        <f>IF(#REF!&lt;=5,"Low Calls", IF(#REF!&lt;=10, "Medium Calls", "High Calls"))</f>
        <v>#REF!</v>
      </c>
      <c r="AF3167" t="e">
        <f xml:space="preserve">
IF(#REF!&gt;=4,4,0)+
IF(#REF!="yes",3,0)+
IF(#REF!="High Charges",3,0)+
IF(#REF!&gt;250,4,0)+
IF(#REF!="no",1,0)+
IF(#REF!="Heavy Domestic User",2,0)</f>
        <v>#REF!</v>
      </c>
      <c r="AG3167" t="e">
        <f>IF(#REF!&gt;=10,"High Risk", IF(#REF!&gt;=5,"Medium Risk","Low Risk"))</f>
        <v>#REF!</v>
      </c>
      <c r="AH3167" t="e">
        <f>#REF! + #REF! + #REF! + #REF!</f>
        <v>#REF!</v>
      </c>
    </row>
    <row r="3168" spans="1:34" x14ac:dyDescent="0.35">
      <c r="A3168">
        <v>3167</v>
      </c>
      <c r="B3168" t="s">
        <v>60</v>
      </c>
      <c r="C3168">
        <v>113</v>
      </c>
      <c r="D3168" t="s">
        <v>25</v>
      </c>
      <c r="E3168" t="s">
        <v>22</v>
      </c>
      <c r="F3168" t="s">
        <v>22</v>
      </c>
      <c r="G3168">
        <v>0</v>
      </c>
      <c r="H3168">
        <v>198.6</v>
      </c>
      <c r="I3168">
        <v>115</v>
      </c>
      <c r="J3168">
        <v>33.76</v>
      </c>
      <c r="K3168">
        <v>258</v>
      </c>
      <c r="L3168">
        <v>106</v>
      </c>
      <c r="M3168">
        <v>21.93</v>
      </c>
      <c r="N3168">
        <v>245.8</v>
      </c>
      <c r="O3168">
        <v>104</v>
      </c>
      <c r="P3168">
        <v>11.06</v>
      </c>
      <c r="Q3168">
        <v>10.199999999999999</v>
      </c>
      <c r="R3168">
        <v>6</v>
      </c>
      <c r="S3168">
        <v>2.75</v>
      </c>
      <c r="T3168">
        <v>1</v>
      </c>
      <c r="U3168" t="s">
        <v>23</v>
      </c>
      <c r="V3168" t="e">
        <f>IF(#REF! = "yes", 1, 0)</f>
        <v>#REF!</v>
      </c>
      <c r="W3168" t="e">
        <f>IF(#REF! &lt;= 1, "0-1 Calls", IF(#REF! &lt;= 3, "2-3 Calls", IF(#REF! &lt;=5, "4-5 Calls", "6+ Calls")))</f>
        <v>#REF!</v>
      </c>
      <c r="X3168" t="e">
        <f>IF(#REF! &lt;= 50, "0-50", IF(#REF! &lt;=100, "51-100", IF(#REF! &lt;= 150, "101-150", "151+")))</f>
        <v>#REF!</v>
      </c>
      <c r="Y3168" t="e">
        <f>IF(#REF! &lt;= 3, "Low Charges", "High Charges")</f>
        <v>#REF!</v>
      </c>
      <c r="Z3168" t="e">
        <f>IF(#REF!&lt;=80,"Low Calls",
IF(#REF!&lt;=120,"Medium Calls","High Calls"))</f>
        <v>#REF!</v>
      </c>
      <c r="AA3168" t="e">
        <f>IF(#REF!&lt;=15,"Low Charges",
IF(#REF!&lt;=20,"Medium Charges","High Charges"))</f>
        <v>#REF!</v>
      </c>
      <c r="AB3168" t="e">
        <f>IF(AND(#REF!&gt;180, #REF!&gt;200), "Heavy Doemstic User", IF(#REF!&gt;10, "Interntional User", IF(AND(#REF!&lt;180, #REF!&lt;200,#REF!&lt;200), "Light User", "Balanced User")))</f>
        <v>#REF!</v>
      </c>
      <c r="AC3168" t="e">
        <f>IF(#REF! = 0, "No Usage", IF(#REF! &lt;= 20, "Low Usage", IF(#REF! &lt;= 40, "Medium Usgae", "High Usage")))</f>
        <v>#REF!</v>
      </c>
      <c r="AD3168" t="e">
        <f>IF(#REF!&lt;=150,"Low Usage", IF(#REF!&lt;=200,"Medium Usage", IF(#REF!&lt;=250,"High Usage","Very High Usage")))</f>
        <v>#REF!</v>
      </c>
      <c r="AE3168" t="e">
        <f>IF(#REF!&lt;=5,"Low Calls", IF(#REF!&lt;=10, "Medium Calls", "High Calls"))</f>
        <v>#REF!</v>
      </c>
      <c r="AF3168" t="e">
        <f xml:space="preserve">
IF(#REF!&gt;=4,4,0)+
IF(#REF!="yes",3,0)+
IF(#REF!="High Charges",3,0)+
IF(#REF!&gt;250,4,0)+
IF(#REF!="no",1,0)+
IF(#REF!="Heavy Domestic User",2,0)</f>
        <v>#REF!</v>
      </c>
      <c r="AG3168" t="e">
        <f>IF(#REF!&gt;=10,"High Risk", IF(#REF!&gt;=5,"Medium Risk","Low Risk"))</f>
        <v>#REF!</v>
      </c>
      <c r="AH3168" t="e">
        <f>#REF! + #REF! + #REF! + #REF!</f>
        <v>#REF!</v>
      </c>
    </row>
    <row r="3169" spans="1:34" x14ac:dyDescent="0.35">
      <c r="A3169">
        <v>3168</v>
      </c>
      <c r="B3169" t="s">
        <v>33</v>
      </c>
      <c r="C3169">
        <v>101</v>
      </c>
      <c r="D3169" t="s">
        <v>21</v>
      </c>
      <c r="E3169" t="s">
        <v>22</v>
      </c>
      <c r="F3169" t="s">
        <v>22</v>
      </c>
      <c r="G3169">
        <v>0</v>
      </c>
      <c r="H3169">
        <v>176.5</v>
      </c>
      <c r="I3169">
        <v>105</v>
      </c>
      <c r="J3169">
        <v>30.01</v>
      </c>
      <c r="K3169">
        <v>198.6</v>
      </c>
      <c r="L3169">
        <v>136</v>
      </c>
      <c r="M3169">
        <v>16.88</v>
      </c>
      <c r="N3169">
        <v>210.2</v>
      </c>
      <c r="O3169">
        <v>150</v>
      </c>
      <c r="P3169">
        <v>9.4600000000000009</v>
      </c>
      <c r="Q3169">
        <v>7.7</v>
      </c>
      <c r="R3169">
        <v>5</v>
      </c>
      <c r="S3169">
        <v>2.08</v>
      </c>
      <c r="T3169">
        <v>0</v>
      </c>
      <c r="U3169" t="s">
        <v>22</v>
      </c>
      <c r="V3169" t="e">
        <f>IF(#REF! = "yes", 1, 0)</f>
        <v>#REF!</v>
      </c>
      <c r="W3169" t="e">
        <f>IF(#REF! &lt;= 1, "0-1 Calls", IF(#REF! &lt;= 3, "2-3 Calls", IF(#REF! &lt;=5, "4-5 Calls", "6+ Calls")))</f>
        <v>#REF!</v>
      </c>
      <c r="X3169" t="e">
        <f>IF(#REF! &lt;= 50, "0-50", IF(#REF! &lt;=100, "51-100", IF(#REF! &lt;= 150, "101-150", "151+")))</f>
        <v>#REF!</v>
      </c>
      <c r="Y3169" t="e">
        <f>IF(#REF! &lt;= 3, "Low Charges", "High Charges")</f>
        <v>#REF!</v>
      </c>
      <c r="Z3169" t="e">
        <f>IF(#REF!&lt;=80,"Low Calls",
IF(#REF!&lt;=120,"Medium Calls","High Calls"))</f>
        <v>#REF!</v>
      </c>
      <c r="AA3169" t="e">
        <f>IF(#REF!&lt;=15,"Low Charges",
IF(#REF!&lt;=20,"Medium Charges","High Charges"))</f>
        <v>#REF!</v>
      </c>
      <c r="AB3169" t="e">
        <f>IF(AND(#REF!&gt;180, #REF!&gt;200), "Heavy Doemstic User", IF(#REF!&gt;10, "Interntional User", IF(AND(#REF!&lt;180, #REF!&lt;200,#REF!&lt;200), "Light User", "Balanced User")))</f>
        <v>#REF!</v>
      </c>
      <c r="AC3169" t="e">
        <f>IF(#REF! = 0, "No Usage", IF(#REF! &lt;= 20, "Low Usage", IF(#REF! &lt;= 40, "Medium Usgae", "High Usage")))</f>
        <v>#REF!</v>
      </c>
      <c r="AD3169" t="e">
        <f>IF(#REF!&lt;=150,"Low Usage", IF(#REF!&lt;=200,"Medium Usage", IF(#REF!&lt;=250,"High Usage","Very High Usage")))</f>
        <v>#REF!</v>
      </c>
      <c r="AE3169" t="e">
        <f>IF(#REF!&lt;=5,"Low Calls", IF(#REF!&lt;=10, "Medium Calls", "High Calls"))</f>
        <v>#REF!</v>
      </c>
      <c r="AF3169" t="e">
        <f xml:space="preserve">
IF(#REF!&gt;=4,4,0)+
IF(#REF!="yes",3,0)+
IF(#REF!="High Charges",3,0)+
IF(#REF!&gt;250,4,0)+
IF(#REF!="no",1,0)+
IF(#REF!="Heavy Domestic User",2,0)</f>
        <v>#REF!</v>
      </c>
      <c r="AG3169" t="e">
        <f>IF(#REF!&gt;=10,"High Risk", IF(#REF!&gt;=5,"Medium Risk","Low Risk"))</f>
        <v>#REF!</v>
      </c>
      <c r="AH3169" t="e">
        <f>#REF! + #REF! + #REF! + #REF!</f>
        <v>#REF!</v>
      </c>
    </row>
    <row r="3170" spans="1:34" x14ac:dyDescent="0.35">
      <c r="A3170">
        <v>3169</v>
      </c>
      <c r="B3170" t="s">
        <v>73</v>
      </c>
      <c r="C3170">
        <v>147</v>
      </c>
      <c r="D3170" t="s">
        <v>21</v>
      </c>
      <c r="E3170" t="s">
        <v>22</v>
      </c>
      <c r="F3170" t="s">
        <v>22</v>
      </c>
      <c r="G3170">
        <v>0</v>
      </c>
      <c r="H3170">
        <v>188.3</v>
      </c>
      <c r="I3170">
        <v>80</v>
      </c>
      <c r="J3170">
        <v>32.01</v>
      </c>
      <c r="K3170">
        <v>214.7</v>
      </c>
      <c r="L3170">
        <v>123</v>
      </c>
      <c r="M3170">
        <v>18.25</v>
      </c>
      <c r="N3170">
        <v>218</v>
      </c>
      <c r="O3170">
        <v>89</v>
      </c>
      <c r="P3170">
        <v>9.81</v>
      </c>
      <c r="Q3170">
        <v>10.199999999999999</v>
      </c>
      <c r="R3170">
        <v>4</v>
      </c>
      <c r="S3170">
        <v>2.75</v>
      </c>
      <c r="T3170">
        <v>2</v>
      </c>
      <c r="U3170" t="s">
        <v>22</v>
      </c>
      <c r="V3170" t="e">
        <f>IF(#REF! = "yes", 1, 0)</f>
        <v>#REF!</v>
      </c>
      <c r="W3170" t="e">
        <f>IF(#REF! &lt;= 1, "0-1 Calls", IF(#REF! &lt;= 3, "2-3 Calls", IF(#REF! &lt;=5, "4-5 Calls", "6+ Calls")))</f>
        <v>#REF!</v>
      </c>
      <c r="X3170" t="e">
        <f>IF(#REF! &lt;= 50, "0-50", IF(#REF! &lt;=100, "51-100", IF(#REF! &lt;= 150, "101-150", "151+")))</f>
        <v>#REF!</v>
      </c>
      <c r="Y3170" t="e">
        <f>IF(#REF! &lt;= 3, "Low Charges", "High Charges")</f>
        <v>#REF!</v>
      </c>
      <c r="Z3170" t="e">
        <f>IF(#REF!&lt;=80,"Low Calls",
IF(#REF!&lt;=120,"Medium Calls","High Calls"))</f>
        <v>#REF!</v>
      </c>
      <c r="AA3170" t="e">
        <f>IF(#REF!&lt;=15,"Low Charges",
IF(#REF!&lt;=20,"Medium Charges","High Charges"))</f>
        <v>#REF!</v>
      </c>
      <c r="AB3170" t="e">
        <f>IF(AND(#REF!&gt;180, #REF!&gt;200), "Heavy Doemstic User", IF(#REF!&gt;10, "Interntional User", IF(AND(#REF!&lt;180, #REF!&lt;200,#REF!&lt;200), "Light User", "Balanced User")))</f>
        <v>#REF!</v>
      </c>
      <c r="AC3170" t="e">
        <f>IF(#REF! = 0, "No Usage", IF(#REF! &lt;= 20, "Low Usage", IF(#REF! &lt;= 40, "Medium Usgae", "High Usage")))</f>
        <v>#REF!</v>
      </c>
      <c r="AD3170" t="e">
        <f>IF(#REF!&lt;=150,"Low Usage", IF(#REF!&lt;=200,"Medium Usage", IF(#REF!&lt;=250,"High Usage","Very High Usage")))</f>
        <v>#REF!</v>
      </c>
      <c r="AE3170" t="e">
        <f>IF(#REF!&lt;=5,"Low Calls", IF(#REF!&lt;=10, "Medium Calls", "High Calls"))</f>
        <v>#REF!</v>
      </c>
      <c r="AF3170" t="e">
        <f xml:space="preserve">
IF(#REF!&gt;=4,4,0)+
IF(#REF!="yes",3,0)+
IF(#REF!="High Charges",3,0)+
IF(#REF!&gt;250,4,0)+
IF(#REF!="no",1,0)+
IF(#REF!="Heavy Domestic User",2,0)</f>
        <v>#REF!</v>
      </c>
      <c r="AG3170" t="e">
        <f>IF(#REF!&gt;=10,"High Risk", IF(#REF!&gt;=5,"Medium Risk","Low Risk"))</f>
        <v>#REF!</v>
      </c>
      <c r="AH3170" t="e">
        <f>#REF! + #REF! + #REF! + #REF!</f>
        <v>#REF!</v>
      </c>
    </row>
    <row r="3171" spans="1:34" x14ac:dyDescent="0.35">
      <c r="A3171">
        <v>3170</v>
      </c>
      <c r="B3171" t="s">
        <v>62</v>
      </c>
      <c r="C3171">
        <v>21</v>
      </c>
      <c r="D3171" t="s">
        <v>28</v>
      </c>
      <c r="E3171" t="s">
        <v>22</v>
      </c>
      <c r="F3171" t="s">
        <v>22</v>
      </c>
      <c r="G3171">
        <v>0</v>
      </c>
      <c r="H3171">
        <v>197.6</v>
      </c>
      <c r="I3171">
        <v>105</v>
      </c>
      <c r="J3171">
        <v>33.590000000000003</v>
      </c>
      <c r="K3171">
        <v>206.4</v>
      </c>
      <c r="L3171">
        <v>88</v>
      </c>
      <c r="M3171">
        <v>17.54</v>
      </c>
      <c r="N3171">
        <v>169.6</v>
      </c>
      <c r="O3171">
        <v>143</v>
      </c>
      <c r="P3171">
        <v>7.63</v>
      </c>
      <c r="Q3171">
        <v>9.6</v>
      </c>
      <c r="R3171">
        <v>2</v>
      </c>
      <c r="S3171">
        <v>2.59</v>
      </c>
      <c r="T3171">
        <v>3</v>
      </c>
      <c r="U3171" t="s">
        <v>22</v>
      </c>
      <c r="V3171" t="e">
        <f>IF(#REF! = "yes", 1, 0)</f>
        <v>#REF!</v>
      </c>
      <c r="W3171" t="e">
        <f>IF(#REF! &lt;= 1, "0-1 Calls", IF(#REF! &lt;= 3, "2-3 Calls", IF(#REF! &lt;=5, "4-5 Calls", "6+ Calls")))</f>
        <v>#REF!</v>
      </c>
      <c r="X3171" t="e">
        <f>IF(#REF! &lt;= 50, "0-50", IF(#REF! &lt;=100, "51-100", IF(#REF! &lt;= 150, "101-150", "151+")))</f>
        <v>#REF!</v>
      </c>
      <c r="Y3171" t="e">
        <f>IF(#REF! &lt;= 3, "Low Charges", "High Charges")</f>
        <v>#REF!</v>
      </c>
      <c r="Z3171" t="e">
        <f>IF(#REF!&lt;=80,"Low Calls",
IF(#REF!&lt;=120,"Medium Calls","High Calls"))</f>
        <v>#REF!</v>
      </c>
      <c r="AA3171" t="e">
        <f>IF(#REF!&lt;=15,"Low Charges",
IF(#REF!&lt;=20,"Medium Charges","High Charges"))</f>
        <v>#REF!</v>
      </c>
      <c r="AB3171" t="e">
        <f>IF(AND(#REF!&gt;180, #REF!&gt;200), "Heavy Doemstic User", IF(#REF!&gt;10, "Interntional User", IF(AND(#REF!&lt;180, #REF!&lt;200,#REF!&lt;200), "Light User", "Balanced User")))</f>
        <v>#REF!</v>
      </c>
      <c r="AC3171" t="e">
        <f>IF(#REF! = 0, "No Usage", IF(#REF! &lt;= 20, "Low Usage", IF(#REF! &lt;= 40, "Medium Usgae", "High Usage")))</f>
        <v>#REF!</v>
      </c>
      <c r="AD3171" t="e">
        <f>IF(#REF!&lt;=150,"Low Usage", IF(#REF!&lt;=200,"Medium Usage", IF(#REF!&lt;=250,"High Usage","Very High Usage")))</f>
        <v>#REF!</v>
      </c>
      <c r="AE3171" t="e">
        <f>IF(#REF!&lt;=5,"Low Calls", IF(#REF!&lt;=10, "Medium Calls", "High Calls"))</f>
        <v>#REF!</v>
      </c>
      <c r="AF3171" t="e">
        <f xml:space="preserve">
IF(#REF!&gt;=4,4,0)+
IF(#REF!="yes",3,0)+
IF(#REF!="High Charges",3,0)+
IF(#REF!&gt;250,4,0)+
IF(#REF!="no",1,0)+
IF(#REF!="Heavy Domestic User",2,0)</f>
        <v>#REF!</v>
      </c>
      <c r="AG3171" t="e">
        <f>IF(#REF!&gt;=10,"High Risk", IF(#REF!&gt;=5,"Medium Risk","Low Risk"))</f>
        <v>#REF!</v>
      </c>
      <c r="AH3171" t="e">
        <f>#REF! + #REF! + #REF! + #REF!</f>
        <v>#REF!</v>
      </c>
    </row>
    <row r="3172" spans="1:34" x14ac:dyDescent="0.35">
      <c r="A3172">
        <v>3171</v>
      </c>
      <c r="B3172" t="s">
        <v>75</v>
      </c>
      <c r="C3172">
        <v>141</v>
      </c>
      <c r="D3172" t="s">
        <v>21</v>
      </c>
      <c r="E3172" t="s">
        <v>22</v>
      </c>
      <c r="F3172" t="s">
        <v>22</v>
      </c>
      <c r="G3172">
        <v>0</v>
      </c>
      <c r="H3172">
        <v>208.5</v>
      </c>
      <c r="I3172">
        <v>129</v>
      </c>
      <c r="J3172">
        <v>35.450000000000003</v>
      </c>
      <c r="K3172">
        <v>190.3</v>
      </c>
      <c r="L3172">
        <v>86</v>
      </c>
      <c r="M3172">
        <v>16.18</v>
      </c>
      <c r="N3172">
        <v>144.69999999999999</v>
      </c>
      <c r="O3172">
        <v>93</v>
      </c>
      <c r="P3172">
        <v>6.51</v>
      </c>
      <c r="Q3172">
        <v>12</v>
      </c>
      <c r="R3172">
        <v>9</v>
      </c>
      <c r="S3172">
        <v>3.24</v>
      </c>
      <c r="T3172">
        <v>1</v>
      </c>
      <c r="U3172" t="s">
        <v>22</v>
      </c>
      <c r="V3172" t="e">
        <f>IF(#REF! = "yes", 1, 0)</f>
        <v>#REF!</v>
      </c>
      <c r="W3172" t="e">
        <f>IF(#REF! &lt;= 1, "0-1 Calls", IF(#REF! &lt;= 3, "2-3 Calls", IF(#REF! &lt;=5, "4-5 Calls", "6+ Calls")))</f>
        <v>#REF!</v>
      </c>
      <c r="X3172" t="e">
        <f>IF(#REF! &lt;= 50, "0-50", IF(#REF! &lt;=100, "51-100", IF(#REF! &lt;= 150, "101-150", "151+")))</f>
        <v>#REF!</v>
      </c>
      <c r="Y3172" t="e">
        <f>IF(#REF! &lt;= 3, "Low Charges", "High Charges")</f>
        <v>#REF!</v>
      </c>
      <c r="Z3172" t="e">
        <f>IF(#REF!&lt;=80,"Low Calls",
IF(#REF!&lt;=120,"Medium Calls","High Calls"))</f>
        <v>#REF!</v>
      </c>
      <c r="AA3172" t="e">
        <f>IF(#REF!&lt;=15,"Low Charges",
IF(#REF!&lt;=20,"Medium Charges","High Charges"))</f>
        <v>#REF!</v>
      </c>
      <c r="AB3172" t="e">
        <f>IF(AND(#REF!&gt;180, #REF!&gt;200), "Heavy Doemstic User", IF(#REF!&gt;10, "Interntional User", IF(AND(#REF!&lt;180, #REF!&lt;200,#REF!&lt;200), "Light User", "Balanced User")))</f>
        <v>#REF!</v>
      </c>
      <c r="AC3172" t="e">
        <f>IF(#REF! = 0, "No Usage", IF(#REF! &lt;= 20, "Low Usage", IF(#REF! &lt;= 40, "Medium Usgae", "High Usage")))</f>
        <v>#REF!</v>
      </c>
      <c r="AD3172" t="e">
        <f>IF(#REF!&lt;=150,"Low Usage", IF(#REF!&lt;=200,"Medium Usage", IF(#REF!&lt;=250,"High Usage","Very High Usage")))</f>
        <v>#REF!</v>
      </c>
      <c r="AE3172" t="e">
        <f>IF(#REF!&lt;=5,"Low Calls", IF(#REF!&lt;=10, "Medium Calls", "High Calls"))</f>
        <v>#REF!</v>
      </c>
      <c r="AF3172" t="e">
        <f xml:space="preserve">
IF(#REF!&gt;=4,4,0)+
IF(#REF!="yes",3,0)+
IF(#REF!="High Charges",3,0)+
IF(#REF!&gt;250,4,0)+
IF(#REF!="no",1,0)+
IF(#REF!="Heavy Domestic User",2,0)</f>
        <v>#REF!</v>
      </c>
      <c r="AG3172" t="e">
        <f>IF(#REF!&gt;=10,"High Risk", IF(#REF!&gt;=5,"Medium Risk","Low Risk"))</f>
        <v>#REF!</v>
      </c>
      <c r="AH3172" t="e">
        <f>#REF! + #REF! + #REF! + #REF!</f>
        <v>#REF!</v>
      </c>
    </row>
    <row r="3173" spans="1:34" x14ac:dyDescent="0.35">
      <c r="A3173">
        <v>3172</v>
      </c>
      <c r="B3173" t="s">
        <v>29</v>
      </c>
      <c r="C3173">
        <v>87</v>
      </c>
      <c r="D3173" t="s">
        <v>28</v>
      </c>
      <c r="E3173" t="s">
        <v>22</v>
      </c>
      <c r="F3173" t="s">
        <v>22</v>
      </c>
      <c r="G3173">
        <v>0</v>
      </c>
      <c r="H3173">
        <v>261</v>
      </c>
      <c r="I3173">
        <v>83</v>
      </c>
      <c r="J3173">
        <v>44.37</v>
      </c>
      <c r="K3173">
        <v>144.19999999999999</v>
      </c>
      <c r="L3173">
        <v>95</v>
      </c>
      <c r="M3173">
        <v>12.26</v>
      </c>
      <c r="N3173">
        <v>284.39999999999998</v>
      </c>
      <c r="O3173">
        <v>119</v>
      </c>
      <c r="P3173">
        <v>12.8</v>
      </c>
      <c r="Q3173">
        <v>16.3</v>
      </c>
      <c r="R3173">
        <v>1</v>
      </c>
      <c r="S3173">
        <v>4.4000000000000004</v>
      </c>
      <c r="T3173">
        <v>4</v>
      </c>
      <c r="U3173" t="s">
        <v>22</v>
      </c>
      <c r="V3173" t="e">
        <f>IF(#REF! = "yes", 1, 0)</f>
        <v>#REF!</v>
      </c>
      <c r="W3173" t="e">
        <f>IF(#REF! &lt;= 1, "0-1 Calls", IF(#REF! &lt;= 3, "2-3 Calls", IF(#REF! &lt;=5, "4-5 Calls", "6+ Calls")))</f>
        <v>#REF!</v>
      </c>
      <c r="X3173" t="e">
        <f>IF(#REF! &lt;= 50, "0-50", IF(#REF! &lt;=100, "51-100", IF(#REF! &lt;= 150, "101-150", "151+")))</f>
        <v>#REF!</v>
      </c>
      <c r="Y3173" t="e">
        <f>IF(#REF! &lt;= 3, "Low Charges", "High Charges")</f>
        <v>#REF!</v>
      </c>
      <c r="Z3173" t="e">
        <f>IF(#REF!&lt;=80,"Low Calls",
IF(#REF!&lt;=120,"Medium Calls","High Calls"))</f>
        <v>#REF!</v>
      </c>
      <c r="AA3173" t="e">
        <f>IF(#REF!&lt;=15,"Low Charges",
IF(#REF!&lt;=20,"Medium Charges","High Charges"))</f>
        <v>#REF!</v>
      </c>
      <c r="AB3173" t="e">
        <f>IF(AND(#REF!&gt;180, #REF!&gt;200), "Heavy Doemstic User", IF(#REF!&gt;10, "Interntional User", IF(AND(#REF!&lt;180, #REF!&lt;200,#REF!&lt;200), "Light User", "Balanced User")))</f>
        <v>#REF!</v>
      </c>
      <c r="AC3173" t="e">
        <f>IF(#REF! = 0, "No Usage", IF(#REF! &lt;= 20, "Low Usage", IF(#REF! &lt;= 40, "Medium Usgae", "High Usage")))</f>
        <v>#REF!</v>
      </c>
      <c r="AD3173" t="e">
        <f>IF(#REF!&lt;=150,"Low Usage", IF(#REF!&lt;=200,"Medium Usage", IF(#REF!&lt;=250,"High Usage","Very High Usage")))</f>
        <v>#REF!</v>
      </c>
      <c r="AE3173" t="e">
        <f>IF(#REF!&lt;=5,"Low Calls", IF(#REF!&lt;=10, "Medium Calls", "High Calls"))</f>
        <v>#REF!</v>
      </c>
      <c r="AF3173" t="e">
        <f xml:space="preserve">
IF(#REF!&gt;=4,4,0)+
IF(#REF!="yes",3,0)+
IF(#REF!="High Charges",3,0)+
IF(#REF!&gt;250,4,0)+
IF(#REF!="no",1,0)+
IF(#REF!="Heavy Domestic User",2,0)</f>
        <v>#REF!</v>
      </c>
      <c r="AG3173" t="e">
        <f>IF(#REF!&gt;=10,"High Risk", IF(#REF!&gt;=5,"Medium Risk","Low Risk"))</f>
        <v>#REF!</v>
      </c>
      <c r="AH3173" t="e">
        <f>#REF! + #REF! + #REF! + #REF!</f>
        <v>#REF!</v>
      </c>
    </row>
    <row r="3174" spans="1:34" x14ac:dyDescent="0.35">
      <c r="A3174">
        <v>3173</v>
      </c>
      <c r="B3174" t="s">
        <v>20</v>
      </c>
      <c r="C3174">
        <v>69</v>
      </c>
      <c r="D3174" t="s">
        <v>21</v>
      </c>
      <c r="E3174" t="s">
        <v>22</v>
      </c>
      <c r="F3174" t="s">
        <v>22</v>
      </c>
      <c r="G3174">
        <v>0</v>
      </c>
      <c r="H3174">
        <v>209.6</v>
      </c>
      <c r="I3174">
        <v>94</v>
      </c>
      <c r="J3174">
        <v>35.630000000000003</v>
      </c>
      <c r="K3174">
        <v>193.1</v>
      </c>
      <c r="L3174">
        <v>106</v>
      </c>
      <c r="M3174">
        <v>16.41</v>
      </c>
      <c r="N3174">
        <v>239.9</v>
      </c>
      <c r="O3174">
        <v>90</v>
      </c>
      <c r="P3174">
        <v>10.8</v>
      </c>
      <c r="Q3174">
        <v>12.4</v>
      </c>
      <c r="R3174">
        <v>4</v>
      </c>
      <c r="S3174">
        <v>3.35</v>
      </c>
      <c r="T3174">
        <v>0</v>
      </c>
      <c r="U3174" t="s">
        <v>22</v>
      </c>
      <c r="V3174" t="e">
        <f>IF(#REF! = "yes", 1, 0)</f>
        <v>#REF!</v>
      </c>
      <c r="W3174" t="e">
        <f>IF(#REF! &lt;= 1, "0-1 Calls", IF(#REF! &lt;= 3, "2-3 Calls", IF(#REF! &lt;=5, "4-5 Calls", "6+ Calls")))</f>
        <v>#REF!</v>
      </c>
      <c r="X3174" t="e">
        <f>IF(#REF! &lt;= 50, "0-50", IF(#REF! &lt;=100, "51-100", IF(#REF! &lt;= 150, "101-150", "151+")))</f>
        <v>#REF!</v>
      </c>
      <c r="Y3174" t="e">
        <f>IF(#REF! &lt;= 3, "Low Charges", "High Charges")</f>
        <v>#REF!</v>
      </c>
      <c r="Z3174" t="e">
        <f>IF(#REF!&lt;=80,"Low Calls",
IF(#REF!&lt;=120,"Medium Calls","High Calls"))</f>
        <v>#REF!</v>
      </c>
      <c r="AA3174" t="e">
        <f>IF(#REF!&lt;=15,"Low Charges",
IF(#REF!&lt;=20,"Medium Charges","High Charges"))</f>
        <v>#REF!</v>
      </c>
      <c r="AB3174" t="e">
        <f>IF(AND(#REF!&gt;180, #REF!&gt;200), "Heavy Doemstic User", IF(#REF!&gt;10, "Interntional User", IF(AND(#REF!&lt;180, #REF!&lt;200,#REF!&lt;200), "Light User", "Balanced User")))</f>
        <v>#REF!</v>
      </c>
      <c r="AC3174" t="e">
        <f>IF(#REF! = 0, "No Usage", IF(#REF! &lt;= 20, "Low Usage", IF(#REF! &lt;= 40, "Medium Usgae", "High Usage")))</f>
        <v>#REF!</v>
      </c>
      <c r="AD3174" t="e">
        <f>IF(#REF!&lt;=150,"Low Usage", IF(#REF!&lt;=200,"Medium Usage", IF(#REF!&lt;=250,"High Usage","Very High Usage")))</f>
        <v>#REF!</v>
      </c>
      <c r="AE3174" t="e">
        <f>IF(#REF!&lt;=5,"Low Calls", IF(#REF!&lt;=10, "Medium Calls", "High Calls"))</f>
        <v>#REF!</v>
      </c>
      <c r="AF3174" t="e">
        <f xml:space="preserve">
IF(#REF!&gt;=4,4,0)+
IF(#REF!="yes",3,0)+
IF(#REF!="High Charges",3,0)+
IF(#REF!&gt;250,4,0)+
IF(#REF!="no",1,0)+
IF(#REF!="Heavy Domestic User",2,0)</f>
        <v>#REF!</v>
      </c>
      <c r="AG3174" t="e">
        <f>IF(#REF!&gt;=10,"High Risk", IF(#REF!&gt;=5,"Medium Risk","Low Risk"))</f>
        <v>#REF!</v>
      </c>
      <c r="AH3174" t="e">
        <f>#REF! + #REF! + #REF! + #REF!</f>
        <v>#REF!</v>
      </c>
    </row>
    <row r="3175" spans="1:34" x14ac:dyDescent="0.35">
      <c r="A3175">
        <v>3174</v>
      </c>
      <c r="B3175" t="s">
        <v>55</v>
      </c>
      <c r="C3175">
        <v>169</v>
      </c>
      <c r="D3175" t="s">
        <v>25</v>
      </c>
      <c r="E3175" t="s">
        <v>22</v>
      </c>
      <c r="F3175" t="s">
        <v>22</v>
      </c>
      <c r="G3175">
        <v>0</v>
      </c>
      <c r="H3175">
        <v>157.80000000000001</v>
      </c>
      <c r="I3175">
        <v>96</v>
      </c>
      <c r="J3175">
        <v>26.83</v>
      </c>
      <c r="K3175">
        <v>160</v>
      </c>
      <c r="L3175">
        <v>120</v>
      </c>
      <c r="M3175">
        <v>13.6</v>
      </c>
      <c r="N3175">
        <v>198.8</v>
      </c>
      <c r="O3175">
        <v>112</v>
      </c>
      <c r="P3175">
        <v>8.9499999999999993</v>
      </c>
      <c r="Q3175">
        <v>13.7</v>
      </c>
      <c r="R3175">
        <v>6</v>
      </c>
      <c r="S3175">
        <v>3.7</v>
      </c>
      <c r="T3175">
        <v>3</v>
      </c>
      <c r="U3175" t="s">
        <v>22</v>
      </c>
      <c r="V3175" t="e">
        <f>IF(#REF! = "yes", 1, 0)</f>
        <v>#REF!</v>
      </c>
      <c r="W3175" t="e">
        <f>IF(#REF! &lt;= 1, "0-1 Calls", IF(#REF! &lt;= 3, "2-3 Calls", IF(#REF! &lt;=5, "4-5 Calls", "6+ Calls")))</f>
        <v>#REF!</v>
      </c>
      <c r="X3175" t="e">
        <f>IF(#REF! &lt;= 50, "0-50", IF(#REF! &lt;=100, "51-100", IF(#REF! &lt;= 150, "101-150", "151+")))</f>
        <v>#REF!</v>
      </c>
      <c r="Y3175" t="e">
        <f>IF(#REF! &lt;= 3, "Low Charges", "High Charges")</f>
        <v>#REF!</v>
      </c>
      <c r="Z3175" t="e">
        <f>IF(#REF!&lt;=80,"Low Calls",
IF(#REF!&lt;=120,"Medium Calls","High Calls"))</f>
        <v>#REF!</v>
      </c>
      <c r="AA3175" t="e">
        <f>IF(#REF!&lt;=15,"Low Charges",
IF(#REF!&lt;=20,"Medium Charges","High Charges"))</f>
        <v>#REF!</v>
      </c>
      <c r="AB3175" t="e">
        <f>IF(AND(#REF!&gt;180, #REF!&gt;200), "Heavy Doemstic User", IF(#REF!&gt;10, "Interntional User", IF(AND(#REF!&lt;180, #REF!&lt;200,#REF!&lt;200), "Light User", "Balanced User")))</f>
        <v>#REF!</v>
      </c>
      <c r="AC3175" t="e">
        <f>IF(#REF! = 0, "No Usage", IF(#REF! &lt;= 20, "Low Usage", IF(#REF! &lt;= 40, "Medium Usgae", "High Usage")))</f>
        <v>#REF!</v>
      </c>
      <c r="AD3175" t="e">
        <f>IF(#REF!&lt;=150,"Low Usage", IF(#REF!&lt;=200,"Medium Usage", IF(#REF!&lt;=250,"High Usage","Very High Usage")))</f>
        <v>#REF!</v>
      </c>
      <c r="AE3175" t="e">
        <f>IF(#REF!&lt;=5,"Low Calls", IF(#REF!&lt;=10, "Medium Calls", "High Calls"))</f>
        <v>#REF!</v>
      </c>
      <c r="AF3175" t="e">
        <f xml:space="preserve">
IF(#REF!&gt;=4,4,0)+
IF(#REF!="yes",3,0)+
IF(#REF!="High Charges",3,0)+
IF(#REF!&gt;250,4,0)+
IF(#REF!="no",1,0)+
IF(#REF!="Heavy Domestic User",2,0)</f>
        <v>#REF!</v>
      </c>
      <c r="AG3175" t="e">
        <f>IF(#REF!&gt;=10,"High Risk", IF(#REF!&gt;=5,"Medium Risk","Low Risk"))</f>
        <v>#REF!</v>
      </c>
      <c r="AH3175" t="e">
        <f>#REF! + #REF! + #REF! + #REF!</f>
        <v>#REF!</v>
      </c>
    </row>
    <row r="3176" spans="1:34" x14ac:dyDescent="0.35">
      <c r="A3176">
        <v>3175</v>
      </c>
      <c r="B3176" t="s">
        <v>54</v>
      </c>
      <c r="C3176">
        <v>102</v>
      </c>
      <c r="D3176" t="s">
        <v>25</v>
      </c>
      <c r="E3176" t="s">
        <v>22</v>
      </c>
      <c r="F3176" t="s">
        <v>22</v>
      </c>
      <c r="G3176">
        <v>0</v>
      </c>
      <c r="H3176">
        <v>245.4</v>
      </c>
      <c r="I3176">
        <v>82</v>
      </c>
      <c r="J3176">
        <v>41.72</v>
      </c>
      <c r="K3176">
        <v>260.3</v>
      </c>
      <c r="L3176">
        <v>124</v>
      </c>
      <c r="M3176">
        <v>22.13</v>
      </c>
      <c r="N3176">
        <v>195.1</v>
      </c>
      <c r="O3176">
        <v>82</v>
      </c>
      <c r="P3176">
        <v>8.7799999999999994</v>
      </c>
      <c r="Q3176">
        <v>10.5</v>
      </c>
      <c r="R3176">
        <v>3</v>
      </c>
      <c r="S3176">
        <v>2.84</v>
      </c>
      <c r="T3176">
        <v>3</v>
      </c>
      <c r="U3176" t="s">
        <v>23</v>
      </c>
      <c r="V3176" t="e">
        <f>IF(#REF! = "yes", 1, 0)</f>
        <v>#REF!</v>
      </c>
      <c r="W3176" t="e">
        <f>IF(#REF! &lt;= 1, "0-1 Calls", IF(#REF! &lt;= 3, "2-3 Calls", IF(#REF! &lt;=5, "4-5 Calls", "6+ Calls")))</f>
        <v>#REF!</v>
      </c>
      <c r="X3176" t="e">
        <f>IF(#REF! &lt;= 50, "0-50", IF(#REF! &lt;=100, "51-100", IF(#REF! &lt;= 150, "101-150", "151+")))</f>
        <v>#REF!</v>
      </c>
      <c r="Y3176" t="e">
        <f>IF(#REF! &lt;= 3, "Low Charges", "High Charges")</f>
        <v>#REF!</v>
      </c>
      <c r="Z3176" t="e">
        <f>IF(#REF!&lt;=80,"Low Calls",
IF(#REF!&lt;=120,"Medium Calls","High Calls"))</f>
        <v>#REF!</v>
      </c>
      <c r="AA3176" t="e">
        <f>IF(#REF!&lt;=15,"Low Charges",
IF(#REF!&lt;=20,"Medium Charges","High Charges"))</f>
        <v>#REF!</v>
      </c>
      <c r="AB3176" t="e">
        <f>IF(AND(#REF!&gt;180, #REF!&gt;200), "Heavy Doemstic User", IF(#REF!&gt;10, "Interntional User", IF(AND(#REF!&lt;180, #REF!&lt;200,#REF!&lt;200), "Light User", "Balanced User")))</f>
        <v>#REF!</v>
      </c>
      <c r="AC3176" t="e">
        <f>IF(#REF! = 0, "No Usage", IF(#REF! &lt;= 20, "Low Usage", IF(#REF! &lt;= 40, "Medium Usgae", "High Usage")))</f>
        <v>#REF!</v>
      </c>
      <c r="AD3176" t="e">
        <f>IF(#REF!&lt;=150,"Low Usage", IF(#REF!&lt;=200,"Medium Usage", IF(#REF!&lt;=250,"High Usage","Very High Usage")))</f>
        <v>#REF!</v>
      </c>
      <c r="AE3176" t="e">
        <f>IF(#REF!&lt;=5,"Low Calls", IF(#REF!&lt;=10, "Medium Calls", "High Calls"))</f>
        <v>#REF!</v>
      </c>
      <c r="AF3176" t="e">
        <f xml:space="preserve">
IF(#REF!&gt;=4,4,0)+
IF(#REF!="yes",3,0)+
IF(#REF!="High Charges",3,0)+
IF(#REF!&gt;250,4,0)+
IF(#REF!="no",1,0)+
IF(#REF!="Heavy Domestic User",2,0)</f>
        <v>#REF!</v>
      </c>
      <c r="AG3176" t="e">
        <f>IF(#REF!&gt;=10,"High Risk", IF(#REF!&gt;=5,"Medium Risk","Low Risk"))</f>
        <v>#REF!</v>
      </c>
      <c r="AH3176" t="e">
        <f>#REF! + #REF! + #REF! + #REF!</f>
        <v>#REF!</v>
      </c>
    </row>
    <row r="3177" spans="1:34" x14ac:dyDescent="0.35">
      <c r="A3177">
        <v>3176</v>
      </c>
      <c r="B3177" t="s">
        <v>74</v>
      </c>
      <c r="C3177">
        <v>174</v>
      </c>
      <c r="D3177" t="s">
        <v>21</v>
      </c>
      <c r="E3177" t="s">
        <v>22</v>
      </c>
      <c r="F3177" t="s">
        <v>22</v>
      </c>
      <c r="G3177">
        <v>0</v>
      </c>
      <c r="H3177">
        <v>72.2</v>
      </c>
      <c r="I3177">
        <v>80</v>
      </c>
      <c r="J3177">
        <v>12.27</v>
      </c>
      <c r="K3177">
        <v>173.4</v>
      </c>
      <c r="L3177">
        <v>81</v>
      </c>
      <c r="M3177">
        <v>14.74</v>
      </c>
      <c r="N3177">
        <v>130.1</v>
      </c>
      <c r="O3177">
        <v>121</v>
      </c>
      <c r="P3177">
        <v>5.85</v>
      </c>
      <c r="Q3177">
        <v>11</v>
      </c>
      <c r="R3177">
        <v>5</v>
      </c>
      <c r="S3177">
        <v>2.97</v>
      </c>
      <c r="T3177">
        <v>2</v>
      </c>
      <c r="U3177" t="s">
        <v>22</v>
      </c>
      <c r="V3177" t="e">
        <f>IF(#REF! = "yes", 1, 0)</f>
        <v>#REF!</v>
      </c>
      <c r="W3177" t="e">
        <f>IF(#REF! &lt;= 1, "0-1 Calls", IF(#REF! &lt;= 3, "2-3 Calls", IF(#REF! &lt;=5, "4-5 Calls", "6+ Calls")))</f>
        <v>#REF!</v>
      </c>
      <c r="X3177" t="e">
        <f>IF(#REF! &lt;= 50, "0-50", IF(#REF! &lt;=100, "51-100", IF(#REF! &lt;= 150, "101-150", "151+")))</f>
        <v>#REF!</v>
      </c>
      <c r="Y3177" t="e">
        <f>IF(#REF! &lt;= 3, "Low Charges", "High Charges")</f>
        <v>#REF!</v>
      </c>
      <c r="Z3177" t="e">
        <f>IF(#REF!&lt;=80,"Low Calls",
IF(#REF!&lt;=120,"Medium Calls","High Calls"))</f>
        <v>#REF!</v>
      </c>
      <c r="AA3177" t="e">
        <f>IF(#REF!&lt;=15,"Low Charges",
IF(#REF!&lt;=20,"Medium Charges","High Charges"))</f>
        <v>#REF!</v>
      </c>
      <c r="AB3177" t="e">
        <f>IF(AND(#REF!&gt;180, #REF!&gt;200), "Heavy Doemstic User", IF(#REF!&gt;10, "Interntional User", IF(AND(#REF!&lt;180, #REF!&lt;200,#REF!&lt;200), "Light User", "Balanced User")))</f>
        <v>#REF!</v>
      </c>
      <c r="AC3177" t="e">
        <f>IF(#REF! = 0, "No Usage", IF(#REF! &lt;= 20, "Low Usage", IF(#REF! &lt;= 40, "Medium Usgae", "High Usage")))</f>
        <v>#REF!</v>
      </c>
      <c r="AD3177" t="e">
        <f>IF(#REF!&lt;=150,"Low Usage", IF(#REF!&lt;=200,"Medium Usage", IF(#REF!&lt;=250,"High Usage","Very High Usage")))</f>
        <v>#REF!</v>
      </c>
      <c r="AE3177" t="e">
        <f>IF(#REF!&lt;=5,"Low Calls", IF(#REF!&lt;=10, "Medium Calls", "High Calls"))</f>
        <v>#REF!</v>
      </c>
      <c r="AF3177" t="e">
        <f xml:space="preserve">
IF(#REF!&gt;=4,4,0)+
IF(#REF!="yes",3,0)+
IF(#REF!="High Charges",3,0)+
IF(#REF!&gt;250,4,0)+
IF(#REF!="no",1,0)+
IF(#REF!="Heavy Domestic User",2,0)</f>
        <v>#REF!</v>
      </c>
      <c r="AG3177" t="e">
        <f>IF(#REF!&gt;=10,"High Risk", IF(#REF!&gt;=5,"Medium Risk","Low Risk"))</f>
        <v>#REF!</v>
      </c>
      <c r="AH3177" t="e">
        <f>#REF! + #REF! + #REF! + #REF!</f>
        <v>#REF!</v>
      </c>
    </row>
    <row r="3178" spans="1:34" x14ac:dyDescent="0.35">
      <c r="A3178">
        <v>3177</v>
      </c>
      <c r="B3178" t="s">
        <v>46</v>
      </c>
      <c r="C3178">
        <v>44</v>
      </c>
      <c r="D3178" t="s">
        <v>28</v>
      </c>
      <c r="E3178" t="s">
        <v>22</v>
      </c>
      <c r="F3178" t="s">
        <v>23</v>
      </c>
      <c r="G3178">
        <v>25</v>
      </c>
      <c r="H3178">
        <v>152.9</v>
      </c>
      <c r="I3178">
        <v>106</v>
      </c>
      <c r="J3178">
        <v>25.99</v>
      </c>
      <c r="K3178">
        <v>205.5</v>
      </c>
      <c r="L3178">
        <v>147</v>
      </c>
      <c r="M3178">
        <v>17.47</v>
      </c>
      <c r="N3178">
        <v>247.3</v>
      </c>
      <c r="O3178">
        <v>107</v>
      </c>
      <c r="P3178">
        <v>11.13</v>
      </c>
      <c r="Q3178">
        <v>8</v>
      </c>
      <c r="R3178">
        <v>5</v>
      </c>
      <c r="S3178">
        <v>2.16</v>
      </c>
      <c r="T3178">
        <v>1</v>
      </c>
      <c r="U3178" t="s">
        <v>22</v>
      </c>
      <c r="V3178" t="e">
        <f>IF(#REF! = "yes", 1, 0)</f>
        <v>#REF!</v>
      </c>
      <c r="W3178" t="e">
        <f>IF(#REF! &lt;= 1, "0-1 Calls", IF(#REF! &lt;= 3, "2-3 Calls", IF(#REF! &lt;=5, "4-5 Calls", "6+ Calls")))</f>
        <v>#REF!</v>
      </c>
      <c r="X3178" t="e">
        <f>IF(#REF! &lt;= 50, "0-50", IF(#REF! &lt;=100, "51-100", IF(#REF! &lt;= 150, "101-150", "151+")))</f>
        <v>#REF!</v>
      </c>
      <c r="Y3178" t="e">
        <f>IF(#REF! &lt;= 3, "Low Charges", "High Charges")</f>
        <v>#REF!</v>
      </c>
      <c r="Z3178" t="e">
        <f>IF(#REF!&lt;=80,"Low Calls",
IF(#REF!&lt;=120,"Medium Calls","High Calls"))</f>
        <v>#REF!</v>
      </c>
      <c r="AA3178" t="e">
        <f>IF(#REF!&lt;=15,"Low Charges",
IF(#REF!&lt;=20,"Medium Charges","High Charges"))</f>
        <v>#REF!</v>
      </c>
      <c r="AB3178" t="e">
        <f>IF(AND(#REF!&gt;180, #REF!&gt;200), "Heavy Doemstic User", IF(#REF!&gt;10, "Interntional User", IF(AND(#REF!&lt;180, #REF!&lt;200,#REF!&lt;200), "Light User", "Balanced User")))</f>
        <v>#REF!</v>
      </c>
      <c r="AC3178" t="e">
        <f>IF(#REF! = 0, "No Usage", IF(#REF! &lt;= 20, "Low Usage", IF(#REF! &lt;= 40, "Medium Usgae", "High Usage")))</f>
        <v>#REF!</v>
      </c>
      <c r="AD3178" t="e">
        <f>IF(#REF!&lt;=150,"Low Usage", IF(#REF!&lt;=200,"Medium Usage", IF(#REF!&lt;=250,"High Usage","Very High Usage")))</f>
        <v>#REF!</v>
      </c>
      <c r="AE3178" t="e">
        <f>IF(#REF!&lt;=5,"Low Calls", IF(#REF!&lt;=10, "Medium Calls", "High Calls"))</f>
        <v>#REF!</v>
      </c>
      <c r="AF3178" t="e">
        <f xml:space="preserve">
IF(#REF!&gt;=4,4,0)+
IF(#REF!="yes",3,0)+
IF(#REF!="High Charges",3,0)+
IF(#REF!&gt;250,4,0)+
IF(#REF!="no",1,0)+
IF(#REF!="Heavy Domestic User",2,0)</f>
        <v>#REF!</v>
      </c>
      <c r="AG3178" t="e">
        <f>IF(#REF!&gt;=10,"High Risk", IF(#REF!&gt;=5,"Medium Risk","Low Risk"))</f>
        <v>#REF!</v>
      </c>
      <c r="AH3178" t="e">
        <f>#REF! + #REF! + #REF! + #REF!</f>
        <v>#REF!</v>
      </c>
    </row>
    <row r="3179" spans="1:34" x14ac:dyDescent="0.35">
      <c r="A3179">
        <v>3178</v>
      </c>
      <c r="B3179" t="s">
        <v>37</v>
      </c>
      <c r="C3179">
        <v>89</v>
      </c>
      <c r="D3179" t="s">
        <v>21</v>
      </c>
      <c r="E3179" t="s">
        <v>22</v>
      </c>
      <c r="F3179" t="s">
        <v>23</v>
      </c>
      <c r="G3179">
        <v>15</v>
      </c>
      <c r="H3179">
        <v>274</v>
      </c>
      <c r="I3179">
        <v>83</v>
      </c>
      <c r="J3179">
        <v>46.58</v>
      </c>
      <c r="K3179">
        <v>192.2</v>
      </c>
      <c r="L3179">
        <v>97</v>
      </c>
      <c r="M3179">
        <v>16.34</v>
      </c>
      <c r="N3179">
        <v>125.9</v>
      </c>
      <c r="O3179">
        <v>141</v>
      </c>
      <c r="P3179">
        <v>5.67</v>
      </c>
      <c r="Q3179">
        <v>11.9</v>
      </c>
      <c r="R3179">
        <v>2</v>
      </c>
      <c r="S3179">
        <v>3.21</v>
      </c>
      <c r="T3179">
        <v>0</v>
      </c>
      <c r="U3179" t="s">
        <v>22</v>
      </c>
      <c r="V3179" t="e">
        <f>IF(#REF! = "yes", 1, 0)</f>
        <v>#REF!</v>
      </c>
      <c r="W3179" t="e">
        <f>IF(#REF! &lt;= 1, "0-1 Calls", IF(#REF! &lt;= 3, "2-3 Calls", IF(#REF! &lt;=5, "4-5 Calls", "6+ Calls")))</f>
        <v>#REF!</v>
      </c>
      <c r="X3179" t="e">
        <f>IF(#REF! &lt;= 50, "0-50", IF(#REF! &lt;=100, "51-100", IF(#REF! &lt;= 150, "101-150", "151+")))</f>
        <v>#REF!</v>
      </c>
      <c r="Y3179" t="e">
        <f>IF(#REF! &lt;= 3, "Low Charges", "High Charges")</f>
        <v>#REF!</v>
      </c>
      <c r="Z3179" t="e">
        <f>IF(#REF!&lt;=80,"Low Calls",
IF(#REF!&lt;=120,"Medium Calls","High Calls"))</f>
        <v>#REF!</v>
      </c>
      <c r="AA3179" t="e">
        <f>IF(#REF!&lt;=15,"Low Charges",
IF(#REF!&lt;=20,"Medium Charges","High Charges"))</f>
        <v>#REF!</v>
      </c>
      <c r="AB3179" t="e">
        <f>IF(AND(#REF!&gt;180, #REF!&gt;200), "Heavy Doemstic User", IF(#REF!&gt;10, "Interntional User", IF(AND(#REF!&lt;180, #REF!&lt;200,#REF!&lt;200), "Light User", "Balanced User")))</f>
        <v>#REF!</v>
      </c>
      <c r="AC3179" t="e">
        <f>IF(#REF! = 0, "No Usage", IF(#REF! &lt;= 20, "Low Usage", IF(#REF! &lt;= 40, "Medium Usgae", "High Usage")))</f>
        <v>#REF!</v>
      </c>
      <c r="AD3179" t="e">
        <f>IF(#REF!&lt;=150,"Low Usage", IF(#REF!&lt;=200,"Medium Usage", IF(#REF!&lt;=250,"High Usage","Very High Usage")))</f>
        <v>#REF!</v>
      </c>
      <c r="AE3179" t="e">
        <f>IF(#REF!&lt;=5,"Low Calls", IF(#REF!&lt;=10, "Medium Calls", "High Calls"))</f>
        <v>#REF!</v>
      </c>
      <c r="AF3179" t="e">
        <f xml:space="preserve">
IF(#REF!&gt;=4,4,0)+
IF(#REF!="yes",3,0)+
IF(#REF!="High Charges",3,0)+
IF(#REF!&gt;250,4,0)+
IF(#REF!="no",1,0)+
IF(#REF!="Heavy Domestic User",2,0)</f>
        <v>#REF!</v>
      </c>
      <c r="AG3179" t="e">
        <f>IF(#REF!&gt;=10,"High Risk", IF(#REF!&gt;=5,"Medium Risk","Low Risk"))</f>
        <v>#REF!</v>
      </c>
      <c r="AH3179" t="e">
        <f>#REF! + #REF! + #REF! + #REF!</f>
        <v>#REF!</v>
      </c>
    </row>
    <row r="3180" spans="1:34" x14ac:dyDescent="0.35">
      <c r="A3180">
        <v>3179</v>
      </c>
      <c r="B3180" t="s">
        <v>30</v>
      </c>
      <c r="C3180">
        <v>143</v>
      </c>
      <c r="D3180" t="s">
        <v>21</v>
      </c>
      <c r="E3180" t="s">
        <v>22</v>
      </c>
      <c r="F3180" t="s">
        <v>22</v>
      </c>
      <c r="G3180">
        <v>0</v>
      </c>
      <c r="H3180">
        <v>178.2</v>
      </c>
      <c r="I3180">
        <v>109</v>
      </c>
      <c r="J3180">
        <v>30.29</v>
      </c>
      <c r="K3180">
        <v>254.6</v>
      </c>
      <c r="L3180">
        <v>93</v>
      </c>
      <c r="M3180">
        <v>21.64</v>
      </c>
      <c r="N3180">
        <v>241.3</v>
      </c>
      <c r="O3180">
        <v>139</v>
      </c>
      <c r="P3180">
        <v>10.86</v>
      </c>
      <c r="Q3180">
        <v>8.5</v>
      </c>
      <c r="R3180">
        <v>7</v>
      </c>
      <c r="S3180">
        <v>2.2999999999999998</v>
      </c>
      <c r="T3180">
        <v>0</v>
      </c>
      <c r="U3180" t="s">
        <v>22</v>
      </c>
      <c r="V3180" t="e">
        <f>IF(#REF! = "yes", 1, 0)</f>
        <v>#REF!</v>
      </c>
      <c r="W3180" t="e">
        <f>IF(#REF! &lt;= 1, "0-1 Calls", IF(#REF! &lt;= 3, "2-3 Calls", IF(#REF! &lt;=5, "4-5 Calls", "6+ Calls")))</f>
        <v>#REF!</v>
      </c>
      <c r="X3180" t="e">
        <f>IF(#REF! &lt;= 50, "0-50", IF(#REF! &lt;=100, "51-100", IF(#REF! &lt;= 150, "101-150", "151+")))</f>
        <v>#REF!</v>
      </c>
      <c r="Y3180" t="e">
        <f>IF(#REF! &lt;= 3, "Low Charges", "High Charges")</f>
        <v>#REF!</v>
      </c>
      <c r="Z3180" t="e">
        <f>IF(#REF!&lt;=80,"Low Calls",
IF(#REF!&lt;=120,"Medium Calls","High Calls"))</f>
        <v>#REF!</v>
      </c>
      <c r="AA3180" t="e">
        <f>IF(#REF!&lt;=15,"Low Charges",
IF(#REF!&lt;=20,"Medium Charges","High Charges"))</f>
        <v>#REF!</v>
      </c>
      <c r="AB3180" t="e">
        <f>IF(AND(#REF!&gt;180, #REF!&gt;200), "Heavy Doemstic User", IF(#REF!&gt;10, "Interntional User", IF(AND(#REF!&lt;180, #REF!&lt;200,#REF!&lt;200), "Light User", "Balanced User")))</f>
        <v>#REF!</v>
      </c>
      <c r="AC3180" t="e">
        <f>IF(#REF! = 0, "No Usage", IF(#REF! &lt;= 20, "Low Usage", IF(#REF! &lt;= 40, "Medium Usgae", "High Usage")))</f>
        <v>#REF!</v>
      </c>
      <c r="AD3180" t="e">
        <f>IF(#REF!&lt;=150,"Low Usage", IF(#REF!&lt;=200,"Medium Usage", IF(#REF!&lt;=250,"High Usage","Very High Usage")))</f>
        <v>#REF!</v>
      </c>
      <c r="AE3180" t="e">
        <f>IF(#REF!&lt;=5,"Low Calls", IF(#REF!&lt;=10, "Medium Calls", "High Calls"))</f>
        <v>#REF!</v>
      </c>
      <c r="AF3180" t="e">
        <f xml:space="preserve">
IF(#REF!&gt;=4,4,0)+
IF(#REF!="yes",3,0)+
IF(#REF!="High Charges",3,0)+
IF(#REF!&gt;250,4,0)+
IF(#REF!="no",1,0)+
IF(#REF!="Heavy Domestic User",2,0)</f>
        <v>#REF!</v>
      </c>
      <c r="AG3180" t="e">
        <f>IF(#REF!&gt;=10,"High Risk", IF(#REF!&gt;=5,"Medium Risk","Low Risk"))</f>
        <v>#REF!</v>
      </c>
      <c r="AH3180" t="e">
        <f>#REF! + #REF! + #REF! + #REF!</f>
        <v>#REF!</v>
      </c>
    </row>
    <row r="3181" spans="1:34" x14ac:dyDescent="0.35">
      <c r="A3181">
        <v>3180</v>
      </c>
      <c r="B3181" t="s">
        <v>38</v>
      </c>
      <c r="C3181">
        <v>78</v>
      </c>
      <c r="D3181" t="s">
        <v>21</v>
      </c>
      <c r="E3181" t="s">
        <v>23</v>
      </c>
      <c r="F3181" t="s">
        <v>23</v>
      </c>
      <c r="G3181">
        <v>20</v>
      </c>
      <c r="H3181">
        <v>252.8</v>
      </c>
      <c r="I3181">
        <v>102</v>
      </c>
      <c r="J3181">
        <v>42.98</v>
      </c>
      <c r="K3181">
        <v>217.6</v>
      </c>
      <c r="L3181">
        <v>105</v>
      </c>
      <c r="M3181">
        <v>18.5</v>
      </c>
      <c r="N3181">
        <v>107.3</v>
      </c>
      <c r="O3181">
        <v>93</v>
      </c>
      <c r="P3181">
        <v>4.83</v>
      </c>
      <c r="Q3181">
        <v>11.2</v>
      </c>
      <c r="R3181">
        <v>3</v>
      </c>
      <c r="S3181">
        <v>3.02</v>
      </c>
      <c r="T3181">
        <v>0</v>
      </c>
      <c r="U3181" t="s">
        <v>22</v>
      </c>
      <c r="V3181" t="e">
        <f>IF(#REF! = "yes", 1, 0)</f>
        <v>#REF!</v>
      </c>
      <c r="W3181" t="e">
        <f>IF(#REF! &lt;= 1, "0-1 Calls", IF(#REF! &lt;= 3, "2-3 Calls", IF(#REF! &lt;=5, "4-5 Calls", "6+ Calls")))</f>
        <v>#REF!</v>
      </c>
      <c r="X3181" t="e">
        <f>IF(#REF! &lt;= 50, "0-50", IF(#REF! &lt;=100, "51-100", IF(#REF! &lt;= 150, "101-150", "151+")))</f>
        <v>#REF!</v>
      </c>
      <c r="Y3181" t="e">
        <f>IF(#REF! &lt;= 3, "Low Charges", "High Charges")</f>
        <v>#REF!</v>
      </c>
      <c r="Z3181" t="e">
        <f>IF(#REF!&lt;=80,"Low Calls",
IF(#REF!&lt;=120,"Medium Calls","High Calls"))</f>
        <v>#REF!</v>
      </c>
      <c r="AA3181" t="e">
        <f>IF(#REF!&lt;=15,"Low Charges",
IF(#REF!&lt;=20,"Medium Charges","High Charges"))</f>
        <v>#REF!</v>
      </c>
      <c r="AB3181" t="e">
        <f>IF(AND(#REF!&gt;180, #REF!&gt;200), "Heavy Doemstic User", IF(#REF!&gt;10, "Interntional User", IF(AND(#REF!&lt;180, #REF!&lt;200,#REF!&lt;200), "Light User", "Balanced User")))</f>
        <v>#REF!</v>
      </c>
      <c r="AC3181" t="e">
        <f>IF(#REF! = 0, "No Usage", IF(#REF! &lt;= 20, "Low Usage", IF(#REF! &lt;= 40, "Medium Usgae", "High Usage")))</f>
        <v>#REF!</v>
      </c>
      <c r="AD3181" t="e">
        <f>IF(#REF!&lt;=150,"Low Usage", IF(#REF!&lt;=200,"Medium Usage", IF(#REF!&lt;=250,"High Usage","Very High Usage")))</f>
        <v>#REF!</v>
      </c>
      <c r="AE3181" t="e">
        <f>IF(#REF!&lt;=5,"Low Calls", IF(#REF!&lt;=10, "Medium Calls", "High Calls"))</f>
        <v>#REF!</v>
      </c>
      <c r="AF3181" t="e">
        <f xml:space="preserve">
IF(#REF!&gt;=4,4,0)+
IF(#REF!="yes",3,0)+
IF(#REF!="High Charges",3,0)+
IF(#REF!&gt;250,4,0)+
IF(#REF!="no",1,0)+
IF(#REF!="Heavy Domestic User",2,0)</f>
        <v>#REF!</v>
      </c>
      <c r="AG3181" t="e">
        <f>IF(#REF!&gt;=10,"High Risk", IF(#REF!&gt;=5,"Medium Risk","Low Risk"))</f>
        <v>#REF!</v>
      </c>
      <c r="AH3181" t="e">
        <f>#REF! + #REF! + #REF! + #REF!</f>
        <v>#REF!</v>
      </c>
    </row>
    <row r="3182" spans="1:34" x14ac:dyDescent="0.35">
      <c r="A3182">
        <v>3181</v>
      </c>
      <c r="B3182" t="s">
        <v>37</v>
      </c>
      <c r="C3182">
        <v>93</v>
      </c>
      <c r="D3182" t="s">
        <v>21</v>
      </c>
      <c r="E3182" t="s">
        <v>22</v>
      </c>
      <c r="F3182" t="s">
        <v>22</v>
      </c>
      <c r="G3182">
        <v>0</v>
      </c>
      <c r="H3182">
        <v>216.2</v>
      </c>
      <c r="I3182">
        <v>100</v>
      </c>
      <c r="J3182">
        <v>36.75</v>
      </c>
      <c r="K3182">
        <v>182.8</v>
      </c>
      <c r="L3182">
        <v>136</v>
      </c>
      <c r="M3182">
        <v>15.54</v>
      </c>
      <c r="N3182">
        <v>237.9</v>
      </c>
      <c r="O3182">
        <v>66</v>
      </c>
      <c r="P3182">
        <v>10.71</v>
      </c>
      <c r="Q3182">
        <v>7.8</v>
      </c>
      <c r="R3182">
        <v>3</v>
      </c>
      <c r="S3182">
        <v>2.11</v>
      </c>
      <c r="T3182">
        <v>2</v>
      </c>
      <c r="U3182" t="s">
        <v>22</v>
      </c>
      <c r="V3182" t="e">
        <f>IF(#REF! = "yes", 1, 0)</f>
        <v>#REF!</v>
      </c>
      <c r="W3182" t="e">
        <f>IF(#REF! &lt;= 1, "0-1 Calls", IF(#REF! &lt;= 3, "2-3 Calls", IF(#REF! &lt;=5, "4-5 Calls", "6+ Calls")))</f>
        <v>#REF!</v>
      </c>
      <c r="X3182" t="e">
        <f>IF(#REF! &lt;= 50, "0-50", IF(#REF! &lt;=100, "51-100", IF(#REF! &lt;= 150, "101-150", "151+")))</f>
        <v>#REF!</v>
      </c>
      <c r="Y3182" t="e">
        <f>IF(#REF! &lt;= 3, "Low Charges", "High Charges")</f>
        <v>#REF!</v>
      </c>
      <c r="Z3182" t="e">
        <f>IF(#REF!&lt;=80,"Low Calls",
IF(#REF!&lt;=120,"Medium Calls","High Calls"))</f>
        <v>#REF!</v>
      </c>
      <c r="AA3182" t="e">
        <f>IF(#REF!&lt;=15,"Low Charges",
IF(#REF!&lt;=20,"Medium Charges","High Charges"))</f>
        <v>#REF!</v>
      </c>
      <c r="AB3182" t="e">
        <f>IF(AND(#REF!&gt;180, #REF!&gt;200), "Heavy Doemstic User", IF(#REF!&gt;10, "Interntional User", IF(AND(#REF!&lt;180, #REF!&lt;200,#REF!&lt;200), "Light User", "Balanced User")))</f>
        <v>#REF!</v>
      </c>
      <c r="AC3182" t="e">
        <f>IF(#REF! = 0, "No Usage", IF(#REF! &lt;= 20, "Low Usage", IF(#REF! &lt;= 40, "Medium Usgae", "High Usage")))</f>
        <v>#REF!</v>
      </c>
      <c r="AD3182" t="e">
        <f>IF(#REF!&lt;=150,"Low Usage", IF(#REF!&lt;=200,"Medium Usage", IF(#REF!&lt;=250,"High Usage","Very High Usage")))</f>
        <v>#REF!</v>
      </c>
      <c r="AE3182" t="e">
        <f>IF(#REF!&lt;=5,"Low Calls", IF(#REF!&lt;=10, "Medium Calls", "High Calls"))</f>
        <v>#REF!</v>
      </c>
      <c r="AF3182" t="e">
        <f xml:space="preserve">
IF(#REF!&gt;=4,4,0)+
IF(#REF!="yes",3,0)+
IF(#REF!="High Charges",3,0)+
IF(#REF!&gt;250,4,0)+
IF(#REF!="no",1,0)+
IF(#REF!="Heavy Domestic User",2,0)</f>
        <v>#REF!</v>
      </c>
      <c r="AG3182" t="e">
        <f>IF(#REF!&gt;=10,"High Risk", IF(#REF!&gt;=5,"Medium Risk","Low Risk"))</f>
        <v>#REF!</v>
      </c>
      <c r="AH3182" t="e">
        <f>#REF! + #REF! + #REF! + #REF!</f>
        <v>#REF!</v>
      </c>
    </row>
    <row r="3183" spans="1:34" x14ac:dyDescent="0.35">
      <c r="A3183">
        <v>3182</v>
      </c>
      <c r="B3183" t="s">
        <v>38</v>
      </c>
      <c r="C3183">
        <v>106</v>
      </c>
      <c r="D3183" t="s">
        <v>25</v>
      </c>
      <c r="E3183" t="s">
        <v>22</v>
      </c>
      <c r="F3183" t="s">
        <v>22</v>
      </c>
      <c r="G3183">
        <v>0</v>
      </c>
      <c r="H3183">
        <v>165.1</v>
      </c>
      <c r="I3183">
        <v>120</v>
      </c>
      <c r="J3183">
        <v>28.07</v>
      </c>
      <c r="K3183">
        <v>290.2</v>
      </c>
      <c r="L3183">
        <v>79</v>
      </c>
      <c r="M3183">
        <v>24.67</v>
      </c>
      <c r="N3183">
        <v>250.3</v>
      </c>
      <c r="O3183">
        <v>140</v>
      </c>
      <c r="P3183">
        <v>11.26</v>
      </c>
      <c r="Q3183">
        <v>8.1</v>
      </c>
      <c r="R3183">
        <v>2</v>
      </c>
      <c r="S3183">
        <v>2.19</v>
      </c>
      <c r="T3183">
        <v>0</v>
      </c>
      <c r="U3183" t="s">
        <v>22</v>
      </c>
      <c r="V3183" t="e">
        <f>IF(#REF! = "yes", 1, 0)</f>
        <v>#REF!</v>
      </c>
      <c r="W3183" t="e">
        <f>IF(#REF! &lt;= 1, "0-1 Calls", IF(#REF! &lt;= 3, "2-3 Calls", IF(#REF! &lt;=5, "4-5 Calls", "6+ Calls")))</f>
        <v>#REF!</v>
      </c>
      <c r="X3183" t="e">
        <f>IF(#REF! &lt;= 50, "0-50", IF(#REF! &lt;=100, "51-100", IF(#REF! &lt;= 150, "101-150", "151+")))</f>
        <v>#REF!</v>
      </c>
      <c r="Y3183" t="e">
        <f>IF(#REF! &lt;= 3, "Low Charges", "High Charges")</f>
        <v>#REF!</v>
      </c>
      <c r="Z3183" t="e">
        <f>IF(#REF!&lt;=80,"Low Calls",
IF(#REF!&lt;=120,"Medium Calls","High Calls"))</f>
        <v>#REF!</v>
      </c>
      <c r="AA3183" t="e">
        <f>IF(#REF!&lt;=15,"Low Charges",
IF(#REF!&lt;=20,"Medium Charges","High Charges"))</f>
        <v>#REF!</v>
      </c>
      <c r="AB3183" t="e">
        <f>IF(AND(#REF!&gt;180, #REF!&gt;200), "Heavy Doemstic User", IF(#REF!&gt;10, "Interntional User", IF(AND(#REF!&lt;180, #REF!&lt;200,#REF!&lt;200), "Light User", "Balanced User")))</f>
        <v>#REF!</v>
      </c>
      <c r="AC3183" t="e">
        <f>IF(#REF! = 0, "No Usage", IF(#REF! &lt;= 20, "Low Usage", IF(#REF! &lt;= 40, "Medium Usgae", "High Usage")))</f>
        <v>#REF!</v>
      </c>
      <c r="AD3183" t="e">
        <f>IF(#REF!&lt;=150,"Low Usage", IF(#REF!&lt;=200,"Medium Usage", IF(#REF!&lt;=250,"High Usage","Very High Usage")))</f>
        <v>#REF!</v>
      </c>
      <c r="AE3183" t="e">
        <f>IF(#REF!&lt;=5,"Low Calls", IF(#REF!&lt;=10, "Medium Calls", "High Calls"))</f>
        <v>#REF!</v>
      </c>
      <c r="AF3183" t="e">
        <f xml:space="preserve">
IF(#REF!&gt;=4,4,0)+
IF(#REF!="yes",3,0)+
IF(#REF!="High Charges",3,0)+
IF(#REF!&gt;250,4,0)+
IF(#REF!="no",1,0)+
IF(#REF!="Heavy Domestic User",2,0)</f>
        <v>#REF!</v>
      </c>
      <c r="AG3183" t="e">
        <f>IF(#REF!&gt;=10,"High Risk", IF(#REF!&gt;=5,"Medium Risk","Low Risk"))</f>
        <v>#REF!</v>
      </c>
      <c r="AH3183" t="e">
        <f>#REF! + #REF! + #REF! + #REF!</f>
        <v>#REF!</v>
      </c>
    </row>
    <row r="3184" spans="1:34" x14ac:dyDescent="0.35">
      <c r="A3184">
        <v>3183</v>
      </c>
      <c r="B3184" t="s">
        <v>68</v>
      </c>
      <c r="C3184">
        <v>116</v>
      </c>
      <c r="D3184" t="s">
        <v>25</v>
      </c>
      <c r="E3184" t="s">
        <v>22</v>
      </c>
      <c r="F3184" t="s">
        <v>22</v>
      </c>
      <c r="G3184">
        <v>0</v>
      </c>
      <c r="H3184">
        <v>133.80000000000001</v>
      </c>
      <c r="I3184">
        <v>88</v>
      </c>
      <c r="J3184">
        <v>22.75</v>
      </c>
      <c r="K3184">
        <v>177.1</v>
      </c>
      <c r="L3184">
        <v>103</v>
      </c>
      <c r="M3184">
        <v>15.05</v>
      </c>
      <c r="N3184">
        <v>185.2</v>
      </c>
      <c r="O3184">
        <v>106</v>
      </c>
      <c r="P3184">
        <v>8.33</v>
      </c>
      <c r="Q3184">
        <v>12.4</v>
      </c>
      <c r="R3184">
        <v>4</v>
      </c>
      <c r="S3184">
        <v>3.35</v>
      </c>
      <c r="T3184">
        <v>2</v>
      </c>
      <c r="U3184" t="s">
        <v>22</v>
      </c>
      <c r="V3184" t="e">
        <f>IF(#REF! = "yes", 1, 0)</f>
        <v>#REF!</v>
      </c>
      <c r="W3184" t="e">
        <f>IF(#REF! &lt;= 1, "0-1 Calls", IF(#REF! &lt;= 3, "2-3 Calls", IF(#REF! &lt;=5, "4-5 Calls", "6+ Calls")))</f>
        <v>#REF!</v>
      </c>
      <c r="X3184" t="e">
        <f>IF(#REF! &lt;= 50, "0-50", IF(#REF! &lt;=100, "51-100", IF(#REF! &lt;= 150, "101-150", "151+")))</f>
        <v>#REF!</v>
      </c>
      <c r="Y3184" t="e">
        <f>IF(#REF! &lt;= 3, "Low Charges", "High Charges")</f>
        <v>#REF!</v>
      </c>
      <c r="Z3184" t="e">
        <f>IF(#REF!&lt;=80,"Low Calls",
IF(#REF!&lt;=120,"Medium Calls","High Calls"))</f>
        <v>#REF!</v>
      </c>
      <c r="AA3184" t="e">
        <f>IF(#REF!&lt;=15,"Low Charges",
IF(#REF!&lt;=20,"Medium Charges","High Charges"))</f>
        <v>#REF!</v>
      </c>
      <c r="AB3184" t="e">
        <f>IF(AND(#REF!&gt;180, #REF!&gt;200), "Heavy Doemstic User", IF(#REF!&gt;10, "Interntional User", IF(AND(#REF!&lt;180, #REF!&lt;200,#REF!&lt;200), "Light User", "Balanced User")))</f>
        <v>#REF!</v>
      </c>
      <c r="AC3184" t="e">
        <f>IF(#REF! = 0, "No Usage", IF(#REF! &lt;= 20, "Low Usage", IF(#REF! &lt;= 40, "Medium Usgae", "High Usage")))</f>
        <v>#REF!</v>
      </c>
      <c r="AD3184" t="e">
        <f>IF(#REF!&lt;=150,"Low Usage", IF(#REF!&lt;=200,"Medium Usage", IF(#REF!&lt;=250,"High Usage","Very High Usage")))</f>
        <v>#REF!</v>
      </c>
      <c r="AE3184" t="e">
        <f>IF(#REF!&lt;=5,"Low Calls", IF(#REF!&lt;=10, "Medium Calls", "High Calls"))</f>
        <v>#REF!</v>
      </c>
      <c r="AF3184" t="e">
        <f xml:space="preserve">
IF(#REF!&gt;=4,4,0)+
IF(#REF!="yes",3,0)+
IF(#REF!="High Charges",3,0)+
IF(#REF!&gt;250,4,0)+
IF(#REF!="no",1,0)+
IF(#REF!="Heavy Domestic User",2,0)</f>
        <v>#REF!</v>
      </c>
      <c r="AG3184" t="e">
        <f>IF(#REF!&gt;=10,"High Risk", IF(#REF!&gt;=5,"Medium Risk","Low Risk"))</f>
        <v>#REF!</v>
      </c>
      <c r="AH3184" t="e">
        <f>#REF! + #REF! + #REF! + #REF!</f>
        <v>#REF!</v>
      </c>
    </row>
    <row r="3185" spans="1:34" x14ac:dyDescent="0.35">
      <c r="A3185">
        <v>3184</v>
      </c>
      <c r="B3185" t="s">
        <v>64</v>
      </c>
      <c r="C3185">
        <v>42</v>
      </c>
      <c r="D3185" t="s">
        <v>21</v>
      </c>
      <c r="E3185" t="s">
        <v>22</v>
      </c>
      <c r="F3185" t="s">
        <v>22</v>
      </c>
      <c r="G3185">
        <v>0</v>
      </c>
      <c r="H3185">
        <v>217.2</v>
      </c>
      <c r="I3185">
        <v>122</v>
      </c>
      <c r="J3185">
        <v>36.92</v>
      </c>
      <c r="K3185">
        <v>303.2</v>
      </c>
      <c r="L3185">
        <v>58</v>
      </c>
      <c r="M3185">
        <v>25.77</v>
      </c>
      <c r="N3185">
        <v>147.30000000000001</v>
      </c>
      <c r="O3185">
        <v>114</v>
      </c>
      <c r="P3185">
        <v>6.63</v>
      </c>
      <c r="Q3185">
        <v>14</v>
      </c>
      <c r="R3185">
        <v>4</v>
      </c>
      <c r="S3185">
        <v>3.78</v>
      </c>
      <c r="T3185">
        <v>2</v>
      </c>
      <c r="U3185" t="s">
        <v>22</v>
      </c>
      <c r="V3185" t="e">
        <f>IF(#REF! = "yes", 1, 0)</f>
        <v>#REF!</v>
      </c>
      <c r="W3185" t="e">
        <f>IF(#REF! &lt;= 1, "0-1 Calls", IF(#REF! &lt;= 3, "2-3 Calls", IF(#REF! &lt;=5, "4-5 Calls", "6+ Calls")))</f>
        <v>#REF!</v>
      </c>
      <c r="X3185" t="e">
        <f>IF(#REF! &lt;= 50, "0-50", IF(#REF! &lt;=100, "51-100", IF(#REF! &lt;= 150, "101-150", "151+")))</f>
        <v>#REF!</v>
      </c>
      <c r="Y3185" t="e">
        <f>IF(#REF! &lt;= 3, "Low Charges", "High Charges")</f>
        <v>#REF!</v>
      </c>
      <c r="Z3185" t="e">
        <f>IF(#REF!&lt;=80,"Low Calls",
IF(#REF!&lt;=120,"Medium Calls","High Calls"))</f>
        <v>#REF!</v>
      </c>
      <c r="AA3185" t="e">
        <f>IF(#REF!&lt;=15,"Low Charges",
IF(#REF!&lt;=20,"Medium Charges","High Charges"))</f>
        <v>#REF!</v>
      </c>
      <c r="AB3185" t="e">
        <f>IF(AND(#REF!&gt;180, #REF!&gt;200), "Heavy Doemstic User", IF(#REF!&gt;10, "Interntional User", IF(AND(#REF!&lt;180, #REF!&lt;200,#REF!&lt;200), "Light User", "Balanced User")))</f>
        <v>#REF!</v>
      </c>
      <c r="AC3185" t="e">
        <f>IF(#REF! = 0, "No Usage", IF(#REF! &lt;= 20, "Low Usage", IF(#REF! &lt;= 40, "Medium Usgae", "High Usage")))</f>
        <v>#REF!</v>
      </c>
      <c r="AD3185" t="e">
        <f>IF(#REF!&lt;=150,"Low Usage", IF(#REF!&lt;=200,"Medium Usage", IF(#REF!&lt;=250,"High Usage","Very High Usage")))</f>
        <v>#REF!</v>
      </c>
      <c r="AE3185" t="e">
        <f>IF(#REF!&lt;=5,"Low Calls", IF(#REF!&lt;=10, "Medium Calls", "High Calls"))</f>
        <v>#REF!</v>
      </c>
      <c r="AF3185" t="e">
        <f xml:space="preserve">
IF(#REF!&gt;=4,4,0)+
IF(#REF!="yes",3,0)+
IF(#REF!="High Charges",3,0)+
IF(#REF!&gt;250,4,0)+
IF(#REF!="no",1,0)+
IF(#REF!="Heavy Domestic User",2,0)</f>
        <v>#REF!</v>
      </c>
      <c r="AG3185" t="e">
        <f>IF(#REF!&gt;=10,"High Risk", IF(#REF!&gt;=5,"Medium Risk","Low Risk"))</f>
        <v>#REF!</v>
      </c>
      <c r="AH3185" t="e">
        <f>#REF! + #REF! + #REF! + #REF!</f>
        <v>#REF!</v>
      </c>
    </row>
    <row r="3186" spans="1:34" x14ac:dyDescent="0.35">
      <c r="A3186">
        <v>3185</v>
      </c>
      <c r="B3186" t="s">
        <v>67</v>
      </c>
      <c r="C3186">
        <v>173</v>
      </c>
      <c r="D3186" t="s">
        <v>21</v>
      </c>
      <c r="E3186" t="s">
        <v>22</v>
      </c>
      <c r="F3186" t="s">
        <v>22</v>
      </c>
      <c r="G3186">
        <v>0</v>
      </c>
      <c r="H3186">
        <v>82.1</v>
      </c>
      <c r="I3186">
        <v>75</v>
      </c>
      <c r="J3186">
        <v>13.96</v>
      </c>
      <c r="K3186">
        <v>201.2</v>
      </c>
      <c r="L3186">
        <v>95</v>
      </c>
      <c r="M3186">
        <v>17.100000000000001</v>
      </c>
      <c r="N3186">
        <v>206.7</v>
      </c>
      <c r="O3186">
        <v>146</v>
      </c>
      <c r="P3186">
        <v>9.3000000000000007</v>
      </c>
      <c r="Q3186">
        <v>9.6</v>
      </c>
      <c r="R3186">
        <v>2</v>
      </c>
      <c r="S3186">
        <v>2.59</v>
      </c>
      <c r="T3186">
        <v>1</v>
      </c>
      <c r="U3186" t="s">
        <v>22</v>
      </c>
      <c r="V3186" t="e">
        <f>IF(#REF! = "yes", 1, 0)</f>
        <v>#REF!</v>
      </c>
      <c r="W3186" t="e">
        <f>IF(#REF! &lt;= 1, "0-1 Calls", IF(#REF! &lt;= 3, "2-3 Calls", IF(#REF! &lt;=5, "4-5 Calls", "6+ Calls")))</f>
        <v>#REF!</v>
      </c>
      <c r="X3186" t="e">
        <f>IF(#REF! &lt;= 50, "0-50", IF(#REF! &lt;=100, "51-100", IF(#REF! &lt;= 150, "101-150", "151+")))</f>
        <v>#REF!</v>
      </c>
      <c r="Y3186" t="e">
        <f>IF(#REF! &lt;= 3, "Low Charges", "High Charges")</f>
        <v>#REF!</v>
      </c>
      <c r="Z3186" t="e">
        <f>IF(#REF!&lt;=80,"Low Calls",
IF(#REF!&lt;=120,"Medium Calls","High Calls"))</f>
        <v>#REF!</v>
      </c>
      <c r="AA3186" t="e">
        <f>IF(#REF!&lt;=15,"Low Charges",
IF(#REF!&lt;=20,"Medium Charges","High Charges"))</f>
        <v>#REF!</v>
      </c>
      <c r="AB3186" t="e">
        <f>IF(AND(#REF!&gt;180, #REF!&gt;200), "Heavy Doemstic User", IF(#REF!&gt;10, "Interntional User", IF(AND(#REF!&lt;180, #REF!&lt;200,#REF!&lt;200), "Light User", "Balanced User")))</f>
        <v>#REF!</v>
      </c>
      <c r="AC3186" t="e">
        <f>IF(#REF! = 0, "No Usage", IF(#REF! &lt;= 20, "Low Usage", IF(#REF! &lt;= 40, "Medium Usgae", "High Usage")))</f>
        <v>#REF!</v>
      </c>
      <c r="AD3186" t="e">
        <f>IF(#REF!&lt;=150,"Low Usage", IF(#REF!&lt;=200,"Medium Usage", IF(#REF!&lt;=250,"High Usage","Very High Usage")))</f>
        <v>#REF!</v>
      </c>
      <c r="AE3186" t="e">
        <f>IF(#REF!&lt;=5,"Low Calls", IF(#REF!&lt;=10, "Medium Calls", "High Calls"))</f>
        <v>#REF!</v>
      </c>
      <c r="AF3186" t="e">
        <f xml:space="preserve">
IF(#REF!&gt;=4,4,0)+
IF(#REF!="yes",3,0)+
IF(#REF!="High Charges",3,0)+
IF(#REF!&gt;250,4,0)+
IF(#REF!="no",1,0)+
IF(#REF!="Heavy Domestic User",2,0)</f>
        <v>#REF!</v>
      </c>
      <c r="AG3186" t="e">
        <f>IF(#REF!&gt;=10,"High Risk", IF(#REF!&gt;=5,"Medium Risk","Low Risk"))</f>
        <v>#REF!</v>
      </c>
      <c r="AH3186" t="e">
        <f>#REF! + #REF! + #REF! + #REF!</f>
        <v>#REF!</v>
      </c>
    </row>
    <row r="3187" spans="1:34" x14ac:dyDescent="0.35">
      <c r="A3187">
        <v>3186</v>
      </c>
      <c r="B3187" t="s">
        <v>45</v>
      </c>
      <c r="C3187">
        <v>80</v>
      </c>
      <c r="D3187" t="s">
        <v>28</v>
      </c>
      <c r="E3187" t="s">
        <v>22</v>
      </c>
      <c r="F3187" t="s">
        <v>22</v>
      </c>
      <c r="G3187">
        <v>0</v>
      </c>
      <c r="H3187">
        <v>157.1</v>
      </c>
      <c r="I3187">
        <v>77</v>
      </c>
      <c r="J3187">
        <v>26.71</v>
      </c>
      <c r="K3187">
        <v>302</v>
      </c>
      <c r="L3187">
        <v>69</v>
      </c>
      <c r="M3187">
        <v>25.67</v>
      </c>
      <c r="N3187">
        <v>317.89999999999998</v>
      </c>
      <c r="O3187">
        <v>159</v>
      </c>
      <c r="P3187">
        <v>14.31</v>
      </c>
      <c r="Q3187">
        <v>15.6</v>
      </c>
      <c r="R3187">
        <v>4</v>
      </c>
      <c r="S3187">
        <v>4.21</v>
      </c>
      <c r="T3187">
        <v>0</v>
      </c>
      <c r="U3187" t="s">
        <v>22</v>
      </c>
      <c r="V3187" t="e">
        <f>IF(#REF! = "yes", 1, 0)</f>
        <v>#REF!</v>
      </c>
      <c r="W3187" t="e">
        <f>IF(#REF! &lt;= 1, "0-1 Calls", IF(#REF! &lt;= 3, "2-3 Calls", IF(#REF! &lt;=5, "4-5 Calls", "6+ Calls")))</f>
        <v>#REF!</v>
      </c>
      <c r="X3187" t="e">
        <f>IF(#REF! &lt;= 50, "0-50", IF(#REF! &lt;=100, "51-100", IF(#REF! &lt;= 150, "101-150", "151+")))</f>
        <v>#REF!</v>
      </c>
      <c r="Y3187" t="e">
        <f>IF(#REF! &lt;= 3, "Low Charges", "High Charges")</f>
        <v>#REF!</v>
      </c>
      <c r="Z3187" t="e">
        <f>IF(#REF!&lt;=80,"Low Calls",
IF(#REF!&lt;=120,"Medium Calls","High Calls"))</f>
        <v>#REF!</v>
      </c>
      <c r="AA3187" t="e">
        <f>IF(#REF!&lt;=15,"Low Charges",
IF(#REF!&lt;=20,"Medium Charges","High Charges"))</f>
        <v>#REF!</v>
      </c>
      <c r="AB3187" t="e">
        <f>IF(AND(#REF!&gt;180, #REF!&gt;200), "Heavy Doemstic User", IF(#REF!&gt;10, "Interntional User", IF(AND(#REF!&lt;180, #REF!&lt;200,#REF!&lt;200), "Light User", "Balanced User")))</f>
        <v>#REF!</v>
      </c>
      <c r="AC3187" t="e">
        <f>IF(#REF! = 0, "No Usage", IF(#REF! &lt;= 20, "Low Usage", IF(#REF! &lt;= 40, "Medium Usgae", "High Usage")))</f>
        <v>#REF!</v>
      </c>
      <c r="AD3187" t="e">
        <f>IF(#REF!&lt;=150,"Low Usage", IF(#REF!&lt;=200,"Medium Usage", IF(#REF!&lt;=250,"High Usage","Very High Usage")))</f>
        <v>#REF!</v>
      </c>
      <c r="AE3187" t="e">
        <f>IF(#REF!&lt;=5,"Low Calls", IF(#REF!&lt;=10, "Medium Calls", "High Calls"))</f>
        <v>#REF!</v>
      </c>
      <c r="AF3187" t="e">
        <f xml:space="preserve">
IF(#REF!&gt;=4,4,0)+
IF(#REF!="yes",3,0)+
IF(#REF!="High Charges",3,0)+
IF(#REF!&gt;250,4,0)+
IF(#REF!="no",1,0)+
IF(#REF!="Heavy Domestic User",2,0)</f>
        <v>#REF!</v>
      </c>
      <c r="AG3187" t="e">
        <f>IF(#REF!&gt;=10,"High Risk", IF(#REF!&gt;=5,"Medium Risk","Low Risk"))</f>
        <v>#REF!</v>
      </c>
      <c r="AH3187" t="e">
        <f>#REF! + #REF! + #REF! + #REF!</f>
        <v>#REF!</v>
      </c>
    </row>
    <row r="3188" spans="1:34" x14ac:dyDescent="0.35">
      <c r="A3188">
        <v>3187</v>
      </c>
      <c r="B3188" t="s">
        <v>20</v>
      </c>
      <c r="C3188">
        <v>70</v>
      </c>
      <c r="D3188" t="s">
        <v>28</v>
      </c>
      <c r="E3188" t="s">
        <v>22</v>
      </c>
      <c r="F3188" t="s">
        <v>23</v>
      </c>
      <c r="G3188">
        <v>23</v>
      </c>
      <c r="H3188">
        <v>205.5</v>
      </c>
      <c r="I3188">
        <v>95</v>
      </c>
      <c r="J3188">
        <v>34.94</v>
      </c>
      <c r="K3188">
        <v>224.3</v>
      </c>
      <c r="L3188">
        <v>80</v>
      </c>
      <c r="M3188">
        <v>19.07</v>
      </c>
      <c r="N3188">
        <v>196.1</v>
      </c>
      <c r="O3188">
        <v>76</v>
      </c>
      <c r="P3188">
        <v>8.82</v>
      </c>
      <c r="Q3188">
        <v>9.6999999999999993</v>
      </c>
      <c r="R3188">
        <v>4</v>
      </c>
      <c r="S3188">
        <v>2.62</v>
      </c>
      <c r="T3188">
        <v>1</v>
      </c>
      <c r="U3188" t="s">
        <v>22</v>
      </c>
      <c r="V3188" t="e">
        <f>IF(#REF! = "yes", 1, 0)</f>
        <v>#REF!</v>
      </c>
      <c r="W3188" t="e">
        <f>IF(#REF! &lt;= 1, "0-1 Calls", IF(#REF! &lt;= 3, "2-3 Calls", IF(#REF! &lt;=5, "4-5 Calls", "6+ Calls")))</f>
        <v>#REF!</v>
      </c>
      <c r="X3188" t="e">
        <f>IF(#REF! &lt;= 50, "0-50", IF(#REF! &lt;=100, "51-100", IF(#REF! &lt;= 150, "101-150", "151+")))</f>
        <v>#REF!</v>
      </c>
      <c r="Y3188" t="e">
        <f>IF(#REF! &lt;= 3, "Low Charges", "High Charges")</f>
        <v>#REF!</v>
      </c>
      <c r="Z3188" t="e">
        <f>IF(#REF!&lt;=80,"Low Calls",
IF(#REF!&lt;=120,"Medium Calls","High Calls"))</f>
        <v>#REF!</v>
      </c>
      <c r="AA3188" t="e">
        <f>IF(#REF!&lt;=15,"Low Charges",
IF(#REF!&lt;=20,"Medium Charges","High Charges"))</f>
        <v>#REF!</v>
      </c>
      <c r="AB3188" t="e">
        <f>IF(AND(#REF!&gt;180, #REF!&gt;200), "Heavy Doemstic User", IF(#REF!&gt;10, "Interntional User", IF(AND(#REF!&lt;180, #REF!&lt;200,#REF!&lt;200), "Light User", "Balanced User")))</f>
        <v>#REF!</v>
      </c>
      <c r="AC3188" t="e">
        <f>IF(#REF! = 0, "No Usage", IF(#REF! &lt;= 20, "Low Usage", IF(#REF! &lt;= 40, "Medium Usgae", "High Usage")))</f>
        <v>#REF!</v>
      </c>
      <c r="AD3188" t="e">
        <f>IF(#REF!&lt;=150,"Low Usage", IF(#REF!&lt;=200,"Medium Usage", IF(#REF!&lt;=250,"High Usage","Very High Usage")))</f>
        <v>#REF!</v>
      </c>
      <c r="AE3188" t="e">
        <f>IF(#REF!&lt;=5,"Low Calls", IF(#REF!&lt;=10, "Medium Calls", "High Calls"))</f>
        <v>#REF!</v>
      </c>
      <c r="AF3188" t="e">
        <f xml:space="preserve">
IF(#REF!&gt;=4,4,0)+
IF(#REF!="yes",3,0)+
IF(#REF!="High Charges",3,0)+
IF(#REF!&gt;250,4,0)+
IF(#REF!="no",1,0)+
IF(#REF!="Heavy Domestic User",2,0)</f>
        <v>#REF!</v>
      </c>
      <c r="AG3188" t="e">
        <f>IF(#REF!&gt;=10,"High Risk", IF(#REF!&gt;=5,"Medium Risk","Low Risk"))</f>
        <v>#REF!</v>
      </c>
      <c r="AH3188" t="e">
        <f>#REF! + #REF! + #REF! + #REF!</f>
        <v>#REF!</v>
      </c>
    </row>
    <row r="3189" spans="1:34" x14ac:dyDescent="0.35">
      <c r="A3189">
        <v>3188</v>
      </c>
      <c r="B3189" t="s">
        <v>36</v>
      </c>
      <c r="C3189">
        <v>112</v>
      </c>
      <c r="D3189" t="s">
        <v>28</v>
      </c>
      <c r="E3189" t="s">
        <v>22</v>
      </c>
      <c r="F3189" t="s">
        <v>22</v>
      </c>
      <c r="G3189">
        <v>0</v>
      </c>
      <c r="H3189">
        <v>172.1</v>
      </c>
      <c r="I3189">
        <v>73</v>
      </c>
      <c r="J3189">
        <v>29.26</v>
      </c>
      <c r="K3189">
        <v>228</v>
      </c>
      <c r="L3189">
        <v>136</v>
      </c>
      <c r="M3189">
        <v>19.38</v>
      </c>
      <c r="N3189">
        <v>269.39999999999998</v>
      </c>
      <c r="O3189">
        <v>96</v>
      </c>
      <c r="P3189">
        <v>12.12</v>
      </c>
      <c r="Q3189">
        <v>14.1</v>
      </c>
      <c r="R3189">
        <v>3</v>
      </c>
      <c r="S3189">
        <v>3.81</v>
      </c>
      <c r="T3189">
        <v>2</v>
      </c>
      <c r="U3189" t="s">
        <v>22</v>
      </c>
      <c r="V3189" t="e">
        <f>IF(#REF! = "yes", 1, 0)</f>
        <v>#REF!</v>
      </c>
      <c r="W3189" t="e">
        <f>IF(#REF! &lt;= 1, "0-1 Calls", IF(#REF! &lt;= 3, "2-3 Calls", IF(#REF! &lt;=5, "4-5 Calls", "6+ Calls")))</f>
        <v>#REF!</v>
      </c>
      <c r="X3189" t="e">
        <f>IF(#REF! &lt;= 50, "0-50", IF(#REF! &lt;=100, "51-100", IF(#REF! &lt;= 150, "101-150", "151+")))</f>
        <v>#REF!</v>
      </c>
      <c r="Y3189" t="e">
        <f>IF(#REF! &lt;= 3, "Low Charges", "High Charges")</f>
        <v>#REF!</v>
      </c>
      <c r="Z3189" t="e">
        <f>IF(#REF!&lt;=80,"Low Calls",
IF(#REF!&lt;=120,"Medium Calls","High Calls"))</f>
        <v>#REF!</v>
      </c>
      <c r="AA3189" t="e">
        <f>IF(#REF!&lt;=15,"Low Charges",
IF(#REF!&lt;=20,"Medium Charges","High Charges"))</f>
        <v>#REF!</v>
      </c>
      <c r="AB3189" t="e">
        <f>IF(AND(#REF!&gt;180, #REF!&gt;200), "Heavy Doemstic User", IF(#REF!&gt;10, "Interntional User", IF(AND(#REF!&lt;180, #REF!&lt;200,#REF!&lt;200), "Light User", "Balanced User")))</f>
        <v>#REF!</v>
      </c>
      <c r="AC3189" t="e">
        <f>IF(#REF! = 0, "No Usage", IF(#REF! &lt;= 20, "Low Usage", IF(#REF! &lt;= 40, "Medium Usgae", "High Usage")))</f>
        <v>#REF!</v>
      </c>
      <c r="AD3189" t="e">
        <f>IF(#REF!&lt;=150,"Low Usage", IF(#REF!&lt;=200,"Medium Usage", IF(#REF!&lt;=250,"High Usage","Very High Usage")))</f>
        <v>#REF!</v>
      </c>
      <c r="AE3189" t="e">
        <f>IF(#REF!&lt;=5,"Low Calls", IF(#REF!&lt;=10, "Medium Calls", "High Calls"))</f>
        <v>#REF!</v>
      </c>
      <c r="AF3189" t="e">
        <f xml:space="preserve">
IF(#REF!&gt;=4,4,0)+
IF(#REF!="yes",3,0)+
IF(#REF!="High Charges",3,0)+
IF(#REF!&gt;250,4,0)+
IF(#REF!="no",1,0)+
IF(#REF!="Heavy Domestic User",2,0)</f>
        <v>#REF!</v>
      </c>
      <c r="AG3189" t="e">
        <f>IF(#REF!&gt;=10,"High Risk", IF(#REF!&gt;=5,"Medium Risk","Low Risk"))</f>
        <v>#REF!</v>
      </c>
      <c r="AH3189" t="e">
        <f>#REF! + #REF! + #REF! + #REF!</f>
        <v>#REF!</v>
      </c>
    </row>
    <row r="3190" spans="1:34" x14ac:dyDescent="0.35">
      <c r="A3190">
        <v>3189</v>
      </c>
      <c r="B3190" t="s">
        <v>51</v>
      </c>
      <c r="C3190">
        <v>186</v>
      </c>
      <c r="D3190" t="s">
        <v>25</v>
      </c>
      <c r="E3190" t="s">
        <v>22</v>
      </c>
      <c r="F3190" t="s">
        <v>22</v>
      </c>
      <c r="G3190">
        <v>0</v>
      </c>
      <c r="H3190">
        <v>206.8</v>
      </c>
      <c r="I3190">
        <v>104</v>
      </c>
      <c r="J3190">
        <v>35.159999999999997</v>
      </c>
      <c r="K3190">
        <v>286</v>
      </c>
      <c r="L3190">
        <v>115</v>
      </c>
      <c r="M3190">
        <v>24.31</v>
      </c>
      <c r="N3190">
        <v>153.9</v>
      </c>
      <c r="O3190">
        <v>112</v>
      </c>
      <c r="P3190">
        <v>6.93</v>
      </c>
      <c r="Q3190">
        <v>12.4</v>
      </c>
      <c r="R3190">
        <v>6</v>
      </c>
      <c r="S3190">
        <v>3.35</v>
      </c>
      <c r="T3190">
        <v>0</v>
      </c>
      <c r="U3190" t="s">
        <v>22</v>
      </c>
      <c r="V3190" t="e">
        <f>IF(#REF! = "yes", 1, 0)</f>
        <v>#REF!</v>
      </c>
      <c r="W3190" t="e">
        <f>IF(#REF! &lt;= 1, "0-1 Calls", IF(#REF! &lt;= 3, "2-3 Calls", IF(#REF! &lt;=5, "4-5 Calls", "6+ Calls")))</f>
        <v>#REF!</v>
      </c>
      <c r="X3190" t="e">
        <f>IF(#REF! &lt;= 50, "0-50", IF(#REF! &lt;=100, "51-100", IF(#REF! &lt;= 150, "101-150", "151+")))</f>
        <v>#REF!</v>
      </c>
      <c r="Y3190" t="e">
        <f>IF(#REF! &lt;= 3, "Low Charges", "High Charges")</f>
        <v>#REF!</v>
      </c>
      <c r="Z3190" t="e">
        <f>IF(#REF!&lt;=80,"Low Calls",
IF(#REF!&lt;=120,"Medium Calls","High Calls"))</f>
        <v>#REF!</v>
      </c>
      <c r="AA3190" t="e">
        <f>IF(#REF!&lt;=15,"Low Charges",
IF(#REF!&lt;=20,"Medium Charges","High Charges"))</f>
        <v>#REF!</v>
      </c>
      <c r="AB3190" t="e">
        <f>IF(AND(#REF!&gt;180, #REF!&gt;200), "Heavy Doemstic User", IF(#REF!&gt;10, "Interntional User", IF(AND(#REF!&lt;180, #REF!&lt;200,#REF!&lt;200), "Light User", "Balanced User")))</f>
        <v>#REF!</v>
      </c>
      <c r="AC3190" t="e">
        <f>IF(#REF! = 0, "No Usage", IF(#REF! &lt;= 20, "Low Usage", IF(#REF! &lt;= 40, "Medium Usgae", "High Usage")))</f>
        <v>#REF!</v>
      </c>
      <c r="AD3190" t="e">
        <f>IF(#REF!&lt;=150,"Low Usage", IF(#REF!&lt;=200,"Medium Usage", IF(#REF!&lt;=250,"High Usage","Very High Usage")))</f>
        <v>#REF!</v>
      </c>
      <c r="AE3190" t="e">
        <f>IF(#REF!&lt;=5,"Low Calls", IF(#REF!&lt;=10, "Medium Calls", "High Calls"))</f>
        <v>#REF!</v>
      </c>
      <c r="AF3190" t="e">
        <f xml:space="preserve">
IF(#REF!&gt;=4,4,0)+
IF(#REF!="yes",3,0)+
IF(#REF!="High Charges",3,0)+
IF(#REF!&gt;250,4,0)+
IF(#REF!="no",1,0)+
IF(#REF!="Heavy Domestic User",2,0)</f>
        <v>#REF!</v>
      </c>
      <c r="AG3190" t="e">
        <f>IF(#REF!&gt;=10,"High Risk", IF(#REF!&gt;=5,"Medium Risk","Low Risk"))</f>
        <v>#REF!</v>
      </c>
      <c r="AH3190" t="e">
        <f>#REF! + #REF! + #REF! + #REF!</f>
        <v>#REF!</v>
      </c>
    </row>
    <row r="3191" spans="1:34" x14ac:dyDescent="0.35">
      <c r="A3191">
        <v>3190</v>
      </c>
      <c r="B3191" t="s">
        <v>29</v>
      </c>
      <c r="C3191">
        <v>99</v>
      </c>
      <c r="D3191" t="s">
        <v>25</v>
      </c>
      <c r="E3191" t="s">
        <v>22</v>
      </c>
      <c r="F3191" t="s">
        <v>22</v>
      </c>
      <c r="G3191">
        <v>0</v>
      </c>
      <c r="H3191">
        <v>193.3</v>
      </c>
      <c r="I3191">
        <v>51</v>
      </c>
      <c r="J3191">
        <v>32.86</v>
      </c>
      <c r="K3191">
        <v>240.1</v>
      </c>
      <c r="L3191">
        <v>117</v>
      </c>
      <c r="M3191">
        <v>20.41</v>
      </c>
      <c r="N3191">
        <v>145.69999999999999</v>
      </c>
      <c r="O3191">
        <v>92</v>
      </c>
      <c r="P3191">
        <v>6.56</v>
      </c>
      <c r="Q3191">
        <v>12.2</v>
      </c>
      <c r="R3191">
        <v>4</v>
      </c>
      <c r="S3191">
        <v>3.29</v>
      </c>
      <c r="T3191">
        <v>1</v>
      </c>
      <c r="U3191" t="s">
        <v>22</v>
      </c>
      <c r="V3191" t="e">
        <f>IF(#REF! = "yes", 1, 0)</f>
        <v>#REF!</v>
      </c>
      <c r="W3191" t="e">
        <f>IF(#REF! &lt;= 1, "0-1 Calls", IF(#REF! &lt;= 3, "2-3 Calls", IF(#REF! &lt;=5, "4-5 Calls", "6+ Calls")))</f>
        <v>#REF!</v>
      </c>
      <c r="X3191" t="e">
        <f>IF(#REF! &lt;= 50, "0-50", IF(#REF! &lt;=100, "51-100", IF(#REF! &lt;= 150, "101-150", "151+")))</f>
        <v>#REF!</v>
      </c>
      <c r="Y3191" t="e">
        <f>IF(#REF! &lt;= 3, "Low Charges", "High Charges")</f>
        <v>#REF!</v>
      </c>
      <c r="Z3191" t="e">
        <f>IF(#REF!&lt;=80,"Low Calls",
IF(#REF!&lt;=120,"Medium Calls","High Calls"))</f>
        <v>#REF!</v>
      </c>
      <c r="AA3191" t="e">
        <f>IF(#REF!&lt;=15,"Low Charges",
IF(#REF!&lt;=20,"Medium Charges","High Charges"))</f>
        <v>#REF!</v>
      </c>
      <c r="AB3191" t="e">
        <f>IF(AND(#REF!&gt;180, #REF!&gt;200), "Heavy Doemstic User", IF(#REF!&gt;10, "Interntional User", IF(AND(#REF!&lt;180, #REF!&lt;200,#REF!&lt;200), "Light User", "Balanced User")))</f>
        <v>#REF!</v>
      </c>
      <c r="AC3191" t="e">
        <f>IF(#REF! = 0, "No Usage", IF(#REF! &lt;= 20, "Low Usage", IF(#REF! &lt;= 40, "Medium Usgae", "High Usage")))</f>
        <v>#REF!</v>
      </c>
      <c r="AD3191" t="e">
        <f>IF(#REF!&lt;=150,"Low Usage", IF(#REF!&lt;=200,"Medium Usage", IF(#REF!&lt;=250,"High Usage","Very High Usage")))</f>
        <v>#REF!</v>
      </c>
      <c r="AE3191" t="e">
        <f>IF(#REF!&lt;=5,"Low Calls", IF(#REF!&lt;=10, "Medium Calls", "High Calls"))</f>
        <v>#REF!</v>
      </c>
      <c r="AF3191" t="e">
        <f xml:space="preserve">
IF(#REF!&gt;=4,4,0)+
IF(#REF!="yes",3,0)+
IF(#REF!="High Charges",3,0)+
IF(#REF!&gt;250,4,0)+
IF(#REF!="no",1,0)+
IF(#REF!="Heavy Domestic User",2,0)</f>
        <v>#REF!</v>
      </c>
      <c r="AG3191" t="e">
        <f>IF(#REF!&gt;=10,"High Risk", IF(#REF!&gt;=5,"Medium Risk","Low Risk"))</f>
        <v>#REF!</v>
      </c>
      <c r="AH3191" t="e">
        <f>#REF! + #REF! + #REF! + #REF!</f>
        <v>#REF!</v>
      </c>
    </row>
    <row r="3192" spans="1:34" x14ac:dyDescent="0.35">
      <c r="A3192">
        <v>3191</v>
      </c>
      <c r="B3192" t="s">
        <v>68</v>
      </c>
      <c r="C3192">
        <v>56</v>
      </c>
      <c r="D3192" t="s">
        <v>21</v>
      </c>
      <c r="E3192" t="s">
        <v>22</v>
      </c>
      <c r="F3192" t="s">
        <v>22</v>
      </c>
      <c r="G3192">
        <v>0</v>
      </c>
      <c r="H3192">
        <v>225.9</v>
      </c>
      <c r="I3192">
        <v>52</v>
      </c>
      <c r="J3192">
        <v>38.4</v>
      </c>
      <c r="K3192">
        <v>242</v>
      </c>
      <c r="L3192">
        <v>69</v>
      </c>
      <c r="M3192">
        <v>20.57</v>
      </c>
      <c r="N3192">
        <v>144.5</v>
      </c>
      <c r="O3192">
        <v>68</v>
      </c>
      <c r="P3192">
        <v>6.5</v>
      </c>
      <c r="Q3192">
        <v>11.7</v>
      </c>
      <c r="R3192">
        <v>3</v>
      </c>
      <c r="S3192">
        <v>3.16</v>
      </c>
      <c r="T3192">
        <v>0</v>
      </c>
      <c r="U3192" t="s">
        <v>22</v>
      </c>
      <c r="V3192" t="e">
        <f>IF(#REF! = "yes", 1, 0)</f>
        <v>#REF!</v>
      </c>
      <c r="W3192" t="e">
        <f>IF(#REF! &lt;= 1, "0-1 Calls", IF(#REF! &lt;= 3, "2-3 Calls", IF(#REF! &lt;=5, "4-5 Calls", "6+ Calls")))</f>
        <v>#REF!</v>
      </c>
      <c r="X3192" t="e">
        <f>IF(#REF! &lt;= 50, "0-50", IF(#REF! &lt;=100, "51-100", IF(#REF! &lt;= 150, "101-150", "151+")))</f>
        <v>#REF!</v>
      </c>
      <c r="Y3192" t="e">
        <f>IF(#REF! &lt;= 3, "Low Charges", "High Charges")</f>
        <v>#REF!</v>
      </c>
      <c r="Z3192" t="e">
        <f>IF(#REF!&lt;=80,"Low Calls",
IF(#REF!&lt;=120,"Medium Calls","High Calls"))</f>
        <v>#REF!</v>
      </c>
      <c r="AA3192" t="e">
        <f>IF(#REF!&lt;=15,"Low Charges",
IF(#REF!&lt;=20,"Medium Charges","High Charges"))</f>
        <v>#REF!</v>
      </c>
      <c r="AB3192" t="e">
        <f>IF(AND(#REF!&gt;180, #REF!&gt;200), "Heavy Doemstic User", IF(#REF!&gt;10, "Interntional User", IF(AND(#REF!&lt;180, #REF!&lt;200,#REF!&lt;200), "Light User", "Balanced User")))</f>
        <v>#REF!</v>
      </c>
      <c r="AC3192" t="e">
        <f>IF(#REF! = 0, "No Usage", IF(#REF! &lt;= 20, "Low Usage", IF(#REF! &lt;= 40, "Medium Usgae", "High Usage")))</f>
        <v>#REF!</v>
      </c>
      <c r="AD3192" t="e">
        <f>IF(#REF!&lt;=150,"Low Usage", IF(#REF!&lt;=200,"Medium Usage", IF(#REF!&lt;=250,"High Usage","Very High Usage")))</f>
        <v>#REF!</v>
      </c>
      <c r="AE3192" t="e">
        <f>IF(#REF!&lt;=5,"Low Calls", IF(#REF!&lt;=10, "Medium Calls", "High Calls"))</f>
        <v>#REF!</v>
      </c>
      <c r="AF3192" t="e">
        <f xml:space="preserve">
IF(#REF!&gt;=4,4,0)+
IF(#REF!="yes",3,0)+
IF(#REF!="High Charges",3,0)+
IF(#REF!&gt;250,4,0)+
IF(#REF!="no",1,0)+
IF(#REF!="Heavy Domestic User",2,0)</f>
        <v>#REF!</v>
      </c>
      <c r="AG3192" t="e">
        <f>IF(#REF!&gt;=10,"High Risk", IF(#REF!&gt;=5,"Medium Risk","Low Risk"))</f>
        <v>#REF!</v>
      </c>
      <c r="AH3192" t="e">
        <f>#REF! + #REF! + #REF! + #REF!</f>
        <v>#REF!</v>
      </c>
    </row>
    <row r="3193" spans="1:34" x14ac:dyDescent="0.35">
      <c r="A3193">
        <v>3192</v>
      </c>
      <c r="B3193" t="s">
        <v>41</v>
      </c>
      <c r="C3193">
        <v>135</v>
      </c>
      <c r="D3193" t="s">
        <v>25</v>
      </c>
      <c r="E3193" t="s">
        <v>22</v>
      </c>
      <c r="F3193" t="s">
        <v>23</v>
      </c>
      <c r="G3193">
        <v>38</v>
      </c>
      <c r="H3193">
        <v>202.6</v>
      </c>
      <c r="I3193">
        <v>92</v>
      </c>
      <c r="J3193">
        <v>34.44</v>
      </c>
      <c r="K3193">
        <v>169.6</v>
      </c>
      <c r="L3193">
        <v>93</v>
      </c>
      <c r="M3193">
        <v>14.42</v>
      </c>
      <c r="N3193">
        <v>185.8</v>
      </c>
      <c r="O3193">
        <v>108</v>
      </c>
      <c r="P3193">
        <v>8.36</v>
      </c>
      <c r="Q3193">
        <v>11.9</v>
      </c>
      <c r="R3193">
        <v>6</v>
      </c>
      <c r="S3193">
        <v>3.21</v>
      </c>
      <c r="T3193">
        <v>4</v>
      </c>
      <c r="U3193" t="s">
        <v>22</v>
      </c>
      <c r="V3193" t="e">
        <f>IF(#REF! = "yes", 1, 0)</f>
        <v>#REF!</v>
      </c>
      <c r="W3193" t="e">
        <f>IF(#REF! &lt;= 1, "0-1 Calls", IF(#REF! &lt;= 3, "2-3 Calls", IF(#REF! &lt;=5, "4-5 Calls", "6+ Calls")))</f>
        <v>#REF!</v>
      </c>
      <c r="X3193" t="e">
        <f>IF(#REF! &lt;= 50, "0-50", IF(#REF! &lt;=100, "51-100", IF(#REF! &lt;= 150, "101-150", "151+")))</f>
        <v>#REF!</v>
      </c>
      <c r="Y3193" t="e">
        <f>IF(#REF! &lt;= 3, "Low Charges", "High Charges")</f>
        <v>#REF!</v>
      </c>
      <c r="Z3193" t="e">
        <f>IF(#REF!&lt;=80,"Low Calls",
IF(#REF!&lt;=120,"Medium Calls","High Calls"))</f>
        <v>#REF!</v>
      </c>
      <c r="AA3193" t="e">
        <f>IF(#REF!&lt;=15,"Low Charges",
IF(#REF!&lt;=20,"Medium Charges","High Charges"))</f>
        <v>#REF!</v>
      </c>
      <c r="AB3193" t="e">
        <f>IF(AND(#REF!&gt;180, #REF!&gt;200), "Heavy Doemstic User", IF(#REF!&gt;10, "Interntional User", IF(AND(#REF!&lt;180, #REF!&lt;200,#REF!&lt;200), "Light User", "Balanced User")))</f>
        <v>#REF!</v>
      </c>
      <c r="AC3193" t="e">
        <f>IF(#REF! = 0, "No Usage", IF(#REF! &lt;= 20, "Low Usage", IF(#REF! &lt;= 40, "Medium Usgae", "High Usage")))</f>
        <v>#REF!</v>
      </c>
      <c r="AD3193" t="e">
        <f>IF(#REF!&lt;=150,"Low Usage", IF(#REF!&lt;=200,"Medium Usage", IF(#REF!&lt;=250,"High Usage","Very High Usage")))</f>
        <v>#REF!</v>
      </c>
      <c r="AE3193" t="e">
        <f>IF(#REF!&lt;=5,"Low Calls", IF(#REF!&lt;=10, "Medium Calls", "High Calls"))</f>
        <v>#REF!</v>
      </c>
      <c r="AF3193" t="e">
        <f xml:space="preserve">
IF(#REF!&gt;=4,4,0)+
IF(#REF!="yes",3,0)+
IF(#REF!="High Charges",3,0)+
IF(#REF!&gt;250,4,0)+
IF(#REF!="no",1,0)+
IF(#REF!="Heavy Domestic User",2,0)</f>
        <v>#REF!</v>
      </c>
      <c r="AG3193" t="e">
        <f>IF(#REF!&gt;=10,"High Risk", IF(#REF!&gt;=5,"Medium Risk","Low Risk"))</f>
        <v>#REF!</v>
      </c>
      <c r="AH3193" t="e">
        <f>#REF! + #REF! + #REF! + #REF!</f>
        <v>#REF!</v>
      </c>
    </row>
    <row r="3194" spans="1:34" x14ac:dyDescent="0.35">
      <c r="A3194">
        <v>3193</v>
      </c>
      <c r="B3194" t="s">
        <v>24</v>
      </c>
      <c r="C3194">
        <v>83</v>
      </c>
      <c r="D3194" t="s">
        <v>25</v>
      </c>
      <c r="E3194" t="s">
        <v>22</v>
      </c>
      <c r="F3194" t="s">
        <v>22</v>
      </c>
      <c r="G3194">
        <v>0</v>
      </c>
      <c r="H3194">
        <v>48.4</v>
      </c>
      <c r="I3194">
        <v>105</v>
      </c>
      <c r="J3194">
        <v>8.23</v>
      </c>
      <c r="K3194">
        <v>139.69999999999999</v>
      </c>
      <c r="L3194">
        <v>86</v>
      </c>
      <c r="M3194">
        <v>11.87</v>
      </c>
      <c r="N3194">
        <v>154.1</v>
      </c>
      <c r="O3194">
        <v>80</v>
      </c>
      <c r="P3194">
        <v>6.93</v>
      </c>
      <c r="Q3194">
        <v>11.5</v>
      </c>
      <c r="R3194">
        <v>4</v>
      </c>
      <c r="S3194">
        <v>3.11</v>
      </c>
      <c r="T3194">
        <v>2</v>
      </c>
      <c r="U3194" t="s">
        <v>22</v>
      </c>
      <c r="V3194" t="e">
        <f>IF(#REF! = "yes", 1, 0)</f>
        <v>#REF!</v>
      </c>
      <c r="W3194" t="e">
        <f>IF(#REF! &lt;= 1, "0-1 Calls", IF(#REF! &lt;= 3, "2-3 Calls", IF(#REF! &lt;=5, "4-5 Calls", "6+ Calls")))</f>
        <v>#REF!</v>
      </c>
      <c r="X3194" t="e">
        <f>IF(#REF! &lt;= 50, "0-50", IF(#REF! &lt;=100, "51-100", IF(#REF! &lt;= 150, "101-150", "151+")))</f>
        <v>#REF!</v>
      </c>
      <c r="Y3194" t="e">
        <f>IF(#REF! &lt;= 3, "Low Charges", "High Charges")</f>
        <v>#REF!</v>
      </c>
      <c r="Z3194" t="e">
        <f>IF(#REF!&lt;=80,"Low Calls",
IF(#REF!&lt;=120,"Medium Calls","High Calls"))</f>
        <v>#REF!</v>
      </c>
      <c r="AA3194" t="e">
        <f>IF(#REF!&lt;=15,"Low Charges",
IF(#REF!&lt;=20,"Medium Charges","High Charges"))</f>
        <v>#REF!</v>
      </c>
      <c r="AB3194" t="e">
        <f>IF(AND(#REF!&gt;180, #REF!&gt;200), "Heavy Doemstic User", IF(#REF!&gt;10, "Interntional User", IF(AND(#REF!&lt;180, #REF!&lt;200,#REF!&lt;200), "Light User", "Balanced User")))</f>
        <v>#REF!</v>
      </c>
      <c r="AC3194" t="e">
        <f>IF(#REF! = 0, "No Usage", IF(#REF! &lt;= 20, "Low Usage", IF(#REF! &lt;= 40, "Medium Usgae", "High Usage")))</f>
        <v>#REF!</v>
      </c>
      <c r="AD3194" t="e">
        <f>IF(#REF!&lt;=150,"Low Usage", IF(#REF!&lt;=200,"Medium Usage", IF(#REF!&lt;=250,"High Usage","Very High Usage")))</f>
        <v>#REF!</v>
      </c>
      <c r="AE3194" t="e">
        <f>IF(#REF!&lt;=5,"Low Calls", IF(#REF!&lt;=10, "Medium Calls", "High Calls"))</f>
        <v>#REF!</v>
      </c>
      <c r="AF3194" t="e">
        <f xml:space="preserve">
IF(#REF!&gt;=4,4,0)+
IF(#REF!="yes",3,0)+
IF(#REF!="High Charges",3,0)+
IF(#REF!&gt;250,4,0)+
IF(#REF!="no",1,0)+
IF(#REF!="Heavy Domestic User",2,0)</f>
        <v>#REF!</v>
      </c>
      <c r="AG3194" t="e">
        <f>IF(#REF!&gt;=10,"High Risk", IF(#REF!&gt;=5,"Medium Risk","Low Risk"))</f>
        <v>#REF!</v>
      </c>
      <c r="AH3194" t="e">
        <f>#REF! + #REF! + #REF! + #REF!</f>
        <v>#REF!</v>
      </c>
    </row>
    <row r="3195" spans="1:34" x14ac:dyDescent="0.35">
      <c r="A3195">
        <v>3194</v>
      </c>
      <c r="B3195" t="s">
        <v>43</v>
      </c>
      <c r="C3195">
        <v>48</v>
      </c>
      <c r="D3195" t="s">
        <v>28</v>
      </c>
      <c r="E3195" t="s">
        <v>22</v>
      </c>
      <c r="F3195" t="s">
        <v>22</v>
      </c>
      <c r="G3195">
        <v>0</v>
      </c>
      <c r="H3195">
        <v>168.6</v>
      </c>
      <c r="I3195">
        <v>93</v>
      </c>
      <c r="J3195">
        <v>28.66</v>
      </c>
      <c r="K3195">
        <v>246</v>
      </c>
      <c r="L3195">
        <v>61</v>
      </c>
      <c r="M3195">
        <v>20.91</v>
      </c>
      <c r="N3195">
        <v>269.89999999999998</v>
      </c>
      <c r="O3195">
        <v>102</v>
      </c>
      <c r="P3195">
        <v>12.15</v>
      </c>
      <c r="Q3195">
        <v>11.4</v>
      </c>
      <c r="R3195">
        <v>7</v>
      </c>
      <c r="S3195">
        <v>3.08</v>
      </c>
      <c r="T3195">
        <v>1</v>
      </c>
      <c r="U3195" t="s">
        <v>22</v>
      </c>
      <c r="V3195" t="e">
        <f>IF(#REF! = "yes", 1, 0)</f>
        <v>#REF!</v>
      </c>
      <c r="W3195" t="e">
        <f>IF(#REF! &lt;= 1, "0-1 Calls", IF(#REF! &lt;= 3, "2-3 Calls", IF(#REF! &lt;=5, "4-5 Calls", "6+ Calls")))</f>
        <v>#REF!</v>
      </c>
      <c r="X3195" t="e">
        <f>IF(#REF! &lt;= 50, "0-50", IF(#REF! &lt;=100, "51-100", IF(#REF! &lt;= 150, "101-150", "151+")))</f>
        <v>#REF!</v>
      </c>
      <c r="Y3195" t="e">
        <f>IF(#REF! &lt;= 3, "Low Charges", "High Charges")</f>
        <v>#REF!</v>
      </c>
      <c r="Z3195" t="e">
        <f>IF(#REF!&lt;=80,"Low Calls",
IF(#REF!&lt;=120,"Medium Calls","High Calls"))</f>
        <v>#REF!</v>
      </c>
      <c r="AA3195" t="e">
        <f>IF(#REF!&lt;=15,"Low Charges",
IF(#REF!&lt;=20,"Medium Charges","High Charges"))</f>
        <v>#REF!</v>
      </c>
      <c r="AB3195" t="e">
        <f>IF(AND(#REF!&gt;180, #REF!&gt;200), "Heavy Doemstic User", IF(#REF!&gt;10, "Interntional User", IF(AND(#REF!&lt;180, #REF!&lt;200,#REF!&lt;200), "Light User", "Balanced User")))</f>
        <v>#REF!</v>
      </c>
      <c r="AC3195" t="e">
        <f>IF(#REF! = 0, "No Usage", IF(#REF! &lt;= 20, "Low Usage", IF(#REF! &lt;= 40, "Medium Usgae", "High Usage")))</f>
        <v>#REF!</v>
      </c>
      <c r="AD3195" t="e">
        <f>IF(#REF!&lt;=150,"Low Usage", IF(#REF!&lt;=200,"Medium Usage", IF(#REF!&lt;=250,"High Usage","Very High Usage")))</f>
        <v>#REF!</v>
      </c>
      <c r="AE3195" t="e">
        <f>IF(#REF!&lt;=5,"Low Calls", IF(#REF!&lt;=10, "Medium Calls", "High Calls"))</f>
        <v>#REF!</v>
      </c>
      <c r="AF3195" t="e">
        <f xml:space="preserve">
IF(#REF!&gt;=4,4,0)+
IF(#REF!="yes",3,0)+
IF(#REF!="High Charges",3,0)+
IF(#REF!&gt;250,4,0)+
IF(#REF!="no",1,0)+
IF(#REF!="Heavy Domestic User",2,0)</f>
        <v>#REF!</v>
      </c>
      <c r="AG3195" t="e">
        <f>IF(#REF!&gt;=10,"High Risk", IF(#REF!&gt;=5,"Medium Risk","Low Risk"))</f>
        <v>#REF!</v>
      </c>
      <c r="AH3195" t="e">
        <f>#REF! + #REF! + #REF! + #REF!</f>
        <v>#REF!</v>
      </c>
    </row>
    <row r="3196" spans="1:34" x14ac:dyDescent="0.35">
      <c r="A3196">
        <v>3195</v>
      </c>
      <c r="B3196" t="s">
        <v>47</v>
      </c>
      <c r="C3196">
        <v>112</v>
      </c>
      <c r="D3196" t="s">
        <v>21</v>
      </c>
      <c r="E3196" t="s">
        <v>22</v>
      </c>
      <c r="F3196" t="s">
        <v>23</v>
      </c>
      <c r="G3196">
        <v>31</v>
      </c>
      <c r="H3196">
        <v>142.9</v>
      </c>
      <c r="I3196">
        <v>92</v>
      </c>
      <c r="J3196">
        <v>24.29</v>
      </c>
      <c r="K3196">
        <v>233.8</v>
      </c>
      <c r="L3196">
        <v>107</v>
      </c>
      <c r="M3196">
        <v>19.87</v>
      </c>
      <c r="N3196">
        <v>329.2</v>
      </c>
      <c r="O3196">
        <v>142</v>
      </c>
      <c r="P3196">
        <v>14.81</v>
      </c>
      <c r="Q3196">
        <v>10.4</v>
      </c>
      <c r="R3196">
        <v>6</v>
      </c>
      <c r="S3196">
        <v>2.81</v>
      </c>
      <c r="T3196">
        <v>0</v>
      </c>
      <c r="U3196" t="s">
        <v>22</v>
      </c>
      <c r="V3196" t="e">
        <f>IF(#REF! = "yes", 1, 0)</f>
        <v>#REF!</v>
      </c>
      <c r="W3196" t="e">
        <f>IF(#REF! &lt;= 1, "0-1 Calls", IF(#REF! &lt;= 3, "2-3 Calls", IF(#REF! &lt;=5, "4-5 Calls", "6+ Calls")))</f>
        <v>#REF!</v>
      </c>
      <c r="X3196" t="e">
        <f>IF(#REF! &lt;= 50, "0-50", IF(#REF! &lt;=100, "51-100", IF(#REF! &lt;= 150, "101-150", "151+")))</f>
        <v>#REF!</v>
      </c>
      <c r="Y3196" t="e">
        <f>IF(#REF! &lt;= 3, "Low Charges", "High Charges")</f>
        <v>#REF!</v>
      </c>
      <c r="Z3196" t="e">
        <f>IF(#REF!&lt;=80,"Low Calls",
IF(#REF!&lt;=120,"Medium Calls","High Calls"))</f>
        <v>#REF!</v>
      </c>
      <c r="AA3196" t="e">
        <f>IF(#REF!&lt;=15,"Low Charges",
IF(#REF!&lt;=20,"Medium Charges","High Charges"))</f>
        <v>#REF!</v>
      </c>
      <c r="AB3196" t="e">
        <f>IF(AND(#REF!&gt;180, #REF!&gt;200), "Heavy Doemstic User", IF(#REF!&gt;10, "Interntional User", IF(AND(#REF!&lt;180, #REF!&lt;200,#REF!&lt;200), "Light User", "Balanced User")))</f>
        <v>#REF!</v>
      </c>
      <c r="AC3196" t="e">
        <f>IF(#REF! = 0, "No Usage", IF(#REF! &lt;= 20, "Low Usage", IF(#REF! &lt;= 40, "Medium Usgae", "High Usage")))</f>
        <v>#REF!</v>
      </c>
      <c r="AD3196" t="e">
        <f>IF(#REF!&lt;=150,"Low Usage", IF(#REF!&lt;=200,"Medium Usage", IF(#REF!&lt;=250,"High Usage","Very High Usage")))</f>
        <v>#REF!</v>
      </c>
      <c r="AE3196" t="e">
        <f>IF(#REF!&lt;=5,"Low Calls", IF(#REF!&lt;=10, "Medium Calls", "High Calls"))</f>
        <v>#REF!</v>
      </c>
      <c r="AF3196" t="e">
        <f xml:space="preserve">
IF(#REF!&gt;=4,4,0)+
IF(#REF!="yes",3,0)+
IF(#REF!="High Charges",3,0)+
IF(#REF!&gt;250,4,0)+
IF(#REF!="no",1,0)+
IF(#REF!="Heavy Domestic User",2,0)</f>
        <v>#REF!</v>
      </c>
      <c r="AG3196" t="e">
        <f>IF(#REF!&gt;=10,"High Risk", IF(#REF!&gt;=5,"Medium Risk","Low Risk"))</f>
        <v>#REF!</v>
      </c>
      <c r="AH3196" t="e">
        <f>#REF! + #REF! + #REF! + #REF!</f>
        <v>#REF!</v>
      </c>
    </row>
    <row r="3197" spans="1:34" x14ac:dyDescent="0.35">
      <c r="A3197">
        <v>3196</v>
      </c>
      <c r="B3197" t="s">
        <v>47</v>
      </c>
      <c r="C3197">
        <v>112</v>
      </c>
      <c r="D3197" t="s">
        <v>28</v>
      </c>
      <c r="E3197" t="s">
        <v>22</v>
      </c>
      <c r="F3197" t="s">
        <v>22</v>
      </c>
      <c r="G3197">
        <v>0</v>
      </c>
      <c r="H3197">
        <v>85.2</v>
      </c>
      <c r="I3197">
        <v>102</v>
      </c>
      <c r="J3197">
        <v>14.48</v>
      </c>
      <c r="K3197">
        <v>153.19999999999999</v>
      </c>
      <c r="L3197">
        <v>118</v>
      </c>
      <c r="M3197">
        <v>13.02</v>
      </c>
      <c r="N3197">
        <v>142.6</v>
      </c>
      <c r="O3197">
        <v>107</v>
      </c>
      <c r="P3197">
        <v>6.42</v>
      </c>
      <c r="Q3197">
        <v>8.1999999999999993</v>
      </c>
      <c r="R3197">
        <v>4</v>
      </c>
      <c r="S3197">
        <v>2.21</v>
      </c>
      <c r="T3197">
        <v>1</v>
      </c>
      <c r="U3197" t="s">
        <v>22</v>
      </c>
      <c r="V3197" t="e">
        <f>IF(#REF! = "yes", 1, 0)</f>
        <v>#REF!</v>
      </c>
      <c r="W3197" t="e">
        <f>IF(#REF! &lt;= 1, "0-1 Calls", IF(#REF! &lt;= 3, "2-3 Calls", IF(#REF! &lt;=5, "4-5 Calls", "6+ Calls")))</f>
        <v>#REF!</v>
      </c>
      <c r="X3197" t="e">
        <f>IF(#REF! &lt;= 50, "0-50", IF(#REF! &lt;=100, "51-100", IF(#REF! &lt;= 150, "101-150", "151+")))</f>
        <v>#REF!</v>
      </c>
      <c r="Y3197" t="e">
        <f>IF(#REF! &lt;= 3, "Low Charges", "High Charges")</f>
        <v>#REF!</v>
      </c>
      <c r="Z3197" t="e">
        <f>IF(#REF!&lt;=80,"Low Calls",
IF(#REF!&lt;=120,"Medium Calls","High Calls"))</f>
        <v>#REF!</v>
      </c>
      <c r="AA3197" t="e">
        <f>IF(#REF!&lt;=15,"Low Charges",
IF(#REF!&lt;=20,"Medium Charges","High Charges"))</f>
        <v>#REF!</v>
      </c>
      <c r="AB3197" t="e">
        <f>IF(AND(#REF!&gt;180, #REF!&gt;200), "Heavy Doemstic User", IF(#REF!&gt;10, "Interntional User", IF(AND(#REF!&lt;180, #REF!&lt;200,#REF!&lt;200), "Light User", "Balanced User")))</f>
        <v>#REF!</v>
      </c>
      <c r="AC3197" t="e">
        <f>IF(#REF! = 0, "No Usage", IF(#REF! &lt;= 20, "Low Usage", IF(#REF! &lt;= 40, "Medium Usgae", "High Usage")))</f>
        <v>#REF!</v>
      </c>
      <c r="AD3197" t="e">
        <f>IF(#REF!&lt;=150,"Low Usage", IF(#REF!&lt;=200,"Medium Usage", IF(#REF!&lt;=250,"High Usage","Very High Usage")))</f>
        <v>#REF!</v>
      </c>
      <c r="AE3197" t="e">
        <f>IF(#REF!&lt;=5,"Low Calls", IF(#REF!&lt;=10, "Medium Calls", "High Calls"))</f>
        <v>#REF!</v>
      </c>
      <c r="AF3197" t="e">
        <f xml:space="preserve">
IF(#REF!&gt;=4,4,0)+
IF(#REF!="yes",3,0)+
IF(#REF!="High Charges",3,0)+
IF(#REF!&gt;250,4,0)+
IF(#REF!="no",1,0)+
IF(#REF!="Heavy Domestic User",2,0)</f>
        <v>#REF!</v>
      </c>
      <c r="AG3197" t="e">
        <f>IF(#REF!&gt;=10,"High Risk", IF(#REF!&gt;=5,"Medium Risk","Low Risk"))</f>
        <v>#REF!</v>
      </c>
      <c r="AH3197" t="e">
        <f>#REF! + #REF! + #REF! + #REF!</f>
        <v>#REF!</v>
      </c>
    </row>
    <row r="3198" spans="1:34" x14ac:dyDescent="0.35">
      <c r="A3198">
        <v>3197</v>
      </c>
      <c r="B3198" t="s">
        <v>60</v>
      </c>
      <c r="C3198">
        <v>141</v>
      </c>
      <c r="D3198" t="s">
        <v>25</v>
      </c>
      <c r="E3198" t="s">
        <v>22</v>
      </c>
      <c r="F3198" t="s">
        <v>22</v>
      </c>
      <c r="G3198">
        <v>0</v>
      </c>
      <c r="H3198">
        <v>77.8</v>
      </c>
      <c r="I3198">
        <v>123</v>
      </c>
      <c r="J3198">
        <v>13.23</v>
      </c>
      <c r="K3198">
        <v>144.4</v>
      </c>
      <c r="L3198">
        <v>119</v>
      </c>
      <c r="M3198">
        <v>12.27</v>
      </c>
      <c r="N3198">
        <v>75.3</v>
      </c>
      <c r="O3198">
        <v>65</v>
      </c>
      <c r="P3198">
        <v>3.39</v>
      </c>
      <c r="Q3198">
        <v>5.7</v>
      </c>
      <c r="R3198">
        <v>7</v>
      </c>
      <c r="S3198">
        <v>1.54</v>
      </c>
      <c r="T3198">
        <v>1</v>
      </c>
      <c r="U3198" t="s">
        <v>22</v>
      </c>
      <c r="V3198" t="e">
        <f>IF(#REF! = "yes", 1, 0)</f>
        <v>#REF!</v>
      </c>
      <c r="W3198" t="e">
        <f>IF(#REF! &lt;= 1, "0-1 Calls", IF(#REF! &lt;= 3, "2-3 Calls", IF(#REF! &lt;=5, "4-5 Calls", "6+ Calls")))</f>
        <v>#REF!</v>
      </c>
      <c r="X3198" t="e">
        <f>IF(#REF! &lt;= 50, "0-50", IF(#REF! &lt;=100, "51-100", IF(#REF! &lt;= 150, "101-150", "151+")))</f>
        <v>#REF!</v>
      </c>
      <c r="Y3198" t="e">
        <f>IF(#REF! &lt;= 3, "Low Charges", "High Charges")</f>
        <v>#REF!</v>
      </c>
      <c r="Z3198" t="e">
        <f>IF(#REF!&lt;=80,"Low Calls",
IF(#REF!&lt;=120,"Medium Calls","High Calls"))</f>
        <v>#REF!</v>
      </c>
      <c r="AA3198" t="e">
        <f>IF(#REF!&lt;=15,"Low Charges",
IF(#REF!&lt;=20,"Medium Charges","High Charges"))</f>
        <v>#REF!</v>
      </c>
      <c r="AB3198" t="e">
        <f>IF(AND(#REF!&gt;180, #REF!&gt;200), "Heavy Doemstic User", IF(#REF!&gt;10, "Interntional User", IF(AND(#REF!&lt;180, #REF!&lt;200,#REF!&lt;200), "Light User", "Balanced User")))</f>
        <v>#REF!</v>
      </c>
      <c r="AC3198" t="e">
        <f>IF(#REF! = 0, "No Usage", IF(#REF! &lt;= 20, "Low Usage", IF(#REF! &lt;= 40, "Medium Usgae", "High Usage")))</f>
        <v>#REF!</v>
      </c>
      <c r="AD3198" t="e">
        <f>IF(#REF!&lt;=150,"Low Usage", IF(#REF!&lt;=200,"Medium Usage", IF(#REF!&lt;=250,"High Usage","Very High Usage")))</f>
        <v>#REF!</v>
      </c>
      <c r="AE3198" t="e">
        <f>IF(#REF!&lt;=5,"Low Calls", IF(#REF!&lt;=10, "Medium Calls", "High Calls"))</f>
        <v>#REF!</v>
      </c>
      <c r="AF3198" t="e">
        <f xml:space="preserve">
IF(#REF!&gt;=4,4,0)+
IF(#REF!="yes",3,0)+
IF(#REF!="High Charges",3,0)+
IF(#REF!&gt;250,4,0)+
IF(#REF!="no",1,0)+
IF(#REF!="Heavy Domestic User",2,0)</f>
        <v>#REF!</v>
      </c>
      <c r="AG3198" t="e">
        <f>IF(#REF!&gt;=10,"High Risk", IF(#REF!&gt;=5,"Medium Risk","Low Risk"))</f>
        <v>#REF!</v>
      </c>
      <c r="AH3198" t="e">
        <f>#REF! + #REF! + #REF! + #REF!</f>
        <v>#REF!</v>
      </c>
    </row>
    <row r="3199" spans="1:34" x14ac:dyDescent="0.35">
      <c r="A3199">
        <v>3198</v>
      </c>
      <c r="B3199" t="s">
        <v>53</v>
      </c>
      <c r="C3199">
        <v>73</v>
      </c>
      <c r="D3199" t="s">
        <v>25</v>
      </c>
      <c r="E3199" t="s">
        <v>22</v>
      </c>
      <c r="F3199" t="s">
        <v>23</v>
      </c>
      <c r="G3199">
        <v>19</v>
      </c>
      <c r="H3199">
        <v>179.4</v>
      </c>
      <c r="I3199">
        <v>108</v>
      </c>
      <c r="J3199">
        <v>30.5</v>
      </c>
      <c r="K3199">
        <v>93.6</v>
      </c>
      <c r="L3199">
        <v>90</v>
      </c>
      <c r="M3199">
        <v>7.96</v>
      </c>
      <c r="N3199">
        <v>234.6</v>
      </c>
      <c r="O3199">
        <v>99</v>
      </c>
      <c r="P3199">
        <v>10.56</v>
      </c>
      <c r="Q3199">
        <v>14.9</v>
      </c>
      <c r="R3199">
        <v>4</v>
      </c>
      <c r="S3199">
        <v>4.0199999999999996</v>
      </c>
      <c r="T3199">
        <v>2</v>
      </c>
      <c r="U3199" t="s">
        <v>22</v>
      </c>
      <c r="V3199" t="e">
        <f>IF(#REF! = "yes", 1, 0)</f>
        <v>#REF!</v>
      </c>
      <c r="W3199" t="e">
        <f>IF(#REF! &lt;= 1, "0-1 Calls", IF(#REF! &lt;= 3, "2-3 Calls", IF(#REF! &lt;=5, "4-5 Calls", "6+ Calls")))</f>
        <v>#REF!</v>
      </c>
      <c r="X3199" t="e">
        <f>IF(#REF! &lt;= 50, "0-50", IF(#REF! &lt;=100, "51-100", IF(#REF! &lt;= 150, "101-150", "151+")))</f>
        <v>#REF!</v>
      </c>
      <c r="Y3199" t="e">
        <f>IF(#REF! &lt;= 3, "Low Charges", "High Charges")</f>
        <v>#REF!</v>
      </c>
      <c r="Z3199" t="e">
        <f>IF(#REF!&lt;=80,"Low Calls",
IF(#REF!&lt;=120,"Medium Calls","High Calls"))</f>
        <v>#REF!</v>
      </c>
      <c r="AA3199" t="e">
        <f>IF(#REF!&lt;=15,"Low Charges",
IF(#REF!&lt;=20,"Medium Charges","High Charges"))</f>
        <v>#REF!</v>
      </c>
      <c r="AB3199" t="e">
        <f>IF(AND(#REF!&gt;180, #REF!&gt;200), "Heavy Doemstic User", IF(#REF!&gt;10, "Interntional User", IF(AND(#REF!&lt;180, #REF!&lt;200,#REF!&lt;200), "Light User", "Balanced User")))</f>
        <v>#REF!</v>
      </c>
      <c r="AC3199" t="e">
        <f>IF(#REF! = 0, "No Usage", IF(#REF! &lt;= 20, "Low Usage", IF(#REF! &lt;= 40, "Medium Usgae", "High Usage")))</f>
        <v>#REF!</v>
      </c>
      <c r="AD3199" t="e">
        <f>IF(#REF!&lt;=150,"Low Usage", IF(#REF!&lt;=200,"Medium Usage", IF(#REF!&lt;=250,"High Usage","Very High Usage")))</f>
        <v>#REF!</v>
      </c>
      <c r="AE3199" t="e">
        <f>IF(#REF!&lt;=5,"Low Calls", IF(#REF!&lt;=10, "Medium Calls", "High Calls"))</f>
        <v>#REF!</v>
      </c>
      <c r="AF3199" t="e">
        <f xml:space="preserve">
IF(#REF!&gt;=4,4,0)+
IF(#REF!="yes",3,0)+
IF(#REF!="High Charges",3,0)+
IF(#REF!&gt;250,4,0)+
IF(#REF!="no",1,0)+
IF(#REF!="Heavy Domestic User",2,0)</f>
        <v>#REF!</v>
      </c>
      <c r="AG3199" t="e">
        <f>IF(#REF!&gt;=10,"High Risk", IF(#REF!&gt;=5,"Medium Risk","Low Risk"))</f>
        <v>#REF!</v>
      </c>
      <c r="AH3199" t="e">
        <f>#REF! + #REF! + #REF! + #REF!</f>
        <v>#REF!</v>
      </c>
    </row>
    <row r="3200" spans="1:34" x14ac:dyDescent="0.35">
      <c r="A3200">
        <v>3199</v>
      </c>
      <c r="B3200" t="s">
        <v>70</v>
      </c>
      <c r="C3200">
        <v>81</v>
      </c>
      <c r="D3200" t="s">
        <v>28</v>
      </c>
      <c r="E3200" t="s">
        <v>22</v>
      </c>
      <c r="F3200" t="s">
        <v>22</v>
      </c>
      <c r="G3200">
        <v>0</v>
      </c>
      <c r="H3200">
        <v>139.80000000000001</v>
      </c>
      <c r="I3200">
        <v>98</v>
      </c>
      <c r="J3200">
        <v>23.77</v>
      </c>
      <c r="K3200">
        <v>247.2</v>
      </c>
      <c r="L3200">
        <v>103</v>
      </c>
      <c r="M3200">
        <v>21.01</v>
      </c>
      <c r="N3200">
        <v>241</v>
      </c>
      <c r="O3200">
        <v>113</v>
      </c>
      <c r="P3200">
        <v>10.85</v>
      </c>
      <c r="Q3200">
        <v>11.7</v>
      </c>
      <c r="R3200">
        <v>3</v>
      </c>
      <c r="S3200">
        <v>3.16</v>
      </c>
      <c r="T3200">
        <v>3</v>
      </c>
      <c r="U3200" t="s">
        <v>22</v>
      </c>
      <c r="V3200" t="e">
        <f>IF(#REF! = "yes", 1, 0)</f>
        <v>#REF!</v>
      </c>
      <c r="W3200" t="e">
        <f>IF(#REF! &lt;= 1, "0-1 Calls", IF(#REF! &lt;= 3, "2-3 Calls", IF(#REF! &lt;=5, "4-5 Calls", "6+ Calls")))</f>
        <v>#REF!</v>
      </c>
      <c r="X3200" t="e">
        <f>IF(#REF! &lt;= 50, "0-50", IF(#REF! &lt;=100, "51-100", IF(#REF! &lt;= 150, "101-150", "151+")))</f>
        <v>#REF!</v>
      </c>
      <c r="Y3200" t="e">
        <f>IF(#REF! &lt;= 3, "Low Charges", "High Charges")</f>
        <v>#REF!</v>
      </c>
      <c r="Z3200" t="e">
        <f>IF(#REF!&lt;=80,"Low Calls",
IF(#REF!&lt;=120,"Medium Calls","High Calls"))</f>
        <v>#REF!</v>
      </c>
      <c r="AA3200" t="e">
        <f>IF(#REF!&lt;=15,"Low Charges",
IF(#REF!&lt;=20,"Medium Charges","High Charges"))</f>
        <v>#REF!</v>
      </c>
      <c r="AB3200" t="e">
        <f>IF(AND(#REF!&gt;180, #REF!&gt;200), "Heavy Doemstic User", IF(#REF!&gt;10, "Interntional User", IF(AND(#REF!&lt;180, #REF!&lt;200,#REF!&lt;200), "Light User", "Balanced User")))</f>
        <v>#REF!</v>
      </c>
      <c r="AC3200" t="e">
        <f>IF(#REF! = 0, "No Usage", IF(#REF! &lt;= 20, "Low Usage", IF(#REF! &lt;= 40, "Medium Usgae", "High Usage")))</f>
        <v>#REF!</v>
      </c>
      <c r="AD3200" t="e">
        <f>IF(#REF!&lt;=150,"Low Usage", IF(#REF!&lt;=200,"Medium Usage", IF(#REF!&lt;=250,"High Usage","Very High Usage")))</f>
        <v>#REF!</v>
      </c>
      <c r="AE3200" t="e">
        <f>IF(#REF!&lt;=5,"Low Calls", IF(#REF!&lt;=10, "Medium Calls", "High Calls"))</f>
        <v>#REF!</v>
      </c>
      <c r="AF3200" t="e">
        <f xml:space="preserve">
IF(#REF!&gt;=4,4,0)+
IF(#REF!="yes",3,0)+
IF(#REF!="High Charges",3,0)+
IF(#REF!&gt;250,4,0)+
IF(#REF!="no",1,0)+
IF(#REF!="Heavy Domestic User",2,0)</f>
        <v>#REF!</v>
      </c>
      <c r="AG3200" t="e">
        <f>IF(#REF!&gt;=10,"High Risk", IF(#REF!&gt;=5,"Medium Risk","Low Risk"))</f>
        <v>#REF!</v>
      </c>
      <c r="AH3200" t="e">
        <f>#REF! + #REF! + #REF! + #REF!</f>
        <v>#REF!</v>
      </c>
    </row>
    <row r="3201" spans="1:34" x14ac:dyDescent="0.35">
      <c r="A3201">
        <v>3200</v>
      </c>
      <c r="B3201" t="s">
        <v>24</v>
      </c>
      <c r="C3201">
        <v>165</v>
      </c>
      <c r="D3201" t="s">
        <v>21</v>
      </c>
      <c r="E3201" t="s">
        <v>22</v>
      </c>
      <c r="F3201" t="s">
        <v>23</v>
      </c>
      <c r="G3201">
        <v>17</v>
      </c>
      <c r="H3201">
        <v>177.9</v>
      </c>
      <c r="I3201">
        <v>68</v>
      </c>
      <c r="J3201">
        <v>30.24</v>
      </c>
      <c r="K3201">
        <v>153.9</v>
      </c>
      <c r="L3201">
        <v>112</v>
      </c>
      <c r="M3201">
        <v>13.08</v>
      </c>
      <c r="N3201">
        <v>251.2</v>
      </c>
      <c r="O3201">
        <v>121</v>
      </c>
      <c r="P3201">
        <v>11.3</v>
      </c>
      <c r="Q3201">
        <v>10.6</v>
      </c>
      <c r="R3201">
        <v>7</v>
      </c>
      <c r="S3201">
        <v>2.86</v>
      </c>
      <c r="T3201">
        <v>1</v>
      </c>
      <c r="U3201" t="s">
        <v>22</v>
      </c>
      <c r="V3201" t="e">
        <f>IF(#REF! = "yes", 1, 0)</f>
        <v>#REF!</v>
      </c>
      <c r="W3201" t="e">
        <f>IF(#REF! &lt;= 1, "0-1 Calls", IF(#REF! &lt;= 3, "2-3 Calls", IF(#REF! &lt;=5, "4-5 Calls", "6+ Calls")))</f>
        <v>#REF!</v>
      </c>
      <c r="X3201" t="e">
        <f>IF(#REF! &lt;= 50, "0-50", IF(#REF! &lt;=100, "51-100", IF(#REF! &lt;= 150, "101-150", "151+")))</f>
        <v>#REF!</v>
      </c>
      <c r="Y3201" t="e">
        <f>IF(#REF! &lt;= 3, "Low Charges", "High Charges")</f>
        <v>#REF!</v>
      </c>
      <c r="Z3201" t="e">
        <f>IF(#REF!&lt;=80,"Low Calls",
IF(#REF!&lt;=120,"Medium Calls","High Calls"))</f>
        <v>#REF!</v>
      </c>
      <c r="AA3201" t="e">
        <f>IF(#REF!&lt;=15,"Low Charges",
IF(#REF!&lt;=20,"Medium Charges","High Charges"))</f>
        <v>#REF!</v>
      </c>
      <c r="AB3201" t="e">
        <f>IF(AND(#REF!&gt;180, #REF!&gt;200), "Heavy Doemstic User", IF(#REF!&gt;10, "Interntional User", IF(AND(#REF!&lt;180, #REF!&lt;200,#REF!&lt;200), "Light User", "Balanced User")))</f>
        <v>#REF!</v>
      </c>
      <c r="AC3201" t="e">
        <f>IF(#REF! = 0, "No Usage", IF(#REF! &lt;= 20, "Low Usage", IF(#REF! &lt;= 40, "Medium Usgae", "High Usage")))</f>
        <v>#REF!</v>
      </c>
      <c r="AD3201" t="e">
        <f>IF(#REF!&lt;=150,"Low Usage", IF(#REF!&lt;=200,"Medium Usage", IF(#REF!&lt;=250,"High Usage","Very High Usage")))</f>
        <v>#REF!</v>
      </c>
      <c r="AE3201" t="e">
        <f>IF(#REF!&lt;=5,"Low Calls", IF(#REF!&lt;=10, "Medium Calls", "High Calls"))</f>
        <v>#REF!</v>
      </c>
      <c r="AF3201" t="e">
        <f xml:space="preserve">
IF(#REF!&gt;=4,4,0)+
IF(#REF!="yes",3,0)+
IF(#REF!="High Charges",3,0)+
IF(#REF!&gt;250,4,0)+
IF(#REF!="no",1,0)+
IF(#REF!="Heavy Domestic User",2,0)</f>
        <v>#REF!</v>
      </c>
      <c r="AG3201" t="e">
        <f>IF(#REF!&gt;=10,"High Risk", IF(#REF!&gt;=5,"Medium Risk","Low Risk"))</f>
        <v>#REF!</v>
      </c>
      <c r="AH3201" t="e">
        <f>#REF! + #REF! + #REF! + #REF!</f>
        <v>#REF!</v>
      </c>
    </row>
    <row r="3202" spans="1:34" x14ac:dyDescent="0.35">
      <c r="A3202">
        <v>3201</v>
      </c>
      <c r="B3202" t="s">
        <v>52</v>
      </c>
      <c r="C3202">
        <v>70</v>
      </c>
      <c r="D3202" t="s">
        <v>21</v>
      </c>
      <c r="E3202" t="s">
        <v>22</v>
      </c>
      <c r="F3202" t="s">
        <v>22</v>
      </c>
      <c r="G3202">
        <v>0</v>
      </c>
      <c r="H3202">
        <v>101.9</v>
      </c>
      <c r="I3202">
        <v>98</v>
      </c>
      <c r="J3202">
        <v>17.32</v>
      </c>
      <c r="K3202">
        <v>193.3</v>
      </c>
      <c r="L3202">
        <v>113</v>
      </c>
      <c r="M3202">
        <v>16.43</v>
      </c>
      <c r="N3202">
        <v>167.5</v>
      </c>
      <c r="O3202">
        <v>126</v>
      </c>
      <c r="P3202">
        <v>7.54</v>
      </c>
      <c r="Q3202">
        <v>15</v>
      </c>
      <c r="R3202">
        <v>6</v>
      </c>
      <c r="S3202">
        <v>4.05</v>
      </c>
      <c r="T3202">
        <v>1</v>
      </c>
      <c r="U3202" t="s">
        <v>22</v>
      </c>
      <c r="V3202" t="e">
        <f>IF(#REF! = "yes", 1, 0)</f>
        <v>#REF!</v>
      </c>
      <c r="W3202" t="e">
        <f>IF(#REF! &lt;= 1, "0-1 Calls", IF(#REF! &lt;= 3, "2-3 Calls", IF(#REF! &lt;=5, "4-5 Calls", "6+ Calls")))</f>
        <v>#REF!</v>
      </c>
      <c r="X3202" t="e">
        <f>IF(#REF! &lt;= 50, "0-50", IF(#REF! &lt;=100, "51-100", IF(#REF! &lt;= 150, "101-150", "151+")))</f>
        <v>#REF!</v>
      </c>
      <c r="Y3202" t="e">
        <f>IF(#REF! &lt;= 3, "Low Charges", "High Charges")</f>
        <v>#REF!</v>
      </c>
      <c r="Z3202" t="e">
        <f>IF(#REF!&lt;=80,"Low Calls",
IF(#REF!&lt;=120,"Medium Calls","High Calls"))</f>
        <v>#REF!</v>
      </c>
      <c r="AA3202" t="e">
        <f>IF(#REF!&lt;=15,"Low Charges",
IF(#REF!&lt;=20,"Medium Charges","High Charges"))</f>
        <v>#REF!</v>
      </c>
      <c r="AB3202" t="e">
        <f>IF(AND(#REF!&gt;180, #REF!&gt;200), "Heavy Doemstic User", IF(#REF!&gt;10, "Interntional User", IF(AND(#REF!&lt;180, #REF!&lt;200,#REF!&lt;200), "Light User", "Balanced User")))</f>
        <v>#REF!</v>
      </c>
      <c r="AC3202" t="e">
        <f>IF(#REF! = 0, "No Usage", IF(#REF! &lt;= 20, "Low Usage", IF(#REF! &lt;= 40, "Medium Usgae", "High Usage")))</f>
        <v>#REF!</v>
      </c>
      <c r="AD3202" t="e">
        <f>IF(#REF!&lt;=150,"Low Usage", IF(#REF!&lt;=200,"Medium Usage", IF(#REF!&lt;=250,"High Usage","Very High Usage")))</f>
        <v>#REF!</v>
      </c>
      <c r="AE3202" t="e">
        <f>IF(#REF!&lt;=5,"Low Calls", IF(#REF!&lt;=10, "Medium Calls", "High Calls"))</f>
        <v>#REF!</v>
      </c>
      <c r="AF3202" t="e">
        <f xml:space="preserve">
IF(#REF!&gt;=4,4,0)+
IF(#REF!="yes",3,0)+
IF(#REF!="High Charges",3,0)+
IF(#REF!&gt;250,4,0)+
IF(#REF!="no",1,0)+
IF(#REF!="Heavy Domestic User",2,0)</f>
        <v>#REF!</v>
      </c>
      <c r="AG3202" t="e">
        <f>IF(#REF!&gt;=10,"High Risk", IF(#REF!&gt;=5,"Medium Risk","Low Risk"))</f>
        <v>#REF!</v>
      </c>
      <c r="AH3202" t="e">
        <f>#REF! + #REF! + #REF! + #REF!</f>
        <v>#REF!</v>
      </c>
    </row>
    <row r="3203" spans="1:34" x14ac:dyDescent="0.35">
      <c r="A3203">
        <v>3202</v>
      </c>
      <c r="B3203" t="s">
        <v>34</v>
      </c>
      <c r="C3203">
        <v>79</v>
      </c>
      <c r="D3203" t="s">
        <v>21</v>
      </c>
      <c r="E3203" t="s">
        <v>22</v>
      </c>
      <c r="F3203" t="s">
        <v>22</v>
      </c>
      <c r="G3203">
        <v>0</v>
      </c>
      <c r="H3203">
        <v>157.5</v>
      </c>
      <c r="I3203">
        <v>90</v>
      </c>
      <c r="J3203">
        <v>26.78</v>
      </c>
      <c r="K3203">
        <v>223.8</v>
      </c>
      <c r="L3203">
        <v>83</v>
      </c>
      <c r="M3203">
        <v>19.02</v>
      </c>
      <c r="N3203">
        <v>241.1</v>
      </c>
      <c r="O3203">
        <v>98</v>
      </c>
      <c r="P3203">
        <v>10.85</v>
      </c>
      <c r="Q3203">
        <v>12.2</v>
      </c>
      <c r="R3203">
        <v>4</v>
      </c>
      <c r="S3203">
        <v>3.29</v>
      </c>
      <c r="T3203">
        <v>1</v>
      </c>
      <c r="U3203" t="s">
        <v>22</v>
      </c>
      <c r="V3203" t="e">
        <f>IF(#REF! = "yes", 1, 0)</f>
        <v>#REF!</v>
      </c>
      <c r="W3203" t="e">
        <f>IF(#REF! &lt;= 1, "0-1 Calls", IF(#REF! &lt;= 3, "2-3 Calls", IF(#REF! &lt;=5, "4-5 Calls", "6+ Calls")))</f>
        <v>#REF!</v>
      </c>
      <c r="X3203" t="e">
        <f>IF(#REF! &lt;= 50, "0-50", IF(#REF! &lt;=100, "51-100", IF(#REF! &lt;= 150, "101-150", "151+")))</f>
        <v>#REF!</v>
      </c>
      <c r="Y3203" t="e">
        <f>IF(#REF! &lt;= 3, "Low Charges", "High Charges")</f>
        <v>#REF!</v>
      </c>
      <c r="Z3203" t="e">
        <f>IF(#REF!&lt;=80,"Low Calls",
IF(#REF!&lt;=120,"Medium Calls","High Calls"))</f>
        <v>#REF!</v>
      </c>
      <c r="AA3203" t="e">
        <f>IF(#REF!&lt;=15,"Low Charges",
IF(#REF!&lt;=20,"Medium Charges","High Charges"))</f>
        <v>#REF!</v>
      </c>
      <c r="AB3203" t="e">
        <f>IF(AND(#REF!&gt;180, #REF!&gt;200), "Heavy Doemstic User", IF(#REF!&gt;10, "Interntional User", IF(AND(#REF!&lt;180, #REF!&lt;200,#REF!&lt;200), "Light User", "Balanced User")))</f>
        <v>#REF!</v>
      </c>
      <c r="AC3203" t="e">
        <f>IF(#REF! = 0, "No Usage", IF(#REF! &lt;= 20, "Low Usage", IF(#REF! &lt;= 40, "Medium Usgae", "High Usage")))</f>
        <v>#REF!</v>
      </c>
      <c r="AD3203" t="e">
        <f>IF(#REF!&lt;=150,"Low Usage", IF(#REF!&lt;=200,"Medium Usage", IF(#REF!&lt;=250,"High Usage","Very High Usage")))</f>
        <v>#REF!</v>
      </c>
      <c r="AE3203" t="e">
        <f>IF(#REF!&lt;=5,"Low Calls", IF(#REF!&lt;=10, "Medium Calls", "High Calls"))</f>
        <v>#REF!</v>
      </c>
      <c r="AF3203" t="e">
        <f xml:space="preserve">
IF(#REF!&gt;=4,4,0)+
IF(#REF!="yes",3,0)+
IF(#REF!="High Charges",3,0)+
IF(#REF!&gt;250,4,0)+
IF(#REF!="no",1,0)+
IF(#REF!="Heavy Domestic User",2,0)</f>
        <v>#REF!</v>
      </c>
      <c r="AG3203" t="e">
        <f>IF(#REF!&gt;=10,"High Risk", IF(#REF!&gt;=5,"Medium Risk","Low Risk"))</f>
        <v>#REF!</v>
      </c>
      <c r="AH3203" t="e">
        <f>#REF! + #REF! + #REF! + #REF!</f>
        <v>#REF!</v>
      </c>
    </row>
    <row r="3204" spans="1:34" x14ac:dyDescent="0.35">
      <c r="A3204">
        <v>3203</v>
      </c>
      <c r="B3204" t="s">
        <v>24</v>
      </c>
      <c r="C3204">
        <v>126</v>
      </c>
      <c r="D3204" t="s">
        <v>21</v>
      </c>
      <c r="E3204" t="s">
        <v>22</v>
      </c>
      <c r="F3204" t="s">
        <v>22</v>
      </c>
      <c r="G3204">
        <v>0</v>
      </c>
      <c r="H3204">
        <v>167.1</v>
      </c>
      <c r="I3204">
        <v>138</v>
      </c>
      <c r="J3204">
        <v>28.41</v>
      </c>
      <c r="K3204">
        <v>154.4</v>
      </c>
      <c r="L3204">
        <v>93</v>
      </c>
      <c r="M3204">
        <v>13.12</v>
      </c>
      <c r="N3204">
        <v>244.5</v>
      </c>
      <c r="O3204">
        <v>148</v>
      </c>
      <c r="P3204">
        <v>11</v>
      </c>
      <c r="Q3204">
        <v>13.7</v>
      </c>
      <c r="R3204">
        <v>10</v>
      </c>
      <c r="S3204">
        <v>3.7</v>
      </c>
      <c r="T3204">
        <v>3</v>
      </c>
      <c r="U3204" t="s">
        <v>22</v>
      </c>
      <c r="V3204" t="e">
        <f>IF(#REF! = "yes", 1, 0)</f>
        <v>#REF!</v>
      </c>
      <c r="W3204" t="e">
        <f>IF(#REF! &lt;= 1, "0-1 Calls", IF(#REF! &lt;= 3, "2-3 Calls", IF(#REF! &lt;=5, "4-5 Calls", "6+ Calls")))</f>
        <v>#REF!</v>
      </c>
      <c r="X3204" t="e">
        <f>IF(#REF! &lt;= 50, "0-50", IF(#REF! &lt;=100, "51-100", IF(#REF! &lt;= 150, "101-150", "151+")))</f>
        <v>#REF!</v>
      </c>
      <c r="Y3204" t="e">
        <f>IF(#REF! &lt;= 3, "Low Charges", "High Charges")</f>
        <v>#REF!</v>
      </c>
      <c r="Z3204" t="e">
        <f>IF(#REF!&lt;=80,"Low Calls",
IF(#REF!&lt;=120,"Medium Calls","High Calls"))</f>
        <v>#REF!</v>
      </c>
      <c r="AA3204" t="e">
        <f>IF(#REF!&lt;=15,"Low Charges",
IF(#REF!&lt;=20,"Medium Charges","High Charges"))</f>
        <v>#REF!</v>
      </c>
      <c r="AB3204" t="e">
        <f>IF(AND(#REF!&gt;180, #REF!&gt;200), "Heavy Doemstic User", IF(#REF!&gt;10, "Interntional User", IF(AND(#REF!&lt;180, #REF!&lt;200,#REF!&lt;200), "Light User", "Balanced User")))</f>
        <v>#REF!</v>
      </c>
      <c r="AC3204" t="e">
        <f>IF(#REF! = 0, "No Usage", IF(#REF! &lt;= 20, "Low Usage", IF(#REF! &lt;= 40, "Medium Usgae", "High Usage")))</f>
        <v>#REF!</v>
      </c>
      <c r="AD3204" t="e">
        <f>IF(#REF!&lt;=150,"Low Usage", IF(#REF!&lt;=200,"Medium Usage", IF(#REF!&lt;=250,"High Usage","Very High Usage")))</f>
        <v>#REF!</v>
      </c>
      <c r="AE3204" t="e">
        <f>IF(#REF!&lt;=5,"Low Calls", IF(#REF!&lt;=10, "Medium Calls", "High Calls"))</f>
        <v>#REF!</v>
      </c>
      <c r="AF3204" t="e">
        <f xml:space="preserve">
IF(#REF!&gt;=4,4,0)+
IF(#REF!="yes",3,0)+
IF(#REF!="High Charges",3,0)+
IF(#REF!&gt;250,4,0)+
IF(#REF!="no",1,0)+
IF(#REF!="Heavy Domestic User",2,0)</f>
        <v>#REF!</v>
      </c>
      <c r="AG3204" t="e">
        <f>IF(#REF!&gt;=10,"High Risk", IF(#REF!&gt;=5,"Medium Risk","Low Risk"))</f>
        <v>#REF!</v>
      </c>
      <c r="AH3204" t="e">
        <f>#REF! + #REF! + #REF! + #REF!</f>
        <v>#REF!</v>
      </c>
    </row>
    <row r="3205" spans="1:34" x14ac:dyDescent="0.35">
      <c r="A3205">
        <v>3204</v>
      </c>
      <c r="B3205" t="s">
        <v>36</v>
      </c>
      <c r="C3205">
        <v>77</v>
      </c>
      <c r="D3205" t="s">
        <v>28</v>
      </c>
      <c r="E3205" t="s">
        <v>22</v>
      </c>
      <c r="F3205" t="s">
        <v>22</v>
      </c>
      <c r="G3205">
        <v>0</v>
      </c>
      <c r="H3205">
        <v>124.1</v>
      </c>
      <c r="I3205">
        <v>92</v>
      </c>
      <c r="J3205">
        <v>21.1</v>
      </c>
      <c r="K3205">
        <v>214.9</v>
      </c>
      <c r="L3205">
        <v>131</v>
      </c>
      <c r="M3205">
        <v>18.27</v>
      </c>
      <c r="N3205">
        <v>241.3</v>
      </c>
      <c r="O3205">
        <v>132</v>
      </c>
      <c r="P3205">
        <v>10.86</v>
      </c>
      <c r="Q3205">
        <v>13.7</v>
      </c>
      <c r="R3205">
        <v>3</v>
      </c>
      <c r="S3205">
        <v>3.7</v>
      </c>
      <c r="T3205">
        <v>0</v>
      </c>
      <c r="U3205" t="s">
        <v>22</v>
      </c>
      <c r="V3205" t="e">
        <f>IF(#REF! = "yes", 1, 0)</f>
        <v>#REF!</v>
      </c>
      <c r="W3205" t="e">
        <f>IF(#REF! &lt;= 1, "0-1 Calls", IF(#REF! &lt;= 3, "2-3 Calls", IF(#REF! &lt;=5, "4-5 Calls", "6+ Calls")))</f>
        <v>#REF!</v>
      </c>
      <c r="X3205" t="e">
        <f>IF(#REF! &lt;= 50, "0-50", IF(#REF! &lt;=100, "51-100", IF(#REF! &lt;= 150, "101-150", "151+")))</f>
        <v>#REF!</v>
      </c>
      <c r="Y3205" t="e">
        <f>IF(#REF! &lt;= 3, "Low Charges", "High Charges")</f>
        <v>#REF!</v>
      </c>
      <c r="Z3205" t="e">
        <f>IF(#REF!&lt;=80,"Low Calls",
IF(#REF!&lt;=120,"Medium Calls","High Calls"))</f>
        <v>#REF!</v>
      </c>
      <c r="AA3205" t="e">
        <f>IF(#REF!&lt;=15,"Low Charges",
IF(#REF!&lt;=20,"Medium Charges","High Charges"))</f>
        <v>#REF!</v>
      </c>
      <c r="AB3205" t="e">
        <f>IF(AND(#REF!&gt;180, #REF!&gt;200), "Heavy Doemstic User", IF(#REF!&gt;10, "Interntional User", IF(AND(#REF!&lt;180, #REF!&lt;200,#REF!&lt;200), "Light User", "Balanced User")))</f>
        <v>#REF!</v>
      </c>
      <c r="AC3205" t="e">
        <f>IF(#REF! = 0, "No Usage", IF(#REF! &lt;= 20, "Low Usage", IF(#REF! &lt;= 40, "Medium Usgae", "High Usage")))</f>
        <v>#REF!</v>
      </c>
      <c r="AD3205" t="e">
        <f>IF(#REF!&lt;=150,"Low Usage", IF(#REF!&lt;=200,"Medium Usage", IF(#REF!&lt;=250,"High Usage","Very High Usage")))</f>
        <v>#REF!</v>
      </c>
      <c r="AE3205" t="e">
        <f>IF(#REF!&lt;=5,"Low Calls", IF(#REF!&lt;=10, "Medium Calls", "High Calls"))</f>
        <v>#REF!</v>
      </c>
      <c r="AF3205" t="e">
        <f xml:space="preserve">
IF(#REF!&gt;=4,4,0)+
IF(#REF!="yes",3,0)+
IF(#REF!="High Charges",3,0)+
IF(#REF!&gt;250,4,0)+
IF(#REF!="no",1,0)+
IF(#REF!="Heavy Domestic User",2,0)</f>
        <v>#REF!</v>
      </c>
      <c r="AG3205" t="e">
        <f>IF(#REF!&gt;=10,"High Risk", IF(#REF!&gt;=5,"Medium Risk","Low Risk"))</f>
        <v>#REF!</v>
      </c>
      <c r="AH3205" t="e">
        <f>#REF! + #REF! + #REF! + #REF!</f>
        <v>#REF!</v>
      </c>
    </row>
    <row r="3206" spans="1:34" x14ac:dyDescent="0.35">
      <c r="A3206">
        <v>3205</v>
      </c>
      <c r="B3206" t="s">
        <v>60</v>
      </c>
      <c r="C3206">
        <v>72</v>
      </c>
      <c r="D3206" t="s">
        <v>25</v>
      </c>
      <c r="E3206" t="s">
        <v>22</v>
      </c>
      <c r="F3206" t="s">
        <v>23</v>
      </c>
      <c r="G3206">
        <v>31</v>
      </c>
      <c r="H3206">
        <v>221.4</v>
      </c>
      <c r="I3206">
        <v>124</v>
      </c>
      <c r="J3206">
        <v>37.64</v>
      </c>
      <c r="K3206">
        <v>313.39999999999998</v>
      </c>
      <c r="L3206">
        <v>96</v>
      </c>
      <c r="M3206">
        <v>26.64</v>
      </c>
      <c r="N3206">
        <v>175.9</v>
      </c>
      <c r="O3206">
        <v>94</v>
      </c>
      <c r="P3206">
        <v>7.92</v>
      </c>
      <c r="Q3206">
        <v>11.8</v>
      </c>
      <c r="R3206">
        <v>1</v>
      </c>
      <c r="S3206">
        <v>3.19</v>
      </c>
      <c r="T3206">
        <v>3</v>
      </c>
      <c r="U3206" t="s">
        <v>22</v>
      </c>
      <c r="V3206" t="e">
        <f>IF(#REF! = "yes", 1, 0)</f>
        <v>#REF!</v>
      </c>
      <c r="W3206" t="e">
        <f>IF(#REF! &lt;= 1, "0-1 Calls", IF(#REF! &lt;= 3, "2-3 Calls", IF(#REF! &lt;=5, "4-5 Calls", "6+ Calls")))</f>
        <v>#REF!</v>
      </c>
      <c r="X3206" t="e">
        <f>IF(#REF! &lt;= 50, "0-50", IF(#REF! &lt;=100, "51-100", IF(#REF! &lt;= 150, "101-150", "151+")))</f>
        <v>#REF!</v>
      </c>
      <c r="Y3206" t="e">
        <f>IF(#REF! &lt;= 3, "Low Charges", "High Charges")</f>
        <v>#REF!</v>
      </c>
      <c r="Z3206" t="e">
        <f>IF(#REF!&lt;=80,"Low Calls",
IF(#REF!&lt;=120,"Medium Calls","High Calls"))</f>
        <v>#REF!</v>
      </c>
      <c r="AA3206" t="e">
        <f>IF(#REF!&lt;=15,"Low Charges",
IF(#REF!&lt;=20,"Medium Charges","High Charges"))</f>
        <v>#REF!</v>
      </c>
      <c r="AB3206" t="e">
        <f>IF(AND(#REF!&gt;180, #REF!&gt;200), "Heavy Doemstic User", IF(#REF!&gt;10, "Interntional User", IF(AND(#REF!&lt;180, #REF!&lt;200,#REF!&lt;200), "Light User", "Balanced User")))</f>
        <v>#REF!</v>
      </c>
      <c r="AC3206" t="e">
        <f>IF(#REF! = 0, "No Usage", IF(#REF! &lt;= 20, "Low Usage", IF(#REF! &lt;= 40, "Medium Usgae", "High Usage")))</f>
        <v>#REF!</v>
      </c>
      <c r="AD3206" t="e">
        <f>IF(#REF!&lt;=150,"Low Usage", IF(#REF!&lt;=200,"Medium Usage", IF(#REF!&lt;=250,"High Usage","Very High Usage")))</f>
        <v>#REF!</v>
      </c>
      <c r="AE3206" t="e">
        <f>IF(#REF!&lt;=5,"Low Calls", IF(#REF!&lt;=10, "Medium Calls", "High Calls"))</f>
        <v>#REF!</v>
      </c>
      <c r="AF3206" t="e">
        <f xml:space="preserve">
IF(#REF!&gt;=4,4,0)+
IF(#REF!="yes",3,0)+
IF(#REF!="High Charges",3,0)+
IF(#REF!&gt;250,4,0)+
IF(#REF!="no",1,0)+
IF(#REF!="Heavy Domestic User",2,0)</f>
        <v>#REF!</v>
      </c>
      <c r="AG3206" t="e">
        <f>IF(#REF!&gt;=10,"High Risk", IF(#REF!&gt;=5,"Medium Risk","Low Risk"))</f>
        <v>#REF!</v>
      </c>
      <c r="AH3206" t="e">
        <f>#REF! + #REF! + #REF! + #REF!</f>
        <v>#REF!</v>
      </c>
    </row>
    <row r="3207" spans="1:34" x14ac:dyDescent="0.35">
      <c r="A3207">
        <v>3206</v>
      </c>
      <c r="B3207" t="s">
        <v>20</v>
      </c>
      <c r="C3207">
        <v>110</v>
      </c>
      <c r="D3207" t="s">
        <v>21</v>
      </c>
      <c r="E3207" t="s">
        <v>22</v>
      </c>
      <c r="F3207" t="s">
        <v>23</v>
      </c>
      <c r="G3207">
        <v>37</v>
      </c>
      <c r="H3207">
        <v>227.9</v>
      </c>
      <c r="I3207">
        <v>80</v>
      </c>
      <c r="J3207">
        <v>38.74</v>
      </c>
      <c r="K3207">
        <v>101.9</v>
      </c>
      <c r="L3207">
        <v>141</v>
      </c>
      <c r="M3207">
        <v>8.66</v>
      </c>
      <c r="N3207">
        <v>188.1</v>
      </c>
      <c r="O3207">
        <v>110</v>
      </c>
      <c r="P3207">
        <v>8.4600000000000009</v>
      </c>
      <c r="Q3207">
        <v>5.0999999999999996</v>
      </c>
      <c r="R3207">
        <v>6</v>
      </c>
      <c r="S3207">
        <v>1.38</v>
      </c>
      <c r="T3207">
        <v>0</v>
      </c>
      <c r="U3207" t="s">
        <v>22</v>
      </c>
      <c r="V3207" t="e">
        <f>IF(#REF! = "yes", 1, 0)</f>
        <v>#REF!</v>
      </c>
      <c r="W3207" t="e">
        <f>IF(#REF! &lt;= 1, "0-1 Calls", IF(#REF! &lt;= 3, "2-3 Calls", IF(#REF! &lt;=5, "4-5 Calls", "6+ Calls")))</f>
        <v>#REF!</v>
      </c>
      <c r="X3207" t="e">
        <f>IF(#REF! &lt;= 50, "0-50", IF(#REF! &lt;=100, "51-100", IF(#REF! &lt;= 150, "101-150", "151+")))</f>
        <v>#REF!</v>
      </c>
      <c r="Y3207" t="e">
        <f>IF(#REF! &lt;= 3, "Low Charges", "High Charges")</f>
        <v>#REF!</v>
      </c>
      <c r="Z3207" t="e">
        <f>IF(#REF!&lt;=80,"Low Calls",
IF(#REF!&lt;=120,"Medium Calls","High Calls"))</f>
        <v>#REF!</v>
      </c>
      <c r="AA3207" t="e">
        <f>IF(#REF!&lt;=15,"Low Charges",
IF(#REF!&lt;=20,"Medium Charges","High Charges"))</f>
        <v>#REF!</v>
      </c>
      <c r="AB3207" t="e">
        <f>IF(AND(#REF!&gt;180, #REF!&gt;200), "Heavy Doemstic User", IF(#REF!&gt;10, "Interntional User", IF(AND(#REF!&lt;180, #REF!&lt;200,#REF!&lt;200), "Light User", "Balanced User")))</f>
        <v>#REF!</v>
      </c>
      <c r="AC3207" t="e">
        <f>IF(#REF! = 0, "No Usage", IF(#REF! &lt;= 20, "Low Usage", IF(#REF! &lt;= 40, "Medium Usgae", "High Usage")))</f>
        <v>#REF!</v>
      </c>
      <c r="AD3207" t="e">
        <f>IF(#REF!&lt;=150,"Low Usage", IF(#REF!&lt;=200,"Medium Usage", IF(#REF!&lt;=250,"High Usage","Very High Usage")))</f>
        <v>#REF!</v>
      </c>
      <c r="AE3207" t="e">
        <f>IF(#REF!&lt;=5,"Low Calls", IF(#REF!&lt;=10, "Medium Calls", "High Calls"))</f>
        <v>#REF!</v>
      </c>
      <c r="AF3207" t="e">
        <f xml:space="preserve">
IF(#REF!&gt;=4,4,0)+
IF(#REF!="yes",3,0)+
IF(#REF!="High Charges",3,0)+
IF(#REF!&gt;250,4,0)+
IF(#REF!="no",1,0)+
IF(#REF!="Heavy Domestic User",2,0)</f>
        <v>#REF!</v>
      </c>
      <c r="AG3207" t="e">
        <f>IF(#REF!&gt;=10,"High Risk", IF(#REF!&gt;=5,"Medium Risk","Low Risk"))</f>
        <v>#REF!</v>
      </c>
      <c r="AH3207" t="e">
        <f>#REF! + #REF! + #REF! + #REF!</f>
        <v>#REF!</v>
      </c>
    </row>
    <row r="3208" spans="1:34" x14ac:dyDescent="0.35">
      <c r="A3208">
        <v>3207</v>
      </c>
      <c r="B3208" t="s">
        <v>57</v>
      </c>
      <c r="C3208">
        <v>88</v>
      </c>
      <c r="D3208" t="s">
        <v>21</v>
      </c>
      <c r="E3208" t="s">
        <v>22</v>
      </c>
      <c r="F3208" t="s">
        <v>22</v>
      </c>
      <c r="G3208">
        <v>0</v>
      </c>
      <c r="H3208">
        <v>177.8</v>
      </c>
      <c r="I3208">
        <v>112</v>
      </c>
      <c r="J3208">
        <v>30.23</v>
      </c>
      <c r="K3208">
        <v>226.5</v>
      </c>
      <c r="L3208">
        <v>80</v>
      </c>
      <c r="M3208">
        <v>19.25</v>
      </c>
      <c r="N3208">
        <v>221.8</v>
      </c>
      <c r="O3208">
        <v>71</v>
      </c>
      <c r="P3208">
        <v>9.98</v>
      </c>
      <c r="Q3208">
        <v>7.9</v>
      </c>
      <c r="R3208">
        <v>4</v>
      </c>
      <c r="S3208">
        <v>2.13</v>
      </c>
      <c r="T3208">
        <v>1</v>
      </c>
      <c r="U3208" t="s">
        <v>22</v>
      </c>
      <c r="V3208" t="e">
        <f>IF(#REF! = "yes", 1, 0)</f>
        <v>#REF!</v>
      </c>
      <c r="W3208" t="e">
        <f>IF(#REF! &lt;= 1, "0-1 Calls", IF(#REF! &lt;= 3, "2-3 Calls", IF(#REF! &lt;=5, "4-5 Calls", "6+ Calls")))</f>
        <v>#REF!</v>
      </c>
      <c r="X3208" t="e">
        <f>IF(#REF! &lt;= 50, "0-50", IF(#REF! &lt;=100, "51-100", IF(#REF! &lt;= 150, "101-150", "151+")))</f>
        <v>#REF!</v>
      </c>
      <c r="Y3208" t="e">
        <f>IF(#REF! &lt;= 3, "Low Charges", "High Charges")</f>
        <v>#REF!</v>
      </c>
      <c r="Z3208" t="e">
        <f>IF(#REF!&lt;=80,"Low Calls",
IF(#REF!&lt;=120,"Medium Calls","High Calls"))</f>
        <v>#REF!</v>
      </c>
      <c r="AA3208" t="e">
        <f>IF(#REF!&lt;=15,"Low Charges",
IF(#REF!&lt;=20,"Medium Charges","High Charges"))</f>
        <v>#REF!</v>
      </c>
      <c r="AB3208" t="e">
        <f>IF(AND(#REF!&gt;180, #REF!&gt;200), "Heavy Doemstic User", IF(#REF!&gt;10, "Interntional User", IF(AND(#REF!&lt;180, #REF!&lt;200,#REF!&lt;200), "Light User", "Balanced User")))</f>
        <v>#REF!</v>
      </c>
      <c r="AC3208" t="e">
        <f>IF(#REF! = 0, "No Usage", IF(#REF! &lt;= 20, "Low Usage", IF(#REF! &lt;= 40, "Medium Usgae", "High Usage")))</f>
        <v>#REF!</v>
      </c>
      <c r="AD3208" t="e">
        <f>IF(#REF!&lt;=150,"Low Usage", IF(#REF!&lt;=200,"Medium Usage", IF(#REF!&lt;=250,"High Usage","Very High Usage")))</f>
        <v>#REF!</v>
      </c>
      <c r="AE3208" t="e">
        <f>IF(#REF!&lt;=5,"Low Calls", IF(#REF!&lt;=10, "Medium Calls", "High Calls"))</f>
        <v>#REF!</v>
      </c>
      <c r="AF3208" t="e">
        <f xml:space="preserve">
IF(#REF!&gt;=4,4,0)+
IF(#REF!="yes",3,0)+
IF(#REF!="High Charges",3,0)+
IF(#REF!&gt;250,4,0)+
IF(#REF!="no",1,0)+
IF(#REF!="Heavy Domestic User",2,0)</f>
        <v>#REF!</v>
      </c>
      <c r="AG3208" t="e">
        <f>IF(#REF!&gt;=10,"High Risk", IF(#REF!&gt;=5,"Medium Risk","Low Risk"))</f>
        <v>#REF!</v>
      </c>
      <c r="AH3208" t="e">
        <f>#REF! + #REF! + #REF! + #REF!</f>
        <v>#REF!</v>
      </c>
    </row>
    <row r="3209" spans="1:34" x14ac:dyDescent="0.35">
      <c r="A3209">
        <v>3208</v>
      </c>
      <c r="B3209" t="s">
        <v>55</v>
      </c>
      <c r="C3209">
        <v>80</v>
      </c>
      <c r="D3209" t="s">
        <v>21</v>
      </c>
      <c r="E3209" t="s">
        <v>22</v>
      </c>
      <c r="F3209" t="s">
        <v>23</v>
      </c>
      <c r="G3209">
        <v>33</v>
      </c>
      <c r="H3209">
        <v>189.4</v>
      </c>
      <c r="I3209">
        <v>109</v>
      </c>
      <c r="J3209">
        <v>32.200000000000003</v>
      </c>
      <c r="K3209">
        <v>148.69999999999999</v>
      </c>
      <c r="L3209">
        <v>68</v>
      </c>
      <c r="M3209">
        <v>12.64</v>
      </c>
      <c r="N3209">
        <v>208.9</v>
      </c>
      <c r="O3209">
        <v>119</v>
      </c>
      <c r="P3209">
        <v>9.4</v>
      </c>
      <c r="Q3209">
        <v>11.2</v>
      </c>
      <c r="R3209">
        <v>4</v>
      </c>
      <c r="S3209">
        <v>3.02</v>
      </c>
      <c r="T3209">
        <v>1</v>
      </c>
      <c r="U3209" t="s">
        <v>23</v>
      </c>
      <c r="V3209" t="e">
        <f>IF(#REF! = "yes", 1, 0)</f>
        <v>#REF!</v>
      </c>
      <c r="W3209" t="e">
        <f>IF(#REF! &lt;= 1, "0-1 Calls", IF(#REF! &lt;= 3, "2-3 Calls", IF(#REF! &lt;=5, "4-5 Calls", "6+ Calls")))</f>
        <v>#REF!</v>
      </c>
      <c r="X3209" t="e">
        <f>IF(#REF! &lt;= 50, "0-50", IF(#REF! &lt;=100, "51-100", IF(#REF! &lt;= 150, "101-150", "151+")))</f>
        <v>#REF!</v>
      </c>
      <c r="Y3209" t="e">
        <f>IF(#REF! &lt;= 3, "Low Charges", "High Charges")</f>
        <v>#REF!</v>
      </c>
      <c r="Z3209" t="e">
        <f>IF(#REF!&lt;=80,"Low Calls",
IF(#REF!&lt;=120,"Medium Calls","High Calls"))</f>
        <v>#REF!</v>
      </c>
      <c r="AA3209" t="e">
        <f>IF(#REF!&lt;=15,"Low Charges",
IF(#REF!&lt;=20,"Medium Charges","High Charges"))</f>
        <v>#REF!</v>
      </c>
      <c r="AB3209" t="e">
        <f>IF(AND(#REF!&gt;180, #REF!&gt;200), "Heavy Doemstic User", IF(#REF!&gt;10, "Interntional User", IF(AND(#REF!&lt;180, #REF!&lt;200,#REF!&lt;200), "Light User", "Balanced User")))</f>
        <v>#REF!</v>
      </c>
      <c r="AC3209" t="e">
        <f>IF(#REF! = 0, "No Usage", IF(#REF! &lt;= 20, "Low Usage", IF(#REF! &lt;= 40, "Medium Usgae", "High Usage")))</f>
        <v>#REF!</v>
      </c>
      <c r="AD3209" t="e">
        <f>IF(#REF!&lt;=150,"Low Usage", IF(#REF!&lt;=200,"Medium Usage", IF(#REF!&lt;=250,"High Usage","Very High Usage")))</f>
        <v>#REF!</v>
      </c>
      <c r="AE3209" t="e">
        <f>IF(#REF!&lt;=5,"Low Calls", IF(#REF!&lt;=10, "Medium Calls", "High Calls"))</f>
        <v>#REF!</v>
      </c>
      <c r="AF3209" t="e">
        <f xml:space="preserve">
IF(#REF!&gt;=4,4,0)+
IF(#REF!="yes",3,0)+
IF(#REF!="High Charges",3,0)+
IF(#REF!&gt;250,4,0)+
IF(#REF!="no",1,0)+
IF(#REF!="Heavy Domestic User",2,0)</f>
        <v>#REF!</v>
      </c>
      <c r="AG3209" t="e">
        <f>IF(#REF!&gt;=10,"High Risk", IF(#REF!&gt;=5,"Medium Risk","Low Risk"))</f>
        <v>#REF!</v>
      </c>
      <c r="AH3209" t="e">
        <f>#REF! + #REF! + #REF! + #REF!</f>
        <v>#REF!</v>
      </c>
    </row>
    <row r="3210" spans="1:34" x14ac:dyDescent="0.35">
      <c r="A3210">
        <v>3209</v>
      </c>
      <c r="B3210" t="s">
        <v>20</v>
      </c>
      <c r="C3210">
        <v>43</v>
      </c>
      <c r="D3210" t="s">
        <v>28</v>
      </c>
      <c r="E3210" t="s">
        <v>22</v>
      </c>
      <c r="F3210" t="s">
        <v>23</v>
      </c>
      <c r="G3210">
        <v>39</v>
      </c>
      <c r="H3210">
        <v>188.3</v>
      </c>
      <c r="I3210">
        <v>108</v>
      </c>
      <c r="J3210">
        <v>32.01</v>
      </c>
      <c r="K3210">
        <v>167.6</v>
      </c>
      <c r="L3210">
        <v>116</v>
      </c>
      <c r="M3210">
        <v>14.25</v>
      </c>
      <c r="N3210">
        <v>189.9</v>
      </c>
      <c r="O3210">
        <v>92</v>
      </c>
      <c r="P3210">
        <v>8.5500000000000007</v>
      </c>
      <c r="Q3210">
        <v>15.6</v>
      </c>
      <c r="R3210">
        <v>5</v>
      </c>
      <c r="S3210">
        <v>4.21</v>
      </c>
      <c r="T3210">
        <v>1</v>
      </c>
      <c r="U3210" t="s">
        <v>22</v>
      </c>
      <c r="V3210" t="e">
        <f>IF(#REF! = "yes", 1, 0)</f>
        <v>#REF!</v>
      </c>
      <c r="W3210" t="e">
        <f>IF(#REF! &lt;= 1, "0-1 Calls", IF(#REF! &lt;= 3, "2-3 Calls", IF(#REF! &lt;=5, "4-5 Calls", "6+ Calls")))</f>
        <v>#REF!</v>
      </c>
      <c r="X3210" t="e">
        <f>IF(#REF! &lt;= 50, "0-50", IF(#REF! &lt;=100, "51-100", IF(#REF! &lt;= 150, "101-150", "151+")))</f>
        <v>#REF!</v>
      </c>
      <c r="Y3210" t="e">
        <f>IF(#REF! &lt;= 3, "Low Charges", "High Charges")</f>
        <v>#REF!</v>
      </c>
      <c r="Z3210" t="e">
        <f>IF(#REF!&lt;=80,"Low Calls",
IF(#REF!&lt;=120,"Medium Calls","High Calls"))</f>
        <v>#REF!</v>
      </c>
      <c r="AA3210" t="e">
        <f>IF(#REF!&lt;=15,"Low Charges",
IF(#REF!&lt;=20,"Medium Charges","High Charges"))</f>
        <v>#REF!</v>
      </c>
      <c r="AB3210" t="e">
        <f>IF(AND(#REF!&gt;180, #REF!&gt;200), "Heavy Doemstic User", IF(#REF!&gt;10, "Interntional User", IF(AND(#REF!&lt;180, #REF!&lt;200,#REF!&lt;200), "Light User", "Balanced User")))</f>
        <v>#REF!</v>
      </c>
      <c r="AC3210" t="e">
        <f>IF(#REF! = 0, "No Usage", IF(#REF! &lt;= 20, "Low Usage", IF(#REF! &lt;= 40, "Medium Usgae", "High Usage")))</f>
        <v>#REF!</v>
      </c>
      <c r="AD3210" t="e">
        <f>IF(#REF!&lt;=150,"Low Usage", IF(#REF!&lt;=200,"Medium Usage", IF(#REF!&lt;=250,"High Usage","Very High Usage")))</f>
        <v>#REF!</v>
      </c>
      <c r="AE3210" t="e">
        <f>IF(#REF!&lt;=5,"Low Calls", IF(#REF!&lt;=10, "Medium Calls", "High Calls"))</f>
        <v>#REF!</v>
      </c>
      <c r="AF3210" t="e">
        <f xml:space="preserve">
IF(#REF!&gt;=4,4,0)+
IF(#REF!="yes",3,0)+
IF(#REF!="High Charges",3,0)+
IF(#REF!&gt;250,4,0)+
IF(#REF!="no",1,0)+
IF(#REF!="Heavy Domestic User",2,0)</f>
        <v>#REF!</v>
      </c>
      <c r="AG3210" t="e">
        <f>IF(#REF!&gt;=10,"High Risk", IF(#REF!&gt;=5,"Medium Risk","Low Risk"))</f>
        <v>#REF!</v>
      </c>
      <c r="AH3210" t="e">
        <f>#REF! + #REF! + #REF! + #REF!</f>
        <v>#REF!</v>
      </c>
    </row>
    <row r="3211" spans="1:34" x14ac:dyDescent="0.35">
      <c r="A3211">
        <v>3210</v>
      </c>
      <c r="B3211" t="s">
        <v>67</v>
      </c>
      <c r="C3211">
        <v>144</v>
      </c>
      <c r="D3211" t="s">
        <v>21</v>
      </c>
      <c r="E3211" t="s">
        <v>22</v>
      </c>
      <c r="F3211" t="s">
        <v>23</v>
      </c>
      <c r="G3211">
        <v>26</v>
      </c>
      <c r="H3211">
        <v>177.1</v>
      </c>
      <c r="I3211">
        <v>94</v>
      </c>
      <c r="J3211">
        <v>30.11</v>
      </c>
      <c r="K3211">
        <v>206</v>
      </c>
      <c r="L3211">
        <v>85</v>
      </c>
      <c r="M3211">
        <v>17.510000000000002</v>
      </c>
      <c r="N3211">
        <v>254.8</v>
      </c>
      <c r="O3211">
        <v>95</v>
      </c>
      <c r="P3211">
        <v>11.47</v>
      </c>
      <c r="Q3211">
        <v>6.6</v>
      </c>
      <c r="R3211">
        <v>2</v>
      </c>
      <c r="S3211">
        <v>1.78</v>
      </c>
      <c r="T3211">
        <v>2</v>
      </c>
      <c r="U3211" t="s">
        <v>22</v>
      </c>
      <c r="V3211" t="e">
        <f>IF(#REF! = "yes", 1, 0)</f>
        <v>#REF!</v>
      </c>
      <c r="W3211" t="e">
        <f>IF(#REF! &lt;= 1, "0-1 Calls", IF(#REF! &lt;= 3, "2-3 Calls", IF(#REF! &lt;=5, "4-5 Calls", "6+ Calls")))</f>
        <v>#REF!</v>
      </c>
      <c r="X3211" t="e">
        <f>IF(#REF! &lt;= 50, "0-50", IF(#REF! &lt;=100, "51-100", IF(#REF! &lt;= 150, "101-150", "151+")))</f>
        <v>#REF!</v>
      </c>
      <c r="Y3211" t="e">
        <f>IF(#REF! &lt;= 3, "Low Charges", "High Charges")</f>
        <v>#REF!</v>
      </c>
      <c r="Z3211" t="e">
        <f>IF(#REF!&lt;=80,"Low Calls",
IF(#REF!&lt;=120,"Medium Calls","High Calls"))</f>
        <v>#REF!</v>
      </c>
      <c r="AA3211" t="e">
        <f>IF(#REF!&lt;=15,"Low Charges",
IF(#REF!&lt;=20,"Medium Charges","High Charges"))</f>
        <v>#REF!</v>
      </c>
      <c r="AB3211" t="e">
        <f>IF(AND(#REF!&gt;180, #REF!&gt;200), "Heavy Doemstic User", IF(#REF!&gt;10, "Interntional User", IF(AND(#REF!&lt;180, #REF!&lt;200,#REF!&lt;200), "Light User", "Balanced User")))</f>
        <v>#REF!</v>
      </c>
      <c r="AC3211" t="e">
        <f>IF(#REF! = 0, "No Usage", IF(#REF! &lt;= 20, "Low Usage", IF(#REF! &lt;= 40, "Medium Usgae", "High Usage")))</f>
        <v>#REF!</v>
      </c>
      <c r="AD3211" t="e">
        <f>IF(#REF!&lt;=150,"Low Usage", IF(#REF!&lt;=200,"Medium Usage", IF(#REF!&lt;=250,"High Usage","Very High Usage")))</f>
        <v>#REF!</v>
      </c>
      <c r="AE3211" t="e">
        <f>IF(#REF!&lt;=5,"Low Calls", IF(#REF!&lt;=10, "Medium Calls", "High Calls"))</f>
        <v>#REF!</v>
      </c>
      <c r="AF3211" t="e">
        <f xml:space="preserve">
IF(#REF!&gt;=4,4,0)+
IF(#REF!="yes",3,0)+
IF(#REF!="High Charges",3,0)+
IF(#REF!&gt;250,4,0)+
IF(#REF!="no",1,0)+
IF(#REF!="Heavy Domestic User",2,0)</f>
        <v>#REF!</v>
      </c>
      <c r="AG3211" t="e">
        <f>IF(#REF!&gt;=10,"High Risk", IF(#REF!&gt;=5,"Medium Risk","Low Risk"))</f>
        <v>#REF!</v>
      </c>
      <c r="AH3211" t="e">
        <f>#REF! + #REF! + #REF! + #REF!</f>
        <v>#REF!</v>
      </c>
    </row>
    <row r="3212" spans="1:34" x14ac:dyDescent="0.35">
      <c r="A3212">
        <v>3211</v>
      </c>
      <c r="B3212" t="s">
        <v>73</v>
      </c>
      <c r="C3212">
        <v>142</v>
      </c>
      <c r="D3212" t="s">
        <v>25</v>
      </c>
      <c r="E3212" t="s">
        <v>22</v>
      </c>
      <c r="F3212" t="s">
        <v>22</v>
      </c>
      <c r="G3212">
        <v>0</v>
      </c>
      <c r="H3212">
        <v>128.5</v>
      </c>
      <c r="I3212">
        <v>95</v>
      </c>
      <c r="J3212">
        <v>21.85</v>
      </c>
      <c r="K3212">
        <v>192.6</v>
      </c>
      <c r="L3212">
        <v>91</v>
      </c>
      <c r="M3212">
        <v>16.37</v>
      </c>
      <c r="N3212">
        <v>79</v>
      </c>
      <c r="O3212">
        <v>95</v>
      </c>
      <c r="P3212">
        <v>3.56</v>
      </c>
      <c r="Q3212">
        <v>9.1999999999999993</v>
      </c>
      <c r="R3212">
        <v>6</v>
      </c>
      <c r="S3212">
        <v>2.48</v>
      </c>
      <c r="T3212">
        <v>2</v>
      </c>
      <c r="U3212" t="s">
        <v>22</v>
      </c>
      <c r="V3212" t="e">
        <f>IF(#REF! = "yes", 1, 0)</f>
        <v>#REF!</v>
      </c>
      <c r="W3212" t="e">
        <f>IF(#REF! &lt;= 1, "0-1 Calls", IF(#REF! &lt;= 3, "2-3 Calls", IF(#REF! &lt;=5, "4-5 Calls", "6+ Calls")))</f>
        <v>#REF!</v>
      </c>
      <c r="X3212" t="e">
        <f>IF(#REF! &lt;= 50, "0-50", IF(#REF! &lt;=100, "51-100", IF(#REF! &lt;= 150, "101-150", "151+")))</f>
        <v>#REF!</v>
      </c>
      <c r="Y3212" t="e">
        <f>IF(#REF! &lt;= 3, "Low Charges", "High Charges")</f>
        <v>#REF!</v>
      </c>
      <c r="Z3212" t="e">
        <f>IF(#REF!&lt;=80,"Low Calls",
IF(#REF!&lt;=120,"Medium Calls","High Calls"))</f>
        <v>#REF!</v>
      </c>
      <c r="AA3212" t="e">
        <f>IF(#REF!&lt;=15,"Low Charges",
IF(#REF!&lt;=20,"Medium Charges","High Charges"))</f>
        <v>#REF!</v>
      </c>
      <c r="AB3212" t="e">
        <f>IF(AND(#REF!&gt;180, #REF!&gt;200), "Heavy Doemstic User", IF(#REF!&gt;10, "Interntional User", IF(AND(#REF!&lt;180, #REF!&lt;200,#REF!&lt;200), "Light User", "Balanced User")))</f>
        <v>#REF!</v>
      </c>
      <c r="AC3212" t="e">
        <f>IF(#REF! = 0, "No Usage", IF(#REF! &lt;= 20, "Low Usage", IF(#REF! &lt;= 40, "Medium Usgae", "High Usage")))</f>
        <v>#REF!</v>
      </c>
      <c r="AD3212" t="e">
        <f>IF(#REF!&lt;=150,"Low Usage", IF(#REF!&lt;=200,"Medium Usage", IF(#REF!&lt;=250,"High Usage","Very High Usage")))</f>
        <v>#REF!</v>
      </c>
      <c r="AE3212" t="e">
        <f>IF(#REF!&lt;=5,"Low Calls", IF(#REF!&lt;=10, "Medium Calls", "High Calls"))</f>
        <v>#REF!</v>
      </c>
      <c r="AF3212" t="e">
        <f xml:space="preserve">
IF(#REF!&gt;=4,4,0)+
IF(#REF!="yes",3,0)+
IF(#REF!="High Charges",3,0)+
IF(#REF!&gt;250,4,0)+
IF(#REF!="no",1,0)+
IF(#REF!="Heavy Domestic User",2,0)</f>
        <v>#REF!</v>
      </c>
      <c r="AG3212" t="e">
        <f>IF(#REF!&gt;=10,"High Risk", IF(#REF!&gt;=5,"Medium Risk","Low Risk"))</f>
        <v>#REF!</v>
      </c>
      <c r="AH3212" t="e">
        <f>#REF! + #REF! + #REF! + #REF!</f>
        <v>#REF!</v>
      </c>
    </row>
    <row r="3213" spans="1:34" x14ac:dyDescent="0.35">
      <c r="A3213">
        <v>3212</v>
      </c>
      <c r="B3213" t="s">
        <v>46</v>
      </c>
      <c r="C3213">
        <v>78</v>
      </c>
      <c r="D3213" t="s">
        <v>25</v>
      </c>
      <c r="E3213" t="s">
        <v>22</v>
      </c>
      <c r="F3213" t="s">
        <v>23</v>
      </c>
      <c r="G3213">
        <v>28</v>
      </c>
      <c r="H3213">
        <v>130.5</v>
      </c>
      <c r="I3213">
        <v>109</v>
      </c>
      <c r="J3213">
        <v>22.19</v>
      </c>
      <c r="K3213">
        <v>173.3</v>
      </c>
      <c r="L3213">
        <v>99</v>
      </c>
      <c r="M3213">
        <v>14.73</v>
      </c>
      <c r="N3213">
        <v>192.2</v>
      </c>
      <c r="O3213">
        <v>106</v>
      </c>
      <c r="P3213">
        <v>8.65</v>
      </c>
      <c r="Q3213">
        <v>10.4</v>
      </c>
      <c r="R3213">
        <v>3</v>
      </c>
      <c r="S3213">
        <v>2.81</v>
      </c>
      <c r="T3213">
        <v>3</v>
      </c>
      <c r="U3213" t="s">
        <v>22</v>
      </c>
      <c r="V3213" t="e">
        <f>IF(#REF! = "yes", 1, 0)</f>
        <v>#REF!</v>
      </c>
      <c r="W3213" t="e">
        <f>IF(#REF! &lt;= 1, "0-1 Calls", IF(#REF! &lt;= 3, "2-3 Calls", IF(#REF! &lt;=5, "4-5 Calls", "6+ Calls")))</f>
        <v>#REF!</v>
      </c>
      <c r="X3213" t="e">
        <f>IF(#REF! &lt;= 50, "0-50", IF(#REF! &lt;=100, "51-100", IF(#REF! &lt;= 150, "101-150", "151+")))</f>
        <v>#REF!</v>
      </c>
      <c r="Y3213" t="e">
        <f>IF(#REF! &lt;= 3, "Low Charges", "High Charges")</f>
        <v>#REF!</v>
      </c>
      <c r="Z3213" t="e">
        <f>IF(#REF!&lt;=80,"Low Calls",
IF(#REF!&lt;=120,"Medium Calls","High Calls"))</f>
        <v>#REF!</v>
      </c>
      <c r="AA3213" t="e">
        <f>IF(#REF!&lt;=15,"Low Charges",
IF(#REF!&lt;=20,"Medium Charges","High Charges"))</f>
        <v>#REF!</v>
      </c>
      <c r="AB3213" t="e">
        <f>IF(AND(#REF!&gt;180, #REF!&gt;200), "Heavy Doemstic User", IF(#REF!&gt;10, "Interntional User", IF(AND(#REF!&lt;180, #REF!&lt;200,#REF!&lt;200), "Light User", "Balanced User")))</f>
        <v>#REF!</v>
      </c>
      <c r="AC3213" t="e">
        <f>IF(#REF! = 0, "No Usage", IF(#REF! &lt;= 20, "Low Usage", IF(#REF! &lt;= 40, "Medium Usgae", "High Usage")))</f>
        <v>#REF!</v>
      </c>
      <c r="AD3213" t="e">
        <f>IF(#REF!&lt;=150,"Low Usage", IF(#REF!&lt;=200,"Medium Usage", IF(#REF!&lt;=250,"High Usage","Very High Usage")))</f>
        <v>#REF!</v>
      </c>
      <c r="AE3213" t="e">
        <f>IF(#REF!&lt;=5,"Low Calls", IF(#REF!&lt;=10, "Medium Calls", "High Calls"))</f>
        <v>#REF!</v>
      </c>
      <c r="AF3213" t="e">
        <f xml:space="preserve">
IF(#REF!&gt;=4,4,0)+
IF(#REF!="yes",3,0)+
IF(#REF!="High Charges",3,0)+
IF(#REF!&gt;250,4,0)+
IF(#REF!="no",1,0)+
IF(#REF!="Heavy Domestic User",2,0)</f>
        <v>#REF!</v>
      </c>
      <c r="AG3213" t="e">
        <f>IF(#REF!&gt;=10,"High Risk", IF(#REF!&gt;=5,"Medium Risk","Low Risk"))</f>
        <v>#REF!</v>
      </c>
      <c r="AH3213" t="e">
        <f>#REF! + #REF! + #REF! + #REF!</f>
        <v>#REF!</v>
      </c>
    </row>
    <row r="3214" spans="1:34" x14ac:dyDescent="0.35">
      <c r="A3214">
        <v>3213</v>
      </c>
      <c r="B3214" t="s">
        <v>29</v>
      </c>
      <c r="C3214">
        <v>131</v>
      </c>
      <c r="D3214" t="s">
        <v>21</v>
      </c>
      <c r="E3214" t="s">
        <v>22</v>
      </c>
      <c r="F3214" t="s">
        <v>22</v>
      </c>
      <c r="G3214">
        <v>0</v>
      </c>
      <c r="H3214">
        <v>201.1</v>
      </c>
      <c r="I3214">
        <v>141</v>
      </c>
      <c r="J3214">
        <v>34.19</v>
      </c>
      <c r="K3214">
        <v>216.5</v>
      </c>
      <c r="L3214">
        <v>93</v>
      </c>
      <c r="M3214">
        <v>18.399999999999999</v>
      </c>
      <c r="N3214">
        <v>217.4</v>
      </c>
      <c r="O3214">
        <v>132</v>
      </c>
      <c r="P3214">
        <v>9.7799999999999994</v>
      </c>
      <c r="Q3214">
        <v>11.5</v>
      </c>
      <c r="R3214">
        <v>4</v>
      </c>
      <c r="S3214">
        <v>3.11</v>
      </c>
      <c r="T3214">
        <v>1</v>
      </c>
      <c r="U3214" t="s">
        <v>22</v>
      </c>
      <c r="V3214" t="e">
        <f>IF(#REF! = "yes", 1, 0)</f>
        <v>#REF!</v>
      </c>
      <c r="W3214" t="e">
        <f>IF(#REF! &lt;= 1, "0-1 Calls", IF(#REF! &lt;= 3, "2-3 Calls", IF(#REF! &lt;=5, "4-5 Calls", "6+ Calls")))</f>
        <v>#REF!</v>
      </c>
      <c r="X3214" t="e">
        <f>IF(#REF! &lt;= 50, "0-50", IF(#REF! &lt;=100, "51-100", IF(#REF! &lt;= 150, "101-150", "151+")))</f>
        <v>#REF!</v>
      </c>
      <c r="Y3214" t="e">
        <f>IF(#REF! &lt;= 3, "Low Charges", "High Charges")</f>
        <v>#REF!</v>
      </c>
      <c r="Z3214" t="e">
        <f>IF(#REF!&lt;=80,"Low Calls",
IF(#REF!&lt;=120,"Medium Calls","High Calls"))</f>
        <v>#REF!</v>
      </c>
      <c r="AA3214" t="e">
        <f>IF(#REF!&lt;=15,"Low Charges",
IF(#REF!&lt;=20,"Medium Charges","High Charges"))</f>
        <v>#REF!</v>
      </c>
      <c r="AB3214" t="e">
        <f>IF(AND(#REF!&gt;180, #REF!&gt;200), "Heavy Doemstic User", IF(#REF!&gt;10, "Interntional User", IF(AND(#REF!&lt;180, #REF!&lt;200,#REF!&lt;200), "Light User", "Balanced User")))</f>
        <v>#REF!</v>
      </c>
      <c r="AC3214" t="e">
        <f>IF(#REF! = 0, "No Usage", IF(#REF! &lt;= 20, "Low Usage", IF(#REF! &lt;= 40, "Medium Usgae", "High Usage")))</f>
        <v>#REF!</v>
      </c>
      <c r="AD3214" t="e">
        <f>IF(#REF!&lt;=150,"Low Usage", IF(#REF!&lt;=200,"Medium Usage", IF(#REF!&lt;=250,"High Usage","Very High Usage")))</f>
        <v>#REF!</v>
      </c>
      <c r="AE3214" t="e">
        <f>IF(#REF!&lt;=5,"Low Calls", IF(#REF!&lt;=10, "Medium Calls", "High Calls"))</f>
        <v>#REF!</v>
      </c>
      <c r="AF3214" t="e">
        <f xml:space="preserve">
IF(#REF!&gt;=4,4,0)+
IF(#REF!="yes",3,0)+
IF(#REF!="High Charges",3,0)+
IF(#REF!&gt;250,4,0)+
IF(#REF!="no",1,0)+
IF(#REF!="Heavy Domestic User",2,0)</f>
        <v>#REF!</v>
      </c>
      <c r="AG3214" t="e">
        <f>IF(#REF!&gt;=10,"High Risk", IF(#REF!&gt;=5,"Medium Risk","Low Risk"))</f>
        <v>#REF!</v>
      </c>
      <c r="AH3214" t="e">
        <f>#REF! + #REF! + #REF! + #REF!</f>
        <v>#REF!</v>
      </c>
    </row>
    <row r="3215" spans="1:34" x14ac:dyDescent="0.35">
      <c r="A3215">
        <v>3214</v>
      </c>
      <c r="B3215" t="s">
        <v>71</v>
      </c>
      <c r="C3215">
        <v>61</v>
      </c>
      <c r="D3215" t="s">
        <v>21</v>
      </c>
      <c r="E3215" t="s">
        <v>22</v>
      </c>
      <c r="F3215" t="s">
        <v>23</v>
      </c>
      <c r="G3215">
        <v>38</v>
      </c>
      <c r="H3215">
        <v>139.80000000000001</v>
      </c>
      <c r="I3215">
        <v>108</v>
      </c>
      <c r="J3215">
        <v>23.77</v>
      </c>
      <c r="K3215">
        <v>58.3</v>
      </c>
      <c r="L3215">
        <v>120</v>
      </c>
      <c r="M3215">
        <v>4.96</v>
      </c>
      <c r="N3215">
        <v>203.4</v>
      </c>
      <c r="O3215">
        <v>160</v>
      </c>
      <c r="P3215">
        <v>9.15</v>
      </c>
      <c r="Q3215">
        <v>9.6999999999999993</v>
      </c>
      <c r="R3215">
        <v>1</v>
      </c>
      <c r="S3215">
        <v>2.62</v>
      </c>
      <c r="T3215">
        <v>3</v>
      </c>
      <c r="U3215" t="s">
        <v>22</v>
      </c>
      <c r="V3215" t="e">
        <f>IF(#REF! = "yes", 1, 0)</f>
        <v>#REF!</v>
      </c>
      <c r="W3215" t="e">
        <f>IF(#REF! &lt;= 1, "0-1 Calls", IF(#REF! &lt;= 3, "2-3 Calls", IF(#REF! &lt;=5, "4-5 Calls", "6+ Calls")))</f>
        <v>#REF!</v>
      </c>
      <c r="X3215" t="e">
        <f>IF(#REF! &lt;= 50, "0-50", IF(#REF! &lt;=100, "51-100", IF(#REF! &lt;= 150, "101-150", "151+")))</f>
        <v>#REF!</v>
      </c>
      <c r="Y3215" t="e">
        <f>IF(#REF! &lt;= 3, "Low Charges", "High Charges")</f>
        <v>#REF!</v>
      </c>
      <c r="Z3215" t="e">
        <f>IF(#REF!&lt;=80,"Low Calls",
IF(#REF!&lt;=120,"Medium Calls","High Calls"))</f>
        <v>#REF!</v>
      </c>
      <c r="AA3215" t="e">
        <f>IF(#REF!&lt;=15,"Low Charges",
IF(#REF!&lt;=20,"Medium Charges","High Charges"))</f>
        <v>#REF!</v>
      </c>
      <c r="AB3215" t="e">
        <f>IF(AND(#REF!&gt;180, #REF!&gt;200), "Heavy Doemstic User", IF(#REF!&gt;10, "Interntional User", IF(AND(#REF!&lt;180, #REF!&lt;200,#REF!&lt;200), "Light User", "Balanced User")))</f>
        <v>#REF!</v>
      </c>
      <c r="AC3215" t="e">
        <f>IF(#REF! = 0, "No Usage", IF(#REF! &lt;= 20, "Low Usage", IF(#REF! &lt;= 40, "Medium Usgae", "High Usage")))</f>
        <v>#REF!</v>
      </c>
      <c r="AD3215" t="e">
        <f>IF(#REF!&lt;=150,"Low Usage", IF(#REF!&lt;=200,"Medium Usage", IF(#REF!&lt;=250,"High Usage","Very High Usage")))</f>
        <v>#REF!</v>
      </c>
      <c r="AE3215" t="e">
        <f>IF(#REF!&lt;=5,"Low Calls", IF(#REF!&lt;=10, "Medium Calls", "High Calls"))</f>
        <v>#REF!</v>
      </c>
      <c r="AF3215" t="e">
        <f xml:space="preserve">
IF(#REF!&gt;=4,4,0)+
IF(#REF!="yes",3,0)+
IF(#REF!="High Charges",3,0)+
IF(#REF!&gt;250,4,0)+
IF(#REF!="no",1,0)+
IF(#REF!="Heavy Domestic User",2,0)</f>
        <v>#REF!</v>
      </c>
      <c r="AG3215" t="e">
        <f>IF(#REF!&gt;=10,"High Risk", IF(#REF!&gt;=5,"Medium Risk","Low Risk"))</f>
        <v>#REF!</v>
      </c>
      <c r="AH3215" t="e">
        <f>#REF! + #REF! + #REF! + #REF!</f>
        <v>#REF!</v>
      </c>
    </row>
    <row r="3216" spans="1:34" x14ac:dyDescent="0.35">
      <c r="A3216">
        <v>3215</v>
      </c>
      <c r="B3216" t="s">
        <v>71</v>
      </c>
      <c r="C3216">
        <v>73</v>
      </c>
      <c r="D3216" t="s">
        <v>28</v>
      </c>
      <c r="E3216" t="s">
        <v>22</v>
      </c>
      <c r="F3216" t="s">
        <v>23</v>
      </c>
      <c r="G3216">
        <v>6</v>
      </c>
      <c r="H3216">
        <v>237.6</v>
      </c>
      <c r="I3216">
        <v>105</v>
      </c>
      <c r="J3216">
        <v>40.39</v>
      </c>
      <c r="K3216">
        <v>244.9</v>
      </c>
      <c r="L3216">
        <v>98</v>
      </c>
      <c r="M3216">
        <v>20.82</v>
      </c>
      <c r="N3216">
        <v>188.3</v>
      </c>
      <c r="O3216">
        <v>107</v>
      </c>
      <c r="P3216">
        <v>8.4700000000000006</v>
      </c>
      <c r="Q3216">
        <v>6.8</v>
      </c>
      <c r="R3216">
        <v>11</v>
      </c>
      <c r="S3216">
        <v>1.84</v>
      </c>
      <c r="T3216">
        <v>4</v>
      </c>
      <c r="U3216" t="s">
        <v>22</v>
      </c>
      <c r="V3216" t="e">
        <f>IF(#REF! = "yes", 1, 0)</f>
        <v>#REF!</v>
      </c>
      <c r="W3216" t="e">
        <f>IF(#REF! &lt;= 1, "0-1 Calls", IF(#REF! &lt;= 3, "2-3 Calls", IF(#REF! &lt;=5, "4-5 Calls", "6+ Calls")))</f>
        <v>#REF!</v>
      </c>
      <c r="X3216" t="e">
        <f>IF(#REF! &lt;= 50, "0-50", IF(#REF! &lt;=100, "51-100", IF(#REF! &lt;= 150, "101-150", "151+")))</f>
        <v>#REF!</v>
      </c>
      <c r="Y3216" t="e">
        <f>IF(#REF! &lt;= 3, "Low Charges", "High Charges")</f>
        <v>#REF!</v>
      </c>
      <c r="Z3216" t="e">
        <f>IF(#REF!&lt;=80,"Low Calls",
IF(#REF!&lt;=120,"Medium Calls","High Calls"))</f>
        <v>#REF!</v>
      </c>
      <c r="AA3216" t="e">
        <f>IF(#REF!&lt;=15,"Low Charges",
IF(#REF!&lt;=20,"Medium Charges","High Charges"))</f>
        <v>#REF!</v>
      </c>
      <c r="AB3216" t="e">
        <f>IF(AND(#REF!&gt;180, #REF!&gt;200), "Heavy Doemstic User", IF(#REF!&gt;10, "Interntional User", IF(AND(#REF!&lt;180, #REF!&lt;200,#REF!&lt;200), "Light User", "Balanced User")))</f>
        <v>#REF!</v>
      </c>
      <c r="AC3216" t="e">
        <f>IF(#REF! = 0, "No Usage", IF(#REF! &lt;= 20, "Low Usage", IF(#REF! &lt;= 40, "Medium Usgae", "High Usage")))</f>
        <v>#REF!</v>
      </c>
      <c r="AD3216" t="e">
        <f>IF(#REF!&lt;=150,"Low Usage", IF(#REF!&lt;=200,"Medium Usage", IF(#REF!&lt;=250,"High Usage","Very High Usage")))</f>
        <v>#REF!</v>
      </c>
      <c r="AE3216" t="e">
        <f>IF(#REF!&lt;=5,"Low Calls", IF(#REF!&lt;=10, "Medium Calls", "High Calls"))</f>
        <v>#REF!</v>
      </c>
      <c r="AF3216" t="e">
        <f xml:space="preserve">
IF(#REF!&gt;=4,4,0)+
IF(#REF!="yes",3,0)+
IF(#REF!="High Charges",3,0)+
IF(#REF!&gt;250,4,0)+
IF(#REF!="no",1,0)+
IF(#REF!="Heavy Domestic User",2,0)</f>
        <v>#REF!</v>
      </c>
      <c r="AG3216" t="e">
        <f>IF(#REF!&gt;=10,"High Risk", IF(#REF!&gt;=5,"Medium Risk","Low Risk"))</f>
        <v>#REF!</v>
      </c>
      <c r="AH3216" t="e">
        <f>#REF! + #REF! + #REF! + #REF!</f>
        <v>#REF!</v>
      </c>
    </row>
    <row r="3217" spans="1:34" x14ac:dyDescent="0.35">
      <c r="A3217">
        <v>3216</v>
      </c>
      <c r="B3217" t="s">
        <v>68</v>
      </c>
      <c r="C3217">
        <v>100</v>
      </c>
      <c r="D3217" t="s">
        <v>21</v>
      </c>
      <c r="E3217" t="s">
        <v>22</v>
      </c>
      <c r="F3217" t="s">
        <v>23</v>
      </c>
      <c r="G3217">
        <v>26</v>
      </c>
      <c r="H3217">
        <v>197.7</v>
      </c>
      <c r="I3217">
        <v>80</v>
      </c>
      <c r="J3217">
        <v>33.61</v>
      </c>
      <c r="K3217">
        <v>232.6</v>
      </c>
      <c r="L3217">
        <v>83</v>
      </c>
      <c r="M3217">
        <v>19.77</v>
      </c>
      <c r="N3217">
        <v>196.7</v>
      </c>
      <c r="O3217">
        <v>120</v>
      </c>
      <c r="P3217">
        <v>8.85</v>
      </c>
      <c r="Q3217">
        <v>12</v>
      </c>
      <c r="R3217">
        <v>5</v>
      </c>
      <c r="S3217">
        <v>3.24</v>
      </c>
      <c r="T3217">
        <v>1</v>
      </c>
      <c r="U3217" t="s">
        <v>22</v>
      </c>
      <c r="V3217" t="e">
        <f>IF(#REF! = "yes", 1, 0)</f>
        <v>#REF!</v>
      </c>
      <c r="W3217" t="e">
        <f>IF(#REF! &lt;= 1, "0-1 Calls", IF(#REF! &lt;= 3, "2-3 Calls", IF(#REF! &lt;=5, "4-5 Calls", "6+ Calls")))</f>
        <v>#REF!</v>
      </c>
      <c r="X3217" t="e">
        <f>IF(#REF! &lt;= 50, "0-50", IF(#REF! &lt;=100, "51-100", IF(#REF! &lt;= 150, "101-150", "151+")))</f>
        <v>#REF!</v>
      </c>
      <c r="Y3217" t="e">
        <f>IF(#REF! &lt;= 3, "Low Charges", "High Charges")</f>
        <v>#REF!</v>
      </c>
      <c r="Z3217" t="e">
        <f>IF(#REF!&lt;=80,"Low Calls",
IF(#REF!&lt;=120,"Medium Calls","High Calls"))</f>
        <v>#REF!</v>
      </c>
      <c r="AA3217" t="e">
        <f>IF(#REF!&lt;=15,"Low Charges",
IF(#REF!&lt;=20,"Medium Charges","High Charges"))</f>
        <v>#REF!</v>
      </c>
      <c r="AB3217" t="e">
        <f>IF(AND(#REF!&gt;180, #REF!&gt;200), "Heavy Doemstic User", IF(#REF!&gt;10, "Interntional User", IF(AND(#REF!&lt;180, #REF!&lt;200,#REF!&lt;200), "Light User", "Balanced User")))</f>
        <v>#REF!</v>
      </c>
      <c r="AC3217" t="e">
        <f>IF(#REF! = 0, "No Usage", IF(#REF! &lt;= 20, "Low Usage", IF(#REF! &lt;= 40, "Medium Usgae", "High Usage")))</f>
        <v>#REF!</v>
      </c>
      <c r="AD3217" t="e">
        <f>IF(#REF!&lt;=150,"Low Usage", IF(#REF!&lt;=200,"Medium Usage", IF(#REF!&lt;=250,"High Usage","Very High Usage")))</f>
        <v>#REF!</v>
      </c>
      <c r="AE3217" t="e">
        <f>IF(#REF!&lt;=5,"Low Calls", IF(#REF!&lt;=10, "Medium Calls", "High Calls"))</f>
        <v>#REF!</v>
      </c>
      <c r="AF3217" t="e">
        <f xml:space="preserve">
IF(#REF!&gt;=4,4,0)+
IF(#REF!="yes",3,0)+
IF(#REF!="High Charges",3,0)+
IF(#REF!&gt;250,4,0)+
IF(#REF!="no",1,0)+
IF(#REF!="Heavy Domestic User",2,0)</f>
        <v>#REF!</v>
      </c>
      <c r="AG3217" t="e">
        <f>IF(#REF!&gt;=10,"High Risk", IF(#REF!&gt;=5,"Medium Risk","Low Risk"))</f>
        <v>#REF!</v>
      </c>
      <c r="AH3217" t="e">
        <f>#REF! + #REF! + #REF! + #REF!</f>
        <v>#REF!</v>
      </c>
    </row>
    <row r="3218" spans="1:34" x14ac:dyDescent="0.35">
      <c r="A3218">
        <v>3217</v>
      </c>
      <c r="B3218" t="s">
        <v>30</v>
      </c>
      <c r="C3218">
        <v>100</v>
      </c>
      <c r="D3218" t="s">
        <v>28</v>
      </c>
      <c r="E3218" t="s">
        <v>22</v>
      </c>
      <c r="F3218" t="s">
        <v>22</v>
      </c>
      <c r="G3218">
        <v>0</v>
      </c>
      <c r="H3218">
        <v>222.1</v>
      </c>
      <c r="I3218">
        <v>115</v>
      </c>
      <c r="J3218">
        <v>37.76</v>
      </c>
      <c r="K3218">
        <v>245</v>
      </c>
      <c r="L3218">
        <v>130</v>
      </c>
      <c r="M3218">
        <v>20.83</v>
      </c>
      <c r="N3218">
        <v>129.30000000000001</v>
      </c>
      <c r="O3218">
        <v>119</v>
      </c>
      <c r="P3218">
        <v>5.82</v>
      </c>
      <c r="Q3218">
        <v>8.1</v>
      </c>
      <c r="R3218">
        <v>2</v>
      </c>
      <c r="S3218">
        <v>2.19</v>
      </c>
      <c r="T3218">
        <v>2</v>
      </c>
      <c r="U3218" t="s">
        <v>22</v>
      </c>
      <c r="V3218" t="e">
        <f>IF(#REF! = "yes", 1, 0)</f>
        <v>#REF!</v>
      </c>
      <c r="W3218" t="e">
        <f>IF(#REF! &lt;= 1, "0-1 Calls", IF(#REF! &lt;= 3, "2-3 Calls", IF(#REF! &lt;=5, "4-5 Calls", "6+ Calls")))</f>
        <v>#REF!</v>
      </c>
      <c r="X3218" t="e">
        <f>IF(#REF! &lt;= 50, "0-50", IF(#REF! &lt;=100, "51-100", IF(#REF! &lt;= 150, "101-150", "151+")))</f>
        <v>#REF!</v>
      </c>
      <c r="Y3218" t="e">
        <f>IF(#REF! &lt;= 3, "Low Charges", "High Charges")</f>
        <v>#REF!</v>
      </c>
      <c r="Z3218" t="e">
        <f>IF(#REF!&lt;=80,"Low Calls",
IF(#REF!&lt;=120,"Medium Calls","High Calls"))</f>
        <v>#REF!</v>
      </c>
      <c r="AA3218" t="e">
        <f>IF(#REF!&lt;=15,"Low Charges",
IF(#REF!&lt;=20,"Medium Charges","High Charges"))</f>
        <v>#REF!</v>
      </c>
      <c r="AB3218" t="e">
        <f>IF(AND(#REF!&gt;180, #REF!&gt;200), "Heavy Doemstic User", IF(#REF!&gt;10, "Interntional User", IF(AND(#REF!&lt;180, #REF!&lt;200,#REF!&lt;200), "Light User", "Balanced User")))</f>
        <v>#REF!</v>
      </c>
      <c r="AC3218" t="e">
        <f>IF(#REF! = 0, "No Usage", IF(#REF! &lt;= 20, "Low Usage", IF(#REF! &lt;= 40, "Medium Usgae", "High Usage")))</f>
        <v>#REF!</v>
      </c>
      <c r="AD3218" t="e">
        <f>IF(#REF!&lt;=150,"Low Usage", IF(#REF!&lt;=200,"Medium Usage", IF(#REF!&lt;=250,"High Usage","Very High Usage")))</f>
        <v>#REF!</v>
      </c>
      <c r="AE3218" t="e">
        <f>IF(#REF!&lt;=5,"Low Calls", IF(#REF!&lt;=10, "Medium Calls", "High Calls"))</f>
        <v>#REF!</v>
      </c>
      <c r="AF3218" t="e">
        <f xml:space="preserve">
IF(#REF!&gt;=4,4,0)+
IF(#REF!="yes",3,0)+
IF(#REF!="High Charges",3,0)+
IF(#REF!&gt;250,4,0)+
IF(#REF!="no",1,0)+
IF(#REF!="Heavy Domestic User",2,0)</f>
        <v>#REF!</v>
      </c>
      <c r="AG3218" t="e">
        <f>IF(#REF!&gt;=10,"High Risk", IF(#REF!&gt;=5,"Medium Risk","Low Risk"))</f>
        <v>#REF!</v>
      </c>
      <c r="AH3218" t="e">
        <f>#REF! + #REF! + #REF! + #REF!</f>
        <v>#REF!</v>
      </c>
    </row>
    <row r="3219" spans="1:34" x14ac:dyDescent="0.35">
      <c r="A3219">
        <v>3218</v>
      </c>
      <c r="B3219" t="s">
        <v>62</v>
      </c>
      <c r="C3219">
        <v>109</v>
      </c>
      <c r="D3219" t="s">
        <v>25</v>
      </c>
      <c r="E3219" t="s">
        <v>22</v>
      </c>
      <c r="F3219" t="s">
        <v>23</v>
      </c>
      <c r="G3219">
        <v>39</v>
      </c>
      <c r="H3219">
        <v>270</v>
      </c>
      <c r="I3219">
        <v>58</v>
      </c>
      <c r="J3219">
        <v>45.9</v>
      </c>
      <c r="K3219">
        <v>235.5</v>
      </c>
      <c r="L3219">
        <v>108</v>
      </c>
      <c r="M3219">
        <v>20.02</v>
      </c>
      <c r="N3219">
        <v>194.3</v>
      </c>
      <c r="O3219">
        <v>57</v>
      </c>
      <c r="P3219">
        <v>8.74</v>
      </c>
      <c r="Q3219">
        <v>7.8</v>
      </c>
      <c r="R3219">
        <v>6</v>
      </c>
      <c r="S3219">
        <v>2.11</v>
      </c>
      <c r="T3219">
        <v>1</v>
      </c>
      <c r="U3219" t="s">
        <v>23</v>
      </c>
      <c r="V3219" t="e">
        <f>IF(#REF! = "yes", 1, 0)</f>
        <v>#REF!</v>
      </c>
      <c r="W3219" t="e">
        <f>IF(#REF! &lt;= 1, "0-1 Calls", IF(#REF! &lt;= 3, "2-3 Calls", IF(#REF! &lt;=5, "4-5 Calls", "6+ Calls")))</f>
        <v>#REF!</v>
      </c>
      <c r="X3219" t="e">
        <f>IF(#REF! &lt;= 50, "0-50", IF(#REF! &lt;=100, "51-100", IF(#REF! &lt;= 150, "101-150", "151+")))</f>
        <v>#REF!</v>
      </c>
      <c r="Y3219" t="e">
        <f>IF(#REF! &lt;= 3, "Low Charges", "High Charges")</f>
        <v>#REF!</v>
      </c>
      <c r="Z3219" t="e">
        <f>IF(#REF!&lt;=80,"Low Calls",
IF(#REF!&lt;=120,"Medium Calls","High Calls"))</f>
        <v>#REF!</v>
      </c>
      <c r="AA3219" t="e">
        <f>IF(#REF!&lt;=15,"Low Charges",
IF(#REF!&lt;=20,"Medium Charges","High Charges"))</f>
        <v>#REF!</v>
      </c>
      <c r="AB3219" t="e">
        <f>IF(AND(#REF!&gt;180, #REF!&gt;200), "Heavy Doemstic User", IF(#REF!&gt;10, "Interntional User", IF(AND(#REF!&lt;180, #REF!&lt;200,#REF!&lt;200), "Light User", "Balanced User")))</f>
        <v>#REF!</v>
      </c>
      <c r="AC3219" t="e">
        <f>IF(#REF! = 0, "No Usage", IF(#REF! &lt;= 20, "Low Usage", IF(#REF! &lt;= 40, "Medium Usgae", "High Usage")))</f>
        <v>#REF!</v>
      </c>
      <c r="AD3219" t="e">
        <f>IF(#REF!&lt;=150,"Low Usage", IF(#REF!&lt;=200,"Medium Usage", IF(#REF!&lt;=250,"High Usage","Very High Usage")))</f>
        <v>#REF!</v>
      </c>
      <c r="AE3219" t="e">
        <f>IF(#REF!&lt;=5,"Low Calls", IF(#REF!&lt;=10, "Medium Calls", "High Calls"))</f>
        <v>#REF!</v>
      </c>
      <c r="AF3219" t="e">
        <f xml:space="preserve">
IF(#REF!&gt;=4,4,0)+
IF(#REF!="yes",3,0)+
IF(#REF!="High Charges",3,0)+
IF(#REF!&gt;250,4,0)+
IF(#REF!="no",1,0)+
IF(#REF!="Heavy Domestic User",2,0)</f>
        <v>#REF!</v>
      </c>
      <c r="AG3219" t="e">
        <f>IF(#REF!&gt;=10,"High Risk", IF(#REF!&gt;=5,"Medium Risk","Low Risk"))</f>
        <v>#REF!</v>
      </c>
      <c r="AH3219" t="e">
        <f>#REF! + #REF! + #REF! + #REF!</f>
        <v>#REF!</v>
      </c>
    </row>
    <row r="3220" spans="1:34" x14ac:dyDescent="0.35">
      <c r="A3220">
        <v>3219</v>
      </c>
      <c r="B3220" t="s">
        <v>26</v>
      </c>
      <c r="C3220">
        <v>139</v>
      </c>
      <c r="D3220" t="s">
        <v>28</v>
      </c>
      <c r="E3220" t="s">
        <v>22</v>
      </c>
      <c r="F3220" t="s">
        <v>22</v>
      </c>
      <c r="G3220">
        <v>0</v>
      </c>
      <c r="H3220">
        <v>148.69999999999999</v>
      </c>
      <c r="I3220">
        <v>90</v>
      </c>
      <c r="J3220">
        <v>25.28</v>
      </c>
      <c r="K3220">
        <v>204.3</v>
      </c>
      <c r="L3220">
        <v>106</v>
      </c>
      <c r="M3220">
        <v>17.37</v>
      </c>
      <c r="N3220">
        <v>144.1</v>
      </c>
      <c r="O3220">
        <v>105</v>
      </c>
      <c r="P3220">
        <v>6.48</v>
      </c>
      <c r="Q3220">
        <v>9.8000000000000007</v>
      </c>
      <c r="R3220">
        <v>4</v>
      </c>
      <c r="S3220">
        <v>2.65</v>
      </c>
      <c r="T3220">
        <v>2</v>
      </c>
      <c r="U3220" t="s">
        <v>22</v>
      </c>
      <c r="V3220" t="e">
        <f>IF(#REF! = "yes", 1, 0)</f>
        <v>#REF!</v>
      </c>
      <c r="W3220" t="e">
        <f>IF(#REF! &lt;= 1, "0-1 Calls", IF(#REF! &lt;= 3, "2-3 Calls", IF(#REF! &lt;=5, "4-5 Calls", "6+ Calls")))</f>
        <v>#REF!</v>
      </c>
      <c r="X3220" t="e">
        <f>IF(#REF! &lt;= 50, "0-50", IF(#REF! &lt;=100, "51-100", IF(#REF! &lt;= 150, "101-150", "151+")))</f>
        <v>#REF!</v>
      </c>
      <c r="Y3220" t="e">
        <f>IF(#REF! &lt;= 3, "Low Charges", "High Charges")</f>
        <v>#REF!</v>
      </c>
      <c r="Z3220" t="e">
        <f>IF(#REF!&lt;=80,"Low Calls",
IF(#REF!&lt;=120,"Medium Calls","High Calls"))</f>
        <v>#REF!</v>
      </c>
      <c r="AA3220" t="e">
        <f>IF(#REF!&lt;=15,"Low Charges",
IF(#REF!&lt;=20,"Medium Charges","High Charges"))</f>
        <v>#REF!</v>
      </c>
      <c r="AB3220" t="e">
        <f>IF(AND(#REF!&gt;180, #REF!&gt;200), "Heavy Doemstic User", IF(#REF!&gt;10, "Interntional User", IF(AND(#REF!&lt;180, #REF!&lt;200,#REF!&lt;200), "Light User", "Balanced User")))</f>
        <v>#REF!</v>
      </c>
      <c r="AC3220" t="e">
        <f>IF(#REF! = 0, "No Usage", IF(#REF! &lt;= 20, "Low Usage", IF(#REF! &lt;= 40, "Medium Usgae", "High Usage")))</f>
        <v>#REF!</v>
      </c>
      <c r="AD3220" t="e">
        <f>IF(#REF!&lt;=150,"Low Usage", IF(#REF!&lt;=200,"Medium Usage", IF(#REF!&lt;=250,"High Usage","Very High Usage")))</f>
        <v>#REF!</v>
      </c>
      <c r="AE3220" t="e">
        <f>IF(#REF!&lt;=5,"Low Calls", IF(#REF!&lt;=10, "Medium Calls", "High Calls"))</f>
        <v>#REF!</v>
      </c>
      <c r="AF3220" t="e">
        <f xml:space="preserve">
IF(#REF!&gt;=4,4,0)+
IF(#REF!="yes",3,0)+
IF(#REF!="High Charges",3,0)+
IF(#REF!&gt;250,4,0)+
IF(#REF!="no",1,0)+
IF(#REF!="Heavy Domestic User",2,0)</f>
        <v>#REF!</v>
      </c>
      <c r="AG3220" t="e">
        <f>IF(#REF!&gt;=10,"High Risk", IF(#REF!&gt;=5,"Medium Risk","Low Risk"))</f>
        <v>#REF!</v>
      </c>
      <c r="AH3220" t="e">
        <f>#REF! + #REF! + #REF! + #REF!</f>
        <v>#REF!</v>
      </c>
    </row>
    <row r="3221" spans="1:34" x14ac:dyDescent="0.35">
      <c r="A3221">
        <v>3220</v>
      </c>
      <c r="B3221" t="s">
        <v>40</v>
      </c>
      <c r="C3221">
        <v>115</v>
      </c>
      <c r="D3221" t="s">
        <v>28</v>
      </c>
      <c r="E3221" t="s">
        <v>22</v>
      </c>
      <c r="F3221" t="s">
        <v>22</v>
      </c>
      <c r="G3221">
        <v>0</v>
      </c>
      <c r="H3221">
        <v>143.6</v>
      </c>
      <c r="I3221">
        <v>135</v>
      </c>
      <c r="J3221">
        <v>24.41</v>
      </c>
      <c r="K3221">
        <v>278</v>
      </c>
      <c r="L3221">
        <v>119</v>
      </c>
      <c r="M3221">
        <v>23.63</v>
      </c>
      <c r="N3221">
        <v>46.7</v>
      </c>
      <c r="O3221">
        <v>84</v>
      </c>
      <c r="P3221">
        <v>2.1</v>
      </c>
      <c r="Q3221">
        <v>12.7</v>
      </c>
      <c r="R3221">
        <v>3</v>
      </c>
      <c r="S3221">
        <v>3.43</v>
      </c>
      <c r="T3221">
        <v>0</v>
      </c>
      <c r="U3221" t="s">
        <v>22</v>
      </c>
      <c r="V3221" t="e">
        <f>IF(#REF! = "yes", 1, 0)</f>
        <v>#REF!</v>
      </c>
      <c r="W3221" t="e">
        <f>IF(#REF! &lt;= 1, "0-1 Calls", IF(#REF! &lt;= 3, "2-3 Calls", IF(#REF! &lt;=5, "4-5 Calls", "6+ Calls")))</f>
        <v>#REF!</v>
      </c>
      <c r="X3221" t="e">
        <f>IF(#REF! &lt;= 50, "0-50", IF(#REF! &lt;=100, "51-100", IF(#REF! &lt;= 150, "101-150", "151+")))</f>
        <v>#REF!</v>
      </c>
      <c r="Y3221" t="e">
        <f>IF(#REF! &lt;= 3, "Low Charges", "High Charges")</f>
        <v>#REF!</v>
      </c>
      <c r="Z3221" t="e">
        <f>IF(#REF!&lt;=80,"Low Calls",
IF(#REF!&lt;=120,"Medium Calls","High Calls"))</f>
        <v>#REF!</v>
      </c>
      <c r="AA3221" t="e">
        <f>IF(#REF!&lt;=15,"Low Charges",
IF(#REF!&lt;=20,"Medium Charges","High Charges"))</f>
        <v>#REF!</v>
      </c>
      <c r="AB3221" t="e">
        <f>IF(AND(#REF!&gt;180, #REF!&gt;200), "Heavy Doemstic User", IF(#REF!&gt;10, "Interntional User", IF(AND(#REF!&lt;180, #REF!&lt;200,#REF!&lt;200), "Light User", "Balanced User")))</f>
        <v>#REF!</v>
      </c>
      <c r="AC3221" t="e">
        <f>IF(#REF! = 0, "No Usage", IF(#REF! &lt;= 20, "Low Usage", IF(#REF! &lt;= 40, "Medium Usgae", "High Usage")))</f>
        <v>#REF!</v>
      </c>
      <c r="AD3221" t="e">
        <f>IF(#REF!&lt;=150,"Low Usage", IF(#REF!&lt;=200,"Medium Usage", IF(#REF!&lt;=250,"High Usage","Very High Usage")))</f>
        <v>#REF!</v>
      </c>
      <c r="AE3221" t="e">
        <f>IF(#REF!&lt;=5,"Low Calls", IF(#REF!&lt;=10, "Medium Calls", "High Calls"))</f>
        <v>#REF!</v>
      </c>
      <c r="AF3221" t="e">
        <f xml:space="preserve">
IF(#REF!&gt;=4,4,0)+
IF(#REF!="yes",3,0)+
IF(#REF!="High Charges",3,0)+
IF(#REF!&gt;250,4,0)+
IF(#REF!="no",1,0)+
IF(#REF!="Heavy Domestic User",2,0)</f>
        <v>#REF!</v>
      </c>
      <c r="AG3221" t="e">
        <f>IF(#REF!&gt;=10,"High Risk", IF(#REF!&gt;=5,"Medium Risk","Low Risk"))</f>
        <v>#REF!</v>
      </c>
      <c r="AH3221" t="e">
        <f>#REF! + #REF! + #REF! + #REF!</f>
        <v>#REF!</v>
      </c>
    </row>
    <row r="3222" spans="1:34" x14ac:dyDescent="0.35">
      <c r="A3222">
        <v>3221</v>
      </c>
      <c r="B3222" t="s">
        <v>49</v>
      </c>
      <c r="C3222">
        <v>77</v>
      </c>
      <c r="D3222" t="s">
        <v>21</v>
      </c>
      <c r="E3222" t="s">
        <v>22</v>
      </c>
      <c r="F3222" t="s">
        <v>22</v>
      </c>
      <c r="G3222">
        <v>0</v>
      </c>
      <c r="H3222">
        <v>205.3</v>
      </c>
      <c r="I3222">
        <v>69</v>
      </c>
      <c r="J3222">
        <v>34.9</v>
      </c>
      <c r="K3222">
        <v>171</v>
      </c>
      <c r="L3222">
        <v>84</v>
      </c>
      <c r="M3222">
        <v>14.54</v>
      </c>
      <c r="N3222">
        <v>242.4</v>
      </c>
      <c r="O3222">
        <v>96</v>
      </c>
      <c r="P3222">
        <v>10.91</v>
      </c>
      <c r="Q3222">
        <v>10.1</v>
      </c>
      <c r="R3222">
        <v>2</v>
      </c>
      <c r="S3222">
        <v>2.73</v>
      </c>
      <c r="T3222">
        <v>3</v>
      </c>
      <c r="U3222" t="s">
        <v>22</v>
      </c>
      <c r="V3222" t="e">
        <f>IF(#REF! = "yes", 1, 0)</f>
        <v>#REF!</v>
      </c>
      <c r="W3222" t="e">
        <f>IF(#REF! &lt;= 1, "0-1 Calls", IF(#REF! &lt;= 3, "2-3 Calls", IF(#REF! &lt;=5, "4-5 Calls", "6+ Calls")))</f>
        <v>#REF!</v>
      </c>
      <c r="X3222" t="e">
        <f>IF(#REF! &lt;= 50, "0-50", IF(#REF! &lt;=100, "51-100", IF(#REF! &lt;= 150, "101-150", "151+")))</f>
        <v>#REF!</v>
      </c>
      <c r="Y3222" t="e">
        <f>IF(#REF! &lt;= 3, "Low Charges", "High Charges")</f>
        <v>#REF!</v>
      </c>
      <c r="Z3222" t="e">
        <f>IF(#REF!&lt;=80,"Low Calls",
IF(#REF!&lt;=120,"Medium Calls","High Calls"))</f>
        <v>#REF!</v>
      </c>
      <c r="AA3222" t="e">
        <f>IF(#REF!&lt;=15,"Low Charges",
IF(#REF!&lt;=20,"Medium Charges","High Charges"))</f>
        <v>#REF!</v>
      </c>
      <c r="AB3222" t="e">
        <f>IF(AND(#REF!&gt;180, #REF!&gt;200), "Heavy Doemstic User", IF(#REF!&gt;10, "Interntional User", IF(AND(#REF!&lt;180, #REF!&lt;200,#REF!&lt;200), "Light User", "Balanced User")))</f>
        <v>#REF!</v>
      </c>
      <c r="AC3222" t="e">
        <f>IF(#REF! = 0, "No Usage", IF(#REF! &lt;= 20, "Low Usage", IF(#REF! &lt;= 40, "Medium Usgae", "High Usage")))</f>
        <v>#REF!</v>
      </c>
      <c r="AD3222" t="e">
        <f>IF(#REF!&lt;=150,"Low Usage", IF(#REF!&lt;=200,"Medium Usage", IF(#REF!&lt;=250,"High Usage","Very High Usage")))</f>
        <v>#REF!</v>
      </c>
      <c r="AE3222" t="e">
        <f>IF(#REF!&lt;=5,"Low Calls", IF(#REF!&lt;=10, "Medium Calls", "High Calls"))</f>
        <v>#REF!</v>
      </c>
      <c r="AF3222" t="e">
        <f xml:space="preserve">
IF(#REF!&gt;=4,4,0)+
IF(#REF!="yes",3,0)+
IF(#REF!="High Charges",3,0)+
IF(#REF!&gt;250,4,0)+
IF(#REF!="no",1,0)+
IF(#REF!="Heavy Domestic User",2,0)</f>
        <v>#REF!</v>
      </c>
      <c r="AG3222" t="e">
        <f>IF(#REF!&gt;=10,"High Risk", IF(#REF!&gt;=5,"Medium Risk","Low Risk"))</f>
        <v>#REF!</v>
      </c>
      <c r="AH3222" t="e">
        <f>#REF! + #REF! + #REF! + #REF!</f>
        <v>#REF!</v>
      </c>
    </row>
    <row r="3223" spans="1:34" x14ac:dyDescent="0.35">
      <c r="A3223">
        <v>3222</v>
      </c>
      <c r="B3223" t="s">
        <v>65</v>
      </c>
      <c r="C3223">
        <v>14</v>
      </c>
      <c r="D3223" t="s">
        <v>21</v>
      </c>
      <c r="E3223" t="s">
        <v>22</v>
      </c>
      <c r="F3223" t="s">
        <v>22</v>
      </c>
      <c r="G3223">
        <v>0</v>
      </c>
      <c r="H3223">
        <v>184.5</v>
      </c>
      <c r="I3223">
        <v>77</v>
      </c>
      <c r="J3223">
        <v>31.37</v>
      </c>
      <c r="K3223">
        <v>272.5</v>
      </c>
      <c r="L3223">
        <v>103</v>
      </c>
      <c r="M3223">
        <v>23.16</v>
      </c>
      <c r="N3223">
        <v>190.3</v>
      </c>
      <c r="O3223">
        <v>129</v>
      </c>
      <c r="P3223">
        <v>8.56</v>
      </c>
      <c r="Q3223">
        <v>9.6999999999999993</v>
      </c>
      <c r="R3223">
        <v>3</v>
      </c>
      <c r="S3223">
        <v>2.62</v>
      </c>
      <c r="T3223">
        <v>4</v>
      </c>
      <c r="U3223" t="s">
        <v>22</v>
      </c>
      <c r="V3223" t="e">
        <f>IF(#REF! = "yes", 1, 0)</f>
        <v>#REF!</v>
      </c>
      <c r="W3223" t="e">
        <f>IF(#REF! &lt;= 1, "0-1 Calls", IF(#REF! &lt;= 3, "2-3 Calls", IF(#REF! &lt;=5, "4-5 Calls", "6+ Calls")))</f>
        <v>#REF!</v>
      </c>
      <c r="X3223" t="e">
        <f>IF(#REF! &lt;= 50, "0-50", IF(#REF! &lt;=100, "51-100", IF(#REF! &lt;= 150, "101-150", "151+")))</f>
        <v>#REF!</v>
      </c>
      <c r="Y3223" t="e">
        <f>IF(#REF! &lt;= 3, "Low Charges", "High Charges")</f>
        <v>#REF!</v>
      </c>
      <c r="Z3223" t="e">
        <f>IF(#REF!&lt;=80,"Low Calls",
IF(#REF!&lt;=120,"Medium Calls","High Calls"))</f>
        <v>#REF!</v>
      </c>
      <c r="AA3223" t="e">
        <f>IF(#REF!&lt;=15,"Low Charges",
IF(#REF!&lt;=20,"Medium Charges","High Charges"))</f>
        <v>#REF!</v>
      </c>
      <c r="AB3223" t="e">
        <f>IF(AND(#REF!&gt;180, #REF!&gt;200), "Heavy Doemstic User", IF(#REF!&gt;10, "Interntional User", IF(AND(#REF!&lt;180, #REF!&lt;200,#REF!&lt;200), "Light User", "Balanced User")))</f>
        <v>#REF!</v>
      </c>
      <c r="AC3223" t="e">
        <f>IF(#REF! = 0, "No Usage", IF(#REF! &lt;= 20, "Low Usage", IF(#REF! &lt;= 40, "Medium Usgae", "High Usage")))</f>
        <v>#REF!</v>
      </c>
      <c r="AD3223" t="e">
        <f>IF(#REF!&lt;=150,"Low Usage", IF(#REF!&lt;=200,"Medium Usage", IF(#REF!&lt;=250,"High Usage","Very High Usage")))</f>
        <v>#REF!</v>
      </c>
      <c r="AE3223" t="e">
        <f>IF(#REF!&lt;=5,"Low Calls", IF(#REF!&lt;=10, "Medium Calls", "High Calls"))</f>
        <v>#REF!</v>
      </c>
      <c r="AF3223" t="e">
        <f xml:space="preserve">
IF(#REF!&gt;=4,4,0)+
IF(#REF!="yes",3,0)+
IF(#REF!="High Charges",3,0)+
IF(#REF!&gt;250,4,0)+
IF(#REF!="no",1,0)+
IF(#REF!="Heavy Domestic User",2,0)</f>
        <v>#REF!</v>
      </c>
      <c r="AG3223" t="e">
        <f>IF(#REF!&gt;=10,"High Risk", IF(#REF!&gt;=5,"Medium Risk","Low Risk"))</f>
        <v>#REF!</v>
      </c>
      <c r="AH3223" t="e">
        <f>#REF! + #REF! + #REF! + #REF!</f>
        <v>#REF!</v>
      </c>
    </row>
    <row r="3224" spans="1:34" x14ac:dyDescent="0.35">
      <c r="A3224">
        <v>3223</v>
      </c>
      <c r="B3224" t="s">
        <v>36</v>
      </c>
      <c r="C3224">
        <v>81</v>
      </c>
      <c r="D3224" t="s">
        <v>21</v>
      </c>
      <c r="E3224" t="s">
        <v>22</v>
      </c>
      <c r="F3224" t="s">
        <v>22</v>
      </c>
      <c r="G3224">
        <v>0</v>
      </c>
      <c r="H3224">
        <v>140.80000000000001</v>
      </c>
      <c r="I3224">
        <v>97</v>
      </c>
      <c r="J3224">
        <v>23.94</v>
      </c>
      <c r="K3224">
        <v>211.5</v>
      </c>
      <c r="L3224">
        <v>109</v>
      </c>
      <c r="M3224">
        <v>17.98</v>
      </c>
      <c r="N3224">
        <v>216.9</v>
      </c>
      <c r="O3224">
        <v>53</v>
      </c>
      <c r="P3224">
        <v>9.76</v>
      </c>
      <c r="Q3224">
        <v>12.2</v>
      </c>
      <c r="R3224">
        <v>4</v>
      </c>
      <c r="S3224">
        <v>3.29</v>
      </c>
      <c r="T3224">
        <v>0</v>
      </c>
      <c r="U3224" t="s">
        <v>22</v>
      </c>
      <c r="V3224" t="e">
        <f>IF(#REF! = "yes", 1, 0)</f>
        <v>#REF!</v>
      </c>
      <c r="W3224" t="e">
        <f>IF(#REF! &lt;= 1, "0-1 Calls", IF(#REF! &lt;= 3, "2-3 Calls", IF(#REF! &lt;=5, "4-5 Calls", "6+ Calls")))</f>
        <v>#REF!</v>
      </c>
      <c r="X3224" t="e">
        <f>IF(#REF! &lt;= 50, "0-50", IF(#REF! &lt;=100, "51-100", IF(#REF! &lt;= 150, "101-150", "151+")))</f>
        <v>#REF!</v>
      </c>
      <c r="Y3224" t="e">
        <f>IF(#REF! &lt;= 3, "Low Charges", "High Charges")</f>
        <v>#REF!</v>
      </c>
      <c r="Z3224" t="e">
        <f>IF(#REF!&lt;=80,"Low Calls",
IF(#REF!&lt;=120,"Medium Calls","High Calls"))</f>
        <v>#REF!</v>
      </c>
      <c r="AA3224" t="e">
        <f>IF(#REF!&lt;=15,"Low Charges",
IF(#REF!&lt;=20,"Medium Charges","High Charges"))</f>
        <v>#REF!</v>
      </c>
      <c r="AB3224" t="e">
        <f>IF(AND(#REF!&gt;180, #REF!&gt;200), "Heavy Doemstic User", IF(#REF!&gt;10, "Interntional User", IF(AND(#REF!&lt;180, #REF!&lt;200,#REF!&lt;200), "Light User", "Balanced User")))</f>
        <v>#REF!</v>
      </c>
      <c r="AC3224" t="e">
        <f>IF(#REF! = 0, "No Usage", IF(#REF! &lt;= 20, "Low Usage", IF(#REF! &lt;= 40, "Medium Usgae", "High Usage")))</f>
        <v>#REF!</v>
      </c>
      <c r="AD3224" t="e">
        <f>IF(#REF!&lt;=150,"Low Usage", IF(#REF!&lt;=200,"Medium Usage", IF(#REF!&lt;=250,"High Usage","Very High Usage")))</f>
        <v>#REF!</v>
      </c>
      <c r="AE3224" t="e">
        <f>IF(#REF!&lt;=5,"Low Calls", IF(#REF!&lt;=10, "Medium Calls", "High Calls"))</f>
        <v>#REF!</v>
      </c>
      <c r="AF3224" t="e">
        <f xml:space="preserve">
IF(#REF!&gt;=4,4,0)+
IF(#REF!="yes",3,0)+
IF(#REF!="High Charges",3,0)+
IF(#REF!&gt;250,4,0)+
IF(#REF!="no",1,0)+
IF(#REF!="Heavy Domestic User",2,0)</f>
        <v>#REF!</v>
      </c>
      <c r="AG3224" t="e">
        <f>IF(#REF!&gt;=10,"High Risk", IF(#REF!&gt;=5,"Medium Risk","Low Risk"))</f>
        <v>#REF!</v>
      </c>
      <c r="AH3224" t="e">
        <f>#REF! + #REF! + #REF! + #REF!</f>
        <v>#REF!</v>
      </c>
    </row>
    <row r="3225" spans="1:34" x14ac:dyDescent="0.35">
      <c r="A3225">
        <v>3224</v>
      </c>
      <c r="B3225" t="s">
        <v>65</v>
      </c>
      <c r="C3225">
        <v>113</v>
      </c>
      <c r="D3225" t="s">
        <v>21</v>
      </c>
      <c r="E3225" t="s">
        <v>22</v>
      </c>
      <c r="F3225" t="s">
        <v>22</v>
      </c>
      <c r="G3225">
        <v>0</v>
      </c>
      <c r="H3225">
        <v>140.80000000000001</v>
      </c>
      <c r="I3225">
        <v>107</v>
      </c>
      <c r="J3225">
        <v>23.94</v>
      </c>
      <c r="K3225">
        <v>252.6</v>
      </c>
      <c r="L3225">
        <v>87</v>
      </c>
      <c r="M3225">
        <v>21.47</v>
      </c>
      <c r="N3225">
        <v>215.4</v>
      </c>
      <c r="O3225">
        <v>136</v>
      </c>
      <c r="P3225">
        <v>9.69</v>
      </c>
      <c r="Q3225">
        <v>9.1</v>
      </c>
      <c r="R3225">
        <v>4</v>
      </c>
      <c r="S3225">
        <v>2.46</v>
      </c>
      <c r="T3225">
        <v>3</v>
      </c>
      <c r="U3225" t="s">
        <v>22</v>
      </c>
      <c r="V3225" t="e">
        <f>IF(#REF! = "yes", 1, 0)</f>
        <v>#REF!</v>
      </c>
      <c r="W3225" t="e">
        <f>IF(#REF! &lt;= 1, "0-1 Calls", IF(#REF! &lt;= 3, "2-3 Calls", IF(#REF! &lt;=5, "4-5 Calls", "6+ Calls")))</f>
        <v>#REF!</v>
      </c>
      <c r="X3225" t="e">
        <f>IF(#REF! &lt;= 50, "0-50", IF(#REF! &lt;=100, "51-100", IF(#REF! &lt;= 150, "101-150", "151+")))</f>
        <v>#REF!</v>
      </c>
      <c r="Y3225" t="e">
        <f>IF(#REF! &lt;= 3, "Low Charges", "High Charges")</f>
        <v>#REF!</v>
      </c>
      <c r="Z3225" t="e">
        <f>IF(#REF!&lt;=80,"Low Calls",
IF(#REF!&lt;=120,"Medium Calls","High Calls"))</f>
        <v>#REF!</v>
      </c>
      <c r="AA3225" t="e">
        <f>IF(#REF!&lt;=15,"Low Charges",
IF(#REF!&lt;=20,"Medium Charges","High Charges"))</f>
        <v>#REF!</v>
      </c>
      <c r="AB3225" t="e">
        <f>IF(AND(#REF!&gt;180, #REF!&gt;200), "Heavy Doemstic User", IF(#REF!&gt;10, "Interntional User", IF(AND(#REF!&lt;180, #REF!&lt;200,#REF!&lt;200), "Light User", "Balanced User")))</f>
        <v>#REF!</v>
      </c>
      <c r="AC3225" t="e">
        <f>IF(#REF! = 0, "No Usage", IF(#REF! &lt;= 20, "Low Usage", IF(#REF! &lt;= 40, "Medium Usgae", "High Usage")))</f>
        <v>#REF!</v>
      </c>
      <c r="AD3225" t="e">
        <f>IF(#REF!&lt;=150,"Low Usage", IF(#REF!&lt;=200,"Medium Usage", IF(#REF!&lt;=250,"High Usage","Very High Usage")))</f>
        <v>#REF!</v>
      </c>
      <c r="AE3225" t="e">
        <f>IF(#REF!&lt;=5,"Low Calls", IF(#REF!&lt;=10, "Medium Calls", "High Calls"))</f>
        <v>#REF!</v>
      </c>
      <c r="AF3225" t="e">
        <f xml:space="preserve">
IF(#REF!&gt;=4,4,0)+
IF(#REF!="yes",3,0)+
IF(#REF!="High Charges",3,0)+
IF(#REF!&gt;250,4,0)+
IF(#REF!="no",1,0)+
IF(#REF!="Heavy Domestic User",2,0)</f>
        <v>#REF!</v>
      </c>
      <c r="AG3225" t="e">
        <f>IF(#REF!&gt;=10,"High Risk", IF(#REF!&gt;=5,"Medium Risk","Low Risk"))</f>
        <v>#REF!</v>
      </c>
      <c r="AH3225" t="e">
        <f>#REF! + #REF! + #REF! + #REF!</f>
        <v>#REF!</v>
      </c>
    </row>
    <row r="3226" spans="1:34" x14ac:dyDescent="0.35">
      <c r="A3226">
        <v>3225</v>
      </c>
      <c r="B3226" t="s">
        <v>67</v>
      </c>
      <c r="C3226">
        <v>93</v>
      </c>
      <c r="D3226" t="s">
        <v>21</v>
      </c>
      <c r="E3226" t="s">
        <v>23</v>
      </c>
      <c r="F3226" t="s">
        <v>23</v>
      </c>
      <c r="G3226">
        <v>36</v>
      </c>
      <c r="H3226">
        <v>169.7</v>
      </c>
      <c r="I3226">
        <v>109</v>
      </c>
      <c r="J3226">
        <v>28.85</v>
      </c>
      <c r="K3226">
        <v>318.60000000000002</v>
      </c>
      <c r="L3226">
        <v>88</v>
      </c>
      <c r="M3226">
        <v>27.08</v>
      </c>
      <c r="N3226">
        <v>246.5</v>
      </c>
      <c r="O3226">
        <v>95</v>
      </c>
      <c r="P3226">
        <v>11.09</v>
      </c>
      <c r="Q3226">
        <v>9.8000000000000007</v>
      </c>
      <c r="R3226">
        <v>3</v>
      </c>
      <c r="S3226">
        <v>2.65</v>
      </c>
      <c r="T3226">
        <v>0</v>
      </c>
      <c r="U3226" t="s">
        <v>22</v>
      </c>
      <c r="V3226" t="e">
        <f>IF(#REF! = "yes", 1, 0)</f>
        <v>#REF!</v>
      </c>
      <c r="W3226" t="e">
        <f>IF(#REF! &lt;= 1, "0-1 Calls", IF(#REF! &lt;= 3, "2-3 Calls", IF(#REF! &lt;=5, "4-5 Calls", "6+ Calls")))</f>
        <v>#REF!</v>
      </c>
      <c r="X3226" t="e">
        <f>IF(#REF! &lt;= 50, "0-50", IF(#REF! &lt;=100, "51-100", IF(#REF! &lt;= 150, "101-150", "151+")))</f>
        <v>#REF!</v>
      </c>
      <c r="Y3226" t="e">
        <f>IF(#REF! &lt;= 3, "Low Charges", "High Charges")</f>
        <v>#REF!</v>
      </c>
      <c r="Z3226" t="e">
        <f>IF(#REF!&lt;=80,"Low Calls",
IF(#REF!&lt;=120,"Medium Calls","High Calls"))</f>
        <v>#REF!</v>
      </c>
      <c r="AA3226" t="e">
        <f>IF(#REF!&lt;=15,"Low Charges",
IF(#REF!&lt;=20,"Medium Charges","High Charges"))</f>
        <v>#REF!</v>
      </c>
      <c r="AB3226" t="e">
        <f>IF(AND(#REF!&gt;180, #REF!&gt;200), "Heavy Doemstic User", IF(#REF!&gt;10, "Interntional User", IF(AND(#REF!&lt;180, #REF!&lt;200,#REF!&lt;200), "Light User", "Balanced User")))</f>
        <v>#REF!</v>
      </c>
      <c r="AC3226" t="e">
        <f>IF(#REF! = 0, "No Usage", IF(#REF! &lt;= 20, "Low Usage", IF(#REF! &lt;= 40, "Medium Usgae", "High Usage")))</f>
        <v>#REF!</v>
      </c>
      <c r="AD3226" t="e">
        <f>IF(#REF!&lt;=150,"Low Usage", IF(#REF!&lt;=200,"Medium Usage", IF(#REF!&lt;=250,"High Usage","Very High Usage")))</f>
        <v>#REF!</v>
      </c>
      <c r="AE3226" t="e">
        <f>IF(#REF!&lt;=5,"Low Calls", IF(#REF!&lt;=10, "Medium Calls", "High Calls"))</f>
        <v>#REF!</v>
      </c>
      <c r="AF3226" t="e">
        <f xml:space="preserve">
IF(#REF!&gt;=4,4,0)+
IF(#REF!="yes",3,0)+
IF(#REF!="High Charges",3,0)+
IF(#REF!&gt;250,4,0)+
IF(#REF!="no",1,0)+
IF(#REF!="Heavy Domestic User",2,0)</f>
        <v>#REF!</v>
      </c>
      <c r="AG3226" t="e">
        <f>IF(#REF!&gt;=10,"High Risk", IF(#REF!&gt;=5,"Medium Risk","Low Risk"))</f>
        <v>#REF!</v>
      </c>
      <c r="AH3226" t="e">
        <f>#REF! + #REF! + #REF! + #REF!</f>
        <v>#REF!</v>
      </c>
    </row>
    <row r="3227" spans="1:34" x14ac:dyDescent="0.35">
      <c r="A3227">
        <v>3226</v>
      </c>
      <c r="B3227" t="s">
        <v>51</v>
      </c>
      <c r="C3227">
        <v>77</v>
      </c>
      <c r="D3227" t="s">
        <v>25</v>
      </c>
      <c r="E3227" t="s">
        <v>22</v>
      </c>
      <c r="F3227" t="s">
        <v>22</v>
      </c>
      <c r="G3227">
        <v>0</v>
      </c>
      <c r="H3227">
        <v>168.1</v>
      </c>
      <c r="I3227">
        <v>83</v>
      </c>
      <c r="J3227">
        <v>28.58</v>
      </c>
      <c r="K3227">
        <v>202</v>
      </c>
      <c r="L3227">
        <v>91</v>
      </c>
      <c r="M3227">
        <v>17.170000000000002</v>
      </c>
      <c r="N3227">
        <v>173.2</v>
      </c>
      <c r="O3227">
        <v>91</v>
      </c>
      <c r="P3227">
        <v>7.79</v>
      </c>
      <c r="Q3227">
        <v>10</v>
      </c>
      <c r="R3227">
        <v>3</v>
      </c>
      <c r="S3227">
        <v>2.7</v>
      </c>
      <c r="T3227">
        <v>3</v>
      </c>
      <c r="U3227" t="s">
        <v>22</v>
      </c>
      <c r="V3227" t="e">
        <f>IF(#REF! = "yes", 1, 0)</f>
        <v>#REF!</v>
      </c>
      <c r="W3227" t="e">
        <f>IF(#REF! &lt;= 1, "0-1 Calls", IF(#REF! &lt;= 3, "2-3 Calls", IF(#REF! &lt;=5, "4-5 Calls", "6+ Calls")))</f>
        <v>#REF!</v>
      </c>
      <c r="X3227" t="e">
        <f>IF(#REF! &lt;= 50, "0-50", IF(#REF! &lt;=100, "51-100", IF(#REF! &lt;= 150, "101-150", "151+")))</f>
        <v>#REF!</v>
      </c>
      <c r="Y3227" t="e">
        <f>IF(#REF! &lt;= 3, "Low Charges", "High Charges")</f>
        <v>#REF!</v>
      </c>
      <c r="Z3227" t="e">
        <f>IF(#REF!&lt;=80,"Low Calls",
IF(#REF!&lt;=120,"Medium Calls","High Calls"))</f>
        <v>#REF!</v>
      </c>
      <c r="AA3227" t="e">
        <f>IF(#REF!&lt;=15,"Low Charges",
IF(#REF!&lt;=20,"Medium Charges","High Charges"))</f>
        <v>#REF!</v>
      </c>
      <c r="AB3227" t="e">
        <f>IF(AND(#REF!&gt;180, #REF!&gt;200), "Heavy Doemstic User", IF(#REF!&gt;10, "Interntional User", IF(AND(#REF!&lt;180, #REF!&lt;200,#REF!&lt;200), "Light User", "Balanced User")))</f>
        <v>#REF!</v>
      </c>
      <c r="AC3227" t="e">
        <f>IF(#REF! = 0, "No Usage", IF(#REF! &lt;= 20, "Low Usage", IF(#REF! &lt;= 40, "Medium Usgae", "High Usage")))</f>
        <v>#REF!</v>
      </c>
      <c r="AD3227" t="e">
        <f>IF(#REF!&lt;=150,"Low Usage", IF(#REF!&lt;=200,"Medium Usage", IF(#REF!&lt;=250,"High Usage","Very High Usage")))</f>
        <v>#REF!</v>
      </c>
      <c r="AE3227" t="e">
        <f>IF(#REF!&lt;=5,"Low Calls", IF(#REF!&lt;=10, "Medium Calls", "High Calls"))</f>
        <v>#REF!</v>
      </c>
      <c r="AF3227" t="e">
        <f xml:space="preserve">
IF(#REF!&gt;=4,4,0)+
IF(#REF!="yes",3,0)+
IF(#REF!="High Charges",3,0)+
IF(#REF!&gt;250,4,0)+
IF(#REF!="no",1,0)+
IF(#REF!="Heavy Domestic User",2,0)</f>
        <v>#REF!</v>
      </c>
      <c r="AG3227" t="e">
        <f>IF(#REF!&gt;=10,"High Risk", IF(#REF!&gt;=5,"Medium Risk","Low Risk"))</f>
        <v>#REF!</v>
      </c>
      <c r="AH3227" t="e">
        <f>#REF! + #REF! + #REF! + #REF!</f>
        <v>#REF!</v>
      </c>
    </row>
    <row r="3228" spans="1:34" x14ac:dyDescent="0.35">
      <c r="A3228">
        <v>3227</v>
      </c>
      <c r="B3228" t="s">
        <v>46</v>
      </c>
      <c r="C3228">
        <v>125</v>
      </c>
      <c r="D3228" t="s">
        <v>21</v>
      </c>
      <c r="E3228" t="s">
        <v>22</v>
      </c>
      <c r="F3228" t="s">
        <v>23</v>
      </c>
      <c r="G3228">
        <v>25</v>
      </c>
      <c r="H3228">
        <v>190.1</v>
      </c>
      <c r="I3228">
        <v>133</v>
      </c>
      <c r="J3228">
        <v>32.32</v>
      </c>
      <c r="K3228">
        <v>181.1</v>
      </c>
      <c r="L3228">
        <v>61</v>
      </c>
      <c r="M3228">
        <v>15.39</v>
      </c>
      <c r="N3228">
        <v>104</v>
      </c>
      <c r="O3228">
        <v>110</v>
      </c>
      <c r="P3228">
        <v>4.68</v>
      </c>
      <c r="Q3228">
        <v>12.5</v>
      </c>
      <c r="R3228">
        <v>3</v>
      </c>
      <c r="S3228">
        <v>3.38</v>
      </c>
      <c r="T3228">
        <v>2</v>
      </c>
      <c r="U3228" t="s">
        <v>22</v>
      </c>
      <c r="V3228" t="e">
        <f>IF(#REF! = "yes", 1, 0)</f>
        <v>#REF!</v>
      </c>
      <c r="W3228" t="e">
        <f>IF(#REF! &lt;= 1, "0-1 Calls", IF(#REF! &lt;= 3, "2-3 Calls", IF(#REF! &lt;=5, "4-5 Calls", "6+ Calls")))</f>
        <v>#REF!</v>
      </c>
      <c r="X3228" t="e">
        <f>IF(#REF! &lt;= 50, "0-50", IF(#REF! &lt;=100, "51-100", IF(#REF! &lt;= 150, "101-150", "151+")))</f>
        <v>#REF!</v>
      </c>
      <c r="Y3228" t="e">
        <f>IF(#REF! &lt;= 3, "Low Charges", "High Charges")</f>
        <v>#REF!</v>
      </c>
      <c r="Z3228" t="e">
        <f>IF(#REF!&lt;=80,"Low Calls",
IF(#REF!&lt;=120,"Medium Calls","High Calls"))</f>
        <v>#REF!</v>
      </c>
      <c r="AA3228" t="e">
        <f>IF(#REF!&lt;=15,"Low Charges",
IF(#REF!&lt;=20,"Medium Charges","High Charges"))</f>
        <v>#REF!</v>
      </c>
      <c r="AB3228" t="e">
        <f>IF(AND(#REF!&gt;180, #REF!&gt;200), "Heavy Doemstic User", IF(#REF!&gt;10, "Interntional User", IF(AND(#REF!&lt;180, #REF!&lt;200,#REF!&lt;200), "Light User", "Balanced User")))</f>
        <v>#REF!</v>
      </c>
      <c r="AC3228" t="e">
        <f>IF(#REF! = 0, "No Usage", IF(#REF! &lt;= 20, "Low Usage", IF(#REF! &lt;= 40, "Medium Usgae", "High Usage")))</f>
        <v>#REF!</v>
      </c>
      <c r="AD3228" t="e">
        <f>IF(#REF!&lt;=150,"Low Usage", IF(#REF!&lt;=200,"Medium Usage", IF(#REF!&lt;=250,"High Usage","Very High Usage")))</f>
        <v>#REF!</v>
      </c>
      <c r="AE3228" t="e">
        <f>IF(#REF!&lt;=5,"Low Calls", IF(#REF!&lt;=10, "Medium Calls", "High Calls"))</f>
        <v>#REF!</v>
      </c>
      <c r="AF3228" t="e">
        <f xml:space="preserve">
IF(#REF!&gt;=4,4,0)+
IF(#REF!="yes",3,0)+
IF(#REF!="High Charges",3,0)+
IF(#REF!&gt;250,4,0)+
IF(#REF!="no",1,0)+
IF(#REF!="Heavy Domestic User",2,0)</f>
        <v>#REF!</v>
      </c>
      <c r="AG3228" t="e">
        <f>IF(#REF!&gt;=10,"High Risk", IF(#REF!&gt;=5,"Medium Risk","Low Risk"))</f>
        <v>#REF!</v>
      </c>
      <c r="AH3228" t="e">
        <f>#REF! + #REF! + #REF! + #REF!</f>
        <v>#REF!</v>
      </c>
    </row>
    <row r="3229" spans="1:34" x14ac:dyDescent="0.35">
      <c r="A3229">
        <v>3228</v>
      </c>
      <c r="B3229" t="s">
        <v>52</v>
      </c>
      <c r="C3229">
        <v>88</v>
      </c>
      <c r="D3229" t="s">
        <v>25</v>
      </c>
      <c r="E3229" t="s">
        <v>22</v>
      </c>
      <c r="F3229" t="s">
        <v>22</v>
      </c>
      <c r="G3229">
        <v>0</v>
      </c>
      <c r="H3229">
        <v>192.6</v>
      </c>
      <c r="I3229">
        <v>96</v>
      </c>
      <c r="J3229">
        <v>32.74</v>
      </c>
      <c r="K3229">
        <v>184</v>
      </c>
      <c r="L3229">
        <v>92</v>
      </c>
      <c r="M3229">
        <v>15.64</v>
      </c>
      <c r="N3229">
        <v>173.6</v>
      </c>
      <c r="O3229">
        <v>113</v>
      </c>
      <c r="P3229">
        <v>7.81</v>
      </c>
      <c r="Q3229">
        <v>8.8000000000000007</v>
      </c>
      <c r="R3229">
        <v>6</v>
      </c>
      <c r="S3229">
        <v>2.38</v>
      </c>
      <c r="T3229">
        <v>2</v>
      </c>
      <c r="U3229" t="s">
        <v>22</v>
      </c>
      <c r="V3229" t="e">
        <f>IF(#REF! = "yes", 1, 0)</f>
        <v>#REF!</v>
      </c>
      <c r="W3229" t="e">
        <f>IF(#REF! &lt;= 1, "0-1 Calls", IF(#REF! &lt;= 3, "2-3 Calls", IF(#REF! &lt;=5, "4-5 Calls", "6+ Calls")))</f>
        <v>#REF!</v>
      </c>
      <c r="X3229" t="e">
        <f>IF(#REF! &lt;= 50, "0-50", IF(#REF! &lt;=100, "51-100", IF(#REF! &lt;= 150, "101-150", "151+")))</f>
        <v>#REF!</v>
      </c>
      <c r="Y3229" t="e">
        <f>IF(#REF! &lt;= 3, "Low Charges", "High Charges")</f>
        <v>#REF!</v>
      </c>
      <c r="Z3229" t="e">
        <f>IF(#REF!&lt;=80,"Low Calls",
IF(#REF!&lt;=120,"Medium Calls","High Calls"))</f>
        <v>#REF!</v>
      </c>
      <c r="AA3229" t="e">
        <f>IF(#REF!&lt;=15,"Low Charges",
IF(#REF!&lt;=20,"Medium Charges","High Charges"))</f>
        <v>#REF!</v>
      </c>
      <c r="AB3229" t="e">
        <f>IF(AND(#REF!&gt;180, #REF!&gt;200), "Heavy Doemstic User", IF(#REF!&gt;10, "Interntional User", IF(AND(#REF!&lt;180, #REF!&lt;200,#REF!&lt;200), "Light User", "Balanced User")))</f>
        <v>#REF!</v>
      </c>
      <c r="AC3229" t="e">
        <f>IF(#REF! = 0, "No Usage", IF(#REF! &lt;= 20, "Low Usage", IF(#REF! &lt;= 40, "Medium Usgae", "High Usage")))</f>
        <v>#REF!</v>
      </c>
      <c r="AD3229" t="e">
        <f>IF(#REF!&lt;=150,"Low Usage", IF(#REF!&lt;=200,"Medium Usage", IF(#REF!&lt;=250,"High Usage","Very High Usage")))</f>
        <v>#REF!</v>
      </c>
      <c r="AE3229" t="e">
        <f>IF(#REF!&lt;=5,"Low Calls", IF(#REF!&lt;=10, "Medium Calls", "High Calls"))</f>
        <v>#REF!</v>
      </c>
      <c r="AF3229" t="e">
        <f xml:space="preserve">
IF(#REF!&gt;=4,4,0)+
IF(#REF!="yes",3,0)+
IF(#REF!="High Charges",3,0)+
IF(#REF!&gt;250,4,0)+
IF(#REF!="no",1,0)+
IF(#REF!="Heavy Domestic User",2,0)</f>
        <v>#REF!</v>
      </c>
      <c r="AG3229" t="e">
        <f>IF(#REF!&gt;=10,"High Risk", IF(#REF!&gt;=5,"Medium Risk","Low Risk"))</f>
        <v>#REF!</v>
      </c>
      <c r="AH3229" t="e">
        <f>#REF! + #REF! + #REF! + #REF!</f>
        <v>#REF!</v>
      </c>
    </row>
    <row r="3230" spans="1:34" x14ac:dyDescent="0.35">
      <c r="A3230">
        <v>3229</v>
      </c>
      <c r="B3230" t="s">
        <v>51</v>
      </c>
      <c r="C3230">
        <v>89</v>
      </c>
      <c r="D3230" t="s">
        <v>25</v>
      </c>
      <c r="E3230" t="s">
        <v>22</v>
      </c>
      <c r="F3230" t="s">
        <v>22</v>
      </c>
      <c r="G3230">
        <v>0</v>
      </c>
      <c r="H3230">
        <v>234.8</v>
      </c>
      <c r="I3230">
        <v>95</v>
      </c>
      <c r="J3230">
        <v>39.92</v>
      </c>
      <c r="K3230">
        <v>109.7</v>
      </c>
      <c r="L3230">
        <v>87</v>
      </c>
      <c r="M3230">
        <v>9.32</v>
      </c>
      <c r="N3230">
        <v>180.3</v>
      </c>
      <c r="O3230">
        <v>99</v>
      </c>
      <c r="P3230">
        <v>8.11</v>
      </c>
      <c r="Q3230">
        <v>10.4</v>
      </c>
      <c r="R3230">
        <v>2</v>
      </c>
      <c r="S3230">
        <v>2.81</v>
      </c>
      <c r="T3230">
        <v>0</v>
      </c>
      <c r="U3230" t="s">
        <v>22</v>
      </c>
      <c r="V3230" t="e">
        <f>IF(#REF! = "yes", 1, 0)</f>
        <v>#REF!</v>
      </c>
      <c r="W3230" t="e">
        <f>IF(#REF! &lt;= 1, "0-1 Calls", IF(#REF! &lt;= 3, "2-3 Calls", IF(#REF! &lt;=5, "4-5 Calls", "6+ Calls")))</f>
        <v>#REF!</v>
      </c>
      <c r="X3230" t="e">
        <f>IF(#REF! &lt;= 50, "0-50", IF(#REF! &lt;=100, "51-100", IF(#REF! &lt;= 150, "101-150", "151+")))</f>
        <v>#REF!</v>
      </c>
      <c r="Y3230" t="e">
        <f>IF(#REF! &lt;= 3, "Low Charges", "High Charges")</f>
        <v>#REF!</v>
      </c>
      <c r="Z3230" t="e">
        <f>IF(#REF!&lt;=80,"Low Calls",
IF(#REF!&lt;=120,"Medium Calls","High Calls"))</f>
        <v>#REF!</v>
      </c>
      <c r="AA3230" t="e">
        <f>IF(#REF!&lt;=15,"Low Charges",
IF(#REF!&lt;=20,"Medium Charges","High Charges"))</f>
        <v>#REF!</v>
      </c>
      <c r="AB3230" t="e">
        <f>IF(AND(#REF!&gt;180, #REF!&gt;200), "Heavy Doemstic User", IF(#REF!&gt;10, "Interntional User", IF(AND(#REF!&lt;180, #REF!&lt;200,#REF!&lt;200), "Light User", "Balanced User")))</f>
        <v>#REF!</v>
      </c>
      <c r="AC3230" t="e">
        <f>IF(#REF! = 0, "No Usage", IF(#REF! &lt;= 20, "Low Usage", IF(#REF! &lt;= 40, "Medium Usgae", "High Usage")))</f>
        <v>#REF!</v>
      </c>
      <c r="AD3230" t="e">
        <f>IF(#REF!&lt;=150,"Low Usage", IF(#REF!&lt;=200,"Medium Usage", IF(#REF!&lt;=250,"High Usage","Very High Usage")))</f>
        <v>#REF!</v>
      </c>
      <c r="AE3230" t="e">
        <f>IF(#REF!&lt;=5,"Low Calls", IF(#REF!&lt;=10, "Medium Calls", "High Calls"))</f>
        <v>#REF!</v>
      </c>
      <c r="AF3230" t="e">
        <f xml:space="preserve">
IF(#REF!&gt;=4,4,0)+
IF(#REF!="yes",3,0)+
IF(#REF!="High Charges",3,0)+
IF(#REF!&gt;250,4,0)+
IF(#REF!="no",1,0)+
IF(#REF!="Heavy Domestic User",2,0)</f>
        <v>#REF!</v>
      </c>
      <c r="AG3230" t="e">
        <f>IF(#REF!&gt;=10,"High Risk", IF(#REF!&gt;=5,"Medium Risk","Low Risk"))</f>
        <v>#REF!</v>
      </c>
      <c r="AH3230" t="e">
        <f>#REF! + #REF! + #REF! + #REF!</f>
        <v>#REF!</v>
      </c>
    </row>
    <row r="3231" spans="1:34" x14ac:dyDescent="0.35">
      <c r="A3231">
        <v>3230</v>
      </c>
      <c r="B3231" t="s">
        <v>70</v>
      </c>
      <c r="C3231">
        <v>124</v>
      </c>
      <c r="D3231" t="s">
        <v>28</v>
      </c>
      <c r="E3231" t="s">
        <v>22</v>
      </c>
      <c r="F3231" t="s">
        <v>22</v>
      </c>
      <c r="G3231">
        <v>0</v>
      </c>
      <c r="H3231">
        <v>247.2</v>
      </c>
      <c r="I3231">
        <v>84</v>
      </c>
      <c r="J3231">
        <v>42.02</v>
      </c>
      <c r="K3231">
        <v>161.9</v>
      </c>
      <c r="L3231">
        <v>130</v>
      </c>
      <c r="M3231">
        <v>13.76</v>
      </c>
      <c r="N3231">
        <v>170.3</v>
      </c>
      <c r="O3231">
        <v>73</v>
      </c>
      <c r="P3231">
        <v>7.66</v>
      </c>
      <c r="Q3231">
        <v>6.1</v>
      </c>
      <c r="R3231">
        <v>6</v>
      </c>
      <c r="S3231">
        <v>1.65</v>
      </c>
      <c r="T3231">
        <v>1</v>
      </c>
      <c r="U3231" t="s">
        <v>22</v>
      </c>
      <c r="V3231" t="e">
        <f>IF(#REF! = "yes", 1, 0)</f>
        <v>#REF!</v>
      </c>
      <c r="W3231" t="e">
        <f>IF(#REF! &lt;= 1, "0-1 Calls", IF(#REF! &lt;= 3, "2-3 Calls", IF(#REF! &lt;=5, "4-5 Calls", "6+ Calls")))</f>
        <v>#REF!</v>
      </c>
      <c r="X3231" t="e">
        <f>IF(#REF! &lt;= 50, "0-50", IF(#REF! &lt;=100, "51-100", IF(#REF! &lt;= 150, "101-150", "151+")))</f>
        <v>#REF!</v>
      </c>
      <c r="Y3231" t="e">
        <f>IF(#REF! &lt;= 3, "Low Charges", "High Charges")</f>
        <v>#REF!</v>
      </c>
      <c r="Z3231" t="e">
        <f>IF(#REF!&lt;=80,"Low Calls",
IF(#REF!&lt;=120,"Medium Calls","High Calls"))</f>
        <v>#REF!</v>
      </c>
      <c r="AA3231" t="e">
        <f>IF(#REF!&lt;=15,"Low Charges",
IF(#REF!&lt;=20,"Medium Charges","High Charges"))</f>
        <v>#REF!</v>
      </c>
      <c r="AB3231" t="e">
        <f>IF(AND(#REF!&gt;180, #REF!&gt;200), "Heavy Doemstic User", IF(#REF!&gt;10, "Interntional User", IF(AND(#REF!&lt;180, #REF!&lt;200,#REF!&lt;200), "Light User", "Balanced User")))</f>
        <v>#REF!</v>
      </c>
      <c r="AC3231" t="e">
        <f>IF(#REF! = 0, "No Usage", IF(#REF! &lt;= 20, "Low Usage", IF(#REF! &lt;= 40, "Medium Usgae", "High Usage")))</f>
        <v>#REF!</v>
      </c>
      <c r="AD3231" t="e">
        <f>IF(#REF!&lt;=150,"Low Usage", IF(#REF!&lt;=200,"Medium Usage", IF(#REF!&lt;=250,"High Usage","Very High Usage")))</f>
        <v>#REF!</v>
      </c>
      <c r="AE3231" t="e">
        <f>IF(#REF!&lt;=5,"Low Calls", IF(#REF!&lt;=10, "Medium Calls", "High Calls"))</f>
        <v>#REF!</v>
      </c>
      <c r="AF3231" t="e">
        <f xml:space="preserve">
IF(#REF!&gt;=4,4,0)+
IF(#REF!="yes",3,0)+
IF(#REF!="High Charges",3,0)+
IF(#REF!&gt;250,4,0)+
IF(#REF!="no",1,0)+
IF(#REF!="Heavy Domestic User",2,0)</f>
        <v>#REF!</v>
      </c>
      <c r="AG3231" t="e">
        <f>IF(#REF!&gt;=10,"High Risk", IF(#REF!&gt;=5,"Medium Risk","Low Risk"))</f>
        <v>#REF!</v>
      </c>
      <c r="AH3231" t="e">
        <f>#REF! + #REF! + #REF! + #REF!</f>
        <v>#REF!</v>
      </c>
    </row>
    <row r="3232" spans="1:34" x14ac:dyDescent="0.35">
      <c r="A3232">
        <v>3231</v>
      </c>
      <c r="B3232" t="s">
        <v>35</v>
      </c>
      <c r="C3232">
        <v>83</v>
      </c>
      <c r="D3232" t="s">
        <v>25</v>
      </c>
      <c r="E3232" t="s">
        <v>22</v>
      </c>
      <c r="F3232" t="s">
        <v>22</v>
      </c>
      <c r="G3232">
        <v>0</v>
      </c>
      <c r="H3232">
        <v>185.9</v>
      </c>
      <c r="I3232">
        <v>115</v>
      </c>
      <c r="J3232">
        <v>31.6</v>
      </c>
      <c r="K3232">
        <v>232.5</v>
      </c>
      <c r="L3232">
        <v>98</v>
      </c>
      <c r="M3232">
        <v>19.760000000000002</v>
      </c>
      <c r="N3232">
        <v>205.2</v>
      </c>
      <c r="O3232">
        <v>124</v>
      </c>
      <c r="P3232">
        <v>9.23</v>
      </c>
      <c r="Q3232">
        <v>10.199999999999999</v>
      </c>
      <c r="R3232">
        <v>2</v>
      </c>
      <c r="S3232">
        <v>2.75</v>
      </c>
      <c r="T3232">
        <v>2</v>
      </c>
      <c r="U3232" t="s">
        <v>22</v>
      </c>
      <c r="V3232" t="e">
        <f>IF(#REF! = "yes", 1, 0)</f>
        <v>#REF!</v>
      </c>
      <c r="W3232" t="e">
        <f>IF(#REF! &lt;= 1, "0-1 Calls", IF(#REF! &lt;= 3, "2-3 Calls", IF(#REF! &lt;=5, "4-5 Calls", "6+ Calls")))</f>
        <v>#REF!</v>
      </c>
      <c r="X3232" t="e">
        <f>IF(#REF! &lt;= 50, "0-50", IF(#REF! &lt;=100, "51-100", IF(#REF! &lt;= 150, "101-150", "151+")))</f>
        <v>#REF!</v>
      </c>
      <c r="Y3232" t="e">
        <f>IF(#REF! &lt;= 3, "Low Charges", "High Charges")</f>
        <v>#REF!</v>
      </c>
      <c r="Z3232" t="e">
        <f>IF(#REF!&lt;=80,"Low Calls",
IF(#REF!&lt;=120,"Medium Calls","High Calls"))</f>
        <v>#REF!</v>
      </c>
      <c r="AA3232" t="e">
        <f>IF(#REF!&lt;=15,"Low Charges",
IF(#REF!&lt;=20,"Medium Charges","High Charges"))</f>
        <v>#REF!</v>
      </c>
      <c r="AB3232" t="e">
        <f>IF(AND(#REF!&gt;180, #REF!&gt;200), "Heavy Doemstic User", IF(#REF!&gt;10, "Interntional User", IF(AND(#REF!&lt;180, #REF!&lt;200,#REF!&lt;200), "Light User", "Balanced User")))</f>
        <v>#REF!</v>
      </c>
      <c r="AC3232" t="e">
        <f>IF(#REF! = 0, "No Usage", IF(#REF! &lt;= 20, "Low Usage", IF(#REF! &lt;= 40, "Medium Usgae", "High Usage")))</f>
        <v>#REF!</v>
      </c>
      <c r="AD3232" t="e">
        <f>IF(#REF!&lt;=150,"Low Usage", IF(#REF!&lt;=200,"Medium Usage", IF(#REF!&lt;=250,"High Usage","Very High Usage")))</f>
        <v>#REF!</v>
      </c>
      <c r="AE3232" t="e">
        <f>IF(#REF!&lt;=5,"Low Calls", IF(#REF!&lt;=10, "Medium Calls", "High Calls"))</f>
        <v>#REF!</v>
      </c>
      <c r="AF3232" t="e">
        <f xml:space="preserve">
IF(#REF!&gt;=4,4,0)+
IF(#REF!="yes",3,0)+
IF(#REF!="High Charges",3,0)+
IF(#REF!&gt;250,4,0)+
IF(#REF!="no",1,0)+
IF(#REF!="Heavy Domestic User",2,0)</f>
        <v>#REF!</v>
      </c>
      <c r="AG3232" t="e">
        <f>IF(#REF!&gt;=10,"High Risk", IF(#REF!&gt;=5,"Medium Risk","Low Risk"))</f>
        <v>#REF!</v>
      </c>
      <c r="AH3232" t="e">
        <f>#REF! + #REF! + #REF! + #REF!</f>
        <v>#REF!</v>
      </c>
    </row>
    <row r="3233" spans="1:34" x14ac:dyDescent="0.35">
      <c r="A3233">
        <v>3232</v>
      </c>
      <c r="B3233" t="s">
        <v>37</v>
      </c>
      <c r="C3233">
        <v>7</v>
      </c>
      <c r="D3233" t="s">
        <v>25</v>
      </c>
      <c r="E3233" t="s">
        <v>22</v>
      </c>
      <c r="F3233" t="s">
        <v>22</v>
      </c>
      <c r="G3233">
        <v>0</v>
      </c>
      <c r="H3233">
        <v>98.5</v>
      </c>
      <c r="I3233">
        <v>85</v>
      </c>
      <c r="J3233">
        <v>16.75</v>
      </c>
      <c r="K3233">
        <v>200.3</v>
      </c>
      <c r="L3233">
        <v>80</v>
      </c>
      <c r="M3233">
        <v>17.03</v>
      </c>
      <c r="N3233">
        <v>252.3</v>
      </c>
      <c r="O3233">
        <v>68</v>
      </c>
      <c r="P3233">
        <v>11.35</v>
      </c>
      <c r="Q3233">
        <v>12</v>
      </c>
      <c r="R3233">
        <v>7</v>
      </c>
      <c r="S3233">
        <v>3.24</v>
      </c>
      <c r="T3233">
        <v>2</v>
      </c>
      <c r="U3233" t="s">
        <v>22</v>
      </c>
      <c r="V3233" t="e">
        <f>IF(#REF! = "yes", 1, 0)</f>
        <v>#REF!</v>
      </c>
      <c r="W3233" t="e">
        <f>IF(#REF! &lt;= 1, "0-1 Calls", IF(#REF! &lt;= 3, "2-3 Calls", IF(#REF! &lt;=5, "4-5 Calls", "6+ Calls")))</f>
        <v>#REF!</v>
      </c>
      <c r="X3233" t="e">
        <f>IF(#REF! &lt;= 50, "0-50", IF(#REF! &lt;=100, "51-100", IF(#REF! &lt;= 150, "101-150", "151+")))</f>
        <v>#REF!</v>
      </c>
      <c r="Y3233" t="e">
        <f>IF(#REF! &lt;= 3, "Low Charges", "High Charges")</f>
        <v>#REF!</v>
      </c>
      <c r="Z3233" t="e">
        <f>IF(#REF!&lt;=80,"Low Calls",
IF(#REF!&lt;=120,"Medium Calls","High Calls"))</f>
        <v>#REF!</v>
      </c>
      <c r="AA3233" t="e">
        <f>IF(#REF!&lt;=15,"Low Charges",
IF(#REF!&lt;=20,"Medium Charges","High Charges"))</f>
        <v>#REF!</v>
      </c>
      <c r="AB3233" t="e">
        <f>IF(AND(#REF!&gt;180, #REF!&gt;200), "Heavy Doemstic User", IF(#REF!&gt;10, "Interntional User", IF(AND(#REF!&lt;180, #REF!&lt;200,#REF!&lt;200), "Light User", "Balanced User")))</f>
        <v>#REF!</v>
      </c>
      <c r="AC3233" t="e">
        <f>IF(#REF! = 0, "No Usage", IF(#REF! &lt;= 20, "Low Usage", IF(#REF! &lt;= 40, "Medium Usgae", "High Usage")))</f>
        <v>#REF!</v>
      </c>
      <c r="AD3233" t="e">
        <f>IF(#REF!&lt;=150,"Low Usage", IF(#REF!&lt;=200,"Medium Usage", IF(#REF!&lt;=250,"High Usage","Very High Usage")))</f>
        <v>#REF!</v>
      </c>
      <c r="AE3233" t="e">
        <f>IF(#REF!&lt;=5,"Low Calls", IF(#REF!&lt;=10, "Medium Calls", "High Calls"))</f>
        <v>#REF!</v>
      </c>
      <c r="AF3233" t="e">
        <f xml:space="preserve">
IF(#REF!&gt;=4,4,0)+
IF(#REF!="yes",3,0)+
IF(#REF!="High Charges",3,0)+
IF(#REF!&gt;250,4,0)+
IF(#REF!="no",1,0)+
IF(#REF!="Heavy Domestic User",2,0)</f>
        <v>#REF!</v>
      </c>
      <c r="AG3233" t="e">
        <f>IF(#REF!&gt;=10,"High Risk", IF(#REF!&gt;=5,"Medium Risk","Low Risk"))</f>
        <v>#REF!</v>
      </c>
      <c r="AH3233" t="e">
        <f>#REF! + #REF! + #REF! + #REF!</f>
        <v>#REF!</v>
      </c>
    </row>
    <row r="3234" spans="1:34" x14ac:dyDescent="0.35">
      <c r="A3234">
        <v>3233</v>
      </c>
      <c r="B3234" t="s">
        <v>39</v>
      </c>
      <c r="C3234">
        <v>104</v>
      </c>
      <c r="D3234" t="s">
        <v>21</v>
      </c>
      <c r="E3234" t="s">
        <v>22</v>
      </c>
      <c r="F3234" t="s">
        <v>22</v>
      </c>
      <c r="G3234">
        <v>0</v>
      </c>
      <c r="H3234">
        <v>304</v>
      </c>
      <c r="I3234">
        <v>141</v>
      </c>
      <c r="J3234">
        <v>51.68</v>
      </c>
      <c r="K3234">
        <v>264.10000000000002</v>
      </c>
      <c r="L3234">
        <v>127</v>
      </c>
      <c r="M3234">
        <v>22.45</v>
      </c>
      <c r="N3234">
        <v>138.1</v>
      </c>
      <c r="O3234">
        <v>104</v>
      </c>
      <c r="P3234">
        <v>6.21</v>
      </c>
      <c r="Q3234">
        <v>7.2</v>
      </c>
      <c r="R3234">
        <v>4</v>
      </c>
      <c r="S3234">
        <v>1.94</v>
      </c>
      <c r="T3234">
        <v>0</v>
      </c>
      <c r="U3234" t="s">
        <v>23</v>
      </c>
      <c r="V3234" t="e">
        <f>IF(#REF! = "yes", 1, 0)</f>
        <v>#REF!</v>
      </c>
      <c r="W3234" t="e">
        <f>IF(#REF! &lt;= 1, "0-1 Calls", IF(#REF! &lt;= 3, "2-3 Calls", IF(#REF! &lt;=5, "4-5 Calls", "6+ Calls")))</f>
        <v>#REF!</v>
      </c>
      <c r="X3234" t="e">
        <f>IF(#REF! &lt;= 50, "0-50", IF(#REF! &lt;=100, "51-100", IF(#REF! &lt;= 150, "101-150", "151+")))</f>
        <v>#REF!</v>
      </c>
      <c r="Y3234" t="e">
        <f>IF(#REF! &lt;= 3, "Low Charges", "High Charges")</f>
        <v>#REF!</v>
      </c>
      <c r="Z3234" t="e">
        <f>IF(#REF!&lt;=80,"Low Calls",
IF(#REF!&lt;=120,"Medium Calls","High Calls"))</f>
        <v>#REF!</v>
      </c>
      <c r="AA3234" t="e">
        <f>IF(#REF!&lt;=15,"Low Charges",
IF(#REF!&lt;=20,"Medium Charges","High Charges"))</f>
        <v>#REF!</v>
      </c>
      <c r="AB3234" t="e">
        <f>IF(AND(#REF!&gt;180, #REF!&gt;200), "Heavy Doemstic User", IF(#REF!&gt;10, "Interntional User", IF(AND(#REF!&lt;180, #REF!&lt;200,#REF!&lt;200), "Light User", "Balanced User")))</f>
        <v>#REF!</v>
      </c>
      <c r="AC3234" t="e">
        <f>IF(#REF! = 0, "No Usage", IF(#REF! &lt;= 20, "Low Usage", IF(#REF! &lt;= 40, "Medium Usgae", "High Usage")))</f>
        <v>#REF!</v>
      </c>
      <c r="AD3234" t="e">
        <f>IF(#REF!&lt;=150,"Low Usage", IF(#REF!&lt;=200,"Medium Usage", IF(#REF!&lt;=250,"High Usage","Very High Usage")))</f>
        <v>#REF!</v>
      </c>
      <c r="AE3234" t="e">
        <f>IF(#REF!&lt;=5,"Low Calls", IF(#REF!&lt;=10, "Medium Calls", "High Calls"))</f>
        <v>#REF!</v>
      </c>
      <c r="AF3234" t="e">
        <f xml:space="preserve">
IF(#REF!&gt;=4,4,0)+
IF(#REF!="yes",3,0)+
IF(#REF!="High Charges",3,0)+
IF(#REF!&gt;250,4,0)+
IF(#REF!="no",1,0)+
IF(#REF!="Heavy Domestic User",2,0)</f>
        <v>#REF!</v>
      </c>
      <c r="AG3234" t="e">
        <f>IF(#REF!&gt;=10,"High Risk", IF(#REF!&gt;=5,"Medium Risk","Low Risk"))</f>
        <v>#REF!</v>
      </c>
      <c r="AH3234" t="e">
        <f>#REF! + #REF! + #REF! + #REF!</f>
        <v>#REF!</v>
      </c>
    </row>
    <row r="3235" spans="1:34" x14ac:dyDescent="0.35">
      <c r="A3235">
        <v>3234</v>
      </c>
      <c r="B3235" t="s">
        <v>36</v>
      </c>
      <c r="C3235">
        <v>76</v>
      </c>
      <c r="D3235" t="s">
        <v>21</v>
      </c>
      <c r="E3235" t="s">
        <v>22</v>
      </c>
      <c r="F3235" t="s">
        <v>22</v>
      </c>
      <c r="G3235">
        <v>0</v>
      </c>
      <c r="H3235">
        <v>201.5</v>
      </c>
      <c r="I3235">
        <v>127</v>
      </c>
      <c r="J3235">
        <v>34.26</v>
      </c>
      <c r="K3235">
        <v>155.19999999999999</v>
      </c>
      <c r="L3235">
        <v>91</v>
      </c>
      <c r="M3235">
        <v>13.19</v>
      </c>
      <c r="N3235">
        <v>249.6</v>
      </c>
      <c r="O3235">
        <v>103</v>
      </c>
      <c r="P3235">
        <v>11.23</v>
      </c>
      <c r="Q3235">
        <v>8.6</v>
      </c>
      <c r="R3235">
        <v>1</v>
      </c>
      <c r="S3235">
        <v>2.3199999999999998</v>
      </c>
      <c r="T3235">
        <v>2</v>
      </c>
      <c r="U3235" t="s">
        <v>22</v>
      </c>
      <c r="V3235" t="e">
        <f>IF(#REF! = "yes", 1, 0)</f>
        <v>#REF!</v>
      </c>
      <c r="W3235" t="e">
        <f>IF(#REF! &lt;= 1, "0-1 Calls", IF(#REF! &lt;= 3, "2-3 Calls", IF(#REF! &lt;=5, "4-5 Calls", "6+ Calls")))</f>
        <v>#REF!</v>
      </c>
      <c r="X3235" t="e">
        <f>IF(#REF! &lt;= 50, "0-50", IF(#REF! &lt;=100, "51-100", IF(#REF! &lt;= 150, "101-150", "151+")))</f>
        <v>#REF!</v>
      </c>
      <c r="Y3235" t="e">
        <f>IF(#REF! &lt;= 3, "Low Charges", "High Charges")</f>
        <v>#REF!</v>
      </c>
      <c r="Z3235" t="e">
        <f>IF(#REF!&lt;=80,"Low Calls",
IF(#REF!&lt;=120,"Medium Calls","High Calls"))</f>
        <v>#REF!</v>
      </c>
      <c r="AA3235" t="e">
        <f>IF(#REF!&lt;=15,"Low Charges",
IF(#REF!&lt;=20,"Medium Charges","High Charges"))</f>
        <v>#REF!</v>
      </c>
      <c r="AB3235" t="e">
        <f>IF(AND(#REF!&gt;180, #REF!&gt;200), "Heavy Doemstic User", IF(#REF!&gt;10, "Interntional User", IF(AND(#REF!&lt;180, #REF!&lt;200,#REF!&lt;200), "Light User", "Balanced User")))</f>
        <v>#REF!</v>
      </c>
      <c r="AC3235" t="e">
        <f>IF(#REF! = 0, "No Usage", IF(#REF! &lt;= 20, "Low Usage", IF(#REF! &lt;= 40, "Medium Usgae", "High Usage")))</f>
        <v>#REF!</v>
      </c>
      <c r="AD3235" t="e">
        <f>IF(#REF!&lt;=150,"Low Usage", IF(#REF!&lt;=200,"Medium Usage", IF(#REF!&lt;=250,"High Usage","Very High Usage")))</f>
        <v>#REF!</v>
      </c>
      <c r="AE3235" t="e">
        <f>IF(#REF!&lt;=5,"Low Calls", IF(#REF!&lt;=10, "Medium Calls", "High Calls"))</f>
        <v>#REF!</v>
      </c>
      <c r="AF3235" t="e">
        <f xml:space="preserve">
IF(#REF!&gt;=4,4,0)+
IF(#REF!="yes",3,0)+
IF(#REF!="High Charges",3,0)+
IF(#REF!&gt;250,4,0)+
IF(#REF!="no",1,0)+
IF(#REF!="Heavy Domestic User",2,0)</f>
        <v>#REF!</v>
      </c>
      <c r="AG3235" t="e">
        <f>IF(#REF!&gt;=10,"High Risk", IF(#REF!&gt;=5,"Medium Risk","Low Risk"))</f>
        <v>#REF!</v>
      </c>
      <c r="AH3235" t="e">
        <f>#REF! + #REF! + #REF! + #REF!</f>
        <v>#REF!</v>
      </c>
    </row>
    <row r="3236" spans="1:34" x14ac:dyDescent="0.35">
      <c r="A3236">
        <v>3235</v>
      </c>
      <c r="B3236" t="s">
        <v>24</v>
      </c>
      <c r="C3236">
        <v>135</v>
      </c>
      <c r="D3236" t="s">
        <v>21</v>
      </c>
      <c r="E3236" t="s">
        <v>22</v>
      </c>
      <c r="F3236" t="s">
        <v>22</v>
      </c>
      <c r="G3236">
        <v>0</v>
      </c>
      <c r="H3236">
        <v>191.7</v>
      </c>
      <c r="I3236">
        <v>125</v>
      </c>
      <c r="J3236">
        <v>32.590000000000003</v>
      </c>
      <c r="K3236">
        <v>284.2</v>
      </c>
      <c r="L3236">
        <v>100</v>
      </c>
      <c r="M3236">
        <v>24.16</v>
      </c>
      <c r="N3236">
        <v>211.7</v>
      </c>
      <c r="O3236">
        <v>87</v>
      </c>
      <c r="P3236">
        <v>9.5299999999999994</v>
      </c>
      <c r="Q3236">
        <v>12.5</v>
      </c>
      <c r="R3236">
        <v>2</v>
      </c>
      <c r="S3236">
        <v>3.38</v>
      </c>
      <c r="T3236">
        <v>0</v>
      </c>
      <c r="U3236" t="s">
        <v>22</v>
      </c>
      <c r="V3236" t="e">
        <f>IF(#REF! = "yes", 1, 0)</f>
        <v>#REF!</v>
      </c>
      <c r="W3236" t="e">
        <f>IF(#REF! &lt;= 1, "0-1 Calls", IF(#REF! &lt;= 3, "2-3 Calls", IF(#REF! &lt;=5, "4-5 Calls", "6+ Calls")))</f>
        <v>#REF!</v>
      </c>
      <c r="X3236" t="e">
        <f>IF(#REF! &lt;= 50, "0-50", IF(#REF! &lt;=100, "51-100", IF(#REF! &lt;= 150, "101-150", "151+")))</f>
        <v>#REF!</v>
      </c>
      <c r="Y3236" t="e">
        <f>IF(#REF! &lt;= 3, "Low Charges", "High Charges")</f>
        <v>#REF!</v>
      </c>
      <c r="Z3236" t="e">
        <f>IF(#REF!&lt;=80,"Low Calls",
IF(#REF!&lt;=120,"Medium Calls","High Calls"))</f>
        <v>#REF!</v>
      </c>
      <c r="AA3236" t="e">
        <f>IF(#REF!&lt;=15,"Low Charges",
IF(#REF!&lt;=20,"Medium Charges","High Charges"))</f>
        <v>#REF!</v>
      </c>
      <c r="AB3236" t="e">
        <f>IF(AND(#REF!&gt;180, #REF!&gt;200), "Heavy Doemstic User", IF(#REF!&gt;10, "Interntional User", IF(AND(#REF!&lt;180, #REF!&lt;200,#REF!&lt;200), "Light User", "Balanced User")))</f>
        <v>#REF!</v>
      </c>
      <c r="AC3236" t="e">
        <f>IF(#REF! = 0, "No Usage", IF(#REF! &lt;= 20, "Low Usage", IF(#REF! &lt;= 40, "Medium Usgae", "High Usage")))</f>
        <v>#REF!</v>
      </c>
      <c r="AD3236" t="e">
        <f>IF(#REF!&lt;=150,"Low Usage", IF(#REF!&lt;=200,"Medium Usage", IF(#REF!&lt;=250,"High Usage","Very High Usage")))</f>
        <v>#REF!</v>
      </c>
      <c r="AE3236" t="e">
        <f>IF(#REF!&lt;=5,"Low Calls", IF(#REF!&lt;=10, "Medium Calls", "High Calls"))</f>
        <v>#REF!</v>
      </c>
      <c r="AF3236" t="e">
        <f xml:space="preserve">
IF(#REF!&gt;=4,4,0)+
IF(#REF!="yes",3,0)+
IF(#REF!="High Charges",3,0)+
IF(#REF!&gt;250,4,0)+
IF(#REF!="no",1,0)+
IF(#REF!="Heavy Domestic User",2,0)</f>
        <v>#REF!</v>
      </c>
      <c r="AG3236" t="e">
        <f>IF(#REF!&gt;=10,"High Risk", IF(#REF!&gt;=5,"Medium Risk","Low Risk"))</f>
        <v>#REF!</v>
      </c>
      <c r="AH3236" t="e">
        <f>#REF! + #REF! + #REF! + #REF!</f>
        <v>#REF!</v>
      </c>
    </row>
    <row r="3237" spans="1:34" x14ac:dyDescent="0.35">
      <c r="A3237">
        <v>3236</v>
      </c>
      <c r="B3237" t="s">
        <v>70</v>
      </c>
      <c r="C3237">
        <v>59</v>
      </c>
      <c r="D3237" t="s">
        <v>28</v>
      </c>
      <c r="E3237" t="s">
        <v>22</v>
      </c>
      <c r="F3237" t="s">
        <v>23</v>
      </c>
      <c r="G3237">
        <v>45</v>
      </c>
      <c r="H3237">
        <v>71.2</v>
      </c>
      <c r="I3237">
        <v>113</v>
      </c>
      <c r="J3237">
        <v>12.1</v>
      </c>
      <c r="K3237">
        <v>233.7</v>
      </c>
      <c r="L3237">
        <v>95</v>
      </c>
      <c r="M3237">
        <v>19.86</v>
      </c>
      <c r="N3237">
        <v>139.30000000000001</v>
      </c>
      <c r="O3237">
        <v>129</v>
      </c>
      <c r="P3237">
        <v>6.27</v>
      </c>
      <c r="Q3237">
        <v>14</v>
      </c>
      <c r="R3237">
        <v>12</v>
      </c>
      <c r="S3237">
        <v>3.78</v>
      </c>
      <c r="T3237">
        <v>1</v>
      </c>
      <c r="U3237" t="s">
        <v>22</v>
      </c>
      <c r="V3237" t="e">
        <f>IF(#REF! = "yes", 1, 0)</f>
        <v>#REF!</v>
      </c>
      <c r="W3237" t="e">
        <f>IF(#REF! &lt;= 1, "0-1 Calls", IF(#REF! &lt;= 3, "2-3 Calls", IF(#REF! &lt;=5, "4-5 Calls", "6+ Calls")))</f>
        <v>#REF!</v>
      </c>
      <c r="X3237" t="e">
        <f>IF(#REF! &lt;= 50, "0-50", IF(#REF! &lt;=100, "51-100", IF(#REF! &lt;= 150, "101-150", "151+")))</f>
        <v>#REF!</v>
      </c>
      <c r="Y3237" t="e">
        <f>IF(#REF! &lt;= 3, "Low Charges", "High Charges")</f>
        <v>#REF!</v>
      </c>
      <c r="Z3237" t="e">
        <f>IF(#REF!&lt;=80,"Low Calls",
IF(#REF!&lt;=120,"Medium Calls","High Calls"))</f>
        <v>#REF!</v>
      </c>
      <c r="AA3237" t="e">
        <f>IF(#REF!&lt;=15,"Low Charges",
IF(#REF!&lt;=20,"Medium Charges","High Charges"))</f>
        <v>#REF!</v>
      </c>
      <c r="AB3237" t="e">
        <f>IF(AND(#REF!&gt;180, #REF!&gt;200), "Heavy Doemstic User", IF(#REF!&gt;10, "Interntional User", IF(AND(#REF!&lt;180, #REF!&lt;200,#REF!&lt;200), "Light User", "Balanced User")))</f>
        <v>#REF!</v>
      </c>
      <c r="AC3237" t="e">
        <f>IF(#REF! = 0, "No Usage", IF(#REF! &lt;= 20, "Low Usage", IF(#REF! &lt;= 40, "Medium Usgae", "High Usage")))</f>
        <v>#REF!</v>
      </c>
      <c r="AD3237" t="e">
        <f>IF(#REF!&lt;=150,"Low Usage", IF(#REF!&lt;=200,"Medium Usage", IF(#REF!&lt;=250,"High Usage","Very High Usage")))</f>
        <v>#REF!</v>
      </c>
      <c r="AE3237" t="e">
        <f>IF(#REF!&lt;=5,"Low Calls", IF(#REF!&lt;=10, "Medium Calls", "High Calls"))</f>
        <v>#REF!</v>
      </c>
      <c r="AF3237" t="e">
        <f xml:space="preserve">
IF(#REF!&gt;=4,4,0)+
IF(#REF!="yes",3,0)+
IF(#REF!="High Charges",3,0)+
IF(#REF!&gt;250,4,0)+
IF(#REF!="no",1,0)+
IF(#REF!="Heavy Domestic User",2,0)</f>
        <v>#REF!</v>
      </c>
      <c r="AG3237" t="e">
        <f>IF(#REF!&gt;=10,"High Risk", IF(#REF!&gt;=5,"Medium Risk","Low Risk"))</f>
        <v>#REF!</v>
      </c>
      <c r="AH3237" t="e">
        <f>#REF! + #REF! + #REF! + #REF!</f>
        <v>#REF!</v>
      </c>
    </row>
    <row r="3238" spans="1:34" x14ac:dyDescent="0.35">
      <c r="A3238">
        <v>3237</v>
      </c>
      <c r="B3238" t="s">
        <v>67</v>
      </c>
      <c r="C3238">
        <v>110</v>
      </c>
      <c r="D3238" t="s">
        <v>21</v>
      </c>
      <c r="E3238" t="s">
        <v>22</v>
      </c>
      <c r="F3238" t="s">
        <v>22</v>
      </c>
      <c r="G3238">
        <v>0</v>
      </c>
      <c r="H3238">
        <v>178.4</v>
      </c>
      <c r="I3238">
        <v>110</v>
      </c>
      <c r="J3238">
        <v>30.33</v>
      </c>
      <c r="K3238">
        <v>179.1</v>
      </c>
      <c r="L3238">
        <v>116</v>
      </c>
      <c r="M3238">
        <v>15.22</v>
      </c>
      <c r="N3238">
        <v>228.1</v>
      </c>
      <c r="O3238">
        <v>99</v>
      </c>
      <c r="P3238">
        <v>10.26</v>
      </c>
      <c r="Q3238">
        <v>6.5</v>
      </c>
      <c r="R3238">
        <v>4</v>
      </c>
      <c r="S3238">
        <v>1.76</v>
      </c>
      <c r="T3238">
        <v>1</v>
      </c>
      <c r="U3238" t="s">
        <v>22</v>
      </c>
      <c r="V3238" t="e">
        <f>IF(#REF! = "yes", 1, 0)</f>
        <v>#REF!</v>
      </c>
      <c r="W3238" t="e">
        <f>IF(#REF! &lt;= 1, "0-1 Calls", IF(#REF! &lt;= 3, "2-3 Calls", IF(#REF! &lt;=5, "4-5 Calls", "6+ Calls")))</f>
        <v>#REF!</v>
      </c>
      <c r="X3238" t="e">
        <f>IF(#REF! &lt;= 50, "0-50", IF(#REF! &lt;=100, "51-100", IF(#REF! &lt;= 150, "101-150", "151+")))</f>
        <v>#REF!</v>
      </c>
      <c r="Y3238" t="e">
        <f>IF(#REF! &lt;= 3, "Low Charges", "High Charges")</f>
        <v>#REF!</v>
      </c>
      <c r="Z3238" t="e">
        <f>IF(#REF!&lt;=80,"Low Calls",
IF(#REF!&lt;=120,"Medium Calls","High Calls"))</f>
        <v>#REF!</v>
      </c>
      <c r="AA3238" t="e">
        <f>IF(#REF!&lt;=15,"Low Charges",
IF(#REF!&lt;=20,"Medium Charges","High Charges"))</f>
        <v>#REF!</v>
      </c>
      <c r="AB3238" t="e">
        <f>IF(AND(#REF!&gt;180, #REF!&gt;200), "Heavy Doemstic User", IF(#REF!&gt;10, "Interntional User", IF(AND(#REF!&lt;180, #REF!&lt;200,#REF!&lt;200), "Light User", "Balanced User")))</f>
        <v>#REF!</v>
      </c>
      <c r="AC3238" t="e">
        <f>IF(#REF! = 0, "No Usage", IF(#REF! &lt;= 20, "Low Usage", IF(#REF! &lt;= 40, "Medium Usgae", "High Usage")))</f>
        <v>#REF!</v>
      </c>
      <c r="AD3238" t="e">
        <f>IF(#REF!&lt;=150,"Low Usage", IF(#REF!&lt;=200,"Medium Usage", IF(#REF!&lt;=250,"High Usage","Very High Usage")))</f>
        <v>#REF!</v>
      </c>
      <c r="AE3238" t="e">
        <f>IF(#REF!&lt;=5,"Low Calls", IF(#REF!&lt;=10, "Medium Calls", "High Calls"))</f>
        <v>#REF!</v>
      </c>
      <c r="AF3238" t="e">
        <f xml:space="preserve">
IF(#REF!&gt;=4,4,0)+
IF(#REF!="yes",3,0)+
IF(#REF!="High Charges",3,0)+
IF(#REF!&gt;250,4,0)+
IF(#REF!="no",1,0)+
IF(#REF!="Heavy Domestic User",2,0)</f>
        <v>#REF!</v>
      </c>
      <c r="AG3238" t="e">
        <f>IF(#REF!&gt;=10,"High Risk", IF(#REF!&gt;=5,"Medium Risk","Low Risk"))</f>
        <v>#REF!</v>
      </c>
      <c r="AH3238" t="e">
        <f>#REF! + #REF! + #REF! + #REF!</f>
        <v>#REF!</v>
      </c>
    </row>
    <row r="3239" spans="1:34" x14ac:dyDescent="0.35">
      <c r="A3239">
        <v>3238</v>
      </c>
      <c r="B3239" t="s">
        <v>53</v>
      </c>
      <c r="C3239">
        <v>173</v>
      </c>
      <c r="D3239" t="s">
        <v>21</v>
      </c>
      <c r="E3239" t="s">
        <v>23</v>
      </c>
      <c r="F3239" t="s">
        <v>23</v>
      </c>
      <c r="G3239">
        <v>18</v>
      </c>
      <c r="H3239">
        <v>127.2</v>
      </c>
      <c r="I3239">
        <v>89</v>
      </c>
      <c r="J3239">
        <v>21.62</v>
      </c>
      <c r="K3239">
        <v>130.69999999999999</v>
      </c>
      <c r="L3239">
        <v>114</v>
      </c>
      <c r="M3239">
        <v>11.11</v>
      </c>
      <c r="N3239">
        <v>229.7</v>
      </c>
      <c r="O3239">
        <v>115</v>
      </c>
      <c r="P3239">
        <v>10.34</v>
      </c>
      <c r="Q3239">
        <v>11.2</v>
      </c>
      <c r="R3239">
        <v>5</v>
      </c>
      <c r="S3239">
        <v>3.02</v>
      </c>
      <c r="T3239">
        <v>2</v>
      </c>
      <c r="U3239" t="s">
        <v>22</v>
      </c>
      <c r="V3239" t="e">
        <f>IF(#REF! = "yes", 1, 0)</f>
        <v>#REF!</v>
      </c>
      <c r="W3239" t="e">
        <f>IF(#REF! &lt;= 1, "0-1 Calls", IF(#REF! &lt;= 3, "2-3 Calls", IF(#REF! &lt;=5, "4-5 Calls", "6+ Calls")))</f>
        <v>#REF!</v>
      </c>
      <c r="X3239" t="e">
        <f>IF(#REF! &lt;= 50, "0-50", IF(#REF! &lt;=100, "51-100", IF(#REF! &lt;= 150, "101-150", "151+")))</f>
        <v>#REF!</v>
      </c>
      <c r="Y3239" t="e">
        <f>IF(#REF! &lt;= 3, "Low Charges", "High Charges")</f>
        <v>#REF!</v>
      </c>
      <c r="Z3239" t="e">
        <f>IF(#REF!&lt;=80,"Low Calls",
IF(#REF!&lt;=120,"Medium Calls","High Calls"))</f>
        <v>#REF!</v>
      </c>
      <c r="AA3239" t="e">
        <f>IF(#REF!&lt;=15,"Low Charges",
IF(#REF!&lt;=20,"Medium Charges","High Charges"))</f>
        <v>#REF!</v>
      </c>
      <c r="AB3239" t="e">
        <f>IF(AND(#REF!&gt;180, #REF!&gt;200), "Heavy Doemstic User", IF(#REF!&gt;10, "Interntional User", IF(AND(#REF!&lt;180, #REF!&lt;200,#REF!&lt;200), "Light User", "Balanced User")))</f>
        <v>#REF!</v>
      </c>
      <c r="AC3239" t="e">
        <f>IF(#REF! = 0, "No Usage", IF(#REF! &lt;= 20, "Low Usage", IF(#REF! &lt;= 40, "Medium Usgae", "High Usage")))</f>
        <v>#REF!</v>
      </c>
      <c r="AD3239" t="e">
        <f>IF(#REF!&lt;=150,"Low Usage", IF(#REF!&lt;=200,"Medium Usage", IF(#REF!&lt;=250,"High Usage","Very High Usage")))</f>
        <v>#REF!</v>
      </c>
      <c r="AE3239" t="e">
        <f>IF(#REF!&lt;=5,"Low Calls", IF(#REF!&lt;=10, "Medium Calls", "High Calls"))</f>
        <v>#REF!</v>
      </c>
      <c r="AF3239" t="e">
        <f xml:space="preserve">
IF(#REF!&gt;=4,4,0)+
IF(#REF!="yes",3,0)+
IF(#REF!="High Charges",3,0)+
IF(#REF!&gt;250,4,0)+
IF(#REF!="no",1,0)+
IF(#REF!="Heavy Domestic User",2,0)</f>
        <v>#REF!</v>
      </c>
      <c r="AG3239" t="e">
        <f>IF(#REF!&gt;=10,"High Risk", IF(#REF!&gt;=5,"Medium Risk","Low Risk"))</f>
        <v>#REF!</v>
      </c>
      <c r="AH3239" t="e">
        <f>#REF! + #REF! + #REF! + #REF!</f>
        <v>#REF!</v>
      </c>
    </row>
    <row r="3240" spans="1:34" x14ac:dyDescent="0.35">
      <c r="A3240">
        <v>3239</v>
      </c>
      <c r="B3240" t="s">
        <v>54</v>
      </c>
      <c r="C3240">
        <v>60</v>
      </c>
      <c r="D3240" t="s">
        <v>28</v>
      </c>
      <c r="E3240" t="s">
        <v>22</v>
      </c>
      <c r="F3240" t="s">
        <v>22</v>
      </c>
      <c r="G3240">
        <v>0</v>
      </c>
      <c r="H3240">
        <v>230.7</v>
      </c>
      <c r="I3240">
        <v>66</v>
      </c>
      <c r="J3240">
        <v>39.22</v>
      </c>
      <c r="K3240">
        <v>165.4</v>
      </c>
      <c r="L3240">
        <v>65</v>
      </c>
      <c r="M3240">
        <v>14.06</v>
      </c>
      <c r="N3240">
        <v>309.10000000000002</v>
      </c>
      <c r="O3240">
        <v>139</v>
      </c>
      <c r="P3240">
        <v>13.91</v>
      </c>
      <c r="Q3240">
        <v>13.3</v>
      </c>
      <c r="R3240">
        <v>10</v>
      </c>
      <c r="S3240">
        <v>3.59</v>
      </c>
      <c r="T3240">
        <v>1</v>
      </c>
      <c r="U3240" t="s">
        <v>22</v>
      </c>
      <c r="V3240" t="e">
        <f>IF(#REF! = "yes", 1, 0)</f>
        <v>#REF!</v>
      </c>
      <c r="W3240" t="e">
        <f>IF(#REF! &lt;= 1, "0-1 Calls", IF(#REF! &lt;= 3, "2-3 Calls", IF(#REF! &lt;=5, "4-5 Calls", "6+ Calls")))</f>
        <v>#REF!</v>
      </c>
      <c r="X3240" t="e">
        <f>IF(#REF! &lt;= 50, "0-50", IF(#REF! &lt;=100, "51-100", IF(#REF! &lt;= 150, "101-150", "151+")))</f>
        <v>#REF!</v>
      </c>
      <c r="Y3240" t="e">
        <f>IF(#REF! &lt;= 3, "Low Charges", "High Charges")</f>
        <v>#REF!</v>
      </c>
      <c r="Z3240" t="e">
        <f>IF(#REF!&lt;=80,"Low Calls",
IF(#REF!&lt;=120,"Medium Calls","High Calls"))</f>
        <v>#REF!</v>
      </c>
      <c r="AA3240" t="e">
        <f>IF(#REF!&lt;=15,"Low Charges",
IF(#REF!&lt;=20,"Medium Charges","High Charges"))</f>
        <v>#REF!</v>
      </c>
      <c r="AB3240" t="e">
        <f>IF(AND(#REF!&gt;180, #REF!&gt;200), "Heavy Doemstic User", IF(#REF!&gt;10, "Interntional User", IF(AND(#REF!&lt;180, #REF!&lt;200,#REF!&lt;200), "Light User", "Balanced User")))</f>
        <v>#REF!</v>
      </c>
      <c r="AC3240" t="e">
        <f>IF(#REF! = 0, "No Usage", IF(#REF! &lt;= 20, "Low Usage", IF(#REF! &lt;= 40, "Medium Usgae", "High Usage")))</f>
        <v>#REF!</v>
      </c>
      <c r="AD3240" t="e">
        <f>IF(#REF!&lt;=150,"Low Usage", IF(#REF!&lt;=200,"Medium Usage", IF(#REF!&lt;=250,"High Usage","Very High Usage")))</f>
        <v>#REF!</v>
      </c>
      <c r="AE3240" t="e">
        <f>IF(#REF!&lt;=5,"Low Calls", IF(#REF!&lt;=10, "Medium Calls", "High Calls"))</f>
        <v>#REF!</v>
      </c>
      <c r="AF3240" t="e">
        <f xml:space="preserve">
IF(#REF!&gt;=4,4,0)+
IF(#REF!="yes",3,0)+
IF(#REF!="High Charges",3,0)+
IF(#REF!&gt;250,4,0)+
IF(#REF!="no",1,0)+
IF(#REF!="Heavy Domestic User",2,0)</f>
        <v>#REF!</v>
      </c>
      <c r="AG3240" t="e">
        <f>IF(#REF!&gt;=10,"High Risk", IF(#REF!&gt;=5,"Medium Risk","Low Risk"))</f>
        <v>#REF!</v>
      </c>
      <c r="AH3240" t="e">
        <f>#REF! + #REF! + #REF! + #REF!</f>
        <v>#REF!</v>
      </c>
    </row>
    <row r="3241" spans="1:34" x14ac:dyDescent="0.35">
      <c r="A3241">
        <v>3240</v>
      </c>
      <c r="B3241" t="s">
        <v>72</v>
      </c>
      <c r="C3241">
        <v>117</v>
      </c>
      <c r="D3241" t="s">
        <v>25</v>
      </c>
      <c r="E3241" t="s">
        <v>22</v>
      </c>
      <c r="F3241" t="s">
        <v>22</v>
      </c>
      <c r="G3241">
        <v>0</v>
      </c>
      <c r="H3241">
        <v>228.3</v>
      </c>
      <c r="I3241">
        <v>84</v>
      </c>
      <c r="J3241">
        <v>38.81</v>
      </c>
      <c r="K3241">
        <v>152.6</v>
      </c>
      <c r="L3241">
        <v>92</v>
      </c>
      <c r="M3241">
        <v>12.97</v>
      </c>
      <c r="N3241">
        <v>309.7</v>
      </c>
      <c r="O3241">
        <v>101</v>
      </c>
      <c r="P3241">
        <v>13.94</v>
      </c>
      <c r="Q3241">
        <v>3.7</v>
      </c>
      <c r="R3241">
        <v>3</v>
      </c>
      <c r="S3241">
        <v>1</v>
      </c>
      <c r="T3241">
        <v>3</v>
      </c>
      <c r="U3241" t="s">
        <v>22</v>
      </c>
      <c r="V3241" t="e">
        <f>IF(#REF! = "yes", 1, 0)</f>
        <v>#REF!</v>
      </c>
      <c r="W3241" t="e">
        <f>IF(#REF! &lt;= 1, "0-1 Calls", IF(#REF! &lt;= 3, "2-3 Calls", IF(#REF! &lt;=5, "4-5 Calls", "6+ Calls")))</f>
        <v>#REF!</v>
      </c>
      <c r="X3241" t="e">
        <f>IF(#REF! &lt;= 50, "0-50", IF(#REF! &lt;=100, "51-100", IF(#REF! &lt;= 150, "101-150", "151+")))</f>
        <v>#REF!</v>
      </c>
      <c r="Y3241" t="e">
        <f>IF(#REF! &lt;= 3, "Low Charges", "High Charges")</f>
        <v>#REF!</v>
      </c>
      <c r="Z3241" t="e">
        <f>IF(#REF!&lt;=80,"Low Calls",
IF(#REF!&lt;=120,"Medium Calls","High Calls"))</f>
        <v>#REF!</v>
      </c>
      <c r="AA3241" t="e">
        <f>IF(#REF!&lt;=15,"Low Charges",
IF(#REF!&lt;=20,"Medium Charges","High Charges"))</f>
        <v>#REF!</v>
      </c>
      <c r="AB3241" t="e">
        <f>IF(AND(#REF!&gt;180, #REF!&gt;200), "Heavy Doemstic User", IF(#REF!&gt;10, "Interntional User", IF(AND(#REF!&lt;180, #REF!&lt;200,#REF!&lt;200), "Light User", "Balanced User")))</f>
        <v>#REF!</v>
      </c>
      <c r="AC3241" t="e">
        <f>IF(#REF! = 0, "No Usage", IF(#REF! &lt;= 20, "Low Usage", IF(#REF! &lt;= 40, "Medium Usgae", "High Usage")))</f>
        <v>#REF!</v>
      </c>
      <c r="AD3241" t="e">
        <f>IF(#REF!&lt;=150,"Low Usage", IF(#REF!&lt;=200,"Medium Usage", IF(#REF!&lt;=250,"High Usage","Very High Usage")))</f>
        <v>#REF!</v>
      </c>
      <c r="AE3241" t="e">
        <f>IF(#REF!&lt;=5,"Low Calls", IF(#REF!&lt;=10, "Medium Calls", "High Calls"))</f>
        <v>#REF!</v>
      </c>
      <c r="AF3241" t="e">
        <f xml:space="preserve">
IF(#REF!&gt;=4,4,0)+
IF(#REF!="yes",3,0)+
IF(#REF!="High Charges",3,0)+
IF(#REF!&gt;250,4,0)+
IF(#REF!="no",1,0)+
IF(#REF!="Heavy Domestic User",2,0)</f>
        <v>#REF!</v>
      </c>
      <c r="AG3241" t="e">
        <f>IF(#REF!&gt;=10,"High Risk", IF(#REF!&gt;=5,"Medium Risk","Low Risk"))</f>
        <v>#REF!</v>
      </c>
      <c r="AH3241" t="e">
        <f>#REF! + #REF! + #REF! + #REF!</f>
        <v>#REF!</v>
      </c>
    </row>
    <row r="3242" spans="1:34" x14ac:dyDescent="0.35">
      <c r="A3242">
        <v>3241</v>
      </c>
      <c r="B3242" t="s">
        <v>38</v>
      </c>
      <c r="C3242">
        <v>54</v>
      </c>
      <c r="D3242" t="s">
        <v>25</v>
      </c>
      <c r="E3242" t="s">
        <v>22</v>
      </c>
      <c r="F3242" t="s">
        <v>22</v>
      </c>
      <c r="G3242">
        <v>0</v>
      </c>
      <c r="H3242">
        <v>197.7</v>
      </c>
      <c r="I3242">
        <v>84</v>
      </c>
      <c r="J3242">
        <v>33.61</v>
      </c>
      <c r="K3242">
        <v>221.3</v>
      </c>
      <c r="L3242">
        <v>89</v>
      </c>
      <c r="M3242">
        <v>18.809999999999999</v>
      </c>
      <c r="N3242">
        <v>189.4</v>
      </c>
      <c r="O3242">
        <v>109</v>
      </c>
      <c r="P3242">
        <v>8.52</v>
      </c>
      <c r="Q3242">
        <v>7.8</v>
      </c>
      <c r="R3242">
        <v>3</v>
      </c>
      <c r="S3242">
        <v>2.11</v>
      </c>
      <c r="T3242">
        <v>2</v>
      </c>
      <c r="U3242" t="s">
        <v>22</v>
      </c>
      <c r="V3242" t="e">
        <f>IF(#REF! = "yes", 1, 0)</f>
        <v>#REF!</v>
      </c>
      <c r="W3242" t="e">
        <f>IF(#REF! &lt;= 1, "0-1 Calls", IF(#REF! &lt;= 3, "2-3 Calls", IF(#REF! &lt;=5, "4-5 Calls", "6+ Calls")))</f>
        <v>#REF!</v>
      </c>
      <c r="X3242" t="e">
        <f>IF(#REF! &lt;= 50, "0-50", IF(#REF! &lt;=100, "51-100", IF(#REF! &lt;= 150, "101-150", "151+")))</f>
        <v>#REF!</v>
      </c>
      <c r="Y3242" t="e">
        <f>IF(#REF! &lt;= 3, "Low Charges", "High Charges")</f>
        <v>#REF!</v>
      </c>
      <c r="Z3242" t="e">
        <f>IF(#REF!&lt;=80,"Low Calls",
IF(#REF!&lt;=120,"Medium Calls","High Calls"))</f>
        <v>#REF!</v>
      </c>
      <c r="AA3242" t="e">
        <f>IF(#REF!&lt;=15,"Low Charges",
IF(#REF!&lt;=20,"Medium Charges","High Charges"))</f>
        <v>#REF!</v>
      </c>
      <c r="AB3242" t="e">
        <f>IF(AND(#REF!&gt;180, #REF!&gt;200), "Heavy Doemstic User", IF(#REF!&gt;10, "Interntional User", IF(AND(#REF!&lt;180, #REF!&lt;200,#REF!&lt;200), "Light User", "Balanced User")))</f>
        <v>#REF!</v>
      </c>
      <c r="AC3242" t="e">
        <f>IF(#REF! = 0, "No Usage", IF(#REF! &lt;= 20, "Low Usage", IF(#REF! &lt;= 40, "Medium Usgae", "High Usage")))</f>
        <v>#REF!</v>
      </c>
      <c r="AD3242" t="e">
        <f>IF(#REF!&lt;=150,"Low Usage", IF(#REF!&lt;=200,"Medium Usage", IF(#REF!&lt;=250,"High Usage","Very High Usage")))</f>
        <v>#REF!</v>
      </c>
      <c r="AE3242" t="e">
        <f>IF(#REF!&lt;=5,"Low Calls", IF(#REF!&lt;=10, "Medium Calls", "High Calls"))</f>
        <v>#REF!</v>
      </c>
      <c r="AF3242" t="e">
        <f xml:space="preserve">
IF(#REF!&gt;=4,4,0)+
IF(#REF!="yes",3,0)+
IF(#REF!="High Charges",3,0)+
IF(#REF!&gt;250,4,0)+
IF(#REF!="no",1,0)+
IF(#REF!="Heavy Domestic User",2,0)</f>
        <v>#REF!</v>
      </c>
      <c r="AG3242" t="e">
        <f>IF(#REF!&gt;=10,"High Risk", IF(#REF!&gt;=5,"Medium Risk","Low Risk"))</f>
        <v>#REF!</v>
      </c>
      <c r="AH3242" t="e">
        <f>#REF! + #REF! + #REF! + #REF!</f>
        <v>#REF!</v>
      </c>
    </row>
    <row r="3243" spans="1:34" x14ac:dyDescent="0.35">
      <c r="A3243">
        <v>3242</v>
      </c>
      <c r="B3243" t="s">
        <v>32</v>
      </c>
      <c r="C3243">
        <v>76</v>
      </c>
      <c r="D3243" t="s">
        <v>21</v>
      </c>
      <c r="E3243" t="s">
        <v>22</v>
      </c>
      <c r="F3243" t="s">
        <v>23</v>
      </c>
      <c r="G3243">
        <v>35</v>
      </c>
      <c r="H3243">
        <v>273.7</v>
      </c>
      <c r="I3243">
        <v>94</v>
      </c>
      <c r="J3243">
        <v>46.53</v>
      </c>
      <c r="K3243">
        <v>153.30000000000001</v>
      </c>
      <c r="L3243">
        <v>101</v>
      </c>
      <c r="M3243">
        <v>13.03</v>
      </c>
      <c r="N3243">
        <v>259</v>
      </c>
      <c r="O3243">
        <v>109</v>
      </c>
      <c r="P3243">
        <v>11.66</v>
      </c>
      <c r="Q3243">
        <v>3.8</v>
      </c>
      <c r="R3243">
        <v>3</v>
      </c>
      <c r="S3243">
        <v>1.03</v>
      </c>
      <c r="T3243">
        <v>0</v>
      </c>
      <c r="U3243" t="s">
        <v>22</v>
      </c>
      <c r="V3243" t="e">
        <f>IF(#REF! = "yes", 1, 0)</f>
        <v>#REF!</v>
      </c>
      <c r="W3243" t="e">
        <f>IF(#REF! &lt;= 1, "0-1 Calls", IF(#REF! &lt;= 3, "2-3 Calls", IF(#REF! &lt;=5, "4-5 Calls", "6+ Calls")))</f>
        <v>#REF!</v>
      </c>
      <c r="X3243" t="e">
        <f>IF(#REF! &lt;= 50, "0-50", IF(#REF! &lt;=100, "51-100", IF(#REF! &lt;= 150, "101-150", "151+")))</f>
        <v>#REF!</v>
      </c>
      <c r="Y3243" t="e">
        <f>IF(#REF! &lt;= 3, "Low Charges", "High Charges")</f>
        <v>#REF!</v>
      </c>
      <c r="Z3243" t="e">
        <f>IF(#REF!&lt;=80,"Low Calls",
IF(#REF!&lt;=120,"Medium Calls","High Calls"))</f>
        <v>#REF!</v>
      </c>
      <c r="AA3243" t="e">
        <f>IF(#REF!&lt;=15,"Low Charges",
IF(#REF!&lt;=20,"Medium Charges","High Charges"))</f>
        <v>#REF!</v>
      </c>
      <c r="AB3243" t="e">
        <f>IF(AND(#REF!&gt;180, #REF!&gt;200), "Heavy Doemstic User", IF(#REF!&gt;10, "Interntional User", IF(AND(#REF!&lt;180, #REF!&lt;200,#REF!&lt;200), "Light User", "Balanced User")))</f>
        <v>#REF!</v>
      </c>
      <c r="AC3243" t="e">
        <f>IF(#REF! = 0, "No Usage", IF(#REF! &lt;= 20, "Low Usage", IF(#REF! &lt;= 40, "Medium Usgae", "High Usage")))</f>
        <v>#REF!</v>
      </c>
      <c r="AD3243" t="e">
        <f>IF(#REF!&lt;=150,"Low Usage", IF(#REF!&lt;=200,"Medium Usage", IF(#REF!&lt;=250,"High Usage","Very High Usage")))</f>
        <v>#REF!</v>
      </c>
      <c r="AE3243" t="e">
        <f>IF(#REF!&lt;=5,"Low Calls", IF(#REF!&lt;=10, "Medium Calls", "High Calls"))</f>
        <v>#REF!</v>
      </c>
      <c r="AF3243" t="e">
        <f xml:space="preserve">
IF(#REF!&gt;=4,4,0)+
IF(#REF!="yes",3,0)+
IF(#REF!="High Charges",3,0)+
IF(#REF!&gt;250,4,0)+
IF(#REF!="no",1,0)+
IF(#REF!="Heavy Domestic User",2,0)</f>
        <v>#REF!</v>
      </c>
      <c r="AG3243" t="e">
        <f>IF(#REF!&gt;=10,"High Risk", IF(#REF!&gt;=5,"Medium Risk","Low Risk"))</f>
        <v>#REF!</v>
      </c>
      <c r="AH3243" t="e">
        <f>#REF! + #REF! + #REF! + #REF!</f>
        <v>#REF!</v>
      </c>
    </row>
    <row r="3244" spans="1:34" x14ac:dyDescent="0.35">
      <c r="A3244">
        <v>3243</v>
      </c>
      <c r="B3244" t="s">
        <v>71</v>
      </c>
      <c r="C3244">
        <v>98</v>
      </c>
      <c r="D3244" t="s">
        <v>21</v>
      </c>
      <c r="E3244" t="s">
        <v>22</v>
      </c>
      <c r="F3244" t="s">
        <v>22</v>
      </c>
      <c r="G3244">
        <v>0</v>
      </c>
      <c r="H3244">
        <v>190.5</v>
      </c>
      <c r="I3244">
        <v>106</v>
      </c>
      <c r="J3244">
        <v>32.39</v>
      </c>
      <c r="K3244">
        <v>164.2</v>
      </c>
      <c r="L3244">
        <v>92</v>
      </c>
      <c r="M3244">
        <v>13.96</v>
      </c>
      <c r="N3244">
        <v>110.8</v>
      </c>
      <c r="O3244">
        <v>88</v>
      </c>
      <c r="P3244">
        <v>4.99</v>
      </c>
      <c r="Q3244">
        <v>11.4</v>
      </c>
      <c r="R3244">
        <v>5</v>
      </c>
      <c r="S3244">
        <v>3.08</v>
      </c>
      <c r="T3244">
        <v>2</v>
      </c>
      <c r="U3244" t="s">
        <v>22</v>
      </c>
      <c r="V3244" t="e">
        <f>IF(#REF! = "yes", 1, 0)</f>
        <v>#REF!</v>
      </c>
      <c r="W3244" t="e">
        <f>IF(#REF! &lt;= 1, "0-1 Calls", IF(#REF! &lt;= 3, "2-3 Calls", IF(#REF! &lt;=5, "4-5 Calls", "6+ Calls")))</f>
        <v>#REF!</v>
      </c>
      <c r="X3244" t="e">
        <f>IF(#REF! &lt;= 50, "0-50", IF(#REF! &lt;=100, "51-100", IF(#REF! &lt;= 150, "101-150", "151+")))</f>
        <v>#REF!</v>
      </c>
      <c r="Y3244" t="e">
        <f>IF(#REF! &lt;= 3, "Low Charges", "High Charges")</f>
        <v>#REF!</v>
      </c>
      <c r="Z3244" t="e">
        <f>IF(#REF!&lt;=80,"Low Calls",
IF(#REF!&lt;=120,"Medium Calls","High Calls"))</f>
        <v>#REF!</v>
      </c>
      <c r="AA3244" t="e">
        <f>IF(#REF!&lt;=15,"Low Charges",
IF(#REF!&lt;=20,"Medium Charges","High Charges"))</f>
        <v>#REF!</v>
      </c>
      <c r="AB3244" t="e">
        <f>IF(AND(#REF!&gt;180, #REF!&gt;200), "Heavy Doemstic User", IF(#REF!&gt;10, "Interntional User", IF(AND(#REF!&lt;180, #REF!&lt;200,#REF!&lt;200), "Light User", "Balanced User")))</f>
        <v>#REF!</v>
      </c>
      <c r="AC3244" t="e">
        <f>IF(#REF! = 0, "No Usage", IF(#REF! &lt;= 20, "Low Usage", IF(#REF! &lt;= 40, "Medium Usgae", "High Usage")))</f>
        <v>#REF!</v>
      </c>
      <c r="AD3244" t="e">
        <f>IF(#REF!&lt;=150,"Low Usage", IF(#REF!&lt;=200,"Medium Usage", IF(#REF!&lt;=250,"High Usage","Very High Usage")))</f>
        <v>#REF!</v>
      </c>
      <c r="AE3244" t="e">
        <f>IF(#REF!&lt;=5,"Low Calls", IF(#REF!&lt;=10, "Medium Calls", "High Calls"))</f>
        <v>#REF!</v>
      </c>
      <c r="AF3244" t="e">
        <f xml:space="preserve">
IF(#REF!&gt;=4,4,0)+
IF(#REF!="yes",3,0)+
IF(#REF!="High Charges",3,0)+
IF(#REF!&gt;250,4,0)+
IF(#REF!="no",1,0)+
IF(#REF!="Heavy Domestic User",2,0)</f>
        <v>#REF!</v>
      </c>
      <c r="AG3244" t="e">
        <f>IF(#REF!&gt;=10,"High Risk", IF(#REF!&gt;=5,"Medium Risk","Low Risk"))</f>
        <v>#REF!</v>
      </c>
      <c r="AH3244" t="e">
        <f>#REF! + #REF! + #REF! + #REF!</f>
        <v>#REF!</v>
      </c>
    </row>
    <row r="3245" spans="1:34" x14ac:dyDescent="0.35">
      <c r="A3245">
        <v>3244</v>
      </c>
      <c r="B3245" t="s">
        <v>31</v>
      </c>
      <c r="C3245">
        <v>74</v>
      </c>
      <c r="D3245" t="s">
        <v>25</v>
      </c>
      <c r="E3245" t="s">
        <v>22</v>
      </c>
      <c r="F3245" t="s">
        <v>22</v>
      </c>
      <c r="G3245">
        <v>0</v>
      </c>
      <c r="H3245">
        <v>176.1</v>
      </c>
      <c r="I3245">
        <v>79</v>
      </c>
      <c r="J3245">
        <v>29.94</v>
      </c>
      <c r="K3245">
        <v>208.3</v>
      </c>
      <c r="L3245">
        <v>105</v>
      </c>
      <c r="M3245">
        <v>17.71</v>
      </c>
      <c r="N3245">
        <v>237.5</v>
      </c>
      <c r="O3245">
        <v>86</v>
      </c>
      <c r="P3245">
        <v>10.69</v>
      </c>
      <c r="Q3245">
        <v>16.100000000000001</v>
      </c>
      <c r="R3245">
        <v>4</v>
      </c>
      <c r="S3245">
        <v>4.3499999999999996</v>
      </c>
      <c r="T3245">
        <v>4</v>
      </c>
      <c r="U3245" t="s">
        <v>22</v>
      </c>
      <c r="V3245" t="e">
        <f>IF(#REF! = "yes", 1, 0)</f>
        <v>#REF!</v>
      </c>
      <c r="W3245" t="e">
        <f>IF(#REF! &lt;= 1, "0-1 Calls", IF(#REF! &lt;= 3, "2-3 Calls", IF(#REF! &lt;=5, "4-5 Calls", "6+ Calls")))</f>
        <v>#REF!</v>
      </c>
      <c r="X3245" t="e">
        <f>IF(#REF! &lt;= 50, "0-50", IF(#REF! &lt;=100, "51-100", IF(#REF! &lt;= 150, "101-150", "151+")))</f>
        <v>#REF!</v>
      </c>
      <c r="Y3245" t="e">
        <f>IF(#REF! &lt;= 3, "Low Charges", "High Charges")</f>
        <v>#REF!</v>
      </c>
      <c r="Z3245" t="e">
        <f>IF(#REF!&lt;=80,"Low Calls",
IF(#REF!&lt;=120,"Medium Calls","High Calls"))</f>
        <v>#REF!</v>
      </c>
      <c r="AA3245" t="e">
        <f>IF(#REF!&lt;=15,"Low Charges",
IF(#REF!&lt;=20,"Medium Charges","High Charges"))</f>
        <v>#REF!</v>
      </c>
      <c r="AB3245" t="e">
        <f>IF(AND(#REF!&gt;180, #REF!&gt;200), "Heavy Doemstic User", IF(#REF!&gt;10, "Interntional User", IF(AND(#REF!&lt;180, #REF!&lt;200,#REF!&lt;200), "Light User", "Balanced User")))</f>
        <v>#REF!</v>
      </c>
      <c r="AC3245" t="e">
        <f>IF(#REF! = 0, "No Usage", IF(#REF! &lt;= 20, "Low Usage", IF(#REF! &lt;= 40, "Medium Usgae", "High Usage")))</f>
        <v>#REF!</v>
      </c>
      <c r="AD3245" t="e">
        <f>IF(#REF!&lt;=150,"Low Usage", IF(#REF!&lt;=200,"Medium Usage", IF(#REF!&lt;=250,"High Usage","Very High Usage")))</f>
        <v>#REF!</v>
      </c>
      <c r="AE3245" t="e">
        <f>IF(#REF!&lt;=5,"Low Calls", IF(#REF!&lt;=10, "Medium Calls", "High Calls"))</f>
        <v>#REF!</v>
      </c>
      <c r="AF3245" t="e">
        <f xml:space="preserve">
IF(#REF!&gt;=4,4,0)+
IF(#REF!="yes",3,0)+
IF(#REF!="High Charges",3,0)+
IF(#REF!&gt;250,4,0)+
IF(#REF!="no",1,0)+
IF(#REF!="Heavy Domestic User",2,0)</f>
        <v>#REF!</v>
      </c>
      <c r="AG3245" t="e">
        <f>IF(#REF!&gt;=10,"High Risk", IF(#REF!&gt;=5,"Medium Risk","Low Risk"))</f>
        <v>#REF!</v>
      </c>
      <c r="AH3245" t="e">
        <f>#REF! + #REF! + #REF! + #REF!</f>
        <v>#REF!</v>
      </c>
    </row>
    <row r="3246" spans="1:34" x14ac:dyDescent="0.35">
      <c r="A3246">
        <v>3245</v>
      </c>
      <c r="B3246" t="s">
        <v>39</v>
      </c>
      <c r="C3246">
        <v>112</v>
      </c>
      <c r="D3246" t="s">
        <v>21</v>
      </c>
      <c r="E3246" t="s">
        <v>22</v>
      </c>
      <c r="F3246" t="s">
        <v>22</v>
      </c>
      <c r="G3246">
        <v>0</v>
      </c>
      <c r="H3246">
        <v>210.4</v>
      </c>
      <c r="I3246">
        <v>78</v>
      </c>
      <c r="J3246">
        <v>35.770000000000003</v>
      </c>
      <c r="K3246">
        <v>172.4</v>
      </c>
      <c r="L3246">
        <v>75</v>
      </c>
      <c r="M3246">
        <v>14.65</v>
      </c>
      <c r="N3246">
        <v>240</v>
      </c>
      <c r="O3246">
        <v>105</v>
      </c>
      <c r="P3246">
        <v>10.8</v>
      </c>
      <c r="Q3246">
        <v>11.7</v>
      </c>
      <c r="R3246">
        <v>3</v>
      </c>
      <c r="S3246">
        <v>3.16</v>
      </c>
      <c r="T3246">
        <v>2</v>
      </c>
      <c r="U3246" t="s">
        <v>22</v>
      </c>
      <c r="V3246" t="e">
        <f>IF(#REF! = "yes", 1, 0)</f>
        <v>#REF!</v>
      </c>
      <c r="W3246" t="e">
        <f>IF(#REF! &lt;= 1, "0-1 Calls", IF(#REF! &lt;= 3, "2-3 Calls", IF(#REF! &lt;=5, "4-5 Calls", "6+ Calls")))</f>
        <v>#REF!</v>
      </c>
      <c r="X3246" t="e">
        <f>IF(#REF! &lt;= 50, "0-50", IF(#REF! &lt;=100, "51-100", IF(#REF! &lt;= 150, "101-150", "151+")))</f>
        <v>#REF!</v>
      </c>
      <c r="Y3246" t="e">
        <f>IF(#REF! &lt;= 3, "Low Charges", "High Charges")</f>
        <v>#REF!</v>
      </c>
      <c r="Z3246" t="e">
        <f>IF(#REF!&lt;=80,"Low Calls",
IF(#REF!&lt;=120,"Medium Calls","High Calls"))</f>
        <v>#REF!</v>
      </c>
      <c r="AA3246" t="e">
        <f>IF(#REF!&lt;=15,"Low Charges",
IF(#REF!&lt;=20,"Medium Charges","High Charges"))</f>
        <v>#REF!</v>
      </c>
      <c r="AB3246" t="e">
        <f>IF(AND(#REF!&gt;180, #REF!&gt;200), "Heavy Doemstic User", IF(#REF!&gt;10, "Interntional User", IF(AND(#REF!&lt;180, #REF!&lt;200,#REF!&lt;200), "Light User", "Balanced User")))</f>
        <v>#REF!</v>
      </c>
      <c r="AC3246" t="e">
        <f>IF(#REF! = 0, "No Usage", IF(#REF! &lt;= 20, "Low Usage", IF(#REF! &lt;= 40, "Medium Usgae", "High Usage")))</f>
        <v>#REF!</v>
      </c>
      <c r="AD3246" t="e">
        <f>IF(#REF!&lt;=150,"Low Usage", IF(#REF!&lt;=200,"Medium Usage", IF(#REF!&lt;=250,"High Usage","Very High Usage")))</f>
        <v>#REF!</v>
      </c>
      <c r="AE3246" t="e">
        <f>IF(#REF!&lt;=5,"Low Calls", IF(#REF!&lt;=10, "Medium Calls", "High Calls"))</f>
        <v>#REF!</v>
      </c>
      <c r="AF3246" t="e">
        <f xml:space="preserve">
IF(#REF!&gt;=4,4,0)+
IF(#REF!="yes",3,0)+
IF(#REF!="High Charges",3,0)+
IF(#REF!&gt;250,4,0)+
IF(#REF!="no",1,0)+
IF(#REF!="Heavy Domestic User",2,0)</f>
        <v>#REF!</v>
      </c>
      <c r="AG3246" t="e">
        <f>IF(#REF!&gt;=10,"High Risk", IF(#REF!&gt;=5,"Medium Risk","Low Risk"))</f>
        <v>#REF!</v>
      </c>
      <c r="AH3246" t="e">
        <f>#REF! + #REF! + #REF! + #REF!</f>
        <v>#REF!</v>
      </c>
    </row>
    <row r="3247" spans="1:34" x14ac:dyDescent="0.35">
      <c r="A3247">
        <v>3246</v>
      </c>
      <c r="B3247" t="s">
        <v>35</v>
      </c>
      <c r="C3247">
        <v>138</v>
      </c>
      <c r="D3247" t="s">
        <v>21</v>
      </c>
      <c r="E3247" t="s">
        <v>22</v>
      </c>
      <c r="F3247" t="s">
        <v>23</v>
      </c>
      <c r="G3247">
        <v>28</v>
      </c>
      <c r="H3247">
        <v>151</v>
      </c>
      <c r="I3247">
        <v>59</v>
      </c>
      <c r="J3247">
        <v>25.67</v>
      </c>
      <c r="K3247">
        <v>269.5</v>
      </c>
      <c r="L3247">
        <v>122</v>
      </c>
      <c r="M3247">
        <v>22.91</v>
      </c>
      <c r="N3247">
        <v>179.4</v>
      </c>
      <c r="O3247">
        <v>116</v>
      </c>
      <c r="P3247">
        <v>8.07</v>
      </c>
      <c r="Q3247">
        <v>8.9</v>
      </c>
      <c r="R3247">
        <v>9</v>
      </c>
      <c r="S3247">
        <v>2.4</v>
      </c>
      <c r="T3247">
        <v>0</v>
      </c>
      <c r="U3247" t="s">
        <v>22</v>
      </c>
      <c r="V3247" t="e">
        <f>IF(#REF! = "yes", 1, 0)</f>
        <v>#REF!</v>
      </c>
      <c r="W3247" t="e">
        <f>IF(#REF! &lt;= 1, "0-1 Calls", IF(#REF! &lt;= 3, "2-3 Calls", IF(#REF! &lt;=5, "4-5 Calls", "6+ Calls")))</f>
        <v>#REF!</v>
      </c>
      <c r="X3247" t="e">
        <f>IF(#REF! &lt;= 50, "0-50", IF(#REF! &lt;=100, "51-100", IF(#REF! &lt;= 150, "101-150", "151+")))</f>
        <v>#REF!</v>
      </c>
      <c r="Y3247" t="e">
        <f>IF(#REF! &lt;= 3, "Low Charges", "High Charges")</f>
        <v>#REF!</v>
      </c>
      <c r="Z3247" t="e">
        <f>IF(#REF!&lt;=80,"Low Calls",
IF(#REF!&lt;=120,"Medium Calls","High Calls"))</f>
        <v>#REF!</v>
      </c>
      <c r="AA3247" t="e">
        <f>IF(#REF!&lt;=15,"Low Charges",
IF(#REF!&lt;=20,"Medium Charges","High Charges"))</f>
        <v>#REF!</v>
      </c>
      <c r="AB3247" t="e">
        <f>IF(AND(#REF!&gt;180, #REF!&gt;200), "Heavy Doemstic User", IF(#REF!&gt;10, "Interntional User", IF(AND(#REF!&lt;180, #REF!&lt;200,#REF!&lt;200), "Light User", "Balanced User")))</f>
        <v>#REF!</v>
      </c>
      <c r="AC3247" t="e">
        <f>IF(#REF! = 0, "No Usage", IF(#REF! &lt;= 20, "Low Usage", IF(#REF! &lt;= 40, "Medium Usgae", "High Usage")))</f>
        <v>#REF!</v>
      </c>
      <c r="AD3247" t="e">
        <f>IF(#REF!&lt;=150,"Low Usage", IF(#REF!&lt;=200,"Medium Usage", IF(#REF!&lt;=250,"High Usage","Very High Usage")))</f>
        <v>#REF!</v>
      </c>
      <c r="AE3247" t="e">
        <f>IF(#REF!&lt;=5,"Low Calls", IF(#REF!&lt;=10, "Medium Calls", "High Calls"))</f>
        <v>#REF!</v>
      </c>
      <c r="AF3247" t="e">
        <f xml:space="preserve">
IF(#REF!&gt;=4,4,0)+
IF(#REF!="yes",3,0)+
IF(#REF!="High Charges",3,0)+
IF(#REF!&gt;250,4,0)+
IF(#REF!="no",1,0)+
IF(#REF!="Heavy Domestic User",2,0)</f>
        <v>#REF!</v>
      </c>
      <c r="AG3247" t="e">
        <f>IF(#REF!&gt;=10,"High Risk", IF(#REF!&gt;=5,"Medium Risk","Low Risk"))</f>
        <v>#REF!</v>
      </c>
      <c r="AH3247" t="e">
        <f>#REF! + #REF! + #REF! + #REF!</f>
        <v>#REF!</v>
      </c>
    </row>
    <row r="3248" spans="1:34" x14ac:dyDescent="0.35">
      <c r="A3248">
        <v>3247</v>
      </c>
      <c r="B3248" t="s">
        <v>68</v>
      </c>
      <c r="C3248">
        <v>65</v>
      </c>
      <c r="D3248" t="s">
        <v>21</v>
      </c>
      <c r="E3248" t="s">
        <v>22</v>
      </c>
      <c r="F3248" t="s">
        <v>22</v>
      </c>
      <c r="G3248">
        <v>0</v>
      </c>
      <c r="H3248">
        <v>144.30000000000001</v>
      </c>
      <c r="I3248">
        <v>109</v>
      </c>
      <c r="J3248">
        <v>24.53</v>
      </c>
      <c r="K3248">
        <v>331.3</v>
      </c>
      <c r="L3248">
        <v>89</v>
      </c>
      <c r="M3248">
        <v>28.16</v>
      </c>
      <c r="N3248">
        <v>155.30000000000001</v>
      </c>
      <c r="O3248">
        <v>69</v>
      </c>
      <c r="P3248">
        <v>6.99</v>
      </c>
      <c r="Q3248">
        <v>11.8</v>
      </c>
      <c r="R3248">
        <v>15</v>
      </c>
      <c r="S3248">
        <v>3.19</v>
      </c>
      <c r="T3248">
        <v>3</v>
      </c>
      <c r="U3248" t="s">
        <v>22</v>
      </c>
      <c r="V3248" t="e">
        <f>IF(#REF! = "yes", 1, 0)</f>
        <v>#REF!</v>
      </c>
      <c r="W3248" t="e">
        <f>IF(#REF! &lt;= 1, "0-1 Calls", IF(#REF! &lt;= 3, "2-3 Calls", IF(#REF! &lt;=5, "4-5 Calls", "6+ Calls")))</f>
        <v>#REF!</v>
      </c>
      <c r="X3248" t="e">
        <f>IF(#REF! &lt;= 50, "0-50", IF(#REF! &lt;=100, "51-100", IF(#REF! &lt;= 150, "101-150", "151+")))</f>
        <v>#REF!</v>
      </c>
      <c r="Y3248" t="e">
        <f>IF(#REF! &lt;= 3, "Low Charges", "High Charges")</f>
        <v>#REF!</v>
      </c>
      <c r="Z3248" t="e">
        <f>IF(#REF!&lt;=80,"Low Calls",
IF(#REF!&lt;=120,"Medium Calls","High Calls"))</f>
        <v>#REF!</v>
      </c>
      <c r="AA3248" t="e">
        <f>IF(#REF!&lt;=15,"Low Charges",
IF(#REF!&lt;=20,"Medium Charges","High Charges"))</f>
        <v>#REF!</v>
      </c>
      <c r="AB3248" t="e">
        <f>IF(AND(#REF!&gt;180, #REF!&gt;200), "Heavy Doemstic User", IF(#REF!&gt;10, "Interntional User", IF(AND(#REF!&lt;180, #REF!&lt;200,#REF!&lt;200), "Light User", "Balanced User")))</f>
        <v>#REF!</v>
      </c>
      <c r="AC3248" t="e">
        <f>IF(#REF! = 0, "No Usage", IF(#REF! &lt;= 20, "Low Usage", IF(#REF! &lt;= 40, "Medium Usgae", "High Usage")))</f>
        <v>#REF!</v>
      </c>
      <c r="AD3248" t="e">
        <f>IF(#REF!&lt;=150,"Low Usage", IF(#REF!&lt;=200,"Medium Usage", IF(#REF!&lt;=250,"High Usage","Very High Usage")))</f>
        <v>#REF!</v>
      </c>
      <c r="AE3248" t="e">
        <f>IF(#REF!&lt;=5,"Low Calls", IF(#REF!&lt;=10, "Medium Calls", "High Calls"))</f>
        <v>#REF!</v>
      </c>
      <c r="AF3248" t="e">
        <f xml:space="preserve">
IF(#REF!&gt;=4,4,0)+
IF(#REF!="yes",3,0)+
IF(#REF!="High Charges",3,0)+
IF(#REF!&gt;250,4,0)+
IF(#REF!="no",1,0)+
IF(#REF!="Heavy Domestic User",2,0)</f>
        <v>#REF!</v>
      </c>
      <c r="AG3248" t="e">
        <f>IF(#REF!&gt;=10,"High Risk", IF(#REF!&gt;=5,"Medium Risk","Low Risk"))</f>
        <v>#REF!</v>
      </c>
      <c r="AH3248" t="e">
        <f>#REF! + #REF! + #REF! + #REF!</f>
        <v>#REF!</v>
      </c>
    </row>
    <row r="3249" spans="1:34" x14ac:dyDescent="0.35">
      <c r="A3249">
        <v>3248</v>
      </c>
      <c r="B3249" t="s">
        <v>40</v>
      </c>
      <c r="C3249">
        <v>194</v>
      </c>
      <c r="D3249" t="s">
        <v>25</v>
      </c>
      <c r="E3249" t="s">
        <v>22</v>
      </c>
      <c r="F3249" t="s">
        <v>23</v>
      </c>
      <c r="G3249">
        <v>42</v>
      </c>
      <c r="H3249">
        <v>203.7</v>
      </c>
      <c r="I3249">
        <v>109</v>
      </c>
      <c r="J3249">
        <v>34.630000000000003</v>
      </c>
      <c r="K3249">
        <v>192.9</v>
      </c>
      <c r="L3249">
        <v>125</v>
      </c>
      <c r="M3249">
        <v>16.399999999999999</v>
      </c>
      <c r="N3249">
        <v>318</v>
      </c>
      <c r="O3249">
        <v>81</v>
      </c>
      <c r="P3249">
        <v>14.31</v>
      </c>
      <c r="Q3249">
        <v>10.8</v>
      </c>
      <c r="R3249">
        <v>16</v>
      </c>
      <c r="S3249">
        <v>2.92</v>
      </c>
      <c r="T3249">
        <v>3</v>
      </c>
      <c r="U3249" t="s">
        <v>22</v>
      </c>
      <c r="V3249" t="e">
        <f>IF(#REF! = "yes", 1, 0)</f>
        <v>#REF!</v>
      </c>
      <c r="W3249" t="e">
        <f>IF(#REF! &lt;= 1, "0-1 Calls", IF(#REF! &lt;= 3, "2-3 Calls", IF(#REF! &lt;=5, "4-5 Calls", "6+ Calls")))</f>
        <v>#REF!</v>
      </c>
      <c r="X3249" t="e">
        <f>IF(#REF! &lt;= 50, "0-50", IF(#REF! &lt;=100, "51-100", IF(#REF! &lt;= 150, "101-150", "151+")))</f>
        <v>#REF!</v>
      </c>
      <c r="Y3249" t="e">
        <f>IF(#REF! &lt;= 3, "Low Charges", "High Charges")</f>
        <v>#REF!</v>
      </c>
      <c r="Z3249" t="e">
        <f>IF(#REF!&lt;=80,"Low Calls",
IF(#REF!&lt;=120,"Medium Calls","High Calls"))</f>
        <v>#REF!</v>
      </c>
      <c r="AA3249" t="e">
        <f>IF(#REF!&lt;=15,"Low Charges",
IF(#REF!&lt;=20,"Medium Charges","High Charges"))</f>
        <v>#REF!</v>
      </c>
      <c r="AB3249" t="e">
        <f>IF(AND(#REF!&gt;180, #REF!&gt;200), "Heavy Doemstic User", IF(#REF!&gt;10, "Interntional User", IF(AND(#REF!&lt;180, #REF!&lt;200,#REF!&lt;200), "Light User", "Balanced User")))</f>
        <v>#REF!</v>
      </c>
      <c r="AC3249" t="e">
        <f>IF(#REF! = 0, "No Usage", IF(#REF! &lt;= 20, "Low Usage", IF(#REF! &lt;= 40, "Medium Usgae", "High Usage")))</f>
        <v>#REF!</v>
      </c>
      <c r="AD3249" t="e">
        <f>IF(#REF!&lt;=150,"Low Usage", IF(#REF!&lt;=200,"Medium Usage", IF(#REF!&lt;=250,"High Usage","Very High Usage")))</f>
        <v>#REF!</v>
      </c>
      <c r="AE3249" t="e">
        <f>IF(#REF!&lt;=5,"Low Calls", IF(#REF!&lt;=10, "Medium Calls", "High Calls"))</f>
        <v>#REF!</v>
      </c>
      <c r="AF3249" t="e">
        <f xml:space="preserve">
IF(#REF!&gt;=4,4,0)+
IF(#REF!="yes",3,0)+
IF(#REF!="High Charges",3,0)+
IF(#REF!&gt;250,4,0)+
IF(#REF!="no",1,0)+
IF(#REF!="Heavy Domestic User",2,0)</f>
        <v>#REF!</v>
      </c>
      <c r="AG3249" t="e">
        <f>IF(#REF!&gt;=10,"High Risk", IF(#REF!&gt;=5,"Medium Risk","Low Risk"))</f>
        <v>#REF!</v>
      </c>
      <c r="AH3249" t="e">
        <f>#REF! + #REF! + #REF! + #REF!</f>
        <v>#REF!</v>
      </c>
    </row>
    <row r="3250" spans="1:34" x14ac:dyDescent="0.35">
      <c r="A3250">
        <v>3249</v>
      </c>
      <c r="B3250" t="s">
        <v>65</v>
      </c>
      <c r="C3250">
        <v>131</v>
      </c>
      <c r="D3250" t="s">
        <v>21</v>
      </c>
      <c r="E3250" t="s">
        <v>22</v>
      </c>
      <c r="F3250" t="s">
        <v>22</v>
      </c>
      <c r="G3250">
        <v>0</v>
      </c>
      <c r="H3250">
        <v>210.1</v>
      </c>
      <c r="I3250">
        <v>97</v>
      </c>
      <c r="J3250">
        <v>35.72</v>
      </c>
      <c r="K3250">
        <v>177.3</v>
      </c>
      <c r="L3250">
        <v>96</v>
      </c>
      <c r="M3250">
        <v>15.07</v>
      </c>
      <c r="N3250">
        <v>130.19999999999999</v>
      </c>
      <c r="O3250">
        <v>136</v>
      </c>
      <c r="P3250">
        <v>5.86</v>
      </c>
      <c r="Q3250">
        <v>13.3</v>
      </c>
      <c r="R3250">
        <v>1</v>
      </c>
      <c r="S3250">
        <v>3.59</v>
      </c>
      <c r="T3250">
        <v>0</v>
      </c>
      <c r="U3250" t="s">
        <v>23</v>
      </c>
      <c r="V3250" t="e">
        <f>IF(#REF! = "yes", 1, 0)</f>
        <v>#REF!</v>
      </c>
      <c r="W3250" t="e">
        <f>IF(#REF! &lt;= 1, "0-1 Calls", IF(#REF! &lt;= 3, "2-3 Calls", IF(#REF! &lt;=5, "4-5 Calls", "6+ Calls")))</f>
        <v>#REF!</v>
      </c>
      <c r="X3250" t="e">
        <f>IF(#REF! &lt;= 50, "0-50", IF(#REF! &lt;=100, "51-100", IF(#REF! &lt;= 150, "101-150", "151+")))</f>
        <v>#REF!</v>
      </c>
      <c r="Y3250" t="e">
        <f>IF(#REF! &lt;= 3, "Low Charges", "High Charges")</f>
        <v>#REF!</v>
      </c>
      <c r="Z3250" t="e">
        <f>IF(#REF!&lt;=80,"Low Calls",
IF(#REF!&lt;=120,"Medium Calls","High Calls"))</f>
        <v>#REF!</v>
      </c>
      <c r="AA3250" t="e">
        <f>IF(#REF!&lt;=15,"Low Charges",
IF(#REF!&lt;=20,"Medium Charges","High Charges"))</f>
        <v>#REF!</v>
      </c>
      <c r="AB3250" t="e">
        <f>IF(AND(#REF!&gt;180, #REF!&gt;200), "Heavy Doemstic User", IF(#REF!&gt;10, "Interntional User", IF(AND(#REF!&lt;180, #REF!&lt;200,#REF!&lt;200), "Light User", "Balanced User")))</f>
        <v>#REF!</v>
      </c>
      <c r="AC3250" t="e">
        <f>IF(#REF! = 0, "No Usage", IF(#REF! &lt;= 20, "Low Usage", IF(#REF! &lt;= 40, "Medium Usgae", "High Usage")))</f>
        <v>#REF!</v>
      </c>
      <c r="AD3250" t="e">
        <f>IF(#REF!&lt;=150,"Low Usage", IF(#REF!&lt;=200,"Medium Usage", IF(#REF!&lt;=250,"High Usage","Very High Usage")))</f>
        <v>#REF!</v>
      </c>
      <c r="AE3250" t="e">
        <f>IF(#REF!&lt;=5,"Low Calls", IF(#REF!&lt;=10, "Medium Calls", "High Calls"))</f>
        <v>#REF!</v>
      </c>
      <c r="AF3250" t="e">
        <f xml:space="preserve">
IF(#REF!&gt;=4,4,0)+
IF(#REF!="yes",3,0)+
IF(#REF!="High Charges",3,0)+
IF(#REF!&gt;250,4,0)+
IF(#REF!="no",1,0)+
IF(#REF!="Heavy Domestic User",2,0)</f>
        <v>#REF!</v>
      </c>
      <c r="AG3250" t="e">
        <f>IF(#REF!&gt;=10,"High Risk", IF(#REF!&gt;=5,"Medium Risk","Low Risk"))</f>
        <v>#REF!</v>
      </c>
      <c r="AH3250" t="e">
        <f>#REF! + #REF! + #REF! + #REF!</f>
        <v>#REF!</v>
      </c>
    </row>
    <row r="3251" spans="1:34" x14ac:dyDescent="0.35">
      <c r="A3251">
        <v>3250</v>
      </c>
      <c r="B3251" t="s">
        <v>20</v>
      </c>
      <c r="C3251">
        <v>78</v>
      </c>
      <c r="D3251" t="s">
        <v>21</v>
      </c>
      <c r="E3251" t="s">
        <v>22</v>
      </c>
      <c r="F3251" t="s">
        <v>23</v>
      </c>
      <c r="G3251">
        <v>27</v>
      </c>
      <c r="H3251">
        <v>121.9</v>
      </c>
      <c r="I3251">
        <v>88</v>
      </c>
      <c r="J3251">
        <v>20.72</v>
      </c>
      <c r="K3251">
        <v>225.4</v>
      </c>
      <c r="L3251">
        <v>75</v>
      </c>
      <c r="M3251">
        <v>19.16</v>
      </c>
      <c r="N3251">
        <v>90.8</v>
      </c>
      <c r="O3251">
        <v>118</v>
      </c>
      <c r="P3251">
        <v>4.09</v>
      </c>
      <c r="Q3251">
        <v>13</v>
      </c>
      <c r="R3251">
        <v>4</v>
      </c>
      <c r="S3251">
        <v>3.51</v>
      </c>
      <c r="T3251">
        <v>3</v>
      </c>
      <c r="U3251" t="s">
        <v>22</v>
      </c>
      <c r="V3251" t="e">
        <f>IF(#REF! = "yes", 1, 0)</f>
        <v>#REF!</v>
      </c>
      <c r="W3251" t="e">
        <f>IF(#REF! &lt;= 1, "0-1 Calls", IF(#REF! &lt;= 3, "2-3 Calls", IF(#REF! &lt;=5, "4-5 Calls", "6+ Calls")))</f>
        <v>#REF!</v>
      </c>
      <c r="X3251" t="e">
        <f>IF(#REF! &lt;= 50, "0-50", IF(#REF! &lt;=100, "51-100", IF(#REF! &lt;= 150, "101-150", "151+")))</f>
        <v>#REF!</v>
      </c>
      <c r="Y3251" t="e">
        <f>IF(#REF! &lt;= 3, "Low Charges", "High Charges")</f>
        <v>#REF!</v>
      </c>
      <c r="Z3251" t="e">
        <f>IF(#REF!&lt;=80,"Low Calls",
IF(#REF!&lt;=120,"Medium Calls","High Calls"))</f>
        <v>#REF!</v>
      </c>
      <c r="AA3251" t="e">
        <f>IF(#REF!&lt;=15,"Low Charges",
IF(#REF!&lt;=20,"Medium Charges","High Charges"))</f>
        <v>#REF!</v>
      </c>
      <c r="AB3251" t="e">
        <f>IF(AND(#REF!&gt;180, #REF!&gt;200), "Heavy Doemstic User", IF(#REF!&gt;10, "Interntional User", IF(AND(#REF!&lt;180, #REF!&lt;200,#REF!&lt;200), "Light User", "Balanced User")))</f>
        <v>#REF!</v>
      </c>
      <c r="AC3251" t="e">
        <f>IF(#REF! = 0, "No Usage", IF(#REF! &lt;= 20, "Low Usage", IF(#REF! &lt;= 40, "Medium Usgae", "High Usage")))</f>
        <v>#REF!</v>
      </c>
      <c r="AD3251" t="e">
        <f>IF(#REF!&lt;=150,"Low Usage", IF(#REF!&lt;=200,"Medium Usage", IF(#REF!&lt;=250,"High Usage","Very High Usage")))</f>
        <v>#REF!</v>
      </c>
      <c r="AE3251" t="e">
        <f>IF(#REF!&lt;=5,"Low Calls", IF(#REF!&lt;=10, "Medium Calls", "High Calls"))</f>
        <v>#REF!</v>
      </c>
      <c r="AF3251" t="e">
        <f xml:space="preserve">
IF(#REF!&gt;=4,4,0)+
IF(#REF!="yes",3,0)+
IF(#REF!="High Charges",3,0)+
IF(#REF!&gt;250,4,0)+
IF(#REF!="no",1,0)+
IF(#REF!="Heavy Domestic User",2,0)</f>
        <v>#REF!</v>
      </c>
      <c r="AG3251" t="e">
        <f>IF(#REF!&gt;=10,"High Risk", IF(#REF!&gt;=5,"Medium Risk","Low Risk"))</f>
        <v>#REF!</v>
      </c>
      <c r="AH3251" t="e">
        <f>#REF! + #REF! + #REF! + #REF!</f>
        <v>#REF!</v>
      </c>
    </row>
    <row r="3252" spans="1:34" x14ac:dyDescent="0.35">
      <c r="A3252">
        <v>3251</v>
      </c>
      <c r="B3252" t="s">
        <v>37</v>
      </c>
      <c r="C3252">
        <v>99</v>
      </c>
      <c r="D3252" t="s">
        <v>21</v>
      </c>
      <c r="E3252" t="s">
        <v>22</v>
      </c>
      <c r="F3252" t="s">
        <v>22</v>
      </c>
      <c r="G3252">
        <v>0</v>
      </c>
      <c r="H3252">
        <v>201.5</v>
      </c>
      <c r="I3252">
        <v>103</v>
      </c>
      <c r="J3252">
        <v>34.26</v>
      </c>
      <c r="K3252">
        <v>124.2</v>
      </c>
      <c r="L3252">
        <v>120</v>
      </c>
      <c r="M3252">
        <v>10.56</v>
      </c>
      <c r="N3252">
        <v>239.9</v>
      </c>
      <c r="O3252">
        <v>56</v>
      </c>
      <c r="P3252">
        <v>10.8</v>
      </c>
      <c r="Q3252">
        <v>11.5</v>
      </c>
      <c r="R3252">
        <v>3</v>
      </c>
      <c r="S3252">
        <v>3.11</v>
      </c>
      <c r="T3252">
        <v>0</v>
      </c>
      <c r="U3252" t="s">
        <v>22</v>
      </c>
      <c r="V3252" t="e">
        <f>IF(#REF! = "yes", 1, 0)</f>
        <v>#REF!</v>
      </c>
      <c r="W3252" t="e">
        <f>IF(#REF! &lt;= 1, "0-1 Calls", IF(#REF! &lt;= 3, "2-3 Calls", IF(#REF! &lt;=5, "4-5 Calls", "6+ Calls")))</f>
        <v>#REF!</v>
      </c>
      <c r="X3252" t="e">
        <f>IF(#REF! &lt;= 50, "0-50", IF(#REF! &lt;=100, "51-100", IF(#REF! &lt;= 150, "101-150", "151+")))</f>
        <v>#REF!</v>
      </c>
      <c r="Y3252" t="e">
        <f>IF(#REF! &lt;= 3, "Low Charges", "High Charges")</f>
        <v>#REF!</v>
      </c>
      <c r="Z3252" t="e">
        <f>IF(#REF!&lt;=80,"Low Calls",
IF(#REF!&lt;=120,"Medium Calls","High Calls"))</f>
        <v>#REF!</v>
      </c>
      <c r="AA3252" t="e">
        <f>IF(#REF!&lt;=15,"Low Charges",
IF(#REF!&lt;=20,"Medium Charges","High Charges"))</f>
        <v>#REF!</v>
      </c>
      <c r="AB3252" t="e">
        <f>IF(AND(#REF!&gt;180, #REF!&gt;200), "Heavy Doemstic User", IF(#REF!&gt;10, "Interntional User", IF(AND(#REF!&lt;180, #REF!&lt;200,#REF!&lt;200), "Light User", "Balanced User")))</f>
        <v>#REF!</v>
      </c>
      <c r="AC3252" t="e">
        <f>IF(#REF! = 0, "No Usage", IF(#REF! &lt;= 20, "Low Usage", IF(#REF! &lt;= 40, "Medium Usgae", "High Usage")))</f>
        <v>#REF!</v>
      </c>
      <c r="AD3252" t="e">
        <f>IF(#REF!&lt;=150,"Low Usage", IF(#REF!&lt;=200,"Medium Usage", IF(#REF!&lt;=250,"High Usage","Very High Usage")))</f>
        <v>#REF!</v>
      </c>
      <c r="AE3252" t="e">
        <f>IF(#REF!&lt;=5,"Low Calls", IF(#REF!&lt;=10, "Medium Calls", "High Calls"))</f>
        <v>#REF!</v>
      </c>
      <c r="AF3252" t="e">
        <f xml:space="preserve">
IF(#REF!&gt;=4,4,0)+
IF(#REF!="yes",3,0)+
IF(#REF!="High Charges",3,0)+
IF(#REF!&gt;250,4,0)+
IF(#REF!="no",1,0)+
IF(#REF!="Heavy Domestic User",2,0)</f>
        <v>#REF!</v>
      </c>
      <c r="AG3252" t="e">
        <f>IF(#REF!&gt;=10,"High Risk", IF(#REF!&gt;=5,"Medium Risk","Low Risk"))</f>
        <v>#REF!</v>
      </c>
      <c r="AH3252" t="e">
        <f>#REF! + #REF! + #REF! + #REF!</f>
        <v>#REF!</v>
      </c>
    </row>
    <row r="3253" spans="1:34" x14ac:dyDescent="0.35">
      <c r="A3253">
        <v>3252</v>
      </c>
      <c r="B3253" t="s">
        <v>24</v>
      </c>
      <c r="C3253">
        <v>120</v>
      </c>
      <c r="D3253" t="s">
        <v>21</v>
      </c>
      <c r="E3253" t="s">
        <v>22</v>
      </c>
      <c r="F3253" t="s">
        <v>22</v>
      </c>
      <c r="G3253">
        <v>0</v>
      </c>
      <c r="H3253">
        <v>146</v>
      </c>
      <c r="I3253">
        <v>58</v>
      </c>
      <c r="J3253">
        <v>24.82</v>
      </c>
      <c r="K3253">
        <v>208.7</v>
      </c>
      <c r="L3253">
        <v>103</v>
      </c>
      <c r="M3253">
        <v>17.739999999999998</v>
      </c>
      <c r="N3253">
        <v>215.5</v>
      </c>
      <c r="O3253">
        <v>91</v>
      </c>
      <c r="P3253">
        <v>9.6999999999999993</v>
      </c>
      <c r="Q3253">
        <v>11.9</v>
      </c>
      <c r="R3253">
        <v>2</v>
      </c>
      <c r="S3253">
        <v>3.21</v>
      </c>
      <c r="T3253">
        <v>0</v>
      </c>
      <c r="U3253" t="s">
        <v>22</v>
      </c>
      <c r="V3253" t="e">
        <f>IF(#REF! = "yes", 1, 0)</f>
        <v>#REF!</v>
      </c>
      <c r="W3253" t="e">
        <f>IF(#REF! &lt;= 1, "0-1 Calls", IF(#REF! &lt;= 3, "2-3 Calls", IF(#REF! &lt;=5, "4-5 Calls", "6+ Calls")))</f>
        <v>#REF!</v>
      </c>
      <c r="X3253" t="e">
        <f>IF(#REF! &lt;= 50, "0-50", IF(#REF! &lt;=100, "51-100", IF(#REF! &lt;= 150, "101-150", "151+")))</f>
        <v>#REF!</v>
      </c>
      <c r="Y3253" t="e">
        <f>IF(#REF! &lt;= 3, "Low Charges", "High Charges")</f>
        <v>#REF!</v>
      </c>
      <c r="Z3253" t="e">
        <f>IF(#REF!&lt;=80,"Low Calls",
IF(#REF!&lt;=120,"Medium Calls","High Calls"))</f>
        <v>#REF!</v>
      </c>
      <c r="AA3253" t="e">
        <f>IF(#REF!&lt;=15,"Low Charges",
IF(#REF!&lt;=20,"Medium Charges","High Charges"))</f>
        <v>#REF!</v>
      </c>
      <c r="AB3253" t="e">
        <f>IF(AND(#REF!&gt;180, #REF!&gt;200), "Heavy Doemstic User", IF(#REF!&gt;10, "Interntional User", IF(AND(#REF!&lt;180, #REF!&lt;200,#REF!&lt;200), "Light User", "Balanced User")))</f>
        <v>#REF!</v>
      </c>
      <c r="AC3253" t="e">
        <f>IF(#REF! = 0, "No Usage", IF(#REF! &lt;= 20, "Low Usage", IF(#REF! &lt;= 40, "Medium Usgae", "High Usage")))</f>
        <v>#REF!</v>
      </c>
      <c r="AD3253" t="e">
        <f>IF(#REF!&lt;=150,"Low Usage", IF(#REF!&lt;=200,"Medium Usage", IF(#REF!&lt;=250,"High Usage","Very High Usage")))</f>
        <v>#REF!</v>
      </c>
      <c r="AE3253" t="e">
        <f>IF(#REF!&lt;=5,"Low Calls", IF(#REF!&lt;=10, "Medium Calls", "High Calls"))</f>
        <v>#REF!</v>
      </c>
      <c r="AF3253" t="e">
        <f xml:space="preserve">
IF(#REF!&gt;=4,4,0)+
IF(#REF!="yes",3,0)+
IF(#REF!="High Charges",3,0)+
IF(#REF!&gt;250,4,0)+
IF(#REF!="no",1,0)+
IF(#REF!="Heavy Domestic User",2,0)</f>
        <v>#REF!</v>
      </c>
      <c r="AG3253" t="e">
        <f>IF(#REF!&gt;=10,"High Risk", IF(#REF!&gt;=5,"Medium Risk","Low Risk"))</f>
        <v>#REF!</v>
      </c>
      <c r="AH3253" t="e">
        <f>#REF! + #REF! + #REF! + #REF!</f>
        <v>#REF!</v>
      </c>
    </row>
    <row r="3254" spans="1:34" x14ac:dyDescent="0.35">
      <c r="A3254">
        <v>3253</v>
      </c>
      <c r="B3254" t="s">
        <v>61</v>
      </c>
      <c r="C3254">
        <v>1</v>
      </c>
      <c r="D3254" t="s">
        <v>28</v>
      </c>
      <c r="E3254" t="s">
        <v>22</v>
      </c>
      <c r="F3254" t="s">
        <v>23</v>
      </c>
      <c r="G3254">
        <v>26</v>
      </c>
      <c r="H3254">
        <v>69.7</v>
      </c>
      <c r="I3254">
        <v>84</v>
      </c>
      <c r="J3254">
        <v>11.85</v>
      </c>
      <c r="K3254">
        <v>250.4</v>
      </c>
      <c r="L3254">
        <v>79</v>
      </c>
      <c r="M3254">
        <v>21.28</v>
      </c>
      <c r="N3254">
        <v>230.2</v>
      </c>
      <c r="O3254">
        <v>122</v>
      </c>
      <c r="P3254">
        <v>10.36</v>
      </c>
      <c r="Q3254">
        <v>8.3000000000000007</v>
      </c>
      <c r="R3254">
        <v>3</v>
      </c>
      <c r="S3254">
        <v>2.2400000000000002</v>
      </c>
      <c r="T3254">
        <v>2</v>
      </c>
      <c r="U3254" t="s">
        <v>22</v>
      </c>
      <c r="V3254" t="e">
        <f>IF(#REF! = "yes", 1, 0)</f>
        <v>#REF!</v>
      </c>
      <c r="W3254" t="e">
        <f>IF(#REF! &lt;= 1, "0-1 Calls", IF(#REF! &lt;= 3, "2-3 Calls", IF(#REF! &lt;=5, "4-5 Calls", "6+ Calls")))</f>
        <v>#REF!</v>
      </c>
      <c r="X3254" t="e">
        <f>IF(#REF! &lt;= 50, "0-50", IF(#REF! &lt;=100, "51-100", IF(#REF! &lt;= 150, "101-150", "151+")))</f>
        <v>#REF!</v>
      </c>
      <c r="Y3254" t="e">
        <f>IF(#REF! &lt;= 3, "Low Charges", "High Charges")</f>
        <v>#REF!</v>
      </c>
      <c r="Z3254" t="e">
        <f>IF(#REF!&lt;=80,"Low Calls",
IF(#REF!&lt;=120,"Medium Calls","High Calls"))</f>
        <v>#REF!</v>
      </c>
      <c r="AA3254" t="e">
        <f>IF(#REF!&lt;=15,"Low Charges",
IF(#REF!&lt;=20,"Medium Charges","High Charges"))</f>
        <v>#REF!</v>
      </c>
      <c r="AB3254" t="e">
        <f>IF(AND(#REF!&gt;180, #REF!&gt;200), "Heavy Doemstic User", IF(#REF!&gt;10, "Interntional User", IF(AND(#REF!&lt;180, #REF!&lt;200,#REF!&lt;200), "Light User", "Balanced User")))</f>
        <v>#REF!</v>
      </c>
      <c r="AC3254" t="e">
        <f>IF(#REF! = 0, "No Usage", IF(#REF! &lt;= 20, "Low Usage", IF(#REF! &lt;= 40, "Medium Usgae", "High Usage")))</f>
        <v>#REF!</v>
      </c>
      <c r="AD3254" t="e">
        <f>IF(#REF!&lt;=150,"Low Usage", IF(#REF!&lt;=200,"Medium Usage", IF(#REF!&lt;=250,"High Usage","Very High Usage")))</f>
        <v>#REF!</v>
      </c>
      <c r="AE3254" t="e">
        <f>IF(#REF!&lt;=5,"Low Calls", IF(#REF!&lt;=10, "Medium Calls", "High Calls"))</f>
        <v>#REF!</v>
      </c>
      <c r="AF3254" t="e">
        <f xml:space="preserve">
IF(#REF!&gt;=4,4,0)+
IF(#REF!="yes",3,0)+
IF(#REF!="High Charges",3,0)+
IF(#REF!&gt;250,4,0)+
IF(#REF!="no",1,0)+
IF(#REF!="Heavy Domestic User",2,0)</f>
        <v>#REF!</v>
      </c>
      <c r="AG3254" t="e">
        <f>IF(#REF!&gt;=10,"High Risk", IF(#REF!&gt;=5,"Medium Risk","Low Risk"))</f>
        <v>#REF!</v>
      </c>
      <c r="AH3254" t="e">
        <f>#REF! + #REF! + #REF! + #REF!</f>
        <v>#REF!</v>
      </c>
    </row>
    <row r="3255" spans="1:34" x14ac:dyDescent="0.35">
      <c r="A3255">
        <v>3254</v>
      </c>
      <c r="B3255" t="s">
        <v>55</v>
      </c>
      <c r="C3255">
        <v>94</v>
      </c>
      <c r="D3255" t="s">
        <v>21</v>
      </c>
      <c r="E3255" t="s">
        <v>22</v>
      </c>
      <c r="F3255" t="s">
        <v>22</v>
      </c>
      <c r="G3255">
        <v>0</v>
      </c>
      <c r="H3255">
        <v>183.1</v>
      </c>
      <c r="I3255">
        <v>109</v>
      </c>
      <c r="J3255">
        <v>31.13</v>
      </c>
      <c r="K3255">
        <v>199.4</v>
      </c>
      <c r="L3255">
        <v>109</v>
      </c>
      <c r="M3255">
        <v>16.95</v>
      </c>
      <c r="N3255">
        <v>214.1</v>
      </c>
      <c r="O3255">
        <v>71</v>
      </c>
      <c r="P3255">
        <v>9.6300000000000008</v>
      </c>
      <c r="Q3255">
        <v>13.9</v>
      </c>
      <c r="R3255">
        <v>4</v>
      </c>
      <c r="S3255">
        <v>3.75</v>
      </c>
      <c r="T3255">
        <v>0</v>
      </c>
      <c r="U3255" t="s">
        <v>22</v>
      </c>
      <c r="V3255" t="e">
        <f>IF(#REF! = "yes", 1, 0)</f>
        <v>#REF!</v>
      </c>
      <c r="W3255" t="e">
        <f>IF(#REF! &lt;= 1, "0-1 Calls", IF(#REF! &lt;= 3, "2-3 Calls", IF(#REF! &lt;=5, "4-5 Calls", "6+ Calls")))</f>
        <v>#REF!</v>
      </c>
      <c r="X3255" t="e">
        <f>IF(#REF! &lt;= 50, "0-50", IF(#REF! &lt;=100, "51-100", IF(#REF! &lt;= 150, "101-150", "151+")))</f>
        <v>#REF!</v>
      </c>
      <c r="Y3255" t="e">
        <f>IF(#REF! &lt;= 3, "Low Charges", "High Charges")</f>
        <v>#REF!</v>
      </c>
      <c r="Z3255" t="e">
        <f>IF(#REF!&lt;=80,"Low Calls",
IF(#REF!&lt;=120,"Medium Calls","High Calls"))</f>
        <v>#REF!</v>
      </c>
      <c r="AA3255" t="e">
        <f>IF(#REF!&lt;=15,"Low Charges",
IF(#REF!&lt;=20,"Medium Charges","High Charges"))</f>
        <v>#REF!</v>
      </c>
      <c r="AB3255" t="e">
        <f>IF(AND(#REF!&gt;180, #REF!&gt;200), "Heavy Doemstic User", IF(#REF!&gt;10, "Interntional User", IF(AND(#REF!&lt;180, #REF!&lt;200,#REF!&lt;200), "Light User", "Balanced User")))</f>
        <v>#REF!</v>
      </c>
      <c r="AC3255" t="e">
        <f>IF(#REF! = 0, "No Usage", IF(#REF! &lt;= 20, "Low Usage", IF(#REF! &lt;= 40, "Medium Usgae", "High Usage")))</f>
        <v>#REF!</v>
      </c>
      <c r="AD3255" t="e">
        <f>IF(#REF!&lt;=150,"Low Usage", IF(#REF!&lt;=200,"Medium Usage", IF(#REF!&lt;=250,"High Usage","Very High Usage")))</f>
        <v>#REF!</v>
      </c>
      <c r="AE3255" t="e">
        <f>IF(#REF!&lt;=5,"Low Calls", IF(#REF!&lt;=10, "Medium Calls", "High Calls"))</f>
        <v>#REF!</v>
      </c>
      <c r="AF3255" t="e">
        <f xml:space="preserve">
IF(#REF!&gt;=4,4,0)+
IF(#REF!="yes",3,0)+
IF(#REF!="High Charges",3,0)+
IF(#REF!&gt;250,4,0)+
IF(#REF!="no",1,0)+
IF(#REF!="Heavy Domestic User",2,0)</f>
        <v>#REF!</v>
      </c>
      <c r="AG3255" t="e">
        <f>IF(#REF!&gt;=10,"High Risk", IF(#REF!&gt;=5,"Medium Risk","Low Risk"))</f>
        <v>#REF!</v>
      </c>
      <c r="AH3255" t="e">
        <f>#REF! + #REF! + #REF! + #REF!</f>
        <v>#REF!</v>
      </c>
    </row>
    <row r="3256" spans="1:34" x14ac:dyDescent="0.35">
      <c r="A3256">
        <v>3255</v>
      </c>
      <c r="B3256" t="s">
        <v>29</v>
      </c>
      <c r="C3256">
        <v>178</v>
      </c>
      <c r="D3256" t="s">
        <v>25</v>
      </c>
      <c r="E3256" t="s">
        <v>22</v>
      </c>
      <c r="F3256" t="s">
        <v>23</v>
      </c>
      <c r="G3256">
        <v>32</v>
      </c>
      <c r="H3256">
        <v>148.69999999999999</v>
      </c>
      <c r="I3256">
        <v>95</v>
      </c>
      <c r="J3256">
        <v>25.28</v>
      </c>
      <c r="K3256">
        <v>198.6</v>
      </c>
      <c r="L3256">
        <v>55</v>
      </c>
      <c r="M3256">
        <v>16.88</v>
      </c>
      <c r="N3256">
        <v>187</v>
      </c>
      <c r="O3256">
        <v>113</v>
      </c>
      <c r="P3256">
        <v>8.41</v>
      </c>
      <c r="Q3256">
        <v>10.4</v>
      </c>
      <c r="R3256">
        <v>7</v>
      </c>
      <c r="S3256">
        <v>2.81</v>
      </c>
      <c r="T3256">
        <v>6</v>
      </c>
      <c r="U3256" t="s">
        <v>23</v>
      </c>
      <c r="V3256" t="e">
        <f>IF(#REF! = "yes", 1, 0)</f>
        <v>#REF!</v>
      </c>
      <c r="W3256" t="e">
        <f>IF(#REF! &lt;= 1, "0-1 Calls", IF(#REF! &lt;= 3, "2-3 Calls", IF(#REF! &lt;=5, "4-5 Calls", "6+ Calls")))</f>
        <v>#REF!</v>
      </c>
      <c r="X3256" t="e">
        <f>IF(#REF! &lt;= 50, "0-50", IF(#REF! &lt;=100, "51-100", IF(#REF! &lt;= 150, "101-150", "151+")))</f>
        <v>#REF!</v>
      </c>
      <c r="Y3256" t="e">
        <f>IF(#REF! &lt;= 3, "Low Charges", "High Charges")</f>
        <v>#REF!</v>
      </c>
      <c r="Z3256" t="e">
        <f>IF(#REF!&lt;=80,"Low Calls",
IF(#REF!&lt;=120,"Medium Calls","High Calls"))</f>
        <v>#REF!</v>
      </c>
      <c r="AA3256" t="e">
        <f>IF(#REF!&lt;=15,"Low Charges",
IF(#REF!&lt;=20,"Medium Charges","High Charges"))</f>
        <v>#REF!</v>
      </c>
      <c r="AB3256" t="e">
        <f>IF(AND(#REF!&gt;180, #REF!&gt;200), "Heavy Doemstic User", IF(#REF!&gt;10, "Interntional User", IF(AND(#REF!&lt;180, #REF!&lt;200,#REF!&lt;200), "Light User", "Balanced User")))</f>
        <v>#REF!</v>
      </c>
      <c r="AC3256" t="e">
        <f>IF(#REF! = 0, "No Usage", IF(#REF! &lt;= 20, "Low Usage", IF(#REF! &lt;= 40, "Medium Usgae", "High Usage")))</f>
        <v>#REF!</v>
      </c>
      <c r="AD3256" t="e">
        <f>IF(#REF!&lt;=150,"Low Usage", IF(#REF!&lt;=200,"Medium Usage", IF(#REF!&lt;=250,"High Usage","Very High Usage")))</f>
        <v>#REF!</v>
      </c>
      <c r="AE3256" t="e">
        <f>IF(#REF!&lt;=5,"Low Calls", IF(#REF!&lt;=10, "Medium Calls", "High Calls"))</f>
        <v>#REF!</v>
      </c>
      <c r="AF3256" t="e">
        <f xml:space="preserve">
IF(#REF!&gt;=4,4,0)+
IF(#REF!="yes",3,0)+
IF(#REF!="High Charges",3,0)+
IF(#REF!&gt;250,4,0)+
IF(#REF!="no",1,0)+
IF(#REF!="Heavy Domestic User",2,0)</f>
        <v>#REF!</v>
      </c>
      <c r="AG3256" t="e">
        <f>IF(#REF!&gt;=10,"High Risk", IF(#REF!&gt;=5,"Medium Risk","Low Risk"))</f>
        <v>#REF!</v>
      </c>
      <c r="AH3256" t="e">
        <f>#REF! + #REF! + #REF! + #REF!</f>
        <v>#REF!</v>
      </c>
    </row>
    <row r="3257" spans="1:34" x14ac:dyDescent="0.35">
      <c r="A3257">
        <v>3256</v>
      </c>
      <c r="B3257" t="s">
        <v>31</v>
      </c>
      <c r="C3257">
        <v>136</v>
      </c>
      <c r="D3257" t="s">
        <v>28</v>
      </c>
      <c r="E3257" t="s">
        <v>22</v>
      </c>
      <c r="F3257" t="s">
        <v>22</v>
      </c>
      <c r="G3257">
        <v>0</v>
      </c>
      <c r="H3257">
        <v>240.1</v>
      </c>
      <c r="I3257">
        <v>121</v>
      </c>
      <c r="J3257">
        <v>40.82</v>
      </c>
      <c r="K3257">
        <v>271.2</v>
      </c>
      <c r="L3257">
        <v>123</v>
      </c>
      <c r="M3257">
        <v>23.05</v>
      </c>
      <c r="N3257">
        <v>132.69999999999999</v>
      </c>
      <c r="O3257">
        <v>98</v>
      </c>
      <c r="P3257">
        <v>5.97</v>
      </c>
      <c r="Q3257">
        <v>17.2</v>
      </c>
      <c r="R3257">
        <v>4</v>
      </c>
      <c r="S3257">
        <v>4.6399999999999997</v>
      </c>
      <c r="T3257">
        <v>0</v>
      </c>
      <c r="U3257" t="s">
        <v>23</v>
      </c>
      <c r="V3257" t="e">
        <f>IF(#REF! = "yes", 1, 0)</f>
        <v>#REF!</v>
      </c>
      <c r="W3257" t="e">
        <f>IF(#REF! &lt;= 1, "0-1 Calls", IF(#REF! &lt;= 3, "2-3 Calls", IF(#REF! &lt;=5, "4-5 Calls", "6+ Calls")))</f>
        <v>#REF!</v>
      </c>
      <c r="X3257" t="e">
        <f>IF(#REF! &lt;= 50, "0-50", IF(#REF! &lt;=100, "51-100", IF(#REF! &lt;= 150, "101-150", "151+")))</f>
        <v>#REF!</v>
      </c>
      <c r="Y3257" t="e">
        <f>IF(#REF! &lt;= 3, "Low Charges", "High Charges")</f>
        <v>#REF!</v>
      </c>
      <c r="Z3257" t="e">
        <f>IF(#REF!&lt;=80,"Low Calls",
IF(#REF!&lt;=120,"Medium Calls","High Calls"))</f>
        <v>#REF!</v>
      </c>
      <c r="AA3257" t="e">
        <f>IF(#REF!&lt;=15,"Low Charges",
IF(#REF!&lt;=20,"Medium Charges","High Charges"))</f>
        <v>#REF!</v>
      </c>
      <c r="AB3257" t="e">
        <f>IF(AND(#REF!&gt;180, #REF!&gt;200), "Heavy Doemstic User", IF(#REF!&gt;10, "Interntional User", IF(AND(#REF!&lt;180, #REF!&lt;200,#REF!&lt;200), "Light User", "Balanced User")))</f>
        <v>#REF!</v>
      </c>
      <c r="AC3257" t="e">
        <f>IF(#REF! = 0, "No Usage", IF(#REF! &lt;= 20, "Low Usage", IF(#REF! &lt;= 40, "Medium Usgae", "High Usage")))</f>
        <v>#REF!</v>
      </c>
      <c r="AD3257" t="e">
        <f>IF(#REF!&lt;=150,"Low Usage", IF(#REF!&lt;=200,"Medium Usage", IF(#REF!&lt;=250,"High Usage","Very High Usage")))</f>
        <v>#REF!</v>
      </c>
      <c r="AE3257" t="e">
        <f>IF(#REF!&lt;=5,"Low Calls", IF(#REF!&lt;=10, "Medium Calls", "High Calls"))</f>
        <v>#REF!</v>
      </c>
      <c r="AF3257" t="e">
        <f xml:space="preserve">
IF(#REF!&gt;=4,4,0)+
IF(#REF!="yes",3,0)+
IF(#REF!="High Charges",3,0)+
IF(#REF!&gt;250,4,0)+
IF(#REF!="no",1,0)+
IF(#REF!="Heavy Domestic User",2,0)</f>
        <v>#REF!</v>
      </c>
      <c r="AG3257" t="e">
        <f>IF(#REF!&gt;=10,"High Risk", IF(#REF!&gt;=5,"Medium Risk","Low Risk"))</f>
        <v>#REF!</v>
      </c>
      <c r="AH3257" t="e">
        <f>#REF! + #REF! + #REF! + #REF!</f>
        <v>#REF!</v>
      </c>
    </row>
    <row r="3258" spans="1:34" x14ac:dyDescent="0.35">
      <c r="A3258">
        <v>3257</v>
      </c>
      <c r="B3258" t="s">
        <v>75</v>
      </c>
      <c r="C3258">
        <v>86</v>
      </c>
      <c r="D3258" t="s">
        <v>21</v>
      </c>
      <c r="E3258" t="s">
        <v>22</v>
      </c>
      <c r="F3258" t="s">
        <v>23</v>
      </c>
      <c r="G3258">
        <v>25</v>
      </c>
      <c r="H3258">
        <v>126.4</v>
      </c>
      <c r="I3258">
        <v>97</v>
      </c>
      <c r="J3258">
        <v>21.49</v>
      </c>
      <c r="K3258">
        <v>189.7</v>
      </c>
      <c r="L3258">
        <v>118</v>
      </c>
      <c r="M3258">
        <v>16.12</v>
      </c>
      <c r="N3258">
        <v>233.6</v>
      </c>
      <c r="O3258">
        <v>97</v>
      </c>
      <c r="P3258">
        <v>10.51</v>
      </c>
      <c r="Q3258">
        <v>12</v>
      </c>
      <c r="R3258">
        <v>2</v>
      </c>
      <c r="S3258">
        <v>3.24</v>
      </c>
      <c r="T3258">
        <v>1</v>
      </c>
      <c r="U3258" t="s">
        <v>22</v>
      </c>
      <c r="V3258" t="e">
        <f>IF(#REF! = "yes", 1, 0)</f>
        <v>#REF!</v>
      </c>
      <c r="W3258" t="e">
        <f>IF(#REF! &lt;= 1, "0-1 Calls", IF(#REF! &lt;= 3, "2-3 Calls", IF(#REF! &lt;=5, "4-5 Calls", "6+ Calls")))</f>
        <v>#REF!</v>
      </c>
      <c r="X3258" t="e">
        <f>IF(#REF! &lt;= 50, "0-50", IF(#REF! &lt;=100, "51-100", IF(#REF! &lt;= 150, "101-150", "151+")))</f>
        <v>#REF!</v>
      </c>
      <c r="Y3258" t="e">
        <f>IF(#REF! &lt;= 3, "Low Charges", "High Charges")</f>
        <v>#REF!</v>
      </c>
      <c r="Z3258" t="e">
        <f>IF(#REF!&lt;=80,"Low Calls",
IF(#REF!&lt;=120,"Medium Calls","High Calls"))</f>
        <v>#REF!</v>
      </c>
      <c r="AA3258" t="e">
        <f>IF(#REF!&lt;=15,"Low Charges",
IF(#REF!&lt;=20,"Medium Charges","High Charges"))</f>
        <v>#REF!</v>
      </c>
      <c r="AB3258" t="e">
        <f>IF(AND(#REF!&gt;180, #REF!&gt;200), "Heavy Doemstic User", IF(#REF!&gt;10, "Interntional User", IF(AND(#REF!&lt;180, #REF!&lt;200,#REF!&lt;200), "Light User", "Balanced User")))</f>
        <v>#REF!</v>
      </c>
      <c r="AC3258" t="e">
        <f>IF(#REF! = 0, "No Usage", IF(#REF! &lt;= 20, "Low Usage", IF(#REF! &lt;= 40, "Medium Usgae", "High Usage")))</f>
        <v>#REF!</v>
      </c>
      <c r="AD3258" t="e">
        <f>IF(#REF!&lt;=150,"Low Usage", IF(#REF!&lt;=200,"Medium Usage", IF(#REF!&lt;=250,"High Usage","Very High Usage")))</f>
        <v>#REF!</v>
      </c>
      <c r="AE3258" t="e">
        <f>IF(#REF!&lt;=5,"Low Calls", IF(#REF!&lt;=10, "Medium Calls", "High Calls"))</f>
        <v>#REF!</v>
      </c>
      <c r="AF3258" t="e">
        <f xml:space="preserve">
IF(#REF!&gt;=4,4,0)+
IF(#REF!="yes",3,0)+
IF(#REF!="High Charges",3,0)+
IF(#REF!&gt;250,4,0)+
IF(#REF!="no",1,0)+
IF(#REF!="Heavy Domestic User",2,0)</f>
        <v>#REF!</v>
      </c>
      <c r="AG3258" t="e">
        <f>IF(#REF!&gt;=10,"High Risk", IF(#REF!&gt;=5,"Medium Risk","Low Risk"))</f>
        <v>#REF!</v>
      </c>
      <c r="AH3258" t="e">
        <f>#REF! + #REF! + #REF! + #REF!</f>
        <v>#REF!</v>
      </c>
    </row>
    <row r="3259" spans="1:34" x14ac:dyDescent="0.35">
      <c r="A3259">
        <v>3258</v>
      </c>
      <c r="B3259" t="s">
        <v>70</v>
      </c>
      <c r="C3259">
        <v>18</v>
      </c>
      <c r="D3259" t="s">
        <v>28</v>
      </c>
      <c r="E3259" t="s">
        <v>22</v>
      </c>
      <c r="F3259" t="s">
        <v>22</v>
      </c>
      <c r="G3259">
        <v>0</v>
      </c>
      <c r="H3259">
        <v>180.2</v>
      </c>
      <c r="I3259">
        <v>115</v>
      </c>
      <c r="J3259">
        <v>30.63</v>
      </c>
      <c r="K3259">
        <v>83.4</v>
      </c>
      <c r="L3259">
        <v>114</v>
      </c>
      <c r="M3259">
        <v>7.09</v>
      </c>
      <c r="N3259">
        <v>245.3</v>
      </c>
      <c r="O3259">
        <v>111</v>
      </c>
      <c r="P3259">
        <v>11.04</v>
      </c>
      <c r="Q3259">
        <v>11.9</v>
      </c>
      <c r="R3259">
        <v>6</v>
      </c>
      <c r="S3259">
        <v>3.21</v>
      </c>
      <c r="T3259">
        <v>1</v>
      </c>
      <c r="U3259" t="s">
        <v>22</v>
      </c>
      <c r="V3259" t="e">
        <f>IF(#REF! = "yes", 1, 0)</f>
        <v>#REF!</v>
      </c>
      <c r="W3259" t="e">
        <f>IF(#REF! &lt;= 1, "0-1 Calls", IF(#REF! &lt;= 3, "2-3 Calls", IF(#REF! &lt;=5, "4-5 Calls", "6+ Calls")))</f>
        <v>#REF!</v>
      </c>
      <c r="X3259" t="e">
        <f>IF(#REF! &lt;= 50, "0-50", IF(#REF! &lt;=100, "51-100", IF(#REF! &lt;= 150, "101-150", "151+")))</f>
        <v>#REF!</v>
      </c>
      <c r="Y3259" t="e">
        <f>IF(#REF! &lt;= 3, "Low Charges", "High Charges")</f>
        <v>#REF!</v>
      </c>
      <c r="Z3259" t="e">
        <f>IF(#REF!&lt;=80,"Low Calls",
IF(#REF!&lt;=120,"Medium Calls","High Calls"))</f>
        <v>#REF!</v>
      </c>
      <c r="AA3259" t="e">
        <f>IF(#REF!&lt;=15,"Low Charges",
IF(#REF!&lt;=20,"Medium Charges","High Charges"))</f>
        <v>#REF!</v>
      </c>
      <c r="AB3259" t="e">
        <f>IF(AND(#REF!&gt;180, #REF!&gt;200), "Heavy Doemstic User", IF(#REF!&gt;10, "Interntional User", IF(AND(#REF!&lt;180, #REF!&lt;200,#REF!&lt;200), "Light User", "Balanced User")))</f>
        <v>#REF!</v>
      </c>
      <c r="AC3259" t="e">
        <f>IF(#REF! = 0, "No Usage", IF(#REF! &lt;= 20, "Low Usage", IF(#REF! &lt;= 40, "Medium Usgae", "High Usage")))</f>
        <v>#REF!</v>
      </c>
      <c r="AD3259" t="e">
        <f>IF(#REF!&lt;=150,"Low Usage", IF(#REF!&lt;=200,"Medium Usage", IF(#REF!&lt;=250,"High Usage","Very High Usage")))</f>
        <v>#REF!</v>
      </c>
      <c r="AE3259" t="e">
        <f>IF(#REF!&lt;=5,"Low Calls", IF(#REF!&lt;=10, "Medium Calls", "High Calls"))</f>
        <v>#REF!</v>
      </c>
      <c r="AF3259" t="e">
        <f xml:space="preserve">
IF(#REF!&gt;=4,4,0)+
IF(#REF!="yes",3,0)+
IF(#REF!="High Charges",3,0)+
IF(#REF!&gt;250,4,0)+
IF(#REF!="no",1,0)+
IF(#REF!="Heavy Domestic User",2,0)</f>
        <v>#REF!</v>
      </c>
      <c r="AG3259" t="e">
        <f>IF(#REF!&gt;=10,"High Risk", IF(#REF!&gt;=5,"Medium Risk","Low Risk"))</f>
        <v>#REF!</v>
      </c>
      <c r="AH3259" t="e">
        <f>#REF! + #REF! + #REF! + #REF!</f>
        <v>#REF!</v>
      </c>
    </row>
    <row r="3260" spans="1:34" x14ac:dyDescent="0.35">
      <c r="A3260">
        <v>3259</v>
      </c>
      <c r="B3260" t="s">
        <v>41</v>
      </c>
      <c r="C3260">
        <v>49</v>
      </c>
      <c r="D3260" t="s">
        <v>21</v>
      </c>
      <c r="E3260" t="s">
        <v>22</v>
      </c>
      <c r="F3260" t="s">
        <v>22</v>
      </c>
      <c r="G3260">
        <v>0</v>
      </c>
      <c r="H3260">
        <v>172</v>
      </c>
      <c r="I3260">
        <v>142</v>
      </c>
      <c r="J3260">
        <v>29.24</v>
      </c>
      <c r="K3260">
        <v>224</v>
      </c>
      <c r="L3260">
        <v>100</v>
      </c>
      <c r="M3260">
        <v>19.04</v>
      </c>
      <c r="N3260">
        <v>177.3</v>
      </c>
      <c r="O3260">
        <v>86</v>
      </c>
      <c r="P3260">
        <v>7.98</v>
      </c>
      <c r="Q3260">
        <v>7.4</v>
      </c>
      <c r="R3260">
        <v>1</v>
      </c>
      <c r="S3260">
        <v>2</v>
      </c>
      <c r="T3260">
        <v>0</v>
      </c>
      <c r="U3260" t="s">
        <v>22</v>
      </c>
      <c r="V3260" t="e">
        <f>IF(#REF! = "yes", 1, 0)</f>
        <v>#REF!</v>
      </c>
      <c r="W3260" t="e">
        <f>IF(#REF! &lt;= 1, "0-1 Calls", IF(#REF! &lt;= 3, "2-3 Calls", IF(#REF! &lt;=5, "4-5 Calls", "6+ Calls")))</f>
        <v>#REF!</v>
      </c>
      <c r="X3260" t="e">
        <f>IF(#REF! &lt;= 50, "0-50", IF(#REF! &lt;=100, "51-100", IF(#REF! &lt;= 150, "101-150", "151+")))</f>
        <v>#REF!</v>
      </c>
      <c r="Y3260" t="e">
        <f>IF(#REF! &lt;= 3, "Low Charges", "High Charges")</f>
        <v>#REF!</v>
      </c>
      <c r="Z3260" t="e">
        <f>IF(#REF!&lt;=80,"Low Calls",
IF(#REF!&lt;=120,"Medium Calls","High Calls"))</f>
        <v>#REF!</v>
      </c>
      <c r="AA3260" t="e">
        <f>IF(#REF!&lt;=15,"Low Charges",
IF(#REF!&lt;=20,"Medium Charges","High Charges"))</f>
        <v>#REF!</v>
      </c>
      <c r="AB3260" t="e">
        <f>IF(AND(#REF!&gt;180, #REF!&gt;200), "Heavy Doemstic User", IF(#REF!&gt;10, "Interntional User", IF(AND(#REF!&lt;180, #REF!&lt;200,#REF!&lt;200), "Light User", "Balanced User")))</f>
        <v>#REF!</v>
      </c>
      <c r="AC3260" t="e">
        <f>IF(#REF! = 0, "No Usage", IF(#REF! &lt;= 20, "Low Usage", IF(#REF! &lt;= 40, "Medium Usgae", "High Usage")))</f>
        <v>#REF!</v>
      </c>
      <c r="AD3260" t="e">
        <f>IF(#REF!&lt;=150,"Low Usage", IF(#REF!&lt;=200,"Medium Usage", IF(#REF!&lt;=250,"High Usage","Very High Usage")))</f>
        <v>#REF!</v>
      </c>
      <c r="AE3260" t="e">
        <f>IF(#REF!&lt;=5,"Low Calls", IF(#REF!&lt;=10, "Medium Calls", "High Calls"))</f>
        <v>#REF!</v>
      </c>
      <c r="AF3260" t="e">
        <f xml:space="preserve">
IF(#REF!&gt;=4,4,0)+
IF(#REF!="yes",3,0)+
IF(#REF!="High Charges",3,0)+
IF(#REF!&gt;250,4,0)+
IF(#REF!="no",1,0)+
IF(#REF!="Heavy Domestic User",2,0)</f>
        <v>#REF!</v>
      </c>
      <c r="AG3260" t="e">
        <f>IF(#REF!&gt;=10,"High Risk", IF(#REF!&gt;=5,"Medium Risk","Low Risk"))</f>
        <v>#REF!</v>
      </c>
      <c r="AH3260" t="e">
        <f>#REF! + #REF! + #REF! + #REF!</f>
        <v>#REF!</v>
      </c>
    </row>
    <row r="3261" spans="1:34" x14ac:dyDescent="0.35">
      <c r="A3261">
        <v>3260</v>
      </c>
      <c r="B3261" t="s">
        <v>20</v>
      </c>
      <c r="C3261">
        <v>20</v>
      </c>
      <c r="D3261" t="s">
        <v>21</v>
      </c>
      <c r="E3261" t="s">
        <v>22</v>
      </c>
      <c r="F3261" t="s">
        <v>23</v>
      </c>
      <c r="G3261">
        <v>27</v>
      </c>
      <c r="H3261">
        <v>231.6</v>
      </c>
      <c r="I3261">
        <v>105</v>
      </c>
      <c r="J3261">
        <v>39.369999999999997</v>
      </c>
      <c r="K3261">
        <v>223.3</v>
      </c>
      <c r="L3261">
        <v>120</v>
      </c>
      <c r="M3261">
        <v>18.98</v>
      </c>
      <c r="N3261">
        <v>212</v>
      </c>
      <c r="O3261">
        <v>99</v>
      </c>
      <c r="P3261">
        <v>9.5399999999999991</v>
      </c>
      <c r="Q3261">
        <v>8.9</v>
      </c>
      <c r="R3261">
        <v>4</v>
      </c>
      <c r="S3261">
        <v>2.4</v>
      </c>
      <c r="T3261">
        <v>1</v>
      </c>
      <c r="U3261" t="s">
        <v>22</v>
      </c>
      <c r="V3261" t="e">
        <f>IF(#REF! = "yes", 1, 0)</f>
        <v>#REF!</v>
      </c>
      <c r="W3261" t="e">
        <f>IF(#REF! &lt;= 1, "0-1 Calls", IF(#REF! &lt;= 3, "2-3 Calls", IF(#REF! &lt;=5, "4-5 Calls", "6+ Calls")))</f>
        <v>#REF!</v>
      </c>
      <c r="X3261" t="e">
        <f>IF(#REF! &lt;= 50, "0-50", IF(#REF! &lt;=100, "51-100", IF(#REF! &lt;= 150, "101-150", "151+")))</f>
        <v>#REF!</v>
      </c>
      <c r="Y3261" t="e">
        <f>IF(#REF! &lt;= 3, "Low Charges", "High Charges")</f>
        <v>#REF!</v>
      </c>
      <c r="Z3261" t="e">
        <f>IF(#REF!&lt;=80,"Low Calls",
IF(#REF!&lt;=120,"Medium Calls","High Calls"))</f>
        <v>#REF!</v>
      </c>
      <c r="AA3261" t="e">
        <f>IF(#REF!&lt;=15,"Low Charges",
IF(#REF!&lt;=20,"Medium Charges","High Charges"))</f>
        <v>#REF!</v>
      </c>
      <c r="AB3261" t="e">
        <f>IF(AND(#REF!&gt;180, #REF!&gt;200), "Heavy Doemstic User", IF(#REF!&gt;10, "Interntional User", IF(AND(#REF!&lt;180, #REF!&lt;200,#REF!&lt;200), "Light User", "Balanced User")))</f>
        <v>#REF!</v>
      </c>
      <c r="AC3261" t="e">
        <f>IF(#REF! = 0, "No Usage", IF(#REF! &lt;= 20, "Low Usage", IF(#REF! &lt;= 40, "Medium Usgae", "High Usage")))</f>
        <v>#REF!</v>
      </c>
      <c r="AD3261" t="e">
        <f>IF(#REF!&lt;=150,"Low Usage", IF(#REF!&lt;=200,"Medium Usage", IF(#REF!&lt;=250,"High Usage","Very High Usage")))</f>
        <v>#REF!</v>
      </c>
      <c r="AE3261" t="e">
        <f>IF(#REF!&lt;=5,"Low Calls", IF(#REF!&lt;=10, "Medium Calls", "High Calls"))</f>
        <v>#REF!</v>
      </c>
      <c r="AF3261" t="e">
        <f xml:space="preserve">
IF(#REF!&gt;=4,4,0)+
IF(#REF!="yes",3,0)+
IF(#REF!="High Charges",3,0)+
IF(#REF!&gt;250,4,0)+
IF(#REF!="no",1,0)+
IF(#REF!="Heavy Domestic User",2,0)</f>
        <v>#REF!</v>
      </c>
      <c r="AG3261" t="e">
        <f>IF(#REF!&gt;=10,"High Risk", IF(#REF!&gt;=5,"Medium Risk","Low Risk"))</f>
        <v>#REF!</v>
      </c>
      <c r="AH3261" t="e">
        <f>#REF! + #REF! + #REF! + #REF!</f>
        <v>#REF!</v>
      </c>
    </row>
    <row r="3262" spans="1:34" x14ac:dyDescent="0.35">
      <c r="A3262">
        <v>3261</v>
      </c>
      <c r="B3262" t="s">
        <v>32</v>
      </c>
      <c r="C3262">
        <v>131</v>
      </c>
      <c r="D3262" t="s">
        <v>21</v>
      </c>
      <c r="E3262" t="s">
        <v>22</v>
      </c>
      <c r="F3262" t="s">
        <v>23</v>
      </c>
      <c r="G3262">
        <v>29</v>
      </c>
      <c r="H3262">
        <v>42.1</v>
      </c>
      <c r="I3262">
        <v>114</v>
      </c>
      <c r="J3262">
        <v>7.16</v>
      </c>
      <c r="K3262">
        <v>183.3</v>
      </c>
      <c r="L3262">
        <v>70</v>
      </c>
      <c r="M3262">
        <v>15.58</v>
      </c>
      <c r="N3262">
        <v>158.69999999999999</v>
      </c>
      <c r="O3262">
        <v>82</v>
      </c>
      <c r="P3262">
        <v>7.14</v>
      </c>
      <c r="Q3262">
        <v>10</v>
      </c>
      <c r="R3262">
        <v>1</v>
      </c>
      <c r="S3262">
        <v>2.7</v>
      </c>
      <c r="T3262">
        <v>0</v>
      </c>
      <c r="U3262" t="s">
        <v>22</v>
      </c>
      <c r="V3262" t="e">
        <f>IF(#REF! = "yes", 1, 0)</f>
        <v>#REF!</v>
      </c>
      <c r="W3262" t="e">
        <f>IF(#REF! &lt;= 1, "0-1 Calls", IF(#REF! &lt;= 3, "2-3 Calls", IF(#REF! &lt;=5, "4-5 Calls", "6+ Calls")))</f>
        <v>#REF!</v>
      </c>
      <c r="X3262" t="e">
        <f>IF(#REF! &lt;= 50, "0-50", IF(#REF! &lt;=100, "51-100", IF(#REF! &lt;= 150, "101-150", "151+")))</f>
        <v>#REF!</v>
      </c>
      <c r="Y3262" t="e">
        <f>IF(#REF! &lt;= 3, "Low Charges", "High Charges")</f>
        <v>#REF!</v>
      </c>
      <c r="Z3262" t="e">
        <f>IF(#REF!&lt;=80,"Low Calls",
IF(#REF!&lt;=120,"Medium Calls","High Calls"))</f>
        <v>#REF!</v>
      </c>
      <c r="AA3262" t="e">
        <f>IF(#REF!&lt;=15,"Low Charges",
IF(#REF!&lt;=20,"Medium Charges","High Charges"))</f>
        <v>#REF!</v>
      </c>
      <c r="AB3262" t="e">
        <f>IF(AND(#REF!&gt;180, #REF!&gt;200), "Heavy Doemstic User", IF(#REF!&gt;10, "Interntional User", IF(AND(#REF!&lt;180, #REF!&lt;200,#REF!&lt;200), "Light User", "Balanced User")))</f>
        <v>#REF!</v>
      </c>
      <c r="AC3262" t="e">
        <f>IF(#REF! = 0, "No Usage", IF(#REF! &lt;= 20, "Low Usage", IF(#REF! &lt;= 40, "Medium Usgae", "High Usage")))</f>
        <v>#REF!</v>
      </c>
      <c r="AD3262" t="e">
        <f>IF(#REF!&lt;=150,"Low Usage", IF(#REF!&lt;=200,"Medium Usage", IF(#REF!&lt;=250,"High Usage","Very High Usage")))</f>
        <v>#REF!</v>
      </c>
      <c r="AE3262" t="e">
        <f>IF(#REF!&lt;=5,"Low Calls", IF(#REF!&lt;=10, "Medium Calls", "High Calls"))</f>
        <v>#REF!</v>
      </c>
      <c r="AF3262" t="e">
        <f xml:space="preserve">
IF(#REF!&gt;=4,4,0)+
IF(#REF!="yes",3,0)+
IF(#REF!="High Charges",3,0)+
IF(#REF!&gt;250,4,0)+
IF(#REF!="no",1,0)+
IF(#REF!="Heavy Domestic User",2,0)</f>
        <v>#REF!</v>
      </c>
      <c r="AG3262" t="e">
        <f>IF(#REF!&gt;=10,"High Risk", IF(#REF!&gt;=5,"Medium Risk","Low Risk"))</f>
        <v>#REF!</v>
      </c>
      <c r="AH3262" t="e">
        <f>#REF! + #REF! + #REF! + #REF!</f>
        <v>#REF!</v>
      </c>
    </row>
    <row r="3263" spans="1:34" x14ac:dyDescent="0.35">
      <c r="A3263">
        <v>3262</v>
      </c>
      <c r="B3263" t="s">
        <v>26</v>
      </c>
      <c r="C3263">
        <v>99</v>
      </c>
      <c r="D3263" t="s">
        <v>25</v>
      </c>
      <c r="E3263" t="s">
        <v>22</v>
      </c>
      <c r="F3263" t="s">
        <v>22</v>
      </c>
      <c r="G3263">
        <v>0</v>
      </c>
      <c r="H3263">
        <v>155.6</v>
      </c>
      <c r="I3263">
        <v>90</v>
      </c>
      <c r="J3263">
        <v>26.45</v>
      </c>
      <c r="K3263">
        <v>240.1</v>
      </c>
      <c r="L3263">
        <v>117</v>
      </c>
      <c r="M3263">
        <v>20.41</v>
      </c>
      <c r="N3263">
        <v>230.8</v>
      </c>
      <c r="O3263">
        <v>88</v>
      </c>
      <c r="P3263">
        <v>10.39</v>
      </c>
      <c r="Q3263">
        <v>10.8</v>
      </c>
      <c r="R3263">
        <v>4</v>
      </c>
      <c r="S3263">
        <v>2.92</v>
      </c>
      <c r="T3263">
        <v>3</v>
      </c>
      <c r="U3263" t="s">
        <v>22</v>
      </c>
      <c r="V3263" t="e">
        <f>IF(#REF! = "yes", 1, 0)</f>
        <v>#REF!</v>
      </c>
      <c r="W3263" t="e">
        <f>IF(#REF! &lt;= 1, "0-1 Calls", IF(#REF! &lt;= 3, "2-3 Calls", IF(#REF! &lt;=5, "4-5 Calls", "6+ Calls")))</f>
        <v>#REF!</v>
      </c>
      <c r="X3263" t="e">
        <f>IF(#REF! &lt;= 50, "0-50", IF(#REF! &lt;=100, "51-100", IF(#REF! &lt;= 150, "101-150", "151+")))</f>
        <v>#REF!</v>
      </c>
      <c r="Y3263" t="e">
        <f>IF(#REF! &lt;= 3, "Low Charges", "High Charges")</f>
        <v>#REF!</v>
      </c>
      <c r="Z3263" t="e">
        <f>IF(#REF!&lt;=80,"Low Calls",
IF(#REF!&lt;=120,"Medium Calls","High Calls"))</f>
        <v>#REF!</v>
      </c>
      <c r="AA3263" t="e">
        <f>IF(#REF!&lt;=15,"Low Charges",
IF(#REF!&lt;=20,"Medium Charges","High Charges"))</f>
        <v>#REF!</v>
      </c>
      <c r="AB3263" t="e">
        <f>IF(AND(#REF!&gt;180, #REF!&gt;200), "Heavy Doemstic User", IF(#REF!&gt;10, "Interntional User", IF(AND(#REF!&lt;180, #REF!&lt;200,#REF!&lt;200), "Light User", "Balanced User")))</f>
        <v>#REF!</v>
      </c>
      <c r="AC3263" t="e">
        <f>IF(#REF! = 0, "No Usage", IF(#REF! &lt;= 20, "Low Usage", IF(#REF! &lt;= 40, "Medium Usgae", "High Usage")))</f>
        <v>#REF!</v>
      </c>
      <c r="AD3263" t="e">
        <f>IF(#REF!&lt;=150,"Low Usage", IF(#REF!&lt;=200,"Medium Usage", IF(#REF!&lt;=250,"High Usage","Very High Usage")))</f>
        <v>#REF!</v>
      </c>
      <c r="AE3263" t="e">
        <f>IF(#REF!&lt;=5,"Low Calls", IF(#REF!&lt;=10, "Medium Calls", "High Calls"))</f>
        <v>#REF!</v>
      </c>
      <c r="AF3263" t="e">
        <f xml:space="preserve">
IF(#REF!&gt;=4,4,0)+
IF(#REF!="yes",3,0)+
IF(#REF!="High Charges",3,0)+
IF(#REF!&gt;250,4,0)+
IF(#REF!="no",1,0)+
IF(#REF!="Heavy Domestic User",2,0)</f>
        <v>#REF!</v>
      </c>
      <c r="AG3263" t="e">
        <f>IF(#REF!&gt;=10,"High Risk", IF(#REF!&gt;=5,"Medium Risk","Low Risk"))</f>
        <v>#REF!</v>
      </c>
      <c r="AH3263" t="e">
        <f>#REF! + #REF! + #REF! + #REF!</f>
        <v>#REF!</v>
      </c>
    </row>
    <row r="3264" spans="1:34" x14ac:dyDescent="0.35">
      <c r="A3264">
        <v>3263</v>
      </c>
      <c r="B3264" t="s">
        <v>37</v>
      </c>
      <c r="C3264">
        <v>61</v>
      </c>
      <c r="D3264" t="s">
        <v>21</v>
      </c>
      <c r="E3264" t="s">
        <v>22</v>
      </c>
      <c r="F3264" t="s">
        <v>22</v>
      </c>
      <c r="G3264">
        <v>0</v>
      </c>
      <c r="H3264">
        <v>234.6</v>
      </c>
      <c r="I3264">
        <v>126</v>
      </c>
      <c r="J3264">
        <v>39.880000000000003</v>
      </c>
      <c r="K3264">
        <v>200.7</v>
      </c>
      <c r="L3264">
        <v>76</v>
      </c>
      <c r="M3264">
        <v>17.059999999999999</v>
      </c>
      <c r="N3264">
        <v>171.1</v>
      </c>
      <c r="O3264">
        <v>81</v>
      </c>
      <c r="P3264">
        <v>7.7</v>
      </c>
      <c r="Q3264">
        <v>8.1</v>
      </c>
      <c r="R3264">
        <v>2</v>
      </c>
      <c r="S3264">
        <v>2.19</v>
      </c>
      <c r="T3264">
        <v>0</v>
      </c>
      <c r="U3264" t="s">
        <v>22</v>
      </c>
      <c r="V3264" t="e">
        <f>IF(#REF! = "yes", 1, 0)</f>
        <v>#REF!</v>
      </c>
      <c r="W3264" t="e">
        <f>IF(#REF! &lt;= 1, "0-1 Calls", IF(#REF! &lt;= 3, "2-3 Calls", IF(#REF! &lt;=5, "4-5 Calls", "6+ Calls")))</f>
        <v>#REF!</v>
      </c>
      <c r="X3264" t="e">
        <f>IF(#REF! &lt;= 50, "0-50", IF(#REF! &lt;=100, "51-100", IF(#REF! &lt;= 150, "101-150", "151+")))</f>
        <v>#REF!</v>
      </c>
      <c r="Y3264" t="e">
        <f>IF(#REF! &lt;= 3, "Low Charges", "High Charges")</f>
        <v>#REF!</v>
      </c>
      <c r="Z3264" t="e">
        <f>IF(#REF!&lt;=80,"Low Calls",
IF(#REF!&lt;=120,"Medium Calls","High Calls"))</f>
        <v>#REF!</v>
      </c>
      <c r="AA3264" t="e">
        <f>IF(#REF!&lt;=15,"Low Charges",
IF(#REF!&lt;=20,"Medium Charges","High Charges"))</f>
        <v>#REF!</v>
      </c>
      <c r="AB3264" t="e">
        <f>IF(AND(#REF!&gt;180, #REF!&gt;200), "Heavy Doemstic User", IF(#REF!&gt;10, "Interntional User", IF(AND(#REF!&lt;180, #REF!&lt;200,#REF!&lt;200), "Light User", "Balanced User")))</f>
        <v>#REF!</v>
      </c>
      <c r="AC3264" t="e">
        <f>IF(#REF! = 0, "No Usage", IF(#REF! &lt;= 20, "Low Usage", IF(#REF! &lt;= 40, "Medium Usgae", "High Usage")))</f>
        <v>#REF!</v>
      </c>
      <c r="AD3264" t="e">
        <f>IF(#REF!&lt;=150,"Low Usage", IF(#REF!&lt;=200,"Medium Usage", IF(#REF!&lt;=250,"High Usage","Very High Usage")))</f>
        <v>#REF!</v>
      </c>
      <c r="AE3264" t="e">
        <f>IF(#REF!&lt;=5,"Low Calls", IF(#REF!&lt;=10, "Medium Calls", "High Calls"))</f>
        <v>#REF!</v>
      </c>
      <c r="AF3264" t="e">
        <f xml:space="preserve">
IF(#REF!&gt;=4,4,0)+
IF(#REF!="yes",3,0)+
IF(#REF!="High Charges",3,0)+
IF(#REF!&gt;250,4,0)+
IF(#REF!="no",1,0)+
IF(#REF!="Heavy Domestic User",2,0)</f>
        <v>#REF!</v>
      </c>
      <c r="AG3264" t="e">
        <f>IF(#REF!&gt;=10,"High Risk", IF(#REF!&gt;=5,"Medium Risk","Low Risk"))</f>
        <v>#REF!</v>
      </c>
      <c r="AH3264" t="e">
        <f>#REF! + #REF! + #REF! + #REF!</f>
        <v>#REF!</v>
      </c>
    </row>
    <row r="3265" spans="1:34" x14ac:dyDescent="0.35">
      <c r="A3265">
        <v>3264</v>
      </c>
      <c r="B3265" t="s">
        <v>54</v>
      </c>
      <c r="C3265">
        <v>137</v>
      </c>
      <c r="D3265" t="s">
        <v>21</v>
      </c>
      <c r="E3265" t="s">
        <v>22</v>
      </c>
      <c r="F3265" t="s">
        <v>22</v>
      </c>
      <c r="G3265">
        <v>0</v>
      </c>
      <c r="H3265">
        <v>115.5</v>
      </c>
      <c r="I3265">
        <v>101</v>
      </c>
      <c r="J3265">
        <v>19.64</v>
      </c>
      <c r="K3265">
        <v>226.2</v>
      </c>
      <c r="L3265">
        <v>81</v>
      </c>
      <c r="M3265">
        <v>19.23</v>
      </c>
      <c r="N3265">
        <v>179.1</v>
      </c>
      <c r="O3265">
        <v>123</v>
      </c>
      <c r="P3265">
        <v>8.06</v>
      </c>
      <c r="Q3265">
        <v>13.6</v>
      </c>
      <c r="R3265">
        <v>4</v>
      </c>
      <c r="S3265">
        <v>3.67</v>
      </c>
      <c r="T3265">
        <v>0</v>
      </c>
      <c r="U3265" t="s">
        <v>22</v>
      </c>
      <c r="V3265" t="e">
        <f>IF(#REF! = "yes", 1, 0)</f>
        <v>#REF!</v>
      </c>
      <c r="W3265" t="e">
        <f>IF(#REF! &lt;= 1, "0-1 Calls", IF(#REF! &lt;= 3, "2-3 Calls", IF(#REF! &lt;=5, "4-5 Calls", "6+ Calls")))</f>
        <v>#REF!</v>
      </c>
      <c r="X3265" t="e">
        <f>IF(#REF! &lt;= 50, "0-50", IF(#REF! &lt;=100, "51-100", IF(#REF! &lt;= 150, "101-150", "151+")))</f>
        <v>#REF!</v>
      </c>
      <c r="Y3265" t="e">
        <f>IF(#REF! &lt;= 3, "Low Charges", "High Charges")</f>
        <v>#REF!</v>
      </c>
      <c r="Z3265" t="e">
        <f>IF(#REF!&lt;=80,"Low Calls",
IF(#REF!&lt;=120,"Medium Calls","High Calls"))</f>
        <v>#REF!</v>
      </c>
      <c r="AA3265" t="e">
        <f>IF(#REF!&lt;=15,"Low Charges",
IF(#REF!&lt;=20,"Medium Charges","High Charges"))</f>
        <v>#REF!</v>
      </c>
      <c r="AB3265" t="e">
        <f>IF(AND(#REF!&gt;180, #REF!&gt;200), "Heavy Doemstic User", IF(#REF!&gt;10, "Interntional User", IF(AND(#REF!&lt;180, #REF!&lt;200,#REF!&lt;200), "Light User", "Balanced User")))</f>
        <v>#REF!</v>
      </c>
      <c r="AC3265" t="e">
        <f>IF(#REF! = 0, "No Usage", IF(#REF! &lt;= 20, "Low Usage", IF(#REF! &lt;= 40, "Medium Usgae", "High Usage")))</f>
        <v>#REF!</v>
      </c>
      <c r="AD3265" t="e">
        <f>IF(#REF!&lt;=150,"Low Usage", IF(#REF!&lt;=200,"Medium Usage", IF(#REF!&lt;=250,"High Usage","Very High Usage")))</f>
        <v>#REF!</v>
      </c>
      <c r="AE3265" t="e">
        <f>IF(#REF!&lt;=5,"Low Calls", IF(#REF!&lt;=10, "Medium Calls", "High Calls"))</f>
        <v>#REF!</v>
      </c>
      <c r="AF3265" t="e">
        <f xml:space="preserve">
IF(#REF!&gt;=4,4,0)+
IF(#REF!="yes",3,0)+
IF(#REF!="High Charges",3,0)+
IF(#REF!&gt;250,4,0)+
IF(#REF!="no",1,0)+
IF(#REF!="Heavy Domestic User",2,0)</f>
        <v>#REF!</v>
      </c>
      <c r="AG3265" t="e">
        <f>IF(#REF!&gt;=10,"High Risk", IF(#REF!&gt;=5,"Medium Risk","Low Risk"))</f>
        <v>#REF!</v>
      </c>
      <c r="AH3265" t="e">
        <f>#REF! + #REF! + #REF! + #REF!</f>
        <v>#REF!</v>
      </c>
    </row>
    <row r="3266" spans="1:34" x14ac:dyDescent="0.35">
      <c r="A3266">
        <v>3265</v>
      </c>
      <c r="B3266" t="s">
        <v>59</v>
      </c>
      <c r="C3266">
        <v>49</v>
      </c>
      <c r="D3266" t="s">
        <v>28</v>
      </c>
      <c r="E3266" t="s">
        <v>22</v>
      </c>
      <c r="F3266" t="s">
        <v>23</v>
      </c>
      <c r="G3266">
        <v>42</v>
      </c>
      <c r="H3266">
        <v>159</v>
      </c>
      <c r="I3266">
        <v>67</v>
      </c>
      <c r="J3266">
        <v>27.03</v>
      </c>
      <c r="K3266">
        <v>126.3</v>
      </c>
      <c r="L3266">
        <v>125</v>
      </c>
      <c r="M3266">
        <v>10.74</v>
      </c>
      <c r="N3266">
        <v>206.8</v>
      </c>
      <c r="O3266">
        <v>88</v>
      </c>
      <c r="P3266">
        <v>9.31</v>
      </c>
      <c r="Q3266">
        <v>7.4</v>
      </c>
      <c r="R3266">
        <v>3</v>
      </c>
      <c r="S3266">
        <v>2</v>
      </c>
      <c r="T3266">
        <v>2</v>
      </c>
      <c r="U3266" t="s">
        <v>22</v>
      </c>
      <c r="V3266" t="e">
        <f>IF(#REF! = "yes", 1, 0)</f>
        <v>#REF!</v>
      </c>
      <c r="W3266" t="e">
        <f>IF(#REF! &lt;= 1, "0-1 Calls", IF(#REF! &lt;= 3, "2-3 Calls", IF(#REF! &lt;=5, "4-5 Calls", "6+ Calls")))</f>
        <v>#REF!</v>
      </c>
      <c r="X3266" t="e">
        <f>IF(#REF! &lt;= 50, "0-50", IF(#REF! &lt;=100, "51-100", IF(#REF! &lt;= 150, "101-150", "151+")))</f>
        <v>#REF!</v>
      </c>
      <c r="Y3266" t="e">
        <f>IF(#REF! &lt;= 3, "Low Charges", "High Charges")</f>
        <v>#REF!</v>
      </c>
      <c r="Z3266" t="e">
        <f>IF(#REF!&lt;=80,"Low Calls",
IF(#REF!&lt;=120,"Medium Calls","High Calls"))</f>
        <v>#REF!</v>
      </c>
      <c r="AA3266" t="e">
        <f>IF(#REF!&lt;=15,"Low Charges",
IF(#REF!&lt;=20,"Medium Charges","High Charges"))</f>
        <v>#REF!</v>
      </c>
      <c r="AB3266" t="e">
        <f>IF(AND(#REF!&gt;180, #REF!&gt;200), "Heavy Doemstic User", IF(#REF!&gt;10, "Interntional User", IF(AND(#REF!&lt;180, #REF!&lt;200,#REF!&lt;200), "Light User", "Balanced User")))</f>
        <v>#REF!</v>
      </c>
      <c r="AC3266" t="e">
        <f>IF(#REF! = 0, "No Usage", IF(#REF! &lt;= 20, "Low Usage", IF(#REF! &lt;= 40, "Medium Usgae", "High Usage")))</f>
        <v>#REF!</v>
      </c>
      <c r="AD3266" t="e">
        <f>IF(#REF!&lt;=150,"Low Usage", IF(#REF!&lt;=200,"Medium Usage", IF(#REF!&lt;=250,"High Usage","Very High Usage")))</f>
        <v>#REF!</v>
      </c>
      <c r="AE3266" t="e">
        <f>IF(#REF!&lt;=5,"Low Calls", IF(#REF!&lt;=10, "Medium Calls", "High Calls"))</f>
        <v>#REF!</v>
      </c>
      <c r="AF3266" t="e">
        <f xml:space="preserve">
IF(#REF!&gt;=4,4,0)+
IF(#REF!="yes",3,0)+
IF(#REF!="High Charges",3,0)+
IF(#REF!&gt;250,4,0)+
IF(#REF!="no",1,0)+
IF(#REF!="Heavy Domestic User",2,0)</f>
        <v>#REF!</v>
      </c>
      <c r="AG3266" t="e">
        <f>IF(#REF!&gt;=10,"High Risk", IF(#REF!&gt;=5,"Medium Risk","Low Risk"))</f>
        <v>#REF!</v>
      </c>
      <c r="AH3266" t="e">
        <f>#REF! + #REF! + #REF! + #REF!</f>
        <v>#REF!</v>
      </c>
    </row>
    <row r="3267" spans="1:34" x14ac:dyDescent="0.35">
      <c r="A3267">
        <v>3266</v>
      </c>
      <c r="B3267" t="s">
        <v>27</v>
      </c>
      <c r="C3267">
        <v>83</v>
      </c>
      <c r="D3267" t="s">
        <v>25</v>
      </c>
      <c r="E3267" t="s">
        <v>22</v>
      </c>
      <c r="F3267" t="s">
        <v>22</v>
      </c>
      <c r="G3267">
        <v>0</v>
      </c>
      <c r="H3267">
        <v>286.60000000000002</v>
      </c>
      <c r="I3267">
        <v>114</v>
      </c>
      <c r="J3267">
        <v>48.72</v>
      </c>
      <c r="K3267">
        <v>101</v>
      </c>
      <c r="L3267">
        <v>138</v>
      </c>
      <c r="M3267">
        <v>8.59</v>
      </c>
      <c r="N3267">
        <v>199.6</v>
      </c>
      <c r="O3267">
        <v>146</v>
      </c>
      <c r="P3267">
        <v>8.98</v>
      </c>
      <c r="Q3267">
        <v>13.2</v>
      </c>
      <c r="R3267">
        <v>4</v>
      </c>
      <c r="S3267">
        <v>3.56</v>
      </c>
      <c r="T3267">
        <v>1</v>
      </c>
      <c r="U3267" t="s">
        <v>22</v>
      </c>
      <c r="V3267" t="e">
        <f>IF(#REF! = "yes", 1, 0)</f>
        <v>#REF!</v>
      </c>
      <c r="W3267" t="e">
        <f>IF(#REF! &lt;= 1, "0-1 Calls", IF(#REF! &lt;= 3, "2-3 Calls", IF(#REF! &lt;=5, "4-5 Calls", "6+ Calls")))</f>
        <v>#REF!</v>
      </c>
      <c r="X3267" t="e">
        <f>IF(#REF! &lt;= 50, "0-50", IF(#REF! &lt;=100, "51-100", IF(#REF! &lt;= 150, "101-150", "151+")))</f>
        <v>#REF!</v>
      </c>
      <c r="Y3267" t="e">
        <f>IF(#REF! &lt;= 3, "Low Charges", "High Charges")</f>
        <v>#REF!</v>
      </c>
      <c r="Z3267" t="e">
        <f>IF(#REF!&lt;=80,"Low Calls",
IF(#REF!&lt;=120,"Medium Calls","High Calls"))</f>
        <v>#REF!</v>
      </c>
      <c r="AA3267" t="e">
        <f>IF(#REF!&lt;=15,"Low Charges",
IF(#REF!&lt;=20,"Medium Charges","High Charges"))</f>
        <v>#REF!</v>
      </c>
      <c r="AB3267" t="e">
        <f>IF(AND(#REF!&gt;180, #REF!&gt;200), "Heavy Doemstic User", IF(#REF!&gt;10, "Interntional User", IF(AND(#REF!&lt;180, #REF!&lt;200,#REF!&lt;200), "Light User", "Balanced User")))</f>
        <v>#REF!</v>
      </c>
      <c r="AC3267" t="e">
        <f>IF(#REF! = 0, "No Usage", IF(#REF! &lt;= 20, "Low Usage", IF(#REF! &lt;= 40, "Medium Usgae", "High Usage")))</f>
        <v>#REF!</v>
      </c>
      <c r="AD3267" t="e">
        <f>IF(#REF!&lt;=150,"Low Usage", IF(#REF!&lt;=200,"Medium Usage", IF(#REF!&lt;=250,"High Usage","Very High Usage")))</f>
        <v>#REF!</v>
      </c>
      <c r="AE3267" t="e">
        <f>IF(#REF!&lt;=5,"Low Calls", IF(#REF!&lt;=10, "Medium Calls", "High Calls"))</f>
        <v>#REF!</v>
      </c>
      <c r="AF3267" t="e">
        <f xml:space="preserve">
IF(#REF!&gt;=4,4,0)+
IF(#REF!="yes",3,0)+
IF(#REF!="High Charges",3,0)+
IF(#REF!&gt;250,4,0)+
IF(#REF!="no",1,0)+
IF(#REF!="Heavy Domestic User",2,0)</f>
        <v>#REF!</v>
      </c>
      <c r="AG3267" t="e">
        <f>IF(#REF!&gt;=10,"High Risk", IF(#REF!&gt;=5,"Medium Risk","Low Risk"))</f>
        <v>#REF!</v>
      </c>
      <c r="AH3267" t="e">
        <f>#REF! + #REF! + #REF! + #REF!</f>
        <v>#REF!</v>
      </c>
    </row>
    <row r="3268" spans="1:34" x14ac:dyDescent="0.35">
      <c r="A3268">
        <v>3267</v>
      </c>
      <c r="B3268" t="s">
        <v>40</v>
      </c>
      <c r="C3268">
        <v>105</v>
      </c>
      <c r="D3268" t="s">
        <v>25</v>
      </c>
      <c r="E3268" t="s">
        <v>22</v>
      </c>
      <c r="F3268" t="s">
        <v>22</v>
      </c>
      <c r="G3268">
        <v>0</v>
      </c>
      <c r="H3268">
        <v>181.9</v>
      </c>
      <c r="I3268">
        <v>70</v>
      </c>
      <c r="J3268">
        <v>30.92</v>
      </c>
      <c r="K3268">
        <v>233.5</v>
      </c>
      <c r="L3268">
        <v>83</v>
      </c>
      <c r="M3268">
        <v>19.850000000000001</v>
      </c>
      <c r="N3268">
        <v>194.6</v>
      </c>
      <c r="O3268">
        <v>80</v>
      </c>
      <c r="P3268">
        <v>8.76</v>
      </c>
      <c r="Q3268">
        <v>8.1</v>
      </c>
      <c r="R3268">
        <v>9</v>
      </c>
      <c r="S3268">
        <v>2.19</v>
      </c>
      <c r="T3268">
        <v>1</v>
      </c>
      <c r="U3268" t="s">
        <v>22</v>
      </c>
      <c r="V3268" t="e">
        <f>IF(#REF! = "yes", 1, 0)</f>
        <v>#REF!</v>
      </c>
      <c r="W3268" t="e">
        <f>IF(#REF! &lt;= 1, "0-1 Calls", IF(#REF! &lt;= 3, "2-3 Calls", IF(#REF! &lt;=5, "4-5 Calls", "6+ Calls")))</f>
        <v>#REF!</v>
      </c>
      <c r="X3268" t="e">
        <f>IF(#REF! &lt;= 50, "0-50", IF(#REF! &lt;=100, "51-100", IF(#REF! &lt;= 150, "101-150", "151+")))</f>
        <v>#REF!</v>
      </c>
      <c r="Y3268" t="e">
        <f>IF(#REF! &lt;= 3, "Low Charges", "High Charges")</f>
        <v>#REF!</v>
      </c>
      <c r="Z3268" t="e">
        <f>IF(#REF!&lt;=80,"Low Calls",
IF(#REF!&lt;=120,"Medium Calls","High Calls"))</f>
        <v>#REF!</v>
      </c>
      <c r="AA3268" t="e">
        <f>IF(#REF!&lt;=15,"Low Charges",
IF(#REF!&lt;=20,"Medium Charges","High Charges"))</f>
        <v>#REF!</v>
      </c>
      <c r="AB3268" t="e">
        <f>IF(AND(#REF!&gt;180, #REF!&gt;200), "Heavy Doemstic User", IF(#REF!&gt;10, "Interntional User", IF(AND(#REF!&lt;180, #REF!&lt;200,#REF!&lt;200), "Light User", "Balanced User")))</f>
        <v>#REF!</v>
      </c>
      <c r="AC3268" t="e">
        <f>IF(#REF! = 0, "No Usage", IF(#REF! &lt;= 20, "Low Usage", IF(#REF! &lt;= 40, "Medium Usgae", "High Usage")))</f>
        <v>#REF!</v>
      </c>
      <c r="AD3268" t="e">
        <f>IF(#REF!&lt;=150,"Low Usage", IF(#REF!&lt;=200,"Medium Usage", IF(#REF!&lt;=250,"High Usage","Very High Usage")))</f>
        <v>#REF!</v>
      </c>
      <c r="AE3268" t="e">
        <f>IF(#REF!&lt;=5,"Low Calls", IF(#REF!&lt;=10, "Medium Calls", "High Calls"))</f>
        <v>#REF!</v>
      </c>
      <c r="AF3268" t="e">
        <f xml:space="preserve">
IF(#REF!&gt;=4,4,0)+
IF(#REF!="yes",3,0)+
IF(#REF!="High Charges",3,0)+
IF(#REF!&gt;250,4,0)+
IF(#REF!="no",1,0)+
IF(#REF!="Heavy Domestic User",2,0)</f>
        <v>#REF!</v>
      </c>
      <c r="AG3268" t="e">
        <f>IF(#REF!&gt;=10,"High Risk", IF(#REF!&gt;=5,"Medium Risk","Low Risk"))</f>
        <v>#REF!</v>
      </c>
      <c r="AH3268" t="e">
        <f>#REF! + #REF! + #REF! + #REF!</f>
        <v>#REF!</v>
      </c>
    </row>
    <row r="3269" spans="1:34" x14ac:dyDescent="0.35">
      <c r="A3269">
        <v>3268</v>
      </c>
      <c r="B3269" t="s">
        <v>50</v>
      </c>
      <c r="C3269">
        <v>90</v>
      </c>
      <c r="D3269" t="s">
        <v>25</v>
      </c>
      <c r="E3269" t="s">
        <v>22</v>
      </c>
      <c r="F3269" t="s">
        <v>22</v>
      </c>
      <c r="G3269">
        <v>0</v>
      </c>
      <c r="H3269">
        <v>235</v>
      </c>
      <c r="I3269">
        <v>77</v>
      </c>
      <c r="J3269">
        <v>39.950000000000003</v>
      </c>
      <c r="K3269">
        <v>267.3</v>
      </c>
      <c r="L3269">
        <v>94</v>
      </c>
      <c r="M3269">
        <v>22.72</v>
      </c>
      <c r="N3269">
        <v>222.1</v>
      </c>
      <c r="O3269">
        <v>119</v>
      </c>
      <c r="P3269">
        <v>9.99</v>
      </c>
      <c r="Q3269">
        <v>5.3</v>
      </c>
      <c r="R3269">
        <v>4</v>
      </c>
      <c r="S3269">
        <v>1.43</v>
      </c>
      <c r="T3269">
        <v>3</v>
      </c>
      <c r="U3269" t="s">
        <v>23</v>
      </c>
      <c r="V3269" t="e">
        <f>IF(#REF! = "yes", 1, 0)</f>
        <v>#REF!</v>
      </c>
      <c r="W3269" t="e">
        <f>IF(#REF! &lt;= 1, "0-1 Calls", IF(#REF! &lt;= 3, "2-3 Calls", IF(#REF! &lt;=5, "4-5 Calls", "6+ Calls")))</f>
        <v>#REF!</v>
      </c>
      <c r="X3269" t="e">
        <f>IF(#REF! &lt;= 50, "0-50", IF(#REF! &lt;=100, "51-100", IF(#REF! &lt;= 150, "101-150", "151+")))</f>
        <v>#REF!</v>
      </c>
      <c r="Y3269" t="e">
        <f>IF(#REF! &lt;= 3, "Low Charges", "High Charges")</f>
        <v>#REF!</v>
      </c>
      <c r="Z3269" t="e">
        <f>IF(#REF!&lt;=80,"Low Calls",
IF(#REF!&lt;=120,"Medium Calls","High Calls"))</f>
        <v>#REF!</v>
      </c>
      <c r="AA3269" t="e">
        <f>IF(#REF!&lt;=15,"Low Charges",
IF(#REF!&lt;=20,"Medium Charges","High Charges"))</f>
        <v>#REF!</v>
      </c>
      <c r="AB3269" t="e">
        <f>IF(AND(#REF!&gt;180, #REF!&gt;200), "Heavy Doemstic User", IF(#REF!&gt;10, "Interntional User", IF(AND(#REF!&lt;180, #REF!&lt;200,#REF!&lt;200), "Light User", "Balanced User")))</f>
        <v>#REF!</v>
      </c>
      <c r="AC3269" t="e">
        <f>IF(#REF! = 0, "No Usage", IF(#REF! &lt;= 20, "Low Usage", IF(#REF! &lt;= 40, "Medium Usgae", "High Usage")))</f>
        <v>#REF!</v>
      </c>
      <c r="AD3269" t="e">
        <f>IF(#REF!&lt;=150,"Low Usage", IF(#REF!&lt;=200,"Medium Usage", IF(#REF!&lt;=250,"High Usage","Very High Usage")))</f>
        <v>#REF!</v>
      </c>
      <c r="AE3269" t="e">
        <f>IF(#REF!&lt;=5,"Low Calls", IF(#REF!&lt;=10, "Medium Calls", "High Calls"))</f>
        <v>#REF!</v>
      </c>
      <c r="AF3269" t="e">
        <f xml:space="preserve">
IF(#REF!&gt;=4,4,0)+
IF(#REF!="yes",3,0)+
IF(#REF!="High Charges",3,0)+
IF(#REF!&gt;250,4,0)+
IF(#REF!="no",1,0)+
IF(#REF!="Heavy Domestic User",2,0)</f>
        <v>#REF!</v>
      </c>
      <c r="AG3269" t="e">
        <f>IF(#REF!&gt;=10,"High Risk", IF(#REF!&gt;=5,"Medium Risk","Low Risk"))</f>
        <v>#REF!</v>
      </c>
      <c r="AH3269" t="e">
        <f>#REF! + #REF! + #REF! + #REF!</f>
        <v>#REF!</v>
      </c>
    </row>
    <row r="3270" spans="1:34" x14ac:dyDescent="0.35">
      <c r="A3270">
        <v>3269</v>
      </c>
      <c r="B3270" t="s">
        <v>68</v>
      </c>
      <c r="C3270">
        <v>111</v>
      </c>
      <c r="D3270" t="s">
        <v>21</v>
      </c>
      <c r="E3270" t="s">
        <v>22</v>
      </c>
      <c r="F3270" t="s">
        <v>22</v>
      </c>
      <c r="G3270">
        <v>0</v>
      </c>
      <c r="H3270">
        <v>187.8</v>
      </c>
      <c r="I3270">
        <v>107</v>
      </c>
      <c r="J3270">
        <v>31.93</v>
      </c>
      <c r="K3270">
        <v>246</v>
      </c>
      <c r="L3270">
        <v>70</v>
      </c>
      <c r="M3270">
        <v>20.91</v>
      </c>
      <c r="N3270">
        <v>175.9</v>
      </c>
      <c r="O3270">
        <v>88</v>
      </c>
      <c r="P3270">
        <v>7.92</v>
      </c>
      <c r="Q3270">
        <v>10.5</v>
      </c>
      <c r="R3270">
        <v>7</v>
      </c>
      <c r="S3270">
        <v>2.84</v>
      </c>
      <c r="T3270">
        <v>0</v>
      </c>
      <c r="U3270" t="s">
        <v>22</v>
      </c>
      <c r="V3270" t="e">
        <f>IF(#REF! = "yes", 1, 0)</f>
        <v>#REF!</v>
      </c>
      <c r="W3270" t="e">
        <f>IF(#REF! &lt;= 1, "0-1 Calls", IF(#REF! &lt;= 3, "2-3 Calls", IF(#REF! &lt;=5, "4-5 Calls", "6+ Calls")))</f>
        <v>#REF!</v>
      </c>
      <c r="X3270" t="e">
        <f>IF(#REF! &lt;= 50, "0-50", IF(#REF! &lt;=100, "51-100", IF(#REF! &lt;= 150, "101-150", "151+")))</f>
        <v>#REF!</v>
      </c>
      <c r="Y3270" t="e">
        <f>IF(#REF! &lt;= 3, "Low Charges", "High Charges")</f>
        <v>#REF!</v>
      </c>
      <c r="Z3270" t="e">
        <f>IF(#REF!&lt;=80,"Low Calls",
IF(#REF!&lt;=120,"Medium Calls","High Calls"))</f>
        <v>#REF!</v>
      </c>
      <c r="AA3270" t="e">
        <f>IF(#REF!&lt;=15,"Low Charges",
IF(#REF!&lt;=20,"Medium Charges","High Charges"))</f>
        <v>#REF!</v>
      </c>
      <c r="AB3270" t="e">
        <f>IF(AND(#REF!&gt;180, #REF!&gt;200), "Heavy Doemstic User", IF(#REF!&gt;10, "Interntional User", IF(AND(#REF!&lt;180, #REF!&lt;200,#REF!&lt;200), "Light User", "Balanced User")))</f>
        <v>#REF!</v>
      </c>
      <c r="AC3270" t="e">
        <f>IF(#REF! = 0, "No Usage", IF(#REF! &lt;= 20, "Low Usage", IF(#REF! &lt;= 40, "Medium Usgae", "High Usage")))</f>
        <v>#REF!</v>
      </c>
      <c r="AD3270" t="e">
        <f>IF(#REF!&lt;=150,"Low Usage", IF(#REF!&lt;=200,"Medium Usage", IF(#REF!&lt;=250,"High Usage","Very High Usage")))</f>
        <v>#REF!</v>
      </c>
      <c r="AE3270" t="e">
        <f>IF(#REF!&lt;=5,"Low Calls", IF(#REF!&lt;=10, "Medium Calls", "High Calls"))</f>
        <v>#REF!</v>
      </c>
      <c r="AF3270" t="e">
        <f xml:space="preserve">
IF(#REF!&gt;=4,4,0)+
IF(#REF!="yes",3,0)+
IF(#REF!="High Charges",3,0)+
IF(#REF!&gt;250,4,0)+
IF(#REF!="no",1,0)+
IF(#REF!="Heavy Domestic User",2,0)</f>
        <v>#REF!</v>
      </c>
      <c r="AG3270" t="e">
        <f>IF(#REF!&gt;=10,"High Risk", IF(#REF!&gt;=5,"Medium Risk","Low Risk"))</f>
        <v>#REF!</v>
      </c>
      <c r="AH3270" t="e">
        <f>#REF! + #REF! + #REF! + #REF!</f>
        <v>#REF!</v>
      </c>
    </row>
    <row r="3271" spans="1:34" x14ac:dyDescent="0.35">
      <c r="A3271">
        <v>3270</v>
      </c>
      <c r="B3271" t="s">
        <v>56</v>
      </c>
      <c r="C3271">
        <v>135</v>
      </c>
      <c r="D3271" t="s">
        <v>25</v>
      </c>
      <c r="E3271" t="s">
        <v>22</v>
      </c>
      <c r="F3271" t="s">
        <v>22</v>
      </c>
      <c r="G3271">
        <v>0</v>
      </c>
      <c r="H3271">
        <v>167.1</v>
      </c>
      <c r="I3271">
        <v>105</v>
      </c>
      <c r="J3271">
        <v>28.41</v>
      </c>
      <c r="K3271">
        <v>131.6</v>
      </c>
      <c r="L3271">
        <v>120</v>
      </c>
      <c r="M3271">
        <v>11.19</v>
      </c>
      <c r="N3271">
        <v>242.6</v>
      </c>
      <c r="O3271">
        <v>83</v>
      </c>
      <c r="P3271">
        <v>10.92</v>
      </c>
      <c r="Q3271">
        <v>10.4</v>
      </c>
      <c r="R3271">
        <v>2</v>
      </c>
      <c r="S3271">
        <v>2.81</v>
      </c>
      <c r="T3271">
        <v>3</v>
      </c>
      <c r="U3271" t="s">
        <v>22</v>
      </c>
      <c r="V3271" t="e">
        <f>IF(#REF! = "yes", 1, 0)</f>
        <v>#REF!</v>
      </c>
      <c r="W3271" t="e">
        <f>IF(#REF! &lt;= 1, "0-1 Calls", IF(#REF! &lt;= 3, "2-3 Calls", IF(#REF! &lt;=5, "4-5 Calls", "6+ Calls")))</f>
        <v>#REF!</v>
      </c>
      <c r="X3271" t="e">
        <f>IF(#REF! &lt;= 50, "0-50", IF(#REF! &lt;=100, "51-100", IF(#REF! &lt;= 150, "101-150", "151+")))</f>
        <v>#REF!</v>
      </c>
      <c r="Y3271" t="e">
        <f>IF(#REF! &lt;= 3, "Low Charges", "High Charges")</f>
        <v>#REF!</v>
      </c>
      <c r="Z3271" t="e">
        <f>IF(#REF!&lt;=80,"Low Calls",
IF(#REF!&lt;=120,"Medium Calls","High Calls"))</f>
        <v>#REF!</v>
      </c>
      <c r="AA3271" t="e">
        <f>IF(#REF!&lt;=15,"Low Charges",
IF(#REF!&lt;=20,"Medium Charges","High Charges"))</f>
        <v>#REF!</v>
      </c>
      <c r="AB3271" t="e">
        <f>IF(AND(#REF!&gt;180, #REF!&gt;200), "Heavy Doemstic User", IF(#REF!&gt;10, "Interntional User", IF(AND(#REF!&lt;180, #REF!&lt;200,#REF!&lt;200), "Light User", "Balanced User")))</f>
        <v>#REF!</v>
      </c>
      <c r="AC3271" t="e">
        <f>IF(#REF! = 0, "No Usage", IF(#REF! &lt;= 20, "Low Usage", IF(#REF! &lt;= 40, "Medium Usgae", "High Usage")))</f>
        <v>#REF!</v>
      </c>
      <c r="AD3271" t="e">
        <f>IF(#REF!&lt;=150,"Low Usage", IF(#REF!&lt;=200,"Medium Usage", IF(#REF!&lt;=250,"High Usage","Very High Usage")))</f>
        <v>#REF!</v>
      </c>
      <c r="AE3271" t="e">
        <f>IF(#REF!&lt;=5,"Low Calls", IF(#REF!&lt;=10, "Medium Calls", "High Calls"))</f>
        <v>#REF!</v>
      </c>
      <c r="AF3271" t="e">
        <f xml:space="preserve">
IF(#REF!&gt;=4,4,0)+
IF(#REF!="yes",3,0)+
IF(#REF!="High Charges",3,0)+
IF(#REF!&gt;250,4,0)+
IF(#REF!="no",1,0)+
IF(#REF!="Heavy Domestic User",2,0)</f>
        <v>#REF!</v>
      </c>
      <c r="AG3271" t="e">
        <f>IF(#REF!&gt;=10,"High Risk", IF(#REF!&gt;=5,"Medium Risk","Low Risk"))</f>
        <v>#REF!</v>
      </c>
      <c r="AH3271" t="e">
        <f>#REF! + #REF! + #REF! + #REF!</f>
        <v>#REF!</v>
      </c>
    </row>
    <row r="3272" spans="1:34" x14ac:dyDescent="0.35">
      <c r="A3272">
        <v>3271</v>
      </c>
      <c r="B3272" t="s">
        <v>33</v>
      </c>
      <c r="C3272">
        <v>121</v>
      </c>
      <c r="D3272" t="s">
        <v>21</v>
      </c>
      <c r="E3272" t="s">
        <v>22</v>
      </c>
      <c r="F3272" t="s">
        <v>23</v>
      </c>
      <c r="G3272">
        <v>22</v>
      </c>
      <c r="H3272">
        <v>212.3</v>
      </c>
      <c r="I3272">
        <v>107</v>
      </c>
      <c r="J3272">
        <v>36.090000000000003</v>
      </c>
      <c r="K3272">
        <v>238</v>
      </c>
      <c r="L3272">
        <v>94</v>
      </c>
      <c r="M3272">
        <v>20.23</v>
      </c>
      <c r="N3272">
        <v>332.8</v>
      </c>
      <c r="O3272">
        <v>114</v>
      </c>
      <c r="P3272">
        <v>14.98</v>
      </c>
      <c r="Q3272">
        <v>10.4</v>
      </c>
      <c r="R3272">
        <v>2</v>
      </c>
      <c r="S3272">
        <v>2.81</v>
      </c>
      <c r="T3272">
        <v>1</v>
      </c>
      <c r="U3272" t="s">
        <v>22</v>
      </c>
      <c r="V3272" t="e">
        <f>IF(#REF! = "yes", 1, 0)</f>
        <v>#REF!</v>
      </c>
      <c r="W3272" t="e">
        <f>IF(#REF! &lt;= 1, "0-1 Calls", IF(#REF! &lt;= 3, "2-3 Calls", IF(#REF! &lt;=5, "4-5 Calls", "6+ Calls")))</f>
        <v>#REF!</v>
      </c>
      <c r="X3272" t="e">
        <f>IF(#REF! &lt;= 50, "0-50", IF(#REF! &lt;=100, "51-100", IF(#REF! &lt;= 150, "101-150", "151+")))</f>
        <v>#REF!</v>
      </c>
      <c r="Y3272" t="e">
        <f>IF(#REF! &lt;= 3, "Low Charges", "High Charges")</f>
        <v>#REF!</v>
      </c>
      <c r="Z3272" t="e">
        <f>IF(#REF!&lt;=80,"Low Calls",
IF(#REF!&lt;=120,"Medium Calls","High Calls"))</f>
        <v>#REF!</v>
      </c>
      <c r="AA3272" t="e">
        <f>IF(#REF!&lt;=15,"Low Charges",
IF(#REF!&lt;=20,"Medium Charges","High Charges"))</f>
        <v>#REF!</v>
      </c>
      <c r="AB3272" t="e">
        <f>IF(AND(#REF!&gt;180, #REF!&gt;200), "Heavy Doemstic User", IF(#REF!&gt;10, "Interntional User", IF(AND(#REF!&lt;180, #REF!&lt;200,#REF!&lt;200), "Light User", "Balanced User")))</f>
        <v>#REF!</v>
      </c>
      <c r="AC3272" t="e">
        <f>IF(#REF! = 0, "No Usage", IF(#REF! &lt;= 20, "Low Usage", IF(#REF! &lt;= 40, "Medium Usgae", "High Usage")))</f>
        <v>#REF!</v>
      </c>
      <c r="AD3272" t="e">
        <f>IF(#REF!&lt;=150,"Low Usage", IF(#REF!&lt;=200,"Medium Usage", IF(#REF!&lt;=250,"High Usage","Very High Usage")))</f>
        <v>#REF!</v>
      </c>
      <c r="AE3272" t="e">
        <f>IF(#REF!&lt;=5,"Low Calls", IF(#REF!&lt;=10, "Medium Calls", "High Calls"))</f>
        <v>#REF!</v>
      </c>
      <c r="AF3272" t="e">
        <f xml:space="preserve">
IF(#REF!&gt;=4,4,0)+
IF(#REF!="yes",3,0)+
IF(#REF!="High Charges",3,0)+
IF(#REF!&gt;250,4,0)+
IF(#REF!="no",1,0)+
IF(#REF!="Heavy Domestic User",2,0)</f>
        <v>#REF!</v>
      </c>
      <c r="AG3272" t="e">
        <f>IF(#REF!&gt;=10,"High Risk", IF(#REF!&gt;=5,"Medium Risk","Low Risk"))</f>
        <v>#REF!</v>
      </c>
      <c r="AH3272" t="e">
        <f>#REF! + #REF! + #REF! + #REF!</f>
        <v>#REF!</v>
      </c>
    </row>
    <row r="3273" spans="1:34" x14ac:dyDescent="0.35">
      <c r="A3273">
        <v>3272</v>
      </c>
      <c r="B3273" t="s">
        <v>75</v>
      </c>
      <c r="C3273">
        <v>57</v>
      </c>
      <c r="D3273" t="s">
        <v>21</v>
      </c>
      <c r="E3273" t="s">
        <v>23</v>
      </c>
      <c r="F3273" t="s">
        <v>22</v>
      </c>
      <c r="G3273">
        <v>0</v>
      </c>
      <c r="H3273">
        <v>227.4</v>
      </c>
      <c r="I3273">
        <v>94</v>
      </c>
      <c r="J3273">
        <v>38.659999999999997</v>
      </c>
      <c r="K3273">
        <v>146.4</v>
      </c>
      <c r="L3273">
        <v>115</v>
      </c>
      <c r="M3273">
        <v>12.44</v>
      </c>
      <c r="N3273">
        <v>211.4</v>
      </c>
      <c r="O3273">
        <v>92</v>
      </c>
      <c r="P3273">
        <v>9.51</v>
      </c>
      <c r="Q3273">
        <v>8.3000000000000007</v>
      </c>
      <c r="R3273">
        <v>5</v>
      </c>
      <c r="S3273">
        <v>2.2400000000000002</v>
      </c>
      <c r="T3273">
        <v>1</v>
      </c>
      <c r="U3273" t="s">
        <v>22</v>
      </c>
      <c r="V3273" t="e">
        <f>IF(#REF! = "yes", 1, 0)</f>
        <v>#REF!</v>
      </c>
      <c r="W3273" t="e">
        <f>IF(#REF! &lt;= 1, "0-1 Calls", IF(#REF! &lt;= 3, "2-3 Calls", IF(#REF! &lt;=5, "4-5 Calls", "6+ Calls")))</f>
        <v>#REF!</v>
      </c>
      <c r="X3273" t="e">
        <f>IF(#REF! &lt;= 50, "0-50", IF(#REF! &lt;=100, "51-100", IF(#REF! &lt;= 150, "101-150", "151+")))</f>
        <v>#REF!</v>
      </c>
      <c r="Y3273" t="e">
        <f>IF(#REF! &lt;= 3, "Low Charges", "High Charges")</f>
        <v>#REF!</v>
      </c>
      <c r="Z3273" t="e">
        <f>IF(#REF!&lt;=80,"Low Calls",
IF(#REF!&lt;=120,"Medium Calls","High Calls"))</f>
        <v>#REF!</v>
      </c>
      <c r="AA3273" t="e">
        <f>IF(#REF!&lt;=15,"Low Charges",
IF(#REF!&lt;=20,"Medium Charges","High Charges"))</f>
        <v>#REF!</v>
      </c>
      <c r="AB3273" t="e">
        <f>IF(AND(#REF!&gt;180, #REF!&gt;200), "Heavy Doemstic User", IF(#REF!&gt;10, "Interntional User", IF(AND(#REF!&lt;180, #REF!&lt;200,#REF!&lt;200), "Light User", "Balanced User")))</f>
        <v>#REF!</v>
      </c>
      <c r="AC3273" t="e">
        <f>IF(#REF! = 0, "No Usage", IF(#REF! &lt;= 20, "Low Usage", IF(#REF! &lt;= 40, "Medium Usgae", "High Usage")))</f>
        <v>#REF!</v>
      </c>
      <c r="AD3273" t="e">
        <f>IF(#REF!&lt;=150,"Low Usage", IF(#REF!&lt;=200,"Medium Usage", IF(#REF!&lt;=250,"High Usage","Very High Usage")))</f>
        <v>#REF!</v>
      </c>
      <c r="AE3273" t="e">
        <f>IF(#REF!&lt;=5,"Low Calls", IF(#REF!&lt;=10, "Medium Calls", "High Calls"))</f>
        <v>#REF!</v>
      </c>
      <c r="AF3273" t="e">
        <f xml:space="preserve">
IF(#REF!&gt;=4,4,0)+
IF(#REF!="yes",3,0)+
IF(#REF!="High Charges",3,0)+
IF(#REF!&gt;250,4,0)+
IF(#REF!="no",1,0)+
IF(#REF!="Heavy Domestic User",2,0)</f>
        <v>#REF!</v>
      </c>
      <c r="AG3273" t="e">
        <f>IF(#REF!&gt;=10,"High Risk", IF(#REF!&gt;=5,"Medium Risk","Low Risk"))</f>
        <v>#REF!</v>
      </c>
      <c r="AH3273" t="e">
        <f>#REF! + #REF! + #REF! + #REF!</f>
        <v>#REF!</v>
      </c>
    </row>
    <row r="3274" spans="1:34" x14ac:dyDescent="0.35">
      <c r="A3274">
        <v>3273</v>
      </c>
      <c r="B3274" t="s">
        <v>35</v>
      </c>
      <c r="C3274">
        <v>63</v>
      </c>
      <c r="D3274" t="s">
        <v>21</v>
      </c>
      <c r="E3274" t="s">
        <v>22</v>
      </c>
      <c r="F3274" t="s">
        <v>22</v>
      </c>
      <c r="G3274">
        <v>0</v>
      </c>
      <c r="H3274">
        <v>162.5</v>
      </c>
      <c r="I3274">
        <v>86</v>
      </c>
      <c r="J3274">
        <v>27.63</v>
      </c>
      <c r="K3274">
        <v>165.4</v>
      </c>
      <c r="L3274">
        <v>112</v>
      </c>
      <c r="M3274">
        <v>14.06</v>
      </c>
      <c r="N3274">
        <v>163.69999999999999</v>
      </c>
      <c r="O3274">
        <v>67</v>
      </c>
      <c r="P3274">
        <v>7.37</v>
      </c>
      <c r="Q3274">
        <v>13.4</v>
      </c>
      <c r="R3274">
        <v>6</v>
      </c>
      <c r="S3274">
        <v>3.62</v>
      </c>
      <c r="T3274">
        <v>4</v>
      </c>
      <c r="U3274" t="s">
        <v>23</v>
      </c>
      <c r="V3274" t="e">
        <f>IF(#REF! = "yes", 1, 0)</f>
        <v>#REF!</v>
      </c>
      <c r="W3274" t="e">
        <f>IF(#REF! &lt;= 1, "0-1 Calls", IF(#REF! &lt;= 3, "2-3 Calls", IF(#REF! &lt;=5, "4-5 Calls", "6+ Calls")))</f>
        <v>#REF!</v>
      </c>
      <c r="X3274" t="e">
        <f>IF(#REF! &lt;= 50, "0-50", IF(#REF! &lt;=100, "51-100", IF(#REF! &lt;= 150, "101-150", "151+")))</f>
        <v>#REF!</v>
      </c>
      <c r="Y3274" t="e">
        <f>IF(#REF! &lt;= 3, "Low Charges", "High Charges")</f>
        <v>#REF!</v>
      </c>
      <c r="Z3274" t="e">
        <f>IF(#REF!&lt;=80,"Low Calls",
IF(#REF!&lt;=120,"Medium Calls","High Calls"))</f>
        <v>#REF!</v>
      </c>
      <c r="AA3274" t="e">
        <f>IF(#REF!&lt;=15,"Low Charges",
IF(#REF!&lt;=20,"Medium Charges","High Charges"))</f>
        <v>#REF!</v>
      </c>
      <c r="AB3274" t="e">
        <f>IF(AND(#REF!&gt;180, #REF!&gt;200), "Heavy Doemstic User", IF(#REF!&gt;10, "Interntional User", IF(AND(#REF!&lt;180, #REF!&lt;200,#REF!&lt;200), "Light User", "Balanced User")))</f>
        <v>#REF!</v>
      </c>
      <c r="AC3274" t="e">
        <f>IF(#REF! = 0, "No Usage", IF(#REF! &lt;= 20, "Low Usage", IF(#REF! &lt;= 40, "Medium Usgae", "High Usage")))</f>
        <v>#REF!</v>
      </c>
      <c r="AD3274" t="e">
        <f>IF(#REF!&lt;=150,"Low Usage", IF(#REF!&lt;=200,"Medium Usage", IF(#REF!&lt;=250,"High Usage","Very High Usage")))</f>
        <v>#REF!</v>
      </c>
      <c r="AE3274" t="e">
        <f>IF(#REF!&lt;=5,"Low Calls", IF(#REF!&lt;=10, "Medium Calls", "High Calls"))</f>
        <v>#REF!</v>
      </c>
      <c r="AF3274" t="e">
        <f xml:space="preserve">
IF(#REF!&gt;=4,4,0)+
IF(#REF!="yes",3,0)+
IF(#REF!="High Charges",3,0)+
IF(#REF!&gt;250,4,0)+
IF(#REF!="no",1,0)+
IF(#REF!="Heavy Domestic User",2,0)</f>
        <v>#REF!</v>
      </c>
      <c r="AG3274" t="e">
        <f>IF(#REF!&gt;=10,"High Risk", IF(#REF!&gt;=5,"Medium Risk","Low Risk"))</f>
        <v>#REF!</v>
      </c>
      <c r="AH3274" t="e">
        <f>#REF! + #REF! + #REF! + #REF!</f>
        <v>#REF!</v>
      </c>
    </row>
    <row r="3275" spans="1:34" x14ac:dyDescent="0.35">
      <c r="A3275">
        <v>3274</v>
      </c>
      <c r="B3275" t="s">
        <v>24</v>
      </c>
      <c r="C3275">
        <v>97</v>
      </c>
      <c r="D3275" t="s">
        <v>21</v>
      </c>
      <c r="E3275" t="s">
        <v>22</v>
      </c>
      <c r="F3275" t="s">
        <v>22</v>
      </c>
      <c r="G3275">
        <v>0</v>
      </c>
      <c r="H3275">
        <v>259.60000000000002</v>
      </c>
      <c r="I3275">
        <v>138</v>
      </c>
      <c r="J3275">
        <v>44.13</v>
      </c>
      <c r="K3275">
        <v>233.9</v>
      </c>
      <c r="L3275">
        <v>91</v>
      </c>
      <c r="M3275">
        <v>19.88</v>
      </c>
      <c r="N3275">
        <v>140.6</v>
      </c>
      <c r="O3275">
        <v>119</v>
      </c>
      <c r="P3275">
        <v>6.33</v>
      </c>
      <c r="Q3275">
        <v>13</v>
      </c>
      <c r="R3275">
        <v>4</v>
      </c>
      <c r="S3275">
        <v>3.51</v>
      </c>
      <c r="T3275">
        <v>1</v>
      </c>
      <c r="U3275" t="s">
        <v>22</v>
      </c>
      <c r="V3275" t="e">
        <f>IF(#REF! = "yes", 1, 0)</f>
        <v>#REF!</v>
      </c>
      <c r="W3275" t="e">
        <f>IF(#REF! &lt;= 1, "0-1 Calls", IF(#REF! &lt;= 3, "2-3 Calls", IF(#REF! &lt;=5, "4-5 Calls", "6+ Calls")))</f>
        <v>#REF!</v>
      </c>
      <c r="X3275" t="e">
        <f>IF(#REF! &lt;= 50, "0-50", IF(#REF! &lt;=100, "51-100", IF(#REF! &lt;= 150, "101-150", "151+")))</f>
        <v>#REF!</v>
      </c>
      <c r="Y3275" t="e">
        <f>IF(#REF! &lt;= 3, "Low Charges", "High Charges")</f>
        <v>#REF!</v>
      </c>
      <c r="Z3275" t="e">
        <f>IF(#REF!&lt;=80,"Low Calls",
IF(#REF!&lt;=120,"Medium Calls","High Calls"))</f>
        <v>#REF!</v>
      </c>
      <c r="AA3275" t="e">
        <f>IF(#REF!&lt;=15,"Low Charges",
IF(#REF!&lt;=20,"Medium Charges","High Charges"))</f>
        <v>#REF!</v>
      </c>
      <c r="AB3275" t="e">
        <f>IF(AND(#REF!&gt;180, #REF!&gt;200), "Heavy Doemstic User", IF(#REF!&gt;10, "Interntional User", IF(AND(#REF!&lt;180, #REF!&lt;200,#REF!&lt;200), "Light User", "Balanced User")))</f>
        <v>#REF!</v>
      </c>
      <c r="AC3275" t="e">
        <f>IF(#REF! = 0, "No Usage", IF(#REF! &lt;= 20, "Low Usage", IF(#REF! &lt;= 40, "Medium Usgae", "High Usage")))</f>
        <v>#REF!</v>
      </c>
      <c r="AD3275" t="e">
        <f>IF(#REF!&lt;=150,"Low Usage", IF(#REF!&lt;=200,"Medium Usage", IF(#REF!&lt;=250,"High Usage","Very High Usage")))</f>
        <v>#REF!</v>
      </c>
      <c r="AE3275" t="e">
        <f>IF(#REF!&lt;=5,"Low Calls", IF(#REF!&lt;=10, "Medium Calls", "High Calls"))</f>
        <v>#REF!</v>
      </c>
      <c r="AF3275" t="e">
        <f xml:space="preserve">
IF(#REF!&gt;=4,4,0)+
IF(#REF!="yes",3,0)+
IF(#REF!="High Charges",3,0)+
IF(#REF!&gt;250,4,0)+
IF(#REF!="no",1,0)+
IF(#REF!="Heavy Domestic User",2,0)</f>
        <v>#REF!</v>
      </c>
      <c r="AG3275" t="e">
        <f>IF(#REF!&gt;=10,"High Risk", IF(#REF!&gt;=5,"Medium Risk","Low Risk"))</f>
        <v>#REF!</v>
      </c>
      <c r="AH3275" t="e">
        <f>#REF! + #REF! + #REF! + #REF!</f>
        <v>#REF!</v>
      </c>
    </row>
    <row r="3276" spans="1:34" x14ac:dyDescent="0.35">
      <c r="A3276">
        <v>3275</v>
      </c>
      <c r="B3276" t="s">
        <v>26</v>
      </c>
      <c r="C3276">
        <v>134</v>
      </c>
      <c r="D3276" t="s">
        <v>25</v>
      </c>
      <c r="E3276" t="s">
        <v>22</v>
      </c>
      <c r="F3276" t="s">
        <v>23</v>
      </c>
      <c r="G3276">
        <v>10</v>
      </c>
      <c r="H3276">
        <v>159.4</v>
      </c>
      <c r="I3276">
        <v>79</v>
      </c>
      <c r="J3276">
        <v>27.1</v>
      </c>
      <c r="K3276">
        <v>91</v>
      </c>
      <c r="L3276">
        <v>94</v>
      </c>
      <c r="M3276">
        <v>7.74</v>
      </c>
      <c r="N3276">
        <v>199.5</v>
      </c>
      <c r="O3276">
        <v>137</v>
      </c>
      <c r="P3276">
        <v>8.98</v>
      </c>
      <c r="Q3276">
        <v>10</v>
      </c>
      <c r="R3276">
        <v>3</v>
      </c>
      <c r="S3276">
        <v>2.7</v>
      </c>
      <c r="T3276">
        <v>2</v>
      </c>
      <c r="U3276" t="s">
        <v>22</v>
      </c>
      <c r="V3276" t="e">
        <f>IF(#REF! = "yes", 1, 0)</f>
        <v>#REF!</v>
      </c>
      <c r="W3276" t="e">
        <f>IF(#REF! &lt;= 1, "0-1 Calls", IF(#REF! &lt;= 3, "2-3 Calls", IF(#REF! &lt;=5, "4-5 Calls", "6+ Calls")))</f>
        <v>#REF!</v>
      </c>
      <c r="X3276" t="e">
        <f>IF(#REF! &lt;= 50, "0-50", IF(#REF! &lt;=100, "51-100", IF(#REF! &lt;= 150, "101-150", "151+")))</f>
        <v>#REF!</v>
      </c>
      <c r="Y3276" t="e">
        <f>IF(#REF! &lt;= 3, "Low Charges", "High Charges")</f>
        <v>#REF!</v>
      </c>
      <c r="Z3276" t="e">
        <f>IF(#REF!&lt;=80,"Low Calls",
IF(#REF!&lt;=120,"Medium Calls","High Calls"))</f>
        <v>#REF!</v>
      </c>
      <c r="AA3276" t="e">
        <f>IF(#REF!&lt;=15,"Low Charges",
IF(#REF!&lt;=20,"Medium Charges","High Charges"))</f>
        <v>#REF!</v>
      </c>
      <c r="AB3276" t="e">
        <f>IF(AND(#REF!&gt;180, #REF!&gt;200), "Heavy Doemstic User", IF(#REF!&gt;10, "Interntional User", IF(AND(#REF!&lt;180, #REF!&lt;200,#REF!&lt;200), "Light User", "Balanced User")))</f>
        <v>#REF!</v>
      </c>
      <c r="AC3276" t="e">
        <f>IF(#REF! = 0, "No Usage", IF(#REF! &lt;= 20, "Low Usage", IF(#REF! &lt;= 40, "Medium Usgae", "High Usage")))</f>
        <v>#REF!</v>
      </c>
      <c r="AD3276" t="e">
        <f>IF(#REF!&lt;=150,"Low Usage", IF(#REF!&lt;=200,"Medium Usage", IF(#REF!&lt;=250,"High Usage","Very High Usage")))</f>
        <v>#REF!</v>
      </c>
      <c r="AE3276" t="e">
        <f>IF(#REF!&lt;=5,"Low Calls", IF(#REF!&lt;=10, "Medium Calls", "High Calls"))</f>
        <v>#REF!</v>
      </c>
      <c r="AF3276" t="e">
        <f xml:space="preserve">
IF(#REF!&gt;=4,4,0)+
IF(#REF!="yes",3,0)+
IF(#REF!="High Charges",3,0)+
IF(#REF!&gt;250,4,0)+
IF(#REF!="no",1,0)+
IF(#REF!="Heavy Domestic User",2,0)</f>
        <v>#REF!</v>
      </c>
      <c r="AG3276" t="e">
        <f>IF(#REF!&gt;=10,"High Risk", IF(#REF!&gt;=5,"Medium Risk","Low Risk"))</f>
        <v>#REF!</v>
      </c>
      <c r="AH3276" t="e">
        <f>#REF! + #REF! + #REF! + #REF!</f>
        <v>#REF!</v>
      </c>
    </row>
    <row r="3277" spans="1:34" x14ac:dyDescent="0.35">
      <c r="A3277">
        <v>3276</v>
      </c>
      <c r="B3277" t="s">
        <v>66</v>
      </c>
      <c r="C3277">
        <v>57</v>
      </c>
      <c r="D3277" t="s">
        <v>28</v>
      </c>
      <c r="E3277" t="s">
        <v>22</v>
      </c>
      <c r="F3277" t="s">
        <v>23</v>
      </c>
      <c r="G3277">
        <v>37</v>
      </c>
      <c r="H3277">
        <v>69.5</v>
      </c>
      <c r="I3277">
        <v>94</v>
      </c>
      <c r="J3277">
        <v>11.82</v>
      </c>
      <c r="K3277">
        <v>220.9</v>
      </c>
      <c r="L3277">
        <v>76</v>
      </c>
      <c r="M3277">
        <v>18.78</v>
      </c>
      <c r="N3277">
        <v>218.5</v>
      </c>
      <c r="O3277">
        <v>113</v>
      </c>
      <c r="P3277">
        <v>9.83</v>
      </c>
      <c r="Q3277">
        <v>11.9</v>
      </c>
      <c r="R3277">
        <v>3</v>
      </c>
      <c r="S3277">
        <v>3.21</v>
      </c>
      <c r="T3277">
        <v>0</v>
      </c>
      <c r="U3277" t="s">
        <v>22</v>
      </c>
      <c r="V3277" t="e">
        <f>IF(#REF! = "yes", 1, 0)</f>
        <v>#REF!</v>
      </c>
      <c r="W3277" t="e">
        <f>IF(#REF! &lt;= 1, "0-1 Calls", IF(#REF! &lt;= 3, "2-3 Calls", IF(#REF! &lt;=5, "4-5 Calls", "6+ Calls")))</f>
        <v>#REF!</v>
      </c>
      <c r="X3277" t="e">
        <f>IF(#REF! &lt;= 50, "0-50", IF(#REF! &lt;=100, "51-100", IF(#REF! &lt;= 150, "101-150", "151+")))</f>
        <v>#REF!</v>
      </c>
      <c r="Y3277" t="e">
        <f>IF(#REF! &lt;= 3, "Low Charges", "High Charges")</f>
        <v>#REF!</v>
      </c>
      <c r="Z3277" t="e">
        <f>IF(#REF!&lt;=80,"Low Calls",
IF(#REF!&lt;=120,"Medium Calls","High Calls"))</f>
        <v>#REF!</v>
      </c>
      <c r="AA3277" t="e">
        <f>IF(#REF!&lt;=15,"Low Charges",
IF(#REF!&lt;=20,"Medium Charges","High Charges"))</f>
        <v>#REF!</v>
      </c>
      <c r="AB3277" t="e">
        <f>IF(AND(#REF!&gt;180, #REF!&gt;200), "Heavy Doemstic User", IF(#REF!&gt;10, "Interntional User", IF(AND(#REF!&lt;180, #REF!&lt;200,#REF!&lt;200), "Light User", "Balanced User")))</f>
        <v>#REF!</v>
      </c>
      <c r="AC3277" t="e">
        <f>IF(#REF! = 0, "No Usage", IF(#REF! &lt;= 20, "Low Usage", IF(#REF! &lt;= 40, "Medium Usgae", "High Usage")))</f>
        <v>#REF!</v>
      </c>
      <c r="AD3277" t="e">
        <f>IF(#REF!&lt;=150,"Low Usage", IF(#REF!&lt;=200,"Medium Usage", IF(#REF!&lt;=250,"High Usage","Very High Usage")))</f>
        <v>#REF!</v>
      </c>
      <c r="AE3277" t="e">
        <f>IF(#REF!&lt;=5,"Low Calls", IF(#REF!&lt;=10, "Medium Calls", "High Calls"))</f>
        <v>#REF!</v>
      </c>
      <c r="AF3277" t="e">
        <f xml:space="preserve">
IF(#REF!&gt;=4,4,0)+
IF(#REF!="yes",3,0)+
IF(#REF!="High Charges",3,0)+
IF(#REF!&gt;250,4,0)+
IF(#REF!="no",1,0)+
IF(#REF!="Heavy Domestic User",2,0)</f>
        <v>#REF!</v>
      </c>
      <c r="AG3277" t="e">
        <f>IF(#REF!&gt;=10,"High Risk", IF(#REF!&gt;=5,"Medium Risk","Low Risk"))</f>
        <v>#REF!</v>
      </c>
      <c r="AH3277" t="e">
        <f>#REF! + #REF! + #REF! + #REF!</f>
        <v>#REF!</v>
      </c>
    </row>
    <row r="3278" spans="1:34" x14ac:dyDescent="0.35">
      <c r="A3278">
        <v>3277</v>
      </c>
      <c r="B3278" t="s">
        <v>26</v>
      </c>
      <c r="C3278">
        <v>109</v>
      </c>
      <c r="D3278" t="s">
        <v>21</v>
      </c>
      <c r="E3278" t="s">
        <v>23</v>
      </c>
      <c r="F3278" t="s">
        <v>22</v>
      </c>
      <c r="G3278">
        <v>0</v>
      </c>
      <c r="H3278">
        <v>166.5</v>
      </c>
      <c r="I3278">
        <v>101</v>
      </c>
      <c r="J3278">
        <v>28.31</v>
      </c>
      <c r="K3278">
        <v>268.39999999999998</v>
      </c>
      <c r="L3278">
        <v>119</v>
      </c>
      <c r="M3278">
        <v>22.81</v>
      </c>
      <c r="N3278">
        <v>126.2</v>
      </c>
      <c r="O3278">
        <v>112</v>
      </c>
      <c r="P3278">
        <v>5.68</v>
      </c>
      <c r="Q3278">
        <v>10.199999999999999</v>
      </c>
      <c r="R3278">
        <v>3</v>
      </c>
      <c r="S3278">
        <v>2.75</v>
      </c>
      <c r="T3278">
        <v>3</v>
      </c>
      <c r="U3278" t="s">
        <v>22</v>
      </c>
      <c r="V3278" t="e">
        <f>IF(#REF! = "yes", 1, 0)</f>
        <v>#REF!</v>
      </c>
      <c r="W3278" t="e">
        <f>IF(#REF! &lt;= 1, "0-1 Calls", IF(#REF! &lt;= 3, "2-3 Calls", IF(#REF! &lt;=5, "4-5 Calls", "6+ Calls")))</f>
        <v>#REF!</v>
      </c>
      <c r="X3278" t="e">
        <f>IF(#REF! &lt;= 50, "0-50", IF(#REF! &lt;=100, "51-100", IF(#REF! &lt;= 150, "101-150", "151+")))</f>
        <v>#REF!</v>
      </c>
      <c r="Y3278" t="e">
        <f>IF(#REF! &lt;= 3, "Low Charges", "High Charges")</f>
        <v>#REF!</v>
      </c>
      <c r="Z3278" t="e">
        <f>IF(#REF!&lt;=80,"Low Calls",
IF(#REF!&lt;=120,"Medium Calls","High Calls"))</f>
        <v>#REF!</v>
      </c>
      <c r="AA3278" t="e">
        <f>IF(#REF!&lt;=15,"Low Charges",
IF(#REF!&lt;=20,"Medium Charges","High Charges"))</f>
        <v>#REF!</v>
      </c>
      <c r="AB3278" t="e">
        <f>IF(AND(#REF!&gt;180, #REF!&gt;200), "Heavy Doemstic User", IF(#REF!&gt;10, "Interntional User", IF(AND(#REF!&lt;180, #REF!&lt;200,#REF!&lt;200), "Light User", "Balanced User")))</f>
        <v>#REF!</v>
      </c>
      <c r="AC3278" t="e">
        <f>IF(#REF! = 0, "No Usage", IF(#REF! &lt;= 20, "Low Usage", IF(#REF! &lt;= 40, "Medium Usgae", "High Usage")))</f>
        <v>#REF!</v>
      </c>
      <c r="AD3278" t="e">
        <f>IF(#REF!&lt;=150,"Low Usage", IF(#REF!&lt;=200,"Medium Usage", IF(#REF!&lt;=250,"High Usage","Very High Usage")))</f>
        <v>#REF!</v>
      </c>
      <c r="AE3278" t="e">
        <f>IF(#REF!&lt;=5,"Low Calls", IF(#REF!&lt;=10, "Medium Calls", "High Calls"))</f>
        <v>#REF!</v>
      </c>
      <c r="AF3278" t="e">
        <f xml:space="preserve">
IF(#REF!&gt;=4,4,0)+
IF(#REF!="yes",3,0)+
IF(#REF!="High Charges",3,0)+
IF(#REF!&gt;250,4,0)+
IF(#REF!="no",1,0)+
IF(#REF!="Heavy Domestic User",2,0)</f>
        <v>#REF!</v>
      </c>
      <c r="AG3278" t="e">
        <f>IF(#REF!&gt;=10,"High Risk", IF(#REF!&gt;=5,"Medium Risk","Low Risk"))</f>
        <v>#REF!</v>
      </c>
      <c r="AH3278" t="e">
        <f>#REF! + #REF! + #REF! + #REF!</f>
        <v>#REF!</v>
      </c>
    </row>
    <row r="3279" spans="1:34" x14ac:dyDescent="0.35">
      <c r="A3279">
        <v>3278</v>
      </c>
      <c r="B3279" t="s">
        <v>72</v>
      </c>
      <c r="C3279">
        <v>66</v>
      </c>
      <c r="D3279" t="s">
        <v>21</v>
      </c>
      <c r="E3279" t="s">
        <v>22</v>
      </c>
      <c r="F3279" t="s">
        <v>23</v>
      </c>
      <c r="G3279">
        <v>21</v>
      </c>
      <c r="H3279">
        <v>134.4</v>
      </c>
      <c r="I3279">
        <v>110</v>
      </c>
      <c r="J3279">
        <v>22.85</v>
      </c>
      <c r="K3279">
        <v>136.19999999999999</v>
      </c>
      <c r="L3279">
        <v>104</v>
      </c>
      <c r="M3279">
        <v>11.58</v>
      </c>
      <c r="N3279">
        <v>215.6</v>
      </c>
      <c r="O3279">
        <v>105</v>
      </c>
      <c r="P3279">
        <v>9.6999999999999993</v>
      </c>
      <c r="Q3279">
        <v>9.6999999999999993</v>
      </c>
      <c r="R3279">
        <v>4</v>
      </c>
      <c r="S3279">
        <v>2.62</v>
      </c>
      <c r="T3279">
        <v>3</v>
      </c>
      <c r="U3279" t="s">
        <v>22</v>
      </c>
      <c r="V3279" t="e">
        <f>IF(#REF! = "yes", 1, 0)</f>
        <v>#REF!</v>
      </c>
      <c r="W3279" t="e">
        <f>IF(#REF! &lt;= 1, "0-1 Calls", IF(#REF! &lt;= 3, "2-3 Calls", IF(#REF! &lt;=5, "4-5 Calls", "6+ Calls")))</f>
        <v>#REF!</v>
      </c>
      <c r="X3279" t="e">
        <f>IF(#REF! &lt;= 50, "0-50", IF(#REF! &lt;=100, "51-100", IF(#REF! &lt;= 150, "101-150", "151+")))</f>
        <v>#REF!</v>
      </c>
      <c r="Y3279" t="e">
        <f>IF(#REF! &lt;= 3, "Low Charges", "High Charges")</f>
        <v>#REF!</v>
      </c>
      <c r="Z3279" t="e">
        <f>IF(#REF!&lt;=80,"Low Calls",
IF(#REF!&lt;=120,"Medium Calls","High Calls"))</f>
        <v>#REF!</v>
      </c>
      <c r="AA3279" t="e">
        <f>IF(#REF!&lt;=15,"Low Charges",
IF(#REF!&lt;=20,"Medium Charges","High Charges"))</f>
        <v>#REF!</v>
      </c>
      <c r="AB3279" t="e">
        <f>IF(AND(#REF!&gt;180, #REF!&gt;200), "Heavy Doemstic User", IF(#REF!&gt;10, "Interntional User", IF(AND(#REF!&lt;180, #REF!&lt;200,#REF!&lt;200), "Light User", "Balanced User")))</f>
        <v>#REF!</v>
      </c>
      <c r="AC3279" t="e">
        <f>IF(#REF! = 0, "No Usage", IF(#REF! &lt;= 20, "Low Usage", IF(#REF! &lt;= 40, "Medium Usgae", "High Usage")))</f>
        <v>#REF!</v>
      </c>
      <c r="AD3279" t="e">
        <f>IF(#REF!&lt;=150,"Low Usage", IF(#REF!&lt;=200,"Medium Usage", IF(#REF!&lt;=250,"High Usage","Very High Usage")))</f>
        <v>#REF!</v>
      </c>
      <c r="AE3279" t="e">
        <f>IF(#REF!&lt;=5,"Low Calls", IF(#REF!&lt;=10, "Medium Calls", "High Calls"))</f>
        <v>#REF!</v>
      </c>
      <c r="AF3279" t="e">
        <f xml:space="preserve">
IF(#REF!&gt;=4,4,0)+
IF(#REF!="yes",3,0)+
IF(#REF!="High Charges",3,0)+
IF(#REF!&gt;250,4,0)+
IF(#REF!="no",1,0)+
IF(#REF!="Heavy Domestic User",2,0)</f>
        <v>#REF!</v>
      </c>
      <c r="AG3279" t="e">
        <f>IF(#REF!&gt;=10,"High Risk", IF(#REF!&gt;=5,"Medium Risk","Low Risk"))</f>
        <v>#REF!</v>
      </c>
      <c r="AH3279" t="e">
        <f>#REF! + #REF! + #REF! + #REF!</f>
        <v>#REF!</v>
      </c>
    </row>
    <row r="3280" spans="1:34" x14ac:dyDescent="0.35">
      <c r="A3280">
        <v>3279</v>
      </c>
      <c r="B3280" t="s">
        <v>48</v>
      </c>
      <c r="C3280">
        <v>162</v>
      </c>
      <c r="D3280" t="s">
        <v>25</v>
      </c>
      <c r="E3280" t="s">
        <v>22</v>
      </c>
      <c r="F3280" t="s">
        <v>23</v>
      </c>
      <c r="G3280">
        <v>21</v>
      </c>
      <c r="H3280">
        <v>205.2</v>
      </c>
      <c r="I3280">
        <v>128</v>
      </c>
      <c r="J3280">
        <v>34.880000000000003</v>
      </c>
      <c r="K3280">
        <v>231.7</v>
      </c>
      <c r="L3280">
        <v>128</v>
      </c>
      <c r="M3280">
        <v>19.690000000000001</v>
      </c>
      <c r="N3280">
        <v>180.3</v>
      </c>
      <c r="O3280">
        <v>100</v>
      </c>
      <c r="P3280">
        <v>8.11</v>
      </c>
      <c r="Q3280">
        <v>10.6</v>
      </c>
      <c r="R3280">
        <v>3</v>
      </c>
      <c r="S3280">
        <v>2.86</v>
      </c>
      <c r="T3280">
        <v>2</v>
      </c>
      <c r="U3280" t="s">
        <v>22</v>
      </c>
      <c r="V3280" t="e">
        <f>IF(#REF! = "yes", 1, 0)</f>
        <v>#REF!</v>
      </c>
      <c r="W3280" t="e">
        <f>IF(#REF! &lt;= 1, "0-1 Calls", IF(#REF! &lt;= 3, "2-3 Calls", IF(#REF! &lt;=5, "4-5 Calls", "6+ Calls")))</f>
        <v>#REF!</v>
      </c>
      <c r="X3280" t="e">
        <f>IF(#REF! &lt;= 50, "0-50", IF(#REF! &lt;=100, "51-100", IF(#REF! &lt;= 150, "101-150", "151+")))</f>
        <v>#REF!</v>
      </c>
      <c r="Y3280" t="e">
        <f>IF(#REF! &lt;= 3, "Low Charges", "High Charges")</f>
        <v>#REF!</v>
      </c>
      <c r="Z3280" t="e">
        <f>IF(#REF!&lt;=80,"Low Calls",
IF(#REF!&lt;=120,"Medium Calls","High Calls"))</f>
        <v>#REF!</v>
      </c>
      <c r="AA3280" t="e">
        <f>IF(#REF!&lt;=15,"Low Charges",
IF(#REF!&lt;=20,"Medium Charges","High Charges"))</f>
        <v>#REF!</v>
      </c>
      <c r="AB3280" t="e">
        <f>IF(AND(#REF!&gt;180, #REF!&gt;200), "Heavy Doemstic User", IF(#REF!&gt;10, "Interntional User", IF(AND(#REF!&lt;180, #REF!&lt;200,#REF!&lt;200), "Light User", "Balanced User")))</f>
        <v>#REF!</v>
      </c>
      <c r="AC3280" t="e">
        <f>IF(#REF! = 0, "No Usage", IF(#REF! &lt;= 20, "Low Usage", IF(#REF! &lt;= 40, "Medium Usgae", "High Usage")))</f>
        <v>#REF!</v>
      </c>
      <c r="AD3280" t="e">
        <f>IF(#REF!&lt;=150,"Low Usage", IF(#REF!&lt;=200,"Medium Usage", IF(#REF!&lt;=250,"High Usage","Very High Usage")))</f>
        <v>#REF!</v>
      </c>
      <c r="AE3280" t="e">
        <f>IF(#REF!&lt;=5,"Low Calls", IF(#REF!&lt;=10, "Medium Calls", "High Calls"))</f>
        <v>#REF!</v>
      </c>
      <c r="AF3280" t="e">
        <f xml:space="preserve">
IF(#REF!&gt;=4,4,0)+
IF(#REF!="yes",3,0)+
IF(#REF!="High Charges",3,0)+
IF(#REF!&gt;250,4,0)+
IF(#REF!="no",1,0)+
IF(#REF!="Heavy Domestic User",2,0)</f>
        <v>#REF!</v>
      </c>
      <c r="AG3280" t="e">
        <f>IF(#REF!&gt;=10,"High Risk", IF(#REF!&gt;=5,"Medium Risk","Low Risk"))</f>
        <v>#REF!</v>
      </c>
      <c r="AH3280" t="e">
        <f>#REF! + #REF! + #REF! + #REF!</f>
        <v>#REF!</v>
      </c>
    </row>
    <row r="3281" spans="1:34" x14ac:dyDescent="0.35">
      <c r="A3281">
        <v>3280</v>
      </c>
      <c r="B3281" t="s">
        <v>58</v>
      </c>
      <c r="C3281">
        <v>115</v>
      </c>
      <c r="D3281" t="s">
        <v>21</v>
      </c>
      <c r="E3281" t="s">
        <v>22</v>
      </c>
      <c r="F3281" t="s">
        <v>23</v>
      </c>
      <c r="G3281">
        <v>26</v>
      </c>
      <c r="H3281">
        <v>132.30000000000001</v>
      </c>
      <c r="I3281">
        <v>142</v>
      </c>
      <c r="J3281">
        <v>22.49</v>
      </c>
      <c r="K3281">
        <v>273.39999999999998</v>
      </c>
      <c r="L3281">
        <v>89</v>
      </c>
      <c r="M3281">
        <v>23.24</v>
      </c>
      <c r="N3281">
        <v>195.7</v>
      </c>
      <c r="O3281">
        <v>77</v>
      </c>
      <c r="P3281">
        <v>8.81</v>
      </c>
      <c r="Q3281">
        <v>14.8</v>
      </c>
      <c r="R3281">
        <v>7</v>
      </c>
      <c r="S3281">
        <v>4</v>
      </c>
      <c r="T3281">
        <v>0</v>
      </c>
      <c r="U3281" t="s">
        <v>22</v>
      </c>
      <c r="V3281" t="e">
        <f>IF(#REF! = "yes", 1, 0)</f>
        <v>#REF!</v>
      </c>
      <c r="W3281" t="e">
        <f>IF(#REF! &lt;= 1, "0-1 Calls", IF(#REF! &lt;= 3, "2-3 Calls", IF(#REF! &lt;=5, "4-5 Calls", "6+ Calls")))</f>
        <v>#REF!</v>
      </c>
      <c r="X3281" t="e">
        <f>IF(#REF! &lt;= 50, "0-50", IF(#REF! &lt;=100, "51-100", IF(#REF! &lt;= 150, "101-150", "151+")))</f>
        <v>#REF!</v>
      </c>
      <c r="Y3281" t="e">
        <f>IF(#REF! &lt;= 3, "Low Charges", "High Charges")</f>
        <v>#REF!</v>
      </c>
      <c r="Z3281" t="e">
        <f>IF(#REF!&lt;=80,"Low Calls",
IF(#REF!&lt;=120,"Medium Calls","High Calls"))</f>
        <v>#REF!</v>
      </c>
      <c r="AA3281" t="e">
        <f>IF(#REF!&lt;=15,"Low Charges",
IF(#REF!&lt;=20,"Medium Charges","High Charges"))</f>
        <v>#REF!</v>
      </c>
      <c r="AB3281" t="e">
        <f>IF(AND(#REF!&gt;180, #REF!&gt;200), "Heavy Doemstic User", IF(#REF!&gt;10, "Interntional User", IF(AND(#REF!&lt;180, #REF!&lt;200,#REF!&lt;200), "Light User", "Balanced User")))</f>
        <v>#REF!</v>
      </c>
      <c r="AC3281" t="e">
        <f>IF(#REF! = 0, "No Usage", IF(#REF! &lt;= 20, "Low Usage", IF(#REF! &lt;= 40, "Medium Usgae", "High Usage")))</f>
        <v>#REF!</v>
      </c>
      <c r="AD3281" t="e">
        <f>IF(#REF!&lt;=150,"Low Usage", IF(#REF!&lt;=200,"Medium Usage", IF(#REF!&lt;=250,"High Usage","Very High Usage")))</f>
        <v>#REF!</v>
      </c>
      <c r="AE3281" t="e">
        <f>IF(#REF!&lt;=5,"Low Calls", IF(#REF!&lt;=10, "Medium Calls", "High Calls"))</f>
        <v>#REF!</v>
      </c>
      <c r="AF3281" t="e">
        <f xml:space="preserve">
IF(#REF!&gt;=4,4,0)+
IF(#REF!="yes",3,0)+
IF(#REF!="High Charges",3,0)+
IF(#REF!&gt;250,4,0)+
IF(#REF!="no",1,0)+
IF(#REF!="Heavy Domestic User",2,0)</f>
        <v>#REF!</v>
      </c>
      <c r="AG3281" t="e">
        <f>IF(#REF!&gt;=10,"High Risk", IF(#REF!&gt;=5,"Medium Risk","Low Risk"))</f>
        <v>#REF!</v>
      </c>
      <c r="AH3281" t="e">
        <f>#REF! + #REF! + #REF! + #REF!</f>
        <v>#REF!</v>
      </c>
    </row>
    <row r="3282" spans="1:34" x14ac:dyDescent="0.35">
      <c r="A3282">
        <v>3281</v>
      </c>
      <c r="B3282" t="s">
        <v>45</v>
      </c>
      <c r="C3282">
        <v>132</v>
      </c>
      <c r="D3282" t="s">
        <v>21</v>
      </c>
      <c r="E3282" t="s">
        <v>22</v>
      </c>
      <c r="F3282" t="s">
        <v>22</v>
      </c>
      <c r="G3282">
        <v>0</v>
      </c>
      <c r="H3282">
        <v>140.30000000000001</v>
      </c>
      <c r="I3282">
        <v>144</v>
      </c>
      <c r="J3282">
        <v>23.85</v>
      </c>
      <c r="K3282">
        <v>294.8</v>
      </c>
      <c r="L3282">
        <v>89</v>
      </c>
      <c r="M3282">
        <v>25.06</v>
      </c>
      <c r="N3282">
        <v>153.5</v>
      </c>
      <c r="O3282">
        <v>126</v>
      </c>
      <c r="P3282">
        <v>6.91</v>
      </c>
      <c r="Q3282">
        <v>11.7</v>
      </c>
      <c r="R3282">
        <v>4</v>
      </c>
      <c r="S3282">
        <v>3.16</v>
      </c>
      <c r="T3282">
        <v>2</v>
      </c>
      <c r="U3282" t="s">
        <v>22</v>
      </c>
      <c r="V3282" t="e">
        <f>IF(#REF! = "yes", 1, 0)</f>
        <v>#REF!</v>
      </c>
      <c r="W3282" t="e">
        <f>IF(#REF! &lt;= 1, "0-1 Calls", IF(#REF! &lt;= 3, "2-3 Calls", IF(#REF! &lt;=5, "4-5 Calls", "6+ Calls")))</f>
        <v>#REF!</v>
      </c>
      <c r="X3282" t="e">
        <f>IF(#REF! &lt;= 50, "0-50", IF(#REF! &lt;=100, "51-100", IF(#REF! &lt;= 150, "101-150", "151+")))</f>
        <v>#REF!</v>
      </c>
      <c r="Y3282" t="e">
        <f>IF(#REF! &lt;= 3, "Low Charges", "High Charges")</f>
        <v>#REF!</v>
      </c>
      <c r="Z3282" t="e">
        <f>IF(#REF!&lt;=80,"Low Calls",
IF(#REF!&lt;=120,"Medium Calls","High Calls"))</f>
        <v>#REF!</v>
      </c>
      <c r="AA3282" t="e">
        <f>IF(#REF!&lt;=15,"Low Charges",
IF(#REF!&lt;=20,"Medium Charges","High Charges"))</f>
        <v>#REF!</v>
      </c>
      <c r="AB3282" t="e">
        <f>IF(AND(#REF!&gt;180, #REF!&gt;200), "Heavy Doemstic User", IF(#REF!&gt;10, "Interntional User", IF(AND(#REF!&lt;180, #REF!&lt;200,#REF!&lt;200), "Light User", "Balanced User")))</f>
        <v>#REF!</v>
      </c>
      <c r="AC3282" t="e">
        <f>IF(#REF! = 0, "No Usage", IF(#REF! &lt;= 20, "Low Usage", IF(#REF! &lt;= 40, "Medium Usgae", "High Usage")))</f>
        <v>#REF!</v>
      </c>
      <c r="AD3282" t="e">
        <f>IF(#REF!&lt;=150,"Low Usage", IF(#REF!&lt;=200,"Medium Usage", IF(#REF!&lt;=250,"High Usage","Very High Usage")))</f>
        <v>#REF!</v>
      </c>
      <c r="AE3282" t="e">
        <f>IF(#REF!&lt;=5,"Low Calls", IF(#REF!&lt;=10, "Medium Calls", "High Calls"))</f>
        <v>#REF!</v>
      </c>
      <c r="AF3282" t="e">
        <f xml:space="preserve">
IF(#REF!&gt;=4,4,0)+
IF(#REF!="yes",3,0)+
IF(#REF!="High Charges",3,0)+
IF(#REF!&gt;250,4,0)+
IF(#REF!="no",1,0)+
IF(#REF!="Heavy Domestic User",2,0)</f>
        <v>#REF!</v>
      </c>
      <c r="AG3282" t="e">
        <f>IF(#REF!&gt;=10,"High Risk", IF(#REF!&gt;=5,"Medium Risk","Low Risk"))</f>
        <v>#REF!</v>
      </c>
      <c r="AH3282" t="e">
        <f>#REF! + #REF! + #REF! + #REF!</f>
        <v>#REF!</v>
      </c>
    </row>
    <row r="3283" spans="1:34" x14ac:dyDescent="0.35">
      <c r="A3283">
        <v>3282</v>
      </c>
      <c r="B3283" t="s">
        <v>26</v>
      </c>
      <c r="C3283">
        <v>152</v>
      </c>
      <c r="D3283" t="s">
        <v>21</v>
      </c>
      <c r="E3283" t="s">
        <v>22</v>
      </c>
      <c r="F3283" t="s">
        <v>22</v>
      </c>
      <c r="G3283">
        <v>0</v>
      </c>
      <c r="H3283">
        <v>284.60000000000002</v>
      </c>
      <c r="I3283">
        <v>113</v>
      </c>
      <c r="J3283">
        <v>48.38</v>
      </c>
      <c r="K3283">
        <v>141.80000000000001</v>
      </c>
      <c r="L3283">
        <v>101</v>
      </c>
      <c r="M3283">
        <v>12.05</v>
      </c>
      <c r="N3283">
        <v>127.4</v>
      </c>
      <c r="O3283">
        <v>78</v>
      </c>
      <c r="P3283">
        <v>5.73</v>
      </c>
      <c r="Q3283">
        <v>12.6</v>
      </c>
      <c r="R3283">
        <v>5</v>
      </c>
      <c r="S3283">
        <v>3.4</v>
      </c>
      <c r="T3283">
        <v>0</v>
      </c>
      <c r="U3283" t="s">
        <v>22</v>
      </c>
      <c r="V3283" t="e">
        <f>IF(#REF! = "yes", 1, 0)</f>
        <v>#REF!</v>
      </c>
      <c r="W3283" t="e">
        <f>IF(#REF! &lt;= 1, "0-1 Calls", IF(#REF! &lt;= 3, "2-3 Calls", IF(#REF! &lt;=5, "4-5 Calls", "6+ Calls")))</f>
        <v>#REF!</v>
      </c>
      <c r="X3283" t="e">
        <f>IF(#REF! &lt;= 50, "0-50", IF(#REF! &lt;=100, "51-100", IF(#REF! &lt;= 150, "101-150", "151+")))</f>
        <v>#REF!</v>
      </c>
      <c r="Y3283" t="e">
        <f>IF(#REF! &lt;= 3, "Low Charges", "High Charges")</f>
        <v>#REF!</v>
      </c>
      <c r="Z3283" t="e">
        <f>IF(#REF!&lt;=80,"Low Calls",
IF(#REF!&lt;=120,"Medium Calls","High Calls"))</f>
        <v>#REF!</v>
      </c>
      <c r="AA3283" t="e">
        <f>IF(#REF!&lt;=15,"Low Charges",
IF(#REF!&lt;=20,"Medium Charges","High Charges"))</f>
        <v>#REF!</v>
      </c>
      <c r="AB3283" t="e">
        <f>IF(AND(#REF!&gt;180, #REF!&gt;200), "Heavy Doemstic User", IF(#REF!&gt;10, "Interntional User", IF(AND(#REF!&lt;180, #REF!&lt;200,#REF!&lt;200), "Light User", "Balanced User")))</f>
        <v>#REF!</v>
      </c>
      <c r="AC3283" t="e">
        <f>IF(#REF! = 0, "No Usage", IF(#REF! &lt;= 20, "Low Usage", IF(#REF! &lt;= 40, "Medium Usgae", "High Usage")))</f>
        <v>#REF!</v>
      </c>
      <c r="AD3283" t="e">
        <f>IF(#REF!&lt;=150,"Low Usage", IF(#REF!&lt;=200,"Medium Usage", IF(#REF!&lt;=250,"High Usage","Very High Usage")))</f>
        <v>#REF!</v>
      </c>
      <c r="AE3283" t="e">
        <f>IF(#REF!&lt;=5,"Low Calls", IF(#REF!&lt;=10, "Medium Calls", "High Calls"))</f>
        <v>#REF!</v>
      </c>
      <c r="AF3283" t="e">
        <f xml:space="preserve">
IF(#REF!&gt;=4,4,0)+
IF(#REF!="yes",3,0)+
IF(#REF!="High Charges",3,0)+
IF(#REF!&gt;250,4,0)+
IF(#REF!="no",1,0)+
IF(#REF!="Heavy Domestic User",2,0)</f>
        <v>#REF!</v>
      </c>
      <c r="AG3283" t="e">
        <f>IF(#REF!&gt;=10,"High Risk", IF(#REF!&gt;=5,"Medium Risk","Low Risk"))</f>
        <v>#REF!</v>
      </c>
      <c r="AH3283" t="e">
        <f>#REF! + #REF! + #REF! + #REF!</f>
        <v>#REF!</v>
      </c>
    </row>
    <row r="3284" spans="1:34" x14ac:dyDescent="0.35">
      <c r="A3284">
        <v>3283</v>
      </c>
      <c r="B3284" t="s">
        <v>63</v>
      </c>
      <c r="C3284">
        <v>86</v>
      </c>
      <c r="D3284" t="s">
        <v>21</v>
      </c>
      <c r="E3284" t="s">
        <v>22</v>
      </c>
      <c r="F3284" t="s">
        <v>23</v>
      </c>
      <c r="G3284">
        <v>29</v>
      </c>
      <c r="H3284">
        <v>189.3</v>
      </c>
      <c r="I3284">
        <v>107</v>
      </c>
      <c r="J3284">
        <v>32.18</v>
      </c>
      <c r="K3284">
        <v>221.3</v>
      </c>
      <c r="L3284">
        <v>101</v>
      </c>
      <c r="M3284">
        <v>18.809999999999999</v>
      </c>
      <c r="N3284">
        <v>325.60000000000002</v>
      </c>
      <c r="O3284">
        <v>137</v>
      </c>
      <c r="P3284">
        <v>14.65</v>
      </c>
      <c r="Q3284">
        <v>13.8</v>
      </c>
      <c r="R3284">
        <v>3</v>
      </c>
      <c r="S3284">
        <v>3.73</v>
      </c>
      <c r="T3284">
        <v>1</v>
      </c>
      <c r="U3284" t="s">
        <v>22</v>
      </c>
      <c r="V3284" t="e">
        <f>IF(#REF! = "yes", 1, 0)</f>
        <v>#REF!</v>
      </c>
      <c r="W3284" t="e">
        <f>IF(#REF! &lt;= 1, "0-1 Calls", IF(#REF! &lt;= 3, "2-3 Calls", IF(#REF! &lt;=5, "4-5 Calls", "6+ Calls")))</f>
        <v>#REF!</v>
      </c>
      <c r="X3284" t="e">
        <f>IF(#REF! &lt;= 50, "0-50", IF(#REF! &lt;=100, "51-100", IF(#REF! &lt;= 150, "101-150", "151+")))</f>
        <v>#REF!</v>
      </c>
      <c r="Y3284" t="e">
        <f>IF(#REF! &lt;= 3, "Low Charges", "High Charges")</f>
        <v>#REF!</v>
      </c>
      <c r="Z3284" t="e">
        <f>IF(#REF!&lt;=80,"Low Calls",
IF(#REF!&lt;=120,"Medium Calls","High Calls"))</f>
        <v>#REF!</v>
      </c>
      <c r="AA3284" t="e">
        <f>IF(#REF!&lt;=15,"Low Charges",
IF(#REF!&lt;=20,"Medium Charges","High Charges"))</f>
        <v>#REF!</v>
      </c>
      <c r="AB3284" t="e">
        <f>IF(AND(#REF!&gt;180, #REF!&gt;200), "Heavy Doemstic User", IF(#REF!&gt;10, "Interntional User", IF(AND(#REF!&lt;180, #REF!&lt;200,#REF!&lt;200), "Light User", "Balanced User")))</f>
        <v>#REF!</v>
      </c>
      <c r="AC3284" t="e">
        <f>IF(#REF! = 0, "No Usage", IF(#REF! &lt;= 20, "Low Usage", IF(#REF! &lt;= 40, "Medium Usgae", "High Usage")))</f>
        <v>#REF!</v>
      </c>
      <c r="AD3284" t="e">
        <f>IF(#REF!&lt;=150,"Low Usage", IF(#REF!&lt;=200,"Medium Usage", IF(#REF!&lt;=250,"High Usage","Very High Usage")))</f>
        <v>#REF!</v>
      </c>
      <c r="AE3284" t="e">
        <f>IF(#REF!&lt;=5,"Low Calls", IF(#REF!&lt;=10, "Medium Calls", "High Calls"))</f>
        <v>#REF!</v>
      </c>
      <c r="AF3284" t="e">
        <f xml:space="preserve">
IF(#REF!&gt;=4,4,0)+
IF(#REF!="yes",3,0)+
IF(#REF!="High Charges",3,0)+
IF(#REF!&gt;250,4,0)+
IF(#REF!="no",1,0)+
IF(#REF!="Heavy Domestic User",2,0)</f>
        <v>#REF!</v>
      </c>
      <c r="AG3284" t="e">
        <f>IF(#REF!&gt;=10,"High Risk", IF(#REF!&gt;=5,"Medium Risk","Low Risk"))</f>
        <v>#REF!</v>
      </c>
      <c r="AH3284" t="e">
        <f>#REF! + #REF! + #REF! + #REF!</f>
        <v>#REF!</v>
      </c>
    </row>
    <row r="3285" spans="1:34" x14ac:dyDescent="0.35">
      <c r="A3285">
        <v>3284</v>
      </c>
      <c r="B3285" t="s">
        <v>43</v>
      </c>
      <c r="C3285">
        <v>36</v>
      </c>
      <c r="D3285" t="s">
        <v>21</v>
      </c>
      <c r="E3285" t="s">
        <v>22</v>
      </c>
      <c r="F3285" t="s">
        <v>22</v>
      </c>
      <c r="G3285">
        <v>0</v>
      </c>
      <c r="H3285">
        <v>184.6</v>
      </c>
      <c r="I3285">
        <v>132</v>
      </c>
      <c r="J3285">
        <v>31.38</v>
      </c>
      <c r="K3285">
        <v>193.7</v>
      </c>
      <c r="L3285">
        <v>69</v>
      </c>
      <c r="M3285">
        <v>16.46</v>
      </c>
      <c r="N3285">
        <v>283.5</v>
      </c>
      <c r="O3285">
        <v>83</v>
      </c>
      <c r="P3285">
        <v>12.76</v>
      </c>
      <c r="Q3285">
        <v>5.9</v>
      </c>
      <c r="R3285">
        <v>3</v>
      </c>
      <c r="S3285">
        <v>1.59</v>
      </c>
      <c r="T3285">
        <v>1</v>
      </c>
      <c r="U3285" t="s">
        <v>22</v>
      </c>
      <c r="V3285" t="e">
        <f>IF(#REF! = "yes", 1, 0)</f>
        <v>#REF!</v>
      </c>
      <c r="W3285" t="e">
        <f>IF(#REF! &lt;= 1, "0-1 Calls", IF(#REF! &lt;= 3, "2-3 Calls", IF(#REF! &lt;=5, "4-5 Calls", "6+ Calls")))</f>
        <v>#REF!</v>
      </c>
      <c r="X3285" t="e">
        <f>IF(#REF! &lt;= 50, "0-50", IF(#REF! &lt;=100, "51-100", IF(#REF! &lt;= 150, "101-150", "151+")))</f>
        <v>#REF!</v>
      </c>
      <c r="Y3285" t="e">
        <f>IF(#REF! &lt;= 3, "Low Charges", "High Charges")</f>
        <v>#REF!</v>
      </c>
      <c r="Z3285" t="e">
        <f>IF(#REF!&lt;=80,"Low Calls",
IF(#REF!&lt;=120,"Medium Calls","High Calls"))</f>
        <v>#REF!</v>
      </c>
      <c r="AA3285" t="e">
        <f>IF(#REF!&lt;=15,"Low Charges",
IF(#REF!&lt;=20,"Medium Charges","High Charges"))</f>
        <v>#REF!</v>
      </c>
      <c r="AB3285" t="e">
        <f>IF(AND(#REF!&gt;180, #REF!&gt;200), "Heavy Doemstic User", IF(#REF!&gt;10, "Interntional User", IF(AND(#REF!&lt;180, #REF!&lt;200,#REF!&lt;200), "Light User", "Balanced User")))</f>
        <v>#REF!</v>
      </c>
      <c r="AC3285" t="e">
        <f>IF(#REF! = 0, "No Usage", IF(#REF! &lt;= 20, "Low Usage", IF(#REF! &lt;= 40, "Medium Usgae", "High Usage")))</f>
        <v>#REF!</v>
      </c>
      <c r="AD3285" t="e">
        <f>IF(#REF!&lt;=150,"Low Usage", IF(#REF!&lt;=200,"Medium Usage", IF(#REF!&lt;=250,"High Usage","Very High Usage")))</f>
        <v>#REF!</v>
      </c>
      <c r="AE3285" t="e">
        <f>IF(#REF!&lt;=5,"Low Calls", IF(#REF!&lt;=10, "Medium Calls", "High Calls"))</f>
        <v>#REF!</v>
      </c>
      <c r="AF3285" t="e">
        <f xml:space="preserve">
IF(#REF!&gt;=4,4,0)+
IF(#REF!="yes",3,0)+
IF(#REF!="High Charges",3,0)+
IF(#REF!&gt;250,4,0)+
IF(#REF!="no",1,0)+
IF(#REF!="Heavy Domestic User",2,0)</f>
        <v>#REF!</v>
      </c>
      <c r="AG3285" t="e">
        <f>IF(#REF!&gt;=10,"High Risk", IF(#REF!&gt;=5,"Medium Risk","Low Risk"))</f>
        <v>#REF!</v>
      </c>
      <c r="AH3285" t="e">
        <f>#REF! + #REF! + #REF! + #REF!</f>
        <v>#REF!</v>
      </c>
    </row>
    <row r="3286" spans="1:34" x14ac:dyDescent="0.35">
      <c r="A3286">
        <v>3285</v>
      </c>
      <c r="B3286" t="s">
        <v>60</v>
      </c>
      <c r="C3286">
        <v>118</v>
      </c>
      <c r="D3286" t="s">
        <v>21</v>
      </c>
      <c r="E3286" t="s">
        <v>22</v>
      </c>
      <c r="F3286" t="s">
        <v>22</v>
      </c>
      <c r="G3286">
        <v>0</v>
      </c>
      <c r="H3286">
        <v>161.6</v>
      </c>
      <c r="I3286">
        <v>96</v>
      </c>
      <c r="J3286">
        <v>27.47</v>
      </c>
      <c r="K3286">
        <v>223.9</v>
      </c>
      <c r="L3286">
        <v>113</v>
      </c>
      <c r="M3286">
        <v>19.03</v>
      </c>
      <c r="N3286">
        <v>240.6</v>
      </c>
      <c r="O3286">
        <v>137</v>
      </c>
      <c r="P3286">
        <v>10.83</v>
      </c>
      <c r="Q3286">
        <v>6.8</v>
      </c>
      <c r="R3286">
        <v>2</v>
      </c>
      <c r="S3286">
        <v>1.84</v>
      </c>
      <c r="T3286">
        <v>0</v>
      </c>
      <c r="U3286" t="s">
        <v>22</v>
      </c>
      <c r="V3286" t="e">
        <f>IF(#REF! = "yes", 1, 0)</f>
        <v>#REF!</v>
      </c>
      <c r="W3286" t="e">
        <f>IF(#REF! &lt;= 1, "0-1 Calls", IF(#REF! &lt;= 3, "2-3 Calls", IF(#REF! &lt;=5, "4-5 Calls", "6+ Calls")))</f>
        <v>#REF!</v>
      </c>
      <c r="X3286" t="e">
        <f>IF(#REF! &lt;= 50, "0-50", IF(#REF! &lt;=100, "51-100", IF(#REF! &lt;= 150, "101-150", "151+")))</f>
        <v>#REF!</v>
      </c>
      <c r="Y3286" t="e">
        <f>IF(#REF! &lt;= 3, "Low Charges", "High Charges")</f>
        <v>#REF!</v>
      </c>
      <c r="Z3286" t="e">
        <f>IF(#REF!&lt;=80,"Low Calls",
IF(#REF!&lt;=120,"Medium Calls","High Calls"))</f>
        <v>#REF!</v>
      </c>
      <c r="AA3286" t="e">
        <f>IF(#REF!&lt;=15,"Low Charges",
IF(#REF!&lt;=20,"Medium Charges","High Charges"))</f>
        <v>#REF!</v>
      </c>
      <c r="AB3286" t="e">
        <f>IF(AND(#REF!&gt;180, #REF!&gt;200), "Heavy Doemstic User", IF(#REF!&gt;10, "Interntional User", IF(AND(#REF!&lt;180, #REF!&lt;200,#REF!&lt;200), "Light User", "Balanced User")))</f>
        <v>#REF!</v>
      </c>
      <c r="AC3286" t="e">
        <f>IF(#REF! = 0, "No Usage", IF(#REF! &lt;= 20, "Low Usage", IF(#REF! &lt;= 40, "Medium Usgae", "High Usage")))</f>
        <v>#REF!</v>
      </c>
      <c r="AD3286" t="e">
        <f>IF(#REF!&lt;=150,"Low Usage", IF(#REF!&lt;=200,"Medium Usage", IF(#REF!&lt;=250,"High Usage","Very High Usage")))</f>
        <v>#REF!</v>
      </c>
      <c r="AE3286" t="e">
        <f>IF(#REF!&lt;=5,"Low Calls", IF(#REF!&lt;=10, "Medium Calls", "High Calls"))</f>
        <v>#REF!</v>
      </c>
      <c r="AF3286" t="e">
        <f xml:space="preserve">
IF(#REF!&gt;=4,4,0)+
IF(#REF!="yes",3,0)+
IF(#REF!="High Charges",3,0)+
IF(#REF!&gt;250,4,0)+
IF(#REF!="no",1,0)+
IF(#REF!="Heavy Domestic User",2,0)</f>
        <v>#REF!</v>
      </c>
      <c r="AG3286" t="e">
        <f>IF(#REF!&gt;=10,"High Risk", IF(#REF!&gt;=5,"Medium Risk","Low Risk"))</f>
        <v>#REF!</v>
      </c>
      <c r="AH3286" t="e">
        <f>#REF! + #REF! + #REF! + #REF!</f>
        <v>#REF!</v>
      </c>
    </row>
    <row r="3287" spans="1:34" x14ac:dyDescent="0.35">
      <c r="A3287">
        <v>3286</v>
      </c>
      <c r="B3287" t="s">
        <v>45</v>
      </c>
      <c r="C3287">
        <v>137</v>
      </c>
      <c r="D3287" t="s">
        <v>28</v>
      </c>
      <c r="E3287" t="s">
        <v>22</v>
      </c>
      <c r="F3287" t="s">
        <v>23</v>
      </c>
      <c r="G3287">
        <v>20</v>
      </c>
      <c r="H3287">
        <v>268.5</v>
      </c>
      <c r="I3287">
        <v>91</v>
      </c>
      <c r="J3287">
        <v>45.65</v>
      </c>
      <c r="K3287">
        <v>128.80000000000001</v>
      </c>
      <c r="L3287">
        <v>121</v>
      </c>
      <c r="M3287">
        <v>10.95</v>
      </c>
      <c r="N3287">
        <v>146.4</v>
      </c>
      <c r="O3287">
        <v>98</v>
      </c>
      <c r="P3287">
        <v>6.59</v>
      </c>
      <c r="Q3287">
        <v>12.7</v>
      </c>
      <c r="R3287">
        <v>6</v>
      </c>
      <c r="S3287">
        <v>3.43</v>
      </c>
      <c r="T3287">
        <v>1</v>
      </c>
      <c r="U3287" t="s">
        <v>22</v>
      </c>
      <c r="V3287" t="e">
        <f>IF(#REF! = "yes", 1, 0)</f>
        <v>#REF!</v>
      </c>
      <c r="W3287" t="e">
        <f>IF(#REF! &lt;= 1, "0-1 Calls", IF(#REF! &lt;= 3, "2-3 Calls", IF(#REF! &lt;=5, "4-5 Calls", "6+ Calls")))</f>
        <v>#REF!</v>
      </c>
      <c r="X3287" t="e">
        <f>IF(#REF! &lt;= 50, "0-50", IF(#REF! &lt;=100, "51-100", IF(#REF! &lt;= 150, "101-150", "151+")))</f>
        <v>#REF!</v>
      </c>
      <c r="Y3287" t="e">
        <f>IF(#REF! &lt;= 3, "Low Charges", "High Charges")</f>
        <v>#REF!</v>
      </c>
      <c r="Z3287" t="e">
        <f>IF(#REF!&lt;=80,"Low Calls",
IF(#REF!&lt;=120,"Medium Calls","High Calls"))</f>
        <v>#REF!</v>
      </c>
      <c r="AA3287" t="e">
        <f>IF(#REF!&lt;=15,"Low Charges",
IF(#REF!&lt;=20,"Medium Charges","High Charges"))</f>
        <v>#REF!</v>
      </c>
      <c r="AB3287" t="e">
        <f>IF(AND(#REF!&gt;180, #REF!&gt;200), "Heavy Doemstic User", IF(#REF!&gt;10, "Interntional User", IF(AND(#REF!&lt;180, #REF!&lt;200,#REF!&lt;200), "Light User", "Balanced User")))</f>
        <v>#REF!</v>
      </c>
      <c r="AC3287" t="e">
        <f>IF(#REF! = 0, "No Usage", IF(#REF! &lt;= 20, "Low Usage", IF(#REF! &lt;= 40, "Medium Usgae", "High Usage")))</f>
        <v>#REF!</v>
      </c>
      <c r="AD3287" t="e">
        <f>IF(#REF!&lt;=150,"Low Usage", IF(#REF!&lt;=200,"Medium Usage", IF(#REF!&lt;=250,"High Usage","Very High Usage")))</f>
        <v>#REF!</v>
      </c>
      <c r="AE3287" t="e">
        <f>IF(#REF!&lt;=5,"Low Calls", IF(#REF!&lt;=10, "Medium Calls", "High Calls"))</f>
        <v>#REF!</v>
      </c>
      <c r="AF3287" t="e">
        <f xml:space="preserve">
IF(#REF!&gt;=4,4,0)+
IF(#REF!="yes",3,0)+
IF(#REF!="High Charges",3,0)+
IF(#REF!&gt;250,4,0)+
IF(#REF!="no",1,0)+
IF(#REF!="Heavy Domestic User",2,0)</f>
        <v>#REF!</v>
      </c>
      <c r="AG3287" t="e">
        <f>IF(#REF!&gt;=10,"High Risk", IF(#REF!&gt;=5,"Medium Risk","Low Risk"))</f>
        <v>#REF!</v>
      </c>
      <c r="AH3287" t="e">
        <f>#REF! + #REF! + #REF! + #REF!</f>
        <v>#REF!</v>
      </c>
    </row>
    <row r="3288" spans="1:34" x14ac:dyDescent="0.35">
      <c r="A3288">
        <v>3287</v>
      </c>
      <c r="B3288" t="s">
        <v>24</v>
      </c>
      <c r="C3288">
        <v>67</v>
      </c>
      <c r="D3288" t="s">
        <v>21</v>
      </c>
      <c r="E3288" t="s">
        <v>22</v>
      </c>
      <c r="F3288" t="s">
        <v>22</v>
      </c>
      <c r="G3288">
        <v>0</v>
      </c>
      <c r="H3288">
        <v>178</v>
      </c>
      <c r="I3288">
        <v>77</v>
      </c>
      <c r="J3288">
        <v>30.26</v>
      </c>
      <c r="K3288">
        <v>233.6</v>
      </c>
      <c r="L3288">
        <v>88</v>
      </c>
      <c r="M3288">
        <v>19.86</v>
      </c>
      <c r="N3288">
        <v>175.6</v>
      </c>
      <c r="O3288">
        <v>88</v>
      </c>
      <c r="P3288">
        <v>7.9</v>
      </c>
      <c r="Q3288">
        <v>6.3</v>
      </c>
      <c r="R3288">
        <v>4</v>
      </c>
      <c r="S3288">
        <v>1.7</v>
      </c>
      <c r="T3288">
        <v>2</v>
      </c>
      <c r="U3288" t="s">
        <v>22</v>
      </c>
      <c r="V3288" t="e">
        <f>IF(#REF! = "yes", 1, 0)</f>
        <v>#REF!</v>
      </c>
      <c r="W3288" t="e">
        <f>IF(#REF! &lt;= 1, "0-1 Calls", IF(#REF! &lt;= 3, "2-3 Calls", IF(#REF! &lt;=5, "4-5 Calls", "6+ Calls")))</f>
        <v>#REF!</v>
      </c>
      <c r="X3288" t="e">
        <f>IF(#REF! &lt;= 50, "0-50", IF(#REF! &lt;=100, "51-100", IF(#REF! &lt;= 150, "101-150", "151+")))</f>
        <v>#REF!</v>
      </c>
      <c r="Y3288" t="e">
        <f>IF(#REF! &lt;= 3, "Low Charges", "High Charges")</f>
        <v>#REF!</v>
      </c>
      <c r="Z3288" t="e">
        <f>IF(#REF!&lt;=80,"Low Calls",
IF(#REF!&lt;=120,"Medium Calls","High Calls"))</f>
        <v>#REF!</v>
      </c>
      <c r="AA3288" t="e">
        <f>IF(#REF!&lt;=15,"Low Charges",
IF(#REF!&lt;=20,"Medium Charges","High Charges"))</f>
        <v>#REF!</v>
      </c>
      <c r="AB3288" t="e">
        <f>IF(AND(#REF!&gt;180, #REF!&gt;200), "Heavy Doemstic User", IF(#REF!&gt;10, "Interntional User", IF(AND(#REF!&lt;180, #REF!&lt;200,#REF!&lt;200), "Light User", "Balanced User")))</f>
        <v>#REF!</v>
      </c>
      <c r="AC3288" t="e">
        <f>IF(#REF! = 0, "No Usage", IF(#REF! &lt;= 20, "Low Usage", IF(#REF! &lt;= 40, "Medium Usgae", "High Usage")))</f>
        <v>#REF!</v>
      </c>
      <c r="AD3288" t="e">
        <f>IF(#REF!&lt;=150,"Low Usage", IF(#REF!&lt;=200,"Medium Usage", IF(#REF!&lt;=250,"High Usage","Very High Usage")))</f>
        <v>#REF!</v>
      </c>
      <c r="AE3288" t="e">
        <f>IF(#REF!&lt;=5,"Low Calls", IF(#REF!&lt;=10, "Medium Calls", "High Calls"))</f>
        <v>#REF!</v>
      </c>
      <c r="AF3288" t="e">
        <f xml:space="preserve">
IF(#REF!&gt;=4,4,0)+
IF(#REF!="yes",3,0)+
IF(#REF!="High Charges",3,0)+
IF(#REF!&gt;250,4,0)+
IF(#REF!="no",1,0)+
IF(#REF!="Heavy Domestic User",2,0)</f>
        <v>#REF!</v>
      </c>
      <c r="AG3288" t="e">
        <f>IF(#REF!&gt;=10,"High Risk", IF(#REF!&gt;=5,"Medium Risk","Low Risk"))</f>
        <v>#REF!</v>
      </c>
      <c r="AH3288" t="e">
        <f>#REF! + #REF! + #REF! + #REF!</f>
        <v>#REF!</v>
      </c>
    </row>
    <row r="3289" spans="1:34" x14ac:dyDescent="0.35">
      <c r="A3289">
        <v>3288</v>
      </c>
      <c r="B3289" t="s">
        <v>53</v>
      </c>
      <c r="C3289">
        <v>164</v>
      </c>
      <c r="D3289" t="s">
        <v>21</v>
      </c>
      <c r="E3289" t="s">
        <v>22</v>
      </c>
      <c r="F3289" t="s">
        <v>22</v>
      </c>
      <c r="G3289">
        <v>0</v>
      </c>
      <c r="H3289">
        <v>215.6</v>
      </c>
      <c r="I3289">
        <v>90</v>
      </c>
      <c r="J3289">
        <v>36.65</v>
      </c>
      <c r="K3289">
        <v>171.6</v>
      </c>
      <c r="L3289">
        <v>99</v>
      </c>
      <c r="M3289">
        <v>14.59</v>
      </c>
      <c r="N3289">
        <v>110.4</v>
      </c>
      <c r="O3289">
        <v>105</v>
      </c>
      <c r="P3289">
        <v>4.97</v>
      </c>
      <c r="Q3289">
        <v>11.3</v>
      </c>
      <c r="R3289">
        <v>6</v>
      </c>
      <c r="S3289">
        <v>3.05</v>
      </c>
      <c r="T3289">
        <v>1</v>
      </c>
      <c r="U3289" t="s">
        <v>22</v>
      </c>
      <c r="V3289" t="e">
        <f>IF(#REF! = "yes", 1, 0)</f>
        <v>#REF!</v>
      </c>
      <c r="W3289" t="e">
        <f>IF(#REF! &lt;= 1, "0-1 Calls", IF(#REF! &lt;= 3, "2-3 Calls", IF(#REF! &lt;=5, "4-5 Calls", "6+ Calls")))</f>
        <v>#REF!</v>
      </c>
      <c r="X3289" t="e">
        <f>IF(#REF! &lt;= 50, "0-50", IF(#REF! &lt;=100, "51-100", IF(#REF! &lt;= 150, "101-150", "151+")))</f>
        <v>#REF!</v>
      </c>
      <c r="Y3289" t="e">
        <f>IF(#REF! &lt;= 3, "Low Charges", "High Charges")</f>
        <v>#REF!</v>
      </c>
      <c r="Z3289" t="e">
        <f>IF(#REF!&lt;=80,"Low Calls",
IF(#REF!&lt;=120,"Medium Calls","High Calls"))</f>
        <v>#REF!</v>
      </c>
      <c r="AA3289" t="e">
        <f>IF(#REF!&lt;=15,"Low Charges",
IF(#REF!&lt;=20,"Medium Charges","High Charges"))</f>
        <v>#REF!</v>
      </c>
      <c r="AB3289" t="e">
        <f>IF(AND(#REF!&gt;180, #REF!&gt;200), "Heavy Doemstic User", IF(#REF!&gt;10, "Interntional User", IF(AND(#REF!&lt;180, #REF!&lt;200,#REF!&lt;200), "Light User", "Balanced User")))</f>
        <v>#REF!</v>
      </c>
      <c r="AC3289" t="e">
        <f>IF(#REF! = 0, "No Usage", IF(#REF! &lt;= 20, "Low Usage", IF(#REF! &lt;= 40, "Medium Usgae", "High Usage")))</f>
        <v>#REF!</v>
      </c>
      <c r="AD3289" t="e">
        <f>IF(#REF!&lt;=150,"Low Usage", IF(#REF!&lt;=200,"Medium Usage", IF(#REF!&lt;=250,"High Usage","Very High Usage")))</f>
        <v>#REF!</v>
      </c>
      <c r="AE3289" t="e">
        <f>IF(#REF!&lt;=5,"Low Calls", IF(#REF!&lt;=10, "Medium Calls", "High Calls"))</f>
        <v>#REF!</v>
      </c>
      <c r="AF3289" t="e">
        <f xml:space="preserve">
IF(#REF!&gt;=4,4,0)+
IF(#REF!="yes",3,0)+
IF(#REF!="High Charges",3,0)+
IF(#REF!&gt;250,4,0)+
IF(#REF!="no",1,0)+
IF(#REF!="Heavy Domestic User",2,0)</f>
        <v>#REF!</v>
      </c>
      <c r="AG3289" t="e">
        <f>IF(#REF!&gt;=10,"High Risk", IF(#REF!&gt;=5,"Medium Risk","Low Risk"))</f>
        <v>#REF!</v>
      </c>
      <c r="AH3289" t="e">
        <f>#REF! + #REF! + #REF! + #REF!</f>
        <v>#REF!</v>
      </c>
    </row>
    <row r="3290" spans="1:34" x14ac:dyDescent="0.35">
      <c r="A3290">
        <v>3289</v>
      </c>
      <c r="B3290" t="s">
        <v>55</v>
      </c>
      <c r="C3290">
        <v>180</v>
      </c>
      <c r="D3290" t="s">
        <v>28</v>
      </c>
      <c r="E3290" t="s">
        <v>22</v>
      </c>
      <c r="F3290" t="s">
        <v>22</v>
      </c>
      <c r="G3290">
        <v>0</v>
      </c>
      <c r="H3290">
        <v>253.9</v>
      </c>
      <c r="I3290">
        <v>69</v>
      </c>
      <c r="J3290">
        <v>43.16</v>
      </c>
      <c r="K3290">
        <v>184.2</v>
      </c>
      <c r="L3290">
        <v>138</v>
      </c>
      <c r="M3290">
        <v>15.66</v>
      </c>
      <c r="N3290">
        <v>174.3</v>
      </c>
      <c r="O3290">
        <v>83</v>
      </c>
      <c r="P3290">
        <v>7.84</v>
      </c>
      <c r="Q3290">
        <v>0.4</v>
      </c>
      <c r="R3290">
        <v>7</v>
      </c>
      <c r="S3290">
        <v>0.11</v>
      </c>
      <c r="T3290">
        <v>1</v>
      </c>
      <c r="U3290" t="s">
        <v>22</v>
      </c>
      <c r="V3290" t="e">
        <f>IF(#REF! = "yes", 1, 0)</f>
        <v>#REF!</v>
      </c>
      <c r="W3290" t="e">
        <f>IF(#REF! &lt;= 1, "0-1 Calls", IF(#REF! &lt;= 3, "2-3 Calls", IF(#REF! &lt;=5, "4-5 Calls", "6+ Calls")))</f>
        <v>#REF!</v>
      </c>
      <c r="X3290" t="e">
        <f>IF(#REF! &lt;= 50, "0-50", IF(#REF! &lt;=100, "51-100", IF(#REF! &lt;= 150, "101-150", "151+")))</f>
        <v>#REF!</v>
      </c>
      <c r="Y3290" t="e">
        <f>IF(#REF! &lt;= 3, "Low Charges", "High Charges")</f>
        <v>#REF!</v>
      </c>
      <c r="Z3290" t="e">
        <f>IF(#REF!&lt;=80,"Low Calls",
IF(#REF!&lt;=120,"Medium Calls","High Calls"))</f>
        <v>#REF!</v>
      </c>
      <c r="AA3290" t="e">
        <f>IF(#REF!&lt;=15,"Low Charges",
IF(#REF!&lt;=20,"Medium Charges","High Charges"))</f>
        <v>#REF!</v>
      </c>
      <c r="AB3290" t="e">
        <f>IF(AND(#REF!&gt;180, #REF!&gt;200), "Heavy Doemstic User", IF(#REF!&gt;10, "Interntional User", IF(AND(#REF!&lt;180, #REF!&lt;200,#REF!&lt;200), "Light User", "Balanced User")))</f>
        <v>#REF!</v>
      </c>
      <c r="AC3290" t="e">
        <f>IF(#REF! = 0, "No Usage", IF(#REF! &lt;= 20, "Low Usage", IF(#REF! &lt;= 40, "Medium Usgae", "High Usage")))</f>
        <v>#REF!</v>
      </c>
      <c r="AD3290" t="e">
        <f>IF(#REF!&lt;=150,"Low Usage", IF(#REF!&lt;=200,"Medium Usage", IF(#REF!&lt;=250,"High Usage","Very High Usage")))</f>
        <v>#REF!</v>
      </c>
      <c r="AE3290" t="e">
        <f>IF(#REF!&lt;=5,"Low Calls", IF(#REF!&lt;=10, "Medium Calls", "High Calls"))</f>
        <v>#REF!</v>
      </c>
      <c r="AF3290" t="e">
        <f xml:space="preserve">
IF(#REF!&gt;=4,4,0)+
IF(#REF!="yes",3,0)+
IF(#REF!="High Charges",3,0)+
IF(#REF!&gt;250,4,0)+
IF(#REF!="no",1,0)+
IF(#REF!="Heavy Domestic User",2,0)</f>
        <v>#REF!</v>
      </c>
      <c r="AG3290" t="e">
        <f>IF(#REF!&gt;=10,"High Risk", IF(#REF!&gt;=5,"Medium Risk","Low Risk"))</f>
        <v>#REF!</v>
      </c>
      <c r="AH3290" t="e">
        <f>#REF! + #REF! + #REF! + #REF!</f>
        <v>#REF!</v>
      </c>
    </row>
    <row r="3291" spans="1:34" x14ac:dyDescent="0.35">
      <c r="A3291">
        <v>3290</v>
      </c>
      <c r="B3291" t="s">
        <v>34</v>
      </c>
      <c r="C3291">
        <v>80</v>
      </c>
      <c r="D3291" t="s">
        <v>25</v>
      </c>
      <c r="E3291" t="s">
        <v>22</v>
      </c>
      <c r="F3291" t="s">
        <v>23</v>
      </c>
      <c r="G3291">
        <v>22</v>
      </c>
      <c r="H3291">
        <v>182.8</v>
      </c>
      <c r="I3291">
        <v>142</v>
      </c>
      <c r="J3291">
        <v>31.08</v>
      </c>
      <c r="K3291">
        <v>229.3</v>
      </c>
      <c r="L3291">
        <v>111</v>
      </c>
      <c r="M3291">
        <v>19.489999999999998</v>
      </c>
      <c r="N3291">
        <v>313.8</v>
      </c>
      <c r="O3291">
        <v>85</v>
      </c>
      <c r="P3291">
        <v>14.12</v>
      </c>
      <c r="Q3291">
        <v>11.3</v>
      </c>
      <c r="R3291">
        <v>2</v>
      </c>
      <c r="S3291">
        <v>3.05</v>
      </c>
      <c r="T3291">
        <v>1</v>
      </c>
      <c r="U3291" t="s">
        <v>22</v>
      </c>
      <c r="V3291" t="e">
        <f>IF(#REF! = "yes", 1, 0)</f>
        <v>#REF!</v>
      </c>
      <c r="W3291" t="e">
        <f>IF(#REF! &lt;= 1, "0-1 Calls", IF(#REF! &lt;= 3, "2-3 Calls", IF(#REF! &lt;=5, "4-5 Calls", "6+ Calls")))</f>
        <v>#REF!</v>
      </c>
      <c r="X3291" t="e">
        <f>IF(#REF! &lt;= 50, "0-50", IF(#REF! &lt;=100, "51-100", IF(#REF! &lt;= 150, "101-150", "151+")))</f>
        <v>#REF!</v>
      </c>
      <c r="Y3291" t="e">
        <f>IF(#REF! &lt;= 3, "Low Charges", "High Charges")</f>
        <v>#REF!</v>
      </c>
      <c r="Z3291" t="e">
        <f>IF(#REF!&lt;=80,"Low Calls",
IF(#REF!&lt;=120,"Medium Calls","High Calls"))</f>
        <v>#REF!</v>
      </c>
      <c r="AA3291" t="e">
        <f>IF(#REF!&lt;=15,"Low Charges",
IF(#REF!&lt;=20,"Medium Charges","High Charges"))</f>
        <v>#REF!</v>
      </c>
      <c r="AB3291" t="e">
        <f>IF(AND(#REF!&gt;180, #REF!&gt;200), "Heavy Doemstic User", IF(#REF!&gt;10, "Interntional User", IF(AND(#REF!&lt;180, #REF!&lt;200,#REF!&lt;200), "Light User", "Balanced User")))</f>
        <v>#REF!</v>
      </c>
      <c r="AC3291" t="e">
        <f>IF(#REF! = 0, "No Usage", IF(#REF! &lt;= 20, "Low Usage", IF(#REF! &lt;= 40, "Medium Usgae", "High Usage")))</f>
        <v>#REF!</v>
      </c>
      <c r="AD3291" t="e">
        <f>IF(#REF!&lt;=150,"Low Usage", IF(#REF!&lt;=200,"Medium Usage", IF(#REF!&lt;=250,"High Usage","Very High Usage")))</f>
        <v>#REF!</v>
      </c>
      <c r="AE3291" t="e">
        <f>IF(#REF!&lt;=5,"Low Calls", IF(#REF!&lt;=10, "Medium Calls", "High Calls"))</f>
        <v>#REF!</v>
      </c>
      <c r="AF3291" t="e">
        <f xml:space="preserve">
IF(#REF!&gt;=4,4,0)+
IF(#REF!="yes",3,0)+
IF(#REF!="High Charges",3,0)+
IF(#REF!&gt;250,4,0)+
IF(#REF!="no",1,0)+
IF(#REF!="Heavy Domestic User",2,0)</f>
        <v>#REF!</v>
      </c>
      <c r="AG3291" t="e">
        <f>IF(#REF!&gt;=10,"High Risk", IF(#REF!&gt;=5,"Medium Risk","Low Risk"))</f>
        <v>#REF!</v>
      </c>
      <c r="AH3291" t="e">
        <f>#REF! + #REF! + #REF! + #REF!</f>
        <v>#REF!</v>
      </c>
    </row>
    <row r="3292" spans="1:34" x14ac:dyDescent="0.35">
      <c r="A3292">
        <v>3291</v>
      </c>
      <c r="B3292" t="s">
        <v>41</v>
      </c>
      <c r="C3292">
        <v>126</v>
      </c>
      <c r="D3292" t="s">
        <v>21</v>
      </c>
      <c r="E3292" t="s">
        <v>22</v>
      </c>
      <c r="F3292" t="s">
        <v>22</v>
      </c>
      <c r="G3292">
        <v>0</v>
      </c>
      <c r="H3292">
        <v>120</v>
      </c>
      <c r="I3292">
        <v>82</v>
      </c>
      <c r="J3292">
        <v>20.399999999999999</v>
      </c>
      <c r="K3292">
        <v>213.6</v>
      </c>
      <c r="L3292">
        <v>111</v>
      </c>
      <c r="M3292">
        <v>18.16</v>
      </c>
      <c r="N3292">
        <v>312.89999999999998</v>
      </c>
      <c r="O3292">
        <v>136</v>
      </c>
      <c r="P3292">
        <v>14.08</v>
      </c>
      <c r="Q3292">
        <v>7.5</v>
      </c>
      <c r="R3292">
        <v>6</v>
      </c>
      <c r="S3292">
        <v>2.0299999999999998</v>
      </c>
      <c r="T3292">
        <v>1</v>
      </c>
      <c r="U3292" t="s">
        <v>22</v>
      </c>
      <c r="V3292" t="e">
        <f>IF(#REF! = "yes", 1, 0)</f>
        <v>#REF!</v>
      </c>
      <c r="W3292" t="e">
        <f>IF(#REF! &lt;= 1, "0-1 Calls", IF(#REF! &lt;= 3, "2-3 Calls", IF(#REF! &lt;=5, "4-5 Calls", "6+ Calls")))</f>
        <v>#REF!</v>
      </c>
      <c r="X3292" t="e">
        <f>IF(#REF! &lt;= 50, "0-50", IF(#REF! &lt;=100, "51-100", IF(#REF! &lt;= 150, "101-150", "151+")))</f>
        <v>#REF!</v>
      </c>
      <c r="Y3292" t="e">
        <f>IF(#REF! &lt;= 3, "Low Charges", "High Charges")</f>
        <v>#REF!</v>
      </c>
      <c r="Z3292" t="e">
        <f>IF(#REF!&lt;=80,"Low Calls",
IF(#REF!&lt;=120,"Medium Calls","High Calls"))</f>
        <v>#REF!</v>
      </c>
      <c r="AA3292" t="e">
        <f>IF(#REF!&lt;=15,"Low Charges",
IF(#REF!&lt;=20,"Medium Charges","High Charges"))</f>
        <v>#REF!</v>
      </c>
      <c r="AB3292" t="e">
        <f>IF(AND(#REF!&gt;180, #REF!&gt;200), "Heavy Doemstic User", IF(#REF!&gt;10, "Interntional User", IF(AND(#REF!&lt;180, #REF!&lt;200,#REF!&lt;200), "Light User", "Balanced User")))</f>
        <v>#REF!</v>
      </c>
      <c r="AC3292" t="e">
        <f>IF(#REF! = 0, "No Usage", IF(#REF! &lt;= 20, "Low Usage", IF(#REF! &lt;= 40, "Medium Usgae", "High Usage")))</f>
        <v>#REF!</v>
      </c>
      <c r="AD3292" t="e">
        <f>IF(#REF!&lt;=150,"Low Usage", IF(#REF!&lt;=200,"Medium Usage", IF(#REF!&lt;=250,"High Usage","Very High Usage")))</f>
        <v>#REF!</v>
      </c>
      <c r="AE3292" t="e">
        <f>IF(#REF!&lt;=5,"Low Calls", IF(#REF!&lt;=10, "Medium Calls", "High Calls"))</f>
        <v>#REF!</v>
      </c>
      <c r="AF3292" t="e">
        <f xml:space="preserve">
IF(#REF!&gt;=4,4,0)+
IF(#REF!="yes",3,0)+
IF(#REF!="High Charges",3,0)+
IF(#REF!&gt;250,4,0)+
IF(#REF!="no",1,0)+
IF(#REF!="Heavy Domestic User",2,0)</f>
        <v>#REF!</v>
      </c>
      <c r="AG3292" t="e">
        <f>IF(#REF!&gt;=10,"High Risk", IF(#REF!&gt;=5,"Medium Risk","Low Risk"))</f>
        <v>#REF!</v>
      </c>
      <c r="AH3292" t="e">
        <f>#REF! + #REF! + #REF! + #REF!</f>
        <v>#REF!</v>
      </c>
    </row>
    <row r="3293" spans="1:34" x14ac:dyDescent="0.35">
      <c r="A3293">
        <v>3292</v>
      </c>
      <c r="B3293" t="s">
        <v>67</v>
      </c>
      <c r="C3293">
        <v>138</v>
      </c>
      <c r="D3293" t="s">
        <v>25</v>
      </c>
      <c r="E3293" t="s">
        <v>22</v>
      </c>
      <c r="F3293" t="s">
        <v>22</v>
      </c>
      <c r="G3293">
        <v>0</v>
      </c>
      <c r="H3293">
        <v>138.69999999999999</v>
      </c>
      <c r="I3293">
        <v>124</v>
      </c>
      <c r="J3293">
        <v>23.58</v>
      </c>
      <c r="K3293">
        <v>280.3</v>
      </c>
      <c r="L3293">
        <v>64</v>
      </c>
      <c r="M3293">
        <v>23.83</v>
      </c>
      <c r="N3293">
        <v>206.7</v>
      </c>
      <c r="O3293">
        <v>98</v>
      </c>
      <c r="P3293">
        <v>9.3000000000000007</v>
      </c>
      <c r="Q3293">
        <v>10.4</v>
      </c>
      <c r="R3293">
        <v>4</v>
      </c>
      <c r="S3293">
        <v>2.81</v>
      </c>
      <c r="T3293">
        <v>1</v>
      </c>
      <c r="U3293" t="s">
        <v>22</v>
      </c>
      <c r="V3293" t="e">
        <f>IF(#REF! = "yes", 1, 0)</f>
        <v>#REF!</v>
      </c>
      <c r="W3293" t="e">
        <f>IF(#REF! &lt;= 1, "0-1 Calls", IF(#REF! &lt;= 3, "2-3 Calls", IF(#REF! &lt;=5, "4-5 Calls", "6+ Calls")))</f>
        <v>#REF!</v>
      </c>
      <c r="X3293" t="e">
        <f>IF(#REF! &lt;= 50, "0-50", IF(#REF! &lt;=100, "51-100", IF(#REF! &lt;= 150, "101-150", "151+")))</f>
        <v>#REF!</v>
      </c>
      <c r="Y3293" t="e">
        <f>IF(#REF! &lt;= 3, "Low Charges", "High Charges")</f>
        <v>#REF!</v>
      </c>
      <c r="Z3293" t="e">
        <f>IF(#REF!&lt;=80,"Low Calls",
IF(#REF!&lt;=120,"Medium Calls","High Calls"))</f>
        <v>#REF!</v>
      </c>
      <c r="AA3293" t="e">
        <f>IF(#REF!&lt;=15,"Low Charges",
IF(#REF!&lt;=20,"Medium Charges","High Charges"))</f>
        <v>#REF!</v>
      </c>
      <c r="AB3293" t="e">
        <f>IF(AND(#REF!&gt;180, #REF!&gt;200), "Heavy Doemstic User", IF(#REF!&gt;10, "Interntional User", IF(AND(#REF!&lt;180, #REF!&lt;200,#REF!&lt;200), "Light User", "Balanced User")))</f>
        <v>#REF!</v>
      </c>
      <c r="AC3293" t="e">
        <f>IF(#REF! = 0, "No Usage", IF(#REF! &lt;= 20, "Low Usage", IF(#REF! &lt;= 40, "Medium Usgae", "High Usage")))</f>
        <v>#REF!</v>
      </c>
      <c r="AD3293" t="e">
        <f>IF(#REF!&lt;=150,"Low Usage", IF(#REF!&lt;=200,"Medium Usage", IF(#REF!&lt;=250,"High Usage","Very High Usage")))</f>
        <v>#REF!</v>
      </c>
      <c r="AE3293" t="e">
        <f>IF(#REF!&lt;=5,"Low Calls", IF(#REF!&lt;=10, "Medium Calls", "High Calls"))</f>
        <v>#REF!</v>
      </c>
      <c r="AF3293" t="e">
        <f xml:space="preserve">
IF(#REF!&gt;=4,4,0)+
IF(#REF!="yes",3,0)+
IF(#REF!="High Charges",3,0)+
IF(#REF!&gt;250,4,0)+
IF(#REF!="no",1,0)+
IF(#REF!="Heavy Domestic User",2,0)</f>
        <v>#REF!</v>
      </c>
      <c r="AG3293" t="e">
        <f>IF(#REF!&gt;=10,"High Risk", IF(#REF!&gt;=5,"Medium Risk","Low Risk"))</f>
        <v>#REF!</v>
      </c>
      <c r="AH3293" t="e">
        <f>#REF! + #REF! + #REF! + #REF!</f>
        <v>#REF!</v>
      </c>
    </row>
    <row r="3294" spans="1:34" x14ac:dyDescent="0.35">
      <c r="A3294">
        <v>3293</v>
      </c>
      <c r="B3294" t="s">
        <v>27</v>
      </c>
      <c r="C3294">
        <v>101</v>
      </c>
      <c r="D3294" t="s">
        <v>25</v>
      </c>
      <c r="E3294" t="s">
        <v>22</v>
      </c>
      <c r="F3294" t="s">
        <v>22</v>
      </c>
      <c r="G3294">
        <v>0</v>
      </c>
      <c r="H3294">
        <v>189</v>
      </c>
      <c r="I3294">
        <v>122</v>
      </c>
      <c r="J3294">
        <v>32.130000000000003</v>
      </c>
      <c r="K3294">
        <v>179.2</v>
      </c>
      <c r="L3294">
        <v>91</v>
      </c>
      <c r="M3294">
        <v>15.23</v>
      </c>
      <c r="N3294">
        <v>186.8</v>
      </c>
      <c r="O3294">
        <v>170</v>
      </c>
      <c r="P3294">
        <v>8.41</v>
      </c>
      <c r="Q3294">
        <v>11.1</v>
      </c>
      <c r="R3294">
        <v>6</v>
      </c>
      <c r="S3294">
        <v>3</v>
      </c>
      <c r="T3294">
        <v>0</v>
      </c>
      <c r="U3294" t="s">
        <v>22</v>
      </c>
      <c r="V3294" t="e">
        <f>IF(#REF! = "yes", 1, 0)</f>
        <v>#REF!</v>
      </c>
      <c r="W3294" t="e">
        <f>IF(#REF! &lt;= 1, "0-1 Calls", IF(#REF! &lt;= 3, "2-3 Calls", IF(#REF! &lt;=5, "4-5 Calls", "6+ Calls")))</f>
        <v>#REF!</v>
      </c>
      <c r="X3294" t="e">
        <f>IF(#REF! &lt;= 50, "0-50", IF(#REF! &lt;=100, "51-100", IF(#REF! &lt;= 150, "101-150", "151+")))</f>
        <v>#REF!</v>
      </c>
      <c r="Y3294" t="e">
        <f>IF(#REF! &lt;= 3, "Low Charges", "High Charges")</f>
        <v>#REF!</v>
      </c>
      <c r="Z3294" t="e">
        <f>IF(#REF!&lt;=80,"Low Calls",
IF(#REF!&lt;=120,"Medium Calls","High Calls"))</f>
        <v>#REF!</v>
      </c>
      <c r="AA3294" t="e">
        <f>IF(#REF!&lt;=15,"Low Charges",
IF(#REF!&lt;=20,"Medium Charges","High Charges"))</f>
        <v>#REF!</v>
      </c>
      <c r="AB3294" t="e">
        <f>IF(AND(#REF!&gt;180, #REF!&gt;200), "Heavy Doemstic User", IF(#REF!&gt;10, "Interntional User", IF(AND(#REF!&lt;180, #REF!&lt;200,#REF!&lt;200), "Light User", "Balanced User")))</f>
        <v>#REF!</v>
      </c>
      <c r="AC3294" t="e">
        <f>IF(#REF! = 0, "No Usage", IF(#REF! &lt;= 20, "Low Usage", IF(#REF! &lt;= 40, "Medium Usgae", "High Usage")))</f>
        <v>#REF!</v>
      </c>
      <c r="AD3294" t="e">
        <f>IF(#REF!&lt;=150,"Low Usage", IF(#REF!&lt;=200,"Medium Usage", IF(#REF!&lt;=250,"High Usage","Very High Usage")))</f>
        <v>#REF!</v>
      </c>
      <c r="AE3294" t="e">
        <f>IF(#REF!&lt;=5,"Low Calls", IF(#REF!&lt;=10, "Medium Calls", "High Calls"))</f>
        <v>#REF!</v>
      </c>
      <c r="AF3294" t="e">
        <f xml:space="preserve">
IF(#REF!&gt;=4,4,0)+
IF(#REF!="yes",3,0)+
IF(#REF!="High Charges",3,0)+
IF(#REF!&gt;250,4,0)+
IF(#REF!="no",1,0)+
IF(#REF!="Heavy Domestic User",2,0)</f>
        <v>#REF!</v>
      </c>
      <c r="AG3294" t="e">
        <f>IF(#REF!&gt;=10,"High Risk", IF(#REF!&gt;=5,"Medium Risk","Low Risk"))</f>
        <v>#REF!</v>
      </c>
      <c r="AH3294" t="e">
        <f>#REF! + #REF! + #REF! + #REF!</f>
        <v>#REF!</v>
      </c>
    </row>
    <row r="3295" spans="1:34" x14ac:dyDescent="0.35">
      <c r="A3295">
        <v>3294</v>
      </c>
      <c r="B3295" t="s">
        <v>36</v>
      </c>
      <c r="C3295">
        <v>147</v>
      </c>
      <c r="D3295" t="s">
        <v>25</v>
      </c>
      <c r="E3295" t="s">
        <v>22</v>
      </c>
      <c r="F3295" t="s">
        <v>22</v>
      </c>
      <c r="G3295">
        <v>0</v>
      </c>
      <c r="H3295">
        <v>134.6</v>
      </c>
      <c r="I3295">
        <v>91</v>
      </c>
      <c r="J3295">
        <v>22.88</v>
      </c>
      <c r="K3295">
        <v>175.1</v>
      </c>
      <c r="L3295">
        <v>83</v>
      </c>
      <c r="M3295">
        <v>14.88</v>
      </c>
      <c r="N3295">
        <v>201.1</v>
      </c>
      <c r="O3295">
        <v>114</v>
      </c>
      <c r="P3295">
        <v>9.0500000000000007</v>
      </c>
      <c r="Q3295">
        <v>8.9</v>
      </c>
      <c r="R3295">
        <v>3</v>
      </c>
      <c r="S3295">
        <v>2.4</v>
      </c>
      <c r="T3295">
        <v>0</v>
      </c>
      <c r="U3295" t="s">
        <v>22</v>
      </c>
      <c r="V3295" t="e">
        <f>IF(#REF! = "yes", 1, 0)</f>
        <v>#REF!</v>
      </c>
      <c r="W3295" t="e">
        <f>IF(#REF! &lt;= 1, "0-1 Calls", IF(#REF! &lt;= 3, "2-3 Calls", IF(#REF! &lt;=5, "4-5 Calls", "6+ Calls")))</f>
        <v>#REF!</v>
      </c>
      <c r="X3295" t="e">
        <f>IF(#REF! &lt;= 50, "0-50", IF(#REF! &lt;=100, "51-100", IF(#REF! &lt;= 150, "101-150", "151+")))</f>
        <v>#REF!</v>
      </c>
      <c r="Y3295" t="e">
        <f>IF(#REF! &lt;= 3, "Low Charges", "High Charges")</f>
        <v>#REF!</v>
      </c>
      <c r="Z3295" t="e">
        <f>IF(#REF!&lt;=80,"Low Calls",
IF(#REF!&lt;=120,"Medium Calls","High Calls"))</f>
        <v>#REF!</v>
      </c>
      <c r="AA3295" t="e">
        <f>IF(#REF!&lt;=15,"Low Charges",
IF(#REF!&lt;=20,"Medium Charges","High Charges"))</f>
        <v>#REF!</v>
      </c>
      <c r="AB3295" t="e">
        <f>IF(AND(#REF!&gt;180, #REF!&gt;200), "Heavy Doemstic User", IF(#REF!&gt;10, "Interntional User", IF(AND(#REF!&lt;180, #REF!&lt;200,#REF!&lt;200), "Light User", "Balanced User")))</f>
        <v>#REF!</v>
      </c>
      <c r="AC3295" t="e">
        <f>IF(#REF! = 0, "No Usage", IF(#REF! &lt;= 20, "Low Usage", IF(#REF! &lt;= 40, "Medium Usgae", "High Usage")))</f>
        <v>#REF!</v>
      </c>
      <c r="AD3295" t="e">
        <f>IF(#REF!&lt;=150,"Low Usage", IF(#REF!&lt;=200,"Medium Usage", IF(#REF!&lt;=250,"High Usage","Very High Usage")))</f>
        <v>#REF!</v>
      </c>
      <c r="AE3295" t="e">
        <f>IF(#REF!&lt;=5,"Low Calls", IF(#REF!&lt;=10, "Medium Calls", "High Calls"))</f>
        <v>#REF!</v>
      </c>
      <c r="AF3295" t="e">
        <f xml:space="preserve">
IF(#REF!&gt;=4,4,0)+
IF(#REF!="yes",3,0)+
IF(#REF!="High Charges",3,0)+
IF(#REF!&gt;250,4,0)+
IF(#REF!="no",1,0)+
IF(#REF!="Heavy Domestic User",2,0)</f>
        <v>#REF!</v>
      </c>
      <c r="AG3295" t="e">
        <f>IF(#REF!&gt;=10,"High Risk", IF(#REF!&gt;=5,"Medium Risk","Low Risk"))</f>
        <v>#REF!</v>
      </c>
      <c r="AH3295" t="e">
        <f>#REF! + #REF! + #REF! + #REF!</f>
        <v>#REF!</v>
      </c>
    </row>
    <row r="3296" spans="1:34" x14ac:dyDescent="0.35">
      <c r="A3296">
        <v>3295</v>
      </c>
      <c r="B3296" t="s">
        <v>38</v>
      </c>
      <c r="C3296">
        <v>58</v>
      </c>
      <c r="D3296" t="s">
        <v>25</v>
      </c>
      <c r="E3296" t="s">
        <v>22</v>
      </c>
      <c r="F3296" t="s">
        <v>22</v>
      </c>
      <c r="G3296">
        <v>0</v>
      </c>
      <c r="H3296">
        <v>181.4</v>
      </c>
      <c r="I3296">
        <v>106</v>
      </c>
      <c r="J3296">
        <v>30.84</v>
      </c>
      <c r="K3296">
        <v>145.80000000000001</v>
      </c>
      <c r="L3296">
        <v>77</v>
      </c>
      <c r="M3296">
        <v>12.39</v>
      </c>
      <c r="N3296">
        <v>200.3</v>
      </c>
      <c r="O3296">
        <v>85</v>
      </c>
      <c r="P3296">
        <v>9.01</v>
      </c>
      <c r="Q3296">
        <v>7.9</v>
      </c>
      <c r="R3296">
        <v>3</v>
      </c>
      <c r="S3296">
        <v>2.13</v>
      </c>
      <c r="T3296">
        <v>0</v>
      </c>
      <c r="U3296" t="s">
        <v>22</v>
      </c>
      <c r="V3296" t="e">
        <f>IF(#REF! = "yes", 1, 0)</f>
        <v>#REF!</v>
      </c>
      <c r="W3296" t="e">
        <f>IF(#REF! &lt;= 1, "0-1 Calls", IF(#REF! &lt;= 3, "2-3 Calls", IF(#REF! &lt;=5, "4-5 Calls", "6+ Calls")))</f>
        <v>#REF!</v>
      </c>
      <c r="X3296" t="e">
        <f>IF(#REF! &lt;= 50, "0-50", IF(#REF! &lt;=100, "51-100", IF(#REF! &lt;= 150, "101-150", "151+")))</f>
        <v>#REF!</v>
      </c>
      <c r="Y3296" t="e">
        <f>IF(#REF! &lt;= 3, "Low Charges", "High Charges")</f>
        <v>#REF!</v>
      </c>
      <c r="Z3296" t="e">
        <f>IF(#REF!&lt;=80,"Low Calls",
IF(#REF!&lt;=120,"Medium Calls","High Calls"))</f>
        <v>#REF!</v>
      </c>
      <c r="AA3296" t="e">
        <f>IF(#REF!&lt;=15,"Low Charges",
IF(#REF!&lt;=20,"Medium Charges","High Charges"))</f>
        <v>#REF!</v>
      </c>
      <c r="AB3296" t="e">
        <f>IF(AND(#REF!&gt;180, #REF!&gt;200), "Heavy Doemstic User", IF(#REF!&gt;10, "Interntional User", IF(AND(#REF!&lt;180, #REF!&lt;200,#REF!&lt;200), "Light User", "Balanced User")))</f>
        <v>#REF!</v>
      </c>
      <c r="AC3296" t="e">
        <f>IF(#REF! = 0, "No Usage", IF(#REF! &lt;= 20, "Low Usage", IF(#REF! &lt;= 40, "Medium Usgae", "High Usage")))</f>
        <v>#REF!</v>
      </c>
      <c r="AD3296" t="e">
        <f>IF(#REF!&lt;=150,"Low Usage", IF(#REF!&lt;=200,"Medium Usage", IF(#REF!&lt;=250,"High Usage","Very High Usage")))</f>
        <v>#REF!</v>
      </c>
      <c r="AE3296" t="e">
        <f>IF(#REF!&lt;=5,"Low Calls", IF(#REF!&lt;=10, "Medium Calls", "High Calls"))</f>
        <v>#REF!</v>
      </c>
      <c r="AF3296" t="e">
        <f xml:space="preserve">
IF(#REF!&gt;=4,4,0)+
IF(#REF!="yes",3,0)+
IF(#REF!="High Charges",3,0)+
IF(#REF!&gt;250,4,0)+
IF(#REF!="no",1,0)+
IF(#REF!="Heavy Domestic User",2,0)</f>
        <v>#REF!</v>
      </c>
      <c r="AG3296" t="e">
        <f>IF(#REF!&gt;=10,"High Risk", IF(#REF!&gt;=5,"Medium Risk","Low Risk"))</f>
        <v>#REF!</v>
      </c>
      <c r="AH3296" t="e">
        <f>#REF! + #REF! + #REF! + #REF!</f>
        <v>#REF!</v>
      </c>
    </row>
    <row r="3297" spans="1:34" x14ac:dyDescent="0.35">
      <c r="A3297">
        <v>3296</v>
      </c>
      <c r="B3297" t="s">
        <v>32</v>
      </c>
      <c r="C3297">
        <v>35</v>
      </c>
      <c r="D3297" t="s">
        <v>28</v>
      </c>
      <c r="E3297" t="s">
        <v>22</v>
      </c>
      <c r="F3297" t="s">
        <v>23</v>
      </c>
      <c r="G3297">
        <v>23</v>
      </c>
      <c r="H3297">
        <v>194.6</v>
      </c>
      <c r="I3297">
        <v>106</v>
      </c>
      <c r="J3297">
        <v>33.08</v>
      </c>
      <c r="K3297">
        <v>199.8</v>
      </c>
      <c r="L3297">
        <v>132</v>
      </c>
      <c r="M3297">
        <v>16.98</v>
      </c>
      <c r="N3297">
        <v>189.6</v>
      </c>
      <c r="O3297">
        <v>88</v>
      </c>
      <c r="P3297">
        <v>8.5299999999999994</v>
      </c>
      <c r="Q3297">
        <v>10.1</v>
      </c>
      <c r="R3297">
        <v>7</v>
      </c>
      <c r="S3297">
        <v>2.73</v>
      </c>
      <c r="T3297">
        <v>4</v>
      </c>
      <c r="U3297" t="s">
        <v>22</v>
      </c>
      <c r="V3297" t="e">
        <f>IF(#REF! = "yes", 1, 0)</f>
        <v>#REF!</v>
      </c>
      <c r="W3297" t="e">
        <f>IF(#REF! &lt;= 1, "0-1 Calls", IF(#REF! &lt;= 3, "2-3 Calls", IF(#REF! &lt;=5, "4-5 Calls", "6+ Calls")))</f>
        <v>#REF!</v>
      </c>
      <c r="X3297" t="e">
        <f>IF(#REF! &lt;= 50, "0-50", IF(#REF! &lt;=100, "51-100", IF(#REF! &lt;= 150, "101-150", "151+")))</f>
        <v>#REF!</v>
      </c>
      <c r="Y3297" t="e">
        <f>IF(#REF! &lt;= 3, "Low Charges", "High Charges")</f>
        <v>#REF!</v>
      </c>
      <c r="Z3297" t="e">
        <f>IF(#REF!&lt;=80,"Low Calls",
IF(#REF!&lt;=120,"Medium Calls","High Calls"))</f>
        <v>#REF!</v>
      </c>
      <c r="AA3297" t="e">
        <f>IF(#REF!&lt;=15,"Low Charges",
IF(#REF!&lt;=20,"Medium Charges","High Charges"))</f>
        <v>#REF!</v>
      </c>
      <c r="AB3297" t="e">
        <f>IF(AND(#REF!&gt;180, #REF!&gt;200), "Heavy Doemstic User", IF(#REF!&gt;10, "Interntional User", IF(AND(#REF!&lt;180, #REF!&lt;200,#REF!&lt;200), "Light User", "Balanced User")))</f>
        <v>#REF!</v>
      </c>
      <c r="AC3297" t="e">
        <f>IF(#REF! = 0, "No Usage", IF(#REF! &lt;= 20, "Low Usage", IF(#REF! &lt;= 40, "Medium Usgae", "High Usage")))</f>
        <v>#REF!</v>
      </c>
      <c r="AD3297" t="e">
        <f>IF(#REF!&lt;=150,"Low Usage", IF(#REF!&lt;=200,"Medium Usage", IF(#REF!&lt;=250,"High Usage","Very High Usage")))</f>
        <v>#REF!</v>
      </c>
      <c r="AE3297" t="e">
        <f>IF(#REF!&lt;=5,"Low Calls", IF(#REF!&lt;=10, "Medium Calls", "High Calls"))</f>
        <v>#REF!</v>
      </c>
      <c r="AF3297" t="e">
        <f xml:space="preserve">
IF(#REF!&gt;=4,4,0)+
IF(#REF!="yes",3,0)+
IF(#REF!="High Charges",3,0)+
IF(#REF!&gt;250,4,0)+
IF(#REF!="no",1,0)+
IF(#REF!="Heavy Domestic User",2,0)</f>
        <v>#REF!</v>
      </c>
      <c r="AG3297" t="e">
        <f>IF(#REF!&gt;=10,"High Risk", IF(#REF!&gt;=5,"Medium Risk","Low Risk"))</f>
        <v>#REF!</v>
      </c>
      <c r="AH3297" t="e">
        <f>#REF! + #REF! + #REF! + #REF!</f>
        <v>#REF!</v>
      </c>
    </row>
    <row r="3298" spans="1:34" x14ac:dyDescent="0.35">
      <c r="A3298">
        <v>3297</v>
      </c>
      <c r="B3298" t="s">
        <v>46</v>
      </c>
      <c r="C3298">
        <v>163</v>
      </c>
      <c r="D3298" t="s">
        <v>21</v>
      </c>
      <c r="E3298" t="s">
        <v>22</v>
      </c>
      <c r="F3298" t="s">
        <v>23</v>
      </c>
      <c r="G3298">
        <v>39</v>
      </c>
      <c r="H3298">
        <v>268.10000000000002</v>
      </c>
      <c r="I3298">
        <v>104</v>
      </c>
      <c r="J3298">
        <v>45.58</v>
      </c>
      <c r="K3298">
        <v>216.6</v>
      </c>
      <c r="L3298">
        <v>65</v>
      </c>
      <c r="M3298">
        <v>18.41</v>
      </c>
      <c r="N3298">
        <v>359.9</v>
      </c>
      <c r="O3298">
        <v>118</v>
      </c>
      <c r="P3298">
        <v>16.2</v>
      </c>
      <c r="Q3298">
        <v>11.4</v>
      </c>
      <c r="R3298">
        <v>4</v>
      </c>
      <c r="S3298">
        <v>3.08</v>
      </c>
      <c r="T3298">
        <v>0</v>
      </c>
      <c r="U3298" t="s">
        <v>22</v>
      </c>
      <c r="V3298" t="e">
        <f>IF(#REF! = "yes", 1, 0)</f>
        <v>#REF!</v>
      </c>
      <c r="W3298" t="e">
        <f>IF(#REF! &lt;= 1, "0-1 Calls", IF(#REF! &lt;= 3, "2-3 Calls", IF(#REF! &lt;=5, "4-5 Calls", "6+ Calls")))</f>
        <v>#REF!</v>
      </c>
      <c r="X3298" t="e">
        <f>IF(#REF! &lt;= 50, "0-50", IF(#REF! &lt;=100, "51-100", IF(#REF! &lt;= 150, "101-150", "151+")))</f>
        <v>#REF!</v>
      </c>
      <c r="Y3298" t="e">
        <f>IF(#REF! &lt;= 3, "Low Charges", "High Charges")</f>
        <v>#REF!</v>
      </c>
      <c r="Z3298" t="e">
        <f>IF(#REF!&lt;=80,"Low Calls",
IF(#REF!&lt;=120,"Medium Calls","High Calls"))</f>
        <v>#REF!</v>
      </c>
      <c r="AA3298" t="e">
        <f>IF(#REF!&lt;=15,"Low Charges",
IF(#REF!&lt;=20,"Medium Charges","High Charges"))</f>
        <v>#REF!</v>
      </c>
      <c r="AB3298" t="e">
        <f>IF(AND(#REF!&gt;180, #REF!&gt;200), "Heavy Doemstic User", IF(#REF!&gt;10, "Interntional User", IF(AND(#REF!&lt;180, #REF!&lt;200,#REF!&lt;200), "Light User", "Balanced User")))</f>
        <v>#REF!</v>
      </c>
      <c r="AC3298" t="e">
        <f>IF(#REF! = 0, "No Usage", IF(#REF! &lt;= 20, "Low Usage", IF(#REF! &lt;= 40, "Medium Usgae", "High Usage")))</f>
        <v>#REF!</v>
      </c>
      <c r="AD3298" t="e">
        <f>IF(#REF!&lt;=150,"Low Usage", IF(#REF!&lt;=200,"Medium Usage", IF(#REF!&lt;=250,"High Usage","Very High Usage")))</f>
        <v>#REF!</v>
      </c>
      <c r="AE3298" t="e">
        <f>IF(#REF!&lt;=5,"Low Calls", IF(#REF!&lt;=10, "Medium Calls", "High Calls"))</f>
        <v>#REF!</v>
      </c>
      <c r="AF3298" t="e">
        <f xml:space="preserve">
IF(#REF!&gt;=4,4,0)+
IF(#REF!="yes",3,0)+
IF(#REF!="High Charges",3,0)+
IF(#REF!&gt;250,4,0)+
IF(#REF!="no",1,0)+
IF(#REF!="Heavy Domestic User",2,0)</f>
        <v>#REF!</v>
      </c>
      <c r="AG3298" t="e">
        <f>IF(#REF!&gt;=10,"High Risk", IF(#REF!&gt;=5,"Medium Risk","Low Risk"))</f>
        <v>#REF!</v>
      </c>
      <c r="AH3298" t="e">
        <f>#REF! + #REF! + #REF! + #REF!</f>
        <v>#REF!</v>
      </c>
    </row>
    <row r="3299" spans="1:34" x14ac:dyDescent="0.35">
      <c r="A3299">
        <v>3298</v>
      </c>
      <c r="B3299" t="s">
        <v>47</v>
      </c>
      <c r="C3299">
        <v>152</v>
      </c>
      <c r="D3299" t="s">
        <v>28</v>
      </c>
      <c r="E3299" t="s">
        <v>22</v>
      </c>
      <c r="F3299" t="s">
        <v>22</v>
      </c>
      <c r="G3299">
        <v>0</v>
      </c>
      <c r="H3299">
        <v>302.8</v>
      </c>
      <c r="I3299">
        <v>143</v>
      </c>
      <c r="J3299">
        <v>51.48</v>
      </c>
      <c r="K3299">
        <v>189.8</v>
      </c>
      <c r="L3299">
        <v>69</v>
      </c>
      <c r="M3299">
        <v>16.13</v>
      </c>
      <c r="N3299">
        <v>214.9</v>
      </c>
      <c r="O3299">
        <v>114</v>
      </c>
      <c r="P3299">
        <v>9.67</v>
      </c>
      <c r="Q3299">
        <v>10.9</v>
      </c>
      <c r="R3299">
        <v>4</v>
      </c>
      <c r="S3299">
        <v>2.94</v>
      </c>
      <c r="T3299">
        <v>2</v>
      </c>
      <c r="U3299" t="s">
        <v>23</v>
      </c>
      <c r="V3299" t="e">
        <f>IF(#REF! = "yes", 1, 0)</f>
        <v>#REF!</v>
      </c>
      <c r="W3299" t="e">
        <f>IF(#REF! &lt;= 1, "0-1 Calls", IF(#REF! &lt;= 3, "2-3 Calls", IF(#REF! &lt;=5, "4-5 Calls", "6+ Calls")))</f>
        <v>#REF!</v>
      </c>
      <c r="X3299" t="e">
        <f>IF(#REF! &lt;= 50, "0-50", IF(#REF! &lt;=100, "51-100", IF(#REF! &lt;= 150, "101-150", "151+")))</f>
        <v>#REF!</v>
      </c>
      <c r="Y3299" t="e">
        <f>IF(#REF! &lt;= 3, "Low Charges", "High Charges")</f>
        <v>#REF!</v>
      </c>
      <c r="Z3299" t="e">
        <f>IF(#REF!&lt;=80,"Low Calls",
IF(#REF!&lt;=120,"Medium Calls","High Calls"))</f>
        <v>#REF!</v>
      </c>
      <c r="AA3299" t="e">
        <f>IF(#REF!&lt;=15,"Low Charges",
IF(#REF!&lt;=20,"Medium Charges","High Charges"))</f>
        <v>#REF!</v>
      </c>
      <c r="AB3299" t="e">
        <f>IF(AND(#REF!&gt;180, #REF!&gt;200), "Heavy Doemstic User", IF(#REF!&gt;10, "Interntional User", IF(AND(#REF!&lt;180, #REF!&lt;200,#REF!&lt;200), "Light User", "Balanced User")))</f>
        <v>#REF!</v>
      </c>
      <c r="AC3299" t="e">
        <f>IF(#REF! = 0, "No Usage", IF(#REF! &lt;= 20, "Low Usage", IF(#REF! &lt;= 40, "Medium Usgae", "High Usage")))</f>
        <v>#REF!</v>
      </c>
      <c r="AD3299" t="e">
        <f>IF(#REF!&lt;=150,"Low Usage", IF(#REF!&lt;=200,"Medium Usage", IF(#REF!&lt;=250,"High Usage","Very High Usage")))</f>
        <v>#REF!</v>
      </c>
      <c r="AE3299" t="e">
        <f>IF(#REF!&lt;=5,"Low Calls", IF(#REF!&lt;=10, "Medium Calls", "High Calls"))</f>
        <v>#REF!</v>
      </c>
      <c r="AF3299" t="e">
        <f xml:space="preserve">
IF(#REF!&gt;=4,4,0)+
IF(#REF!="yes",3,0)+
IF(#REF!="High Charges",3,0)+
IF(#REF!&gt;250,4,0)+
IF(#REF!="no",1,0)+
IF(#REF!="Heavy Domestic User",2,0)</f>
        <v>#REF!</v>
      </c>
      <c r="AG3299" t="e">
        <f>IF(#REF!&gt;=10,"High Risk", IF(#REF!&gt;=5,"Medium Risk","Low Risk"))</f>
        <v>#REF!</v>
      </c>
      <c r="AH3299" t="e">
        <f>#REF! + #REF! + #REF! + #REF!</f>
        <v>#REF!</v>
      </c>
    </row>
    <row r="3300" spans="1:34" x14ac:dyDescent="0.35">
      <c r="A3300">
        <v>3299</v>
      </c>
      <c r="B3300" t="s">
        <v>31</v>
      </c>
      <c r="C3300">
        <v>44</v>
      </c>
      <c r="D3300" t="s">
        <v>25</v>
      </c>
      <c r="E3300" t="s">
        <v>22</v>
      </c>
      <c r="F3300" t="s">
        <v>22</v>
      </c>
      <c r="G3300">
        <v>0</v>
      </c>
      <c r="H3300">
        <v>213.2</v>
      </c>
      <c r="I3300">
        <v>85</v>
      </c>
      <c r="J3300">
        <v>36.24</v>
      </c>
      <c r="K3300">
        <v>224</v>
      </c>
      <c r="L3300">
        <v>128</v>
      </c>
      <c r="M3300">
        <v>19.04</v>
      </c>
      <c r="N3300">
        <v>137.80000000000001</v>
      </c>
      <c r="O3300">
        <v>74</v>
      </c>
      <c r="P3300">
        <v>6.2</v>
      </c>
      <c r="Q3300">
        <v>12.5</v>
      </c>
      <c r="R3300">
        <v>5</v>
      </c>
      <c r="S3300">
        <v>3.38</v>
      </c>
      <c r="T3300">
        <v>1</v>
      </c>
      <c r="U3300" t="s">
        <v>22</v>
      </c>
      <c r="V3300" t="e">
        <f>IF(#REF! = "yes", 1, 0)</f>
        <v>#REF!</v>
      </c>
      <c r="W3300" t="e">
        <f>IF(#REF! &lt;= 1, "0-1 Calls", IF(#REF! &lt;= 3, "2-3 Calls", IF(#REF! &lt;=5, "4-5 Calls", "6+ Calls")))</f>
        <v>#REF!</v>
      </c>
      <c r="X3300" t="e">
        <f>IF(#REF! &lt;= 50, "0-50", IF(#REF! &lt;=100, "51-100", IF(#REF! &lt;= 150, "101-150", "151+")))</f>
        <v>#REF!</v>
      </c>
      <c r="Y3300" t="e">
        <f>IF(#REF! &lt;= 3, "Low Charges", "High Charges")</f>
        <v>#REF!</v>
      </c>
      <c r="Z3300" t="e">
        <f>IF(#REF!&lt;=80,"Low Calls",
IF(#REF!&lt;=120,"Medium Calls","High Calls"))</f>
        <v>#REF!</v>
      </c>
      <c r="AA3300" t="e">
        <f>IF(#REF!&lt;=15,"Low Charges",
IF(#REF!&lt;=20,"Medium Charges","High Charges"))</f>
        <v>#REF!</v>
      </c>
      <c r="AB3300" t="e">
        <f>IF(AND(#REF!&gt;180, #REF!&gt;200), "Heavy Doemstic User", IF(#REF!&gt;10, "Interntional User", IF(AND(#REF!&lt;180, #REF!&lt;200,#REF!&lt;200), "Light User", "Balanced User")))</f>
        <v>#REF!</v>
      </c>
      <c r="AC3300" t="e">
        <f>IF(#REF! = 0, "No Usage", IF(#REF! &lt;= 20, "Low Usage", IF(#REF! &lt;= 40, "Medium Usgae", "High Usage")))</f>
        <v>#REF!</v>
      </c>
      <c r="AD3300" t="e">
        <f>IF(#REF!&lt;=150,"Low Usage", IF(#REF!&lt;=200,"Medium Usage", IF(#REF!&lt;=250,"High Usage","Very High Usage")))</f>
        <v>#REF!</v>
      </c>
      <c r="AE3300" t="e">
        <f>IF(#REF!&lt;=5,"Low Calls", IF(#REF!&lt;=10, "Medium Calls", "High Calls"))</f>
        <v>#REF!</v>
      </c>
      <c r="AF3300" t="e">
        <f xml:space="preserve">
IF(#REF!&gt;=4,4,0)+
IF(#REF!="yes",3,0)+
IF(#REF!="High Charges",3,0)+
IF(#REF!&gt;250,4,0)+
IF(#REF!="no",1,0)+
IF(#REF!="Heavy Domestic User",2,0)</f>
        <v>#REF!</v>
      </c>
      <c r="AG3300" t="e">
        <f>IF(#REF!&gt;=10,"High Risk", IF(#REF!&gt;=5,"Medium Risk","Low Risk"))</f>
        <v>#REF!</v>
      </c>
      <c r="AH3300" t="e">
        <f>#REF! + #REF! + #REF! + #REF!</f>
        <v>#REF!</v>
      </c>
    </row>
    <row r="3301" spans="1:34" x14ac:dyDescent="0.35">
      <c r="A3301">
        <v>3300</v>
      </c>
      <c r="B3301" t="s">
        <v>61</v>
      </c>
      <c r="C3301">
        <v>103</v>
      </c>
      <c r="D3301" t="s">
        <v>25</v>
      </c>
      <c r="E3301" t="s">
        <v>22</v>
      </c>
      <c r="F3301" t="s">
        <v>22</v>
      </c>
      <c r="G3301">
        <v>0</v>
      </c>
      <c r="H3301">
        <v>107.9</v>
      </c>
      <c r="I3301">
        <v>111</v>
      </c>
      <c r="J3301">
        <v>18.34</v>
      </c>
      <c r="K3301">
        <v>166.9</v>
      </c>
      <c r="L3301">
        <v>129</v>
      </c>
      <c r="M3301">
        <v>14.19</v>
      </c>
      <c r="N3301">
        <v>208.5</v>
      </c>
      <c r="O3301">
        <v>78</v>
      </c>
      <c r="P3301">
        <v>9.3800000000000008</v>
      </c>
      <c r="Q3301">
        <v>9.6999999999999993</v>
      </c>
      <c r="R3301">
        <v>3</v>
      </c>
      <c r="S3301">
        <v>2.62</v>
      </c>
      <c r="T3301">
        <v>1</v>
      </c>
      <c r="U3301" t="s">
        <v>22</v>
      </c>
      <c r="V3301" t="e">
        <f>IF(#REF! = "yes", 1, 0)</f>
        <v>#REF!</v>
      </c>
      <c r="W3301" t="e">
        <f>IF(#REF! &lt;= 1, "0-1 Calls", IF(#REF! &lt;= 3, "2-3 Calls", IF(#REF! &lt;=5, "4-5 Calls", "6+ Calls")))</f>
        <v>#REF!</v>
      </c>
      <c r="X3301" t="e">
        <f>IF(#REF! &lt;= 50, "0-50", IF(#REF! &lt;=100, "51-100", IF(#REF! &lt;= 150, "101-150", "151+")))</f>
        <v>#REF!</v>
      </c>
      <c r="Y3301" t="e">
        <f>IF(#REF! &lt;= 3, "Low Charges", "High Charges")</f>
        <v>#REF!</v>
      </c>
      <c r="Z3301" t="e">
        <f>IF(#REF!&lt;=80,"Low Calls",
IF(#REF!&lt;=120,"Medium Calls","High Calls"))</f>
        <v>#REF!</v>
      </c>
      <c r="AA3301" t="e">
        <f>IF(#REF!&lt;=15,"Low Charges",
IF(#REF!&lt;=20,"Medium Charges","High Charges"))</f>
        <v>#REF!</v>
      </c>
      <c r="AB3301" t="e">
        <f>IF(AND(#REF!&gt;180, #REF!&gt;200), "Heavy Doemstic User", IF(#REF!&gt;10, "Interntional User", IF(AND(#REF!&lt;180, #REF!&lt;200,#REF!&lt;200), "Light User", "Balanced User")))</f>
        <v>#REF!</v>
      </c>
      <c r="AC3301" t="e">
        <f>IF(#REF! = 0, "No Usage", IF(#REF! &lt;= 20, "Low Usage", IF(#REF! &lt;= 40, "Medium Usgae", "High Usage")))</f>
        <v>#REF!</v>
      </c>
      <c r="AD3301" t="e">
        <f>IF(#REF!&lt;=150,"Low Usage", IF(#REF!&lt;=200,"Medium Usage", IF(#REF!&lt;=250,"High Usage","Very High Usage")))</f>
        <v>#REF!</v>
      </c>
      <c r="AE3301" t="e">
        <f>IF(#REF!&lt;=5,"Low Calls", IF(#REF!&lt;=10, "Medium Calls", "High Calls"))</f>
        <v>#REF!</v>
      </c>
      <c r="AF3301" t="e">
        <f xml:space="preserve">
IF(#REF!&gt;=4,4,0)+
IF(#REF!="yes",3,0)+
IF(#REF!="High Charges",3,0)+
IF(#REF!&gt;250,4,0)+
IF(#REF!="no",1,0)+
IF(#REF!="Heavy Domestic User",2,0)</f>
        <v>#REF!</v>
      </c>
      <c r="AG3301" t="e">
        <f>IF(#REF!&gt;=10,"High Risk", IF(#REF!&gt;=5,"Medium Risk","Low Risk"))</f>
        <v>#REF!</v>
      </c>
      <c r="AH3301" t="e">
        <f>#REF! + #REF! + #REF! + #REF!</f>
        <v>#REF!</v>
      </c>
    </row>
    <row r="3302" spans="1:34" x14ac:dyDescent="0.35">
      <c r="A3302">
        <v>3301</v>
      </c>
      <c r="B3302" t="s">
        <v>33</v>
      </c>
      <c r="C3302">
        <v>126</v>
      </c>
      <c r="D3302" t="s">
        <v>28</v>
      </c>
      <c r="E3302" t="s">
        <v>22</v>
      </c>
      <c r="F3302" t="s">
        <v>22</v>
      </c>
      <c r="G3302">
        <v>0</v>
      </c>
      <c r="H3302">
        <v>181.7</v>
      </c>
      <c r="I3302">
        <v>102</v>
      </c>
      <c r="J3302">
        <v>30.89</v>
      </c>
      <c r="K3302">
        <v>216.3</v>
      </c>
      <c r="L3302">
        <v>114</v>
      </c>
      <c r="M3302">
        <v>18.39</v>
      </c>
      <c r="N3302">
        <v>317.89999999999998</v>
      </c>
      <c r="O3302">
        <v>83</v>
      </c>
      <c r="P3302">
        <v>14.31</v>
      </c>
      <c r="Q3302">
        <v>12.4</v>
      </c>
      <c r="R3302">
        <v>6</v>
      </c>
      <c r="S3302">
        <v>3.35</v>
      </c>
      <c r="T3302">
        <v>1</v>
      </c>
      <c r="U3302" t="s">
        <v>22</v>
      </c>
      <c r="V3302" t="e">
        <f>IF(#REF! = "yes", 1, 0)</f>
        <v>#REF!</v>
      </c>
      <c r="W3302" t="e">
        <f>IF(#REF! &lt;= 1, "0-1 Calls", IF(#REF! &lt;= 3, "2-3 Calls", IF(#REF! &lt;=5, "4-5 Calls", "6+ Calls")))</f>
        <v>#REF!</v>
      </c>
      <c r="X3302" t="e">
        <f>IF(#REF! &lt;= 50, "0-50", IF(#REF! &lt;=100, "51-100", IF(#REF! &lt;= 150, "101-150", "151+")))</f>
        <v>#REF!</v>
      </c>
      <c r="Y3302" t="e">
        <f>IF(#REF! &lt;= 3, "Low Charges", "High Charges")</f>
        <v>#REF!</v>
      </c>
      <c r="Z3302" t="e">
        <f>IF(#REF!&lt;=80,"Low Calls",
IF(#REF!&lt;=120,"Medium Calls","High Calls"))</f>
        <v>#REF!</v>
      </c>
      <c r="AA3302" t="e">
        <f>IF(#REF!&lt;=15,"Low Charges",
IF(#REF!&lt;=20,"Medium Charges","High Charges"))</f>
        <v>#REF!</v>
      </c>
      <c r="AB3302" t="e">
        <f>IF(AND(#REF!&gt;180, #REF!&gt;200), "Heavy Doemstic User", IF(#REF!&gt;10, "Interntional User", IF(AND(#REF!&lt;180, #REF!&lt;200,#REF!&lt;200), "Light User", "Balanced User")))</f>
        <v>#REF!</v>
      </c>
      <c r="AC3302" t="e">
        <f>IF(#REF! = 0, "No Usage", IF(#REF! &lt;= 20, "Low Usage", IF(#REF! &lt;= 40, "Medium Usgae", "High Usage")))</f>
        <v>#REF!</v>
      </c>
      <c r="AD3302" t="e">
        <f>IF(#REF!&lt;=150,"Low Usage", IF(#REF!&lt;=200,"Medium Usage", IF(#REF!&lt;=250,"High Usage","Very High Usage")))</f>
        <v>#REF!</v>
      </c>
      <c r="AE3302" t="e">
        <f>IF(#REF!&lt;=5,"Low Calls", IF(#REF!&lt;=10, "Medium Calls", "High Calls"))</f>
        <v>#REF!</v>
      </c>
      <c r="AF3302" t="e">
        <f xml:space="preserve">
IF(#REF!&gt;=4,4,0)+
IF(#REF!="yes",3,0)+
IF(#REF!="High Charges",3,0)+
IF(#REF!&gt;250,4,0)+
IF(#REF!="no",1,0)+
IF(#REF!="Heavy Domestic User",2,0)</f>
        <v>#REF!</v>
      </c>
      <c r="AG3302" t="e">
        <f>IF(#REF!&gt;=10,"High Risk", IF(#REF!&gt;=5,"Medium Risk","Low Risk"))</f>
        <v>#REF!</v>
      </c>
      <c r="AH3302" t="e">
        <f>#REF! + #REF! + #REF! + #REF!</f>
        <v>#REF!</v>
      </c>
    </row>
    <row r="3303" spans="1:34" x14ac:dyDescent="0.35">
      <c r="A3303">
        <v>3302</v>
      </c>
      <c r="B3303" t="s">
        <v>70</v>
      </c>
      <c r="C3303">
        <v>104</v>
      </c>
      <c r="D3303" t="s">
        <v>25</v>
      </c>
      <c r="E3303" t="s">
        <v>22</v>
      </c>
      <c r="F3303" t="s">
        <v>22</v>
      </c>
      <c r="G3303">
        <v>0</v>
      </c>
      <c r="H3303">
        <v>191.8</v>
      </c>
      <c r="I3303">
        <v>105</v>
      </c>
      <c r="J3303">
        <v>32.61</v>
      </c>
      <c r="K3303">
        <v>148.69999999999999</v>
      </c>
      <c r="L3303">
        <v>96</v>
      </c>
      <c r="M3303">
        <v>12.64</v>
      </c>
      <c r="N3303">
        <v>234.8</v>
      </c>
      <c r="O3303">
        <v>123</v>
      </c>
      <c r="P3303">
        <v>10.57</v>
      </c>
      <c r="Q3303">
        <v>19.3</v>
      </c>
      <c r="R3303">
        <v>4</v>
      </c>
      <c r="S3303">
        <v>5.21</v>
      </c>
      <c r="T3303">
        <v>1</v>
      </c>
      <c r="U3303" t="s">
        <v>22</v>
      </c>
      <c r="V3303" t="e">
        <f>IF(#REF! = "yes", 1, 0)</f>
        <v>#REF!</v>
      </c>
      <c r="W3303" t="e">
        <f>IF(#REF! &lt;= 1, "0-1 Calls", IF(#REF! &lt;= 3, "2-3 Calls", IF(#REF! &lt;=5, "4-5 Calls", "6+ Calls")))</f>
        <v>#REF!</v>
      </c>
      <c r="X3303" t="e">
        <f>IF(#REF! &lt;= 50, "0-50", IF(#REF! &lt;=100, "51-100", IF(#REF! &lt;= 150, "101-150", "151+")))</f>
        <v>#REF!</v>
      </c>
      <c r="Y3303" t="e">
        <f>IF(#REF! &lt;= 3, "Low Charges", "High Charges")</f>
        <v>#REF!</v>
      </c>
      <c r="Z3303" t="e">
        <f>IF(#REF!&lt;=80,"Low Calls",
IF(#REF!&lt;=120,"Medium Calls","High Calls"))</f>
        <v>#REF!</v>
      </c>
      <c r="AA3303" t="e">
        <f>IF(#REF!&lt;=15,"Low Charges",
IF(#REF!&lt;=20,"Medium Charges","High Charges"))</f>
        <v>#REF!</v>
      </c>
      <c r="AB3303" t="e">
        <f>IF(AND(#REF!&gt;180, #REF!&gt;200), "Heavy Doemstic User", IF(#REF!&gt;10, "Interntional User", IF(AND(#REF!&lt;180, #REF!&lt;200,#REF!&lt;200), "Light User", "Balanced User")))</f>
        <v>#REF!</v>
      </c>
      <c r="AC3303" t="e">
        <f>IF(#REF! = 0, "No Usage", IF(#REF! &lt;= 20, "Low Usage", IF(#REF! &lt;= 40, "Medium Usgae", "High Usage")))</f>
        <v>#REF!</v>
      </c>
      <c r="AD3303" t="e">
        <f>IF(#REF!&lt;=150,"Low Usage", IF(#REF!&lt;=200,"Medium Usage", IF(#REF!&lt;=250,"High Usage","Very High Usage")))</f>
        <v>#REF!</v>
      </c>
      <c r="AE3303" t="e">
        <f>IF(#REF!&lt;=5,"Low Calls", IF(#REF!&lt;=10, "Medium Calls", "High Calls"))</f>
        <v>#REF!</v>
      </c>
      <c r="AF3303" t="e">
        <f xml:space="preserve">
IF(#REF!&gt;=4,4,0)+
IF(#REF!="yes",3,0)+
IF(#REF!="High Charges",3,0)+
IF(#REF!&gt;250,4,0)+
IF(#REF!="no",1,0)+
IF(#REF!="Heavy Domestic User",2,0)</f>
        <v>#REF!</v>
      </c>
      <c r="AG3303" t="e">
        <f>IF(#REF!&gt;=10,"High Risk", IF(#REF!&gt;=5,"Medium Risk","Low Risk"))</f>
        <v>#REF!</v>
      </c>
      <c r="AH3303" t="e">
        <f>#REF! + #REF! + #REF! + #REF!</f>
        <v>#REF!</v>
      </c>
    </row>
    <row r="3304" spans="1:34" x14ac:dyDescent="0.35">
      <c r="A3304">
        <v>3303</v>
      </c>
      <c r="B3304" t="s">
        <v>50</v>
      </c>
      <c r="C3304">
        <v>99</v>
      </c>
      <c r="D3304" t="s">
        <v>25</v>
      </c>
      <c r="E3304" t="s">
        <v>22</v>
      </c>
      <c r="F3304" t="s">
        <v>23</v>
      </c>
      <c r="G3304">
        <v>21</v>
      </c>
      <c r="H3304">
        <v>180.2</v>
      </c>
      <c r="I3304">
        <v>97</v>
      </c>
      <c r="J3304">
        <v>30.63</v>
      </c>
      <c r="K3304">
        <v>167.7</v>
      </c>
      <c r="L3304">
        <v>47</v>
      </c>
      <c r="M3304">
        <v>14.25</v>
      </c>
      <c r="N3304">
        <v>203.1</v>
      </c>
      <c r="O3304">
        <v>84</v>
      </c>
      <c r="P3304">
        <v>9.14</v>
      </c>
      <c r="Q3304">
        <v>14.6</v>
      </c>
      <c r="R3304">
        <v>5</v>
      </c>
      <c r="S3304">
        <v>3.94</v>
      </c>
      <c r="T3304">
        <v>2</v>
      </c>
      <c r="U3304" t="s">
        <v>22</v>
      </c>
      <c r="V3304" t="e">
        <f>IF(#REF! = "yes", 1, 0)</f>
        <v>#REF!</v>
      </c>
      <c r="W3304" t="e">
        <f>IF(#REF! &lt;= 1, "0-1 Calls", IF(#REF! &lt;= 3, "2-3 Calls", IF(#REF! &lt;=5, "4-5 Calls", "6+ Calls")))</f>
        <v>#REF!</v>
      </c>
      <c r="X3304" t="e">
        <f>IF(#REF! &lt;= 50, "0-50", IF(#REF! &lt;=100, "51-100", IF(#REF! &lt;= 150, "101-150", "151+")))</f>
        <v>#REF!</v>
      </c>
      <c r="Y3304" t="e">
        <f>IF(#REF! &lt;= 3, "Low Charges", "High Charges")</f>
        <v>#REF!</v>
      </c>
      <c r="Z3304" t="e">
        <f>IF(#REF!&lt;=80,"Low Calls",
IF(#REF!&lt;=120,"Medium Calls","High Calls"))</f>
        <v>#REF!</v>
      </c>
      <c r="AA3304" t="e">
        <f>IF(#REF!&lt;=15,"Low Charges",
IF(#REF!&lt;=20,"Medium Charges","High Charges"))</f>
        <v>#REF!</v>
      </c>
      <c r="AB3304" t="e">
        <f>IF(AND(#REF!&gt;180, #REF!&gt;200), "Heavy Doemstic User", IF(#REF!&gt;10, "Interntional User", IF(AND(#REF!&lt;180, #REF!&lt;200,#REF!&lt;200), "Light User", "Balanced User")))</f>
        <v>#REF!</v>
      </c>
      <c r="AC3304" t="e">
        <f>IF(#REF! = 0, "No Usage", IF(#REF! &lt;= 20, "Low Usage", IF(#REF! &lt;= 40, "Medium Usgae", "High Usage")))</f>
        <v>#REF!</v>
      </c>
      <c r="AD3304" t="e">
        <f>IF(#REF!&lt;=150,"Low Usage", IF(#REF!&lt;=200,"Medium Usage", IF(#REF!&lt;=250,"High Usage","Very High Usage")))</f>
        <v>#REF!</v>
      </c>
      <c r="AE3304" t="e">
        <f>IF(#REF!&lt;=5,"Low Calls", IF(#REF!&lt;=10, "Medium Calls", "High Calls"))</f>
        <v>#REF!</v>
      </c>
      <c r="AF3304" t="e">
        <f xml:space="preserve">
IF(#REF!&gt;=4,4,0)+
IF(#REF!="yes",3,0)+
IF(#REF!="High Charges",3,0)+
IF(#REF!&gt;250,4,0)+
IF(#REF!="no",1,0)+
IF(#REF!="Heavy Domestic User",2,0)</f>
        <v>#REF!</v>
      </c>
      <c r="AG3304" t="e">
        <f>IF(#REF!&gt;=10,"High Risk", IF(#REF!&gt;=5,"Medium Risk","Low Risk"))</f>
        <v>#REF!</v>
      </c>
      <c r="AH3304" t="e">
        <f>#REF! + #REF! + #REF! + #REF!</f>
        <v>#REF!</v>
      </c>
    </row>
    <row r="3305" spans="1:34" x14ac:dyDescent="0.35">
      <c r="A3305">
        <v>3304</v>
      </c>
      <c r="B3305" t="s">
        <v>46</v>
      </c>
      <c r="C3305">
        <v>119</v>
      </c>
      <c r="D3305" t="s">
        <v>25</v>
      </c>
      <c r="E3305" t="s">
        <v>22</v>
      </c>
      <c r="F3305" t="s">
        <v>22</v>
      </c>
      <c r="G3305">
        <v>0</v>
      </c>
      <c r="H3305">
        <v>215.1</v>
      </c>
      <c r="I3305">
        <v>105</v>
      </c>
      <c r="J3305">
        <v>36.57</v>
      </c>
      <c r="K3305">
        <v>249.4</v>
      </c>
      <c r="L3305">
        <v>104</v>
      </c>
      <c r="M3305">
        <v>21.2</v>
      </c>
      <c r="N3305">
        <v>249.9</v>
      </c>
      <c r="O3305">
        <v>83</v>
      </c>
      <c r="P3305">
        <v>11.25</v>
      </c>
      <c r="Q3305">
        <v>10.8</v>
      </c>
      <c r="R3305">
        <v>8</v>
      </c>
      <c r="S3305">
        <v>2.92</v>
      </c>
      <c r="T3305">
        <v>2</v>
      </c>
      <c r="U3305" t="s">
        <v>22</v>
      </c>
      <c r="V3305" t="e">
        <f>IF(#REF! = "yes", 1, 0)</f>
        <v>#REF!</v>
      </c>
      <c r="W3305" t="e">
        <f>IF(#REF! &lt;= 1, "0-1 Calls", IF(#REF! &lt;= 3, "2-3 Calls", IF(#REF! &lt;=5, "4-5 Calls", "6+ Calls")))</f>
        <v>#REF!</v>
      </c>
      <c r="X3305" t="e">
        <f>IF(#REF! &lt;= 50, "0-50", IF(#REF! &lt;=100, "51-100", IF(#REF! &lt;= 150, "101-150", "151+")))</f>
        <v>#REF!</v>
      </c>
      <c r="Y3305" t="e">
        <f>IF(#REF! &lt;= 3, "Low Charges", "High Charges")</f>
        <v>#REF!</v>
      </c>
      <c r="Z3305" t="e">
        <f>IF(#REF!&lt;=80,"Low Calls",
IF(#REF!&lt;=120,"Medium Calls","High Calls"))</f>
        <v>#REF!</v>
      </c>
      <c r="AA3305" t="e">
        <f>IF(#REF!&lt;=15,"Low Charges",
IF(#REF!&lt;=20,"Medium Charges","High Charges"))</f>
        <v>#REF!</v>
      </c>
      <c r="AB3305" t="e">
        <f>IF(AND(#REF!&gt;180, #REF!&gt;200), "Heavy Doemstic User", IF(#REF!&gt;10, "Interntional User", IF(AND(#REF!&lt;180, #REF!&lt;200,#REF!&lt;200), "Light User", "Balanced User")))</f>
        <v>#REF!</v>
      </c>
      <c r="AC3305" t="e">
        <f>IF(#REF! = 0, "No Usage", IF(#REF! &lt;= 20, "Low Usage", IF(#REF! &lt;= 40, "Medium Usgae", "High Usage")))</f>
        <v>#REF!</v>
      </c>
      <c r="AD3305" t="e">
        <f>IF(#REF!&lt;=150,"Low Usage", IF(#REF!&lt;=200,"Medium Usage", IF(#REF!&lt;=250,"High Usage","Very High Usage")))</f>
        <v>#REF!</v>
      </c>
      <c r="AE3305" t="e">
        <f>IF(#REF!&lt;=5,"Low Calls", IF(#REF!&lt;=10, "Medium Calls", "High Calls"))</f>
        <v>#REF!</v>
      </c>
      <c r="AF3305" t="e">
        <f xml:space="preserve">
IF(#REF!&gt;=4,4,0)+
IF(#REF!="yes",3,0)+
IF(#REF!="High Charges",3,0)+
IF(#REF!&gt;250,4,0)+
IF(#REF!="no",1,0)+
IF(#REF!="Heavy Domestic User",2,0)</f>
        <v>#REF!</v>
      </c>
      <c r="AG3305" t="e">
        <f>IF(#REF!&gt;=10,"High Risk", IF(#REF!&gt;=5,"Medium Risk","Low Risk"))</f>
        <v>#REF!</v>
      </c>
      <c r="AH3305" t="e">
        <f>#REF! + #REF! + #REF! + #REF!</f>
        <v>#REF!</v>
      </c>
    </row>
    <row r="3306" spans="1:34" x14ac:dyDescent="0.35">
      <c r="A3306">
        <v>3305</v>
      </c>
      <c r="B3306" t="s">
        <v>65</v>
      </c>
      <c r="C3306">
        <v>155</v>
      </c>
      <c r="D3306" t="s">
        <v>28</v>
      </c>
      <c r="E3306" t="s">
        <v>23</v>
      </c>
      <c r="F3306" t="s">
        <v>23</v>
      </c>
      <c r="G3306">
        <v>38</v>
      </c>
      <c r="H3306">
        <v>234.6</v>
      </c>
      <c r="I3306">
        <v>84</v>
      </c>
      <c r="J3306">
        <v>39.880000000000003</v>
      </c>
      <c r="K3306">
        <v>214.9</v>
      </c>
      <c r="L3306">
        <v>119</v>
      </c>
      <c r="M3306">
        <v>18.27</v>
      </c>
      <c r="N3306">
        <v>196.7</v>
      </c>
      <c r="O3306">
        <v>69</v>
      </c>
      <c r="P3306">
        <v>8.85</v>
      </c>
      <c r="Q3306">
        <v>8</v>
      </c>
      <c r="R3306">
        <v>2</v>
      </c>
      <c r="S3306">
        <v>2.16</v>
      </c>
      <c r="T3306">
        <v>1</v>
      </c>
      <c r="U3306" t="s">
        <v>23</v>
      </c>
      <c r="V3306" t="e">
        <f>IF(#REF! = "yes", 1, 0)</f>
        <v>#REF!</v>
      </c>
      <c r="W3306" t="e">
        <f>IF(#REF! &lt;= 1, "0-1 Calls", IF(#REF! &lt;= 3, "2-3 Calls", IF(#REF! &lt;=5, "4-5 Calls", "6+ Calls")))</f>
        <v>#REF!</v>
      </c>
      <c r="X3306" t="e">
        <f>IF(#REF! &lt;= 50, "0-50", IF(#REF! &lt;=100, "51-100", IF(#REF! &lt;= 150, "101-150", "151+")))</f>
        <v>#REF!</v>
      </c>
      <c r="Y3306" t="e">
        <f>IF(#REF! &lt;= 3, "Low Charges", "High Charges")</f>
        <v>#REF!</v>
      </c>
      <c r="Z3306" t="e">
        <f>IF(#REF!&lt;=80,"Low Calls",
IF(#REF!&lt;=120,"Medium Calls","High Calls"))</f>
        <v>#REF!</v>
      </c>
      <c r="AA3306" t="e">
        <f>IF(#REF!&lt;=15,"Low Charges",
IF(#REF!&lt;=20,"Medium Charges","High Charges"))</f>
        <v>#REF!</v>
      </c>
      <c r="AB3306" t="e">
        <f>IF(AND(#REF!&gt;180, #REF!&gt;200), "Heavy Doemstic User", IF(#REF!&gt;10, "Interntional User", IF(AND(#REF!&lt;180, #REF!&lt;200,#REF!&lt;200), "Light User", "Balanced User")))</f>
        <v>#REF!</v>
      </c>
      <c r="AC3306" t="e">
        <f>IF(#REF! = 0, "No Usage", IF(#REF! &lt;= 20, "Low Usage", IF(#REF! &lt;= 40, "Medium Usgae", "High Usage")))</f>
        <v>#REF!</v>
      </c>
      <c r="AD3306" t="e">
        <f>IF(#REF!&lt;=150,"Low Usage", IF(#REF!&lt;=200,"Medium Usage", IF(#REF!&lt;=250,"High Usage","Very High Usage")))</f>
        <v>#REF!</v>
      </c>
      <c r="AE3306" t="e">
        <f>IF(#REF!&lt;=5,"Low Calls", IF(#REF!&lt;=10, "Medium Calls", "High Calls"))</f>
        <v>#REF!</v>
      </c>
      <c r="AF3306" t="e">
        <f xml:space="preserve">
IF(#REF!&gt;=4,4,0)+
IF(#REF!="yes",3,0)+
IF(#REF!="High Charges",3,0)+
IF(#REF!&gt;250,4,0)+
IF(#REF!="no",1,0)+
IF(#REF!="Heavy Domestic User",2,0)</f>
        <v>#REF!</v>
      </c>
      <c r="AG3306" t="e">
        <f>IF(#REF!&gt;=10,"High Risk", IF(#REF!&gt;=5,"Medium Risk","Low Risk"))</f>
        <v>#REF!</v>
      </c>
      <c r="AH3306" t="e">
        <f>#REF! + #REF! + #REF! + #REF!</f>
        <v>#REF!</v>
      </c>
    </row>
    <row r="3307" spans="1:34" x14ac:dyDescent="0.35">
      <c r="A3307">
        <v>3306</v>
      </c>
      <c r="B3307" t="s">
        <v>70</v>
      </c>
      <c r="C3307">
        <v>51</v>
      </c>
      <c r="D3307" t="s">
        <v>21</v>
      </c>
      <c r="E3307" t="s">
        <v>22</v>
      </c>
      <c r="F3307" t="s">
        <v>23</v>
      </c>
      <c r="G3307">
        <v>43</v>
      </c>
      <c r="H3307">
        <v>158.19999999999999</v>
      </c>
      <c r="I3307">
        <v>94</v>
      </c>
      <c r="J3307">
        <v>26.89</v>
      </c>
      <c r="K3307">
        <v>213.2</v>
      </c>
      <c r="L3307">
        <v>105</v>
      </c>
      <c r="M3307">
        <v>18.12</v>
      </c>
      <c r="N3307">
        <v>190.4</v>
      </c>
      <c r="O3307">
        <v>91</v>
      </c>
      <c r="P3307">
        <v>8.57</v>
      </c>
      <c r="Q3307">
        <v>8.5</v>
      </c>
      <c r="R3307">
        <v>2</v>
      </c>
      <c r="S3307">
        <v>2.2999999999999998</v>
      </c>
      <c r="T3307">
        <v>2</v>
      </c>
      <c r="U3307" t="s">
        <v>22</v>
      </c>
      <c r="V3307" t="e">
        <f>IF(#REF! = "yes", 1, 0)</f>
        <v>#REF!</v>
      </c>
      <c r="W3307" t="e">
        <f>IF(#REF! &lt;= 1, "0-1 Calls", IF(#REF! &lt;= 3, "2-3 Calls", IF(#REF! &lt;=5, "4-5 Calls", "6+ Calls")))</f>
        <v>#REF!</v>
      </c>
      <c r="X3307" t="e">
        <f>IF(#REF! &lt;= 50, "0-50", IF(#REF! &lt;=100, "51-100", IF(#REF! &lt;= 150, "101-150", "151+")))</f>
        <v>#REF!</v>
      </c>
      <c r="Y3307" t="e">
        <f>IF(#REF! &lt;= 3, "Low Charges", "High Charges")</f>
        <v>#REF!</v>
      </c>
      <c r="Z3307" t="e">
        <f>IF(#REF!&lt;=80,"Low Calls",
IF(#REF!&lt;=120,"Medium Calls","High Calls"))</f>
        <v>#REF!</v>
      </c>
      <c r="AA3307" t="e">
        <f>IF(#REF!&lt;=15,"Low Charges",
IF(#REF!&lt;=20,"Medium Charges","High Charges"))</f>
        <v>#REF!</v>
      </c>
      <c r="AB3307" t="e">
        <f>IF(AND(#REF!&gt;180, #REF!&gt;200), "Heavy Doemstic User", IF(#REF!&gt;10, "Interntional User", IF(AND(#REF!&lt;180, #REF!&lt;200,#REF!&lt;200), "Light User", "Balanced User")))</f>
        <v>#REF!</v>
      </c>
      <c r="AC3307" t="e">
        <f>IF(#REF! = 0, "No Usage", IF(#REF! &lt;= 20, "Low Usage", IF(#REF! &lt;= 40, "Medium Usgae", "High Usage")))</f>
        <v>#REF!</v>
      </c>
      <c r="AD3307" t="e">
        <f>IF(#REF!&lt;=150,"Low Usage", IF(#REF!&lt;=200,"Medium Usage", IF(#REF!&lt;=250,"High Usage","Very High Usage")))</f>
        <v>#REF!</v>
      </c>
      <c r="AE3307" t="e">
        <f>IF(#REF!&lt;=5,"Low Calls", IF(#REF!&lt;=10, "Medium Calls", "High Calls"))</f>
        <v>#REF!</v>
      </c>
      <c r="AF3307" t="e">
        <f xml:space="preserve">
IF(#REF!&gt;=4,4,0)+
IF(#REF!="yes",3,0)+
IF(#REF!="High Charges",3,0)+
IF(#REF!&gt;250,4,0)+
IF(#REF!="no",1,0)+
IF(#REF!="Heavy Domestic User",2,0)</f>
        <v>#REF!</v>
      </c>
      <c r="AG3307" t="e">
        <f>IF(#REF!&gt;=10,"High Risk", IF(#REF!&gt;=5,"Medium Risk","Low Risk"))</f>
        <v>#REF!</v>
      </c>
      <c r="AH3307" t="e">
        <f>#REF! + #REF! + #REF! + #REF!</f>
        <v>#REF!</v>
      </c>
    </row>
    <row r="3308" spans="1:34" x14ac:dyDescent="0.35">
      <c r="A3308">
        <v>3307</v>
      </c>
      <c r="B3308" t="s">
        <v>43</v>
      </c>
      <c r="C3308">
        <v>142</v>
      </c>
      <c r="D3308" t="s">
        <v>28</v>
      </c>
      <c r="E3308" t="s">
        <v>22</v>
      </c>
      <c r="F3308" t="s">
        <v>22</v>
      </c>
      <c r="G3308">
        <v>0</v>
      </c>
      <c r="H3308">
        <v>204.2</v>
      </c>
      <c r="I3308">
        <v>98</v>
      </c>
      <c r="J3308">
        <v>34.71</v>
      </c>
      <c r="K3308">
        <v>188.9</v>
      </c>
      <c r="L3308">
        <v>85</v>
      </c>
      <c r="M3308">
        <v>16.059999999999999</v>
      </c>
      <c r="N3308">
        <v>231.2</v>
      </c>
      <c r="O3308">
        <v>136</v>
      </c>
      <c r="P3308">
        <v>10.4</v>
      </c>
      <c r="Q3308">
        <v>6.5</v>
      </c>
      <c r="R3308">
        <v>6</v>
      </c>
      <c r="S3308">
        <v>1.76</v>
      </c>
      <c r="T3308">
        <v>1</v>
      </c>
      <c r="U3308" t="s">
        <v>22</v>
      </c>
      <c r="V3308" t="e">
        <f>IF(#REF! = "yes", 1, 0)</f>
        <v>#REF!</v>
      </c>
      <c r="W3308" t="e">
        <f>IF(#REF! &lt;= 1, "0-1 Calls", IF(#REF! &lt;= 3, "2-3 Calls", IF(#REF! &lt;=5, "4-5 Calls", "6+ Calls")))</f>
        <v>#REF!</v>
      </c>
      <c r="X3308" t="e">
        <f>IF(#REF! &lt;= 50, "0-50", IF(#REF! &lt;=100, "51-100", IF(#REF! &lt;= 150, "101-150", "151+")))</f>
        <v>#REF!</v>
      </c>
      <c r="Y3308" t="e">
        <f>IF(#REF! &lt;= 3, "Low Charges", "High Charges")</f>
        <v>#REF!</v>
      </c>
      <c r="Z3308" t="e">
        <f>IF(#REF!&lt;=80,"Low Calls",
IF(#REF!&lt;=120,"Medium Calls","High Calls"))</f>
        <v>#REF!</v>
      </c>
      <c r="AA3308" t="e">
        <f>IF(#REF!&lt;=15,"Low Charges",
IF(#REF!&lt;=20,"Medium Charges","High Charges"))</f>
        <v>#REF!</v>
      </c>
      <c r="AB3308" t="e">
        <f>IF(AND(#REF!&gt;180, #REF!&gt;200), "Heavy Doemstic User", IF(#REF!&gt;10, "Interntional User", IF(AND(#REF!&lt;180, #REF!&lt;200,#REF!&lt;200), "Light User", "Balanced User")))</f>
        <v>#REF!</v>
      </c>
      <c r="AC3308" t="e">
        <f>IF(#REF! = 0, "No Usage", IF(#REF! &lt;= 20, "Low Usage", IF(#REF! &lt;= 40, "Medium Usgae", "High Usage")))</f>
        <v>#REF!</v>
      </c>
      <c r="AD3308" t="e">
        <f>IF(#REF!&lt;=150,"Low Usage", IF(#REF!&lt;=200,"Medium Usage", IF(#REF!&lt;=250,"High Usage","Very High Usage")))</f>
        <v>#REF!</v>
      </c>
      <c r="AE3308" t="e">
        <f>IF(#REF!&lt;=5,"Low Calls", IF(#REF!&lt;=10, "Medium Calls", "High Calls"))</f>
        <v>#REF!</v>
      </c>
      <c r="AF3308" t="e">
        <f xml:space="preserve">
IF(#REF!&gt;=4,4,0)+
IF(#REF!="yes",3,0)+
IF(#REF!="High Charges",3,0)+
IF(#REF!&gt;250,4,0)+
IF(#REF!="no",1,0)+
IF(#REF!="Heavy Domestic User",2,0)</f>
        <v>#REF!</v>
      </c>
      <c r="AG3308" t="e">
        <f>IF(#REF!&gt;=10,"High Risk", IF(#REF!&gt;=5,"Medium Risk","Low Risk"))</f>
        <v>#REF!</v>
      </c>
      <c r="AH3308" t="e">
        <f>#REF! + #REF! + #REF! + #REF!</f>
        <v>#REF!</v>
      </c>
    </row>
    <row r="3309" spans="1:34" x14ac:dyDescent="0.35">
      <c r="A3309">
        <v>3308</v>
      </c>
      <c r="B3309" t="s">
        <v>37</v>
      </c>
      <c r="C3309">
        <v>108</v>
      </c>
      <c r="D3309" t="s">
        <v>21</v>
      </c>
      <c r="E3309" t="s">
        <v>22</v>
      </c>
      <c r="F3309" t="s">
        <v>22</v>
      </c>
      <c r="G3309">
        <v>0</v>
      </c>
      <c r="H3309">
        <v>221.8</v>
      </c>
      <c r="I3309">
        <v>105</v>
      </c>
      <c r="J3309">
        <v>37.71</v>
      </c>
      <c r="K3309">
        <v>108.2</v>
      </c>
      <c r="L3309">
        <v>107</v>
      </c>
      <c r="M3309">
        <v>9.1999999999999993</v>
      </c>
      <c r="N3309">
        <v>207.1</v>
      </c>
      <c r="O3309">
        <v>87</v>
      </c>
      <c r="P3309">
        <v>9.32</v>
      </c>
      <c r="Q3309">
        <v>12.1</v>
      </c>
      <c r="R3309">
        <v>3</v>
      </c>
      <c r="S3309">
        <v>3.27</v>
      </c>
      <c r="T3309">
        <v>2</v>
      </c>
      <c r="U3309" t="s">
        <v>22</v>
      </c>
      <c r="V3309" t="e">
        <f>IF(#REF! = "yes", 1, 0)</f>
        <v>#REF!</v>
      </c>
      <c r="W3309" t="e">
        <f>IF(#REF! &lt;= 1, "0-1 Calls", IF(#REF! &lt;= 3, "2-3 Calls", IF(#REF! &lt;=5, "4-5 Calls", "6+ Calls")))</f>
        <v>#REF!</v>
      </c>
      <c r="X3309" t="e">
        <f>IF(#REF! &lt;= 50, "0-50", IF(#REF! &lt;=100, "51-100", IF(#REF! &lt;= 150, "101-150", "151+")))</f>
        <v>#REF!</v>
      </c>
      <c r="Y3309" t="e">
        <f>IF(#REF! &lt;= 3, "Low Charges", "High Charges")</f>
        <v>#REF!</v>
      </c>
      <c r="Z3309" t="e">
        <f>IF(#REF!&lt;=80,"Low Calls",
IF(#REF!&lt;=120,"Medium Calls","High Calls"))</f>
        <v>#REF!</v>
      </c>
      <c r="AA3309" t="e">
        <f>IF(#REF!&lt;=15,"Low Charges",
IF(#REF!&lt;=20,"Medium Charges","High Charges"))</f>
        <v>#REF!</v>
      </c>
      <c r="AB3309" t="e">
        <f>IF(AND(#REF!&gt;180, #REF!&gt;200), "Heavy Doemstic User", IF(#REF!&gt;10, "Interntional User", IF(AND(#REF!&lt;180, #REF!&lt;200,#REF!&lt;200), "Light User", "Balanced User")))</f>
        <v>#REF!</v>
      </c>
      <c r="AC3309" t="e">
        <f>IF(#REF! = 0, "No Usage", IF(#REF! &lt;= 20, "Low Usage", IF(#REF! &lt;= 40, "Medium Usgae", "High Usage")))</f>
        <v>#REF!</v>
      </c>
      <c r="AD3309" t="e">
        <f>IF(#REF!&lt;=150,"Low Usage", IF(#REF!&lt;=200,"Medium Usage", IF(#REF!&lt;=250,"High Usage","Very High Usage")))</f>
        <v>#REF!</v>
      </c>
      <c r="AE3309" t="e">
        <f>IF(#REF!&lt;=5,"Low Calls", IF(#REF!&lt;=10, "Medium Calls", "High Calls"))</f>
        <v>#REF!</v>
      </c>
      <c r="AF3309" t="e">
        <f xml:space="preserve">
IF(#REF!&gt;=4,4,0)+
IF(#REF!="yes",3,0)+
IF(#REF!="High Charges",3,0)+
IF(#REF!&gt;250,4,0)+
IF(#REF!="no",1,0)+
IF(#REF!="Heavy Domestic User",2,0)</f>
        <v>#REF!</v>
      </c>
      <c r="AG3309" t="e">
        <f>IF(#REF!&gt;=10,"High Risk", IF(#REF!&gt;=5,"Medium Risk","Low Risk"))</f>
        <v>#REF!</v>
      </c>
      <c r="AH3309" t="e">
        <f>#REF! + #REF! + #REF! + #REF!</f>
        <v>#REF!</v>
      </c>
    </row>
    <row r="3310" spans="1:34" x14ac:dyDescent="0.35">
      <c r="A3310">
        <v>3309</v>
      </c>
      <c r="B3310" t="s">
        <v>20</v>
      </c>
      <c r="C3310">
        <v>154</v>
      </c>
      <c r="D3310" t="s">
        <v>21</v>
      </c>
      <c r="E3310" t="s">
        <v>22</v>
      </c>
      <c r="F3310" t="s">
        <v>23</v>
      </c>
      <c r="G3310">
        <v>14</v>
      </c>
      <c r="H3310">
        <v>183</v>
      </c>
      <c r="I3310">
        <v>113</v>
      </c>
      <c r="J3310">
        <v>31.11</v>
      </c>
      <c r="K3310">
        <v>187</v>
      </c>
      <c r="L3310">
        <v>144</v>
      </c>
      <c r="M3310">
        <v>15.9</v>
      </c>
      <c r="N3310">
        <v>181.1</v>
      </c>
      <c r="O3310">
        <v>112</v>
      </c>
      <c r="P3310">
        <v>8.15</v>
      </c>
      <c r="Q3310">
        <v>10.199999999999999</v>
      </c>
      <c r="R3310">
        <v>3</v>
      </c>
      <c r="S3310">
        <v>2.75</v>
      </c>
      <c r="T3310">
        <v>1</v>
      </c>
      <c r="U3310" t="s">
        <v>22</v>
      </c>
      <c r="V3310" t="e">
        <f>IF(#REF! = "yes", 1, 0)</f>
        <v>#REF!</v>
      </c>
      <c r="W3310" t="e">
        <f>IF(#REF! &lt;= 1, "0-1 Calls", IF(#REF! &lt;= 3, "2-3 Calls", IF(#REF! &lt;=5, "4-5 Calls", "6+ Calls")))</f>
        <v>#REF!</v>
      </c>
      <c r="X3310" t="e">
        <f>IF(#REF! &lt;= 50, "0-50", IF(#REF! &lt;=100, "51-100", IF(#REF! &lt;= 150, "101-150", "151+")))</f>
        <v>#REF!</v>
      </c>
      <c r="Y3310" t="e">
        <f>IF(#REF! &lt;= 3, "Low Charges", "High Charges")</f>
        <v>#REF!</v>
      </c>
      <c r="Z3310" t="e">
        <f>IF(#REF!&lt;=80,"Low Calls",
IF(#REF!&lt;=120,"Medium Calls","High Calls"))</f>
        <v>#REF!</v>
      </c>
      <c r="AA3310" t="e">
        <f>IF(#REF!&lt;=15,"Low Charges",
IF(#REF!&lt;=20,"Medium Charges","High Charges"))</f>
        <v>#REF!</v>
      </c>
      <c r="AB3310" t="e">
        <f>IF(AND(#REF!&gt;180, #REF!&gt;200), "Heavy Doemstic User", IF(#REF!&gt;10, "Interntional User", IF(AND(#REF!&lt;180, #REF!&lt;200,#REF!&lt;200), "Light User", "Balanced User")))</f>
        <v>#REF!</v>
      </c>
      <c r="AC3310" t="e">
        <f>IF(#REF! = 0, "No Usage", IF(#REF! &lt;= 20, "Low Usage", IF(#REF! &lt;= 40, "Medium Usgae", "High Usage")))</f>
        <v>#REF!</v>
      </c>
      <c r="AD3310" t="e">
        <f>IF(#REF!&lt;=150,"Low Usage", IF(#REF!&lt;=200,"Medium Usage", IF(#REF!&lt;=250,"High Usage","Very High Usage")))</f>
        <v>#REF!</v>
      </c>
      <c r="AE3310" t="e">
        <f>IF(#REF!&lt;=5,"Low Calls", IF(#REF!&lt;=10, "Medium Calls", "High Calls"))</f>
        <v>#REF!</v>
      </c>
      <c r="AF3310" t="e">
        <f xml:space="preserve">
IF(#REF!&gt;=4,4,0)+
IF(#REF!="yes",3,0)+
IF(#REF!="High Charges",3,0)+
IF(#REF!&gt;250,4,0)+
IF(#REF!="no",1,0)+
IF(#REF!="Heavy Domestic User",2,0)</f>
        <v>#REF!</v>
      </c>
      <c r="AG3310" t="e">
        <f>IF(#REF!&gt;=10,"High Risk", IF(#REF!&gt;=5,"Medium Risk","Low Risk"))</f>
        <v>#REF!</v>
      </c>
      <c r="AH3310" t="e">
        <f>#REF! + #REF! + #REF! + #REF!</f>
        <v>#REF!</v>
      </c>
    </row>
    <row r="3311" spans="1:34" x14ac:dyDescent="0.35">
      <c r="A3311">
        <v>3310</v>
      </c>
      <c r="B3311" t="s">
        <v>68</v>
      </c>
      <c r="C3311">
        <v>171</v>
      </c>
      <c r="D3311" t="s">
        <v>28</v>
      </c>
      <c r="E3311" t="s">
        <v>22</v>
      </c>
      <c r="F3311" t="s">
        <v>22</v>
      </c>
      <c r="G3311">
        <v>0</v>
      </c>
      <c r="H3311">
        <v>221.5</v>
      </c>
      <c r="I3311">
        <v>103</v>
      </c>
      <c r="J3311">
        <v>37.659999999999997</v>
      </c>
      <c r="K3311">
        <v>109.5</v>
      </c>
      <c r="L3311">
        <v>58</v>
      </c>
      <c r="M3311">
        <v>9.31</v>
      </c>
      <c r="N3311">
        <v>134.6</v>
      </c>
      <c r="O3311">
        <v>115</v>
      </c>
      <c r="P3311">
        <v>6.06</v>
      </c>
      <c r="Q3311">
        <v>11.6</v>
      </c>
      <c r="R3311">
        <v>4</v>
      </c>
      <c r="S3311">
        <v>3.13</v>
      </c>
      <c r="T3311">
        <v>1</v>
      </c>
      <c r="U3311" t="s">
        <v>22</v>
      </c>
      <c r="V3311" t="e">
        <f>IF(#REF! = "yes", 1, 0)</f>
        <v>#REF!</v>
      </c>
      <c r="W3311" t="e">
        <f>IF(#REF! &lt;= 1, "0-1 Calls", IF(#REF! &lt;= 3, "2-3 Calls", IF(#REF! &lt;=5, "4-5 Calls", "6+ Calls")))</f>
        <v>#REF!</v>
      </c>
      <c r="X3311" t="e">
        <f>IF(#REF! &lt;= 50, "0-50", IF(#REF! &lt;=100, "51-100", IF(#REF! &lt;= 150, "101-150", "151+")))</f>
        <v>#REF!</v>
      </c>
      <c r="Y3311" t="e">
        <f>IF(#REF! &lt;= 3, "Low Charges", "High Charges")</f>
        <v>#REF!</v>
      </c>
      <c r="Z3311" t="e">
        <f>IF(#REF!&lt;=80,"Low Calls",
IF(#REF!&lt;=120,"Medium Calls","High Calls"))</f>
        <v>#REF!</v>
      </c>
      <c r="AA3311" t="e">
        <f>IF(#REF!&lt;=15,"Low Charges",
IF(#REF!&lt;=20,"Medium Charges","High Charges"))</f>
        <v>#REF!</v>
      </c>
      <c r="AB3311" t="e">
        <f>IF(AND(#REF!&gt;180, #REF!&gt;200), "Heavy Doemstic User", IF(#REF!&gt;10, "Interntional User", IF(AND(#REF!&lt;180, #REF!&lt;200,#REF!&lt;200), "Light User", "Balanced User")))</f>
        <v>#REF!</v>
      </c>
      <c r="AC3311" t="e">
        <f>IF(#REF! = 0, "No Usage", IF(#REF! &lt;= 20, "Low Usage", IF(#REF! &lt;= 40, "Medium Usgae", "High Usage")))</f>
        <v>#REF!</v>
      </c>
      <c r="AD3311" t="e">
        <f>IF(#REF!&lt;=150,"Low Usage", IF(#REF!&lt;=200,"Medium Usage", IF(#REF!&lt;=250,"High Usage","Very High Usage")))</f>
        <v>#REF!</v>
      </c>
      <c r="AE3311" t="e">
        <f>IF(#REF!&lt;=5,"Low Calls", IF(#REF!&lt;=10, "Medium Calls", "High Calls"))</f>
        <v>#REF!</v>
      </c>
      <c r="AF3311" t="e">
        <f xml:space="preserve">
IF(#REF!&gt;=4,4,0)+
IF(#REF!="yes",3,0)+
IF(#REF!="High Charges",3,0)+
IF(#REF!&gt;250,4,0)+
IF(#REF!="no",1,0)+
IF(#REF!="Heavy Domestic User",2,0)</f>
        <v>#REF!</v>
      </c>
      <c r="AG3311" t="e">
        <f>IF(#REF!&gt;=10,"High Risk", IF(#REF!&gt;=5,"Medium Risk","Low Risk"))</f>
        <v>#REF!</v>
      </c>
      <c r="AH3311" t="e">
        <f>#REF! + #REF! + #REF! + #REF!</f>
        <v>#REF!</v>
      </c>
    </row>
    <row r="3312" spans="1:34" x14ac:dyDescent="0.35">
      <c r="A3312">
        <v>3311</v>
      </c>
      <c r="B3312" t="s">
        <v>70</v>
      </c>
      <c r="C3312">
        <v>33</v>
      </c>
      <c r="D3312" t="s">
        <v>21</v>
      </c>
      <c r="E3312" t="s">
        <v>22</v>
      </c>
      <c r="F3312" t="s">
        <v>22</v>
      </c>
      <c r="G3312">
        <v>0</v>
      </c>
      <c r="H3312">
        <v>228.1</v>
      </c>
      <c r="I3312">
        <v>77</v>
      </c>
      <c r="J3312">
        <v>38.78</v>
      </c>
      <c r="K3312">
        <v>176.3</v>
      </c>
      <c r="L3312">
        <v>102</v>
      </c>
      <c r="M3312">
        <v>14.99</v>
      </c>
      <c r="N3312">
        <v>224.5</v>
      </c>
      <c r="O3312">
        <v>119</v>
      </c>
      <c r="P3312">
        <v>10.1</v>
      </c>
      <c r="Q3312">
        <v>7.5</v>
      </c>
      <c r="R3312">
        <v>1</v>
      </c>
      <c r="S3312">
        <v>2.0299999999999998</v>
      </c>
      <c r="T3312">
        <v>0</v>
      </c>
      <c r="U3312" t="s">
        <v>22</v>
      </c>
      <c r="V3312" t="e">
        <f>IF(#REF! = "yes", 1, 0)</f>
        <v>#REF!</v>
      </c>
      <c r="W3312" t="e">
        <f>IF(#REF! &lt;= 1, "0-1 Calls", IF(#REF! &lt;= 3, "2-3 Calls", IF(#REF! &lt;=5, "4-5 Calls", "6+ Calls")))</f>
        <v>#REF!</v>
      </c>
      <c r="X3312" t="e">
        <f>IF(#REF! &lt;= 50, "0-50", IF(#REF! &lt;=100, "51-100", IF(#REF! &lt;= 150, "101-150", "151+")))</f>
        <v>#REF!</v>
      </c>
      <c r="Y3312" t="e">
        <f>IF(#REF! &lt;= 3, "Low Charges", "High Charges")</f>
        <v>#REF!</v>
      </c>
      <c r="Z3312" t="e">
        <f>IF(#REF!&lt;=80,"Low Calls",
IF(#REF!&lt;=120,"Medium Calls","High Calls"))</f>
        <v>#REF!</v>
      </c>
      <c r="AA3312" t="e">
        <f>IF(#REF!&lt;=15,"Low Charges",
IF(#REF!&lt;=20,"Medium Charges","High Charges"))</f>
        <v>#REF!</v>
      </c>
      <c r="AB3312" t="e">
        <f>IF(AND(#REF!&gt;180, #REF!&gt;200), "Heavy Doemstic User", IF(#REF!&gt;10, "Interntional User", IF(AND(#REF!&lt;180, #REF!&lt;200,#REF!&lt;200), "Light User", "Balanced User")))</f>
        <v>#REF!</v>
      </c>
      <c r="AC3312" t="e">
        <f>IF(#REF! = 0, "No Usage", IF(#REF! &lt;= 20, "Low Usage", IF(#REF! &lt;= 40, "Medium Usgae", "High Usage")))</f>
        <v>#REF!</v>
      </c>
      <c r="AD3312" t="e">
        <f>IF(#REF!&lt;=150,"Low Usage", IF(#REF!&lt;=200,"Medium Usage", IF(#REF!&lt;=250,"High Usage","Very High Usage")))</f>
        <v>#REF!</v>
      </c>
      <c r="AE3312" t="e">
        <f>IF(#REF!&lt;=5,"Low Calls", IF(#REF!&lt;=10, "Medium Calls", "High Calls"))</f>
        <v>#REF!</v>
      </c>
      <c r="AF3312" t="e">
        <f xml:space="preserve">
IF(#REF!&gt;=4,4,0)+
IF(#REF!="yes",3,0)+
IF(#REF!="High Charges",3,0)+
IF(#REF!&gt;250,4,0)+
IF(#REF!="no",1,0)+
IF(#REF!="Heavy Domestic User",2,0)</f>
        <v>#REF!</v>
      </c>
      <c r="AG3312" t="e">
        <f>IF(#REF!&gt;=10,"High Risk", IF(#REF!&gt;=5,"Medium Risk","Low Risk"))</f>
        <v>#REF!</v>
      </c>
      <c r="AH3312" t="e">
        <f>#REF! + #REF! + #REF! + #REF!</f>
        <v>#REF!</v>
      </c>
    </row>
    <row r="3313" spans="1:34" x14ac:dyDescent="0.35">
      <c r="A3313">
        <v>3312</v>
      </c>
      <c r="B3313" t="s">
        <v>74</v>
      </c>
      <c r="C3313">
        <v>68</v>
      </c>
      <c r="D3313" t="s">
        <v>28</v>
      </c>
      <c r="E3313" t="s">
        <v>23</v>
      </c>
      <c r="F3313" t="s">
        <v>22</v>
      </c>
      <c r="G3313">
        <v>0</v>
      </c>
      <c r="H3313">
        <v>197.7</v>
      </c>
      <c r="I3313">
        <v>99</v>
      </c>
      <c r="J3313">
        <v>33.61</v>
      </c>
      <c r="K3313">
        <v>188.8</v>
      </c>
      <c r="L3313">
        <v>106</v>
      </c>
      <c r="M3313">
        <v>16.05</v>
      </c>
      <c r="N3313">
        <v>254.6</v>
      </c>
      <c r="O3313">
        <v>80</v>
      </c>
      <c r="P3313">
        <v>11.46</v>
      </c>
      <c r="Q3313">
        <v>19.2</v>
      </c>
      <c r="R3313">
        <v>4</v>
      </c>
      <c r="S3313">
        <v>5.18</v>
      </c>
      <c r="T3313">
        <v>3</v>
      </c>
      <c r="U3313" t="s">
        <v>23</v>
      </c>
      <c r="V3313" t="e">
        <f>IF(#REF! = "yes", 1, 0)</f>
        <v>#REF!</v>
      </c>
      <c r="W3313" t="e">
        <f>IF(#REF! &lt;= 1, "0-1 Calls", IF(#REF! &lt;= 3, "2-3 Calls", IF(#REF! &lt;=5, "4-5 Calls", "6+ Calls")))</f>
        <v>#REF!</v>
      </c>
      <c r="X3313" t="e">
        <f>IF(#REF! &lt;= 50, "0-50", IF(#REF! &lt;=100, "51-100", IF(#REF! &lt;= 150, "101-150", "151+")))</f>
        <v>#REF!</v>
      </c>
      <c r="Y3313" t="e">
        <f>IF(#REF! &lt;= 3, "Low Charges", "High Charges")</f>
        <v>#REF!</v>
      </c>
      <c r="Z3313" t="e">
        <f>IF(#REF!&lt;=80,"Low Calls",
IF(#REF!&lt;=120,"Medium Calls","High Calls"))</f>
        <v>#REF!</v>
      </c>
      <c r="AA3313" t="e">
        <f>IF(#REF!&lt;=15,"Low Charges",
IF(#REF!&lt;=20,"Medium Charges","High Charges"))</f>
        <v>#REF!</v>
      </c>
      <c r="AB3313" t="e">
        <f>IF(AND(#REF!&gt;180, #REF!&gt;200), "Heavy Doemstic User", IF(#REF!&gt;10, "Interntional User", IF(AND(#REF!&lt;180, #REF!&lt;200,#REF!&lt;200), "Light User", "Balanced User")))</f>
        <v>#REF!</v>
      </c>
      <c r="AC3313" t="e">
        <f>IF(#REF! = 0, "No Usage", IF(#REF! &lt;= 20, "Low Usage", IF(#REF! &lt;= 40, "Medium Usgae", "High Usage")))</f>
        <v>#REF!</v>
      </c>
      <c r="AD3313" t="e">
        <f>IF(#REF!&lt;=150,"Low Usage", IF(#REF!&lt;=200,"Medium Usage", IF(#REF!&lt;=250,"High Usage","Very High Usage")))</f>
        <v>#REF!</v>
      </c>
      <c r="AE3313" t="e">
        <f>IF(#REF!&lt;=5,"Low Calls", IF(#REF!&lt;=10, "Medium Calls", "High Calls"))</f>
        <v>#REF!</v>
      </c>
      <c r="AF3313" t="e">
        <f xml:space="preserve">
IF(#REF!&gt;=4,4,0)+
IF(#REF!="yes",3,0)+
IF(#REF!="High Charges",3,0)+
IF(#REF!&gt;250,4,0)+
IF(#REF!="no",1,0)+
IF(#REF!="Heavy Domestic User",2,0)</f>
        <v>#REF!</v>
      </c>
      <c r="AG3313" t="e">
        <f>IF(#REF!&gt;=10,"High Risk", IF(#REF!&gt;=5,"Medium Risk","Low Risk"))</f>
        <v>#REF!</v>
      </c>
      <c r="AH3313" t="e">
        <f>#REF! + #REF! + #REF! + #REF!</f>
        <v>#REF!</v>
      </c>
    </row>
    <row r="3314" spans="1:34" x14ac:dyDescent="0.35">
      <c r="A3314">
        <v>3313</v>
      </c>
      <c r="B3314" t="s">
        <v>44</v>
      </c>
      <c r="C3314">
        <v>65</v>
      </c>
      <c r="D3314" t="s">
        <v>21</v>
      </c>
      <c r="E3314" t="s">
        <v>22</v>
      </c>
      <c r="F3314" t="s">
        <v>23</v>
      </c>
      <c r="G3314">
        <v>21</v>
      </c>
      <c r="H3314">
        <v>135.1</v>
      </c>
      <c r="I3314">
        <v>120</v>
      </c>
      <c r="J3314">
        <v>22.97</v>
      </c>
      <c r="K3314">
        <v>238.4</v>
      </c>
      <c r="L3314">
        <v>90</v>
      </c>
      <c r="M3314">
        <v>20.260000000000002</v>
      </c>
      <c r="N3314">
        <v>286.39999999999998</v>
      </c>
      <c r="O3314">
        <v>93</v>
      </c>
      <c r="P3314">
        <v>12.89</v>
      </c>
      <c r="Q3314">
        <v>11</v>
      </c>
      <c r="R3314">
        <v>9</v>
      </c>
      <c r="S3314">
        <v>2.97</v>
      </c>
      <c r="T3314">
        <v>4</v>
      </c>
      <c r="U3314" t="s">
        <v>22</v>
      </c>
      <c r="V3314" t="e">
        <f>IF(#REF! = "yes", 1, 0)</f>
        <v>#REF!</v>
      </c>
      <c r="W3314" t="e">
        <f>IF(#REF! &lt;= 1, "0-1 Calls", IF(#REF! &lt;= 3, "2-3 Calls", IF(#REF! &lt;=5, "4-5 Calls", "6+ Calls")))</f>
        <v>#REF!</v>
      </c>
      <c r="X3314" t="e">
        <f>IF(#REF! &lt;= 50, "0-50", IF(#REF! &lt;=100, "51-100", IF(#REF! &lt;= 150, "101-150", "151+")))</f>
        <v>#REF!</v>
      </c>
      <c r="Y3314" t="e">
        <f>IF(#REF! &lt;= 3, "Low Charges", "High Charges")</f>
        <v>#REF!</v>
      </c>
      <c r="Z3314" t="e">
        <f>IF(#REF!&lt;=80,"Low Calls",
IF(#REF!&lt;=120,"Medium Calls","High Calls"))</f>
        <v>#REF!</v>
      </c>
      <c r="AA3314" t="e">
        <f>IF(#REF!&lt;=15,"Low Charges",
IF(#REF!&lt;=20,"Medium Charges","High Charges"))</f>
        <v>#REF!</v>
      </c>
      <c r="AB3314" t="e">
        <f>IF(AND(#REF!&gt;180, #REF!&gt;200), "Heavy Doemstic User", IF(#REF!&gt;10, "Interntional User", IF(AND(#REF!&lt;180, #REF!&lt;200,#REF!&lt;200), "Light User", "Balanced User")))</f>
        <v>#REF!</v>
      </c>
      <c r="AC3314" t="e">
        <f>IF(#REF! = 0, "No Usage", IF(#REF! &lt;= 20, "Low Usage", IF(#REF! &lt;= 40, "Medium Usgae", "High Usage")))</f>
        <v>#REF!</v>
      </c>
      <c r="AD3314" t="e">
        <f>IF(#REF!&lt;=150,"Low Usage", IF(#REF!&lt;=200,"Medium Usage", IF(#REF!&lt;=250,"High Usage","Very High Usage")))</f>
        <v>#REF!</v>
      </c>
      <c r="AE3314" t="e">
        <f>IF(#REF!&lt;=5,"Low Calls", IF(#REF!&lt;=10, "Medium Calls", "High Calls"))</f>
        <v>#REF!</v>
      </c>
      <c r="AF3314" t="e">
        <f xml:space="preserve">
IF(#REF!&gt;=4,4,0)+
IF(#REF!="yes",3,0)+
IF(#REF!="High Charges",3,0)+
IF(#REF!&gt;250,4,0)+
IF(#REF!="no",1,0)+
IF(#REF!="Heavy Domestic User",2,0)</f>
        <v>#REF!</v>
      </c>
      <c r="AG3314" t="e">
        <f>IF(#REF!&gt;=10,"High Risk", IF(#REF!&gt;=5,"Medium Risk","Low Risk"))</f>
        <v>#REF!</v>
      </c>
      <c r="AH3314" t="e">
        <f>#REF! + #REF! + #REF! + #REF!</f>
        <v>#REF!</v>
      </c>
    </row>
    <row r="3315" spans="1:34" x14ac:dyDescent="0.35">
      <c r="A3315">
        <v>3314</v>
      </c>
      <c r="B3315" t="s">
        <v>62</v>
      </c>
      <c r="C3315">
        <v>95</v>
      </c>
      <c r="D3315" t="s">
        <v>21</v>
      </c>
      <c r="E3315" t="s">
        <v>22</v>
      </c>
      <c r="F3315" t="s">
        <v>23</v>
      </c>
      <c r="G3315">
        <v>35</v>
      </c>
      <c r="H3315">
        <v>238.3</v>
      </c>
      <c r="I3315">
        <v>86</v>
      </c>
      <c r="J3315">
        <v>40.51</v>
      </c>
      <c r="K3315">
        <v>258.10000000000002</v>
      </c>
      <c r="L3315">
        <v>132</v>
      </c>
      <c r="M3315">
        <v>21.94</v>
      </c>
      <c r="N3315">
        <v>194.9</v>
      </c>
      <c r="O3315">
        <v>72</v>
      </c>
      <c r="P3315">
        <v>8.77</v>
      </c>
      <c r="Q3315">
        <v>13.1</v>
      </c>
      <c r="R3315">
        <v>4</v>
      </c>
      <c r="S3315">
        <v>3.54</v>
      </c>
      <c r="T3315">
        <v>5</v>
      </c>
      <c r="U3315" t="s">
        <v>22</v>
      </c>
      <c r="V3315" t="e">
        <f>IF(#REF! = "yes", 1, 0)</f>
        <v>#REF!</v>
      </c>
      <c r="W3315" t="e">
        <f>IF(#REF! &lt;= 1, "0-1 Calls", IF(#REF! &lt;= 3, "2-3 Calls", IF(#REF! &lt;=5, "4-5 Calls", "6+ Calls")))</f>
        <v>#REF!</v>
      </c>
      <c r="X3315" t="e">
        <f>IF(#REF! &lt;= 50, "0-50", IF(#REF! &lt;=100, "51-100", IF(#REF! &lt;= 150, "101-150", "151+")))</f>
        <v>#REF!</v>
      </c>
      <c r="Y3315" t="e">
        <f>IF(#REF! &lt;= 3, "Low Charges", "High Charges")</f>
        <v>#REF!</v>
      </c>
      <c r="Z3315" t="e">
        <f>IF(#REF!&lt;=80,"Low Calls",
IF(#REF!&lt;=120,"Medium Calls","High Calls"))</f>
        <v>#REF!</v>
      </c>
      <c r="AA3315" t="e">
        <f>IF(#REF!&lt;=15,"Low Charges",
IF(#REF!&lt;=20,"Medium Charges","High Charges"))</f>
        <v>#REF!</v>
      </c>
      <c r="AB3315" t="e">
        <f>IF(AND(#REF!&gt;180, #REF!&gt;200), "Heavy Doemstic User", IF(#REF!&gt;10, "Interntional User", IF(AND(#REF!&lt;180, #REF!&lt;200,#REF!&lt;200), "Light User", "Balanced User")))</f>
        <v>#REF!</v>
      </c>
      <c r="AC3315" t="e">
        <f>IF(#REF! = 0, "No Usage", IF(#REF! &lt;= 20, "Low Usage", IF(#REF! &lt;= 40, "Medium Usgae", "High Usage")))</f>
        <v>#REF!</v>
      </c>
      <c r="AD3315" t="e">
        <f>IF(#REF!&lt;=150,"Low Usage", IF(#REF!&lt;=200,"Medium Usage", IF(#REF!&lt;=250,"High Usage","Very High Usage")))</f>
        <v>#REF!</v>
      </c>
      <c r="AE3315" t="e">
        <f>IF(#REF!&lt;=5,"Low Calls", IF(#REF!&lt;=10, "Medium Calls", "High Calls"))</f>
        <v>#REF!</v>
      </c>
      <c r="AF3315" t="e">
        <f xml:space="preserve">
IF(#REF!&gt;=4,4,0)+
IF(#REF!="yes",3,0)+
IF(#REF!="High Charges",3,0)+
IF(#REF!&gt;250,4,0)+
IF(#REF!="no",1,0)+
IF(#REF!="Heavy Domestic User",2,0)</f>
        <v>#REF!</v>
      </c>
      <c r="AG3315" t="e">
        <f>IF(#REF!&gt;=10,"High Risk", IF(#REF!&gt;=5,"Medium Risk","Low Risk"))</f>
        <v>#REF!</v>
      </c>
      <c r="AH3315" t="e">
        <f>#REF! + #REF! + #REF! + #REF!</f>
        <v>#REF!</v>
      </c>
    </row>
    <row r="3316" spans="1:34" x14ac:dyDescent="0.35">
      <c r="A3316">
        <v>3315</v>
      </c>
      <c r="B3316" t="s">
        <v>37</v>
      </c>
      <c r="C3316">
        <v>47</v>
      </c>
      <c r="D3316" t="s">
        <v>21</v>
      </c>
      <c r="E3316" t="s">
        <v>22</v>
      </c>
      <c r="F3316" t="s">
        <v>23</v>
      </c>
      <c r="G3316">
        <v>28</v>
      </c>
      <c r="H3316">
        <v>196.2</v>
      </c>
      <c r="I3316">
        <v>88</v>
      </c>
      <c r="J3316">
        <v>33.35</v>
      </c>
      <c r="K3316">
        <v>194.8</v>
      </c>
      <c r="L3316">
        <v>106</v>
      </c>
      <c r="M3316">
        <v>16.559999999999999</v>
      </c>
      <c r="N3316">
        <v>243</v>
      </c>
      <c r="O3316">
        <v>103</v>
      </c>
      <c r="P3316">
        <v>10.93</v>
      </c>
      <c r="Q3316">
        <v>10.5</v>
      </c>
      <c r="R3316">
        <v>10</v>
      </c>
      <c r="S3316">
        <v>2.84</v>
      </c>
      <c r="T3316">
        <v>0</v>
      </c>
      <c r="U3316" t="s">
        <v>22</v>
      </c>
      <c r="V3316" t="e">
        <f>IF(#REF! = "yes", 1, 0)</f>
        <v>#REF!</v>
      </c>
      <c r="W3316" t="e">
        <f>IF(#REF! &lt;= 1, "0-1 Calls", IF(#REF! &lt;= 3, "2-3 Calls", IF(#REF! &lt;=5, "4-5 Calls", "6+ Calls")))</f>
        <v>#REF!</v>
      </c>
      <c r="X3316" t="e">
        <f>IF(#REF! &lt;= 50, "0-50", IF(#REF! &lt;=100, "51-100", IF(#REF! &lt;= 150, "101-150", "151+")))</f>
        <v>#REF!</v>
      </c>
      <c r="Y3316" t="e">
        <f>IF(#REF! &lt;= 3, "Low Charges", "High Charges")</f>
        <v>#REF!</v>
      </c>
      <c r="Z3316" t="e">
        <f>IF(#REF!&lt;=80,"Low Calls",
IF(#REF!&lt;=120,"Medium Calls","High Calls"))</f>
        <v>#REF!</v>
      </c>
      <c r="AA3316" t="e">
        <f>IF(#REF!&lt;=15,"Low Charges",
IF(#REF!&lt;=20,"Medium Charges","High Charges"))</f>
        <v>#REF!</v>
      </c>
      <c r="AB3316" t="e">
        <f>IF(AND(#REF!&gt;180, #REF!&gt;200), "Heavy Doemstic User", IF(#REF!&gt;10, "Interntional User", IF(AND(#REF!&lt;180, #REF!&lt;200,#REF!&lt;200), "Light User", "Balanced User")))</f>
        <v>#REF!</v>
      </c>
      <c r="AC3316" t="e">
        <f>IF(#REF! = 0, "No Usage", IF(#REF! &lt;= 20, "Low Usage", IF(#REF! &lt;= 40, "Medium Usgae", "High Usage")))</f>
        <v>#REF!</v>
      </c>
      <c r="AD3316" t="e">
        <f>IF(#REF!&lt;=150,"Low Usage", IF(#REF!&lt;=200,"Medium Usage", IF(#REF!&lt;=250,"High Usage","Very High Usage")))</f>
        <v>#REF!</v>
      </c>
      <c r="AE3316" t="e">
        <f>IF(#REF!&lt;=5,"Low Calls", IF(#REF!&lt;=10, "Medium Calls", "High Calls"))</f>
        <v>#REF!</v>
      </c>
      <c r="AF3316" t="e">
        <f xml:space="preserve">
IF(#REF!&gt;=4,4,0)+
IF(#REF!="yes",3,0)+
IF(#REF!="High Charges",3,0)+
IF(#REF!&gt;250,4,0)+
IF(#REF!="no",1,0)+
IF(#REF!="Heavy Domestic User",2,0)</f>
        <v>#REF!</v>
      </c>
      <c r="AG3316" t="e">
        <f>IF(#REF!&gt;=10,"High Risk", IF(#REF!&gt;=5,"Medium Risk","Low Risk"))</f>
        <v>#REF!</v>
      </c>
      <c r="AH3316" t="e">
        <f>#REF! + #REF! + #REF! + #REF!</f>
        <v>#REF!</v>
      </c>
    </row>
    <row r="3317" spans="1:34" x14ac:dyDescent="0.35">
      <c r="A3317">
        <v>3316</v>
      </c>
      <c r="B3317" t="s">
        <v>32</v>
      </c>
      <c r="C3317">
        <v>49</v>
      </c>
      <c r="D3317" t="s">
        <v>21</v>
      </c>
      <c r="E3317" t="s">
        <v>22</v>
      </c>
      <c r="F3317" t="s">
        <v>23</v>
      </c>
      <c r="G3317">
        <v>20</v>
      </c>
      <c r="H3317">
        <v>205.9</v>
      </c>
      <c r="I3317">
        <v>109</v>
      </c>
      <c r="J3317">
        <v>35</v>
      </c>
      <c r="K3317">
        <v>298.39999999999998</v>
      </c>
      <c r="L3317">
        <v>105</v>
      </c>
      <c r="M3317">
        <v>25.36</v>
      </c>
      <c r="N3317">
        <v>142.1</v>
      </c>
      <c r="O3317">
        <v>91</v>
      </c>
      <c r="P3317">
        <v>6.39</v>
      </c>
      <c r="Q3317">
        <v>12.3</v>
      </c>
      <c r="R3317">
        <v>3</v>
      </c>
      <c r="S3317">
        <v>3.32</v>
      </c>
      <c r="T3317">
        <v>4</v>
      </c>
      <c r="U3317" t="s">
        <v>22</v>
      </c>
      <c r="V3317" t="e">
        <f>IF(#REF! = "yes", 1, 0)</f>
        <v>#REF!</v>
      </c>
      <c r="W3317" t="e">
        <f>IF(#REF! &lt;= 1, "0-1 Calls", IF(#REF! &lt;= 3, "2-3 Calls", IF(#REF! &lt;=5, "4-5 Calls", "6+ Calls")))</f>
        <v>#REF!</v>
      </c>
      <c r="X3317" t="e">
        <f>IF(#REF! &lt;= 50, "0-50", IF(#REF! &lt;=100, "51-100", IF(#REF! &lt;= 150, "101-150", "151+")))</f>
        <v>#REF!</v>
      </c>
      <c r="Y3317" t="e">
        <f>IF(#REF! &lt;= 3, "Low Charges", "High Charges")</f>
        <v>#REF!</v>
      </c>
      <c r="Z3317" t="e">
        <f>IF(#REF!&lt;=80,"Low Calls",
IF(#REF!&lt;=120,"Medium Calls","High Calls"))</f>
        <v>#REF!</v>
      </c>
      <c r="AA3317" t="e">
        <f>IF(#REF!&lt;=15,"Low Charges",
IF(#REF!&lt;=20,"Medium Charges","High Charges"))</f>
        <v>#REF!</v>
      </c>
      <c r="AB3317" t="e">
        <f>IF(AND(#REF!&gt;180, #REF!&gt;200), "Heavy Doemstic User", IF(#REF!&gt;10, "Interntional User", IF(AND(#REF!&lt;180, #REF!&lt;200,#REF!&lt;200), "Light User", "Balanced User")))</f>
        <v>#REF!</v>
      </c>
      <c r="AC3317" t="e">
        <f>IF(#REF! = 0, "No Usage", IF(#REF! &lt;= 20, "Low Usage", IF(#REF! &lt;= 40, "Medium Usgae", "High Usage")))</f>
        <v>#REF!</v>
      </c>
      <c r="AD3317" t="e">
        <f>IF(#REF!&lt;=150,"Low Usage", IF(#REF!&lt;=200,"Medium Usage", IF(#REF!&lt;=250,"High Usage","Very High Usage")))</f>
        <v>#REF!</v>
      </c>
      <c r="AE3317" t="e">
        <f>IF(#REF!&lt;=5,"Low Calls", IF(#REF!&lt;=10, "Medium Calls", "High Calls"))</f>
        <v>#REF!</v>
      </c>
      <c r="AF3317" t="e">
        <f xml:space="preserve">
IF(#REF!&gt;=4,4,0)+
IF(#REF!="yes",3,0)+
IF(#REF!="High Charges",3,0)+
IF(#REF!&gt;250,4,0)+
IF(#REF!="no",1,0)+
IF(#REF!="Heavy Domestic User",2,0)</f>
        <v>#REF!</v>
      </c>
      <c r="AG3317" t="e">
        <f>IF(#REF!&gt;=10,"High Risk", IF(#REF!&gt;=5,"Medium Risk","Low Risk"))</f>
        <v>#REF!</v>
      </c>
      <c r="AH3317" t="e">
        <f>#REF! + #REF! + #REF! + #REF!</f>
        <v>#REF!</v>
      </c>
    </row>
    <row r="3318" spans="1:34" x14ac:dyDescent="0.35">
      <c r="A3318">
        <v>3317</v>
      </c>
      <c r="B3318" t="s">
        <v>47</v>
      </c>
      <c r="C3318">
        <v>104</v>
      </c>
      <c r="D3318" t="s">
        <v>21</v>
      </c>
      <c r="E3318" t="s">
        <v>22</v>
      </c>
      <c r="F3318" t="s">
        <v>22</v>
      </c>
      <c r="G3318">
        <v>0</v>
      </c>
      <c r="H3318">
        <v>174.1</v>
      </c>
      <c r="I3318">
        <v>97</v>
      </c>
      <c r="J3318">
        <v>29.6</v>
      </c>
      <c r="K3318">
        <v>174.6</v>
      </c>
      <c r="L3318">
        <v>104</v>
      </c>
      <c r="M3318">
        <v>14.84</v>
      </c>
      <c r="N3318">
        <v>182.7</v>
      </c>
      <c r="O3318">
        <v>158</v>
      </c>
      <c r="P3318">
        <v>8.2200000000000006</v>
      </c>
      <c r="Q3318">
        <v>9.3000000000000007</v>
      </c>
      <c r="R3318">
        <v>4</v>
      </c>
      <c r="S3318">
        <v>2.5099999999999998</v>
      </c>
      <c r="T3318">
        <v>3</v>
      </c>
      <c r="U3318" t="s">
        <v>22</v>
      </c>
      <c r="V3318" t="e">
        <f>IF(#REF! = "yes", 1, 0)</f>
        <v>#REF!</v>
      </c>
      <c r="W3318" t="e">
        <f>IF(#REF! &lt;= 1, "0-1 Calls", IF(#REF! &lt;= 3, "2-3 Calls", IF(#REF! &lt;=5, "4-5 Calls", "6+ Calls")))</f>
        <v>#REF!</v>
      </c>
      <c r="X3318" t="e">
        <f>IF(#REF! &lt;= 50, "0-50", IF(#REF! &lt;=100, "51-100", IF(#REF! &lt;= 150, "101-150", "151+")))</f>
        <v>#REF!</v>
      </c>
      <c r="Y3318" t="e">
        <f>IF(#REF! &lt;= 3, "Low Charges", "High Charges")</f>
        <v>#REF!</v>
      </c>
      <c r="Z3318" t="e">
        <f>IF(#REF!&lt;=80,"Low Calls",
IF(#REF!&lt;=120,"Medium Calls","High Calls"))</f>
        <v>#REF!</v>
      </c>
      <c r="AA3318" t="e">
        <f>IF(#REF!&lt;=15,"Low Charges",
IF(#REF!&lt;=20,"Medium Charges","High Charges"))</f>
        <v>#REF!</v>
      </c>
      <c r="AB3318" t="e">
        <f>IF(AND(#REF!&gt;180, #REF!&gt;200), "Heavy Doemstic User", IF(#REF!&gt;10, "Interntional User", IF(AND(#REF!&lt;180, #REF!&lt;200,#REF!&lt;200), "Light User", "Balanced User")))</f>
        <v>#REF!</v>
      </c>
      <c r="AC3318" t="e">
        <f>IF(#REF! = 0, "No Usage", IF(#REF! &lt;= 20, "Low Usage", IF(#REF! &lt;= 40, "Medium Usgae", "High Usage")))</f>
        <v>#REF!</v>
      </c>
      <c r="AD3318" t="e">
        <f>IF(#REF!&lt;=150,"Low Usage", IF(#REF!&lt;=200,"Medium Usage", IF(#REF!&lt;=250,"High Usage","Very High Usage")))</f>
        <v>#REF!</v>
      </c>
      <c r="AE3318" t="e">
        <f>IF(#REF!&lt;=5,"Low Calls", IF(#REF!&lt;=10, "Medium Calls", "High Calls"))</f>
        <v>#REF!</v>
      </c>
      <c r="AF3318" t="e">
        <f xml:space="preserve">
IF(#REF!&gt;=4,4,0)+
IF(#REF!="yes",3,0)+
IF(#REF!="High Charges",3,0)+
IF(#REF!&gt;250,4,0)+
IF(#REF!="no",1,0)+
IF(#REF!="Heavy Domestic User",2,0)</f>
        <v>#REF!</v>
      </c>
      <c r="AG3318" t="e">
        <f>IF(#REF!&gt;=10,"High Risk", IF(#REF!&gt;=5,"Medium Risk","Low Risk"))</f>
        <v>#REF!</v>
      </c>
      <c r="AH3318" t="e">
        <f>#REF! + #REF! + #REF! + #REF!</f>
        <v>#REF!</v>
      </c>
    </row>
    <row r="3319" spans="1:34" x14ac:dyDescent="0.35">
      <c r="A3319">
        <v>3318</v>
      </c>
      <c r="B3319" t="s">
        <v>50</v>
      </c>
      <c r="C3319">
        <v>173</v>
      </c>
      <c r="D3319" t="s">
        <v>25</v>
      </c>
      <c r="E3319" t="s">
        <v>22</v>
      </c>
      <c r="F3319" t="s">
        <v>22</v>
      </c>
      <c r="G3319">
        <v>0</v>
      </c>
      <c r="H3319">
        <v>154.6</v>
      </c>
      <c r="I3319">
        <v>81</v>
      </c>
      <c r="J3319">
        <v>26.28</v>
      </c>
      <c r="K3319">
        <v>147.30000000000001</v>
      </c>
      <c r="L3319">
        <v>100</v>
      </c>
      <c r="M3319">
        <v>12.52</v>
      </c>
      <c r="N3319">
        <v>132.9</v>
      </c>
      <c r="O3319">
        <v>99</v>
      </c>
      <c r="P3319">
        <v>5.98</v>
      </c>
      <c r="Q3319">
        <v>6.9</v>
      </c>
      <c r="R3319">
        <v>5</v>
      </c>
      <c r="S3319">
        <v>1.86</v>
      </c>
      <c r="T3319">
        <v>0</v>
      </c>
      <c r="U3319" t="s">
        <v>22</v>
      </c>
      <c r="V3319" t="e">
        <f>IF(#REF! = "yes", 1, 0)</f>
        <v>#REF!</v>
      </c>
      <c r="W3319" t="e">
        <f>IF(#REF! &lt;= 1, "0-1 Calls", IF(#REF! &lt;= 3, "2-3 Calls", IF(#REF! &lt;=5, "4-5 Calls", "6+ Calls")))</f>
        <v>#REF!</v>
      </c>
      <c r="X3319" t="e">
        <f>IF(#REF! &lt;= 50, "0-50", IF(#REF! &lt;=100, "51-100", IF(#REF! &lt;= 150, "101-150", "151+")))</f>
        <v>#REF!</v>
      </c>
      <c r="Y3319" t="e">
        <f>IF(#REF! &lt;= 3, "Low Charges", "High Charges")</f>
        <v>#REF!</v>
      </c>
      <c r="Z3319" t="e">
        <f>IF(#REF!&lt;=80,"Low Calls",
IF(#REF!&lt;=120,"Medium Calls","High Calls"))</f>
        <v>#REF!</v>
      </c>
      <c r="AA3319" t="e">
        <f>IF(#REF!&lt;=15,"Low Charges",
IF(#REF!&lt;=20,"Medium Charges","High Charges"))</f>
        <v>#REF!</v>
      </c>
      <c r="AB3319" t="e">
        <f>IF(AND(#REF!&gt;180, #REF!&gt;200), "Heavy Doemstic User", IF(#REF!&gt;10, "Interntional User", IF(AND(#REF!&lt;180, #REF!&lt;200,#REF!&lt;200), "Light User", "Balanced User")))</f>
        <v>#REF!</v>
      </c>
      <c r="AC3319" t="e">
        <f>IF(#REF! = 0, "No Usage", IF(#REF! &lt;= 20, "Low Usage", IF(#REF! &lt;= 40, "Medium Usgae", "High Usage")))</f>
        <v>#REF!</v>
      </c>
      <c r="AD3319" t="e">
        <f>IF(#REF!&lt;=150,"Low Usage", IF(#REF!&lt;=200,"Medium Usage", IF(#REF!&lt;=250,"High Usage","Very High Usage")))</f>
        <v>#REF!</v>
      </c>
      <c r="AE3319" t="e">
        <f>IF(#REF!&lt;=5,"Low Calls", IF(#REF!&lt;=10, "Medium Calls", "High Calls"))</f>
        <v>#REF!</v>
      </c>
      <c r="AF3319" t="e">
        <f xml:space="preserve">
IF(#REF!&gt;=4,4,0)+
IF(#REF!="yes",3,0)+
IF(#REF!="High Charges",3,0)+
IF(#REF!&gt;250,4,0)+
IF(#REF!="no",1,0)+
IF(#REF!="Heavy Domestic User",2,0)</f>
        <v>#REF!</v>
      </c>
      <c r="AG3319" t="e">
        <f>IF(#REF!&gt;=10,"High Risk", IF(#REF!&gt;=5,"Medium Risk","Low Risk"))</f>
        <v>#REF!</v>
      </c>
      <c r="AH3319" t="e">
        <f>#REF! + #REF! + #REF! + #REF!</f>
        <v>#REF!</v>
      </c>
    </row>
    <row r="3320" spans="1:34" x14ac:dyDescent="0.35">
      <c r="A3320">
        <v>3319</v>
      </c>
      <c r="B3320" t="s">
        <v>51</v>
      </c>
      <c r="C3320">
        <v>98</v>
      </c>
      <c r="D3320" t="s">
        <v>21</v>
      </c>
      <c r="E3320" t="s">
        <v>23</v>
      </c>
      <c r="F3320" t="s">
        <v>23</v>
      </c>
      <c r="G3320">
        <v>20</v>
      </c>
      <c r="H3320">
        <v>186.2</v>
      </c>
      <c r="I3320">
        <v>112</v>
      </c>
      <c r="J3320">
        <v>31.65</v>
      </c>
      <c r="K3320">
        <v>145.30000000000001</v>
      </c>
      <c r="L3320">
        <v>65</v>
      </c>
      <c r="M3320">
        <v>12.35</v>
      </c>
      <c r="N3320">
        <v>142.80000000000001</v>
      </c>
      <c r="O3320">
        <v>104</v>
      </c>
      <c r="P3320">
        <v>6.43</v>
      </c>
      <c r="Q3320">
        <v>10.9</v>
      </c>
      <c r="R3320">
        <v>4</v>
      </c>
      <c r="S3320">
        <v>2.94</v>
      </c>
      <c r="T3320">
        <v>3</v>
      </c>
      <c r="U3320" t="s">
        <v>22</v>
      </c>
      <c r="V3320" t="e">
        <f>IF(#REF! = "yes", 1, 0)</f>
        <v>#REF!</v>
      </c>
      <c r="W3320" t="e">
        <f>IF(#REF! &lt;= 1, "0-1 Calls", IF(#REF! &lt;= 3, "2-3 Calls", IF(#REF! &lt;=5, "4-5 Calls", "6+ Calls")))</f>
        <v>#REF!</v>
      </c>
      <c r="X3320" t="e">
        <f>IF(#REF! &lt;= 50, "0-50", IF(#REF! &lt;=100, "51-100", IF(#REF! &lt;= 150, "101-150", "151+")))</f>
        <v>#REF!</v>
      </c>
      <c r="Y3320" t="e">
        <f>IF(#REF! &lt;= 3, "Low Charges", "High Charges")</f>
        <v>#REF!</v>
      </c>
      <c r="Z3320" t="e">
        <f>IF(#REF!&lt;=80,"Low Calls",
IF(#REF!&lt;=120,"Medium Calls","High Calls"))</f>
        <v>#REF!</v>
      </c>
      <c r="AA3320" t="e">
        <f>IF(#REF!&lt;=15,"Low Charges",
IF(#REF!&lt;=20,"Medium Charges","High Charges"))</f>
        <v>#REF!</v>
      </c>
      <c r="AB3320" t="e">
        <f>IF(AND(#REF!&gt;180, #REF!&gt;200), "Heavy Doemstic User", IF(#REF!&gt;10, "Interntional User", IF(AND(#REF!&lt;180, #REF!&lt;200,#REF!&lt;200), "Light User", "Balanced User")))</f>
        <v>#REF!</v>
      </c>
      <c r="AC3320" t="e">
        <f>IF(#REF! = 0, "No Usage", IF(#REF! &lt;= 20, "Low Usage", IF(#REF! &lt;= 40, "Medium Usgae", "High Usage")))</f>
        <v>#REF!</v>
      </c>
      <c r="AD3320" t="e">
        <f>IF(#REF!&lt;=150,"Low Usage", IF(#REF!&lt;=200,"Medium Usage", IF(#REF!&lt;=250,"High Usage","Very High Usage")))</f>
        <v>#REF!</v>
      </c>
      <c r="AE3320" t="e">
        <f>IF(#REF!&lt;=5,"Low Calls", IF(#REF!&lt;=10, "Medium Calls", "High Calls"))</f>
        <v>#REF!</v>
      </c>
      <c r="AF3320" t="e">
        <f xml:space="preserve">
IF(#REF!&gt;=4,4,0)+
IF(#REF!="yes",3,0)+
IF(#REF!="High Charges",3,0)+
IF(#REF!&gt;250,4,0)+
IF(#REF!="no",1,0)+
IF(#REF!="Heavy Domestic User",2,0)</f>
        <v>#REF!</v>
      </c>
      <c r="AG3320" t="e">
        <f>IF(#REF!&gt;=10,"High Risk", IF(#REF!&gt;=5,"Medium Risk","Low Risk"))</f>
        <v>#REF!</v>
      </c>
      <c r="AH3320" t="e">
        <f>#REF! + #REF! + #REF! + #REF!</f>
        <v>#REF!</v>
      </c>
    </row>
    <row r="3321" spans="1:34" x14ac:dyDescent="0.35">
      <c r="A3321">
        <v>3320</v>
      </c>
      <c r="B3321" t="s">
        <v>32</v>
      </c>
      <c r="C3321">
        <v>81</v>
      </c>
      <c r="D3321" t="s">
        <v>21</v>
      </c>
      <c r="E3321" t="s">
        <v>22</v>
      </c>
      <c r="F3321" t="s">
        <v>22</v>
      </c>
      <c r="G3321">
        <v>0</v>
      </c>
      <c r="H3321">
        <v>176.1</v>
      </c>
      <c r="I3321">
        <v>113</v>
      </c>
      <c r="J3321">
        <v>29.94</v>
      </c>
      <c r="K3321">
        <v>162</v>
      </c>
      <c r="L3321">
        <v>80</v>
      </c>
      <c r="M3321">
        <v>13.77</v>
      </c>
      <c r="N3321">
        <v>160.9</v>
      </c>
      <c r="O3321">
        <v>83</v>
      </c>
      <c r="P3321">
        <v>7.24</v>
      </c>
      <c r="Q3321">
        <v>11.9</v>
      </c>
      <c r="R3321">
        <v>4</v>
      </c>
      <c r="S3321">
        <v>3.21</v>
      </c>
      <c r="T3321">
        <v>1</v>
      </c>
      <c r="U3321" t="s">
        <v>22</v>
      </c>
      <c r="V3321" t="e">
        <f>IF(#REF! = "yes", 1, 0)</f>
        <v>#REF!</v>
      </c>
      <c r="W3321" t="e">
        <f>IF(#REF! &lt;= 1, "0-1 Calls", IF(#REF! &lt;= 3, "2-3 Calls", IF(#REF! &lt;=5, "4-5 Calls", "6+ Calls")))</f>
        <v>#REF!</v>
      </c>
      <c r="X3321" t="e">
        <f>IF(#REF! &lt;= 50, "0-50", IF(#REF! &lt;=100, "51-100", IF(#REF! &lt;= 150, "101-150", "151+")))</f>
        <v>#REF!</v>
      </c>
      <c r="Y3321" t="e">
        <f>IF(#REF! &lt;= 3, "Low Charges", "High Charges")</f>
        <v>#REF!</v>
      </c>
      <c r="Z3321" t="e">
        <f>IF(#REF!&lt;=80,"Low Calls",
IF(#REF!&lt;=120,"Medium Calls","High Calls"))</f>
        <v>#REF!</v>
      </c>
      <c r="AA3321" t="e">
        <f>IF(#REF!&lt;=15,"Low Charges",
IF(#REF!&lt;=20,"Medium Charges","High Charges"))</f>
        <v>#REF!</v>
      </c>
      <c r="AB3321" t="e">
        <f>IF(AND(#REF!&gt;180, #REF!&gt;200), "Heavy Doemstic User", IF(#REF!&gt;10, "Interntional User", IF(AND(#REF!&lt;180, #REF!&lt;200,#REF!&lt;200), "Light User", "Balanced User")))</f>
        <v>#REF!</v>
      </c>
      <c r="AC3321" t="e">
        <f>IF(#REF! = 0, "No Usage", IF(#REF! &lt;= 20, "Low Usage", IF(#REF! &lt;= 40, "Medium Usgae", "High Usage")))</f>
        <v>#REF!</v>
      </c>
      <c r="AD3321" t="e">
        <f>IF(#REF!&lt;=150,"Low Usage", IF(#REF!&lt;=200,"Medium Usage", IF(#REF!&lt;=250,"High Usage","Very High Usage")))</f>
        <v>#REF!</v>
      </c>
      <c r="AE3321" t="e">
        <f>IF(#REF!&lt;=5,"Low Calls", IF(#REF!&lt;=10, "Medium Calls", "High Calls"))</f>
        <v>#REF!</v>
      </c>
      <c r="AF3321" t="e">
        <f xml:space="preserve">
IF(#REF!&gt;=4,4,0)+
IF(#REF!="yes",3,0)+
IF(#REF!="High Charges",3,0)+
IF(#REF!&gt;250,4,0)+
IF(#REF!="no",1,0)+
IF(#REF!="Heavy Domestic User",2,0)</f>
        <v>#REF!</v>
      </c>
      <c r="AG3321" t="e">
        <f>IF(#REF!&gt;=10,"High Risk", IF(#REF!&gt;=5,"Medium Risk","Low Risk"))</f>
        <v>#REF!</v>
      </c>
      <c r="AH3321" t="e">
        <f>#REF! + #REF! + #REF! + #REF!</f>
        <v>#REF!</v>
      </c>
    </row>
    <row r="3322" spans="1:34" x14ac:dyDescent="0.35">
      <c r="A3322">
        <v>3321</v>
      </c>
      <c r="B3322" t="s">
        <v>42</v>
      </c>
      <c r="C3322">
        <v>63</v>
      </c>
      <c r="D3322" t="s">
        <v>21</v>
      </c>
      <c r="E3322" t="s">
        <v>22</v>
      </c>
      <c r="F3322" t="s">
        <v>23</v>
      </c>
      <c r="G3322">
        <v>19</v>
      </c>
      <c r="H3322">
        <v>163</v>
      </c>
      <c r="I3322">
        <v>75</v>
      </c>
      <c r="J3322">
        <v>27.71</v>
      </c>
      <c r="K3322">
        <v>238.4</v>
      </c>
      <c r="L3322">
        <v>103</v>
      </c>
      <c r="M3322">
        <v>20.260000000000002</v>
      </c>
      <c r="N3322">
        <v>171.8</v>
      </c>
      <c r="O3322">
        <v>100</v>
      </c>
      <c r="P3322">
        <v>7.73</v>
      </c>
      <c r="Q3322">
        <v>11.3</v>
      </c>
      <c r="R3322">
        <v>3</v>
      </c>
      <c r="S3322">
        <v>3.05</v>
      </c>
      <c r="T3322">
        <v>3</v>
      </c>
      <c r="U3322" t="s">
        <v>22</v>
      </c>
      <c r="V3322" t="e">
        <f>IF(#REF! = "yes", 1, 0)</f>
        <v>#REF!</v>
      </c>
      <c r="W3322" t="e">
        <f>IF(#REF! &lt;= 1, "0-1 Calls", IF(#REF! &lt;= 3, "2-3 Calls", IF(#REF! &lt;=5, "4-5 Calls", "6+ Calls")))</f>
        <v>#REF!</v>
      </c>
      <c r="X3322" t="e">
        <f>IF(#REF! &lt;= 50, "0-50", IF(#REF! &lt;=100, "51-100", IF(#REF! &lt;= 150, "101-150", "151+")))</f>
        <v>#REF!</v>
      </c>
      <c r="Y3322" t="e">
        <f>IF(#REF! &lt;= 3, "Low Charges", "High Charges")</f>
        <v>#REF!</v>
      </c>
      <c r="Z3322" t="e">
        <f>IF(#REF!&lt;=80,"Low Calls",
IF(#REF!&lt;=120,"Medium Calls","High Calls"))</f>
        <v>#REF!</v>
      </c>
      <c r="AA3322" t="e">
        <f>IF(#REF!&lt;=15,"Low Charges",
IF(#REF!&lt;=20,"Medium Charges","High Charges"))</f>
        <v>#REF!</v>
      </c>
      <c r="AB3322" t="e">
        <f>IF(AND(#REF!&gt;180, #REF!&gt;200), "Heavy Doemstic User", IF(#REF!&gt;10, "Interntional User", IF(AND(#REF!&lt;180, #REF!&lt;200,#REF!&lt;200), "Light User", "Balanced User")))</f>
        <v>#REF!</v>
      </c>
      <c r="AC3322" t="e">
        <f>IF(#REF! = 0, "No Usage", IF(#REF! &lt;= 20, "Low Usage", IF(#REF! &lt;= 40, "Medium Usgae", "High Usage")))</f>
        <v>#REF!</v>
      </c>
      <c r="AD3322" t="e">
        <f>IF(#REF!&lt;=150,"Low Usage", IF(#REF!&lt;=200,"Medium Usage", IF(#REF!&lt;=250,"High Usage","Very High Usage")))</f>
        <v>#REF!</v>
      </c>
      <c r="AE3322" t="e">
        <f>IF(#REF!&lt;=5,"Low Calls", IF(#REF!&lt;=10, "Medium Calls", "High Calls"))</f>
        <v>#REF!</v>
      </c>
      <c r="AF3322" t="e">
        <f xml:space="preserve">
IF(#REF!&gt;=4,4,0)+
IF(#REF!="yes",3,0)+
IF(#REF!="High Charges",3,0)+
IF(#REF!&gt;250,4,0)+
IF(#REF!="no",1,0)+
IF(#REF!="Heavy Domestic User",2,0)</f>
        <v>#REF!</v>
      </c>
      <c r="AG3322" t="e">
        <f>IF(#REF!&gt;=10,"High Risk", IF(#REF!&gt;=5,"Medium Risk","Low Risk"))</f>
        <v>#REF!</v>
      </c>
      <c r="AH3322" t="e">
        <f>#REF! + #REF! + #REF! + #REF!</f>
        <v>#REF!</v>
      </c>
    </row>
    <row r="3323" spans="1:34" x14ac:dyDescent="0.35">
      <c r="A3323">
        <v>3322</v>
      </c>
      <c r="B3323" t="s">
        <v>32</v>
      </c>
      <c r="C3323">
        <v>32</v>
      </c>
      <c r="D3323" t="s">
        <v>21</v>
      </c>
      <c r="E3323" t="s">
        <v>22</v>
      </c>
      <c r="F3323" t="s">
        <v>22</v>
      </c>
      <c r="G3323">
        <v>0</v>
      </c>
      <c r="H3323">
        <v>103.6</v>
      </c>
      <c r="I3323">
        <v>78</v>
      </c>
      <c r="J3323">
        <v>17.61</v>
      </c>
      <c r="K3323">
        <v>238.5</v>
      </c>
      <c r="L3323">
        <v>115</v>
      </c>
      <c r="M3323">
        <v>20.27</v>
      </c>
      <c r="N3323">
        <v>186.9</v>
      </c>
      <c r="O3323">
        <v>70</v>
      </c>
      <c r="P3323">
        <v>8.41</v>
      </c>
      <c r="Q3323">
        <v>11</v>
      </c>
      <c r="R3323">
        <v>4</v>
      </c>
      <c r="S3323">
        <v>2.97</v>
      </c>
      <c r="T3323">
        <v>2</v>
      </c>
      <c r="U3323" t="s">
        <v>22</v>
      </c>
      <c r="V3323" t="e">
        <f>IF(#REF! = "yes", 1, 0)</f>
        <v>#REF!</v>
      </c>
      <c r="W3323" t="e">
        <f>IF(#REF! &lt;= 1, "0-1 Calls", IF(#REF! &lt;= 3, "2-3 Calls", IF(#REF! &lt;=5, "4-5 Calls", "6+ Calls")))</f>
        <v>#REF!</v>
      </c>
      <c r="X3323" t="e">
        <f>IF(#REF! &lt;= 50, "0-50", IF(#REF! &lt;=100, "51-100", IF(#REF! &lt;= 150, "101-150", "151+")))</f>
        <v>#REF!</v>
      </c>
      <c r="Y3323" t="e">
        <f>IF(#REF! &lt;= 3, "Low Charges", "High Charges")</f>
        <v>#REF!</v>
      </c>
      <c r="Z3323" t="e">
        <f>IF(#REF!&lt;=80,"Low Calls",
IF(#REF!&lt;=120,"Medium Calls","High Calls"))</f>
        <v>#REF!</v>
      </c>
      <c r="AA3323" t="e">
        <f>IF(#REF!&lt;=15,"Low Charges",
IF(#REF!&lt;=20,"Medium Charges","High Charges"))</f>
        <v>#REF!</v>
      </c>
      <c r="AB3323" t="e">
        <f>IF(AND(#REF!&gt;180, #REF!&gt;200), "Heavy Doemstic User", IF(#REF!&gt;10, "Interntional User", IF(AND(#REF!&lt;180, #REF!&lt;200,#REF!&lt;200), "Light User", "Balanced User")))</f>
        <v>#REF!</v>
      </c>
      <c r="AC3323" t="e">
        <f>IF(#REF! = 0, "No Usage", IF(#REF! &lt;= 20, "Low Usage", IF(#REF! &lt;= 40, "Medium Usgae", "High Usage")))</f>
        <v>#REF!</v>
      </c>
      <c r="AD3323" t="e">
        <f>IF(#REF!&lt;=150,"Low Usage", IF(#REF!&lt;=200,"Medium Usage", IF(#REF!&lt;=250,"High Usage","Very High Usage")))</f>
        <v>#REF!</v>
      </c>
      <c r="AE3323" t="e">
        <f>IF(#REF!&lt;=5,"Low Calls", IF(#REF!&lt;=10, "Medium Calls", "High Calls"))</f>
        <v>#REF!</v>
      </c>
      <c r="AF3323" t="e">
        <f xml:space="preserve">
IF(#REF!&gt;=4,4,0)+
IF(#REF!="yes",3,0)+
IF(#REF!="High Charges",3,0)+
IF(#REF!&gt;250,4,0)+
IF(#REF!="no",1,0)+
IF(#REF!="Heavy Domestic User",2,0)</f>
        <v>#REF!</v>
      </c>
      <c r="AG3323" t="e">
        <f>IF(#REF!&gt;=10,"High Risk", IF(#REF!&gt;=5,"Medium Risk","Low Risk"))</f>
        <v>#REF!</v>
      </c>
      <c r="AH3323" t="e">
        <f>#REF! + #REF! + #REF! + #REF!</f>
        <v>#REF!</v>
      </c>
    </row>
    <row r="3324" spans="1:34" x14ac:dyDescent="0.35">
      <c r="A3324">
        <v>3323</v>
      </c>
      <c r="B3324" t="s">
        <v>58</v>
      </c>
      <c r="C3324">
        <v>111</v>
      </c>
      <c r="D3324" t="s">
        <v>21</v>
      </c>
      <c r="E3324" t="s">
        <v>22</v>
      </c>
      <c r="F3324" t="s">
        <v>22</v>
      </c>
      <c r="G3324">
        <v>0</v>
      </c>
      <c r="H3324">
        <v>162.1</v>
      </c>
      <c r="I3324">
        <v>98</v>
      </c>
      <c r="J3324">
        <v>27.56</v>
      </c>
      <c r="K3324">
        <v>217.6</v>
      </c>
      <c r="L3324">
        <v>87</v>
      </c>
      <c r="M3324">
        <v>18.5</v>
      </c>
      <c r="N3324">
        <v>264.10000000000002</v>
      </c>
      <c r="O3324">
        <v>107</v>
      </c>
      <c r="P3324">
        <v>11.88</v>
      </c>
      <c r="Q3324">
        <v>7.7</v>
      </c>
      <c r="R3324">
        <v>1</v>
      </c>
      <c r="S3324">
        <v>2.08</v>
      </c>
      <c r="T3324">
        <v>0</v>
      </c>
      <c r="U3324" t="s">
        <v>22</v>
      </c>
      <c r="V3324" t="e">
        <f>IF(#REF! = "yes", 1, 0)</f>
        <v>#REF!</v>
      </c>
      <c r="W3324" t="e">
        <f>IF(#REF! &lt;= 1, "0-1 Calls", IF(#REF! &lt;= 3, "2-3 Calls", IF(#REF! &lt;=5, "4-5 Calls", "6+ Calls")))</f>
        <v>#REF!</v>
      </c>
      <c r="X3324" t="e">
        <f>IF(#REF! &lt;= 50, "0-50", IF(#REF! &lt;=100, "51-100", IF(#REF! &lt;= 150, "101-150", "151+")))</f>
        <v>#REF!</v>
      </c>
      <c r="Y3324" t="e">
        <f>IF(#REF! &lt;= 3, "Low Charges", "High Charges")</f>
        <v>#REF!</v>
      </c>
      <c r="Z3324" t="e">
        <f>IF(#REF!&lt;=80,"Low Calls",
IF(#REF!&lt;=120,"Medium Calls","High Calls"))</f>
        <v>#REF!</v>
      </c>
      <c r="AA3324" t="e">
        <f>IF(#REF!&lt;=15,"Low Charges",
IF(#REF!&lt;=20,"Medium Charges","High Charges"))</f>
        <v>#REF!</v>
      </c>
      <c r="AB3324" t="e">
        <f>IF(AND(#REF!&gt;180, #REF!&gt;200), "Heavy Doemstic User", IF(#REF!&gt;10, "Interntional User", IF(AND(#REF!&lt;180, #REF!&lt;200,#REF!&lt;200), "Light User", "Balanced User")))</f>
        <v>#REF!</v>
      </c>
      <c r="AC3324" t="e">
        <f>IF(#REF! = 0, "No Usage", IF(#REF! &lt;= 20, "Low Usage", IF(#REF! &lt;= 40, "Medium Usgae", "High Usage")))</f>
        <v>#REF!</v>
      </c>
      <c r="AD3324" t="e">
        <f>IF(#REF!&lt;=150,"Low Usage", IF(#REF!&lt;=200,"Medium Usage", IF(#REF!&lt;=250,"High Usage","Very High Usage")))</f>
        <v>#REF!</v>
      </c>
      <c r="AE3324" t="e">
        <f>IF(#REF!&lt;=5,"Low Calls", IF(#REF!&lt;=10, "Medium Calls", "High Calls"))</f>
        <v>#REF!</v>
      </c>
      <c r="AF3324" t="e">
        <f xml:space="preserve">
IF(#REF!&gt;=4,4,0)+
IF(#REF!="yes",3,0)+
IF(#REF!="High Charges",3,0)+
IF(#REF!&gt;250,4,0)+
IF(#REF!="no",1,0)+
IF(#REF!="Heavy Domestic User",2,0)</f>
        <v>#REF!</v>
      </c>
      <c r="AG3324" t="e">
        <f>IF(#REF!&gt;=10,"High Risk", IF(#REF!&gt;=5,"Medium Risk","Low Risk"))</f>
        <v>#REF!</v>
      </c>
      <c r="AH3324" t="e">
        <f>#REF! + #REF! + #REF! + #REF!</f>
        <v>#REF!</v>
      </c>
    </row>
    <row r="3325" spans="1:34" x14ac:dyDescent="0.35">
      <c r="A3325">
        <v>3324</v>
      </c>
      <c r="B3325" t="s">
        <v>49</v>
      </c>
      <c r="C3325">
        <v>96</v>
      </c>
      <c r="D3325" t="s">
        <v>21</v>
      </c>
      <c r="E3325" t="s">
        <v>22</v>
      </c>
      <c r="F3325" t="s">
        <v>22</v>
      </c>
      <c r="G3325">
        <v>0</v>
      </c>
      <c r="H3325">
        <v>149.19999999999999</v>
      </c>
      <c r="I3325">
        <v>125</v>
      </c>
      <c r="J3325">
        <v>25.36</v>
      </c>
      <c r="K3325">
        <v>210.6</v>
      </c>
      <c r="L3325">
        <v>119</v>
      </c>
      <c r="M3325">
        <v>17.899999999999999</v>
      </c>
      <c r="N3325">
        <v>290.5</v>
      </c>
      <c r="O3325">
        <v>102</v>
      </c>
      <c r="P3325">
        <v>13.07</v>
      </c>
      <c r="Q3325">
        <v>9.4</v>
      </c>
      <c r="R3325">
        <v>3</v>
      </c>
      <c r="S3325">
        <v>2.54</v>
      </c>
      <c r="T3325">
        <v>4</v>
      </c>
      <c r="U3325" t="s">
        <v>22</v>
      </c>
      <c r="V3325" t="e">
        <f>IF(#REF! = "yes", 1, 0)</f>
        <v>#REF!</v>
      </c>
      <c r="W3325" t="e">
        <f>IF(#REF! &lt;= 1, "0-1 Calls", IF(#REF! &lt;= 3, "2-3 Calls", IF(#REF! &lt;=5, "4-5 Calls", "6+ Calls")))</f>
        <v>#REF!</v>
      </c>
      <c r="X3325" t="e">
        <f>IF(#REF! &lt;= 50, "0-50", IF(#REF! &lt;=100, "51-100", IF(#REF! &lt;= 150, "101-150", "151+")))</f>
        <v>#REF!</v>
      </c>
      <c r="Y3325" t="e">
        <f>IF(#REF! &lt;= 3, "Low Charges", "High Charges")</f>
        <v>#REF!</v>
      </c>
      <c r="Z3325" t="e">
        <f>IF(#REF!&lt;=80,"Low Calls",
IF(#REF!&lt;=120,"Medium Calls","High Calls"))</f>
        <v>#REF!</v>
      </c>
      <c r="AA3325" t="e">
        <f>IF(#REF!&lt;=15,"Low Charges",
IF(#REF!&lt;=20,"Medium Charges","High Charges"))</f>
        <v>#REF!</v>
      </c>
      <c r="AB3325" t="e">
        <f>IF(AND(#REF!&gt;180, #REF!&gt;200), "Heavy Doemstic User", IF(#REF!&gt;10, "Interntional User", IF(AND(#REF!&lt;180, #REF!&lt;200,#REF!&lt;200), "Light User", "Balanced User")))</f>
        <v>#REF!</v>
      </c>
      <c r="AC3325" t="e">
        <f>IF(#REF! = 0, "No Usage", IF(#REF! &lt;= 20, "Low Usage", IF(#REF! &lt;= 40, "Medium Usgae", "High Usage")))</f>
        <v>#REF!</v>
      </c>
      <c r="AD3325" t="e">
        <f>IF(#REF!&lt;=150,"Low Usage", IF(#REF!&lt;=200,"Medium Usage", IF(#REF!&lt;=250,"High Usage","Very High Usage")))</f>
        <v>#REF!</v>
      </c>
      <c r="AE3325" t="e">
        <f>IF(#REF!&lt;=5,"Low Calls", IF(#REF!&lt;=10, "Medium Calls", "High Calls"))</f>
        <v>#REF!</v>
      </c>
      <c r="AF3325" t="e">
        <f xml:space="preserve">
IF(#REF!&gt;=4,4,0)+
IF(#REF!="yes",3,0)+
IF(#REF!="High Charges",3,0)+
IF(#REF!&gt;250,4,0)+
IF(#REF!="no",1,0)+
IF(#REF!="Heavy Domestic User",2,0)</f>
        <v>#REF!</v>
      </c>
      <c r="AG3325" t="e">
        <f>IF(#REF!&gt;=10,"High Risk", IF(#REF!&gt;=5,"Medium Risk","Low Risk"))</f>
        <v>#REF!</v>
      </c>
      <c r="AH3325" t="e">
        <f>#REF! + #REF! + #REF! + #REF!</f>
        <v>#REF!</v>
      </c>
    </row>
    <row r="3326" spans="1:34" x14ac:dyDescent="0.35">
      <c r="A3326">
        <v>3325</v>
      </c>
      <c r="B3326" t="s">
        <v>61</v>
      </c>
      <c r="C3326">
        <v>79</v>
      </c>
      <c r="D3326" t="s">
        <v>21</v>
      </c>
      <c r="E3326" t="s">
        <v>22</v>
      </c>
      <c r="F3326" t="s">
        <v>22</v>
      </c>
      <c r="G3326">
        <v>0</v>
      </c>
      <c r="H3326">
        <v>187.3</v>
      </c>
      <c r="I3326">
        <v>108</v>
      </c>
      <c r="J3326">
        <v>31.84</v>
      </c>
      <c r="K3326">
        <v>177.1</v>
      </c>
      <c r="L3326">
        <v>72</v>
      </c>
      <c r="M3326">
        <v>15.05</v>
      </c>
      <c r="N3326">
        <v>269.2</v>
      </c>
      <c r="O3326">
        <v>135</v>
      </c>
      <c r="P3326">
        <v>12.11</v>
      </c>
      <c r="Q3326">
        <v>9.5</v>
      </c>
      <c r="R3326">
        <v>3</v>
      </c>
      <c r="S3326">
        <v>2.57</v>
      </c>
      <c r="T3326">
        <v>3</v>
      </c>
      <c r="U3326" t="s">
        <v>22</v>
      </c>
      <c r="V3326" t="e">
        <f>IF(#REF! = "yes", 1, 0)</f>
        <v>#REF!</v>
      </c>
      <c r="W3326" t="e">
        <f>IF(#REF! &lt;= 1, "0-1 Calls", IF(#REF! &lt;= 3, "2-3 Calls", IF(#REF! &lt;=5, "4-5 Calls", "6+ Calls")))</f>
        <v>#REF!</v>
      </c>
      <c r="X3326" t="e">
        <f>IF(#REF! &lt;= 50, "0-50", IF(#REF! &lt;=100, "51-100", IF(#REF! &lt;= 150, "101-150", "151+")))</f>
        <v>#REF!</v>
      </c>
      <c r="Y3326" t="e">
        <f>IF(#REF! &lt;= 3, "Low Charges", "High Charges")</f>
        <v>#REF!</v>
      </c>
      <c r="Z3326" t="e">
        <f>IF(#REF!&lt;=80,"Low Calls",
IF(#REF!&lt;=120,"Medium Calls","High Calls"))</f>
        <v>#REF!</v>
      </c>
      <c r="AA3326" t="e">
        <f>IF(#REF!&lt;=15,"Low Charges",
IF(#REF!&lt;=20,"Medium Charges","High Charges"))</f>
        <v>#REF!</v>
      </c>
      <c r="AB3326" t="e">
        <f>IF(AND(#REF!&gt;180, #REF!&gt;200), "Heavy Doemstic User", IF(#REF!&gt;10, "Interntional User", IF(AND(#REF!&lt;180, #REF!&lt;200,#REF!&lt;200), "Light User", "Balanced User")))</f>
        <v>#REF!</v>
      </c>
      <c r="AC3326" t="e">
        <f>IF(#REF! = 0, "No Usage", IF(#REF! &lt;= 20, "Low Usage", IF(#REF! &lt;= 40, "Medium Usgae", "High Usage")))</f>
        <v>#REF!</v>
      </c>
      <c r="AD3326" t="e">
        <f>IF(#REF!&lt;=150,"Low Usage", IF(#REF!&lt;=200,"Medium Usage", IF(#REF!&lt;=250,"High Usage","Very High Usage")))</f>
        <v>#REF!</v>
      </c>
      <c r="AE3326" t="e">
        <f>IF(#REF!&lt;=5,"Low Calls", IF(#REF!&lt;=10, "Medium Calls", "High Calls"))</f>
        <v>#REF!</v>
      </c>
      <c r="AF3326" t="e">
        <f xml:space="preserve">
IF(#REF!&gt;=4,4,0)+
IF(#REF!="yes",3,0)+
IF(#REF!="High Charges",3,0)+
IF(#REF!&gt;250,4,0)+
IF(#REF!="no",1,0)+
IF(#REF!="Heavy Domestic User",2,0)</f>
        <v>#REF!</v>
      </c>
      <c r="AG3326" t="e">
        <f>IF(#REF!&gt;=10,"High Risk", IF(#REF!&gt;=5,"Medium Risk","Low Risk"))</f>
        <v>#REF!</v>
      </c>
      <c r="AH3326" t="e">
        <f>#REF! + #REF! + #REF! + #REF!</f>
        <v>#REF!</v>
      </c>
    </row>
    <row r="3327" spans="1:34" x14ac:dyDescent="0.35">
      <c r="A3327">
        <v>3326</v>
      </c>
      <c r="B3327" t="s">
        <v>20</v>
      </c>
      <c r="C3327">
        <v>123</v>
      </c>
      <c r="D3327" t="s">
        <v>28</v>
      </c>
      <c r="E3327" t="s">
        <v>22</v>
      </c>
      <c r="F3327" t="s">
        <v>22</v>
      </c>
      <c r="G3327">
        <v>0</v>
      </c>
      <c r="H3327">
        <v>222.4</v>
      </c>
      <c r="I3327">
        <v>90</v>
      </c>
      <c r="J3327">
        <v>37.81</v>
      </c>
      <c r="K3327">
        <v>286.3</v>
      </c>
      <c r="L3327">
        <v>104</v>
      </c>
      <c r="M3327">
        <v>24.34</v>
      </c>
      <c r="N3327">
        <v>300.8</v>
      </c>
      <c r="O3327">
        <v>95</v>
      </c>
      <c r="P3327">
        <v>13.54</v>
      </c>
      <c r="Q3327">
        <v>9.9</v>
      </c>
      <c r="R3327">
        <v>3</v>
      </c>
      <c r="S3327">
        <v>2.67</v>
      </c>
      <c r="T3327">
        <v>2</v>
      </c>
      <c r="U3327" t="s">
        <v>23</v>
      </c>
      <c r="V3327" t="e">
        <f>IF(#REF! = "yes", 1, 0)</f>
        <v>#REF!</v>
      </c>
      <c r="W3327" t="e">
        <f>IF(#REF! &lt;= 1, "0-1 Calls", IF(#REF! &lt;= 3, "2-3 Calls", IF(#REF! &lt;=5, "4-5 Calls", "6+ Calls")))</f>
        <v>#REF!</v>
      </c>
      <c r="X3327" t="e">
        <f>IF(#REF! &lt;= 50, "0-50", IF(#REF! &lt;=100, "51-100", IF(#REF! &lt;= 150, "101-150", "151+")))</f>
        <v>#REF!</v>
      </c>
      <c r="Y3327" t="e">
        <f>IF(#REF! &lt;= 3, "Low Charges", "High Charges")</f>
        <v>#REF!</v>
      </c>
      <c r="Z3327" t="e">
        <f>IF(#REF!&lt;=80,"Low Calls",
IF(#REF!&lt;=120,"Medium Calls","High Calls"))</f>
        <v>#REF!</v>
      </c>
      <c r="AA3327" t="e">
        <f>IF(#REF!&lt;=15,"Low Charges",
IF(#REF!&lt;=20,"Medium Charges","High Charges"))</f>
        <v>#REF!</v>
      </c>
      <c r="AB3327" t="e">
        <f>IF(AND(#REF!&gt;180, #REF!&gt;200), "Heavy Doemstic User", IF(#REF!&gt;10, "Interntional User", IF(AND(#REF!&lt;180, #REF!&lt;200,#REF!&lt;200), "Light User", "Balanced User")))</f>
        <v>#REF!</v>
      </c>
      <c r="AC3327" t="e">
        <f>IF(#REF! = 0, "No Usage", IF(#REF! &lt;= 20, "Low Usage", IF(#REF! &lt;= 40, "Medium Usgae", "High Usage")))</f>
        <v>#REF!</v>
      </c>
      <c r="AD3327" t="e">
        <f>IF(#REF!&lt;=150,"Low Usage", IF(#REF!&lt;=200,"Medium Usage", IF(#REF!&lt;=250,"High Usage","Very High Usage")))</f>
        <v>#REF!</v>
      </c>
      <c r="AE3327" t="e">
        <f>IF(#REF!&lt;=5,"Low Calls", IF(#REF!&lt;=10, "Medium Calls", "High Calls"))</f>
        <v>#REF!</v>
      </c>
      <c r="AF3327" t="e">
        <f xml:space="preserve">
IF(#REF!&gt;=4,4,0)+
IF(#REF!="yes",3,0)+
IF(#REF!="High Charges",3,0)+
IF(#REF!&gt;250,4,0)+
IF(#REF!="no",1,0)+
IF(#REF!="Heavy Domestic User",2,0)</f>
        <v>#REF!</v>
      </c>
      <c r="AG3327" t="e">
        <f>IF(#REF!&gt;=10,"High Risk", IF(#REF!&gt;=5,"Medium Risk","Low Risk"))</f>
        <v>#REF!</v>
      </c>
      <c r="AH3327" t="e">
        <f>#REF! + #REF! + #REF! + #REF!</f>
        <v>#REF!</v>
      </c>
    </row>
    <row r="3328" spans="1:34" x14ac:dyDescent="0.35">
      <c r="A3328">
        <v>3327</v>
      </c>
      <c r="B3328" t="s">
        <v>32</v>
      </c>
      <c r="C3328">
        <v>88</v>
      </c>
      <c r="D3328" t="s">
        <v>21</v>
      </c>
      <c r="E3328" t="s">
        <v>22</v>
      </c>
      <c r="F3328" t="s">
        <v>22</v>
      </c>
      <c r="G3328">
        <v>0</v>
      </c>
      <c r="H3328">
        <v>82.7</v>
      </c>
      <c r="I3328">
        <v>94</v>
      </c>
      <c r="J3328">
        <v>14.06</v>
      </c>
      <c r="K3328">
        <v>157.5</v>
      </c>
      <c r="L3328">
        <v>130</v>
      </c>
      <c r="M3328">
        <v>13.39</v>
      </c>
      <c r="N3328">
        <v>205.9</v>
      </c>
      <c r="O3328">
        <v>81</v>
      </c>
      <c r="P3328">
        <v>9.27</v>
      </c>
      <c r="Q3328">
        <v>10.6</v>
      </c>
      <c r="R3328">
        <v>4</v>
      </c>
      <c r="S3328">
        <v>2.86</v>
      </c>
      <c r="T3328">
        <v>0</v>
      </c>
      <c r="U3328" t="s">
        <v>23</v>
      </c>
      <c r="V3328" t="e">
        <f>IF(#REF! = "yes", 1, 0)</f>
        <v>#REF!</v>
      </c>
      <c r="W3328" t="e">
        <f>IF(#REF! &lt;= 1, "0-1 Calls", IF(#REF! &lt;= 3, "2-3 Calls", IF(#REF! &lt;=5, "4-5 Calls", "6+ Calls")))</f>
        <v>#REF!</v>
      </c>
      <c r="X3328" t="e">
        <f>IF(#REF! &lt;= 50, "0-50", IF(#REF! &lt;=100, "51-100", IF(#REF! &lt;= 150, "101-150", "151+")))</f>
        <v>#REF!</v>
      </c>
      <c r="Y3328" t="e">
        <f>IF(#REF! &lt;= 3, "Low Charges", "High Charges")</f>
        <v>#REF!</v>
      </c>
      <c r="Z3328" t="e">
        <f>IF(#REF!&lt;=80,"Low Calls",
IF(#REF!&lt;=120,"Medium Calls","High Calls"))</f>
        <v>#REF!</v>
      </c>
      <c r="AA3328" t="e">
        <f>IF(#REF!&lt;=15,"Low Charges",
IF(#REF!&lt;=20,"Medium Charges","High Charges"))</f>
        <v>#REF!</v>
      </c>
      <c r="AB3328" t="e">
        <f>IF(AND(#REF!&gt;180, #REF!&gt;200), "Heavy Doemstic User", IF(#REF!&gt;10, "Interntional User", IF(AND(#REF!&lt;180, #REF!&lt;200,#REF!&lt;200), "Light User", "Balanced User")))</f>
        <v>#REF!</v>
      </c>
      <c r="AC3328" t="e">
        <f>IF(#REF! = 0, "No Usage", IF(#REF! &lt;= 20, "Low Usage", IF(#REF! &lt;= 40, "Medium Usgae", "High Usage")))</f>
        <v>#REF!</v>
      </c>
      <c r="AD3328" t="e">
        <f>IF(#REF!&lt;=150,"Low Usage", IF(#REF!&lt;=200,"Medium Usage", IF(#REF!&lt;=250,"High Usage","Very High Usage")))</f>
        <v>#REF!</v>
      </c>
      <c r="AE3328" t="e">
        <f>IF(#REF!&lt;=5,"Low Calls", IF(#REF!&lt;=10, "Medium Calls", "High Calls"))</f>
        <v>#REF!</v>
      </c>
      <c r="AF3328" t="e">
        <f xml:space="preserve">
IF(#REF!&gt;=4,4,0)+
IF(#REF!="yes",3,0)+
IF(#REF!="High Charges",3,0)+
IF(#REF!&gt;250,4,0)+
IF(#REF!="no",1,0)+
IF(#REF!="Heavy Domestic User",2,0)</f>
        <v>#REF!</v>
      </c>
      <c r="AG3328" t="e">
        <f>IF(#REF!&gt;=10,"High Risk", IF(#REF!&gt;=5,"Medium Risk","Low Risk"))</f>
        <v>#REF!</v>
      </c>
      <c r="AH3328" t="e">
        <f>#REF! + #REF! + #REF! + #REF!</f>
        <v>#REF!</v>
      </c>
    </row>
    <row r="3329" spans="1:34" x14ac:dyDescent="0.35">
      <c r="A3329">
        <v>3328</v>
      </c>
      <c r="B3329" t="s">
        <v>38</v>
      </c>
      <c r="C3329">
        <v>182</v>
      </c>
      <c r="D3329" t="s">
        <v>25</v>
      </c>
      <c r="E3329" t="s">
        <v>22</v>
      </c>
      <c r="F3329" t="s">
        <v>23</v>
      </c>
      <c r="G3329">
        <v>24</v>
      </c>
      <c r="H3329">
        <v>215.2</v>
      </c>
      <c r="I3329">
        <v>73</v>
      </c>
      <c r="J3329">
        <v>36.58</v>
      </c>
      <c r="K3329">
        <v>133.1</v>
      </c>
      <c r="L3329">
        <v>85</v>
      </c>
      <c r="M3329">
        <v>11.31</v>
      </c>
      <c r="N3329">
        <v>205.1</v>
      </c>
      <c r="O3329">
        <v>79</v>
      </c>
      <c r="P3329">
        <v>9.23</v>
      </c>
      <c r="Q3329">
        <v>10.9</v>
      </c>
      <c r="R3329">
        <v>7</v>
      </c>
      <c r="S3329">
        <v>2.94</v>
      </c>
      <c r="T3329">
        <v>0</v>
      </c>
      <c r="U3329" t="s">
        <v>22</v>
      </c>
      <c r="V3329" t="e">
        <f>IF(#REF! = "yes", 1, 0)</f>
        <v>#REF!</v>
      </c>
      <c r="W3329" t="e">
        <f>IF(#REF! &lt;= 1, "0-1 Calls", IF(#REF! &lt;= 3, "2-3 Calls", IF(#REF! &lt;=5, "4-5 Calls", "6+ Calls")))</f>
        <v>#REF!</v>
      </c>
      <c r="X3329" t="e">
        <f>IF(#REF! &lt;= 50, "0-50", IF(#REF! &lt;=100, "51-100", IF(#REF! &lt;= 150, "101-150", "151+")))</f>
        <v>#REF!</v>
      </c>
      <c r="Y3329" t="e">
        <f>IF(#REF! &lt;= 3, "Low Charges", "High Charges")</f>
        <v>#REF!</v>
      </c>
      <c r="Z3329" t="e">
        <f>IF(#REF!&lt;=80,"Low Calls",
IF(#REF!&lt;=120,"Medium Calls","High Calls"))</f>
        <v>#REF!</v>
      </c>
      <c r="AA3329" t="e">
        <f>IF(#REF!&lt;=15,"Low Charges",
IF(#REF!&lt;=20,"Medium Charges","High Charges"))</f>
        <v>#REF!</v>
      </c>
      <c r="AB3329" t="e">
        <f>IF(AND(#REF!&gt;180, #REF!&gt;200), "Heavy Doemstic User", IF(#REF!&gt;10, "Interntional User", IF(AND(#REF!&lt;180, #REF!&lt;200,#REF!&lt;200), "Light User", "Balanced User")))</f>
        <v>#REF!</v>
      </c>
      <c r="AC3329" t="e">
        <f>IF(#REF! = 0, "No Usage", IF(#REF! &lt;= 20, "Low Usage", IF(#REF! &lt;= 40, "Medium Usgae", "High Usage")))</f>
        <v>#REF!</v>
      </c>
      <c r="AD3329" t="e">
        <f>IF(#REF!&lt;=150,"Low Usage", IF(#REF!&lt;=200,"Medium Usage", IF(#REF!&lt;=250,"High Usage","Very High Usage")))</f>
        <v>#REF!</v>
      </c>
      <c r="AE3329" t="e">
        <f>IF(#REF!&lt;=5,"Low Calls", IF(#REF!&lt;=10, "Medium Calls", "High Calls"))</f>
        <v>#REF!</v>
      </c>
      <c r="AF3329" t="e">
        <f xml:space="preserve">
IF(#REF!&gt;=4,4,0)+
IF(#REF!="yes",3,0)+
IF(#REF!="High Charges",3,0)+
IF(#REF!&gt;250,4,0)+
IF(#REF!="no",1,0)+
IF(#REF!="Heavy Domestic User",2,0)</f>
        <v>#REF!</v>
      </c>
      <c r="AG3329" t="e">
        <f>IF(#REF!&gt;=10,"High Risk", IF(#REF!&gt;=5,"Medium Risk","Low Risk"))</f>
        <v>#REF!</v>
      </c>
      <c r="AH3329" t="e">
        <f>#REF! + #REF! + #REF! + #REF!</f>
        <v>#REF!</v>
      </c>
    </row>
    <row r="3330" spans="1:34" x14ac:dyDescent="0.35">
      <c r="A3330">
        <v>3329</v>
      </c>
      <c r="B3330" t="s">
        <v>68</v>
      </c>
      <c r="C3330">
        <v>109</v>
      </c>
      <c r="D3330" t="s">
        <v>21</v>
      </c>
      <c r="E3330" t="s">
        <v>22</v>
      </c>
      <c r="F3330" t="s">
        <v>22</v>
      </c>
      <c r="G3330">
        <v>0</v>
      </c>
      <c r="H3330">
        <v>168</v>
      </c>
      <c r="I3330">
        <v>103</v>
      </c>
      <c r="J3330">
        <v>28.56</v>
      </c>
      <c r="K3330">
        <v>190.8</v>
      </c>
      <c r="L3330">
        <v>100</v>
      </c>
      <c r="M3330">
        <v>16.22</v>
      </c>
      <c r="N3330">
        <v>196.9</v>
      </c>
      <c r="O3330">
        <v>65</v>
      </c>
      <c r="P3330">
        <v>8.86</v>
      </c>
      <c r="Q3330">
        <v>7.1</v>
      </c>
      <c r="R3330">
        <v>4</v>
      </c>
      <c r="S3330">
        <v>1.92</v>
      </c>
      <c r="T3330">
        <v>0</v>
      </c>
      <c r="U3330" t="s">
        <v>22</v>
      </c>
      <c r="V3330" t="e">
        <f>IF(#REF! = "yes", 1, 0)</f>
        <v>#REF!</v>
      </c>
      <c r="W3330" t="e">
        <f>IF(#REF! &lt;= 1, "0-1 Calls", IF(#REF! &lt;= 3, "2-3 Calls", IF(#REF! &lt;=5, "4-5 Calls", "6+ Calls")))</f>
        <v>#REF!</v>
      </c>
      <c r="X3330" t="e">
        <f>IF(#REF! &lt;= 50, "0-50", IF(#REF! &lt;=100, "51-100", IF(#REF! &lt;= 150, "101-150", "151+")))</f>
        <v>#REF!</v>
      </c>
      <c r="Y3330" t="e">
        <f>IF(#REF! &lt;= 3, "Low Charges", "High Charges")</f>
        <v>#REF!</v>
      </c>
      <c r="Z3330" t="e">
        <f>IF(#REF!&lt;=80,"Low Calls",
IF(#REF!&lt;=120,"Medium Calls","High Calls"))</f>
        <v>#REF!</v>
      </c>
      <c r="AA3330" t="e">
        <f>IF(#REF!&lt;=15,"Low Charges",
IF(#REF!&lt;=20,"Medium Charges","High Charges"))</f>
        <v>#REF!</v>
      </c>
      <c r="AB3330" t="e">
        <f>IF(AND(#REF!&gt;180, #REF!&gt;200), "Heavy Doemstic User", IF(#REF!&gt;10, "Interntional User", IF(AND(#REF!&lt;180, #REF!&lt;200,#REF!&lt;200), "Light User", "Balanced User")))</f>
        <v>#REF!</v>
      </c>
      <c r="AC3330" t="e">
        <f>IF(#REF! = 0, "No Usage", IF(#REF! &lt;= 20, "Low Usage", IF(#REF! &lt;= 40, "Medium Usgae", "High Usage")))</f>
        <v>#REF!</v>
      </c>
      <c r="AD3330" t="e">
        <f>IF(#REF!&lt;=150,"Low Usage", IF(#REF!&lt;=200,"Medium Usage", IF(#REF!&lt;=250,"High Usage","Very High Usage")))</f>
        <v>#REF!</v>
      </c>
      <c r="AE3330" t="e">
        <f>IF(#REF!&lt;=5,"Low Calls", IF(#REF!&lt;=10, "Medium Calls", "High Calls"))</f>
        <v>#REF!</v>
      </c>
      <c r="AF3330" t="e">
        <f xml:space="preserve">
IF(#REF!&gt;=4,4,0)+
IF(#REF!="yes",3,0)+
IF(#REF!="High Charges",3,0)+
IF(#REF!&gt;250,4,0)+
IF(#REF!="no",1,0)+
IF(#REF!="Heavy Domestic User",2,0)</f>
        <v>#REF!</v>
      </c>
      <c r="AG3330" t="e">
        <f>IF(#REF!&gt;=10,"High Risk", IF(#REF!&gt;=5,"Medium Risk","Low Risk"))</f>
        <v>#REF!</v>
      </c>
      <c r="AH3330" t="e">
        <f>#REF! + #REF! + #REF! + #REF!</f>
        <v>#REF!</v>
      </c>
    </row>
    <row r="3331" spans="1:34" x14ac:dyDescent="0.35">
      <c r="A3331">
        <v>3330</v>
      </c>
      <c r="B3331" t="s">
        <v>34</v>
      </c>
      <c r="C3331">
        <v>79</v>
      </c>
      <c r="D3331" t="s">
        <v>21</v>
      </c>
      <c r="E3331" t="s">
        <v>22</v>
      </c>
      <c r="F3331" t="s">
        <v>23</v>
      </c>
      <c r="G3331">
        <v>12</v>
      </c>
      <c r="H3331">
        <v>62.4</v>
      </c>
      <c r="I3331">
        <v>119</v>
      </c>
      <c r="J3331">
        <v>10.61</v>
      </c>
      <c r="K3331">
        <v>237.6</v>
      </c>
      <c r="L3331">
        <v>96</v>
      </c>
      <c r="M3331">
        <v>20.2</v>
      </c>
      <c r="N3331">
        <v>193.4</v>
      </c>
      <c r="O3331">
        <v>116</v>
      </c>
      <c r="P3331">
        <v>8.6999999999999993</v>
      </c>
      <c r="Q3331">
        <v>7.8</v>
      </c>
      <c r="R3331">
        <v>2</v>
      </c>
      <c r="S3331">
        <v>2.11</v>
      </c>
      <c r="T3331">
        <v>0</v>
      </c>
      <c r="U3331" t="s">
        <v>22</v>
      </c>
      <c r="V3331" t="e">
        <f>IF(#REF! = "yes", 1, 0)</f>
        <v>#REF!</v>
      </c>
      <c r="W3331" t="e">
        <f>IF(#REF! &lt;= 1, "0-1 Calls", IF(#REF! &lt;= 3, "2-3 Calls", IF(#REF! &lt;=5, "4-5 Calls", "6+ Calls")))</f>
        <v>#REF!</v>
      </c>
      <c r="X3331" t="e">
        <f>IF(#REF! &lt;= 50, "0-50", IF(#REF! &lt;=100, "51-100", IF(#REF! &lt;= 150, "101-150", "151+")))</f>
        <v>#REF!</v>
      </c>
      <c r="Y3331" t="e">
        <f>IF(#REF! &lt;= 3, "Low Charges", "High Charges")</f>
        <v>#REF!</v>
      </c>
      <c r="Z3331" t="e">
        <f>IF(#REF!&lt;=80,"Low Calls",
IF(#REF!&lt;=120,"Medium Calls","High Calls"))</f>
        <v>#REF!</v>
      </c>
      <c r="AA3331" t="e">
        <f>IF(#REF!&lt;=15,"Low Charges",
IF(#REF!&lt;=20,"Medium Charges","High Charges"))</f>
        <v>#REF!</v>
      </c>
      <c r="AB3331" t="e">
        <f>IF(AND(#REF!&gt;180, #REF!&gt;200), "Heavy Doemstic User", IF(#REF!&gt;10, "Interntional User", IF(AND(#REF!&lt;180, #REF!&lt;200,#REF!&lt;200), "Light User", "Balanced User")))</f>
        <v>#REF!</v>
      </c>
      <c r="AC3331" t="e">
        <f>IF(#REF! = 0, "No Usage", IF(#REF! &lt;= 20, "Low Usage", IF(#REF! &lt;= 40, "Medium Usgae", "High Usage")))</f>
        <v>#REF!</v>
      </c>
      <c r="AD3331" t="e">
        <f>IF(#REF!&lt;=150,"Low Usage", IF(#REF!&lt;=200,"Medium Usage", IF(#REF!&lt;=250,"High Usage","Very High Usage")))</f>
        <v>#REF!</v>
      </c>
      <c r="AE3331" t="e">
        <f>IF(#REF!&lt;=5,"Low Calls", IF(#REF!&lt;=10, "Medium Calls", "High Calls"))</f>
        <v>#REF!</v>
      </c>
      <c r="AF3331" t="e">
        <f xml:space="preserve">
IF(#REF!&gt;=4,4,0)+
IF(#REF!="yes",3,0)+
IF(#REF!="High Charges",3,0)+
IF(#REF!&gt;250,4,0)+
IF(#REF!="no",1,0)+
IF(#REF!="Heavy Domestic User",2,0)</f>
        <v>#REF!</v>
      </c>
      <c r="AG3331" t="e">
        <f>IF(#REF!&gt;=10,"High Risk", IF(#REF!&gt;=5,"Medium Risk","Low Risk"))</f>
        <v>#REF!</v>
      </c>
      <c r="AH3331" t="e">
        <f>#REF! + #REF! + #REF! + #REF!</f>
        <v>#REF!</v>
      </c>
    </row>
    <row r="3332" spans="1:34" x14ac:dyDescent="0.35">
      <c r="A3332">
        <v>3331</v>
      </c>
      <c r="B3332" t="s">
        <v>38</v>
      </c>
      <c r="C3332">
        <v>68</v>
      </c>
      <c r="D3332" t="s">
        <v>21</v>
      </c>
      <c r="E3332" t="s">
        <v>22</v>
      </c>
      <c r="F3332" t="s">
        <v>23</v>
      </c>
      <c r="G3332">
        <v>41</v>
      </c>
      <c r="H3332">
        <v>226</v>
      </c>
      <c r="I3332">
        <v>113</v>
      </c>
      <c r="J3332">
        <v>38.42</v>
      </c>
      <c r="K3332">
        <v>149.80000000000001</v>
      </c>
      <c r="L3332">
        <v>115</v>
      </c>
      <c r="M3332">
        <v>12.73</v>
      </c>
      <c r="N3332">
        <v>184.9</v>
      </c>
      <c r="O3332">
        <v>88</v>
      </c>
      <c r="P3332">
        <v>8.32</v>
      </c>
      <c r="Q3332">
        <v>11.5</v>
      </c>
      <c r="R3332">
        <v>2</v>
      </c>
      <c r="S3332">
        <v>3.11</v>
      </c>
      <c r="T3332">
        <v>2</v>
      </c>
      <c r="U3332" t="s">
        <v>22</v>
      </c>
      <c r="V3332" t="e">
        <f>IF(#REF! = "yes", 1, 0)</f>
        <v>#REF!</v>
      </c>
      <c r="W3332" t="e">
        <f>IF(#REF! &lt;= 1, "0-1 Calls", IF(#REF! &lt;= 3, "2-3 Calls", IF(#REF! &lt;=5, "4-5 Calls", "6+ Calls")))</f>
        <v>#REF!</v>
      </c>
      <c r="X3332" t="e">
        <f>IF(#REF! &lt;= 50, "0-50", IF(#REF! &lt;=100, "51-100", IF(#REF! &lt;= 150, "101-150", "151+")))</f>
        <v>#REF!</v>
      </c>
      <c r="Y3332" t="e">
        <f>IF(#REF! &lt;= 3, "Low Charges", "High Charges")</f>
        <v>#REF!</v>
      </c>
      <c r="Z3332" t="e">
        <f>IF(#REF!&lt;=80,"Low Calls",
IF(#REF!&lt;=120,"Medium Calls","High Calls"))</f>
        <v>#REF!</v>
      </c>
      <c r="AA3332" t="e">
        <f>IF(#REF!&lt;=15,"Low Charges",
IF(#REF!&lt;=20,"Medium Charges","High Charges"))</f>
        <v>#REF!</v>
      </c>
      <c r="AB3332" t="e">
        <f>IF(AND(#REF!&gt;180, #REF!&gt;200), "Heavy Doemstic User", IF(#REF!&gt;10, "Interntional User", IF(AND(#REF!&lt;180, #REF!&lt;200,#REF!&lt;200), "Light User", "Balanced User")))</f>
        <v>#REF!</v>
      </c>
      <c r="AC3332" t="e">
        <f>IF(#REF! = 0, "No Usage", IF(#REF! &lt;= 20, "Low Usage", IF(#REF! &lt;= 40, "Medium Usgae", "High Usage")))</f>
        <v>#REF!</v>
      </c>
      <c r="AD3332" t="e">
        <f>IF(#REF!&lt;=150,"Low Usage", IF(#REF!&lt;=200,"Medium Usage", IF(#REF!&lt;=250,"High Usage","Very High Usage")))</f>
        <v>#REF!</v>
      </c>
      <c r="AE3332" t="e">
        <f>IF(#REF!&lt;=5,"Low Calls", IF(#REF!&lt;=10, "Medium Calls", "High Calls"))</f>
        <v>#REF!</v>
      </c>
      <c r="AF3332" t="e">
        <f xml:space="preserve">
IF(#REF!&gt;=4,4,0)+
IF(#REF!="yes",3,0)+
IF(#REF!="High Charges",3,0)+
IF(#REF!&gt;250,4,0)+
IF(#REF!="no",1,0)+
IF(#REF!="Heavy Domestic User",2,0)</f>
        <v>#REF!</v>
      </c>
      <c r="AG3332" t="e">
        <f>IF(#REF!&gt;=10,"High Risk", IF(#REF!&gt;=5,"Medium Risk","Low Risk"))</f>
        <v>#REF!</v>
      </c>
      <c r="AH3332" t="e">
        <f>#REF! + #REF! + #REF! + #REF!</f>
        <v>#REF!</v>
      </c>
    </row>
    <row r="3333" spans="1:34" x14ac:dyDescent="0.35">
      <c r="A3333">
        <v>3332</v>
      </c>
      <c r="B3333" t="s">
        <v>62</v>
      </c>
      <c r="C3333">
        <v>70</v>
      </c>
      <c r="D3333" t="s">
        <v>21</v>
      </c>
      <c r="E3333" t="s">
        <v>22</v>
      </c>
      <c r="F3333" t="s">
        <v>22</v>
      </c>
      <c r="G3333">
        <v>0</v>
      </c>
      <c r="H3333">
        <v>205.7</v>
      </c>
      <c r="I3333">
        <v>80</v>
      </c>
      <c r="J3333">
        <v>34.97</v>
      </c>
      <c r="K3333">
        <v>221.4</v>
      </c>
      <c r="L3333">
        <v>103</v>
      </c>
      <c r="M3333">
        <v>18.82</v>
      </c>
      <c r="N3333">
        <v>206.2</v>
      </c>
      <c r="O3333">
        <v>117</v>
      </c>
      <c r="P3333">
        <v>9.2799999999999994</v>
      </c>
      <c r="Q3333">
        <v>14.2</v>
      </c>
      <c r="R3333">
        <v>5</v>
      </c>
      <c r="S3333">
        <v>3.83</v>
      </c>
      <c r="T3333">
        <v>2</v>
      </c>
      <c r="U3333" t="s">
        <v>22</v>
      </c>
      <c r="V3333" t="e">
        <f>IF(#REF! = "yes", 1, 0)</f>
        <v>#REF!</v>
      </c>
      <c r="W3333" t="e">
        <f>IF(#REF! &lt;= 1, "0-1 Calls", IF(#REF! &lt;= 3, "2-3 Calls", IF(#REF! &lt;=5, "4-5 Calls", "6+ Calls")))</f>
        <v>#REF!</v>
      </c>
      <c r="X3333" t="e">
        <f>IF(#REF! &lt;= 50, "0-50", IF(#REF! &lt;=100, "51-100", IF(#REF! &lt;= 150, "101-150", "151+")))</f>
        <v>#REF!</v>
      </c>
      <c r="Y3333" t="e">
        <f>IF(#REF! &lt;= 3, "Low Charges", "High Charges")</f>
        <v>#REF!</v>
      </c>
      <c r="Z3333" t="e">
        <f>IF(#REF!&lt;=80,"Low Calls",
IF(#REF!&lt;=120,"Medium Calls","High Calls"))</f>
        <v>#REF!</v>
      </c>
      <c r="AA3333" t="e">
        <f>IF(#REF!&lt;=15,"Low Charges",
IF(#REF!&lt;=20,"Medium Charges","High Charges"))</f>
        <v>#REF!</v>
      </c>
      <c r="AB3333" t="e">
        <f>IF(AND(#REF!&gt;180, #REF!&gt;200), "Heavy Doemstic User", IF(#REF!&gt;10, "Interntional User", IF(AND(#REF!&lt;180, #REF!&lt;200,#REF!&lt;200), "Light User", "Balanced User")))</f>
        <v>#REF!</v>
      </c>
      <c r="AC3333" t="e">
        <f>IF(#REF! = 0, "No Usage", IF(#REF! &lt;= 20, "Low Usage", IF(#REF! &lt;= 40, "Medium Usgae", "High Usage")))</f>
        <v>#REF!</v>
      </c>
      <c r="AD3333" t="e">
        <f>IF(#REF!&lt;=150,"Low Usage", IF(#REF!&lt;=200,"Medium Usage", IF(#REF!&lt;=250,"High Usage","Very High Usage")))</f>
        <v>#REF!</v>
      </c>
      <c r="AE3333" t="e">
        <f>IF(#REF!&lt;=5,"Low Calls", IF(#REF!&lt;=10, "Medium Calls", "High Calls"))</f>
        <v>#REF!</v>
      </c>
      <c r="AF3333" t="e">
        <f xml:space="preserve">
IF(#REF!&gt;=4,4,0)+
IF(#REF!="yes",3,0)+
IF(#REF!="High Charges",3,0)+
IF(#REF!&gt;250,4,0)+
IF(#REF!="no",1,0)+
IF(#REF!="Heavy Domestic User",2,0)</f>
        <v>#REF!</v>
      </c>
      <c r="AG3333" t="e">
        <f>IF(#REF!&gt;=10,"High Risk", IF(#REF!&gt;=5,"Medium Risk","Low Risk"))</f>
        <v>#REF!</v>
      </c>
      <c r="AH3333" t="e">
        <f>#REF! + #REF! + #REF! + #REF!</f>
        <v>#REF!</v>
      </c>
    </row>
    <row r="3334" spans="1:34" x14ac:dyDescent="0.35">
      <c r="A3334">
        <v>3333</v>
      </c>
      <c r="B3334" t="s">
        <v>44</v>
      </c>
      <c r="C3334">
        <v>44</v>
      </c>
      <c r="D3334" t="s">
        <v>21</v>
      </c>
      <c r="E3334" t="s">
        <v>22</v>
      </c>
      <c r="F3334" t="s">
        <v>23</v>
      </c>
      <c r="G3334">
        <v>20</v>
      </c>
      <c r="H3334">
        <v>184.8</v>
      </c>
      <c r="I3334">
        <v>105</v>
      </c>
      <c r="J3334">
        <v>31.42</v>
      </c>
      <c r="K3334">
        <v>195</v>
      </c>
      <c r="L3334">
        <v>169</v>
      </c>
      <c r="M3334">
        <v>16.579999999999998</v>
      </c>
      <c r="N3334">
        <v>130.1</v>
      </c>
      <c r="O3334">
        <v>121</v>
      </c>
      <c r="P3334">
        <v>5.85</v>
      </c>
      <c r="Q3334">
        <v>11.6</v>
      </c>
      <c r="R3334">
        <v>3</v>
      </c>
      <c r="S3334">
        <v>3.13</v>
      </c>
      <c r="T3334">
        <v>1</v>
      </c>
      <c r="U3334" t="s">
        <v>22</v>
      </c>
      <c r="V3334" t="e">
        <f>IF(#REF! = "yes", 1, 0)</f>
        <v>#REF!</v>
      </c>
      <c r="W3334" t="e">
        <f>IF(#REF! &lt;= 1, "0-1 Calls", IF(#REF! &lt;= 3, "2-3 Calls", IF(#REF! &lt;=5, "4-5 Calls", "6+ Calls")))</f>
        <v>#REF!</v>
      </c>
      <c r="X3334" t="e">
        <f>IF(#REF! &lt;= 50, "0-50", IF(#REF! &lt;=100, "51-100", IF(#REF! &lt;= 150, "101-150", "151+")))</f>
        <v>#REF!</v>
      </c>
      <c r="Y3334" t="e">
        <f>IF(#REF! &lt;= 3, "Low Charges", "High Charges")</f>
        <v>#REF!</v>
      </c>
      <c r="Z3334" t="e">
        <f>IF(#REF!&lt;=80,"Low Calls",
IF(#REF!&lt;=120,"Medium Calls","High Calls"))</f>
        <v>#REF!</v>
      </c>
      <c r="AA3334" t="e">
        <f>IF(#REF!&lt;=15,"Low Charges",
IF(#REF!&lt;=20,"Medium Charges","High Charges"))</f>
        <v>#REF!</v>
      </c>
      <c r="AB3334" t="e">
        <f>IF(AND(#REF!&gt;180, #REF!&gt;200), "Heavy Doemstic User", IF(#REF!&gt;10, "Interntional User", IF(AND(#REF!&lt;180, #REF!&lt;200,#REF!&lt;200), "Light User", "Balanced User")))</f>
        <v>#REF!</v>
      </c>
      <c r="AC3334" t="e">
        <f>IF(#REF! = 0, "No Usage", IF(#REF! &lt;= 20, "Low Usage", IF(#REF! &lt;= 40, "Medium Usgae", "High Usage")))</f>
        <v>#REF!</v>
      </c>
      <c r="AD3334" t="e">
        <f>IF(#REF!&lt;=150,"Low Usage", IF(#REF!&lt;=200,"Medium Usage", IF(#REF!&lt;=250,"High Usage","Very High Usage")))</f>
        <v>#REF!</v>
      </c>
      <c r="AE3334" t="e">
        <f>IF(#REF!&lt;=5,"Low Calls", IF(#REF!&lt;=10, "Medium Calls", "High Calls"))</f>
        <v>#REF!</v>
      </c>
      <c r="AF3334" t="e">
        <f xml:space="preserve">
IF(#REF!&gt;=4,4,0)+
IF(#REF!="yes",3,0)+
IF(#REF!="High Charges",3,0)+
IF(#REF!&gt;250,4,0)+
IF(#REF!="no",1,0)+
IF(#REF!="Heavy Domestic User",2,0)</f>
        <v>#REF!</v>
      </c>
      <c r="AG3334" t="e">
        <f>IF(#REF!&gt;=10,"High Risk", IF(#REF!&gt;=5,"Medium Risk","Low Risk"))</f>
        <v>#REF!</v>
      </c>
      <c r="AH3334" t="e">
        <f>#REF! + #REF! + #REF! + #REF!</f>
        <v>#REF!</v>
      </c>
    </row>
    <row r="3335" spans="1:34" x14ac:dyDescent="0.35">
      <c r="A3335">
        <v>3334</v>
      </c>
      <c r="B3335" t="s">
        <v>27</v>
      </c>
      <c r="C3335">
        <v>113</v>
      </c>
      <c r="D3335" t="s">
        <v>28</v>
      </c>
      <c r="E3335" t="s">
        <v>22</v>
      </c>
      <c r="F3335" t="s">
        <v>22</v>
      </c>
      <c r="G3335">
        <v>0</v>
      </c>
      <c r="H3335">
        <v>193.1</v>
      </c>
      <c r="I3335">
        <v>93</v>
      </c>
      <c r="J3335">
        <v>32.83</v>
      </c>
      <c r="K3335">
        <v>206.4</v>
      </c>
      <c r="L3335">
        <v>85</v>
      </c>
      <c r="M3335">
        <v>17.54</v>
      </c>
      <c r="N3335">
        <v>215.9</v>
      </c>
      <c r="O3335">
        <v>102</v>
      </c>
      <c r="P3335">
        <v>9.7200000000000006</v>
      </c>
      <c r="Q3335">
        <v>11.1</v>
      </c>
      <c r="R3335">
        <v>2</v>
      </c>
      <c r="S3335">
        <v>3</v>
      </c>
      <c r="T3335">
        <v>1</v>
      </c>
      <c r="U3335" t="s">
        <v>22</v>
      </c>
      <c r="V3335" t="e">
        <f>IF(#REF! = "yes", 1, 0)</f>
        <v>#REF!</v>
      </c>
      <c r="W3335" t="e">
        <f>IF(#REF! &lt;= 1, "0-1 Calls", IF(#REF! &lt;= 3, "2-3 Calls", IF(#REF! &lt;=5, "4-5 Calls", "6+ Calls")))</f>
        <v>#REF!</v>
      </c>
      <c r="X3335" t="e">
        <f>IF(#REF! &lt;= 50, "0-50", IF(#REF! &lt;=100, "51-100", IF(#REF! &lt;= 150, "101-150", "151+")))</f>
        <v>#REF!</v>
      </c>
      <c r="Y3335" t="e">
        <f>IF(#REF! &lt;= 3, "Low Charges", "High Charges")</f>
        <v>#REF!</v>
      </c>
      <c r="Z3335" t="e">
        <f>IF(#REF!&lt;=80,"Low Calls",
IF(#REF!&lt;=120,"Medium Calls","High Calls"))</f>
        <v>#REF!</v>
      </c>
      <c r="AA3335" t="e">
        <f>IF(#REF!&lt;=15,"Low Charges",
IF(#REF!&lt;=20,"Medium Charges","High Charges"))</f>
        <v>#REF!</v>
      </c>
      <c r="AB3335" t="e">
        <f>IF(AND(#REF!&gt;180, #REF!&gt;200), "Heavy Doemstic User", IF(#REF!&gt;10, "Interntional User", IF(AND(#REF!&lt;180, #REF!&lt;200,#REF!&lt;200), "Light User", "Balanced User")))</f>
        <v>#REF!</v>
      </c>
      <c r="AC3335" t="e">
        <f>IF(#REF! = 0, "No Usage", IF(#REF! &lt;= 20, "Low Usage", IF(#REF! &lt;= 40, "Medium Usgae", "High Usage")))</f>
        <v>#REF!</v>
      </c>
      <c r="AD3335" t="e">
        <f>IF(#REF!&lt;=150,"Low Usage", IF(#REF!&lt;=200,"Medium Usage", IF(#REF!&lt;=250,"High Usage","Very High Usage")))</f>
        <v>#REF!</v>
      </c>
      <c r="AE3335" t="e">
        <f>IF(#REF!&lt;=5,"Low Calls", IF(#REF!&lt;=10, "Medium Calls", "High Calls"))</f>
        <v>#REF!</v>
      </c>
      <c r="AF3335" t="e">
        <f xml:space="preserve">
IF(#REF!&gt;=4,4,0)+
IF(#REF!="yes",3,0)+
IF(#REF!="High Charges",3,0)+
IF(#REF!&gt;250,4,0)+
IF(#REF!="no",1,0)+
IF(#REF!="Heavy Domestic User",2,0)</f>
        <v>#REF!</v>
      </c>
      <c r="AG3335" t="e">
        <f>IF(#REF!&gt;=10,"High Risk", IF(#REF!&gt;=5,"Medium Risk","Low Risk"))</f>
        <v>#REF!</v>
      </c>
      <c r="AH3335" t="e">
        <f>#REF! + #REF! + #REF! + #REF!</f>
        <v>#REF!</v>
      </c>
    </row>
    <row r="3336" spans="1:34" x14ac:dyDescent="0.35">
      <c r="A3336">
        <v>3335</v>
      </c>
      <c r="B3336" t="s">
        <v>55</v>
      </c>
      <c r="C3336">
        <v>86</v>
      </c>
      <c r="D3336" t="s">
        <v>28</v>
      </c>
      <c r="E3336" t="s">
        <v>23</v>
      </c>
      <c r="F3336" t="s">
        <v>23</v>
      </c>
      <c r="G3336">
        <v>41</v>
      </c>
      <c r="H3336">
        <v>225.5</v>
      </c>
      <c r="I3336">
        <v>95</v>
      </c>
      <c r="J3336">
        <v>38.340000000000003</v>
      </c>
      <c r="K3336">
        <v>229.3</v>
      </c>
      <c r="L3336">
        <v>101</v>
      </c>
      <c r="M3336">
        <v>19.489999999999998</v>
      </c>
      <c r="N3336">
        <v>134</v>
      </c>
      <c r="O3336">
        <v>82</v>
      </c>
      <c r="P3336">
        <v>6.03</v>
      </c>
      <c r="Q3336">
        <v>11.6</v>
      </c>
      <c r="R3336">
        <v>10</v>
      </c>
      <c r="S3336">
        <v>3.13</v>
      </c>
      <c r="T3336">
        <v>2</v>
      </c>
      <c r="U3336" t="s">
        <v>22</v>
      </c>
      <c r="V3336" t="e">
        <f>IF(#REF! = "yes", 1, 0)</f>
        <v>#REF!</v>
      </c>
      <c r="W3336" t="e">
        <f>IF(#REF! &lt;= 1, "0-1 Calls", IF(#REF! &lt;= 3, "2-3 Calls", IF(#REF! &lt;=5, "4-5 Calls", "6+ Calls")))</f>
        <v>#REF!</v>
      </c>
      <c r="X3336" t="e">
        <f>IF(#REF! &lt;= 50, "0-50", IF(#REF! &lt;=100, "51-100", IF(#REF! &lt;= 150, "101-150", "151+")))</f>
        <v>#REF!</v>
      </c>
      <c r="Y3336" t="e">
        <f>IF(#REF! &lt;= 3, "Low Charges", "High Charges")</f>
        <v>#REF!</v>
      </c>
      <c r="Z3336" t="e">
        <f>IF(#REF!&lt;=80,"Low Calls",
IF(#REF!&lt;=120,"Medium Calls","High Calls"))</f>
        <v>#REF!</v>
      </c>
      <c r="AA3336" t="e">
        <f>IF(#REF!&lt;=15,"Low Charges",
IF(#REF!&lt;=20,"Medium Charges","High Charges"))</f>
        <v>#REF!</v>
      </c>
      <c r="AB3336" t="e">
        <f>IF(AND(#REF!&gt;180, #REF!&gt;200), "Heavy Doemstic User", IF(#REF!&gt;10, "Interntional User", IF(AND(#REF!&lt;180, #REF!&lt;200,#REF!&lt;200), "Light User", "Balanced User")))</f>
        <v>#REF!</v>
      </c>
      <c r="AC3336" t="e">
        <f>IF(#REF! = 0, "No Usage", IF(#REF! &lt;= 20, "Low Usage", IF(#REF! &lt;= 40, "Medium Usgae", "High Usage")))</f>
        <v>#REF!</v>
      </c>
      <c r="AD3336" t="e">
        <f>IF(#REF!&lt;=150,"Low Usage", IF(#REF!&lt;=200,"Medium Usage", IF(#REF!&lt;=250,"High Usage","Very High Usage")))</f>
        <v>#REF!</v>
      </c>
      <c r="AE3336" t="e">
        <f>IF(#REF!&lt;=5,"Low Calls", IF(#REF!&lt;=10, "Medium Calls", "High Calls"))</f>
        <v>#REF!</v>
      </c>
      <c r="AF3336" t="e">
        <f xml:space="preserve">
IF(#REF!&gt;=4,4,0)+
IF(#REF!="yes",3,0)+
IF(#REF!="High Charges",3,0)+
IF(#REF!&gt;250,4,0)+
IF(#REF!="no",1,0)+
IF(#REF!="Heavy Domestic User",2,0)</f>
        <v>#REF!</v>
      </c>
      <c r="AG3336" t="e">
        <f>IF(#REF!&gt;=10,"High Risk", IF(#REF!&gt;=5,"Medium Risk","Low Risk"))</f>
        <v>#REF!</v>
      </c>
      <c r="AH3336" t="e">
        <f>#REF! + #REF! + #REF! + #REF!</f>
        <v>#REF!</v>
      </c>
    </row>
    <row r="3337" spans="1:34" x14ac:dyDescent="0.35">
      <c r="A3337">
        <v>3336</v>
      </c>
      <c r="B3337" t="s">
        <v>46</v>
      </c>
      <c r="C3337">
        <v>59</v>
      </c>
      <c r="D3337" t="s">
        <v>21</v>
      </c>
      <c r="E3337" t="s">
        <v>22</v>
      </c>
      <c r="F3337" t="s">
        <v>22</v>
      </c>
      <c r="G3337">
        <v>0</v>
      </c>
      <c r="H3337">
        <v>163.5</v>
      </c>
      <c r="I3337">
        <v>107</v>
      </c>
      <c r="J3337">
        <v>27.8</v>
      </c>
      <c r="K3337">
        <v>187.1</v>
      </c>
      <c r="L3337">
        <v>91</v>
      </c>
      <c r="M3337">
        <v>15.9</v>
      </c>
      <c r="N3337">
        <v>179.1</v>
      </c>
      <c r="O3337">
        <v>100</v>
      </c>
      <c r="P3337">
        <v>8.06</v>
      </c>
      <c r="Q3337">
        <v>10.3</v>
      </c>
      <c r="R3337">
        <v>1</v>
      </c>
      <c r="S3337">
        <v>2.78</v>
      </c>
      <c r="T3337">
        <v>2</v>
      </c>
      <c r="U3337" t="s">
        <v>22</v>
      </c>
      <c r="V3337" t="e">
        <f>IF(#REF! = "yes", 1, 0)</f>
        <v>#REF!</v>
      </c>
      <c r="W3337" t="e">
        <f>IF(#REF! &lt;= 1, "0-1 Calls", IF(#REF! &lt;= 3, "2-3 Calls", IF(#REF! &lt;=5, "4-5 Calls", "6+ Calls")))</f>
        <v>#REF!</v>
      </c>
      <c r="X3337" t="e">
        <f>IF(#REF! &lt;= 50, "0-50", IF(#REF! &lt;=100, "51-100", IF(#REF! &lt;= 150, "101-150", "151+")))</f>
        <v>#REF!</v>
      </c>
      <c r="Y3337" t="e">
        <f>IF(#REF! &lt;= 3, "Low Charges", "High Charges")</f>
        <v>#REF!</v>
      </c>
      <c r="Z3337" t="e">
        <f>IF(#REF!&lt;=80,"Low Calls",
IF(#REF!&lt;=120,"Medium Calls","High Calls"))</f>
        <v>#REF!</v>
      </c>
      <c r="AA3337" t="e">
        <f>IF(#REF!&lt;=15,"Low Charges",
IF(#REF!&lt;=20,"Medium Charges","High Charges"))</f>
        <v>#REF!</v>
      </c>
      <c r="AB3337" t="e">
        <f>IF(AND(#REF!&gt;180, #REF!&gt;200), "Heavy Doemstic User", IF(#REF!&gt;10, "Interntional User", IF(AND(#REF!&lt;180, #REF!&lt;200,#REF!&lt;200), "Light User", "Balanced User")))</f>
        <v>#REF!</v>
      </c>
      <c r="AC3337" t="e">
        <f>IF(#REF! = 0, "No Usage", IF(#REF! &lt;= 20, "Low Usage", IF(#REF! &lt;= 40, "Medium Usgae", "High Usage")))</f>
        <v>#REF!</v>
      </c>
      <c r="AD3337" t="e">
        <f>IF(#REF!&lt;=150,"Low Usage", IF(#REF!&lt;=200,"Medium Usage", IF(#REF!&lt;=250,"High Usage","Very High Usage")))</f>
        <v>#REF!</v>
      </c>
      <c r="AE3337" t="e">
        <f>IF(#REF!&lt;=5,"Low Calls", IF(#REF!&lt;=10, "Medium Calls", "High Calls"))</f>
        <v>#REF!</v>
      </c>
      <c r="AF3337" t="e">
        <f xml:space="preserve">
IF(#REF!&gt;=4,4,0)+
IF(#REF!="yes",3,0)+
IF(#REF!="High Charges",3,0)+
IF(#REF!&gt;250,4,0)+
IF(#REF!="no",1,0)+
IF(#REF!="Heavy Domestic User",2,0)</f>
        <v>#REF!</v>
      </c>
      <c r="AG3337" t="e">
        <f>IF(#REF!&gt;=10,"High Risk", IF(#REF!&gt;=5,"Medium Risk","Low Risk"))</f>
        <v>#REF!</v>
      </c>
      <c r="AH3337" t="e">
        <f>#REF! + #REF! + #REF! + #REF!</f>
        <v>#REF!</v>
      </c>
    </row>
    <row r="3338" spans="1:34" x14ac:dyDescent="0.35">
      <c r="A3338">
        <v>3337</v>
      </c>
      <c r="B3338" t="s">
        <v>24</v>
      </c>
      <c r="C3338">
        <v>112</v>
      </c>
      <c r="D3338" t="s">
        <v>28</v>
      </c>
      <c r="E3338" t="s">
        <v>22</v>
      </c>
      <c r="F3338" t="s">
        <v>23</v>
      </c>
      <c r="G3338">
        <v>22</v>
      </c>
      <c r="H3338">
        <v>244.7</v>
      </c>
      <c r="I3338">
        <v>104</v>
      </c>
      <c r="J3338">
        <v>41.6</v>
      </c>
      <c r="K3338">
        <v>203.1</v>
      </c>
      <c r="L3338">
        <v>88</v>
      </c>
      <c r="M3338">
        <v>17.260000000000002</v>
      </c>
      <c r="N3338">
        <v>222</v>
      </c>
      <c r="O3338">
        <v>84</v>
      </c>
      <c r="P3338">
        <v>9.99</v>
      </c>
      <c r="Q3338">
        <v>7.4</v>
      </c>
      <c r="R3338">
        <v>6</v>
      </c>
      <c r="S3338">
        <v>2</v>
      </c>
      <c r="T3338">
        <v>0</v>
      </c>
      <c r="U3338" t="s">
        <v>22</v>
      </c>
      <c r="V3338" t="e">
        <f>IF(#REF! = "yes", 1, 0)</f>
        <v>#REF!</v>
      </c>
      <c r="W3338" t="e">
        <f>IF(#REF! &lt;= 1, "0-1 Calls", IF(#REF! &lt;= 3, "2-3 Calls", IF(#REF! &lt;=5, "4-5 Calls", "6+ Calls")))</f>
        <v>#REF!</v>
      </c>
      <c r="X3338" t="e">
        <f>IF(#REF! &lt;= 50, "0-50", IF(#REF! &lt;=100, "51-100", IF(#REF! &lt;= 150, "101-150", "151+")))</f>
        <v>#REF!</v>
      </c>
      <c r="Y3338" t="e">
        <f>IF(#REF! &lt;= 3, "Low Charges", "High Charges")</f>
        <v>#REF!</v>
      </c>
      <c r="Z3338" t="e">
        <f>IF(#REF!&lt;=80,"Low Calls",
IF(#REF!&lt;=120,"Medium Calls","High Calls"))</f>
        <v>#REF!</v>
      </c>
      <c r="AA3338" t="e">
        <f>IF(#REF!&lt;=15,"Low Charges",
IF(#REF!&lt;=20,"Medium Charges","High Charges"))</f>
        <v>#REF!</v>
      </c>
      <c r="AB3338" t="e">
        <f>IF(AND(#REF!&gt;180, #REF!&gt;200), "Heavy Doemstic User", IF(#REF!&gt;10, "Interntional User", IF(AND(#REF!&lt;180, #REF!&lt;200,#REF!&lt;200), "Light User", "Balanced User")))</f>
        <v>#REF!</v>
      </c>
      <c r="AC3338" t="e">
        <f>IF(#REF! = 0, "No Usage", IF(#REF! &lt;= 20, "Low Usage", IF(#REF! &lt;= 40, "Medium Usgae", "High Usage")))</f>
        <v>#REF!</v>
      </c>
      <c r="AD3338" t="e">
        <f>IF(#REF!&lt;=150,"Low Usage", IF(#REF!&lt;=200,"Medium Usage", IF(#REF!&lt;=250,"High Usage","Very High Usage")))</f>
        <v>#REF!</v>
      </c>
      <c r="AE3338" t="e">
        <f>IF(#REF!&lt;=5,"Low Calls", IF(#REF!&lt;=10, "Medium Calls", "High Calls"))</f>
        <v>#REF!</v>
      </c>
      <c r="AF3338" t="e">
        <f xml:space="preserve">
IF(#REF!&gt;=4,4,0)+
IF(#REF!="yes",3,0)+
IF(#REF!="High Charges",3,0)+
IF(#REF!&gt;250,4,0)+
IF(#REF!="no",1,0)+
IF(#REF!="Heavy Domestic User",2,0)</f>
        <v>#REF!</v>
      </c>
      <c r="AG3338" t="e">
        <f>IF(#REF!&gt;=10,"High Risk", IF(#REF!&gt;=5,"Medium Risk","Low Risk"))</f>
        <v>#REF!</v>
      </c>
      <c r="AH3338" t="e">
        <f>#REF! + #REF! + #REF! + #REF!</f>
        <v>#REF!</v>
      </c>
    </row>
    <row r="3339" spans="1:34" x14ac:dyDescent="0.35">
      <c r="A3339">
        <v>3338</v>
      </c>
      <c r="B3339" t="s">
        <v>27</v>
      </c>
      <c r="C3339">
        <v>152</v>
      </c>
      <c r="D3339" t="s">
        <v>25</v>
      </c>
      <c r="E3339" t="s">
        <v>22</v>
      </c>
      <c r="F3339" t="s">
        <v>22</v>
      </c>
      <c r="G3339">
        <v>0</v>
      </c>
      <c r="H3339">
        <v>216.7</v>
      </c>
      <c r="I3339">
        <v>70</v>
      </c>
      <c r="J3339">
        <v>36.840000000000003</v>
      </c>
      <c r="K3339">
        <v>152.69999999999999</v>
      </c>
      <c r="L3339">
        <v>102</v>
      </c>
      <c r="M3339">
        <v>12.98</v>
      </c>
      <c r="N3339">
        <v>181.2</v>
      </c>
      <c r="O3339">
        <v>99</v>
      </c>
      <c r="P3339">
        <v>8.15</v>
      </c>
      <c r="Q3339">
        <v>11.6</v>
      </c>
      <c r="R3339">
        <v>6</v>
      </c>
      <c r="S3339">
        <v>3.13</v>
      </c>
      <c r="T3339">
        <v>1</v>
      </c>
      <c r="U3339" t="s">
        <v>22</v>
      </c>
      <c r="V3339" t="e">
        <f>IF(#REF! = "yes", 1, 0)</f>
        <v>#REF!</v>
      </c>
      <c r="W3339" t="e">
        <f>IF(#REF! &lt;= 1, "0-1 Calls", IF(#REF! &lt;= 3, "2-3 Calls", IF(#REF! &lt;=5, "4-5 Calls", "6+ Calls")))</f>
        <v>#REF!</v>
      </c>
      <c r="X3339" t="e">
        <f>IF(#REF! &lt;= 50, "0-50", IF(#REF! &lt;=100, "51-100", IF(#REF! &lt;= 150, "101-150", "151+")))</f>
        <v>#REF!</v>
      </c>
      <c r="Y3339" t="e">
        <f>IF(#REF! &lt;= 3, "Low Charges", "High Charges")</f>
        <v>#REF!</v>
      </c>
      <c r="Z3339" t="e">
        <f>IF(#REF!&lt;=80,"Low Calls",
IF(#REF!&lt;=120,"Medium Calls","High Calls"))</f>
        <v>#REF!</v>
      </c>
      <c r="AA3339" t="e">
        <f>IF(#REF!&lt;=15,"Low Charges",
IF(#REF!&lt;=20,"Medium Charges","High Charges"))</f>
        <v>#REF!</v>
      </c>
      <c r="AB3339" t="e">
        <f>IF(AND(#REF!&gt;180, #REF!&gt;200), "Heavy Doemstic User", IF(#REF!&gt;10, "Interntional User", IF(AND(#REF!&lt;180, #REF!&lt;200,#REF!&lt;200), "Light User", "Balanced User")))</f>
        <v>#REF!</v>
      </c>
      <c r="AC3339" t="e">
        <f>IF(#REF! = 0, "No Usage", IF(#REF! &lt;= 20, "Low Usage", IF(#REF! &lt;= 40, "Medium Usgae", "High Usage")))</f>
        <v>#REF!</v>
      </c>
      <c r="AD3339" t="e">
        <f>IF(#REF!&lt;=150,"Low Usage", IF(#REF!&lt;=200,"Medium Usage", IF(#REF!&lt;=250,"High Usage","Very High Usage")))</f>
        <v>#REF!</v>
      </c>
      <c r="AE3339" t="e">
        <f>IF(#REF!&lt;=5,"Low Calls", IF(#REF!&lt;=10, "Medium Calls", "High Calls"))</f>
        <v>#REF!</v>
      </c>
      <c r="AF3339" t="e">
        <f xml:space="preserve">
IF(#REF!&gt;=4,4,0)+
IF(#REF!="yes",3,0)+
IF(#REF!="High Charges",3,0)+
IF(#REF!&gt;250,4,0)+
IF(#REF!="no",1,0)+
IF(#REF!="Heavy Domestic User",2,0)</f>
        <v>#REF!</v>
      </c>
      <c r="AG3339" t="e">
        <f>IF(#REF!&gt;=10,"High Risk", IF(#REF!&gt;=5,"Medium Risk","Low Risk"))</f>
        <v>#REF!</v>
      </c>
      <c r="AH3339" t="e">
        <f>#REF! + #REF! + #REF! + #REF!</f>
        <v>#REF!</v>
      </c>
    </row>
    <row r="3340" spans="1:34" x14ac:dyDescent="0.35">
      <c r="A3340">
        <v>3339</v>
      </c>
      <c r="B3340" t="s">
        <v>48</v>
      </c>
      <c r="C3340">
        <v>108</v>
      </c>
      <c r="D3340" t="s">
        <v>21</v>
      </c>
      <c r="E3340" t="s">
        <v>22</v>
      </c>
      <c r="F3340" t="s">
        <v>23</v>
      </c>
      <c r="G3340">
        <v>15</v>
      </c>
      <c r="H3340">
        <v>196.8</v>
      </c>
      <c r="I3340">
        <v>79</v>
      </c>
      <c r="J3340">
        <v>33.46</v>
      </c>
      <c r="K3340">
        <v>173.5</v>
      </c>
      <c r="L3340">
        <v>99</v>
      </c>
      <c r="M3340">
        <v>14.75</v>
      </c>
      <c r="N3340">
        <v>274.7</v>
      </c>
      <c r="O3340">
        <v>108</v>
      </c>
      <c r="P3340">
        <v>12.36</v>
      </c>
      <c r="Q3340">
        <v>14.6</v>
      </c>
      <c r="R3340">
        <v>5</v>
      </c>
      <c r="S3340">
        <v>3.94</v>
      </c>
      <c r="T3340">
        <v>1</v>
      </c>
      <c r="U3340" t="s">
        <v>22</v>
      </c>
      <c r="V3340" t="e">
        <f>IF(#REF! = "yes", 1, 0)</f>
        <v>#REF!</v>
      </c>
      <c r="W3340" t="e">
        <f>IF(#REF! &lt;= 1, "0-1 Calls", IF(#REF! &lt;= 3, "2-3 Calls", IF(#REF! &lt;=5, "4-5 Calls", "6+ Calls")))</f>
        <v>#REF!</v>
      </c>
      <c r="X3340" t="e">
        <f>IF(#REF! &lt;= 50, "0-50", IF(#REF! &lt;=100, "51-100", IF(#REF! &lt;= 150, "101-150", "151+")))</f>
        <v>#REF!</v>
      </c>
      <c r="Y3340" t="e">
        <f>IF(#REF! &lt;= 3, "Low Charges", "High Charges")</f>
        <v>#REF!</v>
      </c>
      <c r="Z3340" t="e">
        <f>IF(#REF!&lt;=80,"Low Calls",
IF(#REF!&lt;=120,"Medium Calls","High Calls"))</f>
        <v>#REF!</v>
      </c>
      <c r="AA3340" t="e">
        <f>IF(#REF!&lt;=15,"Low Charges",
IF(#REF!&lt;=20,"Medium Charges","High Charges"))</f>
        <v>#REF!</v>
      </c>
      <c r="AB3340" t="e">
        <f>IF(AND(#REF!&gt;180, #REF!&gt;200), "Heavy Doemstic User", IF(#REF!&gt;10, "Interntional User", IF(AND(#REF!&lt;180, #REF!&lt;200,#REF!&lt;200), "Light User", "Balanced User")))</f>
        <v>#REF!</v>
      </c>
      <c r="AC3340" t="e">
        <f>IF(#REF! = 0, "No Usage", IF(#REF! &lt;= 20, "Low Usage", IF(#REF! &lt;= 40, "Medium Usgae", "High Usage")))</f>
        <v>#REF!</v>
      </c>
      <c r="AD3340" t="e">
        <f>IF(#REF!&lt;=150,"Low Usage", IF(#REF!&lt;=200,"Medium Usage", IF(#REF!&lt;=250,"High Usage","Very High Usage")))</f>
        <v>#REF!</v>
      </c>
      <c r="AE3340" t="e">
        <f>IF(#REF!&lt;=5,"Low Calls", IF(#REF!&lt;=10, "Medium Calls", "High Calls"))</f>
        <v>#REF!</v>
      </c>
      <c r="AF3340" t="e">
        <f xml:space="preserve">
IF(#REF!&gt;=4,4,0)+
IF(#REF!="yes",3,0)+
IF(#REF!="High Charges",3,0)+
IF(#REF!&gt;250,4,0)+
IF(#REF!="no",1,0)+
IF(#REF!="Heavy Domestic User",2,0)</f>
        <v>#REF!</v>
      </c>
      <c r="AG3340" t="e">
        <f>IF(#REF!&gt;=10,"High Risk", IF(#REF!&gt;=5,"Medium Risk","Low Risk"))</f>
        <v>#REF!</v>
      </c>
      <c r="AH3340" t="e">
        <f>#REF! + #REF! + #REF! + #REF!</f>
        <v>#REF!</v>
      </c>
    </row>
    <row r="3341" spans="1:34" x14ac:dyDescent="0.35">
      <c r="A3341">
        <v>3340</v>
      </c>
      <c r="B3341" t="s">
        <v>47</v>
      </c>
      <c r="C3341">
        <v>91</v>
      </c>
      <c r="D3341" t="s">
        <v>28</v>
      </c>
      <c r="E3341" t="s">
        <v>22</v>
      </c>
      <c r="F3341" t="s">
        <v>22</v>
      </c>
      <c r="G3341">
        <v>0</v>
      </c>
      <c r="H3341">
        <v>197.3</v>
      </c>
      <c r="I3341">
        <v>120</v>
      </c>
      <c r="J3341">
        <v>33.54</v>
      </c>
      <c r="K3341">
        <v>202.4</v>
      </c>
      <c r="L3341">
        <v>89</v>
      </c>
      <c r="M3341">
        <v>17.2</v>
      </c>
      <c r="N3341">
        <v>290.5</v>
      </c>
      <c r="O3341">
        <v>128</v>
      </c>
      <c r="P3341">
        <v>13.07</v>
      </c>
      <c r="Q3341">
        <v>15.3</v>
      </c>
      <c r="R3341">
        <v>7</v>
      </c>
      <c r="S3341">
        <v>4.13</v>
      </c>
      <c r="T3341">
        <v>1</v>
      </c>
      <c r="U3341" t="s">
        <v>22</v>
      </c>
      <c r="V3341" t="e">
        <f>IF(#REF! = "yes", 1, 0)</f>
        <v>#REF!</v>
      </c>
      <c r="W3341" t="e">
        <f>IF(#REF! &lt;= 1, "0-1 Calls", IF(#REF! &lt;= 3, "2-3 Calls", IF(#REF! &lt;=5, "4-5 Calls", "6+ Calls")))</f>
        <v>#REF!</v>
      </c>
      <c r="X3341" t="e">
        <f>IF(#REF! &lt;= 50, "0-50", IF(#REF! &lt;=100, "51-100", IF(#REF! &lt;= 150, "101-150", "151+")))</f>
        <v>#REF!</v>
      </c>
      <c r="Y3341" t="e">
        <f>IF(#REF! &lt;= 3, "Low Charges", "High Charges")</f>
        <v>#REF!</v>
      </c>
      <c r="Z3341" t="e">
        <f>IF(#REF!&lt;=80,"Low Calls",
IF(#REF!&lt;=120,"Medium Calls","High Calls"))</f>
        <v>#REF!</v>
      </c>
      <c r="AA3341" t="e">
        <f>IF(#REF!&lt;=15,"Low Charges",
IF(#REF!&lt;=20,"Medium Charges","High Charges"))</f>
        <v>#REF!</v>
      </c>
      <c r="AB3341" t="e">
        <f>IF(AND(#REF!&gt;180, #REF!&gt;200), "Heavy Doemstic User", IF(#REF!&gt;10, "Interntional User", IF(AND(#REF!&lt;180, #REF!&lt;200,#REF!&lt;200), "Light User", "Balanced User")))</f>
        <v>#REF!</v>
      </c>
      <c r="AC3341" t="e">
        <f>IF(#REF! = 0, "No Usage", IF(#REF! &lt;= 20, "Low Usage", IF(#REF! &lt;= 40, "Medium Usgae", "High Usage")))</f>
        <v>#REF!</v>
      </c>
      <c r="AD3341" t="e">
        <f>IF(#REF!&lt;=150,"Low Usage", IF(#REF!&lt;=200,"Medium Usage", IF(#REF!&lt;=250,"High Usage","Very High Usage")))</f>
        <v>#REF!</v>
      </c>
      <c r="AE3341" t="e">
        <f>IF(#REF!&lt;=5,"Low Calls", IF(#REF!&lt;=10, "Medium Calls", "High Calls"))</f>
        <v>#REF!</v>
      </c>
      <c r="AF3341" t="e">
        <f xml:space="preserve">
IF(#REF!&gt;=4,4,0)+
IF(#REF!="yes",3,0)+
IF(#REF!="High Charges",3,0)+
IF(#REF!&gt;250,4,0)+
IF(#REF!="no",1,0)+
IF(#REF!="Heavy Domestic User",2,0)</f>
        <v>#REF!</v>
      </c>
      <c r="AG3341" t="e">
        <f>IF(#REF!&gt;=10,"High Risk", IF(#REF!&gt;=5,"Medium Risk","Low Risk"))</f>
        <v>#REF!</v>
      </c>
      <c r="AH3341" t="e">
        <f>#REF! + #REF! + #REF! + #REF!</f>
        <v>#REF!</v>
      </c>
    </row>
    <row r="3342" spans="1:34" x14ac:dyDescent="0.35">
      <c r="A3342">
        <v>3341</v>
      </c>
      <c r="B3342" t="s">
        <v>50</v>
      </c>
      <c r="C3342">
        <v>57</v>
      </c>
      <c r="D3342" t="s">
        <v>21</v>
      </c>
      <c r="E3342" t="s">
        <v>22</v>
      </c>
      <c r="F3342" t="s">
        <v>23</v>
      </c>
      <c r="G3342">
        <v>23</v>
      </c>
      <c r="H3342">
        <v>208.7</v>
      </c>
      <c r="I3342">
        <v>57</v>
      </c>
      <c r="J3342">
        <v>35.479999999999997</v>
      </c>
      <c r="K3342">
        <v>233.4</v>
      </c>
      <c r="L3342">
        <v>132</v>
      </c>
      <c r="M3342">
        <v>19.84</v>
      </c>
      <c r="N3342">
        <v>108.8</v>
      </c>
      <c r="O3342">
        <v>117</v>
      </c>
      <c r="P3342">
        <v>4.9000000000000004</v>
      </c>
      <c r="Q3342">
        <v>9.1</v>
      </c>
      <c r="R3342">
        <v>5</v>
      </c>
      <c r="S3342">
        <v>2.46</v>
      </c>
      <c r="T3342">
        <v>1</v>
      </c>
      <c r="U3342" t="s">
        <v>22</v>
      </c>
      <c r="V3342" t="e">
        <f>IF(#REF! = "yes", 1, 0)</f>
        <v>#REF!</v>
      </c>
      <c r="W3342" t="e">
        <f>IF(#REF! &lt;= 1, "0-1 Calls", IF(#REF! &lt;= 3, "2-3 Calls", IF(#REF! &lt;=5, "4-5 Calls", "6+ Calls")))</f>
        <v>#REF!</v>
      </c>
      <c r="X3342" t="e">
        <f>IF(#REF! &lt;= 50, "0-50", IF(#REF! &lt;=100, "51-100", IF(#REF! &lt;= 150, "101-150", "151+")))</f>
        <v>#REF!</v>
      </c>
      <c r="Y3342" t="e">
        <f>IF(#REF! &lt;= 3, "Low Charges", "High Charges")</f>
        <v>#REF!</v>
      </c>
      <c r="Z3342" t="e">
        <f>IF(#REF!&lt;=80,"Low Calls",
IF(#REF!&lt;=120,"Medium Calls","High Calls"))</f>
        <v>#REF!</v>
      </c>
      <c r="AA3342" t="e">
        <f>IF(#REF!&lt;=15,"Low Charges",
IF(#REF!&lt;=20,"Medium Charges","High Charges"))</f>
        <v>#REF!</v>
      </c>
      <c r="AB3342" t="e">
        <f>IF(AND(#REF!&gt;180, #REF!&gt;200), "Heavy Doemstic User", IF(#REF!&gt;10, "Interntional User", IF(AND(#REF!&lt;180, #REF!&lt;200,#REF!&lt;200), "Light User", "Balanced User")))</f>
        <v>#REF!</v>
      </c>
      <c r="AC3342" t="e">
        <f>IF(#REF! = 0, "No Usage", IF(#REF! &lt;= 20, "Low Usage", IF(#REF! &lt;= 40, "Medium Usgae", "High Usage")))</f>
        <v>#REF!</v>
      </c>
      <c r="AD3342" t="e">
        <f>IF(#REF!&lt;=150,"Low Usage", IF(#REF!&lt;=200,"Medium Usage", IF(#REF!&lt;=250,"High Usage","Very High Usage")))</f>
        <v>#REF!</v>
      </c>
      <c r="AE3342" t="e">
        <f>IF(#REF!&lt;=5,"Low Calls", IF(#REF!&lt;=10, "Medium Calls", "High Calls"))</f>
        <v>#REF!</v>
      </c>
      <c r="AF3342" t="e">
        <f xml:space="preserve">
IF(#REF!&gt;=4,4,0)+
IF(#REF!="yes",3,0)+
IF(#REF!="High Charges",3,0)+
IF(#REF!&gt;250,4,0)+
IF(#REF!="no",1,0)+
IF(#REF!="Heavy Domestic User",2,0)</f>
        <v>#REF!</v>
      </c>
      <c r="AG3342" t="e">
        <f>IF(#REF!&gt;=10,"High Risk", IF(#REF!&gt;=5,"Medium Risk","Low Risk"))</f>
        <v>#REF!</v>
      </c>
      <c r="AH3342" t="e">
        <f>#REF! + #REF! + #REF! + #REF!</f>
        <v>#REF!</v>
      </c>
    </row>
    <row r="3343" spans="1:34" x14ac:dyDescent="0.35">
      <c r="A3343">
        <v>3342</v>
      </c>
      <c r="B3343" t="s">
        <v>31</v>
      </c>
      <c r="C3343">
        <v>112</v>
      </c>
      <c r="D3343" t="s">
        <v>25</v>
      </c>
      <c r="E3343" t="s">
        <v>22</v>
      </c>
      <c r="F3343" t="s">
        <v>22</v>
      </c>
      <c r="G3343">
        <v>0</v>
      </c>
      <c r="H3343">
        <v>168.4</v>
      </c>
      <c r="I3343">
        <v>53</v>
      </c>
      <c r="J3343">
        <v>28.63</v>
      </c>
      <c r="K3343">
        <v>187.5</v>
      </c>
      <c r="L3343">
        <v>68</v>
      </c>
      <c r="M3343">
        <v>15.94</v>
      </c>
      <c r="N3343">
        <v>204.5</v>
      </c>
      <c r="O3343">
        <v>125</v>
      </c>
      <c r="P3343">
        <v>9.1999999999999993</v>
      </c>
      <c r="Q3343">
        <v>9.8000000000000007</v>
      </c>
      <c r="R3343">
        <v>3</v>
      </c>
      <c r="S3343">
        <v>2.65</v>
      </c>
      <c r="T3343">
        <v>1</v>
      </c>
      <c r="U3343" t="s">
        <v>22</v>
      </c>
      <c r="V3343" t="e">
        <f>IF(#REF! = "yes", 1, 0)</f>
        <v>#REF!</v>
      </c>
      <c r="W3343" t="e">
        <f>IF(#REF! &lt;= 1, "0-1 Calls", IF(#REF! &lt;= 3, "2-3 Calls", IF(#REF! &lt;=5, "4-5 Calls", "6+ Calls")))</f>
        <v>#REF!</v>
      </c>
      <c r="X3343" t="e">
        <f>IF(#REF! &lt;= 50, "0-50", IF(#REF! &lt;=100, "51-100", IF(#REF! &lt;= 150, "101-150", "151+")))</f>
        <v>#REF!</v>
      </c>
      <c r="Y3343" t="e">
        <f>IF(#REF! &lt;= 3, "Low Charges", "High Charges")</f>
        <v>#REF!</v>
      </c>
      <c r="Z3343" t="e">
        <f>IF(#REF!&lt;=80,"Low Calls",
IF(#REF!&lt;=120,"Medium Calls","High Calls"))</f>
        <v>#REF!</v>
      </c>
      <c r="AA3343" t="e">
        <f>IF(#REF!&lt;=15,"Low Charges",
IF(#REF!&lt;=20,"Medium Charges","High Charges"))</f>
        <v>#REF!</v>
      </c>
      <c r="AB3343" t="e">
        <f>IF(AND(#REF!&gt;180, #REF!&gt;200), "Heavy Doemstic User", IF(#REF!&gt;10, "Interntional User", IF(AND(#REF!&lt;180, #REF!&lt;200,#REF!&lt;200), "Light User", "Balanced User")))</f>
        <v>#REF!</v>
      </c>
      <c r="AC3343" t="e">
        <f>IF(#REF! = 0, "No Usage", IF(#REF! &lt;= 20, "Low Usage", IF(#REF! &lt;= 40, "Medium Usgae", "High Usage")))</f>
        <v>#REF!</v>
      </c>
      <c r="AD3343" t="e">
        <f>IF(#REF!&lt;=150,"Low Usage", IF(#REF!&lt;=200,"Medium Usage", IF(#REF!&lt;=250,"High Usage","Very High Usage")))</f>
        <v>#REF!</v>
      </c>
      <c r="AE3343" t="e">
        <f>IF(#REF!&lt;=5,"Low Calls", IF(#REF!&lt;=10, "Medium Calls", "High Calls"))</f>
        <v>#REF!</v>
      </c>
      <c r="AF3343" t="e">
        <f xml:space="preserve">
IF(#REF!&gt;=4,4,0)+
IF(#REF!="yes",3,0)+
IF(#REF!="High Charges",3,0)+
IF(#REF!&gt;250,4,0)+
IF(#REF!="no",1,0)+
IF(#REF!="Heavy Domestic User",2,0)</f>
        <v>#REF!</v>
      </c>
      <c r="AG3343" t="e">
        <f>IF(#REF!&gt;=10,"High Risk", IF(#REF!&gt;=5,"Medium Risk","Low Risk"))</f>
        <v>#REF!</v>
      </c>
      <c r="AH3343" t="e">
        <f>#REF! + #REF! + #REF! + #REF!</f>
        <v>#REF!</v>
      </c>
    </row>
    <row r="3344" spans="1:34" x14ac:dyDescent="0.35">
      <c r="A3344">
        <v>3343</v>
      </c>
      <c r="B3344" t="s">
        <v>52</v>
      </c>
      <c r="C3344">
        <v>100</v>
      </c>
      <c r="D3344" t="s">
        <v>21</v>
      </c>
      <c r="E3344" t="s">
        <v>22</v>
      </c>
      <c r="F3344" t="s">
        <v>22</v>
      </c>
      <c r="G3344">
        <v>0</v>
      </c>
      <c r="H3344">
        <v>129.4</v>
      </c>
      <c r="I3344">
        <v>69</v>
      </c>
      <c r="J3344">
        <v>22</v>
      </c>
      <c r="K3344">
        <v>251.3</v>
      </c>
      <c r="L3344">
        <v>73</v>
      </c>
      <c r="M3344">
        <v>21.36</v>
      </c>
      <c r="N3344">
        <v>157.1</v>
      </c>
      <c r="O3344">
        <v>92</v>
      </c>
      <c r="P3344">
        <v>7.07</v>
      </c>
      <c r="Q3344">
        <v>10.4</v>
      </c>
      <c r="R3344">
        <v>3</v>
      </c>
      <c r="S3344">
        <v>2.81</v>
      </c>
      <c r="T3344">
        <v>1</v>
      </c>
      <c r="U3344" t="s">
        <v>22</v>
      </c>
      <c r="V3344" t="e">
        <f>IF(#REF! = "yes", 1, 0)</f>
        <v>#REF!</v>
      </c>
      <c r="W3344" t="e">
        <f>IF(#REF! &lt;= 1, "0-1 Calls", IF(#REF! &lt;= 3, "2-3 Calls", IF(#REF! &lt;=5, "4-5 Calls", "6+ Calls")))</f>
        <v>#REF!</v>
      </c>
      <c r="X3344" t="e">
        <f>IF(#REF! &lt;= 50, "0-50", IF(#REF! &lt;=100, "51-100", IF(#REF! &lt;= 150, "101-150", "151+")))</f>
        <v>#REF!</v>
      </c>
      <c r="Y3344" t="e">
        <f>IF(#REF! &lt;= 3, "Low Charges", "High Charges")</f>
        <v>#REF!</v>
      </c>
      <c r="Z3344" t="e">
        <f>IF(#REF!&lt;=80,"Low Calls",
IF(#REF!&lt;=120,"Medium Calls","High Calls"))</f>
        <v>#REF!</v>
      </c>
      <c r="AA3344" t="e">
        <f>IF(#REF!&lt;=15,"Low Charges",
IF(#REF!&lt;=20,"Medium Charges","High Charges"))</f>
        <v>#REF!</v>
      </c>
      <c r="AB3344" t="e">
        <f>IF(AND(#REF!&gt;180, #REF!&gt;200), "Heavy Doemstic User", IF(#REF!&gt;10, "Interntional User", IF(AND(#REF!&lt;180, #REF!&lt;200,#REF!&lt;200), "Light User", "Balanced User")))</f>
        <v>#REF!</v>
      </c>
      <c r="AC3344" t="e">
        <f>IF(#REF! = 0, "No Usage", IF(#REF! &lt;= 20, "Low Usage", IF(#REF! &lt;= 40, "Medium Usgae", "High Usage")))</f>
        <v>#REF!</v>
      </c>
      <c r="AD3344" t="e">
        <f>IF(#REF!&lt;=150,"Low Usage", IF(#REF!&lt;=200,"Medium Usage", IF(#REF!&lt;=250,"High Usage","Very High Usage")))</f>
        <v>#REF!</v>
      </c>
      <c r="AE3344" t="e">
        <f>IF(#REF!&lt;=5,"Low Calls", IF(#REF!&lt;=10, "Medium Calls", "High Calls"))</f>
        <v>#REF!</v>
      </c>
      <c r="AF3344" t="e">
        <f xml:space="preserve">
IF(#REF!&gt;=4,4,0)+
IF(#REF!="yes",3,0)+
IF(#REF!="High Charges",3,0)+
IF(#REF!&gt;250,4,0)+
IF(#REF!="no",1,0)+
IF(#REF!="Heavy Domestic User",2,0)</f>
        <v>#REF!</v>
      </c>
      <c r="AG3344" t="e">
        <f>IF(#REF!&gt;=10,"High Risk", IF(#REF!&gt;=5,"Medium Risk","Low Risk"))</f>
        <v>#REF!</v>
      </c>
      <c r="AH3344" t="e">
        <f>#REF! + #REF! + #REF! + #REF!</f>
        <v>#REF!</v>
      </c>
    </row>
    <row r="3345" spans="1:34" x14ac:dyDescent="0.35">
      <c r="A3345">
        <v>3344</v>
      </c>
      <c r="B3345" t="s">
        <v>37</v>
      </c>
      <c r="C3345">
        <v>42</v>
      </c>
      <c r="D3345" t="s">
        <v>28</v>
      </c>
      <c r="E3345" t="s">
        <v>23</v>
      </c>
      <c r="F3345" t="s">
        <v>22</v>
      </c>
      <c r="G3345">
        <v>0</v>
      </c>
      <c r="H3345">
        <v>260.89999999999998</v>
      </c>
      <c r="I3345">
        <v>94</v>
      </c>
      <c r="J3345">
        <v>44.35</v>
      </c>
      <c r="K3345">
        <v>152.80000000000001</v>
      </c>
      <c r="L3345">
        <v>123</v>
      </c>
      <c r="M3345">
        <v>12.99</v>
      </c>
      <c r="N3345">
        <v>212.6</v>
      </c>
      <c r="O3345">
        <v>94</v>
      </c>
      <c r="P3345">
        <v>9.57</v>
      </c>
      <c r="Q3345">
        <v>11.1</v>
      </c>
      <c r="R3345">
        <v>4</v>
      </c>
      <c r="S3345">
        <v>3</v>
      </c>
      <c r="T3345">
        <v>1</v>
      </c>
      <c r="U3345" t="s">
        <v>22</v>
      </c>
      <c r="V3345" t="e">
        <f>IF(#REF! = "yes", 1, 0)</f>
        <v>#REF!</v>
      </c>
      <c r="W3345" t="e">
        <f>IF(#REF! &lt;= 1, "0-1 Calls", IF(#REF! &lt;= 3, "2-3 Calls", IF(#REF! &lt;=5, "4-5 Calls", "6+ Calls")))</f>
        <v>#REF!</v>
      </c>
      <c r="X3345" t="e">
        <f>IF(#REF! &lt;= 50, "0-50", IF(#REF! &lt;=100, "51-100", IF(#REF! &lt;= 150, "101-150", "151+")))</f>
        <v>#REF!</v>
      </c>
      <c r="Y3345" t="e">
        <f>IF(#REF! &lt;= 3, "Low Charges", "High Charges")</f>
        <v>#REF!</v>
      </c>
      <c r="Z3345" t="e">
        <f>IF(#REF!&lt;=80,"Low Calls",
IF(#REF!&lt;=120,"Medium Calls","High Calls"))</f>
        <v>#REF!</v>
      </c>
      <c r="AA3345" t="e">
        <f>IF(#REF!&lt;=15,"Low Charges",
IF(#REF!&lt;=20,"Medium Charges","High Charges"))</f>
        <v>#REF!</v>
      </c>
      <c r="AB3345" t="e">
        <f>IF(AND(#REF!&gt;180, #REF!&gt;200), "Heavy Doemstic User", IF(#REF!&gt;10, "Interntional User", IF(AND(#REF!&lt;180, #REF!&lt;200,#REF!&lt;200), "Light User", "Balanced User")))</f>
        <v>#REF!</v>
      </c>
      <c r="AC3345" t="e">
        <f>IF(#REF! = 0, "No Usage", IF(#REF! &lt;= 20, "Low Usage", IF(#REF! &lt;= 40, "Medium Usgae", "High Usage")))</f>
        <v>#REF!</v>
      </c>
      <c r="AD3345" t="e">
        <f>IF(#REF!&lt;=150,"Low Usage", IF(#REF!&lt;=200,"Medium Usage", IF(#REF!&lt;=250,"High Usage","Very High Usage")))</f>
        <v>#REF!</v>
      </c>
      <c r="AE3345" t="e">
        <f>IF(#REF!&lt;=5,"Low Calls", IF(#REF!&lt;=10, "Medium Calls", "High Calls"))</f>
        <v>#REF!</v>
      </c>
      <c r="AF3345" t="e">
        <f xml:space="preserve">
IF(#REF!&gt;=4,4,0)+
IF(#REF!="yes",3,0)+
IF(#REF!="High Charges",3,0)+
IF(#REF!&gt;250,4,0)+
IF(#REF!="no",1,0)+
IF(#REF!="Heavy Domestic User",2,0)</f>
        <v>#REF!</v>
      </c>
      <c r="AG3345" t="e">
        <f>IF(#REF!&gt;=10,"High Risk", IF(#REF!&gt;=5,"Medium Risk","Low Risk"))</f>
        <v>#REF!</v>
      </c>
      <c r="AH3345" t="e">
        <f>#REF! + #REF! + #REF! + #REF!</f>
        <v>#REF!</v>
      </c>
    </row>
    <row r="3346" spans="1:34" x14ac:dyDescent="0.35">
      <c r="A3346">
        <v>3345</v>
      </c>
      <c r="B3346" t="s">
        <v>36</v>
      </c>
      <c r="C3346">
        <v>68</v>
      </c>
      <c r="D3346" t="s">
        <v>21</v>
      </c>
      <c r="E3346" t="s">
        <v>22</v>
      </c>
      <c r="F3346" t="s">
        <v>22</v>
      </c>
      <c r="G3346">
        <v>0</v>
      </c>
      <c r="H3346">
        <v>267.89999999999998</v>
      </c>
      <c r="I3346">
        <v>80</v>
      </c>
      <c r="J3346">
        <v>45.54</v>
      </c>
      <c r="K3346">
        <v>145.4</v>
      </c>
      <c r="L3346">
        <v>143</v>
      </c>
      <c r="M3346">
        <v>12.36</v>
      </c>
      <c r="N3346">
        <v>273.3</v>
      </c>
      <c r="O3346">
        <v>119</v>
      </c>
      <c r="P3346">
        <v>12.3</v>
      </c>
      <c r="Q3346">
        <v>14.9</v>
      </c>
      <c r="R3346">
        <v>1</v>
      </c>
      <c r="S3346">
        <v>4.0199999999999996</v>
      </c>
      <c r="T3346">
        <v>3</v>
      </c>
      <c r="U3346" t="s">
        <v>23</v>
      </c>
      <c r="V3346" t="e">
        <f>IF(#REF! = "yes", 1, 0)</f>
        <v>#REF!</v>
      </c>
      <c r="W3346" t="e">
        <f>IF(#REF! &lt;= 1, "0-1 Calls", IF(#REF! &lt;= 3, "2-3 Calls", IF(#REF! &lt;=5, "4-5 Calls", "6+ Calls")))</f>
        <v>#REF!</v>
      </c>
      <c r="X3346" t="e">
        <f>IF(#REF! &lt;= 50, "0-50", IF(#REF! &lt;=100, "51-100", IF(#REF! &lt;= 150, "101-150", "151+")))</f>
        <v>#REF!</v>
      </c>
      <c r="Y3346" t="e">
        <f>IF(#REF! &lt;= 3, "Low Charges", "High Charges")</f>
        <v>#REF!</v>
      </c>
      <c r="Z3346" t="e">
        <f>IF(#REF!&lt;=80,"Low Calls",
IF(#REF!&lt;=120,"Medium Calls","High Calls"))</f>
        <v>#REF!</v>
      </c>
      <c r="AA3346" t="e">
        <f>IF(#REF!&lt;=15,"Low Charges",
IF(#REF!&lt;=20,"Medium Charges","High Charges"))</f>
        <v>#REF!</v>
      </c>
      <c r="AB3346" t="e">
        <f>IF(AND(#REF!&gt;180, #REF!&gt;200), "Heavy Doemstic User", IF(#REF!&gt;10, "Interntional User", IF(AND(#REF!&lt;180, #REF!&lt;200,#REF!&lt;200), "Light User", "Balanced User")))</f>
        <v>#REF!</v>
      </c>
      <c r="AC3346" t="e">
        <f>IF(#REF! = 0, "No Usage", IF(#REF! &lt;= 20, "Low Usage", IF(#REF! &lt;= 40, "Medium Usgae", "High Usage")))</f>
        <v>#REF!</v>
      </c>
      <c r="AD3346" t="e">
        <f>IF(#REF!&lt;=150,"Low Usage", IF(#REF!&lt;=200,"Medium Usage", IF(#REF!&lt;=250,"High Usage","Very High Usage")))</f>
        <v>#REF!</v>
      </c>
      <c r="AE3346" t="e">
        <f>IF(#REF!&lt;=5,"Low Calls", IF(#REF!&lt;=10, "Medium Calls", "High Calls"))</f>
        <v>#REF!</v>
      </c>
      <c r="AF3346" t="e">
        <f xml:space="preserve">
IF(#REF!&gt;=4,4,0)+
IF(#REF!="yes",3,0)+
IF(#REF!="High Charges",3,0)+
IF(#REF!&gt;250,4,0)+
IF(#REF!="no",1,0)+
IF(#REF!="Heavy Domestic User",2,0)</f>
        <v>#REF!</v>
      </c>
      <c r="AG3346" t="e">
        <f>IF(#REF!&gt;=10,"High Risk", IF(#REF!&gt;=5,"Medium Risk","Low Risk"))</f>
        <v>#REF!</v>
      </c>
      <c r="AH3346" t="e">
        <f>#REF! + #REF! + #REF! + #REF!</f>
        <v>#REF!</v>
      </c>
    </row>
    <row r="3347" spans="1:34" x14ac:dyDescent="0.35">
      <c r="A3347">
        <v>3346</v>
      </c>
      <c r="B3347" t="s">
        <v>65</v>
      </c>
      <c r="C3347">
        <v>132</v>
      </c>
      <c r="D3347" t="s">
        <v>21</v>
      </c>
      <c r="E3347" t="s">
        <v>22</v>
      </c>
      <c r="F3347" t="s">
        <v>22</v>
      </c>
      <c r="G3347">
        <v>0</v>
      </c>
      <c r="H3347">
        <v>172.7</v>
      </c>
      <c r="I3347">
        <v>90</v>
      </c>
      <c r="J3347">
        <v>29.36</v>
      </c>
      <c r="K3347">
        <v>344</v>
      </c>
      <c r="L3347">
        <v>62</v>
      </c>
      <c r="M3347">
        <v>29.24</v>
      </c>
      <c r="N3347">
        <v>301.60000000000002</v>
      </c>
      <c r="O3347">
        <v>113</v>
      </c>
      <c r="P3347">
        <v>13.57</v>
      </c>
      <c r="Q3347">
        <v>5.5</v>
      </c>
      <c r="R3347">
        <v>4</v>
      </c>
      <c r="S3347">
        <v>1.49</v>
      </c>
      <c r="T3347">
        <v>0</v>
      </c>
      <c r="U3347" t="s">
        <v>22</v>
      </c>
      <c r="V3347" t="e">
        <f>IF(#REF! = "yes", 1, 0)</f>
        <v>#REF!</v>
      </c>
      <c r="W3347" t="e">
        <f>IF(#REF! &lt;= 1, "0-1 Calls", IF(#REF! &lt;= 3, "2-3 Calls", IF(#REF! &lt;=5, "4-5 Calls", "6+ Calls")))</f>
        <v>#REF!</v>
      </c>
      <c r="X3347" t="e">
        <f>IF(#REF! &lt;= 50, "0-50", IF(#REF! &lt;=100, "51-100", IF(#REF! &lt;= 150, "101-150", "151+")))</f>
        <v>#REF!</v>
      </c>
      <c r="Y3347" t="e">
        <f>IF(#REF! &lt;= 3, "Low Charges", "High Charges")</f>
        <v>#REF!</v>
      </c>
      <c r="Z3347" t="e">
        <f>IF(#REF!&lt;=80,"Low Calls",
IF(#REF!&lt;=120,"Medium Calls","High Calls"))</f>
        <v>#REF!</v>
      </c>
      <c r="AA3347" t="e">
        <f>IF(#REF!&lt;=15,"Low Charges",
IF(#REF!&lt;=20,"Medium Charges","High Charges"))</f>
        <v>#REF!</v>
      </c>
      <c r="AB3347" t="e">
        <f>IF(AND(#REF!&gt;180, #REF!&gt;200), "Heavy Doemstic User", IF(#REF!&gt;10, "Interntional User", IF(AND(#REF!&lt;180, #REF!&lt;200,#REF!&lt;200), "Light User", "Balanced User")))</f>
        <v>#REF!</v>
      </c>
      <c r="AC3347" t="e">
        <f>IF(#REF! = 0, "No Usage", IF(#REF! &lt;= 20, "Low Usage", IF(#REF! &lt;= 40, "Medium Usgae", "High Usage")))</f>
        <v>#REF!</v>
      </c>
      <c r="AD3347" t="e">
        <f>IF(#REF!&lt;=150,"Low Usage", IF(#REF!&lt;=200,"Medium Usage", IF(#REF!&lt;=250,"High Usage","Very High Usage")))</f>
        <v>#REF!</v>
      </c>
      <c r="AE3347" t="e">
        <f>IF(#REF!&lt;=5,"Low Calls", IF(#REF!&lt;=10, "Medium Calls", "High Calls"))</f>
        <v>#REF!</v>
      </c>
      <c r="AF3347" t="e">
        <f xml:space="preserve">
IF(#REF!&gt;=4,4,0)+
IF(#REF!="yes",3,0)+
IF(#REF!="High Charges",3,0)+
IF(#REF!&gt;250,4,0)+
IF(#REF!="no",1,0)+
IF(#REF!="Heavy Domestic User",2,0)</f>
        <v>#REF!</v>
      </c>
      <c r="AG3347" t="e">
        <f>IF(#REF!&gt;=10,"High Risk", IF(#REF!&gt;=5,"Medium Risk","Low Risk"))</f>
        <v>#REF!</v>
      </c>
      <c r="AH3347" t="e">
        <f>#REF! + #REF! + #REF! + #REF!</f>
        <v>#REF!</v>
      </c>
    </row>
    <row r="3348" spans="1:34" x14ac:dyDescent="0.35">
      <c r="A3348">
        <v>3347</v>
      </c>
      <c r="B3348" t="s">
        <v>33</v>
      </c>
      <c r="C3348">
        <v>137</v>
      </c>
      <c r="D3348" t="s">
        <v>25</v>
      </c>
      <c r="E3348" t="s">
        <v>23</v>
      </c>
      <c r="F3348" t="s">
        <v>22</v>
      </c>
      <c r="G3348">
        <v>0</v>
      </c>
      <c r="H3348">
        <v>159.1</v>
      </c>
      <c r="I3348">
        <v>80</v>
      </c>
      <c r="J3348">
        <v>27.05</v>
      </c>
      <c r="K3348">
        <v>239.8</v>
      </c>
      <c r="L3348">
        <v>81</v>
      </c>
      <c r="M3348">
        <v>20.38</v>
      </c>
      <c r="N3348">
        <v>249</v>
      </c>
      <c r="O3348">
        <v>96</v>
      </c>
      <c r="P3348">
        <v>11.21</v>
      </c>
      <c r="Q3348">
        <v>8.5</v>
      </c>
      <c r="R3348">
        <v>5</v>
      </c>
      <c r="S3348">
        <v>2.2999999999999998</v>
      </c>
      <c r="T3348">
        <v>0</v>
      </c>
      <c r="U3348" t="s">
        <v>22</v>
      </c>
      <c r="V3348" t="e">
        <f>IF(#REF! = "yes", 1, 0)</f>
        <v>#REF!</v>
      </c>
      <c r="W3348" t="e">
        <f>IF(#REF! &lt;= 1, "0-1 Calls", IF(#REF! &lt;= 3, "2-3 Calls", IF(#REF! &lt;=5, "4-5 Calls", "6+ Calls")))</f>
        <v>#REF!</v>
      </c>
      <c r="X3348" t="e">
        <f>IF(#REF! &lt;= 50, "0-50", IF(#REF! &lt;=100, "51-100", IF(#REF! &lt;= 150, "101-150", "151+")))</f>
        <v>#REF!</v>
      </c>
      <c r="Y3348" t="e">
        <f>IF(#REF! &lt;= 3, "Low Charges", "High Charges")</f>
        <v>#REF!</v>
      </c>
      <c r="Z3348" t="e">
        <f>IF(#REF!&lt;=80,"Low Calls",
IF(#REF!&lt;=120,"Medium Calls","High Calls"))</f>
        <v>#REF!</v>
      </c>
      <c r="AA3348" t="e">
        <f>IF(#REF!&lt;=15,"Low Charges",
IF(#REF!&lt;=20,"Medium Charges","High Charges"))</f>
        <v>#REF!</v>
      </c>
      <c r="AB3348" t="e">
        <f>IF(AND(#REF!&gt;180, #REF!&gt;200), "Heavy Doemstic User", IF(#REF!&gt;10, "Interntional User", IF(AND(#REF!&lt;180, #REF!&lt;200,#REF!&lt;200), "Light User", "Balanced User")))</f>
        <v>#REF!</v>
      </c>
      <c r="AC3348" t="e">
        <f>IF(#REF! = 0, "No Usage", IF(#REF! &lt;= 20, "Low Usage", IF(#REF! &lt;= 40, "Medium Usgae", "High Usage")))</f>
        <v>#REF!</v>
      </c>
      <c r="AD3348" t="e">
        <f>IF(#REF!&lt;=150,"Low Usage", IF(#REF!&lt;=200,"Medium Usage", IF(#REF!&lt;=250,"High Usage","Very High Usage")))</f>
        <v>#REF!</v>
      </c>
      <c r="AE3348" t="e">
        <f>IF(#REF!&lt;=5,"Low Calls", IF(#REF!&lt;=10, "Medium Calls", "High Calls"))</f>
        <v>#REF!</v>
      </c>
      <c r="AF3348" t="e">
        <f xml:space="preserve">
IF(#REF!&gt;=4,4,0)+
IF(#REF!="yes",3,0)+
IF(#REF!="High Charges",3,0)+
IF(#REF!&gt;250,4,0)+
IF(#REF!="no",1,0)+
IF(#REF!="Heavy Domestic User",2,0)</f>
        <v>#REF!</v>
      </c>
      <c r="AG3348" t="e">
        <f>IF(#REF!&gt;=10,"High Risk", IF(#REF!&gt;=5,"Medium Risk","Low Risk"))</f>
        <v>#REF!</v>
      </c>
      <c r="AH3348" t="e">
        <f>#REF! + #REF! + #REF! + #REF!</f>
        <v>#REF!</v>
      </c>
    </row>
    <row r="3349" spans="1:34" x14ac:dyDescent="0.35">
      <c r="A3349">
        <v>3348</v>
      </c>
      <c r="B3349" t="s">
        <v>37</v>
      </c>
      <c r="C3349">
        <v>42</v>
      </c>
      <c r="D3349" t="s">
        <v>28</v>
      </c>
      <c r="E3349" t="s">
        <v>22</v>
      </c>
      <c r="F3349" t="s">
        <v>22</v>
      </c>
      <c r="G3349">
        <v>0</v>
      </c>
      <c r="H3349">
        <v>166.8</v>
      </c>
      <c r="I3349">
        <v>138</v>
      </c>
      <c r="J3349">
        <v>28.36</v>
      </c>
      <c r="K3349">
        <v>212.4</v>
      </c>
      <c r="L3349">
        <v>78</v>
      </c>
      <c r="M3349">
        <v>18.05</v>
      </c>
      <c r="N3349">
        <v>194.7</v>
      </c>
      <c r="O3349">
        <v>70</v>
      </c>
      <c r="P3349">
        <v>8.76</v>
      </c>
      <c r="Q3349">
        <v>12.4</v>
      </c>
      <c r="R3349">
        <v>9</v>
      </c>
      <c r="S3349">
        <v>3.35</v>
      </c>
      <c r="T3349">
        <v>2</v>
      </c>
      <c r="U3349" t="s">
        <v>22</v>
      </c>
      <c r="V3349" t="e">
        <f>IF(#REF! = "yes", 1, 0)</f>
        <v>#REF!</v>
      </c>
      <c r="W3349" t="e">
        <f>IF(#REF! &lt;= 1, "0-1 Calls", IF(#REF! &lt;= 3, "2-3 Calls", IF(#REF! &lt;=5, "4-5 Calls", "6+ Calls")))</f>
        <v>#REF!</v>
      </c>
      <c r="X3349" t="e">
        <f>IF(#REF! &lt;= 50, "0-50", IF(#REF! &lt;=100, "51-100", IF(#REF! &lt;= 150, "101-150", "151+")))</f>
        <v>#REF!</v>
      </c>
      <c r="Y3349" t="e">
        <f>IF(#REF! &lt;= 3, "Low Charges", "High Charges")</f>
        <v>#REF!</v>
      </c>
      <c r="Z3349" t="e">
        <f>IF(#REF!&lt;=80,"Low Calls",
IF(#REF!&lt;=120,"Medium Calls","High Calls"))</f>
        <v>#REF!</v>
      </c>
      <c r="AA3349" t="e">
        <f>IF(#REF!&lt;=15,"Low Charges",
IF(#REF!&lt;=20,"Medium Charges","High Charges"))</f>
        <v>#REF!</v>
      </c>
      <c r="AB3349" t="e">
        <f>IF(AND(#REF!&gt;180, #REF!&gt;200), "Heavy Doemstic User", IF(#REF!&gt;10, "Interntional User", IF(AND(#REF!&lt;180, #REF!&lt;200,#REF!&lt;200), "Light User", "Balanced User")))</f>
        <v>#REF!</v>
      </c>
      <c r="AC3349" t="e">
        <f>IF(#REF! = 0, "No Usage", IF(#REF! &lt;= 20, "Low Usage", IF(#REF! &lt;= 40, "Medium Usgae", "High Usage")))</f>
        <v>#REF!</v>
      </c>
      <c r="AD3349" t="e">
        <f>IF(#REF!&lt;=150,"Low Usage", IF(#REF!&lt;=200,"Medium Usage", IF(#REF!&lt;=250,"High Usage","Very High Usage")))</f>
        <v>#REF!</v>
      </c>
      <c r="AE3349" t="e">
        <f>IF(#REF!&lt;=5,"Low Calls", IF(#REF!&lt;=10, "Medium Calls", "High Calls"))</f>
        <v>#REF!</v>
      </c>
      <c r="AF3349" t="e">
        <f xml:space="preserve">
IF(#REF!&gt;=4,4,0)+
IF(#REF!="yes",3,0)+
IF(#REF!="High Charges",3,0)+
IF(#REF!&gt;250,4,0)+
IF(#REF!="no",1,0)+
IF(#REF!="Heavy Domestic User",2,0)</f>
        <v>#REF!</v>
      </c>
      <c r="AG3349" t="e">
        <f>IF(#REF!&gt;=10,"High Risk", IF(#REF!&gt;=5,"Medium Risk","Low Risk"))</f>
        <v>#REF!</v>
      </c>
      <c r="AH3349" t="e">
        <f>#REF! + #REF! + #REF! + #REF!</f>
        <v>#REF!</v>
      </c>
    </row>
    <row r="3350" spans="1:34" x14ac:dyDescent="0.35">
      <c r="A3350">
        <v>3349</v>
      </c>
      <c r="B3350" t="s">
        <v>46</v>
      </c>
      <c r="C3350">
        <v>81</v>
      </c>
      <c r="D3350" t="s">
        <v>21</v>
      </c>
      <c r="E3350" t="s">
        <v>22</v>
      </c>
      <c r="F3350" t="s">
        <v>23</v>
      </c>
      <c r="G3350">
        <v>17</v>
      </c>
      <c r="H3350">
        <v>145.69999999999999</v>
      </c>
      <c r="I3350">
        <v>89</v>
      </c>
      <c r="J3350">
        <v>24.77</v>
      </c>
      <c r="K3350">
        <v>202.9</v>
      </c>
      <c r="L3350">
        <v>70</v>
      </c>
      <c r="M3350">
        <v>17.25</v>
      </c>
      <c r="N3350">
        <v>212.4</v>
      </c>
      <c r="O3350">
        <v>92</v>
      </c>
      <c r="P3350">
        <v>9.56</v>
      </c>
      <c r="Q3350">
        <v>9.5</v>
      </c>
      <c r="R3350">
        <v>5</v>
      </c>
      <c r="S3350">
        <v>2.57</v>
      </c>
      <c r="T3350">
        <v>1</v>
      </c>
      <c r="U3350" t="s">
        <v>22</v>
      </c>
      <c r="V3350" t="e">
        <f>IF(#REF! = "yes", 1, 0)</f>
        <v>#REF!</v>
      </c>
      <c r="W3350" t="e">
        <f>IF(#REF! &lt;= 1, "0-1 Calls", IF(#REF! &lt;= 3, "2-3 Calls", IF(#REF! &lt;=5, "4-5 Calls", "6+ Calls")))</f>
        <v>#REF!</v>
      </c>
      <c r="X3350" t="e">
        <f>IF(#REF! &lt;= 50, "0-50", IF(#REF! &lt;=100, "51-100", IF(#REF! &lt;= 150, "101-150", "151+")))</f>
        <v>#REF!</v>
      </c>
      <c r="Y3350" t="e">
        <f>IF(#REF! &lt;= 3, "Low Charges", "High Charges")</f>
        <v>#REF!</v>
      </c>
      <c r="Z3350" t="e">
        <f>IF(#REF!&lt;=80,"Low Calls",
IF(#REF!&lt;=120,"Medium Calls","High Calls"))</f>
        <v>#REF!</v>
      </c>
      <c r="AA3350" t="e">
        <f>IF(#REF!&lt;=15,"Low Charges",
IF(#REF!&lt;=20,"Medium Charges","High Charges"))</f>
        <v>#REF!</v>
      </c>
      <c r="AB3350" t="e">
        <f>IF(AND(#REF!&gt;180, #REF!&gt;200), "Heavy Doemstic User", IF(#REF!&gt;10, "Interntional User", IF(AND(#REF!&lt;180, #REF!&lt;200,#REF!&lt;200), "Light User", "Balanced User")))</f>
        <v>#REF!</v>
      </c>
      <c r="AC3350" t="e">
        <f>IF(#REF! = 0, "No Usage", IF(#REF! &lt;= 20, "Low Usage", IF(#REF! &lt;= 40, "Medium Usgae", "High Usage")))</f>
        <v>#REF!</v>
      </c>
      <c r="AD3350" t="e">
        <f>IF(#REF!&lt;=150,"Low Usage", IF(#REF!&lt;=200,"Medium Usage", IF(#REF!&lt;=250,"High Usage","Very High Usage")))</f>
        <v>#REF!</v>
      </c>
      <c r="AE3350" t="e">
        <f>IF(#REF!&lt;=5,"Low Calls", IF(#REF!&lt;=10, "Medium Calls", "High Calls"))</f>
        <v>#REF!</v>
      </c>
      <c r="AF3350" t="e">
        <f xml:space="preserve">
IF(#REF!&gt;=4,4,0)+
IF(#REF!="yes",3,0)+
IF(#REF!="High Charges",3,0)+
IF(#REF!&gt;250,4,0)+
IF(#REF!="no",1,0)+
IF(#REF!="Heavy Domestic User",2,0)</f>
        <v>#REF!</v>
      </c>
      <c r="AG3350" t="e">
        <f>IF(#REF!&gt;=10,"High Risk", IF(#REF!&gt;=5,"Medium Risk","Low Risk"))</f>
        <v>#REF!</v>
      </c>
      <c r="AH3350" t="e">
        <f>#REF! + #REF! + #REF! + #REF!</f>
        <v>#REF!</v>
      </c>
    </row>
    <row r="3351" spans="1:34" x14ac:dyDescent="0.35">
      <c r="A3351">
        <v>3350</v>
      </c>
      <c r="B3351" t="s">
        <v>41</v>
      </c>
      <c r="C3351">
        <v>135</v>
      </c>
      <c r="D3351" t="s">
        <v>25</v>
      </c>
      <c r="E3351" t="s">
        <v>22</v>
      </c>
      <c r="F3351" t="s">
        <v>22</v>
      </c>
      <c r="G3351">
        <v>0</v>
      </c>
      <c r="H3351">
        <v>129.4</v>
      </c>
      <c r="I3351">
        <v>104</v>
      </c>
      <c r="J3351">
        <v>22</v>
      </c>
      <c r="K3351">
        <v>199</v>
      </c>
      <c r="L3351">
        <v>96</v>
      </c>
      <c r="M3351">
        <v>16.920000000000002</v>
      </c>
      <c r="N3351">
        <v>142.4</v>
      </c>
      <c r="O3351">
        <v>81</v>
      </c>
      <c r="P3351">
        <v>6.41</v>
      </c>
      <c r="Q3351">
        <v>12.3</v>
      </c>
      <c r="R3351">
        <v>4</v>
      </c>
      <c r="S3351">
        <v>3.32</v>
      </c>
      <c r="T3351">
        <v>1</v>
      </c>
      <c r="U3351" t="s">
        <v>22</v>
      </c>
      <c r="V3351" t="e">
        <f>IF(#REF! = "yes", 1, 0)</f>
        <v>#REF!</v>
      </c>
      <c r="W3351" t="e">
        <f>IF(#REF! &lt;= 1, "0-1 Calls", IF(#REF! &lt;= 3, "2-3 Calls", IF(#REF! &lt;=5, "4-5 Calls", "6+ Calls")))</f>
        <v>#REF!</v>
      </c>
      <c r="X3351" t="e">
        <f>IF(#REF! &lt;= 50, "0-50", IF(#REF! &lt;=100, "51-100", IF(#REF! &lt;= 150, "101-150", "151+")))</f>
        <v>#REF!</v>
      </c>
      <c r="Y3351" t="e">
        <f>IF(#REF! &lt;= 3, "Low Charges", "High Charges")</f>
        <v>#REF!</v>
      </c>
      <c r="Z3351" t="e">
        <f>IF(#REF!&lt;=80,"Low Calls",
IF(#REF!&lt;=120,"Medium Calls","High Calls"))</f>
        <v>#REF!</v>
      </c>
      <c r="AA3351" t="e">
        <f>IF(#REF!&lt;=15,"Low Charges",
IF(#REF!&lt;=20,"Medium Charges","High Charges"))</f>
        <v>#REF!</v>
      </c>
      <c r="AB3351" t="e">
        <f>IF(AND(#REF!&gt;180, #REF!&gt;200), "Heavy Doemstic User", IF(#REF!&gt;10, "Interntional User", IF(AND(#REF!&lt;180, #REF!&lt;200,#REF!&lt;200), "Light User", "Balanced User")))</f>
        <v>#REF!</v>
      </c>
      <c r="AC3351" t="e">
        <f>IF(#REF! = 0, "No Usage", IF(#REF! &lt;= 20, "Low Usage", IF(#REF! &lt;= 40, "Medium Usgae", "High Usage")))</f>
        <v>#REF!</v>
      </c>
      <c r="AD3351" t="e">
        <f>IF(#REF!&lt;=150,"Low Usage", IF(#REF!&lt;=200,"Medium Usage", IF(#REF!&lt;=250,"High Usage","Very High Usage")))</f>
        <v>#REF!</v>
      </c>
      <c r="AE3351" t="e">
        <f>IF(#REF!&lt;=5,"Low Calls", IF(#REF!&lt;=10, "Medium Calls", "High Calls"))</f>
        <v>#REF!</v>
      </c>
      <c r="AF3351" t="e">
        <f xml:space="preserve">
IF(#REF!&gt;=4,4,0)+
IF(#REF!="yes",3,0)+
IF(#REF!="High Charges",3,0)+
IF(#REF!&gt;250,4,0)+
IF(#REF!="no",1,0)+
IF(#REF!="Heavy Domestic User",2,0)</f>
        <v>#REF!</v>
      </c>
      <c r="AG3351" t="e">
        <f>IF(#REF!&gt;=10,"High Risk", IF(#REF!&gt;=5,"Medium Risk","Low Risk"))</f>
        <v>#REF!</v>
      </c>
      <c r="AH3351" t="e">
        <f>#REF! + #REF! + #REF! + #REF!</f>
        <v>#REF!</v>
      </c>
    </row>
    <row r="3352" spans="1:34" x14ac:dyDescent="0.35">
      <c r="A3352">
        <v>3351</v>
      </c>
      <c r="B3352" t="s">
        <v>34</v>
      </c>
      <c r="C3352">
        <v>102</v>
      </c>
      <c r="D3352" t="s">
        <v>28</v>
      </c>
      <c r="E3352" t="s">
        <v>22</v>
      </c>
      <c r="F3352" t="s">
        <v>22</v>
      </c>
      <c r="G3352">
        <v>0</v>
      </c>
      <c r="H3352">
        <v>171.5</v>
      </c>
      <c r="I3352">
        <v>77</v>
      </c>
      <c r="J3352">
        <v>29.16</v>
      </c>
      <c r="K3352">
        <v>261</v>
      </c>
      <c r="L3352">
        <v>107</v>
      </c>
      <c r="M3352">
        <v>22.19</v>
      </c>
      <c r="N3352">
        <v>328.8</v>
      </c>
      <c r="O3352">
        <v>72</v>
      </c>
      <c r="P3352">
        <v>14.8</v>
      </c>
      <c r="Q3352">
        <v>10.199999999999999</v>
      </c>
      <c r="R3352">
        <v>1</v>
      </c>
      <c r="S3352">
        <v>2.75</v>
      </c>
      <c r="T3352">
        <v>0</v>
      </c>
      <c r="U3352" t="s">
        <v>22</v>
      </c>
      <c r="V3352" t="e">
        <f>IF(#REF! = "yes", 1, 0)</f>
        <v>#REF!</v>
      </c>
      <c r="W3352" t="e">
        <f>IF(#REF! &lt;= 1, "0-1 Calls", IF(#REF! &lt;= 3, "2-3 Calls", IF(#REF! &lt;=5, "4-5 Calls", "6+ Calls")))</f>
        <v>#REF!</v>
      </c>
      <c r="X3352" t="e">
        <f>IF(#REF! &lt;= 50, "0-50", IF(#REF! &lt;=100, "51-100", IF(#REF! &lt;= 150, "101-150", "151+")))</f>
        <v>#REF!</v>
      </c>
      <c r="Y3352" t="e">
        <f>IF(#REF! &lt;= 3, "Low Charges", "High Charges")</f>
        <v>#REF!</v>
      </c>
      <c r="Z3352" t="e">
        <f>IF(#REF!&lt;=80,"Low Calls",
IF(#REF!&lt;=120,"Medium Calls","High Calls"))</f>
        <v>#REF!</v>
      </c>
      <c r="AA3352" t="e">
        <f>IF(#REF!&lt;=15,"Low Charges",
IF(#REF!&lt;=20,"Medium Charges","High Charges"))</f>
        <v>#REF!</v>
      </c>
      <c r="AB3352" t="e">
        <f>IF(AND(#REF!&gt;180, #REF!&gt;200), "Heavy Doemstic User", IF(#REF!&gt;10, "Interntional User", IF(AND(#REF!&lt;180, #REF!&lt;200,#REF!&lt;200), "Light User", "Balanced User")))</f>
        <v>#REF!</v>
      </c>
      <c r="AC3352" t="e">
        <f>IF(#REF! = 0, "No Usage", IF(#REF! &lt;= 20, "Low Usage", IF(#REF! &lt;= 40, "Medium Usgae", "High Usage")))</f>
        <v>#REF!</v>
      </c>
      <c r="AD3352" t="e">
        <f>IF(#REF!&lt;=150,"Low Usage", IF(#REF!&lt;=200,"Medium Usage", IF(#REF!&lt;=250,"High Usage","Very High Usage")))</f>
        <v>#REF!</v>
      </c>
      <c r="AE3352" t="e">
        <f>IF(#REF!&lt;=5,"Low Calls", IF(#REF!&lt;=10, "Medium Calls", "High Calls"))</f>
        <v>#REF!</v>
      </c>
      <c r="AF3352" t="e">
        <f xml:space="preserve">
IF(#REF!&gt;=4,4,0)+
IF(#REF!="yes",3,0)+
IF(#REF!="High Charges",3,0)+
IF(#REF!&gt;250,4,0)+
IF(#REF!="no",1,0)+
IF(#REF!="Heavy Domestic User",2,0)</f>
        <v>#REF!</v>
      </c>
      <c r="AG3352" t="e">
        <f>IF(#REF!&gt;=10,"High Risk", IF(#REF!&gt;=5,"Medium Risk","Low Risk"))</f>
        <v>#REF!</v>
      </c>
      <c r="AH3352" t="e">
        <f>#REF! + #REF! + #REF! + #REF!</f>
        <v>#REF!</v>
      </c>
    </row>
    <row r="3353" spans="1:34" x14ac:dyDescent="0.35">
      <c r="A3353">
        <v>3352</v>
      </c>
      <c r="B3353" t="s">
        <v>35</v>
      </c>
      <c r="C3353">
        <v>117</v>
      </c>
      <c r="D3353" t="s">
        <v>28</v>
      </c>
      <c r="E3353" t="s">
        <v>22</v>
      </c>
      <c r="F3353" t="s">
        <v>22</v>
      </c>
      <c r="G3353">
        <v>0</v>
      </c>
      <c r="H3353">
        <v>180.6</v>
      </c>
      <c r="I3353">
        <v>134</v>
      </c>
      <c r="J3353">
        <v>30.7</v>
      </c>
      <c r="K3353">
        <v>216.6</v>
      </c>
      <c r="L3353">
        <v>96</v>
      </c>
      <c r="M3353">
        <v>18.41</v>
      </c>
      <c r="N3353">
        <v>101</v>
      </c>
      <c r="O3353">
        <v>122</v>
      </c>
      <c r="P3353">
        <v>4.55</v>
      </c>
      <c r="Q3353">
        <v>10.6</v>
      </c>
      <c r="R3353">
        <v>6</v>
      </c>
      <c r="S3353">
        <v>2.86</v>
      </c>
      <c r="T3353">
        <v>4</v>
      </c>
      <c r="U3353" t="s">
        <v>23</v>
      </c>
      <c r="V3353" t="e">
        <f>IF(#REF! = "yes", 1, 0)</f>
        <v>#REF!</v>
      </c>
      <c r="W3353" t="e">
        <f>IF(#REF! &lt;= 1, "0-1 Calls", IF(#REF! &lt;= 3, "2-3 Calls", IF(#REF! &lt;=5, "4-5 Calls", "6+ Calls")))</f>
        <v>#REF!</v>
      </c>
      <c r="X3353" t="e">
        <f>IF(#REF! &lt;= 50, "0-50", IF(#REF! &lt;=100, "51-100", IF(#REF! &lt;= 150, "101-150", "151+")))</f>
        <v>#REF!</v>
      </c>
      <c r="Y3353" t="e">
        <f>IF(#REF! &lt;= 3, "Low Charges", "High Charges")</f>
        <v>#REF!</v>
      </c>
      <c r="Z3353" t="e">
        <f>IF(#REF!&lt;=80,"Low Calls",
IF(#REF!&lt;=120,"Medium Calls","High Calls"))</f>
        <v>#REF!</v>
      </c>
      <c r="AA3353" t="e">
        <f>IF(#REF!&lt;=15,"Low Charges",
IF(#REF!&lt;=20,"Medium Charges","High Charges"))</f>
        <v>#REF!</v>
      </c>
      <c r="AB3353" t="e">
        <f>IF(AND(#REF!&gt;180, #REF!&gt;200), "Heavy Doemstic User", IF(#REF!&gt;10, "Interntional User", IF(AND(#REF!&lt;180, #REF!&lt;200,#REF!&lt;200), "Light User", "Balanced User")))</f>
        <v>#REF!</v>
      </c>
      <c r="AC3353" t="e">
        <f>IF(#REF! = 0, "No Usage", IF(#REF! &lt;= 20, "Low Usage", IF(#REF! &lt;= 40, "Medium Usgae", "High Usage")))</f>
        <v>#REF!</v>
      </c>
      <c r="AD3353" t="e">
        <f>IF(#REF!&lt;=150,"Low Usage", IF(#REF!&lt;=200,"Medium Usage", IF(#REF!&lt;=250,"High Usage","Very High Usage")))</f>
        <v>#REF!</v>
      </c>
      <c r="AE3353" t="e">
        <f>IF(#REF!&lt;=5,"Low Calls", IF(#REF!&lt;=10, "Medium Calls", "High Calls"))</f>
        <v>#REF!</v>
      </c>
      <c r="AF3353" t="e">
        <f xml:space="preserve">
IF(#REF!&gt;=4,4,0)+
IF(#REF!="yes",3,0)+
IF(#REF!="High Charges",3,0)+
IF(#REF!&gt;250,4,0)+
IF(#REF!="no",1,0)+
IF(#REF!="Heavy Domestic User",2,0)</f>
        <v>#REF!</v>
      </c>
      <c r="AG3353" t="e">
        <f>IF(#REF!&gt;=10,"High Risk", IF(#REF!&gt;=5,"Medium Risk","Low Risk"))</f>
        <v>#REF!</v>
      </c>
      <c r="AH3353" t="e">
        <f>#REF! + #REF! + #REF! + #REF!</f>
        <v>#REF!</v>
      </c>
    </row>
    <row r="3354" spans="1:34" x14ac:dyDescent="0.35">
      <c r="A3354">
        <v>3353</v>
      </c>
      <c r="B3354" t="s">
        <v>44</v>
      </c>
      <c r="C3354">
        <v>37</v>
      </c>
      <c r="D3354" t="s">
        <v>28</v>
      </c>
      <c r="E3354" t="s">
        <v>22</v>
      </c>
      <c r="F3354" t="s">
        <v>23</v>
      </c>
      <c r="G3354">
        <v>33</v>
      </c>
      <c r="H3354">
        <v>225.7</v>
      </c>
      <c r="I3354">
        <v>133</v>
      </c>
      <c r="J3354">
        <v>38.369999999999997</v>
      </c>
      <c r="K3354">
        <v>223.9</v>
      </c>
      <c r="L3354">
        <v>115</v>
      </c>
      <c r="M3354">
        <v>19.03</v>
      </c>
      <c r="N3354">
        <v>192.7</v>
      </c>
      <c r="O3354">
        <v>131</v>
      </c>
      <c r="P3354">
        <v>8.67</v>
      </c>
      <c r="Q3354">
        <v>11.2</v>
      </c>
      <c r="R3354">
        <v>5</v>
      </c>
      <c r="S3354">
        <v>3.02</v>
      </c>
      <c r="T3354">
        <v>3</v>
      </c>
      <c r="U3354" t="s">
        <v>22</v>
      </c>
      <c r="V3354" t="e">
        <f>IF(#REF! = "yes", 1, 0)</f>
        <v>#REF!</v>
      </c>
      <c r="W3354" t="e">
        <f>IF(#REF! &lt;= 1, "0-1 Calls", IF(#REF! &lt;= 3, "2-3 Calls", IF(#REF! &lt;=5, "4-5 Calls", "6+ Calls")))</f>
        <v>#REF!</v>
      </c>
      <c r="X3354" t="e">
        <f>IF(#REF! &lt;= 50, "0-50", IF(#REF! &lt;=100, "51-100", IF(#REF! &lt;= 150, "101-150", "151+")))</f>
        <v>#REF!</v>
      </c>
      <c r="Y3354" t="e">
        <f>IF(#REF! &lt;= 3, "Low Charges", "High Charges")</f>
        <v>#REF!</v>
      </c>
      <c r="Z3354" t="e">
        <f>IF(#REF!&lt;=80,"Low Calls",
IF(#REF!&lt;=120,"Medium Calls","High Calls"))</f>
        <v>#REF!</v>
      </c>
      <c r="AA3354" t="e">
        <f>IF(#REF!&lt;=15,"Low Charges",
IF(#REF!&lt;=20,"Medium Charges","High Charges"))</f>
        <v>#REF!</v>
      </c>
      <c r="AB3354" t="e">
        <f>IF(AND(#REF!&gt;180, #REF!&gt;200), "Heavy Doemstic User", IF(#REF!&gt;10, "Interntional User", IF(AND(#REF!&lt;180, #REF!&lt;200,#REF!&lt;200), "Light User", "Balanced User")))</f>
        <v>#REF!</v>
      </c>
      <c r="AC3354" t="e">
        <f>IF(#REF! = 0, "No Usage", IF(#REF! &lt;= 20, "Low Usage", IF(#REF! &lt;= 40, "Medium Usgae", "High Usage")))</f>
        <v>#REF!</v>
      </c>
      <c r="AD3354" t="e">
        <f>IF(#REF!&lt;=150,"Low Usage", IF(#REF!&lt;=200,"Medium Usage", IF(#REF!&lt;=250,"High Usage","Very High Usage")))</f>
        <v>#REF!</v>
      </c>
      <c r="AE3354" t="e">
        <f>IF(#REF!&lt;=5,"Low Calls", IF(#REF!&lt;=10, "Medium Calls", "High Calls"))</f>
        <v>#REF!</v>
      </c>
      <c r="AF3354" t="e">
        <f xml:space="preserve">
IF(#REF!&gt;=4,4,0)+
IF(#REF!="yes",3,0)+
IF(#REF!="High Charges",3,0)+
IF(#REF!&gt;250,4,0)+
IF(#REF!="no",1,0)+
IF(#REF!="Heavy Domestic User",2,0)</f>
        <v>#REF!</v>
      </c>
      <c r="AG3354" t="e">
        <f>IF(#REF!&gt;=10,"High Risk", IF(#REF!&gt;=5,"Medium Risk","Low Risk"))</f>
        <v>#REF!</v>
      </c>
      <c r="AH3354" t="e">
        <f>#REF! + #REF! + #REF! + #REF!</f>
        <v>#REF!</v>
      </c>
    </row>
    <row r="3355" spans="1:34" x14ac:dyDescent="0.35">
      <c r="A3355">
        <v>3354</v>
      </c>
      <c r="B3355" t="s">
        <v>51</v>
      </c>
      <c r="C3355">
        <v>48</v>
      </c>
      <c r="D3355" t="s">
        <v>28</v>
      </c>
      <c r="E3355" t="s">
        <v>22</v>
      </c>
      <c r="F3355" t="s">
        <v>22</v>
      </c>
      <c r="G3355">
        <v>0</v>
      </c>
      <c r="H3355">
        <v>176.9</v>
      </c>
      <c r="I3355">
        <v>110</v>
      </c>
      <c r="J3355">
        <v>30.07</v>
      </c>
      <c r="K3355">
        <v>274.3</v>
      </c>
      <c r="L3355">
        <v>114</v>
      </c>
      <c r="M3355">
        <v>23.32</v>
      </c>
      <c r="N3355">
        <v>115.3</v>
      </c>
      <c r="O3355">
        <v>125</v>
      </c>
      <c r="P3355">
        <v>5.19</v>
      </c>
      <c r="Q3355">
        <v>11</v>
      </c>
      <c r="R3355">
        <v>2</v>
      </c>
      <c r="S3355">
        <v>2.97</v>
      </c>
      <c r="T3355">
        <v>1</v>
      </c>
      <c r="U3355" t="s">
        <v>22</v>
      </c>
      <c r="V3355" t="e">
        <f>IF(#REF! = "yes", 1, 0)</f>
        <v>#REF!</v>
      </c>
      <c r="W3355" t="e">
        <f>IF(#REF! &lt;= 1, "0-1 Calls", IF(#REF! &lt;= 3, "2-3 Calls", IF(#REF! &lt;=5, "4-5 Calls", "6+ Calls")))</f>
        <v>#REF!</v>
      </c>
      <c r="X3355" t="e">
        <f>IF(#REF! &lt;= 50, "0-50", IF(#REF! &lt;=100, "51-100", IF(#REF! &lt;= 150, "101-150", "151+")))</f>
        <v>#REF!</v>
      </c>
      <c r="Y3355" t="e">
        <f>IF(#REF! &lt;= 3, "Low Charges", "High Charges")</f>
        <v>#REF!</v>
      </c>
      <c r="Z3355" t="e">
        <f>IF(#REF!&lt;=80,"Low Calls",
IF(#REF!&lt;=120,"Medium Calls","High Calls"))</f>
        <v>#REF!</v>
      </c>
      <c r="AA3355" t="e">
        <f>IF(#REF!&lt;=15,"Low Charges",
IF(#REF!&lt;=20,"Medium Charges","High Charges"))</f>
        <v>#REF!</v>
      </c>
      <c r="AB3355" t="e">
        <f>IF(AND(#REF!&gt;180, #REF!&gt;200), "Heavy Doemstic User", IF(#REF!&gt;10, "Interntional User", IF(AND(#REF!&lt;180, #REF!&lt;200,#REF!&lt;200), "Light User", "Balanced User")))</f>
        <v>#REF!</v>
      </c>
      <c r="AC3355" t="e">
        <f>IF(#REF! = 0, "No Usage", IF(#REF! &lt;= 20, "Low Usage", IF(#REF! &lt;= 40, "Medium Usgae", "High Usage")))</f>
        <v>#REF!</v>
      </c>
      <c r="AD3355" t="e">
        <f>IF(#REF!&lt;=150,"Low Usage", IF(#REF!&lt;=200,"Medium Usage", IF(#REF!&lt;=250,"High Usage","Very High Usage")))</f>
        <v>#REF!</v>
      </c>
      <c r="AE3355" t="e">
        <f>IF(#REF!&lt;=5,"Low Calls", IF(#REF!&lt;=10, "Medium Calls", "High Calls"))</f>
        <v>#REF!</v>
      </c>
      <c r="AF3355" t="e">
        <f xml:space="preserve">
IF(#REF!&gt;=4,4,0)+
IF(#REF!="yes",3,0)+
IF(#REF!="High Charges",3,0)+
IF(#REF!&gt;250,4,0)+
IF(#REF!="no",1,0)+
IF(#REF!="Heavy Domestic User",2,0)</f>
        <v>#REF!</v>
      </c>
      <c r="AG3355" t="e">
        <f>IF(#REF!&gt;=10,"High Risk", IF(#REF!&gt;=5,"Medium Risk","Low Risk"))</f>
        <v>#REF!</v>
      </c>
      <c r="AH3355" t="e">
        <f>#REF! + #REF! + #REF! + #REF!</f>
        <v>#REF!</v>
      </c>
    </row>
    <row r="3356" spans="1:34" x14ac:dyDescent="0.35">
      <c r="A3356">
        <v>3355</v>
      </c>
      <c r="B3356" t="s">
        <v>54</v>
      </c>
      <c r="C3356">
        <v>155</v>
      </c>
      <c r="D3356" t="s">
        <v>21</v>
      </c>
      <c r="E3356" t="s">
        <v>22</v>
      </c>
      <c r="F3356" t="s">
        <v>22</v>
      </c>
      <c r="G3356">
        <v>0</v>
      </c>
      <c r="H3356">
        <v>250.5</v>
      </c>
      <c r="I3356">
        <v>89</v>
      </c>
      <c r="J3356">
        <v>42.59</v>
      </c>
      <c r="K3356">
        <v>146.1</v>
      </c>
      <c r="L3356">
        <v>84</v>
      </c>
      <c r="M3356">
        <v>12.42</v>
      </c>
      <c r="N3356">
        <v>164.2</v>
      </c>
      <c r="O3356">
        <v>60</v>
      </c>
      <c r="P3356">
        <v>7.39</v>
      </c>
      <c r="Q3356">
        <v>8.4</v>
      </c>
      <c r="R3356">
        <v>3</v>
      </c>
      <c r="S3356">
        <v>2.27</v>
      </c>
      <c r="T3356">
        <v>1</v>
      </c>
      <c r="U3356" t="s">
        <v>22</v>
      </c>
      <c r="V3356" t="e">
        <f>IF(#REF! = "yes", 1, 0)</f>
        <v>#REF!</v>
      </c>
      <c r="W3356" t="e">
        <f>IF(#REF! &lt;= 1, "0-1 Calls", IF(#REF! &lt;= 3, "2-3 Calls", IF(#REF! &lt;=5, "4-5 Calls", "6+ Calls")))</f>
        <v>#REF!</v>
      </c>
      <c r="X3356" t="e">
        <f>IF(#REF! &lt;= 50, "0-50", IF(#REF! &lt;=100, "51-100", IF(#REF! &lt;= 150, "101-150", "151+")))</f>
        <v>#REF!</v>
      </c>
      <c r="Y3356" t="e">
        <f>IF(#REF! &lt;= 3, "Low Charges", "High Charges")</f>
        <v>#REF!</v>
      </c>
      <c r="Z3356" t="e">
        <f>IF(#REF!&lt;=80,"Low Calls",
IF(#REF!&lt;=120,"Medium Calls","High Calls"))</f>
        <v>#REF!</v>
      </c>
      <c r="AA3356" t="e">
        <f>IF(#REF!&lt;=15,"Low Charges",
IF(#REF!&lt;=20,"Medium Charges","High Charges"))</f>
        <v>#REF!</v>
      </c>
      <c r="AB3356" t="e">
        <f>IF(AND(#REF!&gt;180, #REF!&gt;200), "Heavy Doemstic User", IF(#REF!&gt;10, "Interntional User", IF(AND(#REF!&lt;180, #REF!&lt;200,#REF!&lt;200), "Light User", "Balanced User")))</f>
        <v>#REF!</v>
      </c>
      <c r="AC3356" t="e">
        <f>IF(#REF! = 0, "No Usage", IF(#REF! &lt;= 20, "Low Usage", IF(#REF! &lt;= 40, "Medium Usgae", "High Usage")))</f>
        <v>#REF!</v>
      </c>
      <c r="AD3356" t="e">
        <f>IF(#REF!&lt;=150,"Low Usage", IF(#REF!&lt;=200,"Medium Usage", IF(#REF!&lt;=250,"High Usage","Very High Usage")))</f>
        <v>#REF!</v>
      </c>
      <c r="AE3356" t="e">
        <f>IF(#REF!&lt;=5,"Low Calls", IF(#REF!&lt;=10, "Medium Calls", "High Calls"))</f>
        <v>#REF!</v>
      </c>
      <c r="AF3356" t="e">
        <f xml:space="preserve">
IF(#REF!&gt;=4,4,0)+
IF(#REF!="yes",3,0)+
IF(#REF!="High Charges",3,0)+
IF(#REF!&gt;250,4,0)+
IF(#REF!="no",1,0)+
IF(#REF!="Heavy Domestic User",2,0)</f>
        <v>#REF!</v>
      </c>
      <c r="AG3356" t="e">
        <f>IF(#REF!&gt;=10,"High Risk", IF(#REF!&gt;=5,"Medium Risk","Low Risk"))</f>
        <v>#REF!</v>
      </c>
      <c r="AH3356" t="e">
        <f>#REF! + #REF! + #REF! + #REF!</f>
        <v>#REF!</v>
      </c>
    </row>
    <row r="3357" spans="1:34" x14ac:dyDescent="0.35">
      <c r="A3357">
        <v>3356</v>
      </c>
      <c r="B3357" t="s">
        <v>59</v>
      </c>
      <c r="C3357">
        <v>124</v>
      </c>
      <c r="D3357" t="s">
        <v>25</v>
      </c>
      <c r="E3357" t="s">
        <v>22</v>
      </c>
      <c r="F3357" t="s">
        <v>22</v>
      </c>
      <c r="G3357">
        <v>0</v>
      </c>
      <c r="H3357">
        <v>282.8</v>
      </c>
      <c r="I3357">
        <v>108</v>
      </c>
      <c r="J3357">
        <v>48.08</v>
      </c>
      <c r="K3357">
        <v>246.3</v>
      </c>
      <c r="L3357">
        <v>89</v>
      </c>
      <c r="M3357">
        <v>20.94</v>
      </c>
      <c r="N3357">
        <v>256.39999999999998</v>
      </c>
      <c r="O3357">
        <v>96</v>
      </c>
      <c r="P3357">
        <v>11.54</v>
      </c>
      <c r="Q3357">
        <v>10.3</v>
      </c>
      <c r="R3357">
        <v>1</v>
      </c>
      <c r="S3357">
        <v>2.78</v>
      </c>
      <c r="T3357">
        <v>3</v>
      </c>
      <c r="U3357" t="s">
        <v>23</v>
      </c>
      <c r="V3357" t="e">
        <f>IF(#REF! = "yes", 1, 0)</f>
        <v>#REF!</v>
      </c>
      <c r="W3357" t="e">
        <f>IF(#REF! &lt;= 1, "0-1 Calls", IF(#REF! &lt;= 3, "2-3 Calls", IF(#REF! &lt;=5, "4-5 Calls", "6+ Calls")))</f>
        <v>#REF!</v>
      </c>
      <c r="X3357" t="e">
        <f>IF(#REF! &lt;= 50, "0-50", IF(#REF! &lt;=100, "51-100", IF(#REF! &lt;= 150, "101-150", "151+")))</f>
        <v>#REF!</v>
      </c>
      <c r="Y3357" t="e">
        <f>IF(#REF! &lt;= 3, "Low Charges", "High Charges")</f>
        <v>#REF!</v>
      </c>
      <c r="Z3357" t="e">
        <f>IF(#REF!&lt;=80,"Low Calls",
IF(#REF!&lt;=120,"Medium Calls","High Calls"))</f>
        <v>#REF!</v>
      </c>
      <c r="AA3357" t="e">
        <f>IF(#REF!&lt;=15,"Low Charges",
IF(#REF!&lt;=20,"Medium Charges","High Charges"))</f>
        <v>#REF!</v>
      </c>
      <c r="AB3357" t="e">
        <f>IF(AND(#REF!&gt;180, #REF!&gt;200), "Heavy Doemstic User", IF(#REF!&gt;10, "Interntional User", IF(AND(#REF!&lt;180, #REF!&lt;200,#REF!&lt;200), "Light User", "Balanced User")))</f>
        <v>#REF!</v>
      </c>
      <c r="AC3357" t="e">
        <f>IF(#REF! = 0, "No Usage", IF(#REF! &lt;= 20, "Low Usage", IF(#REF! &lt;= 40, "Medium Usgae", "High Usage")))</f>
        <v>#REF!</v>
      </c>
      <c r="AD3357" t="e">
        <f>IF(#REF!&lt;=150,"Low Usage", IF(#REF!&lt;=200,"Medium Usage", IF(#REF!&lt;=250,"High Usage","Very High Usage")))</f>
        <v>#REF!</v>
      </c>
      <c r="AE3357" t="e">
        <f>IF(#REF!&lt;=5,"Low Calls", IF(#REF!&lt;=10, "Medium Calls", "High Calls"))</f>
        <v>#REF!</v>
      </c>
      <c r="AF3357" t="e">
        <f xml:space="preserve">
IF(#REF!&gt;=4,4,0)+
IF(#REF!="yes",3,0)+
IF(#REF!="High Charges",3,0)+
IF(#REF!&gt;250,4,0)+
IF(#REF!="no",1,0)+
IF(#REF!="Heavy Domestic User",2,0)</f>
        <v>#REF!</v>
      </c>
      <c r="AG3357" t="e">
        <f>IF(#REF!&gt;=10,"High Risk", IF(#REF!&gt;=5,"Medium Risk","Low Risk"))</f>
        <v>#REF!</v>
      </c>
      <c r="AH3357" t="e">
        <f>#REF! + #REF! + #REF! + #REF!</f>
        <v>#REF!</v>
      </c>
    </row>
    <row r="3358" spans="1:34" x14ac:dyDescent="0.35">
      <c r="A3358">
        <v>3357</v>
      </c>
      <c r="B3358" t="s">
        <v>55</v>
      </c>
      <c r="C3358">
        <v>91</v>
      </c>
      <c r="D3358" t="s">
        <v>28</v>
      </c>
      <c r="E3358" t="s">
        <v>22</v>
      </c>
      <c r="F3358" t="s">
        <v>22</v>
      </c>
      <c r="G3358">
        <v>0</v>
      </c>
      <c r="H3358">
        <v>142.6</v>
      </c>
      <c r="I3358">
        <v>90</v>
      </c>
      <c r="J3358">
        <v>24.24</v>
      </c>
      <c r="K3358">
        <v>286.8</v>
      </c>
      <c r="L3358">
        <v>102</v>
      </c>
      <c r="M3358">
        <v>24.38</v>
      </c>
      <c r="N3358">
        <v>222.2</v>
      </c>
      <c r="O3358">
        <v>113</v>
      </c>
      <c r="P3358">
        <v>10</v>
      </c>
      <c r="Q3358">
        <v>14.8</v>
      </c>
      <c r="R3358">
        <v>3</v>
      </c>
      <c r="S3358">
        <v>4</v>
      </c>
      <c r="T3358">
        <v>0</v>
      </c>
      <c r="U3358" t="s">
        <v>22</v>
      </c>
      <c r="V3358" t="e">
        <f>IF(#REF! = "yes", 1, 0)</f>
        <v>#REF!</v>
      </c>
      <c r="W3358" t="e">
        <f>IF(#REF! &lt;= 1, "0-1 Calls", IF(#REF! &lt;= 3, "2-3 Calls", IF(#REF! &lt;=5, "4-5 Calls", "6+ Calls")))</f>
        <v>#REF!</v>
      </c>
      <c r="X3358" t="e">
        <f>IF(#REF! &lt;= 50, "0-50", IF(#REF! &lt;=100, "51-100", IF(#REF! &lt;= 150, "101-150", "151+")))</f>
        <v>#REF!</v>
      </c>
      <c r="Y3358" t="e">
        <f>IF(#REF! &lt;= 3, "Low Charges", "High Charges")</f>
        <v>#REF!</v>
      </c>
      <c r="Z3358" t="e">
        <f>IF(#REF!&lt;=80,"Low Calls",
IF(#REF!&lt;=120,"Medium Calls","High Calls"))</f>
        <v>#REF!</v>
      </c>
      <c r="AA3358" t="e">
        <f>IF(#REF!&lt;=15,"Low Charges",
IF(#REF!&lt;=20,"Medium Charges","High Charges"))</f>
        <v>#REF!</v>
      </c>
      <c r="AB3358" t="e">
        <f>IF(AND(#REF!&gt;180, #REF!&gt;200), "Heavy Doemstic User", IF(#REF!&gt;10, "Interntional User", IF(AND(#REF!&lt;180, #REF!&lt;200,#REF!&lt;200), "Light User", "Balanced User")))</f>
        <v>#REF!</v>
      </c>
      <c r="AC3358" t="e">
        <f>IF(#REF! = 0, "No Usage", IF(#REF! &lt;= 20, "Low Usage", IF(#REF! &lt;= 40, "Medium Usgae", "High Usage")))</f>
        <v>#REF!</v>
      </c>
      <c r="AD3358" t="e">
        <f>IF(#REF!&lt;=150,"Low Usage", IF(#REF!&lt;=200,"Medium Usage", IF(#REF!&lt;=250,"High Usage","Very High Usage")))</f>
        <v>#REF!</v>
      </c>
      <c r="AE3358" t="e">
        <f>IF(#REF!&lt;=5,"Low Calls", IF(#REF!&lt;=10, "Medium Calls", "High Calls"))</f>
        <v>#REF!</v>
      </c>
      <c r="AF3358" t="e">
        <f xml:space="preserve">
IF(#REF!&gt;=4,4,0)+
IF(#REF!="yes",3,0)+
IF(#REF!="High Charges",3,0)+
IF(#REF!&gt;250,4,0)+
IF(#REF!="no",1,0)+
IF(#REF!="Heavy Domestic User",2,0)</f>
        <v>#REF!</v>
      </c>
      <c r="AG3358" t="e">
        <f>IF(#REF!&gt;=10,"High Risk", IF(#REF!&gt;=5,"Medium Risk","Low Risk"))</f>
        <v>#REF!</v>
      </c>
      <c r="AH3358" t="e">
        <f>#REF! + #REF! + #REF! + #REF!</f>
        <v>#REF!</v>
      </c>
    </row>
    <row r="3359" spans="1:34" x14ac:dyDescent="0.35">
      <c r="A3359">
        <v>3358</v>
      </c>
      <c r="B3359" t="s">
        <v>65</v>
      </c>
      <c r="C3359">
        <v>169</v>
      </c>
      <c r="D3359" t="s">
        <v>28</v>
      </c>
      <c r="E3359" t="s">
        <v>22</v>
      </c>
      <c r="F3359" t="s">
        <v>22</v>
      </c>
      <c r="G3359">
        <v>0</v>
      </c>
      <c r="H3359">
        <v>276.10000000000002</v>
      </c>
      <c r="I3359">
        <v>120</v>
      </c>
      <c r="J3359">
        <v>46.94</v>
      </c>
      <c r="K3359">
        <v>123.5</v>
      </c>
      <c r="L3359">
        <v>88</v>
      </c>
      <c r="M3359">
        <v>10.5</v>
      </c>
      <c r="N3359">
        <v>261.89999999999998</v>
      </c>
      <c r="O3359">
        <v>116</v>
      </c>
      <c r="P3359">
        <v>11.79</v>
      </c>
      <c r="Q3359">
        <v>11.9</v>
      </c>
      <c r="R3359">
        <v>5</v>
      </c>
      <c r="S3359">
        <v>3.21</v>
      </c>
      <c r="T3359">
        <v>1</v>
      </c>
      <c r="U3359" t="s">
        <v>22</v>
      </c>
      <c r="V3359" t="e">
        <f>IF(#REF! = "yes", 1, 0)</f>
        <v>#REF!</v>
      </c>
      <c r="W3359" t="e">
        <f>IF(#REF! &lt;= 1, "0-1 Calls", IF(#REF! &lt;= 3, "2-3 Calls", IF(#REF! &lt;=5, "4-5 Calls", "6+ Calls")))</f>
        <v>#REF!</v>
      </c>
      <c r="X3359" t="e">
        <f>IF(#REF! &lt;= 50, "0-50", IF(#REF! &lt;=100, "51-100", IF(#REF! &lt;= 150, "101-150", "151+")))</f>
        <v>#REF!</v>
      </c>
      <c r="Y3359" t="e">
        <f>IF(#REF! &lt;= 3, "Low Charges", "High Charges")</f>
        <v>#REF!</v>
      </c>
      <c r="Z3359" t="e">
        <f>IF(#REF!&lt;=80,"Low Calls",
IF(#REF!&lt;=120,"Medium Calls","High Calls"))</f>
        <v>#REF!</v>
      </c>
      <c r="AA3359" t="e">
        <f>IF(#REF!&lt;=15,"Low Charges",
IF(#REF!&lt;=20,"Medium Charges","High Charges"))</f>
        <v>#REF!</v>
      </c>
      <c r="AB3359" t="e">
        <f>IF(AND(#REF!&gt;180, #REF!&gt;200), "Heavy Doemstic User", IF(#REF!&gt;10, "Interntional User", IF(AND(#REF!&lt;180, #REF!&lt;200,#REF!&lt;200), "Light User", "Balanced User")))</f>
        <v>#REF!</v>
      </c>
      <c r="AC3359" t="e">
        <f>IF(#REF! = 0, "No Usage", IF(#REF! &lt;= 20, "Low Usage", IF(#REF! &lt;= 40, "Medium Usgae", "High Usage")))</f>
        <v>#REF!</v>
      </c>
      <c r="AD3359" t="e">
        <f>IF(#REF!&lt;=150,"Low Usage", IF(#REF!&lt;=200,"Medium Usage", IF(#REF!&lt;=250,"High Usage","Very High Usage")))</f>
        <v>#REF!</v>
      </c>
      <c r="AE3359" t="e">
        <f>IF(#REF!&lt;=5,"Low Calls", IF(#REF!&lt;=10, "Medium Calls", "High Calls"))</f>
        <v>#REF!</v>
      </c>
      <c r="AF3359" t="e">
        <f xml:space="preserve">
IF(#REF!&gt;=4,4,0)+
IF(#REF!="yes",3,0)+
IF(#REF!="High Charges",3,0)+
IF(#REF!&gt;250,4,0)+
IF(#REF!="no",1,0)+
IF(#REF!="Heavy Domestic User",2,0)</f>
        <v>#REF!</v>
      </c>
      <c r="AG3359" t="e">
        <f>IF(#REF!&gt;=10,"High Risk", IF(#REF!&gt;=5,"Medium Risk","Low Risk"))</f>
        <v>#REF!</v>
      </c>
      <c r="AH3359" t="e">
        <f>#REF! + #REF! + #REF! + #REF!</f>
        <v>#REF!</v>
      </c>
    </row>
    <row r="3360" spans="1:34" x14ac:dyDescent="0.35">
      <c r="A3360">
        <v>3359</v>
      </c>
      <c r="B3360" t="s">
        <v>46</v>
      </c>
      <c r="C3360">
        <v>74</v>
      </c>
      <c r="D3360" t="s">
        <v>28</v>
      </c>
      <c r="E3360" t="s">
        <v>22</v>
      </c>
      <c r="F3360" t="s">
        <v>22</v>
      </c>
      <c r="G3360">
        <v>0</v>
      </c>
      <c r="H3360">
        <v>154.30000000000001</v>
      </c>
      <c r="I3360">
        <v>71</v>
      </c>
      <c r="J3360">
        <v>26.23</v>
      </c>
      <c r="K3360">
        <v>262.3</v>
      </c>
      <c r="L3360">
        <v>105</v>
      </c>
      <c r="M3360">
        <v>22.3</v>
      </c>
      <c r="N3360">
        <v>235.3</v>
      </c>
      <c r="O3360">
        <v>99</v>
      </c>
      <c r="P3360">
        <v>10.59</v>
      </c>
      <c r="Q3360">
        <v>13.9</v>
      </c>
      <c r="R3360">
        <v>4</v>
      </c>
      <c r="S3360">
        <v>3.75</v>
      </c>
      <c r="T3360">
        <v>0</v>
      </c>
      <c r="U3360" t="s">
        <v>22</v>
      </c>
      <c r="V3360" t="e">
        <f>IF(#REF! = "yes", 1, 0)</f>
        <v>#REF!</v>
      </c>
      <c r="W3360" t="e">
        <f>IF(#REF! &lt;= 1, "0-1 Calls", IF(#REF! &lt;= 3, "2-3 Calls", IF(#REF! &lt;=5, "4-5 Calls", "6+ Calls")))</f>
        <v>#REF!</v>
      </c>
      <c r="X3360" t="e">
        <f>IF(#REF! &lt;= 50, "0-50", IF(#REF! &lt;=100, "51-100", IF(#REF! &lt;= 150, "101-150", "151+")))</f>
        <v>#REF!</v>
      </c>
      <c r="Y3360" t="e">
        <f>IF(#REF! &lt;= 3, "Low Charges", "High Charges")</f>
        <v>#REF!</v>
      </c>
      <c r="Z3360" t="e">
        <f>IF(#REF!&lt;=80,"Low Calls",
IF(#REF!&lt;=120,"Medium Calls","High Calls"))</f>
        <v>#REF!</v>
      </c>
      <c r="AA3360" t="e">
        <f>IF(#REF!&lt;=15,"Low Charges",
IF(#REF!&lt;=20,"Medium Charges","High Charges"))</f>
        <v>#REF!</v>
      </c>
      <c r="AB3360" t="e">
        <f>IF(AND(#REF!&gt;180, #REF!&gt;200), "Heavy Doemstic User", IF(#REF!&gt;10, "Interntional User", IF(AND(#REF!&lt;180, #REF!&lt;200,#REF!&lt;200), "Light User", "Balanced User")))</f>
        <v>#REF!</v>
      </c>
      <c r="AC3360" t="e">
        <f>IF(#REF! = 0, "No Usage", IF(#REF! &lt;= 20, "Low Usage", IF(#REF! &lt;= 40, "Medium Usgae", "High Usage")))</f>
        <v>#REF!</v>
      </c>
      <c r="AD3360" t="e">
        <f>IF(#REF!&lt;=150,"Low Usage", IF(#REF!&lt;=200,"Medium Usage", IF(#REF!&lt;=250,"High Usage","Very High Usage")))</f>
        <v>#REF!</v>
      </c>
      <c r="AE3360" t="e">
        <f>IF(#REF!&lt;=5,"Low Calls", IF(#REF!&lt;=10, "Medium Calls", "High Calls"))</f>
        <v>#REF!</v>
      </c>
      <c r="AF3360" t="e">
        <f xml:space="preserve">
IF(#REF!&gt;=4,4,0)+
IF(#REF!="yes",3,0)+
IF(#REF!="High Charges",3,0)+
IF(#REF!&gt;250,4,0)+
IF(#REF!="no",1,0)+
IF(#REF!="Heavy Domestic User",2,0)</f>
        <v>#REF!</v>
      </c>
      <c r="AG3360" t="e">
        <f>IF(#REF!&gt;=10,"High Risk", IF(#REF!&gt;=5,"Medium Risk","Low Risk"))</f>
        <v>#REF!</v>
      </c>
      <c r="AH3360" t="e">
        <f>#REF! + #REF! + #REF! + #REF!</f>
        <v>#REF!</v>
      </c>
    </row>
    <row r="3361" spans="1:34" x14ac:dyDescent="0.35">
      <c r="A3361">
        <v>3360</v>
      </c>
      <c r="B3361" t="s">
        <v>33</v>
      </c>
      <c r="C3361">
        <v>101</v>
      </c>
      <c r="D3361" t="s">
        <v>25</v>
      </c>
      <c r="E3361" t="s">
        <v>23</v>
      </c>
      <c r="F3361" t="s">
        <v>23</v>
      </c>
      <c r="G3361">
        <v>35</v>
      </c>
      <c r="H3361">
        <v>181</v>
      </c>
      <c r="I3361">
        <v>88</v>
      </c>
      <c r="J3361">
        <v>30.77</v>
      </c>
      <c r="K3361">
        <v>222.5</v>
      </c>
      <c r="L3361">
        <v>113</v>
      </c>
      <c r="M3361">
        <v>18.91</v>
      </c>
      <c r="N3361">
        <v>217.8</v>
      </c>
      <c r="O3361">
        <v>103</v>
      </c>
      <c r="P3361">
        <v>9.8000000000000007</v>
      </c>
      <c r="Q3361">
        <v>11.1</v>
      </c>
      <c r="R3361">
        <v>3</v>
      </c>
      <c r="S3361">
        <v>3</v>
      </c>
      <c r="T3361">
        <v>1</v>
      </c>
      <c r="U3361" t="s">
        <v>22</v>
      </c>
      <c r="V3361" t="e">
        <f>IF(#REF! = "yes", 1, 0)</f>
        <v>#REF!</v>
      </c>
      <c r="W3361" t="e">
        <f>IF(#REF! &lt;= 1, "0-1 Calls", IF(#REF! &lt;= 3, "2-3 Calls", IF(#REF! &lt;=5, "4-5 Calls", "6+ Calls")))</f>
        <v>#REF!</v>
      </c>
      <c r="X3361" t="e">
        <f>IF(#REF! &lt;= 50, "0-50", IF(#REF! &lt;=100, "51-100", IF(#REF! &lt;= 150, "101-150", "151+")))</f>
        <v>#REF!</v>
      </c>
      <c r="Y3361" t="e">
        <f>IF(#REF! &lt;= 3, "Low Charges", "High Charges")</f>
        <v>#REF!</v>
      </c>
      <c r="Z3361" t="e">
        <f>IF(#REF!&lt;=80,"Low Calls",
IF(#REF!&lt;=120,"Medium Calls","High Calls"))</f>
        <v>#REF!</v>
      </c>
      <c r="AA3361" t="e">
        <f>IF(#REF!&lt;=15,"Low Charges",
IF(#REF!&lt;=20,"Medium Charges","High Charges"))</f>
        <v>#REF!</v>
      </c>
      <c r="AB3361" t="e">
        <f>IF(AND(#REF!&gt;180, #REF!&gt;200), "Heavy Doemstic User", IF(#REF!&gt;10, "Interntional User", IF(AND(#REF!&lt;180, #REF!&lt;200,#REF!&lt;200), "Light User", "Balanced User")))</f>
        <v>#REF!</v>
      </c>
      <c r="AC3361" t="e">
        <f>IF(#REF! = 0, "No Usage", IF(#REF! &lt;= 20, "Low Usage", IF(#REF! &lt;= 40, "Medium Usgae", "High Usage")))</f>
        <v>#REF!</v>
      </c>
      <c r="AD3361" t="e">
        <f>IF(#REF!&lt;=150,"Low Usage", IF(#REF!&lt;=200,"Medium Usage", IF(#REF!&lt;=250,"High Usage","Very High Usage")))</f>
        <v>#REF!</v>
      </c>
      <c r="AE3361" t="e">
        <f>IF(#REF!&lt;=5,"Low Calls", IF(#REF!&lt;=10, "Medium Calls", "High Calls"))</f>
        <v>#REF!</v>
      </c>
      <c r="AF3361" t="e">
        <f xml:space="preserve">
IF(#REF!&gt;=4,4,0)+
IF(#REF!="yes",3,0)+
IF(#REF!="High Charges",3,0)+
IF(#REF!&gt;250,4,0)+
IF(#REF!="no",1,0)+
IF(#REF!="Heavy Domestic User",2,0)</f>
        <v>#REF!</v>
      </c>
      <c r="AG3361" t="e">
        <f>IF(#REF!&gt;=10,"High Risk", IF(#REF!&gt;=5,"Medium Risk","Low Risk"))</f>
        <v>#REF!</v>
      </c>
      <c r="AH3361" t="e">
        <f>#REF! + #REF! + #REF! + #REF!</f>
        <v>#REF!</v>
      </c>
    </row>
    <row r="3362" spans="1:34" x14ac:dyDescent="0.35">
      <c r="A3362">
        <v>3361</v>
      </c>
      <c r="B3362" t="s">
        <v>56</v>
      </c>
      <c r="C3362">
        <v>142</v>
      </c>
      <c r="D3362" t="s">
        <v>21</v>
      </c>
      <c r="E3362" t="s">
        <v>22</v>
      </c>
      <c r="F3362" t="s">
        <v>22</v>
      </c>
      <c r="G3362">
        <v>0</v>
      </c>
      <c r="H3362">
        <v>108.1</v>
      </c>
      <c r="I3362">
        <v>81</v>
      </c>
      <c r="J3362">
        <v>18.38</v>
      </c>
      <c r="K3362">
        <v>146.9</v>
      </c>
      <c r="L3362">
        <v>115</v>
      </c>
      <c r="M3362">
        <v>12.49</v>
      </c>
      <c r="N3362">
        <v>197.6</v>
      </c>
      <c r="O3362">
        <v>84</v>
      </c>
      <c r="P3362">
        <v>8.89</v>
      </c>
      <c r="Q3362">
        <v>9</v>
      </c>
      <c r="R3362">
        <v>7</v>
      </c>
      <c r="S3362">
        <v>2.4300000000000002</v>
      </c>
      <c r="T3362">
        <v>1</v>
      </c>
      <c r="U3362" t="s">
        <v>22</v>
      </c>
      <c r="V3362" t="e">
        <f>IF(#REF! = "yes", 1, 0)</f>
        <v>#REF!</v>
      </c>
      <c r="W3362" t="e">
        <f>IF(#REF! &lt;= 1, "0-1 Calls", IF(#REF! &lt;= 3, "2-3 Calls", IF(#REF! &lt;=5, "4-5 Calls", "6+ Calls")))</f>
        <v>#REF!</v>
      </c>
      <c r="X3362" t="e">
        <f>IF(#REF! &lt;= 50, "0-50", IF(#REF! &lt;=100, "51-100", IF(#REF! &lt;= 150, "101-150", "151+")))</f>
        <v>#REF!</v>
      </c>
      <c r="Y3362" t="e">
        <f>IF(#REF! &lt;= 3, "Low Charges", "High Charges")</f>
        <v>#REF!</v>
      </c>
      <c r="Z3362" t="e">
        <f>IF(#REF!&lt;=80,"Low Calls",
IF(#REF!&lt;=120,"Medium Calls","High Calls"))</f>
        <v>#REF!</v>
      </c>
      <c r="AA3362" t="e">
        <f>IF(#REF!&lt;=15,"Low Charges",
IF(#REF!&lt;=20,"Medium Charges","High Charges"))</f>
        <v>#REF!</v>
      </c>
      <c r="AB3362" t="e">
        <f>IF(AND(#REF!&gt;180, #REF!&gt;200), "Heavy Doemstic User", IF(#REF!&gt;10, "Interntional User", IF(AND(#REF!&lt;180, #REF!&lt;200,#REF!&lt;200), "Light User", "Balanced User")))</f>
        <v>#REF!</v>
      </c>
      <c r="AC3362" t="e">
        <f>IF(#REF! = 0, "No Usage", IF(#REF! &lt;= 20, "Low Usage", IF(#REF! &lt;= 40, "Medium Usgae", "High Usage")))</f>
        <v>#REF!</v>
      </c>
      <c r="AD3362" t="e">
        <f>IF(#REF!&lt;=150,"Low Usage", IF(#REF!&lt;=200,"Medium Usage", IF(#REF!&lt;=250,"High Usage","Very High Usage")))</f>
        <v>#REF!</v>
      </c>
      <c r="AE3362" t="e">
        <f>IF(#REF!&lt;=5,"Low Calls", IF(#REF!&lt;=10, "Medium Calls", "High Calls"))</f>
        <v>#REF!</v>
      </c>
      <c r="AF3362" t="e">
        <f xml:space="preserve">
IF(#REF!&gt;=4,4,0)+
IF(#REF!="yes",3,0)+
IF(#REF!="High Charges",3,0)+
IF(#REF!&gt;250,4,0)+
IF(#REF!="no",1,0)+
IF(#REF!="Heavy Domestic User",2,0)</f>
        <v>#REF!</v>
      </c>
      <c r="AG3362" t="e">
        <f>IF(#REF!&gt;=10,"High Risk", IF(#REF!&gt;=5,"Medium Risk","Low Risk"))</f>
        <v>#REF!</v>
      </c>
      <c r="AH3362" t="e">
        <f>#REF! + #REF! + #REF! + #REF!</f>
        <v>#REF!</v>
      </c>
    </row>
    <row r="3363" spans="1:34" x14ac:dyDescent="0.35">
      <c r="A3363">
        <v>3362</v>
      </c>
      <c r="B3363" t="s">
        <v>73</v>
      </c>
      <c r="C3363">
        <v>61</v>
      </c>
      <c r="D3363" t="s">
        <v>21</v>
      </c>
      <c r="E3363" t="s">
        <v>22</v>
      </c>
      <c r="F3363" t="s">
        <v>23</v>
      </c>
      <c r="G3363">
        <v>31</v>
      </c>
      <c r="H3363">
        <v>252.1</v>
      </c>
      <c r="I3363">
        <v>98</v>
      </c>
      <c r="J3363">
        <v>42.86</v>
      </c>
      <c r="K3363">
        <v>215.7</v>
      </c>
      <c r="L3363">
        <v>149</v>
      </c>
      <c r="M3363">
        <v>18.329999999999998</v>
      </c>
      <c r="N3363">
        <v>135.69999999999999</v>
      </c>
      <c r="O3363">
        <v>117</v>
      </c>
      <c r="P3363">
        <v>6.11</v>
      </c>
      <c r="Q3363">
        <v>5.0999999999999996</v>
      </c>
      <c r="R3363">
        <v>4</v>
      </c>
      <c r="S3363">
        <v>1.38</v>
      </c>
      <c r="T3363">
        <v>2</v>
      </c>
      <c r="U3363" t="s">
        <v>22</v>
      </c>
      <c r="V3363" t="e">
        <f>IF(#REF! = "yes", 1, 0)</f>
        <v>#REF!</v>
      </c>
      <c r="W3363" t="e">
        <f>IF(#REF! &lt;= 1, "0-1 Calls", IF(#REF! &lt;= 3, "2-3 Calls", IF(#REF! &lt;=5, "4-5 Calls", "6+ Calls")))</f>
        <v>#REF!</v>
      </c>
      <c r="X3363" t="e">
        <f>IF(#REF! &lt;= 50, "0-50", IF(#REF! &lt;=100, "51-100", IF(#REF! &lt;= 150, "101-150", "151+")))</f>
        <v>#REF!</v>
      </c>
      <c r="Y3363" t="e">
        <f>IF(#REF! &lt;= 3, "Low Charges", "High Charges")</f>
        <v>#REF!</v>
      </c>
      <c r="Z3363" t="e">
        <f>IF(#REF!&lt;=80,"Low Calls",
IF(#REF!&lt;=120,"Medium Calls","High Calls"))</f>
        <v>#REF!</v>
      </c>
      <c r="AA3363" t="e">
        <f>IF(#REF!&lt;=15,"Low Charges",
IF(#REF!&lt;=20,"Medium Charges","High Charges"))</f>
        <v>#REF!</v>
      </c>
      <c r="AB3363" t="e">
        <f>IF(AND(#REF!&gt;180, #REF!&gt;200), "Heavy Doemstic User", IF(#REF!&gt;10, "Interntional User", IF(AND(#REF!&lt;180, #REF!&lt;200,#REF!&lt;200), "Light User", "Balanced User")))</f>
        <v>#REF!</v>
      </c>
      <c r="AC3363" t="e">
        <f>IF(#REF! = 0, "No Usage", IF(#REF! &lt;= 20, "Low Usage", IF(#REF! &lt;= 40, "Medium Usgae", "High Usage")))</f>
        <v>#REF!</v>
      </c>
      <c r="AD3363" t="e">
        <f>IF(#REF!&lt;=150,"Low Usage", IF(#REF!&lt;=200,"Medium Usage", IF(#REF!&lt;=250,"High Usage","Very High Usage")))</f>
        <v>#REF!</v>
      </c>
      <c r="AE3363" t="e">
        <f>IF(#REF!&lt;=5,"Low Calls", IF(#REF!&lt;=10, "Medium Calls", "High Calls"))</f>
        <v>#REF!</v>
      </c>
      <c r="AF3363" t="e">
        <f xml:space="preserve">
IF(#REF!&gt;=4,4,0)+
IF(#REF!="yes",3,0)+
IF(#REF!="High Charges",3,0)+
IF(#REF!&gt;250,4,0)+
IF(#REF!="no",1,0)+
IF(#REF!="Heavy Domestic User",2,0)</f>
        <v>#REF!</v>
      </c>
      <c r="AG3363" t="e">
        <f>IF(#REF!&gt;=10,"High Risk", IF(#REF!&gt;=5,"Medium Risk","Low Risk"))</f>
        <v>#REF!</v>
      </c>
      <c r="AH3363" t="e">
        <f>#REF! + #REF! + #REF! + #REF!</f>
        <v>#REF!</v>
      </c>
    </row>
    <row r="3364" spans="1:34" x14ac:dyDescent="0.35">
      <c r="A3364">
        <v>3363</v>
      </c>
      <c r="B3364" t="s">
        <v>27</v>
      </c>
      <c r="C3364">
        <v>50</v>
      </c>
      <c r="D3364" t="s">
        <v>28</v>
      </c>
      <c r="E3364" t="s">
        <v>22</v>
      </c>
      <c r="F3364" t="s">
        <v>22</v>
      </c>
      <c r="G3364">
        <v>0</v>
      </c>
      <c r="H3364">
        <v>160.1</v>
      </c>
      <c r="I3364">
        <v>64</v>
      </c>
      <c r="J3364">
        <v>27.22</v>
      </c>
      <c r="K3364">
        <v>208.7</v>
      </c>
      <c r="L3364">
        <v>123</v>
      </c>
      <c r="M3364">
        <v>17.739999999999998</v>
      </c>
      <c r="N3364">
        <v>199.7</v>
      </c>
      <c r="O3364">
        <v>84</v>
      </c>
      <c r="P3364">
        <v>8.99</v>
      </c>
      <c r="Q3364">
        <v>7.6</v>
      </c>
      <c r="R3364">
        <v>12</v>
      </c>
      <c r="S3364">
        <v>2.0499999999999998</v>
      </c>
      <c r="T3364">
        <v>5</v>
      </c>
      <c r="U3364" t="s">
        <v>23</v>
      </c>
      <c r="V3364" t="e">
        <f>IF(#REF! = "yes", 1, 0)</f>
        <v>#REF!</v>
      </c>
      <c r="W3364" t="e">
        <f>IF(#REF! &lt;= 1, "0-1 Calls", IF(#REF! &lt;= 3, "2-3 Calls", IF(#REF! &lt;=5, "4-5 Calls", "6+ Calls")))</f>
        <v>#REF!</v>
      </c>
      <c r="X3364" t="e">
        <f>IF(#REF! &lt;= 50, "0-50", IF(#REF! &lt;=100, "51-100", IF(#REF! &lt;= 150, "101-150", "151+")))</f>
        <v>#REF!</v>
      </c>
      <c r="Y3364" t="e">
        <f>IF(#REF! &lt;= 3, "Low Charges", "High Charges")</f>
        <v>#REF!</v>
      </c>
      <c r="Z3364" t="e">
        <f>IF(#REF!&lt;=80,"Low Calls",
IF(#REF!&lt;=120,"Medium Calls","High Calls"))</f>
        <v>#REF!</v>
      </c>
      <c r="AA3364" t="e">
        <f>IF(#REF!&lt;=15,"Low Charges",
IF(#REF!&lt;=20,"Medium Charges","High Charges"))</f>
        <v>#REF!</v>
      </c>
      <c r="AB3364" t="e">
        <f>IF(AND(#REF!&gt;180, #REF!&gt;200), "Heavy Doemstic User", IF(#REF!&gt;10, "Interntional User", IF(AND(#REF!&lt;180, #REF!&lt;200,#REF!&lt;200), "Light User", "Balanced User")))</f>
        <v>#REF!</v>
      </c>
      <c r="AC3364" t="e">
        <f>IF(#REF! = 0, "No Usage", IF(#REF! &lt;= 20, "Low Usage", IF(#REF! &lt;= 40, "Medium Usgae", "High Usage")))</f>
        <v>#REF!</v>
      </c>
      <c r="AD3364" t="e">
        <f>IF(#REF!&lt;=150,"Low Usage", IF(#REF!&lt;=200,"Medium Usage", IF(#REF!&lt;=250,"High Usage","Very High Usage")))</f>
        <v>#REF!</v>
      </c>
      <c r="AE3364" t="e">
        <f>IF(#REF!&lt;=5,"Low Calls", IF(#REF!&lt;=10, "Medium Calls", "High Calls"))</f>
        <v>#REF!</v>
      </c>
      <c r="AF3364" t="e">
        <f xml:space="preserve">
IF(#REF!&gt;=4,4,0)+
IF(#REF!="yes",3,0)+
IF(#REF!="High Charges",3,0)+
IF(#REF!&gt;250,4,0)+
IF(#REF!="no",1,0)+
IF(#REF!="Heavy Domestic User",2,0)</f>
        <v>#REF!</v>
      </c>
      <c r="AG3364" t="e">
        <f>IF(#REF!&gt;=10,"High Risk", IF(#REF!&gt;=5,"Medium Risk","Low Risk"))</f>
        <v>#REF!</v>
      </c>
      <c r="AH3364" t="e">
        <f>#REF! + #REF! + #REF! + #REF!</f>
        <v>#REF!</v>
      </c>
    </row>
    <row r="3365" spans="1:34" x14ac:dyDescent="0.35">
      <c r="A3365">
        <v>3364</v>
      </c>
      <c r="B3365" t="s">
        <v>51</v>
      </c>
      <c r="C3365">
        <v>82</v>
      </c>
      <c r="D3365" t="s">
        <v>25</v>
      </c>
      <c r="E3365" t="s">
        <v>22</v>
      </c>
      <c r="F3365" t="s">
        <v>22</v>
      </c>
      <c r="G3365">
        <v>0</v>
      </c>
      <c r="H3365">
        <v>217.6</v>
      </c>
      <c r="I3365">
        <v>82</v>
      </c>
      <c r="J3365">
        <v>36.99</v>
      </c>
      <c r="K3365">
        <v>169.4</v>
      </c>
      <c r="L3365">
        <v>101</v>
      </c>
      <c r="M3365">
        <v>14.4</v>
      </c>
      <c r="N3365">
        <v>248.9</v>
      </c>
      <c r="O3365">
        <v>124</v>
      </c>
      <c r="P3365">
        <v>11.2</v>
      </c>
      <c r="Q3365">
        <v>12.7</v>
      </c>
      <c r="R3365">
        <v>3</v>
      </c>
      <c r="S3365">
        <v>3.43</v>
      </c>
      <c r="T3365">
        <v>0</v>
      </c>
      <c r="U3365" t="s">
        <v>22</v>
      </c>
      <c r="V3365" t="e">
        <f>IF(#REF! = "yes", 1, 0)</f>
        <v>#REF!</v>
      </c>
      <c r="W3365" t="e">
        <f>IF(#REF! &lt;= 1, "0-1 Calls", IF(#REF! &lt;= 3, "2-3 Calls", IF(#REF! &lt;=5, "4-5 Calls", "6+ Calls")))</f>
        <v>#REF!</v>
      </c>
      <c r="X3365" t="e">
        <f>IF(#REF! &lt;= 50, "0-50", IF(#REF! &lt;=100, "51-100", IF(#REF! &lt;= 150, "101-150", "151+")))</f>
        <v>#REF!</v>
      </c>
      <c r="Y3365" t="e">
        <f>IF(#REF! &lt;= 3, "Low Charges", "High Charges")</f>
        <v>#REF!</v>
      </c>
      <c r="Z3365" t="e">
        <f>IF(#REF!&lt;=80,"Low Calls",
IF(#REF!&lt;=120,"Medium Calls","High Calls"))</f>
        <v>#REF!</v>
      </c>
      <c r="AA3365" t="e">
        <f>IF(#REF!&lt;=15,"Low Charges",
IF(#REF!&lt;=20,"Medium Charges","High Charges"))</f>
        <v>#REF!</v>
      </c>
      <c r="AB3365" t="e">
        <f>IF(AND(#REF!&gt;180, #REF!&gt;200), "Heavy Doemstic User", IF(#REF!&gt;10, "Interntional User", IF(AND(#REF!&lt;180, #REF!&lt;200,#REF!&lt;200), "Light User", "Balanced User")))</f>
        <v>#REF!</v>
      </c>
      <c r="AC3365" t="e">
        <f>IF(#REF! = 0, "No Usage", IF(#REF! &lt;= 20, "Low Usage", IF(#REF! &lt;= 40, "Medium Usgae", "High Usage")))</f>
        <v>#REF!</v>
      </c>
      <c r="AD3365" t="e">
        <f>IF(#REF!&lt;=150,"Low Usage", IF(#REF!&lt;=200,"Medium Usage", IF(#REF!&lt;=250,"High Usage","Very High Usage")))</f>
        <v>#REF!</v>
      </c>
      <c r="AE3365" t="e">
        <f>IF(#REF!&lt;=5,"Low Calls", IF(#REF!&lt;=10, "Medium Calls", "High Calls"))</f>
        <v>#REF!</v>
      </c>
      <c r="AF3365" t="e">
        <f xml:space="preserve">
IF(#REF!&gt;=4,4,0)+
IF(#REF!="yes",3,0)+
IF(#REF!="High Charges",3,0)+
IF(#REF!&gt;250,4,0)+
IF(#REF!="no",1,0)+
IF(#REF!="Heavy Domestic User",2,0)</f>
        <v>#REF!</v>
      </c>
      <c r="AG3365" t="e">
        <f>IF(#REF!&gt;=10,"High Risk", IF(#REF!&gt;=5,"Medium Risk","Low Risk"))</f>
        <v>#REF!</v>
      </c>
      <c r="AH3365" t="e">
        <f>#REF! + #REF! + #REF! + #REF!</f>
        <v>#REF!</v>
      </c>
    </row>
    <row r="3366" spans="1:34" x14ac:dyDescent="0.35">
      <c r="A3366">
        <v>3365</v>
      </c>
      <c r="B3366" t="s">
        <v>35</v>
      </c>
      <c r="C3366">
        <v>142</v>
      </c>
      <c r="D3366" t="s">
        <v>21</v>
      </c>
      <c r="E3366" t="s">
        <v>22</v>
      </c>
      <c r="F3366" t="s">
        <v>23</v>
      </c>
      <c r="G3366">
        <v>22</v>
      </c>
      <c r="H3366">
        <v>198.3</v>
      </c>
      <c r="I3366">
        <v>144</v>
      </c>
      <c r="J3366">
        <v>33.71</v>
      </c>
      <c r="K3366">
        <v>157.19999999999999</v>
      </c>
      <c r="L3366">
        <v>96</v>
      </c>
      <c r="M3366">
        <v>13.36</v>
      </c>
      <c r="N3366">
        <v>180.9</v>
      </c>
      <c r="O3366">
        <v>114</v>
      </c>
      <c r="P3366">
        <v>8.14</v>
      </c>
      <c r="Q3366">
        <v>11.1</v>
      </c>
      <c r="R3366">
        <v>4</v>
      </c>
      <c r="S3366">
        <v>3</v>
      </c>
      <c r="T3366">
        <v>2</v>
      </c>
      <c r="U3366" t="s">
        <v>22</v>
      </c>
      <c r="V3366" t="e">
        <f>IF(#REF! = "yes", 1, 0)</f>
        <v>#REF!</v>
      </c>
      <c r="W3366" t="e">
        <f>IF(#REF! &lt;= 1, "0-1 Calls", IF(#REF! &lt;= 3, "2-3 Calls", IF(#REF! &lt;=5, "4-5 Calls", "6+ Calls")))</f>
        <v>#REF!</v>
      </c>
      <c r="X3366" t="e">
        <f>IF(#REF! &lt;= 50, "0-50", IF(#REF! &lt;=100, "51-100", IF(#REF! &lt;= 150, "101-150", "151+")))</f>
        <v>#REF!</v>
      </c>
      <c r="Y3366" t="e">
        <f>IF(#REF! &lt;= 3, "Low Charges", "High Charges")</f>
        <v>#REF!</v>
      </c>
      <c r="Z3366" t="e">
        <f>IF(#REF!&lt;=80,"Low Calls",
IF(#REF!&lt;=120,"Medium Calls","High Calls"))</f>
        <v>#REF!</v>
      </c>
      <c r="AA3366" t="e">
        <f>IF(#REF!&lt;=15,"Low Charges",
IF(#REF!&lt;=20,"Medium Charges","High Charges"))</f>
        <v>#REF!</v>
      </c>
      <c r="AB3366" t="e">
        <f>IF(AND(#REF!&gt;180, #REF!&gt;200), "Heavy Doemstic User", IF(#REF!&gt;10, "Interntional User", IF(AND(#REF!&lt;180, #REF!&lt;200,#REF!&lt;200), "Light User", "Balanced User")))</f>
        <v>#REF!</v>
      </c>
      <c r="AC3366" t="e">
        <f>IF(#REF! = 0, "No Usage", IF(#REF! &lt;= 20, "Low Usage", IF(#REF! &lt;= 40, "Medium Usgae", "High Usage")))</f>
        <v>#REF!</v>
      </c>
      <c r="AD3366" t="e">
        <f>IF(#REF!&lt;=150,"Low Usage", IF(#REF!&lt;=200,"Medium Usage", IF(#REF!&lt;=250,"High Usage","Very High Usage")))</f>
        <v>#REF!</v>
      </c>
      <c r="AE3366" t="e">
        <f>IF(#REF!&lt;=5,"Low Calls", IF(#REF!&lt;=10, "Medium Calls", "High Calls"))</f>
        <v>#REF!</v>
      </c>
      <c r="AF3366" t="e">
        <f xml:space="preserve">
IF(#REF!&gt;=4,4,0)+
IF(#REF!="yes",3,0)+
IF(#REF!="High Charges",3,0)+
IF(#REF!&gt;250,4,0)+
IF(#REF!="no",1,0)+
IF(#REF!="Heavy Domestic User",2,0)</f>
        <v>#REF!</v>
      </c>
      <c r="AG3366" t="e">
        <f>IF(#REF!&gt;=10,"High Risk", IF(#REF!&gt;=5,"Medium Risk","Low Risk"))</f>
        <v>#REF!</v>
      </c>
      <c r="AH3366" t="e">
        <f>#REF! + #REF! + #REF! + #REF!</f>
        <v>#REF!</v>
      </c>
    </row>
    <row r="3367" spans="1:34" x14ac:dyDescent="0.35">
      <c r="A3367">
        <v>3366</v>
      </c>
      <c r="B3367" t="s">
        <v>48</v>
      </c>
      <c r="C3367">
        <v>27</v>
      </c>
      <c r="D3367" t="s">
        <v>21</v>
      </c>
      <c r="E3367" t="s">
        <v>22</v>
      </c>
      <c r="F3367" t="s">
        <v>23</v>
      </c>
      <c r="G3367">
        <v>32</v>
      </c>
      <c r="H3367">
        <v>190.3</v>
      </c>
      <c r="I3367">
        <v>97</v>
      </c>
      <c r="J3367">
        <v>32.35</v>
      </c>
      <c r="K3367">
        <v>279</v>
      </c>
      <c r="L3367">
        <v>77</v>
      </c>
      <c r="M3367">
        <v>23.72</v>
      </c>
      <c r="N3367">
        <v>133.80000000000001</v>
      </c>
      <c r="O3367">
        <v>117</v>
      </c>
      <c r="P3367">
        <v>6.02</v>
      </c>
      <c r="Q3367">
        <v>8.4</v>
      </c>
      <c r="R3367">
        <v>3</v>
      </c>
      <c r="S3367">
        <v>2.27</v>
      </c>
      <c r="T3367">
        <v>2</v>
      </c>
      <c r="U3367" t="s">
        <v>22</v>
      </c>
      <c r="V3367" t="e">
        <f>IF(#REF! = "yes", 1, 0)</f>
        <v>#REF!</v>
      </c>
      <c r="W3367" t="e">
        <f>IF(#REF! &lt;= 1, "0-1 Calls", IF(#REF! &lt;= 3, "2-3 Calls", IF(#REF! &lt;=5, "4-5 Calls", "6+ Calls")))</f>
        <v>#REF!</v>
      </c>
      <c r="X3367" t="e">
        <f>IF(#REF! &lt;= 50, "0-50", IF(#REF! &lt;=100, "51-100", IF(#REF! &lt;= 150, "101-150", "151+")))</f>
        <v>#REF!</v>
      </c>
      <c r="Y3367" t="e">
        <f>IF(#REF! &lt;= 3, "Low Charges", "High Charges")</f>
        <v>#REF!</v>
      </c>
      <c r="Z3367" t="e">
        <f>IF(#REF!&lt;=80,"Low Calls",
IF(#REF!&lt;=120,"Medium Calls","High Calls"))</f>
        <v>#REF!</v>
      </c>
      <c r="AA3367" t="e">
        <f>IF(#REF!&lt;=15,"Low Charges",
IF(#REF!&lt;=20,"Medium Charges","High Charges"))</f>
        <v>#REF!</v>
      </c>
      <c r="AB3367" t="e">
        <f>IF(AND(#REF!&gt;180, #REF!&gt;200), "Heavy Doemstic User", IF(#REF!&gt;10, "Interntional User", IF(AND(#REF!&lt;180, #REF!&lt;200,#REF!&lt;200), "Light User", "Balanced User")))</f>
        <v>#REF!</v>
      </c>
      <c r="AC3367" t="e">
        <f>IF(#REF! = 0, "No Usage", IF(#REF! &lt;= 20, "Low Usage", IF(#REF! &lt;= 40, "Medium Usgae", "High Usage")))</f>
        <v>#REF!</v>
      </c>
      <c r="AD3367" t="e">
        <f>IF(#REF!&lt;=150,"Low Usage", IF(#REF!&lt;=200,"Medium Usage", IF(#REF!&lt;=250,"High Usage","Very High Usage")))</f>
        <v>#REF!</v>
      </c>
      <c r="AE3367" t="e">
        <f>IF(#REF!&lt;=5,"Low Calls", IF(#REF!&lt;=10, "Medium Calls", "High Calls"))</f>
        <v>#REF!</v>
      </c>
      <c r="AF3367" t="e">
        <f xml:space="preserve">
IF(#REF!&gt;=4,4,0)+
IF(#REF!="yes",3,0)+
IF(#REF!="High Charges",3,0)+
IF(#REF!&gt;250,4,0)+
IF(#REF!="no",1,0)+
IF(#REF!="Heavy Domestic User",2,0)</f>
        <v>#REF!</v>
      </c>
      <c r="AG3367" t="e">
        <f>IF(#REF!&gt;=10,"High Risk", IF(#REF!&gt;=5,"Medium Risk","Low Risk"))</f>
        <v>#REF!</v>
      </c>
      <c r="AH3367" t="e">
        <f>#REF! + #REF! + #REF! + #REF!</f>
        <v>#REF!</v>
      </c>
    </row>
    <row r="3368" spans="1:34" x14ac:dyDescent="0.35">
      <c r="A3368">
        <v>3367</v>
      </c>
      <c r="B3368" t="s">
        <v>42</v>
      </c>
      <c r="C3368">
        <v>165</v>
      </c>
      <c r="D3368" t="s">
        <v>25</v>
      </c>
      <c r="E3368" t="s">
        <v>22</v>
      </c>
      <c r="F3368" t="s">
        <v>23</v>
      </c>
      <c r="G3368">
        <v>23</v>
      </c>
      <c r="H3368">
        <v>184.7</v>
      </c>
      <c r="I3368">
        <v>63</v>
      </c>
      <c r="J3368">
        <v>31.4</v>
      </c>
      <c r="K3368">
        <v>168</v>
      </c>
      <c r="L3368">
        <v>62</v>
      </c>
      <c r="M3368">
        <v>14.28</v>
      </c>
      <c r="N3368">
        <v>176.1</v>
      </c>
      <c r="O3368">
        <v>125</v>
      </c>
      <c r="P3368">
        <v>7.92</v>
      </c>
      <c r="Q3368">
        <v>8.6999999999999993</v>
      </c>
      <c r="R3368">
        <v>5</v>
      </c>
      <c r="S3368">
        <v>2.35</v>
      </c>
      <c r="T3368">
        <v>1</v>
      </c>
      <c r="U3368" t="s">
        <v>22</v>
      </c>
      <c r="V3368" t="e">
        <f>IF(#REF! = "yes", 1, 0)</f>
        <v>#REF!</v>
      </c>
      <c r="W3368" t="e">
        <f>IF(#REF! &lt;= 1, "0-1 Calls", IF(#REF! &lt;= 3, "2-3 Calls", IF(#REF! &lt;=5, "4-5 Calls", "6+ Calls")))</f>
        <v>#REF!</v>
      </c>
      <c r="X3368" t="e">
        <f>IF(#REF! &lt;= 50, "0-50", IF(#REF! &lt;=100, "51-100", IF(#REF! &lt;= 150, "101-150", "151+")))</f>
        <v>#REF!</v>
      </c>
      <c r="Y3368" t="e">
        <f>IF(#REF! &lt;= 3, "Low Charges", "High Charges")</f>
        <v>#REF!</v>
      </c>
      <c r="Z3368" t="e">
        <f>IF(#REF!&lt;=80,"Low Calls",
IF(#REF!&lt;=120,"Medium Calls","High Calls"))</f>
        <v>#REF!</v>
      </c>
      <c r="AA3368" t="e">
        <f>IF(#REF!&lt;=15,"Low Charges",
IF(#REF!&lt;=20,"Medium Charges","High Charges"))</f>
        <v>#REF!</v>
      </c>
      <c r="AB3368" t="e">
        <f>IF(AND(#REF!&gt;180, #REF!&gt;200), "Heavy Doemstic User", IF(#REF!&gt;10, "Interntional User", IF(AND(#REF!&lt;180, #REF!&lt;200,#REF!&lt;200), "Light User", "Balanced User")))</f>
        <v>#REF!</v>
      </c>
      <c r="AC3368" t="e">
        <f>IF(#REF! = 0, "No Usage", IF(#REF! &lt;= 20, "Low Usage", IF(#REF! &lt;= 40, "Medium Usgae", "High Usage")))</f>
        <v>#REF!</v>
      </c>
      <c r="AD3368" t="e">
        <f>IF(#REF!&lt;=150,"Low Usage", IF(#REF!&lt;=200,"Medium Usage", IF(#REF!&lt;=250,"High Usage","Very High Usage")))</f>
        <v>#REF!</v>
      </c>
      <c r="AE3368" t="e">
        <f>IF(#REF!&lt;=5,"Low Calls", IF(#REF!&lt;=10, "Medium Calls", "High Calls"))</f>
        <v>#REF!</v>
      </c>
      <c r="AF3368" t="e">
        <f xml:space="preserve">
IF(#REF!&gt;=4,4,0)+
IF(#REF!="yes",3,0)+
IF(#REF!="High Charges",3,0)+
IF(#REF!&gt;250,4,0)+
IF(#REF!="no",1,0)+
IF(#REF!="Heavy Domestic User",2,0)</f>
        <v>#REF!</v>
      </c>
      <c r="AG3368" t="e">
        <f>IF(#REF!&gt;=10,"High Risk", IF(#REF!&gt;=5,"Medium Risk","Low Risk"))</f>
        <v>#REF!</v>
      </c>
      <c r="AH3368" t="e">
        <f>#REF! + #REF! + #REF! + #REF!</f>
        <v>#REF!</v>
      </c>
    </row>
    <row r="3369" spans="1:34" x14ac:dyDescent="0.35">
      <c r="A3369">
        <v>3368</v>
      </c>
      <c r="B3369" t="s">
        <v>66</v>
      </c>
      <c r="C3369">
        <v>33</v>
      </c>
      <c r="D3369" t="s">
        <v>28</v>
      </c>
      <c r="E3369" t="s">
        <v>22</v>
      </c>
      <c r="F3369" t="s">
        <v>23</v>
      </c>
      <c r="G3369">
        <v>16</v>
      </c>
      <c r="H3369">
        <v>125.1</v>
      </c>
      <c r="I3369">
        <v>56</v>
      </c>
      <c r="J3369">
        <v>21.27</v>
      </c>
      <c r="K3369">
        <v>246.6</v>
      </c>
      <c r="L3369">
        <v>140</v>
      </c>
      <c r="M3369">
        <v>20.96</v>
      </c>
      <c r="N3369">
        <v>235.4</v>
      </c>
      <c r="O3369">
        <v>109</v>
      </c>
      <c r="P3369">
        <v>10.59</v>
      </c>
      <c r="Q3369">
        <v>12.1</v>
      </c>
      <c r="R3369">
        <v>2</v>
      </c>
      <c r="S3369">
        <v>3.27</v>
      </c>
      <c r="T3369">
        <v>0</v>
      </c>
      <c r="U3369" t="s">
        <v>22</v>
      </c>
      <c r="V3369" t="e">
        <f>IF(#REF! = "yes", 1, 0)</f>
        <v>#REF!</v>
      </c>
      <c r="W3369" t="e">
        <f>IF(#REF! &lt;= 1, "0-1 Calls", IF(#REF! &lt;= 3, "2-3 Calls", IF(#REF! &lt;=5, "4-5 Calls", "6+ Calls")))</f>
        <v>#REF!</v>
      </c>
      <c r="X3369" t="e">
        <f>IF(#REF! &lt;= 50, "0-50", IF(#REF! &lt;=100, "51-100", IF(#REF! &lt;= 150, "101-150", "151+")))</f>
        <v>#REF!</v>
      </c>
      <c r="Y3369" t="e">
        <f>IF(#REF! &lt;= 3, "Low Charges", "High Charges")</f>
        <v>#REF!</v>
      </c>
      <c r="Z3369" t="e">
        <f>IF(#REF!&lt;=80,"Low Calls",
IF(#REF!&lt;=120,"Medium Calls","High Calls"))</f>
        <v>#REF!</v>
      </c>
      <c r="AA3369" t="e">
        <f>IF(#REF!&lt;=15,"Low Charges",
IF(#REF!&lt;=20,"Medium Charges","High Charges"))</f>
        <v>#REF!</v>
      </c>
      <c r="AB3369" t="e">
        <f>IF(AND(#REF!&gt;180, #REF!&gt;200), "Heavy Doemstic User", IF(#REF!&gt;10, "Interntional User", IF(AND(#REF!&lt;180, #REF!&lt;200,#REF!&lt;200), "Light User", "Balanced User")))</f>
        <v>#REF!</v>
      </c>
      <c r="AC3369" t="e">
        <f>IF(#REF! = 0, "No Usage", IF(#REF! &lt;= 20, "Low Usage", IF(#REF! &lt;= 40, "Medium Usgae", "High Usage")))</f>
        <v>#REF!</v>
      </c>
      <c r="AD3369" t="e">
        <f>IF(#REF!&lt;=150,"Low Usage", IF(#REF!&lt;=200,"Medium Usage", IF(#REF!&lt;=250,"High Usage","Very High Usage")))</f>
        <v>#REF!</v>
      </c>
      <c r="AE3369" t="e">
        <f>IF(#REF!&lt;=5,"Low Calls", IF(#REF!&lt;=10, "Medium Calls", "High Calls"))</f>
        <v>#REF!</v>
      </c>
      <c r="AF3369" t="e">
        <f xml:space="preserve">
IF(#REF!&gt;=4,4,0)+
IF(#REF!="yes",3,0)+
IF(#REF!="High Charges",3,0)+
IF(#REF!&gt;250,4,0)+
IF(#REF!="no",1,0)+
IF(#REF!="Heavy Domestic User",2,0)</f>
        <v>#REF!</v>
      </c>
      <c r="AG3369" t="e">
        <f>IF(#REF!&gt;=10,"High Risk", IF(#REF!&gt;=5,"Medium Risk","Low Risk"))</f>
        <v>#REF!</v>
      </c>
      <c r="AH3369" t="e">
        <f>#REF! + #REF! + #REF! + #REF!</f>
        <v>#REF!</v>
      </c>
    </row>
    <row r="3370" spans="1:34" x14ac:dyDescent="0.35">
      <c r="A3370">
        <v>3369</v>
      </c>
      <c r="B3370" t="s">
        <v>66</v>
      </c>
      <c r="C3370">
        <v>55</v>
      </c>
      <c r="D3370" t="s">
        <v>28</v>
      </c>
      <c r="E3370" t="s">
        <v>22</v>
      </c>
      <c r="F3370" t="s">
        <v>22</v>
      </c>
      <c r="G3370">
        <v>0</v>
      </c>
      <c r="H3370">
        <v>181.3</v>
      </c>
      <c r="I3370">
        <v>100</v>
      </c>
      <c r="J3370">
        <v>30.82</v>
      </c>
      <c r="K3370">
        <v>200.5</v>
      </c>
      <c r="L3370">
        <v>122</v>
      </c>
      <c r="M3370">
        <v>17.04</v>
      </c>
      <c r="N3370">
        <v>226.9</v>
      </c>
      <c r="O3370">
        <v>99</v>
      </c>
      <c r="P3370">
        <v>10.210000000000001</v>
      </c>
      <c r="Q3370">
        <v>10.9</v>
      </c>
      <c r="R3370">
        <v>2</v>
      </c>
      <c r="S3370">
        <v>2.94</v>
      </c>
      <c r="T3370">
        <v>1</v>
      </c>
      <c r="U3370" t="s">
        <v>22</v>
      </c>
      <c r="V3370" t="e">
        <f>IF(#REF! = "yes", 1, 0)</f>
        <v>#REF!</v>
      </c>
      <c r="W3370" t="e">
        <f>IF(#REF! &lt;= 1, "0-1 Calls", IF(#REF! &lt;= 3, "2-3 Calls", IF(#REF! &lt;=5, "4-5 Calls", "6+ Calls")))</f>
        <v>#REF!</v>
      </c>
      <c r="X3370" t="e">
        <f>IF(#REF! &lt;= 50, "0-50", IF(#REF! &lt;=100, "51-100", IF(#REF! &lt;= 150, "101-150", "151+")))</f>
        <v>#REF!</v>
      </c>
      <c r="Y3370" t="e">
        <f>IF(#REF! &lt;= 3, "Low Charges", "High Charges")</f>
        <v>#REF!</v>
      </c>
      <c r="Z3370" t="e">
        <f>IF(#REF!&lt;=80,"Low Calls",
IF(#REF!&lt;=120,"Medium Calls","High Calls"))</f>
        <v>#REF!</v>
      </c>
      <c r="AA3370" t="e">
        <f>IF(#REF!&lt;=15,"Low Charges",
IF(#REF!&lt;=20,"Medium Charges","High Charges"))</f>
        <v>#REF!</v>
      </c>
      <c r="AB3370" t="e">
        <f>IF(AND(#REF!&gt;180, #REF!&gt;200), "Heavy Doemstic User", IF(#REF!&gt;10, "Interntional User", IF(AND(#REF!&lt;180, #REF!&lt;200,#REF!&lt;200), "Light User", "Balanced User")))</f>
        <v>#REF!</v>
      </c>
      <c r="AC3370" t="e">
        <f>IF(#REF! = 0, "No Usage", IF(#REF! &lt;= 20, "Low Usage", IF(#REF! &lt;= 40, "Medium Usgae", "High Usage")))</f>
        <v>#REF!</v>
      </c>
      <c r="AD3370" t="e">
        <f>IF(#REF!&lt;=150,"Low Usage", IF(#REF!&lt;=200,"Medium Usage", IF(#REF!&lt;=250,"High Usage","Very High Usage")))</f>
        <v>#REF!</v>
      </c>
      <c r="AE3370" t="e">
        <f>IF(#REF!&lt;=5,"Low Calls", IF(#REF!&lt;=10, "Medium Calls", "High Calls"))</f>
        <v>#REF!</v>
      </c>
      <c r="AF3370" t="e">
        <f xml:space="preserve">
IF(#REF!&gt;=4,4,0)+
IF(#REF!="yes",3,0)+
IF(#REF!="High Charges",3,0)+
IF(#REF!&gt;250,4,0)+
IF(#REF!="no",1,0)+
IF(#REF!="Heavy Domestic User",2,0)</f>
        <v>#REF!</v>
      </c>
      <c r="AG3370" t="e">
        <f>IF(#REF!&gt;=10,"High Risk", IF(#REF!&gt;=5,"Medium Risk","Low Risk"))</f>
        <v>#REF!</v>
      </c>
      <c r="AH3370" t="e">
        <f>#REF! + #REF! + #REF! + #REF!</f>
        <v>#REF!</v>
      </c>
    </row>
    <row r="3371" spans="1:34" x14ac:dyDescent="0.35">
      <c r="A3371">
        <v>3370</v>
      </c>
      <c r="B3371" t="s">
        <v>55</v>
      </c>
      <c r="C3371">
        <v>96</v>
      </c>
      <c r="D3371" t="s">
        <v>28</v>
      </c>
      <c r="E3371" t="s">
        <v>23</v>
      </c>
      <c r="F3371" t="s">
        <v>22</v>
      </c>
      <c r="G3371">
        <v>0</v>
      </c>
      <c r="H3371">
        <v>99.8</v>
      </c>
      <c r="I3371">
        <v>101</v>
      </c>
      <c r="J3371">
        <v>16.97</v>
      </c>
      <c r="K3371">
        <v>253.6</v>
      </c>
      <c r="L3371">
        <v>83</v>
      </c>
      <c r="M3371">
        <v>21.56</v>
      </c>
      <c r="N3371">
        <v>112.5</v>
      </c>
      <c r="O3371">
        <v>75</v>
      </c>
      <c r="P3371">
        <v>5.0599999999999996</v>
      </c>
      <c r="Q3371">
        <v>7.5</v>
      </c>
      <c r="R3371">
        <v>6</v>
      </c>
      <c r="S3371">
        <v>2.0299999999999998</v>
      </c>
      <c r="T3371">
        <v>0</v>
      </c>
      <c r="U3371" t="s">
        <v>22</v>
      </c>
      <c r="V3371" t="e">
        <f>IF(#REF! = "yes", 1, 0)</f>
        <v>#REF!</v>
      </c>
      <c r="W3371" t="e">
        <f>IF(#REF! &lt;= 1, "0-1 Calls", IF(#REF! &lt;= 3, "2-3 Calls", IF(#REF! &lt;=5, "4-5 Calls", "6+ Calls")))</f>
        <v>#REF!</v>
      </c>
      <c r="X3371" t="e">
        <f>IF(#REF! &lt;= 50, "0-50", IF(#REF! &lt;=100, "51-100", IF(#REF! &lt;= 150, "101-150", "151+")))</f>
        <v>#REF!</v>
      </c>
      <c r="Y3371" t="e">
        <f>IF(#REF! &lt;= 3, "Low Charges", "High Charges")</f>
        <v>#REF!</v>
      </c>
      <c r="Z3371" t="e">
        <f>IF(#REF!&lt;=80,"Low Calls",
IF(#REF!&lt;=120,"Medium Calls","High Calls"))</f>
        <v>#REF!</v>
      </c>
      <c r="AA3371" t="e">
        <f>IF(#REF!&lt;=15,"Low Charges",
IF(#REF!&lt;=20,"Medium Charges","High Charges"))</f>
        <v>#REF!</v>
      </c>
      <c r="AB3371" t="e">
        <f>IF(AND(#REF!&gt;180, #REF!&gt;200), "Heavy Doemstic User", IF(#REF!&gt;10, "Interntional User", IF(AND(#REF!&lt;180, #REF!&lt;200,#REF!&lt;200), "Light User", "Balanced User")))</f>
        <v>#REF!</v>
      </c>
      <c r="AC3371" t="e">
        <f>IF(#REF! = 0, "No Usage", IF(#REF! &lt;= 20, "Low Usage", IF(#REF! &lt;= 40, "Medium Usgae", "High Usage")))</f>
        <v>#REF!</v>
      </c>
      <c r="AD3371" t="e">
        <f>IF(#REF!&lt;=150,"Low Usage", IF(#REF!&lt;=200,"Medium Usage", IF(#REF!&lt;=250,"High Usage","Very High Usage")))</f>
        <v>#REF!</v>
      </c>
      <c r="AE3371" t="e">
        <f>IF(#REF!&lt;=5,"Low Calls", IF(#REF!&lt;=10, "Medium Calls", "High Calls"))</f>
        <v>#REF!</v>
      </c>
      <c r="AF3371" t="e">
        <f xml:space="preserve">
IF(#REF!&gt;=4,4,0)+
IF(#REF!="yes",3,0)+
IF(#REF!="High Charges",3,0)+
IF(#REF!&gt;250,4,0)+
IF(#REF!="no",1,0)+
IF(#REF!="Heavy Domestic User",2,0)</f>
        <v>#REF!</v>
      </c>
      <c r="AG3371" t="e">
        <f>IF(#REF!&gt;=10,"High Risk", IF(#REF!&gt;=5,"Medium Risk","Low Risk"))</f>
        <v>#REF!</v>
      </c>
      <c r="AH3371" t="e">
        <f>#REF! + #REF! + #REF! + #REF!</f>
        <v>#REF!</v>
      </c>
    </row>
    <row r="3372" spans="1:34" x14ac:dyDescent="0.35">
      <c r="A3372">
        <v>3371</v>
      </c>
      <c r="B3372" t="s">
        <v>49</v>
      </c>
      <c r="C3372">
        <v>115</v>
      </c>
      <c r="D3372" t="s">
        <v>25</v>
      </c>
      <c r="E3372" t="s">
        <v>22</v>
      </c>
      <c r="F3372" t="s">
        <v>22</v>
      </c>
      <c r="G3372">
        <v>0</v>
      </c>
      <c r="H3372">
        <v>254.8</v>
      </c>
      <c r="I3372">
        <v>97</v>
      </c>
      <c r="J3372">
        <v>43.32</v>
      </c>
      <c r="K3372">
        <v>153.5</v>
      </c>
      <c r="L3372">
        <v>110</v>
      </c>
      <c r="M3372">
        <v>13.05</v>
      </c>
      <c r="N3372">
        <v>217.6</v>
      </c>
      <c r="O3372">
        <v>117</v>
      </c>
      <c r="P3372">
        <v>9.7899999999999991</v>
      </c>
      <c r="Q3372">
        <v>9</v>
      </c>
      <c r="R3372">
        <v>4</v>
      </c>
      <c r="S3372">
        <v>2.4300000000000002</v>
      </c>
      <c r="T3372">
        <v>1</v>
      </c>
      <c r="U3372" t="s">
        <v>22</v>
      </c>
      <c r="V3372" t="e">
        <f>IF(#REF! = "yes", 1, 0)</f>
        <v>#REF!</v>
      </c>
      <c r="W3372" t="e">
        <f>IF(#REF! &lt;= 1, "0-1 Calls", IF(#REF! &lt;= 3, "2-3 Calls", IF(#REF! &lt;=5, "4-5 Calls", "6+ Calls")))</f>
        <v>#REF!</v>
      </c>
      <c r="X3372" t="e">
        <f>IF(#REF! &lt;= 50, "0-50", IF(#REF! &lt;=100, "51-100", IF(#REF! &lt;= 150, "101-150", "151+")))</f>
        <v>#REF!</v>
      </c>
      <c r="Y3372" t="e">
        <f>IF(#REF! &lt;= 3, "Low Charges", "High Charges")</f>
        <v>#REF!</v>
      </c>
      <c r="Z3372" t="e">
        <f>IF(#REF!&lt;=80,"Low Calls",
IF(#REF!&lt;=120,"Medium Calls","High Calls"))</f>
        <v>#REF!</v>
      </c>
      <c r="AA3372" t="e">
        <f>IF(#REF!&lt;=15,"Low Charges",
IF(#REF!&lt;=20,"Medium Charges","High Charges"))</f>
        <v>#REF!</v>
      </c>
      <c r="AB3372" t="e">
        <f>IF(AND(#REF!&gt;180, #REF!&gt;200), "Heavy Doemstic User", IF(#REF!&gt;10, "Interntional User", IF(AND(#REF!&lt;180, #REF!&lt;200,#REF!&lt;200), "Light User", "Balanced User")))</f>
        <v>#REF!</v>
      </c>
      <c r="AC3372" t="e">
        <f>IF(#REF! = 0, "No Usage", IF(#REF! &lt;= 20, "Low Usage", IF(#REF! &lt;= 40, "Medium Usgae", "High Usage")))</f>
        <v>#REF!</v>
      </c>
      <c r="AD3372" t="e">
        <f>IF(#REF!&lt;=150,"Low Usage", IF(#REF!&lt;=200,"Medium Usage", IF(#REF!&lt;=250,"High Usage","Very High Usage")))</f>
        <v>#REF!</v>
      </c>
      <c r="AE3372" t="e">
        <f>IF(#REF!&lt;=5,"Low Calls", IF(#REF!&lt;=10, "Medium Calls", "High Calls"))</f>
        <v>#REF!</v>
      </c>
      <c r="AF3372" t="e">
        <f xml:space="preserve">
IF(#REF!&gt;=4,4,0)+
IF(#REF!="yes",3,0)+
IF(#REF!="High Charges",3,0)+
IF(#REF!&gt;250,4,0)+
IF(#REF!="no",1,0)+
IF(#REF!="Heavy Domestic User",2,0)</f>
        <v>#REF!</v>
      </c>
      <c r="AG3372" t="e">
        <f>IF(#REF!&gt;=10,"High Risk", IF(#REF!&gt;=5,"Medium Risk","Low Risk"))</f>
        <v>#REF!</v>
      </c>
      <c r="AH3372" t="e">
        <f>#REF! + #REF! + #REF! + #REF!</f>
        <v>#REF!</v>
      </c>
    </row>
    <row r="3373" spans="1:34" x14ac:dyDescent="0.35">
      <c r="A3373">
        <v>3372</v>
      </c>
      <c r="B3373" t="s">
        <v>63</v>
      </c>
      <c r="C3373">
        <v>65</v>
      </c>
      <c r="D3373" t="s">
        <v>25</v>
      </c>
      <c r="E3373" t="s">
        <v>22</v>
      </c>
      <c r="F3373" t="s">
        <v>22</v>
      </c>
      <c r="G3373">
        <v>0</v>
      </c>
      <c r="H3373">
        <v>244.5</v>
      </c>
      <c r="I3373">
        <v>72</v>
      </c>
      <c r="J3373">
        <v>41.57</v>
      </c>
      <c r="K3373">
        <v>206.2</v>
      </c>
      <c r="L3373">
        <v>88</v>
      </c>
      <c r="M3373">
        <v>17.53</v>
      </c>
      <c r="N3373">
        <v>299.8</v>
      </c>
      <c r="O3373">
        <v>110</v>
      </c>
      <c r="P3373">
        <v>13.49</v>
      </c>
      <c r="Q3373">
        <v>7.6</v>
      </c>
      <c r="R3373">
        <v>1</v>
      </c>
      <c r="S3373">
        <v>2.0499999999999998</v>
      </c>
      <c r="T3373">
        <v>5</v>
      </c>
      <c r="U3373" t="s">
        <v>23</v>
      </c>
      <c r="V3373" t="e">
        <f>IF(#REF! = "yes", 1, 0)</f>
        <v>#REF!</v>
      </c>
      <c r="W3373" t="e">
        <f>IF(#REF! &lt;= 1, "0-1 Calls", IF(#REF! &lt;= 3, "2-3 Calls", IF(#REF! &lt;=5, "4-5 Calls", "6+ Calls")))</f>
        <v>#REF!</v>
      </c>
      <c r="X3373" t="e">
        <f>IF(#REF! &lt;= 50, "0-50", IF(#REF! &lt;=100, "51-100", IF(#REF! &lt;= 150, "101-150", "151+")))</f>
        <v>#REF!</v>
      </c>
      <c r="Y3373" t="e">
        <f>IF(#REF! &lt;= 3, "Low Charges", "High Charges")</f>
        <v>#REF!</v>
      </c>
      <c r="Z3373" t="e">
        <f>IF(#REF!&lt;=80,"Low Calls",
IF(#REF!&lt;=120,"Medium Calls","High Calls"))</f>
        <v>#REF!</v>
      </c>
      <c r="AA3373" t="e">
        <f>IF(#REF!&lt;=15,"Low Charges",
IF(#REF!&lt;=20,"Medium Charges","High Charges"))</f>
        <v>#REF!</v>
      </c>
      <c r="AB3373" t="e">
        <f>IF(AND(#REF!&gt;180, #REF!&gt;200), "Heavy Doemstic User", IF(#REF!&gt;10, "Interntional User", IF(AND(#REF!&lt;180, #REF!&lt;200,#REF!&lt;200), "Light User", "Balanced User")))</f>
        <v>#REF!</v>
      </c>
      <c r="AC3373" t="e">
        <f>IF(#REF! = 0, "No Usage", IF(#REF! &lt;= 20, "Low Usage", IF(#REF! &lt;= 40, "Medium Usgae", "High Usage")))</f>
        <v>#REF!</v>
      </c>
      <c r="AD3373" t="e">
        <f>IF(#REF!&lt;=150,"Low Usage", IF(#REF!&lt;=200,"Medium Usage", IF(#REF!&lt;=250,"High Usage","Very High Usage")))</f>
        <v>#REF!</v>
      </c>
      <c r="AE3373" t="e">
        <f>IF(#REF!&lt;=5,"Low Calls", IF(#REF!&lt;=10, "Medium Calls", "High Calls"))</f>
        <v>#REF!</v>
      </c>
      <c r="AF3373" t="e">
        <f xml:space="preserve">
IF(#REF!&gt;=4,4,0)+
IF(#REF!="yes",3,0)+
IF(#REF!="High Charges",3,0)+
IF(#REF!&gt;250,4,0)+
IF(#REF!="no",1,0)+
IF(#REF!="Heavy Domestic User",2,0)</f>
        <v>#REF!</v>
      </c>
      <c r="AG3373" t="e">
        <f>IF(#REF!&gt;=10,"High Risk", IF(#REF!&gt;=5,"Medium Risk","Low Risk"))</f>
        <v>#REF!</v>
      </c>
      <c r="AH3373" t="e">
        <f>#REF! + #REF! + #REF! + #REF!</f>
        <v>#REF!</v>
      </c>
    </row>
    <row r="3374" spans="1:34" x14ac:dyDescent="0.35">
      <c r="A3374">
        <v>3373</v>
      </c>
      <c r="B3374" t="s">
        <v>20</v>
      </c>
      <c r="C3374">
        <v>50</v>
      </c>
      <c r="D3374" t="s">
        <v>25</v>
      </c>
      <c r="E3374" t="s">
        <v>22</v>
      </c>
      <c r="F3374" t="s">
        <v>22</v>
      </c>
      <c r="G3374">
        <v>0</v>
      </c>
      <c r="H3374">
        <v>167.7</v>
      </c>
      <c r="I3374">
        <v>74</v>
      </c>
      <c r="J3374">
        <v>28.51</v>
      </c>
      <c r="K3374">
        <v>179.9</v>
      </c>
      <c r="L3374">
        <v>98</v>
      </c>
      <c r="M3374">
        <v>15.29</v>
      </c>
      <c r="N3374">
        <v>166.5</v>
      </c>
      <c r="O3374">
        <v>73</v>
      </c>
      <c r="P3374">
        <v>7.49</v>
      </c>
      <c r="Q3374">
        <v>10.9</v>
      </c>
      <c r="R3374">
        <v>2</v>
      </c>
      <c r="S3374">
        <v>2.94</v>
      </c>
      <c r="T3374">
        <v>1</v>
      </c>
      <c r="U3374" t="s">
        <v>22</v>
      </c>
      <c r="V3374" t="e">
        <f>IF(#REF! = "yes", 1, 0)</f>
        <v>#REF!</v>
      </c>
      <c r="W3374" t="e">
        <f>IF(#REF! &lt;= 1, "0-1 Calls", IF(#REF! &lt;= 3, "2-3 Calls", IF(#REF! &lt;=5, "4-5 Calls", "6+ Calls")))</f>
        <v>#REF!</v>
      </c>
      <c r="X3374" t="e">
        <f>IF(#REF! &lt;= 50, "0-50", IF(#REF! &lt;=100, "51-100", IF(#REF! &lt;= 150, "101-150", "151+")))</f>
        <v>#REF!</v>
      </c>
      <c r="Y3374" t="e">
        <f>IF(#REF! &lt;= 3, "Low Charges", "High Charges")</f>
        <v>#REF!</v>
      </c>
      <c r="Z3374" t="e">
        <f>IF(#REF!&lt;=80,"Low Calls",
IF(#REF!&lt;=120,"Medium Calls","High Calls"))</f>
        <v>#REF!</v>
      </c>
      <c r="AA3374" t="e">
        <f>IF(#REF!&lt;=15,"Low Charges",
IF(#REF!&lt;=20,"Medium Charges","High Charges"))</f>
        <v>#REF!</v>
      </c>
      <c r="AB3374" t="e">
        <f>IF(AND(#REF!&gt;180, #REF!&gt;200), "Heavy Doemstic User", IF(#REF!&gt;10, "Interntional User", IF(AND(#REF!&lt;180, #REF!&lt;200,#REF!&lt;200), "Light User", "Balanced User")))</f>
        <v>#REF!</v>
      </c>
      <c r="AC3374" t="e">
        <f>IF(#REF! = 0, "No Usage", IF(#REF! &lt;= 20, "Low Usage", IF(#REF! &lt;= 40, "Medium Usgae", "High Usage")))</f>
        <v>#REF!</v>
      </c>
      <c r="AD3374" t="e">
        <f>IF(#REF!&lt;=150,"Low Usage", IF(#REF!&lt;=200,"Medium Usage", IF(#REF!&lt;=250,"High Usage","Very High Usage")))</f>
        <v>#REF!</v>
      </c>
      <c r="AE3374" t="e">
        <f>IF(#REF!&lt;=5,"Low Calls", IF(#REF!&lt;=10, "Medium Calls", "High Calls"))</f>
        <v>#REF!</v>
      </c>
      <c r="AF3374" t="e">
        <f xml:space="preserve">
IF(#REF!&gt;=4,4,0)+
IF(#REF!="yes",3,0)+
IF(#REF!="High Charges",3,0)+
IF(#REF!&gt;250,4,0)+
IF(#REF!="no",1,0)+
IF(#REF!="Heavy Domestic User",2,0)</f>
        <v>#REF!</v>
      </c>
      <c r="AG3374" t="e">
        <f>IF(#REF!&gt;=10,"High Risk", IF(#REF!&gt;=5,"Medium Risk","Low Risk"))</f>
        <v>#REF!</v>
      </c>
      <c r="AH3374" t="e">
        <f>#REF! + #REF! + #REF! + #REF!</f>
        <v>#REF!</v>
      </c>
    </row>
    <row r="3375" spans="1:34" x14ac:dyDescent="0.35">
      <c r="A3375">
        <v>3374</v>
      </c>
      <c r="B3375" t="s">
        <v>29</v>
      </c>
      <c r="C3375">
        <v>137</v>
      </c>
      <c r="D3375" t="s">
        <v>28</v>
      </c>
      <c r="E3375" t="s">
        <v>22</v>
      </c>
      <c r="F3375" t="s">
        <v>22</v>
      </c>
      <c r="G3375">
        <v>0</v>
      </c>
      <c r="H3375">
        <v>79.5</v>
      </c>
      <c r="I3375">
        <v>121</v>
      </c>
      <c r="J3375">
        <v>13.52</v>
      </c>
      <c r="K3375">
        <v>164.1</v>
      </c>
      <c r="L3375">
        <v>86</v>
      </c>
      <c r="M3375">
        <v>13.95</v>
      </c>
      <c r="N3375">
        <v>121.8</v>
      </c>
      <c r="O3375">
        <v>108</v>
      </c>
      <c r="P3375">
        <v>5.48</v>
      </c>
      <c r="Q3375">
        <v>11.7</v>
      </c>
      <c r="R3375">
        <v>7</v>
      </c>
      <c r="S3375">
        <v>3.16</v>
      </c>
      <c r="T3375">
        <v>2</v>
      </c>
      <c r="U3375" t="s">
        <v>22</v>
      </c>
      <c r="V3375" t="e">
        <f>IF(#REF! = "yes", 1, 0)</f>
        <v>#REF!</v>
      </c>
      <c r="W3375" t="e">
        <f>IF(#REF! &lt;= 1, "0-1 Calls", IF(#REF! &lt;= 3, "2-3 Calls", IF(#REF! &lt;=5, "4-5 Calls", "6+ Calls")))</f>
        <v>#REF!</v>
      </c>
      <c r="X3375" t="e">
        <f>IF(#REF! &lt;= 50, "0-50", IF(#REF! &lt;=100, "51-100", IF(#REF! &lt;= 150, "101-150", "151+")))</f>
        <v>#REF!</v>
      </c>
      <c r="Y3375" t="e">
        <f>IF(#REF! &lt;= 3, "Low Charges", "High Charges")</f>
        <v>#REF!</v>
      </c>
      <c r="Z3375" t="e">
        <f>IF(#REF!&lt;=80,"Low Calls",
IF(#REF!&lt;=120,"Medium Calls","High Calls"))</f>
        <v>#REF!</v>
      </c>
      <c r="AA3375" t="e">
        <f>IF(#REF!&lt;=15,"Low Charges",
IF(#REF!&lt;=20,"Medium Charges","High Charges"))</f>
        <v>#REF!</v>
      </c>
      <c r="AB3375" t="e">
        <f>IF(AND(#REF!&gt;180, #REF!&gt;200), "Heavy Doemstic User", IF(#REF!&gt;10, "Interntional User", IF(AND(#REF!&lt;180, #REF!&lt;200,#REF!&lt;200), "Light User", "Balanced User")))</f>
        <v>#REF!</v>
      </c>
      <c r="AC3375" t="e">
        <f>IF(#REF! = 0, "No Usage", IF(#REF! &lt;= 20, "Low Usage", IF(#REF! &lt;= 40, "Medium Usgae", "High Usage")))</f>
        <v>#REF!</v>
      </c>
      <c r="AD3375" t="e">
        <f>IF(#REF!&lt;=150,"Low Usage", IF(#REF!&lt;=200,"Medium Usage", IF(#REF!&lt;=250,"High Usage","Very High Usage")))</f>
        <v>#REF!</v>
      </c>
      <c r="AE3375" t="e">
        <f>IF(#REF!&lt;=5,"Low Calls", IF(#REF!&lt;=10, "Medium Calls", "High Calls"))</f>
        <v>#REF!</v>
      </c>
      <c r="AF3375" t="e">
        <f xml:space="preserve">
IF(#REF!&gt;=4,4,0)+
IF(#REF!="yes",3,0)+
IF(#REF!="High Charges",3,0)+
IF(#REF!&gt;250,4,0)+
IF(#REF!="no",1,0)+
IF(#REF!="Heavy Domestic User",2,0)</f>
        <v>#REF!</v>
      </c>
      <c r="AG3375" t="e">
        <f>IF(#REF!&gt;=10,"High Risk", IF(#REF!&gt;=5,"Medium Risk","Low Risk"))</f>
        <v>#REF!</v>
      </c>
      <c r="AH3375" t="e">
        <f>#REF! + #REF! + #REF! + #REF!</f>
        <v>#REF!</v>
      </c>
    </row>
    <row r="3376" spans="1:34" x14ac:dyDescent="0.35">
      <c r="A3376">
        <v>3375</v>
      </c>
      <c r="B3376" t="s">
        <v>37</v>
      </c>
      <c r="C3376">
        <v>95</v>
      </c>
      <c r="D3376" t="s">
        <v>25</v>
      </c>
      <c r="E3376" t="s">
        <v>22</v>
      </c>
      <c r="F3376" t="s">
        <v>22</v>
      </c>
      <c r="G3376">
        <v>0</v>
      </c>
      <c r="H3376">
        <v>133</v>
      </c>
      <c r="I3376">
        <v>94</v>
      </c>
      <c r="J3376">
        <v>22.61</v>
      </c>
      <c r="K3376">
        <v>196.6</v>
      </c>
      <c r="L3376">
        <v>126</v>
      </c>
      <c r="M3376">
        <v>16.71</v>
      </c>
      <c r="N3376">
        <v>181</v>
      </c>
      <c r="O3376">
        <v>128</v>
      </c>
      <c r="P3376">
        <v>8.15</v>
      </c>
      <c r="Q3376">
        <v>9.9</v>
      </c>
      <c r="R3376">
        <v>3</v>
      </c>
      <c r="S3376">
        <v>2.67</v>
      </c>
      <c r="T3376">
        <v>4</v>
      </c>
      <c r="U3376" t="s">
        <v>23</v>
      </c>
      <c r="V3376" t="e">
        <f>IF(#REF! = "yes", 1, 0)</f>
        <v>#REF!</v>
      </c>
      <c r="W3376" t="e">
        <f>IF(#REF! &lt;= 1, "0-1 Calls", IF(#REF! &lt;= 3, "2-3 Calls", IF(#REF! &lt;=5, "4-5 Calls", "6+ Calls")))</f>
        <v>#REF!</v>
      </c>
      <c r="X3376" t="e">
        <f>IF(#REF! &lt;= 50, "0-50", IF(#REF! &lt;=100, "51-100", IF(#REF! &lt;= 150, "101-150", "151+")))</f>
        <v>#REF!</v>
      </c>
      <c r="Y3376" t="e">
        <f>IF(#REF! &lt;= 3, "Low Charges", "High Charges")</f>
        <v>#REF!</v>
      </c>
      <c r="Z3376" t="e">
        <f>IF(#REF!&lt;=80,"Low Calls",
IF(#REF!&lt;=120,"Medium Calls","High Calls"))</f>
        <v>#REF!</v>
      </c>
      <c r="AA3376" t="e">
        <f>IF(#REF!&lt;=15,"Low Charges",
IF(#REF!&lt;=20,"Medium Charges","High Charges"))</f>
        <v>#REF!</v>
      </c>
      <c r="AB3376" t="e">
        <f>IF(AND(#REF!&gt;180, #REF!&gt;200), "Heavy Doemstic User", IF(#REF!&gt;10, "Interntional User", IF(AND(#REF!&lt;180, #REF!&lt;200,#REF!&lt;200), "Light User", "Balanced User")))</f>
        <v>#REF!</v>
      </c>
      <c r="AC3376" t="e">
        <f>IF(#REF! = 0, "No Usage", IF(#REF! &lt;= 20, "Low Usage", IF(#REF! &lt;= 40, "Medium Usgae", "High Usage")))</f>
        <v>#REF!</v>
      </c>
      <c r="AD3376" t="e">
        <f>IF(#REF!&lt;=150,"Low Usage", IF(#REF!&lt;=200,"Medium Usage", IF(#REF!&lt;=250,"High Usage","Very High Usage")))</f>
        <v>#REF!</v>
      </c>
      <c r="AE3376" t="e">
        <f>IF(#REF!&lt;=5,"Low Calls", IF(#REF!&lt;=10, "Medium Calls", "High Calls"))</f>
        <v>#REF!</v>
      </c>
      <c r="AF3376" t="e">
        <f xml:space="preserve">
IF(#REF!&gt;=4,4,0)+
IF(#REF!="yes",3,0)+
IF(#REF!="High Charges",3,0)+
IF(#REF!&gt;250,4,0)+
IF(#REF!="no",1,0)+
IF(#REF!="Heavy Domestic User",2,0)</f>
        <v>#REF!</v>
      </c>
      <c r="AG3376" t="e">
        <f>IF(#REF!&gt;=10,"High Risk", IF(#REF!&gt;=5,"Medium Risk","Low Risk"))</f>
        <v>#REF!</v>
      </c>
      <c r="AH3376" t="e">
        <f>#REF! + #REF! + #REF! + #REF!</f>
        <v>#REF!</v>
      </c>
    </row>
    <row r="3377" spans="1:34" x14ac:dyDescent="0.35">
      <c r="A3377">
        <v>3376</v>
      </c>
      <c r="B3377" t="s">
        <v>59</v>
      </c>
      <c r="C3377">
        <v>118</v>
      </c>
      <c r="D3377" t="s">
        <v>25</v>
      </c>
      <c r="E3377" t="s">
        <v>22</v>
      </c>
      <c r="F3377" t="s">
        <v>22</v>
      </c>
      <c r="G3377">
        <v>0</v>
      </c>
      <c r="H3377">
        <v>297.2</v>
      </c>
      <c r="I3377">
        <v>113</v>
      </c>
      <c r="J3377">
        <v>50.52</v>
      </c>
      <c r="K3377">
        <v>188.8</v>
      </c>
      <c r="L3377">
        <v>114</v>
      </c>
      <c r="M3377">
        <v>16.05</v>
      </c>
      <c r="N3377">
        <v>188.9</v>
      </c>
      <c r="O3377">
        <v>100</v>
      </c>
      <c r="P3377">
        <v>8.5</v>
      </c>
      <c r="Q3377">
        <v>12.4</v>
      </c>
      <c r="R3377">
        <v>6</v>
      </c>
      <c r="S3377">
        <v>3.35</v>
      </c>
      <c r="T3377">
        <v>1</v>
      </c>
      <c r="U3377" t="s">
        <v>23</v>
      </c>
      <c r="V3377" t="e">
        <f>IF(#REF! = "yes", 1, 0)</f>
        <v>#REF!</v>
      </c>
      <c r="W3377" t="e">
        <f>IF(#REF! &lt;= 1, "0-1 Calls", IF(#REF! &lt;= 3, "2-3 Calls", IF(#REF! &lt;=5, "4-5 Calls", "6+ Calls")))</f>
        <v>#REF!</v>
      </c>
      <c r="X3377" t="e">
        <f>IF(#REF! &lt;= 50, "0-50", IF(#REF! &lt;=100, "51-100", IF(#REF! &lt;= 150, "101-150", "151+")))</f>
        <v>#REF!</v>
      </c>
      <c r="Y3377" t="e">
        <f>IF(#REF! &lt;= 3, "Low Charges", "High Charges")</f>
        <v>#REF!</v>
      </c>
      <c r="Z3377" t="e">
        <f>IF(#REF!&lt;=80,"Low Calls",
IF(#REF!&lt;=120,"Medium Calls","High Calls"))</f>
        <v>#REF!</v>
      </c>
      <c r="AA3377" t="e">
        <f>IF(#REF!&lt;=15,"Low Charges",
IF(#REF!&lt;=20,"Medium Charges","High Charges"))</f>
        <v>#REF!</v>
      </c>
      <c r="AB3377" t="e">
        <f>IF(AND(#REF!&gt;180, #REF!&gt;200), "Heavy Doemstic User", IF(#REF!&gt;10, "Interntional User", IF(AND(#REF!&lt;180, #REF!&lt;200,#REF!&lt;200), "Light User", "Balanced User")))</f>
        <v>#REF!</v>
      </c>
      <c r="AC3377" t="e">
        <f>IF(#REF! = 0, "No Usage", IF(#REF! &lt;= 20, "Low Usage", IF(#REF! &lt;= 40, "Medium Usgae", "High Usage")))</f>
        <v>#REF!</v>
      </c>
      <c r="AD3377" t="e">
        <f>IF(#REF!&lt;=150,"Low Usage", IF(#REF!&lt;=200,"Medium Usage", IF(#REF!&lt;=250,"High Usage","Very High Usage")))</f>
        <v>#REF!</v>
      </c>
      <c r="AE3377" t="e">
        <f>IF(#REF!&lt;=5,"Low Calls", IF(#REF!&lt;=10, "Medium Calls", "High Calls"))</f>
        <v>#REF!</v>
      </c>
      <c r="AF3377" t="e">
        <f xml:space="preserve">
IF(#REF!&gt;=4,4,0)+
IF(#REF!="yes",3,0)+
IF(#REF!="High Charges",3,0)+
IF(#REF!&gt;250,4,0)+
IF(#REF!="no",1,0)+
IF(#REF!="Heavy Domestic User",2,0)</f>
        <v>#REF!</v>
      </c>
      <c r="AG3377" t="e">
        <f>IF(#REF!&gt;=10,"High Risk", IF(#REF!&gt;=5,"Medium Risk","Low Risk"))</f>
        <v>#REF!</v>
      </c>
      <c r="AH3377" t="e">
        <f>#REF! + #REF! + #REF! + #REF!</f>
        <v>#REF!</v>
      </c>
    </row>
    <row r="3378" spans="1:34" x14ac:dyDescent="0.35">
      <c r="A3378">
        <v>3377</v>
      </c>
      <c r="B3378" t="s">
        <v>36</v>
      </c>
      <c r="C3378">
        <v>84</v>
      </c>
      <c r="D3378" t="s">
        <v>21</v>
      </c>
      <c r="E3378" t="s">
        <v>22</v>
      </c>
      <c r="F3378" t="s">
        <v>22</v>
      </c>
      <c r="G3378">
        <v>0</v>
      </c>
      <c r="H3378">
        <v>214.9</v>
      </c>
      <c r="I3378">
        <v>72</v>
      </c>
      <c r="J3378">
        <v>36.53</v>
      </c>
      <c r="K3378">
        <v>197.7</v>
      </c>
      <c r="L3378">
        <v>92</v>
      </c>
      <c r="M3378">
        <v>16.8</v>
      </c>
      <c r="N3378">
        <v>153.1</v>
      </c>
      <c r="O3378">
        <v>79</v>
      </c>
      <c r="P3378">
        <v>6.89</v>
      </c>
      <c r="Q3378">
        <v>11.9</v>
      </c>
      <c r="R3378">
        <v>2</v>
      </c>
      <c r="S3378">
        <v>3.21</v>
      </c>
      <c r="T3378">
        <v>2</v>
      </c>
      <c r="U3378" t="s">
        <v>22</v>
      </c>
      <c r="V3378" t="e">
        <f>IF(#REF! = "yes", 1, 0)</f>
        <v>#REF!</v>
      </c>
      <c r="W3378" t="e">
        <f>IF(#REF! &lt;= 1, "0-1 Calls", IF(#REF! &lt;= 3, "2-3 Calls", IF(#REF! &lt;=5, "4-5 Calls", "6+ Calls")))</f>
        <v>#REF!</v>
      </c>
      <c r="X3378" t="e">
        <f>IF(#REF! &lt;= 50, "0-50", IF(#REF! &lt;=100, "51-100", IF(#REF! &lt;= 150, "101-150", "151+")))</f>
        <v>#REF!</v>
      </c>
      <c r="Y3378" t="e">
        <f>IF(#REF! &lt;= 3, "Low Charges", "High Charges")</f>
        <v>#REF!</v>
      </c>
      <c r="Z3378" t="e">
        <f>IF(#REF!&lt;=80,"Low Calls",
IF(#REF!&lt;=120,"Medium Calls","High Calls"))</f>
        <v>#REF!</v>
      </c>
      <c r="AA3378" t="e">
        <f>IF(#REF!&lt;=15,"Low Charges",
IF(#REF!&lt;=20,"Medium Charges","High Charges"))</f>
        <v>#REF!</v>
      </c>
      <c r="AB3378" t="e">
        <f>IF(AND(#REF!&gt;180, #REF!&gt;200), "Heavy Doemstic User", IF(#REF!&gt;10, "Interntional User", IF(AND(#REF!&lt;180, #REF!&lt;200,#REF!&lt;200), "Light User", "Balanced User")))</f>
        <v>#REF!</v>
      </c>
      <c r="AC3378" t="e">
        <f>IF(#REF! = 0, "No Usage", IF(#REF! &lt;= 20, "Low Usage", IF(#REF! &lt;= 40, "Medium Usgae", "High Usage")))</f>
        <v>#REF!</v>
      </c>
      <c r="AD3378" t="e">
        <f>IF(#REF!&lt;=150,"Low Usage", IF(#REF!&lt;=200,"Medium Usage", IF(#REF!&lt;=250,"High Usage","Very High Usage")))</f>
        <v>#REF!</v>
      </c>
      <c r="AE3378" t="e">
        <f>IF(#REF!&lt;=5,"Low Calls", IF(#REF!&lt;=10, "Medium Calls", "High Calls"))</f>
        <v>#REF!</v>
      </c>
      <c r="AF3378" t="e">
        <f xml:space="preserve">
IF(#REF!&gt;=4,4,0)+
IF(#REF!="yes",3,0)+
IF(#REF!="High Charges",3,0)+
IF(#REF!&gt;250,4,0)+
IF(#REF!="no",1,0)+
IF(#REF!="Heavy Domestic User",2,0)</f>
        <v>#REF!</v>
      </c>
      <c r="AG3378" t="e">
        <f>IF(#REF!&gt;=10,"High Risk", IF(#REF!&gt;=5,"Medium Risk","Low Risk"))</f>
        <v>#REF!</v>
      </c>
      <c r="AH3378" t="e">
        <f>#REF! + #REF! + #REF! + #REF!</f>
        <v>#REF!</v>
      </c>
    </row>
    <row r="3379" spans="1:34" x14ac:dyDescent="0.35">
      <c r="A3379">
        <v>3378</v>
      </c>
      <c r="B3379" t="s">
        <v>24</v>
      </c>
      <c r="C3379">
        <v>42</v>
      </c>
      <c r="D3379" t="s">
        <v>25</v>
      </c>
      <c r="E3379" t="s">
        <v>22</v>
      </c>
      <c r="F3379" t="s">
        <v>22</v>
      </c>
      <c r="G3379">
        <v>0</v>
      </c>
      <c r="H3379">
        <v>269.89999999999998</v>
      </c>
      <c r="I3379">
        <v>99</v>
      </c>
      <c r="J3379">
        <v>45.88</v>
      </c>
      <c r="K3379">
        <v>37.799999999999997</v>
      </c>
      <c r="L3379">
        <v>76</v>
      </c>
      <c r="M3379">
        <v>3.21</v>
      </c>
      <c r="N3379">
        <v>166.6</v>
      </c>
      <c r="O3379">
        <v>139</v>
      </c>
      <c r="P3379">
        <v>7.5</v>
      </c>
      <c r="Q3379">
        <v>13.8</v>
      </c>
      <c r="R3379">
        <v>1</v>
      </c>
      <c r="S3379">
        <v>3.73</v>
      </c>
      <c r="T3379">
        <v>1</v>
      </c>
      <c r="U3379" t="s">
        <v>22</v>
      </c>
      <c r="V3379" t="e">
        <f>IF(#REF! = "yes", 1, 0)</f>
        <v>#REF!</v>
      </c>
      <c r="W3379" t="e">
        <f>IF(#REF! &lt;= 1, "0-1 Calls", IF(#REF! &lt;= 3, "2-3 Calls", IF(#REF! &lt;=5, "4-5 Calls", "6+ Calls")))</f>
        <v>#REF!</v>
      </c>
      <c r="X3379" t="e">
        <f>IF(#REF! &lt;= 50, "0-50", IF(#REF! &lt;=100, "51-100", IF(#REF! &lt;= 150, "101-150", "151+")))</f>
        <v>#REF!</v>
      </c>
      <c r="Y3379" t="e">
        <f>IF(#REF! &lt;= 3, "Low Charges", "High Charges")</f>
        <v>#REF!</v>
      </c>
      <c r="Z3379" t="e">
        <f>IF(#REF!&lt;=80,"Low Calls",
IF(#REF!&lt;=120,"Medium Calls","High Calls"))</f>
        <v>#REF!</v>
      </c>
      <c r="AA3379" t="e">
        <f>IF(#REF!&lt;=15,"Low Charges",
IF(#REF!&lt;=20,"Medium Charges","High Charges"))</f>
        <v>#REF!</v>
      </c>
      <c r="AB3379" t="e">
        <f>IF(AND(#REF!&gt;180, #REF!&gt;200), "Heavy Doemstic User", IF(#REF!&gt;10, "Interntional User", IF(AND(#REF!&lt;180, #REF!&lt;200,#REF!&lt;200), "Light User", "Balanced User")))</f>
        <v>#REF!</v>
      </c>
      <c r="AC3379" t="e">
        <f>IF(#REF! = 0, "No Usage", IF(#REF! &lt;= 20, "Low Usage", IF(#REF! &lt;= 40, "Medium Usgae", "High Usage")))</f>
        <v>#REF!</v>
      </c>
      <c r="AD3379" t="e">
        <f>IF(#REF!&lt;=150,"Low Usage", IF(#REF!&lt;=200,"Medium Usage", IF(#REF!&lt;=250,"High Usage","Very High Usage")))</f>
        <v>#REF!</v>
      </c>
      <c r="AE3379" t="e">
        <f>IF(#REF!&lt;=5,"Low Calls", IF(#REF!&lt;=10, "Medium Calls", "High Calls"))</f>
        <v>#REF!</v>
      </c>
      <c r="AF3379" t="e">
        <f xml:space="preserve">
IF(#REF!&gt;=4,4,0)+
IF(#REF!="yes",3,0)+
IF(#REF!="High Charges",3,0)+
IF(#REF!&gt;250,4,0)+
IF(#REF!="no",1,0)+
IF(#REF!="Heavy Domestic User",2,0)</f>
        <v>#REF!</v>
      </c>
      <c r="AG3379" t="e">
        <f>IF(#REF!&gt;=10,"High Risk", IF(#REF!&gt;=5,"Medium Risk","Low Risk"))</f>
        <v>#REF!</v>
      </c>
      <c r="AH3379" t="e">
        <f>#REF! + #REF! + #REF! + #REF!</f>
        <v>#REF!</v>
      </c>
    </row>
    <row r="3380" spans="1:34" x14ac:dyDescent="0.35">
      <c r="A3380">
        <v>3379</v>
      </c>
      <c r="B3380" t="s">
        <v>61</v>
      </c>
      <c r="C3380">
        <v>53</v>
      </c>
      <c r="D3380" t="s">
        <v>21</v>
      </c>
      <c r="E3380" t="s">
        <v>22</v>
      </c>
      <c r="F3380" t="s">
        <v>22</v>
      </c>
      <c r="G3380">
        <v>0</v>
      </c>
      <c r="H3380">
        <v>143.80000000000001</v>
      </c>
      <c r="I3380">
        <v>102</v>
      </c>
      <c r="J3380">
        <v>24.45</v>
      </c>
      <c r="K3380">
        <v>199.6</v>
      </c>
      <c r="L3380">
        <v>124</v>
      </c>
      <c r="M3380">
        <v>16.97</v>
      </c>
      <c r="N3380">
        <v>177.8</v>
      </c>
      <c r="O3380">
        <v>65</v>
      </c>
      <c r="P3380">
        <v>8</v>
      </c>
      <c r="Q3380">
        <v>7.8</v>
      </c>
      <c r="R3380">
        <v>4</v>
      </c>
      <c r="S3380">
        <v>2.11</v>
      </c>
      <c r="T3380">
        <v>1</v>
      </c>
      <c r="U3380" t="s">
        <v>22</v>
      </c>
      <c r="V3380" t="e">
        <f>IF(#REF! = "yes", 1, 0)</f>
        <v>#REF!</v>
      </c>
      <c r="W3380" t="e">
        <f>IF(#REF! &lt;= 1, "0-1 Calls", IF(#REF! &lt;= 3, "2-3 Calls", IF(#REF! &lt;=5, "4-5 Calls", "6+ Calls")))</f>
        <v>#REF!</v>
      </c>
      <c r="X3380" t="e">
        <f>IF(#REF! &lt;= 50, "0-50", IF(#REF! &lt;=100, "51-100", IF(#REF! &lt;= 150, "101-150", "151+")))</f>
        <v>#REF!</v>
      </c>
      <c r="Y3380" t="e">
        <f>IF(#REF! &lt;= 3, "Low Charges", "High Charges")</f>
        <v>#REF!</v>
      </c>
      <c r="Z3380" t="e">
        <f>IF(#REF!&lt;=80,"Low Calls",
IF(#REF!&lt;=120,"Medium Calls","High Calls"))</f>
        <v>#REF!</v>
      </c>
      <c r="AA3380" t="e">
        <f>IF(#REF!&lt;=15,"Low Charges",
IF(#REF!&lt;=20,"Medium Charges","High Charges"))</f>
        <v>#REF!</v>
      </c>
      <c r="AB3380" t="e">
        <f>IF(AND(#REF!&gt;180, #REF!&gt;200), "Heavy Doemstic User", IF(#REF!&gt;10, "Interntional User", IF(AND(#REF!&lt;180, #REF!&lt;200,#REF!&lt;200), "Light User", "Balanced User")))</f>
        <v>#REF!</v>
      </c>
      <c r="AC3380" t="e">
        <f>IF(#REF! = 0, "No Usage", IF(#REF! &lt;= 20, "Low Usage", IF(#REF! &lt;= 40, "Medium Usgae", "High Usage")))</f>
        <v>#REF!</v>
      </c>
      <c r="AD3380" t="e">
        <f>IF(#REF!&lt;=150,"Low Usage", IF(#REF!&lt;=200,"Medium Usage", IF(#REF!&lt;=250,"High Usage","Very High Usage")))</f>
        <v>#REF!</v>
      </c>
      <c r="AE3380" t="e">
        <f>IF(#REF!&lt;=5,"Low Calls", IF(#REF!&lt;=10, "Medium Calls", "High Calls"))</f>
        <v>#REF!</v>
      </c>
      <c r="AF3380" t="e">
        <f xml:space="preserve">
IF(#REF!&gt;=4,4,0)+
IF(#REF!="yes",3,0)+
IF(#REF!="High Charges",3,0)+
IF(#REF!&gt;250,4,0)+
IF(#REF!="no",1,0)+
IF(#REF!="Heavy Domestic User",2,0)</f>
        <v>#REF!</v>
      </c>
      <c r="AG3380" t="e">
        <f>IF(#REF!&gt;=10,"High Risk", IF(#REF!&gt;=5,"Medium Risk","Low Risk"))</f>
        <v>#REF!</v>
      </c>
      <c r="AH3380" t="e">
        <f>#REF! + #REF! + #REF! + #REF!</f>
        <v>#REF!</v>
      </c>
    </row>
    <row r="3381" spans="1:34" x14ac:dyDescent="0.35">
      <c r="A3381">
        <v>3380</v>
      </c>
      <c r="B3381" t="s">
        <v>37</v>
      </c>
      <c r="C3381">
        <v>123</v>
      </c>
      <c r="D3381" t="s">
        <v>21</v>
      </c>
      <c r="E3381" t="s">
        <v>22</v>
      </c>
      <c r="F3381" t="s">
        <v>22</v>
      </c>
      <c r="G3381">
        <v>0</v>
      </c>
      <c r="H3381">
        <v>132.19999999999999</v>
      </c>
      <c r="I3381">
        <v>122</v>
      </c>
      <c r="J3381">
        <v>22.47</v>
      </c>
      <c r="K3381">
        <v>169.9</v>
      </c>
      <c r="L3381">
        <v>101</v>
      </c>
      <c r="M3381">
        <v>14.44</v>
      </c>
      <c r="N3381">
        <v>150.1</v>
      </c>
      <c r="O3381">
        <v>123</v>
      </c>
      <c r="P3381">
        <v>6.75</v>
      </c>
      <c r="Q3381">
        <v>12.9</v>
      </c>
      <c r="R3381">
        <v>11</v>
      </c>
      <c r="S3381">
        <v>3.48</v>
      </c>
      <c r="T3381">
        <v>3</v>
      </c>
      <c r="U3381" t="s">
        <v>23</v>
      </c>
      <c r="V3381" t="e">
        <f>IF(#REF! = "yes", 1, 0)</f>
        <v>#REF!</v>
      </c>
      <c r="W3381" t="e">
        <f>IF(#REF! &lt;= 1, "0-1 Calls", IF(#REF! &lt;= 3, "2-3 Calls", IF(#REF! &lt;=5, "4-5 Calls", "6+ Calls")))</f>
        <v>#REF!</v>
      </c>
      <c r="X3381" t="e">
        <f>IF(#REF! &lt;= 50, "0-50", IF(#REF! &lt;=100, "51-100", IF(#REF! &lt;= 150, "101-150", "151+")))</f>
        <v>#REF!</v>
      </c>
      <c r="Y3381" t="e">
        <f>IF(#REF! &lt;= 3, "Low Charges", "High Charges")</f>
        <v>#REF!</v>
      </c>
      <c r="Z3381" t="e">
        <f>IF(#REF!&lt;=80,"Low Calls",
IF(#REF!&lt;=120,"Medium Calls","High Calls"))</f>
        <v>#REF!</v>
      </c>
      <c r="AA3381" t="e">
        <f>IF(#REF!&lt;=15,"Low Charges",
IF(#REF!&lt;=20,"Medium Charges","High Charges"))</f>
        <v>#REF!</v>
      </c>
      <c r="AB3381" t="e">
        <f>IF(AND(#REF!&gt;180, #REF!&gt;200), "Heavy Doemstic User", IF(#REF!&gt;10, "Interntional User", IF(AND(#REF!&lt;180, #REF!&lt;200,#REF!&lt;200), "Light User", "Balanced User")))</f>
        <v>#REF!</v>
      </c>
      <c r="AC3381" t="e">
        <f>IF(#REF! = 0, "No Usage", IF(#REF! &lt;= 20, "Low Usage", IF(#REF! &lt;= 40, "Medium Usgae", "High Usage")))</f>
        <v>#REF!</v>
      </c>
      <c r="AD3381" t="e">
        <f>IF(#REF!&lt;=150,"Low Usage", IF(#REF!&lt;=200,"Medium Usage", IF(#REF!&lt;=250,"High Usage","Very High Usage")))</f>
        <v>#REF!</v>
      </c>
      <c r="AE3381" t="e">
        <f>IF(#REF!&lt;=5,"Low Calls", IF(#REF!&lt;=10, "Medium Calls", "High Calls"))</f>
        <v>#REF!</v>
      </c>
      <c r="AF3381" t="e">
        <f xml:space="preserve">
IF(#REF!&gt;=4,4,0)+
IF(#REF!="yes",3,0)+
IF(#REF!="High Charges",3,0)+
IF(#REF!&gt;250,4,0)+
IF(#REF!="no",1,0)+
IF(#REF!="Heavy Domestic User",2,0)</f>
        <v>#REF!</v>
      </c>
      <c r="AG3381" t="e">
        <f>IF(#REF!&gt;=10,"High Risk", IF(#REF!&gt;=5,"Medium Risk","Low Risk"))</f>
        <v>#REF!</v>
      </c>
      <c r="AH3381" t="e">
        <f>#REF! + #REF! + #REF! + #REF!</f>
        <v>#REF!</v>
      </c>
    </row>
    <row r="3382" spans="1:34" x14ac:dyDescent="0.35">
      <c r="A3382">
        <v>3381</v>
      </c>
      <c r="B3382" t="s">
        <v>29</v>
      </c>
      <c r="C3382">
        <v>60</v>
      </c>
      <c r="D3382" t="s">
        <v>25</v>
      </c>
      <c r="E3382" t="s">
        <v>22</v>
      </c>
      <c r="F3382" t="s">
        <v>22</v>
      </c>
      <c r="G3382">
        <v>0</v>
      </c>
      <c r="H3382">
        <v>162.80000000000001</v>
      </c>
      <c r="I3382">
        <v>117</v>
      </c>
      <c r="J3382">
        <v>27.68</v>
      </c>
      <c r="K3382">
        <v>163.19999999999999</v>
      </c>
      <c r="L3382">
        <v>121</v>
      </c>
      <c r="M3382">
        <v>13.87</v>
      </c>
      <c r="N3382">
        <v>242.4</v>
      </c>
      <c r="O3382">
        <v>140</v>
      </c>
      <c r="P3382">
        <v>10.91</v>
      </c>
      <c r="Q3382">
        <v>14.2</v>
      </c>
      <c r="R3382">
        <v>2</v>
      </c>
      <c r="S3382">
        <v>3.83</v>
      </c>
      <c r="T3382">
        <v>1</v>
      </c>
      <c r="U3382" t="s">
        <v>22</v>
      </c>
      <c r="V3382" t="e">
        <f>IF(#REF! = "yes", 1, 0)</f>
        <v>#REF!</v>
      </c>
      <c r="W3382" t="e">
        <f>IF(#REF! &lt;= 1, "0-1 Calls", IF(#REF! &lt;= 3, "2-3 Calls", IF(#REF! &lt;=5, "4-5 Calls", "6+ Calls")))</f>
        <v>#REF!</v>
      </c>
      <c r="X3382" t="e">
        <f>IF(#REF! &lt;= 50, "0-50", IF(#REF! &lt;=100, "51-100", IF(#REF! &lt;= 150, "101-150", "151+")))</f>
        <v>#REF!</v>
      </c>
      <c r="Y3382" t="e">
        <f>IF(#REF! &lt;= 3, "Low Charges", "High Charges")</f>
        <v>#REF!</v>
      </c>
      <c r="Z3382" t="e">
        <f>IF(#REF!&lt;=80,"Low Calls",
IF(#REF!&lt;=120,"Medium Calls","High Calls"))</f>
        <v>#REF!</v>
      </c>
      <c r="AA3382" t="e">
        <f>IF(#REF!&lt;=15,"Low Charges",
IF(#REF!&lt;=20,"Medium Charges","High Charges"))</f>
        <v>#REF!</v>
      </c>
      <c r="AB3382" t="e">
        <f>IF(AND(#REF!&gt;180, #REF!&gt;200), "Heavy Doemstic User", IF(#REF!&gt;10, "Interntional User", IF(AND(#REF!&lt;180, #REF!&lt;200,#REF!&lt;200), "Light User", "Balanced User")))</f>
        <v>#REF!</v>
      </c>
      <c r="AC3382" t="e">
        <f>IF(#REF! = 0, "No Usage", IF(#REF! &lt;= 20, "Low Usage", IF(#REF! &lt;= 40, "Medium Usgae", "High Usage")))</f>
        <v>#REF!</v>
      </c>
      <c r="AD3382" t="e">
        <f>IF(#REF!&lt;=150,"Low Usage", IF(#REF!&lt;=200,"Medium Usage", IF(#REF!&lt;=250,"High Usage","Very High Usage")))</f>
        <v>#REF!</v>
      </c>
      <c r="AE3382" t="e">
        <f>IF(#REF!&lt;=5,"Low Calls", IF(#REF!&lt;=10, "Medium Calls", "High Calls"))</f>
        <v>#REF!</v>
      </c>
      <c r="AF3382" t="e">
        <f xml:space="preserve">
IF(#REF!&gt;=4,4,0)+
IF(#REF!="yes",3,0)+
IF(#REF!="High Charges",3,0)+
IF(#REF!&gt;250,4,0)+
IF(#REF!="no",1,0)+
IF(#REF!="Heavy Domestic User",2,0)</f>
        <v>#REF!</v>
      </c>
      <c r="AG3382" t="e">
        <f>IF(#REF!&gt;=10,"High Risk", IF(#REF!&gt;=5,"Medium Risk","Low Risk"))</f>
        <v>#REF!</v>
      </c>
      <c r="AH3382" t="e">
        <f>#REF! + #REF! + #REF! + #REF!</f>
        <v>#REF!</v>
      </c>
    </row>
    <row r="3383" spans="1:34" x14ac:dyDescent="0.35">
      <c r="A3383">
        <v>3382</v>
      </c>
      <c r="B3383" t="s">
        <v>24</v>
      </c>
      <c r="C3383">
        <v>112</v>
      </c>
      <c r="D3383" t="s">
        <v>25</v>
      </c>
      <c r="E3383" t="s">
        <v>22</v>
      </c>
      <c r="F3383" t="s">
        <v>22</v>
      </c>
      <c r="G3383">
        <v>0</v>
      </c>
      <c r="H3383">
        <v>351.5</v>
      </c>
      <c r="I3383">
        <v>95</v>
      </c>
      <c r="J3383">
        <v>59.76</v>
      </c>
      <c r="K3383">
        <v>206.8</v>
      </c>
      <c r="L3383">
        <v>108</v>
      </c>
      <c r="M3383">
        <v>17.579999999999998</v>
      </c>
      <c r="N3383">
        <v>275.8</v>
      </c>
      <c r="O3383">
        <v>146</v>
      </c>
      <c r="P3383">
        <v>12.41</v>
      </c>
      <c r="Q3383">
        <v>11.9</v>
      </c>
      <c r="R3383">
        <v>4</v>
      </c>
      <c r="S3383">
        <v>3.21</v>
      </c>
      <c r="T3383">
        <v>1</v>
      </c>
      <c r="U3383" t="s">
        <v>23</v>
      </c>
      <c r="V3383" t="e">
        <f>IF(#REF! = "yes", 1, 0)</f>
        <v>#REF!</v>
      </c>
      <c r="W3383" t="e">
        <f>IF(#REF! &lt;= 1, "0-1 Calls", IF(#REF! &lt;= 3, "2-3 Calls", IF(#REF! &lt;=5, "4-5 Calls", "6+ Calls")))</f>
        <v>#REF!</v>
      </c>
      <c r="X3383" t="e">
        <f>IF(#REF! &lt;= 50, "0-50", IF(#REF! &lt;=100, "51-100", IF(#REF! &lt;= 150, "101-150", "151+")))</f>
        <v>#REF!</v>
      </c>
      <c r="Y3383" t="e">
        <f>IF(#REF! &lt;= 3, "Low Charges", "High Charges")</f>
        <v>#REF!</v>
      </c>
      <c r="Z3383" t="e">
        <f>IF(#REF!&lt;=80,"Low Calls",
IF(#REF!&lt;=120,"Medium Calls","High Calls"))</f>
        <v>#REF!</v>
      </c>
      <c r="AA3383" t="e">
        <f>IF(#REF!&lt;=15,"Low Charges",
IF(#REF!&lt;=20,"Medium Charges","High Charges"))</f>
        <v>#REF!</v>
      </c>
      <c r="AB3383" t="e">
        <f>IF(AND(#REF!&gt;180, #REF!&gt;200), "Heavy Doemstic User", IF(#REF!&gt;10, "Interntional User", IF(AND(#REF!&lt;180, #REF!&lt;200,#REF!&lt;200), "Light User", "Balanced User")))</f>
        <v>#REF!</v>
      </c>
      <c r="AC3383" t="e">
        <f>IF(#REF! = 0, "No Usage", IF(#REF! &lt;= 20, "Low Usage", IF(#REF! &lt;= 40, "Medium Usgae", "High Usage")))</f>
        <v>#REF!</v>
      </c>
      <c r="AD3383" t="e">
        <f>IF(#REF!&lt;=150,"Low Usage", IF(#REF!&lt;=200,"Medium Usage", IF(#REF!&lt;=250,"High Usage","Very High Usage")))</f>
        <v>#REF!</v>
      </c>
      <c r="AE3383" t="e">
        <f>IF(#REF!&lt;=5,"Low Calls", IF(#REF!&lt;=10, "Medium Calls", "High Calls"))</f>
        <v>#REF!</v>
      </c>
      <c r="AF3383" t="e">
        <f xml:space="preserve">
IF(#REF!&gt;=4,4,0)+
IF(#REF!="yes",3,0)+
IF(#REF!="High Charges",3,0)+
IF(#REF!&gt;250,4,0)+
IF(#REF!="no",1,0)+
IF(#REF!="Heavy Domestic User",2,0)</f>
        <v>#REF!</v>
      </c>
      <c r="AG3383" t="e">
        <f>IF(#REF!&gt;=10,"High Risk", IF(#REF!&gt;=5,"Medium Risk","Low Risk"))</f>
        <v>#REF!</v>
      </c>
      <c r="AH3383" t="e">
        <f>#REF! + #REF! + #REF! + #REF!</f>
        <v>#REF!</v>
      </c>
    </row>
    <row r="3384" spans="1:34" x14ac:dyDescent="0.35">
      <c r="A3384">
        <v>3383</v>
      </c>
      <c r="B3384" t="s">
        <v>58</v>
      </c>
      <c r="C3384">
        <v>43</v>
      </c>
      <c r="D3384" t="s">
        <v>21</v>
      </c>
      <c r="E3384" t="s">
        <v>22</v>
      </c>
      <c r="F3384" t="s">
        <v>22</v>
      </c>
      <c r="G3384">
        <v>0</v>
      </c>
      <c r="H3384">
        <v>165.8</v>
      </c>
      <c r="I3384">
        <v>96</v>
      </c>
      <c r="J3384">
        <v>28.19</v>
      </c>
      <c r="K3384">
        <v>132</v>
      </c>
      <c r="L3384">
        <v>105</v>
      </c>
      <c r="M3384">
        <v>11.22</v>
      </c>
      <c r="N3384">
        <v>323.2</v>
      </c>
      <c r="O3384">
        <v>62</v>
      </c>
      <c r="P3384">
        <v>14.54</v>
      </c>
      <c r="Q3384">
        <v>10.7</v>
      </c>
      <c r="R3384">
        <v>6</v>
      </c>
      <c r="S3384">
        <v>2.89</v>
      </c>
      <c r="T3384">
        <v>0</v>
      </c>
      <c r="U3384" t="s">
        <v>22</v>
      </c>
      <c r="V3384" t="e">
        <f>IF(#REF! = "yes", 1, 0)</f>
        <v>#REF!</v>
      </c>
      <c r="W3384" t="e">
        <f>IF(#REF! &lt;= 1, "0-1 Calls", IF(#REF! &lt;= 3, "2-3 Calls", IF(#REF! &lt;=5, "4-5 Calls", "6+ Calls")))</f>
        <v>#REF!</v>
      </c>
      <c r="X3384" t="e">
        <f>IF(#REF! &lt;= 50, "0-50", IF(#REF! &lt;=100, "51-100", IF(#REF! &lt;= 150, "101-150", "151+")))</f>
        <v>#REF!</v>
      </c>
      <c r="Y3384" t="e">
        <f>IF(#REF! &lt;= 3, "Low Charges", "High Charges")</f>
        <v>#REF!</v>
      </c>
      <c r="Z3384" t="e">
        <f>IF(#REF!&lt;=80,"Low Calls",
IF(#REF!&lt;=120,"Medium Calls","High Calls"))</f>
        <v>#REF!</v>
      </c>
      <c r="AA3384" t="e">
        <f>IF(#REF!&lt;=15,"Low Charges",
IF(#REF!&lt;=20,"Medium Charges","High Charges"))</f>
        <v>#REF!</v>
      </c>
      <c r="AB3384" t="e">
        <f>IF(AND(#REF!&gt;180, #REF!&gt;200), "Heavy Doemstic User", IF(#REF!&gt;10, "Interntional User", IF(AND(#REF!&lt;180, #REF!&lt;200,#REF!&lt;200), "Light User", "Balanced User")))</f>
        <v>#REF!</v>
      </c>
      <c r="AC3384" t="e">
        <f>IF(#REF! = 0, "No Usage", IF(#REF! &lt;= 20, "Low Usage", IF(#REF! &lt;= 40, "Medium Usgae", "High Usage")))</f>
        <v>#REF!</v>
      </c>
      <c r="AD3384" t="e">
        <f>IF(#REF!&lt;=150,"Low Usage", IF(#REF!&lt;=200,"Medium Usage", IF(#REF!&lt;=250,"High Usage","Very High Usage")))</f>
        <v>#REF!</v>
      </c>
      <c r="AE3384" t="e">
        <f>IF(#REF!&lt;=5,"Low Calls", IF(#REF!&lt;=10, "Medium Calls", "High Calls"))</f>
        <v>#REF!</v>
      </c>
      <c r="AF3384" t="e">
        <f xml:space="preserve">
IF(#REF!&gt;=4,4,0)+
IF(#REF!="yes",3,0)+
IF(#REF!="High Charges",3,0)+
IF(#REF!&gt;250,4,0)+
IF(#REF!="no",1,0)+
IF(#REF!="Heavy Domestic User",2,0)</f>
        <v>#REF!</v>
      </c>
      <c r="AG3384" t="e">
        <f>IF(#REF!&gt;=10,"High Risk", IF(#REF!&gt;=5,"Medium Risk","Low Risk"))</f>
        <v>#REF!</v>
      </c>
      <c r="AH3384" t="e">
        <f>#REF! + #REF! + #REF! + #REF!</f>
        <v>#REF!</v>
      </c>
    </row>
    <row r="3385" spans="1:34" x14ac:dyDescent="0.35">
      <c r="A3385">
        <v>3384</v>
      </c>
      <c r="B3385" t="s">
        <v>65</v>
      </c>
      <c r="C3385">
        <v>150</v>
      </c>
      <c r="D3385" t="s">
        <v>21</v>
      </c>
      <c r="E3385" t="s">
        <v>22</v>
      </c>
      <c r="F3385" t="s">
        <v>23</v>
      </c>
      <c r="G3385">
        <v>24</v>
      </c>
      <c r="H3385">
        <v>195.7</v>
      </c>
      <c r="I3385">
        <v>108</v>
      </c>
      <c r="J3385">
        <v>33.270000000000003</v>
      </c>
      <c r="K3385">
        <v>208.8</v>
      </c>
      <c r="L3385">
        <v>110</v>
      </c>
      <c r="M3385">
        <v>17.75</v>
      </c>
      <c r="N3385">
        <v>177</v>
      </c>
      <c r="O3385">
        <v>84</v>
      </c>
      <c r="P3385">
        <v>7.97</v>
      </c>
      <c r="Q3385">
        <v>11.7</v>
      </c>
      <c r="R3385">
        <v>2</v>
      </c>
      <c r="S3385">
        <v>3.16</v>
      </c>
      <c r="T3385">
        <v>2</v>
      </c>
      <c r="U3385" t="s">
        <v>22</v>
      </c>
      <c r="V3385" t="e">
        <f>IF(#REF! = "yes", 1, 0)</f>
        <v>#REF!</v>
      </c>
      <c r="W3385" t="e">
        <f>IF(#REF! &lt;= 1, "0-1 Calls", IF(#REF! &lt;= 3, "2-3 Calls", IF(#REF! &lt;=5, "4-5 Calls", "6+ Calls")))</f>
        <v>#REF!</v>
      </c>
      <c r="X3385" t="e">
        <f>IF(#REF! &lt;= 50, "0-50", IF(#REF! &lt;=100, "51-100", IF(#REF! &lt;= 150, "101-150", "151+")))</f>
        <v>#REF!</v>
      </c>
      <c r="Y3385" t="e">
        <f>IF(#REF! &lt;= 3, "Low Charges", "High Charges")</f>
        <v>#REF!</v>
      </c>
      <c r="Z3385" t="e">
        <f>IF(#REF!&lt;=80,"Low Calls",
IF(#REF!&lt;=120,"Medium Calls","High Calls"))</f>
        <v>#REF!</v>
      </c>
      <c r="AA3385" t="e">
        <f>IF(#REF!&lt;=15,"Low Charges",
IF(#REF!&lt;=20,"Medium Charges","High Charges"))</f>
        <v>#REF!</v>
      </c>
      <c r="AB3385" t="e">
        <f>IF(AND(#REF!&gt;180, #REF!&gt;200), "Heavy Doemstic User", IF(#REF!&gt;10, "Interntional User", IF(AND(#REF!&lt;180, #REF!&lt;200,#REF!&lt;200), "Light User", "Balanced User")))</f>
        <v>#REF!</v>
      </c>
      <c r="AC3385" t="e">
        <f>IF(#REF! = 0, "No Usage", IF(#REF! &lt;= 20, "Low Usage", IF(#REF! &lt;= 40, "Medium Usgae", "High Usage")))</f>
        <v>#REF!</v>
      </c>
      <c r="AD3385" t="e">
        <f>IF(#REF!&lt;=150,"Low Usage", IF(#REF!&lt;=200,"Medium Usage", IF(#REF!&lt;=250,"High Usage","Very High Usage")))</f>
        <v>#REF!</v>
      </c>
      <c r="AE3385" t="e">
        <f>IF(#REF!&lt;=5,"Low Calls", IF(#REF!&lt;=10, "Medium Calls", "High Calls"))</f>
        <v>#REF!</v>
      </c>
      <c r="AF3385" t="e">
        <f xml:space="preserve">
IF(#REF!&gt;=4,4,0)+
IF(#REF!="yes",3,0)+
IF(#REF!="High Charges",3,0)+
IF(#REF!&gt;250,4,0)+
IF(#REF!="no",1,0)+
IF(#REF!="Heavy Domestic User",2,0)</f>
        <v>#REF!</v>
      </c>
      <c r="AG3385" t="e">
        <f>IF(#REF!&gt;=10,"High Risk", IF(#REF!&gt;=5,"Medium Risk","Low Risk"))</f>
        <v>#REF!</v>
      </c>
      <c r="AH3385" t="e">
        <f>#REF! + #REF! + #REF! + #REF!</f>
        <v>#REF!</v>
      </c>
    </row>
    <row r="3386" spans="1:34" x14ac:dyDescent="0.35">
      <c r="A3386">
        <v>3385</v>
      </c>
      <c r="B3386" t="s">
        <v>74</v>
      </c>
      <c r="C3386">
        <v>92</v>
      </c>
      <c r="D3386" t="s">
        <v>25</v>
      </c>
      <c r="E3386" t="s">
        <v>22</v>
      </c>
      <c r="F3386" t="s">
        <v>22</v>
      </c>
      <c r="G3386">
        <v>0</v>
      </c>
      <c r="H3386">
        <v>250.6</v>
      </c>
      <c r="I3386">
        <v>100</v>
      </c>
      <c r="J3386">
        <v>42.6</v>
      </c>
      <c r="K3386">
        <v>41.7</v>
      </c>
      <c r="L3386">
        <v>94</v>
      </c>
      <c r="M3386">
        <v>3.54</v>
      </c>
      <c r="N3386">
        <v>186.2</v>
      </c>
      <c r="O3386">
        <v>100</v>
      </c>
      <c r="P3386">
        <v>8.3800000000000008</v>
      </c>
      <c r="Q3386">
        <v>9.6999999999999993</v>
      </c>
      <c r="R3386">
        <v>6</v>
      </c>
      <c r="S3386">
        <v>2.62</v>
      </c>
      <c r="T3386">
        <v>2</v>
      </c>
      <c r="U3386" t="s">
        <v>22</v>
      </c>
      <c r="V3386" t="e">
        <f>IF(#REF! = "yes", 1, 0)</f>
        <v>#REF!</v>
      </c>
      <c r="W3386" t="e">
        <f>IF(#REF! &lt;= 1, "0-1 Calls", IF(#REF! &lt;= 3, "2-3 Calls", IF(#REF! &lt;=5, "4-5 Calls", "6+ Calls")))</f>
        <v>#REF!</v>
      </c>
      <c r="X3386" t="e">
        <f>IF(#REF! &lt;= 50, "0-50", IF(#REF! &lt;=100, "51-100", IF(#REF! &lt;= 150, "101-150", "151+")))</f>
        <v>#REF!</v>
      </c>
      <c r="Y3386" t="e">
        <f>IF(#REF! &lt;= 3, "Low Charges", "High Charges")</f>
        <v>#REF!</v>
      </c>
      <c r="Z3386" t="e">
        <f>IF(#REF!&lt;=80,"Low Calls",
IF(#REF!&lt;=120,"Medium Calls","High Calls"))</f>
        <v>#REF!</v>
      </c>
      <c r="AA3386" t="e">
        <f>IF(#REF!&lt;=15,"Low Charges",
IF(#REF!&lt;=20,"Medium Charges","High Charges"))</f>
        <v>#REF!</v>
      </c>
      <c r="AB3386" t="e">
        <f>IF(AND(#REF!&gt;180, #REF!&gt;200), "Heavy Doemstic User", IF(#REF!&gt;10, "Interntional User", IF(AND(#REF!&lt;180, #REF!&lt;200,#REF!&lt;200), "Light User", "Balanced User")))</f>
        <v>#REF!</v>
      </c>
      <c r="AC3386" t="e">
        <f>IF(#REF! = 0, "No Usage", IF(#REF! &lt;= 20, "Low Usage", IF(#REF! &lt;= 40, "Medium Usgae", "High Usage")))</f>
        <v>#REF!</v>
      </c>
      <c r="AD3386" t="e">
        <f>IF(#REF!&lt;=150,"Low Usage", IF(#REF!&lt;=200,"Medium Usage", IF(#REF!&lt;=250,"High Usage","Very High Usage")))</f>
        <v>#REF!</v>
      </c>
      <c r="AE3386" t="e">
        <f>IF(#REF!&lt;=5,"Low Calls", IF(#REF!&lt;=10, "Medium Calls", "High Calls"))</f>
        <v>#REF!</v>
      </c>
      <c r="AF3386" t="e">
        <f xml:space="preserve">
IF(#REF!&gt;=4,4,0)+
IF(#REF!="yes",3,0)+
IF(#REF!="High Charges",3,0)+
IF(#REF!&gt;250,4,0)+
IF(#REF!="no",1,0)+
IF(#REF!="Heavy Domestic User",2,0)</f>
        <v>#REF!</v>
      </c>
      <c r="AG3386" t="e">
        <f>IF(#REF!&gt;=10,"High Risk", IF(#REF!&gt;=5,"Medium Risk","Low Risk"))</f>
        <v>#REF!</v>
      </c>
      <c r="AH3386" t="e">
        <f>#REF! + #REF! + #REF! + #REF!</f>
        <v>#REF!</v>
      </c>
    </row>
    <row r="3387" spans="1:34" x14ac:dyDescent="0.35">
      <c r="A3387">
        <v>3386</v>
      </c>
      <c r="B3387" t="s">
        <v>36</v>
      </c>
      <c r="C3387">
        <v>68</v>
      </c>
      <c r="D3387" t="s">
        <v>28</v>
      </c>
      <c r="E3387" t="s">
        <v>22</v>
      </c>
      <c r="F3387" t="s">
        <v>22</v>
      </c>
      <c r="G3387">
        <v>0</v>
      </c>
      <c r="H3387">
        <v>141.9</v>
      </c>
      <c r="I3387">
        <v>112</v>
      </c>
      <c r="J3387">
        <v>24.12</v>
      </c>
      <c r="K3387">
        <v>166.2</v>
      </c>
      <c r="L3387">
        <v>94</v>
      </c>
      <c r="M3387">
        <v>14.13</v>
      </c>
      <c r="N3387">
        <v>223.5</v>
      </c>
      <c r="O3387">
        <v>77</v>
      </c>
      <c r="P3387">
        <v>10.06</v>
      </c>
      <c r="Q3387">
        <v>9.1999999999999993</v>
      </c>
      <c r="R3387">
        <v>6</v>
      </c>
      <c r="S3387">
        <v>2.48</v>
      </c>
      <c r="T3387">
        <v>1</v>
      </c>
      <c r="U3387" t="s">
        <v>22</v>
      </c>
      <c r="V3387" t="e">
        <f>IF(#REF! = "yes", 1, 0)</f>
        <v>#REF!</v>
      </c>
      <c r="W3387" t="e">
        <f>IF(#REF! &lt;= 1, "0-1 Calls", IF(#REF! &lt;= 3, "2-3 Calls", IF(#REF! &lt;=5, "4-5 Calls", "6+ Calls")))</f>
        <v>#REF!</v>
      </c>
      <c r="X3387" t="e">
        <f>IF(#REF! &lt;= 50, "0-50", IF(#REF! &lt;=100, "51-100", IF(#REF! &lt;= 150, "101-150", "151+")))</f>
        <v>#REF!</v>
      </c>
      <c r="Y3387" t="e">
        <f>IF(#REF! &lt;= 3, "Low Charges", "High Charges")</f>
        <v>#REF!</v>
      </c>
      <c r="Z3387" t="e">
        <f>IF(#REF!&lt;=80,"Low Calls",
IF(#REF!&lt;=120,"Medium Calls","High Calls"))</f>
        <v>#REF!</v>
      </c>
      <c r="AA3387" t="e">
        <f>IF(#REF!&lt;=15,"Low Charges",
IF(#REF!&lt;=20,"Medium Charges","High Charges"))</f>
        <v>#REF!</v>
      </c>
      <c r="AB3387" t="e">
        <f>IF(AND(#REF!&gt;180, #REF!&gt;200), "Heavy Doemstic User", IF(#REF!&gt;10, "Interntional User", IF(AND(#REF!&lt;180, #REF!&lt;200,#REF!&lt;200), "Light User", "Balanced User")))</f>
        <v>#REF!</v>
      </c>
      <c r="AC3387" t="e">
        <f>IF(#REF! = 0, "No Usage", IF(#REF! &lt;= 20, "Low Usage", IF(#REF! &lt;= 40, "Medium Usgae", "High Usage")))</f>
        <v>#REF!</v>
      </c>
      <c r="AD3387" t="e">
        <f>IF(#REF!&lt;=150,"Low Usage", IF(#REF!&lt;=200,"Medium Usage", IF(#REF!&lt;=250,"High Usage","Very High Usage")))</f>
        <v>#REF!</v>
      </c>
      <c r="AE3387" t="e">
        <f>IF(#REF!&lt;=5,"Low Calls", IF(#REF!&lt;=10, "Medium Calls", "High Calls"))</f>
        <v>#REF!</v>
      </c>
      <c r="AF3387" t="e">
        <f xml:space="preserve">
IF(#REF!&gt;=4,4,0)+
IF(#REF!="yes",3,0)+
IF(#REF!="High Charges",3,0)+
IF(#REF!&gt;250,4,0)+
IF(#REF!="no",1,0)+
IF(#REF!="Heavy Domestic User",2,0)</f>
        <v>#REF!</v>
      </c>
      <c r="AG3387" t="e">
        <f>IF(#REF!&gt;=10,"High Risk", IF(#REF!&gt;=5,"Medium Risk","Low Risk"))</f>
        <v>#REF!</v>
      </c>
      <c r="AH3387" t="e">
        <f>#REF! + #REF! + #REF! + #REF!</f>
        <v>#REF!</v>
      </c>
    </row>
    <row r="3388" spans="1:34" x14ac:dyDescent="0.35">
      <c r="A3388">
        <v>3387</v>
      </c>
      <c r="B3388" t="s">
        <v>20</v>
      </c>
      <c r="C3388">
        <v>159</v>
      </c>
      <c r="D3388" t="s">
        <v>28</v>
      </c>
      <c r="E3388" t="s">
        <v>22</v>
      </c>
      <c r="F3388" t="s">
        <v>22</v>
      </c>
      <c r="G3388">
        <v>0</v>
      </c>
      <c r="H3388">
        <v>168.5</v>
      </c>
      <c r="I3388">
        <v>80</v>
      </c>
      <c r="J3388">
        <v>28.65</v>
      </c>
      <c r="K3388">
        <v>203.9</v>
      </c>
      <c r="L3388">
        <v>119</v>
      </c>
      <c r="M3388">
        <v>17.329999999999998</v>
      </c>
      <c r="N3388">
        <v>199.1</v>
      </c>
      <c r="O3388">
        <v>126</v>
      </c>
      <c r="P3388">
        <v>8.9600000000000009</v>
      </c>
      <c r="Q3388">
        <v>8.1</v>
      </c>
      <c r="R3388">
        <v>2</v>
      </c>
      <c r="S3388">
        <v>2.19</v>
      </c>
      <c r="T3388">
        <v>1</v>
      </c>
      <c r="U3388" t="s">
        <v>22</v>
      </c>
      <c r="V3388" t="e">
        <f>IF(#REF! = "yes", 1, 0)</f>
        <v>#REF!</v>
      </c>
      <c r="W3388" t="e">
        <f>IF(#REF! &lt;= 1, "0-1 Calls", IF(#REF! &lt;= 3, "2-3 Calls", IF(#REF! &lt;=5, "4-5 Calls", "6+ Calls")))</f>
        <v>#REF!</v>
      </c>
      <c r="X3388" t="e">
        <f>IF(#REF! &lt;= 50, "0-50", IF(#REF! &lt;=100, "51-100", IF(#REF! &lt;= 150, "101-150", "151+")))</f>
        <v>#REF!</v>
      </c>
      <c r="Y3388" t="e">
        <f>IF(#REF! &lt;= 3, "Low Charges", "High Charges")</f>
        <v>#REF!</v>
      </c>
      <c r="Z3388" t="e">
        <f>IF(#REF!&lt;=80,"Low Calls",
IF(#REF!&lt;=120,"Medium Calls","High Calls"))</f>
        <v>#REF!</v>
      </c>
      <c r="AA3388" t="e">
        <f>IF(#REF!&lt;=15,"Low Charges",
IF(#REF!&lt;=20,"Medium Charges","High Charges"))</f>
        <v>#REF!</v>
      </c>
      <c r="AB3388" t="e">
        <f>IF(AND(#REF!&gt;180, #REF!&gt;200), "Heavy Doemstic User", IF(#REF!&gt;10, "Interntional User", IF(AND(#REF!&lt;180, #REF!&lt;200,#REF!&lt;200), "Light User", "Balanced User")))</f>
        <v>#REF!</v>
      </c>
      <c r="AC3388" t="e">
        <f>IF(#REF! = 0, "No Usage", IF(#REF! &lt;= 20, "Low Usage", IF(#REF! &lt;= 40, "Medium Usgae", "High Usage")))</f>
        <v>#REF!</v>
      </c>
      <c r="AD3388" t="e">
        <f>IF(#REF!&lt;=150,"Low Usage", IF(#REF!&lt;=200,"Medium Usage", IF(#REF!&lt;=250,"High Usage","Very High Usage")))</f>
        <v>#REF!</v>
      </c>
      <c r="AE3388" t="e">
        <f>IF(#REF!&lt;=5,"Low Calls", IF(#REF!&lt;=10, "Medium Calls", "High Calls"))</f>
        <v>#REF!</v>
      </c>
      <c r="AF3388" t="e">
        <f xml:space="preserve">
IF(#REF!&gt;=4,4,0)+
IF(#REF!="yes",3,0)+
IF(#REF!="High Charges",3,0)+
IF(#REF!&gt;250,4,0)+
IF(#REF!="no",1,0)+
IF(#REF!="Heavy Domestic User",2,0)</f>
        <v>#REF!</v>
      </c>
      <c r="AG3388" t="e">
        <f>IF(#REF!&gt;=10,"High Risk", IF(#REF!&gt;=5,"Medium Risk","Low Risk"))</f>
        <v>#REF!</v>
      </c>
      <c r="AH3388" t="e">
        <f>#REF! + #REF! + #REF! + #REF!</f>
        <v>#REF!</v>
      </c>
    </row>
    <row r="3389" spans="1:34" x14ac:dyDescent="0.35">
      <c r="A3389">
        <v>3388</v>
      </c>
      <c r="B3389" t="s">
        <v>72</v>
      </c>
      <c r="C3389">
        <v>158</v>
      </c>
      <c r="D3389" t="s">
        <v>21</v>
      </c>
      <c r="E3389" t="s">
        <v>22</v>
      </c>
      <c r="F3389" t="s">
        <v>23</v>
      </c>
      <c r="G3389">
        <v>19</v>
      </c>
      <c r="H3389">
        <v>127.6</v>
      </c>
      <c r="I3389">
        <v>88</v>
      </c>
      <c r="J3389">
        <v>21.69</v>
      </c>
      <c r="K3389">
        <v>235.2</v>
      </c>
      <c r="L3389">
        <v>82</v>
      </c>
      <c r="M3389">
        <v>19.989999999999998</v>
      </c>
      <c r="N3389">
        <v>195</v>
      </c>
      <c r="O3389">
        <v>87</v>
      </c>
      <c r="P3389">
        <v>8.7799999999999994</v>
      </c>
      <c r="Q3389">
        <v>10.1</v>
      </c>
      <c r="R3389">
        <v>3</v>
      </c>
      <c r="S3389">
        <v>2.73</v>
      </c>
      <c r="T3389">
        <v>0</v>
      </c>
      <c r="U3389" t="s">
        <v>22</v>
      </c>
      <c r="V3389" t="e">
        <f>IF(#REF! = "yes", 1, 0)</f>
        <v>#REF!</v>
      </c>
      <c r="W3389" t="e">
        <f>IF(#REF! &lt;= 1, "0-1 Calls", IF(#REF! &lt;= 3, "2-3 Calls", IF(#REF! &lt;=5, "4-5 Calls", "6+ Calls")))</f>
        <v>#REF!</v>
      </c>
      <c r="X3389" t="e">
        <f>IF(#REF! &lt;= 50, "0-50", IF(#REF! &lt;=100, "51-100", IF(#REF! &lt;= 150, "101-150", "151+")))</f>
        <v>#REF!</v>
      </c>
      <c r="Y3389" t="e">
        <f>IF(#REF! &lt;= 3, "Low Charges", "High Charges")</f>
        <v>#REF!</v>
      </c>
      <c r="Z3389" t="e">
        <f>IF(#REF!&lt;=80,"Low Calls",
IF(#REF!&lt;=120,"Medium Calls","High Calls"))</f>
        <v>#REF!</v>
      </c>
      <c r="AA3389" t="e">
        <f>IF(#REF!&lt;=15,"Low Charges",
IF(#REF!&lt;=20,"Medium Charges","High Charges"))</f>
        <v>#REF!</v>
      </c>
      <c r="AB3389" t="e">
        <f>IF(AND(#REF!&gt;180, #REF!&gt;200), "Heavy Doemstic User", IF(#REF!&gt;10, "Interntional User", IF(AND(#REF!&lt;180, #REF!&lt;200,#REF!&lt;200), "Light User", "Balanced User")))</f>
        <v>#REF!</v>
      </c>
      <c r="AC3389" t="e">
        <f>IF(#REF! = 0, "No Usage", IF(#REF! &lt;= 20, "Low Usage", IF(#REF! &lt;= 40, "Medium Usgae", "High Usage")))</f>
        <v>#REF!</v>
      </c>
      <c r="AD3389" t="e">
        <f>IF(#REF!&lt;=150,"Low Usage", IF(#REF!&lt;=200,"Medium Usage", IF(#REF!&lt;=250,"High Usage","Very High Usage")))</f>
        <v>#REF!</v>
      </c>
      <c r="AE3389" t="e">
        <f>IF(#REF!&lt;=5,"Low Calls", IF(#REF!&lt;=10, "Medium Calls", "High Calls"))</f>
        <v>#REF!</v>
      </c>
      <c r="AF3389" t="e">
        <f xml:space="preserve">
IF(#REF!&gt;=4,4,0)+
IF(#REF!="yes",3,0)+
IF(#REF!="High Charges",3,0)+
IF(#REF!&gt;250,4,0)+
IF(#REF!="no",1,0)+
IF(#REF!="Heavy Domestic User",2,0)</f>
        <v>#REF!</v>
      </c>
      <c r="AG3389" t="e">
        <f>IF(#REF!&gt;=10,"High Risk", IF(#REF!&gt;=5,"Medium Risk","Low Risk"))</f>
        <v>#REF!</v>
      </c>
      <c r="AH3389" t="e">
        <f>#REF! + #REF! + #REF! + #REF!</f>
        <v>#REF!</v>
      </c>
    </row>
    <row r="3390" spans="1:34" x14ac:dyDescent="0.35">
      <c r="A3390">
        <v>3389</v>
      </c>
      <c r="B3390" t="s">
        <v>72</v>
      </c>
      <c r="C3390">
        <v>119</v>
      </c>
      <c r="D3390" t="s">
        <v>25</v>
      </c>
      <c r="E3390" t="s">
        <v>22</v>
      </c>
      <c r="F3390" t="s">
        <v>22</v>
      </c>
      <c r="G3390">
        <v>0</v>
      </c>
      <c r="H3390">
        <v>197.2</v>
      </c>
      <c r="I3390">
        <v>111</v>
      </c>
      <c r="J3390">
        <v>33.520000000000003</v>
      </c>
      <c r="K3390">
        <v>168.1</v>
      </c>
      <c r="L3390">
        <v>78</v>
      </c>
      <c r="M3390">
        <v>14.29</v>
      </c>
      <c r="N3390">
        <v>209.8</v>
      </c>
      <c r="O3390">
        <v>84</v>
      </c>
      <c r="P3390">
        <v>9.44</v>
      </c>
      <c r="Q3390">
        <v>4.2</v>
      </c>
      <c r="R3390">
        <v>2</v>
      </c>
      <c r="S3390">
        <v>1.1299999999999999</v>
      </c>
      <c r="T3390">
        <v>1</v>
      </c>
      <c r="U3390" t="s">
        <v>22</v>
      </c>
      <c r="V3390" t="e">
        <f>IF(#REF! = "yes", 1, 0)</f>
        <v>#REF!</v>
      </c>
      <c r="W3390" t="e">
        <f>IF(#REF! &lt;= 1, "0-1 Calls", IF(#REF! &lt;= 3, "2-3 Calls", IF(#REF! &lt;=5, "4-5 Calls", "6+ Calls")))</f>
        <v>#REF!</v>
      </c>
      <c r="X3390" t="e">
        <f>IF(#REF! &lt;= 50, "0-50", IF(#REF! &lt;=100, "51-100", IF(#REF! &lt;= 150, "101-150", "151+")))</f>
        <v>#REF!</v>
      </c>
      <c r="Y3390" t="e">
        <f>IF(#REF! &lt;= 3, "Low Charges", "High Charges")</f>
        <v>#REF!</v>
      </c>
      <c r="Z3390" t="e">
        <f>IF(#REF!&lt;=80,"Low Calls",
IF(#REF!&lt;=120,"Medium Calls","High Calls"))</f>
        <v>#REF!</v>
      </c>
      <c r="AA3390" t="e">
        <f>IF(#REF!&lt;=15,"Low Charges",
IF(#REF!&lt;=20,"Medium Charges","High Charges"))</f>
        <v>#REF!</v>
      </c>
      <c r="AB3390" t="e">
        <f>IF(AND(#REF!&gt;180, #REF!&gt;200), "Heavy Doemstic User", IF(#REF!&gt;10, "Interntional User", IF(AND(#REF!&lt;180, #REF!&lt;200,#REF!&lt;200), "Light User", "Balanced User")))</f>
        <v>#REF!</v>
      </c>
      <c r="AC3390" t="e">
        <f>IF(#REF! = 0, "No Usage", IF(#REF! &lt;= 20, "Low Usage", IF(#REF! &lt;= 40, "Medium Usgae", "High Usage")))</f>
        <v>#REF!</v>
      </c>
      <c r="AD3390" t="e">
        <f>IF(#REF!&lt;=150,"Low Usage", IF(#REF!&lt;=200,"Medium Usage", IF(#REF!&lt;=250,"High Usage","Very High Usage")))</f>
        <v>#REF!</v>
      </c>
      <c r="AE3390" t="e">
        <f>IF(#REF!&lt;=5,"Low Calls", IF(#REF!&lt;=10, "Medium Calls", "High Calls"))</f>
        <v>#REF!</v>
      </c>
      <c r="AF3390" t="e">
        <f xml:space="preserve">
IF(#REF!&gt;=4,4,0)+
IF(#REF!="yes",3,0)+
IF(#REF!="High Charges",3,0)+
IF(#REF!&gt;250,4,0)+
IF(#REF!="no",1,0)+
IF(#REF!="Heavy Domestic User",2,0)</f>
        <v>#REF!</v>
      </c>
      <c r="AG3390" t="e">
        <f>IF(#REF!&gt;=10,"High Risk", IF(#REF!&gt;=5,"Medium Risk","Low Risk"))</f>
        <v>#REF!</v>
      </c>
      <c r="AH3390" t="e">
        <f>#REF! + #REF! + #REF! + #REF!</f>
        <v>#REF!</v>
      </c>
    </row>
    <row r="3391" spans="1:34" x14ac:dyDescent="0.35">
      <c r="A3391">
        <v>3390</v>
      </c>
      <c r="B3391" t="s">
        <v>59</v>
      </c>
      <c r="C3391">
        <v>54</v>
      </c>
      <c r="D3391" t="s">
        <v>21</v>
      </c>
      <c r="E3391" t="s">
        <v>22</v>
      </c>
      <c r="F3391" t="s">
        <v>23</v>
      </c>
      <c r="G3391">
        <v>28</v>
      </c>
      <c r="H3391">
        <v>217.4</v>
      </c>
      <c r="I3391">
        <v>98</v>
      </c>
      <c r="J3391">
        <v>36.96</v>
      </c>
      <c r="K3391">
        <v>246.2</v>
      </c>
      <c r="L3391">
        <v>120</v>
      </c>
      <c r="M3391">
        <v>20.93</v>
      </c>
      <c r="N3391">
        <v>127</v>
      </c>
      <c r="O3391">
        <v>92</v>
      </c>
      <c r="P3391">
        <v>5.72</v>
      </c>
      <c r="Q3391">
        <v>7.5</v>
      </c>
      <c r="R3391">
        <v>8</v>
      </c>
      <c r="S3391">
        <v>2.0299999999999998</v>
      </c>
      <c r="T3391">
        <v>1</v>
      </c>
      <c r="U3391" t="s">
        <v>22</v>
      </c>
      <c r="V3391" t="e">
        <f>IF(#REF! = "yes", 1, 0)</f>
        <v>#REF!</v>
      </c>
      <c r="W3391" t="e">
        <f>IF(#REF! &lt;= 1, "0-1 Calls", IF(#REF! &lt;= 3, "2-3 Calls", IF(#REF! &lt;=5, "4-5 Calls", "6+ Calls")))</f>
        <v>#REF!</v>
      </c>
      <c r="X3391" t="e">
        <f>IF(#REF! &lt;= 50, "0-50", IF(#REF! &lt;=100, "51-100", IF(#REF! &lt;= 150, "101-150", "151+")))</f>
        <v>#REF!</v>
      </c>
      <c r="Y3391" t="e">
        <f>IF(#REF! &lt;= 3, "Low Charges", "High Charges")</f>
        <v>#REF!</v>
      </c>
      <c r="Z3391" t="e">
        <f>IF(#REF!&lt;=80,"Low Calls",
IF(#REF!&lt;=120,"Medium Calls","High Calls"))</f>
        <v>#REF!</v>
      </c>
      <c r="AA3391" t="e">
        <f>IF(#REF!&lt;=15,"Low Charges",
IF(#REF!&lt;=20,"Medium Charges","High Charges"))</f>
        <v>#REF!</v>
      </c>
      <c r="AB3391" t="e">
        <f>IF(AND(#REF!&gt;180, #REF!&gt;200), "Heavy Doemstic User", IF(#REF!&gt;10, "Interntional User", IF(AND(#REF!&lt;180, #REF!&lt;200,#REF!&lt;200), "Light User", "Balanced User")))</f>
        <v>#REF!</v>
      </c>
      <c r="AC3391" t="e">
        <f>IF(#REF! = 0, "No Usage", IF(#REF! &lt;= 20, "Low Usage", IF(#REF! &lt;= 40, "Medium Usgae", "High Usage")))</f>
        <v>#REF!</v>
      </c>
      <c r="AD3391" t="e">
        <f>IF(#REF!&lt;=150,"Low Usage", IF(#REF!&lt;=200,"Medium Usage", IF(#REF!&lt;=250,"High Usage","Very High Usage")))</f>
        <v>#REF!</v>
      </c>
      <c r="AE3391" t="e">
        <f>IF(#REF!&lt;=5,"Low Calls", IF(#REF!&lt;=10, "Medium Calls", "High Calls"))</f>
        <v>#REF!</v>
      </c>
      <c r="AF3391" t="e">
        <f xml:space="preserve">
IF(#REF!&gt;=4,4,0)+
IF(#REF!="yes",3,0)+
IF(#REF!="High Charges",3,0)+
IF(#REF!&gt;250,4,0)+
IF(#REF!="no",1,0)+
IF(#REF!="Heavy Domestic User",2,0)</f>
        <v>#REF!</v>
      </c>
      <c r="AG3391" t="e">
        <f>IF(#REF!&gt;=10,"High Risk", IF(#REF!&gt;=5,"Medium Risk","Low Risk"))</f>
        <v>#REF!</v>
      </c>
      <c r="AH3391" t="e">
        <f>#REF! + #REF! + #REF! + #REF!</f>
        <v>#REF!</v>
      </c>
    </row>
    <row r="3392" spans="1:34" x14ac:dyDescent="0.35">
      <c r="A3392">
        <v>3391</v>
      </c>
      <c r="B3392" t="s">
        <v>24</v>
      </c>
      <c r="C3392">
        <v>60</v>
      </c>
      <c r="D3392" t="s">
        <v>21</v>
      </c>
      <c r="E3392" t="s">
        <v>23</v>
      </c>
      <c r="F3392" t="s">
        <v>22</v>
      </c>
      <c r="G3392">
        <v>0</v>
      </c>
      <c r="H3392">
        <v>97.2</v>
      </c>
      <c r="I3392">
        <v>91</v>
      </c>
      <c r="J3392">
        <v>16.52</v>
      </c>
      <c r="K3392">
        <v>243.7</v>
      </c>
      <c r="L3392">
        <v>93</v>
      </c>
      <c r="M3392">
        <v>20.71</v>
      </c>
      <c r="N3392">
        <v>235</v>
      </c>
      <c r="O3392">
        <v>116</v>
      </c>
      <c r="P3392">
        <v>10.58</v>
      </c>
      <c r="Q3392">
        <v>10.1</v>
      </c>
      <c r="R3392">
        <v>2</v>
      </c>
      <c r="S3392">
        <v>2.73</v>
      </c>
      <c r="T3392">
        <v>1</v>
      </c>
      <c r="U3392" t="s">
        <v>23</v>
      </c>
      <c r="V3392" t="e">
        <f>IF(#REF! = "yes", 1, 0)</f>
        <v>#REF!</v>
      </c>
      <c r="W3392" t="e">
        <f>IF(#REF! &lt;= 1, "0-1 Calls", IF(#REF! &lt;= 3, "2-3 Calls", IF(#REF! &lt;=5, "4-5 Calls", "6+ Calls")))</f>
        <v>#REF!</v>
      </c>
      <c r="X3392" t="e">
        <f>IF(#REF! &lt;= 50, "0-50", IF(#REF! &lt;=100, "51-100", IF(#REF! &lt;= 150, "101-150", "151+")))</f>
        <v>#REF!</v>
      </c>
      <c r="Y3392" t="e">
        <f>IF(#REF! &lt;= 3, "Low Charges", "High Charges")</f>
        <v>#REF!</v>
      </c>
      <c r="Z3392" t="e">
        <f>IF(#REF!&lt;=80,"Low Calls",
IF(#REF!&lt;=120,"Medium Calls","High Calls"))</f>
        <v>#REF!</v>
      </c>
      <c r="AA3392" t="e">
        <f>IF(#REF!&lt;=15,"Low Charges",
IF(#REF!&lt;=20,"Medium Charges","High Charges"))</f>
        <v>#REF!</v>
      </c>
      <c r="AB3392" t="e">
        <f>IF(AND(#REF!&gt;180, #REF!&gt;200), "Heavy Doemstic User", IF(#REF!&gt;10, "Interntional User", IF(AND(#REF!&lt;180, #REF!&lt;200,#REF!&lt;200), "Light User", "Balanced User")))</f>
        <v>#REF!</v>
      </c>
      <c r="AC3392" t="e">
        <f>IF(#REF! = 0, "No Usage", IF(#REF! &lt;= 20, "Low Usage", IF(#REF! &lt;= 40, "Medium Usgae", "High Usage")))</f>
        <v>#REF!</v>
      </c>
      <c r="AD3392" t="e">
        <f>IF(#REF!&lt;=150,"Low Usage", IF(#REF!&lt;=200,"Medium Usage", IF(#REF!&lt;=250,"High Usage","Very High Usage")))</f>
        <v>#REF!</v>
      </c>
      <c r="AE3392" t="e">
        <f>IF(#REF!&lt;=5,"Low Calls", IF(#REF!&lt;=10, "Medium Calls", "High Calls"))</f>
        <v>#REF!</v>
      </c>
      <c r="AF3392" t="e">
        <f xml:space="preserve">
IF(#REF!&gt;=4,4,0)+
IF(#REF!="yes",3,0)+
IF(#REF!="High Charges",3,0)+
IF(#REF!&gt;250,4,0)+
IF(#REF!="no",1,0)+
IF(#REF!="Heavy Domestic User",2,0)</f>
        <v>#REF!</v>
      </c>
      <c r="AG3392" t="e">
        <f>IF(#REF!&gt;=10,"High Risk", IF(#REF!&gt;=5,"Medium Risk","Low Risk"))</f>
        <v>#REF!</v>
      </c>
      <c r="AH3392" t="e">
        <f>#REF! + #REF! + #REF! + #REF!</f>
        <v>#REF!</v>
      </c>
    </row>
    <row r="3393" spans="1:34" x14ac:dyDescent="0.35">
      <c r="A3393">
        <v>3392</v>
      </c>
      <c r="B3393" t="s">
        <v>51</v>
      </c>
      <c r="C3393">
        <v>111</v>
      </c>
      <c r="D3393" t="s">
        <v>21</v>
      </c>
      <c r="E3393" t="s">
        <v>22</v>
      </c>
      <c r="F3393" t="s">
        <v>23</v>
      </c>
      <c r="G3393">
        <v>23</v>
      </c>
      <c r="H3393">
        <v>87.7</v>
      </c>
      <c r="I3393">
        <v>91</v>
      </c>
      <c r="J3393">
        <v>14.91</v>
      </c>
      <c r="K3393">
        <v>218.3</v>
      </c>
      <c r="L3393">
        <v>118</v>
      </c>
      <c r="M3393">
        <v>18.559999999999999</v>
      </c>
      <c r="N3393">
        <v>173.1</v>
      </c>
      <c r="O3393">
        <v>87</v>
      </c>
      <c r="P3393">
        <v>7.79</v>
      </c>
      <c r="Q3393">
        <v>12.3</v>
      </c>
      <c r="R3393">
        <v>4</v>
      </c>
      <c r="S3393">
        <v>3.32</v>
      </c>
      <c r="T3393">
        <v>1</v>
      </c>
      <c r="U3393" t="s">
        <v>22</v>
      </c>
      <c r="V3393" t="e">
        <f>IF(#REF! = "yes", 1, 0)</f>
        <v>#REF!</v>
      </c>
      <c r="W3393" t="e">
        <f>IF(#REF! &lt;= 1, "0-1 Calls", IF(#REF! &lt;= 3, "2-3 Calls", IF(#REF! &lt;=5, "4-5 Calls", "6+ Calls")))</f>
        <v>#REF!</v>
      </c>
      <c r="X3393" t="e">
        <f>IF(#REF! &lt;= 50, "0-50", IF(#REF! &lt;=100, "51-100", IF(#REF! &lt;= 150, "101-150", "151+")))</f>
        <v>#REF!</v>
      </c>
      <c r="Y3393" t="e">
        <f>IF(#REF! &lt;= 3, "Low Charges", "High Charges")</f>
        <v>#REF!</v>
      </c>
      <c r="Z3393" t="e">
        <f>IF(#REF!&lt;=80,"Low Calls",
IF(#REF!&lt;=120,"Medium Calls","High Calls"))</f>
        <v>#REF!</v>
      </c>
      <c r="AA3393" t="e">
        <f>IF(#REF!&lt;=15,"Low Charges",
IF(#REF!&lt;=20,"Medium Charges","High Charges"))</f>
        <v>#REF!</v>
      </c>
      <c r="AB3393" t="e">
        <f>IF(AND(#REF!&gt;180, #REF!&gt;200), "Heavy Doemstic User", IF(#REF!&gt;10, "Interntional User", IF(AND(#REF!&lt;180, #REF!&lt;200,#REF!&lt;200), "Light User", "Balanced User")))</f>
        <v>#REF!</v>
      </c>
      <c r="AC3393" t="e">
        <f>IF(#REF! = 0, "No Usage", IF(#REF! &lt;= 20, "Low Usage", IF(#REF! &lt;= 40, "Medium Usgae", "High Usage")))</f>
        <v>#REF!</v>
      </c>
      <c r="AD3393" t="e">
        <f>IF(#REF!&lt;=150,"Low Usage", IF(#REF!&lt;=200,"Medium Usage", IF(#REF!&lt;=250,"High Usage","Very High Usage")))</f>
        <v>#REF!</v>
      </c>
      <c r="AE3393" t="e">
        <f>IF(#REF!&lt;=5,"Low Calls", IF(#REF!&lt;=10, "Medium Calls", "High Calls"))</f>
        <v>#REF!</v>
      </c>
      <c r="AF3393" t="e">
        <f xml:space="preserve">
IF(#REF!&gt;=4,4,0)+
IF(#REF!="yes",3,0)+
IF(#REF!="High Charges",3,0)+
IF(#REF!&gt;250,4,0)+
IF(#REF!="no",1,0)+
IF(#REF!="Heavy Domestic User",2,0)</f>
        <v>#REF!</v>
      </c>
      <c r="AG3393" t="e">
        <f>IF(#REF!&gt;=10,"High Risk", IF(#REF!&gt;=5,"Medium Risk","Low Risk"))</f>
        <v>#REF!</v>
      </c>
      <c r="AH3393" t="e">
        <f>#REF! + #REF! + #REF! + #REF!</f>
        <v>#REF!</v>
      </c>
    </row>
    <row r="3394" spans="1:34" x14ac:dyDescent="0.35">
      <c r="A3394">
        <v>3393</v>
      </c>
      <c r="B3394" t="s">
        <v>31</v>
      </c>
      <c r="C3394">
        <v>119</v>
      </c>
      <c r="D3394" t="s">
        <v>21</v>
      </c>
      <c r="E3394" t="s">
        <v>22</v>
      </c>
      <c r="F3394" t="s">
        <v>23</v>
      </c>
      <c r="G3394">
        <v>32</v>
      </c>
      <c r="H3394">
        <v>186.4</v>
      </c>
      <c r="I3394">
        <v>75</v>
      </c>
      <c r="J3394">
        <v>31.69</v>
      </c>
      <c r="K3394">
        <v>206.9</v>
      </c>
      <c r="L3394">
        <v>92</v>
      </c>
      <c r="M3394">
        <v>17.59</v>
      </c>
      <c r="N3394">
        <v>150.6</v>
      </c>
      <c r="O3394">
        <v>80</v>
      </c>
      <c r="P3394">
        <v>6.78</v>
      </c>
      <c r="Q3394">
        <v>12.1</v>
      </c>
      <c r="R3394">
        <v>2</v>
      </c>
      <c r="S3394">
        <v>3.27</v>
      </c>
      <c r="T3394">
        <v>1</v>
      </c>
      <c r="U3394" t="s">
        <v>22</v>
      </c>
      <c r="V3394" t="e">
        <f>IF(#REF! = "yes", 1, 0)</f>
        <v>#REF!</v>
      </c>
      <c r="W3394" t="e">
        <f>IF(#REF! &lt;= 1, "0-1 Calls", IF(#REF! &lt;= 3, "2-3 Calls", IF(#REF! &lt;=5, "4-5 Calls", "6+ Calls")))</f>
        <v>#REF!</v>
      </c>
      <c r="X3394" t="e">
        <f>IF(#REF! &lt;= 50, "0-50", IF(#REF! &lt;=100, "51-100", IF(#REF! &lt;= 150, "101-150", "151+")))</f>
        <v>#REF!</v>
      </c>
      <c r="Y3394" t="e">
        <f>IF(#REF! &lt;= 3, "Low Charges", "High Charges")</f>
        <v>#REF!</v>
      </c>
      <c r="Z3394" t="e">
        <f>IF(#REF!&lt;=80,"Low Calls",
IF(#REF!&lt;=120,"Medium Calls","High Calls"))</f>
        <v>#REF!</v>
      </c>
      <c r="AA3394" t="e">
        <f>IF(#REF!&lt;=15,"Low Charges",
IF(#REF!&lt;=20,"Medium Charges","High Charges"))</f>
        <v>#REF!</v>
      </c>
      <c r="AB3394" t="e">
        <f>IF(AND(#REF!&gt;180, #REF!&gt;200), "Heavy Doemstic User", IF(#REF!&gt;10, "Interntional User", IF(AND(#REF!&lt;180, #REF!&lt;200,#REF!&lt;200), "Light User", "Balanced User")))</f>
        <v>#REF!</v>
      </c>
      <c r="AC3394" t="e">
        <f>IF(#REF! = 0, "No Usage", IF(#REF! &lt;= 20, "Low Usage", IF(#REF! &lt;= 40, "Medium Usgae", "High Usage")))</f>
        <v>#REF!</v>
      </c>
      <c r="AD3394" t="e">
        <f>IF(#REF!&lt;=150,"Low Usage", IF(#REF!&lt;=200,"Medium Usage", IF(#REF!&lt;=250,"High Usage","Very High Usage")))</f>
        <v>#REF!</v>
      </c>
      <c r="AE3394" t="e">
        <f>IF(#REF!&lt;=5,"Low Calls", IF(#REF!&lt;=10, "Medium Calls", "High Calls"))</f>
        <v>#REF!</v>
      </c>
      <c r="AF3394" t="e">
        <f xml:space="preserve">
IF(#REF!&gt;=4,4,0)+
IF(#REF!="yes",3,0)+
IF(#REF!="High Charges",3,0)+
IF(#REF!&gt;250,4,0)+
IF(#REF!="no",1,0)+
IF(#REF!="Heavy Domestic User",2,0)</f>
        <v>#REF!</v>
      </c>
      <c r="AG3394" t="e">
        <f>IF(#REF!&gt;=10,"High Risk", IF(#REF!&gt;=5,"Medium Risk","Low Risk"))</f>
        <v>#REF!</v>
      </c>
      <c r="AH3394" t="e">
        <f>#REF! + #REF! + #REF! + #REF!</f>
        <v>#REF!</v>
      </c>
    </row>
    <row r="3395" spans="1:34" x14ac:dyDescent="0.35">
      <c r="A3395">
        <v>3394</v>
      </c>
      <c r="B3395" t="s">
        <v>68</v>
      </c>
      <c r="C3395">
        <v>74</v>
      </c>
      <c r="D3395" t="s">
        <v>21</v>
      </c>
      <c r="E3395" t="s">
        <v>22</v>
      </c>
      <c r="F3395" t="s">
        <v>22</v>
      </c>
      <c r="G3395">
        <v>0</v>
      </c>
      <c r="H3395">
        <v>180</v>
      </c>
      <c r="I3395">
        <v>110</v>
      </c>
      <c r="J3395">
        <v>30.6</v>
      </c>
      <c r="K3395">
        <v>212.9</v>
      </c>
      <c r="L3395">
        <v>100</v>
      </c>
      <c r="M3395">
        <v>18.100000000000001</v>
      </c>
      <c r="N3395">
        <v>182.3</v>
      </c>
      <c r="O3395">
        <v>95</v>
      </c>
      <c r="P3395">
        <v>8.1999999999999993</v>
      </c>
      <c r="Q3395">
        <v>11.8</v>
      </c>
      <c r="R3395">
        <v>10</v>
      </c>
      <c r="S3395">
        <v>3.19</v>
      </c>
      <c r="T3395">
        <v>0</v>
      </c>
      <c r="U3395" t="s">
        <v>22</v>
      </c>
      <c r="V3395" t="e">
        <f>IF(#REF! = "yes", 1, 0)</f>
        <v>#REF!</v>
      </c>
      <c r="W3395" t="e">
        <f>IF(#REF! &lt;= 1, "0-1 Calls", IF(#REF! &lt;= 3, "2-3 Calls", IF(#REF! &lt;=5, "4-5 Calls", "6+ Calls")))</f>
        <v>#REF!</v>
      </c>
      <c r="X3395" t="e">
        <f>IF(#REF! &lt;= 50, "0-50", IF(#REF! &lt;=100, "51-100", IF(#REF! &lt;= 150, "101-150", "151+")))</f>
        <v>#REF!</v>
      </c>
      <c r="Y3395" t="e">
        <f>IF(#REF! &lt;= 3, "Low Charges", "High Charges")</f>
        <v>#REF!</v>
      </c>
      <c r="Z3395" t="e">
        <f>IF(#REF!&lt;=80,"Low Calls",
IF(#REF!&lt;=120,"Medium Calls","High Calls"))</f>
        <v>#REF!</v>
      </c>
      <c r="AA3395" t="e">
        <f>IF(#REF!&lt;=15,"Low Charges",
IF(#REF!&lt;=20,"Medium Charges","High Charges"))</f>
        <v>#REF!</v>
      </c>
      <c r="AB3395" t="e">
        <f>IF(AND(#REF!&gt;180, #REF!&gt;200), "Heavy Doemstic User", IF(#REF!&gt;10, "Interntional User", IF(AND(#REF!&lt;180, #REF!&lt;200,#REF!&lt;200), "Light User", "Balanced User")))</f>
        <v>#REF!</v>
      </c>
      <c r="AC3395" t="e">
        <f>IF(#REF! = 0, "No Usage", IF(#REF! &lt;= 20, "Low Usage", IF(#REF! &lt;= 40, "Medium Usgae", "High Usage")))</f>
        <v>#REF!</v>
      </c>
      <c r="AD3395" t="e">
        <f>IF(#REF!&lt;=150,"Low Usage", IF(#REF!&lt;=200,"Medium Usage", IF(#REF!&lt;=250,"High Usage","Very High Usage")))</f>
        <v>#REF!</v>
      </c>
      <c r="AE3395" t="e">
        <f>IF(#REF!&lt;=5,"Low Calls", IF(#REF!&lt;=10, "Medium Calls", "High Calls"))</f>
        <v>#REF!</v>
      </c>
      <c r="AF3395" t="e">
        <f xml:space="preserve">
IF(#REF!&gt;=4,4,0)+
IF(#REF!="yes",3,0)+
IF(#REF!="High Charges",3,0)+
IF(#REF!&gt;250,4,0)+
IF(#REF!="no",1,0)+
IF(#REF!="Heavy Domestic User",2,0)</f>
        <v>#REF!</v>
      </c>
      <c r="AG3395" t="e">
        <f>IF(#REF!&gt;=10,"High Risk", IF(#REF!&gt;=5,"Medium Risk","Low Risk"))</f>
        <v>#REF!</v>
      </c>
      <c r="AH3395" t="e">
        <f>#REF! + #REF! + #REF! + #REF!</f>
        <v>#REF!</v>
      </c>
    </row>
    <row r="3396" spans="1:34" x14ac:dyDescent="0.35">
      <c r="A3396">
        <v>3395</v>
      </c>
      <c r="B3396" t="s">
        <v>44</v>
      </c>
      <c r="C3396">
        <v>118</v>
      </c>
      <c r="D3396" t="s">
        <v>25</v>
      </c>
      <c r="E3396" t="s">
        <v>22</v>
      </c>
      <c r="F3396" t="s">
        <v>22</v>
      </c>
      <c r="G3396">
        <v>0</v>
      </c>
      <c r="H3396">
        <v>232.4</v>
      </c>
      <c r="I3396">
        <v>92</v>
      </c>
      <c r="J3396">
        <v>39.51</v>
      </c>
      <c r="K3396">
        <v>191</v>
      </c>
      <c r="L3396">
        <v>68</v>
      </c>
      <c r="M3396">
        <v>16.239999999999998</v>
      </c>
      <c r="N3396">
        <v>213</v>
      </c>
      <c r="O3396">
        <v>138</v>
      </c>
      <c r="P3396">
        <v>9.58</v>
      </c>
      <c r="Q3396">
        <v>7.7</v>
      </c>
      <c r="R3396">
        <v>4</v>
      </c>
      <c r="S3396">
        <v>2.08</v>
      </c>
      <c r="T3396">
        <v>1</v>
      </c>
      <c r="U3396" t="s">
        <v>22</v>
      </c>
      <c r="V3396" t="e">
        <f>IF(#REF! = "yes", 1, 0)</f>
        <v>#REF!</v>
      </c>
      <c r="W3396" t="e">
        <f>IF(#REF! &lt;= 1, "0-1 Calls", IF(#REF! &lt;= 3, "2-3 Calls", IF(#REF! &lt;=5, "4-5 Calls", "6+ Calls")))</f>
        <v>#REF!</v>
      </c>
      <c r="X3396" t="e">
        <f>IF(#REF! &lt;= 50, "0-50", IF(#REF! &lt;=100, "51-100", IF(#REF! &lt;= 150, "101-150", "151+")))</f>
        <v>#REF!</v>
      </c>
      <c r="Y3396" t="e">
        <f>IF(#REF! &lt;= 3, "Low Charges", "High Charges")</f>
        <v>#REF!</v>
      </c>
      <c r="Z3396" t="e">
        <f>IF(#REF!&lt;=80,"Low Calls",
IF(#REF!&lt;=120,"Medium Calls","High Calls"))</f>
        <v>#REF!</v>
      </c>
      <c r="AA3396" t="e">
        <f>IF(#REF!&lt;=15,"Low Charges",
IF(#REF!&lt;=20,"Medium Charges","High Charges"))</f>
        <v>#REF!</v>
      </c>
      <c r="AB3396" t="e">
        <f>IF(AND(#REF!&gt;180, #REF!&gt;200), "Heavy Doemstic User", IF(#REF!&gt;10, "Interntional User", IF(AND(#REF!&lt;180, #REF!&lt;200,#REF!&lt;200), "Light User", "Balanced User")))</f>
        <v>#REF!</v>
      </c>
      <c r="AC3396" t="e">
        <f>IF(#REF! = 0, "No Usage", IF(#REF! &lt;= 20, "Low Usage", IF(#REF! &lt;= 40, "Medium Usgae", "High Usage")))</f>
        <v>#REF!</v>
      </c>
      <c r="AD3396" t="e">
        <f>IF(#REF!&lt;=150,"Low Usage", IF(#REF!&lt;=200,"Medium Usage", IF(#REF!&lt;=250,"High Usage","Very High Usage")))</f>
        <v>#REF!</v>
      </c>
      <c r="AE3396" t="e">
        <f>IF(#REF!&lt;=5,"Low Calls", IF(#REF!&lt;=10, "Medium Calls", "High Calls"))</f>
        <v>#REF!</v>
      </c>
      <c r="AF3396" t="e">
        <f xml:space="preserve">
IF(#REF!&gt;=4,4,0)+
IF(#REF!="yes",3,0)+
IF(#REF!="High Charges",3,0)+
IF(#REF!&gt;250,4,0)+
IF(#REF!="no",1,0)+
IF(#REF!="Heavy Domestic User",2,0)</f>
        <v>#REF!</v>
      </c>
      <c r="AG3396" t="e">
        <f>IF(#REF!&gt;=10,"High Risk", IF(#REF!&gt;=5,"Medium Risk","Low Risk"))</f>
        <v>#REF!</v>
      </c>
      <c r="AH3396" t="e">
        <f>#REF! + #REF! + #REF! + #REF!</f>
        <v>#REF!</v>
      </c>
    </row>
    <row r="3397" spans="1:34" x14ac:dyDescent="0.35">
      <c r="A3397">
        <v>3396</v>
      </c>
      <c r="B3397" t="s">
        <v>66</v>
      </c>
      <c r="C3397">
        <v>124</v>
      </c>
      <c r="D3397" t="s">
        <v>21</v>
      </c>
      <c r="E3397" t="s">
        <v>22</v>
      </c>
      <c r="F3397" t="s">
        <v>22</v>
      </c>
      <c r="G3397">
        <v>0</v>
      </c>
      <c r="H3397">
        <v>151.6</v>
      </c>
      <c r="I3397">
        <v>119</v>
      </c>
      <c r="J3397">
        <v>25.77</v>
      </c>
      <c r="K3397">
        <v>198.1</v>
      </c>
      <c r="L3397">
        <v>93</v>
      </c>
      <c r="M3397">
        <v>16.84</v>
      </c>
      <c r="N3397">
        <v>173.4</v>
      </c>
      <c r="O3397">
        <v>91</v>
      </c>
      <c r="P3397">
        <v>7.8</v>
      </c>
      <c r="Q3397">
        <v>11.6</v>
      </c>
      <c r="R3397">
        <v>3</v>
      </c>
      <c r="S3397">
        <v>3.13</v>
      </c>
      <c r="T3397">
        <v>3</v>
      </c>
      <c r="U3397" t="s">
        <v>22</v>
      </c>
      <c r="V3397" t="e">
        <f>IF(#REF! = "yes", 1, 0)</f>
        <v>#REF!</v>
      </c>
      <c r="W3397" t="e">
        <f>IF(#REF! &lt;= 1, "0-1 Calls", IF(#REF! &lt;= 3, "2-3 Calls", IF(#REF! &lt;=5, "4-5 Calls", "6+ Calls")))</f>
        <v>#REF!</v>
      </c>
      <c r="X3397" t="e">
        <f>IF(#REF! &lt;= 50, "0-50", IF(#REF! &lt;=100, "51-100", IF(#REF! &lt;= 150, "101-150", "151+")))</f>
        <v>#REF!</v>
      </c>
      <c r="Y3397" t="e">
        <f>IF(#REF! &lt;= 3, "Low Charges", "High Charges")</f>
        <v>#REF!</v>
      </c>
      <c r="Z3397" t="e">
        <f>IF(#REF!&lt;=80,"Low Calls",
IF(#REF!&lt;=120,"Medium Calls","High Calls"))</f>
        <v>#REF!</v>
      </c>
      <c r="AA3397" t="e">
        <f>IF(#REF!&lt;=15,"Low Charges",
IF(#REF!&lt;=20,"Medium Charges","High Charges"))</f>
        <v>#REF!</v>
      </c>
      <c r="AB3397" t="e">
        <f>IF(AND(#REF!&gt;180, #REF!&gt;200), "Heavy Doemstic User", IF(#REF!&gt;10, "Interntional User", IF(AND(#REF!&lt;180, #REF!&lt;200,#REF!&lt;200), "Light User", "Balanced User")))</f>
        <v>#REF!</v>
      </c>
      <c r="AC3397" t="e">
        <f>IF(#REF! = 0, "No Usage", IF(#REF! &lt;= 20, "Low Usage", IF(#REF! &lt;= 40, "Medium Usgae", "High Usage")))</f>
        <v>#REF!</v>
      </c>
      <c r="AD3397" t="e">
        <f>IF(#REF!&lt;=150,"Low Usage", IF(#REF!&lt;=200,"Medium Usage", IF(#REF!&lt;=250,"High Usage","Very High Usage")))</f>
        <v>#REF!</v>
      </c>
      <c r="AE3397" t="e">
        <f>IF(#REF!&lt;=5,"Low Calls", IF(#REF!&lt;=10, "Medium Calls", "High Calls"))</f>
        <v>#REF!</v>
      </c>
      <c r="AF3397" t="e">
        <f xml:space="preserve">
IF(#REF!&gt;=4,4,0)+
IF(#REF!="yes",3,0)+
IF(#REF!="High Charges",3,0)+
IF(#REF!&gt;250,4,0)+
IF(#REF!="no",1,0)+
IF(#REF!="Heavy Domestic User",2,0)</f>
        <v>#REF!</v>
      </c>
      <c r="AG3397" t="e">
        <f>IF(#REF!&gt;=10,"High Risk", IF(#REF!&gt;=5,"Medium Risk","Low Risk"))</f>
        <v>#REF!</v>
      </c>
      <c r="AH3397" t="e">
        <f>#REF! + #REF! + #REF! + #REF!</f>
        <v>#REF!</v>
      </c>
    </row>
    <row r="3398" spans="1:34" x14ac:dyDescent="0.35">
      <c r="A3398">
        <v>3397</v>
      </c>
      <c r="B3398" t="s">
        <v>30</v>
      </c>
      <c r="C3398">
        <v>133</v>
      </c>
      <c r="D3398" t="s">
        <v>28</v>
      </c>
      <c r="E3398" t="s">
        <v>22</v>
      </c>
      <c r="F3398" t="s">
        <v>22</v>
      </c>
      <c r="G3398">
        <v>0</v>
      </c>
      <c r="H3398">
        <v>172.2</v>
      </c>
      <c r="I3398">
        <v>81</v>
      </c>
      <c r="J3398">
        <v>29.27</v>
      </c>
      <c r="K3398">
        <v>214.9</v>
      </c>
      <c r="L3398">
        <v>123</v>
      </c>
      <c r="M3398">
        <v>18.27</v>
      </c>
      <c r="N3398">
        <v>184.3</v>
      </c>
      <c r="O3398">
        <v>90</v>
      </c>
      <c r="P3398">
        <v>8.2899999999999991</v>
      </c>
      <c r="Q3398">
        <v>11.1</v>
      </c>
      <c r="R3398">
        <v>6</v>
      </c>
      <c r="S3398">
        <v>3</v>
      </c>
      <c r="T3398">
        <v>3</v>
      </c>
      <c r="U3398" t="s">
        <v>22</v>
      </c>
      <c r="V3398" t="e">
        <f>IF(#REF! = "yes", 1, 0)</f>
        <v>#REF!</v>
      </c>
      <c r="W3398" t="e">
        <f>IF(#REF! &lt;= 1, "0-1 Calls", IF(#REF! &lt;= 3, "2-3 Calls", IF(#REF! &lt;=5, "4-5 Calls", "6+ Calls")))</f>
        <v>#REF!</v>
      </c>
      <c r="X3398" t="e">
        <f>IF(#REF! &lt;= 50, "0-50", IF(#REF! &lt;=100, "51-100", IF(#REF! &lt;= 150, "101-150", "151+")))</f>
        <v>#REF!</v>
      </c>
      <c r="Y3398" t="e">
        <f>IF(#REF! &lt;= 3, "Low Charges", "High Charges")</f>
        <v>#REF!</v>
      </c>
      <c r="Z3398" t="e">
        <f>IF(#REF!&lt;=80,"Low Calls",
IF(#REF!&lt;=120,"Medium Calls","High Calls"))</f>
        <v>#REF!</v>
      </c>
      <c r="AA3398" t="e">
        <f>IF(#REF!&lt;=15,"Low Charges",
IF(#REF!&lt;=20,"Medium Charges","High Charges"))</f>
        <v>#REF!</v>
      </c>
      <c r="AB3398" t="e">
        <f>IF(AND(#REF!&gt;180, #REF!&gt;200), "Heavy Doemstic User", IF(#REF!&gt;10, "Interntional User", IF(AND(#REF!&lt;180, #REF!&lt;200,#REF!&lt;200), "Light User", "Balanced User")))</f>
        <v>#REF!</v>
      </c>
      <c r="AC3398" t="e">
        <f>IF(#REF! = 0, "No Usage", IF(#REF! &lt;= 20, "Low Usage", IF(#REF! &lt;= 40, "Medium Usgae", "High Usage")))</f>
        <v>#REF!</v>
      </c>
      <c r="AD3398" t="e">
        <f>IF(#REF!&lt;=150,"Low Usage", IF(#REF!&lt;=200,"Medium Usage", IF(#REF!&lt;=250,"High Usage","Very High Usage")))</f>
        <v>#REF!</v>
      </c>
      <c r="AE3398" t="e">
        <f>IF(#REF!&lt;=5,"Low Calls", IF(#REF!&lt;=10, "Medium Calls", "High Calls"))</f>
        <v>#REF!</v>
      </c>
      <c r="AF3398" t="e">
        <f xml:space="preserve">
IF(#REF!&gt;=4,4,0)+
IF(#REF!="yes",3,0)+
IF(#REF!="High Charges",3,0)+
IF(#REF!&gt;250,4,0)+
IF(#REF!="no",1,0)+
IF(#REF!="Heavy Domestic User",2,0)</f>
        <v>#REF!</v>
      </c>
      <c r="AG3398" t="e">
        <f>IF(#REF!&gt;=10,"High Risk", IF(#REF!&gt;=5,"Medium Risk","Low Risk"))</f>
        <v>#REF!</v>
      </c>
      <c r="AH3398" t="e">
        <f>#REF! + #REF! + #REF! + #REF!</f>
        <v>#REF!</v>
      </c>
    </row>
    <row r="3399" spans="1:34" x14ac:dyDescent="0.35">
      <c r="A3399">
        <v>3398</v>
      </c>
      <c r="B3399" t="s">
        <v>51</v>
      </c>
      <c r="C3399">
        <v>49</v>
      </c>
      <c r="D3399" t="s">
        <v>25</v>
      </c>
      <c r="E3399" t="s">
        <v>22</v>
      </c>
      <c r="F3399" t="s">
        <v>22</v>
      </c>
      <c r="G3399">
        <v>0</v>
      </c>
      <c r="H3399">
        <v>260.89999999999998</v>
      </c>
      <c r="I3399">
        <v>88</v>
      </c>
      <c r="J3399">
        <v>44.35</v>
      </c>
      <c r="K3399">
        <v>174.2</v>
      </c>
      <c r="L3399">
        <v>103</v>
      </c>
      <c r="M3399">
        <v>14.81</v>
      </c>
      <c r="N3399">
        <v>262.8</v>
      </c>
      <c r="O3399">
        <v>98</v>
      </c>
      <c r="P3399">
        <v>11.83</v>
      </c>
      <c r="Q3399">
        <v>10.6</v>
      </c>
      <c r="R3399">
        <v>4</v>
      </c>
      <c r="S3399">
        <v>2.86</v>
      </c>
      <c r="T3399">
        <v>1</v>
      </c>
      <c r="U3399" t="s">
        <v>22</v>
      </c>
      <c r="V3399" t="e">
        <f>IF(#REF! = "yes", 1, 0)</f>
        <v>#REF!</v>
      </c>
      <c r="W3399" t="e">
        <f>IF(#REF! &lt;= 1, "0-1 Calls", IF(#REF! &lt;= 3, "2-3 Calls", IF(#REF! &lt;=5, "4-5 Calls", "6+ Calls")))</f>
        <v>#REF!</v>
      </c>
      <c r="X3399" t="e">
        <f>IF(#REF! &lt;= 50, "0-50", IF(#REF! &lt;=100, "51-100", IF(#REF! &lt;= 150, "101-150", "151+")))</f>
        <v>#REF!</v>
      </c>
      <c r="Y3399" t="e">
        <f>IF(#REF! &lt;= 3, "Low Charges", "High Charges")</f>
        <v>#REF!</v>
      </c>
      <c r="Z3399" t="e">
        <f>IF(#REF!&lt;=80,"Low Calls",
IF(#REF!&lt;=120,"Medium Calls","High Calls"))</f>
        <v>#REF!</v>
      </c>
      <c r="AA3399" t="e">
        <f>IF(#REF!&lt;=15,"Low Charges",
IF(#REF!&lt;=20,"Medium Charges","High Charges"))</f>
        <v>#REF!</v>
      </c>
      <c r="AB3399" t="e">
        <f>IF(AND(#REF!&gt;180, #REF!&gt;200), "Heavy Doemstic User", IF(#REF!&gt;10, "Interntional User", IF(AND(#REF!&lt;180, #REF!&lt;200,#REF!&lt;200), "Light User", "Balanced User")))</f>
        <v>#REF!</v>
      </c>
      <c r="AC3399" t="e">
        <f>IF(#REF! = 0, "No Usage", IF(#REF! &lt;= 20, "Low Usage", IF(#REF! &lt;= 40, "Medium Usgae", "High Usage")))</f>
        <v>#REF!</v>
      </c>
      <c r="AD3399" t="e">
        <f>IF(#REF!&lt;=150,"Low Usage", IF(#REF!&lt;=200,"Medium Usage", IF(#REF!&lt;=250,"High Usage","Very High Usage")))</f>
        <v>#REF!</v>
      </c>
      <c r="AE3399" t="e">
        <f>IF(#REF!&lt;=5,"Low Calls", IF(#REF!&lt;=10, "Medium Calls", "High Calls"))</f>
        <v>#REF!</v>
      </c>
      <c r="AF3399" t="e">
        <f xml:space="preserve">
IF(#REF!&gt;=4,4,0)+
IF(#REF!="yes",3,0)+
IF(#REF!="High Charges",3,0)+
IF(#REF!&gt;250,4,0)+
IF(#REF!="no",1,0)+
IF(#REF!="Heavy Domestic User",2,0)</f>
        <v>#REF!</v>
      </c>
      <c r="AG3399" t="e">
        <f>IF(#REF!&gt;=10,"High Risk", IF(#REF!&gt;=5,"Medium Risk","Low Risk"))</f>
        <v>#REF!</v>
      </c>
      <c r="AH3399" t="e">
        <f>#REF! + #REF! + #REF! + #REF!</f>
        <v>#REF!</v>
      </c>
    </row>
    <row r="3400" spans="1:34" x14ac:dyDescent="0.35">
      <c r="A3400">
        <v>3399</v>
      </c>
      <c r="B3400" t="s">
        <v>46</v>
      </c>
      <c r="C3400">
        <v>112</v>
      </c>
      <c r="D3400" t="s">
        <v>21</v>
      </c>
      <c r="E3400" t="s">
        <v>22</v>
      </c>
      <c r="F3400" t="s">
        <v>22</v>
      </c>
      <c r="G3400">
        <v>0</v>
      </c>
      <c r="H3400">
        <v>124.4</v>
      </c>
      <c r="I3400">
        <v>109</v>
      </c>
      <c r="J3400">
        <v>21.15</v>
      </c>
      <c r="K3400">
        <v>196.1</v>
      </c>
      <c r="L3400">
        <v>119</v>
      </c>
      <c r="M3400">
        <v>16.670000000000002</v>
      </c>
      <c r="N3400">
        <v>166.1</v>
      </c>
      <c r="O3400">
        <v>89</v>
      </c>
      <c r="P3400">
        <v>7.47</v>
      </c>
      <c r="Q3400">
        <v>10.199999999999999</v>
      </c>
      <c r="R3400">
        <v>4</v>
      </c>
      <c r="S3400">
        <v>2.75</v>
      </c>
      <c r="T3400">
        <v>2</v>
      </c>
      <c r="U3400" t="s">
        <v>22</v>
      </c>
      <c r="V3400" t="e">
        <f>IF(#REF! = "yes", 1, 0)</f>
        <v>#REF!</v>
      </c>
      <c r="W3400" t="e">
        <f>IF(#REF! &lt;= 1, "0-1 Calls", IF(#REF! &lt;= 3, "2-3 Calls", IF(#REF! &lt;=5, "4-5 Calls", "6+ Calls")))</f>
        <v>#REF!</v>
      </c>
      <c r="X3400" t="e">
        <f>IF(#REF! &lt;= 50, "0-50", IF(#REF! &lt;=100, "51-100", IF(#REF! &lt;= 150, "101-150", "151+")))</f>
        <v>#REF!</v>
      </c>
      <c r="Y3400" t="e">
        <f>IF(#REF! &lt;= 3, "Low Charges", "High Charges")</f>
        <v>#REF!</v>
      </c>
      <c r="Z3400" t="e">
        <f>IF(#REF!&lt;=80,"Low Calls",
IF(#REF!&lt;=120,"Medium Calls","High Calls"))</f>
        <v>#REF!</v>
      </c>
      <c r="AA3400" t="e">
        <f>IF(#REF!&lt;=15,"Low Charges",
IF(#REF!&lt;=20,"Medium Charges","High Charges"))</f>
        <v>#REF!</v>
      </c>
      <c r="AB3400" t="e">
        <f>IF(AND(#REF!&gt;180, #REF!&gt;200), "Heavy Doemstic User", IF(#REF!&gt;10, "Interntional User", IF(AND(#REF!&lt;180, #REF!&lt;200,#REF!&lt;200), "Light User", "Balanced User")))</f>
        <v>#REF!</v>
      </c>
      <c r="AC3400" t="e">
        <f>IF(#REF! = 0, "No Usage", IF(#REF! &lt;= 20, "Low Usage", IF(#REF! &lt;= 40, "Medium Usgae", "High Usage")))</f>
        <v>#REF!</v>
      </c>
      <c r="AD3400" t="e">
        <f>IF(#REF!&lt;=150,"Low Usage", IF(#REF!&lt;=200,"Medium Usage", IF(#REF!&lt;=250,"High Usage","Very High Usage")))</f>
        <v>#REF!</v>
      </c>
      <c r="AE3400" t="e">
        <f>IF(#REF!&lt;=5,"Low Calls", IF(#REF!&lt;=10, "Medium Calls", "High Calls"))</f>
        <v>#REF!</v>
      </c>
      <c r="AF3400" t="e">
        <f xml:space="preserve">
IF(#REF!&gt;=4,4,0)+
IF(#REF!="yes",3,0)+
IF(#REF!="High Charges",3,0)+
IF(#REF!&gt;250,4,0)+
IF(#REF!="no",1,0)+
IF(#REF!="Heavy Domestic User",2,0)</f>
        <v>#REF!</v>
      </c>
      <c r="AG3400" t="e">
        <f>IF(#REF!&gt;=10,"High Risk", IF(#REF!&gt;=5,"Medium Risk","Low Risk"))</f>
        <v>#REF!</v>
      </c>
      <c r="AH3400" t="e">
        <f>#REF! + #REF! + #REF! + #REF!</f>
        <v>#REF!</v>
      </c>
    </row>
    <row r="3401" spans="1:34" x14ac:dyDescent="0.35">
      <c r="A3401">
        <v>3400</v>
      </c>
      <c r="B3401" t="s">
        <v>45</v>
      </c>
      <c r="C3401">
        <v>130</v>
      </c>
      <c r="D3401" t="s">
        <v>28</v>
      </c>
      <c r="E3401" t="s">
        <v>22</v>
      </c>
      <c r="F3401" t="s">
        <v>22</v>
      </c>
      <c r="G3401">
        <v>0</v>
      </c>
      <c r="H3401">
        <v>126.8</v>
      </c>
      <c r="I3401">
        <v>101</v>
      </c>
      <c r="J3401">
        <v>21.56</v>
      </c>
      <c r="K3401">
        <v>144.1</v>
      </c>
      <c r="L3401">
        <v>105</v>
      </c>
      <c r="M3401">
        <v>12.25</v>
      </c>
      <c r="N3401">
        <v>249.6</v>
      </c>
      <c r="O3401">
        <v>117</v>
      </c>
      <c r="P3401">
        <v>11.23</v>
      </c>
      <c r="Q3401">
        <v>11.4</v>
      </c>
      <c r="R3401">
        <v>8</v>
      </c>
      <c r="S3401">
        <v>3.08</v>
      </c>
      <c r="T3401">
        <v>2</v>
      </c>
      <c r="U3401" t="s">
        <v>22</v>
      </c>
      <c r="V3401" t="e">
        <f>IF(#REF! = "yes", 1, 0)</f>
        <v>#REF!</v>
      </c>
      <c r="W3401" t="e">
        <f>IF(#REF! &lt;= 1, "0-1 Calls", IF(#REF! &lt;= 3, "2-3 Calls", IF(#REF! &lt;=5, "4-5 Calls", "6+ Calls")))</f>
        <v>#REF!</v>
      </c>
      <c r="X3401" t="e">
        <f>IF(#REF! &lt;= 50, "0-50", IF(#REF! &lt;=100, "51-100", IF(#REF! &lt;= 150, "101-150", "151+")))</f>
        <v>#REF!</v>
      </c>
      <c r="Y3401" t="e">
        <f>IF(#REF! &lt;= 3, "Low Charges", "High Charges")</f>
        <v>#REF!</v>
      </c>
      <c r="Z3401" t="e">
        <f>IF(#REF!&lt;=80,"Low Calls",
IF(#REF!&lt;=120,"Medium Calls","High Calls"))</f>
        <v>#REF!</v>
      </c>
      <c r="AA3401" t="e">
        <f>IF(#REF!&lt;=15,"Low Charges",
IF(#REF!&lt;=20,"Medium Charges","High Charges"))</f>
        <v>#REF!</v>
      </c>
      <c r="AB3401" t="e">
        <f>IF(AND(#REF!&gt;180, #REF!&gt;200), "Heavy Doemstic User", IF(#REF!&gt;10, "Interntional User", IF(AND(#REF!&lt;180, #REF!&lt;200,#REF!&lt;200), "Light User", "Balanced User")))</f>
        <v>#REF!</v>
      </c>
      <c r="AC3401" t="e">
        <f>IF(#REF! = 0, "No Usage", IF(#REF! &lt;= 20, "Low Usage", IF(#REF! &lt;= 40, "Medium Usgae", "High Usage")))</f>
        <v>#REF!</v>
      </c>
      <c r="AD3401" t="e">
        <f>IF(#REF!&lt;=150,"Low Usage", IF(#REF!&lt;=200,"Medium Usage", IF(#REF!&lt;=250,"High Usage","Very High Usage")))</f>
        <v>#REF!</v>
      </c>
      <c r="AE3401" t="e">
        <f>IF(#REF!&lt;=5,"Low Calls", IF(#REF!&lt;=10, "Medium Calls", "High Calls"))</f>
        <v>#REF!</v>
      </c>
      <c r="AF3401" t="e">
        <f xml:space="preserve">
IF(#REF!&gt;=4,4,0)+
IF(#REF!="yes",3,0)+
IF(#REF!="High Charges",3,0)+
IF(#REF!&gt;250,4,0)+
IF(#REF!="no",1,0)+
IF(#REF!="Heavy Domestic User",2,0)</f>
        <v>#REF!</v>
      </c>
      <c r="AG3401" t="e">
        <f>IF(#REF!&gt;=10,"High Risk", IF(#REF!&gt;=5,"Medium Risk","Low Risk"))</f>
        <v>#REF!</v>
      </c>
      <c r="AH3401" t="e">
        <f>#REF! + #REF! + #REF! + #REF!</f>
        <v>#REF!</v>
      </c>
    </row>
    <row r="3402" spans="1:34" x14ac:dyDescent="0.35">
      <c r="A3402">
        <v>3401</v>
      </c>
      <c r="B3402" t="s">
        <v>31</v>
      </c>
      <c r="C3402">
        <v>130</v>
      </c>
      <c r="D3402" t="s">
        <v>28</v>
      </c>
      <c r="E3402" t="s">
        <v>22</v>
      </c>
      <c r="F3402" t="s">
        <v>22</v>
      </c>
      <c r="G3402">
        <v>0</v>
      </c>
      <c r="H3402">
        <v>110</v>
      </c>
      <c r="I3402">
        <v>107</v>
      </c>
      <c r="J3402">
        <v>18.7</v>
      </c>
      <c r="K3402">
        <v>181.9</v>
      </c>
      <c r="L3402">
        <v>85</v>
      </c>
      <c r="M3402">
        <v>15.46</v>
      </c>
      <c r="N3402">
        <v>208</v>
      </c>
      <c r="O3402">
        <v>94</v>
      </c>
      <c r="P3402">
        <v>9.36</v>
      </c>
      <c r="Q3402">
        <v>11.7</v>
      </c>
      <c r="R3402">
        <v>3</v>
      </c>
      <c r="S3402">
        <v>3.16</v>
      </c>
      <c r="T3402">
        <v>1</v>
      </c>
      <c r="U3402" t="s">
        <v>22</v>
      </c>
      <c r="V3402" t="e">
        <f>IF(#REF! = "yes", 1, 0)</f>
        <v>#REF!</v>
      </c>
      <c r="W3402" t="e">
        <f>IF(#REF! &lt;= 1, "0-1 Calls", IF(#REF! &lt;= 3, "2-3 Calls", IF(#REF! &lt;=5, "4-5 Calls", "6+ Calls")))</f>
        <v>#REF!</v>
      </c>
      <c r="X3402" t="e">
        <f>IF(#REF! &lt;= 50, "0-50", IF(#REF! &lt;=100, "51-100", IF(#REF! &lt;= 150, "101-150", "151+")))</f>
        <v>#REF!</v>
      </c>
      <c r="Y3402" t="e">
        <f>IF(#REF! &lt;= 3, "Low Charges", "High Charges")</f>
        <v>#REF!</v>
      </c>
      <c r="Z3402" t="e">
        <f>IF(#REF!&lt;=80,"Low Calls",
IF(#REF!&lt;=120,"Medium Calls","High Calls"))</f>
        <v>#REF!</v>
      </c>
      <c r="AA3402" t="e">
        <f>IF(#REF!&lt;=15,"Low Charges",
IF(#REF!&lt;=20,"Medium Charges","High Charges"))</f>
        <v>#REF!</v>
      </c>
      <c r="AB3402" t="e">
        <f>IF(AND(#REF!&gt;180, #REF!&gt;200), "Heavy Doemstic User", IF(#REF!&gt;10, "Interntional User", IF(AND(#REF!&lt;180, #REF!&lt;200,#REF!&lt;200), "Light User", "Balanced User")))</f>
        <v>#REF!</v>
      </c>
      <c r="AC3402" t="e">
        <f>IF(#REF! = 0, "No Usage", IF(#REF! &lt;= 20, "Low Usage", IF(#REF! &lt;= 40, "Medium Usgae", "High Usage")))</f>
        <v>#REF!</v>
      </c>
      <c r="AD3402" t="e">
        <f>IF(#REF!&lt;=150,"Low Usage", IF(#REF!&lt;=200,"Medium Usage", IF(#REF!&lt;=250,"High Usage","Very High Usage")))</f>
        <v>#REF!</v>
      </c>
      <c r="AE3402" t="e">
        <f>IF(#REF!&lt;=5,"Low Calls", IF(#REF!&lt;=10, "Medium Calls", "High Calls"))</f>
        <v>#REF!</v>
      </c>
      <c r="AF3402" t="e">
        <f xml:space="preserve">
IF(#REF!&gt;=4,4,0)+
IF(#REF!="yes",3,0)+
IF(#REF!="High Charges",3,0)+
IF(#REF!&gt;250,4,0)+
IF(#REF!="no",1,0)+
IF(#REF!="Heavy Domestic User",2,0)</f>
        <v>#REF!</v>
      </c>
      <c r="AG3402" t="e">
        <f>IF(#REF!&gt;=10,"High Risk", IF(#REF!&gt;=5,"Medium Risk","Low Risk"))</f>
        <v>#REF!</v>
      </c>
      <c r="AH3402" t="e">
        <f>#REF! + #REF! + #REF! + #REF!</f>
        <v>#REF!</v>
      </c>
    </row>
    <row r="3403" spans="1:34" x14ac:dyDescent="0.35">
      <c r="A3403">
        <v>3402</v>
      </c>
      <c r="B3403" t="s">
        <v>55</v>
      </c>
      <c r="C3403">
        <v>188</v>
      </c>
      <c r="D3403" t="s">
        <v>25</v>
      </c>
      <c r="E3403" t="s">
        <v>22</v>
      </c>
      <c r="F3403" t="s">
        <v>22</v>
      </c>
      <c r="G3403">
        <v>0</v>
      </c>
      <c r="H3403">
        <v>231.1</v>
      </c>
      <c r="I3403">
        <v>92</v>
      </c>
      <c r="J3403">
        <v>39.29</v>
      </c>
      <c r="K3403">
        <v>182.4</v>
      </c>
      <c r="L3403">
        <v>93</v>
      </c>
      <c r="M3403">
        <v>15.5</v>
      </c>
      <c r="N3403">
        <v>227.2</v>
      </c>
      <c r="O3403">
        <v>89</v>
      </c>
      <c r="P3403">
        <v>10.220000000000001</v>
      </c>
      <c r="Q3403">
        <v>9.8000000000000007</v>
      </c>
      <c r="R3403">
        <v>5</v>
      </c>
      <c r="S3403">
        <v>2.65</v>
      </c>
      <c r="T3403">
        <v>4</v>
      </c>
      <c r="U3403" t="s">
        <v>22</v>
      </c>
      <c r="V3403" t="e">
        <f>IF(#REF! = "yes", 1, 0)</f>
        <v>#REF!</v>
      </c>
      <c r="W3403" t="e">
        <f>IF(#REF! &lt;= 1, "0-1 Calls", IF(#REF! &lt;= 3, "2-3 Calls", IF(#REF! &lt;=5, "4-5 Calls", "6+ Calls")))</f>
        <v>#REF!</v>
      </c>
      <c r="X3403" t="e">
        <f>IF(#REF! &lt;= 50, "0-50", IF(#REF! &lt;=100, "51-100", IF(#REF! &lt;= 150, "101-150", "151+")))</f>
        <v>#REF!</v>
      </c>
      <c r="Y3403" t="e">
        <f>IF(#REF! &lt;= 3, "Low Charges", "High Charges")</f>
        <v>#REF!</v>
      </c>
      <c r="Z3403" t="e">
        <f>IF(#REF!&lt;=80,"Low Calls",
IF(#REF!&lt;=120,"Medium Calls","High Calls"))</f>
        <v>#REF!</v>
      </c>
      <c r="AA3403" t="e">
        <f>IF(#REF!&lt;=15,"Low Charges",
IF(#REF!&lt;=20,"Medium Charges","High Charges"))</f>
        <v>#REF!</v>
      </c>
      <c r="AB3403" t="e">
        <f>IF(AND(#REF!&gt;180, #REF!&gt;200), "Heavy Doemstic User", IF(#REF!&gt;10, "Interntional User", IF(AND(#REF!&lt;180, #REF!&lt;200,#REF!&lt;200), "Light User", "Balanced User")))</f>
        <v>#REF!</v>
      </c>
      <c r="AC3403" t="e">
        <f>IF(#REF! = 0, "No Usage", IF(#REF! &lt;= 20, "Low Usage", IF(#REF! &lt;= 40, "Medium Usgae", "High Usage")))</f>
        <v>#REF!</v>
      </c>
      <c r="AD3403" t="e">
        <f>IF(#REF!&lt;=150,"Low Usage", IF(#REF!&lt;=200,"Medium Usage", IF(#REF!&lt;=250,"High Usage","Very High Usage")))</f>
        <v>#REF!</v>
      </c>
      <c r="AE3403" t="e">
        <f>IF(#REF!&lt;=5,"Low Calls", IF(#REF!&lt;=10, "Medium Calls", "High Calls"))</f>
        <v>#REF!</v>
      </c>
      <c r="AF3403" t="e">
        <f xml:space="preserve">
IF(#REF!&gt;=4,4,0)+
IF(#REF!="yes",3,0)+
IF(#REF!="High Charges",3,0)+
IF(#REF!&gt;250,4,0)+
IF(#REF!="no",1,0)+
IF(#REF!="Heavy Domestic User",2,0)</f>
        <v>#REF!</v>
      </c>
      <c r="AG3403" t="e">
        <f>IF(#REF!&gt;=10,"High Risk", IF(#REF!&gt;=5,"Medium Risk","Low Risk"))</f>
        <v>#REF!</v>
      </c>
      <c r="AH3403" t="e">
        <f>#REF! + #REF! + #REF! + #REF!</f>
        <v>#REF!</v>
      </c>
    </row>
    <row r="3404" spans="1:34" x14ac:dyDescent="0.35">
      <c r="A3404">
        <v>3403</v>
      </c>
      <c r="B3404" t="s">
        <v>45</v>
      </c>
      <c r="C3404">
        <v>174</v>
      </c>
      <c r="D3404" t="s">
        <v>21</v>
      </c>
      <c r="E3404" t="s">
        <v>22</v>
      </c>
      <c r="F3404" t="s">
        <v>22</v>
      </c>
      <c r="G3404">
        <v>0</v>
      </c>
      <c r="H3404">
        <v>187.4</v>
      </c>
      <c r="I3404">
        <v>74</v>
      </c>
      <c r="J3404">
        <v>31.86</v>
      </c>
      <c r="K3404">
        <v>144.6</v>
      </c>
      <c r="L3404">
        <v>142</v>
      </c>
      <c r="M3404">
        <v>12.29</v>
      </c>
      <c r="N3404">
        <v>235.7</v>
      </c>
      <c r="O3404">
        <v>102</v>
      </c>
      <c r="P3404">
        <v>10.61</v>
      </c>
      <c r="Q3404">
        <v>10.199999999999999</v>
      </c>
      <c r="R3404">
        <v>1</v>
      </c>
      <c r="S3404">
        <v>2.75</v>
      </c>
      <c r="T3404">
        <v>1</v>
      </c>
      <c r="U3404" t="s">
        <v>22</v>
      </c>
      <c r="V3404" t="e">
        <f>IF(#REF! = "yes", 1, 0)</f>
        <v>#REF!</v>
      </c>
      <c r="W3404" t="e">
        <f>IF(#REF! &lt;= 1, "0-1 Calls", IF(#REF! &lt;= 3, "2-3 Calls", IF(#REF! &lt;=5, "4-5 Calls", "6+ Calls")))</f>
        <v>#REF!</v>
      </c>
      <c r="X3404" t="e">
        <f>IF(#REF! &lt;= 50, "0-50", IF(#REF! &lt;=100, "51-100", IF(#REF! &lt;= 150, "101-150", "151+")))</f>
        <v>#REF!</v>
      </c>
      <c r="Y3404" t="e">
        <f>IF(#REF! &lt;= 3, "Low Charges", "High Charges")</f>
        <v>#REF!</v>
      </c>
      <c r="Z3404" t="e">
        <f>IF(#REF!&lt;=80,"Low Calls",
IF(#REF!&lt;=120,"Medium Calls","High Calls"))</f>
        <v>#REF!</v>
      </c>
      <c r="AA3404" t="e">
        <f>IF(#REF!&lt;=15,"Low Charges",
IF(#REF!&lt;=20,"Medium Charges","High Charges"))</f>
        <v>#REF!</v>
      </c>
      <c r="AB3404" t="e">
        <f>IF(AND(#REF!&gt;180, #REF!&gt;200), "Heavy Doemstic User", IF(#REF!&gt;10, "Interntional User", IF(AND(#REF!&lt;180, #REF!&lt;200,#REF!&lt;200), "Light User", "Balanced User")))</f>
        <v>#REF!</v>
      </c>
      <c r="AC3404" t="e">
        <f>IF(#REF! = 0, "No Usage", IF(#REF! &lt;= 20, "Low Usage", IF(#REF! &lt;= 40, "Medium Usgae", "High Usage")))</f>
        <v>#REF!</v>
      </c>
      <c r="AD3404" t="e">
        <f>IF(#REF!&lt;=150,"Low Usage", IF(#REF!&lt;=200,"Medium Usage", IF(#REF!&lt;=250,"High Usage","Very High Usage")))</f>
        <v>#REF!</v>
      </c>
      <c r="AE3404" t="e">
        <f>IF(#REF!&lt;=5,"Low Calls", IF(#REF!&lt;=10, "Medium Calls", "High Calls"))</f>
        <v>#REF!</v>
      </c>
      <c r="AF3404" t="e">
        <f xml:space="preserve">
IF(#REF!&gt;=4,4,0)+
IF(#REF!="yes",3,0)+
IF(#REF!="High Charges",3,0)+
IF(#REF!&gt;250,4,0)+
IF(#REF!="no",1,0)+
IF(#REF!="Heavy Domestic User",2,0)</f>
        <v>#REF!</v>
      </c>
      <c r="AG3404" t="e">
        <f>IF(#REF!&gt;=10,"High Risk", IF(#REF!&gt;=5,"Medium Risk","Low Risk"))</f>
        <v>#REF!</v>
      </c>
      <c r="AH3404" t="e">
        <f>#REF! + #REF! + #REF! + #REF!</f>
        <v>#REF!</v>
      </c>
    </row>
    <row r="3405" spans="1:34" x14ac:dyDescent="0.35">
      <c r="A3405">
        <v>3404</v>
      </c>
      <c r="B3405" t="s">
        <v>64</v>
      </c>
      <c r="C3405">
        <v>57</v>
      </c>
      <c r="D3405" t="s">
        <v>21</v>
      </c>
      <c r="E3405" t="s">
        <v>22</v>
      </c>
      <c r="F3405" t="s">
        <v>22</v>
      </c>
      <c r="G3405">
        <v>0</v>
      </c>
      <c r="H3405">
        <v>166.4</v>
      </c>
      <c r="I3405">
        <v>114</v>
      </c>
      <c r="J3405">
        <v>28.29</v>
      </c>
      <c r="K3405">
        <v>76.8</v>
      </c>
      <c r="L3405">
        <v>119</v>
      </c>
      <c r="M3405">
        <v>6.53</v>
      </c>
      <c r="N3405">
        <v>260.10000000000002</v>
      </c>
      <c r="O3405">
        <v>77</v>
      </c>
      <c r="P3405">
        <v>11.7</v>
      </c>
      <c r="Q3405">
        <v>10.9</v>
      </c>
      <c r="R3405">
        <v>3</v>
      </c>
      <c r="S3405">
        <v>2.94</v>
      </c>
      <c r="T3405">
        <v>3</v>
      </c>
      <c r="U3405" t="s">
        <v>22</v>
      </c>
      <c r="V3405" t="e">
        <f>IF(#REF! = "yes", 1, 0)</f>
        <v>#REF!</v>
      </c>
      <c r="W3405" t="e">
        <f>IF(#REF! &lt;= 1, "0-1 Calls", IF(#REF! &lt;= 3, "2-3 Calls", IF(#REF! &lt;=5, "4-5 Calls", "6+ Calls")))</f>
        <v>#REF!</v>
      </c>
      <c r="X3405" t="e">
        <f>IF(#REF! &lt;= 50, "0-50", IF(#REF! &lt;=100, "51-100", IF(#REF! &lt;= 150, "101-150", "151+")))</f>
        <v>#REF!</v>
      </c>
      <c r="Y3405" t="e">
        <f>IF(#REF! &lt;= 3, "Low Charges", "High Charges")</f>
        <v>#REF!</v>
      </c>
      <c r="Z3405" t="e">
        <f>IF(#REF!&lt;=80,"Low Calls",
IF(#REF!&lt;=120,"Medium Calls","High Calls"))</f>
        <v>#REF!</v>
      </c>
      <c r="AA3405" t="e">
        <f>IF(#REF!&lt;=15,"Low Charges",
IF(#REF!&lt;=20,"Medium Charges","High Charges"))</f>
        <v>#REF!</v>
      </c>
      <c r="AB3405" t="e">
        <f>IF(AND(#REF!&gt;180, #REF!&gt;200), "Heavy Doemstic User", IF(#REF!&gt;10, "Interntional User", IF(AND(#REF!&lt;180, #REF!&lt;200,#REF!&lt;200), "Light User", "Balanced User")))</f>
        <v>#REF!</v>
      </c>
      <c r="AC3405" t="e">
        <f>IF(#REF! = 0, "No Usage", IF(#REF! &lt;= 20, "Low Usage", IF(#REF! &lt;= 40, "Medium Usgae", "High Usage")))</f>
        <v>#REF!</v>
      </c>
      <c r="AD3405" t="e">
        <f>IF(#REF!&lt;=150,"Low Usage", IF(#REF!&lt;=200,"Medium Usage", IF(#REF!&lt;=250,"High Usage","Very High Usage")))</f>
        <v>#REF!</v>
      </c>
      <c r="AE3405" t="e">
        <f>IF(#REF!&lt;=5,"Low Calls", IF(#REF!&lt;=10, "Medium Calls", "High Calls"))</f>
        <v>#REF!</v>
      </c>
      <c r="AF3405" t="e">
        <f xml:space="preserve">
IF(#REF!&gt;=4,4,0)+
IF(#REF!="yes",3,0)+
IF(#REF!="High Charges",3,0)+
IF(#REF!&gt;250,4,0)+
IF(#REF!="no",1,0)+
IF(#REF!="Heavy Domestic User",2,0)</f>
        <v>#REF!</v>
      </c>
      <c r="AG3405" t="e">
        <f>IF(#REF!&gt;=10,"High Risk", IF(#REF!&gt;=5,"Medium Risk","Low Risk"))</f>
        <v>#REF!</v>
      </c>
      <c r="AH3405" t="e">
        <f>#REF! + #REF! + #REF! + #REF!</f>
        <v>#REF!</v>
      </c>
    </row>
    <row r="3406" spans="1:34" x14ac:dyDescent="0.35">
      <c r="A3406">
        <v>3405</v>
      </c>
      <c r="B3406" t="s">
        <v>49</v>
      </c>
      <c r="C3406">
        <v>105</v>
      </c>
      <c r="D3406" t="s">
        <v>25</v>
      </c>
      <c r="E3406" t="s">
        <v>22</v>
      </c>
      <c r="F3406" t="s">
        <v>22</v>
      </c>
      <c r="G3406">
        <v>0</v>
      </c>
      <c r="H3406">
        <v>141.80000000000001</v>
      </c>
      <c r="I3406">
        <v>85</v>
      </c>
      <c r="J3406">
        <v>24.11</v>
      </c>
      <c r="K3406">
        <v>191.3</v>
      </c>
      <c r="L3406">
        <v>101</v>
      </c>
      <c r="M3406">
        <v>16.260000000000002</v>
      </c>
      <c r="N3406">
        <v>133.6</v>
      </c>
      <c r="O3406">
        <v>126</v>
      </c>
      <c r="P3406">
        <v>6.01</v>
      </c>
      <c r="Q3406">
        <v>10.9</v>
      </c>
      <c r="R3406">
        <v>3</v>
      </c>
      <c r="S3406">
        <v>2.94</v>
      </c>
      <c r="T3406">
        <v>1</v>
      </c>
      <c r="U3406" t="s">
        <v>22</v>
      </c>
      <c r="V3406" t="e">
        <f>IF(#REF! = "yes", 1, 0)</f>
        <v>#REF!</v>
      </c>
      <c r="W3406" t="e">
        <f>IF(#REF! &lt;= 1, "0-1 Calls", IF(#REF! &lt;= 3, "2-3 Calls", IF(#REF! &lt;=5, "4-5 Calls", "6+ Calls")))</f>
        <v>#REF!</v>
      </c>
      <c r="X3406" t="e">
        <f>IF(#REF! &lt;= 50, "0-50", IF(#REF! &lt;=100, "51-100", IF(#REF! &lt;= 150, "101-150", "151+")))</f>
        <v>#REF!</v>
      </c>
      <c r="Y3406" t="e">
        <f>IF(#REF! &lt;= 3, "Low Charges", "High Charges")</f>
        <v>#REF!</v>
      </c>
      <c r="Z3406" t="e">
        <f>IF(#REF!&lt;=80,"Low Calls",
IF(#REF!&lt;=120,"Medium Calls","High Calls"))</f>
        <v>#REF!</v>
      </c>
      <c r="AA3406" t="e">
        <f>IF(#REF!&lt;=15,"Low Charges",
IF(#REF!&lt;=20,"Medium Charges","High Charges"))</f>
        <v>#REF!</v>
      </c>
      <c r="AB3406" t="e">
        <f>IF(AND(#REF!&gt;180, #REF!&gt;200), "Heavy Doemstic User", IF(#REF!&gt;10, "Interntional User", IF(AND(#REF!&lt;180, #REF!&lt;200,#REF!&lt;200), "Light User", "Balanced User")))</f>
        <v>#REF!</v>
      </c>
      <c r="AC3406" t="e">
        <f>IF(#REF! = 0, "No Usage", IF(#REF! &lt;= 20, "Low Usage", IF(#REF! &lt;= 40, "Medium Usgae", "High Usage")))</f>
        <v>#REF!</v>
      </c>
      <c r="AD3406" t="e">
        <f>IF(#REF!&lt;=150,"Low Usage", IF(#REF!&lt;=200,"Medium Usage", IF(#REF!&lt;=250,"High Usage","Very High Usage")))</f>
        <v>#REF!</v>
      </c>
      <c r="AE3406" t="e">
        <f>IF(#REF!&lt;=5,"Low Calls", IF(#REF!&lt;=10, "Medium Calls", "High Calls"))</f>
        <v>#REF!</v>
      </c>
      <c r="AF3406" t="e">
        <f xml:space="preserve">
IF(#REF!&gt;=4,4,0)+
IF(#REF!="yes",3,0)+
IF(#REF!="High Charges",3,0)+
IF(#REF!&gt;250,4,0)+
IF(#REF!="no",1,0)+
IF(#REF!="Heavy Domestic User",2,0)</f>
        <v>#REF!</v>
      </c>
      <c r="AG3406" t="e">
        <f>IF(#REF!&gt;=10,"High Risk", IF(#REF!&gt;=5,"Medium Risk","Low Risk"))</f>
        <v>#REF!</v>
      </c>
      <c r="AH3406" t="e">
        <f>#REF! + #REF! + #REF! + #REF!</f>
        <v>#REF!</v>
      </c>
    </row>
    <row r="3407" spans="1:34" x14ac:dyDescent="0.35">
      <c r="A3407">
        <v>3406</v>
      </c>
      <c r="B3407" t="s">
        <v>71</v>
      </c>
      <c r="C3407">
        <v>175</v>
      </c>
      <c r="D3407" t="s">
        <v>25</v>
      </c>
      <c r="E3407" t="s">
        <v>23</v>
      </c>
      <c r="F3407" t="s">
        <v>23</v>
      </c>
      <c r="G3407">
        <v>35</v>
      </c>
      <c r="H3407">
        <v>159.5</v>
      </c>
      <c r="I3407">
        <v>95</v>
      </c>
      <c r="J3407">
        <v>27.12</v>
      </c>
      <c r="K3407">
        <v>140.69999999999999</v>
      </c>
      <c r="L3407">
        <v>100</v>
      </c>
      <c r="M3407">
        <v>11.96</v>
      </c>
      <c r="N3407">
        <v>176.3</v>
      </c>
      <c r="O3407">
        <v>99</v>
      </c>
      <c r="P3407">
        <v>7.93</v>
      </c>
      <c r="Q3407">
        <v>5.4</v>
      </c>
      <c r="R3407">
        <v>4</v>
      </c>
      <c r="S3407">
        <v>1.46</v>
      </c>
      <c r="T3407">
        <v>5</v>
      </c>
      <c r="U3407" t="s">
        <v>23</v>
      </c>
      <c r="V3407" t="e">
        <f>IF(#REF! = "yes", 1, 0)</f>
        <v>#REF!</v>
      </c>
      <c r="W3407" t="e">
        <f>IF(#REF! &lt;= 1, "0-1 Calls", IF(#REF! &lt;= 3, "2-3 Calls", IF(#REF! &lt;=5, "4-5 Calls", "6+ Calls")))</f>
        <v>#REF!</v>
      </c>
      <c r="X3407" t="e">
        <f>IF(#REF! &lt;= 50, "0-50", IF(#REF! &lt;=100, "51-100", IF(#REF! &lt;= 150, "101-150", "151+")))</f>
        <v>#REF!</v>
      </c>
      <c r="Y3407" t="e">
        <f>IF(#REF! &lt;= 3, "Low Charges", "High Charges")</f>
        <v>#REF!</v>
      </c>
      <c r="Z3407" t="e">
        <f>IF(#REF!&lt;=80,"Low Calls",
IF(#REF!&lt;=120,"Medium Calls","High Calls"))</f>
        <v>#REF!</v>
      </c>
      <c r="AA3407" t="e">
        <f>IF(#REF!&lt;=15,"Low Charges",
IF(#REF!&lt;=20,"Medium Charges","High Charges"))</f>
        <v>#REF!</v>
      </c>
      <c r="AB3407" t="e">
        <f>IF(AND(#REF!&gt;180, #REF!&gt;200), "Heavy Doemstic User", IF(#REF!&gt;10, "Interntional User", IF(AND(#REF!&lt;180, #REF!&lt;200,#REF!&lt;200), "Light User", "Balanced User")))</f>
        <v>#REF!</v>
      </c>
      <c r="AC3407" t="e">
        <f>IF(#REF! = 0, "No Usage", IF(#REF! &lt;= 20, "Low Usage", IF(#REF! &lt;= 40, "Medium Usgae", "High Usage")))</f>
        <v>#REF!</v>
      </c>
      <c r="AD3407" t="e">
        <f>IF(#REF!&lt;=150,"Low Usage", IF(#REF!&lt;=200,"Medium Usage", IF(#REF!&lt;=250,"High Usage","Very High Usage")))</f>
        <v>#REF!</v>
      </c>
      <c r="AE3407" t="e">
        <f>IF(#REF!&lt;=5,"Low Calls", IF(#REF!&lt;=10, "Medium Calls", "High Calls"))</f>
        <v>#REF!</v>
      </c>
      <c r="AF3407" t="e">
        <f xml:space="preserve">
IF(#REF!&gt;=4,4,0)+
IF(#REF!="yes",3,0)+
IF(#REF!="High Charges",3,0)+
IF(#REF!&gt;250,4,0)+
IF(#REF!="no",1,0)+
IF(#REF!="Heavy Domestic User",2,0)</f>
        <v>#REF!</v>
      </c>
      <c r="AG3407" t="e">
        <f>IF(#REF!&gt;=10,"High Risk", IF(#REF!&gt;=5,"Medium Risk","Low Risk"))</f>
        <v>#REF!</v>
      </c>
      <c r="AH3407" t="e">
        <f>#REF! + #REF! + #REF! + #REF!</f>
        <v>#REF!</v>
      </c>
    </row>
    <row r="3408" spans="1:34" x14ac:dyDescent="0.35">
      <c r="A3408">
        <v>3407</v>
      </c>
      <c r="B3408" t="s">
        <v>48</v>
      </c>
      <c r="C3408">
        <v>100</v>
      </c>
      <c r="D3408" t="s">
        <v>21</v>
      </c>
      <c r="E3408" t="s">
        <v>22</v>
      </c>
      <c r="F3408" t="s">
        <v>22</v>
      </c>
      <c r="G3408">
        <v>0</v>
      </c>
      <c r="H3408">
        <v>218.9</v>
      </c>
      <c r="I3408">
        <v>124</v>
      </c>
      <c r="J3408">
        <v>37.21</v>
      </c>
      <c r="K3408">
        <v>237.5</v>
      </c>
      <c r="L3408">
        <v>99</v>
      </c>
      <c r="M3408">
        <v>20.190000000000001</v>
      </c>
      <c r="N3408">
        <v>189.7</v>
      </c>
      <c r="O3408">
        <v>52</v>
      </c>
      <c r="P3408">
        <v>8.5399999999999991</v>
      </c>
      <c r="Q3408">
        <v>11</v>
      </c>
      <c r="R3408">
        <v>6</v>
      </c>
      <c r="S3408">
        <v>2.97</v>
      </c>
      <c r="T3408">
        <v>2</v>
      </c>
      <c r="U3408" t="s">
        <v>22</v>
      </c>
      <c r="V3408" t="e">
        <f>IF(#REF! = "yes", 1, 0)</f>
        <v>#REF!</v>
      </c>
      <c r="W3408" t="e">
        <f>IF(#REF! &lt;= 1, "0-1 Calls", IF(#REF! &lt;= 3, "2-3 Calls", IF(#REF! &lt;=5, "4-5 Calls", "6+ Calls")))</f>
        <v>#REF!</v>
      </c>
      <c r="X3408" t="e">
        <f>IF(#REF! &lt;= 50, "0-50", IF(#REF! &lt;=100, "51-100", IF(#REF! &lt;= 150, "101-150", "151+")))</f>
        <v>#REF!</v>
      </c>
      <c r="Y3408" t="e">
        <f>IF(#REF! &lt;= 3, "Low Charges", "High Charges")</f>
        <v>#REF!</v>
      </c>
      <c r="Z3408" t="e">
        <f>IF(#REF!&lt;=80,"Low Calls",
IF(#REF!&lt;=120,"Medium Calls","High Calls"))</f>
        <v>#REF!</v>
      </c>
      <c r="AA3408" t="e">
        <f>IF(#REF!&lt;=15,"Low Charges",
IF(#REF!&lt;=20,"Medium Charges","High Charges"))</f>
        <v>#REF!</v>
      </c>
      <c r="AB3408" t="e">
        <f>IF(AND(#REF!&gt;180, #REF!&gt;200), "Heavy Doemstic User", IF(#REF!&gt;10, "Interntional User", IF(AND(#REF!&lt;180, #REF!&lt;200,#REF!&lt;200), "Light User", "Balanced User")))</f>
        <v>#REF!</v>
      </c>
      <c r="AC3408" t="e">
        <f>IF(#REF! = 0, "No Usage", IF(#REF! &lt;= 20, "Low Usage", IF(#REF! &lt;= 40, "Medium Usgae", "High Usage")))</f>
        <v>#REF!</v>
      </c>
      <c r="AD3408" t="e">
        <f>IF(#REF!&lt;=150,"Low Usage", IF(#REF!&lt;=200,"Medium Usage", IF(#REF!&lt;=250,"High Usage","Very High Usage")))</f>
        <v>#REF!</v>
      </c>
      <c r="AE3408" t="e">
        <f>IF(#REF!&lt;=5,"Low Calls", IF(#REF!&lt;=10, "Medium Calls", "High Calls"))</f>
        <v>#REF!</v>
      </c>
      <c r="AF3408" t="e">
        <f xml:space="preserve">
IF(#REF!&gt;=4,4,0)+
IF(#REF!="yes",3,0)+
IF(#REF!="High Charges",3,0)+
IF(#REF!&gt;250,4,0)+
IF(#REF!="no",1,0)+
IF(#REF!="Heavy Domestic User",2,0)</f>
        <v>#REF!</v>
      </c>
      <c r="AG3408" t="e">
        <f>IF(#REF!&gt;=10,"High Risk", IF(#REF!&gt;=5,"Medium Risk","Low Risk"))</f>
        <v>#REF!</v>
      </c>
      <c r="AH3408" t="e">
        <f>#REF! + #REF! + #REF! + #REF!</f>
        <v>#REF!</v>
      </c>
    </row>
    <row r="3409" spans="1:34" x14ac:dyDescent="0.35">
      <c r="A3409">
        <v>3408</v>
      </c>
      <c r="B3409" t="s">
        <v>27</v>
      </c>
      <c r="C3409">
        <v>132</v>
      </c>
      <c r="D3409" t="s">
        <v>21</v>
      </c>
      <c r="E3409" t="s">
        <v>22</v>
      </c>
      <c r="F3409" t="s">
        <v>22</v>
      </c>
      <c r="G3409">
        <v>0</v>
      </c>
      <c r="H3409">
        <v>138.69999999999999</v>
      </c>
      <c r="I3409">
        <v>101</v>
      </c>
      <c r="J3409">
        <v>23.58</v>
      </c>
      <c r="K3409">
        <v>257.5</v>
      </c>
      <c r="L3409">
        <v>85</v>
      </c>
      <c r="M3409">
        <v>21.89</v>
      </c>
      <c r="N3409">
        <v>165.6</v>
      </c>
      <c r="O3409">
        <v>92</v>
      </c>
      <c r="P3409">
        <v>7.45</v>
      </c>
      <c r="Q3409">
        <v>7.8</v>
      </c>
      <c r="R3409">
        <v>1</v>
      </c>
      <c r="S3409">
        <v>2.11</v>
      </c>
      <c r="T3409">
        <v>2</v>
      </c>
      <c r="U3409" t="s">
        <v>22</v>
      </c>
      <c r="V3409" t="e">
        <f>IF(#REF! = "yes", 1, 0)</f>
        <v>#REF!</v>
      </c>
      <c r="W3409" t="e">
        <f>IF(#REF! &lt;= 1, "0-1 Calls", IF(#REF! &lt;= 3, "2-3 Calls", IF(#REF! &lt;=5, "4-5 Calls", "6+ Calls")))</f>
        <v>#REF!</v>
      </c>
      <c r="X3409" t="e">
        <f>IF(#REF! &lt;= 50, "0-50", IF(#REF! &lt;=100, "51-100", IF(#REF! &lt;= 150, "101-150", "151+")))</f>
        <v>#REF!</v>
      </c>
      <c r="Y3409" t="e">
        <f>IF(#REF! &lt;= 3, "Low Charges", "High Charges")</f>
        <v>#REF!</v>
      </c>
      <c r="Z3409" t="e">
        <f>IF(#REF!&lt;=80,"Low Calls",
IF(#REF!&lt;=120,"Medium Calls","High Calls"))</f>
        <v>#REF!</v>
      </c>
      <c r="AA3409" t="e">
        <f>IF(#REF!&lt;=15,"Low Charges",
IF(#REF!&lt;=20,"Medium Charges","High Charges"))</f>
        <v>#REF!</v>
      </c>
      <c r="AB3409" t="e">
        <f>IF(AND(#REF!&gt;180, #REF!&gt;200), "Heavy Doemstic User", IF(#REF!&gt;10, "Interntional User", IF(AND(#REF!&lt;180, #REF!&lt;200,#REF!&lt;200), "Light User", "Balanced User")))</f>
        <v>#REF!</v>
      </c>
      <c r="AC3409" t="e">
        <f>IF(#REF! = 0, "No Usage", IF(#REF! &lt;= 20, "Low Usage", IF(#REF! &lt;= 40, "Medium Usgae", "High Usage")))</f>
        <v>#REF!</v>
      </c>
      <c r="AD3409" t="e">
        <f>IF(#REF!&lt;=150,"Low Usage", IF(#REF!&lt;=200,"Medium Usage", IF(#REF!&lt;=250,"High Usage","Very High Usage")))</f>
        <v>#REF!</v>
      </c>
      <c r="AE3409" t="e">
        <f>IF(#REF!&lt;=5,"Low Calls", IF(#REF!&lt;=10, "Medium Calls", "High Calls"))</f>
        <v>#REF!</v>
      </c>
      <c r="AF3409" t="e">
        <f xml:space="preserve">
IF(#REF!&gt;=4,4,0)+
IF(#REF!="yes",3,0)+
IF(#REF!="High Charges",3,0)+
IF(#REF!&gt;250,4,0)+
IF(#REF!="no",1,0)+
IF(#REF!="Heavy Domestic User",2,0)</f>
        <v>#REF!</v>
      </c>
      <c r="AG3409" t="e">
        <f>IF(#REF!&gt;=10,"High Risk", IF(#REF!&gt;=5,"Medium Risk","Low Risk"))</f>
        <v>#REF!</v>
      </c>
      <c r="AH3409" t="e">
        <f>#REF! + #REF! + #REF! + #REF!</f>
        <v>#REF!</v>
      </c>
    </row>
    <row r="3410" spans="1:34" x14ac:dyDescent="0.35">
      <c r="A3410">
        <v>3409</v>
      </c>
      <c r="B3410" t="s">
        <v>75</v>
      </c>
      <c r="C3410">
        <v>117</v>
      </c>
      <c r="D3410" t="s">
        <v>21</v>
      </c>
      <c r="E3410" t="s">
        <v>23</v>
      </c>
      <c r="F3410" t="s">
        <v>22</v>
      </c>
      <c r="G3410">
        <v>0</v>
      </c>
      <c r="H3410">
        <v>158.1</v>
      </c>
      <c r="I3410">
        <v>101</v>
      </c>
      <c r="J3410">
        <v>26.88</v>
      </c>
      <c r="K3410">
        <v>315.10000000000002</v>
      </c>
      <c r="L3410">
        <v>96</v>
      </c>
      <c r="M3410">
        <v>26.78</v>
      </c>
      <c r="N3410">
        <v>176.1</v>
      </c>
      <c r="O3410">
        <v>108</v>
      </c>
      <c r="P3410">
        <v>7.92</v>
      </c>
      <c r="Q3410">
        <v>13.9</v>
      </c>
      <c r="R3410">
        <v>2</v>
      </c>
      <c r="S3410">
        <v>3.75</v>
      </c>
      <c r="T3410">
        <v>3</v>
      </c>
      <c r="U3410" t="s">
        <v>23</v>
      </c>
      <c r="V3410" t="e">
        <f>IF(#REF! = "yes", 1, 0)</f>
        <v>#REF!</v>
      </c>
      <c r="W3410" t="e">
        <f>IF(#REF! &lt;= 1, "0-1 Calls", IF(#REF! &lt;= 3, "2-3 Calls", IF(#REF! &lt;=5, "4-5 Calls", "6+ Calls")))</f>
        <v>#REF!</v>
      </c>
      <c r="X3410" t="e">
        <f>IF(#REF! &lt;= 50, "0-50", IF(#REF! &lt;=100, "51-100", IF(#REF! &lt;= 150, "101-150", "151+")))</f>
        <v>#REF!</v>
      </c>
      <c r="Y3410" t="e">
        <f>IF(#REF! &lt;= 3, "Low Charges", "High Charges")</f>
        <v>#REF!</v>
      </c>
      <c r="Z3410" t="e">
        <f>IF(#REF!&lt;=80,"Low Calls",
IF(#REF!&lt;=120,"Medium Calls","High Calls"))</f>
        <v>#REF!</v>
      </c>
      <c r="AA3410" t="e">
        <f>IF(#REF!&lt;=15,"Low Charges",
IF(#REF!&lt;=20,"Medium Charges","High Charges"))</f>
        <v>#REF!</v>
      </c>
      <c r="AB3410" t="e">
        <f>IF(AND(#REF!&gt;180, #REF!&gt;200), "Heavy Doemstic User", IF(#REF!&gt;10, "Interntional User", IF(AND(#REF!&lt;180, #REF!&lt;200,#REF!&lt;200), "Light User", "Balanced User")))</f>
        <v>#REF!</v>
      </c>
      <c r="AC3410" t="e">
        <f>IF(#REF! = 0, "No Usage", IF(#REF! &lt;= 20, "Low Usage", IF(#REF! &lt;= 40, "Medium Usgae", "High Usage")))</f>
        <v>#REF!</v>
      </c>
      <c r="AD3410" t="e">
        <f>IF(#REF!&lt;=150,"Low Usage", IF(#REF!&lt;=200,"Medium Usage", IF(#REF!&lt;=250,"High Usage","Very High Usage")))</f>
        <v>#REF!</v>
      </c>
      <c r="AE3410" t="e">
        <f>IF(#REF!&lt;=5,"Low Calls", IF(#REF!&lt;=10, "Medium Calls", "High Calls"))</f>
        <v>#REF!</v>
      </c>
      <c r="AF3410" t="e">
        <f xml:space="preserve">
IF(#REF!&gt;=4,4,0)+
IF(#REF!="yes",3,0)+
IF(#REF!="High Charges",3,0)+
IF(#REF!&gt;250,4,0)+
IF(#REF!="no",1,0)+
IF(#REF!="Heavy Domestic User",2,0)</f>
        <v>#REF!</v>
      </c>
      <c r="AG3410" t="e">
        <f>IF(#REF!&gt;=10,"High Risk", IF(#REF!&gt;=5,"Medium Risk","Low Risk"))</f>
        <v>#REF!</v>
      </c>
      <c r="AH3410" t="e">
        <f>#REF! + #REF! + #REF! + #REF!</f>
        <v>#REF!</v>
      </c>
    </row>
    <row r="3411" spans="1:34" x14ac:dyDescent="0.35">
      <c r="A3411">
        <v>3410</v>
      </c>
      <c r="B3411" t="s">
        <v>24</v>
      </c>
      <c r="C3411">
        <v>65</v>
      </c>
      <c r="D3411" t="s">
        <v>21</v>
      </c>
      <c r="E3411" t="s">
        <v>22</v>
      </c>
      <c r="F3411" t="s">
        <v>22</v>
      </c>
      <c r="G3411">
        <v>0</v>
      </c>
      <c r="H3411">
        <v>97.9</v>
      </c>
      <c r="I3411">
        <v>138</v>
      </c>
      <c r="J3411">
        <v>16.64</v>
      </c>
      <c r="K3411">
        <v>173</v>
      </c>
      <c r="L3411">
        <v>102</v>
      </c>
      <c r="M3411">
        <v>14.71</v>
      </c>
      <c r="N3411">
        <v>262.2</v>
      </c>
      <c r="O3411">
        <v>92</v>
      </c>
      <c r="P3411">
        <v>11.8</v>
      </c>
      <c r="Q3411">
        <v>9.1999999999999993</v>
      </c>
      <c r="R3411">
        <v>4</v>
      </c>
      <c r="S3411">
        <v>2.48</v>
      </c>
      <c r="T3411">
        <v>1</v>
      </c>
      <c r="U3411" t="s">
        <v>22</v>
      </c>
      <c r="V3411" t="e">
        <f>IF(#REF! = "yes", 1, 0)</f>
        <v>#REF!</v>
      </c>
      <c r="W3411" t="e">
        <f>IF(#REF! &lt;= 1, "0-1 Calls", IF(#REF! &lt;= 3, "2-3 Calls", IF(#REF! &lt;=5, "4-5 Calls", "6+ Calls")))</f>
        <v>#REF!</v>
      </c>
      <c r="X3411" t="e">
        <f>IF(#REF! &lt;= 50, "0-50", IF(#REF! &lt;=100, "51-100", IF(#REF! &lt;= 150, "101-150", "151+")))</f>
        <v>#REF!</v>
      </c>
      <c r="Y3411" t="e">
        <f>IF(#REF! &lt;= 3, "Low Charges", "High Charges")</f>
        <v>#REF!</v>
      </c>
      <c r="Z3411" t="e">
        <f>IF(#REF!&lt;=80,"Low Calls",
IF(#REF!&lt;=120,"Medium Calls","High Calls"))</f>
        <v>#REF!</v>
      </c>
      <c r="AA3411" t="e">
        <f>IF(#REF!&lt;=15,"Low Charges",
IF(#REF!&lt;=20,"Medium Charges","High Charges"))</f>
        <v>#REF!</v>
      </c>
      <c r="AB3411" t="e">
        <f>IF(AND(#REF!&gt;180, #REF!&gt;200), "Heavy Doemstic User", IF(#REF!&gt;10, "Interntional User", IF(AND(#REF!&lt;180, #REF!&lt;200,#REF!&lt;200), "Light User", "Balanced User")))</f>
        <v>#REF!</v>
      </c>
      <c r="AC3411" t="e">
        <f>IF(#REF! = 0, "No Usage", IF(#REF! &lt;= 20, "Low Usage", IF(#REF! &lt;= 40, "Medium Usgae", "High Usage")))</f>
        <v>#REF!</v>
      </c>
      <c r="AD3411" t="e">
        <f>IF(#REF!&lt;=150,"Low Usage", IF(#REF!&lt;=200,"Medium Usage", IF(#REF!&lt;=250,"High Usage","Very High Usage")))</f>
        <v>#REF!</v>
      </c>
      <c r="AE3411" t="e">
        <f>IF(#REF!&lt;=5,"Low Calls", IF(#REF!&lt;=10, "Medium Calls", "High Calls"))</f>
        <v>#REF!</v>
      </c>
      <c r="AF3411" t="e">
        <f xml:space="preserve">
IF(#REF!&gt;=4,4,0)+
IF(#REF!="yes",3,0)+
IF(#REF!="High Charges",3,0)+
IF(#REF!&gt;250,4,0)+
IF(#REF!="no",1,0)+
IF(#REF!="Heavy Domestic User",2,0)</f>
        <v>#REF!</v>
      </c>
      <c r="AG3411" t="e">
        <f>IF(#REF!&gt;=10,"High Risk", IF(#REF!&gt;=5,"Medium Risk","Low Risk"))</f>
        <v>#REF!</v>
      </c>
      <c r="AH3411" t="e">
        <f>#REF! + #REF! + #REF! + #REF!</f>
        <v>#REF!</v>
      </c>
    </row>
    <row r="3412" spans="1:34" x14ac:dyDescent="0.35">
      <c r="A3412">
        <v>3411</v>
      </c>
      <c r="B3412" t="s">
        <v>46</v>
      </c>
      <c r="C3412">
        <v>131</v>
      </c>
      <c r="D3412" t="s">
        <v>28</v>
      </c>
      <c r="E3412" t="s">
        <v>22</v>
      </c>
      <c r="F3412" t="s">
        <v>22</v>
      </c>
      <c r="G3412">
        <v>0</v>
      </c>
      <c r="H3412">
        <v>103.5</v>
      </c>
      <c r="I3412">
        <v>105</v>
      </c>
      <c r="J3412">
        <v>17.600000000000001</v>
      </c>
      <c r="K3412">
        <v>174.1</v>
      </c>
      <c r="L3412">
        <v>103</v>
      </c>
      <c r="M3412">
        <v>14.8</v>
      </c>
      <c r="N3412">
        <v>248.2</v>
      </c>
      <c r="O3412">
        <v>95</v>
      </c>
      <c r="P3412">
        <v>11.17</v>
      </c>
      <c r="Q3412">
        <v>11.7</v>
      </c>
      <c r="R3412">
        <v>2</v>
      </c>
      <c r="S3412">
        <v>3.16</v>
      </c>
      <c r="T3412">
        <v>5</v>
      </c>
      <c r="U3412" t="s">
        <v>23</v>
      </c>
      <c r="V3412" t="e">
        <f>IF(#REF! = "yes", 1, 0)</f>
        <v>#REF!</v>
      </c>
      <c r="W3412" t="e">
        <f>IF(#REF! &lt;= 1, "0-1 Calls", IF(#REF! &lt;= 3, "2-3 Calls", IF(#REF! &lt;=5, "4-5 Calls", "6+ Calls")))</f>
        <v>#REF!</v>
      </c>
      <c r="X3412" t="e">
        <f>IF(#REF! &lt;= 50, "0-50", IF(#REF! &lt;=100, "51-100", IF(#REF! &lt;= 150, "101-150", "151+")))</f>
        <v>#REF!</v>
      </c>
      <c r="Y3412" t="e">
        <f>IF(#REF! &lt;= 3, "Low Charges", "High Charges")</f>
        <v>#REF!</v>
      </c>
      <c r="Z3412" t="e">
        <f>IF(#REF!&lt;=80,"Low Calls",
IF(#REF!&lt;=120,"Medium Calls","High Calls"))</f>
        <v>#REF!</v>
      </c>
      <c r="AA3412" t="e">
        <f>IF(#REF!&lt;=15,"Low Charges",
IF(#REF!&lt;=20,"Medium Charges","High Charges"))</f>
        <v>#REF!</v>
      </c>
      <c r="AB3412" t="e">
        <f>IF(AND(#REF!&gt;180, #REF!&gt;200), "Heavy Doemstic User", IF(#REF!&gt;10, "Interntional User", IF(AND(#REF!&lt;180, #REF!&lt;200,#REF!&lt;200), "Light User", "Balanced User")))</f>
        <v>#REF!</v>
      </c>
      <c r="AC3412" t="e">
        <f>IF(#REF! = 0, "No Usage", IF(#REF! &lt;= 20, "Low Usage", IF(#REF! &lt;= 40, "Medium Usgae", "High Usage")))</f>
        <v>#REF!</v>
      </c>
      <c r="AD3412" t="e">
        <f>IF(#REF!&lt;=150,"Low Usage", IF(#REF!&lt;=200,"Medium Usage", IF(#REF!&lt;=250,"High Usage","Very High Usage")))</f>
        <v>#REF!</v>
      </c>
      <c r="AE3412" t="e">
        <f>IF(#REF!&lt;=5,"Low Calls", IF(#REF!&lt;=10, "Medium Calls", "High Calls"))</f>
        <v>#REF!</v>
      </c>
      <c r="AF3412" t="e">
        <f xml:space="preserve">
IF(#REF!&gt;=4,4,0)+
IF(#REF!="yes",3,0)+
IF(#REF!="High Charges",3,0)+
IF(#REF!&gt;250,4,0)+
IF(#REF!="no",1,0)+
IF(#REF!="Heavy Domestic User",2,0)</f>
        <v>#REF!</v>
      </c>
      <c r="AG3412" t="e">
        <f>IF(#REF!&gt;=10,"High Risk", IF(#REF!&gt;=5,"Medium Risk","Low Risk"))</f>
        <v>#REF!</v>
      </c>
      <c r="AH3412" t="e">
        <f>#REF! + #REF! + #REF! + #REF!</f>
        <v>#REF!</v>
      </c>
    </row>
    <row r="3413" spans="1:34" x14ac:dyDescent="0.35">
      <c r="A3413">
        <v>3412</v>
      </c>
      <c r="B3413" t="s">
        <v>24</v>
      </c>
      <c r="C3413">
        <v>114</v>
      </c>
      <c r="D3413" t="s">
        <v>25</v>
      </c>
      <c r="E3413" t="s">
        <v>22</v>
      </c>
      <c r="F3413" t="s">
        <v>22</v>
      </c>
      <c r="G3413">
        <v>0</v>
      </c>
      <c r="H3413">
        <v>206.3</v>
      </c>
      <c r="I3413">
        <v>113</v>
      </c>
      <c r="J3413">
        <v>35.07</v>
      </c>
      <c r="K3413">
        <v>223.5</v>
      </c>
      <c r="L3413">
        <v>97</v>
      </c>
      <c r="M3413">
        <v>19</v>
      </c>
      <c r="N3413">
        <v>234.3</v>
      </c>
      <c r="O3413">
        <v>119</v>
      </c>
      <c r="P3413">
        <v>10.54</v>
      </c>
      <c r="Q3413">
        <v>8.1</v>
      </c>
      <c r="R3413">
        <v>6</v>
      </c>
      <c r="S3413">
        <v>2.19</v>
      </c>
      <c r="T3413">
        <v>2</v>
      </c>
      <c r="U3413" t="s">
        <v>22</v>
      </c>
      <c r="V3413" t="e">
        <f>IF(#REF! = "yes", 1, 0)</f>
        <v>#REF!</v>
      </c>
      <c r="W3413" t="e">
        <f>IF(#REF! &lt;= 1, "0-1 Calls", IF(#REF! &lt;= 3, "2-3 Calls", IF(#REF! &lt;=5, "4-5 Calls", "6+ Calls")))</f>
        <v>#REF!</v>
      </c>
      <c r="X3413" t="e">
        <f>IF(#REF! &lt;= 50, "0-50", IF(#REF! &lt;=100, "51-100", IF(#REF! &lt;= 150, "101-150", "151+")))</f>
        <v>#REF!</v>
      </c>
      <c r="Y3413" t="e">
        <f>IF(#REF! &lt;= 3, "Low Charges", "High Charges")</f>
        <v>#REF!</v>
      </c>
      <c r="Z3413" t="e">
        <f>IF(#REF!&lt;=80,"Low Calls",
IF(#REF!&lt;=120,"Medium Calls","High Calls"))</f>
        <v>#REF!</v>
      </c>
      <c r="AA3413" t="e">
        <f>IF(#REF!&lt;=15,"Low Charges",
IF(#REF!&lt;=20,"Medium Charges","High Charges"))</f>
        <v>#REF!</v>
      </c>
      <c r="AB3413" t="e">
        <f>IF(AND(#REF!&gt;180, #REF!&gt;200), "Heavy Doemstic User", IF(#REF!&gt;10, "Interntional User", IF(AND(#REF!&lt;180, #REF!&lt;200,#REF!&lt;200), "Light User", "Balanced User")))</f>
        <v>#REF!</v>
      </c>
      <c r="AC3413" t="e">
        <f>IF(#REF! = 0, "No Usage", IF(#REF! &lt;= 20, "Low Usage", IF(#REF! &lt;= 40, "Medium Usgae", "High Usage")))</f>
        <v>#REF!</v>
      </c>
      <c r="AD3413" t="e">
        <f>IF(#REF!&lt;=150,"Low Usage", IF(#REF!&lt;=200,"Medium Usage", IF(#REF!&lt;=250,"High Usage","Very High Usage")))</f>
        <v>#REF!</v>
      </c>
      <c r="AE3413" t="e">
        <f>IF(#REF!&lt;=5,"Low Calls", IF(#REF!&lt;=10, "Medium Calls", "High Calls"))</f>
        <v>#REF!</v>
      </c>
      <c r="AF3413" t="e">
        <f xml:space="preserve">
IF(#REF!&gt;=4,4,0)+
IF(#REF!="yes",3,0)+
IF(#REF!="High Charges",3,0)+
IF(#REF!&gt;250,4,0)+
IF(#REF!="no",1,0)+
IF(#REF!="Heavy Domestic User",2,0)</f>
        <v>#REF!</v>
      </c>
      <c r="AG3413" t="e">
        <f>IF(#REF!&gt;=10,"High Risk", IF(#REF!&gt;=5,"Medium Risk","Low Risk"))</f>
        <v>#REF!</v>
      </c>
      <c r="AH3413" t="e">
        <f>#REF! + #REF! + #REF! + #REF!</f>
        <v>#REF!</v>
      </c>
    </row>
    <row r="3414" spans="1:34" x14ac:dyDescent="0.35">
      <c r="A3414">
        <v>3413</v>
      </c>
      <c r="B3414" t="s">
        <v>40</v>
      </c>
      <c r="C3414">
        <v>127</v>
      </c>
      <c r="D3414" t="s">
        <v>21</v>
      </c>
      <c r="E3414" t="s">
        <v>22</v>
      </c>
      <c r="F3414" t="s">
        <v>23</v>
      </c>
      <c r="G3414">
        <v>24</v>
      </c>
      <c r="H3414">
        <v>211.5</v>
      </c>
      <c r="I3414">
        <v>121</v>
      </c>
      <c r="J3414">
        <v>35.96</v>
      </c>
      <c r="K3414">
        <v>183.9</v>
      </c>
      <c r="L3414">
        <v>115</v>
      </c>
      <c r="M3414">
        <v>15.63</v>
      </c>
      <c r="N3414">
        <v>186.2</v>
      </c>
      <c r="O3414">
        <v>103</v>
      </c>
      <c r="P3414">
        <v>8.3800000000000008</v>
      </c>
      <c r="Q3414">
        <v>13.5</v>
      </c>
      <c r="R3414">
        <v>1</v>
      </c>
      <c r="S3414">
        <v>3.65</v>
      </c>
      <c r="T3414">
        <v>3</v>
      </c>
      <c r="U3414" t="s">
        <v>22</v>
      </c>
      <c r="V3414" t="e">
        <f>IF(#REF! = "yes", 1, 0)</f>
        <v>#REF!</v>
      </c>
      <c r="W3414" t="e">
        <f>IF(#REF! &lt;= 1, "0-1 Calls", IF(#REF! &lt;= 3, "2-3 Calls", IF(#REF! &lt;=5, "4-5 Calls", "6+ Calls")))</f>
        <v>#REF!</v>
      </c>
      <c r="X3414" t="e">
        <f>IF(#REF! &lt;= 50, "0-50", IF(#REF! &lt;=100, "51-100", IF(#REF! &lt;= 150, "101-150", "151+")))</f>
        <v>#REF!</v>
      </c>
      <c r="Y3414" t="e">
        <f>IF(#REF! &lt;= 3, "Low Charges", "High Charges")</f>
        <v>#REF!</v>
      </c>
      <c r="Z3414" t="e">
        <f>IF(#REF!&lt;=80,"Low Calls",
IF(#REF!&lt;=120,"Medium Calls","High Calls"))</f>
        <v>#REF!</v>
      </c>
      <c r="AA3414" t="e">
        <f>IF(#REF!&lt;=15,"Low Charges",
IF(#REF!&lt;=20,"Medium Charges","High Charges"))</f>
        <v>#REF!</v>
      </c>
      <c r="AB3414" t="e">
        <f>IF(AND(#REF!&gt;180, #REF!&gt;200), "Heavy Doemstic User", IF(#REF!&gt;10, "Interntional User", IF(AND(#REF!&lt;180, #REF!&lt;200,#REF!&lt;200), "Light User", "Balanced User")))</f>
        <v>#REF!</v>
      </c>
      <c r="AC3414" t="e">
        <f>IF(#REF! = 0, "No Usage", IF(#REF! &lt;= 20, "Low Usage", IF(#REF! &lt;= 40, "Medium Usgae", "High Usage")))</f>
        <v>#REF!</v>
      </c>
      <c r="AD3414" t="e">
        <f>IF(#REF!&lt;=150,"Low Usage", IF(#REF!&lt;=200,"Medium Usage", IF(#REF!&lt;=250,"High Usage","Very High Usage")))</f>
        <v>#REF!</v>
      </c>
      <c r="AE3414" t="e">
        <f>IF(#REF!&lt;=5,"Low Calls", IF(#REF!&lt;=10, "Medium Calls", "High Calls"))</f>
        <v>#REF!</v>
      </c>
      <c r="AF3414" t="e">
        <f xml:space="preserve">
IF(#REF!&gt;=4,4,0)+
IF(#REF!="yes",3,0)+
IF(#REF!="High Charges",3,0)+
IF(#REF!&gt;250,4,0)+
IF(#REF!="no",1,0)+
IF(#REF!="Heavy Domestic User",2,0)</f>
        <v>#REF!</v>
      </c>
      <c r="AG3414" t="e">
        <f>IF(#REF!&gt;=10,"High Risk", IF(#REF!&gt;=5,"Medium Risk","Low Risk"))</f>
        <v>#REF!</v>
      </c>
      <c r="AH3414" t="e">
        <f>#REF! + #REF! + #REF! + #REF!</f>
        <v>#REF!</v>
      </c>
    </row>
    <row r="3415" spans="1:34" x14ac:dyDescent="0.35">
      <c r="A3415">
        <v>3414</v>
      </c>
      <c r="B3415" t="s">
        <v>44</v>
      </c>
      <c r="C3415">
        <v>67</v>
      </c>
      <c r="D3415" t="s">
        <v>28</v>
      </c>
      <c r="E3415" t="s">
        <v>22</v>
      </c>
      <c r="F3415" t="s">
        <v>22</v>
      </c>
      <c r="G3415">
        <v>0</v>
      </c>
      <c r="H3415">
        <v>125</v>
      </c>
      <c r="I3415">
        <v>96</v>
      </c>
      <c r="J3415">
        <v>21.25</v>
      </c>
      <c r="K3415">
        <v>294.5</v>
      </c>
      <c r="L3415">
        <v>114</v>
      </c>
      <c r="M3415">
        <v>25.03</v>
      </c>
      <c r="N3415">
        <v>205.7</v>
      </c>
      <c r="O3415">
        <v>75</v>
      </c>
      <c r="P3415">
        <v>9.26</v>
      </c>
      <c r="Q3415">
        <v>10.199999999999999</v>
      </c>
      <c r="R3415">
        <v>4</v>
      </c>
      <c r="S3415">
        <v>2.75</v>
      </c>
      <c r="T3415">
        <v>1</v>
      </c>
      <c r="U3415" t="s">
        <v>23</v>
      </c>
      <c r="V3415" t="e">
        <f>IF(#REF! = "yes", 1, 0)</f>
        <v>#REF!</v>
      </c>
      <c r="W3415" t="e">
        <f>IF(#REF! &lt;= 1, "0-1 Calls", IF(#REF! &lt;= 3, "2-3 Calls", IF(#REF! &lt;=5, "4-5 Calls", "6+ Calls")))</f>
        <v>#REF!</v>
      </c>
      <c r="X3415" t="e">
        <f>IF(#REF! &lt;= 50, "0-50", IF(#REF! &lt;=100, "51-100", IF(#REF! &lt;= 150, "101-150", "151+")))</f>
        <v>#REF!</v>
      </c>
      <c r="Y3415" t="e">
        <f>IF(#REF! &lt;= 3, "Low Charges", "High Charges")</f>
        <v>#REF!</v>
      </c>
      <c r="Z3415" t="e">
        <f>IF(#REF!&lt;=80,"Low Calls",
IF(#REF!&lt;=120,"Medium Calls","High Calls"))</f>
        <v>#REF!</v>
      </c>
      <c r="AA3415" t="e">
        <f>IF(#REF!&lt;=15,"Low Charges",
IF(#REF!&lt;=20,"Medium Charges","High Charges"))</f>
        <v>#REF!</v>
      </c>
      <c r="AB3415" t="e">
        <f>IF(AND(#REF!&gt;180, #REF!&gt;200), "Heavy Doemstic User", IF(#REF!&gt;10, "Interntional User", IF(AND(#REF!&lt;180, #REF!&lt;200,#REF!&lt;200), "Light User", "Balanced User")))</f>
        <v>#REF!</v>
      </c>
      <c r="AC3415" t="e">
        <f>IF(#REF! = 0, "No Usage", IF(#REF! &lt;= 20, "Low Usage", IF(#REF! &lt;= 40, "Medium Usgae", "High Usage")))</f>
        <v>#REF!</v>
      </c>
      <c r="AD3415" t="e">
        <f>IF(#REF!&lt;=150,"Low Usage", IF(#REF!&lt;=200,"Medium Usage", IF(#REF!&lt;=250,"High Usage","Very High Usage")))</f>
        <v>#REF!</v>
      </c>
      <c r="AE3415" t="e">
        <f>IF(#REF!&lt;=5,"Low Calls", IF(#REF!&lt;=10, "Medium Calls", "High Calls"))</f>
        <v>#REF!</v>
      </c>
      <c r="AF3415" t="e">
        <f xml:space="preserve">
IF(#REF!&gt;=4,4,0)+
IF(#REF!="yes",3,0)+
IF(#REF!="High Charges",3,0)+
IF(#REF!&gt;250,4,0)+
IF(#REF!="no",1,0)+
IF(#REF!="Heavy Domestic User",2,0)</f>
        <v>#REF!</v>
      </c>
      <c r="AG3415" t="e">
        <f>IF(#REF!&gt;=10,"High Risk", IF(#REF!&gt;=5,"Medium Risk","Low Risk"))</f>
        <v>#REF!</v>
      </c>
      <c r="AH3415" t="e">
        <f>#REF! + #REF! + #REF! + #REF!</f>
        <v>#REF!</v>
      </c>
    </row>
    <row r="3416" spans="1:34" x14ac:dyDescent="0.35">
      <c r="A3416">
        <v>3415</v>
      </c>
      <c r="B3416" t="s">
        <v>39</v>
      </c>
      <c r="C3416">
        <v>123</v>
      </c>
      <c r="D3416" t="s">
        <v>25</v>
      </c>
      <c r="E3416" t="s">
        <v>22</v>
      </c>
      <c r="F3416" t="s">
        <v>23</v>
      </c>
      <c r="G3416">
        <v>41</v>
      </c>
      <c r="H3416">
        <v>141.30000000000001</v>
      </c>
      <c r="I3416">
        <v>127</v>
      </c>
      <c r="J3416">
        <v>24.02</v>
      </c>
      <c r="K3416">
        <v>152</v>
      </c>
      <c r="L3416">
        <v>96</v>
      </c>
      <c r="M3416">
        <v>12.92</v>
      </c>
      <c r="N3416">
        <v>218.8</v>
      </c>
      <c r="O3416">
        <v>114</v>
      </c>
      <c r="P3416">
        <v>9.85</v>
      </c>
      <c r="Q3416">
        <v>8.1</v>
      </c>
      <c r="R3416">
        <v>3</v>
      </c>
      <c r="S3416">
        <v>2.19</v>
      </c>
      <c r="T3416">
        <v>3</v>
      </c>
      <c r="U3416" t="s">
        <v>22</v>
      </c>
      <c r="V3416" t="e">
        <f>IF(#REF! = "yes", 1, 0)</f>
        <v>#REF!</v>
      </c>
      <c r="W3416" t="e">
        <f>IF(#REF! &lt;= 1, "0-1 Calls", IF(#REF! &lt;= 3, "2-3 Calls", IF(#REF! &lt;=5, "4-5 Calls", "6+ Calls")))</f>
        <v>#REF!</v>
      </c>
      <c r="X3416" t="e">
        <f>IF(#REF! &lt;= 50, "0-50", IF(#REF! &lt;=100, "51-100", IF(#REF! &lt;= 150, "101-150", "151+")))</f>
        <v>#REF!</v>
      </c>
      <c r="Y3416" t="e">
        <f>IF(#REF! &lt;= 3, "Low Charges", "High Charges")</f>
        <v>#REF!</v>
      </c>
      <c r="Z3416" t="e">
        <f>IF(#REF!&lt;=80,"Low Calls",
IF(#REF!&lt;=120,"Medium Calls","High Calls"))</f>
        <v>#REF!</v>
      </c>
      <c r="AA3416" t="e">
        <f>IF(#REF!&lt;=15,"Low Charges",
IF(#REF!&lt;=20,"Medium Charges","High Charges"))</f>
        <v>#REF!</v>
      </c>
      <c r="AB3416" t="e">
        <f>IF(AND(#REF!&gt;180, #REF!&gt;200), "Heavy Doemstic User", IF(#REF!&gt;10, "Interntional User", IF(AND(#REF!&lt;180, #REF!&lt;200,#REF!&lt;200), "Light User", "Balanced User")))</f>
        <v>#REF!</v>
      </c>
      <c r="AC3416" t="e">
        <f>IF(#REF! = 0, "No Usage", IF(#REF! &lt;= 20, "Low Usage", IF(#REF! &lt;= 40, "Medium Usgae", "High Usage")))</f>
        <v>#REF!</v>
      </c>
      <c r="AD3416" t="e">
        <f>IF(#REF!&lt;=150,"Low Usage", IF(#REF!&lt;=200,"Medium Usage", IF(#REF!&lt;=250,"High Usage","Very High Usage")))</f>
        <v>#REF!</v>
      </c>
      <c r="AE3416" t="e">
        <f>IF(#REF!&lt;=5,"Low Calls", IF(#REF!&lt;=10, "Medium Calls", "High Calls"))</f>
        <v>#REF!</v>
      </c>
      <c r="AF3416" t="e">
        <f xml:space="preserve">
IF(#REF!&gt;=4,4,0)+
IF(#REF!="yes",3,0)+
IF(#REF!="High Charges",3,0)+
IF(#REF!&gt;250,4,0)+
IF(#REF!="no",1,0)+
IF(#REF!="Heavy Domestic User",2,0)</f>
        <v>#REF!</v>
      </c>
      <c r="AG3416" t="e">
        <f>IF(#REF!&gt;=10,"High Risk", IF(#REF!&gt;=5,"Medium Risk","Low Risk"))</f>
        <v>#REF!</v>
      </c>
      <c r="AH3416" t="e">
        <f>#REF! + #REF! + #REF! + #REF!</f>
        <v>#REF!</v>
      </c>
    </row>
    <row r="3417" spans="1:34" x14ac:dyDescent="0.35">
      <c r="A3417">
        <v>3416</v>
      </c>
      <c r="B3417" t="s">
        <v>27</v>
      </c>
      <c r="C3417">
        <v>116</v>
      </c>
      <c r="D3417" t="s">
        <v>21</v>
      </c>
      <c r="E3417" t="s">
        <v>22</v>
      </c>
      <c r="F3417" t="s">
        <v>22</v>
      </c>
      <c r="G3417">
        <v>0</v>
      </c>
      <c r="H3417">
        <v>119</v>
      </c>
      <c r="I3417">
        <v>94</v>
      </c>
      <c r="J3417">
        <v>20.23</v>
      </c>
      <c r="K3417">
        <v>144.30000000000001</v>
      </c>
      <c r="L3417">
        <v>110</v>
      </c>
      <c r="M3417">
        <v>12.27</v>
      </c>
      <c r="N3417">
        <v>199.7</v>
      </c>
      <c r="O3417">
        <v>65</v>
      </c>
      <c r="P3417">
        <v>8.99</v>
      </c>
      <c r="Q3417">
        <v>8.8000000000000007</v>
      </c>
      <c r="R3417">
        <v>5</v>
      </c>
      <c r="S3417">
        <v>2.38</v>
      </c>
      <c r="T3417">
        <v>2</v>
      </c>
      <c r="U3417" t="s">
        <v>22</v>
      </c>
      <c r="V3417" t="e">
        <f>IF(#REF! = "yes", 1, 0)</f>
        <v>#REF!</v>
      </c>
      <c r="W3417" t="e">
        <f>IF(#REF! &lt;= 1, "0-1 Calls", IF(#REF! &lt;= 3, "2-3 Calls", IF(#REF! &lt;=5, "4-5 Calls", "6+ Calls")))</f>
        <v>#REF!</v>
      </c>
      <c r="X3417" t="e">
        <f>IF(#REF! &lt;= 50, "0-50", IF(#REF! &lt;=100, "51-100", IF(#REF! &lt;= 150, "101-150", "151+")))</f>
        <v>#REF!</v>
      </c>
      <c r="Y3417" t="e">
        <f>IF(#REF! &lt;= 3, "Low Charges", "High Charges")</f>
        <v>#REF!</v>
      </c>
      <c r="Z3417" t="e">
        <f>IF(#REF!&lt;=80,"Low Calls",
IF(#REF!&lt;=120,"Medium Calls","High Calls"))</f>
        <v>#REF!</v>
      </c>
      <c r="AA3417" t="e">
        <f>IF(#REF!&lt;=15,"Low Charges",
IF(#REF!&lt;=20,"Medium Charges","High Charges"))</f>
        <v>#REF!</v>
      </c>
      <c r="AB3417" t="e">
        <f>IF(AND(#REF!&gt;180, #REF!&gt;200), "Heavy Doemstic User", IF(#REF!&gt;10, "Interntional User", IF(AND(#REF!&lt;180, #REF!&lt;200,#REF!&lt;200), "Light User", "Balanced User")))</f>
        <v>#REF!</v>
      </c>
      <c r="AC3417" t="e">
        <f>IF(#REF! = 0, "No Usage", IF(#REF! &lt;= 20, "Low Usage", IF(#REF! &lt;= 40, "Medium Usgae", "High Usage")))</f>
        <v>#REF!</v>
      </c>
      <c r="AD3417" t="e">
        <f>IF(#REF!&lt;=150,"Low Usage", IF(#REF!&lt;=200,"Medium Usage", IF(#REF!&lt;=250,"High Usage","Very High Usage")))</f>
        <v>#REF!</v>
      </c>
      <c r="AE3417" t="e">
        <f>IF(#REF!&lt;=5,"Low Calls", IF(#REF!&lt;=10, "Medium Calls", "High Calls"))</f>
        <v>#REF!</v>
      </c>
      <c r="AF3417" t="e">
        <f xml:space="preserve">
IF(#REF!&gt;=4,4,0)+
IF(#REF!="yes",3,0)+
IF(#REF!="High Charges",3,0)+
IF(#REF!&gt;250,4,0)+
IF(#REF!="no",1,0)+
IF(#REF!="Heavy Domestic User",2,0)</f>
        <v>#REF!</v>
      </c>
      <c r="AG3417" t="e">
        <f>IF(#REF!&gt;=10,"High Risk", IF(#REF!&gt;=5,"Medium Risk","Low Risk"))</f>
        <v>#REF!</v>
      </c>
      <c r="AH3417" t="e">
        <f>#REF! + #REF! + #REF! + #REF!</f>
        <v>#REF!</v>
      </c>
    </row>
    <row r="3418" spans="1:34" x14ac:dyDescent="0.35">
      <c r="A3418">
        <v>3417</v>
      </c>
      <c r="B3418" t="s">
        <v>37</v>
      </c>
      <c r="C3418">
        <v>107</v>
      </c>
      <c r="D3418" t="s">
        <v>21</v>
      </c>
      <c r="E3418" t="s">
        <v>22</v>
      </c>
      <c r="F3418" t="s">
        <v>22</v>
      </c>
      <c r="G3418">
        <v>0</v>
      </c>
      <c r="H3418">
        <v>260.60000000000002</v>
      </c>
      <c r="I3418">
        <v>81</v>
      </c>
      <c r="J3418">
        <v>44.3</v>
      </c>
      <c r="K3418">
        <v>246.1</v>
      </c>
      <c r="L3418">
        <v>116</v>
      </c>
      <c r="M3418">
        <v>20.92</v>
      </c>
      <c r="N3418">
        <v>243.3</v>
      </c>
      <c r="O3418">
        <v>117</v>
      </c>
      <c r="P3418">
        <v>10.95</v>
      </c>
      <c r="Q3418">
        <v>12.8</v>
      </c>
      <c r="R3418">
        <v>9</v>
      </c>
      <c r="S3418">
        <v>3.46</v>
      </c>
      <c r="T3418">
        <v>0</v>
      </c>
      <c r="U3418" t="s">
        <v>23</v>
      </c>
      <c r="V3418" t="e">
        <f>IF(#REF! = "yes", 1, 0)</f>
        <v>#REF!</v>
      </c>
      <c r="W3418" t="e">
        <f>IF(#REF! &lt;= 1, "0-1 Calls", IF(#REF! &lt;= 3, "2-3 Calls", IF(#REF! &lt;=5, "4-5 Calls", "6+ Calls")))</f>
        <v>#REF!</v>
      </c>
      <c r="X3418" t="e">
        <f>IF(#REF! &lt;= 50, "0-50", IF(#REF! &lt;=100, "51-100", IF(#REF! &lt;= 150, "101-150", "151+")))</f>
        <v>#REF!</v>
      </c>
      <c r="Y3418" t="e">
        <f>IF(#REF! &lt;= 3, "Low Charges", "High Charges")</f>
        <v>#REF!</v>
      </c>
      <c r="Z3418" t="e">
        <f>IF(#REF!&lt;=80,"Low Calls",
IF(#REF!&lt;=120,"Medium Calls","High Calls"))</f>
        <v>#REF!</v>
      </c>
      <c r="AA3418" t="e">
        <f>IF(#REF!&lt;=15,"Low Charges",
IF(#REF!&lt;=20,"Medium Charges","High Charges"))</f>
        <v>#REF!</v>
      </c>
      <c r="AB3418" t="e">
        <f>IF(AND(#REF!&gt;180, #REF!&gt;200), "Heavy Doemstic User", IF(#REF!&gt;10, "Interntional User", IF(AND(#REF!&lt;180, #REF!&lt;200,#REF!&lt;200), "Light User", "Balanced User")))</f>
        <v>#REF!</v>
      </c>
      <c r="AC3418" t="e">
        <f>IF(#REF! = 0, "No Usage", IF(#REF! &lt;= 20, "Low Usage", IF(#REF! &lt;= 40, "Medium Usgae", "High Usage")))</f>
        <v>#REF!</v>
      </c>
      <c r="AD3418" t="e">
        <f>IF(#REF!&lt;=150,"Low Usage", IF(#REF!&lt;=200,"Medium Usage", IF(#REF!&lt;=250,"High Usage","Very High Usage")))</f>
        <v>#REF!</v>
      </c>
      <c r="AE3418" t="e">
        <f>IF(#REF!&lt;=5,"Low Calls", IF(#REF!&lt;=10, "Medium Calls", "High Calls"))</f>
        <v>#REF!</v>
      </c>
      <c r="AF3418" t="e">
        <f xml:space="preserve">
IF(#REF!&gt;=4,4,0)+
IF(#REF!="yes",3,0)+
IF(#REF!="High Charges",3,0)+
IF(#REF!&gt;250,4,0)+
IF(#REF!="no",1,0)+
IF(#REF!="Heavy Domestic User",2,0)</f>
        <v>#REF!</v>
      </c>
      <c r="AG3418" t="e">
        <f>IF(#REF!&gt;=10,"High Risk", IF(#REF!&gt;=5,"Medium Risk","Low Risk"))</f>
        <v>#REF!</v>
      </c>
      <c r="AH3418" t="e">
        <f>#REF! + #REF! + #REF! + #REF!</f>
        <v>#REF!</v>
      </c>
    </row>
    <row r="3419" spans="1:34" x14ac:dyDescent="0.35">
      <c r="A3419">
        <v>3418</v>
      </c>
      <c r="B3419" t="s">
        <v>39</v>
      </c>
      <c r="C3419">
        <v>110</v>
      </c>
      <c r="D3419" t="s">
        <v>21</v>
      </c>
      <c r="E3419" t="s">
        <v>22</v>
      </c>
      <c r="F3419" t="s">
        <v>22</v>
      </c>
      <c r="G3419">
        <v>0</v>
      </c>
      <c r="H3419">
        <v>149.19999999999999</v>
      </c>
      <c r="I3419">
        <v>128</v>
      </c>
      <c r="J3419">
        <v>25.36</v>
      </c>
      <c r="K3419">
        <v>112.8</v>
      </c>
      <c r="L3419">
        <v>101</v>
      </c>
      <c r="M3419">
        <v>9.59</v>
      </c>
      <c r="N3419">
        <v>156.30000000000001</v>
      </c>
      <c r="O3419">
        <v>111</v>
      </c>
      <c r="P3419">
        <v>7.03</v>
      </c>
      <c r="Q3419">
        <v>12.2</v>
      </c>
      <c r="R3419">
        <v>4</v>
      </c>
      <c r="S3419">
        <v>3.29</v>
      </c>
      <c r="T3419">
        <v>1</v>
      </c>
      <c r="U3419" t="s">
        <v>22</v>
      </c>
      <c r="V3419" t="e">
        <f>IF(#REF! = "yes", 1, 0)</f>
        <v>#REF!</v>
      </c>
      <c r="W3419" t="e">
        <f>IF(#REF! &lt;= 1, "0-1 Calls", IF(#REF! &lt;= 3, "2-3 Calls", IF(#REF! &lt;=5, "4-5 Calls", "6+ Calls")))</f>
        <v>#REF!</v>
      </c>
      <c r="X3419" t="e">
        <f>IF(#REF! &lt;= 50, "0-50", IF(#REF! &lt;=100, "51-100", IF(#REF! &lt;= 150, "101-150", "151+")))</f>
        <v>#REF!</v>
      </c>
      <c r="Y3419" t="e">
        <f>IF(#REF! &lt;= 3, "Low Charges", "High Charges")</f>
        <v>#REF!</v>
      </c>
      <c r="Z3419" t="e">
        <f>IF(#REF!&lt;=80,"Low Calls",
IF(#REF!&lt;=120,"Medium Calls","High Calls"))</f>
        <v>#REF!</v>
      </c>
      <c r="AA3419" t="e">
        <f>IF(#REF!&lt;=15,"Low Charges",
IF(#REF!&lt;=20,"Medium Charges","High Charges"))</f>
        <v>#REF!</v>
      </c>
      <c r="AB3419" t="e">
        <f>IF(AND(#REF!&gt;180, #REF!&gt;200), "Heavy Doemstic User", IF(#REF!&gt;10, "Interntional User", IF(AND(#REF!&lt;180, #REF!&lt;200,#REF!&lt;200), "Light User", "Balanced User")))</f>
        <v>#REF!</v>
      </c>
      <c r="AC3419" t="e">
        <f>IF(#REF! = 0, "No Usage", IF(#REF! &lt;= 20, "Low Usage", IF(#REF! &lt;= 40, "Medium Usgae", "High Usage")))</f>
        <v>#REF!</v>
      </c>
      <c r="AD3419" t="e">
        <f>IF(#REF!&lt;=150,"Low Usage", IF(#REF!&lt;=200,"Medium Usage", IF(#REF!&lt;=250,"High Usage","Very High Usage")))</f>
        <v>#REF!</v>
      </c>
      <c r="AE3419" t="e">
        <f>IF(#REF!&lt;=5,"Low Calls", IF(#REF!&lt;=10, "Medium Calls", "High Calls"))</f>
        <v>#REF!</v>
      </c>
      <c r="AF3419" t="e">
        <f xml:space="preserve">
IF(#REF!&gt;=4,4,0)+
IF(#REF!="yes",3,0)+
IF(#REF!="High Charges",3,0)+
IF(#REF!&gt;250,4,0)+
IF(#REF!="no",1,0)+
IF(#REF!="Heavy Domestic User",2,0)</f>
        <v>#REF!</v>
      </c>
      <c r="AG3419" t="e">
        <f>IF(#REF!&gt;=10,"High Risk", IF(#REF!&gt;=5,"Medium Risk","Low Risk"))</f>
        <v>#REF!</v>
      </c>
      <c r="AH3419" t="e">
        <f>#REF! + #REF! + #REF! + #REF!</f>
        <v>#REF!</v>
      </c>
    </row>
    <row r="3420" spans="1:34" x14ac:dyDescent="0.35">
      <c r="A3420">
        <v>3419</v>
      </c>
      <c r="B3420" t="s">
        <v>54</v>
      </c>
      <c r="C3420">
        <v>29</v>
      </c>
      <c r="D3420" t="s">
        <v>21</v>
      </c>
      <c r="E3420" t="s">
        <v>22</v>
      </c>
      <c r="F3420" t="s">
        <v>22</v>
      </c>
      <c r="G3420">
        <v>0</v>
      </c>
      <c r="H3420">
        <v>163.69999999999999</v>
      </c>
      <c r="I3420">
        <v>109</v>
      </c>
      <c r="J3420">
        <v>27.83</v>
      </c>
      <c r="K3420">
        <v>207.3</v>
      </c>
      <c r="L3420">
        <v>88</v>
      </c>
      <c r="M3420">
        <v>17.62</v>
      </c>
      <c r="N3420">
        <v>266.2</v>
      </c>
      <c r="O3420">
        <v>101</v>
      </c>
      <c r="P3420">
        <v>11.98</v>
      </c>
      <c r="Q3420">
        <v>10.4</v>
      </c>
      <c r="R3420">
        <v>2</v>
      </c>
      <c r="S3420">
        <v>2.81</v>
      </c>
      <c r="T3420">
        <v>1</v>
      </c>
      <c r="U3420" t="s">
        <v>22</v>
      </c>
      <c r="V3420" t="e">
        <f>IF(#REF! = "yes", 1, 0)</f>
        <v>#REF!</v>
      </c>
      <c r="W3420" t="e">
        <f>IF(#REF! &lt;= 1, "0-1 Calls", IF(#REF! &lt;= 3, "2-3 Calls", IF(#REF! &lt;=5, "4-5 Calls", "6+ Calls")))</f>
        <v>#REF!</v>
      </c>
      <c r="X3420" t="e">
        <f>IF(#REF! &lt;= 50, "0-50", IF(#REF! &lt;=100, "51-100", IF(#REF! &lt;= 150, "101-150", "151+")))</f>
        <v>#REF!</v>
      </c>
      <c r="Y3420" t="e">
        <f>IF(#REF! &lt;= 3, "Low Charges", "High Charges")</f>
        <v>#REF!</v>
      </c>
      <c r="Z3420" t="e">
        <f>IF(#REF!&lt;=80,"Low Calls",
IF(#REF!&lt;=120,"Medium Calls","High Calls"))</f>
        <v>#REF!</v>
      </c>
      <c r="AA3420" t="e">
        <f>IF(#REF!&lt;=15,"Low Charges",
IF(#REF!&lt;=20,"Medium Charges","High Charges"))</f>
        <v>#REF!</v>
      </c>
      <c r="AB3420" t="e">
        <f>IF(AND(#REF!&gt;180, #REF!&gt;200), "Heavy Doemstic User", IF(#REF!&gt;10, "Interntional User", IF(AND(#REF!&lt;180, #REF!&lt;200,#REF!&lt;200), "Light User", "Balanced User")))</f>
        <v>#REF!</v>
      </c>
      <c r="AC3420" t="e">
        <f>IF(#REF! = 0, "No Usage", IF(#REF! &lt;= 20, "Low Usage", IF(#REF! &lt;= 40, "Medium Usgae", "High Usage")))</f>
        <v>#REF!</v>
      </c>
      <c r="AD3420" t="e">
        <f>IF(#REF!&lt;=150,"Low Usage", IF(#REF!&lt;=200,"Medium Usage", IF(#REF!&lt;=250,"High Usage","Very High Usage")))</f>
        <v>#REF!</v>
      </c>
      <c r="AE3420" t="e">
        <f>IF(#REF!&lt;=5,"Low Calls", IF(#REF!&lt;=10, "Medium Calls", "High Calls"))</f>
        <v>#REF!</v>
      </c>
      <c r="AF3420" t="e">
        <f xml:space="preserve">
IF(#REF!&gt;=4,4,0)+
IF(#REF!="yes",3,0)+
IF(#REF!="High Charges",3,0)+
IF(#REF!&gt;250,4,0)+
IF(#REF!="no",1,0)+
IF(#REF!="Heavy Domestic User",2,0)</f>
        <v>#REF!</v>
      </c>
      <c r="AG3420" t="e">
        <f>IF(#REF!&gt;=10,"High Risk", IF(#REF!&gt;=5,"Medium Risk","Low Risk"))</f>
        <v>#REF!</v>
      </c>
      <c r="AH3420" t="e">
        <f>#REF! + #REF! + #REF! + #REF!</f>
        <v>#REF!</v>
      </c>
    </row>
    <row r="3421" spans="1:34" x14ac:dyDescent="0.35">
      <c r="A3421">
        <v>3420</v>
      </c>
      <c r="B3421" t="s">
        <v>36</v>
      </c>
      <c r="C3421">
        <v>76</v>
      </c>
      <c r="D3421" t="s">
        <v>21</v>
      </c>
      <c r="E3421" t="s">
        <v>22</v>
      </c>
      <c r="F3421" t="s">
        <v>22</v>
      </c>
      <c r="G3421">
        <v>0</v>
      </c>
      <c r="H3421">
        <v>223</v>
      </c>
      <c r="I3421">
        <v>109</v>
      </c>
      <c r="J3421">
        <v>37.909999999999997</v>
      </c>
      <c r="K3421">
        <v>218.7</v>
      </c>
      <c r="L3421">
        <v>97</v>
      </c>
      <c r="M3421">
        <v>18.59</v>
      </c>
      <c r="N3421">
        <v>138.6</v>
      </c>
      <c r="O3421">
        <v>126</v>
      </c>
      <c r="P3421">
        <v>6.24</v>
      </c>
      <c r="Q3421">
        <v>11.6</v>
      </c>
      <c r="R3421">
        <v>8</v>
      </c>
      <c r="S3421">
        <v>3.13</v>
      </c>
      <c r="T3421">
        <v>2</v>
      </c>
      <c r="U3421" t="s">
        <v>22</v>
      </c>
      <c r="V3421" t="e">
        <f>IF(#REF! = "yes", 1, 0)</f>
        <v>#REF!</v>
      </c>
      <c r="W3421" t="e">
        <f>IF(#REF! &lt;= 1, "0-1 Calls", IF(#REF! &lt;= 3, "2-3 Calls", IF(#REF! &lt;=5, "4-5 Calls", "6+ Calls")))</f>
        <v>#REF!</v>
      </c>
      <c r="X3421" t="e">
        <f>IF(#REF! &lt;= 50, "0-50", IF(#REF! &lt;=100, "51-100", IF(#REF! &lt;= 150, "101-150", "151+")))</f>
        <v>#REF!</v>
      </c>
      <c r="Y3421" t="e">
        <f>IF(#REF! &lt;= 3, "Low Charges", "High Charges")</f>
        <v>#REF!</v>
      </c>
      <c r="Z3421" t="e">
        <f>IF(#REF!&lt;=80,"Low Calls",
IF(#REF!&lt;=120,"Medium Calls","High Calls"))</f>
        <v>#REF!</v>
      </c>
      <c r="AA3421" t="e">
        <f>IF(#REF!&lt;=15,"Low Charges",
IF(#REF!&lt;=20,"Medium Charges","High Charges"))</f>
        <v>#REF!</v>
      </c>
      <c r="AB3421" t="e">
        <f>IF(AND(#REF!&gt;180, #REF!&gt;200), "Heavy Doemstic User", IF(#REF!&gt;10, "Interntional User", IF(AND(#REF!&lt;180, #REF!&lt;200,#REF!&lt;200), "Light User", "Balanced User")))</f>
        <v>#REF!</v>
      </c>
      <c r="AC3421" t="e">
        <f>IF(#REF! = 0, "No Usage", IF(#REF! &lt;= 20, "Low Usage", IF(#REF! &lt;= 40, "Medium Usgae", "High Usage")))</f>
        <v>#REF!</v>
      </c>
      <c r="AD3421" t="e">
        <f>IF(#REF!&lt;=150,"Low Usage", IF(#REF!&lt;=200,"Medium Usage", IF(#REF!&lt;=250,"High Usage","Very High Usage")))</f>
        <v>#REF!</v>
      </c>
      <c r="AE3421" t="e">
        <f>IF(#REF!&lt;=5,"Low Calls", IF(#REF!&lt;=10, "Medium Calls", "High Calls"))</f>
        <v>#REF!</v>
      </c>
      <c r="AF3421" t="e">
        <f xml:space="preserve">
IF(#REF!&gt;=4,4,0)+
IF(#REF!="yes",3,0)+
IF(#REF!="High Charges",3,0)+
IF(#REF!&gt;250,4,0)+
IF(#REF!="no",1,0)+
IF(#REF!="Heavy Domestic User",2,0)</f>
        <v>#REF!</v>
      </c>
      <c r="AG3421" t="e">
        <f>IF(#REF!&gt;=10,"High Risk", IF(#REF!&gt;=5,"Medium Risk","Low Risk"))</f>
        <v>#REF!</v>
      </c>
      <c r="AH3421" t="e">
        <f>#REF! + #REF! + #REF! + #REF!</f>
        <v>#REF!</v>
      </c>
    </row>
    <row r="3422" spans="1:34" x14ac:dyDescent="0.35">
      <c r="A3422">
        <v>3421</v>
      </c>
      <c r="B3422" t="s">
        <v>66</v>
      </c>
      <c r="C3422">
        <v>115</v>
      </c>
      <c r="D3422" t="s">
        <v>25</v>
      </c>
      <c r="E3422" t="s">
        <v>22</v>
      </c>
      <c r="F3422" t="s">
        <v>22</v>
      </c>
      <c r="G3422">
        <v>0</v>
      </c>
      <c r="H3422">
        <v>200.2</v>
      </c>
      <c r="I3422">
        <v>115</v>
      </c>
      <c r="J3422">
        <v>34.03</v>
      </c>
      <c r="K3422">
        <v>268.8</v>
      </c>
      <c r="L3422">
        <v>109</v>
      </c>
      <c r="M3422">
        <v>22.85</v>
      </c>
      <c r="N3422">
        <v>185.4</v>
      </c>
      <c r="O3422">
        <v>102</v>
      </c>
      <c r="P3422">
        <v>8.34</v>
      </c>
      <c r="Q3422">
        <v>12.8</v>
      </c>
      <c r="R3422">
        <v>2</v>
      </c>
      <c r="S3422">
        <v>3.46</v>
      </c>
      <c r="T3422">
        <v>3</v>
      </c>
      <c r="U3422" t="s">
        <v>22</v>
      </c>
      <c r="V3422" t="e">
        <f>IF(#REF! = "yes", 1, 0)</f>
        <v>#REF!</v>
      </c>
      <c r="W3422" t="e">
        <f>IF(#REF! &lt;= 1, "0-1 Calls", IF(#REF! &lt;= 3, "2-3 Calls", IF(#REF! &lt;=5, "4-5 Calls", "6+ Calls")))</f>
        <v>#REF!</v>
      </c>
      <c r="X3422" t="e">
        <f>IF(#REF! &lt;= 50, "0-50", IF(#REF! &lt;=100, "51-100", IF(#REF! &lt;= 150, "101-150", "151+")))</f>
        <v>#REF!</v>
      </c>
      <c r="Y3422" t="e">
        <f>IF(#REF! &lt;= 3, "Low Charges", "High Charges")</f>
        <v>#REF!</v>
      </c>
      <c r="Z3422" t="e">
        <f>IF(#REF!&lt;=80,"Low Calls",
IF(#REF!&lt;=120,"Medium Calls","High Calls"))</f>
        <v>#REF!</v>
      </c>
      <c r="AA3422" t="e">
        <f>IF(#REF!&lt;=15,"Low Charges",
IF(#REF!&lt;=20,"Medium Charges","High Charges"))</f>
        <v>#REF!</v>
      </c>
      <c r="AB3422" t="e">
        <f>IF(AND(#REF!&gt;180, #REF!&gt;200), "Heavy Doemstic User", IF(#REF!&gt;10, "Interntional User", IF(AND(#REF!&lt;180, #REF!&lt;200,#REF!&lt;200), "Light User", "Balanced User")))</f>
        <v>#REF!</v>
      </c>
      <c r="AC3422" t="e">
        <f>IF(#REF! = 0, "No Usage", IF(#REF! &lt;= 20, "Low Usage", IF(#REF! &lt;= 40, "Medium Usgae", "High Usage")))</f>
        <v>#REF!</v>
      </c>
      <c r="AD3422" t="e">
        <f>IF(#REF!&lt;=150,"Low Usage", IF(#REF!&lt;=200,"Medium Usage", IF(#REF!&lt;=250,"High Usage","Very High Usage")))</f>
        <v>#REF!</v>
      </c>
      <c r="AE3422" t="e">
        <f>IF(#REF!&lt;=5,"Low Calls", IF(#REF!&lt;=10, "Medium Calls", "High Calls"))</f>
        <v>#REF!</v>
      </c>
      <c r="AF3422" t="e">
        <f xml:space="preserve">
IF(#REF!&gt;=4,4,0)+
IF(#REF!="yes",3,0)+
IF(#REF!="High Charges",3,0)+
IF(#REF!&gt;250,4,0)+
IF(#REF!="no",1,0)+
IF(#REF!="Heavy Domestic User",2,0)</f>
        <v>#REF!</v>
      </c>
      <c r="AG3422" t="e">
        <f>IF(#REF!&gt;=10,"High Risk", IF(#REF!&gt;=5,"Medium Risk","Low Risk"))</f>
        <v>#REF!</v>
      </c>
      <c r="AH3422" t="e">
        <f>#REF! + #REF! + #REF! + #REF!</f>
        <v>#REF!</v>
      </c>
    </row>
    <row r="3423" spans="1:34" x14ac:dyDescent="0.35">
      <c r="A3423">
        <v>3422</v>
      </c>
      <c r="B3423" t="s">
        <v>61</v>
      </c>
      <c r="C3423">
        <v>68</v>
      </c>
      <c r="D3423" t="s">
        <v>21</v>
      </c>
      <c r="E3423" t="s">
        <v>22</v>
      </c>
      <c r="F3423" t="s">
        <v>22</v>
      </c>
      <c r="G3423">
        <v>0</v>
      </c>
      <c r="H3423">
        <v>248.6</v>
      </c>
      <c r="I3423">
        <v>59</v>
      </c>
      <c r="J3423">
        <v>42.26</v>
      </c>
      <c r="K3423">
        <v>199.1</v>
      </c>
      <c r="L3423">
        <v>126</v>
      </c>
      <c r="M3423">
        <v>16.920000000000002</v>
      </c>
      <c r="N3423">
        <v>112.5</v>
      </c>
      <c r="O3423">
        <v>117</v>
      </c>
      <c r="P3423">
        <v>5.0599999999999996</v>
      </c>
      <c r="Q3423">
        <v>6.5</v>
      </c>
      <c r="R3423">
        <v>3</v>
      </c>
      <c r="S3423">
        <v>1.76</v>
      </c>
      <c r="T3423">
        <v>2</v>
      </c>
      <c r="U3423" t="s">
        <v>22</v>
      </c>
      <c r="V3423" t="e">
        <f>IF(#REF! = "yes", 1, 0)</f>
        <v>#REF!</v>
      </c>
      <c r="W3423" t="e">
        <f>IF(#REF! &lt;= 1, "0-1 Calls", IF(#REF! &lt;= 3, "2-3 Calls", IF(#REF! &lt;=5, "4-5 Calls", "6+ Calls")))</f>
        <v>#REF!</v>
      </c>
      <c r="X3423" t="e">
        <f>IF(#REF! &lt;= 50, "0-50", IF(#REF! &lt;=100, "51-100", IF(#REF! &lt;= 150, "101-150", "151+")))</f>
        <v>#REF!</v>
      </c>
      <c r="Y3423" t="e">
        <f>IF(#REF! &lt;= 3, "Low Charges", "High Charges")</f>
        <v>#REF!</v>
      </c>
      <c r="Z3423" t="e">
        <f>IF(#REF!&lt;=80,"Low Calls",
IF(#REF!&lt;=120,"Medium Calls","High Calls"))</f>
        <v>#REF!</v>
      </c>
      <c r="AA3423" t="e">
        <f>IF(#REF!&lt;=15,"Low Charges",
IF(#REF!&lt;=20,"Medium Charges","High Charges"))</f>
        <v>#REF!</v>
      </c>
      <c r="AB3423" t="e">
        <f>IF(AND(#REF!&gt;180, #REF!&gt;200), "Heavy Doemstic User", IF(#REF!&gt;10, "Interntional User", IF(AND(#REF!&lt;180, #REF!&lt;200,#REF!&lt;200), "Light User", "Balanced User")))</f>
        <v>#REF!</v>
      </c>
      <c r="AC3423" t="e">
        <f>IF(#REF! = 0, "No Usage", IF(#REF! &lt;= 20, "Low Usage", IF(#REF! &lt;= 40, "Medium Usgae", "High Usage")))</f>
        <v>#REF!</v>
      </c>
      <c r="AD3423" t="e">
        <f>IF(#REF!&lt;=150,"Low Usage", IF(#REF!&lt;=200,"Medium Usage", IF(#REF!&lt;=250,"High Usage","Very High Usage")))</f>
        <v>#REF!</v>
      </c>
      <c r="AE3423" t="e">
        <f>IF(#REF!&lt;=5,"Low Calls", IF(#REF!&lt;=10, "Medium Calls", "High Calls"))</f>
        <v>#REF!</v>
      </c>
      <c r="AF3423" t="e">
        <f xml:space="preserve">
IF(#REF!&gt;=4,4,0)+
IF(#REF!="yes",3,0)+
IF(#REF!="High Charges",3,0)+
IF(#REF!&gt;250,4,0)+
IF(#REF!="no",1,0)+
IF(#REF!="Heavy Domestic User",2,0)</f>
        <v>#REF!</v>
      </c>
      <c r="AG3423" t="e">
        <f>IF(#REF!&gt;=10,"High Risk", IF(#REF!&gt;=5,"Medium Risk","Low Risk"))</f>
        <v>#REF!</v>
      </c>
      <c r="AH3423" t="e">
        <f>#REF! + #REF! + #REF! + #REF!</f>
        <v>#REF!</v>
      </c>
    </row>
    <row r="3424" spans="1:34" x14ac:dyDescent="0.35">
      <c r="A3424">
        <v>3423</v>
      </c>
      <c r="B3424" t="s">
        <v>72</v>
      </c>
      <c r="C3424">
        <v>63</v>
      </c>
      <c r="D3424" t="s">
        <v>21</v>
      </c>
      <c r="E3424" t="s">
        <v>22</v>
      </c>
      <c r="F3424" t="s">
        <v>23</v>
      </c>
      <c r="G3424">
        <v>26</v>
      </c>
      <c r="H3424">
        <v>214.2</v>
      </c>
      <c r="I3424">
        <v>80</v>
      </c>
      <c r="J3424">
        <v>36.409999999999997</v>
      </c>
      <c r="K3424">
        <v>253</v>
      </c>
      <c r="L3424">
        <v>152</v>
      </c>
      <c r="M3424">
        <v>21.51</v>
      </c>
      <c r="N3424">
        <v>156.4</v>
      </c>
      <c r="O3424">
        <v>109</v>
      </c>
      <c r="P3424">
        <v>7.04</v>
      </c>
      <c r="Q3424">
        <v>10.3</v>
      </c>
      <c r="R3424">
        <v>2</v>
      </c>
      <c r="S3424">
        <v>2.78</v>
      </c>
      <c r="T3424">
        <v>2</v>
      </c>
      <c r="U3424" t="s">
        <v>22</v>
      </c>
      <c r="V3424" t="e">
        <f>IF(#REF! = "yes", 1, 0)</f>
        <v>#REF!</v>
      </c>
      <c r="W3424" t="e">
        <f>IF(#REF! &lt;= 1, "0-1 Calls", IF(#REF! &lt;= 3, "2-3 Calls", IF(#REF! &lt;=5, "4-5 Calls", "6+ Calls")))</f>
        <v>#REF!</v>
      </c>
      <c r="X3424" t="e">
        <f>IF(#REF! &lt;= 50, "0-50", IF(#REF! &lt;=100, "51-100", IF(#REF! &lt;= 150, "101-150", "151+")))</f>
        <v>#REF!</v>
      </c>
      <c r="Y3424" t="e">
        <f>IF(#REF! &lt;= 3, "Low Charges", "High Charges")</f>
        <v>#REF!</v>
      </c>
      <c r="Z3424" t="e">
        <f>IF(#REF!&lt;=80,"Low Calls",
IF(#REF!&lt;=120,"Medium Calls","High Calls"))</f>
        <v>#REF!</v>
      </c>
      <c r="AA3424" t="e">
        <f>IF(#REF!&lt;=15,"Low Charges",
IF(#REF!&lt;=20,"Medium Charges","High Charges"))</f>
        <v>#REF!</v>
      </c>
      <c r="AB3424" t="e">
        <f>IF(AND(#REF!&gt;180, #REF!&gt;200), "Heavy Doemstic User", IF(#REF!&gt;10, "Interntional User", IF(AND(#REF!&lt;180, #REF!&lt;200,#REF!&lt;200), "Light User", "Balanced User")))</f>
        <v>#REF!</v>
      </c>
      <c r="AC3424" t="e">
        <f>IF(#REF! = 0, "No Usage", IF(#REF! &lt;= 20, "Low Usage", IF(#REF! &lt;= 40, "Medium Usgae", "High Usage")))</f>
        <v>#REF!</v>
      </c>
      <c r="AD3424" t="e">
        <f>IF(#REF!&lt;=150,"Low Usage", IF(#REF!&lt;=200,"Medium Usage", IF(#REF!&lt;=250,"High Usage","Very High Usage")))</f>
        <v>#REF!</v>
      </c>
      <c r="AE3424" t="e">
        <f>IF(#REF!&lt;=5,"Low Calls", IF(#REF!&lt;=10, "Medium Calls", "High Calls"))</f>
        <v>#REF!</v>
      </c>
      <c r="AF3424" t="e">
        <f xml:space="preserve">
IF(#REF!&gt;=4,4,0)+
IF(#REF!="yes",3,0)+
IF(#REF!="High Charges",3,0)+
IF(#REF!&gt;250,4,0)+
IF(#REF!="no",1,0)+
IF(#REF!="Heavy Domestic User",2,0)</f>
        <v>#REF!</v>
      </c>
      <c r="AG3424" t="e">
        <f>IF(#REF!&gt;=10,"High Risk", IF(#REF!&gt;=5,"Medium Risk","Low Risk"))</f>
        <v>#REF!</v>
      </c>
      <c r="AH3424" t="e">
        <f>#REF! + #REF! + #REF! + #REF!</f>
        <v>#REF!</v>
      </c>
    </row>
    <row r="3425" spans="1:34" x14ac:dyDescent="0.35">
      <c r="A3425">
        <v>3424</v>
      </c>
      <c r="B3425" t="s">
        <v>30</v>
      </c>
      <c r="C3425">
        <v>69</v>
      </c>
      <c r="D3425" t="s">
        <v>21</v>
      </c>
      <c r="E3425" t="s">
        <v>22</v>
      </c>
      <c r="F3425" t="s">
        <v>22</v>
      </c>
      <c r="G3425">
        <v>0</v>
      </c>
      <c r="H3425">
        <v>245.6</v>
      </c>
      <c r="I3425">
        <v>128</v>
      </c>
      <c r="J3425">
        <v>41.75</v>
      </c>
      <c r="K3425">
        <v>173</v>
      </c>
      <c r="L3425">
        <v>101</v>
      </c>
      <c r="M3425">
        <v>14.71</v>
      </c>
      <c r="N3425">
        <v>111.8</v>
      </c>
      <c r="O3425">
        <v>118</v>
      </c>
      <c r="P3425">
        <v>5.03</v>
      </c>
      <c r="Q3425">
        <v>14.2</v>
      </c>
      <c r="R3425">
        <v>7</v>
      </c>
      <c r="S3425">
        <v>3.83</v>
      </c>
      <c r="T3425">
        <v>2</v>
      </c>
      <c r="U3425" t="s">
        <v>22</v>
      </c>
      <c r="V3425" t="e">
        <f>IF(#REF! = "yes", 1, 0)</f>
        <v>#REF!</v>
      </c>
      <c r="W3425" t="e">
        <f>IF(#REF! &lt;= 1, "0-1 Calls", IF(#REF! &lt;= 3, "2-3 Calls", IF(#REF! &lt;=5, "4-5 Calls", "6+ Calls")))</f>
        <v>#REF!</v>
      </c>
      <c r="X3425" t="e">
        <f>IF(#REF! &lt;= 50, "0-50", IF(#REF! &lt;=100, "51-100", IF(#REF! &lt;= 150, "101-150", "151+")))</f>
        <v>#REF!</v>
      </c>
      <c r="Y3425" t="e">
        <f>IF(#REF! &lt;= 3, "Low Charges", "High Charges")</f>
        <v>#REF!</v>
      </c>
      <c r="Z3425" t="e">
        <f>IF(#REF!&lt;=80,"Low Calls",
IF(#REF!&lt;=120,"Medium Calls","High Calls"))</f>
        <v>#REF!</v>
      </c>
      <c r="AA3425" t="e">
        <f>IF(#REF!&lt;=15,"Low Charges",
IF(#REF!&lt;=20,"Medium Charges","High Charges"))</f>
        <v>#REF!</v>
      </c>
      <c r="AB3425" t="e">
        <f>IF(AND(#REF!&gt;180, #REF!&gt;200), "Heavy Doemstic User", IF(#REF!&gt;10, "Interntional User", IF(AND(#REF!&lt;180, #REF!&lt;200,#REF!&lt;200), "Light User", "Balanced User")))</f>
        <v>#REF!</v>
      </c>
      <c r="AC3425" t="e">
        <f>IF(#REF! = 0, "No Usage", IF(#REF! &lt;= 20, "Low Usage", IF(#REF! &lt;= 40, "Medium Usgae", "High Usage")))</f>
        <v>#REF!</v>
      </c>
      <c r="AD3425" t="e">
        <f>IF(#REF!&lt;=150,"Low Usage", IF(#REF!&lt;=200,"Medium Usage", IF(#REF!&lt;=250,"High Usage","Very High Usage")))</f>
        <v>#REF!</v>
      </c>
      <c r="AE3425" t="e">
        <f>IF(#REF!&lt;=5,"Low Calls", IF(#REF!&lt;=10, "Medium Calls", "High Calls"))</f>
        <v>#REF!</v>
      </c>
      <c r="AF3425" t="e">
        <f xml:space="preserve">
IF(#REF!&gt;=4,4,0)+
IF(#REF!="yes",3,0)+
IF(#REF!="High Charges",3,0)+
IF(#REF!&gt;250,4,0)+
IF(#REF!="no",1,0)+
IF(#REF!="Heavy Domestic User",2,0)</f>
        <v>#REF!</v>
      </c>
      <c r="AG3425" t="e">
        <f>IF(#REF!&gt;=10,"High Risk", IF(#REF!&gt;=5,"Medium Risk","Low Risk"))</f>
        <v>#REF!</v>
      </c>
      <c r="AH3425" t="e">
        <f>#REF! + #REF! + #REF! + #REF!</f>
        <v>#REF!</v>
      </c>
    </row>
    <row r="3426" spans="1:34" x14ac:dyDescent="0.35">
      <c r="A3426">
        <v>3425</v>
      </c>
      <c r="B3426" t="s">
        <v>71</v>
      </c>
      <c r="C3426">
        <v>97</v>
      </c>
      <c r="D3426" t="s">
        <v>25</v>
      </c>
      <c r="E3426" t="s">
        <v>22</v>
      </c>
      <c r="F3426" t="s">
        <v>22</v>
      </c>
      <c r="G3426">
        <v>0</v>
      </c>
      <c r="H3426">
        <v>238.6</v>
      </c>
      <c r="I3426">
        <v>85</v>
      </c>
      <c r="J3426">
        <v>40.56</v>
      </c>
      <c r="K3426">
        <v>203.3</v>
      </c>
      <c r="L3426">
        <v>75</v>
      </c>
      <c r="M3426">
        <v>17.28</v>
      </c>
      <c r="N3426">
        <v>180.5</v>
      </c>
      <c r="O3426">
        <v>127</v>
      </c>
      <c r="P3426">
        <v>8.1199999999999992</v>
      </c>
      <c r="Q3426">
        <v>16.2</v>
      </c>
      <c r="R3426">
        <v>8</v>
      </c>
      <c r="S3426">
        <v>4.37</v>
      </c>
      <c r="T3426">
        <v>0</v>
      </c>
      <c r="U3426" t="s">
        <v>22</v>
      </c>
      <c r="V3426" t="e">
        <f>IF(#REF! = "yes", 1, 0)</f>
        <v>#REF!</v>
      </c>
      <c r="W3426" t="e">
        <f>IF(#REF! &lt;= 1, "0-1 Calls", IF(#REF! &lt;= 3, "2-3 Calls", IF(#REF! &lt;=5, "4-5 Calls", "6+ Calls")))</f>
        <v>#REF!</v>
      </c>
      <c r="X3426" t="e">
        <f>IF(#REF! &lt;= 50, "0-50", IF(#REF! &lt;=100, "51-100", IF(#REF! &lt;= 150, "101-150", "151+")))</f>
        <v>#REF!</v>
      </c>
      <c r="Y3426" t="e">
        <f>IF(#REF! &lt;= 3, "Low Charges", "High Charges")</f>
        <v>#REF!</v>
      </c>
      <c r="Z3426" t="e">
        <f>IF(#REF!&lt;=80,"Low Calls",
IF(#REF!&lt;=120,"Medium Calls","High Calls"))</f>
        <v>#REF!</v>
      </c>
      <c r="AA3426" t="e">
        <f>IF(#REF!&lt;=15,"Low Charges",
IF(#REF!&lt;=20,"Medium Charges","High Charges"))</f>
        <v>#REF!</v>
      </c>
      <c r="AB3426" t="e">
        <f>IF(AND(#REF!&gt;180, #REF!&gt;200), "Heavy Doemstic User", IF(#REF!&gt;10, "Interntional User", IF(AND(#REF!&lt;180, #REF!&lt;200,#REF!&lt;200), "Light User", "Balanced User")))</f>
        <v>#REF!</v>
      </c>
      <c r="AC3426" t="e">
        <f>IF(#REF! = 0, "No Usage", IF(#REF! &lt;= 20, "Low Usage", IF(#REF! &lt;= 40, "Medium Usgae", "High Usage")))</f>
        <v>#REF!</v>
      </c>
      <c r="AD3426" t="e">
        <f>IF(#REF!&lt;=150,"Low Usage", IF(#REF!&lt;=200,"Medium Usage", IF(#REF!&lt;=250,"High Usage","Very High Usage")))</f>
        <v>#REF!</v>
      </c>
      <c r="AE3426" t="e">
        <f>IF(#REF!&lt;=5,"Low Calls", IF(#REF!&lt;=10, "Medium Calls", "High Calls"))</f>
        <v>#REF!</v>
      </c>
      <c r="AF3426" t="e">
        <f xml:space="preserve">
IF(#REF!&gt;=4,4,0)+
IF(#REF!="yes",3,0)+
IF(#REF!="High Charges",3,0)+
IF(#REF!&gt;250,4,0)+
IF(#REF!="no",1,0)+
IF(#REF!="Heavy Domestic User",2,0)</f>
        <v>#REF!</v>
      </c>
      <c r="AG3426" t="e">
        <f>IF(#REF!&gt;=10,"High Risk", IF(#REF!&gt;=5,"Medium Risk","Low Risk"))</f>
        <v>#REF!</v>
      </c>
      <c r="AH3426" t="e">
        <f>#REF! + #REF! + #REF! + #REF!</f>
        <v>#REF!</v>
      </c>
    </row>
    <row r="3427" spans="1:34" x14ac:dyDescent="0.35">
      <c r="A3427">
        <v>3426</v>
      </c>
      <c r="B3427" t="s">
        <v>53</v>
      </c>
      <c r="C3427">
        <v>108</v>
      </c>
      <c r="D3427" t="s">
        <v>28</v>
      </c>
      <c r="E3427" t="s">
        <v>23</v>
      </c>
      <c r="F3427" t="s">
        <v>22</v>
      </c>
      <c r="G3427">
        <v>0</v>
      </c>
      <c r="H3427">
        <v>86.1</v>
      </c>
      <c r="I3427">
        <v>97</v>
      </c>
      <c r="J3427">
        <v>14.64</v>
      </c>
      <c r="K3427">
        <v>227.9</v>
      </c>
      <c r="L3427">
        <v>101</v>
      </c>
      <c r="M3427">
        <v>19.37</v>
      </c>
      <c r="N3427">
        <v>225.8</v>
      </c>
      <c r="O3427">
        <v>102</v>
      </c>
      <c r="P3427">
        <v>10.16</v>
      </c>
      <c r="Q3427">
        <v>9.1</v>
      </c>
      <c r="R3427">
        <v>3</v>
      </c>
      <c r="S3427">
        <v>2.46</v>
      </c>
      <c r="T3427">
        <v>3</v>
      </c>
      <c r="U3427" t="s">
        <v>22</v>
      </c>
      <c r="V3427" t="e">
        <f>IF(#REF! = "yes", 1, 0)</f>
        <v>#REF!</v>
      </c>
      <c r="W3427" t="e">
        <f>IF(#REF! &lt;= 1, "0-1 Calls", IF(#REF! &lt;= 3, "2-3 Calls", IF(#REF! &lt;=5, "4-5 Calls", "6+ Calls")))</f>
        <v>#REF!</v>
      </c>
      <c r="X3427" t="e">
        <f>IF(#REF! &lt;= 50, "0-50", IF(#REF! &lt;=100, "51-100", IF(#REF! &lt;= 150, "101-150", "151+")))</f>
        <v>#REF!</v>
      </c>
      <c r="Y3427" t="e">
        <f>IF(#REF! &lt;= 3, "Low Charges", "High Charges")</f>
        <v>#REF!</v>
      </c>
      <c r="Z3427" t="e">
        <f>IF(#REF!&lt;=80,"Low Calls",
IF(#REF!&lt;=120,"Medium Calls","High Calls"))</f>
        <v>#REF!</v>
      </c>
      <c r="AA3427" t="e">
        <f>IF(#REF!&lt;=15,"Low Charges",
IF(#REF!&lt;=20,"Medium Charges","High Charges"))</f>
        <v>#REF!</v>
      </c>
      <c r="AB3427" t="e">
        <f>IF(AND(#REF!&gt;180, #REF!&gt;200), "Heavy Doemstic User", IF(#REF!&gt;10, "Interntional User", IF(AND(#REF!&lt;180, #REF!&lt;200,#REF!&lt;200), "Light User", "Balanced User")))</f>
        <v>#REF!</v>
      </c>
      <c r="AC3427" t="e">
        <f>IF(#REF! = 0, "No Usage", IF(#REF! &lt;= 20, "Low Usage", IF(#REF! &lt;= 40, "Medium Usgae", "High Usage")))</f>
        <v>#REF!</v>
      </c>
      <c r="AD3427" t="e">
        <f>IF(#REF!&lt;=150,"Low Usage", IF(#REF!&lt;=200,"Medium Usage", IF(#REF!&lt;=250,"High Usage","Very High Usage")))</f>
        <v>#REF!</v>
      </c>
      <c r="AE3427" t="e">
        <f>IF(#REF!&lt;=5,"Low Calls", IF(#REF!&lt;=10, "Medium Calls", "High Calls"))</f>
        <v>#REF!</v>
      </c>
      <c r="AF3427" t="e">
        <f xml:space="preserve">
IF(#REF!&gt;=4,4,0)+
IF(#REF!="yes",3,0)+
IF(#REF!="High Charges",3,0)+
IF(#REF!&gt;250,4,0)+
IF(#REF!="no",1,0)+
IF(#REF!="Heavy Domestic User",2,0)</f>
        <v>#REF!</v>
      </c>
      <c r="AG3427" t="e">
        <f>IF(#REF!&gt;=10,"High Risk", IF(#REF!&gt;=5,"Medium Risk","Low Risk"))</f>
        <v>#REF!</v>
      </c>
      <c r="AH3427" t="e">
        <f>#REF! + #REF! + #REF! + #REF!</f>
        <v>#REF!</v>
      </c>
    </row>
    <row r="3428" spans="1:34" x14ac:dyDescent="0.35">
      <c r="A3428">
        <v>3427</v>
      </c>
      <c r="B3428" t="s">
        <v>67</v>
      </c>
      <c r="C3428">
        <v>79</v>
      </c>
      <c r="D3428" t="s">
        <v>21</v>
      </c>
      <c r="E3428" t="s">
        <v>22</v>
      </c>
      <c r="F3428" t="s">
        <v>22</v>
      </c>
      <c r="G3428">
        <v>0</v>
      </c>
      <c r="H3428">
        <v>161.6</v>
      </c>
      <c r="I3428">
        <v>94</v>
      </c>
      <c r="J3428">
        <v>27.47</v>
      </c>
      <c r="K3428">
        <v>187.5</v>
      </c>
      <c r="L3428">
        <v>110</v>
      </c>
      <c r="M3428">
        <v>15.94</v>
      </c>
      <c r="N3428">
        <v>220.8</v>
      </c>
      <c r="O3428">
        <v>71</v>
      </c>
      <c r="P3428">
        <v>9.94</v>
      </c>
      <c r="Q3428">
        <v>10.3</v>
      </c>
      <c r="R3428">
        <v>7</v>
      </c>
      <c r="S3428">
        <v>2.78</v>
      </c>
      <c r="T3428">
        <v>2</v>
      </c>
      <c r="U3428" t="s">
        <v>22</v>
      </c>
      <c r="V3428" t="e">
        <f>IF(#REF! = "yes", 1, 0)</f>
        <v>#REF!</v>
      </c>
      <c r="W3428" t="e">
        <f>IF(#REF! &lt;= 1, "0-1 Calls", IF(#REF! &lt;= 3, "2-3 Calls", IF(#REF! &lt;=5, "4-5 Calls", "6+ Calls")))</f>
        <v>#REF!</v>
      </c>
      <c r="X3428" t="e">
        <f>IF(#REF! &lt;= 50, "0-50", IF(#REF! &lt;=100, "51-100", IF(#REF! &lt;= 150, "101-150", "151+")))</f>
        <v>#REF!</v>
      </c>
      <c r="Y3428" t="e">
        <f>IF(#REF! &lt;= 3, "Low Charges", "High Charges")</f>
        <v>#REF!</v>
      </c>
      <c r="Z3428" t="e">
        <f>IF(#REF!&lt;=80,"Low Calls",
IF(#REF!&lt;=120,"Medium Calls","High Calls"))</f>
        <v>#REF!</v>
      </c>
      <c r="AA3428" t="e">
        <f>IF(#REF!&lt;=15,"Low Charges",
IF(#REF!&lt;=20,"Medium Charges","High Charges"))</f>
        <v>#REF!</v>
      </c>
      <c r="AB3428" t="e">
        <f>IF(AND(#REF!&gt;180, #REF!&gt;200), "Heavy Doemstic User", IF(#REF!&gt;10, "Interntional User", IF(AND(#REF!&lt;180, #REF!&lt;200,#REF!&lt;200), "Light User", "Balanced User")))</f>
        <v>#REF!</v>
      </c>
      <c r="AC3428" t="e">
        <f>IF(#REF! = 0, "No Usage", IF(#REF! &lt;= 20, "Low Usage", IF(#REF! &lt;= 40, "Medium Usgae", "High Usage")))</f>
        <v>#REF!</v>
      </c>
      <c r="AD3428" t="e">
        <f>IF(#REF!&lt;=150,"Low Usage", IF(#REF!&lt;=200,"Medium Usage", IF(#REF!&lt;=250,"High Usage","Very High Usage")))</f>
        <v>#REF!</v>
      </c>
      <c r="AE3428" t="e">
        <f>IF(#REF!&lt;=5,"Low Calls", IF(#REF!&lt;=10, "Medium Calls", "High Calls"))</f>
        <v>#REF!</v>
      </c>
      <c r="AF3428" t="e">
        <f xml:space="preserve">
IF(#REF!&gt;=4,4,0)+
IF(#REF!="yes",3,0)+
IF(#REF!="High Charges",3,0)+
IF(#REF!&gt;250,4,0)+
IF(#REF!="no",1,0)+
IF(#REF!="Heavy Domestic User",2,0)</f>
        <v>#REF!</v>
      </c>
      <c r="AG3428" t="e">
        <f>IF(#REF!&gt;=10,"High Risk", IF(#REF!&gt;=5,"Medium Risk","Low Risk"))</f>
        <v>#REF!</v>
      </c>
      <c r="AH3428" t="e">
        <f>#REF! + #REF! + #REF! + #REF!</f>
        <v>#REF!</v>
      </c>
    </row>
    <row r="3429" spans="1:34" x14ac:dyDescent="0.35">
      <c r="A3429">
        <v>3428</v>
      </c>
      <c r="B3429" t="s">
        <v>54</v>
      </c>
      <c r="C3429">
        <v>52</v>
      </c>
      <c r="D3429" t="s">
        <v>21</v>
      </c>
      <c r="E3429" t="s">
        <v>22</v>
      </c>
      <c r="F3429" t="s">
        <v>22</v>
      </c>
      <c r="G3429">
        <v>0</v>
      </c>
      <c r="H3429">
        <v>257.89999999999998</v>
      </c>
      <c r="I3429">
        <v>80</v>
      </c>
      <c r="J3429">
        <v>43.84</v>
      </c>
      <c r="K3429">
        <v>220.7</v>
      </c>
      <c r="L3429">
        <v>82</v>
      </c>
      <c r="M3429">
        <v>18.760000000000002</v>
      </c>
      <c r="N3429">
        <v>225.4</v>
      </c>
      <c r="O3429">
        <v>70</v>
      </c>
      <c r="P3429">
        <v>10.14</v>
      </c>
      <c r="Q3429">
        <v>16.8</v>
      </c>
      <c r="R3429">
        <v>3</v>
      </c>
      <c r="S3429">
        <v>4.54</v>
      </c>
      <c r="T3429">
        <v>2</v>
      </c>
      <c r="U3429" t="s">
        <v>23</v>
      </c>
      <c r="V3429" t="e">
        <f>IF(#REF! = "yes", 1, 0)</f>
        <v>#REF!</v>
      </c>
      <c r="W3429" t="e">
        <f>IF(#REF! &lt;= 1, "0-1 Calls", IF(#REF! &lt;= 3, "2-3 Calls", IF(#REF! &lt;=5, "4-5 Calls", "6+ Calls")))</f>
        <v>#REF!</v>
      </c>
      <c r="X3429" t="e">
        <f>IF(#REF! &lt;= 50, "0-50", IF(#REF! &lt;=100, "51-100", IF(#REF! &lt;= 150, "101-150", "151+")))</f>
        <v>#REF!</v>
      </c>
      <c r="Y3429" t="e">
        <f>IF(#REF! &lt;= 3, "Low Charges", "High Charges")</f>
        <v>#REF!</v>
      </c>
      <c r="Z3429" t="e">
        <f>IF(#REF!&lt;=80,"Low Calls",
IF(#REF!&lt;=120,"Medium Calls","High Calls"))</f>
        <v>#REF!</v>
      </c>
      <c r="AA3429" t="e">
        <f>IF(#REF!&lt;=15,"Low Charges",
IF(#REF!&lt;=20,"Medium Charges","High Charges"))</f>
        <v>#REF!</v>
      </c>
      <c r="AB3429" t="e">
        <f>IF(AND(#REF!&gt;180, #REF!&gt;200), "Heavy Doemstic User", IF(#REF!&gt;10, "Interntional User", IF(AND(#REF!&lt;180, #REF!&lt;200,#REF!&lt;200), "Light User", "Balanced User")))</f>
        <v>#REF!</v>
      </c>
      <c r="AC3429" t="e">
        <f>IF(#REF! = 0, "No Usage", IF(#REF! &lt;= 20, "Low Usage", IF(#REF! &lt;= 40, "Medium Usgae", "High Usage")))</f>
        <v>#REF!</v>
      </c>
      <c r="AD3429" t="e">
        <f>IF(#REF!&lt;=150,"Low Usage", IF(#REF!&lt;=200,"Medium Usage", IF(#REF!&lt;=250,"High Usage","Very High Usage")))</f>
        <v>#REF!</v>
      </c>
      <c r="AE3429" t="e">
        <f>IF(#REF!&lt;=5,"Low Calls", IF(#REF!&lt;=10, "Medium Calls", "High Calls"))</f>
        <v>#REF!</v>
      </c>
      <c r="AF3429" t="e">
        <f xml:space="preserve">
IF(#REF!&gt;=4,4,0)+
IF(#REF!="yes",3,0)+
IF(#REF!="High Charges",3,0)+
IF(#REF!&gt;250,4,0)+
IF(#REF!="no",1,0)+
IF(#REF!="Heavy Domestic User",2,0)</f>
        <v>#REF!</v>
      </c>
      <c r="AG3429" t="e">
        <f>IF(#REF!&gt;=10,"High Risk", IF(#REF!&gt;=5,"Medium Risk","Low Risk"))</f>
        <v>#REF!</v>
      </c>
      <c r="AH3429" t="e">
        <f>#REF! + #REF! + #REF! + #REF!</f>
        <v>#REF!</v>
      </c>
    </row>
    <row r="3430" spans="1:34" x14ac:dyDescent="0.35">
      <c r="A3430">
        <v>3429</v>
      </c>
      <c r="B3430" t="s">
        <v>70</v>
      </c>
      <c r="C3430">
        <v>114</v>
      </c>
      <c r="D3430" t="s">
        <v>21</v>
      </c>
      <c r="E3430" t="s">
        <v>22</v>
      </c>
      <c r="F3430" t="s">
        <v>22</v>
      </c>
      <c r="G3430">
        <v>0</v>
      </c>
      <c r="H3430">
        <v>209.2</v>
      </c>
      <c r="I3430">
        <v>127</v>
      </c>
      <c r="J3430">
        <v>35.56</v>
      </c>
      <c r="K3430">
        <v>165.3</v>
      </c>
      <c r="L3430">
        <v>93</v>
      </c>
      <c r="M3430">
        <v>14.05</v>
      </c>
      <c r="N3430">
        <v>196.8</v>
      </c>
      <c r="O3430">
        <v>98</v>
      </c>
      <c r="P3430">
        <v>8.86</v>
      </c>
      <c r="Q3430">
        <v>10.6</v>
      </c>
      <c r="R3430">
        <v>8</v>
      </c>
      <c r="S3430">
        <v>2.86</v>
      </c>
      <c r="T3430">
        <v>3</v>
      </c>
      <c r="U3430" t="s">
        <v>22</v>
      </c>
      <c r="V3430" t="e">
        <f>IF(#REF! = "yes", 1, 0)</f>
        <v>#REF!</v>
      </c>
      <c r="W3430" t="e">
        <f>IF(#REF! &lt;= 1, "0-1 Calls", IF(#REF! &lt;= 3, "2-3 Calls", IF(#REF! &lt;=5, "4-5 Calls", "6+ Calls")))</f>
        <v>#REF!</v>
      </c>
      <c r="X3430" t="e">
        <f>IF(#REF! &lt;= 50, "0-50", IF(#REF! &lt;=100, "51-100", IF(#REF! &lt;= 150, "101-150", "151+")))</f>
        <v>#REF!</v>
      </c>
      <c r="Y3430" t="e">
        <f>IF(#REF! &lt;= 3, "Low Charges", "High Charges")</f>
        <v>#REF!</v>
      </c>
      <c r="Z3430" t="e">
        <f>IF(#REF!&lt;=80,"Low Calls",
IF(#REF!&lt;=120,"Medium Calls","High Calls"))</f>
        <v>#REF!</v>
      </c>
      <c r="AA3430" t="e">
        <f>IF(#REF!&lt;=15,"Low Charges",
IF(#REF!&lt;=20,"Medium Charges","High Charges"))</f>
        <v>#REF!</v>
      </c>
      <c r="AB3430" t="e">
        <f>IF(AND(#REF!&gt;180, #REF!&gt;200), "Heavy Doemstic User", IF(#REF!&gt;10, "Interntional User", IF(AND(#REF!&lt;180, #REF!&lt;200,#REF!&lt;200), "Light User", "Balanced User")))</f>
        <v>#REF!</v>
      </c>
      <c r="AC3430" t="e">
        <f>IF(#REF! = 0, "No Usage", IF(#REF! &lt;= 20, "Low Usage", IF(#REF! &lt;= 40, "Medium Usgae", "High Usage")))</f>
        <v>#REF!</v>
      </c>
      <c r="AD3430" t="e">
        <f>IF(#REF!&lt;=150,"Low Usage", IF(#REF!&lt;=200,"Medium Usage", IF(#REF!&lt;=250,"High Usage","Very High Usage")))</f>
        <v>#REF!</v>
      </c>
      <c r="AE3430" t="e">
        <f>IF(#REF!&lt;=5,"Low Calls", IF(#REF!&lt;=10, "Medium Calls", "High Calls"))</f>
        <v>#REF!</v>
      </c>
      <c r="AF3430" t="e">
        <f xml:space="preserve">
IF(#REF!&gt;=4,4,0)+
IF(#REF!="yes",3,0)+
IF(#REF!="High Charges",3,0)+
IF(#REF!&gt;250,4,0)+
IF(#REF!="no",1,0)+
IF(#REF!="Heavy Domestic User",2,0)</f>
        <v>#REF!</v>
      </c>
      <c r="AG3430" t="e">
        <f>IF(#REF!&gt;=10,"High Risk", IF(#REF!&gt;=5,"Medium Risk","Low Risk"))</f>
        <v>#REF!</v>
      </c>
      <c r="AH3430" t="e">
        <f>#REF! + #REF! + #REF! + #REF!</f>
        <v>#REF!</v>
      </c>
    </row>
    <row r="3431" spans="1:34" x14ac:dyDescent="0.35">
      <c r="A3431">
        <v>3430</v>
      </c>
      <c r="B3431" t="s">
        <v>33</v>
      </c>
      <c r="C3431">
        <v>90</v>
      </c>
      <c r="D3431" t="s">
        <v>28</v>
      </c>
      <c r="E3431" t="s">
        <v>22</v>
      </c>
      <c r="F3431" t="s">
        <v>23</v>
      </c>
      <c r="G3431">
        <v>19</v>
      </c>
      <c r="H3431">
        <v>214</v>
      </c>
      <c r="I3431">
        <v>57</v>
      </c>
      <c r="J3431">
        <v>36.380000000000003</v>
      </c>
      <c r="K3431">
        <v>245.3</v>
      </c>
      <c r="L3431">
        <v>105</v>
      </c>
      <c r="M3431">
        <v>20.85</v>
      </c>
      <c r="N3431">
        <v>205.6</v>
      </c>
      <c r="O3431">
        <v>68</v>
      </c>
      <c r="P3431">
        <v>9.25</v>
      </c>
      <c r="Q3431">
        <v>10.3</v>
      </c>
      <c r="R3431">
        <v>2</v>
      </c>
      <c r="S3431">
        <v>2.78</v>
      </c>
      <c r="T3431">
        <v>1</v>
      </c>
      <c r="U3431" t="s">
        <v>22</v>
      </c>
      <c r="V3431" t="e">
        <f>IF(#REF! = "yes", 1, 0)</f>
        <v>#REF!</v>
      </c>
      <c r="W3431" t="e">
        <f>IF(#REF! &lt;= 1, "0-1 Calls", IF(#REF! &lt;= 3, "2-3 Calls", IF(#REF! &lt;=5, "4-5 Calls", "6+ Calls")))</f>
        <v>#REF!</v>
      </c>
      <c r="X3431" t="e">
        <f>IF(#REF! &lt;= 50, "0-50", IF(#REF! &lt;=100, "51-100", IF(#REF! &lt;= 150, "101-150", "151+")))</f>
        <v>#REF!</v>
      </c>
      <c r="Y3431" t="e">
        <f>IF(#REF! &lt;= 3, "Low Charges", "High Charges")</f>
        <v>#REF!</v>
      </c>
      <c r="Z3431" t="e">
        <f>IF(#REF!&lt;=80,"Low Calls",
IF(#REF!&lt;=120,"Medium Calls","High Calls"))</f>
        <v>#REF!</v>
      </c>
      <c r="AA3431" t="e">
        <f>IF(#REF!&lt;=15,"Low Charges",
IF(#REF!&lt;=20,"Medium Charges","High Charges"))</f>
        <v>#REF!</v>
      </c>
      <c r="AB3431" t="e">
        <f>IF(AND(#REF!&gt;180, #REF!&gt;200), "Heavy Doemstic User", IF(#REF!&gt;10, "Interntional User", IF(AND(#REF!&lt;180, #REF!&lt;200,#REF!&lt;200), "Light User", "Balanced User")))</f>
        <v>#REF!</v>
      </c>
      <c r="AC3431" t="e">
        <f>IF(#REF! = 0, "No Usage", IF(#REF! &lt;= 20, "Low Usage", IF(#REF! &lt;= 40, "Medium Usgae", "High Usage")))</f>
        <v>#REF!</v>
      </c>
      <c r="AD3431" t="e">
        <f>IF(#REF!&lt;=150,"Low Usage", IF(#REF!&lt;=200,"Medium Usage", IF(#REF!&lt;=250,"High Usage","Very High Usage")))</f>
        <v>#REF!</v>
      </c>
      <c r="AE3431" t="e">
        <f>IF(#REF!&lt;=5,"Low Calls", IF(#REF!&lt;=10, "Medium Calls", "High Calls"))</f>
        <v>#REF!</v>
      </c>
      <c r="AF3431" t="e">
        <f xml:space="preserve">
IF(#REF!&gt;=4,4,0)+
IF(#REF!="yes",3,0)+
IF(#REF!="High Charges",3,0)+
IF(#REF!&gt;250,4,0)+
IF(#REF!="no",1,0)+
IF(#REF!="Heavy Domestic User",2,0)</f>
        <v>#REF!</v>
      </c>
      <c r="AG3431" t="e">
        <f>IF(#REF!&gt;=10,"High Risk", IF(#REF!&gt;=5,"Medium Risk","Low Risk"))</f>
        <v>#REF!</v>
      </c>
      <c r="AH3431" t="e">
        <f>#REF! + #REF! + #REF! + #REF!</f>
        <v>#REF!</v>
      </c>
    </row>
    <row r="3432" spans="1:34" x14ac:dyDescent="0.35">
      <c r="A3432">
        <v>3431</v>
      </c>
      <c r="B3432" t="s">
        <v>51</v>
      </c>
      <c r="C3432">
        <v>122</v>
      </c>
      <c r="D3432" t="s">
        <v>21</v>
      </c>
      <c r="E3432" t="s">
        <v>22</v>
      </c>
      <c r="F3432" t="s">
        <v>23</v>
      </c>
      <c r="G3432">
        <v>21</v>
      </c>
      <c r="H3432">
        <v>196</v>
      </c>
      <c r="I3432">
        <v>104</v>
      </c>
      <c r="J3432">
        <v>33.32</v>
      </c>
      <c r="K3432">
        <v>194.7</v>
      </c>
      <c r="L3432">
        <v>73</v>
      </c>
      <c r="M3432">
        <v>16.55</v>
      </c>
      <c r="N3432">
        <v>150.80000000000001</v>
      </c>
      <c r="O3432">
        <v>92</v>
      </c>
      <c r="P3432">
        <v>6.79</v>
      </c>
      <c r="Q3432">
        <v>9.6</v>
      </c>
      <c r="R3432">
        <v>4</v>
      </c>
      <c r="S3432">
        <v>2.59</v>
      </c>
      <c r="T3432">
        <v>0</v>
      </c>
      <c r="U3432" t="s">
        <v>22</v>
      </c>
      <c r="V3432" t="e">
        <f>IF(#REF! = "yes", 1, 0)</f>
        <v>#REF!</v>
      </c>
      <c r="W3432" t="e">
        <f>IF(#REF! &lt;= 1, "0-1 Calls", IF(#REF! &lt;= 3, "2-3 Calls", IF(#REF! &lt;=5, "4-5 Calls", "6+ Calls")))</f>
        <v>#REF!</v>
      </c>
      <c r="X3432" t="e">
        <f>IF(#REF! &lt;= 50, "0-50", IF(#REF! &lt;=100, "51-100", IF(#REF! &lt;= 150, "101-150", "151+")))</f>
        <v>#REF!</v>
      </c>
      <c r="Y3432" t="e">
        <f>IF(#REF! &lt;= 3, "Low Charges", "High Charges")</f>
        <v>#REF!</v>
      </c>
      <c r="Z3432" t="e">
        <f>IF(#REF!&lt;=80,"Low Calls",
IF(#REF!&lt;=120,"Medium Calls","High Calls"))</f>
        <v>#REF!</v>
      </c>
      <c r="AA3432" t="e">
        <f>IF(#REF!&lt;=15,"Low Charges",
IF(#REF!&lt;=20,"Medium Charges","High Charges"))</f>
        <v>#REF!</v>
      </c>
      <c r="AB3432" t="e">
        <f>IF(AND(#REF!&gt;180, #REF!&gt;200), "Heavy Doemstic User", IF(#REF!&gt;10, "Interntional User", IF(AND(#REF!&lt;180, #REF!&lt;200,#REF!&lt;200), "Light User", "Balanced User")))</f>
        <v>#REF!</v>
      </c>
      <c r="AC3432" t="e">
        <f>IF(#REF! = 0, "No Usage", IF(#REF! &lt;= 20, "Low Usage", IF(#REF! &lt;= 40, "Medium Usgae", "High Usage")))</f>
        <v>#REF!</v>
      </c>
      <c r="AD3432" t="e">
        <f>IF(#REF!&lt;=150,"Low Usage", IF(#REF!&lt;=200,"Medium Usage", IF(#REF!&lt;=250,"High Usage","Very High Usage")))</f>
        <v>#REF!</v>
      </c>
      <c r="AE3432" t="e">
        <f>IF(#REF!&lt;=5,"Low Calls", IF(#REF!&lt;=10, "Medium Calls", "High Calls"))</f>
        <v>#REF!</v>
      </c>
      <c r="AF3432" t="e">
        <f xml:space="preserve">
IF(#REF!&gt;=4,4,0)+
IF(#REF!="yes",3,0)+
IF(#REF!="High Charges",3,0)+
IF(#REF!&gt;250,4,0)+
IF(#REF!="no",1,0)+
IF(#REF!="Heavy Domestic User",2,0)</f>
        <v>#REF!</v>
      </c>
      <c r="AG3432" t="e">
        <f>IF(#REF!&gt;=10,"High Risk", IF(#REF!&gt;=5,"Medium Risk","Low Risk"))</f>
        <v>#REF!</v>
      </c>
      <c r="AH3432" t="e">
        <f>#REF! + #REF! + #REF! + #REF!</f>
        <v>#REF!</v>
      </c>
    </row>
    <row r="3433" spans="1:34" x14ac:dyDescent="0.35">
      <c r="A3433">
        <v>3432</v>
      </c>
      <c r="B3433" t="s">
        <v>35</v>
      </c>
      <c r="C3433">
        <v>73</v>
      </c>
      <c r="D3433" t="s">
        <v>21</v>
      </c>
      <c r="E3433" t="s">
        <v>22</v>
      </c>
      <c r="F3433" t="s">
        <v>23</v>
      </c>
      <c r="G3433">
        <v>33</v>
      </c>
      <c r="H3433">
        <v>129.80000000000001</v>
      </c>
      <c r="I3433">
        <v>112</v>
      </c>
      <c r="J3433">
        <v>22.07</v>
      </c>
      <c r="K3433">
        <v>225.3</v>
      </c>
      <c r="L3433">
        <v>96</v>
      </c>
      <c r="M3433">
        <v>19.149999999999999</v>
      </c>
      <c r="N3433">
        <v>262.5</v>
      </c>
      <c r="O3433">
        <v>104</v>
      </c>
      <c r="P3433">
        <v>11.81</v>
      </c>
      <c r="Q3433">
        <v>8.6</v>
      </c>
      <c r="R3433">
        <v>3</v>
      </c>
      <c r="S3433">
        <v>2.3199999999999998</v>
      </c>
      <c r="T3433">
        <v>1</v>
      </c>
      <c r="U3433" t="s">
        <v>22</v>
      </c>
      <c r="V3433" t="e">
        <f>IF(#REF! = "yes", 1, 0)</f>
        <v>#REF!</v>
      </c>
      <c r="W3433" t="e">
        <f>IF(#REF! &lt;= 1, "0-1 Calls", IF(#REF! &lt;= 3, "2-3 Calls", IF(#REF! &lt;=5, "4-5 Calls", "6+ Calls")))</f>
        <v>#REF!</v>
      </c>
      <c r="X3433" t="e">
        <f>IF(#REF! &lt;= 50, "0-50", IF(#REF! &lt;=100, "51-100", IF(#REF! &lt;= 150, "101-150", "151+")))</f>
        <v>#REF!</v>
      </c>
      <c r="Y3433" t="e">
        <f>IF(#REF! &lt;= 3, "Low Charges", "High Charges")</f>
        <v>#REF!</v>
      </c>
      <c r="Z3433" t="e">
        <f>IF(#REF!&lt;=80,"Low Calls",
IF(#REF!&lt;=120,"Medium Calls","High Calls"))</f>
        <v>#REF!</v>
      </c>
      <c r="AA3433" t="e">
        <f>IF(#REF!&lt;=15,"Low Charges",
IF(#REF!&lt;=20,"Medium Charges","High Charges"))</f>
        <v>#REF!</v>
      </c>
      <c r="AB3433" t="e">
        <f>IF(AND(#REF!&gt;180, #REF!&gt;200), "Heavy Doemstic User", IF(#REF!&gt;10, "Interntional User", IF(AND(#REF!&lt;180, #REF!&lt;200,#REF!&lt;200), "Light User", "Balanced User")))</f>
        <v>#REF!</v>
      </c>
      <c r="AC3433" t="e">
        <f>IF(#REF! = 0, "No Usage", IF(#REF! &lt;= 20, "Low Usage", IF(#REF! &lt;= 40, "Medium Usgae", "High Usage")))</f>
        <v>#REF!</v>
      </c>
      <c r="AD3433" t="e">
        <f>IF(#REF!&lt;=150,"Low Usage", IF(#REF!&lt;=200,"Medium Usage", IF(#REF!&lt;=250,"High Usage","Very High Usage")))</f>
        <v>#REF!</v>
      </c>
      <c r="AE3433" t="e">
        <f>IF(#REF!&lt;=5,"Low Calls", IF(#REF!&lt;=10, "Medium Calls", "High Calls"))</f>
        <v>#REF!</v>
      </c>
      <c r="AF3433" t="e">
        <f xml:space="preserve">
IF(#REF!&gt;=4,4,0)+
IF(#REF!="yes",3,0)+
IF(#REF!="High Charges",3,0)+
IF(#REF!&gt;250,4,0)+
IF(#REF!="no",1,0)+
IF(#REF!="Heavy Domestic User",2,0)</f>
        <v>#REF!</v>
      </c>
      <c r="AG3433" t="e">
        <f>IF(#REF!&gt;=10,"High Risk", IF(#REF!&gt;=5,"Medium Risk","Low Risk"))</f>
        <v>#REF!</v>
      </c>
      <c r="AH3433" t="e">
        <f>#REF! + #REF! + #REF! + #REF!</f>
        <v>#REF!</v>
      </c>
    </row>
    <row r="3434" spans="1:34" x14ac:dyDescent="0.35">
      <c r="A3434">
        <v>3433</v>
      </c>
      <c r="B3434" t="s">
        <v>31</v>
      </c>
      <c r="C3434">
        <v>100</v>
      </c>
      <c r="D3434" t="s">
        <v>25</v>
      </c>
      <c r="E3434" t="s">
        <v>22</v>
      </c>
      <c r="F3434" t="s">
        <v>22</v>
      </c>
      <c r="G3434">
        <v>0</v>
      </c>
      <c r="H3434">
        <v>239.1</v>
      </c>
      <c r="I3434">
        <v>96</v>
      </c>
      <c r="J3434">
        <v>40.65</v>
      </c>
      <c r="K3434">
        <v>180.1</v>
      </c>
      <c r="L3434">
        <v>110</v>
      </c>
      <c r="M3434">
        <v>15.31</v>
      </c>
      <c r="N3434">
        <v>259.2</v>
      </c>
      <c r="O3434">
        <v>112</v>
      </c>
      <c r="P3434">
        <v>11.66</v>
      </c>
      <c r="Q3434">
        <v>14</v>
      </c>
      <c r="R3434">
        <v>2</v>
      </c>
      <c r="S3434">
        <v>3.78</v>
      </c>
      <c r="T3434">
        <v>0</v>
      </c>
      <c r="U3434" t="s">
        <v>22</v>
      </c>
      <c r="V3434" t="e">
        <f>IF(#REF! = "yes", 1, 0)</f>
        <v>#REF!</v>
      </c>
      <c r="W3434" t="e">
        <f>IF(#REF! &lt;= 1, "0-1 Calls", IF(#REF! &lt;= 3, "2-3 Calls", IF(#REF! &lt;=5, "4-5 Calls", "6+ Calls")))</f>
        <v>#REF!</v>
      </c>
      <c r="X3434" t="e">
        <f>IF(#REF! &lt;= 50, "0-50", IF(#REF! &lt;=100, "51-100", IF(#REF! &lt;= 150, "101-150", "151+")))</f>
        <v>#REF!</v>
      </c>
      <c r="Y3434" t="e">
        <f>IF(#REF! &lt;= 3, "Low Charges", "High Charges")</f>
        <v>#REF!</v>
      </c>
      <c r="Z3434" t="e">
        <f>IF(#REF!&lt;=80,"Low Calls",
IF(#REF!&lt;=120,"Medium Calls","High Calls"))</f>
        <v>#REF!</v>
      </c>
      <c r="AA3434" t="e">
        <f>IF(#REF!&lt;=15,"Low Charges",
IF(#REF!&lt;=20,"Medium Charges","High Charges"))</f>
        <v>#REF!</v>
      </c>
      <c r="AB3434" t="e">
        <f>IF(AND(#REF!&gt;180, #REF!&gt;200), "Heavy Doemstic User", IF(#REF!&gt;10, "Interntional User", IF(AND(#REF!&lt;180, #REF!&lt;200,#REF!&lt;200), "Light User", "Balanced User")))</f>
        <v>#REF!</v>
      </c>
      <c r="AC3434" t="e">
        <f>IF(#REF! = 0, "No Usage", IF(#REF! &lt;= 20, "Low Usage", IF(#REF! &lt;= 40, "Medium Usgae", "High Usage")))</f>
        <v>#REF!</v>
      </c>
      <c r="AD3434" t="e">
        <f>IF(#REF!&lt;=150,"Low Usage", IF(#REF!&lt;=200,"Medium Usage", IF(#REF!&lt;=250,"High Usage","Very High Usage")))</f>
        <v>#REF!</v>
      </c>
      <c r="AE3434" t="e">
        <f>IF(#REF!&lt;=5,"Low Calls", IF(#REF!&lt;=10, "Medium Calls", "High Calls"))</f>
        <v>#REF!</v>
      </c>
      <c r="AF3434" t="e">
        <f xml:space="preserve">
IF(#REF!&gt;=4,4,0)+
IF(#REF!="yes",3,0)+
IF(#REF!="High Charges",3,0)+
IF(#REF!&gt;250,4,0)+
IF(#REF!="no",1,0)+
IF(#REF!="Heavy Domestic User",2,0)</f>
        <v>#REF!</v>
      </c>
      <c r="AG3434" t="e">
        <f>IF(#REF!&gt;=10,"High Risk", IF(#REF!&gt;=5,"Medium Risk","Low Risk"))</f>
        <v>#REF!</v>
      </c>
      <c r="AH3434" t="e">
        <f>#REF! + #REF! + #REF! + #REF!</f>
        <v>#REF!</v>
      </c>
    </row>
    <row r="3435" spans="1:34" x14ac:dyDescent="0.35">
      <c r="A3435">
        <v>3434</v>
      </c>
      <c r="B3435" t="s">
        <v>72</v>
      </c>
      <c r="C3435">
        <v>124</v>
      </c>
      <c r="D3435" t="s">
        <v>28</v>
      </c>
      <c r="E3435" t="s">
        <v>22</v>
      </c>
      <c r="F3435" t="s">
        <v>22</v>
      </c>
      <c r="G3435">
        <v>0</v>
      </c>
      <c r="H3435">
        <v>133.19999999999999</v>
      </c>
      <c r="I3435">
        <v>80</v>
      </c>
      <c r="J3435">
        <v>22.64</v>
      </c>
      <c r="K3435">
        <v>144.19999999999999</v>
      </c>
      <c r="L3435">
        <v>98</v>
      </c>
      <c r="M3435">
        <v>12.26</v>
      </c>
      <c r="N3435">
        <v>261</v>
      </c>
      <c r="O3435">
        <v>102</v>
      </c>
      <c r="P3435">
        <v>11.75</v>
      </c>
      <c r="Q3435">
        <v>12</v>
      </c>
      <c r="R3435">
        <v>3</v>
      </c>
      <c r="S3435">
        <v>3.24</v>
      </c>
      <c r="T3435">
        <v>3</v>
      </c>
      <c r="U3435" t="s">
        <v>23</v>
      </c>
      <c r="V3435" t="e">
        <f>IF(#REF! = "yes", 1, 0)</f>
        <v>#REF!</v>
      </c>
      <c r="W3435" t="e">
        <f>IF(#REF! &lt;= 1, "0-1 Calls", IF(#REF! &lt;= 3, "2-3 Calls", IF(#REF! &lt;=5, "4-5 Calls", "6+ Calls")))</f>
        <v>#REF!</v>
      </c>
      <c r="X3435" t="e">
        <f>IF(#REF! &lt;= 50, "0-50", IF(#REF! &lt;=100, "51-100", IF(#REF! &lt;= 150, "101-150", "151+")))</f>
        <v>#REF!</v>
      </c>
      <c r="Y3435" t="e">
        <f>IF(#REF! &lt;= 3, "Low Charges", "High Charges")</f>
        <v>#REF!</v>
      </c>
      <c r="Z3435" t="e">
        <f>IF(#REF!&lt;=80,"Low Calls",
IF(#REF!&lt;=120,"Medium Calls","High Calls"))</f>
        <v>#REF!</v>
      </c>
      <c r="AA3435" t="e">
        <f>IF(#REF!&lt;=15,"Low Charges",
IF(#REF!&lt;=20,"Medium Charges","High Charges"))</f>
        <v>#REF!</v>
      </c>
      <c r="AB3435" t="e">
        <f>IF(AND(#REF!&gt;180, #REF!&gt;200), "Heavy Doemstic User", IF(#REF!&gt;10, "Interntional User", IF(AND(#REF!&lt;180, #REF!&lt;200,#REF!&lt;200), "Light User", "Balanced User")))</f>
        <v>#REF!</v>
      </c>
      <c r="AC3435" t="e">
        <f>IF(#REF! = 0, "No Usage", IF(#REF! &lt;= 20, "Low Usage", IF(#REF! &lt;= 40, "Medium Usgae", "High Usage")))</f>
        <v>#REF!</v>
      </c>
      <c r="AD3435" t="e">
        <f>IF(#REF!&lt;=150,"Low Usage", IF(#REF!&lt;=200,"Medium Usage", IF(#REF!&lt;=250,"High Usage","Very High Usage")))</f>
        <v>#REF!</v>
      </c>
      <c r="AE3435" t="e">
        <f>IF(#REF!&lt;=5,"Low Calls", IF(#REF!&lt;=10, "Medium Calls", "High Calls"))</f>
        <v>#REF!</v>
      </c>
      <c r="AF3435" t="e">
        <f xml:space="preserve">
IF(#REF!&gt;=4,4,0)+
IF(#REF!="yes",3,0)+
IF(#REF!="High Charges",3,0)+
IF(#REF!&gt;250,4,0)+
IF(#REF!="no",1,0)+
IF(#REF!="Heavy Domestic User",2,0)</f>
        <v>#REF!</v>
      </c>
      <c r="AG3435" t="e">
        <f>IF(#REF!&gt;=10,"High Risk", IF(#REF!&gt;=5,"Medium Risk","Low Risk"))</f>
        <v>#REF!</v>
      </c>
      <c r="AH3435" t="e">
        <f>#REF! + #REF! + #REF! + #REF!</f>
        <v>#REF!</v>
      </c>
    </row>
    <row r="3436" spans="1:34" x14ac:dyDescent="0.35">
      <c r="A3436">
        <v>3435</v>
      </c>
      <c r="B3436" t="s">
        <v>52</v>
      </c>
      <c r="C3436">
        <v>112</v>
      </c>
      <c r="D3436" t="s">
        <v>25</v>
      </c>
      <c r="E3436" t="s">
        <v>22</v>
      </c>
      <c r="F3436" t="s">
        <v>22</v>
      </c>
      <c r="G3436">
        <v>0</v>
      </c>
      <c r="H3436">
        <v>135.69999999999999</v>
      </c>
      <c r="I3436">
        <v>34</v>
      </c>
      <c r="J3436">
        <v>23.07</v>
      </c>
      <c r="K3436">
        <v>243</v>
      </c>
      <c r="L3436">
        <v>99</v>
      </c>
      <c r="M3436">
        <v>20.66</v>
      </c>
      <c r="N3436">
        <v>209.3</v>
      </c>
      <c r="O3436">
        <v>115</v>
      </c>
      <c r="P3436">
        <v>9.42</v>
      </c>
      <c r="Q3436">
        <v>12.2</v>
      </c>
      <c r="R3436">
        <v>8</v>
      </c>
      <c r="S3436">
        <v>3.29</v>
      </c>
      <c r="T3436">
        <v>1</v>
      </c>
      <c r="U3436" t="s">
        <v>22</v>
      </c>
      <c r="V3436" t="e">
        <f>IF(#REF! = "yes", 1, 0)</f>
        <v>#REF!</v>
      </c>
      <c r="W3436" t="e">
        <f>IF(#REF! &lt;= 1, "0-1 Calls", IF(#REF! &lt;= 3, "2-3 Calls", IF(#REF! &lt;=5, "4-5 Calls", "6+ Calls")))</f>
        <v>#REF!</v>
      </c>
      <c r="X3436" t="e">
        <f>IF(#REF! &lt;= 50, "0-50", IF(#REF! &lt;=100, "51-100", IF(#REF! &lt;= 150, "101-150", "151+")))</f>
        <v>#REF!</v>
      </c>
      <c r="Y3436" t="e">
        <f>IF(#REF! &lt;= 3, "Low Charges", "High Charges")</f>
        <v>#REF!</v>
      </c>
      <c r="Z3436" t="e">
        <f>IF(#REF!&lt;=80,"Low Calls",
IF(#REF!&lt;=120,"Medium Calls","High Calls"))</f>
        <v>#REF!</v>
      </c>
      <c r="AA3436" t="e">
        <f>IF(#REF!&lt;=15,"Low Charges",
IF(#REF!&lt;=20,"Medium Charges","High Charges"))</f>
        <v>#REF!</v>
      </c>
      <c r="AB3436" t="e">
        <f>IF(AND(#REF!&gt;180, #REF!&gt;200), "Heavy Doemstic User", IF(#REF!&gt;10, "Interntional User", IF(AND(#REF!&lt;180, #REF!&lt;200,#REF!&lt;200), "Light User", "Balanced User")))</f>
        <v>#REF!</v>
      </c>
      <c r="AC3436" t="e">
        <f>IF(#REF! = 0, "No Usage", IF(#REF! &lt;= 20, "Low Usage", IF(#REF! &lt;= 40, "Medium Usgae", "High Usage")))</f>
        <v>#REF!</v>
      </c>
      <c r="AD3436" t="e">
        <f>IF(#REF!&lt;=150,"Low Usage", IF(#REF!&lt;=200,"Medium Usage", IF(#REF!&lt;=250,"High Usage","Very High Usage")))</f>
        <v>#REF!</v>
      </c>
      <c r="AE3436" t="e">
        <f>IF(#REF!&lt;=5,"Low Calls", IF(#REF!&lt;=10, "Medium Calls", "High Calls"))</f>
        <v>#REF!</v>
      </c>
      <c r="AF3436" t="e">
        <f xml:space="preserve">
IF(#REF!&gt;=4,4,0)+
IF(#REF!="yes",3,0)+
IF(#REF!="High Charges",3,0)+
IF(#REF!&gt;250,4,0)+
IF(#REF!="no",1,0)+
IF(#REF!="Heavy Domestic User",2,0)</f>
        <v>#REF!</v>
      </c>
      <c r="AG3436" t="e">
        <f>IF(#REF!&gt;=10,"High Risk", IF(#REF!&gt;=5,"Medium Risk","Low Risk"))</f>
        <v>#REF!</v>
      </c>
      <c r="AH3436" t="e">
        <f>#REF! + #REF! + #REF! + #REF!</f>
        <v>#REF!</v>
      </c>
    </row>
    <row r="3437" spans="1:34" x14ac:dyDescent="0.35">
      <c r="A3437">
        <v>3436</v>
      </c>
      <c r="B3437" t="s">
        <v>60</v>
      </c>
      <c r="C3437">
        <v>120</v>
      </c>
      <c r="D3437" t="s">
        <v>21</v>
      </c>
      <c r="E3437" t="s">
        <v>22</v>
      </c>
      <c r="F3437" t="s">
        <v>23</v>
      </c>
      <c r="G3437">
        <v>31</v>
      </c>
      <c r="H3437">
        <v>211</v>
      </c>
      <c r="I3437">
        <v>117</v>
      </c>
      <c r="J3437">
        <v>35.869999999999997</v>
      </c>
      <c r="K3437">
        <v>238.7</v>
      </c>
      <c r="L3437">
        <v>77</v>
      </c>
      <c r="M3437">
        <v>20.29</v>
      </c>
      <c r="N3437">
        <v>184.5</v>
      </c>
      <c r="O3437">
        <v>99</v>
      </c>
      <c r="P3437">
        <v>8.3000000000000007</v>
      </c>
      <c r="Q3437">
        <v>14</v>
      </c>
      <c r="R3437">
        <v>8</v>
      </c>
      <c r="S3437">
        <v>3.78</v>
      </c>
      <c r="T3437">
        <v>1</v>
      </c>
      <c r="U3437" t="s">
        <v>22</v>
      </c>
      <c r="V3437" t="e">
        <f>IF(#REF! = "yes", 1, 0)</f>
        <v>#REF!</v>
      </c>
      <c r="W3437" t="e">
        <f>IF(#REF! &lt;= 1, "0-1 Calls", IF(#REF! &lt;= 3, "2-3 Calls", IF(#REF! &lt;=5, "4-5 Calls", "6+ Calls")))</f>
        <v>#REF!</v>
      </c>
      <c r="X3437" t="e">
        <f>IF(#REF! &lt;= 50, "0-50", IF(#REF! &lt;=100, "51-100", IF(#REF! &lt;= 150, "101-150", "151+")))</f>
        <v>#REF!</v>
      </c>
      <c r="Y3437" t="e">
        <f>IF(#REF! &lt;= 3, "Low Charges", "High Charges")</f>
        <v>#REF!</v>
      </c>
      <c r="Z3437" t="e">
        <f>IF(#REF!&lt;=80,"Low Calls",
IF(#REF!&lt;=120,"Medium Calls","High Calls"))</f>
        <v>#REF!</v>
      </c>
      <c r="AA3437" t="e">
        <f>IF(#REF!&lt;=15,"Low Charges",
IF(#REF!&lt;=20,"Medium Charges","High Charges"))</f>
        <v>#REF!</v>
      </c>
      <c r="AB3437" t="e">
        <f>IF(AND(#REF!&gt;180, #REF!&gt;200), "Heavy Doemstic User", IF(#REF!&gt;10, "Interntional User", IF(AND(#REF!&lt;180, #REF!&lt;200,#REF!&lt;200), "Light User", "Balanced User")))</f>
        <v>#REF!</v>
      </c>
      <c r="AC3437" t="e">
        <f>IF(#REF! = 0, "No Usage", IF(#REF! &lt;= 20, "Low Usage", IF(#REF! &lt;= 40, "Medium Usgae", "High Usage")))</f>
        <v>#REF!</v>
      </c>
      <c r="AD3437" t="e">
        <f>IF(#REF!&lt;=150,"Low Usage", IF(#REF!&lt;=200,"Medium Usage", IF(#REF!&lt;=250,"High Usage","Very High Usage")))</f>
        <v>#REF!</v>
      </c>
      <c r="AE3437" t="e">
        <f>IF(#REF!&lt;=5,"Low Calls", IF(#REF!&lt;=10, "Medium Calls", "High Calls"))</f>
        <v>#REF!</v>
      </c>
      <c r="AF3437" t="e">
        <f xml:space="preserve">
IF(#REF!&gt;=4,4,0)+
IF(#REF!="yes",3,0)+
IF(#REF!="High Charges",3,0)+
IF(#REF!&gt;250,4,0)+
IF(#REF!="no",1,0)+
IF(#REF!="Heavy Domestic User",2,0)</f>
        <v>#REF!</v>
      </c>
      <c r="AG3437" t="e">
        <f>IF(#REF!&gt;=10,"High Risk", IF(#REF!&gt;=5,"Medium Risk","Low Risk"))</f>
        <v>#REF!</v>
      </c>
      <c r="AH3437" t="e">
        <f>#REF! + #REF! + #REF! + #REF!</f>
        <v>#REF!</v>
      </c>
    </row>
    <row r="3438" spans="1:34" x14ac:dyDescent="0.35">
      <c r="A3438">
        <v>3437</v>
      </c>
      <c r="B3438" t="s">
        <v>39</v>
      </c>
      <c r="C3438">
        <v>95</v>
      </c>
      <c r="D3438" t="s">
        <v>28</v>
      </c>
      <c r="E3438" t="s">
        <v>22</v>
      </c>
      <c r="F3438" t="s">
        <v>22</v>
      </c>
      <c r="G3438">
        <v>0</v>
      </c>
      <c r="H3438">
        <v>135.19999999999999</v>
      </c>
      <c r="I3438">
        <v>93</v>
      </c>
      <c r="J3438">
        <v>22.98</v>
      </c>
      <c r="K3438">
        <v>285.89999999999998</v>
      </c>
      <c r="L3438">
        <v>123</v>
      </c>
      <c r="M3438">
        <v>24.3</v>
      </c>
      <c r="N3438">
        <v>228.1</v>
      </c>
      <c r="O3438">
        <v>112</v>
      </c>
      <c r="P3438">
        <v>10.26</v>
      </c>
      <c r="Q3438">
        <v>10</v>
      </c>
      <c r="R3438">
        <v>2</v>
      </c>
      <c r="S3438">
        <v>2.7</v>
      </c>
      <c r="T3438">
        <v>3</v>
      </c>
      <c r="U3438" t="s">
        <v>22</v>
      </c>
      <c r="V3438" t="e">
        <f>IF(#REF! = "yes", 1, 0)</f>
        <v>#REF!</v>
      </c>
      <c r="W3438" t="e">
        <f>IF(#REF! &lt;= 1, "0-1 Calls", IF(#REF! &lt;= 3, "2-3 Calls", IF(#REF! &lt;=5, "4-5 Calls", "6+ Calls")))</f>
        <v>#REF!</v>
      </c>
      <c r="X3438" t="e">
        <f>IF(#REF! &lt;= 50, "0-50", IF(#REF! &lt;=100, "51-100", IF(#REF! &lt;= 150, "101-150", "151+")))</f>
        <v>#REF!</v>
      </c>
      <c r="Y3438" t="e">
        <f>IF(#REF! &lt;= 3, "Low Charges", "High Charges")</f>
        <v>#REF!</v>
      </c>
      <c r="Z3438" t="e">
        <f>IF(#REF!&lt;=80,"Low Calls",
IF(#REF!&lt;=120,"Medium Calls","High Calls"))</f>
        <v>#REF!</v>
      </c>
      <c r="AA3438" t="e">
        <f>IF(#REF!&lt;=15,"Low Charges",
IF(#REF!&lt;=20,"Medium Charges","High Charges"))</f>
        <v>#REF!</v>
      </c>
      <c r="AB3438" t="e">
        <f>IF(AND(#REF!&gt;180, #REF!&gt;200), "Heavy Doemstic User", IF(#REF!&gt;10, "Interntional User", IF(AND(#REF!&lt;180, #REF!&lt;200,#REF!&lt;200), "Light User", "Balanced User")))</f>
        <v>#REF!</v>
      </c>
      <c r="AC3438" t="e">
        <f>IF(#REF! = 0, "No Usage", IF(#REF! &lt;= 20, "Low Usage", IF(#REF! &lt;= 40, "Medium Usgae", "High Usage")))</f>
        <v>#REF!</v>
      </c>
      <c r="AD3438" t="e">
        <f>IF(#REF!&lt;=150,"Low Usage", IF(#REF!&lt;=200,"Medium Usage", IF(#REF!&lt;=250,"High Usage","Very High Usage")))</f>
        <v>#REF!</v>
      </c>
      <c r="AE3438" t="e">
        <f>IF(#REF!&lt;=5,"Low Calls", IF(#REF!&lt;=10, "Medium Calls", "High Calls"))</f>
        <v>#REF!</v>
      </c>
      <c r="AF3438" t="e">
        <f xml:space="preserve">
IF(#REF!&gt;=4,4,0)+
IF(#REF!="yes",3,0)+
IF(#REF!="High Charges",3,0)+
IF(#REF!&gt;250,4,0)+
IF(#REF!="no",1,0)+
IF(#REF!="Heavy Domestic User",2,0)</f>
        <v>#REF!</v>
      </c>
      <c r="AG3438" t="e">
        <f>IF(#REF!&gt;=10,"High Risk", IF(#REF!&gt;=5,"Medium Risk","Low Risk"))</f>
        <v>#REF!</v>
      </c>
      <c r="AH3438" t="e">
        <f>#REF! + #REF! + #REF! + #REF!</f>
        <v>#REF!</v>
      </c>
    </row>
    <row r="3439" spans="1:34" x14ac:dyDescent="0.35">
      <c r="A3439">
        <v>3438</v>
      </c>
      <c r="B3439" t="s">
        <v>30</v>
      </c>
      <c r="C3439">
        <v>61</v>
      </c>
      <c r="D3439" t="s">
        <v>25</v>
      </c>
      <c r="E3439" t="s">
        <v>22</v>
      </c>
      <c r="F3439" t="s">
        <v>22</v>
      </c>
      <c r="G3439">
        <v>0</v>
      </c>
      <c r="H3439">
        <v>140.80000000000001</v>
      </c>
      <c r="I3439">
        <v>126</v>
      </c>
      <c r="J3439">
        <v>23.94</v>
      </c>
      <c r="K3439">
        <v>212.5</v>
      </c>
      <c r="L3439">
        <v>115</v>
      </c>
      <c r="M3439">
        <v>18.059999999999999</v>
      </c>
      <c r="N3439">
        <v>141.69999999999999</v>
      </c>
      <c r="O3439">
        <v>79</v>
      </c>
      <c r="P3439">
        <v>6.38</v>
      </c>
      <c r="Q3439">
        <v>6.4</v>
      </c>
      <c r="R3439">
        <v>5</v>
      </c>
      <c r="S3439">
        <v>1.73</v>
      </c>
      <c r="T3439">
        <v>4</v>
      </c>
      <c r="U3439" t="s">
        <v>23</v>
      </c>
      <c r="V3439" t="e">
        <f>IF(#REF! = "yes", 1, 0)</f>
        <v>#REF!</v>
      </c>
      <c r="W3439" t="e">
        <f>IF(#REF! &lt;= 1, "0-1 Calls", IF(#REF! &lt;= 3, "2-3 Calls", IF(#REF! &lt;=5, "4-5 Calls", "6+ Calls")))</f>
        <v>#REF!</v>
      </c>
      <c r="X3439" t="e">
        <f>IF(#REF! &lt;= 50, "0-50", IF(#REF! &lt;=100, "51-100", IF(#REF! &lt;= 150, "101-150", "151+")))</f>
        <v>#REF!</v>
      </c>
      <c r="Y3439" t="e">
        <f>IF(#REF! &lt;= 3, "Low Charges", "High Charges")</f>
        <v>#REF!</v>
      </c>
      <c r="Z3439" t="e">
        <f>IF(#REF!&lt;=80,"Low Calls",
IF(#REF!&lt;=120,"Medium Calls","High Calls"))</f>
        <v>#REF!</v>
      </c>
      <c r="AA3439" t="e">
        <f>IF(#REF!&lt;=15,"Low Charges",
IF(#REF!&lt;=20,"Medium Charges","High Charges"))</f>
        <v>#REF!</v>
      </c>
      <c r="AB3439" t="e">
        <f>IF(AND(#REF!&gt;180, #REF!&gt;200), "Heavy Doemstic User", IF(#REF!&gt;10, "Interntional User", IF(AND(#REF!&lt;180, #REF!&lt;200,#REF!&lt;200), "Light User", "Balanced User")))</f>
        <v>#REF!</v>
      </c>
      <c r="AC3439" t="e">
        <f>IF(#REF! = 0, "No Usage", IF(#REF! &lt;= 20, "Low Usage", IF(#REF! &lt;= 40, "Medium Usgae", "High Usage")))</f>
        <v>#REF!</v>
      </c>
      <c r="AD3439" t="e">
        <f>IF(#REF!&lt;=150,"Low Usage", IF(#REF!&lt;=200,"Medium Usage", IF(#REF!&lt;=250,"High Usage","Very High Usage")))</f>
        <v>#REF!</v>
      </c>
      <c r="AE3439" t="e">
        <f>IF(#REF!&lt;=5,"Low Calls", IF(#REF!&lt;=10, "Medium Calls", "High Calls"))</f>
        <v>#REF!</v>
      </c>
      <c r="AF3439" t="e">
        <f xml:space="preserve">
IF(#REF!&gt;=4,4,0)+
IF(#REF!="yes",3,0)+
IF(#REF!="High Charges",3,0)+
IF(#REF!&gt;250,4,0)+
IF(#REF!="no",1,0)+
IF(#REF!="Heavy Domestic User",2,0)</f>
        <v>#REF!</v>
      </c>
      <c r="AG3439" t="e">
        <f>IF(#REF!&gt;=10,"High Risk", IF(#REF!&gt;=5,"Medium Risk","Low Risk"))</f>
        <v>#REF!</v>
      </c>
      <c r="AH3439" t="e">
        <f>#REF! + #REF! + #REF! + #REF!</f>
        <v>#REF!</v>
      </c>
    </row>
    <row r="3440" spans="1:34" x14ac:dyDescent="0.35">
      <c r="A3440">
        <v>3439</v>
      </c>
      <c r="B3440" t="s">
        <v>68</v>
      </c>
      <c r="C3440">
        <v>42</v>
      </c>
      <c r="D3440" t="s">
        <v>28</v>
      </c>
      <c r="E3440" t="s">
        <v>22</v>
      </c>
      <c r="F3440" t="s">
        <v>22</v>
      </c>
      <c r="G3440">
        <v>0</v>
      </c>
      <c r="H3440">
        <v>160.19999999999999</v>
      </c>
      <c r="I3440">
        <v>103</v>
      </c>
      <c r="J3440">
        <v>27.23</v>
      </c>
      <c r="K3440">
        <v>159.80000000000001</v>
      </c>
      <c r="L3440">
        <v>116</v>
      </c>
      <c r="M3440">
        <v>13.58</v>
      </c>
      <c r="N3440">
        <v>255.7</v>
      </c>
      <c r="O3440">
        <v>87</v>
      </c>
      <c r="P3440">
        <v>11.51</v>
      </c>
      <c r="Q3440">
        <v>12.9</v>
      </c>
      <c r="R3440">
        <v>3</v>
      </c>
      <c r="S3440">
        <v>3.48</v>
      </c>
      <c r="T3440">
        <v>1</v>
      </c>
      <c r="U3440" t="s">
        <v>22</v>
      </c>
      <c r="V3440" t="e">
        <f>IF(#REF! = "yes", 1, 0)</f>
        <v>#REF!</v>
      </c>
      <c r="W3440" t="e">
        <f>IF(#REF! &lt;= 1, "0-1 Calls", IF(#REF! &lt;= 3, "2-3 Calls", IF(#REF! &lt;=5, "4-5 Calls", "6+ Calls")))</f>
        <v>#REF!</v>
      </c>
      <c r="X3440" t="e">
        <f>IF(#REF! &lt;= 50, "0-50", IF(#REF! &lt;=100, "51-100", IF(#REF! &lt;= 150, "101-150", "151+")))</f>
        <v>#REF!</v>
      </c>
      <c r="Y3440" t="e">
        <f>IF(#REF! &lt;= 3, "Low Charges", "High Charges")</f>
        <v>#REF!</v>
      </c>
      <c r="Z3440" t="e">
        <f>IF(#REF!&lt;=80,"Low Calls",
IF(#REF!&lt;=120,"Medium Calls","High Calls"))</f>
        <v>#REF!</v>
      </c>
      <c r="AA3440" t="e">
        <f>IF(#REF!&lt;=15,"Low Charges",
IF(#REF!&lt;=20,"Medium Charges","High Charges"))</f>
        <v>#REF!</v>
      </c>
      <c r="AB3440" t="e">
        <f>IF(AND(#REF!&gt;180, #REF!&gt;200), "Heavy Doemstic User", IF(#REF!&gt;10, "Interntional User", IF(AND(#REF!&lt;180, #REF!&lt;200,#REF!&lt;200), "Light User", "Balanced User")))</f>
        <v>#REF!</v>
      </c>
      <c r="AC3440" t="e">
        <f>IF(#REF! = 0, "No Usage", IF(#REF! &lt;= 20, "Low Usage", IF(#REF! &lt;= 40, "Medium Usgae", "High Usage")))</f>
        <v>#REF!</v>
      </c>
      <c r="AD3440" t="e">
        <f>IF(#REF!&lt;=150,"Low Usage", IF(#REF!&lt;=200,"Medium Usage", IF(#REF!&lt;=250,"High Usage","Very High Usage")))</f>
        <v>#REF!</v>
      </c>
      <c r="AE3440" t="e">
        <f>IF(#REF!&lt;=5,"Low Calls", IF(#REF!&lt;=10, "Medium Calls", "High Calls"))</f>
        <v>#REF!</v>
      </c>
      <c r="AF3440" t="e">
        <f xml:space="preserve">
IF(#REF!&gt;=4,4,0)+
IF(#REF!="yes",3,0)+
IF(#REF!="High Charges",3,0)+
IF(#REF!&gt;250,4,0)+
IF(#REF!="no",1,0)+
IF(#REF!="Heavy Domestic User",2,0)</f>
        <v>#REF!</v>
      </c>
      <c r="AG3440" t="e">
        <f>IF(#REF!&gt;=10,"High Risk", IF(#REF!&gt;=5,"Medium Risk","Low Risk"))</f>
        <v>#REF!</v>
      </c>
      <c r="AH3440" t="e">
        <f>#REF! + #REF! + #REF! + #REF!</f>
        <v>#REF!</v>
      </c>
    </row>
    <row r="3441" spans="1:34" x14ac:dyDescent="0.35">
      <c r="A3441">
        <v>3440</v>
      </c>
      <c r="B3441" t="s">
        <v>49</v>
      </c>
      <c r="C3441">
        <v>104</v>
      </c>
      <c r="D3441" t="s">
        <v>21</v>
      </c>
      <c r="E3441" t="s">
        <v>22</v>
      </c>
      <c r="F3441" t="s">
        <v>22</v>
      </c>
      <c r="G3441">
        <v>0</v>
      </c>
      <c r="H3441">
        <v>153.69999999999999</v>
      </c>
      <c r="I3441">
        <v>86</v>
      </c>
      <c r="J3441">
        <v>26.13</v>
      </c>
      <c r="K3441">
        <v>160.30000000000001</v>
      </c>
      <c r="L3441">
        <v>78</v>
      </c>
      <c r="M3441">
        <v>13.63</v>
      </c>
      <c r="N3441">
        <v>176.6</v>
      </c>
      <c r="O3441">
        <v>140</v>
      </c>
      <c r="P3441">
        <v>7.95</v>
      </c>
      <c r="Q3441">
        <v>9.6</v>
      </c>
      <c r="R3441">
        <v>8</v>
      </c>
      <c r="S3441">
        <v>2.59</v>
      </c>
      <c r="T3441">
        <v>1</v>
      </c>
      <c r="U3441" t="s">
        <v>22</v>
      </c>
      <c r="V3441" t="e">
        <f>IF(#REF! = "yes", 1, 0)</f>
        <v>#REF!</v>
      </c>
      <c r="W3441" t="e">
        <f>IF(#REF! &lt;= 1, "0-1 Calls", IF(#REF! &lt;= 3, "2-3 Calls", IF(#REF! &lt;=5, "4-5 Calls", "6+ Calls")))</f>
        <v>#REF!</v>
      </c>
      <c r="X3441" t="e">
        <f>IF(#REF! &lt;= 50, "0-50", IF(#REF! &lt;=100, "51-100", IF(#REF! &lt;= 150, "101-150", "151+")))</f>
        <v>#REF!</v>
      </c>
      <c r="Y3441" t="e">
        <f>IF(#REF! &lt;= 3, "Low Charges", "High Charges")</f>
        <v>#REF!</v>
      </c>
      <c r="Z3441" t="e">
        <f>IF(#REF!&lt;=80,"Low Calls",
IF(#REF!&lt;=120,"Medium Calls","High Calls"))</f>
        <v>#REF!</v>
      </c>
      <c r="AA3441" t="e">
        <f>IF(#REF!&lt;=15,"Low Charges",
IF(#REF!&lt;=20,"Medium Charges","High Charges"))</f>
        <v>#REF!</v>
      </c>
      <c r="AB3441" t="e">
        <f>IF(AND(#REF!&gt;180, #REF!&gt;200), "Heavy Doemstic User", IF(#REF!&gt;10, "Interntional User", IF(AND(#REF!&lt;180, #REF!&lt;200,#REF!&lt;200), "Light User", "Balanced User")))</f>
        <v>#REF!</v>
      </c>
      <c r="AC3441" t="e">
        <f>IF(#REF! = 0, "No Usage", IF(#REF! &lt;= 20, "Low Usage", IF(#REF! &lt;= 40, "Medium Usgae", "High Usage")))</f>
        <v>#REF!</v>
      </c>
      <c r="AD3441" t="e">
        <f>IF(#REF!&lt;=150,"Low Usage", IF(#REF!&lt;=200,"Medium Usage", IF(#REF!&lt;=250,"High Usage","Very High Usage")))</f>
        <v>#REF!</v>
      </c>
      <c r="AE3441" t="e">
        <f>IF(#REF!&lt;=5,"Low Calls", IF(#REF!&lt;=10, "Medium Calls", "High Calls"))</f>
        <v>#REF!</v>
      </c>
      <c r="AF3441" t="e">
        <f xml:space="preserve">
IF(#REF!&gt;=4,4,0)+
IF(#REF!="yes",3,0)+
IF(#REF!="High Charges",3,0)+
IF(#REF!&gt;250,4,0)+
IF(#REF!="no",1,0)+
IF(#REF!="Heavy Domestic User",2,0)</f>
        <v>#REF!</v>
      </c>
      <c r="AG3441" t="e">
        <f>IF(#REF!&gt;=10,"High Risk", IF(#REF!&gt;=5,"Medium Risk","Low Risk"))</f>
        <v>#REF!</v>
      </c>
      <c r="AH3441" t="e">
        <f>#REF! + #REF! + #REF! + #REF!</f>
        <v>#REF!</v>
      </c>
    </row>
    <row r="3442" spans="1:34" x14ac:dyDescent="0.35">
      <c r="A3442">
        <v>3441</v>
      </c>
      <c r="B3442" t="s">
        <v>75</v>
      </c>
      <c r="C3442">
        <v>184</v>
      </c>
      <c r="D3442" t="s">
        <v>21</v>
      </c>
      <c r="E3442" t="s">
        <v>22</v>
      </c>
      <c r="F3442" t="s">
        <v>22</v>
      </c>
      <c r="G3442">
        <v>0</v>
      </c>
      <c r="H3442">
        <v>237.6</v>
      </c>
      <c r="I3442">
        <v>86</v>
      </c>
      <c r="J3442">
        <v>40.39</v>
      </c>
      <c r="K3442">
        <v>157</v>
      </c>
      <c r="L3442">
        <v>105</v>
      </c>
      <c r="M3442">
        <v>13.35</v>
      </c>
      <c r="N3442">
        <v>163.6</v>
      </c>
      <c r="O3442">
        <v>103</v>
      </c>
      <c r="P3442">
        <v>7.36</v>
      </c>
      <c r="Q3442">
        <v>14.2</v>
      </c>
      <c r="R3442">
        <v>2</v>
      </c>
      <c r="S3442">
        <v>3.83</v>
      </c>
      <c r="T3442">
        <v>2</v>
      </c>
      <c r="U3442" t="s">
        <v>22</v>
      </c>
      <c r="V3442" t="e">
        <f>IF(#REF! = "yes", 1, 0)</f>
        <v>#REF!</v>
      </c>
      <c r="W3442" t="e">
        <f>IF(#REF! &lt;= 1, "0-1 Calls", IF(#REF! &lt;= 3, "2-3 Calls", IF(#REF! &lt;=5, "4-5 Calls", "6+ Calls")))</f>
        <v>#REF!</v>
      </c>
      <c r="X3442" t="e">
        <f>IF(#REF! &lt;= 50, "0-50", IF(#REF! &lt;=100, "51-100", IF(#REF! &lt;= 150, "101-150", "151+")))</f>
        <v>#REF!</v>
      </c>
      <c r="Y3442" t="e">
        <f>IF(#REF! &lt;= 3, "Low Charges", "High Charges")</f>
        <v>#REF!</v>
      </c>
      <c r="Z3442" t="e">
        <f>IF(#REF!&lt;=80,"Low Calls",
IF(#REF!&lt;=120,"Medium Calls","High Calls"))</f>
        <v>#REF!</v>
      </c>
      <c r="AA3442" t="e">
        <f>IF(#REF!&lt;=15,"Low Charges",
IF(#REF!&lt;=20,"Medium Charges","High Charges"))</f>
        <v>#REF!</v>
      </c>
      <c r="AB3442" t="e">
        <f>IF(AND(#REF!&gt;180, #REF!&gt;200), "Heavy Doemstic User", IF(#REF!&gt;10, "Interntional User", IF(AND(#REF!&lt;180, #REF!&lt;200,#REF!&lt;200), "Light User", "Balanced User")))</f>
        <v>#REF!</v>
      </c>
      <c r="AC3442" t="e">
        <f>IF(#REF! = 0, "No Usage", IF(#REF! &lt;= 20, "Low Usage", IF(#REF! &lt;= 40, "Medium Usgae", "High Usage")))</f>
        <v>#REF!</v>
      </c>
      <c r="AD3442" t="e">
        <f>IF(#REF!&lt;=150,"Low Usage", IF(#REF!&lt;=200,"Medium Usage", IF(#REF!&lt;=250,"High Usage","Very High Usage")))</f>
        <v>#REF!</v>
      </c>
      <c r="AE3442" t="e">
        <f>IF(#REF!&lt;=5,"Low Calls", IF(#REF!&lt;=10, "Medium Calls", "High Calls"))</f>
        <v>#REF!</v>
      </c>
      <c r="AF3442" t="e">
        <f xml:space="preserve">
IF(#REF!&gt;=4,4,0)+
IF(#REF!="yes",3,0)+
IF(#REF!="High Charges",3,0)+
IF(#REF!&gt;250,4,0)+
IF(#REF!="no",1,0)+
IF(#REF!="Heavy Domestic User",2,0)</f>
        <v>#REF!</v>
      </c>
      <c r="AG3442" t="e">
        <f>IF(#REF!&gt;=10,"High Risk", IF(#REF!&gt;=5,"Medium Risk","Low Risk"))</f>
        <v>#REF!</v>
      </c>
      <c r="AH3442" t="e">
        <f>#REF! + #REF! + #REF! + #REF!</f>
        <v>#REF!</v>
      </c>
    </row>
    <row r="3443" spans="1:34" x14ac:dyDescent="0.35">
      <c r="A3443">
        <v>3442</v>
      </c>
      <c r="B3443" t="s">
        <v>63</v>
      </c>
      <c r="C3443">
        <v>29</v>
      </c>
      <c r="D3443" t="s">
        <v>28</v>
      </c>
      <c r="E3443" t="s">
        <v>22</v>
      </c>
      <c r="F3443" t="s">
        <v>22</v>
      </c>
      <c r="G3443">
        <v>0</v>
      </c>
      <c r="H3443">
        <v>182.1</v>
      </c>
      <c r="I3443">
        <v>92</v>
      </c>
      <c r="J3443">
        <v>30.96</v>
      </c>
      <c r="K3443">
        <v>180.4</v>
      </c>
      <c r="L3443">
        <v>91</v>
      </c>
      <c r="M3443">
        <v>15.33</v>
      </c>
      <c r="N3443">
        <v>206.4</v>
      </c>
      <c r="O3443">
        <v>128</v>
      </c>
      <c r="P3443">
        <v>9.2899999999999991</v>
      </c>
      <c r="Q3443">
        <v>7.2</v>
      </c>
      <c r="R3443">
        <v>2</v>
      </c>
      <c r="S3443">
        <v>1.94</v>
      </c>
      <c r="T3443">
        <v>2</v>
      </c>
      <c r="U3443" t="s">
        <v>22</v>
      </c>
      <c r="V3443" t="e">
        <f>IF(#REF! = "yes", 1, 0)</f>
        <v>#REF!</v>
      </c>
      <c r="W3443" t="e">
        <f>IF(#REF! &lt;= 1, "0-1 Calls", IF(#REF! &lt;= 3, "2-3 Calls", IF(#REF! &lt;=5, "4-5 Calls", "6+ Calls")))</f>
        <v>#REF!</v>
      </c>
      <c r="X3443" t="e">
        <f>IF(#REF! &lt;= 50, "0-50", IF(#REF! &lt;=100, "51-100", IF(#REF! &lt;= 150, "101-150", "151+")))</f>
        <v>#REF!</v>
      </c>
      <c r="Y3443" t="e">
        <f>IF(#REF! &lt;= 3, "Low Charges", "High Charges")</f>
        <v>#REF!</v>
      </c>
      <c r="Z3443" t="e">
        <f>IF(#REF!&lt;=80,"Low Calls",
IF(#REF!&lt;=120,"Medium Calls","High Calls"))</f>
        <v>#REF!</v>
      </c>
      <c r="AA3443" t="e">
        <f>IF(#REF!&lt;=15,"Low Charges",
IF(#REF!&lt;=20,"Medium Charges","High Charges"))</f>
        <v>#REF!</v>
      </c>
      <c r="AB3443" t="e">
        <f>IF(AND(#REF!&gt;180, #REF!&gt;200), "Heavy Doemstic User", IF(#REF!&gt;10, "Interntional User", IF(AND(#REF!&lt;180, #REF!&lt;200,#REF!&lt;200), "Light User", "Balanced User")))</f>
        <v>#REF!</v>
      </c>
      <c r="AC3443" t="e">
        <f>IF(#REF! = 0, "No Usage", IF(#REF! &lt;= 20, "Low Usage", IF(#REF! &lt;= 40, "Medium Usgae", "High Usage")))</f>
        <v>#REF!</v>
      </c>
      <c r="AD3443" t="e">
        <f>IF(#REF!&lt;=150,"Low Usage", IF(#REF!&lt;=200,"Medium Usage", IF(#REF!&lt;=250,"High Usage","Very High Usage")))</f>
        <v>#REF!</v>
      </c>
      <c r="AE3443" t="e">
        <f>IF(#REF!&lt;=5,"Low Calls", IF(#REF!&lt;=10, "Medium Calls", "High Calls"))</f>
        <v>#REF!</v>
      </c>
      <c r="AF3443" t="e">
        <f xml:space="preserve">
IF(#REF!&gt;=4,4,0)+
IF(#REF!="yes",3,0)+
IF(#REF!="High Charges",3,0)+
IF(#REF!&gt;250,4,0)+
IF(#REF!="no",1,0)+
IF(#REF!="Heavy Domestic User",2,0)</f>
        <v>#REF!</v>
      </c>
      <c r="AG3443" t="e">
        <f>IF(#REF!&gt;=10,"High Risk", IF(#REF!&gt;=5,"Medium Risk","Low Risk"))</f>
        <v>#REF!</v>
      </c>
      <c r="AH3443" t="e">
        <f>#REF! + #REF! + #REF! + #REF!</f>
        <v>#REF!</v>
      </c>
    </row>
    <row r="3444" spans="1:34" x14ac:dyDescent="0.35">
      <c r="A3444">
        <v>3443</v>
      </c>
      <c r="B3444" t="s">
        <v>49</v>
      </c>
      <c r="C3444">
        <v>5</v>
      </c>
      <c r="D3444" t="s">
        <v>25</v>
      </c>
      <c r="E3444" t="s">
        <v>22</v>
      </c>
      <c r="F3444" t="s">
        <v>22</v>
      </c>
      <c r="G3444">
        <v>0</v>
      </c>
      <c r="H3444">
        <v>198.7</v>
      </c>
      <c r="I3444">
        <v>108</v>
      </c>
      <c r="J3444">
        <v>33.78</v>
      </c>
      <c r="K3444">
        <v>146.69999999999999</v>
      </c>
      <c r="L3444">
        <v>86</v>
      </c>
      <c r="M3444">
        <v>12.47</v>
      </c>
      <c r="N3444">
        <v>216.8</v>
      </c>
      <c r="O3444">
        <v>95</v>
      </c>
      <c r="P3444">
        <v>9.76</v>
      </c>
      <c r="Q3444">
        <v>9.5</v>
      </c>
      <c r="R3444">
        <v>3</v>
      </c>
      <c r="S3444">
        <v>2.57</v>
      </c>
      <c r="T3444">
        <v>2</v>
      </c>
      <c r="U3444" t="s">
        <v>22</v>
      </c>
      <c r="V3444" t="e">
        <f>IF(#REF! = "yes", 1, 0)</f>
        <v>#REF!</v>
      </c>
      <c r="W3444" t="e">
        <f>IF(#REF! &lt;= 1, "0-1 Calls", IF(#REF! &lt;= 3, "2-3 Calls", IF(#REF! &lt;=5, "4-5 Calls", "6+ Calls")))</f>
        <v>#REF!</v>
      </c>
      <c r="X3444" t="e">
        <f>IF(#REF! &lt;= 50, "0-50", IF(#REF! &lt;=100, "51-100", IF(#REF! &lt;= 150, "101-150", "151+")))</f>
        <v>#REF!</v>
      </c>
      <c r="Y3444" t="e">
        <f>IF(#REF! &lt;= 3, "Low Charges", "High Charges")</f>
        <v>#REF!</v>
      </c>
      <c r="Z3444" t="e">
        <f>IF(#REF!&lt;=80,"Low Calls",
IF(#REF!&lt;=120,"Medium Calls","High Calls"))</f>
        <v>#REF!</v>
      </c>
      <c r="AA3444" t="e">
        <f>IF(#REF!&lt;=15,"Low Charges",
IF(#REF!&lt;=20,"Medium Charges","High Charges"))</f>
        <v>#REF!</v>
      </c>
      <c r="AB3444" t="e">
        <f>IF(AND(#REF!&gt;180, #REF!&gt;200), "Heavy Doemstic User", IF(#REF!&gt;10, "Interntional User", IF(AND(#REF!&lt;180, #REF!&lt;200,#REF!&lt;200), "Light User", "Balanced User")))</f>
        <v>#REF!</v>
      </c>
      <c r="AC3444" t="e">
        <f>IF(#REF! = 0, "No Usage", IF(#REF! &lt;= 20, "Low Usage", IF(#REF! &lt;= 40, "Medium Usgae", "High Usage")))</f>
        <v>#REF!</v>
      </c>
      <c r="AD3444" t="e">
        <f>IF(#REF!&lt;=150,"Low Usage", IF(#REF!&lt;=200,"Medium Usage", IF(#REF!&lt;=250,"High Usage","Very High Usage")))</f>
        <v>#REF!</v>
      </c>
      <c r="AE3444" t="e">
        <f>IF(#REF!&lt;=5,"Low Calls", IF(#REF!&lt;=10, "Medium Calls", "High Calls"))</f>
        <v>#REF!</v>
      </c>
      <c r="AF3444" t="e">
        <f xml:space="preserve">
IF(#REF!&gt;=4,4,0)+
IF(#REF!="yes",3,0)+
IF(#REF!="High Charges",3,0)+
IF(#REF!&gt;250,4,0)+
IF(#REF!="no",1,0)+
IF(#REF!="Heavy Domestic User",2,0)</f>
        <v>#REF!</v>
      </c>
      <c r="AG3444" t="e">
        <f>IF(#REF!&gt;=10,"High Risk", IF(#REF!&gt;=5,"Medium Risk","Low Risk"))</f>
        <v>#REF!</v>
      </c>
      <c r="AH3444" t="e">
        <f>#REF! + #REF! + #REF! + #REF!</f>
        <v>#REF!</v>
      </c>
    </row>
    <row r="3445" spans="1:34" x14ac:dyDescent="0.35">
      <c r="A3445">
        <v>3444</v>
      </c>
      <c r="B3445" t="s">
        <v>27</v>
      </c>
      <c r="C3445">
        <v>58</v>
      </c>
      <c r="D3445" t="s">
        <v>25</v>
      </c>
      <c r="E3445" t="s">
        <v>22</v>
      </c>
      <c r="F3445" t="s">
        <v>23</v>
      </c>
      <c r="G3445">
        <v>47</v>
      </c>
      <c r="H3445">
        <v>151.1</v>
      </c>
      <c r="I3445">
        <v>117</v>
      </c>
      <c r="J3445">
        <v>25.69</v>
      </c>
      <c r="K3445">
        <v>137.4</v>
      </c>
      <c r="L3445">
        <v>103</v>
      </c>
      <c r="M3445">
        <v>11.68</v>
      </c>
      <c r="N3445">
        <v>172.6</v>
      </c>
      <c r="O3445">
        <v>99</v>
      </c>
      <c r="P3445">
        <v>7.77</v>
      </c>
      <c r="Q3445">
        <v>9.1999999999999993</v>
      </c>
      <c r="R3445">
        <v>8</v>
      </c>
      <c r="S3445">
        <v>2.48</v>
      </c>
      <c r="T3445">
        <v>1</v>
      </c>
      <c r="U3445" t="s">
        <v>22</v>
      </c>
      <c r="V3445" t="e">
        <f>IF(#REF! = "yes", 1, 0)</f>
        <v>#REF!</v>
      </c>
      <c r="W3445" t="e">
        <f>IF(#REF! &lt;= 1, "0-1 Calls", IF(#REF! &lt;= 3, "2-3 Calls", IF(#REF! &lt;=5, "4-5 Calls", "6+ Calls")))</f>
        <v>#REF!</v>
      </c>
      <c r="X3445" t="e">
        <f>IF(#REF! &lt;= 50, "0-50", IF(#REF! &lt;=100, "51-100", IF(#REF! &lt;= 150, "101-150", "151+")))</f>
        <v>#REF!</v>
      </c>
      <c r="Y3445" t="e">
        <f>IF(#REF! &lt;= 3, "Low Charges", "High Charges")</f>
        <v>#REF!</v>
      </c>
      <c r="Z3445" t="e">
        <f>IF(#REF!&lt;=80,"Low Calls",
IF(#REF!&lt;=120,"Medium Calls","High Calls"))</f>
        <v>#REF!</v>
      </c>
      <c r="AA3445" t="e">
        <f>IF(#REF!&lt;=15,"Low Charges",
IF(#REF!&lt;=20,"Medium Charges","High Charges"))</f>
        <v>#REF!</v>
      </c>
      <c r="AB3445" t="e">
        <f>IF(AND(#REF!&gt;180, #REF!&gt;200), "Heavy Doemstic User", IF(#REF!&gt;10, "Interntional User", IF(AND(#REF!&lt;180, #REF!&lt;200,#REF!&lt;200), "Light User", "Balanced User")))</f>
        <v>#REF!</v>
      </c>
      <c r="AC3445" t="e">
        <f>IF(#REF! = 0, "No Usage", IF(#REF! &lt;= 20, "Low Usage", IF(#REF! &lt;= 40, "Medium Usgae", "High Usage")))</f>
        <v>#REF!</v>
      </c>
      <c r="AD3445" t="e">
        <f>IF(#REF!&lt;=150,"Low Usage", IF(#REF!&lt;=200,"Medium Usage", IF(#REF!&lt;=250,"High Usage","Very High Usage")))</f>
        <v>#REF!</v>
      </c>
      <c r="AE3445" t="e">
        <f>IF(#REF!&lt;=5,"Low Calls", IF(#REF!&lt;=10, "Medium Calls", "High Calls"))</f>
        <v>#REF!</v>
      </c>
      <c r="AF3445" t="e">
        <f xml:space="preserve">
IF(#REF!&gt;=4,4,0)+
IF(#REF!="yes",3,0)+
IF(#REF!="High Charges",3,0)+
IF(#REF!&gt;250,4,0)+
IF(#REF!="no",1,0)+
IF(#REF!="Heavy Domestic User",2,0)</f>
        <v>#REF!</v>
      </c>
      <c r="AG3445" t="e">
        <f>IF(#REF!&gt;=10,"High Risk", IF(#REF!&gt;=5,"Medium Risk","Low Risk"))</f>
        <v>#REF!</v>
      </c>
      <c r="AH3445" t="e">
        <f>#REF! + #REF! + #REF! + #REF!</f>
        <v>#REF!</v>
      </c>
    </row>
    <row r="3446" spans="1:34" x14ac:dyDescent="0.35">
      <c r="A3446">
        <v>3445</v>
      </c>
      <c r="B3446" t="s">
        <v>63</v>
      </c>
      <c r="C3446">
        <v>165</v>
      </c>
      <c r="D3446" t="s">
        <v>28</v>
      </c>
      <c r="E3446" t="s">
        <v>22</v>
      </c>
      <c r="F3446" t="s">
        <v>22</v>
      </c>
      <c r="G3446">
        <v>0</v>
      </c>
      <c r="H3446">
        <v>195.2</v>
      </c>
      <c r="I3446">
        <v>84</v>
      </c>
      <c r="J3446">
        <v>33.18</v>
      </c>
      <c r="K3446">
        <v>229.5</v>
      </c>
      <c r="L3446">
        <v>116</v>
      </c>
      <c r="M3446">
        <v>19.510000000000002</v>
      </c>
      <c r="N3446">
        <v>185.3</v>
      </c>
      <c r="O3446">
        <v>147</v>
      </c>
      <c r="P3446">
        <v>8.34</v>
      </c>
      <c r="Q3446">
        <v>11.9</v>
      </c>
      <c r="R3446">
        <v>3</v>
      </c>
      <c r="S3446">
        <v>3.21</v>
      </c>
      <c r="T3446">
        <v>0</v>
      </c>
      <c r="U3446" t="s">
        <v>22</v>
      </c>
      <c r="V3446" t="e">
        <f>IF(#REF! = "yes", 1, 0)</f>
        <v>#REF!</v>
      </c>
      <c r="W3446" t="e">
        <f>IF(#REF! &lt;= 1, "0-1 Calls", IF(#REF! &lt;= 3, "2-3 Calls", IF(#REF! &lt;=5, "4-5 Calls", "6+ Calls")))</f>
        <v>#REF!</v>
      </c>
      <c r="X3446" t="e">
        <f>IF(#REF! &lt;= 50, "0-50", IF(#REF! &lt;=100, "51-100", IF(#REF! &lt;= 150, "101-150", "151+")))</f>
        <v>#REF!</v>
      </c>
      <c r="Y3446" t="e">
        <f>IF(#REF! &lt;= 3, "Low Charges", "High Charges")</f>
        <v>#REF!</v>
      </c>
      <c r="Z3446" t="e">
        <f>IF(#REF!&lt;=80,"Low Calls",
IF(#REF!&lt;=120,"Medium Calls","High Calls"))</f>
        <v>#REF!</v>
      </c>
      <c r="AA3446" t="e">
        <f>IF(#REF!&lt;=15,"Low Charges",
IF(#REF!&lt;=20,"Medium Charges","High Charges"))</f>
        <v>#REF!</v>
      </c>
      <c r="AB3446" t="e">
        <f>IF(AND(#REF!&gt;180, #REF!&gt;200), "Heavy Doemstic User", IF(#REF!&gt;10, "Interntional User", IF(AND(#REF!&lt;180, #REF!&lt;200,#REF!&lt;200), "Light User", "Balanced User")))</f>
        <v>#REF!</v>
      </c>
      <c r="AC3446" t="e">
        <f>IF(#REF! = 0, "No Usage", IF(#REF! &lt;= 20, "Low Usage", IF(#REF! &lt;= 40, "Medium Usgae", "High Usage")))</f>
        <v>#REF!</v>
      </c>
      <c r="AD3446" t="e">
        <f>IF(#REF!&lt;=150,"Low Usage", IF(#REF!&lt;=200,"Medium Usage", IF(#REF!&lt;=250,"High Usage","Very High Usage")))</f>
        <v>#REF!</v>
      </c>
      <c r="AE3446" t="e">
        <f>IF(#REF!&lt;=5,"Low Calls", IF(#REF!&lt;=10, "Medium Calls", "High Calls"))</f>
        <v>#REF!</v>
      </c>
      <c r="AF3446" t="e">
        <f xml:space="preserve">
IF(#REF!&gt;=4,4,0)+
IF(#REF!="yes",3,0)+
IF(#REF!="High Charges",3,0)+
IF(#REF!&gt;250,4,0)+
IF(#REF!="no",1,0)+
IF(#REF!="Heavy Domestic User",2,0)</f>
        <v>#REF!</v>
      </c>
      <c r="AG3446" t="e">
        <f>IF(#REF!&gt;=10,"High Risk", IF(#REF!&gt;=5,"Medium Risk","Low Risk"))</f>
        <v>#REF!</v>
      </c>
      <c r="AH3446" t="e">
        <f>#REF! + #REF! + #REF! + #REF!</f>
        <v>#REF!</v>
      </c>
    </row>
    <row r="3447" spans="1:34" x14ac:dyDescent="0.35">
      <c r="A3447">
        <v>3446</v>
      </c>
      <c r="B3447" t="s">
        <v>24</v>
      </c>
      <c r="C3447">
        <v>77</v>
      </c>
      <c r="D3447" t="s">
        <v>25</v>
      </c>
      <c r="E3447" t="s">
        <v>23</v>
      </c>
      <c r="F3447" t="s">
        <v>23</v>
      </c>
      <c r="G3447">
        <v>34</v>
      </c>
      <c r="H3447">
        <v>209.9</v>
      </c>
      <c r="I3447">
        <v>79</v>
      </c>
      <c r="J3447">
        <v>35.68</v>
      </c>
      <c r="K3447">
        <v>226.1</v>
      </c>
      <c r="L3447">
        <v>88</v>
      </c>
      <c r="M3447">
        <v>19.22</v>
      </c>
      <c r="N3447">
        <v>101.8</v>
      </c>
      <c r="O3447">
        <v>103</v>
      </c>
      <c r="P3447">
        <v>4.58</v>
      </c>
      <c r="Q3447">
        <v>11.4</v>
      </c>
      <c r="R3447">
        <v>2</v>
      </c>
      <c r="S3447">
        <v>3.08</v>
      </c>
      <c r="T3447">
        <v>2</v>
      </c>
      <c r="U3447" t="s">
        <v>23</v>
      </c>
      <c r="V3447" t="e">
        <f>IF(#REF! = "yes", 1, 0)</f>
        <v>#REF!</v>
      </c>
      <c r="W3447" t="e">
        <f>IF(#REF! &lt;= 1, "0-1 Calls", IF(#REF! &lt;= 3, "2-3 Calls", IF(#REF! &lt;=5, "4-5 Calls", "6+ Calls")))</f>
        <v>#REF!</v>
      </c>
      <c r="X3447" t="e">
        <f>IF(#REF! &lt;= 50, "0-50", IF(#REF! &lt;=100, "51-100", IF(#REF! &lt;= 150, "101-150", "151+")))</f>
        <v>#REF!</v>
      </c>
      <c r="Y3447" t="e">
        <f>IF(#REF! &lt;= 3, "Low Charges", "High Charges")</f>
        <v>#REF!</v>
      </c>
      <c r="Z3447" t="e">
        <f>IF(#REF!&lt;=80,"Low Calls",
IF(#REF!&lt;=120,"Medium Calls","High Calls"))</f>
        <v>#REF!</v>
      </c>
      <c r="AA3447" t="e">
        <f>IF(#REF!&lt;=15,"Low Charges",
IF(#REF!&lt;=20,"Medium Charges","High Charges"))</f>
        <v>#REF!</v>
      </c>
      <c r="AB3447" t="e">
        <f>IF(AND(#REF!&gt;180, #REF!&gt;200), "Heavy Doemstic User", IF(#REF!&gt;10, "Interntional User", IF(AND(#REF!&lt;180, #REF!&lt;200,#REF!&lt;200), "Light User", "Balanced User")))</f>
        <v>#REF!</v>
      </c>
      <c r="AC3447" t="e">
        <f>IF(#REF! = 0, "No Usage", IF(#REF! &lt;= 20, "Low Usage", IF(#REF! &lt;= 40, "Medium Usgae", "High Usage")))</f>
        <v>#REF!</v>
      </c>
      <c r="AD3447" t="e">
        <f>IF(#REF!&lt;=150,"Low Usage", IF(#REF!&lt;=200,"Medium Usage", IF(#REF!&lt;=250,"High Usage","Very High Usage")))</f>
        <v>#REF!</v>
      </c>
      <c r="AE3447" t="e">
        <f>IF(#REF!&lt;=5,"Low Calls", IF(#REF!&lt;=10, "Medium Calls", "High Calls"))</f>
        <v>#REF!</v>
      </c>
      <c r="AF3447" t="e">
        <f xml:space="preserve">
IF(#REF!&gt;=4,4,0)+
IF(#REF!="yes",3,0)+
IF(#REF!="High Charges",3,0)+
IF(#REF!&gt;250,4,0)+
IF(#REF!="no",1,0)+
IF(#REF!="Heavy Domestic User",2,0)</f>
        <v>#REF!</v>
      </c>
      <c r="AG3447" t="e">
        <f>IF(#REF!&gt;=10,"High Risk", IF(#REF!&gt;=5,"Medium Risk","Low Risk"))</f>
        <v>#REF!</v>
      </c>
      <c r="AH3447" t="e">
        <f>#REF! + #REF! + #REF! + #REF!</f>
        <v>#REF!</v>
      </c>
    </row>
    <row r="3448" spans="1:34" x14ac:dyDescent="0.35">
      <c r="A3448">
        <v>3447</v>
      </c>
      <c r="B3448" t="s">
        <v>33</v>
      </c>
      <c r="C3448">
        <v>132</v>
      </c>
      <c r="D3448" t="s">
        <v>21</v>
      </c>
      <c r="E3448" t="s">
        <v>23</v>
      </c>
      <c r="F3448" t="s">
        <v>23</v>
      </c>
      <c r="G3448">
        <v>18</v>
      </c>
      <c r="H3448">
        <v>130.69999999999999</v>
      </c>
      <c r="I3448">
        <v>86</v>
      </c>
      <c r="J3448">
        <v>22.22</v>
      </c>
      <c r="K3448">
        <v>186.1</v>
      </c>
      <c r="L3448">
        <v>98</v>
      </c>
      <c r="M3448">
        <v>15.82</v>
      </c>
      <c r="N3448">
        <v>204.8</v>
      </c>
      <c r="O3448">
        <v>103</v>
      </c>
      <c r="P3448">
        <v>9.2200000000000006</v>
      </c>
      <c r="Q3448">
        <v>11.9</v>
      </c>
      <c r="R3448">
        <v>6</v>
      </c>
      <c r="S3448">
        <v>3.21</v>
      </c>
      <c r="T3448">
        <v>0</v>
      </c>
      <c r="U3448" t="s">
        <v>22</v>
      </c>
      <c r="V3448" t="e">
        <f>IF(#REF! = "yes", 1, 0)</f>
        <v>#REF!</v>
      </c>
      <c r="W3448" t="e">
        <f>IF(#REF! &lt;= 1, "0-1 Calls", IF(#REF! &lt;= 3, "2-3 Calls", IF(#REF! &lt;=5, "4-5 Calls", "6+ Calls")))</f>
        <v>#REF!</v>
      </c>
      <c r="X3448" t="e">
        <f>IF(#REF! &lt;= 50, "0-50", IF(#REF! &lt;=100, "51-100", IF(#REF! &lt;= 150, "101-150", "151+")))</f>
        <v>#REF!</v>
      </c>
      <c r="Y3448" t="e">
        <f>IF(#REF! &lt;= 3, "Low Charges", "High Charges")</f>
        <v>#REF!</v>
      </c>
      <c r="Z3448" t="e">
        <f>IF(#REF!&lt;=80,"Low Calls",
IF(#REF!&lt;=120,"Medium Calls","High Calls"))</f>
        <v>#REF!</v>
      </c>
      <c r="AA3448" t="e">
        <f>IF(#REF!&lt;=15,"Low Charges",
IF(#REF!&lt;=20,"Medium Charges","High Charges"))</f>
        <v>#REF!</v>
      </c>
      <c r="AB3448" t="e">
        <f>IF(AND(#REF!&gt;180, #REF!&gt;200), "Heavy Doemstic User", IF(#REF!&gt;10, "Interntional User", IF(AND(#REF!&lt;180, #REF!&lt;200,#REF!&lt;200), "Light User", "Balanced User")))</f>
        <v>#REF!</v>
      </c>
      <c r="AC3448" t="e">
        <f>IF(#REF! = 0, "No Usage", IF(#REF! &lt;= 20, "Low Usage", IF(#REF! &lt;= 40, "Medium Usgae", "High Usage")))</f>
        <v>#REF!</v>
      </c>
      <c r="AD3448" t="e">
        <f>IF(#REF!&lt;=150,"Low Usage", IF(#REF!&lt;=200,"Medium Usage", IF(#REF!&lt;=250,"High Usage","Very High Usage")))</f>
        <v>#REF!</v>
      </c>
      <c r="AE3448" t="e">
        <f>IF(#REF!&lt;=5,"Low Calls", IF(#REF!&lt;=10, "Medium Calls", "High Calls"))</f>
        <v>#REF!</v>
      </c>
      <c r="AF3448" t="e">
        <f xml:space="preserve">
IF(#REF!&gt;=4,4,0)+
IF(#REF!="yes",3,0)+
IF(#REF!="High Charges",3,0)+
IF(#REF!&gt;250,4,0)+
IF(#REF!="no",1,0)+
IF(#REF!="Heavy Domestic User",2,0)</f>
        <v>#REF!</v>
      </c>
      <c r="AG3448" t="e">
        <f>IF(#REF!&gt;=10,"High Risk", IF(#REF!&gt;=5,"Medium Risk","Low Risk"))</f>
        <v>#REF!</v>
      </c>
      <c r="AH3448" t="e">
        <f>#REF! + #REF! + #REF! + #REF!</f>
        <v>#REF!</v>
      </c>
    </row>
    <row r="3449" spans="1:34" x14ac:dyDescent="0.35">
      <c r="A3449">
        <v>3448</v>
      </c>
      <c r="B3449" t="s">
        <v>68</v>
      </c>
      <c r="C3449">
        <v>115</v>
      </c>
      <c r="D3449" t="s">
        <v>21</v>
      </c>
      <c r="E3449" t="s">
        <v>22</v>
      </c>
      <c r="F3449" t="s">
        <v>22</v>
      </c>
      <c r="G3449">
        <v>0</v>
      </c>
      <c r="H3449">
        <v>265.89999999999998</v>
      </c>
      <c r="I3449">
        <v>112</v>
      </c>
      <c r="J3449">
        <v>45.2</v>
      </c>
      <c r="K3449">
        <v>132.9</v>
      </c>
      <c r="L3449">
        <v>94</v>
      </c>
      <c r="M3449">
        <v>11.3</v>
      </c>
      <c r="N3449">
        <v>185.2</v>
      </c>
      <c r="O3449">
        <v>106</v>
      </c>
      <c r="P3449">
        <v>8.33</v>
      </c>
      <c r="Q3449">
        <v>14.6</v>
      </c>
      <c r="R3449">
        <v>7</v>
      </c>
      <c r="S3449">
        <v>3.94</v>
      </c>
      <c r="T3449">
        <v>1</v>
      </c>
      <c r="U3449" t="s">
        <v>22</v>
      </c>
      <c r="V3449" t="e">
        <f>IF(#REF! = "yes", 1, 0)</f>
        <v>#REF!</v>
      </c>
      <c r="W3449" t="e">
        <f>IF(#REF! &lt;= 1, "0-1 Calls", IF(#REF! &lt;= 3, "2-3 Calls", IF(#REF! &lt;=5, "4-5 Calls", "6+ Calls")))</f>
        <v>#REF!</v>
      </c>
      <c r="X3449" t="e">
        <f>IF(#REF! &lt;= 50, "0-50", IF(#REF! &lt;=100, "51-100", IF(#REF! &lt;= 150, "101-150", "151+")))</f>
        <v>#REF!</v>
      </c>
      <c r="Y3449" t="e">
        <f>IF(#REF! &lt;= 3, "Low Charges", "High Charges")</f>
        <v>#REF!</v>
      </c>
      <c r="Z3449" t="e">
        <f>IF(#REF!&lt;=80,"Low Calls",
IF(#REF!&lt;=120,"Medium Calls","High Calls"))</f>
        <v>#REF!</v>
      </c>
      <c r="AA3449" t="e">
        <f>IF(#REF!&lt;=15,"Low Charges",
IF(#REF!&lt;=20,"Medium Charges","High Charges"))</f>
        <v>#REF!</v>
      </c>
      <c r="AB3449" t="e">
        <f>IF(AND(#REF!&gt;180, #REF!&gt;200), "Heavy Doemstic User", IF(#REF!&gt;10, "Interntional User", IF(AND(#REF!&lt;180, #REF!&lt;200,#REF!&lt;200), "Light User", "Balanced User")))</f>
        <v>#REF!</v>
      </c>
      <c r="AC3449" t="e">
        <f>IF(#REF! = 0, "No Usage", IF(#REF! &lt;= 20, "Low Usage", IF(#REF! &lt;= 40, "Medium Usgae", "High Usage")))</f>
        <v>#REF!</v>
      </c>
      <c r="AD3449" t="e">
        <f>IF(#REF!&lt;=150,"Low Usage", IF(#REF!&lt;=200,"Medium Usage", IF(#REF!&lt;=250,"High Usage","Very High Usage")))</f>
        <v>#REF!</v>
      </c>
      <c r="AE3449" t="e">
        <f>IF(#REF!&lt;=5,"Low Calls", IF(#REF!&lt;=10, "Medium Calls", "High Calls"))</f>
        <v>#REF!</v>
      </c>
      <c r="AF3449" t="e">
        <f xml:space="preserve">
IF(#REF!&gt;=4,4,0)+
IF(#REF!="yes",3,0)+
IF(#REF!="High Charges",3,0)+
IF(#REF!&gt;250,4,0)+
IF(#REF!="no",1,0)+
IF(#REF!="Heavy Domestic User",2,0)</f>
        <v>#REF!</v>
      </c>
      <c r="AG3449" t="e">
        <f>IF(#REF!&gt;=10,"High Risk", IF(#REF!&gt;=5,"Medium Risk","Low Risk"))</f>
        <v>#REF!</v>
      </c>
      <c r="AH3449" t="e">
        <f>#REF! + #REF! + #REF! + #REF!</f>
        <v>#REF!</v>
      </c>
    </row>
    <row r="3450" spans="1:34" x14ac:dyDescent="0.35">
      <c r="A3450">
        <v>3449</v>
      </c>
      <c r="B3450" t="s">
        <v>39</v>
      </c>
      <c r="C3450">
        <v>148</v>
      </c>
      <c r="D3450" t="s">
        <v>25</v>
      </c>
      <c r="E3450" t="s">
        <v>22</v>
      </c>
      <c r="F3450" t="s">
        <v>22</v>
      </c>
      <c r="G3450">
        <v>0</v>
      </c>
      <c r="H3450">
        <v>249.7</v>
      </c>
      <c r="I3450">
        <v>91</v>
      </c>
      <c r="J3450">
        <v>42.45</v>
      </c>
      <c r="K3450">
        <v>185.1</v>
      </c>
      <c r="L3450">
        <v>90</v>
      </c>
      <c r="M3450">
        <v>15.73</v>
      </c>
      <c r="N3450">
        <v>234.2</v>
      </c>
      <c r="O3450">
        <v>88</v>
      </c>
      <c r="P3450">
        <v>10.54</v>
      </c>
      <c r="Q3450">
        <v>10.5</v>
      </c>
      <c r="R3450">
        <v>1</v>
      </c>
      <c r="S3450">
        <v>2.84</v>
      </c>
      <c r="T3450">
        <v>1</v>
      </c>
      <c r="U3450" t="s">
        <v>22</v>
      </c>
      <c r="V3450" t="e">
        <f>IF(#REF! = "yes", 1, 0)</f>
        <v>#REF!</v>
      </c>
      <c r="W3450" t="e">
        <f>IF(#REF! &lt;= 1, "0-1 Calls", IF(#REF! &lt;= 3, "2-3 Calls", IF(#REF! &lt;=5, "4-5 Calls", "6+ Calls")))</f>
        <v>#REF!</v>
      </c>
      <c r="X3450" t="e">
        <f>IF(#REF! &lt;= 50, "0-50", IF(#REF! &lt;=100, "51-100", IF(#REF! &lt;= 150, "101-150", "151+")))</f>
        <v>#REF!</v>
      </c>
      <c r="Y3450" t="e">
        <f>IF(#REF! &lt;= 3, "Low Charges", "High Charges")</f>
        <v>#REF!</v>
      </c>
      <c r="Z3450" t="e">
        <f>IF(#REF!&lt;=80,"Low Calls",
IF(#REF!&lt;=120,"Medium Calls","High Calls"))</f>
        <v>#REF!</v>
      </c>
      <c r="AA3450" t="e">
        <f>IF(#REF!&lt;=15,"Low Charges",
IF(#REF!&lt;=20,"Medium Charges","High Charges"))</f>
        <v>#REF!</v>
      </c>
      <c r="AB3450" t="e">
        <f>IF(AND(#REF!&gt;180, #REF!&gt;200), "Heavy Doemstic User", IF(#REF!&gt;10, "Interntional User", IF(AND(#REF!&lt;180, #REF!&lt;200,#REF!&lt;200), "Light User", "Balanced User")))</f>
        <v>#REF!</v>
      </c>
      <c r="AC3450" t="e">
        <f>IF(#REF! = 0, "No Usage", IF(#REF! &lt;= 20, "Low Usage", IF(#REF! &lt;= 40, "Medium Usgae", "High Usage")))</f>
        <v>#REF!</v>
      </c>
      <c r="AD3450" t="e">
        <f>IF(#REF!&lt;=150,"Low Usage", IF(#REF!&lt;=200,"Medium Usage", IF(#REF!&lt;=250,"High Usage","Very High Usage")))</f>
        <v>#REF!</v>
      </c>
      <c r="AE3450" t="e">
        <f>IF(#REF!&lt;=5,"Low Calls", IF(#REF!&lt;=10, "Medium Calls", "High Calls"))</f>
        <v>#REF!</v>
      </c>
      <c r="AF3450" t="e">
        <f xml:space="preserve">
IF(#REF!&gt;=4,4,0)+
IF(#REF!="yes",3,0)+
IF(#REF!="High Charges",3,0)+
IF(#REF!&gt;250,4,0)+
IF(#REF!="no",1,0)+
IF(#REF!="Heavy Domestic User",2,0)</f>
        <v>#REF!</v>
      </c>
      <c r="AG3450" t="e">
        <f>IF(#REF!&gt;=10,"High Risk", IF(#REF!&gt;=5,"Medium Risk","Low Risk"))</f>
        <v>#REF!</v>
      </c>
      <c r="AH3450" t="e">
        <f>#REF! + #REF! + #REF! + #REF!</f>
        <v>#REF!</v>
      </c>
    </row>
    <row r="3451" spans="1:34" x14ac:dyDescent="0.35">
      <c r="A3451">
        <v>3450</v>
      </c>
      <c r="B3451" t="s">
        <v>67</v>
      </c>
      <c r="C3451">
        <v>135</v>
      </c>
      <c r="D3451" t="s">
        <v>28</v>
      </c>
      <c r="E3451" t="s">
        <v>22</v>
      </c>
      <c r="F3451" t="s">
        <v>22</v>
      </c>
      <c r="G3451">
        <v>0</v>
      </c>
      <c r="H3451">
        <v>204.1</v>
      </c>
      <c r="I3451">
        <v>116</v>
      </c>
      <c r="J3451">
        <v>34.700000000000003</v>
      </c>
      <c r="K3451">
        <v>150.19999999999999</v>
      </c>
      <c r="L3451">
        <v>74</v>
      </c>
      <c r="M3451">
        <v>12.77</v>
      </c>
      <c r="N3451">
        <v>108.1</v>
      </c>
      <c r="O3451">
        <v>154</v>
      </c>
      <c r="P3451">
        <v>4.8600000000000003</v>
      </c>
      <c r="Q3451">
        <v>8.1</v>
      </c>
      <c r="R3451">
        <v>1</v>
      </c>
      <c r="S3451">
        <v>2.19</v>
      </c>
      <c r="T3451">
        <v>2</v>
      </c>
      <c r="U3451" t="s">
        <v>22</v>
      </c>
      <c r="V3451" t="e">
        <f>IF(#REF! = "yes", 1, 0)</f>
        <v>#REF!</v>
      </c>
      <c r="W3451" t="e">
        <f>IF(#REF! &lt;= 1, "0-1 Calls", IF(#REF! &lt;= 3, "2-3 Calls", IF(#REF! &lt;=5, "4-5 Calls", "6+ Calls")))</f>
        <v>#REF!</v>
      </c>
      <c r="X3451" t="e">
        <f>IF(#REF! &lt;= 50, "0-50", IF(#REF! &lt;=100, "51-100", IF(#REF! &lt;= 150, "101-150", "151+")))</f>
        <v>#REF!</v>
      </c>
      <c r="Y3451" t="e">
        <f>IF(#REF! &lt;= 3, "Low Charges", "High Charges")</f>
        <v>#REF!</v>
      </c>
      <c r="Z3451" t="e">
        <f>IF(#REF!&lt;=80,"Low Calls",
IF(#REF!&lt;=120,"Medium Calls","High Calls"))</f>
        <v>#REF!</v>
      </c>
      <c r="AA3451" t="e">
        <f>IF(#REF!&lt;=15,"Low Charges",
IF(#REF!&lt;=20,"Medium Charges","High Charges"))</f>
        <v>#REF!</v>
      </c>
      <c r="AB3451" t="e">
        <f>IF(AND(#REF!&gt;180, #REF!&gt;200), "Heavy Doemstic User", IF(#REF!&gt;10, "Interntional User", IF(AND(#REF!&lt;180, #REF!&lt;200,#REF!&lt;200), "Light User", "Balanced User")))</f>
        <v>#REF!</v>
      </c>
      <c r="AC3451" t="e">
        <f>IF(#REF! = 0, "No Usage", IF(#REF! &lt;= 20, "Low Usage", IF(#REF! &lt;= 40, "Medium Usgae", "High Usage")))</f>
        <v>#REF!</v>
      </c>
      <c r="AD3451" t="e">
        <f>IF(#REF!&lt;=150,"Low Usage", IF(#REF!&lt;=200,"Medium Usage", IF(#REF!&lt;=250,"High Usage","Very High Usage")))</f>
        <v>#REF!</v>
      </c>
      <c r="AE3451" t="e">
        <f>IF(#REF!&lt;=5,"Low Calls", IF(#REF!&lt;=10, "Medium Calls", "High Calls"))</f>
        <v>#REF!</v>
      </c>
      <c r="AF3451" t="e">
        <f xml:space="preserve">
IF(#REF!&gt;=4,4,0)+
IF(#REF!="yes",3,0)+
IF(#REF!="High Charges",3,0)+
IF(#REF!&gt;250,4,0)+
IF(#REF!="no",1,0)+
IF(#REF!="Heavy Domestic User",2,0)</f>
        <v>#REF!</v>
      </c>
      <c r="AG3451" t="e">
        <f>IF(#REF!&gt;=10,"High Risk", IF(#REF!&gt;=5,"Medium Risk","Low Risk"))</f>
        <v>#REF!</v>
      </c>
      <c r="AH3451" t="e">
        <f>#REF! + #REF! + #REF! + #REF!</f>
        <v>#REF!</v>
      </c>
    </row>
    <row r="3452" spans="1:34" x14ac:dyDescent="0.35">
      <c r="A3452">
        <v>3451</v>
      </c>
      <c r="B3452" t="s">
        <v>51</v>
      </c>
      <c r="C3452">
        <v>87</v>
      </c>
      <c r="D3452" t="s">
        <v>28</v>
      </c>
      <c r="E3452" t="s">
        <v>22</v>
      </c>
      <c r="F3452" t="s">
        <v>23</v>
      </c>
      <c r="G3452">
        <v>24</v>
      </c>
      <c r="H3452">
        <v>135.80000000000001</v>
      </c>
      <c r="I3452">
        <v>108</v>
      </c>
      <c r="J3452">
        <v>23.09</v>
      </c>
      <c r="K3452">
        <v>251.4</v>
      </c>
      <c r="L3452">
        <v>62</v>
      </c>
      <c r="M3452">
        <v>21.37</v>
      </c>
      <c r="N3452">
        <v>181.5</v>
      </c>
      <c r="O3452">
        <v>91</v>
      </c>
      <c r="P3452">
        <v>8.17</v>
      </c>
      <c r="Q3452">
        <v>6.4</v>
      </c>
      <c r="R3452">
        <v>4</v>
      </c>
      <c r="S3452">
        <v>1.73</v>
      </c>
      <c r="T3452">
        <v>0</v>
      </c>
      <c r="U3452" t="s">
        <v>22</v>
      </c>
      <c r="V3452" t="e">
        <f>IF(#REF! = "yes", 1, 0)</f>
        <v>#REF!</v>
      </c>
      <c r="W3452" t="e">
        <f>IF(#REF! &lt;= 1, "0-1 Calls", IF(#REF! &lt;= 3, "2-3 Calls", IF(#REF! &lt;=5, "4-5 Calls", "6+ Calls")))</f>
        <v>#REF!</v>
      </c>
      <c r="X3452" t="e">
        <f>IF(#REF! &lt;= 50, "0-50", IF(#REF! &lt;=100, "51-100", IF(#REF! &lt;= 150, "101-150", "151+")))</f>
        <v>#REF!</v>
      </c>
      <c r="Y3452" t="e">
        <f>IF(#REF! &lt;= 3, "Low Charges", "High Charges")</f>
        <v>#REF!</v>
      </c>
      <c r="Z3452" t="e">
        <f>IF(#REF!&lt;=80,"Low Calls",
IF(#REF!&lt;=120,"Medium Calls","High Calls"))</f>
        <v>#REF!</v>
      </c>
      <c r="AA3452" t="e">
        <f>IF(#REF!&lt;=15,"Low Charges",
IF(#REF!&lt;=20,"Medium Charges","High Charges"))</f>
        <v>#REF!</v>
      </c>
      <c r="AB3452" t="e">
        <f>IF(AND(#REF!&gt;180, #REF!&gt;200), "Heavy Doemstic User", IF(#REF!&gt;10, "Interntional User", IF(AND(#REF!&lt;180, #REF!&lt;200,#REF!&lt;200), "Light User", "Balanced User")))</f>
        <v>#REF!</v>
      </c>
      <c r="AC3452" t="e">
        <f>IF(#REF! = 0, "No Usage", IF(#REF! &lt;= 20, "Low Usage", IF(#REF! &lt;= 40, "Medium Usgae", "High Usage")))</f>
        <v>#REF!</v>
      </c>
      <c r="AD3452" t="e">
        <f>IF(#REF!&lt;=150,"Low Usage", IF(#REF!&lt;=200,"Medium Usage", IF(#REF!&lt;=250,"High Usage","Very High Usage")))</f>
        <v>#REF!</v>
      </c>
      <c r="AE3452" t="e">
        <f>IF(#REF!&lt;=5,"Low Calls", IF(#REF!&lt;=10, "Medium Calls", "High Calls"))</f>
        <v>#REF!</v>
      </c>
      <c r="AF3452" t="e">
        <f xml:space="preserve">
IF(#REF!&gt;=4,4,0)+
IF(#REF!="yes",3,0)+
IF(#REF!="High Charges",3,0)+
IF(#REF!&gt;250,4,0)+
IF(#REF!="no",1,0)+
IF(#REF!="Heavy Domestic User",2,0)</f>
        <v>#REF!</v>
      </c>
      <c r="AG3452" t="e">
        <f>IF(#REF!&gt;=10,"High Risk", IF(#REF!&gt;=5,"Medium Risk","Low Risk"))</f>
        <v>#REF!</v>
      </c>
      <c r="AH3452" t="e">
        <f>#REF! + #REF! + #REF! + #REF!</f>
        <v>#REF!</v>
      </c>
    </row>
    <row r="3453" spans="1:34" x14ac:dyDescent="0.35">
      <c r="A3453">
        <v>3452</v>
      </c>
      <c r="B3453" t="s">
        <v>66</v>
      </c>
      <c r="C3453">
        <v>78</v>
      </c>
      <c r="D3453" t="s">
        <v>21</v>
      </c>
      <c r="E3453" t="s">
        <v>22</v>
      </c>
      <c r="F3453" t="s">
        <v>22</v>
      </c>
      <c r="G3453">
        <v>0</v>
      </c>
      <c r="H3453">
        <v>211.4</v>
      </c>
      <c r="I3453">
        <v>105</v>
      </c>
      <c r="J3453">
        <v>35.94</v>
      </c>
      <c r="K3453">
        <v>249.9</v>
      </c>
      <c r="L3453">
        <v>77</v>
      </c>
      <c r="M3453">
        <v>21.24</v>
      </c>
      <c r="N3453">
        <v>199.6</v>
      </c>
      <c r="O3453">
        <v>129</v>
      </c>
      <c r="P3453">
        <v>8.98</v>
      </c>
      <c r="Q3453">
        <v>9.3000000000000007</v>
      </c>
      <c r="R3453">
        <v>2</v>
      </c>
      <c r="S3453">
        <v>2.5099999999999998</v>
      </c>
      <c r="T3453">
        <v>2</v>
      </c>
      <c r="U3453" t="s">
        <v>22</v>
      </c>
      <c r="V3453" t="e">
        <f>IF(#REF! = "yes", 1, 0)</f>
        <v>#REF!</v>
      </c>
      <c r="W3453" t="e">
        <f>IF(#REF! &lt;= 1, "0-1 Calls", IF(#REF! &lt;= 3, "2-3 Calls", IF(#REF! &lt;=5, "4-5 Calls", "6+ Calls")))</f>
        <v>#REF!</v>
      </c>
      <c r="X3453" t="e">
        <f>IF(#REF! &lt;= 50, "0-50", IF(#REF! &lt;=100, "51-100", IF(#REF! &lt;= 150, "101-150", "151+")))</f>
        <v>#REF!</v>
      </c>
      <c r="Y3453" t="e">
        <f>IF(#REF! &lt;= 3, "Low Charges", "High Charges")</f>
        <v>#REF!</v>
      </c>
      <c r="Z3453" t="e">
        <f>IF(#REF!&lt;=80,"Low Calls",
IF(#REF!&lt;=120,"Medium Calls","High Calls"))</f>
        <v>#REF!</v>
      </c>
      <c r="AA3453" t="e">
        <f>IF(#REF!&lt;=15,"Low Charges",
IF(#REF!&lt;=20,"Medium Charges","High Charges"))</f>
        <v>#REF!</v>
      </c>
      <c r="AB3453" t="e">
        <f>IF(AND(#REF!&gt;180, #REF!&gt;200), "Heavy Doemstic User", IF(#REF!&gt;10, "Interntional User", IF(AND(#REF!&lt;180, #REF!&lt;200,#REF!&lt;200), "Light User", "Balanced User")))</f>
        <v>#REF!</v>
      </c>
      <c r="AC3453" t="e">
        <f>IF(#REF! = 0, "No Usage", IF(#REF! &lt;= 20, "Low Usage", IF(#REF! &lt;= 40, "Medium Usgae", "High Usage")))</f>
        <v>#REF!</v>
      </c>
      <c r="AD3453" t="e">
        <f>IF(#REF!&lt;=150,"Low Usage", IF(#REF!&lt;=200,"Medium Usage", IF(#REF!&lt;=250,"High Usage","Very High Usage")))</f>
        <v>#REF!</v>
      </c>
      <c r="AE3453" t="e">
        <f>IF(#REF!&lt;=5,"Low Calls", IF(#REF!&lt;=10, "Medium Calls", "High Calls"))</f>
        <v>#REF!</v>
      </c>
      <c r="AF3453" t="e">
        <f xml:space="preserve">
IF(#REF!&gt;=4,4,0)+
IF(#REF!="yes",3,0)+
IF(#REF!="High Charges",3,0)+
IF(#REF!&gt;250,4,0)+
IF(#REF!="no",1,0)+
IF(#REF!="Heavy Domestic User",2,0)</f>
        <v>#REF!</v>
      </c>
      <c r="AG3453" t="e">
        <f>IF(#REF!&gt;=10,"High Risk", IF(#REF!&gt;=5,"Medium Risk","Low Risk"))</f>
        <v>#REF!</v>
      </c>
      <c r="AH3453" t="e">
        <f>#REF! + #REF! + #REF! + #REF!</f>
        <v>#REF!</v>
      </c>
    </row>
    <row r="3454" spans="1:34" x14ac:dyDescent="0.35">
      <c r="A3454">
        <v>3453</v>
      </c>
      <c r="B3454" t="s">
        <v>35</v>
      </c>
      <c r="C3454">
        <v>78</v>
      </c>
      <c r="D3454" t="s">
        <v>28</v>
      </c>
      <c r="E3454" t="s">
        <v>22</v>
      </c>
      <c r="F3454" t="s">
        <v>22</v>
      </c>
      <c r="G3454">
        <v>0</v>
      </c>
      <c r="H3454">
        <v>185.8</v>
      </c>
      <c r="I3454">
        <v>102</v>
      </c>
      <c r="J3454">
        <v>31.59</v>
      </c>
      <c r="K3454">
        <v>251.6</v>
      </c>
      <c r="L3454">
        <v>88</v>
      </c>
      <c r="M3454">
        <v>21.39</v>
      </c>
      <c r="N3454">
        <v>202.8</v>
      </c>
      <c r="O3454">
        <v>86</v>
      </c>
      <c r="P3454">
        <v>9.1300000000000008</v>
      </c>
      <c r="Q3454">
        <v>13.3</v>
      </c>
      <c r="R3454">
        <v>6</v>
      </c>
      <c r="S3454">
        <v>3.59</v>
      </c>
      <c r="T3454">
        <v>2</v>
      </c>
      <c r="U3454" t="s">
        <v>22</v>
      </c>
      <c r="V3454" t="e">
        <f>IF(#REF! = "yes", 1, 0)</f>
        <v>#REF!</v>
      </c>
      <c r="W3454" t="e">
        <f>IF(#REF! &lt;= 1, "0-1 Calls", IF(#REF! &lt;= 3, "2-3 Calls", IF(#REF! &lt;=5, "4-5 Calls", "6+ Calls")))</f>
        <v>#REF!</v>
      </c>
      <c r="X3454" t="e">
        <f>IF(#REF! &lt;= 50, "0-50", IF(#REF! &lt;=100, "51-100", IF(#REF! &lt;= 150, "101-150", "151+")))</f>
        <v>#REF!</v>
      </c>
      <c r="Y3454" t="e">
        <f>IF(#REF! &lt;= 3, "Low Charges", "High Charges")</f>
        <v>#REF!</v>
      </c>
      <c r="Z3454" t="e">
        <f>IF(#REF!&lt;=80,"Low Calls",
IF(#REF!&lt;=120,"Medium Calls","High Calls"))</f>
        <v>#REF!</v>
      </c>
      <c r="AA3454" t="e">
        <f>IF(#REF!&lt;=15,"Low Charges",
IF(#REF!&lt;=20,"Medium Charges","High Charges"))</f>
        <v>#REF!</v>
      </c>
      <c r="AB3454" t="e">
        <f>IF(AND(#REF!&gt;180, #REF!&gt;200), "Heavy Doemstic User", IF(#REF!&gt;10, "Interntional User", IF(AND(#REF!&lt;180, #REF!&lt;200,#REF!&lt;200), "Light User", "Balanced User")))</f>
        <v>#REF!</v>
      </c>
      <c r="AC3454" t="e">
        <f>IF(#REF! = 0, "No Usage", IF(#REF! &lt;= 20, "Low Usage", IF(#REF! &lt;= 40, "Medium Usgae", "High Usage")))</f>
        <v>#REF!</v>
      </c>
      <c r="AD3454" t="e">
        <f>IF(#REF!&lt;=150,"Low Usage", IF(#REF!&lt;=200,"Medium Usage", IF(#REF!&lt;=250,"High Usage","Very High Usage")))</f>
        <v>#REF!</v>
      </c>
      <c r="AE3454" t="e">
        <f>IF(#REF!&lt;=5,"Low Calls", IF(#REF!&lt;=10, "Medium Calls", "High Calls"))</f>
        <v>#REF!</v>
      </c>
      <c r="AF3454" t="e">
        <f xml:space="preserve">
IF(#REF!&gt;=4,4,0)+
IF(#REF!="yes",3,0)+
IF(#REF!="High Charges",3,0)+
IF(#REF!&gt;250,4,0)+
IF(#REF!="no",1,0)+
IF(#REF!="Heavy Domestic User",2,0)</f>
        <v>#REF!</v>
      </c>
      <c r="AG3454" t="e">
        <f>IF(#REF!&gt;=10,"High Risk", IF(#REF!&gt;=5,"Medium Risk","Low Risk"))</f>
        <v>#REF!</v>
      </c>
      <c r="AH3454" t="e">
        <f>#REF! + #REF! + #REF! + #REF!</f>
        <v>#REF!</v>
      </c>
    </row>
    <row r="3455" spans="1:34" x14ac:dyDescent="0.35">
      <c r="A3455">
        <v>3454</v>
      </c>
      <c r="B3455" t="s">
        <v>37</v>
      </c>
      <c r="C3455">
        <v>101</v>
      </c>
      <c r="D3455" t="s">
        <v>21</v>
      </c>
      <c r="E3455" t="s">
        <v>22</v>
      </c>
      <c r="F3455" t="s">
        <v>22</v>
      </c>
      <c r="G3455">
        <v>0</v>
      </c>
      <c r="H3455">
        <v>202.5</v>
      </c>
      <c r="I3455">
        <v>91</v>
      </c>
      <c r="J3455">
        <v>34.43</v>
      </c>
      <c r="K3455">
        <v>142.5</v>
      </c>
      <c r="L3455">
        <v>134</v>
      </c>
      <c r="M3455">
        <v>12.11</v>
      </c>
      <c r="N3455">
        <v>219.6</v>
      </c>
      <c r="O3455">
        <v>102</v>
      </c>
      <c r="P3455">
        <v>9.8800000000000008</v>
      </c>
      <c r="Q3455">
        <v>10.1</v>
      </c>
      <c r="R3455">
        <v>4</v>
      </c>
      <c r="S3455">
        <v>2.73</v>
      </c>
      <c r="T3455">
        <v>3</v>
      </c>
      <c r="U3455" t="s">
        <v>22</v>
      </c>
      <c r="V3455" t="e">
        <f>IF(#REF! = "yes", 1, 0)</f>
        <v>#REF!</v>
      </c>
      <c r="W3455" t="e">
        <f>IF(#REF! &lt;= 1, "0-1 Calls", IF(#REF! &lt;= 3, "2-3 Calls", IF(#REF! &lt;=5, "4-5 Calls", "6+ Calls")))</f>
        <v>#REF!</v>
      </c>
      <c r="X3455" t="e">
        <f>IF(#REF! &lt;= 50, "0-50", IF(#REF! &lt;=100, "51-100", IF(#REF! &lt;= 150, "101-150", "151+")))</f>
        <v>#REF!</v>
      </c>
      <c r="Y3455" t="e">
        <f>IF(#REF! &lt;= 3, "Low Charges", "High Charges")</f>
        <v>#REF!</v>
      </c>
      <c r="Z3455" t="e">
        <f>IF(#REF!&lt;=80,"Low Calls",
IF(#REF!&lt;=120,"Medium Calls","High Calls"))</f>
        <v>#REF!</v>
      </c>
      <c r="AA3455" t="e">
        <f>IF(#REF!&lt;=15,"Low Charges",
IF(#REF!&lt;=20,"Medium Charges","High Charges"))</f>
        <v>#REF!</v>
      </c>
      <c r="AB3455" t="e">
        <f>IF(AND(#REF!&gt;180, #REF!&gt;200), "Heavy Doemstic User", IF(#REF!&gt;10, "Interntional User", IF(AND(#REF!&lt;180, #REF!&lt;200,#REF!&lt;200), "Light User", "Balanced User")))</f>
        <v>#REF!</v>
      </c>
      <c r="AC3455" t="e">
        <f>IF(#REF! = 0, "No Usage", IF(#REF! &lt;= 20, "Low Usage", IF(#REF! &lt;= 40, "Medium Usgae", "High Usage")))</f>
        <v>#REF!</v>
      </c>
      <c r="AD3455" t="e">
        <f>IF(#REF!&lt;=150,"Low Usage", IF(#REF!&lt;=200,"Medium Usage", IF(#REF!&lt;=250,"High Usage","Very High Usage")))</f>
        <v>#REF!</v>
      </c>
      <c r="AE3455" t="e">
        <f>IF(#REF!&lt;=5,"Low Calls", IF(#REF!&lt;=10, "Medium Calls", "High Calls"))</f>
        <v>#REF!</v>
      </c>
      <c r="AF3455" t="e">
        <f xml:space="preserve">
IF(#REF!&gt;=4,4,0)+
IF(#REF!="yes",3,0)+
IF(#REF!="High Charges",3,0)+
IF(#REF!&gt;250,4,0)+
IF(#REF!="no",1,0)+
IF(#REF!="Heavy Domestic User",2,0)</f>
        <v>#REF!</v>
      </c>
      <c r="AG3455" t="e">
        <f>IF(#REF!&gt;=10,"High Risk", IF(#REF!&gt;=5,"Medium Risk","Low Risk"))</f>
        <v>#REF!</v>
      </c>
      <c r="AH3455" t="e">
        <f>#REF! + #REF! + #REF! + #REF!</f>
        <v>#REF!</v>
      </c>
    </row>
    <row r="3456" spans="1:34" x14ac:dyDescent="0.35">
      <c r="A3456">
        <v>3455</v>
      </c>
      <c r="B3456" t="s">
        <v>75</v>
      </c>
      <c r="C3456">
        <v>90</v>
      </c>
      <c r="D3456" t="s">
        <v>28</v>
      </c>
      <c r="E3456" t="s">
        <v>22</v>
      </c>
      <c r="F3456" t="s">
        <v>22</v>
      </c>
      <c r="G3456">
        <v>0</v>
      </c>
      <c r="H3456">
        <v>169.4</v>
      </c>
      <c r="I3456">
        <v>127</v>
      </c>
      <c r="J3456">
        <v>28.8</v>
      </c>
      <c r="K3456">
        <v>157.19999999999999</v>
      </c>
      <c r="L3456">
        <v>111</v>
      </c>
      <c r="M3456">
        <v>13.36</v>
      </c>
      <c r="N3456">
        <v>172.4</v>
      </c>
      <c r="O3456">
        <v>103</v>
      </c>
      <c r="P3456">
        <v>7.76</v>
      </c>
      <c r="Q3456">
        <v>10.7</v>
      </c>
      <c r="R3456">
        <v>2</v>
      </c>
      <c r="S3456">
        <v>2.89</v>
      </c>
      <c r="T3456">
        <v>1</v>
      </c>
      <c r="U3456" t="s">
        <v>22</v>
      </c>
      <c r="V3456" t="e">
        <f>IF(#REF! = "yes", 1, 0)</f>
        <v>#REF!</v>
      </c>
      <c r="W3456" t="e">
        <f>IF(#REF! &lt;= 1, "0-1 Calls", IF(#REF! &lt;= 3, "2-3 Calls", IF(#REF! &lt;=5, "4-5 Calls", "6+ Calls")))</f>
        <v>#REF!</v>
      </c>
      <c r="X3456" t="e">
        <f>IF(#REF! &lt;= 50, "0-50", IF(#REF! &lt;=100, "51-100", IF(#REF! &lt;= 150, "101-150", "151+")))</f>
        <v>#REF!</v>
      </c>
      <c r="Y3456" t="e">
        <f>IF(#REF! &lt;= 3, "Low Charges", "High Charges")</f>
        <v>#REF!</v>
      </c>
      <c r="Z3456" t="e">
        <f>IF(#REF!&lt;=80,"Low Calls",
IF(#REF!&lt;=120,"Medium Calls","High Calls"))</f>
        <v>#REF!</v>
      </c>
      <c r="AA3456" t="e">
        <f>IF(#REF!&lt;=15,"Low Charges",
IF(#REF!&lt;=20,"Medium Charges","High Charges"))</f>
        <v>#REF!</v>
      </c>
      <c r="AB3456" t="e">
        <f>IF(AND(#REF!&gt;180, #REF!&gt;200), "Heavy Doemstic User", IF(#REF!&gt;10, "Interntional User", IF(AND(#REF!&lt;180, #REF!&lt;200,#REF!&lt;200), "Light User", "Balanced User")))</f>
        <v>#REF!</v>
      </c>
      <c r="AC3456" t="e">
        <f>IF(#REF! = 0, "No Usage", IF(#REF! &lt;= 20, "Low Usage", IF(#REF! &lt;= 40, "Medium Usgae", "High Usage")))</f>
        <v>#REF!</v>
      </c>
      <c r="AD3456" t="e">
        <f>IF(#REF!&lt;=150,"Low Usage", IF(#REF!&lt;=200,"Medium Usage", IF(#REF!&lt;=250,"High Usage","Very High Usage")))</f>
        <v>#REF!</v>
      </c>
      <c r="AE3456" t="e">
        <f>IF(#REF!&lt;=5,"Low Calls", IF(#REF!&lt;=10, "Medium Calls", "High Calls"))</f>
        <v>#REF!</v>
      </c>
      <c r="AF3456" t="e">
        <f xml:space="preserve">
IF(#REF!&gt;=4,4,0)+
IF(#REF!="yes",3,0)+
IF(#REF!="High Charges",3,0)+
IF(#REF!&gt;250,4,0)+
IF(#REF!="no",1,0)+
IF(#REF!="Heavy Domestic User",2,0)</f>
        <v>#REF!</v>
      </c>
      <c r="AG3456" t="e">
        <f>IF(#REF!&gt;=10,"High Risk", IF(#REF!&gt;=5,"Medium Risk","Low Risk"))</f>
        <v>#REF!</v>
      </c>
      <c r="AH3456" t="e">
        <f>#REF! + #REF! + #REF! + #REF!</f>
        <v>#REF!</v>
      </c>
    </row>
    <row r="3457" spans="1:34" x14ac:dyDescent="0.35">
      <c r="A3457">
        <v>3456</v>
      </c>
      <c r="B3457" t="s">
        <v>42</v>
      </c>
      <c r="C3457">
        <v>83</v>
      </c>
      <c r="D3457" t="s">
        <v>21</v>
      </c>
      <c r="E3457" t="s">
        <v>22</v>
      </c>
      <c r="F3457" t="s">
        <v>22</v>
      </c>
      <c r="G3457">
        <v>0</v>
      </c>
      <c r="H3457">
        <v>135.19999999999999</v>
      </c>
      <c r="I3457">
        <v>76</v>
      </c>
      <c r="J3457">
        <v>22.98</v>
      </c>
      <c r="K3457">
        <v>161</v>
      </c>
      <c r="L3457">
        <v>98</v>
      </c>
      <c r="M3457">
        <v>13.69</v>
      </c>
      <c r="N3457">
        <v>129.30000000000001</v>
      </c>
      <c r="O3457">
        <v>105</v>
      </c>
      <c r="P3457">
        <v>5.82</v>
      </c>
      <c r="Q3457">
        <v>9</v>
      </c>
      <c r="R3457">
        <v>6</v>
      </c>
      <c r="S3457">
        <v>2.4300000000000002</v>
      </c>
      <c r="T3457">
        <v>0</v>
      </c>
      <c r="U3457" t="s">
        <v>22</v>
      </c>
      <c r="V3457" t="e">
        <f>IF(#REF! = "yes", 1, 0)</f>
        <v>#REF!</v>
      </c>
      <c r="W3457" t="e">
        <f>IF(#REF! &lt;= 1, "0-1 Calls", IF(#REF! &lt;= 3, "2-3 Calls", IF(#REF! &lt;=5, "4-5 Calls", "6+ Calls")))</f>
        <v>#REF!</v>
      </c>
      <c r="X3457" t="e">
        <f>IF(#REF! &lt;= 50, "0-50", IF(#REF! &lt;=100, "51-100", IF(#REF! &lt;= 150, "101-150", "151+")))</f>
        <v>#REF!</v>
      </c>
      <c r="Y3457" t="e">
        <f>IF(#REF! &lt;= 3, "Low Charges", "High Charges")</f>
        <v>#REF!</v>
      </c>
      <c r="Z3457" t="e">
        <f>IF(#REF!&lt;=80,"Low Calls",
IF(#REF!&lt;=120,"Medium Calls","High Calls"))</f>
        <v>#REF!</v>
      </c>
      <c r="AA3457" t="e">
        <f>IF(#REF!&lt;=15,"Low Charges",
IF(#REF!&lt;=20,"Medium Charges","High Charges"))</f>
        <v>#REF!</v>
      </c>
      <c r="AB3457" t="e">
        <f>IF(AND(#REF!&gt;180, #REF!&gt;200), "Heavy Doemstic User", IF(#REF!&gt;10, "Interntional User", IF(AND(#REF!&lt;180, #REF!&lt;200,#REF!&lt;200), "Light User", "Balanced User")))</f>
        <v>#REF!</v>
      </c>
      <c r="AC3457" t="e">
        <f>IF(#REF! = 0, "No Usage", IF(#REF! &lt;= 20, "Low Usage", IF(#REF! &lt;= 40, "Medium Usgae", "High Usage")))</f>
        <v>#REF!</v>
      </c>
      <c r="AD3457" t="e">
        <f>IF(#REF!&lt;=150,"Low Usage", IF(#REF!&lt;=200,"Medium Usage", IF(#REF!&lt;=250,"High Usage","Very High Usage")))</f>
        <v>#REF!</v>
      </c>
      <c r="AE3457" t="e">
        <f>IF(#REF!&lt;=5,"Low Calls", IF(#REF!&lt;=10, "Medium Calls", "High Calls"))</f>
        <v>#REF!</v>
      </c>
      <c r="AF3457" t="e">
        <f xml:space="preserve">
IF(#REF!&gt;=4,4,0)+
IF(#REF!="yes",3,0)+
IF(#REF!="High Charges",3,0)+
IF(#REF!&gt;250,4,0)+
IF(#REF!="no",1,0)+
IF(#REF!="Heavy Domestic User",2,0)</f>
        <v>#REF!</v>
      </c>
      <c r="AG3457" t="e">
        <f>IF(#REF!&gt;=10,"High Risk", IF(#REF!&gt;=5,"Medium Risk","Low Risk"))</f>
        <v>#REF!</v>
      </c>
      <c r="AH3457" t="e">
        <f>#REF! + #REF! + #REF! + #REF!</f>
        <v>#REF!</v>
      </c>
    </row>
    <row r="3458" spans="1:34" x14ac:dyDescent="0.35">
      <c r="A3458">
        <v>3457</v>
      </c>
      <c r="B3458" t="s">
        <v>56</v>
      </c>
      <c r="C3458">
        <v>81</v>
      </c>
      <c r="D3458" t="s">
        <v>25</v>
      </c>
      <c r="E3458" t="s">
        <v>22</v>
      </c>
      <c r="F3458" t="s">
        <v>22</v>
      </c>
      <c r="G3458">
        <v>0</v>
      </c>
      <c r="H3458">
        <v>125.1</v>
      </c>
      <c r="I3458">
        <v>103</v>
      </c>
      <c r="J3458">
        <v>21.27</v>
      </c>
      <c r="K3458">
        <v>209.6</v>
      </c>
      <c r="L3458">
        <v>103</v>
      </c>
      <c r="M3458">
        <v>17.82</v>
      </c>
      <c r="N3458">
        <v>186.2</v>
      </c>
      <c r="O3458">
        <v>78</v>
      </c>
      <c r="P3458">
        <v>8.3800000000000008</v>
      </c>
      <c r="Q3458">
        <v>11.8</v>
      </c>
      <c r="R3458">
        <v>1</v>
      </c>
      <c r="S3458">
        <v>3.19</v>
      </c>
      <c r="T3458">
        <v>1</v>
      </c>
      <c r="U3458" t="s">
        <v>22</v>
      </c>
      <c r="V3458" t="e">
        <f>IF(#REF! = "yes", 1, 0)</f>
        <v>#REF!</v>
      </c>
      <c r="W3458" t="e">
        <f>IF(#REF! &lt;= 1, "0-1 Calls", IF(#REF! &lt;= 3, "2-3 Calls", IF(#REF! &lt;=5, "4-5 Calls", "6+ Calls")))</f>
        <v>#REF!</v>
      </c>
      <c r="X3458" t="e">
        <f>IF(#REF! &lt;= 50, "0-50", IF(#REF! &lt;=100, "51-100", IF(#REF! &lt;= 150, "101-150", "151+")))</f>
        <v>#REF!</v>
      </c>
      <c r="Y3458" t="e">
        <f>IF(#REF! &lt;= 3, "Low Charges", "High Charges")</f>
        <v>#REF!</v>
      </c>
      <c r="Z3458" t="e">
        <f>IF(#REF!&lt;=80,"Low Calls",
IF(#REF!&lt;=120,"Medium Calls","High Calls"))</f>
        <v>#REF!</v>
      </c>
      <c r="AA3458" t="e">
        <f>IF(#REF!&lt;=15,"Low Charges",
IF(#REF!&lt;=20,"Medium Charges","High Charges"))</f>
        <v>#REF!</v>
      </c>
      <c r="AB3458" t="e">
        <f>IF(AND(#REF!&gt;180, #REF!&gt;200), "Heavy Doemstic User", IF(#REF!&gt;10, "Interntional User", IF(AND(#REF!&lt;180, #REF!&lt;200,#REF!&lt;200), "Light User", "Balanced User")))</f>
        <v>#REF!</v>
      </c>
      <c r="AC3458" t="e">
        <f>IF(#REF! = 0, "No Usage", IF(#REF! &lt;= 20, "Low Usage", IF(#REF! &lt;= 40, "Medium Usgae", "High Usage")))</f>
        <v>#REF!</v>
      </c>
      <c r="AD3458" t="e">
        <f>IF(#REF!&lt;=150,"Low Usage", IF(#REF!&lt;=200,"Medium Usage", IF(#REF!&lt;=250,"High Usage","Very High Usage")))</f>
        <v>#REF!</v>
      </c>
      <c r="AE3458" t="e">
        <f>IF(#REF!&lt;=5,"Low Calls", IF(#REF!&lt;=10, "Medium Calls", "High Calls"))</f>
        <v>#REF!</v>
      </c>
      <c r="AF3458" t="e">
        <f xml:space="preserve">
IF(#REF!&gt;=4,4,0)+
IF(#REF!="yes",3,0)+
IF(#REF!="High Charges",3,0)+
IF(#REF!&gt;250,4,0)+
IF(#REF!="no",1,0)+
IF(#REF!="Heavy Domestic User",2,0)</f>
        <v>#REF!</v>
      </c>
      <c r="AG3458" t="e">
        <f>IF(#REF!&gt;=10,"High Risk", IF(#REF!&gt;=5,"Medium Risk","Low Risk"))</f>
        <v>#REF!</v>
      </c>
      <c r="AH3458" t="e">
        <f>#REF! + #REF! + #REF! + #REF!</f>
        <v>#REF!</v>
      </c>
    </row>
    <row r="3459" spans="1:34" x14ac:dyDescent="0.35">
      <c r="A3459">
        <v>3458</v>
      </c>
      <c r="B3459" t="s">
        <v>24</v>
      </c>
      <c r="C3459">
        <v>119</v>
      </c>
      <c r="D3459" t="s">
        <v>25</v>
      </c>
      <c r="E3459" t="s">
        <v>22</v>
      </c>
      <c r="F3459" t="s">
        <v>22</v>
      </c>
      <c r="G3459">
        <v>0</v>
      </c>
      <c r="H3459">
        <v>287.10000000000002</v>
      </c>
      <c r="I3459">
        <v>83</v>
      </c>
      <c r="J3459">
        <v>48.81</v>
      </c>
      <c r="K3459">
        <v>218.4</v>
      </c>
      <c r="L3459">
        <v>124</v>
      </c>
      <c r="M3459">
        <v>18.559999999999999</v>
      </c>
      <c r="N3459">
        <v>151.5</v>
      </c>
      <c r="O3459">
        <v>42</v>
      </c>
      <c r="P3459">
        <v>6.82</v>
      </c>
      <c r="Q3459">
        <v>11</v>
      </c>
      <c r="R3459">
        <v>4</v>
      </c>
      <c r="S3459">
        <v>2.97</v>
      </c>
      <c r="T3459">
        <v>1</v>
      </c>
      <c r="U3459" t="s">
        <v>23</v>
      </c>
      <c r="V3459" t="e">
        <f>IF(#REF! = "yes", 1, 0)</f>
        <v>#REF!</v>
      </c>
      <c r="W3459" t="e">
        <f>IF(#REF! &lt;= 1, "0-1 Calls", IF(#REF! &lt;= 3, "2-3 Calls", IF(#REF! &lt;=5, "4-5 Calls", "6+ Calls")))</f>
        <v>#REF!</v>
      </c>
      <c r="X3459" t="e">
        <f>IF(#REF! &lt;= 50, "0-50", IF(#REF! &lt;=100, "51-100", IF(#REF! &lt;= 150, "101-150", "151+")))</f>
        <v>#REF!</v>
      </c>
      <c r="Y3459" t="e">
        <f>IF(#REF! &lt;= 3, "Low Charges", "High Charges")</f>
        <v>#REF!</v>
      </c>
      <c r="Z3459" t="e">
        <f>IF(#REF!&lt;=80,"Low Calls",
IF(#REF!&lt;=120,"Medium Calls","High Calls"))</f>
        <v>#REF!</v>
      </c>
      <c r="AA3459" t="e">
        <f>IF(#REF!&lt;=15,"Low Charges",
IF(#REF!&lt;=20,"Medium Charges","High Charges"))</f>
        <v>#REF!</v>
      </c>
      <c r="AB3459" t="e">
        <f>IF(AND(#REF!&gt;180, #REF!&gt;200), "Heavy Doemstic User", IF(#REF!&gt;10, "Interntional User", IF(AND(#REF!&lt;180, #REF!&lt;200,#REF!&lt;200), "Light User", "Balanced User")))</f>
        <v>#REF!</v>
      </c>
      <c r="AC3459" t="e">
        <f>IF(#REF! = 0, "No Usage", IF(#REF! &lt;= 20, "Low Usage", IF(#REF! &lt;= 40, "Medium Usgae", "High Usage")))</f>
        <v>#REF!</v>
      </c>
      <c r="AD3459" t="e">
        <f>IF(#REF!&lt;=150,"Low Usage", IF(#REF!&lt;=200,"Medium Usage", IF(#REF!&lt;=250,"High Usage","Very High Usage")))</f>
        <v>#REF!</v>
      </c>
      <c r="AE3459" t="e">
        <f>IF(#REF!&lt;=5,"Low Calls", IF(#REF!&lt;=10, "Medium Calls", "High Calls"))</f>
        <v>#REF!</v>
      </c>
      <c r="AF3459" t="e">
        <f xml:space="preserve">
IF(#REF!&gt;=4,4,0)+
IF(#REF!="yes",3,0)+
IF(#REF!="High Charges",3,0)+
IF(#REF!&gt;250,4,0)+
IF(#REF!="no",1,0)+
IF(#REF!="Heavy Domestic User",2,0)</f>
        <v>#REF!</v>
      </c>
      <c r="AG3459" t="e">
        <f>IF(#REF!&gt;=10,"High Risk", IF(#REF!&gt;=5,"Medium Risk","Low Risk"))</f>
        <v>#REF!</v>
      </c>
      <c r="AH3459" t="e">
        <f>#REF! + #REF! + #REF! + #REF!</f>
        <v>#REF!</v>
      </c>
    </row>
    <row r="3460" spans="1:34" x14ac:dyDescent="0.35">
      <c r="A3460">
        <v>3459</v>
      </c>
      <c r="B3460" t="s">
        <v>62</v>
      </c>
      <c r="C3460">
        <v>134</v>
      </c>
      <c r="D3460" t="s">
        <v>21</v>
      </c>
      <c r="E3460" t="s">
        <v>22</v>
      </c>
      <c r="F3460" t="s">
        <v>22</v>
      </c>
      <c r="G3460">
        <v>0</v>
      </c>
      <c r="H3460">
        <v>199.7</v>
      </c>
      <c r="I3460">
        <v>107</v>
      </c>
      <c r="J3460">
        <v>33.950000000000003</v>
      </c>
      <c r="K3460">
        <v>205.8</v>
      </c>
      <c r="L3460">
        <v>86</v>
      </c>
      <c r="M3460">
        <v>17.489999999999998</v>
      </c>
      <c r="N3460">
        <v>198.8</v>
      </c>
      <c r="O3460">
        <v>125</v>
      </c>
      <c r="P3460">
        <v>8.9499999999999993</v>
      </c>
      <c r="Q3460">
        <v>8.3000000000000007</v>
      </c>
      <c r="R3460">
        <v>5</v>
      </c>
      <c r="S3460">
        <v>2.2400000000000002</v>
      </c>
      <c r="T3460">
        <v>0</v>
      </c>
      <c r="U3460" t="s">
        <v>22</v>
      </c>
      <c r="V3460" t="e">
        <f>IF(#REF! = "yes", 1, 0)</f>
        <v>#REF!</v>
      </c>
      <c r="W3460" t="e">
        <f>IF(#REF! &lt;= 1, "0-1 Calls", IF(#REF! &lt;= 3, "2-3 Calls", IF(#REF! &lt;=5, "4-5 Calls", "6+ Calls")))</f>
        <v>#REF!</v>
      </c>
      <c r="X3460" t="e">
        <f>IF(#REF! &lt;= 50, "0-50", IF(#REF! &lt;=100, "51-100", IF(#REF! &lt;= 150, "101-150", "151+")))</f>
        <v>#REF!</v>
      </c>
      <c r="Y3460" t="e">
        <f>IF(#REF! &lt;= 3, "Low Charges", "High Charges")</f>
        <v>#REF!</v>
      </c>
      <c r="Z3460" t="e">
        <f>IF(#REF!&lt;=80,"Low Calls",
IF(#REF!&lt;=120,"Medium Calls","High Calls"))</f>
        <v>#REF!</v>
      </c>
      <c r="AA3460" t="e">
        <f>IF(#REF!&lt;=15,"Low Charges",
IF(#REF!&lt;=20,"Medium Charges","High Charges"))</f>
        <v>#REF!</v>
      </c>
      <c r="AB3460" t="e">
        <f>IF(AND(#REF!&gt;180, #REF!&gt;200), "Heavy Doemstic User", IF(#REF!&gt;10, "Interntional User", IF(AND(#REF!&lt;180, #REF!&lt;200,#REF!&lt;200), "Light User", "Balanced User")))</f>
        <v>#REF!</v>
      </c>
      <c r="AC3460" t="e">
        <f>IF(#REF! = 0, "No Usage", IF(#REF! &lt;= 20, "Low Usage", IF(#REF! &lt;= 40, "Medium Usgae", "High Usage")))</f>
        <v>#REF!</v>
      </c>
      <c r="AD3460" t="e">
        <f>IF(#REF!&lt;=150,"Low Usage", IF(#REF!&lt;=200,"Medium Usage", IF(#REF!&lt;=250,"High Usage","Very High Usage")))</f>
        <v>#REF!</v>
      </c>
      <c r="AE3460" t="e">
        <f>IF(#REF!&lt;=5,"Low Calls", IF(#REF!&lt;=10, "Medium Calls", "High Calls"))</f>
        <v>#REF!</v>
      </c>
      <c r="AF3460" t="e">
        <f xml:space="preserve">
IF(#REF!&gt;=4,4,0)+
IF(#REF!="yes",3,0)+
IF(#REF!="High Charges",3,0)+
IF(#REF!&gt;250,4,0)+
IF(#REF!="no",1,0)+
IF(#REF!="Heavy Domestic User",2,0)</f>
        <v>#REF!</v>
      </c>
      <c r="AG3460" t="e">
        <f>IF(#REF!&gt;=10,"High Risk", IF(#REF!&gt;=5,"Medium Risk","Low Risk"))</f>
        <v>#REF!</v>
      </c>
      <c r="AH3460" t="e">
        <f>#REF! + #REF! + #REF! + #REF!</f>
        <v>#REF!</v>
      </c>
    </row>
    <row r="3461" spans="1:34" x14ac:dyDescent="0.35">
      <c r="A3461">
        <v>3460</v>
      </c>
      <c r="B3461" t="s">
        <v>62</v>
      </c>
      <c r="C3461">
        <v>48</v>
      </c>
      <c r="D3461" t="s">
        <v>25</v>
      </c>
      <c r="E3461" t="s">
        <v>22</v>
      </c>
      <c r="F3461" t="s">
        <v>22</v>
      </c>
      <c r="G3461">
        <v>0</v>
      </c>
      <c r="H3461">
        <v>247.6</v>
      </c>
      <c r="I3461">
        <v>114</v>
      </c>
      <c r="J3461">
        <v>42.09</v>
      </c>
      <c r="K3461">
        <v>172.3</v>
      </c>
      <c r="L3461">
        <v>110</v>
      </c>
      <c r="M3461">
        <v>14.65</v>
      </c>
      <c r="N3461">
        <v>264.39999999999998</v>
      </c>
      <c r="O3461">
        <v>107</v>
      </c>
      <c r="P3461">
        <v>11.9</v>
      </c>
      <c r="Q3461">
        <v>7.1</v>
      </c>
      <c r="R3461">
        <v>3</v>
      </c>
      <c r="S3461">
        <v>1.92</v>
      </c>
      <c r="T3461">
        <v>1</v>
      </c>
      <c r="U3461" t="s">
        <v>22</v>
      </c>
      <c r="V3461" t="e">
        <f>IF(#REF! = "yes", 1, 0)</f>
        <v>#REF!</v>
      </c>
      <c r="W3461" t="e">
        <f>IF(#REF! &lt;= 1, "0-1 Calls", IF(#REF! &lt;= 3, "2-3 Calls", IF(#REF! &lt;=5, "4-5 Calls", "6+ Calls")))</f>
        <v>#REF!</v>
      </c>
      <c r="X3461" t="e">
        <f>IF(#REF! &lt;= 50, "0-50", IF(#REF! &lt;=100, "51-100", IF(#REF! &lt;= 150, "101-150", "151+")))</f>
        <v>#REF!</v>
      </c>
      <c r="Y3461" t="e">
        <f>IF(#REF! &lt;= 3, "Low Charges", "High Charges")</f>
        <v>#REF!</v>
      </c>
      <c r="Z3461" t="e">
        <f>IF(#REF!&lt;=80,"Low Calls",
IF(#REF!&lt;=120,"Medium Calls","High Calls"))</f>
        <v>#REF!</v>
      </c>
      <c r="AA3461" t="e">
        <f>IF(#REF!&lt;=15,"Low Charges",
IF(#REF!&lt;=20,"Medium Charges","High Charges"))</f>
        <v>#REF!</v>
      </c>
      <c r="AB3461" t="e">
        <f>IF(AND(#REF!&gt;180, #REF!&gt;200), "Heavy Doemstic User", IF(#REF!&gt;10, "Interntional User", IF(AND(#REF!&lt;180, #REF!&lt;200,#REF!&lt;200), "Light User", "Balanced User")))</f>
        <v>#REF!</v>
      </c>
      <c r="AC3461" t="e">
        <f>IF(#REF! = 0, "No Usage", IF(#REF! &lt;= 20, "Low Usage", IF(#REF! &lt;= 40, "Medium Usgae", "High Usage")))</f>
        <v>#REF!</v>
      </c>
      <c r="AD3461" t="e">
        <f>IF(#REF!&lt;=150,"Low Usage", IF(#REF!&lt;=200,"Medium Usage", IF(#REF!&lt;=250,"High Usage","Very High Usage")))</f>
        <v>#REF!</v>
      </c>
      <c r="AE3461" t="e">
        <f>IF(#REF!&lt;=5,"Low Calls", IF(#REF!&lt;=10, "Medium Calls", "High Calls"))</f>
        <v>#REF!</v>
      </c>
      <c r="AF3461" t="e">
        <f xml:space="preserve">
IF(#REF!&gt;=4,4,0)+
IF(#REF!="yes",3,0)+
IF(#REF!="High Charges",3,0)+
IF(#REF!&gt;250,4,0)+
IF(#REF!="no",1,0)+
IF(#REF!="Heavy Domestic User",2,0)</f>
        <v>#REF!</v>
      </c>
      <c r="AG3461" t="e">
        <f>IF(#REF!&gt;=10,"High Risk", IF(#REF!&gt;=5,"Medium Risk","Low Risk"))</f>
        <v>#REF!</v>
      </c>
      <c r="AH3461" t="e">
        <f>#REF! + #REF! + #REF! + #REF!</f>
        <v>#REF!</v>
      </c>
    </row>
    <row r="3462" spans="1:34" x14ac:dyDescent="0.35">
      <c r="A3462">
        <v>3461</v>
      </c>
      <c r="B3462" t="s">
        <v>68</v>
      </c>
      <c r="C3462">
        <v>91</v>
      </c>
      <c r="D3462" t="s">
        <v>28</v>
      </c>
      <c r="E3462" t="s">
        <v>22</v>
      </c>
      <c r="F3462" t="s">
        <v>23</v>
      </c>
      <c r="G3462">
        <v>39</v>
      </c>
      <c r="H3462">
        <v>160.80000000000001</v>
      </c>
      <c r="I3462">
        <v>97</v>
      </c>
      <c r="J3462">
        <v>27.34</v>
      </c>
      <c r="K3462">
        <v>119.3</v>
      </c>
      <c r="L3462">
        <v>54</v>
      </c>
      <c r="M3462">
        <v>10.14</v>
      </c>
      <c r="N3462">
        <v>147.9</v>
      </c>
      <c r="O3462">
        <v>101</v>
      </c>
      <c r="P3462">
        <v>6.66</v>
      </c>
      <c r="Q3462">
        <v>10.3</v>
      </c>
      <c r="R3462">
        <v>3</v>
      </c>
      <c r="S3462">
        <v>2.78</v>
      </c>
      <c r="T3462">
        <v>3</v>
      </c>
      <c r="U3462" t="s">
        <v>22</v>
      </c>
      <c r="V3462" t="e">
        <f>IF(#REF! = "yes", 1, 0)</f>
        <v>#REF!</v>
      </c>
      <c r="W3462" t="e">
        <f>IF(#REF! &lt;= 1, "0-1 Calls", IF(#REF! &lt;= 3, "2-3 Calls", IF(#REF! &lt;=5, "4-5 Calls", "6+ Calls")))</f>
        <v>#REF!</v>
      </c>
      <c r="X3462" t="e">
        <f>IF(#REF! &lt;= 50, "0-50", IF(#REF! &lt;=100, "51-100", IF(#REF! &lt;= 150, "101-150", "151+")))</f>
        <v>#REF!</v>
      </c>
      <c r="Y3462" t="e">
        <f>IF(#REF! &lt;= 3, "Low Charges", "High Charges")</f>
        <v>#REF!</v>
      </c>
      <c r="Z3462" t="e">
        <f>IF(#REF!&lt;=80,"Low Calls",
IF(#REF!&lt;=120,"Medium Calls","High Calls"))</f>
        <v>#REF!</v>
      </c>
      <c r="AA3462" t="e">
        <f>IF(#REF!&lt;=15,"Low Charges",
IF(#REF!&lt;=20,"Medium Charges","High Charges"))</f>
        <v>#REF!</v>
      </c>
      <c r="AB3462" t="e">
        <f>IF(AND(#REF!&gt;180, #REF!&gt;200), "Heavy Doemstic User", IF(#REF!&gt;10, "Interntional User", IF(AND(#REF!&lt;180, #REF!&lt;200,#REF!&lt;200), "Light User", "Balanced User")))</f>
        <v>#REF!</v>
      </c>
      <c r="AC3462" t="e">
        <f>IF(#REF! = 0, "No Usage", IF(#REF! &lt;= 20, "Low Usage", IF(#REF! &lt;= 40, "Medium Usgae", "High Usage")))</f>
        <v>#REF!</v>
      </c>
      <c r="AD3462" t="e">
        <f>IF(#REF!&lt;=150,"Low Usage", IF(#REF!&lt;=200,"Medium Usage", IF(#REF!&lt;=250,"High Usage","Very High Usage")))</f>
        <v>#REF!</v>
      </c>
      <c r="AE3462" t="e">
        <f>IF(#REF!&lt;=5,"Low Calls", IF(#REF!&lt;=10, "Medium Calls", "High Calls"))</f>
        <v>#REF!</v>
      </c>
      <c r="AF3462" t="e">
        <f xml:space="preserve">
IF(#REF!&gt;=4,4,0)+
IF(#REF!="yes",3,0)+
IF(#REF!="High Charges",3,0)+
IF(#REF!&gt;250,4,0)+
IF(#REF!="no",1,0)+
IF(#REF!="Heavy Domestic User",2,0)</f>
        <v>#REF!</v>
      </c>
      <c r="AG3462" t="e">
        <f>IF(#REF!&gt;=10,"High Risk", IF(#REF!&gt;=5,"Medium Risk","Low Risk"))</f>
        <v>#REF!</v>
      </c>
      <c r="AH3462" t="e">
        <f>#REF! + #REF! + #REF! + #REF!</f>
        <v>#REF!</v>
      </c>
    </row>
    <row r="3463" spans="1:34" x14ac:dyDescent="0.35">
      <c r="A3463">
        <v>3462</v>
      </c>
      <c r="B3463" t="s">
        <v>43</v>
      </c>
      <c r="C3463">
        <v>90</v>
      </c>
      <c r="D3463" t="s">
        <v>25</v>
      </c>
      <c r="E3463" t="s">
        <v>22</v>
      </c>
      <c r="F3463" t="s">
        <v>23</v>
      </c>
      <c r="G3463">
        <v>31</v>
      </c>
      <c r="H3463">
        <v>118.5</v>
      </c>
      <c r="I3463">
        <v>92</v>
      </c>
      <c r="J3463">
        <v>20.149999999999999</v>
      </c>
      <c r="K3463">
        <v>257.89999999999998</v>
      </c>
      <c r="L3463">
        <v>76</v>
      </c>
      <c r="M3463">
        <v>21.92</v>
      </c>
      <c r="N3463">
        <v>186.2</v>
      </c>
      <c r="O3463">
        <v>96</v>
      </c>
      <c r="P3463">
        <v>8.3800000000000008</v>
      </c>
      <c r="Q3463">
        <v>9</v>
      </c>
      <c r="R3463">
        <v>6</v>
      </c>
      <c r="S3463">
        <v>2.4300000000000002</v>
      </c>
      <c r="T3463">
        <v>1</v>
      </c>
      <c r="U3463" t="s">
        <v>22</v>
      </c>
      <c r="V3463" t="e">
        <f>IF(#REF! = "yes", 1, 0)</f>
        <v>#REF!</v>
      </c>
      <c r="W3463" t="e">
        <f>IF(#REF! &lt;= 1, "0-1 Calls", IF(#REF! &lt;= 3, "2-3 Calls", IF(#REF! &lt;=5, "4-5 Calls", "6+ Calls")))</f>
        <v>#REF!</v>
      </c>
      <c r="X3463" t="e">
        <f>IF(#REF! &lt;= 50, "0-50", IF(#REF! &lt;=100, "51-100", IF(#REF! &lt;= 150, "101-150", "151+")))</f>
        <v>#REF!</v>
      </c>
      <c r="Y3463" t="e">
        <f>IF(#REF! &lt;= 3, "Low Charges", "High Charges")</f>
        <v>#REF!</v>
      </c>
      <c r="Z3463" t="e">
        <f>IF(#REF!&lt;=80,"Low Calls",
IF(#REF!&lt;=120,"Medium Calls","High Calls"))</f>
        <v>#REF!</v>
      </c>
      <c r="AA3463" t="e">
        <f>IF(#REF!&lt;=15,"Low Charges",
IF(#REF!&lt;=20,"Medium Charges","High Charges"))</f>
        <v>#REF!</v>
      </c>
      <c r="AB3463" t="e">
        <f>IF(AND(#REF!&gt;180, #REF!&gt;200), "Heavy Doemstic User", IF(#REF!&gt;10, "Interntional User", IF(AND(#REF!&lt;180, #REF!&lt;200,#REF!&lt;200), "Light User", "Balanced User")))</f>
        <v>#REF!</v>
      </c>
      <c r="AC3463" t="e">
        <f>IF(#REF! = 0, "No Usage", IF(#REF! &lt;= 20, "Low Usage", IF(#REF! &lt;= 40, "Medium Usgae", "High Usage")))</f>
        <v>#REF!</v>
      </c>
      <c r="AD3463" t="e">
        <f>IF(#REF!&lt;=150,"Low Usage", IF(#REF!&lt;=200,"Medium Usage", IF(#REF!&lt;=250,"High Usage","Very High Usage")))</f>
        <v>#REF!</v>
      </c>
      <c r="AE3463" t="e">
        <f>IF(#REF!&lt;=5,"Low Calls", IF(#REF!&lt;=10, "Medium Calls", "High Calls"))</f>
        <v>#REF!</v>
      </c>
      <c r="AF3463" t="e">
        <f xml:space="preserve">
IF(#REF!&gt;=4,4,0)+
IF(#REF!="yes",3,0)+
IF(#REF!="High Charges",3,0)+
IF(#REF!&gt;250,4,0)+
IF(#REF!="no",1,0)+
IF(#REF!="Heavy Domestic User",2,0)</f>
        <v>#REF!</v>
      </c>
      <c r="AG3463" t="e">
        <f>IF(#REF!&gt;=10,"High Risk", IF(#REF!&gt;=5,"Medium Risk","Low Risk"))</f>
        <v>#REF!</v>
      </c>
      <c r="AH3463" t="e">
        <f>#REF! + #REF! + #REF! + #REF!</f>
        <v>#REF!</v>
      </c>
    </row>
    <row r="3464" spans="1:34" x14ac:dyDescent="0.35">
      <c r="A3464">
        <v>3463</v>
      </c>
      <c r="B3464" t="s">
        <v>31</v>
      </c>
      <c r="C3464">
        <v>159</v>
      </c>
      <c r="D3464" t="s">
        <v>21</v>
      </c>
      <c r="E3464" t="s">
        <v>22</v>
      </c>
      <c r="F3464" t="s">
        <v>22</v>
      </c>
      <c r="G3464">
        <v>0</v>
      </c>
      <c r="H3464">
        <v>181</v>
      </c>
      <c r="I3464">
        <v>107</v>
      </c>
      <c r="J3464">
        <v>30.77</v>
      </c>
      <c r="K3464">
        <v>188.4</v>
      </c>
      <c r="L3464">
        <v>114</v>
      </c>
      <c r="M3464">
        <v>16.010000000000002</v>
      </c>
      <c r="N3464">
        <v>175.8</v>
      </c>
      <c r="O3464">
        <v>41</v>
      </c>
      <c r="P3464">
        <v>7.91</v>
      </c>
      <c r="Q3464">
        <v>9.9</v>
      </c>
      <c r="R3464">
        <v>4</v>
      </c>
      <c r="S3464">
        <v>2.67</v>
      </c>
      <c r="T3464">
        <v>7</v>
      </c>
      <c r="U3464" t="s">
        <v>22</v>
      </c>
      <c r="V3464" t="e">
        <f>IF(#REF! = "yes", 1, 0)</f>
        <v>#REF!</v>
      </c>
      <c r="W3464" t="e">
        <f>IF(#REF! &lt;= 1, "0-1 Calls", IF(#REF! &lt;= 3, "2-3 Calls", IF(#REF! &lt;=5, "4-5 Calls", "6+ Calls")))</f>
        <v>#REF!</v>
      </c>
      <c r="X3464" t="e">
        <f>IF(#REF! &lt;= 50, "0-50", IF(#REF! &lt;=100, "51-100", IF(#REF! &lt;= 150, "101-150", "151+")))</f>
        <v>#REF!</v>
      </c>
      <c r="Y3464" t="e">
        <f>IF(#REF! &lt;= 3, "Low Charges", "High Charges")</f>
        <v>#REF!</v>
      </c>
      <c r="Z3464" t="e">
        <f>IF(#REF!&lt;=80,"Low Calls",
IF(#REF!&lt;=120,"Medium Calls","High Calls"))</f>
        <v>#REF!</v>
      </c>
      <c r="AA3464" t="e">
        <f>IF(#REF!&lt;=15,"Low Charges",
IF(#REF!&lt;=20,"Medium Charges","High Charges"))</f>
        <v>#REF!</v>
      </c>
      <c r="AB3464" t="e">
        <f>IF(AND(#REF!&gt;180, #REF!&gt;200), "Heavy Doemstic User", IF(#REF!&gt;10, "Interntional User", IF(AND(#REF!&lt;180, #REF!&lt;200,#REF!&lt;200), "Light User", "Balanced User")))</f>
        <v>#REF!</v>
      </c>
      <c r="AC3464" t="e">
        <f>IF(#REF! = 0, "No Usage", IF(#REF! &lt;= 20, "Low Usage", IF(#REF! &lt;= 40, "Medium Usgae", "High Usage")))</f>
        <v>#REF!</v>
      </c>
      <c r="AD3464" t="e">
        <f>IF(#REF!&lt;=150,"Low Usage", IF(#REF!&lt;=200,"Medium Usage", IF(#REF!&lt;=250,"High Usage","Very High Usage")))</f>
        <v>#REF!</v>
      </c>
      <c r="AE3464" t="e">
        <f>IF(#REF!&lt;=5,"Low Calls", IF(#REF!&lt;=10, "Medium Calls", "High Calls"))</f>
        <v>#REF!</v>
      </c>
      <c r="AF3464" t="e">
        <f xml:space="preserve">
IF(#REF!&gt;=4,4,0)+
IF(#REF!="yes",3,0)+
IF(#REF!="High Charges",3,0)+
IF(#REF!&gt;250,4,0)+
IF(#REF!="no",1,0)+
IF(#REF!="Heavy Domestic User",2,0)</f>
        <v>#REF!</v>
      </c>
      <c r="AG3464" t="e">
        <f>IF(#REF!&gt;=10,"High Risk", IF(#REF!&gt;=5,"Medium Risk","Low Risk"))</f>
        <v>#REF!</v>
      </c>
      <c r="AH3464" t="e">
        <f>#REF! + #REF! + #REF! + #REF!</f>
        <v>#REF!</v>
      </c>
    </row>
    <row r="3465" spans="1:34" x14ac:dyDescent="0.35">
      <c r="A3465">
        <v>3464</v>
      </c>
      <c r="B3465" t="s">
        <v>20</v>
      </c>
      <c r="C3465">
        <v>142</v>
      </c>
      <c r="D3465" t="s">
        <v>25</v>
      </c>
      <c r="E3465" t="s">
        <v>23</v>
      </c>
      <c r="F3465" t="s">
        <v>22</v>
      </c>
      <c r="G3465">
        <v>0</v>
      </c>
      <c r="H3465">
        <v>160.6</v>
      </c>
      <c r="I3465">
        <v>101</v>
      </c>
      <c r="J3465">
        <v>27.3</v>
      </c>
      <c r="K3465">
        <v>202</v>
      </c>
      <c r="L3465">
        <v>125</v>
      </c>
      <c r="M3465">
        <v>17.170000000000002</v>
      </c>
      <c r="N3465">
        <v>221.7</v>
      </c>
      <c r="O3465">
        <v>100</v>
      </c>
      <c r="P3465">
        <v>9.98</v>
      </c>
      <c r="Q3465">
        <v>8.8000000000000007</v>
      </c>
      <c r="R3465">
        <v>2</v>
      </c>
      <c r="S3465">
        <v>2.38</v>
      </c>
      <c r="T3465">
        <v>1</v>
      </c>
      <c r="U3465" t="s">
        <v>23</v>
      </c>
      <c r="V3465" t="e">
        <f>IF(#REF! = "yes", 1, 0)</f>
        <v>#REF!</v>
      </c>
      <c r="W3465" t="e">
        <f>IF(#REF! &lt;= 1, "0-1 Calls", IF(#REF! &lt;= 3, "2-3 Calls", IF(#REF! &lt;=5, "4-5 Calls", "6+ Calls")))</f>
        <v>#REF!</v>
      </c>
      <c r="X3465" t="e">
        <f>IF(#REF! &lt;= 50, "0-50", IF(#REF! &lt;=100, "51-100", IF(#REF! &lt;= 150, "101-150", "151+")))</f>
        <v>#REF!</v>
      </c>
      <c r="Y3465" t="e">
        <f>IF(#REF! &lt;= 3, "Low Charges", "High Charges")</f>
        <v>#REF!</v>
      </c>
      <c r="Z3465" t="e">
        <f>IF(#REF!&lt;=80,"Low Calls",
IF(#REF!&lt;=120,"Medium Calls","High Calls"))</f>
        <v>#REF!</v>
      </c>
      <c r="AA3465" t="e">
        <f>IF(#REF!&lt;=15,"Low Charges",
IF(#REF!&lt;=20,"Medium Charges","High Charges"))</f>
        <v>#REF!</v>
      </c>
      <c r="AB3465" t="e">
        <f>IF(AND(#REF!&gt;180, #REF!&gt;200), "Heavy Doemstic User", IF(#REF!&gt;10, "Interntional User", IF(AND(#REF!&lt;180, #REF!&lt;200,#REF!&lt;200), "Light User", "Balanced User")))</f>
        <v>#REF!</v>
      </c>
      <c r="AC3465" t="e">
        <f>IF(#REF! = 0, "No Usage", IF(#REF! &lt;= 20, "Low Usage", IF(#REF! &lt;= 40, "Medium Usgae", "High Usage")))</f>
        <v>#REF!</v>
      </c>
      <c r="AD3465" t="e">
        <f>IF(#REF!&lt;=150,"Low Usage", IF(#REF!&lt;=200,"Medium Usage", IF(#REF!&lt;=250,"High Usage","Very High Usage")))</f>
        <v>#REF!</v>
      </c>
      <c r="AE3465" t="e">
        <f>IF(#REF!&lt;=5,"Low Calls", IF(#REF!&lt;=10, "Medium Calls", "High Calls"))</f>
        <v>#REF!</v>
      </c>
      <c r="AF3465" t="e">
        <f xml:space="preserve">
IF(#REF!&gt;=4,4,0)+
IF(#REF!="yes",3,0)+
IF(#REF!="High Charges",3,0)+
IF(#REF!&gt;250,4,0)+
IF(#REF!="no",1,0)+
IF(#REF!="Heavy Domestic User",2,0)</f>
        <v>#REF!</v>
      </c>
      <c r="AG3465" t="e">
        <f>IF(#REF!&gt;=10,"High Risk", IF(#REF!&gt;=5,"Medium Risk","Low Risk"))</f>
        <v>#REF!</v>
      </c>
      <c r="AH3465" t="e">
        <f>#REF! + #REF! + #REF! + #REF!</f>
        <v>#REF!</v>
      </c>
    </row>
    <row r="3466" spans="1:34" x14ac:dyDescent="0.35">
      <c r="A3466">
        <v>3465</v>
      </c>
      <c r="B3466" t="s">
        <v>39</v>
      </c>
      <c r="C3466">
        <v>104</v>
      </c>
      <c r="D3466" t="s">
        <v>28</v>
      </c>
      <c r="E3466" t="s">
        <v>22</v>
      </c>
      <c r="F3466" t="s">
        <v>22</v>
      </c>
      <c r="G3466">
        <v>0</v>
      </c>
      <c r="H3466">
        <v>111.9</v>
      </c>
      <c r="I3466">
        <v>105</v>
      </c>
      <c r="J3466">
        <v>19.02</v>
      </c>
      <c r="K3466">
        <v>197.7</v>
      </c>
      <c r="L3466">
        <v>121</v>
      </c>
      <c r="M3466">
        <v>16.8</v>
      </c>
      <c r="N3466">
        <v>302.8</v>
      </c>
      <c r="O3466">
        <v>108</v>
      </c>
      <c r="P3466">
        <v>13.63</v>
      </c>
      <c r="Q3466">
        <v>10.1</v>
      </c>
      <c r="R3466">
        <v>5</v>
      </c>
      <c r="S3466">
        <v>2.73</v>
      </c>
      <c r="T3466">
        <v>1</v>
      </c>
      <c r="U3466" t="s">
        <v>22</v>
      </c>
      <c r="V3466" t="e">
        <f>IF(#REF! = "yes", 1, 0)</f>
        <v>#REF!</v>
      </c>
      <c r="W3466" t="e">
        <f>IF(#REF! &lt;= 1, "0-1 Calls", IF(#REF! &lt;= 3, "2-3 Calls", IF(#REF! &lt;=5, "4-5 Calls", "6+ Calls")))</f>
        <v>#REF!</v>
      </c>
      <c r="X3466" t="e">
        <f>IF(#REF! &lt;= 50, "0-50", IF(#REF! &lt;=100, "51-100", IF(#REF! &lt;= 150, "101-150", "151+")))</f>
        <v>#REF!</v>
      </c>
      <c r="Y3466" t="e">
        <f>IF(#REF! &lt;= 3, "Low Charges", "High Charges")</f>
        <v>#REF!</v>
      </c>
      <c r="Z3466" t="e">
        <f>IF(#REF!&lt;=80,"Low Calls",
IF(#REF!&lt;=120,"Medium Calls","High Calls"))</f>
        <v>#REF!</v>
      </c>
      <c r="AA3466" t="e">
        <f>IF(#REF!&lt;=15,"Low Charges",
IF(#REF!&lt;=20,"Medium Charges","High Charges"))</f>
        <v>#REF!</v>
      </c>
      <c r="AB3466" t="e">
        <f>IF(AND(#REF!&gt;180, #REF!&gt;200), "Heavy Doemstic User", IF(#REF!&gt;10, "Interntional User", IF(AND(#REF!&lt;180, #REF!&lt;200,#REF!&lt;200), "Light User", "Balanced User")))</f>
        <v>#REF!</v>
      </c>
      <c r="AC3466" t="e">
        <f>IF(#REF! = 0, "No Usage", IF(#REF! &lt;= 20, "Low Usage", IF(#REF! &lt;= 40, "Medium Usgae", "High Usage")))</f>
        <v>#REF!</v>
      </c>
      <c r="AD3466" t="e">
        <f>IF(#REF!&lt;=150,"Low Usage", IF(#REF!&lt;=200,"Medium Usage", IF(#REF!&lt;=250,"High Usage","Very High Usage")))</f>
        <v>#REF!</v>
      </c>
      <c r="AE3466" t="e">
        <f>IF(#REF!&lt;=5,"Low Calls", IF(#REF!&lt;=10, "Medium Calls", "High Calls"))</f>
        <v>#REF!</v>
      </c>
      <c r="AF3466" t="e">
        <f xml:space="preserve">
IF(#REF!&gt;=4,4,0)+
IF(#REF!="yes",3,0)+
IF(#REF!="High Charges",3,0)+
IF(#REF!&gt;250,4,0)+
IF(#REF!="no",1,0)+
IF(#REF!="Heavy Domestic User",2,0)</f>
        <v>#REF!</v>
      </c>
      <c r="AG3466" t="e">
        <f>IF(#REF!&gt;=10,"High Risk", IF(#REF!&gt;=5,"Medium Risk","Low Risk"))</f>
        <v>#REF!</v>
      </c>
      <c r="AH3466" t="e">
        <f>#REF! + #REF! + #REF! + #REF!</f>
        <v>#REF!</v>
      </c>
    </row>
    <row r="3467" spans="1:34" x14ac:dyDescent="0.35">
      <c r="A3467">
        <v>3466</v>
      </c>
      <c r="B3467" t="s">
        <v>66</v>
      </c>
      <c r="C3467">
        <v>82</v>
      </c>
      <c r="D3467" t="s">
        <v>21</v>
      </c>
      <c r="E3467" t="s">
        <v>22</v>
      </c>
      <c r="F3467" t="s">
        <v>22</v>
      </c>
      <c r="G3467">
        <v>0</v>
      </c>
      <c r="H3467">
        <v>120.5</v>
      </c>
      <c r="I3467">
        <v>107</v>
      </c>
      <c r="J3467">
        <v>20.49</v>
      </c>
      <c r="K3467">
        <v>176.3</v>
      </c>
      <c r="L3467">
        <v>124</v>
      </c>
      <c r="M3467">
        <v>14.99</v>
      </c>
      <c r="N3467">
        <v>258</v>
      </c>
      <c r="O3467">
        <v>121</v>
      </c>
      <c r="P3467">
        <v>11.61</v>
      </c>
      <c r="Q3467">
        <v>10.5</v>
      </c>
      <c r="R3467">
        <v>5</v>
      </c>
      <c r="S3467">
        <v>2.84</v>
      </c>
      <c r="T3467">
        <v>0</v>
      </c>
      <c r="U3467" t="s">
        <v>22</v>
      </c>
      <c r="V3467" t="e">
        <f>IF(#REF! = "yes", 1, 0)</f>
        <v>#REF!</v>
      </c>
      <c r="W3467" t="e">
        <f>IF(#REF! &lt;= 1, "0-1 Calls", IF(#REF! &lt;= 3, "2-3 Calls", IF(#REF! &lt;=5, "4-5 Calls", "6+ Calls")))</f>
        <v>#REF!</v>
      </c>
      <c r="X3467" t="e">
        <f>IF(#REF! &lt;= 50, "0-50", IF(#REF! &lt;=100, "51-100", IF(#REF! &lt;= 150, "101-150", "151+")))</f>
        <v>#REF!</v>
      </c>
      <c r="Y3467" t="e">
        <f>IF(#REF! &lt;= 3, "Low Charges", "High Charges")</f>
        <v>#REF!</v>
      </c>
      <c r="Z3467" t="e">
        <f>IF(#REF!&lt;=80,"Low Calls",
IF(#REF!&lt;=120,"Medium Calls","High Calls"))</f>
        <v>#REF!</v>
      </c>
      <c r="AA3467" t="e">
        <f>IF(#REF!&lt;=15,"Low Charges",
IF(#REF!&lt;=20,"Medium Charges","High Charges"))</f>
        <v>#REF!</v>
      </c>
      <c r="AB3467" t="e">
        <f>IF(AND(#REF!&gt;180, #REF!&gt;200), "Heavy Doemstic User", IF(#REF!&gt;10, "Interntional User", IF(AND(#REF!&lt;180, #REF!&lt;200,#REF!&lt;200), "Light User", "Balanced User")))</f>
        <v>#REF!</v>
      </c>
      <c r="AC3467" t="e">
        <f>IF(#REF! = 0, "No Usage", IF(#REF! &lt;= 20, "Low Usage", IF(#REF! &lt;= 40, "Medium Usgae", "High Usage")))</f>
        <v>#REF!</v>
      </c>
      <c r="AD3467" t="e">
        <f>IF(#REF!&lt;=150,"Low Usage", IF(#REF!&lt;=200,"Medium Usage", IF(#REF!&lt;=250,"High Usage","Very High Usage")))</f>
        <v>#REF!</v>
      </c>
      <c r="AE3467" t="e">
        <f>IF(#REF!&lt;=5,"Low Calls", IF(#REF!&lt;=10, "Medium Calls", "High Calls"))</f>
        <v>#REF!</v>
      </c>
      <c r="AF3467" t="e">
        <f xml:space="preserve">
IF(#REF!&gt;=4,4,0)+
IF(#REF!="yes",3,0)+
IF(#REF!="High Charges",3,0)+
IF(#REF!&gt;250,4,0)+
IF(#REF!="no",1,0)+
IF(#REF!="Heavy Domestic User",2,0)</f>
        <v>#REF!</v>
      </c>
      <c r="AG3467" t="e">
        <f>IF(#REF!&gt;=10,"High Risk", IF(#REF!&gt;=5,"Medium Risk","Low Risk"))</f>
        <v>#REF!</v>
      </c>
      <c r="AH3467" t="e">
        <f>#REF! + #REF! + #REF! + #REF!</f>
        <v>#REF!</v>
      </c>
    </row>
    <row r="3468" spans="1:34" x14ac:dyDescent="0.35">
      <c r="A3468">
        <v>3467</v>
      </c>
      <c r="B3468" t="s">
        <v>35</v>
      </c>
      <c r="C3468">
        <v>88</v>
      </c>
      <c r="D3468" t="s">
        <v>25</v>
      </c>
      <c r="E3468" t="s">
        <v>22</v>
      </c>
      <c r="F3468" t="s">
        <v>22</v>
      </c>
      <c r="G3468">
        <v>0</v>
      </c>
      <c r="H3468">
        <v>242.4</v>
      </c>
      <c r="I3468">
        <v>89</v>
      </c>
      <c r="J3468">
        <v>41.21</v>
      </c>
      <c r="K3468">
        <v>161.4</v>
      </c>
      <c r="L3468">
        <v>89</v>
      </c>
      <c r="M3468">
        <v>13.72</v>
      </c>
      <c r="N3468">
        <v>142.4</v>
      </c>
      <c r="O3468">
        <v>95</v>
      </c>
      <c r="P3468">
        <v>6.41</v>
      </c>
      <c r="Q3468">
        <v>5.4</v>
      </c>
      <c r="R3468">
        <v>2</v>
      </c>
      <c r="S3468">
        <v>1.46</v>
      </c>
      <c r="T3468">
        <v>1</v>
      </c>
      <c r="U3468" t="s">
        <v>22</v>
      </c>
      <c r="V3468" t="e">
        <f>IF(#REF! = "yes", 1, 0)</f>
        <v>#REF!</v>
      </c>
      <c r="W3468" t="e">
        <f>IF(#REF! &lt;= 1, "0-1 Calls", IF(#REF! &lt;= 3, "2-3 Calls", IF(#REF! &lt;=5, "4-5 Calls", "6+ Calls")))</f>
        <v>#REF!</v>
      </c>
      <c r="X3468" t="e">
        <f>IF(#REF! &lt;= 50, "0-50", IF(#REF! &lt;=100, "51-100", IF(#REF! &lt;= 150, "101-150", "151+")))</f>
        <v>#REF!</v>
      </c>
      <c r="Y3468" t="e">
        <f>IF(#REF! &lt;= 3, "Low Charges", "High Charges")</f>
        <v>#REF!</v>
      </c>
      <c r="Z3468" t="e">
        <f>IF(#REF!&lt;=80,"Low Calls",
IF(#REF!&lt;=120,"Medium Calls","High Calls"))</f>
        <v>#REF!</v>
      </c>
      <c r="AA3468" t="e">
        <f>IF(#REF!&lt;=15,"Low Charges",
IF(#REF!&lt;=20,"Medium Charges","High Charges"))</f>
        <v>#REF!</v>
      </c>
      <c r="AB3468" t="e">
        <f>IF(AND(#REF!&gt;180, #REF!&gt;200), "Heavy Doemstic User", IF(#REF!&gt;10, "Interntional User", IF(AND(#REF!&lt;180, #REF!&lt;200,#REF!&lt;200), "Light User", "Balanced User")))</f>
        <v>#REF!</v>
      </c>
      <c r="AC3468" t="e">
        <f>IF(#REF! = 0, "No Usage", IF(#REF! &lt;= 20, "Low Usage", IF(#REF! &lt;= 40, "Medium Usgae", "High Usage")))</f>
        <v>#REF!</v>
      </c>
      <c r="AD3468" t="e">
        <f>IF(#REF!&lt;=150,"Low Usage", IF(#REF!&lt;=200,"Medium Usage", IF(#REF!&lt;=250,"High Usage","Very High Usage")))</f>
        <v>#REF!</v>
      </c>
      <c r="AE3468" t="e">
        <f>IF(#REF!&lt;=5,"Low Calls", IF(#REF!&lt;=10, "Medium Calls", "High Calls"))</f>
        <v>#REF!</v>
      </c>
      <c r="AF3468" t="e">
        <f xml:space="preserve">
IF(#REF!&gt;=4,4,0)+
IF(#REF!="yes",3,0)+
IF(#REF!="High Charges",3,0)+
IF(#REF!&gt;250,4,0)+
IF(#REF!="no",1,0)+
IF(#REF!="Heavy Domestic User",2,0)</f>
        <v>#REF!</v>
      </c>
      <c r="AG3468" t="e">
        <f>IF(#REF!&gt;=10,"High Risk", IF(#REF!&gt;=5,"Medium Risk","Low Risk"))</f>
        <v>#REF!</v>
      </c>
      <c r="AH3468" t="e">
        <f>#REF! + #REF! + #REF! + #REF!</f>
        <v>#REF!</v>
      </c>
    </row>
    <row r="3469" spans="1:34" x14ac:dyDescent="0.35">
      <c r="A3469">
        <v>3468</v>
      </c>
      <c r="B3469" t="s">
        <v>24</v>
      </c>
      <c r="C3469">
        <v>118</v>
      </c>
      <c r="D3469" t="s">
        <v>25</v>
      </c>
      <c r="E3469" t="s">
        <v>22</v>
      </c>
      <c r="F3469" t="s">
        <v>22</v>
      </c>
      <c r="G3469">
        <v>0</v>
      </c>
      <c r="H3469">
        <v>178.4</v>
      </c>
      <c r="I3469">
        <v>81</v>
      </c>
      <c r="J3469">
        <v>30.33</v>
      </c>
      <c r="K3469">
        <v>182.7</v>
      </c>
      <c r="L3469">
        <v>119</v>
      </c>
      <c r="M3469">
        <v>15.53</v>
      </c>
      <c r="N3469">
        <v>251.4</v>
      </c>
      <c r="O3469">
        <v>109</v>
      </c>
      <c r="P3469">
        <v>11.31</v>
      </c>
      <c r="Q3469">
        <v>10.8</v>
      </c>
      <c r="R3469">
        <v>2</v>
      </c>
      <c r="S3469">
        <v>2.92</v>
      </c>
      <c r="T3469">
        <v>1</v>
      </c>
      <c r="U3469" t="s">
        <v>22</v>
      </c>
      <c r="V3469" t="e">
        <f>IF(#REF! = "yes", 1, 0)</f>
        <v>#REF!</v>
      </c>
      <c r="W3469" t="e">
        <f>IF(#REF! &lt;= 1, "0-1 Calls", IF(#REF! &lt;= 3, "2-3 Calls", IF(#REF! &lt;=5, "4-5 Calls", "6+ Calls")))</f>
        <v>#REF!</v>
      </c>
      <c r="X3469" t="e">
        <f>IF(#REF! &lt;= 50, "0-50", IF(#REF! &lt;=100, "51-100", IF(#REF! &lt;= 150, "101-150", "151+")))</f>
        <v>#REF!</v>
      </c>
      <c r="Y3469" t="e">
        <f>IF(#REF! &lt;= 3, "Low Charges", "High Charges")</f>
        <v>#REF!</v>
      </c>
      <c r="Z3469" t="e">
        <f>IF(#REF!&lt;=80,"Low Calls",
IF(#REF!&lt;=120,"Medium Calls","High Calls"))</f>
        <v>#REF!</v>
      </c>
      <c r="AA3469" t="e">
        <f>IF(#REF!&lt;=15,"Low Charges",
IF(#REF!&lt;=20,"Medium Charges","High Charges"))</f>
        <v>#REF!</v>
      </c>
      <c r="AB3469" t="e">
        <f>IF(AND(#REF!&gt;180, #REF!&gt;200), "Heavy Doemstic User", IF(#REF!&gt;10, "Interntional User", IF(AND(#REF!&lt;180, #REF!&lt;200,#REF!&lt;200), "Light User", "Balanced User")))</f>
        <v>#REF!</v>
      </c>
      <c r="AC3469" t="e">
        <f>IF(#REF! = 0, "No Usage", IF(#REF! &lt;= 20, "Low Usage", IF(#REF! &lt;= 40, "Medium Usgae", "High Usage")))</f>
        <v>#REF!</v>
      </c>
      <c r="AD3469" t="e">
        <f>IF(#REF!&lt;=150,"Low Usage", IF(#REF!&lt;=200,"Medium Usage", IF(#REF!&lt;=250,"High Usage","Very High Usage")))</f>
        <v>#REF!</v>
      </c>
      <c r="AE3469" t="e">
        <f>IF(#REF!&lt;=5,"Low Calls", IF(#REF!&lt;=10, "Medium Calls", "High Calls"))</f>
        <v>#REF!</v>
      </c>
      <c r="AF3469" t="e">
        <f xml:space="preserve">
IF(#REF!&gt;=4,4,0)+
IF(#REF!="yes",3,0)+
IF(#REF!="High Charges",3,0)+
IF(#REF!&gt;250,4,0)+
IF(#REF!="no",1,0)+
IF(#REF!="Heavy Domestic User",2,0)</f>
        <v>#REF!</v>
      </c>
      <c r="AG3469" t="e">
        <f>IF(#REF!&gt;=10,"High Risk", IF(#REF!&gt;=5,"Medium Risk","Low Risk"))</f>
        <v>#REF!</v>
      </c>
      <c r="AH3469" t="e">
        <f>#REF! + #REF! + #REF! + #REF!</f>
        <v>#REF!</v>
      </c>
    </row>
    <row r="3470" spans="1:34" x14ac:dyDescent="0.35">
      <c r="A3470">
        <v>3469</v>
      </c>
      <c r="B3470" t="s">
        <v>55</v>
      </c>
      <c r="C3470">
        <v>139</v>
      </c>
      <c r="D3470" t="s">
        <v>28</v>
      </c>
      <c r="E3470" t="s">
        <v>22</v>
      </c>
      <c r="F3470" t="s">
        <v>22</v>
      </c>
      <c r="G3470">
        <v>0</v>
      </c>
      <c r="H3470">
        <v>258.7</v>
      </c>
      <c r="I3470">
        <v>94</v>
      </c>
      <c r="J3470">
        <v>43.98</v>
      </c>
      <c r="K3470">
        <v>190.3</v>
      </c>
      <c r="L3470">
        <v>132</v>
      </c>
      <c r="M3470">
        <v>16.18</v>
      </c>
      <c r="N3470">
        <v>247.2</v>
      </c>
      <c r="O3470">
        <v>73</v>
      </c>
      <c r="P3470">
        <v>11.12</v>
      </c>
      <c r="Q3470">
        <v>11.4</v>
      </c>
      <c r="R3470">
        <v>2</v>
      </c>
      <c r="S3470">
        <v>3.08</v>
      </c>
      <c r="T3470">
        <v>1</v>
      </c>
      <c r="U3470" t="s">
        <v>23</v>
      </c>
      <c r="V3470" t="e">
        <f>IF(#REF! = "yes", 1, 0)</f>
        <v>#REF!</v>
      </c>
      <c r="W3470" t="e">
        <f>IF(#REF! &lt;= 1, "0-1 Calls", IF(#REF! &lt;= 3, "2-3 Calls", IF(#REF! &lt;=5, "4-5 Calls", "6+ Calls")))</f>
        <v>#REF!</v>
      </c>
      <c r="X3470" t="e">
        <f>IF(#REF! &lt;= 50, "0-50", IF(#REF! &lt;=100, "51-100", IF(#REF! &lt;= 150, "101-150", "151+")))</f>
        <v>#REF!</v>
      </c>
      <c r="Y3470" t="e">
        <f>IF(#REF! &lt;= 3, "Low Charges", "High Charges")</f>
        <v>#REF!</v>
      </c>
      <c r="Z3470" t="e">
        <f>IF(#REF!&lt;=80,"Low Calls",
IF(#REF!&lt;=120,"Medium Calls","High Calls"))</f>
        <v>#REF!</v>
      </c>
      <c r="AA3470" t="e">
        <f>IF(#REF!&lt;=15,"Low Charges",
IF(#REF!&lt;=20,"Medium Charges","High Charges"))</f>
        <v>#REF!</v>
      </c>
      <c r="AB3470" t="e">
        <f>IF(AND(#REF!&gt;180, #REF!&gt;200), "Heavy Doemstic User", IF(#REF!&gt;10, "Interntional User", IF(AND(#REF!&lt;180, #REF!&lt;200,#REF!&lt;200), "Light User", "Balanced User")))</f>
        <v>#REF!</v>
      </c>
      <c r="AC3470" t="e">
        <f>IF(#REF! = 0, "No Usage", IF(#REF! &lt;= 20, "Low Usage", IF(#REF! &lt;= 40, "Medium Usgae", "High Usage")))</f>
        <v>#REF!</v>
      </c>
      <c r="AD3470" t="e">
        <f>IF(#REF!&lt;=150,"Low Usage", IF(#REF!&lt;=200,"Medium Usage", IF(#REF!&lt;=250,"High Usage","Very High Usage")))</f>
        <v>#REF!</v>
      </c>
      <c r="AE3470" t="e">
        <f>IF(#REF!&lt;=5,"Low Calls", IF(#REF!&lt;=10, "Medium Calls", "High Calls"))</f>
        <v>#REF!</v>
      </c>
      <c r="AF3470" t="e">
        <f xml:space="preserve">
IF(#REF!&gt;=4,4,0)+
IF(#REF!="yes",3,0)+
IF(#REF!="High Charges",3,0)+
IF(#REF!&gt;250,4,0)+
IF(#REF!="no",1,0)+
IF(#REF!="Heavy Domestic User",2,0)</f>
        <v>#REF!</v>
      </c>
      <c r="AG3470" t="e">
        <f>IF(#REF!&gt;=10,"High Risk", IF(#REF!&gt;=5,"Medium Risk","Low Risk"))</f>
        <v>#REF!</v>
      </c>
      <c r="AH3470" t="e">
        <f>#REF! + #REF! + #REF! + #REF!</f>
        <v>#REF!</v>
      </c>
    </row>
    <row r="3471" spans="1:34" x14ac:dyDescent="0.35">
      <c r="A3471">
        <v>3470</v>
      </c>
      <c r="B3471" t="s">
        <v>63</v>
      </c>
      <c r="C3471">
        <v>87</v>
      </c>
      <c r="D3471" t="s">
        <v>21</v>
      </c>
      <c r="E3471" t="s">
        <v>22</v>
      </c>
      <c r="F3471" t="s">
        <v>23</v>
      </c>
      <c r="G3471">
        <v>18</v>
      </c>
      <c r="H3471">
        <v>124.3</v>
      </c>
      <c r="I3471">
        <v>104</v>
      </c>
      <c r="J3471">
        <v>21.13</v>
      </c>
      <c r="K3471">
        <v>196.1</v>
      </c>
      <c r="L3471">
        <v>80</v>
      </c>
      <c r="M3471">
        <v>16.670000000000002</v>
      </c>
      <c r="N3471">
        <v>290</v>
      </c>
      <c r="O3471">
        <v>110</v>
      </c>
      <c r="P3471">
        <v>13.05</v>
      </c>
      <c r="Q3471">
        <v>7.2</v>
      </c>
      <c r="R3471">
        <v>3</v>
      </c>
      <c r="S3471">
        <v>1.94</v>
      </c>
      <c r="T3471">
        <v>1</v>
      </c>
      <c r="U3471" t="s">
        <v>22</v>
      </c>
      <c r="V3471" t="e">
        <f>IF(#REF! = "yes", 1, 0)</f>
        <v>#REF!</v>
      </c>
      <c r="W3471" t="e">
        <f>IF(#REF! &lt;= 1, "0-1 Calls", IF(#REF! &lt;= 3, "2-3 Calls", IF(#REF! &lt;=5, "4-5 Calls", "6+ Calls")))</f>
        <v>#REF!</v>
      </c>
      <c r="X3471" t="e">
        <f>IF(#REF! &lt;= 50, "0-50", IF(#REF! &lt;=100, "51-100", IF(#REF! &lt;= 150, "101-150", "151+")))</f>
        <v>#REF!</v>
      </c>
      <c r="Y3471" t="e">
        <f>IF(#REF! &lt;= 3, "Low Charges", "High Charges")</f>
        <v>#REF!</v>
      </c>
      <c r="Z3471" t="e">
        <f>IF(#REF!&lt;=80,"Low Calls",
IF(#REF!&lt;=120,"Medium Calls","High Calls"))</f>
        <v>#REF!</v>
      </c>
      <c r="AA3471" t="e">
        <f>IF(#REF!&lt;=15,"Low Charges",
IF(#REF!&lt;=20,"Medium Charges","High Charges"))</f>
        <v>#REF!</v>
      </c>
      <c r="AB3471" t="e">
        <f>IF(AND(#REF!&gt;180, #REF!&gt;200), "Heavy Doemstic User", IF(#REF!&gt;10, "Interntional User", IF(AND(#REF!&lt;180, #REF!&lt;200,#REF!&lt;200), "Light User", "Balanced User")))</f>
        <v>#REF!</v>
      </c>
      <c r="AC3471" t="e">
        <f>IF(#REF! = 0, "No Usage", IF(#REF! &lt;= 20, "Low Usage", IF(#REF! &lt;= 40, "Medium Usgae", "High Usage")))</f>
        <v>#REF!</v>
      </c>
      <c r="AD3471" t="e">
        <f>IF(#REF!&lt;=150,"Low Usage", IF(#REF!&lt;=200,"Medium Usage", IF(#REF!&lt;=250,"High Usage","Very High Usage")))</f>
        <v>#REF!</v>
      </c>
      <c r="AE3471" t="e">
        <f>IF(#REF!&lt;=5,"Low Calls", IF(#REF!&lt;=10, "Medium Calls", "High Calls"))</f>
        <v>#REF!</v>
      </c>
      <c r="AF3471" t="e">
        <f xml:space="preserve">
IF(#REF!&gt;=4,4,0)+
IF(#REF!="yes",3,0)+
IF(#REF!="High Charges",3,0)+
IF(#REF!&gt;250,4,0)+
IF(#REF!="no",1,0)+
IF(#REF!="Heavy Domestic User",2,0)</f>
        <v>#REF!</v>
      </c>
      <c r="AG3471" t="e">
        <f>IF(#REF!&gt;=10,"High Risk", IF(#REF!&gt;=5,"Medium Risk","Low Risk"))</f>
        <v>#REF!</v>
      </c>
      <c r="AH3471" t="e">
        <f>#REF! + #REF! + #REF! + #REF!</f>
        <v>#REF!</v>
      </c>
    </row>
    <row r="3472" spans="1:34" x14ac:dyDescent="0.35">
      <c r="A3472">
        <v>3471</v>
      </c>
      <c r="B3472" t="s">
        <v>55</v>
      </c>
      <c r="C3472">
        <v>167</v>
      </c>
      <c r="D3472" t="s">
        <v>21</v>
      </c>
      <c r="E3472" t="s">
        <v>22</v>
      </c>
      <c r="F3472" t="s">
        <v>22</v>
      </c>
      <c r="G3472">
        <v>0</v>
      </c>
      <c r="H3472">
        <v>94.9</v>
      </c>
      <c r="I3472">
        <v>114</v>
      </c>
      <c r="J3472">
        <v>16.13</v>
      </c>
      <c r="K3472">
        <v>315.8</v>
      </c>
      <c r="L3472">
        <v>105</v>
      </c>
      <c r="M3472">
        <v>26.84</v>
      </c>
      <c r="N3472">
        <v>181</v>
      </c>
      <c r="O3472">
        <v>71</v>
      </c>
      <c r="P3472">
        <v>8.15</v>
      </c>
      <c r="Q3472">
        <v>10.8</v>
      </c>
      <c r="R3472">
        <v>6</v>
      </c>
      <c r="S3472">
        <v>2.92</v>
      </c>
      <c r="T3472">
        <v>0</v>
      </c>
      <c r="U3472" t="s">
        <v>22</v>
      </c>
      <c r="V3472" t="e">
        <f>IF(#REF! = "yes", 1, 0)</f>
        <v>#REF!</v>
      </c>
      <c r="W3472" t="e">
        <f>IF(#REF! &lt;= 1, "0-1 Calls", IF(#REF! &lt;= 3, "2-3 Calls", IF(#REF! &lt;=5, "4-5 Calls", "6+ Calls")))</f>
        <v>#REF!</v>
      </c>
      <c r="X3472" t="e">
        <f>IF(#REF! &lt;= 50, "0-50", IF(#REF! &lt;=100, "51-100", IF(#REF! &lt;= 150, "101-150", "151+")))</f>
        <v>#REF!</v>
      </c>
      <c r="Y3472" t="e">
        <f>IF(#REF! &lt;= 3, "Low Charges", "High Charges")</f>
        <v>#REF!</v>
      </c>
      <c r="Z3472" t="e">
        <f>IF(#REF!&lt;=80,"Low Calls",
IF(#REF!&lt;=120,"Medium Calls","High Calls"))</f>
        <v>#REF!</v>
      </c>
      <c r="AA3472" t="e">
        <f>IF(#REF!&lt;=15,"Low Charges",
IF(#REF!&lt;=20,"Medium Charges","High Charges"))</f>
        <v>#REF!</v>
      </c>
      <c r="AB3472" t="e">
        <f>IF(AND(#REF!&gt;180, #REF!&gt;200), "Heavy Doemstic User", IF(#REF!&gt;10, "Interntional User", IF(AND(#REF!&lt;180, #REF!&lt;200,#REF!&lt;200), "Light User", "Balanced User")))</f>
        <v>#REF!</v>
      </c>
      <c r="AC3472" t="e">
        <f>IF(#REF! = 0, "No Usage", IF(#REF! &lt;= 20, "Low Usage", IF(#REF! &lt;= 40, "Medium Usgae", "High Usage")))</f>
        <v>#REF!</v>
      </c>
      <c r="AD3472" t="e">
        <f>IF(#REF!&lt;=150,"Low Usage", IF(#REF!&lt;=200,"Medium Usage", IF(#REF!&lt;=250,"High Usage","Very High Usage")))</f>
        <v>#REF!</v>
      </c>
      <c r="AE3472" t="e">
        <f>IF(#REF!&lt;=5,"Low Calls", IF(#REF!&lt;=10, "Medium Calls", "High Calls"))</f>
        <v>#REF!</v>
      </c>
      <c r="AF3472" t="e">
        <f xml:space="preserve">
IF(#REF!&gt;=4,4,0)+
IF(#REF!="yes",3,0)+
IF(#REF!="High Charges",3,0)+
IF(#REF!&gt;250,4,0)+
IF(#REF!="no",1,0)+
IF(#REF!="Heavy Domestic User",2,0)</f>
        <v>#REF!</v>
      </c>
      <c r="AG3472" t="e">
        <f>IF(#REF!&gt;=10,"High Risk", IF(#REF!&gt;=5,"Medium Risk","Low Risk"))</f>
        <v>#REF!</v>
      </c>
      <c r="AH3472" t="e">
        <f>#REF! + #REF! + #REF! + #REF!</f>
        <v>#REF!</v>
      </c>
    </row>
    <row r="3473" spans="1:34" x14ac:dyDescent="0.35">
      <c r="A3473">
        <v>3472</v>
      </c>
      <c r="B3473" t="s">
        <v>41</v>
      </c>
      <c r="C3473">
        <v>138</v>
      </c>
      <c r="D3473" t="s">
        <v>25</v>
      </c>
      <c r="E3473" t="s">
        <v>22</v>
      </c>
      <c r="F3473" t="s">
        <v>22</v>
      </c>
      <c r="G3473">
        <v>0</v>
      </c>
      <c r="H3473">
        <v>182</v>
      </c>
      <c r="I3473">
        <v>101</v>
      </c>
      <c r="J3473">
        <v>30.94</v>
      </c>
      <c r="K3473">
        <v>200.3</v>
      </c>
      <c r="L3473">
        <v>119</v>
      </c>
      <c r="M3473">
        <v>17.03</v>
      </c>
      <c r="N3473">
        <v>208.9</v>
      </c>
      <c r="O3473">
        <v>131</v>
      </c>
      <c r="P3473">
        <v>9.4</v>
      </c>
      <c r="Q3473">
        <v>13.4</v>
      </c>
      <c r="R3473">
        <v>3</v>
      </c>
      <c r="S3473">
        <v>3.62</v>
      </c>
      <c r="T3473">
        <v>4</v>
      </c>
      <c r="U3473" t="s">
        <v>22</v>
      </c>
      <c r="V3473" t="e">
        <f>IF(#REF! = "yes", 1, 0)</f>
        <v>#REF!</v>
      </c>
      <c r="W3473" t="e">
        <f>IF(#REF! &lt;= 1, "0-1 Calls", IF(#REF! &lt;= 3, "2-3 Calls", IF(#REF! &lt;=5, "4-5 Calls", "6+ Calls")))</f>
        <v>#REF!</v>
      </c>
      <c r="X3473" t="e">
        <f>IF(#REF! &lt;= 50, "0-50", IF(#REF! &lt;=100, "51-100", IF(#REF! &lt;= 150, "101-150", "151+")))</f>
        <v>#REF!</v>
      </c>
      <c r="Y3473" t="e">
        <f>IF(#REF! &lt;= 3, "Low Charges", "High Charges")</f>
        <v>#REF!</v>
      </c>
      <c r="Z3473" t="e">
        <f>IF(#REF!&lt;=80,"Low Calls",
IF(#REF!&lt;=120,"Medium Calls","High Calls"))</f>
        <v>#REF!</v>
      </c>
      <c r="AA3473" t="e">
        <f>IF(#REF!&lt;=15,"Low Charges",
IF(#REF!&lt;=20,"Medium Charges","High Charges"))</f>
        <v>#REF!</v>
      </c>
      <c r="AB3473" t="e">
        <f>IF(AND(#REF!&gt;180, #REF!&gt;200), "Heavy Doemstic User", IF(#REF!&gt;10, "Interntional User", IF(AND(#REF!&lt;180, #REF!&lt;200,#REF!&lt;200), "Light User", "Balanced User")))</f>
        <v>#REF!</v>
      </c>
      <c r="AC3473" t="e">
        <f>IF(#REF! = 0, "No Usage", IF(#REF! &lt;= 20, "Low Usage", IF(#REF! &lt;= 40, "Medium Usgae", "High Usage")))</f>
        <v>#REF!</v>
      </c>
      <c r="AD3473" t="e">
        <f>IF(#REF!&lt;=150,"Low Usage", IF(#REF!&lt;=200,"Medium Usage", IF(#REF!&lt;=250,"High Usage","Very High Usage")))</f>
        <v>#REF!</v>
      </c>
      <c r="AE3473" t="e">
        <f>IF(#REF!&lt;=5,"Low Calls", IF(#REF!&lt;=10, "Medium Calls", "High Calls"))</f>
        <v>#REF!</v>
      </c>
      <c r="AF3473" t="e">
        <f xml:space="preserve">
IF(#REF!&gt;=4,4,0)+
IF(#REF!="yes",3,0)+
IF(#REF!="High Charges",3,0)+
IF(#REF!&gt;250,4,0)+
IF(#REF!="no",1,0)+
IF(#REF!="Heavy Domestic User",2,0)</f>
        <v>#REF!</v>
      </c>
      <c r="AG3473" t="e">
        <f>IF(#REF!&gt;=10,"High Risk", IF(#REF!&gt;=5,"Medium Risk","Low Risk"))</f>
        <v>#REF!</v>
      </c>
      <c r="AH3473" t="e">
        <f>#REF! + #REF! + #REF! + #REF!</f>
        <v>#REF!</v>
      </c>
    </row>
    <row r="3474" spans="1:34" x14ac:dyDescent="0.35">
      <c r="A3474">
        <v>3473</v>
      </c>
      <c r="B3474" t="s">
        <v>27</v>
      </c>
      <c r="C3474">
        <v>130</v>
      </c>
      <c r="D3474" t="s">
        <v>25</v>
      </c>
      <c r="E3474" t="s">
        <v>22</v>
      </c>
      <c r="F3474" t="s">
        <v>22</v>
      </c>
      <c r="G3474">
        <v>0</v>
      </c>
      <c r="H3474">
        <v>162</v>
      </c>
      <c r="I3474">
        <v>62</v>
      </c>
      <c r="J3474">
        <v>27.54</v>
      </c>
      <c r="K3474">
        <v>278.10000000000002</v>
      </c>
      <c r="L3474">
        <v>108</v>
      </c>
      <c r="M3474">
        <v>23.64</v>
      </c>
      <c r="N3474">
        <v>197.5</v>
      </c>
      <c r="O3474">
        <v>82</v>
      </c>
      <c r="P3474">
        <v>8.89</v>
      </c>
      <c r="Q3474">
        <v>9.1</v>
      </c>
      <c r="R3474">
        <v>4</v>
      </c>
      <c r="S3474">
        <v>2.46</v>
      </c>
      <c r="T3474">
        <v>1</v>
      </c>
      <c r="U3474" t="s">
        <v>22</v>
      </c>
      <c r="V3474" t="e">
        <f>IF(#REF! = "yes", 1, 0)</f>
        <v>#REF!</v>
      </c>
      <c r="W3474" t="e">
        <f>IF(#REF! &lt;= 1, "0-1 Calls", IF(#REF! &lt;= 3, "2-3 Calls", IF(#REF! &lt;=5, "4-5 Calls", "6+ Calls")))</f>
        <v>#REF!</v>
      </c>
      <c r="X3474" t="e">
        <f>IF(#REF! &lt;= 50, "0-50", IF(#REF! &lt;=100, "51-100", IF(#REF! &lt;= 150, "101-150", "151+")))</f>
        <v>#REF!</v>
      </c>
      <c r="Y3474" t="e">
        <f>IF(#REF! &lt;= 3, "Low Charges", "High Charges")</f>
        <v>#REF!</v>
      </c>
      <c r="Z3474" t="e">
        <f>IF(#REF!&lt;=80,"Low Calls",
IF(#REF!&lt;=120,"Medium Calls","High Calls"))</f>
        <v>#REF!</v>
      </c>
      <c r="AA3474" t="e">
        <f>IF(#REF!&lt;=15,"Low Charges",
IF(#REF!&lt;=20,"Medium Charges","High Charges"))</f>
        <v>#REF!</v>
      </c>
      <c r="AB3474" t="e">
        <f>IF(AND(#REF!&gt;180, #REF!&gt;200), "Heavy Doemstic User", IF(#REF!&gt;10, "Interntional User", IF(AND(#REF!&lt;180, #REF!&lt;200,#REF!&lt;200), "Light User", "Balanced User")))</f>
        <v>#REF!</v>
      </c>
      <c r="AC3474" t="e">
        <f>IF(#REF! = 0, "No Usage", IF(#REF! &lt;= 20, "Low Usage", IF(#REF! &lt;= 40, "Medium Usgae", "High Usage")))</f>
        <v>#REF!</v>
      </c>
      <c r="AD3474" t="e">
        <f>IF(#REF!&lt;=150,"Low Usage", IF(#REF!&lt;=200,"Medium Usage", IF(#REF!&lt;=250,"High Usage","Very High Usage")))</f>
        <v>#REF!</v>
      </c>
      <c r="AE3474" t="e">
        <f>IF(#REF!&lt;=5,"Low Calls", IF(#REF!&lt;=10, "Medium Calls", "High Calls"))</f>
        <v>#REF!</v>
      </c>
      <c r="AF3474" t="e">
        <f xml:space="preserve">
IF(#REF!&gt;=4,4,0)+
IF(#REF!="yes",3,0)+
IF(#REF!="High Charges",3,0)+
IF(#REF!&gt;250,4,0)+
IF(#REF!="no",1,0)+
IF(#REF!="Heavy Domestic User",2,0)</f>
        <v>#REF!</v>
      </c>
      <c r="AG3474" t="e">
        <f>IF(#REF!&gt;=10,"High Risk", IF(#REF!&gt;=5,"Medium Risk","Low Risk"))</f>
        <v>#REF!</v>
      </c>
      <c r="AH3474" t="e">
        <f>#REF! + #REF! + #REF! + #REF!</f>
        <v>#REF!</v>
      </c>
    </row>
    <row r="3475" spans="1:34" x14ac:dyDescent="0.35">
      <c r="A3475">
        <v>3474</v>
      </c>
      <c r="B3475" t="s">
        <v>40</v>
      </c>
      <c r="C3475">
        <v>87</v>
      </c>
      <c r="D3475" t="s">
        <v>21</v>
      </c>
      <c r="E3475" t="s">
        <v>22</v>
      </c>
      <c r="F3475" t="s">
        <v>22</v>
      </c>
      <c r="G3475">
        <v>0</v>
      </c>
      <c r="H3475">
        <v>176.6</v>
      </c>
      <c r="I3475">
        <v>83</v>
      </c>
      <c r="J3475">
        <v>30.02</v>
      </c>
      <c r="K3475">
        <v>221.6</v>
      </c>
      <c r="L3475">
        <v>101</v>
      </c>
      <c r="M3475">
        <v>18.84</v>
      </c>
      <c r="N3475">
        <v>185.3</v>
      </c>
      <c r="O3475">
        <v>89</v>
      </c>
      <c r="P3475">
        <v>8.34</v>
      </c>
      <c r="Q3475">
        <v>9.4</v>
      </c>
      <c r="R3475">
        <v>1</v>
      </c>
      <c r="S3475">
        <v>2.54</v>
      </c>
      <c r="T3475">
        <v>0</v>
      </c>
      <c r="U3475" t="s">
        <v>22</v>
      </c>
      <c r="V3475" t="e">
        <f>IF(#REF! = "yes", 1, 0)</f>
        <v>#REF!</v>
      </c>
      <c r="W3475" t="e">
        <f>IF(#REF! &lt;= 1, "0-1 Calls", IF(#REF! &lt;= 3, "2-3 Calls", IF(#REF! &lt;=5, "4-5 Calls", "6+ Calls")))</f>
        <v>#REF!</v>
      </c>
      <c r="X3475" t="e">
        <f>IF(#REF! &lt;= 50, "0-50", IF(#REF! &lt;=100, "51-100", IF(#REF! &lt;= 150, "101-150", "151+")))</f>
        <v>#REF!</v>
      </c>
      <c r="Y3475" t="e">
        <f>IF(#REF! &lt;= 3, "Low Charges", "High Charges")</f>
        <v>#REF!</v>
      </c>
      <c r="Z3475" t="e">
        <f>IF(#REF!&lt;=80,"Low Calls",
IF(#REF!&lt;=120,"Medium Calls","High Calls"))</f>
        <v>#REF!</v>
      </c>
      <c r="AA3475" t="e">
        <f>IF(#REF!&lt;=15,"Low Charges",
IF(#REF!&lt;=20,"Medium Charges","High Charges"))</f>
        <v>#REF!</v>
      </c>
      <c r="AB3475" t="e">
        <f>IF(AND(#REF!&gt;180, #REF!&gt;200), "Heavy Doemstic User", IF(#REF!&gt;10, "Interntional User", IF(AND(#REF!&lt;180, #REF!&lt;200,#REF!&lt;200), "Light User", "Balanced User")))</f>
        <v>#REF!</v>
      </c>
      <c r="AC3475" t="e">
        <f>IF(#REF! = 0, "No Usage", IF(#REF! &lt;= 20, "Low Usage", IF(#REF! &lt;= 40, "Medium Usgae", "High Usage")))</f>
        <v>#REF!</v>
      </c>
      <c r="AD3475" t="e">
        <f>IF(#REF!&lt;=150,"Low Usage", IF(#REF!&lt;=200,"Medium Usage", IF(#REF!&lt;=250,"High Usage","Very High Usage")))</f>
        <v>#REF!</v>
      </c>
      <c r="AE3475" t="e">
        <f>IF(#REF!&lt;=5,"Low Calls", IF(#REF!&lt;=10, "Medium Calls", "High Calls"))</f>
        <v>#REF!</v>
      </c>
      <c r="AF3475" t="e">
        <f xml:space="preserve">
IF(#REF!&gt;=4,4,0)+
IF(#REF!="yes",3,0)+
IF(#REF!="High Charges",3,0)+
IF(#REF!&gt;250,4,0)+
IF(#REF!="no",1,0)+
IF(#REF!="Heavy Domestic User",2,0)</f>
        <v>#REF!</v>
      </c>
      <c r="AG3475" t="e">
        <f>IF(#REF!&gt;=10,"High Risk", IF(#REF!&gt;=5,"Medium Risk","Low Risk"))</f>
        <v>#REF!</v>
      </c>
      <c r="AH3475" t="e">
        <f>#REF! + #REF! + #REF! + #REF!</f>
        <v>#REF!</v>
      </c>
    </row>
    <row r="3476" spans="1:34" x14ac:dyDescent="0.35">
      <c r="A3476">
        <v>3475</v>
      </c>
      <c r="B3476" t="s">
        <v>37</v>
      </c>
      <c r="C3476">
        <v>164</v>
      </c>
      <c r="D3476" t="s">
        <v>25</v>
      </c>
      <c r="E3476" t="s">
        <v>23</v>
      </c>
      <c r="F3476" t="s">
        <v>23</v>
      </c>
      <c r="G3476">
        <v>28</v>
      </c>
      <c r="H3476">
        <v>156.1</v>
      </c>
      <c r="I3476">
        <v>98</v>
      </c>
      <c r="J3476">
        <v>26.54</v>
      </c>
      <c r="K3476">
        <v>209.9</v>
      </c>
      <c r="L3476">
        <v>140</v>
      </c>
      <c r="M3476">
        <v>17.84</v>
      </c>
      <c r="N3476">
        <v>190</v>
      </c>
      <c r="O3476">
        <v>69</v>
      </c>
      <c r="P3476">
        <v>8.5500000000000007</v>
      </c>
      <c r="Q3476">
        <v>11.4</v>
      </c>
      <c r="R3476">
        <v>4</v>
      </c>
      <c r="S3476">
        <v>3.08</v>
      </c>
      <c r="T3476">
        <v>0</v>
      </c>
      <c r="U3476" t="s">
        <v>22</v>
      </c>
      <c r="V3476" t="e">
        <f>IF(#REF! = "yes", 1, 0)</f>
        <v>#REF!</v>
      </c>
      <c r="W3476" t="e">
        <f>IF(#REF! &lt;= 1, "0-1 Calls", IF(#REF! &lt;= 3, "2-3 Calls", IF(#REF! &lt;=5, "4-5 Calls", "6+ Calls")))</f>
        <v>#REF!</v>
      </c>
      <c r="X3476" t="e">
        <f>IF(#REF! &lt;= 50, "0-50", IF(#REF! &lt;=100, "51-100", IF(#REF! &lt;= 150, "101-150", "151+")))</f>
        <v>#REF!</v>
      </c>
      <c r="Y3476" t="e">
        <f>IF(#REF! &lt;= 3, "Low Charges", "High Charges")</f>
        <v>#REF!</v>
      </c>
      <c r="Z3476" t="e">
        <f>IF(#REF!&lt;=80,"Low Calls",
IF(#REF!&lt;=120,"Medium Calls","High Calls"))</f>
        <v>#REF!</v>
      </c>
      <c r="AA3476" t="e">
        <f>IF(#REF!&lt;=15,"Low Charges",
IF(#REF!&lt;=20,"Medium Charges","High Charges"))</f>
        <v>#REF!</v>
      </c>
      <c r="AB3476" t="e">
        <f>IF(AND(#REF!&gt;180, #REF!&gt;200), "Heavy Doemstic User", IF(#REF!&gt;10, "Interntional User", IF(AND(#REF!&lt;180, #REF!&lt;200,#REF!&lt;200), "Light User", "Balanced User")))</f>
        <v>#REF!</v>
      </c>
      <c r="AC3476" t="e">
        <f>IF(#REF! = 0, "No Usage", IF(#REF! &lt;= 20, "Low Usage", IF(#REF! &lt;= 40, "Medium Usgae", "High Usage")))</f>
        <v>#REF!</v>
      </c>
      <c r="AD3476" t="e">
        <f>IF(#REF!&lt;=150,"Low Usage", IF(#REF!&lt;=200,"Medium Usage", IF(#REF!&lt;=250,"High Usage","Very High Usage")))</f>
        <v>#REF!</v>
      </c>
      <c r="AE3476" t="e">
        <f>IF(#REF!&lt;=5,"Low Calls", IF(#REF!&lt;=10, "Medium Calls", "High Calls"))</f>
        <v>#REF!</v>
      </c>
      <c r="AF3476" t="e">
        <f xml:space="preserve">
IF(#REF!&gt;=4,4,0)+
IF(#REF!="yes",3,0)+
IF(#REF!="High Charges",3,0)+
IF(#REF!&gt;250,4,0)+
IF(#REF!="no",1,0)+
IF(#REF!="Heavy Domestic User",2,0)</f>
        <v>#REF!</v>
      </c>
      <c r="AG3476" t="e">
        <f>IF(#REF!&gt;=10,"High Risk", IF(#REF!&gt;=5,"Medium Risk","Low Risk"))</f>
        <v>#REF!</v>
      </c>
      <c r="AH3476" t="e">
        <f>#REF! + #REF! + #REF! + #REF!</f>
        <v>#REF!</v>
      </c>
    </row>
    <row r="3477" spans="1:34" x14ac:dyDescent="0.35">
      <c r="A3477">
        <v>3476</v>
      </c>
      <c r="B3477" t="s">
        <v>41</v>
      </c>
      <c r="C3477">
        <v>109</v>
      </c>
      <c r="D3477" t="s">
        <v>28</v>
      </c>
      <c r="E3477" t="s">
        <v>22</v>
      </c>
      <c r="F3477" t="s">
        <v>22</v>
      </c>
      <c r="G3477">
        <v>0</v>
      </c>
      <c r="H3477">
        <v>150.6</v>
      </c>
      <c r="I3477">
        <v>106</v>
      </c>
      <c r="J3477">
        <v>25.6</v>
      </c>
      <c r="K3477">
        <v>147.4</v>
      </c>
      <c r="L3477">
        <v>108</v>
      </c>
      <c r="M3477">
        <v>12.53</v>
      </c>
      <c r="N3477">
        <v>173.2</v>
      </c>
      <c r="O3477">
        <v>109</v>
      </c>
      <c r="P3477">
        <v>7.79</v>
      </c>
      <c r="Q3477">
        <v>9.5</v>
      </c>
      <c r="R3477">
        <v>5</v>
      </c>
      <c r="S3477">
        <v>2.57</v>
      </c>
      <c r="T3477">
        <v>1</v>
      </c>
      <c r="U3477" t="s">
        <v>22</v>
      </c>
      <c r="V3477" t="e">
        <f>IF(#REF! = "yes", 1, 0)</f>
        <v>#REF!</v>
      </c>
      <c r="W3477" t="e">
        <f>IF(#REF! &lt;= 1, "0-1 Calls", IF(#REF! &lt;= 3, "2-3 Calls", IF(#REF! &lt;=5, "4-5 Calls", "6+ Calls")))</f>
        <v>#REF!</v>
      </c>
      <c r="X3477" t="e">
        <f>IF(#REF! &lt;= 50, "0-50", IF(#REF! &lt;=100, "51-100", IF(#REF! &lt;= 150, "101-150", "151+")))</f>
        <v>#REF!</v>
      </c>
      <c r="Y3477" t="e">
        <f>IF(#REF! &lt;= 3, "Low Charges", "High Charges")</f>
        <v>#REF!</v>
      </c>
      <c r="Z3477" t="e">
        <f>IF(#REF!&lt;=80,"Low Calls",
IF(#REF!&lt;=120,"Medium Calls","High Calls"))</f>
        <v>#REF!</v>
      </c>
      <c r="AA3477" t="e">
        <f>IF(#REF!&lt;=15,"Low Charges",
IF(#REF!&lt;=20,"Medium Charges","High Charges"))</f>
        <v>#REF!</v>
      </c>
      <c r="AB3477" t="e">
        <f>IF(AND(#REF!&gt;180, #REF!&gt;200), "Heavy Doemstic User", IF(#REF!&gt;10, "Interntional User", IF(AND(#REF!&lt;180, #REF!&lt;200,#REF!&lt;200), "Light User", "Balanced User")))</f>
        <v>#REF!</v>
      </c>
      <c r="AC3477" t="e">
        <f>IF(#REF! = 0, "No Usage", IF(#REF! &lt;= 20, "Low Usage", IF(#REF! &lt;= 40, "Medium Usgae", "High Usage")))</f>
        <v>#REF!</v>
      </c>
      <c r="AD3477" t="e">
        <f>IF(#REF!&lt;=150,"Low Usage", IF(#REF!&lt;=200,"Medium Usage", IF(#REF!&lt;=250,"High Usage","Very High Usage")))</f>
        <v>#REF!</v>
      </c>
      <c r="AE3477" t="e">
        <f>IF(#REF!&lt;=5,"Low Calls", IF(#REF!&lt;=10, "Medium Calls", "High Calls"))</f>
        <v>#REF!</v>
      </c>
      <c r="AF3477" t="e">
        <f xml:space="preserve">
IF(#REF!&gt;=4,4,0)+
IF(#REF!="yes",3,0)+
IF(#REF!="High Charges",3,0)+
IF(#REF!&gt;250,4,0)+
IF(#REF!="no",1,0)+
IF(#REF!="Heavy Domestic User",2,0)</f>
        <v>#REF!</v>
      </c>
      <c r="AG3477" t="e">
        <f>IF(#REF!&gt;=10,"High Risk", IF(#REF!&gt;=5,"Medium Risk","Low Risk"))</f>
        <v>#REF!</v>
      </c>
      <c r="AH3477" t="e">
        <f>#REF! + #REF! + #REF! + #REF!</f>
        <v>#REF!</v>
      </c>
    </row>
    <row r="3478" spans="1:34" x14ac:dyDescent="0.35">
      <c r="A3478">
        <v>3477</v>
      </c>
      <c r="B3478" t="s">
        <v>73</v>
      </c>
      <c r="C3478">
        <v>59</v>
      </c>
      <c r="D3478" t="s">
        <v>28</v>
      </c>
      <c r="E3478" t="s">
        <v>22</v>
      </c>
      <c r="F3478" t="s">
        <v>22</v>
      </c>
      <c r="G3478">
        <v>0</v>
      </c>
      <c r="H3478">
        <v>189.1</v>
      </c>
      <c r="I3478">
        <v>141</v>
      </c>
      <c r="J3478">
        <v>32.15</v>
      </c>
      <c r="K3478">
        <v>198.2</v>
      </c>
      <c r="L3478">
        <v>113</v>
      </c>
      <c r="M3478">
        <v>16.850000000000001</v>
      </c>
      <c r="N3478">
        <v>280.2</v>
      </c>
      <c r="O3478">
        <v>103</v>
      </c>
      <c r="P3478">
        <v>12.61</v>
      </c>
      <c r="Q3478">
        <v>2.2000000000000002</v>
      </c>
      <c r="R3478">
        <v>7</v>
      </c>
      <c r="S3478">
        <v>0.59</v>
      </c>
      <c r="T3478">
        <v>1</v>
      </c>
      <c r="U3478" t="s">
        <v>22</v>
      </c>
      <c r="V3478" t="e">
        <f>IF(#REF! = "yes", 1, 0)</f>
        <v>#REF!</v>
      </c>
      <c r="W3478" t="e">
        <f>IF(#REF! &lt;= 1, "0-1 Calls", IF(#REF! &lt;= 3, "2-3 Calls", IF(#REF! &lt;=5, "4-5 Calls", "6+ Calls")))</f>
        <v>#REF!</v>
      </c>
      <c r="X3478" t="e">
        <f>IF(#REF! &lt;= 50, "0-50", IF(#REF! &lt;=100, "51-100", IF(#REF! &lt;= 150, "101-150", "151+")))</f>
        <v>#REF!</v>
      </c>
      <c r="Y3478" t="e">
        <f>IF(#REF! &lt;= 3, "Low Charges", "High Charges")</f>
        <v>#REF!</v>
      </c>
      <c r="Z3478" t="e">
        <f>IF(#REF!&lt;=80,"Low Calls",
IF(#REF!&lt;=120,"Medium Calls","High Calls"))</f>
        <v>#REF!</v>
      </c>
      <c r="AA3478" t="e">
        <f>IF(#REF!&lt;=15,"Low Charges",
IF(#REF!&lt;=20,"Medium Charges","High Charges"))</f>
        <v>#REF!</v>
      </c>
      <c r="AB3478" t="e">
        <f>IF(AND(#REF!&gt;180, #REF!&gt;200), "Heavy Doemstic User", IF(#REF!&gt;10, "Interntional User", IF(AND(#REF!&lt;180, #REF!&lt;200,#REF!&lt;200), "Light User", "Balanced User")))</f>
        <v>#REF!</v>
      </c>
      <c r="AC3478" t="e">
        <f>IF(#REF! = 0, "No Usage", IF(#REF! &lt;= 20, "Low Usage", IF(#REF! &lt;= 40, "Medium Usgae", "High Usage")))</f>
        <v>#REF!</v>
      </c>
      <c r="AD3478" t="e">
        <f>IF(#REF!&lt;=150,"Low Usage", IF(#REF!&lt;=200,"Medium Usage", IF(#REF!&lt;=250,"High Usage","Very High Usage")))</f>
        <v>#REF!</v>
      </c>
      <c r="AE3478" t="e">
        <f>IF(#REF!&lt;=5,"Low Calls", IF(#REF!&lt;=10, "Medium Calls", "High Calls"))</f>
        <v>#REF!</v>
      </c>
      <c r="AF3478" t="e">
        <f xml:space="preserve">
IF(#REF!&gt;=4,4,0)+
IF(#REF!="yes",3,0)+
IF(#REF!="High Charges",3,0)+
IF(#REF!&gt;250,4,0)+
IF(#REF!="no",1,0)+
IF(#REF!="Heavy Domestic User",2,0)</f>
        <v>#REF!</v>
      </c>
      <c r="AG3478" t="e">
        <f>IF(#REF!&gt;=10,"High Risk", IF(#REF!&gt;=5,"Medium Risk","Low Risk"))</f>
        <v>#REF!</v>
      </c>
      <c r="AH3478" t="e">
        <f>#REF! + #REF! + #REF! + #REF!</f>
        <v>#REF!</v>
      </c>
    </row>
    <row r="3479" spans="1:34" x14ac:dyDescent="0.35">
      <c r="A3479">
        <v>3478</v>
      </c>
      <c r="B3479" t="s">
        <v>65</v>
      </c>
      <c r="C3479">
        <v>124</v>
      </c>
      <c r="D3479" t="s">
        <v>25</v>
      </c>
      <c r="E3479" t="s">
        <v>22</v>
      </c>
      <c r="F3479" t="s">
        <v>22</v>
      </c>
      <c r="G3479">
        <v>0</v>
      </c>
      <c r="H3479">
        <v>156.9</v>
      </c>
      <c r="I3479">
        <v>74</v>
      </c>
      <c r="J3479">
        <v>26.67</v>
      </c>
      <c r="K3479">
        <v>195.8</v>
      </c>
      <c r="L3479">
        <v>82</v>
      </c>
      <c r="M3479">
        <v>16.64</v>
      </c>
      <c r="N3479">
        <v>181</v>
      </c>
      <c r="O3479">
        <v>99</v>
      </c>
      <c r="P3479">
        <v>8.15</v>
      </c>
      <c r="Q3479">
        <v>8.8000000000000007</v>
      </c>
      <c r="R3479">
        <v>2</v>
      </c>
      <c r="S3479">
        <v>2.38</v>
      </c>
      <c r="T3479">
        <v>1</v>
      </c>
      <c r="U3479" t="s">
        <v>22</v>
      </c>
      <c r="V3479" t="e">
        <f>IF(#REF! = "yes", 1, 0)</f>
        <v>#REF!</v>
      </c>
      <c r="W3479" t="e">
        <f>IF(#REF! &lt;= 1, "0-1 Calls", IF(#REF! &lt;= 3, "2-3 Calls", IF(#REF! &lt;=5, "4-5 Calls", "6+ Calls")))</f>
        <v>#REF!</v>
      </c>
      <c r="X3479" t="e">
        <f>IF(#REF! &lt;= 50, "0-50", IF(#REF! &lt;=100, "51-100", IF(#REF! &lt;= 150, "101-150", "151+")))</f>
        <v>#REF!</v>
      </c>
      <c r="Y3479" t="e">
        <f>IF(#REF! &lt;= 3, "Low Charges", "High Charges")</f>
        <v>#REF!</v>
      </c>
      <c r="Z3479" t="e">
        <f>IF(#REF!&lt;=80,"Low Calls",
IF(#REF!&lt;=120,"Medium Calls","High Calls"))</f>
        <v>#REF!</v>
      </c>
      <c r="AA3479" t="e">
        <f>IF(#REF!&lt;=15,"Low Charges",
IF(#REF!&lt;=20,"Medium Charges","High Charges"))</f>
        <v>#REF!</v>
      </c>
      <c r="AB3479" t="e">
        <f>IF(AND(#REF!&gt;180, #REF!&gt;200), "Heavy Doemstic User", IF(#REF!&gt;10, "Interntional User", IF(AND(#REF!&lt;180, #REF!&lt;200,#REF!&lt;200), "Light User", "Balanced User")))</f>
        <v>#REF!</v>
      </c>
      <c r="AC3479" t="e">
        <f>IF(#REF! = 0, "No Usage", IF(#REF! &lt;= 20, "Low Usage", IF(#REF! &lt;= 40, "Medium Usgae", "High Usage")))</f>
        <v>#REF!</v>
      </c>
      <c r="AD3479" t="e">
        <f>IF(#REF!&lt;=150,"Low Usage", IF(#REF!&lt;=200,"Medium Usage", IF(#REF!&lt;=250,"High Usage","Very High Usage")))</f>
        <v>#REF!</v>
      </c>
      <c r="AE3479" t="e">
        <f>IF(#REF!&lt;=5,"Low Calls", IF(#REF!&lt;=10, "Medium Calls", "High Calls"))</f>
        <v>#REF!</v>
      </c>
      <c r="AF3479" t="e">
        <f xml:space="preserve">
IF(#REF!&gt;=4,4,0)+
IF(#REF!="yes",3,0)+
IF(#REF!="High Charges",3,0)+
IF(#REF!&gt;250,4,0)+
IF(#REF!="no",1,0)+
IF(#REF!="Heavy Domestic User",2,0)</f>
        <v>#REF!</v>
      </c>
      <c r="AG3479" t="e">
        <f>IF(#REF!&gt;=10,"High Risk", IF(#REF!&gt;=5,"Medium Risk","Low Risk"))</f>
        <v>#REF!</v>
      </c>
      <c r="AH3479" t="e">
        <f>#REF! + #REF! + #REF! + #REF!</f>
        <v>#REF!</v>
      </c>
    </row>
    <row r="3480" spans="1:34" x14ac:dyDescent="0.35">
      <c r="A3480">
        <v>3479</v>
      </c>
      <c r="B3480" t="s">
        <v>37</v>
      </c>
      <c r="C3480">
        <v>73</v>
      </c>
      <c r="D3480" t="s">
        <v>25</v>
      </c>
      <c r="E3480" t="s">
        <v>22</v>
      </c>
      <c r="F3480" t="s">
        <v>22</v>
      </c>
      <c r="G3480">
        <v>0</v>
      </c>
      <c r="H3480">
        <v>67</v>
      </c>
      <c r="I3480">
        <v>76</v>
      </c>
      <c r="J3480">
        <v>11.39</v>
      </c>
      <c r="K3480">
        <v>223</v>
      </c>
      <c r="L3480">
        <v>154</v>
      </c>
      <c r="M3480">
        <v>18.96</v>
      </c>
      <c r="N3480">
        <v>236.5</v>
      </c>
      <c r="O3480">
        <v>151</v>
      </c>
      <c r="P3480">
        <v>10.64</v>
      </c>
      <c r="Q3480">
        <v>11.2</v>
      </c>
      <c r="R3480">
        <v>2</v>
      </c>
      <c r="S3480">
        <v>3.02</v>
      </c>
      <c r="T3480">
        <v>1</v>
      </c>
      <c r="U3480" t="s">
        <v>22</v>
      </c>
      <c r="V3480" t="e">
        <f>IF(#REF! = "yes", 1, 0)</f>
        <v>#REF!</v>
      </c>
      <c r="W3480" t="e">
        <f>IF(#REF! &lt;= 1, "0-1 Calls", IF(#REF! &lt;= 3, "2-3 Calls", IF(#REF! &lt;=5, "4-5 Calls", "6+ Calls")))</f>
        <v>#REF!</v>
      </c>
      <c r="X3480" t="e">
        <f>IF(#REF! &lt;= 50, "0-50", IF(#REF! &lt;=100, "51-100", IF(#REF! &lt;= 150, "101-150", "151+")))</f>
        <v>#REF!</v>
      </c>
      <c r="Y3480" t="e">
        <f>IF(#REF! &lt;= 3, "Low Charges", "High Charges")</f>
        <v>#REF!</v>
      </c>
      <c r="Z3480" t="e">
        <f>IF(#REF!&lt;=80,"Low Calls",
IF(#REF!&lt;=120,"Medium Calls","High Calls"))</f>
        <v>#REF!</v>
      </c>
      <c r="AA3480" t="e">
        <f>IF(#REF!&lt;=15,"Low Charges",
IF(#REF!&lt;=20,"Medium Charges","High Charges"))</f>
        <v>#REF!</v>
      </c>
      <c r="AB3480" t="e">
        <f>IF(AND(#REF!&gt;180, #REF!&gt;200), "Heavy Doemstic User", IF(#REF!&gt;10, "Interntional User", IF(AND(#REF!&lt;180, #REF!&lt;200,#REF!&lt;200), "Light User", "Balanced User")))</f>
        <v>#REF!</v>
      </c>
      <c r="AC3480" t="e">
        <f>IF(#REF! = 0, "No Usage", IF(#REF! &lt;= 20, "Low Usage", IF(#REF! &lt;= 40, "Medium Usgae", "High Usage")))</f>
        <v>#REF!</v>
      </c>
      <c r="AD3480" t="e">
        <f>IF(#REF!&lt;=150,"Low Usage", IF(#REF!&lt;=200,"Medium Usage", IF(#REF!&lt;=250,"High Usage","Very High Usage")))</f>
        <v>#REF!</v>
      </c>
      <c r="AE3480" t="e">
        <f>IF(#REF!&lt;=5,"Low Calls", IF(#REF!&lt;=10, "Medium Calls", "High Calls"))</f>
        <v>#REF!</v>
      </c>
      <c r="AF3480" t="e">
        <f xml:space="preserve">
IF(#REF!&gt;=4,4,0)+
IF(#REF!="yes",3,0)+
IF(#REF!="High Charges",3,0)+
IF(#REF!&gt;250,4,0)+
IF(#REF!="no",1,0)+
IF(#REF!="Heavy Domestic User",2,0)</f>
        <v>#REF!</v>
      </c>
      <c r="AG3480" t="e">
        <f>IF(#REF!&gt;=10,"High Risk", IF(#REF!&gt;=5,"Medium Risk","Low Risk"))</f>
        <v>#REF!</v>
      </c>
      <c r="AH3480" t="e">
        <f>#REF! + #REF! + #REF! + #REF!</f>
        <v>#REF!</v>
      </c>
    </row>
    <row r="3481" spans="1:34" x14ac:dyDescent="0.35">
      <c r="A3481">
        <v>3480</v>
      </c>
      <c r="B3481" t="s">
        <v>47</v>
      </c>
      <c r="C3481">
        <v>94</v>
      </c>
      <c r="D3481" t="s">
        <v>21</v>
      </c>
      <c r="E3481" t="s">
        <v>22</v>
      </c>
      <c r="F3481" t="s">
        <v>22</v>
      </c>
      <c r="G3481">
        <v>0</v>
      </c>
      <c r="H3481">
        <v>261.3</v>
      </c>
      <c r="I3481">
        <v>89</v>
      </c>
      <c r="J3481">
        <v>44.42</v>
      </c>
      <c r="K3481">
        <v>152.4</v>
      </c>
      <c r="L3481">
        <v>139</v>
      </c>
      <c r="M3481">
        <v>12.95</v>
      </c>
      <c r="N3481">
        <v>120.2</v>
      </c>
      <c r="O3481">
        <v>124</v>
      </c>
      <c r="P3481">
        <v>5.41</v>
      </c>
      <c r="Q3481">
        <v>10.5</v>
      </c>
      <c r="R3481">
        <v>2</v>
      </c>
      <c r="S3481">
        <v>2.84</v>
      </c>
      <c r="T3481">
        <v>0</v>
      </c>
      <c r="U3481" t="s">
        <v>22</v>
      </c>
      <c r="V3481" t="e">
        <f>IF(#REF! = "yes", 1, 0)</f>
        <v>#REF!</v>
      </c>
      <c r="W3481" t="e">
        <f>IF(#REF! &lt;= 1, "0-1 Calls", IF(#REF! &lt;= 3, "2-3 Calls", IF(#REF! &lt;=5, "4-5 Calls", "6+ Calls")))</f>
        <v>#REF!</v>
      </c>
      <c r="X3481" t="e">
        <f>IF(#REF! &lt;= 50, "0-50", IF(#REF! &lt;=100, "51-100", IF(#REF! &lt;= 150, "101-150", "151+")))</f>
        <v>#REF!</v>
      </c>
      <c r="Y3481" t="e">
        <f>IF(#REF! &lt;= 3, "Low Charges", "High Charges")</f>
        <v>#REF!</v>
      </c>
      <c r="Z3481" t="e">
        <f>IF(#REF!&lt;=80,"Low Calls",
IF(#REF!&lt;=120,"Medium Calls","High Calls"))</f>
        <v>#REF!</v>
      </c>
      <c r="AA3481" t="e">
        <f>IF(#REF!&lt;=15,"Low Charges",
IF(#REF!&lt;=20,"Medium Charges","High Charges"))</f>
        <v>#REF!</v>
      </c>
      <c r="AB3481" t="e">
        <f>IF(AND(#REF!&gt;180, #REF!&gt;200), "Heavy Doemstic User", IF(#REF!&gt;10, "Interntional User", IF(AND(#REF!&lt;180, #REF!&lt;200,#REF!&lt;200), "Light User", "Balanced User")))</f>
        <v>#REF!</v>
      </c>
      <c r="AC3481" t="e">
        <f>IF(#REF! = 0, "No Usage", IF(#REF! &lt;= 20, "Low Usage", IF(#REF! &lt;= 40, "Medium Usgae", "High Usage")))</f>
        <v>#REF!</v>
      </c>
      <c r="AD3481" t="e">
        <f>IF(#REF!&lt;=150,"Low Usage", IF(#REF!&lt;=200,"Medium Usage", IF(#REF!&lt;=250,"High Usage","Very High Usage")))</f>
        <v>#REF!</v>
      </c>
      <c r="AE3481" t="e">
        <f>IF(#REF!&lt;=5,"Low Calls", IF(#REF!&lt;=10, "Medium Calls", "High Calls"))</f>
        <v>#REF!</v>
      </c>
      <c r="AF3481" t="e">
        <f xml:space="preserve">
IF(#REF!&gt;=4,4,0)+
IF(#REF!="yes",3,0)+
IF(#REF!="High Charges",3,0)+
IF(#REF!&gt;250,4,0)+
IF(#REF!="no",1,0)+
IF(#REF!="Heavy Domestic User",2,0)</f>
        <v>#REF!</v>
      </c>
      <c r="AG3481" t="e">
        <f>IF(#REF!&gt;=10,"High Risk", IF(#REF!&gt;=5,"Medium Risk","Low Risk"))</f>
        <v>#REF!</v>
      </c>
      <c r="AH3481" t="e">
        <f>#REF! + #REF! + #REF! + #REF!</f>
        <v>#REF!</v>
      </c>
    </row>
    <row r="3482" spans="1:34" x14ac:dyDescent="0.35">
      <c r="A3482">
        <v>3481</v>
      </c>
      <c r="B3482" t="s">
        <v>68</v>
      </c>
      <c r="C3482">
        <v>80</v>
      </c>
      <c r="D3482" t="s">
        <v>21</v>
      </c>
      <c r="E3482" t="s">
        <v>22</v>
      </c>
      <c r="F3482" t="s">
        <v>22</v>
      </c>
      <c r="G3482">
        <v>0</v>
      </c>
      <c r="H3482">
        <v>135.1</v>
      </c>
      <c r="I3482">
        <v>92</v>
      </c>
      <c r="J3482">
        <v>22.97</v>
      </c>
      <c r="K3482">
        <v>185</v>
      </c>
      <c r="L3482">
        <v>103</v>
      </c>
      <c r="M3482">
        <v>15.73</v>
      </c>
      <c r="N3482">
        <v>147.1</v>
      </c>
      <c r="O3482">
        <v>74</v>
      </c>
      <c r="P3482">
        <v>6.62</v>
      </c>
      <c r="Q3482">
        <v>14.7</v>
      </c>
      <c r="R3482">
        <v>5</v>
      </c>
      <c r="S3482">
        <v>3.97</v>
      </c>
      <c r="T3482">
        <v>3</v>
      </c>
      <c r="U3482" t="s">
        <v>22</v>
      </c>
      <c r="V3482" t="e">
        <f>IF(#REF! = "yes", 1, 0)</f>
        <v>#REF!</v>
      </c>
      <c r="W3482" t="e">
        <f>IF(#REF! &lt;= 1, "0-1 Calls", IF(#REF! &lt;= 3, "2-3 Calls", IF(#REF! &lt;=5, "4-5 Calls", "6+ Calls")))</f>
        <v>#REF!</v>
      </c>
      <c r="X3482" t="e">
        <f>IF(#REF! &lt;= 50, "0-50", IF(#REF! &lt;=100, "51-100", IF(#REF! &lt;= 150, "101-150", "151+")))</f>
        <v>#REF!</v>
      </c>
      <c r="Y3482" t="e">
        <f>IF(#REF! &lt;= 3, "Low Charges", "High Charges")</f>
        <v>#REF!</v>
      </c>
      <c r="Z3482" t="e">
        <f>IF(#REF!&lt;=80,"Low Calls",
IF(#REF!&lt;=120,"Medium Calls","High Calls"))</f>
        <v>#REF!</v>
      </c>
      <c r="AA3482" t="e">
        <f>IF(#REF!&lt;=15,"Low Charges",
IF(#REF!&lt;=20,"Medium Charges","High Charges"))</f>
        <v>#REF!</v>
      </c>
      <c r="AB3482" t="e">
        <f>IF(AND(#REF!&gt;180, #REF!&gt;200), "Heavy Doemstic User", IF(#REF!&gt;10, "Interntional User", IF(AND(#REF!&lt;180, #REF!&lt;200,#REF!&lt;200), "Light User", "Balanced User")))</f>
        <v>#REF!</v>
      </c>
      <c r="AC3482" t="e">
        <f>IF(#REF! = 0, "No Usage", IF(#REF! &lt;= 20, "Low Usage", IF(#REF! &lt;= 40, "Medium Usgae", "High Usage")))</f>
        <v>#REF!</v>
      </c>
      <c r="AD3482" t="e">
        <f>IF(#REF!&lt;=150,"Low Usage", IF(#REF!&lt;=200,"Medium Usage", IF(#REF!&lt;=250,"High Usage","Very High Usage")))</f>
        <v>#REF!</v>
      </c>
      <c r="AE3482" t="e">
        <f>IF(#REF!&lt;=5,"Low Calls", IF(#REF!&lt;=10, "Medium Calls", "High Calls"))</f>
        <v>#REF!</v>
      </c>
      <c r="AF3482" t="e">
        <f xml:space="preserve">
IF(#REF!&gt;=4,4,0)+
IF(#REF!="yes",3,0)+
IF(#REF!="High Charges",3,0)+
IF(#REF!&gt;250,4,0)+
IF(#REF!="no",1,0)+
IF(#REF!="Heavy Domestic User",2,0)</f>
        <v>#REF!</v>
      </c>
      <c r="AG3482" t="e">
        <f>IF(#REF!&gt;=10,"High Risk", IF(#REF!&gt;=5,"Medium Risk","Low Risk"))</f>
        <v>#REF!</v>
      </c>
      <c r="AH3482" t="e">
        <f>#REF! + #REF! + #REF! + #REF!</f>
        <v>#REF!</v>
      </c>
    </row>
    <row r="3483" spans="1:34" x14ac:dyDescent="0.35">
      <c r="A3483">
        <v>3482</v>
      </c>
      <c r="B3483" t="s">
        <v>43</v>
      </c>
      <c r="C3483">
        <v>101</v>
      </c>
      <c r="D3483" t="s">
        <v>21</v>
      </c>
      <c r="E3483" t="s">
        <v>23</v>
      </c>
      <c r="F3483" t="s">
        <v>22</v>
      </c>
      <c r="G3483">
        <v>0</v>
      </c>
      <c r="H3483">
        <v>92.1</v>
      </c>
      <c r="I3483">
        <v>109</v>
      </c>
      <c r="J3483">
        <v>15.66</v>
      </c>
      <c r="K3483">
        <v>163</v>
      </c>
      <c r="L3483">
        <v>83</v>
      </c>
      <c r="M3483">
        <v>13.86</v>
      </c>
      <c r="N3483">
        <v>133.30000000000001</v>
      </c>
      <c r="O3483">
        <v>102</v>
      </c>
      <c r="P3483">
        <v>6</v>
      </c>
      <c r="Q3483">
        <v>9.6999999999999993</v>
      </c>
      <c r="R3483">
        <v>11</v>
      </c>
      <c r="S3483">
        <v>2.62</v>
      </c>
      <c r="T3483">
        <v>2</v>
      </c>
      <c r="U3483" t="s">
        <v>22</v>
      </c>
      <c r="V3483" t="e">
        <f>IF(#REF! = "yes", 1, 0)</f>
        <v>#REF!</v>
      </c>
      <c r="W3483" t="e">
        <f>IF(#REF! &lt;= 1, "0-1 Calls", IF(#REF! &lt;= 3, "2-3 Calls", IF(#REF! &lt;=5, "4-5 Calls", "6+ Calls")))</f>
        <v>#REF!</v>
      </c>
      <c r="X3483" t="e">
        <f>IF(#REF! &lt;= 50, "0-50", IF(#REF! &lt;=100, "51-100", IF(#REF! &lt;= 150, "101-150", "151+")))</f>
        <v>#REF!</v>
      </c>
      <c r="Y3483" t="e">
        <f>IF(#REF! &lt;= 3, "Low Charges", "High Charges")</f>
        <v>#REF!</v>
      </c>
      <c r="Z3483" t="e">
        <f>IF(#REF!&lt;=80,"Low Calls",
IF(#REF!&lt;=120,"Medium Calls","High Calls"))</f>
        <v>#REF!</v>
      </c>
      <c r="AA3483" t="e">
        <f>IF(#REF!&lt;=15,"Low Charges",
IF(#REF!&lt;=20,"Medium Charges","High Charges"))</f>
        <v>#REF!</v>
      </c>
      <c r="AB3483" t="e">
        <f>IF(AND(#REF!&gt;180, #REF!&gt;200), "Heavy Doemstic User", IF(#REF!&gt;10, "Interntional User", IF(AND(#REF!&lt;180, #REF!&lt;200,#REF!&lt;200), "Light User", "Balanced User")))</f>
        <v>#REF!</v>
      </c>
      <c r="AC3483" t="e">
        <f>IF(#REF! = 0, "No Usage", IF(#REF! &lt;= 20, "Low Usage", IF(#REF! &lt;= 40, "Medium Usgae", "High Usage")))</f>
        <v>#REF!</v>
      </c>
      <c r="AD3483" t="e">
        <f>IF(#REF!&lt;=150,"Low Usage", IF(#REF!&lt;=200,"Medium Usage", IF(#REF!&lt;=250,"High Usage","Very High Usage")))</f>
        <v>#REF!</v>
      </c>
      <c r="AE3483" t="e">
        <f>IF(#REF!&lt;=5,"Low Calls", IF(#REF!&lt;=10, "Medium Calls", "High Calls"))</f>
        <v>#REF!</v>
      </c>
      <c r="AF3483" t="e">
        <f xml:space="preserve">
IF(#REF!&gt;=4,4,0)+
IF(#REF!="yes",3,0)+
IF(#REF!="High Charges",3,0)+
IF(#REF!&gt;250,4,0)+
IF(#REF!="no",1,0)+
IF(#REF!="Heavy Domestic User",2,0)</f>
        <v>#REF!</v>
      </c>
      <c r="AG3483" t="e">
        <f>IF(#REF!&gt;=10,"High Risk", IF(#REF!&gt;=5,"Medium Risk","Low Risk"))</f>
        <v>#REF!</v>
      </c>
      <c r="AH3483" t="e">
        <f>#REF! + #REF! + #REF! + #REF!</f>
        <v>#REF!</v>
      </c>
    </row>
    <row r="3484" spans="1:34" x14ac:dyDescent="0.35">
      <c r="A3484">
        <v>3483</v>
      </c>
      <c r="B3484" t="s">
        <v>60</v>
      </c>
      <c r="C3484">
        <v>115</v>
      </c>
      <c r="D3484" t="s">
        <v>25</v>
      </c>
      <c r="E3484" t="s">
        <v>22</v>
      </c>
      <c r="F3484" t="s">
        <v>22</v>
      </c>
      <c r="G3484">
        <v>0</v>
      </c>
      <c r="H3484">
        <v>173.5</v>
      </c>
      <c r="I3484">
        <v>121</v>
      </c>
      <c r="J3484">
        <v>29.5</v>
      </c>
      <c r="K3484">
        <v>168.3</v>
      </c>
      <c r="L3484">
        <v>100</v>
      </c>
      <c r="M3484">
        <v>14.31</v>
      </c>
      <c r="N3484">
        <v>138.30000000000001</v>
      </c>
      <c r="O3484">
        <v>105</v>
      </c>
      <c r="P3484">
        <v>6.22</v>
      </c>
      <c r="Q3484">
        <v>7.8</v>
      </c>
      <c r="R3484">
        <v>5</v>
      </c>
      <c r="S3484">
        <v>2.11</v>
      </c>
      <c r="T3484">
        <v>1</v>
      </c>
      <c r="U3484" t="s">
        <v>22</v>
      </c>
      <c r="V3484" t="e">
        <f>IF(#REF! = "yes", 1, 0)</f>
        <v>#REF!</v>
      </c>
      <c r="W3484" t="e">
        <f>IF(#REF! &lt;= 1, "0-1 Calls", IF(#REF! &lt;= 3, "2-3 Calls", IF(#REF! &lt;=5, "4-5 Calls", "6+ Calls")))</f>
        <v>#REF!</v>
      </c>
      <c r="X3484" t="e">
        <f>IF(#REF! &lt;= 50, "0-50", IF(#REF! &lt;=100, "51-100", IF(#REF! &lt;= 150, "101-150", "151+")))</f>
        <v>#REF!</v>
      </c>
      <c r="Y3484" t="e">
        <f>IF(#REF! &lt;= 3, "Low Charges", "High Charges")</f>
        <v>#REF!</v>
      </c>
      <c r="Z3484" t="e">
        <f>IF(#REF!&lt;=80,"Low Calls",
IF(#REF!&lt;=120,"Medium Calls","High Calls"))</f>
        <v>#REF!</v>
      </c>
      <c r="AA3484" t="e">
        <f>IF(#REF!&lt;=15,"Low Charges",
IF(#REF!&lt;=20,"Medium Charges","High Charges"))</f>
        <v>#REF!</v>
      </c>
      <c r="AB3484" t="e">
        <f>IF(AND(#REF!&gt;180, #REF!&gt;200), "Heavy Doemstic User", IF(#REF!&gt;10, "Interntional User", IF(AND(#REF!&lt;180, #REF!&lt;200,#REF!&lt;200), "Light User", "Balanced User")))</f>
        <v>#REF!</v>
      </c>
      <c r="AC3484" t="e">
        <f>IF(#REF! = 0, "No Usage", IF(#REF! &lt;= 20, "Low Usage", IF(#REF! &lt;= 40, "Medium Usgae", "High Usage")))</f>
        <v>#REF!</v>
      </c>
      <c r="AD3484" t="e">
        <f>IF(#REF!&lt;=150,"Low Usage", IF(#REF!&lt;=200,"Medium Usage", IF(#REF!&lt;=250,"High Usage","Very High Usage")))</f>
        <v>#REF!</v>
      </c>
      <c r="AE3484" t="e">
        <f>IF(#REF!&lt;=5,"Low Calls", IF(#REF!&lt;=10, "Medium Calls", "High Calls"))</f>
        <v>#REF!</v>
      </c>
      <c r="AF3484" t="e">
        <f xml:space="preserve">
IF(#REF!&gt;=4,4,0)+
IF(#REF!="yes",3,0)+
IF(#REF!="High Charges",3,0)+
IF(#REF!&gt;250,4,0)+
IF(#REF!="no",1,0)+
IF(#REF!="Heavy Domestic User",2,0)</f>
        <v>#REF!</v>
      </c>
      <c r="AG3484" t="e">
        <f>IF(#REF!&gt;=10,"High Risk", IF(#REF!&gt;=5,"Medium Risk","Low Risk"))</f>
        <v>#REF!</v>
      </c>
      <c r="AH3484" t="e">
        <f>#REF! + #REF! + #REF! + #REF!</f>
        <v>#REF!</v>
      </c>
    </row>
    <row r="3485" spans="1:34" x14ac:dyDescent="0.35">
      <c r="A3485">
        <v>3484</v>
      </c>
      <c r="B3485" t="s">
        <v>70</v>
      </c>
      <c r="C3485">
        <v>100</v>
      </c>
      <c r="D3485" t="s">
        <v>21</v>
      </c>
      <c r="E3485" t="s">
        <v>23</v>
      </c>
      <c r="F3485" t="s">
        <v>22</v>
      </c>
      <c r="G3485">
        <v>0</v>
      </c>
      <c r="H3485">
        <v>156.30000000000001</v>
      </c>
      <c r="I3485">
        <v>82</v>
      </c>
      <c r="J3485">
        <v>26.57</v>
      </c>
      <c r="K3485">
        <v>259.39999999999998</v>
      </c>
      <c r="L3485">
        <v>91</v>
      </c>
      <c r="M3485">
        <v>22.05</v>
      </c>
      <c r="N3485">
        <v>143.69999999999999</v>
      </c>
      <c r="O3485">
        <v>93</v>
      </c>
      <c r="P3485">
        <v>6.47</v>
      </c>
      <c r="Q3485">
        <v>8.3000000000000007</v>
      </c>
      <c r="R3485">
        <v>7</v>
      </c>
      <c r="S3485">
        <v>2.2400000000000002</v>
      </c>
      <c r="T3485">
        <v>5</v>
      </c>
      <c r="U3485" t="s">
        <v>22</v>
      </c>
      <c r="V3485" t="e">
        <f>IF(#REF! = "yes", 1, 0)</f>
        <v>#REF!</v>
      </c>
      <c r="W3485" t="e">
        <f>IF(#REF! &lt;= 1, "0-1 Calls", IF(#REF! &lt;= 3, "2-3 Calls", IF(#REF! &lt;=5, "4-5 Calls", "6+ Calls")))</f>
        <v>#REF!</v>
      </c>
      <c r="X3485" t="e">
        <f>IF(#REF! &lt;= 50, "0-50", IF(#REF! &lt;=100, "51-100", IF(#REF! &lt;= 150, "101-150", "151+")))</f>
        <v>#REF!</v>
      </c>
      <c r="Y3485" t="e">
        <f>IF(#REF! &lt;= 3, "Low Charges", "High Charges")</f>
        <v>#REF!</v>
      </c>
      <c r="Z3485" t="e">
        <f>IF(#REF!&lt;=80,"Low Calls",
IF(#REF!&lt;=120,"Medium Calls","High Calls"))</f>
        <v>#REF!</v>
      </c>
      <c r="AA3485" t="e">
        <f>IF(#REF!&lt;=15,"Low Charges",
IF(#REF!&lt;=20,"Medium Charges","High Charges"))</f>
        <v>#REF!</v>
      </c>
      <c r="AB3485" t="e">
        <f>IF(AND(#REF!&gt;180, #REF!&gt;200), "Heavy Doemstic User", IF(#REF!&gt;10, "Interntional User", IF(AND(#REF!&lt;180, #REF!&lt;200,#REF!&lt;200), "Light User", "Balanced User")))</f>
        <v>#REF!</v>
      </c>
      <c r="AC3485" t="e">
        <f>IF(#REF! = 0, "No Usage", IF(#REF! &lt;= 20, "Low Usage", IF(#REF! &lt;= 40, "Medium Usgae", "High Usage")))</f>
        <v>#REF!</v>
      </c>
      <c r="AD3485" t="e">
        <f>IF(#REF!&lt;=150,"Low Usage", IF(#REF!&lt;=200,"Medium Usage", IF(#REF!&lt;=250,"High Usage","Very High Usage")))</f>
        <v>#REF!</v>
      </c>
      <c r="AE3485" t="e">
        <f>IF(#REF!&lt;=5,"Low Calls", IF(#REF!&lt;=10, "Medium Calls", "High Calls"))</f>
        <v>#REF!</v>
      </c>
      <c r="AF3485" t="e">
        <f xml:space="preserve">
IF(#REF!&gt;=4,4,0)+
IF(#REF!="yes",3,0)+
IF(#REF!="High Charges",3,0)+
IF(#REF!&gt;250,4,0)+
IF(#REF!="no",1,0)+
IF(#REF!="Heavy Domestic User",2,0)</f>
        <v>#REF!</v>
      </c>
      <c r="AG3485" t="e">
        <f>IF(#REF!&gt;=10,"High Risk", IF(#REF!&gt;=5,"Medium Risk","Low Risk"))</f>
        <v>#REF!</v>
      </c>
      <c r="AH3485" t="e">
        <f>#REF! + #REF! + #REF! + #REF!</f>
        <v>#REF!</v>
      </c>
    </row>
    <row r="3486" spans="1:34" x14ac:dyDescent="0.35">
      <c r="A3486">
        <v>3485</v>
      </c>
      <c r="B3486" t="s">
        <v>27</v>
      </c>
      <c r="C3486">
        <v>85</v>
      </c>
      <c r="D3486" t="s">
        <v>21</v>
      </c>
      <c r="E3486" t="s">
        <v>22</v>
      </c>
      <c r="F3486" t="s">
        <v>22</v>
      </c>
      <c r="G3486">
        <v>0</v>
      </c>
      <c r="H3486">
        <v>274.7</v>
      </c>
      <c r="I3486">
        <v>79</v>
      </c>
      <c r="J3486">
        <v>46.7</v>
      </c>
      <c r="K3486">
        <v>119.4</v>
      </c>
      <c r="L3486">
        <v>122</v>
      </c>
      <c r="M3486">
        <v>10.15</v>
      </c>
      <c r="N3486">
        <v>296.89999999999998</v>
      </c>
      <c r="O3486">
        <v>74</v>
      </c>
      <c r="P3486">
        <v>13.36</v>
      </c>
      <c r="Q3486">
        <v>9.4</v>
      </c>
      <c r="R3486">
        <v>10</v>
      </c>
      <c r="S3486">
        <v>2.54</v>
      </c>
      <c r="T3486">
        <v>1</v>
      </c>
      <c r="U3486" t="s">
        <v>22</v>
      </c>
      <c r="V3486" t="e">
        <f>IF(#REF! = "yes", 1, 0)</f>
        <v>#REF!</v>
      </c>
      <c r="W3486" t="e">
        <f>IF(#REF! &lt;= 1, "0-1 Calls", IF(#REF! &lt;= 3, "2-3 Calls", IF(#REF! &lt;=5, "4-5 Calls", "6+ Calls")))</f>
        <v>#REF!</v>
      </c>
      <c r="X3486" t="e">
        <f>IF(#REF! &lt;= 50, "0-50", IF(#REF! &lt;=100, "51-100", IF(#REF! &lt;= 150, "101-150", "151+")))</f>
        <v>#REF!</v>
      </c>
      <c r="Y3486" t="e">
        <f>IF(#REF! &lt;= 3, "Low Charges", "High Charges")</f>
        <v>#REF!</v>
      </c>
      <c r="Z3486" t="e">
        <f>IF(#REF!&lt;=80,"Low Calls",
IF(#REF!&lt;=120,"Medium Calls","High Calls"))</f>
        <v>#REF!</v>
      </c>
      <c r="AA3486" t="e">
        <f>IF(#REF!&lt;=15,"Low Charges",
IF(#REF!&lt;=20,"Medium Charges","High Charges"))</f>
        <v>#REF!</v>
      </c>
      <c r="AB3486" t="e">
        <f>IF(AND(#REF!&gt;180, #REF!&gt;200), "Heavy Doemstic User", IF(#REF!&gt;10, "Interntional User", IF(AND(#REF!&lt;180, #REF!&lt;200,#REF!&lt;200), "Light User", "Balanced User")))</f>
        <v>#REF!</v>
      </c>
      <c r="AC3486" t="e">
        <f>IF(#REF! = 0, "No Usage", IF(#REF! &lt;= 20, "Low Usage", IF(#REF! &lt;= 40, "Medium Usgae", "High Usage")))</f>
        <v>#REF!</v>
      </c>
      <c r="AD3486" t="e">
        <f>IF(#REF!&lt;=150,"Low Usage", IF(#REF!&lt;=200,"Medium Usage", IF(#REF!&lt;=250,"High Usage","Very High Usage")))</f>
        <v>#REF!</v>
      </c>
      <c r="AE3486" t="e">
        <f>IF(#REF!&lt;=5,"Low Calls", IF(#REF!&lt;=10, "Medium Calls", "High Calls"))</f>
        <v>#REF!</v>
      </c>
      <c r="AF3486" t="e">
        <f xml:space="preserve">
IF(#REF!&gt;=4,4,0)+
IF(#REF!="yes",3,0)+
IF(#REF!="High Charges",3,0)+
IF(#REF!&gt;250,4,0)+
IF(#REF!="no",1,0)+
IF(#REF!="Heavy Domestic User",2,0)</f>
        <v>#REF!</v>
      </c>
      <c r="AG3486" t="e">
        <f>IF(#REF!&gt;=10,"High Risk", IF(#REF!&gt;=5,"Medium Risk","Low Risk"))</f>
        <v>#REF!</v>
      </c>
      <c r="AH3486" t="e">
        <f>#REF! + #REF! + #REF! + #REF!</f>
        <v>#REF!</v>
      </c>
    </row>
    <row r="3487" spans="1:34" x14ac:dyDescent="0.35">
      <c r="A3487">
        <v>3486</v>
      </c>
      <c r="B3487" t="s">
        <v>65</v>
      </c>
      <c r="C3487">
        <v>110</v>
      </c>
      <c r="D3487" t="s">
        <v>25</v>
      </c>
      <c r="E3487" t="s">
        <v>22</v>
      </c>
      <c r="F3487" t="s">
        <v>22</v>
      </c>
      <c r="G3487">
        <v>0</v>
      </c>
      <c r="H3487">
        <v>244.7</v>
      </c>
      <c r="I3487">
        <v>84</v>
      </c>
      <c r="J3487">
        <v>41.6</v>
      </c>
      <c r="K3487">
        <v>106.4</v>
      </c>
      <c r="L3487">
        <v>95</v>
      </c>
      <c r="M3487">
        <v>9.0399999999999991</v>
      </c>
      <c r="N3487">
        <v>194.9</v>
      </c>
      <c r="O3487">
        <v>61</v>
      </c>
      <c r="P3487">
        <v>8.77</v>
      </c>
      <c r="Q3487">
        <v>10.5</v>
      </c>
      <c r="R3487">
        <v>1</v>
      </c>
      <c r="S3487">
        <v>2.84</v>
      </c>
      <c r="T3487">
        <v>2</v>
      </c>
      <c r="U3487" t="s">
        <v>23</v>
      </c>
      <c r="V3487" t="e">
        <f>IF(#REF! = "yes", 1, 0)</f>
        <v>#REF!</v>
      </c>
      <c r="W3487" t="e">
        <f>IF(#REF! &lt;= 1, "0-1 Calls", IF(#REF! &lt;= 3, "2-3 Calls", IF(#REF! &lt;=5, "4-5 Calls", "6+ Calls")))</f>
        <v>#REF!</v>
      </c>
      <c r="X3487" t="e">
        <f>IF(#REF! &lt;= 50, "0-50", IF(#REF! &lt;=100, "51-100", IF(#REF! &lt;= 150, "101-150", "151+")))</f>
        <v>#REF!</v>
      </c>
      <c r="Y3487" t="e">
        <f>IF(#REF! &lt;= 3, "Low Charges", "High Charges")</f>
        <v>#REF!</v>
      </c>
      <c r="Z3487" t="e">
        <f>IF(#REF!&lt;=80,"Low Calls",
IF(#REF!&lt;=120,"Medium Calls","High Calls"))</f>
        <v>#REF!</v>
      </c>
      <c r="AA3487" t="e">
        <f>IF(#REF!&lt;=15,"Low Charges",
IF(#REF!&lt;=20,"Medium Charges","High Charges"))</f>
        <v>#REF!</v>
      </c>
      <c r="AB3487" t="e">
        <f>IF(AND(#REF!&gt;180, #REF!&gt;200), "Heavy Doemstic User", IF(#REF!&gt;10, "Interntional User", IF(AND(#REF!&lt;180, #REF!&lt;200,#REF!&lt;200), "Light User", "Balanced User")))</f>
        <v>#REF!</v>
      </c>
      <c r="AC3487" t="e">
        <f>IF(#REF! = 0, "No Usage", IF(#REF! &lt;= 20, "Low Usage", IF(#REF! &lt;= 40, "Medium Usgae", "High Usage")))</f>
        <v>#REF!</v>
      </c>
      <c r="AD3487" t="e">
        <f>IF(#REF!&lt;=150,"Low Usage", IF(#REF!&lt;=200,"Medium Usage", IF(#REF!&lt;=250,"High Usage","Very High Usage")))</f>
        <v>#REF!</v>
      </c>
      <c r="AE3487" t="e">
        <f>IF(#REF!&lt;=5,"Low Calls", IF(#REF!&lt;=10, "Medium Calls", "High Calls"))</f>
        <v>#REF!</v>
      </c>
      <c r="AF3487" t="e">
        <f xml:space="preserve">
IF(#REF!&gt;=4,4,0)+
IF(#REF!="yes",3,0)+
IF(#REF!="High Charges",3,0)+
IF(#REF!&gt;250,4,0)+
IF(#REF!="no",1,0)+
IF(#REF!="Heavy Domestic User",2,0)</f>
        <v>#REF!</v>
      </c>
      <c r="AG3487" t="e">
        <f>IF(#REF!&gt;=10,"High Risk", IF(#REF!&gt;=5,"Medium Risk","Low Risk"))</f>
        <v>#REF!</v>
      </c>
      <c r="AH3487" t="e">
        <f>#REF! + #REF! + #REF! + #REF!</f>
        <v>#REF!</v>
      </c>
    </row>
    <row r="3488" spans="1:34" x14ac:dyDescent="0.35">
      <c r="A3488">
        <v>3487</v>
      </c>
      <c r="B3488" t="s">
        <v>51</v>
      </c>
      <c r="C3488">
        <v>92</v>
      </c>
      <c r="D3488" t="s">
        <v>25</v>
      </c>
      <c r="E3488" t="s">
        <v>23</v>
      </c>
      <c r="F3488" t="s">
        <v>22</v>
      </c>
      <c r="G3488">
        <v>0</v>
      </c>
      <c r="H3488">
        <v>183.6</v>
      </c>
      <c r="I3488">
        <v>96</v>
      </c>
      <c r="J3488">
        <v>31.21</v>
      </c>
      <c r="K3488">
        <v>149.69999999999999</v>
      </c>
      <c r="L3488">
        <v>55</v>
      </c>
      <c r="M3488">
        <v>12.72</v>
      </c>
      <c r="N3488">
        <v>135.19999999999999</v>
      </c>
      <c r="O3488">
        <v>71</v>
      </c>
      <c r="P3488">
        <v>6.08</v>
      </c>
      <c r="Q3488">
        <v>11.8</v>
      </c>
      <c r="R3488">
        <v>4</v>
      </c>
      <c r="S3488">
        <v>3.19</v>
      </c>
      <c r="T3488">
        <v>0</v>
      </c>
      <c r="U3488" t="s">
        <v>22</v>
      </c>
      <c r="V3488" t="e">
        <f>IF(#REF! = "yes", 1, 0)</f>
        <v>#REF!</v>
      </c>
      <c r="W3488" t="e">
        <f>IF(#REF! &lt;= 1, "0-1 Calls", IF(#REF! &lt;= 3, "2-3 Calls", IF(#REF! &lt;=5, "4-5 Calls", "6+ Calls")))</f>
        <v>#REF!</v>
      </c>
      <c r="X3488" t="e">
        <f>IF(#REF! &lt;= 50, "0-50", IF(#REF! &lt;=100, "51-100", IF(#REF! &lt;= 150, "101-150", "151+")))</f>
        <v>#REF!</v>
      </c>
      <c r="Y3488" t="e">
        <f>IF(#REF! &lt;= 3, "Low Charges", "High Charges")</f>
        <v>#REF!</v>
      </c>
      <c r="Z3488" t="e">
        <f>IF(#REF!&lt;=80,"Low Calls",
IF(#REF!&lt;=120,"Medium Calls","High Calls"))</f>
        <v>#REF!</v>
      </c>
      <c r="AA3488" t="e">
        <f>IF(#REF!&lt;=15,"Low Charges",
IF(#REF!&lt;=20,"Medium Charges","High Charges"))</f>
        <v>#REF!</v>
      </c>
      <c r="AB3488" t="e">
        <f>IF(AND(#REF!&gt;180, #REF!&gt;200), "Heavy Doemstic User", IF(#REF!&gt;10, "Interntional User", IF(AND(#REF!&lt;180, #REF!&lt;200,#REF!&lt;200), "Light User", "Balanced User")))</f>
        <v>#REF!</v>
      </c>
      <c r="AC3488" t="e">
        <f>IF(#REF! = 0, "No Usage", IF(#REF! &lt;= 20, "Low Usage", IF(#REF! &lt;= 40, "Medium Usgae", "High Usage")))</f>
        <v>#REF!</v>
      </c>
      <c r="AD3488" t="e">
        <f>IF(#REF!&lt;=150,"Low Usage", IF(#REF!&lt;=200,"Medium Usage", IF(#REF!&lt;=250,"High Usage","Very High Usage")))</f>
        <v>#REF!</v>
      </c>
      <c r="AE3488" t="e">
        <f>IF(#REF!&lt;=5,"Low Calls", IF(#REF!&lt;=10, "Medium Calls", "High Calls"))</f>
        <v>#REF!</v>
      </c>
      <c r="AF3488" t="e">
        <f xml:space="preserve">
IF(#REF!&gt;=4,4,0)+
IF(#REF!="yes",3,0)+
IF(#REF!="High Charges",3,0)+
IF(#REF!&gt;250,4,0)+
IF(#REF!="no",1,0)+
IF(#REF!="Heavy Domestic User",2,0)</f>
        <v>#REF!</v>
      </c>
      <c r="AG3488" t="e">
        <f>IF(#REF!&gt;=10,"High Risk", IF(#REF!&gt;=5,"Medium Risk","Low Risk"))</f>
        <v>#REF!</v>
      </c>
      <c r="AH3488" t="e">
        <f>#REF! + #REF! + #REF! + #REF!</f>
        <v>#REF!</v>
      </c>
    </row>
    <row r="3489" spans="1:34" x14ac:dyDescent="0.35">
      <c r="A3489">
        <v>3488</v>
      </c>
      <c r="B3489" t="s">
        <v>53</v>
      </c>
      <c r="C3489">
        <v>102</v>
      </c>
      <c r="D3489" t="s">
        <v>25</v>
      </c>
      <c r="E3489" t="s">
        <v>22</v>
      </c>
      <c r="F3489" t="s">
        <v>22</v>
      </c>
      <c r="G3489">
        <v>0</v>
      </c>
      <c r="H3489">
        <v>167.1</v>
      </c>
      <c r="I3489">
        <v>80</v>
      </c>
      <c r="J3489">
        <v>28.41</v>
      </c>
      <c r="K3489">
        <v>222.9</v>
      </c>
      <c r="L3489">
        <v>94</v>
      </c>
      <c r="M3489">
        <v>18.95</v>
      </c>
      <c r="N3489">
        <v>179.9</v>
      </c>
      <c r="O3489">
        <v>103</v>
      </c>
      <c r="P3489">
        <v>8.1</v>
      </c>
      <c r="Q3489">
        <v>11.6</v>
      </c>
      <c r="R3489">
        <v>3</v>
      </c>
      <c r="S3489">
        <v>3.13</v>
      </c>
      <c r="T3489">
        <v>5</v>
      </c>
      <c r="U3489" t="s">
        <v>22</v>
      </c>
      <c r="V3489" t="e">
        <f>IF(#REF! = "yes", 1, 0)</f>
        <v>#REF!</v>
      </c>
      <c r="W3489" t="e">
        <f>IF(#REF! &lt;= 1, "0-1 Calls", IF(#REF! &lt;= 3, "2-3 Calls", IF(#REF! &lt;=5, "4-5 Calls", "6+ Calls")))</f>
        <v>#REF!</v>
      </c>
      <c r="X3489" t="e">
        <f>IF(#REF! &lt;= 50, "0-50", IF(#REF! &lt;=100, "51-100", IF(#REF! &lt;= 150, "101-150", "151+")))</f>
        <v>#REF!</v>
      </c>
      <c r="Y3489" t="e">
        <f>IF(#REF! &lt;= 3, "Low Charges", "High Charges")</f>
        <v>#REF!</v>
      </c>
      <c r="Z3489" t="e">
        <f>IF(#REF!&lt;=80,"Low Calls",
IF(#REF!&lt;=120,"Medium Calls","High Calls"))</f>
        <v>#REF!</v>
      </c>
      <c r="AA3489" t="e">
        <f>IF(#REF!&lt;=15,"Low Charges",
IF(#REF!&lt;=20,"Medium Charges","High Charges"))</f>
        <v>#REF!</v>
      </c>
      <c r="AB3489" t="e">
        <f>IF(AND(#REF!&gt;180, #REF!&gt;200), "Heavy Doemstic User", IF(#REF!&gt;10, "Interntional User", IF(AND(#REF!&lt;180, #REF!&lt;200,#REF!&lt;200), "Light User", "Balanced User")))</f>
        <v>#REF!</v>
      </c>
      <c r="AC3489" t="e">
        <f>IF(#REF! = 0, "No Usage", IF(#REF! &lt;= 20, "Low Usage", IF(#REF! &lt;= 40, "Medium Usgae", "High Usage")))</f>
        <v>#REF!</v>
      </c>
      <c r="AD3489" t="e">
        <f>IF(#REF!&lt;=150,"Low Usage", IF(#REF!&lt;=200,"Medium Usage", IF(#REF!&lt;=250,"High Usage","Very High Usage")))</f>
        <v>#REF!</v>
      </c>
      <c r="AE3489" t="e">
        <f>IF(#REF!&lt;=5,"Low Calls", IF(#REF!&lt;=10, "Medium Calls", "High Calls"))</f>
        <v>#REF!</v>
      </c>
      <c r="AF3489" t="e">
        <f xml:space="preserve">
IF(#REF!&gt;=4,4,0)+
IF(#REF!="yes",3,0)+
IF(#REF!="High Charges",3,0)+
IF(#REF!&gt;250,4,0)+
IF(#REF!="no",1,0)+
IF(#REF!="Heavy Domestic User",2,0)</f>
        <v>#REF!</v>
      </c>
      <c r="AG3489" t="e">
        <f>IF(#REF!&gt;=10,"High Risk", IF(#REF!&gt;=5,"Medium Risk","Low Risk"))</f>
        <v>#REF!</v>
      </c>
      <c r="AH3489" t="e">
        <f>#REF! + #REF! + #REF! + #REF!</f>
        <v>#REF!</v>
      </c>
    </row>
    <row r="3490" spans="1:34" x14ac:dyDescent="0.35">
      <c r="A3490">
        <v>3489</v>
      </c>
      <c r="B3490" t="s">
        <v>62</v>
      </c>
      <c r="C3490">
        <v>134</v>
      </c>
      <c r="D3490" t="s">
        <v>25</v>
      </c>
      <c r="E3490" t="s">
        <v>22</v>
      </c>
      <c r="F3490" t="s">
        <v>22</v>
      </c>
      <c r="G3490">
        <v>0</v>
      </c>
      <c r="H3490">
        <v>177.1</v>
      </c>
      <c r="I3490">
        <v>120</v>
      </c>
      <c r="J3490">
        <v>30.11</v>
      </c>
      <c r="K3490">
        <v>218.1</v>
      </c>
      <c r="L3490">
        <v>123</v>
      </c>
      <c r="M3490">
        <v>18.54</v>
      </c>
      <c r="N3490">
        <v>183.8</v>
      </c>
      <c r="O3490">
        <v>93</v>
      </c>
      <c r="P3490">
        <v>8.27</v>
      </c>
      <c r="Q3490">
        <v>12.7</v>
      </c>
      <c r="R3490">
        <v>5</v>
      </c>
      <c r="S3490">
        <v>3.43</v>
      </c>
      <c r="T3490">
        <v>3</v>
      </c>
      <c r="U3490" t="s">
        <v>22</v>
      </c>
      <c r="V3490" t="e">
        <f>IF(#REF! = "yes", 1, 0)</f>
        <v>#REF!</v>
      </c>
      <c r="W3490" t="e">
        <f>IF(#REF! &lt;= 1, "0-1 Calls", IF(#REF! &lt;= 3, "2-3 Calls", IF(#REF! &lt;=5, "4-5 Calls", "6+ Calls")))</f>
        <v>#REF!</v>
      </c>
      <c r="X3490" t="e">
        <f>IF(#REF! &lt;= 50, "0-50", IF(#REF! &lt;=100, "51-100", IF(#REF! &lt;= 150, "101-150", "151+")))</f>
        <v>#REF!</v>
      </c>
      <c r="Y3490" t="e">
        <f>IF(#REF! &lt;= 3, "Low Charges", "High Charges")</f>
        <v>#REF!</v>
      </c>
      <c r="Z3490" t="e">
        <f>IF(#REF!&lt;=80,"Low Calls",
IF(#REF!&lt;=120,"Medium Calls","High Calls"))</f>
        <v>#REF!</v>
      </c>
      <c r="AA3490" t="e">
        <f>IF(#REF!&lt;=15,"Low Charges",
IF(#REF!&lt;=20,"Medium Charges","High Charges"))</f>
        <v>#REF!</v>
      </c>
      <c r="AB3490" t="e">
        <f>IF(AND(#REF!&gt;180, #REF!&gt;200), "Heavy Doemstic User", IF(#REF!&gt;10, "Interntional User", IF(AND(#REF!&lt;180, #REF!&lt;200,#REF!&lt;200), "Light User", "Balanced User")))</f>
        <v>#REF!</v>
      </c>
      <c r="AC3490" t="e">
        <f>IF(#REF! = 0, "No Usage", IF(#REF! &lt;= 20, "Low Usage", IF(#REF! &lt;= 40, "Medium Usgae", "High Usage")))</f>
        <v>#REF!</v>
      </c>
      <c r="AD3490" t="e">
        <f>IF(#REF!&lt;=150,"Low Usage", IF(#REF!&lt;=200,"Medium Usage", IF(#REF!&lt;=250,"High Usage","Very High Usage")))</f>
        <v>#REF!</v>
      </c>
      <c r="AE3490" t="e">
        <f>IF(#REF!&lt;=5,"Low Calls", IF(#REF!&lt;=10, "Medium Calls", "High Calls"))</f>
        <v>#REF!</v>
      </c>
      <c r="AF3490" t="e">
        <f xml:space="preserve">
IF(#REF!&gt;=4,4,0)+
IF(#REF!="yes",3,0)+
IF(#REF!="High Charges",3,0)+
IF(#REF!&gt;250,4,0)+
IF(#REF!="no",1,0)+
IF(#REF!="Heavy Domestic User",2,0)</f>
        <v>#REF!</v>
      </c>
      <c r="AG3490" t="e">
        <f>IF(#REF!&gt;=10,"High Risk", IF(#REF!&gt;=5,"Medium Risk","Low Risk"))</f>
        <v>#REF!</v>
      </c>
      <c r="AH3490" t="e">
        <f>#REF! + #REF! + #REF! + #REF!</f>
        <v>#REF!</v>
      </c>
    </row>
    <row r="3491" spans="1:34" x14ac:dyDescent="0.35">
      <c r="A3491">
        <v>3490</v>
      </c>
      <c r="B3491" t="s">
        <v>63</v>
      </c>
      <c r="C3491">
        <v>96</v>
      </c>
      <c r="D3491" t="s">
        <v>21</v>
      </c>
      <c r="E3491" t="s">
        <v>22</v>
      </c>
      <c r="F3491" t="s">
        <v>22</v>
      </c>
      <c r="G3491">
        <v>0</v>
      </c>
      <c r="H3491">
        <v>217.8</v>
      </c>
      <c r="I3491">
        <v>120</v>
      </c>
      <c r="J3491">
        <v>37.03</v>
      </c>
      <c r="K3491">
        <v>139.6</v>
      </c>
      <c r="L3491">
        <v>109</v>
      </c>
      <c r="M3491">
        <v>11.87</v>
      </c>
      <c r="N3491">
        <v>227.7</v>
      </c>
      <c r="O3491">
        <v>111</v>
      </c>
      <c r="P3491">
        <v>10.25</v>
      </c>
      <c r="Q3491">
        <v>11.6</v>
      </c>
      <c r="R3491">
        <v>3</v>
      </c>
      <c r="S3491">
        <v>3.13</v>
      </c>
      <c r="T3491">
        <v>0</v>
      </c>
      <c r="U3491" t="s">
        <v>22</v>
      </c>
      <c r="V3491" t="e">
        <f>IF(#REF! = "yes", 1, 0)</f>
        <v>#REF!</v>
      </c>
      <c r="W3491" t="e">
        <f>IF(#REF! &lt;= 1, "0-1 Calls", IF(#REF! &lt;= 3, "2-3 Calls", IF(#REF! &lt;=5, "4-5 Calls", "6+ Calls")))</f>
        <v>#REF!</v>
      </c>
      <c r="X3491" t="e">
        <f>IF(#REF! &lt;= 50, "0-50", IF(#REF! &lt;=100, "51-100", IF(#REF! &lt;= 150, "101-150", "151+")))</f>
        <v>#REF!</v>
      </c>
      <c r="Y3491" t="e">
        <f>IF(#REF! &lt;= 3, "Low Charges", "High Charges")</f>
        <v>#REF!</v>
      </c>
      <c r="Z3491" t="e">
        <f>IF(#REF!&lt;=80,"Low Calls",
IF(#REF!&lt;=120,"Medium Calls","High Calls"))</f>
        <v>#REF!</v>
      </c>
      <c r="AA3491" t="e">
        <f>IF(#REF!&lt;=15,"Low Charges",
IF(#REF!&lt;=20,"Medium Charges","High Charges"))</f>
        <v>#REF!</v>
      </c>
      <c r="AB3491" t="e">
        <f>IF(AND(#REF!&gt;180, #REF!&gt;200), "Heavy Doemstic User", IF(#REF!&gt;10, "Interntional User", IF(AND(#REF!&lt;180, #REF!&lt;200,#REF!&lt;200), "Light User", "Balanced User")))</f>
        <v>#REF!</v>
      </c>
      <c r="AC3491" t="e">
        <f>IF(#REF! = 0, "No Usage", IF(#REF! &lt;= 20, "Low Usage", IF(#REF! &lt;= 40, "Medium Usgae", "High Usage")))</f>
        <v>#REF!</v>
      </c>
      <c r="AD3491" t="e">
        <f>IF(#REF!&lt;=150,"Low Usage", IF(#REF!&lt;=200,"Medium Usage", IF(#REF!&lt;=250,"High Usage","Very High Usage")))</f>
        <v>#REF!</v>
      </c>
      <c r="AE3491" t="e">
        <f>IF(#REF!&lt;=5,"Low Calls", IF(#REF!&lt;=10, "Medium Calls", "High Calls"))</f>
        <v>#REF!</v>
      </c>
      <c r="AF3491" t="e">
        <f xml:space="preserve">
IF(#REF!&gt;=4,4,0)+
IF(#REF!="yes",3,0)+
IF(#REF!="High Charges",3,0)+
IF(#REF!&gt;250,4,0)+
IF(#REF!="no",1,0)+
IF(#REF!="Heavy Domestic User",2,0)</f>
        <v>#REF!</v>
      </c>
      <c r="AG3491" t="e">
        <f>IF(#REF!&gt;=10,"High Risk", IF(#REF!&gt;=5,"Medium Risk","Low Risk"))</f>
        <v>#REF!</v>
      </c>
      <c r="AH3491" t="e">
        <f>#REF! + #REF! + #REF! + #REF!</f>
        <v>#REF!</v>
      </c>
    </row>
    <row r="3492" spans="1:34" x14ac:dyDescent="0.35">
      <c r="A3492">
        <v>3491</v>
      </c>
      <c r="B3492" t="s">
        <v>69</v>
      </c>
      <c r="C3492">
        <v>42</v>
      </c>
      <c r="D3492" t="s">
        <v>28</v>
      </c>
      <c r="E3492" t="s">
        <v>22</v>
      </c>
      <c r="F3492" t="s">
        <v>22</v>
      </c>
      <c r="G3492">
        <v>0</v>
      </c>
      <c r="H3492">
        <v>143.69999999999999</v>
      </c>
      <c r="I3492">
        <v>96</v>
      </c>
      <c r="J3492">
        <v>24.43</v>
      </c>
      <c r="K3492">
        <v>221</v>
      </c>
      <c r="L3492">
        <v>98</v>
      </c>
      <c r="M3492">
        <v>18.79</v>
      </c>
      <c r="N3492">
        <v>108.9</v>
      </c>
      <c r="O3492">
        <v>94</v>
      </c>
      <c r="P3492">
        <v>4.9000000000000004</v>
      </c>
      <c r="Q3492">
        <v>8.6</v>
      </c>
      <c r="R3492">
        <v>1</v>
      </c>
      <c r="S3492">
        <v>2.3199999999999998</v>
      </c>
      <c r="T3492">
        <v>2</v>
      </c>
      <c r="U3492" t="s">
        <v>22</v>
      </c>
      <c r="V3492" t="e">
        <f>IF(#REF! = "yes", 1, 0)</f>
        <v>#REF!</v>
      </c>
      <c r="W3492" t="e">
        <f>IF(#REF! &lt;= 1, "0-1 Calls", IF(#REF! &lt;= 3, "2-3 Calls", IF(#REF! &lt;=5, "4-5 Calls", "6+ Calls")))</f>
        <v>#REF!</v>
      </c>
      <c r="X3492" t="e">
        <f>IF(#REF! &lt;= 50, "0-50", IF(#REF! &lt;=100, "51-100", IF(#REF! &lt;= 150, "101-150", "151+")))</f>
        <v>#REF!</v>
      </c>
      <c r="Y3492" t="e">
        <f>IF(#REF! &lt;= 3, "Low Charges", "High Charges")</f>
        <v>#REF!</v>
      </c>
      <c r="Z3492" t="e">
        <f>IF(#REF!&lt;=80,"Low Calls",
IF(#REF!&lt;=120,"Medium Calls","High Calls"))</f>
        <v>#REF!</v>
      </c>
      <c r="AA3492" t="e">
        <f>IF(#REF!&lt;=15,"Low Charges",
IF(#REF!&lt;=20,"Medium Charges","High Charges"))</f>
        <v>#REF!</v>
      </c>
      <c r="AB3492" t="e">
        <f>IF(AND(#REF!&gt;180, #REF!&gt;200), "Heavy Doemstic User", IF(#REF!&gt;10, "Interntional User", IF(AND(#REF!&lt;180, #REF!&lt;200,#REF!&lt;200), "Light User", "Balanced User")))</f>
        <v>#REF!</v>
      </c>
      <c r="AC3492" t="e">
        <f>IF(#REF! = 0, "No Usage", IF(#REF! &lt;= 20, "Low Usage", IF(#REF! &lt;= 40, "Medium Usgae", "High Usage")))</f>
        <v>#REF!</v>
      </c>
      <c r="AD3492" t="e">
        <f>IF(#REF!&lt;=150,"Low Usage", IF(#REF!&lt;=200,"Medium Usage", IF(#REF!&lt;=250,"High Usage","Very High Usage")))</f>
        <v>#REF!</v>
      </c>
      <c r="AE3492" t="e">
        <f>IF(#REF!&lt;=5,"Low Calls", IF(#REF!&lt;=10, "Medium Calls", "High Calls"))</f>
        <v>#REF!</v>
      </c>
      <c r="AF3492" t="e">
        <f xml:space="preserve">
IF(#REF!&gt;=4,4,0)+
IF(#REF!="yes",3,0)+
IF(#REF!="High Charges",3,0)+
IF(#REF!&gt;250,4,0)+
IF(#REF!="no",1,0)+
IF(#REF!="Heavy Domestic User",2,0)</f>
        <v>#REF!</v>
      </c>
      <c r="AG3492" t="e">
        <f>IF(#REF!&gt;=10,"High Risk", IF(#REF!&gt;=5,"Medium Risk","Low Risk"))</f>
        <v>#REF!</v>
      </c>
      <c r="AH3492" t="e">
        <f>#REF! + #REF! + #REF! + #REF!</f>
        <v>#REF!</v>
      </c>
    </row>
    <row r="3493" spans="1:34" x14ac:dyDescent="0.35">
      <c r="A3493">
        <v>3492</v>
      </c>
      <c r="B3493" t="s">
        <v>52</v>
      </c>
      <c r="C3493">
        <v>175</v>
      </c>
      <c r="D3493" t="s">
        <v>21</v>
      </c>
      <c r="E3493" t="s">
        <v>22</v>
      </c>
      <c r="F3493" t="s">
        <v>22</v>
      </c>
      <c r="G3493">
        <v>0</v>
      </c>
      <c r="H3493">
        <v>185</v>
      </c>
      <c r="I3493">
        <v>104</v>
      </c>
      <c r="J3493">
        <v>31.45</v>
      </c>
      <c r="K3493">
        <v>325.8</v>
      </c>
      <c r="L3493">
        <v>86</v>
      </c>
      <c r="M3493">
        <v>27.69</v>
      </c>
      <c r="N3493">
        <v>85.4</v>
      </c>
      <c r="O3493">
        <v>105</v>
      </c>
      <c r="P3493">
        <v>3.84</v>
      </c>
      <c r="Q3493">
        <v>14.6</v>
      </c>
      <c r="R3493">
        <v>2</v>
      </c>
      <c r="S3493">
        <v>3.94</v>
      </c>
      <c r="T3493">
        <v>1</v>
      </c>
      <c r="U3493" t="s">
        <v>22</v>
      </c>
      <c r="V3493" t="e">
        <f>IF(#REF! = "yes", 1, 0)</f>
        <v>#REF!</v>
      </c>
      <c r="W3493" t="e">
        <f>IF(#REF! &lt;= 1, "0-1 Calls", IF(#REF! &lt;= 3, "2-3 Calls", IF(#REF! &lt;=5, "4-5 Calls", "6+ Calls")))</f>
        <v>#REF!</v>
      </c>
      <c r="X3493" t="e">
        <f>IF(#REF! &lt;= 50, "0-50", IF(#REF! &lt;=100, "51-100", IF(#REF! &lt;= 150, "101-150", "151+")))</f>
        <v>#REF!</v>
      </c>
      <c r="Y3493" t="e">
        <f>IF(#REF! &lt;= 3, "Low Charges", "High Charges")</f>
        <v>#REF!</v>
      </c>
      <c r="Z3493" t="e">
        <f>IF(#REF!&lt;=80,"Low Calls",
IF(#REF!&lt;=120,"Medium Calls","High Calls"))</f>
        <v>#REF!</v>
      </c>
      <c r="AA3493" t="e">
        <f>IF(#REF!&lt;=15,"Low Charges",
IF(#REF!&lt;=20,"Medium Charges","High Charges"))</f>
        <v>#REF!</v>
      </c>
      <c r="AB3493" t="e">
        <f>IF(AND(#REF!&gt;180, #REF!&gt;200), "Heavy Doemstic User", IF(#REF!&gt;10, "Interntional User", IF(AND(#REF!&lt;180, #REF!&lt;200,#REF!&lt;200), "Light User", "Balanced User")))</f>
        <v>#REF!</v>
      </c>
      <c r="AC3493" t="e">
        <f>IF(#REF! = 0, "No Usage", IF(#REF! &lt;= 20, "Low Usage", IF(#REF! &lt;= 40, "Medium Usgae", "High Usage")))</f>
        <v>#REF!</v>
      </c>
      <c r="AD3493" t="e">
        <f>IF(#REF!&lt;=150,"Low Usage", IF(#REF!&lt;=200,"Medium Usage", IF(#REF!&lt;=250,"High Usage","Very High Usage")))</f>
        <v>#REF!</v>
      </c>
      <c r="AE3493" t="e">
        <f>IF(#REF!&lt;=5,"Low Calls", IF(#REF!&lt;=10, "Medium Calls", "High Calls"))</f>
        <v>#REF!</v>
      </c>
      <c r="AF3493" t="e">
        <f xml:space="preserve">
IF(#REF!&gt;=4,4,0)+
IF(#REF!="yes",3,0)+
IF(#REF!="High Charges",3,0)+
IF(#REF!&gt;250,4,0)+
IF(#REF!="no",1,0)+
IF(#REF!="Heavy Domestic User",2,0)</f>
        <v>#REF!</v>
      </c>
      <c r="AG3493" t="e">
        <f>IF(#REF!&gt;=10,"High Risk", IF(#REF!&gt;=5,"Medium Risk","Low Risk"))</f>
        <v>#REF!</v>
      </c>
      <c r="AH3493" t="e">
        <f>#REF! + #REF! + #REF! + #REF!</f>
        <v>#REF!</v>
      </c>
    </row>
    <row r="3494" spans="1:34" x14ac:dyDescent="0.35">
      <c r="A3494">
        <v>3493</v>
      </c>
      <c r="B3494" t="s">
        <v>52</v>
      </c>
      <c r="C3494">
        <v>136</v>
      </c>
      <c r="D3494" t="s">
        <v>21</v>
      </c>
      <c r="E3494" t="s">
        <v>22</v>
      </c>
      <c r="F3494" t="s">
        <v>23</v>
      </c>
      <c r="G3494">
        <v>23</v>
      </c>
      <c r="H3494">
        <v>235.6</v>
      </c>
      <c r="I3494">
        <v>65</v>
      </c>
      <c r="J3494">
        <v>40.049999999999997</v>
      </c>
      <c r="K3494">
        <v>177.7</v>
      </c>
      <c r="L3494">
        <v>81</v>
      </c>
      <c r="M3494">
        <v>15.1</v>
      </c>
      <c r="N3494">
        <v>138.69999999999999</v>
      </c>
      <c r="O3494">
        <v>105</v>
      </c>
      <c r="P3494">
        <v>6.24</v>
      </c>
      <c r="Q3494">
        <v>11.3</v>
      </c>
      <c r="R3494">
        <v>5</v>
      </c>
      <c r="S3494">
        <v>3.05</v>
      </c>
      <c r="T3494">
        <v>1</v>
      </c>
      <c r="U3494" t="s">
        <v>22</v>
      </c>
      <c r="V3494" t="e">
        <f>IF(#REF! = "yes", 1, 0)</f>
        <v>#REF!</v>
      </c>
      <c r="W3494" t="e">
        <f>IF(#REF! &lt;= 1, "0-1 Calls", IF(#REF! &lt;= 3, "2-3 Calls", IF(#REF! &lt;=5, "4-5 Calls", "6+ Calls")))</f>
        <v>#REF!</v>
      </c>
      <c r="X3494" t="e">
        <f>IF(#REF! &lt;= 50, "0-50", IF(#REF! &lt;=100, "51-100", IF(#REF! &lt;= 150, "101-150", "151+")))</f>
        <v>#REF!</v>
      </c>
      <c r="Y3494" t="e">
        <f>IF(#REF! &lt;= 3, "Low Charges", "High Charges")</f>
        <v>#REF!</v>
      </c>
      <c r="Z3494" t="e">
        <f>IF(#REF!&lt;=80,"Low Calls",
IF(#REF!&lt;=120,"Medium Calls","High Calls"))</f>
        <v>#REF!</v>
      </c>
      <c r="AA3494" t="e">
        <f>IF(#REF!&lt;=15,"Low Charges",
IF(#REF!&lt;=20,"Medium Charges","High Charges"))</f>
        <v>#REF!</v>
      </c>
      <c r="AB3494" t="e">
        <f>IF(AND(#REF!&gt;180, #REF!&gt;200), "Heavy Doemstic User", IF(#REF!&gt;10, "Interntional User", IF(AND(#REF!&lt;180, #REF!&lt;200,#REF!&lt;200), "Light User", "Balanced User")))</f>
        <v>#REF!</v>
      </c>
      <c r="AC3494" t="e">
        <f>IF(#REF! = 0, "No Usage", IF(#REF! &lt;= 20, "Low Usage", IF(#REF! &lt;= 40, "Medium Usgae", "High Usage")))</f>
        <v>#REF!</v>
      </c>
      <c r="AD3494" t="e">
        <f>IF(#REF!&lt;=150,"Low Usage", IF(#REF!&lt;=200,"Medium Usage", IF(#REF!&lt;=250,"High Usage","Very High Usage")))</f>
        <v>#REF!</v>
      </c>
      <c r="AE3494" t="e">
        <f>IF(#REF!&lt;=5,"Low Calls", IF(#REF!&lt;=10, "Medium Calls", "High Calls"))</f>
        <v>#REF!</v>
      </c>
      <c r="AF3494" t="e">
        <f xml:space="preserve">
IF(#REF!&gt;=4,4,0)+
IF(#REF!="yes",3,0)+
IF(#REF!="High Charges",3,0)+
IF(#REF!&gt;250,4,0)+
IF(#REF!="no",1,0)+
IF(#REF!="Heavy Domestic User",2,0)</f>
        <v>#REF!</v>
      </c>
      <c r="AG3494" t="e">
        <f>IF(#REF!&gt;=10,"High Risk", IF(#REF!&gt;=5,"Medium Risk","Low Risk"))</f>
        <v>#REF!</v>
      </c>
      <c r="AH3494" t="e">
        <f>#REF! + #REF! + #REF! + #REF!</f>
        <v>#REF!</v>
      </c>
    </row>
    <row r="3495" spans="1:34" x14ac:dyDescent="0.35">
      <c r="A3495">
        <v>3494</v>
      </c>
      <c r="B3495" t="s">
        <v>50</v>
      </c>
      <c r="C3495">
        <v>32</v>
      </c>
      <c r="D3495" t="s">
        <v>21</v>
      </c>
      <c r="E3495" t="s">
        <v>23</v>
      </c>
      <c r="F3495" t="s">
        <v>22</v>
      </c>
      <c r="G3495">
        <v>0</v>
      </c>
      <c r="H3495">
        <v>265.5</v>
      </c>
      <c r="I3495">
        <v>75</v>
      </c>
      <c r="J3495">
        <v>45.14</v>
      </c>
      <c r="K3495">
        <v>119.7</v>
      </c>
      <c r="L3495">
        <v>77</v>
      </c>
      <c r="M3495">
        <v>10.17</v>
      </c>
      <c r="N3495">
        <v>169.9</v>
      </c>
      <c r="O3495">
        <v>128</v>
      </c>
      <c r="P3495">
        <v>7.65</v>
      </c>
      <c r="Q3495">
        <v>14.8</v>
      </c>
      <c r="R3495">
        <v>6</v>
      </c>
      <c r="S3495">
        <v>4</v>
      </c>
      <c r="T3495">
        <v>2</v>
      </c>
      <c r="U3495" t="s">
        <v>23</v>
      </c>
      <c r="V3495" t="e">
        <f>IF(#REF! = "yes", 1, 0)</f>
        <v>#REF!</v>
      </c>
      <c r="W3495" t="e">
        <f>IF(#REF! &lt;= 1, "0-1 Calls", IF(#REF! &lt;= 3, "2-3 Calls", IF(#REF! &lt;=5, "4-5 Calls", "6+ Calls")))</f>
        <v>#REF!</v>
      </c>
      <c r="X3495" t="e">
        <f>IF(#REF! &lt;= 50, "0-50", IF(#REF! &lt;=100, "51-100", IF(#REF! &lt;= 150, "101-150", "151+")))</f>
        <v>#REF!</v>
      </c>
      <c r="Y3495" t="e">
        <f>IF(#REF! &lt;= 3, "Low Charges", "High Charges")</f>
        <v>#REF!</v>
      </c>
      <c r="Z3495" t="e">
        <f>IF(#REF!&lt;=80,"Low Calls",
IF(#REF!&lt;=120,"Medium Calls","High Calls"))</f>
        <v>#REF!</v>
      </c>
      <c r="AA3495" t="e">
        <f>IF(#REF!&lt;=15,"Low Charges",
IF(#REF!&lt;=20,"Medium Charges","High Charges"))</f>
        <v>#REF!</v>
      </c>
      <c r="AB3495" t="e">
        <f>IF(AND(#REF!&gt;180, #REF!&gt;200), "Heavy Doemstic User", IF(#REF!&gt;10, "Interntional User", IF(AND(#REF!&lt;180, #REF!&lt;200,#REF!&lt;200), "Light User", "Balanced User")))</f>
        <v>#REF!</v>
      </c>
      <c r="AC3495" t="e">
        <f>IF(#REF! = 0, "No Usage", IF(#REF! &lt;= 20, "Low Usage", IF(#REF! &lt;= 40, "Medium Usgae", "High Usage")))</f>
        <v>#REF!</v>
      </c>
      <c r="AD3495" t="e">
        <f>IF(#REF!&lt;=150,"Low Usage", IF(#REF!&lt;=200,"Medium Usage", IF(#REF!&lt;=250,"High Usage","Very High Usage")))</f>
        <v>#REF!</v>
      </c>
      <c r="AE3495" t="e">
        <f>IF(#REF!&lt;=5,"Low Calls", IF(#REF!&lt;=10, "Medium Calls", "High Calls"))</f>
        <v>#REF!</v>
      </c>
      <c r="AF3495" t="e">
        <f xml:space="preserve">
IF(#REF!&gt;=4,4,0)+
IF(#REF!="yes",3,0)+
IF(#REF!="High Charges",3,0)+
IF(#REF!&gt;250,4,0)+
IF(#REF!="no",1,0)+
IF(#REF!="Heavy Domestic User",2,0)</f>
        <v>#REF!</v>
      </c>
      <c r="AG3495" t="e">
        <f>IF(#REF!&gt;=10,"High Risk", IF(#REF!&gt;=5,"Medium Risk","Low Risk"))</f>
        <v>#REF!</v>
      </c>
      <c r="AH3495" t="e">
        <f>#REF! + #REF! + #REF! + #REF!</f>
        <v>#REF!</v>
      </c>
    </row>
    <row r="3496" spans="1:34" x14ac:dyDescent="0.35">
      <c r="A3496">
        <v>3495</v>
      </c>
      <c r="B3496" t="s">
        <v>55</v>
      </c>
      <c r="C3496">
        <v>101</v>
      </c>
      <c r="D3496" t="s">
        <v>21</v>
      </c>
      <c r="E3496" t="s">
        <v>22</v>
      </c>
      <c r="F3496" t="s">
        <v>22</v>
      </c>
      <c r="G3496">
        <v>0</v>
      </c>
      <c r="H3496">
        <v>332.1</v>
      </c>
      <c r="I3496">
        <v>91</v>
      </c>
      <c r="J3496">
        <v>56.46</v>
      </c>
      <c r="K3496">
        <v>151</v>
      </c>
      <c r="L3496">
        <v>123</v>
      </c>
      <c r="M3496">
        <v>12.84</v>
      </c>
      <c r="N3496">
        <v>277.8</v>
      </c>
      <c r="O3496">
        <v>99</v>
      </c>
      <c r="P3496">
        <v>12.5</v>
      </c>
      <c r="Q3496">
        <v>11.3</v>
      </c>
      <c r="R3496">
        <v>3</v>
      </c>
      <c r="S3496">
        <v>3.05</v>
      </c>
      <c r="T3496">
        <v>1</v>
      </c>
      <c r="U3496" t="s">
        <v>23</v>
      </c>
      <c r="V3496" t="e">
        <f>IF(#REF! = "yes", 1, 0)</f>
        <v>#REF!</v>
      </c>
      <c r="W3496" t="e">
        <f>IF(#REF! &lt;= 1, "0-1 Calls", IF(#REF! &lt;= 3, "2-3 Calls", IF(#REF! &lt;=5, "4-5 Calls", "6+ Calls")))</f>
        <v>#REF!</v>
      </c>
      <c r="X3496" t="e">
        <f>IF(#REF! &lt;= 50, "0-50", IF(#REF! &lt;=100, "51-100", IF(#REF! &lt;= 150, "101-150", "151+")))</f>
        <v>#REF!</v>
      </c>
      <c r="Y3496" t="e">
        <f>IF(#REF! &lt;= 3, "Low Charges", "High Charges")</f>
        <v>#REF!</v>
      </c>
      <c r="Z3496" t="e">
        <f>IF(#REF!&lt;=80,"Low Calls",
IF(#REF!&lt;=120,"Medium Calls","High Calls"))</f>
        <v>#REF!</v>
      </c>
      <c r="AA3496" t="e">
        <f>IF(#REF!&lt;=15,"Low Charges",
IF(#REF!&lt;=20,"Medium Charges","High Charges"))</f>
        <v>#REF!</v>
      </c>
      <c r="AB3496" t="e">
        <f>IF(AND(#REF!&gt;180, #REF!&gt;200), "Heavy Doemstic User", IF(#REF!&gt;10, "Interntional User", IF(AND(#REF!&lt;180, #REF!&lt;200,#REF!&lt;200), "Light User", "Balanced User")))</f>
        <v>#REF!</v>
      </c>
      <c r="AC3496" t="e">
        <f>IF(#REF! = 0, "No Usage", IF(#REF! &lt;= 20, "Low Usage", IF(#REF! &lt;= 40, "Medium Usgae", "High Usage")))</f>
        <v>#REF!</v>
      </c>
      <c r="AD3496" t="e">
        <f>IF(#REF!&lt;=150,"Low Usage", IF(#REF!&lt;=200,"Medium Usage", IF(#REF!&lt;=250,"High Usage","Very High Usage")))</f>
        <v>#REF!</v>
      </c>
      <c r="AE3496" t="e">
        <f>IF(#REF!&lt;=5,"Low Calls", IF(#REF!&lt;=10, "Medium Calls", "High Calls"))</f>
        <v>#REF!</v>
      </c>
      <c r="AF3496" t="e">
        <f xml:space="preserve">
IF(#REF!&gt;=4,4,0)+
IF(#REF!="yes",3,0)+
IF(#REF!="High Charges",3,0)+
IF(#REF!&gt;250,4,0)+
IF(#REF!="no",1,0)+
IF(#REF!="Heavy Domestic User",2,0)</f>
        <v>#REF!</v>
      </c>
      <c r="AG3496" t="e">
        <f>IF(#REF!&gt;=10,"High Risk", IF(#REF!&gt;=5,"Medium Risk","Low Risk"))</f>
        <v>#REF!</v>
      </c>
      <c r="AH3496" t="e">
        <f>#REF! + #REF! + #REF! + #REF!</f>
        <v>#REF!</v>
      </c>
    </row>
    <row r="3497" spans="1:34" x14ac:dyDescent="0.35">
      <c r="A3497">
        <v>3496</v>
      </c>
      <c r="B3497" t="s">
        <v>42</v>
      </c>
      <c r="C3497">
        <v>132</v>
      </c>
      <c r="D3497" t="s">
        <v>25</v>
      </c>
      <c r="E3497" t="s">
        <v>23</v>
      </c>
      <c r="F3497" t="s">
        <v>23</v>
      </c>
      <c r="G3497">
        <v>21</v>
      </c>
      <c r="H3497">
        <v>223.4</v>
      </c>
      <c r="I3497">
        <v>89</v>
      </c>
      <c r="J3497">
        <v>37.979999999999997</v>
      </c>
      <c r="K3497">
        <v>193.2</v>
      </c>
      <c r="L3497">
        <v>105</v>
      </c>
      <c r="M3497">
        <v>16.420000000000002</v>
      </c>
      <c r="N3497">
        <v>226.2</v>
      </c>
      <c r="O3497">
        <v>85</v>
      </c>
      <c r="P3497">
        <v>10.18</v>
      </c>
      <c r="Q3497">
        <v>7.7</v>
      </c>
      <c r="R3497">
        <v>5</v>
      </c>
      <c r="S3497">
        <v>2.08</v>
      </c>
      <c r="T3497">
        <v>3</v>
      </c>
      <c r="U3497" t="s">
        <v>22</v>
      </c>
      <c r="V3497" t="e">
        <f>IF(#REF! = "yes", 1, 0)</f>
        <v>#REF!</v>
      </c>
      <c r="W3497" t="e">
        <f>IF(#REF! &lt;= 1, "0-1 Calls", IF(#REF! &lt;= 3, "2-3 Calls", IF(#REF! &lt;=5, "4-5 Calls", "6+ Calls")))</f>
        <v>#REF!</v>
      </c>
      <c r="X3497" t="e">
        <f>IF(#REF! &lt;= 50, "0-50", IF(#REF! &lt;=100, "51-100", IF(#REF! &lt;= 150, "101-150", "151+")))</f>
        <v>#REF!</v>
      </c>
      <c r="Y3497" t="e">
        <f>IF(#REF! &lt;= 3, "Low Charges", "High Charges")</f>
        <v>#REF!</v>
      </c>
      <c r="Z3497" t="e">
        <f>IF(#REF!&lt;=80,"Low Calls",
IF(#REF!&lt;=120,"Medium Calls","High Calls"))</f>
        <v>#REF!</v>
      </c>
      <c r="AA3497" t="e">
        <f>IF(#REF!&lt;=15,"Low Charges",
IF(#REF!&lt;=20,"Medium Charges","High Charges"))</f>
        <v>#REF!</v>
      </c>
      <c r="AB3497" t="e">
        <f>IF(AND(#REF!&gt;180, #REF!&gt;200), "Heavy Doemstic User", IF(#REF!&gt;10, "Interntional User", IF(AND(#REF!&lt;180, #REF!&lt;200,#REF!&lt;200), "Light User", "Balanced User")))</f>
        <v>#REF!</v>
      </c>
      <c r="AC3497" t="e">
        <f>IF(#REF! = 0, "No Usage", IF(#REF! &lt;= 20, "Low Usage", IF(#REF! &lt;= 40, "Medium Usgae", "High Usage")))</f>
        <v>#REF!</v>
      </c>
      <c r="AD3497" t="e">
        <f>IF(#REF!&lt;=150,"Low Usage", IF(#REF!&lt;=200,"Medium Usage", IF(#REF!&lt;=250,"High Usage","Very High Usage")))</f>
        <v>#REF!</v>
      </c>
      <c r="AE3497" t="e">
        <f>IF(#REF!&lt;=5,"Low Calls", IF(#REF!&lt;=10, "Medium Calls", "High Calls"))</f>
        <v>#REF!</v>
      </c>
      <c r="AF3497" t="e">
        <f xml:space="preserve">
IF(#REF!&gt;=4,4,0)+
IF(#REF!="yes",3,0)+
IF(#REF!="High Charges",3,0)+
IF(#REF!&gt;250,4,0)+
IF(#REF!="no",1,0)+
IF(#REF!="Heavy Domestic User",2,0)</f>
        <v>#REF!</v>
      </c>
      <c r="AG3497" t="e">
        <f>IF(#REF!&gt;=10,"High Risk", IF(#REF!&gt;=5,"Medium Risk","Low Risk"))</f>
        <v>#REF!</v>
      </c>
      <c r="AH3497" t="e">
        <f>#REF! + #REF! + #REF! + #REF!</f>
        <v>#REF!</v>
      </c>
    </row>
    <row r="3498" spans="1:34" x14ac:dyDescent="0.35">
      <c r="A3498">
        <v>3497</v>
      </c>
      <c r="B3498" t="s">
        <v>66</v>
      </c>
      <c r="C3498">
        <v>120</v>
      </c>
      <c r="D3498" t="s">
        <v>28</v>
      </c>
      <c r="E3498" t="s">
        <v>22</v>
      </c>
      <c r="F3498" t="s">
        <v>22</v>
      </c>
      <c r="G3498">
        <v>0</v>
      </c>
      <c r="H3498">
        <v>163.6</v>
      </c>
      <c r="I3498">
        <v>109</v>
      </c>
      <c r="J3498">
        <v>27.81</v>
      </c>
      <c r="K3498">
        <v>237.3</v>
      </c>
      <c r="L3498">
        <v>95</v>
      </c>
      <c r="M3498">
        <v>20.170000000000002</v>
      </c>
      <c r="N3498">
        <v>186.2</v>
      </c>
      <c r="O3498">
        <v>141</v>
      </c>
      <c r="P3498">
        <v>8.3800000000000008</v>
      </c>
      <c r="Q3498">
        <v>12.3</v>
      </c>
      <c r="R3498">
        <v>5</v>
      </c>
      <c r="S3498">
        <v>3.32</v>
      </c>
      <c r="T3498">
        <v>0</v>
      </c>
      <c r="U3498" t="s">
        <v>22</v>
      </c>
      <c r="V3498" t="e">
        <f>IF(#REF! = "yes", 1, 0)</f>
        <v>#REF!</v>
      </c>
      <c r="W3498" t="e">
        <f>IF(#REF! &lt;= 1, "0-1 Calls", IF(#REF! &lt;= 3, "2-3 Calls", IF(#REF! &lt;=5, "4-5 Calls", "6+ Calls")))</f>
        <v>#REF!</v>
      </c>
      <c r="X3498" t="e">
        <f>IF(#REF! &lt;= 50, "0-50", IF(#REF! &lt;=100, "51-100", IF(#REF! &lt;= 150, "101-150", "151+")))</f>
        <v>#REF!</v>
      </c>
      <c r="Y3498" t="e">
        <f>IF(#REF! &lt;= 3, "Low Charges", "High Charges")</f>
        <v>#REF!</v>
      </c>
      <c r="Z3498" t="e">
        <f>IF(#REF!&lt;=80,"Low Calls",
IF(#REF!&lt;=120,"Medium Calls","High Calls"))</f>
        <v>#REF!</v>
      </c>
      <c r="AA3498" t="e">
        <f>IF(#REF!&lt;=15,"Low Charges",
IF(#REF!&lt;=20,"Medium Charges","High Charges"))</f>
        <v>#REF!</v>
      </c>
      <c r="AB3498" t="e">
        <f>IF(AND(#REF!&gt;180, #REF!&gt;200), "Heavy Doemstic User", IF(#REF!&gt;10, "Interntional User", IF(AND(#REF!&lt;180, #REF!&lt;200,#REF!&lt;200), "Light User", "Balanced User")))</f>
        <v>#REF!</v>
      </c>
      <c r="AC3498" t="e">
        <f>IF(#REF! = 0, "No Usage", IF(#REF! &lt;= 20, "Low Usage", IF(#REF! &lt;= 40, "Medium Usgae", "High Usage")))</f>
        <v>#REF!</v>
      </c>
      <c r="AD3498" t="e">
        <f>IF(#REF!&lt;=150,"Low Usage", IF(#REF!&lt;=200,"Medium Usage", IF(#REF!&lt;=250,"High Usage","Very High Usage")))</f>
        <v>#REF!</v>
      </c>
      <c r="AE3498" t="e">
        <f>IF(#REF!&lt;=5,"Low Calls", IF(#REF!&lt;=10, "Medium Calls", "High Calls"))</f>
        <v>#REF!</v>
      </c>
      <c r="AF3498" t="e">
        <f xml:space="preserve">
IF(#REF!&gt;=4,4,0)+
IF(#REF!="yes",3,0)+
IF(#REF!="High Charges",3,0)+
IF(#REF!&gt;250,4,0)+
IF(#REF!="no",1,0)+
IF(#REF!="Heavy Domestic User",2,0)</f>
        <v>#REF!</v>
      </c>
      <c r="AG3498" t="e">
        <f>IF(#REF!&gt;=10,"High Risk", IF(#REF!&gt;=5,"Medium Risk","Low Risk"))</f>
        <v>#REF!</v>
      </c>
      <c r="AH3498" t="e">
        <f>#REF! + #REF! + #REF! + #REF!</f>
        <v>#REF!</v>
      </c>
    </row>
    <row r="3499" spans="1:34" x14ac:dyDescent="0.35">
      <c r="A3499">
        <v>3498</v>
      </c>
      <c r="B3499" t="s">
        <v>35</v>
      </c>
      <c r="C3499">
        <v>122</v>
      </c>
      <c r="D3499" t="s">
        <v>28</v>
      </c>
      <c r="E3499" t="s">
        <v>22</v>
      </c>
      <c r="F3499" t="s">
        <v>22</v>
      </c>
      <c r="G3499">
        <v>0</v>
      </c>
      <c r="H3499">
        <v>190</v>
      </c>
      <c r="I3499">
        <v>125</v>
      </c>
      <c r="J3499">
        <v>32.299999999999997</v>
      </c>
      <c r="K3499">
        <v>141.5</v>
      </c>
      <c r="L3499">
        <v>77</v>
      </c>
      <c r="M3499">
        <v>12.03</v>
      </c>
      <c r="N3499">
        <v>216.8</v>
      </c>
      <c r="O3499">
        <v>68</v>
      </c>
      <c r="P3499">
        <v>9.76</v>
      </c>
      <c r="Q3499">
        <v>15.9</v>
      </c>
      <c r="R3499">
        <v>3</v>
      </c>
      <c r="S3499">
        <v>4.29</v>
      </c>
      <c r="T3499">
        <v>3</v>
      </c>
      <c r="U3499" t="s">
        <v>22</v>
      </c>
      <c r="V3499" t="e">
        <f>IF(#REF! = "yes", 1, 0)</f>
        <v>#REF!</v>
      </c>
      <c r="W3499" t="e">
        <f>IF(#REF! &lt;= 1, "0-1 Calls", IF(#REF! &lt;= 3, "2-3 Calls", IF(#REF! &lt;=5, "4-5 Calls", "6+ Calls")))</f>
        <v>#REF!</v>
      </c>
      <c r="X3499" t="e">
        <f>IF(#REF! &lt;= 50, "0-50", IF(#REF! &lt;=100, "51-100", IF(#REF! &lt;= 150, "101-150", "151+")))</f>
        <v>#REF!</v>
      </c>
      <c r="Y3499" t="e">
        <f>IF(#REF! &lt;= 3, "Low Charges", "High Charges")</f>
        <v>#REF!</v>
      </c>
      <c r="Z3499" t="e">
        <f>IF(#REF!&lt;=80,"Low Calls",
IF(#REF!&lt;=120,"Medium Calls","High Calls"))</f>
        <v>#REF!</v>
      </c>
      <c r="AA3499" t="e">
        <f>IF(#REF!&lt;=15,"Low Charges",
IF(#REF!&lt;=20,"Medium Charges","High Charges"))</f>
        <v>#REF!</v>
      </c>
      <c r="AB3499" t="e">
        <f>IF(AND(#REF!&gt;180, #REF!&gt;200), "Heavy Doemstic User", IF(#REF!&gt;10, "Interntional User", IF(AND(#REF!&lt;180, #REF!&lt;200,#REF!&lt;200), "Light User", "Balanced User")))</f>
        <v>#REF!</v>
      </c>
      <c r="AC3499" t="e">
        <f>IF(#REF! = 0, "No Usage", IF(#REF! &lt;= 20, "Low Usage", IF(#REF! &lt;= 40, "Medium Usgae", "High Usage")))</f>
        <v>#REF!</v>
      </c>
      <c r="AD3499" t="e">
        <f>IF(#REF!&lt;=150,"Low Usage", IF(#REF!&lt;=200,"Medium Usage", IF(#REF!&lt;=250,"High Usage","Very High Usage")))</f>
        <v>#REF!</v>
      </c>
      <c r="AE3499" t="e">
        <f>IF(#REF!&lt;=5,"Low Calls", IF(#REF!&lt;=10, "Medium Calls", "High Calls"))</f>
        <v>#REF!</v>
      </c>
      <c r="AF3499" t="e">
        <f xml:space="preserve">
IF(#REF!&gt;=4,4,0)+
IF(#REF!="yes",3,0)+
IF(#REF!="High Charges",3,0)+
IF(#REF!&gt;250,4,0)+
IF(#REF!="no",1,0)+
IF(#REF!="Heavy Domestic User",2,0)</f>
        <v>#REF!</v>
      </c>
      <c r="AG3499" t="e">
        <f>IF(#REF!&gt;=10,"High Risk", IF(#REF!&gt;=5,"Medium Risk","Low Risk"))</f>
        <v>#REF!</v>
      </c>
      <c r="AH3499" t="e">
        <f>#REF! + #REF! + #REF! + #REF!</f>
        <v>#REF!</v>
      </c>
    </row>
    <row r="3500" spans="1:34" x14ac:dyDescent="0.35">
      <c r="A3500">
        <v>3499</v>
      </c>
      <c r="B3500" t="s">
        <v>26</v>
      </c>
      <c r="C3500">
        <v>52</v>
      </c>
      <c r="D3500" t="s">
        <v>28</v>
      </c>
      <c r="E3500" t="s">
        <v>22</v>
      </c>
      <c r="F3500" t="s">
        <v>22</v>
      </c>
      <c r="G3500">
        <v>0</v>
      </c>
      <c r="H3500">
        <v>153.69999999999999</v>
      </c>
      <c r="I3500">
        <v>100</v>
      </c>
      <c r="J3500">
        <v>26.13</v>
      </c>
      <c r="K3500">
        <v>174.2</v>
      </c>
      <c r="L3500">
        <v>139</v>
      </c>
      <c r="M3500">
        <v>14.81</v>
      </c>
      <c r="N3500">
        <v>242.3</v>
      </c>
      <c r="O3500">
        <v>53</v>
      </c>
      <c r="P3500">
        <v>10.9</v>
      </c>
      <c r="Q3500">
        <v>14.1</v>
      </c>
      <c r="R3500">
        <v>3</v>
      </c>
      <c r="S3500">
        <v>3.81</v>
      </c>
      <c r="T3500">
        <v>1</v>
      </c>
      <c r="U3500" t="s">
        <v>22</v>
      </c>
      <c r="V3500" t="e">
        <f>IF(#REF! = "yes", 1, 0)</f>
        <v>#REF!</v>
      </c>
      <c r="W3500" t="e">
        <f>IF(#REF! &lt;= 1, "0-1 Calls", IF(#REF! &lt;= 3, "2-3 Calls", IF(#REF! &lt;=5, "4-5 Calls", "6+ Calls")))</f>
        <v>#REF!</v>
      </c>
      <c r="X3500" t="e">
        <f>IF(#REF! &lt;= 50, "0-50", IF(#REF! &lt;=100, "51-100", IF(#REF! &lt;= 150, "101-150", "151+")))</f>
        <v>#REF!</v>
      </c>
      <c r="Y3500" t="e">
        <f>IF(#REF! &lt;= 3, "Low Charges", "High Charges")</f>
        <v>#REF!</v>
      </c>
      <c r="Z3500" t="e">
        <f>IF(#REF!&lt;=80,"Low Calls",
IF(#REF!&lt;=120,"Medium Calls","High Calls"))</f>
        <v>#REF!</v>
      </c>
      <c r="AA3500" t="e">
        <f>IF(#REF!&lt;=15,"Low Charges",
IF(#REF!&lt;=20,"Medium Charges","High Charges"))</f>
        <v>#REF!</v>
      </c>
      <c r="AB3500" t="e">
        <f>IF(AND(#REF!&gt;180, #REF!&gt;200), "Heavy Doemstic User", IF(#REF!&gt;10, "Interntional User", IF(AND(#REF!&lt;180, #REF!&lt;200,#REF!&lt;200), "Light User", "Balanced User")))</f>
        <v>#REF!</v>
      </c>
      <c r="AC3500" t="e">
        <f>IF(#REF! = 0, "No Usage", IF(#REF! &lt;= 20, "Low Usage", IF(#REF! &lt;= 40, "Medium Usgae", "High Usage")))</f>
        <v>#REF!</v>
      </c>
      <c r="AD3500" t="e">
        <f>IF(#REF!&lt;=150,"Low Usage", IF(#REF!&lt;=200,"Medium Usage", IF(#REF!&lt;=250,"High Usage","Very High Usage")))</f>
        <v>#REF!</v>
      </c>
      <c r="AE3500" t="e">
        <f>IF(#REF!&lt;=5,"Low Calls", IF(#REF!&lt;=10, "Medium Calls", "High Calls"))</f>
        <v>#REF!</v>
      </c>
      <c r="AF3500" t="e">
        <f xml:space="preserve">
IF(#REF!&gt;=4,4,0)+
IF(#REF!="yes",3,0)+
IF(#REF!="High Charges",3,0)+
IF(#REF!&gt;250,4,0)+
IF(#REF!="no",1,0)+
IF(#REF!="Heavy Domestic User",2,0)</f>
        <v>#REF!</v>
      </c>
      <c r="AG3500" t="e">
        <f>IF(#REF!&gt;=10,"High Risk", IF(#REF!&gt;=5,"Medium Risk","Low Risk"))</f>
        <v>#REF!</v>
      </c>
      <c r="AH3500" t="e">
        <f>#REF! + #REF! + #REF! + #REF!</f>
        <v>#REF!</v>
      </c>
    </row>
    <row r="3501" spans="1:34" x14ac:dyDescent="0.35">
      <c r="A3501">
        <v>3500</v>
      </c>
      <c r="B3501" t="s">
        <v>64</v>
      </c>
      <c r="C3501">
        <v>182</v>
      </c>
      <c r="D3501" t="s">
        <v>21</v>
      </c>
      <c r="E3501" t="s">
        <v>22</v>
      </c>
      <c r="F3501" t="s">
        <v>22</v>
      </c>
      <c r="G3501">
        <v>0</v>
      </c>
      <c r="H3501">
        <v>160.30000000000001</v>
      </c>
      <c r="I3501">
        <v>87</v>
      </c>
      <c r="J3501">
        <v>27.25</v>
      </c>
      <c r="K3501">
        <v>229.9</v>
      </c>
      <c r="L3501">
        <v>101</v>
      </c>
      <c r="M3501">
        <v>19.54</v>
      </c>
      <c r="N3501">
        <v>185.3</v>
      </c>
      <c r="O3501">
        <v>96</v>
      </c>
      <c r="P3501">
        <v>8.34</v>
      </c>
      <c r="Q3501">
        <v>8.6999999999999993</v>
      </c>
      <c r="R3501">
        <v>11</v>
      </c>
      <c r="S3501">
        <v>2.35</v>
      </c>
      <c r="T3501">
        <v>2</v>
      </c>
      <c r="U3501" t="s">
        <v>22</v>
      </c>
      <c r="V3501" t="e">
        <f>IF(#REF! = "yes", 1, 0)</f>
        <v>#REF!</v>
      </c>
      <c r="W3501" t="e">
        <f>IF(#REF! &lt;= 1, "0-1 Calls", IF(#REF! &lt;= 3, "2-3 Calls", IF(#REF! &lt;=5, "4-5 Calls", "6+ Calls")))</f>
        <v>#REF!</v>
      </c>
      <c r="X3501" t="e">
        <f>IF(#REF! &lt;= 50, "0-50", IF(#REF! &lt;=100, "51-100", IF(#REF! &lt;= 150, "101-150", "151+")))</f>
        <v>#REF!</v>
      </c>
      <c r="Y3501" t="e">
        <f>IF(#REF! &lt;= 3, "Low Charges", "High Charges")</f>
        <v>#REF!</v>
      </c>
      <c r="Z3501" t="e">
        <f>IF(#REF!&lt;=80,"Low Calls",
IF(#REF!&lt;=120,"Medium Calls","High Calls"))</f>
        <v>#REF!</v>
      </c>
      <c r="AA3501" t="e">
        <f>IF(#REF!&lt;=15,"Low Charges",
IF(#REF!&lt;=20,"Medium Charges","High Charges"))</f>
        <v>#REF!</v>
      </c>
      <c r="AB3501" t="e">
        <f>IF(AND(#REF!&gt;180, #REF!&gt;200), "Heavy Doemstic User", IF(#REF!&gt;10, "Interntional User", IF(AND(#REF!&lt;180, #REF!&lt;200,#REF!&lt;200), "Light User", "Balanced User")))</f>
        <v>#REF!</v>
      </c>
      <c r="AC3501" t="e">
        <f>IF(#REF! = 0, "No Usage", IF(#REF! &lt;= 20, "Low Usage", IF(#REF! &lt;= 40, "Medium Usgae", "High Usage")))</f>
        <v>#REF!</v>
      </c>
      <c r="AD3501" t="e">
        <f>IF(#REF!&lt;=150,"Low Usage", IF(#REF!&lt;=200,"Medium Usage", IF(#REF!&lt;=250,"High Usage","Very High Usage")))</f>
        <v>#REF!</v>
      </c>
      <c r="AE3501" t="e">
        <f>IF(#REF!&lt;=5,"Low Calls", IF(#REF!&lt;=10, "Medium Calls", "High Calls"))</f>
        <v>#REF!</v>
      </c>
      <c r="AF3501" t="e">
        <f xml:space="preserve">
IF(#REF!&gt;=4,4,0)+
IF(#REF!="yes",3,0)+
IF(#REF!="High Charges",3,0)+
IF(#REF!&gt;250,4,0)+
IF(#REF!="no",1,0)+
IF(#REF!="Heavy Domestic User",2,0)</f>
        <v>#REF!</v>
      </c>
      <c r="AG3501" t="e">
        <f>IF(#REF!&gt;=10,"High Risk", IF(#REF!&gt;=5,"Medium Risk","Low Risk"))</f>
        <v>#REF!</v>
      </c>
      <c r="AH3501" t="e">
        <f>#REF! + #REF! + #REF! + #REF!</f>
        <v>#REF!</v>
      </c>
    </row>
    <row r="3502" spans="1:34" x14ac:dyDescent="0.35">
      <c r="A3502">
        <v>3501</v>
      </c>
      <c r="B3502" t="s">
        <v>37</v>
      </c>
      <c r="C3502">
        <v>130</v>
      </c>
      <c r="D3502" t="s">
        <v>28</v>
      </c>
      <c r="E3502" t="s">
        <v>22</v>
      </c>
      <c r="F3502" t="s">
        <v>22</v>
      </c>
      <c r="G3502">
        <v>0</v>
      </c>
      <c r="H3502">
        <v>140.9</v>
      </c>
      <c r="I3502">
        <v>68</v>
      </c>
      <c r="J3502">
        <v>23.95</v>
      </c>
      <c r="K3502">
        <v>217.5</v>
      </c>
      <c r="L3502">
        <v>109</v>
      </c>
      <c r="M3502">
        <v>18.489999999999998</v>
      </c>
      <c r="N3502">
        <v>123.6</v>
      </c>
      <c r="O3502">
        <v>96</v>
      </c>
      <c r="P3502">
        <v>5.56</v>
      </c>
      <c r="Q3502">
        <v>13.6</v>
      </c>
      <c r="R3502">
        <v>4</v>
      </c>
      <c r="S3502">
        <v>3.67</v>
      </c>
      <c r="T3502">
        <v>3</v>
      </c>
      <c r="U3502" t="s">
        <v>22</v>
      </c>
      <c r="V3502" t="e">
        <f>IF(#REF! = "yes", 1, 0)</f>
        <v>#REF!</v>
      </c>
      <c r="W3502" t="e">
        <f>IF(#REF! &lt;= 1, "0-1 Calls", IF(#REF! &lt;= 3, "2-3 Calls", IF(#REF! &lt;=5, "4-5 Calls", "6+ Calls")))</f>
        <v>#REF!</v>
      </c>
      <c r="X3502" t="e">
        <f>IF(#REF! &lt;= 50, "0-50", IF(#REF! &lt;=100, "51-100", IF(#REF! &lt;= 150, "101-150", "151+")))</f>
        <v>#REF!</v>
      </c>
      <c r="Y3502" t="e">
        <f>IF(#REF! &lt;= 3, "Low Charges", "High Charges")</f>
        <v>#REF!</v>
      </c>
      <c r="Z3502" t="e">
        <f>IF(#REF!&lt;=80,"Low Calls",
IF(#REF!&lt;=120,"Medium Calls","High Calls"))</f>
        <v>#REF!</v>
      </c>
      <c r="AA3502" t="e">
        <f>IF(#REF!&lt;=15,"Low Charges",
IF(#REF!&lt;=20,"Medium Charges","High Charges"))</f>
        <v>#REF!</v>
      </c>
      <c r="AB3502" t="e">
        <f>IF(AND(#REF!&gt;180, #REF!&gt;200), "Heavy Doemstic User", IF(#REF!&gt;10, "Interntional User", IF(AND(#REF!&lt;180, #REF!&lt;200,#REF!&lt;200), "Light User", "Balanced User")))</f>
        <v>#REF!</v>
      </c>
      <c r="AC3502" t="e">
        <f>IF(#REF! = 0, "No Usage", IF(#REF! &lt;= 20, "Low Usage", IF(#REF! &lt;= 40, "Medium Usgae", "High Usage")))</f>
        <v>#REF!</v>
      </c>
      <c r="AD3502" t="e">
        <f>IF(#REF!&lt;=150,"Low Usage", IF(#REF!&lt;=200,"Medium Usage", IF(#REF!&lt;=250,"High Usage","Very High Usage")))</f>
        <v>#REF!</v>
      </c>
      <c r="AE3502" t="e">
        <f>IF(#REF!&lt;=5,"Low Calls", IF(#REF!&lt;=10, "Medium Calls", "High Calls"))</f>
        <v>#REF!</v>
      </c>
      <c r="AF3502" t="e">
        <f xml:space="preserve">
IF(#REF!&gt;=4,4,0)+
IF(#REF!="yes",3,0)+
IF(#REF!="High Charges",3,0)+
IF(#REF!&gt;250,4,0)+
IF(#REF!="no",1,0)+
IF(#REF!="Heavy Domestic User",2,0)</f>
        <v>#REF!</v>
      </c>
      <c r="AG3502" t="e">
        <f>IF(#REF!&gt;=10,"High Risk", IF(#REF!&gt;=5,"Medium Risk","Low Risk"))</f>
        <v>#REF!</v>
      </c>
      <c r="AH3502" t="e">
        <f>#REF! + #REF! + #REF! + #REF!</f>
        <v>#REF!</v>
      </c>
    </row>
    <row r="3503" spans="1:34" x14ac:dyDescent="0.35">
      <c r="A3503">
        <v>3502</v>
      </c>
      <c r="B3503" t="s">
        <v>43</v>
      </c>
      <c r="C3503">
        <v>106</v>
      </c>
      <c r="D3503" t="s">
        <v>28</v>
      </c>
      <c r="E3503" t="s">
        <v>22</v>
      </c>
      <c r="F3503" t="s">
        <v>22</v>
      </c>
      <c r="G3503">
        <v>0</v>
      </c>
      <c r="H3503">
        <v>168.4</v>
      </c>
      <c r="I3503">
        <v>85</v>
      </c>
      <c r="J3503">
        <v>28.63</v>
      </c>
      <c r="K3503">
        <v>123.3</v>
      </c>
      <c r="L3503">
        <v>95</v>
      </c>
      <c r="M3503">
        <v>10.48</v>
      </c>
      <c r="N3503">
        <v>162.5</v>
      </c>
      <c r="O3503">
        <v>83</v>
      </c>
      <c r="P3503">
        <v>7.31</v>
      </c>
      <c r="Q3503">
        <v>4.5999999999999996</v>
      </c>
      <c r="R3503">
        <v>4</v>
      </c>
      <c r="S3503">
        <v>1.24</v>
      </c>
      <c r="T3503">
        <v>3</v>
      </c>
      <c r="U3503" t="s">
        <v>22</v>
      </c>
      <c r="V3503" t="e">
        <f>IF(#REF! = "yes", 1, 0)</f>
        <v>#REF!</v>
      </c>
      <c r="W3503" t="e">
        <f>IF(#REF! &lt;= 1, "0-1 Calls", IF(#REF! &lt;= 3, "2-3 Calls", IF(#REF! &lt;=5, "4-5 Calls", "6+ Calls")))</f>
        <v>#REF!</v>
      </c>
      <c r="X3503" t="e">
        <f>IF(#REF! &lt;= 50, "0-50", IF(#REF! &lt;=100, "51-100", IF(#REF! &lt;= 150, "101-150", "151+")))</f>
        <v>#REF!</v>
      </c>
      <c r="Y3503" t="e">
        <f>IF(#REF! &lt;= 3, "Low Charges", "High Charges")</f>
        <v>#REF!</v>
      </c>
      <c r="Z3503" t="e">
        <f>IF(#REF!&lt;=80,"Low Calls",
IF(#REF!&lt;=120,"Medium Calls","High Calls"))</f>
        <v>#REF!</v>
      </c>
      <c r="AA3503" t="e">
        <f>IF(#REF!&lt;=15,"Low Charges",
IF(#REF!&lt;=20,"Medium Charges","High Charges"))</f>
        <v>#REF!</v>
      </c>
      <c r="AB3503" t="e">
        <f>IF(AND(#REF!&gt;180, #REF!&gt;200), "Heavy Doemstic User", IF(#REF!&gt;10, "Interntional User", IF(AND(#REF!&lt;180, #REF!&lt;200,#REF!&lt;200), "Light User", "Balanced User")))</f>
        <v>#REF!</v>
      </c>
      <c r="AC3503" t="e">
        <f>IF(#REF! = 0, "No Usage", IF(#REF! &lt;= 20, "Low Usage", IF(#REF! &lt;= 40, "Medium Usgae", "High Usage")))</f>
        <v>#REF!</v>
      </c>
      <c r="AD3503" t="e">
        <f>IF(#REF!&lt;=150,"Low Usage", IF(#REF!&lt;=200,"Medium Usage", IF(#REF!&lt;=250,"High Usage","Very High Usage")))</f>
        <v>#REF!</v>
      </c>
      <c r="AE3503" t="e">
        <f>IF(#REF!&lt;=5,"Low Calls", IF(#REF!&lt;=10, "Medium Calls", "High Calls"))</f>
        <v>#REF!</v>
      </c>
      <c r="AF3503" t="e">
        <f xml:space="preserve">
IF(#REF!&gt;=4,4,0)+
IF(#REF!="yes",3,0)+
IF(#REF!="High Charges",3,0)+
IF(#REF!&gt;250,4,0)+
IF(#REF!="no",1,0)+
IF(#REF!="Heavy Domestic User",2,0)</f>
        <v>#REF!</v>
      </c>
      <c r="AG3503" t="e">
        <f>IF(#REF!&gt;=10,"High Risk", IF(#REF!&gt;=5,"Medium Risk","Low Risk"))</f>
        <v>#REF!</v>
      </c>
      <c r="AH3503" t="e">
        <f>#REF! + #REF! + #REF! + #REF!</f>
        <v>#REF!</v>
      </c>
    </row>
    <row r="3504" spans="1:34" x14ac:dyDescent="0.35">
      <c r="A3504">
        <v>3503</v>
      </c>
      <c r="B3504" t="s">
        <v>27</v>
      </c>
      <c r="C3504">
        <v>150</v>
      </c>
      <c r="D3504" t="s">
        <v>25</v>
      </c>
      <c r="E3504" t="s">
        <v>22</v>
      </c>
      <c r="F3504" t="s">
        <v>22</v>
      </c>
      <c r="G3504">
        <v>0</v>
      </c>
      <c r="H3504">
        <v>150.9</v>
      </c>
      <c r="I3504">
        <v>92</v>
      </c>
      <c r="J3504">
        <v>25.65</v>
      </c>
      <c r="K3504">
        <v>191</v>
      </c>
      <c r="L3504">
        <v>106</v>
      </c>
      <c r="M3504">
        <v>16.239999999999998</v>
      </c>
      <c r="N3504">
        <v>223.6</v>
      </c>
      <c r="O3504">
        <v>107</v>
      </c>
      <c r="P3504">
        <v>10.06</v>
      </c>
      <c r="Q3504">
        <v>8.3000000000000007</v>
      </c>
      <c r="R3504">
        <v>4</v>
      </c>
      <c r="S3504">
        <v>2.2400000000000002</v>
      </c>
      <c r="T3504">
        <v>5</v>
      </c>
      <c r="U3504" t="s">
        <v>23</v>
      </c>
      <c r="V3504" t="e">
        <f>IF(#REF! = "yes", 1, 0)</f>
        <v>#REF!</v>
      </c>
      <c r="W3504" t="e">
        <f>IF(#REF! &lt;= 1, "0-1 Calls", IF(#REF! &lt;= 3, "2-3 Calls", IF(#REF! &lt;=5, "4-5 Calls", "6+ Calls")))</f>
        <v>#REF!</v>
      </c>
      <c r="X3504" t="e">
        <f>IF(#REF! &lt;= 50, "0-50", IF(#REF! &lt;=100, "51-100", IF(#REF! &lt;= 150, "101-150", "151+")))</f>
        <v>#REF!</v>
      </c>
      <c r="Y3504" t="e">
        <f>IF(#REF! &lt;= 3, "Low Charges", "High Charges")</f>
        <v>#REF!</v>
      </c>
      <c r="Z3504" t="e">
        <f>IF(#REF!&lt;=80,"Low Calls",
IF(#REF!&lt;=120,"Medium Calls","High Calls"))</f>
        <v>#REF!</v>
      </c>
      <c r="AA3504" t="e">
        <f>IF(#REF!&lt;=15,"Low Charges",
IF(#REF!&lt;=20,"Medium Charges","High Charges"))</f>
        <v>#REF!</v>
      </c>
      <c r="AB3504" t="e">
        <f>IF(AND(#REF!&gt;180, #REF!&gt;200), "Heavy Doemstic User", IF(#REF!&gt;10, "Interntional User", IF(AND(#REF!&lt;180, #REF!&lt;200,#REF!&lt;200), "Light User", "Balanced User")))</f>
        <v>#REF!</v>
      </c>
      <c r="AC3504" t="e">
        <f>IF(#REF! = 0, "No Usage", IF(#REF! &lt;= 20, "Low Usage", IF(#REF! &lt;= 40, "Medium Usgae", "High Usage")))</f>
        <v>#REF!</v>
      </c>
      <c r="AD3504" t="e">
        <f>IF(#REF!&lt;=150,"Low Usage", IF(#REF!&lt;=200,"Medium Usage", IF(#REF!&lt;=250,"High Usage","Very High Usage")))</f>
        <v>#REF!</v>
      </c>
      <c r="AE3504" t="e">
        <f>IF(#REF!&lt;=5,"Low Calls", IF(#REF!&lt;=10, "Medium Calls", "High Calls"))</f>
        <v>#REF!</v>
      </c>
      <c r="AF3504" t="e">
        <f xml:space="preserve">
IF(#REF!&gt;=4,4,0)+
IF(#REF!="yes",3,0)+
IF(#REF!="High Charges",3,0)+
IF(#REF!&gt;250,4,0)+
IF(#REF!="no",1,0)+
IF(#REF!="Heavy Domestic User",2,0)</f>
        <v>#REF!</v>
      </c>
      <c r="AG3504" t="e">
        <f>IF(#REF!&gt;=10,"High Risk", IF(#REF!&gt;=5,"Medium Risk","Low Risk"))</f>
        <v>#REF!</v>
      </c>
      <c r="AH3504" t="e">
        <f>#REF! + #REF! + #REF! + #REF!</f>
        <v>#REF!</v>
      </c>
    </row>
    <row r="3505" spans="1:34" x14ac:dyDescent="0.35">
      <c r="A3505">
        <v>3504</v>
      </c>
      <c r="B3505" t="s">
        <v>26</v>
      </c>
      <c r="C3505">
        <v>94</v>
      </c>
      <c r="D3505" t="s">
        <v>21</v>
      </c>
      <c r="E3505" t="s">
        <v>22</v>
      </c>
      <c r="F3505" t="s">
        <v>22</v>
      </c>
      <c r="G3505">
        <v>0</v>
      </c>
      <c r="H3505">
        <v>255.1</v>
      </c>
      <c r="I3505">
        <v>96</v>
      </c>
      <c r="J3505">
        <v>43.37</v>
      </c>
      <c r="K3505">
        <v>276.89999999999998</v>
      </c>
      <c r="L3505">
        <v>67</v>
      </c>
      <c r="M3505">
        <v>23.54</v>
      </c>
      <c r="N3505">
        <v>226.5</v>
      </c>
      <c r="O3505">
        <v>74</v>
      </c>
      <c r="P3505">
        <v>10.19</v>
      </c>
      <c r="Q3505">
        <v>10.6</v>
      </c>
      <c r="R3505">
        <v>2</v>
      </c>
      <c r="S3505">
        <v>2.86</v>
      </c>
      <c r="T3505">
        <v>0</v>
      </c>
      <c r="U3505" t="s">
        <v>23</v>
      </c>
      <c r="V3505" t="e">
        <f>IF(#REF! = "yes", 1, 0)</f>
        <v>#REF!</v>
      </c>
      <c r="W3505" t="e">
        <f>IF(#REF! &lt;= 1, "0-1 Calls", IF(#REF! &lt;= 3, "2-3 Calls", IF(#REF! &lt;=5, "4-5 Calls", "6+ Calls")))</f>
        <v>#REF!</v>
      </c>
      <c r="X3505" t="e">
        <f>IF(#REF! &lt;= 50, "0-50", IF(#REF! &lt;=100, "51-100", IF(#REF! &lt;= 150, "101-150", "151+")))</f>
        <v>#REF!</v>
      </c>
      <c r="Y3505" t="e">
        <f>IF(#REF! &lt;= 3, "Low Charges", "High Charges")</f>
        <v>#REF!</v>
      </c>
      <c r="Z3505" t="e">
        <f>IF(#REF!&lt;=80,"Low Calls",
IF(#REF!&lt;=120,"Medium Calls","High Calls"))</f>
        <v>#REF!</v>
      </c>
      <c r="AA3505" t="e">
        <f>IF(#REF!&lt;=15,"Low Charges",
IF(#REF!&lt;=20,"Medium Charges","High Charges"))</f>
        <v>#REF!</v>
      </c>
      <c r="AB3505" t="e">
        <f>IF(AND(#REF!&gt;180, #REF!&gt;200), "Heavy Doemstic User", IF(#REF!&gt;10, "Interntional User", IF(AND(#REF!&lt;180, #REF!&lt;200,#REF!&lt;200), "Light User", "Balanced User")))</f>
        <v>#REF!</v>
      </c>
      <c r="AC3505" t="e">
        <f>IF(#REF! = 0, "No Usage", IF(#REF! &lt;= 20, "Low Usage", IF(#REF! &lt;= 40, "Medium Usgae", "High Usage")))</f>
        <v>#REF!</v>
      </c>
      <c r="AD3505" t="e">
        <f>IF(#REF!&lt;=150,"Low Usage", IF(#REF!&lt;=200,"Medium Usage", IF(#REF!&lt;=250,"High Usage","Very High Usage")))</f>
        <v>#REF!</v>
      </c>
      <c r="AE3505" t="e">
        <f>IF(#REF!&lt;=5,"Low Calls", IF(#REF!&lt;=10, "Medium Calls", "High Calls"))</f>
        <v>#REF!</v>
      </c>
      <c r="AF3505" t="e">
        <f xml:space="preserve">
IF(#REF!&gt;=4,4,0)+
IF(#REF!="yes",3,0)+
IF(#REF!="High Charges",3,0)+
IF(#REF!&gt;250,4,0)+
IF(#REF!="no",1,0)+
IF(#REF!="Heavy Domestic User",2,0)</f>
        <v>#REF!</v>
      </c>
      <c r="AG3505" t="e">
        <f>IF(#REF!&gt;=10,"High Risk", IF(#REF!&gt;=5,"Medium Risk","Low Risk"))</f>
        <v>#REF!</v>
      </c>
      <c r="AH3505" t="e">
        <f>#REF! + #REF! + #REF! + #REF!</f>
        <v>#REF!</v>
      </c>
    </row>
    <row r="3506" spans="1:34" x14ac:dyDescent="0.35">
      <c r="A3506">
        <v>3505</v>
      </c>
      <c r="B3506" t="s">
        <v>41</v>
      </c>
      <c r="C3506">
        <v>89</v>
      </c>
      <c r="D3506" t="s">
        <v>21</v>
      </c>
      <c r="E3506" t="s">
        <v>22</v>
      </c>
      <c r="F3506" t="s">
        <v>22</v>
      </c>
      <c r="G3506">
        <v>0</v>
      </c>
      <c r="H3506">
        <v>94.5</v>
      </c>
      <c r="I3506">
        <v>107</v>
      </c>
      <c r="J3506">
        <v>16.07</v>
      </c>
      <c r="K3506">
        <v>191.8</v>
      </c>
      <c r="L3506">
        <v>85</v>
      </c>
      <c r="M3506">
        <v>16.3</v>
      </c>
      <c r="N3506">
        <v>196.2</v>
      </c>
      <c r="O3506">
        <v>131</v>
      </c>
      <c r="P3506">
        <v>8.83</v>
      </c>
      <c r="Q3506">
        <v>15</v>
      </c>
      <c r="R3506">
        <v>5</v>
      </c>
      <c r="S3506">
        <v>4.05</v>
      </c>
      <c r="T3506">
        <v>1</v>
      </c>
      <c r="U3506" t="s">
        <v>22</v>
      </c>
      <c r="V3506" t="e">
        <f>IF(#REF! = "yes", 1, 0)</f>
        <v>#REF!</v>
      </c>
      <c r="W3506" t="e">
        <f>IF(#REF! &lt;= 1, "0-1 Calls", IF(#REF! &lt;= 3, "2-3 Calls", IF(#REF! &lt;=5, "4-5 Calls", "6+ Calls")))</f>
        <v>#REF!</v>
      </c>
      <c r="X3506" t="e">
        <f>IF(#REF! &lt;= 50, "0-50", IF(#REF! &lt;=100, "51-100", IF(#REF! &lt;= 150, "101-150", "151+")))</f>
        <v>#REF!</v>
      </c>
      <c r="Y3506" t="e">
        <f>IF(#REF! &lt;= 3, "Low Charges", "High Charges")</f>
        <v>#REF!</v>
      </c>
      <c r="Z3506" t="e">
        <f>IF(#REF!&lt;=80,"Low Calls",
IF(#REF!&lt;=120,"Medium Calls","High Calls"))</f>
        <v>#REF!</v>
      </c>
      <c r="AA3506" t="e">
        <f>IF(#REF!&lt;=15,"Low Charges",
IF(#REF!&lt;=20,"Medium Charges","High Charges"))</f>
        <v>#REF!</v>
      </c>
      <c r="AB3506" t="e">
        <f>IF(AND(#REF!&gt;180, #REF!&gt;200), "Heavy Doemstic User", IF(#REF!&gt;10, "Interntional User", IF(AND(#REF!&lt;180, #REF!&lt;200,#REF!&lt;200), "Light User", "Balanced User")))</f>
        <v>#REF!</v>
      </c>
      <c r="AC3506" t="e">
        <f>IF(#REF! = 0, "No Usage", IF(#REF! &lt;= 20, "Low Usage", IF(#REF! &lt;= 40, "Medium Usgae", "High Usage")))</f>
        <v>#REF!</v>
      </c>
      <c r="AD3506" t="e">
        <f>IF(#REF!&lt;=150,"Low Usage", IF(#REF!&lt;=200,"Medium Usage", IF(#REF!&lt;=250,"High Usage","Very High Usage")))</f>
        <v>#REF!</v>
      </c>
      <c r="AE3506" t="e">
        <f>IF(#REF!&lt;=5,"Low Calls", IF(#REF!&lt;=10, "Medium Calls", "High Calls"))</f>
        <v>#REF!</v>
      </c>
      <c r="AF3506" t="e">
        <f xml:space="preserve">
IF(#REF!&gt;=4,4,0)+
IF(#REF!="yes",3,0)+
IF(#REF!="High Charges",3,0)+
IF(#REF!&gt;250,4,0)+
IF(#REF!="no",1,0)+
IF(#REF!="Heavy Domestic User",2,0)</f>
        <v>#REF!</v>
      </c>
      <c r="AG3506" t="e">
        <f>IF(#REF!&gt;=10,"High Risk", IF(#REF!&gt;=5,"Medium Risk","Low Risk"))</f>
        <v>#REF!</v>
      </c>
      <c r="AH3506" t="e">
        <f>#REF! + #REF! + #REF! + #REF!</f>
        <v>#REF!</v>
      </c>
    </row>
    <row r="3507" spans="1:34" x14ac:dyDescent="0.35">
      <c r="A3507">
        <v>3506</v>
      </c>
      <c r="B3507" t="s">
        <v>59</v>
      </c>
      <c r="C3507">
        <v>45</v>
      </c>
      <c r="D3507" t="s">
        <v>21</v>
      </c>
      <c r="E3507" t="s">
        <v>22</v>
      </c>
      <c r="F3507" t="s">
        <v>22</v>
      </c>
      <c r="G3507">
        <v>0</v>
      </c>
      <c r="H3507">
        <v>135</v>
      </c>
      <c r="I3507">
        <v>116</v>
      </c>
      <c r="J3507">
        <v>22.95</v>
      </c>
      <c r="K3507">
        <v>159</v>
      </c>
      <c r="L3507">
        <v>108</v>
      </c>
      <c r="M3507">
        <v>13.52</v>
      </c>
      <c r="N3507">
        <v>170.3</v>
      </c>
      <c r="O3507">
        <v>130</v>
      </c>
      <c r="P3507">
        <v>7.66</v>
      </c>
      <c r="Q3507">
        <v>11.1</v>
      </c>
      <c r="R3507">
        <v>15</v>
      </c>
      <c r="S3507">
        <v>3</v>
      </c>
      <c r="T3507">
        <v>1</v>
      </c>
      <c r="U3507" t="s">
        <v>22</v>
      </c>
      <c r="V3507" t="e">
        <f>IF(#REF! = "yes", 1, 0)</f>
        <v>#REF!</v>
      </c>
      <c r="W3507" t="e">
        <f>IF(#REF! &lt;= 1, "0-1 Calls", IF(#REF! &lt;= 3, "2-3 Calls", IF(#REF! &lt;=5, "4-5 Calls", "6+ Calls")))</f>
        <v>#REF!</v>
      </c>
      <c r="X3507" t="e">
        <f>IF(#REF! &lt;= 50, "0-50", IF(#REF! &lt;=100, "51-100", IF(#REF! &lt;= 150, "101-150", "151+")))</f>
        <v>#REF!</v>
      </c>
      <c r="Y3507" t="e">
        <f>IF(#REF! &lt;= 3, "Low Charges", "High Charges")</f>
        <v>#REF!</v>
      </c>
      <c r="Z3507" t="e">
        <f>IF(#REF!&lt;=80,"Low Calls",
IF(#REF!&lt;=120,"Medium Calls","High Calls"))</f>
        <v>#REF!</v>
      </c>
      <c r="AA3507" t="e">
        <f>IF(#REF!&lt;=15,"Low Charges",
IF(#REF!&lt;=20,"Medium Charges","High Charges"))</f>
        <v>#REF!</v>
      </c>
      <c r="AB3507" t="e">
        <f>IF(AND(#REF!&gt;180, #REF!&gt;200), "Heavy Doemstic User", IF(#REF!&gt;10, "Interntional User", IF(AND(#REF!&lt;180, #REF!&lt;200,#REF!&lt;200), "Light User", "Balanced User")))</f>
        <v>#REF!</v>
      </c>
      <c r="AC3507" t="e">
        <f>IF(#REF! = 0, "No Usage", IF(#REF! &lt;= 20, "Low Usage", IF(#REF! &lt;= 40, "Medium Usgae", "High Usage")))</f>
        <v>#REF!</v>
      </c>
      <c r="AD3507" t="e">
        <f>IF(#REF!&lt;=150,"Low Usage", IF(#REF!&lt;=200,"Medium Usage", IF(#REF!&lt;=250,"High Usage","Very High Usage")))</f>
        <v>#REF!</v>
      </c>
      <c r="AE3507" t="e">
        <f>IF(#REF!&lt;=5,"Low Calls", IF(#REF!&lt;=10, "Medium Calls", "High Calls"))</f>
        <v>#REF!</v>
      </c>
      <c r="AF3507" t="e">
        <f xml:space="preserve">
IF(#REF!&gt;=4,4,0)+
IF(#REF!="yes",3,0)+
IF(#REF!="High Charges",3,0)+
IF(#REF!&gt;250,4,0)+
IF(#REF!="no",1,0)+
IF(#REF!="Heavy Domestic User",2,0)</f>
        <v>#REF!</v>
      </c>
      <c r="AG3507" t="e">
        <f>IF(#REF!&gt;=10,"High Risk", IF(#REF!&gt;=5,"Medium Risk","Low Risk"))</f>
        <v>#REF!</v>
      </c>
      <c r="AH3507" t="e">
        <f>#REF! + #REF! + #REF! + #REF!</f>
        <v>#REF!</v>
      </c>
    </row>
    <row r="3508" spans="1:34" x14ac:dyDescent="0.35">
      <c r="A3508">
        <v>3507</v>
      </c>
      <c r="B3508" t="s">
        <v>70</v>
      </c>
      <c r="C3508">
        <v>74</v>
      </c>
      <c r="D3508" t="s">
        <v>25</v>
      </c>
      <c r="E3508" t="s">
        <v>22</v>
      </c>
      <c r="F3508" t="s">
        <v>22</v>
      </c>
      <c r="G3508">
        <v>0</v>
      </c>
      <c r="H3508">
        <v>286.89999999999998</v>
      </c>
      <c r="I3508">
        <v>113</v>
      </c>
      <c r="J3508">
        <v>48.77</v>
      </c>
      <c r="K3508">
        <v>260.8</v>
      </c>
      <c r="L3508">
        <v>121</v>
      </c>
      <c r="M3508">
        <v>22.17</v>
      </c>
      <c r="N3508">
        <v>137.1</v>
      </c>
      <c r="O3508">
        <v>94</v>
      </c>
      <c r="P3508">
        <v>6.17</v>
      </c>
      <c r="Q3508">
        <v>12.6</v>
      </c>
      <c r="R3508">
        <v>6</v>
      </c>
      <c r="S3508">
        <v>3.4</v>
      </c>
      <c r="T3508">
        <v>0</v>
      </c>
      <c r="U3508" t="s">
        <v>23</v>
      </c>
      <c r="V3508" t="e">
        <f>IF(#REF! = "yes", 1, 0)</f>
        <v>#REF!</v>
      </c>
      <c r="W3508" t="e">
        <f>IF(#REF! &lt;= 1, "0-1 Calls", IF(#REF! &lt;= 3, "2-3 Calls", IF(#REF! &lt;=5, "4-5 Calls", "6+ Calls")))</f>
        <v>#REF!</v>
      </c>
      <c r="X3508" t="e">
        <f>IF(#REF! &lt;= 50, "0-50", IF(#REF! &lt;=100, "51-100", IF(#REF! &lt;= 150, "101-150", "151+")))</f>
        <v>#REF!</v>
      </c>
      <c r="Y3508" t="e">
        <f>IF(#REF! &lt;= 3, "Low Charges", "High Charges")</f>
        <v>#REF!</v>
      </c>
      <c r="Z3508" t="e">
        <f>IF(#REF!&lt;=80,"Low Calls",
IF(#REF!&lt;=120,"Medium Calls","High Calls"))</f>
        <v>#REF!</v>
      </c>
      <c r="AA3508" t="e">
        <f>IF(#REF!&lt;=15,"Low Charges",
IF(#REF!&lt;=20,"Medium Charges","High Charges"))</f>
        <v>#REF!</v>
      </c>
      <c r="AB3508" t="e">
        <f>IF(AND(#REF!&gt;180, #REF!&gt;200), "Heavy Doemstic User", IF(#REF!&gt;10, "Interntional User", IF(AND(#REF!&lt;180, #REF!&lt;200,#REF!&lt;200), "Light User", "Balanced User")))</f>
        <v>#REF!</v>
      </c>
      <c r="AC3508" t="e">
        <f>IF(#REF! = 0, "No Usage", IF(#REF! &lt;= 20, "Low Usage", IF(#REF! &lt;= 40, "Medium Usgae", "High Usage")))</f>
        <v>#REF!</v>
      </c>
      <c r="AD3508" t="e">
        <f>IF(#REF!&lt;=150,"Low Usage", IF(#REF!&lt;=200,"Medium Usage", IF(#REF!&lt;=250,"High Usage","Very High Usage")))</f>
        <v>#REF!</v>
      </c>
      <c r="AE3508" t="e">
        <f>IF(#REF!&lt;=5,"Low Calls", IF(#REF!&lt;=10, "Medium Calls", "High Calls"))</f>
        <v>#REF!</v>
      </c>
      <c r="AF3508" t="e">
        <f xml:space="preserve">
IF(#REF!&gt;=4,4,0)+
IF(#REF!="yes",3,0)+
IF(#REF!="High Charges",3,0)+
IF(#REF!&gt;250,4,0)+
IF(#REF!="no",1,0)+
IF(#REF!="Heavy Domestic User",2,0)</f>
        <v>#REF!</v>
      </c>
      <c r="AG3508" t="e">
        <f>IF(#REF!&gt;=10,"High Risk", IF(#REF!&gt;=5,"Medium Risk","Low Risk"))</f>
        <v>#REF!</v>
      </c>
      <c r="AH3508" t="e">
        <f>#REF! + #REF! + #REF! + #REF!</f>
        <v>#REF!</v>
      </c>
    </row>
    <row r="3509" spans="1:34" x14ac:dyDescent="0.35">
      <c r="A3509">
        <v>3508</v>
      </c>
      <c r="B3509" t="s">
        <v>48</v>
      </c>
      <c r="C3509">
        <v>158</v>
      </c>
      <c r="D3509" t="s">
        <v>21</v>
      </c>
      <c r="E3509" t="s">
        <v>22</v>
      </c>
      <c r="F3509" t="s">
        <v>22</v>
      </c>
      <c r="G3509">
        <v>0</v>
      </c>
      <c r="H3509">
        <v>165.4</v>
      </c>
      <c r="I3509">
        <v>70</v>
      </c>
      <c r="J3509">
        <v>28.12</v>
      </c>
      <c r="K3509">
        <v>280.10000000000002</v>
      </c>
      <c r="L3509">
        <v>104</v>
      </c>
      <c r="M3509">
        <v>23.81</v>
      </c>
      <c r="N3509">
        <v>121.8</v>
      </c>
      <c r="O3509">
        <v>106</v>
      </c>
      <c r="P3509">
        <v>5.48</v>
      </c>
      <c r="Q3509">
        <v>10.4</v>
      </c>
      <c r="R3509">
        <v>9</v>
      </c>
      <c r="S3509">
        <v>2.81</v>
      </c>
      <c r="T3509">
        <v>1</v>
      </c>
      <c r="U3509" t="s">
        <v>22</v>
      </c>
      <c r="V3509" t="e">
        <f>IF(#REF! = "yes", 1, 0)</f>
        <v>#REF!</v>
      </c>
      <c r="W3509" t="e">
        <f>IF(#REF! &lt;= 1, "0-1 Calls", IF(#REF! &lt;= 3, "2-3 Calls", IF(#REF! &lt;=5, "4-5 Calls", "6+ Calls")))</f>
        <v>#REF!</v>
      </c>
      <c r="X3509" t="e">
        <f>IF(#REF! &lt;= 50, "0-50", IF(#REF! &lt;=100, "51-100", IF(#REF! &lt;= 150, "101-150", "151+")))</f>
        <v>#REF!</v>
      </c>
      <c r="Y3509" t="e">
        <f>IF(#REF! &lt;= 3, "Low Charges", "High Charges")</f>
        <v>#REF!</v>
      </c>
      <c r="Z3509" t="e">
        <f>IF(#REF!&lt;=80,"Low Calls",
IF(#REF!&lt;=120,"Medium Calls","High Calls"))</f>
        <v>#REF!</v>
      </c>
      <c r="AA3509" t="e">
        <f>IF(#REF!&lt;=15,"Low Charges",
IF(#REF!&lt;=20,"Medium Charges","High Charges"))</f>
        <v>#REF!</v>
      </c>
      <c r="AB3509" t="e">
        <f>IF(AND(#REF!&gt;180, #REF!&gt;200), "Heavy Doemstic User", IF(#REF!&gt;10, "Interntional User", IF(AND(#REF!&lt;180, #REF!&lt;200,#REF!&lt;200), "Light User", "Balanced User")))</f>
        <v>#REF!</v>
      </c>
      <c r="AC3509" t="e">
        <f>IF(#REF! = 0, "No Usage", IF(#REF! &lt;= 20, "Low Usage", IF(#REF! &lt;= 40, "Medium Usgae", "High Usage")))</f>
        <v>#REF!</v>
      </c>
      <c r="AD3509" t="e">
        <f>IF(#REF!&lt;=150,"Low Usage", IF(#REF!&lt;=200,"Medium Usage", IF(#REF!&lt;=250,"High Usage","Very High Usage")))</f>
        <v>#REF!</v>
      </c>
      <c r="AE3509" t="e">
        <f>IF(#REF!&lt;=5,"Low Calls", IF(#REF!&lt;=10, "Medium Calls", "High Calls"))</f>
        <v>#REF!</v>
      </c>
      <c r="AF3509" t="e">
        <f xml:space="preserve">
IF(#REF!&gt;=4,4,0)+
IF(#REF!="yes",3,0)+
IF(#REF!="High Charges",3,0)+
IF(#REF!&gt;250,4,0)+
IF(#REF!="no",1,0)+
IF(#REF!="Heavy Domestic User",2,0)</f>
        <v>#REF!</v>
      </c>
      <c r="AG3509" t="e">
        <f>IF(#REF!&gt;=10,"High Risk", IF(#REF!&gt;=5,"Medium Risk","Low Risk"))</f>
        <v>#REF!</v>
      </c>
      <c r="AH3509" t="e">
        <f>#REF! + #REF! + #REF! + #REF!</f>
        <v>#REF!</v>
      </c>
    </row>
    <row r="3510" spans="1:34" x14ac:dyDescent="0.35">
      <c r="A3510">
        <v>3509</v>
      </c>
      <c r="B3510" t="s">
        <v>68</v>
      </c>
      <c r="C3510">
        <v>76</v>
      </c>
      <c r="D3510" t="s">
        <v>21</v>
      </c>
      <c r="E3510" t="s">
        <v>22</v>
      </c>
      <c r="F3510" t="s">
        <v>22</v>
      </c>
      <c r="G3510">
        <v>0</v>
      </c>
      <c r="H3510">
        <v>222</v>
      </c>
      <c r="I3510">
        <v>99</v>
      </c>
      <c r="J3510">
        <v>37.74</v>
      </c>
      <c r="K3510">
        <v>215.9</v>
      </c>
      <c r="L3510">
        <v>122</v>
      </c>
      <c r="M3510">
        <v>18.350000000000001</v>
      </c>
      <c r="N3510">
        <v>204.1</v>
      </c>
      <c r="O3510">
        <v>131</v>
      </c>
      <c r="P3510">
        <v>9.18</v>
      </c>
      <c r="Q3510">
        <v>8.1999999999999993</v>
      </c>
      <c r="R3510">
        <v>5</v>
      </c>
      <c r="S3510">
        <v>2.21</v>
      </c>
      <c r="T3510">
        <v>3</v>
      </c>
      <c r="U3510" t="s">
        <v>23</v>
      </c>
      <c r="V3510" t="e">
        <f>IF(#REF! = "yes", 1, 0)</f>
        <v>#REF!</v>
      </c>
      <c r="W3510" t="e">
        <f>IF(#REF! &lt;= 1, "0-1 Calls", IF(#REF! &lt;= 3, "2-3 Calls", IF(#REF! &lt;=5, "4-5 Calls", "6+ Calls")))</f>
        <v>#REF!</v>
      </c>
      <c r="X3510" t="e">
        <f>IF(#REF! &lt;= 50, "0-50", IF(#REF! &lt;=100, "51-100", IF(#REF! &lt;= 150, "101-150", "151+")))</f>
        <v>#REF!</v>
      </c>
      <c r="Y3510" t="e">
        <f>IF(#REF! &lt;= 3, "Low Charges", "High Charges")</f>
        <v>#REF!</v>
      </c>
      <c r="Z3510" t="e">
        <f>IF(#REF!&lt;=80,"Low Calls",
IF(#REF!&lt;=120,"Medium Calls","High Calls"))</f>
        <v>#REF!</v>
      </c>
      <c r="AA3510" t="e">
        <f>IF(#REF!&lt;=15,"Low Charges",
IF(#REF!&lt;=20,"Medium Charges","High Charges"))</f>
        <v>#REF!</v>
      </c>
      <c r="AB3510" t="e">
        <f>IF(AND(#REF!&gt;180, #REF!&gt;200), "Heavy Doemstic User", IF(#REF!&gt;10, "Interntional User", IF(AND(#REF!&lt;180, #REF!&lt;200,#REF!&lt;200), "Light User", "Balanced User")))</f>
        <v>#REF!</v>
      </c>
      <c r="AC3510" t="e">
        <f>IF(#REF! = 0, "No Usage", IF(#REF! &lt;= 20, "Low Usage", IF(#REF! &lt;= 40, "Medium Usgae", "High Usage")))</f>
        <v>#REF!</v>
      </c>
      <c r="AD3510" t="e">
        <f>IF(#REF!&lt;=150,"Low Usage", IF(#REF!&lt;=200,"Medium Usage", IF(#REF!&lt;=250,"High Usage","Very High Usage")))</f>
        <v>#REF!</v>
      </c>
      <c r="AE3510" t="e">
        <f>IF(#REF!&lt;=5,"Low Calls", IF(#REF!&lt;=10, "Medium Calls", "High Calls"))</f>
        <v>#REF!</v>
      </c>
      <c r="AF3510" t="e">
        <f xml:space="preserve">
IF(#REF!&gt;=4,4,0)+
IF(#REF!="yes",3,0)+
IF(#REF!="High Charges",3,0)+
IF(#REF!&gt;250,4,0)+
IF(#REF!="no",1,0)+
IF(#REF!="Heavy Domestic User",2,0)</f>
        <v>#REF!</v>
      </c>
      <c r="AG3510" t="e">
        <f>IF(#REF!&gt;=10,"High Risk", IF(#REF!&gt;=5,"Medium Risk","Low Risk"))</f>
        <v>#REF!</v>
      </c>
      <c r="AH3510" t="e">
        <f>#REF! + #REF! + #REF! + #REF!</f>
        <v>#REF!</v>
      </c>
    </row>
    <row r="3511" spans="1:34" x14ac:dyDescent="0.35">
      <c r="A3511">
        <v>3510</v>
      </c>
      <c r="B3511" t="s">
        <v>65</v>
      </c>
      <c r="C3511">
        <v>102</v>
      </c>
      <c r="D3511" t="s">
        <v>21</v>
      </c>
      <c r="E3511" t="s">
        <v>23</v>
      </c>
      <c r="F3511" t="s">
        <v>22</v>
      </c>
      <c r="G3511">
        <v>0</v>
      </c>
      <c r="H3511">
        <v>209.8</v>
      </c>
      <c r="I3511">
        <v>85</v>
      </c>
      <c r="J3511">
        <v>35.67</v>
      </c>
      <c r="K3511">
        <v>165.7</v>
      </c>
      <c r="L3511">
        <v>100</v>
      </c>
      <c r="M3511">
        <v>14.08</v>
      </c>
      <c r="N3511">
        <v>230.1</v>
      </c>
      <c r="O3511">
        <v>92</v>
      </c>
      <c r="P3511">
        <v>10.35</v>
      </c>
      <c r="Q3511">
        <v>8.6999999999999993</v>
      </c>
      <c r="R3511">
        <v>6</v>
      </c>
      <c r="S3511">
        <v>2.35</v>
      </c>
      <c r="T3511">
        <v>0</v>
      </c>
      <c r="U3511" t="s">
        <v>22</v>
      </c>
      <c r="V3511" t="e">
        <f>IF(#REF! = "yes", 1, 0)</f>
        <v>#REF!</v>
      </c>
      <c r="W3511" t="e">
        <f>IF(#REF! &lt;= 1, "0-1 Calls", IF(#REF! &lt;= 3, "2-3 Calls", IF(#REF! &lt;=5, "4-5 Calls", "6+ Calls")))</f>
        <v>#REF!</v>
      </c>
      <c r="X3511" t="e">
        <f>IF(#REF! &lt;= 50, "0-50", IF(#REF! &lt;=100, "51-100", IF(#REF! &lt;= 150, "101-150", "151+")))</f>
        <v>#REF!</v>
      </c>
      <c r="Y3511" t="e">
        <f>IF(#REF! &lt;= 3, "Low Charges", "High Charges")</f>
        <v>#REF!</v>
      </c>
      <c r="Z3511" t="e">
        <f>IF(#REF!&lt;=80,"Low Calls",
IF(#REF!&lt;=120,"Medium Calls","High Calls"))</f>
        <v>#REF!</v>
      </c>
      <c r="AA3511" t="e">
        <f>IF(#REF!&lt;=15,"Low Charges",
IF(#REF!&lt;=20,"Medium Charges","High Charges"))</f>
        <v>#REF!</v>
      </c>
      <c r="AB3511" t="e">
        <f>IF(AND(#REF!&gt;180, #REF!&gt;200), "Heavy Doemstic User", IF(#REF!&gt;10, "Interntional User", IF(AND(#REF!&lt;180, #REF!&lt;200,#REF!&lt;200), "Light User", "Balanced User")))</f>
        <v>#REF!</v>
      </c>
      <c r="AC3511" t="e">
        <f>IF(#REF! = 0, "No Usage", IF(#REF! &lt;= 20, "Low Usage", IF(#REF! &lt;= 40, "Medium Usgae", "High Usage")))</f>
        <v>#REF!</v>
      </c>
      <c r="AD3511" t="e">
        <f>IF(#REF!&lt;=150,"Low Usage", IF(#REF!&lt;=200,"Medium Usage", IF(#REF!&lt;=250,"High Usage","Very High Usage")))</f>
        <v>#REF!</v>
      </c>
      <c r="AE3511" t="e">
        <f>IF(#REF!&lt;=5,"Low Calls", IF(#REF!&lt;=10, "Medium Calls", "High Calls"))</f>
        <v>#REF!</v>
      </c>
      <c r="AF3511" t="e">
        <f xml:space="preserve">
IF(#REF!&gt;=4,4,0)+
IF(#REF!="yes",3,0)+
IF(#REF!="High Charges",3,0)+
IF(#REF!&gt;250,4,0)+
IF(#REF!="no",1,0)+
IF(#REF!="Heavy Domestic User",2,0)</f>
        <v>#REF!</v>
      </c>
      <c r="AG3511" t="e">
        <f>IF(#REF!&gt;=10,"High Risk", IF(#REF!&gt;=5,"Medium Risk","Low Risk"))</f>
        <v>#REF!</v>
      </c>
      <c r="AH3511" t="e">
        <f>#REF! + #REF! + #REF! + #REF!</f>
        <v>#REF!</v>
      </c>
    </row>
    <row r="3512" spans="1:34" x14ac:dyDescent="0.35">
      <c r="A3512">
        <v>3511</v>
      </c>
      <c r="B3512" t="s">
        <v>30</v>
      </c>
      <c r="C3512">
        <v>4</v>
      </c>
      <c r="D3512" t="s">
        <v>25</v>
      </c>
      <c r="E3512" t="s">
        <v>22</v>
      </c>
      <c r="F3512" t="s">
        <v>23</v>
      </c>
      <c r="G3512">
        <v>31</v>
      </c>
      <c r="H3512">
        <v>158.30000000000001</v>
      </c>
      <c r="I3512">
        <v>99</v>
      </c>
      <c r="J3512">
        <v>26.91</v>
      </c>
      <c r="K3512">
        <v>164.2</v>
      </c>
      <c r="L3512">
        <v>98</v>
      </c>
      <c r="M3512">
        <v>13.96</v>
      </c>
      <c r="N3512">
        <v>192.7</v>
      </c>
      <c r="O3512">
        <v>108</v>
      </c>
      <c r="P3512">
        <v>8.67</v>
      </c>
      <c r="Q3512">
        <v>12.5</v>
      </c>
      <c r="R3512">
        <v>3</v>
      </c>
      <c r="S3512">
        <v>3.38</v>
      </c>
      <c r="T3512">
        <v>2</v>
      </c>
      <c r="U3512" t="s">
        <v>22</v>
      </c>
      <c r="V3512" t="e">
        <f>IF(#REF! = "yes", 1, 0)</f>
        <v>#REF!</v>
      </c>
      <c r="W3512" t="e">
        <f>IF(#REF! &lt;= 1, "0-1 Calls", IF(#REF! &lt;= 3, "2-3 Calls", IF(#REF! &lt;=5, "4-5 Calls", "6+ Calls")))</f>
        <v>#REF!</v>
      </c>
      <c r="X3512" t="e">
        <f>IF(#REF! &lt;= 50, "0-50", IF(#REF! &lt;=100, "51-100", IF(#REF! &lt;= 150, "101-150", "151+")))</f>
        <v>#REF!</v>
      </c>
      <c r="Y3512" t="e">
        <f>IF(#REF! &lt;= 3, "Low Charges", "High Charges")</f>
        <v>#REF!</v>
      </c>
      <c r="Z3512" t="e">
        <f>IF(#REF!&lt;=80,"Low Calls",
IF(#REF!&lt;=120,"Medium Calls","High Calls"))</f>
        <v>#REF!</v>
      </c>
      <c r="AA3512" t="e">
        <f>IF(#REF!&lt;=15,"Low Charges",
IF(#REF!&lt;=20,"Medium Charges","High Charges"))</f>
        <v>#REF!</v>
      </c>
      <c r="AB3512" t="e">
        <f>IF(AND(#REF!&gt;180, #REF!&gt;200), "Heavy Doemstic User", IF(#REF!&gt;10, "Interntional User", IF(AND(#REF!&lt;180, #REF!&lt;200,#REF!&lt;200), "Light User", "Balanced User")))</f>
        <v>#REF!</v>
      </c>
      <c r="AC3512" t="e">
        <f>IF(#REF! = 0, "No Usage", IF(#REF! &lt;= 20, "Low Usage", IF(#REF! &lt;= 40, "Medium Usgae", "High Usage")))</f>
        <v>#REF!</v>
      </c>
      <c r="AD3512" t="e">
        <f>IF(#REF!&lt;=150,"Low Usage", IF(#REF!&lt;=200,"Medium Usage", IF(#REF!&lt;=250,"High Usage","Very High Usage")))</f>
        <v>#REF!</v>
      </c>
      <c r="AE3512" t="e">
        <f>IF(#REF!&lt;=5,"Low Calls", IF(#REF!&lt;=10, "Medium Calls", "High Calls"))</f>
        <v>#REF!</v>
      </c>
      <c r="AF3512" t="e">
        <f xml:space="preserve">
IF(#REF!&gt;=4,4,0)+
IF(#REF!="yes",3,0)+
IF(#REF!="High Charges",3,0)+
IF(#REF!&gt;250,4,0)+
IF(#REF!="no",1,0)+
IF(#REF!="Heavy Domestic User",2,0)</f>
        <v>#REF!</v>
      </c>
      <c r="AG3512" t="e">
        <f>IF(#REF!&gt;=10,"High Risk", IF(#REF!&gt;=5,"Medium Risk","Low Risk"))</f>
        <v>#REF!</v>
      </c>
      <c r="AH3512" t="e">
        <f>#REF! + #REF! + #REF! + #REF!</f>
        <v>#REF!</v>
      </c>
    </row>
    <row r="3513" spans="1:34" x14ac:dyDescent="0.35">
      <c r="A3513">
        <v>3512</v>
      </c>
      <c r="B3513" t="s">
        <v>60</v>
      </c>
      <c r="C3513">
        <v>161</v>
      </c>
      <c r="D3513" t="s">
        <v>25</v>
      </c>
      <c r="E3513" t="s">
        <v>22</v>
      </c>
      <c r="F3513" t="s">
        <v>22</v>
      </c>
      <c r="G3513">
        <v>0</v>
      </c>
      <c r="H3513">
        <v>252.3</v>
      </c>
      <c r="I3513">
        <v>120</v>
      </c>
      <c r="J3513">
        <v>42.89</v>
      </c>
      <c r="K3513">
        <v>243.8</v>
      </c>
      <c r="L3513">
        <v>98</v>
      </c>
      <c r="M3513">
        <v>20.72</v>
      </c>
      <c r="N3513">
        <v>284.39999999999998</v>
      </c>
      <c r="O3513">
        <v>96</v>
      </c>
      <c r="P3513">
        <v>12.8</v>
      </c>
      <c r="Q3513">
        <v>9.1999999999999993</v>
      </c>
      <c r="R3513">
        <v>2</v>
      </c>
      <c r="S3513">
        <v>2.48</v>
      </c>
      <c r="T3513">
        <v>1</v>
      </c>
      <c r="U3513" t="s">
        <v>23</v>
      </c>
      <c r="V3513" t="e">
        <f>IF(#REF! = "yes", 1, 0)</f>
        <v>#REF!</v>
      </c>
      <c r="W3513" t="e">
        <f>IF(#REF! &lt;= 1, "0-1 Calls", IF(#REF! &lt;= 3, "2-3 Calls", IF(#REF! &lt;=5, "4-5 Calls", "6+ Calls")))</f>
        <v>#REF!</v>
      </c>
      <c r="X3513" t="e">
        <f>IF(#REF! &lt;= 50, "0-50", IF(#REF! &lt;=100, "51-100", IF(#REF! &lt;= 150, "101-150", "151+")))</f>
        <v>#REF!</v>
      </c>
      <c r="Y3513" t="e">
        <f>IF(#REF! &lt;= 3, "Low Charges", "High Charges")</f>
        <v>#REF!</v>
      </c>
      <c r="Z3513" t="e">
        <f>IF(#REF!&lt;=80,"Low Calls",
IF(#REF!&lt;=120,"Medium Calls","High Calls"))</f>
        <v>#REF!</v>
      </c>
      <c r="AA3513" t="e">
        <f>IF(#REF!&lt;=15,"Low Charges",
IF(#REF!&lt;=20,"Medium Charges","High Charges"))</f>
        <v>#REF!</v>
      </c>
      <c r="AB3513" t="e">
        <f>IF(AND(#REF!&gt;180, #REF!&gt;200), "Heavy Doemstic User", IF(#REF!&gt;10, "Interntional User", IF(AND(#REF!&lt;180, #REF!&lt;200,#REF!&lt;200), "Light User", "Balanced User")))</f>
        <v>#REF!</v>
      </c>
      <c r="AC3513" t="e">
        <f>IF(#REF! = 0, "No Usage", IF(#REF! &lt;= 20, "Low Usage", IF(#REF! &lt;= 40, "Medium Usgae", "High Usage")))</f>
        <v>#REF!</v>
      </c>
      <c r="AD3513" t="e">
        <f>IF(#REF!&lt;=150,"Low Usage", IF(#REF!&lt;=200,"Medium Usage", IF(#REF!&lt;=250,"High Usage","Very High Usage")))</f>
        <v>#REF!</v>
      </c>
      <c r="AE3513" t="e">
        <f>IF(#REF!&lt;=5,"Low Calls", IF(#REF!&lt;=10, "Medium Calls", "High Calls"))</f>
        <v>#REF!</v>
      </c>
      <c r="AF3513" t="e">
        <f xml:space="preserve">
IF(#REF!&gt;=4,4,0)+
IF(#REF!="yes",3,0)+
IF(#REF!="High Charges",3,0)+
IF(#REF!&gt;250,4,0)+
IF(#REF!="no",1,0)+
IF(#REF!="Heavy Domestic User",2,0)</f>
        <v>#REF!</v>
      </c>
      <c r="AG3513" t="e">
        <f>IF(#REF!&gt;=10,"High Risk", IF(#REF!&gt;=5,"Medium Risk","Low Risk"))</f>
        <v>#REF!</v>
      </c>
      <c r="AH3513" t="e">
        <f>#REF! + #REF! + #REF! + #REF!</f>
        <v>#REF!</v>
      </c>
    </row>
    <row r="3514" spans="1:34" x14ac:dyDescent="0.35">
      <c r="A3514">
        <v>3513</v>
      </c>
      <c r="B3514" t="s">
        <v>31</v>
      </c>
      <c r="C3514">
        <v>116</v>
      </c>
      <c r="D3514" t="s">
        <v>21</v>
      </c>
      <c r="E3514" t="s">
        <v>22</v>
      </c>
      <c r="F3514" t="s">
        <v>22</v>
      </c>
      <c r="G3514">
        <v>0</v>
      </c>
      <c r="H3514">
        <v>255.5</v>
      </c>
      <c r="I3514">
        <v>93</v>
      </c>
      <c r="J3514">
        <v>43.44</v>
      </c>
      <c r="K3514">
        <v>224.4</v>
      </c>
      <c r="L3514">
        <v>122</v>
      </c>
      <c r="M3514">
        <v>19.07</v>
      </c>
      <c r="N3514">
        <v>317.3</v>
      </c>
      <c r="O3514">
        <v>85</v>
      </c>
      <c r="P3514">
        <v>14.28</v>
      </c>
      <c r="Q3514">
        <v>12.7</v>
      </c>
      <c r="R3514">
        <v>4</v>
      </c>
      <c r="S3514">
        <v>3.43</v>
      </c>
      <c r="T3514">
        <v>1</v>
      </c>
      <c r="U3514" t="s">
        <v>23</v>
      </c>
      <c r="V3514" t="e">
        <f>IF(#REF! = "yes", 1, 0)</f>
        <v>#REF!</v>
      </c>
      <c r="W3514" t="e">
        <f>IF(#REF! &lt;= 1, "0-1 Calls", IF(#REF! &lt;= 3, "2-3 Calls", IF(#REF! &lt;=5, "4-5 Calls", "6+ Calls")))</f>
        <v>#REF!</v>
      </c>
      <c r="X3514" t="e">
        <f>IF(#REF! &lt;= 50, "0-50", IF(#REF! &lt;=100, "51-100", IF(#REF! &lt;= 150, "101-150", "151+")))</f>
        <v>#REF!</v>
      </c>
      <c r="Y3514" t="e">
        <f>IF(#REF! &lt;= 3, "Low Charges", "High Charges")</f>
        <v>#REF!</v>
      </c>
      <c r="Z3514" t="e">
        <f>IF(#REF!&lt;=80,"Low Calls",
IF(#REF!&lt;=120,"Medium Calls","High Calls"))</f>
        <v>#REF!</v>
      </c>
      <c r="AA3514" t="e">
        <f>IF(#REF!&lt;=15,"Low Charges",
IF(#REF!&lt;=20,"Medium Charges","High Charges"))</f>
        <v>#REF!</v>
      </c>
      <c r="AB3514" t="e">
        <f>IF(AND(#REF!&gt;180, #REF!&gt;200), "Heavy Doemstic User", IF(#REF!&gt;10, "Interntional User", IF(AND(#REF!&lt;180, #REF!&lt;200,#REF!&lt;200), "Light User", "Balanced User")))</f>
        <v>#REF!</v>
      </c>
      <c r="AC3514" t="e">
        <f>IF(#REF! = 0, "No Usage", IF(#REF! &lt;= 20, "Low Usage", IF(#REF! &lt;= 40, "Medium Usgae", "High Usage")))</f>
        <v>#REF!</v>
      </c>
      <c r="AD3514" t="e">
        <f>IF(#REF!&lt;=150,"Low Usage", IF(#REF!&lt;=200,"Medium Usage", IF(#REF!&lt;=250,"High Usage","Very High Usage")))</f>
        <v>#REF!</v>
      </c>
      <c r="AE3514" t="e">
        <f>IF(#REF!&lt;=5,"Low Calls", IF(#REF!&lt;=10, "Medium Calls", "High Calls"))</f>
        <v>#REF!</v>
      </c>
      <c r="AF3514" t="e">
        <f xml:space="preserve">
IF(#REF!&gt;=4,4,0)+
IF(#REF!="yes",3,0)+
IF(#REF!="High Charges",3,0)+
IF(#REF!&gt;250,4,0)+
IF(#REF!="no",1,0)+
IF(#REF!="Heavy Domestic User",2,0)</f>
        <v>#REF!</v>
      </c>
      <c r="AG3514" t="e">
        <f>IF(#REF!&gt;=10,"High Risk", IF(#REF!&gt;=5,"Medium Risk","Low Risk"))</f>
        <v>#REF!</v>
      </c>
      <c r="AH3514" t="e">
        <f>#REF! + #REF! + #REF! + #REF!</f>
        <v>#REF!</v>
      </c>
    </row>
    <row r="3515" spans="1:34" x14ac:dyDescent="0.35">
      <c r="A3515">
        <v>3514</v>
      </c>
      <c r="B3515" t="s">
        <v>44</v>
      </c>
      <c r="C3515">
        <v>86</v>
      </c>
      <c r="D3515" t="s">
        <v>21</v>
      </c>
      <c r="E3515" t="s">
        <v>22</v>
      </c>
      <c r="F3515" t="s">
        <v>22</v>
      </c>
      <c r="G3515">
        <v>0</v>
      </c>
      <c r="H3515">
        <v>227.9</v>
      </c>
      <c r="I3515">
        <v>105</v>
      </c>
      <c r="J3515">
        <v>38.74</v>
      </c>
      <c r="K3515">
        <v>218.7</v>
      </c>
      <c r="L3515">
        <v>118</v>
      </c>
      <c r="M3515">
        <v>18.59</v>
      </c>
      <c r="N3515">
        <v>223.2</v>
      </c>
      <c r="O3515">
        <v>120</v>
      </c>
      <c r="P3515">
        <v>10.039999999999999</v>
      </c>
      <c r="Q3515">
        <v>14.2</v>
      </c>
      <c r="R3515">
        <v>5</v>
      </c>
      <c r="S3515">
        <v>3.83</v>
      </c>
      <c r="T3515">
        <v>3</v>
      </c>
      <c r="U3515" t="s">
        <v>22</v>
      </c>
      <c r="V3515" t="e">
        <f>IF(#REF! = "yes", 1, 0)</f>
        <v>#REF!</v>
      </c>
      <c r="W3515" t="e">
        <f>IF(#REF! &lt;= 1, "0-1 Calls", IF(#REF! &lt;= 3, "2-3 Calls", IF(#REF! &lt;=5, "4-5 Calls", "6+ Calls")))</f>
        <v>#REF!</v>
      </c>
      <c r="X3515" t="e">
        <f>IF(#REF! &lt;= 50, "0-50", IF(#REF! &lt;=100, "51-100", IF(#REF! &lt;= 150, "101-150", "151+")))</f>
        <v>#REF!</v>
      </c>
      <c r="Y3515" t="e">
        <f>IF(#REF! &lt;= 3, "Low Charges", "High Charges")</f>
        <v>#REF!</v>
      </c>
      <c r="Z3515" t="e">
        <f>IF(#REF!&lt;=80,"Low Calls",
IF(#REF!&lt;=120,"Medium Calls","High Calls"))</f>
        <v>#REF!</v>
      </c>
      <c r="AA3515" t="e">
        <f>IF(#REF!&lt;=15,"Low Charges",
IF(#REF!&lt;=20,"Medium Charges","High Charges"))</f>
        <v>#REF!</v>
      </c>
      <c r="AB3515" t="e">
        <f>IF(AND(#REF!&gt;180, #REF!&gt;200), "Heavy Doemstic User", IF(#REF!&gt;10, "Interntional User", IF(AND(#REF!&lt;180, #REF!&lt;200,#REF!&lt;200), "Light User", "Balanced User")))</f>
        <v>#REF!</v>
      </c>
      <c r="AC3515" t="e">
        <f>IF(#REF! = 0, "No Usage", IF(#REF! &lt;= 20, "Low Usage", IF(#REF! &lt;= 40, "Medium Usgae", "High Usage")))</f>
        <v>#REF!</v>
      </c>
      <c r="AD3515" t="e">
        <f>IF(#REF!&lt;=150,"Low Usage", IF(#REF!&lt;=200,"Medium Usage", IF(#REF!&lt;=250,"High Usage","Very High Usage")))</f>
        <v>#REF!</v>
      </c>
      <c r="AE3515" t="e">
        <f>IF(#REF!&lt;=5,"Low Calls", IF(#REF!&lt;=10, "Medium Calls", "High Calls"))</f>
        <v>#REF!</v>
      </c>
      <c r="AF3515" t="e">
        <f xml:space="preserve">
IF(#REF!&gt;=4,4,0)+
IF(#REF!="yes",3,0)+
IF(#REF!="High Charges",3,0)+
IF(#REF!&gt;250,4,0)+
IF(#REF!="no",1,0)+
IF(#REF!="Heavy Domestic User",2,0)</f>
        <v>#REF!</v>
      </c>
      <c r="AG3515" t="e">
        <f>IF(#REF!&gt;=10,"High Risk", IF(#REF!&gt;=5,"Medium Risk","Low Risk"))</f>
        <v>#REF!</v>
      </c>
      <c r="AH3515" t="e">
        <f>#REF! + #REF! + #REF! + #REF!</f>
        <v>#REF!</v>
      </c>
    </row>
    <row r="3516" spans="1:34" x14ac:dyDescent="0.35">
      <c r="A3516">
        <v>3515</v>
      </c>
      <c r="B3516" t="s">
        <v>69</v>
      </c>
      <c r="C3516">
        <v>39</v>
      </c>
      <c r="D3516" t="s">
        <v>28</v>
      </c>
      <c r="E3516" t="s">
        <v>22</v>
      </c>
      <c r="F3516" t="s">
        <v>22</v>
      </c>
      <c r="G3516">
        <v>0</v>
      </c>
      <c r="H3516">
        <v>185</v>
      </c>
      <c r="I3516">
        <v>113</v>
      </c>
      <c r="J3516">
        <v>31.45</v>
      </c>
      <c r="K3516">
        <v>106.5</v>
      </c>
      <c r="L3516">
        <v>125</v>
      </c>
      <c r="M3516">
        <v>9.0500000000000007</v>
      </c>
      <c r="N3516">
        <v>167.3</v>
      </c>
      <c r="O3516">
        <v>78</v>
      </c>
      <c r="P3516">
        <v>7.53</v>
      </c>
      <c r="Q3516">
        <v>12</v>
      </c>
      <c r="R3516">
        <v>2</v>
      </c>
      <c r="S3516">
        <v>3.24</v>
      </c>
      <c r="T3516">
        <v>0</v>
      </c>
      <c r="U3516" t="s">
        <v>22</v>
      </c>
      <c r="V3516" t="e">
        <f>IF(#REF! = "yes", 1, 0)</f>
        <v>#REF!</v>
      </c>
      <c r="W3516" t="e">
        <f>IF(#REF! &lt;= 1, "0-1 Calls", IF(#REF! &lt;= 3, "2-3 Calls", IF(#REF! &lt;=5, "4-5 Calls", "6+ Calls")))</f>
        <v>#REF!</v>
      </c>
      <c r="X3516" t="e">
        <f>IF(#REF! &lt;= 50, "0-50", IF(#REF! &lt;=100, "51-100", IF(#REF! &lt;= 150, "101-150", "151+")))</f>
        <v>#REF!</v>
      </c>
      <c r="Y3516" t="e">
        <f>IF(#REF! &lt;= 3, "Low Charges", "High Charges")</f>
        <v>#REF!</v>
      </c>
      <c r="Z3516" t="e">
        <f>IF(#REF!&lt;=80,"Low Calls",
IF(#REF!&lt;=120,"Medium Calls","High Calls"))</f>
        <v>#REF!</v>
      </c>
      <c r="AA3516" t="e">
        <f>IF(#REF!&lt;=15,"Low Charges",
IF(#REF!&lt;=20,"Medium Charges","High Charges"))</f>
        <v>#REF!</v>
      </c>
      <c r="AB3516" t="e">
        <f>IF(AND(#REF!&gt;180, #REF!&gt;200), "Heavy Doemstic User", IF(#REF!&gt;10, "Interntional User", IF(AND(#REF!&lt;180, #REF!&lt;200,#REF!&lt;200), "Light User", "Balanced User")))</f>
        <v>#REF!</v>
      </c>
      <c r="AC3516" t="e">
        <f>IF(#REF! = 0, "No Usage", IF(#REF! &lt;= 20, "Low Usage", IF(#REF! &lt;= 40, "Medium Usgae", "High Usage")))</f>
        <v>#REF!</v>
      </c>
      <c r="AD3516" t="e">
        <f>IF(#REF!&lt;=150,"Low Usage", IF(#REF!&lt;=200,"Medium Usage", IF(#REF!&lt;=250,"High Usage","Very High Usage")))</f>
        <v>#REF!</v>
      </c>
      <c r="AE3516" t="e">
        <f>IF(#REF!&lt;=5,"Low Calls", IF(#REF!&lt;=10, "Medium Calls", "High Calls"))</f>
        <v>#REF!</v>
      </c>
      <c r="AF3516" t="e">
        <f xml:space="preserve">
IF(#REF!&gt;=4,4,0)+
IF(#REF!="yes",3,0)+
IF(#REF!="High Charges",3,0)+
IF(#REF!&gt;250,4,0)+
IF(#REF!="no",1,0)+
IF(#REF!="Heavy Domestic User",2,0)</f>
        <v>#REF!</v>
      </c>
      <c r="AG3516" t="e">
        <f>IF(#REF!&gt;=10,"High Risk", IF(#REF!&gt;=5,"Medium Risk","Low Risk"))</f>
        <v>#REF!</v>
      </c>
      <c r="AH3516" t="e">
        <f>#REF! + #REF! + #REF! + #REF!</f>
        <v>#REF!</v>
      </c>
    </row>
    <row r="3517" spans="1:34" x14ac:dyDescent="0.35">
      <c r="A3517">
        <v>3516</v>
      </c>
      <c r="B3517" t="s">
        <v>53</v>
      </c>
      <c r="C3517">
        <v>57</v>
      </c>
      <c r="D3517" t="s">
        <v>21</v>
      </c>
      <c r="E3517" t="s">
        <v>22</v>
      </c>
      <c r="F3517" t="s">
        <v>22</v>
      </c>
      <c r="G3517">
        <v>0</v>
      </c>
      <c r="H3517">
        <v>140</v>
      </c>
      <c r="I3517">
        <v>100</v>
      </c>
      <c r="J3517">
        <v>23.8</v>
      </c>
      <c r="K3517">
        <v>174.7</v>
      </c>
      <c r="L3517">
        <v>102</v>
      </c>
      <c r="M3517">
        <v>14.85</v>
      </c>
      <c r="N3517">
        <v>258.5</v>
      </c>
      <c r="O3517">
        <v>111</v>
      </c>
      <c r="P3517">
        <v>11.63</v>
      </c>
      <c r="Q3517">
        <v>13.3</v>
      </c>
      <c r="R3517">
        <v>4</v>
      </c>
      <c r="S3517">
        <v>3.59</v>
      </c>
      <c r="T3517">
        <v>1</v>
      </c>
      <c r="U3517" t="s">
        <v>22</v>
      </c>
      <c r="V3517" t="e">
        <f>IF(#REF! = "yes", 1, 0)</f>
        <v>#REF!</v>
      </c>
      <c r="W3517" t="e">
        <f>IF(#REF! &lt;= 1, "0-1 Calls", IF(#REF! &lt;= 3, "2-3 Calls", IF(#REF! &lt;=5, "4-5 Calls", "6+ Calls")))</f>
        <v>#REF!</v>
      </c>
      <c r="X3517" t="e">
        <f>IF(#REF! &lt;= 50, "0-50", IF(#REF! &lt;=100, "51-100", IF(#REF! &lt;= 150, "101-150", "151+")))</f>
        <v>#REF!</v>
      </c>
      <c r="Y3517" t="e">
        <f>IF(#REF! &lt;= 3, "Low Charges", "High Charges")</f>
        <v>#REF!</v>
      </c>
      <c r="Z3517" t="e">
        <f>IF(#REF!&lt;=80,"Low Calls",
IF(#REF!&lt;=120,"Medium Calls","High Calls"))</f>
        <v>#REF!</v>
      </c>
      <c r="AA3517" t="e">
        <f>IF(#REF!&lt;=15,"Low Charges",
IF(#REF!&lt;=20,"Medium Charges","High Charges"))</f>
        <v>#REF!</v>
      </c>
      <c r="AB3517" t="e">
        <f>IF(AND(#REF!&gt;180, #REF!&gt;200), "Heavy Doemstic User", IF(#REF!&gt;10, "Interntional User", IF(AND(#REF!&lt;180, #REF!&lt;200,#REF!&lt;200), "Light User", "Balanced User")))</f>
        <v>#REF!</v>
      </c>
      <c r="AC3517" t="e">
        <f>IF(#REF! = 0, "No Usage", IF(#REF! &lt;= 20, "Low Usage", IF(#REF! &lt;= 40, "Medium Usgae", "High Usage")))</f>
        <v>#REF!</v>
      </c>
      <c r="AD3517" t="e">
        <f>IF(#REF!&lt;=150,"Low Usage", IF(#REF!&lt;=200,"Medium Usage", IF(#REF!&lt;=250,"High Usage","Very High Usage")))</f>
        <v>#REF!</v>
      </c>
      <c r="AE3517" t="e">
        <f>IF(#REF!&lt;=5,"Low Calls", IF(#REF!&lt;=10, "Medium Calls", "High Calls"))</f>
        <v>#REF!</v>
      </c>
      <c r="AF3517" t="e">
        <f xml:space="preserve">
IF(#REF!&gt;=4,4,0)+
IF(#REF!="yes",3,0)+
IF(#REF!="High Charges",3,0)+
IF(#REF!&gt;250,4,0)+
IF(#REF!="no",1,0)+
IF(#REF!="Heavy Domestic User",2,0)</f>
        <v>#REF!</v>
      </c>
      <c r="AG3517" t="e">
        <f>IF(#REF!&gt;=10,"High Risk", IF(#REF!&gt;=5,"Medium Risk","Low Risk"))</f>
        <v>#REF!</v>
      </c>
      <c r="AH3517" t="e">
        <f>#REF! + #REF! + #REF! + #REF!</f>
        <v>#REF!</v>
      </c>
    </row>
    <row r="3518" spans="1:34" x14ac:dyDescent="0.35">
      <c r="A3518">
        <v>3517</v>
      </c>
      <c r="B3518" t="s">
        <v>46</v>
      </c>
      <c r="C3518">
        <v>138</v>
      </c>
      <c r="D3518" t="s">
        <v>21</v>
      </c>
      <c r="E3518" t="s">
        <v>22</v>
      </c>
      <c r="F3518" t="s">
        <v>22</v>
      </c>
      <c r="G3518">
        <v>0</v>
      </c>
      <c r="H3518">
        <v>157.5</v>
      </c>
      <c r="I3518">
        <v>96</v>
      </c>
      <c r="J3518">
        <v>26.78</v>
      </c>
      <c r="K3518">
        <v>271.7</v>
      </c>
      <c r="L3518">
        <v>107</v>
      </c>
      <c r="M3518">
        <v>23.09</v>
      </c>
      <c r="N3518">
        <v>138.19999999999999</v>
      </c>
      <c r="O3518">
        <v>84</v>
      </c>
      <c r="P3518">
        <v>6.22</v>
      </c>
      <c r="Q3518">
        <v>10.7</v>
      </c>
      <c r="R3518">
        <v>6</v>
      </c>
      <c r="S3518">
        <v>2.89</v>
      </c>
      <c r="T3518">
        <v>2</v>
      </c>
      <c r="U3518" t="s">
        <v>22</v>
      </c>
      <c r="V3518" t="e">
        <f>IF(#REF! = "yes", 1, 0)</f>
        <v>#REF!</v>
      </c>
      <c r="W3518" t="e">
        <f>IF(#REF! &lt;= 1, "0-1 Calls", IF(#REF! &lt;= 3, "2-3 Calls", IF(#REF! &lt;=5, "4-5 Calls", "6+ Calls")))</f>
        <v>#REF!</v>
      </c>
      <c r="X3518" t="e">
        <f>IF(#REF! &lt;= 50, "0-50", IF(#REF! &lt;=100, "51-100", IF(#REF! &lt;= 150, "101-150", "151+")))</f>
        <v>#REF!</v>
      </c>
      <c r="Y3518" t="e">
        <f>IF(#REF! &lt;= 3, "Low Charges", "High Charges")</f>
        <v>#REF!</v>
      </c>
      <c r="Z3518" t="e">
        <f>IF(#REF!&lt;=80,"Low Calls",
IF(#REF!&lt;=120,"Medium Calls","High Calls"))</f>
        <v>#REF!</v>
      </c>
      <c r="AA3518" t="e">
        <f>IF(#REF!&lt;=15,"Low Charges",
IF(#REF!&lt;=20,"Medium Charges","High Charges"))</f>
        <v>#REF!</v>
      </c>
      <c r="AB3518" t="e">
        <f>IF(AND(#REF!&gt;180, #REF!&gt;200), "Heavy Doemstic User", IF(#REF!&gt;10, "Interntional User", IF(AND(#REF!&lt;180, #REF!&lt;200,#REF!&lt;200), "Light User", "Balanced User")))</f>
        <v>#REF!</v>
      </c>
      <c r="AC3518" t="e">
        <f>IF(#REF! = 0, "No Usage", IF(#REF! &lt;= 20, "Low Usage", IF(#REF! &lt;= 40, "Medium Usgae", "High Usage")))</f>
        <v>#REF!</v>
      </c>
      <c r="AD3518" t="e">
        <f>IF(#REF!&lt;=150,"Low Usage", IF(#REF!&lt;=200,"Medium Usage", IF(#REF!&lt;=250,"High Usage","Very High Usage")))</f>
        <v>#REF!</v>
      </c>
      <c r="AE3518" t="e">
        <f>IF(#REF!&lt;=5,"Low Calls", IF(#REF!&lt;=10, "Medium Calls", "High Calls"))</f>
        <v>#REF!</v>
      </c>
      <c r="AF3518" t="e">
        <f xml:space="preserve">
IF(#REF!&gt;=4,4,0)+
IF(#REF!="yes",3,0)+
IF(#REF!="High Charges",3,0)+
IF(#REF!&gt;250,4,0)+
IF(#REF!="no",1,0)+
IF(#REF!="Heavy Domestic User",2,0)</f>
        <v>#REF!</v>
      </c>
      <c r="AG3518" t="e">
        <f>IF(#REF!&gt;=10,"High Risk", IF(#REF!&gt;=5,"Medium Risk","Low Risk"))</f>
        <v>#REF!</v>
      </c>
      <c r="AH3518" t="e">
        <f>#REF! + #REF! + #REF! + #REF!</f>
        <v>#REF!</v>
      </c>
    </row>
    <row r="3519" spans="1:34" x14ac:dyDescent="0.35">
      <c r="A3519">
        <v>3518</v>
      </c>
      <c r="B3519" t="s">
        <v>47</v>
      </c>
      <c r="C3519">
        <v>98</v>
      </c>
      <c r="D3519" t="s">
        <v>21</v>
      </c>
      <c r="E3519" t="s">
        <v>22</v>
      </c>
      <c r="F3519" t="s">
        <v>22</v>
      </c>
      <c r="G3519">
        <v>0</v>
      </c>
      <c r="H3519">
        <v>237.5</v>
      </c>
      <c r="I3519">
        <v>130</v>
      </c>
      <c r="J3519">
        <v>40.380000000000003</v>
      </c>
      <c r="K3519">
        <v>213.2</v>
      </c>
      <c r="L3519">
        <v>85</v>
      </c>
      <c r="M3519">
        <v>18.12</v>
      </c>
      <c r="N3519">
        <v>194.1</v>
      </c>
      <c r="O3519">
        <v>107</v>
      </c>
      <c r="P3519">
        <v>8.73</v>
      </c>
      <c r="Q3519">
        <v>10.1</v>
      </c>
      <c r="R3519">
        <v>3</v>
      </c>
      <c r="S3519">
        <v>2.73</v>
      </c>
      <c r="T3519">
        <v>0</v>
      </c>
      <c r="U3519" t="s">
        <v>22</v>
      </c>
      <c r="V3519" t="e">
        <f>IF(#REF! = "yes", 1, 0)</f>
        <v>#REF!</v>
      </c>
      <c r="W3519" t="e">
        <f>IF(#REF! &lt;= 1, "0-1 Calls", IF(#REF! &lt;= 3, "2-3 Calls", IF(#REF! &lt;=5, "4-5 Calls", "6+ Calls")))</f>
        <v>#REF!</v>
      </c>
      <c r="X3519" t="e">
        <f>IF(#REF! &lt;= 50, "0-50", IF(#REF! &lt;=100, "51-100", IF(#REF! &lt;= 150, "101-150", "151+")))</f>
        <v>#REF!</v>
      </c>
      <c r="Y3519" t="e">
        <f>IF(#REF! &lt;= 3, "Low Charges", "High Charges")</f>
        <v>#REF!</v>
      </c>
      <c r="Z3519" t="e">
        <f>IF(#REF!&lt;=80,"Low Calls",
IF(#REF!&lt;=120,"Medium Calls","High Calls"))</f>
        <v>#REF!</v>
      </c>
      <c r="AA3519" t="e">
        <f>IF(#REF!&lt;=15,"Low Charges",
IF(#REF!&lt;=20,"Medium Charges","High Charges"))</f>
        <v>#REF!</v>
      </c>
      <c r="AB3519" t="e">
        <f>IF(AND(#REF!&gt;180, #REF!&gt;200), "Heavy Doemstic User", IF(#REF!&gt;10, "Interntional User", IF(AND(#REF!&lt;180, #REF!&lt;200,#REF!&lt;200), "Light User", "Balanced User")))</f>
        <v>#REF!</v>
      </c>
      <c r="AC3519" t="e">
        <f>IF(#REF! = 0, "No Usage", IF(#REF! &lt;= 20, "Low Usage", IF(#REF! &lt;= 40, "Medium Usgae", "High Usage")))</f>
        <v>#REF!</v>
      </c>
      <c r="AD3519" t="e">
        <f>IF(#REF!&lt;=150,"Low Usage", IF(#REF!&lt;=200,"Medium Usage", IF(#REF!&lt;=250,"High Usage","Very High Usage")))</f>
        <v>#REF!</v>
      </c>
      <c r="AE3519" t="e">
        <f>IF(#REF!&lt;=5,"Low Calls", IF(#REF!&lt;=10, "Medium Calls", "High Calls"))</f>
        <v>#REF!</v>
      </c>
      <c r="AF3519" t="e">
        <f xml:space="preserve">
IF(#REF!&gt;=4,4,0)+
IF(#REF!="yes",3,0)+
IF(#REF!="High Charges",3,0)+
IF(#REF!&gt;250,4,0)+
IF(#REF!="no",1,0)+
IF(#REF!="Heavy Domestic User",2,0)</f>
        <v>#REF!</v>
      </c>
      <c r="AG3519" t="e">
        <f>IF(#REF!&gt;=10,"High Risk", IF(#REF!&gt;=5,"Medium Risk","Low Risk"))</f>
        <v>#REF!</v>
      </c>
      <c r="AH3519" t="e">
        <f>#REF! + #REF! + #REF! + #REF!</f>
        <v>#REF!</v>
      </c>
    </row>
    <row r="3520" spans="1:34" x14ac:dyDescent="0.35">
      <c r="A3520">
        <v>3519</v>
      </c>
      <c r="B3520" t="s">
        <v>42</v>
      </c>
      <c r="C3520">
        <v>145</v>
      </c>
      <c r="D3520" t="s">
        <v>21</v>
      </c>
      <c r="E3520" t="s">
        <v>22</v>
      </c>
      <c r="F3520" t="s">
        <v>23</v>
      </c>
      <c r="G3520">
        <v>10</v>
      </c>
      <c r="H3520">
        <v>190.7</v>
      </c>
      <c r="I3520">
        <v>100</v>
      </c>
      <c r="J3520">
        <v>32.42</v>
      </c>
      <c r="K3520">
        <v>177.7</v>
      </c>
      <c r="L3520">
        <v>114</v>
      </c>
      <c r="M3520">
        <v>15.1</v>
      </c>
      <c r="N3520">
        <v>167.3</v>
      </c>
      <c r="O3520">
        <v>100</v>
      </c>
      <c r="P3520">
        <v>7.53</v>
      </c>
      <c r="Q3520">
        <v>12.8</v>
      </c>
      <c r="R3520">
        <v>2</v>
      </c>
      <c r="S3520">
        <v>3.46</v>
      </c>
      <c r="T3520">
        <v>0</v>
      </c>
      <c r="U3520" t="s">
        <v>22</v>
      </c>
      <c r="V3520" t="e">
        <f>IF(#REF! = "yes", 1, 0)</f>
        <v>#REF!</v>
      </c>
      <c r="W3520" t="e">
        <f>IF(#REF! &lt;= 1, "0-1 Calls", IF(#REF! &lt;= 3, "2-3 Calls", IF(#REF! &lt;=5, "4-5 Calls", "6+ Calls")))</f>
        <v>#REF!</v>
      </c>
      <c r="X3520" t="e">
        <f>IF(#REF! &lt;= 50, "0-50", IF(#REF! &lt;=100, "51-100", IF(#REF! &lt;= 150, "101-150", "151+")))</f>
        <v>#REF!</v>
      </c>
      <c r="Y3520" t="e">
        <f>IF(#REF! &lt;= 3, "Low Charges", "High Charges")</f>
        <v>#REF!</v>
      </c>
      <c r="Z3520" t="e">
        <f>IF(#REF!&lt;=80,"Low Calls",
IF(#REF!&lt;=120,"Medium Calls","High Calls"))</f>
        <v>#REF!</v>
      </c>
      <c r="AA3520" t="e">
        <f>IF(#REF!&lt;=15,"Low Charges",
IF(#REF!&lt;=20,"Medium Charges","High Charges"))</f>
        <v>#REF!</v>
      </c>
      <c r="AB3520" t="e">
        <f>IF(AND(#REF!&gt;180, #REF!&gt;200), "Heavy Doemstic User", IF(#REF!&gt;10, "Interntional User", IF(AND(#REF!&lt;180, #REF!&lt;200,#REF!&lt;200), "Light User", "Balanced User")))</f>
        <v>#REF!</v>
      </c>
      <c r="AC3520" t="e">
        <f>IF(#REF! = 0, "No Usage", IF(#REF! &lt;= 20, "Low Usage", IF(#REF! &lt;= 40, "Medium Usgae", "High Usage")))</f>
        <v>#REF!</v>
      </c>
      <c r="AD3520" t="e">
        <f>IF(#REF!&lt;=150,"Low Usage", IF(#REF!&lt;=200,"Medium Usage", IF(#REF!&lt;=250,"High Usage","Very High Usage")))</f>
        <v>#REF!</v>
      </c>
      <c r="AE3520" t="e">
        <f>IF(#REF!&lt;=5,"Low Calls", IF(#REF!&lt;=10, "Medium Calls", "High Calls"))</f>
        <v>#REF!</v>
      </c>
      <c r="AF3520" t="e">
        <f xml:space="preserve">
IF(#REF!&gt;=4,4,0)+
IF(#REF!="yes",3,0)+
IF(#REF!="High Charges",3,0)+
IF(#REF!&gt;250,4,0)+
IF(#REF!="no",1,0)+
IF(#REF!="Heavy Domestic User",2,0)</f>
        <v>#REF!</v>
      </c>
      <c r="AG3520" t="e">
        <f>IF(#REF!&gt;=10,"High Risk", IF(#REF!&gt;=5,"Medium Risk","Low Risk"))</f>
        <v>#REF!</v>
      </c>
      <c r="AH3520" t="e">
        <f>#REF! + #REF! + #REF! + #REF!</f>
        <v>#REF!</v>
      </c>
    </row>
    <row r="3521" spans="1:34" x14ac:dyDescent="0.35">
      <c r="A3521">
        <v>3520</v>
      </c>
      <c r="B3521" t="s">
        <v>62</v>
      </c>
      <c r="C3521">
        <v>77</v>
      </c>
      <c r="D3521" t="s">
        <v>21</v>
      </c>
      <c r="E3521" t="s">
        <v>22</v>
      </c>
      <c r="F3521" t="s">
        <v>22</v>
      </c>
      <c r="G3521">
        <v>0</v>
      </c>
      <c r="H3521">
        <v>215.5</v>
      </c>
      <c r="I3521">
        <v>81</v>
      </c>
      <c r="J3521">
        <v>36.64</v>
      </c>
      <c r="K3521">
        <v>170.9</v>
      </c>
      <c r="L3521">
        <v>100</v>
      </c>
      <c r="M3521">
        <v>14.53</v>
      </c>
      <c r="N3521">
        <v>170.3</v>
      </c>
      <c r="O3521">
        <v>59</v>
      </c>
      <c r="P3521">
        <v>7.66</v>
      </c>
      <c r="Q3521">
        <v>10.3</v>
      </c>
      <c r="R3521">
        <v>3</v>
      </c>
      <c r="S3521">
        <v>2.78</v>
      </c>
      <c r="T3521">
        <v>1</v>
      </c>
      <c r="U3521" t="s">
        <v>22</v>
      </c>
      <c r="V3521" t="e">
        <f>IF(#REF! = "yes", 1, 0)</f>
        <v>#REF!</v>
      </c>
      <c r="W3521" t="e">
        <f>IF(#REF! &lt;= 1, "0-1 Calls", IF(#REF! &lt;= 3, "2-3 Calls", IF(#REF! &lt;=5, "4-5 Calls", "6+ Calls")))</f>
        <v>#REF!</v>
      </c>
      <c r="X3521" t="e">
        <f>IF(#REF! &lt;= 50, "0-50", IF(#REF! &lt;=100, "51-100", IF(#REF! &lt;= 150, "101-150", "151+")))</f>
        <v>#REF!</v>
      </c>
      <c r="Y3521" t="e">
        <f>IF(#REF! &lt;= 3, "Low Charges", "High Charges")</f>
        <v>#REF!</v>
      </c>
      <c r="Z3521" t="e">
        <f>IF(#REF!&lt;=80,"Low Calls",
IF(#REF!&lt;=120,"Medium Calls","High Calls"))</f>
        <v>#REF!</v>
      </c>
      <c r="AA3521" t="e">
        <f>IF(#REF!&lt;=15,"Low Charges",
IF(#REF!&lt;=20,"Medium Charges","High Charges"))</f>
        <v>#REF!</v>
      </c>
      <c r="AB3521" t="e">
        <f>IF(AND(#REF!&gt;180, #REF!&gt;200), "Heavy Doemstic User", IF(#REF!&gt;10, "Interntional User", IF(AND(#REF!&lt;180, #REF!&lt;200,#REF!&lt;200), "Light User", "Balanced User")))</f>
        <v>#REF!</v>
      </c>
      <c r="AC3521" t="e">
        <f>IF(#REF! = 0, "No Usage", IF(#REF! &lt;= 20, "Low Usage", IF(#REF! &lt;= 40, "Medium Usgae", "High Usage")))</f>
        <v>#REF!</v>
      </c>
      <c r="AD3521" t="e">
        <f>IF(#REF!&lt;=150,"Low Usage", IF(#REF!&lt;=200,"Medium Usage", IF(#REF!&lt;=250,"High Usage","Very High Usage")))</f>
        <v>#REF!</v>
      </c>
      <c r="AE3521" t="e">
        <f>IF(#REF!&lt;=5,"Low Calls", IF(#REF!&lt;=10, "Medium Calls", "High Calls"))</f>
        <v>#REF!</v>
      </c>
      <c r="AF3521" t="e">
        <f xml:space="preserve">
IF(#REF!&gt;=4,4,0)+
IF(#REF!="yes",3,0)+
IF(#REF!="High Charges",3,0)+
IF(#REF!&gt;250,4,0)+
IF(#REF!="no",1,0)+
IF(#REF!="Heavy Domestic User",2,0)</f>
        <v>#REF!</v>
      </c>
      <c r="AG3521" t="e">
        <f>IF(#REF!&gt;=10,"High Risk", IF(#REF!&gt;=5,"Medium Risk","Low Risk"))</f>
        <v>#REF!</v>
      </c>
      <c r="AH3521" t="e">
        <f>#REF! + #REF! + #REF! + #REF!</f>
        <v>#REF!</v>
      </c>
    </row>
    <row r="3522" spans="1:34" x14ac:dyDescent="0.35">
      <c r="A3522">
        <v>3521</v>
      </c>
      <c r="B3522" t="s">
        <v>31</v>
      </c>
      <c r="C3522">
        <v>99</v>
      </c>
      <c r="D3522" t="s">
        <v>25</v>
      </c>
      <c r="E3522" t="s">
        <v>22</v>
      </c>
      <c r="F3522" t="s">
        <v>23</v>
      </c>
      <c r="G3522">
        <v>12</v>
      </c>
      <c r="H3522">
        <v>119.9</v>
      </c>
      <c r="I3522">
        <v>83</v>
      </c>
      <c r="J3522">
        <v>20.38</v>
      </c>
      <c r="K3522">
        <v>237.7</v>
      </c>
      <c r="L3522">
        <v>98</v>
      </c>
      <c r="M3522">
        <v>20.2</v>
      </c>
      <c r="N3522">
        <v>187.6</v>
      </c>
      <c r="O3522">
        <v>159</v>
      </c>
      <c r="P3522">
        <v>8.44</v>
      </c>
      <c r="Q3522">
        <v>16.600000000000001</v>
      </c>
      <c r="R3522">
        <v>2</v>
      </c>
      <c r="S3522">
        <v>4.4800000000000004</v>
      </c>
      <c r="T3522">
        <v>1</v>
      </c>
      <c r="U3522" t="s">
        <v>22</v>
      </c>
      <c r="V3522" t="e">
        <f>IF(#REF! = "yes", 1, 0)</f>
        <v>#REF!</v>
      </c>
      <c r="W3522" t="e">
        <f>IF(#REF! &lt;= 1, "0-1 Calls", IF(#REF! &lt;= 3, "2-3 Calls", IF(#REF! &lt;=5, "4-5 Calls", "6+ Calls")))</f>
        <v>#REF!</v>
      </c>
      <c r="X3522" t="e">
        <f>IF(#REF! &lt;= 50, "0-50", IF(#REF! &lt;=100, "51-100", IF(#REF! &lt;= 150, "101-150", "151+")))</f>
        <v>#REF!</v>
      </c>
      <c r="Y3522" t="e">
        <f>IF(#REF! &lt;= 3, "Low Charges", "High Charges")</f>
        <v>#REF!</v>
      </c>
      <c r="Z3522" t="e">
        <f>IF(#REF!&lt;=80,"Low Calls",
IF(#REF!&lt;=120,"Medium Calls","High Calls"))</f>
        <v>#REF!</v>
      </c>
      <c r="AA3522" t="e">
        <f>IF(#REF!&lt;=15,"Low Charges",
IF(#REF!&lt;=20,"Medium Charges","High Charges"))</f>
        <v>#REF!</v>
      </c>
      <c r="AB3522" t="e">
        <f>IF(AND(#REF!&gt;180, #REF!&gt;200), "Heavy Doemstic User", IF(#REF!&gt;10, "Interntional User", IF(AND(#REF!&lt;180, #REF!&lt;200,#REF!&lt;200), "Light User", "Balanced User")))</f>
        <v>#REF!</v>
      </c>
      <c r="AC3522" t="e">
        <f>IF(#REF! = 0, "No Usage", IF(#REF! &lt;= 20, "Low Usage", IF(#REF! &lt;= 40, "Medium Usgae", "High Usage")))</f>
        <v>#REF!</v>
      </c>
      <c r="AD3522" t="e">
        <f>IF(#REF!&lt;=150,"Low Usage", IF(#REF!&lt;=200,"Medium Usage", IF(#REF!&lt;=250,"High Usage","Very High Usage")))</f>
        <v>#REF!</v>
      </c>
      <c r="AE3522" t="e">
        <f>IF(#REF!&lt;=5,"Low Calls", IF(#REF!&lt;=10, "Medium Calls", "High Calls"))</f>
        <v>#REF!</v>
      </c>
      <c r="AF3522" t="e">
        <f xml:space="preserve">
IF(#REF!&gt;=4,4,0)+
IF(#REF!="yes",3,0)+
IF(#REF!="High Charges",3,0)+
IF(#REF!&gt;250,4,0)+
IF(#REF!="no",1,0)+
IF(#REF!="Heavy Domestic User",2,0)</f>
        <v>#REF!</v>
      </c>
      <c r="AG3522" t="e">
        <f>IF(#REF!&gt;=10,"High Risk", IF(#REF!&gt;=5,"Medium Risk","Low Risk"))</f>
        <v>#REF!</v>
      </c>
      <c r="AH3522" t="e">
        <f>#REF! + #REF! + #REF! + #REF!</f>
        <v>#REF!</v>
      </c>
    </row>
    <row r="3523" spans="1:34" x14ac:dyDescent="0.35">
      <c r="A3523">
        <v>3522</v>
      </c>
      <c r="B3523" t="s">
        <v>64</v>
      </c>
      <c r="C3523">
        <v>106</v>
      </c>
      <c r="D3523" t="s">
        <v>28</v>
      </c>
      <c r="E3523" t="s">
        <v>23</v>
      </c>
      <c r="F3523" t="s">
        <v>22</v>
      </c>
      <c r="G3523">
        <v>0</v>
      </c>
      <c r="H3523">
        <v>196.7</v>
      </c>
      <c r="I3523">
        <v>100</v>
      </c>
      <c r="J3523">
        <v>33.44</v>
      </c>
      <c r="K3523">
        <v>210.2</v>
      </c>
      <c r="L3523">
        <v>109</v>
      </c>
      <c r="M3523">
        <v>17.87</v>
      </c>
      <c r="N3523">
        <v>173.8</v>
      </c>
      <c r="O3523">
        <v>83</v>
      </c>
      <c r="P3523">
        <v>7.82</v>
      </c>
      <c r="Q3523">
        <v>7.8</v>
      </c>
      <c r="R3523">
        <v>1</v>
      </c>
      <c r="S3523">
        <v>2.11</v>
      </c>
      <c r="T3523">
        <v>4</v>
      </c>
      <c r="U3523" t="s">
        <v>23</v>
      </c>
      <c r="V3523" t="e">
        <f>IF(#REF! = "yes", 1, 0)</f>
        <v>#REF!</v>
      </c>
      <c r="W3523" t="e">
        <f>IF(#REF! &lt;= 1, "0-1 Calls", IF(#REF! &lt;= 3, "2-3 Calls", IF(#REF! &lt;=5, "4-5 Calls", "6+ Calls")))</f>
        <v>#REF!</v>
      </c>
      <c r="X3523" t="e">
        <f>IF(#REF! &lt;= 50, "0-50", IF(#REF! &lt;=100, "51-100", IF(#REF! &lt;= 150, "101-150", "151+")))</f>
        <v>#REF!</v>
      </c>
      <c r="Y3523" t="e">
        <f>IF(#REF! &lt;= 3, "Low Charges", "High Charges")</f>
        <v>#REF!</v>
      </c>
      <c r="Z3523" t="e">
        <f>IF(#REF!&lt;=80,"Low Calls",
IF(#REF!&lt;=120,"Medium Calls","High Calls"))</f>
        <v>#REF!</v>
      </c>
      <c r="AA3523" t="e">
        <f>IF(#REF!&lt;=15,"Low Charges",
IF(#REF!&lt;=20,"Medium Charges","High Charges"))</f>
        <v>#REF!</v>
      </c>
      <c r="AB3523" t="e">
        <f>IF(AND(#REF!&gt;180, #REF!&gt;200), "Heavy Doemstic User", IF(#REF!&gt;10, "Interntional User", IF(AND(#REF!&lt;180, #REF!&lt;200,#REF!&lt;200), "Light User", "Balanced User")))</f>
        <v>#REF!</v>
      </c>
      <c r="AC3523" t="e">
        <f>IF(#REF! = 0, "No Usage", IF(#REF! &lt;= 20, "Low Usage", IF(#REF! &lt;= 40, "Medium Usgae", "High Usage")))</f>
        <v>#REF!</v>
      </c>
      <c r="AD3523" t="e">
        <f>IF(#REF!&lt;=150,"Low Usage", IF(#REF!&lt;=200,"Medium Usage", IF(#REF!&lt;=250,"High Usage","Very High Usage")))</f>
        <v>#REF!</v>
      </c>
      <c r="AE3523" t="e">
        <f>IF(#REF!&lt;=5,"Low Calls", IF(#REF!&lt;=10, "Medium Calls", "High Calls"))</f>
        <v>#REF!</v>
      </c>
      <c r="AF3523" t="e">
        <f xml:space="preserve">
IF(#REF!&gt;=4,4,0)+
IF(#REF!="yes",3,0)+
IF(#REF!="High Charges",3,0)+
IF(#REF!&gt;250,4,0)+
IF(#REF!="no",1,0)+
IF(#REF!="Heavy Domestic User",2,0)</f>
        <v>#REF!</v>
      </c>
      <c r="AG3523" t="e">
        <f>IF(#REF!&gt;=10,"High Risk", IF(#REF!&gt;=5,"Medium Risk","Low Risk"))</f>
        <v>#REF!</v>
      </c>
      <c r="AH3523" t="e">
        <f>#REF! + #REF! + #REF! + #REF!</f>
        <v>#REF!</v>
      </c>
    </row>
    <row r="3524" spans="1:34" x14ac:dyDescent="0.35">
      <c r="A3524">
        <v>3523</v>
      </c>
      <c r="B3524" t="s">
        <v>26</v>
      </c>
      <c r="C3524">
        <v>32</v>
      </c>
      <c r="D3524" t="s">
        <v>28</v>
      </c>
      <c r="E3524" t="s">
        <v>22</v>
      </c>
      <c r="F3524" t="s">
        <v>22</v>
      </c>
      <c r="G3524">
        <v>0</v>
      </c>
      <c r="H3524">
        <v>230.7</v>
      </c>
      <c r="I3524">
        <v>122</v>
      </c>
      <c r="J3524">
        <v>39.22</v>
      </c>
      <c r="K3524">
        <v>204.7</v>
      </c>
      <c r="L3524">
        <v>134</v>
      </c>
      <c r="M3524">
        <v>17.399999999999999</v>
      </c>
      <c r="N3524">
        <v>142</v>
      </c>
      <c r="O3524">
        <v>86</v>
      </c>
      <c r="P3524">
        <v>6.39</v>
      </c>
      <c r="Q3524">
        <v>8.6999999999999993</v>
      </c>
      <c r="R3524">
        <v>3</v>
      </c>
      <c r="S3524">
        <v>2.35</v>
      </c>
      <c r="T3524">
        <v>2</v>
      </c>
      <c r="U3524" t="s">
        <v>22</v>
      </c>
      <c r="V3524" t="e">
        <f>IF(#REF! = "yes", 1, 0)</f>
        <v>#REF!</v>
      </c>
      <c r="W3524" t="e">
        <f>IF(#REF! &lt;= 1, "0-1 Calls", IF(#REF! &lt;= 3, "2-3 Calls", IF(#REF! &lt;=5, "4-5 Calls", "6+ Calls")))</f>
        <v>#REF!</v>
      </c>
      <c r="X3524" t="e">
        <f>IF(#REF! &lt;= 50, "0-50", IF(#REF! &lt;=100, "51-100", IF(#REF! &lt;= 150, "101-150", "151+")))</f>
        <v>#REF!</v>
      </c>
      <c r="Y3524" t="e">
        <f>IF(#REF! &lt;= 3, "Low Charges", "High Charges")</f>
        <v>#REF!</v>
      </c>
      <c r="Z3524" t="e">
        <f>IF(#REF!&lt;=80,"Low Calls",
IF(#REF!&lt;=120,"Medium Calls","High Calls"))</f>
        <v>#REF!</v>
      </c>
      <c r="AA3524" t="e">
        <f>IF(#REF!&lt;=15,"Low Charges",
IF(#REF!&lt;=20,"Medium Charges","High Charges"))</f>
        <v>#REF!</v>
      </c>
      <c r="AB3524" t="e">
        <f>IF(AND(#REF!&gt;180, #REF!&gt;200), "Heavy Doemstic User", IF(#REF!&gt;10, "Interntional User", IF(AND(#REF!&lt;180, #REF!&lt;200,#REF!&lt;200), "Light User", "Balanced User")))</f>
        <v>#REF!</v>
      </c>
      <c r="AC3524" t="e">
        <f>IF(#REF! = 0, "No Usage", IF(#REF! &lt;= 20, "Low Usage", IF(#REF! &lt;= 40, "Medium Usgae", "High Usage")))</f>
        <v>#REF!</v>
      </c>
      <c r="AD3524" t="e">
        <f>IF(#REF!&lt;=150,"Low Usage", IF(#REF!&lt;=200,"Medium Usage", IF(#REF!&lt;=250,"High Usage","Very High Usage")))</f>
        <v>#REF!</v>
      </c>
      <c r="AE3524" t="e">
        <f>IF(#REF!&lt;=5,"Low Calls", IF(#REF!&lt;=10, "Medium Calls", "High Calls"))</f>
        <v>#REF!</v>
      </c>
      <c r="AF3524" t="e">
        <f xml:space="preserve">
IF(#REF!&gt;=4,4,0)+
IF(#REF!="yes",3,0)+
IF(#REF!="High Charges",3,0)+
IF(#REF!&gt;250,4,0)+
IF(#REF!="no",1,0)+
IF(#REF!="Heavy Domestic User",2,0)</f>
        <v>#REF!</v>
      </c>
      <c r="AG3524" t="e">
        <f>IF(#REF!&gt;=10,"High Risk", IF(#REF!&gt;=5,"Medium Risk","Low Risk"))</f>
        <v>#REF!</v>
      </c>
      <c r="AH3524" t="e">
        <f>#REF! + #REF! + #REF! + #REF!</f>
        <v>#REF!</v>
      </c>
    </row>
    <row r="3525" spans="1:34" x14ac:dyDescent="0.35">
      <c r="A3525">
        <v>3524</v>
      </c>
      <c r="B3525" t="s">
        <v>52</v>
      </c>
      <c r="C3525">
        <v>174</v>
      </c>
      <c r="D3525" t="s">
        <v>21</v>
      </c>
      <c r="E3525" t="s">
        <v>22</v>
      </c>
      <c r="F3525" t="s">
        <v>22</v>
      </c>
      <c r="G3525">
        <v>0</v>
      </c>
      <c r="H3525">
        <v>222.3</v>
      </c>
      <c r="I3525">
        <v>102</v>
      </c>
      <c r="J3525">
        <v>37.79</v>
      </c>
      <c r="K3525">
        <v>173.8</v>
      </c>
      <c r="L3525">
        <v>123</v>
      </c>
      <c r="M3525">
        <v>14.77</v>
      </c>
      <c r="N3525">
        <v>297.2</v>
      </c>
      <c r="O3525">
        <v>97</v>
      </c>
      <c r="P3525">
        <v>13.37</v>
      </c>
      <c r="Q3525">
        <v>5.7</v>
      </c>
      <c r="R3525">
        <v>2</v>
      </c>
      <c r="S3525">
        <v>1.54</v>
      </c>
      <c r="T3525">
        <v>0</v>
      </c>
      <c r="U3525" t="s">
        <v>23</v>
      </c>
      <c r="V3525" t="e">
        <f>IF(#REF! = "yes", 1, 0)</f>
        <v>#REF!</v>
      </c>
      <c r="W3525" t="e">
        <f>IF(#REF! &lt;= 1, "0-1 Calls", IF(#REF! &lt;= 3, "2-3 Calls", IF(#REF! &lt;=5, "4-5 Calls", "6+ Calls")))</f>
        <v>#REF!</v>
      </c>
      <c r="X3525" t="e">
        <f>IF(#REF! &lt;= 50, "0-50", IF(#REF! &lt;=100, "51-100", IF(#REF! &lt;= 150, "101-150", "151+")))</f>
        <v>#REF!</v>
      </c>
      <c r="Y3525" t="e">
        <f>IF(#REF! &lt;= 3, "Low Charges", "High Charges")</f>
        <v>#REF!</v>
      </c>
      <c r="Z3525" t="e">
        <f>IF(#REF!&lt;=80,"Low Calls",
IF(#REF!&lt;=120,"Medium Calls","High Calls"))</f>
        <v>#REF!</v>
      </c>
      <c r="AA3525" t="e">
        <f>IF(#REF!&lt;=15,"Low Charges",
IF(#REF!&lt;=20,"Medium Charges","High Charges"))</f>
        <v>#REF!</v>
      </c>
      <c r="AB3525" t="e">
        <f>IF(AND(#REF!&gt;180, #REF!&gt;200), "Heavy Doemstic User", IF(#REF!&gt;10, "Interntional User", IF(AND(#REF!&lt;180, #REF!&lt;200,#REF!&lt;200), "Light User", "Balanced User")))</f>
        <v>#REF!</v>
      </c>
      <c r="AC3525" t="e">
        <f>IF(#REF! = 0, "No Usage", IF(#REF! &lt;= 20, "Low Usage", IF(#REF! &lt;= 40, "Medium Usgae", "High Usage")))</f>
        <v>#REF!</v>
      </c>
      <c r="AD3525" t="e">
        <f>IF(#REF!&lt;=150,"Low Usage", IF(#REF!&lt;=200,"Medium Usage", IF(#REF!&lt;=250,"High Usage","Very High Usage")))</f>
        <v>#REF!</v>
      </c>
      <c r="AE3525" t="e">
        <f>IF(#REF!&lt;=5,"Low Calls", IF(#REF!&lt;=10, "Medium Calls", "High Calls"))</f>
        <v>#REF!</v>
      </c>
      <c r="AF3525" t="e">
        <f xml:space="preserve">
IF(#REF!&gt;=4,4,0)+
IF(#REF!="yes",3,0)+
IF(#REF!="High Charges",3,0)+
IF(#REF!&gt;250,4,0)+
IF(#REF!="no",1,0)+
IF(#REF!="Heavy Domestic User",2,0)</f>
        <v>#REF!</v>
      </c>
      <c r="AG3525" t="e">
        <f>IF(#REF!&gt;=10,"High Risk", IF(#REF!&gt;=5,"Medium Risk","Low Risk"))</f>
        <v>#REF!</v>
      </c>
      <c r="AH3525" t="e">
        <f>#REF! + #REF! + #REF! + #REF!</f>
        <v>#REF!</v>
      </c>
    </row>
    <row r="3526" spans="1:34" x14ac:dyDescent="0.35">
      <c r="A3526">
        <v>3525</v>
      </c>
      <c r="B3526" t="s">
        <v>36</v>
      </c>
      <c r="C3526">
        <v>98</v>
      </c>
      <c r="D3526" t="s">
        <v>28</v>
      </c>
      <c r="E3526" t="s">
        <v>22</v>
      </c>
      <c r="F3526" t="s">
        <v>22</v>
      </c>
      <c r="G3526">
        <v>0</v>
      </c>
      <c r="H3526">
        <v>198.6</v>
      </c>
      <c r="I3526">
        <v>92</v>
      </c>
      <c r="J3526">
        <v>33.76</v>
      </c>
      <c r="K3526">
        <v>349.4</v>
      </c>
      <c r="L3526">
        <v>99</v>
      </c>
      <c r="M3526">
        <v>29.7</v>
      </c>
      <c r="N3526">
        <v>221.7</v>
      </c>
      <c r="O3526">
        <v>83</v>
      </c>
      <c r="P3526">
        <v>9.98</v>
      </c>
      <c r="Q3526">
        <v>7.3</v>
      </c>
      <c r="R3526">
        <v>6</v>
      </c>
      <c r="S3526">
        <v>1.97</v>
      </c>
      <c r="T3526">
        <v>2</v>
      </c>
      <c r="U3526" t="s">
        <v>23</v>
      </c>
      <c r="V3526" t="e">
        <f>IF(#REF! = "yes", 1, 0)</f>
        <v>#REF!</v>
      </c>
      <c r="W3526" t="e">
        <f>IF(#REF! &lt;= 1, "0-1 Calls", IF(#REF! &lt;= 3, "2-3 Calls", IF(#REF! &lt;=5, "4-5 Calls", "6+ Calls")))</f>
        <v>#REF!</v>
      </c>
      <c r="X3526" t="e">
        <f>IF(#REF! &lt;= 50, "0-50", IF(#REF! &lt;=100, "51-100", IF(#REF! &lt;= 150, "101-150", "151+")))</f>
        <v>#REF!</v>
      </c>
      <c r="Y3526" t="e">
        <f>IF(#REF! &lt;= 3, "Low Charges", "High Charges")</f>
        <v>#REF!</v>
      </c>
      <c r="Z3526" t="e">
        <f>IF(#REF!&lt;=80,"Low Calls",
IF(#REF!&lt;=120,"Medium Calls","High Calls"))</f>
        <v>#REF!</v>
      </c>
      <c r="AA3526" t="e">
        <f>IF(#REF!&lt;=15,"Low Charges",
IF(#REF!&lt;=20,"Medium Charges","High Charges"))</f>
        <v>#REF!</v>
      </c>
      <c r="AB3526" t="e">
        <f>IF(AND(#REF!&gt;180, #REF!&gt;200), "Heavy Doemstic User", IF(#REF!&gt;10, "Interntional User", IF(AND(#REF!&lt;180, #REF!&lt;200,#REF!&lt;200), "Light User", "Balanced User")))</f>
        <v>#REF!</v>
      </c>
      <c r="AC3526" t="e">
        <f>IF(#REF! = 0, "No Usage", IF(#REF! &lt;= 20, "Low Usage", IF(#REF! &lt;= 40, "Medium Usgae", "High Usage")))</f>
        <v>#REF!</v>
      </c>
      <c r="AD3526" t="e">
        <f>IF(#REF!&lt;=150,"Low Usage", IF(#REF!&lt;=200,"Medium Usage", IF(#REF!&lt;=250,"High Usage","Very High Usage")))</f>
        <v>#REF!</v>
      </c>
      <c r="AE3526" t="e">
        <f>IF(#REF!&lt;=5,"Low Calls", IF(#REF!&lt;=10, "Medium Calls", "High Calls"))</f>
        <v>#REF!</v>
      </c>
      <c r="AF3526" t="e">
        <f xml:space="preserve">
IF(#REF!&gt;=4,4,0)+
IF(#REF!="yes",3,0)+
IF(#REF!="High Charges",3,0)+
IF(#REF!&gt;250,4,0)+
IF(#REF!="no",1,0)+
IF(#REF!="Heavy Domestic User",2,0)</f>
        <v>#REF!</v>
      </c>
      <c r="AG3526" t="e">
        <f>IF(#REF!&gt;=10,"High Risk", IF(#REF!&gt;=5,"Medium Risk","Low Risk"))</f>
        <v>#REF!</v>
      </c>
      <c r="AH3526" t="e">
        <f>#REF! + #REF! + #REF! + #REF!</f>
        <v>#REF!</v>
      </c>
    </row>
    <row r="3527" spans="1:34" x14ac:dyDescent="0.35">
      <c r="A3527">
        <v>3526</v>
      </c>
      <c r="B3527" t="s">
        <v>66</v>
      </c>
      <c r="C3527">
        <v>42</v>
      </c>
      <c r="D3527" t="s">
        <v>28</v>
      </c>
      <c r="E3527" t="s">
        <v>22</v>
      </c>
      <c r="F3527" t="s">
        <v>22</v>
      </c>
      <c r="G3527">
        <v>0</v>
      </c>
      <c r="H3527">
        <v>139.4</v>
      </c>
      <c r="I3527">
        <v>109</v>
      </c>
      <c r="J3527">
        <v>23.7</v>
      </c>
      <c r="K3527">
        <v>223.8</v>
      </c>
      <c r="L3527">
        <v>121</v>
      </c>
      <c r="M3527">
        <v>19.02</v>
      </c>
      <c r="N3527">
        <v>244.9</v>
      </c>
      <c r="O3527">
        <v>105</v>
      </c>
      <c r="P3527">
        <v>11.02</v>
      </c>
      <c r="Q3527">
        <v>4.5999999999999996</v>
      </c>
      <c r="R3527">
        <v>3</v>
      </c>
      <c r="S3527">
        <v>1.24</v>
      </c>
      <c r="T3527">
        <v>1</v>
      </c>
      <c r="U3527" t="s">
        <v>22</v>
      </c>
      <c r="V3527" t="e">
        <f>IF(#REF! = "yes", 1, 0)</f>
        <v>#REF!</v>
      </c>
      <c r="W3527" t="e">
        <f>IF(#REF! &lt;= 1, "0-1 Calls", IF(#REF! &lt;= 3, "2-3 Calls", IF(#REF! &lt;=5, "4-5 Calls", "6+ Calls")))</f>
        <v>#REF!</v>
      </c>
      <c r="X3527" t="e">
        <f>IF(#REF! &lt;= 50, "0-50", IF(#REF! &lt;=100, "51-100", IF(#REF! &lt;= 150, "101-150", "151+")))</f>
        <v>#REF!</v>
      </c>
      <c r="Y3527" t="e">
        <f>IF(#REF! &lt;= 3, "Low Charges", "High Charges")</f>
        <v>#REF!</v>
      </c>
      <c r="Z3527" t="e">
        <f>IF(#REF!&lt;=80,"Low Calls",
IF(#REF!&lt;=120,"Medium Calls","High Calls"))</f>
        <v>#REF!</v>
      </c>
      <c r="AA3527" t="e">
        <f>IF(#REF!&lt;=15,"Low Charges",
IF(#REF!&lt;=20,"Medium Charges","High Charges"))</f>
        <v>#REF!</v>
      </c>
      <c r="AB3527" t="e">
        <f>IF(AND(#REF!&gt;180, #REF!&gt;200), "Heavy Doemstic User", IF(#REF!&gt;10, "Interntional User", IF(AND(#REF!&lt;180, #REF!&lt;200,#REF!&lt;200), "Light User", "Balanced User")))</f>
        <v>#REF!</v>
      </c>
      <c r="AC3527" t="e">
        <f>IF(#REF! = 0, "No Usage", IF(#REF! &lt;= 20, "Low Usage", IF(#REF! &lt;= 40, "Medium Usgae", "High Usage")))</f>
        <v>#REF!</v>
      </c>
      <c r="AD3527" t="e">
        <f>IF(#REF!&lt;=150,"Low Usage", IF(#REF!&lt;=200,"Medium Usage", IF(#REF!&lt;=250,"High Usage","Very High Usage")))</f>
        <v>#REF!</v>
      </c>
      <c r="AE3527" t="e">
        <f>IF(#REF!&lt;=5,"Low Calls", IF(#REF!&lt;=10, "Medium Calls", "High Calls"))</f>
        <v>#REF!</v>
      </c>
      <c r="AF3527" t="e">
        <f xml:space="preserve">
IF(#REF!&gt;=4,4,0)+
IF(#REF!="yes",3,0)+
IF(#REF!="High Charges",3,0)+
IF(#REF!&gt;250,4,0)+
IF(#REF!="no",1,0)+
IF(#REF!="Heavy Domestic User",2,0)</f>
        <v>#REF!</v>
      </c>
      <c r="AG3527" t="e">
        <f>IF(#REF!&gt;=10,"High Risk", IF(#REF!&gt;=5,"Medium Risk","Low Risk"))</f>
        <v>#REF!</v>
      </c>
      <c r="AH3527" t="e">
        <f>#REF! + #REF! + #REF! + #REF!</f>
        <v>#REF!</v>
      </c>
    </row>
    <row r="3528" spans="1:34" x14ac:dyDescent="0.35">
      <c r="A3528">
        <v>3527</v>
      </c>
      <c r="B3528" t="s">
        <v>38</v>
      </c>
      <c r="C3528">
        <v>99</v>
      </c>
      <c r="D3528" t="s">
        <v>25</v>
      </c>
      <c r="E3528" t="s">
        <v>22</v>
      </c>
      <c r="F3528" t="s">
        <v>22</v>
      </c>
      <c r="G3528">
        <v>0</v>
      </c>
      <c r="H3528">
        <v>130.4</v>
      </c>
      <c r="I3528">
        <v>121</v>
      </c>
      <c r="J3528">
        <v>22.17</v>
      </c>
      <c r="K3528">
        <v>219.9</v>
      </c>
      <c r="L3528">
        <v>103</v>
      </c>
      <c r="M3528">
        <v>18.690000000000001</v>
      </c>
      <c r="N3528">
        <v>84.1</v>
      </c>
      <c r="O3528">
        <v>85</v>
      </c>
      <c r="P3528">
        <v>3.78</v>
      </c>
      <c r="Q3528">
        <v>9.8000000000000007</v>
      </c>
      <c r="R3528">
        <v>3</v>
      </c>
      <c r="S3528">
        <v>2.65</v>
      </c>
      <c r="T3528">
        <v>2</v>
      </c>
      <c r="U3528" t="s">
        <v>22</v>
      </c>
      <c r="V3528" t="e">
        <f>IF(#REF! = "yes", 1, 0)</f>
        <v>#REF!</v>
      </c>
      <c r="W3528" t="e">
        <f>IF(#REF! &lt;= 1, "0-1 Calls", IF(#REF! &lt;= 3, "2-3 Calls", IF(#REF! &lt;=5, "4-5 Calls", "6+ Calls")))</f>
        <v>#REF!</v>
      </c>
      <c r="X3528" t="e">
        <f>IF(#REF! &lt;= 50, "0-50", IF(#REF! &lt;=100, "51-100", IF(#REF! &lt;= 150, "101-150", "151+")))</f>
        <v>#REF!</v>
      </c>
      <c r="Y3528" t="e">
        <f>IF(#REF! &lt;= 3, "Low Charges", "High Charges")</f>
        <v>#REF!</v>
      </c>
      <c r="Z3528" t="e">
        <f>IF(#REF!&lt;=80,"Low Calls",
IF(#REF!&lt;=120,"Medium Calls","High Calls"))</f>
        <v>#REF!</v>
      </c>
      <c r="AA3528" t="e">
        <f>IF(#REF!&lt;=15,"Low Charges",
IF(#REF!&lt;=20,"Medium Charges","High Charges"))</f>
        <v>#REF!</v>
      </c>
      <c r="AB3528" t="e">
        <f>IF(AND(#REF!&gt;180, #REF!&gt;200), "Heavy Doemstic User", IF(#REF!&gt;10, "Interntional User", IF(AND(#REF!&lt;180, #REF!&lt;200,#REF!&lt;200), "Light User", "Balanced User")))</f>
        <v>#REF!</v>
      </c>
      <c r="AC3528" t="e">
        <f>IF(#REF! = 0, "No Usage", IF(#REF! &lt;= 20, "Low Usage", IF(#REF! &lt;= 40, "Medium Usgae", "High Usage")))</f>
        <v>#REF!</v>
      </c>
      <c r="AD3528" t="e">
        <f>IF(#REF!&lt;=150,"Low Usage", IF(#REF!&lt;=200,"Medium Usage", IF(#REF!&lt;=250,"High Usage","Very High Usage")))</f>
        <v>#REF!</v>
      </c>
      <c r="AE3528" t="e">
        <f>IF(#REF!&lt;=5,"Low Calls", IF(#REF!&lt;=10, "Medium Calls", "High Calls"))</f>
        <v>#REF!</v>
      </c>
      <c r="AF3528" t="e">
        <f xml:space="preserve">
IF(#REF!&gt;=4,4,0)+
IF(#REF!="yes",3,0)+
IF(#REF!="High Charges",3,0)+
IF(#REF!&gt;250,4,0)+
IF(#REF!="no",1,0)+
IF(#REF!="Heavy Domestic User",2,0)</f>
        <v>#REF!</v>
      </c>
      <c r="AG3528" t="e">
        <f>IF(#REF!&gt;=10,"High Risk", IF(#REF!&gt;=5,"Medium Risk","Low Risk"))</f>
        <v>#REF!</v>
      </c>
      <c r="AH3528" t="e">
        <f>#REF! + #REF! + #REF! + #REF!</f>
        <v>#REF!</v>
      </c>
    </row>
    <row r="3529" spans="1:34" x14ac:dyDescent="0.35">
      <c r="A3529">
        <v>3528</v>
      </c>
      <c r="B3529" t="s">
        <v>36</v>
      </c>
      <c r="C3529">
        <v>119</v>
      </c>
      <c r="D3529" t="s">
        <v>25</v>
      </c>
      <c r="E3529" t="s">
        <v>22</v>
      </c>
      <c r="F3529" t="s">
        <v>22</v>
      </c>
      <c r="G3529">
        <v>0</v>
      </c>
      <c r="H3529">
        <v>153.19999999999999</v>
      </c>
      <c r="I3529">
        <v>131</v>
      </c>
      <c r="J3529">
        <v>26.04</v>
      </c>
      <c r="K3529">
        <v>116.6</v>
      </c>
      <c r="L3529">
        <v>85</v>
      </c>
      <c r="M3529">
        <v>9.91</v>
      </c>
      <c r="N3529">
        <v>218.5</v>
      </c>
      <c r="O3529">
        <v>74</v>
      </c>
      <c r="P3529">
        <v>9.83</v>
      </c>
      <c r="Q3529">
        <v>10.1</v>
      </c>
      <c r="R3529">
        <v>5</v>
      </c>
      <c r="S3529">
        <v>2.73</v>
      </c>
      <c r="T3529">
        <v>1</v>
      </c>
      <c r="U3529" t="s">
        <v>22</v>
      </c>
      <c r="V3529" t="e">
        <f>IF(#REF! = "yes", 1, 0)</f>
        <v>#REF!</v>
      </c>
      <c r="W3529" t="e">
        <f>IF(#REF! &lt;= 1, "0-1 Calls", IF(#REF! &lt;= 3, "2-3 Calls", IF(#REF! &lt;=5, "4-5 Calls", "6+ Calls")))</f>
        <v>#REF!</v>
      </c>
      <c r="X3529" t="e">
        <f>IF(#REF! &lt;= 50, "0-50", IF(#REF! &lt;=100, "51-100", IF(#REF! &lt;= 150, "101-150", "151+")))</f>
        <v>#REF!</v>
      </c>
      <c r="Y3529" t="e">
        <f>IF(#REF! &lt;= 3, "Low Charges", "High Charges")</f>
        <v>#REF!</v>
      </c>
      <c r="Z3529" t="e">
        <f>IF(#REF!&lt;=80,"Low Calls",
IF(#REF!&lt;=120,"Medium Calls","High Calls"))</f>
        <v>#REF!</v>
      </c>
      <c r="AA3529" t="e">
        <f>IF(#REF!&lt;=15,"Low Charges",
IF(#REF!&lt;=20,"Medium Charges","High Charges"))</f>
        <v>#REF!</v>
      </c>
      <c r="AB3529" t="e">
        <f>IF(AND(#REF!&gt;180, #REF!&gt;200), "Heavy Doemstic User", IF(#REF!&gt;10, "Interntional User", IF(AND(#REF!&lt;180, #REF!&lt;200,#REF!&lt;200), "Light User", "Balanced User")))</f>
        <v>#REF!</v>
      </c>
      <c r="AC3529" t="e">
        <f>IF(#REF! = 0, "No Usage", IF(#REF! &lt;= 20, "Low Usage", IF(#REF! &lt;= 40, "Medium Usgae", "High Usage")))</f>
        <v>#REF!</v>
      </c>
      <c r="AD3529" t="e">
        <f>IF(#REF!&lt;=150,"Low Usage", IF(#REF!&lt;=200,"Medium Usage", IF(#REF!&lt;=250,"High Usage","Very High Usage")))</f>
        <v>#REF!</v>
      </c>
      <c r="AE3529" t="e">
        <f>IF(#REF!&lt;=5,"Low Calls", IF(#REF!&lt;=10, "Medium Calls", "High Calls"))</f>
        <v>#REF!</v>
      </c>
      <c r="AF3529" t="e">
        <f xml:space="preserve">
IF(#REF!&gt;=4,4,0)+
IF(#REF!="yes",3,0)+
IF(#REF!="High Charges",3,0)+
IF(#REF!&gt;250,4,0)+
IF(#REF!="no",1,0)+
IF(#REF!="Heavy Domestic User",2,0)</f>
        <v>#REF!</v>
      </c>
      <c r="AG3529" t="e">
        <f>IF(#REF!&gt;=10,"High Risk", IF(#REF!&gt;=5,"Medium Risk","Low Risk"))</f>
        <v>#REF!</v>
      </c>
      <c r="AH3529" t="e">
        <f>#REF! + #REF! + #REF! + #REF!</f>
        <v>#REF!</v>
      </c>
    </row>
    <row r="3530" spans="1:34" x14ac:dyDescent="0.35">
      <c r="A3530">
        <v>3529</v>
      </c>
      <c r="B3530" t="s">
        <v>49</v>
      </c>
      <c r="C3530">
        <v>47</v>
      </c>
      <c r="D3530" t="s">
        <v>21</v>
      </c>
      <c r="E3530" t="s">
        <v>23</v>
      </c>
      <c r="F3530" t="s">
        <v>22</v>
      </c>
      <c r="G3530">
        <v>0</v>
      </c>
      <c r="H3530">
        <v>177.1</v>
      </c>
      <c r="I3530">
        <v>104</v>
      </c>
      <c r="J3530">
        <v>30.11</v>
      </c>
      <c r="K3530">
        <v>217.4</v>
      </c>
      <c r="L3530">
        <v>97</v>
      </c>
      <c r="M3530">
        <v>18.48</v>
      </c>
      <c r="N3530">
        <v>191.8</v>
      </c>
      <c r="O3530">
        <v>131</v>
      </c>
      <c r="P3530">
        <v>8.6300000000000008</v>
      </c>
      <c r="Q3530">
        <v>9.6999999999999993</v>
      </c>
      <c r="R3530">
        <v>5</v>
      </c>
      <c r="S3530">
        <v>2.62</v>
      </c>
      <c r="T3530">
        <v>2</v>
      </c>
      <c r="U3530" t="s">
        <v>22</v>
      </c>
      <c r="V3530" t="e">
        <f>IF(#REF! = "yes", 1, 0)</f>
        <v>#REF!</v>
      </c>
      <c r="W3530" t="e">
        <f>IF(#REF! &lt;= 1, "0-1 Calls", IF(#REF! &lt;= 3, "2-3 Calls", IF(#REF! &lt;=5, "4-5 Calls", "6+ Calls")))</f>
        <v>#REF!</v>
      </c>
      <c r="X3530" t="e">
        <f>IF(#REF! &lt;= 50, "0-50", IF(#REF! &lt;=100, "51-100", IF(#REF! &lt;= 150, "101-150", "151+")))</f>
        <v>#REF!</v>
      </c>
      <c r="Y3530" t="e">
        <f>IF(#REF! &lt;= 3, "Low Charges", "High Charges")</f>
        <v>#REF!</v>
      </c>
      <c r="Z3530" t="e">
        <f>IF(#REF!&lt;=80,"Low Calls",
IF(#REF!&lt;=120,"Medium Calls","High Calls"))</f>
        <v>#REF!</v>
      </c>
      <c r="AA3530" t="e">
        <f>IF(#REF!&lt;=15,"Low Charges",
IF(#REF!&lt;=20,"Medium Charges","High Charges"))</f>
        <v>#REF!</v>
      </c>
      <c r="AB3530" t="e">
        <f>IF(AND(#REF!&gt;180, #REF!&gt;200), "Heavy Doemstic User", IF(#REF!&gt;10, "Interntional User", IF(AND(#REF!&lt;180, #REF!&lt;200,#REF!&lt;200), "Light User", "Balanced User")))</f>
        <v>#REF!</v>
      </c>
      <c r="AC3530" t="e">
        <f>IF(#REF! = 0, "No Usage", IF(#REF! &lt;= 20, "Low Usage", IF(#REF! &lt;= 40, "Medium Usgae", "High Usage")))</f>
        <v>#REF!</v>
      </c>
      <c r="AD3530" t="e">
        <f>IF(#REF!&lt;=150,"Low Usage", IF(#REF!&lt;=200,"Medium Usage", IF(#REF!&lt;=250,"High Usage","Very High Usage")))</f>
        <v>#REF!</v>
      </c>
      <c r="AE3530" t="e">
        <f>IF(#REF!&lt;=5,"Low Calls", IF(#REF!&lt;=10, "Medium Calls", "High Calls"))</f>
        <v>#REF!</v>
      </c>
      <c r="AF3530" t="e">
        <f xml:space="preserve">
IF(#REF!&gt;=4,4,0)+
IF(#REF!="yes",3,0)+
IF(#REF!="High Charges",3,0)+
IF(#REF!&gt;250,4,0)+
IF(#REF!="no",1,0)+
IF(#REF!="Heavy Domestic User",2,0)</f>
        <v>#REF!</v>
      </c>
      <c r="AG3530" t="e">
        <f>IF(#REF!&gt;=10,"High Risk", IF(#REF!&gt;=5,"Medium Risk","Low Risk"))</f>
        <v>#REF!</v>
      </c>
      <c r="AH3530" t="e">
        <f>#REF! + #REF! + #REF! + #REF!</f>
        <v>#REF!</v>
      </c>
    </row>
    <row r="3531" spans="1:34" x14ac:dyDescent="0.35">
      <c r="A3531">
        <v>3530</v>
      </c>
      <c r="B3531" t="s">
        <v>48</v>
      </c>
      <c r="C3531">
        <v>77</v>
      </c>
      <c r="D3531" t="s">
        <v>21</v>
      </c>
      <c r="E3531" t="s">
        <v>22</v>
      </c>
      <c r="F3531" t="s">
        <v>22</v>
      </c>
      <c r="G3531">
        <v>0</v>
      </c>
      <c r="H3531">
        <v>134.5</v>
      </c>
      <c r="I3531">
        <v>119</v>
      </c>
      <c r="J3531">
        <v>22.87</v>
      </c>
      <c r="K3531">
        <v>119.7</v>
      </c>
      <c r="L3531">
        <v>104</v>
      </c>
      <c r="M3531">
        <v>10.17</v>
      </c>
      <c r="N3531">
        <v>250.7</v>
      </c>
      <c r="O3531">
        <v>112</v>
      </c>
      <c r="P3531">
        <v>11.28</v>
      </c>
      <c r="Q3531">
        <v>9.3000000000000007</v>
      </c>
      <c r="R3531">
        <v>5</v>
      </c>
      <c r="S3531">
        <v>2.5099999999999998</v>
      </c>
      <c r="T3531">
        <v>0</v>
      </c>
      <c r="U3531" t="s">
        <v>22</v>
      </c>
      <c r="V3531" t="e">
        <f>IF(#REF! = "yes", 1, 0)</f>
        <v>#REF!</v>
      </c>
      <c r="W3531" t="e">
        <f>IF(#REF! &lt;= 1, "0-1 Calls", IF(#REF! &lt;= 3, "2-3 Calls", IF(#REF! &lt;=5, "4-5 Calls", "6+ Calls")))</f>
        <v>#REF!</v>
      </c>
      <c r="X3531" t="e">
        <f>IF(#REF! &lt;= 50, "0-50", IF(#REF! &lt;=100, "51-100", IF(#REF! &lt;= 150, "101-150", "151+")))</f>
        <v>#REF!</v>
      </c>
      <c r="Y3531" t="e">
        <f>IF(#REF! &lt;= 3, "Low Charges", "High Charges")</f>
        <v>#REF!</v>
      </c>
      <c r="Z3531" t="e">
        <f>IF(#REF!&lt;=80,"Low Calls",
IF(#REF!&lt;=120,"Medium Calls","High Calls"))</f>
        <v>#REF!</v>
      </c>
      <c r="AA3531" t="e">
        <f>IF(#REF!&lt;=15,"Low Charges",
IF(#REF!&lt;=20,"Medium Charges","High Charges"))</f>
        <v>#REF!</v>
      </c>
      <c r="AB3531" t="e">
        <f>IF(AND(#REF!&gt;180, #REF!&gt;200), "Heavy Doemstic User", IF(#REF!&gt;10, "Interntional User", IF(AND(#REF!&lt;180, #REF!&lt;200,#REF!&lt;200), "Light User", "Balanced User")))</f>
        <v>#REF!</v>
      </c>
      <c r="AC3531" t="e">
        <f>IF(#REF! = 0, "No Usage", IF(#REF! &lt;= 20, "Low Usage", IF(#REF! &lt;= 40, "Medium Usgae", "High Usage")))</f>
        <v>#REF!</v>
      </c>
      <c r="AD3531" t="e">
        <f>IF(#REF!&lt;=150,"Low Usage", IF(#REF!&lt;=200,"Medium Usage", IF(#REF!&lt;=250,"High Usage","Very High Usage")))</f>
        <v>#REF!</v>
      </c>
      <c r="AE3531" t="e">
        <f>IF(#REF!&lt;=5,"Low Calls", IF(#REF!&lt;=10, "Medium Calls", "High Calls"))</f>
        <v>#REF!</v>
      </c>
      <c r="AF3531" t="e">
        <f xml:space="preserve">
IF(#REF!&gt;=4,4,0)+
IF(#REF!="yes",3,0)+
IF(#REF!="High Charges",3,0)+
IF(#REF!&gt;250,4,0)+
IF(#REF!="no",1,0)+
IF(#REF!="Heavy Domestic User",2,0)</f>
        <v>#REF!</v>
      </c>
      <c r="AG3531" t="e">
        <f>IF(#REF!&gt;=10,"High Risk", IF(#REF!&gt;=5,"Medium Risk","Low Risk"))</f>
        <v>#REF!</v>
      </c>
      <c r="AH3531" t="e">
        <f>#REF! + #REF! + #REF! + #REF!</f>
        <v>#REF!</v>
      </c>
    </row>
    <row r="3532" spans="1:34" x14ac:dyDescent="0.35">
      <c r="A3532">
        <v>3531</v>
      </c>
      <c r="B3532" t="s">
        <v>44</v>
      </c>
      <c r="C3532">
        <v>39</v>
      </c>
      <c r="D3532" t="s">
        <v>28</v>
      </c>
      <c r="E3532" t="s">
        <v>22</v>
      </c>
      <c r="F3532" t="s">
        <v>23</v>
      </c>
      <c r="G3532">
        <v>38</v>
      </c>
      <c r="H3532">
        <v>201.8</v>
      </c>
      <c r="I3532">
        <v>66</v>
      </c>
      <c r="J3532">
        <v>34.31</v>
      </c>
      <c r="K3532">
        <v>200.1</v>
      </c>
      <c r="L3532">
        <v>87</v>
      </c>
      <c r="M3532">
        <v>17.010000000000002</v>
      </c>
      <c r="N3532">
        <v>173.7</v>
      </c>
      <c r="O3532">
        <v>112</v>
      </c>
      <c r="P3532">
        <v>7.82</v>
      </c>
      <c r="Q3532">
        <v>9.5</v>
      </c>
      <c r="R3532">
        <v>3</v>
      </c>
      <c r="S3532">
        <v>2.57</v>
      </c>
      <c r="T3532">
        <v>0</v>
      </c>
      <c r="U3532" t="s">
        <v>22</v>
      </c>
      <c r="V3532" t="e">
        <f>IF(#REF! = "yes", 1, 0)</f>
        <v>#REF!</v>
      </c>
      <c r="W3532" t="e">
        <f>IF(#REF! &lt;= 1, "0-1 Calls", IF(#REF! &lt;= 3, "2-3 Calls", IF(#REF! &lt;=5, "4-5 Calls", "6+ Calls")))</f>
        <v>#REF!</v>
      </c>
      <c r="X3532" t="e">
        <f>IF(#REF! &lt;= 50, "0-50", IF(#REF! &lt;=100, "51-100", IF(#REF! &lt;= 150, "101-150", "151+")))</f>
        <v>#REF!</v>
      </c>
      <c r="Y3532" t="e">
        <f>IF(#REF! &lt;= 3, "Low Charges", "High Charges")</f>
        <v>#REF!</v>
      </c>
      <c r="Z3532" t="e">
        <f>IF(#REF!&lt;=80,"Low Calls",
IF(#REF!&lt;=120,"Medium Calls","High Calls"))</f>
        <v>#REF!</v>
      </c>
      <c r="AA3532" t="e">
        <f>IF(#REF!&lt;=15,"Low Charges",
IF(#REF!&lt;=20,"Medium Charges","High Charges"))</f>
        <v>#REF!</v>
      </c>
      <c r="AB3532" t="e">
        <f>IF(AND(#REF!&gt;180, #REF!&gt;200), "Heavy Doemstic User", IF(#REF!&gt;10, "Interntional User", IF(AND(#REF!&lt;180, #REF!&lt;200,#REF!&lt;200), "Light User", "Balanced User")))</f>
        <v>#REF!</v>
      </c>
      <c r="AC3532" t="e">
        <f>IF(#REF! = 0, "No Usage", IF(#REF! &lt;= 20, "Low Usage", IF(#REF! &lt;= 40, "Medium Usgae", "High Usage")))</f>
        <v>#REF!</v>
      </c>
      <c r="AD3532" t="e">
        <f>IF(#REF!&lt;=150,"Low Usage", IF(#REF!&lt;=200,"Medium Usage", IF(#REF!&lt;=250,"High Usage","Very High Usage")))</f>
        <v>#REF!</v>
      </c>
      <c r="AE3532" t="e">
        <f>IF(#REF!&lt;=5,"Low Calls", IF(#REF!&lt;=10, "Medium Calls", "High Calls"))</f>
        <v>#REF!</v>
      </c>
      <c r="AF3532" t="e">
        <f xml:space="preserve">
IF(#REF!&gt;=4,4,0)+
IF(#REF!="yes",3,0)+
IF(#REF!="High Charges",3,0)+
IF(#REF!&gt;250,4,0)+
IF(#REF!="no",1,0)+
IF(#REF!="Heavy Domestic User",2,0)</f>
        <v>#REF!</v>
      </c>
      <c r="AG3532" t="e">
        <f>IF(#REF!&gt;=10,"High Risk", IF(#REF!&gt;=5,"Medium Risk","Low Risk"))</f>
        <v>#REF!</v>
      </c>
      <c r="AH3532" t="e">
        <f>#REF! + #REF! + #REF! + #REF!</f>
        <v>#REF!</v>
      </c>
    </row>
    <row r="3533" spans="1:34" x14ac:dyDescent="0.35">
      <c r="A3533">
        <v>3532</v>
      </c>
      <c r="B3533" t="s">
        <v>31</v>
      </c>
      <c r="C3533">
        <v>193</v>
      </c>
      <c r="D3533" t="s">
        <v>21</v>
      </c>
      <c r="E3533" t="s">
        <v>22</v>
      </c>
      <c r="F3533" t="s">
        <v>22</v>
      </c>
      <c r="G3533">
        <v>0</v>
      </c>
      <c r="H3533">
        <v>180.5</v>
      </c>
      <c r="I3533">
        <v>114</v>
      </c>
      <c r="J3533">
        <v>30.69</v>
      </c>
      <c r="K3533">
        <v>117.9</v>
      </c>
      <c r="L3533">
        <v>80</v>
      </c>
      <c r="M3533">
        <v>10.02</v>
      </c>
      <c r="N3533">
        <v>192.9</v>
      </c>
      <c r="O3533">
        <v>97</v>
      </c>
      <c r="P3533">
        <v>8.68</v>
      </c>
      <c r="Q3533">
        <v>10.199999999999999</v>
      </c>
      <c r="R3533">
        <v>4</v>
      </c>
      <c r="S3533">
        <v>2.75</v>
      </c>
      <c r="T3533">
        <v>2</v>
      </c>
      <c r="U3533" t="s">
        <v>22</v>
      </c>
      <c r="V3533" t="e">
        <f>IF(#REF! = "yes", 1, 0)</f>
        <v>#REF!</v>
      </c>
      <c r="W3533" t="e">
        <f>IF(#REF! &lt;= 1, "0-1 Calls", IF(#REF! &lt;= 3, "2-3 Calls", IF(#REF! &lt;=5, "4-5 Calls", "6+ Calls")))</f>
        <v>#REF!</v>
      </c>
      <c r="X3533" t="e">
        <f>IF(#REF! &lt;= 50, "0-50", IF(#REF! &lt;=100, "51-100", IF(#REF! &lt;= 150, "101-150", "151+")))</f>
        <v>#REF!</v>
      </c>
      <c r="Y3533" t="e">
        <f>IF(#REF! &lt;= 3, "Low Charges", "High Charges")</f>
        <v>#REF!</v>
      </c>
      <c r="Z3533" t="e">
        <f>IF(#REF!&lt;=80,"Low Calls",
IF(#REF!&lt;=120,"Medium Calls","High Calls"))</f>
        <v>#REF!</v>
      </c>
      <c r="AA3533" t="e">
        <f>IF(#REF!&lt;=15,"Low Charges",
IF(#REF!&lt;=20,"Medium Charges","High Charges"))</f>
        <v>#REF!</v>
      </c>
      <c r="AB3533" t="e">
        <f>IF(AND(#REF!&gt;180, #REF!&gt;200), "Heavy Doemstic User", IF(#REF!&gt;10, "Interntional User", IF(AND(#REF!&lt;180, #REF!&lt;200,#REF!&lt;200), "Light User", "Balanced User")))</f>
        <v>#REF!</v>
      </c>
      <c r="AC3533" t="e">
        <f>IF(#REF! = 0, "No Usage", IF(#REF! &lt;= 20, "Low Usage", IF(#REF! &lt;= 40, "Medium Usgae", "High Usage")))</f>
        <v>#REF!</v>
      </c>
      <c r="AD3533" t="e">
        <f>IF(#REF!&lt;=150,"Low Usage", IF(#REF!&lt;=200,"Medium Usage", IF(#REF!&lt;=250,"High Usage","Very High Usage")))</f>
        <v>#REF!</v>
      </c>
      <c r="AE3533" t="e">
        <f>IF(#REF!&lt;=5,"Low Calls", IF(#REF!&lt;=10, "Medium Calls", "High Calls"))</f>
        <v>#REF!</v>
      </c>
      <c r="AF3533" t="e">
        <f xml:space="preserve">
IF(#REF!&gt;=4,4,0)+
IF(#REF!="yes",3,0)+
IF(#REF!="High Charges",3,0)+
IF(#REF!&gt;250,4,0)+
IF(#REF!="no",1,0)+
IF(#REF!="Heavy Domestic User",2,0)</f>
        <v>#REF!</v>
      </c>
      <c r="AG3533" t="e">
        <f>IF(#REF!&gt;=10,"High Risk", IF(#REF!&gt;=5,"Medium Risk","Low Risk"))</f>
        <v>#REF!</v>
      </c>
      <c r="AH3533" t="e">
        <f>#REF! + #REF! + #REF! + #REF!</f>
        <v>#REF!</v>
      </c>
    </row>
    <row r="3534" spans="1:34" x14ac:dyDescent="0.35">
      <c r="A3534">
        <v>3533</v>
      </c>
      <c r="B3534" t="s">
        <v>20</v>
      </c>
      <c r="C3534">
        <v>103</v>
      </c>
      <c r="D3534" t="s">
        <v>21</v>
      </c>
      <c r="E3534" t="s">
        <v>22</v>
      </c>
      <c r="F3534" t="s">
        <v>23</v>
      </c>
      <c r="G3534">
        <v>40</v>
      </c>
      <c r="H3534">
        <v>164.5</v>
      </c>
      <c r="I3534">
        <v>95</v>
      </c>
      <c r="J3534">
        <v>27.97</v>
      </c>
      <c r="K3534">
        <v>228.7</v>
      </c>
      <c r="L3534">
        <v>82</v>
      </c>
      <c r="M3534">
        <v>19.440000000000001</v>
      </c>
      <c r="N3534">
        <v>194.7</v>
      </c>
      <c r="O3534">
        <v>97</v>
      </c>
      <c r="P3534">
        <v>8.76</v>
      </c>
      <c r="Q3534">
        <v>7.4</v>
      </c>
      <c r="R3534">
        <v>1</v>
      </c>
      <c r="S3534">
        <v>2</v>
      </c>
      <c r="T3534">
        <v>4</v>
      </c>
      <c r="U3534" t="s">
        <v>22</v>
      </c>
      <c r="V3534" t="e">
        <f>IF(#REF! = "yes", 1, 0)</f>
        <v>#REF!</v>
      </c>
      <c r="W3534" t="e">
        <f>IF(#REF! &lt;= 1, "0-1 Calls", IF(#REF! &lt;= 3, "2-3 Calls", IF(#REF! &lt;=5, "4-5 Calls", "6+ Calls")))</f>
        <v>#REF!</v>
      </c>
      <c r="X3534" t="e">
        <f>IF(#REF! &lt;= 50, "0-50", IF(#REF! &lt;=100, "51-100", IF(#REF! &lt;= 150, "101-150", "151+")))</f>
        <v>#REF!</v>
      </c>
      <c r="Y3534" t="e">
        <f>IF(#REF! &lt;= 3, "Low Charges", "High Charges")</f>
        <v>#REF!</v>
      </c>
      <c r="Z3534" t="e">
        <f>IF(#REF!&lt;=80,"Low Calls",
IF(#REF!&lt;=120,"Medium Calls","High Calls"))</f>
        <v>#REF!</v>
      </c>
      <c r="AA3534" t="e">
        <f>IF(#REF!&lt;=15,"Low Charges",
IF(#REF!&lt;=20,"Medium Charges","High Charges"))</f>
        <v>#REF!</v>
      </c>
      <c r="AB3534" t="e">
        <f>IF(AND(#REF!&gt;180, #REF!&gt;200), "Heavy Doemstic User", IF(#REF!&gt;10, "Interntional User", IF(AND(#REF!&lt;180, #REF!&lt;200,#REF!&lt;200), "Light User", "Balanced User")))</f>
        <v>#REF!</v>
      </c>
      <c r="AC3534" t="e">
        <f>IF(#REF! = 0, "No Usage", IF(#REF! &lt;= 20, "Low Usage", IF(#REF! &lt;= 40, "Medium Usgae", "High Usage")))</f>
        <v>#REF!</v>
      </c>
      <c r="AD3534" t="e">
        <f>IF(#REF!&lt;=150,"Low Usage", IF(#REF!&lt;=200,"Medium Usage", IF(#REF!&lt;=250,"High Usage","Very High Usage")))</f>
        <v>#REF!</v>
      </c>
      <c r="AE3534" t="e">
        <f>IF(#REF!&lt;=5,"Low Calls", IF(#REF!&lt;=10, "Medium Calls", "High Calls"))</f>
        <v>#REF!</v>
      </c>
      <c r="AF3534" t="e">
        <f xml:space="preserve">
IF(#REF!&gt;=4,4,0)+
IF(#REF!="yes",3,0)+
IF(#REF!="High Charges",3,0)+
IF(#REF!&gt;250,4,0)+
IF(#REF!="no",1,0)+
IF(#REF!="Heavy Domestic User",2,0)</f>
        <v>#REF!</v>
      </c>
      <c r="AG3534" t="e">
        <f>IF(#REF!&gt;=10,"High Risk", IF(#REF!&gt;=5,"Medium Risk","Low Risk"))</f>
        <v>#REF!</v>
      </c>
      <c r="AH3534" t="e">
        <f>#REF! + #REF! + #REF! + #REF!</f>
        <v>#REF!</v>
      </c>
    </row>
    <row r="3535" spans="1:34" x14ac:dyDescent="0.35">
      <c r="A3535">
        <v>3534</v>
      </c>
      <c r="B3535" t="s">
        <v>47</v>
      </c>
      <c r="C3535">
        <v>36</v>
      </c>
      <c r="D3535" t="s">
        <v>21</v>
      </c>
      <c r="E3535" t="s">
        <v>23</v>
      </c>
      <c r="F3535" t="s">
        <v>23</v>
      </c>
      <c r="G3535">
        <v>19</v>
      </c>
      <c r="H3535">
        <v>171.9</v>
      </c>
      <c r="I3535">
        <v>96</v>
      </c>
      <c r="J3535">
        <v>29.22</v>
      </c>
      <c r="K3535">
        <v>198.4</v>
      </c>
      <c r="L3535">
        <v>111</v>
      </c>
      <c r="M3535">
        <v>16.86</v>
      </c>
      <c r="N3535">
        <v>321.7</v>
      </c>
      <c r="O3535">
        <v>76</v>
      </c>
      <c r="P3535">
        <v>14.48</v>
      </c>
      <c r="Q3535">
        <v>10.5</v>
      </c>
      <c r="R3535">
        <v>1</v>
      </c>
      <c r="S3535">
        <v>2.84</v>
      </c>
      <c r="T3535">
        <v>1</v>
      </c>
      <c r="U3535" t="s">
        <v>23</v>
      </c>
      <c r="V3535" t="e">
        <f>IF(#REF! = "yes", 1, 0)</f>
        <v>#REF!</v>
      </c>
      <c r="W3535" t="e">
        <f>IF(#REF! &lt;= 1, "0-1 Calls", IF(#REF! &lt;= 3, "2-3 Calls", IF(#REF! &lt;=5, "4-5 Calls", "6+ Calls")))</f>
        <v>#REF!</v>
      </c>
      <c r="X3535" t="e">
        <f>IF(#REF! &lt;= 50, "0-50", IF(#REF! &lt;=100, "51-100", IF(#REF! &lt;= 150, "101-150", "151+")))</f>
        <v>#REF!</v>
      </c>
      <c r="Y3535" t="e">
        <f>IF(#REF! &lt;= 3, "Low Charges", "High Charges")</f>
        <v>#REF!</v>
      </c>
      <c r="Z3535" t="e">
        <f>IF(#REF!&lt;=80,"Low Calls",
IF(#REF!&lt;=120,"Medium Calls","High Calls"))</f>
        <v>#REF!</v>
      </c>
      <c r="AA3535" t="e">
        <f>IF(#REF!&lt;=15,"Low Charges",
IF(#REF!&lt;=20,"Medium Charges","High Charges"))</f>
        <v>#REF!</v>
      </c>
      <c r="AB3535" t="e">
        <f>IF(AND(#REF!&gt;180, #REF!&gt;200), "Heavy Doemstic User", IF(#REF!&gt;10, "Interntional User", IF(AND(#REF!&lt;180, #REF!&lt;200,#REF!&lt;200), "Light User", "Balanced User")))</f>
        <v>#REF!</v>
      </c>
      <c r="AC3535" t="e">
        <f>IF(#REF! = 0, "No Usage", IF(#REF! &lt;= 20, "Low Usage", IF(#REF! &lt;= 40, "Medium Usgae", "High Usage")))</f>
        <v>#REF!</v>
      </c>
      <c r="AD3535" t="e">
        <f>IF(#REF!&lt;=150,"Low Usage", IF(#REF!&lt;=200,"Medium Usage", IF(#REF!&lt;=250,"High Usage","Very High Usage")))</f>
        <v>#REF!</v>
      </c>
      <c r="AE3535" t="e">
        <f>IF(#REF!&lt;=5,"Low Calls", IF(#REF!&lt;=10, "Medium Calls", "High Calls"))</f>
        <v>#REF!</v>
      </c>
      <c r="AF3535" t="e">
        <f xml:space="preserve">
IF(#REF!&gt;=4,4,0)+
IF(#REF!="yes",3,0)+
IF(#REF!="High Charges",3,0)+
IF(#REF!&gt;250,4,0)+
IF(#REF!="no",1,0)+
IF(#REF!="Heavy Domestic User",2,0)</f>
        <v>#REF!</v>
      </c>
      <c r="AG3535" t="e">
        <f>IF(#REF!&gt;=10,"High Risk", IF(#REF!&gt;=5,"Medium Risk","Low Risk"))</f>
        <v>#REF!</v>
      </c>
      <c r="AH3535" t="e">
        <f>#REF! + #REF! + #REF! + #REF!</f>
        <v>#REF!</v>
      </c>
    </row>
    <row r="3536" spans="1:34" x14ac:dyDescent="0.35">
      <c r="A3536">
        <v>3535</v>
      </c>
      <c r="B3536" t="s">
        <v>72</v>
      </c>
      <c r="C3536">
        <v>87</v>
      </c>
      <c r="D3536" t="s">
        <v>21</v>
      </c>
      <c r="E3536" t="s">
        <v>22</v>
      </c>
      <c r="F3536" t="s">
        <v>22</v>
      </c>
      <c r="G3536">
        <v>0</v>
      </c>
      <c r="H3536">
        <v>221.4</v>
      </c>
      <c r="I3536">
        <v>69</v>
      </c>
      <c r="J3536">
        <v>37.64</v>
      </c>
      <c r="K3536">
        <v>195.2</v>
      </c>
      <c r="L3536">
        <v>53</v>
      </c>
      <c r="M3536">
        <v>16.59</v>
      </c>
      <c r="N3536">
        <v>120.6</v>
      </c>
      <c r="O3536">
        <v>91</v>
      </c>
      <c r="P3536">
        <v>5.43</v>
      </c>
      <c r="Q3536">
        <v>13.7</v>
      </c>
      <c r="R3536">
        <v>4</v>
      </c>
      <c r="S3536">
        <v>3.7</v>
      </c>
      <c r="T3536">
        <v>1</v>
      </c>
      <c r="U3536" t="s">
        <v>22</v>
      </c>
      <c r="V3536" t="e">
        <f>IF(#REF! = "yes", 1, 0)</f>
        <v>#REF!</v>
      </c>
      <c r="W3536" t="e">
        <f>IF(#REF! &lt;= 1, "0-1 Calls", IF(#REF! &lt;= 3, "2-3 Calls", IF(#REF! &lt;=5, "4-5 Calls", "6+ Calls")))</f>
        <v>#REF!</v>
      </c>
      <c r="X3536" t="e">
        <f>IF(#REF! &lt;= 50, "0-50", IF(#REF! &lt;=100, "51-100", IF(#REF! &lt;= 150, "101-150", "151+")))</f>
        <v>#REF!</v>
      </c>
      <c r="Y3536" t="e">
        <f>IF(#REF! &lt;= 3, "Low Charges", "High Charges")</f>
        <v>#REF!</v>
      </c>
      <c r="Z3536" t="e">
        <f>IF(#REF!&lt;=80,"Low Calls",
IF(#REF!&lt;=120,"Medium Calls","High Calls"))</f>
        <v>#REF!</v>
      </c>
      <c r="AA3536" t="e">
        <f>IF(#REF!&lt;=15,"Low Charges",
IF(#REF!&lt;=20,"Medium Charges","High Charges"))</f>
        <v>#REF!</v>
      </c>
      <c r="AB3536" t="e">
        <f>IF(AND(#REF!&gt;180, #REF!&gt;200), "Heavy Doemstic User", IF(#REF!&gt;10, "Interntional User", IF(AND(#REF!&lt;180, #REF!&lt;200,#REF!&lt;200), "Light User", "Balanced User")))</f>
        <v>#REF!</v>
      </c>
      <c r="AC3536" t="e">
        <f>IF(#REF! = 0, "No Usage", IF(#REF! &lt;= 20, "Low Usage", IF(#REF! &lt;= 40, "Medium Usgae", "High Usage")))</f>
        <v>#REF!</v>
      </c>
      <c r="AD3536" t="e">
        <f>IF(#REF!&lt;=150,"Low Usage", IF(#REF!&lt;=200,"Medium Usage", IF(#REF!&lt;=250,"High Usage","Very High Usage")))</f>
        <v>#REF!</v>
      </c>
      <c r="AE3536" t="e">
        <f>IF(#REF!&lt;=5,"Low Calls", IF(#REF!&lt;=10, "Medium Calls", "High Calls"))</f>
        <v>#REF!</v>
      </c>
      <c r="AF3536" t="e">
        <f xml:space="preserve">
IF(#REF!&gt;=4,4,0)+
IF(#REF!="yes",3,0)+
IF(#REF!="High Charges",3,0)+
IF(#REF!&gt;250,4,0)+
IF(#REF!="no",1,0)+
IF(#REF!="Heavy Domestic User",2,0)</f>
        <v>#REF!</v>
      </c>
      <c r="AG3536" t="e">
        <f>IF(#REF!&gt;=10,"High Risk", IF(#REF!&gt;=5,"Medium Risk","Low Risk"))</f>
        <v>#REF!</v>
      </c>
      <c r="AH3536" t="e">
        <f>#REF! + #REF! + #REF! + #REF!</f>
        <v>#REF!</v>
      </c>
    </row>
    <row r="3537" spans="1:34" x14ac:dyDescent="0.35">
      <c r="A3537">
        <v>3536</v>
      </c>
      <c r="B3537" t="s">
        <v>33</v>
      </c>
      <c r="C3537">
        <v>1</v>
      </c>
      <c r="D3537" t="s">
        <v>28</v>
      </c>
      <c r="E3537" t="s">
        <v>22</v>
      </c>
      <c r="F3537" t="s">
        <v>22</v>
      </c>
      <c r="G3537">
        <v>0</v>
      </c>
      <c r="H3537">
        <v>241.5</v>
      </c>
      <c r="I3537">
        <v>114</v>
      </c>
      <c r="J3537">
        <v>41.06</v>
      </c>
      <c r="K3537">
        <v>195.2</v>
      </c>
      <c r="L3537">
        <v>94</v>
      </c>
      <c r="M3537">
        <v>16.59</v>
      </c>
      <c r="N3537">
        <v>201.6</v>
      </c>
      <c r="O3537">
        <v>93</v>
      </c>
      <c r="P3537">
        <v>9.07</v>
      </c>
      <c r="Q3537">
        <v>14.1</v>
      </c>
      <c r="R3537">
        <v>3</v>
      </c>
      <c r="S3537">
        <v>3.81</v>
      </c>
      <c r="T3537">
        <v>3</v>
      </c>
      <c r="U3537" t="s">
        <v>22</v>
      </c>
      <c r="V3537" t="e">
        <f>IF(#REF! = "yes", 1, 0)</f>
        <v>#REF!</v>
      </c>
      <c r="W3537" t="e">
        <f>IF(#REF! &lt;= 1, "0-1 Calls", IF(#REF! &lt;= 3, "2-3 Calls", IF(#REF! &lt;=5, "4-5 Calls", "6+ Calls")))</f>
        <v>#REF!</v>
      </c>
      <c r="X3537" t="e">
        <f>IF(#REF! &lt;= 50, "0-50", IF(#REF! &lt;=100, "51-100", IF(#REF! &lt;= 150, "101-150", "151+")))</f>
        <v>#REF!</v>
      </c>
      <c r="Y3537" t="e">
        <f>IF(#REF! &lt;= 3, "Low Charges", "High Charges")</f>
        <v>#REF!</v>
      </c>
      <c r="Z3537" t="e">
        <f>IF(#REF!&lt;=80,"Low Calls",
IF(#REF!&lt;=120,"Medium Calls","High Calls"))</f>
        <v>#REF!</v>
      </c>
      <c r="AA3537" t="e">
        <f>IF(#REF!&lt;=15,"Low Charges",
IF(#REF!&lt;=20,"Medium Charges","High Charges"))</f>
        <v>#REF!</v>
      </c>
      <c r="AB3537" t="e">
        <f>IF(AND(#REF!&gt;180, #REF!&gt;200), "Heavy Doemstic User", IF(#REF!&gt;10, "Interntional User", IF(AND(#REF!&lt;180, #REF!&lt;200,#REF!&lt;200), "Light User", "Balanced User")))</f>
        <v>#REF!</v>
      </c>
      <c r="AC3537" t="e">
        <f>IF(#REF! = 0, "No Usage", IF(#REF! &lt;= 20, "Low Usage", IF(#REF! &lt;= 40, "Medium Usgae", "High Usage")))</f>
        <v>#REF!</v>
      </c>
      <c r="AD3537" t="e">
        <f>IF(#REF!&lt;=150,"Low Usage", IF(#REF!&lt;=200,"Medium Usage", IF(#REF!&lt;=250,"High Usage","Very High Usage")))</f>
        <v>#REF!</v>
      </c>
      <c r="AE3537" t="e">
        <f>IF(#REF!&lt;=5,"Low Calls", IF(#REF!&lt;=10, "Medium Calls", "High Calls"))</f>
        <v>#REF!</v>
      </c>
      <c r="AF3537" t="e">
        <f xml:space="preserve">
IF(#REF!&gt;=4,4,0)+
IF(#REF!="yes",3,0)+
IF(#REF!="High Charges",3,0)+
IF(#REF!&gt;250,4,0)+
IF(#REF!="no",1,0)+
IF(#REF!="Heavy Domestic User",2,0)</f>
        <v>#REF!</v>
      </c>
      <c r="AG3537" t="e">
        <f>IF(#REF!&gt;=10,"High Risk", IF(#REF!&gt;=5,"Medium Risk","Low Risk"))</f>
        <v>#REF!</v>
      </c>
      <c r="AH3537" t="e">
        <f>#REF! + #REF! + #REF! + #REF!</f>
        <v>#REF!</v>
      </c>
    </row>
    <row r="3538" spans="1:34" x14ac:dyDescent="0.35">
      <c r="A3538">
        <v>3537</v>
      </c>
      <c r="B3538" t="s">
        <v>44</v>
      </c>
      <c r="C3538">
        <v>62</v>
      </c>
      <c r="D3538" t="s">
        <v>21</v>
      </c>
      <c r="E3538" t="s">
        <v>22</v>
      </c>
      <c r="F3538" t="s">
        <v>22</v>
      </c>
      <c r="G3538">
        <v>0</v>
      </c>
      <c r="H3538">
        <v>116.5</v>
      </c>
      <c r="I3538">
        <v>77</v>
      </c>
      <c r="J3538">
        <v>19.809999999999999</v>
      </c>
      <c r="K3538">
        <v>186.1</v>
      </c>
      <c r="L3538">
        <v>111</v>
      </c>
      <c r="M3538">
        <v>15.82</v>
      </c>
      <c r="N3538">
        <v>180.6</v>
      </c>
      <c r="O3538">
        <v>72</v>
      </c>
      <c r="P3538">
        <v>8.1300000000000008</v>
      </c>
      <c r="Q3538">
        <v>16.100000000000001</v>
      </c>
      <c r="R3538">
        <v>2</v>
      </c>
      <c r="S3538">
        <v>4.3499999999999996</v>
      </c>
      <c r="T3538">
        <v>3</v>
      </c>
      <c r="U3538" t="s">
        <v>22</v>
      </c>
      <c r="V3538" t="e">
        <f>IF(#REF! = "yes", 1, 0)</f>
        <v>#REF!</v>
      </c>
      <c r="W3538" t="e">
        <f>IF(#REF! &lt;= 1, "0-1 Calls", IF(#REF! &lt;= 3, "2-3 Calls", IF(#REF! &lt;=5, "4-5 Calls", "6+ Calls")))</f>
        <v>#REF!</v>
      </c>
      <c r="X3538" t="e">
        <f>IF(#REF! &lt;= 50, "0-50", IF(#REF! &lt;=100, "51-100", IF(#REF! &lt;= 150, "101-150", "151+")))</f>
        <v>#REF!</v>
      </c>
      <c r="Y3538" t="e">
        <f>IF(#REF! &lt;= 3, "Low Charges", "High Charges")</f>
        <v>#REF!</v>
      </c>
      <c r="Z3538" t="e">
        <f>IF(#REF!&lt;=80,"Low Calls",
IF(#REF!&lt;=120,"Medium Calls","High Calls"))</f>
        <v>#REF!</v>
      </c>
      <c r="AA3538" t="e">
        <f>IF(#REF!&lt;=15,"Low Charges",
IF(#REF!&lt;=20,"Medium Charges","High Charges"))</f>
        <v>#REF!</v>
      </c>
      <c r="AB3538" t="e">
        <f>IF(AND(#REF!&gt;180, #REF!&gt;200), "Heavy Doemstic User", IF(#REF!&gt;10, "Interntional User", IF(AND(#REF!&lt;180, #REF!&lt;200,#REF!&lt;200), "Light User", "Balanced User")))</f>
        <v>#REF!</v>
      </c>
      <c r="AC3538" t="e">
        <f>IF(#REF! = 0, "No Usage", IF(#REF! &lt;= 20, "Low Usage", IF(#REF! &lt;= 40, "Medium Usgae", "High Usage")))</f>
        <v>#REF!</v>
      </c>
      <c r="AD3538" t="e">
        <f>IF(#REF!&lt;=150,"Low Usage", IF(#REF!&lt;=200,"Medium Usage", IF(#REF!&lt;=250,"High Usage","Very High Usage")))</f>
        <v>#REF!</v>
      </c>
      <c r="AE3538" t="e">
        <f>IF(#REF!&lt;=5,"Low Calls", IF(#REF!&lt;=10, "Medium Calls", "High Calls"))</f>
        <v>#REF!</v>
      </c>
      <c r="AF3538" t="e">
        <f xml:space="preserve">
IF(#REF!&gt;=4,4,0)+
IF(#REF!="yes",3,0)+
IF(#REF!="High Charges",3,0)+
IF(#REF!&gt;250,4,0)+
IF(#REF!="no",1,0)+
IF(#REF!="Heavy Domestic User",2,0)</f>
        <v>#REF!</v>
      </c>
      <c r="AG3538" t="e">
        <f>IF(#REF!&gt;=10,"High Risk", IF(#REF!&gt;=5,"Medium Risk","Low Risk"))</f>
        <v>#REF!</v>
      </c>
      <c r="AH3538" t="e">
        <f>#REF! + #REF! + #REF! + #REF!</f>
        <v>#REF!</v>
      </c>
    </row>
    <row r="3539" spans="1:34" x14ac:dyDescent="0.35">
      <c r="A3539">
        <v>3538</v>
      </c>
      <c r="B3539" t="s">
        <v>59</v>
      </c>
      <c r="C3539">
        <v>112</v>
      </c>
      <c r="D3539" t="s">
        <v>21</v>
      </c>
      <c r="E3539" t="s">
        <v>22</v>
      </c>
      <c r="F3539" t="s">
        <v>22</v>
      </c>
      <c r="G3539">
        <v>0</v>
      </c>
      <c r="H3539">
        <v>158.1</v>
      </c>
      <c r="I3539">
        <v>107</v>
      </c>
      <c r="J3539">
        <v>26.88</v>
      </c>
      <c r="K3539">
        <v>181.5</v>
      </c>
      <c r="L3539">
        <v>101</v>
      </c>
      <c r="M3539">
        <v>15.43</v>
      </c>
      <c r="N3539">
        <v>200.3</v>
      </c>
      <c r="O3539">
        <v>126</v>
      </c>
      <c r="P3539">
        <v>9.01</v>
      </c>
      <c r="Q3539">
        <v>8.3000000000000007</v>
      </c>
      <c r="R3539">
        <v>7</v>
      </c>
      <c r="S3539">
        <v>2.2400000000000002</v>
      </c>
      <c r="T3539">
        <v>1</v>
      </c>
      <c r="U3539" t="s">
        <v>22</v>
      </c>
      <c r="V3539" t="e">
        <f>IF(#REF! = "yes", 1, 0)</f>
        <v>#REF!</v>
      </c>
      <c r="W3539" t="e">
        <f>IF(#REF! &lt;= 1, "0-1 Calls", IF(#REF! &lt;= 3, "2-3 Calls", IF(#REF! &lt;=5, "4-5 Calls", "6+ Calls")))</f>
        <v>#REF!</v>
      </c>
      <c r="X3539" t="e">
        <f>IF(#REF! &lt;= 50, "0-50", IF(#REF! &lt;=100, "51-100", IF(#REF! &lt;= 150, "101-150", "151+")))</f>
        <v>#REF!</v>
      </c>
      <c r="Y3539" t="e">
        <f>IF(#REF! &lt;= 3, "Low Charges", "High Charges")</f>
        <v>#REF!</v>
      </c>
      <c r="Z3539" t="e">
        <f>IF(#REF!&lt;=80,"Low Calls",
IF(#REF!&lt;=120,"Medium Calls","High Calls"))</f>
        <v>#REF!</v>
      </c>
      <c r="AA3539" t="e">
        <f>IF(#REF!&lt;=15,"Low Charges",
IF(#REF!&lt;=20,"Medium Charges","High Charges"))</f>
        <v>#REF!</v>
      </c>
      <c r="AB3539" t="e">
        <f>IF(AND(#REF!&gt;180, #REF!&gt;200), "Heavy Doemstic User", IF(#REF!&gt;10, "Interntional User", IF(AND(#REF!&lt;180, #REF!&lt;200,#REF!&lt;200), "Light User", "Balanced User")))</f>
        <v>#REF!</v>
      </c>
      <c r="AC3539" t="e">
        <f>IF(#REF! = 0, "No Usage", IF(#REF! &lt;= 20, "Low Usage", IF(#REF! &lt;= 40, "Medium Usgae", "High Usage")))</f>
        <v>#REF!</v>
      </c>
      <c r="AD3539" t="e">
        <f>IF(#REF!&lt;=150,"Low Usage", IF(#REF!&lt;=200,"Medium Usage", IF(#REF!&lt;=250,"High Usage","Very High Usage")))</f>
        <v>#REF!</v>
      </c>
      <c r="AE3539" t="e">
        <f>IF(#REF!&lt;=5,"Low Calls", IF(#REF!&lt;=10, "Medium Calls", "High Calls"))</f>
        <v>#REF!</v>
      </c>
      <c r="AF3539" t="e">
        <f xml:space="preserve">
IF(#REF!&gt;=4,4,0)+
IF(#REF!="yes",3,0)+
IF(#REF!="High Charges",3,0)+
IF(#REF!&gt;250,4,0)+
IF(#REF!="no",1,0)+
IF(#REF!="Heavy Domestic User",2,0)</f>
        <v>#REF!</v>
      </c>
      <c r="AG3539" t="e">
        <f>IF(#REF!&gt;=10,"High Risk", IF(#REF!&gt;=5,"Medium Risk","Low Risk"))</f>
        <v>#REF!</v>
      </c>
      <c r="AH3539" t="e">
        <f>#REF! + #REF! + #REF! + #REF!</f>
        <v>#REF!</v>
      </c>
    </row>
    <row r="3540" spans="1:34" x14ac:dyDescent="0.35">
      <c r="A3540">
        <v>3539</v>
      </c>
      <c r="B3540" t="s">
        <v>41</v>
      </c>
      <c r="C3540">
        <v>82</v>
      </c>
      <c r="D3540" t="s">
        <v>25</v>
      </c>
      <c r="E3540" t="s">
        <v>22</v>
      </c>
      <c r="F3540" t="s">
        <v>22</v>
      </c>
      <c r="G3540">
        <v>0</v>
      </c>
      <c r="H3540">
        <v>121.6</v>
      </c>
      <c r="I3540">
        <v>81</v>
      </c>
      <c r="J3540">
        <v>20.67</v>
      </c>
      <c r="K3540">
        <v>191.3</v>
      </c>
      <c r="L3540">
        <v>109</v>
      </c>
      <c r="M3540">
        <v>16.260000000000002</v>
      </c>
      <c r="N3540">
        <v>231.4</v>
      </c>
      <c r="O3540">
        <v>81</v>
      </c>
      <c r="P3540">
        <v>10.41</v>
      </c>
      <c r="Q3540">
        <v>8.6</v>
      </c>
      <c r="R3540">
        <v>5</v>
      </c>
      <c r="S3540">
        <v>2.3199999999999998</v>
      </c>
      <c r="T3540">
        <v>3</v>
      </c>
      <c r="U3540" t="s">
        <v>22</v>
      </c>
      <c r="V3540" t="e">
        <f>IF(#REF! = "yes", 1, 0)</f>
        <v>#REF!</v>
      </c>
      <c r="W3540" t="e">
        <f>IF(#REF! &lt;= 1, "0-1 Calls", IF(#REF! &lt;= 3, "2-3 Calls", IF(#REF! &lt;=5, "4-5 Calls", "6+ Calls")))</f>
        <v>#REF!</v>
      </c>
      <c r="X3540" t="e">
        <f>IF(#REF! &lt;= 50, "0-50", IF(#REF! &lt;=100, "51-100", IF(#REF! &lt;= 150, "101-150", "151+")))</f>
        <v>#REF!</v>
      </c>
      <c r="Y3540" t="e">
        <f>IF(#REF! &lt;= 3, "Low Charges", "High Charges")</f>
        <v>#REF!</v>
      </c>
      <c r="Z3540" t="e">
        <f>IF(#REF!&lt;=80,"Low Calls",
IF(#REF!&lt;=120,"Medium Calls","High Calls"))</f>
        <v>#REF!</v>
      </c>
      <c r="AA3540" t="e">
        <f>IF(#REF!&lt;=15,"Low Charges",
IF(#REF!&lt;=20,"Medium Charges","High Charges"))</f>
        <v>#REF!</v>
      </c>
      <c r="AB3540" t="e">
        <f>IF(AND(#REF!&gt;180, #REF!&gt;200), "Heavy Doemstic User", IF(#REF!&gt;10, "Interntional User", IF(AND(#REF!&lt;180, #REF!&lt;200,#REF!&lt;200), "Light User", "Balanced User")))</f>
        <v>#REF!</v>
      </c>
      <c r="AC3540" t="e">
        <f>IF(#REF! = 0, "No Usage", IF(#REF! &lt;= 20, "Low Usage", IF(#REF! &lt;= 40, "Medium Usgae", "High Usage")))</f>
        <v>#REF!</v>
      </c>
      <c r="AD3540" t="e">
        <f>IF(#REF!&lt;=150,"Low Usage", IF(#REF!&lt;=200,"Medium Usage", IF(#REF!&lt;=250,"High Usage","Very High Usage")))</f>
        <v>#REF!</v>
      </c>
      <c r="AE3540" t="e">
        <f>IF(#REF!&lt;=5,"Low Calls", IF(#REF!&lt;=10, "Medium Calls", "High Calls"))</f>
        <v>#REF!</v>
      </c>
      <c r="AF3540" t="e">
        <f xml:space="preserve">
IF(#REF!&gt;=4,4,0)+
IF(#REF!="yes",3,0)+
IF(#REF!="High Charges",3,0)+
IF(#REF!&gt;250,4,0)+
IF(#REF!="no",1,0)+
IF(#REF!="Heavy Domestic User",2,0)</f>
        <v>#REF!</v>
      </c>
      <c r="AG3540" t="e">
        <f>IF(#REF!&gt;=10,"High Risk", IF(#REF!&gt;=5,"Medium Risk","Low Risk"))</f>
        <v>#REF!</v>
      </c>
      <c r="AH3540" t="e">
        <f>#REF! + #REF! + #REF! + #REF!</f>
        <v>#REF!</v>
      </c>
    </row>
    <row r="3541" spans="1:34" x14ac:dyDescent="0.35">
      <c r="A3541">
        <v>3540</v>
      </c>
      <c r="B3541" t="s">
        <v>68</v>
      </c>
      <c r="C3541">
        <v>55</v>
      </c>
      <c r="D3541" t="s">
        <v>21</v>
      </c>
      <c r="E3541" t="s">
        <v>22</v>
      </c>
      <c r="F3541" t="s">
        <v>23</v>
      </c>
      <c r="G3541">
        <v>28</v>
      </c>
      <c r="H3541">
        <v>222.5</v>
      </c>
      <c r="I3541">
        <v>134</v>
      </c>
      <c r="J3541">
        <v>37.83</v>
      </c>
      <c r="K3541">
        <v>177.8</v>
      </c>
      <c r="L3541">
        <v>106</v>
      </c>
      <c r="M3541">
        <v>15.11</v>
      </c>
      <c r="N3541">
        <v>194.6</v>
      </c>
      <c r="O3541">
        <v>90</v>
      </c>
      <c r="P3541">
        <v>8.76</v>
      </c>
      <c r="Q3541">
        <v>9.6999999999999993</v>
      </c>
      <c r="R3541">
        <v>4</v>
      </c>
      <c r="S3541">
        <v>2.62</v>
      </c>
      <c r="T3541">
        <v>2</v>
      </c>
      <c r="U3541" t="s">
        <v>22</v>
      </c>
      <c r="V3541" t="e">
        <f>IF(#REF! = "yes", 1, 0)</f>
        <v>#REF!</v>
      </c>
      <c r="W3541" t="e">
        <f>IF(#REF! &lt;= 1, "0-1 Calls", IF(#REF! &lt;= 3, "2-3 Calls", IF(#REF! &lt;=5, "4-5 Calls", "6+ Calls")))</f>
        <v>#REF!</v>
      </c>
      <c r="X3541" t="e">
        <f>IF(#REF! &lt;= 50, "0-50", IF(#REF! &lt;=100, "51-100", IF(#REF! &lt;= 150, "101-150", "151+")))</f>
        <v>#REF!</v>
      </c>
      <c r="Y3541" t="e">
        <f>IF(#REF! &lt;= 3, "Low Charges", "High Charges")</f>
        <v>#REF!</v>
      </c>
      <c r="Z3541" t="e">
        <f>IF(#REF!&lt;=80,"Low Calls",
IF(#REF!&lt;=120,"Medium Calls","High Calls"))</f>
        <v>#REF!</v>
      </c>
      <c r="AA3541" t="e">
        <f>IF(#REF!&lt;=15,"Low Charges",
IF(#REF!&lt;=20,"Medium Charges","High Charges"))</f>
        <v>#REF!</v>
      </c>
      <c r="AB3541" t="e">
        <f>IF(AND(#REF!&gt;180, #REF!&gt;200), "Heavy Doemstic User", IF(#REF!&gt;10, "Interntional User", IF(AND(#REF!&lt;180, #REF!&lt;200,#REF!&lt;200), "Light User", "Balanced User")))</f>
        <v>#REF!</v>
      </c>
      <c r="AC3541" t="e">
        <f>IF(#REF! = 0, "No Usage", IF(#REF! &lt;= 20, "Low Usage", IF(#REF! &lt;= 40, "Medium Usgae", "High Usage")))</f>
        <v>#REF!</v>
      </c>
      <c r="AD3541" t="e">
        <f>IF(#REF!&lt;=150,"Low Usage", IF(#REF!&lt;=200,"Medium Usage", IF(#REF!&lt;=250,"High Usage","Very High Usage")))</f>
        <v>#REF!</v>
      </c>
      <c r="AE3541" t="e">
        <f>IF(#REF!&lt;=5,"Low Calls", IF(#REF!&lt;=10, "Medium Calls", "High Calls"))</f>
        <v>#REF!</v>
      </c>
      <c r="AF3541" t="e">
        <f xml:space="preserve">
IF(#REF!&gt;=4,4,0)+
IF(#REF!="yes",3,0)+
IF(#REF!="High Charges",3,0)+
IF(#REF!&gt;250,4,0)+
IF(#REF!="no",1,0)+
IF(#REF!="Heavy Domestic User",2,0)</f>
        <v>#REF!</v>
      </c>
      <c r="AG3541" t="e">
        <f>IF(#REF!&gt;=10,"High Risk", IF(#REF!&gt;=5,"Medium Risk","Low Risk"))</f>
        <v>#REF!</v>
      </c>
      <c r="AH3541" t="e">
        <f>#REF! + #REF! + #REF! + #REF!</f>
        <v>#REF!</v>
      </c>
    </row>
    <row r="3542" spans="1:34" x14ac:dyDescent="0.35">
      <c r="A3542">
        <v>3541</v>
      </c>
      <c r="B3542" t="s">
        <v>34</v>
      </c>
      <c r="C3542">
        <v>82</v>
      </c>
      <c r="D3542" t="s">
        <v>28</v>
      </c>
      <c r="E3542" t="s">
        <v>22</v>
      </c>
      <c r="F3542" t="s">
        <v>23</v>
      </c>
      <c r="G3542">
        <v>23</v>
      </c>
      <c r="H3542">
        <v>123.7</v>
      </c>
      <c r="I3542">
        <v>93</v>
      </c>
      <c r="J3542">
        <v>21.03</v>
      </c>
      <c r="K3542">
        <v>139.1</v>
      </c>
      <c r="L3542">
        <v>74</v>
      </c>
      <c r="M3542">
        <v>11.82</v>
      </c>
      <c r="N3542">
        <v>174.5</v>
      </c>
      <c r="O3542">
        <v>118</v>
      </c>
      <c r="P3542">
        <v>7.85</v>
      </c>
      <c r="Q3542">
        <v>10.6</v>
      </c>
      <c r="R3542">
        <v>2</v>
      </c>
      <c r="S3542">
        <v>2.86</v>
      </c>
      <c r="T3542">
        <v>1</v>
      </c>
      <c r="U3542" t="s">
        <v>22</v>
      </c>
      <c r="V3542" t="e">
        <f>IF(#REF! = "yes", 1, 0)</f>
        <v>#REF!</v>
      </c>
      <c r="W3542" t="e">
        <f>IF(#REF! &lt;= 1, "0-1 Calls", IF(#REF! &lt;= 3, "2-3 Calls", IF(#REF! &lt;=5, "4-5 Calls", "6+ Calls")))</f>
        <v>#REF!</v>
      </c>
      <c r="X3542" t="e">
        <f>IF(#REF! &lt;= 50, "0-50", IF(#REF! &lt;=100, "51-100", IF(#REF! &lt;= 150, "101-150", "151+")))</f>
        <v>#REF!</v>
      </c>
      <c r="Y3542" t="e">
        <f>IF(#REF! &lt;= 3, "Low Charges", "High Charges")</f>
        <v>#REF!</v>
      </c>
      <c r="Z3542" t="e">
        <f>IF(#REF!&lt;=80,"Low Calls",
IF(#REF!&lt;=120,"Medium Calls","High Calls"))</f>
        <v>#REF!</v>
      </c>
      <c r="AA3542" t="e">
        <f>IF(#REF!&lt;=15,"Low Charges",
IF(#REF!&lt;=20,"Medium Charges","High Charges"))</f>
        <v>#REF!</v>
      </c>
      <c r="AB3542" t="e">
        <f>IF(AND(#REF!&gt;180, #REF!&gt;200), "Heavy Doemstic User", IF(#REF!&gt;10, "Interntional User", IF(AND(#REF!&lt;180, #REF!&lt;200,#REF!&lt;200), "Light User", "Balanced User")))</f>
        <v>#REF!</v>
      </c>
      <c r="AC3542" t="e">
        <f>IF(#REF! = 0, "No Usage", IF(#REF! &lt;= 20, "Low Usage", IF(#REF! &lt;= 40, "Medium Usgae", "High Usage")))</f>
        <v>#REF!</v>
      </c>
      <c r="AD3542" t="e">
        <f>IF(#REF!&lt;=150,"Low Usage", IF(#REF!&lt;=200,"Medium Usage", IF(#REF!&lt;=250,"High Usage","Very High Usage")))</f>
        <v>#REF!</v>
      </c>
      <c r="AE3542" t="e">
        <f>IF(#REF!&lt;=5,"Low Calls", IF(#REF!&lt;=10, "Medium Calls", "High Calls"))</f>
        <v>#REF!</v>
      </c>
      <c r="AF3542" t="e">
        <f xml:space="preserve">
IF(#REF!&gt;=4,4,0)+
IF(#REF!="yes",3,0)+
IF(#REF!="High Charges",3,0)+
IF(#REF!&gt;250,4,0)+
IF(#REF!="no",1,0)+
IF(#REF!="Heavy Domestic User",2,0)</f>
        <v>#REF!</v>
      </c>
      <c r="AG3542" t="e">
        <f>IF(#REF!&gt;=10,"High Risk", IF(#REF!&gt;=5,"Medium Risk","Low Risk"))</f>
        <v>#REF!</v>
      </c>
      <c r="AH3542" t="e">
        <f>#REF! + #REF! + #REF! + #REF!</f>
        <v>#REF!</v>
      </c>
    </row>
    <row r="3543" spans="1:34" x14ac:dyDescent="0.35">
      <c r="A3543">
        <v>3542</v>
      </c>
      <c r="B3543" t="s">
        <v>20</v>
      </c>
      <c r="C3543">
        <v>69</v>
      </c>
      <c r="D3543" t="s">
        <v>21</v>
      </c>
      <c r="E3543" t="s">
        <v>22</v>
      </c>
      <c r="F3543" t="s">
        <v>22</v>
      </c>
      <c r="G3543">
        <v>0</v>
      </c>
      <c r="H3543">
        <v>244.8</v>
      </c>
      <c r="I3543">
        <v>76</v>
      </c>
      <c r="J3543">
        <v>41.62</v>
      </c>
      <c r="K3543">
        <v>77.2</v>
      </c>
      <c r="L3543">
        <v>100</v>
      </c>
      <c r="M3543">
        <v>6.56</v>
      </c>
      <c r="N3543">
        <v>222.8</v>
      </c>
      <c r="O3543">
        <v>102</v>
      </c>
      <c r="P3543">
        <v>10.029999999999999</v>
      </c>
      <c r="Q3543">
        <v>10</v>
      </c>
      <c r="R3543">
        <v>3</v>
      </c>
      <c r="S3543">
        <v>2.7</v>
      </c>
      <c r="T3543">
        <v>0</v>
      </c>
      <c r="U3543" t="s">
        <v>22</v>
      </c>
      <c r="V3543" t="e">
        <f>IF(#REF! = "yes", 1, 0)</f>
        <v>#REF!</v>
      </c>
      <c r="W3543" t="e">
        <f>IF(#REF! &lt;= 1, "0-1 Calls", IF(#REF! &lt;= 3, "2-3 Calls", IF(#REF! &lt;=5, "4-5 Calls", "6+ Calls")))</f>
        <v>#REF!</v>
      </c>
      <c r="X3543" t="e">
        <f>IF(#REF! &lt;= 50, "0-50", IF(#REF! &lt;=100, "51-100", IF(#REF! &lt;= 150, "101-150", "151+")))</f>
        <v>#REF!</v>
      </c>
      <c r="Y3543" t="e">
        <f>IF(#REF! &lt;= 3, "Low Charges", "High Charges")</f>
        <v>#REF!</v>
      </c>
      <c r="Z3543" t="e">
        <f>IF(#REF!&lt;=80,"Low Calls",
IF(#REF!&lt;=120,"Medium Calls","High Calls"))</f>
        <v>#REF!</v>
      </c>
      <c r="AA3543" t="e">
        <f>IF(#REF!&lt;=15,"Low Charges",
IF(#REF!&lt;=20,"Medium Charges","High Charges"))</f>
        <v>#REF!</v>
      </c>
      <c r="AB3543" t="e">
        <f>IF(AND(#REF!&gt;180, #REF!&gt;200), "Heavy Doemstic User", IF(#REF!&gt;10, "Interntional User", IF(AND(#REF!&lt;180, #REF!&lt;200,#REF!&lt;200), "Light User", "Balanced User")))</f>
        <v>#REF!</v>
      </c>
      <c r="AC3543" t="e">
        <f>IF(#REF! = 0, "No Usage", IF(#REF! &lt;= 20, "Low Usage", IF(#REF! &lt;= 40, "Medium Usgae", "High Usage")))</f>
        <v>#REF!</v>
      </c>
      <c r="AD3543" t="e">
        <f>IF(#REF!&lt;=150,"Low Usage", IF(#REF!&lt;=200,"Medium Usage", IF(#REF!&lt;=250,"High Usage","Very High Usage")))</f>
        <v>#REF!</v>
      </c>
      <c r="AE3543" t="e">
        <f>IF(#REF!&lt;=5,"Low Calls", IF(#REF!&lt;=10, "Medium Calls", "High Calls"))</f>
        <v>#REF!</v>
      </c>
      <c r="AF3543" t="e">
        <f xml:space="preserve">
IF(#REF!&gt;=4,4,0)+
IF(#REF!="yes",3,0)+
IF(#REF!="High Charges",3,0)+
IF(#REF!&gt;250,4,0)+
IF(#REF!="no",1,0)+
IF(#REF!="Heavy Domestic User",2,0)</f>
        <v>#REF!</v>
      </c>
      <c r="AG3543" t="e">
        <f>IF(#REF!&gt;=10,"High Risk", IF(#REF!&gt;=5,"Medium Risk","Low Risk"))</f>
        <v>#REF!</v>
      </c>
      <c r="AH3543" t="e">
        <f>#REF! + #REF! + #REF! + #REF!</f>
        <v>#REF!</v>
      </c>
    </row>
    <row r="3544" spans="1:34" x14ac:dyDescent="0.35">
      <c r="A3544">
        <v>3543</v>
      </c>
      <c r="B3544" t="s">
        <v>45</v>
      </c>
      <c r="C3544">
        <v>87</v>
      </c>
      <c r="D3544" t="s">
        <v>28</v>
      </c>
      <c r="E3544" t="s">
        <v>22</v>
      </c>
      <c r="F3544" t="s">
        <v>22</v>
      </c>
      <c r="G3544">
        <v>0</v>
      </c>
      <c r="H3544">
        <v>297.39999999999998</v>
      </c>
      <c r="I3544">
        <v>63</v>
      </c>
      <c r="J3544">
        <v>50.56</v>
      </c>
      <c r="K3544">
        <v>118.4</v>
      </c>
      <c r="L3544">
        <v>108</v>
      </c>
      <c r="M3544">
        <v>10.06</v>
      </c>
      <c r="N3544">
        <v>242.3</v>
      </c>
      <c r="O3544">
        <v>72</v>
      </c>
      <c r="P3544">
        <v>10.9</v>
      </c>
      <c r="Q3544">
        <v>11</v>
      </c>
      <c r="R3544">
        <v>2</v>
      </c>
      <c r="S3544">
        <v>2.97</v>
      </c>
      <c r="T3544">
        <v>2</v>
      </c>
      <c r="U3544" t="s">
        <v>23</v>
      </c>
      <c r="V3544" t="e">
        <f>IF(#REF! = "yes", 1, 0)</f>
        <v>#REF!</v>
      </c>
      <c r="W3544" t="e">
        <f>IF(#REF! &lt;= 1, "0-1 Calls", IF(#REF! &lt;= 3, "2-3 Calls", IF(#REF! &lt;=5, "4-5 Calls", "6+ Calls")))</f>
        <v>#REF!</v>
      </c>
      <c r="X3544" t="e">
        <f>IF(#REF! &lt;= 50, "0-50", IF(#REF! &lt;=100, "51-100", IF(#REF! &lt;= 150, "101-150", "151+")))</f>
        <v>#REF!</v>
      </c>
      <c r="Y3544" t="e">
        <f>IF(#REF! &lt;= 3, "Low Charges", "High Charges")</f>
        <v>#REF!</v>
      </c>
      <c r="Z3544" t="e">
        <f>IF(#REF!&lt;=80,"Low Calls",
IF(#REF!&lt;=120,"Medium Calls","High Calls"))</f>
        <v>#REF!</v>
      </c>
      <c r="AA3544" t="e">
        <f>IF(#REF!&lt;=15,"Low Charges",
IF(#REF!&lt;=20,"Medium Charges","High Charges"))</f>
        <v>#REF!</v>
      </c>
      <c r="AB3544" t="e">
        <f>IF(AND(#REF!&gt;180, #REF!&gt;200), "Heavy Doemstic User", IF(#REF!&gt;10, "Interntional User", IF(AND(#REF!&lt;180, #REF!&lt;200,#REF!&lt;200), "Light User", "Balanced User")))</f>
        <v>#REF!</v>
      </c>
      <c r="AC3544" t="e">
        <f>IF(#REF! = 0, "No Usage", IF(#REF! &lt;= 20, "Low Usage", IF(#REF! &lt;= 40, "Medium Usgae", "High Usage")))</f>
        <v>#REF!</v>
      </c>
      <c r="AD3544" t="e">
        <f>IF(#REF!&lt;=150,"Low Usage", IF(#REF!&lt;=200,"Medium Usage", IF(#REF!&lt;=250,"High Usage","Very High Usage")))</f>
        <v>#REF!</v>
      </c>
      <c r="AE3544" t="e">
        <f>IF(#REF!&lt;=5,"Low Calls", IF(#REF!&lt;=10, "Medium Calls", "High Calls"))</f>
        <v>#REF!</v>
      </c>
      <c r="AF3544" t="e">
        <f xml:space="preserve">
IF(#REF!&gt;=4,4,0)+
IF(#REF!="yes",3,0)+
IF(#REF!="High Charges",3,0)+
IF(#REF!&gt;250,4,0)+
IF(#REF!="no",1,0)+
IF(#REF!="Heavy Domestic User",2,0)</f>
        <v>#REF!</v>
      </c>
      <c r="AG3544" t="e">
        <f>IF(#REF!&gt;=10,"High Risk", IF(#REF!&gt;=5,"Medium Risk","Low Risk"))</f>
        <v>#REF!</v>
      </c>
      <c r="AH3544" t="e">
        <f>#REF! + #REF! + #REF! + #REF!</f>
        <v>#REF!</v>
      </c>
    </row>
    <row r="3545" spans="1:34" x14ac:dyDescent="0.35">
      <c r="A3545">
        <v>3544</v>
      </c>
      <c r="B3545" t="s">
        <v>31</v>
      </c>
      <c r="C3545">
        <v>63</v>
      </c>
      <c r="D3545" t="s">
        <v>21</v>
      </c>
      <c r="E3545" t="s">
        <v>22</v>
      </c>
      <c r="F3545" t="s">
        <v>22</v>
      </c>
      <c r="G3545">
        <v>0</v>
      </c>
      <c r="H3545">
        <v>147.80000000000001</v>
      </c>
      <c r="I3545">
        <v>95</v>
      </c>
      <c r="J3545">
        <v>25.13</v>
      </c>
      <c r="K3545">
        <v>201.4</v>
      </c>
      <c r="L3545">
        <v>72</v>
      </c>
      <c r="M3545">
        <v>17.12</v>
      </c>
      <c r="N3545">
        <v>154.9</v>
      </c>
      <c r="O3545">
        <v>118</v>
      </c>
      <c r="P3545">
        <v>6.97</v>
      </c>
      <c r="Q3545">
        <v>8.6</v>
      </c>
      <c r="R3545">
        <v>8</v>
      </c>
      <c r="S3545">
        <v>2.3199999999999998</v>
      </c>
      <c r="T3545">
        <v>1</v>
      </c>
      <c r="U3545" t="s">
        <v>22</v>
      </c>
      <c r="V3545" t="e">
        <f>IF(#REF! = "yes", 1, 0)</f>
        <v>#REF!</v>
      </c>
      <c r="W3545" t="e">
        <f>IF(#REF! &lt;= 1, "0-1 Calls", IF(#REF! &lt;= 3, "2-3 Calls", IF(#REF! &lt;=5, "4-5 Calls", "6+ Calls")))</f>
        <v>#REF!</v>
      </c>
      <c r="X3545" t="e">
        <f>IF(#REF! &lt;= 50, "0-50", IF(#REF! &lt;=100, "51-100", IF(#REF! &lt;= 150, "101-150", "151+")))</f>
        <v>#REF!</v>
      </c>
      <c r="Y3545" t="e">
        <f>IF(#REF! &lt;= 3, "Low Charges", "High Charges")</f>
        <v>#REF!</v>
      </c>
      <c r="Z3545" t="e">
        <f>IF(#REF!&lt;=80,"Low Calls",
IF(#REF!&lt;=120,"Medium Calls","High Calls"))</f>
        <v>#REF!</v>
      </c>
      <c r="AA3545" t="e">
        <f>IF(#REF!&lt;=15,"Low Charges",
IF(#REF!&lt;=20,"Medium Charges","High Charges"))</f>
        <v>#REF!</v>
      </c>
      <c r="AB3545" t="e">
        <f>IF(AND(#REF!&gt;180, #REF!&gt;200), "Heavy Doemstic User", IF(#REF!&gt;10, "Interntional User", IF(AND(#REF!&lt;180, #REF!&lt;200,#REF!&lt;200), "Light User", "Balanced User")))</f>
        <v>#REF!</v>
      </c>
      <c r="AC3545" t="e">
        <f>IF(#REF! = 0, "No Usage", IF(#REF! &lt;= 20, "Low Usage", IF(#REF! &lt;= 40, "Medium Usgae", "High Usage")))</f>
        <v>#REF!</v>
      </c>
      <c r="AD3545" t="e">
        <f>IF(#REF!&lt;=150,"Low Usage", IF(#REF!&lt;=200,"Medium Usage", IF(#REF!&lt;=250,"High Usage","Very High Usage")))</f>
        <v>#REF!</v>
      </c>
      <c r="AE3545" t="e">
        <f>IF(#REF!&lt;=5,"Low Calls", IF(#REF!&lt;=10, "Medium Calls", "High Calls"))</f>
        <v>#REF!</v>
      </c>
      <c r="AF3545" t="e">
        <f xml:space="preserve">
IF(#REF!&gt;=4,4,0)+
IF(#REF!="yes",3,0)+
IF(#REF!="High Charges",3,0)+
IF(#REF!&gt;250,4,0)+
IF(#REF!="no",1,0)+
IF(#REF!="Heavy Domestic User",2,0)</f>
        <v>#REF!</v>
      </c>
      <c r="AG3545" t="e">
        <f>IF(#REF!&gt;=10,"High Risk", IF(#REF!&gt;=5,"Medium Risk","Low Risk"))</f>
        <v>#REF!</v>
      </c>
      <c r="AH3545" t="e">
        <f>#REF! + #REF! + #REF! + #REF!</f>
        <v>#REF!</v>
      </c>
    </row>
    <row r="3546" spans="1:34" x14ac:dyDescent="0.35">
      <c r="A3546">
        <v>3545</v>
      </c>
      <c r="B3546" t="s">
        <v>37</v>
      </c>
      <c r="C3546">
        <v>68</v>
      </c>
      <c r="D3546" t="s">
        <v>21</v>
      </c>
      <c r="E3546" t="s">
        <v>22</v>
      </c>
      <c r="F3546" t="s">
        <v>22</v>
      </c>
      <c r="G3546">
        <v>0</v>
      </c>
      <c r="H3546">
        <v>186.5</v>
      </c>
      <c r="I3546">
        <v>108</v>
      </c>
      <c r="J3546">
        <v>31.71</v>
      </c>
      <c r="K3546">
        <v>190.2</v>
      </c>
      <c r="L3546">
        <v>107</v>
      </c>
      <c r="M3546">
        <v>16.170000000000002</v>
      </c>
      <c r="N3546">
        <v>187.8</v>
      </c>
      <c r="O3546">
        <v>103</v>
      </c>
      <c r="P3546">
        <v>8.4499999999999993</v>
      </c>
      <c r="Q3546">
        <v>11</v>
      </c>
      <c r="R3546">
        <v>5</v>
      </c>
      <c r="S3546">
        <v>2.97</v>
      </c>
      <c r="T3546">
        <v>1</v>
      </c>
      <c r="U3546" t="s">
        <v>22</v>
      </c>
      <c r="V3546" t="e">
        <f>IF(#REF! = "yes", 1, 0)</f>
        <v>#REF!</v>
      </c>
      <c r="W3546" t="e">
        <f>IF(#REF! &lt;= 1, "0-1 Calls", IF(#REF! &lt;= 3, "2-3 Calls", IF(#REF! &lt;=5, "4-5 Calls", "6+ Calls")))</f>
        <v>#REF!</v>
      </c>
      <c r="X3546" t="e">
        <f>IF(#REF! &lt;= 50, "0-50", IF(#REF! &lt;=100, "51-100", IF(#REF! &lt;= 150, "101-150", "151+")))</f>
        <v>#REF!</v>
      </c>
      <c r="Y3546" t="e">
        <f>IF(#REF! &lt;= 3, "Low Charges", "High Charges")</f>
        <v>#REF!</v>
      </c>
      <c r="Z3546" t="e">
        <f>IF(#REF!&lt;=80,"Low Calls",
IF(#REF!&lt;=120,"Medium Calls","High Calls"))</f>
        <v>#REF!</v>
      </c>
      <c r="AA3546" t="e">
        <f>IF(#REF!&lt;=15,"Low Charges",
IF(#REF!&lt;=20,"Medium Charges","High Charges"))</f>
        <v>#REF!</v>
      </c>
      <c r="AB3546" t="e">
        <f>IF(AND(#REF!&gt;180, #REF!&gt;200), "Heavy Doemstic User", IF(#REF!&gt;10, "Interntional User", IF(AND(#REF!&lt;180, #REF!&lt;200,#REF!&lt;200), "Light User", "Balanced User")))</f>
        <v>#REF!</v>
      </c>
      <c r="AC3546" t="e">
        <f>IF(#REF! = 0, "No Usage", IF(#REF! &lt;= 20, "Low Usage", IF(#REF! &lt;= 40, "Medium Usgae", "High Usage")))</f>
        <v>#REF!</v>
      </c>
      <c r="AD3546" t="e">
        <f>IF(#REF!&lt;=150,"Low Usage", IF(#REF!&lt;=200,"Medium Usage", IF(#REF!&lt;=250,"High Usage","Very High Usage")))</f>
        <v>#REF!</v>
      </c>
      <c r="AE3546" t="e">
        <f>IF(#REF!&lt;=5,"Low Calls", IF(#REF!&lt;=10, "Medium Calls", "High Calls"))</f>
        <v>#REF!</v>
      </c>
      <c r="AF3546" t="e">
        <f xml:space="preserve">
IF(#REF!&gt;=4,4,0)+
IF(#REF!="yes",3,0)+
IF(#REF!="High Charges",3,0)+
IF(#REF!&gt;250,4,0)+
IF(#REF!="no",1,0)+
IF(#REF!="Heavy Domestic User",2,0)</f>
        <v>#REF!</v>
      </c>
      <c r="AG3546" t="e">
        <f>IF(#REF!&gt;=10,"High Risk", IF(#REF!&gt;=5,"Medium Risk","Low Risk"))</f>
        <v>#REF!</v>
      </c>
      <c r="AH3546" t="e">
        <f>#REF! + #REF! + #REF! + #REF!</f>
        <v>#REF!</v>
      </c>
    </row>
    <row r="3547" spans="1:34" x14ac:dyDescent="0.35">
      <c r="A3547">
        <v>3546</v>
      </c>
      <c r="B3547" t="s">
        <v>39</v>
      </c>
      <c r="C3547">
        <v>119</v>
      </c>
      <c r="D3547" t="s">
        <v>28</v>
      </c>
      <c r="E3547" t="s">
        <v>22</v>
      </c>
      <c r="F3547" t="s">
        <v>22</v>
      </c>
      <c r="G3547">
        <v>0</v>
      </c>
      <c r="H3547">
        <v>107.2</v>
      </c>
      <c r="I3547">
        <v>100</v>
      </c>
      <c r="J3547">
        <v>18.22</v>
      </c>
      <c r="K3547">
        <v>221.1</v>
      </c>
      <c r="L3547">
        <v>100</v>
      </c>
      <c r="M3547">
        <v>18.79</v>
      </c>
      <c r="N3547">
        <v>212.6</v>
      </c>
      <c r="O3547">
        <v>96</v>
      </c>
      <c r="P3547">
        <v>9.57</v>
      </c>
      <c r="Q3547">
        <v>8.3000000000000007</v>
      </c>
      <c r="R3547">
        <v>3</v>
      </c>
      <c r="S3547">
        <v>2.2400000000000002</v>
      </c>
      <c r="T3547">
        <v>2</v>
      </c>
      <c r="U3547" t="s">
        <v>22</v>
      </c>
      <c r="V3547" t="e">
        <f>IF(#REF! = "yes", 1, 0)</f>
        <v>#REF!</v>
      </c>
      <c r="W3547" t="e">
        <f>IF(#REF! &lt;= 1, "0-1 Calls", IF(#REF! &lt;= 3, "2-3 Calls", IF(#REF! &lt;=5, "4-5 Calls", "6+ Calls")))</f>
        <v>#REF!</v>
      </c>
      <c r="X3547" t="e">
        <f>IF(#REF! &lt;= 50, "0-50", IF(#REF! &lt;=100, "51-100", IF(#REF! &lt;= 150, "101-150", "151+")))</f>
        <v>#REF!</v>
      </c>
      <c r="Y3547" t="e">
        <f>IF(#REF! &lt;= 3, "Low Charges", "High Charges")</f>
        <v>#REF!</v>
      </c>
      <c r="Z3547" t="e">
        <f>IF(#REF!&lt;=80,"Low Calls",
IF(#REF!&lt;=120,"Medium Calls","High Calls"))</f>
        <v>#REF!</v>
      </c>
      <c r="AA3547" t="e">
        <f>IF(#REF!&lt;=15,"Low Charges",
IF(#REF!&lt;=20,"Medium Charges","High Charges"))</f>
        <v>#REF!</v>
      </c>
      <c r="AB3547" t="e">
        <f>IF(AND(#REF!&gt;180, #REF!&gt;200), "Heavy Doemstic User", IF(#REF!&gt;10, "Interntional User", IF(AND(#REF!&lt;180, #REF!&lt;200,#REF!&lt;200), "Light User", "Balanced User")))</f>
        <v>#REF!</v>
      </c>
      <c r="AC3547" t="e">
        <f>IF(#REF! = 0, "No Usage", IF(#REF! &lt;= 20, "Low Usage", IF(#REF! &lt;= 40, "Medium Usgae", "High Usage")))</f>
        <v>#REF!</v>
      </c>
      <c r="AD3547" t="e">
        <f>IF(#REF!&lt;=150,"Low Usage", IF(#REF!&lt;=200,"Medium Usage", IF(#REF!&lt;=250,"High Usage","Very High Usage")))</f>
        <v>#REF!</v>
      </c>
      <c r="AE3547" t="e">
        <f>IF(#REF!&lt;=5,"Low Calls", IF(#REF!&lt;=10, "Medium Calls", "High Calls"))</f>
        <v>#REF!</v>
      </c>
      <c r="AF3547" t="e">
        <f xml:space="preserve">
IF(#REF!&gt;=4,4,0)+
IF(#REF!="yes",3,0)+
IF(#REF!="High Charges",3,0)+
IF(#REF!&gt;250,4,0)+
IF(#REF!="no",1,0)+
IF(#REF!="Heavy Domestic User",2,0)</f>
        <v>#REF!</v>
      </c>
      <c r="AG3547" t="e">
        <f>IF(#REF!&gt;=10,"High Risk", IF(#REF!&gt;=5,"Medium Risk","Low Risk"))</f>
        <v>#REF!</v>
      </c>
      <c r="AH3547" t="e">
        <f>#REF! + #REF! + #REF! + #REF!</f>
        <v>#REF!</v>
      </c>
    </row>
    <row r="3548" spans="1:34" x14ac:dyDescent="0.35">
      <c r="A3548">
        <v>3547</v>
      </c>
      <c r="B3548" t="s">
        <v>37</v>
      </c>
      <c r="C3548">
        <v>43</v>
      </c>
      <c r="D3548" t="s">
        <v>21</v>
      </c>
      <c r="E3548" t="s">
        <v>22</v>
      </c>
      <c r="F3548" t="s">
        <v>23</v>
      </c>
      <c r="G3548">
        <v>36</v>
      </c>
      <c r="H3548">
        <v>93.1</v>
      </c>
      <c r="I3548">
        <v>68</v>
      </c>
      <c r="J3548">
        <v>15.83</v>
      </c>
      <c r="K3548">
        <v>246.1</v>
      </c>
      <c r="L3548">
        <v>83</v>
      </c>
      <c r="M3548">
        <v>20.92</v>
      </c>
      <c r="N3548">
        <v>94.9</v>
      </c>
      <c r="O3548">
        <v>109</v>
      </c>
      <c r="P3548">
        <v>4.2699999999999996</v>
      </c>
      <c r="Q3548">
        <v>8.6999999999999993</v>
      </c>
      <c r="R3548">
        <v>8</v>
      </c>
      <c r="S3548">
        <v>2.35</v>
      </c>
      <c r="T3548">
        <v>1</v>
      </c>
      <c r="U3548" t="s">
        <v>22</v>
      </c>
      <c r="V3548" t="e">
        <f>IF(#REF! = "yes", 1, 0)</f>
        <v>#REF!</v>
      </c>
      <c r="W3548" t="e">
        <f>IF(#REF! &lt;= 1, "0-1 Calls", IF(#REF! &lt;= 3, "2-3 Calls", IF(#REF! &lt;=5, "4-5 Calls", "6+ Calls")))</f>
        <v>#REF!</v>
      </c>
      <c r="X3548" t="e">
        <f>IF(#REF! &lt;= 50, "0-50", IF(#REF! &lt;=100, "51-100", IF(#REF! &lt;= 150, "101-150", "151+")))</f>
        <v>#REF!</v>
      </c>
      <c r="Y3548" t="e">
        <f>IF(#REF! &lt;= 3, "Low Charges", "High Charges")</f>
        <v>#REF!</v>
      </c>
      <c r="Z3548" t="e">
        <f>IF(#REF!&lt;=80,"Low Calls",
IF(#REF!&lt;=120,"Medium Calls","High Calls"))</f>
        <v>#REF!</v>
      </c>
      <c r="AA3548" t="e">
        <f>IF(#REF!&lt;=15,"Low Charges",
IF(#REF!&lt;=20,"Medium Charges","High Charges"))</f>
        <v>#REF!</v>
      </c>
      <c r="AB3548" t="e">
        <f>IF(AND(#REF!&gt;180, #REF!&gt;200), "Heavy Doemstic User", IF(#REF!&gt;10, "Interntional User", IF(AND(#REF!&lt;180, #REF!&lt;200,#REF!&lt;200), "Light User", "Balanced User")))</f>
        <v>#REF!</v>
      </c>
      <c r="AC3548" t="e">
        <f>IF(#REF! = 0, "No Usage", IF(#REF! &lt;= 20, "Low Usage", IF(#REF! &lt;= 40, "Medium Usgae", "High Usage")))</f>
        <v>#REF!</v>
      </c>
      <c r="AD3548" t="e">
        <f>IF(#REF!&lt;=150,"Low Usage", IF(#REF!&lt;=200,"Medium Usage", IF(#REF!&lt;=250,"High Usage","Very High Usage")))</f>
        <v>#REF!</v>
      </c>
      <c r="AE3548" t="e">
        <f>IF(#REF!&lt;=5,"Low Calls", IF(#REF!&lt;=10, "Medium Calls", "High Calls"))</f>
        <v>#REF!</v>
      </c>
      <c r="AF3548" t="e">
        <f xml:space="preserve">
IF(#REF!&gt;=4,4,0)+
IF(#REF!="yes",3,0)+
IF(#REF!="High Charges",3,0)+
IF(#REF!&gt;250,4,0)+
IF(#REF!="no",1,0)+
IF(#REF!="Heavy Domestic User",2,0)</f>
        <v>#REF!</v>
      </c>
      <c r="AG3548" t="e">
        <f>IF(#REF!&gt;=10,"High Risk", IF(#REF!&gt;=5,"Medium Risk","Low Risk"))</f>
        <v>#REF!</v>
      </c>
      <c r="AH3548" t="e">
        <f>#REF! + #REF! + #REF! + #REF!</f>
        <v>#REF!</v>
      </c>
    </row>
    <row r="3549" spans="1:34" x14ac:dyDescent="0.35">
      <c r="A3549">
        <v>3548</v>
      </c>
      <c r="B3549" t="s">
        <v>56</v>
      </c>
      <c r="C3549">
        <v>136</v>
      </c>
      <c r="D3549" t="s">
        <v>28</v>
      </c>
      <c r="E3549" t="s">
        <v>22</v>
      </c>
      <c r="F3549" t="s">
        <v>22</v>
      </c>
      <c r="G3549">
        <v>0</v>
      </c>
      <c r="H3549">
        <v>132.4</v>
      </c>
      <c r="I3549">
        <v>110</v>
      </c>
      <c r="J3549">
        <v>22.51</v>
      </c>
      <c r="K3549">
        <v>254.1</v>
      </c>
      <c r="L3549">
        <v>81</v>
      </c>
      <c r="M3549">
        <v>21.6</v>
      </c>
      <c r="N3549">
        <v>176.5</v>
      </c>
      <c r="O3549">
        <v>100</v>
      </c>
      <c r="P3549">
        <v>7.94</v>
      </c>
      <c r="Q3549">
        <v>13</v>
      </c>
      <c r="R3549">
        <v>6</v>
      </c>
      <c r="S3549">
        <v>3.51</v>
      </c>
      <c r="T3549">
        <v>2</v>
      </c>
      <c r="U3549" t="s">
        <v>22</v>
      </c>
      <c r="V3549" t="e">
        <f>IF(#REF! = "yes", 1, 0)</f>
        <v>#REF!</v>
      </c>
      <c r="W3549" t="e">
        <f>IF(#REF! &lt;= 1, "0-1 Calls", IF(#REF! &lt;= 3, "2-3 Calls", IF(#REF! &lt;=5, "4-5 Calls", "6+ Calls")))</f>
        <v>#REF!</v>
      </c>
      <c r="X3549" t="e">
        <f>IF(#REF! &lt;= 50, "0-50", IF(#REF! &lt;=100, "51-100", IF(#REF! &lt;= 150, "101-150", "151+")))</f>
        <v>#REF!</v>
      </c>
      <c r="Y3549" t="e">
        <f>IF(#REF! &lt;= 3, "Low Charges", "High Charges")</f>
        <v>#REF!</v>
      </c>
      <c r="Z3549" t="e">
        <f>IF(#REF!&lt;=80,"Low Calls",
IF(#REF!&lt;=120,"Medium Calls","High Calls"))</f>
        <v>#REF!</v>
      </c>
      <c r="AA3549" t="e">
        <f>IF(#REF!&lt;=15,"Low Charges",
IF(#REF!&lt;=20,"Medium Charges","High Charges"))</f>
        <v>#REF!</v>
      </c>
      <c r="AB3549" t="e">
        <f>IF(AND(#REF!&gt;180, #REF!&gt;200), "Heavy Doemstic User", IF(#REF!&gt;10, "Interntional User", IF(AND(#REF!&lt;180, #REF!&lt;200,#REF!&lt;200), "Light User", "Balanced User")))</f>
        <v>#REF!</v>
      </c>
      <c r="AC3549" t="e">
        <f>IF(#REF! = 0, "No Usage", IF(#REF! &lt;= 20, "Low Usage", IF(#REF! &lt;= 40, "Medium Usgae", "High Usage")))</f>
        <v>#REF!</v>
      </c>
      <c r="AD3549" t="e">
        <f>IF(#REF!&lt;=150,"Low Usage", IF(#REF!&lt;=200,"Medium Usage", IF(#REF!&lt;=250,"High Usage","Very High Usage")))</f>
        <v>#REF!</v>
      </c>
      <c r="AE3549" t="e">
        <f>IF(#REF!&lt;=5,"Low Calls", IF(#REF!&lt;=10, "Medium Calls", "High Calls"))</f>
        <v>#REF!</v>
      </c>
      <c r="AF3549" t="e">
        <f xml:space="preserve">
IF(#REF!&gt;=4,4,0)+
IF(#REF!="yes",3,0)+
IF(#REF!="High Charges",3,0)+
IF(#REF!&gt;250,4,0)+
IF(#REF!="no",1,0)+
IF(#REF!="Heavy Domestic User",2,0)</f>
        <v>#REF!</v>
      </c>
      <c r="AG3549" t="e">
        <f>IF(#REF!&gt;=10,"High Risk", IF(#REF!&gt;=5,"Medium Risk","Low Risk"))</f>
        <v>#REF!</v>
      </c>
      <c r="AH3549" t="e">
        <f>#REF! + #REF! + #REF! + #REF!</f>
        <v>#REF!</v>
      </c>
    </row>
    <row r="3550" spans="1:34" x14ac:dyDescent="0.35">
      <c r="A3550">
        <v>3549</v>
      </c>
      <c r="B3550" t="s">
        <v>52</v>
      </c>
      <c r="C3550">
        <v>149</v>
      </c>
      <c r="D3550" t="s">
        <v>21</v>
      </c>
      <c r="E3550" t="s">
        <v>22</v>
      </c>
      <c r="F3550" t="s">
        <v>22</v>
      </c>
      <c r="G3550">
        <v>0</v>
      </c>
      <c r="H3550">
        <v>114.5</v>
      </c>
      <c r="I3550">
        <v>103</v>
      </c>
      <c r="J3550">
        <v>19.47</v>
      </c>
      <c r="K3550">
        <v>228.8</v>
      </c>
      <c r="L3550">
        <v>100</v>
      </c>
      <c r="M3550">
        <v>19.45</v>
      </c>
      <c r="N3550">
        <v>135.80000000000001</v>
      </c>
      <c r="O3550">
        <v>74</v>
      </c>
      <c r="P3550">
        <v>6.11</v>
      </c>
      <c r="Q3550">
        <v>10.7</v>
      </c>
      <c r="R3550">
        <v>3</v>
      </c>
      <c r="S3550">
        <v>2.89</v>
      </c>
      <c r="T3550">
        <v>0</v>
      </c>
      <c r="U3550" t="s">
        <v>22</v>
      </c>
      <c r="V3550" t="e">
        <f>IF(#REF! = "yes", 1, 0)</f>
        <v>#REF!</v>
      </c>
      <c r="W3550" t="e">
        <f>IF(#REF! &lt;= 1, "0-1 Calls", IF(#REF! &lt;= 3, "2-3 Calls", IF(#REF! &lt;=5, "4-5 Calls", "6+ Calls")))</f>
        <v>#REF!</v>
      </c>
      <c r="X3550" t="e">
        <f>IF(#REF! &lt;= 50, "0-50", IF(#REF! &lt;=100, "51-100", IF(#REF! &lt;= 150, "101-150", "151+")))</f>
        <v>#REF!</v>
      </c>
      <c r="Y3550" t="e">
        <f>IF(#REF! &lt;= 3, "Low Charges", "High Charges")</f>
        <v>#REF!</v>
      </c>
      <c r="Z3550" t="e">
        <f>IF(#REF!&lt;=80,"Low Calls",
IF(#REF!&lt;=120,"Medium Calls","High Calls"))</f>
        <v>#REF!</v>
      </c>
      <c r="AA3550" t="e">
        <f>IF(#REF!&lt;=15,"Low Charges",
IF(#REF!&lt;=20,"Medium Charges","High Charges"))</f>
        <v>#REF!</v>
      </c>
      <c r="AB3550" t="e">
        <f>IF(AND(#REF!&gt;180, #REF!&gt;200), "Heavy Doemstic User", IF(#REF!&gt;10, "Interntional User", IF(AND(#REF!&lt;180, #REF!&lt;200,#REF!&lt;200), "Light User", "Balanced User")))</f>
        <v>#REF!</v>
      </c>
      <c r="AC3550" t="e">
        <f>IF(#REF! = 0, "No Usage", IF(#REF! &lt;= 20, "Low Usage", IF(#REF! &lt;= 40, "Medium Usgae", "High Usage")))</f>
        <v>#REF!</v>
      </c>
      <c r="AD3550" t="e">
        <f>IF(#REF!&lt;=150,"Low Usage", IF(#REF!&lt;=200,"Medium Usage", IF(#REF!&lt;=250,"High Usage","Very High Usage")))</f>
        <v>#REF!</v>
      </c>
      <c r="AE3550" t="e">
        <f>IF(#REF!&lt;=5,"Low Calls", IF(#REF!&lt;=10, "Medium Calls", "High Calls"))</f>
        <v>#REF!</v>
      </c>
      <c r="AF3550" t="e">
        <f xml:space="preserve">
IF(#REF!&gt;=4,4,0)+
IF(#REF!="yes",3,0)+
IF(#REF!="High Charges",3,0)+
IF(#REF!&gt;250,4,0)+
IF(#REF!="no",1,0)+
IF(#REF!="Heavy Domestic User",2,0)</f>
        <v>#REF!</v>
      </c>
      <c r="AG3550" t="e">
        <f>IF(#REF!&gt;=10,"High Risk", IF(#REF!&gt;=5,"Medium Risk","Low Risk"))</f>
        <v>#REF!</v>
      </c>
      <c r="AH3550" t="e">
        <f>#REF! + #REF! + #REF! + #REF!</f>
        <v>#REF!</v>
      </c>
    </row>
    <row r="3551" spans="1:34" x14ac:dyDescent="0.35">
      <c r="A3551">
        <v>3550</v>
      </c>
      <c r="B3551" t="s">
        <v>36</v>
      </c>
      <c r="C3551">
        <v>77</v>
      </c>
      <c r="D3551" t="s">
        <v>21</v>
      </c>
      <c r="E3551" t="s">
        <v>22</v>
      </c>
      <c r="F3551" t="s">
        <v>22</v>
      </c>
      <c r="G3551">
        <v>0</v>
      </c>
      <c r="H3551">
        <v>184.7</v>
      </c>
      <c r="I3551">
        <v>130</v>
      </c>
      <c r="J3551">
        <v>31.4</v>
      </c>
      <c r="K3551">
        <v>194</v>
      </c>
      <c r="L3551">
        <v>105</v>
      </c>
      <c r="M3551">
        <v>16.489999999999998</v>
      </c>
      <c r="N3551">
        <v>249.1</v>
      </c>
      <c r="O3551">
        <v>91</v>
      </c>
      <c r="P3551">
        <v>11.21</v>
      </c>
      <c r="Q3551">
        <v>9</v>
      </c>
      <c r="R3551">
        <v>4</v>
      </c>
      <c r="S3551">
        <v>2.4300000000000002</v>
      </c>
      <c r="T3551">
        <v>1</v>
      </c>
      <c r="U3551" t="s">
        <v>22</v>
      </c>
      <c r="V3551" t="e">
        <f>IF(#REF! = "yes", 1, 0)</f>
        <v>#REF!</v>
      </c>
      <c r="W3551" t="e">
        <f>IF(#REF! &lt;= 1, "0-1 Calls", IF(#REF! &lt;= 3, "2-3 Calls", IF(#REF! &lt;=5, "4-5 Calls", "6+ Calls")))</f>
        <v>#REF!</v>
      </c>
      <c r="X3551" t="e">
        <f>IF(#REF! &lt;= 50, "0-50", IF(#REF! &lt;=100, "51-100", IF(#REF! &lt;= 150, "101-150", "151+")))</f>
        <v>#REF!</v>
      </c>
      <c r="Y3551" t="e">
        <f>IF(#REF! &lt;= 3, "Low Charges", "High Charges")</f>
        <v>#REF!</v>
      </c>
      <c r="Z3551" t="e">
        <f>IF(#REF!&lt;=80,"Low Calls",
IF(#REF!&lt;=120,"Medium Calls","High Calls"))</f>
        <v>#REF!</v>
      </c>
      <c r="AA3551" t="e">
        <f>IF(#REF!&lt;=15,"Low Charges",
IF(#REF!&lt;=20,"Medium Charges","High Charges"))</f>
        <v>#REF!</v>
      </c>
      <c r="AB3551" t="e">
        <f>IF(AND(#REF!&gt;180, #REF!&gt;200), "Heavy Doemstic User", IF(#REF!&gt;10, "Interntional User", IF(AND(#REF!&lt;180, #REF!&lt;200,#REF!&lt;200), "Light User", "Balanced User")))</f>
        <v>#REF!</v>
      </c>
      <c r="AC3551" t="e">
        <f>IF(#REF! = 0, "No Usage", IF(#REF! &lt;= 20, "Low Usage", IF(#REF! &lt;= 40, "Medium Usgae", "High Usage")))</f>
        <v>#REF!</v>
      </c>
      <c r="AD3551" t="e">
        <f>IF(#REF!&lt;=150,"Low Usage", IF(#REF!&lt;=200,"Medium Usage", IF(#REF!&lt;=250,"High Usage","Very High Usage")))</f>
        <v>#REF!</v>
      </c>
      <c r="AE3551" t="e">
        <f>IF(#REF!&lt;=5,"Low Calls", IF(#REF!&lt;=10, "Medium Calls", "High Calls"))</f>
        <v>#REF!</v>
      </c>
      <c r="AF3551" t="e">
        <f xml:space="preserve">
IF(#REF!&gt;=4,4,0)+
IF(#REF!="yes",3,0)+
IF(#REF!="High Charges",3,0)+
IF(#REF!&gt;250,4,0)+
IF(#REF!="no",1,0)+
IF(#REF!="Heavy Domestic User",2,0)</f>
        <v>#REF!</v>
      </c>
      <c r="AG3551" t="e">
        <f>IF(#REF!&gt;=10,"High Risk", IF(#REF!&gt;=5,"Medium Risk","Low Risk"))</f>
        <v>#REF!</v>
      </c>
      <c r="AH3551" t="e">
        <f>#REF! + #REF! + #REF! + #REF!</f>
        <v>#REF!</v>
      </c>
    </row>
    <row r="3552" spans="1:34" x14ac:dyDescent="0.35">
      <c r="A3552">
        <v>3551</v>
      </c>
      <c r="B3552" t="s">
        <v>53</v>
      </c>
      <c r="C3552">
        <v>110</v>
      </c>
      <c r="D3552" t="s">
        <v>21</v>
      </c>
      <c r="E3552" t="s">
        <v>22</v>
      </c>
      <c r="F3552" t="s">
        <v>22</v>
      </c>
      <c r="G3552">
        <v>0</v>
      </c>
      <c r="H3552">
        <v>94.1</v>
      </c>
      <c r="I3552">
        <v>127</v>
      </c>
      <c r="J3552">
        <v>16</v>
      </c>
      <c r="K3552">
        <v>283</v>
      </c>
      <c r="L3552">
        <v>97</v>
      </c>
      <c r="M3552">
        <v>24.06</v>
      </c>
      <c r="N3552">
        <v>168.7</v>
      </c>
      <c r="O3552">
        <v>69</v>
      </c>
      <c r="P3552">
        <v>7.59</v>
      </c>
      <c r="Q3552">
        <v>10.3</v>
      </c>
      <c r="R3552">
        <v>6</v>
      </c>
      <c r="S3552">
        <v>2.78</v>
      </c>
      <c r="T3552">
        <v>2</v>
      </c>
      <c r="U3552" t="s">
        <v>22</v>
      </c>
      <c r="V3552" t="e">
        <f>IF(#REF! = "yes", 1, 0)</f>
        <v>#REF!</v>
      </c>
      <c r="W3552" t="e">
        <f>IF(#REF! &lt;= 1, "0-1 Calls", IF(#REF! &lt;= 3, "2-3 Calls", IF(#REF! &lt;=5, "4-5 Calls", "6+ Calls")))</f>
        <v>#REF!</v>
      </c>
      <c r="X3552" t="e">
        <f>IF(#REF! &lt;= 50, "0-50", IF(#REF! &lt;=100, "51-100", IF(#REF! &lt;= 150, "101-150", "151+")))</f>
        <v>#REF!</v>
      </c>
      <c r="Y3552" t="e">
        <f>IF(#REF! &lt;= 3, "Low Charges", "High Charges")</f>
        <v>#REF!</v>
      </c>
      <c r="Z3552" t="e">
        <f>IF(#REF!&lt;=80,"Low Calls",
IF(#REF!&lt;=120,"Medium Calls","High Calls"))</f>
        <v>#REF!</v>
      </c>
      <c r="AA3552" t="e">
        <f>IF(#REF!&lt;=15,"Low Charges",
IF(#REF!&lt;=20,"Medium Charges","High Charges"))</f>
        <v>#REF!</v>
      </c>
      <c r="AB3552" t="e">
        <f>IF(AND(#REF!&gt;180, #REF!&gt;200), "Heavy Doemstic User", IF(#REF!&gt;10, "Interntional User", IF(AND(#REF!&lt;180, #REF!&lt;200,#REF!&lt;200), "Light User", "Balanced User")))</f>
        <v>#REF!</v>
      </c>
      <c r="AC3552" t="e">
        <f>IF(#REF! = 0, "No Usage", IF(#REF! &lt;= 20, "Low Usage", IF(#REF! &lt;= 40, "Medium Usgae", "High Usage")))</f>
        <v>#REF!</v>
      </c>
      <c r="AD3552" t="e">
        <f>IF(#REF!&lt;=150,"Low Usage", IF(#REF!&lt;=200,"Medium Usage", IF(#REF!&lt;=250,"High Usage","Very High Usage")))</f>
        <v>#REF!</v>
      </c>
      <c r="AE3552" t="e">
        <f>IF(#REF!&lt;=5,"Low Calls", IF(#REF!&lt;=10, "Medium Calls", "High Calls"))</f>
        <v>#REF!</v>
      </c>
      <c r="AF3552" t="e">
        <f xml:space="preserve">
IF(#REF!&gt;=4,4,0)+
IF(#REF!="yes",3,0)+
IF(#REF!="High Charges",3,0)+
IF(#REF!&gt;250,4,0)+
IF(#REF!="no",1,0)+
IF(#REF!="Heavy Domestic User",2,0)</f>
        <v>#REF!</v>
      </c>
      <c r="AG3552" t="e">
        <f>IF(#REF!&gt;=10,"High Risk", IF(#REF!&gt;=5,"Medium Risk","Low Risk"))</f>
        <v>#REF!</v>
      </c>
      <c r="AH3552" t="e">
        <f>#REF! + #REF! + #REF! + #REF!</f>
        <v>#REF!</v>
      </c>
    </row>
    <row r="3553" spans="1:34" x14ac:dyDescent="0.35">
      <c r="A3553">
        <v>3552</v>
      </c>
      <c r="B3553" t="s">
        <v>59</v>
      </c>
      <c r="C3553">
        <v>70</v>
      </c>
      <c r="D3553" t="s">
        <v>21</v>
      </c>
      <c r="E3553" t="s">
        <v>22</v>
      </c>
      <c r="F3553" t="s">
        <v>22</v>
      </c>
      <c r="G3553">
        <v>0</v>
      </c>
      <c r="H3553">
        <v>229.3</v>
      </c>
      <c r="I3553">
        <v>110</v>
      </c>
      <c r="J3553">
        <v>38.979999999999997</v>
      </c>
      <c r="K3553">
        <v>118.2</v>
      </c>
      <c r="L3553">
        <v>89</v>
      </c>
      <c r="M3553">
        <v>10.050000000000001</v>
      </c>
      <c r="N3553">
        <v>155</v>
      </c>
      <c r="O3553">
        <v>105</v>
      </c>
      <c r="P3553">
        <v>6.98</v>
      </c>
      <c r="Q3553">
        <v>7.9</v>
      </c>
      <c r="R3553">
        <v>4</v>
      </c>
      <c r="S3553">
        <v>2.13</v>
      </c>
      <c r="T3553">
        <v>1</v>
      </c>
      <c r="U3553" t="s">
        <v>22</v>
      </c>
      <c r="V3553" t="e">
        <f>IF(#REF! = "yes", 1, 0)</f>
        <v>#REF!</v>
      </c>
      <c r="W3553" t="e">
        <f>IF(#REF! &lt;= 1, "0-1 Calls", IF(#REF! &lt;= 3, "2-3 Calls", IF(#REF! &lt;=5, "4-5 Calls", "6+ Calls")))</f>
        <v>#REF!</v>
      </c>
      <c r="X3553" t="e">
        <f>IF(#REF! &lt;= 50, "0-50", IF(#REF! &lt;=100, "51-100", IF(#REF! &lt;= 150, "101-150", "151+")))</f>
        <v>#REF!</v>
      </c>
      <c r="Y3553" t="e">
        <f>IF(#REF! &lt;= 3, "Low Charges", "High Charges")</f>
        <v>#REF!</v>
      </c>
      <c r="Z3553" t="e">
        <f>IF(#REF!&lt;=80,"Low Calls",
IF(#REF!&lt;=120,"Medium Calls","High Calls"))</f>
        <v>#REF!</v>
      </c>
      <c r="AA3553" t="e">
        <f>IF(#REF!&lt;=15,"Low Charges",
IF(#REF!&lt;=20,"Medium Charges","High Charges"))</f>
        <v>#REF!</v>
      </c>
      <c r="AB3553" t="e">
        <f>IF(AND(#REF!&gt;180, #REF!&gt;200), "Heavy Doemstic User", IF(#REF!&gt;10, "Interntional User", IF(AND(#REF!&lt;180, #REF!&lt;200,#REF!&lt;200), "Light User", "Balanced User")))</f>
        <v>#REF!</v>
      </c>
      <c r="AC3553" t="e">
        <f>IF(#REF! = 0, "No Usage", IF(#REF! &lt;= 20, "Low Usage", IF(#REF! &lt;= 40, "Medium Usgae", "High Usage")))</f>
        <v>#REF!</v>
      </c>
      <c r="AD3553" t="e">
        <f>IF(#REF!&lt;=150,"Low Usage", IF(#REF!&lt;=200,"Medium Usage", IF(#REF!&lt;=250,"High Usage","Very High Usage")))</f>
        <v>#REF!</v>
      </c>
      <c r="AE3553" t="e">
        <f>IF(#REF!&lt;=5,"Low Calls", IF(#REF!&lt;=10, "Medium Calls", "High Calls"))</f>
        <v>#REF!</v>
      </c>
      <c r="AF3553" t="e">
        <f xml:space="preserve">
IF(#REF!&gt;=4,4,0)+
IF(#REF!="yes",3,0)+
IF(#REF!="High Charges",3,0)+
IF(#REF!&gt;250,4,0)+
IF(#REF!="no",1,0)+
IF(#REF!="Heavy Domestic User",2,0)</f>
        <v>#REF!</v>
      </c>
      <c r="AG3553" t="e">
        <f>IF(#REF!&gt;=10,"High Risk", IF(#REF!&gt;=5,"Medium Risk","Low Risk"))</f>
        <v>#REF!</v>
      </c>
      <c r="AH3553" t="e">
        <f>#REF! + #REF! + #REF! + #REF!</f>
        <v>#REF!</v>
      </c>
    </row>
    <row r="3554" spans="1:34" x14ac:dyDescent="0.35">
      <c r="A3554">
        <v>3553</v>
      </c>
      <c r="B3554" t="s">
        <v>64</v>
      </c>
      <c r="C3554">
        <v>155</v>
      </c>
      <c r="D3554" t="s">
        <v>28</v>
      </c>
      <c r="E3554" t="s">
        <v>22</v>
      </c>
      <c r="F3554" t="s">
        <v>22</v>
      </c>
      <c r="G3554">
        <v>0</v>
      </c>
      <c r="H3554">
        <v>223.8</v>
      </c>
      <c r="I3554">
        <v>109</v>
      </c>
      <c r="J3554">
        <v>38.049999999999997</v>
      </c>
      <c r="K3554">
        <v>233.4</v>
      </c>
      <c r="L3554">
        <v>68</v>
      </c>
      <c r="M3554">
        <v>19.84</v>
      </c>
      <c r="N3554">
        <v>201.6</v>
      </c>
      <c r="O3554">
        <v>111</v>
      </c>
      <c r="P3554">
        <v>9.07</v>
      </c>
      <c r="Q3554">
        <v>8.8000000000000007</v>
      </c>
      <c r="R3554">
        <v>8</v>
      </c>
      <c r="S3554">
        <v>2.38</v>
      </c>
      <c r="T3554">
        <v>1</v>
      </c>
      <c r="U3554" t="s">
        <v>22</v>
      </c>
      <c r="V3554" t="e">
        <f>IF(#REF! = "yes", 1, 0)</f>
        <v>#REF!</v>
      </c>
      <c r="W3554" t="e">
        <f>IF(#REF! &lt;= 1, "0-1 Calls", IF(#REF! &lt;= 3, "2-3 Calls", IF(#REF! &lt;=5, "4-5 Calls", "6+ Calls")))</f>
        <v>#REF!</v>
      </c>
      <c r="X3554" t="e">
        <f>IF(#REF! &lt;= 50, "0-50", IF(#REF! &lt;=100, "51-100", IF(#REF! &lt;= 150, "101-150", "151+")))</f>
        <v>#REF!</v>
      </c>
      <c r="Y3554" t="e">
        <f>IF(#REF! &lt;= 3, "Low Charges", "High Charges")</f>
        <v>#REF!</v>
      </c>
      <c r="Z3554" t="e">
        <f>IF(#REF!&lt;=80,"Low Calls",
IF(#REF!&lt;=120,"Medium Calls","High Calls"))</f>
        <v>#REF!</v>
      </c>
      <c r="AA3554" t="e">
        <f>IF(#REF!&lt;=15,"Low Charges",
IF(#REF!&lt;=20,"Medium Charges","High Charges"))</f>
        <v>#REF!</v>
      </c>
      <c r="AB3554" t="e">
        <f>IF(AND(#REF!&gt;180, #REF!&gt;200), "Heavy Doemstic User", IF(#REF!&gt;10, "Interntional User", IF(AND(#REF!&lt;180, #REF!&lt;200,#REF!&lt;200), "Light User", "Balanced User")))</f>
        <v>#REF!</v>
      </c>
      <c r="AC3554" t="e">
        <f>IF(#REF! = 0, "No Usage", IF(#REF! &lt;= 20, "Low Usage", IF(#REF! &lt;= 40, "Medium Usgae", "High Usage")))</f>
        <v>#REF!</v>
      </c>
      <c r="AD3554" t="e">
        <f>IF(#REF!&lt;=150,"Low Usage", IF(#REF!&lt;=200,"Medium Usage", IF(#REF!&lt;=250,"High Usage","Very High Usage")))</f>
        <v>#REF!</v>
      </c>
      <c r="AE3554" t="e">
        <f>IF(#REF!&lt;=5,"Low Calls", IF(#REF!&lt;=10, "Medium Calls", "High Calls"))</f>
        <v>#REF!</v>
      </c>
      <c r="AF3554" t="e">
        <f xml:space="preserve">
IF(#REF!&gt;=4,4,0)+
IF(#REF!="yes",3,0)+
IF(#REF!="High Charges",3,0)+
IF(#REF!&gt;250,4,0)+
IF(#REF!="no",1,0)+
IF(#REF!="Heavy Domestic User",2,0)</f>
        <v>#REF!</v>
      </c>
      <c r="AG3554" t="e">
        <f>IF(#REF!&gt;=10,"High Risk", IF(#REF!&gt;=5,"Medium Risk","Low Risk"))</f>
        <v>#REF!</v>
      </c>
      <c r="AH3554" t="e">
        <f>#REF! + #REF! + #REF! + #REF!</f>
        <v>#REF!</v>
      </c>
    </row>
    <row r="3555" spans="1:34" x14ac:dyDescent="0.35">
      <c r="A3555">
        <v>3554</v>
      </c>
      <c r="B3555" t="s">
        <v>63</v>
      </c>
      <c r="C3555">
        <v>151</v>
      </c>
      <c r="D3555" t="s">
        <v>21</v>
      </c>
      <c r="E3555" t="s">
        <v>22</v>
      </c>
      <c r="F3555" t="s">
        <v>23</v>
      </c>
      <c r="G3555">
        <v>27</v>
      </c>
      <c r="H3555">
        <v>154.4</v>
      </c>
      <c r="I3555">
        <v>141</v>
      </c>
      <c r="J3555">
        <v>26.25</v>
      </c>
      <c r="K3555">
        <v>210.6</v>
      </c>
      <c r="L3555">
        <v>109</v>
      </c>
      <c r="M3555">
        <v>17.899999999999999</v>
      </c>
      <c r="N3555">
        <v>167.9</v>
      </c>
      <c r="O3555">
        <v>109</v>
      </c>
      <c r="P3555">
        <v>7.56</v>
      </c>
      <c r="Q3555">
        <v>7.8</v>
      </c>
      <c r="R3555">
        <v>3</v>
      </c>
      <c r="S3555">
        <v>2.11</v>
      </c>
      <c r="T3555">
        <v>3</v>
      </c>
      <c r="U3555" t="s">
        <v>22</v>
      </c>
      <c r="V3555" t="e">
        <f>IF(#REF! = "yes", 1, 0)</f>
        <v>#REF!</v>
      </c>
      <c r="W3555" t="e">
        <f>IF(#REF! &lt;= 1, "0-1 Calls", IF(#REF! &lt;= 3, "2-3 Calls", IF(#REF! &lt;=5, "4-5 Calls", "6+ Calls")))</f>
        <v>#REF!</v>
      </c>
      <c r="X3555" t="e">
        <f>IF(#REF! &lt;= 50, "0-50", IF(#REF! &lt;=100, "51-100", IF(#REF! &lt;= 150, "101-150", "151+")))</f>
        <v>#REF!</v>
      </c>
      <c r="Y3555" t="e">
        <f>IF(#REF! &lt;= 3, "Low Charges", "High Charges")</f>
        <v>#REF!</v>
      </c>
      <c r="Z3555" t="e">
        <f>IF(#REF!&lt;=80,"Low Calls",
IF(#REF!&lt;=120,"Medium Calls","High Calls"))</f>
        <v>#REF!</v>
      </c>
      <c r="AA3555" t="e">
        <f>IF(#REF!&lt;=15,"Low Charges",
IF(#REF!&lt;=20,"Medium Charges","High Charges"))</f>
        <v>#REF!</v>
      </c>
      <c r="AB3555" t="e">
        <f>IF(AND(#REF!&gt;180, #REF!&gt;200), "Heavy Doemstic User", IF(#REF!&gt;10, "Interntional User", IF(AND(#REF!&lt;180, #REF!&lt;200,#REF!&lt;200), "Light User", "Balanced User")))</f>
        <v>#REF!</v>
      </c>
      <c r="AC3555" t="e">
        <f>IF(#REF! = 0, "No Usage", IF(#REF! &lt;= 20, "Low Usage", IF(#REF! &lt;= 40, "Medium Usgae", "High Usage")))</f>
        <v>#REF!</v>
      </c>
      <c r="AD3555" t="e">
        <f>IF(#REF!&lt;=150,"Low Usage", IF(#REF!&lt;=200,"Medium Usage", IF(#REF!&lt;=250,"High Usage","Very High Usage")))</f>
        <v>#REF!</v>
      </c>
      <c r="AE3555" t="e">
        <f>IF(#REF!&lt;=5,"Low Calls", IF(#REF!&lt;=10, "Medium Calls", "High Calls"))</f>
        <v>#REF!</v>
      </c>
      <c r="AF3555" t="e">
        <f xml:space="preserve">
IF(#REF!&gt;=4,4,0)+
IF(#REF!="yes",3,0)+
IF(#REF!="High Charges",3,0)+
IF(#REF!&gt;250,4,0)+
IF(#REF!="no",1,0)+
IF(#REF!="Heavy Domestic User",2,0)</f>
        <v>#REF!</v>
      </c>
      <c r="AG3555" t="e">
        <f>IF(#REF!&gt;=10,"High Risk", IF(#REF!&gt;=5,"Medium Risk","Low Risk"))</f>
        <v>#REF!</v>
      </c>
      <c r="AH3555" t="e">
        <f>#REF! + #REF! + #REF! + #REF!</f>
        <v>#REF!</v>
      </c>
    </row>
    <row r="3556" spans="1:34" x14ac:dyDescent="0.35">
      <c r="A3556">
        <v>3555</v>
      </c>
      <c r="B3556" t="s">
        <v>39</v>
      </c>
      <c r="C3556">
        <v>125</v>
      </c>
      <c r="D3556" t="s">
        <v>21</v>
      </c>
      <c r="E3556" t="s">
        <v>22</v>
      </c>
      <c r="F3556" t="s">
        <v>22</v>
      </c>
      <c r="G3556">
        <v>0</v>
      </c>
      <c r="H3556">
        <v>190.2</v>
      </c>
      <c r="I3556">
        <v>107</v>
      </c>
      <c r="J3556">
        <v>32.33</v>
      </c>
      <c r="K3556">
        <v>209.2</v>
      </c>
      <c r="L3556">
        <v>75</v>
      </c>
      <c r="M3556">
        <v>17.78</v>
      </c>
      <c r="N3556">
        <v>102.1</v>
      </c>
      <c r="O3556">
        <v>136</v>
      </c>
      <c r="P3556">
        <v>4.59</v>
      </c>
      <c r="Q3556">
        <v>14.2</v>
      </c>
      <c r="R3556">
        <v>5</v>
      </c>
      <c r="S3556">
        <v>3.83</v>
      </c>
      <c r="T3556">
        <v>4</v>
      </c>
      <c r="U3556" t="s">
        <v>23</v>
      </c>
      <c r="V3556" t="e">
        <f>IF(#REF! = "yes", 1, 0)</f>
        <v>#REF!</v>
      </c>
      <c r="W3556" t="e">
        <f>IF(#REF! &lt;= 1, "0-1 Calls", IF(#REF! &lt;= 3, "2-3 Calls", IF(#REF! &lt;=5, "4-5 Calls", "6+ Calls")))</f>
        <v>#REF!</v>
      </c>
      <c r="X3556" t="e">
        <f>IF(#REF! &lt;= 50, "0-50", IF(#REF! &lt;=100, "51-100", IF(#REF! &lt;= 150, "101-150", "151+")))</f>
        <v>#REF!</v>
      </c>
      <c r="Y3556" t="e">
        <f>IF(#REF! &lt;= 3, "Low Charges", "High Charges")</f>
        <v>#REF!</v>
      </c>
      <c r="Z3556" t="e">
        <f>IF(#REF!&lt;=80,"Low Calls",
IF(#REF!&lt;=120,"Medium Calls","High Calls"))</f>
        <v>#REF!</v>
      </c>
      <c r="AA3556" t="e">
        <f>IF(#REF!&lt;=15,"Low Charges",
IF(#REF!&lt;=20,"Medium Charges","High Charges"))</f>
        <v>#REF!</v>
      </c>
      <c r="AB3556" t="e">
        <f>IF(AND(#REF!&gt;180, #REF!&gt;200), "Heavy Doemstic User", IF(#REF!&gt;10, "Interntional User", IF(AND(#REF!&lt;180, #REF!&lt;200,#REF!&lt;200), "Light User", "Balanced User")))</f>
        <v>#REF!</v>
      </c>
      <c r="AC3556" t="e">
        <f>IF(#REF! = 0, "No Usage", IF(#REF! &lt;= 20, "Low Usage", IF(#REF! &lt;= 40, "Medium Usgae", "High Usage")))</f>
        <v>#REF!</v>
      </c>
      <c r="AD3556" t="e">
        <f>IF(#REF!&lt;=150,"Low Usage", IF(#REF!&lt;=200,"Medium Usage", IF(#REF!&lt;=250,"High Usage","Very High Usage")))</f>
        <v>#REF!</v>
      </c>
      <c r="AE3556" t="e">
        <f>IF(#REF!&lt;=5,"Low Calls", IF(#REF!&lt;=10, "Medium Calls", "High Calls"))</f>
        <v>#REF!</v>
      </c>
      <c r="AF3556" t="e">
        <f xml:space="preserve">
IF(#REF!&gt;=4,4,0)+
IF(#REF!="yes",3,0)+
IF(#REF!="High Charges",3,0)+
IF(#REF!&gt;250,4,0)+
IF(#REF!="no",1,0)+
IF(#REF!="Heavy Domestic User",2,0)</f>
        <v>#REF!</v>
      </c>
      <c r="AG3556" t="e">
        <f>IF(#REF!&gt;=10,"High Risk", IF(#REF!&gt;=5,"Medium Risk","Low Risk"))</f>
        <v>#REF!</v>
      </c>
      <c r="AH3556" t="e">
        <f>#REF! + #REF! + #REF! + #REF!</f>
        <v>#REF!</v>
      </c>
    </row>
    <row r="3557" spans="1:34" x14ac:dyDescent="0.35">
      <c r="A3557">
        <v>3556</v>
      </c>
      <c r="B3557" t="s">
        <v>24</v>
      </c>
      <c r="C3557">
        <v>83</v>
      </c>
      <c r="D3557" t="s">
        <v>21</v>
      </c>
      <c r="E3557" t="s">
        <v>22</v>
      </c>
      <c r="F3557" t="s">
        <v>22</v>
      </c>
      <c r="G3557">
        <v>0</v>
      </c>
      <c r="H3557">
        <v>167</v>
      </c>
      <c r="I3557">
        <v>120</v>
      </c>
      <c r="J3557">
        <v>28.39</v>
      </c>
      <c r="K3557">
        <v>209.1</v>
      </c>
      <c r="L3557">
        <v>102</v>
      </c>
      <c r="M3557">
        <v>17.77</v>
      </c>
      <c r="N3557">
        <v>131</v>
      </c>
      <c r="O3557">
        <v>107</v>
      </c>
      <c r="P3557">
        <v>5.9</v>
      </c>
      <c r="Q3557">
        <v>8.6</v>
      </c>
      <c r="R3557">
        <v>2</v>
      </c>
      <c r="S3557">
        <v>2.3199999999999998</v>
      </c>
      <c r="T3557">
        <v>1</v>
      </c>
      <c r="U3557" t="s">
        <v>22</v>
      </c>
      <c r="V3557" t="e">
        <f>IF(#REF! = "yes", 1, 0)</f>
        <v>#REF!</v>
      </c>
      <c r="W3557" t="e">
        <f>IF(#REF! &lt;= 1, "0-1 Calls", IF(#REF! &lt;= 3, "2-3 Calls", IF(#REF! &lt;=5, "4-5 Calls", "6+ Calls")))</f>
        <v>#REF!</v>
      </c>
      <c r="X3557" t="e">
        <f>IF(#REF! &lt;= 50, "0-50", IF(#REF! &lt;=100, "51-100", IF(#REF! &lt;= 150, "101-150", "151+")))</f>
        <v>#REF!</v>
      </c>
      <c r="Y3557" t="e">
        <f>IF(#REF! &lt;= 3, "Low Charges", "High Charges")</f>
        <v>#REF!</v>
      </c>
      <c r="Z3557" t="e">
        <f>IF(#REF!&lt;=80,"Low Calls",
IF(#REF!&lt;=120,"Medium Calls","High Calls"))</f>
        <v>#REF!</v>
      </c>
      <c r="AA3557" t="e">
        <f>IF(#REF!&lt;=15,"Low Charges",
IF(#REF!&lt;=20,"Medium Charges","High Charges"))</f>
        <v>#REF!</v>
      </c>
      <c r="AB3557" t="e">
        <f>IF(AND(#REF!&gt;180, #REF!&gt;200), "Heavy Doemstic User", IF(#REF!&gt;10, "Interntional User", IF(AND(#REF!&lt;180, #REF!&lt;200,#REF!&lt;200), "Light User", "Balanced User")))</f>
        <v>#REF!</v>
      </c>
      <c r="AC3557" t="e">
        <f>IF(#REF! = 0, "No Usage", IF(#REF! &lt;= 20, "Low Usage", IF(#REF! &lt;= 40, "Medium Usgae", "High Usage")))</f>
        <v>#REF!</v>
      </c>
      <c r="AD3557" t="e">
        <f>IF(#REF!&lt;=150,"Low Usage", IF(#REF!&lt;=200,"Medium Usage", IF(#REF!&lt;=250,"High Usage","Very High Usage")))</f>
        <v>#REF!</v>
      </c>
      <c r="AE3557" t="e">
        <f>IF(#REF!&lt;=5,"Low Calls", IF(#REF!&lt;=10, "Medium Calls", "High Calls"))</f>
        <v>#REF!</v>
      </c>
      <c r="AF3557" t="e">
        <f xml:space="preserve">
IF(#REF!&gt;=4,4,0)+
IF(#REF!="yes",3,0)+
IF(#REF!="High Charges",3,0)+
IF(#REF!&gt;250,4,0)+
IF(#REF!="no",1,0)+
IF(#REF!="Heavy Domestic User",2,0)</f>
        <v>#REF!</v>
      </c>
      <c r="AG3557" t="e">
        <f>IF(#REF!&gt;=10,"High Risk", IF(#REF!&gt;=5,"Medium Risk","Low Risk"))</f>
        <v>#REF!</v>
      </c>
      <c r="AH3557" t="e">
        <f>#REF! + #REF! + #REF! + #REF!</f>
        <v>#REF!</v>
      </c>
    </row>
    <row r="3558" spans="1:34" x14ac:dyDescent="0.35">
      <c r="A3558">
        <v>3557</v>
      </c>
      <c r="B3558" t="s">
        <v>75</v>
      </c>
      <c r="C3558">
        <v>94</v>
      </c>
      <c r="D3558" t="s">
        <v>28</v>
      </c>
      <c r="E3558" t="s">
        <v>22</v>
      </c>
      <c r="F3558" t="s">
        <v>22</v>
      </c>
      <c r="G3558">
        <v>0</v>
      </c>
      <c r="H3558">
        <v>154.80000000000001</v>
      </c>
      <c r="I3558">
        <v>113</v>
      </c>
      <c r="J3558">
        <v>26.32</v>
      </c>
      <c r="K3558">
        <v>261.8</v>
      </c>
      <c r="L3558">
        <v>121</v>
      </c>
      <c r="M3558">
        <v>22.25</v>
      </c>
      <c r="N3558">
        <v>213</v>
      </c>
      <c r="O3558">
        <v>81</v>
      </c>
      <c r="P3558">
        <v>9.58</v>
      </c>
      <c r="Q3558">
        <v>11.6</v>
      </c>
      <c r="R3558">
        <v>5</v>
      </c>
      <c r="S3558">
        <v>3.13</v>
      </c>
      <c r="T3558">
        <v>0</v>
      </c>
      <c r="U3558" t="s">
        <v>22</v>
      </c>
      <c r="V3558" t="e">
        <f>IF(#REF! = "yes", 1, 0)</f>
        <v>#REF!</v>
      </c>
      <c r="W3558" t="e">
        <f>IF(#REF! &lt;= 1, "0-1 Calls", IF(#REF! &lt;= 3, "2-3 Calls", IF(#REF! &lt;=5, "4-5 Calls", "6+ Calls")))</f>
        <v>#REF!</v>
      </c>
      <c r="X3558" t="e">
        <f>IF(#REF! &lt;= 50, "0-50", IF(#REF! &lt;=100, "51-100", IF(#REF! &lt;= 150, "101-150", "151+")))</f>
        <v>#REF!</v>
      </c>
      <c r="Y3558" t="e">
        <f>IF(#REF! &lt;= 3, "Low Charges", "High Charges")</f>
        <v>#REF!</v>
      </c>
      <c r="Z3558" t="e">
        <f>IF(#REF!&lt;=80,"Low Calls",
IF(#REF!&lt;=120,"Medium Calls","High Calls"))</f>
        <v>#REF!</v>
      </c>
      <c r="AA3558" t="e">
        <f>IF(#REF!&lt;=15,"Low Charges",
IF(#REF!&lt;=20,"Medium Charges","High Charges"))</f>
        <v>#REF!</v>
      </c>
      <c r="AB3558" t="e">
        <f>IF(AND(#REF!&gt;180, #REF!&gt;200), "Heavy Doemstic User", IF(#REF!&gt;10, "Interntional User", IF(AND(#REF!&lt;180, #REF!&lt;200,#REF!&lt;200), "Light User", "Balanced User")))</f>
        <v>#REF!</v>
      </c>
      <c r="AC3558" t="e">
        <f>IF(#REF! = 0, "No Usage", IF(#REF! &lt;= 20, "Low Usage", IF(#REF! &lt;= 40, "Medium Usgae", "High Usage")))</f>
        <v>#REF!</v>
      </c>
      <c r="AD3558" t="e">
        <f>IF(#REF!&lt;=150,"Low Usage", IF(#REF!&lt;=200,"Medium Usage", IF(#REF!&lt;=250,"High Usage","Very High Usage")))</f>
        <v>#REF!</v>
      </c>
      <c r="AE3558" t="e">
        <f>IF(#REF!&lt;=5,"Low Calls", IF(#REF!&lt;=10, "Medium Calls", "High Calls"))</f>
        <v>#REF!</v>
      </c>
      <c r="AF3558" t="e">
        <f xml:space="preserve">
IF(#REF!&gt;=4,4,0)+
IF(#REF!="yes",3,0)+
IF(#REF!="High Charges",3,0)+
IF(#REF!&gt;250,4,0)+
IF(#REF!="no",1,0)+
IF(#REF!="Heavy Domestic User",2,0)</f>
        <v>#REF!</v>
      </c>
      <c r="AG3558" t="e">
        <f>IF(#REF!&gt;=10,"High Risk", IF(#REF!&gt;=5,"Medium Risk","Low Risk"))</f>
        <v>#REF!</v>
      </c>
      <c r="AH3558" t="e">
        <f>#REF! + #REF! + #REF! + #REF!</f>
        <v>#REF!</v>
      </c>
    </row>
    <row r="3559" spans="1:34" x14ac:dyDescent="0.35">
      <c r="A3559">
        <v>3558</v>
      </c>
      <c r="B3559" t="s">
        <v>41</v>
      </c>
      <c r="C3559">
        <v>11</v>
      </c>
      <c r="D3559" t="s">
        <v>21</v>
      </c>
      <c r="E3559" t="s">
        <v>22</v>
      </c>
      <c r="F3559" t="s">
        <v>23</v>
      </c>
      <c r="G3559">
        <v>36</v>
      </c>
      <c r="H3559">
        <v>293.39999999999998</v>
      </c>
      <c r="I3559">
        <v>122</v>
      </c>
      <c r="J3559">
        <v>49.88</v>
      </c>
      <c r="K3559">
        <v>174.1</v>
      </c>
      <c r="L3559">
        <v>91</v>
      </c>
      <c r="M3559">
        <v>14.8</v>
      </c>
      <c r="N3559">
        <v>212</v>
      </c>
      <c r="O3559">
        <v>50</v>
      </c>
      <c r="P3559">
        <v>9.5399999999999991</v>
      </c>
      <c r="Q3559">
        <v>6.9</v>
      </c>
      <c r="R3559">
        <v>6</v>
      </c>
      <c r="S3559">
        <v>1.86</v>
      </c>
      <c r="T3559">
        <v>1</v>
      </c>
      <c r="U3559" t="s">
        <v>22</v>
      </c>
      <c r="V3559" t="e">
        <f>IF(#REF! = "yes", 1, 0)</f>
        <v>#REF!</v>
      </c>
      <c r="W3559" t="e">
        <f>IF(#REF! &lt;= 1, "0-1 Calls", IF(#REF! &lt;= 3, "2-3 Calls", IF(#REF! &lt;=5, "4-5 Calls", "6+ Calls")))</f>
        <v>#REF!</v>
      </c>
      <c r="X3559" t="e">
        <f>IF(#REF! &lt;= 50, "0-50", IF(#REF! &lt;=100, "51-100", IF(#REF! &lt;= 150, "101-150", "151+")))</f>
        <v>#REF!</v>
      </c>
      <c r="Y3559" t="e">
        <f>IF(#REF! &lt;= 3, "Low Charges", "High Charges")</f>
        <v>#REF!</v>
      </c>
      <c r="Z3559" t="e">
        <f>IF(#REF!&lt;=80,"Low Calls",
IF(#REF!&lt;=120,"Medium Calls","High Calls"))</f>
        <v>#REF!</v>
      </c>
      <c r="AA3559" t="e">
        <f>IF(#REF!&lt;=15,"Low Charges",
IF(#REF!&lt;=20,"Medium Charges","High Charges"))</f>
        <v>#REF!</v>
      </c>
      <c r="AB3559" t="e">
        <f>IF(AND(#REF!&gt;180, #REF!&gt;200), "Heavy Doemstic User", IF(#REF!&gt;10, "Interntional User", IF(AND(#REF!&lt;180, #REF!&lt;200,#REF!&lt;200), "Light User", "Balanced User")))</f>
        <v>#REF!</v>
      </c>
      <c r="AC3559" t="e">
        <f>IF(#REF! = 0, "No Usage", IF(#REF! &lt;= 20, "Low Usage", IF(#REF! &lt;= 40, "Medium Usgae", "High Usage")))</f>
        <v>#REF!</v>
      </c>
      <c r="AD3559" t="e">
        <f>IF(#REF!&lt;=150,"Low Usage", IF(#REF!&lt;=200,"Medium Usage", IF(#REF!&lt;=250,"High Usage","Very High Usage")))</f>
        <v>#REF!</v>
      </c>
      <c r="AE3559" t="e">
        <f>IF(#REF!&lt;=5,"Low Calls", IF(#REF!&lt;=10, "Medium Calls", "High Calls"))</f>
        <v>#REF!</v>
      </c>
      <c r="AF3559" t="e">
        <f xml:space="preserve">
IF(#REF!&gt;=4,4,0)+
IF(#REF!="yes",3,0)+
IF(#REF!="High Charges",3,0)+
IF(#REF!&gt;250,4,0)+
IF(#REF!="no",1,0)+
IF(#REF!="Heavy Domestic User",2,0)</f>
        <v>#REF!</v>
      </c>
      <c r="AG3559" t="e">
        <f>IF(#REF!&gt;=10,"High Risk", IF(#REF!&gt;=5,"Medium Risk","Low Risk"))</f>
        <v>#REF!</v>
      </c>
      <c r="AH3559" t="e">
        <f>#REF! + #REF! + #REF! + #REF!</f>
        <v>#REF!</v>
      </c>
    </row>
    <row r="3560" spans="1:34" x14ac:dyDescent="0.35">
      <c r="A3560">
        <v>3559</v>
      </c>
      <c r="B3560" t="s">
        <v>41</v>
      </c>
      <c r="C3560">
        <v>92</v>
      </c>
      <c r="D3560" t="s">
        <v>21</v>
      </c>
      <c r="E3560" t="s">
        <v>22</v>
      </c>
      <c r="F3560" t="s">
        <v>22</v>
      </c>
      <c r="G3560">
        <v>0</v>
      </c>
      <c r="H3560">
        <v>160.5</v>
      </c>
      <c r="I3560">
        <v>113</v>
      </c>
      <c r="J3560">
        <v>27.29</v>
      </c>
      <c r="K3560">
        <v>287.3</v>
      </c>
      <c r="L3560">
        <v>134</v>
      </c>
      <c r="M3560">
        <v>24.42</v>
      </c>
      <c r="N3560">
        <v>212.6</v>
      </c>
      <c r="O3560">
        <v>93</v>
      </c>
      <c r="P3560">
        <v>9.57</v>
      </c>
      <c r="Q3560">
        <v>8.1999999999999993</v>
      </c>
      <c r="R3560">
        <v>3</v>
      </c>
      <c r="S3560">
        <v>2.21</v>
      </c>
      <c r="T3560">
        <v>3</v>
      </c>
      <c r="U3560" t="s">
        <v>22</v>
      </c>
      <c r="V3560" t="e">
        <f>IF(#REF! = "yes", 1, 0)</f>
        <v>#REF!</v>
      </c>
      <c r="W3560" t="e">
        <f>IF(#REF! &lt;= 1, "0-1 Calls", IF(#REF! &lt;= 3, "2-3 Calls", IF(#REF! &lt;=5, "4-5 Calls", "6+ Calls")))</f>
        <v>#REF!</v>
      </c>
      <c r="X3560" t="e">
        <f>IF(#REF! &lt;= 50, "0-50", IF(#REF! &lt;=100, "51-100", IF(#REF! &lt;= 150, "101-150", "151+")))</f>
        <v>#REF!</v>
      </c>
      <c r="Y3560" t="e">
        <f>IF(#REF! &lt;= 3, "Low Charges", "High Charges")</f>
        <v>#REF!</v>
      </c>
      <c r="Z3560" t="e">
        <f>IF(#REF!&lt;=80,"Low Calls",
IF(#REF!&lt;=120,"Medium Calls","High Calls"))</f>
        <v>#REF!</v>
      </c>
      <c r="AA3560" t="e">
        <f>IF(#REF!&lt;=15,"Low Charges",
IF(#REF!&lt;=20,"Medium Charges","High Charges"))</f>
        <v>#REF!</v>
      </c>
      <c r="AB3560" t="e">
        <f>IF(AND(#REF!&gt;180, #REF!&gt;200), "Heavy Doemstic User", IF(#REF!&gt;10, "Interntional User", IF(AND(#REF!&lt;180, #REF!&lt;200,#REF!&lt;200), "Light User", "Balanced User")))</f>
        <v>#REF!</v>
      </c>
      <c r="AC3560" t="e">
        <f>IF(#REF! = 0, "No Usage", IF(#REF! &lt;= 20, "Low Usage", IF(#REF! &lt;= 40, "Medium Usgae", "High Usage")))</f>
        <v>#REF!</v>
      </c>
      <c r="AD3560" t="e">
        <f>IF(#REF!&lt;=150,"Low Usage", IF(#REF!&lt;=200,"Medium Usage", IF(#REF!&lt;=250,"High Usage","Very High Usage")))</f>
        <v>#REF!</v>
      </c>
      <c r="AE3560" t="e">
        <f>IF(#REF!&lt;=5,"Low Calls", IF(#REF!&lt;=10, "Medium Calls", "High Calls"))</f>
        <v>#REF!</v>
      </c>
      <c r="AF3560" t="e">
        <f xml:space="preserve">
IF(#REF!&gt;=4,4,0)+
IF(#REF!="yes",3,0)+
IF(#REF!="High Charges",3,0)+
IF(#REF!&gt;250,4,0)+
IF(#REF!="no",1,0)+
IF(#REF!="Heavy Domestic User",2,0)</f>
        <v>#REF!</v>
      </c>
      <c r="AG3560" t="e">
        <f>IF(#REF!&gt;=10,"High Risk", IF(#REF!&gt;=5,"Medium Risk","Low Risk"))</f>
        <v>#REF!</v>
      </c>
      <c r="AH3560" t="e">
        <f>#REF! + #REF! + #REF! + #REF!</f>
        <v>#REF!</v>
      </c>
    </row>
    <row r="3561" spans="1:34" x14ac:dyDescent="0.35">
      <c r="A3561">
        <v>3560</v>
      </c>
      <c r="B3561" t="s">
        <v>48</v>
      </c>
      <c r="C3561">
        <v>70</v>
      </c>
      <c r="D3561" t="s">
        <v>21</v>
      </c>
      <c r="E3561" t="s">
        <v>22</v>
      </c>
      <c r="F3561" t="s">
        <v>23</v>
      </c>
      <c r="G3561">
        <v>20</v>
      </c>
      <c r="H3561">
        <v>230.2</v>
      </c>
      <c r="I3561">
        <v>110</v>
      </c>
      <c r="J3561">
        <v>39.130000000000003</v>
      </c>
      <c r="K3561">
        <v>177.5</v>
      </c>
      <c r="L3561">
        <v>111</v>
      </c>
      <c r="M3561">
        <v>15.09</v>
      </c>
      <c r="N3561">
        <v>206.3</v>
      </c>
      <c r="O3561">
        <v>38</v>
      </c>
      <c r="P3561">
        <v>9.2799999999999994</v>
      </c>
      <c r="Q3561">
        <v>11.9</v>
      </c>
      <c r="R3561">
        <v>2</v>
      </c>
      <c r="S3561">
        <v>3.21</v>
      </c>
      <c r="T3561">
        <v>0</v>
      </c>
      <c r="U3561" t="s">
        <v>22</v>
      </c>
      <c r="V3561" t="e">
        <f>IF(#REF! = "yes", 1, 0)</f>
        <v>#REF!</v>
      </c>
      <c r="W3561" t="e">
        <f>IF(#REF! &lt;= 1, "0-1 Calls", IF(#REF! &lt;= 3, "2-3 Calls", IF(#REF! &lt;=5, "4-5 Calls", "6+ Calls")))</f>
        <v>#REF!</v>
      </c>
      <c r="X3561" t="e">
        <f>IF(#REF! &lt;= 50, "0-50", IF(#REF! &lt;=100, "51-100", IF(#REF! &lt;= 150, "101-150", "151+")))</f>
        <v>#REF!</v>
      </c>
      <c r="Y3561" t="e">
        <f>IF(#REF! &lt;= 3, "Low Charges", "High Charges")</f>
        <v>#REF!</v>
      </c>
      <c r="Z3561" t="e">
        <f>IF(#REF!&lt;=80,"Low Calls",
IF(#REF!&lt;=120,"Medium Calls","High Calls"))</f>
        <v>#REF!</v>
      </c>
      <c r="AA3561" t="e">
        <f>IF(#REF!&lt;=15,"Low Charges",
IF(#REF!&lt;=20,"Medium Charges","High Charges"))</f>
        <v>#REF!</v>
      </c>
      <c r="AB3561" t="e">
        <f>IF(AND(#REF!&gt;180, #REF!&gt;200), "Heavy Doemstic User", IF(#REF!&gt;10, "Interntional User", IF(AND(#REF!&lt;180, #REF!&lt;200,#REF!&lt;200), "Light User", "Balanced User")))</f>
        <v>#REF!</v>
      </c>
      <c r="AC3561" t="e">
        <f>IF(#REF! = 0, "No Usage", IF(#REF! &lt;= 20, "Low Usage", IF(#REF! &lt;= 40, "Medium Usgae", "High Usage")))</f>
        <v>#REF!</v>
      </c>
      <c r="AD3561" t="e">
        <f>IF(#REF!&lt;=150,"Low Usage", IF(#REF!&lt;=200,"Medium Usage", IF(#REF!&lt;=250,"High Usage","Very High Usage")))</f>
        <v>#REF!</v>
      </c>
      <c r="AE3561" t="e">
        <f>IF(#REF!&lt;=5,"Low Calls", IF(#REF!&lt;=10, "Medium Calls", "High Calls"))</f>
        <v>#REF!</v>
      </c>
      <c r="AF3561" t="e">
        <f xml:space="preserve">
IF(#REF!&gt;=4,4,0)+
IF(#REF!="yes",3,0)+
IF(#REF!="High Charges",3,0)+
IF(#REF!&gt;250,4,0)+
IF(#REF!="no",1,0)+
IF(#REF!="Heavy Domestic User",2,0)</f>
        <v>#REF!</v>
      </c>
      <c r="AG3561" t="e">
        <f>IF(#REF!&gt;=10,"High Risk", IF(#REF!&gt;=5,"Medium Risk","Low Risk"))</f>
        <v>#REF!</v>
      </c>
      <c r="AH3561" t="e">
        <f>#REF! + #REF! + #REF! + #REF!</f>
        <v>#REF!</v>
      </c>
    </row>
    <row r="3562" spans="1:34" x14ac:dyDescent="0.35">
      <c r="A3562">
        <v>3561</v>
      </c>
      <c r="B3562" t="s">
        <v>55</v>
      </c>
      <c r="C3562">
        <v>82</v>
      </c>
      <c r="D3562" t="s">
        <v>28</v>
      </c>
      <c r="E3562" t="s">
        <v>22</v>
      </c>
      <c r="F3562" t="s">
        <v>22</v>
      </c>
      <c r="G3562">
        <v>0</v>
      </c>
      <c r="H3562">
        <v>191.9</v>
      </c>
      <c r="I3562">
        <v>95</v>
      </c>
      <c r="J3562">
        <v>32.619999999999997</v>
      </c>
      <c r="K3562">
        <v>116.7</v>
      </c>
      <c r="L3562">
        <v>105</v>
      </c>
      <c r="M3562">
        <v>9.92</v>
      </c>
      <c r="N3562">
        <v>202.6</v>
      </c>
      <c r="O3562">
        <v>113</v>
      </c>
      <c r="P3562">
        <v>9.1199999999999992</v>
      </c>
      <c r="Q3562">
        <v>8.1999999999999993</v>
      </c>
      <c r="R3562">
        <v>5</v>
      </c>
      <c r="S3562">
        <v>2.21</v>
      </c>
      <c r="T3562">
        <v>0</v>
      </c>
      <c r="U3562" t="s">
        <v>22</v>
      </c>
      <c r="V3562" t="e">
        <f>IF(#REF! = "yes", 1, 0)</f>
        <v>#REF!</v>
      </c>
      <c r="W3562" t="e">
        <f>IF(#REF! &lt;= 1, "0-1 Calls", IF(#REF! &lt;= 3, "2-3 Calls", IF(#REF! &lt;=5, "4-5 Calls", "6+ Calls")))</f>
        <v>#REF!</v>
      </c>
      <c r="X3562" t="e">
        <f>IF(#REF! &lt;= 50, "0-50", IF(#REF! &lt;=100, "51-100", IF(#REF! &lt;= 150, "101-150", "151+")))</f>
        <v>#REF!</v>
      </c>
      <c r="Y3562" t="e">
        <f>IF(#REF! &lt;= 3, "Low Charges", "High Charges")</f>
        <v>#REF!</v>
      </c>
      <c r="Z3562" t="e">
        <f>IF(#REF!&lt;=80,"Low Calls",
IF(#REF!&lt;=120,"Medium Calls","High Calls"))</f>
        <v>#REF!</v>
      </c>
      <c r="AA3562" t="e">
        <f>IF(#REF!&lt;=15,"Low Charges",
IF(#REF!&lt;=20,"Medium Charges","High Charges"))</f>
        <v>#REF!</v>
      </c>
      <c r="AB3562" t="e">
        <f>IF(AND(#REF!&gt;180, #REF!&gt;200), "Heavy Doemstic User", IF(#REF!&gt;10, "Interntional User", IF(AND(#REF!&lt;180, #REF!&lt;200,#REF!&lt;200), "Light User", "Balanced User")))</f>
        <v>#REF!</v>
      </c>
      <c r="AC3562" t="e">
        <f>IF(#REF! = 0, "No Usage", IF(#REF! &lt;= 20, "Low Usage", IF(#REF! &lt;= 40, "Medium Usgae", "High Usage")))</f>
        <v>#REF!</v>
      </c>
      <c r="AD3562" t="e">
        <f>IF(#REF!&lt;=150,"Low Usage", IF(#REF!&lt;=200,"Medium Usage", IF(#REF!&lt;=250,"High Usage","Very High Usage")))</f>
        <v>#REF!</v>
      </c>
      <c r="AE3562" t="e">
        <f>IF(#REF!&lt;=5,"Low Calls", IF(#REF!&lt;=10, "Medium Calls", "High Calls"))</f>
        <v>#REF!</v>
      </c>
      <c r="AF3562" t="e">
        <f xml:space="preserve">
IF(#REF!&gt;=4,4,0)+
IF(#REF!="yes",3,0)+
IF(#REF!="High Charges",3,0)+
IF(#REF!&gt;250,4,0)+
IF(#REF!="no",1,0)+
IF(#REF!="Heavy Domestic User",2,0)</f>
        <v>#REF!</v>
      </c>
      <c r="AG3562" t="e">
        <f>IF(#REF!&gt;=10,"High Risk", IF(#REF!&gt;=5,"Medium Risk","Low Risk"))</f>
        <v>#REF!</v>
      </c>
      <c r="AH3562" t="e">
        <f>#REF! + #REF! + #REF! + #REF!</f>
        <v>#REF!</v>
      </c>
    </row>
    <row r="3563" spans="1:34" x14ac:dyDescent="0.35">
      <c r="A3563">
        <v>3562</v>
      </c>
      <c r="B3563" t="s">
        <v>41</v>
      </c>
      <c r="C3563">
        <v>65</v>
      </c>
      <c r="D3563" t="s">
        <v>25</v>
      </c>
      <c r="E3563" t="s">
        <v>22</v>
      </c>
      <c r="F3563" t="s">
        <v>22</v>
      </c>
      <c r="G3563">
        <v>0</v>
      </c>
      <c r="H3563">
        <v>131.5</v>
      </c>
      <c r="I3563">
        <v>119</v>
      </c>
      <c r="J3563">
        <v>22.36</v>
      </c>
      <c r="K3563">
        <v>222.3</v>
      </c>
      <c r="L3563">
        <v>119</v>
      </c>
      <c r="M3563">
        <v>18.899999999999999</v>
      </c>
      <c r="N3563">
        <v>155.30000000000001</v>
      </c>
      <c r="O3563">
        <v>83</v>
      </c>
      <c r="P3563">
        <v>6.99</v>
      </c>
      <c r="Q3563">
        <v>11.1</v>
      </c>
      <c r="R3563">
        <v>7</v>
      </c>
      <c r="S3563">
        <v>3</v>
      </c>
      <c r="T3563">
        <v>1</v>
      </c>
      <c r="U3563" t="s">
        <v>22</v>
      </c>
      <c r="V3563" t="e">
        <f>IF(#REF! = "yes", 1, 0)</f>
        <v>#REF!</v>
      </c>
      <c r="W3563" t="e">
        <f>IF(#REF! &lt;= 1, "0-1 Calls", IF(#REF! &lt;= 3, "2-3 Calls", IF(#REF! &lt;=5, "4-5 Calls", "6+ Calls")))</f>
        <v>#REF!</v>
      </c>
      <c r="X3563" t="e">
        <f>IF(#REF! &lt;= 50, "0-50", IF(#REF! &lt;=100, "51-100", IF(#REF! &lt;= 150, "101-150", "151+")))</f>
        <v>#REF!</v>
      </c>
      <c r="Y3563" t="e">
        <f>IF(#REF! &lt;= 3, "Low Charges", "High Charges")</f>
        <v>#REF!</v>
      </c>
      <c r="Z3563" t="e">
        <f>IF(#REF!&lt;=80,"Low Calls",
IF(#REF!&lt;=120,"Medium Calls","High Calls"))</f>
        <v>#REF!</v>
      </c>
      <c r="AA3563" t="e">
        <f>IF(#REF!&lt;=15,"Low Charges",
IF(#REF!&lt;=20,"Medium Charges","High Charges"))</f>
        <v>#REF!</v>
      </c>
      <c r="AB3563" t="e">
        <f>IF(AND(#REF!&gt;180, #REF!&gt;200), "Heavy Doemstic User", IF(#REF!&gt;10, "Interntional User", IF(AND(#REF!&lt;180, #REF!&lt;200,#REF!&lt;200), "Light User", "Balanced User")))</f>
        <v>#REF!</v>
      </c>
      <c r="AC3563" t="e">
        <f>IF(#REF! = 0, "No Usage", IF(#REF! &lt;= 20, "Low Usage", IF(#REF! &lt;= 40, "Medium Usgae", "High Usage")))</f>
        <v>#REF!</v>
      </c>
      <c r="AD3563" t="e">
        <f>IF(#REF!&lt;=150,"Low Usage", IF(#REF!&lt;=200,"Medium Usage", IF(#REF!&lt;=250,"High Usage","Very High Usage")))</f>
        <v>#REF!</v>
      </c>
      <c r="AE3563" t="e">
        <f>IF(#REF!&lt;=5,"Low Calls", IF(#REF!&lt;=10, "Medium Calls", "High Calls"))</f>
        <v>#REF!</v>
      </c>
      <c r="AF3563" t="e">
        <f xml:space="preserve">
IF(#REF!&gt;=4,4,0)+
IF(#REF!="yes",3,0)+
IF(#REF!="High Charges",3,0)+
IF(#REF!&gt;250,4,0)+
IF(#REF!="no",1,0)+
IF(#REF!="Heavy Domestic User",2,0)</f>
        <v>#REF!</v>
      </c>
      <c r="AG3563" t="e">
        <f>IF(#REF!&gt;=10,"High Risk", IF(#REF!&gt;=5,"Medium Risk","Low Risk"))</f>
        <v>#REF!</v>
      </c>
      <c r="AH3563" t="e">
        <f>#REF! + #REF! + #REF! + #REF!</f>
        <v>#REF!</v>
      </c>
    </row>
    <row r="3564" spans="1:34" x14ac:dyDescent="0.35">
      <c r="A3564">
        <v>3563</v>
      </c>
      <c r="B3564" t="s">
        <v>42</v>
      </c>
      <c r="C3564">
        <v>102</v>
      </c>
      <c r="D3564" t="s">
        <v>28</v>
      </c>
      <c r="E3564" t="s">
        <v>22</v>
      </c>
      <c r="F3564" t="s">
        <v>22</v>
      </c>
      <c r="G3564">
        <v>0</v>
      </c>
      <c r="H3564">
        <v>171.6</v>
      </c>
      <c r="I3564">
        <v>116</v>
      </c>
      <c r="J3564">
        <v>29.17</v>
      </c>
      <c r="K3564">
        <v>219.4</v>
      </c>
      <c r="L3564">
        <v>111</v>
      </c>
      <c r="M3564">
        <v>18.649999999999999</v>
      </c>
      <c r="N3564">
        <v>242.1</v>
      </c>
      <c r="O3564">
        <v>85</v>
      </c>
      <c r="P3564">
        <v>10.89</v>
      </c>
      <c r="Q3564">
        <v>12.1</v>
      </c>
      <c r="R3564">
        <v>4</v>
      </c>
      <c r="S3564">
        <v>3.27</v>
      </c>
      <c r="T3564">
        <v>0</v>
      </c>
      <c r="U3564" t="s">
        <v>23</v>
      </c>
      <c r="V3564" t="e">
        <f>IF(#REF! = "yes", 1, 0)</f>
        <v>#REF!</v>
      </c>
      <c r="W3564" t="e">
        <f>IF(#REF! &lt;= 1, "0-1 Calls", IF(#REF! &lt;= 3, "2-3 Calls", IF(#REF! &lt;=5, "4-5 Calls", "6+ Calls")))</f>
        <v>#REF!</v>
      </c>
      <c r="X3564" t="e">
        <f>IF(#REF! &lt;= 50, "0-50", IF(#REF! &lt;=100, "51-100", IF(#REF! &lt;= 150, "101-150", "151+")))</f>
        <v>#REF!</v>
      </c>
      <c r="Y3564" t="e">
        <f>IF(#REF! &lt;= 3, "Low Charges", "High Charges")</f>
        <v>#REF!</v>
      </c>
      <c r="Z3564" t="e">
        <f>IF(#REF!&lt;=80,"Low Calls",
IF(#REF!&lt;=120,"Medium Calls","High Calls"))</f>
        <v>#REF!</v>
      </c>
      <c r="AA3564" t="e">
        <f>IF(#REF!&lt;=15,"Low Charges",
IF(#REF!&lt;=20,"Medium Charges","High Charges"))</f>
        <v>#REF!</v>
      </c>
      <c r="AB3564" t="e">
        <f>IF(AND(#REF!&gt;180, #REF!&gt;200), "Heavy Doemstic User", IF(#REF!&gt;10, "Interntional User", IF(AND(#REF!&lt;180, #REF!&lt;200,#REF!&lt;200), "Light User", "Balanced User")))</f>
        <v>#REF!</v>
      </c>
      <c r="AC3564" t="e">
        <f>IF(#REF! = 0, "No Usage", IF(#REF! &lt;= 20, "Low Usage", IF(#REF! &lt;= 40, "Medium Usgae", "High Usage")))</f>
        <v>#REF!</v>
      </c>
      <c r="AD3564" t="e">
        <f>IF(#REF!&lt;=150,"Low Usage", IF(#REF!&lt;=200,"Medium Usage", IF(#REF!&lt;=250,"High Usage","Very High Usage")))</f>
        <v>#REF!</v>
      </c>
      <c r="AE3564" t="e">
        <f>IF(#REF!&lt;=5,"Low Calls", IF(#REF!&lt;=10, "Medium Calls", "High Calls"))</f>
        <v>#REF!</v>
      </c>
      <c r="AF3564" t="e">
        <f xml:space="preserve">
IF(#REF!&gt;=4,4,0)+
IF(#REF!="yes",3,0)+
IF(#REF!="High Charges",3,0)+
IF(#REF!&gt;250,4,0)+
IF(#REF!="no",1,0)+
IF(#REF!="Heavy Domestic User",2,0)</f>
        <v>#REF!</v>
      </c>
      <c r="AG3564" t="e">
        <f>IF(#REF!&gt;=10,"High Risk", IF(#REF!&gt;=5,"Medium Risk","Low Risk"))</f>
        <v>#REF!</v>
      </c>
      <c r="AH3564" t="e">
        <f>#REF! + #REF! + #REF! + #REF!</f>
        <v>#REF!</v>
      </c>
    </row>
    <row r="3565" spans="1:34" x14ac:dyDescent="0.35">
      <c r="A3565">
        <v>3564</v>
      </c>
      <c r="B3565" t="s">
        <v>74</v>
      </c>
      <c r="C3565">
        <v>78</v>
      </c>
      <c r="D3565" t="s">
        <v>25</v>
      </c>
      <c r="E3565" t="s">
        <v>22</v>
      </c>
      <c r="F3565" t="s">
        <v>22</v>
      </c>
      <c r="G3565">
        <v>0</v>
      </c>
      <c r="H3565">
        <v>157.30000000000001</v>
      </c>
      <c r="I3565">
        <v>61</v>
      </c>
      <c r="J3565">
        <v>26.74</v>
      </c>
      <c r="K3565">
        <v>242</v>
      </c>
      <c r="L3565">
        <v>119</v>
      </c>
      <c r="M3565">
        <v>20.57</v>
      </c>
      <c r="N3565">
        <v>196</v>
      </c>
      <c r="O3565">
        <v>107</v>
      </c>
      <c r="P3565">
        <v>8.82</v>
      </c>
      <c r="Q3565">
        <v>10.6</v>
      </c>
      <c r="R3565">
        <v>1</v>
      </c>
      <c r="S3565">
        <v>2.86</v>
      </c>
      <c r="T3565">
        <v>1</v>
      </c>
      <c r="U3565" t="s">
        <v>22</v>
      </c>
      <c r="V3565" t="e">
        <f>IF(#REF! = "yes", 1, 0)</f>
        <v>#REF!</v>
      </c>
      <c r="W3565" t="e">
        <f>IF(#REF! &lt;= 1, "0-1 Calls", IF(#REF! &lt;= 3, "2-3 Calls", IF(#REF! &lt;=5, "4-5 Calls", "6+ Calls")))</f>
        <v>#REF!</v>
      </c>
      <c r="X3565" t="e">
        <f>IF(#REF! &lt;= 50, "0-50", IF(#REF! &lt;=100, "51-100", IF(#REF! &lt;= 150, "101-150", "151+")))</f>
        <v>#REF!</v>
      </c>
      <c r="Y3565" t="e">
        <f>IF(#REF! &lt;= 3, "Low Charges", "High Charges")</f>
        <v>#REF!</v>
      </c>
      <c r="Z3565" t="e">
        <f>IF(#REF!&lt;=80,"Low Calls",
IF(#REF!&lt;=120,"Medium Calls","High Calls"))</f>
        <v>#REF!</v>
      </c>
      <c r="AA3565" t="e">
        <f>IF(#REF!&lt;=15,"Low Charges",
IF(#REF!&lt;=20,"Medium Charges","High Charges"))</f>
        <v>#REF!</v>
      </c>
      <c r="AB3565" t="e">
        <f>IF(AND(#REF!&gt;180, #REF!&gt;200), "Heavy Doemstic User", IF(#REF!&gt;10, "Interntional User", IF(AND(#REF!&lt;180, #REF!&lt;200,#REF!&lt;200), "Light User", "Balanced User")))</f>
        <v>#REF!</v>
      </c>
      <c r="AC3565" t="e">
        <f>IF(#REF! = 0, "No Usage", IF(#REF! &lt;= 20, "Low Usage", IF(#REF! &lt;= 40, "Medium Usgae", "High Usage")))</f>
        <v>#REF!</v>
      </c>
      <c r="AD3565" t="e">
        <f>IF(#REF!&lt;=150,"Low Usage", IF(#REF!&lt;=200,"Medium Usage", IF(#REF!&lt;=250,"High Usage","Very High Usage")))</f>
        <v>#REF!</v>
      </c>
      <c r="AE3565" t="e">
        <f>IF(#REF!&lt;=5,"Low Calls", IF(#REF!&lt;=10, "Medium Calls", "High Calls"))</f>
        <v>#REF!</v>
      </c>
      <c r="AF3565" t="e">
        <f xml:space="preserve">
IF(#REF!&gt;=4,4,0)+
IF(#REF!="yes",3,0)+
IF(#REF!="High Charges",3,0)+
IF(#REF!&gt;250,4,0)+
IF(#REF!="no",1,0)+
IF(#REF!="Heavy Domestic User",2,0)</f>
        <v>#REF!</v>
      </c>
      <c r="AG3565" t="e">
        <f>IF(#REF!&gt;=10,"High Risk", IF(#REF!&gt;=5,"Medium Risk","Low Risk"))</f>
        <v>#REF!</v>
      </c>
      <c r="AH3565" t="e">
        <f>#REF! + #REF! + #REF! + #REF!</f>
        <v>#REF!</v>
      </c>
    </row>
    <row r="3566" spans="1:34" x14ac:dyDescent="0.35">
      <c r="A3566">
        <v>3565</v>
      </c>
      <c r="B3566" t="s">
        <v>61</v>
      </c>
      <c r="C3566">
        <v>77</v>
      </c>
      <c r="D3566" t="s">
        <v>25</v>
      </c>
      <c r="E3566" t="s">
        <v>23</v>
      </c>
      <c r="F3566" t="s">
        <v>22</v>
      </c>
      <c r="G3566">
        <v>0</v>
      </c>
      <c r="H3566">
        <v>192.7</v>
      </c>
      <c r="I3566">
        <v>82</v>
      </c>
      <c r="J3566">
        <v>32.76</v>
      </c>
      <c r="K3566">
        <v>198</v>
      </c>
      <c r="L3566">
        <v>91</v>
      </c>
      <c r="M3566">
        <v>16.829999999999998</v>
      </c>
      <c r="N3566">
        <v>204.2</v>
      </c>
      <c r="O3566">
        <v>95</v>
      </c>
      <c r="P3566">
        <v>9.19</v>
      </c>
      <c r="Q3566">
        <v>9</v>
      </c>
      <c r="R3566">
        <v>6</v>
      </c>
      <c r="S3566">
        <v>2.4300000000000002</v>
      </c>
      <c r="T3566">
        <v>1</v>
      </c>
      <c r="U3566" t="s">
        <v>22</v>
      </c>
      <c r="V3566" t="e">
        <f>IF(#REF! = "yes", 1, 0)</f>
        <v>#REF!</v>
      </c>
      <c r="W3566" t="e">
        <f>IF(#REF! &lt;= 1, "0-1 Calls", IF(#REF! &lt;= 3, "2-3 Calls", IF(#REF! &lt;=5, "4-5 Calls", "6+ Calls")))</f>
        <v>#REF!</v>
      </c>
      <c r="X3566" t="e">
        <f>IF(#REF! &lt;= 50, "0-50", IF(#REF! &lt;=100, "51-100", IF(#REF! &lt;= 150, "101-150", "151+")))</f>
        <v>#REF!</v>
      </c>
      <c r="Y3566" t="e">
        <f>IF(#REF! &lt;= 3, "Low Charges", "High Charges")</f>
        <v>#REF!</v>
      </c>
      <c r="Z3566" t="e">
        <f>IF(#REF!&lt;=80,"Low Calls",
IF(#REF!&lt;=120,"Medium Calls","High Calls"))</f>
        <v>#REF!</v>
      </c>
      <c r="AA3566" t="e">
        <f>IF(#REF!&lt;=15,"Low Charges",
IF(#REF!&lt;=20,"Medium Charges","High Charges"))</f>
        <v>#REF!</v>
      </c>
      <c r="AB3566" t="e">
        <f>IF(AND(#REF!&gt;180, #REF!&gt;200), "Heavy Doemstic User", IF(#REF!&gt;10, "Interntional User", IF(AND(#REF!&lt;180, #REF!&lt;200,#REF!&lt;200), "Light User", "Balanced User")))</f>
        <v>#REF!</v>
      </c>
      <c r="AC3566" t="e">
        <f>IF(#REF! = 0, "No Usage", IF(#REF! &lt;= 20, "Low Usage", IF(#REF! &lt;= 40, "Medium Usgae", "High Usage")))</f>
        <v>#REF!</v>
      </c>
      <c r="AD3566" t="e">
        <f>IF(#REF!&lt;=150,"Low Usage", IF(#REF!&lt;=200,"Medium Usage", IF(#REF!&lt;=250,"High Usage","Very High Usage")))</f>
        <v>#REF!</v>
      </c>
      <c r="AE3566" t="e">
        <f>IF(#REF!&lt;=5,"Low Calls", IF(#REF!&lt;=10, "Medium Calls", "High Calls"))</f>
        <v>#REF!</v>
      </c>
      <c r="AF3566" t="e">
        <f xml:space="preserve">
IF(#REF!&gt;=4,4,0)+
IF(#REF!="yes",3,0)+
IF(#REF!="High Charges",3,0)+
IF(#REF!&gt;250,4,0)+
IF(#REF!="no",1,0)+
IF(#REF!="Heavy Domestic User",2,0)</f>
        <v>#REF!</v>
      </c>
      <c r="AG3566" t="e">
        <f>IF(#REF!&gt;=10,"High Risk", IF(#REF!&gt;=5,"Medium Risk","Low Risk"))</f>
        <v>#REF!</v>
      </c>
      <c r="AH3566" t="e">
        <f>#REF! + #REF! + #REF! + #REF!</f>
        <v>#REF!</v>
      </c>
    </row>
    <row r="3567" spans="1:34" x14ac:dyDescent="0.35">
      <c r="A3567">
        <v>3566</v>
      </c>
      <c r="B3567" t="s">
        <v>66</v>
      </c>
      <c r="C3567">
        <v>58</v>
      </c>
      <c r="D3567" t="s">
        <v>21</v>
      </c>
      <c r="E3567" t="s">
        <v>22</v>
      </c>
      <c r="F3567" t="s">
        <v>23</v>
      </c>
      <c r="G3567">
        <v>29</v>
      </c>
      <c r="H3567">
        <v>239.6</v>
      </c>
      <c r="I3567">
        <v>84</v>
      </c>
      <c r="J3567">
        <v>40.729999999999997</v>
      </c>
      <c r="K3567">
        <v>182.1</v>
      </c>
      <c r="L3567">
        <v>80</v>
      </c>
      <c r="M3567">
        <v>15.48</v>
      </c>
      <c r="N3567">
        <v>118.3</v>
      </c>
      <c r="O3567">
        <v>100</v>
      </c>
      <c r="P3567">
        <v>5.32</v>
      </c>
      <c r="Q3567">
        <v>11</v>
      </c>
      <c r="R3567">
        <v>3</v>
      </c>
      <c r="S3567">
        <v>2.97</v>
      </c>
      <c r="T3567">
        <v>2</v>
      </c>
      <c r="U3567" t="s">
        <v>22</v>
      </c>
      <c r="V3567" t="e">
        <f>IF(#REF! = "yes", 1, 0)</f>
        <v>#REF!</v>
      </c>
      <c r="W3567" t="e">
        <f>IF(#REF! &lt;= 1, "0-1 Calls", IF(#REF! &lt;= 3, "2-3 Calls", IF(#REF! &lt;=5, "4-5 Calls", "6+ Calls")))</f>
        <v>#REF!</v>
      </c>
      <c r="X3567" t="e">
        <f>IF(#REF! &lt;= 50, "0-50", IF(#REF! &lt;=100, "51-100", IF(#REF! &lt;= 150, "101-150", "151+")))</f>
        <v>#REF!</v>
      </c>
      <c r="Y3567" t="e">
        <f>IF(#REF! &lt;= 3, "Low Charges", "High Charges")</f>
        <v>#REF!</v>
      </c>
      <c r="Z3567" t="e">
        <f>IF(#REF!&lt;=80,"Low Calls",
IF(#REF!&lt;=120,"Medium Calls","High Calls"))</f>
        <v>#REF!</v>
      </c>
      <c r="AA3567" t="e">
        <f>IF(#REF!&lt;=15,"Low Charges",
IF(#REF!&lt;=20,"Medium Charges","High Charges"))</f>
        <v>#REF!</v>
      </c>
      <c r="AB3567" t="e">
        <f>IF(AND(#REF!&gt;180, #REF!&gt;200), "Heavy Doemstic User", IF(#REF!&gt;10, "Interntional User", IF(AND(#REF!&lt;180, #REF!&lt;200,#REF!&lt;200), "Light User", "Balanced User")))</f>
        <v>#REF!</v>
      </c>
      <c r="AC3567" t="e">
        <f>IF(#REF! = 0, "No Usage", IF(#REF! &lt;= 20, "Low Usage", IF(#REF! &lt;= 40, "Medium Usgae", "High Usage")))</f>
        <v>#REF!</v>
      </c>
      <c r="AD3567" t="e">
        <f>IF(#REF!&lt;=150,"Low Usage", IF(#REF!&lt;=200,"Medium Usage", IF(#REF!&lt;=250,"High Usage","Very High Usage")))</f>
        <v>#REF!</v>
      </c>
      <c r="AE3567" t="e">
        <f>IF(#REF!&lt;=5,"Low Calls", IF(#REF!&lt;=10, "Medium Calls", "High Calls"))</f>
        <v>#REF!</v>
      </c>
      <c r="AF3567" t="e">
        <f xml:space="preserve">
IF(#REF!&gt;=4,4,0)+
IF(#REF!="yes",3,0)+
IF(#REF!="High Charges",3,0)+
IF(#REF!&gt;250,4,0)+
IF(#REF!="no",1,0)+
IF(#REF!="Heavy Domestic User",2,0)</f>
        <v>#REF!</v>
      </c>
      <c r="AG3567" t="e">
        <f>IF(#REF!&gt;=10,"High Risk", IF(#REF!&gt;=5,"Medium Risk","Low Risk"))</f>
        <v>#REF!</v>
      </c>
      <c r="AH3567" t="e">
        <f>#REF! + #REF! + #REF! + #REF!</f>
        <v>#REF!</v>
      </c>
    </row>
    <row r="3568" spans="1:34" x14ac:dyDescent="0.35">
      <c r="A3568">
        <v>3567</v>
      </c>
      <c r="B3568" t="s">
        <v>74</v>
      </c>
      <c r="C3568">
        <v>38</v>
      </c>
      <c r="D3568" t="s">
        <v>28</v>
      </c>
      <c r="E3568" t="s">
        <v>22</v>
      </c>
      <c r="F3568" t="s">
        <v>22</v>
      </c>
      <c r="G3568">
        <v>0</v>
      </c>
      <c r="H3568">
        <v>96.9</v>
      </c>
      <c r="I3568">
        <v>110</v>
      </c>
      <c r="J3568">
        <v>16.47</v>
      </c>
      <c r="K3568">
        <v>241.4</v>
      </c>
      <c r="L3568">
        <v>75</v>
      </c>
      <c r="M3568">
        <v>20.52</v>
      </c>
      <c r="N3568">
        <v>141</v>
      </c>
      <c r="O3568">
        <v>69</v>
      </c>
      <c r="P3568">
        <v>6.35</v>
      </c>
      <c r="Q3568">
        <v>10.8</v>
      </c>
      <c r="R3568">
        <v>3</v>
      </c>
      <c r="S3568">
        <v>2.92</v>
      </c>
      <c r="T3568">
        <v>0</v>
      </c>
      <c r="U3568" t="s">
        <v>22</v>
      </c>
      <c r="V3568" t="e">
        <f>IF(#REF! = "yes", 1, 0)</f>
        <v>#REF!</v>
      </c>
      <c r="W3568" t="e">
        <f>IF(#REF! &lt;= 1, "0-1 Calls", IF(#REF! &lt;= 3, "2-3 Calls", IF(#REF! &lt;=5, "4-5 Calls", "6+ Calls")))</f>
        <v>#REF!</v>
      </c>
      <c r="X3568" t="e">
        <f>IF(#REF! &lt;= 50, "0-50", IF(#REF! &lt;=100, "51-100", IF(#REF! &lt;= 150, "101-150", "151+")))</f>
        <v>#REF!</v>
      </c>
      <c r="Y3568" t="e">
        <f>IF(#REF! &lt;= 3, "Low Charges", "High Charges")</f>
        <v>#REF!</v>
      </c>
      <c r="Z3568" t="e">
        <f>IF(#REF!&lt;=80,"Low Calls",
IF(#REF!&lt;=120,"Medium Calls","High Calls"))</f>
        <v>#REF!</v>
      </c>
      <c r="AA3568" t="e">
        <f>IF(#REF!&lt;=15,"Low Charges",
IF(#REF!&lt;=20,"Medium Charges","High Charges"))</f>
        <v>#REF!</v>
      </c>
      <c r="AB3568" t="e">
        <f>IF(AND(#REF!&gt;180, #REF!&gt;200), "Heavy Doemstic User", IF(#REF!&gt;10, "Interntional User", IF(AND(#REF!&lt;180, #REF!&lt;200,#REF!&lt;200), "Light User", "Balanced User")))</f>
        <v>#REF!</v>
      </c>
      <c r="AC3568" t="e">
        <f>IF(#REF! = 0, "No Usage", IF(#REF! &lt;= 20, "Low Usage", IF(#REF! &lt;= 40, "Medium Usgae", "High Usage")))</f>
        <v>#REF!</v>
      </c>
      <c r="AD3568" t="e">
        <f>IF(#REF!&lt;=150,"Low Usage", IF(#REF!&lt;=200,"Medium Usage", IF(#REF!&lt;=250,"High Usage","Very High Usage")))</f>
        <v>#REF!</v>
      </c>
      <c r="AE3568" t="e">
        <f>IF(#REF!&lt;=5,"Low Calls", IF(#REF!&lt;=10, "Medium Calls", "High Calls"))</f>
        <v>#REF!</v>
      </c>
      <c r="AF3568" t="e">
        <f xml:space="preserve">
IF(#REF!&gt;=4,4,0)+
IF(#REF!="yes",3,0)+
IF(#REF!="High Charges",3,0)+
IF(#REF!&gt;250,4,0)+
IF(#REF!="no",1,0)+
IF(#REF!="Heavy Domestic User",2,0)</f>
        <v>#REF!</v>
      </c>
      <c r="AG3568" t="e">
        <f>IF(#REF!&gt;=10,"High Risk", IF(#REF!&gt;=5,"Medium Risk","Low Risk"))</f>
        <v>#REF!</v>
      </c>
      <c r="AH3568" t="e">
        <f>#REF! + #REF! + #REF! + #REF!</f>
        <v>#REF!</v>
      </c>
    </row>
    <row r="3569" spans="1:34" x14ac:dyDescent="0.35">
      <c r="A3569">
        <v>3568</v>
      </c>
      <c r="B3569" t="s">
        <v>29</v>
      </c>
      <c r="C3569">
        <v>87</v>
      </c>
      <c r="D3569" t="s">
        <v>25</v>
      </c>
      <c r="E3569" t="s">
        <v>22</v>
      </c>
      <c r="F3569" t="s">
        <v>22</v>
      </c>
      <c r="G3569">
        <v>0</v>
      </c>
      <c r="H3569">
        <v>129.5</v>
      </c>
      <c r="I3569">
        <v>104</v>
      </c>
      <c r="J3569">
        <v>22.02</v>
      </c>
      <c r="K3569">
        <v>194</v>
      </c>
      <c r="L3569">
        <v>133</v>
      </c>
      <c r="M3569">
        <v>16.489999999999998</v>
      </c>
      <c r="N3569">
        <v>287.89999999999998</v>
      </c>
      <c r="O3569">
        <v>65</v>
      </c>
      <c r="P3569">
        <v>12.96</v>
      </c>
      <c r="Q3569">
        <v>7.2</v>
      </c>
      <c r="R3569">
        <v>7</v>
      </c>
      <c r="S3569">
        <v>1.94</v>
      </c>
      <c r="T3569">
        <v>2</v>
      </c>
      <c r="U3569" t="s">
        <v>22</v>
      </c>
      <c r="V3569" t="e">
        <f>IF(#REF! = "yes", 1, 0)</f>
        <v>#REF!</v>
      </c>
      <c r="W3569" t="e">
        <f>IF(#REF! &lt;= 1, "0-1 Calls", IF(#REF! &lt;= 3, "2-3 Calls", IF(#REF! &lt;=5, "4-5 Calls", "6+ Calls")))</f>
        <v>#REF!</v>
      </c>
      <c r="X3569" t="e">
        <f>IF(#REF! &lt;= 50, "0-50", IF(#REF! &lt;=100, "51-100", IF(#REF! &lt;= 150, "101-150", "151+")))</f>
        <v>#REF!</v>
      </c>
      <c r="Y3569" t="e">
        <f>IF(#REF! &lt;= 3, "Low Charges", "High Charges")</f>
        <v>#REF!</v>
      </c>
      <c r="Z3569" t="e">
        <f>IF(#REF!&lt;=80,"Low Calls",
IF(#REF!&lt;=120,"Medium Calls","High Calls"))</f>
        <v>#REF!</v>
      </c>
      <c r="AA3569" t="e">
        <f>IF(#REF!&lt;=15,"Low Charges",
IF(#REF!&lt;=20,"Medium Charges","High Charges"))</f>
        <v>#REF!</v>
      </c>
      <c r="AB3569" t="e">
        <f>IF(AND(#REF!&gt;180, #REF!&gt;200), "Heavy Doemstic User", IF(#REF!&gt;10, "Interntional User", IF(AND(#REF!&lt;180, #REF!&lt;200,#REF!&lt;200), "Light User", "Balanced User")))</f>
        <v>#REF!</v>
      </c>
      <c r="AC3569" t="e">
        <f>IF(#REF! = 0, "No Usage", IF(#REF! &lt;= 20, "Low Usage", IF(#REF! &lt;= 40, "Medium Usgae", "High Usage")))</f>
        <v>#REF!</v>
      </c>
      <c r="AD3569" t="e">
        <f>IF(#REF!&lt;=150,"Low Usage", IF(#REF!&lt;=200,"Medium Usage", IF(#REF!&lt;=250,"High Usage","Very High Usage")))</f>
        <v>#REF!</v>
      </c>
      <c r="AE3569" t="e">
        <f>IF(#REF!&lt;=5,"Low Calls", IF(#REF!&lt;=10, "Medium Calls", "High Calls"))</f>
        <v>#REF!</v>
      </c>
      <c r="AF3569" t="e">
        <f xml:space="preserve">
IF(#REF!&gt;=4,4,0)+
IF(#REF!="yes",3,0)+
IF(#REF!="High Charges",3,0)+
IF(#REF!&gt;250,4,0)+
IF(#REF!="no",1,0)+
IF(#REF!="Heavy Domestic User",2,0)</f>
        <v>#REF!</v>
      </c>
      <c r="AG3569" t="e">
        <f>IF(#REF!&gt;=10,"High Risk", IF(#REF!&gt;=5,"Medium Risk","Low Risk"))</f>
        <v>#REF!</v>
      </c>
      <c r="AH3569" t="e">
        <f>#REF! + #REF! + #REF! + #REF!</f>
        <v>#REF!</v>
      </c>
    </row>
    <row r="3570" spans="1:34" x14ac:dyDescent="0.35">
      <c r="A3570">
        <v>3569</v>
      </c>
      <c r="B3570" t="s">
        <v>44</v>
      </c>
      <c r="C3570">
        <v>72</v>
      </c>
      <c r="D3570" t="s">
        <v>28</v>
      </c>
      <c r="E3570" t="s">
        <v>23</v>
      </c>
      <c r="F3570" t="s">
        <v>22</v>
      </c>
      <c r="G3570">
        <v>0</v>
      </c>
      <c r="H3570">
        <v>274</v>
      </c>
      <c r="I3570">
        <v>75</v>
      </c>
      <c r="J3570">
        <v>46.58</v>
      </c>
      <c r="K3570">
        <v>162.80000000000001</v>
      </c>
      <c r="L3570">
        <v>110</v>
      </c>
      <c r="M3570">
        <v>13.84</v>
      </c>
      <c r="N3570">
        <v>110</v>
      </c>
      <c r="O3570">
        <v>121</v>
      </c>
      <c r="P3570">
        <v>4.95</v>
      </c>
      <c r="Q3570">
        <v>7.7</v>
      </c>
      <c r="R3570">
        <v>3</v>
      </c>
      <c r="S3570">
        <v>2.08</v>
      </c>
      <c r="T3570">
        <v>4</v>
      </c>
      <c r="U3570" t="s">
        <v>22</v>
      </c>
      <c r="V3570" t="e">
        <f>IF(#REF! = "yes", 1, 0)</f>
        <v>#REF!</v>
      </c>
      <c r="W3570" t="e">
        <f>IF(#REF! &lt;= 1, "0-1 Calls", IF(#REF! &lt;= 3, "2-3 Calls", IF(#REF! &lt;=5, "4-5 Calls", "6+ Calls")))</f>
        <v>#REF!</v>
      </c>
      <c r="X3570" t="e">
        <f>IF(#REF! &lt;= 50, "0-50", IF(#REF! &lt;=100, "51-100", IF(#REF! &lt;= 150, "101-150", "151+")))</f>
        <v>#REF!</v>
      </c>
      <c r="Y3570" t="e">
        <f>IF(#REF! &lt;= 3, "Low Charges", "High Charges")</f>
        <v>#REF!</v>
      </c>
      <c r="Z3570" t="e">
        <f>IF(#REF!&lt;=80,"Low Calls",
IF(#REF!&lt;=120,"Medium Calls","High Calls"))</f>
        <v>#REF!</v>
      </c>
      <c r="AA3570" t="e">
        <f>IF(#REF!&lt;=15,"Low Charges",
IF(#REF!&lt;=20,"Medium Charges","High Charges"))</f>
        <v>#REF!</v>
      </c>
      <c r="AB3570" t="e">
        <f>IF(AND(#REF!&gt;180, #REF!&gt;200), "Heavy Doemstic User", IF(#REF!&gt;10, "Interntional User", IF(AND(#REF!&lt;180, #REF!&lt;200,#REF!&lt;200), "Light User", "Balanced User")))</f>
        <v>#REF!</v>
      </c>
      <c r="AC3570" t="e">
        <f>IF(#REF! = 0, "No Usage", IF(#REF! &lt;= 20, "Low Usage", IF(#REF! &lt;= 40, "Medium Usgae", "High Usage")))</f>
        <v>#REF!</v>
      </c>
      <c r="AD3570" t="e">
        <f>IF(#REF!&lt;=150,"Low Usage", IF(#REF!&lt;=200,"Medium Usage", IF(#REF!&lt;=250,"High Usage","Very High Usage")))</f>
        <v>#REF!</v>
      </c>
      <c r="AE3570" t="e">
        <f>IF(#REF!&lt;=5,"Low Calls", IF(#REF!&lt;=10, "Medium Calls", "High Calls"))</f>
        <v>#REF!</v>
      </c>
      <c r="AF3570" t="e">
        <f xml:space="preserve">
IF(#REF!&gt;=4,4,0)+
IF(#REF!="yes",3,0)+
IF(#REF!="High Charges",3,0)+
IF(#REF!&gt;250,4,0)+
IF(#REF!="no",1,0)+
IF(#REF!="Heavy Domestic User",2,0)</f>
        <v>#REF!</v>
      </c>
      <c r="AG3570" t="e">
        <f>IF(#REF!&gt;=10,"High Risk", IF(#REF!&gt;=5,"Medium Risk","Low Risk"))</f>
        <v>#REF!</v>
      </c>
      <c r="AH3570" t="e">
        <f>#REF! + #REF! + #REF! + #REF!</f>
        <v>#REF!</v>
      </c>
    </row>
    <row r="3571" spans="1:34" x14ac:dyDescent="0.35">
      <c r="A3571">
        <v>3570</v>
      </c>
      <c r="B3571" t="s">
        <v>63</v>
      </c>
      <c r="C3571">
        <v>69</v>
      </c>
      <c r="D3571" t="s">
        <v>21</v>
      </c>
      <c r="E3571" t="s">
        <v>22</v>
      </c>
      <c r="F3571" t="s">
        <v>22</v>
      </c>
      <c r="G3571">
        <v>0</v>
      </c>
      <c r="H3571">
        <v>111.7</v>
      </c>
      <c r="I3571">
        <v>86</v>
      </c>
      <c r="J3571">
        <v>18.989999999999998</v>
      </c>
      <c r="K3571">
        <v>187.5</v>
      </c>
      <c r="L3571">
        <v>68</v>
      </c>
      <c r="M3571">
        <v>15.94</v>
      </c>
      <c r="N3571">
        <v>194.8</v>
      </c>
      <c r="O3571">
        <v>128</v>
      </c>
      <c r="P3571">
        <v>8.77</v>
      </c>
      <c r="Q3571">
        <v>11.6</v>
      </c>
      <c r="R3571">
        <v>10</v>
      </c>
      <c r="S3571">
        <v>3.13</v>
      </c>
      <c r="T3571">
        <v>2</v>
      </c>
      <c r="U3571" t="s">
        <v>22</v>
      </c>
      <c r="V3571" t="e">
        <f>IF(#REF! = "yes", 1, 0)</f>
        <v>#REF!</v>
      </c>
      <c r="W3571" t="e">
        <f>IF(#REF! &lt;= 1, "0-1 Calls", IF(#REF! &lt;= 3, "2-3 Calls", IF(#REF! &lt;=5, "4-5 Calls", "6+ Calls")))</f>
        <v>#REF!</v>
      </c>
      <c r="X3571" t="e">
        <f>IF(#REF! &lt;= 50, "0-50", IF(#REF! &lt;=100, "51-100", IF(#REF! &lt;= 150, "101-150", "151+")))</f>
        <v>#REF!</v>
      </c>
      <c r="Y3571" t="e">
        <f>IF(#REF! &lt;= 3, "Low Charges", "High Charges")</f>
        <v>#REF!</v>
      </c>
      <c r="Z3571" t="e">
        <f>IF(#REF!&lt;=80,"Low Calls",
IF(#REF!&lt;=120,"Medium Calls","High Calls"))</f>
        <v>#REF!</v>
      </c>
      <c r="AA3571" t="e">
        <f>IF(#REF!&lt;=15,"Low Charges",
IF(#REF!&lt;=20,"Medium Charges","High Charges"))</f>
        <v>#REF!</v>
      </c>
      <c r="AB3571" t="e">
        <f>IF(AND(#REF!&gt;180, #REF!&gt;200), "Heavy Doemstic User", IF(#REF!&gt;10, "Interntional User", IF(AND(#REF!&lt;180, #REF!&lt;200,#REF!&lt;200), "Light User", "Balanced User")))</f>
        <v>#REF!</v>
      </c>
      <c r="AC3571" t="e">
        <f>IF(#REF! = 0, "No Usage", IF(#REF! &lt;= 20, "Low Usage", IF(#REF! &lt;= 40, "Medium Usgae", "High Usage")))</f>
        <v>#REF!</v>
      </c>
      <c r="AD3571" t="e">
        <f>IF(#REF!&lt;=150,"Low Usage", IF(#REF!&lt;=200,"Medium Usage", IF(#REF!&lt;=250,"High Usage","Very High Usage")))</f>
        <v>#REF!</v>
      </c>
      <c r="AE3571" t="e">
        <f>IF(#REF!&lt;=5,"Low Calls", IF(#REF!&lt;=10, "Medium Calls", "High Calls"))</f>
        <v>#REF!</v>
      </c>
      <c r="AF3571" t="e">
        <f xml:space="preserve">
IF(#REF!&gt;=4,4,0)+
IF(#REF!="yes",3,0)+
IF(#REF!="High Charges",3,0)+
IF(#REF!&gt;250,4,0)+
IF(#REF!="no",1,0)+
IF(#REF!="Heavy Domestic User",2,0)</f>
        <v>#REF!</v>
      </c>
      <c r="AG3571" t="e">
        <f>IF(#REF!&gt;=10,"High Risk", IF(#REF!&gt;=5,"Medium Risk","Low Risk"))</f>
        <v>#REF!</v>
      </c>
      <c r="AH3571" t="e">
        <f>#REF! + #REF! + #REF! + #REF!</f>
        <v>#REF!</v>
      </c>
    </row>
    <row r="3572" spans="1:34" x14ac:dyDescent="0.35">
      <c r="A3572">
        <v>3571</v>
      </c>
      <c r="B3572" t="s">
        <v>33</v>
      </c>
      <c r="C3572">
        <v>85</v>
      </c>
      <c r="D3572" t="s">
        <v>25</v>
      </c>
      <c r="E3572" t="s">
        <v>22</v>
      </c>
      <c r="F3572" t="s">
        <v>22</v>
      </c>
      <c r="G3572">
        <v>0</v>
      </c>
      <c r="H3572">
        <v>142.69999999999999</v>
      </c>
      <c r="I3572">
        <v>82</v>
      </c>
      <c r="J3572">
        <v>24.26</v>
      </c>
      <c r="K3572">
        <v>179.1</v>
      </c>
      <c r="L3572">
        <v>106</v>
      </c>
      <c r="M3572">
        <v>15.22</v>
      </c>
      <c r="N3572">
        <v>141.4</v>
      </c>
      <c r="O3572">
        <v>88</v>
      </c>
      <c r="P3572">
        <v>6.36</v>
      </c>
      <c r="Q3572">
        <v>5</v>
      </c>
      <c r="R3572">
        <v>8</v>
      </c>
      <c r="S3572">
        <v>1.35</v>
      </c>
      <c r="T3572">
        <v>3</v>
      </c>
      <c r="U3572" t="s">
        <v>22</v>
      </c>
      <c r="V3572" t="e">
        <f>IF(#REF! = "yes", 1, 0)</f>
        <v>#REF!</v>
      </c>
      <c r="W3572" t="e">
        <f>IF(#REF! &lt;= 1, "0-1 Calls", IF(#REF! &lt;= 3, "2-3 Calls", IF(#REF! &lt;=5, "4-5 Calls", "6+ Calls")))</f>
        <v>#REF!</v>
      </c>
      <c r="X3572" t="e">
        <f>IF(#REF! &lt;= 50, "0-50", IF(#REF! &lt;=100, "51-100", IF(#REF! &lt;= 150, "101-150", "151+")))</f>
        <v>#REF!</v>
      </c>
      <c r="Y3572" t="e">
        <f>IF(#REF! &lt;= 3, "Low Charges", "High Charges")</f>
        <v>#REF!</v>
      </c>
      <c r="Z3572" t="e">
        <f>IF(#REF!&lt;=80,"Low Calls",
IF(#REF!&lt;=120,"Medium Calls","High Calls"))</f>
        <v>#REF!</v>
      </c>
      <c r="AA3572" t="e">
        <f>IF(#REF!&lt;=15,"Low Charges",
IF(#REF!&lt;=20,"Medium Charges","High Charges"))</f>
        <v>#REF!</v>
      </c>
      <c r="AB3572" t="e">
        <f>IF(AND(#REF!&gt;180, #REF!&gt;200), "Heavy Doemstic User", IF(#REF!&gt;10, "Interntional User", IF(AND(#REF!&lt;180, #REF!&lt;200,#REF!&lt;200), "Light User", "Balanced User")))</f>
        <v>#REF!</v>
      </c>
      <c r="AC3572" t="e">
        <f>IF(#REF! = 0, "No Usage", IF(#REF! &lt;= 20, "Low Usage", IF(#REF! &lt;= 40, "Medium Usgae", "High Usage")))</f>
        <v>#REF!</v>
      </c>
      <c r="AD3572" t="e">
        <f>IF(#REF!&lt;=150,"Low Usage", IF(#REF!&lt;=200,"Medium Usage", IF(#REF!&lt;=250,"High Usage","Very High Usage")))</f>
        <v>#REF!</v>
      </c>
      <c r="AE3572" t="e">
        <f>IF(#REF!&lt;=5,"Low Calls", IF(#REF!&lt;=10, "Medium Calls", "High Calls"))</f>
        <v>#REF!</v>
      </c>
      <c r="AF3572" t="e">
        <f xml:space="preserve">
IF(#REF!&gt;=4,4,0)+
IF(#REF!="yes",3,0)+
IF(#REF!="High Charges",3,0)+
IF(#REF!&gt;250,4,0)+
IF(#REF!="no",1,0)+
IF(#REF!="Heavy Domestic User",2,0)</f>
        <v>#REF!</v>
      </c>
      <c r="AG3572" t="e">
        <f>IF(#REF!&gt;=10,"High Risk", IF(#REF!&gt;=5,"Medium Risk","Low Risk"))</f>
        <v>#REF!</v>
      </c>
      <c r="AH3572" t="e">
        <f>#REF! + #REF! + #REF! + #REF!</f>
        <v>#REF!</v>
      </c>
    </row>
    <row r="3573" spans="1:34" x14ac:dyDescent="0.35">
      <c r="A3573">
        <v>3572</v>
      </c>
      <c r="B3573" t="s">
        <v>38</v>
      </c>
      <c r="C3573">
        <v>176</v>
      </c>
      <c r="D3573" t="s">
        <v>21</v>
      </c>
      <c r="E3573" t="s">
        <v>22</v>
      </c>
      <c r="F3573" t="s">
        <v>22</v>
      </c>
      <c r="G3573">
        <v>0</v>
      </c>
      <c r="H3573">
        <v>216.7</v>
      </c>
      <c r="I3573">
        <v>91</v>
      </c>
      <c r="J3573">
        <v>36.840000000000003</v>
      </c>
      <c r="K3573">
        <v>233.9</v>
      </c>
      <c r="L3573">
        <v>104</v>
      </c>
      <c r="M3573">
        <v>19.88</v>
      </c>
      <c r="N3573">
        <v>231.1</v>
      </c>
      <c r="O3573">
        <v>110</v>
      </c>
      <c r="P3573">
        <v>10.4</v>
      </c>
      <c r="Q3573">
        <v>9</v>
      </c>
      <c r="R3573">
        <v>4</v>
      </c>
      <c r="S3573">
        <v>2.4300000000000002</v>
      </c>
      <c r="T3573">
        <v>1</v>
      </c>
      <c r="U3573" t="s">
        <v>22</v>
      </c>
      <c r="V3573" t="e">
        <f>IF(#REF! = "yes", 1, 0)</f>
        <v>#REF!</v>
      </c>
      <c r="W3573" t="e">
        <f>IF(#REF! &lt;= 1, "0-1 Calls", IF(#REF! &lt;= 3, "2-3 Calls", IF(#REF! &lt;=5, "4-5 Calls", "6+ Calls")))</f>
        <v>#REF!</v>
      </c>
      <c r="X3573" t="e">
        <f>IF(#REF! &lt;= 50, "0-50", IF(#REF! &lt;=100, "51-100", IF(#REF! &lt;= 150, "101-150", "151+")))</f>
        <v>#REF!</v>
      </c>
      <c r="Y3573" t="e">
        <f>IF(#REF! &lt;= 3, "Low Charges", "High Charges")</f>
        <v>#REF!</v>
      </c>
      <c r="Z3573" t="e">
        <f>IF(#REF!&lt;=80,"Low Calls",
IF(#REF!&lt;=120,"Medium Calls","High Calls"))</f>
        <v>#REF!</v>
      </c>
      <c r="AA3573" t="e">
        <f>IF(#REF!&lt;=15,"Low Charges",
IF(#REF!&lt;=20,"Medium Charges","High Charges"))</f>
        <v>#REF!</v>
      </c>
      <c r="AB3573" t="e">
        <f>IF(AND(#REF!&gt;180, #REF!&gt;200), "Heavy Doemstic User", IF(#REF!&gt;10, "Interntional User", IF(AND(#REF!&lt;180, #REF!&lt;200,#REF!&lt;200), "Light User", "Balanced User")))</f>
        <v>#REF!</v>
      </c>
      <c r="AC3573" t="e">
        <f>IF(#REF! = 0, "No Usage", IF(#REF! &lt;= 20, "Low Usage", IF(#REF! &lt;= 40, "Medium Usgae", "High Usage")))</f>
        <v>#REF!</v>
      </c>
      <c r="AD3573" t="e">
        <f>IF(#REF!&lt;=150,"Low Usage", IF(#REF!&lt;=200,"Medium Usage", IF(#REF!&lt;=250,"High Usage","Very High Usage")))</f>
        <v>#REF!</v>
      </c>
      <c r="AE3573" t="e">
        <f>IF(#REF!&lt;=5,"Low Calls", IF(#REF!&lt;=10, "Medium Calls", "High Calls"))</f>
        <v>#REF!</v>
      </c>
      <c r="AF3573" t="e">
        <f xml:space="preserve">
IF(#REF!&gt;=4,4,0)+
IF(#REF!="yes",3,0)+
IF(#REF!="High Charges",3,0)+
IF(#REF!&gt;250,4,0)+
IF(#REF!="no",1,0)+
IF(#REF!="Heavy Domestic User",2,0)</f>
        <v>#REF!</v>
      </c>
      <c r="AG3573" t="e">
        <f>IF(#REF!&gt;=10,"High Risk", IF(#REF!&gt;=5,"Medium Risk","Low Risk"))</f>
        <v>#REF!</v>
      </c>
      <c r="AH3573" t="e">
        <f>#REF! + #REF! + #REF! + #REF!</f>
        <v>#REF!</v>
      </c>
    </row>
    <row r="3574" spans="1:34" x14ac:dyDescent="0.35">
      <c r="A3574">
        <v>3573</v>
      </c>
      <c r="B3574" t="s">
        <v>27</v>
      </c>
      <c r="C3574">
        <v>133</v>
      </c>
      <c r="D3574" t="s">
        <v>21</v>
      </c>
      <c r="E3574" t="s">
        <v>22</v>
      </c>
      <c r="F3574" t="s">
        <v>22</v>
      </c>
      <c r="G3574">
        <v>0</v>
      </c>
      <c r="H3574">
        <v>207.1</v>
      </c>
      <c r="I3574">
        <v>106</v>
      </c>
      <c r="J3574">
        <v>35.21</v>
      </c>
      <c r="K3574">
        <v>283.5</v>
      </c>
      <c r="L3574">
        <v>124</v>
      </c>
      <c r="M3574">
        <v>24.1</v>
      </c>
      <c r="N3574">
        <v>65.2</v>
      </c>
      <c r="O3574">
        <v>107</v>
      </c>
      <c r="P3574">
        <v>2.93</v>
      </c>
      <c r="Q3574">
        <v>10.5</v>
      </c>
      <c r="R3574">
        <v>2</v>
      </c>
      <c r="S3574">
        <v>2.84</v>
      </c>
      <c r="T3574">
        <v>3</v>
      </c>
      <c r="U3574" t="s">
        <v>22</v>
      </c>
      <c r="V3574" t="e">
        <f>IF(#REF! = "yes", 1, 0)</f>
        <v>#REF!</v>
      </c>
      <c r="W3574" t="e">
        <f>IF(#REF! &lt;= 1, "0-1 Calls", IF(#REF! &lt;= 3, "2-3 Calls", IF(#REF! &lt;=5, "4-5 Calls", "6+ Calls")))</f>
        <v>#REF!</v>
      </c>
      <c r="X3574" t="e">
        <f>IF(#REF! &lt;= 50, "0-50", IF(#REF! &lt;=100, "51-100", IF(#REF! &lt;= 150, "101-150", "151+")))</f>
        <v>#REF!</v>
      </c>
      <c r="Y3574" t="e">
        <f>IF(#REF! &lt;= 3, "Low Charges", "High Charges")</f>
        <v>#REF!</v>
      </c>
      <c r="Z3574" t="e">
        <f>IF(#REF!&lt;=80,"Low Calls",
IF(#REF!&lt;=120,"Medium Calls","High Calls"))</f>
        <v>#REF!</v>
      </c>
      <c r="AA3574" t="e">
        <f>IF(#REF!&lt;=15,"Low Charges",
IF(#REF!&lt;=20,"Medium Charges","High Charges"))</f>
        <v>#REF!</v>
      </c>
      <c r="AB3574" t="e">
        <f>IF(AND(#REF!&gt;180, #REF!&gt;200), "Heavy Doemstic User", IF(#REF!&gt;10, "Interntional User", IF(AND(#REF!&lt;180, #REF!&lt;200,#REF!&lt;200), "Light User", "Balanced User")))</f>
        <v>#REF!</v>
      </c>
      <c r="AC3574" t="e">
        <f>IF(#REF! = 0, "No Usage", IF(#REF! &lt;= 20, "Low Usage", IF(#REF! &lt;= 40, "Medium Usgae", "High Usage")))</f>
        <v>#REF!</v>
      </c>
      <c r="AD3574" t="e">
        <f>IF(#REF!&lt;=150,"Low Usage", IF(#REF!&lt;=200,"Medium Usage", IF(#REF!&lt;=250,"High Usage","Very High Usage")))</f>
        <v>#REF!</v>
      </c>
      <c r="AE3574" t="e">
        <f>IF(#REF!&lt;=5,"Low Calls", IF(#REF!&lt;=10, "Medium Calls", "High Calls"))</f>
        <v>#REF!</v>
      </c>
      <c r="AF3574" t="e">
        <f xml:space="preserve">
IF(#REF!&gt;=4,4,0)+
IF(#REF!="yes",3,0)+
IF(#REF!="High Charges",3,0)+
IF(#REF!&gt;250,4,0)+
IF(#REF!="no",1,0)+
IF(#REF!="Heavy Domestic User",2,0)</f>
        <v>#REF!</v>
      </c>
      <c r="AG3574" t="e">
        <f>IF(#REF!&gt;=10,"High Risk", IF(#REF!&gt;=5,"Medium Risk","Low Risk"))</f>
        <v>#REF!</v>
      </c>
      <c r="AH3574" t="e">
        <f>#REF! + #REF! + #REF! + #REF!</f>
        <v>#REF!</v>
      </c>
    </row>
    <row r="3575" spans="1:34" x14ac:dyDescent="0.35">
      <c r="A3575">
        <v>3574</v>
      </c>
      <c r="B3575" t="s">
        <v>35</v>
      </c>
      <c r="C3575">
        <v>146</v>
      </c>
      <c r="D3575" t="s">
        <v>21</v>
      </c>
      <c r="E3575" t="s">
        <v>22</v>
      </c>
      <c r="F3575" t="s">
        <v>22</v>
      </c>
      <c r="G3575">
        <v>0</v>
      </c>
      <c r="H3575">
        <v>214.8</v>
      </c>
      <c r="I3575">
        <v>86</v>
      </c>
      <c r="J3575">
        <v>36.520000000000003</v>
      </c>
      <c r="K3575">
        <v>230.9</v>
      </c>
      <c r="L3575">
        <v>94</v>
      </c>
      <c r="M3575">
        <v>19.63</v>
      </c>
      <c r="N3575">
        <v>223.8</v>
      </c>
      <c r="O3575">
        <v>100</v>
      </c>
      <c r="P3575">
        <v>10.07</v>
      </c>
      <c r="Q3575">
        <v>5.8</v>
      </c>
      <c r="R3575">
        <v>3</v>
      </c>
      <c r="S3575">
        <v>1.57</v>
      </c>
      <c r="T3575">
        <v>3</v>
      </c>
      <c r="U3575" t="s">
        <v>22</v>
      </c>
      <c r="V3575" t="e">
        <f>IF(#REF! = "yes", 1, 0)</f>
        <v>#REF!</v>
      </c>
      <c r="W3575" t="e">
        <f>IF(#REF! &lt;= 1, "0-1 Calls", IF(#REF! &lt;= 3, "2-3 Calls", IF(#REF! &lt;=5, "4-5 Calls", "6+ Calls")))</f>
        <v>#REF!</v>
      </c>
      <c r="X3575" t="e">
        <f>IF(#REF! &lt;= 50, "0-50", IF(#REF! &lt;=100, "51-100", IF(#REF! &lt;= 150, "101-150", "151+")))</f>
        <v>#REF!</v>
      </c>
      <c r="Y3575" t="e">
        <f>IF(#REF! &lt;= 3, "Low Charges", "High Charges")</f>
        <v>#REF!</v>
      </c>
      <c r="Z3575" t="e">
        <f>IF(#REF!&lt;=80,"Low Calls",
IF(#REF!&lt;=120,"Medium Calls","High Calls"))</f>
        <v>#REF!</v>
      </c>
      <c r="AA3575" t="e">
        <f>IF(#REF!&lt;=15,"Low Charges",
IF(#REF!&lt;=20,"Medium Charges","High Charges"))</f>
        <v>#REF!</v>
      </c>
      <c r="AB3575" t="e">
        <f>IF(AND(#REF!&gt;180, #REF!&gt;200), "Heavy Doemstic User", IF(#REF!&gt;10, "Interntional User", IF(AND(#REF!&lt;180, #REF!&lt;200,#REF!&lt;200), "Light User", "Balanced User")))</f>
        <v>#REF!</v>
      </c>
      <c r="AC3575" t="e">
        <f>IF(#REF! = 0, "No Usage", IF(#REF! &lt;= 20, "Low Usage", IF(#REF! &lt;= 40, "Medium Usgae", "High Usage")))</f>
        <v>#REF!</v>
      </c>
      <c r="AD3575" t="e">
        <f>IF(#REF!&lt;=150,"Low Usage", IF(#REF!&lt;=200,"Medium Usage", IF(#REF!&lt;=250,"High Usage","Very High Usage")))</f>
        <v>#REF!</v>
      </c>
      <c r="AE3575" t="e">
        <f>IF(#REF!&lt;=5,"Low Calls", IF(#REF!&lt;=10, "Medium Calls", "High Calls"))</f>
        <v>#REF!</v>
      </c>
      <c r="AF3575" t="e">
        <f xml:space="preserve">
IF(#REF!&gt;=4,4,0)+
IF(#REF!="yes",3,0)+
IF(#REF!="High Charges",3,0)+
IF(#REF!&gt;250,4,0)+
IF(#REF!="no",1,0)+
IF(#REF!="Heavy Domestic User",2,0)</f>
        <v>#REF!</v>
      </c>
      <c r="AG3575" t="e">
        <f>IF(#REF!&gt;=10,"High Risk", IF(#REF!&gt;=5,"Medium Risk","Low Risk"))</f>
        <v>#REF!</v>
      </c>
      <c r="AH3575" t="e">
        <f>#REF! + #REF! + #REF! + #REF!</f>
        <v>#REF!</v>
      </c>
    </row>
    <row r="3576" spans="1:34" x14ac:dyDescent="0.35">
      <c r="A3576">
        <v>3575</v>
      </c>
      <c r="B3576" t="s">
        <v>59</v>
      </c>
      <c r="C3576">
        <v>31</v>
      </c>
      <c r="D3576" t="s">
        <v>21</v>
      </c>
      <c r="E3576" t="s">
        <v>22</v>
      </c>
      <c r="F3576" t="s">
        <v>22</v>
      </c>
      <c r="G3576">
        <v>0</v>
      </c>
      <c r="H3576">
        <v>142.9</v>
      </c>
      <c r="I3576">
        <v>67</v>
      </c>
      <c r="J3576">
        <v>24.29</v>
      </c>
      <c r="K3576">
        <v>109.7</v>
      </c>
      <c r="L3576">
        <v>72</v>
      </c>
      <c r="M3576">
        <v>9.32</v>
      </c>
      <c r="N3576">
        <v>293.60000000000002</v>
      </c>
      <c r="O3576">
        <v>112</v>
      </c>
      <c r="P3576">
        <v>13.21</v>
      </c>
      <c r="Q3576">
        <v>11.5</v>
      </c>
      <c r="R3576">
        <v>6</v>
      </c>
      <c r="S3576">
        <v>3.11</v>
      </c>
      <c r="T3576">
        <v>0</v>
      </c>
      <c r="U3576" t="s">
        <v>22</v>
      </c>
      <c r="V3576" t="e">
        <f>IF(#REF! = "yes", 1, 0)</f>
        <v>#REF!</v>
      </c>
      <c r="W3576" t="e">
        <f>IF(#REF! &lt;= 1, "0-1 Calls", IF(#REF! &lt;= 3, "2-3 Calls", IF(#REF! &lt;=5, "4-5 Calls", "6+ Calls")))</f>
        <v>#REF!</v>
      </c>
      <c r="X3576" t="e">
        <f>IF(#REF! &lt;= 50, "0-50", IF(#REF! &lt;=100, "51-100", IF(#REF! &lt;= 150, "101-150", "151+")))</f>
        <v>#REF!</v>
      </c>
      <c r="Y3576" t="e">
        <f>IF(#REF! &lt;= 3, "Low Charges", "High Charges")</f>
        <v>#REF!</v>
      </c>
      <c r="Z3576" t="e">
        <f>IF(#REF!&lt;=80,"Low Calls",
IF(#REF!&lt;=120,"Medium Calls","High Calls"))</f>
        <v>#REF!</v>
      </c>
      <c r="AA3576" t="e">
        <f>IF(#REF!&lt;=15,"Low Charges",
IF(#REF!&lt;=20,"Medium Charges","High Charges"))</f>
        <v>#REF!</v>
      </c>
      <c r="AB3576" t="e">
        <f>IF(AND(#REF!&gt;180, #REF!&gt;200), "Heavy Doemstic User", IF(#REF!&gt;10, "Interntional User", IF(AND(#REF!&lt;180, #REF!&lt;200,#REF!&lt;200), "Light User", "Balanced User")))</f>
        <v>#REF!</v>
      </c>
      <c r="AC3576" t="e">
        <f>IF(#REF! = 0, "No Usage", IF(#REF! &lt;= 20, "Low Usage", IF(#REF! &lt;= 40, "Medium Usgae", "High Usage")))</f>
        <v>#REF!</v>
      </c>
      <c r="AD3576" t="e">
        <f>IF(#REF!&lt;=150,"Low Usage", IF(#REF!&lt;=200,"Medium Usage", IF(#REF!&lt;=250,"High Usage","Very High Usage")))</f>
        <v>#REF!</v>
      </c>
      <c r="AE3576" t="e">
        <f>IF(#REF!&lt;=5,"Low Calls", IF(#REF!&lt;=10, "Medium Calls", "High Calls"))</f>
        <v>#REF!</v>
      </c>
      <c r="AF3576" t="e">
        <f xml:space="preserve">
IF(#REF!&gt;=4,4,0)+
IF(#REF!="yes",3,0)+
IF(#REF!="High Charges",3,0)+
IF(#REF!&gt;250,4,0)+
IF(#REF!="no",1,0)+
IF(#REF!="Heavy Domestic User",2,0)</f>
        <v>#REF!</v>
      </c>
      <c r="AG3576" t="e">
        <f>IF(#REF!&gt;=10,"High Risk", IF(#REF!&gt;=5,"Medium Risk","Low Risk"))</f>
        <v>#REF!</v>
      </c>
      <c r="AH3576" t="e">
        <f>#REF! + #REF! + #REF! + #REF!</f>
        <v>#REF!</v>
      </c>
    </row>
    <row r="3577" spans="1:34" x14ac:dyDescent="0.35">
      <c r="A3577">
        <v>3576</v>
      </c>
      <c r="B3577" t="s">
        <v>71</v>
      </c>
      <c r="C3577">
        <v>78</v>
      </c>
      <c r="D3577" t="s">
        <v>21</v>
      </c>
      <c r="E3577" t="s">
        <v>23</v>
      </c>
      <c r="F3577" t="s">
        <v>22</v>
      </c>
      <c r="G3577">
        <v>0</v>
      </c>
      <c r="H3577">
        <v>71.5</v>
      </c>
      <c r="I3577">
        <v>126</v>
      </c>
      <c r="J3577">
        <v>12.16</v>
      </c>
      <c r="K3577">
        <v>166.8</v>
      </c>
      <c r="L3577">
        <v>127</v>
      </c>
      <c r="M3577">
        <v>14.18</v>
      </c>
      <c r="N3577">
        <v>211.6</v>
      </c>
      <c r="O3577">
        <v>86</v>
      </c>
      <c r="P3577">
        <v>9.52</v>
      </c>
      <c r="Q3577">
        <v>8.3000000000000007</v>
      </c>
      <c r="R3577">
        <v>2</v>
      </c>
      <c r="S3577">
        <v>2.2400000000000002</v>
      </c>
      <c r="T3577">
        <v>3</v>
      </c>
      <c r="U3577" t="s">
        <v>23</v>
      </c>
      <c r="V3577" t="e">
        <f>IF(#REF! = "yes", 1, 0)</f>
        <v>#REF!</v>
      </c>
      <c r="W3577" t="e">
        <f>IF(#REF! &lt;= 1, "0-1 Calls", IF(#REF! &lt;= 3, "2-3 Calls", IF(#REF! &lt;=5, "4-5 Calls", "6+ Calls")))</f>
        <v>#REF!</v>
      </c>
      <c r="X3577" t="e">
        <f>IF(#REF! &lt;= 50, "0-50", IF(#REF! &lt;=100, "51-100", IF(#REF! &lt;= 150, "101-150", "151+")))</f>
        <v>#REF!</v>
      </c>
      <c r="Y3577" t="e">
        <f>IF(#REF! &lt;= 3, "Low Charges", "High Charges")</f>
        <v>#REF!</v>
      </c>
      <c r="Z3577" t="e">
        <f>IF(#REF!&lt;=80,"Low Calls",
IF(#REF!&lt;=120,"Medium Calls","High Calls"))</f>
        <v>#REF!</v>
      </c>
      <c r="AA3577" t="e">
        <f>IF(#REF!&lt;=15,"Low Charges",
IF(#REF!&lt;=20,"Medium Charges","High Charges"))</f>
        <v>#REF!</v>
      </c>
      <c r="AB3577" t="e">
        <f>IF(AND(#REF!&gt;180, #REF!&gt;200), "Heavy Doemstic User", IF(#REF!&gt;10, "Interntional User", IF(AND(#REF!&lt;180, #REF!&lt;200,#REF!&lt;200), "Light User", "Balanced User")))</f>
        <v>#REF!</v>
      </c>
      <c r="AC3577" t="e">
        <f>IF(#REF! = 0, "No Usage", IF(#REF! &lt;= 20, "Low Usage", IF(#REF! &lt;= 40, "Medium Usgae", "High Usage")))</f>
        <v>#REF!</v>
      </c>
      <c r="AD3577" t="e">
        <f>IF(#REF!&lt;=150,"Low Usage", IF(#REF!&lt;=200,"Medium Usage", IF(#REF!&lt;=250,"High Usage","Very High Usage")))</f>
        <v>#REF!</v>
      </c>
      <c r="AE3577" t="e">
        <f>IF(#REF!&lt;=5,"Low Calls", IF(#REF!&lt;=10, "Medium Calls", "High Calls"))</f>
        <v>#REF!</v>
      </c>
      <c r="AF3577" t="e">
        <f xml:space="preserve">
IF(#REF!&gt;=4,4,0)+
IF(#REF!="yes",3,0)+
IF(#REF!="High Charges",3,0)+
IF(#REF!&gt;250,4,0)+
IF(#REF!="no",1,0)+
IF(#REF!="Heavy Domestic User",2,0)</f>
        <v>#REF!</v>
      </c>
      <c r="AG3577" t="e">
        <f>IF(#REF!&gt;=10,"High Risk", IF(#REF!&gt;=5,"Medium Risk","Low Risk"))</f>
        <v>#REF!</v>
      </c>
      <c r="AH3577" t="e">
        <f>#REF! + #REF! + #REF! + #REF!</f>
        <v>#REF!</v>
      </c>
    </row>
    <row r="3578" spans="1:34" x14ac:dyDescent="0.35">
      <c r="A3578">
        <v>3577</v>
      </c>
      <c r="B3578" t="s">
        <v>75</v>
      </c>
      <c r="C3578">
        <v>118</v>
      </c>
      <c r="D3578" t="s">
        <v>21</v>
      </c>
      <c r="E3578" t="s">
        <v>22</v>
      </c>
      <c r="F3578" t="s">
        <v>22</v>
      </c>
      <c r="G3578">
        <v>0</v>
      </c>
      <c r="H3578">
        <v>77.599999999999994</v>
      </c>
      <c r="I3578">
        <v>113</v>
      </c>
      <c r="J3578">
        <v>13.19</v>
      </c>
      <c r="K3578">
        <v>126.9</v>
      </c>
      <c r="L3578">
        <v>75</v>
      </c>
      <c r="M3578">
        <v>10.79</v>
      </c>
      <c r="N3578">
        <v>191</v>
      </c>
      <c r="O3578">
        <v>79</v>
      </c>
      <c r="P3578">
        <v>8.59</v>
      </c>
      <c r="Q3578">
        <v>14.9</v>
      </c>
      <c r="R3578">
        <v>4</v>
      </c>
      <c r="S3578">
        <v>4.0199999999999996</v>
      </c>
      <c r="T3578">
        <v>1</v>
      </c>
      <c r="U3578" t="s">
        <v>22</v>
      </c>
      <c r="V3578" t="e">
        <f>IF(#REF! = "yes", 1, 0)</f>
        <v>#REF!</v>
      </c>
      <c r="W3578" t="e">
        <f>IF(#REF! &lt;= 1, "0-1 Calls", IF(#REF! &lt;= 3, "2-3 Calls", IF(#REF! &lt;=5, "4-5 Calls", "6+ Calls")))</f>
        <v>#REF!</v>
      </c>
      <c r="X3578" t="e">
        <f>IF(#REF! &lt;= 50, "0-50", IF(#REF! &lt;=100, "51-100", IF(#REF! &lt;= 150, "101-150", "151+")))</f>
        <v>#REF!</v>
      </c>
      <c r="Y3578" t="e">
        <f>IF(#REF! &lt;= 3, "Low Charges", "High Charges")</f>
        <v>#REF!</v>
      </c>
      <c r="Z3578" t="e">
        <f>IF(#REF!&lt;=80,"Low Calls",
IF(#REF!&lt;=120,"Medium Calls","High Calls"))</f>
        <v>#REF!</v>
      </c>
      <c r="AA3578" t="e">
        <f>IF(#REF!&lt;=15,"Low Charges",
IF(#REF!&lt;=20,"Medium Charges","High Charges"))</f>
        <v>#REF!</v>
      </c>
      <c r="AB3578" t="e">
        <f>IF(AND(#REF!&gt;180, #REF!&gt;200), "Heavy Doemstic User", IF(#REF!&gt;10, "Interntional User", IF(AND(#REF!&lt;180, #REF!&lt;200,#REF!&lt;200), "Light User", "Balanced User")))</f>
        <v>#REF!</v>
      </c>
      <c r="AC3578" t="e">
        <f>IF(#REF! = 0, "No Usage", IF(#REF! &lt;= 20, "Low Usage", IF(#REF! &lt;= 40, "Medium Usgae", "High Usage")))</f>
        <v>#REF!</v>
      </c>
      <c r="AD3578" t="e">
        <f>IF(#REF!&lt;=150,"Low Usage", IF(#REF!&lt;=200,"Medium Usage", IF(#REF!&lt;=250,"High Usage","Very High Usage")))</f>
        <v>#REF!</v>
      </c>
      <c r="AE3578" t="e">
        <f>IF(#REF!&lt;=5,"Low Calls", IF(#REF!&lt;=10, "Medium Calls", "High Calls"))</f>
        <v>#REF!</v>
      </c>
      <c r="AF3578" t="e">
        <f xml:space="preserve">
IF(#REF!&gt;=4,4,0)+
IF(#REF!="yes",3,0)+
IF(#REF!="High Charges",3,0)+
IF(#REF!&gt;250,4,0)+
IF(#REF!="no",1,0)+
IF(#REF!="Heavy Domestic User",2,0)</f>
        <v>#REF!</v>
      </c>
      <c r="AG3578" t="e">
        <f>IF(#REF!&gt;=10,"High Risk", IF(#REF!&gt;=5,"Medium Risk","Low Risk"))</f>
        <v>#REF!</v>
      </c>
      <c r="AH3578" t="e">
        <f>#REF! + #REF! + #REF! + #REF!</f>
        <v>#REF!</v>
      </c>
    </row>
    <row r="3579" spans="1:34" x14ac:dyDescent="0.35">
      <c r="A3579">
        <v>3578</v>
      </c>
      <c r="B3579" t="s">
        <v>66</v>
      </c>
      <c r="C3579">
        <v>119</v>
      </c>
      <c r="D3579" t="s">
        <v>28</v>
      </c>
      <c r="E3579" t="s">
        <v>22</v>
      </c>
      <c r="F3579" t="s">
        <v>22</v>
      </c>
      <c r="G3579">
        <v>0</v>
      </c>
      <c r="H3579">
        <v>73.7</v>
      </c>
      <c r="I3579">
        <v>66</v>
      </c>
      <c r="J3579">
        <v>12.53</v>
      </c>
      <c r="K3579">
        <v>160.5</v>
      </c>
      <c r="L3579">
        <v>132</v>
      </c>
      <c r="M3579">
        <v>13.64</v>
      </c>
      <c r="N3579">
        <v>214.2</v>
      </c>
      <c r="O3579">
        <v>67</v>
      </c>
      <c r="P3579">
        <v>9.64</v>
      </c>
      <c r="Q3579">
        <v>13</v>
      </c>
      <c r="R3579">
        <v>6</v>
      </c>
      <c r="S3579">
        <v>3.51</v>
      </c>
      <c r="T3579">
        <v>3</v>
      </c>
      <c r="U3579" t="s">
        <v>22</v>
      </c>
      <c r="V3579" t="e">
        <f>IF(#REF! = "yes", 1, 0)</f>
        <v>#REF!</v>
      </c>
      <c r="W3579" t="e">
        <f>IF(#REF! &lt;= 1, "0-1 Calls", IF(#REF! &lt;= 3, "2-3 Calls", IF(#REF! &lt;=5, "4-5 Calls", "6+ Calls")))</f>
        <v>#REF!</v>
      </c>
      <c r="X3579" t="e">
        <f>IF(#REF! &lt;= 50, "0-50", IF(#REF! &lt;=100, "51-100", IF(#REF! &lt;= 150, "101-150", "151+")))</f>
        <v>#REF!</v>
      </c>
      <c r="Y3579" t="e">
        <f>IF(#REF! &lt;= 3, "Low Charges", "High Charges")</f>
        <v>#REF!</v>
      </c>
      <c r="Z3579" t="e">
        <f>IF(#REF!&lt;=80,"Low Calls",
IF(#REF!&lt;=120,"Medium Calls","High Calls"))</f>
        <v>#REF!</v>
      </c>
      <c r="AA3579" t="e">
        <f>IF(#REF!&lt;=15,"Low Charges",
IF(#REF!&lt;=20,"Medium Charges","High Charges"))</f>
        <v>#REF!</v>
      </c>
      <c r="AB3579" t="e">
        <f>IF(AND(#REF!&gt;180, #REF!&gt;200), "Heavy Doemstic User", IF(#REF!&gt;10, "Interntional User", IF(AND(#REF!&lt;180, #REF!&lt;200,#REF!&lt;200), "Light User", "Balanced User")))</f>
        <v>#REF!</v>
      </c>
      <c r="AC3579" t="e">
        <f>IF(#REF! = 0, "No Usage", IF(#REF! &lt;= 20, "Low Usage", IF(#REF! &lt;= 40, "Medium Usgae", "High Usage")))</f>
        <v>#REF!</v>
      </c>
      <c r="AD3579" t="e">
        <f>IF(#REF!&lt;=150,"Low Usage", IF(#REF!&lt;=200,"Medium Usage", IF(#REF!&lt;=250,"High Usage","Very High Usage")))</f>
        <v>#REF!</v>
      </c>
      <c r="AE3579" t="e">
        <f>IF(#REF!&lt;=5,"Low Calls", IF(#REF!&lt;=10, "Medium Calls", "High Calls"))</f>
        <v>#REF!</v>
      </c>
      <c r="AF3579" t="e">
        <f xml:space="preserve">
IF(#REF!&gt;=4,4,0)+
IF(#REF!="yes",3,0)+
IF(#REF!="High Charges",3,0)+
IF(#REF!&gt;250,4,0)+
IF(#REF!="no",1,0)+
IF(#REF!="Heavy Domestic User",2,0)</f>
        <v>#REF!</v>
      </c>
      <c r="AG3579" t="e">
        <f>IF(#REF!&gt;=10,"High Risk", IF(#REF!&gt;=5,"Medium Risk","Low Risk"))</f>
        <v>#REF!</v>
      </c>
      <c r="AH3579" t="e">
        <f>#REF! + #REF! + #REF! + #REF!</f>
        <v>#REF!</v>
      </c>
    </row>
    <row r="3580" spans="1:34" x14ac:dyDescent="0.35">
      <c r="A3580">
        <v>3579</v>
      </c>
      <c r="B3580" t="s">
        <v>41</v>
      </c>
      <c r="C3580">
        <v>141</v>
      </c>
      <c r="D3580" t="s">
        <v>25</v>
      </c>
      <c r="E3580" t="s">
        <v>22</v>
      </c>
      <c r="F3580" t="s">
        <v>22</v>
      </c>
      <c r="G3580">
        <v>0</v>
      </c>
      <c r="H3580">
        <v>264.3</v>
      </c>
      <c r="I3580">
        <v>90</v>
      </c>
      <c r="J3580">
        <v>44.93</v>
      </c>
      <c r="K3580">
        <v>216.4</v>
      </c>
      <c r="L3580">
        <v>101</v>
      </c>
      <c r="M3580">
        <v>18.39</v>
      </c>
      <c r="N3580">
        <v>208.8</v>
      </c>
      <c r="O3580">
        <v>72</v>
      </c>
      <c r="P3580">
        <v>9.4</v>
      </c>
      <c r="Q3580">
        <v>9.6</v>
      </c>
      <c r="R3580">
        <v>3</v>
      </c>
      <c r="S3580">
        <v>2.59</v>
      </c>
      <c r="T3580">
        <v>0</v>
      </c>
      <c r="U3580" t="s">
        <v>23</v>
      </c>
      <c r="V3580" t="e">
        <f>IF(#REF! = "yes", 1, 0)</f>
        <v>#REF!</v>
      </c>
      <c r="W3580" t="e">
        <f>IF(#REF! &lt;= 1, "0-1 Calls", IF(#REF! &lt;= 3, "2-3 Calls", IF(#REF! &lt;=5, "4-5 Calls", "6+ Calls")))</f>
        <v>#REF!</v>
      </c>
      <c r="X3580" t="e">
        <f>IF(#REF! &lt;= 50, "0-50", IF(#REF! &lt;=100, "51-100", IF(#REF! &lt;= 150, "101-150", "151+")))</f>
        <v>#REF!</v>
      </c>
      <c r="Y3580" t="e">
        <f>IF(#REF! &lt;= 3, "Low Charges", "High Charges")</f>
        <v>#REF!</v>
      </c>
      <c r="Z3580" t="e">
        <f>IF(#REF!&lt;=80,"Low Calls",
IF(#REF!&lt;=120,"Medium Calls","High Calls"))</f>
        <v>#REF!</v>
      </c>
      <c r="AA3580" t="e">
        <f>IF(#REF!&lt;=15,"Low Charges",
IF(#REF!&lt;=20,"Medium Charges","High Charges"))</f>
        <v>#REF!</v>
      </c>
      <c r="AB3580" t="e">
        <f>IF(AND(#REF!&gt;180, #REF!&gt;200), "Heavy Doemstic User", IF(#REF!&gt;10, "Interntional User", IF(AND(#REF!&lt;180, #REF!&lt;200,#REF!&lt;200), "Light User", "Balanced User")))</f>
        <v>#REF!</v>
      </c>
      <c r="AC3580" t="e">
        <f>IF(#REF! = 0, "No Usage", IF(#REF! &lt;= 20, "Low Usage", IF(#REF! &lt;= 40, "Medium Usgae", "High Usage")))</f>
        <v>#REF!</v>
      </c>
      <c r="AD3580" t="e">
        <f>IF(#REF!&lt;=150,"Low Usage", IF(#REF!&lt;=200,"Medium Usage", IF(#REF!&lt;=250,"High Usage","Very High Usage")))</f>
        <v>#REF!</v>
      </c>
      <c r="AE3580" t="e">
        <f>IF(#REF!&lt;=5,"Low Calls", IF(#REF!&lt;=10, "Medium Calls", "High Calls"))</f>
        <v>#REF!</v>
      </c>
      <c r="AF3580" t="e">
        <f xml:space="preserve">
IF(#REF!&gt;=4,4,0)+
IF(#REF!="yes",3,0)+
IF(#REF!="High Charges",3,0)+
IF(#REF!&gt;250,4,0)+
IF(#REF!="no",1,0)+
IF(#REF!="Heavy Domestic User",2,0)</f>
        <v>#REF!</v>
      </c>
      <c r="AG3580" t="e">
        <f>IF(#REF!&gt;=10,"High Risk", IF(#REF!&gt;=5,"Medium Risk","Low Risk"))</f>
        <v>#REF!</v>
      </c>
      <c r="AH3580" t="e">
        <f>#REF! + #REF! + #REF! + #REF!</f>
        <v>#REF!</v>
      </c>
    </row>
    <row r="3581" spans="1:34" x14ac:dyDescent="0.35">
      <c r="A3581">
        <v>3580</v>
      </c>
      <c r="B3581" t="s">
        <v>63</v>
      </c>
      <c r="C3581">
        <v>150</v>
      </c>
      <c r="D3581" t="s">
        <v>28</v>
      </c>
      <c r="E3581" t="s">
        <v>23</v>
      </c>
      <c r="F3581" t="s">
        <v>22</v>
      </c>
      <c r="G3581">
        <v>0</v>
      </c>
      <c r="H3581">
        <v>114.8</v>
      </c>
      <c r="I3581">
        <v>156</v>
      </c>
      <c r="J3581">
        <v>19.52</v>
      </c>
      <c r="K3581">
        <v>135.30000000000001</v>
      </c>
      <c r="L3581">
        <v>78</v>
      </c>
      <c r="M3581">
        <v>11.5</v>
      </c>
      <c r="N3581">
        <v>218.4</v>
      </c>
      <c r="O3581">
        <v>98</v>
      </c>
      <c r="P3581">
        <v>9.83</v>
      </c>
      <c r="Q3581">
        <v>15.6</v>
      </c>
      <c r="R3581">
        <v>4</v>
      </c>
      <c r="S3581">
        <v>4.21</v>
      </c>
      <c r="T3581">
        <v>1</v>
      </c>
      <c r="U3581" t="s">
        <v>23</v>
      </c>
      <c r="V3581" t="e">
        <f>IF(#REF! = "yes", 1, 0)</f>
        <v>#REF!</v>
      </c>
      <c r="W3581" t="e">
        <f>IF(#REF! &lt;= 1, "0-1 Calls", IF(#REF! &lt;= 3, "2-3 Calls", IF(#REF! &lt;=5, "4-5 Calls", "6+ Calls")))</f>
        <v>#REF!</v>
      </c>
      <c r="X3581" t="e">
        <f>IF(#REF! &lt;= 50, "0-50", IF(#REF! &lt;=100, "51-100", IF(#REF! &lt;= 150, "101-150", "151+")))</f>
        <v>#REF!</v>
      </c>
      <c r="Y3581" t="e">
        <f>IF(#REF! &lt;= 3, "Low Charges", "High Charges")</f>
        <v>#REF!</v>
      </c>
      <c r="Z3581" t="e">
        <f>IF(#REF!&lt;=80,"Low Calls",
IF(#REF!&lt;=120,"Medium Calls","High Calls"))</f>
        <v>#REF!</v>
      </c>
      <c r="AA3581" t="e">
        <f>IF(#REF!&lt;=15,"Low Charges",
IF(#REF!&lt;=20,"Medium Charges","High Charges"))</f>
        <v>#REF!</v>
      </c>
      <c r="AB3581" t="e">
        <f>IF(AND(#REF!&gt;180, #REF!&gt;200), "Heavy Doemstic User", IF(#REF!&gt;10, "Interntional User", IF(AND(#REF!&lt;180, #REF!&lt;200,#REF!&lt;200), "Light User", "Balanced User")))</f>
        <v>#REF!</v>
      </c>
      <c r="AC3581" t="e">
        <f>IF(#REF! = 0, "No Usage", IF(#REF! &lt;= 20, "Low Usage", IF(#REF! &lt;= 40, "Medium Usgae", "High Usage")))</f>
        <v>#REF!</v>
      </c>
      <c r="AD3581" t="e">
        <f>IF(#REF!&lt;=150,"Low Usage", IF(#REF!&lt;=200,"Medium Usage", IF(#REF!&lt;=250,"High Usage","Very High Usage")))</f>
        <v>#REF!</v>
      </c>
      <c r="AE3581" t="e">
        <f>IF(#REF!&lt;=5,"Low Calls", IF(#REF!&lt;=10, "Medium Calls", "High Calls"))</f>
        <v>#REF!</v>
      </c>
      <c r="AF3581" t="e">
        <f xml:space="preserve">
IF(#REF!&gt;=4,4,0)+
IF(#REF!="yes",3,0)+
IF(#REF!="High Charges",3,0)+
IF(#REF!&gt;250,4,0)+
IF(#REF!="no",1,0)+
IF(#REF!="Heavy Domestic User",2,0)</f>
        <v>#REF!</v>
      </c>
      <c r="AG3581" t="e">
        <f>IF(#REF!&gt;=10,"High Risk", IF(#REF!&gt;=5,"Medium Risk","Low Risk"))</f>
        <v>#REF!</v>
      </c>
      <c r="AH3581" t="e">
        <f>#REF! + #REF! + #REF! + #REF!</f>
        <v>#REF!</v>
      </c>
    </row>
    <row r="3582" spans="1:34" x14ac:dyDescent="0.35">
      <c r="A3582">
        <v>3581</v>
      </c>
      <c r="B3582" t="s">
        <v>55</v>
      </c>
      <c r="C3582">
        <v>76</v>
      </c>
      <c r="D3582" t="s">
        <v>21</v>
      </c>
      <c r="E3582" t="s">
        <v>22</v>
      </c>
      <c r="F3582" t="s">
        <v>22</v>
      </c>
      <c r="G3582">
        <v>0</v>
      </c>
      <c r="H3582">
        <v>212.5</v>
      </c>
      <c r="I3582">
        <v>124</v>
      </c>
      <c r="J3582">
        <v>36.130000000000003</v>
      </c>
      <c r="K3582">
        <v>215.5</v>
      </c>
      <c r="L3582">
        <v>110</v>
      </c>
      <c r="M3582">
        <v>18.32</v>
      </c>
      <c r="N3582">
        <v>128</v>
      </c>
      <c r="O3582">
        <v>94</v>
      </c>
      <c r="P3582">
        <v>5.76</v>
      </c>
      <c r="Q3582">
        <v>5.2</v>
      </c>
      <c r="R3582">
        <v>9</v>
      </c>
      <c r="S3582">
        <v>1.4</v>
      </c>
      <c r="T3582">
        <v>3</v>
      </c>
      <c r="U3582" t="s">
        <v>22</v>
      </c>
      <c r="V3582" t="e">
        <f>IF(#REF! = "yes", 1, 0)</f>
        <v>#REF!</v>
      </c>
      <c r="W3582" t="e">
        <f>IF(#REF! &lt;= 1, "0-1 Calls", IF(#REF! &lt;= 3, "2-3 Calls", IF(#REF! &lt;=5, "4-5 Calls", "6+ Calls")))</f>
        <v>#REF!</v>
      </c>
      <c r="X3582" t="e">
        <f>IF(#REF! &lt;= 50, "0-50", IF(#REF! &lt;=100, "51-100", IF(#REF! &lt;= 150, "101-150", "151+")))</f>
        <v>#REF!</v>
      </c>
      <c r="Y3582" t="e">
        <f>IF(#REF! &lt;= 3, "Low Charges", "High Charges")</f>
        <v>#REF!</v>
      </c>
      <c r="Z3582" t="e">
        <f>IF(#REF!&lt;=80,"Low Calls",
IF(#REF!&lt;=120,"Medium Calls","High Calls"))</f>
        <v>#REF!</v>
      </c>
      <c r="AA3582" t="e">
        <f>IF(#REF!&lt;=15,"Low Charges",
IF(#REF!&lt;=20,"Medium Charges","High Charges"))</f>
        <v>#REF!</v>
      </c>
      <c r="AB3582" t="e">
        <f>IF(AND(#REF!&gt;180, #REF!&gt;200), "Heavy Doemstic User", IF(#REF!&gt;10, "Interntional User", IF(AND(#REF!&lt;180, #REF!&lt;200,#REF!&lt;200), "Light User", "Balanced User")))</f>
        <v>#REF!</v>
      </c>
      <c r="AC3582" t="e">
        <f>IF(#REF! = 0, "No Usage", IF(#REF! &lt;= 20, "Low Usage", IF(#REF! &lt;= 40, "Medium Usgae", "High Usage")))</f>
        <v>#REF!</v>
      </c>
      <c r="AD3582" t="e">
        <f>IF(#REF!&lt;=150,"Low Usage", IF(#REF!&lt;=200,"Medium Usage", IF(#REF!&lt;=250,"High Usage","Very High Usage")))</f>
        <v>#REF!</v>
      </c>
      <c r="AE3582" t="e">
        <f>IF(#REF!&lt;=5,"Low Calls", IF(#REF!&lt;=10, "Medium Calls", "High Calls"))</f>
        <v>#REF!</v>
      </c>
      <c r="AF3582" t="e">
        <f xml:space="preserve">
IF(#REF!&gt;=4,4,0)+
IF(#REF!="yes",3,0)+
IF(#REF!="High Charges",3,0)+
IF(#REF!&gt;250,4,0)+
IF(#REF!="no",1,0)+
IF(#REF!="Heavy Domestic User",2,0)</f>
        <v>#REF!</v>
      </c>
      <c r="AG3582" t="e">
        <f>IF(#REF!&gt;=10,"High Risk", IF(#REF!&gt;=5,"Medium Risk","Low Risk"))</f>
        <v>#REF!</v>
      </c>
      <c r="AH3582" t="e">
        <f>#REF! + #REF! + #REF! + #REF!</f>
        <v>#REF!</v>
      </c>
    </row>
    <row r="3583" spans="1:34" x14ac:dyDescent="0.35">
      <c r="A3583">
        <v>3582</v>
      </c>
      <c r="B3583" t="s">
        <v>37</v>
      </c>
      <c r="C3583">
        <v>159</v>
      </c>
      <c r="D3583" t="s">
        <v>28</v>
      </c>
      <c r="E3583" t="s">
        <v>22</v>
      </c>
      <c r="F3583" t="s">
        <v>23</v>
      </c>
      <c r="G3583">
        <v>36</v>
      </c>
      <c r="H3583">
        <v>288.2</v>
      </c>
      <c r="I3583">
        <v>120</v>
      </c>
      <c r="J3583">
        <v>48.99</v>
      </c>
      <c r="K3583">
        <v>227.1</v>
      </c>
      <c r="L3583">
        <v>105</v>
      </c>
      <c r="M3583">
        <v>19.3</v>
      </c>
      <c r="N3583">
        <v>198.2</v>
      </c>
      <c r="O3583">
        <v>113</v>
      </c>
      <c r="P3583">
        <v>8.92</v>
      </c>
      <c r="Q3583">
        <v>13.3</v>
      </c>
      <c r="R3583">
        <v>7</v>
      </c>
      <c r="S3583">
        <v>3.59</v>
      </c>
      <c r="T3583">
        <v>1</v>
      </c>
      <c r="U3583" t="s">
        <v>22</v>
      </c>
      <c r="V3583" t="e">
        <f>IF(#REF! = "yes", 1, 0)</f>
        <v>#REF!</v>
      </c>
      <c r="W3583" t="e">
        <f>IF(#REF! &lt;= 1, "0-1 Calls", IF(#REF! &lt;= 3, "2-3 Calls", IF(#REF! &lt;=5, "4-5 Calls", "6+ Calls")))</f>
        <v>#REF!</v>
      </c>
      <c r="X3583" t="e">
        <f>IF(#REF! &lt;= 50, "0-50", IF(#REF! &lt;=100, "51-100", IF(#REF! &lt;= 150, "101-150", "151+")))</f>
        <v>#REF!</v>
      </c>
      <c r="Y3583" t="e">
        <f>IF(#REF! &lt;= 3, "Low Charges", "High Charges")</f>
        <v>#REF!</v>
      </c>
      <c r="Z3583" t="e">
        <f>IF(#REF!&lt;=80,"Low Calls",
IF(#REF!&lt;=120,"Medium Calls","High Calls"))</f>
        <v>#REF!</v>
      </c>
      <c r="AA3583" t="e">
        <f>IF(#REF!&lt;=15,"Low Charges",
IF(#REF!&lt;=20,"Medium Charges","High Charges"))</f>
        <v>#REF!</v>
      </c>
      <c r="AB3583" t="e">
        <f>IF(AND(#REF!&gt;180, #REF!&gt;200), "Heavy Doemstic User", IF(#REF!&gt;10, "Interntional User", IF(AND(#REF!&lt;180, #REF!&lt;200,#REF!&lt;200), "Light User", "Balanced User")))</f>
        <v>#REF!</v>
      </c>
      <c r="AC3583" t="e">
        <f>IF(#REF! = 0, "No Usage", IF(#REF! &lt;= 20, "Low Usage", IF(#REF! &lt;= 40, "Medium Usgae", "High Usage")))</f>
        <v>#REF!</v>
      </c>
      <c r="AD3583" t="e">
        <f>IF(#REF!&lt;=150,"Low Usage", IF(#REF!&lt;=200,"Medium Usage", IF(#REF!&lt;=250,"High Usage","Very High Usage")))</f>
        <v>#REF!</v>
      </c>
      <c r="AE3583" t="e">
        <f>IF(#REF!&lt;=5,"Low Calls", IF(#REF!&lt;=10, "Medium Calls", "High Calls"))</f>
        <v>#REF!</v>
      </c>
      <c r="AF3583" t="e">
        <f xml:space="preserve">
IF(#REF!&gt;=4,4,0)+
IF(#REF!="yes",3,0)+
IF(#REF!="High Charges",3,0)+
IF(#REF!&gt;250,4,0)+
IF(#REF!="no",1,0)+
IF(#REF!="Heavy Domestic User",2,0)</f>
        <v>#REF!</v>
      </c>
      <c r="AG3583" t="e">
        <f>IF(#REF!&gt;=10,"High Risk", IF(#REF!&gt;=5,"Medium Risk","Low Risk"))</f>
        <v>#REF!</v>
      </c>
      <c r="AH3583" t="e">
        <f>#REF! + #REF! + #REF! + #REF!</f>
        <v>#REF!</v>
      </c>
    </row>
    <row r="3584" spans="1:34" x14ac:dyDescent="0.35">
      <c r="A3584">
        <v>3583</v>
      </c>
      <c r="B3584" t="s">
        <v>55</v>
      </c>
      <c r="C3584">
        <v>66</v>
      </c>
      <c r="D3584" t="s">
        <v>21</v>
      </c>
      <c r="E3584" t="s">
        <v>22</v>
      </c>
      <c r="F3584" t="s">
        <v>22</v>
      </c>
      <c r="G3584">
        <v>0</v>
      </c>
      <c r="H3584">
        <v>192.4</v>
      </c>
      <c r="I3584">
        <v>98</v>
      </c>
      <c r="J3584">
        <v>32.71</v>
      </c>
      <c r="K3584">
        <v>187</v>
      </c>
      <c r="L3584">
        <v>93</v>
      </c>
      <c r="M3584">
        <v>15.9</v>
      </c>
      <c r="N3584">
        <v>132.9</v>
      </c>
      <c r="O3584">
        <v>82</v>
      </c>
      <c r="P3584">
        <v>5.98</v>
      </c>
      <c r="Q3584">
        <v>11.2</v>
      </c>
      <c r="R3584">
        <v>1</v>
      </c>
      <c r="S3584">
        <v>3.02</v>
      </c>
      <c r="T3584">
        <v>0</v>
      </c>
      <c r="U3584" t="s">
        <v>22</v>
      </c>
      <c r="V3584" t="e">
        <f>IF(#REF! = "yes", 1, 0)</f>
        <v>#REF!</v>
      </c>
      <c r="W3584" t="e">
        <f>IF(#REF! &lt;= 1, "0-1 Calls", IF(#REF! &lt;= 3, "2-3 Calls", IF(#REF! &lt;=5, "4-5 Calls", "6+ Calls")))</f>
        <v>#REF!</v>
      </c>
      <c r="X3584" t="e">
        <f>IF(#REF! &lt;= 50, "0-50", IF(#REF! &lt;=100, "51-100", IF(#REF! &lt;= 150, "101-150", "151+")))</f>
        <v>#REF!</v>
      </c>
      <c r="Y3584" t="e">
        <f>IF(#REF! &lt;= 3, "Low Charges", "High Charges")</f>
        <v>#REF!</v>
      </c>
      <c r="Z3584" t="e">
        <f>IF(#REF!&lt;=80,"Low Calls",
IF(#REF!&lt;=120,"Medium Calls","High Calls"))</f>
        <v>#REF!</v>
      </c>
      <c r="AA3584" t="e">
        <f>IF(#REF!&lt;=15,"Low Charges",
IF(#REF!&lt;=20,"Medium Charges","High Charges"))</f>
        <v>#REF!</v>
      </c>
      <c r="AB3584" t="e">
        <f>IF(AND(#REF!&gt;180, #REF!&gt;200), "Heavy Doemstic User", IF(#REF!&gt;10, "Interntional User", IF(AND(#REF!&lt;180, #REF!&lt;200,#REF!&lt;200), "Light User", "Balanced User")))</f>
        <v>#REF!</v>
      </c>
      <c r="AC3584" t="e">
        <f>IF(#REF! = 0, "No Usage", IF(#REF! &lt;= 20, "Low Usage", IF(#REF! &lt;= 40, "Medium Usgae", "High Usage")))</f>
        <v>#REF!</v>
      </c>
      <c r="AD3584" t="e">
        <f>IF(#REF!&lt;=150,"Low Usage", IF(#REF!&lt;=200,"Medium Usage", IF(#REF!&lt;=250,"High Usage","Very High Usage")))</f>
        <v>#REF!</v>
      </c>
      <c r="AE3584" t="e">
        <f>IF(#REF!&lt;=5,"Low Calls", IF(#REF!&lt;=10, "Medium Calls", "High Calls"))</f>
        <v>#REF!</v>
      </c>
      <c r="AF3584" t="e">
        <f xml:space="preserve">
IF(#REF!&gt;=4,4,0)+
IF(#REF!="yes",3,0)+
IF(#REF!="High Charges",3,0)+
IF(#REF!&gt;250,4,0)+
IF(#REF!="no",1,0)+
IF(#REF!="Heavy Domestic User",2,0)</f>
        <v>#REF!</v>
      </c>
      <c r="AG3584" t="e">
        <f>IF(#REF!&gt;=10,"High Risk", IF(#REF!&gt;=5,"Medium Risk","Low Risk"))</f>
        <v>#REF!</v>
      </c>
      <c r="AH3584" t="e">
        <f>#REF! + #REF! + #REF! + #REF!</f>
        <v>#REF!</v>
      </c>
    </row>
    <row r="3585" spans="1:34" x14ac:dyDescent="0.35">
      <c r="A3585">
        <v>3584</v>
      </c>
      <c r="B3585" t="s">
        <v>49</v>
      </c>
      <c r="C3585">
        <v>139</v>
      </c>
      <c r="D3585" t="s">
        <v>21</v>
      </c>
      <c r="E3585" t="s">
        <v>22</v>
      </c>
      <c r="F3585" t="s">
        <v>22</v>
      </c>
      <c r="G3585">
        <v>0</v>
      </c>
      <c r="H3585">
        <v>102.2</v>
      </c>
      <c r="I3585">
        <v>76</v>
      </c>
      <c r="J3585">
        <v>17.37</v>
      </c>
      <c r="K3585">
        <v>230</v>
      </c>
      <c r="L3585">
        <v>106</v>
      </c>
      <c r="M3585">
        <v>19.55</v>
      </c>
      <c r="N3585">
        <v>183.4</v>
      </c>
      <c r="O3585">
        <v>136</v>
      </c>
      <c r="P3585">
        <v>8.25</v>
      </c>
      <c r="Q3585">
        <v>10.8</v>
      </c>
      <c r="R3585">
        <v>4</v>
      </c>
      <c r="S3585">
        <v>2.92</v>
      </c>
      <c r="T3585">
        <v>1</v>
      </c>
      <c r="U3585" t="s">
        <v>22</v>
      </c>
      <c r="V3585" t="e">
        <f>IF(#REF! = "yes", 1, 0)</f>
        <v>#REF!</v>
      </c>
      <c r="W3585" t="e">
        <f>IF(#REF! &lt;= 1, "0-1 Calls", IF(#REF! &lt;= 3, "2-3 Calls", IF(#REF! &lt;=5, "4-5 Calls", "6+ Calls")))</f>
        <v>#REF!</v>
      </c>
      <c r="X3585" t="e">
        <f>IF(#REF! &lt;= 50, "0-50", IF(#REF! &lt;=100, "51-100", IF(#REF! &lt;= 150, "101-150", "151+")))</f>
        <v>#REF!</v>
      </c>
      <c r="Y3585" t="e">
        <f>IF(#REF! &lt;= 3, "Low Charges", "High Charges")</f>
        <v>#REF!</v>
      </c>
      <c r="Z3585" t="e">
        <f>IF(#REF!&lt;=80,"Low Calls",
IF(#REF!&lt;=120,"Medium Calls","High Calls"))</f>
        <v>#REF!</v>
      </c>
      <c r="AA3585" t="e">
        <f>IF(#REF!&lt;=15,"Low Charges",
IF(#REF!&lt;=20,"Medium Charges","High Charges"))</f>
        <v>#REF!</v>
      </c>
      <c r="AB3585" t="e">
        <f>IF(AND(#REF!&gt;180, #REF!&gt;200), "Heavy Doemstic User", IF(#REF!&gt;10, "Interntional User", IF(AND(#REF!&lt;180, #REF!&lt;200,#REF!&lt;200), "Light User", "Balanced User")))</f>
        <v>#REF!</v>
      </c>
      <c r="AC3585" t="e">
        <f>IF(#REF! = 0, "No Usage", IF(#REF! &lt;= 20, "Low Usage", IF(#REF! &lt;= 40, "Medium Usgae", "High Usage")))</f>
        <v>#REF!</v>
      </c>
      <c r="AD3585" t="e">
        <f>IF(#REF!&lt;=150,"Low Usage", IF(#REF!&lt;=200,"Medium Usage", IF(#REF!&lt;=250,"High Usage","Very High Usage")))</f>
        <v>#REF!</v>
      </c>
      <c r="AE3585" t="e">
        <f>IF(#REF!&lt;=5,"Low Calls", IF(#REF!&lt;=10, "Medium Calls", "High Calls"))</f>
        <v>#REF!</v>
      </c>
      <c r="AF3585" t="e">
        <f xml:space="preserve">
IF(#REF!&gt;=4,4,0)+
IF(#REF!="yes",3,0)+
IF(#REF!="High Charges",3,0)+
IF(#REF!&gt;250,4,0)+
IF(#REF!="no",1,0)+
IF(#REF!="Heavy Domestic User",2,0)</f>
        <v>#REF!</v>
      </c>
      <c r="AG3585" t="e">
        <f>IF(#REF!&gt;=10,"High Risk", IF(#REF!&gt;=5,"Medium Risk","Low Risk"))</f>
        <v>#REF!</v>
      </c>
      <c r="AH3585" t="e">
        <f>#REF! + #REF! + #REF! + #REF!</f>
        <v>#REF!</v>
      </c>
    </row>
    <row r="3586" spans="1:34" x14ac:dyDescent="0.35">
      <c r="A3586">
        <v>3585</v>
      </c>
      <c r="B3586" t="s">
        <v>64</v>
      </c>
      <c r="C3586">
        <v>122</v>
      </c>
      <c r="D3586" t="s">
        <v>21</v>
      </c>
      <c r="E3586" t="s">
        <v>23</v>
      </c>
      <c r="F3586" t="s">
        <v>22</v>
      </c>
      <c r="G3586">
        <v>0</v>
      </c>
      <c r="H3586">
        <v>49.5</v>
      </c>
      <c r="I3586">
        <v>114</v>
      </c>
      <c r="J3586">
        <v>8.42</v>
      </c>
      <c r="K3586">
        <v>214.1</v>
      </c>
      <c r="L3586">
        <v>98</v>
      </c>
      <c r="M3586">
        <v>18.2</v>
      </c>
      <c r="N3586">
        <v>154.9</v>
      </c>
      <c r="O3586">
        <v>120</v>
      </c>
      <c r="P3586">
        <v>6.97</v>
      </c>
      <c r="Q3586">
        <v>10</v>
      </c>
      <c r="R3586">
        <v>4</v>
      </c>
      <c r="S3586">
        <v>2.7</v>
      </c>
      <c r="T3586">
        <v>0</v>
      </c>
      <c r="U3586" t="s">
        <v>22</v>
      </c>
      <c r="V3586" t="e">
        <f>IF(#REF! = "yes", 1, 0)</f>
        <v>#REF!</v>
      </c>
      <c r="W3586" t="e">
        <f>IF(#REF! &lt;= 1, "0-1 Calls", IF(#REF! &lt;= 3, "2-3 Calls", IF(#REF! &lt;=5, "4-5 Calls", "6+ Calls")))</f>
        <v>#REF!</v>
      </c>
      <c r="X3586" t="e">
        <f>IF(#REF! &lt;= 50, "0-50", IF(#REF! &lt;=100, "51-100", IF(#REF! &lt;= 150, "101-150", "151+")))</f>
        <v>#REF!</v>
      </c>
      <c r="Y3586" t="e">
        <f>IF(#REF! &lt;= 3, "Low Charges", "High Charges")</f>
        <v>#REF!</v>
      </c>
      <c r="Z3586" t="e">
        <f>IF(#REF!&lt;=80,"Low Calls",
IF(#REF!&lt;=120,"Medium Calls","High Calls"))</f>
        <v>#REF!</v>
      </c>
      <c r="AA3586" t="e">
        <f>IF(#REF!&lt;=15,"Low Charges",
IF(#REF!&lt;=20,"Medium Charges","High Charges"))</f>
        <v>#REF!</v>
      </c>
      <c r="AB3586" t="e">
        <f>IF(AND(#REF!&gt;180, #REF!&gt;200), "Heavy Doemstic User", IF(#REF!&gt;10, "Interntional User", IF(AND(#REF!&lt;180, #REF!&lt;200,#REF!&lt;200), "Light User", "Balanced User")))</f>
        <v>#REF!</v>
      </c>
      <c r="AC3586" t="e">
        <f>IF(#REF! = 0, "No Usage", IF(#REF! &lt;= 20, "Low Usage", IF(#REF! &lt;= 40, "Medium Usgae", "High Usage")))</f>
        <v>#REF!</v>
      </c>
      <c r="AD3586" t="e">
        <f>IF(#REF!&lt;=150,"Low Usage", IF(#REF!&lt;=200,"Medium Usage", IF(#REF!&lt;=250,"High Usage","Very High Usage")))</f>
        <v>#REF!</v>
      </c>
      <c r="AE3586" t="e">
        <f>IF(#REF!&lt;=5,"Low Calls", IF(#REF!&lt;=10, "Medium Calls", "High Calls"))</f>
        <v>#REF!</v>
      </c>
      <c r="AF3586" t="e">
        <f xml:space="preserve">
IF(#REF!&gt;=4,4,0)+
IF(#REF!="yes",3,0)+
IF(#REF!="High Charges",3,0)+
IF(#REF!&gt;250,4,0)+
IF(#REF!="no",1,0)+
IF(#REF!="Heavy Domestic User",2,0)</f>
        <v>#REF!</v>
      </c>
      <c r="AG3586" t="e">
        <f>IF(#REF!&gt;=10,"High Risk", IF(#REF!&gt;=5,"Medium Risk","Low Risk"))</f>
        <v>#REF!</v>
      </c>
      <c r="AH3586" t="e">
        <f>#REF! + #REF! + #REF! + #REF!</f>
        <v>#REF!</v>
      </c>
    </row>
    <row r="3587" spans="1:34" x14ac:dyDescent="0.35">
      <c r="A3587">
        <v>3586</v>
      </c>
      <c r="B3587" t="s">
        <v>40</v>
      </c>
      <c r="C3587">
        <v>91</v>
      </c>
      <c r="D3587" t="s">
        <v>21</v>
      </c>
      <c r="E3587" t="s">
        <v>22</v>
      </c>
      <c r="F3587" t="s">
        <v>22</v>
      </c>
      <c r="G3587">
        <v>0</v>
      </c>
      <c r="H3587">
        <v>153.19999999999999</v>
      </c>
      <c r="I3587">
        <v>70</v>
      </c>
      <c r="J3587">
        <v>26.04</v>
      </c>
      <c r="K3587">
        <v>231.7</v>
      </c>
      <c r="L3587">
        <v>91</v>
      </c>
      <c r="M3587">
        <v>19.690000000000001</v>
      </c>
      <c r="N3587">
        <v>115.1</v>
      </c>
      <c r="O3587">
        <v>80</v>
      </c>
      <c r="P3587">
        <v>5.18</v>
      </c>
      <c r="Q3587">
        <v>9.8000000000000007</v>
      </c>
      <c r="R3587">
        <v>3</v>
      </c>
      <c r="S3587">
        <v>2.65</v>
      </c>
      <c r="T3587">
        <v>4</v>
      </c>
      <c r="U3587" t="s">
        <v>23</v>
      </c>
      <c r="V3587" t="e">
        <f>IF(#REF! = "yes", 1, 0)</f>
        <v>#REF!</v>
      </c>
      <c r="W3587" t="e">
        <f>IF(#REF! &lt;= 1, "0-1 Calls", IF(#REF! &lt;= 3, "2-3 Calls", IF(#REF! &lt;=5, "4-5 Calls", "6+ Calls")))</f>
        <v>#REF!</v>
      </c>
      <c r="X3587" t="e">
        <f>IF(#REF! &lt;= 50, "0-50", IF(#REF! &lt;=100, "51-100", IF(#REF! &lt;= 150, "101-150", "151+")))</f>
        <v>#REF!</v>
      </c>
      <c r="Y3587" t="e">
        <f>IF(#REF! &lt;= 3, "Low Charges", "High Charges")</f>
        <v>#REF!</v>
      </c>
      <c r="Z3587" t="e">
        <f>IF(#REF!&lt;=80,"Low Calls",
IF(#REF!&lt;=120,"Medium Calls","High Calls"))</f>
        <v>#REF!</v>
      </c>
      <c r="AA3587" t="e">
        <f>IF(#REF!&lt;=15,"Low Charges",
IF(#REF!&lt;=20,"Medium Charges","High Charges"))</f>
        <v>#REF!</v>
      </c>
      <c r="AB3587" t="e">
        <f>IF(AND(#REF!&gt;180, #REF!&gt;200), "Heavy Doemstic User", IF(#REF!&gt;10, "Interntional User", IF(AND(#REF!&lt;180, #REF!&lt;200,#REF!&lt;200), "Light User", "Balanced User")))</f>
        <v>#REF!</v>
      </c>
      <c r="AC3587" t="e">
        <f>IF(#REF! = 0, "No Usage", IF(#REF! &lt;= 20, "Low Usage", IF(#REF! &lt;= 40, "Medium Usgae", "High Usage")))</f>
        <v>#REF!</v>
      </c>
      <c r="AD3587" t="e">
        <f>IF(#REF!&lt;=150,"Low Usage", IF(#REF!&lt;=200,"Medium Usage", IF(#REF!&lt;=250,"High Usage","Very High Usage")))</f>
        <v>#REF!</v>
      </c>
      <c r="AE3587" t="e">
        <f>IF(#REF!&lt;=5,"Low Calls", IF(#REF!&lt;=10, "Medium Calls", "High Calls"))</f>
        <v>#REF!</v>
      </c>
      <c r="AF3587" t="e">
        <f xml:space="preserve">
IF(#REF!&gt;=4,4,0)+
IF(#REF!="yes",3,0)+
IF(#REF!="High Charges",3,0)+
IF(#REF!&gt;250,4,0)+
IF(#REF!="no",1,0)+
IF(#REF!="Heavy Domestic User",2,0)</f>
        <v>#REF!</v>
      </c>
      <c r="AG3587" t="e">
        <f>IF(#REF!&gt;=10,"High Risk", IF(#REF!&gt;=5,"Medium Risk","Low Risk"))</f>
        <v>#REF!</v>
      </c>
      <c r="AH3587" t="e">
        <f>#REF! + #REF! + #REF! + #REF!</f>
        <v>#REF!</v>
      </c>
    </row>
    <row r="3588" spans="1:34" x14ac:dyDescent="0.35">
      <c r="A3588">
        <v>3587</v>
      </c>
      <c r="B3588" t="s">
        <v>46</v>
      </c>
      <c r="C3588">
        <v>131</v>
      </c>
      <c r="D3588" t="s">
        <v>21</v>
      </c>
      <c r="E3588" t="s">
        <v>22</v>
      </c>
      <c r="F3588" t="s">
        <v>22</v>
      </c>
      <c r="G3588">
        <v>0</v>
      </c>
      <c r="H3588">
        <v>55.5</v>
      </c>
      <c r="I3588">
        <v>79</v>
      </c>
      <c r="J3588">
        <v>9.44</v>
      </c>
      <c r="K3588">
        <v>163.5</v>
      </c>
      <c r="L3588">
        <v>104</v>
      </c>
      <c r="M3588">
        <v>13.9</v>
      </c>
      <c r="N3588">
        <v>128.1</v>
      </c>
      <c r="O3588">
        <v>59</v>
      </c>
      <c r="P3588">
        <v>5.76</v>
      </c>
      <c r="Q3588">
        <v>10.1</v>
      </c>
      <c r="R3588">
        <v>4</v>
      </c>
      <c r="S3588">
        <v>2.73</v>
      </c>
      <c r="T3588">
        <v>1</v>
      </c>
      <c r="U3588" t="s">
        <v>22</v>
      </c>
      <c r="V3588" t="e">
        <f>IF(#REF! = "yes", 1, 0)</f>
        <v>#REF!</v>
      </c>
      <c r="W3588" t="e">
        <f>IF(#REF! &lt;= 1, "0-1 Calls", IF(#REF! &lt;= 3, "2-3 Calls", IF(#REF! &lt;=5, "4-5 Calls", "6+ Calls")))</f>
        <v>#REF!</v>
      </c>
      <c r="X3588" t="e">
        <f>IF(#REF! &lt;= 50, "0-50", IF(#REF! &lt;=100, "51-100", IF(#REF! &lt;= 150, "101-150", "151+")))</f>
        <v>#REF!</v>
      </c>
      <c r="Y3588" t="e">
        <f>IF(#REF! &lt;= 3, "Low Charges", "High Charges")</f>
        <v>#REF!</v>
      </c>
      <c r="Z3588" t="e">
        <f>IF(#REF!&lt;=80,"Low Calls",
IF(#REF!&lt;=120,"Medium Calls","High Calls"))</f>
        <v>#REF!</v>
      </c>
      <c r="AA3588" t="e">
        <f>IF(#REF!&lt;=15,"Low Charges",
IF(#REF!&lt;=20,"Medium Charges","High Charges"))</f>
        <v>#REF!</v>
      </c>
      <c r="AB3588" t="e">
        <f>IF(AND(#REF!&gt;180, #REF!&gt;200), "Heavy Doemstic User", IF(#REF!&gt;10, "Interntional User", IF(AND(#REF!&lt;180, #REF!&lt;200,#REF!&lt;200), "Light User", "Balanced User")))</f>
        <v>#REF!</v>
      </c>
      <c r="AC3588" t="e">
        <f>IF(#REF! = 0, "No Usage", IF(#REF! &lt;= 20, "Low Usage", IF(#REF! &lt;= 40, "Medium Usgae", "High Usage")))</f>
        <v>#REF!</v>
      </c>
      <c r="AD3588" t="e">
        <f>IF(#REF!&lt;=150,"Low Usage", IF(#REF!&lt;=200,"Medium Usage", IF(#REF!&lt;=250,"High Usage","Very High Usage")))</f>
        <v>#REF!</v>
      </c>
      <c r="AE3588" t="e">
        <f>IF(#REF!&lt;=5,"Low Calls", IF(#REF!&lt;=10, "Medium Calls", "High Calls"))</f>
        <v>#REF!</v>
      </c>
      <c r="AF3588" t="e">
        <f xml:space="preserve">
IF(#REF!&gt;=4,4,0)+
IF(#REF!="yes",3,0)+
IF(#REF!="High Charges",3,0)+
IF(#REF!&gt;250,4,0)+
IF(#REF!="no",1,0)+
IF(#REF!="Heavy Domestic User",2,0)</f>
        <v>#REF!</v>
      </c>
      <c r="AG3588" t="e">
        <f>IF(#REF!&gt;=10,"High Risk", IF(#REF!&gt;=5,"Medium Risk","Low Risk"))</f>
        <v>#REF!</v>
      </c>
      <c r="AH3588" t="e">
        <f>#REF! + #REF! + #REF! + #REF!</f>
        <v>#REF!</v>
      </c>
    </row>
    <row r="3589" spans="1:34" x14ac:dyDescent="0.35">
      <c r="A3589">
        <v>3588</v>
      </c>
      <c r="B3589" t="s">
        <v>72</v>
      </c>
      <c r="C3589">
        <v>135</v>
      </c>
      <c r="D3589" t="s">
        <v>21</v>
      </c>
      <c r="E3589" t="s">
        <v>22</v>
      </c>
      <c r="F3589" t="s">
        <v>22</v>
      </c>
      <c r="G3589">
        <v>0</v>
      </c>
      <c r="H3589">
        <v>247.2</v>
      </c>
      <c r="I3589">
        <v>61</v>
      </c>
      <c r="J3589">
        <v>42.02</v>
      </c>
      <c r="K3589">
        <v>168.7</v>
      </c>
      <c r="L3589">
        <v>122</v>
      </c>
      <c r="M3589">
        <v>14.34</v>
      </c>
      <c r="N3589">
        <v>169.8</v>
      </c>
      <c r="O3589">
        <v>100</v>
      </c>
      <c r="P3589">
        <v>7.64</v>
      </c>
      <c r="Q3589">
        <v>6.6</v>
      </c>
      <c r="R3589">
        <v>1</v>
      </c>
      <c r="S3589">
        <v>1.78</v>
      </c>
      <c r="T3589">
        <v>0</v>
      </c>
      <c r="U3589" t="s">
        <v>22</v>
      </c>
      <c r="V3589" t="e">
        <f>IF(#REF! = "yes", 1, 0)</f>
        <v>#REF!</v>
      </c>
      <c r="W3589" t="e">
        <f>IF(#REF! &lt;= 1, "0-1 Calls", IF(#REF! &lt;= 3, "2-3 Calls", IF(#REF! &lt;=5, "4-5 Calls", "6+ Calls")))</f>
        <v>#REF!</v>
      </c>
      <c r="X3589" t="e">
        <f>IF(#REF! &lt;= 50, "0-50", IF(#REF! &lt;=100, "51-100", IF(#REF! &lt;= 150, "101-150", "151+")))</f>
        <v>#REF!</v>
      </c>
      <c r="Y3589" t="e">
        <f>IF(#REF! &lt;= 3, "Low Charges", "High Charges")</f>
        <v>#REF!</v>
      </c>
      <c r="Z3589" t="e">
        <f>IF(#REF!&lt;=80,"Low Calls",
IF(#REF!&lt;=120,"Medium Calls","High Calls"))</f>
        <v>#REF!</v>
      </c>
      <c r="AA3589" t="e">
        <f>IF(#REF!&lt;=15,"Low Charges",
IF(#REF!&lt;=20,"Medium Charges","High Charges"))</f>
        <v>#REF!</v>
      </c>
      <c r="AB3589" t="e">
        <f>IF(AND(#REF!&gt;180, #REF!&gt;200), "Heavy Doemstic User", IF(#REF!&gt;10, "Interntional User", IF(AND(#REF!&lt;180, #REF!&lt;200,#REF!&lt;200), "Light User", "Balanced User")))</f>
        <v>#REF!</v>
      </c>
      <c r="AC3589" t="e">
        <f>IF(#REF! = 0, "No Usage", IF(#REF! &lt;= 20, "Low Usage", IF(#REF! &lt;= 40, "Medium Usgae", "High Usage")))</f>
        <v>#REF!</v>
      </c>
      <c r="AD3589" t="e">
        <f>IF(#REF!&lt;=150,"Low Usage", IF(#REF!&lt;=200,"Medium Usage", IF(#REF!&lt;=250,"High Usage","Very High Usage")))</f>
        <v>#REF!</v>
      </c>
      <c r="AE3589" t="e">
        <f>IF(#REF!&lt;=5,"Low Calls", IF(#REF!&lt;=10, "Medium Calls", "High Calls"))</f>
        <v>#REF!</v>
      </c>
      <c r="AF3589" t="e">
        <f xml:space="preserve">
IF(#REF!&gt;=4,4,0)+
IF(#REF!="yes",3,0)+
IF(#REF!="High Charges",3,0)+
IF(#REF!&gt;250,4,0)+
IF(#REF!="no",1,0)+
IF(#REF!="Heavy Domestic User",2,0)</f>
        <v>#REF!</v>
      </c>
      <c r="AG3589" t="e">
        <f>IF(#REF!&gt;=10,"High Risk", IF(#REF!&gt;=5,"Medium Risk","Low Risk"))</f>
        <v>#REF!</v>
      </c>
      <c r="AH3589" t="e">
        <f>#REF! + #REF! + #REF! + #REF!</f>
        <v>#REF!</v>
      </c>
    </row>
    <row r="3590" spans="1:34" x14ac:dyDescent="0.35">
      <c r="A3590">
        <v>3589</v>
      </c>
      <c r="B3590" t="s">
        <v>70</v>
      </c>
      <c r="C3590">
        <v>129</v>
      </c>
      <c r="D3590" t="s">
        <v>21</v>
      </c>
      <c r="E3590" t="s">
        <v>22</v>
      </c>
      <c r="F3590" t="s">
        <v>22</v>
      </c>
      <c r="G3590">
        <v>0</v>
      </c>
      <c r="H3590">
        <v>220.2</v>
      </c>
      <c r="I3590">
        <v>117</v>
      </c>
      <c r="J3590">
        <v>37.43</v>
      </c>
      <c r="K3590">
        <v>261.10000000000002</v>
      </c>
      <c r="L3590">
        <v>102</v>
      </c>
      <c r="M3590">
        <v>22.19</v>
      </c>
      <c r="N3590">
        <v>165.9</v>
      </c>
      <c r="O3590">
        <v>132</v>
      </c>
      <c r="P3590">
        <v>7.47</v>
      </c>
      <c r="Q3590">
        <v>10.8</v>
      </c>
      <c r="R3590">
        <v>1</v>
      </c>
      <c r="S3590">
        <v>2.92</v>
      </c>
      <c r="T3590">
        <v>2</v>
      </c>
      <c r="U3590" t="s">
        <v>22</v>
      </c>
      <c r="V3590" t="e">
        <f>IF(#REF! = "yes", 1, 0)</f>
        <v>#REF!</v>
      </c>
      <c r="W3590" t="e">
        <f>IF(#REF! &lt;= 1, "0-1 Calls", IF(#REF! &lt;= 3, "2-3 Calls", IF(#REF! &lt;=5, "4-5 Calls", "6+ Calls")))</f>
        <v>#REF!</v>
      </c>
      <c r="X3590" t="e">
        <f>IF(#REF! &lt;= 50, "0-50", IF(#REF! &lt;=100, "51-100", IF(#REF! &lt;= 150, "101-150", "151+")))</f>
        <v>#REF!</v>
      </c>
      <c r="Y3590" t="e">
        <f>IF(#REF! &lt;= 3, "Low Charges", "High Charges")</f>
        <v>#REF!</v>
      </c>
      <c r="Z3590" t="e">
        <f>IF(#REF!&lt;=80,"Low Calls",
IF(#REF!&lt;=120,"Medium Calls","High Calls"))</f>
        <v>#REF!</v>
      </c>
      <c r="AA3590" t="e">
        <f>IF(#REF!&lt;=15,"Low Charges",
IF(#REF!&lt;=20,"Medium Charges","High Charges"))</f>
        <v>#REF!</v>
      </c>
      <c r="AB3590" t="e">
        <f>IF(AND(#REF!&gt;180, #REF!&gt;200), "Heavy Doemstic User", IF(#REF!&gt;10, "Interntional User", IF(AND(#REF!&lt;180, #REF!&lt;200,#REF!&lt;200), "Light User", "Balanced User")))</f>
        <v>#REF!</v>
      </c>
      <c r="AC3590" t="e">
        <f>IF(#REF! = 0, "No Usage", IF(#REF! &lt;= 20, "Low Usage", IF(#REF! &lt;= 40, "Medium Usgae", "High Usage")))</f>
        <v>#REF!</v>
      </c>
      <c r="AD3590" t="e">
        <f>IF(#REF!&lt;=150,"Low Usage", IF(#REF!&lt;=200,"Medium Usage", IF(#REF!&lt;=250,"High Usage","Very High Usage")))</f>
        <v>#REF!</v>
      </c>
      <c r="AE3590" t="e">
        <f>IF(#REF!&lt;=5,"Low Calls", IF(#REF!&lt;=10, "Medium Calls", "High Calls"))</f>
        <v>#REF!</v>
      </c>
      <c r="AF3590" t="e">
        <f xml:space="preserve">
IF(#REF!&gt;=4,4,0)+
IF(#REF!="yes",3,0)+
IF(#REF!="High Charges",3,0)+
IF(#REF!&gt;250,4,0)+
IF(#REF!="no",1,0)+
IF(#REF!="Heavy Domestic User",2,0)</f>
        <v>#REF!</v>
      </c>
      <c r="AG3590" t="e">
        <f>IF(#REF!&gt;=10,"High Risk", IF(#REF!&gt;=5,"Medium Risk","Low Risk"))</f>
        <v>#REF!</v>
      </c>
      <c r="AH3590" t="e">
        <f>#REF! + #REF! + #REF! + #REF!</f>
        <v>#REF!</v>
      </c>
    </row>
    <row r="3591" spans="1:34" x14ac:dyDescent="0.35">
      <c r="A3591">
        <v>3590</v>
      </c>
      <c r="B3591" t="s">
        <v>31</v>
      </c>
      <c r="C3591">
        <v>85</v>
      </c>
      <c r="D3591" t="s">
        <v>21</v>
      </c>
      <c r="E3591" t="s">
        <v>22</v>
      </c>
      <c r="F3591" t="s">
        <v>22</v>
      </c>
      <c r="G3591">
        <v>0</v>
      </c>
      <c r="H3591">
        <v>116.9</v>
      </c>
      <c r="I3591">
        <v>75</v>
      </c>
      <c r="J3591">
        <v>19.87</v>
      </c>
      <c r="K3591">
        <v>183.3</v>
      </c>
      <c r="L3591">
        <v>109</v>
      </c>
      <c r="M3591">
        <v>15.58</v>
      </c>
      <c r="N3591">
        <v>307.39999999999998</v>
      </c>
      <c r="O3591">
        <v>119</v>
      </c>
      <c r="P3591">
        <v>13.83</v>
      </c>
      <c r="Q3591">
        <v>10</v>
      </c>
      <c r="R3591">
        <v>8</v>
      </c>
      <c r="S3591">
        <v>2.7</v>
      </c>
      <c r="T3591">
        <v>2</v>
      </c>
      <c r="U3591" t="s">
        <v>22</v>
      </c>
      <c r="V3591" t="e">
        <f>IF(#REF! = "yes", 1, 0)</f>
        <v>#REF!</v>
      </c>
      <c r="W3591" t="e">
        <f>IF(#REF! &lt;= 1, "0-1 Calls", IF(#REF! &lt;= 3, "2-3 Calls", IF(#REF! &lt;=5, "4-5 Calls", "6+ Calls")))</f>
        <v>#REF!</v>
      </c>
      <c r="X3591" t="e">
        <f>IF(#REF! &lt;= 50, "0-50", IF(#REF! &lt;=100, "51-100", IF(#REF! &lt;= 150, "101-150", "151+")))</f>
        <v>#REF!</v>
      </c>
      <c r="Y3591" t="e">
        <f>IF(#REF! &lt;= 3, "Low Charges", "High Charges")</f>
        <v>#REF!</v>
      </c>
      <c r="Z3591" t="e">
        <f>IF(#REF!&lt;=80,"Low Calls",
IF(#REF!&lt;=120,"Medium Calls","High Calls"))</f>
        <v>#REF!</v>
      </c>
      <c r="AA3591" t="e">
        <f>IF(#REF!&lt;=15,"Low Charges",
IF(#REF!&lt;=20,"Medium Charges","High Charges"))</f>
        <v>#REF!</v>
      </c>
      <c r="AB3591" t="e">
        <f>IF(AND(#REF!&gt;180, #REF!&gt;200), "Heavy Doemstic User", IF(#REF!&gt;10, "Interntional User", IF(AND(#REF!&lt;180, #REF!&lt;200,#REF!&lt;200), "Light User", "Balanced User")))</f>
        <v>#REF!</v>
      </c>
      <c r="AC3591" t="e">
        <f>IF(#REF! = 0, "No Usage", IF(#REF! &lt;= 20, "Low Usage", IF(#REF! &lt;= 40, "Medium Usgae", "High Usage")))</f>
        <v>#REF!</v>
      </c>
      <c r="AD3591" t="e">
        <f>IF(#REF!&lt;=150,"Low Usage", IF(#REF!&lt;=200,"Medium Usage", IF(#REF!&lt;=250,"High Usage","Very High Usage")))</f>
        <v>#REF!</v>
      </c>
      <c r="AE3591" t="e">
        <f>IF(#REF!&lt;=5,"Low Calls", IF(#REF!&lt;=10, "Medium Calls", "High Calls"))</f>
        <v>#REF!</v>
      </c>
      <c r="AF3591" t="e">
        <f xml:space="preserve">
IF(#REF!&gt;=4,4,0)+
IF(#REF!="yes",3,0)+
IF(#REF!="High Charges",3,0)+
IF(#REF!&gt;250,4,0)+
IF(#REF!="no",1,0)+
IF(#REF!="Heavy Domestic User",2,0)</f>
        <v>#REF!</v>
      </c>
      <c r="AG3591" t="e">
        <f>IF(#REF!&gt;=10,"High Risk", IF(#REF!&gt;=5,"Medium Risk","Low Risk"))</f>
        <v>#REF!</v>
      </c>
      <c r="AH3591" t="e">
        <f>#REF! + #REF! + #REF! + #REF!</f>
        <v>#REF!</v>
      </c>
    </row>
    <row r="3592" spans="1:34" x14ac:dyDescent="0.35">
      <c r="A3592">
        <v>3591</v>
      </c>
      <c r="B3592" t="s">
        <v>37</v>
      </c>
      <c r="C3592">
        <v>125</v>
      </c>
      <c r="D3592" t="s">
        <v>25</v>
      </c>
      <c r="E3592" t="s">
        <v>22</v>
      </c>
      <c r="F3592" t="s">
        <v>22</v>
      </c>
      <c r="G3592">
        <v>0</v>
      </c>
      <c r="H3592">
        <v>175.9</v>
      </c>
      <c r="I3592">
        <v>98</v>
      </c>
      <c r="J3592">
        <v>29.9</v>
      </c>
      <c r="K3592">
        <v>192.8</v>
      </c>
      <c r="L3592">
        <v>148</v>
      </c>
      <c r="M3592">
        <v>16.39</v>
      </c>
      <c r="N3592">
        <v>278.2</v>
      </c>
      <c r="O3592">
        <v>110</v>
      </c>
      <c r="P3592">
        <v>12.52</v>
      </c>
      <c r="Q3592">
        <v>10.6</v>
      </c>
      <c r="R3592">
        <v>5</v>
      </c>
      <c r="S3592">
        <v>2.86</v>
      </c>
      <c r="T3592">
        <v>0</v>
      </c>
      <c r="U3592" t="s">
        <v>22</v>
      </c>
      <c r="V3592" t="e">
        <f>IF(#REF! = "yes", 1, 0)</f>
        <v>#REF!</v>
      </c>
      <c r="W3592" t="e">
        <f>IF(#REF! &lt;= 1, "0-1 Calls", IF(#REF! &lt;= 3, "2-3 Calls", IF(#REF! &lt;=5, "4-5 Calls", "6+ Calls")))</f>
        <v>#REF!</v>
      </c>
      <c r="X3592" t="e">
        <f>IF(#REF! &lt;= 50, "0-50", IF(#REF! &lt;=100, "51-100", IF(#REF! &lt;= 150, "101-150", "151+")))</f>
        <v>#REF!</v>
      </c>
      <c r="Y3592" t="e">
        <f>IF(#REF! &lt;= 3, "Low Charges", "High Charges")</f>
        <v>#REF!</v>
      </c>
      <c r="Z3592" t="e">
        <f>IF(#REF!&lt;=80,"Low Calls",
IF(#REF!&lt;=120,"Medium Calls","High Calls"))</f>
        <v>#REF!</v>
      </c>
      <c r="AA3592" t="e">
        <f>IF(#REF!&lt;=15,"Low Charges",
IF(#REF!&lt;=20,"Medium Charges","High Charges"))</f>
        <v>#REF!</v>
      </c>
      <c r="AB3592" t="e">
        <f>IF(AND(#REF!&gt;180, #REF!&gt;200), "Heavy Doemstic User", IF(#REF!&gt;10, "Interntional User", IF(AND(#REF!&lt;180, #REF!&lt;200,#REF!&lt;200), "Light User", "Balanced User")))</f>
        <v>#REF!</v>
      </c>
      <c r="AC3592" t="e">
        <f>IF(#REF! = 0, "No Usage", IF(#REF! &lt;= 20, "Low Usage", IF(#REF! &lt;= 40, "Medium Usgae", "High Usage")))</f>
        <v>#REF!</v>
      </c>
      <c r="AD3592" t="e">
        <f>IF(#REF!&lt;=150,"Low Usage", IF(#REF!&lt;=200,"Medium Usage", IF(#REF!&lt;=250,"High Usage","Very High Usage")))</f>
        <v>#REF!</v>
      </c>
      <c r="AE3592" t="e">
        <f>IF(#REF!&lt;=5,"Low Calls", IF(#REF!&lt;=10, "Medium Calls", "High Calls"))</f>
        <v>#REF!</v>
      </c>
      <c r="AF3592" t="e">
        <f xml:space="preserve">
IF(#REF!&gt;=4,4,0)+
IF(#REF!="yes",3,0)+
IF(#REF!="High Charges",3,0)+
IF(#REF!&gt;250,4,0)+
IF(#REF!="no",1,0)+
IF(#REF!="Heavy Domestic User",2,0)</f>
        <v>#REF!</v>
      </c>
      <c r="AG3592" t="e">
        <f>IF(#REF!&gt;=10,"High Risk", IF(#REF!&gt;=5,"Medium Risk","Low Risk"))</f>
        <v>#REF!</v>
      </c>
      <c r="AH3592" t="e">
        <f>#REF! + #REF! + #REF! + #REF!</f>
        <v>#REF!</v>
      </c>
    </row>
    <row r="3593" spans="1:34" x14ac:dyDescent="0.35">
      <c r="A3593">
        <v>3592</v>
      </c>
      <c r="B3593" t="s">
        <v>66</v>
      </c>
      <c r="C3593">
        <v>67</v>
      </c>
      <c r="D3593" t="s">
        <v>21</v>
      </c>
      <c r="E3593" t="s">
        <v>22</v>
      </c>
      <c r="F3593" t="s">
        <v>22</v>
      </c>
      <c r="G3593">
        <v>0</v>
      </c>
      <c r="H3593">
        <v>208</v>
      </c>
      <c r="I3593">
        <v>95</v>
      </c>
      <c r="J3593">
        <v>35.36</v>
      </c>
      <c r="K3593">
        <v>234.8</v>
      </c>
      <c r="L3593">
        <v>81</v>
      </c>
      <c r="M3593">
        <v>19.96</v>
      </c>
      <c r="N3593">
        <v>266</v>
      </c>
      <c r="O3593">
        <v>80</v>
      </c>
      <c r="P3593">
        <v>11.97</v>
      </c>
      <c r="Q3593">
        <v>11.7</v>
      </c>
      <c r="R3593">
        <v>6</v>
      </c>
      <c r="S3593">
        <v>3.16</v>
      </c>
      <c r="T3593">
        <v>3</v>
      </c>
      <c r="U3593" t="s">
        <v>22</v>
      </c>
      <c r="V3593" t="e">
        <f>IF(#REF! = "yes", 1, 0)</f>
        <v>#REF!</v>
      </c>
      <c r="W3593" t="e">
        <f>IF(#REF! &lt;= 1, "0-1 Calls", IF(#REF! &lt;= 3, "2-3 Calls", IF(#REF! &lt;=5, "4-5 Calls", "6+ Calls")))</f>
        <v>#REF!</v>
      </c>
      <c r="X3593" t="e">
        <f>IF(#REF! &lt;= 50, "0-50", IF(#REF! &lt;=100, "51-100", IF(#REF! &lt;= 150, "101-150", "151+")))</f>
        <v>#REF!</v>
      </c>
      <c r="Y3593" t="e">
        <f>IF(#REF! &lt;= 3, "Low Charges", "High Charges")</f>
        <v>#REF!</v>
      </c>
      <c r="Z3593" t="e">
        <f>IF(#REF!&lt;=80,"Low Calls",
IF(#REF!&lt;=120,"Medium Calls","High Calls"))</f>
        <v>#REF!</v>
      </c>
      <c r="AA3593" t="e">
        <f>IF(#REF!&lt;=15,"Low Charges",
IF(#REF!&lt;=20,"Medium Charges","High Charges"))</f>
        <v>#REF!</v>
      </c>
      <c r="AB3593" t="e">
        <f>IF(AND(#REF!&gt;180, #REF!&gt;200), "Heavy Doemstic User", IF(#REF!&gt;10, "Interntional User", IF(AND(#REF!&lt;180, #REF!&lt;200,#REF!&lt;200), "Light User", "Balanced User")))</f>
        <v>#REF!</v>
      </c>
      <c r="AC3593" t="e">
        <f>IF(#REF! = 0, "No Usage", IF(#REF! &lt;= 20, "Low Usage", IF(#REF! &lt;= 40, "Medium Usgae", "High Usage")))</f>
        <v>#REF!</v>
      </c>
      <c r="AD3593" t="e">
        <f>IF(#REF!&lt;=150,"Low Usage", IF(#REF!&lt;=200,"Medium Usage", IF(#REF!&lt;=250,"High Usage","Very High Usage")))</f>
        <v>#REF!</v>
      </c>
      <c r="AE3593" t="e">
        <f>IF(#REF!&lt;=5,"Low Calls", IF(#REF!&lt;=10, "Medium Calls", "High Calls"))</f>
        <v>#REF!</v>
      </c>
      <c r="AF3593" t="e">
        <f xml:space="preserve">
IF(#REF!&gt;=4,4,0)+
IF(#REF!="yes",3,0)+
IF(#REF!="High Charges",3,0)+
IF(#REF!&gt;250,4,0)+
IF(#REF!="no",1,0)+
IF(#REF!="Heavy Domestic User",2,0)</f>
        <v>#REF!</v>
      </c>
      <c r="AG3593" t="e">
        <f>IF(#REF!&gt;=10,"High Risk", IF(#REF!&gt;=5,"Medium Risk","Low Risk"))</f>
        <v>#REF!</v>
      </c>
      <c r="AH3593" t="e">
        <f>#REF! + #REF! + #REF! + #REF!</f>
        <v>#REF!</v>
      </c>
    </row>
    <row r="3594" spans="1:34" x14ac:dyDescent="0.35">
      <c r="A3594">
        <v>3593</v>
      </c>
      <c r="B3594" t="s">
        <v>27</v>
      </c>
      <c r="C3594">
        <v>61</v>
      </c>
      <c r="D3594" t="s">
        <v>21</v>
      </c>
      <c r="E3594" t="s">
        <v>22</v>
      </c>
      <c r="F3594" t="s">
        <v>23</v>
      </c>
      <c r="G3594">
        <v>28</v>
      </c>
      <c r="H3594">
        <v>239.9</v>
      </c>
      <c r="I3594">
        <v>110</v>
      </c>
      <c r="J3594">
        <v>40.78</v>
      </c>
      <c r="K3594">
        <v>218.9</v>
      </c>
      <c r="L3594">
        <v>87</v>
      </c>
      <c r="M3594">
        <v>18.61</v>
      </c>
      <c r="N3594">
        <v>166</v>
      </c>
      <c r="O3594">
        <v>46</v>
      </c>
      <c r="P3594">
        <v>7.47</v>
      </c>
      <c r="Q3594">
        <v>12.1</v>
      </c>
      <c r="R3594">
        <v>4</v>
      </c>
      <c r="S3594">
        <v>3.27</v>
      </c>
      <c r="T3594">
        <v>1</v>
      </c>
      <c r="U3594" t="s">
        <v>22</v>
      </c>
      <c r="V3594" t="e">
        <f>IF(#REF! = "yes", 1, 0)</f>
        <v>#REF!</v>
      </c>
      <c r="W3594" t="e">
        <f>IF(#REF! &lt;= 1, "0-1 Calls", IF(#REF! &lt;= 3, "2-3 Calls", IF(#REF! &lt;=5, "4-5 Calls", "6+ Calls")))</f>
        <v>#REF!</v>
      </c>
      <c r="X3594" t="e">
        <f>IF(#REF! &lt;= 50, "0-50", IF(#REF! &lt;=100, "51-100", IF(#REF! &lt;= 150, "101-150", "151+")))</f>
        <v>#REF!</v>
      </c>
      <c r="Y3594" t="e">
        <f>IF(#REF! &lt;= 3, "Low Charges", "High Charges")</f>
        <v>#REF!</v>
      </c>
      <c r="Z3594" t="e">
        <f>IF(#REF!&lt;=80,"Low Calls",
IF(#REF!&lt;=120,"Medium Calls","High Calls"))</f>
        <v>#REF!</v>
      </c>
      <c r="AA3594" t="e">
        <f>IF(#REF!&lt;=15,"Low Charges",
IF(#REF!&lt;=20,"Medium Charges","High Charges"))</f>
        <v>#REF!</v>
      </c>
      <c r="AB3594" t="e">
        <f>IF(AND(#REF!&gt;180, #REF!&gt;200), "Heavy Doemstic User", IF(#REF!&gt;10, "Interntional User", IF(AND(#REF!&lt;180, #REF!&lt;200,#REF!&lt;200), "Light User", "Balanced User")))</f>
        <v>#REF!</v>
      </c>
      <c r="AC3594" t="e">
        <f>IF(#REF! = 0, "No Usage", IF(#REF! &lt;= 20, "Low Usage", IF(#REF! &lt;= 40, "Medium Usgae", "High Usage")))</f>
        <v>#REF!</v>
      </c>
      <c r="AD3594" t="e">
        <f>IF(#REF!&lt;=150,"Low Usage", IF(#REF!&lt;=200,"Medium Usage", IF(#REF!&lt;=250,"High Usage","Very High Usage")))</f>
        <v>#REF!</v>
      </c>
      <c r="AE3594" t="e">
        <f>IF(#REF!&lt;=5,"Low Calls", IF(#REF!&lt;=10, "Medium Calls", "High Calls"))</f>
        <v>#REF!</v>
      </c>
      <c r="AF3594" t="e">
        <f xml:space="preserve">
IF(#REF!&gt;=4,4,0)+
IF(#REF!="yes",3,0)+
IF(#REF!="High Charges",3,0)+
IF(#REF!&gt;250,4,0)+
IF(#REF!="no",1,0)+
IF(#REF!="Heavy Domestic User",2,0)</f>
        <v>#REF!</v>
      </c>
      <c r="AG3594" t="e">
        <f>IF(#REF!&gt;=10,"High Risk", IF(#REF!&gt;=5,"Medium Risk","Low Risk"))</f>
        <v>#REF!</v>
      </c>
      <c r="AH3594" t="e">
        <f>#REF! + #REF! + #REF! + #REF!</f>
        <v>#REF!</v>
      </c>
    </row>
    <row r="3595" spans="1:34" x14ac:dyDescent="0.35">
      <c r="A3595">
        <v>3594</v>
      </c>
      <c r="B3595" t="s">
        <v>52</v>
      </c>
      <c r="C3595">
        <v>135</v>
      </c>
      <c r="D3595" t="s">
        <v>25</v>
      </c>
      <c r="E3595" t="s">
        <v>23</v>
      </c>
      <c r="F3595" t="s">
        <v>22</v>
      </c>
      <c r="G3595">
        <v>0</v>
      </c>
      <c r="H3595">
        <v>174.8</v>
      </c>
      <c r="I3595">
        <v>112</v>
      </c>
      <c r="J3595">
        <v>29.72</v>
      </c>
      <c r="K3595">
        <v>218</v>
      </c>
      <c r="L3595">
        <v>125</v>
      </c>
      <c r="M3595">
        <v>18.53</v>
      </c>
      <c r="N3595">
        <v>180.1</v>
      </c>
      <c r="O3595">
        <v>102</v>
      </c>
      <c r="P3595">
        <v>8.1</v>
      </c>
      <c r="Q3595">
        <v>12.7</v>
      </c>
      <c r="R3595">
        <v>6</v>
      </c>
      <c r="S3595">
        <v>3.43</v>
      </c>
      <c r="T3595">
        <v>3</v>
      </c>
      <c r="U3595" t="s">
        <v>22</v>
      </c>
      <c r="V3595" t="e">
        <f>IF(#REF! = "yes", 1, 0)</f>
        <v>#REF!</v>
      </c>
      <c r="W3595" t="e">
        <f>IF(#REF! &lt;= 1, "0-1 Calls", IF(#REF! &lt;= 3, "2-3 Calls", IF(#REF! &lt;=5, "4-5 Calls", "6+ Calls")))</f>
        <v>#REF!</v>
      </c>
      <c r="X3595" t="e">
        <f>IF(#REF! &lt;= 50, "0-50", IF(#REF! &lt;=100, "51-100", IF(#REF! &lt;= 150, "101-150", "151+")))</f>
        <v>#REF!</v>
      </c>
      <c r="Y3595" t="e">
        <f>IF(#REF! &lt;= 3, "Low Charges", "High Charges")</f>
        <v>#REF!</v>
      </c>
      <c r="Z3595" t="e">
        <f>IF(#REF!&lt;=80,"Low Calls",
IF(#REF!&lt;=120,"Medium Calls","High Calls"))</f>
        <v>#REF!</v>
      </c>
      <c r="AA3595" t="e">
        <f>IF(#REF!&lt;=15,"Low Charges",
IF(#REF!&lt;=20,"Medium Charges","High Charges"))</f>
        <v>#REF!</v>
      </c>
      <c r="AB3595" t="e">
        <f>IF(AND(#REF!&gt;180, #REF!&gt;200), "Heavy Doemstic User", IF(#REF!&gt;10, "Interntional User", IF(AND(#REF!&lt;180, #REF!&lt;200,#REF!&lt;200), "Light User", "Balanced User")))</f>
        <v>#REF!</v>
      </c>
      <c r="AC3595" t="e">
        <f>IF(#REF! = 0, "No Usage", IF(#REF! &lt;= 20, "Low Usage", IF(#REF! &lt;= 40, "Medium Usgae", "High Usage")))</f>
        <v>#REF!</v>
      </c>
      <c r="AD3595" t="e">
        <f>IF(#REF!&lt;=150,"Low Usage", IF(#REF!&lt;=200,"Medium Usage", IF(#REF!&lt;=250,"High Usage","Very High Usage")))</f>
        <v>#REF!</v>
      </c>
      <c r="AE3595" t="e">
        <f>IF(#REF!&lt;=5,"Low Calls", IF(#REF!&lt;=10, "Medium Calls", "High Calls"))</f>
        <v>#REF!</v>
      </c>
      <c r="AF3595" t="e">
        <f xml:space="preserve">
IF(#REF!&gt;=4,4,0)+
IF(#REF!="yes",3,0)+
IF(#REF!="High Charges",3,0)+
IF(#REF!&gt;250,4,0)+
IF(#REF!="no",1,0)+
IF(#REF!="Heavy Domestic User",2,0)</f>
        <v>#REF!</v>
      </c>
      <c r="AG3595" t="e">
        <f>IF(#REF!&gt;=10,"High Risk", IF(#REF!&gt;=5,"Medium Risk","Low Risk"))</f>
        <v>#REF!</v>
      </c>
      <c r="AH3595" t="e">
        <f>#REF! + #REF! + #REF! + #REF!</f>
        <v>#REF!</v>
      </c>
    </row>
    <row r="3596" spans="1:34" x14ac:dyDescent="0.35">
      <c r="A3596">
        <v>3595</v>
      </c>
      <c r="B3596" t="s">
        <v>31</v>
      </c>
      <c r="C3596">
        <v>43</v>
      </c>
      <c r="D3596" t="s">
        <v>28</v>
      </c>
      <c r="E3596" t="s">
        <v>22</v>
      </c>
      <c r="F3596" t="s">
        <v>23</v>
      </c>
      <c r="G3596">
        <v>26</v>
      </c>
      <c r="H3596">
        <v>141.5</v>
      </c>
      <c r="I3596">
        <v>94</v>
      </c>
      <c r="J3596">
        <v>24.06</v>
      </c>
      <c r="K3596">
        <v>196.4</v>
      </c>
      <c r="L3596">
        <v>123</v>
      </c>
      <c r="M3596">
        <v>16.690000000000001</v>
      </c>
      <c r="N3596">
        <v>172.4</v>
      </c>
      <c r="O3596">
        <v>100</v>
      </c>
      <c r="P3596">
        <v>7.76</v>
      </c>
      <c r="Q3596">
        <v>12.9</v>
      </c>
      <c r="R3596">
        <v>1</v>
      </c>
      <c r="S3596">
        <v>3.48</v>
      </c>
      <c r="T3596">
        <v>3</v>
      </c>
      <c r="U3596" t="s">
        <v>22</v>
      </c>
      <c r="V3596" t="e">
        <f>IF(#REF! = "yes", 1, 0)</f>
        <v>#REF!</v>
      </c>
      <c r="W3596" t="e">
        <f>IF(#REF! &lt;= 1, "0-1 Calls", IF(#REF! &lt;= 3, "2-3 Calls", IF(#REF! &lt;=5, "4-5 Calls", "6+ Calls")))</f>
        <v>#REF!</v>
      </c>
      <c r="X3596" t="e">
        <f>IF(#REF! &lt;= 50, "0-50", IF(#REF! &lt;=100, "51-100", IF(#REF! &lt;= 150, "101-150", "151+")))</f>
        <v>#REF!</v>
      </c>
      <c r="Y3596" t="e">
        <f>IF(#REF! &lt;= 3, "Low Charges", "High Charges")</f>
        <v>#REF!</v>
      </c>
      <c r="Z3596" t="e">
        <f>IF(#REF!&lt;=80,"Low Calls",
IF(#REF!&lt;=120,"Medium Calls","High Calls"))</f>
        <v>#REF!</v>
      </c>
      <c r="AA3596" t="e">
        <f>IF(#REF!&lt;=15,"Low Charges",
IF(#REF!&lt;=20,"Medium Charges","High Charges"))</f>
        <v>#REF!</v>
      </c>
      <c r="AB3596" t="e">
        <f>IF(AND(#REF!&gt;180, #REF!&gt;200), "Heavy Doemstic User", IF(#REF!&gt;10, "Interntional User", IF(AND(#REF!&lt;180, #REF!&lt;200,#REF!&lt;200), "Light User", "Balanced User")))</f>
        <v>#REF!</v>
      </c>
      <c r="AC3596" t="e">
        <f>IF(#REF! = 0, "No Usage", IF(#REF! &lt;= 20, "Low Usage", IF(#REF! &lt;= 40, "Medium Usgae", "High Usage")))</f>
        <v>#REF!</v>
      </c>
      <c r="AD3596" t="e">
        <f>IF(#REF!&lt;=150,"Low Usage", IF(#REF!&lt;=200,"Medium Usage", IF(#REF!&lt;=250,"High Usage","Very High Usage")))</f>
        <v>#REF!</v>
      </c>
      <c r="AE3596" t="e">
        <f>IF(#REF!&lt;=5,"Low Calls", IF(#REF!&lt;=10, "Medium Calls", "High Calls"))</f>
        <v>#REF!</v>
      </c>
      <c r="AF3596" t="e">
        <f xml:space="preserve">
IF(#REF!&gt;=4,4,0)+
IF(#REF!="yes",3,0)+
IF(#REF!="High Charges",3,0)+
IF(#REF!&gt;250,4,0)+
IF(#REF!="no",1,0)+
IF(#REF!="Heavy Domestic User",2,0)</f>
        <v>#REF!</v>
      </c>
      <c r="AG3596" t="e">
        <f>IF(#REF!&gt;=10,"High Risk", IF(#REF!&gt;=5,"Medium Risk","Low Risk"))</f>
        <v>#REF!</v>
      </c>
      <c r="AH3596" t="e">
        <f>#REF! + #REF! + #REF! + #REF!</f>
        <v>#REF!</v>
      </c>
    </row>
    <row r="3597" spans="1:34" x14ac:dyDescent="0.35">
      <c r="A3597">
        <v>3596</v>
      </c>
      <c r="B3597" t="s">
        <v>29</v>
      </c>
      <c r="C3597">
        <v>120</v>
      </c>
      <c r="D3597" t="s">
        <v>21</v>
      </c>
      <c r="E3597" t="s">
        <v>22</v>
      </c>
      <c r="F3597" t="s">
        <v>22</v>
      </c>
      <c r="G3597">
        <v>0</v>
      </c>
      <c r="H3597">
        <v>79.2</v>
      </c>
      <c r="I3597">
        <v>123</v>
      </c>
      <c r="J3597">
        <v>13.46</v>
      </c>
      <c r="K3597">
        <v>212.1</v>
      </c>
      <c r="L3597">
        <v>106</v>
      </c>
      <c r="M3597">
        <v>18.03</v>
      </c>
      <c r="N3597">
        <v>224.6</v>
      </c>
      <c r="O3597">
        <v>104</v>
      </c>
      <c r="P3597">
        <v>10.11</v>
      </c>
      <c r="Q3597">
        <v>10.199999999999999</v>
      </c>
      <c r="R3597">
        <v>4</v>
      </c>
      <c r="S3597">
        <v>2.75</v>
      </c>
      <c r="T3597">
        <v>3</v>
      </c>
      <c r="U3597" t="s">
        <v>22</v>
      </c>
      <c r="V3597" t="e">
        <f>IF(#REF! = "yes", 1, 0)</f>
        <v>#REF!</v>
      </c>
      <c r="W3597" t="e">
        <f>IF(#REF! &lt;= 1, "0-1 Calls", IF(#REF! &lt;= 3, "2-3 Calls", IF(#REF! &lt;=5, "4-5 Calls", "6+ Calls")))</f>
        <v>#REF!</v>
      </c>
      <c r="X3597" t="e">
        <f>IF(#REF! &lt;= 50, "0-50", IF(#REF! &lt;=100, "51-100", IF(#REF! &lt;= 150, "101-150", "151+")))</f>
        <v>#REF!</v>
      </c>
      <c r="Y3597" t="e">
        <f>IF(#REF! &lt;= 3, "Low Charges", "High Charges")</f>
        <v>#REF!</v>
      </c>
      <c r="Z3597" t="e">
        <f>IF(#REF!&lt;=80,"Low Calls",
IF(#REF!&lt;=120,"Medium Calls","High Calls"))</f>
        <v>#REF!</v>
      </c>
      <c r="AA3597" t="e">
        <f>IF(#REF!&lt;=15,"Low Charges",
IF(#REF!&lt;=20,"Medium Charges","High Charges"))</f>
        <v>#REF!</v>
      </c>
      <c r="AB3597" t="e">
        <f>IF(AND(#REF!&gt;180, #REF!&gt;200), "Heavy Doemstic User", IF(#REF!&gt;10, "Interntional User", IF(AND(#REF!&lt;180, #REF!&lt;200,#REF!&lt;200), "Light User", "Balanced User")))</f>
        <v>#REF!</v>
      </c>
      <c r="AC3597" t="e">
        <f>IF(#REF! = 0, "No Usage", IF(#REF! &lt;= 20, "Low Usage", IF(#REF! &lt;= 40, "Medium Usgae", "High Usage")))</f>
        <v>#REF!</v>
      </c>
      <c r="AD3597" t="e">
        <f>IF(#REF!&lt;=150,"Low Usage", IF(#REF!&lt;=200,"Medium Usage", IF(#REF!&lt;=250,"High Usage","Very High Usage")))</f>
        <v>#REF!</v>
      </c>
      <c r="AE3597" t="e">
        <f>IF(#REF!&lt;=5,"Low Calls", IF(#REF!&lt;=10, "Medium Calls", "High Calls"))</f>
        <v>#REF!</v>
      </c>
      <c r="AF3597" t="e">
        <f xml:space="preserve">
IF(#REF!&gt;=4,4,0)+
IF(#REF!="yes",3,0)+
IF(#REF!="High Charges",3,0)+
IF(#REF!&gt;250,4,0)+
IF(#REF!="no",1,0)+
IF(#REF!="Heavy Domestic User",2,0)</f>
        <v>#REF!</v>
      </c>
      <c r="AG3597" t="e">
        <f>IF(#REF!&gt;=10,"High Risk", IF(#REF!&gt;=5,"Medium Risk","Low Risk"))</f>
        <v>#REF!</v>
      </c>
      <c r="AH3597" t="e">
        <f>#REF! + #REF! + #REF! + #REF!</f>
        <v>#REF!</v>
      </c>
    </row>
    <row r="3598" spans="1:34" x14ac:dyDescent="0.35">
      <c r="A3598">
        <v>3597</v>
      </c>
      <c r="B3598" t="s">
        <v>44</v>
      </c>
      <c r="C3598">
        <v>62</v>
      </c>
      <c r="D3598" t="s">
        <v>21</v>
      </c>
      <c r="E3598" t="s">
        <v>22</v>
      </c>
      <c r="F3598" t="s">
        <v>22</v>
      </c>
      <c r="G3598">
        <v>0</v>
      </c>
      <c r="H3598">
        <v>238.9</v>
      </c>
      <c r="I3598">
        <v>102</v>
      </c>
      <c r="J3598">
        <v>40.61</v>
      </c>
      <c r="K3598">
        <v>161.4</v>
      </c>
      <c r="L3598">
        <v>115</v>
      </c>
      <c r="M3598">
        <v>13.72</v>
      </c>
      <c r="N3598">
        <v>248.5</v>
      </c>
      <c r="O3598">
        <v>103</v>
      </c>
      <c r="P3598">
        <v>11.18</v>
      </c>
      <c r="Q3598">
        <v>13.4</v>
      </c>
      <c r="R3598">
        <v>4</v>
      </c>
      <c r="S3598">
        <v>3.62</v>
      </c>
      <c r="T3598">
        <v>0</v>
      </c>
      <c r="U3598" t="s">
        <v>22</v>
      </c>
      <c r="V3598" t="e">
        <f>IF(#REF! = "yes", 1, 0)</f>
        <v>#REF!</v>
      </c>
      <c r="W3598" t="e">
        <f>IF(#REF! &lt;= 1, "0-1 Calls", IF(#REF! &lt;= 3, "2-3 Calls", IF(#REF! &lt;=5, "4-5 Calls", "6+ Calls")))</f>
        <v>#REF!</v>
      </c>
      <c r="X3598" t="e">
        <f>IF(#REF! &lt;= 50, "0-50", IF(#REF! &lt;=100, "51-100", IF(#REF! &lt;= 150, "101-150", "151+")))</f>
        <v>#REF!</v>
      </c>
      <c r="Y3598" t="e">
        <f>IF(#REF! &lt;= 3, "Low Charges", "High Charges")</f>
        <v>#REF!</v>
      </c>
      <c r="Z3598" t="e">
        <f>IF(#REF!&lt;=80,"Low Calls",
IF(#REF!&lt;=120,"Medium Calls","High Calls"))</f>
        <v>#REF!</v>
      </c>
      <c r="AA3598" t="e">
        <f>IF(#REF!&lt;=15,"Low Charges",
IF(#REF!&lt;=20,"Medium Charges","High Charges"))</f>
        <v>#REF!</v>
      </c>
      <c r="AB3598" t="e">
        <f>IF(AND(#REF!&gt;180, #REF!&gt;200), "Heavy Doemstic User", IF(#REF!&gt;10, "Interntional User", IF(AND(#REF!&lt;180, #REF!&lt;200,#REF!&lt;200), "Light User", "Balanced User")))</f>
        <v>#REF!</v>
      </c>
      <c r="AC3598" t="e">
        <f>IF(#REF! = 0, "No Usage", IF(#REF! &lt;= 20, "Low Usage", IF(#REF! &lt;= 40, "Medium Usgae", "High Usage")))</f>
        <v>#REF!</v>
      </c>
      <c r="AD3598" t="e">
        <f>IF(#REF!&lt;=150,"Low Usage", IF(#REF!&lt;=200,"Medium Usage", IF(#REF!&lt;=250,"High Usage","Very High Usage")))</f>
        <v>#REF!</v>
      </c>
      <c r="AE3598" t="e">
        <f>IF(#REF!&lt;=5,"Low Calls", IF(#REF!&lt;=10, "Medium Calls", "High Calls"))</f>
        <v>#REF!</v>
      </c>
      <c r="AF3598" t="e">
        <f xml:space="preserve">
IF(#REF!&gt;=4,4,0)+
IF(#REF!="yes",3,0)+
IF(#REF!="High Charges",3,0)+
IF(#REF!&gt;250,4,0)+
IF(#REF!="no",1,0)+
IF(#REF!="Heavy Domestic User",2,0)</f>
        <v>#REF!</v>
      </c>
      <c r="AG3598" t="e">
        <f>IF(#REF!&gt;=10,"High Risk", IF(#REF!&gt;=5,"Medium Risk","Low Risk"))</f>
        <v>#REF!</v>
      </c>
      <c r="AH3598" t="e">
        <f>#REF! + #REF! + #REF! + #REF!</f>
        <v>#REF!</v>
      </c>
    </row>
    <row r="3599" spans="1:34" x14ac:dyDescent="0.35">
      <c r="A3599">
        <v>3598</v>
      </c>
      <c r="B3599" t="s">
        <v>31</v>
      </c>
      <c r="C3599">
        <v>160</v>
      </c>
      <c r="D3599" t="s">
        <v>25</v>
      </c>
      <c r="E3599" t="s">
        <v>22</v>
      </c>
      <c r="F3599" t="s">
        <v>23</v>
      </c>
      <c r="G3599">
        <v>37</v>
      </c>
      <c r="H3599">
        <v>179.8</v>
      </c>
      <c r="I3599">
        <v>104</v>
      </c>
      <c r="J3599">
        <v>30.57</v>
      </c>
      <c r="K3599">
        <v>144.80000000000001</v>
      </c>
      <c r="L3599">
        <v>115</v>
      </c>
      <c r="M3599">
        <v>12.31</v>
      </c>
      <c r="N3599">
        <v>209.1</v>
      </c>
      <c r="O3599">
        <v>89</v>
      </c>
      <c r="P3599">
        <v>9.41</v>
      </c>
      <c r="Q3599">
        <v>11.1</v>
      </c>
      <c r="R3599">
        <v>8</v>
      </c>
      <c r="S3599">
        <v>3</v>
      </c>
      <c r="T3599">
        <v>3</v>
      </c>
      <c r="U3599" t="s">
        <v>22</v>
      </c>
      <c r="V3599" t="e">
        <f>IF(#REF! = "yes", 1, 0)</f>
        <v>#REF!</v>
      </c>
      <c r="W3599" t="e">
        <f>IF(#REF! &lt;= 1, "0-1 Calls", IF(#REF! &lt;= 3, "2-3 Calls", IF(#REF! &lt;=5, "4-5 Calls", "6+ Calls")))</f>
        <v>#REF!</v>
      </c>
      <c r="X3599" t="e">
        <f>IF(#REF! &lt;= 50, "0-50", IF(#REF! &lt;=100, "51-100", IF(#REF! &lt;= 150, "101-150", "151+")))</f>
        <v>#REF!</v>
      </c>
      <c r="Y3599" t="e">
        <f>IF(#REF! &lt;= 3, "Low Charges", "High Charges")</f>
        <v>#REF!</v>
      </c>
      <c r="Z3599" t="e">
        <f>IF(#REF!&lt;=80,"Low Calls",
IF(#REF!&lt;=120,"Medium Calls","High Calls"))</f>
        <v>#REF!</v>
      </c>
      <c r="AA3599" t="e">
        <f>IF(#REF!&lt;=15,"Low Charges",
IF(#REF!&lt;=20,"Medium Charges","High Charges"))</f>
        <v>#REF!</v>
      </c>
      <c r="AB3599" t="e">
        <f>IF(AND(#REF!&gt;180, #REF!&gt;200), "Heavy Doemstic User", IF(#REF!&gt;10, "Interntional User", IF(AND(#REF!&lt;180, #REF!&lt;200,#REF!&lt;200), "Light User", "Balanced User")))</f>
        <v>#REF!</v>
      </c>
      <c r="AC3599" t="e">
        <f>IF(#REF! = 0, "No Usage", IF(#REF! &lt;= 20, "Low Usage", IF(#REF! &lt;= 40, "Medium Usgae", "High Usage")))</f>
        <v>#REF!</v>
      </c>
      <c r="AD3599" t="e">
        <f>IF(#REF!&lt;=150,"Low Usage", IF(#REF!&lt;=200,"Medium Usage", IF(#REF!&lt;=250,"High Usage","Very High Usage")))</f>
        <v>#REF!</v>
      </c>
      <c r="AE3599" t="e">
        <f>IF(#REF!&lt;=5,"Low Calls", IF(#REF!&lt;=10, "Medium Calls", "High Calls"))</f>
        <v>#REF!</v>
      </c>
      <c r="AF3599" t="e">
        <f xml:space="preserve">
IF(#REF!&gt;=4,4,0)+
IF(#REF!="yes",3,0)+
IF(#REF!="High Charges",3,0)+
IF(#REF!&gt;250,4,0)+
IF(#REF!="no",1,0)+
IF(#REF!="Heavy Domestic User",2,0)</f>
        <v>#REF!</v>
      </c>
      <c r="AG3599" t="e">
        <f>IF(#REF!&gt;=10,"High Risk", IF(#REF!&gt;=5,"Medium Risk","Low Risk"))</f>
        <v>#REF!</v>
      </c>
      <c r="AH3599" t="e">
        <f>#REF! + #REF! + #REF! + #REF!</f>
        <v>#REF!</v>
      </c>
    </row>
    <row r="3600" spans="1:34" x14ac:dyDescent="0.35">
      <c r="A3600">
        <v>3599</v>
      </c>
      <c r="B3600" t="s">
        <v>55</v>
      </c>
      <c r="C3600">
        <v>67</v>
      </c>
      <c r="D3600" t="s">
        <v>28</v>
      </c>
      <c r="E3600" t="s">
        <v>22</v>
      </c>
      <c r="F3600" t="s">
        <v>22</v>
      </c>
      <c r="G3600">
        <v>0</v>
      </c>
      <c r="H3600">
        <v>225.9</v>
      </c>
      <c r="I3600">
        <v>78</v>
      </c>
      <c r="J3600">
        <v>38.4</v>
      </c>
      <c r="K3600">
        <v>243.1</v>
      </c>
      <c r="L3600">
        <v>83</v>
      </c>
      <c r="M3600">
        <v>20.66</v>
      </c>
      <c r="N3600">
        <v>84.1</v>
      </c>
      <c r="O3600">
        <v>94</v>
      </c>
      <c r="P3600">
        <v>3.78</v>
      </c>
      <c r="Q3600">
        <v>13.5</v>
      </c>
      <c r="R3600">
        <v>2</v>
      </c>
      <c r="S3600">
        <v>3.65</v>
      </c>
      <c r="T3600">
        <v>2</v>
      </c>
      <c r="U3600" t="s">
        <v>23</v>
      </c>
      <c r="V3600" t="e">
        <f>IF(#REF! = "yes", 1, 0)</f>
        <v>#REF!</v>
      </c>
      <c r="W3600" t="e">
        <f>IF(#REF! &lt;= 1, "0-1 Calls", IF(#REF! &lt;= 3, "2-3 Calls", IF(#REF! &lt;=5, "4-5 Calls", "6+ Calls")))</f>
        <v>#REF!</v>
      </c>
      <c r="X3600" t="e">
        <f>IF(#REF! &lt;= 50, "0-50", IF(#REF! &lt;=100, "51-100", IF(#REF! &lt;= 150, "101-150", "151+")))</f>
        <v>#REF!</v>
      </c>
      <c r="Y3600" t="e">
        <f>IF(#REF! &lt;= 3, "Low Charges", "High Charges")</f>
        <v>#REF!</v>
      </c>
      <c r="Z3600" t="e">
        <f>IF(#REF!&lt;=80,"Low Calls",
IF(#REF!&lt;=120,"Medium Calls","High Calls"))</f>
        <v>#REF!</v>
      </c>
      <c r="AA3600" t="e">
        <f>IF(#REF!&lt;=15,"Low Charges",
IF(#REF!&lt;=20,"Medium Charges","High Charges"))</f>
        <v>#REF!</v>
      </c>
      <c r="AB3600" t="e">
        <f>IF(AND(#REF!&gt;180, #REF!&gt;200), "Heavy Doemstic User", IF(#REF!&gt;10, "Interntional User", IF(AND(#REF!&lt;180, #REF!&lt;200,#REF!&lt;200), "Light User", "Balanced User")))</f>
        <v>#REF!</v>
      </c>
      <c r="AC3600" t="e">
        <f>IF(#REF! = 0, "No Usage", IF(#REF! &lt;= 20, "Low Usage", IF(#REF! &lt;= 40, "Medium Usgae", "High Usage")))</f>
        <v>#REF!</v>
      </c>
      <c r="AD3600" t="e">
        <f>IF(#REF!&lt;=150,"Low Usage", IF(#REF!&lt;=200,"Medium Usage", IF(#REF!&lt;=250,"High Usage","Very High Usage")))</f>
        <v>#REF!</v>
      </c>
      <c r="AE3600" t="e">
        <f>IF(#REF!&lt;=5,"Low Calls", IF(#REF!&lt;=10, "Medium Calls", "High Calls"))</f>
        <v>#REF!</v>
      </c>
      <c r="AF3600" t="e">
        <f xml:space="preserve">
IF(#REF!&gt;=4,4,0)+
IF(#REF!="yes",3,0)+
IF(#REF!="High Charges",3,0)+
IF(#REF!&gt;250,4,0)+
IF(#REF!="no",1,0)+
IF(#REF!="Heavy Domestic User",2,0)</f>
        <v>#REF!</v>
      </c>
      <c r="AG3600" t="e">
        <f>IF(#REF!&gt;=10,"High Risk", IF(#REF!&gt;=5,"Medium Risk","Low Risk"))</f>
        <v>#REF!</v>
      </c>
      <c r="AH3600" t="e">
        <f>#REF! + #REF! + #REF! + #REF!</f>
        <v>#REF!</v>
      </c>
    </row>
    <row r="3601" spans="1:34" x14ac:dyDescent="0.35">
      <c r="A3601">
        <v>3600</v>
      </c>
      <c r="B3601" t="s">
        <v>65</v>
      </c>
      <c r="C3601">
        <v>98</v>
      </c>
      <c r="D3601" t="s">
        <v>21</v>
      </c>
      <c r="E3601" t="s">
        <v>22</v>
      </c>
      <c r="F3601" t="s">
        <v>22</v>
      </c>
      <c r="G3601">
        <v>0</v>
      </c>
      <c r="H3601">
        <v>189.8</v>
      </c>
      <c r="I3601">
        <v>113</v>
      </c>
      <c r="J3601">
        <v>32.270000000000003</v>
      </c>
      <c r="K3601">
        <v>271.5</v>
      </c>
      <c r="L3601">
        <v>111</v>
      </c>
      <c r="M3601">
        <v>23.08</v>
      </c>
      <c r="N3601">
        <v>218.9</v>
      </c>
      <c r="O3601">
        <v>96</v>
      </c>
      <c r="P3601">
        <v>9.85</v>
      </c>
      <c r="Q3601">
        <v>13</v>
      </c>
      <c r="R3601">
        <v>5</v>
      </c>
      <c r="S3601">
        <v>3.51</v>
      </c>
      <c r="T3601">
        <v>1</v>
      </c>
      <c r="U3601" t="s">
        <v>22</v>
      </c>
      <c r="V3601" t="e">
        <f>IF(#REF! = "yes", 1, 0)</f>
        <v>#REF!</v>
      </c>
      <c r="W3601" t="e">
        <f>IF(#REF! &lt;= 1, "0-1 Calls", IF(#REF! &lt;= 3, "2-3 Calls", IF(#REF! &lt;=5, "4-5 Calls", "6+ Calls")))</f>
        <v>#REF!</v>
      </c>
      <c r="X3601" t="e">
        <f>IF(#REF! &lt;= 50, "0-50", IF(#REF! &lt;=100, "51-100", IF(#REF! &lt;= 150, "101-150", "151+")))</f>
        <v>#REF!</v>
      </c>
      <c r="Y3601" t="e">
        <f>IF(#REF! &lt;= 3, "Low Charges", "High Charges")</f>
        <v>#REF!</v>
      </c>
      <c r="Z3601" t="e">
        <f>IF(#REF!&lt;=80,"Low Calls",
IF(#REF!&lt;=120,"Medium Calls","High Calls"))</f>
        <v>#REF!</v>
      </c>
      <c r="AA3601" t="e">
        <f>IF(#REF!&lt;=15,"Low Charges",
IF(#REF!&lt;=20,"Medium Charges","High Charges"))</f>
        <v>#REF!</v>
      </c>
      <c r="AB3601" t="e">
        <f>IF(AND(#REF!&gt;180, #REF!&gt;200), "Heavy Doemstic User", IF(#REF!&gt;10, "Interntional User", IF(AND(#REF!&lt;180, #REF!&lt;200,#REF!&lt;200), "Light User", "Balanced User")))</f>
        <v>#REF!</v>
      </c>
      <c r="AC3601" t="e">
        <f>IF(#REF! = 0, "No Usage", IF(#REF! &lt;= 20, "Low Usage", IF(#REF! &lt;= 40, "Medium Usgae", "High Usage")))</f>
        <v>#REF!</v>
      </c>
      <c r="AD3601" t="e">
        <f>IF(#REF!&lt;=150,"Low Usage", IF(#REF!&lt;=200,"Medium Usage", IF(#REF!&lt;=250,"High Usage","Very High Usage")))</f>
        <v>#REF!</v>
      </c>
      <c r="AE3601" t="e">
        <f>IF(#REF!&lt;=5,"Low Calls", IF(#REF!&lt;=10, "Medium Calls", "High Calls"))</f>
        <v>#REF!</v>
      </c>
      <c r="AF3601" t="e">
        <f xml:space="preserve">
IF(#REF!&gt;=4,4,0)+
IF(#REF!="yes",3,0)+
IF(#REF!="High Charges",3,0)+
IF(#REF!&gt;250,4,0)+
IF(#REF!="no",1,0)+
IF(#REF!="Heavy Domestic User",2,0)</f>
        <v>#REF!</v>
      </c>
      <c r="AG3601" t="e">
        <f>IF(#REF!&gt;=10,"High Risk", IF(#REF!&gt;=5,"Medium Risk","Low Risk"))</f>
        <v>#REF!</v>
      </c>
      <c r="AH3601" t="e">
        <f>#REF! + #REF! + #REF! + #REF!</f>
        <v>#REF!</v>
      </c>
    </row>
    <row r="3602" spans="1:34" x14ac:dyDescent="0.35">
      <c r="A3602">
        <v>3601</v>
      </c>
      <c r="B3602" t="s">
        <v>26</v>
      </c>
      <c r="C3602">
        <v>103</v>
      </c>
      <c r="D3602" t="s">
        <v>28</v>
      </c>
      <c r="E3602" t="s">
        <v>22</v>
      </c>
      <c r="F3602" t="s">
        <v>22</v>
      </c>
      <c r="G3602">
        <v>0</v>
      </c>
      <c r="H3602">
        <v>267</v>
      </c>
      <c r="I3602">
        <v>97</v>
      </c>
      <c r="J3602">
        <v>45.39</v>
      </c>
      <c r="K3602">
        <v>204.3</v>
      </c>
      <c r="L3602">
        <v>151</v>
      </c>
      <c r="M3602">
        <v>17.37</v>
      </c>
      <c r="N3602">
        <v>246.9</v>
      </c>
      <c r="O3602">
        <v>67</v>
      </c>
      <c r="P3602">
        <v>11.11</v>
      </c>
      <c r="Q3602">
        <v>11.3</v>
      </c>
      <c r="R3602">
        <v>7</v>
      </c>
      <c r="S3602">
        <v>3.05</v>
      </c>
      <c r="T3602">
        <v>1</v>
      </c>
      <c r="U3602" t="s">
        <v>23</v>
      </c>
      <c r="V3602" t="e">
        <f>IF(#REF! = "yes", 1, 0)</f>
        <v>#REF!</v>
      </c>
      <c r="W3602" t="e">
        <f>IF(#REF! &lt;= 1, "0-1 Calls", IF(#REF! &lt;= 3, "2-3 Calls", IF(#REF! &lt;=5, "4-5 Calls", "6+ Calls")))</f>
        <v>#REF!</v>
      </c>
      <c r="X3602" t="e">
        <f>IF(#REF! &lt;= 50, "0-50", IF(#REF! &lt;=100, "51-100", IF(#REF! &lt;= 150, "101-150", "151+")))</f>
        <v>#REF!</v>
      </c>
      <c r="Y3602" t="e">
        <f>IF(#REF! &lt;= 3, "Low Charges", "High Charges")</f>
        <v>#REF!</v>
      </c>
      <c r="Z3602" t="e">
        <f>IF(#REF!&lt;=80,"Low Calls",
IF(#REF!&lt;=120,"Medium Calls","High Calls"))</f>
        <v>#REF!</v>
      </c>
      <c r="AA3602" t="e">
        <f>IF(#REF!&lt;=15,"Low Charges",
IF(#REF!&lt;=20,"Medium Charges","High Charges"))</f>
        <v>#REF!</v>
      </c>
      <c r="AB3602" t="e">
        <f>IF(AND(#REF!&gt;180, #REF!&gt;200), "Heavy Doemstic User", IF(#REF!&gt;10, "Interntional User", IF(AND(#REF!&lt;180, #REF!&lt;200,#REF!&lt;200), "Light User", "Balanced User")))</f>
        <v>#REF!</v>
      </c>
      <c r="AC3602" t="e">
        <f>IF(#REF! = 0, "No Usage", IF(#REF! &lt;= 20, "Low Usage", IF(#REF! &lt;= 40, "Medium Usgae", "High Usage")))</f>
        <v>#REF!</v>
      </c>
      <c r="AD3602" t="e">
        <f>IF(#REF!&lt;=150,"Low Usage", IF(#REF!&lt;=200,"Medium Usage", IF(#REF!&lt;=250,"High Usage","Very High Usage")))</f>
        <v>#REF!</v>
      </c>
      <c r="AE3602" t="e">
        <f>IF(#REF!&lt;=5,"Low Calls", IF(#REF!&lt;=10, "Medium Calls", "High Calls"))</f>
        <v>#REF!</v>
      </c>
      <c r="AF3602" t="e">
        <f xml:space="preserve">
IF(#REF!&gt;=4,4,0)+
IF(#REF!="yes",3,0)+
IF(#REF!="High Charges",3,0)+
IF(#REF!&gt;250,4,0)+
IF(#REF!="no",1,0)+
IF(#REF!="Heavy Domestic User",2,0)</f>
        <v>#REF!</v>
      </c>
      <c r="AG3602" t="e">
        <f>IF(#REF!&gt;=10,"High Risk", IF(#REF!&gt;=5,"Medium Risk","Low Risk"))</f>
        <v>#REF!</v>
      </c>
      <c r="AH3602" t="e">
        <f>#REF! + #REF! + #REF! + #REF!</f>
        <v>#REF!</v>
      </c>
    </row>
    <row r="3603" spans="1:34" x14ac:dyDescent="0.35">
      <c r="A3603">
        <v>3602</v>
      </c>
      <c r="B3603" t="s">
        <v>71</v>
      </c>
      <c r="C3603">
        <v>121</v>
      </c>
      <c r="D3603" t="s">
        <v>21</v>
      </c>
      <c r="E3603" t="s">
        <v>22</v>
      </c>
      <c r="F3603" t="s">
        <v>22</v>
      </c>
      <c r="G3603">
        <v>0</v>
      </c>
      <c r="H3603">
        <v>217.3</v>
      </c>
      <c r="I3603">
        <v>79</v>
      </c>
      <c r="J3603">
        <v>36.94</v>
      </c>
      <c r="K3603">
        <v>218</v>
      </c>
      <c r="L3603">
        <v>106</v>
      </c>
      <c r="M3603">
        <v>18.53</v>
      </c>
      <c r="N3603">
        <v>166.5</v>
      </c>
      <c r="O3603">
        <v>69</v>
      </c>
      <c r="P3603">
        <v>7.49</v>
      </c>
      <c r="Q3603">
        <v>11.5</v>
      </c>
      <c r="R3603">
        <v>7</v>
      </c>
      <c r="S3603">
        <v>3.11</v>
      </c>
      <c r="T3603">
        <v>1</v>
      </c>
      <c r="U3603" t="s">
        <v>22</v>
      </c>
      <c r="V3603" t="e">
        <f>IF(#REF! = "yes", 1, 0)</f>
        <v>#REF!</v>
      </c>
      <c r="W3603" t="e">
        <f>IF(#REF! &lt;= 1, "0-1 Calls", IF(#REF! &lt;= 3, "2-3 Calls", IF(#REF! &lt;=5, "4-5 Calls", "6+ Calls")))</f>
        <v>#REF!</v>
      </c>
      <c r="X3603" t="e">
        <f>IF(#REF! &lt;= 50, "0-50", IF(#REF! &lt;=100, "51-100", IF(#REF! &lt;= 150, "101-150", "151+")))</f>
        <v>#REF!</v>
      </c>
      <c r="Y3603" t="e">
        <f>IF(#REF! &lt;= 3, "Low Charges", "High Charges")</f>
        <v>#REF!</v>
      </c>
      <c r="Z3603" t="e">
        <f>IF(#REF!&lt;=80,"Low Calls",
IF(#REF!&lt;=120,"Medium Calls","High Calls"))</f>
        <v>#REF!</v>
      </c>
      <c r="AA3603" t="e">
        <f>IF(#REF!&lt;=15,"Low Charges",
IF(#REF!&lt;=20,"Medium Charges","High Charges"))</f>
        <v>#REF!</v>
      </c>
      <c r="AB3603" t="e">
        <f>IF(AND(#REF!&gt;180, #REF!&gt;200), "Heavy Doemstic User", IF(#REF!&gt;10, "Interntional User", IF(AND(#REF!&lt;180, #REF!&lt;200,#REF!&lt;200), "Light User", "Balanced User")))</f>
        <v>#REF!</v>
      </c>
      <c r="AC3603" t="e">
        <f>IF(#REF! = 0, "No Usage", IF(#REF! &lt;= 20, "Low Usage", IF(#REF! &lt;= 40, "Medium Usgae", "High Usage")))</f>
        <v>#REF!</v>
      </c>
      <c r="AD3603" t="e">
        <f>IF(#REF!&lt;=150,"Low Usage", IF(#REF!&lt;=200,"Medium Usage", IF(#REF!&lt;=250,"High Usage","Very High Usage")))</f>
        <v>#REF!</v>
      </c>
      <c r="AE3603" t="e">
        <f>IF(#REF!&lt;=5,"Low Calls", IF(#REF!&lt;=10, "Medium Calls", "High Calls"))</f>
        <v>#REF!</v>
      </c>
      <c r="AF3603" t="e">
        <f xml:space="preserve">
IF(#REF!&gt;=4,4,0)+
IF(#REF!="yes",3,0)+
IF(#REF!="High Charges",3,0)+
IF(#REF!&gt;250,4,0)+
IF(#REF!="no",1,0)+
IF(#REF!="Heavy Domestic User",2,0)</f>
        <v>#REF!</v>
      </c>
      <c r="AG3603" t="e">
        <f>IF(#REF!&gt;=10,"High Risk", IF(#REF!&gt;=5,"Medium Risk","Low Risk"))</f>
        <v>#REF!</v>
      </c>
      <c r="AH3603" t="e">
        <f>#REF! + #REF! + #REF! + #REF!</f>
        <v>#REF!</v>
      </c>
    </row>
    <row r="3604" spans="1:34" x14ac:dyDescent="0.35">
      <c r="A3604">
        <v>3603</v>
      </c>
      <c r="B3604" t="s">
        <v>48</v>
      </c>
      <c r="C3604">
        <v>111</v>
      </c>
      <c r="D3604" t="s">
        <v>21</v>
      </c>
      <c r="E3604" t="s">
        <v>22</v>
      </c>
      <c r="F3604" t="s">
        <v>22</v>
      </c>
      <c r="G3604">
        <v>0</v>
      </c>
      <c r="H3604">
        <v>129.1</v>
      </c>
      <c r="I3604">
        <v>92</v>
      </c>
      <c r="J3604">
        <v>21.95</v>
      </c>
      <c r="K3604">
        <v>148.9</v>
      </c>
      <c r="L3604">
        <v>132</v>
      </c>
      <c r="M3604">
        <v>12.66</v>
      </c>
      <c r="N3604">
        <v>264</v>
      </c>
      <c r="O3604">
        <v>103</v>
      </c>
      <c r="P3604">
        <v>11.88</v>
      </c>
      <c r="Q3604">
        <v>16.8</v>
      </c>
      <c r="R3604">
        <v>7</v>
      </c>
      <c r="S3604">
        <v>4.54</v>
      </c>
      <c r="T3604">
        <v>2</v>
      </c>
      <c r="U3604" t="s">
        <v>22</v>
      </c>
      <c r="V3604" t="e">
        <f>IF(#REF! = "yes", 1, 0)</f>
        <v>#REF!</v>
      </c>
      <c r="W3604" t="e">
        <f>IF(#REF! &lt;= 1, "0-1 Calls", IF(#REF! &lt;= 3, "2-3 Calls", IF(#REF! &lt;=5, "4-5 Calls", "6+ Calls")))</f>
        <v>#REF!</v>
      </c>
      <c r="X3604" t="e">
        <f>IF(#REF! &lt;= 50, "0-50", IF(#REF! &lt;=100, "51-100", IF(#REF! &lt;= 150, "101-150", "151+")))</f>
        <v>#REF!</v>
      </c>
      <c r="Y3604" t="e">
        <f>IF(#REF! &lt;= 3, "Low Charges", "High Charges")</f>
        <v>#REF!</v>
      </c>
      <c r="Z3604" t="e">
        <f>IF(#REF!&lt;=80,"Low Calls",
IF(#REF!&lt;=120,"Medium Calls","High Calls"))</f>
        <v>#REF!</v>
      </c>
      <c r="AA3604" t="e">
        <f>IF(#REF!&lt;=15,"Low Charges",
IF(#REF!&lt;=20,"Medium Charges","High Charges"))</f>
        <v>#REF!</v>
      </c>
      <c r="AB3604" t="e">
        <f>IF(AND(#REF!&gt;180, #REF!&gt;200), "Heavy Doemstic User", IF(#REF!&gt;10, "Interntional User", IF(AND(#REF!&lt;180, #REF!&lt;200,#REF!&lt;200), "Light User", "Balanced User")))</f>
        <v>#REF!</v>
      </c>
      <c r="AC3604" t="e">
        <f>IF(#REF! = 0, "No Usage", IF(#REF! &lt;= 20, "Low Usage", IF(#REF! &lt;= 40, "Medium Usgae", "High Usage")))</f>
        <v>#REF!</v>
      </c>
      <c r="AD3604" t="e">
        <f>IF(#REF!&lt;=150,"Low Usage", IF(#REF!&lt;=200,"Medium Usage", IF(#REF!&lt;=250,"High Usage","Very High Usage")))</f>
        <v>#REF!</v>
      </c>
      <c r="AE3604" t="e">
        <f>IF(#REF!&lt;=5,"Low Calls", IF(#REF!&lt;=10, "Medium Calls", "High Calls"))</f>
        <v>#REF!</v>
      </c>
      <c r="AF3604" t="e">
        <f xml:space="preserve">
IF(#REF!&gt;=4,4,0)+
IF(#REF!="yes",3,0)+
IF(#REF!="High Charges",3,0)+
IF(#REF!&gt;250,4,0)+
IF(#REF!="no",1,0)+
IF(#REF!="Heavy Domestic User",2,0)</f>
        <v>#REF!</v>
      </c>
      <c r="AG3604" t="e">
        <f>IF(#REF!&gt;=10,"High Risk", IF(#REF!&gt;=5,"Medium Risk","Low Risk"))</f>
        <v>#REF!</v>
      </c>
      <c r="AH3604" t="e">
        <f>#REF! + #REF! + #REF! + #REF!</f>
        <v>#REF!</v>
      </c>
    </row>
    <row r="3605" spans="1:34" x14ac:dyDescent="0.35">
      <c r="A3605">
        <v>3604</v>
      </c>
      <c r="B3605" t="s">
        <v>69</v>
      </c>
      <c r="C3605">
        <v>127</v>
      </c>
      <c r="D3605" t="s">
        <v>25</v>
      </c>
      <c r="E3605" t="s">
        <v>22</v>
      </c>
      <c r="F3605" t="s">
        <v>22</v>
      </c>
      <c r="G3605">
        <v>0</v>
      </c>
      <c r="H3605">
        <v>135.5</v>
      </c>
      <c r="I3605">
        <v>110</v>
      </c>
      <c r="J3605">
        <v>23.04</v>
      </c>
      <c r="K3605">
        <v>146</v>
      </c>
      <c r="L3605">
        <v>116</v>
      </c>
      <c r="M3605">
        <v>12.41</v>
      </c>
      <c r="N3605">
        <v>208</v>
      </c>
      <c r="O3605">
        <v>88</v>
      </c>
      <c r="P3605">
        <v>9.36</v>
      </c>
      <c r="Q3605">
        <v>10.7</v>
      </c>
      <c r="R3605">
        <v>4</v>
      </c>
      <c r="S3605">
        <v>2.89</v>
      </c>
      <c r="T3605">
        <v>2</v>
      </c>
      <c r="U3605" t="s">
        <v>22</v>
      </c>
      <c r="V3605" t="e">
        <f>IF(#REF! = "yes", 1, 0)</f>
        <v>#REF!</v>
      </c>
      <c r="W3605" t="e">
        <f>IF(#REF! &lt;= 1, "0-1 Calls", IF(#REF! &lt;= 3, "2-3 Calls", IF(#REF! &lt;=5, "4-5 Calls", "6+ Calls")))</f>
        <v>#REF!</v>
      </c>
      <c r="X3605" t="e">
        <f>IF(#REF! &lt;= 50, "0-50", IF(#REF! &lt;=100, "51-100", IF(#REF! &lt;= 150, "101-150", "151+")))</f>
        <v>#REF!</v>
      </c>
      <c r="Y3605" t="e">
        <f>IF(#REF! &lt;= 3, "Low Charges", "High Charges")</f>
        <v>#REF!</v>
      </c>
      <c r="Z3605" t="e">
        <f>IF(#REF!&lt;=80,"Low Calls",
IF(#REF!&lt;=120,"Medium Calls","High Calls"))</f>
        <v>#REF!</v>
      </c>
      <c r="AA3605" t="e">
        <f>IF(#REF!&lt;=15,"Low Charges",
IF(#REF!&lt;=20,"Medium Charges","High Charges"))</f>
        <v>#REF!</v>
      </c>
      <c r="AB3605" t="e">
        <f>IF(AND(#REF!&gt;180, #REF!&gt;200), "Heavy Doemstic User", IF(#REF!&gt;10, "Interntional User", IF(AND(#REF!&lt;180, #REF!&lt;200,#REF!&lt;200), "Light User", "Balanced User")))</f>
        <v>#REF!</v>
      </c>
      <c r="AC3605" t="e">
        <f>IF(#REF! = 0, "No Usage", IF(#REF! &lt;= 20, "Low Usage", IF(#REF! &lt;= 40, "Medium Usgae", "High Usage")))</f>
        <v>#REF!</v>
      </c>
      <c r="AD3605" t="e">
        <f>IF(#REF!&lt;=150,"Low Usage", IF(#REF!&lt;=200,"Medium Usage", IF(#REF!&lt;=250,"High Usage","Very High Usage")))</f>
        <v>#REF!</v>
      </c>
      <c r="AE3605" t="e">
        <f>IF(#REF!&lt;=5,"Low Calls", IF(#REF!&lt;=10, "Medium Calls", "High Calls"))</f>
        <v>#REF!</v>
      </c>
      <c r="AF3605" t="e">
        <f xml:space="preserve">
IF(#REF!&gt;=4,4,0)+
IF(#REF!="yes",3,0)+
IF(#REF!="High Charges",3,0)+
IF(#REF!&gt;250,4,0)+
IF(#REF!="no",1,0)+
IF(#REF!="Heavy Domestic User",2,0)</f>
        <v>#REF!</v>
      </c>
      <c r="AG3605" t="e">
        <f>IF(#REF!&gt;=10,"High Risk", IF(#REF!&gt;=5,"Medium Risk","Low Risk"))</f>
        <v>#REF!</v>
      </c>
      <c r="AH3605" t="e">
        <f>#REF! + #REF! + #REF! + #REF!</f>
        <v>#REF!</v>
      </c>
    </row>
    <row r="3606" spans="1:34" x14ac:dyDescent="0.35">
      <c r="A3606">
        <v>3605</v>
      </c>
      <c r="B3606" t="s">
        <v>59</v>
      </c>
      <c r="C3606">
        <v>65</v>
      </c>
      <c r="D3606" t="s">
        <v>28</v>
      </c>
      <c r="E3606" t="s">
        <v>22</v>
      </c>
      <c r="F3606" t="s">
        <v>22</v>
      </c>
      <c r="G3606">
        <v>0</v>
      </c>
      <c r="H3606">
        <v>183.4</v>
      </c>
      <c r="I3606">
        <v>63</v>
      </c>
      <c r="J3606">
        <v>31.18</v>
      </c>
      <c r="K3606">
        <v>183.6</v>
      </c>
      <c r="L3606">
        <v>80</v>
      </c>
      <c r="M3606">
        <v>15.61</v>
      </c>
      <c r="N3606">
        <v>153.5</v>
      </c>
      <c r="O3606">
        <v>83</v>
      </c>
      <c r="P3606">
        <v>6.91</v>
      </c>
      <c r="Q3606">
        <v>10.7</v>
      </c>
      <c r="R3606">
        <v>4</v>
      </c>
      <c r="S3606">
        <v>2.89</v>
      </c>
      <c r="T3606">
        <v>4</v>
      </c>
      <c r="U3606" t="s">
        <v>23</v>
      </c>
      <c r="V3606" t="e">
        <f>IF(#REF! = "yes", 1, 0)</f>
        <v>#REF!</v>
      </c>
      <c r="W3606" t="e">
        <f>IF(#REF! &lt;= 1, "0-1 Calls", IF(#REF! &lt;= 3, "2-3 Calls", IF(#REF! &lt;=5, "4-5 Calls", "6+ Calls")))</f>
        <v>#REF!</v>
      </c>
      <c r="X3606" t="e">
        <f>IF(#REF! &lt;= 50, "0-50", IF(#REF! &lt;=100, "51-100", IF(#REF! &lt;= 150, "101-150", "151+")))</f>
        <v>#REF!</v>
      </c>
      <c r="Y3606" t="e">
        <f>IF(#REF! &lt;= 3, "Low Charges", "High Charges")</f>
        <v>#REF!</v>
      </c>
      <c r="Z3606" t="e">
        <f>IF(#REF!&lt;=80,"Low Calls",
IF(#REF!&lt;=120,"Medium Calls","High Calls"))</f>
        <v>#REF!</v>
      </c>
      <c r="AA3606" t="e">
        <f>IF(#REF!&lt;=15,"Low Charges",
IF(#REF!&lt;=20,"Medium Charges","High Charges"))</f>
        <v>#REF!</v>
      </c>
      <c r="AB3606" t="e">
        <f>IF(AND(#REF!&gt;180, #REF!&gt;200), "Heavy Doemstic User", IF(#REF!&gt;10, "Interntional User", IF(AND(#REF!&lt;180, #REF!&lt;200,#REF!&lt;200), "Light User", "Balanced User")))</f>
        <v>#REF!</v>
      </c>
      <c r="AC3606" t="e">
        <f>IF(#REF! = 0, "No Usage", IF(#REF! &lt;= 20, "Low Usage", IF(#REF! &lt;= 40, "Medium Usgae", "High Usage")))</f>
        <v>#REF!</v>
      </c>
      <c r="AD3606" t="e">
        <f>IF(#REF!&lt;=150,"Low Usage", IF(#REF!&lt;=200,"Medium Usage", IF(#REF!&lt;=250,"High Usage","Very High Usage")))</f>
        <v>#REF!</v>
      </c>
      <c r="AE3606" t="e">
        <f>IF(#REF!&lt;=5,"Low Calls", IF(#REF!&lt;=10, "Medium Calls", "High Calls"))</f>
        <v>#REF!</v>
      </c>
      <c r="AF3606" t="e">
        <f xml:space="preserve">
IF(#REF!&gt;=4,4,0)+
IF(#REF!="yes",3,0)+
IF(#REF!="High Charges",3,0)+
IF(#REF!&gt;250,4,0)+
IF(#REF!="no",1,0)+
IF(#REF!="Heavy Domestic User",2,0)</f>
        <v>#REF!</v>
      </c>
      <c r="AG3606" t="e">
        <f>IF(#REF!&gt;=10,"High Risk", IF(#REF!&gt;=5,"Medium Risk","Low Risk"))</f>
        <v>#REF!</v>
      </c>
      <c r="AH3606" t="e">
        <f>#REF! + #REF! + #REF! + #REF!</f>
        <v>#REF!</v>
      </c>
    </row>
    <row r="3607" spans="1:34" x14ac:dyDescent="0.35">
      <c r="A3607">
        <v>3606</v>
      </c>
      <c r="B3607" t="s">
        <v>29</v>
      </c>
      <c r="C3607">
        <v>86</v>
      </c>
      <c r="D3607" t="s">
        <v>28</v>
      </c>
      <c r="E3607" t="s">
        <v>22</v>
      </c>
      <c r="F3607" t="s">
        <v>22</v>
      </c>
      <c r="G3607">
        <v>0</v>
      </c>
      <c r="H3607">
        <v>223</v>
      </c>
      <c r="I3607">
        <v>109</v>
      </c>
      <c r="J3607">
        <v>37.909999999999997</v>
      </c>
      <c r="K3607">
        <v>286.2</v>
      </c>
      <c r="L3607">
        <v>76</v>
      </c>
      <c r="M3607">
        <v>24.33</v>
      </c>
      <c r="N3607">
        <v>257.8</v>
      </c>
      <c r="O3607">
        <v>132</v>
      </c>
      <c r="P3607">
        <v>11.6</v>
      </c>
      <c r="Q3607">
        <v>7.5</v>
      </c>
      <c r="R3607">
        <v>7</v>
      </c>
      <c r="S3607">
        <v>2.0299999999999998</v>
      </c>
      <c r="T3607">
        <v>3</v>
      </c>
      <c r="U3607" t="s">
        <v>23</v>
      </c>
      <c r="V3607" t="e">
        <f>IF(#REF! = "yes", 1, 0)</f>
        <v>#REF!</v>
      </c>
      <c r="W3607" t="e">
        <f>IF(#REF! &lt;= 1, "0-1 Calls", IF(#REF! &lt;= 3, "2-3 Calls", IF(#REF! &lt;=5, "4-5 Calls", "6+ Calls")))</f>
        <v>#REF!</v>
      </c>
      <c r="X3607" t="e">
        <f>IF(#REF! &lt;= 50, "0-50", IF(#REF! &lt;=100, "51-100", IF(#REF! &lt;= 150, "101-150", "151+")))</f>
        <v>#REF!</v>
      </c>
      <c r="Y3607" t="e">
        <f>IF(#REF! &lt;= 3, "Low Charges", "High Charges")</f>
        <v>#REF!</v>
      </c>
      <c r="Z3607" t="e">
        <f>IF(#REF!&lt;=80,"Low Calls",
IF(#REF!&lt;=120,"Medium Calls","High Calls"))</f>
        <v>#REF!</v>
      </c>
      <c r="AA3607" t="e">
        <f>IF(#REF!&lt;=15,"Low Charges",
IF(#REF!&lt;=20,"Medium Charges","High Charges"))</f>
        <v>#REF!</v>
      </c>
      <c r="AB3607" t="e">
        <f>IF(AND(#REF!&gt;180, #REF!&gt;200), "Heavy Doemstic User", IF(#REF!&gt;10, "Interntional User", IF(AND(#REF!&lt;180, #REF!&lt;200,#REF!&lt;200), "Light User", "Balanced User")))</f>
        <v>#REF!</v>
      </c>
      <c r="AC3607" t="e">
        <f>IF(#REF! = 0, "No Usage", IF(#REF! &lt;= 20, "Low Usage", IF(#REF! &lt;= 40, "Medium Usgae", "High Usage")))</f>
        <v>#REF!</v>
      </c>
      <c r="AD3607" t="e">
        <f>IF(#REF!&lt;=150,"Low Usage", IF(#REF!&lt;=200,"Medium Usage", IF(#REF!&lt;=250,"High Usage","Very High Usage")))</f>
        <v>#REF!</v>
      </c>
      <c r="AE3607" t="e">
        <f>IF(#REF!&lt;=5,"Low Calls", IF(#REF!&lt;=10, "Medium Calls", "High Calls"))</f>
        <v>#REF!</v>
      </c>
      <c r="AF3607" t="e">
        <f xml:space="preserve">
IF(#REF!&gt;=4,4,0)+
IF(#REF!="yes",3,0)+
IF(#REF!="High Charges",3,0)+
IF(#REF!&gt;250,4,0)+
IF(#REF!="no",1,0)+
IF(#REF!="Heavy Domestic User",2,0)</f>
        <v>#REF!</v>
      </c>
      <c r="AG3607" t="e">
        <f>IF(#REF!&gt;=10,"High Risk", IF(#REF!&gt;=5,"Medium Risk","Low Risk"))</f>
        <v>#REF!</v>
      </c>
      <c r="AH3607" t="e">
        <f>#REF! + #REF! + #REF! + #REF!</f>
        <v>#REF!</v>
      </c>
    </row>
    <row r="3608" spans="1:34" x14ac:dyDescent="0.35">
      <c r="A3608">
        <v>3607</v>
      </c>
      <c r="B3608" t="s">
        <v>66</v>
      </c>
      <c r="C3608">
        <v>119</v>
      </c>
      <c r="D3608" t="s">
        <v>28</v>
      </c>
      <c r="E3608" t="s">
        <v>22</v>
      </c>
      <c r="F3608" t="s">
        <v>22</v>
      </c>
      <c r="G3608">
        <v>0</v>
      </c>
      <c r="H3608">
        <v>140</v>
      </c>
      <c r="I3608">
        <v>135</v>
      </c>
      <c r="J3608">
        <v>23.8</v>
      </c>
      <c r="K3608">
        <v>138.9</v>
      </c>
      <c r="L3608">
        <v>103</v>
      </c>
      <c r="M3608">
        <v>11.81</v>
      </c>
      <c r="N3608">
        <v>230.2</v>
      </c>
      <c r="O3608">
        <v>121</v>
      </c>
      <c r="P3608">
        <v>10.36</v>
      </c>
      <c r="Q3608">
        <v>6.1</v>
      </c>
      <c r="R3608">
        <v>6</v>
      </c>
      <c r="S3608">
        <v>1.65</v>
      </c>
      <c r="T3608">
        <v>0</v>
      </c>
      <c r="U3608" t="s">
        <v>22</v>
      </c>
      <c r="V3608" t="e">
        <f>IF(#REF! = "yes", 1, 0)</f>
        <v>#REF!</v>
      </c>
      <c r="W3608" t="e">
        <f>IF(#REF! &lt;= 1, "0-1 Calls", IF(#REF! &lt;= 3, "2-3 Calls", IF(#REF! &lt;=5, "4-5 Calls", "6+ Calls")))</f>
        <v>#REF!</v>
      </c>
      <c r="X3608" t="e">
        <f>IF(#REF! &lt;= 50, "0-50", IF(#REF! &lt;=100, "51-100", IF(#REF! &lt;= 150, "101-150", "151+")))</f>
        <v>#REF!</v>
      </c>
      <c r="Y3608" t="e">
        <f>IF(#REF! &lt;= 3, "Low Charges", "High Charges")</f>
        <v>#REF!</v>
      </c>
      <c r="Z3608" t="e">
        <f>IF(#REF!&lt;=80,"Low Calls",
IF(#REF!&lt;=120,"Medium Calls","High Calls"))</f>
        <v>#REF!</v>
      </c>
      <c r="AA3608" t="e">
        <f>IF(#REF!&lt;=15,"Low Charges",
IF(#REF!&lt;=20,"Medium Charges","High Charges"))</f>
        <v>#REF!</v>
      </c>
      <c r="AB3608" t="e">
        <f>IF(AND(#REF!&gt;180, #REF!&gt;200), "Heavy Doemstic User", IF(#REF!&gt;10, "Interntional User", IF(AND(#REF!&lt;180, #REF!&lt;200,#REF!&lt;200), "Light User", "Balanced User")))</f>
        <v>#REF!</v>
      </c>
      <c r="AC3608" t="e">
        <f>IF(#REF! = 0, "No Usage", IF(#REF! &lt;= 20, "Low Usage", IF(#REF! &lt;= 40, "Medium Usgae", "High Usage")))</f>
        <v>#REF!</v>
      </c>
      <c r="AD3608" t="e">
        <f>IF(#REF!&lt;=150,"Low Usage", IF(#REF!&lt;=200,"Medium Usage", IF(#REF!&lt;=250,"High Usage","Very High Usage")))</f>
        <v>#REF!</v>
      </c>
      <c r="AE3608" t="e">
        <f>IF(#REF!&lt;=5,"Low Calls", IF(#REF!&lt;=10, "Medium Calls", "High Calls"))</f>
        <v>#REF!</v>
      </c>
      <c r="AF3608" t="e">
        <f xml:space="preserve">
IF(#REF!&gt;=4,4,0)+
IF(#REF!="yes",3,0)+
IF(#REF!="High Charges",3,0)+
IF(#REF!&gt;250,4,0)+
IF(#REF!="no",1,0)+
IF(#REF!="Heavy Domestic User",2,0)</f>
        <v>#REF!</v>
      </c>
      <c r="AG3608" t="e">
        <f>IF(#REF!&gt;=10,"High Risk", IF(#REF!&gt;=5,"Medium Risk","Low Risk"))</f>
        <v>#REF!</v>
      </c>
      <c r="AH3608" t="e">
        <f>#REF! + #REF! + #REF! + #REF!</f>
        <v>#REF!</v>
      </c>
    </row>
    <row r="3609" spans="1:34" x14ac:dyDescent="0.35">
      <c r="A3609">
        <v>3608</v>
      </c>
      <c r="B3609" t="s">
        <v>51</v>
      </c>
      <c r="C3609">
        <v>113</v>
      </c>
      <c r="D3609" t="s">
        <v>21</v>
      </c>
      <c r="E3609" t="s">
        <v>22</v>
      </c>
      <c r="F3609" t="s">
        <v>22</v>
      </c>
      <c r="G3609">
        <v>0</v>
      </c>
      <c r="H3609">
        <v>126</v>
      </c>
      <c r="I3609">
        <v>90</v>
      </c>
      <c r="J3609">
        <v>21.42</v>
      </c>
      <c r="K3609">
        <v>205.8</v>
      </c>
      <c r="L3609">
        <v>92</v>
      </c>
      <c r="M3609">
        <v>17.489999999999998</v>
      </c>
      <c r="N3609">
        <v>217</v>
      </c>
      <c r="O3609">
        <v>121</v>
      </c>
      <c r="P3609">
        <v>9.76</v>
      </c>
      <c r="Q3609">
        <v>12.8</v>
      </c>
      <c r="R3609">
        <v>1</v>
      </c>
      <c r="S3609">
        <v>3.46</v>
      </c>
      <c r="T3609">
        <v>0</v>
      </c>
      <c r="U3609" t="s">
        <v>22</v>
      </c>
      <c r="V3609" t="e">
        <f>IF(#REF! = "yes", 1, 0)</f>
        <v>#REF!</v>
      </c>
      <c r="W3609" t="e">
        <f>IF(#REF! &lt;= 1, "0-1 Calls", IF(#REF! &lt;= 3, "2-3 Calls", IF(#REF! &lt;=5, "4-5 Calls", "6+ Calls")))</f>
        <v>#REF!</v>
      </c>
      <c r="X3609" t="e">
        <f>IF(#REF! &lt;= 50, "0-50", IF(#REF! &lt;=100, "51-100", IF(#REF! &lt;= 150, "101-150", "151+")))</f>
        <v>#REF!</v>
      </c>
      <c r="Y3609" t="e">
        <f>IF(#REF! &lt;= 3, "Low Charges", "High Charges")</f>
        <v>#REF!</v>
      </c>
      <c r="Z3609" t="e">
        <f>IF(#REF!&lt;=80,"Low Calls",
IF(#REF!&lt;=120,"Medium Calls","High Calls"))</f>
        <v>#REF!</v>
      </c>
      <c r="AA3609" t="e">
        <f>IF(#REF!&lt;=15,"Low Charges",
IF(#REF!&lt;=20,"Medium Charges","High Charges"))</f>
        <v>#REF!</v>
      </c>
      <c r="AB3609" t="e">
        <f>IF(AND(#REF!&gt;180, #REF!&gt;200), "Heavy Doemstic User", IF(#REF!&gt;10, "Interntional User", IF(AND(#REF!&lt;180, #REF!&lt;200,#REF!&lt;200), "Light User", "Balanced User")))</f>
        <v>#REF!</v>
      </c>
      <c r="AC3609" t="e">
        <f>IF(#REF! = 0, "No Usage", IF(#REF! &lt;= 20, "Low Usage", IF(#REF! &lt;= 40, "Medium Usgae", "High Usage")))</f>
        <v>#REF!</v>
      </c>
      <c r="AD3609" t="e">
        <f>IF(#REF!&lt;=150,"Low Usage", IF(#REF!&lt;=200,"Medium Usage", IF(#REF!&lt;=250,"High Usage","Very High Usage")))</f>
        <v>#REF!</v>
      </c>
      <c r="AE3609" t="e">
        <f>IF(#REF!&lt;=5,"Low Calls", IF(#REF!&lt;=10, "Medium Calls", "High Calls"))</f>
        <v>#REF!</v>
      </c>
      <c r="AF3609" t="e">
        <f xml:space="preserve">
IF(#REF!&gt;=4,4,0)+
IF(#REF!="yes",3,0)+
IF(#REF!="High Charges",3,0)+
IF(#REF!&gt;250,4,0)+
IF(#REF!="no",1,0)+
IF(#REF!="Heavy Domestic User",2,0)</f>
        <v>#REF!</v>
      </c>
      <c r="AG3609" t="e">
        <f>IF(#REF!&gt;=10,"High Risk", IF(#REF!&gt;=5,"Medium Risk","Low Risk"))</f>
        <v>#REF!</v>
      </c>
      <c r="AH3609" t="e">
        <f>#REF! + #REF! + #REF! + #REF!</f>
        <v>#REF!</v>
      </c>
    </row>
    <row r="3610" spans="1:34" x14ac:dyDescent="0.35">
      <c r="A3610">
        <v>3609</v>
      </c>
      <c r="B3610" t="s">
        <v>58</v>
      </c>
      <c r="C3610">
        <v>126</v>
      </c>
      <c r="D3610" t="s">
        <v>21</v>
      </c>
      <c r="E3610" t="s">
        <v>22</v>
      </c>
      <c r="F3610" t="s">
        <v>22</v>
      </c>
      <c r="G3610">
        <v>0</v>
      </c>
      <c r="H3610">
        <v>228.2</v>
      </c>
      <c r="I3610">
        <v>68</v>
      </c>
      <c r="J3610">
        <v>38.79</v>
      </c>
      <c r="K3610">
        <v>170.2</v>
      </c>
      <c r="L3610">
        <v>102</v>
      </c>
      <c r="M3610">
        <v>14.47</v>
      </c>
      <c r="N3610">
        <v>168.9</v>
      </c>
      <c r="O3610">
        <v>72</v>
      </c>
      <c r="P3610">
        <v>7.6</v>
      </c>
      <c r="Q3610">
        <v>10.199999999999999</v>
      </c>
      <c r="R3610">
        <v>6</v>
      </c>
      <c r="S3610">
        <v>2.75</v>
      </c>
      <c r="T3610">
        <v>1</v>
      </c>
      <c r="U3610" t="s">
        <v>22</v>
      </c>
      <c r="V3610" t="e">
        <f>IF(#REF! = "yes", 1, 0)</f>
        <v>#REF!</v>
      </c>
      <c r="W3610" t="e">
        <f>IF(#REF! &lt;= 1, "0-1 Calls", IF(#REF! &lt;= 3, "2-3 Calls", IF(#REF! &lt;=5, "4-5 Calls", "6+ Calls")))</f>
        <v>#REF!</v>
      </c>
      <c r="X3610" t="e">
        <f>IF(#REF! &lt;= 50, "0-50", IF(#REF! &lt;=100, "51-100", IF(#REF! &lt;= 150, "101-150", "151+")))</f>
        <v>#REF!</v>
      </c>
      <c r="Y3610" t="e">
        <f>IF(#REF! &lt;= 3, "Low Charges", "High Charges")</f>
        <v>#REF!</v>
      </c>
      <c r="Z3610" t="e">
        <f>IF(#REF!&lt;=80,"Low Calls",
IF(#REF!&lt;=120,"Medium Calls","High Calls"))</f>
        <v>#REF!</v>
      </c>
      <c r="AA3610" t="e">
        <f>IF(#REF!&lt;=15,"Low Charges",
IF(#REF!&lt;=20,"Medium Charges","High Charges"))</f>
        <v>#REF!</v>
      </c>
      <c r="AB3610" t="e">
        <f>IF(AND(#REF!&gt;180, #REF!&gt;200), "Heavy Doemstic User", IF(#REF!&gt;10, "Interntional User", IF(AND(#REF!&lt;180, #REF!&lt;200,#REF!&lt;200), "Light User", "Balanced User")))</f>
        <v>#REF!</v>
      </c>
      <c r="AC3610" t="e">
        <f>IF(#REF! = 0, "No Usage", IF(#REF! &lt;= 20, "Low Usage", IF(#REF! &lt;= 40, "Medium Usgae", "High Usage")))</f>
        <v>#REF!</v>
      </c>
      <c r="AD3610" t="e">
        <f>IF(#REF!&lt;=150,"Low Usage", IF(#REF!&lt;=200,"Medium Usage", IF(#REF!&lt;=250,"High Usage","Very High Usage")))</f>
        <v>#REF!</v>
      </c>
      <c r="AE3610" t="e">
        <f>IF(#REF!&lt;=5,"Low Calls", IF(#REF!&lt;=10, "Medium Calls", "High Calls"))</f>
        <v>#REF!</v>
      </c>
      <c r="AF3610" t="e">
        <f xml:space="preserve">
IF(#REF!&gt;=4,4,0)+
IF(#REF!="yes",3,0)+
IF(#REF!="High Charges",3,0)+
IF(#REF!&gt;250,4,0)+
IF(#REF!="no",1,0)+
IF(#REF!="Heavy Domestic User",2,0)</f>
        <v>#REF!</v>
      </c>
      <c r="AG3610" t="e">
        <f>IF(#REF!&gt;=10,"High Risk", IF(#REF!&gt;=5,"Medium Risk","Low Risk"))</f>
        <v>#REF!</v>
      </c>
      <c r="AH3610" t="e">
        <f>#REF! + #REF! + #REF! + #REF!</f>
        <v>#REF!</v>
      </c>
    </row>
    <row r="3611" spans="1:34" x14ac:dyDescent="0.35">
      <c r="A3611">
        <v>3610</v>
      </c>
      <c r="B3611" t="s">
        <v>26</v>
      </c>
      <c r="C3611">
        <v>103</v>
      </c>
      <c r="D3611" t="s">
        <v>21</v>
      </c>
      <c r="E3611" t="s">
        <v>22</v>
      </c>
      <c r="F3611" t="s">
        <v>22</v>
      </c>
      <c r="G3611">
        <v>0</v>
      </c>
      <c r="H3611">
        <v>278.39999999999998</v>
      </c>
      <c r="I3611">
        <v>121</v>
      </c>
      <c r="J3611">
        <v>47.33</v>
      </c>
      <c r="K3611">
        <v>252.2</v>
      </c>
      <c r="L3611">
        <v>139</v>
      </c>
      <c r="M3611">
        <v>21.44</v>
      </c>
      <c r="N3611">
        <v>202.3</v>
      </c>
      <c r="O3611">
        <v>96</v>
      </c>
      <c r="P3611">
        <v>9.1</v>
      </c>
      <c r="Q3611">
        <v>13.7</v>
      </c>
      <c r="R3611">
        <v>1</v>
      </c>
      <c r="S3611">
        <v>3.7</v>
      </c>
      <c r="T3611">
        <v>1</v>
      </c>
      <c r="U3611" t="s">
        <v>23</v>
      </c>
      <c r="V3611" t="e">
        <f>IF(#REF! = "yes", 1, 0)</f>
        <v>#REF!</v>
      </c>
      <c r="W3611" t="e">
        <f>IF(#REF! &lt;= 1, "0-1 Calls", IF(#REF! &lt;= 3, "2-3 Calls", IF(#REF! &lt;=5, "4-5 Calls", "6+ Calls")))</f>
        <v>#REF!</v>
      </c>
      <c r="X3611" t="e">
        <f>IF(#REF! &lt;= 50, "0-50", IF(#REF! &lt;=100, "51-100", IF(#REF! &lt;= 150, "101-150", "151+")))</f>
        <v>#REF!</v>
      </c>
      <c r="Y3611" t="e">
        <f>IF(#REF! &lt;= 3, "Low Charges", "High Charges")</f>
        <v>#REF!</v>
      </c>
      <c r="Z3611" t="e">
        <f>IF(#REF!&lt;=80,"Low Calls",
IF(#REF!&lt;=120,"Medium Calls","High Calls"))</f>
        <v>#REF!</v>
      </c>
      <c r="AA3611" t="e">
        <f>IF(#REF!&lt;=15,"Low Charges",
IF(#REF!&lt;=20,"Medium Charges","High Charges"))</f>
        <v>#REF!</v>
      </c>
      <c r="AB3611" t="e">
        <f>IF(AND(#REF!&gt;180, #REF!&gt;200), "Heavy Doemstic User", IF(#REF!&gt;10, "Interntional User", IF(AND(#REF!&lt;180, #REF!&lt;200,#REF!&lt;200), "Light User", "Balanced User")))</f>
        <v>#REF!</v>
      </c>
      <c r="AC3611" t="e">
        <f>IF(#REF! = 0, "No Usage", IF(#REF! &lt;= 20, "Low Usage", IF(#REF! &lt;= 40, "Medium Usgae", "High Usage")))</f>
        <v>#REF!</v>
      </c>
      <c r="AD3611" t="e">
        <f>IF(#REF!&lt;=150,"Low Usage", IF(#REF!&lt;=200,"Medium Usage", IF(#REF!&lt;=250,"High Usage","Very High Usage")))</f>
        <v>#REF!</v>
      </c>
      <c r="AE3611" t="e">
        <f>IF(#REF!&lt;=5,"Low Calls", IF(#REF!&lt;=10, "Medium Calls", "High Calls"))</f>
        <v>#REF!</v>
      </c>
      <c r="AF3611" t="e">
        <f xml:space="preserve">
IF(#REF!&gt;=4,4,0)+
IF(#REF!="yes",3,0)+
IF(#REF!="High Charges",3,0)+
IF(#REF!&gt;250,4,0)+
IF(#REF!="no",1,0)+
IF(#REF!="Heavy Domestic User",2,0)</f>
        <v>#REF!</v>
      </c>
      <c r="AG3611" t="e">
        <f>IF(#REF!&gt;=10,"High Risk", IF(#REF!&gt;=5,"Medium Risk","Low Risk"))</f>
        <v>#REF!</v>
      </c>
      <c r="AH3611" t="e">
        <f>#REF! + #REF! + #REF! + #REF!</f>
        <v>#REF!</v>
      </c>
    </row>
    <row r="3612" spans="1:34" x14ac:dyDescent="0.35">
      <c r="A3612">
        <v>3611</v>
      </c>
      <c r="B3612" t="s">
        <v>27</v>
      </c>
      <c r="C3612">
        <v>104</v>
      </c>
      <c r="D3612" t="s">
        <v>21</v>
      </c>
      <c r="E3612" t="s">
        <v>22</v>
      </c>
      <c r="F3612" t="s">
        <v>22</v>
      </c>
      <c r="G3612">
        <v>0</v>
      </c>
      <c r="H3612">
        <v>285.3</v>
      </c>
      <c r="I3612">
        <v>75</v>
      </c>
      <c r="J3612">
        <v>48.5</v>
      </c>
      <c r="K3612">
        <v>130.80000000000001</v>
      </c>
      <c r="L3612">
        <v>111</v>
      </c>
      <c r="M3612">
        <v>11.12</v>
      </c>
      <c r="N3612">
        <v>181.8</v>
      </c>
      <c r="O3612">
        <v>99</v>
      </c>
      <c r="P3612">
        <v>8.18</v>
      </c>
      <c r="Q3612">
        <v>10.5</v>
      </c>
      <c r="R3612">
        <v>2</v>
      </c>
      <c r="S3612">
        <v>2.84</v>
      </c>
      <c r="T3612">
        <v>2</v>
      </c>
      <c r="U3612" t="s">
        <v>22</v>
      </c>
      <c r="V3612" t="e">
        <f>IF(#REF! = "yes", 1, 0)</f>
        <v>#REF!</v>
      </c>
      <c r="W3612" t="e">
        <f>IF(#REF! &lt;= 1, "0-1 Calls", IF(#REF! &lt;= 3, "2-3 Calls", IF(#REF! &lt;=5, "4-5 Calls", "6+ Calls")))</f>
        <v>#REF!</v>
      </c>
      <c r="X3612" t="e">
        <f>IF(#REF! &lt;= 50, "0-50", IF(#REF! &lt;=100, "51-100", IF(#REF! &lt;= 150, "101-150", "151+")))</f>
        <v>#REF!</v>
      </c>
      <c r="Y3612" t="e">
        <f>IF(#REF! &lt;= 3, "Low Charges", "High Charges")</f>
        <v>#REF!</v>
      </c>
      <c r="Z3612" t="e">
        <f>IF(#REF!&lt;=80,"Low Calls",
IF(#REF!&lt;=120,"Medium Calls","High Calls"))</f>
        <v>#REF!</v>
      </c>
      <c r="AA3612" t="e">
        <f>IF(#REF!&lt;=15,"Low Charges",
IF(#REF!&lt;=20,"Medium Charges","High Charges"))</f>
        <v>#REF!</v>
      </c>
      <c r="AB3612" t="e">
        <f>IF(AND(#REF!&gt;180, #REF!&gt;200), "Heavy Doemstic User", IF(#REF!&gt;10, "Interntional User", IF(AND(#REF!&lt;180, #REF!&lt;200,#REF!&lt;200), "Light User", "Balanced User")))</f>
        <v>#REF!</v>
      </c>
      <c r="AC3612" t="e">
        <f>IF(#REF! = 0, "No Usage", IF(#REF! &lt;= 20, "Low Usage", IF(#REF! &lt;= 40, "Medium Usgae", "High Usage")))</f>
        <v>#REF!</v>
      </c>
      <c r="AD3612" t="e">
        <f>IF(#REF!&lt;=150,"Low Usage", IF(#REF!&lt;=200,"Medium Usage", IF(#REF!&lt;=250,"High Usage","Very High Usage")))</f>
        <v>#REF!</v>
      </c>
      <c r="AE3612" t="e">
        <f>IF(#REF!&lt;=5,"Low Calls", IF(#REF!&lt;=10, "Medium Calls", "High Calls"))</f>
        <v>#REF!</v>
      </c>
      <c r="AF3612" t="e">
        <f xml:space="preserve">
IF(#REF!&gt;=4,4,0)+
IF(#REF!="yes",3,0)+
IF(#REF!="High Charges",3,0)+
IF(#REF!&gt;250,4,0)+
IF(#REF!="no",1,0)+
IF(#REF!="Heavy Domestic User",2,0)</f>
        <v>#REF!</v>
      </c>
      <c r="AG3612" t="e">
        <f>IF(#REF!&gt;=10,"High Risk", IF(#REF!&gt;=5,"Medium Risk","Low Risk"))</f>
        <v>#REF!</v>
      </c>
      <c r="AH3612" t="e">
        <f>#REF! + #REF! + #REF! + #REF!</f>
        <v>#REF!</v>
      </c>
    </row>
    <row r="3613" spans="1:34" x14ac:dyDescent="0.35">
      <c r="A3613">
        <v>3612</v>
      </c>
      <c r="B3613" t="s">
        <v>60</v>
      </c>
      <c r="C3613">
        <v>56</v>
      </c>
      <c r="D3613" t="s">
        <v>21</v>
      </c>
      <c r="E3613" t="s">
        <v>22</v>
      </c>
      <c r="F3613" t="s">
        <v>22</v>
      </c>
      <c r="G3613">
        <v>0</v>
      </c>
      <c r="H3613">
        <v>222.9</v>
      </c>
      <c r="I3613">
        <v>100</v>
      </c>
      <c r="J3613">
        <v>37.89</v>
      </c>
      <c r="K3613">
        <v>145.19999999999999</v>
      </c>
      <c r="L3613">
        <v>110</v>
      </c>
      <c r="M3613">
        <v>12.34</v>
      </c>
      <c r="N3613">
        <v>170.6</v>
      </c>
      <c r="O3613">
        <v>129</v>
      </c>
      <c r="P3613">
        <v>7.68</v>
      </c>
      <c r="Q3613">
        <v>5.6</v>
      </c>
      <c r="R3613">
        <v>8</v>
      </c>
      <c r="S3613">
        <v>1.51</v>
      </c>
      <c r="T3613">
        <v>1</v>
      </c>
      <c r="U3613" t="s">
        <v>22</v>
      </c>
      <c r="V3613" t="e">
        <f>IF(#REF! = "yes", 1, 0)</f>
        <v>#REF!</v>
      </c>
      <c r="W3613" t="e">
        <f>IF(#REF! &lt;= 1, "0-1 Calls", IF(#REF! &lt;= 3, "2-3 Calls", IF(#REF! &lt;=5, "4-5 Calls", "6+ Calls")))</f>
        <v>#REF!</v>
      </c>
      <c r="X3613" t="e">
        <f>IF(#REF! &lt;= 50, "0-50", IF(#REF! &lt;=100, "51-100", IF(#REF! &lt;= 150, "101-150", "151+")))</f>
        <v>#REF!</v>
      </c>
      <c r="Y3613" t="e">
        <f>IF(#REF! &lt;= 3, "Low Charges", "High Charges")</f>
        <v>#REF!</v>
      </c>
      <c r="Z3613" t="e">
        <f>IF(#REF!&lt;=80,"Low Calls",
IF(#REF!&lt;=120,"Medium Calls","High Calls"))</f>
        <v>#REF!</v>
      </c>
      <c r="AA3613" t="e">
        <f>IF(#REF!&lt;=15,"Low Charges",
IF(#REF!&lt;=20,"Medium Charges","High Charges"))</f>
        <v>#REF!</v>
      </c>
      <c r="AB3613" t="e">
        <f>IF(AND(#REF!&gt;180, #REF!&gt;200), "Heavy Doemstic User", IF(#REF!&gt;10, "Interntional User", IF(AND(#REF!&lt;180, #REF!&lt;200,#REF!&lt;200), "Light User", "Balanced User")))</f>
        <v>#REF!</v>
      </c>
      <c r="AC3613" t="e">
        <f>IF(#REF! = 0, "No Usage", IF(#REF! &lt;= 20, "Low Usage", IF(#REF! &lt;= 40, "Medium Usgae", "High Usage")))</f>
        <v>#REF!</v>
      </c>
      <c r="AD3613" t="e">
        <f>IF(#REF!&lt;=150,"Low Usage", IF(#REF!&lt;=200,"Medium Usage", IF(#REF!&lt;=250,"High Usage","Very High Usage")))</f>
        <v>#REF!</v>
      </c>
      <c r="AE3613" t="e">
        <f>IF(#REF!&lt;=5,"Low Calls", IF(#REF!&lt;=10, "Medium Calls", "High Calls"))</f>
        <v>#REF!</v>
      </c>
      <c r="AF3613" t="e">
        <f xml:space="preserve">
IF(#REF!&gt;=4,4,0)+
IF(#REF!="yes",3,0)+
IF(#REF!="High Charges",3,0)+
IF(#REF!&gt;250,4,0)+
IF(#REF!="no",1,0)+
IF(#REF!="Heavy Domestic User",2,0)</f>
        <v>#REF!</v>
      </c>
      <c r="AG3613" t="e">
        <f>IF(#REF!&gt;=10,"High Risk", IF(#REF!&gt;=5,"Medium Risk","Low Risk"))</f>
        <v>#REF!</v>
      </c>
      <c r="AH3613" t="e">
        <f>#REF! + #REF! + #REF! + #REF!</f>
        <v>#REF!</v>
      </c>
    </row>
    <row r="3614" spans="1:34" x14ac:dyDescent="0.35">
      <c r="A3614">
        <v>3613</v>
      </c>
      <c r="B3614" t="s">
        <v>75</v>
      </c>
      <c r="C3614">
        <v>56</v>
      </c>
      <c r="D3614" t="s">
        <v>28</v>
      </c>
      <c r="E3614" t="s">
        <v>22</v>
      </c>
      <c r="F3614" t="s">
        <v>23</v>
      </c>
      <c r="G3614">
        <v>37</v>
      </c>
      <c r="H3614">
        <v>153.69999999999999</v>
      </c>
      <c r="I3614">
        <v>97</v>
      </c>
      <c r="J3614">
        <v>26.13</v>
      </c>
      <c r="K3614">
        <v>271.39999999999998</v>
      </c>
      <c r="L3614">
        <v>91</v>
      </c>
      <c r="M3614">
        <v>23.07</v>
      </c>
      <c r="N3614">
        <v>179</v>
      </c>
      <c r="O3614">
        <v>121</v>
      </c>
      <c r="P3614">
        <v>8.06</v>
      </c>
      <c r="Q3614">
        <v>8.3000000000000007</v>
      </c>
      <c r="R3614">
        <v>2</v>
      </c>
      <c r="S3614">
        <v>2.2400000000000002</v>
      </c>
      <c r="T3614">
        <v>1</v>
      </c>
      <c r="U3614" t="s">
        <v>22</v>
      </c>
      <c r="V3614" t="e">
        <f>IF(#REF! = "yes", 1, 0)</f>
        <v>#REF!</v>
      </c>
      <c r="W3614" t="e">
        <f>IF(#REF! &lt;= 1, "0-1 Calls", IF(#REF! &lt;= 3, "2-3 Calls", IF(#REF! &lt;=5, "4-5 Calls", "6+ Calls")))</f>
        <v>#REF!</v>
      </c>
      <c r="X3614" t="e">
        <f>IF(#REF! &lt;= 50, "0-50", IF(#REF! &lt;=100, "51-100", IF(#REF! &lt;= 150, "101-150", "151+")))</f>
        <v>#REF!</v>
      </c>
      <c r="Y3614" t="e">
        <f>IF(#REF! &lt;= 3, "Low Charges", "High Charges")</f>
        <v>#REF!</v>
      </c>
      <c r="Z3614" t="e">
        <f>IF(#REF!&lt;=80,"Low Calls",
IF(#REF!&lt;=120,"Medium Calls","High Calls"))</f>
        <v>#REF!</v>
      </c>
      <c r="AA3614" t="e">
        <f>IF(#REF!&lt;=15,"Low Charges",
IF(#REF!&lt;=20,"Medium Charges","High Charges"))</f>
        <v>#REF!</v>
      </c>
      <c r="AB3614" t="e">
        <f>IF(AND(#REF!&gt;180, #REF!&gt;200), "Heavy Doemstic User", IF(#REF!&gt;10, "Interntional User", IF(AND(#REF!&lt;180, #REF!&lt;200,#REF!&lt;200), "Light User", "Balanced User")))</f>
        <v>#REF!</v>
      </c>
      <c r="AC3614" t="e">
        <f>IF(#REF! = 0, "No Usage", IF(#REF! &lt;= 20, "Low Usage", IF(#REF! &lt;= 40, "Medium Usgae", "High Usage")))</f>
        <v>#REF!</v>
      </c>
      <c r="AD3614" t="e">
        <f>IF(#REF!&lt;=150,"Low Usage", IF(#REF!&lt;=200,"Medium Usage", IF(#REF!&lt;=250,"High Usage","Very High Usage")))</f>
        <v>#REF!</v>
      </c>
      <c r="AE3614" t="e">
        <f>IF(#REF!&lt;=5,"Low Calls", IF(#REF!&lt;=10, "Medium Calls", "High Calls"))</f>
        <v>#REF!</v>
      </c>
      <c r="AF3614" t="e">
        <f xml:space="preserve">
IF(#REF!&gt;=4,4,0)+
IF(#REF!="yes",3,0)+
IF(#REF!="High Charges",3,0)+
IF(#REF!&gt;250,4,0)+
IF(#REF!="no",1,0)+
IF(#REF!="Heavy Domestic User",2,0)</f>
        <v>#REF!</v>
      </c>
      <c r="AG3614" t="e">
        <f>IF(#REF!&gt;=10,"High Risk", IF(#REF!&gt;=5,"Medium Risk","Low Risk"))</f>
        <v>#REF!</v>
      </c>
      <c r="AH3614" t="e">
        <f>#REF! + #REF! + #REF! + #REF!</f>
        <v>#REF!</v>
      </c>
    </row>
    <row r="3615" spans="1:34" x14ac:dyDescent="0.35">
      <c r="A3615">
        <v>3614</v>
      </c>
      <c r="B3615" t="s">
        <v>42</v>
      </c>
      <c r="C3615">
        <v>155</v>
      </c>
      <c r="D3615" t="s">
        <v>21</v>
      </c>
      <c r="E3615" t="s">
        <v>23</v>
      </c>
      <c r="F3615" t="s">
        <v>22</v>
      </c>
      <c r="G3615">
        <v>0</v>
      </c>
      <c r="H3615">
        <v>176.1</v>
      </c>
      <c r="I3615">
        <v>88</v>
      </c>
      <c r="J3615">
        <v>29.94</v>
      </c>
      <c r="K3615">
        <v>244.5</v>
      </c>
      <c r="L3615">
        <v>84</v>
      </c>
      <c r="M3615">
        <v>20.78</v>
      </c>
      <c r="N3615">
        <v>189.9</v>
      </c>
      <c r="O3615">
        <v>99</v>
      </c>
      <c r="P3615">
        <v>8.5500000000000007</v>
      </c>
      <c r="Q3615">
        <v>11.2</v>
      </c>
      <c r="R3615">
        <v>1</v>
      </c>
      <c r="S3615">
        <v>3.02</v>
      </c>
      <c r="T3615">
        <v>2</v>
      </c>
      <c r="U3615" t="s">
        <v>23</v>
      </c>
      <c r="V3615" t="e">
        <f>IF(#REF! = "yes", 1, 0)</f>
        <v>#REF!</v>
      </c>
      <c r="W3615" t="e">
        <f>IF(#REF! &lt;= 1, "0-1 Calls", IF(#REF! &lt;= 3, "2-3 Calls", IF(#REF! &lt;=5, "4-5 Calls", "6+ Calls")))</f>
        <v>#REF!</v>
      </c>
      <c r="X3615" t="e">
        <f>IF(#REF! &lt;= 50, "0-50", IF(#REF! &lt;=100, "51-100", IF(#REF! &lt;= 150, "101-150", "151+")))</f>
        <v>#REF!</v>
      </c>
      <c r="Y3615" t="e">
        <f>IF(#REF! &lt;= 3, "Low Charges", "High Charges")</f>
        <v>#REF!</v>
      </c>
      <c r="Z3615" t="e">
        <f>IF(#REF!&lt;=80,"Low Calls",
IF(#REF!&lt;=120,"Medium Calls","High Calls"))</f>
        <v>#REF!</v>
      </c>
      <c r="AA3615" t="e">
        <f>IF(#REF!&lt;=15,"Low Charges",
IF(#REF!&lt;=20,"Medium Charges","High Charges"))</f>
        <v>#REF!</v>
      </c>
      <c r="AB3615" t="e">
        <f>IF(AND(#REF!&gt;180, #REF!&gt;200), "Heavy Doemstic User", IF(#REF!&gt;10, "Interntional User", IF(AND(#REF!&lt;180, #REF!&lt;200,#REF!&lt;200), "Light User", "Balanced User")))</f>
        <v>#REF!</v>
      </c>
      <c r="AC3615" t="e">
        <f>IF(#REF! = 0, "No Usage", IF(#REF! &lt;= 20, "Low Usage", IF(#REF! &lt;= 40, "Medium Usgae", "High Usage")))</f>
        <v>#REF!</v>
      </c>
      <c r="AD3615" t="e">
        <f>IF(#REF!&lt;=150,"Low Usage", IF(#REF!&lt;=200,"Medium Usage", IF(#REF!&lt;=250,"High Usage","Very High Usage")))</f>
        <v>#REF!</v>
      </c>
      <c r="AE3615" t="e">
        <f>IF(#REF!&lt;=5,"Low Calls", IF(#REF!&lt;=10, "Medium Calls", "High Calls"))</f>
        <v>#REF!</v>
      </c>
      <c r="AF3615" t="e">
        <f xml:space="preserve">
IF(#REF!&gt;=4,4,0)+
IF(#REF!="yes",3,0)+
IF(#REF!="High Charges",3,0)+
IF(#REF!&gt;250,4,0)+
IF(#REF!="no",1,0)+
IF(#REF!="Heavy Domestic User",2,0)</f>
        <v>#REF!</v>
      </c>
      <c r="AG3615" t="e">
        <f>IF(#REF!&gt;=10,"High Risk", IF(#REF!&gt;=5,"Medium Risk","Low Risk"))</f>
        <v>#REF!</v>
      </c>
      <c r="AH3615" t="e">
        <f>#REF! + #REF! + #REF! + #REF!</f>
        <v>#REF!</v>
      </c>
    </row>
    <row r="3616" spans="1:34" x14ac:dyDescent="0.35">
      <c r="A3616">
        <v>3615</v>
      </c>
      <c r="B3616" t="s">
        <v>43</v>
      </c>
      <c r="C3616">
        <v>100</v>
      </c>
      <c r="D3616" t="s">
        <v>25</v>
      </c>
      <c r="E3616" t="s">
        <v>22</v>
      </c>
      <c r="F3616" t="s">
        <v>23</v>
      </c>
      <c r="G3616">
        <v>41</v>
      </c>
      <c r="H3616">
        <v>306.89999999999998</v>
      </c>
      <c r="I3616">
        <v>71</v>
      </c>
      <c r="J3616">
        <v>52.17</v>
      </c>
      <c r="K3616">
        <v>243.3</v>
      </c>
      <c r="L3616">
        <v>72</v>
      </c>
      <c r="M3616">
        <v>20.68</v>
      </c>
      <c r="N3616">
        <v>125.9</v>
      </c>
      <c r="O3616">
        <v>114</v>
      </c>
      <c r="P3616">
        <v>5.67</v>
      </c>
      <c r="Q3616">
        <v>10.5</v>
      </c>
      <c r="R3616">
        <v>4</v>
      </c>
      <c r="S3616">
        <v>2.84</v>
      </c>
      <c r="T3616">
        <v>2</v>
      </c>
      <c r="U3616" t="s">
        <v>22</v>
      </c>
      <c r="V3616" t="e">
        <f>IF(#REF! = "yes", 1, 0)</f>
        <v>#REF!</v>
      </c>
      <c r="W3616" t="e">
        <f>IF(#REF! &lt;= 1, "0-1 Calls", IF(#REF! &lt;= 3, "2-3 Calls", IF(#REF! &lt;=5, "4-5 Calls", "6+ Calls")))</f>
        <v>#REF!</v>
      </c>
      <c r="X3616" t="e">
        <f>IF(#REF! &lt;= 50, "0-50", IF(#REF! &lt;=100, "51-100", IF(#REF! &lt;= 150, "101-150", "151+")))</f>
        <v>#REF!</v>
      </c>
      <c r="Y3616" t="e">
        <f>IF(#REF! &lt;= 3, "Low Charges", "High Charges")</f>
        <v>#REF!</v>
      </c>
      <c r="Z3616" t="e">
        <f>IF(#REF!&lt;=80,"Low Calls",
IF(#REF!&lt;=120,"Medium Calls","High Calls"))</f>
        <v>#REF!</v>
      </c>
      <c r="AA3616" t="e">
        <f>IF(#REF!&lt;=15,"Low Charges",
IF(#REF!&lt;=20,"Medium Charges","High Charges"))</f>
        <v>#REF!</v>
      </c>
      <c r="AB3616" t="e">
        <f>IF(AND(#REF!&gt;180, #REF!&gt;200), "Heavy Doemstic User", IF(#REF!&gt;10, "Interntional User", IF(AND(#REF!&lt;180, #REF!&lt;200,#REF!&lt;200), "Light User", "Balanced User")))</f>
        <v>#REF!</v>
      </c>
      <c r="AC3616" t="e">
        <f>IF(#REF! = 0, "No Usage", IF(#REF! &lt;= 20, "Low Usage", IF(#REF! &lt;= 40, "Medium Usgae", "High Usage")))</f>
        <v>#REF!</v>
      </c>
      <c r="AD3616" t="e">
        <f>IF(#REF!&lt;=150,"Low Usage", IF(#REF!&lt;=200,"Medium Usage", IF(#REF!&lt;=250,"High Usage","Very High Usage")))</f>
        <v>#REF!</v>
      </c>
      <c r="AE3616" t="e">
        <f>IF(#REF!&lt;=5,"Low Calls", IF(#REF!&lt;=10, "Medium Calls", "High Calls"))</f>
        <v>#REF!</v>
      </c>
      <c r="AF3616" t="e">
        <f xml:space="preserve">
IF(#REF!&gt;=4,4,0)+
IF(#REF!="yes",3,0)+
IF(#REF!="High Charges",3,0)+
IF(#REF!&gt;250,4,0)+
IF(#REF!="no",1,0)+
IF(#REF!="Heavy Domestic User",2,0)</f>
        <v>#REF!</v>
      </c>
      <c r="AG3616" t="e">
        <f>IF(#REF!&gt;=10,"High Risk", IF(#REF!&gt;=5,"Medium Risk","Low Risk"))</f>
        <v>#REF!</v>
      </c>
      <c r="AH3616" t="e">
        <f>#REF! + #REF! + #REF! + #REF!</f>
        <v>#REF!</v>
      </c>
    </row>
    <row r="3617" spans="1:34" x14ac:dyDescent="0.35">
      <c r="A3617">
        <v>3616</v>
      </c>
      <c r="B3617" t="s">
        <v>66</v>
      </c>
      <c r="C3617">
        <v>113</v>
      </c>
      <c r="D3617" t="s">
        <v>25</v>
      </c>
      <c r="E3617" t="s">
        <v>22</v>
      </c>
      <c r="F3617" t="s">
        <v>22</v>
      </c>
      <c r="G3617">
        <v>0</v>
      </c>
      <c r="H3617">
        <v>203.4</v>
      </c>
      <c r="I3617">
        <v>85</v>
      </c>
      <c r="J3617">
        <v>34.58</v>
      </c>
      <c r="K3617">
        <v>219.8</v>
      </c>
      <c r="L3617">
        <v>140</v>
      </c>
      <c r="M3617">
        <v>18.68</v>
      </c>
      <c r="N3617">
        <v>240</v>
      </c>
      <c r="O3617">
        <v>107</v>
      </c>
      <c r="P3617">
        <v>10.8</v>
      </c>
      <c r="Q3617">
        <v>8.3000000000000007</v>
      </c>
      <c r="R3617">
        <v>5</v>
      </c>
      <c r="S3617">
        <v>2.2400000000000002</v>
      </c>
      <c r="T3617">
        <v>1</v>
      </c>
      <c r="U3617" t="s">
        <v>22</v>
      </c>
      <c r="V3617" t="e">
        <f>IF(#REF! = "yes", 1, 0)</f>
        <v>#REF!</v>
      </c>
      <c r="W3617" t="e">
        <f>IF(#REF! &lt;= 1, "0-1 Calls", IF(#REF! &lt;= 3, "2-3 Calls", IF(#REF! &lt;=5, "4-5 Calls", "6+ Calls")))</f>
        <v>#REF!</v>
      </c>
      <c r="X3617" t="e">
        <f>IF(#REF! &lt;= 50, "0-50", IF(#REF! &lt;=100, "51-100", IF(#REF! &lt;= 150, "101-150", "151+")))</f>
        <v>#REF!</v>
      </c>
      <c r="Y3617" t="e">
        <f>IF(#REF! &lt;= 3, "Low Charges", "High Charges")</f>
        <v>#REF!</v>
      </c>
      <c r="Z3617" t="e">
        <f>IF(#REF!&lt;=80,"Low Calls",
IF(#REF!&lt;=120,"Medium Calls","High Calls"))</f>
        <v>#REF!</v>
      </c>
      <c r="AA3617" t="e">
        <f>IF(#REF!&lt;=15,"Low Charges",
IF(#REF!&lt;=20,"Medium Charges","High Charges"))</f>
        <v>#REF!</v>
      </c>
      <c r="AB3617" t="e">
        <f>IF(AND(#REF!&gt;180, #REF!&gt;200), "Heavy Doemstic User", IF(#REF!&gt;10, "Interntional User", IF(AND(#REF!&lt;180, #REF!&lt;200,#REF!&lt;200), "Light User", "Balanced User")))</f>
        <v>#REF!</v>
      </c>
      <c r="AC3617" t="e">
        <f>IF(#REF! = 0, "No Usage", IF(#REF! &lt;= 20, "Low Usage", IF(#REF! &lt;= 40, "Medium Usgae", "High Usage")))</f>
        <v>#REF!</v>
      </c>
      <c r="AD3617" t="e">
        <f>IF(#REF!&lt;=150,"Low Usage", IF(#REF!&lt;=200,"Medium Usage", IF(#REF!&lt;=250,"High Usage","Very High Usage")))</f>
        <v>#REF!</v>
      </c>
      <c r="AE3617" t="e">
        <f>IF(#REF!&lt;=5,"Low Calls", IF(#REF!&lt;=10, "Medium Calls", "High Calls"))</f>
        <v>#REF!</v>
      </c>
      <c r="AF3617" t="e">
        <f xml:space="preserve">
IF(#REF!&gt;=4,4,0)+
IF(#REF!="yes",3,0)+
IF(#REF!="High Charges",3,0)+
IF(#REF!&gt;250,4,0)+
IF(#REF!="no",1,0)+
IF(#REF!="Heavy Domestic User",2,0)</f>
        <v>#REF!</v>
      </c>
      <c r="AG3617" t="e">
        <f>IF(#REF!&gt;=10,"High Risk", IF(#REF!&gt;=5,"Medium Risk","Low Risk"))</f>
        <v>#REF!</v>
      </c>
      <c r="AH3617" t="e">
        <f>#REF! + #REF! + #REF! + #REF!</f>
        <v>#REF!</v>
      </c>
    </row>
    <row r="3618" spans="1:34" x14ac:dyDescent="0.35">
      <c r="A3618">
        <v>3617</v>
      </c>
      <c r="B3618" t="s">
        <v>29</v>
      </c>
      <c r="C3618">
        <v>103</v>
      </c>
      <c r="D3618" t="s">
        <v>21</v>
      </c>
      <c r="E3618" t="s">
        <v>22</v>
      </c>
      <c r="F3618" t="s">
        <v>23</v>
      </c>
      <c r="G3618">
        <v>37</v>
      </c>
      <c r="H3618">
        <v>230.7</v>
      </c>
      <c r="I3618">
        <v>112</v>
      </c>
      <c r="J3618">
        <v>39.22</v>
      </c>
      <c r="K3618">
        <v>319.39999999999998</v>
      </c>
      <c r="L3618">
        <v>116</v>
      </c>
      <c r="M3618">
        <v>27.15</v>
      </c>
      <c r="N3618">
        <v>299.39999999999998</v>
      </c>
      <c r="O3618">
        <v>77</v>
      </c>
      <c r="P3618">
        <v>13.47</v>
      </c>
      <c r="Q3618">
        <v>7.9</v>
      </c>
      <c r="R3618">
        <v>3</v>
      </c>
      <c r="S3618">
        <v>2.13</v>
      </c>
      <c r="T3618">
        <v>2</v>
      </c>
      <c r="U3618" t="s">
        <v>22</v>
      </c>
      <c r="V3618" t="e">
        <f>IF(#REF! = "yes", 1, 0)</f>
        <v>#REF!</v>
      </c>
      <c r="W3618" t="e">
        <f>IF(#REF! &lt;= 1, "0-1 Calls", IF(#REF! &lt;= 3, "2-3 Calls", IF(#REF! &lt;=5, "4-5 Calls", "6+ Calls")))</f>
        <v>#REF!</v>
      </c>
      <c r="X3618" t="e">
        <f>IF(#REF! &lt;= 50, "0-50", IF(#REF! &lt;=100, "51-100", IF(#REF! &lt;= 150, "101-150", "151+")))</f>
        <v>#REF!</v>
      </c>
      <c r="Y3618" t="e">
        <f>IF(#REF! &lt;= 3, "Low Charges", "High Charges")</f>
        <v>#REF!</v>
      </c>
      <c r="Z3618" t="e">
        <f>IF(#REF!&lt;=80,"Low Calls",
IF(#REF!&lt;=120,"Medium Calls","High Calls"))</f>
        <v>#REF!</v>
      </c>
      <c r="AA3618" t="e">
        <f>IF(#REF!&lt;=15,"Low Charges",
IF(#REF!&lt;=20,"Medium Charges","High Charges"))</f>
        <v>#REF!</v>
      </c>
      <c r="AB3618" t="e">
        <f>IF(AND(#REF!&gt;180, #REF!&gt;200), "Heavy Doemstic User", IF(#REF!&gt;10, "Interntional User", IF(AND(#REF!&lt;180, #REF!&lt;200,#REF!&lt;200), "Light User", "Balanced User")))</f>
        <v>#REF!</v>
      </c>
      <c r="AC3618" t="e">
        <f>IF(#REF! = 0, "No Usage", IF(#REF! &lt;= 20, "Low Usage", IF(#REF! &lt;= 40, "Medium Usgae", "High Usage")))</f>
        <v>#REF!</v>
      </c>
      <c r="AD3618" t="e">
        <f>IF(#REF!&lt;=150,"Low Usage", IF(#REF!&lt;=200,"Medium Usage", IF(#REF!&lt;=250,"High Usage","Very High Usage")))</f>
        <v>#REF!</v>
      </c>
      <c r="AE3618" t="e">
        <f>IF(#REF!&lt;=5,"Low Calls", IF(#REF!&lt;=10, "Medium Calls", "High Calls"))</f>
        <v>#REF!</v>
      </c>
      <c r="AF3618" t="e">
        <f xml:space="preserve">
IF(#REF!&gt;=4,4,0)+
IF(#REF!="yes",3,0)+
IF(#REF!="High Charges",3,0)+
IF(#REF!&gt;250,4,0)+
IF(#REF!="no",1,0)+
IF(#REF!="Heavy Domestic User",2,0)</f>
        <v>#REF!</v>
      </c>
      <c r="AG3618" t="e">
        <f>IF(#REF!&gt;=10,"High Risk", IF(#REF!&gt;=5,"Medium Risk","Low Risk"))</f>
        <v>#REF!</v>
      </c>
      <c r="AH3618" t="e">
        <f>#REF! + #REF! + #REF! + #REF!</f>
        <v>#REF!</v>
      </c>
    </row>
    <row r="3619" spans="1:34" x14ac:dyDescent="0.35">
      <c r="A3619">
        <v>3618</v>
      </c>
      <c r="B3619" t="s">
        <v>24</v>
      </c>
      <c r="C3619">
        <v>160</v>
      </c>
      <c r="D3619" t="s">
        <v>21</v>
      </c>
      <c r="E3619" t="s">
        <v>22</v>
      </c>
      <c r="F3619" t="s">
        <v>22</v>
      </c>
      <c r="G3619">
        <v>0</v>
      </c>
      <c r="H3619">
        <v>118.9</v>
      </c>
      <c r="I3619">
        <v>106</v>
      </c>
      <c r="J3619">
        <v>20.21</v>
      </c>
      <c r="K3619">
        <v>163.5</v>
      </c>
      <c r="L3619">
        <v>75</v>
      </c>
      <c r="M3619">
        <v>13.9</v>
      </c>
      <c r="N3619">
        <v>195</v>
      </c>
      <c r="O3619">
        <v>131</v>
      </c>
      <c r="P3619">
        <v>8.7799999999999994</v>
      </c>
      <c r="Q3619">
        <v>13.1</v>
      </c>
      <c r="R3619">
        <v>4</v>
      </c>
      <c r="S3619">
        <v>3.54</v>
      </c>
      <c r="T3619">
        <v>0</v>
      </c>
      <c r="U3619" t="s">
        <v>22</v>
      </c>
      <c r="V3619" t="e">
        <f>IF(#REF! = "yes", 1, 0)</f>
        <v>#REF!</v>
      </c>
      <c r="W3619" t="e">
        <f>IF(#REF! &lt;= 1, "0-1 Calls", IF(#REF! &lt;= 3, "2-3 Calls", IF(#REF! &lt;=5, "4-5 Calls", "6+ Calls")))</f>
        <v>#REF!</v>
      </c>
      <c r="X3619" t="e">
        <f>IF(#REF! &lt;= 50, "0-50", IF(#REF! &lt;=100, "51-100", IF(#REF! &lt;= 150, "101-150", "151+")))</f>
        <v>#REF!</v>
      </c>
      <c r="Y3619" t="e">
        <f>IF(#REF! &lt;= 3, "Low Charges", "High Charges")</f>
        <v>#REF!</v>
      </c>
      <c r="Z3619" t="e">
        <f>IF(#REF!&lt;=80,"Low Calls",
IF(#REF!&lt;=120,"Medium Calls","High Calls"))</f>
        <v>#REF!</v>
      </c>
      <c r="AA3619" t="e">
        <f>IF(#REF!&lt;=15,"Low Charges",
IF(#REF!&lt;=20,"Medium Charges","High Charges"))</f>
        <v>#REF!</v>
      </c>
      <c r="AB3619" t="e">
        <f>IF(AND(#REF!&gt;180, #REF!&gt;200), "Heavy Doemstic User", IF(#REF!&gt;10, "Interntional User", IF(AND(#REF!&lt;180, #REF!&lt;200,#REF!&lt;200), "Light User", "Balanced User")))</f>
        <v>#REF!</v>
      </c>
      <c r="AC3619" t="e">
        <f>IF(#REF! = 0, "No Usage", IF(#REF! &lt;= 20, "Low Usage", IF(#REF! &lt;= 40, "Medium Usgae", "High Usage")))</f>
        <v>#REF!</v>
      </c>
      <c r="AD3619" t="e">
        <f>IF(#REF!&lt;=150,"Low Usage", IF(#REF!&lt;=200,"Medium Usage", IF(#REF!&lt;=250,"High Usage","Very High Usage")))</f>
        <v>#REF!</v>
      </c>
      <c r="AE3619" t="e">
        <f>IF(#REF!&lt;=5,"Low Calls", IF(#REF!&lt;=10, "Medium Calls", "High Calls"))</f>
        <v>#REF!</v>
      </c>
      <c r="AF3619" t="e">
        <f xml:space="preserve">
IF(#REF!&gt;=4,4,0)+
IF(#REF!="yes",3,0)+
IF(#REF!="High Charges",3,0)+
IF(#REF!&gt;250,4,0)+
IF(#REF!="no",1,0)+
IF(#REF!="Heavy Domestic User",2,0)</f>
        <v>#REF!</v>
      </c>
      <c r="AG3619" t="e">
        <f>IF(#REF!&gt;=10,"High Risk", IF(#REF!&gt;=5,"Medium Risk","Low Risk"))</f>
        <v>#REF!</v>
      </c>
      <c r="AH3619" t="e">
        <f>#REF! + #REF! + #REF! + #REF!</f>
        <v>#REF!</v>
      </c>
    </row>
    <row r="3620" spans="1:34" x14ac:dyDescent="0.35">
      <c r="A3620">
        <v>3619</v>
      </c>
      <c r="B3620" t="s">
        <v>44</v>
      </c>
      <c r="C3620">
        <v>142</v>
      </c>
      <c r="D3620" t="s">
        <v>25</v>
      </c>
      <c r="E3620" t="s">
        <v>22</v>
      </c>
      <c r="F3620" t="s">
        <v>23</v>
      </c>
      <c r="G3620">
        <v>34</v>
      </c>
      <c r="H3620">
        <v>219.5</v>
      </c>
      <c r="I3620">
        <v>85</v>
      </c>
      <c r="J3620">
        <v>37.32</v>
      </c>
      <c r="K3620">
        <v>144</v>
      </c>
      <c r="L3620">
        <v>120</v>
      </c>
      <c r="M3620">
        <v>12.24</v>
      </c>
      <c r="N3620">
        <v>258.2</v>
      </c>
      <c r="O3620">
        <v>84</v>
      </c>
      <c r="P3620">
        <v>11.62</v>
      </c>
      <c r="Q3620">
        <v>7</v>
      </c>
      <c r="R3620">
        <v>3</v>
      </c>
      <c r="S3620">
        <v>1.89</v>
      </c>
      <c r="T3620">
        <v>1</v>
      </c>
      <c r="U3620" t="s">
        <v>22</v>
      </c>
      <c r="V3620" t="e">
        <f>IF(#REF! = "yes", 1, 0)</f>
        <v>#REF!</v>
      </c>
      <c r="W3620" t="e">
        <f>IF(#REF! &lt;= 1, "0-1 Calls", IF(#REF! &lt;= 3, "2-3 Calls", IF(#REF! &lt;=5, "4-5 Calls", "6+ Calls")))</f>
        <v>#REF!</v>
      </c>
      <c r="X3620" t="e">
        <f>IF(#REF! &lt;= 50, "0-50", IF(#REF! &lt;=100, "51-100", IF(#REF! &lt;= 150, "101-150", "151+")))</f>
        <v>#REF!</v>
      </c>
      <c r="Y3620" t="e">
        <f>IF(#REF! &lt;= 3, "Low Charges", "High Charges")</f>
        <v>#REF!</v>
      </c>
      <c r="Z3620" t="e">
        <f>IF(#REF!&lt;=80,"Low Calls",
IF(#REF!&lt;=120,"Medium Calls","High Calls"))</f>
        <v>#REF!</v>
      </c>
      <c r="AA3620" t="e">
        <f>IF(#REF!&lt;=15,"Low Charges",
IF(#REF!&lt;=20,"Medium Charges","High Charges"))</f>
        <v>#REF!</v>
      </c>
      <c r="AB3620" t="e">
        <f>IF(AND(#REF!&gt;180, #REF!&gt;200), "Heavy Doemstic User", IF(#REF!&gt;10, "Interntional User", IF(AND(#REF!&lt;180, #REF!&lt;200,#REF!&lt;200), "Light User", "Balanced User")))</f>
        <v>#REF!</v>
      </c>
      <c r="AC3620" t="e">
        <f>IF(#REF! = 0, "No Usage", IF(#REF! &lt;= 20, "Low Usage", IF(#REF! &lt;= 40, "Medium Usgae", "High Usage")))</f>
        <v>#REF!</v>
      </c>
      <c r="AD3620" t="e">
        <f>IF(#REF!&lt;=150,"Low Usage", IF(#REF!&lt;=200,"Medium Usage", IF(#REF!&lt;=250,"High Usage","Very High Usage")))</f>
        <v>#REF!</v>
      </c>
      <c r="AE3620" t="e">
        <f>IF(#REF!&lt;=5,"Low Calls", IF(#REF!&lt;=10, "Medium Calls", "High Calls"))</f>
        <v>#REF!</v>
      </c>
      <c r="AF3620" t="e">
        <f xml:space="preserve">
IF(#REF!&gt;=4,4,0)+
IF(#REF!="yes",3,0)+
IF(#REF!="High Charges",3,0)+
IF(#REF!&gt;250,4,0)+
IF(#REF!="no",1,0)+
IF(#REF!="Heavy Domestic User",2,0)</f>
        <v>#REF!</v>
      </c>
      <c r="AG3620" t="e">
        <f>IF(#REF!&gt;=10,"High Risk", IF(#REF!&gt;=5,"Medium Risk","Low Risk"))</f>
        <v>#REF!</v>
      </c>
      <c r="AH3620" t="e">
        <f>#REF! + #REF! + #REF! + #REF!</f>
        <v>#REF!</v>
      </c>
    </row>
    <row r="3621" spans="1:34" x14ac:dyDescent="0.35">
      <c r="A3621">
        <v>3620</v>
      </c>
      <c r="B3621" t="s">
        <v>26</v>
      </c>
      <c r="C3621">
        <v>73</v>
      </c>
      <c r="D3621" t="s">
        <v>21</v>
      </c>
      <c r="E3621" t="s">
        <v>23</v>
      </c>
      <c r="F3621" t="s">
        <v>23</v>
      </c>
      <c r="G3621">
        <v>34</v>
      </c>
      <c r="H3621">
        <v>252.9</v>
      </c>
      <c r="I3621">
        <v>103</v>
      </c>
      <c r="J3621">
        <v>42.99</v>
      </c>
      <c r="K3621">
        <v>220.1</v>
      </c>
      <c r="L3621">
        <v>79</v>
      </c>
      <c r="M3621">
        <v>18.71</v>
      </c>
      <c r="N3621">
        <v>144.9</v>
      </c>
      <c r="O3621">
        <v>65</v>
      </c>
      <c r="P3621">
        <v>6.52</v>
      </c>
      <c r="Q3621">
        <v>11.4</v>
      </c>
      <c r="R3621">
        <v>3</v>
      </c>
      <c r="S3621">
        <v>3.08</v>
      </c>
      <c r="T3621">
        <v>0</v>
      </c>
      <c r="U3621" t="s">
        <v>22</v>
      </c>
      <c r="V3621" t="e">
        <f>IF(#REF! = "yes", 1, 0)</f>
        <v>#REF!</v>
      </c>
      <c r="W3621" t="e">
        <f>IF(#REF! &lt;= 1, "0-1 Calls", IF(#REF! &lt;= 3, "2-3 Calls", IF(#REF! &lt;=5, "4-5 Calls", "6+ Calls")))</f>
        <v>#REF!</v>
      </c>
      <c r="X3621" t="e">
        <f>IF(#REF! &lt;= 50, "0-50", IF(#REF! &lt;=100, "51-100", IF(#REF! &lt;= 150, "101-150", "151+")))</f>
        <v>#REF!</v>
      </c>
      <c r="Y3621" t="e">
        <f>IF(#REF! &lt;= 3, "Low Charges", "High Charges")</f>
        <v>#REF!</v>
      </c>
      <c r="Z3621" t="e">
        <f>IF(#REF!&lt;=80,"Low Calls",
IF(#REF!&lt;=120,"Medium Calls","High Calls"))</f>
        <v>#REF!</v>
      </c>
      <c r="AA3621" t="e">
        <f>IF(#REF!&lt;=15,"Low Charges",
IF(#REF!&lt;=20,"Medium Charges","High Charges"))</f>
        <v>#REF!</v>
      </c>
      <c r="AB3621" t="e">
        <f>IF(AND(#REF!&gt;180, #REF!&gt;200), "Heavy Doemstic User", IF(#REF!&gt;10, "Interntional User", IF(AND(#REF!&lt;180, #REF!&lt;200,#REF!&lt;200), "Light User", "Balanced User")))</f>
        <v>#REF!</v>
      </c>
      <c r="AC3621" t="e">
        <f>IF(#REF! = 0, "No Usage", IF(#REF! &lt;= 20, "Low Usage", IF(#REF! &lt;= 40, "Medium Usgae", "High Usage")))</f>
        <v>#REF!</v>
      </c>
      <c r="AD3621" t="e">
        <f>IF(#REF!&lt;=150,"Low Usage", IF(#REF!&lt;=200,"Medium Usage", IF(#REF!&lt;=250,"High Usage","Very High Usage")))</f>
        <v>#REF!</v>
      </c>
      <c r="AE3621" t="e">
        <f>IF(#REF!&lt;=5,"Low Calls", IF(#REF!&lt;=10, "Medium Calls", "High Calls"))</f>
        <v>#REF!</v>
      </c>
      <c r="AF3621" t="e">
        <f xml:space="preserve">
IF(#REF!&gt;=4,4,0)+
IF(#REF!="yes",3,0)+
IF(#REF!="High Charges",3,0)+
IF(#REF!&gt;250,4,0)+
IF(#REF!="no",1,0)+
IF(#REF!="Heavy Domestic User",2,0)</f>
        <v>#REF!</v>
      </c>
      <c r="AG3621" t="e">
        <f>IF(#REF!&gt;=10,"High Risk", IF(#REF!&gt;=5,"Medium Risk","Low Risk"))</f>
        <v>#REF!</v>
      </c>
      <c r="AH3621" t="e">
        <f>#REF! + #REF! + #REF! + #REF!</f>
        <v>#REF!</v>
      </c>
    </row>
    <row r="3622" spans="1:34" x14ac:dyDescent="0.35">
      <c r="A3622">
        <v>3621</v>
      </c>
      <c r="B3622" t="s">
        <v>73</v>
      </c>
      <c r="C3622">
        <v>135</v>
      </c>
      <c r="D3622" t="s">
        <v>21</v>
      </c>
      <c r="E3622" t="s">
        <v>22</v>
      </c>
      <c r="F3622" t="s">
        <v>23</v>
      </c>
      <c r="G3622">
        <v>46</v>
      </c>
      <c r="H3622">
        <v>172.6</v>
      </c>
      <c r="I3622">
        <v>77</v>
      </c>
      <c r="J3622">
        <v>29.34</v>
      </c>
      <c r="K3622">
        <v>203.4</v>
      </c>
      <c r="L3622">
        <v>102</v>
      </c>
      <c r="M3622">
        <v>17.29</v>
      </c>
      <c r="N3622">
        <v>264.2</v>
      </c>
      <c r="O3622">
        <v>108</v>
      </c>
      <c r="P3622">
        <v>11.89</v>
      </c>
      <c r="Q3622">
        <v>10.4</v>
      </c>
      <c r="R3622">
        <v>2</v>
      </c>
      <c r="S3622">
        <v>2.81</v>
      </c>
      <c r="T3622">
        <v>1</v>
      </c>
      <c r="U3622" t="s">
        <v>22</v>
      </c>
      <c r="V3622" t="e">
        <f>IF(#REF! = "yes", 1, 0)</f>
        <v>#REF!</v>
      </c>
      <c r="W3622" t="e">
        <f>IF(#REF! &lt;= 1, "0-1 Calls", IF(#REF! &lt;= 3, "2-3 Calls", IF(#REF! &lt;=5, "4-5 Calls", "6+ Calls")))</f>
        <v>#REF!</v>
      </c>
      <c r="X3622" t="e">
        <f>IF(#REF! &lt;= 50, "0-50", IF(#REF! &lt;=100, "51-100", IF(#REF! &lt;= 150, "101-150", "151+")))</f>
        <v>#REF!</v>
      </c>
      <c r="Y3622" t="e">
        <f>IF(#REF! &lt;= 3, "Low Charges", "High Charges")</f>
        <v>#REF!</v>
      </c>
      <c r="Z3622" t="e">
        <f>IF(#REF!&lt;=80,"Low Calls",
IF(#REF!&lt;=120,"Medium Calls","High Calls"))</f>
        <v>#REF!</v>
      </c>
      <c r="AA3622" t="e">
        <f>IF(#REF!&lt;=15,"Low Charges",
IF(#REF!&lt;=20,"Medium Charges","High Charges"))</f>
        <v>#REF!</v>
      </c>
      <c r="AB3622" t="e">
        <f>IF(AND(#REF!&gt;180, #REF!&gt;200), "Heavy Doemstic User", IF(#REF!&gt;10, "Interntional User", IF(AND(#REF!&lt;180, #REF!&lt;200,#REF!&lt;200), "Light User", "Balanced User")))</f>
        <v>#REF!</v>
      </c>
      <c r="AC3622" t="e">
        <f>IF(#REF! = 0, "No Usage", IF(#REF! &lt;= 20, "Low Usage", IF(#REF! &lt;= 40, "Medium Usgae", "High Usage")))</f>
        <v>#REF!</v>
      </c>
      <c r="AD3622" t="e">
        <f>IF(#REF!&lt;=150,"Low Usage", IF(#REF!&lt;=200,"Medium Usage", IF(#REF!&lt;=250,"High Usage","Very High Usage")))</f>
        <v>#REF!</v>
      </c>
      <c r="AE3622" t="e">
        <f>IF(#REF!&lt;=5,"Low Calls", IF(#REF!&lt;=10, "Medium Calls", "High Calls"))</f>
        <v>#REF!</v>
      </c>
      <c r="AF3622" t="e">
        <f xml:space="preserve">
IF(#REF!&gt;=4,4,0)+
IF(#REF!="yes",3,0)+
IF(#REF!="High Charges",3,0)+
IF(#REF!&gt;250,4,0)+
IF(#REF!="no",1,0)+
IF(#REF!="Heavy Domestic User",2,0)</f>
        <v>#REF!</v>
      </c>
      <c r="AG3622" t="e">
        <f>IF(#REF!&gt;=10,"High Risk", IF(#REF!&gt;=5,"Medium Risk","Low Risk"))</f>
        <v>#REF!</v>
      </c>
      <c r="AH3622" t="e">
        <f>#REF! + #REF! + #REF! + #REF!</f>
        <v>#REF!</v>
      </c>
    </row>
    <row r="3623" spans="1:34" x14ac:dyDescent="0.35">
      <c r="A3623">
        <v>3622</v>
      </c>
      <c r="B3623" t="s">
        <v>61</v>
      </c>
      <c r="C3623">
        <v>29</v>
      </c>
      <c r="D3623" t="s">
        <v>21</v>
      </c>
      <c r="E3623" t="s">
        <v>22</v>
      </c>
      <c r="F3623" t="s">
        <v>22</v>
      </c>
      <c r="G3623">
        <v>0</v>
      </c>
      <c r="H3623">
        <v>262</v>
      </c>
      <c r="I3623">
        <v>112</v>
      </c>
      <c r="J3623">
        <v>44.54</v>
      </c>
      <c r="K3623">
        <v>82.7</v>
      </c>
      <c r="L3623">
        <v>60</v>
      </c>
      <c r="M3623">
        <v>7.03</v>
      </c>
      <c r="N3623">
        <v>195.1</v>
      </c>
      <c r="O3623">
        <v>120</v>
      </c>
      <c r="P3623">
        <v>8.7799999999999994</v>
      </c>
      <c r="Q3623">
        <v>10.7</v>
      </c>
      <c r="R3623">
        <v>5</v>
      </c>
      <c r="S3623">
        <v>2.89</v>
      </c>
      <c r="T3623">
        <v>1</v>
      </c>
      <c r="U3623" t="s">
        <v>22</v>
      </c>
      <c r="V3623" t="e">
        <f>IF(#REF! = "yes", 1, 0)</f>
        <v>#REF!</v>
      </c>
      <c r="W3623" t="e">
        <f>IF(#REF! &lt;= 1, "0-1 Calls", IF(#REF! &lt;= 3, "2-3 Calls", IF(#REF! &lt;=5, "4-5 Calls", "6+ Calls")))</f>
        <v>#REF!</v>
      </c>
      <c r="X3623" t="e">
        <f>IF(#REF! &lt;= 50, "0-50", IF(#REF! &lt;=100, "51-100", IF(#REF! &lt;= 150, "101-150", "151+")))</f>
        <v>#REF!</v>
      </c>
      <c r="Y3623" t="e">
        <f>IF(#REF! &lt;= 3, "Low Charges", "High Charges")</f>
        <v>#REF!</v>
      </c>
      <c r="Z3623" t="e">
        <f>IF(#REF!&lt;=80,"Low Calls",
IF(#REF!&lt;=120,"Medium Calls","High Calls"))</f>
        <v>#REF!</v>
      </c>
      <c r="AA3623" t="e">
        <f>IF(#REF!&lt;=15,"Low Charges",
IF(#REF!&lt;=20,"Medium Charges","High Charges"))</f>
        <v>#REF!</v>
      </c>
      <c r="AB3623" t="e">
        <f>IF(AND(#REF!&gt;180, #REF!&gt;200), "Heavy Doemstic User", IF(#REF!&gt;10, "Interntional User", IF(AND(#REF!&lt;180, #REF!&lt;200,#REF!&lt;200), "Light User", "Balanced User")))</f>
        <v>#REF!</v>
      </c>
      <c r="AC3623" t="e">
        <f>IF(#REF! = 0, "No Usage", IF(#REF! &lt;= 20, "Low Usage", IF(#REF! &lt;= 40, "Medium Usgae", "High Usage")))</f>
        <v>#REF!</v>
      </c>
      <c r="AD3623" t="e">
        <f>IF(#REF!&lt;=150,"Low Usage", IF(#REF!&lt;=200,"Medium Usage", IF(#REF!&lt;=250,"High Usage","Very High Usage")))</f>
        <v>#REF!</v>
      </c>
      <c r="AE3623" t="e">
        <f>IF(#REF!&lt;=5,"Low Calls", IF(#REF!&lt;=10, "Medium Calls", "High Calls"))</f>
        <v>#REF!</v>
      </c>
      <c r="AF3623" t="e">
        <f xml:space="preserve">
IF(#REF!&gt;=4,4,0)+
IF(#REF!="yes",3,0)+
IF(#REF!="High Charges",3,0)+
IF(#REF!&gt;250,4,0)+
IF(#REF!="no",1,0)+
IF(#REF!="Heavy Domestic User",2,0)</f>
        <v>#REF!</v>
      </c>
      <c r="AG3623" t="e">
        <f>IF(#REF!&gt;=10,"High Risk", IF(#REF!&gt;=5,"Medium Risk","Low Risk"))</f>
        <v>#REF!</v>
      </c>
      <c r="AH3623" t="e">
        <f>#REF! + #REF! + #REF! + #REF!</f>
        <v>#REF!</v>
      </c>
    </row>
    <row r="3624" spans="1:34" x14ac:dyDescent="0.35">
      <c r="A3624">
        <v>3623</v>
      </c>
      <c r="B3624" t="s">
        <v>40</v>
      </c>
      <c r="C3624">
        <v>158</v>
      </c>
      <c r="D3624" t="s">
        <v>21</v>
      </c>
      <c r="E3624" t="s">
        <v>22</v>
      </c>
      <c r="F3624" t="s">
        <v>22</v>
      </c>
      <c r="G3624">
        <v>0</v>
      </c>
      <c r="H3624">
        <v>123.3</v>
      </c>
      <c r="I3624">
        <v>115</v>
      </c>
      <c r="J3624">
        <v>20.96</v>
      </c>
      <c r="K3624">
        <v>130.4</v>
      </c>
      <c r="L3624">
        <v>91</v>
      </c>
      <c r="M3624">
        <v>11.08</v>
      </c>
      <c r="N3624">
        <v>243.7</v>
      </c>
      <c r="O3624">
        <v>119</v>
      </c>
      <c r="P3624">
        <v>10.97</v>
      </c>
      <c r="Q3624">
        <v>11.2</v>
      </c>
      <c r="R3624">
        <v>3</v>
      </c>
      <c r="S3624">
        <v>3.02</v>
      </c>
      <c r="T3624">
        <v>3</v>
      </c>
      <c r="U3624" t="s">
        <v>22</v>
      </c>
      <c r="V3624" t="e">
        <f>IF(#REF! = "yes", 1, 0)</f>
        <v>#REF!</v>
      </c>
      <c r="W3624" t="e">
        <f>IF(#REF! &lt;= 1, "0-1 Calls", IF(#REF! &lt;= 3, "2-3 Calls", IF(#REF! &lt;=5, "4-5 Calls", "6+ Calls")))</f>
        <v>#REF!</v>
      </c>
      <c r="X3624" t="e">
        <f>IF(#REF! &lt;= 50, "0-50", IF(#REF! &lt;=100, "51-100", IF(#REF! &lt;= 150, "101-150", "151+")))</f>
        <v>#REF!</v>
      </c>
      <c r="Y3624" t="e">
        <f>IF(#REF! &lt;= 3, "Low Charges", "High Charges")</f>
        <v>#REF!</v>
      </c>
      <c r="Z3624" t="e">
        <f>IF(#REF!&lt;=80,"Low Calls",
IF(#REF!&lt;=120,"Medium Calls","High Calls"))</f>
        <v>#REF!</v>
      </c>
      <c r="AA3624" t="e">
        <f>IF(#REF!&lt;=15,"Low Charges",
IF(#REF!&lt;=20,"Medium Charges","High Charges"))</f>
        <v>#REF!</v>
      </c>
      <c r="AB3624" t="e">
        <f>IF(AND(#REF!&gt;180, #REF!&gt;200), "Heavy Doemstic User", IF(#REF!&gt;10, "Interntional User", IF(AND(#REF!&lt;180, #REF!&lt;200,#REF!&lt;200), "Light User", "Balanced User")))</f>
        <v>#REF!</v>
      </c>
      <c r="AC3624" t="e">
        <f>IF(#REF! = 0, "No Usage", IF(#REF! &lt;= 20, "Low Usage", IF(#REF! &lt;= 40, "Medium Usgae", "High Usage")))</f>
        <v>#REF!</v>
      </c>
      <c r="AD3624" t="e">
        <f>IF(#REF!&lt;=150,"Low Usage", IF(#REF!&lt;=200,"Medium Usage", IF(#REF!&lt;=250,"High Usage","Very High Usage")))</f>
        <v>#REF!</v>
      </c>
      <c r="AE3624" t="e">
        <f>IF(#REF!&lt;=5,"Low Calls", IF(#REF!&lt;=10, "Medium Calls", "High Calls"))</f>
        <v>#REF!</v>
      </c>
      <c r="AF3624" t="e">
        <f xml:space="preserve">
IF(#REF!&gt;=4,4,0)+
IF(#REF!="yes",3,0)+
IF(#REF!="High Charges",3,0)+
IF(#REF!&gt;250,4,0)+
IF(#REF!="no",1,0)+
IF(#REF!="Heavy Domestic User",2,0)</f>
        <v>#REF!</v>
      </c>
      <c r="AG3624" t="e">
        <f>IF(#REF!&gt;=10,"High Risk", IF(#REF!&gt;=5,"Medium Risk","Low Risk"))</f>
        <v>#REF!</v>
      </c>
      <c r="AH3624" t="e">
        <f>#REF! + #REF! + #REF! + #REF!</f>
        <v>#REF!</v>
      </c>
    </row>
    <row r="3625" spans="1:34" x14ac:dyDescent="0.35">
      <c r="A3625">
        <v>3624</v>
      </c>
      <c r="B3625" t="s">
        <v>62</v>
      </c>
      <c r="C3625">
        <v>104</v>
      </c>
      <c r="D3625" t="s">
        <v>21</v>
      </c>
      <c r="E3625" t="s">
        <v>22</v>
      </c>
      <c r="F3625" t="s">
        <v>22</v>
      </c>
      <c r="G3625">
        <v>0</v>
      </c>
      <c r="H3625">
        <v>210.9</v>
      </c>
      <c r="I3625">
        <v>90</v>
      </c>
      <c r="J3625">
        <v>35.85</v>
      </c>
      <c r="K3625">
        <v>272.2</v>
      </c>
      <c r="L3625">
        <v>101</v>
      </c>
      <c r="M3625">
        <v>23.14</v>
      </c>
      <c r="N3625">
        <v>304.3</v>
      </c>
      <c r="O3625">
        <v>86</v>
      </c>
      <c r="P3625">
        <v>13.69</v>
      </c>
      <c r="Q3625">
        <v>10.6</v>
      </c>
      <c r="R3625">
        <v>5</v>
      </c>
      <c r="S3625">
        <v>2.86</v>
      </c>
      <c r="T3625">
        <v>3</v>
      </c>
      <c r="U3625" t="s">
        <v>23</v>
      </c>
      <c r="V3625" t="e">
        <f>IF(#REF! = "yes", 1, 0)</f>
        <v>#REF!</v>
      </c>
      <c r="W3625" t="e">
        <f>IF(#REF! &lt;= 1, "0-1 Calls", IF(#REF! &lt;= 3, "2-3 Calls", IF(#REF! &lt;=5, "4-5 Calls", "6+ Calls")))</f>
        <v>#REF!</v>
      </c>
      <c r="X3625" t="e">
        <f>IF(#REF! &lt;= 50, "0-50", IF(#REF! &lt;=100, "51-100", IF(#REF! &lt;= 150, "101-150", "151+")))</f>
        <v>#REF!</v>
      </c>
      <c r="Y3625" t="e">
        <f>IF(#REF! &lt;= 3, "Low Charges", "High Charges")</f>
        <v>#REF!</v>
      </c>
      <c r="Z3625" t="e">
        <f>IF(#REF!&lt;=80,"Low Calls",
IF(#REF!&lt;=120,"Medium Calls","High Calls"))</f>
        <v>#REF!</v>
      </c>
      <c r="AA3625" t="e">
        <f>IF(#REF!&lt;=15,"Low Charges",
IF(#REF!&lt;=20,"Medium Charges","High Charges"))</f>
        <v>#REF!</v>
      </c>
      <c r="AB3625" t="e">
        <f>IF(AND(#REF!&gt;180, #REF!&gt;200), "Heavy Doemstic User", IF(#REF!&gt;10, "Interntional User", IF(AND(#REF!&lt;180, #REF!&lt;200,#REF!&lt;200), "Light User", "Balanced User")))</f>
        <v>#REF!</v>
      </c>
      <c r="AC3625" t="e">
        <f>IF(#REF! = 0, "No Usage", IF(#REF! &lt;= 20, "Low Usage", IF(#REF! &lt;= 40, "Medium Usgae", "High Usage")))</f>
        <v>#REF!</v>
      </c>
      <c r="AD3625" t="e">
        <f>IF(#REF!&lt;=150,"Low Usage", IF(#REF!&lt;=200,"Medium Usage", IF(#REF!&lt;=250,"High Usage","Very High Usage")))</f>
        <v>#REF!</v>
      </c>
      <c r="AE3625" t="e">
        <f>IF(#REF!&lt;=5,"Low Calls", IF(#REF!&lt;=10, "Medium Calls", "High Calls"))</f>
        <v>#REF!</v>
      </c>
      <c r="AF3625" t="e">
        <f xml:space="preserve">
IF(#REF!&gt;=4,4,0)+
IF(#REF!="yes",3,0)+
IF(#REF!="High Charges",3,0)+
IF(#REF!&gt;250,4,0)+
IF(#REF!="no",1,0)+
IF(#REF!="Heavy Domestic User",2,0)</f>
        <v>#REF!</v>
      </c>
      <c r="AG3625" t="e">
        <f>IF(#REF!&gt;=10,"High Risk", IF(#REF!&gt;=5,"Medium Risk","Low Risk"))</f>
        <v>#REF!</v>
      </c>
      <c r="AH3625" t="e">
        <f>#REF! + #REF! + #REF! + #REF!</f>
        <v>#REF!</v>
      </c>
    </row>
    <row r="3626" spans="1:34" x14ac:dyDescent="0.35">
      <c r="A3626">
        <v>3625</v>
      </c>
      <c r="B3626" t="s">
        <v>57</v>
      </c>
      <c r="C3626">
        <v>74</v>
      </c>
      <c r="D3626" t="s">
        <v>28</v>
      </c>
      <c r="E3626" t="s">
        <v>22</v>
      </c>
      <c r="F3626" t="s">
        <v>22</v>
      </c>
      <c r="G3626">
        <v>0</v>
      </c>
      <c r="H3626">
        <v>143.69999999999999</v>
      </c>
      <c r="I3626">
        <v>97</v>
      </c>
      <c r="J3626">
        <v>24.43</v>
      </c>
      <c r="K3626">
        <v>229.6</v>
      </c>
      <c r="L3626">
        <v>110</v>
      </c>
      <c r="M3626">
        <v>19.52</v>
      </c>
      <c r="N3626">
        <v>98.8</v>
      </c>
      <c r="O3626">
        <v>100</v>
      </c>
      <c r="P3626">
        <v>4.45</v>
      </c>
      <c r="Q3626">
        <v>11.8</v>
      </c>
      <c r="R3626">
        <v>5</v>
      </c>
      <c r="S3626">
        <v>3.19</v>
      </c>
      <c r="T3626">
        <v>1</v>
      </c>
      <c r="U3626" t="s">
        <v>22</v>
      </c>
      <c r="V3626" t="e">
        <f>IF(#REF! = "yes", 1, 0)</f>
        <v>#REF!</v>
      </c>
      <c r="W3626" t="e">
        <f>IF(#REF! &lt;= 1, "0-1 Calls", IF(#REF! &lt;= 3, "2-3 Calls", IF(#REF! &lt;=5, "4-5 Calls", "6+ Calls")))</f>
        <v>#REF!</v>
      </c>
      <c r="X3626" t="e">
        <f>IF(#REF! &lt;= 50, "0-50", IF(#REF! &lt;=100, "51-100", IF(#REF! &lt;= 150, "101-150", "151+")))</f>
        <v>#REF!</v>
      </c>
      <c r="Y3626" t="e">
        <f>IF(#REF! &lt;= 3, "Low Charges", "High Charges")</f>
        <v>#REF!</v>
      </c>
      <c r="Z3626" t="e">
        <f>IF(#REF!&lt;=80,"Low Calls",
IF(#REF!&lt;=120,"Medium Calls","High Calls"))</f>
        <v>#REF!</v>
      </c>
      <c r="AA3626" t="e">
        <f>IF(#REF!&lt;=15,"Low Charges",
IF(#REF!&lt;=20,"Medium Charges","High Charges"))</f>
        <v>#REF!</v>
      </c>
      <c r="AB3626" t="e">
        <f>IF(AND(#REF!&gt;180, #REF!&gt;200), "Heavy Doemstic User", IF(#REF!&gt;10, "Interntional User", IF(AND(#REF!&lt;180, #REF!&lt;200,#REF!&lt;200), "Light User", "Balanced User")))</f>
        <v>#REF!</v>
      </c>
      <c r="AC3626" t="e">
        <f>IF(#REF! = 0, "No Usage", IF(#REF! &lt;= 20, "Low Usage", IF(#REF! &lt;= 40, "Medium Usgae", "High Usage")))</f>
        <v>#REF!</v>
      </c>
      <c r="AD3626" t="e">
        <f>IF(#REF!&lt;=150,"Low Usage", IF(#REF!&lt;=200,"Medium Usage", IF(#REF!&lt;=250,"High Usage","Very High Usage")))</f>
        <v>#REF!</v>
      </c>
      <c r="AE3626" t="e">
        <f>IF(#REF!&lt;=5,"Low Calls", IF(#REF!&lt;=10, "Medium Calls", "High Calls"))</f>
        <v>#REF!</v>
      </c>
      <c r="AF3626" t="e">
        <f xml:space="preserve">
IF(#REF!&gt;=4,4,0)+
IF(#REF!="yes",3,0)+
IF(#REF!="High Charges",3,0)+
IF(#REF!&gt;250,4,0)+
IF(#REF!="no",1,0)+
IF(#REF!="Heavy Domestic User",2,0)</f>
        <v>#REF!</v>
      </c>
      <c r="AG3626" t="e">
        <f>IF(#REF!&gt;=10,"High Risk", IF(#REF!&gt;=5,"Medium Risk","Low Risk"))</f>
        <v>#REF!</v>
      </c>
      <c r="AH3626" t="e">
        <f>#REF! + #REF! + #REF! + #REF!</f>
        <v>#REF!</v>
      </c>
    </row>
    <row r="3627" spans="1:34" x14ac:dyDescent="0.35">
      <c r="A3627">
        <v>3626</v>
      </c>
      <c r="B3627" t="s">
        <v>52</v>
      </c>
      <c r="C3627">
        <v>28</v>
      </c>
      <c r="D3627" t="s">
        <v>21</v>
      </c>
      <c r="E3627" t="s">
        <v>22</v>
      </c>
      <c r="F3627" t="s">
        <v>22</v>
      </c>
      <c r="G3627">
        <v>0</v>
      </c>
      <c r="H3627">
        <v>171.2</v>
      </c>
      <c r="I3627">
        <v>90</v>
      </c>
      <c r="J3627">
        <v>29.1</v>
      </c>
      <c r="K3627">
        <v>173.9</v>
      </c>
      <c r="L3627">
        <v>65</v>
      </c>
      <c r="M3627">
        <v>14.78</v>
      </c>
      <c r="N3627">
        <v>210.5</v>
      </c>
      <c r="O3627">
        <v>139</v>
      </c>
      <c r="P3627">
        <v>9.4700000000000006</v>
      </c>
      <c r="Q3627">
        <v>14</v>
      </c>
      <c r="R3627">
        <v>4</v>
      </c>
      <c r="S3627">
        <v>3.78</v>
      </c>
      <c r="T3627">
        <v>2</v>
      </c>
      <c r="U3627" t="s">
        <v>22</v>
      </c>
      <c r="V3627" t="e">
        <f>IF(#REF! = "yes", 1, 0)</f>
        <v>#REF!</v>
      </c>
      <c r="W3627" t="e">
        <f>IF(#REF! &lt;= 1, "0-1 Calls", IF(#REF! &lt;= 3, "2-3 Calls", IF(#REF! &lt;=5, "4-5 Calls", "6+ Calls")))</f>
        <v>#REF!</v>
      </c>
      <c r="X3627" t="e">
        <f>IF(#REF! &lt;= 50, "0-50", IF(#REF! &lt;=100, "51-100", IF(#REF! &lt;= 150, "101-150", "151+")))</f>
        <v>#REF!</v>
      </c>
      <c r="Y3627" t="e">
        <f>IF(#REF! &lt;= 3, "Low Charges", "High Charges")</f>
        <v>#REF!</v>
      </c>
      <c r="Z3627" t="e">
        <f>IF(#REF!&lt;=80,"Low Calls",
IF(#REF!&lt;=120,"Medium Calls","High Calls"))</f>
        <v>#REF!</v>
      </c>
      <c r="AA3627" t="e">
        <f>IF(#REF!&lt;=15,"Low Charges",
IF(#REF!&lt;=20,"Medium Charges","High Charges"))</f>
        <v>#REF!</v>
      </c>
      <c r="AB3627" t="e">
        <f>IF(AND(#REF!&gt;180, #REF!&gt;200), "Heavy Doemstic User", IF(#REF!&gt;10, "Interntional User", IF(AND(#REF!&lt;180, #REF!&lt;200,#REF!&lt;200), "Light User", "Balanced User")))</f>
        <v>#REF!</v>
      </c>
      <c r="AC3627" t="e">
        <f>IF(#REF! = 0, "No Usage", IF(#REF! &lt;= 20, "Low Usage", IF(#REF! &lt;= 40, "Medium Usgae", "High Usage")))</f>
        <v>#REF!</v>
      </c>
      <c r="AD3627" t="e">
        <f>IF(#REF!&lt;=150,"Low Usage", IF(#REF!&lt;=200,"Medium Usage", IF(#REF!&lt;=250,"High Usage","Very High Usage")))</f>
        <v>#REF!</v>
      </c>
      <c r="AE3627" t="e">
        <f>IF(#REF!&lt;=5,"Low Calls", IF(#REF!&lt;=10, "Medium Calls", "High Calls"))</f>
        <v>#REF!</v>
      </c>
      <c r="AF3627" t="e">
        <f xml:space="preserve">
IF(#REF!&gt;=4,4,0)+
IF(#REF!="yes",3,0)+
IF(#REF!="High Charges",3,0)+
IF(#REF!&gt;250,4,0)+
IF(#REF!="no",1,0)+
IF(#REF!="Heavy Domestic User",2,0)</f>
        <v>#REF!</v>
      </c>
      <c r="AG3627" t="e">
        <f>IF(#REF!&gt;=10,"High Risk", IF(#REF!&gt;=5,"Medium Risk","Low Risk"))</f>
        <v>#REF!</v>
      </c>
      <c r="AH3627" t="e">
        <f>#REF! + #REF! + #REF! + #REF!</f>
        <v>#REF!</v>
      </c>
    </row>
    <row r="3628" spans="1:34" x14ac:dyDescent="0.35">
      <c r="A3628">
        <v>3627</v>
      </c>
      <c r="B3628" t="s">
        <v>71</v>
      </c>
      <c r="C3628">
        <v>45</v>
      </c>
      <c r="D3628" t="s">
        <v>21</v>
      </c>
      <c r="E3628" t="s">
        <v>23</v>
      </c>
      <c r="F3628" t="s">
        <v>22</v>
      </c>
      <c r="G3628">
        <v>0</v>
      </c>
      <c r="H3628">
        <v>189.6</v>
      </c>
      <c r="I3628">
        <v>96</v>
      </c>
      <c r="J3628">
        <v>32.229999999999997</v>
      </c>
      <c r="K3628">
        <v>171.7</v>
      </c>
      <c r="L3628">
        <v>69</v>
      </c>
      <c r="M3628">
        <v>14.59</v>
      </c>
      <c r="N3628">
        <v>222</v>
      </c>
      <c r="O3628">
        <v>102</v>
      </c>
      <c r="P3628">
        <v>9.99</v>
      </c>
      <c r="Q3628">
        <v>13.9</v>
      </c>
      <c r="R3628">
        <v>7</v>
      </c>
      <c r="S3628">
        <v>3.75</v>
      </c>
      <c r="T3628">
        <v>1</v>
      </c>
      <c r="U3628" t="s">
        <v>23</v>
      </c>
      <c r="V3628" t="e">
        <f>IF(#REF! = "yes", 1, 0)</f>
        <v>#REF!</v>
      </c>
      <c r="W3628" t="e">
        <f>IF(#REF! &lt;= 1, "0-1 Calls", IF(#REF! &lt;= 3, "2-3 Calls", IF(#REF! &lt;=5, "4-5 Calls", "6+ Calls")))</f>
        <v>#REF!</v>
      </c>
      <c r="X3628" t="e">
        <f>IF(#REF! &lt;= 50, "0-50", IF(#REF! &lt;=100, "51-100", IF(#REF! &lt;= 150, "101-150", "151+")))</f>
        <v>#REF!</v>
      </c>
      <c r="Y3628" t="e">
        <f>IF(#REF! &lt;= 3, "Low Charges", "High Charges")</f>
        <v>#REF!</v>
      </c>
      <c r="Z3628" t="e">
        <f>IF(#REF!&lt;=80,"Low Calls",
IF(#REF!&lt;=120,"Medium Calls","High Calls"))</f>
        <v>#REF!</v>
      </c>
      <c r="AA3628" t="e">
        <f>IF(#REF!&lt;=15,"Low Charges",
IF(#REF!&lt;=20,"Medium Charges","High Charges"))</f>
        <v>#REF!</v>
      </c>
      <c r="AB3628" t="e">
        <f>IF(AND(#REF!&gt;180, #REF!&gt;200), "Heavy Doemstic User", IF(#REF!&gt;10, "Interntional User", IF(AND(#REF!&lt;180, #REF!&lt;200,#REF!&lt;200), "Light User", "Balanced User")))</f>
        <v>#REF!</v>
      </c>
      <c r="AC3628" t="e">
        <f>IF(#REF! = 0, "No Usage", IF(#REF! &lt;= 20, "Low Usage", IF(#REF! &lt;= 40, "Medium Usgae", "High Usage")))</f>
        <v>#REF!</v>
      </c>
      <c r="AD3628" t="e">
        <f>IF(#REF!&lt;=150,"Low Usage", IF(#REF!&lt;=200,"Medium Usage", IF(#REF!&lt;=250,"High Usage","Very High Usage")))</f>
        <v>#REF!</v>
      </c>
      <c r="AE3628" t="e">
        <f>IF(#REF!&lt;=5,"Low Calls", IF(#REF!&lt;=10, "Medium Calls", "High Calls"))</f>
        <v>#REF!</v>
      </c>
      <c r="AF3628" t="e">
        <f xml:space="preserve">
IF(#REF!&gt;=4,4,0)+
IF(#REF!="yes",3,0)+
IF(#REF!="High Charges",3,0)+
IF(#REF!&gt;250,4,0)+
IF(#REF!="no",1,0)+
IF(#REF!="Heavy Domestic User",2,0)</f>
        <v>#REF!</v>
      </c>
      <c r="AG3628" t="e">
        <f>IF(#REF!&gt;=10,"High Risk", IF(#REF!&gt;=5,"Medium Risk","Low Risk"))</f>
        <v>#REF!</v>
      </c>
      <c r="AH3628" t="e">
        <f>#REF! + #REF! + #REF! + #REF!</f>
        <v>#REF!</v>
      </c>
    </row>
    <row r="3629" spans="1:34" x14ac:dyDescent="0.35">
      <c r="A3629">
        <v>3628</v>
      </c>
      <c r="B3629" t="s">
        <v>38</v>
      </c>
      <c r="C3629">
        <v>60</v>
      </c>
      <c r="D3629" t="s">
        <v>21</v>
      </c>
      <c r="E3629" t="s">
        <v>22</v>
      </c>
      <c r="F3629" t="s">
        <v>22</v>
      </c>
      <c r="G3629">
        <v>0</v>
      </c>
      <c r="H3629">
        <v>229.5</v>
      </c>
      <c r="I3629">
        <v>91</v>
      </c>
      <c r="J3629">
        <v>39.020000000000003</v>
      </c>
      <c r="K3629">
        <v>157.69999999999999</v>
      </c>
      <c r="L3629">
        <v>67</v>
      </c>
      <c r="M3629">
        <v>13.4</v>
      </c>
      <c r="N3629">
        <v>162.4</v>
      </c>
      <c r="O3629">
        <v>76</v>
      </c>
      <c r="P3629">
        <v>7.31</v>
      </c>
      <c r="Q3629">
        <v>13.2</v>
      </c>
      <c r="R3629">
        <v>3</v>
      </c>
      <c r="S3629">
        <v>3.56</v>
      </c>
      <c r="T3629">
        <v>2</v>
      </c>
      <c r="U3629" t="s">
        <v>22</v>
      </c>
      <c r="V3629" t="e">
        <f>IF(#REF! = "yes", 1, 0)</f>
        <v>#REF!</v>
      </c>
      <c r="W3629" t="e">
        <f>IF(#REF! &lt;= 1, "0-1 Calls", IF(#REF! &lt;= 3, "2-3 Calls", IF(#REF! &lt;=5, "4-5 Calls", "6+ Calls")))</f>
        <v>#REF!</v>
      </c>
      <c r="X3629" t="e">
        <f>IF(#REF! &lt;= 50, "0-50", IF(#REF! &lt;=100, "51-100", IF(#REF! &lt;= 150, "101-150", "151+")))</f>
        <v>#REF!</v>
      </c>
      <c r="Y3629" t="e">
        <f>IF(#REF! &lt;= 3, "Low Charges", "High Charges")</f>
        <v>#REF!</v>
      </c>
      <c r="Z3629" t="e">
        <f>IF(#REF!&lt;=80,"Low Calls",
IF(#REF!&lt;=120,"Medium Calls","High Calls"))</f>
        <v>#REF!</v>
      </c>
      <c r="AA3629" t="e">
        <f>IF(#REF!&lt;=15,"Low Charges",
IF(#REF!&lt;=20,"Medium Charges","High Charges"))</f>
        <v>#REF!</v>
      </c>
      <c r="AB3629" t="e">
        <f>IF(AND(#REF!&gt;180, #REF!&gt;200), "Heavy Doemstic User", IF(#REF!&gt;10, "Interntional User", IF(AND(#REF!&lt;180, #REF!&lt;200,#REF!&lt;200), "Light User", "Balanced User")))</f>
        <v>#REF!</v>
      </c>
      <c r="AC3629" t="e">
        <f>IF(#REF! = 0, "No Usage", IF(#REF! &lt;= 20, "Low Usage", IF(#REF! &lt;= 40, "Medium Usgae", "High Usage")))</f>
        <v>#REF!</v>
      </c>
      <c r="AD3629" t="e">
        <f>IF(#REF!&lt;=150,"Low Usage", IF(#REF!&lt;=200,"Medium Usage", IF(#REF!&lt;=250,"High Usage","Very High Usage")))</f>
        <v>#REF!</v>
      </c>
      <c r="AE3629" t="e">
        <f>IF(#REF!&lt;=5,"Low Calls", IF(#REF!&lt;=10, "Medium Calls", "High Calls"))</f>
        <v>#REF!</v>
      </c>
      <c r="AF3629" t="e">
        <f xml:space="preserve">
IF(#REF!&gt;=4,4,0)+
IF(#REF!="yes",3,0)+
IF(#REF!="High Charges",3,0)+
IF(#REF!&gt;250,4,0)+
IF(#REF!="no",1,0)+
IF(#REF!="Heavy Domestic User",2,0)</f>
        <v>#REF!</v>
      </c>
      <c r="AG3629" t="e">
        <f>IF(#REF!&gt;=10,"High Risk", IF(#REF!&gt;=5,"Medium Risk","Low Risk"))</f>
        <v>#REF!</v>
      </c>
      <c r="AH3629" t="e">
        <f>#REF! + #REF! + #REF! + #REF!</f>
        <v>#REF!</v>
      </c>
    </row>
    <row r="3630" spans="1:34" x14ac:dyDescent="0.35">
      <c r="A3630">
        <v>3629</v>
      </c>
      <c r="B3630" t="s">
        <v>66</v>
      </c>
      <c r="C3630">
        <v>173</v>
      </c>
      <c r="D3630" t="s">
        <v>25</v>
      </c>
      <c r="E3630" t="s">
        <v>22</v>
      </c>
      <c r="F3630" t="s">
        <v>22</v>
      </c>
      <c r="G3630">
        <v>0</v>
      </c>
      <c r="H3630">
        <v>128.6</v>
      </c>
      <c r="I3630">
        <v>108</v>
      </c>
      <c r="J3630">
        <v>21.86</v>
      </c>
      <c r="K3630">
        <v>248.3</v>
      </c>
      <c r="L3630">
        <v>92</v>
      </c>
      <c r="M3630">
        <v>21.11</v>
      </c>
      <c r="N3630">
        <v>130.1</v>
      </c>
      <c r="O3630">
        <v>115</v>
      </c>
      <c r="P3630">
        <v>5.85</v>
      </c>
      <c r="Q3630">
        <v>10.4</v>
      </c>
      <c r="R3630">
        <v>2</v>
      </c>
      <c r="S3630">
        <v>2.81</v>
      </c>
      <c r="T3630">
        <v>4</v>
      </c>
      <c r="U3630" t="s">
        <v>23</v>
      </c>
      <c r="V3630" t="e">
        <f>IF(#REF! = "yes", 1, 0)</f>
        <v>#REF!</v>
      </c>
      <c r="W3630" t="e">
        <f>IF(#REF! &lt;= 1, "0-1 Calls", IF(#REF! &lt;= 3, "2-3 Calls", IF(#REF! &lt;=5, "4-5 Calls", "6+ Calls")))</f>
        <v>#REF!</v>
      </c>
      <c r="X3630" t="e">
        <f>IF(#REF! &lt;= 50, "0-50", IF(#REF! &lt;=100, "51-100", IF(#REF! &lt;= 150, "101-150", "151+")))</f>
        <v>#REF!</v>
      </c>
      <c r="Y3630" t="e">
        <f>IF(#REF! &lt;= 3, "Low Charges", "High Charges")</f>
        <v>#REF!</v>
      </c>
      <c r="Z3630" t="e">
        <f>IF(#REF!&lt;=80,"Low Calls",
IF(#REF!&lt;=120,"Medium Calls","High Calls"))</f>
        <v>#REF!</v>
      </c>
      <c r="AA3630" t="e">
        <f>IF(#REF!&lt;=15,"Low Charges",
IF(#REF!&lt;=20,"Medium Charges","High Charges"))</f>
        <v>#REF!</v>
      </c>
      <c r="AB3630" t="e">
        <f>IF(AND(#REF!&gt;180, #REF!&gt;200), "Heavy Doemstic User", IF(#REF!&gt;10, "Interntional User", IF(AND(#REF!&lt;180, #REF!&lt;200,#REF!&lt;200), "Light User", "Balanced User")))</f>
        <v>#REF!</v>
      </c>
      <c r="AC3630" t="e">
        <f>IF(#REF! = 0, "No Usage", IF(#REF! &lt;= 20, "Low Usage", IF(#REF! &lt;= 40, "Medium Usgae", "High Usage")))</f>
        <v>#REF!</v>
      </c>
      <c r="AD3630" t="e">
        <f>IF(#REF!&lt;=150,"Low Usage", IF(#REF!&lt;=200,"Medium Usage", IF(#REF!&lt;=250,"High Usage","Very High Usage")))</f>
        <v>#REF!</v>
      </c>
      <c r="AE3630" t="e">
        <f>IF(#REF!&lt;=5,"Low Calls", IF(#REF!&lt;=10, "Medium Calls", "High Calls"))</f>
        <v>#REF!</v>
      </c>
      <c r="AF3630" t="e">
        <f xml:space="preserve">
IF(#REF!&gt;=4,4,0)+
IF(#REF!="yes",3,0)+
IF(#REF!="High Charges",3,0)+
IF(#REF!&gt;250,4,0)+
IF(#REF!="no",1,0)+
IF(#REF!="Heavy Domestic User",2,0)</f>
        <v>#REF!</v>
      </c>
      <c r="AG3630" t="e">
        <f>IF(#REF!&gt;=10,"High Risk", IF(#REF!&gt;=5,"Medium Risk","Low Risk"))</f>
        <v>#REF!</v>
      </c>
      <c r="AH3630" t="e">
        <f>#REF! + #REF! + #REF! + #REF!</f>
        <v>#REF!</v>
      </c>
    </row>
    <row r="3631" spans="1:34" x14ac:dyDescent="0.35">
      <c r="A3631">
        <v>3630</v>
      </c>
      <c r="B3631" t="s">
        <v>40</v>
      </c>
      <c r="C3631">
        <v>152</v>
      </c>
      <c r="D3631" t="s">
        <v>25</v>
      </c>
      <c r="E3631" t="s">
        <v>22</v>
      </c>
      <c r="F3631" t="s">
        <v>23</v>
      </c>
      <c r="G3631">
        <v>26</v>
      </c>
      <c r="H3631">
        <v>214.8</v>
      </c>
      <c r="I3631">
        <v>82</v>
      </c>
      <c r="J3631">
        <v>36.520000000000003</v>
      </c>
      <c r="K3631">
        <v>226.7</v>
      </c>
      <c r="L3631">
        <v>135</v>
      </c>
      <c r="M3631">
        <v>19.27</v>
      </c>
      <c r="N3631">
        <v>206.7</v>
      </c>
      <c r="O3631">
        <v>97</v>
      </c>
      <c r="P3631">
        <v>9.3000000000000007</v>
      </c>
      <c r="Q3631">
        <v>7.6</v>
      </c>
      <c r="R3631">
        <v>11</v>
      </c>
      <c r="S3631">
        <v>2.0499999999999998</v>
      </c>
      <c r="T3631">
        <v>1</v>
      </c>
      <c r="U3631" t="s">
        <v>22</v>
      </c>
      <c r="V3631" t="e">
        <f>IF(#REF! = "yes", 1, 0)</f>
        <v>#REF!</v>
      </c>
      <c r="W3631" t="e">
        <f>IF(#REF! &lt;= 1, "0-1 Calls", IF(#REF! &lt;= 3, "2-3 Calls", IF(#REF! &lt;=5, "4-5 Calls", "6+ Calls")))</f>
        <v>#REF!</v>
      </c>
      <c r="X3631" t="e">
        <f>IF(#REF! &lt;= 50, "0-50", IF(#REF! &lt;=100, "51-100", IF(#REF! &lt;= 150, "101-150", "151+")))</f>
        <v>#REF!</v>
      </c>
      <c r="Y3631" t="e">
        <f>IF(#REF! &lt;= 3, "Low Charges", "High Charges")</f>
        <v>#REF!</v>
      </c>
      <c r="Z3631" t="e">
        <f>IF(#REF!&lt;=80,"Low Calls",
IF(#REF!&lt;=120,"Medium Calls","High Calls"))</f>
        <v>#REF!</v>
      </c>
      <c r="AA3631" t="e">
        <f>IF(#REF!&lt;=15,"Low Charges",
IF(#REF!&lt;=20,"Medium Charges","High Charges"))</f>
        <v>#REF!</v>
      </c>
      <c r="AB3631" t="e">
        <f>IF(AND(#REF!&gt;180, #REF!&gt;200), "Heavy Doemstic User", IF(#REF!&gt;10, "Interntional User", IF(AND(#REF!&lt;180, #REF!&lt;200,#REF!&lt;200), "Light User", "Balanced User")))</f>
        <v>#REF!</v>
      </c>
      <c r="AC3631" t="e">
        <f>IF(#REF! = 0, "No Usage", IF(#REF! &lt;= 20, "Low Usage", IF(#REF! &lt;= 40, "Medium Usgae", "High Usage")))</f>
        <v>#REF!</v>
      </c>
      <c r="AD3631" t="e">
        <f>IF(#REF!&lt;=150,"Low Usage", IF(#REF!&lt;=200,"Medium Usage", IF(#REF!&lt;=250,"High Usage","Very High Usage")))</f>
        <v>#REF!</v>
      </c>
      <c r="AE3631" t="e">
        <f>IF(#REF!&lt;=5,"Low Calls", IF(#REF!&lt;=10, "Medium Calls", "High Calls"))</f>
        <v>#REF!</v>
      </c>
      <c r="AF3631" t="e">
        <f xml:space="preserve">
IF(#REF!&gt;=4,4,0)+
IF(#REF!="yes",3,0)+
IF(#REF!="High Charges",3,0)+
IF(#REF!&gt;250,4,0)+
IF(#REF!="no",1,0)+
IF(#REF!="Heavy Domestic User",2,0)</f>
        <v>#REF!</v>
      </c>
      <c r="AG3631" t="e">
        <f>IF(#REF!&gt;=10,"High Risk", IF(#REF!&gt;=5,"Medium Risk","Low Risk"))</f>
        <v>#REF!</v>
      </c>
      <c r="AH3631" t="e">
        <f>#REF! + #REF! + #REF! + #REF!</f>
        <v>#REF!</v>
      </c>
    </row>
    <row r="3632" spans="1:34" x14ac:dyDescent="0.35">
      <c r="A3632">
        <v>3631</v>
      </c>
      <c r="B3632" t="s">
        <v>33</v>
      </c>
      <c r="C3632">
        <v>140</v>
      </c>
      <c r="D3632" t="s">
        <v>28</v>
      </c>
      <c r="E3632" t="s">
        <v>22</v>
      </c>
      <c r="F3632" t="s">
        <v>22</v>
      </c>
      <c r="G3632">
        <v>0</v>
      </c>
      <c r="H3632">
        <v>187.1</v>
      </c>
      <c r="I3632">
        <v>110</v>
      </c>
      <c r="J3632">
        <v>31.81</v>
      </c>
      <c r="K3632">
        <v>158</v>
      </c>
      <c r="L3632">
        <v>70</v>
      </c>
      <c r="M3632">
        <v>13.43</v>
      </c>
      <c r="N3632">
        <v>211.4</v>
      </c>
      <c r="O3632">
        <v>123</v>
      </c>
      <c r="P3632">
        <v>9.51</v>
      </c>
      <c r="Q3632">
        <v>8.5</v>
      </c>
      <c r="R3632">
        <v>2</v>
      </c>
      <c r="S3632">
        <v>2.2999999999999998</v>
      </c>
      <c r="T3632">
        <v>2</v>
      </c>
      <c r="U3632" t="s">
        <v>22</v>
      </c>
      <c r="V3632" t="e">
        <f>IF(#REF! = "yes", 1, 0)</f>
        <v>#REF!</v>
      </c>
      <c r="W3632" t="e">
        <f>IF(#REF! &lt;= 1, "0-1 Calls", IF(#REF! &lt;= 3, "2-3 Calls", IF(#REF! &lt;=5, "4-5 Calls", "6+ Calls")))</f>
        <v>#REF!</v>
      </c>
      <c r="X3632" t="e">
        <f>IF(#REF! &lt;= 50, "0-50", IF(#REF! &lt;=100, "51-100", IF(#REF! &lt;= 150, "101-150", "151+")))</f>
        <v>#REF!</v>
      </c>
      <c r="Y3632" t="e">
        <f>IF(#REF! &lt;= 3, "Low Charges", "High Charges")</f>
        <v>#REF!</v>
      </c>
      <c r="Z3632" t="e">
        <f>IF(#REF!&lt;=80,"Low Calls",
IF(#REF!&lt;=120,"Medium Calls","High Calls"))</f>
        <v>#REF!</v>
      </c>
      <c r="AA3632" t="e">
        <f>IF(#REF!&lt;=15,"Low Charges",
IF(#REF!&lt;=20,"Medium Charges","High Charges"))</f>
        <v>#REF!</v>
      </c>
      <c r="AB3632" t="e">
        <f>IF(AND(#REF!&gt;180, #REF!&gt;200), "Heavy Doemstic User", IF(#REF!&gt;10, "Interntional User", IF(AND(#REF!&lt;180, #REF!&lt;200,#REF!&lt;200), "Light User", "Balanced User")))</f>
        <v>#REF!</v>
      </c>
      <c r="AC3632" t="e">
        <f>IF(#REF! = 0, "No Usage", IF(#REF! &lt;= 20, "Low Usage", IF(#REF! &lt;= 40, "Medium Usgae", "High Usage")))</f>
        <v>#REF!</v>
      </c>
      <c r="AD3632" t="e">
        <f>IF(#REF!&lt;=150,"Low Usage", IF(#REF!&lt;=200,"Medium Usage", IF(#REF!&lt;=250,"High Usage","Very High Usage")))</f>
        <v>#REF!</v>
      </c>
      <c r="AE3632" t="e">
        <f>IF(#REF!&lt;=5,"Low Calls", IF(#REF!&lt;=10, "Medium Calls", "High Calls"))</f>
        <v>#REF!</v>
      </c>
      <c r="AF3632" t="e">
        <f xml:space="preserve">
IF(#REF!&gt;=4,4,0)+
IF(#REF!="yes",3,0)+
IF(#REF!="High Charges",3,0)+
IF(#REF!&gt;250,4,0)+
IF(#REF!="no",1,0)+
IF(#REF!="Heavy Domestic User",2,0)</f>
        <v>#REF!</v>
      </c>
      <c r="AG3632" t="e">
        <f>IF(#REF!&gt;=10,"High Risk", IF(#REF!&gt;=5,"Medium Risk","Low Risk"))</f>
        <v>#REF!</v>
      </c>
      <c r="AH3632" t="e">
        <f>#REF! + #REF! + #REF! + #REF!</f>
        <v>#REF!</v>
      </c>
    </row>
    <row r="3633" spans="1:34" x14ac:dyDescent="0.35">
      <c r="A3633">
        <v>3632</v>
      </c>
      <c r="B3633" t="s">
        <v>63</v>
      </c>
      <c r="C3633">
        <v>94</v>
      </c>
      <c r="D3633" t="s">
        <v>21</v>
      </c>
      <c r="E3633" t="s">
        <v>22</v>
      </c>
      <c r="F3633" t="s">
        <v>23</v>
      </c>
      <c r="G3633">
        <v>31</v>
      </c>
      <c r="H3633">
        <v>209.3</v>
      </c>
      <c r="I3633">
        <v>90</v>
      </c>
      <c r="J3633">
        <v>35.58</v>
      </c>
      <c r="K3633">
        <v>281.7</v>
      </c>
      <c r="L3633">
        <v>111</v>
      </c>
      <c r="M3633">
        <v>23.94</v>
      </c>
      <c r="N3633">
        <v>190.1</v>
      </c>
      <c r="O3633">
        <v>66</v>
      </c>
      <c r="P3633">
        <v>8.5500000000000007</v>
      </c>
      <c r="Q3633">
        <v>7.9</v>
      </c>
      <c r="R3633">
        <v>5</v>
      </c>
      <c r="S3633">
        <v>2.13</v>
      </c>
      <c r="T3633">
        <v>0</v>
      </c>
      <c r="U3633" t="s">
        <v>22</v>
      </c>
      <c r="V3633" t="e">
        <f>IF(#REF! = "yes", 1, 0)</f>
        <v>#REF!</v>
      </c>
      <c r="W3633" t="e">
        <f>IF(#REF! &lt;= 1, "0-1 Calls", IF(#REF! &lt;= 3, "2-3 Calls", IF(#REF! &lt;=5, "4-5 Calls", "6+ Calls")))</f>
        <v>#REF!</v>
      </c>
      <c r="X3633" t="e">
        <f>IF(#REF! &lt;= 50, "0-50", IF(#REF! &lt;=100, "51-100", IF(#REF! &lt;= 150, "101-150", "151+")))</f>
        <v>#REF!</v>
      </c>
      <c r="Y3633" t="e">
        <f>IF(#REF! &lt;= 3, "Low Charges", "High Charges")</f>
        <v>#REF!</v>
      </c>
      <c r="Z3633" t="e">
        <f>IF(#REF!&lt;=80,"Low Calls",
IF(#REF!&lt;=120,"Medium Calls","High Calls"))</f>
        <v>#REF!</v>
      </c>
      <c r="AA3633" t="e">
        <f>IF(#REF!&lt;=15,"Low Charges",
IF(#REF!&lt;=20,"Medium Charges","High Charges"))</f>
        <v>#REF!</v>
      </c>
      <c r="AB3633" t="e">
        <f>IF(AND(#REF!&gt;180, #REF!&gt;200), "Heavy Doemstic User", IF(#REF!&gt;10, "Interntional User", IF(AND(#REF!&lt;180, #REF!&lt;200,#REF!&lt;200), "Light User", "Balanced User")))</f>
        <v>#REF!</v>
      </c>
      <c r="AC3633" t="e">
        <f>IF(#REF! = 0, "No Usage", IF(#REF! &lt;= 20, "Low Usage", IF(#REF! &lt;= 40, "Medium Usgae", "High Usage")))</f>
        <v>#REF!</v>
      </c>
      <c r="AD3633" t="e">
        <f>IF(#REF!&lt;=150,"Low Usage", IF(#REF!&lt;=200,"Medium Usage", IF(#REF!&lt;=250,"High Usage","Very High Usage")))</f>
        <v>#REF!</v>
      </c>
      <c r="AE3633" t="e">
        <f>IF(#REF!&lt;=5,"Low Calls", IF(#REF!&lt;=10, "Medium Calls", "High Calls"))</f>
        <v>#REF!</v>
      </c>
      <c r="AF3633" t="e">
        <f xml:space="preserve">
IF(#REF!&gt;=4,4,0)+
IF(#REF!="yes",3,0)+
IF(#REF!="High Charges",3,0)+
IF(#REF!&gt;250,4,0)+
IF(#REF!="no",1,0)+
IF(#REF!="Heavy Domestic User",2,0)</f>
        <v>#REF!</v>
      </c>
      <c r="AG3633" t="e">
        <f>IF(#REF!&gt;=10,"High Risk", IF(#REF!&gt;=5,"Medium Risk","Low Risk"))</f>
        <v>#REF!</v>
      </c>
      <c r="AH3633" t="e">
        <f>#REF! + #REF! + #REF! + #REF!</f>
        <v>#REF!</v>
      </c>
    </row>
    <row r="3634" spans="1:34" x14ac:dyDescent="0.35">
      <c r="A3634">
        <v>3633</v>
      </c>
      <c r="B3634" t="s">
        <v>50</v>
      </c>
      <c r="C3634">
        <v>88</v>
      </c>
      <c r="D3634" t="s">
        <v>21</v>
      </c>
      <c r="E3634" t="s">
        <v>22</v>
      </c>
      <c r="F3634" t="s">
        <v>22</v>
      </c>
      <c r="G3634">
        <v>0</v>
      </c>
      <c r="H3634">
        <v>141.69999999999999</v>
      </c>
      <c r="I3634">
        <v>102</v>
      </c>
      <c r="J3634">
        <v>24.09</v>
      </c>
      <c r="K3634">
        <v>226.2</v>
      </c>
      <c r="L3634">
        <v>125</v>
      </c>
      <c r="M3634">
        <v>19.23</v>
      </c>
      <c r="N3634">
        <v>100.1</v>
      </c>
      <c r="O3634">
        <v>93</v>
      </c>
      <c r="P3634">
        <v>4.5</v>
      </c>
      <c r="Q3634">
        <v>11.9</v>
      </c>
      <c r="R3634">
        <v>8</v>
      </c>
      <c r="S3634">
        <v>3.21</v>
      </c>
      <c r="T3634">
        <v>0</v>
      </c>
      <c r="U3634" t="s">
        <v>22</v>
      </c>
      <c r="V3634" t="e">
        <f>IF(#REF! = "yes", 1, 0)</f>
        <v>#REF!</v>
      </c>
      <c r="W3634" t="e">
        <f>IF(#REF! &lt;= 1, "0-1 Calls", IF(#REF! &lt;= 3, "2-3 Calls", IF(#REF! &lt;=5, "4-5 Calls", "6+ Calls")))</f>
        <v>#REF!</v>
      </c>
      <c r="X3634" t="e">
        <f>IF(#REF! &lt;= 50, "0-50", IF(#REF! &lt;=100, "51-100", IF(#REF! &lt;= 150, "101-150", "151+")))</f>
        <v>#REF!</v>
      </c>
      <c r="Y3634" t="e">
        <f>IF(#REF! &lt;= 3, "Low Charges", "High Charges")</f>
        <v>#REF!</v>
      </c>
      <c r="Z3634" t="e">
        <f>IF(#REF!&lt;=80,"Low Calls",
IF(#REF!&lt;=120,"Medium Calls","High Calls"))</f>
        <v>#REF!</v>
      </c>
      <c r="AA3634" t="e">
        <f>IF(#REF!&lt;=15,"Low Charges",
IF(#REF!&lt;=20,"Medium Charges","High Charges"))</f>
        <v>#REF!</v>
      </c>
      <c r="AB3634" t="e">
        <f>IF(AND(#REF!&gt;180, #REF!&gt;200), "Heavy Doemstic User", IF(#REF!&gt;10, "Interntional User", IF(AND(#REF!&lt;180, #REF!&lt;200,#REF!&lt;200), "Light User", "Balanced User")))</f>
        <v>#REF!</v>
      </c>
      <c r="AC3634" t="e">
        <f>IF(#REF! = 0, "No Usage", IF(#REF! &lt;= 20, "Low Usage", IF(#REF! &lt;= 40, "Medium Usgae", "High Usage")))</f>
        <v>#REF!</v>
      </c>
      <c r="AD3634" t="e">
        <f>IF(#REF!&lt;=150,"Low Usage", IF(#REF!&lt;=200,"Medium Usage", IF(#REF!&lt;=250,"High Usage","Very High Usage")))</f>
        <v>#REF!</v>
      </c>
      <c r="AE3634" t="e">
        <f>IF(#REF!&lt;=5,"Low Calls", IF(#REF!&lt;=10, "Medium Calls", "High Calls"))</f>
        <v>#REF!</v>
      </c>
      <c r="AF3634" t="e">
        <f xml:space="preserve">
IF(#REF!&gt;=4,4,0)+
IF(#REF!="yes",3,0)+
IF(#REF!="High Charges",3,0)+
IF(#REF!&gt;250,4,0)+
IF(#REF!="no",1,0)+
IF(#REF!="Heavy Domestic User",2,0)</f>
        <v>#REF!</v>
      </c>
      <c r="AG3634" t="e">
        <f>IF(#REF!&gt;=10,"High Risk", IF(#REF!&gt;=5,"Medium Risk","Low Risk"))</f>
        <v>#REF!</v>
      </c>
      <c r="AH3634" t="e">
        <f>#REF! + #REF! + #REF! + #REF!</f>
        <v>#REF!</v>
      </c>
    </row>
    <row r="3635" spans="1:34" x14ac:dyDescent="0.35">
      <c r="A3635">
        <v>3634</v>
      </c>
      <c r="B3635" t="s">
        <v>52</v>
      </c>
      <c r="C3635">
        <v>170</v>
      </c>
      <c r="D3635" t="s">
        <v>25</v>
      </c>
      <c r="E3635" t="s">
        <v>22</v>
      </c>
      <c r="F3635" t="s">
        <v>23</v>
      </c>
      <c r="G3635">
        <v>22</v>
      </c>
      <c r="H3635">
        <v>173.6</v>
      </c>
      <c r="I3635">
        <v>66</v>
      </c>
      <c r="J3635">
        <v>29.51</v>
      </c>
      <c r="K3635">
        <v>142.19999999999999</v>
      </c>
      <c r="L3635">
        <v>83</v>
      </c>
      <c r="M3635">
        <v>12.09</v>
      </c>
      <c r="N3635">
        <v>156.5</v>
      </c>
      <c r="O3635">
        <v>93</v>
      </c>
      <c r="P3635">
        <v>7.04</v>
      </c>
      <c r="Q3635">
        <v>5.2</v>
      </c>
      <c r="R3635">
        <v>3</v>
      </c>
      <c r="S3635">
        <v>1.4</v>
      </c>
      <c r="T3635">
        <v>1</v>
      </c>
      <c r="U3635" t="s">
        <v>22</v>
      </c>
      <c r="V3635" t="e">
        <f>IF(#REF! = "yes", 1, 0)</f>
        <v>#REF!</v>
      </c>
      <c r="W3635" t="e">
        <f>IF(#REF! &lt;= 1, "0-1 Calls", IF(#REF! &lt;= 3, "2-3 Calls", IF(#REF! &lt;=5, "4-5 Calls", "6+ Calls")))</f>
        <v>#REF!</v>
      </c>
      <c r="X3635" t="e">
        <f>IF(#REF! &lt;= 50, "0-50", IF(#REF! &lt;=100, "51-100", IF(#REF! &lt;= 150, "101-150", "151+")))</f>
        <v>#REF!</v>
      </c>
      <c r="Y3635" t="e">
        <f>IF(#REF! &lt;= 3, "Low Charges", "High Charges")</f>
        <v>#REF!</v>
      </c>
      <c r="Z3635" t="e">
        <f>IF(#REF!&lt;=80,"Low Calls",
IF(#REF!&lt;=120,"Medium Calls","High Calls"))</f>
        <v>#REF!</v>
      </c>
      <c r="AA3635" t="e">
        <f>IF(#REF!&lt;=15,"Low Charges",
IF(#REF!&lt;=20,"Medium Charges","High Charges"))</f>
        <v>#REF!</v>
      </c>
      <c r="AB3635" t="e">
        <f>IF(AND(#REF!&gt;180, #REF!&gt;200), "Heavy Doemstic User", IF(#REF!&gt;10, "Interntional User", IF(AND(#REF!&lt;180, #REF!&lt;200,#REF!&lt;200), "Light User", "Balanced User")))</f>
        <v>#REF!</v>
      </c>
      <c r="AC3635" t="e">
        <f>IF(#REF! = 0, "No Usage", IF(#REF! &lt;= 20, "Low Usage", IF(#REF! &lt;= 40, "Medium Usgae", "High Usage")))</f>
        <v>#REF!</v>
      </c>
      <c r="AD3635" t="e">
        <f>IF(#REF!&lt;=150,"Low Usage", IF(#REF!&lt;=200,"Medium Usage", IF(#REF!&lt;=250,"High Usage","Very High Usage")))</f>
        <v>#REF!</v>
      </c>
      <c r="AE3635" t="e">
        <f>IF(#REF!&lt;=5,"Low Calls", IF(#REF!&lt;=10, "Medium Calls", "High Calls"))</f>
        <v>#REF!</v>
      </c>
      <c r="AF3635" t="e">
        <f xml:space="preserve">
IF(#REF!&gt;=4,4,0)+
IF(#REF!="yes",3,0)+
IF(#REF!="High Charges",3,0)+
IF(#REF!&gt;250,4,0)+
IF(#REF!="no",1,0)+
IF(#REF!="Heavy Domestic User",2,0)</f>
        <v>#REF!</v>
      </c>
      <c r="AG3635" t="e">
        <f>IF(#REF!&gt;=10,"High Risk", IF(#REF!&gt;=5,"Medium Risk","Low Risk"))</f>
        <v>#REF!</v>
      </c>
      <c r="AH3635" t="e">
        <f>#REF! + #REF! + #REF! + #REF!</f>
        <v>#REF!</v>
      </c>
    </row>
    <row r="3636" spans="1:34" x14ac:dyDescent="0.35">
      <c r="A3636">
        <v>3635</v>
      </c>
      <c r="B3636" t="s">
        <v>57</v>
      </c>
      <c r="C3636">
        <v>57</v>
      </c>
      <c r="D3636" t="s">
        <v>28</v>
      </c>
      <c r="E3636" t="s">
        <v>22</v>
      </c>
      <c r="F3636" t="s">
        <v>22</v>
      </c>
      <c r="G3636">
        <v>0</v>
      </c>
      <c r="H3636">
        <v>176.9</v>
      </c>
      <c r="I3636">
        <v>75</v>
      </c>
      <c r="J3636">
        <v>30.07</v>
      </c>
      <c r="K3636">
        <v>204.2</v>
      </c>
      <c r="L3636">
        <v>86</v>
      </c>
      <c r="M3636">
        <v>17.36</v>
      </c>
      <c r="N3636">
        <v>254.1</v>
      </c>
      <c r="O3636">
        <v>90</v>
      </c>
      <c r="P3636">
        <v>11.43</v>
      </c>
      <c r="Q3636">
        <v>6.1</v>
      </c>
      <c r="R3636">
        <v>4</v>
      </c>
      <c r="S3636">
        <v>1.65</v>
      </c>
      <c r="T3636">
        <v>1</v>
      </c>
      <c r="U3636" t="s">
        <v>22</v>
      </c>
      <c r="V3636" t="e">
        <f>IF(#REF! = "yes", 1, 0)</f>
        <v>#REF!</v>
      </c>
      <c r="W3636" t="e">
        <f>IF(#REF! &lt;= 1, "0-1 Calls", IF(#REF! &lt;= 3, "2-3 Calls", IF(#REF! &lt;=5, "4-5 Calls", "6+ Calls")))</f>
        <v>#REF!</v>
      </c>
      <c r="X3636" t="e">
        <f>IF(#REF! &lt;= 50, "0-50", IF(#REF! &lt;=100, "51-100", IF(#REF! &lt;= 150, "101-150", "151+")))</f>
        <v>#REF!</v>
      </c>
      <c r="Y3636" t="e">
        <f>IF(#REF! &lt;= 3, "Low Charges", "High Charges")</f>
        <v>#REF!</v>
      </c>
      <c r="Z3636" t="e">
        <f>IF(#REF!&lt;=80,"Low Calls",
IF(#REF!&lt;=120,"Medium Calls","High Calls"))</f>
        <v>#REF!</v>
      </c>
      <c r="AA3636" t="e">
        <f>IF(#REF!&lt;=15,"Low Charges",
IF(#REF!&lt;=20,"Medium Charges","High Charges"))</f>
        <v>#REF!</v>
      </c>
      <c r="AB3636" t="e">
        <f>IF(AND(#REF!&gt;180, #REF!&gt;200), "Heavy Doemstic User", IF(#REF!&gt;10, "Interntional User", IF(AND(#REF!&lt;180, #REF!&lt;200,#REF!&lt;200), "Light User", "Balanced User")))</f>
        <v>#REF!</v>
      </c>
      <c r="AC3636" t="e">
        <f>IF(#REF! = 0, "No Usage", IF(#REF! &lt;= 20, "Low Usage", IF(#REF! &lt;= 40, "Medium Usgae", "High Usage")))</f>
        <v>#REF!</v>
      </c>
      <c r="AD3636" t="e">
        <f>IF(#REF!&lt;=150,"Low Usage", IF(#REF!&lt;=200,"Medium Usage", IF(#REF!&lt;=250,"High Usage","Very High Usage")))</f>
        <v>#REF!</v>
      </c>
      <c r="AE3636" t="e">
        <f>IF(#REF!&lt;=5,"Low Calls", IF(#REF!&lt;=10, "Medium Calls", "High Calls"))</f>
        <v>#REF!</v>
      </c>
      <c r="AF3636" t="e">
        <f xml:space="preserve">
IF(#REF!&gt;=4,4,0)+
IF(#REF!="yes",3,0)+
IF(#REF!="High Charges",3,0)+
IF(#REF!&gt;250,4,0)+
IF(#REF!="no",1,0)+
IF(#REF!="Heavy Domestic User",2,0)</f>
        <v>#REF!</v>
      </c>
      <c r="AG3636" t="e">
        <f>IF(#REF!&gt;=10,"High Risk", IF(#REF!&gt;=5,"Medium Risk","Low Risk"))</f>
        <v>#REF!</v>
      </c>
      <c r="AH3636" t="e">
        <f>#REF! + #REF! + #REF! + #REF!</f>
        <v>#REF!</v>
      </c>
    </row>
    <row r="3637" spans="1:34" x14ac:dyDescent="0.35">
      <c r="A3637">
        <v>3636</v>
      </c>
      <c r="B3637" t="s">
        <v>58</v>
      </c>
      <c r="C3637">
        <v>102</v>
      </c>
      <c r="D3637" t="s">
        <v>25</v>
      </c>
      <c r="E3637" t="s">
        <v>22</v>
      </c>
      <c r="F3637" t="s">
        <v>23</v>
      </c>
      <c r="G3637">
        <v>27</v>
      </c>
      <c r="H3637">
        <v>109.8</v>
      </c>
      <c r="I3637">
        <v>66</v>
      </c>
      <c r="J3637">
        <v>18.670000000000002</v>
      </c>
      <c r="K3637">
        <v>207.3</v>
      </c>
      <c r="L3637">
        <v>76</v>
      </c>
      <c r="M3637">
        <v>17.62</v>
      </c>
      <c r="N3637">
        <v>236.9</v>
      </c>
      <c r="O3637">
        <v>101</v>
      </c>
      <c r="P3637">
        <v>10.66</v>
      </c>
      <c r="Q3637">
        <v>10.3</v>
      </c>
      <c r="R3637">
        <v>7</v>
      </c>
      <c r="S3637">
        <v>2.78</v>
      </c>
      <c r="T3637">
        <v>0</v>
      </c>
      <c r="U3637" t="s">
        <v>22</v>
      </c>
      <c r="V3637" t="e">
        <f>IF(#REF! = "yes", 1, 0)</f>
        <v>#REF!</v>
      </c>
      <c r="W3637" t="e">
        <f>IF(#REF! &lt;= 1, "0-1 Calls", IF(#REF! &lt;= 3, "2-3 Calls", IF(#REF! &lt;=5, "4-5 Calls", "6+ Calls")))</f>
        <v>#REF!</v>
      </c>
      <c r="X3637" t="e">
        <f>IF(#REF! &lt;= 50, "0-50", IF(#REF! &lt;=100, "51-100", IF(#REF! &lt;= 150, "101-150", "151+")))</f>
        <v>#REF!</v>
      </c>
      <c r="Y3637" t="e">
        <f>IF(#REF! &lt;= 3, "Low Charges", "High Charges")</f>
        <v>#REF!</v>
      </c>
      <c r="Z3637" t="e">
        <f>IF(#REF!&lt;=80,"Low Calls",
IF(#REF!&lt;=120,"Medium Calls","High Calls"))</f>
        <v>#REF!</v>
      </c>
      <c r="AA3637" t="e">
        <f>IF(#REF!&lt;=15,"Low Charges",
IF(#REF!&lt;=20,"Medium Charges","High Charges"))</f>
        <v>#REF!</v>
      </c>
      <c r="AB3637" t="e">
        <f>IF(AND(#REF!&gt;180, #REF!&gt;200), "Heavy Doemstic User", IF(#REF!&gt;10, "Interntional User", IF(AND(#REF!&lt;180, #REF!&lt;200,#REF!&lt;200), "Light User", "Balanced User")))</f>
        <v>#REF!</v>
      </c>
      <c r="AC3637" t="e">
        <f>IF(#REF! = 0, "No Usage", IF(#REF! &lt;= 20, "Low Usage", IF(#REF! &lt;= 40, "Medium Usgae", "High Usage")))</f>
        <v>#REF!</v>
      </c>
      <c r="AD3637" t="e">
        <f>IF(#REF!&lt;=150,"Low Usage", IF(#REF!&lt;=200,"Medium Usage", IF(#REF!&lt;=250,"High Usage","Very High Usage")))</f>
        <v>#REF!</v>
      </c>
      <c r="AE3637" t="e">
        <f>IF(#REF!&lt;=5,"Low Calls", IF(#REF!&lt;=10, "Medium Calls", "High Calls"))</f>
        <v>#REF!</v>
      </c>
      <c r="AF3637" t="e">
        <f xml:space="preserve">
IF(#REF!&gt;=4,4,0)+
IF(#REF!="yes",3,0)+
IF(#REF!="High Charges",3,0)+
IF(#REF!&gt;250,4,0)+
IF(#REF!="no",1,0)+
IF(#REF!="Heavy Domestic User",2,0)</f>
        <v>#REF!</v>
      </c>
      <c r="AG3637" t="e">
        <f>IF(#REF!&gt;=10,"High Risk", IF(#REF!&gt;=5,"Medium Risk","Low Risk"))</f>
        <v>#REF!</v>
      </c>
      <c r="AH3637" t="e">
        <f>#REF! + #REF! + #REF! + #REF!</f>
        <v>#REF!</v>
      </c>
    </row>
    <row r="3638" spans="1:34" x14ac:dyDescent="0.35">
      <c r="A3638">
        <v>3637</v>
      </c>
      <c r="B3638" t="s">
        <v>20</v>
      </c>
      <c r="C3638">
        <v>49</v>
      </c>
      <c r="D3638" t="s">
        <v>25</v>
      </c>
      <c r="E3638" t="s">
        <v>22</v>
      </c>
      <c r="F3638" t="s">
        <v>22</v>
      </c>
      <c r="G3638">
        <v>0</v>
      </c>
      <c r="H3638">
        <v>202.3</v>
      </c>
      <c r="I3638">
        <v>105</v>
      </c>
      <c r="J3638">
        <v>34.39</v>
      </c>
      <c r="K3638">
        <v>195.4</v>
      </c>
      <c r="L3638">
        <v>131</v>
      </c>
      <c r="M3638">
        <v>16.61</v>
      </c>
      <c r="N3638">
        <v>190.1</v>
      </c>
      <c r="O3638">
        <v>88</v>
      </c>
      <c r="P3638">
        <v>8.5500000000000007</v>
      </c>
      <c r="Q3638">
        <v>9</v>
      </c>
      <c r="R3638">
        <v>2</v>
      </c>
      <c r="S3638">
        <v>2.4300000000000002</v>
      </c>
      <c r="T3638">
        <v>3</v>
      </c>
      <c r="U3638" t="s">
        <v>23</v>
      </c>
      <c r="V3638" t="e">
        <f>IF(#REF! = "yes", 1, 0)</f>
        <v>#REF!</v>
      </c>
      <c r="W3638" t="e">
        <f>IF(#REF! &lt;= 1, "0-1 Calls", IF(#REF! &lt;= 3, "2-3 Calls", IF(#REF! &lt;=5, "4-5 Calls", "6+ Calls")))</f>
        <v>#REF!</v>
      </c>
      <c r="X3638" t="e">
        <f>IF(#REF! &lt;= 50, "0-50", IF(#REF! &lt;=100, "51-100", IF(#REF! &lt;= 150, "101-150", "151+")))</f>
        <v>#REF!</v>
      </c>
      <c r="Y3638" t="e">
        <f>IF(#REF! &lt;= 3, "Low Charges", "High Charges")</f>
        <v>#REF!</v>
      </c>
      <c r="Z3638" t="e">
        <f>IF(#REF!&lt;=80,"Low Calls",
IF(#REF!&lt;=120,"Medium Calls","High Calls"))</f>
        <v>#REF!</v>
      </c>
      <c r="AA3638" t="e">
        <f>IF(#REF!&lt;=15,"Low Charges",
IF(#REF!&lt;=20,"Medium Charges","High Charges"))</f>
        <v>#REF!</v>
      </c>
      <c r="AB3638" t="e">
        <f>IF(AND(#REF!&gt;180, #REF!&gt;200), "Heavy Doemstic User", IF(#REF!&gt;10, "Interntional User", IF(AND(#REF!&lt;180, #REF!&lt;200,#REF!&lt;200), "Light User", "Balanced User")))</f>
        <v>#REF!</v>
      </c>
      <c r="AC3638" t="e">
        <f>IF(#REF! = 0, "No Usage", IF(#REF! &lt;= 20, "Low Usage", IF(#REF! &lt;= 40, "Medium Usgae", "High Usage")))</f>
        <v>#REF!</v>
      </c>
      <c r="AD3638" t="e">
        <f>IF(#REF!&lt;=150,"Low Usage", IF(#REF!&lt;=200,"Medium Usage", IF(#REF!&lt;=250,"High Usage","Very High Usage")))</f>
        <v>#REF!</v>
      </c>
      <c r="AE3638" t="e">
        <f>IF(#REF!&lt;=5,"Low Calls", IF(#REF!&lt;=10, "Medium Calls", "High Calls"))</f>
        <v>#REF!</v>
      </c>
      <c r="AF3638" t="e">
        <f xml:space="preserve">
IF(#REF!&gt;=4,4,0)+
IF(#REF!="yes",3,0)+
IF(#REF!="High Charges",3,0)+
IF(#REF!&gt;250,4,0)+
IF(#REF!="no",1,0)+
IF(#REF!="Heavy Domestic User",2,0)</f>
        <v>#REF!</v>
      </c>
      <c r="AG3638" t="e">
        <f>IF(#REF!&gt;=10,"High Risk", IF(#REF!&gt;=5,"Medium Risk","Low Risk"))</f>
        <v>#REF!</v>
      </c>
      <c r="AH3638" t="e">
        <f>#REF! + #REF! + #REF! + #REF!</f>
        <v>#REF!</v>
      </c>
    </row>
    <row r="3639" spans="1:34" x14ac:dyDescent="0.35">
      <c r="A3639">
        <v>3638</v>
      </c>
      <c r="B3639" t="s">
        <v>32</v>
      </c>
      <c r="C3639">
        <v>195</v>
      </c>
      <c r="D3639" t="s">
        <v>21</v>
      </c>
      <c r="E3639" t="s">
        <v>22</v>
      </c>
      <c r="F3639" t="s">
        <v>22</v>
      </c>
      <c r="G3639">
        <v>0</v>
      </c>
      <c r="H3639">
        <v>221.6</v>
      </c>
      <c r="I3639">
        <v>109</v>
      </c>
      <c r="J3639">
        <v>37.67</v>
      </c>
      <c r="K3639">
        <v>126.2</v>
      </c>
      <c r="L3639">
        <v>94</v>
      </c>
      <c r="M3639">
        <v>10.73</v>
      </c>
      <c r="N3639">
        <v>212.2</v>
      </c>
      <c r="O3639">
        <v>98</v>
      </c>
      <c r="P3639">
        <v>9.5500000000000007</v>
      </c>
      <c r="Q3639">
        <v>6.4</v>
      </c>
      <c r="R3639">
        <v>2</v>
      </c>
      <c r="S3639">
        <v>1.73</v>
      </c>
      <c r="T3639">
        <v>0</v>
      </c>
      <c r="U3639" t="s">
        <v>22</v>
      </c>
      <c r="V3639" t="e">
        <f>IF(#REF! = "yes", 1, 0)</f>
        <v>#REF!</v>
      </c>
      <c r="W3639" t="e">
        <f>IF(#REF! &lt;= 1, "0-1 Calls", IF(#REF! &lt;= 3, "2-3 Calls", IF(#REF! &lt;=5, "4-5 Calls", "6+ Calls")))</f>
        <v>#REF!</v>
      </c>
      <c r="X3639" t="e">
        <f>IF(#REF! &lt;= 50, "0-50", IF(#REF! &lt;=100, "51-100", IF(#REF! &lt;= 150, "101-150", "151+")))</f>
        <v>#REF!</v>
      </c>
      <c r="Y3639" t="e">
        <f>IF(#REF! &lt;= 3, "Low Charges", "High Charges")</f>
        <v>#REF!</v>
      </c>
      <c r="Z3639" t="e">
        <f>IF(#REF!&lt;=80,"Low Calls",
IF(#REF!&lt;=120,"Medium Calls","High Calls"))</f>
        <v>#REF!</v>
      </c>
      <c r="AA3639" t="e">
        <f>IF(#REF!&lt;=15,"Low Charges",
IF(#REF!&lt;=20,"Medium Charges","High Charges"))</f>
        <v>#REF!</v>
      </c>
      <c r="AB3639" t="e">
        <f>IF(AND(#REF!&gt;180, #REF!&gt;200), "Heavy Doemstic User", IF(#REF!&gt;10, "Interntional User", IF(AND(#REF!&lt;180, #REF!&lt;200,#REF!&lt;200), "Light User", "Balanced User")))</f>
        <v>#REF!</v>
      </c>
      <c r="AC3639" t="e">
        <f>IF(#REF! = 0, "No Usage", IF(#REF! &lt;= 20, "Low Usage", IF(#REF! &lt;= 40, "Medium Usgae", "High Usage")))</f>
        <v>#REF!</v>
      </c>
      <c r="AD3639" t="e">
        <f>IF(#REF!&lt;=150,"Low Usage", IF(#REF!&lt;=200,"Medium Usage", IF(#REF!&lt;=250,"High Usage","Very High Usage")))</f>
        <v>#REF!</v>
      </c>
      <c r="AE3639" t="e">
        <f>IF(#REF!&lt;=5,"Low Calls", IF(#REF!&lt;=10, "Medium Calls", "High Calls"))</f>
        <v>#REF!</v>
      </c>
      <c r="AF3639" t="e">
        <f xml:space="preserve">
IF(#REF!&gt;=4,4,0)+
IF(#REF!="yes",3,0)+
IF(#REF!="High Charges",3,0)+
IF(#REF!&gt;250,4,0)+
IF(#REF!="no",1,0)+
IF(#REF!="Heavy Domestic User",2,0)</f>
        <v>#REF!</v>
      </c>
      <c r="AG3639" t="e">
        <f>IF(#REF!&gt;=10,"High Risk", IF(#REF!&gt;=5,"Medium Risk","Low Risk"))</f>
        <v>#REF!</v>
      </c>
      <c r="AH3639" t="e">
        <f>#REF! + #REF! + #REF! + #REF!</f>
        <v>#REF!</v>
      </c>
    </row>
    <row r="3640" spans="1:34" x14ac:dyDescent="0.35">
      <c r="A3640">
        <v>3639</v>
      </c>
      <c r="B3640" t="s">
        <v>35</v>
      </c>
      <c r="C3640">
        <v>64</v>
      </c>
      <c r="D3640" t="s">
        <v>21</v>
      </c>
      <c r="E3640" t="s">
        <v>22</v>
      </c>
      <c r="F3640" t="s">
        <v>22</v>
      </c>
      <c r="G3640">
        <v>0</v>
      </c>
      <c r="H3640">
        <v>131.30000000000001</v>
      </c>
      <c r="I3640">
        <v>105</v>
      </c>
      <c r="J3640">
        <v>22.32</v>
      </c>
      <c r="K3640">
        <v>109.4</v>
      </c>
      <c r="L3640">
        <v>114</v>
      </c>
      <c r="M3640">
        <v>9.3000000000000007</v>
      </c>
      <c r="N3640">
        <v>246.2</v>
      </c>
      <c r="O3640">
        <v>125</v>
      </c>
      <c r="P3640">
        <v>11.08</v>
      </c>
      <c r="Q3640">
        <v>12.7</v>
      </c>
      <c r="R3640">
        <v>4</v>
      </c>
      <c r="S3640">
        <v>3.43</v>
      </c>
      <c r="T3640">
        <v>4</v>
      </c>
      <c r="U3640" t="s">
        <v>23</v>
      </c>
      <c r="V3640" t="e">
        <f>IF(#REF! = "yes", 1, 0)</f>
        <v>#REF!</v>
      </c>
      <c r="W3640" t="e">
        <f>IF(#REF! &lt;= 1, "0-1 Calls", IF(#REF! &lt;= 3, "2-3 Calls", IF(#REF! &lt;=5, "4-5 Calls", "6+ Calls")))</f>
        <v>#REF!</v>
      </c>
      <c r="X3640" t="e">
        <f>IF(#REF! &lt;= 50, "0-50", IF(#REF! &lt;=100, "51-100", IF(#REF! &lt;= 150, "101-150", "151+")))</f>
        <v>#REF!</v>
      </c>
      <c r="Y3640" t="e">
        <f>IF(#REF! &lt;= 3, "Low Charges", "High Charges")</f>
        <v>#REF!</v>
      </c>
      <c r="Z3640" t="e">
        <f>IF(#REF!&lt;=80,"Low Calls",
IF(#REF!&lt;=120,"Medium Calls","High Calls"))</f>
        <v>#REF!</v>
      </c>
      <c r="AA3640" t="e">
        <f>IF(#REF!&lt;=15,"Low Charges",
IF(#REF!&lt;=20,"Medium Charges","High Charges"))</f>
        <v>#REF!</v>
      </c>
      <c r="AB3640" t="e">
        <f>IF(AND(#REF!&gt;180, #REF!&gt;200), "Heavy Doemstic User", IF(#REF!&gt;10, "Interntional User", IF(AND(#REF!&lt;180, #REF!&lt;200,#REF!&lt;200), "Light User", "Balanced User")))</f>
        <v>#REF!</v>
      </c>
      <c r="AC3640" t="e">
        <f>IF(#REF! = 0, "No Usage", IF(#REF! &lt;= 20, "Low Usage", IF(#REF! &lt;= 40, "Medium Usgae", "High Usage")))</f>
        <v>#REF!</v>
      </c>
      <c r="AD3640" t="e">
        <f>IF(#REF!&lt;=150,"Low Usage", IF(#REF!&lt;=200,"Medium Usage", IF(#REF!&lt;=250,"High Usage","Very High Usage")))</f>
        <v>#REF!</v>
      </c>
      <c r="AE3640" t="e">
        <f>IF(#REF!&lt;=5,"Low Calls", IF(#REF!&lt;=10, "Medium Calls", "High Calls"))</f>
        <v>#REF!</v>
      </c>
      <c r="AF3640" t="e">
        <f xml:space="preserve">
IF(#REF!&gt;=4,4,0)+
IF(#REF!="yes",3,0)+
IF(#REF!="High Charges",3,0)+
IF(#REF!&gt;250,4,0)+
IF(#REF!="no",1,0)+
IF(#REF!="Heavy Domestic User",2,0)</f>
        <v>#REF!</v>
      </c>
      <c r="AG3640" t="e">
        <f>IF(#REF!&gt;=10,"High Risk", IF(#REF!&gt;=5,"Medium Risk","Low Risk"))</f>
        <v>#REF!</v>
      </c>
      <c r="AH3640" t="e">
        <f>#REF! + #REF! + #REF! + #REF!</f>
        <v>#REF!</v>
      </c>
    </row>
    <row r="3641" spans="1:34" x14ac:dyDescent="0.35">
      <c r="A3641">
        <v>3640</v>
      </c>
      <c r="B3641" t="s">
        <v>43</v>
      </c>
      <c r="C3641">
        <v>105</v>
      </c>
      <c r="D3641" t="s">
        <v>25</v>
      </c>
      <c r="E3641" t="s">
        <v>23</v>
      </c>
      <c r="F3641" t="s">
        <v>22</v>
      </c>
      <c r="G3641">
        <v>0</v>
      </c>
      <c r="H3641">
        <v>274</v>
      </c>
      <c r="I3641">
        <v>156</v>
      </c>
      <c r="J3641">
        <v>46.58</v>
      </c>
      <c r="K3641">
        <v>263</v>
      </c>
      <c r="L3641">
        <v>69</v>
      </c>
      <c r="M3641">
        <v>22.36</v>
      </c>
      <c r="N3641">
        <v>195.9</v>
      </c>
      <c r="O3641">
        <v>93</v>
      </c>
      <c r="P3641">
        <v>8.82</v>
      </c>
      <c r="Q3641">
        <v>11.3</v>
      </c>
      <c r="R3641">
        <v>3</v>
      </c>
      <c r="S3641">
        <v>3.05</v>
      </c>
      <c r="T3641">
        <v>3</v>
      </c>
      <c r="U3641" t="s">
        <v>23</v>
      </c>
      <c r="V3641" t="e">
        <f>IF(#REF! = "yes", 1, 0)</f>
        <v>#REF!</v>
      </c>
      <c r="W3641" t="e">
        <f>IF(#REF! &lt;= 1, "0-1 Calls", IF(#REF! &lt;= 3, "2-3 Calls", IF(#REF! &lt;=5, "4-5 Calls", "6+ Calls")))</f>
        <v>#REF!</v>
      </c>
      <c r="X3641" t="e">
        <f>IF(#REF! &lt;= 50, "0-50", IF(#REF! &lt;=100, "51-100", IF(#REF! &lt;= 150, "101-150", "151+")))</f>
        <v>#REF!</v>
      </c>
      <c r="Y3641" t="e">
        <f>IF(#REF! &lt;= 3, "Low Charges", "High Charges")</f>
        <v>#REF!</v>
      </c>
      <c r="Z3641" t="e">
        <f>IF(#REF!&lt;=80,"Low Calls",
IF(#REF!&lt;=120,"Medium Calls","High Calls"))</f>
        <v>#REF!</v>
      </c>
      <c r="AA3641" t="e">
        <f>IF(#REF!&lt;=15,"Low Charges",
IF(#REF!&lt;=20,"Medium Charges","High Charges"))</f>
        <v>#REF!</v>
      </c>
      <c r="AB3641" t="e">
        <f>IF(AND(#REF!&gt;180, #REF!&gt;200), "Heavy Doemstic User", IF(#REF!&gt;10, "Interntional User", IF(AND(#REF!&lt;180, #REF!&lt;200,#REF!&lt;200), "Light User", "Balanced User")))</f>
        <v>#REF!</v>
      </c>
      <c r="AC3641" t="e">
        <f>IF(#REF! = 0, "No Usage", IF(#REF! &lt;= 20, "Low Usage", IF(#REF! &lt;= 40, "Medium Usgae", "High Usage")))</f>
        <v>#REF!</v>
      </c>
      <c r="AD3641" t="e">
        <f>IF(#REF!&lt;=150,"Low Usage", IF(#REF!&lt;=200,"Medium Usage", IF(#REF!&lt;=250,"High Usage","Very High Usage")))</f>
        <v>#REF!</v>
      </c>
      <c r="AE3641" t="e">
        <f>IF(#REF!&lt;=5,"Low Calls", IF(#REF!&lt;=10, "Medium Calls", "High Calls"))</f>
        <v>#REF!</v>
      </c>
      <c r="AF3641" t="e">
        <f xml:space="preserve">
IF(#REF!&gt;=4,4,0)+
IF(#REF!="yes",3,0)+
IF(#REF!="High Charges",3,0)+
IF(#REF!&gt;250,4,0)+
IF(#REF!="no",1,0)+
IF(#REF!="Heavy Domestic User",2,0)</f>
        <v>#REF!</v>
      </c>
      <c r="AG3641" t="e">
        <f>IF(#REF!&gt;=10,"High Risk", IF(#REF!&gt;=5,"Medium Risk","Low Risk"))</f>
        <v>#REF!</v>
      </c>
      <c r="AH3641" t="e">
        <f>#REF! + #REF! + #REF! + #REF!</f>
        <v>#REF!</v>
      </c>
    </row>
    <row r="3642" spans="1:34" x14ac:dyDescent="0.35">
      <c r="A3642">
        <v>3641</v>
      </c>
      <c r="B3642" t="s">
        <v>52</v>
      </c>
      <c r="C3642">
        <v>81</v>
      </c>
      <c r="D3642" t="s">
        <v>21</v>
      </c>
      <c r="E3642" t="s">
        <v>22</v>
      </c>
      <c r="F3642" t="s">
        <v>23</v>
      </c>
      <c r="G3642">
        <v>33</v>
      </c>
      <c r="H3642">
        <v>200.3</v>
      </c>
      <c r="I3642">
        <v>103</v>
      </c>
      <c r="J3642">
        <v>34.049999999999997</v>
      </c>
      <c r="K3642">
        <v>216.9</v>
      </c>
      <c r="L3642">
        <v>96</v>
      </c>
      <c r="M3642">
        <v>18.440000000000001</v>
      </c>
      <c r="N3642">
        <v>249.8</v>
      </c>
      <c r="O3642">
        <v>100</v>
      </c>
      <c r="P3642">
        <v>11.24</v>
      </c>
      <c r="Q3642">
        <v>15.5</v>
      </c>
      <c r="R3642">
        <v>4</v>
      </c>
      <c r="S3642">
        <v>4.1900000000000004</v>
      </c>
      <c r="T3642">
        <v>1</v>
      </c>
      <c r="U3642" t="s">
        <v>22</v>
      </c>
      <c r="V3642" t="e">
        <f>IF(#REF! = "yes", 1, 0)</f>
        <v>#REF!</v>
      </c>
      <c r="W3642" t="e">
        <f>IF(#REF! &lt;= 1, "0-1 Calls", IF(#REF! &lt;= 3, "2-3 Calls", IF(#REF! &lt;=5, "4-5 Calls", "6+ Calls")))</f>
        <v>#REF!</v>
      </c>
      <c r="X3642" t="e">
        <f>IF(#REF! &lt;= 50, "0-50", IF(#REF! &lt;=100, "51-100", IF(#REF! &lt;= 150, "101-150", "151+")))</f>
        <v>#REF!</v>
      </c>
      <c r="Y3642" t="e">
        <f>IF(#REF! &lt;= 3, "Low Charges", "High Charges")</f>
        <v>#REF!</v>
      </c>
      <c r="Z3642" t="e">
        <f>IF(#REF!&lt;=80,"Low Calls",
IF(#REF!&lt;=120,"Medium Calls","High Calls"))</f>
        <v>#REF!</v>
      </c>
      <c r="AA3642" t="e">
        <f>IF(#REF!&lt;=15,"Low Charges",
IF(#REF!&lt;=20,"Medium Charges","High Charges"))</f>
        <v>#REF!</v>
      </c>
      <c r="AB3642" t="e">
        <f>IF(AND(#REF!&gt;180, #REF!&gt;200), "Heavy Doemstic User", IF(#REF!&gt;10, "Interntional User", IF(AND(#REF!&lt;180, #REF!&lt;200,#REF!&lt;200), "Light User", "Balanced User")))</f>
        <v>#REF!</v>
      </c>
      <c r="AC3642" t="e">
        <f>IF(#REF! = 0, "No Usage", IF(#REF! &lt;= 20, "Low Usage", IF(#REF! &lt;= 40, "Medium Usgae", "High Usage")))</f>
        <v>#REF!</v>
      </c>
      <c r="AD3642" t="e">
        <f>IF(#REF!&lt;=150,"Low Usage", IF(#REF!&lt;=200,"Medium Usage", IF(#REF!&lt;=250,"High Usage","Very High Usage")))</f>
        <v>#REF!</v>
      </c>
      <c r="AE3642" t="e">
        <f>IF(#REF!&lt;=5,"Low Calls", IF(#REF!&lt;=10, "Medium Calls", "High Calls"))</f>
        <v>#REF!</v>
      </c>
      <c r="AF3642" t="e">
        <f xml:space="preserve">
IF(#REF!&gt;=4,4,0)+
IF(#REF!="yes",3,0)+
IF(#REF!="High Charges",3,0)+
IF(#REF!&gt;250,4,0)+
IF(#REF!="no",1,0)+
IF(#REF!="Heavy Domestic User",2,0)</f>
        <v>#REF!</v>
      </c>
      <c r="AG3642" t="e">
        <f>IF(#REF!&gt;=10,"High Risk", IF(#REF!&gt;=5,"Medium Risk","Low Risk"))</f>
        <v>#REF!</v>
      </c>
      <c r="AH3642" t="e">
        <f>#REF! + #REF! + #REF! + #REF!</f>
        <v>#REF!</v>
      </c>
    </row>
    <row r="3643" spans="1:34" x14ac:dyDescent="0.35">
      <c r="A3643">
        <v>3642</v>
      </c>
      <c r="B3643" t="s">
        <v>48</v>
      </c>
      <c r="C3643">
        <v>63</v>
      </c>
      <c r="D3643" t="s">
        <v>25</v>
      </c>
      <c r="E3643" t="s">
        <v>22</v>
      </c>
      <c r="F3643" t="s">
        <v>22</v>
      </c>
      <c r="G3643">
        <v>0</v>
      </c>
      <c r="H3643">
        <v>204</v>
      </c>
      <c r="I3643">
        <v>119</v>
      </c>
      <c r="J3643">
        <v>34.68</v>
      </c>
      <c r="K3643">
        <v>161.69999999999999</v>
      </c>
      <c r="L3643">
        <v>90</v>
      </c>
      <c r="M3643">
        <v>13.74</v>
      </c>
      <c r="N3643">
        <v>202.6</v>
      </c>
      <c r="O3643">
        <v>113</v>
      </c>
      <c r="P3643">
        <v>9.1199999999999992</v>
      </c>
      <c r="Q3643">
        <v>9.4</v>
      </c>
      <c r="R3643">
        <v>4</v>
      </c>
      <c r="S3643">
        <v>2.54</v>
      </c>
      <c r="T3643">
        <v>3</v>
      </c>
      <c r="U3643" t="s">
        <v>22</v>
      </c>
      <c r="V3643" t="e">
        <f>IF(#REF! = "yes", 1, 0)</f>
        <v>#REF!</v>
      </c>
      <c r="W3643" t="e">
        <f>IF(#REF! &lt;= 1, "0-1 Calls", IF(#REF! &lt;= 3, "2-3 Calls", IF(#REF! &lt;=5, "4-5 Calls", "6+ Calls")))</f>
        <v>#REF!</v>
      </c>
      <c r="X3643" t="e">
        <f>IF(#REF! &lt;= 50, "0-50", IF(#REF! &lt;=100, "51-100", IF(#REF! &lt;= 150, "101-150", "151+")))</f>
        <v>#REF!</v>
      </c>
      <c r="Y3643" t="e">
        <f>IF(#REF! &lt;= 3, "Low Charges", "High Charges")</f>
        <v>#REF!</v>
      </c>
      <c r="Z3643" t="e">
        <f>IF(#REF!&lt;=80,"Low Calls",
IF(#REF!&lt;=120,"Medium Calls","High Calls"))</f>
        <v>#REF!</v>
      </c>
      <c r="AA3643" t="e">
        <f>IF(#REF!&lt;=15,"Low Charges",
IF(#REF!&lt;=20,"Medium Charges","High Charges"))</f>
        <v>#REF!</v>
      </c>
      <c r="AB3643" t="e">
        <f>IF(AND(#REF!&gt;180, #REF!&gt;200), "Heavy Doemstic User", IF(#REF!&gt;10, "Interntional User", IF(AND(#REF!&lt;180, #REF!&lt;200,#REF!&lt;200), "Light User", "Balanced User")))</f>
        <v>#REF!</v>
      </c>
      <c r="AC3643" t="e">
        <f>IF(#REF! = 0, "No Usage", IF(#REF! &lt;= 20, "Low Usage", IF(#REF! &lt;= 40, "Medium Usgae", "High Usage")))</f>
        <v>#REF!</v>
      </c>
      <c r="AD3643" t="e">
        <f>IF(#REF!&lt;=150,"Low Usage", IF(#REF!&lt;=200,"Medium Usage", IF(#REF!&lt;=250,"High Usage","Very High Usage")))</f>
        <v>#REF!</v>
      </c>
      <c r="AE3643" t="e">
        <f>IF(#REF!&lt;=5,"Low Calls", IF(#REF!&lt;=10, "Medium Calls", "High Calls"))</f>
        <v>#REF!</v>
      </c>
      <c r="AF3643" t="e">
        <f xml:space="preserve">
IF(#REF!&gt;=4,4,0)+
IF(#REF!="yes",3,0)+
IF(#REF!="High Charges",3,0)+
IF(#REF!&gt;250,4,0)+
IF(#REF!="no",1,0)+
IF(#REF!="Heavy Domestic User",2,0)</f>
        <v>#REF!</v>
      </c>
      <c r="AG3643" t="e">
        <f>IF(#REF!&gt;=10,"High Risk", IF(#REF!&gt;=5,"Medium Risk","Low Risk"))</f>
        <v>#REF!</v>
      </c>
      <c r="AH3643" t="e">
        <f>#REF! + #REF! + #REF! + #REF!</f>
        <v>#REF!</v>
      </c>
    </row>
    <row r="3644" spans="1:34" x14ac:dyDescent="0.35">
      <c r="A3644">
        <v>3643</v>
      </c>
      <c r="B3644" t="s">
        <v>53</v>
      </c>
      <c r="C3644">
        <v>126</v>
      </c>
      <c r="D3644" t="s">
        <v>21</v>
      </c>
      <c r="E3644" t="s">
        <v>22</v>
      </c>
      <c r="F3644" t="s">
        <v>22</v>
      </c>
      <c r="G3644">
        <v>0</v>
      </c>
      <c r="H3644">
        <v>193.1</v>
      </c>
      <c r="I3644">
        <v>114</v>
      </c>
      <c r="J3644">
        <v>32.83</v>
      </c>
      <c r="K3644">
        <v>75.5</v>
      </c>
      <c r="L3644">
        <v>61</v>
      </c>
      <c r="M3644">
        <v>6.42</v>
      </c>
      <c r="N3644">
        <v>186.2</v>
      </c>
      <c r="O3644">
        <v>73</v>
      </c>
      <c r="P3644">
        <v>8.3800000000000008</v>
      </c>
      <c r="Q3644">
        <v>11.1</v>
      </c>
      <c r="R3644">
        <v>1</v>
      </c>
      <c r="S3644">
        <v>3</v>
      </c>
      <c r="T3644">
        <v>3</v>
      </c>
      <c r="U3644" t="s">
        <v>22</v>
      </c>
      <c r="V3644" t="e">
        <f>IF(#REF! = "yes", 1, 0)</f>
        <v>#REF!</v>
      </c>
      <c r="W3644" t="e">
        <f>IF(#REF! &lt;= 1, "0-1 Calls", IF(#REF! &lt;= 3, "2-3 Calls", IF(#REF! &lt;=5, "4-5 Calls", "6+ Calls")))</f>
        <v>#REF!</v>
      </c>
      <c r="X3644" t="e">
        <f>IF(#REF! &lt;= 50, "0-50", IF(#REF! &lt;=100, "51-100", IF(#REF! &lt;= 150, "101-150", "151+")))</f>
        <v>#REF!</v>
      </c>
      <c r="Y3644" t="e">
        <f>IF(#REF! &lt;= 3, "Low Charges", "High Charges")</f>
        <v>#REF!</v>
      </c>
      <c r="Z3644" t="e">
        <f>IF(#REF!&lt;=80,"Low Calls",
IF(#REF!&lt;=120,"Medium Calls","High Calls"))</f>
        <v>#REF!</v>
      </c>
      <c r="AA3644" t="e">
        <f>IF(#REF!&lt;=15,"Low Charges",
IF(#REF!&lt;=20,"Medium Charges","High Charges"))</f>
        <v>#REF!</v>
      </c>
      <c r="AB3644" t="e">
        <f>IF(AND(#REF!&gt;180, #REF!&gt;200), "Heavy Doemstic User", IF(#REF!&gt;10, "Interntional User", IF(AND(#REF!&lt;180, #REF!&lt;200,#REF!&lt;200), "Light User", "Balanced User")))</f>
        <v>#REF!</v>
      </c>
      <c r="AC3644" t="e">
        <f>IF(#REF! = 0, "No Usage", IF(#REF! &lt;= 20, "Low Usage", IF(#REF! &lt;= 40, "Medium Usgae", "High Usage")))</f>
        <v>#REF!</v>
      </c>
      <c r="AD3644" t="e">
        <f>IF(#REF!&lt;=150,"Low Usage", IF(#REF!&lt;=200,"Medium Usage", IF(#REF!&lt;=250,"High Usage","Very High Usage")))</f>
        <v>#REF!</v>
      </c>
      <c r="AE3644" t="e">
        <f>IF(#REF!&lt;=5,"Low Calls", IF(#REF!&lt;=10, "Medium Calls", "High Calls"))</f>
        <v>#REF!</v>
      </c>
      <c r="AF3644" t="e">
        <f xml:space="preserve">
IF(#REF!&gt;=4,4,0)+
IF(#REF!="yes",3,0)+
IF(#REF!="High Charges",3,0)+
IF(#REF!&gt;250,4,0)+
IF(#REF!="no",1,0)+
IF(#REF!="Heavy Domestic User",2,0)</f>
        <v>#REF!</v>
      </c>
      <c r="AG3644" t="e">
        <f>IF(#REF!&gt;=10,"High Risk", IF(#REF!&gt;=5,"Medium Risk","Low Risk"))</f>
        <v>#REF!</v>
      </c>
      <c r="AH3644" t="e">
        <f>#REF! + #REF! + #REF! + #REF!</f>
        <v>#REF!</v>
      </c>
    </row>
    <row r="3645" spans="1:34" x14ac:dyDescent="0.35">
      <c r="A3645">
        <v>3644</v>
      </c>
      <c r="B3645" t="s">
        <v>52</v>
      </c>
      <c r="C3645">
        <v>153</v>
      </c>
      <c r="D3645" t="s">
        <v>21</v>
      </c>
      <c r="E3645" t="s">
        <v>22</v>
      </c>
      <c r="F3645" t="s">
        <v>22</v>
      </c>
      <c r="G3645">
        <v>0</v>
      </c>
      <c r="H3645">
        <v>202.2</v>
      </c>
      <c r="I3645">
        <v>132</v>
      </c>
      <c r="J3645">
        <v>34.369999999999997</v>
      </c>
      <c r="K3645">
        <v>158.9</v>
      </c>
      <c r="L3645">
        <v>78</v>
      </c>
      <c r="M3645">
        <v>13.51</v>
      </c>
      <c r="N3645">
        <v>111.4</v>
      </c>
      <c r="O3645">
        <v>98</v>
      </c>
      <c r="P3645">
        <v>5.01</v>
      </c>
      <c r="Q3645">
        <v>8.6</v>
      </c>
      <c r="R3645">
        <v>4</v>
      </c>
      <c r="S3645">
        <v>2.3199999999999998</v>
      </c>
      <c r="T3645">
        <v>2</v>
      </c>
      <c r="U3645" t="s">
        <v>22</v>
      </c>
      <c r="V3645" t="e">
        <f>IF(#REF! = "yes", 1, 0)</f>
        <v>#REF!</v>
      </c>
      <c r="W3645" t="e">
        <f>IF(#REF! &lt;= 1, "0-1 Calls", IF(#REF! &lt;= 3, "2-3 Calls", IF(#REF! &lt;=5, "4-5 Calls", "6+ Calls")))</f>
        <v>#REF!</v>
      </c>
      <c r="X3645" t="e">
        <f>IF(#REF! &lt;= 50, "0-50", IF(#REF! &lt;=100, "51-100", IF(#REF! &lt;= 150, "101-150", "151+")))</f>
        <v>#REF!</v>
      </c>
      <c r="Y3645" t="e">
        <f>IF(#REF! &lt;= 3, "Low Charges", "High Charges")</f>
        <v>#REF!</v>
      </c>
      <c r="Z3645" t="e">
        <f>IF(#REF!&lt;=80,"Low Calls",
IF(#REF!&lt;=120,"Medium Calls","High Calls"))</f>
        <v>#REF!</v>
      </c>
      <c r="AA3645" t="e">
        <f>IF(#REF!&lt;=15,"Low Charges",
IF(#REF!&lt;=20,"Medium Charges","High Charges"))</f>
        <v>#REF!</v>
      </c>
      <c r="AB3645" t="e">
        <f>IF(AND(#REF!&gt;180, #REF!&gt;200), "Heavy Doemstic User", IF(#REF!&gt;10, "Interntional User", IF(AND(#REF!&lt;180, #REF!&lt;200,#REF!&lt;200), "Light User", "Balanced User")))</f>
        <v>#REF!</v>
      </c>
      <c r="AC3645" t="e">
        <f>IF(#REF! = 0, "No Usage", IF(#REF! &lt;= 20, "Low Usage", IF(#REF! &lt;= 40, "Medium Usgae", "High Usage")))</f>
        <v>#REF!</v>
      </c>
      <c r="AD3645" t="e">
        <f>IF(#REF!&lt;=150,"Low Usage", IF(#REF!&lt;=200,"Medium Usage", IF(#REF!&lt;=250,"High Usage","Very High Usage")))</f>
        <v>#REF!</v>
      </c>
      <c r="AE3645" t="e">
        <f>IF(#REF!&lt;=5,"Low Calls", IF(#REF!&lt;=10, "Medium Calls", "High Calls"))</f>
        <v>#REF!</v>
      </c>
      <c r="AF3645" t="e">
        <f xml:space="preserve">
IF(#REF!&gt;=4,4,0)+
IF(#REF!="yes",3,0)+
IF(#REF!="High Charges",3,0)+
IF(#REF!&gt;250,4,0)+
IF(#REF!="no",1,0)+
IF(#REF!="Heavy Domestic User",2,0)</f>
        <v>#REF!</v>
      </c>
      <c r="AG3645" t="e">
        <f>IF(#REF!&gt;=10,"High Risk", IF(#REF!&gt;=5,"Medium Risk","Low Risk"))</f>
        <v>#REF!</v>
      </c>
      <c r="AH3645" t="e">
        <f>#REF! + #REF! + #REF! + #REF!</f>
        <v>#REF!</v>
      </c>
    </row>
    <row r="3646" spans="1:34" x14ac:dyDescent="0.35">
      <c r="A3646">
        <v>3645</v>
      </c>
      <c r="B3646" t="s">
        <v>52</v>
      </c>
      <c r="C3646">
        <v>67</v>
      </c>
      <c r="D3646" t="s">
        <v>21</v>
      </c>
      <c r="E3646" t="s">
        <v>22</v>
      </c>
      <c r="F3646" t="s">
        <v>22</v>
      </c>
      <c r="G3646">
        <v>0</v>
      </c>
      <c r="H3646">
        <v>245.1</v>
      </c>
      <c r="I3646">
        <v>118</v>
      </c>
      <c r="J3646">
        <v>41.67</v>
      </c>
      <c r="K3646">
        <v>185.2</v>
      </c>
      <c r="L3646">
        <v>94</v>
      </c>
      <c r="M3646">
        <v>15.74</v>
      </c>
      <c r="N3646">
        <v>193.6</v>
      </c>
      <c r="O3646">
        <v>112</v>
      </c>
      <c r="P3646">
        <v>8.7100000000000009</v>
      </c>
      <c r="Q3646">
        <v>8.1</v>
      </c>
      <c r="R3646">
        <v>3</v>
      </c>
      <c r="S3646">
        <v>2.19</v>
      </c>
      <c r="T3646">
        <v>3</v>
      </c>
      <c r="U3646" t="s">
        <v>22</v>
      </c>
      <c r="V3646" t="e">
        <f>IF(#REF! = "yes", 1, 0)</f>
        <v>#REF!</v>
      </c>
      <c r="W3646" t="e">
        <f>IF(#REF! &lt;= 1, "0-1 Calls", IF(#REF! &lt;= 3, "2-3 Calls", IF(#REF! &lt;=5, "4-5 Calls", "6+ Calls")))</f>
        <v>#REF!</v>
      </c>
      <c r="X3646" t="e">
        <f>IF(#REF! &lt;= 50, "0-50", IF(#REF! &lt;=100, "51-100", IF(#REF! &lt;= 150, "101-150", "151+")))</f>
        <v>#REF!</v>
      </c>
      <c r="Y3646" t="e">
        <f>IF(#REF! &lt;= 3, "Low Charges", "High Charges")</f>
        <v>#REF!</v>
      </c>
      <c r="Z3646" t="e">
        <f>IF(#REF!&lt;=80,"Low Calls",
IF(#REF!&lt;=120,"Medium Calls","High Calls"))</f>
        <v>#REF!</v>
      </c>
      <c r="AA3646" t="e">
        <f>IF(#REF!&lt;=15,"Low Charges",
IF(#REF!&lt;=20,"Medium Charges","High Charges"))</f>
        <v>#REF!</v>
      </c>
      <c r="AB3646" t="e">
        <f>IF(AND(#REF!&gt;180, #REF!&gt;200), "Heavy Doemstic User", IF(#REF!&gt;10, "Interntional User", IF(AND(#REF!&lt;180, #REF!&lt;200,#REF!&lt;200), "Light User", "Balanced User")))</f>
        <v>#REF!</v>
      </c>
      <c r="AC3646" t="e">
        <f>IF(#REF! = 0, "No Usage", IF(#REF! &lt;= 20, "Low Usage", IF(#REF! &lt;= 40, "Medium Usgae", "High Usage")))</f>
        <v>#REF!</v>
      </c>
      <c r="AD3646" t="e">
        <f>IF(#REF!&lt;=150,"Low Usage", IF(#REF!&lt;=200,"Medium Usage", IF(#REF!&lt;=250,"High Usage","Very High Usage")))</f>
        <v>#REF!</v>
      </c>
      <c r="AE3646" t="e">
        <f>IF(#REF!&lt;=5,"Low Calls", IF(#REF!&lt;=10, "Medium Calls", "High Calls"))</f>
        <v>#REF!</v>
      </c>
      <c r="AF3646" t="e">
        <f xml:space="preserve">
IF(#REF!&gt;=4,4,0)+
IF(#REF!="yes",3,0)+
IF(#REF!="High Charges",3,0)+
IF(#REF!&gt;250,4,0)+
IF(#REF!="no",1,0)+
IF(#REF!="Heavy Domestic User",2,0)</f>
        <v>#REF!</v>
      </c>
      <c r="AG3646" t="e">
        <f>IF(#REF!&gt;=10,"High Risk", IF(#REF!&gt;=5,"Medium Risk","Low Risk"))</f>
        <v>#REF!</v>
      </c>
      <c r="AH3646" t="e">
        <f>#REF! + #REF! + #REF! + #REF!</f>
        <v>#REF!</v>
      </c>
    </row>
    <row r="3647" spans="1:34" x14ac:dyDescent="0.35">
      <c r="A3647">
        <v>3646</v>
      </c>
      <c r="B3647" t="s">
        <v>27</v>
      </c>
      <c r="C3647">
        <v>65</v>
      </c>
      <c r="D3647" t="s">
        <v>25</v>
      </c>
      <c r="E3647" t="s">
        <v>22</v>
      </c>
      <c r="F3647" t="s">
        <v>22</v>
      </c>
      <c r="G3647">
        <v>0</v>
      </c>
      <c r="H3647">
        <v>158.30000000000001</v>
      </c>
      <c r="I3647">
        <v>71</v>
      </c>
      <c r="J3647">
        <v>26.91</v>
      </c>
      <c r="K3647">
        <v>168.3</v>
      </c>
      <c r="L3647">
        <v>119</v>
      </c>
      <c r="M3647">
        <v>14.31</v>
      </c>
      <c r="N3647">
        <v>139.9</v>
      </c>
      <c r="O3647">
        <v>119</v>
      </c>
      <c r="P3647">
        <v>6.3</v>
      </c>
      <c r="Q3647">
        <v>6.6</v>
      </c>
      <c r="R3647">
        <v>6</v>
      </c>
      <c r="S3647">
        <v>1.78</v>
      </c>
      <c r="T3647">
        <v>2</v>
      </c>
      <c r="U3647" t="s">
        <v>22</v>
      </c>
      <c r="V3647" t="e">
        <f>IF(#REF! = "yes", 1, 0)</f>
        <v>#REF!</v>
      </c>
      <c r="W3647" t="e">
        <f>IF(#REF! &lt;= 1, "0-1 Calls", IF(#REF! &lt;= 3, "2-3 Calls", IF(#REF! &lt;=5, "4-5 Calls", "6+ Calls")))</f>
        <v>#REF!</v>
      </c>
      <c r="X3647" t="e">
        <f>IF(#REF! &lt;= 50, "0-50", IF(#REF! &lt;=100, "51-100", IF(#REF! &lt;= 150, "101-150", "151+")))</f>
        <v>#REF!</v>
      </c>
      <c r="Y3647" t="e">
        <f>IF(#REF! &lt;= 3, "Low Charges", "High Charges")</f>
        <v>#REF!</v>
      </c>
      <c r="Z3647" t="e">
        <f>IF(#REF!&lt;=80,"Low Calls",
IF(#REF!&lt;=120,"Medium Calls","High Calls"))</f>
        <v>#REF!</v>
      </c>
      <c r="AA3647" t="e">
        <f>IF(#REF!&lt;=15,"Low Charges",
IF(#REF!&lt;=20,"Medium Charges","High Charges"))</f>
        <v>#REF!</v>
      </c>
      <c r="AB3647" t="e">
        <f>IF(AND(#REF!&gt;180, #REF!&gt;200), "Heavy Doemstic User", IF(#REF!&gt;10, "Interntional User", IF(AND(#REF!&lt;180, #REF!&lt;200,#REF!&lt;200), "Light User", "Balanced User")))</f>
        <v>#REF!</v>
      </c>
      <c r="AC3647" t="e">
        <f>IF(#REF! = 0, "No Usage", IF(#REF! &lt;= 20, "Low Usage", IF(#REF! &lt;= 40, "Medium Usgae", "High Usage")))</f>
        <v>#REF!</v>
      </c>
      <c r="AD3647" t="e">
        <f>IF(#REF!&lt;=150,"Low Usage", IF(#REF!&lt;=200,"Medium Usage", IF(#REF!&lt;=250,"High Usage","Very High Usage")))</f>
        <v>#REF!</v>
      </c>
      <c r="AE3647" t="e">
        <f>IF(#REF!&lt;=5,"Low Calls", IF(#REF!&lt;=10, "Medium Calls", "High Calls"))</f>
        <v>#REF!</v>
      </c>
      <c r="AF3647" t="e">
        <f xml:space="preserve">
IF(#REF!&gt;=4,4,0)+
IF(#REF!="yes",3,0)+
IF(#REF!="High Charges",3,0)+
IF(#REF!&gt;250,4,0)+
IF(#REF!="no",1,0)+
IF(#REF!="Heavy Domestic User",2,0)</f>
        <v>#REF!</v>
      </c>
      <c r="AG3647" t="e">
        <f>IF(#REF!&gt;=10,"High Risk", IF(#REF!&gt;=5,"Medium Risk","Low Risk"))</f>
        <v>#REF!</v>
      </c>
      <c r="AH3647" t="e">
        <f>#REF! + #REF! + #REF! + #REF!</f>
        <v>#REF!</v>
      </c>
    </row>
    <row r="3648" spans="1:34" x14ac:dyDescent="0.35">
      <c r="A3648">
        <v>3647</v>
      </c>
      <c r="B3648" t="s">
        <v>34</v>
      </c>
      <c r="C3648">
        <v>21</v>
      </c>
      <c r="D3648" t="s">
        <v>25</v>
      </c>
      <c r="E3648" t="s">
        <v>22</v>
      </c>
      <c r="F3648" t="s">
        <v>22</v>
      </c>
      <c r="G3648">
        <v>0</v>
      </c>
      <c r="H3648">
        <v>138.1</v>
      </c>
      <c r="I3648">
        <v>79</v>
      </c>
      <c r="J3648">
        <v>23.48</v>
      </c>
      <c r="K3648">
        <v>186.9</v>
      </c>
      <c r="L3648">
        <v>75</v>
      </c>
      <c r="M3648">
        <v>15.89</v>
      </c>
      <c r="N3648">
        <v>194.2</v>
      </c>
      <c r="O3648">
        <v>105</v>
      </c>
      <c r="P3648">
        <v>8.74</v>
      </c>
      <c r="Q3648">
        <v>12.1</v>
      </c>
      <c r="R3648">
        <v>1</v>
      </c>
      <c r="S3648">
        <v>3.27</v>
      </c>
      <c r="T3648">
        <v>0</v>
      </c>
      <c r="U3648" t="s">
        <v>22</v>
      </c>
      <c r="V3648" t="e">
        <f>IF(#REF! = "yes", 1, 0)</f>
        <v>#REF!</v>
      </c>
      <c r="W3648" t="e">
        <f>IF(#REF! &lt;= 1, "0-1 Calls", IF(#REF! &lt;= 3, "2-3 Calls", IF(#REF! &lt;=5, "4-5 Calls", "6+ Calls")))</f>
        <v>#REF!</v>
      </c>
      <c r="X3648" t="e">
        <f>IF(#REF! &lt;= 50, "0-50", IF(#REF! &lt;=100, "51-100", IF(#REF! &lt;= 150, "101-150", "151+")))</f>
        <v>#REF!</v>
      </c>
      <c r="Y3648" t="e">
        <f>IF(#REF! &lt;= 3, "Low Charges", "High Charges")</f>
        <v>#REF!</v>
      </c>
      <c r="Z3648" t="e">
        <f>IF(#REF!&lt;=80,"Low Calls",
IF(#REF!&lt;=120,"Medium Calls","High Calls"))</f>
        <v>#REF!</v>
      </c>
      <c r="AA3648" t="e">
        <f>IF(#REF!&lt;=15,"Low Charges",
IF(#REF!&lt;=20,"Medium Charges","High Charges"))</f>
        <v>#REF!</v>
      </c>
      <c r="AB3648" t="e">
        <f>IF(AND(#REF!&gt;180, #REF!&gt;200), "Heavy Doemstic User", IF(#REF!&gt;10, "Interntional User", IF(AND(#REF!&lt;180, #REF!&lt;200,#REF!&lt;200), "Light User", "Balanced User")))</f>
        <v>#REF!</v>
      </c>
      <c r="AC3648" t="e">
        <f>IF(#REF! = 0, "No Usage", IF(#REF! &lt;= 20, "Low Usage", IF(#REF! &lt;= 40, "Medium Usgae", "High Usage")))</f>
        <v>#REF!</v>
      </c>
      <c r="AD3648" t="e">
        <f>IF(#REF!&lt;=150,"Low Usage", IF(#REF!&lt;=200,"Medium Usage", IF(#REF!&lt;=250,"High Usage","Very High Usage")))</f>
        <v>#REF!</v>
      </c>
      <c r="AE3648" t="e">
        <f>IF(#REF!&lt;=5,"Low Calls", IF(#REF!&lt;=10, "Medium Calls", "High Calls"))</f>
        <v>#REF!</v>
      </c>
      <c r="AF3648" t="e">
        <f xml:space="preserve">
IF(#REF!&gt;=4,4,0)+
IF(#REF!="yes",3,0)+
IF(#REF!="High Charges",3,0)+
IF(#REF!&gt;250,4,0)+
IF(#REF!="no",1,0)+
IF(#REF!="Heavy Domestic User",2,0)</f>
        <v>#REF!</v>
      </c>
      <c r="AG3648" t="e">
        <f>IF(#REF!&gt;=10,"High Risk", IF(#REF!&gt;=5,"Medium Risk","Low Risk"))</f>
        <v>#REF!</v>
      </c>
      <c r="AH3648" t="e">
        <f>#REF! + #REF! + #REF! + #REF!</f>
        <v>#REF!</v>
      </c>
    </row>
    <row r="3649" spans="1:34" x14ac:dyDescent="0.35">
      <c r="A3649">
        <v>3648</v>
      </c>
      <c r="B3649" t="s">
        <v>38</v>
      </c>
      <c r="C3649">
        <v>72</v>
      </c>
      <c r="D3649" t="s">
        <v>28</v>
      </c>
      <c r="E3649" t="s">
        <v>22</v>
      </c>
      <c r="F3649" t="s">
        <v>22</v>
      </c>
      <c r="G3649">
        <v>0</v>
      </c>
      <c r="H3649">
        <v>212.7</v>
      </c>
      <c r="I3649">
        <v>92</v>
      </c>
      <c r="J3649">
        <v>36.159999999999997</v>
      </c>
      <c r="K3649">
        <v>306.39999999999998</v>
      </c>
      <c r="L3649">
        <v>100</v>
      </c>
      <c r="M3649">
        <v>26.04</v>
      </c>
      <c r="N3649">
        <v>140.30000000000001</v>
      </c>
      <c r="O3649">
        <v>90</v>
      </c>
      <c r="P3649">
        <v>6.31</v>
      </c>
      <c r="Q3649">
        <v>12.9</v>
      </c>
      <c r="R3649">
        <v>6</v>
      </c>
      <c r="S3649">
        <v>3.48</v>
      </c>
      <c r="T3649">
        <v>0</v>
      </c>
      <c r="U3649" t="s">
        <v>22</v>
      </c>
      <c r="V3649" t="e">
        <f>IF(#REF! = "yes", 1, 0)</f>
        <v>#REF!</v>
      </c>
      <c r="W3649" t="e">
        <f>IF(#REF! &lt;= 1, "0-1 Calls", IF(#REF! &lt;= 3, "2-3 Calls", IF(#REF! &lt;=5, "4-5 Calls", "6+ Calls")))</f>
        <v>#REF!</v>
      </c>
      <c r="X3649" t="e">
        <f>IF(#REF! &lt;= 50, "0-50", IF(#REF! &lt;=100, "51-100", IF(#REF! &lt;= 150, "101-150", "151+")))</f>
        <v>#REF!</v>
      </c>
      <c r="Y3649" t="e">
        <f>IF(#REF! &lt;= 3, "Low Charges", "High Charges")</f>
        <v>#REF!</v>
      </c>
      <c r="Z3649" t="e">
        <f>IF(#REF!&lt;=80,"Low Calls",
IF(#REF!&lt;=120,"Medium Calls","High Calls"))</f>
        <v>#REF!</v>
      </c>
      <c r="AA3649" t="e">
        <f>IF(#REF!&lt;=15,"Low Charges",
IF(#REF!&lt;=20,"Medium Charges","High Charges"))</f>
        <v>#REF!</v>
      </c>
      <c r="AB3649" t="e">
        <f>IF(AND(#REF!&gt;180, #REF!&gt;200), "Heavy Doemstic User", IF(#REF!&gt;10, "Interntional User", IF(AND(#REF!&lt;180, #REF!&lt;200,#REF!&lt;200), "Light User", "Balanced User")))</f>
        <v>#REF!</v>
      </c>
      <c r="AC3649" t="e">
        <f>IF(#REF! = 0, "No Usage", IF(#REF! &lt;= 20, "Low Usage", IF(#REF! &lt;= 40, "Medium Usgae", "High Usage")))</f>
        <v>#REF!</v>
      </c>
      <c r="AD3649" t="e">
        <f>IF(#REF!&lt;=150,"Low Usage", IF(#REF!&lt;=200,"Medium Usage", IF(#REF!&lt;=250,"High Usage","Very High Usage")))</f>
        <v>#REF!</v>
      </c>
      <c r="AE3649" t="e">
        <f>IF(#REF!&lt;=5,"Low Calls", IF(#REF!&lt;=10, "Medium Calls", "High Calls"))</f>
        <v>#REF!</v>
      </c>
      <c r="AF3649" t="e">
        <f xml:space="preserve">
IF(#REF!&gt;=4,4,0)+
IF(#REF!="yes",3,0)+
IF(#REF!="High Charges",3,0)+
IF(#REF!&gt;250,4,0)+
IF(#REF!="no",1,0)+
IF(#REF!="Heavy Domestic User",2,0)</f>
        <v>#REF!</v>
      </c>
      <c r="AG3649" t="e">
        <f>IF(#REF!&gt;=10,"High Risk", IF(#REF!&gt;=5,"Medium Risk","Low Risk"))</f>
        <v>#REF!</v>
      </c>
      <c r="AH3649" t="e">
        <f>#REF! + #REF! + #REF! + #REF!</f>
        <v>#REF!</v>
      </c>
    </row>
    <row r="3650" spans="1:34" x14ac:dyDescent="0.35">
      <c r="A3650">
        <v>3649</v>
      </c>
      <c r="B3650" t="s">
        <v>31</v>
      </c>
      <c r="C3650">
        <v>176</v>
      </c>
      <c r="D3650" t="s">
        <v>28</v>
      </c>
      <c r="E3650" t="s">
        <v>22</v>
      </c>
      <c r="F3650" t="s">
        <v>22</v>
      </c>
      <c r="G3650">
        <v>0</v>
      </c>
      <c r="H3650">
        <v>304.2</v>
      </c>
      <c r="I3650">
        <v>111</v>
      </c>
      <c r="J3650">
        <v>51.71</v>
      </c>
      <c r="K3650">
        <v>306.60000000000002</v>
      </c>
      <c r="L3650">
        <v>64</v>
      </c>
      <c r="M3650">
        <v>26.06</v>
      </c>
      <c r="N3650">
        <v>207.9</v>
      </c>
      <c r="O3650">
        <v>98</v>
      </c>
      <c r="P3650">
        <v>9.36</v>
      </c>
      <c r="Q3650">
        <v>9.5</v>
      </c>
      <c r="R3650">
        <v>2</v>
      </c>
      <c r="S3650">
        <v>2.57</v>
      </c>
      <c r="T3650">
        <v>7</v>
      </c>
      <c r="U3650" t="s">
        <v>23</v>
      </c>
      <c r="V3650" t="e">
        <f>IF(#REF! = "yes", 1, 0)</f>
        <v>#REF!</v>
      </c>
      <c r="W3650" t="e">
        <f>IF(#REF! &lt;= 1, "0-1 Calls", IF(#REF! &lt;= 3, "2-3 Calls", IF(#REF! &lt;=5, "4-5 Calls", "6+ Calls")))</f>
        <v>#REF!</v>
      </c>
      <c r="X3650" t="e">
        <f>IF(#REF! &lt;= 50, "0-50", IF(#REF! &lt;=100, "51-100", IF(#REF! &lt;= 150, "101-150", "151+")))</f>
        <v>#REF!</v>
      </c>
      <c r="Y3650" t="e">
        <f>IF(#REF! &lt;= 3, "Low Charges", "High Charges")</f>
        <v>#REF!</v>
      </c>
      <c r="Z3650" t="e">
        <f>IF(#REF!&lt;=80,"Low Calls",
IF(#REF!&lt;=120,"Medium Calls","High Calls"))</f>
        <v>#REF!</v>
      </c>
      <c r="AA3650" t="e">
        <f>IF(#REF!&lt;=15,"Low Charges",
IF(#REF!&lt;=20,"Medium Charges","High Charges"))</f>
        <v>#REF!</v>
      </c>
      <c r="AB3650" t="e">
        <f>IF(AND(#REF!&gt;180, #REF!&gt;200), "Heavy Doemstic User", IF(#REF!&gt;10, "Interntional User", IF(AND(#REF!&lt;180, #REF!&lt;200,#REF!&lt;200), "Light User", "Balanced User")))</f>
        <v>#REF!</v>
      </c>
      <c r="AC3650" t="e">
        <f>IF(#REF! = 0, "No Usage", IF(#REF! &lt;= 20, "Low Usage", IF(#REF! &lt;= 40, "Medium Usgae", "High Usage")))</f>
        <v>#REF!</v>
      </c>
      <c r="AD3650" t="e">
        <f>IF(#REF!&lt;=150,"Low Usage", IF(#REF!&lt;=200,"Medium Usage", IF(#REF!&lt;=250,"High Usage","Very High Usage")))</f>
        <v>#REF!</v>
      </c>
      <c r="AE3650" t="e">
        <f>IF(#REF!&lt;=5,"Low Calls", IF(#REF!&lt;=10, "Medium Calls", "High Calls"))</f>
        <v>#REF!</v>
      </c>
      <c r="AF3650" t="e">
        <f xml:space="preserve">
IF(#REF!&gt;=4,4,0)+
IF(#REF!="yes",3,0)+
IF(#REF!="High Charges",3,0)+
IF(#REF!&gt;250,4,0)+
IF(#REF!="no",1,0)+
IF(#REF!="Heavy Domestic User",2,0)</f>
        <v>#REF!</v>
      </c>
      <c r="AG3650" t="e">
        <f>IF(#REF!&gt;=10,"High Risk", IF(#REF!&gt;=5,"Medium Risk","Low Risk"))</f>
        <v>#REF!</v>
      </c>
      <c r="AH3650" t="e">
        <f>#REF! + #REF! + #REF! + #REF!</f>
        <v>#REF!</v>
      </c>
    </row>
    <row r="3651" spans="1:34" x14ac:dyDescent="0.35">
      <c r="A3651">
        <v>3650</v>
      </c>
      <c r="B3651" t="s">
        <v>39</v>
      </c>
      <c r="C3651">
        <v>150</v>
      </c>
      <c r="D3651" t="s">
        <v>25</v>
      </c>
      <c r="E3651" t="s">
        <v>22</v>
      </c>
      <c r="F3651" t="s">
        <v>23</v>
      </c>
      <c r="G3651">
        <v>24</v>
      </c>
      <c r="H3651">
        <v>212.4</v>
      </c>
      <c r="I3651">
        <v>157</v>
      </c>
      <c r="J3651">
        <v>36.11</v>
      </c>
      <c r="K3651">
        <v>168.7</v>
      </c>
      <c r="L3651">
        <v>91</v>
      </c>
      <c r="M3651">
        <v>14.34</v>
      </c>
      <c r="N3651">
        <v>199.4</v>
      </c>
      <c r="O3651">
        <v>112</v>
      </c>
      <c r="P3651">
        <v>8.9700000000000006</v>
      </c>
      <c r="Q3651">
        <v>9.6999999999999993</v>
      </c>
      <c r="R3651">
        <v>1</v>
      </c>
      <c r="S3651">
        <v>2.62</v>
      </c>
      <c r="T3651">
        <v>2</v>
      </c>
      <c r="U3651" t="s">
        <v>22</v>
      </c>
      <c r="V3651" t="e">
        <f>IF(#REF! = "yes", 1, 0)</f>
        <v>#REF!</v>
      </c>
      <c r="W3651" t="e">
        <f>IF(#REF! &lt;= 1, "0-1 Calls", IF(#REF! &lt;= 3, "2-3 Calls", IF(#REF! &lt;=5, "4-5 Calls", "6+ Calls")))</f>
        <v>#REF!</v>
      </c>
      <c r="X3651" t="e">
        <f>IF(#REF! &lt;= 50, "0-50", IF(#REF! &lt;=100, "51-100", IF(#REF! &lt;= 150, "101-150", "151+")))</f>
        <v>#REF!</v>
      </c>
      <c r="Y3651" t="e">
        <f>IF(#REF! &lt;= 3, "Low Charges", "High Charges")</f>
        <v>#REF!</v>
      </c>
      <c r="Z3651" t="e">
        <f>IF(#REF!&lt;=80,"Low Calls",
IF(#REF!&lt;=120,"Medium Calls","High Calls"))</f>
        <v>#REF!</v>
      </c>
      <c r="AA3651" t="e">
        <f>IF(#REF!&lt;=15,"Low Charges",
IF(#REF!&lt;=20,"Medium Charges","High Charges"))</f>
        <v>#REF!</v>
      </c>
      <c r="AB3651" t="e">
        <f>IF(AND(#REF!&gt;180, #REF!&gt;200), "Heavy Doemstic User", IF(#REF!&gt;10, "Interntional User", IF(AND(#REF!&lt;180, #REF!&lt;200,#REF!&lt;200), "Light User", "Balanced User")))</f>
        <v>#REF!</v>
      </c>
      <c r="AC3651" t="e">
        <f>IF(#REF! = 0, "No Usage", IF(#REF! &lt;= 20, "Low Usage", IF(#REF! &lt;= 40, "Medium Usgae", "High Usage")))</f>
        <v>#REF!</v>
      </c>
      <c r="AD3651" t="e">
        <f>IF(#REF!&lt;=150,"Low Usage", IF(#REF!&lt;=200,"Medium Usage", IF(#REF!&lt;=250,"High Usage","Very High Usage")))</f>
        <v>#REF!</v>
      </c>
      <c r="AE3651" t="e">
        <f>IF(#REF!&lt;=5,"Low Calls", IF(#REF!&lt;=10, "Medium Calls", "High Calls"))</f>
        <v>#REF!</v>
      </c>
      <c r="AF3651" t="e">
        <f xml:space="preserve">
IF(#REF!&gt;=4,4,0)+
IF(#REF!="yes",3,0)+
IF(#REF!="High Charges",3,0)+
IF(#REF!&gt;250,4,0)+
IF(#REF!="no",1,0)+
IF(#REF!="Heavy Domestic User",2,0)</f>
        <v>#REF!</v>
      </c>
      <c r="AG3651" t="e">
        <f>IF(#REF!&gt;=10,"High Risk", IF(#REF!&gt;=5,"Medium Risk","Low Risk"))</f>
        <v>#REF!</v>
      </c>
      <c r="AH3651" t="e">
        <f>#REF! + #REF! + #REF! + #REF!</f>
        <v>#REF!</v>
      </c>
    </row>
    <row r="3652" spans="1:34" x14ac:dyDescent="0.35">
      <c r="A3652">
        <v>3651</v>
      </c>
      <c r="B3652" t="s">
        <v>72</v>
      </c>
      <c r="C3652">
        <v>108</v>
      </c>
      <c r="D3652" t="s">
        <v>28</v>
      </c>
      <c r="E3652" t="s">
        <v>23</v>
      </c>
      <c r="F3652" t="s">
        <v>22</v>
      </c>
      <c r="G3652">
        <v>0</v>
      </c>
      <c r="H3652">
        <v>137.30000000000001</v>
      </c>
      <c r="I3652">
        <v>68</v>
      </c>
      <c r="J3652">
        <v>23.34</v>
      </c>
      <c r="K3652">
        <v>143.80000000000001</v>
      </c>
      <c r="L3652">
        <v>94</v>
      </c>
      <c r="M3652">
        <v>12.22</v>
      </c>
      <c r="N3652">
        <v>238.7</v>
      </c>
      <c r="O3652">
        <v>101</v>
      </c>
      <c r="P3652">
        <v>10.74</v>
      </c>
      <c r="Q3652">
        <v>8.9</v>
      </c>
      <c r="R3652">
        <v>1</v>
      </c>
      <c r="S3652">
        <v>2.4</v>
      </c>
      <c r="T3652">
        <v>1</v>
      </c>
      <c r="U3652" t="s">
        <v>23</v>
      </c>
      <c r="V3652" t="e">
        <f>IF(#REF! = "yes", 1, 0)</f>
        <v>#REF!</v>
      </c>
      <c r="W3652" t="e">
        <f>IF(#REF! &lt;= 1, "0-1 Calls", IF(#REF! &lt;= 3, "2-3 Calls", IF(#REF! &lt;=5, "4-5 Calls", "6+ Calls")))</f>
        <v>#REF!</v>
      </c>
      <c r="X3652" t="e">
        <f>IF(#REF! &lt;= 50, "0-50", IF(#REF! &lt;=100, "51-100", IF(#REF! &lt;= 150, "101-150", "151+")))</f>
        <v>#REF!</v>
      </c>
      <c r="Y3652" t="e">
        <f>IF(#REF! &lt;= 3, "Low Charges", "High Charges")</f>
        <v>#REF!</v>
      </c>
      <c r="Z3652" t="e">
        <f>IF(#REF!&lt;=80,"Low Calls",
IF(#REF!&lt;=120,"Medium Calls","High Calls"))</f>
        <v>#REF!</v>
      </c>
      <c r="AA3652" t="e">
        <f>IF(#REF!&lt;=15,"Low Charges",
IF(#REF!&lt;=20,"Medium Charges","High Charges"))</f>
        <v>#REF!</v>
      </c>
      <c r="AB3652" t="e">
        <f>IF(AND(#REF!&gt;180, #REF!&gt;200), "Heavy Doemstic User", IF(#REF!&gt;10, "Interntional User", IF(AND(#REF!&lt;180, #REF!&lt;200,#REF!&lt;200), "Light User", "Balanced User")))</f>
        <v>#REF!</v>
      </c>
      <c r="AC3652" t="e">
        <f>IF(#REF! = 0, "No Usage", IF(#REF! &lt;= 20, "Low Usage", IF(#REF! &lt;= 40, "Medium Usgae", "High Usage")))</f>
        <v>#REF!</v>
      </c>
      <c r="AD3652" t="e">
        <f>IF(#REF!&lt;=150,"Low Usage", IF(#REF!&lt;=200,"Medium Usage", IF(#REF!&lt;=250,"High Usage","Very High Usage")))</f>
        <v>#REF!</v>
      </c>
      <c r="AE3652" t="e">
        <f>IF(#REF!&lt;=5,"Low Calls", IF(#REF!&lt;=10, "Medium Calls", "High Calls"))</f>
        <v>#REF!</v>
      </c>
      <c r="AF3652" t="e">
        <f xml:space="preserve">
IF(#REF!&gt;=4,4,0)+
IF(#REF!="yes",3,0)+
IF(#REF!="High Charges",3,0)+
IF(#REF!&gt;250,4,0)+
IF(#REF!="no",1,0)+
IF(#REF!="Heavy Domestic User",2,0)</f>
        <v>#REF!</v>
      </c>
      <c r="AG3652" t="e">
        <f>IF(#REF!&gt;=10,"High Risk", IF(#REF!&gt;=5,"Medium Risk","Low Risk"))</f>
        <v>#REF!</v>
      </c>
      <c r="AH3652" t="e">
        <f>#REF! + #REF! + #REF! + #REF!</f>
        <v>#REF!</v>
      </c>
    </row>
    <row r="3653" spans="1:34" x14ac:dyDescent="0.35">
      <c r="A3653">
        <v>3652</v>
      </c>
      <c r="B3653" t="s">
        <v>33</v>
      </c>
      <c r="C3653">
        <v>129</v>
      </c>
      <c r="D3653" t="s">
        <v>28</v>
      </c>
      <c r="E3653" t="s">
        <v>22</v>
      </c>
      <c r="F3653" t="s">
        <v>23</v>
      </c>
      <c r="G3653">
        <v>10</v>
      </c>
      <c r="H3653">
        <v>161.4</v>
      </c>
      <c r="I3653">
        <v>91</v>
      </c>
      <c r="J3653">
        <v>27.44</v>
      </c>
      <c r="K3653">
        <v>183.1</v>
      </c>
      <c r="L3653">
        <v>102</v>
      </c>
      <c r="M3653">
        <v>15.56</v>
      </c>
      <c r="N3653">
        <v>240.3</v>
      </c>
      <c r="O3653">
        <v>65</v>
      </c>
      <c r="P3653">
        <v>10.81</v>
      </c>
      <c r="Q3653">
        <v>12.9</v>
      </c>
      <c r="R3653">
        <v>3</v>
      </c>
      <c r="S3653">
        <v>3.48</v>
      </c>
      <c r="T3653">
        <v>1</v>
      </c>
      <c r="U3653" t="s">
        <v>22</v>
      </c>
      <c r="V3653" t="e">
        <f>IF(#REF! = "yes", 1, 0)</f>
        <v>#REF!</v>
      </c>
      <c r="W3653" t="e">
        <f>IF(#REF! &lt;= 1, "0-1 Calls", IF(#REF! &lt;= 3, "2-3 Calls", IF(#REF! &lt;=5, "4-5 Calls", "6+ Calls")))</f>
        <v>#REF!</v>
      </c>
      <c r="X3653" t="e">
        <f>IF(#REF! &lt;= 50, "0-50", IF(#REF! &lt;=100, "51-100", IF(#REF! &lt;= 150, "101-150", "151+")))</f>
        <v>#REF!</v>
      </c>
      <c r="Y3653" t="e">
        <f>IF(#REF! &lt;= 3, "Low Charges", "High Charges")</f>
        <v>#REF!</v>
      </c>
      <c r="Z3653" t="e">
        <f>IF(#REF!&lt;=80,"Low Calls",
IF(#REF!&lt;=120,"Medium Calls","High Calls"))</f>
        <v>#REF!</v>
      </c>
      <c r="AA3653" t="e">
        <f>IF(#REF!&lt;=15,"Low Charges",
IF(#REF!&lt;=20,"Medium Charges","High Charges"))</f>
        <v>#REF!</v>
      </c>
      <c r="AB3653" t="e">
        <f>IF(AND(#REF!&gt;180, #REF!&gt;200), "Heavy Doemstic User", IF(#REF!&gt;10, "Interntional User", IF(AND(#REF!&lt;180, #REF!&lt;200,#REF!&lt;200), "Light User", "Balanced User")))</f>
        <v>#REF!</v>
      </c>
      <c r="AC3653" t="e">
        <f>IF(#REF! = 0, "No Usage", IF(#REF! &lt;= 20, "Low Usage", IF(#REF! &lt;= 40, "Medium Usgae", "High Usage")))</f>
        <v>#REF!</v>
      </c>
      <c r="AD3653" t="e">
        <f>IF(#REF!&lt;=150,"Low Usage", IF(#REF!&lt;=200,"Medium Usage", IF(#REF!&lt;=250,"High Usage","Very High Usage")))</f>
        <v>#REF!</v>
      </c>
      <c r="AE3653" t="e">
        <f>IF(#REF!&lt;=5,"Low Calls", IF(#REF!&lt;=10, "Medium Calls", "High Calls"))</f>
        <v>#REF!</v>
      </c>
      <c r="AF3653" t="e">
        <f xml:space="preserve">
IF(#REF!&gt;=4,4,0)+
IF(#REF!="yes",3,0)+
IF(#REF!="High Charges",3,0)+
IF(#REF!&gt;250,4,0)+
IF(#REF!="no",1,0)+
IF(#REF!="Heavy Domestic User",2,0)</f>
        <v>#REF!</v>
      </c>
      <c r="AG3653" t="e">
        <f>IF(#REF!&gt;=10,"High Risk", IF(#REF!&gt;=5,"Medium Risk","Low Risk"))</f>
        <v>#REF!</v>
      </c>
      <c r="AH3653" t="e">
        <f>#REF! + #REF! + #REF! + #REF!</f>
        <v>#REF!</v>
      </c>
    </row>
    <row r="3654" spans="1:34" x14ac:dyDescent="0.35">
      <c r="A3654">
        <v>3653</v>
      </c>
      <c r="B3654" t="s">
        <v>59</v>
      </c>
      <c r="C3654">
        <v>73</v>
      </c>
      <c r="D3654" t="s">
        <v>28</v>
      </c>
      <c r="E3654" t="s">
        <v>23</v>
      </c>
      <c r="F3654" t="s">
        <v>22</v>
      </c>
      <c r="G3654">
        <v>0</v>
      </c>
      <c r="H3654">
        <v>202.9</v>
      </c>
      <c r="I3654">
        <v>108</v>
      </c>
      <c r="J3654">
        <v>34.49</v>
      </c>
      <c r="K3654">
        <v>285.89999999999998</v>
      </c>
      <c r="L3654">
        <v>121</v>
      </c>
      <c r="M3654">
        <v>24.3</v>
      </c>
      <c r="N3654">
        <v>219</v>
      </c>
      <c r="O3654">
        <v>102</v>
      </c>
      <c r="P3654">
        <v>9.86</v>
      </c>
      <c r="Q3654">
        <v>12.8</v>
      </c>
      <c r="R3654">
        <v>5</v>
      </c>
      <c r="S3654">
        <v>3.46</v>
      </c>
      <c r="T3654">
        <v>1</v>
      </c>
      <c r="U3654" t="s">
        <v>22</v>
      </c>
      <c r="V3654" t="e">
        <f>IF(#REF! = "yes", 1, 0)</f>
        <v>#REF!</v>
      </c>
      <c r="W3654" t="e">
        <f>IF(#REF! &lt;= 1, "0-1 Calls", IF(#REF! &lt;= 3, "2-3 Calls", IF(#REF! &lt;=5, "4-5 Calls", "6+ Calls")))</f>
        <v>#REF!</v>
      </c>
      <c r="X3654" t="e">
        <f>IF(#REF! &lt;= 50, "0-50", IF(#REF! &lt;=100, "51-100", IF(#REF! &lt;= 150, "101-150", "151+")))</f>
        <v>#REF!</v>
      </c>
      <c r="Y3654" t="e">
        <f>IF(#REF! &lt;= 3, "Low Charges", "High Charges")</f>
        <v>#REF!</v>
      </c>
      <c r="Z3654" t="e">
        <f>IF(#REF!&lt;=80,"Low Calls",
IF(#REF!&lt;=120,"Medium Calls","High Calls"))</f>
        <v>#REF!</v>
      </c>
      <c r="AA3654" t="e">
        <f>IF(#REF!&lt;=15,"Low Charges",
IF(#REF!&lt;=20,"Medium Charges","High Charges"))</f>
        <v>#REF!</v>
      </c>
      <c r="AB3654" t="e">
        <f>IF(AND(#REF!&gt;180, #REF!&gt;200), "Heavy Doemstic User", IF(#REF!&gt;10, "Interntional User", IF(AND(#REF!&lt;180, #REF!&lt;200,#REF!&lt;200), "Light User", "Balanced User")))</f>
        <v>#REF!</v>
      </c>
      <c r="AC3654" t="e">
        <f>IF(#REF! = 0, "No Usage", IF(#REF! &lt;= 20, "Low Usage", IF(#REF! &lt;= 40, "Medium Usgae", "High Usage")))</f>
        <v>#REF!</v>
      </c>
      <c r="AD3654" t="e">
        <f>IF(#REF!&lt;=150,"Low Usage", IF(#REF!&lt;=200,"Medium Usage", IF(#REF!&lt;=250,"High Usage","Very High Usage")))</f>
        <v>#REF!</v>
      </c>
      <c r="AE3654" t="e">
        <f>IF(#REF!&lt;=5,"Low Calls", IF(#REF!&lt;=10, "Medium Calls", "High Calls"))</f>
        <v>#REF!</v>
      </c>
      <c r="AF3654" t="e">
        <f xml:space="preserve">
IF(#REF!&gt;=4,4,0)+
IF(#REF!="yes",3,0)+
IF(#REF!="High Charges",3,0)+
IF(#REF!&gt;250,4,0)+
IF(#REF!="no",1,0)+
IF(#REF!="Heavy Domestic User",2,0)</f>
        <v>#REF!</v>
      </c>
      <c r="AG3654" t="e">
        <f>IF(#REF!&gt;=10,"High Risk", IF(#REF!&gt;=5,"Medium Risk","Low Risk"))</f>
        <v>#REF!</v>
      </c>
      <c r="AH3654" t="e">
        <f>#REF! + #REF! + #REF! + #REF!</f>
        <v>#REF!</v>
      </c>
    </row>
    <row r="3655" spans="1:34" x14ac:dyDescent="0.35">
      <c r="A3655">
        <v>3654</v>
      </c>
      <c r="B3655" t="s">
        <v>54</v>
      </c>
      <c r="C3655">
        <v>90</v>
      </c>
      <c r="D3655" t="s">
        <v>21</v>
      </c>
      <c r="E3655" t="s">
        <v>22</v>
      </c>
      <c r="F3655" t="s">
        <v>22</v>
      </c>
      <c r="G3655">
        <v>0</v>
      </c>
      <c r="H3655">
        <v>272.2</v>
      </c>
      <c r="I3655">
        <v>75</v>
      </c>
      <c r="J3655">
        <v>46.27</v>
      </c>
      <c r="K3655">
        <v>122.9</v>
      </c>
      <c r="L3655">
        <v>96</v>
      </c>
      <c r="M3655">
        <v>10.45</v>
      </c>
      <c r="N3655">
        <v>252.6</v>
      </c>
      <c r="O3655">
        <v>100</v>
      </c>
      <c r="P3655">
        <v>11.37</v>
      </c>
      <c r="Q3655">
        <v>9.1999999999999993</v>
      </c>
      <c r="R3655">
        <v>2</v>
      </c>
      <c r="S3655">
        <v>2.48</v>
      </c>
      <c r="T3655">
        <v>0</v>
      </c>
      <c r="U3655" t="s">
        <v>22</v>
      </c>
      <c r="V3655" t="e">
        <f>IF(#REF! = "yes", 1, 0)</f>
        <v>#REF!</v>
      </c>
      <c r="W3655" t="e">
        <f>IF(#REF! &lt;= 1, "0-1 Calls", IF(#REF! &lt;= 3, "2-3 Calls", IF(#REF! &lt;=5, "4-5 Calls", "6+ Calls")))</f>
        <v>#REF!</v>
      </c>
      <c r="X3655" t="e">
        <f>IF(#REF! &lt;= 50, "0-50", IF(#REF! &lt;=100, "51-100", IF(#REF! &lt;= 150, "101-150", "151+")))</f>
        <v>#REF!</v>
      </c>
      <c r="Y3655" t="e">
        <f>IF(#REF! &lt;= 3, "Low Charges", "High Charges")</f>
        <v>#REF!</v>
      </c>
      <c r="Z3655" t="e">
        <f>IF(#REF!&lt;=80,"Low Calls",
IF(#REF!&lt;=120,"Medium Calls","High Calls"))</f>
        <v>#REF!</v>
      </c>
      <c r="AA3655" t="e">
        <f>IF(#REF!&lt;=15,"Low Charges",
IF(#REF!&lt;=20,"Medium Charges","High Charges"))</f>
        <v>#REF!</v>
      </c>
      <c r="AB3655" t="e">
        <f>IF(AND(#REF!&gt;180, #REF!&gt;200), "Heavy Doemstic User", IF(#REF!&gt;10, "Interntional User", IF(AND(#REF!&lt;180, #REF!&lt;200,#REF!&lt;200), "Light User", "Balanced User")))</f>
        <v>#REF!</v>
      </c>
      <c r="AC3655" t="e">
        <f>IF(#REF! = 0, "No Usage", IF(#REF! &lt;= 20, "Low Usage", IF(#REF! &lt;= 40, "Medium Usgae", "High Usage")))</f>
        <v>#REF!</v>
      </c>
      <c r="AD3655" t="e">
        <f>IF(#REF!&lt;=150,"Low Usage", IF(#REF!&lt;=200,"Medium Usage", IF(#REF!&lt;=250,"High Usage","Very High Usage")))</f>
        <v>#REF!</v>
      </c>
      <c r="AE3655" t="e">
        <f>IF(#REF!&lt;=5,"Low Calls", IF(#REF!&lt;=10, "Medium Calls", "High Calls"))</f>
        <v>#REF!</v>
      </c>
      <c r="AF3655" t="e">
        <f xml:space="preserve">
IF(#REF!&gt;=4,4,0)+
IF(#REF!="yes",3,0)+
IF(#REF!="High Charges",3,0)+
IF(#REF!&gt;250,4,0)+
IF(#REF!="no",1,0)+
IF(#REF!="Heavy Domestic User",2,0)</f>
        <v>#REF!</v>
      </c>
      <c r="AG3655" t="e">
        <f>IF(#REF!&gt;=10,"High Risk", IF(#REF!&gt;=5,"Medium Risk","Low Risk"))</f>
        <v>#REF!</v>
      </c>
      <c r="AH3655" t="e">
        <f>#REF! + #REF! + #REF! + #REF!</f>
        <v>#REF!</v>
      </c>
    </row>
    <row r="3656" spans="1:34" x14ac:dyDescent="0.35">
      <c r="A3656">
        <v>3655</v>
      </c>
      <c r="B3656" t="s">
        <v>62</v>
      </c>
      <c r="C3656">
        <v>105</v>
      </c>
      <c r="D3656" t="s">
        <v>25</v>
      </c>
      <c r="E3656" t="s">
        <v>22</v>
      </c>
      <c r="F3656" t="s">
        <v>22</v>
      </c>
      <c r="G3656">
        <v>0</v>
      </c>
      <c r="H3656">
        <v>98.2</v>
      </c>
      <c r="I3656">
        <v>103</v>
      </c>
      <c r="J3656">
        <v>16.690000000000001</v>
      </c>
      <c r="K3656">
        <v>140.30000000000001</v>
      </c>
      <c r="L3656">
        <v>91</v>
      </c>
      <c r="M3656">
        <v>11.93</v>
      </c>
      <c r="N3656">
        <v>140.19999999999999</v>
      </c>
      <c r="O3656">
        <v>106</v>
      </c>
      <c r="P3656">
        <v>6.31</v>
      </c>
      <c r="Q3656">
        <v>13.9</v>
      </c>
      <c r="R3656">
        <v>1</v>
      </c>
      <c r="S3656">
        <v>3.75</v>
      </c>
      <c r="T3656">
        <v>1</v>
      </c>
      <c r="U3656" t="s">
        <v>22</v>
      </c>
      <c r="V3656" t="e">
        <f>IF(#REF! = "yes", 1, 0)</f>
        <v>#REF!</v>
      </c>
      <c r="W3656" t="e">
        <f>IF(#REF! &lt;= 1, "0-1 Calls", IF(#REF! &lt;= 3, "2-3 Calls", IF(#REF! &lt;=5, "4-5 Calls", "6+ Calls")))</f>
        <v>#REF!</v>
      </c>
      <c r="X3656" t="e">
        <f>IF(#REF! &lt;= 50, "0-50", IF(#REF! &lt;=100, "51-100", IF(#REF! &lt;= 150, "101-150", "151+")))</f>
        <v>#REF!</v>
      </c>
      <c r="Y3656" t="e">
        <f>IF(#REF! &lt;= 3, "Low Charges", "High Charges")</f>
        <v>#REF!</v>
      </c>
      <c r="Z3656" t="e">
        <f>IF(#REF!&lt;=80,"Low Calls",
IF(#REF!&lt;=120,"Medium Calls","High Calls"))</f>
        <v>#REF!</v>
      </c>
      <c r="AA3656" t="e">
        <f>IF(#REF!&lt;=15,"Low Charges",
IF(#REF!&lt;=20,"Medium Charges","High Charges"))</f>
        <v>#REF!</v>
      </c>
      <c r="AB3656" t="e">
        <f>IF(AND(#REF!&gt;180, #REF!&gt;200), "Heavy Doemstic User", IF(#REF!&gt;10, "Interntional User", IF(AND(#REF!&lt;180, #REF!&lt;200,#REF!&lt;200), "Light User", "Balanced User")))</f>
        <v>#REF!</v>
      </c>
      <c r="AC3656" t="e">
        <f>IF(#REF! = 0, "No Usage", IF(#REF! &lt;= 20, "Low Usage", IF(#REF! &lt;= 40, "Medium Usgae", "High Usage")))</f>
        <v>#REF!</v>
      </c>
      <c r="AD3656" t="e">
        <f>IF(#REF!&lt;=150,"Low Usage", IF(#REF!&lt;=200,"Medium Usage", IF(#REF!&lt;=250,"High Usage","Very High Usage")))</f>
        <v>#REF!</v>
      </c>
      <c r="AE3656" t="e">
        <f>IF(#REF!&lt;=5,"Low Calls", IF(#REF!&lt;=10, "Medium Calls", "High Calls"))</f>
        <v>#REF!</v>
      </c>
      <c r="AF3656" t="e">
        <f xml:space="preserve">
IF(#REF!&gt;=4,4,0)+
IF(#REF!="yes",3,0)+
IF(#REF!="High Charges",3,0)+
IF(#REF!&gt;250,4,0)+
IF(#REF!="no",1,0)+
IF(#REF!="Heavy Domestic User",2,0)</f>
        <v>#REF!</v>
      </c>
      <c r="AG3656" t="e">
        <f>IF(#REF!&gt;=10,"High Risk", IF(#REF!&gt;=5,"Medium Risk","Low Risk"))</f>
        <v>#REF!</v>
      </c>
      <c r="AH3656" t="e">
        <f>#REF! + #REF! + #REF! + #REF!</f>
        <v>#REF!</v>
      </c>
    </row>
    <row r="3657" spans="1:34" x14ac:dyDescent="0.35">
      <c r="A3657">
        <v>3656</v>
      </c>
      <c r="B3657" t="s">
        <v>29</v>
      </c>
      <c r="C3657">
        <v>115</v>
      </c>
      <c r="D3657" t="s">
        <v>25</v>
      </c>
      <c r="E3657" t="s">
        <v>22</v>
      </c>
      <c r="F3657" t="s">
        <v>22</v>
      </c>
      <c r="G3657">
        <v>0</v>
      </c>
      <c r="H3657">
        <v>80.8</v>
      </c>
      <c r="I3657">
        <v>81</v>
      </c>
      <c r="J3657">
        <v>13.74</v>
      </c>
      <c r="K3657">
        <v>195.7</v>
      </c>
      <c r="L3657">
        <v>91</v>
      </c>
      <c r="M3657">
        <v>16.63</v>
      </c>
      <c r="N3657">
        <v>190.1</v>
      </c>
      <c r="O3657">
        <v>66</v>
      </c>
      <c r="P3657">
        <v>8.5500000000000007</v>
      </c>
      <c r="Q3657">
        <v>11.7</v>
      </c>
      <c r="R3657">
        <v>6</v>
      </c>
      <c r="S3657">
        <v>3.16</v>
      </c>
      <c r="T3657">
        <v>1</v>
      </c>
      <c r="U3657" t="s">
        <v>22</v>
      </c>
      <c r="V3657" t="e">
        <f>IF(#REF! = "yes", 1, 0)</f>
        <v>#REF!</v>
      </c>
      <c r="W3657" t="e">
        <f>IF(#REF! &lt;= 1, "0-1 Calls", IF(#REF! &lt;= 3, "2-3 Calls", IF(#REF! &lt;=5, "4-5 Calls", "6+ Calls")))</f>
        <v>#REF!</v>
      </c>
      <c r="X3657" t="e">
        <f>IF(#REF! &lt;= 50, "0-50", IF(#REF! &lt;=100, "51-100", IF(#REF! &lt;= 150, "101-150", "151+")))</f>
        <v>#REF!</v>
      </c>
      <c r="Y3657" t="e">
        <f>IF(#REF! &lt;= 3, "Low Charges", "High Charges")</f>
        <v>#REF!</v>
      </c>
      <c r="Z3657" t="e">
        <f>IF(#REF!&lt;=80,"Low Calls",
IF(#REF!&lt;=120,"Medium Calls","High Calls"))</f>
        <v>#REF!</v>
      </c>
      <c r="AA3657" t="e">
        <f>IF(#REF!&lt;=15,"Low Charges",
IF(#REF!&lt;=20,"Medium Charges","High Charges"))</f>
        <v>#REF!</v>
      </c>
      <c r="AB3657" t="e">
        <f>IF(AND(#REF!&gt;180, #REF!&gt;200), "Heavy Doemstic User", IF(#REF!&gt;10, "Interntional User", IF(AND(#REF!&lt;180, #REF!&lt;200,#REF!&lt;200), "Light User", "Balanced User")))</f>
        <v>#REF!</v>
      </c>
      <c r="AC3657" t="e">
        <f>IF(#REF! = 0, "No Usage", IF(#REF! &lt;= 20, "Low Usage", IF(#REF! &lt;= 40, "Medium Usgae", "High Usage")))</f>
        <v>#REF!</v>
      </c>
      <c r="AD3657" t="e">
        <f>IF(#REF!&lt;=150,"Low Usage", IF(#REF!&lt;=200,"Medium Usage", IF(#REF!&lt;=250,"High Usage","Very High Usage")))</f>
        <v>#REF!</v>
      </c>
      <c r="AE3657" t="e">
        <f>IF(#REF!&lt;=5,"Low Calls", IF(#REF!&lt;=10, "Medium Calls", "High Calls"))</f>
        <v>#REF!</v>
      </c>
      <c r="AF3657" t="e">
        <f xml:space="preserve">
IF(#REF!&gt;=4,4,0)+
IF(#REF!="yes",3,0)+
IF(#REF!="High Charges",3,0)+
IF(#REF!&gt;250,4,0)+
IF(#REF!="no",1,0)+
IF(#REF!="Heavy Domestic User",2,0)</f>
        <v>#REF!</v>
      </c>
      <c r="AG3657" t="e">
        <f>IF(#REF!&gt;=10,"High Risk", IF(#REF!&gt;=5,"Medium Risk","Low Risk"))</f>
        <v>#REF!</v>
      </c>
      <c r="AH3657" t="e">
        <f>#REF! + #REF! + #REF! + #REF!</f>
        <v>#REF!</v>
      </c>
    </row>
    <row r="3658" spans="1:34" x14ac:dyDescent="0.35">
      <c r="A3658">
        <v>3657</v>
      </c>
      <c r="B3658" t="s">
        <v>20</v>
      </c>
      <c r="C3658">
        <v>82</v>
      </c>
      <c r="D3658" t="s">
        <v>21</v>
      </c>
      <c r="E3658" t="s">
        <v>22</v>
      </c>
      <c r="F3658" t="s">
        <v>22</v>
      </c>
      <c r="G3658">
        <v>0</v>
      </c>
      <c r="H3658">
        <v>207.2</v>
      </c>
      <c r="I3658">
        <v>114</v>
      </c>
      <c r="J3658">
        <v>35.22</v>
      </c>
      <c r="K3658">
        <v>163.69999999999999</v>
      </c>
      <c r="L3658">
        <v>97</v>
      </c>
      <c r="M3658">
        <v>13.91</v>
      </c>
      <c r="N3658">
        <v>192.8</v>
      </c>
      <c r="O3658">
        <v>79</v>
      </c>
      <c r="P3658">
        <v>8.68</v>
      </c>
      <c r="Q3658">
        <v>9.3000000000000007</v>
      </c>
      <c r="R3658">
        <v>4</v>
      </c>
      <c r="S3658">
        <v>2.5099999999999998</v>
      </c>
      <c r="T3658">
        <v>7</v>
      </c>
      <c r="U3658" t="s">
        <v>22</v>
      </c>
      <c r="V3658" t="e">
        <f>IF(#REF! = "yes", 1, 0)</f>
        <v>#REF!</v>
      </c>
      <c r="W3658" t="e">
        <f>IF(#REF! &lt;= 1, "0-1 Calls", IF(#REF! &lt;= 3, "2-3 Calls", IF(#REF! &lt;=5, "4-5 Calls", "6+ Calls")))</f>
        <v>#REF!</v>
      </c>
      <c r="X3658" t="e">
        <f>IF(#REF! &lt;= 50, "0-50", IF(#REF! &lt;=100, "51-100", IF(#REF! &lt;= 150, "101-150", "151+")))</f>
        <v>#REF!</v>
      </c>
      <c r="Y3658" t="e">
        <f>IF(#REF! &lt;= 3, "Low Charges", "High Charges")</f>
        <v>#REF!</v>
      </c>
      <c r="Z3658" t="e">
        <f>IF(#REF!&lt;=80,"Low Calls",
IF(#REF!&lt;=120,"Medium Calls","High Calls"))</f>
        <v>#REF!</v>
      </c>
      <c r="AA3658" t="e">
        <f>IF(#REF!&lt;=15,"Low Charges",
IF(#REF!&lt;=20,"Medium Charges","High Charges"))</f>
        <v>#REF!</v>
      </c>
      <c r="AB3658" t="e">
        <f>IF(AND(#REF!&gt;180, #REF!&gt;200), "Heavy Doemstic User", IF(#REF!&gt;10, "Interntional User", IF(AND(#REF!&lt;180, #REF!&lt;200,#REF!&lt;200), "Light User", "Balanced User")))</f>
        <v>#REF!</v>
      </c>
      <c r="AC3658" t="e">
        <f>IF(#REF! = 0, "No Usage", IF(#REF! &lt;= 20, "Low Usage", IF(#REF! &lt;= 40, "Medium Usgae", "High Usage")))</f>
        <v>#REF!</v>
      </c>
      <c r="AD3658" t="e">
        <f>IF(#REF!&lt;=150,"Low Usage", IF(#REF!&lt;=200,"Medium Usage", IF(#REF!&lt;=250,"High Usage","Very High Usage")))</f>
        <v>#REF!</v>
      </c>
      <c r="AE3658" t="e">
        <f>IF(#REF!&lt;=5,"Low Calls", IF(#REF!&lt;=10, "Medium Calls", "High Calls"))</f>
        <v>#REF!</v>
      </c>
      <c r="AF3658" t="e">
        <f xml:space="preserve">
IF(#REF!&gt;=4,4,0)+
IF(#REF!="yes",3,0)+
IF(#REF!="High Charges",3,0)+
IF(#REF!&gt;250,4,0)+
IF(#REF!="no",1,0)+
IF(#REF!="Heavy Domestic User",2,0)</f>
        <v>#REF!</v>
      </c>
      <c r="AG3658" t="e">
        <f>IF(#REF!&gt;=10,"High Risk", IF(#REF!&gt;=5,"Medium Risk","Low Risk"))</f>
        <v>#REF!</v>
      </c>
      <c r="AH3658" t="e">
        <f>#REF! + #REF! + #REF! + #REF!</f>
        <v>#REF!</v>
      </c>
    </row>
    <row r="3659" spans="1:34" x14ac:dyDescent="0.35">
      <c r="A3659">
        <v>3658</v>
      </c>
      <c r="B3659" t="s">
        <v>66</v>
      </c>
      <c r="C3659">
        <v>77</v>
      </c>
      <c r="D3659" t="s">
        <v>21</v>
      </c>
      <c r="E3659" t="s">
        <v>22</v>
      </c>
      <c r="F3659" t="s">
        <v>22</v>
      </c>
      <c r="G3659">
        <v>0</v>
      </c>
      <c r="H3659">
        <v>208.8</v>
      </c>
      <c r="I3659">
        <v>117</v>
      </c>
      <c r="J3659">
        <v>35.5</v>
      </c>
      <c r="K3659">
        <v>175.4</v>
      </c>
      <c r="L3659">
        <v>81</v>
      </c>
      <c r="M3659">
        <v>14.91</v>
      </c>
      <c r="N3659">
        <v>171.5</v>
      </c>
      <c r="O3659">
        <v>105</v>
      </c>
      <c r="P3659">
        <v>7.72</v>
      </c>
      <c r="Q3659">
        <v>13.4</v>
      </c>
      <c r="R3659">
        <v>3</v>
      </c>
      <c r="S3659">
        <v>3.62</v>
      </c>
      <c r="T3659">
        <v>0</v>
      </c>
      <c r="U3659" t="s">
        <v>22</v>
      </c>
      <c r="V3659" t="e">
        <f>IF(#REF! = "yes", 1, 0)</f>
        <v>#REF!</v>
      </c>
      <c r="W3659" t="e">
        <f>IF(#REF! &lt;= 1, "0-1 Calls", IF(#REF! &lt;= 3, "2-3 Calls", IF(#REF! &lt;=5, "4-5 Calls", "6+ Calls")))</f>
        <v>#REF!</v>
      </c>
      <c r="X3659" t="e">
        <f>IF(#REF! &lt;= 50, "0-50", IF(#REF! &lt;=100, "51-100", IF(#REF! &lt;= 150, "101-150", "151+")))</f>
        <v>#REF!</v>
      </c>
      <c r="Y3659" t="e">
        <f>IF(#REF! &lt;= 3, "Low Charges", "High Charges")</f>
        <v>#REF!</v>
      </c>
      <c r="Z3659" t="e">
        <f>IF(#REF!&lt;=80,"Low Calls",
IF(#REF!&lt;=120,"Medium Calls","High Calls"))</f>
        <v>#REF!</v>
      </c>
      <c r="AA3659" t="e">
        <f>IF(#REF!&lt;=15,"Low Charges",
IF(#REF!&lt;=20,"Medium Charges","High Charges"))</f>
        <v>#REF!</v>
      </c>
      <c r="AB3659" t="e">
        <f>IF(AND(#REF!&gt;180, #REF!&gt;200), "Heavy Doemstic User", IF(#REF!&gt;10, "Interntional User", IF(AND(#REF!&lt;180, #REF!&lt;200,#REF!&lt;200), "Light User", "Balanced User")))</f>
        <v>#REF!</v>
      </c>
      <c r="AC3659" t="e">
        <f>IF(#REF! = 0, "No Usage", IF(#REF! &lt;= 20, "Low Usage", IF(#REF! &lt;= 40, "Medium Usgae", "High Usage")))</f>
        <v>#REF!</v>
      </c>
      <c r="AD3659" t="e">
        <f>IF(#REF!&lt;=150,"Low Usage", IF(#REF!&lt;=200,"Medium Usage", IF(#REF!&lt;=250,"High Usage","Very High Usage")))</f>
        <v>#REF!</v>
      </c>
      <c r="AE3659" t="e">
        <f>IF(#REF!&lt;=5,"Low Calls", IF(#REF!&lt;=10, "Medium Calls", "High Calls"))</f>
        <v>#REF!</v>
      </c>
      <c r="AF3659" t="e">
        <f xml:space="preserve">
IF(#REF!&gt;=4,4,0)+
IF(#REF!="yes",3,0)+
IF(#REF!="High Charges",3,0)+
IF(#REF!&gt;250,4,0)+
IF(#REF!="no",1,0)+
IF(#REF!="Heavy Domestic User",2,0)</f>
        <v>#REF!</v>
      </c>
      <c r="AG3659" t="e">
        <f>IF(#REF!&gt;=10,"High Risk", IF(#REF!&gt;=5,"Medium Risk","Low Risk"))</f>
        <v>#REF!</v>
      </c>
      <c r="AH3659" t="e">
        <f>#REF! + #REF! + #REF! + #REF!</f>
        <v>#REF!</v>
      </c>
    </row>
    <row r="3660" spans="1:34" x14ac:dyDescent="0.35">
      <c r="A3660">
        <v>3659</v>
      </c>
      <c r="B3660" t="s">
        <v>46</v>
      </c>
      <c r="C3660">
        <v>201</v>
      </c>
      <c r="D3660" t="s">
        <v>28</v>
      </c>
      <c r="E3660" t="s">
        <v>22</v>
      </c>
      <c r="F3660" t="s">
        <v>22</v>
      </c>
      <c r="G3660">
        <v>0</v>
      </c>
      <c r="H3660">
        <v>159.9</v>
      </c>
      <c r="I3660">
        <v>61</v>
      </c>
      <c r="J3660">
        <v>27.18</v>
      </c>
      <c r="K3660">
        <v>237.3</v>
      </c>
      <c r="L3660">
        <v>124</v>
      </c>
      <c r="M3660">
        <v>20.170000000000002</v>
      </c>
      <c r="N3660">
        <v>290.2</v>
      </c>
      <c r="O3660">
        <v>99</v>
      </c>
      <c r="P3660">
        <v>13.06</v>
      </c>
      <c r="Q3660">
        <v>13.4</v>
      </c>
      <c r="R3660">
        <v>4</v>
      </c>
      <c r="S3660">
        <v>3.62</v>
      </c>
      <c r="T3660">
        <v>3</v>
      </c>
      <c r="U3660" t="s">
        <v>22</v>
      </c>
      <c r="V3660" t="e">
        <f>IF(#REF! = "yes", 1, 0)</f>
        <v>#REF!</v>
      </c>
      <c r="W3660" t="e">
        <f>IF(#REF! &lt;= 1, "0-1 Calls", IF(#REF! &lt;= 3, "2-3 Calls", IF(#REF! &lt;=5, "4-5 Calls", "6+ Calls")))</f>
        <v>#REF!</v>
      </c>
      <c r="X3660" t="e">
        <f>IF(#REF! &lt;= 50, "0-50", IF(#REF! &lt;=100, "51-100", IF(#REF! &lt;= 150, "101-150", "151+")))</f>
        <v>#REF!</v>
      </c>
      <c r="Y3660" t="e">
        <f>IF(#REF! &lt;= 3, "Low Charges", "High Charges")</f>
        <v>#REF!</v>
      </c>
      <c r="Z3660" t="e">
        <f>IF(#REF!&lt;=80,"Low Calls",
IF(#REF!&lt;=120,"Medium Calls","High Calls"))</f>
        <v>#REF!</v>
      </c>
      <c r="AA3660" t="e">
        <f>IF(#REF!&lt;=15,"Low Charges",
IF(#REF!&lt;=20,"Medium Charges","High Charges"))</f>
        <v>#REF!</v>
      </c>
      <c r="AB3660" t="e">
        <f>IF(AND(#REF!&gt;180, #REF!&gt;200), "Heavy Doemstic User", IF(#REF!&gt;10, "Interntional User", IF(AND(#REF!&lt;180, #REF!&lt;200,#REF!&lt;200), "Light User", "Balanced User")))</f>
        <v>#REF!</v>
      </c>
      <c r="AC3660" t="e">
        <f>IF(#REF! = 0, "No Usage", IF(#REF! &lt;= 20, "Low Usage", IF(#REF! &lt;= 40, "Medium Usgae", "High Usage")))</f>
        <v>#REF!</v>
      </c>
      <c r="AD3660" t="e">
        <f>IF(#REF!&lt;=150,"Low Usage", IF(#REF!&lt;=200,"Medium Usage", IF(#REF!&lt;=250,"High Usage","Very High Usage")))</f>
        <v>#REF!</v>
      </c>
      <c r="AE3660" t="e">
        <f>IF(#REF!&lt;=5,"Low Calls", IF(#REF!&lt;=10, "Medium Calls", "High Calls"))</f>
        <v>#REF!</v>
      </c>
      <c r="AF3660" t="e">
        <f xml:space="preserve">
IF(#REF!&gt;=4,4,0)+
IF(#REF!="yes",3,0)+
IF(#REF!="High Charges",3,0)+
IF(#REF!&gt;250,4,0)+
IF(#REF!="no",1,0)+
IF(#REF!="Heavy Domestic User",2,0)</f>
        <v>#REF!</v>
      </c>
      <c r="AG3660" t="e">
        <f>IF(#REF!&gt;=10,"High Risk", IF(#REF!&gt;=5,"Medium Risk","Low Risk"))</f>
        <v>#REF!</v>
      </c>
      <c r="AH3660" t="e">
        <f>#REF! + #REF! + #REF! + #REF!</f>
        <v>#REF!</v>
      </c>
    </row>
    <row r="3661" spans="1:34" x14ac:dyDescent="0.35">
      <c r="A3661">
        <v>3660</v>
      </c>
      <c r="B3661" t="s">
        <v>58</v>
      </c>
      <c r="C3661">
        <v>139</v>
      </c>
      <c r="D3661" t="s">
        <v>21</v>
      </c>
      <c r="E3661" t="s">
        <v>23</v>
      </c>
      <c r="F3661" t="s">
        <v>22</v>
      </c>
      <c r="G3661">
        <v>0</v>
      </c>
      <c r="H3661">
        <v>185.1</v>
      </c>
      <c r="I3661">
        <v>101</v>
      </c>
      <c r="J3661">
        <v>31.47</v>
      </c>
      <c r="K3661">
        <v>266.7</v>
      </c>
      <c r="L3661">
        <v>75</v>
      </c>
      <c r="M3661">
        <v>22.67</v>
      </c>
      <c r="N3661">
        <v>207.9</v>
      </c>
      <c r="O3661">
        <v>95</v>
      </c>
      <c r="P3661">
        <v>9.36</v>
      </c>
      <c r="Q3661">
        <v>9</v>
      </c>
      <c r="R3661">
        <v>3</v>
      </c>
      <c r="S3661">
        <v>2.4300000000000002</v>
      </c>
      <c r="T3661">
        <v>3</v>
      </c>
      <c r="U3661" t="s">
        <v>22</v>
      </c>
      <c r="V3661" t="e">
        <f>IF(#REF! = "yes", 1, 0)</f>
        <v>#REF!</v>
      </c>
      <c r="W3661" t="e">
        <f>IF(#REF! &lt;= 1, "0-1 Calls", IF(#REF! &lt;= 3, "2-3 Calls", IF(#REF! &lt;=5, "4-5 Calls", "6+ Calls")))</f>
        <v>#REF!</v>
      </c>
      <c r="X3661" t="e">
        <f>IF(#REF! &lt;= 50, "0-50", IF(#REF! &lt;=100, "51-100", IF(#REF! &lt;= 150, "101-150", "151+")))</f>
        <v>#REF!</v>
      </c>
      <c r="Y3661" t="e">
        <f>IF(#REF! &lt;= 3, "Low Charges", "High Charges")</f>
        <v>#REF!</v>
      </c>
      <c r="Z3661" t="e">
        <f>IF(#REF!&lt;=80,"Low Calls",
IF(#REF!&lt;=120,"Medium Calls","High Calls"))</f>
        <v>#REF!</v>
      </c>
      <c r="AA3661" t="e">
        <f>IF(#REF!&lt;=15,"Low Charges",
IF(#REF!&lt;=20,"Medium Charges","High Charges"))</f>
        <v>#REF!</v>
      </c>
      <c r="AB3661" t="e">
        <f>IF(AND(#REF!&gt;180, #REF!&gt;200), "Heavy Doemstic User", IF(#REF!&gt;10, "Interntional User", IF(AND(#REF!&lt;180, #REF!&lt;200,#REF!&lt;200), "Light User", "Balanced User")))</f>
        <v>#REF!</v>
      </c>
      <c r="AC3661" t="e">
        <f>IF(#REF! = 0, "No Usage", IF(#REF! &lt;= 20, "Low Usage", IF(#REF! &lt;= 40, "Medium Usgae", "High Usage")))</f>
        <v>#REF!</v>
      </c>
      <c r="AD3661" t="e">
        <f>IF(#REF!&lt;=150,"Low Usage", IF(#REF!&lt;=200,"Medium Usage", IF(#REF!&lt;=250,"High Usage","Very High Usage")))</f>
        <v>#REF!</v>
      </c>
      <c r="AE3661" t="e">
        <f>IF(#REF!&lt;=5,"Low Calls", IF(#REF!&lt;=10, "Medium Calls", "High Calls"))</f>
        <v>#REF!</v>
      </c>
      <c r="AF3661" t="e">
        <f xml:space="preserve">
IF(#REF!&gt;=4,4,0)+
IF(#REF!="yes",3,0)+
IF(#REF!="High Charges",3,0)+
IF(#REF!&gt;250,4,0)+
IF(#REF!="no",1,0)+
IF(#REF!="Heavy Domestic User",2,0)</f>
        <v>#REF!</v>
      </c>
      <c r="AG3661" t="e">
        <f>IF(#REF!&gt;=10,"High Risk", IF(#REF!&gt;=5,"Medium Risk","Low Risk"))</f>
        <v>#REF!</v>
      </c>
      <c r="AH3661" t="e">
        <f>#REF! + #REF! + #REF! + #REF!</f>
        <v>#REF!</v>
      </c>
    </row>
    <row r="3662" spans="1:34" x14ac:dyDescent="0.35">
      <c r="A3662">
        <v>3661</v>
      </c>
      <c r="B3662" t="s">
        <v>65</v>
      </c>
      <c r="C3662">
        <v>94</v>
      </c>
      <c r="D3662" t="s">
        <v>25</v>
      </c>
      <c r="E3662" t="s">
        <v>22</v>
      </c>
      <c r="F3662" t="s">
        <v>22</v>
      </c>
      <c r="G3662">
        <v>0</v>
      </c>
      <c r="H3662">
        <v>139.1</v>
      </c>
      <c r="I3662">
        <v>93</v>
      </c>
      <c r="J3662">
        <v>23.65</v>
      </c>
      <c r="K3662">
        <v>237.9</v>
      </c>
      <c r="L3662">
        <v>100</v>
      </c>
      <c r="M3662">
        <v>20.22</v>
      </c>
      <c r="N3662">
        <v>227.1</v>
      </c>
      <c r="O3662">
        <v>59</v>
      </c>
      <c r="P3662">
        <v>10.220000000000001</v>
      </c>
      <c r="Q3662">
        <v>11.4</v>
      </c>
      <c r="R3662">
        <v>3</v>
      </c>
      <c r="S3662">
        <v>3.08</v>
      </c>
      <c r="T3662">
        <v>1</v>
      </c>
      <c r="U3662" t="s">
        <v>22</v>
      </c>
      <c r="V3662" t="e">
        <f>IF(#REF! = "yes", 1, 0)</f>
        <v>#REF!</v>
      </c>
      <c r="W3662" t="e">
        <f>IF(#REF! &lt;= 1, "0-1 Calls", IF(#REF! &lt;= 3, "2-3 Calls", IF(#REF! &lt;=5, "4-5 Calls", "6+ Calls")))</f>
        <v>#REF!</v>
      </c>
      <c r="X3662" t="e">
        <f>IF(#REF! &lt;= 50, "0-50", IF(#REF! &lt;=100, "51-100", IF(#REF! &lt;= 150, "101-150", "151+")))</f>
        <v>#REF!</v>
      </c>
      <c r="Y3662" t="e">
        <f>IF(#REF! &lt;= 3, "Low Charges", "High Charges")</f>
        <v>#REF!</v>
      </c>
      <c r="Z3662" t="e">
        <f>IF(#REF!&lt;=80,"Low Calls",
IF(#REF!&lt;=120,"Medium Calls","High Calls"))</f>
        <v>#REF!</v>
      </c>
      <c r="AA3662" t="e">
        <f>IF(#REF!&lt;=15,"Low Charges",
IF(#REF!&lt;=20,"Medium Charges","High Charges"))</f>
        <v>#REF!</v>
      </c>
      <c r="AB3662" t="e">
        <f>IF(AND(#REF!&gt;180, #REF!&gt;200), "Heavy Doemstic User", IF(#REF!&gt;10, "Interntional User", IF(AND(#REF!&lt;180, #REF!&lt;200,#REF!&lt;200), "Light User", "Balanced User")))</f>
        <v>#REF!</v>
      </c>
      <c r="AC3662" t="e">
        <f>IF(#REF! = 0, "No Usage", IF(#REF! &lt;= 20, "Low Usage", IF(#REF! &lt;= 40, "Medium Usgae", "High Usage")))</f>
        <v>#REF!</v>
      </c>
      <c r="AD3662" t="e">
        <f>IF(#REF!&lt;=150,"Low Usage", IF(#REF!&lt;=200,"Medium Usage", IF(#REF!&lt;=250,"High Usage","Very High Usage")))</f>
        <v>#REF!</v>
      </c>
      <c r="AE3662" t="e">
        <f>IF(#REF!&lt;=5,"Low Calls", IF(#REF!&lt;=10, "Medium Calls", "High Calls"))</f>
        <v>#REF!</v>
      </c>
      <c r="AF3662" t="e">
        <f xml:space="preserve">
IF(#REF!&gt;=4,4,0)+
IF(#REF!="yes",3,0)+
IF(#REF!="High Charges",3,0)+
IF(#REF!&gt;250,4,0)+
IF(#REF!="no",1,0)+
IF(#REF!="Heavy Domestic User",2,0)</f>
        <v>#REF!</v>
      </c>
      <c r="AG3662" t="e">
        <f>IF(#REF!&gt;=10,"High Risk", IF(#REF!&gt;=5,"Medium Risk","Low Risk"))</f>
        <v>#REF!</v>
      </c>
      <c r="AH3662" t="e">
        <f>#REF! + #REF! + #REF! + #REF!</f>
        <v>#REF!</v>
      </c>
    </row>
    <row r="3663" spans="1:34" x14ac:dyDescent="0.35">
      <c r="A3663">
        <v>3662</v>
      </c>
      <c r="B3663" t="s">
        <v>55</v>
      </c>
      <c r="C3663">
        <v>95</v>
      </c>
      <c r="D3663" t="s">
        <v>21</v>
      </c>
      <c r="E3663" t="s">
        <v>22</v>
      </c>
      <c r="F3663" t="s">
        <v>22</v>
      </c>
      <c r="G3663">
        <v>0</v>
      </c>
      <c r="H3663">
        <v>155.5</v>
      </c>
      <c r="I3663">
        <v>99</v>
      </c>
      <c r="J3663">
        <v>26.44</v>
      </c>
      <c r="K3663">
        <v>167</v>
      </c>
      <c r="L3663">
        <v>75</v>
      </c>
      <c r="M3663">
        <v>14.2</v>
      </c>
      <c r="N3663">
        <v>190.7</v>
      </c>
      <c r="O3663">
        <v>125</v>
      </c>
      <c r="P3663">
        <v>8.58</v>
      </c>
      <c r="Q3663">
        <v>13.2</v>
      </c>
      <c r="R3663">
        <v>4</v>
      </c>
      <c r="S3663">
        <v>3.56</v>
      </c>
      <c r="T3663">
        <v>1</v>
      </c>
      <c r="U3663" t="s">
        <v>22</v>
      </c>
      <c r="V3663" t="e">
        <f>IF(#REF! = "yes", 1, 0)</f>
        <v>#REF!</v>
      </c>
      <c r="W3663" t="e">
        <f>IF(#REF! &lt;= 1, "0-1 Calls", IF(#REF! &lt;= 3, "2-3 Calls", IF(#REF! &lt;=5, "4-5 Calls", "6+ Calls")))</f>
        <v>#REF!</v>
      </c>
      <c r="X3663" t="e">
        <f>IF(#REF! &lt;= 50, "0-50", IF(#REF! &lt;=100, "51-100", IF(#REF! &lt;= 150, "101-150", "151+")))</f>
        <v>#REF!</v>
      </c>
      <c r="Y3663" t="e">
        <f>IF(#REF! &lt;= 3, "Low Charges", "High Charges")</f>
        <v>#REF!</v>
      </c>
      <c r="Z3663" t="e">
        <f>IF(#REF!&lt;=80,"Low Calls",
IF(#REF!&lt;=120,"Medium Calls","High Calls"))</f>
        <v>#REF!</v>
      </c>
      <c r="AA3663" t="e">
        <f>IF(#REF!&lt;=15,"Low Charges",
IF(#REF!&lt;=20,"Medium Charges","High Charges"))</f>
        <v>#REF!</v>
      </c>
      <c r="AB3663" t="e">
        <f>IF(AND(#REF!&gt;180, #REF!&gt;200), "Heavy Doemstic User", IF(#REF!&gt;10, "Interntional User", IF(AND(#REF!&lt;180, #REF!&lt;200,#REF!&lt;200), "Light User", "Balanced User")))</f>
        <v>#REF!</v>
      </c>
      <c r="AC3663" t="e">
        <f>IF(#REF! = 0, "No Usage", IF(#REF! &lt;= 20, "Low Usage", IF(#REF! &lt;= 40, "Medium Usgae", "High Usage")))</f>
        <v>#REF!</v>
      </c>
      <c r="AD3663" t="e">
        <f>IF(#REF!&lt;=150,"Low Usage", IF(#REF!&lt;=200,"Medium Usage", IF(#REF!&lt;=250,"High Usage","Very High Usage")))</f>
        <v>#REF!</v>
      </c>
      <c r="AE3663" t="e">
        <f>IF(#REF!&lt;=5,"Low Calls", IF(#REF!&lt;=10, "Medium Calls", "High Calls"))</f>
        <v>#REF!</v>
      </c>
      <c r="AF3663" t="e">
        <f xml:space="preserve">
IF(#REF!&gt;=4,4,0)+
IF(#REF!="yes",3,0)+
IF(#REF!="High Charges",3,0)+
IF(#REF!&gt;250,4,0)+
IF(#REF!="no",1,0)+
IF(#REF!="Heavy Domestic User",2,0)</f>
        <v>#REF!</v>
      </c>
      <c r="AG3663" t="e">
        <f>IF(#REF!&gt;=10,"High Risk", IF(#REF!&gt;=5,"Medium Risk","Low Risk"))</f>
        <v>#REF!</v>
      </c>
      <c r="AH3663" t="e">
        <f>#REF! + #REF! + #REF! + #REF!</f>
        <v>#REF!</v>
      </c>
    </row>
    <row r="3664" spans="1:34" x14ac:dyDescent="0.35">
      <c r="A3664">
        <v>3663</v>
      </c>
      <c r="B3664" t="s">
        <v>62</v>
      </c>
      <c r="C3664">
        <v>138</v>
      </c>
      <c r="D3664" t="s">
        <v>25</v>
      </c>
      <c r="E3664" t="s">
        <v>22</v>
      </c>
      <c r="F3664" t="s">
        <v>22</v>
      </c>
      <c r="G3664">
        <v>0</v>
      </c>
      <c r="H3664">
        <v>180.5</v>
      </c>
      <c r="I3664">
        <v>82</v>
      </c>
      <c r="J3664">
        <v>30.69</v>
      </c>
      <c r="K3664">
        <v>242.4</v>
      </c>
      <c r="L3664">
        <v>103</v>
      </c>
      <c r="M3664">
        <v>20.6</v>
      </c>
      <c r="N3664">
        <v>244.4</v>
      </c>
      <c r="O3664">
        <v>89</v>
      </c>
      <c r="P3664">
        <v>11</v>
      </c>
      <c r="Q3664">
        <v>10.3</v>
      </c>
      <c r="R3664">
        <v>7</v>
      </c>
      <c r="S3664">
        <v>2.78</v>
      </c>
      <c r="T3664">
        <v>2</v>
      </c>
      <c r="U3664" t="s">
        <v>22</v>
      </c>
      <c r="V3664" t="e">
        <f>IF(#REF! = "yes", 1, 0)</f>
        <v>#REF!</v>
      </c>
      <c r="W3664" t="e">
        <f>IF(#REF! &lt;= 1, "0-1 Calls", IF(#REF! &lt;= 3, "2-3 Calls", IF(#REF! &lt;=5, "4-5 Calls", "6+ Calls")))</f>
        <v>#REF!</v>
      </c>
      <c r="X3664" t="e">
        <f>IF(#REF! &lt;= 50, "0-50", IF(#REF! &lt;=100, "51-100", IF(#REF! &lt;= 150, "101-150", "151+")))</f>
        <v>#REF!</v>
      </c>
      <c r="Y3664" t="e">
        <f>IF(#REF! &lt;= 3, "Low Charges", "High Charges")</f>
        <v>#REF!</v>
      </c>
      <c r="Z3664" t="e">
        <f>IF(#REF!&lt;=80,"Low Calls",
IF(#REF!&lt;=120,"Medium Calls","High Calls"))</f>
        <v>#REF!</v>
      </c>
      <c r="AA3664" t="e">
        <f>IF(#REF!&lt;=15,"Low Charges",
IF(#REF!&lt;=20,"Medium Charges","High Charges"))</f>
        <v>#REF!</v>
      </c>
      <c r="AB3664" t="e">
        <f>IF(AND(#REF!&gt;180, #REF!&gt;200), "Heavy Doemstic User", IF(#REF!&gt;10, "Interntional User", IF(AND(#REF!&lt;180, #REF!&lt;200,#REF!&lt;200), "Light User", "Balanced User")))</f>
        <v>#REF!</v>
      </c>
      <c r="AC3664" t="e">
        <f>IF(#REF! = 0, "No Usage", IF(#REF! &lt;= 20, "Low Usage", IF(#REF! &lt;= 40, "Medium Usgae", "High Usage")))</f>
        <v>#REF!</v>
      </c>
      <c r="AD3664" t="e">
        <f>IF(#REF!&lt;=150,"Low Usage", IF(#REF!&lt;=200,"Medium Usage", IF(#REF!&lt;=250,"High Usage","Very High Usage")))</f>
        <v>#REF!</v>
      </c>
      <c r="AE3664" t="e">
        <f>IF(#REF!&lt;=5,"Low Calls", IF(#REF!&lt;=10, "Medium Calls", "High Calls"))</f>
        <v>#REF!</v>
      </c>
      <c r="AF3664" t="e">
        <f xml:space="preserve">
IF(#REF!&gt;=4,4,0)+
IF(#REF!="yes",3,0)+
IF(#REF!="High Charges",3,0)+
IF(#REF!&gt;250,4,0)+
IF(#REF!="no",1,0)+
IF(#REF!="Heavy Domestic User",2,0)</f>
        <v>#REF!</v>
      </c>
      <c r="AG3664" t="e">
        <f>IF(#REF!&gt;=10,"High Risk", IF(#REF!&gt;=5,"Medium Risk","Low Risk"))</f>
        <v>#REF!</v>
      </c>
      <c r="AH3664" t="e">
        <f>#REF! + #REF! + #REF! + #REF!</f>
        <v>#REF!</v>
      </c>
    </row>
    <row r="3665" spans="1:34" x14ac:dyDescent="0.35">
      <c r="A3665">
        <v>3664</v>
      </c>
      <c r="B3665" t="s">
        <v>64</v>
      </c>
      <c r="C3665">
        <v>105</v>
      </c>
      <c r="D3665" t="s">
        <v>21</v>
      </c>
      <c r="E3665" t="s">
        <v>22</v>
      </c>
      <c r="F3665" t="s">
        <v>22</v>
      </c>
      <c r="G3665">
        <v>0</v>
      </c>
      <c r="H3665">
        <v>204.6</v>
      </c>
      <c r="I3665">
        <v>111</v>
      </c>
      <c r="J3665">
        <v>34.78</v>
      </c>
      <c r="K3665">
        <v>134.4</v>
      </c>
      <c r="L3665">
        <v>109</v>
      </c>
      <c r="M3665">
        <v>11.42</v>
      </c>
      <c r="N3665">
        <v>260.8</v>
      </c>
      <c r="O3665">
        <v>69</v>
      </c>
      <c r="P3665">
        <v>11.74</v>
      </c>
      <c r="Q3665">
        <v>5.7</v>
      </c>
      <c r="R3665">
        <v>7</v>
      </c>
      <c r="S3665">
        <v>1.54</v>
      </c>
      <c r="T3665">
        <v>1</v>
      </c>
      <c r="U3665" t="s">
        <v>22</v>
      </c>
      <c r="V3665" t="e">
        <f>IF(#REF! = "yes", 1, 0)</f>
        <v>#REF!</v>
      </c>
      <c r="W3665" t="e">
        <f>IF(#REF! &lt;= 1, "0-1 Calls", IF(#REF! &lt;= 3, "2-3 Calls", IF(#REF! &lt;=5, "4-5 Calls", "6+ Calls")))</f>
        <v>#REF!</v>
      </c>
      <c r="X3665" t="e">
        <f>IF(#REF! &lt;= 50, "0-50", IF(#REF! &lt;=100, "51-100", IF(#REF! &lt;= 150, "101-150", "151+")))</f>
        <v>#REF!</v>
      </c>
      <c r="Y3665" t="e">
        <f>IF(#REF! &lt;= 3, "Low Charges", "High Charges")</f>
        <v>#REF!</v>
      </c>
      <c r="Z3665" t="e">
        <f>IF(#REF!&lt;=80,"Low Calls",
IF(#REF!&lt;=120,"Medium Calls","High Calls"))</f>
        <v>#REF!</v>
      </c>
      <c r="AA3665" t="e">
        <f>IF(#REF!&lt;=15,"Low Charges",
IF(#REF!&lt;=20,"Medium Charges","High Charges"))</f>
        <v>#REF!</v>
      </c>
      <c r="AB3665" t="e">
        <f>IF(AND(#REF!&gt;180, #REF!&gt;200), "Heavy Doemstic User", IF(#REF!&gt;10, "Interntional User", IF(AND(#REF!&lt;180, #REF!&lt;200,#REF!&lt;200), "Light User", "Balanced User")))</f>
        <v>#REF!</v>
      </c>
      <c r="AC3665" t="e">
        <f>IF(#REF! = 0, "No Usage", IF(#REF! &lt;= 20, "Low Usage", IF(#REF! &lt;= 40, "Medium Usgae", "High Usage")))</f>
        <v>#REF!</v>
      </c>
      <c r="AD3665" t="e">
        <f>IF(#REF!&lt;=150,"Low Usage", IF(#REF!&lt;=200,"Medium Usage", IF(#REF!&lt;=250,"High Usage","Very High Usage")))</f>
        <v>#REF!</v>
      </c>
      <c r="AE3665" t="e">
        <f>IF(#REF!&lt;=5,"Low Calls", IF(#REF!&lt;=10, "Medium Calls", "High Calls"))</f>
        <v>#REF!</v>
      </c>
      <c r="AF3665" t="e">
        <f xml:space="preserve">
IF(#REF!&gt;=4,4,0)+
IF(#REF!="yes",3,0)+
IF(#REF!="High Charges",3,0)+
IF(#REF!&gt;250,4,0)+
IF(#REF!="no",1,0)+
IF(#REF!="Heavy Domestic User",2,0)</f>
        <v>#REF!</v>
      </c>
      <c r="AG3665" t="e">
        <f>IF(#REF!&gt;=10,"High Risk", IF(#REF!&gt;=5,"Medium Risk","Low Risk"))</f>
        <v>#REF!</v>
      </c>
      <c r="AH3665" t="e">
        <f>#REF! + #REF! + #REF! + #REF!</f>
        <v>#REF!</v>
      </c>
    </row>
    <row r="3666" spans="1:34" x14ac:dyDescent="0.35">
      <c r="A3666">
        <v>3665</v>
      </c>
      <c r="B3666" t="s">
        <v>66</v>
      </c>
      <c r="C3666">
        <v>81</v>
      </c>
      <c r="D3666" t="s">
        <v>21</v>
      </c>
      <c r="E3666" t="s">
        <v>23</v>
      </c>
      <c r="F3666" t="s">
        <v>22</v>
      </c>
      <c r="G3666">
        <v>0</v>
      </c>
      <c r="H3666">
        <v>220.4</v>
      </c>
      <c r="I3666">
        <v>76</v>
      </c>
      <c r="J3666">
        <v>37.47</v>
      </c>
      <c r="K3666">
        <v>276.39999999999998</v>
      </c>
      <c r="L3666">
        <v>122</v>
      </c>
      <c r="M3666">
        <v>23.49</v>
      </c>
      <c r="N3666">
        <v>239.5</v>
      </c>
      <c r="O3666">
        <v>112</v>
      </c>
      <c r="P3666">
        <v>10.78</v>
      </c>
      <c r="Q3666">
        <v>11.4</v>
      </c>
      <c r="R3666">
        <v>5</v>
      </c>
      <c r="S3666">
        <v>3.08</v>
      </c>
      <c r="T3666">
        <v>1</v>
      </c>
      <c r="U3666" t="s">
        <v>23</v>
      </c>
      <c r="V3666" t="e">
        <f>IF(#REF! = "yes", 1, 0)</f>
        <v>#REF!</v>
      </c>
      <c r="W3666" t="e">
        <f>IF(#REF! &lt;= 1, "0-1 Calls", IF(#REF! &lt;= 3, "2-3 Calls", IF(#REF! &lt;=5, "4-5 Calls", "6+ Calls")))</f>
        <v>#REF!</v>
      </c>
      <c r="X3666" t="e">
        <f>IF(#REF! &lt;= 50, "0-50", IF(#REF! &lt;=100, "51-100", IF(#REF! &lt;= 150, "101-150", "151+")))</f>
        <v>#REF!</v>
      </c>
      <c r="Y3666" t="e">
        <f>IF(#REF! &lt;= 3, "Low Charges", "High Charges")</f>
        <v>#REF!</v>
      </c>
      <c r="Z3666" t="e">
        <f>IF(#REF!&lt;=80,"Low Calls",
IF(#REF!&lt;=120,"Medium Calls","High Calls"))</f>
        <v>#REF!</v>
      </c>
      <c r="AA3666" t="e">
        <f>IF(#REF!&lt;=15,"Low Charges",
IF(#REF!&lt;=20,"Medium Charges","High Charges"))</f>
        <v>#REF!</v>
      </c>
      <c r="AB3666" t="e">
        <f>IF(AND(#REF!&gt;180, #REF!&gt;200), "Heavy Doemstic User", IF(#REF!&gt;10, "Interntional User", IF(AND(#REF!&lt;180, #REF!&lt;200,#REF!&lt;200), "Light User", "Balanced User")))</f>
        <v>#REF!</v>
      </c>
      <c r="AC3666" t="e">
        <f>IF(#REF! = 0, "No Usage", IF(#REF! &lt;= 20, "Low Usage", IF(#REF! &lt;= 40, "Medium Usgae", "High Usage")))</f>
        <v>#REF!</v>
      </c>
      <c r="AD3666" t="e">
        <f>IF(#REF!&lt;=150,"Low Usage", IF(#REF!&lt;=200,"Medium Usage", IF(#REF!&lt;=250,"High Usage","Very High Usage")))</f>
        <v>#REF!</v>
      </c>
      <c r="AE3666" t="e">
        <f>IF(#REF!&lt;=5,"Low Calls", IF(#REF!&lt;=10, "Medium Calls", "High Calls"))</f>
        <v>#REF!</v>
      </c>
      <c r="AF3666" t="e">
        <f xml:space="preserve">
IF(#REF!&gt;=4,4,0)+
IF(#REF!="yes",3,0)+
IF(#REF!="High Charges",3,0)+
IF(#REF!&gt;250,4,0)+
IF(#REF!="no",1,0)+
IF(#REF!="Heavy Domestic User",2,0)</f>
        <v>#REF!</v>
      </c>
      <c r="AG3666" t="e">
        <f>IF(#REF!&gt;=10,"High Risk", IF(#REF!&gt;=5,"Medium Risk","Low Risk"))</f>
        <v>#REF!</v>
      </c>
      <c r="AH3666" t="e">
        <f>#REF! + #REF! + #REF! + #REF!</f>
        <v>#REF!</v>
      </c>
    </row>
    <row r="3667" spans="1:34" x14ac:dyDescent="0.35">
      <c r="A3667">
        <v>3666</v>
      </c>
      <c r="B3667" t="s">
        <v>66</v>
      </c>
      <c r="C3667">
        <v>127</v>
      </c>
      <c r="D3667" t="s">
        <v>28</v>
      </c>
      <c r="E3667" t="s">
        <v>22</v>
      </c>
      <c r="F3667" t="s">
        <v>22</v>
      </c>
      <c r="G3667">
        <v>0</v>
      </c>
      <c r="H3667">
        <v>223.2</v>
      </c>
      <c r="I3667">
        <v>137</v>
      </c>
      <c r="J3667">
        <v>37.94</v>
      </c>
      <c r="K3667">
        <v>144.69999999999999</v>
      </c>
      <c r="L3667">
        <v>119</v>
      </c>
      <c r="M3667">
        <v>12.3</v>
      </c>
      <c r="N3667">
        <v>96</v>
      </c>
      <c r="O3667">
        <v>109</v>
      </c>
      <c r="P3667">
        <v>4.32</v>
      </c>
      <c r="Q3667">
        <v>8.6</v>
      </c>
      <c r="R3667">
        <v>4</v>
      </c>
      <c r="S3667">
        <v>2.3199999999999998</v>
      </c>
      <c r="T3667">
        <v>2</v>
      </c>
      <c r="U3667" t="s">
        <v>22</v>
      </c>
      <c r="V3667" t="e">
        <f>IF(#REF! = "yes", 1, 0)</f>
        <v>#REF!</v>
      </c>
      <c r="W3667" t="e">
        <f>IF(#REF! &lt;= 1, "0-1 Calls", IF(#REF! &lt;= 3, "2-3 Calls", IF(#REF! &lt;=5, "4-5 Calls", "6+ Calls")))</f>
        <v>#REF!</v>
      </c>
      <c r="X3667" t="e">
        <f>IF(#REF! &lt;= 50, "0-50", IF(#REF! &lt;=100, "51-100", IF(#REF! &lt;= 150, "101-150", "151+")))</f>
        <v>#REF!</v>
      </c>
      <c r="Y3667" t="e">
        <f>IF(#REF! &lt;= 3, "Low Charges", "High Charges")</f>
        <v>#REF!</v>
      </c>
      <c r="Z3667" t="e">
        <f>IF(#REF!&lt;=80,"Low Calls",
IF(#REF!&lt;=120,"Medium Calls","High Calls"))</f>
        <v>#REF!</v>
      </c>
      <c r="AA3667" t="e">
        <f>IF(#REF!&lt;=15,"Low Charges",
IF(#REF!&lt;=20,"Medium Charges","High Charges"))</f>
        <v>#REF!</v>
      </c>
      <c r="AB3667" t="e">
        <f>IF(AND(#REF!&gt;180, #REF!&gt;200), "Heavy Doemstic User", IF(#REF!&gt;10, "Interntional User", IF(AND(#REF!&lt;180, #REF!&lt;200,#REF!&lt;200), "Light User", "Balanced User")))</f>
        <v>#REF!</v>
      </c>
      <c r="AC3667" t="e">
        <f>IF(#REF! = 0, "No Usage", IF(#REF! &lt;= 20, "Low Usage", IF(#REF! &lt;= 40, "Medium Usgae", "High Usage")))</f>
        <v>#REF!</v>
      </c>
      <c r="AD3667" t="e">
        <f>IF(#REF!&lt;=150,"Low Usage", IF(#REF!&lt;=200,"Medium Usage", IF(#REF!&lt;=250,"High Usage","Very High Usage")))</f>
        <v>#REF!</v>
      </c>
      <c r="AE3667" t="e">
        <f>IF(#REF!&lt;=5,"Low Calls", IF(#REF!&lt;=10, "Medium Calls", "High Calls"))</f>
        <v>#REF!</v>
      </c>
      <c r="AF3667" t="e">
        <f xml:space="preserve">
IF(#REF!&gt;=4,4,0)+
IF(#REF!="yes",3,0)+
IF(#REF!="High Charges",3,0)+
IF(#REF!&gt;250,4,0)+
IF(#REF!="no",1,0)+
IF(#REF!="Heavy Domestic User",2,0)</f>
        <v>#REF!</v>
      </c>
      <c r="AG3667" t="e">
        <f>IF(#REF!&gt;=10,"High Risk", IF(#REF!&gt;=5,"Medium Risk","Low Risk"))</f>
        <v>#REF!</v>
      </c>
      <c r="AH3667" t="e">
        <f>#REF! + #REF! + #REF! + #REF!</f>
        <v>#REF!</v>
      </c>
    </row>
    <row r="3668" spans="1:34" x14ac:dyDescent="0.35">
      <c r="A3668">
        <v>3667</v>
      </c>
      <c r="B3668" t="s">
        <v>73</v>
      </c>
      <c r="C3668">
        <v>84</v>
      </c>
      <c r="D3668" t="s">
        <v>21</v>
      </c>
      <c r="E3668" t="s">
        <v>22</v>
      </c>
      <c r="F3668" t="s">
        <v>22</v>
      </c>
      <c r="G3668">
        <v>0</v>
      </c>
      <c r="H3668">
        <v>109.1</v>
      </c>
      <c r="I3668">
        <v>114</v>
      </c>
      <c r="J3668">
        <v>18.55</v>
      </c>
      <c r="K3668">
        <v>231.4</v>
      </c>
      <c r="L3668">
        <v>113</v>
      </c>
      <c r="M3668">
        <v>19.670000000000002</v>
      </c>
      <c r="N3668">
        <v>274</v>
      </c>
      <c r="O3668">
        <v>112</v>
      </c>
      <c r="P3668">
        <v>12.33</v>
      </c>
      <c r="Q3668">
        <v>9.6</v>
      </c>
      <c r="R3668">
        <v>4</v>
      </c>
      <c r="S3668">
        <v>2.59</v>
      </c>
      <c r="T3668">
        <v>0</v>
      </c>
      <c r="U3668" t="s">
        <v>22</v>
      </c>
      <c r="V3668" t="e">
        <f>IF(#REF! = "yes", 1, 0)</f>
        <v>#REF!</v>
      </c>
      <c r="W3668" t="e">
        <f>IF(#REF! &lt;= 1, "0-1 Calls", IF(#REF! &lt;= 3, "2-3 Calls", IF(#REF! &lt;=5, "4-5 Calls", "6+ Calls")))</f>
        <v>#REF!</v>
      </c>
      <c r="X3668" t="e">
        <f>IF(#REF! &lt;= 50, "0-50", IF(#REF! &lt;=100, "51-100", IF(#REF! &lt;= 150, "101-150", "151+")))</f>
        <v>#REF!</v>
      </c>
      <c r="Y3668" t="e">
        <f>IF(#REF! &lt;= 3, "Low Charges", "High Charges")</f>
        <v>#REF!</v>
      </c>
      <c r="Z3668" t="e">
        <f>IF(#REF!&lt;=80,"Low Calls",
IF(#REF!&lt;=120,"Medium Calls","High Calls"))</f>
        <v>#REF!</v>
      </c>
      <c r="AA3668" t="e">
        <f>IF(#REF!&lt;=15,"Low Charges",
IF(#REF!&lt;=20,"Medium Charges","High Charges"))</f>
        <v>#REF!</v>
      </c>
      <c r="AB3668" t="e">
        <f>IF(AND(#REF!&gt;180, #REF!&gt;200), "Heavy Doemstic User", IF(#REF!&gt;10, "Interntional User", IF(AND(#REF!&lt;180, #REF!&lt;200,#REF!&lt;200), "Light User", "Balanced User")))</f>
        <v>#REF!</v>
      </c>
      <c r="AC3668" t="e">
        <f>IF(#REF! = 0, "No Usage", IF(#REF! &lt;= 20, "Low Usage", IF(#REF! &lt;= 40, "Medium Usgae", "High Usage")))</f>
        <v>#REF!</v>
      </c>
      <c r="AD3668" t="e">
        <f>IF(#REF!&lt;=150,"Low Usage", IF(#REF!&lt;=200,"Medium Usage", IF(#REF!&lt;=250,"High Usage","Very High Usage")))</f>
        <v>#REF!</v>
      </c>
      <c r="AE3668" t="e">
        <f>IF(#REF!&lt;=5,"Low Calls", IF(#REF!&lt;=10, "Medium Calls", "High Calls"))</f>
        <v>#REF!</v>
      </c>
      <c r="AF3668" t="e">
        <f xml:space="preserve">
IF(#REF!&gt;=4,4,0)+
IF(#REF!="yes",3,0)+
IF(#REF!="High Charges",3,0)+
IF(#REF!&gt;250,4,0)+
IF(#REF!="no",1,0)+
IF(#REF!="Heavy Domestic User",2,0)</f>
        <v>#REF!</v>
      </c>
      <c r="AG3668" t="e">
        <f>IF(#REF!&gt;=10,"High Risk", IF(#REF!&gt;=5,"Medium Risk","Low Risk"))</f>
        <v>#REF!</v>
      </c>
      <c r="AH3668" t="e">
        <f>#REF! + #REF! + #REF! + #REF!</f>
        <v>#REF!</v>
      </c>
    </row>
    <row r="3669" spans="1:34" x14ac:dyDescent="0.35">
      <c r="A3669">
        <v>3668</v>
      </c>
      <c r="B3669" t="s">
        <v>53</v>
      </c>
      <c r="C3669">
        <v>47</v>
      </c>
      <c r="D3669" t="s">
        <v>28</v>
      </c>
      <c r="E3669" t="s">
        <v>22</v>
      </c>
      <c r="F3669" t="s">
        <v>23</v>
      </c>
      <c r="G3669">
        <v>30</v>
      </c>
      <c r="H3669">
        <v>136.5</v>
      </c>
      <c r="I3669">
        <v>101</v>
      </c>
      <c r="J3669">
        <v>23.21</v>
      </c>
      <c r="K3669">
        <v>174.9</v>
      </c>
      <c r="L3669">
        <v>74</v>
      </c>
      <c r="M3669">
        <v>14.87</v>
      </c>
      <c r="N3669">
        <v>146.4</v>
      </c>
      <c r="O3669">
        <v>91</v>
      </c>
      <c r="P3669">
        <v>6.59</v>
      </c>
      <c r="Q3669">
        <v>10.9</v>
      </c>
      <c r="R3669">
        <v>3</v>
      </c>
      <c r="S3669">
        <v>2.94</v>
      </c>
      <c r="T3669">
        <v>2</v>
      </c>
      <c r="U3669" t="s">
        <v>22</v>
      </c>
      <c r="V3669" t="e">
        <f>IF(#REF! = "yes", 1, 0)</f>
        <v>#REF!</v>
      </c>
      <c r="W3669" t="e">
        <f>IF(#REF! &lt;= 1, "0-1 Calls", IF(#REF! &lt;= 3, "2-3 Calls", IF(#REF! &lt;=5, "4-5 Calls", "6+ Calls")))</f>
        <v>#REF!</v>
      </c>
      <c r="X3669" t="e">
        <f>IF(#REF! &lt;= 50, "0-50", IF(#REF! &lt;=100, "51-100", IF(#REF! &lt;= 150, "101-150", "151+")))</f>
        <v>#REF!</v>
      </c>
      <c r="Y3669" t="e">
        <f>IF(#REF! &lt;= 3, "Low Charges", "High Charges")</f>
        <v>#REF!</v>
      </c>
      <c r="Z3669" t="e">
        <f>IF(#REF!&lt;=80,"Low Calls",
IF(#REF!&lt;=120,"Medium Calls","High Calls"))</f>
        <v>#REF!</v>
      </c>
      <c r="AA3669" t="e">
        <f>IF(#REF!&lt;=15,"Low Charges",
IF(#REF!&lt;=20,"Medium Charges","High Charges"))</f>
        <v>#REF!</v>
      </c>
      <c r="AB3669" t="e">
        <f>IF(AND(#REF!&gt;180, #REF!&gt;200), "Heavy Doemstic User", IF(#REF!&gt;10, "Interntional User", IF(AND(#REF!&lt;180, #REF!&lt;200,#REF!&lt;200), "Light User", "Balanced User")))</f>
        <v>#REF!</v>
      </c>
      <c r="AC3669" t="e">
        <f>IF(#REF! = 0, "No Usage", IF(#REF! &lt;= 20, "Low Usage", IF(#REF! &lt;= 40, "Medium Usgae", "High Usage")))</f>
        <v>#REF!</v>
      </c>
      <c r="AD3669" t="e">
        <f>IF(#REF!&lt;=150,"Low Usage", IF(#REF!&lt;=200,"Medium Usage", IF(#REF!&lt;=250,"High Usage","Very High Usage")))</f>
        <v>#REF!</v>
      </c>
      <c r="AE3669" t="e">
        <f>IF(#REF!&lt;=5,"Low Calls", IF(#REF!&lt;=10, "Medium Calls", "High Calls"))</f>
        <v>#REF!</v>
      </c>
      <c r="AF3669" t="e">
        <f xml:space="preserve">
IF(#REF!&gt;=4,4,0)+
IF(#REF!="yes",3,0)+
IF(#REF!="High Charges",3,0)+
IF(#REF!&gt;250,4,0)+
IF(#REF!="no",1,0)+
IF(#REF!="Heavy Domestic User",2,0)</f>
        <v>#REF!</v>
      </c>
      <c r="AG3669" t="e">
        <f>IF(#REF!&gt;=10,"High Risk", IF(#REF!&gt;=5,"Medium Risk","Low Risk"))</f>
        <v>#REF!</v>
      </c>
      <c r="AH3669" t="e">
        <f>#REF! + #REF! + #REF! + #REF!</f>
        <v>#REF!</v>
      </c>
    </row>
    <row r="3670" spans="1:34" x14ac:dyDescent="0.35">
      <c r="A3670">
        <v>3669</v>
      </c>
      <c r="B3670" t="s">
        <v>60</v>
      </c>
      <c r="C3670">
        <v>128</v>
      </c>
      <c r="D3670" t="s">
        <v>28</v>
      </c>
      <c r="E3670" t="s">
        <v>23</v>
      </c>
      <c r="F3670" t="s">
        <v>22</v>
      </c>
      <c r="G3670">
        <v>0</v>
      </c>
      <c r="H3670">
        <v>192.8</v>
      </c>
      <c r="I3670">
        <v>96</v>
      </c>
      <c r="J3670">
        <v>32.78</v>
      </c>
      <c r="K3670">
        <v>136.6</v>
      </c>
      <c r="L3670">
        <v>86</v>
      </c>
      <c r="M3670">
        <v>11.61</v>
      </c>
      <c r="N3670">
        <v>151.80000000000001</v>
      </c>
      <c r="O3670">
        <v>75</v>
      </c>
      <c r="P3670">
        <v>6.83</v>
      </c>
      <c r="Q3670">
        <v>13.5</v>
      </c>
      <c r="R3670">
        <v>4</v>
      </c>
      <c r="S3670">
        <v>3.65</v>
      </c>
      <c r="T3670">
        <v>1</v>
      </c>
      <c r="U3670" t="s">
        <v>23</v>
      </c>
      <c r="V3670" t="e">
        <f>IF(#REF! = "yes", 1, 0)</f>
        <v>#REF!</v>
      </c>
      <c r="W3670" t="e">
        <f>IF(#REF! &lt;= 1, "0-1 Calls", IF(#REF! &lt;= 3, "2-3 Calls", IF(#REF! &lt;=5, "4-5 Calls", "6+ Calls")))</f>
        <v>#REF!</v>
      </c>
      <c r="X3670" t="e">
        <f>IF(#REF! &lt;= 50, "0-50", IF(#REF! &lt;=100, "51-100", IF(#REF! &lt;= 150, "101-150", "151+")))</f>
        <v>#REF!</v>
      </c>
      <c r="Y3670" t="e">
        <f>IF(#REF! &lt;= 3, "Low Charges", "High Charges")</f>
        <v>#REF!</v>
      </c>
      <c r="Z3670" t="e">
        <f>IF(#REF!&lt;=80,"Low Calls",
IF(#REF!&lt;=120,"Medium Calls","High Calls"))</f>
        <v>#REF!</v>
      </c>
      <c r="AA3670" t="e">
        <f>IF(#REF!&lt;=15,"Low Charges",
IF(#REF!&lt;=20,"Medium Charges","High Charges"))</f>
        <v>#REF!</v>
      </c>
      <c r="AB3670" t="e">
        <f>IF(AND(#REF!&gt;180, #REF!&gt;200), "Heavy Doemstic User", IF(#REF!&gt;10, "Interntional User", IF(AND(#REF!&lt;180, #REF!&lt;200,#REF!&lt;200), "Light User", "Balanced User")))</f>
        <v>#REF!</v>
      </c>
      <c r="AC3670" t="e">
        <f>IF(#REF! = 0, "No Usage", IF(#REF! &lt;= 20, "Low Usage", IF(#REF! &lt;= 40, "Medium Usgae", "High Usage")))</f>
        <v>#REF!</v>
      </c>
      <c r="AD3670" t="e">
        <f>IF(#REF!&lt;=150,"Low Usage", IF(#REF!&lt;=200,"Medium Usage", IF(#REF!&lt;=250,"High Usage","Very High Usage")))</f>
        <v>#REF!</v>
      </c>
      <c r="AE3670" t="e">
        <f>IF(#REF!&lt;=5,"Low Calls", IF(#REF!&lt;=10, "Medium Calls", "High Calls"))</f>
        <v>#REF!</v>
      </c>
      <c r="AF3670" t="e">
        <f xml:space="preserve">
IF(#REF!&gt;=4,4,0)+
IF(#REF!="yes",3,0)+
IF(#REF!="High Charges",3,0)+
IF(#REF!&gt;250,4,0)+
IF(#REF!="no",1,0)+
IF(#REF!="Heavy Domestic User",2,0)</f>
        <v>#REF!</v>
      </c>
      <c r="AG3670" t="e">
        <f>IF(#REF!&gt;=10,"High Risk", IF(#REF!&gt;=5,"Medium Risk","Low Risk"))</f>
        <v>#REF!</v>
      </c>
      <c r="AH3670" t="e">
        <f>#REF! + #REF! + #REF! + #REF!</f>
        <v>#REF!</v>
      </c>
    </row>
    <row r="3671" spans="1:34" x14ac:dyDescent="0.35">
      <c r="A3671">
        <v>3670</v>
      </c>
      <c r="B3671" t="s">
        <v>65</v>
      </c>
      <c r="C3671">
        <v>76</v>
      </c>
      <c r="D3671" t="s">
        <v>28</v>
      </c>
      <c r="E3671" t="s">
        <v>22</v>
      </c>
      <c r="F3671" t="s">
        <v>22</v>
      </c>
      <c r="G3671">
        <v>0</v>
      </c>
      <c r="H3671">
        <v>293.8</v>
      </c>
      <c r="I3671">
        <v>94</v>
      </c>
      <c r="J3671">
        <v>49.95</v>
      </c>
      <c r="K3671">
        <v>169.6</v>
      </c>
      <c r="L3671">
        <v>62</v>
      </c>
      <c r="M3671">
        <v>14.42</v>
      </c>
      <c r="N3671">
        <v>160.4</v>
      </c>
      <c r="O3671">
        <v>103</v>
      </c>
      <c r="P3671">
        <v>7.22</v>
      </c>
      <c r="Q3671">
        <v>13.7</v>
      </c>
      <c r="R3671">
        <v>9</v>
      </c>
      <c r="S3671">
        <v>3.7</v>
      </c>
      <c r="T3671">
        <v>0</v>
      </c>
      <c r="U3671" t="s">
        <v>23</v>
      </c>
      <c r="V3671" t="e">
        <f>IF(#REF! = "yes", 1, 0)</f>
        <v>#REF!</v>
      </c>
      <c r="W3671" t="e">
        <f>IF(#REF! &lt;= 1, "0-1 Calls", IF(#REF! &lt;= 3, "2-3 Calls", IF(#REF! &lt;=5, "4-5 Calls", "6+ Calls")))</f>
        <v>#REF!</v>
      </c>
      <c r="X3671" t="e">
        <f>IF(#REF! &lt;= 50, "0-50", IF(#REF! &lt;=100, "51-100", IF(#REF! &lt;= 150, "101-150", "151+")))</f>
        <v>#REF!</v>
      </c>
      <c r="Y3671" t="e">
        <f>IF(#REF! &lt;= 3, "Low Charges", "High Charges")</f>
        <v>#REF!</v>
      </c>
      <c r="Z3671" t="e">
        <f>IF(#REF!&lt;=80,"Low Calls",
IF(#REF!&lt;=120,"Medium Calls","High Calls"))</f>
        <v>#REF!</v>
      </c>
      <c r="AA3671" t="e">
        <f>IF(#REF!&lt;=15,"Low Charges",
IF(#REF!&lt;=20,"Medium Charges","High Charges"))</f>
        <v>#REF!</v>
      </c>
      <c r="AB3671" t="e">
        <f>IF(AND(#REF!&gt;180, #REF!&gt;200), "Heavy Doemstic User", IF(#REF!&gt;10, "Interntional User", IF(AND(#REF!&lt;180, #REF!&lt;200,#REF!&lt;200), "Light User", "Balanced User")))</f>
        <v>#REF!</v>
      </c>
      <c r="AC3671" t="e">
        <f>IF(#REF! = 0, "No Usage", IF(#REF! &lt;= 20, "Low Usage", IF(#REF! &lt;= 40, "Medium Usgae", "High Usage")))</f>
        <v>#REF!</v>
      </c>
      <c r="AD3671" t="e">
        <f>IF(#REF!&lt;=150,"Low Usage", IF(#REF!&lt;=200,"Medium Usage", IF(#REF!&lt;=250,"High Usage","Very High Usage")))</f>
        <v>#REF!</v>
      </c>
      <c r="AE3671" t="e">
        <f>IF(#REF!&lt;=5,"Low Calls", IF(#REF!&lt;=10, "Medium Calls", "High Calls"))</f>
        <v>#REF!</v>
      </c>
      <c r="AF3671" t="e">
        <f xml:space="preserve">
IF(#REF!&gt;=4,4,0)+
IF(#REF!="yes",3,0)+
IF(#REF!="High Charges",3,0)+
IF(#REF!&gt;250,4,0)+
IF(#REF!="no",1,0)+
IF(#REF!="Heavy Domestic User",2,0)</f>
        <v>#REF!</v>
      </c>
      <c r="AG3671" t="e">
        <f>IF(#REF!&gt;=10,"High Risk", IF(#REF!&gt;=5,"Medium Risk","Low Risk"))</f>
        <v>#REF!</v>
      </c>
      <c r="AH3671" t="e">
        <f>#REF! + #REF! + #REF! + #REF!</f>
        <v>#REF!</v>
      </c>
    </row>
    <row r="3672" spans="1:34" x14ac:dyDescent="0.35">
      <c r="A3672">
        <v>3671</v>
      </c>
      <c r="B3672" t="s">
        <v>65</v>
      </c>
      <c r="C3672">
        <v>167</v>
      </c>
      <c r="D3672" t="s">
        <v>25</v>
      </c>
      <c r="E3672" t="s">
        <v>22</v>
      </c>
      <c r="F3672" t="s">
        <v>22</v>
      </c>
      <c r="G3672">
        <v>0</v>
      </c>
      <c r="H3672">
        <v>130.5</v>
      </c>
      <c r="I3672">
        <v>66</v>
      </c>
      <c r="J3672">
        <v>22.19</v>
      </c>
      <c r="K3672">
        <v>80.900000000000006</v>
      </c>
      <c r="L3672">
        <v>102</v>
      </c>
      <c r="M3672">
        <v>6.88</v>
      </c>
      <c r="N3672">
        <v>221.6</v>
      </c>
      <c r="O3672">
        <v>116</v>
      </c>
      <c r="P3672">
        <v>9.9700000000000006</v>
      </c>
      <c r="Q3672">
        <v>11.2</v>
      </c>
      <c r="R3672">
        <v>5</v>
      </c>
      <c r="S3672">
        <v>3.02</v>
      </c>
      <c r="T3672">
        <v>1</v>
      </c>
      <c r="U3672" t="s">
        <v>22</v>
      </c>
      <c r="V3672" t="e">
        <f>IF(#REF! = "yes", 1, 0)</f>
        <v>#REF!</v>
      </c>
      <c r="W3672" t="e">
        <f>IF(#REF! &lt;= 1, "0-1 Calls", IF(#REF! &lt;= 3, "2-3 Calls", IF(#REF! &lt;=5, "4-5 Calls", "6+ Calls")))</f>
        <v>#REF!</v>
      </c>
      <c r="X3672" t="e">
        <f>IF(#REF! &lt;= 50, "0-50", IF(#REF! &lt;=100, "51-100", IF(#REF! &lt;= 150, "101-150", "151+")))</f>
        <v>#REF!</v>
      </c>
      <c r="Y3672" t="e">
        <f>IF(#REF! &lt;= 3, "Low Charges", "High Charges")</f>
        <v>#REF!</v>
      </c>
      <c r="Z3672" t="e">
        <f>IF(#REF!&lt;=80,"Low Calls",
IF(#REF!&lt;=120,"Medium Calls","High Calls"))</f>
        <v>#REF!</v>
      </c>
      <c r="AA3672" t="e">
        <f>IF(#REF!&lt;=15,"Low Charges",
IF(#REF!&lt;=20,"Medium Charges","High Charges"))</f>
        <v>#REF!</v>
      </c>
      <c r="AB3672" t="e">
        <f>IF(AND(#REF!&gt;180, #REF!&gt;200), "Heavy Doemstic User", IF(#REF!&gt;10, "Interntional User", IF(AND(#REF!&lt;180, #REF!&lt;200,#REF!&lt;200), "Light User", "Balanced User")))</f>
        <v>#REF!</v>
      </c>
      <c r="AC3672" t="e">
        <f>IF(#REF! = 0, "No Usage", IF(#REF! &lt;= 20, "Low Usage", IF(#REF! &lt;= 40, "Medium Usgae", "High Usage")))</f>
        <v>#REF!</v>
      </c>
      <c r="AD3672" t="e">
        <f>IF(#REF!&lt;=150,"Low Usage", IF(#REF!&lt;=200,"Medium Usage", IF(#REF!&lt;=250,"High Usage","Very High Usage")))</f>
        <v>#REF!</v>
      </c>
      <c r="AE3672" t="e">
        <f>IF(#REF!&lt;=5,"Low Calls", IF(#REF!&lt;=10, "Medium Calls", "High Calls"))</f>
        <v>#REF!</v>
      </c>
      <c r="AF3672" t="e">
        <f xml:space="preserve">
IF(#REF!&gt;=4,4,0)+
IF(#REF!="yes",3,0)+
IF(#REF!="High Charges",3,0)+
IF(#REF!&gt;250,4,0)+
IF(#REF!="no",1,0)+
IF(#REF!="Heavy Domestic User",2,0)</f>
        <v>#REF!</v>
      </c>
      <c r="AG3672" t="e">
        <f>IF(#REF!&gt;=10,"High Risk", IF(#REF!&gt;=5,"Medium Risk","Low Risk"))</f>
        <v>#REF!</v>
      </c>
      <c r="AH3672" t="e">
        <f>#REF! + #REF! + #REF! + #REF!</f>
        <v>#REF!</v>
      </c>
    </row>
    <row r="3673" spans="1:34" x14ac:dyDescent="0.35">
      <c r="A3673">
        <v>3672</v>
      </c>
      <c r="B3673" t="s">
        <v>73</v>
      </c>
      <c r="C3673">
        <v>104</v>
      </c>
      <c r="D3673" t="s">
        <v>21</v>
      </c>
      <c r="E3673" t="s">
        <v>22</v>
      </c>
      <c r="F3673" t="s">
        <v>22</v>
      </c>
      <c r="G3673">
        <v>0</v>
      </c>
      <c r="H3673">
        <v>186.8</v>
      </c>
      <c r="I3673">
        <v>102</v>
      </c>
      <c r="J3673">
        <v>31.76</v>
      </c>
      <c r="K3673">
        <v>176.3</v>
      </c>
      <c r="L3673">
        <v>114</v>
      </c>
      <c r="M3673">
        <v>14.99</v>
      </c>
      <c r="N3673">
        <v>222.2</v>
      </c>
      <c r="O3673">
        <v>84</v>
      </c>
      <c r="P3673">
        <v>10</v>
      </c>
      <c r="Q3673">
        <v>13</v>
      </c>
      <c r="R3673">
        <v>3</v>
      </c>
      <c r="S3673">
        <v>3.51</v>
      </c>
      <c r="T3673">
        <v>0</v>
      </c>
      <c r="U3673" t="s">
        <v>22</v>
      </c>
      <c r="V3673" t="e">
        <f>IF(#REF! = "yes", 1, 0)</f>
        <v>#REF!</v>
      </c>
      <c r="W3673" t="e">
        <f>IF(#REF! &lt;= 1, "0-1 Calls", IF(#REF! &lt;= 3, "2-3 Calls", IF(#REF! &lt;=5, "4-5 Calls", "6+ Calls")))</f>
        <v>#REF!</v>
      </c>
      <c r="X3673" t="e">
        <f>IF(#REF! &lt;= 50, "0-50", IF(#REF! &lt;=100, "51-100", IF(#REF! &lt;= 150, "101-150", "151+")))</f>
        <v>#REF!</v>
      </c>
      <c r="Y3673" t="e">
        <f>IF(#REF! &lt;= 3, "Low Charges", "High Charges")</f>
        <v>#REF!</v>
      </c>
      <c r="Z3673" t="e">
        <f>IF(#REF!&lt;=80,"Low Calls",
IF(#REF!&lt;=120,"Medium Calls","High Calls"))</f>
        <v>#REF!</v>
      </c>
      <c r="AA3673" t="e">
        <f>IF(#REF!&lt;=15,"Low Charges",
IF(#REF!&lt;=20,"Medium Charges","High Charges"))</f>
        <v>#REF!</v>
      </c>
      <c r="AB3673" t="e">
        <f>IF(AND(#REF!&gt;180, #REF!&gt;200), "Heavy Doemstic User", IF(#REF!&gt;10, "Interntional User", IF(AND(#REF!&lt;180, #REF!&lt;200,#REF!&lt;200), "Light User", "Balanced User")))</f>
        <v>#REF!</v>
      </c>
      <c r="AC3673" t="e">
        <f>IF(#REF! = 0, "No Usage", IF(#REF! &lt;= 20, "Low Usage", IF(#REF! &lt;= 40, "Medium Usgae", "High Usage")))</f>
        <v>#REF!</v>
      </c>
      <c r="AD3673" t="e">
        <f>IF(#REF!&lt;=150,"Low Usage", IF(#REF!&lt;=200,"Medium Usage", IF(#REF!&lt;=250,"High Usage","Very High Usage")))</f>
        <v>#REF!</v>
      </c>
      <c r="AE3673" t="e">
        <f>IF(#REF!&lt;=5,"Low Calls", IF(#REF!&lt;=10, "Medium Calls", "High Calls"))</f>
        <v>#REF!</v>
      </c>
      <c r="AF3673" t="e">
        <f xml:space="preserve">
IF(#REF!&gt;=4,4,0)+
IF(#REF!="yes",3,0)+
IF(#REF!="High Charges",3,0)+
IF(#REF!&gt;250,4,0)+
IF(#REF!="no",1,0)+
IF(#REF!="Heavy Domestic User",2,0)</f>
        <v>#REF!</v>
      </c>
      <c r="AG3673" t="e">
        <f>IF(#REF!&gt;=10,"High Risk", IF(#REF!&gt;=5,"Medium Risk","Low Risk"))</f>
        <v>#REF!</v>
      </c>
      <c r="AH3673" t="e">
        <f>#REF! + #REF! + #REF! + #REF!</f>
        <v>#REF!</v>
      </c>
    </row>
    <row r="3674" spans="1:34" x14ac:dyDescent="0.35">
      <c r="A3674">
        <v>3673</v>
      </c>
      <c r="B3674" t="s">
        <v>38</v>
      </c>
      <c r="C3674">
        <v>136</v>
      </c>
      <c r="D3674" t="s">
        <v>21</v>
      </c>
      <c r="E3674" t="s">
        <v>22</v>
      </c>
      <c r="F3674" t="s">
        <v>22</v>
      </c>
      <c r="G3674">
        <v>0</v>
      </c>
      <c r="H3674">
        <v>110.2</v>
      </c>
      <c r="I3674">
        <v>92</v>
      </c>
      <c r="J3674">
        <v>18.73</v>
      </c>
      <c r="K3674">
        <v>219.4</v>
      </c>
      <c r="L3674">
        <v>109</v>
      </c>
      <c r="M3674">
        <v>18.649999999999999</v>
      </c>
      <c r="N3674">
        <v>188.1</v>
      </c>
      <c r="O3674">
        <v>67</v>
      </c>
      <c r="P3674">
        <v>8.4600000000000009</v>
      </c>
      <c r="Q3674">
        <v>12.3</v>
      </c>
      <c r="R3674">
        <v>4</v>
      </c>
      <c r="S3674">
        <v>3.32</v>
      </c>
      <c r="T3674">
        <v>2</v>
      </c>
      <c r="U3674" t="s">
        <v>22</v>
      </c>
      <c r="V3674" t="e">
        <f>IF(#REF! = "yes", 1, 0)</f>
        <v>#REF!</v>
      </c>
      <c r="W3674" t="e">
        <f>IF(#REF! &lt;= 1, "0-1 Calls", IF(#REF! &lt;= 3, "2-3 Calls", IF(#REF! &lt;=5, "4-5 Calls", "6+ Calls")))</f>
        <v>#REF!</v>
      </c>
      <c r="X3674" t="e">
        <f>IF(#REF! &lt;= 50, "0-50", IF(#REF! &lt;=100, "51-100", IF(#REF! &lt;= 150, "101-150", "151+")))</f>
        <v>#REF!</v>
      </c>
      <c r="Y3674" t="e">
        <f>IF(#REF! &lt;= 3, "Low Charges", "High Charges")</f>
        <v>#REF!</v>
      </c>
      <c r="Z3674" t="e">
        <f>IF(#REF!&lt;=80,"Low Calls",
IF(#REF!&lt;=120,"Medium Calls","High Calls"))</f>
        <v>#REF!</v>
      </c>
      <c r="AA3674" t="e">
        <f>IF(#REF!&lt;=15,"Low Charges",
IF(#REF!&lt;=20,"Medium Charges","High Charges"))</f>
        <v>#REF!</v>
      </c>
      <c r="AB3674" t="e">
        <f>IF(AND(#REF!&gt;180, #REF!&gt;200), "Heavy Doemstic User", IF(#REF!&gt;10, "Interntional User", IF(AND(#REF!&lt;180, #REF!&lt;200,#REF!&lt;200), "Light User", "Balanced User")))</f>
        <v>#REF!</v>
      </c>
      <c r="AC3674" t="e">
        <f>IF(#REF! = 0, "No Usage", IF(#REF! &lt;= 20, "Low Usage", IF(#REF! &lt;= 40, "Medium Usgae", "High Usage")))</f>
        <v>#REF!</v>
      </c>
      <c r="AD3674" t="e">
        <f>IF(#REF!&lt;=150,"Low Usage", IF(#REF!&lt;=200,"Medium Usage", IF(#REF!&lt;=250,"High Usage","Very High Usage")))</f>
        <v>#REF!</v>
      </c>
      <c r="AE3674" t="e">
        <f>IF(#REF!&lt;=5,"Low Calls", IF(#REF!&lt;=10, "Medium Calls", "High Calls"))</f>
        <v>#REF!</v>
      </c>
      <c r="AF3674" t="e">
        <f xml:space="preserve">
IF(#REF!&gt;=4,4,0)+
IF(#REF!="yes",3,0)+
IF(#REF!="High Charges",3,0)+
IF(#REF!&gt;250,4,0)+
IF(#REF!="no",1,0)+
IF(#REF!="Heavy Domestic User",2,0)</f>
        <v>#REF!</v>
      </c>
      <c r="AG3674" t="e">
        <f>IF(#REF!&gt;=10,"High Risk", IF(#REF!&gt;=5,"Medium Risk","Low Risk"))</f>
        <v>#REF!</v>
      </c>
      <c r="AH3674" t="e">
        <f>#REF! + #REF! + #REF! + #REF!</f>
        <v>#REF!</v>
      </c>
    </row>
    <row r="3675" spans="1:34" x14ac:dyDescent="0.35">
      <c r="A3675">
        <v>3674</v>
      </c>
      <c r="B3675" t="s">
        <v>55</v>
      </c>
      <c r="C3675">
        <v>83</v>
      </c>
      <c r="D3675" t="s">
        <v>28</v>
      </c>
      <c r="E3675" t="s">
        <v>22</v>
      </c>
      <c r="F3675" t="s">
        <v>23</v>
      </c>
      <c r="G3675">
        <v>33</v>
      </c>
      <c r="H3675">
        <v>228.2</v>
      </c>
      <c r="I3675">
        <v>85</v>
      </c>
      <c r="J3675">
        <v>38.79</v>
      </c>
      <c r="K3675">
        <v>249.2</v>
      </c>
      <c r="L3675">
        <v>114</v>
      </c>
      <c r="M3675">
        <v>21.18</v>
      </c>
      <c r="N3675">
        <v>93.5</v>
      </c>
      <c r="O3675">
        <v>89</v>
      </c>
      <c r="P3675">
        <v>4.21</v>
      </c>
      <c r="Q3675">
        <v>10.199999999999999</v>
      </c>
      <c r="R3675">
        <v>7</v>
      </c>
      <c r="S3675">
        <v>2.75</v>
      </c>
      <c r="T3675">
        <v>0</v>
      </c>
      <c r="U3675" t="s">
        <v>22</v>
      </c>
      <c r="V3675" t="e">
        <f>IF(#REF! = "yes", 1, 0)</f>
        <v>#REF!</v>
      </c>
      <c r="W3675" t="e">
        <f>IF(#REF! &lt;= 1, "0-1 Calls", IF(#REF! &lt;= 3, "2-3 Calls", IF(#REF! &lt;=5, "4-5 Calls", "6+ Calls")))</f>
        <v>#REF!</v>
      </c>
      <c r="X3675" t="e">
        <f>IF(#REF! &lt;= 50, "0-50", IF(#REF! &lt;=100, "51-100", IF(#REF! &lt;= 150, "101-150", "151+")))</f>
        <v>#REF!</v>
      </c>
      <c r="Y3675" t="e">
        <f>IF(#REF! &lt;= 3, "Low Charges", "High Charges")</f>
        <v>#REF!</v>
      </c>
      <c r="Z3675" t="e">
        <f>IF(#REF!&lt;=80,"Low Calls",
IF(#REF!&lt;=120,"Medium Calls","High Calls"))</f>
        <v>#REF!</v>
      </c>
      <c r="AA3675" t="e">
        <f>IF(#REF!&lt;=15,"Low Charges",
IF(#REF!&lt;=20,"Medium Charges","High Charges"))</f>
        <v>#REF!</v>
      </c>
      <c r="AB3675" t="e">
        <f>IF(AND(#REF!&gt;180, #REF!&gt;200), "Heavy Doemstic User", IF(#REF!&gt;10, "Interntional User", IF(AND(#REF!&lt;180, #REF!&lt;200,#REF!&lt;200), "Light User", "Balanced User")))</f>
        <v>#REF!</v>
      </c>
      <c r="AC3675" t="e">
        <f>IF(#REF! = 0, "No Usage", IF(#REF! &lt;= 20, "Low Usage", IF(#REF! &lt;= 40, "Medium Usgae", "High Usage")))</f>
        <v>#REF!</v>
      </c>
      <c r="AD3675" t="e">
        <f>IF(#REF!&lt;=150,"Low Usage", IF(#REF!&lt;=200,"Medium Usage", IF(#REF!&lt;=250,"High Usage","Very High Usage")))</f>
        <v>#REF!</v>
      </c>
      <c r="AE3675" t="e">
        <f>IF(#REF!&lt;=5,"Low Calls", IF(#REF!&lt;=10, "Medium Calls", "High Calls"))</f>
        <v>#REF!</v>
      </c>
      <c r="AF3675" t="e">
        <f xml:space="preserve">
IF(#REF!&gt;=4,4,0)+
IF(#REF!="yes",3,0)+
IF(#REF!="High Charges",3,0)+
IF(#REF!&gt;250,4,0)+
IF(#REF!="no",1,0)+
IF(#REF!="Heavy Domestic User",2,0)</f>
        <v>#REF!</v>
      </c>
      <c r="AG3675" t="e">
        <f>IF(#REF!&gt;=10,"High Risk", IF(#REF!&gt;=5,"Medium Risk","Low Risk"))</f>
        <v>#REF!</v>
      </c>
      <c r="AH3675" t="e">
        <f>#REF! + #REF! + #REF! + #REF!</f>
        <v>#REF!</v>
      </c>
    </row>
    <row r="3676" spans="1:34" x14ac:dyDescent="0.35">
      <c r="A3676">
        <v>3675</v>
      </c>
      <c r="B3676" t="s">
        <v>63</v>
      </c>
      <c r="C3676">
        <v>78</v>
      </c>
      <c r="D3676" t="s">
        <v>21</v>
      </c>
      <c r="E3676" t="s">
        <v>23</v>
      </c>
      <c r="F3676" t="s">
        <v>22</v>
      </c>
      <c r="G3676">
        <v>0</v>
      </c>
      <c r="H3676">
        <v>176.6</v>
      </c>
      <c r="I3676">
        <v>107</v>
      </c>
      <c r="J3676">
        <v>30.02</v>
      </c>
      <c r="K3676">
        <v>179.4</v>
      </c>
      <c r="L3676">
        <v>98</v>
      </c>
      <c r="M3676">
        <v>15.25</v>
      </c>
      <c r="N3676">
        <v>178.2</v>
      </c>
      <c r="O3676">
        <v>80</v>
      </c>
      <c r="P3676">
        <v>8.02</v>
      </c>
      <c r="Q3676">
        <v>16.600000000000001</v>
      </c>
      <c r="R3676">
        <v>5</v>
      </c>
      <c r="S3676">
        <v>4.4800000000000004</v>
      </c>
      <c r="T3676">
        <v>2</v>
      </c>
      <c r="U3676" t="s">
        <v>23</v>
      </c>
      <c r="V3676" t="e">
        <f>IF(#REF! = "yes", 1, 0)</f>
        <v>#REF!</v>
      </c>
      <c r="W3676" t="e">
        <f>IF(#REF! &lt;= 1, "0-1 Calls", IF(#REF! &lt;= 3, "2-3 Calls", IF(#REF! &lt;=5, "4-5 Calls", "6+ Calls")))</f>
        <v>#REF!</v>
      </c>
      <c r="X3676" t="e">
        <f>IF(#REF! &lt;= 50, "0-50", IF(#REF! &lt;=100, "51-100", IF(#REF! &lt;= 150, "101-150", "151+")))</f>
        <v>#REF!</v>
      </c>
      <c r="Y3676" t="e">
        <f>IF(#REF! &lt;= 3, "Low Charges", "High Charges")</f>
        <v>#REF!</v>
      </c>
      <c r="Z3676" t="e">
        <f>IF(#REF!&lt;=80,"Low Calls",
IF(#REF!&lt;=120,"Medium Calls","High Calls"))</f>
        <v>#REF!</v>
      </c>
      <c r="AA3676" t="e">
        <f>IF(#REF!&lt;=15,"Low Charges",
IF(#REF!&lt;=20,"Medium Charges","High Charges"))</f>
        <v>#REF!</v>
      </c>
      <c r="AB3676" t="e">
        <f>IF(AND(#REF!&gt;180, #REF!&gt;200), "Heavy Doemstic User", IF(#REF!&gt;10, "Interntional User", IF(AND(#REF!&lt;180, #REF!&lt;200,#REF!&lt;200), "Light User", "Balanced User")))</f>
        <v>#REF!</v>
      </c>
      <c r="AC3676" t="e">
        <f>IF(#REF! = 0, "No Usage", IF(#REF! &lt;= 20, "Low Usage", IF(#REF! &lt;= 40, "Medium Usgae", "High Usage")))</f>
        <v>#REF!</v>
      </c>
      <c r="AD3676" t="e">
        <f>IF(#REF!&lt;=150,"Low Usage", IF(#REF!&lt;=200,"Medium Usage", IF(#REF!&lt;=250,"High Usage","Very High Usage")))</f>
        <v>#REF!</v>
      </c>
      <c r="AE3676" t="e">
        <f>IF(#REF!&lt;=5,"Low Calls", IF(#REF!&lt;=10, "Medium Calls", "High Calls"))</f>
        <v>#REF!</v>
      </c>
      <c r="AF3676" t="e">
        <f xml:space="preserve">
IF(#REF!&gt;=4,4,0)+
IF(#REF!="yes",3,0)+
IF(#REF!="High Charges",3,0)+
IF(#REF!&gt;250,4,0)+
IF(#REF!="no",1,0)+
IF(#REF!="Heavy Domestic User",2,0)</f>
        <v>#REF!</v>
      </c>
      <c r="AG3676" t="e">
        <f>IF(#REF!&gt;=10,"High Risk", IF(#REF!&gt;=5,"Medium Risk","Low Risk"))</f>
        <v>#REF!</v>
      </c>
      <c r="AH3676" t="e">
        <f>#REF! + #REF! + #REF! + #REF!</f>
        <v>#REF!</v>
      </c>
    </row>
    <row r="3677" spans="1:34" x14ac:dyDescent="0.35">
      <c r="A3677">
        <v>3676</v>
      </c>
      <c r="B3677" t="s">
        <v>27</v>
      </c>
      <c r="C3677">
        <v>135</v>
      </c>
      <c r="D3677" t="s">
        <v>21</v>
      </c>
      <c r="E3677" t="s">
        <v>22</v>
      </c>
      <c r="F3677" t="s">
        <v>23</v>
      </c>
      <c r="G3677">
        <v>45</v>
      </c>
      <c r="H3677">
        <v>241.4</v>
      </c>
      <c r="I3677">
        <v>102</v>
      </c>
      <c r="J3677">
        <v>41.04</v>
      </c>
      <c r="K3677">
        <v>206.4</v>
      </c>
      <c r="L3677">
        <v>78</v>
      </c>
      <c r="M3677">
        <v>17.54</v>
      </c>
      <c r="N3677">
        <v>196.6</v>
      </c>
      <c r="O3677">
        <v>104</v>
      </c>
      <c r="P3677">
        <v>8.85</v>
      </c>
      <c r="Q3677">
        <v>9.4</v>
      </c>
      <c r="R3677">
        <v>6</v>
      </c>
      <c r="S3677">
        <v>2.54</v>
      </c>
      <c r="T3677">
        <v>0</v>
      </c>
      <c r="U3677" t="s">
        <v>22</v>
      </c>
      <c r="V3677" t="e">
        <f>IF(#REF! = "yes", 1, 0)</f>
        <v>#REF!</v>
      </c>
      <c r="W3677" t="e">
        <f>IF(#REF! &lt;= 1, "0-1 Calls", IF(#REF! &lt;= 3, "2-3 Calls", IF(#REF! &lt;=5, "4-5 Calls", "6+ Calls")))</f>
        <v>#REF!</v>
      </c>
      <c r="X3677" t="e">
        <f>IF(#REF! &lt;= 50, "0-50", IF(#REF! &lt;=100, "51-100", IF(#REF! &lt;= 150, "101-150", "151+")))</f>
        <v>#REF!</v>
      </c>
      <c r="Y3677" t="e">
        <f>IF(#REF! &lt;= 3, "Low Charges", "High Charges")</f>
        <v>#REF!</v>
      </c>
      <c r="Z3677" t="e">
        <f>IF(#REF!&lt;=80,"Low Calls",
IF(#REF!&lt;=120,"Medium Calls","High Calls"))</f>
        <v>#REF!</v>
      </c>
      <c r="AA3677" t="e">
        <f>IF(#REF!&lt;=15,"Low Charges",
IF(#REF!&lt;=20,"Medium Charges","High Charges"))</f>
        <v>#REF!</v>
      </c>
      <c r="AB3677" t="e">
        <f>IF(AND(#REF!&gt;180, #REF!&gt;200), "Heavy Doemstic User", IF(#REF!&gt;10, "Interntional User", IF(AND(#REF!&lt;180, #REF!&lt;200,#REF!&lt;200), "Light User", "Balanced User")))</f>
        <v>#REF!</v>
      </c>
      <c r="AC3677" t="e">
        <f>IF(#REF! = 0, "No Usage", IF(#REF! &lt;= 20, "Low Usage", IF(#REF! &lt;= 40, "Medium Usgae", "High Usage")))</f>
        <v>#REF!</v>
      </c>
      <c r="AD3677" t="e">
        <f>IF(#REF!&lt;=150,"Low Usage", IF(#REF!&lt;=200,"Medium Usage", IF(#REF!&lt;=250,"High Usage","Very High Usage")))</f>
        <v>#REF!</v>
      </c>
      <c r="AE3677" t="e">
        <f>IF(#REF!&lt;=5,"Low Calls", IF(#REF!&lt;=10, "Medium Calls", "High Calls"))</f>
        <v>#REF!</v>
      </c>
      <c r="AF3677" t="e">
        <f xml:space="preserve">
IF(#REF!&gt;=4,4,0)+
IF(#REF!="yes",3,0)+
IF(#REF!="High Charges",3,0)+
IF(#REF!&gt;250,4,0)+
IF(#REF!="no",1,0)+
IF(#REF!="Heavy Domestic User",2,0)</f>
        <v>#REF!</v>
      </c>
      <c r="AG3677" t="e">
        <f>IF(#REF!&gt;=10,"High Risk", IF(#REF!&gt;=5,"Medium Risk","Low Risk"))</f>
        <v>#REF!</v>
      </c>
      <c r="AH3677" t="e">
        <f>#REF! + #REF! + #REF! + #REF!</f>
        <v>#REF!</v>
      </c>
    </row>
    <row r="3678" spans="1:34" x14ac:dyDescent="0.35">
      <c r="A3678">
        <v>3677</v>
      </c>
      <c r="B3678" t="s">
        <v>30</v>
      </c>
      <c r="C3678">
        <v>79</v>
      </c>
      <c r="D3678" t="s">
        <v>25</v>
      </c>
      <c r="E3678" t="s">
        <v>22</v>
      </c>
      <c r="F3678" t="s">
        <v>22</v>
      </c>
      <c r="G3678">
        <v>0</v>
      </c>
      <c r="H3678">
        <v>174.8</v>
      </c>
      <c r="I3678">
        <v>88</v>
      </c>
      <c r="J3678">
        <v>29.72</v>
      </c>
      <c r="K3678">
        <v>197</v>
      </c>
      <c r="L3678">
        <v>94</v>
      </c>
      <c r="M3678">
        <v>16.75</v>
      </c>
      <c r="N3678">
        <v>87</v>
      </c>
      <c r="O3678">
        <v>103</v>
      </c>
      <c r="P3678">
        <v>3.92</v>
      </c>
      <c r="Q3678">
        <v>8.6</v>
      </c>
      <c r="R3678">
        <v>6</v>
      </c>
      <c r="S3678">
        <v>2.3199999999999998</v>
      </c>
      <c r="T3678">
        <v>3</v>
      </c>
      <c r="U3678" t="s">
        <v>22</v>
      </c>
      <c r="V3678" t="e">
        <f>IF(#REF! = "yes", 1, 0)</f>
        <v>#REF!</v>
      </c>
      <c r="W3678" t="e">
        <f>IF(#REF! &lt;= 1, "0-1 Calls", IF(#REF! &lt;= 3, "2-3 Calls", IF(#REF! &lt;=5, "4-5 Calls", "6+ Calls")))</f>
        <v>#REF!</v>
      </c>
      <c r="X3678" t="e">
        <f>IF(#REF! &lt;= 50, "0-50", IF(#REF! &lt;=100, "51-100", IF(#REF! &lt;= 150, "101-150", "151+")))</f>
        <v>#REF!</v>
      </c>
      <c r="Y3678" t="e">
        <f>IF(#REF! &lt;= 3, "Low Charges", "High Charges")</f>
        <v>#REF!</v>
      </c>
      <c r="Z3678" t="e">
        <f>IF(#REF!&lt;=80,"Low Calls",
IF(#REF!&lt;=120,"Medium Calls","High Calls"))</f>
        <v>#REF!</v>
      </c>
      <c r="AA3678" t="e">
        <f>IF(#REF!&lt;=15,"Low Charges",
IF(#REF!&lt;=20,"Medium Charges","High Charges"))</f>
        <v>#REF!</v>
      </c>
      <c r="AB3678" t="e">
        <f>IF(AND(#REF!&gt;180, #REF!&gt;200), "Heavy Doemstic User", IF(#REF!&gt;10, "Interntional User", IF(AND(#REF!&lt;180, #REF!&lt;200,#REF!&lt;200), "Light User", "Balanced User")))</f>
        <v>#REF!</v>
      </c>
      <c r="AC3678" t="e">
        <f>IF(#REF! = 0, "No Usage", IF(#REF! &lt;= 20, "Low Usage", IF(#REF! &lt;= 40, "Medium Usgae", "High Usage")))</f>
        <v>#REF!</v>
      </c>
      <c r="AD3678" t="e">
        <f>IF(#REF!&lt;=150,"Low Usage", IF(#REF!&lt;=200,"Medium Usage", IF(#REF!&lt;=250,"High Usage","Very High Usage")))</f>
        <v>#REF!</v>
      </c>
      <c r="AE3678" t="e">
        <f>IF(#REF!&lt;=5,"Low Calls", IF(#REF!&lt;=10, "Medium Calls", "High Calls"))</f>
        <v>#REF!</v>
      </c>
      <c r="AF3678" t="e">
        <f xml:space="preserve">
IF(#REF!&gt;=4,4,0)+
IF(#REF!="yes",3,0)+
IF(#REF!="High Charges",3,0)+
IF(#REF!&gt;250,4,0)+
IF(#REF!="no",1,0)+
IF(#REF!="Heavy Domestic User",2,0)</f>
        <v>#REF!</v>
      </c>
      <c r="AG3678" t="e">
        <f>IF(#REF!&gt;=10,"High Risk", IF(#REF!&gt;=5,"Medium Risk","Low Risk"))</f>
        <v>#REF!</v>
      </c>
      <c r="AH3678" t="e">
        <f>#REF! + #REF! + #REF! + #REF!</f>
        <v>#REF!</v>
      </c>
    </row>
    <row r="3679" spans="1:34" x14ac:dyDescent="0.35">
      <c r="A3679">
        <v>3678</v>
      </c>
      <c r="B3679" t="s">
        <v>38</v>
      </c>
      <c r="C3679">
        <v>133</v>
      </c>
      <c r="D3679" t="s">
        <v>21</v>
      </c>
      <c r="E3679" t="s">
        <v>22</v>
      </c>
      <c r="F3679" t="s">
        <v>22</v>
      </c>
      <c r="G3679">
        <v>0</v>
      </c>
      <c r="H3679">
        <v>171.8</v>
      </c>
      <c r="I3679">
        <v>64</v>
      </c>
      <c r="J3679">
        <v>29.21</v>
      </c>
      <c r="K3679">
        <v>177.1</v>
      </c>
      <c r="L3679">
        <v>83</v>
      </c>
      <c r="M3679">
        <v>15.05</v>
      </c>
      <c r="N3679">
        <v>223</v>
      </c>
      <c r="O3679">
        <v>96</v>
      </c>
      <c r="P3679">
        <v>10.039999999999999</v>
      </c>
      <c r="Q3679">
        <v>10.3</v>
      </c>
      <c r="R3679">
        <v>4</v>
      </c>
      <c r="S3679">
        <v>2.78</v>
      </c>
      <c r="T3679">
        <v>1</v>
      </c>
      <c r="U3679" t="s">
        <v>22</v>
      </c>
      <c r="V3679" t="e">
        <f>IF(#REF! = "yes", 1, 0)</f>
        <v>#REF!</v>
      </c>
      <c r="W3679" t="e">
        <f>IF(#REF! &lt;= 1, "0-1 Calls", IF(#REF! &lt;= 3, "2-3 Calls", IF(#REF! &lt;=5, "4-5 Calls", "6+ Calls")))</f>
        <v>#REF!</v>
      </c>
      <c r="X3679" t="e">
        <f>IF(#REF! &lt;= 50, "0-50", IF(#REF! &lt;=100, "51-100", IF(#REF! &lt;= 150, "101-150", "151+")))</f>
        <v>#REF!</v>
      </c>
      <c r="Y3679" t="e">
        <f>IF(#REF! &lt;= 3, "Low Charges", "High Charges")</f>
        <v>#REF!</v>
      </c>
      <c r="Z3679" t="e">
        <f>IF(#REF!&lt;=80,"Low Calls",
IF(#REF!&lt;=120,"Medium Calls","High Calls"))</f>
        <v>#REF!</v>
      </c>
      <c r="AA3679" t="e">
        <f>IF(#REF!&lt;=15,"Low Charges",
IF(#REF!&lt;=20,"Medium Charges","High Charges"))</f>
        <v>#REF!</v>
      </c>
      <c r="AB3679" t="e">
        <f>IF(AND(#REF!&gt;180, #REF!&gt;200), "Heavy Doemstic User", IF(#REF!&gt;10, "Interntional User", IF(AND(#REF!&lt;180, #REF!&lt;200,#REF!&lt;200), "Light User", "Balanced User")))</f>
        <v>#REF!</v>
      </c>
      <c r="AC3679" t="e">
        <f>IF(#REF! = 0, "No Usage", IF(#REF! &lt;= 20, "Low Usage", IF(#REF! &lt;= 40, "Medium Usgae", "High Usage")))</f>
        <v>#REF!</v>
      </c>
      <c r="AD3679" t="e">
        <f>IF(#REF!&lt;=150,"Low Usage", IF(#REF!&lt;=200,"Medium Usage", IF(#REF!&lt;=250,"High Usage","Very High Usage")))</f>
        <v>#REF!</v>
      </c>
      <c r="AE3679" t="e">
        <f>IF(#REF!&lt;=5,"Low Calls", IF(#REF!&lt;=10, "Medium Calls", "High Calls"))</f>
        <v>#REF!</v>
      </c>
      <c r="AF3679" t="e">
        <f xml:space="preserve">
IF(#REF!&gt;=4,4,0)+
IF(#REF!="yes",3,0)+
IF(#REF!="High Charges",3,0)+
IF(#REF!&gt;250,4,0)+
IF(#REF!="no",1,0)+
IF(#REF!="Heavy Domestic User",2,0)</f>
        <v>#REF!</v>
      </c>
      <c r="AG3679" t="e">
        <f>IF(#REF!&gt;=10,"High Risk", IF(#REF!&gt;=5,"Medium Risk","Low Risk"))</f>
        <v>#REF!</v>
      </c>
      <c r="AH3679" t="e">
        <f>#REF! + #REF! + #REF! + #REF!</f>
        <v>#REF!</v>
      </c>
    </row>
    <row r="3680" spans="1:34" x14ac:dyDescent="0.35">
      <c r="A3680">
        <v>3679</v>
      </c>
      <c r="B3680" t="s">
        <v>53</v>
      </c>
      <c r="C3680">
        <v>76</v>
      </c>
      <c r="D3680" t="s">
        <v>21</v>
      </c>
      <c r="E3680" t="s">
        <v>22</v>
      </c>
      <c r="F3680" t="s">
        <v>23</v>
      </c>
      <c r="G3680">
        <v>37</v>
      </c>
      <c r="H3680">
        <v>190.8</v>
      </c>
      <c r="I3680">
        <v>58</v>
      </c>
      <c r="J3680">
        <v>32.44</v>
      </c>
      <c r="K3680">
        <v>221.9</v>
      </c>
      <c r="L3680">
        <v>101</v>
      </c>
      <c r="M3680">
        <v>18.86</v>
      </c>
      <c r="N3680">
        <v>211.2</v>
      </c>
      <c r="O3680">
        <v>104</v>
      </c>
      <c r="P3680">
        <v>9.5</v>
      </c>
      <c r="Q3680">
        <v>12.3</v>
      </c>
      <c r="R3680">
        <v>4</v>
      </c>
      <c r="S3680">
        <v>3.32</v>
      </c>
      <c r="T3680">
        <v>1</v>
      </c>
      <c r="U3680" t="s">
        <v>22</v>
      </c>
      <c r="V3680" t="e">
        <f>IF(#REF! = "yes", 1, 0)</f>
        <v>#REF!</v>
      </c>
      <c r="W3680" t="e">
        <f>IF(#REF! &lt;= 1, "0-1 Calls", IF(#REF! &lt;= 3, "2-3 Calls", IF(#REF! &lt;=5, "4-5 Calls", "6+ Calls")))</f>
        <v>#REF!</v>
      </c>
      <c r="X3680" t="e">
        <f>IF(#REF! &lt;= 50, "0-50", IF(#REF! &lt;=100, "51-100", IF(#REF! &lt;= 150, "101-150", "151+")))</f>
        <v>#REF!</v>
      </c>
      <c r="Y3680" t="e">
        <f>IF(#REF! &lt;= 3, "Low Charges", "High Charges")</f>
        <v>#REF!</v>
      </c>
      <c r="Z3680" t="e">
        <f>IF(#REF!&lt;=80,"Low Calls",
IF(#REF!&lt;=120,"Medium Calls","High Calls"))</f>
        <v>#REF!</v>
      </c>
      <c r="AA3680" t="e">
        <f>IF(#REF!&lt;=15,"Low Charges",
IF(#REF!&lt;=20,"Medium Charges","High Charges"))</f>
        <v>#REF!</v>
      </c>
      <c r="AB3680" t="e">
        <f>IF(AND(#REF!&gt;180, #REF!&gt;200), "Heavy Doemstic User", IF(#REF!&gt;10, "Interntional User", IF(AND(#REF!&lt;180, #REF!&lt;200,#REF!&lt;200), "Light User", "Balanced User")))</f>
        <v>#REF!</v>
      </c>
      <c r="AC3680" t="e">
        <f>IF(#REF! = 0, "No Usage", IF(#REF! &lt;= 20, "Low Usage", IF(#REF! &lt;= 40, "Medium Usgae", "High Usage")))</f>
        <v>#REF!</v>
      </c>
      <c r="AD3680" t="e">
        <f>IF(#REF!&lt;=150,"Low Usage", IF(#REF!&lt;=200,"Medium Usage", IF(#REF!&lt;=250,"High Usage","Very High Usage")))</f>
        <v>#REF!</v>
      </c>
      <c r="AE3680" t="e">
        <f>IF(#REF!&lt;=5,"Low Calls", IF(#REF!&lt;=10, "Medium Calls", "High Calls"))</f>
        <v>#REF!</v>
      </c>
      <c r="AF3680" t="e">
        <f xml:space="preserve">
IF(#REF!&gt;=4,4,0)+
IF(#REF!="yes",3,0)+
IF(#REF!="High Charges",3,0)+
IF(#REF!&gt;250,4,0)+
IF(#REF!="no",1,0)+
IF(#REF!="Heavy Domestic User",2,0)</f>
        <v>#REF!</v>
      </c>
      <c r="AG3680" t="e">
        <f>IF(#REF!&gt;=10,"High Risk", IF(#REF!&gt;=5,"Medium Risk","Low Risk"))</f>
        <v>#REF!</v>
      </c>
      <c r="AH3680" t="e">
        <f>#REF! + #REF! + #REF! + #REF!</f>
        <v>#REF!</v>
      </c>
    </row>
    <row r="3681" spans="1:34" x14ac:dyDescent="0.35">
      <c r="A3681">
        <v>3680</v>
      </c>
      <c r="B3681" t="s">
        <v>53</v>
      </c>
      <c r="C3681">
        <v>216</v>
      </c>
      <c r="D3681" t="s">
        <v>25</v>
      </c>
      <c r="E3681" t="s">
        <v>22</v>
      </c>
      <c r="F3681" t="s">
        <v>22</v>
      </c>
      <c r="G3681">
        <v>0</v>
      </c>
      <c r="H3681">
        <v>212.3</v>
      </c>
      <c r="I3681">
        <v>106</v>
      </c>
      <c r="J3681">
        <v>36.090000000000003</v>
      </c>
      <c r="K3681">
        <v>191.1</v>
      </c>
      <c r="L3681">
        <v>71</v>
      </c>
      <c r="M3681">
        <v>16.239999999999998</v>
      </c>
      <c r="N3681">
        <v>224.9</v>
      </c>
      <c r="O3681">
        <v>79</v>
      </c>
      <c r="P3681">
        <v>10.119999999999999</v>
      </c>
      <c r="Q3681">
        <v>9.4</v>
      </c>
      <c r="R3681">
        <v>8</v>
      </c>
      <c r="S3681">
        <v>2.54</v>
      </c>
      <c r="T3681">
        <v>3</v>
      </c>
      <c r="U3681" t="s">
        <v>22</v>
      </c>
      <c r="V3681" t="e">
        <f>IF(#REF! = "yes", 1, 0)</f>
        <v>#REF!</v>
      </c>
      <c r="W3681" t="e">
        <f>IF(#REF! &lt;= 1, "0-1 Calls", IF(#REF! &lt;= 3, "2-3 Calls", IF(#REF! &lt;=5, "4-5 Calls", "6+ Calls")))</f>
        <v>#REF!</v>
      </c>
      <c r="X3681" t="e">
        <f>IF(#REF! &lt;= 50, "0-50", IF(#REF! &lt;=100, "51-100", IF(#REF! &lt;= 150, "101-150", "151+")))</f>
        <v>#REF!</v>
      </c>
      <c r="Y3681" t="e">
        <f>IF(#REF! &lt;= 3, "Low Charges", "High Charges")</f>
        <v>#REF!</v>
      </c>
      <c r="Z3681" t="e">
        <f>IF(#REF!&lt;=80,"Low Calls",
IF(#REF!&lt;=120,"Medium Calls","High Calls"))</f>
        <v>#REF!</v>
      </c>
      <c r="AA3681" t="e">
        <f>IF(#REF!&lt;=15,"Low Charges",
IF(#REF!&lt;=20,"Medium Charges","High Charges"))</f>
        <v>#REF!</v>
      </c>
      <c r="AB3681" t="e">
        <f>IF(AND(#REF!&gt;180, #REF!&gt;200), "Heavy Doemstic User", IF(#REF!&gt;10, "Interntional User", IF(AND(#REF!&lt;180, #REF!&lt;200,#REF!&lt;200), "Light User", "Balanced User")))</f>
        <v>#REF!</v>
      </c>
      <c r="AC3681" t="e">
        <f>IF(#REF! = 0, "No Usage", IF(#REF! &lt;= 20, "Low Usage", IF(#REF! &lt;= 40, "Medium Usgae", "High Usage")))</f>
        <v>#REF!</v>
      </c>
      <c r="AD3681" t="e">
        <f>IF(#REF!&lt;=150,"Low Usage", IF(#REF!&lt;=200,"Medium Usage", IF(#REF!&lt;=250,"High Usage","Very High Usage")))</f>
        <v>#REF!</v>
      </c>
      <c r="AE3681" t="e">
        <f>IF(#REF!&lt;=5,"Low Calls", IF(#REF!&lt;=10, "Medium Calls", "High Calls"))</f>
        <v>#REF!</v>
      </c>
      <c r="AF3681" t="e">
        <f xml:space="preserve">
IF(#REF!&gt;=4,4,0)+
IF(#REF!="yes",3,0)+
IF(#REF!="High Charges",3,0)+
IF(#REF!&gt;250,4,0)+
IF(#REF!="no",1,0)+
IF(#REF!="Heavy Domestic User",2,0)</f>
        <v>#REF!</v>
      </c>
      <c r="AG3681" t="e">
        <f>IF(#REF!&gt;=10,"High Risk", IF(#REF!&gt;=5,"Medium Risk","Low Risk"))</f>
        <v>#REF!</v>
      </c>
      <c r="AH3681" t="e">
        <f>#REF! + #REF! + #REF! + #REF!</f>
        <v>#REF!</v>
      </c>
    </row>
    <row r="3682" spans="1:34" x14ac:dyDescent="0.35">
      <c r="A3682">
        <v>3681</v>
      </c>
      <c r="B3682" t="s">
        <v>74</v>
      </c>
      <c r="C3682">
        <v>73</v>
      </c>
      <c r="D3682" t="s">
        <v>28</v>
      </c>
      <c r="E3682" t="s">
        <v>22</v>
      </c>
      <c r="F3682" t="s">
        <v>22</v>
      </c>
      <c r="G3682">
        <v>0</v>
      </c>
      <c r="H3682">
        <v>159</v>
      </c>
      <c r="I3682">
        <v>123</v>
      </c>
      <c r="J3682">
        <v>27.03</v>
      </c>
      <c r="K3682">
        <v>233.3</v>
      </c>
      <c r="L3682">
        <v>95</v>
      </c>
      <c r="M3682">
        <v>19.829999999999998</v>
      </c>
      <c r="N3682">
        <v>178.9</v>
      </c>
      <c r="O3682">
        <v>155</v>
      </c>
      <c r="P3682">
        <v>8.0500000000000007</v>
      </c>
      <c r="Q3682">
        <v>15.2</v>
      </c>
      <c r="R3682">
        <v>3</v>
      </c>
      <c r="S3682">
        <v>4.0999999999999996</v>
      </c>
      <c r="T3682">
        <v>2</v>
      </c>
      <c r="U3682" t="s">
        <v>22</v>
      </c>
      <c r="V3682" t="e">
        <f>IF(#REF! = "yes", 1, 0)</f>
        <v>#REF!</v>
      </c>
      <c r="W3682" t="e">
        <f>IF(#REF! &lt;= 1, "0-1 Calls", IF(#REF! &lt;= 3, "2-3 Calls", IF(#REF! &lt;=5, "4-5 Calls", "6+ Calls")))</f>
        <v>#REF!</v>
      </c>
      <c r="X3682" t="e">
        <f>IF(#REF! &lt;= 50, "0-50", IF(#REF! &lt;=100, "51-100", IF(#REF! &lt;= 150, "101-150", "151+")))</f>
        <v>#REF!</v>
      </c>
      <c r="Y3682" t="e">
        <f>IF(#REF! &lt;= 3, "Low Charges", "High Charges")</f>
        <v>#REF!</v>
      </c>
      <c r="Z3682" t="e">
        <f>IF(#REF!&lt;=80,"Low Calls",
IF(#REF!&lt;=120,"Medium Calls","High Calls"))</f>
        <v>#REF!</v>
      </c>
      <c r="AA3682" t="e">
        <f>IF(#REF!&lt;=15,"Low Charges",
IF(#REF!&lt;=20,"Medium Charges","High Charges"))</f>
        <v>#REF!</v>
      </c>
      <c r="AB3682" t="e">
        <f>IF(AND(#REF!&gt;180, #REF!&gt;200), "Heavy Doemstic User", IF(#REF!&gt;10, "Interntional User", IF(AND(#REF!&lt;180, #REF!&lt;200,#REF!&lt;200), "Light User", "Balanced User")))</f>
        <v>#REF!</v>
      </c>
      <c r="AC3682" t="e">
        <f>IF(#REF! = 0, "No Usage", IF(#REF! &lt;= 20, "Low Usage", IF(#REF! &lt;= 40, "Medium Usgae", "High Usage")))</f>
        <v>#REF!</v>
      </c>
      <c r="AD3682" t="e">
        <f>IF(#REF!&lt;=150,"Low Usage", IF(#REF!&lt;=200,"Medium Usage", IF(#REF!&lt;=250,"High Usage","Very High Usage")))</f>
        <v>#REF!</v>
      </c>
      <c r="AE3682" t="e">
        <f>IF(#REF!&lt;=5,"Low Calls", IF(#REF!&lt;=10, "Medium Calls", "High Calls"))</f>
        <v>#REF!</v>
      </c>
      <c r="AF3682" t="e">
        <f xml:space="preserve">
IF(#REF!&gt;=4,4,0)+
IF(#REF!="yes",3,0)+
IF(#REF!="High Charges",3,0)+
IF(#REF!&gt;250,4,0)+
IF(#REF!="no",1,0)+
IF(#REF!="Heavy Domestic User",2,0)</f>
        <v>#REF!</v>
      </c>
      <c r="AG3682" t="e">
        <f>IF(#REF!&gt;=10,"High Risk", IF(#REF!&gt;=5,"Medium Risk","Low Risk"))</f>
        <v>#REF!</v>
      </c>
      <c r="AH3682" t="e">
        <f>#REF! + #REF! + #REF! + #REF!</f>
        <v>#REF!</v>
      </c>
    </row>
    <row r="3683" spans="1:34" x14ac:dyDescent="0.35">
      <c r="A3683">
        <v>3682</v>
      </c>
      <c r="B3683" t="s">
        <v>46</v>
      </c>
      <c r="C3683">
        <v>183</v>
      </c>
      <c r="D3683" t="s">
        <v>25</v>
      </c>
      <c r="E3683" t="s">
        <v>22</v>
      </c>
      <c r="F3683" t="s">
        <v>23</v>
      </c>
      <c r="G3683">
        <v>38</v>
      </c>
      <c r="H3683">
        <v>178.4</v>
      </c>
      <c r="I3683">
        <v>103</v>
      </c>
      <c r="J3683">
        <v>30.33</v>
      </c>
      <c r="K3683">
        <v>184.4</v>
      </c>
      <c r="L3683">
        <v>79</v>
      </c>
      <c r="M3683">
        <v>15.67</v>
      </c>
      <c r="N3683">
        <v>203.3</v>
      </c>
      <c r="O3683">
        <v>94</v>
      </c>
      <c r="P3683">
        <v>9.15</v>
      </c>
      <c r="Q3683">
        <v>7.2</v>
      </c>
      <c r="R3683">
        <v>3</v>
      </c>
      <c r="S3683">
        <v>1.94</v>
      </c>
      <c r="T3683">
        <v>3</v>
      </c>
      <c r="U3683" t="s">
        <v>22</v>
      </c>
      <c r="V3683" t="e">
        <f>IF(#REF! = "yes", 1, 0)</f>
        <v>#REF!</v>
      </c>
      <c r="W3683" t="e">
        <f>IF(#REF! &lt;= 1, "0-1 Calls", IF(#REF! &lt;= 3, "2-3 Calls", IF(#REF! &lt;=5, "4-5 Calls", "6+ Calls")))</f>
        <v>#REF!</v>
      </c>
      <c r="X3683" t="e">
        <f>IF(#REF! &lt;= 50, "0-50", IF(#REF! &lt;=100, "51-100", IF(#REF! &lt;= 150, "101-150", "151+")))</f>
        <v>#REF!</v>
      </c>
      <c r="Y3683" t="e">
        <f>IF(#REF! &lt;= 3, "Low Charges", "High Charges")</f>
        <v>#REF!</v>
      </c>
      <c r="Z3683" t="e">
        <f>IF(#REF!&lt;=80,"Low Calls",
IF(#REF!&lt;=120,"Medium Calls","High Calls"))</f>
        <v>#REF!</v>
      </c>
      <c r="AA3683" t="e">
        <f>IF(#REF!&lt;=15,"Low Charges",
IF(#REF!&lt;=20,"Medium Charges","High Charges"))</f>
        <v>#REF!</v>
      </c>
      <c r="AB3683" t="e">
        <f>IF(AND(#REF!&gt;180, #REF!&gt;200), "Heavy Doemstic User", IF(#REF!&gt;10, "Interntional User", IF(AND(#REF!&lt;180, #REF!&lt;200,#REF!&lt;200), "Light User", "Balanced User")))</f>
        <v>#REF!</v>
      </c>
      <c r="AC3683" t="e">
        <f>IF(#REF! = 0, "No Usage", IF(#REF! &lt;= 20, "Low Usage", IF(#REF! &lt;= 40, "Medium Usgae", "High Usage")))</f>
        <v>#REF!</v>
      </c>
      <c r="AD3683" t="e">
        <f>IF(#REF!&lt;=150,"Low Usage", IF(#REF!&lt;=200,"Medium Usage", IF(#REF!&lt;=250,"High Usage","Very High Usage")))</f>
        <v>#REF!</v>
      </c>
      <c r="AE3683" t="e">
        <f>IF(#REF!&lt;=5,"Low Calls", IF(#REF!&lt;=10, "Medium Calls", "High Calls"))</f>
        <v>#REF!</v>
      </c>
      <c r="AF3683" t="e">
        <f xml:space="preserve">
IF(#REF!&gt;=4,4,0)+
IF(#REF!="yes",3,0)+
IF(#REF!="High Charges",3,0)+
IF(#REF!&gt;250,4,0)+
IF(#REF!="no",1,0)+
IF(#REF!="Heavy Domestic User",2,0)</f>
        <v>#REF!</v>
      </c>
      <c r="AG3683" t="e">
        <f>IF(#REF!&gt;=10,"High Risk", IF(#REF!&gt;=5,"Medium Risk","Low Risk"))</f>
        <v>#REF!</v>
      </c>
      <c r="AH3683" t="e">
        <f>#REF! + #REF! + #REF! + #REF!</f>
        <v>#REF!</v>
      </c>
    </row>
    <row r="3684" spans="1:34" x14ac:dyDescent="0.35">
      <c r="A3684">
        <v>3683</v>
      </c>
      <c r="B3684" t="s">
        <v>68</v>
      </c>
      <c r="C3684">
        <v>106</v>
      </c>
      <c r="D3684" t="s">
        <v>21</v>
      </c>
      <c r="E3684" t="s">
        <v>22</v>
      </c>
      <c r="F3684" t="s">
        <v>22</v>
      </c>
      <c r="G3684">
        <v>0</v>
      </c>
      <c r="H3684">
        <v>222.1</v>
      </c>
      <c r="I3684">
        <v>123</v>
      </c>
      <c r="J3684">
        <v>37.76</v>
      </c>
      <c r="K3684">
        <v>276.8</v>
      </c>
      <c r="L3684">
        <v>92</v>
      </c>
      <c r="M3684">
        <v>23.53</v>
      </c>
      <c r="N3684">
        <v>213.5</v>
      </c>
      <c r="O3684">
        <v>99</v>
      </c>
      <c r="P3684">
        <v>9.61</v>
      </c>
      <c r="Q3684">
        <v>9</v>
      </c>
      <c r="R3684">
        <v>3</v>
      </c>
      <c r="S3684">
        <v>2.4300000000000002</v>
      </c>
      <c r="T3684">
        <v>0</v>
      </c>
      <c r="U3684" t="s">
        <v>22</v>
      </c>
      <c r="V3684" t="e">
        <f>IF(#REF! = "yes", 1, 0)</f>
        <v>#REF!</v>
      </c>
      <c r="W3684" t="e">
        <f>IF(#REF! &lt;= 1, "0-1 Calls", IF(#REF! &lt;= 3, "2-3 Calls", IF(#REF! &lt;=5, "4-5 Calls", "6+ Calls")))</f>
        <v>#REF!</v>
      </c>
      <c r="X3684" t="e">
        <f>IF(#REF! &lt;= 50, "0-50", IF(#REF! &lt;=100, "51-100", IF(#REF! &lt;= 150, "101-150", "151+")))</f>
        <v>#REF!</v>
      </c>
      <c r="Y3684" t="e">
        <f>IF(#REF! &lt;= 3, "Low Charges", "High Charges")</f>
        <v>#REF!</v>
      </c>
      <c r="Z3684" t="e">
        <f>IF(#REF!&lt;=80,"Low Calls",
IF(#REF!&lt;=120,"Medium Calls","High Calls"))</f>
        <v>#REF!</v>
      </c>
      <c r="AA3684" t="e">
        <f>IF(#REF!&lt;=15,"Low Charges",
IF(#REF!&lt;=20,"Medium Charges","High Charges"))</f>
        <v>#REF!</v>
      </c>
      <c r="AB3684" t="e">
        <f>IF(AND(#REF!&gt;180, #REF!&gt;200), "Heavy Doemstic User", IF(#REF!&gt;10, "Interntional User", IF(AND(#REF!&lt;180, #REF!&lt;200,#REF!&lt;200), "Light User", "Balanced User")))</f>
        <v>#REF!</v>
      </c>
      <c r="AC3684" t="e">
        <f>IF(#REF! = 0, "No Usage", IF(#REF! &lt;= 20, "Low Usage", IF(#REF! &lt;= 40, "Medium Usgae", "High Usage")))</f>
        <v>#REF!</v>
      </c>
      <c r="AD3684" t="e">
        <f>IF(#REF!&lt;=150,"Low Usage", IF(#REF!&lt;=200,"Medium Usage", IF(#REF!&lt;=250,"High Usage","Very High Usage")))</f>
        <v>#REF!</v>
      </c>
      <c r="AE3684" t="e">
        <f>IF(#REF!&lt;=5,"Low Calls", IF(#REF!&lt;=10, "Medium Calls", "High Calls"))</f>
        <v>#REF!</v>
      </c>
      <c r="AF3684" t="e">
        <f xml:space="preserve">
IF(#REF!&gt;=4,4,0)+
IF(#REF!="yes",3,0)+
IF(#REF!="High Charges",3,0)+
IF(#REF!&gt;250,4,0)+
IF(#REF!="no",1,0)+
IF(#REF!="Heavy Domestic User",2,0)</f>
        <v>#REF!</v>
      </c>
      <c r="AG3684" t="e">
        <f>IF(#REF!&gt;=10,"High Risk", IF(#REF!&gt;=5,"Medium Risk","Low Risk"))</f>
        <v>#REF!</v>
      </c>
      <c r="AH3684" t="e">
        <f>#REF! + #REF! + #REF! + #REF!</f>
        <v>#REF!</v>
      </c>
    </row>
    <row r="3685" spans="1:34" x14ac:dyDescent="0.35">
      <c r="A3685">
        <v>3684</v>
      </c>
      <c r="B3685" t="s">
        <v>33</v>
      </c>
      <c r="C3685">
        <v>90</v>
      </c>
      <c r="D3685" t="s">
        <v>28</v>
      </c>
      <c r="E3685" t="s">
        <v>22</v>
      </c>
      <c r="F3685" t="s">
        <v>22</v>
      </c>
      <c r="G3685">
        <v>0</v>
      </c>
      <c r="H3685">
        <v>190</v>
      </c>
      <c r="I3685">
        <v>98</v>
      </c>
      <c r="J3685">
        <v>32.299999999999997</v>
      </c>
      <c r="K3685">
        <v>196.1</v>
      </c>
      <c r="L3685">
        <v>111</v>
      </c>
      <c r="M3685">
        <v>16.670000000000002</v>
      </c>
      <c r="N3685">
        <v>216.4</v>
      </c>
      <c r="O3685">
        <v>58</v>
      </c>
      <c r="P3685">
        <v>9.74</v>
      </c>
      <c r="Q3685">
        <v>8</v>
      </c>
      <c r="R3685">
        <v>6</v>
      </c>
      <c r="S3685">
        <v>2.16</v>
      </c>
      <c r="T3685">
        <v>2</v>
      </c>
      <c r="U3685" t="s">
        <v>22</v>
      </c>
      <c r="V3685" t="e">
        <f>IF(#REF! = "yes", 1, 0)</f>
        <v>#REF!</v>
      </c>
      <c r="W3685" t="e">
        <f>IF(#REF! &lt;= 1, "0-1 Calls", IF(#REF! &lt;= 3, "2-3 Calls", IF(#REF! &lt;=5, "4-5 Calls", "6+ Calls")))</f>
        <v>#REF!</v>
      </c>
      <c r="X3685" t="e">
        <f>IF(#REF! &lt;= 50, "0-50", IF(#REF! &lt;=100, "51-100", IF(#REF! &lt;= 150, "101-150", "151+")))</f>
        <v>#REF!</v>
      </c>
      <c r="Y3685" t="e">
        <f>IF(#REF! &lt;= 3, "Low Charges", "High Charges")</f>
        <v>#REF!</v>
      </c>
      <c r="Z3685" t="e">
        <f>IF(#REF!&lt;=80,"Low Calls",
IF(#REF!&lt;=120,"Medium Calls","High Calls"))</f>
        <v>#REF!</v>
      </c>
      <c r="AA3685" t="e">
        <f>IF(#REF!&lt;=15,"Low Charges",
IF(#REF!&lt;=20,"Medium Charges","High Charges"))</f>
        <v>#REF!</v>
      </c>
      <c r="AB3685" t="e">
        <f>IF(AND(#REF!&gt;180, #REF!&gt;200), "Heavy Doemstic User", IF(#REF!&gt;10, "Interntional User", IF(AND(#REF!&lt;180, #REF!&lt;200,#REF!&lt;200), "Light User", "Balanced User")))</f>
        <v>#REF!</v>
      </c>
      <c r="AC3685" t="e">
        <f>IF(#REF! = 0, "No Usage", IF(#REF! &lt;= 20, "Low Usage", IF(#REF! &lt;= 40, "Medium Usgae", "High Usage")))</f>
        <v>#REF!</v>
      </c>
      <c r="AD3685" t="e">
        <f>IF(#REF!&lt;=150,"Low Usage", IF(#REF!&lt;=200,"Medium Usage", IF(#REF!&lt;=250,"High Usage","Very High Usage")))</f>
        <v>#REF!</v>
      </c>
      <c r="AE3685" t="e">
        <f>IF(#REF!&lt;=5,"Low Calls", IF(#REF!&lt;=10, "Medium Calls", "High Calls"))</f>
        <v>#REF!</v>
      </c>
      <c r="AF3685" t="e">
        <f xml:space="preserve">
IF(#REF!&gt;=4,4,0)+
IF(#REF!="yes",3,0)+
IF(#REF!="High Charges",3,0)+
IF(#REF!&gt;250,4,0)+
IF(#REF!="no",1,0)+
IF(#REF!="Heavy Domestic User",2,0)</f>
        <v>#REF!</v>
      </c>
      <c r="AG3685" t="e">
        <f>IF(#REF!&gt;=10,"High Risk", IF(#REF!&gt;=5,"Medium Risk","Low Risk"))</f>
        <v>#REF!</v>
      </c>
      <c r="AH3685" t="e">
        <f>#REF! + #REF! + #REF! + #REF!</f>
        <v>#REF!</v>
      </c>
    </row>
    <row r="3686" spans="1:34" x14ac:dyDescent="0.35">
      <c r="A3686">
        <v>3685</v>
      </c>
      <c r="B3686" t="s">
        <v>36</v>
      </c>
      <c r="C3686">
        <v>112</v>
      </c>
      <c r="D3686" t="s">
        <v>21</v>
      </c>
      <c r="E3686" t="s">
        <v>22</v>
      </c>
      <c r="F3686" t="s">
        <v>23</v>
      </c>
      <c r="G3686">
        <v>17</v>
      </c>
      <c r="H3686">
        <v>120</v>
      </c>
      <c r="I3686">
        <v>94</v>
      </c>
      <c r="J3686">
        <v>20.399999999999999</v>
      </c>
      <c r="K3686">
        <v>79.5</v>
      </c>
      <c r="L3686">
        <v>104</v>
      </c>
      <c r="M3686">
        <v>6.76</v>
      </c>
      <c r="N3686">
        <v>214</v>
      </c>
      <c r="O3686">
        <v>94</v>
      </c>
      <c r="P3686">
        <v>9.6300000000000008</v>
      </c>
      <c r="Q3686">
        <v>8.6999999999999993</v>
      </c>
      <c r="R3686">
        <v>1</v>
      </c>
      <c r="S3686">
        <v>2.35</v>
      </c>
      <c r="T3686">
        <v>1</v>
      </c>
      <c r="U3686" t="s">
        <v>22</v>
      </c>
      <c r="V3686" t="e">
        <f>IF(#REF! = "yes", 1, 0)</f>
        <v>#REF!</v>
      </c>
      <c r="W3686" t="e">
        <f>IF(#REF! &lt;= 1, "0-1 Calls", IF(#REF! &lt;= 3, "2-3 Calls", IF(#REF! &lt;=5, "4-5 Calls", "6+ Calls")))</f>
        <v>#REF!</v>
      </c>
      <c r="X3686" t="e">
        <f>IF(#REF! &lt;= 50, "0-50", IF(#REF! &lt;=100, "51-100", IF(#REF! &lt;= 150, "101-150", "151+")))</f>
        <v>#REF!</v>
      </c>
      <c r="Y3686" t="e">
        <f>IF(#REF! &lt;= 3, "Low Charges", "High Charges")</f>
        <v>#REF!</v>
      </c>
      <c r="Z3686" t="e">
        <f>IF(#REF!&lt;=80,"Low Calls",
IF(#REF!&lt;=120,"Medium Calls","High Calls"))</f>
        <v>#REF!</v>
      </c>
      <c r="AA3686" t="e">
        <f>IF(#REF!&lt;=15,"Low Charges",
IF(#REF!&lt;=20,"Medium Charges","High Charges"))</f>
        <v>#REF!</v>
      </c>
      <c r="AB3686" t="e">
        <f>IF(AND(#REF!&gt;180, #REF!&gt;200), "Heavy Doemstic User", IF(#REF!&gt;10, "Interntional User", IF(AND(#REF!&lt;180, #REF!&lt;200,#REF!&lt;200), "Light User", "Balanced User")))</f>
        <v>#REF!</v>
      </c>
      <c r="AC3686" t="e">
        <f>IF(#REF! = 0, "No Usage", IF(#REF! &lt;= 20, "Low Usage", IF(#REF! &lt;= 40, "Medium Usgae", "High Usage")))</f>
        <v>#REF!</v>
      </c>
      <c r="AD3686" t="e">
        <f>IF(#REF!&lt;=150,"Low Usage", IF(#REF!&lt;=200,"Medium Usage", IF(#REF!&lt;=250,"High Usage","Very High Usage")))</f>
        <v>#REF!</v>
      </c>
      <c r="AE3686" t="e">
        <f>IF(#REF!&lt;=5,"Low Calls", IF(#REF!&lt;=10, "Medium Calls", "High Calls"))</f>
        <v>#REF!</v>
      </c>
      <c r="AF3686" t="e">
        <f xml:space="preserve">
IF(#REF!&gt;=4,4,0)+
IF(#REF!="yes",3,0)+
IF(#REF!="High Charges",3,0)+
IF(#REF!&gt;250,4,0)+
IF(#REF!="no",1,0)+
IF(#REF!="Heavy Domestic User",2,0)</f>
        <v>#REF!</v>
      </c>
      <c r="AG3686" t="e">
        <f>IF(#REF!&gt;=10,"High Risk", IF(#REF!&gt;=5,"Medium Risk","Low Risk"))</f>
        <v>#REF!</v>
      </c>
      <c r="AH3686" t="e">
        <f>#REF! + #REF! + #REF! + #REF!</f>
        <v>#REF!</v>
      </c>
    </row>
    <row r="3687" spans="1:34" x14ac:dyDescent="0.35">
      <c r="A3687">
        <v>3686</v>
      </c>
      <c r="B3687" t="s">
        <v>20</v>
      </c>
      <c r="C3687">
        <v>92</v>
      </c>
      <c r="D3687" t="s">
        <v>21</v>
      </c>
      <c r="E3687" t="s">
        <v>22</v>
      </c>
      <c r="F3687" t="s">
        <v>22</v>
      </c>
      <c r="G3687">
        <v>0</v>
      </c>
      <c r="H3687">
        <v>145.9</v>
      </c>
      <c r="I3687">
        <v>90</v>
      </c>
      <c r="J3687">
        <v>24.8</v>
      </c>
      <c r="K3687">
        <v>148.1</v>
      </c>
      <c r="L3687">
        <v>105</v>
      </c>
      <c r="M3687">
        <v>12.59</v>
      </c>
      <c r="N3687">
        <v>241.3</v>
      </c>
      <c r="O3687">
        <v>93</v>
      </c>
      <c r="P3687">
        <v>10.86</v>
      </c>
      <c r="Q3687">
        <v>8.4</v>
      </c>
      <c r="R3687">
        <v>1</v>
      </c>
      <c r="S3687">
        <v>2.27</v>
      </c>
      <c r="T3687">
        <v>2</v>
      </c>
      <c r="U3687" t="s">
        <v>22</v>
      </c>
      <c r="V3687" t="e">
        <f>IF(#REF! = "yes", 1, 0)</f>
        <v>#REF!</v>
      </c>
      <c r="W3687" t="e">
        <f>IF(#REF! &lt;= 1, "0-1 Calls", IF(#REF! &lt;= 3, "2-3 Calls", IF(#REF! &lt;=5, "4-5 Calls", "6+ Calls")))</f>
        <v>#REF!</v>
      </c>
      <c r="X3687" t="e">
        <f>IF(#REF! &lt;= 50, "0-50", IF(#REF! &lt;=100, "51-100", IF(#REF! &lt;= 150, "101-150", "151+")))</f>
        <v>#REF!</v>
      </c>
      <c r="Y3687" t="e">
        <f>IF(#REF! &lt;= 3, "Low Charges", "High Charges")</f>
        <v>#REF!</v>
      </c>
      <c r="Z3687" t="e">
        <f>IF(#REF!&lt;=80,"Low Calls",
IF(#REF!&lt;=120,"Medium Calls","High Calls"))</f>
        <v>#REF!</v>
      </c>
      <c r="AA3687" t="e">
        <f>IF(#REF!&lt;=15,"Low Charges",
IF(#REF!&lt;=20,"Medium Charges","High Charges"))</f>
        <v>#REF!</v>
      </c>
      <c r="AB3687" t="e">
        <f>IF(AND(#REF!&gt;180, #REF!&gt;200), "Heavy Doemstic User", IF(#REF!&gt;10, "Interntional User", IF(AND(#REF!&lt;180, #REF!&lt;200,#REF!&lt;200), "Light User", "Balanced User")))</f>
        <v>#REF!</v>
      </c>
      <c r="AC3687" t="e">
        <f>IF(#REF! = 0, "No Usage", IF(#REF! &lt;= 20, "Low Usage", IF(#REF! &lt;= 40, "Medium Usgae", "High Usage")))</f>
        <v>#REF!</v>
      </c>
      <c r="AD3687" t="e">
        <f>IF(#REF!&lt;=150,"Low Usage", IF(#REF!&lt;=200,"Medium Usage", IF(#REF!&lt;=250,"High Usage","Very High Usage")))</f>
        <v>#REF!</v>
      </c>
      <c r="AE3687" t="e">
        <f>IF(#REF!&lt;=5,"Low Calls", IF(#REF!&lt;=10, "Medium Calls", "High Calls"))</f>
        <v>#REF!</v>
      </c>
      <c r="AF3687" t="e">
        <f xml:space="preserve">
IF(#REF!&gt;=4,4,0)+
IF(#REF!="yes",3,0)+
IF(#REF!="High Charges",3,0)+
IF(#REF!&gt;250,4,0)+
IF(#REF!="no",1,0)+
IF(#REF!="Heavy Domestic User",2,0)</f>
        <v>#REF!</v>
      </c>
      <c r="AG3687" t="e">
        <f>IF(#REF!&gt;=10,"High Risk", IF(#REF!&gt;=5,"Medium Risk","Low Risk"))</f>
        <v>#REF!</v>
      </c>
      <c r="AH3687" t="e">
        <f>#REF! + #REF! + #REF! + #REF!</f>
        <v>#REF!</v>
      </c>
    </row>
    <row r="3688" spans="1:34" x14ac:dyDescent="0.35">
      <c r="A3688">
        <v>3687</v>
      </c>
      <c r="B3688" t="s">
        <v>31</v>
      </c>
      <c r="C3688">
        <v>35</v>
      </c>
      <c r="D3688" t="s">
        <v>25</v>
      </c>
      <c r="E3688" t="s">
        <v>22</v>
      </c>
      <c r="F3688" t="s">
        <v>22</v>
      </c>
      <c r="G3688">
        <v>0</v>
      </c>
      <c r="H3688">
        <v>179.8</v>
      </c>
      <c r="I3688">
        <v>82</v>
      </c>
      <c r="J3688">
        <v>30.57</v>
      </c>
      <c r="K3688">
        <v>176.1</v>
      </c>
      <c r="L3688">
        <v>78</v>
      </c>
      <c r="M3688">
        <v>14.97</v>
      </c>
      <c r="N3688">
        <v>132.6</v>
      </c>
      <c r="O3688">
        <v>85</v>
      </c>
      <c r="P3688">
        <v>5.97</v>
      </c>
      <c r="Q3688">
        <v>12</v>
      </c>
      <c r="R3688">
        <v>5</v>
      </c>
      <c r="S3688">
        <v>3.24</v>
      </c>
      <c r="T3688">
        <v>1</v>
      </c>
      <c r="U3688" t="s">
        <v>22</v>
      </c>
      <c r="V3688" t="e">
        <f>IF(#REF! = "yes", 1, 0)</f>
        <v>#REF!</v>
      </c>
      <c r="W3688" t="e">
        <f>IF(#REF! &lt;= 1, "0-1 Calls", IF(#REF! &lt;= 3, "2-3 Calls", IF(#REF! &lt;=5, "4-5 Calls", "6+ Calls")))</f>
        <v>#REF!</v>
      </c>
      <c r="X3688" t="e">
        <f>IF(#REF! &lt;= 50, "0-50", IF(#REF! &lt;=100, "51-100", IF(#REF! &lt;= 150, "101-150", "151+")))</f>
        <v>#REF!</v>
      </c>
      <c r="Y3688" t="e">
        <f>IF(#REF! &lt;= 3, "Low Charges", "High Charges")</f>
        <v>#REF!</v>
      </c>
      <c r="Z3688" t="e">
        <f>IF(#REF!&lt;=80,"Low Calls",
IF(#REF!&lt;=120,"Medium Calls","High Calls"))</f>
        <v>#REF!</v>
      </c>
      <c r="AA3688" t="e">
        <f>IF(#REF!&lt;=15,"Low Charges",
IF(#REF!&lt;=20,"Medium Charges","High Charges"))</f>
        <v>#REF!</v>
      </c>
      <c r="AB3688" t="e">
        <f>IF(AND(#REF!&gt;180, #REF!&gt;200), "Heavy Doemstic User", IF(#REF!&gt;10, "Interntional User", IF(AND(#REF!&lt;180, #REF!&lt;200,#REF!&lt;200), "Light User", "Balanced User")))</f>
        <v>#REF!</v>
      </c>
      <c r="AC3688" t="e">
        <f>IF(#REF! = 0, "No Usage", IF(#REF! &lt;= 20, "Low Usage", IF(#REF! &lt;= 40, "Medium Usgae", "High Usage")))</f>
        <v>#REF!</v>
      </c>
      <c r="AD3688" t="e">
        <f>IF(#REF!&lt;=150,"Low Usage", IF(#REF!&lt;=200,"Medium Usage", IF(#REF!&lt;=250,"High Usage","Very High Usage")))</f>
        <v>#REF!</v>
      </c>
      <c r="AE3688" t="e">
        <f>IF(#REF!&lt;=5,"Low Calls", IF(#REF!&lt;=10, "Medium Calls", "High Calls"))</f>
        <v>#REF!</v>
      </c>
      <c r="AF3688" t="e">
        <f xml:space="preserve">
IF(#REF!&gt;=4,4,0)+
IF(#REF!="yes",3,0)+
IF(#REF!="High Charges",3,0)+
IF(#REF!&gt;250,4,0)+
IF(#REF!="no",1,0)+
IF(#REF!="Heavy Domestic User",2,0)</f>
        <v>#REF!</v>
      </c>
      <c r="AG3688" t="e">
        <f>IF(#REF!&gt;=10,"High Risk", IF(#REF!&gt;=5,"Medium Risk","Low Risk"))</f>
        <v>#REF!</v>
      </c>
      <c r="AH3688" t="e">
        <f>#REF! + #REF! + #REF! + #REF!</f>
        <v>#REF!</v>
      </c>
    </row>
    <row r="3689" spans="1:34" x14ac:dyDescent="0.35">
      <c r="A3689">
        <v>3688</v>
      </c>
      <c r="B3689" t="s">
        <v>26</v>
      </c>
      <c r="C3689">
        <v>28</v>
      </c>
      <c r="D3689" t="s">
        <v>25</v>
      </c>
      <c r="E3689" t="s">
        <v>22</v>
      </c>
      <c r="F3689" t="s">
        <v>22</v>
      </c>
      <c r="G3689">
        <v>0</v>
      </c>
      <c r="H3689">
        <v>225.7</v>
      </c>
      <c r="I3689">
        <v>70</v>
      </c>
      <c r="J3689">
        <v>38.369999999999997</v>
      </c>
      <c r="K3689">
        <v>206.9</v>
      </c>
      <c r="L3689">
        <v>90</v>
      </c>
      <c r="M3689">
        <v>17.59</v>
      </c>
      <c r="N3689">
        <v>167.9</v>
      </c>
      <c r="O3689">
        <v>88</v>
      </c>
      <c r="P3689">
        <v>7.56</v>
      </c>
      <c r="Q3689">
        <v>13.8</v>
      </c>
      <c r="R3689">
        <v>3</v>
      </c>
      <c r="S3689">
        <v>3.73</v>
      </c>
      <c r="T3689">
        <v>1</v>
      </c>
      <c r="U3689" t="s">
        <v>22</v>
      </c>
      <c r="V3689" t="e">
        <f>IF(#REF! = "yes", 1, 0)</f>
        <v>#REF!</v>
      </c>
      <c r="W3689" t="e">
        <f>IF(#REF! &lt;= 1, "0-1 Calls", IF(#REF! &lt;= 3, "2-3 Calls", IF(#REF! &lt;=5, "4-5 Calls", "6+ Calls")))</f>
        <v>#REF!</v>
      </c>
      <c r="X3689" t="e">
        <f>IF(#REF! &lt;= 50, "0-50", IF(#REF! &lt;=100, "51-100", IF(#REF! &lt;= 150, "101-150", "151+")))</f>
        <v>#REF!</v>
      </c>
      <c r="Y3689" t="e">
        <f>IF(#REF! &lt;= 3, "Low Charges", "High Charges")</f>
        <v>#REF!</v>
      </c>
      <c r="Z3689" t="e">
        <f>IF(#REF!&lt;=80,"Low Calls",
IF(#REF!&lt;=120,"Medium Calls","High Calls"))</f>
        <v>#REF!</v>
      </c>
      <c r="AA3689" t="e">
        <f>IF(#REF!&lt;=15,"Low Charges",
IF(#REF!&lt;=20,"Medium Charges","High Charges"))</f>
        <v>#REF!</v>
      </c>
      <c r="AB3689" t="e">
        <f>IF(AND(#REF!&gt;180, #REF!&gt;200), "Heavy Doemstic User", IF(#REF!&gt;10, "Interntional User", IF(AND(#REF!&lt;180, #REF!&lt;200,#REF!&lt;200), "Light User", "Balanced User")))</f>
        <v>#REF!</v>
      </c>
      <c r="AC3689" t="e">
        <f>IF(#REF! = 0, "No Usage", IF(#REF! &lt;= 20, "Low Usage", IF(#REF! &lt;= 40, "Medium Usgae", "High Usage")))</f>
        <v>#REF!</v>
      </c>
      <c r="AD3689" t="e">
        <f>IF(#REF!&lt;=150,"Low Usage", IF(#REF!&lt;=200,"Medium Usage", IF(#REF!&lt;=250,"High Usage","Very High Usage")))</f>
        <v>#REF!</v>
      </c>
      <c r="AE3689" t="e">
        <f>IF(#REF!&lt;=5,"Low Calls", IF(#REF!&lt;=10, "Medium Calls", "High Calls"))</f>
        <v>#REF!</v>
      </c>
      <c r="AF3689" t="e">
        <f xml:space="preserve">
IF(#REF!&gt;=4,4,0)+
IF(#REF!="yes",3,0)+
IF(#REF!="High Charges",3,0)+
IF(#REF!&gt;250,4,0)+
IF(#REF!="no",1,0)+
IF(#REF!="Heavy Domestic User",2,0)</f>
        <v>#REF!</v>
      </c>
      <c r="AG3689" t="e">
        <f>IF(#REF!&gt;=10,"High Risk", IF(#REF!&gt;=5,"Medium Risk","Low Risk"))</f>
        <v>#REF!</v>
      </c>
      <c r="AH3689" t="e">
        <f>#REF! + #REF! + #REF! + #REF!</f>
        <v>#REF!</v>
      </c>
    </row>
    <row r="3690" spans="1:34" x14ac:dyDescent="0.35">
      <c r="A3690">
        <v>3689</v>
      </c>
      <c r="B3690" t="s">
        <v>51</v>
      </c>
      <c r="C3690">
        <v>93</v>
      </c>
      <c r="D3690" t="s">
        <v>21</v>
      </c>
      <c r="E3690" t="s">
        <v>22</v>
      </c>
      <c r="F3690" t="s">
        <v>22</v>
      </c>
      <c r="G3690">
        <v>0</v>
      </c>
      <c r="H3690">
        <v>199.7</v>
      </c>
      <c r="I3690">
        <v>109</v>
      </c>
      <c r="J3690">
        <v>33.950000000000003</v>
      </c>
      <c r="K3690">
        <v>114.2</v>
      </c>
      <c r="L3690">
        <v>68</v>
      </c>
      <c r="M3690">
        <v>9.7100000000000009</v>
      </c>
      <c r="N3690">
        <v>241</v>
      </c>
      <c r="O3690">
        <v>109</v>
      </c>
      <c r="P3690">
        <v>10.85</v>
      </c>
      <c r="Q3690">
        <v>7.1</v>
      </c>
      <c r="R3690">
        <v>2</v>
      </c>
      <c r="S3690">
        <v>1.92</v>
      </c>
      <c r="T3690">
        <v>0</v>
      </c>
      <c r="U3690" t="s">
        <v>22</v>
      </c>
      <c r="V3690" t="e">
        <f>IF(#REF! = "yes", 1, 0)</f>
        <v>#REF!</v>
      </c>
      <c r="W3690" t="e">
        <f>IF(#REF! &lt;= 1, "0-1 Calls", IF(#REF! &lt;= 3, "2-3 Calls", IF(#REF! &lt;=5, "4-5 Calls", "6+ Calls")))</f>
        <v>#REF!</v>
      </c>
      <c r="X3690" t="e">
        <f>IF(#REF! &lt;= 50, "0-50", IF(#REF! &lt;=100, "51-100", IF(#REF! &lt;= 150, "101-150", "151+")))</f>
        <v>#REF!</v>
      </c>
      <c r="Y3690" t="e">
        <f>IF(#REF! &lt;= 3, "Low Charges", "High Charges")</f>
        <v>#REF!</v>
      </c>
      <c r="Z3690" t="e">
        <f>IF(#REF!&lt;=80,"Low Calls",
IF(#REF!&lt;=120,"Medium Calls","High Calls"))</f>
        <v>#REF!</v>
      </c>
      <c r="AA3690" t="e">
        <f>IF(#REF!&lt;=15,"Low Charges",
IF(#REF!&lt;=20,"Medium Charges","High Charges"))</f>
        <v>#REF!</v>
      </c>
      <c r="AB3690" t="e">
        <f>IF(AND(#REF!&gt;180, #REF!&gt;200), "Heavy Doemstic User", IF(#REF!&gt;10, "Interntional User", IF(AND(#REF!&lt;180, #REF!&lt;200,#REF!&lt;200), "Light User", "Balanced User")))</f>
        <v>#REF!</v>
      </c>
      <c r="AC3690" t="e">
        <f>IF(#REF! = 0, "No Usage", IF(#REF! &lt;= 20, "Low Usage", IF(#REF! &lt;= 40, "Medium Usgae", "High Usage")))</f>
        <v>#REF!</v>
      </c>
      <c r="AD3690" t="e">
        <f>IF(#REF!&lt;=150,"Low Usage", IF(#REF!&lt;=200,"Medium Usage", IF(#REF!&lt;=250,"High Usage","Very High Usage")))</f>
        <v>#REF!</v>
      </c>
      <c r="AE3690" t="e">
        <f>IF(#REF!&lt;=5,"Low Calls", IF(#REF!&lt;=10, "Medium Calls", "High Calls"))</f>
        <v>#REF!</v>
      </c>
      <c r="AF3690" t="e">
        <f xml:space="preserve">
IF(#REF!&gt;=4,4,0)+
IF(#REF!="yes",3,0)+
IF(#REF!="High Charges",3,0)+
IF(#REF!&gt;250,4,0)+
IF(#REF!="no",1,0)+
IF(#REF!="Heavy Domestic User",2,0)</f>
        <v>#REF!</v>
      </c>
      <c r="AG3690" t="e">
        <f>IF(#REF!&gt;=10,"High Risk", IF(#REF!&gt;=5,"Medium Risk","Low Risk"))</f>
        <v>#REF!</v>
      </c>
      <c r="AH3690" t="e">
        <f>#REF! + #REF! + #REF! + #REF!</f>
        <v>#REF!</v>
      </c>
    </row>
    <row r="3691" spans="1:34" x14ac:dyDescent="0.35">
      <c r="A3691">
        <v>3690</v>
      </c>
      <c r="B3691" t="s">
        <v>20</v>
      </c>
      <c r="C3691">
        <v>26</v>
      </c>
      <c r="D3691" t="s">
        <v>28</v>
      </c>
      <c r="E3691" t="s">
        <v>22</v>
      </c>
      <c r="F3691" t="s">
        <v>22</v>
      </c>
      <c r="G3691">
        <v>0</v>
      </c>
      <c r="H3691">
        <v>150</v>
      </c>
      <c r="I3691">
        <v>63</v>
      </c>
      <c r="J3691">
        <v>25.5</v>
      </c>
      <c r="K3691">
        <v>225</v>
      </c>
      <c r="L3691">
        <v>90</v>
      </c>
      <c r="M3691">
        <v>19.13</v>
      </c>
      <c r="N3691">
        <v>202.3</v>
      </c>
      <c r="O3691">
        <v>99</v>
      </c>
      <c r="P3691">
        <v>9.1</v>
      </c>
      <c r="Q3691">
        <v>9.1999999999999993</v>
      </c>
      <c r="R3691">
        <v>5</v>
      </c>
      <c r="S3691">
        <v>2.48</v>
      </c>
      <c r="T3691">
        <v>3</v>
      </c>
      <c r="U3691" t="s">
        <v>22</v>
      </c>
      <c r="V3691" t="e">
        <f>IF(#REF! = "yes", 1, 0)</f>
        <v>#REF!</v>
      </c>
      <c r="W3691" t="e">
        <f>IF(#REF! &lt;= 1, "0-1 Calls", IF(#REF! &lt;= 3, "2-3 Calls", IF(#REF! &lt;=5, "4-5 Calls", "6+ Calls")))</f>
        <v>#REF!</v>
      </c>
      <c r="X3691" t="e">
        <f>IF(#REF! &lt;= 50, "0-50", IF(#REF! &lt;=100, "51-100", IF(#REF! &lt;= 150, "101-150", "151+")))</f>
        <v>#REF!</v>
      </c>
      <c r="Y3691" t="e">
        <f>IF(#REF! &lt;= 3, "Low Charges", "High Charges")</f>
        <v>#REF!</v>
      </c>
      <c r="Z3691" t="e">
        <f>IF(#REF!&lt;=80,"Low Calls",
IF(#REF!&lt;=120,"Medium Calls","High Calls"))</f>
        <v>#REF!</v>
      </c>
      <c r="AA3691" t="e">
        <f>IF(#REF!&lt;=15,"Low Charges",
IF(#REF!&lt;=20,"Medium Charges","High Charges"))</f>
        <v>#REF!</v>
      </c>
      <c r="AB3691" t="e">
        <f>IF(AND(#REF!&gt;180, #REF!&gt;200), "Heavy Doemstic User", IF(#REF!&gt;10, "Interntional User", IF(AND(#REF!&lt;180, #REF!&lt;200,#REF!&lt;200), "Light User", "Balanced User")))</f>
        <v>#REF!</v>
      </c>
      <c r="AC3691" t="e">
        <f>IF(#REF! = 0, "No Usage", IF(#REF! &lt;= 20, "Low Usage", IF(#REF! &lt;= 40, "Medium Usgae", "High Usage")))</f>
        <v>#REF!</v>
      </c>
      <c r="AD3691" t="e">
        <f>IF(#REF!&lt;=150,"Low Usage", IF(#REF!&lt;=200,"Medium Usage", IF(#REF!&lt;=250,"High Usage","Very High Usage")))</f>
        <v>#REF!</v>
      </c>
      <c r="AE3691" t="e">
        <f>IF(#REF!&lt;=5,"Low Calls", IF(#REF!&lt;=10, "Medium Calls", "High Calls"))</f>
        <v>#REF!</v>
      </c>
      <c r="AF3691" t="e">
        <f xml:space="preserve">
IF(#REF!&gt;=4,4,0)+
IF(#REF!="yes",3,0)+
IF(#REF!="High Charges",3,0)+
IF(#REF!&gt;250,4,0)+
IF(#REF!="no",1,0)+
IF(#REF!="Heavy Domestic User",2,0)</f>
        <v>#REF!</v>
      </c>
      <c r="AG3691" t="e">
        <f>IF(#REF!&gt;=10,"High Risk", IF(#REF!&gt;=5,"Medium Risk","Low Risk"))</f>
        <v>#REF!</v>
      </c>
      <c r="AH3691" t="e">
        <f>#REF! + #REF! + #REF! + #REF!</f>
        <v>#REF!</v>
      </c>
    </row>
    <row r="3692" spans="1:34" x14ac:dyDescent="0.35">
      <c r="A3692">
        <v>3691</v>
      </c>
      <c r="B3692" t="s">
        <v>26</v>
      </c>
      <c r="C3692">
        <v>33</v>
      </c>
      <c r="D3692" t="s">
        <v>21</v>
      </c>
      <c r="E3692" t="s">
        <v>23</v>
      </c>
      <c r="F3692" t="s">
        <v>22</v>
      </c>
      <c r="G3692">
        <v>0</v>
      </c>
      <c r="H3692">
        <v>247.1</v>
      </c>
      <c r="I3692">
        <v>114</v>
      </c>
      <c r="J3692">
        <v>42.01</v>
      </c>
      <c r="K3692">
        <v>146.5</v>
      </c>
      <c r="L3692">
        <v>110</v>
      </c>
      <c r="M3692">
        <v>12.45</v>
      </c>
      <c r="N3692">
        <v>208.9</v>
      </c>
      <c r="O3692">
        <v>94</v>
      </c>
      <c r="P3692">
        <v>9.4</v>
      </c>
      <c r="Q3692">
        <v>10.6</v>
      </c>
      <c r="R3692">
        <v>2</v>
      </c>
      <c r="S3692">
        <v>2.86</v>
      </c>
      <c r="T3692">
        <v>4</v>
      </c>
      <c r="U3692" t="s">
        <v>23</v>
      </c>
      <c r="V3692" t="e">
        <f>IF(#REF! = "yes", 1, 0)</f>
        <v>#REF!</v>
      </c>
      <c r="W3692" t="e">
        <f>IF(#REF! &lt;= 1, "0-1 Calls", IF(#REF! &lt;= 3, "2-3 Calls", IF(#REF! &lt;=5, "4-5 Calls", "6+ Calls")))</f>
        <v>#REF!</v>
      </c>
      <c r="X3692" t="e">
        <f>IF(#REF! &lt;= 50, "0-50", IF(#REF! &lt;=100, "51-100", IF(#REF! &lt;= 150, "101-150", "151+")))</f>
        <v>#REF!</v>
      </c>
      <c r="Y3692" t="e">
        <f>IF(#REF! &lt;= 3, "Low Charges", "High Charges")</f>
        <v>#REF!</v>
      </c>
      <c r="Z3692" t="e">
        <f>IF(#REF!&lt;=80,"Low Calls",
IF(#REF!&lt;=120,"Medium Calls","High Calls"))</f>
        <v>#REF!</v>
      </c>
      <c r="AA3692" t="e">
        <f>IF(#REF!&lt;=15,"Low Charges",
IF(#REF!&lt;=20,"Medium Charges","High Charges"))</f>
        <v>#REF!</v>
      </c>
      <c r="AB3692" t="e">
        <f>IF(AND(#REF!&gt;180, #REF!&gt;200), "Heavy Doemstic User", IF(#REF!&gt;10, "Interntional User", IF(AND(#REF!&lt;180, #REF!&lt;200,#REF!&lt;200), "Light User", "Balanced User")))</f>
        <v>#REF!</v>
      </c>
      <c r="AC3692" t="e">
        <f>IF(#REF! = 0, "No Usage", IF(#REF! &lt;= 20, "Low Usage", IF(#REF! &lt;= 40, "Medium Usgae", "High Usage")))</f>
        <v>#REF!</v>
      </c>
      <c r="AD3692" t="e">
        <f>IF(#REF!&lt;=150,"Low Usage", IF(#REF!&lt;=200,"Medium Usage", IF(#REF!&lt;=250,"High Usage","Very High Usage")))</f>
        <v>#REF!</v>
      </c>
      <c r="AE3692" t="e">
        <f>IF(#REF!&lt;=5,"Low Calls", IF(#REF!&lt;=10, "Medium Calls", "High Calls"))</f>
        <v>#REF!</v>
      </c>
      <c r="AF3692" t="e">
        <f xml:space="preserve">
IF(#REF!&gt;=4,4,0)+
IF(#REF!="yes",3,0)+
IF(#REF!="High Charges",3,0)+
IF(#REF!&gt;250,4,0)+
IF(#REF!="no",1,0)+
IF(#REF!="Heavy Domestic User",2,0)</f>
        <v>#REF!</v>
      </c>
      <c r="AG3692" t="e">
        <f>IF(#REF!&gt;=10,"High Risk", IF(#REF!&gt;=5,"Medium Risk","Low Risk"))</f>
        <v>#REF!</v>
      </c>
      <c r="AH3692" t="e">
        <f>#REF! + #REF! + #REF! + #REF!</f>
        <v>#REF!</v>
      </c>
    </row>
    <row r="3693" spans="1:34" x14ac:dyDescent="0.35">
      <c r="A3693">
        <v>3692</v>
      </c>
      <c r="B3693" t="s">
        <v>73</v>
      </c>
      <c r="C3693">
        <v>120</v>
      </c>
      <c r="D3693" t="s">
        <v>25</v>
      </c>
      <c r="E3693" t="s">
        <v>22</v>
      </c>
      <c r="F3693" t="s">
        <v>22</v>
      </c>
      <c r="G3693">
        <v>0</v>
      </c>
      <c r="H3693">
        <v>215.7</v>
      </c>
      <c r="I3693">
        <v>75</v>
      </c>
      <c r="J3693">
        <v>36.67</v>
      </c>
      <c r="K3693">
        <v>244.4</v>
      </c>
      <c r="L3693">
        <v>105</v>
      </c>
      <c r="M3693">
        <v>20.77</v>
      </c>
      <c r="N3693">
        <v>211.2</v>
      </c>
      <c r="O3693">
        <v>91</v>
      </c>
      <c r="P3693">
        <v>9.5</v>
      </c>
      <c r="Q3693">
        <v>11.4</v>
      </c>
      <c r="R3693">
        <v>5</v>
      </c>
      <c r="S3693">
        <v>3.08</v>
      </c>
      <c r="T3693">
        <v>2</v>
      </c>
      <c r="U3693" t="s">
        <v>22</v>
      </c>
      <c r="V3693" t="e">
        <f>IF(#REF! = "yes", 1, 0)</f>
        <v>#REF!</v>
      </c>
      <c r="W3693" t="e">
        <f>IF(#REF! &lt;= 1, "0-1 Calls", IF(#REF! &lt;= 3, "2-3 Calls", IF(#REF! &lt;=5, "4-5 Calls", "6+ Calls")))</f>
        <v>#REF!</v>
      </c>
      <c r="X3693" t="e">
        <f>IF(#REF! &lt;= 50, "0-50", IF(#REF! &lt;=100, "51-100", IF(#REF! &lt;= 150, "101-150", "151+")))</f>
        <v>#REF!</v>
      </c>
      <c r="Y3693" t="e">
        <f>IF(#REF! &lt;= 3, "Low Charges", "High Charges")</f>
        <v>#REF!</v>
      </c>
      <c r="Z3693" t="e">
        <f>IF(#REF!&lt;=80,"Low Calls",
IF(#REF!&lt;=120,"Medium Calls","High Calls"))</f>
        <v>#REF!</v>
      </c>
      <c r="AA3693" t="e">
        <f>IF(#REF!&lt;=15,"Low Charges",
IF(#REF!&lt;=20,"Medium Charges","High Charges"))</f>
        <v>#REF!</v>
      </c>
      <c r="AB3693" t="e">
        <f>IF(AND(#REF!&gt;180, #REF!&gt;200), "Heavy Doemstic User", IF(#REF!&gt;10, "Interntional User", IF(AND(#REF!&lt;180, #REF!&lt;200,#REF!&lt;200), "Light User", "Balanced User")))</f>
        <v>#REF!</v>
      </c>
      <c r="AC3693" t="e">
        <f>IF(#REF! = 0, "No Usage", IF(#REF! &lt;= 20, "Low Usage", IF(#REF! &lt;= 40, "Medium Usgae", "High Usage")))</f>
        <v>#REF!</v>
      </c>
      <c r="AD3693" t="e">
        <f>IF(#REF!&lt;=150,"Low Usage", IF(#REF!&lt;=200,"Medium Usage", IF(#REF!&lt;=250,"High Usage","Very High Usage")))</f>
        <v>#REF!</v>
      </c>
      <c r="AE3693" t="e">
        <f>IF(#REF!&lt;=5,"Low Calls", IF(#REF!&lt;=10, "Medium Calls", "High Calls"))</f>
        <v>#REF!</v>
      </c>
      <c r="AF3693" t="e">
        <f xml:space="preserve">
IF(#REF!&gt;=4,4,0)+
IF(#REF!="yes",3,0)+
IF(#REF!="High Charges",3,0)+
IF(#REF!&gt;250,4,0)+
IF(#REF!="no",1,0)+
IF(#REF!="Heavy Domestic User",2,0)</f>
        <v>#REF!</v>
      </c>
      <c r="AG3693" t="e">
        <f>IF(#REF!&gt;=10,"High Risk", IF(#REF!&gt;=5,"Medium Risk","Low Risk"))</f>
        <v>#REF!</v>
      </c>
      <c r="AH3693" t="e">
        <f>#REF! + #REF! + #REF! + #REF!</f>
        <v>#REF!</v>
      </c>
    </row>
    <row r="3694" spans="1:34" x14ac:dyDescent="0.35">
      <c r="A3694">
        <v>3693</v>
      </c>
      <c r="B3694" t="s">
        <v>70</v>
      </c>
      <c r="C3694">
        <v>124</v>
      </c>
      <c r="D3694" t="s">
        <v>21</v>
      </c>
      <c r="E3694" t="s">
        <v>22</v>
      </c>
      <c r="F3694" t="s">
        <v>22</v>
      </c>
      <c r="G3694">
        <v>0</v>
      </c>
      <c r="H3694">
        <v>94.8</v>
      </c>
      <c r="I3694">
        <v>102</v>
      </c>
      <c r="J3694">
        <v>16.12</v>
      </c>
      <c r="K3694">
        <v>238.9</v>
      </c>
      <c r="L3694">
        <v>91</v>
      </c>
      <c r="M3694">
        <v>20.309999999999999</v>
      </c>
      <c r="N3694">
        <v>279.39999999999998</v>
      </c>
      <c r="O3694">
        <v>94</v>
      </c>
      <c r="P3694">
        <v>12.57</v>
      </c>
      <c r="Q3694">
        <v>11.6</v>
      </c>
      <c r="R3694">
        <v>3</v>
      </c>
      <c r="S3694">
        <v>3.13</v>
      </c>
      <c r="T3694">
        <v>2</v>
      </c>
      <c r="U3694" t="s">
        <v>22</v>
      </c>
      <c r="V3694" t="e">
        <f>IF(#REF! = "yes", 1, 0)</f>
        <v>#REF!</v>
      </c>
      <c r="W3694" t="e">
        <f>IF(#REF! &lt;= 1, "0-1 Calls", IF(#REF! &lt;= 3, "2-3 Calls", IF(#REF! &lt;=5, "4-5 Calls", "6+ Calls")))</f>
        <v>#REF!</v>
      </c>
      <c r="X3694" t="e">
        <f>IF(#REF! &lt;= 50, "0-50", IF(#REF! &lt;=100, "51-100", IF(#REF! &lt;= 150, "101-150", "151+")))</f>
        <v>#REF!</v>
      </c>
      <c r="Y3694" t="e">
        <f>IF(#REF! &lt;= 3, "Low Charges", "High Charges")</f>
        <v>#REF!</v>
      </c>
      <c r="Z3694" t="e">
        <f>IF(#REF!&lt;=80,"Low Calls",
IF(#REF!&lt;=120,"Medium Calls","High Calls"))</f>
        <v>#REF!</v>
      </c>
      <c r="AA3694" t="e">
        <f>IF(#REF!&lt;=15,"Low Charges",
IF(#REF!&lt;=20,"Medium Charges","High Charges"))</f>
        <v>#REF!</v>
      </c>
      <c r="AB3694" t="e">
        <f>IF(AND(#REF!&gt;180, #REF!&gt;200), "Heavy Doemstic User", IF(#REF!&gt;10, "Interntional User", IF(AND(#REF!&lt;180, #REF!&lt;200,#REF!&lt;200), "Light User", "Balanced User")))</f>
        <v>#REF!</v>
      </c>
      <c r="AC3694" t="e">
        <f>IF(#REF! = 0, "No Usage", IF(#REF! &lt;= 20, "Low Usage", IF(#REF! &lt;= 40, "Medium Usgae", "High Usage")))</f>
        <v>#REF!</v>
      </c>
      <c r="AD3694" t="e">
        <f>IF(#REF!&lt;=150,"Low Usage", IF(#REF!&lt;=200,"Medium Usage", IF(#REF!&lt;=250,"High Usage","Very High Usage")))</f>
        <v>#REF!</v>
      </c>
      <c r="AE3694" t="e">
        <f>IF(#REF!&lt;=5,"Low Calls", IF(#REF!&lt;=10, "Medium Calls", "High Calls"))</f>
        <v>#REF!</v>
      </c>
      <c r="AF3694" t="e">
        <f xml:space="preserve">
IF(#REF!&gt;=4,4,0)+
IF(#REF!="yes",3,0)+
IF(#REF!="High Charges",3,0)+
IF(#REF!&gt;250,4,0)+
IF(#REF!="no",1,0)+
IF(#REF!="Heavy Domestic User",2,0)</f>
        <v>#REF!</v>
      </c>
      <c r="AG3694" t="e">
        <f>IF(#REF!&gt;=10,"High Risk", IF(#REF!&gt;=5,"Medium Risk","Low Risk"))</f>
        <v>#REF!</v>
      </c>
      <c r="AH3694" t="e">
        <f>#REF! + #REF! + #REF! + #REF!</f>
        <v>#REF!</v>
      </c>
    </row>
    <row r="3695" spans="1:34" x14ac:dyDescent="0.35">
      <c r="A3695">
        <v>3694</v>
      </c>
      <c r="B3695" t="s">
        <v>57</v>
      </c>
      <c r="C3695">
        <v>56</v>
      </c>
      <c r="D3695" t="s">
        <v>21</v>
      </c>
      <c r="E3695" t="s">
        <v>22</v>
      </c>
      <c r="F3695" t="s">
        <v>22</v>
      </c>
      <c r="G3695">
        <v>0</v>
      </c>
      <c r="H3695">
        <v>79.3</v>
      </c>
      <c r="I3695">
        <v>115</v>
      </c>
      <c r="J3695">
        <v>13.48</v>
      </c>
      <c r="K3695">
        <v>159</v>
      </c>
      <c r="L3695">
        <v>64</v>
      </c>
      <c r="M3695">
        <v>13.52</v>
      </c>
      <c r="N3695">
        <v>245.7</v>
      </c>
      <c r="O3695">
        <v>99</v>
      </c>
      <c r="P3695">
        <v>11.06</v>
      </c>
      <c r="Q3695">
        <v>10.1</v>
      </c>
      <c r="R3695">
        <v>4</v>
      </c>
      <c r="S3695">
        <v>2.73</v>
      </c>
      <c r="T3695">
        <v>1</v>
      </c>
      <c r="U3695" t="s">
        <v>22</v>
      </c>
      <c r="V3695" t="e">
        <f>IF(#REF! = "yes", 1, 0)</f>
        <v>#REF!</v>
      </c>
      <c r="W3695" t="e">
        <f>IF(#REF! &lt;= 1, "0-1 Calls", IF(#REF! &lt;= 3, "2-3 Calls", IF(#REF! &lt;=5, "4-5 Calls", "6+ Calls")))</f>
        <v>#REF!</v>
      </c>
      <c r="X3695" t="e">
        <f>IF(#REF! &lt;= 50, "0-50", IF(#REF! &lt;=100, "51-100", IF(#REF! &lt;= 150, "101-150", "151+")))</f>
        <v>#REF!</v>
      </c>
      <c r="Y3695" t="e">
        <f>IF(#REF! &lt;= 3, "Low Charges", "High Charges")</f>
        <v>#REF!</v>
      </c>
      <c r="Z3695" t="e">
        <f>IF(#REF!&lt;=80,"Low Calls",
IF(#REF!&lt;=120,"Medium Calls","High Calls"))</f>
        <v>#REF!</v>
      </c>
      <c r="AA3695" t="e">
        <f>IF(#REF!&lt;=15,"Low Charges",
IF(#REF!&lt;=20,"Medium Charges","High Charges"))</f>
        <v>#REF!</v>
      </c>
      <c r="AB3695" t="e">
        <f>IF(AND(#REF!&gt;180, #REF!&gt;200), "Heavy Doemstic User", IF(#REF!&gt;10, "Interntional User", IF(AND(#REF!&lt;180, #REF!&lt;200,#REF!&lt;200), "Light User", "Balanced User")))</f>
        <v>#REF!</v>
      </c>
      <c r="AC3695" t="e">
        <f>IF(#REF! = 0, "No Usage", IF(#REF! &lt;= 20, "Low Usage", IF(#REF! &lt;= 40, "Medium Usgae", "High Usage")))</f>
        <v>#REF!</v>
      </c>
      <c r="AD3695" t="e">
        <f>IF(#REF!&lt;=150,"Low Usage", IF(#REF!&lt;=200,"Medium Usage", IF(#REF!&lt;=250,"High Usage","Very High Usage")))</f>
        <v>#REF!</v>
      </c>
      <c r="AE3695" t="e">
        <f>IF(#REF!&lt;=5,"Low Calls", IF(#REF!&lt;=10, "Medium Calls", "High Calls"))</f>
        <v>#REF!</v>
      </c>
      <c r="AF3695" t="e">
        <f xml:space="preserve">
IF(#REF!&gt;=4,4,0)+
IF(#REF!="yes",3,0)+
IF(#REF!="High Charges",3,0)+
IF(#REF!&gt;250,4,0)+
IF(#REF!="no",1,0)+
IF(#REF!="Heavy Domestic User",2,0)</f>
        <v>#REF!</v>
      </c>
      <c r="AG3695" t="e">
        <f>IF(#REF!&gt;=10,"High Risk", IF(#REF!&gt;=5,"Medium Risk","Low Risk"))</f>
        <v>#REF!</v>
      </c>
      <c r="AH3695" t="e">
        <f>#REF! + #REF! + #REF! + #REF!</f>
        <v>#REF!</v>
      </c>
    </row>
    <row r="3696" spans="1:34" x14ac:dyDescent="0.35">
      <c r="A3696">
        <v>3695</v>
      </c>
      <c r="B3696" t="s">
        <v>55</v>
      </c>
      <c r="C3696">
        <v>39</v>
      </c>
      <c r="D3696" t="s">
        <v>25</v>
      </c>
      <c r="E3696" t="s">
        <v>22</v>
      </c>
      <c r="F3696" t="s">
        <v>22</v>
      </c>
      <c r="G3696">
        <v>0</v>
      </c>
      <c r="H3696">
        <v>157.19999999999999</v>
      </c>
      <c r="I3696">
        <v>81</v>
      </c>
      <c r="J3696">
        <v>26.72</v>
      </c>
      <c r="K3696">
        <v>247.7</v>
      </c>
      <c r="L3696">
        <v>131</v>
      </c>
      <c r="M3696">
        <v>21.05</v>
      </c>
      <c r="N3696">
        <v>215.7</v>
      </c>
      <c r="O3696">
        <v>141</v>
      </c>
      <c r="P3696">
        <v>9.7100000000000009</v>
      </c>
      <c r="Q3696">
        <v>9.9</v>
      </c>
      <c r="R3696">
        <v>9</v>
      </c>
      <c r="S3696">
        <v>2.67</v>
      </c>
      <c r="T3696">
        <v>1</v>
      </c>
      <c r="U3696" t="s">
        <v>22</v>
      </c>
      <c r="V3696" t="e">
        <f>IF(#REF! = "yes", 1, 0)</f>
        <v>#REF!</v>
      </c>
      <c r="W3696" t="e">
        <f>IF(#REF! &lt;= 1, "0-1 Calls", IF(#REF! &lt;= 3, "2-3 Calls", IF(#REF! &lt;=5, "4-5 Calls", "6+ Calls")))</f>
        <v>#REF!</v>
      </c>
      <c r="X3696" t="e">
        <f>IF(#REF! &lt;= 50, "0-50", IF(#REF! &lt;=100, "51-100", IF(#REF! &lt;= 150, "101-150", "151+")))</f>
        <v>#REF!</v>
      </c>
      <c r="Y3696" t="e">
        <f>IF(#REF! &lt;= 3, "Low Charges", "High Charges")</f>
        <v>#REF!</v>
      </c>
      <c r="Z3696" t="e">
        <f>IF(#REF!&lt;=80,"Low Calls",
IF(#REF!&lt;=120,"Medium Calls","High Calls"))</f>
        <v>#REF!</v>
      </c>
      <c r="AA3696" t="e">
        <f>IF(#REF!&lt;=15,"Low Charges",
IF(#REF!&lt;=20,"Medium Charges","High Charges"))</f>
        <v>#REF!</v>
      </c>
      <c r="AB3696" t="e">
        <f>IF(AND(#REF!&gt;180, #REF!&gt;200), "Heavy Doemstic User", IF(#REF!&gt;10, "Interntional User", IF(AND(#REF!&lt;180, #REF!&lt;200,#REF!&lt;200), "Light User", "Balanced User")))</f>
        <v>#REF!</v>
      </c>
      <c r="AC3696" t="e">
        <f>IF(#REF! = 0, "No Usage", IF(#REF! &lt;= 20, "Low Usage", IF(#REF! &lt;= 40, "Medium Usgae", "High Usage")))</f>
        <v>#REF!</v>
      </c>
      <c r="AD3696" t="e">
        <f>IF(#REF!&lt;=150,"Low Usage", IF(#REF!&lt;=200,"Medium Usage", IF(#REF!&lt;=250,"High Usage","Very High Usage")))</f>
        <v>#REF!</v>
      </c>
      <c r="AE3696" t="e">
        <f>IF(#REF!&lt;=5,"Low Calls", IF(#REF!&lt;=10, "Medium Calls", "High Calls"))</f>
        <v>#REF!</v>
      </c>
      <c r="AF3696" t="e">
        <f xml:space="preserve">
IF(#REF!&gt;=4,4,0)+
IF(#REF!="yes",3,0)+
IF(#REF!="High Charges",3,0)+
IF(#REF!&gt;250,4,0)+
IF(#REF!="no",1,0)+
IF(#REF!="Heavy Domestic User",2,0)</f>
        <v>#REF!</v>
      </c>
      <c r="AG3696" t="e">
        <f>IF(#REF!&gt;=10,"High Risk", IF(#REF!&gt;=5,"Medium Risk","Low Risk"))</f>
        <v>#REF!</v>
      </c>
      <c r="AH3696" t="e">
        <f>#REF! + #REF! + #REF! + #REF!</f>
        <v>#REF!</v>
      </c>
    </row>
    <row r="3697" spans="1:34" x14ac:dyDescent="0.35">
      <c r="A3697">
        <v>3696</v>
      </c>
      <c r="B3697" t="s">
        <v>32</v>
      </c>
      <c r="C3697">
        <v>158</v>
      </c>
      <c r="D3697" t="s">
        <v>25</v>
      </c>
      <c r="E3697" t="s">
        <v>22</v>
      </c>
      <c r="F3697" t="s">
        <v>22</v>
      </c>
      <c r="G3697">
        <v>0</v>
      </c>
      <c r="H3697">
        <v>119.8</v>
      </c>
      <c r="I3697">
        <v>123</v>
      </c>
      <c r="J3697">
        <v>20.37</v>
      </c>
      <c r="K3697">
        <v>262.2</v>
      </c>
      <c r="L3697">
        <v>122</v>
      </c>
      <c r="M3697">
        <v>22.29</v>
      </c>
      <c r="N3697">
        <v>219.8</v>
      </c>
      <c r="O3697">
        <v>111</v>
      </c>
      <c r="P3697">
        <v>9.89</v>
      </c>
      <c r="Q3697">
        <v>12.4</v>
      </c>
      <c r="R3697">
        <v>5</v>
      </c>
      <c r="S3697">
        <v>3.35</v>
      </c>
      <c r="T3697">
        <v>1</v>
      </c>
      <c r="U3697" t="s">
        <v>22</v>
      </c>
      <c r="V3697" t="e">
        <f>IF(#REF! = "yes", 1, 0)</f>
        <v>#REF!</v>
      </c>
      <c r="W3697" t="e">
        <f>IF(#REF! &lt;= 1, "0-1 Calls", IF(#REF! &lt;= 3, "2-3 Calls", IF(#REF! &lt;=5, "4-5 Calls", "6+ Calls")))</f>
        <v>#REF!</v>
      </c>
      <c r="X3697" t="e">
        <f>IF(#REF! &lt;= 50, "0-50", IF(#REF! &lt;=100, "51-100", IF(#REF! &lt;= 150, "101-150", "151+")))</f>
        <v>#REF!</v>
      </c>
      <c r="Y3697" t="e">
        <f>IF(#REF! &lt;= 3, "Low Charges", "High Charges")</f>
        <v>#REF!</v>
      </c>
      <c r="Z3697" t="e">
        <f>IF(#REF!&lt;=80,"Low Calls",
IF(#REF!&lt;=120,"Medium Calls","High Calls"))</f>
        <v>#REF!</v>
      </c>
      <c r="AA3697" t="e">
        <f>IF(#REF!&lt;=15,"Low Charges",
IF(#REF!&lt;=20,"Medium Charges","High Charges"))</f>
        <v>#REF!</v>
      </c>
      <c r="AB3697" t="e">
        <f>IF(AND(#REF!&gt;180, #REF!&gt;200), "Heavy Doemstic User", IF(#REF!&gt;10, "Interntional User", IF(AND(#REF!&lt;180, #REF!&lt;200,#REF!&lt;200), "Light User", "Balanced User")))</f>
        <v>#REF!</v>
      </c>
      <c r="AC3697" t="e">
        <f>IF(#REF! = 0, "No Usage", IF(#REF! &lt;= 20, "Low Usage", IF(#REF! &lt;= 40, "Medium Usgae", "High Usage")))</f>
        <v>#REF!</v>
      </c>
      <c r="AD3697" t="e">
        <f>IF(#REF!&lt;=150,"Low Usage", IF(#REF!&lt;=200,"Medium Usage", IF(#REF!&lt;=250,"High Usage","Very High Usage")))</f>
        <v>#REF!</v>
      </c>
      <c r="AE3697" t="e">
        <f>IF(#REF!&lt;=5,"Low Calls", IF(#REF!&lt;=10, "Medium Calls", "High Calls"))</f>
        <v>#REF!</v>
      </c>
      <c r="AF3697" t="e">
        <f xml:space="preserve">
IF(#REF!&gt;=4,4,0)+
IF(#REF!="yes",3,0)+
IF(#REF!="High Charges",3,0)+
IF(#REF!&gt;250,4,0)+
IF(#REF!="no",1,0)+
IF(#REF!="Heavy Domestic User",2,0)</f>
        <v>#REF!</v>
      </c>
      <c r="AG3697" t="e">
        <f>IF(#REF!&gt;=10,"High Risk", IF(#REF!&gt;=5,"Medium Risk","Low Risk"))</f>
        <v>#REF!</v>
      </c>
      <c r="AH3697" t="e">
        <f>#REF! + #REF! + #REF! + #REF!</f>
        <v>#REF!</v>
      </c>
    </row>
    <row r="3698" spans="1:34" x14ac:dyDescent="0.35">
      <c r="A3698">
        <v>3697</v>
      </c>
      <c r="B3698" t="s">
        <v>34</v>
      </c>
      <c r="C3698">
        <v>52</v>
      </c>
      <c r="D3698" t="s">
        <v>28</v>
      </c>
      <c r="E3698" t="s">
        <v>22</v>
      </c>
      <c r="F3698" t="s">
        <v>23</v>
      </c>
      <c r="G3698">
        <v>24</v>
      </c>
      <c r="H3698">
        <v>229.1</v>
      </c>
      <c r="I3698">
        <v>86</v>
      </c>
      <c r="J3698">
        <v>38.950000000000003</v>
      </c>
      <c r="K3698">
        <v>168.7</v>
      </c>
      <c r="L3698">
        <v>124</v>
      </c>
      <c r="M3698">
        <v>14.34</v>
      </c>
      <c r="N3698">
        <v>245.4</v>
      </c>
      <c r="O3698">
        <v>75</v>
      </c>
      <c r="P3698">
        <v>11.04</v>
      </c>
      <c r="Q3698">
        <v>14.6</v>
      </c>
      <c r="R3698">
        <v>2</v>
      </c>
      <c r="S3698">
        <v>3.94</v>
      </c>
      <c r="T3698">
        <v>1</v>
      </c>
      <c r="U3698" t="s">
        <v>22</v>
      </c>
      <c r="V3698" t="e">
        <f>IF(#REF! = "yes", 1, 0)</f>
        <v>#REF!</v>
      </c>
      <c r="W3698" t="e">
        <f>IF(#REF! &lt;= 1, "0-1 Calls", IF(#REF! &lt;= 3, "2-3 Calls", IF(#REF! &lt;=5, "4-5 Calls", "6+ Calls")))</f>
        <v>#REF!</v>
      </c>
      <c r="X3698" t="e">
        <f>IF(#REF! &lt;= 50, "0-50", IF(#REF! &lt;=100, "51-100", IF(#REF! &lt;= 150, "101-150", "151+")))</f>
        <v>#REF!</v>
      </c>
      <c r="Y3698" t="e">
        <f>IF(#REF! &lt;= 3, "Low Charges", "High Charges")</f>
        <v>#REF!</v>
      </c>
      <c r="Z3698" t="e">
        <f>IF(#REF!&lt;=80,"Low Calls",
IF(#REF!&lt;=120,"Medium Calls","High Calls"))</f>
        <v>#REF!</v>
      </c>
      <c r="AA3698" t="e">
        <f>IF(#REF!&lt;=15,"Low Charges",
IF(#REF!&lt;=20,"Medium Charges","High Charges"))</f>
        <v>#REF!</v>
      </c>
      <c r="AB3698" t="e">
        <f>IF(AND(#REF!&gt;180, #REF!&gt;200), "Heavy Doemstic User", IF(#REF!&gt;10, "Interntional User", IF(AND(#REF!&lt;180, #REF!&lt;200,#REF!&lt;200), "Light User", "Balanced User")))</f>
        <v>#REF!</v>
      </c>
      <c r="AC3698" t="e">
        <f>IF(#REF! = 0, "No Usage", IF(#REF! &lt;= 20, "Low Usage", IF(#REF! &lt;= 40, "Medium Usgae", "High Usage")))</f>
        <v>#REF!</v>
      </c>
      <c r="AD3698" t="e">
        <f>IF(#REF!&lt;=150,"Low Usage", IF(#REF!&lt;=200,"Medium Usage", IF(#REF!&lt;=250,"High Usage","Very High Usage")))</f>
        <v>#REF!</v>
      </c>
      <c r="AE3698" t="e">
        <f>IF(#REF!&lt;=5,"Low Calls", IF(#REF!&lt;=10, "Medium Calls", "High Calls"))</f>
        <v>#REF!</v>
      </c>
      <c r="AF3698" t="e">
        <f xml:space="preserve">
IF(#REF!&gt;=4,4,0)+
IF(#REF!="yes",3,0)+
IF(#REF!="High Charges",3,0)+
IF(#REF!&gt;250,4,0)+
IF(#REF!="no",1,0)+
IF(#REF!="Heavy Domestic User",2,0)</f>
        <v>#REF!</v>
      </c>
      <c r="AG3698" t="e">
        <f>IF(#REF!&gt;=10,"High Risk", IF(#REF!&gt;=5,"Medium Risk","Low Risk"))</f>
        <v>#REF!</v>
      </c>
      <c r="AH3698" t="e">
        <f>#REF! + #REF! + #REF! + #REF!</f>
        <v>#REF!</v>
      </c>
    </row>
    <row r="3699" spans="1:34" x14ac:dyDescent="0.35">
      <c r="A3699">
        <v>3698</v>
      </c>
      <c r="B3699" t="s">
        <v>59</v>
      </c>
      <c r="C3699">
        <v>112</v>
      </c>
      <c r="D3699" t="s">
        <v>25</v>
      </c>
      <c r="E3699" t="s">
        <v>22</v>
      </c>
      <c r="F3699" t="s">
        <v>22</v>
      </c>
      <c r="G3699">
        <v>0</v>
      </c>
      <c r="H3699">
        <v>135.1</v>
      </c>
      <c r="I3699">
        <v>112</v>
      </c>
      <c r="J3699">
        <v>22.97</v>
      </c>
      <c r="K3699">
        <v>226.3</v>
      </c>
      <c r="L3699">
        <v>85</v>
      </c>
      <c r="M3699">
        <v>19.239999999999998</v>
      </c>
      <c r="N3699">
        <v>115.2</v>
      </c>
      <c r="O3699">
        <v>108</v>
      </c>
      <c r="P3699">
        <v>5.18</v>
      </c>
      <c r="Q3699">
        <v>11.1</v>
      </c>
      <c r="R3699">
        <v>6</v>
      </c>
      <c r="S3699">
        <v>3</v>
      </c>
      <c r="T3699">
        <v>1</v>
      </c>
      <c r="U3699" t="s">
        <v>22</v>
      </c>
      <c r="V3699" t="e">
        <f>IF(#REF! = "yes", 1, 0)</f>
        <v>#REF!</v>
      </c>
      <c r="W3699" t="e">
        <f>IF(#REF! &lt;= 1, "0-1 Calls", IF(#REF! &lt;= 3, "2-3 Calls", IF(#REF! &lt;=5, "4-5 Calls", "6+ Calls")))</f>
        <v>#REF!</v>
      </c>
      <c r="X3699" t="e">
        <f>IF(#REF! &lt;= 50, "0-50", IF(#REF! &lt;=100, "51-100", IF(#REF! &lt;= 150, "101-150", "151+")))</f>
        <v>#REF!</v>
      </c>
      <c r="Y3699" t="e">
        <f>IF(#REF! &lt;= 3, "Low Charges", "High Charges")</f>
        <v>#REF!</v>
      </c>
      <c r="Z3699" t="e">
        <f>IF(#REF!&lt;=80,"Low Calls",
IF(#REF!&lt;=120,"Medium Calls","High Calls"))</f>
        <v>#REF!</v>
      </c>
      <c r="AA3699" t="e">
        <f>IF(#REF!&lt;=15,"Low Charges",
IF(#REF!&lt;=20,"Medium Charges","High Charges"))</f>
        <v>#REF!</v>
      </c>
      <c r="AB3699" t="e">
        <f>IF(AND(#REF!&gt;180, #REF!&gt;200), "Heavy Doemstic User", IF(#REF!&gt;10, "Interntional User", IF(AND(#REF!&lt;180, #REF!&lt;200,#REF!&lt;200), "Light User", "Balanced User")))</f>
        <v>#REF!</v>
      </c>
      <c r="AC3699" t="e">
        <f>IF(#REF! = 0, "No Usage", IF(#REF! &lt;= 20, "Low Usage", IF(#REF! &lt;= 40, "Medium Usgae", "High Usage")))</f>
        <v>#REF!</v>
      </c>
      <c r="AD3699" t="e">
        <f>IF(#REF!&lt;=150,"Low Usage", IF(#REF!&lt;=200,"Medium Usage", IF(#REF!&lt;=250,"High Usage","Very High Usage")))</f>
        <v>#REF!</v>
      </c>
      <c r="AE3699" t="e">
        <f>IF(#REF!&lt;=5,"Low Calls", IF(#REF!&lt;=10, "Medium Calls", "High Calls"))</f>
        <v>#REF!</v>
      </c>
      <c r="AF3699" t="e">
        <f xml:space="preserve">
IF(#REF!&gt;=4,4,0)+
IF(#REF!="yes",3,0)+
IF(#REF!="High Charges",3,0)+
IF(#REF!&gt;250,4,0)+
IF(#REF!="no",1,0)+
IF(#REF!="Heavy Domestic User",2,0)</f>
        <v>#REF!</v>
      </c>
      <c r="AG3699" t="e">
        <f>IF(#REF!&gt;=10,"High Risk", IF(#REF!&gt;=5,"Medium Risk","Low Risk"))</f>
        <v>#REF!</v>
      </c>
      <c r="AH3699" t="e">
        <f>#REF! + #REF! + #REF! + #REF!</f>
        <v>#REF!</v>
      </c>
    </row>
    <row r="3700" spans="1:34" x14ac:dyDescent="0.35">
      <c r="A3700">
        <v>3699</v>
      </c>
      <c r="B3700" t="s">
        <v>68</v>
      </c>
      <c r="C3700">
        <v>12</v>
      </c>
      <c r="D3700" t="s">
        <v>25</v>
      </c>
      <c r="E3700" t="s">
        <v>22</v>
      </c>
      <c r="F3700" t="s">
        <v>22</v>
      </c>
      <c r="G3700">
        <v>0</v>
      </c>
      <c r="H3700">
        <v>239.7</v>
      </c>
      <c r="I3700">
        <v>112</v>
      </c>
      <c r="J3700">
        <v>40.75</v>
      </c>
      <c r="K3700">
        <v>221.1</v>
      </c>
      <c r="L3700">
        <v>122</v>
      </c>
      <c r="M3700">
        <v>18.79</v>
      </c>
      <c r="N3700">
        <v>207.3</v>
      </c>
      <c r="O3700">
        <v>109</v>
      </c>
      <c r="P3700">
        <v>9.33</v>
      </c>
      <c r="Q3700">
        <v>11.1</v>
      </c>
      <c r="R3700">
        <v>3</v>
      </c>
      <c r="S3700">
        <v>3</v>
      </c>
      <c r="T3700">
        <v>2</v>
      </c>
      <c r="U3700" t="s">
        <v>22</v>
      </c>
      <c r="V3700" t="e">
        <f>IF(#REF! = "yes", 1, 0)</f>
        <v>#REF!</v>
      </c>
      <c r="W3700" t="e">
        <f>IF(#REF! &lt;= 1, "0-1 Calls", IF(#REF! &lt;= 3, "2-3 Calls", IF(#REF! &lt;=5, "4-5 Calls", "6+ Calls")))</f>
        <v>#REF!</v>
      </c>
      <c r="X3700" t="e">
        <f>IF(#REF! &lt;= 50, "0-50", IF(#REF! &lt;=100, "51-100", IF(#REF! &lt;= 150, "101-150", "151+")))</f>
        <v>#REF!</v>
      </c>
      <c r="Y3700" t="e">
        <f>IF(#REF! &lt;= 3, "Low Charges", "High Charges")</f>
        <v>#REF!</v>
      </c>
      <c r="Z3700" t="e">
        <f>IF(#REF!&lt;=80,"Low Calls",
IF(#REF!&lt;=120,"Medium Calls","High Calls"))</f>
        <v>#REF!</v>
      </c>
      <c r="AA3700" t="e">
        <f>IF(#REF!&lt;=15,"Low Charges",
IF(#REF!&lt;=20,"Medium Charges","High Charges"))</f>
        <v>#REF!</v>
      </c>
      <c r="AB3700" t="e">
        <f>IF(AND(#REF!&gt;180, #REF!&gt;200), "Heavy Doemstic User", IF(#REF!&gt;10, "Interntional User", IF(AND(#REF!&lt;180, #REF!&lt;200,#REF!&lt;200), "Light User", "Balanced User")))</f>
        <v>#REF!</v>
      </c>
      <c r="AC3700" t="e">
        <f>IF(#REF! = 0, "No Usage", IF(#REF! &lt;= 20, "Low Usage", IF(#REF! &lt;= 40, "Medium Usgae", "High Usage")))</f>
        <v>#REF!</v>
      </c>
      <c r="AD3700" t="e">
        <f>IF(#REF!&lt;=150,"Low Usage", IF(#REF!&lt;=200,"Medium Usage", IF(#REF!&lt;=250,"High Usage","Very High Usage")))</f>
        <v>#REF!</v>
      </c>
      <c r="AE3700" t="e">
        <f>IF(#REF!&lt;=5,"Low Calls", IF(#REF!&lt;=10, "Medium Calls", "High Calls"))</f>
        <v>#REF!</v>
      </c>
      <c r="AF3700" t="e">
        <f xml:space="preserve">
IF(#REF!&gt;=4,4,0)+
IF(#REF!="yes",3,0)+
IF(#REF!="High Charges",3,0)+
IF(#REF!&gt;250,4,0)+
IF(#REF!="no",1,0)+
IF(#REF!="Heavy Domestic User",2,0)</f>
        <v>#REF!</v>
      </c>
      <c r="AG3700" t="e">
        <f>IF(#REF!&gt;=10,"High Risk", IF(#REF!&gt;=5,"Medium Risk","Low Risk"))</f>
        <v>#REF!</v>
      </c>
      <c r="AH3700" t="e">
        <f>#REF! + #REF! + #REF! + #REF!</f>
        <v>#REF!</v>
      </c>
    </row>
    <row r="3701" spans="1:34" x14ac:dyDescent="0.35">
      <c r="A3701">
        <v>3700</v>
      </c>
      <c r="B3701" t="s">
        <v>39</v>
      </c>
      <c r="C3701">
        <v>109</v>
      </c>
      <c r="D3701" t="s">
        <v>28</v>
      </c>
      <c r="E3701" t="s">
        <v>23</v>
      </c>
      <c r="F3701" t="s">
        <v>22</v>
      </c>
      <c r="G3701">
        <v>0</v>
      </c>
      <c r="H3701">
        <v>159.6</v>
      </c>
      <c r="I3701">
        <v>136</v>
      </c>
      <c r="J3701">
        <v>27.13</v>
      </c>
      <c r="K3701">
        <v>151</v>
      </c>
      <c r="L3701">
        <v>126</v>
      </c>
      <c r="M3701">
        <v>12.84</v>
      </c>
      <c r="N3701">
        <v>142.1</v>
      </c>
      <c r="O3701">
        <v>53</v>
      </c>
      <c r="P3701">
        <v>6.39</v>
      </c>
      <c r="Q3701">
        <v>7.3</v>
      </c>
      <c r="R3701">
        <v>4</v>
      </c>
      <c r="S3701">
        <v>1.97</v>
      </c>
      <c r="T3701">
        <v>4</v>
      </c>
      <c r="U3701" t="s">
        <v>23</v>
      </c>
      <c r="V3701" t="e">
        <f>IF(#REF! = "yes", 1, 0)</f>
        <v>#REF!</v>
      </c>
      <c r="W3701" t="e">
        <f>IF(#REF! &lt;= 1, "0-1 Calls", IF(#REF! &lt;= 3, "2-3 Calls", IF(#REF! &lt;=5, "4-5 Calls", "6+ Calls")))</f>
        <v>#REF!</v>
      </c>
      <c r="X3701" t="e">
        <f>IF(#REF! &lt;= 50, "0-50", IF(#REF! &lt;=100, "51-100", IF(#REF! &lt;= 150, "101-150", "151+")))</f>
        <v>#REF!</v>
      </c>
      <c r="Y3701" t="e">
        <f>IF(#REF! &lt;= 3, "Low Charges", "High Charges")</f>
        <v>#REF!</v>
      </c>
      <c r="Z3701" t="e">
        <f>IF(#REF!&lt;=80,"Low Calls",
IF(#REF!&lt;=120,"Medium Calls","High Calls"))</f>
        <v>#REF!</v>
      </c>
      <c r="AA3701" t="e">
        <f>IF(#REF!&lt;=15,"Low Charges",
IF(#REF!&lt;=20,"Medium Charges","High Charges"))</f>
        <v>#REF!</v>
      </c>
      <c r="AB3701" t="e">
        <f>IF(AND(#REF!&gt;180, #REF!&gt;200), "Heavy Doemstic User", IF(#REF!&gt;10, "Interntional User", IF(AND(#REF!&lt;180, #REF!&lt;200,#REF!&lt;200), "Light User", "Balanced User")))</f>
        <v>#REF!</v>
      </c>
      <c r="AC3701" t="e">
        <f>IF(#REF! = 0, "No Usage", IF(#REF! &lt;= 20, "Low Usage", IF(#REF! &lt;= 40, "Medium Usgae", "High Usage")))</f>
        <v>#REF!</v>
      </c>
      <c r="AD3701" t="e">
        <f>IF(#REF!&lt;=150,"Low Usage", IF(#REF!&lt;=200,"Medium Usage", IF(#REF!&lt;=250,"High Usage","Very High Usage")))</f>
        <v>#REF!</v>
      </c>
      <c r="AE3701" t="e">
        <f>IF(#REF!&lt;=5,"Low Calls", IF(#REF!&lt;=10, "Medium Calls", "High Calls"))</f>
        <v>#REF!</v>
      </c>
      <c r="AF3701" t="e">
        <f xml:space="preserve">
IF(#REF!&gt;=4,4,0)+
IF(#REF!="yes",3,0)+
IF(#REF!="High Charges",3,0)+
IF(#REF!&gt;250,4,0)+
IF(#REF!="no",1,0)+
IF(#REF!="Heavy Domestic User",2,0)</f>
        <v>#REF!</v>
      </c>
      <c r="AG3701" t="e">
        <f>IF(#REF!&gt;=10,"High Risk", IF(#REF!&gt;=5,"Medium Risk","Low Risk"))</f>
        <v>#REF!</v>
      </c>
      <c r="AH3701" t="e">
        <f>#REF! + #REF! + #REF! + #REF!</f>
        <v>#REF!</v>
      </c>
    </row>
    <row r="3702" spans="1:34" x14ac:dyDescent="0.35">
      <c r="A3702">
        <v>3701</v>
      </c>
      <c r="B3702" t="s">
        <v>74</v>
      </c>
      <c r="C3702">
        <v>142</v>
      </c>
      <c r="D3702" t="s">
        <v>28</v>
      </c>
      <c r="E3702" t="s">
        <v>22</v>
      </c>
      <c r="F3702" t="s">
        <v>23</v>
      </c>
      <c r="G3702">
        <v>38</v>
      </c>
      <c r="H3702">
        <v>231.2</v>
      </c>
      <c r="I3702">
        <v>125</v>
      </c>
      <c r="J3702">
        <v>39.299999999999997</v>
      </c>
      <c r="K3702">
        <v>174.8</v>
      </c>
      <c r="L3702">
        <v>121</v>
      </c>
      <c r="M3702">
        <v>14.86</v>
      </c>
      <c r="N3702">
        <v>171.2</v>
      </c>
      <c r="O3702">
        <v>87</v>
      </c>
      <c r="P3702">
        <v>7.7</v>
      </c>
      <c r="Q3702">
        <v>12.4</v>
      </c>
      <c r="R3702">
        <v>2</v>
      </c>
      <c r="S3702">
        <v>3.35</v>
      </c>
      <c r="T3702">
        <v>4</v>
      </c>
      <c r="U3702" t="s">
        <v>22</v>
      </c>
      <c r="V3702" t="e">
        <f>IF(#REF! = "yes", 1, 0)</f>
        <v>#REF!</v>
      </c>
      <c r="W3702" t="e">
        <f>IF(#REF! &lt;= 1, "0-1 Calls", IF(#REF! &lt;= 3, "2-3 Calls", IF(#REF! &lt;=5, "4-5 Calls", "6+ Calls")))</f>
        <v>#REF!</v>
      </c>
      <c r="X3702" t="e">
        <f>IF(#REF! &lt;= 50, "0-50", IF(#REF! &lt;=100, "51-100", IF(#REF! &lt;= 150, "101-150", "151+")))</f>
        <v>#REF!</v>
      </c>
      <c r="Y3702" t="e">
        <f>IF(#REF! &lt;= 3, "Low Charges", "High Charges")</f>
        <v>#REF!</v>
      </c>
      <c r="Z3702" t="e">
        <f>IF(#REF!&lt;=80,"Low Calls",
IF(#REF!&lt;=120,"Medium Calls","High Calls"))</f>
        <v>#REF!</v>
      </c>
      <c r="AA3702" t="e">
        <f>IF(#REF!&lt;=15,"Low Charges",
IF(#REF!&lt;=20,"Medium Charges","High Charges"))</f>
        <v>#REF!</v>
      </c>
      <c r="AB3702" t="e">
        <f>IF(AND(#REF!&gt;180, #REF!&gt;200), "Heavy Doemstic User", IF(#REF!&gt;10, "Interntional User", IF(AND(#REF!&lt;180, #REF!&lt;200,#REF!&lt;200), "Light User", "Balanced User")))</f>
        <v>#REF!</v>
      </c>
      <c r="AC3702" t="e">
        <f>IF(#REF! = 0, "No Usage", IF(#REF! &lt;= 20, "Low Usage", IF(#REF! &lt;= 40, "Medium Usgae", "High Usage")))</f>
        <v>#REF!</v>
      </c>
      <c r="AD3702" t="e">
        <f>IF(#REF!&lt;=150,"Low Usage", IF(#REF!&lt;=200,"Medium Usage", IF(#REF!&lt;=250,"High Usage","Very High Usage")))</f>
        <v>#REF!</v>
      </c>
      <c r="AE3702" t="e">
        <f>IF(#REF!&lt;=5,"Low Calls", IF(#REF!&lt;=10, "Medium Calls", "High Calls"))</f>
        <v>#REF!</v>
      </c>
      <c r="AF3702" t="e">
        <f xml:space="preserve">
IF(#REF!&gt;=4,4,0)+
IF(#REF!="yes",3,0)+
IF(#REF!="High Charges",3,0)+
IF(#REF!&gt;250,4,0)+
IF(#REF!="no",1,0)+
IF(#REF!="Heavy Domestic User",2,0)</f>
        <v>#REF!</v>
      </c>
      <c r="AG3702" t="e">
        <f>IF(#REF!&gt;=10,"High Risk", IF(#REF!&gt;=5,"Medium Risk","Low Risk"))</f>
        <v>#REF!</v>
      </c>
      <c r="AH3702" t="e">
        <f>#REF! + #REF! + #REF! + #REF!</f>
        <v>#REF!</v>
      </c>
    </row>
    <row r="3703" spans="1:34" x14ac:dyDescent="0.35">
      <c r="A3703">
        <v>3702</v>
      </c>
      <c r="B3703" t="s">
        <v>52</v>
      </c>
      <c r="C3703">
        <v>60</v>
      </c>
      <c r="D3703" t="s">
        <v>28</v>
      </c>
      <c r="E3703" t="s">
        <v>22</v>
      </c>
      <c r="F3703" t="s">
        <v>22</v>
      </c>
      <c r="G3703">
        <v>0</v>
      </c>
      <c r="H3703">
        <v>203.7</v>
      </c>
      <c r="I3703">
        <v>95</v>
      </c>
      <c r="J3703">
        <v>34.630000000000003</v>
      </c>
      <c r="K3703">
        <v>212.6</v>
      </c>
      <c r="L3703">
        <v>122</v>
      </c>
      <c r="M3703">
        <v>18.07</v>
      </c>
      <c r="N3703">
        <v>177.1</v>
      </c>
      <c r="O3703">
        <v>103</v>
      </c>
      <c r="P3703">
        <v>7.97</v>
      </c>
      <c r="Q3703">
        <v>7.9</v>
      </c>
      <c r="R3703">
        <v>1</v>
      </c>
      <c r="S3703">
        <v>2.13</v>
      </c>
      <c r="T3703">
        <v>3</v>
      </c>
      <c r="U3703" t="s">
        <v>22</v>
      </c>
      <c r="V3703" t="e">
        <f>IF(#REF! = "yes", 1, 0)</f>
        <v>#REF!</v>
      </c>
      <c r="W3703" t="e">
        <f>IF(#REF! &lt;= 1, "0-1 Calls", IF(#REF! &lt;= 3, "2-3 Calls", IF(#REF! &lt;=5, "4-5 Calls", "6+ Calls")))</f>
        <v>#REF!</v>
      </c>
      <c r="X3703" t="e">
        <f>IF(#REF! &lt;= 50, "0-50", IF(#REF! &lt;=100, "51-100", IF(#REF! &lt;= 150, "101-150", "151+")))</f>
        <v>#REF!</v>
      </c>
      <c r="Y3703" t="e">
        <f>IF(#REF! &lt;= 3, "Low Charges", "High Charges")</f>
        <v>#REF!</v>
      </c>
      <c r="Z3703" t="e">
        <f>IF(#REF!&lt;=80,"Low Calls",
IF(#REF!&lt;=120,"Medium Calls","High Calls"))</f>
        <v>#REF!</v>
      </c>
      <c r="AA3703" t="e">
        <f>IF(#REF!&lt;=15,"Low Charges",
IF(#REF!&lt;=20,"Medium Charges","High Charges"))</f>
        <v>#REF!</v>
      </c>
      <c r="AB3703" t="e">
        <f>IF(AND(#REF!&gt;180, #REF!&gt;200), "Heavy Doemstic User", IF(#REF!&gt;10, "Interntional User", IF(AND(#REF!&lt;180, #REF!&lt;200,#REF!&lt;200), "Light User", "Balanced User")))</f>
        <v>#REF!</v>
      </c>
      <c r="AC3703" t="e">
        <f>IF(#REF! = 0, "No Usage", IF(#REF! &lt;= 20, "Low Usage", IF(#REF! &lt;= 40, "Medium Usgae", "High Usage")))</f>
        <v>#REF!</v>
      </c>
      <c r="AD3703" t="e">
        <f>IF(#REF!&lt;=150,"Low Usage", IF(#REF!&lt;=200,"Medium Usage", IF(#REF!&lt;=250,"High Usage","Very High Usage")))</f>
        <v>#REF!</v>
      </c>
      <c r="AE3703" t="e">
        <f>IF(#REF!&lt;=5,"Low Calls", IF(#REF!&lt;=10, "Medium Calls", "High Calls"))</f>
        <v>#REF!</v>
      </c>
      <c r="AF3703" t="e">
        <f xml:space="preserve">
IF(#REF!&gt;=4,4,0)+
IF(#REF!="yes",3,0)+
IF(#REF!="High Charges",3,0)+
IF(#REF!&gt;250,4,0)+
IF(#REF!="no",1,0)+
IF(#REF!="Heavy Domestic User",2,0)</f>
        <v>#REF!</v>
      </c>
      <c r="AG3703" t="e">
        <f>IF(#REF!&gt;=10,"High Risk", IF(#REF!&gt;=5,"Medium Risk","Low Risk"))</f>
        <v>#REF!</v>
      </c>
      <c r="AH3703" t="e">
        <f>#REF! + #REF! + #REF! + #REF!</f>
        <v>#REF!</v>
      </c>
    </row>
    <row r="3704" spans="1:34" x14ac:dyDescent="0.35">
      <c r="A3704">
        <v>3703</v>
      </c>
      <c r="B3704" t="s">
        <v>32</v>
      </c>
      <c r="C3704">
        <v>168</v>
      </c>
      <c r="D3704" t="s">
        <v>21</v>
      </c>
      <c r="E3704" t="s">
        <v>22</v>
      </c>
      <c r="F3704" t="s">
        <v>22</v>
      </c>
      <c r="G3704">
        <v>0</v>
      </c>
      <c r="H3704">
        <v>160.6</v>
      </c>
      <c r="I3704">
        <v>110</v>
      </c>
      <c r="J3704">
        <v>27.3</v>
      </c>
      <c r="K3704">
        <v>185.2</v>
      </c>
      <c r="L3704">
        <v>120</v>
      </c>
      <c r="M3704">
        <v>15.74</v>
      </c>
      <c r="N3704">
        <v>120.2</v>
      </c>
      <c r="O3704">
        <v>104</v>
      </c>
      <c r="P3704">
        <v>5.41</v>
      </c>
      <c r="Q3704">
        <v>9.1</v>
      </c>
      <c r="R3704">
        <v>4</v>
      </c>
      <c r="S3704">
        <v>2.46</v>
      </c>
      <c r="T3704">
        <v>1</v>
      </c>
      <c r="U3704" t="s">
        <v>23</v>
      </c>
      <c r="V3704" t="e">
        <f>IF(#REF! = "yes", 1, 0)</f>
        <v>#REF!</v>
      </c>
      <c r="W3704" t="e">
        <f>IF(#REF! &lt;= 1, "0-1 Calls", IF(#REF! &lt;= 3, "2-3 Calls", IF(#REF! &lt;=5, "4-5 Calls", "6+ Calls")))</f>
        <v>#REF!</v>
      </c>
      <c r="X3704" t="e">
        <f>IF(#REF! &lt;= 50, "0-50", IF(#REF! &lt;=100, "51-100", IF(#REF! &lt;= 150, "101-150", "151+")))</f>
        <v>#REF!</v>
      </c>
      <c r="Y3704" t="e">
        <f>IF(#REF! &lt;= 3, "Low Charges", "High Charges")</f>
        <v>#REF!</v>
      </c>
      <c r="Z3704" t="e">
        <f>IF(#REF!&lt;=80,"Low Calls",
IF(#REF!&lt;=120,"Medium Calls","High Calls"))</f>
        <v>#REF!</v>
      </c>
      <c r="AA3704" t="e">
        <f>IF(#REF!&lt;=15,"Low Charges",
IF(#REF!&lt;=20,"Medium Charges","High Charges"))</f>
        <v>#REF!</v>
      </c>
      <c r="AB3704" t="e">
        <f>IF(AND(#REF!&gt;180, #REF!&gt;200), "Heavy Doemstic User", IF(#REF!&gt;10, "Interntional User", IF(AND(#REF!&lt;180, #REF!&lt;200,#REF!&lt;200), "Light User", "Balanced User")))</f>
        <v>#REF!</v>
      </c>
      <c r="AC3704" t="e">
        <f>IF(#REF! = 0, "No Usage", IF(#REF! &lt;= 20, "Low Usage", IF(#REF! &lt;= 40, "Medium Usgae", "High Usage")))</f>
        <v>#REF!</v>
      </c>
      <c r="AD3704" t="e">
        <f>IF(#REF!&lt;=150,"Low Usage", IF(#REF!&lt;=200,"Medium Usage", IF(#REF!&lt;=250,"High Usage","Very High Usage")))</f>
        <v>#REF!</v>
      </c>
      <c r="AE3704" t="e">
        <f>IF(#REF!&lt;=5,"Low Calls", IF(#REF!&lt;=10, "Medium Calls", "High Calls"))</f>
        <v>#REF!</v>
      </c>
      <c r="AF3704" t="e">
        <f xml:space="preserve">
IF(#REF!&gt;=4,4,0)+
IF(#REF!="yes",3,0)+
IF(#REF!="High Charges",3,0)+
IF(#REF!&gt;250,4,0)+
IF(#REF!="no",1,0)+
IF(#REF!="Heavy Domestic User",2,0)</f>
        <v>#REF!</v>
      </c>
      <c r="AG3704" t="e">
        <f>IF(#REF!&gt;=10,"High Risk", IF(#REF!&gt;=5,"Medium Risk","Low Risk"))</f>
        <v>#REF!</v>
      </c>
      <c r="AH3704" t="e">
        <f>#REF! + #REF! + #REF! + #REF!</f>
        <v>#REF!</v>
      </c>
    </row>
    <row r="3705" spans="1:34" x14ac:dyDescent="0.35">
      <c r="A3705">
        <v>3704</v>
      </c>
      <c r="B3705" t="s">
        <v>36</v>
      </c>
      <c r="C3705">
        <v>138</v>
      </c>
      <c r="D3705" t="s">
        <v>21</v>
      </c>
      <c r="E3705" t="s">
        <v>23</v>
      </c>
      <c r="F3705" t="s">
        <v>22</v>
      </c>
      <c r="G3705">
        <v>0</v>
      </c>
      <c r="H3705">
        <v>261.10000000000002</v>
      </c>
      <c r="I3705">
        <v>96</v>
      </c>
      <c r="J3705">
        <v>44.39</v>
      </c>
      <c r="K3705">
        <v>170.9</v>
      </c>
      <c r="L3705">
        <v>120</v>
      </c>
      <c r="M3705">
        <v>14.53</v>
      </c>
      <c r="N3705">
        <v>71.099999999999994</v>
      </c>
      <c r="O3705">
        <v>89</v>
      </c>
      <c r="P3705">
        <v>3.2</v>
      </c>
      <c r="Q3705">
        <v>0</v>
      </c>
      <c r="R3705">
        <v>0</v>
      </c>
      <c r="S3705">
        <v>0</v>
      </c>
      <c r="T3705">
        <v>3</v>
      </c>
      <c r="U3705" t="s">
        <v>23</v>
      </c>
      <c r="V3705" t="e">
        <f>IF(#REF! = "yes", 1, 0)</f>
        <v>#REF!</v>
      </c>
      <c r="W3705" t="e">
        <f>IF(#REF! &lt;= 1, "0-1 Calls", IF(#REF! &lt;= 3, "2-3 Calls", IF(#REF! &lt;=5, "4-5 Calls", "6+ Calls")))</f>
        <v>#REF!</v>
      </c>
      <c r="X3705" t="e">
        <f>IF(#REF! &lt;= 50, "0-50", IF(#REF! &lt;=100, "51-100", IF(#REF! &lt;= 150, "101-150", "151+")))</f>
        <v>#REF!</v>
      </c>
      <c r="Y3705" t="e">
        <f>IF(#REF! &lt;= 3, "Low Charges", "High Charges")</f>
        <v>#REF!</v>
      </c>
      <c r="Z3705" t="e">
        <f>IF(#REF!&lt;=80,"Low Calls",
IF(#REF!&lt;=120,"Medium Calls","High Calls"))</f>
        <v>#REF!</v>
      </c>
      <c r="AA3705" t="e">
        <f>IF(#REF!&lt;=15,"Low Charges",
IF(#REF!&lt;=20,"Medium Charges","High Charges"))</f>
        <v>#REF!</v>
      </c>
      <c r="AB3705" t="e">
        <f>IF(AND(#REF!&gt;180, #REF!&gt;200), "Heavy Doemstic User", IF(#REF!&gt;10, "Interntional User", IF(AND(#REF!&lt;180, #REF!&lt;200,#REF!&lt;200), "Light User", "Balanced User")))</f>
        <v>#REF!</v>
      </c>
      <c r="AC3705" t="e">
        <f>IF(#REF! = 0, "No Usage", IF(#REF! &lt;= 20, "Low Usage", IF(#REF! &lt;= 40, "Medium Usgae", "High Usage")))</f>
        <v>#REF!</v>
      </c>
      <c r="AD3705" t="e">
        <f>IF(#REF!&lt;=150,"Low Usage", IF(#REF!&lt;=200,"Medium Usage", IF(#REF!&lt;=250,"High Usage","Very High Usage")))</f>
        <v>#REF!</v>
      </c>
      <c r="AE3705" t="e">
        <f>IF(#REF!&lt;=5,"Low Calls", IF(#REF!&lt;=10, "Medium Calls", "High Calls"))</f>
        <v>#REF!</v>
      </c>
      <c r="AF3705" t="e">
        <f xml:space="preserve">
IF(#REF!&gt;=4,4,0)+
IF(#REF!="yes",3,0)+
IF(#REF!="High Charges",3,0)+
IF(#REF!&gt;250,4,0)+
IF(#REF!="no",1,0)+
IF(#REF!="Heavy Domestic User",2,0)</f>
        <v>#REF!</v>
      </c>
      <c r="AG3705" t="e">
        <f>IF(#REF!&gt;=10,"High Risk", IF(#REF!&gt;=5,"Medium Risk","Low Risk"))</f>
        <v>#REF!</v>
      </c>
      <c r="AH3705" t="e">
        <f>#REF! + #REF! + #REF! + #REF!</f>
        <v>#REF!</v>
      </c>
    </row>
    <row r="3706" spans="1:34" x14ac:dyDescent="0.35">
      <c r="A3706">
        <v>3705</v>
      </c>
      <c r="B3706" t="s">
        <v>44</v>
      </c>
      <c r="C3706">
        <v>88</v>
      </c>
      <c r="D3706" t="s">
        <v>21</v>
      </c>
      <c r="E3706" t="s">
        <v>22</v>
      </c>
      <c r="F3706" t="s">
        <v>22</v>
      </c>
      <c r="G3706">
        <v>0</v>
      </c>
      <c r="H3706">
        <v>138.69999999999999</v>
      </c>
      <c r="I3706">
        <v>92</v>
      </c>
      <c r="J3706">
        <v>23.58</v>
      </c>
      <c r="K3706">
        <v>205.8</v>
      </c>
      <c r="L3706">
        <v>73</v>
      </c>
      <c r="M3706">
        <v>17.489999999999998</v>
      </c>
      <c r="N3706">
        <v>247.9</v>
      </c>
      <c r="O3706">
        <v>119</v>
      </c>
      <c r="P3706">
        <v>11.16</v>
      </c>
      <c r="Q3706">
        <v>9.8000000000000007</v>
      </c>
      <c r="R3706">
        <v>5</v>
      </c>
      <c r="S3706">
        <v>2.65</v>
      </c>
      <c r="T3706">
        <v>1</v>
      </c>
      <c r="U3706" t="s">
        <v>22</v>
      </c>
      <c r="V3706" t="e">
        <f>IF(#REF! = "yes", 1, 0)</f>
        <v>#REF!</v>
      </c>
      <c r="W3706" t="e">
        <f>IF(#REF! &lt;= 1, "0-1 Calls", IF(#REF! &lt;= 3, "2-3 Calls", IF(#REF! &lt;=5, "4-5 Calls", "6+ Calls")))</f>
        <v>#REF!</v>
      </c>
      <c r="X3706" t="e">
        <f>IF(#REF! &lt;= 50, "0-50", IF(#REF! &lt;=100, "51-100", IF(#REF! &lt;= 150, "101-150", "151+")))</f>
        <v>#REF!</v>
      </c>
      <c r="Y3706" t="e">
        <f>IF(#REF! &lt;= 3, "Low Charges", "High Charges")</f>
        <v>#REF!</v>
      </c>
      <c r="Z3706" t="e">
        <f>IF(#REF!&lt;=80,"Low Calls",
IF(#REF!&lt;=120,"Medium Calls","High Calls"))</f>
        <v>#REF!</v>
      </c>
      <c r="AA3706" t="e">
        <f>IF(#REF!&lt;=15,"Low Charges",
IF(#REF!&lt;=20,"Medium Charges","High Charges"))</f>
        <v>#REF!</v>
      </c>
      <c r="AB3706" t="e">
        <f>IF(AND(#REF!&gt;180, #REF!&gt;200), "Heavy Doemstic User", IF(#REF!&gt;10, "Interntional User", IF(AND(#REF!&lt;180, #REF!&lt;200,#REF!&lt;200), "Light User", "Balanced User")))</f>
        <v>#REF!</v>
      </c>
      <c r="AC3706" t="e">
        <f>IF(#REF! = 0, "No Usage", IF(#REF! &lt;= 20, "Low Usage", IF(#REF! &lt;= 40, "Medium Usgae", "High Usage")))</f>
        <v>#REF!</v>
      </c>
      <c r="AD3706" t="e">
        <f>IF(#REF!&lt;=150,"Low Usage", IF(#REF!&lt;=200,"Medium Usage", IF(#REF!&lt;=250,"High Usage","Very High Usage")))</f>
        <v>#REF!</v>
      </c>
      <c r="AE3706" t="e">
        <f>IF(#REF!&lt;=5,"Low Calls", IF(#REF!&lt;=10, "Medium Calls", "High Calls"))</f>
        <v>#REF!</v>
      </c>
      <c r="AF3706" t="e">
        <f xml:space="preserve">
IF(#REF!&gt;=4,4,0)+
IF(#REF!="yes",3,0)+
IF(#REF!="High Charges",3,0)+
IF(#REF!&gt;250,4,0)+
IF(#REF!="no",1,0)+
IF(#REF!="Heavy Domestic User",2,0)</f>
        <v>#REF!</v>
      </c>
      <c r="AG3706" t="e">
        <f>IF(#REF!&gt;=10,"High Risk", IF(#REF!&gt;=5,"Medium Risk","Low Risk"))</f>
        <v>#REF!</v>
      </c>
      <c r="AH3706" t="e">
        <f>#REF! + #REF! + #REF! + #REF!</f>
        <v>#REF!</v>
      </c>
    </row>
    <row r="3707" spans="1:34" x14ac:dyDescent="0.35">
      <c r="A3707">
        <v>3706</v>
      </c>
      <c r="B3707" t="s">
        <v>51</v>
      </c>
      <c r="C3707">
        <v>119</v>
      </c>
      <c r="D3707" t="s">
        <v>21</v>
      </c>
      <c r="E3707" t="s">
        <v>22</v>
      </c>
      <c r="F3707" t="s">
        <v>22</v>
      </c>
      <c r="G3707">
        <v>0</v>
      </c>
      <c r="H3707">
        <v>226.6</v>
      </c>
      <c r="I3707">
        <v>126</v>
      </c>
      <c r="J3707">
        <v>38.520000000000003</v>
      </c>
      <c r="K3707">
        <v>143.6</v>
      </c>
      <c r="L3707">
        <v>107</v>
      </c>
      <c r="M3707">
        <v>12.21</v>
      </c>
      <c r="N3707">
        <v>94.9</v>
      </c>
      <c r="O3707">
        <v>123</v>
      </c>
      <c r="P3707">
        <v>4.2699999999999996</v>
      </c>
      <c r="Q3707">
        <v>12.1</v>
      </c>
      <c r="R3707">
        <v>5</v>
      </c>
      <c r="S3707">
        <v>3.27</v>
      </c>
      <c r="T3707">
        <v>1</v>
      </c>
      <c r="U3707" t="s">
        <v>22</v>
      </c>
      <c r="V3707" t="e">
        <f>IF(#REF! = "yes", 1, 0)</f>
        <v>#REF!</v>
      </c>
      <c r="W3707" t="e">
        <f>IF(#REF! &lt;= 1, "0-1 Calls", IF(#REF! &lt;= 3, "2-3 Calls", IF(#REF! &lt;=5, "4-5 Calls", "6+ Calls")))</f>
        <v>#REF!</v>
      </c>
      <c r="X3707" t="e">
        <f>IF(#REF! &lt;= 50, "0-50", IF(#REF! &lt;=100, "51-100", IF(#REF! &lt;= 150, "101-150", "151+")))</f>
        <v>#REF!</v>
      </c>
      <c r="Y3707" t="e">
        <f>IF(#REF! &lt;= 3, "Low Charges", "High Charges")</f>
        <v>#REF!</v>
      </c>
      <c r="Z3707" t="e">
        <f>IF(#REF!&lt;=80,"Low Calls",
IF(#REF!&lt;=120,"Medium Calls","High Calls"))</f>
        <v>#REF!</v>
      </c>
      <c r="AA3707" t="e">
        <f>IF(#REF!&lt;=15,"Low Charges",
IF(#REF!&lt;=20,"Medium Charges","High Charges"))</f>
        <v>#REF!</v>
      </c>
      <c r="AB3707" t="e">
        <f>IF(AND(#REF!&gt;180, #REF!&gt;200), "Heavy Doemstic User", IF(#REF!&gt;10, "Interntional User", IF(AND(#REF!&lt;180, #REF!&lt;200,#REF!&lt;200), "Light User", "Balanced User")))</f>
        <v>#REF!</v>
      </c>
      <c r="AC3707" t="e">
        <f>IF(#REF! = 0, "No Usage", IF(#REF! &lt;= 20, "Low Usage", IF(#REF! &lt;= 40, "Medium Usgae", "High Usage")))</f>
        <v>#REF!</v>
      </c>
      <c r="AD3707" t="e">
        <f>IF(#REF!&lt;=150,"Low Usage", IF(#REF!&lt;=200,"Medium Usage", IF(#REF!&lt;=250,"High Usage","Very High Usage")))</f>
        <v>#REF!</v>
      </c>
      <c r="AE3707" t="e">
        <f>IF(#REF!&lt;=5,"Low Calls", IF(#REF!&lt;=10, "Medium Calls", "High Calls"))</f>
        <v>#REF!</v>
      </c>
      <c r="AF3707" t="e">
        <f xml:space="preserve">
IF(#REF!&gt;=4,4,0)+
IF(#REF!="yes",3,0)+
IF(#REF!="High Charges",3,0)+
IF(#REF!&gt;250,4,0)+
IF(#REF!="no",1,0)+
IF(#REF!="Heavy Domestic User",2,0)</f>
        <v>#REF!</v>
      </c>
      <c r="AG3707" t="e">
        <f>IF(#REF!&gt;=10,"High Risk", IF(#REF!&gt;=5,"Medium Risk","Low Risk"))</f>
        <v>#REF!</v>
      </c>
      <c r="AH3707" t="e">
        <f>#REF! + #REF! + #REF! + #REF!</f>
        <v>#REF!</v>
      </c>
    </row>
    <row r="3708" spans="1:34" x14ac:dyDescent="0.35">
      <c r="A3708">
        <v>3707</v>
      </c>
      <c r="B3708" t="s">
        <v>54</v>
      </c>
      <c r="C3708">
        <v>31</v>
      </c>
      <c r="D3708" t="s">
        <v>25</v>
      </c>
      <c r="E3708" t="s">
        <v>22</v>
      </c>
      <c r="F3708" t="s">
        <v>22</v>
      </c>
      <c r="G3708">
        <v>0</v>
      </c>
      <c r="H3708">
        <v>229.1</v>
      </c>
      <c r="I3708">
        <v>120</v>
      </c>
      <c r="J3708">
        <v>38.950000000000003</v>
      </c>
      <c r="K3708">
        <v>172.4</v>
      </c>
      <c r="L3708">
        <v>79</v>
      </c>
      <c r="M3708">
        <v>14.65</v>
      </c>
      <c r="N3708">
        <v>243.6</v>
      </c>
      <c r="O3708">
        <v>102</v>
      </c>
      <c r="P3708">
        <v>10.96</v>
      </c>
      <c r="Q3708">
        <v>11</v>
      </c>
      <c r="R3708">
        <v>4</v>
      </c>
      <c r="S3708">
        <v>2.97</v>
      </c>
      <c r="T3708">
        <v>3</v>
      </c>
      <c r="U3708" t="s">
        <v>22</v>
      </c>
      <c r="V3708" t="e">
        <f>IF(#REF! = "yes", 1, 0)</f>
        <v>#REF!</v>
      </c>
      <c r="W3708" t="e">
        <f>IF(#REF! &lt;= 1, "0-1 Calls", IF(#REF! &lt;= 3, "2-3 Calls", IF(#REF! &lt;=5, "4-5 Calls", "6+ Calls")))</f>
        <v>#REF!</v>
      </c>
      <c r="X3708" t="e">
        <f>IF(#REF! &lt;= 50, "0-50", IF(#REF! &lt;=100, "51-100", IF(#REF! &lt;= 150, "101-150", "151+")))</f>
        <v>#REF!</v>
      </c>
      <c r="Y3708" t="e">
        <f>IF(#REF! &lt;= 3, "Low Charges", "High Charges")</f>
        <v>#REF!</v>
      </c>
      <c r="Z3708" t="e">
        <f>IF(#REF!&lt;=80,"Low Calls",
IF(#REF!&lt;=120,"Medium Calls","High Calls"))</f>
        <v>#REF!</v>
      </c>
      <c r="AA3708" t="e">
        <f>IF(#REF!&lt;=15,"Low Charges",
IF(#REF!&lt;=20,"Medium Charges","High Charges"))</f>
        <v>#REF!</v>
      </c>
      <c r="AB3708" t="e">
        <f>IF(AND(#REF!&gt;180, #REF!&gt;200), "Heavy Doemstic User", IF(#REF!&gt;10, "Interntional User", IF(AND(#REF!&lt;180, #REF!&lt;200,#REF!&lt;200), "Light User", "Balanced User")))</f>
        <v>#REF!</v>
      </c>
      <c r="AC3708" t="e">
        <f>IF(#REF! = 0, "No Usage", IF(#REF! &lt;= 20, "Low Usage", IF(#REF! &lt;= 40, "Medium Usgae", "High Usage")))</f>
        <v>#REF!</v>
      </c>
      <c r="AD3708" t="e">
        <f>IF(#REF!&lt;=150,"Low Usage", IF(#REF!&lt;=200,"Medium Usage", IF(#REF!&lt;=250,"High Usage","Very High Usage")))</f>
        <v>#REF!</v>
      </c>
      <c r="AE3708" t="e">
        <f>IF(#REF!&lt;=5,"Low Calls", IF(#REF!&lt;=10, "Medium Calls", "High Calls"))</f>
        <v>#REF!</v>
      </c>
      <c r="AF3708" t="e">
        <f xml:space="preserve">
IF(#REF!&gt;=4,4,0)+
IF(#REF!="yes",3,0)+
IF(#REF!="High Charges",3,0)+
IF(#REF!&gt;250,4,0)+
IF(#REF!="no",1,0)+
IF(#REF!="Heavy Domestic User",2,0)</f>
        <v>#REF!</v>
      </c>
      <c r="AG3708" t="e">
        <f>IF(#REF!&gt;=10,"High Risk", IF(#REF!&gt;=5,"Medium Risk","Low Risk"))</f>
        <v>#REF!</v>
      </c>
      <c r="AH3708" t="e">
        <f>#REF! + #REF! + #REF! + #REF!</f>
        <v>#REF!</v>
      </c>
    </row>
    <row r="3709" spans="1:34" x14ac:dyDescent="0.35">
      <c r="A3709">
        <v>3708</v>
      </c>
      <c r="B3709" t="s">
        <v>71</v>
      </c>
      <c r="C3709">
        <v>102</v>
      </c>
      <c r="D3709" t="s">
        <v>25</v>
      </c>
      <c r="E3709" t="s">
        <v>22</v>
      </c>
      <c r="F3709" t="s">
        <v>22</v>
      </c>
      <c r="G3709">
        <v>0</v>
      </c>
      <c r="H3709">
        <v>157.4</v>
      </c>
      <c r="I3709">
        <v>83</v>
      </c>
      <c r="J3709">
        <v>26.76</v>
      </c>
      <c r="K3709">
        <v>47.3</v>
      </c>
      <c r="L3709">
        <v>102</v>
      </c>
      <c r="M3709">
        <v>4.0199999999999996</v>
      </c>
      <c r="N3709">
        <v>160.4</v>
      </c>
      <c r="O3709">
        <v>92</v>
      </c>
      <c r="P3709">
        <v>7.22</v>
      </c>
      <c r="Q3709">
        <v>11.4</v>
      </c>
      <c r="R3709">
        <v>5</v>
      </c>
      <c r="S3709">
        <v>3.08</v>
      </c>
      <c r="T3709">
        <v>0</v>
      </c>
      <c r="U3709" t="s">
        <v>22</v>
      </c>
      <c r="V3709" t="e">
        <f>IF(#REF! = "yes", 1, 0)</f>
        <v>#REF!</v>
      </c>
      <c r="W3709" t="e">
        <f>IF(#REF! &lt;= 1, "0-1 Calls", IF(#REF! &lt;= 3, "2-3 Calls", IF(#REF! &lt;=5, "4-5 Calls", "6+ Calls")))</f>
        <v>#REF!</v>
      </c>
      <c r="X3709" t="e">
        <f>IF(#REF! &lt;= 50, "0-50", IF(#REF! &lt;=100, "51-100", IF(#REF! &lt;= 150, "101-150", "151+")))</f>
        <v>#REF!</v>
      </c>
      <c r="Y3709" t="e">
        <f>IF(#REF! &lt;= 3, "Low Charges", "High Charges")</f>
        <v>#REF!</v>
      </c>
      <c r="Z3709" t="e">
        <f>IF(#REF!&lt;=80,"Low Calls",
IF(#REF!&lt;=120,"Medium Calls","High Calls"))</f>
        <v>#REF!</v>
      </c>
      <c r="AA3709" t="e">
        <f>IF(#REF!&lt;=15,"Low Charges",
IF(#REF!&lt;=20,"Medium Charges","High Charges"))</f>
        <v>#REF!</v>
      </c>
      <c r="AB3709" t="e">
        <f>IF(AND(#REF!&gt;180, #REF!&gt;200), "Heavy Doemstic User", IF(#REF!&gt;10, "Interntional User", IF(AND(#REF!&lt;180, #REF!&lt;200,#REF!&lt;200), "Light User", "Balanced User")))</f>
        <v>#REF!</v>
      </c>
      <c r="AC3709" t="e">
        <f>IF(#REF! = 0, "No Usage", IF(#REF! &lt;= 20, "Low Usage", IF(#REF! &lt;= 40, "Medium Usgae", "High Usage")))</f>
        <v>#REF!</v>
      </c>
      <c r="AD3709" t="e">
        <f>IF(#REF!&lt;=150,"Low Usage", IF(#REF!&lt;=200,"Medium Usage", IF(#REF!&lt;=250,"High Usage","Very High Usage")))</f>
        <v>#REF!</v>
      </c>
      <c r="AE3709" t="e">
        <f>IF(#REF!&lt;=5,"Low Calls", IF(#REF!&lt;=10, "Medium Calls", "High Calls"))</f>
        <v>#REF!</v>
      </c>
      <c r="AF3709" t="e">
        <f xml:space="preserve">
IF(#REF!&gt;=4,4,0)+
IF(#REF!="yes",3,0)+
IF(#REF!="High Charges",3,0)+
IF(#REF!&gt;250,4,0)+
IF(#REF!="no",1,0)+
IF(#REF!="Heavy Domestic User",2,0)</f>
        <v>#REF!</v>
      </c>
      <c r="AG3709" t="e">
        <f>IF(#REF!&gt;=10,"High Risk", IF(#REF!&gt;=5,"Medium Risk","Low Risk"))</f>
        <v>#REF!</v>
      </c>
      <c r="AH3709" t="e">
        <f>#REF! + #REF! + #REF! + #REF!</f>
        <v>#REF!</v>
      </c>
    </row>
    <row r="3710" spans="1:34" x14ac:dyDescent="0.35">
      <c r="A3710">
        <v>3709</v>
      </c>
      <c r="B3710" t="s">
        <v>63</v>
      </c>
      <c r="C3710">
        <v>149</v>
      </c>
      <c r="D3710" t="s">
        <v>21</v>
      </c>
      <c r="E3710" t="s">
        <v>22</v>
      </c>
      <c r="F3710" t="s">
        <v>23</v>
      </c>
      <c r="G3710">
        <v>25</v>
      </c>
      <c r="H3710">
        <v>185.6</v>
      </c>
      <c r="I3710">
        <v>109</v>
      </c>
      <c r="J3710">
        <v>31.55</v>
      </c>
      <c r="K3710">
        <v>167.3</v>
      </c>
      <c r="L3710">
        <v>89</v>
      </c>
      <c r="M3710">
        <v>14.22</v>
      </c>
      <c r="N3710">
        <v>171.6</v>
      </c>
      <c r="O3710">
        <v>100</v>
      </c>
      <c r="P3710">
        <v>7.72</v>
      </c>
      <c r="Q3710">
        <v>10.7</v>
      </c>
      <c r="R3710">
        <v>3</v>
      </c>
      <c r="S3710">
        <v>2.89</v>
      </c>
      <c r="T3710">
        <v>1</v>
      </c>
      <c r="U3710" t="s">
        <v>23</v>
      </c>
      <c r="V3710" t="e">
        <f>IF(#REF! = "yes", 1, 0)</f>
        <v>#REF!</v>
      </c>
      <c r="W3710" t="e">
        <f>IF(#REF! &lt;= 1, "0-1 Calls", IF(#REF! &lt;= 3, "2-3 Calls", IF(#REF! &lt;=5, "4-5 Calls", "6+ Calls")))</f>
        <v>#REF!</v>
      </c>
      <c r="X3710" t="e">
        <f>IF(#REF! &lt;= 50, "0-50", IF(#REF! &lt;=100, "51-100", IF(#REF! &lt;= 150, "101-150", "151+")))</f>
        <v>#REF!</v>
      </c>
      <c r="Y3710" t="e">
        <f>IF(#REF! &lt;= 3, "Low Charges", "High Charges")</f>
        <v>#REF!</v>
      </c>
      <c r="Z3710" t="e">
        <f>IF(#REF!&lt;=80,"Low Calls",
IF(#REF!&lt;=120,"Medium Calls","High Calls"))</f>
        <v>#REF!</v>
      </c>
      <c r="AA3710" t="e">
        <f>IF(#REF!&lt;=15,"Low Charges",
IF(#REF!&lt;=20,"Medium Charges","High Charges"))</f>
        <v>#REF!</v>
      </c>
      <c r="AB3710" t="e">
        <f>IF(AND(#REF!&gt;180, #REF!&gt;200), "Heavy Doemstic User", IF(#REF!&gt;10, "Interntional User", IF(AND(#REF!&lt;180, #REF!&lt;200,#REF!&lt;200), "Light User", "Balanced User")))</f>
        <v>#REF!</v>
      </c>
      <c r="AC3710" t="e">
        <f>IF(#REF! = 0, "No Usage", IF(#REF! &lt;= 20, "Low Usage", IF(#REF! &lt;= 40, "Medium Usgae", "High Usage")))</f>
        <v>#REF!</v>
      </c>
      <c r="AD3710" t="e">
        <f>IF(#REF!&lt;=150,"Low Usage", IF(#REF!&lt;=200,"Medium Usage", IF(#REF!&lt;=250,"High Usage","Very High Usage")))</f>
        <v>#REF!</v>
      </c>
      <c r="AE3710" t="e">
        <f>IF(#REF!&lt;=5,"Low Calls", IF(#REF!&lt;=10, "Medium Calls", "High Calls"))</f>
        <v>#REF!</v>
      </c>
      <c r="AF3710" t="e">
        <f xml:space="preserve">
IF(#REF!&gt;=4,4,0)+
IF(#REF!="yes",3,0)+
IF(#REF!="High Charges",3,0)+
IF(#REF!&gt;250,4,0)+
IF(#REF!="no",1,0)+
IF(#REF!="Heavy Domestic User",2,0)</f>
        <v>#REF!</v>
      </c>
      <c r="AG3710" t="e">
        <f>IF(#REF!&gt;=10,"High Risk", IF(#REF!&gt;=5,"Medium Risk","Low Risk"))</f>
        <v>#REF!</v>
      </c>
      <c r="AH3710" t="e">
        <f>#REF! + #REF! + #REF! + #REF!</f>
        <v>#REF!</v>
      </c>
    </row>
    <row r="3711" spans="1:34" x14ac:dyDescent="0.35">
      <c r="A3711">
        <v>3710</v>
      </c>
      <c r="B3711" t="s">
        <v>39</v>
      </c>
      <c r="C3711">
        <v>138</v>
      </c>
      <c r="D3711" t="s">
        <v>21</v>
      </c>
      <c r="E3711" t="s">
        <v>22</v>
      </c>
      <c r="F3711" t="s">
        <v>22</v>
      </c>
      <c r="G3711">
        <v>0</v>
      </c>
      <c r="H3711">
        <v>217.2</v>
      </c>
      <c r="I3711">
        <v>73</v>
      </c>
      <c r="J3711">
        <v>36.92</v>
      </c>
      <c r="K3711">
        <v>190.8</v>
      </c>
      <c r="L3711">
        <v>127</v>
      </c>
      <c r="M3711">
        <v>16.22</v>
      </c>
      <c r="N3711">
        <v>133.5</v>
      </c>
      <c r="O3711">
        <v>97</v>
      </c>
      <c r="P3711">
        <v>6.01</v>
      </c>
      <c r="Q3711">
        <v>5.2</v>
      </c>
      <c r="R3711">
        <v>3</v>
      </c>
      <c r="S3711">
        <v>1.4</v>
      </c>
      <c r="T3711">
        <v>4</v>
      </c>
      <c r="U3711" t="s">
        <v>22</v>
      </c>
      <c r="V3711" t="e">
        <f>IF(#REF! = "yes", 1, 0)</f>
        <v>#REF!</v>
      </c>
      <c r="W3711" t="e">
        <f>IF(#REF! &lt;= 1, "0-1 Calls", IF(#REF! &lt;= 3, "2-3 Calls", IF(#REF! &lt;=5, "4-5 Calls", "6+ Calls")))</f>
        <v>#REF!</v>
      </c>
      <c r="X3711" t="e">
        <f>IF(#REF! &lt;= 50, "0-50", IF(#REF! &lt;=100, "51-100", IF(#REF! &lt;= 150, "101-150", "151+")))</f>
        <v>#REF!</v>
      </c>
      <c r="Y3711" t="e">
        <f>IF(#REF! &lt;= 3, "Low Charges", "High Charges")</f>
        <v>#REF!</v>
      </c>
      <c r="Z3711" t="e">
        <f>IF(#REF!&lt;=80,"Low Calls",
IF(#REF!&lt;=120,"Medium Calls","High Calls"))</f>
        <v>#REF!</v>
      </c>
      <c r="AA3711" t="e">
        <f>IF(#REF!&lt;=15,"Low Charges",
IF(#REF!&lt;=20,"Medium Charges","High Charges"))</f>
        <v>#REF!</v>
      </c>
      <c r="AB3711" t="e">
        <f>IF(AND(#REF!&gt;180, #REF!&gt;200), "Heavy Doemstic User", IF(#REF!&gt;10, "Interntional User", IF(AND(#REF!&lt;180, #REF!&lt;200,#REF!&lt;200), "Light User", "Balanced User")))</f>
        <v>#REF!</v>
      </c>
      <c r="AC3711" t="e">
        <f>IF(#REF! = 0, "No Usage", IF(#REF! &lt;= 20, "Low Usage", IF(#REF! &lt;= 40, "Medium Usgae", "High Usage")))</f>
        <v>#REF!</v>
      </c>
      <c r="AD3711" t="e">
        <f>IF(#REF!&lt;=150,"Low Usage", IF(#REF!&lt;=200,"Medium Usage", IF(#REF!&lt;=250,"High Usage","Very High Usage")))</f>
        <v>#REF!</v>
      </c>
      <c r="AE3711" t="e">
        <f>IF(#REF!&lt;=5,"Low Calls", IF(#REF!&lt;=10, "Medium Calls", "High Calls"))</f>
        <v>#REF!</v>
      </c>
      <c r="AF3711" t="e">
        <f xml:space="preserve">
IF(#REF!&gt;=4,4,0)+
IF(#REF!="yes",3,0)+
IF(#REF!="High Charges",3,0)+
IF(#REF!&gt;250,4,0)+
IF(#REF!="no",1,0)+
IF(#REF!="Heavy Domestic User",2,0)</f>
        <v>#REF!</v>
      </c>
      <c r="AG3711" t="e">
        <f>IF(#REF!&gt;=10,"High Risk", IF(#REF!&gt;=5,"Medium Risk","Low Risk"))</f>
        <v>#REF!</v>
      </c>
      <c r="AH3711" t="e">
        <f>#REF! + #REF! + #REF! + #REF!</f>
        <v>#REF!</v>
      </c>
    </row>
    <row r="3712" spans="1:34" x14ac:dyDescent="0.35">
      <c r="A3712">
        <v>3711</v>
      </c>
      <c r="B3712" t="s">
        <v>63</v>
      </c>
      <c r="C3712">
        <v>118</v>
      </c>
      <c r="D3712" t="s">
        <v>21</v>
      </c>
      <c r="E3712" t="s">
        <v>22</v>
      </c>
      <c r="F3712" t="s">
        <v>22</v>
      </c>
      <c r="G3712">
        <v>0</v>
      </c>
      <c r="H3712">
        <v>183.1</v>
      </c>
      <c r="I3712">
        <v>128</v>
      </c>
      <c r="J3712">
        <v>31.13</v>
      </c>
      <c r="K3712">
        <v>241</v>
      </c>
      <c r="L3712">
        <v>93</v>
      </c>
      <c r="M3712">
        <v>20.49</v>
      </c>
      <c r="N3712">
        <v>211.1</v>
      </c>
      <c r="O3712">
        <v>108</v>
      </c>
      <c r="P3712">
        <v>9.5</v>
      </c>
      <c r="Q3712">
        <v>12.5</v>
      </c>
      <c r="R3712">
        <v>4</v>
      </c>
      <c r="S3712">
        <v>3.38</v>
      </c>
      <c r="T3712">
        <v>0</v>
      </c>
      <c r="U3712" t="s">
        <v>22</v>
      </c>
      <c r="V3712" t="e">
        <f>IF(#REF! = "yes", 1, 0)</f>
        <v>#REF!</v>
      </c>
      <c r="W3712" t="e">
        <f>IF(#REF! &lt;= 1, "0-1 Calls", IF(#REF! &lt;= 3, "2-3 Calls", IF(#REF! &lt;=5, "4-5 Calls", "6+ Calls")))</f>
        <v>#REF!</v>
      </c>
      <c r="X3712" t="e">
        <f>IF(#REF! &lt;= 50, "0-50", IF(#REF! &lt;=100, "51-100", IF(#REF! &lt;= 150, "101-150", "151+")))</f>
        <v>#REF!</v>
      </c>
      <c r="Y3712" t="e">
        <f>IF(#REF! &lt;= 3, "Low Charges", "High Charges")</f>
        <v>#REF!</v>
      </c>
      <c r="Z3712" t="e">
        <f>IF(#REF!&lt;=80,"Low Calls",
IF(#REF!&lt;=120,"Medium Calls","High Calls"))</f>
        <v>#REF!</v>
      </c>
      <c r="AA3712" t="e">
        <f>IF(#REF!&lt;=15,"Low Charges",
IF(#REF!&lt;=20,"Medium Charges","High Charges"))</f>
        <v>#REF!</v>
      </c>
      <c r="AB3712" t="e">
        <f>IF(AND(#REF!&gt;180, #REF!&gt;200), "Heavy Doemstic User", IF(#REF!&gt;10, "Interntional User", IF(AND(#REF!&lt;180, #REF!&lt;200,#REF!&lt;200), "Light User", "Balanced User")))</f>
        <v>#REF!</v>
      </c>
      <c r="AC3712" t="e">
        <f>IF(#REF! = 0, "No Usage", IF(#REF! &lt;= 20, "Low Usage", IF(#REF! &lt;= 40, "Medium Usgae", "High Usage")))</f>
        <v>#REF!</v>
      </c>
      <c r="AD3712" t="e">
        <f>IF(#REF!&lt;=150,"Low Usage", IF(#REF!&lt;=200,"Medium Usage", IF(#REF!&lt;=250,"High Usage","Very High Usage")))</f>
        <v>#REF!</v>
      </c>
      <c r="AE3712" t="e">
        <f>IF(#REF!&lt;=5,"Low Calls", IF(#REF!&lt;=10, "Medium Calls", "High Calls"))</f>
        <v>#REF!</v>
      </c>
      <c r="AF3712" t="e">
        <f xml:space="preserve">
IF(#REF!&gt;=4,4,0)+
IF(#REF!="yes",3,0)+
IF(#REF!="High Charges",3,0)+
IF(#REF!&gt;250,4,0)+
IF(#REF!="no",1,0)+
IF(#REF!="Heavy Domestic User",2,0)</f>
        <v>#REF!</v>
      </c>
      <c r="AG3712" t="e">
        <f>IF(#REF!&gt;=10,"High Risk", IF(#REF!&gt;=5,"Medium Risk","Low Risk"))</f>
        <v>#REF!</v>
      </c>
      <c r="AH3712" t="e">
        <f>#REF! + #REF! + #REF! + #REF!</f>
        <v>#REF!</v>
      </c>
    </row>
    <row r="3713" spans="1:34" x14ac:dyDescent="0.35">
      <c r="A3713">
        <v>3712</v>
      </c>
      <c r="B3713" t="s">
        <v>71</v>
      </c>
      <c r="C3713">
        <v>222</v>
      </c>
      <c r="D3713" t="s">
        <v>25</v>
      </c>
      <c r="E3713" t="s">
        <v>22</v>
      </c>
      <c r="F3713" t="s">
        <v>23</v>
      </c>
      <c r="G3713">
        <v>34</v>
      </c>
      <c r="H3713">
        <v>218.5</v>
      </c>
      <c r="I3713">
        <v>89</v>
      </c>
      <c r="J3713">
        <v>37.15</v>
      </c>
      <c r="K3713">
        <v>160.69999999999999</v>
      </c>
      <c r="L3713">
        <v>76</v>
      </c>
      <c r="M3713">
        <v>13.66</v>
      </c>
      <c r="N3713">
        <v>181.6</v>
      </c>
      <c r="O3713">
        <v>76</v>
      </c>
      <c r="P3713">
        <v>8.17</v>
      </c>
      <c r="Q3713">
        <v>4.9000000000000004</v>
      </c>
      <c r="R3713">
        <v>5</v>
      </c>
      <c r="S3713">
        <v>1.32</v>
      </c>
      <c r="T3713">
        <v>4</v>
      </c>
      <c r="U3713" t="s">
        <v>22</v>
      </c>
      <c r="V3713" t="e">
        <f>IF(#REF! = "yes", 1, 0)</f>
        <v>#REF!</v>
      </c>
      <c r="W3713" t="e">
        <f>IF(#REF! &lt;= 1, "0-1 Calls", IF(#REF! &lt;= 3, "2-3 Calls", IF(#REF! &lt;=5, "4-5 Calls", "6+ Calls")))</f>
        <v>#REF!</v>
      </c>
      <c r="X3713" t="e">
        <f>IF(#REF! &lt;= 50, "0-50", IF(#REF! &lt;=100, "51-100", IF(#REF! &lt;= 150, "101-150", "151+")))</f>
        <v>#REF!</v>
      </c>
      <c r="Y3713" t="e">
        <f>IF(#REF! &lt;= 3, "Low Charges", "High Charges")</f>
        <v>#REF!</v>
      </c>
      <c r="Z3713" t="e">
        <f>IF(#REF!&lt;=80,"Low Calls",
IF(#REF!&lt;=120,"Medium Calls","High Calls"))</f>
        <v>#REF!</v>
      </c>
      <c r="AA3713" t="e">
        <f>IF(#REF!&lt;=15,"Low Charges",
IF(#REF!&lt;=20,"Medium Charges","High Charges"))</f>
        <v>#REF!</v>
      </c>
      <c r="AB3713" t="e">
        <f>IF(AND(#REF!&gt;180, #REF!&gt;200), "Heavy Doemstic User", IF(#REF!&gt;10, "Interntional User", IF(AND(#REF!&lt;180, #REF!&lt;200,#REF!&lt;200), "Light User", "Balanced User")))</f>
        <v>#REF!</v>
      </c>
      <c r="AC3713" t="e">
        <f>IF(#REF! = 0, "No Usage", IF(#REF! &lt;= 20, "Low Usage", IF(#REF! &lt;= 40, "Medium Usgae", "High Usage")))</f>
        <v>#REF!</v>
      </c>
      <c r="AD3713" t="e">
        <f>IF(#REF!&lt;=150,"Low Usage", IF(#REF!&lt;=200,"Medium Usage", IF(#REF!&lt;=250,"High Usage","Very High Usage")))</f>
        <v>#REF!</v>
      </c>
      <c r="AE3713" t="e">
        <f>IF(#REF!&lt;=5,"Low Calls", IF(#REF!&lt;=10, "Medium Calls", "High Calls"))</f>
        <v>#REF!</v>
      </c>
      <c r="AF3713" t="e">
        <f xml:space="preserve">
IF(#REF!&gt;=4,4,0)+
IF(#REF!="yes",3,0)+
IF(#REF!="High Charges",3,0)+
IF(#REF!&gt;250,4,0)+
IF(#REF!="no",1,0)+
IF(#REF!="Heavy Domestic User",2,0)</f>
        <v>#REF!</v>
      </c>
      <c r="AG3713" t="e">
        <f>IF(#REF!&gt;=10,"High Risk", IF(#REF!&gt;=5,"Medium Risk","Low Risk"))</f>
        <v>#REF!</v>
      </c>
      <c r="AH3713" t="e">
        <f>#REF! + #REF! + #REF! + #REF!</f>
        <v>#REF!</v>
      </c>
    </row>
    <row r="3714" spans="1:34" x14ac:dyDescent="0.35">
      <c r="A3714">
        <v>3713</v>
      </c>
      <c r="B3714" t="s">
        <v>53</v>
      </c>
      <c r="C3714">
        <v>130</v>
      </c>
      <c r="D3714" t="s">
        <v>21</v>
      </c>
      <c r="E3714" t="s">
        <v>22</v>
      </c>
      <c r="F3714" t="s">
        <v>22</v>
      </c>
      <c r="G3714">
        <v>0</v>
      </c>
      <c r="H3714">
        <v>143.80000000000001</v>
      </c>
      <c r="I3714">
        <v>76</v>
      </c>
      <c r="J3714">
        <v>24.45</v>
      </c>
      <c r="K3714">
        <v>274.8</v>
      </c>
      <c r="L3714">
        <v>103</v>
      </c>
      <c r="M3714">
        <v>23.36</v>
      </c>
      <c r="N3714">
        <v>194.7</v>
      </c>
      <c r="O3714">
        <v>105</v>
      </c>
      <c r="P3714">
        <v>8.76</v>
      </c>
      <c r="Q3714">
        <v>12.3</v>
      </c>
      <c r="R3714">
        <v>1</v>
      </c>
      <c r="S3714">
        <v>3.32</v>
      </c>
      <c r="T3714">
        <v>0</v>
      </c>
      <c r="U3714" t="s">
        <v>22</v>
      </c>
      <c r="V3714" t="e">
        <f>IF(#REF! = "yes", 1, 0)</f>
        <v>#REF!</v>
      </c>
      <c r="W3714" t="e">
        <f>IF(#REF! &lt;= 1, "0-1 Calls", IF(#REF! &lt;= 3, "2-3 Calls", IF(#REF! &lt;=5, "4-5 Calls", "6+ Calls")))</f>
        <v>#REF!</v>
      </c>
      <c r="X3714" t="e">
        <f>IF(#REF! &lt;= 50, "0-50", IF(#REF! &lt;=100, "51-100", IF(#REF! &lt;= 150, "101-150", "151+")))</f>
        <v>#REF!</v>
      </c>
      <c r="Y3714" t="e">
        <f>IF(#REF! &lt;= 3, "Low Charges", "High Charges")</f>
        <v>#REF!</v>
      </c>
      <c r="Z3714" t="e">
        <f>IF(#REF!&lt;=80,"Low Calls",
IF(#REF!&lt;=120,"Medium Calls","High Calls"))</f>
        <v>#REF!</v>
      </c>
      <c r="AA3714" t="e">
        <f>IF(#REF!&lt;=15,"Low Charges",
IF(#REF!&lt;=20,"Medium Charges","High Charges"))</f>
        <v>#REF!</v>
      </c>
      <c r="AB3714" t="e">
        <f>IF(AND(#REF!&gt;180, #REF!&gt;200), "Heavy Doemstic User", IF(#REF!&gt;10, "Interntional User", IF(AND(#REF!&lt;180, #REF!&lt;200,#REF!&lt;200), "Light User", "Balanced User")))</f>
        <v>#REF!</v>
      </c>
      <c r="AC3714" t="e">
        <f>IF(#REF! = 0, "No Usage", IF(#REF! &lt;= 20, "Low Usage", IF(#REF! &lt;= 40, "Medium Usgae", "High Usage")))</f>
        <v>#REF!</v>
      </c>
      <c r="AD3714" t="e">
        <f>IF(#REF!&lt;=150,"Low Usage", IF(#REF!&lt;=200,"Medium Usage", IF(#REF!&lt;=250,"High Usage","Very High Usage")))</f>
        <v>#REF!</v>
      </c>
      <c r="AE3714" t="e">
        <f>IF(#REF!&lt;=5,"Low Calls", IF(#REF!&lt;=10, "Medium Calls", "High Calls"))</f>
        <v>#REF!</v>
      </c>
      <c r="AF3714" t="e">
        <f xml:space="preserve">
IF(#REF!&gt;=4,4,0)+
IF(#REF!="yes",3,0)+
IF(#REF!="High Charges",3,0)+
IF(#REF!&gt;250,4,0)+
IF(#REF!="no",1,0)+
IF(#REF!="Heavy Domestic User",2,0)</f>
        <v>#REF!</v>
      </c>
      <c r="AG3714" t="e">
        <f>IF(#REF!&gt;=10,"High Risk", IF(#REF!&gt;=5,"Medium Risk","Low Risk"))</f>
        <v>#REF!</v>
      </c>
      <c r="AH3714" t="e">
        <f>#REF! + #REF! + #REF! + #REF!</f>
        <v>#REF!</v>
      </c>
    </row>
    <row r="3715" spans="1:34" x14ac:dyDescent="0.35">
      <c r="A3715">
        <v>3714</v>
      </c>
      <c r="B3715" t="s">
        <v>54</v>
      </c>
      <c r="C3715">
        <v>140</v>
      </c>
      <c r="D3715" t="s">
        <v>21</v>
      </c>
      <c r="E3715" t="s">
        <v>22</v>
      </c>
      <c r="F3715" t="s">
        <v>22</v>
      </c>
      <c r="G3715">
        <v>0</v>
      </c>
      <c r="H3715">
        <v>143</v>
      </c>
      <c r="I3715">
        <v>100</v>
      </c>
      <c r="J3715">
        <v>24.31</v>
      </c>
      <c r="K3715">
        <v>193.4</v>
      </c>
      <c r="L3715">
        <v>89</v>
      </c>
      <c r="M3715">
        <v>16.440000000000001</v>
      </c>
      <c r="N3715">
        <v>59.5</v>
      </c>
      <c r="O3715">
        <v>81</v>
      </c>
      <c r="P3715">
        <v>2.68</v>
      </c>
      <c r="Q3715">
        <v>12.3</v>
      </c>
      <c r="R3715">
        <v>8</v>
      </c>
      <c r="S3715">
        <v>3.32</v>
      </c>
      <c r="T3715">
        <v>4</v>
      </c>
      <c r="U3715" t="s">
        <v>23</v>
      </c>
      <c r="V3715" t="e">
        <f>IF(#REF! = "yes", 1, 0)</f>
        <v>#REF!</v>
      </c>
      <c r="W3715" t="e">
        <f>IF(#REF! &lt;= 1, "0-1 Calls", IF(#REF! &lt;= 3, "2-3 Calls", IF(#REF! &lt;=5, "4-5 Calls", "6+ Calls")))</f>
        <v>#REF!</v>
      </c>
      <c r="X3715" t="e">
        <f>IF(#REF! &lt;= 50, "0-50", IF(#REF! &lt;=100, "51-100", IF(#REF! &lt;= 150, "101-150", "151+")))</f>
        <v>#REF!</v>
      </c>
      <c r="Y3715" t="e">
        <f>IF(#REF! &lt;= 3, "Low Charges", "High Charges")</f>
        <v>#REF!</v>
      </c>
      <c r="Z3715" t="e">
        <f>IF(#REF!&lt;=80,"Low Calls",
IF(#REF!&lt;=120,"Medium Calls","High Calls"))</f>
        <v>#REF!</v>
      </c>
      <c r="AA3715" t="e">
        <f>IF(#REF!&lt;=15,"Low Charges",
IF(#REF!&lt;=20,"Medium Charges","High Charges"))</f>
        <v>#REF!</v>
      </c>
      <c r="AB3715" t="e">
        <f>IF(AND(#REF!&gt;180, #REF!&gt;200), "Heavy Doemstic User", IF(#REF!&gt;10, "Interntional User", IF(AND(#REF!&lt;180, #REF!&lt;200,#REF!&lt;200), "Light User", "Balanced User")))</f>
        <v>#REF!</v>
      </c>
      <c r="AC3715" t="e">
        <f>IF(#REF! = 0, "No Usage", IF(#REF! &lt;= 20, "Low Usage", IF(#REF! &lt;= 40, "Medium Usgae", "High Usage")))</f>
        <v>#REF!</v>
      </c>
      <c r="AD3715" t="e">
        <f>IF(#REF!&lt;=150,"Low Usage", IF(#REF!&lt;=200,"Medium Usage", IF(#REF!&lt;=250,"High Usage","Very High Usage")))</f>
        <v>#REF!</v>
      </c>
      <c r="AE3715" t="e">
        <f>IF(#REF!&lt;=5,"Low Calls", IF(#REF!&lt;=10, "Medium Calls", "High Calls"))</f>
        <v>#REF!</v>
      </c>
      <c r="AF3715" t="e">
        <f xml:space="preserve">
IF(#REF!&gt;=4,4,0)+
IF(#REF!="yes",3,0)+
IF(#REF!="High Charges",3,0)+
IF(#REF!&gt;250,4,0)+
IF(#REF!="no",1,0)+
IF(#REF!="Heavy Domestic User",2,0)</f>
        <v>#REF!</v>
      </c>
      <c r="AG3715" t="e">
        <f>IF(#REF!&gt;=10,"High Risk", IF(#REF!&gt;=5,"Medium Risk","Low Risk"))</f>
        <v>#REF!</v>
      </c>
      <c r="AH3715" t="e">
        <f>#REF! + #REF! + #REF! + #REF!</f>
        <v>#REF!</v>
      </c>
    </row>
    <row r="3716" spans="1:34" x14ac:dyDescent="0.35">
      <c r="A3716">
        <v>3715</v>
      </c>
      <c r="B3716" t="s">
        <v>41</v>
      </c>
      <c r="C3716">
        <v>101</v>
      </c>
      <c r="D3716" t="s">
        <v>21</v>
      </c>
      <c r="E3716" t="s">
        <v>22</v>
      </c>
      <c r="F3716" t="s">
        <v>23</v>
      </c>
      <c r="G3716">
        <v>39</v>
      </c>
      <c r="H3716">
        <v>147.19999999999999</v>
      </c>
      <c r="I3716">
        <v>105</v>
      </c>
      <c r="J3716">
        <v>25.02</v>
      </c>
      <c r="K3716">
        <v>168.8</v>
      </c>
      <c r="L3716">
        <v>96</v>
      </c>
      <c r="M3716">
        <v>14.35</v>
      </c>
      <c r="N3716">
        <v>165.3</v>
      </c>
      <c r="O3716">
        <v>118</v>
      </c>
      <c r="P3716">
        <v>7.44</v>
      </c>
      <c r="Q3716">
        <v>13</v>
      </c>
      <c r="R3716">
        <v>4</v>
      </c>
      <c r="S3716">
        <v>3.51</v>
      </c>
      <c r="T3716">
        <v>1</v>
      </c>
      <c r="U3716" t="s">
        <v>22</v>
      </c>
      <c r="V3716" t="e">
        <f>IF(#REF! = "yes", 1, 0)</f>
        <v>#REF!</v>
      </c>
      <c r="W3716" t="e">
        <f>IF(#REF! &lt;= 1, "0-1 Calls", IF(#REF! &lt;= 3, "2-3 Calls", IF(#REF! &lt;=5, "4-5 Calls", "6+ Calls")))</f>
        <v>#REF!</v>
      </c>
      <c r="X3716" t="e">
        <f>IF(#REF! &lt;= 50, "0-50", IF(#REF! &lt;=100, "51-100", IF(#REF! &lt;= 150, "101-150", "151+")))</f>
        <v>#REF!</v>
      </c>
      <c r="Y3716" t="e">
        <f>IF(#REF! &lt;= 3, "Low Charges", "High Charges")</f>
        <v>#REF!</v>
      </c>
      <c r="Z3716" t="e">
        <f>IF(#REF!&lt;=80,"Low Calls",
IF(#REF!&lt;=120,"Medium Calls","High Calls"))</f>
        <v>#REF!</v>
      </c>
      <c r="AA3716" t="e">
        <f>IF(#REF!&lt;=15,"Low Charges",
IF(#REF!&lt;=20,"Medium Charges","High Charges"))</f>
        <v>#REF!</v>
      </c>
      <c r="AB3716" t="e">
        <f>IF(AND(#REF!&gt;180, #REF!&gt;200), "Heavy Doemstic User", IF(#REF!&gt;10, "Interntional User", IF(AND(#REF!&lt;180, #REF!&lt;200,#REF!&lt;200), "Light User", "Balanced User")))</f>
        <v>#REF!</v>
      </c>
      <c r="AC3716" t="e">
        <f>IF(#REF! = 0, "No Usage", IF(#REF! &lt;= 20, "Low Usage", IF(#REF! &lt;= 40, "Medium Usgae", "High Usage")))</f>
        <v>#REF!</v>
      </c>
      <c r="AD3716" t="e">
        <f>IF(#REF!&lt;=150,"Low Usage", IF(#REF!&lt;=200,"Medium Usage", IF(#REF!&lt;=250,"High Usage","Very High Usage")))</f>
        <v>#REF!</v>
      </c>
      <c r="AE3716" t="e">
        <f>IF(#REF!&lt;=5,"Low Calls", IF(#REF!&lt;=10, "Medium Calls", "High Calls"))</f>
        <v>#REF!</v>
      </c>
      <c r="AF3716" t="e">
        <f xml:space="preserve">
IF(#REF!&gt;=4,4,0)+
IF(#REF!="yes",3,0)+
IF(#REF!="High Charges",3,0)+
IF(#REF!&gt;250,4,0)+
IF(#REF!="no",1,0)+
IF(#REF!="Heavy Domestic User",2,0)</f>
        <v>#REF!</v>
      </c>
      <c r="AG3716" t="e">
        <f>IF(#REF!&gt;=10,"High Risk", IF(#REF!&gt;=5,"Medium Risk","Low Risk"))</f>
        <v>#REF!</v>
      </c>
      <c r="AH3716" t="e">
        <f>#REF! + #REF! + #REF! + #REF!</f>
        <v>#REF!</v>
      </c>
    </row>
    <row r="3717" spans="1:34" x14ac:dyDescent="0.35">
      <c r="A3717">
        <v>3716</v>
      </c>
      <c r="B3717" t="s">
        <v>24</v>
      </c>
      <c r="C3717">
        <v>134</v>
      </c>
      <c r="D3717" t="s">
        <v>21</v>
      </c>
      <c r="E3717" t="s">
        <v>22</v>
      </c>
      <c r="F3717" t="s">
        <v>23</v>
      </c>
      <c r="G3717">
        <v>32</v>
      </c>
      <c r="H3717">
        <v>224</v>
      </c>
      <c r="I3717">
        <v>75</v>
      </c>
      <c r="J3717">
        <v>38.08</v>
      </c>
      <c r="K3717">
        <v>97.5</v>
      </c>
      <c r="L3717">
        <v>103</v>
      </c>
      <c r="M3717">
        <v>8.2899999999999991</v>
      </c>
      <c r="N3717">
        <v>211.6</v>
      </c>
      <c r="O3717">
        <v>80</v>
      </c>
      <c r="P3717">
        <v>9.52</v>
      </c>
      <c r="Q3717">
        <v>10.7</v>
      </c>
      <c r="R3717">
        <v>5</v>
      </c>
      <c r="S3717">
        <v>2.89</v>
      </c>
      <c r="T3717">
        <v>2</v>
      </c>
      <c r="U3717" t="s">
        <v>22</v>
      </c>
      <c r="V3717" t="e">
        <f>IF(#REF! = "yes", 1, 0)</f>
        <v>#REF!</v>
      </c>
      <c r="W3717" t="e">
        <f>IF(#REF! &lt;= 1, "0-1 Calls", IF(#REF! &lt;= 3, "2-3 Calls", IF(#REF! &lt;=5, "4-5 Calls", "6+ Calls")))</f>
        <v>#REF!</v>
      </c>
      <c r="X3717" t="e">
        <f>IF(#REF! &lt;= 50, "0-50", IF(#REF! &lt;=100, "51-100", IF(#REF! &lt;= 150, "101-150", "151+")))</f>
        <v>#REF!</v>
      </c>
      <c r="Y3717" t="e">
        <f>IF(#REF! &lt;= 3, "Low Charges", "High Charges")</f>
        <v>#REF!</v>
      </c>
      <c r="Z3717" t="e">
        <f>IF(#REF!&lt;=80,"Low Calls",
IF(#REF!&lt;=120,"Medium Calls","High Calls"))</f>
        <v>#REF!</v>
      </c>
      <c r="AA3717" t="e">
        <f>IF(#REF!&lt;=15,"Low Charges",
IF(#REF!&lt;=20,"Medium Charges","High Charges"))</f>
        <v>#REF!</v>
      </c>
      <c r="AB3717" t="e">
        <f>IF(AND(#REF!&gt;180, #REF!&gt;200), "Heavy Doemstic User", IF(#REF!&gt;10, "Interntional User", IF(AND(#REF!&lt;180, #REF!&lt;200,#REF!&lt;200), "Light User", "Balanced User")))</f>
        <v>#REF!</v>
      </c>
      <c r="AC3717" t="e">
        <f>IF(#REF! = 0, "No Usage", IF(#REF! &lt;= 20, "Low Usage", IF(#REF! &lt;= 40, "Medium Usgae", "High Usage")))</f>
        <v>#REF!</v>
      </c>
      <c r="AD3717" t="e">
        <f>IF(#REF!&lt;=150,"Low Usage", IF(#REF!&lt;=200,"Medium Usage", IF(#REF!&lt;=250,"High Usage","Very High Usage")))</f>
        <v>#REF!</v>
      </c>
      <c r="AE3717" t="e">
        <f>IF(#REF!&lt;=5,"Low Calls", IF(#REF!&lt;=10, "Medium Calls", "High Calls"))</f>
        <v>#REF!</v>
      </c>
      <c r="AF3717" t="e">
        <f xml:space="preserve">
IF(#REF!&gt;=4,4,0)+
IF(#REF!="yes",3,0)+
IF(#REF!="High Charges",3,0)+
IF(#REF!&gt;250,4,0)+
IF(#REF!="no",1,0)+
IF(#REF!="Heavy Domestic User",2,0)</f>
        <v>#REF!</v>
      </c>
      <c r="AG3717" t="e">
        <f>IF(#REF!&gt;=10,"High Risk", IF(#REF!&gt;=5,"Medium Risk","Low Risk"))</f>
        <v>#REF!</v>
      </c>
      <c r="AH3717" t="e">
        <f>#REF! + #REF! + #REF! + #REF!</f>
        <v>#REF!</v>
      </c>
    </row>
    <row r="3718" spans="1:34" x14ac:dyDescent="0.35">
      <c r="A3718">
        <v>3717</v>
      </c>
      <c r="B3718" t="s">
        <v>26</v>
      </c>
      <c r="C3718">
        <v>88</v>
      </c>
      <c r="D3718" t="s">
        <v>25</v>
      </c>
      <c r="E3718" t="s">
        <v>23</v>
      </c>
      <c r="F3718" t="s">
        <v>22</v>
      </c>
      <c r="G3718">
        <v>0</v>
      </c>
      <c r="H3718">
        <v>132.9</v>
      </c>
      <c r="I3718">
        <v>132</v>
      </c>
      <c r="J3718">
        <v>22.59</v>
      </c>
      <c r="K3718">
        <v>208.2</v>
      </c>
      <c r="L3718">
        <v>82</v>
      </c>
      <c r="M3718">
        <v>17.7</v>
      </c>
      <c r="N3718">
        <v>260.5</v>
      </c>
      <c r="O3718">
        <v>42</v>
      </c>
      <c r="P3718">
        <v>11.72</v>
      </c>
      <c r="Q3718">
        <v>14.4</v>
      </c>
      <c r="R3718">
        <v>11</v>
      </c>
      <c r="S3718">
        <v>3.89</v>
      </c>
      <c r="T3718">
        <v>2</v>
      </c>
      <c r="U3718" t="s">
        <v>23</v>
      </c>
      <c r="V3718" t="e">
        <f>IF(#REF! = "yes", 1, 0)</f>
        <v>#REF!</v>
      </c>
      <c r="W3718" t="e">
        <f>IF(#REF! &lt;= 1, "0-1 Calls", IF(#REF! &lt;= 3, "2-3 Calls", IF(#REF! &lt;=5, "4-5 Calls", "6+ Calls")))</f>
        <v>#REF!</v>
      </c>
      <c r="X3718" t="e">
        <f>IF(#REF! &lt;= 50, "0-50", IF(#REF! &lt;=100, "51-100", IF(#REF! &lt;= 150, "101-150", "151+")))</f>
        <v>#REF!</v>
      </c>
      <c r="Y3718" t="e">
        <f>IF(#REF! &lt;= 3, "Low Charges", "High Charges")</f>
        <v>#REF!</v>
      </c>
      <c r="Z3718" t="e">
        <f>IF(#REF!&lt;=80,"Low Calls",
IF(#REF!&lt;=120,"Medium Calls","High Calls"))</f>
        <v>#REF!</v>
      </c>
      <c r="AA3718" t="e">
        <f>IF(#REF!&lt;=15,"Low Charges",
IF(#REF!&lt;=20,"Medium Charges","High Charges"))</f>
        <v>#REF!</v>
      </c>
      <c r="AB3718" t="e">
        <f>IF(AND(#REF!&gt;180, #REF!&gt;200), "Heavy Doemstic User", IF(#REF!&gt;10, "Interntional User", IF(AND(#REF!&lt;180, #REF!&lt;200,#REF!&lt;200), "Light User", "Balanced User")))</f>
        <v>#REF!</v>
      </c>
      <c r="AC3718" t="e">
        <f>IF(#REF! = 0, "No Usage", IF(#REF! &lt;= 20, "Low Usage", IF(#REF! &lt;= 40, "Medium Usgae", "High Usage")))</f>
        <v>#REF!</v>
      </c>
      <c r="AD3718" t="e">
        <f>IF(#REF!&lt;=150,"Low Usage", IF(#REF!&lt;=200,"Medium Usage", IF(#REF!&lt;=250,"High Usage","Very High Usage")))</f>
        <v>#REF!</v>
      </c>
      <c r="AE3718" t="e">
        <f>IF(#REF!&lt;=5,"Low Calls", IF(#REF!&lt;=10, "Medium Calls", "High Calls"))</f>
        <v>#REF!</v>
      </c>
      <c r="AF3718" t="e">
        <f xml:space="preserve">
IF(#REF!&gt;=4,4,0)+
IF(#REF!="yes",3,0)+
IF(#REF!="High Charges",3,0)+
IF(#REF!&gt;250,4,0)+
IF(#REF!="no",1,0)+
IF(#REF!="Heavy Domestic User",2,0)</f>
        <v>#REF!</v>
      </c>
      <c r="AG3718" t="e">
        <f>IF(#REF!&gt;=10,"High Risk", IF(#REF!&gt;=5,"Medium Risk","Low Risk"))</f>
        <v>#REF!</v>
      </c>
      <c r="AH3718" t="e">
        <f>#REF! + #REF! + #REF! + #REF!</f>
        <v>#REF!</v>
      </c>
    </row>
    <row r="3719" spans="1:34" x14ac:dyDescent="0.35">
      <c r="A3719">
        <v>3718</v>
      </c>
      <c r="B3719" t="s">
        <v>38</v>
      </c>
      <c r="C3719">
        <v>118</v>
      </c>
      <c r="D3719" t="s">
        <v>25</v>
      </c>
      <c r="E3719" t="s">
        <v>22</v>
      </c>
      <c r="F3719" t="s">
        <v>22</v>
      </c>
      <c r="G3719">
        <v>0</v>
      </c>
      <c r="H3719">
        <v>160.30000000000001</v>
      </c>
      <c r="I3719">
        <v>110</v>
      </c>
      <c r="J3719">
        <v>27.25</v>
      </c>
      <c r="K3719">
        <v>53.2</v>
      </c>
      <c r="L3719">
        <v>92</v>
      </c>
      <c r="M3719">
        <v>4.5199999999999996</v>
      </c>
      <c r="N3719">
        <v>130.69999999999999</v>
      </c>
      <c r="O3719">
        <v>119</v>
      </c>
      <c r="P3719">
        <v>5.88</v>
      </c>
      <c r="Q3719">
        <v>10.5</v>
      </c>
      <c r="R3719">
        <v>4</v>
      </c>
      <c r="S3719">
        <v>2.84</v>
      </c>
      <c r="T3719">
        <v>0</v>
      </c>
      <c r="U3719" t="s">
        <v>22</v>
      </c>
      <c r="V3719" t="e">
        <f>IF(#REF! = "yes", 1, 0)</f>
        <v>#REF!</v>
      </c>
      <c r="W3719" t="e">
        <f>IF(#REF! &lt;= 1, "0-1 Calls", IF(#REF! &lt;= 3, "2-3 Calls", IF(#REF! &lt;=5, "4-5 Calls", "6+ Calls")))</f>
        <v>#REF!</v>
      </c>
      <c r="X3719" t="e">
        <f>IF(#REF! &lt;= 50, "0-50", IF(#REF! &lt;=100, "51-100", IF(#REF! &lt;= 150, "101-150", "151+")))</f>
        <v>#REF!</v>
      </c>
      <c r="Y3719" t="e">
        <f>IF(#REF! &lt;= 3, "Low Charges", "High Charges")</f>
        <v>#REF!</v>
      </c>
      <c r="Z3719" t="e">
        <f>IF(#REF!&lt;=80,"Low Calls",
IF(#REF!&lt;=120,"Medium Calls","High Calls"))</f>
        <v>#REF!</v>
      </c>
      <c r="AA3719" t="e">
        <f>IF(#REF!&lt;=15,"Low Charges",
IF(#REF!&lt;=20,"Medium Charges","High Charges"))</f>
        <v>#REF!</v>
      </c>
      <c r="AB3719" t="e">
        <f>IF(AND(#REF!&gt;180, #REF!&gt;200), "Heavy Doemstic User", IF(#REF!&gt;10, "Interntional User", IF(AND(#REF!&lt;180, #REF!&lt;200,#REF!&lt;200), "Light User", "Balanced User")))</f>
        <v>#REF!</v>
      </c>
      <c r="AC3719" t="e">
        <f>IF(#REF! = 0, "No Usage", IF(#REF! &lt;= 20, "Low Usage", IF(#REF! &lt;= 40, "Medium Usgae", "High Usage")))</f>
        <v>#REF!</v>
      </c>
      <c r="AD3719" t="e">
        <f>IF(#REF!&lt;=150,"Low Usage", IF(#REF!&lt;=200,"Medium Usage", IF(#REF!&lt;=250,"High Usage","Very High Usage")))</f>
        <v>#REF!</v>
      </c>
      <c r="AE3719" t="e">
        <f>IF(#REF!&lt;=5,"Low Calls", IF(#REF!&lt;=10, "Medium Calls", "High Calls"))</f>
        <v>#REF!</v>
      </c>
      <c r="AF3719" t="e">
        <f xml:space="preserve">
IF(#REF!&gt;=4,4,0)+
IF(#REF!="yes",3,0)+
IF(#REF!="High Charges",3,0)+
IF(#REF!&gt;250,4,0)+
IF(#REF!="no",1,0)+
IF(#REF!="Heavy Domestic User",2,0)</f>
        <v>#REF!</v>
      </c>
      <c r="AG3719" t="e">
        <f>IF(#REF!&gt;=10,"High Risk", IF(#REF!&gt;=5,"Medium Risk","Low Risk"))</f>
        <v>#REF!</v>
      </c>
      <c r="AH3719" t="e">
        <f>#REF! + #REF! + #REF! + #REF!</f>
        <v>#REF!</v>
      </c>
    </row>
    <row r="3720" spans="1:34" x14ac:dyDescent="0.35">
      <c r="A3720">
        <v>3719</v>
      </c>
      <c r="B3720" t="s">
        <v>71</v>
      </c>
      <c r="C3720">
        <v>93</v>
      </c>
      <c r="D3720" t="s">
        <v>21</v>
      </c>
      <c r="E3720" t="s">
        <v>22</v>
      </c>
      <c r="F3720" t="s">
        <v>23</v>
      </c>
      <c r="G3720">
        <v>21</v>
      </c>
      <c r="H3720">
        <v>213.8</v>
      </c>
      <c r="I3720">
        <v>103</v>
      </c>
      <c r="J3720">
        <v>36.35</v>
      </c>
      <c r="K3720">
        <v>257.7</v>
      </c>
      <c r="L3720">
        <v>72</v>
      </c>
      <c r="M3720">
        <v>21.9</v>
      </c>
      <c r="N3720">
        <v>218.4</v>
      </c>
      <c r="O3720">
        <v>114</v>
      </c>
      <c r="P3720">
        <v>9.83</v>
      </c>
      <c r="Q3720">
        <v>7.2</v>
      </c>
      <c r="R3720">
        <v>6</v>
      </c>
      <c r="S3720">
        <v>1.94</v>
      </c>
      <c r="T3720">
        <v>1</v>
      </c>
      <c r="U3720" t="s">
        <v>22</v>
      </c>
      <c r="V3720" t="e">
        <f>IF(#REF! = "yes", 1, 0)</f>
        <v>#REF!</v>
      </c>
      <c r="W3720" t="e">
        <f>IF(#REF! &lt;= 1, "0-1 Calls", IF(#REF! &lt;= 3, "2-3 Calls", IF(#REF! &lt;=5, "4-5 Calls", "6+ Calls")))</f>
        <v>#REF!</v>
      </c>
      <c r="X3720" t="e">
        <f>IF(#REF! &lt;= 50, "0-50", IF(#REF! &lt;=100, "51-100", IF(#REF! &lt;= 150, "101-150", "151+")))</f>
        <v>#REF!</v>
      </c>
      <c r="Y3720" t="e">
        <f>IF(#REF! &lt;= 3, "Low Charges", "High Charges")</f>
        <v>#REF!</v>
      </c>
      <c r="Z3720" t="e">
        <f>IF(#REF!&lt;=80,"Low Calls",
IF(#REF!&lt;=120,"Medium Calls","High Calls"))</f>
        <v>#REF!</v>
      </c>
      <c r="AA3720" t="e">
        <f>IF(#REF!&lt;=15,"Low Charges",
IF(#REF!&lt;=20,"Medium Charges","High Charges"))</f>
        <v>#REF!</v>
      </c>
      <c r="AB3720" t="e">
        <f>IF(AND(#REF!&gt;180, #REF!&gt;200), "Heavy Doemstic User", IF(#REF!&gt;10, "Interntional User", IF(AND(#REF!&lt;180, #REF!&lt;200,#REF!&lt;200), "Light User", "Balanced User")))</f>
        <v>#REF!</v>
      </c>
      <c r="AC3720" t="e">
        <f>IF(#REF! = 0, "No Usage", IF(#REF! &lt;= 20, "Low Usage", IF(#REF! &lt;= 40, "Medium Usgae", "High Usage")))</f>
        <v>#REF!</v>
      </c>
      <c r="AD3720" t="e">
        <f>IF(#REF!&lt;=150,"Low Usage", IF(#REF!&lt;=200,"Medium Usage", IF(#REF!&lt;=250,"High Usage","Very High Usage")))</f>
        <v>#REF!</v>
      </c>
      <c r="AE3720" t="e">
        <f>IF(#REF!&lt;=5,"Low Calls", IF(#REF!&lt;=10, "Medium Calls", "High Calls"))</f>
        <v>#REF!</v>
      </c>
      <c r="AF3720" t="e">
        <f xml:space="preserve">
IF(#REF!&gt;=4,4,0)+
IF(#REF!="yes",3,0)+
IF(#REF!="High Charges",3,0)+
IF(#REF!&gt;250,4,0)+
IF(#REF!="no",1,0)+
IF(#REF!="Heavy Domestic User",2,0)</f>
        <v>#REF!</v>
      </c>
      <c r="AG3720" t="e">
        <f>IF(#REF!&gt;=10,"High Risk", IF(#REF!&gt;=5,"Medium Risk","Low Risk"))</f>
        <v>#REF!</v>
      </c>
      <c r="AH3720" t="e">
        <f>#REF! + #REF! + #REF! + #REF!</f>
        <v>#REF!</v>
      </c>
    </row>
    <row r="3721" spans="1:34" x14ac:dyDescent="0.35">
      <c r="A3721">
        <v>3720</v>
      </c>
      <c r="B3721" t="s">
        <v>45</v>
      </c>
      <c r="C3721">
        <v>232</v>
      </c>
      <c r="D3721" t="s">
        <v>21</v>
      </c>
      <c r="E3721" t="s">
        <v>22</v>
      </c>
      <c r="F3721" t="s">
        <v>22</v>
      </c>
      <c r="G3721">
        <v>0</v>
      </c>
      <c r="H3721">
        <v>248.2</v>
      </c>
      <c r="I3721">
        <v>128</v>
      </c>
      <c r="J3721">
        <v>42.19</v>
      </c>
      <c r="K3721">
        <v>211.2</v>
      </c>
      <c r="L3721">
        <v>96</v>
      </c>
      <c r="M3721">
        <v>17.95</v>
      </c>
      <c r="N3721">
        <v>147.1</v>
      </c>
      <c r="O3721">
        <v>117</v>
      </c>
      <c r="P3721">
        <v>6.62</v>
      </c>
      <c r="Q3721">
        <v>10</v>
      </c>
      <c r="R3721">
        <v>6</v>
      </c>
      <c r="S3721">
        <v>2.7</v>
      </c>
      <c r="T3721">
        <v>2</v>
      </c>
      <c r="U3721" t="s">
        <v>22</v>
      </c>
      <c r="V3721" t="e">
        <f>IF(#REF! = "yes", 1, 0)</f>
        <v>#REF!</v>
      </c>
      <c r="W3721" t="e">
        <f>IF(#REF! &lt;= 1, "0-1 Calls", IF(#REF! &lt;= 3, "2-3 Calls", IF(#REF! &lt;=5, "4-5 Calls", "6+ Calls")))</f>
        <v>#REF!</v>
      </c>
      <c r="X3721" t="e">
        <f>IF(#REF! &lt;= 50, "0-50", IF(#REF! &lt;=100, "51-100", IF(#REF! &lt;= 150, "101-150", "151+")))</f>
        <v>#REF!</v>
      </c>
      <c r="Y3721" t="e">
        <f>IF(#REF! &lt;= 3, "Low Charges", "High Charges")</f>
        <v>#REF!</v>
      </c>
      <c r="Z3721" t="e">
        <f>IF(#REF!&lt;=80,"Low Calls",
IF(#REF!&lt;=120,"Medium Calls","High Calls"))</f>
        <v>#REF!</v>
      </c>
      <c r="AA3721" t="e">
        <f>IF(#REF!&lt;=15,"Low Charges",
IF(#REF!&lt;=20,"Medium Charges","High Charges"))</f>
        <v>#REF!</v>
      </c>
      <c r="AB3721" t="e">
        <f>IF(AND(#REF!&gt;180, #REF!&gt;200), "Heavy Doemstic User", IF(#REF!&gt;10, "Interntional User", IF(AND(#REF!&lt;180, #REF!&lt;200,#REF!&lt;200), "Light User", "Balanced User")))</f>
        <v>#REF!</v>
      </c>
      <c r="AC3721" t="e">
        <f>IF(#REF! = 0, "No Usage", IF(#REF! &lt;= 20, "Low Usage", IF(#REF! &lt;= 40, "Medium Usgae", "High Usage")))</f>
        <v>#REF!</v>
      </c>
      <c r="AD3721" t="e">
        <f>IF(#REF!&lt;=150,"Low Usage", IF(#REF!&lt;=200,"Medium Usage", IF(#REF!&lt;=250,"High Usage","Very High Usage")))</f>
        <v>#REF!</v>
      </c>
      <c r="AE3721" t="e">
        <f>IF(#REF!&lt;=5,"Low Calls", IF(#REF!&lt;=10, "Medium Calls", "High Calls"))</f>
        <v>#REF!</v>
      </c>
      <c r="AF3721" t="e">
        <f xml:space="preserve">
IF(#REF!&gt;=4,4,0)+
IF(#REF!="yes",3,0)+
IF(#REF!="High Charges",3,0)+
IF(#REF!&gt;250,4,0)+
IF(#REF!="no",1,0)+
IF(#REF!="Heavy Domestic User",2,0)</f>
        <v>#REF!</v>
      </c>
      <c r="AG3721" t="e">
        <f>IF(#REF!&gt;=10,"High Risk", IF(#REF!&gt;=5,"Medium Risk","Low Risk"))</f>
        <v>#REF!</v>
      </c>
      <c r="AH3721" t="e">
        <f>#REF! + #REF! + #REF! + #REF!</f>
        <v>#REF!</v>
      </c>
    </row>
    <row r="3722" spans="1:34" x14ac:dyDescent="0.35">
      <c r="A3722">
        <v>3721</v>
      </c>
      <c r="B3722" t="s">
        <v>73</v>
      </c>
      <c r="C3722">
        <v>137</v>
      </c>
      <c r="D3722" t="s">
        <v>21</v>
      </c>
      <c r="E3722" t="s">
        <v>22</v>
      </c>
      <c r="F3722" t="s">
        <v>23</v>
      </c>
      <c r="G3722">
        <v>25</v>
      </c>
      <c r="H3722">
        <v>174.6</v>
      </c>
      <c r="I3722">
        <v>88</v>
      </c>
      <c r="J3722">
        <v>29.68</v>
      </c>
      <c r="K3722">
        <v>243.8</v>
      </c>
      <c r="L3722">
        <v>118</v>
      </c>
      <c r="M3722">
        <v>20.72</v>
      </c>
      <c r="N3722">
        <v>259.7</v>
      </c>
      <c r="O3722">
        <v>103</v>
      </c>
      <c r="P3722">
        <v>11.69</v>
      </c>
      <c r="Q3722">
        <v>12.2</v>
      </c>
      <c r="R3722">
        <v>3</v>
      </c>
      <c r="S3722">
        <v>3.29</v>
      </c>
      <c r="T3722">
        <v>3</v>
      </c>
      <c r="U3722" t="s">
        <v>22</v>
      </c>
      <c r="V3722" t="e">
        <f>IF(#REF! = "yes", 1, 0)</f>
        <v>#REF!</v>
      </c>
      <c r="W3722" t="e">
        <f>IF(#REF! &lt;= 1, "0-1 Calls", IF(#REF! &lt;= 3, "2-3 Calls", IF(#REF! &lt;=5, "4-5 Calls", "6+ Calls")))</f>
        <v>#REF!</v>
      </c>
      <c r="X3722" t="e">
        <f>IF(#REF! &lt;= 50, "0-50", IF(#REF! &lt;=100, "51-100", IF(#REF! &lt;= 150, "101-150", "151+")))</f>
        <v>#REF!</v>
      </c>
      <c r="Y3722" t="e">
        <f>IF(#REF! &lt;= 3, "Low Charges", "High Charges")</f>
        <v>#REF!</v>
      </c>
      <c r="Z3722" t="e">
        <f>IF(#REF!&lt;=80,"Low Calls",
IF(#REF!&lt;=120,"Medium Calls","High Calls"))</f>
        <v>#REF!</v>
      </c>
      <c r="AA3722" t="e">
        <f>IF(#REF!&lt;=15,"Low Charges",
IF(#REF!&lt;=20,"Medium Charges","High Charges"))</f>
        <v>#REF!</v>
      </c>
      <c r="AB3722" t="e">
        <f>IF(AND(#REF!&gt;180, #REF!&gt;200), "Heavy Doemstic User", IF(#REF!&gt;10, "Interntional User", IF(AND(#REF!&lt;180, #REF!&lt;200,#REF!&lt;200), "Light User", "Balanced User")))</f>
        <v>#REF!</v>
      </c>
      <c r="AC3722" t="e">
        <f>IF(#REF! = 0, "No Usage", IF(#REF! &lt;= 20, "Low Usage", IF(#REF! &lt;= 40, "Medium Usgae", "High Usage")))</f>
        <v>#REF!</v>
      </c>
      <c r="AD3722" t="e">
        <f>IF(#REF!&lt;=150,"Low Usage", IF(#REF!&lt;=200,"Medium Usage", IF(#REF!&lt;=250,"High Usage","Very High Usage")))</f>
        <v>#REF!</v>
      </c>
      <c r="AE3722" t="e">
        <f>IF(#REF!&lt;=5,"Low Calls", IF(#REF!&lt;=10, "Medium Calls", "High Calls"))</f>
        <v>#REF!</v>
      </c>
      <c r="AF3722" t="e">
        <f xml:space="preserve">
IF(#REF!&gt;=4,4,0)+
IF(#REF!="yes",3,0)+
IF(#REF!="High Charges",3,0)+
IF(#REF!&gt;250,4,0)+
IF(#REF!="no",1,0)+
IF(#REF!="Heavy Domestic User",2,0)</f>
        <v>#REF!</v>
      </c>
      <c r="AG3722" t="e">
        <f>IF(#REF!&gt;=10,"High Risk", IF(#REF!&gt;=5,"Medium Risk","Low Risk"))</f>
        <v>#REF!</v>
      </c>
      <c r="AH3722" t="e">
        <f>#REF! + #REF! + #REF! + #REF!</f>
        <v>#REF!</v>
      </c>
    </row>
    <row r="3723" spans="1:34" x14ac:dyDescent="0.35">
      <c r="A3723">
        <v>3722</v>
      </c>
      <c r="B3723" t="s">
        <v>44</v>
      </c>
      <c r="C3723">
        <v>3</v>
      </c>
      <c r="D3723" t="s">
        <v>21</v>
      </c>
      <c r="E3723" t="s">
        <v>22</v>
      </c>
      <c r="F3723" t="s">
        <v>23</v>
      </c>
      <c r="G3723">
        <v>23</v>
      </c>
      <c r="H3723">
        <v>205.5</v>
      </c>
      <c r="I3723">
        <v>102</v>
      </c>
      <c r="J3723">
        <v>34.94</v>
      </c>
      <c r="K3723">
        <v>209.5</v>
      </c>
      <c r="L3723">
        <v>83</v>
      </c>
      <c r="M3723">
        <v>17.809999999999999</v>
      </c>
      <c r="N3723">
        <v>182.3</v>
      </c>
      <c r="O3723">
        <v>99</v>
      </c>
      <c r="P3723">
        <v>8.1999999999999993</v>
      </c>
      <c r="Q3723">
        <v>6.4</v>
      </c>
      <c r="R3723">
        <v>4</v>
      </c>
      <c r="S3723">
        <v>1.73</v>
      </c>
      <c r="T3723">
        <v>0</v>
      </c>
      <c r="U3723" t="s">
        <v>22</v>
      </c>
      <c r="V3723" t="e">
        <f>IF(#REF! = "yes", 1, 0)</f>
        <v>#REF!</v>
      </c>
      <c r="W3723" t="e">
        <f>IF(#REF! &lt;= 1, "0-1 Calls", IF(#REF! &lt;= 3, "2-3 Calls", IF(#REF! &lt;=5, "4-5 Calls", "6+ Calls")))</f>
        <v>#REF!</v>
      </c>
      <c r="X3723" t="e">
        <f>IF(#REF! &lt;= 50, "0-50", IF(#REF! &lt;=100, "51-100", IF(#REF! &lt;= 150, "101-150", "151+")))</f>
        <v>#REF!</v>
      </c>
      <c r="Y3723" t="e">
        <f>IF(#REF! &lt;= 3, "Low Charges", "High Charges")</f>
        <v>#REF!</v>
      </c>
      <c r="Z3723" t="e">
        <f>IF(#REF!&lt;=80,"Low Calls",
IF(#REF!&lt;=120,"Medium Calls","High Calls"))</f>
        <v>#REF!</v>
      </c>
      <c r="AA3723" t="e">
        <f>IF(#REF!&lt;=15,"Low Charges",
IF(#REF!&lt;=20,"Medium Charges","High Charges"))</f>
        <v>#REF!</v>
      </c>
      <c r="AB3723" t="e">
        <f>IF(AND(#REF!&gt;180, #REF!&gt;200), "Heavy Doemstic User", IF(#REF!&gt;10, "Interntional User", IF(AND(#REF!&lt;180, #REF!&lt;200,#REF!&lt;200), "Light User", "Balanced User")))</f>
        <v>#REF!</v>
      </c>
      <c r="AC3723" t="e">
        <f>IF(#REF! = 0, "No Usage", IF(#REF! &lt;= 20, "Low Usage", IF(#REF! &lt;= 40, "Medium Usgae", "High Usage")))</f>
        <v>#REF!</v>
      </c>
      <c r="AD3723" t="e">
        <f>IF(#REF!&lt;=150,"Low Usage", IF(#REF!&lt;=200,"Medium Usage", IF(#REF!&lt;=250,"High Usage","Very High Usage")))</f>
        <v>#REF!</v>
      </c>
      <c r="AE3723" t="e">
        <f>IF(#REF!&lt;=5,"Low Calls", IF(#REF!&lt;=10, "Medium Calls", "High Calls"))</f>
        <v>#REF!</v>
      </c>
      <c r="AF3723" t="e">
        <f xml:space="preserve">
IF(#REF!&gt;=4,4,0)+
IF(#REF!="yes",3,0)+
IF(#REF!="High Charges",3,0)+
IF(#REF!&gt;250,4,0)+
IF(#REF!="no",1,0)+
IF(#REF!="Heavy Domestic User",2,0)</f>
        <v>#REF!</v>
      </c>
      <c r="AG3723" t="e">
        <f>IF(#REF!&gt;=10,"High Risk", IF(#REF!&gt;=5,"Medium Risk","Low Risk"))</f>
        <v>#REF!</v>
      </c>
      <c r="AH3723" t="e">
        <f>#REF! + #REF! + #REF! + #REF!</f>
        <v>#REF!</v>
      </c>
    </row>
    <row r="3724" spans="1:34" x14ac:dyDescent="0.35">
      <c r="A3724">
        <v>3723</v>
      </c>
      <c r="B3724" t="s">
        <v>33</v>
      </c>
      <c r="C3724">
        <v>137</v>
      </c>
      <c r="D3724" t="s">
        <v>21</v>
      </c>
      <c r="E3724" t="s">
        <v>22</v>
      </c>
      <c r="F3724" t="s">
        <v>22</v>
      </c>
      <c r="G3724">
        <v>0</v>
      </c>
      <c r="H3724">
        <v>209.1</v>
      </c>
      <c r="I3724">
        <v>104</v>
      </c>
      <c r="J3724">
        <v>35.549999999999997</v>
      </c>
      <c r="K3724">
        <v>189.4</v>
      </c>
      <c r="L3724">
        <v>96</v>
      </c>
      <c r="M3724">
        <v>16.100000000000001</v>
      </c>
      <c r="N3724">
        <v>214.4</v>
      </c>
      <c r="O3724">
        <v>83</v>
      </c>
      <c r="P3724">
        <v>9.65</v>
      </c>
      <c r="Q3724">
        <v>14.8</v>
      </c>
      <c r="R3724">
        <v>4</v>
      </c>
      <c r="S3724">
        <v>4</v>
      </c>
      <c r="T3724">
        <v>3</v>
      </c>
      <c r="U3724" t="s">
        <v>22</v>
      </c>
      <c r="V3724" t="e">
        <f>IF(#REF! = "yes", 1, 0)</f>
        <v>#REF!</v>
      </c>
      <c r="W3724" t="e">
        <f>IF(#REF! &lt;= 1, "0-1 Calls", IF(#REF! &lt;= 3, "2-3 Calls", IF(#REF! &lt;=5, "4-5 Calls", "6+ Calls")))</f>
        <v>#REF!</v>
      </c>
      <c r="X3724" t="e">
        <f>IF(#REF! &lt;= 50, "0-50", IF(#REF! &lt;=100, "51-100", IF(#REF! &lt;= 150, "101-150", "151+")))</f>
        <v>#REF!</v>
      </c>
      <c r="Y3724" t="e">
        <f>IF(#REF! &lt;= 3, "Low Charges", "High Charges")</f>
        <v>#REF!</v>
      </c>
      <c r="Z3724" t="e">
        <f>IF(#REF!&lt;=80,"Low Calls",
IF(#REF!&lt;=120,"Medium Calls","High Calls"))</f>
        <v>#REF!</v>
      </c>
      <c r="AA3724" t="e">
        <f>IF(#REF!&lt;=15,"Low Charges",
IF(#REF!&lt;=20,"Medium Charges","High Charges"))</f>
        <v>#REF!</v>
      </c>
      <c r="AB3724" t="e">
        <f>IF(AND(#REF!&gt;180, #REF!&gt;200), "Heavy Doemstic User", IF(#REF!&gt;10, "Interntional User", IF(AND(#REF!&lt;180, #REF!&lt;200,#REF!&lt;200), "Light User", "Balanced User")))</f>
        <v>#REF!</v>
      </c>
      <c r="AC3724" t="e">
        <f>IF(#REF! = 0, "No Usage", IF(#REF! &lt;= 20, "Low Usage", IF(#REF! &lt;= 40, "Medium Usgae", "High Usage")))</f>
        <v>#REF!</v>
      </c>
      <c r="AD3724" t="e">
        <f>IF(#REF!&lt;=150,"Low Usage", IF(#REF!&lt;=200,"Medium Usage", IF(#REF!&lt;=250,"High Usage","Very High Usage")))</f>
        <v>#REF!</v>
      </c>
      <c r="AE3724" t="e">
        <f>IF(#REF!&lt;=5,"Low Calls", IF(#REF!&lt;=10, "Medium Calls", "High Calls"))</f>
        <v>#REF!</v>
      </c>
      <c r="AF3724" t="e">
        <f xml:space="preserve">
IF(#REF!&gt;=4,4,0)+
IF(#REF!="yes",3,0)+
IF(#REF!="High Charges",3,0)+
IF(#REF!&gt;250,4,0)+
IF(#REF!="no",1,0)+
IF(#REF!="Heavy Domestic User",2,0)</f>
        <v>#REF!</v>
      </c>
      <c r="AG3724" t="e">
        <f>IF(#REF!&gt;=10,"High Risk", IF(#REF!&gt;=5,"Medium Risk","Low Risk"))</f>
        <v>#REF!</v>
      </c>
      <c r="AH3724" t="e">
        <f>#REF! + #REF! + #REF! + #REF!</f>
        <v>#REF!</v>
      </c>
    </row>
    <row r="3725" spans="1:34" x14ac:dyDescent="0.35">
      <c r="A3725">
        <v>3724</v>
      </c>
      <c r="B3725" t="s">
        <v>33</v>
      </c>
      <c r="C3725">
        <v>42</v>
      </c>
      <c r="D3725" t="s">
        <v>21</v>
      </c>
      <c r="E3725" t="s">
        <v>22</v>
      </c>
      <c r="F3725" t="s">
        <v>22</v>
      </c>
      <c r="G3725">
        <v>0</v>
      </c>
      <c r="H3725">
        <v>251.1</v>
      </c>
      <c r="I3725">
        <v>81</v>
      </c>
      <c r="J3725">
        <v>42.69</v>
      </c>
      <c r="K3725">
        <v>178.3</v>
      </c>
      <c r="L3725">
        <v>106</v>
      </c>
      <c r="M3725">
        <v>15.16</v>
      </c>
      <c r="N3725">
        <v>184.6</v>
      </c>
      <c r="O3725">
        <v>90</v>
      </c>
      <c r="P3725">
        <v>8.31</v>
      </c>
      <c r="Q3725">
        <v>12.7</v>
      </c>
      <c r="R3725">
        <v>5</v>
      </c>
      <c r="S3725">
        <v>3.43</v>
      </c>
      <c r="T3725">
        <v>0</v>
      </c>
      <c r="U3725" t="s">
        <v>22</v>
      </c>
      <c r="V3725" t="e">
        <f>IF(#REF! = "yes", 1, 0)</f>
        <v>#REF!</v>
      </c>
      <c r="W3725" t="e">
        <f>IF(#REF! &lt;= 1, "0-1 Calls", IF(#REF! &lt;= 3, "2-3 Calls", IF(#REF! &lt;=5, "4-5 Calls", "6+ Calls")))</f>
        <v>#REF!</v>
      </c>
      <c r="X3725" t="e">
        <f>IF(#REF! &lt;= 50, "0-50", IF(#REF! &lt;=100, "51-100", IF(#REF! &lt;= 150, "101-150", "151+")))</f>
        <v>#REF!</v>
      </c>
      <c r="Y3725" t="e">
        <f>IF(#REF! &lt;= 3, "Low Charges", "High Charges")</f>
        <v>#REF!</v>
      </c>
      <c r="Z3725" t="e">
        <f>IF(#REF!&lt;=80,"Low Calls",
IF(#REF!&lt;=120,"Medium Calls","High Calls"))</f>
        <v>#REF!</v>
      </c>
      <c r="AA3725" t="e">
        <f>IF(#REF!&lt;=15,"Low Charges",
IF(#REF!&lt;=20,"Medium Charges","High Charges"))</f>
        <v>#REF!</v>
      </c>
      <c r="AB3725" t="e">
        <f>IF(AND(#REF!&gt;180, #REF!&gt;200), "Heavy Doemstic User", IF(#REF!&gt;10, "Interntional User", IF(AND(#REF!&lt;180, #REF!&lt;200,#REF!&lt;200), "Light User", "Balanced User")))</f>
        <v>#REF!</v>
      </c>
      <c r="AC3725" t="e">
        <f>IF(#REF! = 0, "No Usage", IF(#REF! &lt;= 20, "Low Usage", IF(#REF! &lt;= 40, "Medium Usgae", "High Usage")))</f>
        <v>#REF!</v>
      </c>
      <c r="AD3725" t="e">
        <f>IF(#REF!&lt;=150,"Low Usage", IF(#REF!&lt;=200,"Medium Usage", IF(#REF!&lt;=250,"High Usage","Very High Usage")))</f>
        <v>#REF!</v>
      </c>
      <c r="AE3725" t="e">
        <f>IF(#REF!&lt;=5,"Low Calls", IF(#REF!&lt;=10, "Medium Calls", "High Calls"))</f>
        <v>#REF!</v>
      </c>
      <c r="AF3725" t="e">
        <f xml:space="preserve">
IF(#REF!&gt;=4,4,0)+
IF(#REF!="yes",3,0)+
IF(#REF!="High Charges",3,0)+
IF(#REF!&gt;250,4,0)+
IF(#REF!="no",1,0)+
IF(#REF!="Heavy Domestic User",2,0)</f>
        <v>#REF!</v>
      </c>
      <c r="AG3725" t="e">
        <f>IF(#REF!&gt;=10,"High Risk", IF(#REF!&gt;=5,"Medium Risk","Low Risk"))</f>
        <v>#REF!</v>
      </c>
      <c r="AH3725" t="e">
        <f>#REF! + #REF! + #REF! + #REF!</f>
        <v>#REF!</v>
      </c>
    </row>
    <row r="3726" spans="1:34" x14ac:dyDescent="0.35">
      <c r="A3726">
        <v>3725</v>
      </c>
      <c r="B3726" t="s">
        <v>49</v>
      </c>
      <c r="C3726">
        <v>58</v>
      </c>
      <c r="D3726" t="s">
        <v>25</v>
      </c>
      <c r="E3726" t="s">
        <v>22</v>
      </c>
      <c r="F3726" t="s">
        <v>22</v>
      </c>
      <c r="G3726">
        <v>0</v>
      </c>
      <c r="H3726">
        <v>187.6</v>
      </c>
      <c r="I3726">
        <v>113</v>
      </c>
      <c r="J3726">
        <v>31.89</v>
      </c>
      <c r="K3726">
        <v>217.4</v>
      </c>
      <c r="L3726">
        <v>115</v>
      </c>
      <c r="M3726">
        <v>18.48</v>
      </c>
      <c r="N3726">
        <v>139.69999999999999</v>
      </c>
      <c r="O3726">
        <v>92</v>
      </c>
      <c r="P3726">
        <v>6.29</v>
      </c>
      <c r="Q3726">
        <v>9.8000000000000007</v>
      </c>
      <c r="R3726">
        <v>5</v>
      </c>
      <c r="S3726">
        <v>2.65</v>
      </c>
      <c r="T3726">
        <v>3</v>
      </c>
      <c r="U3726" t="s">
        <v>22</v>
      </c>
      <c r="V3726" t="e">
        <f>IF(#REF! = "yes", 1, 0)</f>
        <v>#REF!</v>
      </c>
      <c r="W3726" t="e">
        <f>IF(#REF! &lt;= 1, "0-1 Calls", IF(#REF! &lt;= 3, "2-3 Calls", IF(#REF! &lt;=5, "4-5 Calls", "6+ Calls")))</f>
        <v>#REF!</v>
      </c>
      <c r="X3726" t="e">
        <f>IF(#REF! &lt;= 50, "0-50", IF(#REF! &lt;=100, "51-100", IF(#REF! &lt;= 150, "101-150", "151+")))</f>
        <v>#REF!</v>
      </c>
      <c r="Y3726" t="e">
        <f>IF(#REF! &lt;= 3, "Low Charges", "High Charges")</f>
        <v>#REF!</v>
      </c>
      <c r="Z3726" t="e">
        <f>IF(#REF!&lt;=80,"Low Calls",
IF(#REF!&lt;=120,"Medium Calls","High Calls"))</f>
        <v>#REF!</v>
      </c>
      <c r="AA3726" t="e">
        <f>IF(#REF!&lt;=15,"Low Charges",
IF(#REF!&lt;=20,"Medium Charges","High Charges"))</f>
        <v>#REF!</v>
      </c>
      <c r="AB3726" t="e">
        <f>IF(AND(#REF!&gt;180, #REF!&gt;200), "Heavy Doemstic User", IF(#REF!&gt;10, "Interntional User", IF(AND(#REF!&lt;180, #REF!&lt;200,#REF!&lt;200), "Light User", "Balanced User")))</f>
        <v>#REF!</v>
      </c>
      <c r="AC3726" t="e">
        <f>IF(#REF! = 0, "No Usage", IF(#REF! &lt;= 20, "Low Usage", IF(#REF! &lt;= 40, "Medium Usgae", "High Usage")))</f>
        <v>#REF!</v>
      </c>
      <c r="AD3726" t="e">
        <f>IF(#REF!&lt;=150,"Low Usage", IF(#REF!&lt;=200,"Medium Usage", IF(#REF!&lt;=250,"High Usage","Very High Usage")))</f>
        <v>#REF!</v>
      </c>
      <c r="AE3726" t="e">
        <f>IF(#REF!&lt;=5,"Low Calls", IF(#REF!&lt;=10, "Medium Calls", "High Calls"))</f>
        <v>#REF!</v>
      </c>
      <c r="AF3726" t="e">
        <f xml:space="preserve">
IF(#REF!&gt;=4,4,0)+
IF(#REF!="yes",3,0)+
IF(#REF!="High Charges",3,0)+
IF(#REF!&gt;250,4,0)+
IF(#REF!="no",1,0)+
IF(#REF!="Heavy Domestic User",2,0)</f>
        <v>#REF!</v>
      </c>
      <c r="AG3726" t="e">
        <f>IF(#REF!&gt;=10,"High Risk", IF(#REF!&gt;=5,"Medium Risk","Low Risk"))</f>
        <v>#REF!</v>
      </c>
      <c r="AH3726" t="e">
        <f>#REF! + #REF! + #REF! + #REF!</f>
        <v>#REF!</v>
      </c>
    </row>
    <row r="3727" spans="1:34" x14ac:dyDescent="0.35">
      <c r="A3727">
        <v>3726</v>
      </c>
      <c r="B3727" t="s">
        <v>65</v>
      </c>
      <c r="C3727">
        <v>55</v>
      </c>
      <c r="D3727" t="s">
        <v>21</v>
      </c>
      <c r="E3727" t="s">
        <v>22</v>
      </c>
      <c r="F3727" t="s">
        <v>23</v>
      </c>
      <c r="G3727">
        <v>37</v>
      </c>
      <c r="H3727">
        <v>197.5</v>
      </c>
      <c r="I3727">
        <v>89</v>
      </c>
      <c r="J3727">
        <v>33.58</v>
      </c>
      <c r="K3727">
        <v>228.7</v>
      </c>
      <c r="L3727">
        <v>141</v>
      </c>
      <c r="M3727">
        <v>19.440000000000001</v>
      </c>
      <c r="N3727">
        <v>313.39999999999998</v>
      </c>
      <c r="O3727">
        <v>121</v>
      </c>
      <c r="P3727">
        <v>14.1</v>
      </c>
      <c r="Q3727">
        <v>19.7</v>
      </c>
      <c r="R3727">
        <v>2</v>
      </c>
      <c r="S3727">
        <v>5.32</v>
      </c>
      <c r="T3727">
        <v>1</v>
      </c>
      <c r="U3727" t="s">
        <v>22</v>
      </c>
      <c r="V3727" t="e">
        <f>IF(#REF! = "yes", 1, 0)</f>
        <v>#REF!</v>
      </c>
      <c r="W3727" t="e">
        <f>IF(#REF! &lt;= 1, "0-1 Calls", IF(#REF! &lt;= 3, "2-3 Calls", IF(#REF! &lt;=5, "4-5 Calls", "6+ Calls")))</f>
        <v>#REF!</v>
      </c>
      <c r="X3727" t="e">
        <f>IF(#REF! &lt;= 50, "0-50", IF(#REF! &lt;=100, "51-100", IF(#REF! &lt;= 150, "101-150", "151+")))</f>
        <v>#REF!</v>
      </c>
      <c r="Y3727" t="e">
        <f>IF(#REF! &lt;= 3, "Low Charges", "High Charges")</f>
        <v>#REF!</v>
      </c>
      <c r="Z3727" t="e">
        <f>IF(#REF!&lt;=80,"Low Calls",
IF(#REF!&lt;=120,"Medium Calls","High Calls"))</f>
        <v>#REF!</v>
      </c>
      <c r="AA3727" t="e">
        <f>IF(#REF!&lt;=15,"Low Charges",
IF(#REF!&lt;=20,"Medium Charges","High Charges"))</f>
        <v>#REF!</v>
      </c>
      <c r="AB3727" t="e">
        <f>IF(AND(#REF!&gt;180, #REF!&gt;200), "Heavy Doemstic User", IF(#REF!&gt;10, "Interntional User", IF(AND(#REF!&lt;180, #REF!&lt;200,#REF!&lt;200), "Light User", "Balanced User")))</f>
        <v>#REF!</v>
      </c>
      <c r="AC3727" t="e">
        <f>IF(#REF! = 0, "No Usage", IF(#REF! &lt;= 20, "Low Usage", IF(#REF! &lt;= 40, "Medium Usgae", "High Usage")))</f>
        <v>#REF!</v>
      </c>
      <c r="AD3727" t="e">
        <f>IF(#REF!&lt;=150,"Low Usage", IF(#REF!&lt;=200,"Medium Usage", IF(#REF!&lt;=250,"High Usage","Very High Usage")))</f>
        <v>#REF!</v>
      </c>
      <c r="AE3727" t="e">
        <f>IF(#REF!&lt;=5,"Low Calls", IF(#REF!&lt;=10, "Medium Calls", "High Calls"))</f>
        <v>#REF!</v>
      </c>
      <c r="AF3727" t="e">
        <f xml:space="preserve">
IF(#REF!&gt;=4,4,0)+
IF(#REF!="yes",3,0)+
IF(#REF!="High Charges",3,0)+
IF(#REF!&gt;250,4,0)+
IF(#REF!="no",1,0)+
IF(#REF!="Heavy Domestic User",2,0)</f>
        <v>#REF!</v>
      </c>
      <c r="AG3727" t="e">
        <f>IF(#REF!&gt;=10,"High Risk", IF(#REF!&gt;=5,"Medium Risk","Low Risk"))</f>
        <v>#REF!</v>
      </c>
      <c r="AH3727" t="e">
        <f>#REF! + #REF! + #REF! + #REF!</f>
        <v>#REF!</v>
      </c>
    </row>
    <row r="3728" spans="1:34" x14ac:dyDescent="0.35">
      <c r="A3728">
        <v>3727</v>
      </c>
      <c r="B3728" t="s">
        <v>20</v>
      </c>
      <c r="C3728">
        <v>69</v>
      </c>
      <c r="D3728" t="s">
        <v>28</v>
      </c>
      <c r="E3728" t="s">
        <v>22</v>
      </c>
      <c r="F3728" t="s">
        <v>22</v>
      </c>
      <c r="G3728">
        <v>0</v>
      </c>
      <c r="H3728">
        <v>221.6</v>
      </c>
      <c r="I3728">
        <v>88</v>
      </c>
      <c r="J3728">
        <v>37.67</v>
      </c>
      <c r="K3728">
        <v>231.8</v>
      </c>
      <c r="L3728">
        <v>87</v>
      </c>
      <c r="M3728">
        <v>19.7</v>
      </c>
      <c r="N3728">
        <v>211.7</v>
      </c>
      <c r="O3728">
        <v>116</v>
      </c>
      <c r="P3728">
        <v>9.5299999999999994</v>
      </c>
      <c r="Q3728">
        <v>8.6</v>
      </c>
      <c r="R3728">
        <v>9</v>
      </c>
      <c r="S3728">
        <v>2.3199999999999998</v>
      </c>
      <c r="T3728">
        <v>1</v>
      </c>
      <c r="U3728" t="s">
        <v>22</v>
      </c>
      <c r="V3728" t="e">
        <f>IF(#REF! = "yes", 1, 0)</f>
        <v>#REF!</v>
      </c>
      <c r="W3728" t="e">
        <f>IF(#REF! &lt;= 1, "0-1 Calls", IF(#REF! &lt;= 3, "2-3 Calls", IF(#REF! &lt;=5, "4-5 Calls", "6+ Calls")))</f>
        <v>#REF!</v>
      </c>
      <c r="X3728" t="e">
        <f>IF(#REF! &lt;= 50, "0-50", IF(#REF! &lt;=100, "51-100", IF(#REF! &lt;= 150, "101-150", "151+")))</f>
        <v>#REF!</v>
      </c>
      <c r="Y3728" t="e">
        <f>IF(#REF! &lt;= 3, "Low Charges", "High Charges")</f>
        <v>#REF!</v>
      </c>
      <c r="Z3728" t="e">
        <f>IF(#REF!&lt;=80,"Low Calls",
IF(#REF!&lt;=120,"Medium Calls","High Calls"))</f>
        <v>#REF!</v>
      </c>
      <c r="AA3728" t="e">
        <f>IF(#REF!&lt;=15,"Low Charges",
IF(#REF!&lt;=20,"Medium Charges","High Charges"))</f>
        <v>#REF!</v>
      </c>
      <c r="AB3728" t="e">
        <f>IF(AND(#REF!&gt;180, #REF!&gt;200), "Heavy Doemstic User", IF(#REF!&gt;10, "Interntional User", IF(AND(#REF!&lt;180, #REF!&lt;200,#REF!&lt;200), "Light User", "Balanced User")))</f>
        <v>#REF!</v>
      </c>
      <c r="AC3728" t="e">
        <f>IF(#REF! = 0, "No Usage", IF(#REF! &lt;= 20, "Low Usage", IF(#REF! &lt;= 40, "Medium Usgae", "High Usage")))</f>
        <v>#REF!</v>
      </c>
      <c r="AD3728" t="e">
        <f>IF(#REF!&lt;=150,"Low Usage", IF(#REF!&lt;=200,"Medium Usage", IF(#REF!&lt;=250,"High Usage","Very High Usage")))</f>
        <v>#REF!</v>
      </c>
      <c r="AE3728" t="e">
        <f>IF(#REF!&lt;=5,"Low Calls", IF(#REF!&lt;=10, "Medium Calls", "High Calls"))</f>
        <v>#REF!</v>
      </c>
      <c r="AF3728" t="e">
        <f xml:space="preserve">
IF(#REF!&gt;=4,4,0)+
IF(#REF!="yes",3,0)+
IF(#REF!="High Charges",3,0)+
IF(#REF!&gt;250,4,0)+
IF(#REF!="no",1,0)+
IF(#REF!="Heavy Domestic User",2,0)</f>
        <v>#REF!</v>
      </c>
      <c r="AG3728" t="e">
        <f>IF(#REF!&gt;=10,"High Risk", IF(#REF!&gt;=5,"Medium Risk","Low Risk"))</f>
        <v>#REF!</v>
      </c>
      <c r="AH3728" t="e">
        <f>#REF! + #REF! + #REF! + #REF!</f>
        <v>#REF!</v>
      </c>
    </row>
    <row r="3729" spans="1:34" x14ac:dyDescent="0.35">
      <c r="A3729">
        <v>3728</v>
      </c>
      <c r="B3729" t="s">
        <v>38</v>
      </c>
      <c r="C3729">
        <v>100</v>
      </c>
      <c r="D3729" t="s">
        <v>21</v>
      </c>
      <c r="E3729" t="s">
        <v>22</v>
      </c>
      <c r="F3729" t="s">
        <v>22</v>
      </c>
      <c r="G3729">
        <v>0</v>
      </c>
      <c r="H3729">
        <v>200.7</v>
      </c>
      <c r="I3729">
        <v>151</v>
      </c>
      <c r="J3729">
        <v>34.119999999999997</v>
      </c>
      <c r="K3729">
        <v>290.8</v>
      </c>
      <c r="L3729">
        <v>127</v>
      </c>
      <c r="M3729">
        <v>24.72</v>
      </c>
      <c r="N3729">
        <v>186.7</v>
      </c>
      <c r="O3729">
        <v>105</v>
      </c>
      <c r="P3729">
        <v>8.4</v>
      </c>
      <c r="Q3729">
        <v>10.199999999999999</v>
      </c>
      <c r="R3729">
        <v>9</v>
      </c>
      <c r="S3729">
        <v>2.75</v>
      </c>
      <c r="T3729">
        <v>1</v>
      </c>
      <c r="U3729" t="s">
        <v>22</v>
      </c>
      <c r="V3729" t="e">
        <f>IF(#REF! = "yes", 1, 0)</f>
        <v>#REF!</v>
      </c>
      <c r="W3729" t="e">
        <f>IF(#REF! &lt;= 1, "0-1 Calls", IF(#REF! &lt;= 3, "2-3 Calls", IF(#REF! &lt;=5, "4-5 Calls", "6+ Calls")))</f>
        <v>#REF!</v>
      </c>
      <c r="X3729" t="e">
        <f>IF(#REF! &lt;= 50, "0-50", IF(#REF! &lt;=100, "51-100", IF(#REF! &lt;= 150, "101-150", "151+")))</f>
        <v>#REF!</v>
      </c>
      <c r="Y3729" t="e">
        <f>IF(#REF! &lt;= 3, "Low Charges", "High Charges")</f>
        <v>#REF!</v>
      </c>
      <c r="Z3729" t="e">
        <f>IF(#REF!&lt;=80,"Low Calls",
IF(#REF!&lt;=120,"Medium Calls","High Calls"))</f>
        <v>#REF!</v>
      </c>
      <c r="AA3729" t="e">
        <f>IF(#REF!&lt;=15,"Low Charges",
IF(#REF!&lt;=20,"Medium Charges","High Charges"))</f>
        <v>#REF!</v>
      </c>
      <c r="AB3729" t="e">
        <f>IF(AND(#REF!&gt;180, #REF!&gt;200), "Heavy Doemstic User", IF(#REF!&gt;10, "Interntional User", IF(AND(#REF!&lt;180, #REF!&lt;200,#REF!&lt;200), "Light User", "Balanced User")))</f>
        <v>#REF!</v>
      </c>
      <c r="AC3729" t="e">
        <f>IF(#REF! = 0, "No Usage", IF(#REF! &lt;= 20, "Low Usage", IF(#REF! &lt;= 40, "Medium Usgae", "High Usage")))</f>
        <v>#REF!</v>
      </c>
      <c r="AD3729" t="e">
        <f>IF(#REF!&lt;=150,"Low Usage", IF(#REF!&lt;=200,"Medium Usage", IF(#REF!&lt;=250,"High Usage","Very High Usage")))</f>
        <v>#REF!</v>
      </c>
      <c r="AE3729" t="e">
        <f>IF(#REF!&lt;=5,"Low Calls", IF(#REF!&lt;=10, "Medium Calls", "High Calls"))</f>
        <v>#REF!</v>
      </c>
      <c r="AF3729" t="e">
        <f xml:space="preserve">
IF(#REF!&gt;=4,4,0)+
IF(#REF!="yes",3,0)+
IF(#REF!="High Charges",3,0)+
IF(#REF!&gt;250,4,0)+
IF(#REF!="no",1,0)+
IF(#REF!="Heavy Domestic User",2,0)</f>
        <v>#REF!</v>
      </c>
      <c r="AG3729" t="e">
        <f>IF(#REF!&gt;=10,"High Risk", IF(#REF!&gt;=5,"Medium Risk","Low Risk"))</f>
        <v>#REF!</v>
      </c>
      <c r="AH3729" t="e">
        <f>#REF! + #REF! + #REF! + #REF!</f>
        <v>#REF!</v>
      </c>
    </row>
    <row r="3730" spans="1:34" x14ac:dyDescent="0.35">
      <c r="A3730">
        <v>3729</v>
      </c>
      <c r="B3730" t="s">
        <v>73</v>
      </c>
      <c r="C3730">
        <v>86</v>
      </c>
      <c r="D3730" t="s">
        <v>28</v>
      </c>
      <c r="E3730" t="s">
        <v>22</v>
      </c>
      <c r="F3730" t="s">
        <v>22</v>
      </c>
      <c r="G3730">
        <v>0</v>
      </c>
      <c r="H3730">
        <v>212.8</v>
      </c>
      <c r="I3730">
        <v>79</v>
      </c>
      <c r="J3730">
        <v>36.18</v>
      </c>
      <c r="K3730">
        <v>90.9</v>
      </c>
      <c r="L3730">
        <v>145</v>
      </c>
      <c r="M3730">
        <v>7.73</v>
      </c>
      <c r="N3730">
        <v>152.30000000000001</v>
      </c>
      <c r="O3730">
        <v>67</v>
      </c>
      <c r="P3730">
        <v>6.85</v>
      </c>
      <c r="Q3730">
        <v>11.9</v>
      </c>
      <c r="R3730">
        <v>3</v>
      </c>
      <c r="S3730">
        <v>3.21</v>
      </c>
      <c r="T3730">
        <v>2</v>
      </c>
      <c r="U3730" t="s">
        <v>22</v>
      </c>
      <c r="V3730" t="e">
        <f>IF(#REF! = "yes", 1, 0)</f>
        <v>#REF!</v>
      </c>
      <c r="W3730" t="e">
        <f>IF(#REF! &lt;= 1, "0-1 Calls", IF(#REF! &lt;= 3, "2-3 Calls", IF(#REF! &lt;=5, "4-5 Calls", "6+ Calls")))</f>
        <v>#REF!</v>
      </c>
      <c r="X3730" t="e">
        <f>IF(#REF! &lt;= 50, "0-50", IF(#REF! &lt;=100, "51-100", IF(#REF! &lt;= 150, "101-150", "151+")))</f>
        <v>#REF!</v>
      </c>
      <c r="Y3730" t="e">
        <f>IF(#REF! &lt;= 3, "Low Charges", "High Charges")</f>
        <v>#REF!</v>
      </c>
      <c r="Z3730" t="e">
        <f>IF(#REF!&lt;=80,"Low Calls",
IF(#REF!&lt;=120,"Medium Calls","High Calls"))</f>
        <v>#REF!</v>
      </c>
      <c r="AA3730" t="e">
        <f>IF(#REF!&lt;=15,"Low Charges",
IF(#REF!&lt;=20,"Medium Charges","High Charges"))</f>
        <v>#REF!</v>
      </c>
      <c r="AB3730" t="e">
        <f>IF(AND(#REF!&gt;180, #REF!&gt;200), "Heavy Doemstic User", IF(#REF!&gt;10, "Interntional User", IF(AND(#REF!&lt;180, #REF!&lt;200,#REF!&lt;200), "Light User", "Balanced User")))</f>
        <v>#REF!</v>
      </c>
      <c r="AC3730" t="e">
        <f>IF(#REF! = 0, "No Usage", IF(#REF! &lt;= 20, "Low Usage", IF(#REF! &lt;= 40, "Medium Usgae", "High Usage")))</f>
        <v>#REF!</v>
      </c>
      <c r="AD3730" t="e">
        <f>IF(#REF!&lt;=150,"Low Usage", IF(#REF!&lt;=200,"Medium Usage", IF(#REF!&lt;=250,"High Usage","Very High Usage")))</f>
        <v>#REF!</v>
      </c>
      <c r="AE3730" t="e">
        <f>IF(#REF!&lt;=5,"Low Calls", IF(#REF!&lt;=10, "Medium Calls", "High Calls"))</f>
        <v>#REF!</v>
      </c>
      <c r="AF3730" t="e">
        <f xml:space="preserve">
IF(#REF!&gt;=4,4,0)+
IF(#REF!="yes",3,0)+
IF(#REF!="High Charges",3,0)+
IF(#REF!&gt;250,4,0)+
IF(#REF!="no",1,0)+
IF(#REF!="Heavy Domestic User",2,0)</f>
        <v>#REF!</v>
      </c>
      <c r="AG3730" t="e">
        <f>IF(#REF!&gt;=10,"High Risk", IF(#REF!&gt;=5,"Medium Risk","Low Risk"))</f>
        <v>#REF!</v>
      </c>
      <c r="AH3730" t="e">
        <f>#REF! + #REF! + #REF! + #REF!</f>
        <v>#REF!</v>
      </c>
    </row>
    <row r="3731" spans="1:34" x14ac:dyDescent="0.35">
      <c r="A3731">
        <v>3730</v>
      </c>
      <c r="B3731" t="s">
        <v>69</v>
      </c>
      <c r="C3731">
        <v>105</v>
      </c>
      <c r="D3731" t="s">
        <v>28</v>
      </c>
      <c r="E3731" t="s">
        <v>22</v>
      </c>
      <c r="F3731" t="s">
        <v>22</v>
      </c>
      <c r="G3731">
        <v>0</v>
      </c>
      <c r="H3731">
        <v>213.3</v>
      </c>
      <c r="I3731">
        <v>99</v>
      </c>
      <c r="J3731">
        <v>36.26</v>
      </c>
      <c r="K3731">
        <v>153.1</v>
      </c>
      <c r="L3731">
        <v>79</v>
      </c>
      <c r="M3731">
        <v>13.01</v>
      </c>
      <c r="N3731">
        <v>227.9</v>
      </c>
      <c r="O3731">
        <v>98</v>
      </c>
      <c r="P3731">
        <v>10.26</v>
      </c>
      <c r="Q3731">
        <v>10.8</v>
      </c>
      <c r="R3731">
        <v>5</v>
      </c>
      <c r="S3731">
        <v>2.92</v>
      </c>
      <c r="T3731">
        <v>1</v>
      </c>
      <c r="U3731" t="s">
        <v>22</v>
      </c>
      <c r="V3731" t="e">
        <f>IF(#REF! = "yes", 1, 0)</f>
        <v>#REF!</v>
      </c>
      <c r="W3731" t="e">
        <f>IF(#REF! &lt;= 1, "0-1 Calls", IF(#REF! &lt;= 3, "2-3 Calls", IF(#REF! &lt;=5, "4-5 Calls", "6+ Calls")))</f>
        <v>#REF!</v>
      </c>
      <c r="X3731" t="e">
        <f>IF(#REF! &lt;= 50, "0-50", IF(#REF! &lt;=100, "51-100", IF(#REF! &lt;= 150, "101-150", "151+")))</f>
        <v>#REF!</v>
      </c>
      <c r="Y3731" t="e">
        <f>IF(#REF! &lt;= 3, "Low Charges", "High Charges")</f>
        <v>#REF!</v>
      </c>
      <c r="Z3731" t="e">
        <f>IF(#REF!&lt;=80,"Low Calls",
IF(#REF!&lt;=120,"Medium Calls","High Calls"))</f>
        <v>#REF!</v>
      </c>
      <c r="AA3731" t="e">
        <f>IF(#REF!&lt;=15,"Low Charges",
IF(#REF!&lt;=20,"Medium Charges","High Charges"))</f>
        <v>#REF!</v>
      </c>
      <c r="AB3731" t="e">
        <f>IF(AND(#REF!&gt;180, #REF!&gt;200), "Heavy Doemstic User", IF(#REF!&gt;10, "Interntional User", IF(AND(#REF!&lt;180, #REF!&lt;200,#REF!&lt;200), "Light User", "Balanced User")))</f>
        <v>#REF!</v>
      </c>
      <c r="AC3731" t="e">
        <f>IF(#REF! = 0, "No Usage", IF(#REF! &lt;= 20, "Low Usage", IF(#REF! &lt;= 40, "Medium Usgae", "High Usage")))</f>
        <v>#REF!</v>
      </c>
      <c r="AD3731" t="e">
        <f>IF(#REF!&lt;=150,"Low Usage", IF(#REF!&lt;=200,"Medium Usage", IF(#REF!&lt;=250,"High Usage","Very High Usage")))</f>
        <v>#REF!</v>
      </c>
      <c r="AE3731" t="e">
        <f>IF(#REF!&lt;=5,"Low Calls", IF(#REF!&lt;=10, "Medium Calls", "High Calls"))</f>
        <v>#REF!</v>
      </c>
      <c r="AF3731" t="e">
        <f xml:space="preserve">
IF(#REF!&gt;=4,4,0)+
IF(#REF!="yes",3,0)+
IF(#REF!="High Charges",3,0)+
IF(#REF!&gt;250,4,0)+
IF(#REF!="no",1,0)+
IF(#REF!="Heavy Domestic User",2,0)</f>
        <v>#REF!</v>
      </c>
      <c r="AG3731" t="e">
        <f>IF(#REF!&gt;=10,"High Risk", IF(#REF!&gt;=5,"Medium Risk","Low Risk"))</f>
        <v>#REF!</v>
      </c>
      <c r="AH3731" t="e">
        <f>#REF! + #REF! + #REF! + #REF!</f>
        <v>#REF!</v>
      </c>
    </row>
    <row r="3732" spans="1:34" x14ac:dyDescent="0.35">
      <c r="A3732">
        <v>3731</v>
      </c>
      <c r="B3732" t="s">
        <v>48</v>
      </c>
      <c r="C3732">
        <v>111</v>
      </c>
      <c r="D3732" t="s">
        <v>25</v>
      </c>
      <c r="E3732" t="s">
        <v>23</v>
      </c>
      <c r="F3732" t="s">
        <v>22</v>
      </c>
      <c r="G3732">
        <v>0</v>
      </c>
      <c r="H3732">
        <v>177.1</v>
      </c>
      <c r="I3732">
        <v>102</v>
      </c>
      <c r="J3732">
        <v>30.11</v>
      </c>
      <c r="K3732">
        <v>249.1</v>
      </c>
      <c r="L3732">
        <v>102</v>
      </c>
      <c r="M3732">
        <v>21.17</v>
      </c>
      <c r="N3732">
        <v>153.30000000000001</v>
      </c>
      <c r="O3732">
        <v>66</v>
      </c>
      <c r="P3732">
        <v>6.9</v>
      </c>
      <c r="Q3732">
        <v>8.8000000000000007</v>
      </c>
      <c r="R3732">
        <v>4</v>
      </c>
      <c r="S3732">
        <v>2.38</v>
      </c>
      <c r="T3732">
        <v>2</v>
      </c>
      <c r="U3732" t="s">
        <v>22</v>
      </c>
      <c r="V3732" t="e">
        <f>IF(#REF! = "yes", 1, 0)</f>
        <v>#REF!</v>
      </c>
      <c r="W3732" t="e">
        <f>IF(#REF! &lt;= 1, "0-1 Calls", IF(#REF! &lt;= 3, "2-3 Calls", IF(#REF! &lt;=5, "4-5 Calls", "6+ Calls")))</f>
        <v>#REF!</v>
      </c>
      <c r="X3732" t="e">
        <f>IF(#REF! &lt;= 50, "0-50", IF(#REF! &lt;=100, "51-100", IF(#REF! &lt;= 150, "101-150", "151+")))</f>
        <v>#REF!</v>
      </c>
      <c r="Y3732" t="e">
        <f>IF(#REF! &lt;= 3, "Low Charges", "High Charges")</f>
        <v>#REF!</v>
      </c>
      <c r="Z3732" t="e">
        <f>IF(#REF!&lt;=80,"Low Calls",
IF(#REF!&lt;=120,"Medium Calls","High Calls"))</f>
        <v>#REF!</v>
      </c>
      <c r="AA3732" t="e">
        <f>IF(#REF!&lt;=15,"Low Charges",
IF(#REF!&lt;=20,"Medium Charges","High Charges"))</f>
        <v>#REF!</v>
      </c>
      <c r="AB3732" t="e">
        <f>IF(AND(#REF!&gt;180, #REF!&gt;200), "Heavy Doemstic User", IF(#REF!&gt;10, "Interntional User", IF(AND(#REF!&lt;180, #REF!&lt;200,#REF!&lt;200), "Light User", "Balanced User")))</f>
        <v>#REF!</v>
      </c>
      <c r="AC3732" t="e">
        <f>IF(#REF! = 0, "No Usage", IF(#REF! &lt;= 20, "Low Usage", IF(#REF! &lt;= 40, "Medium Usgae", "High Usage")))</f>
        <v>#REF!</v>
      </c>
      <c r="AD3732" t="e">
        <f>IF(#REF!&lt;=150,"Low Usage", IF(#REF!&lt;=200,"Medium Usage", IF(#REF!&lt;=250,"High Usage","Very High Usage")))</f>
        <v>#REF!</v>
      </c>
      <c r="AE3732" t="e">
        <f>IF(#REF!&lt;=5,"Low Calls", IF(#REF!&lt;=10, "Medium Calls", "High Calls"))</f>
        <v>#REF!</v>
      </c>
      <c r="AF3732" t="e">
        <f xml:space="preserve">
IF(#REF!&gt;=4,4,0)+
IF(#REF!="yes",3,0)+
IF(#REF!="High Charges",3,0)+
IF(#REF!&gt;250,4,0)+
IF(#REF!="no",1,0)+
IF(#REF!="Heavy Domestic User",2,0)</f>
        <v>#REF!</v>
      </c>
      <c r="AG3732" t="e">
        <f>IF(#REF!&gt;=10,"High Risk", IF(#REF!&gt;=5,"Medium Risk","Low Risk"))</f>
        <v>#REF!</v>
      </c>
      <c r="AH3732" t="e">
        <f>#REF! + #REF! + #REF! + #REF!</f>
        <v>#REF!</v>
      </c>
    </row>
    <row r="3733" spans="1:34" x14ac:dyDescent="0.35">
      <c r="A3733">
        <v>3732</v>
      </c>
      <c r="B3733" t="s">
        <v>66</v>
      </c>
      <c r="C3733">
        <v>75</v>
      </c>
      <c r="D3733" t="s">
        <v>25</v>
      </c>
      <c r="E3733" t="s">
        <v>22</v>
      </c>
      <c r="F3733" t="s">
        <v>22</v>
      </c>
      <c r="G3733">
        <v>0</v>
      </c>
      <c r="H3733">
        <v>229.2</v>
      </c>
      <c r="I3733">
        <v>59</v>
      </c>
      <c r="J3733">
        <v>38.96</v>
      </c>
      <c r="K3733">
        <v>142.80000000000001</v>
      </c>
      <c r="L3733">
        <v>107</v>
      </c>
      <c r="M3733">
        <v>12.14</v>
      </c>
      <c r="N3733">
        <v>291.60000000000002</v>
      </c>
      <c r="O3733">
        <v>109</v>
      </c>
      <c r="P3733">
        <v>13.12</v>
      </c>
      <c r="Q3733">
        <v>8.5</v>
      </c>
      <c r="R3733">
        <v>5</v>
      </c>
      <c r="S3733">
        <v>2.2999999999999998</v>
      </c>
      <c r="T3733">
        <v>0</v>
      </c>
      <c r="U3733" t="s">
        <v>22</v>
      </c>
      <c r="V3733" t="e">
        <f>IF(#REF! = "yes", 1, 0)</f>
        <v>#REF!</v>
      </c>
      <c r="W3733" t="e">
        <f>IF(#REF! &lt;= 1, "0-1 Calls", IF(#REF! &lt;= 3, "2-3 Calls", IF(#REF! &lt;=5, "4-5 Calls", "6+ Calls")))</f>
        <v>#REF!</v>
      </c>
      <c r="X3733" t="e">
        <f>IF(#REF! &lt;= 50, "0-50", IF(#REF! &lt;=100, "51-100", IF(#REF! &lt;= 150, "101-150", "151+")))</f>
        <v>#REF!</v>
      </c>
      <c r="Y3733" t="e">
        <f>IF(#REF! &lt;= 3, "Low Charges", "High Charges")</f>
        <v>#REF!</v>
      </c>
      <c r="Z3733" t="e">
        <f>IF(#REF!&lt;=80,"Low Calls",
IF(#REF!&lt;=120,"Medium Calls","High Calls"))</f>
        <v>#REF!</v>
      </c>
      <c r="AA3733" t="e">
        <f>IF(#REF!&lt;=15,"Low Charges",
IF(#REF!&lt;=20,"Medium Charges","High Charges"))</f>
        <v>#REF!</v>
      </c>
      <c r="AB3733" t="e">
        <f>IF(AND(#REF!&gt;180, #REF!&gt;200), "Heavy Doemstic User", IF(#REF!&gt;10, "Interntional User", IF(AND(#REF!&lt;180, #REF!&lt;200,#REF!&lt;200), "Light User", "Balanced User")))</f>
        <v>#REF!</v>
      </c>
      <c r="AC3733" t="e">
        <f>IF(#REF! = 0, "No Usage", IF(#REF! &lt;= 20, "Low Usage", IF(#REF! &lt;= 40, "Medium Usgae", "High Usage")))</f>
        <v>#REF!</v>
      </c>
      <c r="AD3733" t="e">
        <f>IF(#REF!&lt;=150,"Low Usage", IF(#REF!&lt;=200,"Medium Usage", IF(#REF!&lt;=250,"High Usage","Very High Usage")))</f>
        <v>#REF!</v>
      </c>
      <c r="AE3733" t="e">
        <f>IF(#REF!&lt;=5,"Low Calls", IF(#REF!&lt;=10, "Medium Calls", "High Calls"))</f>
        <v>#REF!</v>
      </c>
      <c r="AF3733" t="e">
        <f xml:space="preserve">
IF(#REF!&gt;=4,4,0)+
IF(#REF!="yes",3,0)+
IF(#REF!="High Charges",3,0)+
IF(#REF!&gt;250,4,0)+
IF(#REF!="no",1,0)+
IF(#REF!="Heavy Domestic User",2,0)</f>
        <v>#REF!</v>
      </c>
      <c r="AG3733" t="e">
        <f>IF(#REF!&gt;=10,"High Risk", IF(#REF!&gt;=5,"Medium Risk","Low Risk"))</f>
        <v>#REF!</v>
      </c>
      <c r="AH3733" t="e">
        <f>#REF! + #REF! + #REF! + #REF!</f>
        <v>#REF!</v>
      </c>
    </row>
    <row r="3734" spans="1:34" x14ac:dyDescent="0.35">
      <c r="A3734">
        <v>3733</v>
      </c>
      <c r="B3734" t="s">
        <v>20</v>
      </c>
      <c r="C3734">
        <v>95</v>
      </c>
      <c r="D3734" t="s">
        <v>28</v>
      </c>
      <c r="E3734" t="s">
        <v>22</v>
      </c>
      <c r="F3734" t="s">
        <v>23</v>
      </c>
      <c r="G3734">
        <v>24</v>
      </c>
      <c r="H3734">
        <v>129.4</v>
      </c>
      <c r="I3734">
        <v>120</v>
      </c>
      <c r="J3734">
        <v>22</v>
      </c>
      <c r="K3734">
        <v>159.80000000000001</v>
      </c>
      <c r="L3734">
        <v>68</v>
      </c>
      <c r="M3734">
        <v>13.58</v>
      </c>
      <c r="N3734">
        <v>214.4</v>
      </c>
      <c r="O3734">
        <v>83</v>
      </c>
      <c r="P3734">
        <v>9.65</v>
      </c>
      <c r="Q3734">
        <v>12.6</v>
      </c>
      <c r="R3734">
        <v>4</v>
      </c>
      <c r="S3734">
        <v>3.4</v>
      </c>
      <c r="T3734">
        <v>4</v>
      </c>
      <c r="U3734" t="s">
        <v>23</v>
      </c>
      <c r="V3734" t="e">
        <f>IF(#REF! = "yes", 1, 0)</f>
        <v>#REF!</v>
      </c>
      <c r="W3734" t="e">
        <f>IF(#REF! &lt;= 1, "0-1 Calls", IF(#REF! &lt;= 3, "2-3 Calls", IF(#REF! &lt;=5, "4-5 Calls", "6+ Calls")))</f>
        <v>#REF!</v>
      </c>
      <c r="X3734" t="e">
        <f>IF(#REF! &lt;= 50, "0-50", IF(#REF! &lt;=100, "51-100", IF(#REF! &lt;= 150, "101-150", "151+")))</f>
        <v>#REF!</v>
      </c>
      <c r="Y3734" t="e">
        <f>IF(#REF! &lt;= 3, "Low Charges", "High Charges")</f>
        <v>#REF!</v>
      </c>
      <c r="Z3734" t="e">
        <f>IF(#REF!&lt;=80,"Low Calls",
IF(#REF!&lt;=120,"Medium Calls","High Calls"))</f>
        <v>#REF!</v>
      </c>
      <c r="AA3734" t="e">
        <f>IF(#REF!&lt;=15,"Low Charges",
IF(#REF!&lt;=20,"Medium Charges","High Charges"))</f>
        <v>#REF!</v>
      </c>
      <c r="AB3734" t="e">
        <f>IF(AND(#REF!&gt;180, #REF!&gt;200), "Heavy Doemstic User", IF(#REF!&gt;10, "Interntional User", IF(AND(#REF!&lt;180, #REF!&lt;200,#REF!&lt;200), "Light User", "Balanced User")))</f>
        <v>#REF!</v>
      </c>
      <c r="AC3734" t="e">
        <f>IF(#REF! = 0, "No Usage", IF(#REF! &lt;= 20, "Low Usage", IF(#REF! &lt;= 40, "Medium Usgae", "High Usage")))</f>
        <v>#REF!</v>
      </c>
      <c r="AD3734" t="e">
        <f>IF(#REF!&lt;=150,"Low Usage", IF(#REF!&lt;=200,"Medium Usage", IF(#REF!&lt;=250,"High Usage","Very High Usage")))</f>
        <v>#REF!</v>
      </c>
      <c r="AE3734" t="e">
        <f>IF(#REF!&lt;=5,"Low Calls", IF(#REF!&lt;=10, "Medium Calls", "High Calls"))</f>
        <v>#REF!</v>
      </c>
      <c r="AF3734" t="e">
        <f xml:space="preserve">
IF(#REF!&gt;=4,4,0)+
IF(#REF!="yes",3,0)+
IF(#REF!="High Charges",3,0)+
IF(#REF!&gt;250,4,0)+
IF(#REF!="no",1,0)+
IF(#REF!="Heavy Domestic User",2,0)</f>
        <v>#REF!</v>
      </c>
      <c r="AG3734" t="e">
        <f>IF(#REF!&gt;=10,"High Risk", IF(#REF!&gt;=5,"Medium Risk","Low Risk"))</f>
        <v>#REF!</v>
      </c>
      <c r="AH3734" t="e">
        <f>#REF! + #REF! + #REF! + #REF!</f>
        <v>#REF!</v>
      </c>
    </row>
    <row r="3735" spans="1:34" x14ac:dyDescent="0.35">
      <c r="A3735">
        <v>3734</v>
      </c>
      <c r="B3735" t="s">
        <v>37</v>
      </c>
      <c r="C3735">
        <v>137</v>
      </c>
      <c r="D3735" t="s">
        <v>28</v>
      </c>
      <c r="E3735" t="s">
        <v>22</v>
      </c>
      <c r="F3735" t="s">
        <v>22</v>
      </c>
      <c r="G3735">
        <v>0</v>
      </c>
      <c r="H3735">
        <v>203.1</v>
      </c>
      <c r="I3735">
        <v>97</v>
      </c>
      <c r="J3735">
        <v>34.53</v>
      </c>
      <c r="K3735">
        <v>132</v>
      </c>
      <c r="L3735">
        <v>76</v>
      </c>
      <c r="M3735">
        <v>11.22</v>
      </c>
      <c r="N3735">
        <v>250.9</v>
      </c>
      <c r="O3735">
        <v>94</v>
      </c>
      <c r="P3735">
        <v>11.29</v>
      </c>
      <c r="Q3735">
        <v>9.1999999999999993</v>
      </c>
      <c r="R3735">
        <v>4</v>
      </c>
      <c r="S3735">
        <v>2.48</v>
      </c>
      <c r="T3735">
        <v>4</v>
      </c>
      <c r="U3735" t="s">
        <v>22</v>
      </c>
      <c r="V3735" t="e">
        <f>IF(#REF! = "yes", 1, 0)</f>
        <v>#REF!</v>
      </c>
      <c r="W3735" t="e">
        <f>IF(#REF! &lt;= 1, "0-1 Calls", IF(#REF! &lt;= 3, "2-3 Calls", IF(#REF! &lt;=5, "4-5 Calls", "6+ Calls")))</f>
        <v>#REF!</v>
      </c>
      <c r="X3735" t="e">
        <f>IF(#REF! &lt;= 50, "0-50", IF(#REF! &lt;=100, "51-100", IF(#REF! &lt;= 150, "101-150", "151+")))</f>
        <v>#REF!</v>
      </c>
      <c r="Y3735" t="e">
        <f>IF(#REF! &lt;= 3, "Low Charges", "High Charges")</f>
        <v>#REF!</v>
      </c>
      <c r="Z3735" t="e">
        <f>IF(#REF!&lt;=80,"Low Calls",
IF(#REF!&lt;=120,"Medium Calls","High Calls"))</f>
        <v>#REF!</v>
      </c>
      <c r="AA3735" t="e">
        <f>IF(#REF!&lt;=15,"Low Charges",
IF(#REF!&lt;=20,"Medium Charges","High Charges"))</f>
        <v>#REF!</v>
      </c>
      <c r="AB3735" t="e">
        <f>IF(AND(#REF!&gt;180, #REF!&gt;200), "Heavy Doemstic User", IF(#REF!&gt;10, "Interntional User", IF(AND(#REF!&lt;180, #REF!&lt;200,#REF!&lt;200), "Light User", "Balanced User")))</f>
        <v>#REF!</v>
      </c>
      <c r="AC3735" t="e">
        <f>IF(#REF! = 0, "No Usage", IF(#REF! &lt;= 20, "Low Usage", IF(#REF! &lt;= 40, "Medium Usgae", "High Usage")))</f>
        <v>#REF!</v>
      </c>
      <c r="AD3735" t="e">
        <f>IF(#REF!&lt;=150,"Low Usage", IF(#REF!&lt;=200,"Medium Usage", IF(#REF!&lt;=250,"High Usage","Very High Usage")))</f>
        <v>#REF!</v>
      </c>
      <c r="AE3735" t="e">
        <f>IF(#REF!&lt;=5,"Low Calls", IF(#REF!&lt;=10, "Medium Calls", "High Calls"))</f>
        <v>#REF!</v>
      </c>
      <c r="AF3735" t="e">
        <f xml:space="preserve">
IF(#REF!&gt;=4,4,0)+
IF(#REF!="yes",3,0)+
IF(#REF!="High Charges",3,0)+
IF(#REF!&gt;250,4,0)+
IF(#REF!="no",1,0)+
IF(#REF!="Heavy Domestic User",2,0)</f>
        <v>#REF!</v>
      </c>
      <c r="AG3735" t="e">
        <f>IF(#REF!&gt;=10,"High Risk", IF(#REF!&gt;=5,"Medium Risk","Low Risk"))</f>
        <v>#REF!</v>
      </c>
      <c r="AH3735" t="e">
        <f>#REF! + #REF! + #REF! + #REF!</f>
        <v>#REF!</v>
      </c>
    </row>
    <row r="3736" spans="1:34" x14ac:dyDescent="0.35">
      <c r="A3736">
        <v>3735</v>
      </c>
      <c r="B3736" t="s">
        <v>70</v>
      </c>
      <c r="C3736">
        <v>116</v>
      </c>
      <c r="D3736" t="s">
        <v>25</v>
      </c>
      <c r="E3736" t="s">
        <v>23</v>
      </c>
      <c r="F3736" t="s">
        <v>22</v>
      </c>
      <c r="G3736">
        <v>0</v>
      </c>
      <c r="H3736">
        <v>232.2</v>
      </c>
      <c r="I3736">
        <v>98</v>
      </c>
      <c r="J3736">
        <v>39.47</v>
      </c>
      <c r="K3736">
        <v>244.7</v>
      </c>
      <c r="L3736">
        <v>91</v>
      </c>
      <c r="M3736">
        <v>20.8</v>
      </c>
      <c r="N3736">
        <v>151.30000000000001</v>
      </c>
      <c r="O3736">
        <v>69</v>
      </c>
      <c r="P3736">
        <v>6.81</v>
      </c>
      <c r="Q3736">
        <v>10.6</v>
      </c>
      <c r="R3736">
        <v>1</v>
      </c>
      <c r="S3736">
        <v>2.86</v>
      </c>
      <c r="T3736">
        <v>7</v>
      </c>
      <c r="U3736" t="s">
        <v>23</v>
      </c>
      <c r="V3736" t="e">
        <f>IF(#REF! = "yes", 1, 0)</f>
        <v>#REF!</v>
      </c>
      <c r="W3736" t="e">
        <f>IF(#REF! &lt;= 1, "0-1 Calls", IF(#REF! &lt;= 3, "2-3 Calls", IF(#REF! &lt;=5, "4-5 Calls", "6+ Calls")))</f>
        <v>#REF!</v>
      </c>
      <c r="X3736" t="e">
        <f>IF(#REF! &lt;= 50, "0-50", IF(#REF! &lt;=100, "51-100", IF(#REF! &lt;= 150, "101-150", "151+")))</f>
        <v>#REF!</v>
      </c>
      <c r="Y3736" t="e">
        <f>IF(#REF! &lt;= 3, "Low Charges", "High Charges")</f>
        <v>#REF!</v>
      </c>
      <c r="Z3736" t="e">
        <f>IF(#REF!&lt;=80,"Low Calls",
IF(#REF!&lt;=120,"Medium Calls","High Calls"))</f>
        <v>#REF!</v>
      </c>
      <c r="AA3736" t="e">
        <f>IF(#REF!&lt;=15,"Low Charges",
IF(#REF!&lt;=20,"Medium Charges","High Charges"))</f>
        <v>#REF!</v>
      </c>
      <c r="AB3736" t="e">
        <f>IF(AND(#REF!&gt;180, #REF!&gt;200), "Heavy Doemstic User", IF(#REF!&gt;10, "Interntional User", IF(AND(#REF!&lt;180, #REF!&lt;200,#REF!&lt;200), "Light User", "Balanced User")))</f>
        <v>#REF!</v>
      </c>
      <c r="AC3736" t="e">
        <f>IF(#REF! = 0, "No Usage", IF(#REF! &lt;= 20, "Low Usage", IF(#REF! &lt;= 40, "Medium Usgae", "High Usage")))</f>
        <v>#REF!</v>
      </c>
      <c r="AD3736" t="e">
        <f>IF(#REF!&lt;=150,"Low Usage", IF(#REF!&lt;=200,"Medium Usage", IF(#REF!&lt;=250,"High Usage","Very High Usage")))</f>
        <v>#REF!</v>
      </c>
      <c r="AE3736" t="e">
        <f>IF(#REF!&lt;=5,"Low Calls", IF(#REF!&lt;=10, "Medium Calls", "High Calls"))</f>
        <v>#REF!</v>
      </c>
      <c r="AF3736" t="e">
        <f xml:space="preserve">
IF(#REF!&gt;=4,4,0)+
IF(#REF!="yes",3,0)+
IF(#REF!="High Charges",3,0)+
IF(#REF!&gt;250,4,0)+
IF(#REF!="no",1,0)+
IF(#REF!="Heavy Domestic User",2,0)</f>
        <v>#REF!</v>
      </c>
      <c r="AG3736" t="e">
        <f>IF(#REF!&gt;=10,"High Risk", IF(#REF!&gt;=5,"Medium Risk","Low Risk"))</f>
        <v>#REF!</v>
      </c>
      <c r="AH3736" t="e">
        <f>#REF! + #REF! + #REF! + #REF!</f>
        <v>#REF!</v>
      </c>
    </row>
    <row r="3737" spans="1:34" x14ac:dyDescent="0.35">
      <c r="A3737">
        <v>3736</v>
      </c>
      <c r="B3737" t="s">
        <v>71</v>
      </c>
      <c r="C3737">
        <v>125</v>
      </c>
      <c r="D3737" t="s">
        <v>21</v>
      </c>
      <c r="E3737" t="s">
        <v>22</v>
      </c>
      <c r="F3737" t="s">
        <v>22</v>
      </c>
      <c r="G3737">
        <v>0</v>
      </c>
      <c r="H3737">
        <v>138.5</v>
      </c>
      <c r="I3737">
        <v>96</v>
      </c>
      <c r="J3737">
        <v>23.55</v>
      </c>
      <c r="K3737">
        <v>159.69999999999999</v>
      </c>
      <c r="L3737">
        <v>117</v>
      </c>
      <c r="M3737">
        <v>13.57</v>
      </c>
      <c r="N3737">
        <v>212.7</v>
      </c>
      <c r="O3737">
        <v>91</v>
      </c>
      <c r="P3737">
        <v>9.57</v>
      </c>
      <c r="Q3737">
        <v>7.7</v>
      </c>
      <c r="R3737">
        <v>3</v>
      </c>
      <c r="S3737">
        <v>2.08</v>
      </c>
      <c r="T3737">
        <v>2</v>
      </c>
      <c r="U3737" t="s">
        <v>22</v>
      </c>
      <c r="V3737" t="e">
        <f>IF(#REF! = "yes", 1, 0)</f>
        <v>#REF!</v>
      </c>
      <c r="W3737" t="e">
        <f>IF(#REF! &lt;= 1, "0-1 Calls", IF(#REF! &lt;= 3, "2-3 Calls", IF(#REF! &lt;=5, "4-5 Calls", "6+ Calls")))</f>
        <v>#REF!</v>
      </c>
      <c r="X3737" t="e">
        <f>IF(#REF! &lt;= 50, "0-50", IF(#REF! &lt;=100, "51-100", IF(#REF! &lt;= 150, "101-150", "151+")))</f>
        <v>#REF!</v>
      </c>
      <c r="Y3737" t="e">
        <f>IF(#REF! &lt;= 3, "Low Charges", "High Charges")</f>
        <v>#REF!</v>
      </c>
      <c r="Z3737" t="e">
        <f>IF(#REF!&lt;=80,"Low Calls",
IF(#REF!&lt;=120,"Medium Calls","High Calls"))</f>
        <v>#REF!</v>
      </c>
      <c r="AA3737" t="e">
        <f>IF(#REF!&lt;=15,"Low Charges",
IF(#REF!&lt;=20,"Medium Charges","High Charges"))</f>
        <v>#REF!</v>
      </c>
      <c r="AB3737" t="e">
        <f>IF(AND(#REF!&gt;180, #REF!&gt;200), "Heavy Doemstic User", IF(#REF!&gt;10, "Interntional User", IF(AND(#REF!&lt;180, #REF!&lt;200,#REF!&lt;200), "Light User", "Balanced User")))</f>
        <v>#REF!</v>
      </c>
      <c r="AC3737" t="e">
        <f>IF(#REF! = 0, "No Usage", IF(#REF! &lt;= 20, "Low Usage", IF(#REF! &lt;= 40, "Medium Usgae", "High Usage")))</f>
        <v>#REF!</v>
      </c>
      <c r="AD3737" t="e">
        <f>IF(#REF!&lt;=150,"Low Usage", IF(#REF!&lt;=200,"Medium Usage", IF(#REF!&lt;=250,"High Usage","Very High Usage")))</f>
        <v>#REF!</v>
      </c>
      <c r="AE3737" t="e">
        <f>IF(#REF!&lt;=5,"Low Calls", IF(#REF!&lt;=10, "Medium Calls", "High Calls"))</f>
        <v>#REF!</v>
      </c>
      <c r="AF3737" t="e">
        <f xml:space="preserve">
IF(#REF!&gt;=4,4,0)+
IF(#REF!="yes",3,0)+
IF(#REF!="High Charges",3,0)+
IF(#REF!&gt;250,4,0)+
IF(#REF!="no",1,0)+
IF(#REF!="Heavy Domestic User",2,0)</f>
        <v>#REF!</v>
      </c>
      <c r="AG3737" t="e">
        <f>IF(#REF!&gt;=10,"High Risk", IF(#REF!&gt;=5,"Medium Risk","Low Risk"))</f>
        <v>#REF!</v>
      </c>
      <c r="AH3737" t="e">
        <f>#REF! + #REF! + #REF! + #REF!</f>
        <v>#REF!</v>
      </c>
    </row>
    <row r="3738" spans="1:34" x14ac:dyDescent="0.35">
      <c r="A3738">
        <v>3737</v>
      </c>
      <c r="B3738" t="s">
        <v>59</v>
      </c>
      <c r="C3738">
        <v>65</v>
      </c>
      <c r="D3738" t="s">
        <v>21</v>
      </c>
      <c r="E3738" t="s">
        <v>22</v>
      </c>
      <c r="F3738" t="s">
        <v>22</v>
      </c>
      <c r="G3738">
        <v>0</v>
      </c>
      <c r="H3738">
        <v>189.3</v>
      </c>
      <c r="I3738">
        <v>74</v>
      </c>
      <c r="J3738">
        <v>32.18</v>
      </c>
      <c r="K3738">
        <v>205.3</v>
      </c>
      <c r="L3738">
        <v>90</v>
      </c>
      <c r="M3738">
        <v>17.45</v>
      </c>
      <c r="N3738">
        <v>228.2</v>
      </c>
      <c r="O3738">
        <v>78</v>
      </c>
      <c r="P3738">
        <v>10.27</v>
      </c>
      <c r="Q3738">
        <v>8.5</v>
      </c>
      <c r="R3738">
        <v>13</v>
      </c>
      <c r="S3738">
        <v>2.2999999999999998</v>
      </c>
      <c r="T3738">
        <v>3</v>
      </c>
      <c r="U3738" t="s">
        <v>22</v>
      </c>
      <c r="V3738" t="e">
        <f>IF(#REF! = "yes", 1, 0)</f>
        <v>#REF!</v>
      </c>
      <c r="W3738" t="e">
        <f>IF(#REF! &lt;= 1, "0-1 Calls", IF(#REF! &lt;= 3, "2-3 Calls", IF(#REF! &lt;=5, "4-5 Calls", "6+ Calls")))</f>
        <v>#REF!</v>
      </c>
      <c r="X3738" t="e">
        <f>IF(#REF! &lt;= 50, "0-50", IF(#REF! &lt;=100, "51-100", IF(#REF! &lt;= 150, "101-150", "151+")))</f>
        <v>#REF!</v>
      </c>
      <c r="Y3738" t="e">
        <f>IF(#REF! &lt;= 3, "Low Charges", "High Charges")</f>
        <v>#REF!</v>
      </c>
      <c r="Z3738" t="e">
        <f>IF(#REF!&lt;=80,"Low Calls",
IF(#REF!&lt;=120,"Medium Calls","High Calls"))</f>
        <v>#REF!</v>
      </c>
      <c r="AA3738" t="e">
        <f>IF(#REF!&lt;=15,"Low Charges",
IF(#REF!&lt;=20,"Medium Charges","High Charges"))</f>
        <v>#REF!</v>
      </c>
      <c r="AB3738" t="e">
        <f>IF(AND(#REF!&gt;180, #REF!&gt;200), "Heavy Doemstic User", IF(#REF!&gt;10, "Interntional User", IF(AND(#REF!&lt;180, #REF!&lt;200,#REF!&lt;200), "Light User", "Balanced User")))</f>
        <v>#REF!</v>
      </c>
      <c r="AC3738" t="e">
        <f>IF(#REF! = 0, "No Usage", IF(#REF! &lt;= 20, "Low Usage", IF(#REF! &lt;= 40, "Medium Usgae", "High Usage")))</f>
        <v>#REF!</v>
      </c>
      <c r="AD3738" t="e">
        <f>IF(#REF!&lt;=150,"Low Usage", IF(#REF!&lt;=200,"Medium Usage", IF(#REF!&lt;=250,"High Usage","Very High Usage")))</f>
        <v>#REF!</v>
      </c>
      <c r="AE3738" t="e">
        <f>IF(#REF!&lt;=5,"Low Calls", IF(#REF!&lt;=10, "Medium Calls", "High Calls"))</f>
        <v>#REF!</v>
      </c>
      <c r="AF3738" t="e">
        <f xml:space="preserve">
IF(#REF!&gt;=4,4,0)+
IF(#REF!="yes",3,0)+
IF(#REF!="High Charges",3,0)+
IF(#REF!&gt;250,4,0)+
IF(#REF!="no",1,0)+
IF(#REF!="Heavy Domestic User",2,0)</f>
        <v>#REF!</v>
      </c>
      <c r="AG3738" t="e">
        <f>IF(#REF!&gt;=10,"High Risk", IF(#REF!&gt;=5,"Medium Risk","Low Risk"))</f>
        <v>#REF!</v>
      </c>
      <c r="AH3738" t="e">
        <f>#REF! + #REF! + #REF! + #REF!</f>
        <v>#REF!</v>
      </c>
    </row>
    <row r="3739" spans="1:34" x14ac:dyDescent="0.35">
      <c r="A3739">
        <v>3738</v>
      </c>
      <c r="B3739" t="s">
        <v>64</v>
      </c>
      <c r="C3739">
        <v>100</v>
      </c>
      <c r="D3739" t="s">
        <v>28</v>
      </c>
      <c r="E3739" t="s">
        <v>22</v>
      </c>
      <c r="F3739" t="s">
        <v>22</v>
      </c>
      <c r="G3739">
        <v>0</v>
      </c>
      <c r="H3739">
        <v>254.2</v>
      </c>
      <c r="I3739">
        <v>97</v>
      </c>
      <c r="J3739">
        <v>43.21</v>
      </c>
      <c r="K3739">
        <v>262</v>
      </c>
      <c r="L3739">
        <v>88</v>
      </c>
      <c r="M3739">
        <v>22.27</v>
      </c>
      <c r="N3739">
        <v>256.3</v>
      </c>
      <c r="O3739">
        <v>82</v>
      </c>
      <c r="P3739">
        <v>11.53</v>
      </c>
      <c r="Q3739">
        <v>13.6</v>
      </c>
      <c r="R3739">
        <v>6</v>
      </c>
      <c r="S3739">
        <v>3.67</v>
      </c>
      <c r="T3739">
        <v>0</v>
      </c>
      <c r="U3739" t="s">
        <v>23</v>
      </c>
      <c r="V3739" t="e">
        <f>IF(#REF! = "yes", 1, 0)</f>
        <v>#REF!</v>
      </c>
      <c r="W3739" t="e">
        <f>IF(#REF! &lt;= 1, "0-1 Calls", IF(#REF! &lt;= 3, "2-3 Calls", IF(#REF! &lt;=5, "4-5 Calls", "6+ Calls")))</f>
        <v>#REF!</v>
      </c>
      <c r="X3739" t="e">
        <f>IF(#REF! &lt;= 50, "0-50", IF(#REF! &lt;=100, "51-100", IF(#REF! &lt;= 150, "101-150", "151+")))</f>
        <v>#REF!</v>
      </c>
      <c r="Y3739" t="e">
        <f>IF(#REF! &lt;= 3, "Low Charges", "High Charges")</f>
        <v>#REF!</v>
      </c>
      <c r="Z3739" t="e">
        <f>IF(#REF!&lt;=80,"Low Calls",
IF(#REF!&lt;=120,"Medium Calls","High Calls"))</f>
        <v>#REF!</v>
      </c>
      <c r="AA3739" t="e">
        <f>IF(#REF!&lt;=15,"Low Charges",
IF(#REF!&lt;=20,"Medium Charges","High Charges"))</f>
        <v>#REF!</v>
      </c>
      <c r="AB3739" t="e">
        <f>IF(AND(#REF!&gt;180, #REF!&gt;200), "Heavy Doemstic User", IF(#REF!&gt;10, "Interntional User", IF(AND(#REF!&lt;180, #REF!&lt;200,#REF!&lt;200), "Light User", "Balanced User")))</f>
        <v>#REF!</v>
      </c>
      <c r="AC3739" t="e">
        <f>IF(#REF! = 0, "No Usage", IF(#REF! &lt;= 20, "Low Usage", IF(#REF! &lt;= 40, "Medium Usgae", "High Usage")))</f>
        <v>#REF!</v>
      </c>
      <c r="AD3739" t="e">
        <f>IF(#REF!&lt;=150,"Low Usage", IF(#REF!&lt;=200,"Medium Usage", IF(#REF!&lt;=250,"High Usage","Very High Usage")))</f>
        <v>#REF!</v>
      </c>
      <c r="AE3739" t="e">
        <f>IF(#REF!&lt;=5,"Low Calls", IF(#REF!&lt;=10, "Medium Calls", "High Calls"))</f>
        <v>#REF!</v>
      </c>
      <c r="AF3739" t="e">
        <f xml:space="preserve">
IF(#REF!&gt;=4,4,0)+
IF(#REF!="yes",3,0)+
IF(#REF!="High Charges",3,0)+
IF(#REF!&gt;250,4,0)+
IF(#REF!="no",1,0)+
IF(#REF!="Heavy Domestic User",2,0)</f>
        <v>#REF!</v>
      </c>
      <c r="AG3739" t="e">
        <f>IF(#REF!&gt;=10,"High Risk", IF(#REF!&gt;=5,"Medium Risk","Low Risk"))</f>
        <v>#REF!</v>
      </c>
      <c r="AH3739" t="e">
        <f>#REF! + #REF! + #REF! + #REF!</f>
        <v>#REF!</v>
      </c>
    </row>
    <row r="3740" spans="1:34" x14ac:dyDescent="0.35">
      <c r="A3740">
        <v>3739</v>
      </c>
      <c r="B3740" t="s">
        <v>72</v>
      </c>
      <c r="C3740">
        <v>70</v>
      </c>
      <c r="D3740" t="s">
        <v>25</v>
      </c>
      <c r="E3740" t="s">
        <v>22</v>
      </c>
      <c r="F3740" t="s">
        <v>22</v>
      </c>
      <c r="G3740">
        <v>0</v>
      </c>
      <c r="H3740">
        <v>176.5</v>
      </c>
      <c r="I3740">
        <v>85</v>
      </c>
      <c r="J3740">
        <v>30.01</v>
      </c>
      <c r="K3740">
        <v>119.2</v>
      </c>
      <c r="L3740">
        <v>93</v>
      </c>
      <c r="M3740">
        <v>10.130000000000001</v>
      </c>
      <c r="N3740">
        <v>227.7</v>
      </c>
      <c r="O3740">
        <v>90</v>
      </c>
      <c r="P3740">
        <v>10.25</v>
      </c>
      <c r="Q3740">
        <v>8.6999999999999993</v>
      </c>
      <c r="R3740">
        <v>5</v>
      </c>
      <c r="S3740">
        <v>2.35</v>
      </c>
      <c r="T3740">
        <v>1</v>
      </c>
      <c r="U3740" t="s">
        <v>22</v>
      </c>
      <c r="V3740" t="e">
        <f>IF(#REF! = "yes", 1, 0)</f>
        <v>#REF!</v>
      </c>
      <c r="W3740" t="e">
        <f>IF(#REF! &lt;= 1, "0-1 Calls", IF(#REF! &lt;= 3, "2-3 Calls", IF(#REF! &lt;=5, "4-5 Calls", "6+ Calls")))</f>
        <v>#REF!</v>
      </c>
      <c r="X3740" t="e">
        <f>IF(#REF! &lt;= 50, "0-50", IF(#REF! &lt;=100, "51-100", IF(#REF! &lt;= 150, "101-150", "151+")))</f>
        <v>#REF!</v>
      </c>
      <c r="Y3740" t="e">
        <f>IF(#REF! &lt;= 3, "Low Charges", "High Charges")</f>
        <v>#REF!</v>
      </c>
      <c r="Z3740" t="e">
        <f>IF(#REF!&lt;=80,"Low Calls",
IF(#REF!&lt;=120,"Medium Calls","High Calls"))</f>
        <v>#REF!</v>
      </c>
      <c r="AA3740" t="e">
        <f>IF(#REF!&lt;=15,"Low Charges",
IF(#REF!&lt;=20,"Medium Charges","High Charges"))</f>
        <v>#REF!</v>
      </c>
      <c r="AB3740" t="e">
        <f>IF(AND(#REF!&gt;180, #REF!&gt;200), "Heavy Doemstic User", IF(#REF!&gt;10, "Interntional User", IF(AND(#REF!&lt;180, #REF!&lt;200,#REF!&lt;200), "Light User", "Balanced User")))</f>
        <v>#REF!</v>
      </c>
      <c r="AC3740" t="e">
        <f>IF(#REF! = 0, "No Usage", IF(#REF! &lt;= 20, "Low Usage", IF(#REF! &lt;= 40, "Medium Usgae", "High Usage")))</f>
        <v>#REF!</v>
      </c>
      <c r="AD3740" t="e">
        <f>IF(#REF!&lt;=150,"Low Usage", IF(#REF!&lt;=200,"Medium Usage", IF(#REF!&lt;=250,"High Usage","Very High Usage")))</f>
        <v>#REF!</v>
      </c>
      <c r="AE3740" t="e">
        <f>IF(#REF!&lt;=5,"Low Calls", IF(#REF!&lt;=10, "Medium Calls", "High Calls"))</f>
        <v>#REF!</v>
      </c>
      <c r="AF3740" t="e">
        <f xml:space="preserve">
IF(#REF!&gt;=4,4,0)+
IF(#REF!="yes",3,0)+
IF(#REF!="High Charges",3,0)+
IF(#REF!&gt;250,4,0)+
IF(#REF!="no",1,0)+
IF(#REF!="Heavy Domestic User",2,0)</f>
        <v>#REF!</v>
      </c>
      <c r="AG3740" t="e">
        <f>IF(#REF!&gt;=10,"High Risk", IF(#REF!&gt;=5,"Medium Risk","Low Risk"))</f>
        <v>#REF!</v>
      </c>
      <c r="AH3740" t="e">
        <f>#REF! + #REF! + #REF! + #REF!</f>
        <v>#REF!</v>
      </c>
    </row>
    <row r="3741" spans="1:34" x14ac:dyDescent="0.35">
      <c r="A3741">
        <v>3740</v>
      </c>
      <c r="B3741" t="s">
        <v>37</v>
      </c>
      <c r="C3741">
        <v>67</v>
      </c>
      <c r="D3741" t="s">
        <v>21</v>
      </c>
      <c r="E3741" t="s">
        <v>22</v>
      </c>
      <c r="F3741" t="s">
        <v>22</v>
      </c>
      <c r="G3741">
        <v>0</v>
      </c>
      <c r="H3741">
        <v>234.3</v>
      </c>
      <c r="I3741">
        <v>111</v>
      </c>
      <c r="J3741">
        <v>39.83</v>
      </c>
      <c r="K3741">
        <v>206.4</v>
      </c>
      <c r="L3741">
        <v>87</v>
      </c>
      <c r="M3741">
        <v>17.54</v>
      </c>
      <c r="N3741">
        <v>157.30000000000001</v>
      </c>
      <c r="O3741">
        <v>101</v>
      </c>
      <c r="P3741">
        <v>7.08</v>
      </c>
      <c r="Q3741">
        <v>5.8</v>
      </c>
      <c r="R3741">
        <v>10</v>
      </c>
      <c r="S3741">
        <v>1.57</v>
      </c>
      <c r="T3741">
        <v>3</v>
      </c>
      <c r="U3741" t="s">
        <v>22</v>
      </c>
      <c r="V3741" t="e">
        <f>IF(#REF! = "yes", 1, 0)</f>
        <v>#REF!</v>
      </c>
      <c r="W3741" t="e">
        <f>IF(#REF! &lt;= 1, "0-1 Calls", IF(#REF! &lt;= 3, "2-3 Calls", IF(#REF! &lt;=5, "4-5 Calls", "6+ Calls")))</f>
        <v>#REF!</v>
      </c>
      <c r="X3741" t="e">
        <f>IF(#REF! &lt;= 50, "0-50", IF(#REF! &lt;=100, "51-100", IF(#REF! &lt;= 150, "101-150", "151+")))</f>
        <v>#REF!</v>
      </c>
      <c r="Y3741" t="e">
        <f>IF(#REF! &lt;= 3, "Low Charges", "High Charges")</f>
        <v>#REF!</v>
      </c>
      <c r="Z3741" t="e">
        <f>IF(#REF!&lt;=80,"Low Calls",
IF(#REF!&lt;=120,"Medium Calls","High Calls"))</f>
        <v>#REF!</v>
      </c>
      <c r="AA3741" t="e">
        <f>IF(#REF!&lt;=15,"Low Charges",
IF(#REF!&lt;=20,"Medium Charges","High Charges"))</f>
        <v>#REF!</v>
      </c>
      <c r="AB3741" t="e">
        <f>IF(AND(#REF!&gt;180, #REF!&gt;200), "Heavy Doemstic User", IF(#REF!&gt;10, "Interntional User", IF(AND(#REF!&lt;180, #REF!&lt;200,#REF!&lt;200), "Light User", "Balanced User")))</f>
        <v>#REF!</v>
      </c>
      <c r="AC3741" t="e">
        <f>IF(#REF! = 0, "No Usage", IF(#REF! &lt;= 20, "Low Usage", IF(#REF! &lt;= 40, "Medium Usgae", "High Usage")))</f>
        <v>#REF!</v>
      </c>
      <c r="AD3741" t="e">
        <f>IF(#REF!&lt;=150,"Low Usage", IF(#REF!&lt;=200,"Medium Usage", IF(#REF!&lt;=250,"High Usage","Very High Usage")))</f>
        <v>#REF!</v>
      </c>
      <c r="AE3741" t="e">
        <f>IF(#REF!&lt;=5,"Low Calls", IF(#REF!&lt;=10, "Medium Calls", "High Calls"))</f>
        <v>#REF!</v>
      </c>
      <c r="AF3741" t="e">
        <f xml:space="preserve">
IF(#REF!&gt;=4,4,0)+
IF(#REF!="yes",3,0)+
IF(#REF!="High Charges",3,0)+
IF(#REF!&gt;250,4,0)+
IF(#REF!="no",1,0)+
IF(#REF!="Heavy Domestic User",2,0)</f>
        <v>#REF!</v>
      </c>
      <c r="AG3741" t="e">
        <f>IF(#REF!&gt;=10,"High Risk", IF(#REF!&gt;=5,"Medium Risk","Low Risk"))</f>
        <v>#REF!</v>
      </c>
      <c r="AH3741" t="e">
        <f>#REF! + #REF! + #REF! + #REF!</f>
        <v>#REF!</v>
      </c>
    </row>
    <row r="3742" spans="1:34" x14ac:dyDescent="0.35">
      <c r="A3742">
        <v>3741</v>
      </c>
      <c r="B3742" t="s">
        <v>54</v>
      </c>
      <c r="C3742">
        <v>50</v>
      </c>
      <c r="D3742" t="s">
        <v>28</v>
      </c>
      <c r="E3742" t="s">
        <v>22</v>
      </c>
      <c r="F3742" t="s">
        <v>23</v>
      </c>
      <c r="G3742">
        <v>39</v>
      </c>
      <c r="H3742">
        <v>147.30000000000001</v>
      </c>
      <c r="I3742">
        <v>75</v>
      </c>
      <c r="J3742">
        <v>25.04</v>
      </c>
      <c r="K3742">
        <v>244.8</v>
      </c>
      <c r="L3742">
        <v>74</v>
      </c>
      <c r="M3742">
        <v>20.81</v>
      </c>
      <c r="N3742">
        <v>216.9</v>
      </c>
      <c r="O3742">
        <v>101</v>
      </c>
      <c r="P3742">
        <v>9.76</v>
      </c>
      <c r="Q3742">
        <v>13.2</v>
      </c>
      <c r="R3742">
        <v>3</v>
      </c>
      <c r="S3742">
        <v>3.56</v>
      </c>
      <c r="T3742">
        <v>2</v>
      </c>
      <c r="U3742" t="s">
        <v>22</v>
      </c>
      <c r="V3742" t="e">
        <f>IF(#REF! = "yes", 1, 0)</f>
        <v>#REF!</v>
      </c>
      <c r="W3742" t="e">
        <f>IF(#REF! &lt;= 1, "0-1 Calls", IF(#REF! &lt;= 3, "2-3 Calls", IF(#REF! &lt;=5, "4-5 Calls", "6+ Calls")))</f>
        <v>#REF!</v>
      </c>
      <c r="X3742" t="e">
        <f>IF(#REF! &lt;= 50, "0-50", IF(#REF! &lt;=100, "51-100", IF(#REF! &lt;= 150, "101-150", "151+")))</f>
        <v>#REF!</v>
      </c>
      <c r="Y3742" t="e">
        <f>IF(#REF! &lt;= 3, "Low Charges", "High Charges")</f>
        <v>#REF!</v>
      </c>
      <c r="Z3742" t="e">
        <f>IF(#REF!&lt;=80,"Low Calls",
IF(#REF!&lt;=120,"Medium Calls","High Calls"))</f>
        <v>#REF!</v>
      </c>
      <c r="AA3742" t="e">
        <f>IF(#REF!&lt;=15,"Low Charges",
IF(#REF!&lt;=20,"Medium Charges","High Charges"))</f>
        <v>#REF!</v>
      </c>
      <c r="AB3742" t="e">
        <f>IF(AND(#REF!&gt;180, #REF!&gt;200), "Heavy Doemstic User", IF(#REF!&gt;10, "Interntional User", IF(AND(#REF!&lt;180, #REF!&lt;200,#REF!&lt;200), "Light User", "Balanced User")))</f>
        <v>#REF!</v>
      </c>
      <c r="AC3742" t="e">
        <f>IF(#REF! = 0, "No Usage", IF(#REF! &lt;= 20, "Low Usage", IF(#REF! &lt;= 40, "Medium Usgae", "High Usage")))</f>
        <v>#REF!</v>
      </c>
      <c r="AD3742" t="e">
        <f>IF(#REF!&lt;=150,"Low Usage", IF(#REF!&lt;=200,"Medium Usage", IF(#REF!&lt;=250,"High Usage","Very High Usage")))</f>
        <v>#REF!</v>
      </c>
      <c r="AE3742" t="e">
        <f>IF(#REF!&lt;=5,"Low Calls", IF(#REF!&lt;=10, "Medium Calls", "High Calls"))</f>
        <v>#REF!</v>
      </c>
      <c r="AF3742" t="e">
        <f xml:space="preserve">
IF(#REF!&gt;=4,4,0)+
IF(#REF!="yes",3,0)+
IF(#REF!="High Charges",3,0)+
IF(#REF!&gt;250,4,0)+
IF(#REF!="no",1,0)+
IF(#REF!="Heavy Domestic User",2,0)</f>
        <v>#REF!</v>
      </c>
      <c r="AG3742" t="e">
        <f>IF(#REF!&gt;=10,"High Risk", IF(#REF!&gt;=5,"Medium Risk","Low Risk"))</f>
        <v>#REF!</v>
      </c>
      <c r="AH3742" t="e">
        <f>#REF! + #REF! + #REF! + #REF!</f>
        <v>#REF!</v>
      </c>
    </row>
    <row r="3743" spans="1:34" x14ac:dyDescent="0.35">
      <c r="A3743">
        <v>3742</v>
      </c>
      <c r="B3743" t="s">
        <v>47</v>
      </c>
      <c r="C3743">
        <v>42</v>
      </c>
      <c r="D3743" t="s">
        <v>21</v>
      </c>
      <c r="E3743" t="s">
        <v>22</v>
      </c>
      <c r="F3743" t="s">
        <v>22</v>
      </c>
      <c r="G3743">
        <v>0</v>
      </c>
      <c r="H3743">
        <v>171</v>
      </c>
      <c r="I3743">
        <v>129</v>
      </c>
      <c r="J3743">
        <v>29.07</v>
      </c>
      <c r="K3743">
        <v>183.9</v>
      </c>
      <c r="L3743">
        <v>96</v>
      </c>
      <c r="M3743">
        <v>15.63</v>
      </c>
      <c r="N3743">
        <v>130.19999999999999</v>
      </c>
      <c r="O3743">
        <v>90</v>
      </c>
      <c r="P3743">
        <v>5.86</v>
      </c>
      <c r="Q3743">
        <v>4.5999999999999996</v>
      </c>
      <c r="R3743">
        <v>6</v>
      </c>
      <c r="S3743">
        <v>1.24</v>
      </c>
      <c r="T3743">
        <v>0</v>
      </c>
      <c r="U3743" t="s">
        <v>22</v>
      </c>
      <c r="V3743" t="e">
        <f>IF(#REF! = "yes", 1, 0)</f>
        <v>#REF!</v>
      </c>
      <c r="W3743" t="e">
        <f>IF(#REF! &lt;= 1, "0-1 Calls", IF(#REF! &lt;= 3, "2-3 Calls", IF(#REF! &lt;=5, "4-5 Calls", "6+ Calls")))</f>
        <v>#REF!</v>
      </c>
      <c r="X3743" t="e">
        <f>IF(#REF! &lt;= 50, "0-50", IF(#REF! &lt;=100, "51-100", IF(#REF! &lt;= 150, "101-150", "151+")))</f>
        <v>#REF!</v>
      </c>
      <c r="Y3743" t="e">
        <f>IF(#REF! &lt;= 3, "Low Charges", "High Charges")</f>
        <v>#REF!</v>
      </c>
      <c r="Z3743" t="e">
        <f>IF(#REF!&lt;=80,"Low Calls",
IF(#REF!&lt;=120,"Medium Calls","High Calls"))</f>
        <v>#REF!</v>
      </c>
      <c r="AA3743" t="e">
        <f>IF(#REF!&lt;=15,"Low Charges",
IF(#REF!&lt;=20,"Medium Charges","High Charges"))</f>
        <v>#REF!</v>
      </c>
      <c r="AB3743" t="e">
        <f>IF(AND(#REF!&gt;180, #REF!&gt;200), "Heavy Doemstic User", IF(#REF!&gt;10, "Interntional User", IF(AND(#REF!&lt;180, #REF!&lt;200,#REF!&lt;200), "Light User", "Balanced User")))</f>
        <v>#REF!</v>
      </c>
      <c r="AC3743" t="e">
        <f>IF(#REF! = 0, "No Usage", IF(#REF! &lt;= 20, "Low Usage", IF(#REF! &lt;= 40, "Medium Usgae", "High Usage")))</f>
        <v>#REF!</v>
      </c>
      <c r="AD3743" t="e">
        <f>IF(#REF!&lt;=150,"Low Usage", IF(#REF!&lt;=200,"Medium Usage", IF(#REF!&lt;=250,"High Usage","Very High Usage")))</f>
        <v>#REF!</v>
      </c>
      <c r="AE3743" t="e">
        <f>IF(#REF!&lt;=5,"Low Calls", IF(#REF!&lt;=10, "Medium Calls", "High Calls"))</f>
        <v>#REF!</v>
      </c>
      <c r="AF3743" t="e">
        <f xml:space="preserve">
IF(#REF!&gt;=4,4,0)+
IF(#REF!="yes",3,0)+
IF(#REF!="High Charges",3,0)+
IF(#REF!&gt;250,4,0)+
IF(#REF!="no",1,0)+
IF(#REF!="Heavy Domestic User",2,0)</f>
        <v>#REF!</v>
      </c>
      <c r="AG3743" t="e">
        <f>IF(#REF!&gt;=10,"High Risk", IF(#REF!&gt;=5,"Medium Risk","Low Risk"))</f>
        <v>#REF!</v>
      </c>
      <c r="AH3743" t="e">
        <f>#REF! + #REF! + #REF! + #REF!</f>
        <v>#REF!</v>
      </c>
    </row>
    <row r="3744" spans="1:34" x14ac:dyDescent="0.35">
      <c r="A3744">
        <v>3743</v>
      </c>
      <c r="B3744" t="s">
        <v>29</v>
      </c>
      <c r="C3744">
        <v>103</v>
      </c>
      <c r="D3744" t="s">
        <v>21</v>
      </c>
      <c r="E3744" t="s">
        <v>22</v>
      </c>
      <c r="F3744" t="s">
        <v>23</v>
      </c>
      <c r="G3744">
        <v>34</v>
      </c>
      <c r="H3744">
        <v>240.6</v>
      </c>
      <c r="I3744">
        <v>92</v>
      </c>
      <c r="J3744">
        <v>40.9</v>
      </c>
      <c r="K3744">
        <v>204.2</v>
      </c>
      <c r="L3744">
        <v>99</v>
      </c>
      <c r="M3744">
        <v>17.36</v>
      </c>
      <c r="N3744">
        <v>297</v>
      </c>
      <c r="O3744">
        <v>82</v>
      </c>
      <c r="P3744">
        <v>13.37</v>
      </c>
      <c r="Q3744">
        <v>12.7</v>
      </c>
      <c r="R3744">
        <v>9</v>
      </c>
      <c r="S3744">
        <v>3.43</v>
      </c>
      <c r="T3744">
        <v>5</v>
      </c>
      <c r="U3744" t="s">
        <v>22</v>
      </c>
      <c r="V3744" t="e">
        <f>IF(#REF! = "yes", 1, 0)</f>
        <v>#REF!</v>
      </c>
      <c r="W3744" t="e">
        <f>IF(#REF! &lt;= 1, "0-1 Calls", IF(#REF! &lt;= 3, "2-3 Calls", IF(#REF! &lt;=5, "4-5 Calls", "6+ Calls")))</f>
        <v>#REF!</v>
      </c>
      <c r="X3744" t="e">
        <f>IF(#REF! &lt;= 50, "0-50", IF(#REF! &lt;=100, "51-100", IF(#REF! &lt;= 150, "101-150", "151+")))</f>
        <v>#REF!</v>
      </c>
      <c r="Y3744" t="e">
        <f>IF(#REF! &lt;= 3, "Low Charges", "High Charges")</f>
        <v>#REF!</v>
      </c>
      <c r="Z3744" t="e">
        <f>IF(#REF!&lt;=80,"Low Calls",
IF(#REF!&lt;=120,"Medium Calls","High Calls"))</f>
        <v>#REF!</v>
      </c>
      <c r="AA3744" t="e">
        <f>IF(#REF!&lt;=15,"Low Charges",
IF(#REF!&lt;=20,"Medium Charges","High Charges"))</f>
        <v>#REF!</v>
      </c>
      <c r="AB3744" t="e">
        <f>IF(AND(#REF!&gt;180, #REF!&gt;200), "Heavy Doemstic User", IF(#REF!&gt;10, "Interntional User", IF(AND(#REF!&lt;180, #REF!&lt;200,#REF!&lt;200), "Light User", "Balanced User")))</f>
        <v>#REF!</v>
      </c>
      <c r="AC3744" t="e">
        <f>IF(#REF! = 0, "No Usage", IF(#REF! &lt;= 20, "Low Usage", IF(#REF! &lt;= 40, "Medium Usgae", "High Usage")))</f>
        <v>#REF!</v>
      </c>
      <c r="AD3744" t="e">
        <f>IF(#REF!&lt;=150,"Low Usage", IF(#REF!&lt;=200,"Medium Usage", IF(#REF!&lt;=250,"High Usage","Very High Usage")))</f>
        <v>#REF!</v>
      </c>
      <c r="AE3744" t="e">
        <f>IF(#REF!&lt;=5,"Low Calls", IF(#REF!&lt;=10, "Medium Calls", "High Calls"))</f>
        <v>#REF!</v>
      </c>
      <c r="AF3744" t="e">
        <f xml:space="preserve">
IF(#REF!&gt;=4,4,0)+
IF(#REF!="yes",3,0)+
IF(#REF!="High Charges",3,0)+
IF(#REF!&gt;250,4,0)+
IF(#REF!="no",1,0)+
IF(#REF!="Heavy Domestic User",2,0)</f>
        <v>#REF!</v>
      </c>
      <c r="AG3744" t="e">
        <f>IF(#REF!&gt;=10,"High Risk", IF(#REF!&gt;=5,"Medium Risk","Low Risk"))</f>
        <v>#REF!</v>
      </c>
      <c r="AH3744" t="e">
        <f>#REF! + #REF! + #REF! + #REF!</f>
        <v>#REF!</v>
      </c>
    </row>
    <row r="3745" spans="1:34" x14ac:dyDescent="0.35">
      <c r="A3745">
        <v>3744</v>
      </c>
      <c r="B3745" t="s">
        <v>69</v>
      </c>
      <c r="C3745">
        <v>90</v>
      </c>
      <c r="D3745" t="s">
        <v>21</v>
      </c>
      <c r="E3745" t="s">
        <v>22</v>
      </c>
      <c r="F3745" t="s">
        <v>22</v>
      </c>
      <c r="G3745">
        <v>0</v>
      </c>
      <c r="H3745">
        <v>114.4</v>
      </c>
      <c r="I3745">
        <v>108</v>
      </c>
      <c r="J3745">
        <v>19.45</v>
      </c>
      <c r="K3745">
        <v>232.8</v>
      </c>
      <c r="L3745">
        <v>150</v>
      </c>
      <c r="M3745">
        <v>19.79</v>
      </c>
      <c r="N3745">
        <v>198.1</v>
      </c>
      <c r="O3745">
        <v>78</v>
      </c>
      <c r="P3745">
        <v>8.91</v>
      </c>
      <c r="Q3745">
        <v>8.9</v>
      </c>
      <c r="R3745">
        <v>3</v>
      </c>
      <c r="S3745">
        <v>2.4</v>
      </c>
      <c r="T3745">
        <v>0</v>
      </c>
      <c r="U3745" t="s">
        <v>22</v>
      </c>
      <c r="V3745" t="e">
        <f>IF(#REF! = "yes", 1, 0)</f>
        <v>#REF!</v>
      </c>
      <c r="W3745" t="e">
        <f>IF(#REF! &lt;= 1, "0-1 Calls", IF(#REF! &lt;= 3, "2-3 Calls", IF(#REF! &lt;=5, "4-5 Calls", "6+ Calls")))</f>
        <v>#REF!</v>
      </c>
      <c r="X3745" t="e">
        <f>IF(#REF! &lt;= 50, "0-50", IF(#REF! &lt;=100, "51-100", IF(#REF! &lt;= 150, "101-150", "151+")))</f>
        <v>#REF!</v>
      </c>
      <c r="Y3745" t="e">
        <f>IF(#REF! &lt;= 3, "Low Charges", "High Charges")</f>
        <v>#REF!</v>
      </c>
      <c r="Z3745" t="e">
        <f>IF(#REF!&lt;=80,"Low Calls",
IF(#REF!&lt;=120,"Medium Calls","High Calls"))</f>
        <v>#REF!</v>
      </c>
      <c r="AA3745" t="e">
        <f>IF(#REF!&lt;=15,"Low Charges",
IF(#REF!&lt;=20,"Medium Charges","High Charges"))</f>
        <v>#REF!</v>
      </c>
      <c r="AB3745" t="e">
        <f>IF(AND(#REF!&gt;180, #REF!&gt;200), "Heavy Doemstic User", IF(#REF!&gt;10, "Interntional User", IF(AND(#REF!&lt;180, #REF!&lt;200,#REF!&lt;200), "Light User", "Balanced User")))</f>
        <v>#REF!</v>
      </c>
      <c r="AC3745" t="e">
        <f>IF(#REF! = 0, "No Usage", IF(#REF! &lt;= 20, "Low Usage", IF(#REF! &lt;= 40, "Medium Usgae", "High Usage")))</f>
        <v>#REF!</v>
      </c>
      <c r="AD3745" t="e">
        <f>IF(#REF!&lt;=150,"Low Usage", IF(#REF!&lt;=200,"Medium Usage", IF(#REF!&lt;=250,"High Usage","Very High Usage")))</f>
        <v>#REF!</v>
      </c>
      <c r="AE3745" t="e">
        <f>IF(#REF!&lt;=5,"Low Calls", IF(#REF!&lt;=10, "Medium Calls", "High Calls"))</f>
        <v>#REF!</v>
      </c>
      <c r="AF3745" t="e">
        <f xml:space="preserve">
IF(#REF!&gt;=4,4,0)+
IF(#REF!="yes",3,0)+
IF(#REF!="High Charges",3,0)+
IF(#REF!&gt;250,4,0)+
IF(#REF!="no",1,0)+
IF(#REF!="Heavy Domestic User",2,0)</f>
        <v>#REF!</v>
      </c>
      <c r="AG3745" t="e">
        <f>IF(#REF!&gt;=10,"High Risk", IF(#REF!&gt;=5,"Medium Risk","Low Risk"))</f>
        <v>#REF!</v>
      </c>
      <c r="AH3745" t="e">
        <f>#REF! + #REF! + #REF! + #REF!</f>
        <v>#REF!</v>
      </c>
    </row>
    <row r="3746" spans="1:34" x14ac:dyDescent="0.35">
      <c r="A3746">
        <v>3745</v>
      </c>
      <c r="B3746" t="s">
        <v>40</v>
      </c>
      <c r="C3746">
        <v>66</v>
      </c>
      <c r="D3746" t="s">
        <v>28</v>
      </c>
      <c r="E3746" t="s">
        <v>22</v>
      </c>
      <c r="F3746" t="s">
        <v>22</v>
      </c>
      <c r="G3746">
        <v>0</v>
      </c>
      <c r="H3746">
        <v>113.9</v>
      </c>
      <c r="I3746">
        <v>112</v>
      </c>
      <c r="J3746">
        <v>19.36</v>
      </c>
      <c r="K3746">
        <v>271.8</v>
      </c>
      <c r="L3746">
        <v>106</v>
      </c>
      <c r="M3746">
        <v>23.1</v>
      </c>
      <c r="N3746">
        <v>216.7</v>
      </c>
      <c r="O3746">
        <v>95</v>
      </c>
      <c r="P3746">
        <v>9.75</v>
      </c>
      <c r="Q3746">
        <v>15.6</v>
      </c>
      <c r="R3746">
        <v>3</v>
      </c>
      <c r="S3746">
        <v>4.21</v>
      </c>
      <c r="T3746">
        <v>2</v>
      </c>
      <c r="U3746" t="s">
        <v>22</v>
      </c>
      <c r="V3746" t="e">
        <f>IF(#REF! = "yes", 1, 0)</f>
        <v>#REF!</v>
      </c>
      <c r="W3746" t="e">
        <f>IF(#REF! &lt;= 1, "0-1 Calls", IF(#REF! &lt;= 3, "2-3 Calls", IF(#REF! &lt;=5, "4-5 Calls", "6+ Calls")))</f>
        <v>#REF!</v>
      </c>
      <c r="X3746" t="e">
        <f>IF(#REF! &lt;= 50, "0-50", IF(#REF! &lt;=100, "51-100", IF(#REF! &lt;= 150, "101-150", "151+")))</f>
        <v>#REF!</v>
      </c>
      <c r="Y3746" t="e">
        <f>IF(#REF! &lt;= 3, "Low Charges", "High Charges")</f>
        <v>#REF!</v>
      </c>
      <c r="Z3746" t="e">
        <f>IF(#REF!&lt;=80,"Low Calls",
IF(#REF!&lt;=120,"Medium Calls","High Calls"))</f>
        <v>#REF!</v>
      </c>
      <c r="AA3746" t="e">
        <f>IF(#REF!&lt;=15,"Low Charges",
IF(#REF!&lt;=20,"Medium Charges","High Charges"))</f>
        <v>#REF!</v>
      </c>
      <c r="AB3746" t="e">
        <f>IF(AND(#REF!&gt;180, #REF!&gt;200), "Heavy Doemstic User", IF(#REF!&gt;10, "Interntional User", IF(AND(#REF!&lt;180, #REF!&lt;200,#REF!&lt;200), "Light User", "Balanced User")))</f>
        <v>#REF!</v>
      </c>
      <c r="AC3746" t="e">
        <f>IF(#REF! = 0, "No Usage", IF(#REF! &lt;= 20, "Low Usage", IF(#REF! &lt;= 40, "Medium Usgae", "High Usage")))</f>
        <v>#REF!</v>
      </c>
      <c r="AD3746" t="e">
        <f>IF(#REF!&lt;=150,"Low Usage", IF(#REF!&lt;=200,"Medium Usage", IF(#REF!&lt;=250,"High Usage","Very High Usage")))</f>
        <v>#REF!</v>
      </c>
      <c r="AE3746" t="e">
        <f>IF(#REF!&lt;=5,"Low Calls", IF(#REF!&lt;=10, "Medium Calls", "High Calls"))</f>
        <v>#REF!</v>
      </c>
      <c r="AF3746" t="e">
        <f xml:space="preserve">
IF(#REF!&gt;=4,4,0)+
IF(#REF!="yes",3,0)+
IF(#REF!="High Charges",3,0)+
IF(#REF!&gt;250,4,0)+
IF(#REF!="no",1,0)+
IF(#REF!="Heavy Domestic User",2,0)</f>
        <v>#REF!</v>
      </c>
      <c r="AG3746" t="e">
        <f>IF(#REF!&gt;=10,"High Risk", IF(#REF!&gt;=5,"Medium Risk","Low Risk"))</f>
        <v>#REF!</v>
      </c>
      <c r="AH3746" t="e">
        <f>#REF! + #REF! + #REF! + #REF!</f>
        <v>#REF!</v>
      </c>
    </row>
    <row r="3747" spans="1:34" x14ac:dyDescent="0.35">
      <c r="A3747">
        <v>3746</v>
      </c>
      <c r="B3747" t="s">
        <v>53</v>
      </c>
      <c r="C3747">
        <v>22</v>
      </c>
      <c r="D3747" t="s">
        <v>25</v>
      </c>
      <c r="E3747" t="s">
        <v>22</v>
      </c>
      <c r="F3747" t="s">
        <v>22</v>
      </c>
      <c r="G3747">
        <v>0</v>
      </c>
      <c r="H3747">
        <v>180</v>
      </c>
      <c r="I3747">
        <v>65</v>
      </c>
      <c r="J3747">
        <v>30.6</v>
      </c>
      <c r="K3747">
        <v>207</v>
      </c>
      <c r="L3747">
        <v>106</v>
      </c>
      <c r="M3747">
        <v>17.600000000000001</v>
      </c>
      <c r="N3747">
        <v>182.8</v>
      </c>
      <c r="O3747">
        <v>111</v>
      </c>
      <c r="P3747">
        <v>8.23</v>
      </c>
      <c r="Q3747">
        <v>8.3000000000000007</v>
      </c>
      <c r="R3747">
        <v>6</v>
      </c>
      <c r="S3747">
        <v>2.2400000000000002</v>
      </c>
      <c r="T3747">
        <v>1</v>
      </c>
      <c r="U3747" t="s">
        <v>22</v>
      </c>
      <c r="V3747" t="e">
        <f>IF(#REF! = "yes", 1, 0)</f>
        <v>#REF!</v>
      </c>
      <c r="W3747" t="e">
        <f>IF(#REF! &lt;= 1, "0-1 Calls", IF(#REF! &lt;= 3, "2-3 Calls", IF(#REF! &lt;=5, "4-5 Calls", "6+ Calls")))</f>
        <v>#REF!</v>
      </c>
      <c r="X3747" t="e">
        <f>IF(#REF! &lt;= 50, "0-50", IF(#REF! &lt;=100, "51-100", IF(#REF! &lt;= 150, "101-150", "151+")))</f>
        <v>#REF!</v>
      </c>
      <c r="Y3747" t="e">
        <f>IF(#REF! &lt;= 3, "Low Charges", "High Charges")</f>
        <v>#REF!</v>
      </c>
      <c r="Z3747" t="e">
        <f>IF(#REF!&lt;=80,"Low Calls",
IF(#REF!&lt;=120,"Medium Calls","High Calls"))</f>
        <v>#REF!</v>
      </c>
      <c r="AA3747" t="e">
        <f>IF(#REF!&lt;=15,"Low Charges",
IF(#REF!&lt;=20,"Medium Charges","High Charges"))</f>
        <v>#REF!</v>
      </c>
      <c r="AB3747" t="e">
        <f>IF(AND(#REF!&gt;180, #REF!&gt;200), "Heavy Doemstic User", IF(#REF!&gt;10, "Interntional User", IF(AND(#REF!&lt;180, #REF!&lt;200,#REF!&lt;200), "Light User", "Balanced User")))</f>
        <v>#REF!</v>
      </c>
      <c r="AC3747" t="e">
        <f>IF(#REF! = 0, "No Usage", IF(#REF! &lt;= 20, "Low Usage", IF(#REF! &lt;= 40, "Medium Usgae", "High Usage")))</f>
        <v>#REF!</v>
      </c>
      <c r="AD3747" t="e">
        <f>IF(#REF!&lt;=150,"Low Usage", IF(#REF!&lt;=200,"Medium Usage", IF(#REF!&lt;=250,"High Usage","Very High Usage")))</f>
        <v>#REF!</v>
      </c>
      <c r="AE3747" t="e">
        <f>IF(#REF!&lt;=5,"Low Calls", IF(#REF!&lt;=10, "Medium Calls", "High Calls"))</f>
        <v>#REF!</v>
      </c>
      <c r="AF3747" t="e">
        <f xml:space="preserve">
IF(#REF!&gt;=4,4,0)+
IF(#REF!="yes",3,0)+
IF(#REF!="High Charges",3,0)+
IF(#REF!&gt;250,4,0)+
IF(#REF!="no",1,0)+
IF(#REF!="Heavy Domestic User",2,0)</f>
        <v>#REF!</v>
      </c>
      <c r="AG3747" t="e">
        <f>IF(#REF!&gt;=10,"High Risk", IF(#REF!&gt;=5,"Medium Risk","Low Risk"))</f>
        <v>#REF!</v>
      </c>
      <c r="AH3747" t="e">
        <f>#REF! + #REF! + #REF! + #REF!</f>
        <v>#REF!</v>
      </c>
    </row>
    <row r="3748" spans="1:34" x14ac:dyDescent="0.35">
      <c r="A3748">
        <v>3747</v>
      </c>
      <c r="B3748" t="s">
        <v>73</v>
      </c>
      <c r="C3748">
        <v>147</v>
      </c>
      <c r="D3748" t="s">
        <v>28</v>
      </c>
      <c r="E3748" t="s">
        <v>22</v>
      </c>
      <c r="F3748" t="s">
        <v>23</v>
      </c>
      <c r="G3748">
        <v>35</v>
      </c>
      <c r="H3748">
        <v>110.8</v>
      </c>
      <c r="I3748">
        <v>123</v>
      </c>
      <c r="J3748">
        <v>18.84</v>
      </c>
      <c r="K3748">
        <v>199.2</v>
      </c>
      <c r="L3748">
        <v>81</v>
      </c>
      <c r="M3748">
        <v>16.93</v>
      </c>
      <c r="N3748">
        <v>212.9</v>
      </c>
      <c r="O3748">
        <v>77</v>
      </c>
      <c r="P3748">
        <v>9.58</v>
      </c>
      <c r="Q3748">
        <v>8.9</v>
      </c>
      <c r="R3748">
        <v>4</v>
      </c>
      <c r="S3748">
        <v>2.4</v>
      </c>
      <c r="T3748">
        <v>2</v>
      </c>
      <c r="U3748" t="s">
        <v>22</v>
      </c>
      <c r="V3748" t="e">
        <f>IF(#REF! = "yes", 1, 0)</f>
        <v>#REF!</v>
      </c>
      <c r="W3748" t="e">
        <f>IF(#REF! &lt;= 1, "0-1 Calls", IF(#REF! &lt;= 3, "2-3 Calls", IF(#REF! &lt;=5, "4-5 Calls", "6+ Calls")))</f>
        <v>#REF!</v>
      </c>
      <c r="X3748" t="e">
        <f>IF(#REF! &lt;= 50, "0-50", IF(#REF! &lt;=100, "51-100", IF(#REF! &lt;= 150, "101-150", "151+")))</f>
        <v>#REF!</v>
      </c>
      <c r="Y3748" t="e">
        <f>IF(#REF! &lt;= 3, "Low Charges", "High Charges")</f>
        <v>#REF!</v>
      </c>
      <c r="Z3748" t="e">
        <f>IF(#REF!&lt;=80,"Low Calls",
IF(#REF!&lt;=120,"Medium Calls","High Calls"))</f>
        <v>#REF!</v>
      </c>
      <c r="AA3748" t="e">
        <f>IF(#REF!&lt;=15,"Low Charges",
IF(#REF!&lt;=20,"Medium Charges","High Charges"))</f>
        <v>#REF!</v>
      </c>
      <c r="AB3748" t="e">
        <f>IF(AND(#REF!&gt;180, #REF!&gt;200), "Heavy Doemstic User", IF(#REF!&gt;10, "Interntional User", IF(AND(#REF!&lt;180, #REF!&lt;200,#REF!&lt;200), "Light User", "Balanced User")))</f>
        <v>#REF!</v>
      </c>
      <c r="AC3748" t="e">
        <f>IF(#REF! = 0, "No Usage", IF(#REF! &lt;= 20, "Low Usage", IF(#REF! &lt;= 40, "Medium Usgae", "High Usage")))</f>
        <v>#REF!</v>
      </c>
      <c r="AD3748" t="e">
        <f>IF(#REF!&lt;=150,"Low Usage", IF(#REF!&lt;=200,"Medium Usage", IF(#REF!&lt;=250,"High Usage","Very High Usage")))</f>
        <v>#REF!</v>
      </c>
      <c r="AE3748" t="e">
        <f>IF(#REF!&lt;=5,"Low Calls", IF(#REF!&lt;=10, "Medium Calls", "High Calls"))</f>
        <v>#REF!</v>
      </c>
      <c r="AF3748" t="e">
        <f xml:space="preserve">
IF(#REF!&gt;=4,4,0)+
IF(#REF!="yes",3,0)+
IF(#REF!="High Charges",3,0)+
IF(#REF!&gt;250,4,0)+
IF(#REF!="no",1,0)+
IF(#REF!="Heavy Domestic User",2,0)</f>
        <v>#REF!</v>
      </c>
      <c r="AG3748" t="e">
        <f>IF(#REF!&gt;=10,"High Risk", IF(#REF!&gt;=5,"Medium Risk","Low Risk"))</f>
        <v>#REF!</v>
      </c>
      <c r="AH3748" t="e">
        <f>#REF! + #REF! + #REF! + #REF!</f>
        <v>#REF!</v>
      </c>
    </row>
    <row r="3749" spans="1:34" x14ac:dyDescent="0.35">
      <c r="A3749">
        <v>3748</v>
      </c>
      <c r="B3749" t="s">
        <v>50</v>
      </c>
      <c r="C3749">
        <v>57</v>
      </c>
      <c r="D3749" t="s">
        <v>21</v>
      </c>
      <c r="E3749" t="s">
        <v>22</v>
      </c>
      <c r="F3749" t="s">
        <v>23</v>
      </c>
      <c r="G3749">
        <v>26</v>
      </c>
      <c r="H3749">
        <v>138.69999999999999</v>
      </c>
      <c r="I3749">
        <v>99</v>
      </c>
      <c r="J3749">
        <v>23.58</v>
      </c>
      <c r="K3749">
        <v>134.5</v>
      </c>
      <c r="L3749">
        <v>105</v>
      </c>
      <c r="M3749">
        <v>11.43</v>
      </c>
      <c r="N3749">
        <v>261.7</v>
      </c>
      <c r="O3749">
        <v>95</v>
      </c>
      <c r="P3749">
        <v>11.78</v>
      </c>
      <c r="Q3749">
        <v>13</v>
      </c>
      <c r="R3749">
        <v>5</v>
      </c>
      <c r="S3749">
        <v>3.51</v>
      </c>
      <c r="T3749">
        <v>2</v>
      </c>
      <c r="U3749" t="s">
        <v>22</v>
      </c>
      <c r="V3749" t="e">
        <f>IF(#REF! = "yes", 1, 0)</f>
        <v>#REF!</v>
      </c>
      <c r="W3749" t="e">
        <f>IF(#REF! &lt;= 1, "0-1 Calls", IF(#REF! &lt;= 3, "2-3 Calls", IF(#REF! &lt;=5, "4-5 Calls", "6+ Calls")))</f>
        <v>#REF!</v>
      </c>
      <c r="X3749" t="e">
        <f>IF(#REF! &lt;= 50, "0-50", IF(#REF! &lt;=100, "51-100", IF(#REF! &lt;= 150, "101-150", "151+")))</f>
        <v>#REF!</v>
      </c>
      <c r="Y3749" t="e">
        <f>IF(#REF! &lt;= 3, "Low Charges", "High Charges")</f>
        <v>#REF!</v>
      </c>
      <c r="Z3749" t="e">
        <f>IF(#REF!&lt;=80,"Low Calls",
IF(#REF!&lt;=120,"Medium Calls","High Calls"))</f>
        <v>#REF!</v>
      </c>
      <c r="AA3749" t="e">
        <f>IF(#REF!&lt;=15,"Low Charges",
IF(#REF!&lt;=20,"Medium Charges","High Charges"))</f>
        <v>#REF!</v>
      </c>
      <c r="AB3749" t="e">
        <f>IF(AND(#REF!&gt;180, #REF!&gt;200), "Heavy Doemstic User", IF(#REF!&gt;10, "Interntional User", IF(AND(#REF!&lt;180, #REF!&lt;200,#REF!&lt;200), "Light User", "Balanced User")))</f>
        <v>#REF!</v>
      </c>
      <c r="AC3749" t="e">
        <f>IF(#REF! = 0, "No Usage", IF(#REF! &lt;= 20, "Low Usage", IF(#REF! &lt;= 40, "Medium Usgae", "High Usage")))</f>
        <v>#REF!</v>
      </c>
      <c r="AD3749" t="e">
        <f>IF(#REF!&lt;=150,"Low Usage", IF(#REF!&lt;=200,"Medium Usage", IF(#REF!&lt;=250,"High Usage","Very High Usage")))</f>
        <v>#REF!</v>
      </c>
      <c r="AE3749" t="e">
        <f>IF(#REF!&lt;=5,"Low Calls", IF(#REF!&lt;=10, "Medium Calls", "High Calls"))</f>
        <v>#REF!</v>
      </c>
      <c r="AF3749" t="e">
        <f xml:space="preserve">
IF(#REF!&gt;=4,4,0)+
IF(#REF!="yes",3,0)+
IF(#REF!="High Charges",3,0)+
IF(#REF!&gt;250,4,0)+
IF(#REF!="no",1,0)+
IF(#REF!="Heavy Domestic User",2,0)</f>
        <v>#REF!</v>
      </c>
      <c r="AG3749" t="e">
        <f>IF(#REF!&gt;=10,"High Risk", IF(#REF!&gt;=5,"Medium Risk","Low Risk"))</f>
        <v>#REF!</v>
      </c>
      <c r="AH3749" t="e">
        <f>#REF! + #REF! + #REF! + #REF!</f>
        <v>#REF!</v>
      </c>
    </row>
    <row r="3750" spans="1:34" x14ac:dyDescent="0.35">
      <c r="A3750">
        <v>3749</v>
      </c>
      <c r="B3750" t="s">
        <v>65</v>
      </c>
      <c r="C3750">
        <v>7</v>
      </c>
      <c r="D3750" t="s">
        <v>28</v>
      </c>
      <c r="E3750" t="s">
        <v>22</v>
      </c>
      <c r="F3750" t="s">
        <v>23</v>
      </c>
      <c r="G3750">
        <v>33</v>
      </c>
      <c r="H3750">
        <v>211.8</v>
      </c>
      <c r="I3750">
        <v>99</v>
      </c>
      <c r="J3750">
        <v>36.01</v>
      </c>
      <c r="K3750">
        <v>170.9</v>
      </c>
      <c r="L3750">
        <v>110</v>
      </c>
      <c r="M3750">
        <v>14.53</v>
      </c>
      <c r="N3750">
        <v>244.2</v>
      </c>
      <c r="O3750">
        <v>125</v>
      </c>
      <c r="P3750">
        <v>10.99</v>
      </c>
      <c r="Q3750">
        <v>11.2</v>
      </c>
      <c r="R3750">
        <v>4</v>
      </c>
      <c r="S3750">
        <v>3.02</v>
      </c>
      <c r="T3750">
        <v>2</v>
      </c>
      <c r="U3750" t="s">
        <v>22</v>
      </c>
      <c r="V3750" t="e">
        <f>IF(#REF! = "yes", 1, 0)</f>
        <v>#REF!</v>
      </c>
      <c r="W3750" t="e">
        <f>IF(#REF! &lt;= 1, "0-1 Calls", IF(#REF! &lt;= 3, "2-3 Calls", IF(#REF! &lt;=5, "4-5 Calls", "6+ Calls")))</f>
        <v>#REF!</v>
      </c>
      <c r="X3750" t="e">
        <f>IF(#REF! &lt;= 50, "0-50", IF(#REF! &lt;=100, "51-100", IF(#REF! &lt;= 150, "101-150", "151+")))</f>
        <v>#REF!</v>
      </c>
      <c r="Y3750" t="e">
        <f>IF(#REF! &lt;= 3, "Low Charges", "High Charges")</f>
        <v>#REF!</v>
      </c>
      <c r="Z3750" t="e">
        <f>IF(#REF!&lt;=80,"Low Calls",
IF(#REF!&lt;=120,"Medium Calls","High Calls"))</f>
        <v>#REF!</v>
      </c>
      <c r="AA3750" t="e">
        <f>IF(#REF!&lt;=15,"Low Charges",
IF(#REF!&lt;=20,"Medium Charges","High Charges"))</f>
        <v>#REF!</v>
      </c>
      <c r="AB3750" t="e">
        <f>IF(AND(#REF!&gt;180, #REF!&gt;200), "Heavy Doemstic User", IF(#REF!&gt;10, "Interntional User", IF(AND(#REF!&lt;180, #REF!&lt;200,#REF!&lt;200), "Light User", "Balanced User")))</f>
        <v>#REF!</v>
      </c>
      <c r="AC3750" t="e">
        <f>IF(#REF! = 0, "No Usage", IF(#REF! &lt;= 20, "Low Usage", IF(#REF! &lt;= 40, "Medium Usgae", "High Usage")))</f>
        <v>#REF!</v>
      </c>
      <c r="AD3750" t="e">
        <f>IF(#REF!&lt;=150,"Low Usage", IF(#REF!&lt;=200,"Medium Usage", IF(#REF!&lt;=250,"High Usage","Very High Usage")))</f>
        <v>#REF!</v>
      </c>
      <c r="AE3750" t="e">
        <f>IF(#REF!&lt;=5,"Low Calls", IF(#REF!&lt;=10, "Medium Calls", "High Calls"))</f>
        <v>#REF!</v>
      </c>
      <c r="AF3750" t="e">
        <f xml:space="preserve">
IF(#REF!&gt;=4,4,0)+
IF(#REF!="yes",3,0)+
IF(#REF!="High Charges",3,0)+
IF(#REF!&gt;250,4,0)+
IF(#REF!="no",1,0)+
IF(#REF!="Heavy Domestic User",2,0)</f>
        <v>#REF!</v>
      </c>
      <c r="AG3750" t="e">
        <f>IF(#REF!&gt;=10,"High Risk", IF(#REF!&gt;=5,"Medium Risk","Low Risk"))</f>
        <v>#REF!</v>
      </c>
      <c r="AH3750" t="e">
        <f>#REF! + #REF! + #REF! + #REF!</f>
        <v>#REF!</v>
      </c>
    </row>
    <row r="3751" spans="1:34" x14ac:dyDescent="0.35">
      <c r="A3751">
        <v>3750</v>
      </c>
      <c r="B3751" t="s">
        <v>60</v>
      </c>
      <c r="C3751">
        <v>85</v>
      </c>
      <c r="D3751" t="s">
        <v>21</v>
      </c>
      <c r="E3751" t="s">
        <v>22</v>
      </c>
      <c r="F3751" t="s">
        <v>22</v>
      </c>
      <c r="G3751">
        <v>0</v>
      </c>
      <c r="H3751">
        <v>234.5</v>
      </c>
      <c r="I3751">
        <v>113</v>
      </c>
      <c r="J3751">
        <v>39.869999999999997</v>
      </c>
      <c r="K3751">
        <v>237.3</v>
      </c>
      <c r="L3751">
        <v>116</v>
      </c>
      <c r="M3751">
        <v>20.170000000000002</v>
      </c>
      <c r="N3751">
        <v>122.7</v>
      </c>
      <c r="O3751">
        <v>110</v>
      </c>
      <c r="P3751">
        <v>5.52</v>
      </c>
      <c r="Q3751">
        <v>12.9</v>
      </c>
      <c r="R3751">
        <v>3</v>
      </c>
      <c r="S3751">
        <v>3.48</v>
      </c>
      <c r="T3751">
        <v>4</v>
      </c>
      <c r="U3751" t="s">
        <v>22</v>
      </c>
      <c r="V3751" t="e">
        <f>IF(#REF! = "yes", 1, 0)</f>
        <v>#REF!</v>
      </c>
      <c r="W3751" t="e">
        <f>IF(#REF! &lt;= 1, "0-1 Calls", IF(#REF! &lt;= 3, "2-3 Calls", IF(#REF! &lt;=5, "4-5 Calls", "6+ Calls")))</f>
        <v>#REF!</v>
      </c>
      <c r="X3751" t="e">
        <f>IF(#REF! &lt;= 50, "0-50", IF(#REF! &lt;=100, "51-100", IF(#REF! &lt;= 150, "101-150", "151+")))</f>
        <v>#REF!</v>
      </c>
      <c r="Y3751" t="e">
        <f>IF(#REF! &lt;= 3, "Low Charges", "High Charges")</f>
        <v>#REF!</v>
      </c>
      <c r="Z3751" t="e">
        <f>IF(#REF!&lt;=80,"Low Calls",
IF(#REF!&lt;=120,"Medium Calls","High Calls"))</f>
        <v>#REF!</v>
      </c>
      <c r="AA3751" t="e">
        <f>IF(#REF!&lt;=15,"Low Charges",
IF(#REF!&lt;=20,"Medium Charges","High Charges"))</f>
        <v>#REF!</v>
      </c>
      <c r="AB3751" t="e">
        <f>IF(AND(#REF!&gt;180, #REF!&gt;200), "Heavy Doemstic User", IF(#REF!&gt;10, "Interntional User", IF(AND(#REF!&lt;180, #REF!&lt;200,#REF!&lt;200), "Light User", "Balanced User")))</f>
        <v>#REF!</v>
      </c>
      <c r="AC3751" t="e">
        <f>IF(#REF! = 0, "No Usage", IF(#REF! &lt;= 20, "Low Usage", IF(#REF! &lt;= 40, "Medium Usgae", "High Usage")))</f>
        <v>#REF!</v>
      </c>
      <c r="AD3751" t="e">
        <f>IF(#REF!&lt;=150,"Low Usage", IF(#REF!&lt;=200,"Medium Usage", IF(#REF!&lt;=250,"High Usage","Very High Usage")))</f>
        <v>#REF!</v>
      </c>
      <c r="AE3751" t="e">
        <f>IF(#REF!&lt;=5,"Low Calls", IF(#REF!&lt;=10, "Medium Calls", "High Calls"))</f>
        <v>#REF!</v>
      </c>
      <c r="AF3751" t="e">
        <f xml:space="preserve">
IF(#REF!&gt;=4,4,0)+
IF(#REF!="yes",3,0)+
IF(#REF!="High Charges",3,0)+
IF(#REF!&gt;250,4,0)+
IF(#REF!="no",1,0)+
IF(#REF!="Heavy Domestic User",2,0)</f>
        <v>#REF!</v>
      </c>
      <c r="AG3751" t="e">
        <f>IF(#REF!&gt;=10,"High Risk", IF(#REF!&gt;=5,"Medium Risk","Low Risk"))</f>
        <v>#REF!</v>
      </c>
      <c r="AH3751" t="e">
        <f>#REF! + #REF! + #REF! + #REF!</f>
        <v>#REF!</v>
      </c>
    </row>
    <row r="3752" spans="1:34" x14ac:dyDescent="0.35">
      <c r="A3752">
        <v>3751</v>
      </c>
      <c r="B3752" t="s">
        <v>39</v>
      </c>
      <c r="C3752">
        <v>92</v>
      </c>
      <c r="D3752" t="s">
        <v>28</v>
      </c>
      <c r="E3752" t="s">
        <v>22</v>
      </c>
      <c r="F3752" t="s">
        <v>22</v>
      </c>
      <c r="G3752">
        <v>0</v>
      </c>
      <c r="H3752">
        <v>240.2</v>
      </c>
      <c r="I3752">
        <v>86</v>
      </c>
      <c r="J3752">
        <v>40.83</v>
      </c>
      <c r="K3752">
        <v>107.6</v>
      </c>
      <c r="L3752">
        <v>79</v>
      </c>
      <c r="M3752">
        <v>9.15</v>
      </c>
      <c r="N3752">
        <v>156.6</v>
      </c>
      <c r="O3752">
        <v>121</v>
      </c>
      <c r="P3752">
        <v>7.05</v>
      </c>
      <c r="Q3752">
        <v>7.5</v>
      </c>
      <c r="R3752">
        <v>4</v>
      </c>
      <c r="S3752">
        <v>2.0299999999999998</v>
      </c>
      <c r="T3752">
        <v>1</v>
      </c>
      <c r="U3752" t="s">
        <v>22</v>
      </c>
      <c r="V3752" t="e">
        <f>IF(#REF! = "yes", 1, 0)</f>
        <v>#REF!</v>
      </c>
      <c r="W3752" t="e">
        <f>IF(#REF! &lt;= 1, "0-1 Calls", IF(#REF! &lt;= 3, "2-3 Calls", IF(#REF! &lt;=5, "4-5 Calls", "6+ Calls")))</f>
        <v>#REF!</v>
      </c>
      <c r="X3752" t="e">
        <f>IF(#REF! &lt;= 50, "0-50", IF(#REF! &lt;=100, "51-100", IF(#REF! &lt;= 150, "101-150", "151+")))</f>
        <v>#REF!</v>
      </c>
      <c r="Y3752" t="e">
        <f>IF(#REF! &lt;= 3, "Low Charges", "High Charges")</f>
        <v>#REF!</v>
      </c>
      <c r="Z3752" t="e">
        <f>IF(#REF!&lt;=80,"Low Calls",
IF(#REF!&lt;=120,"Medium Calls","High Calls"))</f>
        <v>#REF!</v>
      </c>
      <c r="AA3752" t="e">
        <f>IF(#REF!&lt;=15,"Low Charges",
IF(#REF!&lt;=20,"Medium Charges","High Charges"))</f>
        <v>#REF!</v>
      </c>
      <c r="AB3752" t="e">
        <f>IF(AND(#REF!&gt;180, #REF!&gt;200), "Heavy Doemstic User", IF(#REF!&gt;10, "Interntional User", IF(AND(#REF!&lt;180, #REF!&lt;200,#REF!&lt;200), "Light User", "Balanced User")))</f>
        <v>#REF!</v>
      </c>
      <c r="AC3752" t="e">
        <f>IF(#REF! = 0, "No Usage", IF(#REF! &lt;= 20, "Low Usage", IF(#REF! &lt;= 40, "Medium Usgae", "High Usage")))</f>
        <v>#REF!</v>
      </c>
      <c r="AD3752" t="e">
        <f>IF(#REF!&lt;=150,"Low Usage", IF(#REF!&lt;=200,"Medium Usage", IF(#REF!&lt;=250,"High Usage","Very High Usage")))</f>
        <v>#REF!</v>
      </c>
      <c r="AE3752" t="e">
        <f>IF(#REF!&lt;=5,"Low Calls", IF(#REF!&lt;=10, "Medium Calls", "High Calls"))</f>
        <v>#REF!</v>
      </c>
      <c r="AF3752" t="e">
        <f xml:space="preserve">
IF(#REF!&gt;=4,4,0)+
IF(#REF!="yes",3,0)+
IF(#REF!="High Charges",3,0)+
IF(#REF!&gt;250,4,0)+
IF(#REF!="no",1,0)+
IF(#REF!="Heavy Domestic User",2,0)</f>
        <v>#REF!</v>
      </c>
      <c r="AG3752" t="e">
        <f>IF(#REF!&gt;=10,"High Risk", IF(#REF!&gt;=5,"Medium Risk","Low Risk"))</f>
        <v>#REF!</v>
      </c>
      <c r="AH3752" t="e">
        <f>#REF! + #REF! + #REF! + #REF!</f>
        <v>#REF!</v>
      </c>
    </row>
    <row r="3753" spans="1:34" x14ac:dyDescent="0.35">
      <c r="A3753">
        <v>3752</v>
      </c>
      <c r="B3753" t="s">
        <v>45</v>
      </c>
      <c r="C3753">
        <v>92</v>
      </c>
      <c r="D3753" t="s">
        <v>28</v>
      </c>
      <c r="E3753" t="s">
        <v>22</v>
      </c>
      <c r="F3753" t="s">
        <v>22</v>
      </c>
      <c r="G3753">
        <v>0</v>
      </c>
      <c r="H3753">
        <v>222.4</v>
      </c>
      <c r="I3753">
        <v>105</v>
      </c>
      <c r="J3753">
        <v>37.81</v>
      </c>
      <c r="K3753">
        <v>164</v>
      </c>
      <c r="L3753">
        <v>129</v>
      </c>
      <c r="M3753">
        <v>13.94</v>
      </c>
      <c r="N3753">
        <v>233.3</v>
      </c>
      <c r="O3753">
        <v>113</v>
      </c>
      <c r="P3753">
        <v>10.5</v>
      </c>
      <c r="Q3753">
        <v>9.9</v>
      </c>
      <c r="R3753">
        <v>8</v>
      </c>
      <c r="S3753">
        <v>2.67</v>
      </c>
      <c r="T3753">
        <v>1</v>
      </c>
      <c r="U3753" t="s">
        <v>22</v>
      </c>
      <c r="V3753" t="e">
        <f>IF(#REF! = "yes", 1, 0)</f>
        <v>#REF!</v>
      </c>
      <c r="W3753" t="e">
        <f>IF(#REF! &lt;= 1, "0-1 Calls", IF(#REF! &lt;= 3, "2-3 Calls", IF(#REF! &lt;=5, "4-5 Calls", "6+ Calls")))</f>
        <v>#REF!</v>
      </c>
      <c r="X3753" t="e">
        <f>IF(#REF! &lt;= 50, "0-50", IF(#REF! &lt;=100, "51-100", IF(#REF! &lt;= 150, "101-150", "151+")))</f>
        <v>#REF!</v>
      </c>
      <c r="Y3753" t="e">
        <f>IF(#REF! &lt;= 3, "Low Charges", "High Charges")</f>
        <v>#REF!</v>
      </c>
      <c r="Z3753" t="e">
        <f>IF(#REF!&lt;=80,"Low Calls",
IF(#REF!&lt;=120,"Medium Calls","High Calls"))</f>
        <v>#REF!</v>
      </c>
      <c r="AA3753" t="e">
        <f>IF(#REF!&lt;=15,"Low Charges",
IF(#REF!&lt;=20,"Medium Charges","High Charges"))</f>
        <v>#REF!</v>
      </c>
      <c r="AB3753" t="e">
        <f>IF(AND(#REF!&gt;180, #REF!&gt;200), "Heavy Doemstic User", IF(#REF!&gt;10, "Interntional User", IF(AND(#REF!&lt;180, #REF!&lt;200,#REF!&lt;200), "Light User", "Balanced User")))</f>
        <v>#REF!</v>
      </c>
      <c r="AC3753" t="e">
        <f>IF(#REF! = 0, "No Usage", IF(#REF! &lt;= 20, "Low Usage", IF(#REF! &lt;= 40, "Medium Usgae", "High Usage")))</f>
        <v>#REF!</v>
      </c>
      <c r="AD3753" t="e">
        <f>IF(#REF!&lt;=150,"Low Usage", IF(#REF!&lt;=200,"Medium Usage", IF(#REF!&lt;=250,"High Usage","Very High Usage")))</f>
        <v>#REF!</v>
      </c>
      <c r="AE3753" t="e">
        <f>IF(#REF!&lt;=5,"Low Calls", IF(#REF!&lt;=10, "Medium Calls", "High Calls"))</f>
        <v>#REF!</v>
      </c>
      <c r="AF3753" t="e">
        <f xml:space="preserve">
IF(#REF!&gt;=4,4,0)+
IF(#REF!="yes",3,0)+
IF(#REF!="High Charges",3,0)+
IF(#REF!&gt;250,4,0)+
IF(#REF!="no",1,0)+
IF(#REF!="Heavy Domestic User",2,0)</f>
        <v>#REF!</v>
      </c>
      <c r="AG3753" t="e">
        <f>IF(#REF!&gt;=10,"High Risk", IF(#REF!&gt;=5,"Medium Risk","Low Risk"))</f>
        <v>#REF!</v>
      </c>
      <c r="AH3753" t="e">
        <f>#REF! + #REF! + #REF! + #REF!</f>
        <v>#REF!</v>
      </c>
    </row>
    <row r="3754" spans="1:34" x14ac:dyDescent="0.35">
      <c r="A3754">
        <v>3753</v>
      </c>
      <c r="B3754" t="s">
        <v>51</v>
      </c>
      <c r="C3754">
        <v>133</v>
      </c>
      <c r="D3754" t="s">
        <v>21</v>
      </c>
      <c r="E3754" t="s">
        <v>22</v>
      </c>
      <c r="F3754" t="s">
        <v>22</v>
      </c>
      <c r="G3754">
        <v>0</v>
      </c>
      <c r="H3754">
        <v>113.3</v>
      </c>
      <c r="I3754">
        <v>137</v>
      </c>
      <c r="J3754">
        <v>19.260000000000002</v>
      </c>
      <c r="K3754">
        <v>160.19999999999999</v>
      </c>
      <c r="L3754">
        <v>103</v>
      </c>
      <c r="M3754">
        <v>13.62</v>
      </c>
      <c r="N3754">
        <v>228.8</v>
      </c>
      <c r="O3754">
        <v>98</v>
      </c>
      <c r="P3754">
        <v>10.3</v>
      </c>
      <c r="Q3754">
        <v>10.1</v>
      </c>
      <c r="R3754">
        <v>7</v>
      </c>
      <c r="S3754">
        <v>2.73</v>
      </c>
      <c r="T3754">
        <v>2</v>
      </c>
      <c r="U3754" t="s">
        <v>22</v>
      </c>
      <c r="V3754" t="e">
        <f>IF(#REF! = "yes", 1, 0)</f>
        <v>#REF!</v>
      </c>
      <c r="W3754" t="e">
        <f>IF(#REF! &lt;= 1, "0-1 Calls", IF(#REF! &lt;= 3, "2-3 Calls", IF(#REF! &lt;=5, "4-5 Calls", "6+ Calls")))</f>
        <v>#REF!</v>
      </c>
      <c r="X3754" t="e">
        <f>IF(#REF! &lt;= 50, "0-50", IF(#REF! &lt;=100, "51-100", IF(#REF! &lt;= 150, "101-150", "151+")))</f>
        <v>#REF!</v>
      </c>
      <c r="Y3754" t="e">
        <f>IF(#REF! &lt;= 3, "Low Charges", "High Charges")</f>
        <v>#REF!</v>
      </c>
      <c r="Z3754" t="e">
        <f>IF(#REF!&lt;=80,"Low Calls",
IF(#REF!&lt;=120,"Medium Calls","High Calls"))</f>
        <v>#REF!</v>
      </c>
      <c r="AA3754" t="e">
        <f>IF(#REF!&lt;=15,"Low Charges",
IF(#REF!&lt;=20,"Medium Charges","High Charges"))</f>
        <v>#REF!</v>
      </c>
      <c r="AB3754" t="e">
        <f>IF(AND(#REF!&gt;180, #REF!&gt;200), "Heavy Doemstic User", IF(#REF!&gt;10, "Interntional User", IF(AND(#REF!&lt;180, #REF!&lt;200,#REF!&lt;200), "Light User", "Balanced User")))</f>
        <v>#REF!</v>
      </c>
      <c r="AC3754" t="e">
        <f>IF(#REF! = 0, "No Usage", IF(#REF! &lt;= 20, "Low Usage", IF(#REF! &lt;= 40, "Medium Usgae", "High Usage")))</f>
        <v>#REF!</v>
      </c>
      <c r="AD3754" t="e">
        <f>IF(#REF!&lt;=150,"Low Usage", IF(#REF!&lt;=200,"Medium Usage", IF(#REF!&lt;=250,"High Usage","Very High Usage")))</f>
        <v>#REF!</v>
      </c>
      <c r="AE3754" t="e">
        <f>IF(#REF!&lt;=5,"Low Calls", IF(#REF!&lt;=10, "Medium Calls", "High Calls"))</f>
        <v>#REF!</v>
      </c>
      <c r="AF3754" t="e">
        <f xml:space="preserve">
IF(#REF!&gt;=4,4,0)+
IF(#REF!="yes",3,0)+
IF(#REF!="High Charges",3,0)+
IF(#REF!&gt;250,4,0)+
IF(#REF!="no",1,0)+
IF(#REF!="Heavy Domestic User",2,0)</f>
        <v>#REF!</v>
      </c>
      <c r="AG3754" t="e">
        <f>IF(#REF!&gt;=10,"High Risk", IF(#REF!&gt;=5,"Medium Risk","Low Risk"))</f>
        <v>#REF!</v>
      </c>
      <c r="AH3754" t="e">
        <f>#REF! + #REF! + #REF! + #REF!</f>
        <v>#REF!</v>
      </c>
    </row>
    <row r="3755" spans="1:34" x14ac:dyDescent="0.35">
      <c r="A3755">
        <v>3754</v>
      </c>
      <c r="B3755" t="s">
        <v>62</v>
      </c>
      <c r="C3755">
        <v>134</v>
      </c>
      <c r="D3755" t="s">
        <v>25</v>
      </c>
      <c r="E3755" t="s">
        <v>22</v>
      </c>
      <c r="F3755" t="s">
        <v>22</v>
      </c>
      <c r="G3755">
        <v>0</v>
      </c>
      <c r="H3755">
        <v>107</v>
      </c>
      <c r="I3755">
        <v>146</v>
      </c>
      <c r="J3755">
        <v>18.190000000000001</v>
      </c>
      <c r="K3755">
        <v>220</v>
      </c>
      <c r="L3755">
        <v>116</v>
      </c>
      <c r="M3755">
        <v>18.7</v>
      </c>
      <c r="N3755">
        <v>149.80000000000001</v>
      </c>
      <c r="O3755">
        <v>108</v>
      </c>
      <c r="P3755">
        <v>6.74</v>
      </c>
      <c r="Q3755">
        <v>7.2</v>
      </c>
      <c r="R3755">
        <v>3</v>
      </c>
      <c r="S3755">
        <v>1.94</v>
      </c>
      <c r="T3755">
        <v>2</v>
      </c>
      <c r="U3755" t="s">
        <v>22</v>
      </c>
      <c r="V3755" t="e">
        <f>IF(#REF! = "yes", 1, 0)</f>
        <v>#REF!</v>
      </c>
      <c r="W3755" t="e">
        <f>IF(#REF! &lt;= 1, "0-1 Calls", IF(#REF! &lt;= 3, "2-3 Calls", IF(#REF! &lt;=5, "4-5 Calls", "6+ Calls")))</f>
        <v>#REF!</v>
      </c>
      <c r="X3755" t="e">
        <f>IF(#REF! &lt;= 50, "0-50", IF(#REF! &lt;=100, "51-100", IF(#REF! &lt;= 150, "101-150", "151+")))</f>
        <v>#REF!</v>
      </c>
      <c r="Y3755" t="e">
        <f>IF(#REF! &lt;= 3, "Low Charges", "High Charges")</f>
        <v>#REF!</v>
      </c>
      <c r="Z3755" t="e">
        <f>IF(#REF!&lt;=80,"Low Calls",
IF(#REF!&lt;=120,"Medium Calls","High Calls"))</f>
        <v>#REF!</v>
      </c>
      <c r="AA3755" t="e">
        <f>IF(#REF!&lt;=15,"Low Charges",
IF(#REF!&lt;=20,"Medium Charges","High Charges"))</f>
        <v>#REF!</v>
      </c>
      <c r="AB3755" t="e">
        <f>IF(AND(#REF!&gt;180, #REF!&gt;200), "Heavy Doemstic User", IF(#REF!&gt;10, "Interntional User", IF(AND(#REF!&lt;180, #REF!&lt;200,#REF!&lt;200), "Light User", "Balanced User")))</f>
        <v>#REF!</v>
      </c>
      <c r="AC3755" t="e">
        <f>IF(#REF! = 0, "No Usage", IF(#REF! &lt;= 20, "Low Usage", IF(#REF! &lt;= 40, "Medium Usgae", "High Usage")))</f>
        <v>#REF!</v>
      </c>
      <c r="AD3755" t="e">
        <f>IF(#REF!&lt;=150,"Low Usage", IF(#REF!&lt;=200,"Medium Usage", IF(#REF!&lt;=250,"High Usage","Very High Usage")))</f>
        <v>#REF!</v>
      </c>
      <c r="AE3755" t="e">
        <f>IF(#REF!&lt;=5,"Low Calls", IF(#REF!&lt;=10, "Medium Calls", "High Calls"))</f>
        <v>#REF!</v>
      </c>
      <c r="AF3755" t="e">
        <f xml:space="preserve">
IF(#REF!&gt;=4,4,0)+
IF(#REF!="yes",3,0)+
IF(#REF!="High Charges",3,0)+
IF(#REF!&gt;250,4,0)+
IF(#REF!="no",1,0)+
IF(#REF!="Heavy Domestic User",2,0)</f>
        <v>#REF!</v>
      </c>
      <c r="AG3755" t="e">
        <f>IF(#REF!&gt;=10,"High Risk", IF(#REF!&gt;=5,"Medium Risk","Low Risk"))</f>
        <v>#REF!</v>
      </c>
      <c r="AH3755" t="e">
        <f>#REF! + #REF! + #REF! + #REF!</f>
        <v>#REF!</v>
      </c>
    </row>
    <row r="3756" spans="1:34" x14ac:dyDescent="0.35">
      <c r="A3756">
        <v>3755</v>
      </c>
      <c r="B3756" t="s">
        <v>72</v>
      </c>
      <c r="C3756">
        <v>66</v>
      </c>
      <c r="D3756" t="s">
        <v>21</v>
      </c>
      <c r="E3756" t="s">
        <v>22</v>
      </c>
      <c r="F3756" t="s">
        <v>23</v>
      </c>
      <c r="G3756">
        <v>31</v>
      </c>
      <c r="H3756">
        <v>163.19999999999999</v>
      </c>
      <c r="I3756">
        <v>106</v>
      </c>
      <c r="J3756">
        <v>27.74</v>
      </c>
      <c r="K3756">
        <v>267.89999999999998</v>
      </c>
      <c r="L3756">
        <v>108</v>
      </c>
      <c r="M3756">
        <v>22.77</v>
      </c>
      <c r="N3756">
        <v>172.6</v>
      </c>
      <c r="O3756">
        <v>100</v>
      </c>
      <c r="P3756">
        <v>7.77</v>
      </c>
      <c r="Q3756">
        <v>9.6999999999999993</v>
      </c>
      <c r="R3756">
        <v>5</v>
      </c>
      <c r="S3756">
        <v>2.62</v>
      </c>
      <c r="T3756">
        <v>1</v>
      </c>
      <c r="U3756" t="s">
        <v>22</v>
      </c>
      <c r="V3756" t="e">
        <f>IF(#REF! = "yes", 1, 0)</f>
        <v>#REF!</v>
      </c>
      <c r="W3756" t="e">
        <f>IF(#REF! &lt;= 1, "0-1 Calls", IF(#REF! &lt;= 3, "2-3 Calls", IF(#REF! &lt;=5, "4-5 Calls", "6+ Calls")))</f>
        <v>#REF!</v>
      </c>
      <c r="X3756" t="e">
        <f>IF(#REF! &lt;= 50, "0-50", IF(#REF! &lt;=100, "51-100", IF(#REF! &lt;= 150, "101-150", "151+")))</f>
        <v>#REF!</v>
      </c>
      <c r="Y3756" t="e">
        <f>IF(#REF! &lt;= 3, "Low Charges", "High Charges")</f>
        <v>#REF!</v>
      </c>
      <c r="Z3756" t="e">
        <f>IF(#REF!&lt;=80,"Low Calls",
IF(#REF!&lt;=120,"Medium Calls","High Calls"))</f>
        <v>#REF!</v>
      </c>
      <c r="AA3756" t="e">
        <f>IF(#REF!&lt;=15,"Low Charges",
IF(#REF!&lt;=20,"Medium Charges","High Charges"))</f>
        <v>#REF!</v>
      </c>
      <c r="AB3756" t="e">
        <f>IF(AND(#REF!&gt;180, #REF!&gt;200), "Heavy Doemstic User", IF(#REF!&gt;10, "Interntional User", IF(AND(#REF!&lt;180, #REF!&lt;200,#REF!&lt;200), "Light User", "Balanced User")))</f>
        <v>#REF!</v>
      </c>
      <c r="AC3756" t="e">
        <f>IF(#REF! = 0, "No Usage", IF(#REF! &lt;= 20, "Low Usage", IF(#REF! &lt;= 40, "Medium Usgae", "High Usage")))</f>
        <v>#REF!</v>
      </c>
      <c r="AD3756" t="e">
        <f>IF(#REF!&lt;=150,"Low Usage", IF(#REF!&lt;=200,"Medium Usage", IF(#REF!&lt;=250,"High Usage","Very High Usage")))</f>
        <v>#REF!</v>
      </c>
      <c r="AE3756" t="e">
        <f>IF(#REF!&lt;=5,"Low Calls", IF(#REF!&lt;=10, "Medium Calls", "High Calls"))</f>
        <v>#REF!</v>
      </c>
      <c r="AF3756" t="e">
        <f xml:space="preserve">
IF(#REF!&gt;=4,4,0)+
IF(#REF!="yes",3,0)+
IF(#REF!="High Charges",3,0)+
IF(#REF!&gt;250,4,0)+
IF(#REF!="no",1,0)+
IF(#REF!="Heavy Domestic User",2,0)</f>
        <v>#REF!</v>
      </c>
      <c r="AG3756" t="e">
        <f>IF(#REF!&gt;=10,"High Risk", IF(#REF!&gt;=5,"Medium Risk","Low Risk"))</f>
        <v>#REF!</v>
      </c>
      <c r="AH3756" t="e">
        <f>#REF! + #REF! + #REF! + #REF!</f>
        <v>#REF!</v>
      </c>
    </row>
    <row r="3757" spans="1:34" x14ac:dyDescent="0.35">
      <c r="A3757">
        <v>3756</v>
      </c>
      <c r="B3757" t="s">
        <v>67</v>
      </c>
      <c r="C3757">
        <v>65</v>
      </c>
      <c r="D3757" t="s">
        <v>28</v>
      </c>
      <c r="E3757" t="s">
        <v>22</v>
      </c>
      <c r="F3757" t="s">
        <v>22</v>
      </c>
      <c r="G3757">
        <v>0</v>
      </c>
      <c r="H3757">
        <v>193.8</v>
      </c>
      <c r="I3757">
        <v>113</v>
      </c>
      <c r="J3757">
        <v>32.950000000000003</v>
      </c>
      <c r="K3757">
        <v>151.69999999999999</v>
      </c>
      <c r="L3757">
        <v>106</v>
      </c>
      <c r="M3757">
        <v>12.89</v>
      </c>
      <c r="N3757">
        <v>208.9</v>
      </c>
      <c r="O3757">
        <v>94</v>
      </c>
      <c r="P3757">
        <v>9.4</v>
      </c>
      <c r="Q3757">
        <v>12.6</v>
      </c>
      <c r="R3757">
        <v>3</v>
      </c>
      <c r="S3757">
        <v>3.4</v>
      </c>
      <c r="T3757">
        <v>3</v>
      </c>
      <c r="U3757" t="s">
        <v>22</v>
      </c>
      <c r="V3757" t="e">
        <f>IF(#REF! = "yes", 1, 0)</f>
        <v>#REF!</v>
      </c>
      <c r="W3757" t="e">
        <f>IF(#REF! &lt;= 1, "0-1 Calls", IF(#REF! &lt;= 3, "2-3 Calls", IF(#REF! &lt;=5, "4-5 Calls", "6+ Calls")))</f>
        <v>#REF!</v>
      </c>
      <c r="X3757" t="e">
        <f>IF(#REF! &lt;= 50, "0-50", IF(#REF! &lt;=100, "51-100", IF(#REF! &lt;= 150, "101-150", "151+")))</f>
        <v>#REF!</v>
      </c>
      <c r="Y3757" t="e">
        <f>IF(#REF! &lt;= 3, "Low Charges", "High Charges")</f>
        <v>#REF!</v>
      </c>
      <c r="Z3757" t="e">
        <f>IF(#REF!&lt;=80,"Low Calls",
IF(#REF!&lt;=120,"Medium Calls","High Calls"))</f>
        <v>#REF!</v>
      </c>
      <c r="AA3757" t="e">
        <f>IF(#REF!&lt;=15,"Low Charges",
IF(#REF!&lt;=20,"Medium Charges","High Charges"))</f>
        <v>#REF!</v>
      </c>
      <c r="AB3757" t="e">
        <f>IF(AND(#REF!&gt;180, #REF!&gt;200), "Heavy Doemstic User", IF(#REF!&gt;10, "Interntional User", IF(AND(#REF!&lt;180, #REF!&lt;200,#REF!&lt;200), "Light User", "Balanced User")))</f>
        <v>#REF!</v>
      </c>
      <c r="AC3757" t="e">
        <f>IF(#REF! = 0, "No Usage", IF(#REF! &lt;= 20, "Low Usage", IF(#REF! &lt;= 40, "Medium Usgae", "High Usage")))</f>
        <v>#REF!</v>
      </c>
      <c r="AD3757" t="e">
        <f>IF(#REF!&lt;=150,"Low Usage", IF(#REF!&lt;=200,"Medium Usage", IF(#REF!&lt;=250,"High Usage","Very High Usage")))</f>
        <v>#REF!</v>
      </c>
      <c r="AE3757" t="e">
        <f>IF(#REF!&lt;=5,"Low Calls", IF(#REF!&lt;=10, "Medium Calls", "High Calls"))</f>
        <v>#REF!</v>
      </c>
      <c r="AF3757" t="e">
        <f xml:space="preserve">
IF(#REF!&gt;=4,4,0)+
IF(#REF!="yes",3,0)+
IF(#REF!="High Charges",3,0)+
IF(#REF!&gt;250,4,0)+
IF(#REF!="no",1,0)+
IF(#REF!="Heavy Domestic User",2,0)</f>
        <v>#REF!</v>
      </c>
      <c r="AG3757" t="e">
        <f>IF(#REF!&gt;=10,"High Risk", IF(#REF!&gt;=5,"Medium Risk","Low Risk"))</f>
        <v>#REF!</v>
      </c>
      <c r="AH3757" t="e">
        <f>#REF! + #REF! + #REF! + #REF!</f>
        <v>#REF!</v>
      </c>
    </row>
    <row r="3758" spans="1:34" x14ac:dyDescent="0.35">
      <c r="A3758">
        <v>3757</v>
      </c>
      <c r="B3758" t="s">
        <v>27</v>
      </c>
      <c r="C3758">
        <v>102</v>
      </c>
      <c r="D3758" t="s">
        <v>28</v>
      </c>
      <c r="E3758" t="s">
        <v>22</v>
      </c>
      <c r="F3758" t="s">
        <v>22</v>
      </c>
      <c r="G3758">
        <v>0</v>
      </c>
      <c r="H3758">
        <v>143.69999999999999</v>
      </c>
      <c r="I3758">
        <v>82</v>
      </c>
      <c r="J3758">
        <v>24.43</v>
      </c>
      <c r="K3758">
        <v>170.9</v>
      </c>
      <c r="L3758">
        <v>83</v>
      </c>
      <c r="M3758">
        <v>14.53</v>
      </c>
      <c r="N3758">
        <v>310.89999999999998</v>
      </c>
      <c r="O3758">
        <v>112</v>
      </c>
      <c r="P3758">
        <v>13.99</v>
      </c>
      <c r="Q3758">
        <v>9.8000000000000007</v>
      </c>
      <c r="R3758">
        <v>1</v>
      </c>
      <c r="S3758">
        <v>2.65</v>
      </c>
      <c r="T3758">
        <v>2</v>
      </c>
      <c r="U3758" t="s">
        <v>22</v>
      </c>
      <c r="V3758" t="e">
        <f>IF(#REF! = "yes", 1, 0)</f>
        <v>#REF!</v>
      </c>
      <c r="W3758" t="e">
        <f>IF(#REF! &lt;= 1, "0-1 Calls", IF(#REF! &lt;= 3, "2-3 Calls", IF(#REF! &lt;=5, "4-5 Calls", "6+ Calls")))</f>
        <v>#REF!</v>
      </c>
      <c r="X3758" t="e">
        <f>IF(#REF! &lt;= 50, "0-50", IF(#REF! &lt;=100, "51-100", IF(#REF! &lt;= 150, "101-150", "151+")))</f>
        <v>#REF!</v>
      </c>
      <c r="Y3758" t="e">
        <f>IF(#REF! &lt;= 3, "Low Charges", "High Charges")</f>
        <v>#REF!</v>
      </c>
      <c r="Z3758" t="e">
        <f>IF(#REF!&lt;=80,"Low Calls",
IF(#REF!&lt;=120,"Medium Calls","High Calls"))</f>
        <v>#REF!</v>
      </c>
      <c r="AA3758" t="e">
        <f>IF(#REF!&lt;=15,"Low Charges",
IF(#REF!&lt;=20,"Medium Charges","High Charges"))</f>
        <v>#REF!</v>
      </c>
      <c r="AB3758" t="e">
        <f>IF(AND(#REF!&gt;180, #REF!&gt;200), "Heavy Doemstic User", IF(#REF!&gt;10, "Interntional User", IF(AND(#REF!&lt;180, #REF!&lt;200,#REF!&lt;200), "Light User", "Balanced User")))</f>
        <v>#REF!</v>
      </c>
      <c r="AC3758" t="e">
        <f>IF(#REF! = 0, "No Usage", IF(#REF! &lt;= 20, "Low Usage", IF(#REF! &lt;= 40, "Medium Usgae", "High Usage")))</f>
        <v>#REF!</v>
      </c>
      <c r="AD3758" t="e">
        <f>IF(#REF!&lt;=150,"Low Usage", IF(#REF!&lt;=200,"Medium Usage", IF(#REF!&lt;=250,"High Usage","Very High Usage")))</f>
        <v>#REF!</v>
      </c>
      <c r="AE3758" t="e">
        <f>IF(#REF!&lt;=5,"Low Calls", IF(#REF!&lt;=10, "Medium Calls", "High Calls"))</f>
        <v>#REF!</v>
      </c>
      <c r="AF3758" t="e">
        <f xml:space="preserve">
IF(#REF!&gt;=4,4,0)+
IF(#REF!="yes",3,0)+
IF(#REF!="High Charges",3,0)+
IF(#REF!&gt;250,4,0)+
IF(#REF!="no",1,0)+
IF(#REF!="Heavy Domestic User",2,0)</f>
        <v>#REF!</v>
      </c>
      <c r="AG3758" t="e">
        <f>IF(#REF!&gt;=10,"High Risk", IF(#REF!&gt;=5,"Medium Risk","Low Risk"))</f>
        <v>#REF!</v>
      </c>
      <c r="AH3758" t="e">
        <f>#REF! + #REF! + #REF! + #REF!</f>
        <v>#REF!</v>
      </c>
    </row>
    <row r="3759" spans="1:34" x14ac:dyDescent="0.35">
      <c r="A3759">
        <v>3758</v>
      </c>
      <c r="B3759" t="s">
        <v>52</v>
      </c>
      <c r="C3759">
        <v>101</v>
      </c>
      <c r="D3759" t="s">
        <v>21</v>
      </c>
      <c r="E3759" t="s">
        <v>23</v>
      </c>
      <c r="F3759" t="s">
        <v>22</v>
      </c>
      <c r="G3759">
        <v>0</v>
      </c>
      <c r="H3759">
        <v>169.5</v>
      </c>
      <c r="I3759">
        <v>117</v>
      </c>
      <c r="J3759">
        <v>28.82</v>
      </c>
      <c r="K3759">
        <v>212</v>
      </c>
      <c r="L3759">
        <v>111</v>
      </c>
      <c r="M3759">
        <v>18.02</v>
      </c>
      <c r="N3759">
        <v>204</v>
      </c>
      <c r="O3759">
        <v>120</v>
      </c>
      <c r="P3759">
        <v>9.18</v>
      </c>
      <c r="Q3759">
        <v>9.6999999999999993</v>
      </c>
      <c r="R3759">
        <v>1</v>
      </c>
      <c r="S3759">
        <v>2.62</v>
      </c>
      <c r="T3759">
        <v>0</v>
      </c>
      <c r="U3759" t="s">
        <v>23</v>
      </c>
      <c r="V3759" t="e">
        <f>IF(#REF! = "yes", 1, 0)</f>
        <v>#REF!</v>
      </c>
      <c r="W3759" t="e">
        <f>IF(#REF! &lt;= 1, "0-1 Calls", IF(#REF! &lt;= 3, "2-3 Calls", IF(#REF! &lt;=5, "4-5 Calls", "6+ Calls")))</f>
        <v>#REF!</v>
      </c>
      <c r="X3759" t="e">
        <f>IF(#REF! &lt;= 50, "0-50", IF(#REF! &lt;=100, "51-100", IF(#REF! &lt;= 150, "101-150", "151+")))</f>
        <v>#REF!</v>
      </c>
      <c r="Y3759" t="e">
        <f>IF(#REF! &lt;= 3, "Low Charges", "High Charges")</f>
        <v>#REF!</v>
      </c>
      <c r="Z3759" t="e">
        <f>IF(#REF!&lt;=80,"Low Calls",
IF(#REF!&lt;=120,"Medium Calls","High Calls"))</f>
        <v>#REF!</v>
      </c>
      <c r="AA3759" t="e">
        <f>IF(#REF!&lt;=15,"Low Charges",
IF(#REF!&lt;=20,"Medium Charges","High Charges"))</f>
        <v>#REF!</v>
      </c>
      <c r="AB3759" t="e">
        <f>IF(AND(#REF!&gt;180, #REF!&gt;200), "Heavy Doemstic User", IF(#REF!&gt;10, "Interntional User", IF(AND(#REF!&lt;180, #REF!&lt;200,#REF!&lt;200), "Light User", "Balanced User")))</f>
        <v>#REF!</v>
      </c>
      <c r="AC3759" t="e">
        <f>IF(#REF! = 0, "No Usage", IF(#REF! &lt;= 20, "Low Usage", IF(#REF! &lt;= 40, "Medium Usgae", "High Usage")))</f>
        <v>#REF!</v>
      </c>
      <c r="AD3759" t="e">
        <f>IF(#REF!&lt;=150,"Low Usage", IF(#REF!&lt;=200,"Medium Usage", IF(#REF!&lt;=250,"High Usage","Very High Usage")))</f>
        <v>#REF!</v>
      </c>
      <c r="AE3759" t="e">
        <f>IF(#REF!&lt;=5,"Low Calls", IF(#REF!&lt;=10, "Medium Calls", "High Calls"))</f>
        <v>#REF!</v>
      </c>
      <c r="AF3759" t="e">
        <f xml:space="preserve">
IF(#REF!&gt;=4,4,0)+
IF(#REF!="yes",3,0)+
IF(#REF!="High Charges",3,0)+
IF(#REF!&gt;250,4,0)+
IF(#REF!="no",1,0)+
IF(#REF!="Heavy Domestic User",2,0)</f>
        <v>#REF!</v>
      </c>
      <c r="AG3759" t="e">
        <f>IF(#REF!&gt;=10,"High Risk", IF(#REF!&gt;=5,"Medium Risk","Low Risk"))</f>
        <v>#REF!</v>
      </c>
      <c r="AH3759" t="e">
        <f>#REF! + #REF! + #REF! + #REF!</f>
        <v>#REF!</v>
      </c>
    </row>
    <row r="3760" spans="1:34" x14ac:dyDescent="0.35">
      <c r="A3760">
        <v>3759</v>
      </c>
      <c r="B3760" t="s">
        <v>50</v>
      </c>
      <c r="C3760">
        <v>115</v>
      </c>
      <c r="D3760" t="s">
        <v>21</v>
      </c>
      <c r="E3760" t="s">
        <v>22</v>
      </c>
      <c r="F3760" t="s">
        <v>23</v>
      </c>
      <c r="G3760">
        <v>37</v>
      </c>
      <c r="H3760">
        <v>184.1</v>
      </c>
      <c r="I3760">
        <v>67</v>
      </c>
      <c r="J3760">
        <v>31.3</v>
      </c>
      <c r="K3760">
        <v>159.4</v>
      </c>
      <c r="L3760">
        <v>104</v>
      </c>
      <c r="M3760">
        <v>13.55</v>
      </c>
      <c r="N3760">
        <v>193.3</v>
      </c>
      <c r="O3760">
        <v>121</v>
      </c>
      <c r="P3760">
        <v>8.6999999999999993</v>
      </c>
      <c r="Q3760">
        <v>13.3</v>
      </c>
      <c r="R3760">
        <v>3</v>
      </c>
      <c r="S3760">
        <v>3.59</v>
      </c>
      <c r="T3760">
        <v>0</v>
      </c>
      <c r="U3760" t="s">
        <v>22</v>
      </c>
      <c r="V3760" t="e">
        <f>IF(#REF! = "yes", 1, 0)</f>
        <v>#REF!</v>
      </c>
      <c r="W3760" t="e">
        <f>IF(#REF! &lt;= 1, "0-1 Calls", IF(#REF! &lt;= 3, "2-3 Calls", IF(#REF! &lt;=5, "4-5 Calls", "6+ Calls")))</f>
        <v>#REF!</v>
      </c>
      <c r="X3760" t="e">
        <f>IF(#REF! &lt;= 50, "0-50", IF(#REF! &lt;=100, "51-100", IF(#REF! &lt;= 150, "101-150", "151+")))</f>
        <v>#REF!</v>
      </c>
      <c r="Y3760" t="e">
        <f>IF(#REF! &lt;= 3, "Low Charges", "High Charges")</f>
        <v>#REF!</v>
      </c>
      <c r="Z3760" t="e">
        <f>IF(#REF!&lt;=80,"Low Calls",
IF(#REF!&lt;=120,"Medium Calls","High Calls"))</f>
        <v>#REF!</v>
      </c>
      <c r="AA3760" t="e">
        <f>IF(#REF!&lt;=15,"Low Charges",
IF(#REF!&lt;=20,"Medium Charges","High Charges"))</f>
        <v>#REF!</v>
      </c>
      <c r="AB3760" t="e">
        <f>IF(AND(#REF!&gt;180, #REF!&gt;200), "Heavy Doemstic User", IF(#REF!&gt;10, "Interntional User", IF(AND(#REF!&lt;180, #REF!&lt;200,#REF!&lt;200), "Light User", "Balanced User")))</f>
        <v>#REF!</v>
      </c>
      <c r="AC3760" t="e">
        <f>IF(#REF! = 0, "No Usage", IF(#REF! &lt;= 20, "Low Usage", IF(#REF! &lt;= 40, "Medium Usgae", "High Usage")))</f>
        <v>#REF!</v>
      </c>
      <c r="AD3760" t="e">
        <f>IF(#REF!&lt;=150,"Low Usage", IF(#REF!&lt;=200,"Medium Usage", IF(#REF!&lt;=250,"High Usage","Very High Usage")))</f>
        <v>#REF!</v>
      </c>
      <c r="AE3760" t="e">
        <f>IF(#REF!&lt;=5,"Low Calls", IF(#REF!&lt;=10, "Medium Calls", "High Calls"))</f>
        <v>#REF!</v>
      </c>
      <c r="AF3760" t="e">
        <f xml:space="preserve">
IF(#REF!&gt;=4,4,0)+
IF(#REF!="yes",3,0)+
IF(#REF!="High Charges",3,0)+
IF(#REF!&gt;250,4,0)+
IF(#REF!="no",1,0)+
IF(#REF!="Heavy Domestic User",2,0)</f>
        <v>#REF!</v>
      </c>
      <c r="AG3760" t="e">
        <f>IF(#REF!&gt;=10,"High Risk", IF(#REF!&gt;=5,"Medium Risk","Low Risk"))</f>
        <v>#REF!</v>
      </c>
      <c r="AH3760" t="e">
        <f>#REF! + #REF! + #REF! + #REF!</f>
        <v>#REF!</v>
      </c>
    </row>
    <row r="3761" spans="1:34" x14ac:dyDescent="0.35">
      <c r="A3761">
        <v>3760</v>
      </c>
      <c r="B3761" t="s">
        <v>30</v>
      </c>
      <c r="C3761">
        <v>111</v>
      </c>
      <c r="D3761" t="s">
        <v>25</v>
      </c>
      <c r="E3761" t="s">
        <v>22</v>
      </c>
      <c r="F3761" t="s">
        <v>23</v>
      </c>
      <c r="G3761">
        <v>33</v>
      </c>
      <c r="H3761">
        <v>154</v>
      </c>
      <c r="I3761">
        <v>122</v>
      </c>
      <c r="J3761">
        <v>26.18</v>
      </c>
      <c r="K3761">
        <v>207.3</v>
      </c>
      <c r="L3761">
        <v>123</v>
      </c>
      <c r="M3761">
        <v>17.62</v>
      </c>
      <c r="N3761">
        <v>186.2</v>
      </c>
      <c r="O3761">
        <v>105</v>
      </c>
      <c r="P3761">
        <v>8.3800000000000008</v>
      </c>
      <c r="Q3761">
        <v>10.8</v>
      </c>
      <c r="R3761">
        <v>8</v>
      </c>
      <c r="S3761">
        <v>2.92</v>
      </c>
      <c r="T3761">
        <v>1</v>
      </c>
      <c r="U3761" t="s">
        <v>22</v>
      </c>
      <c r="V3761" t="e">
        <f>IF(#REF! = "yes", 1, 0)</f>
        <v>#REF!</v>
      </c>
      <c r="W3761" t="e">
        <f>IF(#REF! &lt;= 1, "0-1 Calls", IF(#REF! &lt;= 3, "2-3 Calls", IF(#REF! &lt;=5, "4-5 Calls", "6+ Calls")))</f>
        <v>#REF!</v>
      </c>
      <c r="X3761" t="e">
        <f>IF(#REF! &lt;= 50, "0-50", IF(#REF! &lt;=100, "51-100", IF(#REF! &lt;= 150, "101-150", "151+")))</f>
        <v>#REF!</v>
      </c>
      <c r="Y3761" t="e">
        <f>IF(#REF! &lt;= 3, "Low Charges", "High Charges")</f>
        <v>#REF!</v>
      </c>
      <c r="Z3761" t="e">
        <f>IF(#REF!&lt;=80,"Low Calls",
IF(#REF!&lt;=120,"Medium Calls","High Calls"))</f>
        <v>#REF!</v>
      </c>
      <c r="AA3761" t="e">
        <f>IF(#REF!&lt;=15,"Low Charges",
IF(#REF!&lt;=20,"Medium Charges","High Charges"))</f>
        <v>#REF!</v>
      </c>
      <c r="AB3761" t="e">
        <f>IF(AND(#REF!&gt;180, #REF!&gt;200), "Heavy Doemstic User", IF(#REF!&gt;10, "Interntional User", IF(AND(#REF!&lt;180, #REF!&lt;200,#REF!&lt;200), "Light User", "Balanced User")))</f>
        <v>#REF!</v>
      </c>
      <c r="AC3761" t="e">
        <f>IF(#REF! = 0, "No Usage", IF(#REF! &lt;= 20, "Low Usage", IF(#REF! &lt;= 40, "Medium Usgae", "High Usage")))</f>
        <v>#REF!</v>
      </c>
      <c r="AD3761" t="e">
        <f>IF(#REF!&lt;=150,"Low Usage", IF(#REF!&lt;=200,"Medium Usage", IF(#REF!&lt;=250,"High Usage","Very High Usage")))</f>
        <v>#REF!</v>
      </c>
      <c r="AE3761" t="e">
        <f>IF(#REF!&lt;=5,"Low Calls", IF(#REF!&lt;=10, "Medium Calls", "High Calls"))</f>
        <v>#REF!</v>
      </c>
      <c r="AF3761" t="e">
        <f xml:space="preserve">
IF(#REF!&gt;=4,4,0)+
IF(#REF!="yes",3,0)+
IF(#REF!="High Charges",3,0)+
IF(#REF!&gt;250,4,0)+
IF(#REF!="no",1,0)+
IF(#REF!="Heavy Domestic User",2,0)</f>
        <v>#REF!</v>
      </c>
      <c r="AG3761" t="e">
        <f>IF(#REF!&gt;=10,"High Risk", IF(#REF!&gt;=5,"Medium Risk","Low Risk"))</f>
        <v>#REF!</v>
      </c>
      <c r="AH3761" t="e">
        <f>#REF! + #REF! + #REF! + #REF!</f>
        <v>#REF!</v>
      </c>
    </row>
    <row r="3762" spans="1:34" x14ac:dyDescent="0.35">
      <c r="A3762">
        <v>3761</v>
      </c>
      <c r="B3762" t="s">
        <v>24</v>
      </c>
      <c r="C3762">
        <v>121</v>
      </c>
      <c r="D3762" t="s">
        <v>21</v>
      </c>
      <c r="E3762" t="s">
        <v>22</v>
      </c>
      <c r="F3762" t="s">
        <v>22</v>
      </c>
      <c r="G3762">
        <v>0</v>
      </c>
      <c r="H3762">
        <v>166.3</v>
      </c>
      <c r="I3762">
        <v>114</v>
      </c>
      <c r="J3762">
        <v>28.27</v>
      </c>
      <c r="K3762">
        <v>138.80000000000001</v>
      </c>
      <c r="L3762">
        <v>130</v>
      </c>
      <c r="M3762">
        <v>11.8</v>
      </c>
      <c r="N3762">
        <v>215.3</v>
      </c>
      <c r="O3762">
        <v>108</v>
      </c>
      <c r="P3762">
        <v>9.69</v>
      </c>
      <c r="Q3762">
        <v>10.4</v>
      </c>
      <c r="R3762">
        <v>10</v>
      </c>
      <c r="S3762">
        <v>2.81</v>
      </c>
      <c r="T3762">
        <v>2</v>
      </c>
      <c r="U3762" t="s">
        <v>22</v>
      </c>
      <c r="V3762" t="e">
        <f>IF(#REF! = "yes", 1, 0)</f>
        <v>#REF!</v>
      </c>
      <c r="W3762" t="e">
        <f>IF(#REF! &lt;= 1, "0-1 Calls", IF(#REF! &lt;= 3, "2-3 Calls", IF(#REF! &lt;=5, "4-5 Calls", "6+ Calls")))</f>
        <v>#REF!</v>
      </c>
      <c r="X3762" t="e">
        <f>IF(#REF! &lt;= 50, "0-50", IF(#REF! &lt;=100, "51-100", IF(#REF! &lt;= 150, "101-150", "151+")))</f>
        <v>#REF!</v>
      </c>
      <c r="Y3762" t="e">
        <f>IF(#REF! &lt;= 3, "Low Charges", "High Charges")</f>
        <v>#REF!</v>
      </c>
      <c r="Z3762" t="e">
        <f>IF(#REF!&lt;=80,"Low Calls",
IF(#REF!&lt;=120,"Medium Calls","High Calls"))</f>
        <v>#REF!</v>
      </c>
      <c r="AA3762" t="e">
        <f>IF(#REF!&lt;=15,"Low Charges",
IF(#REF!&lt;=20,"Medium Charges","High Charges"))</f>
        <v>#REF!</v>
      </c>
      <c r="AB3762" t="e">
        <f>IF(AND(#REF!&gt;180, #REF!&gt;200), "Heavy Doemstic User", IF(#REF!&gt;10, "Interntional User", IF(AND(#REF!&lt;180, #REF!&lt;200,#REF!&lt;200), "Light User", "Balanced User")))</f>
        <v>#REF!</v>
      </c>
      <c r="AC3762" t="e">
        <f>IF(#REF! = 0, "No Usage", IF(#REF! &lt;= 20, "Low Usage", IF(#REF! &lt;= 40, "Medium Usgae", "High Usage")))</f>
        <v>#REF!</v>
      </c>
      <c r="AD3762" t="e">
        <f>IF(#REF!&lt;=150,"Low Usage", IF(#REF!&lt;=200,"Medium Usage", IF(#REF!&lt;=250,"High Usage","Very High Usage")))</f>
        <v>#REF!</v>
      </c>
      <c r="AE3762" t="e">
        <f>IF(#REF!&lt;=5,"Low Calls", IF(#REF!&lt;=10, "Medium Calls", "High Calls"))</f>
        <v>#REF!</v>
      </c>
      <c r="AF3762" t="e">
        <f xml:space="preserve">
IF(#REF!&gt;=4,4,0)+
IF(#REF!="yes",3,0)+
IF(#REF!="High Charges",3,0)+
IF(#REF!&gt;250,4,0)+
IF(#REF!="no",1,0)+
IF(#REF!="Heavy Domestic User",2,0)</f>
        <v>#REF!</v>
      </c>
      <c r="AG3762" t="e">
        <f>IF(#REF!&gt;=10,"High Risk", IF(#REF!&gt;=5,"Medium Risk","Low Risk"))</f>
        <v>#REF!</v>
      </c>
      <c r="AH3762" t="e">
        <f>#REF! + #REF! + #REF! + #REF!</f>
        <v>#REF!</v>
      </c>
    </row>
    <row r="3763" spans="1:34" x14ac:dyDescent="0.35">
      <c r="A3763">
        <v>3762</v>
      </c>
      <c r="B3763" t="s">
        <v>35</v>
      </c>
      <c r="C3763">
        <v>108</v>
      </c>
      <c r="D3763" t="s">
        <v>21</v>
      </c>
      <c r="E3763" t="s">
        <v>22</v>
      </c>
      <c r="F3763" t="s">
        <v>22</v>
      </c>
      <c r="G3763">
        <v>0</v>
      </c>
      <c r="H3763">
        <v>108.6</v>
      </c>
      <c r="I3763">
        <v>128</v>
      </c>
      <c r="J3763">
        <v>18.46</v>
      </c>
      <c r="K3763">
        <v>325.2</v>
      </c>
      <c r="L3763">
        <v>97</v>
      </c>
      <c r="M3763">
        <v>27.64</v>
      </c>
      <c r="N3763">
        <v>173.6</v>
      </c>
      <c r="O3763">
        <v>67</v>
      </c>
      <c r="P3763">
        <v>7.81</v>
      </c>
      <c r="Q3763">
        <v>9.3000000000000007</v>
      </c>
      <c r="R3763">
        <v>6</v>
      </c>
      <c r="S3763">
        <v>2.5099999999999998</v>
      </c>
      <c r="T3763">
        <v>0</v>
      </c>
      <c r="U3763" t="s">
        <v>22</v>
      </c>
      <c r="V3763" t="e">
        <f>IF(#REF! = "yes", 1, 0)</f>
        <v>#REF!</v>
      </c>
      <c r="W3763" t="e">
        <f>IF(#REF! &lt;= 1, "0-1 Calls", IF(#REF! &lt;= 3, "2-3 Calls", IF(#REF! &lt;=5, "4-5 Calls", "6+ Calls")))</f>
        <v>#REF!</v>
      </c>
      <c r="X3763" t="e">
        <f>IF(#REF! &lt;= 50, "0-50", IF(#REF! &lt;=100, "51-100", IF(#REF! &lt;= 150, "101-150", "151+")))</f>
        <v>#REF!</v>
      </c>
      <c r="Y3763" t="e">
        <f>IF(#REF! &lt;= 3, "Low Charges", "High Charges")</f>
        <v>#REF!</v>
      </c>
      <c r="Z3763" t="e">
        <f>IF(#REF!&lt;=80,"Low Calls",
IF(#REF!&lt;=120,"Medium Calls","High Calls"))</f>
        <v>#REF!</v>
      </c>
      <c r="AA3763" t="e">
        <f>IF(#REF!&lt;=15,"Low Charges",
IF(#REF!&lt;=20,"Medium Charges","High Charges"))</f>
        <v>#REF!</v>
      </c>
      <c r="AB3763" t="e">
        <f>IF(AND(#REF!&gt;180, #REF!&gt;200), "Heavy Doemstic User", IF(#REF!&gt;10, "Interntional User", IF(AND(#REF!&lt;180, #REF!&lt;200,#REF!&lt;200), "Light User", "Balanced User")))</f>
        <v>#REF!</v>
      </c>
      <c r="AC3763" t="e">
        <f>IF(#REF! = 0, "No Usage", IF(#REF! &lt;= 20, "Low Usage", IF(#REF! &lt;= 40, "Medium Usgae", "High Usage")))</f>
        <v>#REF!</v>
      </c>
      <c r="AD3763" t="e">
        <f>IF(#REF!&lt;=150,"Low Usage", IF(#REF!&lt;=200,"Medium Usage", IF(#REF!&lt;=250,"High Usage","Very High Usage")))</f>
        <v>#REF!</v>
      </c>
      <c r="AE3763" t="e">
        <f>IF(#REF!&lt;=5,"Low Calls", IF(#REF!&lt;=10, "Medium Calls", "High Calls"))</f>
        <v>#REF!</v>
      </c>
      <c r="AF3763" t="e">
        <f xml:space="preserve">
IF(#REF!&gt;=4,4,0)+
IF(#REF!="yes",3,0)+
IF(#REF!="High Charges",3,0)+
IF(#REF!&gt;250,4,0)+
IF(#REF!="no",1,0)+
IF(#REF!="Heavy Domestic User",2,0)</f>
        <v>#REF!</v>
      </c>
      <c r="AG3763" t="e">
        <f>IF(#REF!&gt;=10,"High Risk", IF(#REF!&gt;=5,"Medium Risk","Low Risk"))</f>
        <v>#REF!</v>
      </c>
      <c r="AH3763" t="e">
        <f>#REF! + #REF! + #REF! + #REF!</f>
        <v>#REF!</v>
      </c>
    </row>
    <row r="3764" spans="1:34" x14ac:dyDescent="0.35">
      <c r="A3764">
        <v>3763</v>
      </c>
      <c r="B3764" t="s">
        <v>49</v>
      </c>
      <c r="C3764">
        <v>63</v>
      </c>
      <c r="D3764" t="s">
        <v>21</v>
      </c>
      <c r="E3764" t="s">
        <v>22</v>
      </c>
      <c r="F3764" t="s">
        <v>23</v>
      </c>
      <c r="G3764">
        <v>25</v>
      </c>
      <c r="H3764">
        <v>230.3</v>
      </c>
      <c r="I3764">
        <v>82</v>
      </c>
      <c r="J3764">
        <v>39.15</v>
      </c>
      <c r="K3764">
        <v>165.6</v>
      </c>
      <c r="L3764">
        <v>96</v>
      </c>
      <c r="M3764">
        <v>14.08</v>
      </c>
      <c r="N3764">
        <v>227.7</v>
      </c>
      <c r="O3764">
        <v>125</v>
      </c>
      <c r="P3764">
        <v>10.25</v>
      </c>
      <c r="Q3764">
        <v>9</v>
      </c>
      <c r="R3764">
        <v>2</v>
      </c>
      <c r="S3764">
        <v>2.4300000000000002</v>
      </c>
      <c r="T3764">
        <v>1</v>
      </c>
      <c r="U3764" t="s">
        <v>22</v>
      </c>
      <c r="V3764" t="e">
        <f>IF(#REF! = "yes", 1, 0)</f>
        <v>#REF!</v>
      </c>
      <c r="W3764" t="e">
        <f>IF(#REF! &lt;= 1, "0-1 Calls", IF(#REF! &lt;= 3, "2-3 Calls", IF(#REF! &lt;=5, "4-5 Calls", "6+ Calls")))</f>
        <v>#REF!</v>
      </c>
      <c r="X3764" t="e">
        <f>IF(#REF! &lt;= 50, "0-50", IF(#REF! &lt;=100, "51-100", IF(#REF! &lt;= 150, "101-150", "151+")))</f>
        <v>#REF!</v>
      </c>
      <c r="Y3764" t="e">
        <f>IF(#REF! &lt;= 3, "Low Charges", "High Charges")</f>
        <v>#REF!</v>
      </c>
      <c r="Z3764" t="e">
        <f>IF(#REF!&lt;=80,"Low Calls",
IF(#REF!&lt;=120,"Medium Calls","High Calls"))</f>
        <v>#REF!</v>
      </c>
      <c r="AA3764" t="e">
        <f>IF(#REF!&lt;=15,"Low Charges",
IF(#REF!&lt;=20,"Medium Charges","High Charges"))</f>
        <v>#REF!</v>
      </c>
      <c r="AB3764" t="e">
        <f>IF(AND(#REF!&gt;180, #REF!&gt;200), "Heavy Doemstic User", IF(#REF!&gt;10, "Interntional User", IF(AND(#REF!&lt;180, #REF!&lt;200,#REF!&lt;200), "Light User", "Balanced User")))</f>
        <v>#REF!</v>
      </c>
      <c r="AC3764" t="e">
        <f>IF(#REF! = 0, "No Usage", IF(#REF! &lt;= 20, "Low Usage", IF(#REF! &lt;= 40, "Medium Usgae", "High Usage")))</f>
        <v>#REF!</v>
      </c>
      <c r="AD3764" t="e">
        <f>IF(#REF!&lt;=150,"Low Usage", IF(#REF!&lt;=200,"Medium Usage", IF(#REF!&lt;=250,"High Usage","Very High Usage")))</f>
        <v>#REF!</v>
      </c>
      <c r="AE3764" t="e">
        <f>IF(#REF!&lt;=5,"Low Calls", IF(#REF!&lt;=10, "Medium Calls", "High Calls"))</f>
        <v>#REF!</v>
      </c>
      <c r="AF3764" t="e">
        <f xml:space="preserve">
IF(#REF!&gt;=4,4,0)+
IF(#REF!="yes",3,0)+
IF(#REF!="High Charges",3,0)+
IF(#REF!&gt;250,4,0)+
IF(#REF!="no",1,0)+
IF(#REF!="Heavy Domestic User",2,0)</f>
        <v>#REF!</v>
      </c>
      <c r="AG3764" t="e">
        <f>IF(#REF!&gt;=10,"High Risk", IF(#REF!&gt;=5,"Medium Risk","Low Risk"))</f>
        <v>#REF!</v>
      </c>
      <c r="AH3764" t="e">
        <f>#REF! + #REF! + #REF! + #REF!</f>
        <v>#REF!</v>
      </c>
    </row>
    <row r="3765" spans="1:34" x14ac:dyDescent="0.35">
      <c r="A3765">
        <v>3764</v>
      </c>
      <c r="B3765" t="s">
        <v>74</v>
      </c>
      <c r="C3765">
        <v>59</v>
      </c>
      <c r="D3765" t="s">
        <v>21</v>
      </c>
      <c r="E3765" t="s">
        <v>22</v>
      </c>
      <c r="F3765" t="s">
        <v>23</v>
      </c>
      <c r="G3765">
        <v>46</v>
      </c>
      <c r="H3765">
        <v>200.1</v>
      </c>
      <c r="I3765">
        <v>44</v>
      </c>
      <c r="J3765">
        <v>34.020000000000003</v>
      </c>
      <c r="K3765">
        <v>126</v>
      </c>
      <c r="L3765">
        <v>78</v>
      </c>
      <c r="M3765">
        <v>10.71</v>
      </c>
      <c r="N3765">
        <v>146.30000000000001</v>
      </c>
      <c r="O3765">
        <v>123</v>
      </c>
      <c r="P3765">
        <v>6.58</v>
      </c>
      <c r="Q3765">
        <v>10.6</v>
      </c>
      <c r="R3765">
        <v>5</v>
      </c>
      <c r="S3765">
        <v>2.86</v>
      </c>
      <c r="T3765">
        <v>1</v>
      </c>
      <c r="U3765" t="s">
        <v>22</v>
      </c>
      <c r="V3765" t="e">
        <f>IF(#REF! = "yes", 1, 0)</f>
        <v>#REF!</v>
      </c>
      <c r="W3765" t="e">
        <f>IF(#REF! &lt;= 1, "0-1 Calls", IF(#REF! &lt;= 3, "2-3 Calls", IF(#REF! &lt;=5, "4-5 Calls", "6+ Calls")))</f>
        <v>#REF!</v>
      </c>
      <c r="X3765" t="e">
        <f>IF(#REF! &lt;= 50, "0-50", IF(#REF! &lt;=100, "51-100", IF(#REF! &lt;= 150, "101-150", "151+")))</f>
        <v>#REF!</v>
      </c>
      <c r="Y3765" t="e">
        <f>IF(#REF! &lt;= 3, "Low Charges", "High Charges")</f>
        <v>#REF!</v>
      </c>
      <c r="Z3765" t="e">
        <f>IF(#REF!&lt;=80,"Low Calls",
IF(#REF!&lt;=120,"Medium Calls","High Calls"))</f>
        <v>#REF!</v>
      </c>
      <c r="AA3765" t="e">
        <f>IF(#REF!&lt;=15,"Low Charges",
IF(#REF!&lt;=20,"Medium Charges","High Charges"))</f>
        <v>#REF!</v>
      </c>
      <c r="AB3765" t="e">
        <f>IF(AND(#REF!&gt;180, #REF!&gt;200), "Heavy Doemstic User", IF(#REF!&gt;10, "Interntional User", IF(AND(#REF!&lt;180, #REF!&lt;200,#REF!&lt;200), "Light User", "Balanced User")))</f>
        <v>#REF!</v>
      </c>
      <c r="AC3765" t="e">
        <f>IF(#REF! = 0, "No Usage", IF(#REF! &lt;= 20, "Low Usage", IF(#REF! &lt;= 40, "Medium Usgae", "High Usage")))</f>
        <v>#REF!</v>
      </c>
      <c r="AD3765" t="e">
        <f>IF(#REF!&lt;=150,"Low Usage", IF(#REF!&lt;=200,"Medium Usage", IF(#REF!&lt;=250,"High Usage","Very High Usage")))</f>
        <v>#REF!</v>
      </c>
      <c r="AE3765" t="e">
        <f>IF(#REF!&lt;=5,"Low Calls", IF(#REF!&lt;=10, "Medium Calls", "High Calls"))</f>
        <v>#REF!</v>
      </c>
      <c r="AF3765" t="e">
        <f xml:space="preserve">
IF(#REF!&gt;=4,4,0)+
IF(#REF!="yes",3,0)+
IF(#REF!="High Charges",3,0)+
IF(#REF!&gt;250,4,0)+
IF(#REF!="no",1,0)+
IF(#REF!="Heavy Domestic User",2,0)</f>
        <v>#REF!</v>
      </c>
      <c r="AG3765" t="e">
        <f>IF(#REF!&gt;=10,"High Risk", IF(#REF!&gt;=5,"Medium Risk","Low Risk"))</f>
        <v>#REF!</v>
      </c>
      <c r="AH3765" t="e">
        <f>#REF! + #REF! + #REF! + #REF!</f>
        <v>#REF!</v>
      </c>
    </row>
    <row r="3766" spans="1:34" x14ac:dyDescent="0.35">
      <c r="A3766">
        <v>3765</v>
      </c>
      <c r="B3766" t="s">
        <v>20</v>
      </c>
      <c r="C3766">
        <v>82</v>
      </c>
      <c r="D3766" t="s">
        <v>21</v>
      </c>
      <c r="E3766" t="s">
        <v>22</v>
      </c>
      <c r="F3766" t="s">
        <v>22</v>
      </c>
      <c r="G3766">
        <v>0</v>
      </c>
      <c r="H3766">
        <v>179.2</v>
      </c>
      <c r="I3766">
        <v>95</v>
      </c>
      <c r="J3766">
        <v>30.46</v>
      </c>
      <c r="K3766">
        <v>228.9</v>
      </c>
      <c r="L3766">
        <v>95</v>
      </c>
      <c r="M3766">
        <v>19.46</v>
      </c>
      <c r="N3766">
        <v>187.7</v>
      </c>
      <c r="O3766">
        <v>100</v>
      </c>
      <c r="P3766">
        <v>8.4499999999999993</v>
      </c>
      <c r="Q3766">
        <v>13.2</v>
      </c>
      <c r="R3766">
        <v>2</v>
      </c>
      <c r="S3766">
        <v>3.56</v>
      </c>
      <c r="T3766">
        <v>1</v>
      </c>
      <c r="U3766" t="s">
        <v>22</v>
      </c>
      <c r="V3766" t="e">
        <f>IF(#REF! = "yes", 1, 0)</f>
        <v>#REF!</v>
      </c>
      <c r="W3766" t="e">
        <f>IF(#REF! &lt;= 1, "0-1 Calls", IF(#REF! &lt;= 3, "2-3 Calls", IF(#REF! &lt;=5, "4-5 Calls", "6+ Calls")))</f>
        <v>#REF!</v>
      </c>
      <c r="X3766" t="e">
        <f>IF(#REF! &lt;= 50, "0-50", IF(#REF! &lt;=100, "51-100", IF(#REF! &lt;= 150, "101-150", "151+")))</f>
        <v>#REF!</v>
      </c>
      <c r="Y3766" t="e">
        <f>IF(#REF! &lt;= 3, "Low Charges", "High Charges")</f>
        <v>#REF!</v>
      </c>
      <c r="Z3766" t="e">
        <f>IF(#REF!&lt;=80,"Low Calls",
IF(#REF!&lt;=120,"Medium Calls","High Calls"))</f>
        <v>#REF!</v>
      </c>
      <c r="AA3766" t="e">
        <f>IF(#REF!&lt;=15,"Low Charges",
IF(#REF!&lt;=20,"Medium Charges","High Charges"))</f>
        <v>#REF!</v>
      </c>
      <c r="AB3766" t="e">
        <f>IF(AND(#REF!&gt;180, #REF!&gt;200), "Heavy Doemstic User", IF(#REF!&gt;10, "Interntional User", IF(AND(#REF!&lt;180, #REF!&lt;200,#REF!&lt;200), "Light User", "Balanced User")))</f>
        <v>#REF!</v>
      </c>
      <c r="AC3766" t="e">
        <f>IF(#REF! = 0, "No Usage", IF(#REF! &lt;= 20, "Low Usage", IF(#REF! &lt;= 40, "Medium Usgae", "High Usage")))</f>
        <v>#REF!</v>
      </c>
      <c r="AD3766" t="e">
        <f>IF(#REF!&lt;=150,"Low Usage", IF(#REF!&lt;=200,"Medium Usage", IF(#REF!&lt;=250,"High Usage","Very High Usage")))</f>
        <v>#REF!</v>
      </c>
      <c r="AE3766" t="e">
        <f>IF(#REF!&lt;=5,"Low Calls", IF(#REF!&lt;=10, "Medium Calls", "High Calls"))</f>
        <v>#REF!</v>
      </c>
      <c r="AF3766" t="e">
        <f xml:space="preserve">
IF(#REF!&gt;=4,4,0)+
IF(#REF!="yes",3,0)+
IF(#REF!="High Charges",3,0)+
IF(#REF!&gt;250,4,0)+
IF(#REF!="no",1,0)+
IF(#REF!="Heavy Domestic User",2,0)</f>
        <v>#REF!</v>
      </c>
      <c r="AG3766" t="e">
        <f>IF(#REF!&gt;=10,"High Risk", IF(#REF!&gt;=5,"Medium Risk","Low Risk"))</f>
        <v>#REF!</v>
      </c>
      <c r="AH3766" t="e">
        <f>#REF! + #REF! + #REF! + #REF!</f>
        <v>#REF!</v>
      </c>
    </row>
    <row r="3767" spans="1:34" x14ac:dyDescent="0.35">
      <c r="A3767">
        <v>3766</v>
      </c>
      <c r="B3767" t="s">
        <v>62</v>
      </c>
      <c r="C3767">
        <v>110</v>
      </c>
      <c r="D3767" t="s">
        <v>28</v>
      </c>
      <c r="E3767" t="s">
        <v>22</v>
      </c>
      <c r="F3767" t="s">
        <v>22</v>
      </c>
      <c r="G3767">
        <v>0</v>
      </c>
      <c r="H3767">
        <v>129.5</v>
      </c>
      <c r="I3767">
        <v>94</v>
      </c>
      <c r="J3767">
        <v>22.02</v>
      </c>
      <c r="K3767">
        <v>92.6</v>
      </c>
      <c r="L3767">
        <v>96</v>
      </c>
      <c r="M3767">
        <v>7.87</v>
      </c>
      <c r="N3767">
        <v>154.30000000000001</v>
      </c>
      <c r="O3767">
        <v>110</v>
      </c>
      <c r="P3767">
        <v>6.94</v>
      </c>
      <c r="Q3767">
        <v>9.9</v>
      </c>
      <c r="R3767">
        <v>5</v>
      </c>
      <c r="S3767">
        <v>2.67</v>
      </c>
      <c r="T3767">
        <v>3</v>
      </c>
      <c r="U3767" t="s">
        <v>22</v>
      </c>
      <c r="V3767" t="e">
        <f>IF(#REF! = "yes", 1, 0)</f>
        <v>#REF!</v>
      </c>
      <c r="W3767" t="e">
        <f>IF(#REF! &lt;= 1, "0-1 Calls", IF(#REF! &lt;= 3, "2-3 Calls", IF(#REF! &lt;=5, "4-5 Calls", "6+ Calls")))</f>
        <v>#REF!</v>
      </c>
      <c r="X3767" t="e">
        <f>IF(#REF! &lt;= 50, "0-50", IF(#REF! &lt;=100, "51-100", IF(#REF! &lt;= 150, "101-150", "151+")))</f>
        <v>#REF!</v>
      </c>
      <c r="Y3767" t="e">
        <f>IF(#REF! &lt;= 3, "Low Charges", "High Charges")</f>
        <v>#REF!</v>
      </c>
      <c r="Z3767" t="e">
        <f>IF(#REF!&lt;=80,"Low Calls",
IF(#REF!&lt;=120,"Medium Calls","High Calls"))</f>
        <v>#REF!</v>
      </c>
      <c r="AA3767" t="e">
        <f>IF(#REF!&lt;=15,"Low Charges",
IF(#REF!&lt;=20,"Medium Charges","High Charges"))</f>
        <v>#REF!</v>
      </c>
      <c r="AB3767" t="e">
        <f>IF(AND(#REF!&gt;180, #REF!&gt;200), "Heavy Doemstic User", IF(#REF!&gt;10, "Interntional User", IF(AND(#REF!&lt;180, #REF!&lt;200,#REF!&lt;200), "Light User", "Balanced User")))</f>
        <v>#REF!</v>
      </c>
      <c r="AC3767" t="e">
        <f>IF(#REF! = 0, "No Usage", IF(#REF! &lt;= 20, "Low Usage", IF(#REF! &lt;= 40, "Medium Usgae", "High Usage")))</f>
        <v>#REF!</v>
      </c>
      <c r="AD3767" t="e">
        <f>IF(#REF!&lt;=150,"Low Usage", IF(#REF!&lt;=200,"Medium Usage", IF(#REF!&lt;=250,"High Usage","Very High Usage")))</f>
        <v>#REF!</v>
      </c>
      <c r="AE3767" t="e">
        <f>IF(#REF!&lt;=5,"Low Calls", IF(#REF!&lt;=10, "Medium Calls", "High Calls"))</f>
        <v>#REF!</v>
      </c>
      <c r="AF3767" t="e">
        <f xml:space="preserve">
IF(#REF!&gt;=4,4,0)+
IF(#REF!="yes",3,0)+
IF(#REF!="High Charges",3,0)+
IF(#REF!&gt;250,4,0)+
IF(#REF!="no",1,0)+
IF(#REF!="Heavy Domestic User",2,0)</f>
        <v>#REF!</v>
      </c>
      <c r="AG3767" t="e">
        <f>IF(#REF!&gt;=10,"High Risk", IF(#REF!&gt;=5,"Medium Risk","Low Risk"))</f>
        <v>#REF!</v>
      </c>
      <c r="AH3767" t="e">
        <f>#REF! + #REF! + #REF! + #REF!</f>
        <v>#REF!</v>
      </c>
    </row>
    <row r="3768" spans="1:34" x14ac:dyDescent="0.35">
      <c r="A3768">
        <v>3767</v>
      </c>
      <c r="B3768" t="s">
        <v>70</v>
      </c>
      <c r="C3768">
        <v>85</v>
      </c>
      <c r="D3768" t="s">
        <v>25</v>
      </c>
      <c r="E3768" t="s">
        <v>22</v>
      </c>
      <c r="F3768" t="s">
        <v>22</v>
      </c>
      <c r="G3768">
        <v>0</v>
      </c>
      <c r="H3768">
        <v>164</v>
      </c>
      <c r="I3768">
        <v>111</v>
      </c>
      <c r="J3768">
        <v>27.88</v>
      </c>
      <c r="K3768">
        <v>229.4</v>
      </c>
      <c r="L3768">
        <v>108</v>
      </c>
      <c r="M3768">
        <v>19.5</v>
      </c>
      <c r="N3768">
        <v>220.7</v>
      </c>
      <c r="O3768">
        <v>105</v>
      </c>
      <c r="P3768">
        <v>9.93</v>
      </c>
      <c r="Q3768">
        <v>9.3000000000000007</v>
      </c>
      <c r="R3768">
        <v>2</v>
      </c>
      <c r="S3768">
        <v>2.5099999999999998</v>
      </c>
      <c r="T3768">
        <v>1</v>
      </c>
      <c r="U3768" t="s">
        <v>22</v>
      </c>
      <c r="V3768" t="e">
        <f>IF(#REF! = "yes", 1, 0)</f>
        <v>#REF!</v>
      </c>
      <c r="W3768" t="e">
        <f>IF(#REF! &lt;= 1, "0-1 Calls", IF(#REF! &lt;= 3, "2-3 Calls", IF(#REF! &lt;=5, "4-5 Calls", "6+ Calls")))</f>
        <v>#REF!</v>
      </c>
      <c r="X3768" t="e">
        <f>IF(#REF! &lt;= 50, "0-50", IF(#REF! &lt;=100, "51-100", IF(#REF! &lt;= 150, "101-150", "151+")))</f>
        <v>#REF!</v>
      </c>
      <c r="Y3768" t="e">
        <f>IF(#REF! &lt;= 3, "Low Charges", "High Charges")</f>
        <v>#REF!</v>
      </c>
      <c r="Z3768" t="e">
        <f>IF(#REF!&lt;=80,"Low Calls",
IF(#REF!&lt;=120,"Medium Calls","High Calls"))</f>
        <v>#REF!</v>
      </c>
      <c r="AA3768" t="e">
        <f>IF(#REF!&lt;=15,"Low Charges",
IF(#REF!&lt;=20,"Medium Charges","High Charges"))</f>
        <v>#REF!</v>
      </c>
      <c r="AB3768" t="e">
        <f>IF(AND(#REF!&gt;180, #REF!&gt;200), "Heavy Doemstic User", IF(#REF!&gt;10, "Interntional User", IF(AND(#REF!&lt;180, #REF!&lt;200,#REF!&lt;200), "Light User", "Balanced User")))</f>
        <v>#REF!</v>
      </c>
      <c r="AC3768" t="e">
        <f>IF(#REF! = 0, "No Usage", IF(#REF! &lt;= 20, "Low Usage", IF(#REF! &lt;= 40, "Medium Usgae", "High Usage")))</f>
        <v>#REF!</v>
      </c>
      <c r="AD3768" t="e">
        <f>IF(#REF!&lt;=150,"Low Usage", IF(#REF!&lt;=200,"Medium Usage", IF(#REF!&lt;=250,"High Usage","Very High Usage")))</f>
        <v>#REF!</v>
      </c>
      <c r="AE3768" t="e">
        <f>IF(#REF!&lt;=5,"Low Calls", IF(#REF!&lt;=10, "Medium Calls", "High Calls"))</f>
        <v>#REF!</v>
      </c>
      <c r="AF3768" t="e">
        <f xml:space="preserve">
IF(#REF!&gt;=4,4,0)+
IF(#REF!="yes",3,0)+
IF(#REF!="High Charges",3,0)+
IF(#REF!&gt;250,4,0)+
IF(#REF!="no",1,0)+
IF(#REF!="Heavy Domestic User",2,0)</f>
        <v>#REF!</v>
      </c>
      <c r="AG3768" t="e">
        <f>IF(#REF!&gt;=10,"High Risk", IF(#REF!&gt;=5,"Medium Risk","Low Risk"))</f>
        <v>#REF!</v>
      </c>
      <c r="AH3768" t="e">
        <f>#REF! + #REF! + #REF! + #REF!</f>
        <v>#REF!</v>
      </c>
    </row>
    <row r="3769" spans="1:34" x14ac:dyDescent="0.35">
      <c r="A3769">
        <v>3768</v>
      </c>
      <c r="B3769" t="s">
        <v>39</v>
      </c>
      <c r="C3769">
        <v>46</v>
      </c>
      <c r="D3769" t="s">
        <v>21</v>
      </c>
      <c r="E3769" t="s">
        <v>22</v>
      </c>
      <c r="F3769" t="s">
        <v>22</v>
      </c>
      <c r="G3769">
        <v>0</v>
      </c>
      <c r="H3769">
        <v>230.7</v>
      </c>
      <c r="I3769">
        <v>117</v>
      </c>
      <c r="J3769">
        <v>39.22</v>
      </c>
      <c r="K3769">
        <v>186.2</v>
      </c>
      <c r="L3769">
        <v>84</v>
      </c>
      <c r="M3769">
        <v>15.83</v>
      </c>
      <c r="N3769">
        <v>182.2</v>
      </c>
      <c r="O3769">
        <v>109</v>
      </c>
      <c r="P3769">
        <v>8.1999999999999993</v>
      </c>
      <c r="Q3769">
        <v>9.1999999999999993</v>
      </c>
      <c r="R3769">
        <v>4</v>
      </c>
      <c r="S3769">
        <v>2.48</v>
      </c>
      <c r="T3769">
        <v>2</v>
      </c>
      <c r="U3769" t="s">
        <v>22</v>
      </c>
      <c r="V3769" t="e">
        <f>IF(#REF! = "yes", 1, 0)</f>
        <v>#REF!</v>
      </c>
      <c r="W3769" t="e">
        <f>IF(#REF! &lt;= 1, "0-1 Calls", IF(#REF! &lt;= 3, "2-3 Calls", IF(#REF! &lt;=5, "4-5 Calls", "6+ Calls")))</f>
        <v>#REF!</v>
      </c>
      <c r="X3769" t="e">
        <f>IF(#REF! &lt;= 50, "0-50", IF(#REF! &lt;=100, "51-100", IF(#REF! &lt;= 150, "101-150", "151+")))</f>
        <v>#REF!</v>
      </c>
      <c r="Y3769" t="e">
        <f>IF(#REF! &lt;= 3, "Low Charges", "High Charges")</f>
        <v>#REF!</v>
      </c>
      <c r="Z3769" t="e">
        <f>IF(#REF!&lt;=80,"Low Calls",
IF(#REF!&lt;=120,"Medium Calls","High Calls"))</f>
        <v>#REF!</v>
      </c>
      <c r="AA3769" t="e">
        <f>IF(#REF!&lt;=15,"Low Charges",
IF(#REF!&lt;=20,"Medium Charges","High Charges"))</f>
        <v>#REF!</v>
      </c>
      <c r="AB3769" t="e">
        <f>IF(AND(#REF!&gt;180, #REF!&gt;200), "Heavy Doemstic User", IF(#REF!&gt;10, "Interntional User", IF(AND(#REF!&lt;180, #REF!&lt;200,#REF!&lt;200), "Light User", "Balanced User")))</f>
        <v>#REF!</v>
      </c>
      <c r="AC3769" t="e">
        <f>IF(#REF! = 0, "No Usage", IF(#REF! &lt;= 20, "Low Usage", IF(#REF! &lt;= 40, "Medium Usgae", "High Usage")))</f>
        <v>#REF!</v>
      </c>
      <c r="AD3769" t="e">
        <f>IF(#REF!&lt;=150,"Low Usage", IF(#REF!&lt;=200,"Medium Usage", IF(#REF!&lt;=250,"High Usage","Very High Usage")))</f>
        <v>#REF!</v>
      </c>
      <c r="AE3769" t="e">
        <f>IF(#REF!&lt;=5,"Low Calls", IF(#REF!&lt;=10, "Medium Calls", "High Calls"))</f>
        <v>#REF!</v>
      </c>
      <c r="AF3769" t="e">
        <f xml:space="preserve">
IF(#REF!&gt;=4,4,0)+
IF(#REF!="yes",3,0)+
IF(#REF!="High Charges",3,0)+
IF(#REF!&gt;250,4,0)+
IF(#REF!="no",1,0)+
IF(#REF!="Heavy Domestic User",2,0)</f>
        <v>#REF!</v>
      </c>
      <c r="AG3769" t="e">
        <f>IF(#REF!&gt;=10,"High Risk", IF(#REF!&gt;=5,"Medium Risk","Low Risk"))</f>
        <v>#REF!</v>
      </c>
      <c r="AH3769" t="e">
        <f>#REF! + #REF! + #REF! + #REF!</f>
        <v>#REF!</v>
      </c>
    </row>
    <row r="3770" spans="1:34" x14ac:dyDescent="0.35">
      <c r="A3770">
        <v>3769</v>
      </c>
      <c r="B3770" t="s">
        <v>60</v>
      </c>
      <c r="C3770">
        <v>44</v>
      </c>
      <c r="D3770" t="s">
        <v>25</v>
      </c>
      <c r="E3770" t="s">
        <v>22</v>
      </c>
      <c r="F3770" t="s">
        <v>22</v>
      </c>
      <c r="G3770">
        <v>0</v>
      </c>
      <c r="H3770">
        <v>207.2</v>
      </c>
      <c r="I3770">
        <v>90</v>
      </c>
      <c r="J3770">
        <v>35.22</v>
      </c>
      <c r="K3770">
        <v>178.6</v>
      </c>
      <c r="L3770">
        <v>76</v>
      </c>
      <c r="M3770">
        <v>15.18</v>
      </c>
      <c r="N3770">
        <v>182</v>
      </c>
      <c r="O3770">
        <v>74</v>
      </c>
      <c r="P3770">
        <v>8.19</v>
      </c>
      <c r="Q3770">
        <v>0</v>
      </c>
      <c r="R3770">
        <v>0</v>
      </c>
      <c r="S3770">
        <v>0</v>
      </c>
      <c r="T3770">
        <v>0</v>
      </c>
      <c r="U3770" t="s">
        <v>22</v>
      </c>
      <c r="V3770" t="e">
        <f>IF(#REF! = "yes", 1, 0)</f>
        <v>#REF!</v>
      </c>
      <c r="W3770" t="e">
        <f>IF(#REF! &lt;= 1, "0-1 Calls", IF(#REF! &lt;= 3, "2-3 Calls", IF(#REF! &lt;=5, "4-5 Calls", "6+ Calls")))</f>
        <v>#REF!</v>
      </c>
      <c r="X3770" t="e">
        <f>IF(#REF! &lt;= 50, "0-50", IF(#REF! &lt;=100, "51-100", IF(#REF! &lt;= 150, "101-150", "151+")))</f>
        <v>#REF!</v>
      </c>
      <c r="Y3770" t="e">
        <f>IF(#REF! &lt;= 3, "Low Charges", "High Charges")</f>
        <v>#REF!</v>
      </c>
      <c r="Z3770" t="e">
        <f>IF(#REF!&lt;=80,"Low Calls",
IF(#REF!&lt;=120,"Medium Calls","High Calls"))</f>
        <v>#REF!</v>
      </c>
      <c r="AA3770" t="e">
        <f>IF(#REF!&lt;=15,"Low Charges",
IF(#REF!&lt;=20,"Medium Charges","High Charges"))</f>
        <v>#REF!</v>
      </c>
      <c r="AB3770" t="e">
        <f>IF(AND(#REF!&gt;180, #REF!&gt;200), "Heavy Doemstic User", IF(#REF!&gt;10, "Interntional User", IF(AND(#REF!&lt;180, #REF!&lt;200,#REF!&lt;200), "Light User", "Balanced User")))</f>
        <v>#REF!</v>
      </c>
      <c r="AC3770" t="e">
        <f>IF(#REF! = 0, "No Usage", IF(#REF! &lt;= 20, "Low Usage", IF(#REF! &lt;= 40, "Medium Usgae", "High Usage")))</f>
        <v>#REF!</v>
      </c>
      <c r="AD3770" t="e">
        <f>IF(#REF!&lt;=150,"Low Usage", IF(#REF!&lt;=200,"Medium Usage", IF(#REF!&lt;=250,"High Usage","Very High Usage")))</f>
        <v>#REF!</v>
      </c>
      <c r="AE3770" t="e">
        <f>IF(#REF!&lt;=5,"Low Calls", IF(#REF!&lt;=10, "Medium Calls", "High Calls"))</f>
        <v>#REF!</v>
      </c>
      <c r="AF3770" t="e">
        <f xml:space="preserve">
IF(#REF!&gt;=4,4,0)+
IF(#REF!="yes",3,0)+
IF(#REF!="High Charges",3,0)+
IF(#REF!&gt;250,4,0)+
IF(#REF!="no",1,0)+
IF(#REF!="Heavy Domestic User",2,0)</f>
        <v>#REF!</v>
      </c>
      <c r="AG3770" t="e">
        <f>IF(#REF!&gt;=10,"High Risk", IF(#REF!&gt;=5,"Medium Risk","Low Risk"))</f>
        <v>#REF!</v>
      </c>
      <c r="AH3770" t="e">
        <f>#REF! + #REF! + #REF! + #REF!</f>
        <v>#REF!</v>
      </c>
    </row>
    <row r="3771" spans="1:34" x14ac:dyDescent="0.35">
      <c r="A3771">
        <v>3770</v>
      </c>
      <c r="B3771" t="s">
        <v>35</v>
      </c>
      <c r="C3771">
        <v>171</v>
      </c>
      <c r="D3771" t="s">
        <v>25</v>
      </c>
      <c r="E3771" t="s">
        <v>22</v>
      </c>
      <c r="F3771" t="s">
        <v>22</v>
      </c>
      <c r="G3771">
        <v>0</v>
      </c>
      <c r="H3771">
        <v>171.9</v>
      </c>
      <c r="I3771">
        <v>99</v>
      </c>
      <c r="J3771">
        <v>29.22</v>
      </c>
      <c r="K3771">
        <v>249.2</v>
      </c>
      <c r="L3771">
        <v>95</v>
      </c>
      <c r="M3771">
        <v>21.18</v>
      </c>
      <c r="N3771">
        <v>174.9</v>
      </c>
      <c r="O3771">
        <v>81</v>
      </c>
      <c r="P3771">
        <v>7.87</v>
      </c>
      <c r="Q3771">
        <v>12.5</v>
      </c>
      <c r="R3771">
        <v>4</v>
      </c>
      <c r="S3771">
        <v>3.38</v>
      </c>
      <c r="T3771">
        <v>1</v>
      </c>
      <c r="U3771" t="s">
        <v>22</v>
      </c>
      <c r="V3771" t="e">
        <f>IF(#REF! = "yes", 1, 0)</f>
        <v>#REF!</v>
      </c>
      <c r="W3771" t="e">
        <f>IF(#REF! &lt;= 1, "0-1 Calls", IF(#REF! &lt;= 3, "2-3 Calls", IF(#REF! &lt;=5, "4-5 Calls", "6+ Calls")))</f>
        <v>#REF!</v>
      </c>
      <c r="X3771" t="e">
        <f>IF(#REF! &lt;= 50, "0-50", IF(#REF! &lt;=100, "51-100", IF(#REF! &lt;= 150, "101-150", "151+")))</f>
        <v>#REF!</v>
      </c>
      <c r="Y3771" t="e">
        <f>IF(#REF! &lt;= 3, "Low Charges", "High Charges")</f>
        <v>#REF!</v>
      </c>
      <c r="Z3771" t="e">
        <f>IF(#REF!&lt;=80,"Low Calls",
IF(#REF!&lt;=120,"Medium Calls","High Calls"))</f>
        <v>#REF!</v>
      </c>
      <c r="AA3771" t="e">
        <f>IF(#REF!&lt;=15,"Low Charges",
IF(#REF!&lt;=20,"Medium Charges","High Charges"))</f>
        <v>#REF!</v>
      </c>
      <c r="AB3771" t="e">
        <f>IF(AND(#REF!&gt;180, #REF!&gt;200), "Heavy Doemstic User", IF(#REF!&gt;10, "Interntional User", IF(AND(#REF!&lt;180, #REF!&lt;200,#REF!&lt;200), "Light User", "Balanced User")))</f>
        <v>#REF!</v>
      </c>
      <c r="AC3771" t="e">
        <f>IF(#REF! = 0, "No Usage", IF(#REF! &lt;= 20, "Low Usage", IF(#REF! &lt;= 40, "Medium Usgae", "High Usage")))</f>
        <v>#REF!</v>
      </c>
      <c r="AD3771" t="e">
        <f>IF(#REF!&lt;=150,"Low Usage", IF(#REF!&lt;=200,"Medium Usage", IF(#REF!&lt;=250,"High Usage","Very High Usage")))</f>
        <v>#REF!</v>
      </c>
      <c r="AE3771" t="e">
        <f>IF(#REF!&lt;=5,"Low Calls", IF(#REF!&lt;=10, "Medium Calls", "High Calls"))</f>
        <v>#REF!</v>
      </c>
      <c r="AF3771" t="e">
        <f xml:space="preserve">
IF(#REF!&gt;=4,4,0)+
IF(#REF!="yes",3,0)+
IF(#REF!="High Charges",3,0)+
IF(#REF!&gt;250,4,0)+
IF(#REF!="no",1,0)+
IF(#REF!="Heavy Domestic User",2,0)</f>
        <v>#REF!</v>
      </c>
      <c r="AG3771" t="e">
        <f>IF(#REF!&gt;=10,"High Risk", IF(#REF!&gt;=5,"Medium Risk","Low Risk"))</f>
        <v>#REF!</v>
      </c>
      <c r="AH3771" t="e">
        <f>#REF! + #REF! + #REF! + #REF!</f>
        <v>#REF!</v>
      </c>
    </row>
    <row r="3772" spans="1:34" x14ac:dyDescent="0.35">
      <c r="A3772">
        <v>3771</v>
      </c>
      <c r="B3772" t="s">
        <v>47</v>
      </c>
      <c r="C3772">
        <v>88</v>
      </c>
      <c r="D3772" t="s">
        <v>21</v>
      </c>
      <c r="E3772" t="s">
        <v>22</v>
      </c>
      <c r="F3772" t="s">
        <v>23</v>
      </c>
      <c r="G3772">
        <v>37</v>
      </c>
      <c r="H3772">
        <v>181.7</v>
      </c>
      <c r="I3772">
        <v>88</v>
      </c>
      <c r="J3772">
        <v>30.89</v>
      </c>
      <c r="K3772">
        <v>237.4</v>
      </c>
      <c r="L3772">
        <v>106</v>
      </c>
      <c r="M3772">
        <v>20.18</v>
      </c>
      <c r="N3772">
        <v>209.1</v>
      </c>
      <c r="O3772">
        <v>111</v>
      </c>
      <c r="P3772">
        <v>9.41</v>
      </c>
      <c r="Q3772">
        <v>9.5</v>
      </c>
      <c r="R3772">
        <v>5</v>
      </c>
      <c r="S3772">
        <v>2.57</v>
      </c>
      <c r="T3772">
        <v>2</v>
      </c>
      <c r="U3772" t="s">
        <v>22</v>
      </c>
      <c r="V3772" t="e">
        <f>IF(#REF! = "yes", 1, 0)</f>
        <v>#REF!</v>
      </c>
      <c r="W3772" t="e">
        <f>IF(#REF! &lt;= 1, "0-1 Calls", IF(#REF! &lt;= 3, "2-3 Calls", IF(#REF! &lt;=5, "4-5 Calls", "6+ Calls")))</f>
        <v>#REF!</v>
      </c>
      <c r="X3772" t="e">
        <f>IF(#REF! &lt;= 50, "0-50", IF(#REF! &lt;=100, "51-100", IF(#REF! &lt;= 150, "101-150", "151+")))</f>
        <v>#REF!</v>
      </c>
      <c r="Y3772" t="e">
        <f>IF(#REF! &lt;= 3, "Low Charges", "High Charges")</f>
        <v>#REF!</v>
      </c>
      <c r="Z3772" t="e">
        <f>IF(#REF!&lt;=80,"Low Calls",
IF(#REF!&lt;=120,"Medium Calls","High Calls"))</f>
        <v>#REF!</v>
      </c>
      <c r="AA3772" t="e">
        <f>IF(#REF!&lt;=15,"Low Charges",
IF(#REF!&lt;=20,"Medium Charges","High Charges"))</f>
        <v>#REF!</v>
      </c>
      <c r="AB3772" t="e">
        <f>IF(AND(#REF!&gt;180, #REF!&gt;200), "Heavy Doemstic User", IF(#REF!&gt;10, "Interntional User", IF(AND(#REF!&lt;180, #REF!&lt;200,#REF!&lt;200), "Light User", "Balanced User")))</f>
        <v>#REF!</v>
      </c>
      <c r="AC3772" t="e">
        <f>IF(#REF! = 0, "No Usage", IF(#REF! &lt;= 20, "Low Usage", IF(#REF! &lt;= 40, "Medium Usgae", "High Usage")))</f>
        <v>#REF!</v>
      </c>
      <c r="AD3772" t="e">
        <f>IF(#REF!&lt;=150,"Low Usage", IF(#REF!&lt;=200,"Medium Usage", IF(#REF!&lt;=250,"High Usage","Very High Usage")))</f>
        <v>#REF!</v>
      </c>
      <c r="AE3772" t="e">
        <f>IF(#REF!&lt;=5,"Low Calls", IF(#REF!&lt;=10, "Medium Calls", "High Calls"))</f>
        <v>#REF!</v>
      </c>
      <c r="AF3772" t="e">
        <f xml:space="preserve">
IF(#REF!&gt;=4,4,0)+
IF(#REF!="yes",3,0)+
IF(#REF!="High Charges",3,0)+
IF(#REF!&gt;250,4,0)+
IF(#REF!="no",1,0)+
IF(#REF!="Heavy Domestic User",2,0)</f>
        <v>#REF!</v>
      </c>
      <c r="AG3772" t="e">
        <f>IF(#REF!&gt;=10,"High Risk", IF(#REF!&gt;=5,"Medium Risk","Low Risk"))</f>
        <v>#REF!</v>
      </c>
      <c r="AH3772" t="e">
        <f>#REF! + #REF! + #REF! + #REF!</f>
        <v>#REF!</v>
      </c>
    </row>
    <row r="3773" spans="1:34" x14ac:dyDescent="0.35">
      <c r="A3773">
        <v>3772</v>
      </c>
      <c r="B3773" t="s">
        <v>45</v>
      </c>
      <c r="C3773">
        <v>169</v>
      </c>
      <c r="D3773" t="s">
        <v>25</v>
      </c>
      <c r="E3773" t="s">
        <v>22</v>
      </c>
      <c r="F3773" t="s">
        <v>22</v>
      </c>
      <c r="G3773">
        <v>0</v>
      </c>
      <c r="H3773">
        <v>240.7</v>
      </c>
      <c r="I3773">
        <v>119</v>
      </c>
      <c r="J3773">
        <v>40.92</v>
      </c>
      <c r="K3773">
        <v>141.1</v>
      </c>
      <c r="L3773">
        <v>102</v>
      </c>
      <c r="M3773">
        <v>11.99</v>
      </c>
      <c r="N3773">
        <v>120.6</v>
      </c>
      <c r="O3773">
        <v>56</v>
      </c>
      <c r="P3773">
        <v>5.43</v>
      </c>
      <c r="Q3773">
        <v>7.7</v>
      </c>
      <c r="R3773">
        <v>2</v>
      </c>
      <c r="S3773">
        <v>2.08</v>
      </c>
      <c r="T3773">
        <v>2</v>
      </c>
      <c r="U3773" t="s">
        <v>22</v>
      </c>
      <c r="V3773" t="e">
        <f>IF(#REF! = "yes", 1, 0)</f>
        <v>#REF!</v>
      </c>
      <c r="W3773" t="e">
        <f>IF(#REF! &lt;= 1, "0-1 Calls", IF(#REF! &lt;= 3, "2-3 Calls", IF(#REF! &lt;=5, "4-5 Calls", "6+ Calls")))</f>
        <v>#REF!</v>
      </c>
      <c r="X3773" t="e">
        <f>IF(#REF! &lt;= 50, "0-50", IF(#REF! &lt;=100, "51-100", IF(#REF! &lt;= 150, "101-150", "151+")))</f>
        <v>#REF!</v>
      </c>
      <c r="Y3773" t="e">
        <f>IF(#REF! &lt;= 3, "Low Charges", "High Charges")</f>
        <v>#REF!</v>
      </c>
      <c r="Z3773" t="e">
        <f>IF(#REF!&lt;=80,"Low Calls",
IF(#REF!&lt;=120,"Medium Calls","High Calls"))</f>
        <v>#REF!</v>
      </c>
      <c r="AA3773" t="e">
        <f>IF(#REF!&lt;=15,"Low Charges",
IF(#REF!&lt;=20,"Medium Charges","High Charges"))</f>
        <v>#REF!</v>
      </c>
      <c r="AB3773" t="e">
        <f>IF(AND(#REF!&gt;180, #REF!&gt;200), "Heavy Doemstic User", IF(#REF!&gt;10, "Interntional User", IF(AND(#REF!&lt;180, #REF!&lt;200,#REF!&lt;200), "Light User", "Balanced User")))</f>
        <v>#REF!</v>
      </c>
      <c r="AC3773" t="e">
        <f>IF(#REF! = 0, "No Usage", IF(#REF! &lt;= 20, "Low Usage", IF(#REF! &lt;= 40, "Medium Usgae", "High Usage")))</f>
        <v>#REF!</v>
      </c>
      <c r="AD3773" t="e">
        <f>IF(#REF!&lt;=150,"Low Usage", IF(#REF!&lt;=200,"Medium Usage", IF(#REF!&lt;=250,"High Usage","Very High Usage")))</f>
        <v>#REF!</v>
      </c>
      <c r="AE3773" t="e">
        <f>IF(#REF!&lt;=5,"Low Calls", IF(#REF!&lt;=10, "Medium Calls", "High Calls"))</f>
        <v>#REF!</v>
      </c>
      <c r="AF3773" t="e">
        <f xml:space="preserve">
IF(#REF!&gt;=4,4,0)+
IF(#REF!="yes",3,0)+
IF(#REF!="High Charges",3,0)+
IF(#REF!&gt;250,4,0)+
IF(#REF!="no",1,0)+
IF(#REF!="Heavy Domestic User",2,0)</f>
        <v>#REF!</v>
      </c>
      <c r="AG3773" t="e">
        <f>IF(#REF!&gt;=10,"High Risk", IF(#REF!&gt;=5,"Medium Risk","Low Risk"))</f>
        <v>#REF!</v>
      </c>
      <c r="AH3773" t="e">
        <f>#REF! + #REF! + #REF! + #REF!</f>
        <v>#REF!</v>
      </c>
    </row>
    <row r="3774" spans="1:34" x14ac:dyDescent="0.35">
      <c r="A3774">
        <v>3773</v>
      </c>
      <c r="B3774" t="s">
        <v>39</v>
      </c>
      <c r="C3774">
        <v>48</v>
      </c>
      <c r="D3774" t="s">
        <v>28</v>
      </c>
      <c r="E3774" t="s">
        <v>22</v>
      </c>
      <c r="F3774" t="s">
        <v>22</v>
      </c>
      <c r="G3774">
        <v>0</v>
      </c>
      <c r="H3774">
        <v>198.2</v>
      </c>
      <c r="I3774">
        <v>108</v>
      </c>
      <c r="J3774">
        <v>33.69</v>
      </c>
      <c r="K3774">
        <v>181</v>
      </c>
      <c r="L3774">
        <v>70</v>
      </c>
      <c r="M3774">
        <v>15.39</v>
      </c>
      <c r="N3774">
        <v>238.9</v>
      </c>
      <c r="O3774">
        <v>86</v>
      </c>
      <c r="P3774">
        <v>10.75</v>
      </c>
      <c r="Q3774">
        <v>12.1</v>
      </c>
      <c r="R3774">
        <v>2</v>
      </c>
      <c r="S3774">
        <v>3.27</v>
      </c>
      <c r="T3774">
        <v>1</v>
      </c>
      <c r="U3774" t="s">
        <v>22</v>
      </c>
      <c r="V3774" t="e">
        <f>IF(#REF! = "yes", 1, 0)</f>
        <v>#REF!</v>
      </c>
      <c r="W3774" t="e">
        <f>IF(#REF! &lt;= 1, "0-1 Calls", IF(#REF! &lt;= 3, "2-3 Calls", IF(#REF! &lt;=5, "4-5 Calls", "6+ Calls")))</f>
        <v>#REF!</v>
      </c>
      <c r="X3774" t="e">
        <f>IF(#REF! &lt;= 50, "0-50", IF(#REF! &lt;=100, "51-100", IF(#REF! &lt;= 150, "101-150", "151+")))</f>
        <v>#REF!</v>
      </c>
      <c r="Y3774" t="e">
        <f>IF(#REF! &lt;= 3, "Low Charges", "High Charges")</f>
        <v>#REF!</v>
      </c>
      <c r="Z3774" t="e">
        <f>IF(#REF!&lt;=80,"Low Calls",
IF(#REF!&lt;=120,"Medium Calls","High Calls"))</f>
        <v>#REF!</v>
      </c>
      <c r="AA3774" t="e">
        <f>IF(#REF!&lt;=15,"Low Charges",
IF(#REF!&lt;=20,"Medium Charges","High Charges"))</f>
        <v>#REF!</v>
      </c>
      <c r="AB3774" t="e">
        <f>IF(AND(#REF!&gt;180, #REF!&gt;200), "Heavy Doemstic User", IF(#REF!&gt;10, "Interntional User", IF(AND(#REF!&lt;180, #REF!&lt;200,#REF!&lt;200), "Light User", "Balanced User")))</f>
        <v>#REF!</v>
      </c>
      <c r="AC3774" t="e">
        <f>IF(#REF! = 0, "No Usage", IF(#REF! &lt;= 20, "Low Usage", IF(#REF! &lt;= 40, "Medium Usgae", "High Usage")))</f>
        <v>#REF!</v>
      </c>
      <c r="AD3774" t="e">
        <f>IF(#REF!&lt;=150,"Low Usage", IF(#REF!&lt;=200,"Medium Usage", IF(#REF!&lt;=250,"High Usage","Very High Usage")))</f>
        <v>#REF!</v>
      </c>
      <c r="AE3774" t="e">
        <f>IF(#REF!&lt;=5,"Low Calls", IF(#REF!&lt;=10, "Medium Calls", "High Calls"))</f>
        <v>#REF!</v>
      </c>
      <c r="AF3774" t="e">
        <f xml:space="preserve">
IF(#REF!&gt;=4,4,0)+
IF(#REF!="yes",3,0)+
IF(#REF!="High Charges",3,0)+
IF(#REF!&gt;250,4,0)+
IF(#REF!="no",1,0)+
IF(#REF!="Heavy Domestic User",2,0)</f>
        <v>#REF!</v>
      </c>
      <c r="AG3774" t="e">
        <f>IF(#REF!&gt;=10,"High Risk", IF(#REF!&gt;=5,"Medium Risk","Low Risk"))</f>
        <v>#REF!</v>
      </c>
      <c r="AH3774" t="e">
        <f>#REF! + #REF! + #REF! + #REF!</f>
        <v>#REF!</v>
      </c>
    </row>
    <row r="3775" spans="1:34" x14ac:dyDescent="0.35">
      <c r="A3775">
        <v>3774</v>
      </c>
      <c r="B3775" t="s">
        <v>37</v>
      </c>
      <c r="C3775">
        <v>65</v>
      </c>
      <c r="D3775" t="s">
        <v>25</v>
      </c>
      <c r="E3775" t="s">
        <v>22</v>
      </c>
      <c r="F3775" t="s">
        <v>22</v>
      </c>
      <c r="G3775">
        <v>0</v>
      </c>
      <c r="H3775">
        <v>96</v>
      </c>
      <c r="I3775">
        <v>95</v>
      </c>
      <c r="J3775">
        <v>16.32</v>
      </c>
      <c r="K3775">
        <v>117</v>
      </c>
      <c r="L3775">
        <v>82</v>
      </c>
      <c r="M3775">
        <v>9.9499999999999993</v>
      </c>
      <c r="N3775">
        <v>172.9</v>
      </c>
      <c r="O3775">
        <v>114</v>
      </c>
      <c r="P3775">
        <v>7.78</v>
      </c>
      <c r="Q3775">
        <v>6.7</v>
      </c>
      <c r="R3775">
        <v>3</v>
      </c>
      <c r="S3775">
        <v>1.81</v>
      </c>
      <c r="T3775">
        <v>3</v>
      </c>
      <c r="U3775" t="s">
        <v>22</v>
      </c>
      <c r="V3775" t="e">
        <f>IF(#REF! = "yes", 1, 0)</f>
        <v>#REF!</v>
      </c>
      <c r="W3775" t="e">
        <f>IF(#REF! &lt;= 1, "0-1 Calls", IF(#REF! &lt;= 3, "2-3 Calls", IF(#REF! &lt;=5, "4-5 Calls", "6+ Calls")))</f>
        <v>#REF!</v>
      </c>
      <c r="X3775" t="e">
        <f>IF(#REF! &lt;= 50, "0-50", IF(#REF! &lt;=100, "51-100", IF(#REF! &lt;= 150, "101-150", "151+")))</f>
        <v>#REF!</v>
      </c>
      <c r="Y3775" t="e">
        <f>IF(#REF! &lt;= 3, "Low Charges", "High Charges")</f>
        <v>#REF!</v>
      </c>
      <c r="Z3775" t="e">
        <f>IF(#REF!&lt;=80,"Low Calls",
IF(#REF!&lt;=120,"Medium Calls","High Calls"))</f>
        <v>#REF!</v>
      </c>
      <c r="AA3775" t="e">
        <f>IF(#REF!&lt;=15,"Low Charges",
IF(#REF!&lt;=20,"Medium Charges","High Charges"))</f>
        <v>#REF!</v>
      </c>
      <c r="AB3775" t="e">
        <f>IF(AND(#REF!&gt;180, #REF!&gt;200), "Heavy Doemstic User", IF(#REF!&gt;10, "Interntional User", IF(AND(#REF!&lt;180, #REF!&lt;200,#REF!&lt;200), "Light User", "Balanced User")))</f>
        <v>#REF!</v>
      </c>
      <c r="AC3775" t="e">
        <f>IF(#REF! = 0, "No Usage", IF(#REF! &lt;= 20, "Low Usage", IF(#REF! &lt;= 40, "Medium Usgae", "High Usage")))</f>
        <v>#REF!</v>
      </c>
      <c r="AD3775" t="e">
        <f>IF(#REF!&lt;=150,"Low Usage", IF(#REF!&lt;=200,"Medium Usage", IF(#REF!&lt;=250,"High Usage","Very High Usage")))</f>
        <v>#REF!</v>
      </c>
      <c r="AE3775" t="e">
        <f>IF(#REF!&lt;=5,"Low Calls", IF(#REF!&lt;=10, "Medium Calls", "High Calls"))</f>
        <v>#REF!</v>
      </c>
      <c r="AF3775" t="e">
        <f xml:space="preserve">
IF(#REF!&gt;=4,4,0)+
IF(#REF!="yes",3,0)+
IF(#REF!="High Charges",3,0)+
IF(#REF!&gt;250,4,0)+
IF(#REF!="no",1,0)+
IF(#REF!="Heavy Domestic User",2,0)</f>
        <v>#REF!</v>
      </c>
      <c r="AG3775" t="e">
        <f>IF(#REF!&gt;=10,"High Risk", IF(#REF!&gt;=5,"Medium Risk","Low Risk"))</f>
        <v>#REF!</v>
      </c>
      <c r="AH3775" t="e">
        <f>#REF! + #REF! + #REF! + #REF!</f>
        <v>#REF!</v>
      </c>
    </row>
    <row r="3776" spans="1:34" x14ac:dyDescent="0.35">
      <c r="A3776">
        <v>3775</v>
      </c>
      <c r="B3776" t="s">
        <v>65</v>
      </c>
      <c r="C3776">
        <v>53</v>
      </c>
      <c r="D3776" t="s">
        <v>28</v>
      </c>
      <c r="E3776" t="s">
        <v>22</v>
      </c>
      <c r="F3776" t="s">
        <v>22</v>
      </c>
      <c r="G3776">
        <v>0</v>
      </c>
      <c r="H3776">
        <v>171.5</v>
      </c>
      <c r="I3776">
        <v>75</v>
      </c>
      <c r="J3776">
        <v>29.16</v>
      </c>
      <c r="K3776">
        <v>224.5</v>
      </c>
      <c r="L3776">
        <v>111</v>
      </c>
      <c r="M3776">
        <v>19.079999999999998</v>
      </c>
      <c r="N3776">
        <v>187.4</v>
      </c>
      <c r="O3776">
        <v>84</v>
      </c>
      <c r="P3776">
        <v>8.43</v>
      </c>
      <c r="Q3776">
        <v>9.6999999999999993</v>
      </c>
      <c r="R3776">
        <v>6</v>
      </c>
      <c r="S3776">
        <v>2.62</v>
      </c>
      <c r="T3776">
        <v>1</v>
      </c>
      <c r="U3776" t="s">
        <v>22</v>
      </c>
      <c r="V3776" t="e">
        <f>IF(#REF! = "yes", 1, 0)</f>
        <v>#REF!</v>
      </c>
      <c r="W3776" t="e">
        <f>IF(#REF! &lt;= 1, "0-1 Calls", IF(#REF! &lt;= 3, "2-3 Calls", IF(#REF! &lt;=5, "4-5 Calls", "6+ Calls")))</f>
        <v>#REF!</v>
      </c>
      <c r="X3776" t="e">
        <f>IF(#REF! &lt;= 50, "0-50", IF(#REF! &lt;=100, "51-100", IF(#REF! &lt;= 150, "101-150", "151+")))</f>
        <v>#REF!</v>
      </c>
      <c r="Y3776" t="e">
        <f>IF(#REF! &lt;= 3, "Low Charges", "High Charges")</f>
        <v>#REF!</v>
      </c>
      <c r="Z3776" t="e">
        <f>IF(#REF!&lt;=80,"Low Calls",
IF(#REF!&lt;=120,"Medium Calls","High Calls"))</f>
        <v>#REF!</v>
      </c>
      <c r="AA3776" t="e">
        <f>IF(#REF!&lt;=15,"Low Charges",
IF(#REF!&lt;=20,"Medium Charges","High Charges"))</f>
        <v>#REF!</v>
      </c>
      <c r="AB3776" t="e">
        <f>IF(AND(#REF!&gt;180, #REF!&gt;200), "Heavy Doemstic User", IF(#REF!&gt;10, "Interntional User", IF(AND(#REF!&lt;180, #REF!&lt;200,#REF!&lt;200), "Light User", "Balanced User")))</f>
        <v>#REF!</v>
      </c>
      <c r="AC3776" t="e">
        <f>IF(#REF! = 0, "No Usage", IF(#REF! &lt;= 20, "Low Usage", IF(#REF! &lt;= 40, "Medium Usgae", "High Usage")))</f>
        <v>#REF!</v>
      </c>
      <c r="AD3776" t="e">
        <f>IF(#REF!&lt;=150,"Low Usage", IF(#REF!&lt;=200,"Medium Usage", IF(#REF!&lt;=250,"High Usage","Very High Usage")))</f>
        <v>#REF!</v>
      </c>
      <c r="AE3776" t="e">
        <f>IF(#REF!&lt;=5,"Low Calls", IF(#REF!&lt;=10, "Medium Calls", "High Calls"))</f>
        <v>#REF!</v>
      </c>
      <c r="AF3776" t="e">
        <f xml:space="preserve">
IF(#REF!&gt;=4,4,0)+
IF(#REF!="yes",3,0)+
IF(#REF!="High Charges",3,0)+
IF(#REF!&gt;250,4,0)+
IF(#REF!="no",1,0)+
IF(#REF!="Heavy Domestic User",2,0)</f>
        <v>#REF!</v>
      </c>
      <c r="AG3776" t="e">
        <f>IF(#REF!&gt;=10,"High Risk", IF(#REF!&gt;=5,"Medium Risk","Low Risk"))</f>
        <v>#REF!</v>
      </c>
      <c r="AH3776" t="e">
        <f>#REF! + #REF! + #REF! + #REF!</f>
        <v>#REF!</v>
      </c>
    </row>
    <row r="3777" spans="1:34" x14ac:dyDescent="0.35">
      <c r="A3777">
        <v>3776</v>
      </c>
      <c r="B3777" t="s">
        <v>50</v>
      </c>
      <c r="C3777">
        <v>72</v>
      </c>
      <c r="D3777" t="s">
        <v>21</v>
      </c>
      <c r="E3777" t="s">
        <v>22</v>
      </c>
      <c r="F3777" t="s">
        <v>23</v>
      </c>
      <c r="G3777">
        <v>27</v>
      </c>
      <c r="H3777">
        <v>111.7</v>
      </c>
      <c r="I3777">
        <v>68</v>
      </c>
      <c r="J3777">
        <v>18.989999999999998</v>
      </c>
      <c r="K3777">
        <v>252.8</v>
      </c>
      <c r="L3777">
        <v>106</v>
      </c>
      <c r="M3777">
        <v>21.49</v>
      </c>
      <c r="N3777">
        <v>255.5</v>
      </c>
      <c r="O3777">
        <v>109</v>
      </c>
      <c r="P3777">
        <v>11.5</v>
      </c>
      <c r="Q3777">
        <v>7.8</v>
      </c>
      <c r="R3777">
        <v>4</v>
      </c>
      <c r="S3777">
        <v>2.11</v>
      </c>
      <c r="T3777">
        <v>1</v>
      </c>
      <c r="U3777" t="s">
        <v>22</v>
      </c>
      <c r="V3777" t="e">
        <f>IF(#REF! = "yes", 1, 0)</f>
        <v>#REF!</v>
      </c>
      <c r="W3777" t="e">
        <f>IF(#REF! &lt;= 1, "0-1 Calls", IF(#REF! &lt;= 3, "2-3 Calls", IF(#REF! &lt;=5, "4-5 Calls", "6+ Calls")))</f>
        <v>#REF!</v>
      </c>
      <c r="X3777" t="e">
        <f>IF(#REF! &lt;= 50, "0-50", IF(#REF! &lt;=100, "51-100", IF(#REF! &lt;= 150, "101-150", "151+")))</f>
        <v>#REF!</v>
      </c>
      <c r="Y3777" t="e">
        <f>IF(#REF! &lt;= 3, "Low Charges", "High Charges")</f>
        <v>#REF!</v>
      </c>
      <c r="Z3777" t="e">
        <f>IF(#REF!&lt;=80,"Low Calls",
IF(#REF!&lt;=120,"Medium Calls","High Calls"))</f>
        <v>#REF!</v>
      </c>
      <c r="AA3777" t="e">
        <f>IF(#REF!&lt;=15,"Low Charges",
IF(#REF!&lt;=20,"Medium Charges","High Charges"))</f>
        <v>#REF!</v>
      </c>
      <c r="AB3777" t="e">
        <f>IF(AND(#REF!&gt;180, #REF!&gt;200), "Heavy Doemstic User", IF(#REF!&gt;10, "Interntional User", IF(AND(#REF!&lt;180, #REF!&lt;200,#REF!&lt;200), "Light User", "Balanced User")))</f>
        <v>#REF!</v>
      </c>
      <c r="AC3777" t="e">
        <f>IF(#REF! = 0, "No Usage", IF(#REF! &lt;= 20, "Low Usage", IF(#REF! &lt;= 40, "Medium Usgae", "High Usage")))</f>
        <v>#REF!</v>
      </c>
      <c r="AD3777" t="e">
        <f>IF(#REF!&lt;=150,"Low Usage", IF(#REF!&lt;=200,"Medium Usage", IF(#REF!&lt;=250,"High Usage","Very High Usage")))</f>
        <v>#REF!</v>
      </c>
      <c r="AE3777" t="e">
        <f>IF(#REF!&lt;=5,"Low Calls", IF(#REF!&lt;=10, "Medium Calls", "High Calls"))</f>
        <v>#REF!</v>
      </c>
      <c r="AF3777" t="e">
        <f xml:space="preserve">
IF(#REF!&gt;=4,4,0)+
IF(#REF!="yes",3,0)+
IF(#REF!="High Charges",3,0)+
IF(#REF!&gt;250,4,0)+
IF(#REF!="no",1,0)+
IF(#REF!="Heavy Domestic User",2,0)</f>
        <v>#REF!</v>
      </c>
      <c r="AG3777" t="e">
        <f>IF(#REF!&gt;=10,"High Risk", IF(#REF!&gt;=5,"Medium Risk","Low Risk"))</f>
        <v>#REF!</v>
      </c>
      <c r="AH3777" t="e">
        <f>#REF! + #REF! + #REF! + #REF!</f>
        <v>#REF!</v>
      </c>
    </row>
    <row r="3778" spans="1:34" x14ac:dyDescent="0.35">
      <c r="A3778">
        <v>3777</v>
      </c>
      <c r="B3778" t="s">
        <v>52</v>
      </c>
      <c r="C3778">
        <v>100</v>
      </c>
      <c r="D3778" t="s">
        <v>28</v>
      </c>
      <c r="E3778" t="s">
        <v>22</v>
      </c>
      <c r="F3778" t="s">
        <v>22</v>
      </c>
      <c r="G3778">
        <v>0</v>
      </c>
      <c r="H3778">
        <v>152.69999999999999</v>
      </c>
      <c r="I3778">
        <v>98</v>
      </c>
      <c r="J3778">
        <v>25.96</v>
      </c>
      <c r="K3778">
        <v>212.4</v>
      </c>
      <c r="L3778">
        <v>73</v>
      </c>
      <c r="M3778">
        <v>18.05</v>
      </c>
      <c r="N3778">
        <v>264.5</v>
      </c>
      <c r="O3778">
        <v>90</v>
      </c>
      <c r="P3778">
        <v>11.9</v>
      </c>
      <c r="Q3778">
        <v>7.9</v>
      </c>
      <c r="R3778">
        <v>3</v>
      </c>
      <c r="S3778">
        <v>2.13</v>
      </c>
      <c r="T3778">
        <v>2</v>
      </c>
      <c r="U3778" t="s">
        <v>22</v>
      </c>
      <c r="V3778" t="e">
        <f>IF(#REF! = "yes", 1, 0)</f>
        <v>#REF!</v>
      </c>
      <c r="W3778" t="e">
        <f>IF(#REF! &lt;= 1, "0-1 Calls", IF(#REF! &lt;= 3, "2-3 Calls", IF(#REF! &lt;=5, "4-5 Calls", "6+ Calls")))</f>
        <v>#REF!</v>
      </c>
      <c r="X3778" t="e">
        <f>IF(#REF! &lt;= 50, "0-50", IF(#REF! &lt;=100, "51-100", IF(#REF! &lt;= 150, "101-150", "151+")))</f>
        <v>#REF!</v>
      </c>
      <c r="Y3778" t="e">
        <f>IF(#REF! &lt;= 3, "Low Charges", "High Charges")</f>
        <v>#REF!</v>
      </c>
      <c r="Z3778" t="e">
        <f>IF(#REF!&lt;=80,"Low Calls",
IF(#REF!&lt;=120,"Medium Calls","High Calls"))</f>
        <v>#REF!</v>
      </c>
      <c r="AA3778" t="e">
        <f>IF(#REF!&lt;=15,"Low Charges",
IF(#REF!&lt;=20,"Medium Charges","High Charges"))</f>
        <v>#REF!</v>
      </c>
      <c r="AB3778" t="e">
        <f>IF(AND(#REF!&gt;180, #REF!&gt;200), "Heavy Doemstic User", IF(#REF!&gt;10, "Interntional User", IF(AND(#REF!&lt;180, #REF!&lt;200,#REF!&lt;200), "Light User", "Balanced User")))</f>
        <v>#REF!</v>
      </c>
      <c r="AC3778" t="e">
        <f>IF(#REF! = 0, "No Usage", IF(#REF! &lt;= 20, "Low Usage", IF(#REF! &lt;= 40, "Medium Usgae", "High Usage")))</f>
        <v>#REF!</v>
      </c>
      <c r="AD3778" t="e">
        <f>IF(#REF!&lt;=150,"Low Usage", IF(#REF!&lt;=200,"Medium Usage", IF(#REF!&lt;=250,"High Usage","Very High Usage")))</f>
        <v>#REF!</v>
      </c>
      <c r="AE3778" t="e">
        <f>IF(#REF!&lt;=5,"Low Calls", IF(#REF!&lt;=10, "Medium Calls", "High Calls"))</f>
        <v>#REF!</v>
      </c>
      <c r="AF3778" t="e">
        <f xml:space="preserve">
IF(#REF!&gt;=4,4,0)+
IF(#REF!="yes",3,0)+
IF(#REF!="High Charges",3,0)+
IF(#REF!&gt;250,4,0)+
IF(#REF!="no",1,0)+
IF(#REF!="Heavy Domestic User",2,0)</f>
        <v>#REF!</v>
      </c>
      <c r="AG3778" t="e">
        <f>IF(#REF!&gt;=10,"High Risk", IF(#REF!&gt;=5,"Medium Risk","Low Risk"))</f>
        <v>#REF!</v>
      </c>
      <c r="AH3778" t="e">
        <f>#REF! + #REF! + #REF! + #REF!</f>
        <v>#REF!</v>
      </c>
    </row>
    <row r="3779" spans="1:34" x14ac:dyDescent="0.35">
      <c r="A3779">
        <v>3778</v>
      </c>
      <c r="B3779" t="s">
        <v>60</v>
      </c>
      <c r="C3779">
        <v>82</v>
      </c>
      <c r="D3779" t="s">
        <v>21</v>
      </c>
      <c r="E3779" t="s">
        <v>22</v>
      </c>
      <c r="F3779" t="s">
        <v>22</v>
      </c>
      <c r="G3779">
        <v>0</v>
      </c>
      <c r="H3779">
        <v>194.7</v>
      </c>
      <c r="I3779">
        <v>105</v>
      </c>
      <c r="J3779">
        <v>33.1</v>
      </c>
      <c r="K3779">
        <v>210.9</v>
      </c>
      <c r="L3779">
        <v>100</v>
      </c>
      <c r="M3779">
        <v>17.93</v>
      </c>
      <c r="N3779">
        <v>236.9</v>
      </c>
      <c r="O3779">
        <v>143</v>
      </c>
      <c r="P3779">
        <v>10.66</v>
      </c>
      <c r="Q3779">
        <v>11.6</v>
      </c>
      <c r="R3779">
        <v>3</v>
      </c>
      <c r="S3779">
        <v>3.13</v>
      </c>
      <c r="T3779">
        <v>3</v>
      </c>
      <c r="U3779" t="s">
        <v>22</v>
      </c>
      <c r="V3779" t="e">
        <f>IF(#REF! = "yes", 1, 0)</f>
        <v>#REF!</v>
      </c>
      <c r="W3779" t="e">
        <f>IF(#REF! &lt;= 1, "0-1 Calls", IF(#REF! &lt;= 3, "2-3 Calls", IF(#REF! &lt;=5, "4-5 Calls", "6+ Calls")))</f>
        <v>#REF!</v>
      </c>
      <c r="X3779" t="e">
        <f>IF(#REF! &lt;= 50, "0-50", IF(#REF! &lt;=100, "51-100", IF(#REF! &lt;= 150, "101-150", "151+")))</f>
        <v>#REF!</v>
      </c>
      <c r="Y3779" t="e">
        <f>IF(#REF! &lt;= 3, "Low Charges", "High Charges")</f>
        <v>#REF!</v>
      </c>
      <c r="Z3779" t="e">
        <f>IF(#REF!&lt;=80,"Low Calls",
IF(#REF!&lt;=120,"Medium Calls","High Calls"))</f>
        <v>#REF!</v>
      </c>
      <c r="AA3779" t="e">
        <f>IF(#REF!&lt;=15,"Low Charges",
IF(#REF!&lt;=20,"Medium Charges","High Charges"))</f>
        <v>#REF!</v>
      </c>
      <c r="AB3779" t="e">
        <f>IF(AND(#REF!&gt;180, #REF!&gt;200), "Heavy Doemstic User", IF(#REF!&gt;10, "Interntional User", IF(AND(#REF!&lt;180, #REF!&lt;200,#REF!&lt;200), "Light User", "Balanced User")))</f>
        <v>#REF!</v>
      </c>
      <c r="AC3779" t="e">
        <f>IF(#REF! = 0, "No Usage", IF(#REF! &lt;= 20, "Low Usage", IF(#REF! &lt;= 40, "Medium Usgae", "High Usage")))</f>
        <v>#REF!</v>
      </c>
      <c r="AD3779" t="e">
        <f>IF(#REF!&lt;=150,"Low Usage", IF(#REF!&lt;=200,"Medium Usage", IF(#REF!&lt;=250,"High Usage","Very High Usage")))</f>
        <v>#REF!</v>
      </c>
      <c r="AE3779" t="e">
        <f>IF(#REF!&lt;=5,"Low Calls", IF(#REF!&lt;=10, "Medium Calls", "High Calls"))</f>
        <v>#REF!</v>
      </c>
      <c r="AF3779" t="e">
        <f xml:space="preserve">
IF(#REF!&gt;=4,4,0)+
IF(#REF!="yes",3,0)+
IF(#REF!="High Charges",3,0)+
IF(#REF!&gt;250,4,0)+
IF(#REF!="no",1,0)+
IF(#REF!="Heavy Domestic User",2,0)</f>
        <v>#REF!</v>
      </c>
      <c r="AG3779" t="e">
        <f>IF(#REF!&gt;=10,"High Risk", IF(#REF!&gt;=5,"Medium Risk","Low Risk"))</f>
        <v>#REF!</v>
      </c>
      <c r="AH3779" t="e">
        <f>#REF! + #REF! + #REF! + #REF!</f>
        <v>#REF!</v>
      </c>
    </row>
    <row r="3780" spans="1:34" x14ac:dyDescent="0.35">
      <c r="A3780">
        <v>3779</v>
      </c>
      <c r="B3780" t="s">
        <v>45</v>
      </c>
      <c r="C3780">
        <v>71</v>
      </c>
      <c r="D3780" t="s">
        <v>21</v>
      </c>
      <c r="E3780" t="s">
        <v>22</v>
      </c>
      <c r="F3780" t="s">
        <v>22</v>
      </c>
      <c r="G3780">
        <v>0</v>
      </c>
      <c r="H3780">
        <v>119.9</v>
      </c>
      <c r="I3780">
        <v>108</v>
      </c>
      <c r="J3780">
        <v>20.38</v>
      </c>
      <c r="K3780">
        <v>240.7</v>
      </c>
      <c r="L3780">
        <v>82</v>
      </c>
      <c r="M3780">
        <v>20.46</v>
      </c>
      <c r="N3780">
        <v>151.1</v>
      </c>
      <c r="O3780">
        <v>124</v>
      </c>
      <c r="P3780">
        <v>6.8</v>
      </c>
      <c r="Q3780">
        <v>8.1</v>
      </c>
      <c r="R3780">
        <v>7</v>
      </c>
      <c r="S3780">
        <v>2.19</v>
      </c>
      <c r="T3780">
        <v>3</v>
      </c>
      <c r="U3780" t="s">
        <v>22</v>
      </c>
      <c r="V3780" t="e">
        <f>IF(#REF! = "yes", 1, 0)</f>
        <v>#REF!</v>
      </c>
      <c r="W3780" t="e">
        <f>IF(#REF! &lt;= 1, "0-1 Calls", IF(#REF! &lt;= 3, "2-3 Calls", IF(#REF! &lt;=5, "4-5 Calls", "6+ Calls")))</f>
        <v>#REF!</v>
      </c>
      <c r="X3780" t="e">
        <f>IF(#REF! &lt;= 50, "0-50", IF(#REF! &lt;=100, "51-100", IF(#REF! &lt;= 150, "101-150", "151+")))</f>
        <v>#REF!</v>
      </c>
      <c r="Y3780" t="e">
        <f>IF(#REF! &lt;= 3, "Low Charges", "High Charges")</f>
        <v>#REF!</v>
      </c>
      <c r="Z3780" t="e">
        <f>IF(#REF!&lt;=80,"Low Calls",
IF(#REF!&lt;=120,"Medium Calls","High Calls"))</f>
        <v>#REF!</v>
      </c>
      <c r="AA3780" t="e">
        <f>IF(#REF!&lt;=15,"Low Charges",
IF(#REF!&lt;=20,"Medium Charges","High Charges"))</f>
        <v>#REF!</v>
      </c>
      <c r="AB3780" t="e">
        <f>IF(AND(#REF!&gt;180, #REF!&gt;200), "Heavy Doemstic User", IF(#REF!&gt;10, "Interntional User", IF(AND(#REF!&lt;180, #REF!&lt;200,#REF!&lt;200), "Light User", "Balanced User")))</f>
        <v>#REF!</v>
      </c>
      <c r="AC3780" t="e">
        <f>IF(#REF! = 0, "No Usage", IF(#REF! &lt;= 20, "Low Usage", IF(#REF! &lt;= 40, "Medium Usgae", "High Usage")))</f>
        <v>#REF!</v>
      </c>
      <c r="AD3780" t="e">
        <f>IF(#REF!&lt;=150,"Low Usage", IF(#REF!&lt;=200,"Medium Usage", IF(#REF!&lt;=250,"High Usage","Very High Usage")))</f>
        <v>#REF!</v>
      </c>
      <c r="AE3780" t="e">
        <f>IF(#REF!&lt;=5,"Low Calls", IF(#REF!&lt;=10, "Medium Calls", "High Calls"))</f>
        <v>#REF!</v>
      </c>
      <c r="AF3780" t="e">
        <f xml:space="preserve">
IF(#REF!&gt;=4,4,0)+
IF(#REF!="yes",3,0)+
IF(#REF!="High Charges",3,0)+
IF(#REF!&gt;250,4,0)+
IF(#REF!="no",1,0)+
IF(#REF!="Heavy Domestic User",2,0)</f>
        <v>#REF!</v>
      </c>
      <c r="AG3780" t="e">
        <f>IF(#REF!&gt;=10,"High Risk", IF(#REF!&gt;=5,"Medium Risk","Low Risk"))</f>
        <v>#REF!</v>
      </c>
      <c r="AH3780" t="e">
        <f>#REF! + #REF! + #REF! + #REF!</f>
        <v>#REF!</v>
      </c>
    </row>
    <row r="3781" spans="1:34" x14ac:dyDescent="0.35">
      <c r="A3781">
        <v>3780</v>
      </c>
      <c r="B3781" t="s">
        <v>30</v>
      </c>
      <c r="C3781">
        <v>103</v>
      </c>
      <c r="D3781" t="s">
        <v>21</v>
      </c>
      <c r="E3781" t="s">
        <v>22</v>
      </c>
      <c r="F3781" t="s">
        <v>22</v>
      </c>
      <c r="G3781">
        <v>0</v>
      </c>
      <c r="H3781">
        <v>222.9</v>
      </c>
      <c r="I3781">
        <v>129</v>
      </c>
      <c r="J3781">
        <v>37.89</v>
      </c>
      <c r="K3781">
        <v>205</v>
      </c>
      <c r="L3781">
        <v>87</v>
      </c>
      <c r="M3781">
        <v>17.43</v>
      </c>
      <c r="N3781">
        <v>141.30000000000001</v>
      </c>
      <c r="O3781">
        <v>99</v>
      </c>
      <c r="P3781">
        <v>6.36</v>
      </c>
      <c r="Q3781">
        <v>9.9</v>
      </c>
      <c r="R3781">
        <v>2</v>
      </c>
      <c r="S3781">
        <v>2.67</v>
      </c>
      <c r="T3781">
        <v>1</v>
      </c>
      <c r="U3781" t="s">
        <v>22</v>
      </c>
      <c r="V3781" t="e">
        <f>IF(#REF! = "yes", 1, 0)</f>
        <v>#REF!</v>
      </c>
      <c r="W3781" t="e">
        <f>IF(#REF! &lt;= 1, "0-1 Calls", IF(#REF! &lt;= 3, "2-3 Calls", IF(#REF! &lt;=5, "4-5 Calls", "6+ Calls")))</f>
        <v>#REF!</v>
      </c>
      <c r="X3781" t="e">
        <f>IF(#REF! &lt;= 50, "0-50", IF(#REF! &lt;=100, "51-100", IF(#REF! &lt;= 150, "101-150", "151+")))</f>
        <v>#REF!</v>
      </c>
      <c r="Y3781" t="e">
        <f>IF(#REF! &lt;= 3, "Low Charges", "High Charges")</f>
        <v>#REF!</v>
      </c>
      <c r="Z3781" t="e">
        <f>IF(#REF!&lt;=80,"Low Calls",
IF(#REF!&lt;=120,"Medium Calls","High Calls"))</f>
        <v>#REF!</v>
      </c>
      <c r="AA3781" t="e">
        <f>IF(#REF!&lt;=15,"Low Charges",
IF(#REF!&lt;=20,"Medium Charges","High Charges"))</f>
        <v>#REF!</v>
      </c>
      <c r="AB3781" t="e">
        <f>IF(AND(#REF!&gt;180, #REF!&gt;200), "Heavy Doemstic User", IF(#REF!&gt;10, "Interntional User", IF(AND(#REF!&lt;180, #REF!&lt;200,#REF!&lt;200), "Light User", "Balanced User")))</f>
        <v>#REF!</v>
      </c>
      <c r="AC3781" t="e">
        <f>IF(#REF! = 0, "No Usage", IF(#REF! &lt;= 20, "Low Usage", IF(#REF! &lt;= 40, "Medium Usgae", "High Usage")))</f>
        <v>#REF!</v>
      </c>
      <c r="AD3781" t="e">
        <f>IF(#REF!&lt;=150,"Low Usage", IF(#REF!&lt;=200,"Medium Usage", IF(#REF!&lt;=250,"High Usage","Very High Usage")))</f>
        <v>#REF!</v>
      </c>
      <c r="AE3781" t="e">
        <f>IF(#REF!&lt;=5,"Low Calls", IF(#REF!&lt;=10, "Medium Calls", "High Calls"))</f>
        <v>#REF!</v>
      </c>
      <c r="AF3781" t="e">
        <f xml:space="preserve">
IF(#REF!&gt;=4,4,0)+
IF(#REF!="yes",3,0)+
IF(#REF!="High Charges",3,0)+
IF(#REF!&gt;250,4,0)+
IF(#REF!="no",1,0)+
IF(#REF!="Heavy Domestic User",2,0)</f>
        <v>#REF!</v>
      </c>
      <c r="AG3781" t="e">
        <f>IF(#REF!&gt;=10,"High Risk", IF(#REF!&gt;=5,"Medium Risk","Low Risk"))</f>
        <v>#REF!</v>
      </c>
      <c r="AH3781" t="e">
        <f>#REF! + #REF! + #REF! + #REF!</f>
        <v>#REF!</v>
      </c>
    </row>
    <row r="3782" spans="1:34" x14ac:dyDescent="0.35">
      <c r="A3782">
        <v>3781</v>
      </c>
      <c r="B3782" t="s">
        <v>33</v>
      </c>
      <c r="C3782">
        <v>87</v>
      </c>
      <c r="D3782" t="s">
        <v>21</v>
      </c>
      <c r="E3782" t="s">
        <v>22</v>
      </c>
      <c r="F3782" t="s">
        <v>22</v>
      </c>
      <c r="G3782">
        <v>0</v>
      </c>
      <c r="H3782">
        <v>210.7</v>
      </c>
      <c r="I3782">
        <v>46</v>
      </c>
      <c r="J3782">
        <v>35.82</v>
      </c>
      <c r="K3782">
        <v>215.6</v>
      </c>
      <c r="L3782">
        <v>116</v>
      </c>
      <c r="M3782">
        <v>18.329999999999998</v>
      </c>
      <c r="N3782">
        <v>170.4</v>
      </c>
      <c r="O3782">
        <v>79</v>
      </c>
      <c r="P3782">
        <v>7.67</v>
      </c>
      <c r="Q3782">
        <v>13.2</v>
      </c>
      <c r="R3782">
        <v>3</v>
      </c>
      <c r="S3782">
        <v>3.56</v>
      </c>
      <c r="T3782">
        <v>1</v>
      </c>
      <c r="U3782" t="s">
        <v>22</v>
      </c>
      <c r="V3782" t="e">
        <f>IF(#REF! = "yes", 1, 0)</f>
        <v>#REF!</v>
      </c>
      <c r="W3782" t="e">
        <f>IF(#REF! &lt;= 1, "0-1 Calls", IF(#REF! &lt;= 3, "2-3 Calls", IF(#REF! &lt;=5, "4-5 Calls", "6+ Calls")))</f>
        <v>#REF!</v>
      </c>
      <c r="X3782" t="e">
        <f>IF(#REF! &lt;= 50, "0-50", IF(#REF! &lt;=100, "51-100", IF(#REF! &lt;= 150, "101-150", "151+")))</f>
        <v>#REF!</v>
      </c>
      <c r="Y3782" t="e">
        <f>IF(#REF! &lt;= 3, "Low Charges", "High Charges")</f>
        <v>#REF!</v>
      </c>
      <c r="Z3782" t="e">
        <f>IF(#REF!&lt;=80,"Low Calls",
IF(#REF!&lt;=120,"Medium Calls","High Calls"))</f>
        <v>#REF!</v>
      </c>
      <c r="AA3782" t="e">
        <f>IF(#REF!&lt;=15,"Low Charges",
IF(#REF!&lt;=20,"Medium Charges","High Charges"))</f>
        <v>#REF!</v>
      </c>
      <c r="AB3782" t="e">
        <f>IF(AND(#REF!&gt;180, #REF!&gt;200), "Heavy Doemstic User", IF(#REF!&gt;10, "Interntional User", IF(AND(#REF!&lt;180, #REF!&lt;200,#REF!&lt;200), "Light User", "Balanced User")))</f>
        <v>#REF!</v>
      </c>
      <c r="AC3782" t="e">
        <f>IF(#REF! = 0, "No Usage", IF(#REF! &lt;= 20, "Low Usage", IF(#REF! &lt;= 40, "Medium Usgae", "High Usage")))</f>
        <v>#REF!</v>
      </c>
      <c r="AD3782" t="e">
        <f>IF(#REF!&lt;=150,"Low Usage", IF(#REF!&lt;=200,"Medium Usage", IF(#REF!&lt;=250,"High Usage","Very High Usage")))</f>
        <v>#REF!</v>
      </c>
      <c r="AE3782" t="e">
        <f>IF(#REF!&lt;=5,"Low Calls", IF(#REF!&lt;=10, "Medium Calls", "High Calls"))</f>
        <v>#REF!</v>
      </c>
      <c r="AF3782" t="e">
        <f xml:space="preserve">
IF(#REF!&gt;=4,4,0)+
IF(#REF!="yes",3,0)+
IF(#REF!="High Charges",3,0)+
IF(#REF!&gt;250,4,0)+
IF(#REF!="no",1,0)+
IF(#REF!="Heavy Domestic User",2,0)</f>
        <v>#REF!</v>
      </c>
      <c r="AG3782" t="e">
        <f>IF(#REF!&gt;=10,"High Risk", IF(#REF!&gt;=5,"Medium Risk","Low Risk"))</f>
        <v>#REF!</v>
      </c>
      <c r="AH3782" t="e">
        <f>#REF! + #REF! + #REF! + #REF!</f>
        <v>#REF!</v>
      </c>
    </row>
    <row r="3783" spans="1:34" x14ac:dyDescent="0.35">
      <c r="A3783">
        <v>3782</v>
      </c>
      <c r="B3783" t="s">
        <v>49</v>
      </c>
      <c r="C3783">
        <v>116</v>
      </c>
      <c r="D3783" t="s">
        <v>25</v>
      </c>
      <c r="E3783" t="s">
        <v>22</v>
      </c>
      <c r="F3783" t="s">
        <v>22</v>
      </c>
      <c r="G3783">
        <v>0</v>
      </c>
      <c r="H3783">
        <v>254.6</v>
      </c>
      <c r="I3783">
        <v>107</v>
      </c>
      <c r="J3783">
        <v>43.28</v>
      </c>
      <c r="K3783">
        <v>249.4</v>
      </c>
      <c r="L3783">
        <v>89</v>
      </c>
      <c r="M3783">
        <v>21.2</v>
      </c>
      <c r="N3783">
        <v>229.6</v>
      </c>
      <c r="O3783">
        <v>77</v>
      </c>
      <c r="P3783">
        <v>10.33</v>
      </c>
      <c r="Q3783">
        <v>9</v>
      </c>
      <c r="R3783">
        <v>18</v>
      </c>
      <c r="S3783">
        <v>2.4300000000000002</v>
      </c>
      <c r="T3783">
        <v>2</v>
      </c>
      <c r="U3783" t="s">
        <v>23</v>
      </c>
      <c r="V3783" t="e">
        <f>IF(#REF! = "yes", 1, 0)</f>
        <v>#REF!</v>
      </c>
      <c r="W3783" t="e">
        <f>IF(#REF! &lt;= 1, "0-1 Calls", IF(#REF! &lt;= 3, "2-3 Calls", IF(#REF! &lt;=5, "4-5 Calls", "6+ Calls")))</f>
        <v>#REF!</v>
      </c>
      <c r="X3783" t="e">
        <f>IF(#REF! &lt;= 50, "0-50", IF(#REF! &lt;=100, "51-100", IF(#REF! &lt;= 150, "101-150", "151+")))</f>
        <v>#REF!</v>
      </c>
      <c r="Y3783" t="e">
        <f>IF(#REF! &lt;= 3, "Low Charges", "High Charges")</f>
        <v>#REF!</v>
      </c>
      <c r="Z3783" t="e">
        <f>IF(#REF!&lt;=80,"Low Calls",
IF(#REF!&lt;=120,"Medium Calls","High Calls"))</f>
        <v>#REF!</v>
      </c>
      <c r="AA3783" t="e">
        <f>IF(#REF!&lt;=15,"Low Charges",
IF(#REF!&lt;=20,"Medium Charges","High Charges"))</f>
        <v>#REF!</v>
      </c>
      <c r="AB3783" t="e">
        <f>IF(AND(#REF!&gt;180, #REF!&gt;200), "Heavy Doemstic User", IF(#REF!&gt;10, "Interntional User", IF(AND(#REF!&lt;180, #REF!&lt;200,#REF!&lt;200), "Light User", "Balanced User")))</f>
        <v>#REF!</v>
      </c>
      <c r="AC3783" t="e">
        <f>IF(#REF! = 0, "No Usage", IF(#REF! &lt;= 20, "Low Usage", IF(#REF! &lt;= 40, "Medium Usgae", "High Usage")))</f>
        <v>#REF!</v>
      </c>
      <c r="AD3783" t="e">
        <f>IF(#REF!&lt;=150,"Low Usage", IF(#REF!&lt;=200,"Medium Usage", IF(#REF!&lt;=250,"High Usage","Very High Usage")))</f>
        <v>#REF!</v>
      </c>
      <c r="AE3783" t="e">
        <f>IF(#REF!&lt;=5,"Low Calls", IF(#REF!&lt;=10, "Medium Calls", "High Calls"))</f>
        <v>#REF!</v>
      </c>
      <c r="AF3783" t="e">
        <f xml:space="preserve">
IF(#REF!&gt;=4,4,0)+
IF(#REF!="yes",3,0)+
IF(#REF!="High Charges",3,0)+
IF(#REF!&gt;250,4,0)+
IF(#REF!="no",1,0)+
IF(#REF!="Heavy Domestic User",2,0)</f>
        <v>#REF!</v>
      </c>
      <c r="AG3783" t="e">
        <f>IF(#REF!&gt;=10,"High Risk", IF(#REF!&gt;=5,"Medium Risk","Low Risk"))</f>
        <v>#REF!</v>
      </c>
      <c r="AH3783" t="e">
        <f>#REF! + #REF! + #REF! + #REF!</f>
        <v>#REF!</v>
      </c>
    </row>
    <row r="3784" spans="1:34" x14ac:dyDescent="0.35">
      <c r="A3784">
        <v>3783</v>
      </c>
      <c r="B3784" t="s">
        <v>67</v>
      </c>
      <c r="C3784">
        <v>140</v>
      </c>
      <c r="D3784" t="s">
        <v>21</v>
      </c>
      <c r="E3784" t="s">
        <v>22</v>
      </c>
      <c r="F3784" t="s">
        <v>22</v>
      </c>
      <c r="G3784">
        <v>0</v>
      </c>
      <c r="H3784">
        <v>265</v>
      </c>
      <c r="I3784">
        <v>100</v>
      </c>
      <c r="J3784">
        <v>45.05</v>
      </c>
      <c r="K3784">
        <v>147.6</v>
      </c>
      <c r="L3784">
        <v>89</v>
      </c>
      <c r="M3784">
        <v>12.55</v>
      </c>
      <c r="N3784">
        <v>247.7</v>
      </c>
      <c r="O3784">
        <v>94</v>
      </c>
      <c r="P3784">
        <v>11.15</v>
      </c>
      <c r="Q3784">
        <v>10.7</v>
      </c>
      <c r="R3784">
        <v>3</v>
      </c>
      <c r="S3784">
        <v>2.89</v>
      </c>
      <c r="T3784">
        <v>1</v>
      </c>
      <c r="U3784" t="s">
        <v>22</v>
      </c>
      <c r="V3784" t="e">
        <f>IF(#REF! = "yes", 1, 0)</f>
        <v>#REF!</v>
      </c>
      <c r="W3784" t="e">
        <f>IF(#REF! &lt;= 1, "0-1 Calls", IF(#REF! &lt;= 3, "2-3 Calls", IF(#REF! &lt;=5, "4-5 Calls", "6+ Calls")))</f>
        <v>#REF!</v>
      </c>
      <c r="X3784" t="e">
        <f>IF(#REF! &lt;= 50, "0-50", IF(#REF! &lt;=100, "51-100", IF(#REF! &lt;= 150, "101-150", "151+")))</f>
        <v>#REF!</v>
      </c>
      <c r="Y3784" t="e">
        <f>IF(#REF! &lt;= 3, "Low Charges", "High Charges")</f>
        <v>#REF!</v>
      </c>
      <c r="Z3784" t="e">
        <f>IF(#REF!&lt;=80,"Low Calls",
IF(#REF!&lt;=120,"Medium Calls","High Calls"))</f>
        <v>#REF!</v>
      </c>
      <c r="AA3784" t="e">
        <f>IF(#REF!&lt;=15,"Low Charges",
IF(#REF!&lt;=20,"Medium Charges","High Charges"))</f>
        <v>#REF!</v>
      </c>
      <c r="AB3784" t="e">
        <f>IF(AND(#REF!&gt;180, #REF!&gt;200), "Heavy Doemstic User", IF(#REF!&gt;10, "Interntional User", IF(AND(#REF!&lt;180, #REF!&lt;200,#REF!&lt;200), "Light User", "Balanced User")))</f>
        <v>#REF!</v>
      </c>
      <c r="AC3784" t="e">
        <f>IF(#REF! = 0, "No Usage", IF(#REF! &lt;= 20, "Low Usage", IF(#REF! &lt;= 40, "Medium Usgae", "High Usage")))</f>
        <v>#REF!</v>
      </c>
      <c r="AD3784" t="e">
        <f>IF(#REF!&lt;=150,"Low Usage", IF(#REF!&lt;=200,"Medium Usage", IF(#REF!&lt;=250,"High Usage","Very High Usage")))</f>
        <v>#REF!</v>
      </c>
      <c r="AE3784" t="e">
        <f>IF(#REF!&lt;=5,"Low Calls", IF(#REF!&lt;=10, "Medium Calls", "High Calls"))</f>
        <v>#REF!</v>
      </c>
      <c r="AF3784" t="e">
        <f xml:space="preserve">
IF(#REF!&gt;=4,4,0)+
IF(#REF!="yes",3,0)+
IF(#REF!="High Charges",3,0)+
IF(#REF!&gt;250,4,0)+
IF(#REF!="no",1,0)+
IF(#REF!="Heavy Domestic User",2,0)</f>
        <v>#REF!</v>
      </c>
      <c r="AG3784" t="e">
        <f>IF(#REF!&gt;=10,"High Risk", IF(#REF!&gt;=5,"Medium Risk","Low Risk"))</f>
        <v>#REF!</v>
      </c>
      <c r="AH3784" t="e">
        <f>#REF! + #REF! + #REF! + #REF!</f>
        <v>#REF!</v>
      </c>
    </row>
    <row r="3785" spans="1:34" x14ac:dyDescent="0.35">
      <c r="A3785">
        <v>3784</v>
      </c>
      <c r="B3785" t="s">
        <v>71</v>
      </c>
      <c r="C3785">
        <v>93</v>
      </c>
      <c r="D3785" t="s">
        <v>25</v>
      </c>
      <c r="E3785" t="s">
        <v>22</v>
      </c>
      <c r="F3785" t="s">
        <v>22</v>
      </c>
      <c r="G3785">
        <v>0</v>
      </c>
      <c r="H3785">
        <v>172.3</v>
      </c>
      <c r="I3785">
        <v>135</v>
      </c>
      <c r="J3785">
        <v>29.29</v>
      </c>
      <c r="K3785">
        <v>318.7</v>
      </c>
      <c r="L3785">
        <v>95</v>
      </c>
      <c r="M3785">
        <v>27.09</v>
      </c>
      <c r="N3785">
        <v>131.5</v>
      </c>
      <c r="O3785">
        <v>104</v>
      </c>
      <c r="P3785">
        <v>5.92</v>
      </c>
      <c r="Q3785">
        <v>11.5</v>
      </c>
      <c r="R3785">
        <v>4</v>
      </c>
      <c r="S3785">
        <v>3.11</v>
      </c>
      <c r="T3785">
        <v>3</v>
      </c>
      <c r="U3785" t="s">
        <v>22</v>
      </c>
      <c r="V3785" t="e">
        <f>IF(#REF! = "yes", 1, 0)</f>
        <v>#REF!</v>
      </c>
      <c r="W3785" t="e">
        <f>IF(#REF! &lt;= 1, "0-1 Calls", IF(#REF! &lt;= 3, "2-3 Calls", IF(#REF! &lt;=5, "4-5 Calls", "6+ Calls")))</f>
        <v>#REF!</v>
      </c>
      <c r="X3785" t="e">
        <f>IF(#REF! &lt;= 50, "0-50", IF(#REF! &lt;=100, "51-100", IF(#REF! &lt;= 150, "101-150", "151+")))</f>
        <v>#REF!</v>
      </c>
      <c r="Y3785" t="e">
        <f>IF(#REF! &lt;= 3, "Low Charges", "High Charges")</f>
        <v>#REF!</v>
      </c>
      <c r="Z3785" t="e">
        <f>IF(#REF!&lt;=80,"Low Calls",
IF(#REF!&lt;=120,"Medium Calls","High Calls"))</f>
        <v>#REF!</v>
      </c>
      <c r="AA3785" t="e">
        <f>IF(#REF!&lt;=15,"Low Charges",
IF(#REF!&lt;=20,"Medium Charges","High Charges"))</f>
        <v>#REF!</v>
      </c>
      <c r="AB3785" t="e">
        <f>IF(AND(#REF!&gt;180, #REF!&gt;200), "Heavy Doemstic User", IF(#REF!&gt;10, "Interntional User", IF(AND(#REF!&lt;180, #REF!&lt;200,#REF!&lt;200), "Light User", "Balanced User")))</f>
        <v>#REF!</v>
      </c>
      <c r="AC3785" t="e">
        <f>IF(#REF! = 0, "No Usage", IF(#REF! &lt;= 20, "Low Usage", IF(#REF! &lt;= 40, "Medium Usgae", "High Usage")))</f>
        <v>#REF!</v>
      </c>
      <c r="AD3785" t="e">
        <f>IF(#REF!&lt;=150,"Low Usage", IF(#REF!&lt;=200,"Medium Usage", IF(#REF!&lt;=250,"High Usage","Very High Usage")))</f>
        <v>#REF!</v>
      </c>
      <c r="AE3785" t="e">
        <f>IF(#REF!&lt;=5,"Low Calls", IF(#REF!&lt;=10, "Medium Calls", "High Calls"))</f>
        <v>#REF!</v>
      </c>
      <c r="AF3785" t="e">
        <f xml:space="preserve">
IF(#REF!&gt;=4,4,0)+
IF(#REF!="yes",3,0)+
IF(#REF!="High Charges",3,0)+
IF(#REF!&gt;250,4,0)+
IF(#REF!="no",1,0)+
IF(#REF!="Heavy Domestic User",2,0)</f>
        <v>#REF!</v>
      </c>
      <c r="AG3785" t="e">
        <f>IF(#REF!&gt;=10,"High Risk", IF(#REF!&gt;=5,"Medium Risk","Low Risk"))</f>
        <v>#REF!</v>
      </c>
      <c r="AH3785" t="e">
        <f>#REF! + #REF! + #REF! + #REF!</f>
        <v>#REF!</v>
      </c>
    </row>
    <row r="3786" spans="1:34" x14ac:dyDescent="0.35">
      <c r="A3786">
        <v>3785</v>
      </c>
      <c r="B3786" t="s">
        <v>37</v>
      </c>
      <c r="C3786">
        <v>90</v>
      </c>
      <c r="D3786" t="s">
        <v>21</v>
      </c>
      <c r="E3786" t="s">
        <v>22</v>
      </c>
      <c r="F3786" t="s">
        <v>22</v>
      </c>
      <c r="G3786">
        <v>0</v>
      </c>
      <c r="H3786">
        <v>259.10000000000002</v>
      </c>
      <c r="I3786">
        <v>140</v>
      </c>
      <c r="J3786">
        <v>44.05</v>
      </c>
      <c r="K3786">
        <v>124</v>
      </c>
      <c r="L3786">
        <v>119</v>
      </c>
      <c r="M3786">
        <v>10.54</v>
      </c>
      <c r="N3786">
        <v>188.3</v>
      </c>
      <c r="O3786">
        <v>79</v>
      </c>
      <c r="P3786">
        <v>8.4700000000000006</v>
      </c>
      <c r="Q3786">
        <v>12.8</v>
      </c>
      <c r="R3786">
        <v>3</v>
      </c>
      <c r="S3786">
        <v>3.46</v>
      </c>
      <c r="T3786">
        <v>0</v>
      </c>
      <c r="U3786" t="s">
        <v>22</v>
      </c>
      <c r="V3786" t="e">
        <f>IF(#REF! = "yes", 1, 0)</f>
        <v>#REF!</v>
      </c>
      <c r="W3786" t="e">
        <f>IF(#REF! &lt;= 1, "0-1 Calls", IF(#REF! &lt;= 3, "2-3 Calls", IF(#REF! &lt;=5, "4-5 Calls", "6+ Calls")))</f>
        <v>#REF!</v>
      </c>
      <c r="X3786" t="e">
        <f>IF(#REF! &lt;= 50, "0-50", IF(#REF! &lt;=100, "51-100", IF(#REF! &lt;= 150, "101-150", "151+")))</f>
        <v>#REF!</v>
      </c>
      <c r="Y3786" t="e">
        <f>IF(#REF! &lt;= 3, "Low Charges", "High Charges")</f>
        <v>#REF!</v>
      </c>
      <c r="Z3786" t="e">
        <f>IF(#REF!&lt;=80,"Low Calls",
IF(#REF!&lt;=120,"Medium Calls","High Calls"))</f>
        <v>#REF!</v>
      </c>
      <c r="AA3786" t="e">
        <f>IF(#REF!&lt;=15,"Low Charges",
IF(#REF!&lt;=20,"Medium Charges","High Charges"))</f>
        <v>#REF!</v>
      </c>
      <c r="AB3786" t="e">
        <f>IF(AND(#REF!&gt;180, #REF!&gt;200), "Heavy Doemstic User", IF(#REF!&gt;10, "Interntional User", IF(AND(#REF!&lt;180, #REF!&lt;200,#REF!&lt;200), "Light User", "Balanced User")))</f>
        <v>#REF!</v>
      </c>
      <c r="AC3786" t="e">
        <f>IF(#REF! = 0, "No Usage", IF(#REF! &lt;= 20, "Low Usage", IF(#REF! &lt;= 40, "Medium Usgae", "High Usage")))</f>
        <v>#REF!</v>
      </c>
      <c r="AD3786" t="e">
        <f>IF(#REF!&lt;=150,"Low Usage", IF(#REF!&lt;=200,"Medium Usage", IF(#REF!&lt;=250,"High Usage","Very High Usage")))</f>
        <v>#REF!</v>
      </c>
      <c r="AE3786" t="e">
        <f>IF(#REF!&lt;=5,"Low Calls", IF(#REF!&lt;=10, "Medium Calls", "High Calls"))</f>
        <v>#REF!</v>
      </c>
      <c r="AF3786" t="e">
        <f xml:space="preserve">
IF(#REF!&gt;=4,4,0)+
IF(#REF!="yes",3,0)+
IF(#REF!="High Charges",3,0)+
IF(#REF!&gt;250,4,0)+
IF(#REF!="no",1,0)+
IF(#REF!="Heavy Domestic User",2,0)</f>
        <v>#REF!</v>
      </c>
      <c r="AG3786" t="e">
        <f>IF(#REF!&gt;=10,"High Risk", IF(#REF!&gt;=5,"Medium Risk","Low Risk"))</f>
        <v>#REF!</v>
      </c>
      <c r="AH3786" t="e">
        <f>#REF! + #REF! + #REF! + #REF!</f>
        <v>#REF!</v>
      </c>
    </row>
    <row r="3787" spans="1:34" x14ac:dyDescent="0.35">
      <c r="A3787">
        <v>3786</v>
      </c>
      <c r="B3787" t="s">
        <v>48</v>
      </c>
      <c r="C3787">
        <v>130</v>
      </c>
      <c r="D3787" t="s">
        <v>21</v>
      </c>
      <c r="E3787" t="s">
        <v>22</v>
      </c>
      <c r="F3787" t="s">
        <v>22</v>
      </c>
      <c r="G3787">
        <v>0</v>
      </c>
      <c r="H3787">
        <v>211.4</v>
      </c>
      <c r="I3787">
        <v>91</v>
      </c>
      <c r="J3787">
        <v>35.94</v>
      </c>
      <c r="K3787">
        <v>191</v>
      </c>
      <c r="L3787">
        <v>62</v>
      </c>
      <c r="M3787">
        <v>16.239999999999998</v>
      </c>
      <c r="N3787">
        <v>207.3</v>
      </c>
      <c r="O3787">
        <v>109</v>
      </c>
      <c r="P3787">
        <v>9.33</v>
      </c>
      <c r="Q3787">
        <v>11.6</v>
      </c>
      <c r="R3787">
        <v>3</v>
      </c>
      <c r="S3787">
        <v>3.13</v>
      </c>
      <c r="T3787">
        <v>1</v>
      </c>
      <c r="U3787" t="s">
        <v>22</v>
      </c>
      <c r="V3787" t="e">
        <f>IF(#REF! = "yes", 1, 0)</f>
        <v>#REF!</v>
      </c>
      <c r="W3787" t="e">
        <f>IF(#REF! &lt;= 1, "0-1 Calls", IF(#REF! &lt;= 3, "2-3 Calls", IF(#REF! &lt;=5, "4-5 Calls", "6+ Calls")))</f>
        <v>#REF!</v>
      </c>
      <c r="X3787" t="e">
        <f>IF(#REF! &lt;= 50, "0-50", IF(#REF! &lt;=100, "51-100", IF(#REF! &lt;= 150, "101-150", "151+")))</f>
        <v>#REF!</v>
      </c>
      <c r="Y3787" t="e">
        <f>IF(#REF! &lt;= 3, "Low Charges", "High Charges")</f>
        <v>#REF!</v>
      </c>
      <c r="Z3787" t="e">
        <f>IF(#REF!&lt;=80,"Low Calls",
IF(#REF!&lt;=120,"Medium Calls","High Calls"))</f>
        <v>#REF!</v>
      </c>
      <c r="AA3787" t="e">
        <f>IF(#REF!&lt;=15,"Low Charges",
IF(#REF!&lt;=20,"Medium Charges","High Charges"))</f>
        <v>#REF!</v>
      </c>
      <c r="AB3787" t="e">
        <f>IF(AND(#REF!&gt;180, #REF!&gt;200), "Heavy Doemstic User", IF(#REF!&gt;10, "Interntional User", IF(AND(#REF!&lt;180, #REF!&lt;200,#REF!&lt;200), "Light User", "Balanced User")))</f>
        <v>#REF!</v>
      </c>
      <c r="AC3787" t="e">
        <f>IF(#REF! = 0, "No Usage", IF(#REF! &lt;= 20, "Low Usage", IF(#REF! &lt;= 40, "Medium Usgae", "High Usage")))</f>
        <v>#REF!</v>
      </c>
      <c r="AD3787" t="e">
        <f>IF(#REF!&lt;=150,"Low Usage", IF(#REF!&lt;=200,"Medium Usage", IF(#REF!&lt;=250,"High Usage","Very High Usage")))</f>
        <v>#REF!</v>
      </c>
      <c r="AE3787" t="e">
        <f>IF(#REF!&lt;=5,"Low Calls", IF(#REF!&lt;=10, "Medium Calls", "High Calls"))</f>
        <v>#REF!</v>
      </c>
      <c r="AF3787" t="e">
        <f xml:space="preserve">
IF(#REF!&gt;=4,4,0)+
IF(#REF!="yes",3,0)+
IF(#REF!="High Charges",3,0)+
IF(#REF!&gt;250,4,0)+
IF(#REF!="no",1,0)+
IF(#REF!="Heavy Domestic User",2,0)</f>
        <v>#REF!</v>
      </c>
      <c r="AG3787" t="e">
        <f>IF(#REF!&gt;=10,"High Risk", IF(#REF!&gt;=5,"Medium Risk","Low Risk"))</f>
        <v>#REF!</v>
      </c>
      <c r="AH3787" t="e">
        <f>#REF! + #REF! + #REF! + #REF!</f>
        <v>#REF!</v>
      </c>
    </row>
    <row r="3788" spans="1:34" x14ac:dyDescent="0.35">
      <c r="A3788">
        <v>3787</v>
      </c>
      <c r="B3788" t="s">
        <v>70</v>
      </c>
      <c r="C3788">
        <v>121</v>
      </c>
      <c r="D3788" t="s">
        <v>25</v>
      </c>
      <c r="E3788" t="s">
        <v>23</v>
      </c>
      <c r="F3788" t="s">
        <v>22</v>
      </c>
      <c r="G3788">
        <v>0</v>
      </c>
      <c r="H3788">
        <v>175.9</v>
      </c>
      <c r="I3788">
        <v>87</v>
      </c>
      <c r="J3788">
        <v>29.9</v>
      </c>
      <c r="K3788">
        <v>225.3</v>
      </c>
      <c r="L3788">
        <v>114</v>
      </c>
      <c r="M3788">
        <v>19.149999999999999</v>
      </c>
      <c r="N3788">
        <v>156.19999999999999</v>
      </c>
      <c r="O3788">
        <v>113</v>
      </c>
      <c r="P3788">
        <v>7.03</v>
      </c>
      <c r="Q3788">
        <v>10.4</v>
      </c>
      <c r="R3788">
        <v>3</v>
      </c>
      <c r="S3788">
        <v>2.81</v>
      </c>
      <c r="T3788">
        <v>2</v>
      </c>
      <c r="U3788" t="s">
        <v>22</v>
      </c>
      <c r="V3788" t="e">
        <f>IF(#REF! = "yes", 1, 0)</f>
        <v>#REF!</v>
      </c>
      <c r="W3788" t="e">
        <f>IF(#REF! &lt;= 1, "0-1 Calls", IF(#REF! &lt;= 3, "2-3 Calls", IF(#REF! &lt;=5, "4-5 Calls", "6+ Calls")))</f>
        <v>#REF!</v>
      </c>
      <c r="X3788" t="e">
        <f>IF(#REF! &lt;= 50, "0-50", IF(#REF! &lt;=100, "51-100", IF(#REF! &lt;= 150, "101-150", "151+")))</f>
        <v>#REF!</v>
      </c>
      <c r="Y3788" t="e">
        <f>IF(#REF! &lt;= 3, "Low Charges", "High Charges")</f>
        <v>#REF!</v>
      </c>
      <c r="Z3788" t="e">
        <f>IF(#REF!&lt;=80,"Low Calls",
IF(#REF!&lt;=120,"Medium Calls","High Calls"))</f>
        <v>#REF!</v>
      </c>
      <c r="AA3788" t="e">
        <f>IF(#REF!&lt;=15,"Low Charges",
IF(#REF!&lt;=20,"Medium Charges","High Charges"))</f>
        <v>#REF!</v>
      </c>
      <c r="AB3788" t="e">
        <f>IF(AND(#REF!&gt;180, #REF!&gt;200), "Heavy Doemstic User", IF(#REF!&gt;10, "Interntional User", IF(AND(#REF!&lt;180, #REF!&lt;200,#REF!&lt;200), "Light User", "Balanced User")))</f>
        <v>#REF!</v>
      </c>
      <c r="AC3788" t="e">
        <f>IF(#REF! = 0, "No Usage", IF(#REF! &lt;= 20, "Low Usage", IF(#REF! &lt;= 40, "Medium Usgae", "High Usage")))</f>
        <v>#REF!</v>
      </c>
      <c r="AD3788" t="e">
        <f>IF(#REF!&lt;=150,"Low Usage", IF(#REF!&lt;=200,"Medium Usage", IF(#REF!&lt;=250,"High Usage","Very High Usage")))</f>
        <v>#REF!</v>
      </c>
      <c r="AE3788" t="e">
        <f>IF(#REF!&lt;=5,"Low Calls", IF(#REF!&lt;=10, "Medium Calls", "High Calls"))</f>
        <v>#REF!</v>
      </c>
      <c r="AF3788" t="e">
        <f xml:space="preserve">
IF(#REF!&gt;=4,4,0)+
IF(#REF!="yes",3,0)+
IF(#REF!="High Charges",3,0)+
IF(#REF!&gt;250,4,0)+
IF(#REF!="no",1,0)+
IF(#REF!="Heavy Domestic User",2,0)</f>
        <v>#REF!</v>
      </c>
      <c r="AG3788" t="e">
        <f>IF(#REF!&gt;=10,"High Risk", IF(#REF!&gt;=5,"Medium Risk","Low Risk"))</f>
        <v>#REF!</v>
      </c>
      <c r="AH3788" t="e">
        <f>#REF! + #REF! + #REF! + #REF!</f>
        <v>#REF!</v>
      </c>
    </row>
    <row r="3789" spans="1:34" x14ac:dyDescent="0.35">
      <c r="A3789">
        <v>3788</v>
      </c>
      <c r="B3789" t="s">
        <v>31</v>
      </c>
      <c r="C3789">
        <v>94</v>
      </c>
      <c r="D3789" t="s">
        <v>21</v>
      </c>
      <c r="E3789" t="s">
        <v>23</v>
      </c>
      <c r="F3789" t="s">
        <v>23</v>
      </c>
      <c r="G3789">
        <v>39</v>
      </c>
      <c r="H3789">
        <v>115.5</v>
      </c>
      <c r="I3789">
        <v>90</v>
      </c>
      <c r="J3789">
        <v>19.64</v>
      </c>
      <c r="K3789">
        <v>122.5</v>
      </c>
      <c r="L3789">
        <v>99</v>
      </c>
      <c r="M3789">
        <v>10.41</v>
      </c>
      <c r="N3789">
        <v>197.7</v>
      </c>
      <c r="O3789">
        <v>110</v>
      </c>
      <c r="P3789">
        <v>8.9</v>
      </c>
      <c r="Q3789">
        <v>7</v>
      </c>
      <c r="R3789">
        <v>3</v>
      </c>
      <c r="S3789">
        <v>1.89</v>
      </c>
      <c r="T3789">
        <v>0</v>
      </c>
      <c r="U3789" t="s">
        <v>22</v>
      </c>
      <c r="V3789" t="e">
        <f>IF(#REF! = "yes", 1, 0)</f>
        <v>#REF!</v>
      </c>
      <c r="W3789" t="e">
        <f>IF(#REF! &lt;= 1, "0-1 Calls", IF(#REF! &lt;= 3, "2-3 Calls", IF(#REF! &lt;=5, "4-5 Calls", "6+ Calls")))</f>
        <v>#REF!</v>
      </c>
      <c r="X3789" t="e">
        <f>IF(#REF! &lt;= 50, "0-50", IF(#REF! &lt;=100, "51-100", IF(#REF! &lt;= 150, "101-150", "151+")))</f>
        <v>#REF!</v>
      </c>
      <c r="Y3789" t="e">
        <f>IF(#REF! &lt;= 3, "Low Charges", "High Charges")</f>
        <v>#REF!</v>
      </c>
      <c r="Z3789" t="e">
        <f>IF(#REF!&lt;=80,"Low Calls",
IF(#REF!&lt;=120,"Medium Calls","High Calls"))</f>
        <v>#REF!</v>
      </c>
      <c r="AA3789" t="e">
        <f>IF(#REF!&lt;=15,"Low Charges",
IF(#REF!&lt;=20,"Medium Charges","High Charges"))</f>
        <v>#REF!</v>
      </c>
      <c r="AB3789" t="e">
        <f>IF(AND(#REF!&gt;180, #REF!&gt;200), "Heavy Doemstic User", IF(#REF!&gt;10, "Interntional User", IF(AND(#REF!&lt;180, #REF!&lt;200,#REF!&lt;200), "Light User", "Balanced User")))</f>
        <v>#REF!</v>
      </c>
      <c r="AC3789" t="e">
        <f>IF(#REF! = 0, "No Usage", IF(#REF! &lt;= 20, "Low Usage", IF(#REF! &lt;= 40, "Medium Usgae", "High Usage")))</f>
        <v>#REF!</v>
      </c>
      <c r="AD3789" t="e">
        <f>IF(#REF!&lt;=150,"Low Usage", IF(#REF!&lt;=200,"Medium Usage", IF(#REF!&lt;=250,"High Usage","Very High Usage")))</f>
        <v>#REF!</v>
      </c>
      <c r="AE3789" t="e">
        <f>IF(#REF!&lt;=5,"Low Calls", IF(#REF!&lt;=10, "Medium Calls", "High Calls"))</f>
        <v>#REF!</v>
      </c>
      <c r="AF3789" t="e">
        <f xml:space="preserve">
IF(#REF!&gt;=4,4,0)+
IF(#REF!="yes",3,0)+
IF(#REF!="High Charges",3,0)+
IF(#REF!&gt;250,4,0)+
IF(#REF!="no",1,0)+
IF(#REF!="Heavy Domestic User",2,0)</f>
        <v>#REF!</v>
      </c>
      <c r="AG3789" t="e">
        <f>IF(#REF!&gt;=10,"High Risk", IF(#REF!&gt;=5,"Medium Risk","Low Risk"))</f>
        <v>#REF!</v>
      </c>
      <c r="AH3789" t="e">
        <f>#REF! + #REF! + #REF! + #REF!</f>
        <v>#REF!</v>
      </c>
    </row>
    <row r="3790" spans="1:34" x14ac:dyDescent="0.35">
      <c r="A3790">
        <v>3789</v>
      </c>
      <c r="B3790" t="s">
        <v>67</v>
      </c>
      <c r="C3790">
        <v>76</v>
      </c>
      <c r="D3790" t="s">
        <v>25</v>
      </c>
      <c r="E3790" t="s">
        <v>22</v>
      </c>
      <c r="F3790" t="s">
        <v>22</v>
      </c>
      <c r="G3790">
        <v>0</v>
      </c>
      <c r="H3790">
        <v>193</v>
      </c>
      <c r="I3790">
        <v>82</v>
      </c>
      <c r="J3790">
        <v>32.81</v>
      </c>
      <c r="K3790">
        <v>200.8</v>
      </c>
      <c r="L3790">
        <v>109</v>
      </c>
      <c r="M3790">
        <v>17.07</v>
      </c>
      <c r="N3790">
        <v>135.9</v>
      </c>
      <c r="O3790">
        <v>79</v>
      </c>
      <c r="P3790">
        <v>6.12</v>
      </c>
      <c r="Q3790">
        <v>14.4</v>
      </c>
      <c r="R3790">
        <v>3</v>
      </c>
      <c r="S3790">
        <v>3.89</v>
      </c>
      <c r="T3790">
        <v>0</v>
      </c>
      <c r="U3790" t="s">
        <v>22</v>
      </c>
      <c r="V3790" t="e">
        <f>IF(#REF! = "yes", 1, 0)</f>
        <v>#REF!</v>
      </c>
      <c r="W3790" t="e">
        <f>IF(#REF! &lt;= 1, "0-1 Calls", IF(#REF! &lt;= 3, "2-3 Calls", IF(#REF! &lt;=5, "4-5 Calls", "6+ Calls")))</f>
        <v>#REF!</v>
      </c>
      <c r="X3790" t="e">
        <f>IF(#REF! &lt;= 50, "0-50", IF(#REF! &lt;=100, "51-100", IF(#REF! &lt;= 150, "101-150", "151+")))</f>
        <v>#REF!</v>
      </c>
      <c r="Y3790" t="e">
        <f>IF(#REF! &lt;= 3, "Low Charges", "High Charges")</f>
        <v>#REF!</v>
      </c>
      <c r="Z3790" t="e">
        <f>IF(#REF!&lt;=80,"Low Calls",
IF(#REF!&lt;=120,"Medium Calls","High Calls"))</f>
        <v>#REF!</v>
      </c>
      <c r="AA3790" t="e">
        <f>IF(#REF!&lt;=15,"Low Charges",
IF(#REF!&lt;=20,"Medium Charges","High Charges"))</f>
        <v>#REF!</v>
      </c>
      <c r="AB3790" t="e">
        <f>IF(AND(#REF!&gt;180, #REF!&gt;200), "Heavy Doemstic User", IF(#REF!&gt;10, "Interntional User", IF(AND(#REF!&lt;180, #REF!&lt;200,#REF!&lt;200), "Light User", "Balanced User")))</f>
        <v>#REF!</v>
      </c>
      <c r="AC3790" t="e">
        <f>IF(#REF! = 0, "No Usage", IF(#REF! &lt;= 20, "Low Usage", IF(#REF! &lt;= 40, "Medium Usgae", "High Usage")))</f>
        <v>#REF!</v>
      </c>
      <c r="AD3790" t="e">
        <f>IF(#REF!&lt;=150,"Low Usage", IF(#REF!&lt;=200,"Medium Usage", IF(#REF!&lt;=250,"High Usage","Very High Usage")))</f>
        <v>#REF!</v>
      </c>
      <c r="AE3790" t="e">
        <f>IF(#REF!&lt;=5,"Low Calls", IF(#REF!&lt;=10, "Medium Calls", "High Calls"))</f>
        <v>#REF!</v>
      </c>
      <c r="AF3790" t="e">
        <f xml:space="preserve">
IF(#REF!&gt;=4,4,0)+
IF(#REF!="yes",3,0)+
IF(#REF!="High Charges",3,0)+
IF(#REF!&gt;250,4,0)+
IF(#REF!="no",1,0)+
IF(#REF!="Heavy Domestic User",2,0)</f>
        <v>#REF!</v>
      </c>
      <c r="AG3790" t="e">
        <f>IF(#REF!&gt;=10,"High Risk", IF(#REF!&gt;=5,"Medium Risk","Low Risk"))</f>
        <v>#REF!</v>
      </c>
      <c r="AH3790" t="e">
        <f>#REF! + #REF! + #REF! + #REF!</f>
        <v>#REF!</v>
      </c>
    </row>
    <row r="3791" spans="1:34" x14ac:dyDescent="0.35">
      <c r="A3791">
        <v>3790</v>
      </c>
      <c r="B3791" t="s">
        <v>67</v>
      </c>
      <c r="C3791">
        <v>69</v>
      </c>
      <c r="D3791" t="s">
        <v>28</v>
      </c>
      <c r="E3791" t="s">
        <v>22</v>
      </c>
      <c r="F3791" t="s">
        <v>22</v>
      </c>
      <c r="G3791">
        <v>0</v>
      </c>
      <c r="H3791">
        <v>167.4</v>
      </c>
      <c r="I3791">
        <v>105</v>
      </c>
      <c r="J3791">
        <v>28.46</v>
      </c>
      <c r="K3791">
        <v>121.5</v>
      </c>
      <c r="L3791">
        <v>142</v>
      </c>
      <c r="M3791">
        <v>10.33</v>
      </c>
      <c r="N3791">
        <v>209.3</v>
      </c>
      <c r="O3791">
        <v>83</v>
      </c>
      <c r="P3791">
        <v>9.42</v>
      </c>
      <c r="Q3791">
        <v>16</v>
      </c>
      <c r="R3791">
        <v>2</v>
      </c>
      <c r="S3791">
        <v>4.32</v>
      </c>
      <c r="T3791">
        <v>1</v>
      </c>
      <c r="U3791" t="s">
        <v>22</v>
      </c>
      <c r="V3791" t="e">
        <f>IF(#REF! = "yes", 1, 0)</f>
        <v>#REF!</v>
      </c>
      <c r="W3791" t="e">
        <f>IF(#REF! &lt;= 1, "0-1 Calls", IF(#REF! &lt;= 3, "2-3 Calls", IF(#REF! &lt;=5, "4-5 Calls", "6+ Calls")))</f>
        <v>#REF!</v>
      </c>
      <c r="X3791" t="e">
        <f>IF(#REF! &lt;= 50, "0-50", IF(#REF! &lt;=100, "51-100", IF(#REF! &lt;= 150, "101-150", "151+")))</f>
        <v>#REF!</v>
      </c>
      <c r="Y3791" t="e">
        <f>IF(#REF! &lt;= 3, "Low Charges", "High Charges")</f>
        <v>#REF!</v>
      </c>
      <c r="Z3791" t="e">
        <f>IF(#REF!&lt;=80,"Low Calls",
IF(#REF!&lt;=120,"Medium Calls","High Calls"))</f>
        <v>#REF!</v>
      </c>
      <c r="AA3791" t="e">
        <f>IF(#REF!&lt;=15,"Low Charges",
IF(#REF!&lt;=20,"Medium Charges","High Charges"))</f>
        <v>#REF!</v>
      </c>
      <c r="AB3791" t="e">
        <f>IF(AND(#REF!&gt;180, #REF!&gt;200), "Heavy Doemstic User", IF(#REF!&gt;10, "Interntional User", IF(AND(#REF!&lt;180, #REF!&lt;200,#REF!&lt;200), "Light User", "Balanced User")))</f>
        <v>#REF!</v>
      </c>
      <c r="AC3791" t="e">
        <f>IF(#REF! = 0, "No Usage", IF(#REF! &lt;= 20, "Low Usage", IF(#REF! &lt;= 40, "Medium Usgae", "High Usage")))</f>
        <v>#REF!</v>
      </c>
      <c r="AD3791" t="e">
        <f>IF(#REF!&lt;=150,"Low Usage", IF(#REF!&lt;=200,"Medium Usage", IF(#REF!&lt;=250,"High Usage","Very High Usage")))</f>
        <v>#REF!</v>
      </c>
      <c r="AE3791" t="e">
        <f>IF(#REF!&lt;=5,"Low Calls", IF(#REF!&lt;=10, "Medium Calls", "High Calls"))</f>
        <v>#REF!</v>
      </c>
      <c r="AF3791" t="e">
        <f xml:space="preserve">
IF(#REF!&gt;=4,4,0)+
IF(#REF!="yes",3,0)+
IF(#REF!="High Charges",3,0)+
IF(#REF!&gt;250,4,0)+
IF(#REF!="no",1,0)+
IF(#REF!="Heavy Domestic User",2,0)</f>
        <v>#REF!</v>
      </c>
      <c r="AG3791" t="e">
        <f>IF(#REF!&gt;=10,"High Risk", IF(#REF!&gt;=5,"Medium Risk","Low Risk"))</f>
        <v>#REF!</v>
      </c>
      <c r="AH3791" t="e">
        <f>#REF! + #REF! + #REF! + #REF!</f>
        <v>#REF!</v>
      </c>
    </row>
    <row r="3792" spans="1:34" x14ac:dyDescent="0.35">
      <c r="A3792">
        <v>3791</v>
      </c>
      <c r="B3792" t="s">
        <v>43</v>
      </c>
      <c r="C3792">
        <v>117</v>
      </c>
      <c r="D3792" t="s">
        <v>21</v>
      </c>
      <c r="E3792" t="s">
        <v>22</v>
      </c>
      <c r="F3792" t="s">
        <v>23</v>
      </c>
      <c r="G3792">
        <v>35</v>
      </c>
      <c r="H3792">
        <v>190.7</v>
      </c>
      <c r="I3792">
        <v>100</v>
      </c>
      <c r="J3792">
        <v>32.42</v>
      </c>
      <c r="K3792">
        <v>209.7</v>
      </c>
      <c r="L3792">
        <v>107</v>
      </c>
      <c r="M3792">
        <v>17.82</v>
      </c>
      <c r="N3792">
        <v>202.5</v>
      </c>
      <c r="O3792">
        <v>101</v>
      </c>
      <c r="P3792">
        <v>9.11</v>
      </c>
      <c r="Q3792">
        <v>12.4</v>
      </c>
      <c r="R3792">
        <v>5</v>
      </c>
      <c r="S3792">
        <v>3.35</v>
      </c>
      <c r="T3792">
        <v>1</v>
      </c>
      <c r="U3792" t="s">
        <v>22</v>
      </c>
      <c r="V3792" t="e">
        <f>IF(#REF! = "yes", 1, 0)</f>
        <v>#REF!</v>
      </c>
      <c r="W3792" t="e">
        <f>IF(#REF! &lt;= 1, "0-1 Calls", IF(#REF! &lt;= 3, "2-3 Calls", IF(#REF! &lt;=5, "4-5 Calls", "6+ Calls")))</f>
        <v>#REF!</v>
      </c>
      <c r="X3792" t="e">
        <f>IF(#REF! &lt;= 50, "0-50", IF(#REF! &lt;=100, "51-100", IF(#REF! &lt;= 150, "101-150", "151+")))</f>
        <v>#REF!</v>
      </c>
      <c r="Y3792" t="e">
        <f>IF(#REF! &lt;= 3, "Low Charges", "High Charges")</f>
        <v>#REF!</v>
      </c>
      <c r="Z3792" t="e">
        <f>IF(#REF!&lt;=80,"Low Calls",
IF(#REF!&lt;=120,"Medium Calls","High Calls"))</f>
        <v>#REF!</v>
      </c>
      <c r="AA3792" t="e">
        <f>IF(#REF!&lt;=15,"Low Charges",
IF(#REF!&lt;=20,"Medium Charges","High Charges"))</f>
        <v>#REF!</v>
      </c>
      <c r="AB3792" t="e">
        <f>IF(AND(#REF!&gt;180, #REF!&gt;200), "Heavy Doemstic User", IF(#REF!&gt;10, "Interntional User", IF(AND(#REF!&lt;180, #REF!&lt;200,#REF!&lt;200), "Light User", "Balanced User")))</f>
        <v>#REF!</v>
      </c>
      <c r="AC3792" t="e">
        <f>IF(#REF! = 0, "No Usage", IF(#REF! &lt;= 20, "Low Usage", IF(#REF! &lt;= 40, "Medium Usgae", "High Usage")))</f>
        <v>#REF!</v>
      </c>
      <c r="AD3792" t="e">
        <f>IF(#REF!&lt;=150,"Low Usage", IF(#REF!&lt;=200,"Medium Usage", IF(#REF!&lt;=250,"High Usage","Very High Usage")))</f>
        <v>#REF!</v>
      </c>
      <c r="AE3792" t="e">
        <f>IF(#REF!&lt;=5,"Low Calls", IF(#REF!&lt;=10, "Medium Calls", "High Calls"))</f>
        <v>#REF!</v>
      </c>
      <c r="AF3792" t="e">
        <f xml:space="preserve">
IF(#REF!&gt;=4,4,0)+
IF(#REF!="yes",3,0)+
IF(#REF!="High Charges",3,0)+
IF(#REF!&gt;250,4,0)+
IF(#REF!="no",1,0)+
IF(#REF!="Heavy Domestic User",2,0)</f>
        <v>#REF!</v>
      </c>
      <c r="AG3792" t="e">
        <f>IF(#REF!&gt;=10,"High Risk", IF(#REF!&gt;=5,"Medium Risk","Low Risk"))</f>
        <v>#REF!</v>
      </c>
      <c r="AH3792" t="e">
        <f>#REF! + #REF! + #REF! + #REF!</f>
        <v>#REF!</v>
      </c>
    </row>
    <row r="3793" spans="1:34" x14ac:dyDescent="0.35">
      <c r="A3793">
        <v>3792</v>
      </c>
      <c r="B3793" t="s">
        <v>70</v>
      </c>
      <c r="C3793">
        <v>70</v>
      </c>
      <c r="D3793" t="s">
        <v>21</v>
      </c>
      <c r="E3793" t="s">
        <v>22</v>
      </c>
      <c r="F3793" t="s">
        <v>22</v>
      </c>
      <c r="G3793">
        <v>0</v>
      </c>
      <c r="H3793">
        <v>325.5</v>
      </c>
      <c r="I3793">
        <v>128</v>
      </c>
      <c r="J3793">
        <v>55.34</v>
      </c>
      <c r="K3793">
        <v>300.3</v>
      </c>
      <c r="L3793">
        <v>105</v>
      </c>
      <c r="M3793">
        <v>25.53</v>
      </c>
      <c r="N3793">
        <v>199.8</v>
      </c>
      <c r="O3793">
        <v>93</v>
      </c>
      <c r="P3793">
        <v>8.99</v>
      </c>
      <c r="Q3793">
        <v>5.7</v>
      </c>
      <c r="R3793">
        <v>7</v>
      </c>
      <c r="S3793">
        <v>1.54</v>
      </c>
      <c r="T3793">
        <v>1</v>
      </c>
      <c r="U3793" t="s">
        <v>23</v>
      </c>
      <c r="V3793" t="e">
        <f>IF(#REF! = "yes", 1, 0)</f>
        <v>#REF!</v>
      </c>
      <c r="W3793" t="e">
        <f>IF(#REF! &lt;= 1, "0-1 Calls", IF(#REF! &lt;= 3, "2-3 Calls", IF(#REF! &lt;=5, "4-5 Calls", "6+ Calls")))</f>
        <v>#REF!</v>
      </c>
      <c r="X3793" t="e">
        <f>IF(#REF! &lt;= 50, "0-50", IF(#REF! &lt;=100, "51-100", IF(#REF! &lt;= 150, "101-150", "151+")))</f>
        <v>#REF!</v>
      </c>
      <c r="Y3793" t="e">
        <f>IF(#REF! &lt;= 3, "Low Charges", "High Charges")</f>
        <v>#REF!</v>
      </c>
      <c r="Z3793" t="e">
        <f>IF(#REF!&lt;=80,"Low Calls",
IF(#REF!&lt;=120,"Medium Calls","High Calls"))</f>
        <v>#REF!</v>
      </c>
      <c r="AA3793" t="e">
        <f>IF(#REF!&lt;=15,"Low Charges",
IF(#REF!&lt;=20,"Medium Charges","High Charges"))</f>
        <v>#REF!</v>
      </c>
      <c r="AB3793" t="e">
        <f>IF(AND(#REF!&gt;180, #REF!&gt;200), "Heavy Doemstic User", IF(#REF!&gt;10, "Interntional User", IF(AND(#REF!&lt;180, #REF!&lt;200,#REF!&lt;200), "Light User", "Balanced User")))</f>
        <v>#REF!</v>
      </c>
      <c r="AC3793" t="e">
        <f>IF(#REF! = 0, "No Usage", IF(#REF! &lt;= 20, "Low Usage", IF(#REF! &lt;= 40, "Medium Usgae", "High Usage")))</f>
        <v>#REF!</v>
      </c>
      <c r="AD3793" t="e">
        <f>IF(#REF!&lt;=150,"Low Usage", IF(#REF!&lt;=200,"Medium Usage", IF(#REF!&lt;=250,"High Usage","Very High Usage")))</f>
        <v>#REF!</v>
      </c>
      <c r="AE3793" t="e">
        <f>IF(#REF!&lt;=5,"Low Calls", IF(#REF!&lt;=10, "Medium Calls", "High Calls"))</f>
        <v>#REF!</v>
      </c>
      <c r="AF3793" t="e">
        <f xml:space="preserve">
IF(#REF!&gt;=4,4,0)+
IF(#REF!="yes",3,0)+
IF(#REF!="High Charges",3,0)+
IF(#REF!&gt;250,4,0)+
IF(#REF!="no",1,0)+
IF(#REF!="Heavy Domestic User",2,0)</f>
        <v>#REF!</v>
      </c>
      <c r="AG3793" t="e">
        <f>IF(#REF!&gt;=10,"High Risk", IF(#REF!&gt;=5,"Medium Risk","Low Risk"))</f>
        <v>#REF!</v>
      </c>
      <c r="AH3793" t="e">
        <f>#REF! + #REF! + #REF! + #REF!</f>
        <v>#REF!</v>
      </c>
    </row>
    <row r="3794" spans="1:34" x14ac:dyDescent="0.35">
      <c r="A3794">
        <v>3793</v>
      </c>
      <c r="B3794" t="s">
        <v>37</v>
      </c>
      <c r="C3794">
        <v>130</v>
      </c>
      <c r="D3794" t="s">
        <v>21</v>
      </c>
      <c r="E3794" t="s">
        <v>22</v>
      </c>
      <c r="F3794" t="s">
        <v>22</v>
      </c>
      <c r="G3794">
        <v>0</v>
      </c>
      <c r="H3794">
        <v>139</v>
      </c>
      <c r="I3794">
        <v>98</v>
      </c>
      <c r="J3794">
        <v>23.63</v>
      </c>
      <c r="K3794">
        <v>120.2</v>
      </c>
      <c r="L3794">
        <v>116</v>
      </c>
      <c r="M3794">
        <v>10.220000000000001</v>
      </c>
      <c r="N3794">
        <v>160.4</v>
      </c>
      <c r="O3794">
        <v>113</v>
      </c>
      <c r="P3794">
        <v>7.22</v>
      </c>
      <c r="Q3794">
        <v>14.5</v>
      </c>
      <c r="R3794">
        <v>2</v>
      </c>
      <c r="S3794">
        <v>3.92</v>
      </c>
      <c r="T3794">
        <v>3</v>
      </c>
      <c r="U3794" t="s">
        <v>22</v>
      </c>
      <c r="V3794" t="e">
        <f>IF(#REF! = "yes", 1, 0)</f>
        <v>#REF!</v>
      </c>
      <c r="W3794" t="e">
        <f>IF(#REF! &lt;= 1, "0-1 Calls", IF(#REF! &lt;= 3, "2-3 Calls", IF(#REF! &lt;=5, "4-5 Calls", "6+ Calls")))</f>
        <v>#REF!</v>
      </c>
      <c r="X3794" t="e">
        <f>IF(#REF! &lt;= 50, "0-50", IF(#REF! &lt;=100, "51-100", IF(#REF! &lt;= 150, "101-150", "151+")))</f>
        <v>#REF!</v>
      </c>
      <c r="Y3794" t="e">
        <f>IF(#REF! &lt;= 3, "Low Charges", "High Charges")</f>
        <v>#REF!</v>
      </c>
      <c r="Z3794" t="e">
        <f>IF(#REF!&lt;=80,"Low Calls",
IF(#REF!&lt;=120,"Medium Calls","High Calls"))</f>
        <v>#REF!</v>
      </c>
      <c r="AA3794" t="e">
        <f>IF(#REF!&lt;=15,"Low Charges",
IF(#REF!&lt;=20,"Medium Charges","High Charges"))</f>
        <v>#REF!</v>
      </c>
      <c r="AB3794" t="e">
        <f>IF(AND(#REF!&gt;180, #REF!&gt;200), "Heavy Doemstic User", IF(#REF!&gt;10, "Interntional User", IF(AND(#REF!&lt;180, #REF!&lt;200,#REF!&lt;200), "Light User", "Balanced User")))</f>
        <v>#REF!</v>
      </c>
      <c r="AC3794" t="e">
        <f>IF(#REF! = 0, "No Usage", IF(#REF! &lt;= 20, "Low Usage", IF(#REF! &lt;= 40, "Medium Usgae", "High Usage")))</f>
        <v>#REF!</v>
      </c>
      <c r="AD3794" t="e">
        <f>IF(#REF!&lt;=150,"Low Usage", IF(#REF!&lt;=200,"Medium Usage", IF(#REF!&lt;=250,"High Usage","Very High Usage")))</f>
        <v>#REF!</v>
      </c>
      <c r="AE3794" t="e">
        <f>IF(#REF!&lt;=5,"Low Calls", IF(#REF!&lt;=10, "Medium Calls", "High Calls"))</f>
        <v>#REF!</v>
      </c>
      <c r="AF3794" t="e">
        <f xml:space="preserve">
IF(#REF!&gt;=4,4,0)+
IF(#REF!="yes",3,0)+
IF(#REF!="High Charges",3,0)+
IF(#REF!&gt;250,4,0)+
IF(#REF!="no",1,0)+
IF(#REF!="Heavy Domestic User",2,0)</f>
        <v>#REF!</v>
      </c>
      <c r="AG3794" t="e">
        <f>IF(#REF!&gt;=10,"High Risk", IF(#REF!&gt;=5,"Medium Risk","Low Risk"))</f>
        <v>#REF!</v>
      </c>
      <c r="AH3794" t="e">
        <f>#REF! + #REF! + #REF! + #REF!</f>
        <v>#REF!</v>
      </c>
    </row>
    <row r="3795" spans="1:34" x14ac:dyDescent="0.35">
      <c r="A3795">
        <v>3794</v>
      </c>
      <c r="B3795" t="s">
        <v>47</v>
      </c>
      <c r="C3795">
        <v>109</v>
      </c>
      <c r="D3795" t="s">
        <v>21</v>
      </c>
      <c r="E3795" t="s">
        <v>22</v>
      </c>
      <c r="F3795" t="s">
        <v>23</v>
      </c>
      <c r="G3795">
        <v>40</v>
      </c>
      <c r="H3795">
        <v>155.9</v>
      </c>
      <c r="I3795">
        <v>110</v>
      </c>
      <c r="J3795">
        <v>26.5</v>
      </c>
      <c r="K3795">
        <v>161.19999999999999</v>
      </c>
      <c r="L3795">
        <v>99</v>
      </c>
      <c r="M3795">
        <v>13.7</v>
      </c>
      <c r="N3795">
        <v>229.2</v>
      </c>
      <c r="O3795">
        <v>81</v>
      </c>
      <c r="P3795">
        <v>10.31</v>
      </c>
      <c r="Q3795">
        <v>11.5</v>
      </c>
      <c r="R3795">
        <v>13</v>
      </c>
      <c r="S3795">
        <v>3.11</v>
      </c>
      <c r="T3795">
        <v>0</v>
      </c>
      <c r="U3795" t="s">
        <v>22</v>
      </c>
      <c r="V3795" t="e">
        <f>IF(#REF! = "yes", 1, 0)</f>
        <v>#REF!</v>
      </c>
      <c r="W3795" t="e">
        <f>IF(#REF! &lt;= 1, "0-1 Calls", IF(#REF! &lt;= 3, "2-3 Calls", IF(#REF! &lt;=5, "4-5 Calls", "6+ Calls")))</f>
        <v>#REF!</v>
      </c>
      <c r="X3795" t="e">
        <f>IF(#REF! &lt;= 50, "0-50", IF(#REF! &lt;=100, "51-100", IF(#REF! &lt;= 150, "101-150", "151+")))</f>
        <v>#REF!</v>
      </c>
      <c r="Y3795" t="e">
        <f>IF(#REF! &lt;= 3, "Low Charges", "High Charges")</f>
        <v>#REF!</v>
      </c>
      <c r="Z3795" t="e">
        <f>IF(#REF!&lt;=80,"Low Calls",
IF(#REF!&lt;=120,"Medium Calls","High Calls"))</f>
        <v>#REF!</v>
      </c>
      <c r="AA3795" t="e">
        <f>IF(#REF!&lt;=15,"Low Charges",
IF(#REF!&lt;=20,"Medium Charges","High Charges"))</f>
        <v>#REF!</v>
      </c>
      <c r="AB3795" t="e">
        <f>IF(AND(#REF!&gt;180, #REF!&gt;200), "Heavy Doemstic User", IF(#REF!&gt;10, "Interntional User", IF(AND(#REF!&lt;180, #REF!&lt;200,#REF!&lt;200), "Light User", "Balanced User")))</f>
        <v>#REF!</v>
      </c>
      <c r="AC3795" t="e">
        <f>IF(#REF! = 0, "No Usage", IF(#REF! &lt;= 20, "Low Usage", IF(#REF! &lt;= 40, "Medium Usgae", "High Usage")))</f>
        <v>#REF!</v>
      </c>
      <c r="AD3795" t="e">
        <f>IF(#REF!&lt;=150,"Low Usage", IF(#REF!&lt;=200,"Medium Usage", IF(#REF!&lt;=250,"High Usage","Very High Usage")))</f>
        <v>#REF!</v>
      </c>
      <c r="AE3795" t="e">
        <f>IF(#REF!&lt;=5,"Low Calls", IF(#REF!&lt;=10, "Medium Calls", "High Calls"))</f>
        <v>#REF!</v>
      </c>
      <c r="AF3795" t="e">
        <f xml:space="preserve">
IF(#REF!&gt;=4,4,0)+
IF(#REF!="yes",3,0)+
IF(#REF!="High Charges",3,0)+
IF(#REF!&gt;250,4,0)+
IF(#REF!="no",1,0)+
IF(#REF!="Heavy Domestic User",2,0)</f>
        <v>#REF!</v>
      </c>
      <c r="AG3795" t="e">
        <f>IF(#REF!&gt;=10,"High Risk", IF(#REF!&gt;=5,"Medium Risk","Low Risk"))</f>
        <v>#REF!</v>
      </c>
      <c r="AH3795" t="e">
        <f>#REF! + #REF! + #REF! + #REF!</f>
        <v>#REF!</v>
      </c>
    </row>
    <row r="3796" spans="1:34" x14ac:dyDescent="0.35">
      <c r="A3796">
        <v>3795</v>
      </c>
      <c r="B3796" t="s">
        <v>67</v>
      </c>
      <c r="C3796">
        <v>115</v>
      </c>
      <c r="D3796" t="s">
        <v>21</v>
      </c>
      <c r="E3796" t="s">
        <v>22</v>
      </c>
      <c r="F3796" t="s">
        <v>22</v>
      </c>
      <c r="G3796">
        <v>0</v>
      </c>
      <c r="H3796">
        <v>182.1</v>
      </c>
      <c r="I3796">
        <v>97</v>
      </c>
      <c r="J3796">
        <v>30.96</v>
      </c>
      <c r="K3796">
        <v>231.1</v>
      </c>
      <c r="L3796">
        <v>76</v>
      </c>
      <c r="M3796">
        <v>19.64</v>
      </c>
      <c r="N3796">
        <v>246.2</v>
      </c>
      <c r="O3796">
        <v>103</v>
      </c>
      <c r="P3796">
        <v>11.08</v>
      </c>
      <c r="Q3796">
        <v>15</v>
      </c>
      <c r="R3796">
        <v>2</v>
      </c>
      <c r="S3796">
        <v>4.05</v>
      </c>
      <c r="T3796">
        <v>0</v>
      </c>
      <c r="U3796" t="s">
        <v>22</v>
      </c>
      <c r="V3796" t="e">
        <f>IF(#REF! = "yes", 1, 0)</f>
        <v>#REF!</v>
      </c>
      <c r="W3796" t="e">
        <f>IF(#REF! &lt;= 1, "0-1 Calls", IF(#REF! &lt;= 3, "2-3 Calls", IF(#REF! &lt;=5, "4-5 Calls", "6+ Calls")))</f>
        <v>#REF!</v>
      </c>
      <c r="X3796" t="e">
        <f>IF(#REF! &lt;= 50, "0-50", IF(#REF! &lt;=100, "51-100", IF(#REF! &lt;= 150, "101-150", "151+")))</f>
        <v>#REF!</v>
      </c>
      <c r="Y3796" t="e">
        <f>IF(#REF! &lt;= 3, "Low Charges", "High Charges")</f>
        <v>#REF!</v>
      </c>
      <c r="Z3796" t="e">
        <f>IF(#REF!&lt;=80,"Low Calls",
IF(#REF!&lt;=120,"Medium Calls","High Calls"))</f>
        <v>#REF!</v>
      </c>
      <c r="AA3796" t="e">
        <f>IF(#REF!&lt;=15,"Low Charges",
IF(#REF!&lt;=20,"Medium Charges","High Charges"))</f>
        <v>#REF!</v>
      </c>
      <c r="AB3796" t="e">
        <f>IF(AND(#REF!&gt;180, #REF!&gt;200), "Heavy Doemstic User", IF(#REF!&gt;10, "Interntional User", IF(AND(#REF!&lt;180, #REF!&lt;200,#REF!&lt;200), "Light User", "Balanced User")))</f>
        <v>#REF!</v>
      </c>
      <c r="AC3796" t="e">
        <f>IF(#REF! = 0, "No Usage", IF(#REF! &lt;= 20, "Low Usage", IF(#REF! &lt;= 40, "Medium Usgae", "High Usage")))</f>
        <v>#REF!</v>
      </c>
      <c r="AD3796" t="e">
        <f>IF(#REF!&lt;=150,"Low Usage", IF(#REF!&lt;=200,"Medium Usage", IF(#REF!&lt;=250,"High Usage","Very High Usage")))</f>
        <v>#REF!</v>
      </c>
      <c r="AE3796" t="e">
        <f>IF(#REF!&lt;=5,"Low Calls", IF(#REF!&lt;=10, "Medium Calls", "High Calls"))</f>
        <v>#REF!</v>
      </c>
      <c r="AF3796" t="e">
        <f xml:space="preserve">
IF(#REF!&gt;=4,4,0)+
IF(#REF!="yes",3,0)+
IF(#REF!="High Charges",3,0)+
IF(#REF!&gt;250,4,0)+
IF(#REF!="no",1,0)+
IF(#REF!="Heavy Domestic User",2,0)</f>
        <v>#REF!</v>
      </c>
      <c r="AG3796" t="e">
        <f>IF(#REF!&gt;=10,"High Risk", IF(#REF!&gt;=5,"Medium Risk","Low Risk"))</f>
        <v>#REF!</v>
      </c>
      <c r="AH3796" t="e">
        <f>#REF! + #REF! + #REF! + #REF!</f>
        <v>#REF!</v>
      </c>
    </row>
    <row r="3797" spans="1:34" x14ac:dyDescent="0.35">
      <c r="A3797">
        <v>3796</v>
      </c>
      <c r="B3797" t="s">
        <v>36</v>
      </c>
      <c r="C3797">
        <v>114</v>
      </c>
      <c r="D3797" t="s">
        <v>25</v>
      </c>
      <c r="E3797" t="s">
        <v>22</v>
      </c>
      <c r="F3797" t="s">
        <v>22</v>
      </c>
      <c r="G3797">
        <v>0</v>
      </c>
      <c r="H3797">
        <v>139.80000000000001</v>
      </c>
      <c r="I3797">
        <v>152</v>
      </c>
      <c r="J3797">
        <v>23.77</v>
      </c>
      <c r="K3797">
        <v>215.9</v>
      </c>
      <c r="L3797">
        <v>76</v>
      </c>
      <c r="M3797">
        <v>18.350000000000001</v>
      </c>
      <c r="N3797">
        <v>96.9</v>
      </c>
      <c r="O3797">
        <v>111</v>
      </c>
      <c r="P3797">
        <v>4.3600000000000003</v>
      </c>
      <c r="Q3797">
        <v>7.9</v>
      </c>
      <c r="R3797">
        <v>10</v>
      </c>
      <c r="S3797">
        <v>2.13</v>
      </c>
      <c r="T3797">
        <v>2</v>
      </c>
      <c r="U3797" t="s">
        <v>22</v>
      </c>
      <c r="V3797" t="e">
        <f>IF(#REF! = "yes", 1, 0)</f>
        <v>#REF!</v>
      </c>
      <c r="W3797" t="e">
        <f>IF(#REF! &lt;= 1, "0-1 Calls", IF(#REF! &lt;= 3, "2-3 Calls", IF(#REF! &lt;=5, "4-5 Calls", "6+ Calls")))</f>
        <v>#REF!</v>
      </c>
      <c r="X3797" t="e">
        <f>IF(#REF! &lt;= 50, "0-50", IF(#REF! &lt;=100, "51-100", IF(#REF! &lt;= 150, "101-150", "151+")))</f>
        <v>#REF!</v>
      </c>
      <c r="Y3797" t="e">
        <f>IF(#REF! &lt;= 3, "Low Charges", "High Charges")</f>
        <v>#REF!</v>
      </c>
      <c r="Z3797" t="e">
        <f>IF(#REF!&lt;=80,"Low Calls",
IF(#REF!&lt;=120,"Medium Calls","High Calls"))</f>
        <v>#REF!</v>
      </c>
      <c r="AA3797" t="e">
        <f>IF(#REF!&lt;=15,"Low Charges",
IF(#REF!&lt;=20,"Medium Charges","High Charges"))</f>
        <v>#REF!</v>
      </c>
      <c r="AB3797" t="e">
        <f>IF(AND(#REF!&gt;180, #REF!&gt;200), "Heavy Doemstic User", IF(#REF!&gt;10, "Interntional User", IF(AND(#REF!&lt;180, #REF!&lt;200,#REF!&lt;200), "Light User", "Balanced User")))</f>
        <v>#REF!</v>
      </c>
      <c r="AC3797" t="e">
        <f>IF(#REF! = 0, "No Usage", IF(#REF! &lt;= 20, "Low Usage", IF(#REF! &lt;= 40, "Medium Usgae", "High Usage")))</f>
        <v>#REF!</v>
      </c>
      <c r="AD3797" t="e">
        <f>IF(#REF!&lt;=150,"Low Usage", IF(#REF!&lt;=200,"Medium Usage", IF(#REF!&lt;=250,"High Usage","Very High Usage")))</f>
        <v>#REF!</v>
      </c>
      <c r="AE3797" t="e">
        <f>IF(#REF!&lt;=5,"Low Calls", IF(#REF!&lt;=10, "Medium Calls", "High Calls"))</f>
        <v>#REF!</v>
      </c>
      <c r="AF3797" t="e">
        <f xml:space="preserve">
IF(#REF!&gt;=4,4,0)+
IF(#REF!="yes",3,0)+
IF(#REF!="High Charges",3,0)+
IF(#REF!&gt;250,4,0)+
IF(#REF!="no",1,0)+
IF(#REF!="Heavy Domestic User",2,0)</f>
        <v>#REF!</v>
      </c>
      <c r="AG3797" t="e">
        <f>IF(#REF!&gt;=10,"High Risk", IF(#REF!&gt;=5,"Medium Risk","Low Risk"))</f>
        <v>#REF!</v>
      </c>
      <c r="AH3797" t="e">
        <f>#REF! + #REF! + #REF! + #REF!</f>
        <v>#REF!</v>
      </c>
    </row>
    <row r="3798" spans="1:34" x14ac:dyDescent="0.35">
      <c r="A3798">
        <v>3797</v>
      </c>
      <c r="B3798" t="s">
        <v>20</v>
      </c>
      <c r="C3798">
        <v>135</v>
      </c>
      <c r="D3798" t="s">
        <v>28</v>
      </c>
      <c r="E3798" t="s">
        <v>22</v>
      </c>
      <c r="F3798" t="s">
        <v>22</v>
      </c>
      <c r="G3798">
        <v>0</v>
      </c>
      <c r="H3798">
        <v>112.7</v>
      </c>
      <c r="I3798">
        <v>123</v>
      </c>
      <c r="J3798">
        <v>19.16</v>
      </c>
      <c r="K3798">
        <v>280</v>
      </c>
      <c r="L3798">
        <v>90</v>
      </c>
      <c r="M3798">
        <v>23.8</v>
      </c>
      <c r="N3798">
        <v>251.9</v>
      </c>
      <c r="O3798">
        <v>110</v>
      </c>
      <c r="P3798">
        <v>11.34</v>
      </c>
      <c r="Q3798">
        <v>10.4</v>
      </c>
      <c r="R3798">
        <v>2</v>
      </c>
      <c r="S3798">
        <v>2.81</v>
      </c>
      <c r="T3798">
        <v>0</v>
      </c>
      <c r="U3798" t="s">
        <v>22</v>
      </c>
      <c r="V3798" t="e">
        <f>IF(#REF! = "yes", 1, 0)</f>
        <v>#REF!</v>
      </c>
      <c r="W3798" t="e">
        <f>IF(#REF! &lt;= 1, "0-1 Calls", IF(#REF! &lt;= 3, "2-3 Calls", IF(#REF! &lt;=5, "4-5 Calls", "6+ Calls")))</f>
        <v>#REF!</v>
      </c>
      <c r="X3798" t="e">
        <f>IF(#REF! &lt;= 50, "0-50", IF(#REF! &lt;=100, "51-100", IF(#REF! &lt;= 150, "101-150", "151+")))</f>
        <v>#REF!</v>
      </c>
      <c r="Y3798" t="e">
        <f>IF(#REF! &lt;= 3, "Low Charges", "High Charges")</f>
        <v>#REF!</v>
      </c>
      <c r="Z3798" t="e">
        <f>IF(#REF!&lt;=80,"Low Calls",
IF(#REF!&lt;=120,"Medium Calls","High Calls"))</f>
        <v>#REF!</v>
      </c>
      <c r="AA3798" t="e">
        <f>IF(#REF!&lt;=15,"Low Charges",
IF(#REF!&lt;=20,"Medium Charges","High Charges"))</f>
        <v>#REF!</v>
      </c>
      <c r="AB3798" t="e">
        <f>IF(AND(#REF!&gt;180, #REF!&gt;200), "Heavy Doemstic User", IF(#REF!&gt;10, "Interntional User", IF(AND(#REF!&lt;180, #REF!&lt;200,#REF!&lt;200), "Light User", "Balanced User")))</f>
        <v>#REF!</v>
      </c>
      <c r="AC3798" t="e">
        <f>IF(#REF! = 0, "No Usage", IF(#REF! &lt;= 20, "Low Usage", IF(#REF! &lt;= 40, "Medium Usgae", "High Usage")))</f>
        <v>#REF!</v>
      </c>
      <c r="AD3798" t="e">
        <f>IF(#REF!&lt;=150,"Low Usage", IF(#REF!&lt;=200,"Medium Usage", IF(#REF!&lt;=250,"High Usage","Very High Usage")))</f>
        <v>#REF!</v>
      </c>
      <c r="AE3798" t="e">
        <f>IF(#REF!&lt;=5,"Low Calls", IF(#REF!&lt;=10, "Medium Calls", "High Calls"))</f>
        <v>#REF!</v>
      </c>
      <c r="AF3798" t="e">
        <f xml:space="preserve">
IF(#REF!&gt;=4,4,0)+
IF(#REF!="yes",3,0)+
IF(#REF!="High Charges",3,0)+
IF(#REF!&gt;250,4,0)+
IF(#REF!="no",1,0)+
IF(#REF!="Heavy Domestic User",2,0)</f>
        <v>#REF!</v>
      </c>
      <c r="AG3798" t="e">
        <f>IF(#REF!&gt;=10,"High Risk", IF(#REF!&gt;=5,"Medium Risk","Low Risk"))</f>
        <v>#REF!</v>
      </c>
      <c r="AH3798" t="e">
        <f>#REF! + #REF! + #REF! + #REF!</f>
        <v>#REF!</v>
      </c>
    </row>
    <row r="3799" spans="1:34" x14ac:dyDescent="0.35">
      <c r="A3799">
        <v>3798</v>
      </c>
      <c r="B3799" t="s">
        <v>54</v>
      </c>
      <c r="C3799">
        <v>79</v>
      </c>
      <c r="D3799" t="s">
        <v>21</v>
      </c>
      <c r="E3799" t="s">
        <v>22</v>
      </c>
      <c r="F3799" t="s">
        <v>23</v>
      </c>
      <c r="G3799">
        <v>31</v>
      </c>
      <c r="H3799">
        <v>173.2</v>
      </c>
      <c r="I3799">
        <v>98</v>
      </c>
      <c r="J3799">
        <v>29.44</v>
      </c>
      <c r="K3799">
        <v>149.5</v>
      </c>
      <c r="L3799">
        <v>123</v>
      </c>
      <c r="M3799">
        <v>12.71</v>
      </c>
      <c r="N3799">
        <v>245.7</v>
      </c>
      <c r="O3799">
        <v>91</v>
      </c>
      <c r="P3799">
        <v>11.06</v>
      </c>
      <c r="Q3799">
        <v>11.5</v>
      </c>
      <c r="R3799">
        <v>7</v>
      </c>
      <c r="S3799">
        <v>3.11</v>
      </c>
      <c r="T3799">
        <v>1</v>
      </c>
      <c r="U3799" t="s">
        <v>22</v>
      </c>
      <c r="V3799" t="e">
        <f>IF(#REF! = "yes", 1, 0)</f>
        <v>#REF!</v>
      </c>
      <c r="W3799" t="e">
        <f>IF(#REF! &lt;= 1, "0-1 Calls", IF(#REF! &lt;= 3, "2-3 Calls", IF(#REF! &lt;=5, "4-5 Calls", "6+ Calls")))</f>
        <v>#REF!</v>
      </c>
      <c r="X3799" t="e">
        <f>IF(#REF! &lt;= 50, "0-50", IF(#REF! &lt;=100, "51-100", IF(#REF! &lt;= 150, "101-150", "151+")))</f>
        <v>#REF!</v>
      </c>
      <c r="Y3799" t="e">
        <f>IF(#REF! &lt;= 3, "Low Charges", "High Charges")</f>
        <v>#REF!</v>
      </c>
      <c r="Z3799" t="e">
        <f>IF(#REF!&lt;=80,"Low Calls",
IF(#REF!&lt;=120,"Medium Calls","High Calls"))</f>
        <v>#REF!</v>
      </c>
      <c r="AA3799" t="e">
        <f>IF(#REF!&lt;=15,"Low Charges",
IF(#REF!&lt;=20,"Medium Charges","High Charges"))</f>
        <v>#REF!</v>
      </c>
      <c r="AB3799" t="e">
        <f>IF(AND(#REF!&gt;180, #REF!&gt;200), "Heavy Doemstic User", IF(#REF!&gt;10, "Interntional User", IF(AND(#REF!&lt;180, #REF!&lt;200,#REF!&lt;200), "Light User", "Balanced User")))</f>
        <v>#REF!</v>
      </c>
      <c r="AC3799" t="e">
        <f>IF(#REF! = 0, "No Usage", IF(#REF! &lt;= 20, "Low Usage", IF(#REF! &lt;= 40, "Medium Usgae", "High Usage")))</f>
        <v>#REF!</v>
      </c>
      <c r="AD3799" t="e">
        <f>IF(#REF!&lt;=150,"Low Usage", IF(#REF!&lt;=200,"Medium Usage", IF(#REF!&lt;=250,"High Usage","Very High Usage")))</f>
        <v>#REF!</v>
      </c>
      <c r="AE3799" t="e">
        <f>IF(#REF!&lt;=5,"Low Calls", IF(#REF!&lt;=10, "Medium Calls", "High Calls"))</f>
        <v>#REF!</v>
      </c>
      <c r="AF3799" t="e">
        <f xml:space="preserve">
IF(#REF!&gt;=4,4,0)+
IF(#REF!="yes",3,0)+
IF(#REF!="High Charges",3,0)+
IF(#REF!&gt;250,4,0)+
IF(#REF!="no",1,0)+
IF(#REF!="Heavy Domestic User",2,0)</f>
        <v>#REF!</v>
      </c>
      <c r="AG3799" t="e">
        <f>IF(#REF!&gt;=10,"High Risk", IF(#REF!&gt;=5,"Medium Risk","Low Risk"))</f>
        <v>#REF!</v>
      </c>
      <c r="AH3799" t="e">
        <f>#REF! + #REF! + #REF! + #REF!</f>
        <v>#REF!</v>
      </c>
    </row>
    <row r="3800" spans="1:34" x14ac:dyDescent="0.35">
      <c r="A3800">
        <v>3799</v>
      </c>
      <c r="B3800" t="s">
        <v>33</v>
      </c>
      <c r="C3800">
        <v>123</v>
      </c>
      <c r="D3800" t="s">
        <v>25</v>
      </c>
      <c r="E3800" t="s">
        <v>22</v>
      </c>
      <c r="F3800" t="s">
        <v>22</v>
      </c>
      <c r="G3800">
        <v>0</v>
      </c>
      <c r="H3800">
        <v>225.6</v>
      </c>
      <c r="I3800">
        <v>102</v>
      </c>
      <c r="J3800">
        <v>38.35</v>
      </c>
      <c r="K3800">
        <v>225.8</v>
      </c>
      <c r="L3800">
        <v>56</v>
      </c>
      <c r="M3800">
        <v>19.190000000000001</v>
      </c>
      <c r="N3800">
        <v>186.7</v>
      </c>
      <c r="O3800">
        <v>128</v>
      </c>
      <c r="P3800">
        <v>8.4</v>
      </c>
      <c r="Q3800">
        <v>6.7</v>
      </c>
      <c r="R3800">
        <v>2</v>
      </c>
      <c r="S3800">
        <v>1.81</v>
      </c>
      <c r="T3800">
        <v>1</v>
      </c>
      <c r="U3800" t="s">
        <v>22</v>
      </c>
      <c r="V3800" t="e">
        <f>IF(#REF! = "yes", 1, 0)</f>
        <v>#REF!</v>
      </c>
      <c r="W3800" t="e">
        <f>IF(#REF! &lt;= 1, "0-1 Calls", IF(#REF! &lt;= 3, "2-3 Calls", IF(#REF! &lt;=5, "4-5 Calls", "6+ Calls")))</f>
        <v>#REF!</v>
      </c>
      <c r="X3800" t="e">
        <f>IF(#REF! &lt;= 50, "0-50", IF(#REF! &lt;=100, "51-100", IF(#REF! &lt;= 150, "101-150", "151+")))</f>
        <v>#REF!</v>
      </c>
      <c r="Y3800" t="e">
        <f>IF(#REF! &lt;= 3, "Low Charges", "High Charges")</f>
        <v>#REF!</v>
      </c>
      <c r="Z3800" t="e">
        <f>IF(#REF!&lt;=80,"Low Calls",
IF(#REF!&lt;=120,"Medium Calls","High Calls"))</f>
        <v>#REF!</v>
      </c>
      <c r="AA3800" t="e">
        <f>IF(#REF!&lt;=15,"Low Charges",
IF(#REF!&lt;=20,"Medium Charges","High Charges"))</f>
        <v>#REF!</v>
      </c>
      <c r="AB3800" t="e">
        <f>IF(AND(#REF!&gt;180, #REF!&gt;200), "Heavy Doemstic User", IF(#REF!&gt;10, "Interntional User", IF(AND(#REF!&lt;180, #REF!&lt;200,#REF!&lt;200), "Light User", "Balanced User")))</f>
        <v>#REF!</v>
      </c>
      <c r="AC3800" t="e">
        <f>IF(#REF! = 0, "No Usage", IF(#REF! &lt;= 20, "Low Usage", IF(#REF! &lt;= 40, "Medium Usgae", "High Usage")))</f>
        <v>#REF!</v>
      </c>
      <c r="AD3800" t="e">
        <f>IF(#REF!&lt;=150,"Low Usage", IF(#REF!&lt;=200,"Medium Usage", IF(#REF!&lt;=250,"High Usage","Very High Usage")))</f>
        <v>#REF!</v>
      </c>
      <c r="AE3800" t="e">
        <f>IF(#REF!&lt;=5,"Low Calls", IF(#REF!&lt;=10, "Medium Calls", "High Calls"))</f>
        <v>#REF!</v>
      </c>
      <c r="AF3800" t="e">
        <f xml:space="preserve">
IF(#REF!&gt;=4,4,0)+
IF(#REF!="yes",3,0)+
IF(#REF!="High Charges",3,0)+
IF(#REF!&gt;250,4,0)+
IF(#REF!="no",1,0)+
IF(#REF!="Heavy Domestic User",2,0)</f>
        <v>#REF!</v>
      </c>
      <c r="AG3800" t="e">
        <f>IF(#REF!&gt;=10,"High Risk", IF(#REF!&gt;=5,"Medium Risk","Low Risk"))</f>
        <v>#REF!</v>
      </c>
      <c r="AH3800" t="e">
        <f>#REF! + #REF! + #REF! + #REF!</f>
        <v>#REF!</v>
      </c>
    </row>
    <row r="3801" spans="1:34" x14ac:dyDescent="0.35">
      <c r="A3801">
        <v>3800</v>
      </c>
      <c r="B3801" t="s">
        <v>69</v>
      </c>
      <c r="C3801">
        <v>112</v>
      </c>
      <c r="D3801" t="s">
        <v>21</v>
      </c>
      <c r="E3801" t="s">
        <v>23</v>
      </c>
      <c r="F3801" t="s">
        <v>22</v>
      </c>
      <c r="G3801">
        <v>0</v>
      </c>
      <c r="H3801">
        <v>195.7</v>
      </c>
      <c r="I3801">
        <v>123</v>
      </c>
      <c r="J3801">
        <v>33.270000000000003</v>
      </c>
      <c r="K3801">
        <v>141.9</v>
      </c>
      <c r="L3801">
        <v>124</v>
      </c>
      <c r="M3801">
        <v>12.06</v>
      </c>
      <c r="N3801">
        <v>136.4</v>
      </c>
      <c r="O3801">
        <v>72</v>
      </c>
      <c r="P3801">
        <v>6.14</v>
      </c>
      <c r="Q3801">
        <v>7.9</v>
      </c>
      <c r="R3801">
        <v>6</v>
      </c>
      <c r="S3801">
        <v>2.13</v>
      </c>
      <c r="T3801">
        <v>1</v>
      </c>
      <c r="U3801" t="s">
        <v>22</v>
      </c>
      <c r="V3801" t="e">
        <f>IF(#REF! = "yes", 1, 0)</f>
        <v>#REF!</v>
      </c>
      <c r="W3801" t="e">
        <f>IF(#REF! &lt;= 1, "0-1 Calls", IF(#REF! &lt;= 3, "2-3 Calls", IF(#REF! &lt;=5, "4-5 Calls", "6+ Calls")))</f>
        <v>#REF!</v>
      </c>
      <c r="X3801" t="e">
        <f>IF(#REF! &lt;= 50, "0-50", IF(#REF! &lt;=100, "51-100", IF(#REF! &lt;= 150, "101-150", "151+")))</f>
        <v>#REF!</v>
      </c>
      <c r="Y3801" t="e">
        <f>IF(#REF! &lt;= 3, "Low Charges", "High Charges")</f>
        <v>#REF!</v>
      </c>
      <c r="Z3801" t="e">
        <f>IF(#REF!&lt;=80,"Low Calls",
IF(#REF!&lt;=120,"Medium Calls","High Calls"))</f>
        <v>#REF!</v>
      </c>
      <c r="AA3801" t="e">
        <f>IF(#REF!&lt;=15,"Low Charges",
IF(#REF!&lt;=20,"Medium Charges","High Charges"))</f>
        <v>#REF!</v>
      </c>
      <c r="AB3801" t="e">
        <f>IF(AND(#REF!&gt;180, #REF!&gt;200), "Heavy Doemstic User", IF(#REF!&gt;10, "Interntional User", IF(AND(#REF!&lt;180, #REF!&lt;200,#REF!&lt;200), "Light User", "Balanced User")))</f>
        <v>#REF!</v>
      </c>
      <c r="AC3801" t="e">
        <f>IF(#REF! = 0, "No Usage", IF(#REF! &lt;= 20, "Low Usage", IF(#REF! &lt;= 40, "Medium Usgae", "High Usage")))</f>
        <v>#REF!</v>
      </c>
      <c r="AD3801" t="e">
        <f>IF(#REF!&lt;=150,"Low Usage", IF(#REF!&lt;=200,"Medium Usage", IF(#REF!&lt;=250,"High Usage","Very High Usage")))</f>
        <v>#REF!</v>
      </c>
      <c r="AE3801" t="e">
        <f>IF(#REF!&lt;=5,"Low Calls", IF(#REF!&lt;=10, "Medium Calls", "High Calls"))</f>
        <v>#REF!</v>
      </c>
      <c r="AF3801" t="e">
        <f xml:space="preserve">
IF(#REF!&gt;=4,4,0)+
IF(#REF!="yes",3,0)+
IF(#REF!="High Charges",3,0)+
IF(#REF!&gt;250,4,0)+
IF(#REF!="no",1,0)+
IF(#REF!="Heavy Domestic User",2,0)</f>
        <v>#REF!</v>
      </c>
      <c r="AG3801" t="e">
        <f>IF(#REF!&gt;=10,"High Risk", IF(#REF!&gt;=5,"Medium Risk","Low Risk"))</f>
        <v>#REF!</v>
      </c>
      <c r="AH3801" t="e">
        <f>#REF! + #REF! + #REF! + #REF!</f>
        <v>#REF!</v>
      </c>
    </row>
    <row r="3802" spans="1:34" x14ac:dyDescent="0.35">
      <c r="A3802">
        <v>3801</v>
      </c>
      <c r="B3802" t="s">
        <v>45</v>
      </c>
      <c r="C3802">
        <v>57</v>
      </c>
      <c r="D3802" t="s">
        <v>21</v>
      </c>
      <c r="E3802" t="s">
        <v>22</v>
      </c>
      <c r="F3802" t="s">
        <v>22</v>
      </c>
      <c r="G3802">
        <v>0</v>
      </c>
      <c r="H3802">
        <v>214</v>
      </c>
      <c r="I3802">
        <v>100</v>
      </c>
      <c r="J3802">
        <v>36.380000000000003</v>
      </c>
      <c r="K3802">
        <v>209.9</v>
      </c>
      <c r="L3802">
        <v>80</v>
      </c>
      <c r="M3802">
        <v>17.84</v>
      </c>
      <c r="N3802">
        <v>105.1</v>
      </c>
      <c r="O3802">
        <v>112</v>
      </c>
      <c r="P3802">
        <v>4.7300000000000004</v>
      </c>
      <c r="Q3802">
        <v>11.3</v>
      </c>
      <c r="R3802">
        <v>1</v>
      </c>
      <c r="S3802">
        <v>3.05</v>
      </c>
      <c r="T3802">
        <v>0</v>
      </c>
      <c r="U3802" t="s">
        <v>22</v>
      </c>
      <c r="V3802" t="e">
        <f>IF(#REF! = "yes", 1, 0)</f>
        <v>#REF!</v>
      </c>
      <c r="W3802" t="e">
        <f>IF(#REF! &lt;= 1, "0-1 Calls", IF(#REF! &lt;= 3, "2-3 Calls", IF(#REF! &lt;=5, "4-5 Calls", "6+ Calls")))</f>
        <v>#REF!</v>
      </c>
      <c r="X3802" t="e">
        <f>IF(#REF! &lt;= 50, "0-50", IF(#REF! &lt;=100, "51-100", IF(#REF! &lt;= 150, "101-150", "151+")))</f>
        <v>#REF!</v>
      </c>
      <c r="Y3802" t="e">
        <f>IF(#REF! &lt;= 3, "Low Charges", "High Charges")</f>
        <v>#REF!</v>
      </c>
      <c r="Z3802" t="e">
        <f>IF(#REF!&lt;=80,"Low Calls",
IF(#REF!&lt;=120,"Medium Calls","High Calls"))</f>
        <v>#REF!</v>
      </c>
      <c r="AA3802" t="e">
        <f>IF(#REF!&lt;=15,"Low Charges",
IF(#REF!&lt;=20,"Medium Charges","High Charges"))</f>
        <v>#REF!</v>
      </c>
      <c r="AB3802" t="e">
        <f>IF(AND(#REF!&gt;180, #REF!&gt;200), "Heavy Doemstic User", IF(#REF!&gt;10, "Interntional User", IF(AND(#REF!&lt;180, #REF!&lt;200,#REF!&lt;200), "Light User", "Balanced User")))</f>
        <v>#REF!</v>
      </c>
      <c r="AC3802" t="e">
        <f>IF(#REF! = 0, "No Usage", IF(#REF! &lt;= 20, "Low Usage", IF(#REF! &lt;= 40, "Medium Usgae", "High Usage")))</f>
        <v>#REF!</v>
      </c>
      <c r="AD3802" t="e">
        <f>IF(#REF!&lt;=150,"Low Usage", IF(#REF!&lt;=200,"Medium Usage", IF(#REF!&lt;=250,"High Usage","Very High Usage")))</f>
        <v>#REF!</v>
      </c>
      <c r="AE3802" t="e">
        <f>IF(#REF!&lt;=5,"Low Calls", IF(#REF!&lt;=10, "Medium Calls", "High Calls"))</f>
        <v>#REF!</v>
      </c>
      <c r="AF3802" t="e">
        <f xml:space="preserve">
IF(#REF!&gt;=4,4,0)+
IF(#REF!="yes",3,0)+
IF(#REF!="High Charges",3,0)+
IF(#REF!&gt;250,4,0)+
IF(#REF!="no",1,0)+
IF(#REF!="Heavy Domestic User",2,0)</f>
        <v>#REF!</v>
      </c>
      <c r="AG3802" t="e">
        <f>IF(#REF!&gt;=10,"High Risk", IF(#REF!&gt;=5,"Medium Risk","Low Risk"))</f>
        <v>#REF!</v>
      </c>
      <c r="AH3802" t="e">
        <f>#REF! + #REF! + #REF! + #REF!</f>
        <v>#REF!</v>
      </c>
    </row>
    <row r="3803" spans="1:34" x14ac:dyDescent="0.35">
      <c r="A3803">
        <v>3802</v>
      </c>
      <c r="B3803" t="s">
        <v>61</v>
      </c>
      <c r="C3803">
        <v>143</v>
      </c>
      <c r="D3803" t="s">
        <v>21</v>
      </c>
      <c r="E3803" t="s">
        <v>22</v>
      </c>
      <c r="F3803" t="s">
        <v>22</v>
      </c>
      <c r="G3803">
        <v>0</v>
      </c>
      <c r="H3803">
        <v>271.7</v>
      </c>
      <c r="I3803">
        <v>67</v>
      </c>
      <c r="J3803">
        <v>46.19</v>
      </c>
      <c r="K3803">
        <v>189.1</v>
      </c>
      <c r="L3803">
        <v>155</v>
      </c>
      <c r="M3803">
        <v>16.07</v>
      </c>
      <c r="N3803">
        <v>101.1</v>
      </c>
      <c r="O3803">
        <v>55</v>
      </c>
      <c r="P3803">
        <v>4.55</v>
      </c>
      <c r="Q3803">
        <v>17.2</v>
      </c>
      <c r="R3803">
        <v>5</v>
      </c>
      <c r="S3803">
        <v>4.6399999999999997</v>
      </c>
      <c r="T3803">
        <v>1</v>
      </c>
      <c r="U3803" t="s">
        <v>22</v>
      </c>
      <c r="V3803" t="e">
        <f>IF(#REF! = "yes", 1, 0)</f>
        <v>#REF!</v>
      </c>
      <c r="W3803" t="e">
        <f>IF(#REF! &lt;= 1, "0-1 Calls", IF(#REF! &lt;= 3, "2-3 Calls", IF(#REF! &lt;=5, "4-5 Calls", "6+ Calls")))</f>
        <v>#REF!</v>
      </c>
      <c r="X3803" t="e">
        <f>IF(#REF! &lt;= 50, "0-50", IF(#REF! &lt;=100, "51-100", IF(#REF! &lt;= 150, "101-150", "151+")))</f>
        <v>#REF!</v>
      </c>
      <c r="Y3803" t="e">
        <f>IF(#REF! &lt;= 3, "Low Charges", "High Charges")</f>
        <v>#REF!</v>
      </c>
      <c r="Z3803" t="e">
        <f>IF(#REF!&lt;=80,"Low Calls",
IF(#REF!&lt;=120,"Medium Calls","High Calls"))</f>
        <v>#REF!</v>
      </c>
      <c r="AA3803" t="e">
        <f>IF(#REF!&lt;=15,"Low Charges",
IF(#REF!&lt;=20,"Medium Charges","High Charges"))</f>
        <v>#REF!</v>
      </c>
      <c r="AB3803" t="e">
        <f>IF(AND(#REF!&gt;180, #REF!&gt;200), "Heavy Doemstic User", IF(#REF!&gt;10, "Interntional User", IF(AND(#REF!&lt;180, #REF!&lt;200,#REF!&lt;200), "Light User", "Balanced User")))</f>
        <v>#REF!</v>
      </c>
      <c r="AC3803" t="e">
        <f>IF(#REF! = 0, "No Usage", IF(#REF! &lt;= 20, "Low Usage", IF(#REF! &lt;= 40, "Medium Usgae", "High Usage")))</f>
        <v>#REF!</v>
      </c>
      <c r="AD3803" t="e">
        <f>IF(#REF!&lt;=150,"Low Usage", IF(#REF!&lt;=200,"Medium Usage", IF(#REF!&lt;=250,"High Usage","Very High Usage")))</f>
        <v>#REF!</v>
      </c>
      <c r="AE3803" t="e">
        <f>IF(#REF!&lt;=5,"Low Calls", IF(#REF!&lt;=10, "Medium Calls", "High Calls"))</f>
        <v>#REF!</v>
      </c>
      <c r="AF3803" t="e">
        <f xml:space="preserve">
IF(#REF!&gt;=4,4,0)+
IF(#REF!="yes",3,0)+
IF(#REF!="High Charges",3,0)+
IF(#REF!&gt;250,4,0)+
IF(#REF!="no",1,0)+
IF(#REF!="Heavy Domestic User",2,0)</f>
        <v>#REF!</v>
      </c>
      <c r="AG3803" t="e">
        <f>IF(#REF!&gt;=10,"High Risk", IF(#REF!&gt;=5,"Medium Risk","Low Risk"))</f>
        <v>#REF!</v>
      </c>
      <c r="AH3803" t="e">
        <f>#REF! + #REF! + #REF! + #REF!</f>
        <v>#REF!</v>
      </c>
    </row>
    <row r="3804" spans="1:34" x14ac:dyDescent="0.35">
      <c r="A3804">
        <v>3803</v>
      </c>
      <c r="B3804" t="s">
        <v>55</v>
      </c>
      <c r="C3804">
        <v>107</v>
      </c>
      <c r="D3804" t="s">
        <v>28</v>
      </c>
      <c r="E3804" t="s">
        <v>22</v>
      </c>
      <c r="F3804" t="s">
        <v>22</v>
      </c>
      <c r="G3804">
        <v>0</v>
      </c>
      <c r="H3804">
        <v>257.7</v>
      </c>
      <c r="I3804">
        <v>98</v>
      </c>
      <c r="J3804">
        <v>43.81</v>
      </c>
      <c r="K3804">
        <v>156.5</v>
      </c>
      <c r="L3804">
        <v>84</v>
      </c>
      <c r="M3804">
        <v>13.3</v>
      </c>
      <c r="N3804">
        <v>104.4</v>
      </c>
      <c r="O3804">
        <v>123</v>
      </c>
      <c r="P3804">
        <v>4.7</v>
      </c>
      <c r="Q3804">
        <v>9.8000000000000007</v>
      </c>
      <c r="R3804">
        <v>3</v>
      </c>
      <c r="S3804">
        <v>2.65</v>
      </c>
      <c r="T3804">
        <v>1</v>
      </c>
      <c r="U3804" t="s">
        <v>22</v>
      </c>
      <c r="V3804" t="e">
        <f>IF(#REF! = "yes", 1, 0)</f>
        <v>#REF!</v>
      </c>
      <c r="W3804" t="e">
        <f>IF(#REF! &lt;= 1, "0-1 Calls", IF(#REF! &lt;= 3, "2-3 Calls", IF(#REF! &lt;=5, "4-5 Calls", "6+ Calls")))</f>
        <v>#REF!</v>
      </c>
      <c r="X3804" t="e">
        <f>IF(#REF! &lt;= 50, "0-50", IF(#REF! &lt;=100, "51-100", IF(#REF! &lt;= 150, "101-150", "151+")))</f>
        <v>#REF!</v>
      </c>
      <c r="Y3804" t="e">
        <f>IF(#REF! &lt;= 3, "Low Charges", "High Charges")</f>
        <v>#REF!</v>
      </c>
      <c r="Z3804" t="e">
        <f>IF(#REF!&lt;=80,"Low Calls",
IF(#REF!&lt;=120,"Medium Calls","High Calls"))</f>
        <v>#REF!</v>
      </c>
      <c r="AA3804" t="e">
        <f>IF(#REF!&lt;=15,"Low Charges",
IF(#REF!&lt;=20,"Medium Charges","High Charges"))</f>
        <v>#REF!</v>
      </c>
      <c r="AB3804" t="e">
        <f>IF(AND(#REF!&gt;180, #REF!&gt;200), "Heavy Doemstic User", IF(#REF!&gt;10, "Interntional User", IF(AND(#REF!&lt;180, #REF!&lt;200,#REF!&lt;200), "Light User", "Balanced User")))</f>
        <v>#REF!</v>
      </c>
      <c r="AC3804" t="e">
        <f>IF(#REF! = 0, "No Usage", IF(#REF! &lt;= 20, "Low Usage", IF(#REF! &lt;= 40, "Medium Usgae", "High Usage")))</f>
        <v>#REF!</v>
      </c>
      <c r="AD3804" t="e">
        <f>IF(#REF!&lt;=150,"Low Usage", IF(#REF!&lt;=200,"Medium Usage", IF(#REF!&lt;=250,"High Usage","Very High Usage")))</f>
        <v>#REF!</v>
      </c>
      <c r="AE3804" t="e">
        <f>IF(#REF!&lt;=5,"Low Calls", IF(#REF!&lt;=10, "Medium Calls", "High Calls"))</f>
        <v>#REF!</v>
      </c>
      <c r="AF3804" t="e">
        <f xml:space="preserve">
IF(#REF!&gt;=4,4,0)+
IF(#REF!="yes",3,0)+
IF(#REF!="High Charges",3,0)+
IF(#REF!&gt;250,4,0)+
IF(#REF!="no",1,0)+
IF(#REF!="Heavy Domestic User",2,0)</f>
        <v>#REF!</v>
      </c>
      <c r="AG3804" t="e">
        <f>IF(#REF!&gt;=10,"High Risk", IF(#REF!&gt;=5,"Medium Risk","Low Risk"))</f>
        <v>#REF!</v>
      </c>
      <c r="AH3804" t="e">
        <f>#REF! + #REF! + #REF! + #REF!</f>
        <v>#REF!</v>
      </c>
    </row>
    <row r="3805" spans="1:34" x14ac:dyDescent="0.35">
      <c r="A3805">
        <v>3804</v>
      </c>
      <c r="B3805" t="s">
        <v>49</v>
      </c>
      <c r="C3805">
        <v>103</v>
      </c>
      <c r="D3805" t="s">
        <v>21</v>
      </c>
      <c r="E3805" t="s">
        <v>23</v>
      </c>
      <c r="F3805" t="s">
        <v>22</v>
      </c>
      <c r="G3805">
        <v>0</v>
      </c>
      <c r="H3805">
        <v>133.19999999999999</v>
      </c>
      <c r="I3805">
        <v>90</v>
      </c>
      <c r="J3805">
        <v>22.64</v>
      </c>
      <c r="K3805">
        <v>236.8</v>
      </c>
      <c r="L3805">
        <v>70</v>
      </c>
      <c r="M3805">
        <v>20.13</v>
      </c>
      <c r="N3805">
        <v>214.1</v>
      </c>
      <c r="O3805">
        <v>120</v>
      </c>
      <c r="P3805">
        <v>9.6300000000000008</v>
      </c>
      <c r="Q3805">
        <v>12.5</v>
      </c>
      <c r="R3805">
        <v>2</v>
      </c>
      <c r="S3805">
        <v>3.38</v>
      </c>
      <c r="T3805">
        <v>1</v>
      </c>
      <c r="U3805" t="s">
        <v>23</v>
      </c>
      <c r="V3805" t="e">
        <f>IF(#REF! = "yes", 1, 0)</f>
        <v>#REF!</v>
      </c>
      <c r="W3805" t="e">
        <f>IF(#REF! &lt;= 1, "0-1 Calls", IF(#REF! &lt;= 3, "2-3 Calls", IF(#REF! &lt;=5, "4-5 Calls", "6+ Calls")))</f>
        <v>#REF!</v>
      </c>
      <c r="X3805" t="e">
        <f>IF(#REF! &lt;= 50, "0-50", IF(#REF! &lt;=100, "51-100", IF(#REF! &lt;= 150, "101-150", "151+")))</f>
        <v>#REF!</v>
      </c>
      <c r="Y3805" t="e">
        <f>IF(#REF! &lt;= 3, "Low Charges", "High Charges")</f>
        <v>#REF!</v>
      </c>
      <c r="Z3805" t="e">
        <f>IF(#REF!&lt;=80,"Low Calls",
IF(#REF!&lt;=120,"Medium Calls","High Calls"))</f>
        <v>#REF!</v>
      </c>
      <c r="AA3805" t="e">
        <f>IF(#REF!&lt;=15,"Low Charges",
IF(#REF!&lt;=20,"Medium Charges","High Charges"))</f>
        <v>#REF!</v>
      </c>
      <c r="AB3805" t="e">
        <f>IF(AND(#REF!&gt;180, #REF!&gt;200), "Heavy Doemstic User", IF(#REF!&gt;10, "Interntional User", IF(AND(#REF!&lt;180, #REF!&lt;200,#REF!&lt;200), "Light User", "Balanced User")))</f>
        <v>#REF!</v>
      </c>
      <c r="AC3805" t="e">
        <f>IF(#REF! = 0, "No Usage", IF(#REF! &lt;= 20, "Low Usage", IF(#REF! &lt;= 40, "Medium Usgae", "High Usage")))</f>
        <v>#REF!</v>
      </c>
      <c r="AD3805" t="e">
        <f>IF(#REF!&lt;=150,"Low Usage", IF(#REF!&lt;=200,"Medium Usage", IF(#REF!&lt;=250,"High Usage","Very High Usage")))</f>
        <v>#REF!</v>
      </c>
      <c r="AE3805" t="e">
        <f>IF(#REF!&lt;=5,"Low Calls", IF(#REF!&lt;=10, "Medium Calls", "High Calls"))</f>
        <v>#REF!</v>
      </c>
      <c r="AF3805" t="e">
        <f xml:space="preserve">
IF(#REF!&gt;=4,4,0)+
IF(#REF!="yes",3,0)+
IF(#REF!="High Charges",3,0)+
IF(#REF!&gt;250,4,0)+
IF(#REF!="no",1,0)+
IF(#REF!="Heavy Domestic User",2,0)</f>
        <v>#REF!</v>
      </c>
      <c r="AG3805" t="e">
        <f>IF(#REF!&gt;=10,"High Risk", IF(#REF!&gt;=5,"Medium Risk","Low Risk"))</f>
        <v>#REF!</v>
      </c>
      <c r="AH3805" t="e">
        <f>#REF! + #REF! + #REF! + #REF!</f>
        <v>#REF!</v>
      </c>
    </row>
    <row r="3806" spans="1:34" x14ac:dyDescent="0.35">
      <c r="A3806">
        <v>3805</v>
      </c>
      <c r="B3806" t="s">
        <v>34</v>
      </c>
      <c r="C3806">
        <v>157</v>
      </c>
      <c r="D3806" t="s">
        <v>21</v>
      </c>
      <c r="E3806" t="s">
        <v>22</v>
      </c>
      <c r="F3806" t="s">
        <v>22</v>
      </c>
      <c r="G3806">
        <v>0</v>
      </c>
      <c r="H3806">
        <v>248.7</v>
      </c>
      <c r="I3806">
        <v>113</v>
      </c>
      <c r="J3806">
        <v>42.28</v>
      </c>
      <c r="K3806">
        <v>251.8</v>
      </c>
      <c r="L3806">
        <v>79</v>
      </c>
      <c r="M3806">
        <v>21.4</v>
      </c>
      <c r="N3806">
        <v>262.7</v>
      </c>
      <c r="O3806">
        <v>46</v>
      </c>
      <c r="P3806">
        <v>11.82</v>
      </c>
      <c r="Q3806">
        <v>7.5</v>
      </c>
      <c r="R3806">
        <v>3</v>
      </c>
      <c r="S3806">
        <v>2.0299999999999998</v>
      </c>
      <c r="T3806">
        <v>5</v>
      </c>
      <c r="U3806" t="s">
        <v>23</v>
      </c>
      <c r="V3806" t="e">
        <f>IF(#REF! = "yes", 1, 0)</f>
        <v>#REF!</v>
      </c>
      <c r="W3806" t="e">
        <f>IF(#REF! &lt;= 1, "0-1 Calls", IF(#REF! &lt;= 3, "2-3 Calls", IF(#REF! &lt;=5, "4-5 Calls", "6+ Calls")))</f>
        <v>#REF!</v>
      </c>
      <c r="X3806" t="e">
        <f>IF(#REF! &lt;= 50, "0-50", IF(#REF! &lt;=100, "51-100", IF(#REF! &lt;= 150, "101-150", "151+")))</f>
        <v>#REF!</v>
      </c>
      <c r="Y3806" t="e">
        <f>IF(#REF! &lt;= 3, "Low Charges", "High Charges")</f>
        <v>#REF!</v>
      </c>
      <c r="Z3806" t="e">
        <f>IF(#REF!&lt;=80,"Low Calls",
IF(#REF!&lt;=120,"Medium Calls","High Calls"))</f>
        <v>#REF!</v>
      </c>
      <c r="AA3806" t="e">
        <f>IF(#REF!&lt;=15,"Low Charges",
IF(#REF!&lt;=20,"Medium Charges","High Charges"))</f>
        <v>#REF!</v>
      </c>
      <c r="AB3806" t="e">
        <f>IF(AND(#REF!&gt;180, #REF!&gt;200), "Heavy Doemstic User", IF(#REF!&gt;10, "Interntional User", IF(AND(#REF!&lt;180, #REF!&lt;200,#REF!&lt;200), "Light User", "Balanced User")))</f>
        <v>#REF!</v>
      </c>
      <c r="AC3806" t="e">
        <f>IF(#REF! = 0, "No Usage", IF(#REF! &lt;= 20, "Low Usage", IF(#REF! &lt;= 40, "Medium Usgae", "High Usage")))</f>
        <v>#REF!</v>
      </c>
      <c r="AD3806" t="e">
        <f>IF(#REF!&lt;=150,"Low Usage", IF(#REF!&lt;=200,"Medium Usage", IF(#REF!&lt;=250,"High Usage","Very High Usage")))</f>
        <v>#REF!</v>
      </c>
      <c r="AE3806" t="e">
        <f>IF(#REF!&lt;=5,"Low Calls", IF(#REF!&lt;=10, "Medium Calls", "High Calls"))</f>
        <v>#REF!</v>
      </c>
      <c r="AF3806" t="e">
        <f xml:space="preserve">
IF(#REF!&gt;=4,4,0)+
IF(#REF!="yes",3,0)+
IF(#REF!="High Charges",3,0)+
IF(#REF!&gt;250,4,0)+
IF(#REF!="no",1,0)+
IF(#REF!="Heavy Domestic User",2,0)</f>
        <v>#REF!</v>
      </c>
      <c r="AG3806" t="e">
        <f>IF(#REF!&gt;=10,"High Risk", IF(#REF!&gt;=5,"Medium Risk","Low Risk"))</f>
        <v>#REF!</v>
      </c>
      <c r="AH3806" t="e">
        <f>#REF! + #REF! + #REF! + #REF!</f>
        <v>#REF!</v>
      </c>
    </row>
    <row r="3807" spans="1:34" x14ac:dyDescent="0.35">
      <c r="A3807">
        <v>3806</v>
      </c>
      <c r="B3807" t="s">
        <v>65</v>
      </c>
      <c r="C3807">
        <v>120</v>
      </c>
      <c r="D3807" t="s">
        <v>25</v>
      </c>
      <c r="E3807" t="s">
        <v>22</v>
      </c>
      <c r="F3807" t="s">
        <v>22</v>
      </c>
      <c r="G3807">
        <v>0</v>
      </c>
      <c r="H3807">
        <v>180.8</v>
      </c>
      <c r="I3807">
        <v>93</v>
      </c>
      <c r="J3807">
        <v>30.74</v>
      </c>
      <c r="K3807">
        <v>190.1</v>
      </c>
      <c r="L3807">
        <v>82</v>
      </c>
      <c r="M3807">
        <v>16.16</v>
      </c>
      <c r="N3807">
        <v>192.3</v>
      </c>
      <c r="O3807">
        <v>66</v>
      </c>
      <c r="P3807">
        <v>8.65</v>
      </c>
      <c r="Q3807">
        <v>10.5</v>
      </c>
      <c r="R3807">
        <v>7</v>
      </c>
      <c r="S3807">
        <v>2.84</v>
      </c>
      <c r="T3807">
        <v>2</v>
      </c>
      <c r="U3807" t="s">
        <v>22</v>
      </c>
      <c r="V3807" t="e">
        <f>IF(#REF! = "yes", 1, 0)</f>
        <v>#REF!</v>
      </c>
      <c r="W3807" t="e">
        <f>IF(#REF! &lt;= 1, "0-1 Calls", IF(#REF! &lt;= 3, "2-3 Calls", IF(#REF! &lt;=5, "4-5 Calls", "6+ Calls")))</f>
        <v>#REF!</v>
      </c>
      <c r="X3807" t="e">
        <f>IF(#REF! &lt;= 50, "0-50", IF(#REF! &lt;=100, "51-100", IF(#REF! &lt;= 150, "101-150", "151+")))</f>
        <v>#REF!</v>
      </c>
      <c r="Y3807" t="e">
        <f>IF(#REF! &lt;= 3, "Low Charges", "High Charges")</f>
        <v>#REF!</v>
      </c>
      <c r="Z3807" t="e">
        <f>IF(#REF!&lt;=80,"Low Calls",
IF(#REF!&lt;=120,"Medium Calls","High Calls"))</f>
        <v>#REF!</v>
      </c>
      <c r="AA3807" t="e">
        <f>IF(#REF!&lt;=15,"Low Charges",
IF(#REF!&lt;=20,"Medium Charges","High Charges"))</f>
        <v>#REF!</v>
      </c>
      <c r="AB3807" t="e">
        <f>IF(AND(#REF!&gt;180, #REF!&gt;200), "Heavy Doemstic User", IF(#REF!&gt;10, "Interntional User", IF(AND(#REF!&lt;180, #REF!&lt;200,#REF!&lt;200), "Light User", "Balanced User")))</f>
        <v>#REF!</v>
      </c>
      <c r="AC3807" t="e">
        <f>IF(#REF! = 0, "No Usage", IF(#REF! &lt;= 20, "Low Usage", IF(#REF! &lt;= 40, "Medium Usgae", "High Usage")))</f>
        <v>#REF!</v>
      </c>
      <c r="AD3807" t="e">
        <f>IF(#REF!&lt;=150,"Low Usage", IF(#REF!&lt;=200,"Medium Usage", IF(#REF!&lt;=250,"High Usage","Very High Usage")))</f>
        <v>#REF!</v>
      </c>
      <c r="AE3807" t="e">
        <f>IF(#REF!&lt;=5,"Low Calls", IF(#REF!&lt;=10, "Medium Calls", "High Calls"))</f>
        <v>#REF!</v>
      </c>
      <c r="AF3807" t="e">
        <f xml:space="preserve">
IF(#REF!&gt;=4,4,0)+
IF(#REF!="yes",3,0)+
IF(#REF!="High Charges",3,0)+
IF(#REF!&gt;250,4,0)+
IF(#REF!="no",1,0)+
IF(#REF!="Heavy Domestic User",2,0)</f>
        <v>#REF!</v>
      </c>
      <c r="AG3807" t="e">
        <f>IF(#REF!&gt;=10,"High Risk", IF(#REF!&gt;=5,"Medium Risk","Low Risk"))</f>
        <v>#REF!</v>
      </c>
      <c r="AH3807" t="e">
        <f>#REF! + #REF! + #REF! + #REF!</f>
        <v>#REF!</v>
      </c>
    </row>
    <row r="3808" spans="1:34" x14ac:dyDescent="0.35">
      <c r="A3808">
        <v>3807</v>
      </c>
      <c r="B3808" t="s">
        <v>64</v>
      </c>
      <c r="C3808">
        <v>81</v>
      </c>
      <c r="D3808" t="s">
        <v>21</v>
      </c>
      <c r="E3808" t="s">
        <v>23</v>
      </c>
      <c r="F3808" t="s">
        <v>23</v>
      </c>
      <c r="G3808">
        <v>32</v>
      </c>
      <c r="H3808">
        <v>229</v>
      </c>
      <c r="I3808">
        <v>80</v>
      </c>
      <c r="J3808">
        <v>38.93</v>
      </c>
      <c r="K3808">
        <v>221</v>
      </c>
      <c r="L3808">
        <v>113</v>
      </c>
      <c r="M3808">
        <v>18.79</v>
      </c>
      <c r="N3808">
        <v>291.39999999999998</v>
      </c>
      <c r="O3808">
        <v>91</v>
      </c>
      <c r="P3808">
        <v>13.11</v>
      </c>
      <c r="Q3808">
        <v>12.4</v>
      </c>
      <c r="R3808">
        <v>5</v>
      </c>
      <c r="S3808">
        <v>3.35</v>
      </c>
      <c r="T3808">
        <v>1</v>
      </c>
      <c r="U3808" t="s">
        <v>22</v>
      </c>
      <c r="V3808" t="e">
        <f>IF(#REF! = "yes", 1, 0)</f>
        <v>#REF!</v>
      </c>
      <c r="W3808" t="e">
        <f>IF(#REF! &lt;= 1, "0-1 Calls", IF(#REF! &lt;= 3, "2-3 Calls", IF(#REF! &lt;=5, "4-5 Calls", "6+ Calls")))</f>
        <v>#REF!</v>
      </c>
      <c r="X3808" t="e">
        <f>IF(#REF! &lt;= 50, "0-50", IF(#REF! &lt;=100, "51-100", IF(#REF! &lt;= 150, "101-150", "151+")))</f>
        <v>#REF!</v>
      </c>
      <c r="Y3808" t="e">
        <f>IF(#REF! &lt;= 3, "Low Charges", "High Charges")</f>
        <v>#REF!</v>
      </c>
      <c r="Z3808" t="e">
        <f>IF(#REF!&lt;=80,"Low Calls",
IF(#REF!&lt;=120,"Medium Calls","High Calls"))</f>
        <v>#REF!</v>
      </c>
      <c r="AA3808" t="e">
        <f>IF(#REF!&lt;=15,"Low Charges",
IF(#REF!&lt;=20,"Medium Charges","High Charges"))</f>
        <v>#REF!</v>
      </c>
      <c r="AB3808" t="e">
        <f>IF(AND(#REF!&gt;180, #REF!&gt;200), "Heavy Doemstic User", IF(#REF!&gt;10, "Interntional User", IF(AND(#REF!&lt;180, #REF!&lt;200,#REF!&lt;200), "Light User", "Balanced User")))</f>
        <v>#REF!</v>
      </c>
      <c r="AC3808" t="e">
        <f>IF(#REF! = 0, "No Usage", IF(#REF! &lt;= 20, "Low Usage", IF(#REF! &lt;= 40, "Medium Usgae", "High Usage")))</f>
        <v>#REF!</v>
      </c>
      <c r="AD3808" t="e">
        <f>IF(#REF!&lt;=150,"Low Usage", IF(#REF!&lt;=200,"Medium Usage", IF(#REF!&lt;=250,"High Usage","Very High Usage")))</f>
        <v>#REF!</v>
      </c>
      <c r="AE3808" t="e">
        <f>IF(#REF!&lt;=5,"Low Calls", IF(#REF!&lt;=10, "Medium Calls", "High Calls"))</f>
        <v>#REF!</v>
      </c>
      <c r="AF3808" t="e">
        <f xml:space="preserve">
IF(#REF!&gt;=4,4,0)+
IF(#REF!="yes",3,0)+
IF(#REF!="High Charges",3,0)+
IF(#REF!&gt;250,4,0)+
IF(#REF!="no",1,0)+
IF(#REF!="Heavy Domestic User",2,0)</f>
        <v>#REF!</v>
      </c>
      <c r="AG3808" t="e">
        <f>IF(#REF!&gt;=10,"High Risk", IF(#REF!&gt;=5,"Medium Risk","Low Risk"))</f>
        <v>#REF!</v>
      </c>
      <c r="AH3808" t="e">
        <f>#REF! + #REF! + #REF! + #REF!</f>
        <v>#REF!</v>
      </c>
    </row>
    <row r="3809" spans="1:34" x14ac:dyDescent="0.35">
      <c r="A3809">
        <v>3808</v>
      </c>
      <c r="B3809" t="s">
        <v>61</v>
      </c>
      <c r="C3809">
        <v>136</v>
      </c>
      <c r="D3809" t="s">
        <v>25</v>
      </c>
      <c r="E3809" t="s">
        <v>22</v>
      </c>
      <c r="F3809" t="s">
        <v>22</v>
      </c>
      <c r="G3809">
        <v>0</v>
      </c>
      <c r="H3809">
        <v>276.3</v>
      </c>
      <c r="I3809">
        <v>94</v>
      </c>
      <c r="J3809">
        <v>46.97</v>
      </c>
      <c r="K3809">
        <v>226</v>
      </c>
      <c r="L3809">
        <v>125</v>
      </c>
      <c r="M3809">
        <v>19.21</v>
      </c>
      <c r="N3809">
        <v>221.4</v>
      </c>
      <c r="O3809">
        <v>87</v>
      </c>
      <c r="P3809">
        <v>9.9600000000000009</v>
      </c>
      <c r="Q3809">
        <v>7.2</v>
      </c>
      <c r="R3809">
        <v>1</v>
      </c>
      <c r="S3809">
        <v>1.94</v>
      </c>
      <c r="T3809">
        <v>1</v>
      </c>
      <c r="U3809" t="s">
        <v>23</v>
      </c>
      <c r="V3809" t="e">
        <f>IF(#REF! = "yes", 1, 0)</f>
        <v>#REF!</v>
      </c>
      <c r="W3809" t="e">
        <f>IF(#REF! &lt;= 1, "0-1 Calls", IF(#REF! &lt;= 3, "2-3 Calls", IF(#REF! &lt;=5, "4-5 Calls", "6+ Calls")))</f>
        <v>#REF!</v>
      </c>
      <c r="X3809" t="e">
        <f>IF(#REF! &lt;= 50, "0-50", IF(#REF! &lt;=100, "51-100", IF(#REF! &lt;= 150, "101-150", "151+")))</f>
        <v>#REF!</v>
      </c>
      <c r="Y3809" t="e">
        <f>IF(#REF! &lt;= 3, "Low Charges", "High Charges")</f>
        <v>#REF!</v>
      </c>
      <c r="Z3809" t="e">
        <f>IF(#REF!&lt;=80,"Low Calls",
IF(#REF!&lt;=120,"Medium Calls","High Calls"))</f>
        <v>#REF!</v>
      </c>
      <c r="AA3809" t="e">
        <f>IF(#REF!&lt;=15,"Low Charges",
IF(#REF!&lt;=20,"Medium Charges","High Charges"))</f>
        <v>#REF!</v>
      </c>
      <c r="AB3809" t="e">
        <f>IF(AND(#REF!&gt;180, #REF!&gt;200), "Heavy Doemstic User", IF(#REF!&gt;10, "Interntional User", IF(AND(#REF!&lt;180, #REF!&lt;200,#REF!&lt;200), "Light User", "Balanced User")))</f>
        <v>#REF!</v>
      </c>
      <c r="AC3809" t="e">
        <f>IF(#REF! = 0, "No Usage", IF(#REF! &lt;= 20, "Low Usage", IF(#REF! &lt;= 40, "Medium Usgae", "High Usage")))</f>
        <v>#REF!</v>
      </c>
      <c r="AD3809" t="e">
        <f>IF(#REF!&lt;=150,"Low Usage", IF(#REF!&lt;=200,"Medium Usage", IF(#REF!&lt;=250,"High Usage","Very High Usage")))</f>
        <v>#REF!</v>
      </c>
      <c r="AE3809" t="e">
        <f>IF(#REF!&lt;=5,"Low Calls", IF(#REF!&lt;=10, "Medium Calls", "High Calls"))</f>
        <v>#REF!</v>
      </c>
      <c r="AF3809" t="e">
        <f xml:space="preserve">
IF(#REF!&gt;=4,4,0)+
IF(#REF!="yes",3,0)+
IF(#REF!="High Charges",3,0)+
IF(#REF!&gt;250,4,0)+
IF(#REF!="no",1,0)+
IF(#REF!="Heavy Domestic User",2,0)</f>
        <v>#REF!</v>
      </c>
      <c r="AG3809" t="e">
        <f>IF(#REF!&gt;=10,"High Risk", IF(#REF!&gt;=5,"Medium Risk","Low Risk"))</f>
        <v>#REF!</v>
      </c>
      <c r="AH3809" t="e">
        <f>#REF! + #REF! + #REF! + #REF!</f>
        <v>#REF!</v>
      </c>
    </row>
    <row r="3810" spans="1:34" x14ac:dyDescent="0.35">
      <c r="A3810">
        <v>3809</v>
      </c>
      <c r="B3810" t="s">
        <v>64</v>
      </c>
      <c r="C3810">
        <v>83</v>
      </c>
      <c r="D3810" t="s">
        <v>28</v>
      </c>
      <c r="E3810" t="s">
        <v>22</v>
      </c>
      <c r="F3810" t="s">
        <v>23</v>
      </c>
      <c r="G3810">
        <v>37</v>
      </c>
      <c r="H3810">
        <v>133.1</v>
      </c>
      <c r="I3810">
        <v>117</v>
      </c>
      <c r="J3810">
        <v>22.63</v>
      </c>
      <c r="K3810">
        <v>171.4</v>
      </c>
      <c r="L3810">
        <v>89</v>
      </c>
      <c r="M3810">
        <v>14.57</v>
      </c>
      <c r="N3810">
        <v>218.1</v>
      </c>
      <c r="O3810">
        <v>92</v>
      </c>
      <c r="P3810">
        <v>9.81</v>
      </c>
      <c r="Q3810">
        <v>10.9</v>
      </c>
      <c r="R3810">
        <v>4</v>
      </c>
      <c r="S3810">
        <v>2.94</v>
      </c>
      <c r="T3810">
        <v>3</v>
      </c>
      <c r="U3810" t="s">
        <v>22</v>
      </c>
      <c r="V3810" t="e">
        <f>IF(#REF! = "yes", 1, 0)</f>
        <v>#REF!</v>
      </c>
      <c r="W3810" t="e">
        <f>IF(#REF! &lt;= 1, "0-1 Calls", IF(#REF! &lt;= 3, "2-3 Calls", IF(#REF! &lt;=5, "4-5 Calls", "6+ Calls")))</f>
        <v>#REF!</v>
      </c>
      <c r="X3810" t="e">
        <f>IF(#REF! &lt;= 50, "0-50", IF(#REF! &lt;=100, "51-100", IF(#REF! &lt;= 150, "101-150", "151+")))</f>
        <v>#REF!</v>
      </c>
      <c r="Y3810" t="e">
        <f>IF(#REF! &lt;= 3, "Low Charges", "High Charges")</f>
        <v>#REF!</v>
      </c>
      <c r="Z3810" t="e">
        <f>IF(#REF!&lt;=80,"Low Calls",
IF(#REF!&lt;=120,"Medium Calls","High Calls"))</f>
        <v>#REF!</v>
      </c>
      <c r="AA3810" t="e">
        <f>IF(#REF!&lt;=15,"Low Charges",
IF(#REF!&lt;=20,"Medium Charges","High Charges"))</f>
        <v>#REF!</v>
      </c>
      <c r="AB3810" t="e">
        <f>IF(AND(#REF!&gt;180, #REF!&gt;200), "Heavy Doemstic User", IF(#REF!&gt;10, "Interntional User", IF(AND(#REF!&lt;180, #REF!&lt;200,#REF!&lt;200), "Light User", "Balanced User")))</f>
        <v>#REF!</v>
      </c>
      <c r="AC3810" t="e">
        <f>IF(#REF! = 0, "No Usage", IF(#REF! &lt;= 20, "Low Usage", IF(#REF! &lt;= 40, "Medium Usgae", "High Usage")))</f>
        <v>#REF!</v>
      </c>
      <c r="AD3810" t="e">
        <f>IF(#REF!&lt;=150,"Low Usage", IF(#REF!&lt;=200,"Medium Usage", IF(#REF!&lt;=250,"High Usage","Very High Usage")))</f>
        <v>#REF!</v>
      </c>
      <c r="AE3810" t="e">
        <f>IF(#REF!&lt;=5,"Low Calls", IF(#REF!&lt;=10, "Medium Calls", "High Calls"))</f>
        <v>#REF!</v>
      </c>
      <c r="AF3810" t="e">
        <f xml:space="preserve">
IF(#REF!&gt;=4,4,0)+
IF(#REF!="yes",3,0)+
IF(#REF!="High Charges",3,0)+
IF(#REF!&gt;250,4,0)+
IF(#REF!="no",1,0)+
IF(#REF!="Heavy Domestic User",2,0)</f>
        <v>#REF!</v>
      </c>
      <c r="AG3810" t="e">
        <f>IF(#REF!&gt;=10,"High Risk", IF(#REF!&gt;=5,"Medium Risk","Low Risk"))</f>
        <v>#REF!</v>
      </c>
      <c r="AH3810" t="e">
        <f>#REF! + #REF! + #REF! + #REF!</f>
        <v>#REF!</v>
      </c>
    </row>
    <row r="3811" spans="1:34" x14ac:dyDescent="0.35">
      <c r="A3811">
        <v>3810</v>
      </c>
      <c r="B3811" t="s">
        <v>73</v>
      </c>
      <c r="C3811">
        <v>137</v>
      </c>
      <c r="D3811" t="s">
        <v>21</v>
      </c>
      <c r="E3811" t="s">
        <v>22</v>
      </c>
      <c r="F3811" t="s">
        <v>22</v>
      </c>
      <c r="G3811">
        <v>0</v>
      </c>
      <c r="H3811">
        <v>248.3</v>
      </c>
      <c r="I3811">
        <v>63</v>
      </c>
      <c r="J3811">
        <v>42.21</v>
      </c>
      <c r="K3811">
        <v>250.4</v>
      </c>
      <c r="L3811">
        <v>108</v>
      </c>
      <c r="M3811">
        <v>21.28</v>
      </c>
      <c r="N3811">
        <v>159.1</v>
      </c>
      <c r="O3811">
        <v>94</v>
      </c>
      <c r="P3811">
        <v>7.16</v>
      </c>
      <c r="Q3811">
        <v>9.6</v>
      </c>
      <c r="R3811">
        <v>4</v>
      </c>
      <c r="S3811">
        <v>2.59</v>
      </c>
      <c r="T3811">
        <v>1</v>
      </c>
      <c r="U3811" t="s">
        <v>22</v>
      </c>
      <c r="V3811" t="e">
        <f>IF(#REF! = "yes", 1, 0)</f>
        <v>#REF!</v>
      </c>
      <c r="W3811" t="e">
        <f>IF(#REF! &lt;= 1, "0-1 Calls", IF(#REF! &lt;= 3, "2-3 Calls", IF(#REF! &lt;=5, "4-5 Calls", "6+ Calls")))</f>
        <v>#REF!</v>
      </c>
      <c r="X3811" t="e">
        <f>IF(#REF! &lt;= 50, "0-50", IF(#REF! &lt;=100, "51-100", IF(#REF! &lt;= 150, "101-150", "151+")))</f>
        <v>#REF!</v>
      </c>
      <c r="Y3811" t="e">
        <f>IF(#REF! &lt;= 3, "Low Charges", "High Charges")</f>
        <v>#REF!</v>
      </c>
      <c r="Z3811" t="e">
        <f>IF(#REF!&lt;=80,"Low Calls",
IF(#REF!&lt;=120,"Medium Calls","High Calls"))</f>
        <v>#REF!</v>
      </c>
      <c r="AA3811" t="e">
        <f>IF(#REF!&lt;=15,"Low Charges",
IF(#REF!&lt;=20,"Medium Charges","High Charges"))</f>
        <v>#REF!</v>
      </c>
      <c r="AB3811" t="e">
        <f>IF(AND(#REF!&gt;180, #REF!&gt;200), "Heavy Doemstic User", IF(#REF!&gt;10, "Interntional User", IF(AND(#REF!&lt;180, #REF!&lt;200,#REF!&lt;200), "Light User", "Balanced User")))</f>
        <v>#REF!</v>
      </c>
      <c r="AC3811" t="e">
        <f>IF(#REF! = 0, "No Usage", IF(#REF! &lt;= 20, "Low Usage", IF(#REF! &lt;= 40, "Medium Usgae", "High Usage")))</f>
        <v>#REF!</v>
      </c>
      <c r="AD3811" t="e">
        <f>IF(#REF!&lt;=150,"Low Usage", IF(#REF!&lt;=200,"Medium Usage", IF(#REF!&lt;=250,"High Usage","Very High Usage")))</f>
        <v>#REF!</v>
      </c>
      <c r="AE3811" t="e">
        <f>IF(#REF!&lt;=5,"Low Calls", IF(#REF!&lt;=10, "Medium Calls", "High Calls"))</f>
        <v>#REF!</v>
      </c>
      <c r="AF3811" t="e">
        <f xml:space="preserve">
IF(#REF!&gt;=4,4,0)+
IF(#REF!="yes",3,0)+
IF(#REF!="High Charges",3,0)+
IF(#REF!&gt;250,4,0)+
IF(#REF!="no",1,0)+
IF(#REF!="Heavy Domestic User",2,0)</f>
        <v>#REF!</v>
      </c>
      <c r="AG3811" t="e">
        <f>IF(#REF!&gt;=10,"High Risk", IF(#REF!&gt;=5,"Medium Risk","Low Risk"))</f>
        <v>#REF!</v>
      </c>
      <c r="AH3811" t="e">
        <f>#REF! + #REF! + #REF! + #REF!</f>
        <v>#REF!</v>
      </c>
    </row>
    <row r="3812" spans="1:34" x14ac:dyDescent="0.35">
      <c r="A3812">
        <v>3811</v>
      </c>
      <c r="B3812" t="s">
        <v>64</v>
      </c>
      <c r="C3812">
        <v>93</v>
      </c>
      <c r="D3812" t="s">
        <v>21</v>
      </c>
      <c r="E3812" t="s">
        <v>22</v>
      </c>
      <c r="F3812" t="s">
        <v>23</v>
      </c>
      <c r="G3812">
        <v>37</v>
      </c>
      <c r="H3812">
        <v>230.4</v>
      </c>
      <c r="I3812">
        <v>95</v>
      </c>
      <c r="J3812">
        <v>39.17</v>
      </c>
      <c r="K3812">
        <v>155.5</v>
      </c>
      <c r="L3812">
        <v>89</v>
      </c>
      <c r="M3812">
        <v>13.22</v>
      </c>
      <c r="N3812">
        <v>179</v>
      </c>
      <c r="O3812">
        <v>90</v>
      </c>
      <c r="P3812">
        <v>8.06</v>
      </c>
      <c r="Q3812">
        <v>10.4</v>
      </c>
      <c r="R3812">
        <v>9</v>
      </c>
      <c r="S3812">
        <v>2.81</v>
      </c>
      <c r="T3812">
        <v>3</v>
      </c>
      <c r="U3812" t="s">
        <v>22</v>
      </c>
      <c r="V3812" t="e">
        <f>IF(#REF! = "yes", 1, 0)</f>
        <v>#REF!</v>
      </c>
      <c r="W3812" t="e">
        <f>IF(#REF! &lt;= 1, "0-1 Calls", IF(#REF! &lt;= 3, "2-3 Calls", IF(#REF! &lt;=5, "4-5 Calls", "6+ Calls")))</f>
        <v>#REF!</v>
      </c>
      <c r="X3812" t="e">
        <f>IF(#REF! &lt;= 50, "0-50", IF(#REF! &lt;=100, "51-100", IF(#REF! &lt;= 150, "101-150", "151+")))</f>
        <v>#REF!</v>
      </c>
      <c r="Y3812" t="e">
        <f>IF(#REF! &lt;= 3, "Low Charges", "High Charges")</f>
        <v>#REF!</v>
      </c>
      <c r="Z3812" t="e">
        <f>IF(#REF!&lt;=80,"Low Calls",
IF(#REF!&lt;=120,"Medium Calls","High Calls"))</f>
        <v>#REF!</v>
      </c>
      <c r="AA3812" t="e">
        <f>IF(#REF!&lt;=15,"Low Charges",
IF(#REF!&lt;=20,"Medium Charges","High Charges"))</f>
        <v>#REF!</v>
      </c>
      <c r="AB3812" t="e">
        <f>IF(AND(#REF!&gt;180, #REF!&gt;200), "Heavy Doemstic User", IF(#REF!&gt;10, "Interntional User", IF(AND(#REF!&lt;180, #REF!&lt;200,#REF!&lt;200), "Light User", "Balanced User")))</f>
        <v>#REF!</v>
      </c>
      <c r="AC3812" t="e">
        <f>IF(#REF! = 0, "No Usage", IF(#REF! &lt;= 20, "Low Usage", IF(#REF! &lt;= 40, "Medium Usgae", "High Usage")))</f>
        <v>#REF!</v>
      </c>
      <c r="AD3812" t="e">
        <f>IF(#REF!&lt;=150,"Low Usage", IF(#REF!&lt;=200,"Medium Usage", IF(#REF!&lt;=250,"High Usage","Very High Usage")))</f>
        <v>#REF!</v>
      </c>
      <c r="AE3812" t="e">
        <f>IF(#REF!&lt;=5,"Low Calls", IF(#REF!&lt;=10, "Medium Calls", "High Calls"))</f>
        <v>#REF!</v>
      </c>
      <c r="AF3812" t="e">
        <f xml:space="preserve">
IF(#REF!&gt;=4,4,0)+
IF(#REF!="yes",3,0)+
IF(#REF!="High Charges",3,0)+
IF(#REF!&gt;250,4,0)+
IF(#REF!="no",1,0)+
IF(#REF!="Heavy Domestic User",2,0)</f>
        <v>#REF!</v>
      </c>
      <c r="AG3812" t="e">
        <f>IF(#REF!&gt;=10,"High Risk", IF(#REF!&gt;=5,"Medium Risk","Low Risk"))</f>
        <v>#REF!</v>
      </c>
      <c r="AH3812" t="e">
        <f>#REF! + #REF! + #REF! + #REF!</f>
        <v>#REF!</v>
      </c>
    </row>
    <row r="3813" spans="1:34" x14ac:dyDescent="0.35">
      <c r="A3813">
        <v>3812</v>
      </c>
      <c r="B3813" t="s">
        <v>52</v>
      </c>
      <c r="C3813">
        <v>103</v>
      </c>
      <c r="D3813" t="s">
        <v>25</v>
      </c>
      <c r="E3813" t="s">
        <v>22</v>
      </c>
      <c r="F3813" t="s">
        <v>22</v>
      </c>
      <c r="G3813">
        <v>0</v>
      </c>
      <c r="H3813">
        <v>185.8</v>
      </c>
      <c r="I3813">
        <v>118</v>
      </c>
      <c r="J3813">
        <v>31.59</v>
      </c>
      <c r="K3813">
        <v>86.8</v>
      </c>
      <c r="L3813">
        <v>84</v>
      </c>
      <c r="M3813">
        <v>7.38</v>
      </c>
      <c r="N3813">
        <v>208.4</v>
      </c>
      <c r="O3813">
        <v>115</v>
      </c>
      <c r="P3813">
        <v>9.3800000000000008</v>
      </c>
      <c r="Q3813">
        <v>10.7</v>
      </c>
      <c r="R3813">
        <v>9</v>
      </c>
      <c r="S3813">
        <v>2.89</v>
      </c>
      <c r="T3813">
        <v>1</v>
      </c>
      <c r="U3813" t="s">
        <v>22</v>
      </c>
      <c r="V3813" t="e">
        <f>IF(#REF! = "yes", 1, 0)</f>
        <v>#REF!</v>
      </c>
      <c r="W3813" t="e">
        <f>IF(#REF! &lt;= 1, "0-1 Calls", IF(#REF! &lt;= 3, "2-3 Calls", IF(#REF! &lt;=5, "4-5 Calls", "6+ Calls")))</f>
        <v>#REF!</v>
      </c>
      <c r="X3813" t="e">
        <f>IF(#REF! &lt;= 50, "0-50", IF(#REF! &lt;=100, "51-100", IF(#REF! &lt;= 150, "101-150", "151+")))</f>
        <v>#REF!</v>
      </c>
      <c r="Y3813" t="e">
        <f>IF(#REF! &lt;= 3, "Low Charges", "High Charges")</f>
        <v>#REF!</v>
      </c>
      <c r="Z3813" t="e">
        <f>IF(#REF!&lt;=80,"Low Calls",
IF(#REF!&lt;=120,"Medium Calls","High Calls"))</f>
        <v>#REF!</v>
      </c>
      <c r="AA3813" t="e">
        <f>IF(#REF!&lt;=15,"Low Charges",
IF(#REF!&lt;=20,"Medium Charges","High Charges"))</f>
        <v>#REF!</v>
      </c>
      <c r="AB3813" t="e">
        <f>IF(AND(#REF!&gt;180, #REF!&gt;200), "Heavy Doemstic User", IF(#REF!&gt;10, "Interntional User", IF(AND(#REF!&lt;180, #REF!&lt;200,#REF!&lt;200), "Light User", "Balanced User")))</f>
        <v>#REF!</v>
      </c>
      <c r="AC3813" t="e">
        <f>IF(#REF! = 0, "No Usage", IF(#REF! &lt;= 20, "Low Usage", IF(#REF! &lt;= 40, "Medium Usgae", "High Usage")))</f>
        <v>#REF!</v>
      </c>
      <c r="AD3813" t="e">
        <f>IF(#REF!&lt;=150,"Low Usage", IF(#REF!&lt;=200,"Medium Usage", IF(#REF!&lt;=250,"High Usage","Very High Usage")))</f>
        <v>#REF!</v>
      </c>
      <c r="AE3813" t="e">
        <f>IF(#REF!&lt;=5,"Low Calls", IF(#REF!&lt;=10, "Medium Calls", "High Calls"))</f>
        <v>#REF!</v>
      </c>
      <c r="AF3813" t="e">
        <f xml:space="preserve">
IF(#REF!&gt;=4,4,0)+
IF(#REF!="yes",3,0)+
IF(#REF!="High Charges",3,0)+
IF(#REF!&gt;250,4,0)+
IF(#REF!="no",1,0)+
IF(#REF!="Heavy Domestic User",2,0)</f>
        <v>#REF!</v>
      </c>
      <c r="AG3813" t="e">
        <f>IF(#REF!&gt;=10,"High Risk", IF(#REF!&gt;=5,"Medium Risk","Low Risk"))</f>
        <v>#REF!</v>
      </c>
      <c r="AH3813" t="e">
        <f>#REF! + #REF! + #REF! + #REF!</f>
        <v>#REF!</v>
      </c>
    </row>
    <row r="3814" spans="1:34" x14ac:dyDescent="0.35">
      <c r="A3814">
        <v>3813</v>
      </c>
      <c r="B3814" t="s">
        <v>56</v>
      </c>
      <c r="C3814">
        <v>96</v>
      </c>
      <c r="D3814" t="s">
        <v>21</v>
      </c>
      <c r="E3814" t="s">
        <v>22</v>
      </c>
      <c r="F3814" t="s">
        <v>22</v>
      </c>
      <c r="G3814">
        <v>0</v>
      </c>
      <c r="H3814">
        <v>183.9</v>
      </c>
      <c r="I3814">
        <v>88</v>
      </c>
      <c r="J3814">
        <v>31.26</v>
      </c>
      <c r="K3814">
        <v>109.2</v>
      </c>
      <c r="L3814">
        <v>86</v>
      </c>
      <c r="M3814">
        <v>9.2799999999999994</v>
      </c>
      <c r="N3814">
        <v>190.2</v>
      </c>
      <c r="O3814">
        <v>78</v>
      </c>
      <c r="P3814">
        <v>8.56</v>
      </c>
      <c r="Q3814">
        <v>16.600000000000001</v>
      </c>
      <c r="R3814">
        <v>7</v>
      </c>
      <c r="S3814">
        <v>4.4800000000000004</v>
      </c>
      <c r="T3814">
        <v>2</v>
      </c>
      <c r="U3814" t="s">
        <v>22</v>
      </c>
      <c r="V3814" t="e">
        <f>IF(#REF! = "yes", 1, 0)</f>
        <v>#REF!</v>
      </c>
      <c r="W3814" t="e">
        <f>IF(#REF! &lt;= 1, "0-1 Calls", IF(#REF! &lt;= 3, "2-3 Calls", IF(#REF! &lt;=5, "4-5 Calls", "6+ Calls")))</f>
        <v>#REF!</v>
      </c>
      <c r="X3814" t="e">
        <f>IF(#REF! &lt;= 50, "0-50", IF(#REF! &lt;=100, "51-100", IF(#REF! &lt;= 150, "101-150", "151+")))</f>
        <v>#REF!</v>
      </c>
      <c r="Y3814" t="e">
        <f>IF(#REF! &lt;= 3, "Low Charges", "High Charges")</f>
        <v>#REF!</v>
      </c>
      <c r="Z3814" t="e">
        <f>IF(#REF!&lt;=80,"Low Calls",
IF(#REF!&lt;=120,"Medium Calls","High Calls"))</f>
        <v>#REF!</v>
      </c>
      <c r="AA3814" t="e">
        <f>IF(#REF!&lt;=15,"Low Charges",
IF(#REF!&lt;=20,"Medium Charges","High Charges"))</f>
        <v>#REF!</v>
      </c>
      <c r="AB3814" t="e">
        <f>IF(AND(#REF!&gt;180, #REF!&gt;200), "Heavy Doemstic User", IF(#REF!&gt;10, "Interntional User", IF(AND(#REF!&lt;180, #REF!&lt;200,#REF!&lt;200), "Light User", "Balanced User")))</f>
        <v>#REF!</v>
      </c>
      <c r="AC3814" t="e">
        <f>IF(#REF! = 0, "No Usage", IF(#REF! &lt;= 20, "Low Usage", IF(#REF! &lt;= 40, "Medium Usgae", "High Usage")))</f>
        <v>#REF!</v>
      </c>
      <c r="AD3814" t="e">
        <f>IF(#REF!&lt;=150,"Low Usage", IF(#REF!&lt;=200,"Medium Usage", IF(#REF!&lt;=250,"High Usage","Very High Usage")))</f>
        <v>#REF!</v>
      </c>
      <c r="AE3814" t="e">
        <f>IF(#REF!&lt;=5,"Low Calls", IF(#REF!&lt;=10, "Medium Calls", "High Calls"))</f>
        <v>#REF!</v>
      </c>
      <c r="AF3814" t="e">
        <f xml:space="preserve">
IF(#REF!&gt;=4,4,0)+
IF(#REF!="yes",3,0)+
IF(#REF!="High Charges",3,0)+
IF(#REF!&gt;250,4,0)+
IF(#REF!="no",1,0)+
IF(#REF!="Heavy Domestic User",2,0)</f>
        <v>#REF!</v>
      </c>
      <c r="AG3814" t="e">
        <f>IF(#REF!&gt;=10,"High Risk", IF(#REF!&gt;=5,"Medium Risk","Low Risk"))</f>
        <v>#REF!</v>
      </c>
      <c r="AH3814" t="e">
        <f>#REF! + #REF! + #REF! + #REF!</f>
        <v>#REF!</v>
      </c>
    </row>
    <row r="3815" spans="1:34" x14ac:dyDescent="0.35">
      <c r="A3815">
        <v>3814</v>
      </c>
      <c r="B3815" t="s">
        <v>36</v>
      </c>
      <c r="C3815">
        <v>77</v>
      </c>
      <c r="D3815" t="s">
        <v>21</v>
      </c>
      <c r="E3815" t="s">
        <v>23</v>
      </c>
      <c r="F3815" t="s">
        <v>22</v>
      </c>
      <c r="G3815">
        <v>0</v>
      </c>
      <c r="H3815">
        <v>132.9</v>
      </c>
      <c r="I3815">
        <v>86</v>
      </c>
      <c r="J3815">
        <v>22.59</v>
      </c>
      <c r="K3815">
        <v>168.1</v>
      </c>
      <c r="L3815">
        <v>121</v>
      </c>
      <c r="M3815">
        <v>14.29</v>
      </c>
      <c r="N3815">
        <v>196.3</v>
      </c>
      <c r="O3815">
        <v>102</v>
      </c>
      <c r="P3815">
        <v>8.83</v>
      </c>
      <c r="Q3815">
        <v>7.8</v>
      </c>
      <c r="R3815">
        <v>3</v>
      </c>
      <c r="S3815">
        <v>2.11</v>
      </c>
      <c r="T3815">
        <v>0</v>
      </c>
      <c r="U3815" t="s">
        <v>22</v>
      </c>
      <c r="V3815" t="e">
        <f>IF(#REF! = "yes", 1, 0)</f>
        <v>#REF!</v>
      </c>
      <c r="W3815" t="e">
        <f>IF(#REF! &lt;= 1, "0-1 Calls", IF(#REF! &lt;= 3, "2-3 Calls", IF(#REF! &lt;=5, "4-5 Calls", "6+ Calls")))</f>
        <v>#REF!</v>
      </c>
      <c r="X3815" t="e">
        <f>IF(#REF! &lt;= 50, "0-50", IF(#REF! &lt;=100, "51-100", IF(#REF! &lt;= 150, "101-150", "151+")))</f>
        <v>#REF!</v>
      </c>
      <c r="Y3815" t="e">
        <f>IF(#REF! &lt;= 3, "Low Charges", "High Charges")</f>
        <v>#REF!</v>
      </c>
      <c r="Z3815" t="e">
        <f>IF(#REF!&lt;=80,"Low Calls",
IF(#REF!&lt;=120,"Medium Calls","High Calls"))</f>
        <v>#REF!</v>
      </c>
      <c r="AA3815" t="e">
        <f>IF(#REF!&lt;=15,"Low Charges",
IF(#REF!&lt;=20,"Medium Charges","High Charges"))</f>
        <v>#REF!</v>
      </c>
      <c r="AB3815" t="e">
        <f>IF(AND(#REF!&gt;180, #REF!&gt;200), "Heavy Doemstic User", IF(#REF!&gt;10, "Interntional User", IF(AND(#REF!&lt;180, #REF!&lt;200,#REF!&lt;200), "Light User", "Balanced User")))</f>
        <v>#REF!</v>
      </c>
      <c r="AC3815" t="e">
        <f>IF(#REF! = 0, "No Usage", IF(#REF! &lt;= 20, "Low Usage", IF(#REF! &lt;= 40, "Medium Usgae", "High Usage")))</f>
        <v>#REF!</v>
      </c>
      <c r="AD3815" t="e">
        <f>IF(#REF!&lt;=150,"Low Usage", IF(#REF!&lt;=200,"Medium Usage", IF(#REF!&lt;=250,"High Usage","Very High Usage")))</f>
        <v>#REF!</v>
      </c>
      <c r="AE3815" t="e">
        <f>IF(#REF!&lt;=5,"Low Calls", IF(#REF!&lt;=10, "Medium Calls", "High Calls"))</f>
        <v>#REF!</v>
      </c>
      <c r="AF3815" t="e">
        <f xml:space="preserve">
IF(#REF!&gt;=4,4,0)+
IF(#REF!="yes",3,0)+
IF(#REF!="High Charges",3,0)+
IF(#REF!&gt;250,4,0)+
IF(#REF!="no",1,0)+
IF(#REF!="Heavy Domestic User",2,0)</f>
        <v>#REF!</v>
      </c>
      <c r="AG3815" t="e">
        <f>IF(#REF!&gt;=10,"High Risk", IF(#REF!&gt;=5,"Medium Risk","Low Risk"))</f>
        <v>#REF!</v>
      </c>
      <c r="AH3815" t="e">
        <f>#REF! + #REF! + #REF! + #REF!</f>
        <v>#REF!</v>
      </c>
    </row>
    <row r="3816" spans="1:34" x14ac:dyDescent="0.35">
      <c r="A3816">
        <v>3815</v>
      </c>
      <c r="B3816" t="s">
        <v>61</v>
      </c>
      <c r="C3816">
        <v>116</v>
      </c>
      <c r="D3816" t="s">
        <v>28</v>
      </c>
      <c r="E3816" t="s">
        <v>22</v>
      </c>
      <c r="F3816" t="s">
        <v>22</v>
      </c>
      <c r="G3816">
        <v>0</v>
      </c>
      <c r="H3816">
        <v>179</v>
      </c>
      <c r="I3816">
        <v>81</v>
      </c>
      <c r="J3816">
        <v>30.43</v>
      </c>
      <c r="K3816">
        <v>200</v>
      </c>
      <c r="L3816">
        <v>116</v>
      </c>
      <c r="M3816">
        <v>17</v>
      </c>
      <c r="N3816">
        <v>168.6</v>
      </c>
      <c r="O3816">
        <v>74</v>
      </c>
      <c r="P3816">
        <v>7.59</v>
      </c>
      <c r="Q3816">
        <v>15.8</v>
      </c>
      <c r="R3816">
        <v>7</v>
      </c>
      <c r="S3816">
        <v>4.2699999999999996</v>
      </c>
      <c r="T3816">
        <v>1</v>
      </c>
      <c r="U3816" t="s">
        <v>22</v>
      </c>
      <c r="V3816" t="e">
        <f>IF(#REF! = "yes", 1, 0)</f>
        <v>#REF!</v>
      </c>
      <c r="W3816" t="e">
        <f>IF(#REF! &lt;= 1, "0-1 Calls", IF(#REF! &lt;= 3, "2-3 Calls", IF(#REF! &lt;=5, "4-5 Calls", "6+ Calls")))</f>
        <v>#REF!</v>
      </c>
      <c r="X3816" t="e">
        <f>IF(#REF! &lt;= 50, "0-50", IF(#REF! &lt;=100, "51-100", IF(#REF! &lt;= 150, "101-150", "151+")))</f>
        <v>#REF!</v>
      </c>
      <c r="Y3816" t="e">
        <f>IF(#REF! &lt;= 3, "Low Charges", "High Charges")</f>
        <v>#REF!</v>
      </c>
      <c r="Z3816" t="e">
        <f>IF(#REF!&lt;=80,"Low Calls",
IF(#REF!&lt;=120,"Medium Calls","High Calls"))</f>
        <v>#REF!</v>
      </c>
      <c r="AA3816" t="e">
        <f>IF(#REF!&lt;=15,"Low Charges",
IF(#REF!&lt;=20,"Medium Charges","High Charges"))</f>
        <v>#REF!</v>
      </c>
      <c r="AB3816" t="e">
        <f>IF(AND(#REF!&gt;180, #REF!&gt;200), "Heavy Doemstic User", IF(#REF!&gt;10, "Interntional User", IF(AND(#REF!&lt;180, #REF!&lt;200,#REF!&lt;200), "Light User", "Balanced User")))</f>
        <v>#REF!</v>
      </c>
      <c r="AC3816" t="e">
        <f>IF(#REF! = 0, "No Usage", IF(#REF! &lt;= 20, "Low Usage", IF(#REF! &lt;= 40, "Medium Usgae", "High Usage")))</f>
        <v>#REF!</v>
      </c>
      <c r="AD3816" t="e">
        <f>IF(#REF!&lt;=150,"Low Usage", IF(#REF!&lt;=200,"Medium Usage", IF(#REF!&lt;=250,"High Usage","Very High Usage")))</f>
        <v>#REF!</v>
      </c>
      <c r="AE3816" t="e">
        <f>IF(#REF!&lt;=5,"Low Calls", IF(#REF!&lt;=10, "Medium Calls", "High Calls"))</f>
        <v>#REF!</v>
      </c>
      <c r="AF3816" t="e">
        <f xml:space="preserve">
IF(#REF!&gt;=4,4,0)+
IF(#REF!="yes",3,0)+
IF(#REF!="High Charges",3,0)+
IF(#REF!&gt;250,4,0)+
IF(#REF!="no",1,0)+
IF(#REF!="Heavy Domestic User",2,0)</f>
        <v>#REF!</v>
      </c>
      <c r="AG3816" t="e">
        <f>IF(#REF!&gt;=10,"High Risk", IF(#REF!&gt;=5,"Medium Risk","Low Risk"))</f>
        <v>#REF!</v>
      </c>
      <c r="AH3816" t="e">
        <f>#REF! + #REF! + #REF! + #REF!</f>
        <v>#REF!</v>
      </c>
    </row>
    <row r="3817" spans="1:34" x14ac:dyDescent="0.35">
      <c r="A3817">
        <v>3816</v>
      </c>
      <c r="B3817" t="s">
        <v>60</v>
      </c>
      <c r="C3817">
        <v>96</v>
      </c>
      <c r="D3817" t="s">
        <v>25</v>
      </c>
      <c r="E3817" t="s">
        <v>23</v>
      </c>
      <c r="F3817" t="s">
        <v>22</v>
      </c>
      <c r="G3817">
        <v>0</v>
      </c>
      <c r="H3817">
        <v>188.8</v>
      </c>
      <c r="I3817">
        <v>119</v>
      </c>
      <c r="J3817">
        <v>32.1</v>
      </c>
      <c r="K3817">
        <v>216.9</v>
      </c>
      <c r="L3817">
        <v>100</v>
      </c>
      <c r="M3817">
        <v>18.440000000000001</v>
      </c>
      <c r="N3817">
        <v>208.5</v>
      </c>
      <c r="O3817">
        <v>116</v>
      </c>
      <c r="P3817">
        <v>9.3800000000000008</v>
      </c>
      <c r="Q3817">
        <v>5.8</v>
      </c>
      <c r="R3817">
        <v>3</v>
      </c>
      <c r="S3817">
        <v>1.57</v>
      </c>
      <c r="T3817">
        <v>3</v>
      </c>
      <c r="U3817" t="s">
        <v>22</v>
      </c>
      <c r="V3817" t="e">
        <f>IF(#REF! = "yes", 1, 0)</f>
        <v>#REF!</v>
      </c>
      <c r="W3817" t="e">
        <f>IF(#REF! &lt;= 1, "0-1 Calls", IF(#REF! &lt;= 3, "2-3 Calls", IF(#REF! &lt;=5, "4-5 Calls", "6+ Calls")))</f>
        <v>#REF!</v>
      </c>
      <c r="X3817" t="e">
        <f>IF(#REF! &lt;= 50, "0-50", IF(#REF! &lt;=100, "51-100", IF(#REF! &lt;= 150, "101-150", "151+")))</f>
        <v>#REF!</v>
      </c>
      <c r="Y3817" t="e">
        <f>IF(#REF! &lt;= 3, "Low Charges", "High Charges")</f>
        <v>#REF!</v>
      </c>
      <c r="Z3817" t="e">
        <f>IF(#REF!&lt;=80,"Low Calls",
IF(#REF!&lt;=120,"Medium Calls","High Calls"))</f>
        <v>#REF!</v>
      </c>
      <c r="AA3817" t="e">
        <f>IF(#REF!&lt;=15,"Low Charges",
IF(#REF!&lt;=20,"Medium Charges","High Charges"))</f>
        <v>#REF!</v>
      </c>
      <c r="AB3817" t="e">
        <f>IF(AND(#REF!&gt;180, #REF!&gt;200), "Heavy Doemstic User", IF(#REF!&gt;10, "Interntional User", IF(AND(#REF!&lt;180, #REF!&lt;200,#REF!&lt;200), "Light User", "Balanced User")))</f>
        <v>#REF!</v>
      </c>
      <c r="AC3817" t="e">
        <f>IF(#REF! = 0, "No Usage", IF(#REF! &lt;= 20, "Low Usage", IF(#REF! &lt;= 40, "Medium Usgae", "High Usage")))</f>
        <v>#REF!</v>
      </c>
      <c r="AD3817" t="e">
        <f>IF(#REF!&lt;=150,"Low Usage", IF(#REF!&lt;=200,"Medium Usage", IF(#REF!&lt;=250,"High Usage","Very High Usage")))</f>
        <v>#REF!</v>
      </c>
      <c r="AE3817" t="e">
        <f>IF(#REF!&lt;=5,"Low Calls", IF(#REF!&lt;=10, "Medium Calls", "High Calls"))</f>
        <v>#REF!</v>
      </c>
      <c r="AF3817" t="e">
        <f xml:space="preserve">
IF(#REF!&gt;=4,4,0)+
IF(#REF!="yes",3,0)+
IF(#REF!="High Charges",3,0)+
IF(#REF!&gt;250,4,0)+
IF(#REF!="no",1,0)+
IF(#REF!="Heavy Domestic User",2,0)</f>
        <v>#REF!</v>
      </c>
      <c r="AG3817" t="e">
        <f>IF(#REF!&gt;=10,"High Risk", IF(#REF!&gt;=5,"Medium Risk","Low Risk"))</f>
        <v>#REF!</v>
      </c>
      <c r="AH3817" t="e">
        <f>#REF! + #REF! + #REF! + #REF!</f>
        <v>#REF!</v>
      </c>
    </row>
    <row r="3818" spans="1:34" x14ac:dyDescent="0.35">
      <c r="A3818">
        <v>3817</v>
      </c>
      <c r="B3818" t="s">
        <v>74</v>
      </c>
      <c r="C3818">
        <v>60</v>
      </c>
      <c r="D3818" t="s">
        <v>21</v>
      </c>
      <c r="E3818" t="s">
        <v>23</v>
      </c>
      <c r="F3818" t="s">
        <v>23</v>
      </c>
      <c r="G3818">
        <v>45</v>
      </c>
      <c r="H3818">
        <v>135.6</v>
      </c>
      <c r="I3818">
        <v>101</v>
      </c>
      <c r="J3818">
        <v>23.05</v>
      </c>
      <c r="K3818">
        <v>94.9</v>
      </c>
      <c r="L3818">
        <v>73</v>
      </c>
      <c r="M3818">
        <v>8.07</v>
      </c>
      <c r="N3818">
        <v>154</v>
      </c>
      <c r="O3818">
        <v>118</v>
      </c>
      <c r="P3818">
        <v>6.93</v>
      </c>
      <c r="Q3818">
        <v>9.8000000000000007</v>
      </c>
      <c r="R3818">
        <v>3</v>
      </c>
      <c r="S3818">
        <v>2.65</v>
      </c>
      <c r="T3818">
        <v>4</v>
      </c>
      <c r="U3818" t="s">
        <v>23</v>
      </c>
      <c r="V3818" t="e">
        <f>IF(#REF! = "yes", 1, 0)</f>
        <v>#REF!</v>
      </c>
      <c r="W3818" t="e">
        <f>IF(#REF! &lt;= 1, "0-1 Calls", IF(#REF! &lt;= 3, "2-3 Calls", IF(#REF! &lt;=5, "4-5 Calls", "6+ Calls")))</f>
        <v>#REF!</v>
      </c>
      <c r="X3818" t="e">
        <f>IF(#REF! &lt;= 50, "0-50", IF(#REF! &lt;=100, "51-100", IF(#REF! &lt;= 150, "101-150", "151+")))</f>
        <v>#REF!</v>
      </c>
      <c r="Y3818" t="e">
        <f>IF(#REF! &lt;= 3, "Low Charges", "High Charges")</f>
        <v>#REF!</v>
      </c>
      <c r="Z3818" t="e">
        <f>IF(#REF!&lt;=80,"Low Calls",
IF(#REF!&lt;=120,"Medium Calls","High Calls"))</f>
        <v>#REF!</v>
      </c>
      <c r="AA3818" t="e">
        <f>IF(#REF!&lt;=15,"Low Charges",
IF(#REF!&lt;=20,"Medium Charges","High Charges"))</f>
        <v>#REF!</v>
      </c>
      <c r="AB3818" t="e">
        <f>IF(AND(#REF!&gt;180, #REF!&gt;200), "Heavy Doemstic User", IF(#REF!&gt;10, "Interntional User", IF(AND(#REF!&lt;180, #REF!&lt;200,#REF!&lt;200), "Light User", "Balanced User")))</f>
        <v>#REF!</v>
      </c>
      <c r="AC3818" t="e">
        <f>IF(#REF! = 0, "No Usage", IF(#REF! &lt;= 20, "Low Usage", IF(#REF! &lt;= 40, "Medium Usgae", "High Usage")))</f>
        <v>#REF!</v>
      </c>
      <c r="AD3818" t="e">
        <f>IF(#REF!&lt;=150,"Low Usage", IF(#REF!&lt;=200,"Medium Usage", IF(#REF!&lt;=250,"High Usage","Very High Usage")))</f>
        <v>#REF!</v>
      </c>
      <c r="AE3818" t="e">
        <f>IF(#REF!&lt;=5,"Low Calls", IF(#REF!&lt;=10, "Medium Calls", "High Calls"))</f>
        <v>#REF!</v>
      </c>
      <c r="AF3818" t="e">
        <f xml:space="preserve">
IF(#REF!&gt;=4,4,0)+
IF(#REF!="yes",3,0)+
IF(#REF!="High Charges",3,0)+
IF(#REF!&gt;250,4,0)+
IF(#REF!="no",1,0)+
IF(#REF!="Heavy Domestic User",2,0)</f>
        <v>#REF!</v>
      </c>
      <c r="AG3818" t="e">
        <f>IF(#REF!&gt;=10,"High Risk", IF(#REF!&gt;=5,"Medium Risk","Low Risk"))</f>
        <v>#REF!</v>
      </c>
      <c r="AH3818" t="e">
        <f>#REF! + #REF! + #REF! + #REF!</f>
        <v>#REF!</v>
      </c>
    </row>
    <row r="3819" spans="1:34" x14ac:dyDescent="0.35">
      <c r="A3819">
        <v>3818</v>
      </c>
      <c r="B3819" t="s">
        <v>34</v>
      </c>
      <c r="C3819">
        <v>105</v>
      </c>
      <c r="D3819" t="s">
        <v>25</v>
      </c>
      <c r="E3819" t="s">
        <v>23</v>
      </c>
      <c r="F3819" t="s">
        <v>23</v>
      </c>
      <c r="G3819">
        <v>31</v>
      </c>
      <c r="H3819">
        <v>172.5</v>
      </c>
      <c r="I3819">
        <v>103</v>
      </c>
      <c r="J3819">
        <v>29.33</v>
      </c>
      <c r="K3819">
        <v>113.6</v>
      </c>
      <c r="L3819">
        <v>102</v>
      </c>
      <c r="M3819">
        <v>9.66</v>
      </c>
      <c r="N3819">
        <v>261.60000000000002</v>
      </c>
      <c r="O3819">
        <v>104</v>
      </c>
      <c r="P3819">
        <v>11.77</v>
      </c>
      <c r="Q3819">
        <v>10.8</v>
      </c>
      <c r="R3819">
        <v>4</v>
      </c>
      <c r="S3819">
        <v>2.92</v>
      </c>
      <c r="T3819">
        <v>2</v>
      </c>
      <c r="U3819" t="s">
        <v>22</v>
      </c>
      <c r="V3819" t="e">
        <f>IF(#REF! = "yes", 1, 0)</f>
        <v>#REF!</v>
      </c>
      <c r="W3819" t="e">
        <f>IF(#REF! &lt;= 1, "0-1 Calls", IF(#REF! &lt;= 3, "2-3 Calls", IF(#REF! &lt;=5, "4-5 Calls", "6+ Calls")))</f>
        <v>#REF!</v>
      </c>
      <c r="X3819" t="e">
        <f>IF(#REF! &lt;= 50, "0-50", IF(#REF! &lt;=100, "51-100", IF(#REF! &lt;= 150, "101-150", "151+")))</f>
        <v>#REF!</v>
      </c>
      <c r="Y3819" t="e">
        <f>IF(#REF! &lt;= 3, "Low Charges", "High Charges")</f>
        <v>#REF!</v>
      </c>
      <c r="Z3819" t="e">
        <f>IF(#REF!&lt;=80,"Low Calls",
IF(#REF!&lt;=120,"Medium Calls","High Calls"))</f>
        <v>#REF!</v>
      </c>
      <c r="AA3819" t="e">
        <f>IF(#REF!&lt;=15,"Low Charges",
IF(#REF!&lt;=20,"Medium Charges","High Charges"))</f>
        <v>#REF!</v>
      </c>
      <c r="AB3819" t="e">
        <f>IF(AND(#REF!&gt;180, #REF!&gt;200), "Heavy Doemstic User", IF(#REF!&gt;10, "Interntional User", IF(AND(#REF!&lt;180, #REF!&lt;200,#REF!&lt;200), "Light User", "Balanced User")))</f>
        <v>#REF!</v>
      </c>
      <c r="AC3819" t="e">
        <f>IF(#REF! = 0, "No Usage", IF(#REF! &lt;= 20, "Low Usage", IF(#REF! &lt;= 40, "Medium Usgae", "High Usage")))</f>
        <v>#REF!</v>
      </c>
      <c r="AD3819" t="e">
        <f>IF(#REF!&lt;=150,"Low Usage", IF(#REF!&lt;=200,"Medium Usage", IF(#REF!&lt;=250,"High Usage","Very High Usage")))</f>
        <v>#REF!</v>
      </c>
      <c r="AE3819" t="e">
        <f>IF(#REF!&lt;=5,"Low Calls", IF(#REF!&lt;=10, "Medium Calls", "High Calls"))</f>
        <v>#REF!</v>
      </c>
      <c r="AF3819" t="e">
        <f xml:space="preserve">
IF(#REF!&gt;=4,4,0)+
IF(#REF!="yes",3,0)+
IF(#REF!="High Charges",3,0)+
IF(#REF!&gt;250,4,0)+
IF(#REF!="no",1,0)+
IF(#REF!="Heavy Domestic User",2,0)</f>
        <v>#REF!</v>
      </c>
      <c r="AG3819" t="e">
        <f>IF(#REF!&gt;=10,"High Risk", IF(#REF!&gt;=5,"Medium Risk","Low Risk"))</f>
        <v>#REF!</v>
      </c>
      <c r="AH3819" t="e">
        <f>#REF! + #REF! + #REF! + #REF!</f>
        <v>#REF!</v>
      </c>
    </row>
    <row r="3820" spans="1:34" x14ac:dyDescent="0.35">
      <c r="A3820">
        <v>3819</v>
      </c>
      <c r="B3820" t="s">
        <v>24</v>
      </c>
      <c r="C3820">
        <v>107</v>
      </c>
      <c r="D3820" t="s">
        <v>28</v>
      </c>
      <c r="E3820" t="s">
        <v>22</v>
      </c>
      <c r="F3820" t="s">
        <v>22</v>
      </c>
      <c r="G3820">
        <v>0</v>
      </c>
      <c r="H3820">
        <v>156.30000000000001</v>
      </c>
      <c r="I3820">
        <v>75</v>
      </c>
      <c r="J3820">
        <v>26.57</v>
      </c>
      <c r="K3820">
        <v>215.3</v>
      </c>
      <c r="L3820">
        <v>93</v>
      </c>
      <c r="M3820">
        <v>18.3</v>
      </c>
      <c r="N3820">
        <v>118.2</v>
      </c>
      <c r="O3820">
        <v>115</v>
      </c>
      <c r="P3820">
        <v>5.32</v>
      </c>
      <c r="Q3820">
        <v>8.8000000000000007</v>
      </c>
      <c r="R3820">
        <v>2</v>
      </c>
      <c r="S3820">
        <v>2.38</v>
      </c>
      <c r="T3820">
        <v>1</v>
      </c>
      <c r="U3820" t="s">
        <v>22</v>
      </c>
      <c r="V3820" t="e">
        <f>IF(#REF! = "yes", 1, 0)</f>
        <v>#REF!</v>
      </c>
      <c r="W3820" t="e">
        <f>IF(#REF! &lt;= 1, "0-1 Calls", IF(#REF! &lt;= 3, "2-3 Calls", IF(#REF! &lt;=5, "4-5 Calls", "6+ Calls")))</f>
        <v>#REF!</v>
      </c>
      <c r="X3820" t="e">
        <f>IF(#REF! &lt;= 50, "0-50", IF(#REF! &lt;=100, "51-100", IF(#REF! &lt;= 150, "101-150", "151+")))</f>
        <v>#REF!</v>
      </c>
      <c r="Y3820" t="e">
        <f>IF(#REF! &lt;= 3, "Low Charges", "High Charges")</f>
        <v>#REF!</v>
      </c>
      <c r="Z3820" t="e">
        <f>IF(#REF!&lt;=80,"Low Calls",
IF(#REF!&lt;=120,"Medium Calls","High Calls"))</f>
        <v>#REF!</v>
      </c>
      <c r="AA3820" t="e">
        <f>IF(#REF!&lt;=15,"Low Charges",
IF(#REF!&lt;=20,"Medium Charges","High Charges"))</f>
        <v>#REF!</v>
      </c>
      <c r="AB3820" t="e">
        <f>IF(AND(#REF!&gt;180, #REF!&gt;200), "Heavy Doemstic User", IF(#REF!&gt;10, "Interntional User", IF(AND(#REF!&lt;180, #REF!&lt;200,#REF!&lt;200), "Light User", "Balanced User")))</f>
        <v>#REF!</v>
      </c>
      <c r="AC3820" t="e">
        <f>IF(#REF! = 0, "No Usage", IF(#REF! &lt;= 20, "Low Usage", IF(#REF! &lt;= 40, "Medium Usgae", "High Usage")))</f>
        <v>#REF!</v>
      </c>
      <c r="AD3820" t="e">
        <f>IF(#REF!&lt;=150,"Low Usage", IF(#REF!&lt;=200,"Medium Usage", IF(#REF!&lt;=250,"High Usage","Very High Usage")))</f>
        <v>#REF!</v>
      </c>
      <c r="AE3820" t="e">
        <f>IF(#REF!&lt;=5,"Low Calls", IF(#REF!&lt;=10, "Medium Calls", "High Calls"))</f>
        <v>#REF!</v>
      </c>
      <c r="AF3820" t="e">
        <f xml:space="preserve">
IF(#REF!&gt;=4,4,0)+
IF(#REF!="yes",3,0)+
IF(#REF!="High Charges",3,0)+
IF(#REF!&gt;250,4,0)+
IF(#REF!="no",1,0)+
IF(#REF!="Heavy Domestic User",2,0)</f>
        <v>#REF!</v>
      </c>
      <c r="AG3820" t="e">
        <f>IF(#REF!&gt;=10,"High Risk", IF(#REF!&gt;=5,"Medium Risk","Low Risk"))</f>
        <v>#REF!</v>
      </c>
      <c r="AH3820" t="e">
        <f>#REF! + #REF! + #REF! + #REF!</f>
        <v>#REF!</v>
      </c>
    </row>
    <row r="3821" spans="1:34" x14ac:dyDescent="0.35">
      <c r="A3821">
        <v>3820</v>
      </c>
      <c r="B3821" t="s">
        <v>56</v>
      </c>
      <c r="C3821">
        <v>86</v>
      </c>
      <c r="D3821" t="s">
        <v>21</v>
      </c>
      <c r="E3821" t="s">
        <v>22</v>
      </c>
      <c r="F3821" t="s">
        <v>22</v>
      </c>
      <c r="G3821">
        <v>0</v>
      </c>
      <c r="H3821">
        <v>234.6</v>
      </c>
      <c r="I3821">
        <v>102</v>
      </c>
      <c r="J3821">
        <v>39.880000000000003</v>
      </c>
      <c r="K3821">
        <v>268.3</v>
      </c>
      <c r="L3821">
        <v>109</v>
      </c>
      <c r="M3821">
        <v>22.81</v>
      </c>
      <c r="N3821">
        <v>195.6</v>
      </c>
      <c r="O3821">
        <v>102</v>
      </c>
      <c r="P3821">
        <v>8.8000000000000007</v>
      </c>
      <c r="Q3821">
        <v>11.6</v>
      </c>
      <c r="R3821">
        <v>4</v>
      </c>
      <c r="S3821">
        <v>3.13</v>
      </c>
      <c r="T3821">
        <v>1</v>
      </c>
      <c r="U3821" t="s">
        <v>23</v>
      </c>
      <c r="V3821" t="e">
        <f>IF(#REF! = "yes", 1, 0)</f>
        <v>#REF!</v>
      </c>
      <c r="W3821" t="e">
        <f>IF(#REF! &lt;= 1, "0-1 Calls", IF(#REF! &lt;= 3, "2-3 Calls", IF(#REF! &lt;=5, "4-5 Calls", "6+ Calls")))</f>
        <v>#REF!</v>
      </c>
      <c r="X3821" t="e">
        <f>IF(#REF! &lt;= 50, "0-50", IF(#REF! &lt;=100, "51-100", IF(#REF! &lt;= 150, "101-150", "151+")))</f>
        <v>#REF!</v>
      </c>
      <c r="Y3821" t="e">
        <f>IF(#REF! &lt;= 3, "Low Charges", "High Charges")</f>
        <v>#REF!</v>
      </c>
      <c r="Z3821" t="e">
        <f>IF(#REF!&lt;=80,"Low Calls",
IF(#REF!&lt;=120,"Medium Calls","High Calls"))</f>
        <v>#REF!</v>
      </c>
      <c r="AA3821" t="e">
        <f>IF(#REF!&lt;=15,"Low Charges",
IF(#REF!&lt;=20,"Medium Charges","High Charges"))</f>
        <v>#REF!</v>
      </c>
      <c r="AB3821" t="e">
        <f>IF(AND(#REF!&gt;180, #REF!&gt;200), "Heavy Doemstic User", IF(#REF!&gt;10, "Interntional User", IF(AND(#REF!&lt;180, #REF!&lt;200,#REF!&lt;200), "Light User", "Balanced User")))</f>
        <v>#REF!</v>
      </c>
      <c r="AC3821" t="e">
        <f>IF(#REF! = 0, "No Usage", IF(#REF! &lt;= 20, "Low Usage", IF(#REF! &lt;= 40, "Medium Usgae", "High Usage")))</f>
        <v>#REF!</v>
      </c>
      <c r="AD3821" t="e">
        <f>IF(#REF!&lt;=150,"Low Usage", IF(#REF!&lt;=200,"Medium Usage", IF(#REF!&lt;=250,"High Usage","Very High Usage")))</f>
        <v>#REF!</v>
      </c>
      <c r="AE3821" t="e">
        <f>IF(#REF!&lt;=5,"Low Calls", IF(#REF!&lt;=10, "Medium Calls", "High Calls"))</f>
        <v>#REF!</v>
      </c>
      <c r="AF3821" t="e">
        <f xml:space="preserve">
IF(#REF!&gt;=4,4,0)+
IF(#REF!="yes",3,0)+
IF(#REF!="High Charges",3,0)+
IF(#REF!&gt;250,4,0)+
IF(#REF!="no",1,0)+
IF(#REF!="Heavy Domestic User",2,0)</f>
        <v>#REF!</v>
      </c>
      <c r="AG3821" t="e">
        <f>IF(#REF!&gt;=10,"High Risk", IF(#REF!&gt;=5,"Medium Risk","Low Risk"))</f>
        <v>#REF!</v>
      </c>
      <c r="AH3821" t="e">
        <f>#REF! + #REF! + #REF! + #REF!</f>
        <v>#REF!</v>
      </c>
    </row>
    <row r="3822" spans="1:34" x14ac:dyDescent="0.35">
      <c r="A3822">
        <v>3821</v>
      </c>
      <c r="B3822" t="s">
        <v>64</v>
      </c>
      <c r="C3822">
        <v>115</v>
      </c>
      <c r="D3822" t="s">
        <v>21</v>
      </c>
      <c r="E3822" t="s">
        <v>22</v>
      </c>
      <c r="F3822" t="s">
        <v>22</v>
      </c>
      <c r="G3822">
        <v>0</v>
      </c>
      <c r="H3822">
        <v>202.1</v>
      </c>
      <c r="I3822">
        <v>95</v>
      </c>
      <c r="J3822">
        <v>34.36</v>
      </c>
      <c r="K3822">
        <v>231.6</v>
      </c>
      <c r="L3822">
        <v>89</v>
      </c>
      <c r="M3822">
        <v>19.690000000000001</v>
      </c>
      <c r="N3822">
        <v>214.6</v>
      </c>
      <c r="O3822">
        <v>165</v>
      </c>
      <c r="P3822">
        <v>9.66</v>
      </c>
      <c r="Q3822">
        <v>13.1</v>
      </c>
      <c r="R3822">
        <v>7</v>
      </c>
      <c r="S3822">
        <v>3.54</v>
      </c>
      <c r="T3822">
        <v>1</v>
      </c>
      <c r="U3822" t="s">
        <v>22</v>
      </c>
      <c r="V3822" t="e">
        <f>IF(#REF! = "yes", 1, 0)</f>
        <v>#REF!</v>
      </c>
      <c r="W3822" t="e">
        <f>IF(#REF! &lt;= 1, "0-1 Calls", IF(#REF! &lt;= 3, "2-3 Calls", IF(#REF! &lt;=5, "4-5 Calls", "6+ Calls")))</f>
        <v>#REF!</v>
      </c>
      <c r="X3822" t="e">
        <f>IF(#REF! &lt;= 50, "0-50", IF(#REF! &lt;=100, "51-100", IF(#REF! &lt;= 150, "101-150", "151+")))</f>
        <v>#REF!</v>
      </c>
      <c r="Y3822" t="e">
        <f>IF(#REF! &lt;= 3, "Low Charges", "High Charges")</f>
        <v>#REF!</v>
      </c>
      <c r="Z3822" t="e">
        <f>IF(#REF!&lt;=80,"Low Calls",
IF(#REF!&lt;=120,"Medium Calls","High Calls"))</f>
        <v>#REF!</v>
      </c>
      <c r="AA3822" t="e">
        <f>IF(#REF!&lt;=15,"Low Charges",
IF(#REF!&lt;=20,"Medium Charges","High Charges"))</f>
        <v>#REF!</v>
      </c>
      <c r="AB3822" t="e">
        <f>IF(AND(#REF!&gt;180, #REF!&gt;200), "Heavy Doemstic User", IF(#REF!&gt;10, "Interntional User", IF(AND(#REF!&lt;180, #REF!&lt;200,#REF!&lt;200), "Light User", "Balanced User")))</f>
        <v>#REF!</v>
      </c>
      <c r="AC3822" t="e">
        <f>IF(#REF! = 0, "No Usage", IF(#REF! &lt;= 20, "Low Usage", IF(#REF! &lt;= 40, "Medium Usgae", "High Usage")))</f>
        <v>#REF!</v>
      </c>
      <c r="AD3822" t="e">
        <f>IF(#REF!&lt;=150,"Low Usage", IF(#REF!&lt;=200,"Medium Usage", IF(#REF!&lt;=250,"High Usage","Very High Usage")))</f>
        <v>#REF!</v>
      </c>
      <c r="AE3822" t="e">
        <f>IF(#REF!&lt;=5,"Low Calls", IF(#REF!&lt;=10, "Medium Calls", "High Calls"))</f>
        <v>#REF!</v>
      </c>
      <c r="AF3822" t="e">
        <f xml:space="preserve">
IF(#REF!&gt;=4,4,0)+
IF(#REF!="yes",3,0)+
IF(#REF!="High Charges",3,0)+
IF(#REF!&gt;250,4,0)+
IF(#REF!="no",1,0)+
IF(#REF!="Heavy Domestic User",2,0)</f>
        <v>#REF!</v>
      </c>
      <c r="AG3822" t="e">
        <f>IF(#REF!&gt;=10,"High Risk", IF(#REF!&gt;=5,"Medium Risk","Low Risk"))</f>
        <v>#REF!</v>
      </c>
      <c r="AH3822" t="e">
        <f>#REF! + #REF! + #REF! + #REF!</f>
        <v>#REF!</v>
      </c>
    </row>
    <row r="3823" spans="1:34" x14ac:dyDescent="0.35">
      <c r="A3823">
        <v>3822</v>
      </c>
      <c r="B3823" t="s">
        <v>71</v>
      </c>
      <c r="C3823">
        <v>128</v>
      </c>
      <c r="D3823" t="s">
        <v>28</v>
      </c>
      <c r="E3823" t="s">
        <v>22</v>
      </c>
      <c r="F3823" t="s">
        <v>23</v>
      </c>
      <c r="G3823">
        <v>40</v>
      </c>
      <c r="H3823">
        <v>272.2</v>
      </c>
      <c r="I3823">
        <v>112</v>
      </c>
      <c r="J3823">
        <v>46.27</v>
      </c>
      <c r="K3823">
        <v>239.9</v>
      </c>
      <c r="L3823">
        <v>111</v>
      </c>
      <c r="M3823">
        <v>20.39</v>
      </c>
      <c r="N3823">
        <v>257.3</v>
      </c>
      <c r="O3823">
        <v>124</v>
      </c>
      <c r="P3823">
        <v>11.58</v>
      </c>
      <c r="Q3823">
        <v>11.6</v>
      </c>
      <c r="R3823">
        <v>2</v>
      </c>
      <c r="S3823">
        <v>3.13</v>
      </c>
      <c r="T3823">
        <v>1</v>
      </c>
      <c r="U3823" t="s">
        <v>22</v>
      </c>
      <c r="V3823" t="e">
        <f>IF(#REF! = "yes", 1, 0)</f>
        <v>#REF!</v>
      </c>
      <c r="W3823" t="e">
        <f>IF(#REF! &lt;= 1, "0-1 Calls", IF(#REF! &lt;= 3, "2-3 Calls", IF(#REF! &lt;=5, "4-5 Calls", "6+ Calls")))</f>
        <v>#REF!</v>
      </c>
      <c r="X3823" t="e">
        <f>IF(#REF! &lt;= 50, "0-50", IF(#REF! &lt;=100, "51-100", IF(#REF! &lt;= 150, "101-150", "151+")))</f>
        <v>#REF!</v>
      </c>
      <c r="Y3823" t="e">
        <f>IF(#REF! &lt;= 3, "Low Charges", "High Charges")</f>
        <v>#REF!</v>
      </c>
      <c r="Z3823" t="e">
        <f>IF(#REF!&lt;=80,"Low Calls",
IF(#REF!&lt;=120,"Medium Calls","High Calls"))</f>
        <v>#REF!</v>
      </c>
      <c r="AA3823" t="e">
        <f>IF(#REF!&lt;=15,"Low Charges",
IF(#REF!&lt;=20,"Medium Charges","High Charges"))</f>
        <v>#REF!</v>
      </c>
      <c r="AB3823" t="e">
        <f>IF(AND(#REF!&gt;180, #REF!&gt;200), "Heavy Doemstic User", IF(#REF!&gt;10, "Interntional User", IF(AND(#REF!&lt;180, #REF!&lt;200,#REF!&lt;200), "Light User", "Balanced User")))</f>
        <v>#REF!</v>
      </c>
      <c r="AC3823" t="e">
        <f>IF(#REF! = 0, "No Usage", IF(#REF! &lt;= 20, "Low Usage", IF(#REF! &lt;= 40, "Medium Usgae", "High Usage")))</f>
        <v>#REF!</v>
      </c>
      <c r="AD3823" t="e">
        <f>IF(#REF!&lt;=150,"Low Usage", IF(#REF!&lt;=200,"Medium Usage", IF(#REF!&lt;=250,"High Usage","Very High Usage")))</f>
        <v>#REF!</v>
      </c>
      <c r="AE3823" t="e">
        <f>IF(#REF!&lt;=5,"Low Calls", IF(#REF!&lt;=10, "Medium Calls", "High Calls"))</f>
        <v>#REF!</v>
      </c>
      <c r="AF3823" t="e">
        <f xml:space="preserve">
IF(#REF!&gt;=4,4,0)+
IF(#REF!="yes",3,0)+
IF(#REF!="High Charges",3,0)+
IF(#REF!&gt;250,4,0)+
IF(#REF!="no",1,0)+
IF(#REF!="Heavy Domestic User",2,0)</f>
        <v>#REF!</v>
      </c>
      <c r="AG3823" t="e">
        <f>IF(#REF!&gt;=10,"High Risk", IF(#REF!&gt;=5,"Medium Risk","Low Risk"))</f>
        <v>#REF!</v>
      </c>
      <c r="AH3823" t="e">
        <f>#REF! + #REF! + #REF! + #REF!</f>
        <v>#REF!</v>
      </c>
    </row>
    <row r="3824" spans="1:34" x14ac:dyDescent="0.35">
      <c r="A3824">
        <v>3823</v>
      </c>
      <c r="B3824" t="s">
        <v>57</v>
      </c>
      <c r="C3824">
        <v>97</v>
      </c>
      <c r="D3824" t="s">
        <v>21</v>
      </c>
      <c r="E3824" t="s">
        <v>22</v>
      </c>
      <c r="F3824" t="s">
        <v>22</v>
      </c>
      <c r="G3824">
        <v>0</v>
      </c>
      <c r="H3824">
        <v>245.2</v>
      </c>
      <c r="I3824">
        <v>109</v>
      </c>
      <c r="J3824">
        <v>41.68</v>
      </c>
      <c r="K3824">
        <v>165.5</v>
      </c>
      <c r="L3824">
        <v>152</v>
      </c>
      <c r="M3824">
        <v>14.07</v>
      </c>
      <c r="N3824">
        <v>159.19999999999999</v>
      </c>
      <c r="O3824">
        <v>96</v>
      </c>
      <c r="P3824">
        <v>7.16</v>
      </c>
      <c r="Q3824">
        <v>9.1</v>
      </c>
      <c r="R3824">
        <v>8</v>
      </c>
      <c r="S3824">
        <v>2.46</v>
      </c>
      <c r="T3824">
        <v>1</v>
      </c>
      <c r="U3824" t="s">
        <v>22</v>
      </c>
      <c r="V3824" t="e">
        <f>IF(#REF! = "yes", 1, 0)</f>
        <v>#REF!</v>
      </c>
      <c r="W3824" t="e">
        <f>IF(#REF! &lt;= 1, "0-1 Calls", IF(#REF! &lt;= 3, "2-3 Calls", IF(#REF! &lt;=5, "4-5 Calls", "6+ Calls")))</f>
        <v>#REF!</v>
      </c>
      <c r="X3824" t="e">
        <f>IF(#REF! &lt;= 50, "0-50", IF(#REF! &lt;=100, "51-100", IF(#REF! &lt;= 150, "101-150", "151+")))</f>
        <v>#REF!</v>
      </c>
      <c r="Y3824" t="e">
        <f>IF(#REF! &lt;= 3, "Low Charges", "High Charges")</f>
        <v>#REF!</v>
      </c>
      <c r="Z3824" t="e">
        <f>IF(#REF!&lt;=80,"Low Calls",
IF(#REF!&lt;=120,"Medium Calls","High Calls"))</f>
        <v>#REF!</v>
      </c>
      <c r="AA3824" t="e">
        <f>IF(#REF!&lt;=15,"Low Charges",
IF(#REF!&lt;=20,"Medium Charges","High Charges"))</f>
        <v>#REF!</v>
      </c>
      <c r="AB3824" t="e">
        <f>IF(AND(#REF!&gt;180, #REF!&gt;200), "Heavy Doemstic User", IF(#REF!&gt;10, "Interntional User", IF(AND(#REF!&lt;180, #REF!&lt;200,#REF!&lt;200), "Light User", "Balanced User")))</f>
        <v>#REF!</v>
      </c>
      <c r="AC3824" t="e">
        <f>IF(#REF! = 0, "No Usage", IF(#REF! &lt;= 20, "Low Usage", IF(#REF! &lt;= 40, "Medium Usgae", "High Usage")))</f>
        <v>#REF!</v>
      </c>
      <c r="AD3824" t="e">
        <f>IF(#REF!&lt;=150,"Low Usage", IF(#REF!&lt;=200,"Medium Usage", IF(#REF!&lt;=250,"High Usage","Very High Usage")))</f>
        <v>#REF!</v>
      </c>
      <c r="AE3824" t="e">
        <f>IF(#REF!&lt;=5,"Low Calls", IF(#REF!&lt;=10, "Medium Calls", "High Calls"))</f>
        <v>#REF!</v>
      </c>
      <c r="AF3824" t="e">
        <f xml:space="preserve">
IF(#REF!&gt;=4,4,0)+
IF(#REF!="yes",3,0)+
IF(#REF!="High Charges",3,0)+
IF(#REF!&gt;250,4,0)+
IF(#REF!="no",1,0)+
IF(#REF!="Heavy Domestic User",2,0)</f>
        <v>#REF!</v>
      </c>
      <c r="AG3824" t="e">
        <f>IF(#REF!&gt;=10,"High Risk", IF(#REF!&gt;=5,"Medium Risk","Low Risk"))</f>
        <v>#REF!</v>
      </c>
      <c r="AH3824" t="e">
        <f>#REF! + #REF! + #REF! + #REF!</f>
        <v>#REF!</v>
      </c>
    </row>
    <row r="3825" spans="1:34" x14ac:dyDescent="0.35">
      <c r="A3825">
        <v>3824</v>
      </c>
      <c r="B3825" t="s">
        <v>41</v>
      </c>
      <c r="C3825">
        <v>90</v>
      </c>
      <c r="D3825" t="s">
        <v>21</v>
      </c>
      <c r="E3825" t="s">
        <v>22</v>
      </c>
      <c r="F3825" t="s">
        <v>22</v>
      </c>
      <c r="G3825">
        <v>0</v>
      </c>
      <c r="H3825">
        <v>207.6</v>
      </c>
      <c r="I3825">
        <v>82</v>
      </c>
      <c r="J3825">
        <v>35.29</v>
      </c>
      <c r="K3825">
        <v>193.3</v>
      </c>
      <c r="L3825">
        <v>105</v>
      </c>
      <c r="M3825">
        <v>16.43</v>
      </c>
      <c r="N3825">
        <v>149.69999999999999</v>
      </c>
      <c r="O3825">
        <v>68</v>
      </c>
      <c r="P3825">
        <v>6.74</v>
      </c>
      <c r="Q3825">
        <v>11.2</v>
      </c>
      <c r="R3825">
        <v>6</v>
      </c>
      <c r="S3825">
        <v>3.02</v>
      </c>
      <c r="T3825">
        <v>1</v>
      </c>
      <c r="U3825" t="s">
        <v>22</v>
      </c>
      <c r="V3825" t="e">
        <f>IF(#REF! = "yes", 1, 0)</f>
        <v>#REF!</v>
      </c>
      <c r="W3825" t="e">
        <f>IF(#REF! &lt;= 1, "0-1 Calls", IF(#REF! &lt;= 3, "2-3 Calls", IF(#REF! &lt;=5, "4-5 Calls", "6+ Calls")))</f>
        <v>#REF!</v>
      </c>
      <c r="X3825" t="e">
        <f>IF(#REF! &lt;= 50, "0-50", IF(#REF! &lt;=100, "51-100", IF(#REF! &lt;= 150, "101-150", "151+")))</f>
        <v>#REF!</v>
      </c>
      <c r="Y3825" t="e">
        <f>IF(#REF! &lt;= 3, "Low Charges", "High Charges")</f>
        <v>#REF!</v>
      </c>
      <c r="Z3825" t="e">
        <f>IF(#REF!&lt;=80,"Low Calls",
IF(#REF!&lt;=120,"Medium Calls","High Calls"))</f>
        <v>#REF!</v>
      </c>
      <c r="AA3825" t="e">
        <f>IF(#REF!&lt;=15,"Low Charges",
IF(#REF!&lt;=20,"Medium Charges","High Charges"))</f>
        <v>#REF!</v>
      </c>
      <c r="AB3825" t="e">
        <f>IF(AND(#REF!&gt;180, #REF!&gt;200), "Heavy Doemstic User", IF(#REF!&gt;10, "Interntional User", IF(AND(#REF!&lt;180, #REF!&lt;200,#REF!&lt;200), "Light User", "Balanced User")))</f>
        <v>#REF!</v>
      </c>
      <c r="AC3825" t="e">
        <f>IF(#REF! = 0, "No Usage", IF(#REF! &lt;= 20, "Low Usage", IF(#REF! &lt;= 40, "Medium Usgae", "High Usage")))</f>
        <v>#REF!</v>
      </c>
      <c r="AD3825" t="e">
        <f>IF(#REF!&lt;=150,"Low Usage", IF(#REF!&lt;=200,"Medium Usage", IF(#REF!&lt;=250,"High Usage","Very High Usage")))</f>
        <v>#REF!</v>
      </c>
      <c r="AE3825" t="e">
        <f>IF(#REF!&lt;=5,"Low Calls", IF(#REF!&lt;=10, "Medium Calls", "High Calls"))</f>
        <v>#REF!</v>
      </c>
      <c r="AF3825" t="e">
        <f xml:space="preserve">
IF(#REF!&gt;=4,4,0)+
IF(#REF!="yes",3,0)+
IF(#REF!="High Charges",3,0)+
IF(#REF!&gt;250,4,0)+
IF(#REF!="no",1,0)+
IF(#REF!="Heavy Domestic User",2,0)</f>
        <v>#REF!</v>
      </c>
      <c r="AG3825" t="e">
        <f>IF(#REF!&gt;=10,"High Risk", IF(#REF!&gt;=5,"Medium Risk","Low Risk"))</f>
        <v>#REF!</v>
      </c>
      <c r="AH3825" t="e">
        <f>#REF! + #REF! + #REF! + #REF!</f>
        <v>#REF!</v>
      </c>
    </row>
    <row r="3826" spans="1:34" x14ac:dyDescent="0.35">
      <c r="A3826">
        <v>3825</v>
      </c>
      <c r="B3826" t="s">
        <v>65</v>
      </c>
      <c r="C3826">
        <v>22</v>
      </c>
      <c r="D3826" t="s">
        <v>21</v>
      </c>
      <c r="E3826" t="s">
        <v>22</v>
      </c>
      <c r="F3826" t="s">
        <v>22</v>
      </c>
      <c r="G3826">
        <v>0</v>
      </c>
      <c r="H3826">
        <v>222.9</v>
      </c>
      <c r="I3826">
        <v>97</v>
      </c>
      <c r="J3826">
        <v>37.89</v>
      </c>
      <c r="K3826">
        <v>172.6</v>
      </c>
      <c r="L3826">
        <v>91</v>
      </c>
      <c r="M3826">
        <v>14.67</v>
      </c>
      <c r="N3826">
        <v>187.6</v>
      </c>
      <c r="O3826">
        <v>99</v>
      </c>
      <c r="P3826">
        <v>8.44</v>
      </c>
      <c r="Q3826">
        <v>10.1</v>
      </c>
      <c r="R3826">
        <v>3</v>
      </c>
      <c r="S3826">
        <v>2.73</v>
      </c>
      <c r="T3826">
        <v>1</v>
      </c>
      <c r="U3826" t="s">
        <v>22</v>
      </c>
      <c r="V3826" t="e">
        <f>IF(#REF! = "yes", 1, 0)</f>
        <v>#REF!</v>
      </c>
      <c r="W3826" t="e">
        <f>IF(#REF! &lt;= 1, "0-1 Calls", IF(#REF! &lt;= 3, "2-3 Calls", IF(#REF! &lt;=5, "4-5 Calls", "6+ Calls")))</f>
        <v>#REF!</v>
      </c>
      <c r="X3826" t="e">
        <f>IF(#REF! &lt;= 50, "0-50", IF(#REF! &lt;=100, "51-100", IF(#REF! &lt;= 150, "101-150", "151+")))</f>
        <v>#REF!</v>
      </c>
      <c r="Y3826" t="e">
        <f>IF(#REF! &lt;= 3, "Low Charges", "High Charges")</f>
        <v>#REF!</v>
      </c>
      <c r="Z3826" t="e">
        <f>IF(#REF!&lt;=80,"Low Calls",
IF(#REF!&lt;=120,"Medium Calls","High Calls"))</f>
        <v>#REF!</v>
      </c>
      <c r="AA3826" t="e">
        <f>IF(#REF!&lt;=15,"Low Charges",
IF(#REF!&lt;=20,"Medium Charges","High Charges"))</f>
        <v>#REF!</v>
      </c>
      <c r="AB3826" t="e">
        <f>IF(AND(#REF!&gt;180, #REF!&gt;200), "Heavy Doemstic User", IF(#REF!&gt;10, "Interntional User", IF(AND(#REF!&lt;180, #REF!&lt;200,#REF!&lt;200), "Light User", "Balanced User")))</f>
        <v>#REF!</v>
      </c>
      <c r="AC3826" t="e">
        <f>IF(#REF! = 0, "No Usage", IF(#REF! &lt;= 20, "Low Usage", IF(#REF! &lt;= 40, "Medium Usgae", "High Usage")))</f>
        <v>#REF!</v>
      </c>
      <c r="AD3826" t="e">
        <f>IF(#REF!&lt;=150,"Low Usage", IF(#REF!&lt;=200,"Medium Usage", IF(#REF!&lt;=250,"High Usage","Very High Usage")))</f>
        <v>#REF!</v>
      </c>
      <c r="AE3826" t="e">
        <f>IF(#REF!&lt;=5,"Low Calls", IF(#REF!&lt;=10, "Medium Calls", "High Calls"))</f>
        <v>#REF!</v>
      </c>
      <c r="AF3826" t="e">
        <f xml:space="preserve">
IF(#REF!&gt;=4,4,0)+
IF(#REF!="yes",3,0)+
IF(#REF!="High Charges",3,0)+
IF(#REF!&gt;250,4,0)+
IF(#REF!="no",1,0)+
IF(#REF!="Heavy Domestic User",2,0)</f>
        <v>#REF!</v>
      </c>
      <c r="AG3826" t="e">
        <f>IF(#REF!&gt;=10,"High Risk", IF(#REF!&gt;=5,"Medium Risk","Low Risk"))</f>
        <v>#REF!</v>
      </c>
      <c r="AH3826" t="e">
        <f>#REF! + #REF! + #REF! + #REF!</f>
        <v>#REF!</v>
      </c>
    </row>
    <row r="3827" spans="1:34" x14ac:dyDescent="0.35">
      <c r="A3827">
        <v>3826</v>
      </c>
      <c r="B3827" t="s">
        <v>34</v>
      </c>
      <c r="C3827">
        <v>121</v>
      </c>
      <c r="D3827" t="s">
        <v>21</v>
      </c>
      <c r="E3827" t="s">
        <v>22</v>
      </c>
      <c r="F3827" t="s">
        <v>22</v>
      </c>
      <c r="G3827">
        <v>0</v>
      </c>
      <c r="H3827">
        <v>273.8</v>
      </c>
      <c r="I3827">
        <v>96</v>
      </c>
      <c r="J3827">
        <v>46.55</v>
      </c>
      <c r="K3827">
        <v>263.10000000000002</v>
      </c>
      <c r="L3827">
        <v>106</v>
      </c>
      <c r="M3827">
        <v>22.36</v>
      </c>
      <c r="N3827">
        <v>201.5</v>
      </c>
      <c r="O3827">
        <v>83</v>
      </c>
      <c r="P3827">
        <v>9.07</v>
      </c>
      <c r="Q3827">
        <v>10.8</v>
      </c>
      <c r="R3827">
        <v>3</v>
      </c>
      <c r="S3827">
        <v>2.92</v>
      </c>
      <c r="T3827">
        <v>1</v>
      </c>
      <c r="U3827" t="s">
        <v>23</v>
      </c>
      <c r="V3827" t="e">
        <f>IF(#REF! = "yes", 1, 0)</f>
        <v>#REF!</v>
      </c>
      <c r="W3827" t="e">
        <f>IF(#REF! &lt;= 1, "0-1 Calls", IF(#REF! &lt;= 3, "2-3 Calls", IF(#REF! &lt;=5, "4-5 Calls", "6+ Calls")))</f>
        <v>#REF!</v>
      </c>
      <c r="X3827" t="e">
        <f>IF(#REF! &lt;= 50, "0-50", IF(#REF! &lt;=100, "51-100", IF(#REF! &lt;= 150, "101-150", "151+")))</f>
        <v>#REF!</v>
      </c>
      <c r="Y3827" t="e">
        <f>IF(#REF! &lt;= 3, "Low Charges", "High Charges")</f>
        <v>#REF!</v>
      </c>
      <c r="Z3827" t="e">
        <f>IF(#REF!&lt;=80,"Low Calls",
IF(#REF!&lt;=120,"Medium Calls","High Calls"))</f>
        <v>#REF!</v>
      </c>
      <c r="AA3827" t="e">
        <f>IF(#REF!&lt;=15,"Low Charges",
IF(#REF!&lt;=20,"Medium Charges","High Charges"))</f>
        <v>#REF!</v>
      </c>
      <c r="AB3827" t="e">
        <f>IF(AND(#REF!&gt;180, #REF!&gt;200), "Heavy Doemstic User", IF(#REF!&gt;10, "Interntional User", IF(AND(#REF!&lt;180, #REF!&lt;200,#REF!&lt;200), "Light User", "Balanced User")))</f>
        <v>#REF!</v>
      </c>
      <c r="AC3827" t="e">
        <f>IF(#REF! = 0, "No Usage", IF(#REF! &lt;= 20, "Low Usage", IF(#REF! &lt;= 40, "Medium Usgae", "High Usage")))</f>
        <v>#REF!</v>
      </c>
      <c r="AD3827" t="e">
        <f>IF(#REF!&lt;=150,"Low Usage", IF(#REF!&lt;=200,"Medium Usage", IF(#REF!&lt;=250,"High Usage","Very High Usage")))</f>
        <v>#REF!</v>
      </c>
      <c r="AE3827" t="e">
        <f>IF(#REF!&lt;=5,"Low Calls", IF(#REF!&lt;=10, "Medium Calls", "High Calls"))</f>
        <v>#REF!</v>
      </c>
      <c r="AF3827" t="e">
        <f xml:space="preserve">
IF(#REF!&gt;=4,4,0)+
IF(#REF!="yes",3,0)+
IF(#REF!="High Charges",3,0)+
IF(#REF!&gt;250,4,0)+
IF(#REF!="no",1,0)+
IF(#REF!="Heavy Domestic User",2,0)</f>
        <v>#REF!</v>
      </c>
      <c r="AG3827" t="e">
        <f>IF(#REF!&gt;=10,"High Risk", IF(#REF!&gt;=5,"Medium Risk","Low Risk"))</f>
        <v>#REF!</v>
      </c>
      <c r="AH3827" t="e">
        <f>#REF! + #REF! + #REF! + #REF!</f>
        <v>#REF!</v>
      </c>
    </row>
    <row r="3828" spans="1:34" x14ac:dyDescent="0.35">
      <c r="A3828">
        <v>3827</v>
      </c>
      <c r="B3828" t="s">
        <v>74</v>
      </c>
      <c r="C3828">
        <v>169</v>
      </c>
      <c r="D3828" t="s">
        <v>28</v>
      </c>
      <c r="E3828" t="s">
        <v>22</v>
      </c>
      <c r="F3828" t="s">
        <v>22</v>
      </c>
      <c r="G3828">
        <v>0</v>
      </c>
      <c r="H3828">
        <v>192.8</v>
      </c>
      <c r="I3828">
        <v>98</v>
      </c>
      <c r="J3828">
        <v>32.78</v>
      </c>
      <c r="K3828">
        <v>273.2</v>
      </c>
      <c r="L3828">
        <v>125</v>
      </c>
      <c r="M3828">
        <v>23.22</v>
      </c>
      <c r="N3828">
        <v>266.3</v>
      </c>
      <c r="O3828">
        <v>102</v>
      </c>
      <c r="P3828">
        <v>11.98</v>
      </c>
      <c r="Q3828">
        <v>11.4</v>
      </c>
      <c r="R3828">
        <v>6</v>
      </c>
      <c r="S3828">
        <v>3.08</v>
      </c>
      <c r="T3828">
        <v>2</v>
      </c>
      <c r="U3828" t="s">
        <v>22</v>
      </c>
      <c r="V3828" t="e">
        <f>IF(#REF! = "yes", 1, 0)</f>
        <v>#REF!</v>
      </c>
      <c r="W3828" t="e">
        <f>IF(#REF! &lt;= 1, "0-1 Calls", IF(#REF! &lt;= 3, "2-3 Calls", IF(#REF! &lt;=5, "4-5 Calls", "6+ Calls")))</f>
        <v>#REF!</v>
      </c>
      <c r="X3828" t="e">
        <f>IF(#REF! &lt;= 50, "0-50", IF(#REF! &lt;=100, "51-100", IF(#REF! &lt;= 150, "101-150", "151+")))</f>
        <v>#REF!</v>
      </c>
      <c r="Y3828" t="e">
        <f>IF(#REF! &lt;= 3, "Low Charges", "High Charges")</f>
        <v>#REF!</v>
      </c>
      <c r="Z3828" t="e">
        <f>IF(#REF!&lt;=80,"Low Calls",
IF(#REF!&lt;=120,"Medium Calls","High Calls"))</f>
        <v>#REF!</v>
      </c>
      <c r="AA3828" t="e">
        <f>IF(#REF!&lt;=15,"Low Charges",
IF(#REF!&lt;=20,"Medium Charges","High Charges"))</f>
        <v>#REF!</v>
      </c>
      <c r="AB3828" t="e">
        <f>IF(AND(#REF!&gt;180, #REF!&gt;200), "Heavy Doemstic User", IF(#REF!&gt;10, "Interntional User", IF(AND(#REF!&lt;180, #REF!&lt;200,#REF!&lt;200), "Light User", "Balanced User")))</f>
        <v>#REF!</v>
      </c>
      <c r="AC3828" t="e">
        <f>IF(#REF! = 0, "No Usage", IF(#REF! &lt;= 20, "Low Usage", IF(#REF! &lt;= 40, "Medium Usgae", "High Usage")))</f>
        <v>#REF!</v>
      </c>
      <c r="AD3828" t="e">
        <f>IF(#REF!&lt;=150,"Low Usage", IF(#REF!&lt;=200,"Medium Usage", IF(#REF!&lt;=250,"High Usage","Very High Usage")))</f>
        <v>#REF!</v>
      </c>
      <c r="AE3828" t="e">
        <f>IF(#REF!&lt;=5,"Low Calls", IF(#REF!&lt;=10, "Medium Calls", "High Calls"))</f>
        <v>#REF!</v>
      </c>
      <c r="AF3828" t="e">
        <f xml:space="preserve">
IF(#REF!&gt;=4,4,0)+
IF(#REF!="yes",3,0)+
IF(#REF!="High Charges",3,0)+
IF(#REF!&gt;250,4,0)+
IF(#REF!="no",1,0)+
IF(#REF!="Heavy Domestic User",2,0)</f>
        <v>#REF!</v>
      </c>
      <c r="AG3828" t="e">
        <f>IF(#REF!&gt;=10,"High Risk", IF(#REF!&gt;=5,"Medium Risk","Low Risk"))</f>
        <v>#REF!</v>
      </c>
      <c r="AH3828" t="e">
        <f>#REF! + #REF! + #REF! + #REF!</f>
        <v>#REF!</v>
      </c>
    </row>
    <row r="3829" spans="1:34" x14ac:dyDescent="0.35">
      <c r="A3829">
        <v>3828</v>
      </c>
      <c r="B3829" t="s">
        <v>27</v>
      </c>
      <c r="C3829">
        <v>83</v>
      </c>
      <c r="D3829" t="s">
        <v>28</v>
      </c>
      <c r="E3829" t="s">
        <v>22</v>
      </c>
      <c r="F3829" t="s">
        <v>22</v>
      </c>
      <c r="G3829">
        <v>0</v>
      </c>
      <c r="H3829">
        <v>268.7</v>
      </c>
      <c r="I3829">
        <v>81</v>
      </c>
      <c r="J3829">
        <v>45.68</v>
      </c>
      <c r="K3829">
        <v>145.5</v>
      </c>
      <c r="L3829">
        <v>100</v>
      </c>
      <c r="M3829">
        <v>12.37</v>
      </c>
      <c r="N3829">
        <v>185.6</v>
      </c>
      <c r="O3829">
        <v>86</v>
      </c>
      <c r="P3829">
        <v>8.35</v>
      </c>
      <c r="Q3829">
        <v>9.4</v>
      </c>
      <c r="R3829">
        <v>6</v>
      </c>
      <c r="S3829">
        <v>2.54</v>
      </c>
      <c r="T3829">
        <v>0</v>
      </c>
      <c r="U3829" t="s">
        <v>22</v>
      </c>
      <c r="V3829" t="e">
        <f>IF(#REF! = "yes", 1, 0)</f>
        <v>#REF!</v>
      </c>
      <c r="W3829" t="e">
        <f>IF(#REF! &lt;= 1, "0-1 Calls", IF(#REF! &lt;= 3, "2-3 Calls", IF(#REF! &lt;=5, "4-5 Calls", "6+ Calls")))</f>
        <v>#REF!</v>
      </c>
      <c r="X3829" t="e">
        <f>IF(#REF! &lt;= 50, "0-50", IF(#REF! &lt;=100, "51-100", IF(#REF! &lt;= 150, "101-150", "151+")))</f>
        <v>#REF!</v>
      </c>
      <c r="Y3829" t="e">
        <f>IF(#REF! &lt;= 3, "Low Charges", "High Charges")</f>
        <v>#REF!</v>
      </c>
      <c r="Z3829" t="e">
        <f>IF(#REF!&lt;=80,"Low Calls",
IF(#REF!&lt;=120,"Medium Calls","High Calls"))</f>
        <v>#REF!</v>
      </c>
      <c r="AA3829" t="e">
        <f>IF(#REF!&lt;=15,"Low Charges",
IF(#REF!&lt;=20,"Medium Charges","High Charges"))</f>
        <v>#REF!</v>
      </c>
      <c r="AB3829" t="e">
        <f>IF(AND(#REF!&gt;180, #REF!&gt;200), "Heavy Doemstic User", IF(#REF!&gt;10, "Interntional User", IF(AND(#REF!&lt;180, #REF!&lt;200,#REF!&lt;200), "Light User", "Balanced User")))</f>
        <v>#REF!</v>
      </c>
      <c r="AC3829" t="e">
        <f>IF(#REF! = 0, "No Usage", IF(#REF! &lt;= 20, "Low Usage", IF(#REF! &lt;= 40, "Medium Usgae", "High Usage")))</f>
        <v>#REF!</v>
      </c>
      <c r="AD3829" t="e">
        <f>IF(#REF!&lt;=150,"Low Usage", IF(#REF!&lt;=200,"Medium Usage", IF(#REF!&lt;=250,"High Usage","Very High Usage")))</f>
        <v>#REF!</v>
      </c>
      <c r="AE3829" t="e">
        <f>IF(#REF!&lt;=5,"Low Calls", IF(#REF!&lt;=10, "Medium Calls", "High Calls"))</f>
        <v>#REF!</v>
      </c>
      <c r="AF3829" t="e">
        <f xml:space="preserve">
IF(#REF!&gt;=4,4,0)+
IF(#REF!="yes",3,0)+
IF(#REF!="High Charges",3,0)+
IF(#REF!&gt;250,4,0)+
IF(#REF!="no",1,0)+
IF(#REF!="Heavy Domestic User",2,0)</f>
        <v>#REF!</v>
      </c>
      <c r="AG3829" t="e">
        <f>IF(#REF!&gt;=10,"High Risk", IF(#REF!&gt;=5,"Medium Risk","Low Risk"))</f>
        <v>#REF!</v>
      </c>
      <c r="AH3829" t="e">
        <f>#REF! + #REF! + #REF! + #REF!</f>
        <v>#REF!</v>
      </c>
    </row>
    <row r="3830" spans="1:34" x14ac:dyDescent="0.35">
      <c r="A3830">
        <v>3829</v>
      </c>
      <c r="B3830" t="s">
        <v>62</v>
      </c>
      <c r="C3830">
        <v>87</v>
      </c>
      <c r="D3830" t="s">
        <v>25</v>
      </c>
      <c r="E3830" t="s">
        <v>22</v>
      </c>
      <c r="F3830" t="s">
        <v>23</v>
      </c>
      <c r="G3830">
        <v>48</v>
      </c>
      <c r="H3830">
        <v>178.8</v>
      </c>
      <c r="I3830">
        <v>91</v>
      </c>
      <c r="J3830">
        <v>30.4</v>
      </c>
      <c r="K3830">
        <v>246.8</v>
      </c>
      <c r="L3830">
        <v>106</v>
      </c>
      <c r="M3830">
        <v>20.98</v>
      </c>
      <c r="N3830">
        <v>262.39999999999998</v>
      </c>
      <c r="O3830">
        <v>119</v>
      </c>
      <c r="P3830">
        <v>11.81</v>
      </c>
      <c r="Q3830">
        <v>9</v>
      </c>
      <c r="R3830">
        <v>8</v>
      </c>
      <c r="S3830">
        <v>2.4300000000000002</v>
      </c>
      <c r="T3830">
        <v>1</v>
      </c>
      <c r="U3830" t="s">
        <v>22</v>
      </c>
      <c r="V3830" t="e">
        <f>IF(#REF! = "yes", 1, 0)</f>
        <v>#REF!</v>
      </c>
      <c r="W3830" t="e">
        <f>IF(#REF! &lt;= 1, "0-1 Calls", IF(#REF! &lt;= 3, "2-3 Calls", IF(#REF! &lt;=5, "4-5 Calls", "6+ Calls")))</f>
        <v>#REF!</v>
      </c>
      <c r="X3830" t="e">
        <f>IF(#REF! &lt;= 50, "0-50", IF(#REF! &lt;=100, "51-100", IF(#REF! &lt;= 150, "101-150", "151+")))</f>
        <v>#REF!</v>
      </c>
      <c r="Y3830" t="e">
        <f>IF(#REF! &lt;= 3, "Low Charges", "High Charges")</f>
        <v>#REF!</v>
      </c>
      <c r="Z3830" t="e">
        <f>IF(#REF!&lt;=80,"Low Calls",
IF(#REF!&lt;=120,"Medium Calls","High Calls"))</f>
        <v>#REF!</v>
      </c>
      <c r="AA3830" t="e">
        <f>IF(#REF!&lt;=15,"Low Charges",
IF(#REF!&lt;=20,"Medium Charges","High Charges"))</f>
        <v>#REF!</v>
      </c>
      <c r="AB3830" t="e">
        <f>IF(AND(#REF!&gt;180, #REF!&gt;200), "Heavy Doemstic User", IF(#REF!&gt;10, "Interntional User", IF(AND(#REF!&lt;180, #REF!&lt;200,#REF!&lt;200), "Light User", "Balanced User")))</f>
        <v>#REF!</v>
      </c>
      <c r="AC3830" t="e">
        <f>IF(#REF! = 0, "No Usage", IF(#REF! &lt;= 20, "Low Usage", IF(#REF! &lt;= 40, "Medium Usgae", "High Usage")))</f>
        <v>#REF!</v>
      </c>
      <c r="AD3830" t="e">
        <f>IF(#REF!&lt;=150,"Low Usage", IF(#REF!&lt;=200,"Medium Usage", IF(#REF!&lt;=250,"High Usage","Very High Usage")))</f>
        <v>#REF!</v>
      </c>
      <c r="AE3830" t="e">
        <f>IF(#REF!&lt;=5,"Low Calls", IF(#REF!&lt;=10, "Medium Calls", "High Calls"))</f>
        <v>#REF!</v>
      </c>
      <c r="AF3830" t="e">
        <f xml:space="preserve">
IF(#REF!&gt;=4,4,0)+
IF(#REF!="yes",3,0)+
IF(#REF!="High Charges",3,0)+
IF(#REF!&gt;250,4,0)+
IF(#REF!="no",1,0)+
IF(#REF!="Heavy Domestic User",2,0)</f>
        <v>#REF!</v>
      </c>
      <c r="AG3830" t="e">
        <f>IF(#REF!&gt;=10,"High Risk", IF(#REF!&gt;=5,"Medium Risk","Low Risk"))</f>
        <v>#REF!</v>
      </c>
      <c r="AH3830" t="e">
        <f>#REF! + #REF! + #REF! + #REF!</f>
        <v>#REF!</v>
      </c>
    </row>
    <row r="3831" spans="1:34" x14ac:dyDescent="0.35">
      <c r="A3831">
        <v>3830</v>
      </c>
      <c r="B3831" t="s">
        <v>38</v>
      </c>
      <c r="C3831">
        <v>126</v>
      </c>
      <c r="D3831" t="s">
        <v>21</v>
      </c>
      <c r="E3831" t="s">
        <v>22</v>
      </c>
      <c r="F3831" t="s">
        <v>23</v>
      </c>
      <c r="G3831">
        <v>24</v>
      </c>
      <c r="H3831">
        <v>197.3</v>
      </c>
      <c r="I3831">
        <v>82</v>
      </c>
      <c r="J3831">
        <v>33.54</v>
      </c>
      <c r="K3831">
        <v>167.6</v>
      </c>
      <c r="L3831">
        <v>51</v>
      </c>
      <c r="M3831">
        <v>14.25</v>
      </c>
      <c r="N3831">
        <v>222</v>
      </c>
      <c r="O3831">
        <v>89</v>
      </c>
      <c r="P3831">
        <v>9.99</v>
      </c>
      <c r="Q3831">
        <v>7.4</v>
      </c>
      <c r="R3831">
        <v>3</v>
      </c>
      <c r="S3831">
        <v>2</v>
      </c>
      <c r="T3831">
        <v>1</v>
      </c>
      <c r="U3831" t="s">
        <v>22</v>
      </c>
      <c r="V3831" t="e">
        <f>IF(#REF! = "yes", 1, 0)</f>
        <v>#REF!</v>
      </c>
      <c r="W3831" t="e">
        <f>IF(#REF! &lt;= 1, "0-1 Calls", IF(#REF! &lt;= 3, "2-3 Calls", IF(#REF! &lt;=5, "4-5 Calls", "6+ Calls")))</f>
        <v>#REF!</v>
      </c>
      <c r="X3831" t="e">
        <f>IF(#REF! &lt;= 50, "0-50", IF(#REF! &lt;=100, "51-100", IF(#REF! &lt;= 150, "101-150", "151+")))</f>
        <v>#REF!</v>
      </c>
      <c r="Y3831" t="e">
        <f>IF(#REF! &lt;= 3, "Low Charges", "High Charges")</f>
        <v>#REF!</v>
      </c>
      <c r="Z3831" t="e">
        <f>IF(#REF!&lt;=80,"Low Calls",
IF(#REF!&lt;=120,"Medium Calls","High Calls"))</f>
        <v>#REF!</v>
      </c>
      <c r="AA3831" t="e">
        <f>IF(#REF!&lt;=15,"Low Charges",
IF(#REF!&lt;=20,"Medium Charges","High Charges"))</f>
        <v>#REF!</v>
      </c>
      <c r="AB3831" t="e">
        <f>IF(AND(#REF!&gt;180, #REF!&gt;200), "Heavy Doemstic User", IF(#REF!&gt;10, "Interntional User", IF(AND(#REF!&lt;180, #REF!&lt;200,#REF!&lt;200), "Light User", "Balanced User")))</f>
        <v>#REF!</v>
      </c>
      <c r="AC3831" t="e">
        <f>IF(#REF! = 0, "No Usage", IF(#REF! &lt;= 20, "Low Usage", IF(#REF! &lt;= 40, "Medium Usgae", "High Usage")))</f>
        <v>#REF!</v>
      </c>
      <c r="AD3831" t="e">
        <f>IF(#REF!&lt;=150,"Low Usage", IF(#REF!&lt;=200,"Medium Usage", IF(#REF!&lt;=250,"High Usage","Very High Usage")))</f>
        <v>#REF!</v>
      </c>
      <c r="AE3831" t="e">
        <f>IF(#REF!&lt;=5,"Low Calls", IF(#REF!&lt;=10, "Medium Calls", "High Calls"))</f>
        <v>#REF!</v>
      </c>
      <c r="AF3831" t="e">
        <f xml:space="preserve">
IF(#REF!&gt;=4,4,0)+
IF(#REF!="yes",3,0)+
IF(#REF!="High Charges",3,0)+
IF(#REF!&gt;250,4,0)+
IF(#REF!="no",1,0)+
IF(#REF!="Heavy Domestic User",2,0)</f>
        <v>#REF!</v>
      </c>
      <c r="AG3831" t="e">
        <f>IF(#REF!&gt;=10,"High Risk", IF(#REF!&gt;=5,"Medium Risk","Low Risk"))</f>
        <v>#REF!</v>
      </c>
      <c r="AH3831" t="e">
        <f>#REF! + #REF! + #REF! + #REF!</f>
        <v>#REF!</v>
      </c>
    </row>
    <row r="3832" spans="1:34" x14ac:dyDescent="0.35">
      <c r="A3832">
        <v>3831</v>
      </c>
      <c r="B3832" t="s">
        <v>36</v>
      </c>
      <c r="C3832">
        <v>61</v>
      </c>
      <c r="D3832" t="s">
        <v>21</v>
      </c>
      <c r="E3832" t="s">
        <v>22</v>
      </c>
      <c r="F3832" t="s">
        <v>23</v>
      </c>
      <c r="G3832">
        <v>36</v>
      </c>
      <c r="H3832">
        <v>233.9</v>
      </c>
      <c r="I3832">
        <v>97</v>
      </c>
      <c r="J3832">
        <v>39.76</v>
      </c>
      <c r="K3832">
        <v>175.6</v>
      </c>
      <c r="L3832">
        <v>133</v>
      </c>
      <c r="M3832">
        <v>14.93</v>
      </c>
      <c r="N3832">
        <v>177</v>
      </c>
      <c r="O3832">
        <v>83</v>
      </c>
      <c r="P3832">
        <v>7.97</v>
      </c>
      <c r="Q3832">
        <v>9.5</v>
      </c>
      <c r="R3832">
        <v>4</v>
      </c>
      <c r="S3832">
        <v>2.57</v>
      </c>
      <c r="T3832">
        <v>1</v>
      </c>
      <c r="U3832" t="s">
        <v>22</v>
      </c>
      <c r="V3832" t="e">
        <f>IF(#REF! = "yes", 1, 0)</f>
        <v>#REF!</v>
      </c>
      <c r="W3832" t="e">
        <f>IF(#REF! &lt;= 1, "0-1 Calls", IF(#REF! &lt;= 3, "2-3 Calls", IF(#REF! &lt;=5, "4-5 Calls", "6+ Calls")))</f>
        <v>#REF!</v>
      </c>
      <c r="X3832" t="e">
        <f>IF(#REF! &lt;= 50, "0-50", IF(#REF! &lt;=100, "51-100", IF(#REF! &lt;= 150, "101-150", "151+")))</f>
        <v>#REF!</v>
      </c>
      <c r="Y3832" t="e">
        <f>IF(#REF! &lt;= 3, "Low Charges", "High Charges")</f>
        <v>#REF!</v>
      </c>
      <c r="Z3832" t="e">
        <f>IF(#REF!&lt;=80,"Low Calls",
IF(#REF!&lt;=120,"Medium Calls","High Calls"))</f>
        <v>#REF!</v>
      </c>
      <c r="AA3832" t="e">
        <f>IF(#REF!&lt;=15,"Low Charges",
IF(#REF!&lt;=20,"Medium Charges","High Charges"))</f>
        <v>#REF!</v>
      </c>
      <c r="AB3832" t="e">
        <f>IF(AND(#REF!&gt;180, #REF!&gt;200), "Heavy Doemstic User", IF(#REF!&gt;10, "Interntional User", IF(AND(#REF!&lt;180, #REF!&lt;200,#REF!&lt;200), "Light User", "Balanced User")))</f>
        <v>#REF!</v>
      </c>
      <c r="AC3832" t="e">
        <f>IF(#REF! = 0, "No Usage", IF(#REF! &lt;= 20, "Low Usage", IF(#REF! &lt;= 40, "Medium Usgae", "High Usage")))</f>
        <v>#REF!</v>
      </c>
      <c r="AD3832" t="e">
        <f>IF(#REF!&lt;=150,"Low Usage", IF(#REF!&lt;=200,"Medium Usage", IF(#REF!&lt;=250,"High Usage","Very High Usage")))</f>
        <v>#REF!</v>
      </c>
      <c r="AE3832" t="e">
        <f>IF(#REF!&lt;=5,"Low Calls", IF(#REF!&lt;=10, "Medium Calls", "High Calls"))</f>
        <v>#REF!</v>
      </c>
      <c r="AF3832" t="e">
        <f xml:space="preserve">
IF(#REF!&gt;=4,4,0)+
IF(#REF!="yes",3,0)+
IF(#REF!="High Charges",3,0)+
IF(#REF!&gt;250,4,0)+
IF(#REF!="no",1,0)+
IF(#REF!="Heavy Domestic User",2,0)</f>
        <v>#REF!</v>
      </c>
      <c r="AG3832" t="e">
        <f>IF(#REF!&gt;=10,"High Risk", IF(#REF!&gt;=5,"Medium Risk","Low Risk"))</f>
        <v>#REF!</v>
      </c>
      <c r="AH3832" t="e">
        <f>#REF! + #REF! + #REF! + #REF!</f>
        <v>#REF!</v>
      </c>
    </row>
    <row r="3833" spans="1:34" x14ac:dyDescent="0.35">
      <c r="A3833">
        <v>3832</v>
      </c>
      <c r="B3833" t="s">
        <v>29</v>
      </c>
      <c r="C3833">
        <v>90</v>
      </c>
      <c r="D3833" t="s">
        <v>25</v>
      </c>
      <c r="E3833" t="s">
        <v>23</v>
      </c>
      <c r="F3833" t="s">
        <v>22</v>
      </c>
      <c r="G3833">
        <v>0</v>
      </c>
      <c r="H3833">
        <v>207.1</v>
      </c>
      <c r="I3833">
        <v>87</v>
      </c>
      <c r="J3833">
        <v>35.21</v>
      </c>
      <c r="K3833">
        <v>208.5</v>
      </c>
      <c r="L3833">
        <v>87</v>
      </c>
      <c r="M3833">
        <v>17.72</v>
      </c>
      <c r="N3833">
        <v>146</v>
      </c>
      <c r="O3833">
        <v>95</v>
      </c>
      <c r="P3833">
        <v>6.57</v>
      </c>
      <c r="Q3833">
        <v>4.4000000000000004</v>
      </c>
      <c r="R3833">
        <v>5</v>
      </c>
      <c r="S3833">
        <v>1.19</v>
      </c>
      <c r="T3833">
        <v>2</v>
      </c>
      <c r="U3833" t="s">
        <v>22</v>
      </c>
      <c r="V3833" t="e">
        <f>IF(#REF! = "yes", 1, 0)</f>
        <v>#REF!</v>
      </c>
      <c r="W3833" t="e">
        <f>IF(#REF! &lt;= 1, "0-1 Calls", IF(#REF! &lt;= 3, "2-3 Calls", IF(#REF! &lt;=5, "4-5 Calls", "6+ Calls")))</f>
        <v>#REF!</v>
      </c>
      <c r="X3833" t="e">
        <f>IF(#REF! &lt;= 50, "0-50", IF(#REF! &lt;=100, "51-100", IF(#REF! &lt;= 150, "101-150", "151+")))</f>
        <v>#REF!</v>
      </c>
      <c r="Y3833" t="e">
        <f>IF(#REF! &lt;= 3, "Low Charges", "High Charges")</f>
        <v>#REF!</v>
      </c>
      <c r="Z3833" t="e">
        <f>IF(#REF!&lt;=80,"Low Calls",
IF(#REF!&lt;=120,"Medium Calls","High Calls"))</f>
        <v>#REF!</v>
      </c>
      <c r="AA3833" t="e">
        <f>IF(#REF!&lt;=15,"Low Charges",
IF(#REF!&lt;=20,"Medium Charges","High Charges"))</f>
        <v>#REF!</v>
      </c>
      <c r="AB3833" t="e">
        <f>IF(AND(#REF!&gt;180, #REF!&gt;200), "Heavy Doemstic User", IF(#REF!&gt;10, "Interntional User", IF(AND(#REF!&lt;180, #REF!&lt;200,#REF!&lt;200), "Light User", "Balanced User")))</f>
        <v>#REF!</v>
      </c>
      <c r="AC3833" t="e">
        <f>IF(#REF! = 0, "No Usage", IF(#REF! &lt;= 20, "Low Usage", IF(#REF! &lt;= 40, "Medium Usgae", "High Usage")))</f>
        <v>#REF!</v>
      </c>
      <c r="AD3833" t="e">
        <f>IF(#REF!&lt;=150,"Low Usage", IF(#REF!&lt;=200,"Medium Usage", IF(#REF!&lt;=250,"High Usage","Very High Usage")))</f>
        <v>#REF!</v>
      </c>
      <c r="AE3833" t="e">
        <f>IF(#REF!&lt;=5,"Low Calls", IF(#REF!&lt;=10, "Medium Calls", "High Calls"))</f>
        <v>#REF!</v>
      </c>
      <c r="AF3833" t="e">
        <f xml:space="preserve">
IF(#REF!&gt;=4,4,0)+
IF(#REF!="yes",3,0)+
IF(#REF!="High Charges",3,0)+
IF(#REF!&gt;250,4,0)+
IF(#REF!="no",1,0)+
IF(#REF!="Heavy Domestic User",2,0)</f>
        <v>#REF!</v>
      </c>
      <c r="AG3833" t="e">
        <f>IF(#REF!&gt;=10,"High Risk", IF(#REF!&gt;=5,"Medium Risk","Low Risk"))</f>
        <v>#REF!</v>
      </c>
      <c r="AH3833" t="e">
        <f>#REF! + #REF! + #REF! + #REF!</f>
        <v>#REF!</v>
      </c>
    </row>
    <row r="3834" spans="1:34" x14ac:dyDescent="0.35">
      <c r="A3834">
        <v>3833</v>
      </c>
      <c r="B3834" t="s">
        <v>40</v>
      </c>
      <c r="C3834">
        <v>131</v>
      </c>
      <c r="D3834" t="s">
        <v>25</v>
      </c>
      <c r="E3834" t="s">
        <v>22</v>
      </c>
      <c r="F3834" t="s">
        <v>22</v>
      </c>
      <c r="G3834">
        <v>0</v>
      </c>
      <c r="H3834">
        <v>136.80000000000001</v>
      </c>
      <c r="I3834">
        <v>84</v>
      </c>
      <c r="J3834">
        <v>23.26</v>
      </c>
      <c r="K3834">
        <v>179.4</v>
      </c>
      <c r="L3834">
        <v>81</v>
      </c>
      <c r="M3834">
        <v>15.25</v>
      </c>
      <c r="N3834">
        <v>235.2</v>
      </c>
      <c r="O3834">
        <v>151</v>
      </c>
      <c r="P3834">
        <v>10.58</v>
      </c>
      <c r="Q3834">
        <v>5</v>
      </c>
      <c r="R3834">
        <v>3</v>
      </c>
      <c r="S3834">
        <v>1.35</v>
      </c>
      <c r="T3834">
        <v>2</v>
      </c>
      <c r="U3834" t="s">
        <v>22</v>
      </c>
      <c r="V3834" t="e">
        <f>IF(#REF! = "yes", 1, 0)</f>
        <v>#REF!</v>
      </c>
      <c r="W3834" t="e">
        <f>IF(#REF! &lt;= 1, "0-1 Calls", IF(#REF! &lt;= 3, "2-3 Calls", IF(#REF! &lt;=5, "4-5 Calls", "6+ Calls")))</f>
        <v>#REF!</v>
      </c>
      <c r="X3834" t="e">
        <f>IF(#REF! &lt;= 50, "0-50", IF(#REF! &lt;=100, "51-100", IF(#REF! &lt;= 150, "101-150", "151+")))</f>
        <v>#REF!</v>
      </c>
      <c r="Y3834" t="e">
        <f>IF(#REF! &lt;= 3, "Low Charges", "High Charges")</f>
        <v>#REF!</v>
      </c>
      <c r="Z3834" t="e">
        <f>IF(#REF!&lt;=80,"Low Calls",
IF(#REF!&lt;=120,"Medium Calls","High Calls"))</f>
        <v>#REF!</v>
      </c>
      <c r="AA3834" t="e">
        <f>IF(#REF!&lt;=15,"Low Charges",
IF(#REF!&lt;=20,"Medium Charges","High Charges"))</f>
        <v>#REF!</v>
      </c>
      <c r="AB3834" t="e">
        <f>IF(AND(#REF!&gt;180, #REF!&gt;200), "Heavy Doemstic User", IF(#REF!&gt;10, "Interntional User", IF(AND(#REF!&lt;180, #REF!&lt;200,#REF!&lt;200), "Light User", "Balanced User")))</f>
        <v>#REF!</v>
      </c>
      <c r="AC3834" t="e">
        <f>IF(#REF! = 0, "No Usage", IF(#REF! &lt;= 20, "Low Usage", IF(#REF! &lt;= 40, "Medium Usgae", "High Usage")))</f>
        <v>#REF!</v>
      </c>
      <c r="AD3834" t="e">
        <f>IF(#REF!&lt;=150,"Low Usage", IF(#REF!&lt;=200,"Medium Usage", IF(#REF!&lt;=250,"High Usage","Very High Usage")))</f>
        <v>#REF!</v>
      </c>
      <c r="AE3834" t="e">
        <f>IF(#REF!&lt;=5,"Low Calls", IF(#REF!&lt;=10, "Medium Calls", "High Calls"))</f>
        <v>#REF!</v>
      </c>
      <c r="AF3834" t="e">
        <f xml:space="preserve">
IF(#REF!&gt;=4,4,0)+
IF(#REF!="yes",3,0)+
IF(#REF!="High Charges",3,0)+
IF(#REF!&gt;250,4,0)+
IF(#REF!="no",1,0)+
IF(#REF!="Heavy Domestic User",2,0)</f>
        <v>#REF!</v>
      </c>
      <c r="AG3834" t="e">
        <f>IF(#REF!&gt;=10,"High Risk", IF(#REF!&gt;=5,"Medium Risk","Low Risk"))</f>
        <v>#REF!</v>
      </c>
      <c r="AH3834" t="e">
        <f>#REF! + #REF! + #REF! + #REF!</f>
        <v>#REF!</v>
      </c>
    </row>
    <row r="3835" spans="1:34" x14ac:dyDescent="0.35">
      <c r="A3835">
        <v>3834</v>
      </c>
      <c r="B3835" t="s">
        <v>43</v>
      </c>
      <c r="C3835">
        <v>89</v>
      </c>
      <c r="D3835" t="s">
        <v>21</v>
      </c>
      <c r="E3835" t="s">
        <v>22</v>
      </c>
      <c r="F3835" t="s">
        <v>22</v>
      </c>
      <c r="G3835">
        <v>0</v>
      </c>
      <c r="H3835">
        <v>159.4</v>
      </c>
      <c r="I3835">
        <v>126</v>
      </c>
      <c r="J3835">
        <v>27.1</v>
      </c>
      <c r="K3835">
        <v>207</v>
      </c>
      <c r="L3835">
        <v>108</v>
      </c>
      <c r="M3835">
        <v>17.600000000000001</v>
      </c>
      <c r="N3835">
        <v>141.6</v>
      </c>
      <c r="O3835">
        <v>121</v>
      </c>
      <c r="P3835">
        <v>6.37</v>
      </c>
      <c r="Q3835">
        <v>11.1</v>
      </c>
      <c r="R3835">
        <v>4</v>
      </c>
      <c r="S3835">
        <v>3</v>
      </c>
      <c r="T3835">
        <v>1</v>
      </c>
      <c r="U3835" t="s">
        <v>22</v>
      </c>
      <c r="V3835" t="e">
        <f>IF(#REF! = "yes", 1, 0)</f>
        <v>#REF!</v>
      </c>
      <c r="W3835" t="e">
        <f>IF(#REF! &lt;= 1, "0-1 Calls", IF(#REF! &lt;= 3, "2-3 Calls", IF(#REF! &lt;=5, "4-5 Calls", "6+ Calls")))</f>
        <v>#REF!</v>
      </c>
      <c r="X3835" t="e">
        <f>IF(#REF! &lt;= 50, "0-50", IF(#REF! &lt;=100, "51-100", IF(#REF! &lt;= 150, "101-150", "151+")))</f>
        <v>#REF!</v>
      </c>
      <c r="Y3835" t="e">
        <f>IF(#REF! &lt;= 3, "Low Charges", "High Charges")</f>
        <v>#REF!</v>
      </c>
      <c r="Z3835" t="e">
        <f>IF(#REF!&lt;=80,"Low Calls",
IF(#REF!&lt;=120,"Medium Calls","High Calls"))</f>
        <v>#REF!</v>
      </c>
      <c r="AA3835" t="e">
        <f>IF(#REF!&lt;=15,"Low Charges",
IF(#REF!&lt;=20,"Medium Charges","High Charges"))</f>
        <v>#REF!</v>
      </c>
      <c r="AB3835" t="e">
        <f>IF(AND(#REF!&gt;180, #REF!&gt;200), "Heavy Doemstic User", IF(#REF!&gt;10, "Interntional User", IF(AND(#REF!&lt;180, #REF!&lt;200,#REF!&lt;200), "Light User", "Balanced User")))</f>
        <v>#REF!</v>
      </c>
      <c r="AC3835" t="e">
        <f>IF(#REF! = 0, "No Usage", IF(#REF! &lt;= 20, "Low Usage", IF(#REF! &lt;= 40, "Medium Usgae", "High Usage")))</f>
        <v>#REF!</v>
      </c>
      <c r="AD3835" t="e">
        <f>IF(#REF!&lt;=150,"Low Usage", IF(#REF!&lt;=200,"Medium Usage", IF(#REF!&lt;=250,"High Usage","Very High Usage")))</f>
        <v>#REF!</v>
      </c>
      <c r="AE3835" t="e">
        <f>IF(#REF!&lt;=5,"Low Calls", IF(#REF!&lt;=10, "Medium Calls", "High Calls"))</f>
        <v>#REF!</v>
      </c>
      <c r="AF3835" t="e">
        <f xml:space="preserve">
IF(#REF!&gt;=4,4,0)+
IF(#REF!="yes",3,0)+
IF(#REF!="High Charges",3,0)+
IF(#REF!&gt;250,4,0)+
IF(#REF!="no",1,0)+
IF(#REF!="Heavy Domestic User",2,0)</f>
        <v>#REF!</v>
      </c>
      <c r="AG3835" t="e">
        <f>IF(#REF!&gt;=10,"High Risk", IF(#REF!&gt;=5,"Medium Risk","Low Risk"))</f>
        <v>#REF!</v>
      </c>
      <c r="AH3835" t="e">
        <f>#REF! + #REF! + #REF! + #REF!</f>
        <v>#REF!</v>
      </c>
    </row>
    <row r="3836" spans="1:34" x14ac:dyDescent="0.35">
      <c r="A3836">
        <v>3835</v>
      </c>
      <c r="B3836" t="s">
        <v>72</v>
      </c>
      <c r="C3836">
        <v>71</v>
      </c>
      <c r="D3836" t="s">
        <v>21</v>
      </c>
      <c r="E3836" t="s">
        <v>22</v>
      </c>
      <c r="F3836" t="s">
        <v>22</v>
      </c>
      <c r="G3836">
        <v>0</v>
      </c>
      <c r="H3836">
        <v>112.1</v>
      </c>
      <c r="I3836">
        <v>122</v>
      </c>
      <c r="J3836">
        <v>19.059999999999999</v>
      </c>
      <c r="K3836">
        <v>157.9</v>
      </c>
      <c r="L3836">
        <v>86</v>
      </c>
      <c r="M3836">
        <v>13.42</v>
      </c>
      <c r="N3836">
        <v>271.60000000000002</v>
      </c>
      <c r="O3836">
        <v>104</v>
      </c>
      <c r="P3836">
        <v>12.22</v>
      </c>
      <c r="Q3836">
        <v>11.1</v>
      </c>
      <c r="R3836">
        <v>5</v>
      </c>
      <c r="S3836">
        <v>3</v>
      </c>
      <c r="T3836">
        <v>0</v>
      </c>
      <c r="U3836" t="s">
        <v>22</v>
      </c>
      <c r="V3836" t="e">
        <f>IF(#REF! = "yes", 1, 0)</f>
        <v>#REF!</v>
      </c>
      <c r="W3836" t="e">
        <f>IF(#REF! &lt;= 1, "0-1 Calls", IF(#REF! &lt;= 3, "2-3 Calls", IF(#REF! &lt;=5, "4-5 Calls", "6+ Calls")))</f>
        <v>#REF!</v>
      </c>
      <c r="X3836" t="e">
        <f>IF(#REF! &lt;= 50, "0-50", IF(#REF! &lt;=100, "51-100", IF(#REF! &lt;= 150, "101-150", "151+")))</f>
        <v>#REF!</v>
      </c>
      <c r="Y3836" t="e">
        <f>IF(#REF! &lt;= 3, "Low Charges", "High Charges")</f>
        <v>#REF!</v>
      </c>
      <c r="Z3836" t="e">
        <f>IF(#REF!&lt;=80,"Low Calls",
IF(#REF!&lt;=120,"Medium Calls","High Calls"))</f>
        <v>#REF!</v>
      </c>
      <c r="AA3836" t="e">
        <f>IF(#REF!&lt;=15,"Low Charges",
IF(#REF!&lt;=20,"Medium Charges","High Charges"))</f>
        <v>#REF!</v>
      </c>
      <c r="AB3836" t="e">
        <f>IF(AND(#REF!&gt;180, #REF!&gt;200), "Heavy Doemstic User", IF(#REF!&gt;10, "Interntional User", IF(AND(#REF!&lt;180, #REF!&lt;200,#REF!&lt;200), "Light User", "Balanced User")))</f>
        <v>#REF!</v>
      </c>
      <c r="AC3836" t="e">
        <f>IF(#REF! = 0, "No Usage", IF(#REF! &lt;= 20, "Low Usage", IF(#REF! &lt;= 40, "Medium Usgae", "High Usage")))</f>
        <v>#REF!</v>
      </c>
      <c r="AD3836" t="e">
        <f>IF(#REF!&lt;=150,"Low Usage", IF(#REF!&lt;=200,"Medium Usage", IF(#REF!&lt;=250,"High Usage","Very High Usage")))</f>
        <v>#REF!</v>
      </c>
      <c r="AE3836" t="e">
        <f>IF(#REF!&lt;=5,"Low Calls", IF(#REF!&lt;=10, "Medium Calls", "High Calls"))</f>
        <v>#REF!</v>
      </c>
      <c r="AF3836" t="e">
        <f xml:space="preserve">
IF(#REF!&gt;=4,4,0)+
IF(#REF!="yes",3,0)+
IF(#REF!="High Charges",3,0)+
IF(#REF!&gt;250,4,0)+
IF(#REF!="no",1,0)+
IF(#REF!="Heavy Domestic User",2,0)</f>
        <v>#REF!</v>
      </c>
      <c r="AG3836" t="e">
        <f>IF(#REF!&gt;=10,"High Risk", IF(#REF!&gt;=5,"Medium Risk","Low Risk"))</f>
        <v>#REF!</v>
      </c>
      <c r="AH3836" t="e">
        <f>#REF! + #REF! + #REF! + #REF!</f>
        <v>#REF!</v>
      </c>
    </row>
    <row r="3837" spans="1:34" x14ac:dyDescent="0.35">
      <c r="A3837">
        <v>3836</v>
      </c>
      <c r="B3837" t="s">
        <v>69</v>
      </c>
      <c r="C3837">
        <v>166</v>
      </c>
      <c r="D3837" t="s">
        <v>21</v>
      </c>
      <c r="E3837" t="s">
        <v>22</v>
      </c>
      <c r="F3837" t="s">
        <v>22</v>
      </c>
      <c r="G3837">
        <v>0</v>
      </c>
      <c r="H3837">
        <v>238.6</v>
      </c>
      <c r="I3837">
        <v>117</v>
      </c>
      <c r="J3837">
        <v>40.56</v>
      </c>
      <c r="K3837">
        <v>242.8</v>
      </c>
      <c r="L3837">
        <v>73</v>
      </c>
      <c r="M3837">
        <v>20.64</v>
      </c>
      <c r="N3837">
        <v>203.3</v>
      </c>
      <c r="O3837">
        <v>130</v>
      </c>
      <c r="P3837">
        <v>9.15</v>
      </c>
      <c r="Q3837">
        <v>10</v>
      </c>
      <c r="R3837">
        <v>8</v>
      </c>
      <c r="S3837">
        <v>2.7</v>
      </c>
      <c r="T3837">
        <v>4</v>
      </c>
      <c r="U3837" t="s">
        <v>22</v>
      </c>
      <c r="V3837" t="e">
        <f>IF(#REF! = "yes", 1, 0)</f>
        <v>#REF!</v>
      </c>
      <c r="W3837" t="e">
        <f>IF(#REF! &lt;= 1, "0-1 Calls", IF(#REF! &lt;= 3, "2-3 Calls", IF(#REF! &lt;=5, "4-5 Calls", "6+ Calls")))</f>
        <v>#REF!</v>
      </c>
      <c r="X3837" t="e">
        <f>IF(#REF! &lt;= 50, "0-50", IF(#REF! &lt;=100, "51-100", IF(#REF! &lt;= 150, "101-150", "151+")))</f>
        <v>#REF!</v>
      </c>
      <c r="Y3837" t="e">
        <f>IF(#REF! &lt;= 3, "Low Charges", "High Charges")</f>
        <v>#REF!</v>
      </c>
      <c r="Z3837" t="e">
        <f>IF(#REF!&lt;=80,"Low Calls",
IF(#REF!&lt;=120,"Medium Calls","High Calls"))</f>
        <v>#REF!</v>
      </c>
      <c r="AA3837" t="e">
        <f>IF(#REF!&lt;=15,"Low Charges",
IF(#REF!&lt;=20,"Medium Charges","High Charges"))</f>
        <v>#REF!</v>
      </c>
      <c r="AB3837" t="e">
        <f>IF(AND(#REF!&gt;180, #REF!&gt;200), "Heavy Doemstic User", IF(#REF!&gt;10, "Interntional User", IF(AND(#REF!&lt;180, #REF!&lt;200,#REF!&lt;200), "Light User", "Balanced User")))</f>
        <v>#REF!</v>
      </c>
      <c r="AC3837" t="e">
        <f>IF(#REF! = 0, "No Usage", IF(#REF! &lt;= 20, "Low Usage", IF(#REF! &lt;= 40, "Medium Usgae", "High Usage")))</f>
        <v>#REF!</v>
      </c>
      <c r="AD3837" t="e">
        <f>IF(#REF!&lt;=150,"Low Usage", IF(#REF!&lt;=200,"Medium Usage", IF(#REF!&lt;=250,"High Usage","Very High Usage")))</f>
        <v>#REF!</v>
      </c>
      <c r="AE3837" t="e">
        <f>IF(#REF!&lt;=5,"Low Calls", IF(#REF!&lt;=10, "Medium Calls", "High Calls"))</f>
        <v>#REF!</v>
      </c>
      <c r="AF3837" t="e">
        <f xml:space="preserve">
IF(#REF!&gt;=4,4,0)+
IF(#REF!="yes",3,0)+
IF(#REF!="High Charges",3,0)+
IF(#REF!&gt;250,4,0)+
IF(#REF!="no",1,0)+
IF(#REF!="Heavy Domestic User",2,0)</f>
        <v>#REF!</v>
      </c>
      <c r="AG3837" t="e">
        <f>IF(#REF!&gt;=10,"High Risk", IF(#REF!&gt;=5,"Medium Risk","Low Risk"))</f>
        <v>#REF!</v>
      </c>
      <c r="AH3837" t="e">
        <f>#REF! + #REF! + #REF! + #REF!</f>
        <v>#REF!</v>
      </c>
    </row>
    <row r="3838" spans="1:34" x14ac:dyDescent="0.35">
      <c r="A3838">
        <v>3837</v>
      </c>
      <c r="B3838" t="s">
        <v>47</v>
      </c>
      <c r="C3838">
        <v>146</v>
      </c>
      <c r="D3838" t="s">
        <v>28</v>
      </c>
      <c r="E3838" t="s">
        <v>23</v>
      </c>
      <c r="F3838" t="s">
        <v>22</v>
      </c>
      <c r="G3838">
        <v>0</v>
      </c>
      <c r="H3838">
        <v>163.5</v>
      </c>
      <c r="I3838">
        <v>85</v>
      </c>
      <c r="J3838">
        <v>27.8</v>
      </c>
      <c r="K3838">
        <v>224.8</v>
      </c>
      <c r="L3838">
        <v>149</v>
      </c>
      <c r="M3838">
        <v>19.11</v>
      </c>
      <c r="N3838">
        <v>253.1</v>
      </c>
      <c r="O3838">
        <v>116</v>
      </c>
      <c r="P3838">
        <v>11.39</v>
      </c>
      <c r="Q3838">
        <v>9.8000000000000007</v>
      </c>
      <c r="R3838">
        <v>4</v>
      </c>
      <c r="S3838">
        <v>2.65</v>
      </c>
      <c r="T3838">
        <v>1</v>
      </c>
      <c r="U3838" t="s">
        <v>22</v>
      </c>
      <c r="V3838" t="e">
        <f>IF(#REF! = "yes", 1, 0)</f>
        <v>#REF!</v>
      </c>
      <c r="W3838" t="e">
        <f>IF(#REF! &lt;= 1, "0-1 Calls", IF(#REF! &lt;= 3, "2-3 Calls", IF(#REF! &lt;=5, "4-5 Calls", "6+ Calls")))</f>
        <v>#REF!</v>
      </c>
      <c r="X3838" t="e">
        <f>IF(#REF! &lt;= 50, "0-50", IF(#REF! &lt;=100, "51-100", IF(#REF! &lt;= 150, "101-150", "151+")))</f>
        <v>#REF!</v>
      </c>
      <c r="Y3838" t="e">
        <f>IF(#REF! &lt;= 3, "Low Charges", "High Charges")</f>
        <v>#REF!</v>
      </c>
      <c r="Z3838" t="e">
        <f>IF(#REF!&lt;=80,"Low Calls",
IF(#REF!&lt;=120,"Medium Calls","High Calls"))</f>
        <v>#REF!</v>
      </c>
      <c r="AA3838" t="e">
        <f>IF(#REF!&lt;=15,"Low Charges",
IF(#REF!&lt;=20,"Medium Charges","High Charges"))</f>
        <v>#REF!</v>
      </c>
      <c r="AB3838" t="e">
        <f>IF(AND(#REF!&gt;180, #REF!&gt;200), "Heavy Doemstic User", IF(#REF!&gt;10, "Interntional User", IF(AND(#REF!&lt;180, #REF!&lt;200,#REF!&lt;200), "Light User", "Balanced User")))</f>
        <v>#REF!</v>
      </c>
      <c r="AC3838" t="e">
        <f>IF(#REF! = 0, "No Usage", IF(#REF! &lt;= 20, "Low Usage", IF(#REF! &lt;= 40, "Medium Usgae", "High Usage")))</f>
        <v>#REF!</v>
      </c>
      <c r="AD3838" t="e">
        <f>IF(#REF!&lt;=150,"Low Usage", IF(#REF!&lt;=200,"Medium Usage", IF(#REF!&lt;=250,"High Usage","Very High Usage")))</f>
        <v>#REF!</v>
      </c>
      <c r="AE3838" t="e">
        <f>IF(#REF!&lt;=5,"Low Calls", IF(#REF!&lt;=10, "Medium Calls", "High Calls"))</f>
        <v>#REF!</v>
      </c>
      <c r="AF3838" t="e">
        <f xml:space="preserve">
IF(#REF!&gt;=4,4,0)+
IF(#REF!="yes",3,0)+
IF(#REF!="High Charges",3,0)+
IF(#REF!&gt;250,4,0)+
IF(#REF!="no",1,0)+
IF(#REF!="Heavy Domestic User",2,0)</f>
        <v>#REF!</v>
      </c>
      <c r="AG3838" t="e">
        <f>IF(#REF!&gt;=10,"High Risk", IF(#REF!&gt;=5,"Medium Risk","Low Risk"))</f>
        <v>#REF!</v>
      </c>
      <c r="AH3838" t="e">
        <f>#REF! + #REF! + #REF! + #REF!</f>
        <v>#REF!</v>
      </c>
    </row>
    <row r="3839" spans="1:34" x14ac:dyDescent="0.35">
      <c r="A3839">
        <v>3838</v>
      </c>
      <c r="B3839" t="s">
        <v>71</v>
      </c>
      <c r="C3839">
        <v>90</v>
      </c>
      <c r="D3839" t="s">
        <v>25</v>
      </c>
      <c r="E3839" t="s">
        <v>23</v>
      </c>
      <c r="F3839" t="s">
        <v>22</v>
      </c>
      <c r="G3839">
        <v>0</v>
      </c>
      <c r="H3839">
        <v>127.2</v>
      </c>
      <c r="I3839">
        <v>94</v>
      </c>
      <c r="J3839">
        <v>21.62</v>
      </c>
      <c r="K3839">
        <v>221.1</v>
      </c>
      <c r="L3839">
        <v>108</v>
      </c>
      <c r="M3839">
        <v>18.79</v>
      </c>
      <c r="N3839">
        <v>110.7</v>
      </c>
      <c r="O3839">
        <v>106</v>
      </c>
      <c r="P3839">
        <v>4.9800000000000004</v>
      </c>
      <c r="Q3839">
        <v>11.2</v>
      </c>
      <c r="R3839">
        <v>3</v>
      </c>
      <c r="S3839">
        <v>3.02</v>
      </c>
      <c r="T3839">
        <v>2</v>
      </c>
      <c r="U3839" t="s">
        <v>22</v>
      </c>
      <c r="V3839" t="e">
        <f>IF(#REF! = "yes", 1, 0)</f>
        <v>#REF!</v>
      </c>
      <c r="W3839" t="e">
        <f>IF(#REF! &lt;= 1, "0-1 Calls", IF(#REF! &lt;= 3, "2-3 Calls", IF(#REF! &lt;=5, "4-5 Calls", "6+ Calls")))</f>
        <v>#REF!</v>
      </c>
      <c r="X3839" t="e">
        <f>IF(#REF! &lt;= 50, "0-50", IF(#REF! &lt;=100, "51-100", IF(#REF! &lt;= 150, "101-150", "151+")))</f>
        <v>#REF!</v>
      </c>
      <c r="Y3839" t="e">
        <f>IF(#REF! &lt;= 3, "Low Charges", "High Charges")</f>
        <v>#REF!</v>
      </c>
      <c r="Z3839" t="e">
        <f>IF(#REF!&lt;=80,"Low Calls",
IF(#REF!&lt;=120,"Medium Calls","High Calls"))</f>
        <v>#REF!</v>
      </c>
      <c r="AA3839" t="e">
        <f>IF(#REF!&lt;=15,"Low Charges",
IF(#REF!&lt;=20,"Medium Charges","High Charges"))</f>
        <v>#REF!</v>
      </c>
      <c r="AB3839" t="e">
        <f>IF(AND(#REF!&gt;180, #REF!&gt;200), "Heavy Doemstic User", IF(#REF!&gt;10, "Interntional User", IF(AND(#REF!&lt;180, #REF!&lt;200,#REF!&lt;200), "Light User", "Balanced User")))</f>
        <v>#REF!</v>
      </c>
      <c r="AC3839" t="e">
        <f>IF(#REF! = 0, "No Usage", IF(#REF! &lt;= 20, "Low Usage", IF(#REF! &lt;= 40, "Medium Usgae", "High Usage")))</f>
        <v>#REF!</v>
      </c>
      <c r="AD3839" t="e">
        <f>IF(#REF!&lt;=150,"Low Usage", IF(#REF!&lt;=200,"Medium Usage", IF(#REF!&lt;=250,"High Usage","Very High Usage")))</f>
        <v>#REF!</v>
      </c>
      <c r="AE3839" t="e">
        <f>IF(#REF!&lt;=5,"Low Calls", IF(#REF!&lt;=10, "Medium Calls", "High Calls"))</f>
        <v>#REF!</v>
      </c>
      <c r="AF3839" t="e">
        <f xml:space="preserve">
IF(#REF!&gt;=4,4,0)+
IF(#REF!="yes",3,0)+
IF(#REF!="High Charges",3,0)+
IF(#REF!&gt;250,4,0)+
IF(#REF!="no",1,0)+
IF(#REF!="Heavy Domestic User",2,0)</f>
        <v>#REF!</v>
      </c>
      <c r="AG3839" t="e">
        <f>IF(#REF!&gt;=10,"High Risk", IF(#REF!&gt;=5,"Medium Risk","Low Risk"))</f>
        <v>#REF!</v>
      </c>
      <c r="AH3839" t="e">
        <f>#REF! + #REF! + #REF! + #REF!</f>
        <v>#REF!</v>
      </c>
    </row>
    <row r="3840" spans="1:34" x14ac:dyDescent="0.35">
      <c r="A3840">
        <v>3839</v>
      </c>
      <c r="B3840" t="s">
        <v>61</v>
      </c>
      <c r="C3840">
        <v>59</v>
      </c>
      <c r="D3840" t="s">
        <v>25</v>
      </c>
      <c r="E3840" t="s">
        <v>22</v>
      </c>
      <c r="F3840" t="s">
        <v>22</v>
      </c>
      <c r="G3840">
        <v>0</v>
      </c>
      <c r="H3840">
        <v>145.80000000000001</v>
      </c>
      <c r="I3840">
        <v>95</v>
      </c>
      <c r="J3840">
        <v>24.79</v>
      </c>
      <c r="K3840">
        <v>228.3</v>
      </c>
      <c r="L3840">
        <v>81</v>
      </c>
      <c r="M3840">
        <v>19.41</v>
      </c>
      <c r="N3840">
        <v>247.5</v>
      </c>
      <c r="O3840">
        <v>87</v>
      </c>
      <c r="P3840">
        <v>11.14</v>
      </c>
      <c r="Q3840">
        <v>9.6</v>
      </c>
      <c r="R3840">
        <v>5</v>
      </c>
      <c r="S3840">
        <v>2.59</v>
      </c>
      <c r="T3840">
        <v>0</v>
      </c>
      <c r="U3840" t="s">
        <v>22</v>
      </c>
      <c r="V3840" t="e">
        <f>IF(#REF! = "yes", 1, 0)</f>
        <v>#REF!</v>
      </c>
      <c r="W3840" t="e">
        <f>IF(#REF! &lt;= 1, "0-1 Calls", IF(#REF! &lt;= 3, "2-3 Calls", IF(#REF! &lt;=5, "4-5 Calls", "6+ Calls")))</f>
        <v>#REF!</v>
      </c>
      <c r="X3840" t="e">
        <f>IF(#REF! &lt;= 50, "0-50", IF(#REF! &lt;=100, "51-100", IF(#REF! &lt;= 150, "101-150", "151+")))</f>
        <v>#REF!</v>
      </c>
      <c r="Y3840" t="e">
        <f>IF(#REF! &lt;= 3, "Low Charges", "High Charges")</f>
        <v>#REF!</v>
      </c>
      <c r="Z3840" t="e">
        <f>IF(#REF!&lt;=80,"Low Calls",
IF(#REF!&lt;=120,"Medium Calls","High Calls"))</f>
        <v>#REF!</v>
      </c>
      <c r="AA3840" t="e">
        <f>IF(#REF!&lt;=15,"Low Charges",
IF(#REF!&lt;=20,"Medium Charges","High Charges"))</f>
        <v>#REF!</v>
      </c>
      <c r="AB3840" t="e">
        <f>IF(AND(#REF!&gt;180, #REF!&gt;200), "Heavy Doemstic User", IF(#REF!&gt;10, "Interntional User", IF(AND(#REF!&lt;180, #REF!&lt;200,#REF!&lt;200), "Light User", "Balanced User")))</f>
        <v>#REF!</v>
      </c>
      <c r="AC3840" t="e">
        <f>IF(#REF! = 0, "No Usage", IF(#REF! &lt;= 20, "Low Usage", IF(#REF! &lt;= 40, "Medium Usgae", "High Usage")))</f>
        <v>#REF!</v>
      </c>
      <c r="AD3840" t="e">
        <f>IF(#REF!&lt;=150,"Low Usage", IF(#REF!&lt;=200,"Medium Usage", IF(#REF!&lt;=250,"High Usage","Very High Usage")))</f>
        <v>#REF!</v>
      </c>
      <c r="AE3840" t="e">
        <f>IF(#REF!&lt;=5,"Low Calls", IF(#REF!&lt;=10, "Medium Calls", "High Calls"))</f>
        <v>#REF!</v>
      </c>
      <c r="AF3840" t="e">
        <f xml:space="preserve">
IF(#REF!&gt;=4,4,0)+
IF(#REF!="yes",3,0)+
IF(#REF!="High Charges",3,0)+
IF(#REF!&gt;250,4,0)+
IF(#REF!="no",1,0)+
IF(#REF!="Heavy Domestic User",2,0)</f>
        <v>#REF!</v>
      </c>
      <c r="AG3840" t="e">
        <f>IF(#REF!&gt;=10,"High Risk", IF(#REF!&gt;=5,"Medium Risk","Low Risk"))</f>
        <v>#REF!</v>
      </c>
      <c r="AH3840" t="e">
        <f>#REF! + #REF! + #REF! + #REF!</f>
        <v>#REF!</v>
      </c>
    </row>
    <row r="3841" spans="1:34" x14ac:dyDescent="0.35">
      <c r="A3841">
        <v>3840</v>
      </c>
      <c r="B3841" t="s">
        <v>62</v>
      </c>
      <c r="C3841">
        <v>25</v>
      </c>
      <c r="D3841" t="s">
        <v>21</v>
      </c>
      <c r="E3841" t="s">
        <v>22</v>
      </c>
      <c r="F3841" t="s">
        <v>22</v>
      </c>
      <c r="G3841">
        <v>0</v>
      </c>
      <c r="H3841">
        <v>250.1</v>
      </c>
      <c r="I3841">
        <v>108</v>
      </c>
      <c r="J3841">
        <v>42.52</v>
      </c>
      <c r="K3841">
        <v>221.9</v>
      </c>
      <c r="L3841">
        <v>97</v>
      </c>
      <c r="M3841">
        <v>18.86</v>
      </c>
      <c r="N3841">
        <v>208.5</v>
      </c>
      <c r="O3841">
        <v>84</v>
      </c>
      <c r="P3841">
        <v>9.3800000000000008</v>
      </c>
      <c r="Q3841">
        <v>11.1</v>
      </c>
      <c r="R3841">
        <v>3</v>
      </c>
      <c r="S3841">
        <v>3</v>
      </c>
      <c r="T3841">
        <v>2</v>
      </c>
      <c r="U3841" t="s">
        <v>22</v>
      </c>
      <c r="V3841" t="e">
        <f>IF(#REF! = "yes", 1, 0)</f>
        <v>#REF!</v>
      </c>
      <c r="W3841" t="e">
        <f>IF(#REF! &lt;= 1, "0-1 Calls", IF(#REF! &lt;= 3, "2-3 Calls", IF(#REF! &lt;=5, "4-5 Calls", "6+ Calls")))</f>
        <v>#REF!</v>
      </c>
      <c r="X3841" t="e">
        <f>IF(#REF! &lt;= 50, "0-50", IF(#REF! &lt;=100, "51-100", IF(#REF! &lt;= 150, "101-150", "151+")))</f>
        <v>#REF!</v>
      </c>
      <c r="Y3841" t="e">
        <f>IF(#REF! &lt;= 3, "Low Charges", "High Charges")</f>
        <v>#REF!</v>
      </c>
      <c r="Z3841" t="e">
        <f>IF(#REF!&lt;=80,"Low Calls",
IF(#REF!&lt;=120,"Medium Calls","High Calls"))</f>
        <v>#REF!</v>
      </c>
      <c r="AA3841" t="e">
        <f>IF(#REF!&lt;=15,"Low Charges",
IF(#REF!&lt;=20,"Medium Charges","High Charges"))</f>
        <v>#REF!</v>
      </c>
      <c r="AB3841" t="e">
        <f>IF(AND(#REF!&gt;180, #REF!&gt;200), "Heavy Doemstic User", IF(#REF!&gt;10, "Interntional User", IF(AND(#REF!&lt;180, #REF!&lt;200,#REF!&lt;200), "Light User", "Balanced User")))</f>
        <v>#REF!</v>
      </c>
      <c r="AC3841" t="e">
        <f>IF(#REF! = 0, "No Usage", IF(#REF! &lt;= 20, "Low Usage", IF(#REF! &lt;= 40, "Medium Usgae", "High Usage")))</f>
        <v>#REF!</v>
      </c>
      <c r="AD3841" t="e">
        <f>IF(#REF!&lt;=150,"Low Usage", IF(#REF!&lt;=200,"Medium Usage", IF(#REF!&lt;=250,"High Usage","Very High Usage")))</f>
        <v>#REF!</v>
      </c>
      <c r="AE3841" t="e">
        <f>IF(#REF!&lt;=5,"Low Calls", IF(#REF!&lt;=10, "Medium Calls", "High Calls"))</f>
        <v>#REF!</v>
      </c>
      <c r="AF3841" t="e">
        <f xml:space="preserve">
IF(#REF!&gt;=4,4,0)+
IF(#REF!="yes",3,0)+
IF(#REF!="High Charges",3,0)+
IF(#REF!&gt;250,4,0)+
IF(#REF!="no",1,0)+
IF(#REF!="Heavy Domestic User",2,0)</f>
        <v>#REF!</v>
      </c>
      <c r="AG3841" t="e">
        <f>IF(#REF!&gt;=10,"High Risk", IF(#REF!&gt;=5,"Medium Risk","Low Risk"))</f>
        <v>#REF!</v>
      </c>
      <c r="AH3841" t="e">
        <f>#REF! + #REF! + #REF! + #REF!</f>
        <v>#REF!</v>
      </c>
    </row>
    <row r="3842" spans="1:34" x14ac:dyDescent="0.35">
      <c r="A3842">
        <v>3841</v>
      </c>
      <c r="B3842" t="s">
        <v>31</v>
      </c>
      <c r="C3842">
        <v>105</v>
      </c>
      <c r="D3842" t="s">
        <v>28</v>
      </c>
      <c r="E3842" t="s">
        <v>22</v>
      </c>
      <c r="F3842" t="s">
        <v>22</v>
      </c>
      <c r="G3842">
        <v>0</v>
      </c>
      <c r="H3842">
        <v>101.5</v>
      </c>
      <c r="I3842">
        <v>83</v>
      </c>
      <c r="J3842">
        <v>17.260000000000002</v>
      </c>
      <c r="K3842">
        <v>193.8</v>
      </c>
      <c r="L3842">
        <v>83</v>
      </c>
      <c r="M3842">
        <v>16.47</v>
      </c>
      <c r="N3842">
        <v>214.3</v>
      </c>
      <c r="O3842">
        <v>113</v>
      </c>
      <c r="P3842">
        <v>9.64</v>
      </c>
      <c r="Q3842">
        <v>11.7</v>
      </c>
      <c r="R3842">
        <v>4</v>
      </c>
      <c r="S3842">
        <v>3.16</v>
      </c>
      <c r="T3842">
        <v>3</v>
      </c>
      <c r="U3842" t="s">
        <v>22</v>
      </c>
      <c r="V3842" t="e">
        <f>IF(#REF! = "yes", 1, 0)</f>
        <v>#REF!</v>
      </c>
      <c r="W3842" t="e">
        <f>IF(#REF! &lt;= 1, "0-1 Calls", IF(#REF! &lt;= 3, "2-3 Calls", IF(#REF! &lt;=5, "4-5 Calls", "6+ Calls")))</f>
        <v>#REF!</v>
      </c>
      <c r="X3842" t="e">
        <f>IF(#REF! &lt;= 50, "0-50", IF(#REF! &lt;=100, "51-100", IF(#REF! &lt;= 150, "101-150", "151+")))</f>
        <v>#REF!</v>
      </c>
      <c r="Y3842" t="e">
        <f>IF(#REF! &lt;= 3, "Low Charges", "High Charges")</f>
        <v>#REF!</v>
      </c>
      <c r="Z3842" t="e">
        <f>IF(#REF!&lt;=80,"Low Calls",
IF(#REF!&lt;=120,"Medium Calls","High Calls"))</f>
        <v>#REF!</v>
      </c>
      <c r="AA3842" t="e">
        <f>IF(#REF!&lt;=15,"Low Charges",
IF(#REF!&lt;=20,"Medium Charges","High Charges"))</f>
        <v>#REF!</v>
      </c>
      <c r="AB3842" t="e">
        <f>IF(AND(#REF!&gt;180, #REF!&gt;200), "Heavy Doemstic User", IF(#REF!&gt;10, "Interntional User", IF(AND(#REF!&lt;180, #REF!&lt;200,#REF!&lt;200), "Light User", "Balanced User")))</f>
        <v>#REF!</v>
      </c>
      <c r="AC3842" t="e">
        <f>IF(#REF! = 0, "No Usage", IF(#REF! &lt;= 20, "Low Usage", IF(#REF! &lt;= 40, "Medium Usgae", "High Usage")))</f>
        <v>#REF!</v>
      </c>
      <c r="AD3842" t="e">
        <f>IF(#REF!&lt;=150,"Low Usage", IF(#REF!&lt;=200,"Medium Usage", IF(#REF!&lt;=250,"High Usage","Very High Usage")))</f>
        <v>#REF!</v>
      </c>
      <c r="AE3842" t="e">
        <f>IF(#REF!&lt;=5,"Low Calls", IF(#REF!&lt;=10, "Medium Calls", "High Calls"))</f>
        <v>#REF!</v>
      </c>
      <c r="AF3842" t="e">
        <f xml:space="preserve">
IF(#REF!&gt;=4,4,0)+
IF(#REF!="yes",3,0)+
IF(#REF!="High Charges",3,0)+
IF(#REF!&gt;250,4,0)+
IF(#REF!="no",1,0)+
IF(#REF!="Heavy Domestic User",2,0)</f>
        <v>#REF!</v>
      </c>
      <c r="AG3842" t="e">
        <f>IF(#REF!&gt;=10,"High Risk", IF(#REF!&gt;=5,"Medium Risk","Low Risk"))</f>
        <v>#REF!</v>
      </c>
      <c r="AH3842" t="e">
        <f>#REF! + #REF! + #REF! + #REF!</f>
        <v>#REF!</v>
      </c>
    </row>
    <row r="3843" spans="1:34" x14ac:dyDescent="0.35">
      <c r="A3843">
        <v>3842</v>
      </c>
      <c r="B3843" t="s">
        <v>72</v>
      </c>
      <c r="C3843">
        <v>143</v>
      </c>
      <c r="D3843" t="s">
        <v>21</v>
      </c>
      <c r="E3843" t="s">
        <v>22</v>
      </c>
      <c r="F3843" t="s">
        <v>23</v>
      </c>
      <c r="G3843">
        <v>26</v>
      </c>
      <c r="H3843">
        <v>119.6</v>
      </c>
      <c r="I3843">
        <v>133</v>
      </c>
      <c r="J3843">
        <v>20.329999999999998</v>
      </c>
      <c r="K3843">
        <v>247</v>
      </c>
      <c r="L3843">
        <v>136</v>
      </c>
      <c r="M3843">
        <v>21</v>
      </c>
      <c r="N3843">
        <v>227.3</v>
      </c>
      <c r="O3843">
        <v>54</v>
      </c>
      <c r="P3843">
        <v>10.23</v>
      </c>
      <c r="Q3843">
        <v>13</v>
      </c>
      <c r="R3843">
        <v>3</v>
      </c>
      <c r="S3843">
        <v>3.51</v>
      </c>
      <c r="T3843">
        <v>1</v>
      </c>
      <c r="U3843" t="s">
        <v>22</v>
      </c>
      <c r="V3843" t="e">
        <f>IF(#REF! = "yes", 1, 0)</f>
        <v>#REF!</v>
      </c>
      <c r="W3843" t="e">
        <f>IF(#REF! &lt;= 1, "0-1 Calls", IF(#REF! &lt;= 3, "2-3 Calls", IF(#REF! &lt;=5, "4-5 Calls", "6+ Calls")))</f>
        <v>#REF!</v>
      </c>
      <c r="X3843" t="e">
        <f>IF(#REF! &lt;= 50, "0-50", IF(#REF! &lt;=100, "51-100", IF(#REF! &lt;= 150, "101-150", "151+")))</f>
        <v>#REF!</v>
      </c>
      <c r="Y3843" t="e">
        <f>IF(#REF! &lt;= 3, "Low Charges", "High Charges")</f>
        <v>#REF!</v>
      </c>
      <c r="Z3843" t="e">
        <f>IF(#REF!&lt;=80,"Low Calls",
IF(#REF!&lt;=120,"Medium Calls","High Calls"))</f>
        <v>#REF!</v>
      </c>
      <c r="AA3843" t="e">
        <f>IF(#REF!&lt;=15,"Low Charges",
IF(#REF!&lt;=20,"Medium Charges","High Charges"))</f>
        <v>#REF!</v>
      </c>
      <c r="AB3843" t="e">
        <f>IF(AND(#REF!&gt;180, #REF!&gt;200), "Heavy Doemstic User", IF(#REF!&gt;10, "Interntional User", IF(AND(#REF!&lt;180, #REF!&lt;200,#REF!&lt;200), "Light User", "Balanced User")))</f>
        <v>#REF!</v>
      </c>
      <c r="AC3843" t="e">
        <f>IF(#REF! = 0, "No Usage", IF(#REF! &lt;= 20, "Low Usage", IF(#REF! &lt;= 40, "Medium Usgae", "High Usage")))</f>
        <v>#REF!</v>
      </c>
      <c r="AD3843" t="e">
        <f>IF(#REF!&lt;=150,"Low Usage", IF(#REF!&lt;=200,"Medium Usage", IF(#REF!&lt;=250,"High Usage","Very High Usage")))</f>
        <v>#REF!</v>
      </c>
      <c r="AE3843" t="e">
        <f>IF(#REF!&lt;=5,"Low Calls", IF(#REF!&lt;=10, "Medium Calls", "High Calls"))</f>
        <v>#REF!</v>
      </c>
      <c r="AF3843" t="e">
        <f xml:space="preserve">
IF(#REF!&gt;=4,4,0)+
IF(#REF!="yes",3,0)+
IF(#REF!="High Charges",3,0)+
IF(#REF!&gt;250,4,0)+
IF(#REF!="no",1,0)+
IF(#REF!="Heavy Domestic User",2,0)</f>
        <v>#REF!</v>
      </c>
      <c r="AG3843" t="e">
        <f>IF(#REF!&gt;=10,"High Risk", IF(#REF!&gt;=5,"Medium Risk","Low Risk"))</f>
        <v>#REF!</v>
      </c>
      <c r="AH3843" t="e">
        <f>#REF! + #REF! + #REF! + #REF!</f>
        <v>#REF!</v>
      </c>
    </row>
    <row r="3844" spans="1:34" x14ac:dyDescent="0.35">
      <c r="A3844">
        <v>3843</v>
      </c>
      <c r="B3844" t="s">
        <v>45</v>
      </c>
      <c r="C3844">
        <v>56</v>
      </c>
      <c r="D3844" t="s">
        <v>21</v>
      </c>
      <c r="E3844" t="s">
        <v>22</v>
      </c>
      <c r="F3844" t="s">
        <v>22</v>
      </c>
      <c r="G3844">
        <v>0</v>
      </c>
      <c r="H3844">
        <v>158.19999999999999</v>
      </c>
      <c r="I3844">
        <v>85</v>
      </c>
      <c r="J3844">
        <v>26.89</v>
      </c>
      <c r="K3844">
        <v>197.9</v>
      </c>
      <c r="L3844">
        <v>91</v>
      </c>
      <c r="M3844">
        <v>16.82</v>
      </c>
      <c r="N3844">
        <v>159.9</v>
      </c>
      <c r="O3844">
        <v>133</v>
      </c>
      <c r="P3844">
        <v>7.2</v>
      </c>
      <c r="Q3844">
        <v>7.7</v>
      </c>
      <c r="R3844">
        <v>7</v>
      </c>
      <c r="S3844">
        <v>2.08</v>
      </c>
      <c r="T3844">
        <v>1</v>
      </c>
      <c r="U3844" t="s">
        <v>22</v>
      </c>
      <c r="V3844" t="e">
        <f>IF(#REF! = "yes", 1, 0)</f>
        <v>#REF!</v>
      </c>
      <c r="W3844" t="e">
        <f>IF(#REF! &lt;= 1, "0-1 Calls", IF(#REF! &lt;= 3, "2-3 Calls", IF(#REF! &lt;=5, "4-5 Calls", "6+ Calls")))</f>
        <v>#REF!</v>
      </c>
      <c r="X3844" t="e">
        <f>IF(#REF! &lt;= 50, "0-50", IF(#REF! &lt;=100, "51-100", IF(#REF! &lt;= 150, "101-150", "151+")))</f>
        <v>#REF!</v>
      </c>
      <c r="Y3844" t="e">
        <f>IF(#REF! &lt;= 3, "Low Charges", "High Charges")</f>
        <v>#REF!</v>
      </c>
      <c r="Z3844" t="e">
        <f>IF(#REF!&lt;=80,"Low Calls",
IF(#REF!&lt;=120,"Medium Calls","High Calls"))</f>
        <v>#REF!</v>
      </c>
      <c r="AA3844" t="e">
        <f>IF(#REF!&lt;=15,"Low Charges",
IF(#REF!&lt;=20,"Medium Charges","High Charges"))</f>
        <v>#REF!</v>
      </c>
      <c r="AB3844" t="e">
        <f>IF(AND(#REF!&gt;180, #REF!&gt;200), "Heavy Doemstic User", IF(#REF!&gt;10, "Interntional User", IF(AND(#REF!&lt;180, #REF!&lt;200,#REF!&lt;200), "Light User", "Balanced User")))</f>
        <v>#REF!</v>
      </c>
      <c r="AC3844" t="e">
        <f>IF(#REF! = 0, "No Usage", IF(#REF! &lt;= 20, "Low Usage", IF(#REF! &lt;= 40, "Medium Usgae", "High Usage")))</f>
        <v>#REF!</v>
      </c>
      <c r="AD3844" t="e">
        <f>IF(#REF!&lt;=150,"Low Usage", IF(#REF!&lt;=200,"Medium Usage", IF(#REF!&lt;=250,"High Usage","Very High Usage")))</f>
        <v>#REF!</v>
      </c>
      <c r="AE3844" t="e">
        <f>IF(#REF!&lt;=5,"Low Calls", IF(#REF!&lt;=10, "Medium Calls", "High Calls"))</f>
        <v>#REF!</v>
      </c>
      <c r="AF3844" t="e">
        <f xml:space="preserve">
IF(#REF!&gt;=4,4,0)+
IF(#REF!="yes",3,0)+
IF(#REF!="High Charges",3,0)+
IF(#REF!&gt;250,4,0)+
IF(#REF!="no",1,0)+
IF(#REF!="Heavy Domestic User",2,0)</f>
        <v>#REF!</v>
      </c>
      <c r="AG3844" t="e">
        <f>IF(#REF!&gt;=10,"High Risk", IF(#REF!&gt;=5,"Medium Risk","Low Risk"))</f>
        <v>#REF!</v>
      </c>
      <c r="AH3844" t="e">
        <f>#REF! + #REF! + #REF! + #REF!</f>
        <v>#REF!</v>
      </c>
    </row>
    <row r="3845" spans="1:34" x14ac:dyDescent="0.35">
      <c r="A3845">
        <v>3844</v>
      </c>
      <c r="B3845" t="s">
        <v>63</v>
      </c>
      <c r="C3845">
        <v>105</v>
      </c>
      <c r="D3845" t="s">
        <v>28</v>
      </c>
      <c r="E3845" t="s">
        <v>22</v>
      </c>
      <c r="F3845" t="s">
        <v>22</v>
      </c>
      <c r="G3845">
        <v>0</v>
      </c>
      <c r="H3845">
        <v>193.2</v>
      </c>
      <c r="I3845">
        <v>139</v>
      </c>
      <c r="J3845">
        <v>32.840000000000003</v>
      </c>
      <c r="K3845">
        <v>260.3</v>
      </c>
      <c r="L3845">
        <v>104</v>
      </c>
      <c r="M3845">
        <v>22.13</v>
      </c>
      <c r="N3845">
        <v>226.4</v>
      </c>
      <c r="O3845">
        <v>133</v>
      </c>
      <c r="P3845">
        <v>10.19</v>
      </c>
      <c r="Q3845">
        <v>7.8</v>
      </c>
      <c r="R3845">
        <v>2</v>
      </c>
      <c r="S3845">
        <v>2.11</v>
      </c>
      <c r="T3845">
        <v>1</v>
      </c>
      <c r="U3845" t="s">
        <v>22</v>
      </c>
      <c r="V3845" t="e">
        <f>IF(#REF! = "yes", 1, 0)</f>
        <v>#REF!</v>
      </c>
      <c r="W3845" t="e">
        <f>IF(#REF! &lt;= 1, "0-1 Calls", IF(#REF! &lt;= 3, "2-3 Calls", IF(#REF! &lt;=5, "4-5 Calls", "6+ Calls")))</f>
        <v>#REF!</v>
      </c>
      <c r="X3845" t="e">
        <f>IF(#REF! &lt;= 50, "0-50", IF(#REF! &lt;=100, "51-100", IF(#REF! &lt;= 150, "101-150", "151+")))</f>
        <v>#REF!</v>
      </c>
      <c r="Y3845" t="e">
        <f>IF(#REF! &lt;= 3, "Low Charges", "High Charges")</f>
        <v>#REF!</v>
      </c>
      <c r="Z3845" t="e">
        <f>IF(#REF!&lt;=80,"Low Calls",
IF(#REF!&lt;=120,"Medium Calls","High Calls"))</f>
        <v>#REF!</v>
      </c>
      <c r="AA3845" t="e">
        <f>IF(#REF!&lt;=15,"Low Charges",
IF(#REF!&lt;=20,"Medium Charges","High Charges"))</f>
        <v>#REF!</v>
      </c>
      <c r="AB3845" t="e">
        <f>IF(AND(#REF!&gt;180, #REF!&gt;200), "Heavy Doemstic User", IF(#REF!&gt;10, "Interntional User", IF(AND(#REF!&lt;180, #REF!&lt;200,#REF!&lt;200), "Light User", "Balanced User")))</f>
        <v>#REF!</v>
      </c>
      <c r="AC3845" t="e">
        <f>IF(#REF! = 0, "No Usage", IF(#REF! &lt;= 20, "Low Usage", IF(#REF! &lt;= 40, "Medium Usgae", "High Usage")))</f>
        <v>#REF!</v>
      </c>
      <c r="AD3845" t="e">
        <f>IF(#REF!&lt;=150,"Low Usage", IF(#REF!&lt;=200,"Medium Usage", IF(#REF!&lt;=250,"High Usage","Very High Usage")))</f>
        <v>#REF!</v>
      </c>
      <c r="AE3845" t="e">
        <f>IF(#REF!&lt;=5,"Low Calls", IF(#REF!&lt;=10, "Medium Calls", "High Calls"))</f>
        <v>#REF!</v>
      </c>
      <c r="AF3845" t="e">
        <f xml:space="preserve">
IF(#REF!&gt;=4,4,0)+
IF(#REF!="yes",3,0)+
IF(#REF!="High Charges",3,0)+
IF(#REF!&gt;250,4,0)+
IF(#REF!="no",1,0)+
IF(#REF!="Heavy Domestic User",2,0)</f>
        <v>#REF!</v>
      </c>
      <c r="AG3845" t="e">
        <f>IF(#REF!&gt;=10,"High Risk", IF(#REF!&gt;=5,"Medium Risk","Low Risk"))</f>
        <v>#REF!</v>
      </c>
      <c r="AH3845" t="e">
        <f>#REF! + #REF! + #REF! + #REF!</f>
        <v>#REF!</v>
      </c>
    </row>
    <row r="3846" spans="1:34" x14ac:dyDescent="0.35">
      <c r="A3846">
        <v>3845</v>
      </c>
      <c r="B3846" t="s">
        <v>37</v>
      </c>
      <c r="C3846">
        <v>73</v>
      </c>
      <c r="D3846" t="s">
        <v>28</v>
      </c>
      <c r="E3846" t="s">
        <v>22</v>
      </c>
      <c r="F3846" t="s">
        <v>23</v>
      </c>
      <c r="G3846">
        <v>33</v>
      </c>
      <c r="H3846">
        <v>217.7</v>
      </c>
      <c r="I3846">
        <v>108</v>
      </c>
      <c r="J3846">
        <v>37.01</v>
      </c>
      <c r="K3846">
        <v>245.7</v>
      </c>
      <c r="L3846">
        <v>106</v>
      </c>
      <c r="M3846">
        <v>20.88</v>
      </c>
      <c r="N3846">
        <v>242.9</v>
      </c>
      <c r="O3846">
        <v>100</v>
      </c>
      <c r="P3846">
        <v>10.93</v>
      </c>
      <c r="Q3846">
        <v>8.8000000000000007</v>
      </c>
      <c r="R3846">
        <v>6</v>
      </c>
      <c r="S3846">
        <v>2.38</v>
      </c>
      <c r="T3846">
        <v>1</v>
      </c>
      <c r="U3846" t="s">
        <v>22</v>
      </c>
      <c r="V3846" t="e">
        <f>IF(#REF! = "yes", 1, 0)</f>
        <v>#REF!</v>
      </c>
      <c r="W3846" t="e">
        <f>IF(#REF! &lt;= 1, "0-1 Calls", IF(#REF! &lt;= 3, "2-3 Calls", IF(#REF! &lt;=5, "4-5 Calls", "6+ Calls")))</f>
        <v>#REF!</v>
      </c>
      <c r="X3846" t="e">
        <f>IF(#REF! &lt;= 50, "0-50", IF(#REF! &lt;=100, "51-100", IF(#REF! &lt;= 150, "101-150", "151+")))</f>
        <v>#REF!</v>
      </c>
      <c r="Y3846" t="e">
        <f>IF(#REF! &lt;= 3, "Low Charges", "High Charges")</f>
        <v>#REF!</v>
      </c>
      <c r="Z3846" t="e">
        <f>IF(#REF!&lt;=80,"Low Calls",
IF(#REF!&lt;=120,"Medium Calls","High Calls"))</f>
        <v>#REF!</v>
      </c>
      <c r="AA3846" t="e">
        <f>IF(#REF!&lt;=15,"Low Charges",
IF(#REF!&lt;=20,"Medium Charges","High Charges"))</f>
        <v>#REF!</v>
      </c>
      <c r="AB3846" t="e">
        <f>IF(AND(#REF!&gt;180, #REF!&gt;200), "Heavy Doemstic User", IF(#REF!&gt;10, "Interntional User", IF(AND(#REF!&lt;180, #REF!&lt;200,#REF!&lt;200), "Light User", "Balanced User")))</f>
        <v>#REF!</v>
      </c>
      <c r="AC3846" t="e">
        <f>IF(#REF! = 0, "No Usage", IF(#REF! &lt;= 20, "Low Usage", IF(#REF! &lt;= 40, "Medium Usgae", "High Usage")))</f>
        <v>#REF!</v>
      </c>
      <c r="AD3846" t="e">
        <f>IF(#REF!&lt;=150,"Low Usage", IF(#REF!&lt;=200,"Medium Usage", IF(#REF!&lt;=250,"High Usage","Very High Usage")))</f>
        <v>#REF!</v>
      </c>
      <c r="AE3846" t="e">
        <f>IF(#REF!&lt;=5,"Low Calls", IF(#REF!&lt;=10, "Medium Calls", "High Calls"))</f>
        <v>#REF!</v>
      </c>
      <c r="AF3846" t="e">
        <f xml:space="preserve">
IF(#REF!&gt;=4,4,0)+
IF(#REF!="yes",3,0)+
IF(#REF!="High Charges",3,0)+
IF(#REF!&gt;250,4,0)+
IF(#REF!="no",1,0)+
IF(#REF!="Heavy Domestic User",2,0)</f>
        <v>#REF!</v>
      </c>
      <c r="AG3846" t="e">
        <f>IF(#REF!&gt;=10,"High Risk", IF(#REF!&gt;=5,"Medium Risk","Low Risk"))</f>
        <v>#REF!</v>
      </c>
      <c r="AH3846" t="e">
        <f>#REF! + #REF! + #REF! + #REF!</f>
        <v>#REF!</v>
      </c>
    </row>
    <row r="3847" spans="1:34" x14ac:dyDescent="0.35">
      <c r="A3847">
        <v>3846</v>
      </c>
      <c r="B3847" t="s">
        <v>58</v>
      </c>
      <c r="C3847">
        <v>54</v>
      </c>
      <c r="D3847" t="s">
        <v>25</v>
      </c>
      <c r="E3847" t="s">
        <v>22</v>
      </c>
      <c r="F3847" t="s">
        <v>22</v>
      </c>
      <c r="G3847">
        <v>0</v>
      </c>
      <c r="H3847">
        <v>199.8</v>
      </c>
      <c r="I3847">
        <v>94</v>
      </c>
      <c r="J3847">
        <v>33.97</v>
      </c>
      <c r="K3847">
        <v>308</v>
      </c>
      <c r="L3847">
        <v>112</v>
      </c>
      <c r="M3847">
        <v>26.18</v>
      </c>
      <c r="N3847">
        <v>162.6</v>
      </c>
      <c r="O3847">
        <v>99</v>
      </c>
      <c r="P3847">
        <v>7.32</v>
      </c>
      <c r="Q3847">
        <v>10.1</v>
      </c>
      <c r="R3847">
        <v>4</v>
      </c>
      <c r="S3847">
        <v>2.73</v>
      </c>
      <c r="T3847">
        <v>0</v>
      </c>
      <c r="U3847" t="s">
        <v>22</v>
      </c>
      <c r="V3847" t="e">
        <f>IF(#REF! = "yes", 1, 0)</f>
        <v>#REF!</v>
      </c>
      <c r="W3847" t="e">
        <f>IF(#REF! &lt;= 1, "0-1 Calls", IF(#REF! &lt;= 3, "2-3 Calls", IF(#REF! &lt;=5, "4-5 Calls", "6+ Calls")))</f>
        <v>#REF!</v>
      </c>
      <c r="X3847" t="e">
        <f>IF(#REF! &lt;= 50, "0-50", IF(#REF! &lt;=100, "51-100", IF(#REF! &lt;= 150, "101-150", "151+")))</f>
        <v>#REF!</v>
      </c>
      <c r="Y3847" t="e">
        <f>IF(#REF! &lt;= 3, "Low Charges", "High Charges")</f>
        <v>#REF!</v>
      </c>
      <c r="Z3847" t="e">
        <f>IF(#REF!&lt;=80,"Low Calls",
IF(#REF!&lt;=120,"Medium Calls","High Calls"))</f>
        <v>#REF!</v>
      </c>
      <c r="AA3847" t="e">
        <f>IF(#REF!&lt;=15,"Low Charges",
IF(#REF!&lt;=20,"Medium Charges","High Charges"))</f>
        <v>#REF!</v>
      </c>
      <c r="AB3847" t="e">
        <f>IF(AND(#REF!&gt;180, #REF!&gt;200), "Heavy Doemstic User", IF(#REF!&gt;10, "Interntional User", IF(AND(#REF!&lt;180, #REF!&lt;200,#REF!&lt;200), "Light User", "Balanced User")))</f>
        <v>#REF!</v>
      </c>
      <c r="AC3847" t="e">
        <f>IF(#REF! = 0, "No Usage", IF(#REF! &lt;= 20, "Low Usage", IF(#REF! &lt;= 40, "Medium Usgae", "High Usage")))</f>
        <v>#REF!</v>
      </c>
      <c r="AD3847" t="e">
        <f>IF(#REF!&lt;=150,"Low Usage", IF(#REF!&lt;=200,"Medium Usage", IF(#REF!&lt;=250,"High Usage","Very High Usage")))</f>
        <v>#REF!</v>
      </c>
      <c r="AE3847" t="e">
        <f>IF(#REF!&lt;=5,"Low Calls", IF(#REF!&lt;=10, "Medium Calls", "High Calls"))</f>
        <v>#REF!</v>
      </c>
      <c r="AF3847" t="e">
        <f xml:space="preserve">
IF(#REF!&gt;=4,4,0)+
IF(#REF!="yes",3,0)+
IF(#REF!="High Charges",3,0)+
IF(#REF!&gt;250,4,0)+
IF(#REF!="no",1,0)+
IF(#REF!="Heavy Domestic User",2,0)</f>
        <v>#REF!</v>
      </c>
      <c r="AG3847" t="e">
        <f>IF(#REF!&gt;=10,"High Risk", IF(#REF!&gt;=5,"Medium Risk","Low Risk"))</f>
        <v>#REF!</v>
      </c>
      <c r="AH3847" t="e">
        <f>#REF! + #REF! + #REF! + #REF!</f>
        <v>#REF!</v>
      </c>
    </row>
    <row r="3848" spans="1:34" x14ac:dyDescent="0.35">
      <c r="A3848">
        <v>3847</v>
      </c>
      <c r="B3848" t="s">
        <v>68</v>
      </c>
      <c r="C3848">
        <v>98</v>
      </c>
      <c r="D3848" t="s">
        <v>28</v>
      </c>
      <c r="E3848" t="s">
        <v>22</v>
      </c>
      <c r="F3848" t="s">
        <v>22</v>
      </c>
      <c r="G3848">
        <v>0</v>
      </c>
      <c r="H3848">
        <v>171.9</v>
      </c>
      <c r="I3848">
        <v>77</v>
      </c>
      <c r="J3848">
        <v>29.22</v>
      </c>
      <c r="K3848">
        <v>235.3</v>
      </c>
      <c r="L3848">
        <v>90</v>
      </c>
      <c r="M3848">
        <v>20</v>
      </c>
      <c r="N3848">
        <v>140.30000000000001</v>
      </c>
      <c r="O3848">
        <v>125</v>
      </c>
      <c r="P3848">
        <v>6.31</v>
      </c>
      <c r="Q3848">
        <v>14.6</v>
      </c>
      <c r="R3848">
        <v>4</v>
      </c>
      <c r="S3848">
        <v>3.94</v>
      </c>
      <c r="T3848">
        <v>2</v>
      </c>
      <c r="U3848" t="s">
        <v>22</v>
      </c>
      <c r="V3848" t="e">
        <f>IF(#REF! = "yes", 1, 0)</f>
        <v>#REF!</v>
      </c>
      <c r="W3848" t="e">
        <f>IF(#REF! &lt;= 1, "0-1 Calls", IF(#REF! &lt;= 3, "2-3 Calls", IF(#REF! &lt;=5, "4-5 Calls", "6+ Calls")))</f>
        <v>#REF!</v>
      </c>
      <c r="X3848" t="e">
        <f>IF(#REF! &lt;= 50, "0-50", IF(#REF! &lt;=100, "51-100", IF(#REF! &lt;= 150, "101-150", "151+")))</f>
        <v>#REF!</v>
      </c>
      <c r="Y3848" t="e">
        <f>IF(#REF! &lt;= 3, "Low Charges", "High Charges")</f>
        <v>#REF!</v>
      </c>
      <c r="Z3848" t="e">
        <f>IF(#REF!&lt;=80,"Low Calls",
IF(#REF!&lt;=120,"Medium Calls","High Calls"))</f>
        <v>#REF!</v>
      </c>
      <c r="AA3848" t="e">
        <f>IF(#REF!&lt;=15,"Low Charges",
IF(#REF!&lt;=20,"Medium Charges","High Charges"))</f>
        <v>#REF!</v>
      </c>
      <c r="AB3848" t="e">
        <f>IF(AND(#REF!&gt;180, #REF!&gt;200), "Heavy Doemstic User", IF(#REF!&gt;10, "Interntional User", IF(AND(#REF!&lt;180, #REF!&lt;200,#REF!&lt;200), "Light User", "Balanced User")))</f>
        <v>#REF!</v>
      </c>
      <c r="AC3848" t="e">
        <f>IF(#REF! = 0, "No Usage", IF(#REF! &lt;= 20, "Low Usage", IF(#REF! &lt;= 40, "Medium Usgae", "High Usage")))</f>
        <v>#REF!</v>
      </c>
      <c r="AD3848" t="e">
        <f>IF(#REF!&lt;=150,"Low Usage", IF(#REF!&lt;=200,"Medium Usage", IF(#REF!&lt;=250,"High Usage","Very High Usage")))</f>
        <v>#REF!</v>
      </c>
      <c r="AE3848" t="e">
        <f>IF(#REF!&lt;=5,"Low Calls", IF(#REF!&lt;=10, "Medium Calls", "High Calls"))</f>
        <v>#REF!</v>
      </c>
      <c r="AF3848" t="e">
        <f xml:space="preserve">
IF(#REF!&gt;=4,4,0)+
IF(#REF!="yes",3,0)+
IF(#REF!="High Charges",3,0)+
IF(#REF!&gt;250,4,0)+
IF(#REF!="no",1,0)+
IF(#REF!="Heavy Domestic User",2,0)</f>
        <v>#REF!</v>
      </c>
      <c r="AG3848" t="e">
        <f>IF(#REF!&gt;=10,"High Risk", IF(#REF!&gt;=5,"Medium Risk","Low Risk"))</f>
        <v>#REF!</v>
      </c>
      <c r="AH3848" t="e">
        <f>#REF! + #REF! + #REF! + #REF!</f>
        <v>#REF!</v>
      </c>
    </row>
    <row r="3849" spans="1:34" x14ac:dyDescent="0.35">
      <c r="A3849">
        <v>3848</v>
      </c>
      <c r="B3849" t="s">
        <v>52</v>
      </c>
      <c r="C3849">
        <v>100</v>
      </c>
      <c r="D3849" t="s">
        <v>21</v>
      </c>
      <c r="E3849" t="s">
        <v>22</v>
      </c>
      <c r="F3849" t="s">
        <v>23</v>
      </c>
      <c r="G3849">
        <v>31</v>
      </c>
      <c r="H3849">
        <v>67.7</v>
      </c>
      <c r="I3849">
        <v>67</v>
      </c>
      <c r="J3849">
        <v>11.51</v>
      </c>
      <c r="K3849">
        <v>147.1</v>
      </c>
      <c r="L3849">
        <v>116</v>
      </c>
      <c r="M3849">
        <v>12.5</v>
      </c>
      <c r="N3849">
        <v>288.3</v>
      </c>
      <c r="O3849">
        <v>103</v>
      </c>
      <c r="P3849">
        <v>12.97</v>
      </c>
      <c r="Q3849">
        <v>12.3</v>
      </c>
      <c r="R3849">
        <v>2</v>
      </c>
      <c r="S3849">
        <v>3.32</v>
      </c>
      <c r="T3849">
        <v>6</v>
      </c>
      <c r="U3849" t="s">
        <v>23</v>
      </c>
      <c r="V3849" t="e">
        <f>IF(#REF! = "yes", 1, 0)</f>
        <v>#REF!</v>
      </c>
      <c r="W3849" t="e">
        <f>IF(#REF! &lt;= 1, "0-1 Calls", IF(#REF! &lt;= 3, "2-3 Calls", IF(#REF! &lt;=5, "4-5 Calls", "6+ Calls")))</f>
        <v>#REF!</v>
      </c>
      <c r="X3849" t="e">
        <f>IF(#REF! &lt;= 50, "0-50", IF(#REF! &lt;=100, "51-100", IF(#REF! &lt;= 150, "101-150", "151+")))</f>
        <v>#REF!</v>
      </c>
      <c r="Y3849" t="e">
        <f>IF(#REF! &lt;= 3, "Low Charges", "High Charges")</f>
        <v>#REF!</v>
      </c>
      <c r="Z3849" t="e">
        <f>IF(#REF!&lt;=80,"Low Calls",
IF(#REF!&lt;=120,"Medium Calls","High Calls"))</f>
        <v>#REF!</v>
      </c>
      <c r="AA3849" t="e">
        <f>IF(#REF!&lt;=15,"Low Charges",
IF(#REF!&lt;=20,"Medium Charges","High Charges"))</f>
        <v>#REF!</v>
      </c>
      <c r="AB3849" t="e">
        <f>IF(AND(#REF!&gt;180, #REF!&gt;200), "Heavy Doemstic User", IF(#REF!&gt;10, "Interntional User", IF(AND(#REF!&lt;180, #REF!&lt;200,#REF!&lt;200), "Light User", "Balanced User")))</f>
        <v>#REF!</v>
      </c>
      <c r="AC3849" t="e">
        <f>IF(#REF! = 0, "No Usage", IF(#REF! &lt;= 20, "Low Usage", IF(#REF! &lt;= 40, "Medium Usgae", "High Usage")))</f>
        <v>#REF!</v>
      </c>
      <c r="AD3849" t="e">
        <f>IF(#REF!&lt;=150,"Low Usage", IF(#REF!&lt;=200,"Medium Usage", IF(#REF!&lt;=250,"High Usage","Very High Usage")))</f>
        <v>#REF!</v>
      </c>
      <c r="AE3849" t="e">
        <f>IF(#REF!&lt;=5,"Low Calls", IF(#REF!&lt;=10, "Medium Calls", "High Calls"))</f>
        <v>#REF!</v>
      </c>
      <c r="AF3849" t="e">
        <f xml:space="preserve">
IF(#REF!&gt;=4,4,0)+
IF(#REF!="yes",3,0)+
IF(#REF!="High Charges",3,0)+
IF(#REF!&gt;250,4,0)+
IF(#REF!="no",1,0)+
IF(#REF!="Heavy Domestic User",2,0)</f>
        <v>#REF!</v>
      </c>
      <c r="AG3849" t="e">
        <f>IF(#REF!&gt;=10,"High Risk", IF(#REF!&gt;=5,"Medium Risk","Low Risk"))</f>
        <v>#REF!</v>
      </c>
      <c r="AH3849" t="e">
        <f>#REF! + #REF! + #REF! + #REF!</f>
        <v>#REF!</v>
      </c>
    </row>
    <row r="3850" spans="1:34" x14ac:dyDescent="0.35">
      <c r="A3850">
        <v>3849</v>
      </c>
      <c r="B3850" t="s">
        <v>72</v>
      </c>
      <c r="C3850">
        <v>107</v>
      </c>
      <c r="D3850" t="s">
        <v>25</v>
      </c>
      <c r="E3850" t="s">
        <v>22</v>
      </c>
      <c r="F3850" t="s">
        <v>22</v>
      </c>
      <c r="G3850">
        <v>0</v>
      </c>
      <c r="H3850">
        <v>228.2</v>
      </c>
      <c r="I3850">
        <v>90</v>
      </c>
      <c r="J3850">
        <v>38.79</v>
      </c>
      <c r="K3850">
        <v>214.2</v>
      </c>
      <c r="L3850">
        <v>123</v>
      </c>
      <c r="M3850">
        <v>18.21</v>
      </c>
      <c r="N3850">
        <v>183.1</v>
      </c>
      <c r="O3850">
        <v>79</v>
      </c>
      <c r="P3850">
        <v>8.24</v>
      </c>
      <c r="Q3850">
        <v>10.5</v>
      </c>
      <c r="R3850">
        <v>4</v>
      </c>
      <c r="S3850">
        <v>2.84</v>
      </c>
      <c r="T3850">
        <v>4</v>
      </c>
      <c r="U3850" t="s">
        <v>22</v>
      </c>
      <c r="V3850" t="e">
        <f>IF(#REF! = "yes", 1, 0)</f>
        <v>#REF!</v>
      </c>
      <c r="W3850" t="e">
        <f>IF(#REF! &lt;= 1, "0-1 Calls", IF(#REF! &lt;= 3, "2-3 Calls", IF(#REF! &lt;=5, "4-5 Calls", "6+ Calls")))</f>
        <v>#REF!</v>
      </c>
      <c r="X3850" t="e">
        <f>IF(#REF! &lt;= 50, "0-50", IF(#REF! &lt;=100, "51-100", IF(#REF! &lt;= 150, "101-150", "151+")))</f>
        <v>#REF!</v>
      </c>
      <c r="Y3850" t="e">
        <f>IF(#REF! &lt;= 3, "Low Charges", "High Charges")</f>
        <v>#REF!</v>
      </c>
      <c r="Z3850" t="e">
        <f>IF(#REF!&lt;=80,"Low Calls",
IF(#REF!&lt;=120,"Medium Calls","High Calls"))</f>
        <v>#REF!</v>
      </c>
      <c r="AA3850" t="e">
        <f>IF(#REF!&lt;=15,"Low Charges",
IF(#REF!&lt;=20,"Medium Charges","High Charges"))</f>
        <v>#REF!</v>
      </c>
      <c r="AB3850" t="e">
        <f>IF(AND(#REF!&gt;180, #REF!&gt;200), "Heavy Doemstic User", IF(#REF!&gt;10, "Interntional User", IF(AND(#REF!&lt;180, #REF!&lt;200,#REF!&lt;200), "Light User", "Balanced User")))</f>
        <v>#REF!</v>
      </c>
      <c r="AC3850" t="e">
        <f>IF(#REF! = 0, "No Usage", IF(#REF! &lt;= 20, "Low Usage", IF(#REF! &lt;= 40, "Medium Usgae", "High Usage")))</f>
        <v>#REF!</v>
      </c>
      <c r="AD3850" t="e">
        <f>IF(#REF!&lt;=150,"Low Usage", IF(#REF!&lt;=200,"Medium Usage", IF(#REF!&lt;=250,"High Usage","Very High Usage")))</f>
        <v>#REF!</v>
      </c>
      <c r="AE3850" t="e">
        <f>IF(#REF!&lt;=5,"Low Calls", IF(#REF!&lt;=10, "Medium Calls", "High Calls"))</f>
        <v>#REF!</v>
      </c>
      <c r="AF3850" t="e">
        <f xml:space="preserve">
IF(#REF!&gt;=4,4,0)+
IF(#REF!="yes",3,0)+
IF(#REF!="High Charges",3,0)+
IF(#REF!&gt;250,4,0)+
IF(#REF!="no",1,0)+
IF(#REF!="Heavy Domestic User",2,0)</f>
        <v>#REF!</v>
      </c>
      <c r="AG3850" t="e">
        <f>IF(#REF!&gt;=10,"High Risk", IF(#REF!&gt;=5,"Medium Risk","Low Risk"))</f>
        <v>#REF!</v>
      </c>
      <c r="AH3850" t="e">
        <f>#REF! + #REF! + #REF! + #REF!</f>
        <v>#REF!</v>
      </c>
    </row>
    <row r="3851" spans="1:34" x14ac:dyDescent="0.35">
      <c r="A3851">
        <v>3850</v>
      </c>
      <c r="B3851" t="s">
        <v>31</v>
      </c>
      <c r="C3851">
        <v>167</v>
      </c>
      <c r="D3851" t="s">
        <v>28</v>
      </c>
      <c r="E3851" t="s">
        <v>22</v>
      </c>
      <c r="F3851" t="s">
        <v>22</v>
      </c>
      <c r="G3851">
        <v>0</v>
      </c>
      <c r="H3851">
        <v>191.5</v>
      </c>
      <c r="I3851">
        <v>93</v>
      </c>
      <c r="J3851">
        <v>32.56</v>
      </c>
      <c r="K3851">
        <v>163.80000000000001</v>
      </c>
      <c r="L3851">
        <v>76</v>
      </c>
      <c r="M3851">
        <v>13.92</v>
      </c>
      <c r="N3851">
        <v>189.1</v>
      </c>
      <c r="O3851">
        <v>103</v>
      </c>
      <c r="P3851">
        <v>8.51</v>
      </c>
      <c r="Q3851">
        <v>14.1</v>
      </c>
      <c r="R3851">
        <v>9</v>
      </c>
      <c r="S3851">
        <v>3.81</v>
      </c>
      <c r="T3851">
        <v>1</v>
      </c>
      <c r="U3851" t="s">
        <v>22</v>
      </c>
      <c r="V3851" t="e">
        <f>IF(#REF! = "yes", 1, 0)</f>
        <v>#REF!</v>
      </c>
      <c r="W3851" t="e">
        <f>IF(#REF! &lt;= 1, "0-1 Calls", IF(#REF! &lt;= 3, "2-3 Calls", IF(#REF! &lt;=5, "4-5 Calls", "6+ Calls")))</f>
        <v>#REF!</v>
      </c>
      <c r="X3851" t="e">
        <f>IF(#REF! &lt;= 50, "0-50", IF(#REF! &lt;=100, "51-100", IF(#REF! &lt;= 150, "101-150", "151+")))</f>
        <v>#REF!</v>
      </c>
      <c r="Y3851" t="e">
        <f>IF(#REF! &lt;= 3, "Low Charges", "High Charges")</f>
        <v>#REF!</v>
      </c>
      <c r="Z3851" t="e">
        <f>IF(#REF!&lt;=80,"Low Calls",
IF(#REF!&lt;=120,"Medium Calls","High Calls"))</f>
        <v>#REF!</v>
      </c>
      <c r="AA3851" t="e">
        <f>IF(#REF!&lt;=15,"Low Charges",
IF(#REF!&lt;=20,"Medium Charges","High Charges"))</f>
        <v>#REF!</v>
      </c>
      <c r="AB3851" t="e">
        <f>IF(AND(#REF!&gt;180, #REF!&gt;200), "Heavy Doemstic User", IF(#REF!&gt;10, "Interntional User", IF(AND(#REF!&lt;180, #REF!&lt;200,#REF!&lt;200), "Light User", "Balanced User")))</f>
        <v>#REF!</v>
      </c>
      <c r="AC3851" t="e">
        <f>IF(#REF! = 0, "No Usage", IF(#REF! &lt;= 20, "Low Usage", IF(#REF! &lt;= 40, "Medium Usgae", "High Usage")))</f>
        <v>#REF!</v>
      </c>
      <c r="AD3851" t="e">
        <f>IF(#REF!&lt;=150,"Low Usage", IF(#REF!&lt;=200,"Medium Usage", IF(#REF!&lt;=250,"High Usage","Very High Usage")))</f>
        <v>#REF!</v>
      </c>
      <c r="AE3851" t="e">
        <f>IF(#REF!&lt;=5,"Low Calls", IF(#REF!&lt;=10, "Medium Calls", "High Calls"))</f>
        <v>#REF!</v>
      </c>
      <c r="AF3851" t="e">
        <f xml:space="preserve">
IF(#REF!&gt;=4,4,0)+
IF(#REF!="yes",3,0)+
IF(#REF!="High Charges",3,0)+
IF(#REF!&gt;250,4,0)+
IF(#REF!="no",1,0)+
IF(#REF!="Heavy Domestic User",2,0)</f>
        <v>#REF!</v>
      </c>
      <c r="AG3851" t="e">
        <f>IF(#REF!&gt;=10,"High Risk", IF(#REF!&gt;=5,"Medium Risk","Low Risk"))</f>
        <v>#REF!</v>
      </c>
      <c r="AH3851" t="e">
        <f>#REF! + #REF! + #REF! + #REF!</f>
        <v>#REF!</v>
      </c>
    </row>
    <row r="3852" spans="1:34" x14ac:dyDescent="0.35">
      <c r="A3852">
        <v>3851</v>
      </c>
      <c r="B3852" t="s">
        <v>60</v>
      </c>
      <c r="C3852">
        <v>49</v>
      </c>
      <c r="D3852" t="s">
        <v>21</v>
      </c>
      <c r="E3852" t="s">
        <v>22</v>
      </c>
      <c r="F3852" t="s">
        <v>22</v>
      </c>
      <c r="G3852">
        <v>0</v>
      </c>
      <c r="H3852">
        <v>171.5</v>
      </c>
      <c r="I3852">
        <v>86</v>
      </c>
      <c r="J3852">
        <v>29.16</v>
      </c>
      <c r="K3852">
        <v>188.8</v>
      </c>
      <c r="L3852">
        <v>85</v>
      </c>
      <c r="M3852">
        <v>16.05</v>
      </c>
      <c r="N3852">
        <v>155.1</v>
      </c>
      <c r="O3852">
        <v>82</v>
      </c>
      <c r="P3852">
        <v>6.98</v>
      </c>
      <c r="Q3852">
        <v>8.5</v>
      </c>
      <c r="R3852">
        <v>2</v>
      </c>
      <c r="S3852">
        <v>2.2999999999999998</v>
      </c>
      <c r="T3852">
        <v>2</v>
      </c>
      <c r="U3852" t="s">
        <v>22</v>
      </c>
      <c r="V3852" t="e">
        <f>IF(#REF! = "yes", 1, 0)</f>
        <v>#REF!</v>
      </c>
      <c r="W3852" t="e">
        <f>IF(#REF! &lt;= 1, "0-1 Calls", IF(#REF! &lt;= 3, "2-3 Calls", IF(#REF! &lt;=5, "4-5 Calls", "6+ Calls")))</f>
        <v>#REF!</v>
      </c>
      <c r="X3852" t="e">
        <f>IF(#REF! &lt;= 50, "0-50", IF(#REF! &lt;=100, "51-100", IF(#REF! &lt;= 150, "101-150", "151+")))</f>
        <v>#REF!</v>
      </c>
      <c r="Y3852" t="e">
        <f>IF(#REF! &lt;= 3, "Low Charges", "High Charges")</f>
        <v>#REF!</v>
      </c>
      <c r="Z3852" t="e">
        <f>IF(#REF!&lt;=80,"Low Calls",
IF(#REF!&lt;=120,"Medium Calls","High Calls"))</f>
        <v>#REF!</v>
      </c>
      <c r="AA3852" t="e">
        <f>IF(#REF!&lt;=15,"Low Charges",
IF(#REF!&lt;=20,"Medium Charges","High Charges"))</f>
        <v>#REF!</v>
      </c>
      <c r="AB3852" t="e">
        <f>IF(AND(#REF!&gt;180, #REF!&gt;200), "Heavy Doemstic User", IF(#REF!&gt;10, "Interntional User", IF(AND(#REF!&lt;180, #REF!&lt;200,#REF!&lt;200), "Light User", "Balanced User")))</f>
        <v>#REF!</v>
      </c>
      <c r="AC3852" t="e">
        <f>IF(#REF! = 0, "No Usage", IF(#REF! &lt;= 20, "Low Usage", IF(#REF! &lt;= 40, "Medium Usgae", "High Usage")))</f>
        <v>#REF!</v>
      </c>
      <c r="AD3852" t="e">
        <f>IF(#REF!&lt;=150,"Low Usage", IF(#REF!&lt;=200,"Medium Usage", IF(#REF!&lt;=250,"High Usage","Very High Usage")))</f>
        <v>#REF!</v>
      </c>
      <c r="AE3852" t="e">
        <f>IF(#REF!&lt;=5,"Low Calls", IF(#REF!&lt;=10, "Medium Calls", "High Calls"))</f>
        <v>#REF!</v>
      </c>
      <c r="AF3852" t="e">
        <f xml:space="preserve">
IF(#REF!&gt;=4,4,0)+
IF(#REF!="yes",3,0)+
IF(#REF!="High Charges",3,0)+
IF(#REF!&gt;250,4,0)+
IF(#REF!="no",1,0)+
IF(#REF!="Heavy Domestic User",2,0)</f>
        <v>#REF!</v>
      </c>
      <c r="AG3852" t="e">
        <f>IF(#REF!&gt;=10,"High Risk", IF(#REF!&gt;=5,"Medium Risk","Low Risk"))</f>
        <v>#REF!</v>
      </c>
      <c r="AH3852" t="e">
        <f>#REF! + #REF! + #REF! + #REF!</f>
        <v>#REF!</v>
      </c>
    </row>
    <row r="3853" spans="1:34" x14ac:dyDescent="0.35">
      <c r="A3853">
        <v>3852</v>
      </c>
      <c r="B3853" t="s">
        <v>30</v>
      </c>
      <c r="C3853">
        <v>34</v>
      </c>
      <c r="D3853" t="s">
        <v>25</v>
      </c>
      <c r="E3853" t="s">
        <v>22</v>
      </c>
      <c r="F3853" t="s">
        <v>22</v>
      </c>
      <c r="G3853">
        <v>0</v>
      </c>
      <c r="H3853">
        <v>151.1</v>
      </c>
      <c r="I3853">
        <v>92</v>
      </c>
      <c r="J3853">
        <v>25.69</v>
      </c>
      <c r="K3853">
        <v>211.7</v>
      </c>
      <c r="L3853">
        <v>86</v>
      </c>
      <c r="M3853">
        <v>17.989999999999998</v>
      </c>
      <c r="N3853">
        <v>205.8</v>
      </c>
      <c r="O3853">
        <v>72</v>
      </c>
      <c r="P3853">
        <v>9.26</v>
      </c>
      <c r="Q3853">
        <v>9.8000000000000007</v>
      </c>
      <c r="R3853">
        <v>4</v>
      </c>
      <c r="S3853">
        <v>2.65</v>
      </c>
      <c r="T3853">
        <v>0</v>
      </c>
      <c r="U3853" t="s">
        <v>22</v>
      </c>
      <c r="V3853" t="e">
        <f>IF(#REF! = "yes", 1, 0)</f>
        <v>#REF!</v>
      </c>
      <c r="W3853" t="e">
        <f>IF(#REF! &lt;= 1, "0-1 Calls", IF(#REF! &lt;= 3, "2-3 Calls", IF(#REF! &lt;=5, "4-5 Calls", "6+ Calls")))</f>
        <v>#REF!</v>
      </c>
      <c r="X3853" t="e">
        <f>IF(#REF! &lt;= 50, "0-50", IF(#REF! &lt;=100, "51-100", IF(#REF! &lt;= 150, "101-150", "151+")))</f>
        <v>#REF!</v>
      </c>
      <c r="Y3853" t="e">
        <f>IF(#REF! &lt;= 3, "Low Charges", "High Charges")</f>
        <v>#REF!</v>
      </c>
      <c r="Z3853" t="e">
        <f>IF(#REF!&lt;=80,"Low Calls",
IF(#REF!&lt;=120,"Medium Calls","High Calls"))</f>
        <v>#REF!</v>
      </c>
      <c r="AA3853" t="e">
        <f>IF(#REF!&lt;=15,"Low Charges",
IF(#REF!&lt;=20,"Medium Charges","High Charges"))</f>
        <v>#REF!</v>
      </c>
      <c r="AB3853" t="e">
        <f>IF(AND(#REF!&gt;180, #REF!&gt;200), "Heavy Doemstic User", IF(#REF!&gt;10, "Interntional User", IF(AND(#REF!&lt;180, #REF!&lt;200,#REF!&lt;200), "Light User", "Balanced User")))</f>
        <v>#REF!</v>
      </c>
      <c r="AC3853" t="e">
        <f>IF(#REF! = 0, "No Usage", IF(#REF! &lt;= 20, "Low Usage", IF(#REF! &lt;= 40, "Medium Usgae", "High Usage")))</f>
        <v>#REF!</v>
      </c>
      <c r="AD3853" t="e">
        <f>IF(#REF!&lt;=150,"Low Usage", IF(#REF!&lt;=200,"Medium Usage", IF(#REF!&lt;=250,"High Usage","Very High Usage")))</f>
        <v>#REF!</v>
      </c>
      <c r="AE3853" t="e">
        <f>IF(#REF!&lt;=5,"Low Calls", IF(#REF!&lt;=10, "Medium Calls", "High Calls"))</f>
        <v>#REF!</v>
      </c>
      <c r="AF3853" t="e">
        <f xml:space="preserve">
IF(#REF!&gt;=4,4,0)+
IF(#REF!="yes",3,0)+
IF(#REF!="High Charges",3,0)+
IF(#REF!&gt;250,4,0)+
IF(#REF!="no",1,0)+
IF(#REF!="Heavy Domestic User",2,0)</f>
        <v>#REF!</v>
      </c>
      <c r="AG3853" t="e">
        <f>IF(#REF!&gt;=10,"High Risk", IF(#REF!&gt;=5,"Medium Risk","Low Risk"))</f>
        <v>#REF!</v>
      </c>
      <c r="AH3853" t="e">
        <f>#REF! + #REF! + #REF! + #REF!</f>
        <v>#REF!</v>
      </c>
    </row>
    <row r="3854" spans="1:34" x14ac:dyDescent="0.35">
      <c r="A3854">
        <v>3853</v>
      </c>
      <c r="B3854" t="s">
        <v>64</v>
      </c>
      <c r="C3854">
        <v>109</v>
      </c>
      <c r="D3854" t="s">
        <v>21</v>
      </c>
      <c r="E3854" t="s">
        <v>22</v>
      </c>
      <c r="F3854" t="s">
        <v>22</v>
      </c>
      <c r="G3854">
        <v>0</v>
      </c>
      <c r="H3854">
        <v>134.30000000000001</v>
      </c>
      <c r="I3854">
        <v>99</v>
      </c>
      <c r="J3854">
        <v>22.83</v>
      </c>
      <c r="K3854">
        <v>203.9</v>
      </c>
      <c r="L3854">
        <v>103</v>
      </c>
      <c r="M3854">
        <v>17.329999999999998</v>
      </c>
      <c r="N3854">
        <v>297.7</v>
      </c>
      <c r="O3854">
        <v>91</v>
      </c>
      <c r="P3854">
        <v>13.4</v>
      </c>
      <c r="Q3854">
        <v>7.6</v>
      </c>
      <c r="R3854">
        <v>2</v>
      </c>
      <c r="S3854">
        <v>2.0499999999999998</v>
      </c>
      <c r="T3854">
        <v>3</v>
      </c>
      <c r="U3854" t="s">
        <v>22</v>
      </c>
      <c r="V3854" t="e">
        <f>IF(#REF! = "yes", 1, 0)</f>
        <v>#REF!</v>
      </c>
      <c r="W3854" t="e">
        <f>IF(#REF! &lt;= 1, "0-1 Calls", IF(#REF! &lt;= 3, "2-3 Calls", IF(#REF! &lt;=5, "4-5 Calls", "6+ Calls")))</f>
        <v>#REF!</v>
      </c>
      <c r="X3854" t="e">
        <f>IF(#REF! &lt;= 50, "0-50", IF(#REF! &lt;=100, "51-100", IF(#REF! &lt;= 150, "101-150", "151+")))</f>
        <v>#REF!</v>
      </c>
      <c r="Y3854" t="e">
        <f>IF(#REF! &lt;= 3, "Low Charges", "High Charges")</f>
        <v>#REF!</v>
      </c>
      <c r="Z3854" t="e">
        <f>IF(#REF!&lt;=80,"Low Calls",
IF(#REF!&lt;=120,"Medium Calls","High Calls"))</f>
        <v>#REF!</v>
      </c>
      <c r="AA3854" t="e">
        <f>IF(#REF!&lt;=15,"Low Charges",
IF(#REF!&lt;=20,"Medium Charges","High Charges"))</f>
        <v>#REF!</v>
      </c>
      <c r="AB3854" t="e">
        <f>IF(AND(#REF!&gt;180, #REF!&gt;200), "Heavy Doemstic User", IF(#REF!&gt;10, "Interntional User", IF(AND(#REF!&lt;180, #REF!&lt;200,#REF!&lt;200), "Light User", "Balanced User")))</f>
        <v>#REF!</v>
      </c>
      <c r="AC3854" t="e">
        <f>IF(#REF! = 0, "No Usage", IF(#REF! &lt;= 20, "Low Usage", IF(#REF! &lt;= 40, "Medium Usgae", "High Usage")))</f>
        <v>#REF!</v>
      </c>
      <c r="AD3854" t="e">
        <f>IF(#REF!&lt;=150,"Low Usage", IF(#REF!&lt;=200,"Medium Usage", IF(#REF!&lt;=250,"High Usage","Very High Usage")))</f>
        <v>#REF!</v>
      </c>
      <c r="AE3854" t="e">
        <f>IF(#REF!&lt;=5,"Low Calls", IF(#REF!&lt;=10, "Medium Calls", "High Calls"))</f>
        <v>#REF!</v>
      </c>
      <c r="AF3854" t="e">
        <f xml:space="preserve">
IF(#REF!&gt;=4,4,0)+
IF(#REF!="yes",3,0)+
IF(#REF!="High Charges",3,0)+
IF(#REF!&gt;250,4,0)+
IF(#REF!="no",1,0)+
IF(#REF!="Heavy Domestic User",2,0)</f>
        <v>#REF!</v>
      </c>
      <c r="AG3854" t="e">
        <f>IF(#REF!&gt;=10,"High Risk", IF(#REF!&gt;=5,"Medium Risk","Low Risk"))</f>
        <v>#REF!</v>
      </c>
      <c r="AH3854" t="e">
        <f>#REF! + #REF! + #REF! + #REF!</f>
        <v>#REF!</v>
      </c>
    </row>
    <row r="3855" spans="1:34" x14ac:dyDescent="0.35">
      <c r="A3855">
        <v>3854</v>
      </c>
      <c r="B3855" t="s">
        <v>72</v>
      </c>
      <c r="C3855">
        <v>109</v>
      </c>
      <c r="D3855" t="s">
        <v>28</v>
      </c>
      <c r="E3855" t="s">
        <v>22</v>
      </c>
      <c r="F3855" t="s">
        <v>22</v>
      </c>
      <c r="G3855">
        <v>0</v>
      </c>
      <c r="H3855">
        <v>117.8</v>
      </c>
      <c r="I3855">
        <v>64</v>
      </c>
      <c r="J3855">
        <v>20.03</v>
      </c>
      <c r="K3855">
        <v>216.2</v>
      </c>
      <c r="L3855">
        <v>84</v>
      </c>
      <c r="M3855">
        <v>18.38</v>
      </c>
      <c r="N3855">
        <v>148.4</v>
      </c>
      <c r="O3855">
        <v>59</v>
      </c>
      <c r="P3855">
        <v>6.68</v>
      </c>
      <c r="Q3855">
        <v>10.9</v>
      </c>
      <c r="R3855">
        <v>5</v>
      </c>
      <c r="S3855">
        <v>2.94</v>
      </c>
      <c r="T3855">
        <v>1</v>
      </c>
      <c r="U3855" t="s">
        <v>22</v>
      </c>
      <c r="V3855" t="e">
        <f>IF(#REF! = "yes", 1, 0)</f>
        <v>#REF!</v>
      </c>
      <c r="W3855" t="e">
        <f>IF(#REF! &lt;= 1, "0-1 Calls", IF(#REF! &lt;= 3, "2-3 Calls", IF(#REF! &lt;=5, "4-5 Calls", "6+ Calls")))</f>
        <v>#REF!</v>
      </c>
      <c r="X3855" t="e">
        <f>IF(#REF! &lt;= 50, "0-50", IF(#REF! &lt;=100, "51-100", IF(#REF! &lt;= 150, "101-150", "151+")))</f>
        <v>#REF!</v>
      </c>
      <c r="Y3855" t="e">
        <f>IF(#REF! &lt;= 3, "Low Charges", "High Charges")</f>
        <v>#REF!</v>
      </c>
      <c r="Z3855" t="e">
        <f>IF(#REF!&lt;=80,"Low Calls",
IF(#REF!&lt;=120,"Medium Calls","High Calls"))</f>
        <v>#REF!</v>
      </c>
      <c r="AA3855" t="e">
        <f>IF(#REF!&lt;=15,"Low Charges",
IF(#REF!&lt;=20,"Medium Charges","High Charges"))</f>
        <v>#REF!</v>
      </c>
      <c r="AB3855" t="e">
        <f>IF(AND(#REF!&gt;180, #REF!&gt;200), "Heavy Doemstic User", IF(#REF!&gt;10, "Interntional User", IF(AND(#REF!&lt;180, #REF!&lt;200,#REF!&lt;200), "Light User", "Balanced User")))</f>
        <v>#REF!</v>
      </c>
      <c r="AC3855" t="e">
        <f>IF(#REF! = 0, "No Usage", IF(#REF! &lt;= 20, "Low Usage", IF(#REF! &lt;= 40, "Medium Usgae", "High Usage")))</f>
        <v>#REF!</v>
      </c>
      <c r="AD3855" t="e">
        <f>IF(#REF!&lt;=150,"Low Usage", IF(#REF!&lt;=200,"Medium Usage", IF(#REF!&lt;=250,"High Usage","Very High Usage")))</f>
        <v>#REF!</v>
      </c>
      <c r="AE3855" t="e">
        <f>IF(#REF!&lt;=5,"Low Calls", IF(#REF!&lt;=10, "Medium Calls", "High Calls"))</f>
        <v>#REF!</v>
      </c>
      <c r="AF3855" t="e">
        <f xml:space="preserve">
IF(#REF!&gt;=4,4,0)+
IF(#REF!="yes",3,0)+
IF(#REF!="High Charges",3,0)+
IF(#REF!&gt;250,4,0)+
IF(#REF!="no",1,0)+
IF(#REF!="Heavy Domestic User",2,0)</f>
        <v>#REF!</v>
      </c>
      <c r="AG3855" t="e">
        <f>IF(#REF!&gt;=10,"High Risk", IF(#REF!&gt;=5,"Medium Risk","Low Risk"))</f>
        <v>#REF!</v>
      </c>
      <c r="AH3855" t="e">
        <f>#REF! + #REF! + #REF! + #REF!</f>
        <v>#REF!</v>
      </c>
    </row>
    <row r="3856" spans="1:34" x14ac:dyDescent="0.35">
      <c r="A3856">
        <v>3855</v>
      </c>
      <c r="B3856" t="s">
        <v>70</v>
      </c>
      <c r="C3856">
        <v>39</v>
      </c>
      <c r="D3856" t="s">
        <v>25</v>
      </c>
      <c r="E3856" t="s">
        <v>22</v>
      </c>
      <c r="F3856" t="s">
        <v>22</v>
      </c>
      <c r="G3856">
        <v>0</v>
      </c>
      <c r="H3856">
        <v>181.2</v>
      </c>
      <c r="I3856">
        <v>71</v>
      </c>
      <c r="J3856">
        <v>30.8</v>
      </c>
      <c r="K3856">
        <v>344.9</v>
      </c>
      <c r="L3856">
        <v>108</v>
      </c>
      <c r="M3856">
        <v>29.32</v>
      </c>
      <c r="N3856">
        <v>213.6</v>
      </c>
      <c r="O3856">
        <v>145</v>
      </c>
      <c r="P3856">
        <v>9.61</v>
      </c>
      <c r="Q3856">
        <v>12.1</v>
      </c>
      <c r="R3856">
        <v>2</v>
      </c>
      <c r="S3856">
        <v>3.27</v>
      </c>
      <c r="T3856">
        <v>3</v>
      </c>
      <c r="U3856" t="s">
        <v>22</v>
      </c>
      <c r="V3856" t="e">
        <f>IF(#REF! = "yes", 1, 0)</f>
        <v>#REF!</v>
      </c>
      <c r="W3856" t="e">
        <f>IF(#REF! &lt;= 1, "0-1 Calls", IF(#REF! &lt;= 3, "2-3 Calls", IF(#REF! &lt;=5, "4-5 Calls", "6+ Calls")))</f>
        <v>#REF!</v>
      </c>
      <c r="X3856" t="e">
        <f>IF(#REF! &lt;= 50, "0-50", IF(#REF! &lt;=100, "51-100", IF(#REF! &lt;= 150, "101-150", "151+")))</f>
        <v>#REF!</v>
      </c>
      <c r="Y3856" t="e">
        <f>IF(#REF! &lt;= 3, "Low Charges", "High Charges")</f>
        <v>#REF!</v>
      </c>
      <c r="Z3856" t="e">
        <f>IF(#REF!&lt;=80,"Low Calls",
IF(#REF!&lt;=120,"Medium Calls","High Calls"))</f>
        <v>#REF!</v>
      </c>
      <c r="AA3856" t="e">
        <f>IF(#REF!&lt;=15,"Low Charges",
IF(#REF!&lt;=20,"Medium Charges","High Charges"))</f>
        <v>#REF!</v>
      </c>
      <c r="AB3856" t="e">
        <f>IF(AND(#REF!&gt;180, #REF!&gt;200), "Heavy Doemstic User", IF(#REF!&gt;10, "Interntional User", IF(AND(#REF!&lt;180, #REF!&lt;200,#REF!&lt;200), "Light User", "Balanced User")))</f>
        <v>#REF!</v>
      </c>
      <c r="AC3856" t="e">
        <f>IF(#REF! = 0, "No Usage", IF(#REF! &lt;= 20, "Low Usage", IF(#REF! &lt;= 40, "Medium Usgae", "High Usage")))</f>
        <v>#REF!</v>
      </c>
      <c r="AD3856" t="e">
        <f>IF(#REF!&lt;=150,"Low Usage", IF(#REF!&lt;=200,"Medium Usage", IF(#REF!&lt;=250,"High Usage","Very High Usage")))</f>
        <v>#REF!</v>
      </c>
      <c r="AE3856" t="e">
        <f>IF(#REF!&lt;=5,"Low Calls", IF(#REF!&lt;=10, "Medium Calls", "High Calls"))</f>
        <v>#REF!</v>
      </c>
      <c r="AF3856" t="e">
        <f xml:space="preserve">
IF(#REF!&gt;=4,4,0)+
IF(#REF!="yes",3,0)+
IF(#REF!="High Charges",3,0)+
IF(#REF!&gt;250,4,0)+
IF(#REF!="no",1,0)+
IF(#REF!="Heavy Domestic User",2,0)</f>
        <v>#REF!</v>
      </c>
      <c r="AG3856" t="e">
        <f>IF(#REF!&gt;=10,"High Risk", IF(#REF!&gt;=5,"Medium Risk","Low Risk"))</f>
        <v>#REF!</v>
      </c>
      <c r="AH3856" t="e">
        <f>#REF! + #REF! + #REF! + #REF!</f>
        <v>#REF!</v>
      </c>
    </row>
    <row r="3857" spans="1:34" x14ac:dyDescent="0.35">
      <c r="A3857">
        <v>3856</v>
      </c>
      <c r="B3857" t="s">
        <v>55</v>
      </c>
      <c r="C3857">
        <v>90</v>
      </c>
      <c r="D3857" t="s">
        <v>21</v>
      </c>
      <c r="E3857" t="s">
        <v>22</v>
      </c>
      <c r="F3857" t="s">
        <v>22</v>
      </c>
      <c r="G3857">
        <v>0</v>
      </c>
      <c r="H3857">
        <v>152.30000000000001</v>
      </c>
      <c r="I3857">
        <v>91</v>
      </c>
      <c r="J3857">
        <v>25.89</v>
      </c>
      <c r="K3857">
        <v>165</v>
      </c>
      <c r="L3857">
        <v>120</v>
      </c>
      <c r="M3857">
        <v>14.03</v>
      </c>
      <c r="N3857">
        <v>294.3</v>
      </c>
      <c r="O3857">
        <v>73</v>
      </c>
      <c r="P3857">
        <v>13.24</v>
      </c>
      <c r="Q3857">
        <v>9</v>
      </c>
      <c r="R3857">
        <v>3</v>
      </c>
      <c r="S3857">
        <v>2.4300000000000002</v>
      </c>
      <c r="T3857">
        <v>2</v>
      </c>
      <c r="U3857" t="s">
        <v>22</v>
      </c>
      <c r="V3857" t="e">
        <f>IF(#REF! = "yes", 1, 0)</f>
        <v>#REF!</v>
      </c>
      <c r="W3857" t="e">
        <f>IF(#REF! &lt;= 1, "0-1 Calls", IF(#REF! &lt;= 3, "2-3 Calls", IF(#REF! &lt;=5, "4-5 Calls", "6+ Calls")))</f>
        <v>#REF!</v>
      </c>
      <c r="X3857" t="e">
        <f>IF(#REF! &lt;= 50, "0-50", IF(#REF! &lt;=100, "51-100", IF(#REF! &lt;= 150, "101-150", "151+")))</f>
        <v>#REF!</v>
      </c>
      <c r="Y3857" t="e">
        <f>IF(#REF! &lt;= 3, "Low Charges", "High Charges")</f>
        <v>#REF!</v>
      </c>
      <c r="Z3857" t="e">
        <f>IF(#REF!&lt;=80,"Low Calls",
IF(#REF!&lt;=120,"Medium Calls","High Calls"))</f>
        <v>#REF!</v>
      </c>
      <c r="AA3857" t="e">
        <f>IF(#REF!&lt;=15,"Low Charges",
IF(#REF!&lt;=20,"Medium Charges","High Charges"))</f>
        <v>#REF!</v>
      </c>
      <c r="AB3857" t="e">
        <f>IF(AND(#REF!&gt;180, #REF!&gt;200), "Heavy Doemstic User", IF(#REF!&gt;10, "Interntional User", IF(AND(#REF!&lt;180, #REF!&lt;200,#REF!&lt;200), "Light User", "Balanced User")))</f>
        <v>#REF!</v>
      </c>
      <c r="AC3857" t="e">
        <f>IF(#REF! = 0, "No Usage", IF(#REF! &lt;= 20, "Low Usage", IF(#REF! &lt;= 40, "Medium Usgae", "High Usage")))</f>
        <v>#REF!</v>
      </c>
      <c r="AD3857" t="e">
        <f>IF(#REF!&lt;=150,"Low Usage", IF(#REF!&lt;=200,"Medium Usage", IF(#REF!&lt;=250,"High Usage","Very High Usage")))</f>
        <v>#REF!</v>
      </c>
      <c r="AE3857" t="e">
        <f>IF(#REF!&lt;=5,"Low Calls", IF(#REF!&lt;=10, "Medium Calls", "High Calls"))</f>
        <v>#REF!</v>
      </c>
      <c r="AF3857" t="e">
        <f xml:space="preserve">
IF(#REF!&gt;=4,4,0)+
IF(#REF!="yes",3,0)+
IF(#REF!="High Charges",3,0)+
IF(#REF!&gt;250,4,0)+
IF(#REF!="no",1,0)+
IF(#REF!="Heavy Domestic User",2,0)</f>
        <v>#REF!</v>
      </c>
      <c r="AG3857" t="e">
        <f>IF(#REF!&gt;=10,"High Risk", IF(#REF!&gt;=5,"Medium Risk","Low Risk"))</f>
        <v>#REF!</v>
      </c>
      <c r="AH3857" t="e">
        <f>#REF! + #REF! + #REF! + #REF!</f>
        <v>#REF!</v>
      </c>
    </row>
    <row r="3858" spans="1:34" x14ac:dyDescent="0.35">
      <c r="A3858">
        <v>3857</v>
      </c>
      <c r="B3858" t="s">
        <v>65</v>
      </c>
      <c r="C3858">
        <v>114</v>
      </c>
      <c r="D3858" t="s">
        <v>25</v>
      </c>
      <c r="E3858" t="s">
        <v>22</v>
      </c>
      <c r="F3858" t="s">
        <v>22</v>
      </c>
      <c r="G3858">
        <v>0</v>
      </c>
      <c r="H3858">
        <v>204.4</v>
      </c>
      <c r="I3858">
        <v>91</v>
      </c>
      <c r="J3858">
        <v>34.75</v>
      </c>
      <c r="K3858">
        <v>239.6</v>
      </c>
      <c r="L3858">
        <v>136</v>
      </c>
      <c r="M3858">
        <v>20.37</v>
      </c>
      <c r="N3858">
        <v>235</v>
      </c>
      <c r="O3858">
        <v>64</v>
      </c>
      <c r="P3858">
        <v>10.58</v>
      </c>
      <c r="Q3858">
        <v>11.5</v>
      </c>
      <c r="R3858">
        <v>3</v>
      </c>
      <c r="S3858">
        <v>3.11</v>
      </c>
      <c r="T3858">
        <v>2</v>
      </c>
      <c r="U3858" t="s">
        <v>22</v>
      </c>
      <c r="V3858" t="e">
        <f>IF(#REF! = "yes", 1, 0)</f>
        <v>#REF!</v>
      </c>
      <c r="W3858" t="e">
        <f>IF(#REF! &lt;= 1, "0-1 Calls", IF(#REF! &lt;= 3, "2-3 Calls", IF(#REF! &lt;=5, "4-5 Calls", "6+ Calls")))</f>
        <v>#REF!</v>
      </c>
      <c r="X3858" t="e">
        <f>IF(#REF! &lt;= 50, "0-50", IF(#REF! &lt;=100, "51-100", IF(#REF! &lt;= 150, "101-150", "151+")))</f>
        <v>#REF!</v>
      </c>
      <c r="Y3858" t="e">
        <f>IF(#REF! &lt;= 3, "Low Charges", "High Charges")</f>
        <v>#REF!</v>
      </c>
      <c r="Z3858" t="e">
        <f>IF(#REF!&lt;=80,"Low Calls",
IF(#REF!&lt;=120,"Medium Calls","High Calls"))</f>
        <v>#REF!</v>
      </c>
      <c r="AA3858" t="e">
        <f>IF(#REF!&lt;=15,"Low Charges",
IF(#REF!&lt;=20,"Medium Charges","High Charges"))</f>
        <v>#REF!</v>
      </c>
      <c r="AB3858" t="e">
        <f>IF(AND(#REF!&gt;180, #REF!&gt;200), "Heavy Doemstic User", IF(#REF!&gt;10, "Interntional User", IF(AND(#REF!&lt;180, #REF!&lt;200,#REF!&lt;200), "Light User", "Balanced User")))</f>
        <v>#REF!</v>
      </c>
      <c r="AC3858" t="e">
        <f>IF(#REF! = 0, "No Usage", IF(#REF! &lt;= 20, "Low Usage", IF(#REF! &lt;= 40, "Medium Usgae", "High Usage")))</f>
        <v>#REF!</v>
      </c>
      <c r="AD3858" t="e">
        <f>IF(#REF!&lt;=150,"Low Usage", IF(#REF!&lt;=200,"Medium Usage", IF(#REF!&lt;=250,"High Usage","Very High Usage")))</f>
        <v>#REF!</v>
      </c>
      <c r="AE3858" t="e">
        <f>IF(#REF!&lt;=5,"Low Calls", IF(#REF!&lt;=10, "Medium Calls", "High Calls"))</f>
        <v>#REF!</v>
      </c>
      <c r="AF3858" t="e">
        <f xml:space="preserve">
IF(#REF!&gt;=4,4,0)+
IF(#REF!="yes",3,0)+
IF(#REF!="High Charges",3,0)+
IF(#REF!&gt;250,4,0)+
IF(#REF!="no",1,0)+
IF(#REF!="Heavy Domestic User",2,0)</f>
        <v>#REF!</v>
      </c>
      <c r="AG3858" t="e">
        <f>IF(#REF!&gt;=10,"High Risk", IF(#REF!&gt;=5,"Medium Risk","Low Risk"))</f>
        <v>#REF!</v>
      </c>
      <c r="AH3858" t="e">
        <f>#REF! + #REF! + #REF! + #REF!</f>
        <v>#REF!</v>
      </c>
    </row>
    <row r="3859" spans="1:34" x14ac:dyDescent="0.35">
      <c r="A3859">
        <v>3858</v>
      </c>
      <c r="B3859" t="s">
        <v>35</v>
      </c>
      <c r="C3859">
        <v>113</v>
      </c>
      <c r="D3859" t="s">
        <v>21</v>
      </c>
      <c r="E3859" t="s">
        <v>22</v>
      </c>
      <c r="F3859" t="s">
        <v>22</v>
      </c>
      <c r="G3859">
        <v>0</v>
      </c>
      <c r="H3859">
        <v>283.89999999999998</v>
      </c>
      <c r="I3859">
        <v>98</v>
      </c>
      <c r="J3859">
        <v>48.26</v>
      </c>
      <c r="K3859">
        <v>137.1</v>
      </c>
      <c r="L3859">
        <v>91</v>
      </c>
      <c r="M3859">
        <v>11.65</v>
      </c>
      <c r="N3859">
        <v>159</v>
      </c>
      <c r="O3859">
        <v>110</v>
      </c>
      <c r="P3859">
        <v>7.15</v>
      </c>
      <c r="Q3859">
        <v>11.3</v>
      </c>
      <c r="R3859">
        <v>5</v>
      </c>
      <c r="S3859">
        <v>3.05</v>
      </c>
      <c r="T3859">
        <v>2</v>
      </c>
      <c r="U3859" t="s">
        <v>22</v>
      </c>
      <c r="V3859" t="e">
        <f>IF(#REF! = "yes", 1, 0)</f>
        <v>#REF!</v>
      </c>
      <c r="W3859" t="e">
        <f>IF(#REF! &lt;= 1, "0-1 Calls", IF(#REF! &lt;= 3, "2-3 Calls", IF(#REF! &lt;=5, "4-5 Calls", "6+ Calls")))</f>
        <v>#REF!</v>
      </c>
      <c r="X3859" t="e">
        <f>IF(#REF! &lt;= 50, "0-50", IF(#REF! &lt;=100, "51-100", IF(#REF! &lt;= 150, "101-150", "151+")))</f>
        <v>#REF!</v>
      </c>
      <c r="Y3859" t="e">
        <f>IF(#REF! &lt;= 3, "Low Charges", "High Charges")</f>
        <v>#REF!</v>
      </c>
      <c r="Z3859" t="e">
        <f>IF(#REF!&lt;=80,"Low Calls",
IF(#REF!&lt;=120,"Medium Calls","High Calls"))</f>
        <v>#REF!</v>
      </c>
      <c r="AA3859" t="e">
        <f>IF(#REF!&lt;=15,"Low Charges",
IF(#REF!&lt;=20,"Medium Charges","High Charges"))</f>
        <v>#REF!</v>
      </c>
      <c r="AB3859" t="e">
        <f>IF(AND(#REF!&gt;180, #REF!&gt;200), "Heavy Doemstic User", IF(#REF!&gt;10, "Interntional User", IF(AND(#REF!&lt;180, #REF!&lt;200,#REF!&lt;200), "Light User", "Balanced User")))</f>
        <v>#REF!</v>
      </c>
      <c r="AC3859" t="e">
        <f>IF(#REF! = 0, "No Usage", IF(#REF! &lt;= 20, "Low Usage", IF(#REF! &lt;= 40, "Medium Usgae", "High Usage")))</f>
        <v>#REF!</v>
      </c>
      <c r="AD3859" t="e">
        <f>IF(#REF!&lt;=150,"Low Usage", IF(#REF!&lt;=200,"Medium Usage", IF(#REF!&lt;=250,"High Usage","Very High Usage")))</f>
        <v>#REF!</v>
      </c>
      <c r="AE3859" t="e">
        <f>IF(#REF!&lt;=5,"Low Calls", IF(#REF!&lt;=10, "Medium Calls", "High Calls"))</f>
        <v>#REF!</v>
      </c>
      <c r="AF3859" t="e">
        <f xml:space="preserve">
IF(#REF!&gt;=4,4,0)+
IF(#REF!="yes",3,0)+
IF(#REF!="High Charges",3,0)+
IF(#REF!&gt;250,4,0)+
IF(#REF!="no",1,0)+
IF(#REF!="Heavy Domestic User",2,0)</f>
        <v>#REF!</v>
      </c>
      <c r="AG3859" t="e">
        <f>IF(#REF!&gt;=10,"High Risk", IF(#REF!&gt;=5,"Medium Risk","Low Risk"))</f>
        <v>#REF!</v>
      </c>
      <c r="AH3859" t="e">
        <f>#REF! + #REF! + #REF! + #REF!</f>
        <v>#REF!</v>
      </c>
    </row>
    <row r="3860" spans="1:34" x14ac:dyDescent="0.35">
      <c r="A3860">
        <v>3859</v>
      </c>
      <c r="B3860" t="s">
        <v>27</v>
      </c>
      <c r="C3860">
        <v>19</v>
      </c>
      <c r="D3860" t="s">
        <v>21</v>
      </c>
      <c r="E3860" t="s">
        <v>22</v>
      </c>
      <c r="F3860" t="s">
        <v>23</v>
      </c>
      <c r="G3860">
        <v>29</v>
      </c>
      <c r="H3860">
        <v>142.69999999999999</v>
      </c>
      <c r="I3860">
        <v>94</v>
      </c>
      <c r="J3860">
        <v>24.26</v>
      </c>
      <c r="K3860">
        <v>129.9</v>
      </c>
      <c r="L3860">
        <v>60</v>
      </c>
      <c r="M3860">
        <v>11.04</v>
      </c>
      <c r="N3860">
        <v>165.3</v>
      </c>
      <c r="O3860">
        <v>65</v>
      </c>
      <c r="P3860">
        <v>7.44</v>
      </c>
      <c r="Q3860">
        <v>10</v>
      </c>
      <c r="R3860">
        <v>4</v>
      </c>
      <c r="S3860">
        <v>2.7</v>
      </c>
      <c r="T3860">
        <v>0</v>
      </c>
      <c r="U3860" t="s">
        <v>22</v>
      </c>
      <c r="V3860" t="e">
        <f>IF(#REF! = "yes", 1, 0)</f>
        <v>#REF!</v>
      </c>
      <c r="W3860" t="e">
        <f>IF(#REF! &lt;= 1, "0-1 Calls", IF(#REF! &lt;= 3, "2-3 Calls", IF(#REF! &lt;=5, "4-5 Calls", "6+ Calls")))</f>
        <v>#REF!</v>
      </c>
      <c r="X3860" t="e">
        <f>IF(#REF! &lt;= 50, "0-50", IF(#REF! &lt;=100, "51-100", IF(#REF! &lt;= 150, "101-150", "151+")))</f>
        <v>#REF!</v>
      </c>
      <c r="Y3860" t="e">
        <f>IF(#REF! &lt;= 3, "Low Charges", "High Charges")</f>
        <v>#REF!</v>
      </c>
      <c r="Z3860" t="e">
        <f>IF(#REF!&lt;=80,"Low Calls",
IF(#REF!&lt;=120,"Medium Calls","High Calls"))</f>
        <v>#REF!</v>
      </c>
      <c r="AA3860" t="e">
        <f>IF(#REF!&lt;=15,"Low Charges",
IF(#REF!&lt;=20,"Medium Charges","High Charges"))</f>
        <v>#REF!</v>
      </c>
      <c r="AB3860" t="e">
        <f>IF(AND(#REF!&gt;180, #REF!&gt;200), "Heavy Doemstic User", IF(#REF!&gt;10, "Interntional User", IF(AND(#REF!&lt;180, #REF!&lt;200,#REF!&lt;200), "Light User", "Balanced User")))</f>
        <v>#REF!</v>
      </c>
      <c r="AC3860" t="e">
        <f>IF(#REF! = 0, "No Usage", IF(#REF! &lt;= 20, "Low Usage", IF(#REF! &lt;= 40, "Medium Usgae", "High Usage")))</f>
        <v>#REF!</v>
      </c>
      <c r="AD3860" t="e">
        <f>IF(#REF!&lt;=150,"Low Usage", IF(#REF!&lt;=200,"Medium Usage", IF(#REF!&lt;=250,"High Usage","Very High Usage")))</f>
        <v>#REF!</v>
      </c>
      <c r="AE3860" t="e">
        <f>IF(#REF!&lt;=5,"Low Calls", IF(#REF!&lt;=10, "Medium Calls", "High Calls"))</f>
        <v>#REF!</v>
      </c>
      <c r="AF3860" t="e">
        <f xml:space="preserve">
IF(#REF!&gt;=4,4,0)+
IF(#REF!="yes",3,0)+
IF(#REF!="High Charges",3,0)+
IF(#REF!&gt;250,4,0)+
IF(#REF!="no",1,0)+
IF(#REF!="Heavy Domestic User",2,0)</f>
        <v>#REF!</v>
      </c>
      <c r="AG3860" t="e">
        <f>IF(#REF!&gt;=10,"High Risk", IF(#REF!&gt;=5,"Medium Risk","Low Risk"))</f>
        <v>#REF!</v>
      </c>
      <c r="AH3860" t="e">
        <f>#REF! + #REF! + #REF! + #REF!</f>
        <v>#REF!</v>
      </c>
    </row>
    <row r="3861" spans="1:34" x14ac:dyDescent="0.35">
      <c r="A3861">
        <v>3860</v>
      </c>
      <c r="B3861" t="s">
        <v>24</v>
      </c>
      <c r="C3861">
        <v>94</v>
      </c>
      <c r="D3861" t="s">
        <v>21</v>
      </c>
      <c r="E3861" t="s">
        <v>22</v>
      </c>
      <c r="F3861" t="s">
        <v>22</v>
      </c>
      <c r="G3861">
        <v>0</v>
      </c>
      <c r="H3861">
        <v>145.4</v>
      </c>
      <c r="I3861">
        <v>92</v>
      </c>
      <c r="J3861">
        <v>24.72</v>
      </c>
      <c r="K3861">
        <v>172.8</v>
      </c>
      <c r="L3861">
        <v>103</v>
      </c>
      <c r="M3861">
        <v>14.69</v>
      </c>
      <c r="N3861">
        <v>183.9</v>
      </c>
      <c r="O3861">
        <v>43</v>
      </c>
      <c r="P3861">
        <v>8.2799999999999994</v>
      </c>
      <c r="Q3861">
        <v>9.3000000000000007</v>
      </c>
      <c r="R3861">
        <v>3</v>
      </c>
      <c r="S3861">
        <v>2.5099999999999998</v>
      </c>
      <c r="T3861">
        <v>2</v>
      </c>
      <c r="U3861" t="s">
        <v>22</v>
      </c>
      <c r="V3861" t="e">
        <f>IF(#REF! = "yes", 1, 0)</f>
        <v>#REF!</v>
      </c>
      <c r="W3861" t="e">
        <f>IF(#REF! &lt;= 1, "0-1 Calls", IF(#REF! &lt;= 3, "2-3 Calls", IF(#REF! &lt;=5, "4-5 Calls", "6+ Calls")))</f>
        <v>#REF!</v>
      </c>
      <c r="X3861" t="e">
        <f>IF(#REF! &lt;= 50, "0-50", IF(#REF! &lt;=100, "51-100", IF(#REF! &lt;= 150, "101-150", "151+")))</f>
        <v>#REF!</v>
      </c>
      <c r="Y3861" t="e">
        <f>IF(#REF! &lt;= 3, "Low Charges", "High Charges")</f>
        <v>#REF!</v>
      </c>
      <c r="Z3861" t="e">
        <f>IF(#REF!&lt;=80,"Low Calls",
IF(#REF!&lt;=120,"Medium Calls","High Calls"))</f>
        <v>#REF!</v>
      </c>
      <c r="AA3861" t="e">
        <f>IF(#REF!&lt;=15,"Low Charges",
IF(#REF!&lt;=20,"Medium Charges","High Charges"))</f>
        <v>#REF!</v>
      </c>
      <c r="AB3861" t="e">
        <f>IF(AND(#REF!&gt;180, #REF!&gt;200), "Heavy Doemstic User", IF(#REF!&gt;10, "Interntional User", IF(AND(#REF!&lt;180, #REF!&lt;200,#REF!&lt;200), "Light User", "Balanced User")))</f>
        <v>#REF!</v>
      </c>
      <c r="AC3861" t="e">
        <f>IF(#REF! = 0, "No Usage", IF(#REF! &lt;= 20, "Low Usage", IF(#REF! &lt;= 40, "Medium Usgae", "High Usage")))</f>
        <v>#REF!</v>
      </c>
      <c r="AD3861" t="e">
        <f>IF(#REF!&lt;=150,"Low Usage", IF(#REF!&lt;=200,"Medium Usage", IF(#REF!&lt;=250,"High Usage","Very High Usage")))</f>
        <v>#REF!</v>
      </c>
      <c r="AE3861" t="e">
        <f>IF(#REF!&lt;=5,"Low Calls", IF(#REF!&lt;=10, "Medium Calls", "High Calls"))</f>
        <v>#REF!</v>
      </c>
      <c r="AF3861" t="e">
        <f xml:space="preserve">
IF(#REF!&gt;=4,4,0)+
IF(#REF!="yes",3,0)+
IF(#REF!="High Charges",3,0)+
IF(#REF!&gt;250,4,0)+
IF(#REF!="no",1,0)+
IF(#REF!="Heavy Domestic User",2,0)</f>
        <v>#REF!</v>
      </c>
      <c r="AG3861" t="e">
        <f>IF(#REF!&gt;=10,"High Risk", IF(#REF!&gt;=5,"Medium Risk","Low Risk"))</f>
        <v>#REF!</v>
      </c>
      <c r="AH3861" t="e">
        <f>#REF! + #REF! + #REF! + #REF!</f>
        <v>#REF!</v>
      </c>
    </row>
    <row r="3862" spans="1:34" x14ac:dyDescent="0.35">
      <c r="A3862">
        <v>3861</v>
      </c>
      <c r="B3862" t="s">
        <v>44</v>
      </c>
      <c r="C3862">
        <v>69</v>
      </c>
      <c r="D3862" t="s">
        <v>21</v>
      </c>
      <c r="E3862" t="s">
        <v>22</v>
      </c>
      <c r="F3862" t="s">
        <v>22</v>
      </c>
      <c r="G3862">
        <v>0</v>
      </c>
      <c r="H3862">
        <v>211.7</v>
      </c>
      <c r="I3862">
        <v>94</v>
      </c>
      <c r="J3862">
        <v>35.99</v>
      </c>
      <c r="K3862">
        <v>236.1</v>
      </c>
      <c r="L3862">
        <v>124</v>
      </c>
      <c r="M3862">
        <v>20.07</v>
      </c>
      <c r="N3862">
        <v>252.7</v>
      </c>
      <c r="O3862">
        <v>90</v>
      </c>
      <c r="P3862">
        <v>11.37</v>
      </c>
      <c r="Q3862">
        <v>7.2</v>
      </c>
      <c r="R3862">
        <v>2</v>
      </c>
      <c r="S3862">
        <v>1.94</v>
      </c>
      <c r="T3862">
        <v>4</v>
      </c>
      <c r="U3862" t="s">
        <v>22</v>
      </c>
      <c r="V3862" t="e">
        <f>IF(#REF! = "yes", 1, 0)</f>
        <v>#REF!</v>
      </c>
      <c r="W3862" t="e">
        <f>IF(#REF! &lt;= 1, "0-1 Calls", IF(#REF! &lt;= 3, "2-3 Calls", IF(#REF! &lt;=5, "4-5 Calls", "6+ Calls")))</f>
        <v>#REF!</v>
      </c>
      <c r="X3862" t="e">
        <f>IF(#REF! &lt;= 50, "0-50", IF(#REF! &lt;=100, "51-100", IF(#REF! &lt;= 150, "101-150", "151+")))</f>
        <v>#REF!</v>
      </c>
      <c r="Y3862" t="e">
        <f>IF(#REF! &lt;= 3, "Low Charges", "High Charges")</f>
        <v>#REF!</v>
      </c>
      <c r="Z3862" t="e">
        <f>IF(#REF!&lt;=80,"Low Calls",
IF(#REF!&lt;=120,"Medium Calls","High Calls"))</f>
        <v>#REF!</v>
      </c>
      <c r="AA3862" t="e">
        <f>IF(#REF!&lt;=15,"Low Charges",
IF(#REF!&lt;=20,"Medium Charges","High Charges"))</f>
        <v>#REF!</v>
      </c>
      <c r="AB3862" t="e">
        <f>IF(AND(#REF!&gt;180, #REF!&gt;200), "Heavy Doemstic User", IF(#REF!&gt;10, "Interntional User", IF(AND(#REF!&lt;180, #REF!&lt;200,#REF!&lt;200), "Light User", "Balanced User")))</f>
        <v>#REF!</v>
      </c>
      <c r="AC3862" t="e">
        <f>IF(#REF! = 0, "No Usage", IF(#REF! &lt;= 20, "Low Usage", IF(#REF! &lt;= 40, "Medium Usgae", "High Usage")))</f>
        <v>#REF!</v>
      </c>
      <c r="AD3862" t="e">
        <f>IF(#REF!&lt;=150,"Low Usage", IF(#REF!&lt;=200,"Medium Usage", IF(#REF!&lt;=250,"High Usage","Very High Usage")))</f>
        <v>#REF!</v>
      </c>
      <c r="AE3862" t="e">
        <f>IF(#REF!&lt;=5,"Low Calls", IF(#REF!&lt;=10, "Medium Calls", "High Calls"))</f>
        <v>#REF!</v>
      </c>
      <c r="AF3862" t="e">
        <f xml:space="preserve">
IF(#REF!&gt;=4,4,0)+
IF(#REF!="yes",3,0)+
IF(#REF!="High Charges",3,0)+
IF(#REF!&gt;250,4,0)+
IF(#REF!="no",1,0)+
IF(#REF!="Heavy Domestic User",2,0)</f>
        <v>#REF!</v>
      </c>
      <c r="AG3862" t="e">
        <f>IF(#REF!&gt;=10,"High Risk", IF(#REF!&gt;=5,"Medium Risk","Low Risk"))</f>
        <v>#REF!</v>
      </c>
      <c r="AH3862" t="e">
        <f>#REF! + #REF! + #REF! + #REF!</f>
        <v>#REF!</v>
      </c>
    </row>
    <row r="3863" spans="1:34" x14ac:dyDescent="0.35">
      <c r="A3863">
        <v>3862</v>
      </c>
      <c r="B3863" t="s">
        <v>64</v>
      </c>
      <c r="C3863">
        <v>90</v>
      </c>
      <c r="D3863" t="s">
        <v>21</v>
      </c>
      <c r="E3863" t="s">
        <v>22</v>
      </c>
      <c r="F3863" t="s">
        <v>22</v>
      </c>
      <c r="G3863">
        <v>0</v>
      </c>
      <c r="H3863">
        <v>192.6</v>
      </c>
      <c r="I3863">
        <v>129</v>
      </c>
      <c r="J3863">
        <v>32.74</v>
      </c>
      <c r="K3863">
        <v>191.6</v>
      </c>
      <c r="L3863">
        <v>100</v>
      </c>
      <c r="M3863">
        <v>16.29</v>
      </c>
      <c r="N3863">
        <v>203.1</v>
      </c>
      <c r="O3863">
        <v>105</v>
      </c>
      <c r="P3863">
        <v>9.14</v>
      </c>
      <c r="Q3863">
        <v>11.4</v>
      </c>
      <c r="R3863">
        <v>2</v>
      </c>
      <c r="S3863">
        <v>3.08</v>
      </c>
      <c r="T3863">
        <v>3</v>
      </c>
      <c r="U3863" t="s">
        <v>22</v>
      </c>
      <c r="V3863" t="e">
        <f>IF(#REF! = "yes", 1, 0)</f>
        <v>#REF!</v>
      </c>
      <c r="W3863" t="e">
        <f>IF(#REF! &lt;= 1, "0-1 Calls", IF(#REF! &lt;= 3, "2-3 Calls", IF(#REF! &lt;=5, "4-5 Calls", "6+ Calls")))</f>
        <v>#REF!</v>
      </c>
      <c r="X3863" t="e">
        <f>IF(#REF! &lt;= 50, "0-50", IF(#REF! &lt;=100, "51-100", IF(#REF! &lt;= 150, "101-150", "151+")))</f>
        <v>#REF!</v>
      </c>
      <c r="Y3863" t="e">
        <f>IF(#REF! &lt;= 3, "Low Charges", "High Charges")</f>
        <v>#REF!</v>
      </c>
      <c r="Z3863" t="e">
        <f>IF(#REF!&lt;=80,"Low Calls",
IF(#REF!&lt;=120,"Medium Calls","High Calls"))</f>
        <v>#REF!</v>
      </c>
      <c r="AA3863" t="e">
        <f>IF(#REF!&lt;=15,"Low Charges",
IF(#REF!&lt;=20,"Medium Charges","High Charges"))</f>
        <v>#REF!</v>
      </c>
      <c r="AB3863" t="e">
        <f>IF(AND(#REF!&gt;180, #REF!&gt;200), "Heavy Doemstic User", IF(#REF!&gt;10, "Interntional User", IF(AND(#REF!&lt;180, #REF!&lt;200,#REF!&lt;200), "Light User", "Balanced User")))</f>
        <v>#REF!</v>
      </c>
      <c r="AC3863" t="e">
        <f>IF(#REF! = 0, "No Usage", IF(#REF! &lt;= 20, "Low Usage", IF(#REF! &lt;= 40, "Medium Usgae", "High Usage")))</f>
        <v>#REF!</v>
      </c>
      <c r="AD3863" t="e">
        <f>IF(#REF!&lt;=150,"Low Usage", IF(#REF!&lt;=200,"Medium Usage", IF(#REF!&lt;=250,"High Usage","Very High Usage")))</f>
        <v>#REF!</v>
      </c>
      <c r="AE3863" t="e">
        <f>IF(#REF!&lt;=5,"Low Calls", IF(#REF!&lt;=10, "Medium Calls", "High Calls"))</f>
        <v>#REF!</v>
      </c>
      <c r="AF3863" t="e">
        <f xml:space="preserve">
IF(#REF!&gt;=4,4,0)+
IF(#REF!="yes",3,0)+
IF(#REF!="High Charges",3,0)+
IF(#REF!&gt;250,4,0)+
IF(#REF!="no",1,0)+
IF(#REF!="Heavy Domestic User",2,0)</f>
        <v>#REF!</v>
      </c>
      <c r="AG3863" t="e">
        <f>IF(#REF!&gt;=10,"High Risk", IF(#REF!&gt;=5,"Medium Risk","Low Risk"))</f>
        <v>#REF!</v>
      </c>
      <c r="AH3863" t="e">
        <f>#REF! + #REF! + #REF! + #REF!</f>
        <v>#REF!</v>
      </c>
    </row>
    <row r="3864" spans="1:34" x14ac:dyDescent="0.35">
      <c r="A3864">
        <v>3863</v>
      </c>
      <c r="B3864" t="s">
        <v>68</v>
      </c>
      <c r="C3864">
        <v>48</v>
      </c>
      <c r="D3864" t="s">
        <v>25</v>
      </c>
      <c r="E3864" t="s">
        <v>22</v>
      </c>
      <c r="F3864" t="s">
        <v>22</v>
      </c>
      <c r="G3864">
        <v>0</v>
      </c>
      <c r="H3864">
        <v>52</v>
      </c>
      <c r="I3864">
        <v>60</v>
      </c>
      <c r="J3864">
        <v>8.84</v>
      </c>
      <c r="K3864">
        <v>132</v>
      </c>
      <c r="L3864">
        <v>79</v>
      </c>
      <c r="M3864">
        <v>11.22</v>
      </c>
      <c r="N3864">
        <v>185.8</v>
      </c>
      <c r="O3864">
        <v>85</v>
      </c>
      <c r="P3864">
        <v>8.36</v>
      </c>
      <c r="Q3864">
        <v>12.3</v>
      </c>
      <c r="R3864">
        <v>2</v>
      </c>
      <c r="S3864">
        <v>3.32</v>
      </c>
      <c r="T3864">
        <v>2</v>
      </c>
      <c r="U3864" t="s">
        <v>22</v>
      </c>
      <c r="V3864" t="e">
        <f>IF(#REF! = "yes", 1, 0)</f>
        <v>#REF!</v>
      </c>
      <c r="W3864" t="e">
        <f>IF(#REF! &lt;= 1, "0-1 Calls", IF(#REF! &lt;= 3, "2-3 Calls", IF(#REF! &lt;=5, "4-5 Calls", "6+ Calls")))</f>
        <v>#REF!</v>
      </c>
      <c r="X3864" t="e">
        <f>IF(#REF! &lt;= 50, "0-50", IF(#REF! &lt;=100, "51-100", IF(#REF! &lt;= 150, "101-150", "151+")))</f>
        <v>#REF!</v>
      </c>
      <c r="Y3864" t="e">
        <f>IF(#REF! &lt;= 3, "Low Charges", "High Charges")</f>
        <v>#REF!</v>
      </c>
      <c r="Z3864" t="e">
        <f>IF(#REF!&lt;=80,"Low Calls",
IF(#REF!&lt;=120,"Medium Calls","High Calls"))</f>
        <v>#REF!</v>
      </c>
      <c r="AA3864" t="e">
        <f>IF(#REF!&lt;=15,"Low Charges",
IF(#REF!&lt;=20,"Medium Charges","High Charges"))</f>
        <v>#REF!</v>
      </c>
      <c r="AB3864" t="e">
        <f>IF(AND(#REF!&gt;180, #REF!&gt;200), "Heavy Doemstic User", IF(#REF!&gt;10, "Interntional User", IF(AND(#REF!&lt;180, #REF!&lt;200,#REF!&lt;200), "Light User", "Balanced User")))</f>
        <v>#REF!</v>
      </c>
      <c r="AC3864" t="e">
        <f>IF(#REF! = 0, "No Usage", IF(#REF! &lt;= 20, "Low Usage", IF(#REF! &lt;= 40, "Medium Usgae", "High Usage")))</f>
        <v>#REF!</v>
      </c>
      <c r="AD3864" t="e">
        <f>IF(#REF!&lt;=150,"Low Usage", IF(#REF!&lt;=200,"Medium Usage", IF(#REF!&lt;=250,"High Usage","Very High Usage")))</f>
        <v>#REF!</v>
      </c>
      <c r="AE3864" t="e">
        <f>IF(#REF!&lt;=5,"Low Calls", IF(#REF!&lt;=10, "Medium Calls", "High Calls"))</f>
        <v>#REF!</v>
      </c>
      <c r="AF3864" t="e">
        <f xml:space="preserve">
IF(#REF!&gt;=4,4,0)+
IF(#REF!="yes",3,0)+
IF(#REF!="High Charges",3,0)+
IF(#REF!&gt;250,4,0)+
IF(#REF!="no",1,0)+
IF(#REF!="Heavy Domestic User",2,0)</f>
        <v>#REF!</v>
      </c>
      <c r="AG3864" t="e">
        <f>IF(#REF!&gt;=10,"High Risk", IF(#REF!&gt;=5,"Medium Risk","Low Risk"))</f>
        <v>#REF!</v>
      </c>
      <c r="AH3864" t="e">
        <f>#REF! + #REF! + #REF! + #REF!</f>
        <v>#REF!</v>
      </c>
    </row>
    <row r="3865" spans="1:34" x14ac:dyDescent="0.35">
      <c r="A3865">
        <v>3864</v>
      </c>
      <c r="B3865" t="s">
        <v>54</v>
      </c>
      <c r="C3865">
        <v>122</v>
      </c>
      <c r="D3865" t="s">
        <v>21</v>
      </c>
      <c r="E3865" t="s">
        <v>22</v>
      </c>
      <c r="F3865" t="s">
        <v>23</v>
      </c>
      <c r="G3865">
        <v>30</v>
      </c>
      <c r="H3865">
        <v>237.7</v>
      </c>
      <c r="I3865">
        <v>94</v>
      </c>
      <c r="J3865">
        <v>40.409999999999997</v>
      </c>
      <c r="K3865">
        <v>154.69999999999999</v>
      </c>
      <c r="L3865">
        <v>91</v>
      </c>
      <c r="M3865">
        <v>13.15</v>
      </c>
      <c r="N3865">
        <v>223.1</v>
      </c>
      <c r="O3865">
        <v>98</v>
      </c>
      <c r="P3865">
        <v>10.039999999999999</v>
      </c>
      <c r="Q3865">
        <v>9.5</v>
      </c>
      <c r="R3865">
        <v>3</v>
      </c>
      <c r="S3865">
        <v>2.57</v>
      </c>
      <c r="T3865">
        <v>1</v>
      </c>
      <c r="U3865" t="s">
        <v>22</v>
      </c>
      <c r="V3865" t="e">
        <f>IF(#REF! = "yes", 1, 0)</f>
        <v>#REF!</v>
      </c>
      <c r="W3865" t="e">
        <f>IF(#REF! &lt;= 1, "0-1 Calls", IF(#REF! &lt;= 3, "2-3 Calls", IF(#REF! &lt;=5, "4-5 Calls", "6+ Calls")))</f>
        <v>#REF!</v>
      </c>
      <c r="X3865" t="e">
        <f>IF(#REF! &lt;= 50, "0-50", IF(#REF! &lt;=100, "51-100", IF(#REF! &lt;= 150, "101-150", "151+")))</f>
        <v>#REF!</v>
      </c>
      <c r="Y3865" t="e">
        <f>IF(#REF! &lt;= 3, "Low Charges", "High Charges")</f>
        <v>#REF!</v>
      </c>
      <c r="Z3865" t="e">
        <f>IF(#REF!&lt;=80,"Low Calls",
IF(#REF!&lt;=120,"Medium Calls","High Calls"))</f>
        <v>#REF!</v>
      </c>
      <c r="AA3865" t="e">
        <f>IF(#REF!&lt;=15,"Low Charges",
IF(#REF!&lt;=20,"Medium Charges","High Charges"))</f>
        <v>#REF!</v>
      </c>
      <c r="AB3865" t="e">
        <f>IF(AND(#REF!&gt;180, #REF!&gt;200), "Heavy Doemstic User", IF(#REF!&gt;10, "Interntional User", IF(AND(#REF!&lt;180, #REF!&lt;200,#REF!&lt;200), "Light User", "Balanced User")))</f>
        <v>#REF!</v>
      </c>
      <c r="AC3865" t="e">
        <f>IF(#REF! = 0, "No Usage", IF(#REF! &lt;= 20, "Low Usage", IF(#REF! &lt;= 40, "Medium Usgae", "High Usage")))</f>
        <v>#REF!</v>
      </c>
      <c r="AD3865" t="e">
        <f>IF(#REF!&lt;=150,"Low Usage", IF(#REF!&lt;=200,"Medium Usage", IF(#REF!&lt;=250,"High Usage","Very High Usage")))</f>
        <v>#REF!</v>
      </c>
      <c r="AE3865" t="e">
        <f>IF(#REF!&lt;=5,"Low Calls", IF(#REF!&lt;=10, "Medium Calls", "High Calls"))</f>
        <v>#REF!</v>
      </c>
      <c r="AF3865" t="e">
        <f xml:space="preserve">
IF(#REF!&gt;=4,4,0)+
IF(#REF!="yes",3,0)+
IF(#REF!="High Charges",3,0)+
IF(#REF!&gt;250,4,0)+
IF(#REF!="no",1,0)+
IF(#REF!="Heavy Domestic User",2,0)</f>
        <v>#REF!</v>
      </c>
      <c r="AG3865" t="e">
        <f>IF(#REF!&gt;=10,"High Risk", IF(#REF!&gt;=5,"Medium Risk","Low Risk"))</f>
        <v>#REF!</v>
      </c>
      <c r="AH3865" t="e">
        <f>#REF! + #REF! + #REF! + #REF!</f>
        <v>#REF!</v>
      </c>
    </row>
    <row r="3866" spans="1:34" x14ac:dyDescent="0.35">
      <c r="A3866">
        <v>3865</v>
      </c>
      <c r="B3866" t="s">
        <v>31</v>
      </c>
      <c r="C3866">
        <v>123</v>
      </c>
      <c r="D3866" t="s">
        <v>25</v>
      </c>
      <c r="E3866" t="s">
        <v>22</v>
      </c>
      <c r="F3866" t="s">
        <v>23</v>
      </c>
      <c r="G3866">
        <v>31</v>
      </c>
      <c r="H3866">
        <v>203.6</v>
      </c>
      <c r="I3866">
        <v>108</v>
      </c>
      <c r="J3866">
        <v>34.61</v>
      </c>
      <c r="K3866">
        <v>156.9</v>
      </c>
      <c r="L3866">
        <v>112</v>
      </c>
      <c r="M3866">
        <v>13.34</v>
      </c>
      <c r="N3866">
        <v>236.2</v>
      </c>
      <c r="O3866">
        <v>114</v>
      </c>
      <c r="P3866">
        <v>10.63</v>
      </c>
      <c r="Q3866">
        <v>12</v>
      </c>
      <c r="R3866">
        <v>5</v>
      </c>
      <c r="S3866">
        <v>3.24</v>
      </c>
      <c r="T3866">
        <v>1</v>
      </c>
      <c r="U3866" t="s">
        <v>22</v>
      </c>
      <c r="V3866" t="e">
        <f>IF(#REF! = "yes", 1, 0)</f>
        <v>#REF!</v>
      </c>
      <c r="W3866" t="e">
        <f>IF(#REF! &lt;= 1, "0-1 Calls", IF(#REF! &lt;= 3, "2-3 Calls", IF(#REF! &lt;=5, "4-5 Calls", "6+ Calls")))</f>
        <v>#REF!</v>
      </c>
      <c r="X3866" t="e">
        <f>IF(#REF! &lt;= 50, "0-50", IF(#REF! &lt;=100, "51-100", IF(#REF! &lt;= 150, "101-150", "151+")))</f>
        <v>#REF!</v>
      </c>
      <c r="Y3866" t="e">
        <f>IF(#REF! &lt;= 3, "Low Charges", "High Charges")</f>
        <v>#REF!</v>
      </c>
      <c r="Z3866" t="e">
        <f>IF(#REF!&lt;=80,"Low Calls",
IF(#REF!&lt;=120,"Medium Calls","High Calls"))</f>
        <v>#REF!</v>
      </c>
      <c r="AA3866" t="e">
        <f>IF(#REF!&lt;=15,"Low Charges",
IF(#REF!&lt;=20,"Medium Charges","High Charges"))</f>
        <v>#REF!</v>
      </c>
      <c r="AB3866" t="e">
        <f>IF(AND(#REF!&gt;180, #REF!&gt;200), "Heavy Doemstic User", IF(#REF!&gt;10, "Interntional User", IF(AND(#REF!&lt;180, #REF!&lt;200,#REF!&lt;200), "Light User", "Balanced User")))</f>
        <v>#REF!</v>
      </c>
      <c r="AC3866" t="e">
        <f>IF(#REF! = 0, "No Usage", IF(#REF! &lt;= 20, "Low Usage", IF(#REF! &lt;= 40, "Medium Usgae", "High Usage")))</f>
        <v>#REF!</v>
      </c>
      <c r="AD3866" t="e">
        <f>IF(#REF!&lt;=150,"Low Usage", IF(#REF!&lt;=200,"Medium Usage", IF(#REF!&lt;=250,"High Usage","Very High Usage")))</f>
        <v>#REF!</v>
      </c>
      <c r="AE3866" t="e">
        <f>IF(#REF!&lt;=5,"Low Calls", IF(#REF!&lt;=10, "Medium Calls", "High Calls"))</f>
        <v>#REF!</v>
      </c>
      <c r="AF3866" t="e">
        <f xml:space="preserve">
IF(#REF!&gt;=4,4,0)+
IF(#REF!="yes",3,0)+
IF(#REF!="High Charges",3,0)+
IF(#REF!&gt;250,4,0)+
IF(#REF!="no",1,0)+
IF(#REF!="Heavy Domestic User",2,0)</f>
        <v>#REF!</v>
      </c>
      <c r="AG3866" t="e">
        <f>IF(#REF!&gt;=10,"High Risk", IF(#REF!&gt;=5,"Medium Risk","Low Risk"))</f>
        <v>#REF!</v>
      </c>
      <c r="AH3866" t="e">
        <f>#REF! + #REF! + #REF! + #REF!</f>
        <v>#REF!</v>
      </c>
    </row>
    <row r="3867" spans="1:34" x14ac:dyDescent="0.35">
      <c r="A3867">
        <v>3866</v>
      </c>
      <c r="B3867" t="s">
        <v>34</v>
      </c>
      <c r="C3867">
        <v>81</v>
      </c>
      <c r="D3867" t="s">
        <v>28</v>
      </c>
      <c r="E3867" t="s">
        <v>22</v>
      </c>
      <c r="F3867" t="s">
        <v>22</v>
      </c>
      <c r="G3867">
        <v>0</v>
      </c>
      <c r="H3867">
        <v>192.4</v>
      </c>
      <c r="I3867">
        <v>79</v>
      </c>
      <c r="J3867">
        <v>32.71</v>
      </c>
      <c r="K3867">
        <v>212.7</v>
      </c>
      <c r="L3867">
        <v>106</v>
      </c>
      <c r="M3867">
        <v>18.079999999999998</v>
      </c>
      <c r="N3867">
        <v>244.8</v>
      </c>
      <c r="O3867">
        <v>83</v>
      </c>
      <c r="P3867">
        <v>11.02</v>
      </c>
      <c r="Q3867">
        <v>8.3000000000000007</v>
      </c>
      <c r="R3867">
        <v>5</v>
      </c>
      <c r="S3867">
        <v>2.2400000000000002</v>
      </c>
      <c r="T3867">
        <v>1</v>
      </c>
      <c r="U3867" t="s">
        <v>22</v>
      </c>
      <c r="V3867" t="e">
        <f>IF(#REF! = "yes", 1, 0)</f>
        <v>#REF!</v>
      </c>
      <c r="W3867" t="e">
        <f>IF(#REF! &lt;= 1, "0-1 Calls", IF(#REF! &lt;= 3, "2-3 Calls", IF(#REF! &lt;=5, "4-5 Calls", "6+ Calls")))</f>
        <v>#REF!</v>
      </c>
      <c r="X3867" t="e">
        <f>IF(#REF! &lt;= 50, "0-50", IF(#REF! &lt;=100, "51-100", IF(#REF! &lt;= 150, "101-150", "151+")))</f>
        <v>#REF!</v>
      </c>
      <c r="Y3867" t="e">
        <f>IF(#REF! &lt;= 3, "Low Charges", "High Charges")</f>
        <v>#REF!</v>
      </c>
      <c r="Z3867" t="e">
        <f>IF(#REF!&lt;=80,"Low Calls",
IF(#REF!&lt;=120,"Medium Calls","High Calls"))</f>
        <v>#REF!</v>
      </c>
      <c r="AA3867" t="e">
        <f>IF(#REF!&lt;=15,"Low Charges",
IF(#REF!&lt;=20,"Medium Charges","High Charges"))</f>
        <v>#REF!</v>
      </c>
      <c r="AB3867" t="e">
        <f>IF(AND(#REF!&gt;180, #REF!&gt;200), "Heavy Doemstic User", IF(#REF!&gt;10, "Interntional User", IF(AND(#REF!&lt;180, #REF!&lt;200,#REF!&lt;200), "Light User", "Balanced User")))</f>
        <v>#REF!</v>
      </c>
      <c r="AC3867" t="e">
        <f>IF(#REF! = 0, "No Usage", IF(#REF! &lt;= 20, "Low Usage", IF(#REF! &lt;= 40, "Medium Usgae", "High Usage")))</f>
        <v>#REF!</v>
      </c>
      <c r="AD3867" t="e">
        <f>IF(#REF!&lt;=150,"Low Usage", IF(#REF!&lt;=200,"Medium Usage", IF(#REF!&lt;=250,"High Usage","Very High Usage")))</f>
        <v>#REF!</v>
      </c>
      <c r="AE3867" t="e">
        <f>IF(#REF!&lt;=5,"Low Calls", IF(#REF!&lt;=10, "Medium Calls", "High Calls"))</f>
        <v>#REF!</v>
      </c>
      <c r="AF3867" t="e">
        <f xml:space="preserve">
IF(#REF!&gt;=4,4,0)+
IF(#REF!="yes",3,0)+
IF(#REF!="High Charges",3,0)+
IF(#REF!&gt;250,4,0)+
IF(#REF!="no",1,0)+
IF(#REF!="Heavy Domestic User",2,0)</f>
        <v>#REF!</v>
      </c>
      <c r="AG3867" t="e">
        <f>IF(#REF!&gt;=10,"High Risk", IF(#REF!&gt;=5,"Medium Risk","Low Risk"))</f>
        <v>#REF!</v>
      </c>
      <c r="AH3867" t="e">
        <f>#REF! + #REF! + #REF! + #REF!</f>
        <v>#REF!</v>
      </c>
    </row>
    <row r="3868" spans="1:34" x14ac:dyDescent="0.35">
      <c r="A3868">
        <v>3867</v>
      </c>
      <c r="B3868" t="s">
        <v>73</v>
      </c>
      <c r="C3868">
        <v>43</v>
      </c>
      <c r="D3868" t="s">
        <v>25</v>
      </c>
      <c r="E3868" t="s">
        <v>22</v>
      </c>
      <c r="F3868" t="s">
        <v>22</v>
      </c>
      <c r="G3868">
        <v>0</v>
      </c>
      <c r="H3868">
        <v>212.5</v>
      </c>
      <c r="I3868">
        <v>88</v>
      </c>
      <c r="J3868">
        <v>36.130000000000003</v>
      </c>
      <c r="K3868">
        <v>274.10000000000002</v>
      </c>
      <c r="L3868">
        <v>145</v>
      </c>
      <c r="M3868">
        <v>23.3</v>
      </c>
      <c r="N3868">
        <v>194.6</v>
      </c>
      <c r="O3868">
        <v>52</v>
      </c>
      <c r="P3868">
        <v>8.76</v>
      </c>
      <c r="Q3868">
        <v>8.6</v>
      </c>
      <c r="R3868">
        <v>6</v>
      </c>
      <c r="S3868">
        <v>2.3199999999999998</v>
      </c>
      <c r="T3868">
        <v>0</v>
      </c>
      <c r="U3868" t="s">
        <v>22</v>
      </c>
      <c r="V3868" t="e">
        <f>IF(#REF! = "yes", 1, 0)</f>
        <v>#REF!</v>
      </c>
      <c r="W3868" t="e">
        <f>IF(#REF! &lt;= 1, "0-1 Calls", IF(#REF! &lt;= 3, "2-3 Calls", IF(#REF! &lt;=5, "4-5 Calls", "6+ Calls")))</f>
        <v>#REF!</v>
      </c>
      <c r="X3868" t="e">
        <f>IF(#REF! &lt;= 50, "0-50", IF(#REF! &lt;=100, "51-100", IF(#REF! &lt;= 150, "101-150", "151+")))</f>
        <v>#REF!</v>
      </c>
      <c r="Y3868" t="e">
        <f>IF(#REF! &lt;= 3, "Low Charges", "High Charges")</f>
        <v>#REF!</v>
      </c>
      <c r="Z3868" t="e">
        <f>IF(#REF!&lt;=80,"Low Calls",
IF(#REF!&lt;=120,"Medium Calls","High Calls"))</f>
        <v>#REF!</v>
      </c>
      <c r="AA3868" t="e">
        <f>IF(#REF!&lt;=15,"Low Charges",
IF(#REF!&lt;=20,"Medium Charges","High Charges"))</f>
        <v>#REF!</v>
      </c>
      <c r="AB3868" t="e">
        <f>IF(AND(#REF!&gt;180, #REF!&gt;200), "Heavy Doemstic User", IF(#REF!&gt;10, "Interntional User", IF(AND(#REF!&lt;180, #REF!&lt;200,#REF!&lt;200), "Light User", "Balanced User")))</f>
        <v>#REF!</v>
      </c>
      <c r="AC3868" t="e">
        <f>IF(#REF! = 0, "No Usage", IF(#REF! &lt;= 20, "Low Usage", IF(#REF! &lt;= 40, "Medium Usgae", "High Usage")))</f>
        <v>#REF!</v>
      </c>
      <c r="AD3868" t="e">
        <f>IF(#REF!&lt;=150,"Low Usage", IF(#REF!&lt;=200,"Medium Usage", IF(#REF!&lt;=250,"High Usage","Very High Usage")))</f>
        <v>#REF!</v>
      </c>
      <c r="AE3868" t="e">
        <f>IF(#REF!&lt;=5,"Low Calls", IF(#REF!&lt;=10, "Medium Calls", "High Calls"))</f>
        <v>#REF!</v>
      </c>
      <c r="AF3868" t="e">
        <f xml:space="preserve">
IF(#REF!&gt;=4,4,0)+
IF(#REF!="yes",3,0)+
IF(#REF!="High Charges",3,0)+
IF(#REF!&gt;250,4,0)+
IF(#REF!="no",1,0)+
IF(#REF!="Heavy Domestic User",2,0)</f>
        <v>#REF!</v>
      </c>
      <c r="AG3868" t="e">
        <f>IF(#REF!&gt;=10,"High Risk", IF(#REF!&gt;=5,"Medium Risk","Low Risk"))</f>
        <v>#REF!</v>
      </c>
      <c r="AH3868" t="e">
        <f>#REF! + #REF! + #REF! + #REF!</f>
        <v>#REF!</v>
      </c>
    </row>
    <row r="3869" spans="1:34" x14ac:dyDescent="0.35">
      <c r="A3869">
        <v>3868</v>
      </c>
      <c r="B3869" t="s">
        <v>71</v>
      </c>
      <c r="C3869">
        <v>25</v>
      </c>
      <c r="D3869" t="s">
        <v>21</v>
      </c>
      <c r="E3869" t="s">
        <v>22</v>
      </c>
      <c r="F3869" t="s">
        <v>22</v>
      </c>
      <c r="G3869">
        <v>0</v>
      </c>
      <c r="H3869">
        <v>114.4</v>
      </c>
      <c r="I3869">
        <v>114</v>
      </c>
      <c r="J3869">
        <v>19.45</v>
      </c>
      <c r="K3869">
        <v>201.1</v>
      </c>
      <c r="L3869">
        <v>97</v>
      </c>
      <c r="M3869">
        <v>17.09</v>
      </c>
      <c r="N3869">
        <v>238.4</v>
      </c>
      <c r="O3869">
        <v>121</v>
      </c>
      <c r="P3869">
        <v>10.73</v>
      </c>
      <c r="Q3869">
        <v>11.6</v>
      </c>
      <c r="R3869">
        <v>4</v>
      </c>
      <c r="S3869">
        <v>3.13</v>
      </c>
      <c r="T3869">
        <v>3</v>
      </c>
      <c r="U3869" t="s">
        <v>22</v>
      </c>
      <c r="V3869" t="e">
        <f>IF(#REF! = "yes", 1, 0)</f>
        <v>#REF!</v>
      </c>
      <c r="W3869" t="e">
        <f>IF(#REF! &lt;= 1, "0-1 Calls", IF(#REF! &lt;= 3, "2-3 Calls", IF(#REF! &lt;=5, "4-5 Calls", "6+ Calls")))</f>
        <v>#REF!</v>
      </c>
      <c r="X3869" t="e">
        <f>IF(#REF! &lt;= 50, "0-50", IF(#REF! &lt;=100, "51-100", IF(#REF! &lt;= 150, "101-150", "151+")))</f>
        <v>#REF!</v>
      </c>
      <c r="Y3869" t="e">
        <f>IF(#REF! &lt;= 3, "Low Charges", "High Charges")</f>
        <v>#REF!</v>
      </c>
      <c r="Z3869" t="e">
        <f>IF(#REF!&lt;=80,"Low Calls",
IF(#REF!&lt;=120,"Medium Calls","High Calls"))</f>
        <v>#REF!</v>
      </c>
      <c r="AA3869" t="e">
        <f>IF(#REF!&lt;=15,"Low Charges",
IF(#REF!&lt;=20,"Medium Charges","High Charges"))</f>
        <v>#REF!</v>
      </c>
      <c r="AB3869" t="e">
        <f>IF(AND(#REF!&gt;180, #REF!&gt;200), "Heavy Doemstic User", IF(#REF!&gt;10, "Interntional User", IF(AND(#REF!&lt;180, #REF!&lt;200,#REF!&lt;200), "Light User", "Balanced User")))</f>
        <v>#REF!</v>
      </c>
      <c r="AC3869" t="e">
        <f>IF(#REF! = 0, "No Usage", IF(#REF! &lt;= 20, "Low Usage", IF(#REF! &lt;= 40, "Medium Usgae", "High Usage")))</f>
        <v>#REF!</v>
      </c>
      <c r="AD3869" t="e">
        <f>IF(#REF!&lt;=150,"Low Usage", IF(#REF!&lt;=200,"Medium Usage", IF(#REF!&lt;=250,"High Usage","Very High Usage")))</f>
        <v>#REF!</v>
      </c>
      <c r="AE3869" t="e">
        <f>IF(#REF!&lt;=5,"Low Calls", IF(#REF!&lt;=10, "Medium Calls", "High Calls"))</f>
        <v>#REF!</v>
      </c>
      <c r="AF3869" t="e">
        <f xml:space="preserve">
IF(#REF!&gt;=4,4,0)+
IF(#REF!="yes",3,0)+
IF(#REF!="High Charges",3,0)+
IF(#REF!&gt;250,4,0)+
IF(#REF!="no",1,0)+
IF(#REF!="Heavy Domestic User",2,0)</f>
        <v>#REF!</v>
      </c>
      <c r="AG3869" t="e">
        <f>IF(#REF!&gt;=10,"High Risk", IF(#REF!&gt;=5,"Medium Risk","Low Risk"))</f>
        <v>#REF!</v>
      </c>
      <c r="AH3869" t="e">
        <f>#REF! + #REF! + #REF! + #REF!</f>
        <v>#REF!</v>
      </c>
    </row>
    <row r="3870" spans="1:34" x14ac:dyDescent="0.35">
      <c r="A3870">
        <v>3869</v>
      </c>
      <c r="B3870" t="s">
        <v>46</v>
      </c>
      <c r="C3870">
        <v>170</v>
      </c>
      <c r="D3870" t="s">
        <v>21</v>
      </c>
      <c r="E3870" t="s">
        <v>22</v>
      </c>
      <c r="F3870" t="s">
        <v>22</v>
      </c>
      <c r="G3870">
        <v>0</v>
      </c>
      <c r="H3870">
        <v>222.8</v>
      </c>
      <c r="I3870">
        <v>82</v>
      </c>
      <c r="J3870">
        <v>37.880000000000003</v>
      </c>
      <c r="K3870">
        <v>148.19999999999999</v>
      </c>
      <c r="L3870">
        <v>105</v>
      </c>
      <c r="M3870">
        <v>12.6</v>
      </c>
      <c r="N3870">
        <v>231.1</v>
      </c>
      <c r="O3870">
        <v>75</v>
      </c>
      <c r="P3870">
        <v>10.4</v>
      </c>
      <c r="Q3870">
        <v>13.3</v>
      </c>
      <c r="R3870">
        <v>5</v>
      </c>
      <c r="S3870">
        <v>3.59</v>
      </c>
      <c r="T3870">
        <v>1</v>
      </c>
      <c r="U3870" t="s">
        <v>22</v>
      </c>
      <c r="V3870" t="e">
        <f>IF(#REF! = "yes", 1, 0)</f>
        <v>#REF!</v>
      </c>
      <c r="W3870" t="e">
        <f>IF(#REF! &lt;= 1, "0-1 Calls", IF(#REF! &lt;= 3, "2-3 Calls", IF(#REF! &lt;=5, "4-5 Calls", "6+ Calls")))</f>
        <v>#REF!</v>
      </c>
      <c r="X3870" t="e">
        <f>IF(#REF! &lt;= 50, "0-50", IF(#REF! &lt;=100, "51-100", IF(#REF! &lt;= 150, "101-150", "151+")))</f>
        <v>#REF!</v>
      </c>
      <c r="Y3870" t="e">
        <f>IF(#REF! &lt;= 3, "Low Charges", "High Charges")</f>
        <v>#REF!</v>
      </c>
      <c r="Z3870" t="e">
        <f>IF(#REF!&lt;=80,"Low Calls",
IF(#REF!&lt;=120,"Medium Calls","High Calls"))</f>
        <v>#REF!</v>
      </c>
      <c r="AA3870" t="e">
        <f>IF(#REF!&lt;=15,"Low Charges",
IF(#REF!&lt;=20,"Medium Charges","High Charges"))</f>
        <v>#REF!</v>
      </c>
      <c r="AB3870" t="e">
        <f>IF(AND(#REF!&gt;180, #REF!&gt;200), "Heavy Doemstic User", IF(#REF!&gt;10, "Interntional User", IF(AND(#REF!&lt;180, #REF!&lt;200,#REF!&lt;200), "Light User", "Balanced User")))</f>
        <v>#REF!</v>
      </c>
      <c r="AC3870" t="e">
        <f>IF(#REF! = 0, "No Usage", IF(#REF! &lt;= 20, "Low Usage", IF(#REF! &lt;= 40, "Medium Usgae", "High Usage")))</f>
        <v>#REF!</v>
      </c>
      <c r="AD3870" t="e">
        <f>IF(#REF!&lt;=150,"Low Usage", IF(#REF!&lt;=200,"Medium Usage", IF(#REF!&lt;=250,"High Usage","Very High Usage")))</f>
        <v>#REF!</v>
      </c>
      <c r="AE3870" t="e">
        <f>IF(#REF!&lt;=5,"Low Calls", IF(#REF!&lt;=10, "Medium Calls", "High Calls"))</f>
        <v>#REF!</v>
      </c>
      <c r="AF3870" t="e">
        <f xml:space="preserve">
IF(#REF!&gt;=4,4,0)+
IF(#REF!="yes",3,0)+
IF(#REF!="High Charges",3,0)+
IF(#REF!&gt;250,4,0)+
IF(#REF!="no",1,0)+
IF(#REF!="Heavy Domestic User",2,0)</f>
        <v>#REF!</v>
      </c>
      <c r="AG3870" t="e">
        <f>IF(#REF!&gt;=10,"High Risk", IF(#REF!&gt;=5,"Medium Risk","Low Risk"))</f>
        <v>#REF!</v>
      </c>
      <c r="AH3870" t="e">
        <f>#REF! + #REF! + #REF! + #REF!</f>
        <v>#REF!</v>
      </c>
    </row>
    <row r="3871" spans="1:34" x14ac:dyDescent="0.35">
      <c r="A3871">
        <v>3870</v>
      </c>
      <c r="B3871" t="s">
        <v>65</v>
      </c>
      <c r="C3871">
        <v>129</v>
      </c>
      <c r="D3871" t="s">
        <v>21</v>
      </c>
      <c r="E3871" t="s">
        <v>22</v>
      </c>
      <c r="F3871" t="s">
        <v>22</v>
      </c>
      <c r="G3871">
        <v>0</v>
      </c>
      <c r="H3871">
        <v>207.7</v>
      </c>
      <c r="I3871">
        <v>75</v>
      </c>
      <c r="J3871">
        <v>35.31</v>
      </c>
      <c r="K3871">
        <v>191.3</v>
      </c>
      <c r="L3871">
        <v>116</v>
      </c>
      <c r="M3871">
        <v>16.260000000000002</v>
      </c>
      <c r="N3871">
        <v>226.7</v>
      </c>
      <c r="O3871">
        <v>98</v>
      </c>
      <c r="P3871">
        <v>10.199999999999999</v>
      </c>
      <c r="Q3871">
        <v>11.6</v>
      </c>
      <c r="R3871">
        <v>6</v>
      </c>
      <c r="S3871">
        <v>3.13</v>
      </c>
      <c r="T3871">
        <v>2</v>
      </c>
      <c r="U3871" t="s">
        <v>22</v>
      </c>
      <c r="V3871" t="e">
        <f>IF(#REF! = "yes", 1, 0)</f>
        <v>#REF!</v>
      </c>
      <c r="W3871" t="e">
        <f>IF(#REF! &lt;= 1, "0-1 Calls", IF(#REF! &lt;= 3, "2-3 Calls", IF(#REF! &lt;=5, "4-5 Calls", "6+ Calls")))</f>
        <v>#REF!</v>
      </c>
      <c r="X3871" t="e">
        <f>IF(#REF! &lt;= 50, "0-50", IF(#REF! &lt;=100, "51-100", IF(#REF! &lt;= 150, "101-150", "151+")))</f>
        <v>#REF!</v>
      </c>
      <c r="Y3871" t="e">
        <f>IF(#REF! &lt;= 3, "Low Charges", "High Charges")</f>
        <v>#REF!</v>
      </c>
      <c r="Z3871" t="e">
        <f>IF(#REF!&lt;=80,"Low Calls",
IF(#REF!&lt;=120,"Medium Calls","High Calls"))</f>
        <v>#REF!</v>
      </c>
      <c r="AA3871" t="e">
        <f>IF(#REF!&lt;=15,"Low Charges",
IF(#REF!&lt;=20,"Medium Charges","High Charges"))</f>
        <v>#REF!</v>
      </c>
      <c r="AB3871" t="e">
        <f>IF(AND(#REF!&gt;180, #REF!&gt;200), "Heavy Doemstic User", IF(#REF!&gt;10, "Interntional User", IF(AND(#REF!&lt;180, #REF!&lt;200,#REF!&lt;200), "Light User", "Balanced User")))</f>
        <v>#REF!</v>
      </c>
      <c r="AC3871" t="e">
        <f>IF(#REF! = 0, "No Usage", IF(#REF! &lt;= 20, "Low Usage", IF(#REF! &lt;= 40, "Medium Usgae", "High Usage")))</f>
        <v>#REF!</v>
      </c>
      <c r="AD3871" t="e">
        <f>IF(#REF!&lt;=150,"Low Usage", IF(#REF!&lt;=200,"Medium Usage", IF(#REF!&lt;=250,"High Usage","Very High Usage")))</f>
        <v>#REF!</v>
      </c>
      <c r="AE3871" t="e">
        <f>IF(#REF!&lt;=5,"Low Calls", IF(#REF!&lt;=10, "Medium Calls", "High Calls"))</f>
        <v>#REF!</v>
      </c>
      <c r="AF3871" t="e">
        <f xml:space="preserve">
IF(#REF!&gt;=4,4,0)+
IF(#REF!="yes",3,0)+
IF(#REF!="High Charges",3,0)+
IF(#REF!&gt;250,4,0)+
IF(#REF!="no",1,0)+
IF(#REF!="Heavy Domestic User",2,0)</f>
        <v>#REF!</v>
      </c>
      <c r="AG3871" t="e">
        <f>IF(#REF!&gt;=10,"High Risk", IF(#REF!&gt;=5,"Medium Risk","Low Risk"))</f>
        <v>#REF!</v>
      </c>
      <c r="AH3871" t="e">
        <f>#REF! + #REF! + #REF! + #REF!</f>
        <v>#REF!</v>
      </c>
    </row>
    <row r="3872" spans="1:34" x14ac:dyDescent="0.35">
      <c r="A3872">
        <v>3871</v>
      </c>
      <c r="B3872" t="s">
        <v>60</v>
      </c>
      <c r="C3872">
        <v>132</v>
      </c>
      <c r="D3872" t="s">
        <v>28</v>
      </c>
      <c r="E3872" t="s">
        <v>22</v>
      </c>
      <c r="F3872" t="s">
        <v>23</v>
      </c>
      <c r="G3872">
        <v>33</v>
      </c>
      <c r="H3872">
        <v>157.9</v>
      </c>
      <c r="I3872">
        <v>84</v>
      </c>
      <c r="J3872">
        <v>26.84</v>
      </c>
      <c r="K3872">
        <v>163.9</v>
      </c>
      <c r="L3872">
        <v>109</v>
      </c>
      <c r="M3872">
        <v>13.93</v>
      </c>
      <c r="N3872">
        <v>215.4</v>
      </c>
      <c r="O3872">
        <v>87</v>
      </c>
      <c r="P3872">
        <v>9.69</v>
      </c>
      <c r="Q3872">
        <v>11.5</v>
      </c>
      <c r="R3872">
        <v>3</v>
      </c>
      <c r="S3872">
        <v>3.11</v>
      </c>
      <c r="T3872">
        <v>3</v>
      </c>
      <c r="U3872" t="s">
        <v>22</v>
      </c>
      <c r="V3872" t="e">
        <f>IF(#REF! = "yes", 1, 0)</f>
        <v>#REF!</v>
      </c>
      <c r="W3872" t="e">
        <f>IF(#REF! &lt;= 1, "0-1 Calls", IF(#REF! &lt;= 3, "2-3 Calls", IF(#REF! &lt;=5, "4-5 Calls", "6+ Calls")))</f>
        <v>#REF!</v>
      </c>
      <c r="X3872" t="e">
        <f>IF(#REF! &lt;= 50, "0-50", IF(#REF! &lt;=100, "51-100", IF(#REF! &lt;= 150, "101-150", "151+")))</f>
        <v>#REF!</v>
      </c>
      <c r="Y3872" t="e">
        <f>IF(#REF! &lt;= 3, "Low Charges", "High Charges")</f>
        <v>#REF!</v>
      </c>
      <c r="Z3872" t="e">
        <f>IF(#REF!&lt;=80,"Low Calls",
IF(#REF!&lt;=120,"Medium Calls","High Calls"))</f>
        <v>#REF!</v>
      </c>
      <c r="AA3872" t="e">
        <f>IF(#REF!&lt;=15,"Low Charges",
IF(#REF!&lt;=20,"Medium Charges","High Charges"))</f>
        <v>#REF!</v>
      </c>
      <c r="AB3872" t="e">
        <f>IF(AND(#REF!&gt;180, #REF!&gt;200), "Heavy Doemstic User", IF(#REF!&gt;10, "Interntional User", IF(AND(#REF!&lt;180, #REF!&lt;200,#REF!&lt;200), "Light User", "Balanced User")))</f>
        <v>#REF!</v>
      </c>
      <c r="AC3872" t="e">
        <f>IF(#REF! = 0, "No Usage", IF(#REF! &lt;= 20, "Low Usage", IF(#REF! &lt;= 40, "Medium Usgae", "High Usage")))</f>
        <v>#REF!</v>
      </c>
      <c r="AD3872" t="e">
        <f>IF(#REF!&lt;=150,"Low Usage", IF(#REF!&lt;=200,"Medium Usage", IF(#REF!&lt;=250,"High Usage","Very High Usage")))</f>
        <v>#REF!</v>
      </c>
      <c r="AE3872" t="e">
        <f>IF(#REF!&lt;=5,"Low Calls", IF(#REF!&lt;=10, "Medium Calls", "High Calls"))</f>
        <v>#REF!</v>
      </c>
      <c r="AF3872" t="e">
        <f xml:space="preserve">
IF(#REF!&gt;=4,4,0)+
IF(#REF!="yes",3,0)+
IF(#REF!="High Charges",3,0)+
IF(#REF!&gt;250,4,0)+
IF(#REF!="no",1,0)+
IF(#REF!="Heavy Domestic User",2,0)</f>
        <v>#REF!</v>
      </c>
      <c r="AG3872" t="e">
        <f>IF(#REF!&gt;=10,"High Risk", IF(#REF!&gt;=5,"Medium Risk","Low Risk"))</f>
        <v>#REF!</v>
      </c>
      <c r="AH3872" t="e">
        <f>#REF! + #REF! + #REF! + #REF!</f>
        <v>#REF!</v>
      </c>
    </row>
    <row r="3873" spans="1:34" x14ac:dyDescent="0.35">
      <c r="A3873">
        <v>3872</v>
      </c>
      <c r="B3873" t="s">
        <v>61</v>
      </c>
      <c r="C3873">
        <v>42</v>
      </c>
      <c r="D3873" t="s">
        <v>21</v>
      </c>
      <c r="E3873" t="s">
        <v>22</v>
      </c>
      <c r="F3873" t="s">
        <v>22</v>
      </c>
      <c r="G3873">
        <v>0</v>
      </c>
      <c r="H3873">
        <v>137.9</v>
      </c>
      <c r="I3873">
        <v>160</v>
      </c>
      <c r="J3873">
        <v>23.44</v>
      </c>
      <c r="K3873">
        <v>234.9</v>
      </c>
      <c r="L3873">
        <v>107</v>
      </c>
      <c r="M3873">
        <v>19.97</v>
      </c>
      <c r="N3873">
        <v>166.6</v>
      </c>
      <c r="O3873">
        <v>70</v>
      </c>
      <c r="P3873">
        <v>7.5</v>
      </c>
      <c r="Q3873">
        <v>14.3</v>
      </c>
      <c r="R3873">
        <v>3</v>
      </c>
      <c r="S3873">
        <v>3.86</v>
      </c>
      <c r="T3873">
        <v>5</v>
      </c>
      <c r="U3873" t="s">
        <v>23</v>
      </c>
      <c r="V3873" t="e">
        <f>IF(#REF! = "yes", 1, 0)</f>
        <v>#REF!</v>
      </c>
      <c r="W3873" t="e">
        <f>IF(#REF! &lt;= 1, "0-1 Calls", IF(#REF! &lt;= 3, "2-3 Calls", IF(#REF! &lt;=5, "4-5 Calls", "6+ Calls")))</f>
        <v>#REF!</v>
      </c>
      <c r="X3873" t="e">
        <f>IF(#REF! &lt;= 50, "0-50", IF(#REF! &lt;=100, "51-100", IF(#REF! &lt;= 150, "101-150", "151+")))</f>
        <v>#REF!</v>
      </c>
      <c r="Y3873" t="e">
        <f>IF(#REF! &lt;= 3, "Low Charges", "High Charges")</f>
        <v>#REF!</v>
      </c>
      <c r="Z3873" t="e">
        <f>IF(#REF!&lt;=80,"Low Calls",
IF(#REF!&lt;=120,"Medium Calls","High Calls"))</f>
        <v>#REF!</v>
      </c>
      <c r="AA3873" t="e">
        <f>IF(#REF!&lt;=15,"Low Charges",
IF(#REF!&lt;=20,"Medium Charges","High Charges"))</f>
        <v>#REF!</v>
      </c>
      <c r="AB3873" t="e">
        <f>IF(AND(#REF!&gt;180, #REF!&gt;200), "Heavy Doemstic User", IF(#REF!&gt;10, "Interntional User", IF(AND(#REF!&lt;180, #REF!&lt;200,#REF!&lt;200), "Light User", "Balanced User")))</f>
        <v>#REF!</v>
      </c>
      <c r="AC3873" t="e">
        <f>IF(#REF! = 0, "No Usage", IF(#REF! &lt;= 20, "Low Usage", IF(#REF! &lt;= 40, "Medium Usgae", "High Usage")))</f>
        <v>#REF!</v>
      </c>
      <c r="AD3873" t="e">
        <f>IF(#REF!&lt;=150,"Low Usage", IF(#REF!&lt;=200,"Medium Usage", IF(#REF!&lt;=250,"High Usage","Very High Usage")))</f>
        <v>#REF!</v>
      </c>
      <c r="AE3873" t="e">
        <f>IF(#REF!&lt;=5,"Low Calls", IF(#REF!&lt;=10, "Medium Calls", "High Calls"))</f>
        <v>#REF!</v>
      </c>
      <c r="AF3873" t="e">
        <f xml:space="preserve">
IF(#REF!&gt;=4,4,0)+
IF(#REF!="yes",3,0)+
IF(#REF!="High Charges",3,0)+
IF(#REF!&gt;250,4,0)+
IF(#REF!="no",1,0)+
IF(#REF!="Heavy Domestic User",2,0)</f>
        <v>#REF!</v>
      </c>
      <c r="AG3873" t="e">
        <f>IF(#REF!&gt;=10,"High Risk", IF(#REF!&gt;=5,"Medium Risk","Low Risk"))</f>
        <v>#REF!</v>
      </c>
      <c r="AH3873" t="e">
        <f>#REF! + #REF! + #REF! + #REF!</f>
        <v>#REF!</v>
      </c>
    </row>
    <row r="3874" spans="1:34" x14ac:dyDescent="0.35">
      <c r="A3874">
        <v>3873</v>
      </c>
      <c r="B3874" t="s">
        <v>46</v>
      </c>
      <c r="C3874">
        <v>8</v>
      </c>
      <c r="D3874" t="s">
        <v>21</v>
      </c>
      <c r="E3874" t="s">
        <v>22</v>
      </c>
      <c r="F3874" t="s">
        <v>22</v>
      </c>
      <c r="G3874">
        <v>0</v>
      </c>
      <c r="H3874">
        <v>176</v>
      </c>
      <c r="I3874">
        <v>97</v>
      </c>
      <c r="J3874">
        <v>29.92</v>
      </c>
      <c r="K3874">
        <v>234.2</v>
      </c>
      <c r="L3874">
        <v>136</v>
      </c>
      <c r="M3874">
        <v>19.91</v>
      </c>
      <c r="N3874">
        <v>193.5</v>
      </c>
      <c r="O3874">
        <v>134</v>
      </c>
      <c r="P3874">
        <v>8.7100000000000009</v>
      </c>
      <c r="Q3874">
        <v>8.5</v>
      </c>
      <c r="R3874">
        <v>5</v>
      </c>
      <c r="S3874">
        <v>2.2999999999999998</v>
      </c>
      <c r="T3874">
        <v>1</v>
      </c>
      <c r="U3874" t="s">
        <v>22</v>
      </c>
      <c r="V3874" t="e">
        <f>IF(#REF! = "yes", 1, 0)</f>
        <v>#REF!</v>
      </c>
      <c r="W3874" t="e">
        <f>IF(#REF! &lt;= 1, "0-1 Calls", IF(#REF! &lt;= 3, "2-3 Calls", IF(#REF! &lt;=5, "4-5 Calls", "6+ Calls")))</f>
        <v>#REF!</v>
      </c>
      <c r="X3874" t="e">
        <f>IF(#REF! &lt;= 50, "0-50", IF(#REF! &lt;=100, "51-100", IF(#REF! &lt;= 150, "101-150", "151+")))</f>
        <v>#REF!</v>
      </c>
      <c r="Y3874" t="e">
        <f>IF(#REF! &lt;= 3, "Low Charges", "High Charges")</f>
        <v>#REF!</v>
      </c>
      <c r="Z3874" t="e">
        <f>IF(#REF!&lt;=80,"Low Calls",
IF(#REF!&lt;=120,"Medium Calls","High Calls"))</f>
        <v>#REF!</v>
      </c>
      <c r="AA3874" t="e">
        <f>IF(#REF!&lt;=15,"Low Charges",
IF(#REF!&lt;=20,"Medium Charges","High Charges"))</f>
        <v>#REF!</v>
      </c>
      <c r="AB3874" t="e">
        <f>IF(AND(#REF!&gt;180, #REF!&gt;200), "Heavy Doemstic User", IF(#REF!&gt;10, "Interntional User", IF(AND(#REF!&lt;180, #REF!&lt;200,#REF!&lt;200), "Light User", "Balanced User")))</f>
        <v>#REF!</v>
      </c>
      <c r="AC3874" t="e">
        <f>IF(#REF! = 0, "No Usage", IF(#REF! &lt;= 20, "Low Usage", IF(#REF! &lt;= 40, "Medium Usgae", "High Usage")))</f>
        <v>#REF!</v>
      </c>
      <c r="AD3874" t="e">
        <f>IF(#REF!&lt;=150,"Low Usage", IF(#REF!&lt;=200,"Medium Usage", IF(#REF!&lt;=250,"High Usage","Very High Usage")))</f>
        <v>#REF!</v>
      </c>
      <c r="AE3874" t="e">
        <f>IF(#REF!&lt;=5,"Low Calls", IF(#REF!&lt;=10, "Medium Calls", "High Calls"))</f>
        <v>#REF!</v>
      </c>
      <c r="AF3874" t="e">
        <f xml:space="preserve">
IF(#REF!&gt;=4,4,0)+
IF(#REF!="yes",3,0)+
IF(#REF!="High Charges",3,0)+
IF(#REF!&gt;250,4,0)+
IF(#REF!="no",1,0)+
IF(#REF!="Heavy Domestic User",2,0)</f>
        <v>#REF!</v>
      </c>
      <c r="AG3874" t="e">
        <f>IF(#REF!&gt;=10,"High Risk", IF(#REF!&gt;=5,"Medium Risk","Low Risk"))</f>
        <v>#REF!</v>
      </c>
      <c r="AH3874" t="e">
        <f>#REF! + #REF! + #REF! + #REF!</f>
        <v>#REF!</v>
      </c>
    </row>
    <row r="3875" spans="1:34" x14ac:dyDescent="0.35">
      <c r="A3875">
        <v>3874</v>
      </c>
      <c r="B3875" t="s">
        <v>39</v>
      </c>
      <c r="C3875">
        <v>145</v>
      </c>
      <c r="D3875" t="s">
        <v>28</v>
      </c>
      <c r="E3875" t="s">
        <v>22</v>
      </c>
      <c r="F3875" t="s">
        <v>22</v>
      </c>
      <c r="G3875">
        <v>0</v>
      </c>
      <c r="H3875">
        <v>158.80000000000001</v>
      </c>
      <c r="I3875">
        <v>120</v>
      </c>
      <c r="J3875">
        <v>27</v>
      </c>
      <c r="K3875">
        <v>352.1</v>
      </c>
      <c r="L3875">
        <v>145</v>
      </c>
      <c r="M3875">
        <v>29.93</v>
      </c>
      <c r="N3875">
        <v>177.6</v>
      </c>
      <c r="O3875">
        <v>140</v>
      </c>
      <c r="P3875">
        <v>7.99</v>
      </c>
      <c r="Q3875">
        <v>6.2</v>
      </c>
      <c r="R3875">
        <v>6</v>
      </c>
      <c r="S3875">
        <v>1.67</v>
      </c>
      <c r="T3875">
        <v>2</v>
      </c>
      <c r="U3875" t="s">
        <v>22</v>
      </c>
      <c r="V3875" t="e">
        <f>IF(#REF! = "yes", 1, 0)</f>
        <v>#REF!</v>
      </c>
      <c r="W3875" t="e">
        <f>IF(#REF! &lt;= 1, "0-1 Calls", IF(#REF! &lt;= 3, "2-3 Calls", IF(#REF! &lt;=5, "4-5 Calls", "6+ Calls")))</f>
        <v>#REF!</v>
      </c>
      <c r="X3875" t="e">
        <f>IF(#REF! &lt;= 50, "0-50", IF(#REF! &lt;=100, "51-100", IF(#REF! &lt;= 150, "101-150", "151+")))</f>
        <v>#REF!</v>
      </c>
      <c r="Y3875" t="e">
        <f>IF(#REF! &lt;= 3, "Low Charges", "High Charges")</f>
        <v>#REF!</v>
      </c>
      <c r="Z3875" t="e">
        <f>IF(#REF!&lt;=80,"Low Calls",
IF(#REF!&lt;=120,"Medium Calls","High Calls"))</f>
        <v>#REF!</v>
      </c>
      <c r="AA3875" t="e">
        <f>IF(#REF!&lt;=15,"Low Charges",
IF(#REF!&lt;=20,"Medium Charges","High Charges"))</f>
        <v>#REF!</v>
      </c>
      <c r="AB3875" t="e">
        <f>IF(AND(#REF!&gt;180, #REF!&gt;200), "Heavy Doemstic User", IF(#REF!&gt;10, "Interntional User", IF(AND(#REF!&lt;180, #REF!&lt;200,#REF!&lt;200), "Light User", "Balanced User")))</f>
        <v>#REF!</v>
      </c>
      <c r="AC3875" t="e">
        <f>IF(#REF! = 0, "No Usage", IF(#REF! &lt;= 20, "Low Usage", IF(#REF! &lt;= 40, "Medium Usgae", "High Usage")))</f>
        <v>#REF!</v>
      </c>
      <c r="AD3875" t="e">
        <f>IF(#REF!&lt;=150,"Low Usage", IF(#REF!&lt;=200,"Medium Usage", IF(#REF!&lt;=250,"High Usage","Very High Usage")))</f>
        <v>#REF!</v>
      </c>
      <c r="AE3875" t="e">
        <f>IF(#REF!&lt;=5,"Low Calls", IF(#REF!&lt;=10, "Medium Calls", "High Calls"))</f>
        <v>#REF!</v>
      </c>
      <c r="AF3875" t="e">
        <f xml:space="preserve">
IF(#REF!&gt;=4,4,0)+
IF(#REF!="yes",3,0)+
IF(#REF!="High Charges",3,0)+
IF(#REF!&gt;250,4,0)+
IF(#REF!="no",1,0)+
IF(#REF!="Heavy Domestic User",2,0)</f>
        <v>#REF!</v>
      </c>
      <c r="AG3875" t="e">
        <f>IF(#REF!&gt;=10,"High Risk", IF(#REF!&gt;=5,"Medium Risk","Low Risk"))</f>
        <v>#REF!</v>
      </c>
      <c r="AH3875" t="e">
        <f>#REF! + #REF! + #REF! + #REF!</f>
        <v>#REF!</v>
      </c>
    </row>
    <row r="3876" spans="1:34" x14ac:dyDescent="0.35">
      <c r="A3876">
        <v>3875</v>
      </c>
      <c r="B3876" t="s">
        <v>68</v>
      </c>
      <c r="C3876">
        <v>131</v>
      </c>
      <c r="D3876" t="s">
        <v>21</v>
      </c>
      <c r="E3876" t="s">
        <v>22</v>
      </c>
      <c r="F3876" t="s">
        <v>22</v>
      </c>
      <c r="G3876">
        <v>0</v>
      </c>
      <c r="H3876">
        <v>234</v>
      </c>
      <c r="I3876">
        <v>117</v>
      </c>
      <c r="J3876">
        <v>39.78</v>
      </c>
      <c r="K3876">
        <v>209.4</v>
      </c>
      <c r="L3876">
        <v>143</v>
      </c>
      <c r="M3876">
        <v>17.8</v>
      </c>
      <c r="N3876">
        <v>258.8</v>
      </c>
      <c r="O3876">
        <v>105</v>
      </c>
      <c r="P3876">
        <v>11.65</v>
      </c>
      <c r="Q3876">
        <v>9.8000000000000007</v>
      </c>
      <c r="R3876">
        <v>3</v>
      </c>
      <c r="S3876">
        <v>2.65</v>
      </c>
      <c r="T3876">
        <v>1</v>
      </c>
      <c r="U3876" t="s">
        <v>22</v>
      </c>
      <c r="V3876" t="e">
        <f>IF(#REF! = "yes", 1, 0)</f>
        <v>#REF!</v>
      </c>
      <c r="W3876" t="e">
        <f>IF(#REF! &lt;= 1, "0-1 Calls", IF(#REF! &lt;= 3, "2-3 Calls", IF(#REF! &lt;=5, "4-5 Calls", "6+ Calls")))</f>
        <v>#REF!</v>
      </c>
      <c r="X3876" t="e">
        <f>IF(#REF! &lt;= 50, "0-50", IF(#REF! &lt;=100, "51-100", IF(#REF! &lt;= 150, "101-150", "151+")))</f>
        <v>#REF!</v>
      </c>
      <c r="Y3876" t="e">
        <f>IF(#REF! &lt;= 3, "Low Charges", "High Charges")</f>
        <v>#REF!</v>
      </c>
      <c r="Z3876" t="e">
        <f>IF(#REF!&lt;=80,"Low Calls",
IF(#REF!&lt;=120,"Medium Calls","High Calls"))</f>
        <v>#REF!</v>
      </c>
      <c r="AA3876" t="e">
        <f>IF(#REF!&lt;=15,"Low Charges",
IF(#REF!&lt;=20,"Medium Charges","High Charges"))</f>
        <v>#REF!</v>
      </c>
      <c r="AB3876" t="e">
        <f>IF(AND(#REF!&gt;180, #REF!&gt;200), "Heavy Doemstic User", IF(#REF!&gt;10, "Interntional User", IF(AND(#REF!&lt;180, #REF!&lt;200,#REF!&lt;200), "Light User", "Balanced User")))</f>
        <v>#REF!</v>
      </c>
      <c r="AC3876" t="e">
        <f>IF(#REF! = 0, "No Usage", IF(#REF! &lt;= 20, "Low Usage", IF(#REF! &lt;= 40, "Medium Usgae", "High Usage")))</f>
        <v>#REF!</v>
      </c>
      <c r="AD3876" t="e">
        <f>IF(#REF!&lt;=150,"Low Usage", IF(#REF!&lt;=200,"Medium Usage", IF(#REF!&lt;=250,"High Usage","Very High Usage")))</f>
        <v>#REF!</v>
      </c>
      <c r="AE3876" t="e">
        <f>IF(#REF!&lt;=5,"Low Calls", IF(#REF!&lt;=10, "Medium Calls", "High Calls"))</f>
        <v>#REF!</v>
      </c>
      <c r="AF3876" t="e">
        <f xml:space="preserve">
IF(#REF!&gt;=4,4,0)+
IF(#REF!="yes",3,0)+
IF(#REF!="High Charges",3,0)+
IF(#REF!&gt;250,4,0)+
IF(#REF!="no",1,0)+
IF(#REF!="Heavy Domestic User",2,0)</f>
        <v>#REF!</v>
      </c>
      <c r="AG3876" t="e">
        <f>IF(#REF!&gt;=10,"High Risk", IF(#REF!&gt;=5,"Medium Risk","Low Risk"))</f>
        <v>#REF!</v>
      </c>
      <c r="AH3876" t="e">
        <f>#REF! + #REF! + #REF! + #REF!</f>
        <v>#REF!</v>
      </c>
    </row>
    <row r="3877" spans="1:34" x14ac:dyDescent="0.35">
      <c r="A3877">
        <v>3876</v>
      </c>
      <c r="B3877" t="s">
        <v>59</v>
      </c>
      <c r="C3877">
        <v>105</v>
      </c>
      <c r="D3877" t="s">
        <v>21</v>
      </c>
      <c r="E3877" t="s">
        <v>22</v>
      </c>
      <c r="F3877" t="s">
        <v>22</v>
      </c>
      <c r="G3877">
        <v>0</v>
      </c>
      <c r="H3877">
        <v>132.30000000000001</v>
      </c>
      <c r="I3877">
        <v>105</v>
      </c>
      <c r="J3877">
        <v>22.49</v>
      </c>
      <c r="K3877">
        <v>144.5</v>
      </c>
      <c r="L3877">
        <v>89</v>
      </c>
      <c r="M3877">
        <v>12.28</v>
      </c>
      <c r="N3877">
        <v>195.5</v>
      </c>
      <c r="O3877">
        <v>127</v>
      </c>
      <c r="P3877">
        <v>8.8000000000000007</v>
      </c>
      <c r="Q3877">
        <v>5.4</v>
      </c>
      <c r="R3877">
        <v>3</v>
      </c>
      <c r="S3877">
        <v>1.46</v>
      </c>
      <c r="T3877">
        <v>0</v>
      </c>
      <c r="U3877" t="s">
        <v>22</v>
      </c>
      <c r="V3877" t="e">
        <f>IF(#REF! = "yes", 1, 0)</f>
        <v>#REF!</v>
      </c>
      <c r="W3877" t="e">
        <f>IF(#REF! &lt;= 1, "0-1 Calls", IF(#REF! &lt;= 3, "2-3 Calls", IF(#REF! &lt;=5, "4-5 Calls", "6+ Calls")))</f>
        <v>#REF!</v>
      </c>
      <c r="X3877" t="e">
        <f>IF(#REF! &lt;= 50, "0-50", IF(#REF! &lt;=100, "51-100", IF(#REF! &lt;= 150, "101-150", "151+")))</f>
        <v>#REF!</v>
      </c>
      <c r="Y3877" t="e">
        <f>IF(#REF! &lt;= 3, "Low Charges", "High Charges")</f>
        <v>#REF!</v>
      </c>
      <c r="Z3877" t="e">
        <f>IF(#REF!&lt;=80,"Low Calls",
IF(#REF!&lt;=120,"Medium Calls","High Calls"))</f>
        <v>#REF!</v>
      </c>
      <c r="AA3877" t="e">
        <f>IF(#REF!&lt;=15,"Low Charges",
IF(#REF!&lt;=20,"Medium Charges","High Charges"))</f>
        <v>#REF!</v>
      </c>
      <c r="AB3877" t="e">
        <f>IF(AND(#REF!&gt;180, #REF!&gt;200), "Heavy Doemstic User", IF(#REF!&gt;10, "Interntional User", IF(AND(#REF!&lt;180, #REF!&lt;200,#REF!&lt;200), "Light User", "Balanced User")))</f>
        <v>#REF!</v>
      </c>
      <c r="AC3877" t="e">
        <f>IF(#REF! = 0, "No Usage", IF(#REF! &lt;= 20, "Low Usage", IF(#REF! &lt;= 40, "Medium Usgae", "High Usage")))</f>
        <v>#REF!</v>
      </c>
      <c r="AD3877" t="e">
        <f>IF(#REF!&lt;=150,"Low Usage", IF(#REF!&lt;=200,"Medium Usage", IF(#REF!&lt;=250,"High Usage","Very High Usage")))</f>
        <v>#REF!</v>
      </c>
      <c r="AE3877" t="e">
        <f>IF(#REF!&lt;=5,"Low Calls", IF(#REF!&lt;=10, "Medium Calls", "High Calls"))</f>
        <v>#REF!</v>
      </c>
      <c r="AF3877" t="e">
        <f xml:space="preserve">
IF(#REF!&gt;=4,4,0)+
IF(#REF!="yes",3,0)+
IF(#REF!="High Charges",3,0)+
IF(#REF!&gt;250,4,0)+
IF(#REF!="no",1,0)+
IF(#REF!="Heavy Domestic User",2,0)</f>
        <v>#REF!</v>
      </c>
      <c r="AG3877" t="e">
        <f>IF(#REF!&gt;=10,"High Risk", IF(#REF!&gt;=5,"Medium Risk","Low Risk"))</f>
        <v>#REF!</v>
      </c>
      <c r="AH3877" t="e">
        <f>#REF! + #REF! + #REF! + #REF!</f>
        <v>#REF!</v>
      </c>
    </row>
    <row r="3878" spans="1:34" x14ac:dyDescent="0.35">
      <c r="A3878">
        <v>3877</v>
      </c>
      <c r="B3878" t="s">
        <v>60</v>
      </c>
      <c r="C3878">
        <v>90</v>
      </c>
      <c r="D3878" t="s">
        <v>25</v>
      </c>
      <c r="E3878" t="s">
        <v>22</v>
      </c>
      <c r="F3878" t="s">
        <v>23</v>
      </c>
      <c r="G3878">
        <v>32</v>
      </c>
      <c r="H3878">
        <v>276.60000000000002</v>
      </c>
      <c r="I3878">
        <v>76</v>
      </c>
      <c r="J3878">
        <v>47.02</v>
      </c>
      <c r="K3878">
        <v>138.30000000000001</v>
      </c>
      <c r="L3878">
        <v>90</v>
      </c>
      <c r="M3878">
        <v>11.76</v>
      </c>
      <c r="N3878">
        <v>279.60000000000002</v>
      </c>
      <c r="O3878">
        <v>88</v>
      </c>
      <c r="P3878">
        <v>12.58</v>
      </c>
      <c r="Q3878">
        <v>6.8</v>
      </c>
      <c r="R3878">
        <v>3</v>
      </c>
      <c r="S3878">
        <v>1.84</v>
      </c>
      <c r="T3878">
        <v>3</v>
      </c>
      <c r="U3878" t="s">
        <v>22</v>
      </c>
      <c r="V3878" t="e">
        <f>IF(#REF! = "yes", 1, 0)</f>
        <v>#REF!</v>
      </c>
      <c r="W3878" t="e">
        <f>IF(#REF! &lt;= 1, "0-1 Calls", IF(#REF! &lt;= 3, "2-3 Calls", IF(#REF! &lt;=5, "4-5 Calls", "6+ Calls")))</f>
        <v>#REF!</v>
      </c>
      <c r="X3878" t="e">
        <f>IF(#REF! &lt;= 50, "0-50", IF(#REF! &lt;=100, "51-100", IF(#REF! &lt;= 150, "101-150", "151+")))</f>
        <v>#REF!</v>
      </c>
      <c r="Y3878" t="e">
        <f>IF(#REF! &lt;= 3, "Low Charges", "High Charges")</f>
        <v>#REF!</v>
      </c>
      <c r="Z3878" t="e">
        <f>IF(#REF!&lt;=80,"Low Calls",
IF(#REF!&lt;=120,"Medium Calls","High Calls"))</f>
        <v>#REF!</v>
      </c>
      <c r="AA3878" t="e">
        <f>IF(#REF!&lt;=15,"Low Charges",
IF(#REF!&lt;=20,"Medium Charges","High Charges"))</f>
        <v>#REF!</v>
      </c>
      <c r="AB3878" t="e">
        <f>IF(AND(#REF!&gt;180, #REF!&gt;200), "Heavy Doemstic User", IF(#REF!&gt;10, "Interntional User", IF(AND(#REF!&lt;180, #REF!&lt;200,#REF!&lt;200), "Light User", "Balanced User")))</f>
        <v>#REF!</v>
      </c>
      <c r="AC3878" t="e">
        <f>IF(#REF! = 0, "No Usage", IF(#REF! &lt;= 20, "Low Usage", IF(#REF! &lt;= 40, "Medium Usgae", "High Usage")))</f>
        <v>#REF!</v>
      </c>
      <c r="AD3878" t="e">
        <f>IF(#REF!&lt;=150,"Low Usage", IF(#REF!&lt;=200,"Medium Usage", IF(#REF!&lt;=250,"High Usage","Very High Usage")))</f>
        <v>#REF!</v>
      </c>
      <c r="AE3878" t="e">
        <f>IF(#REF!&lt;=5,"Low Calls", IF(#REF!&lt;=10, "Medium Calls", "High Calls"))</f>
        <v>#REF!</v>
      </c>
      <c r="AF3878" t="e">
        <f xml:space="preserve">
IF(#REF!&gt;=4,4,0)+
IF(#REF!="yes",3,0)+
IF(#REF!="High Charges",3,0)+
IF(#REF!&gt;250,4,0)+
IF(#REF!="no",1,0)+
IF(#REF!="Heavy Domestic User",2,0)</f>
        <v>#REF!</v>
      </c>
      <c r="AG3878" t="e">
        <f>IF(#REF!&gt;=10,"High Risk", IF(#REF!&gt;=5,"Medium Risk","Low Risk"))</f>
        <v>#REF!</v>
      </c>
      <c r="AH3878" t="e">
        <f>#REF! + #REF! + #REF! + #REF!</f>
        <v>#REF!</v>
      </c>
    </row>
    <row r="3879" spans="1:34" x14ac:dyDescent="0.35">
      <c r="A3879">
        <v>3878</v>
      </c>
      <c r="B3879" t="s">
        <v>24</v>
      </c>
      <c r="C3879">
        <v>124</v>
      </c>
      <c r="D3879" t="s">
        <v>21</v>
      </c>
      <c r="E3879" t="s">
        <v>22</v>
      </c>
      <c r="F3879" t="s">
        <v>22</v>
      </c>
      <c r="G3879">
        <v>0</v>
      </c>
      <c r="H3879">
        <v>108.2</v>
      </c>
      <c r="I3879">
        <v>92</v>
      </c>
      <c r="J3879">
        <v>18.39</v>
      </c>
      <c r="K3879">
        <v>214.3</v>
      </c>
      <c r="L3879">
        <v>83</v>
      </c>
      <c r="M3879">
        <v>18.22</v>
      </c>
      <c r="N3879">
        <v>185.5</v>
      </c>
      <c r="O3879">
        <v>155</v>
      </c>
      <c r="P3879">
        <v>8.35</v>
      </c>
      <c r="Q3879">
        <v>13.2</v>
      </c>
      <c r="R3879">
        <v>11</v>
      </c>
      <c r="S3879">
        <v>3.56</v>
      </c>
      <c r="T3879">
        <v>4</v>
      </c>
      <c r="U3879" t="s">
        <v>23</v>
      </c>
      <c r="V3879" t="e">
        <f>IF(#REF! = "yes", 1, 0)</f>
        <v>#REF!</v>
      </c>
      <c r="W3879" t="e">
        <f>IF(#REF! &lt;= 1, "0-1 Calls", IF(#REF! &lt;= 3, "2-3 Calls", IF(#REF! &lt;=5, "4-5 Calls", "6+ Calls")))</f>
        <v>#REF!</v>
      </c>
      <c r="X3879" t="e">
        <f>IF(#REF! &lt;= 50, "0-50", IF(#REF! &lt;=100, "51-100", IF(#REF! &lt;= 150, "101-150", "151+")))</f>
        <v>#REF!</v>
      </c>
      <c r="Y3879" t="e">
        <f>IF(#REF! &lt;= 3, "Low Charges", "High Charges")</f>
        <v>#REF!</v>
      </c>
      <c r="Z3879" t="e">
        <f>IF(#REF!&lt;=80,"Low Calls",
IF(#REF!&lt;=120,"Medium Calls","High Calls"))</f>
        <v>#REF!</v>
      </c>
      <c r="AA3879" t="e">
        <f>IF(#REF!&lt;=15,"Low Charges",
IF(#REF!&lt;=20,"Medium Charges","High Charges"))</f>
        <v>#REF!</v>
      </c>
      <c r="AB3879" t="e">
        <f>IF(AND(#REF!&gt;180, #REF!&gt;200), "Heavy Doemstic User", IF(#REF!&gt;10, "Interntional User", IF(AND(#REF!&lt;180, #REF!&lt;200,#REF!&lt;200), "Light User", "Balanced User")))</f>
        <v>#REF!</v>
      </c>
      <c r="AC3879" t="e">
        <f>IF(#REF! = 0, "No Usage", IF(#REF! &lt;= 20, "Low Usage", IF(#REF! &lt;= 40, "Medium Usgae", "High Usage")))</f>
        <v>#REF!</v>
      </c>
      <c r="AD3879" t="e">
        <f>IF(#REF!&lt;=150,"Low Usage", IF(#REF!&lt;=200,"Medium Usage", IF(#REF!&lt;=250,"High Usage","Very High Usage")))</f>
        <v>#REF!</v>
      </c>
      <c r="AE3879" t="e">
        <f>IF(#REF!&lt;=5,"Low Calls", IF(#REF!&lt;=10, "Medium Calls", "High Calls"))</f>
        <v>#REF!</v>
      </c>
      <c r="AF3879" t="e">
        <f xml:space="preserve">
IF(#REF!&gt;=4,4,0)+
IF(#REF!="yes",3,0)+
IF(#REF!="High Charges",3,0)+
IF(#REF!&gt;250,4,0)+
IF(#REF!="no",1,0)+
IF(#REF!="Heavy Domestic User",2,0)</f>
        <v>#REF!</v>
      </c>
      <c r="AG3879" t="e">
        <f>IF(#REF!&gt;=10,"High Risk", IF(#REF!&gt;=5,"Medium Risk","Low Risk"))</f>
        <v>#REF!</v>
      </c>
      <c r="AH3879" t="e">
        <f>#REF! + #REF! + #REF! + #REF!</f>
        <v>#REF!</v>
      </c>
    </row>
    <row r="3880" spans="1:34" x14ac:dyDescent="0.35">
      <c r="A3880">
        <v>3879</v>
      </c>
      <c r="B3880" t="s">
        <v>46</v>
      </c>
      <c r="C3880">
        <v>82</v>
      </c>
      <c r="D3880" t="s">
        <v>25</v>
      </c>
      <c r="E3880" t="s">
        <v>22</v>
      </c>
      <c r="F3880" t="s">
        <v>22</v>
      </c>
      <c r="G3880">
        <v>0</v>
      </c>
      <c r="H3880">
        <v>156</v>
      </c>
      <c r="I3880">
        <v>94</v>
      </c>
      <c r="J3880">
        <v>26.52</v>
      </c>
      <c r="K3880">
        <v>295.60000000000002</v>
      </c>
      <c r="L3880">
        <v>118</v>
      </c>
      <c r="M3880">
        <v>25.13</v>
      </c>
      <c r="N3880">
        <v>196.9</v>
      </c>
      <c r="O3880">
        <v>84</v>
      </c>
      <c r="P3880">
        <v>8.86</v>
      </c>
      <c r="Q3880">
        <v>14.3</v>
      </c>
      <c r="R3880">
        <v>3</v>
      </c>
      <c r="S3880">
        <v>3.86</v>
      </c>
      <c r="T3880">
        <v>0</v>
      </c>
      <c r="U3880" t="s">
        <v>22</v>
      </c>
      <c r="V3880" t="e">
        <f>IF(#REF! = "yes", 1, 0)</f>
        <v>#REF!</v>
      </c>
      <c r="W3880" t="e">
        <f>IF(#REF! &lt;= 1, "0-1 Calls", IF(#REF! &lt;= 3, "2-3 Calls", IF(#REF! &lt;=5, "4-5 Calls", "6+ Calls")))</f>
        <v>#REF!</v>
      </c>
      <c r="X3880" t="e">
        <f>IF(#REF! &lt;= 50, "0-50", IF(#REF! &lt;=100, "51-100", IF(#REF! &lt;= 150, "101-150", "151+")))</f>
        <v>#REF!</v>
      </c>
      <c r="Y3880" t="e">
        <f>IF(#REF! &lt;= 3, "Low Charges", "High Charges")</f>
        <v>#REF!</v>
      </c>
      <c r="Z3880" t="e">
        <f>IF(#REF!&lt;=80,"Low Calls",
IF(#REF!&lt;=120,"Medium Calls","High Calls"))</f>
        <v>#REF!</v>
      </c>
      <c r="AA3880" t="e">
        <f>IF(#REF!&lt;=15,"Low Charges",
IF(#REF!&lt;=20,"Medium Charges","High Charges"))</f>
        <v>#REF!</v>
      </c>
      <c r="AB3880" t="e">
        <f>IF(AND(#REF!&gt;180, #REF!&gt;200), "Heavy Doemstic User", IF(#REF!&gt;10, "Interntional User", IF(AND(#REF!&lt;180, #REF!&lt;200,#REF!&lt;200), "Light User", "Balanced User")))</f>
        <v>#REF!</v>
      </c>
      <c r="AC3880" t="e">
        <f>IF(#REF! = 0, "No Usage", IF(#REF! &lt;= 20, "Low Usage", IF(#REF! &lt;= 40, "Medium Usgae", "High Usage")))</f>
        <v>#REF!</v>
      </c>
      <c r="AD3880" t="e">
        <f>IF(#REF!&lt;=150,"Low Usage", IF(#REF!&lt;=200,"Medium Usage", IF(#REF!&lt;=250,"High Usage","Very High Usage")))</f>
        <v>#REF!</v>
      </c>
      <c r="AE3880" t="e">
        <f>IF(#REF!&lt;=5,"Low Calls", IF(#REF!&lt;=10, "Medium Calls", "High Calls"))</f>
        <v>#REF!</v>
      </c>
      <c r="AF3880" t="e">
        <f xml:space="preserve">
IF(#REF!&gt;=4,4,0)+
IF(#REF!="yes",3,0)+
IF(#REF!="High Charges",3,0)+
IF(#REF!&gt;250,4,0)+
IF(#REF!="no",1,0)+
IF(#REF!="Heavy Domestic User",2,0)</f>
        <v>#REF!</v>
      </c>
      <c r="AG3880" t="e">
        <f>IF(#REF!&gt;=10,"High Risk", IF(#REF!&gt;=5,"Medium Risk","Low Risk"))</f>
        <v>#REF!</v>
      </c>
      <c r="AH3880" t="e">
        <f>#REF! + #REF! + #REF! + #REF!</f>
        <v>#REF!</v>
      </c>
    </row>
    <row r="3881" spans="1:34" x14ac:dyDescent="0.35">
      <c r="A3881">
        <v>3880</v>
      </c>
      <c r="B3881" t="s">
        <v>64</v>
      </c>
      <c r="C3881">
        <v>76</v>
      </c>
      <c r="D3881" t="s">
        <v>25</v>
      </c>
      <c r="E3881" t="s">
        <v>22</v>
      </c>
      <c r="F3881" t="s">
        <v>22</v>
      </c>
      <c r="G3881">
        <v>0</v>
      </c>
      <c r="H3881">
        <v>208.5</v>
      </c>
      <c r="I3881">
        <v>124</v>
      </c>
      <c r="J3881">
        <v>35.450000000000003</v>
      </c>
      <c r="K3881">
        <v>173</v>
      </c>
      <c r="L3881">
        <v>117</v>
      </c>
      <c r="M3881">
        <v>14.71</v>
      </c>
      <c r="N3881">
        <v>221.1</v>
      </c>
      <c r="O3881">
        <v>95</v>
      </c>
      <c r="P3881">
        <v>9.9499999999999993</v>
      </c>
      <c r="Q3881">
        <v>9.8000000000000007</v>
      </c>
      <c r="R3881">
        <v>3</v>
      </c>
      <c r="S3881">
        <v>2.65</v>
      </c>
      <c r="T3881">
        <v>0</v>
      </c>
      <c r="U3881" t="s">
        <v>22</v>
      </c>
      <c r="V3881" t="e">
        <f>IF(#REF! = "yes", 1, 0)</f>
        <v>#REF!</v>
      </c>
      <c r="W3881" t="e">
        <f>IF(#REF! &lt;= 1, "0-1 Calls", IF(#REF! &lt;= 3, "2-3 Calls", IF(#REF! &lt;=5, "4-5 Calls", "6+ Calls")))</f>
        <v>#REF!</v>
      </c>
      <c r="X3881" t="e">
        <f>IF(#REF! &lt;= 50, "0-50", IF(#REF! &lt;=100, "51-100", IF(#REF! &lt;= 150, "101-150", "151+")))</f>
        <v>#REF!</v>
      </c>
      <c r="Y3881" t="e">
        <f>IF(#REF! &lt;= 3, "Low Charges", "High Charges")</f>
        <v>#REF!</v>
      </c>
      <c r="Z3881" t="e">
        <f>IF(#REF!&lt;=80,"Low Calls",
IF(#REF!&lt;=120,"Medium Calls","High Calls"))</f>
        <v>#REF!</v>
      </c>
      <c r="AA3881" t="e">
        <f>IF(#REF!&lt;=15,"Low Charges",
IF(#REF!&lt;=20,"Medium Charges","High Charges"))</f>
        <v>#REF!</v>
      </c>
      <c r="AB3881" t="e">
        <f>IF(AND(#REF!&gt;180, #REF!&gt;200), "Heavy Doemstic User", IF(#REF!&gt;10, "Interntional User", IF(AND(#REF!&lt;180, #REF!&lt;200,#REF!&lt;200), "Light User", "Balanced User")))</f>
        <v>#REF!</v>
      </c>
      <c r="AC3881" t="e">
        <f>IF(#REF! = 0, "No Usage", IF(#REF! &lt;= 20, "Low Usage", IF(#REF! &lt;= 40, "Medium Usgae", "High Usage")))</f>
        <v>#REF!</v>
      </c>
      <c r="AD3881" t="e">
        <f>IF(#REF!&lt;=150,"Low Usage", IF(#REF!&lt;=200,"Medium Usage", IF(#REF!&lt;=250,"High Usage","Very High Usage")))</f>
        <v>#REF!</v>
      </c>
      <c r="AE3881" t="e">
        <f>IF(#REF!&lt;=5,"Low Calls", IF(#REF!&lt;=10, "Medium Calls", "High Calls"))</f>
        <v>#REF!</v>
      </c>
      <c r="AF3881" t="e">
        <f xml:space="preserve">
IF(#REF!&gt;=4,4,0)+
IF(#REF!="yes",3,0)+
IF(#REF!="High Charges",3,0)+
IF(#REF!&gt;250,4,0)+
IF(#REF!="no",1,0)+
IF(#REF!="Heavy Domestic User",2,0)</f>
        <v>#REF!</v>
      </c>
      <c r="AG3881" t="e">
        <f>IF(#REF!&gt;=10,"High Risk", IF(#REF!&gt;=5,"Medium Risk","Low Risk"))</f>
        <v>#REF!</v>
      </c>
      <c r="AH3881" t="e">
        <f>#REF! + #REF! + #REF! + #REF!</f>
        <v>#REF!</v>
      </c>
    </row>
    <row r="3882" spans="1:34" x14ac:dyDescent="0.35">
      <c r="A3882">
        <v>3881</v>
      </c>
      <c r="B3882" t="s">
        <v>46</v>
      </c>
      <c r="C3882">
        <v>98</v>
      </c>
      <c r="D3882" t="s">
        <v>21</v>
      </c>
      <c r="E3882" t="s">
        <v>22</v>
      </c>
      <c r="F3882" t="s">
        <v>22</v>
      </c>
      <c r="G3882">
        <v>0</v>
      </c>
      <c r="H3882">
        <v>243.4</v>
      </c>
      <c r="I3882">
        <v>88</v>
      </c>
      <c r="J3882">
        <v>41.38</v>
      </c>
      <c r="K3882">
        <v>147.1</v>
      </c>
      <c r="L3882">
        <v>155</v>
      </c>
      <c r="M3882">
        <v>12.5</v>
      </c>
      <c r="N3882">
        <v>156.4</v>
      </c>
      <c r="O3882">
        <v>80</v>
      </c>
      <c r="P3882">
        <v>7.04</v>
      </c>
      <c r="Q3882">
        <v>9.6999999999999993</v>
      </c>
      <c r="R3882">
        <v>4</v>
      </c>
      <c r="S3882">
        <v>2.62</v>
      </c>
      <c r="T3882">
        <v>2</v>
      </c>
      <c r="U3882" t="s">
        <v>22</v>
      </c>
      <c r="V3882" t="e">
        <f>IF(#REF! = "yes", 1, 0)</f>
        <v>#REF!</v>
      </c>
      <c r="W3882" t="e">
        <f>IF(#REF! &lt;= 1, "0-1 Calls", IF(#REF! &lt;= 3, "2-3 Calls", IF(#REF! &lt;=5, "4-5 Calls", "6+ Calls")))</f>
        <v>#REF!</v>
      </c>
      <c r="X3882" t="e">
        <f>IF(#REF! &lt;= 50, "0-50", IF(#REF! &lt;=100, "51-100", IF(#REF! &lt;= 150, "101-150", "151+")))</f>
        <v>#REF!</v>
      </c>
      <c r="Y3882" t="e">
        <f>IF(#REF! &lt;= 3, "Low Charges", "High Charges")</f>
        <v>#REF!</v>
      </c>
      <c r="Z3882" t="e">
        <f>IF(#REF!&lt;=80,"Low Calls",
IF(#REF!&lt;=120,"Medium Calls","High Calls"))</f>
        <v>#REF!</v>
      </c>
      <c r="AA3882" t="e">
        <f>IF(#REF!&lt;=15,"Low Charges",
IF(#REF!&lt;=20,"Medium Charges","High Charges"))</f>
        <v>#REF!</v>
      </c>
      <c r="AB3882" t="e">
        <f>IF(AND(#REF!&gt;180, #REF!&gt;200), "Heavy Doemstic User", IF(#REF!&gt;10, "Interntional User", IF(AND(#REF!&lt;180, #REF!&lt;200,#REF!&lt;200), "Light User", "Balanced User")))</f>
        <v>#REF!</v>
      </c>
      <c r="AC3882" t="e">
        <f>IF(#REF! = 0, "No Usage", IF(#REF! &lt;= 20, "Low Usage", IF(#REF! &lt;= 40, "Medium Usgae", "High Usage")))</f>
        <v>#REF!</v>
      </c>
      <c r="AD3882" t="e">
        <f>IF(#REF!&lt;=150,"Low Usage", IF(#REF!&lt;=200,"Medium Usage", IF(#REF!&lt;=250,"High Usage","Very High Usage")))</f>
        <v>#REF!</v>
      </c>
      <c r="AE3882" t="e">
        <f>IF(#REF!&lt;=5,"Low Calls", IF(#REF!&lt;=10, "Medium Calls", "High Calls"))</f>
        <v>#REF!</v>
      </c>
      <c r="AF3882" t="e">
        <f xml:space="preserve">
IF(#REF!&gt;=4,4,0)+
IF(#REF!="yes",3,0)+
IF(#REF!="High Charges",3,0)+
IF(#REF!&gt;250,4,0)+
IF(#REF!="no",1,0)+
IF(#REF!="Heavy Domestic User",2,0)</f>
        <v>#REF!</v>
      </c>
      <c r="AG3882" t="e">
        <f>IF(#REF!&gt;=10,"High Risk", IF(#REF!&gt;=5,"Medium Risk","Low Risk"))</f>
        <v>#REF!</v>
      </c>
      <c r="AH3882" t="e">
        <f>#REF! + #REF! + #REF! + #REF!</f>
        <v>#REF!</v>
      </c>
    </row>
    <row r="3883" spans="1:34" x14ac:dyDescent="0.35">
      <c r="A3883">
        <v>3882</v>
      </c>
      <c r="B3883" t="s">
        <v>49</v>
      </c>
      <c r="C3883">
        <v>80</v>
      </c>
      <c r="D3883" t="s">
        <v>28</v>
      </c>
      <c r="E3883" t="s">
        <v>23</v>
      </c>
      <c r="F3883" t="s">
        <v>22</v>
      </c>
      <c r="G3883">
        <v>0</v>
      </c>
      <c r="H3883">
        <v>275.39999999999998</v>
      </c>
      <c r="I3883">
        <v>89</v>
      </c>
      <c r="J3883">
        <v>46.82</v>
      </c>
      <c r="K3883">
        <v>186.7</v>
      </c>
      <c r="L3883">
        <v>66</v>
      </c>
      <c r="M3883">
        <v>15.87</v>
      </c>
      <c r="N3883">
        <v>201.3</v>
      </c>
      <c r="O3883">
        <v>87</v>
      </c>
      <c r="P3883">
        <v>9.06</v>
      </c>
      <c r="Q3883">
        <v>9.4</v>
      </c>
      <c r="R3883">
        <v>2</v>
      </c>
      <c r="S3883">
        <v>2.54</v>
      </c>
      <c r="T3883">
        <v>0</v>
      </c>
      <c r="U3883" t="s">
        <v>23</v>
      </c>
      <c r="V3883" t="e">
        <f>IF(#REF! = "yes", 1, 0)</f>
        <v>#REF!</v>
      </c>
      <c r="W3883" t="e">
        <f>IF(#REF! &lt;= 1, "0-1 Calls", IF(#REF! &lt;= 3, "2-3 Calls", IF(#REF! &lt;=5, "4-5 Calls", "6+ Calls")))</f>
        <v>#REF!</v>
      </c>
      <c r="X3883" t="e">
        <f>IF(#REF! &lt;= 50, "0-50", IF(#REF! &lt;=100, "51-100", IF(#REF! &lt;= 150, "101-150", "151+")))</f>
        <v>#REF!</v>
      </c>
      <c r="Y3883" t="e">
        <f>IF(#REF! &lt;= 3, "Low Charges", "High Charges")</f>
        <v>#REF!</v>
      </c>
      <c r="Z3883" t="e">
        <f>IF(#REF!&lt;=80,"Low Calls",
IF(#REF!&lt;=120,"Medium Calls","High Calls"))</f>
        <v>#REF!</v>
      </c>
      <c r="AA3883" t="e">
        <f>IF(#REF!&lt;=15,"Low Charges",
IF(#REF!&lt;=20,"Medium Charges","High Charges"))</f>
        <v>#REF!</v>
      </c>
      <c r="AB3883" t="e">
        <f>IF(AND(#REF!&gt;180, #REF!&gt;200), "Heavy Doemstic User", IF(#REF!&gt;10, "Interntional User", IF(AND(#REF!&lt;180, #REF!&lt;200,#REF!&lt;200), "Light User", "Balanced User")))</f>
        <v>#REF!</v>
      </c>
      <c r="AC3883" t="e">
        <f>IF(#REF! = 0, "No Usage", IF(#REF! &lt;= 20, "Low Usage", IF(#REF! &lt;= 40, "Medium Usgae", "High Usage")))</f>
        <v>#REF!</v>
      </c>
      <c r="AD3883" t="e">
        <f>IF(#REF!&lt;=150,"Low Usage", IF(#REF!&lt;=200,"Medium Usage", IF(#REF!&lt;=250,"High Usage","Very High Usage")))</f>
        <v>#REF!</v>
      </c>
      <c r="AE3883" t="e">
        <f>IF(#REF!&lt;=5,"Low Calls", IF(#REF!&lt;=10, "Medium Calls", "High Calls"))</f>
        <v>#REF!</v>
      </c>
      <c r="AF3883" t="e">
        <f xml:space="preserve">
IF(#REF!&gt;=4,4,0)+
IF(#REF!="yes",3,0)+
IF(#REF!="High Charges",3,0)+
IF(#REF!&gt;250,4,0)+
IF(#REF!="no",1,0)+
IF(#REF!="Heavy Domestic User",2,0)</f>
        <v>#REF!</v>
      </c>
      <c r="AG3883" t="e">
        <f>IF(#REF!&gt;=10,"High Risk", IF(#REF!&gt;=5,"Medium Risk","Low Risk"))</f>
        <v>#REF!</v>
      </c>
      <c r="AH3883" t="e">
        <f>#REF! + #REF! + #REF! + #REF!</f>
        <v>#REF!</v>
      </c>
    </row>
    <row r="3884" spans="1:34" x14ac:dyDescent="0.35">
      <c r="A3884">
        <v>3883</v>
      </c>
      <c r="B3884" t="s">
        <v>30</v>
      </c>
      <c r="C3884">
        <v>57</v>
      </c>
      <c r="D3884" t="s">
        <v>21</v>
      </c>
      <c r="E3884" t="s">
        <v>22</v>
      </c>
      <c r="F3884" t="s">
        <v>22</v>
      </c>
      <c r="G3884">
        <v>0</v>
      </c>
      <c r="H3884">
        <v>198.1</v>
      </c>
      <c r="I3884">
        <v>89</v>
      </c>
      <c r="J3884">
        <v>33.68</v>
      </c>
      <c r="K3884">
        <v>214.2</v>
      </c>
      <c r="L3884">
        <v>105</v>
      </c>
      <c r="M3884">
        <v>18.21</v>
      </c>
      <c r="N3884">
        <v>109.5</v>
      </c>
      <c r="O3884">
        <v>106</v>
      </c>
      <c r="P3884">
        <v>4.93</v>
      </c>
      <c r="Q3884">
        <v>7</v>
      </c>
      <c r="R3884">
        <v>3</v>
      </c>
      <c r="S3884">
        <v>1.89</v>
      </c>
      <c r="T3884">
        <v>1</v>
      </c>
      <c r="U3884" t="s">
        <v>22</v>
      </c>
      <c r="V3884" t="e">
        <f>IF(#REF! = "yes", 1, 0)</f>
        <v>#REF!</v>
      </c>
      <c r="W3884" t="e">
        <f>IF(#REF! &lt;= 1, "0-1 Calls", IF(#REF! &lt;= 3, "2-3 Calls", IF(#REF! &lt;=5, "4-5 Calls", "6+ Calls")))</f>
        <v>#REF!</v>
      </c>
      <c r="X3884" t="e">
        <f>IF(#REF! &lt;= 50, "0-50", IF(#REF! &lt;=100, "51-100", IF(#REF! &lt;= 150, "101-150", "151+")))</f>
        <v>#REF!</v>
      </c>
      <c r="Y3884" t="e">
        <f>IF(#REF! &lt;= 3, "Low Charges", "High Charges")</f>
        <v>#REF!</v>
      </c>
      <c r="Z3884" t="e">
        <f>IF(#REF!&lt;=80,"Low Calls",
IF(#REF!&lt;=120,"Medium Calls","High Calls"))</f>
        <v>#REF!</v>
      </c>
      <c r="AA3884" t="e">
        <f>IF(#REF!&lt;=15,"Low Charges",
IF(#REF!&lt;=20,"Medium Charges","High Charges"))</f>
        <v>#REF!</v>
      </c>
      <c r="AB3884" t="e">
        <f>IF(AND(#REF!&gt;180, #REF!&gt;200), "Heavy Doemstic User", IF(#REF!&gt;10, "Interntional User", IF(AND(#REF!&lt;180, #REF!&lt;200,#REF!&lt;200), "Light User", "Balanced User")))</f>
        <v>#REF!</v>
      </c>
      <c r="AC3884" t="e">
        <f>IF(#REF! = 0, "No Usage", IF(#REF! &lt;= 20, "Low Usage", IF(#REF! &lt;= 40, "Medium Usgae", "High Usage")))</f>
        <v>#REF!</v>
      </c>
      <c r="AD3884" t="e">
        <f>IF(#REF!&lt;=150,"Low Usage", IF(#REF!&lt;=200,"Medium Usage", IF(#REF!&lt;=250,"High Usage","Very High Usage")))</f>
        <v>#REF!</v>
      </c>
      <c r="AE3884" t="e">
        <f>IF(#REF!&lt;=5,"Low Calls", IF(#REF!&lt;=10, "Medium Calls", "High Calls"))</f>
        <v>#REF!</v>
      </c>
      <c r="AF3884" t="e">
        <f xml:space="preserve">
IF(#REF!&gt;=4,4,0)+
IF(#REF!="yes",3,0)+
IF(#REF!="High Charges",3,0)+
IF(#REF!&gt;250,4,0)+
IF(#REF!="no",1,0)+
IF(#REF!="Heavy Domestic User",2,0)</f>
        <v>#REF!</v>
      </c>
      <c r="AG3884" t="e">
        <f>IF(#REF!&gt;=10,"High Risk", IF(#REF!&gt;=5,"Medium Risk","Low Risk"))</f>
        <v>#REF!</v>
      </c>
      <c r="AH3884" t="e">
        <f>#REF! + #REF! + #REF! + #REF!</f>
        <v>#REF!</v>
      </c>
    </row>
    <row r="3885" spans="1:34" x14ac:dyDescent="0.35">
      <c r="A3885">
        <v>3884</v>
      </c>
      <c r="B3885" t="s">
        <v>43</v>
      </c>
      <c r="C3885">
        <v>137</v>
      </c>
      <c r="D3885" t="s">
        <v>28</v>
      </c>
      <c r="E3885" t="s">
        <v>22</v>
      </c>
      <c r="F3885" t="s">
        <v>22</v>
      </c>
      <c r="G3885">
        <v>0</v>
      </c>
      <c r="H3885">
        <v>109.8</v>
      </c>
      <c r="I3885">
        <v>112</v>
      </c>
      <c r="J3885">
        <v>18.670000000000002</v>
      </c>
      <c r="K3885">
        <v>223.5</v>
      </c>
      <c r="L3885">
        <v>88</v>
      </c>
      <c r="M3885">
        <v>19</v>
      </c>
      <c r="N3885">
        <v>247.5</v>
      </c>
      <c r="O3885">
        <v>96</v>
      </c>
      <c r="P3885">
        <v>11.14</v>
      </c>
      <c r="Q3885">
        <v>17.8</v>
      </c>
      <c r="R3885">
        <v>2</v>
      </c>
      <c r="S3885">
        <v>4.8099999999999996</v>
      </c>
      <c r="T3885">
        <v>1</v>
      </c>
      <c r="U3885" t="s">
        <v>22</v>
      </c>
      <c r="V3885" t="e">
        <f>IF(#REF! = "yes", 1, 0)</f>
        <v>#REF!</v>
      </c>
      <c r="W3885" t="e">
        <f>IF(#REF! &lt;= 1, "0-1 Calls", IF(#REF! &lt;= 3, "2-3 Calls", IF(#REF! &lt;=5, "4-5 Calls", "6+ Calls")))</f>
        <v>#REF!</v>
      </c>
      <c r="X3885" t="e">
        <f>IF(#REF! &lt;= 50, "0-50", IF(#REF! &lt;=100, "51-100", IF(#REF! &lt;= 150, "101-150", "151+")))</f>
        <v>#REF!</v>
      </c>
      <c r="Y3885" t="e">
        <f>IF(#REF! &lt;= 3, "Low Charges", "High Charges")</f>
        <v>#REF!</v>
      </c>
      <c r="Z3885" t="e">
        <f>IF(#REF!&lt;=80,"Low Calls",
IF(#REF!&lt;=120,"Medium Calls","High Calls"))</f>
        <v>#REF!</v>
      </c>
      <c r="AA3885" t="e">
        <f>IF(#REF!&lt;=15,"Low Charges",
IF(#REF!&lt;=20,"Medium Charges","High Charges"))</f>
        <v>#REF!</v>
      </c>
      <c r="AB3885" t="e">
        <f>IF(AND(#REF!&gt;180, #REF!&gt;200), "Heavy Doemstic User", IF(#REF!&gt;10, "Interntional User", IF(AND(#REF!&lt;180, #REF!&lt;200,#REF!&lt;200), "Light User", "Balanced User")))</f>
        <v>#REF!</v>
      </c>
      <c r="AC3885" t="e">
        <f>IF(#REF! = 0, "No Usage", IF(#REF! &lt;= 20, "Low Usage", IF(#REF! &lt;= 40, "Medium Usgae", "High Usage")))</f>
        <v>#REF!</v>
      </c>
      <c r="AD3885" t="e">
        <f>IF(#REF!&lt;=150,"Low Usage", IF(#REF!&lt;=200,"Medium Usage", IF(#REF!&lt;=250,"High Usage","Very High Usage")))</f>
        <v>#REF!</v>
      </c>
      <c r="AE3885" t="e">
        <f>IF(#REF!&lt;=5,"Low Calls", IF(#REF!&lt;=10, "Medium Calls", "High Calls"))</f>
        <v>#REF!</v>
      </c>
      <c r="AF3885" t="e">
        <f xml:space="preserve">
IF(#REF!&gt;=4,4,0)+
IF(#REF!="yes",3,0)+
IF(#REF!="High Charges",3,0)+
IF(#REF!&gt;250,4,0)+
IF(#REF!="no",1,0)+
IF(#REF!="Heavy Domestic User",2,0)</f>
        <v>#REF!</v>
      </c>
      <c r="AG3885" t="e">
        <f>IF(#REF!&gt;=10,"High Risk", IF(#REF!&gt;=5,"Medium Risk","Low Risk"))</f>
        <v>#REF!</v>
      </c>
      <c r="AH3885" t="e">
        <f>#REF! + #REF! + #REF! + #REF!</f>
        <v>#REF!</v>
      </c>
    </row>
    <row r="3886" spans="1:34" x14ac:dyDescent="0.35">
      <c r="A3886">
        <v>3885</v>
      </c>
      <c r="B3886" t="s">
        <v>50</v>
      </c>
      <c r="C3886">
        <v>87</v>
      </c>
      <c r="D3886" t="s">
        <v>28</v>
      </c>
      <c r="E3886" t="s">
        <v>22</v>
      </c>
      <c r="F3886" t="s">
        <v>22</v>
      </c>
      <c r="G3886">
        <v>0</v>
      </c>
      <c r="H3886">
        <v>120.5</v>
      </c>
      <c r="I3886">
        <v>99</v>
      </c>
      <c r="J3886">
        <v>20.49</v>
      </c>
      <c r="K3886">
        <v>210</v>
      </c>
      <c r="L3886">
        <v>81</v>
      </c>
      <c r="M3886">
        <v>17.850000000000001</v>
      </c>
      <c r="N3886">
        <v>224.7</v>
      </c>
      <c r="O3886">
        <v>141</v>
      </c>
      <c r="P3886">
        <v>10.11</v>
      </c>
      <c r="Q3886">
        <v>8.6</v>
      </c>
      <c r="R3886">
        <v>2</v>
      </c>
      <c r="S3886">
        <v>2.3199999999999998</v>
      </c>
      <c r="T3886">
        <v>2</v>
      </c>
      <c r="U3886" t="s">
        <v>22</v>
      </c>
      <c r="V3886" t="e">
        <f>IF(#REF! = "yes", 1, 0)</f>
        <v>#REF!</v>
      </c>
      <c r="W3886" t="e">
        <f>IF(#REF! &lt;= 1, "0-1 Calls", IF(#REF! &lt;= 3, "2-3 Calls", IF(#REF! &lt;=5, "4-5 Calls", "6+ Calls")))</f>
        <v>#REF!</v>
      </c>
      <c r="X3886" t="e">
        <f>IF(#REF! &lt;= 50, "0-50", IF(#REF! &lt;=100, "51-100", IF(#REF! &lt;= 150, "101-150", "151+")))</f>
        <v>#REF!</v>
      </c>
      <c r="Y3886" t="e">
        <f>IF(#REF! &lt;= 3, "Low Charges", "High Charges")</f>
        <v>#REF!</v>
      </c>
      <c r="Z3886" t="e">
        <f>IF(#REF!&lt;=80,"Low Calls",
IF(#REF!&lt;=120,"Medium Calls","High Calls"))</f>
        <v>#REF!</v>
      </c>
      <c r="AA3886" t="e">
        <f>IF(#REF!&lt;=15,"Low Charges",
IF(#REF!&lt;=20,"Medium Charges","High Charges"))</f>
        <v>#REF!</v>
      </c>
      <c r="AB3886" t="e">
        <f>IF(AND(#REF!&gt;180, #REF!&gt;200), "Heavy Doemstic User", IF(#REF!&gt;10, "Interntional User", IF(AND(#REF!&lt;180, #REF!&lt;200,#REF!&lt;200), "Light User", "Balanced User")))</f>
        <v>#REF!</v>
      </c>
      <c r="AC3886" t="e">
        <f>IF(#REF! = 0, "No Usage", IF(#REF! &lt;= 20, "Low Usage", IF(#REF! &lt;= 40, "Medium Usgae", "High Usage")))</f>
        <v>#REF!</v>
      </c>
      <c r="AD3886" t="e">
        <f>IF(#REF!&lt;=150,"Low Usage", IF(#REF!&lt;=200,"Medium Usage", IF(#REF!&lt;=250,"High Usage","Very High Usage")))</f>
        <v>#REF!</v>
      </c>
      <c r="AE3886" t="e">
        <f>IF(#REF!&lt;=5,"Low Calls", IF(#REF!&lt;=10, "Medium Calls", "High Calls"))</f>
        <v>#REF!</v>
      </c>
      <c r="AF3886" t="e">
        <f xml:space="preserve">
IF(#REF!&gt;=4,4,0)+
IF(#REF!="yes",3,0)+
IF(#REF!="High Charges",3,0)+
IF(#REF!&gt;250,4,0)+
IF(#REF!="no",1,0)+
IF(#REF!="Heavy Domestic User",2,0)</f>
        <v>#REF!</v>
      </c>
      <c r="AG3886" t="e">
        <f>IF(#REF!&gt;=10,"High Risk", IF(#REF!&gt;=5,"Medium Risk","Low Risk"))</f>
        <v>#REF!</v>
      </c>
      <c r="AH3886" t="e">
        <f>#REF! + #REF! + #REF! + #REF!</f>
        <v>#REF!</v>
      </c>
    </row>
    <row r="3887" spans="1:34" x14ac:dyDescent="0.35">
      <c r="A3887">
        <v>3886</v>
      </c>
      <c r="B3887" t="s">
        <v>31</v>
      </c>
      <c r="C3887">
        <v>131</v>
      </c>
      <c r="D3887" t="s">
        <v>28</v>
      </c>
      <c r="E3887" t="s">
        <v>22</v>
      </c>
      <c r="F3887" t="s">
        <v>22</v>
      </c>
      <c r="G3887">
        <v>0</v>
      </c>
      <c r="H3887">
        <v>256.60000000000002</v>
      </c>
      <c r="I3887">
        <v>96</v>
      </c>
      <c r="J3887">
        <v>43.62</v>
      </c>
      <c r="K3887">
        <v>225.2</v>
      </c>
      <c r="L3887">
        <v>113</v>
      </c>
      <c r="M3887">
        <v>19.14</v>
      </c>
      <c r="N3887">
        <v>190.2</v>
      </c>
      <c r="O3887">
        <v>91</v>
      </c>
      <c r="P3887">
        <v>8.56</v>
      </c>
      <c r="Q3887">
        <v>11.1</v>
      </c>
      <c r="R3887">
        <v>3</v>
      </c>
      <c r="S3887">
        <v>3</v>
      </c>
      <c r="T3887">
        <v>1</v>
      </c>
      <c r="U3887" t="s">
        <v>23</v>
      </c>
      <c r="V3887" t="e">
        <f>IF(#REF! = "yes", 1, 0)</f>
        <v>#REF!</v>
      </c>
      <c r="W3887" t="e">
        <f>IF(#REF! &lt;= 1, "0-1 Calls", IF(#REF! &lt;= 3, "2-3 Calls", IF(#REF! &lt;=5, "4-5 Calls", "6+ Calls")))</f>
        <v>#REF!</v>
      </c>
      <c r="X3887" t="e">
        <f>IF(#REF! &lt;= 50, "0-50", IF(#REF! &lt;=100, "51-100", IF(#REF! &lt;= 150, "101-150", "151+")))</f>
        <v>#REF!</v>
      </c>
      <c r="Y3887" t="e">
        <f>IF(#REF! &lt;= 3, "Low Charges", "High Charges")</f>
        <v>#REF!</v>
      </c>
      <c r="Z3887" t="e">
        <f>IF(#REF!&lt;=80,"Low Calls",
IF(#REF!&lt;=120,"Medium Calls","High Calls"))</f>
        <v>#REF!</v>
      </c>
      <c r="AA3887" t="e">
        <f>IF(#REF!&lt;=15,"Low Charges",
IF(#REF!&lt;=20,"Medium Charges","High Charges"))</f>
        <v>#REF!</v>
      </c>
      <c r="AB3887" t="e">
        <f>IF(AND(#REF!&gt;180, #REF!&gt;200), "Heavy Doemstic User", IF(#REF!&gt;10, "Interntional User", IF(AND(#REF!&lt;180, #REF!&lt;200,#REF!&lt;200), "Light User", "Balanced User")))</f>
        <v>#REF!</v>
      </c>
      <c r="AC3887" t="e">
        <f>IF(#REF! = 0, "No Usage", IF(#REF! &lt;= 20, "Low Usage", IF(#REF! &lt;= 40, "Medium Usgae", "High Usage")))</f>
        <v>#REF!</v>
      </c>
      <c r="AD3887" t="e">
        <f>IF(#REF!&lt;=150,"Low Usage", IF(#REF!&lt;=200,"Medium Usage", IF(#REF!&lt;=250,"High Usage","Very High Usage")))</f>
        <v>#REF!</v>
      </c>
      <c r="AE3887" t="e">
        <f>IF(#REF!&lt;=5,"Low Calls", IF(#REF!&lt;=10, "Medium Calls", "High Calls"))</f>
        <v>#REF!</v>
      </c>
      <c r="AF3887" t="e">
        <f xml:space="preserve">
IF(#REF!&gt;=4,4,0)+
IF(#REF!="yes",3,0)+
IF(#REF!="High Charges",3,0)+
IF(#REF!&gt;250,4,0)+
IF(#REF!="no",1,0)+
IF(#REF!="Heavy Domestic User",2,0)</f>
        <v>#REF!</v>
      </c>
      <c r="AG3887" t="e">
        <f>IF(#REF!&gt;=10,"High Risk", IF(#REF!&gt;=5,"Medium Risk","Low Risk"))</f>
        <v>#REF!</v>
      </c>
      <c r="AH3887" t="e">
        <f>#REF! + #REF! + #REF! + #REF!</f>
        <v>#REF!</v>
      </c>
    </row>
    <row r="3888" spans="1:34" x14ac:dyDescent="0.35">
      <c r="A3888">
        <v>3887</v>
      </c>
      <c r="B3888" t="s">
        <v>50</v>
      </c>
      <c r="C3888">
        <v>116</v>
      </c>
      <c r="D3888" t="s">
        <v>25</v>
      </c>
      <c r="E3888" t="s">
        <v>22</v>
      </c>
      <c r="F3888" t="s">
        <v>22</v>
      </c>
      <c r="G3888">
        <v>0</v>
      </c>
      <c r="H3888">
        <v>85.8</v>
      </c>
      <c r="I3888">
        <v>88</v>
      </c>
      <c r="J3888">
        <v>14.59</v>
      </c>
      <c r="K3888">
        <v>115.8</v>
      </c>
      <c r="L3888">
        <v>112</v>
      </c>
      <c r="M3888">
        <v>9.84</v>
      </c>
      <c r="N3888">
        <v>195.9</v>
      </c>
      <c r="O3888">
        <v>91</v>
      </c>
      <c r="P3888">
        <v>8.82</v>
      </c>
      <c r="Q3888">
        <v>11</v>
      </c>
      <c r="R3888">
        <v>2</v>
      </c>
      <c r="S3888">
        <v>2.97</v>
      </c>
      <c r="T3888">
        <v>1</v>
      </c>
      <c r="U3888" t="s">
        <v>22</v>
      </c>
      <c r="V3888" t="e">
        <f>IF(#REF! = "yes", 1, 0)</f>
        <v>#REF!</v>
      </c>
      <c r="W3888" t="e">
        <f>IF(#REF! &lt;= 1, "0-1 Calls", IF(#REF! &lt;= 3, "2-3 Calls", IF(#REF! &lt;=5, "4-5 Calls", "6+ Calls")))</f>
        <v>#REF!</v>
      </c>
      <c r="X3888" t="e">
        <f>IF(#REF! &lt;= 50, "0-50", IF(#REF! &lt;=100, "51-100", IF(#REF! &lt;= 150, "101-150", "151+")))</f>
        <v>#REF!</v>
      </c>
      <c r="Y3888" t="e">
        <f>IF(#REF! &lt;= 3, "Low Charges", "High Charges")</f>
        <v>#REF!</v>
      </c>
      <c r="Z3888" t="e">
        <f>IF(#REF!&lt;=80,"Low Calls",
IF(#REF!&lt;=120,"Medium Calls","High Calls"))</f>
        <v>#REF!</v>
      </c>
      <c r="AA3888" t="e">
        <f>IF(#REF!&lt;=15,"Low Charges",
IF(#REF!&lt;=20,"Medium Charges","High Charges"))</f>
        <v>#REF!</v>
      </c>
      <c r="AB3888" t="e">
        <f>IF(AND(#REF!&gt;180, #REF!&gt;200), "Heavy Doemstic User", IF(#REF!&gt;10, "Interntional User", IF(AND(#REF!&lt;180, #REF!&lt;200,#REF!&lt;200), "Light User", "Balanced User")))</f>
        <v>#REF!</v>
      </c>
      <c r="AC3888" t="e">
        <f>IF(#REF! = 0, "No Usage", IF(#REF! &lt;= 20, "Low Usage", IF(#REF! &lt;= 40, "Medium Usgae", "High Usage")))</f>
        <v>#REF!</v>
      </c>
      <c r="AD3888" t="e">
        <f>IF(#REF!&lt;=150,"Low Usage", IF(#REF!&lt;=200,"Medium Usage", IF(#REF!&lt;=250,"High Usage","Very High Usage")))</f>
        <v>#REF!</v>
      </c>
      <c r="AE3888" t="e">
        <f>IF(#REF!&lt;=5,"Low Calls", IF(#REF!&lt;=10, "Medium Calls", "High Calls"))</f>
        <v>#REF!</v>
      </c>
      <c r="AF3888" t="e">
        <f xml:space="preserve">
IF(#REF!&gt;=4,4,0)+
IF(#REF!="yes",3,0)+
IF(#REF!="High Charges",3,0)+
IF(#REF!&gt;250,4,0)+
IF(#REF!="no",1,0)+
IF(#REF!="Heavy Domestic User",2,0)</f>
        <v>#REF!</v>
      </c>
      <c r="AG3888" t="e">
        <f>IF(#REF!&gt;=10,"High Risk", IF(#REF!&gt;=5,"Medium Risk","Low Risk"))</f>
        <v>#REF!</v>
      </c>
      <c r="AH3888" t="e">
        <f>#REF! + #REF! + #REF! + #REF!</f>
        <v>#REF!</v>
      </c>
    </row>
    <row r="3889" spans="1:34" x14ac:dyDescent="0.35">
      <c r="A3889">
        <v>3888</v>
      </c>
      <c r="B3889" t="s">
        <v>46</v>
      </c>
      <c r="C3889">
        <v>136</v>
      </c>
      <c r="D3889" t="s">
        <v>28</v>
      </c>
      <c r="E3889" t="s">
        <v>22</v>
      </c>
      <c r="F3889" t="s">
        <v>23</v>
      </c>
      <c r="G3889">
        <v>19</v>
      </c>
      <c r="H3889">
        <v>174</v>
      </c>
      <c r="I3889">
        <v>96</v>
      </c>
      <c r="J3889">
        <v>29.58</v>
      </c>
      <c r="K3889">
        <v>217.2</v>
      </c>
      <c r="L3889">
        <v>126</v>
      </c>
      <c r="M3889">
        <v>18.46</v>
      </c>
      <c r="N3889">
        <v>220.3</v>
      </c>
      <c r="O3889">
        <v>97</v>
      </c>
      <c r="P3889">
        <v>9.91</v>
      </c>
      <c r="Q3889">
        <v>11.4</v>
      </c>
      <c r="R3889">
        <v>3</v>
      </c>
      <c r="S3889">
        <v>3.08</v>
      </c>
      <c r="T3889">
        <v>1</v>
      </c>
      <c r="U3889" t="s">
        <v>22</v>
      </c>
      <c r="V3889" t="e">
        <f>IF(#REF! = "yes", 1, 0)</f>
        <v>#REF!</v>
      </c>
      <c r="W3889" t="e">
        <f>IF(#REF! &lt;= 1, "0-1 Calls", IF(#REF! &lt;= 3, "2-3 Calls", IF(#REF! &lt;=5, "4-5 Calls", "6+ Calls")))</f>
        <v>#REF!</v>
      </c>
      <c r="X3889" t="e">
        <f>IF(#REF! &lt;= 50, "0-50", IF(#REF! &lt;=100, "51-100", IF(#REF! &lt;= 150, "101-150", "151+")))</f>
        <v>#REF!</v>
      </c>
      <c r="Y3889" t="e">
        <f>IF(#REF! &lt;= 3, "Low Charges", "High Charges")</f>
        <v>#REF!</v>
      </c>
      <c r="Z3889" t="e">
        <f>IF(#REF!&lt;=80,"Low Calls",
IF(#REF!&lt;=120,"Medium Calls","High Calls"))</f>
        <v>#REF!</v>
      </c>
      <c r="AA3889" t="e">
        <f>IF(#REF!&lt;=15,"Low Charges",
IF(#REF!&lt;=20,"Medium Charges","High Charges"))</f>
        <v>#REF!</v>
      </c>
      <c r="AB3889" t="e">
        <f>IF(AND(#REF!&gt;180, #REF!&gt;200), "Heavy Doemstic User", IF(#REF!&gt;10, "Interntional User", IF(AND(#REF!&lt;180, #REF!&lt;200,#REF!&lt;200), "Light User", "Balanced User")))</f>
        <v>#REF!</v>
      </c>
      <c r="AC3889" t="e">
        <f>IF(#REF! = 0, "No Usage", IF(#REF! &lt;= 20, "Low Usage", IF(#REF! &lt;= 40, "Medium Usgae", "High Usage")))</f>
        <v>#REF!</v>
      </c>
      <c r="AD3889" t="e">
        <f>IF(#REF!&lt;=150,"Low Usage", IF(#REF!&lt;=200,"Medium Usage", IF(#REF!&lt;=250,"High Usage","Very High Usage")))</f>
        <v>#REF!</v>
      </c>
      <c r="AE3889" t="e">
        <f>IF(#REF!&lt;=5,"Low Calls", IF(#REF!&lt;=10, "Medium Calls", "High Calls"))</f>
        <v>#REF!</v>
      </c>
      <c r="AF3889" t="e">
        <f xml:space="preserve">
IF(#REF!&gt;=4,4,0)+
IF(#REF!="yes",3,0)+
IF(#REF!="High Charges",3,0)+
IF(#REF!&gt;250,4,0)+
IF(#REF!="no",1,0)+
IF(#REF!="Heavy Domestic User",2,0)</f>
        <v>#REF!</v>
      </c>
      <c r="AG3889" t="e">
        <f>IF(#REF!&gt;=10,"High Risk", IF(#REF!&gt;=5,"Medium Risk","Low Risk"))</f>
        <v>#REF!</v>
      </c>
      <c r="AH3889" t="e">
        <f>#REF! + #REF! + #REF! + #REF!</f>
        <v>#REF!</v>
      </c>
    </row>
    <row r="3890" spans="1:34" x14ac:dyDescent="0.35">
      <c r="A3890">
        <v>3889</v>
      </c>
      <c r="B3890" t="s">
        <v>39</v>
      </c>
      <c r="C3890">
        <v>149</v>
      </c>
      <c r="D3890" t="s">
        <v>28</v>
      </c>
      <c r="E3890" t="s">
        <v>22</v>
      </c>
      <c r="F3890" t="s">
        <v>22</v>
      </c>
      <c r="G3890">
        <v>0</v>
      </c>
      <c r="H3890">
        <v>221.4</v>
      </c>
      <c r="I3890">
        <v>95</v>
      </c>
      <c r="J3890">
        <v>37.64</v>
      </c>
      <c r="K3890">
        <v>198.7</v>
      </c>
      <c r="L3890">
        <v>63</v>
      </c>
      <c r="M3890">
        <v>16.89</v>
      </c>
      <c r="N3890">
        <v>106.2</v>
      </c>
      <c r="O3890">
        <v>70</v>
      </c>
      <c r="P3890">
        <v>4.78</v>
      </c>
      <c r="Q3890">
        <v>10</v>
      </c>
      <c r="R3890">
        <v>3</v>
      </c>
      <c r="S3890">
        <v>2.7</v>
      </c>
      <c r="T3890">
        <v>1</v>
      </c>
      <c r="U3890" t="s">
        <v>22</v>
      </c>
      <c r="V3890" t="e">
        <f>IF(#REF! = "yes", 1, 0)</f>
        <v>#REF!</v>
      </c>
      <c r="W3890" t="e">
        <f>IF(#REF! &lt;= 1, "0-1 Calls", IF(#REF! &lt;= 3, "2-3 Calls", IF(#REF! &lt;=5, "4-5 Calls", "6+ Calls")))</f>
        <v>#REF!</v>
      </c>
      <c r="X3890" t="e">
        <f>IF(#REF! &lt;= 50, "0-50", IF(#REF! &lt;=100, "51-100", IF(#REF! &lt;= 150, "101-150", "151+")))</f>
        <v>#REF!</v>
      </c>
      <c r="Y3890" t="e">
        <f>IF(#REF! &lt;= 3, "Low Charges", "High Charges")</f>
        <v>#REF!</v>
      </c>
      <c r="Z3890" t="e">
        <f>IF(#REF!&lt;=80,"Low Calls",
IF(#REF!&lt;=120,"Medium Calls","High Calls"))</f>
        <v>#REF!</v>
      </c>
      <c r="AA3890" t="e">
        <f>IF(#REF!&lt;=15,"Low Charges",
IF(#REF!&lt;=20,"Medium Charges","High Charges"))</f>
        <v>#REF!</v>
      </c>
      <c r="AB3890" t="e">
        <f>IF(AND(#REF!&gt;180, #REF!&gt;200), "Heavy Doemstic User", IF(#REF!&gt;10, "Interntional User", IF(AND(#REF!&lt;180, #REF!&lt;200,#REF!&lt;200), "Light User", "Balanced User")))</f>
        <v>#REF!</v>
      </c>
      <c r="AC3890" t="e">
        <f>IF(#REF! = 0, "No Usage", IF(#REF! &lt;= 20, "Low Usage", IF(#REF! &lt;= 40, "Medium Usgae", "High Usage")))</f>
        <v>#REF!</v>
      </c>
      <c r="AD3890" t="e">
        <f>IF(#REF!&lt;=150,"Low Usage", IF(#REF!&lt;=200,"Medium Usage", IF(#REF!&lt;=250,"High Usage","Very High Usage")))</f>
        <v>#REF!</v>
      </c>
      <c r="AE3890" t="e">
        <f>IF(#REF!&lt;=5,"Low Calls", IF(#REF!&lt;=10, "Medium Calls", "High Calls"))</f>
        <v>#REF!</v>
      </c>
      <c r="AF3890" t="e">
        <f xml:space="preserve">
IF(#REF!&gt;=4,4,0)+
IF(#REF!="yes",3,0)+
IF(#REF!="High Charges",3,0)+
IF(#REF!&gt;250,4,0)+
IF(#REF!="no",1,0)+
IF(#REF!="Heavy Domestic User",2,0)</f>
        <v>#REF!</v>
      </c>
      <c r="AG3890" t="e">
        <f>IF(#REF!&gt;=10,"High Risk", IF(#REF!&gt;=5,"Medium Risk","Low Risk"))</f>
        <v>#REF!</v>
      </c>
      <c r="AH3890" t="e">
        <f>#REF! + #REF! + #REF! + #REF!</f>
        <v>#REF!</v>
      </c>
    </row>
    <row r="3891" spans="1:34" x14ac:dyDescent="0.35">
      <c r="A3891">
        <v>3890</v>
      </c>
      <c r="B3891" t="s">
        <v>39</v>
      </c>
      <c r="C3891">
        <v>108</v>
      </c>
      <c r="D3891" t="s">
        <v>21</v>
      </c>
      <c r="E3891" t="s">
        <v>22</v>
      </c>
      <c r="F3891" t="s">
        <v>22</v>
      </c>
      <c r="G3891">
        <v>0</v>
      </c>
      <c r="H3891">
        <v>133.1</v>
      </c>
      <c r="I3891">
        <v>52</v>
      </c>
      <c r="J3891">
        <v>22.63</v>
      </c>
      <c r="K3891">
        <v>256.3</v>
      </c>
      <c r="L3891">
        <v>103</v>
      </c>
      <c r="M3891">
        <v>21.79</v>
      </c>
      <c r="N3891">
        <v>247.2</v>
      </c>
      <c r="O3891">
        <v>118</v>
      </c>
      <c r="P3891">
        <v>11.12</v>
      </c>
      <c r="Q3891">
        <v>11.9</v>
      </c>
      <c r="R3891">
        <v>3</v>
      </c>
      <c r="S3891">
        <v>3.21</v>
      </c>
      <c r="T3891">
        <v>3</v>
      </c>
      <c r="U3891" t="s">
        <v>22</v>
      </c>
      <c r="V3891" t="e">
        <f>IF(#REF! = "yes", 1, 0)</f>
        <v>#REF!</v>
      </c>
      <c r="W3891" t="e">
        <f>IF(#REF! &lt;= 1, "0-1 Calls", IF(#REF! &lt;= 3, "2-3 Calls", IF(#REF! &lt;=5, "4-5 Calls", "6+ Calls")))</f>
        <v>#REF!</v>
      </c>
      <c r="X3891" t="e">
        <f>IF(#REF! &lt;= 50, "0-50", IF(#REF! &lt;=100, "51-100", IF(#REF! &lt;= 150, "101-150", "151+")))</f>
        <v>#REF!</v>
      </c>
      <c r="Y3891" t="e">
        <f>IF(#REF! &lt;= 3, "Low Charges", "High Charges")</f>
        <v>#REF!</v>
      </c>
      <c r="Z3891" t="e">
        <f>IF(#REF!&lt;=80,"Low Calls",
IF(#REF!&lt;=120,"Medium Calls","High Calls"))</f>
        <v>#REF!</v>
      </c>
      <c r="AA3891" t="e">
        <f>IF(#REF!&lt;=15,"Low Charges",
IF(#REF!&lt;=20,"Medium Charges","High Charges"))</f>
        <v>#REF!</v>
      </c>
      <c r="AB3891" t="e">
        <f>IF(AND(#REF!&gt;180, #REF!&gt;200), "Heavy Doemstic User", IF(#REF!&gt;10, "Interntional User", IF(AND(#REF!&lt;180, #REF!&lt;200,#REF!&lt;200), "Light User", "Balanced User")))</f>
        <v>#REF!</v>
      </c>
      <c r="AC3891" t="e">
        <f>IF(#REF! = 0, "No Usage", IF(#REF! &lt;= 20, "Low Usage", IF(#REF! &lt;= 40, "Medium Usgae", "High Usage")))</f>
        <v>#REF!</v>
      </c>
      <c r="AD3891" t="e">
        <f>IF(#REF!&lt;=150,"Low Usage", IF(#REF!&lt;=200,"Medium Usage", IF(#REF!&lt;=250,"High Usage","Very High Usage")))</f>
        <v>#REF!</v>
      </c>
      <c r="AE3891" t="e">
        <f>IF(#REF!&lt;=5,"Low Calls", IF(#REF!&lt;=10, "Medium Calls", "High Calls"))</f>
        <v>#REF!</v>
      </c>
      <c r="AF3891" t="e">
        <f xml:space="preserve">
IF(#REF!&gt;=4,4,0)+
IF(#REF!="yes",3,0)+
IF(#REF!="High Charges",3,0)+
IF(#REF!&gt;250,4,0)+
IF(#REF!="no",1,0)+
IF(#REF!="Heavy Domestic User",2,0)</f>
        <v>#REF!</v>
      </c>
      <c r="AG3891" t="e">
        <f>IF(#REF!&gt;=10,"High Risk", IF(#REF!&gt;=5,"Medium Risk","Low Risk"))</f>
        <v>#REF!</v>
      </c>
      <c r="AH3891" t="e">
        <f>#REF! + #REF! + #REF! + #REF!</f>
        <v>#REF!</v>
      </c>
    </row>
    <row r="3892" spans="1:34" x14ac:dyDescent="0.35">
      <c r="A3892">
        <v>3891</v>
      </c>
      <c r="B3892" t="s">
        <v>73</v>
      </c>
      <c r="C3892">
        <v>25</v>
      </c>
      <c r="D3892" t="s">
        <v>21</v>
      </c>
      <c r="E3892" t="s">
        <v>22</v>
      </c>
      <c r="F3892" t="s">
        <v>22</v>
      </c>
      <c r="G3892">
        <v>0</v>
      </c>
      <c r="H3892">
        <v>195.2</v>
      </c>
      <c r="I3892">
        <v>77</v>
      </c>
      <c r="J3892">
        <v>33.18</v>
      </c>
      <c r="K3892">
        <v>193.4</v>
      </c>
      <c r="L3892">
        <v>81</v>
      </c>
      <c r="M3892">
        <v>16.440000000000001</v>
      </c>
      <c r="N3892">
        <v>231.8</v>
      </c>
      <c r="O3892">
        <v>59</v>
      </c>
      <c r="P3892">
        <v>10.43</v>
      </c>
      <c r="Q3892">
        <v>12.2</v>
      </c>
      <c r="R3892">
        <v>4</v>
      </c>
      <c r="S3892">
        <v>3.29</v>
      </c>
      <c r="T3892">
        <v>2</v>
      </c>
      <c r="U3892" t="s">
        <v>22</v>
      </c>
      <c r="V3892" t="e">
        <f>IF(#REF! = "yes", 1, 0)</f>
        <v>#REF!</v>
      </c>
      <c r="W3892" t="e">
        <f>IF(#REF! &lt;= 1, "0-1 Calls", IF(#REF! &lt;= 3, "2-3 Calls", IF(#REF! &lt;=5, "4-5 Calls", "6+ Calls")))</f>
        <v>#REF!</v>
      </c>
      <c r="X3892" t="e">
        <f>IF(#REF! &lt;= 50, "0-50", IF(#REF! &lt;=100, "51-100", IF(#REF! &lt;= 150, "101-150", "151+")))</f>
        <v>#REF!</v>
      </c>
      <c r="Y3892" t="e">
        <f>IF(#REF! &lt;= 3, "Low Charges", "High Charges")</f>
        <v>#REF!</v>
      </c>
      <c r="Z3892" t="e">
        <f>IF(#REF!&lt;=80,"Low Calls",
IF(#REF!&lt;=120,"Medium Calls","High Calls"))</f>
        <v>#REF!</v>
      </c>
      <c r="AA3892" t="e">
        <f>IF(#REF!&lt;=15,"Low Charges",
IF(#REF!&lt;=20,"Medium Charges","High Charges"))</f>
        <v>#REF!</v>
      </c>
      <c r="AB3892" t="e">
        <f>IF(AND(#REF!&gt;180, #REF!&gt;200), "Heavy Doemstic User", IF(#REF!&gt;10, "Interntional User", IF(AND(#REF!&lt;180, #REF!&lt;200,#REF!&lt;200), "Light User", "Balanced User")))</f>
        <v>#REF!</v>
      </c>
      <c r="AC3892" t="e">
        <f>IF(#REF! = 0, "No Usage", IF(#REF! &lt;= 20, "Low Usage", IF(#REF! &lt;= 40, "Medium Usgae", "High Usage")))</f>
        <v>#REF!</v>
      </c>
      <c r="AD3892" t="e">
        <f>IF(#REF!&lt;=150,"Low Usage", IF(#REF!&lt;=200,"Medium Usage", IF(#REF!&lt;=250,"High Usage","Very High Usage")))</f>
        <v>#REF!</v>
      </c>
      <c r="AE3892" t="e">
        <f>IF(#REF!&lt;=5,"Low Calls", IF(#REF!&lt;=10, "Medium Calls", "High Calls"))</f>
        <v>#REF!</v>
      </c>
      <c r="AF3892" t="e">
        <f xml:space="preserve">
IF(#REF!&gt;=4,4,0)+
IF(#REF!="yes",3,0)+
IF(#REF!="High Charges",3,0)+
IF(#REF!&gt;250,4,0)+
IF(#REF!="no",1,0)+
IF(#REF!="Heavy Domestic User",2,0)</f>
        <v>#REF!</v>
      </c>
      <c r="AG3892" t="e">
        <f>IF(#REF!&gt;=10,"High Risk", IF(#REF!&gt;=5,"Medium Risk","Low Risk"))</f>
        <v>#REF!</v>
      </c>
      <c r="AH3892" t="e">
        <f>#REF! + #REF! + #REF! + #REF!</f>
        <v>#REF!</v>
      </c>
    </row>
    <row r="3893" spans="1:34" x14ac:dyDescent="0.35">
      <c r="A3893">
        <v>3892</v>
      </c>
      <c r="B3893" t="s">
        <v>66</v>
      </c>
      <c r="C3893">
        <v>104</v>
      </c>
      <c r="D3893" t="s">
        <v>21</v>
      </c>
      <c r="E3893" t="s">
        <v>22</v>
      </c>
      <c r="F3893" t="s">
        <v>22</v>
      </c>
      <c r="G3893">
        <v>0</v>
      </c>
      <c r="H3893">
        <v>246.4</v>
      </c>
      <c r="I3893">
        <v>108</v>
      </c>
      <c r="J3893">
        <v>41.89</v>
      </c>
      <c r="K3893">
        <v>205.5</v>
      </c>
      <c r="L3893">
        <v>102</v>
      </c>
      <c r="M3893">
        <v>17.47</v>
      </c>
      <c r="N3893">
        <v>208.1</v>
      </c>
      <c r="O3893">
        <v>125</v>
      </c>
      <c r="P3893">
        <v>9.36</v>
      </c>
      <c r="Q3893">
        <v>14.1</v>
      </c>
      <c r="R3893">
        <v>8</v>
      </c>
      <c r="S3893">
        <v>3.81</v>
      </c>
      <c r="T3893">
        <v>2</v>
      </c>
      <c r="U3893" t="s">
        <v>22</v>
      </c>
      <c r="V3893" t="e">
        <f>IF(#REF! = "yes", 1, 0)</f>
        <v>#REF!</v>
      </c>
      <c r="W3893" t="e">
        <f>IF(#REF! &lt;= 1, "0-1 Calls", IF(#REF! &lt;= 3, "2-3 Calls", IF(#REF! &lt;=5, "4-5 Calls", "6+ Calls")))</f>
        <v>#REF!</v>
      </c>
      <c r="X3893" t="e">
        <f>IF(#REF! &lt;= 50, "0-50", IF(#REF! &lt;=100, "51-100", IF(#REF! &lt;= 150, "101-150", "151+")))</f>
        <v>#REF!</v>
      </c>
      <c r="Y3893" t="e">
        <f>IF(#REF! &lt;= 3, "Low Charges", "High Charges")</f>
        <v>#REF!</v>
      </c>
      <c r="Z3893" t="e">
        <f>IF(#REF!&lt;=80,"Low Calls",
IF(#REF!&lt;=120,"Medium Calls","High Calls"))</f>
        <v>#REF!</v>
      </c>
      <c r="AA3893" t="e">
        <f>IF(#REF!&lt;=15,"Low Charges",
IF(#REF!&lt;=20,"Medium Charges","High Charges"))</f>
        <v>#REF!</v>
      </c>
      <c r="AB3893" t="e">
        <f>IF(AND(#REF!&gt;180, #REF!&gt;200), "Heavy Doemstic User", IF(#REF!&gt;10, "Interntional User", IF(AND(#REF!&lt;180, #REF!&lt;200,#REF!&lt;200), "Light User", "Balanced User")))</f>
        <v>#REF!</v>
      </c>
      <c r="AC3893" t="e">
        <f>IF(#REF! = 0, "No Usage", IF(#REF! &lt;= 20, "Low Usage", IF(#REF! &lt;= 40, "Medium Usgae", "High Usage")))</f>
        <v>#REF!</v>
      </c>
      <c r="AD3893" t="e">
        <f>IF(#REF!&lt;=150,"Low Usage", IF(#REF!&lt;=200,"Medium Usage", IF(#REF!&lt;=250,"High Usage","Very High Usage")))</f>
        <v>#REF!</v>
      </c>
      <c r="AE3893" t="e">
        <f>IF(#REF!&lt;=5,"Low Calls", IF(#REF!&lt;=10, "Medium Calls", "High Calls"))</f>
        <v>#REF!</v>
      </c>
      <c r="AF3893" t="e">
        <f xml:space="preserve">
IF(#REF!&gt;=4,4,0)+
IF(#REF!="yes",3,0)+
IF(#REF!="High Charges",3,0)+
IF(#REF!&gt;250,4,0)+
IF(#REF!="no",1,0)+
IF(#REF!="Heavy Domestic User",2,0)</f>
        <v>#REF!</v>
      </c>
      <c r="AG3893" t="e">
        <f>IF(#REF!&gt;=10,"High Risk", IF(#REF!&gt;=5,"Medium Risk","Low Risk"))</f>
        <v>#REF!</v>
      </c>
      <c r="AH3893" t="e">
        <f>#REF! + #REF! + #REF! + #REF!</f>
        <v>#REF!</v>
      </c>
    </row>
    <row r="3894" spans="1:34" x14ac:dyDescent="0.35">
      <c r="A3894">
        <v>3893</v>
      </c>
      <c r="B3894" t="s">
        <v>44</v>
      </c>
      <c r="C3894">
        <v>25</v>
      </c>
      <c r="D3894" t="s">
        <v>25</v>
      </c>
      <c r="E3894" t="s">
        <v>22</v>
      </c>
      <c r="F3894" t="s">
        <v>22</v>
      </c>
      <c r="G3894">
        <v>0</v>
      </c>
      <c r="H3894">
        <v>199.2</v>
      </c>
      <c r="I3894">
        <v>80</v>
      </c>
      <c r="J3894">
        <v>33.86</v>
      </c>
      <c r="K3894">
        <v>123.2</v>
      </c>
      <c r="L3894">
        <v>84</v>
      </c>
      <c r="M3894">
        <v>10.47</v>
      </c>
      <c r="N3894">
        <v>82.3</v>
      </c>
      <c r="O3894">
        <v>77</v>
      </c>
      <c r="P3894">
        <v>3.7</v>
      </c>
      <c r="Q3894">
        <v>9.6</v>
      </c>
      <c r="R3894">
        <v>4</v>
      </c>
      <c r="S3894">
        <v>2.59</v>
      </c>
      <c r="T3894">
        <v>2</v>
      </c>
      <c r="U3894" t="s">
        <v>22</v>
      </c>
      <c r="V3894" t="e">
        <f>IF(#REF! = "yes", 1, 0)</f>
        <v>#REF!</v>
      </c>
      <c r="W3894" t="e">
        <f>IF(#REF! &lt;= 1, "0-1 Calls", IF(#REF! &lt;= 3, "2-3 Calls", IF(#REF! &lt;=5, "4-5 Calls", "6+ Calls")))</f>
        <v>#REF!</v>
      </c>
      <c r="X3894" t="e">
        <f>IF(#REF! &lt;= 50, "0-50", IF(#REF! &lt;=100, "51-100", IF(#REF! &lt;= 150, "101-150", "151+")))</f>
        <v>#REF!</v>
      </c>
      <c r="Y3894" t="e">
        <f>IF(#REF! &lt;= 3, "Low Charges", "High Charges")</f>
        <v>#REF!</v>
      </c>
      <c r="Z3894" t="e">
        <f>IF(#REF!&lt;=80,"Low Calls",
IF(#REF!&lt;=120,"Medium Calls","High Calls"))</f>
        <v>#REF!</v>
      </c>
      <c r="AA3894" t="e">
        <f>IF(#REF!&lt;=15,"Low Charges",
IF(#REF!&lt;=20,"Medium Charges","High Charges"))</f>
        <v>#REF!</v>
      </c>
      <c r="AB3894" t="e">
        <f>IF(AND(#REF!&gt;180, #REF!&gt;200), "Heavy Doemstic User", IF(#REF!&gt;10, "Interntional User", IF(AND(#REF!&lt;180, #REF!&lt;200,#REF!&lt;200), "Light User", "Balanced User")))</f>
        <v>#REF!</v>
      </c>
      <c r="AC3894" t="e">
        <f>IF(#REF! = 0, "No Usage", IF(#REF! &lt;= 20, "Low Usage", IF(#REF! &lt;= 40, "Medium Usgae", "High Usage")))</f>
        <v>#REF!</v>
      </c>
      <c r="AD3894" t="e">
        <f>IF(#REF!&lt;=150,"Low Usage", IF(#REF!&lt;=200,"Medium Usage", IF(#REF!&lt;=250,"High Usage","Very High Usage")))</f>
        <v>#REF!</v>
      </c>
      <c r="AE3894" t="e">
        <f>IF(#REF!&lt;=5,"Low Calls", IF(#REF!&lt;=10, "Medium Calls", "High Calls"))</f>
        <v>#REF!</v>
      </c>
      <c r="AF3894" t="e">
        <f xml:space="preserve">
IF(#REF!&gt;=4,4,0)+
IF(#REF!="yes",3,0)+
IF(#REF!="High Charges",3,0)+
IF(#REF!&gt;250,4,0)+
IF(#REF!="no",1,0)+
IF(#REF!="Heavy Domestic User",2,0)</f>
        <v>#REF!</v>
      </c>
      <c r="AG3894" t="e">
        <f>IF(#REF!&gt;=10,"High Risk", IF(#REF!&gt;=5,"Medium Risk","Low Risk"))</f>
        <v>#REF!</v>
      </c>
      <c r="AH3894" t="e">
        <f>#REF! + #REF! + #REF! + #REF!</f>
        <v>#REF!</v>
      </c>
    </row>
    <row r="3895" spans="1:34" x14ac:dyDescent="0.35">
      <c r="A3895">
        <v>3894</v>
      </c>
      <c r="B3895" t="s">
        <v>65</v>
      </c>
      <c r="C3895">
        <v>140</v>
      </c>
      <c r="D3895" t="s">
        <v>25</v>
      </c>
      <c r="E3895" t="s">
        <v>22</v>
      </c>
      <c r="F3895" t="s">
        <v>23</v>
      </c>
      <c r="G3895">
        <v>24</v>
      </c>
      <c r="H3895">
        <v>235.4</v>
      </c>
      <c r="I3895">
        <v>92</v>
      </c>
      <c r="J3895">
        <v>40.020000000000003</v>
      </c>
      <c r="K3895">
        <v>160.9</v>
      </c>
      <c r="L3895">
        <v>71</v>
      </c>
      <c r="M3895">
        <v>13.68</v>
      </c>
      <c r="N3895">
        <v>211.9</v>
      </c>
      <c r="O3895">
        <v>99</v>
      </c>
      <c r="P3895">
        <v>9.5399999999999991</v>
      </c>
      <c r="Q3895">
        <v>8.9</v>
      </c>
      <c r="R3895">
        <v>2</v>
      </c>
      <c r="S3895">
        <v>2.4</v>
      </c>
      <c r="T3895">
        <v>3</v>
      </c>
      <c r="U3895" t="s">
        <v>22</v>
      </c>
      <c r="V3895" t="e">
        <f>IF(#REF! = "yes", 1, 0)</f>
        <v>#REF!</v>
      </c>
      <c r="W3895" t="e">
        <f>IF(#REF! &lt;= 1, "0-1 Calls", IF(#REF! &lt;= 3, "2-3 Calls", IF(#REF! &lt;=5, "4-5 Calls", "6+ Calls")))</f>
        <v>#REF!</v>
      </c>
      <c r="X3895" t="e">
        <f>IF(#REF! &lt;= 50, "0-50", IF(#REF! &lt;=100, "51-100", IF(#REF! &lt;= 150, "101-150", "151+")))</f>
        <v>#REF!</v>
      </c>
      <c r="Y3895" t="e">
        <f>IF(#REF! &lt;= 3, "Low Charges", "High Charges")</f>
        <v>#REF!</v>
      </c>
      <c r="Z3895" t="e">
        <f>IF(#REF!&lt;=80,"Low Calls",
IF(#REF!&lt;=120,"Medium Calls","High Calls"))</f>
        <v>#REF!</v>
      </c>
      <c r="AA3895" t="e">
        <f>IF(#REF!&lt;=15,"Low Charges",
IF(#REF!&lt;=20,"Medium Charges","High Charges"))</f>
        <v>#REF!</v>
      </c>
      <c r="AB3895" t="e">
        <f>IF(AND(#REF!&gt;180, #REF!&gt;200), "Heavy Doemstic User", IF(#REF!&gt;10, "Interntional User", IF(AND(#REF!&lt;180, #REF!&lt;200,#REF!&lt;200), "Light User", "Balanced User")))</f>
        <v>#REF!</v>
      </c>
      <c r="AC3895" t="e">
        <f>IF(#REF! = 0, "No Usage", IF(#REF! &lt;= 20, "Low Usage", IF(#REF! &lt;= 40, "Medium Usgae", "High Usage")))</f>
        <v>#REF!</v>
      </c>
      <c r="AD3895" t="e">
        <f>IF(#REF!&lt;=150,"Low Usage", IF(#REF!&lt;=200,"Medium Usage", IF(#REF!&lt;=250,"High Usage","Very High Usage")))</f>
        <v>#REF!</v>
      </c>
      <c r="AE3895" t="e">
        <f>IF(#REF!&lt;=5,"Low Calls", IF(#REF!&lt;=10, "Medium Calls", "High Calls"))</f>
        <v>#REF!</v>
      </c>
      <c r="AF3895" t="e">
        <f xml:space="preserve">
IF(#REF!&gt;=4,4,0)+
IF(#REF!="yes",3,0)+
IF(#REF!="High Charges",3,0)+
IF(#REF!&gt;250,4,0)+
IF(#REF!="no",1,0)+
IF(#REF!="Heavy Domestic User",2,0)</f>
        <v>#REF!</v>
      </c>
      <c r="AG3895" t="e">
        <f>IF(#REF!&gt;=10,"High Risk", IF(#REF!&gt;=5,"Medium Risk","Low Risk"))</f>
        <v>#REF!</v>
      </c>
      <c r="AH3895" t="e">
        <f>#REF! + #REF! + #REF! + #REF!</f>
        <v>#REF!</v>
      </c>
    </row>
    <row r="3896" spans="1:34" x14ac:dyDescent="0.35">
      <c r="A3896">
        <v>3895</v>
      </c>
      <c r="B3896" t="s">
        <v>33</v>
      </c>
      <c r="C3896">
        <v>106</v>
      </c>
      <c r="D3896" t="s">
        <v>21</v>
      </c>
      <c r="E3896" t="s">
        <v>22</v>
      </c>
      <c r="F3896" t="s">
        <v>22</v>
      </c>
      <c r="G3896">
        <v>0</v>
      </c>
      <c r="H3896">
        <v>155.9</v>
      </c>
      <c r="I3896">
        <v>90</v>
      </c>
      <c r="J3896">
        <v>26.5</v>
      </c>
      <c r="K3896">
        <v>198</v>
      </c>
      <c r="L3896">
        <v>101</v>
      </c>
      <c r="M3896">
        <v>16.829999999999998</v>
      </c>
      <c r="N3896">
        <v>189.1</v>
      </c>
      <c r="O3896">
        <v>95</v>
      </c>
      <c r="P3896">
        <v>8.51</v>
      </c>
      <c r="Q3896">
        <v>8</v>
      </c>
      <c r="R3896">
        <v>2</v>
      </c>
      <c r="S3896">
        <v>2.16</v>
      </c>
      <c r="T3896">
        <v>2</v>
      </c>
      <c r="U3896" t="s">
        <v>22</v>
      </c>
      <c r="V3896" t="e">
        <f>IF(#REF! = "yes", 1, 0)</f>
        <v>#REF!</v>
      </c>
      <c r="W3896" t="e">
        <f>IF(#REF! &lt;= 1, "0-1 Calls", IF(#REF! &lt;= 3, "2-3 Calls", IF(#REF! &lt;=5, "4-5 Calls", "6+ Calls")))</f>
        <v>#REF!</v>
      </c>
      <c r="X3896" t="e">
        <f>IF(#REF! &lt;= 50, "0-50", IF(#REF! &lt;=100, "51-100", IF(#REF! &lt;= 150, "101-150", "151+")))</f>
        <v>#REF!</v>
      </c>
      <c r="Y3896" t="e">
        <f>IF(#REF! &lt;= 3, "Low Charges", "High Charges")</f>
        <v>#REF!</v>
      </c>
      <c r="Z3896" t="e">
        <f>IF(#REF!&lt;=80,"Low Calls",
IF(#REF!&lt;=120,"Medium Calls","High Calls"))</f>
        <v>#REF!</v>
      </c>
      <c r="AA3896" t="e">
        <f>IF(#REF!&lt;=15,"Low Charges",
IF(#REF!&lt;=20,"Medium Charges","High Charges"))</f>
        <v>#REF!</v>
      </c>
      <c r="AB3896" t="e">
        <f>IF(AND(#REF!&gt;180, #REF!&gt;200), "Heavy Doemstic User", IF(#REF!&gt;10, "Interntional User", IF(AND(#REF!&lt;180, #REF!&lt;200,#REF!&lt;200), "Light User", "Balanced User")))</f>
        <v>#REF!</v>
      </c>
      <c r="AC3896" t="e">
        <f>IF(#REF! = 0, "No Usage", IF(#REF! &lt;= 20, "Low Usage", IF(#REF! &lt;= 40, "Medium Usgae", "High Usage")))</f>
        <v>#REF!</v>
      </c>
      <c r="AD3896" t="e">
        <f>IF(#REF!&lt;=150,"Low Usage", IF(#REF!&lt;=200,"Medium Usage", IF(#REF!&lt;=250,"High Usage","Very High Usage")))</f>
        <v>#REF!</v>
      </c>
      <c r="AE3896" t="e">
        <f>IF(#REF!&lt;=5,"Low Calls", IF(#REF!&lt;=10, "Medium Calls", "High Calls"))</f>
        <v>#REF!</v>
      </c>
      <c r="AF3896" t="e">
        <f xml:space="preserve">
IF(#REF!&gt;=4,4,0)+
IF(#REF!="yes",3,0)+
IF(#REF!="High Charges",3,0)+
IF(#REF!&gt;250,4,0)+
IF(#REF!="no",1,0)+
IF(#REF!="Heavy Domestic User",2,0)</f>
        <v>#REF!</v>
      </c>
      <c r="AG3896" t="e">
        <f>IF(#REF!&gt;=10,"High Risk", IF(#REF!&gt;=5,"Medium Risk","Low Risk"))</f>
        <v>#REF!</v>
      </c>
      <c r="AH3896" t="e">
        <f>#REF! + #REF! + #REF! + #REF!</f>
        <v>#REF!</v>
      </c>
    </row>
    <row r="3897" spans="1:34" x14ac:dyDescent="0.35">
      <c r="A3897">
        <v>3896</v>
      </c>
      <c r="B3897" t="s">
        <v>30</v>
      </c>
      <c r="C3897">
        <v>81</v>
      </c>
      <c r="D3897" t="s">
        <v>21</v>
      </c>
      <c r="E3897" t="s">
        <v>22</v>
      </c>
      <c r="F3897" t="s">
        <v>23</v>
      </c>
      <c r="G3897">
        <v>43</v>
      </c>
      <c r="H3897">
        <v>102.4</v>
      </c>
      <c r="I3897">
        <v>102</v>
      </c>
      <c r="J3897">
        <v>17.41</v>
      </c>
      <c r="K3897">
        <v>225.3</v>
      </c>
      <c r="L3897">
        <v>104</v>
      </c>
      <c r="M3897">
        <v>19.149999999999999</v>
      </c>
      <c r="N3897">
        <v>182.3</v>
      </c>
      <c r="O3897">
        <v>97</v>
      </c>
      <c r="P3897">
        <v>8.1999999999999993</v>
      </c>
      <c r="Q3897">
        <v>7.1</v>
      </c>
      <c r="R3897">
        <v>5</v>
      </c>
      <c r="S3897">
        <v>1.92</v>
      </c>
      <c r="T3897">
        <v>2</v>
      </c>
      <c r="U3897" t="s">
        <v>22</v>
      </c>
      <c r="V3897" t="e">
        <f>IF(#REF! = "yes", 1, 0)</f>
        <v>#REF!</v>
      </c>
      <c r="W3897" t="e">
        <f>IF(#REF! &lt;= 1, "0-1 Calls", IF(#REF! &lt;= 3, "2-3 Calls", IF(#REF! &lt;=5, "4-5 Calls", "6+ Calls")))</f>
        <v>#REF!</v>
      </c>
      <c r="X3897" t="e">
        <f>IF(#REF! &lt;= 50, "0-50", IF(#REF! &lt;=100, "51-100", IF(#REF! &lt;= 150, "101-150", "151+")))</f>
        <v>#REF!</v>
      </c>
      <c r="Y3897" t="e">
        <f>IF(#REF! &lt;= 3, "Low Charges", "High Charges")</f>
        <v>#REF!</v>
      </c>
      <c r="Z3897" t="e">
        <f>IF(#REF!&lt;=80,"Low Calls",
IF(#REF!&lt;=120,"Medium Calls","High Calls"))</f>
        <v>#REF!</v>
      </c>
      <c r="AA3897" t="e">
        <f>IF(#REF!&lt;=15,"Low Charges",
IF(#REF!&lt;=20,"Medium Charges","High Charges"))</f>
        <v>#REF!</v>
      </c>
      <c r="AB3897" t="e">
        <f>IF(AND(#REF!&gt;180, #REF!&gt;200), "Heavy Doemstic User", IF(#REF!&gt;10, "Interntional User", IF(AND(#REF!&lt;180, #REF!&lt;200,#REF!&lt;200), "Light User", "Balanced User")))</f>
        <v>#REF!</v>
      </c>
      <c r="AC3897" t="e">
        <f>IF(#REF! = 0, "No Usage", IF(#REF! &lt;= 20, "Low Usage", IF(#REF! &lt;= 40, "Medium Usgae", "High Usage")))</f>
        <v>#REF!</v>
      </c>
      <c r="AD3897" t="e">
        <f>IF(#REF!&lt;=150,"Low Usage", IF(#REF!&lt;=200,"Medium Usage", IF(#REF!&lt;=250,"High Usage","Very High Usage")))</f>
        <v>#REF!</v>
      </c>
      <c r="AE3897" t="e">
        <f>IF(#REF!&lt;=5,"Low Calls", IF(#REF!&lt;=10, "Medium Calls", "High Calls"))</f>
        <v>#REF!</v>
      </c>
      <c r="AF3897" t="e">
        <f xml:space="preserve">
IF(#REF!&gt;=4,4,0)+
IF(#REF!="yes",3,0)+
IF(#REF!="High Charges",3,0)+
IF(#REF!&gt;250,4,0)+
IF(#REF!="no",1,0)+
IF(#REF!="Heavy Domestic User",2,0)</f>
        <v>#REF!</v>
      </c>
      <c r="AG3897" t="e">
        <f>IF(#REF!&gt;=10,"High Risk", IF(#REF!&gt;=5,"Medium Risk","Low Risk"))</f>
        <v>#REF!</v>
      </c>
      <c r="AH3897" t="e">
        <f>#REF! + #REF! + #REF! + #REF!</f>
        <v>#REF!</v>
      </c>
    </row>
    <row r="3898" spans="1:34" x14ac:dyDescent="0.35">
      <c r="A3898">
        <v>3897</v>
      </c>
      <c r="B3898" t="s">
        <v>65</v>
      </c>
      <c r="C3898">
        <v>77</v>
      </c>
      <c r="D3898" t="s">
        <v>21</v>
      </c>
      <c r="E3898" t="s">
        <v>22</v>
      </c>
      <c r="F3898" t="s">
        <v>23</v>
      </c>
      <c r="G3898">
        <v>32</v>
      </c>
      <c r="H3898">
        <v>192.2</v>
      </c>
      <c r="I3898">
        <v>101</v>
      </c>
      <c r="J3898">
        <v>32.67</v>
      </c>
      <c r="K3898">
        <v>165.4</v>
      </c>
      <c r="L3898">
        <v>84</v>
      </c>
      <c r="M3898">
        <v>14.06</v>
      </c>
      <c r="N3898">
        <v>230.2</v>
      </c>
      <c r="O3898">
        <v>129</v>
      </c>
      <c r="P3898">
        <v>10.36</v>
      </c>
      <c r="Q3898">
        <v>8</v>
      </c>
      <c r="R3898">
        <v>6</v>
      </c>
      <c r="S3898">
        <v>2.16</v>
      </c>
      <c r="T3898">
        <v>1</v>
      </c>
      <c r="U3898" t="s">
        <v>22</v>
      </c>
      <c r="V3898" t="e">
        <f>IF(#REF! = "yes", 1, 0)</f>
        <v>#REF!</v>
      </c>
      <c r="W3898" t="e">
        <f>IF(#REF! &lt;= 1, "0-1 Calls", IF(#REF! &lt;= 3, "2-3 Calls", IF(#REF! &lt;=5, "4-5 Calls", "6+ Calls")))</f>
        <v>#REF!</v>
      </c>
      <c r="X3898" t="e">
        <f>IF(#REF! &lt;= 50, "0-50", IF(#REF! &lt;=100, "51-100", IF(#REF! &lt;= 150, "101-150", "151+")))</f>
        <v>#REF!</v>
      </c>
      <c r="Y3898" t="e">
        <f>IF(#REF! &lt;= 3, "Low Charges", "High Charges")</f>
        <v>#REF!</v>
      </c>
      <c r="Z3898" t="e">
        <f>IF(#REF!&lt;=80,"Low Calls",
IF(#REF!&lt;=120,"Medium Calls","High Calls"))</f>
        <v>#REF!</v>
      </c>
      <c r="AA3898" t="e">
        <f>IF(#REF!&lt;=15,"Low Charges",
IF(#REF!&lt;=20,"Medium Charges","High Charges"))</f>
        <v>#REF!</v>
      </c>
      <c r="AB3898" t="e">
        <f>IF(AND(#REF!&gt;180, #REF!&gt;200), "Heavy Doemstic User", IF(#REF!&gt;10, "Interntional User", IF(AND(#REF!&lt;180, #REF!&lt;200,#REF!&lt;200), "Light User", "Balanced User")))</f>
        <v>#REF!</v>
      </c>
      <c r="AC3898" t="e">
        <f>IF(#REF! = 0, "No Usage", IF(#REF! &lt;= 20, "Low Usage", IF(#REF! &lt;= 40, "Medium Usgae", "High Usage")))</f>
        <v>#REF!</v>
      </c>
      <c r="AD3898" t="e">
        <f>IF(#REF!&lt;=150,"Low Usage", IF(#REF!&lt;=200,"Medium Usage", IF(#REF!&lt;=250,"High Usage","Very High Usage")))</f>
        <v>#REF!</v>
      </c>
      <c r="AE3898" t="e">
        <f>IF(#REF!&lt;=5,"Low Calls", IF(#REF!&lt;=10, "Medium Calls", "High Calls"))</f>
        <v>#REF!</v>
      </c>
      <c r="AF3898" t="e">
        <f xml:space="preserve">
IF(#REF!&gt;=4,4,0)+
IF(#REF!="yes",3,0)+
IF(#REF!="High Charges",3,0)+
IF(#REF!&gt;250,4,0)+
IF(#REF!="no",1,0)+
IF(#REF!="Heavy Domestic User",2,0)</f>
        <v>#REF!</v>
      </c>
      <c r="AG3898" t="e">
        <f>IF(#REF!&gt;=10,"High Risk", IF(#REF!&gt;=5,"Medium Risk","Low Risk"))</f>
        <v>#REF!</v>
      </c>
      <c r="AH3898" t="e">
        <f>#REF! + #REF! + #REF! + #REF!</f>
        <v>#REF!</v>
      </c>
    </row>
    <row r="3899" spans="1:34" x14ac:dyDescent="0.35">
      <c r="A3899">
        <v>3898</v>
      </c>
      <c r="B3899" t="s">
        <v>54</v>
      </c>
      <c r="C3899">
        <v>87</v>
      </c>
      <c r="D3899" t="s">
        <v>21</v>
      </c>
      <c r="E3899" t="s">
        <v>22</v>
      </c>
      <c r="F3899" t="s">
        <v>23</v>
      </c>
      <c r="G3899">
        <v>28</v>
      </c>
      <c r="H3899">
        <v>202.7</v>
      </c>
      <c r="I3899">
        <v>124</v>
      </c>
      <c r="J3899">
        <v>34.46</v>
      </c>
      <c r="K3899">
        <v>248.9</v>
      </c>
      <c r="L3899">
        <v>98</v>
      </c>
      <c r="M3899">
        <v>21.16</v>
      </c>
      <c r="N3899">
        <v>184.7</v>
      </c>
      <c r="O3899">
        <v>50</v>
      </c>
      <c r="P3899">
        <v>8.31</v>
      </c>
      <c r="Q3899">
        <v>14.7</v>
      </c>
      <c r="R3899">
        <v>6</v>
      </c>
      <c r="S3899">
        <v>3.97</v>
      </c>
      <c r="T3899">
        <v>1</v>
      </c>
      <c r="U3899" t="s">
        <v>22</v>
      </c>
      <c r="V3899" t="e">
        <f>IF(#REF! = "yes", 1, 0)</f>
        <v>#REF!</v>
      </c>
      <c r="W3899" t="e">
        <f>IF(#REF! &lt;= 1, "0-1 Calls", IF(#REF! &lt;= 3, "2-3 Calls", IF(#REF! &lt;=5, "4-5 Calls", "6+ Calls")))</f>
        <v>#REF!</v>
      </c>
      <c r="X3899" t="e">
        <f>IF(#REF! &lt;= 50, "0-50", IF(#REF! &lt;=100, "51-100", IF(#REF! &lt;= 150, "101-150", "151+")))</f>
        <v>#REF!</v>
      </c>
      <c r="Y3899" t="e">
        <f>IF(#REF! &lt;= 3, "Low Charges", "High Charges")</f>
        <v>#REF!</v>
      </c>
      <c r="Z3899" t="e">
        <f>IF(#REF!&lt;=80,"Low Calls",
IF(#REF!&lt;=120,"Medium Calls","High Calls"))</f>
        <v>#REF!</v>
      </c>
      <c r="AA3899" t="e">
        <f>IF(#REF!&lt;=15,"Low Charges",
IF(#REF!&lt;=20,"Medium Charges","High Charges"))</f>
        <v>#REF!</v>
      </c>
      <c r="AB3899" t="e">
        <f>IF(AND(#REF!&gt;180, #REF!&gt;200), "Heavy Doemstic User", IF(#REF!&gt;10, "Interntional User", IF(AND(#REF!&lt;180, #REF!&lt;200,#REF!&lt;200), "Light User", "Balanced User")))</f>
        <v>#REF!</v>
      </c>
      <c r="AC3899" t="e">
        <f>IF(#REF! = 0, "No Usage", IF(#REF! &lt;= 20, "Low Usage", IF(#REF! &lt;= 40, "Medium Usgae", "High Usage")))</f>
        <v>#REF!</v>
      </c>
      <c r="AD3899" t="e">
        <f>IF(#REF!&lt;=150,"Low Usage", IF(#REF!&lt;=200,"Medium Usage", IF(#REF!&lt;=250,"High Usage","Very High Usage")))</f>
        <v>#REF!</v>
      </c>
      <c r="AE3899" t="e">
        <f>IF(#REF!&lt;=5,"Low Calls", IF(#REF!&lt;=10, "Medium Calls", "High Calls"))</f>
        <v>#REF!</v>
      </c>
      <c r="AF3899" t="e">
        <f xml:space="preserve">
IF(#REF!&gt;=4,4,0)+
IF(#REF!="yes",3,0)+
IF(#REF!="High Charges",3,0)+
IF(#REF!&gt;250,4,0)+
IF(#REF!="no",1,0)+
IF(#REF!="Heavy Domestic User",2,0)</f>
        <v>#REF!</v>
      </c>
      <c r="AG3899" t="e">
        <f>IF(#REF!&gt;=10,"High Risk", IF(#REF!&gt;=5,"Medium Risk","Low Risk"))</f>
        <v>#REF!</v>
      </c>
      <c r="AH3899" t="e">
        <f>#REF! + #REF! + #REF! + #REF!</f>
        <v>#REF!</v>
      </c>
    </row>
    <row r="3900" spans="1:34" x14ac:dyDescent="0.35">
      <c r="A3900">
        <v>3899</v>
      </c>
      <c r="B3900" t="s">
        <v>57</v>
      </c>
      <c r="C3900">
        <v>72</v>
      </c>
      <c r="D3900" t="s">
        <v>21</v>
      </c>
      <c r="E3900" t="s">
        <v>22</v>
      </c>
      <c r="F3900" t="s">
        <v>23</v>
      </c>
      <c r="G3900">
        <v>38</v>
      </c>
      <c r="H3900">
        <v>84.3</v>
      </c>
      <c r="I3900">
        <v>116</v>
      </c>
      <c r="J3900">
        <v>14.33</v>
      </c>
      <c r="K3900">
        <v>267.2</v>
      </c>
      <c r="L3900">
        <v>127</v>
      </c>
      <c r="M3900">
        <v>22.71</v>
      </c>
      <c r="N3900">
        <v>167.7</v>
      </c>
      <c r="O3900">
        <v>75</v>
      </c>
      <c r="P3900">
        <v>7.55</v>
      </c>
      <c r="Q3900">
        <v>8.3000000000000007</v>
      </c>
      <c r="R3900">
        <v>6</v>
      </c>
      <c r="S3900">
        <v>2.2400000000000002</v>
      </c>
      <c r="T3900">
        <v>4</v>
      </c>
      <c r="U3900" t="s">
        <v>23</v>
      </c>
      <c r="V3900" t="e">
        <f>IF(#REF! = "yes", 1, 0)</f>
        <v>#REF!</v>
      </c>
      <c r="W3900" t="e">
        <f>IF(#REF! &lt;= 1, "0-1 Calls", IF(#REF! &lt;= 3, "2-3 Calls", IF(#REF! &lt;=5, "4-5 Calls", "6+ Calls")))</f>
        <v>#REF!</v>
      </c>
      <c r="X3900" t="e">
        <f>IF(#REF! &lt;= 50, "0-50", IF(#REF! &lt;=100, "51-100", IF(#REF! &lt;= 150, "101-150", "151+")))</f>
        <v>#REF!</v>
      </c>
      <c r="Y3900" t="e">
        <f>IF(#REF! &lt;= 3, "Low Charges", "High Charges")</f>
        <v>#REF!</v>
      </c>
      <c r="Z3900" t="e">
        <f>IF(#REF!&lt;=80,"Low Calls",
IF(#REF!&lt;=120,"Medium Calls","High Calls"))</f>
        <v>#REF!</v>
      </c>
      <c r="AA3900" t="e">
        <f>IF(#REF!&lt;=15,"Low Charges",
IF(#REF!&lt;=20,"Medium Charges","High Charges"))</f>
        <v>#REF!</v>
      </c>
      <c r="AB3900" t="e">
        <f>IF(AND(#REF!&gt;180, #REF!&gt;200), "Heavy Doemstic User", IF(#REF!&gt;10, "Interntional User", IF(AND(#REF!&lt;180, #REF!&lt;200,#REF!&lt;200), "Light User", "Balanced User")))</f>
        <v>#REF!</v>
      </c>
      <c r="AC3900" t="e">
        <f>IF(#REF! = 0, "No Usage", IF(#REF! &lt;= 20, "Low Usage", IF(#REF! &lt;= 40, "Medium Usgae", "High Usage")))</f>
        <v>#REF!</v>
      </c>
      <c r="AD3900" t="e">
        <f>IF(#REF!&lt;=150,"Low Usage", IF(#REF!&lt;=200,"Medium Usage", IF(#REF!&lt;=250,"High Usage","Very High Usage")))</f>
        <v>#REF!</v>
      </c>
      <c r="AE3900" t="e">
        <f>IF(#REF!&lt;=5,"Low Calls", IF(#REF!&lt;=10, "Medium Calls", "High Calls"))</f>
        <v>#REF!</v>
      </c>
      <c r="AF3900" t="e">
        <f xml:space="preserve">
IF(#REF!&gt;=4,4,0)+
IF(#REF!="yes",3,0)+
IF(#REF!="High Charges",3,0)+
IF(#REF!&gt;250,4,0)+
IF(#REF!="no",1,0)+
IF(#REF!="Heavy Domestic User",2,0)</f>
        <v>#REF!</v>
      </c>
      <c r="AG3900" t="e">
        <f>IF(#REF!&gt;=10,"High Risk", IF(#REF!&gt;=5,"Medium Risk","Low Risk"))</f>
        <v>#REF!</v>
      </c>
      <c r="AH3900" t="e">
        <f>#REF! + #REF! + #REF! + #REF!</f>
        <v>#REF!</v>
      </c>
    </row>
    <row r="3901" spans="1:34" x14ac:dyDescent="0.35">
      <c r="A3901">
        <v>3900</v>
      </c>
      <c r="B3901" t="s">
        <v>67</v>
      </c>
      <c r="C3901">
        <v>45</v>
      </c>
      <c r="D3901" t="s">
        <v>21</v>
      </c>
      <c r="E3901" t="s">
        <v>22</v>
      </c>
      <c r="F3901" t="s">
        <v>23</v>
      </c>
      <c r="G3901">
        <v>18</v>
      </c>
      <c r="H3901">
        <v>168</v>
      </c>
      <c r="I3901">
        <v>127</v>
      </c>
      <c r="J3901">
        <v>28.56</v>
      </c>
      <c r="K3901">
        <v>155.5</v>
      </c>
      <c r="L3901">
        <v>76</v>
      </c>
      <c r="M3901">
        <v>13.22</v>
      </c>
      <c r="N3901">
        <v>152.69999999999999</v>
      </c>
      <c r="O3901">
        <v>127</v>
      </c>
      <c r="P3901">
        <v>6.87</v>
      </c>
      <c r="Q3901">
        <v>11.8</v>
      </c>
      <c r="R3901">
        <v>5</v>
      </c>
      <c r="S3901">
        <v>3.19</v>
      </c>
      <c r="T3901">
        <v>0</v>
      </c>
      <c r="U3901" t="s">
        <v>22</v>
      </c>
      <c r="V3901" t="e">
        <f>IF(#REF! = "yes", 1, 0)</f>
        <v>#REF!</v>
      </c>
      <c r="W3901" t="e">
        <f>IF(#REF! &lt;= 1, "0-1 Calls", IF(#REF! &lt;= 3, "2-3 Calls", IF(#REF! &lt;=5, "4-5 Calls", "6+ Calls")))</f>
        <v>#REF!</v>
      </c>
      <c r="X3901" t="e">
        <f>IF(#REF! &lt;= 50, "0-50", IF(#REF! &lt;=100, "51-100", IF(#REF! &lt;= 150, "101-150", "151+")))</f>
        <v>#REF!</v>
      </c>
      <c r="Y3901" t="e">
        <f>IF(#REF! &lt;= 3, "Low Charges", "High Charges")</f>
        <v>#REF!</v>
      </c>
      <c r="Z3901" t="e">
        <f>IF(#REF!&lt;=80,"Low Calls",
IF(#REF!&lt;=120,"Medium Calls","High Calls"))</f>
        <v>#REF!</v>
      </c>
      <c r="AA3901" t="e">
        <f>IF(#REF!&lt;=15,"Low Charges",
IF(#REF!&lt;=20,"Medium Charges","High Charges"))</f>
        <v>#REF!</v>
      </c>
      <c r="AB3901" t="e">
        <f>IF(AND(#REF!&gt;180, #REF!&gt;200), "Heavy Doemstic User", IF(#REF!&gt;10, "Interntional User", IF(AND(#REF!&lt;180, #REF!&lt;200,#REF!&lt;200), "Light User", "Balanced User")))</f>
        <v>#REF!</v>
      </c>
      <c r="AC3901" t="e">
        <f>IF(#REF! = 0, "No Usage", IF(#REF! &lt;= 20, "Low Usage", IF(#REF! &lt;= 40, "Medium Usgae", "High Usage")))</f>
        <v>#REF!</v>
      </c>
      <c r="AD3901" t="e">
        <f>IF(#REF!&lt;=150,"Low Usage", IF(#REF!&lt;=200,"Medium Usage", IF(#REF!&lt;=250,"High Usage","Very High Usage")))</f>
        <v>#REF!</v>
      </c>
      <c r="AE3901" t="e">
        <f>IF(#REF!&lt;=5,"Low Calls", IF(#REF!&lt;=10, "Medium Calls", "High Calls"))</f>
        <v>#REF!</v>
      </c>
      <c r="AF3901" t="e">
        <f xml:space="preserve">
IF(#REF!&gt;=4,4,0)+
IF(#REF!="yes",3,0)+
IF(#REF!="High Charges",3,0)+
IF(#REF!&gt;250,4,0)+
IF(#REF!="no",1,0)+
IF(#REF!="Heavy Domestic User",2,0)</f>
        <v>#REF!</v>
      </c>
      <c r="AG3901" t="e">
        <f>IF(#REF!&gt;=10,"High Risk", IF(#REF!&gt;=5,"Medium Risk","Low Risk"))</f>
        <v>#REF!</v>
      </c>
      <c r="AH3901" t="e">
        <f>#REF! + #REF! + #REF! + #REF!</f>
        <v>#REF!</v>
      </c>
    </row>
    <row r="3902" spans="1:34" x14ac:dyDescent="0.35">
      <c r="A3902">
        <v>3901</v>
      </c>
      <c r="B3902" t="s">
        <v>51</v>
      </c>
      <c r="C3902">
        <v>41</v>
      </c>
      <c r="D3902" t="s">
        <v>25</v>
      </c>
      <c r="E3902" t="s">
        <v>23</v>
      </c>
      <c r="F3902" t="s">
        <v>23</v>
      </c>
      <c r="G3902">
        <v>31</v>
      </c>
      <c r="H3902">
        <v>278.10000000000002</v>
      </c>
      <c r="I3902">
        <v>86</v>
      </c>
      <c r="J3902">
        <v>47.28</v>
      </c>
      <c r="K3902">
        <v>268.10000000000002</v>
      </c>
      <c r="L3902">
        <v>103</v>
      </c>
      <c r="M3902">
        <v>22.79</v>
      </c>
      <c r="N3902">
        <v>241.5</v>
      </c>
      <c r="O3902">
        <v>77</v>
      </c>
      <c r="P3902">
        <v>10.87</v>
      </c>
      <c r="Q3902">
        <v>11.3</v>
      </c>
      <c r="R3902">
        <v>4</v>
      </c>
      <c r="S3902">
        <v>3.05</v>
      </c>
      <c r="T3902">
        <v>0</v>
      </c>
      <c r="U3902" t="s">
        <v>22</v>
      </c>
      <c r="V3902" t="e">
        <f>IF(#REF! = "yes", 1, 0)</f>
        <v>#REF!</v>
      </c>
      <c r="W3902" t="e">
        <f>IF(#REF! &lt;= 1, "0-1 Calls", IF(#REF! &lt;= 3, "2-3 Calls", IF(#REF! &lt;=5, "4-5 Calls", "6+ Calls")))</f>
        <v>#REF!</v>
      </c>
      <c r="X3902" t="e">
        <f>IF(#REF! &lt;= 50, "0-50", IF(#REF! &lt;=100, "51-100", IF(#REF! &lt;= 150, "101-150", "151+")))</f>
        <v>#REF!</v>
      </c>
      <c r="Y3902" t="e">
        <f>IF(#REF! &lt;= 3, "Low Charges", "High Charges")</f>
        <v>#REF!</v>
      </c>
      <c r="Z3902" t="e">
        <f>IF(#REF!&lt;=80,"Low Calls",
IF(#REF!&lt;=120,"Medium Calls","High Calls"))</f>
        <v>#REF!</v>
      </c>
      <c r="AA3902" t="e">
        <f>IF(#REF!&lt;=15,"Low Charges",
IF(#REF!&lt;=20,"Medium Charges","High Charges"))</f>
        <v>#REF!</v>
      </c>
      <c r="AB3902" t="e">
        <f>IF(AND(#REF!&gt;180, #REF!&gt;200), "Heavy Doemstic User", IF(#REF!&gt;10, "Interntional User", IF(AND(#REF!&lt;180, #REF!&lt;200,#REF!&lt;200), "Light User", "Balanced User")))</f>
        <v>#REF!</v>
      </c>
      <c r="AC3902" t="e">
        <f>IF(#REF! = 0, "No Usage", IF(#REF! &lt;= 20, "Low Usage", IF(#REF! &lt;= 40, "Medium Usgae", "High Usage")))</f>
        <v>#REF!</v>
      </c>
      <c r="AD3902" t="e">
        <f>IF(#REF!&lt;=150,"Low Usage", IF(#REF!&lt;=200,"Medium Usage", IF(#REF!&lt;=250,"High Usage","Very High Usage")))</f>
        <v>#REF!</v>
      </c>
      <c r="AE3902" t="e">
        <f>IF(#REF!&lt;=5,"Low Calls", IF(#REF!&lt;=10, "Medium Calls", "High Calls"))</f>
        <v>#REF!</v>
      </c>
      <c r="AF3902" t="e">
        <f xml:space="preserve">
IF(#REF!&gt;=4,4,0)+
IF(#REF!="yes",3,0)+
IF(#REF!="High Charges",3,0)+
IF(#REF!&gt;250,4,0)+
IF(#REF!="no",1,0)+
IF(#REF!="Heavy Domestic User",2,0)</f>
        <v>#REF!</v>
      </c>
      <c r="AG3902" t="e">
        <f>IF(#REF!&gt;=10,"High Risk", IF(#REF!&gt;=5,"Medium Risk","Low Risk"))</f>
        <v>#REF!</v>
      </c>
      <c r="AH3902" t="e">
        <f>#REF! + #REF! + #REF! + #REF!</f>
        <v>#REF!</v>
      </c>
    </row>
    <row r="3903" spans="1:34" x14ac:dyDescent="0.35">
      <c r="A3903">
        <v>3902</v>
      </c>
      <c r="B3903" t="s">
        <v>64</v>
      </c>
      <c r="C3903">
        <v>122</v>
      </c>
      <c r="D3903" t="s">
        <v>25</v>
      </c>
      <c r="E3903" t="s">
        <v>22</v>
      </c>
      <c r="F3903" t="s">
        <v>22</v>
      </c>
      <c r="G3903">
        <v>0</v>
      </c>
      <c r="H3903">
        <v>128.30000000000001</v>
      </c>
      <c r="I3903">
        <v>89</v>
      </c>
      <c r="J3903">
        <v>21.81</v>
      </c>
      <c r="K3903">
        <v>237.7</v>
      </c>
      <c r="L3903">
        <v>62</v>
      </c>
      <c r="M3903">
        <v>20.2</v>
      </c>
      <c r="N3903">
        <v>166.6</v>
      </c>
      <c r="O3903">
        <v>128</v>
      </c>
      <c r="P3903">
        <v>7.5</v>
      </c>
      <c r="Q3903">
        <v>11.2</v>
      </c>
      <c r="R3903">
        <v>5</v>
      </c>
      <c r="S3903">
        <v>3.02</v>
      </c>
      <c r="T3903">
        <v>1</v>
      </c>
      <c r="U3903" t="s">
        <v>22</v>
      </c>
      <c r="V3903" t="e">
        <f>IF(#REF! = "yes", 1, 0)</f>
        <v>#REF!</v>
      </c>
      <c r="W3903" t="e">
        <f>IF(#REF! &lt;= 1, "0-1 Calls", IF(#REF! &lt;= 3, "2-3 Calls", IF(#REF! &lt;=5, "4-5 Calls", "6+ Calls")))</f>
        <v>#REF!</v>
      </c>
      <c r="X3903" t="e">
        <f>IF(#REF! &lt;= 50, "0-50", IF(#REF! &lt;=100, "51-100", IF(#REF! &lt;= 150, "101-150", "151+")))</f>
        <v>#REF!</v>
      </c>
      <c r="Y3903" t="e">
        <f>IF(#REF! &lt;= 3, "Low Charges", "High Charges")</f>
        <v>#REF!</v>
      </c>
      <c r="Z3903" t="e">
        <f>IF(#REF!&lt;=80,"Low Calls",
IF(#REF!&lt;=120,"Medium Calls","High Calls"))</f>
        <v>#REF!</v>
      </c>
      <c r="AA3903" t="e">
        <f>IF(#REF!&lt;=15,"Low Charges",
IF(#REF!&lt;=20,"Medium Charges","High Charges"))</f>
        <v>#REF!</v>
      </c>
      <c r="AB3903" t="e">
        <f>IF(AND(#REF!&gt;180, #REF!&gt;200), "Heavy Doemstic User", IF(#REF!&gt;10, "Interntional User", IF(AND(#REF!&lt;180, #REF!&lt;200,#REF!&lt;200), "Light User", "Balanced User")))</f>
        <v>#REF!</v>
      </c>
      <c r="AC3903" t="e">
        <f>IF(#REF! = 0, "No Usage", IF(#REF! &lt;= 20, "Low Usage", IF(#REF! &lt;= 40, "Medium Usgae", "High Usage")))</f>
        <v>#REF!</v>
      </c>
      <c r="AD3903" t="e">
        <f>IF(#REF!&lt;=150,"Low Usage", IF(#REF!&lt;=200,"Medium Usage", IF(#REF!&lt;=250,"High Usage","Very High Usage")))</f>
        <v>#REF!</v>
      </c>
      <c r="AE3903" t="e">
        <f>IF(#REF!&lt;=5,"Low Calls", IF(#REF!&lt;=10, "Medium Calls", "High Calls"))</f>
        <v>#REF!</v>
      </c>
      <c r="AF3903" t="e">
        <f xml:space="preserve">
IF(#REF!&gt;=4,4,0)+
IF(#REF!="yes",3,0)+
IF(#REF!="High Charges",3,0)+
IF(#REF!&gt;250,4,0)+
IF(#REF!="no",1,0)+
IF(#REF!="Heavy Domestic User",2,0)</f>
        <v>#REF!</v>
      </c>
      <c r="AG3903" t="e">
        <f>IF(#REF!&gt;=10,"High Risk", IF(#REF!&gt;=5,"Medium Risk","Low Risk"))</f>
        <v>#REF!</v>
      </c>
      <c r="AH3903" t="e">
        <f>#REF! + #REF! + #REF! + #REF!</f>
        <v>#REF!</v>
      </c>
    </row>
    <row r="3904" spans="1:34" x14ac:dyDescent="0.35">
      <c r="A3904">
        <v>3903</v>
      </c>
      <c r="B3904" t="s">
        <v>27</v>
      </c>
      <c r="C3904">
        <v>92</v>
      </c>
      <c r="D3904" t="s">
        <v>25</v>
      </c>
      <c r="E3904" t="s">
        <v>22</v>
      </c>
      <c r="F3904" t="s">
        <v>23</v>
      </c>
      <c r="G3904">
        <v>21</v>
      </c>
      <c r="H3904">
        <v>227.8</v>
      </c>
      <c r="I3904">
        <v>107</v>
      </c>
      <c r="J3904">
        <v>38.729999999999997</v>
      </c>
      <c r="K3904">
        <v>156.4</v>
      </c>
      <c r="L3904">
        <v>70</v>
      </c>
      <c r="M3904">
        <v>13.29</v>
      </c>
      <c r="N3904">
        <v>259.7</v>
      </c>
      <c r="O3904">
        <v>72</v>
      </c>
      <c r="P3904">
        <v>11.69</v>
      </c>
      <c r="Q3904">
        <v>12.4</v>
      </c>
      <c r="R3904">
        <v>3</v>
      </c>
      <c r="S3904">
        <v>3.35</v>
      </c>
      <c r="T3904">
        <v>0</v>
      </c>
      <c r="U3904" t="s">
        <v>22</v>
      </c>
      <c r="V3904" t="e">
        <f>IF(#REF! = "yes", 1, 0)</f>
        <v>#REF!</v>
      </c>
      <c r="W3904" t="e">
        <f>IF(#REF! &lt;= 1, "0-1 Calls", IF(#REF! &lt;= 3, "2-3 Calls", IF(#REF! &lt;=5, "4-5 Calls", "6+ Calls")))</f>
        <v>#REF!</v>
      </c>
      <c r="X3904" t="e">
        <f>IF(#REF! &lt;= 50, "0-50", IF(#REF! &lt;=100, "51-100", IF(#REF! &lt;= 150, "101-150", "151+")))</f>
        <v>#REF!</v>
      </c>
      <c r="Y3904" t="e">
        <f>IF(#REF! &lt;= 3, "Low Charges", "High Charges")</f>
        <v>#REF!</v>
      </c>
      <c r="Z3904" t="e">
        <f>IF(#REF!&lt;=80,"Low Calls",
IF(#REF!&lt;=120,"Medium Calls","High Calls"))</f>
        <v>#REF!</v>
      </c>
      <c r="AA3904" t="e">
        <f>IF(#REF!&lt;=15,"Low Charges",
IF(#REF!&lt;=20,"Medium Charges","High Charges"))</f>
        <v>#REF!</v>
      </c>
      <c r="AB3904" t="e">
        <f>IF(AND(#REF!&gt;180, #REF!&gt;200), "Heavy Doemstic User", IF(#REF!&gt;10, "Interntional User", IF(AND(#REF!&lt;180, #REF!&lt;200,#REF!&lt;200), "Light User", "Balanced User")))</f>
        <v>#REF!</v>
      </c>
      <c r="AC3904" t="e">
        <f>IF(#REF! = 0, "No Usage", IF(#REF! &lt;= 20, "Low Usage", IF(#REF! &lt;= 40, "Medium Usgae", "High Usage")))</f>
        <v>#REF!</v>
      </c>
      <c r="AD3904" t="e">
        <f>IF(#REF!&lt;=150,"Low Usage", IF(#REF!&lt;=200,"Medium Usage", IF(#REF!&lt;=250,"High Usage","Very High Usage")))</f>
        <v>#REF!</v>
      </c>
      <c r="AE3904" t="e">
        <f>IF(#REF!&lt;=5,"Low Calls", IF(#REF!&lt;=10, "Medium Calls", "High Calls"))</f>
        <v>#REF!</v>
      </c>
      <c r="AF3904" t="e">
        <f xml:space="preserve">
IF(#REF!&gt;=4,4,0)+
IF(#REF!="yes",3,0)+
IF(#REF!="High Charges",3,0)+
IF(#REF!&gt;250,4,0)+
IF(#REF!="no",1,0)+
IF(#REF!="Heavy Domestic User",2,0)</f>
        <v>#REF!</v>
      </c>
      <c r="AG3904" t="e">
        <f>IF(#REF!&gt;=10,"High Risk", IF(#REF!&gt;=5,"Medium Risk","Low Risk"))</f>
        <v>#REF!</v>
      </c>
      <c r="AH3904" t="e">
        <f>#REF! + #REF! + #REF! + #REF!</f>
        <v>#REF!</v>
      </c>
    </row>
    <row r="3905" spans="1:34" x14ac:dyDescent="0.35">
      <c r="A3905">
        <v>3904</v>
      </c>
      <c r="B3905" t="s">
        <v>52</v>
      </c>
      <c r="C3905">
        <v>65</v>
      </c>
      <c r="D3905" t="s">
        <v>25</v>
      </c>
      <c r="E3905" t="s">
        <v>23</v>
      </c>
      <c r="F3905" t="s">
        <v>22</v>
      </c>
      <c r="G3905">
        <v>0</v>
      </c>
      <c r="H3905">
        <v>54.8</v>
      </c>
      <c r="I3905">
        <v>74</v>
      </c>
      <c r="J3905">
        <v>9.32</v>
      </c>
      <c r="K3905">
        <v>239.8</v>
      </c>
      <c r="L3905">
        <v>93</v>
      </c>
      <c r="M3905">
        <v>20.38</v>
      </c>
      <c r="N3905">
        <v>214.4</v>
      </c>
      <c r="O3905">
        <v>91</v>
      </c>
      <c r="P3905">
        <v>9.65</v>
      </c>
      <c r="Q3905">
        <v>13.4</v>
      </c>
      <c r="R3905">
        <v>5</v>
      </c>
      <c r="S3905">
        <v>3.62</v>
      </c>
      <c r="T3905">
        <v>1</v>
      </c>
      <c r="U3905" t="s">
        <v>23</v>
      </c>
      <c r="V3905" t="e">
        <f>IF(#REF! = "yes", 1, 0)</f>
        <v>#REF!</v>
      </c>
      <c r="W3905" t="e">
        <f>IF(#REF! &lt;= 1, "0-1 Calls", IF(#REF! &lt;= 3, "2-3 Calls", IF(#REF! &lt;=5, "4-5 Calls", "6+ Calls")))</f>
        <v>#REF!</v>
      </c>
      <c r="X3905" t="e">
        <f>IF(#REF! &lt;= 50, "0-50", IF(#REF! &lt;=100, "51-100", IF(#REF! &lt;= 150, "101-150", "151+")))</f>
        <v>#REF!</v>
      </c>
      <c r="Y3905" t="e">
        <f>IF(#REF! &lt;= 3, "Low Charges", "High Charges")</f>
        <v>#REF!</v>
      </c>
      <c r="Z3905" t="e">
        <f>IF(#REF!&lt;=80,"Low Calls",
IF(#REF!&lt;=120,"Medium Calls","High Calls"))</f>
        <v>#REF!</v>
      </c>
      <c r="AA3905" t="e">
        <f>IF(#REF!&lt;=15,"Low Charges",
IF(#REF!&lt;=20,"Medium Charges","High Charges"))</f>
        <v>#REF!</v>
      </c>
      <c r="AB3905" t="e">
        <f>IF(AND(#REF!&gt;180, #REF!&gt;200), "Heavy Doemstic User", IF(#REF!&gt;10, "Interntional User", IF(AND(#REF!&lt;180, #REF!&lt;200,#REF!&lt;200), "Light User", "Balanced User")))</f>
        <v>#REF!</v>
      </c>
      <c r="AC3905" t="e">
        <f>IF(#REF! = 0, "No Usage", IF(#REF! &lt;= 20, "Low Usage", IF(#REF! &lt;= 40, "Medium Usgae", "High Usage")))</f>
        <v>#REF!</v>
      </c>
      <c r="AD3905" t="e">
        <f>IF(#REF!&lt;=150,"Low Usage", IF(#REF!&lt;=200,"Medium Usage", IF(#REF!&lt;=250,"High Usage","Very High Usage")))</f>
        <v>#REF!</v>
      </c>
      <c r="AE3905" t="e">
        <f>IF(#REF!&lt;=5,"Low Calls", IF(#REF!&lt;=10, "Medium Calls", "High Calls"))</f>
        <v>#REF!</v>
      </c>
      <c r="AF3905" t="e">
        <f xml:space="preserve">
IF(#REF!&gt;=4,4,0)+
IF(#REF!="yes",3,0)+
IF(#REF!="High Charges",3,0)+
IF(#REF!&gt;250,4,0)+
IF(#REF!="no",1,0)+
IF(#REF!="Heavy Domestic User",2,0)</f>
        <v>#REF!</v>
      </c>
      <c r="AG3905" t="e">
        <f>IF(#REF!&gt;=10,"High Risk", IF(#REF!&gt;=5,"Medium Risk","Low Risk"))</f>
        <v>#REF!</v>
      </c>
      <c r="AH3905" t="e">
        <f>#REF! + #REF! + #REF! + #REF!</f>
        <v>#REF!</v>
      </c>
    </row>
    <row r="3906" spans="1:34" x14ac:dyDescent="0.35">
      <c r="A3906">
        <v>3905</v>
      </c>
      <c r="B3906" t="s">
        <v>27</v>
      </c>
      <c r="C3906">
        <v>57</v>
      </c>
      <c r="D3906" t="s">
        <v>21</v>
      </c>
      <c r="E3906" t="s">
        <v>22</v>
      </c>
      <c r="F3906" t="s">
        <v>23</v>
      </c>
      <c r="G3906">
        <v>24</v>
      </c>
      <c r="H3906">
        <v>140.19999999999999</v>
      </c>
      <c r="I3906">
        <v>102</v>
      </c>
      <c r="J3906">
        <v>23.83</v>
      </c>
      <c r="K3906">
        <v>170.1</v>
      </c>
      <c r="L3906">
        <v>107</v>
      </c>
      <c r="M3906">
        <v>14.46</v>
      </c>
      <c r="N3906">
        <v>143.69999999999999</v>
      </c>
      <c r="O3906">
        <v>102</v>
      </c>
      <c r="P3906">
        <v>6.47</v>
      </c>
      <c r="Q3906">
        <v>14</v>
      </c>
      <c r="R3906">
        <v>1</v>
      </c>
      <c r="S3906">
        <v>3.78</v>
      </c>
      <c r="T3906">
        <v>1</v>
      </c>
      <c r="U3906" t="s">
        <v>22</v>
      </c>
      <c r="V3906" t="e">
        <f>IF(#REF! = "yes", 1, 0)</f>
        <v>#REF!</v>
      </c>
      <c r="W3906" t="e">
        <f>IF(#REF! &lt;= 1, "0-1 Calls", IF(#REF! &lt;= 3, "2-3 Calls", IF(#REF! &lt;=5, "4-5 Calls", "6+ Calls")))</f>
        <v>#REF!</v>
      </c>
      <c r="X3906" t="e">
        <f>IF(#REF! &lt;= 50, "0-50", IF(#REF! &lt;=100, "51-100", IF(#REF! &lt;= 150, "101-150", "151+")))</f>
        <v>#REF!</v>
      </c>
      <c r="Y3906" t="e">
        <f>IF(#REF! &lt;= 3, "Low Charges", "High Charges")</f>
        <v>#REF!</v>
      </c>
      <c r="Z3906" t="e">
        <f>IF(#REF!&lt;=80,"Low Calls",
IF(#REF!&lt;=120,"Medium Calls","High Calls"))</f>
        <v>#REF!</v>
      </c>
      <c r="AA3906" t="e">
        <f>IF(#REF!&lt;=15,"Low Charges",
IF(#REF!&lt;=20,"Medium Charges","High Charges"))</f>
        <v>#REF!</v>
      </c>
      <c r="AB3906" t="e">
        <f>IF(AND(#REF!&gt;180, #REF!&gt;200), "Heavy Doemstic User", IF(#REF!&gt;10, "Interntional User", IF(AND(#REF!&lt;180, #REF!&lt;200,#REF!&lt;200), "Light User", "Balanced User")))</f>
        <v>#REF!</v>
      </c>
      <c r="AC3906" t="e">
        <f>IF(#REF! = 0, "No Usage", IF(#REF! &lt;= 20, "Low Usage", IF(#REF! &lt;= 40, "Medium Usgae", "High Usage")))</f>
        <v>#REF!</v>
      </c>
      <c r="AD3906" t="e">
        <f>IF(#REF!&lt;=150,"Low Usage", IF(#REF!&lt;=200,"Medium Usage", IF(#REF!&lt;=250,"High Usage","Very High Usage")))</f>
        <v>#REF!</v>
      </c>
      <c r="AE3906" t="e">
        <f>IF(#REF!&lt;=5,"Low Calls", IF(#REF!&lt;=10, "Medium Calls", "High Calls"))</f>
        <v>#REF!</v>
      </c>
      <c r="AF3906" t="e">
        <f xml:space="preserve">
IF(#REF!&gt;=4,4,0)+
IF(#REF!="yes",3,0)+
IF(#REF!="High Charges",3,0)+
IF(#REF!&gt;250,4,0)+
IF(#REF!="no",1,0)+
IF(#REF!="Heavy Domestic User",2,0)</f>
        <v>#REF!</v>
      </c>
      <c r="AG3906" t="e">
        <f>IF(#REF!&gt;=10,"High Risk", IF(#REF!&gt;=5,"Medium Risk","Low Risk"))</f>
        <v>#REF!</v>
      </c>
      <c r="AH3906" t="e">
        <f>#REF! + #REF! + #REF! + #REF!</f>
        <v>#REF!</v>
      </c>
    </row>
    <row r="3907" spans="1:34" x14ac:dyDescent="0.35">
      <c r="A3907">
        <v>3906</v>
      </c>
      <c r="B3907" t="s">
        <v>35</v>
      </c>
      <c r="C3907">
        <v>127</v>
      </c>
      <c r="D3907" t="s">
        <v>25</v>
      </c>
      <c r="E3907" t="s">
        <v>22</v>
      </c>
      <c r="F3907" t="s">
        <v>22</v>
      </c>
      <c r="G3907">
        <v>0</v>
      </c>
      <c r="H3907">
        <v>271.2</v>
      </c>
      <c r="I3907">
        <v>110</v>
      </c>
      <c r="J3907">
        <v>46.1</v>
      </c>
      <c r="K3907">
        <v>213.5</v>
      </c>
      <c r="L3907">
        <v>80</v>
      </c>
      <c r="M3907">
        <v>18.149999999999999</v>
      </c>
      <c r="N3907">
        <v>201.8</v>
      </c>
      <c r="O3907">
        <v>102</v>
      </c>
      <c r="P3907">
        <v>9.08</v>
      </c>
      <c r="Q3907">
        <v>13.2</v>
      </c>
      <c r="R3907">
        <v>4</v>
      </c>
      <c r="S3907">
        <v>3.56</v>
      </c>
      <c r="T3907">
        <v>0</v>
      </c>
      <c r="U3907" t="s">
        <v>23</v>
      </c>
      <c r="V3907" t="e">
        <f>IF(#REF! = "yes", 1, 0)</f>
        <v>#REF!</v>
      </c>
      <c r="W3907" t="e">
        <f>IF(#REF! &lt;= 1, "0-1 Calls", IF(#REF! &lt;= 3, "2-3 Calls", IF(#REF! &lt;=5, "4-5 Calls", "6+ Calls")))</f>
        <v>#REF!</v>
      </c>
      <c r="X3907" t="e">
        <f>IF(#REF! &lt;= 50, "0-50", IF(#REF! &lt;=100, "51-100", IF(#REF! &lt;= 150, "101-150", "151+")))</f>
        <v>#REF!</v>
      </c>
      <c r="Y3907" t="e">
        <f>IF(#REF! &lt;= 3, "Low Charges", "High Charges")</f>
        <v>#REF!</v>
      </c>
      <c r="Z3907" t="e">
        <f>IF(#REF!&lt;=80,"Low Calls",
IF(#REF!&lt;=120,"Medium Calls","High Calls"))</f>
        <v>#REF!</v>
      </c>
      <c r="AA3907" t="e">
        <f>IF(#REF!&lt;=15,"Low Charges",
IF(#REF!&lt;=20,"Medium Charges","High Charges"))</f>
        <v>#REF!</v>
      </c>
      <c r="AB3907" t="e">
        <f>IF(AND(#REF!&gt;180, #REF!&gt;200), "Heavy Doemstic User", IF(#REF!&gt;10, "Interntional User", IF(AND(#REF!&lt;180, #REF!&lt;200,#REF!&lt;200), "Light User", "Balanced User")))</f>
        <v>#REF!</v>
      </c>
      <c r="AC3907" t="e">
        <f>IF(#REF! = 0, "No Usage", IF(#REF! &lt;= 20, "Low Usage", IF(#REF! &lt;= 40, "Medium Usgae", "High Usage")))</f>
        <v>#REF!</v>
      </c>
      <c r="AD3907" t="e">
        <f>IF(#REF!&lt;=150,"Low Usage", IF(#REF!&lt;=200,"Medium Usage", IF(#REF!&lt;=250,"High Usage","Very High Usage")))</f>
        <v>#REF!</v>
      </c>
      <c r="AE3907" t="e">
        <f>IF(#REF!&lt;=5,"Low Calls", IF(#REF!&lt;=10, "Medium Calls", "High Calls"))</f>
        <v>#REF!</v>
      </c>
      <c r="AF3907" t="e">
        <f xml:space="preserve">
IF(#REF!&gt;=4,4,0)+
IF(#REF!="yes",3,0)+
IF(#REF!="High Charges",3,0)+
IF(#REF!&gt;250,4,0)+
IF(#REF!="no",1,0)+
IF(#REF!="Heavy Domestic User",2,0)</f>
        <v>#REF!</v>
      </c>
      <c r="AG3907" t="e">
        <f>IF(#REF!&gt;=10,"High Risk", IF(#REF!&gt;=5,"Medium Risk","Low Risk"))</f>
        <v>#REF!</v>
      </c>
      <c r="AH3907" t="e">
        <f>#REF! + #REF! + #REF! + #REF!</f>
        <v>#REF!</v>
      </c>
    </row>
    <row r="3908" spans="1:34" x14ac:dyDescent="0.35">
      <c r="A3908">
        <v>3907</v>
      </c>
      <c r="B3908" t="s">
        <v>47</v>
      </c>
      <c r="C3908">
        <v>121</v>
      </c>
      <c r="D3908" t="s">
        <v>21</v>
      </c>
      <c r="E3908" t="s">
        <v>22</v>
      </c>
      <c r="F3908" t="s">
        <v>22</v>
      </c>
      <c r="G3908">
        <v>0</v>
      </c>
      <c r="H3908">
        <v>180</v>
      </c>
      <c r="I3908">
        <v>116</v>
      </c>
      <c r="J3908">
        <v>30.6</v>
      </c>
      <c r="K3908">
        <v>196.4</v>
      </c>
      <c r="L3908">
        <v>112</v>
      </c>
      <c r="M3908">
        <v>16.690000000000001</v>
      </c>
      <c r="N3908">
        <v>280.3</v>
      </c>
      <c r="O3908">
        <v>95</v>
      </c>
      <c r="P3908">
        <v>12.61</v>
      </c>
      <c r="Q3908">
        <v>10.1</v>
      </c>
      <c r="R3908">
        <v>5</v>
      </c>
      <c r="S3908">
        <v>2.73</v>
      </c>
      <c r="T3908">
        <v>2</v>
      </c>
      <c r="U3908" t="s">
        <v>22</v>
      </c>
      <c r="V3908" t="e">
        <f>IF(#REF! = "yes", 1, 0)</f>
        <v>#REF!</v>
      </c>
      <c r="W3908" t="e">
        <f>IF(#REF! &lt;= 1, "0-1 Calls", IF(#REF! &lt;= 3, "2-3 Calls", IF(#REF! &lt;=5, "4-5 Calls", "6+ Calls")))</f>
        <v>#REF!</v>
      </c>
      <c r="X3908" t="e">
        <f>IF(#REF! &lt;= 50, "0-50", IF(#REF! &lt;=100, "51-100", IF(#REF! &lt;= 150, "101-150", "151+")))</f>
        <v>#REF!</v>
      </c>
      <c r="Y3908" t="e">
        <f>IF(#REF! &lt;= 3, "Low Charges", "High Charges")</f>
        <v>#REF!</v>
      </c>
      <c r="Z3908" t="e">
        <f>IF(#REF!&lt;=80,"Low Calls",
IF(#REF!&lt;=120,"Medium Calls","High Calls"))</f>
        <v>#REF!</v>
      </c>
      <c r="AA3908" t="e">
        <f>IF(#REF!&lt;=15,"Low Charges",
IF(#REF!&lt;=20,"Medium Charges","High Charges"))</f>
        <v>#REF!</v>
      </c>
      <c r="AB3908" t="e">
        <f>IF(AND(#REF!&gt;180, #REF!&gt;200), "Heavy Doemstic User", IF(#REF!&gt;10, "Interntional User", IF(AND(#REF!&lt;180, #REF!&lt;200,#REF!&lt;200), "Light User", "Balanced User")))</f>
        <v>#REF!</v>
      </c>
      <c r="AC3908" t="e">
        <f>IF(#REF! = 0, "No Usage", IF(#REF! &lt;= 20, "Low Usage", IF(#REF! &lt;= 40, "Medium Usgae", "High Usage")))</f>
        <v>#REF!</v>
      </c>
      <c r="AD3908" t="e">
        <f>IF(#REF!&lt;=150,"Low Usage", IF(#REF!&lt;=200,"Medium Usage", IF(#REF!&lt;=250,"High Usage","Very High Usage")))</f>
        <v>#REF!</v>
      </c>
      <c r="AE3908" t="e">
        <f>IF(#REF!&lt;=5,"Low Calls", IF(#REF!&lt;=10, "Medium Calls", "High Calls"))</f>
        <v>#REF!</v>
      </c>
      <c r="AF3908" t="e">
        <f xml:space="preserve">
IF(#REF!&gt;=4,4,0)+
IF(#REF!="yes",3,0)+
IF(#REF!="High Charges",3,0)+
IF(#REF!&gt;250,4,0)+
IF(#REF!="no",1,0)+
IF(#REF!="Heavy Domestic User",2,0)</f>
        <v>#REF!</v>
      </c>
      <c r="AG3908" t="e">
        <f>IF(#REF!&gt;=10,"High Risk", IF(#REF!&gt;=5,"Medium Risk","Low Risk"))</f>
        <v>#REF!</v>
      </c>
      <c r="AH3908" t="e">
        <f>#REF! + #REF! + #REF! + #REF!</f>
        <v>#REF!</v>
      </c>
    </row>
    <row r="3909" spans="1:34" x14ac:dyDescent="0.35">
      <c r="A3909">
        <v>3908</v>
      </c>
      <c r="B3909" t="s">
        <v>67</v>
      </c>
      <c r="C3909">
        <v>117</v>
      </c>
      <c r="D3909" t="s">
        <v>21</v>
      </c>
      <c r="E3909" t="s">
        <v>22</v>
      </c>
      <c r="F3909" t="s">
        <v>22</v>
      </c>
      <c r="G3909">
        <v>0</v>
      </c>
      <c r="H3909">
        <v>189.8</v>
      </c>
      <c r="I3909">
        <v>122</v>
      </c>
      <c r="J3909">
        <v>32.270000000000003</v>
      </c>
      <c r="K3909">
        <v>235.6</v>
      </c>
      <c r="L3909">
        <v>94</v>
      </c>
      <c r="M3909">
        <v>20.03</v>
      </c>
      <c r="N3909">
        <v>270.8</v>
      </c>
      <c r="O3909">
        <v>120</v>
      </c>
      <c r="P3909">
        <v>12.19</v>
      </c>
      <c r="Q3909">
        <v>12.7</v>
      </c>
      <c r="R3909">
        <v>2</v>
      </c>
      <c r="S3909">
        <v>3.43</v>
      </c>
      <c r="T3909">
        <v>1</v>
      </c>
      <c r="U3909" t="s">
        <v>22</v>
      </c>
      <c r="V3909" t="e">
        <f>IF(#REF! = "yes", 1, 0)</f>
        <v>#REF!</v>
      </c>
      <c r="W3909" t="e">
        <f>IF(#REF! &lt;= 1, "0-1 Calls", IF(#REF! &lt;= 3, "2-3 Calls", IF(#REF! &lt;=5, "4-5 Calls", "6+ Calls")))</f>
        <v>#REF!</v>
      </c>
      <c r="X3909" t="e">
        <f>IF(#REF! &lt;= 50, "0-50", IF(#REF! &lt;=100, "51-100", IF(#REF! &lt;= 150, "101-150", "151+")))</f>
        <v>#REF!</v>
      </c>
      <c r="Y3909" t="e">
        <f>IF(#REF! &lt;= 3, "Low Charges", "High Charges")</f>
        <v>#REF!</v>
      </c>
      <c r="Z3909" t="e">
        <f>IF(#REF!&lt;=80,"Low Calls",
IF(#REF!&lt;=120,"Medium Calls","High Calls"))</f>
        <v>#REF!</v>
      </c>
      <c r="AA3909" t="e">
        <f>IF(#REF!&lt;=15,"Low Charges",
IF(#REF!&lt;=20,"Medium Charges","High Charges"))</f>
        <v>#REF!</v>
      </c>
      <c r="AB3909" t="e">
        <f>IF(AND(#REF!&gt;180, #REF!&gt;200), "Heavy Doemstic User", IF(#REF!&gt;10, "Interntional User", IF(AND(#REF!&lt;180, #REF!&lt;200,#REF!&lt;200), "Light User", "Balanced User")))</f>
        <v>#REF!</v>
      </c>
      <c r="AC3909" t="e">
        <f>IF(#REF! = 0, "No Usage", IF(#REF! &lt;= 20, "Low Usage", IF(#REF! &lt;= 40, "Medium Usgae", "High Usage")))</f>
        <v>#REF!</v>
      </c>
      <c r="AD3909" t="e">
        <f>IF(#REF!&lt;=150,"Low Usage", IF(#REF!&lt;=200,"Medium Usage", IF(#REF!&lt;=250,"High Usage","Very High Usage")))</f>
        <v>#REF!</v>
      </c>
      <c r="AE3909" t="e">
        <f>IF(#REF!&lt;=5,"Low Calls", IF(#REF!&lt;=10, "Medium Calls", "High Calls"))</f>
        <v>#REF!</v>
      </c>
      <c r="AF3909" t="e">
        <f xml:space="preserve">
IF(#REF!&gt;=4,4,0)+
IF(#REF!="yes",3,0)+
IF(#REF!="High Charges",3,0)+
IF(#REF!&gt;250,4,0)+
IF(#REF!="no",1,0)+
IF(#REF!="Heavy Domestic User",2,0)</f>
        <v>#REF!</v>
      </c>
      <c r="AG3909" t="e">
        <f>IF(#REF!&gt;=10,"High Risk", IF(#REF!&gt;=5,"Medium Risk","Low Risk"))</f>
        <v>#REF!</v>
      </c>
      <c r="AH3909" t="e">
        <f>#REF! + #REF! + #REF! + #REF!</f>
        <v>#REF!</v>
      </c>
    </row>
    <row r="3910" spans="1:34" x14ac:dyDescent="0.35">
      <c r="A3910">
        <v>3909</v>
      </c>
      <c r="B3910" t="s">
        <v>52</v>
      </c>
      <c r="C3910">
        <v>37</v>
      </c>
      <c r="D3910" t="s">
        <v>25</v>
      </c>
      <c r="E3910" t="s">
        <v>22</v>
      </c>
      <c r="F3910" t="s">
        <v>22</v>
      </c>
      <c r="G3910">
        <v>0</v>
      </c>
      <c r="H3910">
        <v>257.3</v>
      </c>
      <c r="I3910">
        <v>117</v>
      </c>
      <c r="J3910">
        <v>43.74</v>
      </c>
      <c r="K3910">
        <v>134.5</v>
      </c>
      <c r="L3910">
        <v>92</v>
      </c>
      <c r="M3910">
        <v>11.43</v>
      </c>
      <c r="N3910">
        <v>306.2</v>
      </c>
      <c r="O3910">
        <v>102</v>
      </c>
      <c r="P3910">
        <v>13.78</v>
      </c>
      <c r="Q3910">
        <v>8.1999999999999993</v>
      </c>
      <c r="R3910">
        <v>5</v>
      </c>
      <c r="S3910">
        <v>2.21</v>
      </c>
      <c r="T3910">
        <v>3</v>
      </c>
      <c r="U3910" t="s">
        <v>22</v>
      </c>
      <c r="V3910" t="e">
        <f>IF(#REF! = "yes", 1, 0)</f>
        <v>#REF!</v>
      </c>
      <c r="W3910" t="e">
        <f>IF(#REF! &lt;= 1, "0-1 Calls", IF(#REF! &lt;= 3, "2-3 Calls", IF(#REF! &lt;=5, "4-5 Calls", "6+ Calls")))</f>
        <v>#REF!</v>
      </c>
      <c r="X3910" t="e">
        <f>IF(#REF! &lt;= 50, "0-50", IF(#REF! &lt;=100, "51-100", IF(#REF! &lt;= 150, "101-150", "151+")))</f>
        <v>#REF!</v>
      </c>
      <c r="Y3910" t="e">
        <f>IF(#REF! &lt;= 3, "Low Charges", "High Charges")</f>
        <v>#REF!</v>
      </c>
      <c r="Z3910" t="e">
        <f>IF(#REF!&lt;=80,"Low Calls",
IF(#REF!&lt;=120,"Medium Calls","High Calls"))</f>
        <v>#REF!</v>
      </c>
      <c r="AA3910" t="e">
        <f>IF(#REF!&lt;=15,"Low Charges",
IF(#REF!&lt;=20,"Medium Charges","High Charges"))</f>
        <v>#REF!</v>
      </c>
      <c r="AB3910" t="e">
        <f>IF(AND(#REF!&gt;180, #REF!&gt;200), "Heavy Doemstic User", IF(#REF!&gt;10, "Interntional User", IF(AND(#REF!&lt;180, #REF!&lt;200,#REF!&lt;200), "Light User", "Balanced User")))</f>
        <v>#REF!</v>
      </c>
      <c r="AC3910" t="e">
        <f>IF(#REF! = 0, "No Usage", IF(#REF! &lt;= 20, "Low Usage", IF(#REF! &lt;= 40, "Medium Usgae", "High Usage")))</f>
        <v>#REF!</v>
      </c>
      <c r="AD3910" t="e">
        <f>IF(#REF!&lt;=150,"Low Usage", IF(#REF!&lt;=200,"Medium Usage", IF(#REF!&lt;=250,"High Usage","Very High Usage")))</f>
        <v>#REF!</v>
      </c>
      <c r="AE3910" t="e">
        <f>IF(#REF!&lt;=5,"Low Calls", IF(#REF!&lt;=10, "Medium Calls", "High Calls"))</f>
        <v>#REF!</v>
      </c>
      <c r="AF3910" t="e">
        <f xml:space="preserve">
IF(#REF!&gt;=4,4,0)+
IF(#REF!="yes",3,0)+
IF(#REF!="High Charges",3,0)+
IF(#REF!&gt;250,4,0)+
IF(#REF!="no",1,0)+
IF(#REF!="Heavy Domestic User",2,0)</f>
        <v>#REF!</v>
      </c>
      <c r="AG3910" t="e">
        <f>IF(#REF!&gt;=10,"High Risk", IF(#REF!&gt;=5,"Medium Risk","Low Risk"))</f>
        <v>#REF!</v>
      </c>
      <c r="AH3910" t="e">
        <f>#REF! + #REF! + #REF! + #REF!</f>
        <v>#REF!</v>
      </c>
    </row>
    <row r="3911" spans="1:34" x14ac:dyDescent="0.35">
      <c r="A3911">
        <v>3910</v>
      </c>
      <c r="B3911" t="s">
        <v>38</v>
      </c>
      <c r="C3911">
        <v>162</v>
      </c>
      <c r="D3911" t="s">
        <v>28</v>
      </c>
      <c r="E3911" t="s">
        <v>22</v>
      </c>
      <c r="F3911" t="s">
        <v>22</v>
      </c>
      <c r="G3911">
        <v>0</v>
      </c>
      <c r="H3911">
        <v>103.3</v>
      </c>
      <c r="I3911">
        <v>93</v>
      </c>
      <c r="J3911">
        <v>17.559999999999999</v>
      </c>
      <c r="K3911">
        <v>210.6</v>
      </c>
      <c r="L3911">
        <v>87</v>
      </c>
      <c r="M3911">
        <v>17.899999999999999</v>
      </c>
      <c r="N3911">
        <v>187.2</v>
      </c>
      <c r="O3911">
        <v>118</v>
      </c>
      <c r="P3911">
        <v>8.42</v>
      </c>
      <c r="Q3911">
        <v>11.4</v>
      </c>
      <c r="R3911">
        <v>6</v>
      </c>
      <c r="S3911">
        <v>3.08</v>
      </c>
      <c r="T3911">
        <v>1</v>
      </c>
      <c r="U3911" t="s">
        <v>22</v>
      </c>
      <c r="V3911" t="e">
        <f>IF(#REF! = "yes", 1, 0)</f>
        <v>#REF!</v>
      </c>
      <c r="W3911" t="e">
        <f>IF(#REF! &lt;= 1, "0-1 Calls", IF(#REF! &lt;= 3, "2-3 Calls", IF(#REF! &lt;=5, "4-5 Calls", "6+ Calls")))</f>
        <v>#REF!</v>
      </c>
      <c r="X3911" t="e">
        <f>IF(#REF! &lt;= 50, "0-50", IF(#REF! &lt;=100, "51-100", IF(#REF! &lt;= 150, "101-150", "151+")))</f>
        <v>#REF!</v>
      </c>
      <c r="Y3911" t="e">
        <f>IF(#REF! &lt;= 3, "Low Charges", "High Charges")</f>
        <v>#REF!</v>
      </c>
      <c r="Z3911" t="e">
        <f>IF(#REF!&lt;=80,"Low Calls",
IF(#REF!&lt;=120,"Medium Calls","High Calls"))</f>
        <v>#REF!</v>
      </c>
      <c r="AA3911" t="e">
        <f>IF(#REF!&lt;=15,"Low Charges",
IF(#REF!&lt;=20,"Medium Charges","High Charges"))</f>
        <v>#REF!</v>
      </c>
      <c r="AB3911" t="e">
        <f>IF(AND(#REF!&gt;180, #REF!&gt;200), "Heavy Doemstic User", IF(#REF!&gt;10, "Interntional User", IF(AND(#REF!&lt;180, #REF!&lt;200,#REF!&lt;200), "Light User", "Balanced User")))</f>
        <v>#REF!</v>
      </c>
      <c r="AC3911" t="e">
        <f>IF(#REF! = 0, "No Usage", IF(#REF! &lt;= 20, "Low Usage", IF(#REF! &lt;= 40, "Medium Usgae", "High Usage")))</f>
        <v>#REF!</v>
      </c>
      <c r="AD3911" t="e">
        <f>IF(#REF!&lt;=150,"Low Usage", IF(#REF!&lt;=200,"Medium Usage", IF(#REF!&lt;=250,"High Usage","Very High Usage")))</f>
        <v>#REF!</v>
      </c>
      <c r="AE3911" t="e">
        <f>IF(#REF!&lt;=5,"Low Calls", IF(#REF!&lt;=10, "Medium Calls", "High Calls"))</f>
        <v>#REF!</v>
      </c>
      <c r="AF3911" t="e">
        <f xml:space="preserve">
IF(#REF!&gt;=4,4,0)+
IF(#REF!="yes",3,0)+
IF(#REF!="High Charges",3,0)+
IF(#REF!&gt;250,4,0)+
IF(#REF!="no",1,0)+
IF(#REF!="Heavy Domestic User",2,0)</f>
        <v>#REF!</v>
      </c>
      <c r="AG3911" t="e">
        <f>IF(#REF!&gt;=10,"High Risk", IF(#REF!&gt;=5,"Medium Risk","Low Risk"))</f>
        <v>#REF!</v>
      </c>
      <c r="AH3911" t="e">
        <f>#REF! + #REF! + #REF! + #REF!</f>
        <v>#REF!</v>
      </c>
    </row>
    <row r="3912" spans="1:34" x14ac:dyDescent="0.35">
      <c r="A3912">
        <v>3911</v>
      </c>
      <c r="B3912" t="s">
        <v>42</v>
      </c>
      <c r="C3912">
        <v>193</v>
      </c>
      <c r="D3912" t="s">
        <v>21</v>
      </c>
      <c r="E3912" t="s">
        <v>22</v>
      </c>
      <c r="F3912" t="s">
        <v>22</v>
      </c>
      <c r="G3912">
        <v>0</v>
      </c>
      <c r="H3912">
        <v>208.1</v>
      </c>
      <c r="I3912">
        <v>115</v>
      </c>
      <c r="J3912">
        <v>35.380000000000003</v>
      </c>
      <c r="K3912">
        <v>178</v>
      </c>
      <c r="L3912">
        <v>104</v>
      </c>
      <c r="M3912">
        <v>15.13</v>
      </c>
      <c r="N3912">
        <v>195.9</v>
      </c>
      <c r="O3912">
        <v>95</v>
      </c>
      <c r="P3912">
        <v>8.82</v>
      </c>
      <c r="Q3912">
        <v>12.4</v>
      </c>
      <c r="R3912">
        <v>9</v>
      </c>
      <c r="S3912">
        <v>3.35</v>
      </c>
      <c r="T3912">
        <v>3</v>
      </c>
      <c r="U3912" t="s">
        <v>22</v>
      </c>
      <c r="V3912" t="e">
        <f>IF(#REF! = "yes", 1, 0)</f>
        <v>#REF!</v>
      </c>
      <c r="W3912" t="e">
        <f>IF(#REF! &lt;= 1, "0-1 Calls", IF(#REF! &lt;= 3, "2-3 Calls", IF(#REF! &lt;=5, "4-5 Calls", "6+ Calls")))</f>
        <v>#REF!</v>
      </c>
      <c r="X3912" t="e">
        <f>IF(#REF! &lt;= 50, "0-50", IF(#REF! &lt;=100, "51-100", IF(#REF! &lt;= 150, "101-150", "151+")))</f>
        <v>#REF!</v>
      </c>
      <c r="Y3912" t="e">
        <f>IF(#REF! &lt;= 3, "Low Charges", "High Charges")</f>
        <v>#REF!</v>
      </c>
      <c r="Z3912" t="e">
        <f>IF(#REF!&lt;=80,"Low Calls",
IF(#REF!&lt;=120,"Medium Calls","High Calls"))</f>
        <v>#REF!</v>
      </c>
      <c r="AA3912" t="e">
        <f>IF(#REF!&lt;=15,"Low Charges",
IF(#REF!&lt;=20,"Medium Charges","High Charges"))</f>
        <v>#REF!</v>
      </c>
      <c r="AB3912" t="e">
        <f>IF(AND(#REF!&gt;180, #REF!&gt;200), "Heavy Doemstic User", IF(#REF!&gt;10, "Interntional User", IF(AND(#REF!&lt;180, #REF!&lt;200,#REF!&lt;200), "Light User", "Balanced User")))</f>
        <v>#REF!</v>
      </c>
      <c r="AC3912" t="e">
        <f>IF(#REF! = 0, "No Usage", IF(#REF! &lt;= 20, "Low Usage", IF(#REF! &lt;= 40, "Medium Usgae", "High Usage")))</f>
        <v>#REF!</v>
      </c>
      <c r="AD3912" t="e">
        <f>IF(#REF!&lt;=150,"Low Usage", IF(#REF!&lt;=200,"Medium Usage", IF(#REF!&lt;=250,"High Usage","Very High Usage")))</f>
        <v>#REF!</v>
      </c>
      <c r="AE3912" t="e">
        <f>IF(#REF!&lt;=5,"Low Calls", IF(#REF!&lt;=10, "Medium Calls", "High Calls"))</f>
        <v>#REF!</v>
      </c>
      <c r="AF3912" t="e">
        <f xml:space="preserve">
IF(#REF!&gt;=4,4,0)+
IF(#REF!="yes",3,0)+
IF(#REF!="High Charges",3,0)+
IF(#REF!&gt;250,4,0)+
IF(#REF!="no",1,0)+
IF(#REF!="Heavy Domestic User",2,0)</f>
        <v>#REF!</v>
      </c>
      <c r="AG3912" t="e">
        <f>IF(#REF!&gt;=10,"High Risk", IF(#REF!&gt;=5,"Medium Risk","Low Risk"))</f>
        <v>#REF!</v>
      </c>
      <c r="AH3912" t="e">
        <f>#REF! + #REF! + #REF! + #REF!</f>
        <v>#REF!</v>
      </c>
    </row>
    <row r="3913" spans="1:34" x14ac:dyDescent="0.35">
      <c r="A3913">
        <v>3912</v>
      </c>
      <c r="B3913" t="s">
        <v>55</v>
      </c>
      <c r="C3913">
        <v>80</v>
      </c>
      <c r="D3913" t="s">
        <v>21</v>
      </c>
      <c r="E3913" t="s">
        <v>22</v>
      </c>
      <c r="F3913" t="s">
        <v>22</v>
      </c>
      <c r="G3913">
        <v>0</v>
      </c>
      <c r="H3913">
        <v>195.1</v>
      </c>
      <c r="I3913">
        <v>65</v>
      </c>
      <c r="J3913">
        <v>33.17</v>
      </c>
      <c r="K3913">
        <v>214</v>
      </c>
      <c r="L3913">
        <v>80</v>
      </c>
      <c r="M3913">
        <v>18.190000000000001</v>
      </c>
      <c r="N3913">
        <v>124.4</v>
      </c>
      <c r="O3913">
        <v>96</v>
      </c>
      <c r="P3913">
        <v>5.6</v>
      </c>
      <c r="Q3913">
        <v>9.1999999999999993</v>
      </c>
      <c r="R3913">
        <v>6</v>
      </c>
      <c r="S3913">
        <v>2.48</v>
      </c>
      <c r="T3913">
        <v>2</v>
      </c>
      <c r="U3913" t="s">
        <v>22</v>
      </c>
      <c r="V3913" t="e">
        <f>IF(#REF! = "yes", 1, 0)</f>
        <v>#REF!</v>
      </c>
      <c r="W3913" t="e">
        <f>IF(#REF! &lt;= 1, "0-1 Calls", IF(#REF! &lt;= 3, "2-3 Calls", IF(#REF! &lt;=5, "4-5 Calls", "6+ Calls")))</f>
        <v>#REF!</v>
      </c>
      <c r="X3913" t="e">
        <f>IF(#REF! &lt;= 50, "0-50", IF(#REF! &lt;=100, "51-100", IF(#REF! &lt;= 150, "101-150", "151+")))</f>
        <v>#REF!</v>
      </c>
      <c r="Y3913" t="e">
        <f>IF(#REF! &lt;= 3, "Low Charges", "High Charges")</f>
        <v>#REF!</v>
      </c>
      <c r="Z3913" t="e">
        <f>IF(#REF!&lt;=80,"Low Calls",
IF(#REF!&lt;=120,"Medium Calls","High Calls"))</f>
        <v>#REF!</v>
      </c>
      <c r="AA3913" t="e">
        <f>IF(#REF!&lt;=15,"Low Charges",
IF(#REF!&lt;=20,"Medium Charges","High Charges"))</f>
        <v>#REF!</v>
      </c>
      <c r="AB3913" t="e">
        <f>IF(AND(#REF!&gt;180, #REF!&gt;200), "Heavy Doemstic User", IF(#REF!&gt;10, "Interntional User", IF(AND(#REF!&lt;180, #REF!&lt;200,#REF!&lt;200), "Light User", "Balanced User")))</f>
        <v>#REF!</v>
      </c>
      <c r="AC3913" t="e">
        <f>IF(#REF! = 0, "No Usage", IF(#REF! &lt;= 20, "Low Usage", IF(#REF! &lt;= 40, "Medium Usgae", "High Usage")))</f>
        <v>#REF!</v>
      </c>
      <c r="AD3913" t="e">
        <f>IF(#REF!&lt;=150,"Low Usage", IF(#REF!&lt;=200,"Medium Usage", IF(#REF!&lt;=250,"High Usage","Very High Usage")))</f>
        <v>#REF!</v>
      </c>
      <c r="AE3913" t="e">
        <f>IF(#REF!&lt;=5,"Low Calls", IF(#REF!&lt;=10, "Medium Calls", "High Calls"))</f>
        <v>#REF!</v>
      </c>
      <c r="AF3913" t="e">
        <f xml:space="preserve">
IF(#REF!&gt;=4,4,0)+
IF(#REF!="yes",3,0)+
IF(#REF!="High Charges",3,0)+
IF(#REF!&gt;250,4,0)+
IF(#REF!="no",1,0)+
IF(#REF!="Heavy Domestic User",2,0)</f>
        <v>#REF!</v>
      </c>
      <c r="AG3913" t="e">
        <f>IF(#REF!&gt;=10,"High Risk", IF(#REF!&gt;=5,"Medium Risk","Low Risk"))</f>
        <v>#REF!</v>
      </c>
      <c r="AH3913" t="e">
        <f>#REF! + #REF! + #REF! + #REF!</f>
        <v>#REF!</v>
      </c>
    </row>
    <row r="3914" spans="1:34" x14ac:dyDescent="0.35">
      <c r="A3914">
        <v>3913</v>
      </c>
      <c r="B3914" t="s">
        <v>31</v>
      </c>
      <c r="C3914">
        <v>176</v>
      </c>
      <c r="D3914" t="s">
        <v>21</v>
      </c>
      <c r="E3914" t="s">
        <v>22</v>
      </c>
      <c r="F3914" t="s">
        <v>22</v>
      </c>
      <c r="G3914">
        <v>0</v>
      </c>
      <c r="H3914">
        <v>162.6</v>
      </c>
      <c r="I3914">
        <v>97</v>
      </c>
      <c r="J3914">
        <v>27.64</v>
      </c>
      <c r="K3914">
        <v>227.8</v>
      </c>
      <c r="L3914">
        <v>107</v>
      </c>
      <c r="M3914">
        <v>19.36</v>
      </c>
      <c r="N3914">
        <v>218.8</v>
      </c>
      <c r="O3914">
        <v>92</v>
      </c>
      <c r="P3914">
        <v>9.85</v>
      </c>
      <c r="Q3914">
        <v>11.3</v>
      </c>
      <c r="R3914">
        <v>4</v>
      </c>
      <c r="S3914">
        <v>3.05</v>
      </c>
      <c r="T3914">
        <v>1</v>
      </c>
      <c r="U3914" t="s">
        <v>22</v>
      </c>
      <c r="V3914" t="e">
        <f>IF(#REF! = "yes", 1, 0)</f>
        <v>#REF!</v>
      </c>
      <c r="W3914" t="e">
        <f>IF(#REF! &lt;= 1, "0-1 Calls", IF(#REF! &lt;= 3, "2-3 Calls", IF(#REF! &lt;=5, "4-5 Calls", "6+ Calls")))</f>
        <v>#REF!</v>
      </c>
      <c r="X3914" t="e">
        <f>IF(#REF! &lt;= 50, "0-50", IF(#REF! &lt;=100, "51-100", IF(#REF! &lt;= 150, "101-150", "151+")))</f>
        <v>#REF!</v>
      </c>
      <c r="Y3914" t="e">
        <f>IF(#REF! &lt;= 3, "Low Charges", "High Charges")</f>
        <v>#REF!</v>
      </c>
      <c r="Z3914" t="e">
        <f>IF(#REF!&lt;=80,"Low Calls",
IF(#REF!&lt;=120,"Medium Calls","High Calls"))</f>
        <v>#REF!</v>
      </c>
      <c r="AA3914" t="e">
        <f>IF(#REF!&lt;=15,"Low Charges",
IF(#REF!&lt;=20,"Medium Charges","High Charges"))</f>
        <v>#REF!</v>
      </c>
      <c r="AB3914" t="e">
        <f>IF(AND(#REF!&gt;180, #REF!&gt;200), "Heavy Doemstic User", IF(#REF!&gt;10, "Interntional User", IF(AND(#REF!&lt;180, #REF!&lt;200,#REF!&lt;200), "Light User", "Balanced User")))</f>
        <v>#REF!</v>
      </c>
      <c r="AC3914" t="e">
        <f>IF(#REF! = 0, "No Usage", IF(#REF! &lt;= 20, "Low Usage", IF(#REF! &lt;= 40, "Medium Usgae", "High Usage")))</f>
        <v>#REF!</v>
      </c>
      <c r="AD3914" t="e">
        <f>IF(#REF!&lt;=150,"Low Usage", IF(#REF!&lt;=200,"Medium Usage", IF(#REF!&lt;=250,"High Usage","Very High Usage")))</f>
        <v>#REF!</v>
      </c>
      <c r="AE3914" t="e">
        <f>IF(#REF!&lt;=5,"Low Calls", IF(#REF!&lt;=10, "Medium Calls", "High Calls"))</f>
        <v>#REF!</v>
      </c>
      <c r="AF3914" t="e">
        <f xml:space="preserve">
IF(#REF!&gt;=4,4,0)+
IF(#REF!="yes",3,0)+
IF(#REF!="High Charges",3,0)+
IF(#REF!&gt;250,4,0)+
IF(#REF!="no",1,0)+
IF(#REF!="Heavy Domestic User",2,0)</f>
        <v>#REF!</v>
      </c>
      <c r="AG3914" t="e">
        <f>IF(#REF!&gt;=10,"High Risk", IF(#REF!&gt;=5,"Medium Risk","Low Risk"))</f>
        <v>#REF!</v>
      </c>
      <c r="AH3914" t="e">
        <f>#REF! + #REF! + #REF! + #REF!</f>
        <v>#REF!</v>
      </c>
    </row>
    <row r="3915" spans="1:34" x14ac:dyDescent="0.35">
      <c r="A3915">
        <v>3914</v>
      </c>
      <c r="B3915" t="s">
        <v>42</v>
      </c>
      <c r="C3915">
        <v>89</v>
      </c>
      <c r="D3915" t="s">
        <v>28</v>
      </c>
      <c r="E3915" t="s">
        <v>22</v>
      </c>
      <c r="F3915" t="s">
        <v>23</v>
      </c>
      <c r="G3915">
        <v>24</v>
      </c>
      <c r="H3915">
        <v>197.8</v>
      </c>
      <c r="I3915">
        <v>84</v>
      </c>
      <c r="J3915">
        <v>33.630000000000003</v>
      </c>
      <c r="K3915">
        <v>223.2</v>
      </c>
      <c r="L3915">
        <v>117</v>
      </c>
      <c r="M3915">
        <v>18.97</v>
      </c>
      <c r="N3915">
        <v>201.7</v>
      </c>
      <c r="O3915">
        <v>132</v>
      </c>
      <c r="P3915">
        <v>9.08</v>
      </c>
      <c r="Q3915">
        <v>5.7</v>
      </c>
      <c r="R3915">
        <v>4</v>
      </c>
      <c r="S3915">
        <v>1.54</v>
      </c>
      <c r="T3915">
        <v>1</v>
      </c>
      <c r="U3915" t="s">
        <v>22</v>
      </c>
      <c r="V3915" t="e">
        <f>IF(#REF! = "yes", 1, 0)</f>
        <v>#REF!</v>
      </c>
      <c r="W3915" t="e">
        <f>IF(#REF! &lt;= 1, "0-1 Calls", IF(#REF! &lt;= 3, "2-3 Calls", IF(#REF! &lt;=5, "4-5 Calls", "6+ Calls")))</f>
        <v>#REF!</v>
      </c>
      <c r="X3915" t="e">
        <f>IF(#REF! &lt;= 50, "0-50", IF(#REF! &lt;=100, "51-100", IF(#REF! &lt;= 150, "101-150", "151+")))</f>
        <v>#REF!</v>
      </c>
      <c r="Y3915" t="e">
        <f>IF(#REF! &lt;= 3, "Low Charges", "High Charges")</f>
        <v>#REF!</v>
      </c>
      <c r="Z3915" t="e">
        <f>IF(#REF!&lt;=80,"Low Calls",
IF(#REF!&lt;=120,"Medium Calls","High Calls"))</f>
        <v>#REF!</v>
      </c>
      <c r="AA3915" t="e">
        <f>IF(#REF!&lt;=15,"Low Charges",
IF(#REF!&lt;=20,"Medium Charges","High Charges"))</f>
        <v>#REF!</v>
      </c>
      <c r="AB3915" t="e">
        <f>IF(AND(#REF!&gt;180, #REF!&gt;200), "Heavy Doemstic User", IF(#REF!&gt;10, "Interntional User", IF(AND(#REF!&lt;180, #REF!&lt;200,#REF!&lt;200), "Light User", "Balanced User")))</f>
        <v>#REF!</v>
      </c>
      <c r="AC3915" t="e">
        <f>IF(#REF! = 0, "No Usage", IF(#REF! &lt;= 20, "Low Usage", IF(#REF! &lt;= 40, "Medium Usgae", "High Usage")))</f>
        <v>#REF!</v>
      </c>
      <c r="AD3915" t="e">
        <f>IF(#REF!&lt;=150,"Low Usage", IF(#REF!&lt;=200,"Medium Usage", IF(#REF!&lt;=250,"High Usage","Very High Usage")))</f>
        <v>#REF!</v>
      </c>
      <c r="AE3915" t="e">
        <f>IF(#REF!&lt;=5,"Low Calls", IF(#REF!&lt;=10, "Medium Calls", "High Calls"))</f>
        <v>#REF!</v>
      </c>
      <c r="AF3915" t="e">
        <f xml:space="preserve">
IF(#REF!&gt;=4,4,0)+
IF(#REF!="yes",3,0)+
IF(#REF!="High Charges",3,0)+
IF(#REF!&gt;250,4,0)+
IF(#REF!="no",1,0)+
IF(#REF!="Heavy Domestic User",2,0)</f>
        <v>#REF!</v>
      </c>
      <c r="AG3915" t="e">
        <f>IF(#REF!&gt;=10,"High Risk", IF(#REF!&gt;=5,"Medium Risk","Low Risk"))</f>
        <v>#REF!</v>
      </c>
      <c r="AH3915" t="e">
        <f>#REF! + #REF! + #REF! + #REF!</f>
        <v>#REF!</v>
      </c>
    </row>
    <row r="3916" spans="1:34" x14ac:dyDescent="0.35">
      <c r="A3916">
        <v>3915</v>
      </c>
      <c r="B3916" t="s">
        <v>33</v>
      </c>
      <c r="C3916">
        <v>128</v>
      </c>
      <c r="D3916" t="s">
        <v>28</v>
      </c>
      <c r="E3916" t="s">
        <v>22</v>
      </c>
      <c r="F3916" t="s">
        <v>22</v>
      </c>
      <c r="G3916">
        <v>0</v>
      </c>
      <c r="H3916">
        <v>212.4</v>
      </c>
      <c r="I3916">
        <v>118</v>
      </c>
      <c r="J3916">
        <v>36.11</v>
      </c>
      <c r="K3916">
        <v>148.6</v>
      </c>
      <c r="L3916">
        <v>108</v>
      </c>
      <c r="M3916">
        <v>12.63</v>
      </c>
      <c r="N3916">
        <v>214.8</v>
      </c>
      <c r="O3916">
        <v>98</v>
      </c>
      <c r="P3916">
        <v>9.67</v>
      </c>
      <c r="Q3916">
        <v>9.8000000000000007</v>
      </c>
      <c r="R3916">
        <v>5</v>
      </c>
      <c r="S3916">
        <v>2.65</v>
      </c>
      <c r="T3916">
        <v>1</v>
      </c>
      <c r="U3916" t="s">
        <v>22</v>
      </c>
      <c r="V3916" t="e">
        <f>IF(#REF! = "yes", 1, 0)</f>
        <v>#REF!</v>
      </c>
      <c r="W3916" t="e">
        <f>IF(#REF! &lt;= 1, "0-1 Calls", IF(#REF! &lt;= 3, "2-3 Calls", IF(#REF! &lt;=5, "4-5 Calls", "6+ Calls")))</f>
        <v>#REF!</v>
      </c>
      <c r="X3916" t="e">
        <f>IF(#REF! &lt;= 50, "0-50", IF(#REF! &lt;=100, "51-100", IF(#REF! &lt;= 150, "101-150", "151+")))</f>
        <v>#REF!</v>
      </c>
      <c r="Y3916" t="e">
        <f>IF(#REF! &lt;= 3, "Low Charges", "High Charges")</f>
        <v>#REF!</v>
      </c>
      <c r="Z3916" t="e">
        <f>IF(#REF!&lt;=80,"Low Calls",
IF(#REF!&lt;=120,"Medium Calls","High Calls"))</f>
        <v>#REF!</v>
      </c>
      <c r="AA3916" t="e">
        <f>IF(#REF!&lt;=15,"Low Charges",
IF(#REF!&lt;=20,"Medium Charges","High Charges"))</f>
        <v>#REF!</v>
      </c>
      <c r="AB3916" t="e">
        <f>IF(AND(#REF!&gt;180, #REF!&gt;200), "Heavy Doemstic User", IF(#REF!&gt;10, "Interntional User", IF(AND(#REF!&lt;180, #REF!&lt;200,#REF!&lt;200), "Light User", "Balanced User")))</f>
        <v>#REF!</v>
      </c>
      <c r="AC3916" t="e">
        <f>IF(#REF! = 0, "No Usage", IF(#REF! &lt;= 20, "Low Usage", IF(#REF! &lt;= 40, "Medium Usgae", "High Usage")))</f>
        <v>#REF!</v>
      </c>
      <c r="AD3916" t="e">
        <f>IF(#REF!&lt;=150,"Low Usage", IF(#REF!&lt;=200,"Medium Usage", IF(#REF!&lt;=250,"High Usage","Very High Usage")))</f>
        <v>#REF!</v>
      </c>
      <c r="AE3916" t="e">
        <f>IF(#REF!&lt;=5,"Low Calls", IF(#REF!&lt;=10, "Medium Calls", "High Calls"))</f>
        <v>#REF!</v>
      </c>
      <c r="AF3916" t="e">
        <f xml:space="preserve">
IF(#REF!&gt;=4,4,0)+
IF(#REF!="yes",3,0)+
IF(#REF!="High Charges",3,0)+
IF(#REF!&gt;250,4,0)+
IF(#REF!="no",1,0)+
IF(#REF!="Heavy Domestic User",2,0)</f>
        <v>#REF!</v>
      </c>
      <c r="AG3916" t="e">
        <f>IF(#REF!&gt;=10,"High Risk", IF(#REF!&gt;=5,"Medium Risk","Low Risk"))</f>
        <v>#REF!</v>
      </c>
      <c r="AH3916" t="e">
        <f>#REF! + #REF! + #REF! + #REF!</f>
        <v>#REF!</v>
      </c>
    </row>
    <row r="3917" spans="1:34" x14ac:dyDescent="0.35">
      <c r="A3917">
        <v>3916</v>
      </c>
      <c r="B3917" t="s">
        <v>61</v>
      </c>
      <c r="C3917">
        <v>138</v>
      </c>
      <c r="D3917" t="s">
        <v>25</v>
      </c>
      <c r="E3917" t="s">
        <v>22</v>
      </c>
      <c r="F3917" t="s">
        <v>22</v>
      </c>
      <c r="G3917">
        <v>0</v>
      </c>
      <c r="H3917">
        <v>63.7</v>
      </c>
      <c r="I3917">
        <v>114</v>
      </c>
      <c r="J3917">
        <v>10.83</v>
      </c>
      <c r="K3917">
        <v>212.2</v>
      </c>
      <c r="L3917">
        <v>132</v>
      </c>
      <c r="M3917">
        <v>18.04</v>
      </c>
      <c r="N3917">
        <v>247.6</v>
      </c>
      <c r="O3917">
        <v>114</v>
      </c>
      <c r="P3917">
        <v>11.14</v>
      </c>
      <c r="Q3917">
        <v>8.8000000000000007</v>
      </c>
      <c r="R3917">
        <v>4</v>
      </c>
      <c r="S3917">
        <v>2.38</v>
      </c>
      <c r="T3917">
        <v>0</v>
      </c>
      <c r="U3917" t="s">
        <v>22</v>
      </c>
      <c r="V3917" t="e">
        <f>IF(#REF! = "yes", 1, 0)</f>
        <v>#REF!</v>
      </c>
      <c r="W3917" t="e">
        <f>IF(#REF! &lt;= 1, "0-1 Calls", IF(#REF! &lt;= 3, "2-3 Calls", IF(#REF! &lt;=5, "4-5 Calls", "6+ Calls")))</f>
        <v>#REF!</v>
      </c>
      <c r="X3917" t="e">
        <f>IF(#REF! &lt;= 50, "0-50", IF(#REF! &lt;=100, "51-100", IF(#REF! &lt;= 150, "101-150", "151+")))</f>
        <v>#REF!</v>
      </c>
      <c r="Y3917" t="e">
        <f>IF(#REF! &lt;= 3, "Low Charges", "High Charges")</f>
        <v>#REF!</v>
      </c>
      <c r="Z3917" t="e">
        <f>IF(#REF!&lt;=80,"Low Calls",
IF(#REF!&lt;=120,"Medium Calls","High Calls"))</f>
        <v>#REF!</v>
      </c>
      <c r="AA3917" t="e">
        <f>IF(#REF!&lt;=15,"Low Charges",
IF(#REF!&lt;=20,"Medium Charges","High Charges"))</f>
        <v>#REF!</v>
      </c>
      <c r="AB3917" t="e">
        <f>IF(AND(#REF!&gt;180, #REF!&gt;200), "Heavy Doemstic User", IF(#REF!&gt;10, "Interntional User", IF(AND(#REF!&lt;180, #REF!&lt;200,#REF!&lt;200), "Light User", "Balanced User")))</f>
        <v>#REF!</v>
      </c>
      <c r="AC3917" t="e">
        <f>IF(#REF! = 0, "No Usage", IF(#REF! &lt;= 20, "Low Usage", IF(#REF! &lt;= 40, "Medium Usgae", "High Usage")))</f>
        <v>#REF!</v>
      </c>
      <c r="AD3917" t="e">
        <f>IF(#REF!&lt;=150,"Low Usage", IF(#REF!&lt;=200,"Medium Usage", IF(#REF!&lt;=250,"High Usage","Very High Usage")))</f>
        <v>#REF!</v>
      </c>
      <c r="AE3917" t="e">
        <f>IF(#REF!&lt;=5,"Low Calls", IF(#REF!&lt;=10, "Medium Calls", "High Calls"))</f>
        <v>#REF!</v>
      </c>
      <c r="AF3917" t="e">
        <f xml:space="preserve">
IF(#REF!&gt;=4,4,0)+
IF(#REF!="yes",3,0)+
IF(#REF!="High Charges",3,0)+
IF(#REF!&gt;250,4,0)+
IF(#REF!="no",1,0)+
IF(#REF!="Heavy Domestic User",2,0)</f>
        <v>#REF!</v>
      </c>
      <c r="AG3917" t="e">
        <f>IF(#REF!&gt;=10,"High Risk", IF(#REF!&gt;=5,"Medium Risk","Low Risk"))</f>
        <v>#REF!</v>
      </c>
      <c r="AH3917" t="e">
        <f>#REF! + #REF! + #REF! + #REF!</f>
        <v>#REF!</v>
      </c>
    </row>
    <row r="3918" spans="1:34" x14ac:dyDescent="0.35">
      <c r="A3918">
        <v>3917</v>
      </c>
      <c r="B3918" t="s">
        <v>45</v>
      </c>
      <c r="C3918">
        <v>90</v>
      </c>
      <c r="D3918" t="s">
        <v>25</v>
      </c>
      <c r="E3918" t="s">
        <v>22</v>
      </c>
      <c r="F3918" t="s">
        <v>22</v>
      </c>
      <c r="G3918">
        <v>0</v>
      </c>
      <c r="H3918">
        <v>193.8</v>
      </c>
      <c r="I3918">
        <v>90</v>
      </c>
      <c r="J3918">
        <v>32.950000000000003</v>
      </c>
      <c r="K3918">
        <v>206.6</v>
      </c>
      <c r="L3918">
        <v>98</v>
      </c>
      <c r="M3918">
        <v>17.559999999999999</v>
      </c>
      <c r="N3918">
        <v>153.30000000000001</v>
      </c>
      <c r="O3918">
        <v>120</v>
      </c>
      <c r="P3918">
        <v>6.9</v>
      </c>
      <c r="Q3918">
        <v>10.1</v>
      </c>
      <c r="R3918">
        <v>9</v>
      </c>
      <c r="S3918">
        <v>2.73</v>
      </c>
      <c r="T3918">
        <v>3</v>
      </c>
      <c r="U3918" t="s">
        <v>22</v>
      </c>
      <c r="V3918" t="e">
        <f>IF(#REF! = "yes", 1, 0)</f>
        <v>#REF!</v>
      </c>
      <c r="W3918" t="e">
        <f>IF(#REF! &lt;= 1, "0-1 Calls", IF(#REF! &lt;= 3, "2-3 Calls", IF(#REF! &lt;=5, "4-5 Calls", "6+ Calls")))</f>
        <v>#REF!</v>
      </c>
      <c r="X3918" t="e">
        <f>IF(#REF! &lt;= 50, "0-50", IF(#REF! &lt;=100, "51-100", IF(#REF! &lt;= 150, "101-150", "151+")))</f>
        <v>#REF!</v>
      </c>
      <c r="Y3918" t="e">
        <f>IF(#REF! &lt;= 3, "Low Charges", "High Charges")</f>
        <v>#REF!</v>
      </c>
      <c r="Z3918" t="e">
        <f>IF(#REF!&lt;=80,"Low Calls",
IF(#REF!&lt;=120,"Medium Calls","High Calls"))</f>
        <v>#REF!</v>
      </c>
      <c r="AA3918" t="e">
        <f>IF(#REF!&lt;=15,"Low Charges",
IF(#REF!&lt;=20,"Medium Charges","High Charges"))</f>
        <v>#REF!</v>
      </c>
      <c r="AB3918" t="e">
        <f>IF(AND(#REF!&gt;180, #REF!&gt;200), "Heavy Doemstic User", IF(#REF!&gt;10, "Interntional User", IF(AND(#REF!&lt;180, #REF!&lt;200,#REF!&lt;200), "Light User", "Balanced User")))</f>
        <v>#REF!</v>
      </c>
      <c r="AC3918" t="e">
        <f>IF(#REF! = 0, "No Usage", IF(#REF! &lt;= 20, "Low Usage", IF(#REF! &lt;= 40, "Medium Usgae", "High Usage")))</f>
        <v>#REF!</v>
      </c>
      <c r="AD3918" t="e">
        <f>IF(#REF!&lt;=150,"Low Usage", IF(#REF!&lt;=200,"Medium Usage", IF(#REF!&lt;=250,"High Usage","Very High Usage")))</f>
        <v>#REF!</v>
      </c>
      <c r="AE3918" t="e">
        <f>IF(#REF!&lt;=5,"Low Calls", IF(#REF!&lt;=10, "Medium Calls", "High Calls"))</f>
        <v>#REF!</v>
      </c>
      <c r="AF3918" t="e">
        <f xml:space="preserve">
IF(#REF!&gt;=4,4,0)+
IF(#REF!="yes",3,0)+
IF(#REF!="High Charges",3,0)+
IF(#REF!&gt;250,4,0)+
IF(#REF!="no",1,0)+
IF(#REF!="Heavy Domestic User",2,0)</f>
        <v>#REF!</v>
      </c>
      <c r="AG3918" t="e">
        <f>IF(#REF!&gt;=10,"High Risk", IF(#REF!&gt;=5,"Medium Risk","Low Risk"))</f>
        <v>#REF!</v>
      </c>
      <c r="AH3918" t="e">
        <f>#REF! + #REF! + #REF! + #REF!</f>
        <v>#REF!</v>
      </c>
    </row>
    <row r="3919" spans="1:34" x14ac:dyDescent="0.35">
      <c r="A3919">
        <v>3918</v>
      </c>
      <c r="B3919" t="s">
        <v>36</v>
      </c>
      <c r="C3919">
        <v>57</v>
      </c>
      <c r="D3919" t="s">
        <v>28</v>
      </c>
      <c r="E3919" t="s">
        <v>22</v>
      </c>
      <c r="F3919" t="s">
        <v>23</v>
      </c>
      <c r="G3919">
        <v>25</v>
      </c>
      <c r="H3919">
        <v>144</v>
      </c>
      <c r="I3919">
        <v>81</v>
      </c>
      <c r="J3919">
        <v>24.48</v>
      </c>
      <c r="K3919">
        <v>187.2</v>
      </c>
      <c r="L3919">
        <v>112</v>
      </c>
      <c r="M3919">
        <v>15.91</v>
      </c>
      <c r="N3919">
        <v>158.6</v>
      </c>
      <c r="O3919">
        <v>122</v>
      </c>
      <c r="P3919">
        <v>7.14</v>
      </c>
      <c r="Q3919">
        <v>8.5</v>
      </c>
      <c r="R3919">
        <v>6</v>
      </c>
      <c r="S3919">
        <v>2.2999999999999998</v>
      </c>
      <c r="T3919">
        <v>3</v>
      </c>
      <c r="U3919" t="s">
        <v>22</v>
      </c>
      <c r="V3919" t="e">
        <f>IF(#REF! = "yes", 1, 0)</f>
        <v>#REF!</v>
      </c>
      <c r="W3919" t="e">
        <f>IF(#REF! &lt;= 1, "0-1 Calls", IF(#REF! &lt;= 3, "2-3 Calls", IF(#REF! &lt;=5, "4-5 Calls", "6+ Calls")))</f>
        <v>#REF!</v>
      </c>
      <c r="X3919" t="e">
        <f>IF(#REF! &lt;= 50, "0-50", IF(#REF! &lt;=100, "51-100", IF(#REF! &lt;= 150, "101-150", "151+")))</f>
        <v>#REF!</v>
      </c>
      <c r="Y3919" t="e">
        <f>IF(#REF! &lt;= 3, "Low Charges", "High Charges")</f>
        <v>#REF!</v>
      </c>
      <c r="Z3919" t="e">
        <f>IF(#REF!&lt;=80,"Low Calls",
IF(#REF!&lt;=120,"Medium Calls","High Calls"))</f>
        <v>#REF!</v>
      </c>
      <c r="AA3919" t="e">
        <f>IF(#REF!&lt;=15,"Low Charges",
IF(#REF!&lt;=20,"Medium Charges","High Charges"))</f>
        <v>#REF!</v>
      </c>
      <c r="AB3919" t="e">
        <f>IF(AND(#REF!&gt;180, #REF!&gt;200), "Heavy Doemstic User", IF(#REF!&gt;10, "Interntional User", IF(AND(#REF!&lt;180, #REF!&lt;200,#REF!&lt;200), "Light User", "Balanced User")))</f>
        <v>#REF!</v>
      </c>
      <c r="AC3919" t="e">
        <f>IF(#REF! = 0, "No Usage", IF(#REF! &lt;= 20, "Low Usage", IF(#REF! &lt;= 40, "Medium Usgae", "High Usage")))</f>
        <v>#REF!</v>
      </c>
      <c r="AD3919" t="e">
        <f>IF(#REF!&lt;=150,"Low Usage", IF(#REF!&lt;=200,"Medium Usage", IF(#REF!&lt;=250,"High Usage","Very High Usage")))</f>
        <v>#REF!</v>
      </c>
      <c r="AE3919" t="e">
        <f>IF(#REF!&lt;=5,"Low Calls", IF(#REF!&lt;=10, "Medium Calls", "High Calls"))</f>
        <v>#REF!</v>
      </c>
      <c r="AF3919" t="e">
        <f xml:space="preserve">
IF(#REF!&gt;=4,4,0)+
IF(#REF!="yes",3,0)+
IF(#REF!="High Charges",3,0)+
IF(#REF!&gt;250,4,0)+
IF(#REF!="no",1,0)+
IF(#REF!="Heavy Domestic User",2,0)</f>
        <v>#REF!</v>
      </c>
      <c r="AG3919" t="e">
        <f>IF(#REF!&gt;=10,"High Risk", IF(#REF!&gt;=5,"Medium Risk","Low Risk"))</f>
        <v>#REF!</v>
      </c>
      <c r="AH3919" t="e">
        <f>#REF! + #REF! + #REF! + #REF!</f>
        <v>#REF!</v>
      </c>
    </row>
    <row r="3920" spans="1:34" x14ac:dyDescent="0.35">
      <c r="A3920">
        <v>3919</v>
      </c>
      <c r="B3920" t="s">
        <v>61</v>
      </c>
      <c r="C3920">
        <v>177</v>
      </c>
      <c r="D3920" t="s">
        <v>25</v>
      </c>
      <c r="E3920" t="s">
        <v>22</v>
      </c>
      <c r="F3920" t="s">
        <v>23</v>
      </c>
      <c r="G3920">
        <v>29</v>
      </c>
      <c r="H3920">
        <v>189</v>
      </c>
      <c r="I3920">
        <v>91</v>
      </c>
      <c r="J3920">
        <v>32.130000000000003</v>
      </c>
      <c r="K3920">
        <v>303.10000000000002</v>
      </c>
      <c r="L3920">
        <v>96</v>
      </c>
      <c r="M3920">
        <v>25.76</v>
      </c>
      <c r="N3920">
        <v>163.6</v>
      </c>
      <c r="O3920">
        <v>116</v>
      </c>
      <c r="P3920">
        <v>7.36</v>
      </c>
      <c r="Q3920">
        <v>15.7</v>
      </c>
      <c r="R3920">
        <v>1</v>
      </c>
      <c r="S3920">
        <v>4.24</v>
      </c>
      <c r="T3920">
        <v>3</v>
      </c>
      <c r="U3920" t="s">
        <v>22</v>
      </c>
      <c r="V3920" t="e">
        <f>IF(#REF! = "yes", 1, 0)</f>
        <v>#REF!</v>
      </c>
      <c r="W3920" t="e">
        <f>IF(#REF! &lt;= 1, "0-1 Calls", IF(#REF! &lt;= 3, "2-3 Calls", IF(#REF! &lt;=5, "4-5 Calls", "6+ Calls")))</f>
        <v>#REF!</v>
      </c>
      <c r="X3920" t="e">
        <f>IF(#REF! &lt;= 50, "0-50", IF(#REF! &lt;=100, "51-100", IF(#REF! &lt;= 150, "101-150", "151+")))</f>
        <v>#REF!</v>
      </c>
      <c r="Y3920" t="e">
        <f>IF(#REF! &lt;= 3, "Low Charges", "High Charges")</f>
        <v>#REF!</v>
      </c>
      <c r="Z3920" t="e">
        <f>IF(#REF!&lt;=80,"Low Calls",
IF(#REF!&lt;=120,"Medium Calls","High Calls"))</f>
        <v>#REF!</v>
      </c>
      <c r="AA3920" t="e">
        <f>IF(#REF!&lt;=15,"Low Charges",
IF(#REF!&lt;=20,"Medium Charges","High Charges"))</f>
        <v>#REF!</v>
      </c>
      <c r="AB3920" t="e">
        <f>IF(AND(#REF!&gt;180, #REF!&gt;200), "Heavy Doemstic User", IF(#REF!&gt;10, "Interntional User", IF(AND(#REF!&lt;180, #REF!&lt;200,#REF!&lt;200), "Light User", "Balanced User")))</f>
        <v>#REF!</v>
      </c>
      <c r="AC3920" t="e">
        <f>IF(#REF! = 0, "No Usage", IF(#REF! &lt;= 20, "Low Usage", IF(#REF! &lt;= 40, "Medium Usgae", "High Usage")))</f>
        <v>#REF!</v>
      </c>
      <c r="AD3920" t="e">
        <f>IF(#REF!&lt;=150,"Low Usage", IF(#REF!&lt;=200,"Medium Usage", IF(#REF!&lt;=250,"High Usage","Very High Usage")))</f>
        <v>#REF!</v>
      </c>
      <c r="AE3920" t="e">
        <f>IF(#REF!&lt;=5,"Low Calls", IF(#REF!&lt;=10, "Medium Calls", "High Calls"))</f>
        <v>#REF!</v>
      </c>
      <c r="AF3920" t="e">
        <f xml:space="preserve">
IF(#REF!&gt;=4,4,0)+
IF(#REF!="yes",3,0)+
IF(#REF!="High Charges",3,0)+
IF(#REF!&gt;250,4,0)+
IF(#REF!="no",1,0)+
IF(#REF!="Heavy Domestic User",2,0)</f>
        <v>#REF!</v>
      </c>
      <c r="AG3920" t="e">
        <f>IF(#REF!&gt;=10,"High Risk", IF(#REF!&gt;=5,"Medium Risk","Low Risk"))</f>
        <v>#REF!</v>
      </c>
      <c r="AH3920" t="e">
        <f>#REF! + #REF! + #REF! + #REF!</f>
        <v>#REF!</v>
      </c>
    </row>
    <row r="3921" spans="1:34" x14ac:dyDescent="0.35">
      <c r="A3921">
        <v>3920</v>
      </c>
      <c r="B3921" t="s">
        <v>53</v>
      </c>
      <c r="C3921">
        <v>98</v>
      </c>
      <c r="D3921" t="s">
        <v>21</v>
      </c>
      <c r="E3921" t="s">
        <v>22</v>
      </c>
      <c r="F3921" t="s">
        <v>23</v>
      </c>
      <c r="G3921">
        <v>23</v>
      </c>
      <c r="H3921">
        <v>168.9</v>
      </c>
      <c r="I3921">
        <v>98</v>
      </c>
      <c r="J3921">
        <v>28.71</v>
      </c>
      <c r="K3921">
        <v>226.3</v>
      </c>
      <c r="L3921">
        <v>117</v>
      </c>
      <c r="M3921">
        <v>19.239999999999998</v>
      </c>
      <c r="N3921">
        <v>165.5</v>
      </c>
      <c r="O3921">
        <v>96</v>
      </c>
      <c r="P3921">
        <v>7.45</v>
      </c>
      <c r="Q3921">
        <v>14.3</v>
      </c>
      <c r="R3921">
        <v>3</v>
      </c>
      <c r="S3921">
        <v>3.86</v>
      </c>
      <c r="T3921">
        <v>0</v>
      </c>
      <c r="U3921" t="s">
        <v>22</v>
      </c>
      <c r="V3921" t="e">
        <f>IF(#REF! = "yes", 1, 0)</f>
        <v>#REF!</v>
      </c>
      <c r="W3921" t="e">
        <f>IF(#REF! &lt;= 1, "0-1 Calls", IF(#REF! &lt;= 3, "2-3 Calls", IF(#REF! &lt;=5, "4-5 Calls", "6+ Calls")))</f>
        <v>#REF!</v>
      </c>
      <c r="X3921" t="e">
        <f>IF(#REF! &lt;= 50, "0-50", IF(#REF! &lt;=100, "51-100", IF(#REF! &lt;= 150, "101-150", "151+")))</f>
        <v>#REF!</v>
      </c>
      <c r="Y3921" t="e">
        <f>IF(#REF! &lt;= 3, "Low Charges", "High Charges")</f>
        <v>#REF!</v>
      </c>
      <c r="Z3921" t="e">
        <f>IF(#REF!&lt;=80,"Low Calls",
IF(#REF!&lt;=120,"Medium Calls","High Calls"))</f>
        <v>#REF!</v>
      </c>
      <c r="AA3921" t="e">
        <f>IF(#REF!&lt;=15,"Low Charges",
IF(#REF!&lt;=20,"Medium Charges","High Charges"))</f>
        <v>#REF!</v>
      </c>
      <c r="AB3921" t="e">
        <f>IF(AND(#REF!&gt;180, #REF!&gt;200), "Heavy Doemstic User", IF(#REF!&gt;10, "Interntional User", IF(AND(#REF!&lt;180, #REF!&lt;200,#REF!&lt;200), "Light User", "Balanced User")))</f>
        <v>#REF!</v>
      </c>
      <c r="AC3921" t="e">
        <f>IF(#REF! = 0, "No Usage", IF(#REF! &lt;= 20, "Low Usage", IF(#REF! &lt;= 40, "Medium Usgae", "High Usage")))</f>
        <v>#REF!</v>
      </c>
      <c r="AD3921" t="e">
        <f>IF(#REF!&lt;=150,"Low Usage", IF(#REF!&lt;=200,"Medium Usage", IF(#REF!&lt;=250,"High Usage","Very High Usage")))</f>
        <v>#REF!</v>
      </c>
      <c r="AE3921" t="e">
        <f>IF(#REF!&lt;=5,"Low Calls", IF(#REF!&lt;=10, "Medium Calls", "High Calls"))</f>
        <v>#REF!</v>
      </c>
      <c r="AF3921" t="e">
        <f xml:space="preserve">
IF(#REF!&gt;=4,4,0)+
IF(#REF!="yes",3,0)+
IF(#REF!="High Charges",3,0)+
IF(#REF!&gt;250,4,0)+
IF(#REF!="no",1,0)+
IF(#REF!="Heavy Domestic User",2,0)</f>
        <v>#REF!</v>
      </c>
      <c r="AG3921" t="e">
        <f>IF(#REF!&gt;=10,"High Risk", IF(#REF!&gt;=5,"Medium Risk","Low Risk"))</f>
        <v>#REF!</v>
      </c>
      <c r="AH3921" t="e">
        <f>#REF! + #REF! + #REF! + #REF!</f>
        <v>#REF!</v>
      </c>
    </row>
    <row r="3922" spans="1:34" x14ac:dyDescent="0.35">
      <c r="A3922">
        <v>3921</v>
      </c>
      <c r="B3922" t="s">
        <v>32</v>
      </c>
      <c r="C3922">
        <v>140</v>
      </c>
      <c r="D3922" t="s">
        <v>21</v>
      </c>
      <c r="E3922" t="s">
        <v>22</v>
      </c>
      <c r="F3922" t="s">
        <v>22</v>
      </c>
      <c r="G3922">
        <v>0</v>
      </c>
      <c r="H3922">
        <v>204.7</v>
      </c>
      <c r="I3922">
        <v>100</v>
      </c>
      <c r="J3922">
        <v>34.799999999999997</v>
      </c>
      <c r="K3922">
        <v>126.8</v>
      </c>
      <c r="L3922">
        <v>107</v>
      </c>
      <c r="M3922">
        <v>10.78</v>
      </c>
      <c r="N3922">
        <v>202.8</v>
      </c>
      <c r="O3922">
        <v>115</v>
      </c>
      <c r="P3922">
        <v>9.1300000000000008</v>
      </c>
      <c r="Q3922">
        <v>12.1</v>
      </c>
      <c r="R3922">
        <v>4</v>
      </c>
      <c r="S3922">
        <v>3.27</v>
      </c>
      <c r="T3922">
        <v>2</v>
      </c>
      <c r="U3922" t="s">
        <v>22</v>
      </c>
      <c r="V3922" t="e">
        <f>IF(#REF! = "yes", 1, 0)</f>
        <v>#REF!</v>
      </c>
      <c r="W3922" t="e">
        <f>IF(#REF! &lt;= 1, "0-1 Calls", IF(#REF! &lt;= 3, "2-3 Calls", IF(#REF! &lt;=5, "4-5 Calls", "6+ Calls")))</f>
        <v>#REF!</v>
      </c>
      <c r="X3922" t="e">
        <f>IF(#REF! &lt;= 50, "0-50", IF(#REF! &lt;=100, "51-100", IF(#REF! &lt;= 150, "101-150", "151+")))</f>
        <v>#REF!</v>
      </c>
      <c r="Y3922" t="e">
        <f>IF(#REF! &lt;= 3, "Low Charges", "High Charges")</f>
        <v>#REF!</v>
      </c>
      <c r="Z3922" t="e">
        <f>IF(#REF!&lt;=80,"Low Calls",
IF(#REF!&lt;=120,"Medium Calls","High Calls"))</f>
        <v>#REF!</v>
      </c>
      <c r="AA3922" t="e">
        <f>IF(#REF!&lt;=15,"Low Charges",
IF(#REF!&lt;=20,"Medium Charges","High Charges"))</f>
        <v>#REF!</v>
      </c>
      <c r="AB3922" t="e">
        <f>IF(AND(#REF!&gt;180, #REF!&gt;200), "Heavy Doemstic User", IF(#REF!&gt;10, "Interntional User", IF(AND(#REF!&lt;180, #REF!&lt;200,#REF!&lt;200), "Light User", "Balanced User")))</f>
        <v>#REF!</v>
      </c>
      <c r="AC3922" t="e">
        <f>IF(#REF! = 0, "No Usage", IF(#REF! &lt;= 20, "Low Usage", IF(#REF! &lt;= 40, "Medium Usgae", "High Usage")))</f>
        <v>#REF!</v>
      </c>
      <c r="AD3922" t="e">
        <f>IF(#REF!&lt;=150,"Low Usage", IF(#REF!&lt;=200,"Medium Usage", IF(#REF!&lt;=250,"High Usage","Very High Usage")))</f>
        <v>#REF!</v>
      </c>
      <c r="AE3922" t="e">
        <f>IF(#REF!&lt;=5,"Low Calls", IF(#REF!&lt;=10, "Medium Calls", "High Calls"))</f>
        <v>#REF!</v>
      </c>
      <c r="AF3922" t="e">
        <f xml:space="preserve">
IF(#REF!&gt;=4,4,0)+
IF(#REF!="yes",3,0)+
IF(#REF!="High Charges",3,0)+
IF(#REF!&gt;250,4,0)+
IF(#REF!="no",1,0)+
IF(#REF!="Heavy Domestic User",2,0)</f>
        <v>#REF!</v>
      </c>
      <c r="AG3922" t="e">
        <f>IF(#REF!&gt;=10,"High Risk", IF(#REF!&gt;=5,"Medium Risk","Low Risk"))</f>
        <v>#REF!</v>
      </c>
      <c r="AH3922" t="e">
        <f>#REF! + #REF! + #REF! + #REF!</f>
        <v>#REF!</v>
      </c>
    </row>
    <row r="3923" spans="1:34" x14ac:dyDescent="0.35">
      <c r="A3923">
        <v>3922</v>
      </c>
      <c r="B3923" t="s">
        <v>65</v>
      </c>
      <c r="C3923">
        <v>133</v>
      </c>
      <c r="D3923" t="s">
        <v>21</v>
      </c>
      <c r="E3923" t="s">
        <v>22</v>
      </c>
      <c r="F3923" t="s">
        <v>22</v>
      </c>
      <c r="G3923">
        <v>0</v>
      </c>
      <c r="H3923">
        <v>226.8</v>
      </c>
      <c r="I3923">
        <v>87</v>
      </c>
      <c r="J3923">
        <v>38.56</v>
      </c>
      <c r="K3923">
        <v>127.9</v>
      </c>
      <c r="L3923">
        <v>93</v>
      </c>
      <c r="M3923">
        <v>10.87</v>
      </c>
      <c r="N3923">
        <v>160.1</v>
      </c>
      <c r="O3923">
        <v>89</v>
      </c>
      <c r="P3923">
        <v>7.2</v>
      </c>
      <c r="Q3923">
        <v>9.1999999999999993</v>
      </c>
      <c r="R3923">
        <v>3</v>
      </c>
      <c r="S3923">
        <v>2.48</v>
      </c>
      <c r="T3923">
        <v>0</v>
      </c>
      <c r="U3923" t="s">
        <v>22</v>
      </c>
      <c r="V3923" t="e">
        <f>IF(#REF! = "yes", 1, 0)</f>
        <v>#REF!</v>
      </c>
      <c r="W3923" t="e">
        <f>IF(#REF! &lt;= 1, "0-1 Calls", IF(#REF! &lt;= 3, "2-3 Calls", IF(#REF! &lt;=5, "4-5 Calls", "6+ Calls")))</f>
        <v>#REF!</v>
      </c>
      <c r="X3923" t="e">
        <f>IF(#REF! &lt;= 50, "0-50", IF(#REF! &lt;=100, "51-100", IF(#REF! &lt;= 150, "101-150", "151+")))</f>
        <v>#REF!</v>
      </c>
      <c r="Y3923" t="e">
        <f>IF(#REF! &lt;= 3, "Low Charges", "High Charges")</f>
        <v>#REF!</v>
      </c>
      <c r="Z3923" t="e">
        <f>IF(#REF!&lt;=80,"Low Calls",
IF(#REF!&lt;=120,"Medium Calls","High Calls"))</f>
        <v>#REF!</v>
      </c>
      <c r="AA3923" t="e">
        <f>IF(#REF!&lt;=15,"Low Charges",
IF(#REF!&lt;=20,"Medium Charges","High Charges"))</f>
        <v>#REF!</v>
      </c>
      <c r="AB3923" t="e">
        <f>IF(AND(#REF!&gt;180, #REF!&gt;200), "Heavy Doemstic User", IF(#REF!&gt;10, "Interntional User", IF(AND(#REF!&lt;180, #REF!&lt;200,#REF!&lt;200), "Light User", "Balanced User")))</f>
        <v>#REF!</v>
      </c>
      <c r="AC3923" t="e">
        <f>IF(#REF! = 0, "No Usage", IF(#REF! &lt;= 20, "Low Usage", IF(#REF! &lt;= 40, "Medium Usgae", "High Usage")))</f>
        <v>#REF!</v>
      </c>
      <c r="AD3923" t="e">
        <f>IF(#REF!&lt;=150,"Low Usage", IF(#REF!&lt;=200,"Medium Usage", IF(#REF!&lt;=250,"High Usage","Very High Usage")))</f>
        <v>#REF!</v>
      </c>
      <c r="AE3923" t="e">
        <f>IF(#REF!&lt;=5,"Low Calls", IF(#REF!&lt;=10, "Medium Calls", "High Calls"))</f>
        <v>#REF!</v>
      </c>
      <c r="AF3923" t="e">
        <f xml:space="preserve">
IF(#REF!&gt;=4,4,0)+
IF(#REF!="yes",3,0)+
IF(#REF!="High Charges",3,0)+
IF(#REF!&gt;250,4,0)+
IF(#REF!="no",1,0)+
IF(#REF!="Heavy Domestic User",2,0)</f>
        <v>#REF!</v>
      </c>
      <c r="AG3923" t="e">
        <f>IF(#REF!&gt;=10,"High Risk", IF(#REF!&gt;=5,"Medium Risk","Low Risk"))</f>
        <v>#REF!</v>
      </c>
      <c r="AH3923" t="e">
        <f>#REF! + #REF! + #REF! + #REF!</f>
        <v>#REF!</v>
      </c>
    </row>
    <row r="3924" spans="1:34" x14ac:dyDescent="0.35">
      <c r="A3924">
        <v>3923</v>
      </c>
      <c r="B3924" t="s">
        <v>58</v>
      </c>
      <c r="C3924">
        <v>166</v>
      </c>
      <c r="D3924" t="s">
        <v>21</v>
      </c>
      <c r="E3924" t="s">
        <v>22</v>
      </c>
      <c r="F3924" t="s">
        <v>23</v>
      </c>
      <c r="G3924">
        <v>26</v>
      </c>
      <c r="H3924">
        <v>152.1</v>
      </c>
      <c r="I3924">
        <v>114</v>
      </c>
      <c r="J3924">
        <v>25.86</v>
      </c>
      <c r="K3924">
        <v>89.3</v>
      </c>
      <c r="L3924">
        <v>67</v>
      </c>
      <c r="M3924">
        <v>7.59</v>
      </c>
      <c r="N3924">
        <v>194.6</v>
      </c>
      <c r="O3924">
        <v>111</v>
      </c>
      <c r="P3924">
        <v>8.76</v>
      </c>
      <c r="Q3924">
        <v>7.5</v>
      </c>
      <c r="R3924">
        <v>6</v>
      </c>
      <c r="S3924">
        <v>2.0299999999999998</v>
      </c>
      <c r="T3924">
        <v>0</v>
      </c>
      <c r="U3924" t="s">
        <v>22</v>
      </c>
      <c r="V3924" t="e">
        <f>IF(#REF! = "yes", 1, 0)</f>
        <v>#REF!</v>
      </c>
      <c r="W3924" t="e">
        <f>IF(#REF! &lt;= 1, "0-1 Calls", IF(#REF! &lt;= 3, "2-3 Calls", IF(#REF! &lt;=5, "4-5 Calls", "6+ Calls")))</f>
        <v>#REF!</v>
      </c>
      <c r="X3924" t="e">
        <f>IF(#REF! &lt;= 50, "0-50", IF(#REF! &lt;=100, "51-100", IF(#REF! &lt;= 150, "101-150", "151+")))</f>
        <v>#REF!</v>
      </c>
      <c r="Y3924" t="e">
        <f>IF(#REF! &lt;= 3, "Low Charges", "High Charges")</f>
        <v>#REF!</v>
      </c>
      <c r="Z3924" t="e">
        <f>IF(#REF!&lt;=80,"Low Calls",
IF(#REF!&lt;=120,"Medium Calls","High Calls"))</f>
        <v>#REF!</v>
      </c>
      <c r="AA3924" t="e">
        <f>IF(#REF!&lt;=15,"Low Charges",
IF(#REF!&lt;=20,"Medium Charges","High Charges"))</f>
        <v>#REF!</v>
      </c>
      <c r="AB3924" t="e">
        <f>IF(AND(#REF!&gt;180, #REF!&gt;200), "Heavy Doemstic User", IF(#REF!&gt;10, "Interntional User", IF(AND(#REF!&lt;180, #REF!&lt;200,#REF!&lt;200), "Light User", "Balanced User")))</f>
        <v>#REF!</v>
      </c>
      <c r="AC3924" t="e">
        <f>IF(#REF! = 0, "No Usage", IF(#REF! &lt;= 20, "Low Usage", IF(#REF! &lt;= 40, "Medium Usgae", "High Usage")))</f>
        <v>#REF!</v>
      </c>
      <c r="AD3924" t="e">
        <f>IF(#REF!&lt;=150,"Low Usage", IF(#REF!&lt;=200,"Medium Usage", IF(#REF!&lt;=250,"High Usage","Very High Usage")))</f>
        <v>#REF!</v>
      </c>
      <c r="AE3924" t="e">
        <f>IF(#REF!&lt;=5,"Low Calls", IF(#REF!&lt;=10, "Medium Calls", "High Calls"))</f>
        <v>#REF!</v>
      </c>
      <c r="AF3924" t="e">
        <f xml:space="preserve">
IF(#REF!&gt;=4,4,0)+
IF(#REF!="yes",3,0)+
IF(#REF!="High Charges",3,0)+
IF(#REF!&gt;250,4,0)+
IF(#REF!="no",1,0)+
IF(#REF!="Heavy Domestic User",2,0)</f>
        <v>#REF!</v>
      </c>
      <c r="AG3924" t="e">
        <f>IF(#REF!&gt;=10,"High Risk", IF(#REF!&gt;=5,"Medium Risk","Low Risk"))</f>
        <v>#REF!</v>
      </c>
      <c r="AH3924" t="e">
        <f>#REF! + #REF! + #REF! + #REF!</f>
        <v>#REF!</v>
      </c>
    </row>
    <row r="3925" spans="1:34" x14ac:dyDescent="0.35">
      <c r="A3925">
        <v>3924</v>
      </c>
      <c r="B3925" t="s">
        <v>65</v>
      </c>
      <c r="C3925">
        <v>86</v>
      </c>
      <c r="D3925" t="s">
        <v>25</v>
      </c>
      <c r="E3925" t="s">
        <v>22</v>
      </c>
      <c r="F3925" t="s">
        <v>22</v>
      </c>
      <c r="G3925">
        <v>0</v>
      </c>
      <c r="H3925">
        <v>139.1</v>
      </c>
      <c r="I3925">
        <v>95</v>
      </c>
      <c r="J3925">
        <v>23.65</v>
      </c>
      <c r="K3925">
        <v>146.19999999999999</v>
      </c>
      <c r="L3925">
        <v>82</v>
      </c>
      <c r="M3925">
        <v>12.43</v>
      </c>
      <c r="N3925">
        <v>186.8</v>
      </c>
      <c r="O3925">
        <v>120</v>
      </c>
      <c r="P3925">
        <v>8.41</v>
      </c>
      <c r="Q3925">
        <v>11.8</v>
      </c>
      <c r="R3925">
        <v>5</v>
      </c>
      <c r="S3925">
        <v>3.19</v>
      </c>
      <c r="T3925">
        <v>2</v>
      </c>
      <c r="U3925" t="s">
        <v>22</v>
      </c>
      <c r="V3925" t="e">
        <f>IF(#REF! = "yes", 1, 0)</f>
        <v>#REF!</v>
      </c>
      <c r="W3925" t="e">
        <f>IF(#REF! &lt;= 1, "0-1 Calls", IF(#REF! &lt;= 3, "2-3 Calls", IF(#REF! &lt;=5, "4-5 Calls", "6+ Calls")))</f>
        <v>#REF!</v>
      </c>
      <c r="X3925" t="e">
        <f>IF(#REF! &lt;= 50, "0-50", IF(#REF! &lt;=100, "51-100", IF(#REF! &lt;= 150, "101-150", "151+")))</f>
        <v>#REF!</v>
      </c>
      <c r="Y3925" t="e">
        <f>IF(#REF! &lt;= 3, "Low Charges", "High Charges")</f>
        <v>#REF!</v>
      </c>
      <c r="Z3925" t="e">
        <f>IF(#REF!&lt;=80,"Low Calls",
IF(#REF!&lt;=120,"Medium Calls","High Calls"))</f>
        <v>#REF!</v>
      </c>
      <c r="AA3925" t="e">
        <f>IF(#REF!&lt;=15,"Low Charges",
IF(#REF!&lt;=20,"Medium Charges","High Charges"))</f>
        <v>#REF!</v>
      </c>
      <c r="AB3925" t="e">
        <f>IF(AND(#REF!&gt;180, #REF!&gt;200), "Heavy Doemstic User", IF(#REF!&gt;10, "Interntional User", IF(AND(#REF!&lt;180, #REF!&lt;200,#REF!&lt;200), "Light User", "Balanced User")))</f>
        <v>#REF!</v>
      </c>
      <c r="AC3925" t="e">
        <f>IF(#REF! = 0, "No Usage", IF(#REF! &lt;= 20, "Low Usage", IF(#REF! &lt;= 40, "Medium Usgae", "High Usage")))</f>
        <v>#REF!</v>
      </c>
      <c r="AD3925" t="e">
        <f>IF(#REF!&lt;=150,"Low Usage", IF(#REF!&lt;=200,"Medium Usage", IF(#REF!&lt;=250,"High Usage","Very High Usage")))</f>
        <v>#REF!</v>
      </c>
      <c r="AE3925" t="e">
        <f>IF(#REF!&lt;=5,"Low Calls", IF(#REF!&lt;=10, "Medium Calls", "High Calls"))</f>
        <v>#REF!</v>
      </c>
      <c r="AF3925" t="e">
        <f xml:space="preserve">
IF(#REF!&gt;=4,4,0)+
IF(#REF!="yes",3,0)+
IF(#REF!="High Charges",3,0)+
IF(#REF!&gt;250,4,0)+
IF(#REF!="no",1,0)+
IF(#REF!="Heavy Domestic User",2,0)</f>
        <v>#REF!</v>
      </c>
      <c r="AG3925" t="e">
        <f>IF(#REF!&gt;=10,"High Risk", IF(#REF!&gt;=5,"Medium Risk","Low Risk"))</f>
        <v>#REF!</v>
      </c>
      <c r="AH3925" t="e">
        <f>#REF! + #REF! + #REF! + #REF!</f>
        <v>#REF!</v>
      </c>
    </row>
    <row r="3926" spans="1:34" x14ac:dyDescent="0.35">
      <c r="A3926">
        <v>3925</v>
      </c>
      <c r="B3926" t="s">
        <v>44</v>
      </c>
      <c r="C3926">
        <v>117</v>
      </c>
      <c r="D3926" t="s">
        <v>25</v>
      </c>
      <c r="E3926" t="s">
        <v>22</v>
      </c>
      <c r="F3926" t="s">
        <v>22</v>
      </c>
      <c r="G3926">
        <v>0</v>
      </c>
      <c r="H3926">
        <v>150.5</v>
      </c>
      <c r="I3926">
        <v>121</v>
      </c>
      <c r="J3926">
        <v>25.59</v>
      </c>
      <c r="K3926">
        <v>345.1</v>
      </c>
      <c r="L3926">
        <v>132</v>
      </c>
      <c r="M3926">
        <v>29.33</v>
      </c>
      <c r="N3926">
        <v>183.9</v>
      </c>
      <c r="O3926">
        <v>97</v>
      </c>
      <c r="P3926">
        <v>8.2799999999999994</v>
      </c>
      <c r="Q3926">
        <v>8.3000000000000007</v>
      </c>
      <c r="R3926">
        <v>2</v>
      </c>
      <c r="S3926">
        <v>2.2400000000000002</v>
      </c>
      <c r="T3926">
        <v>0</v>
      </c>
      <c r="U3926" t="s">
        <v>22</v>
      </c>
      <c r="V3926" t="e">
        <f>IF(#REF! = "yes", 1, 0)</f>
        <v>#REF!</v>
      </c>
      <c r="W3926" t="e">
        <f>IF(#REF! &lt;= 1, "0-1 Calls", IF(#REF! &lt;= 3, "2-3 Calls", IF(#REF! &lt;=5, "4-5 Calls", "6+ Calls")))</f>
        <v>#REF!</v>
      </c>
      <c r="X3926" t="e">
        <f>IF(#REF! &lt;= 50, "0-50", IF(#REF! &lt;=100, "51-100", IF(#REF! &lt;= 150, "101-150", "151+")))</f>
        <v>#REF!</v>
      </c>
      <c r="Y3926" t="e">
        <f>IF(#REF! &lt;= 3, "Low Charges", "High Charges")</f>
        <v>#REF!</v>
      </c>
      <c r="Z3926" t="e">
        <f>IF(#REF!&lt;=80,"Low Calls",
IF(#REF!&lt;=120,"Medium Calls","High Calls"))</f>
        <v>#REF!</v>
      </c>
      <c r="AA3926" t="e">
        <f>IF(#REF!&lt;=15,"Low Charges",
IF(#REF!&lt;=20,"Medium Charges","High Charges"))</f>
        <v>#REF!</v>
      </c>
      <c r="AB3926" t="e">
        <f>IF(AND(#REF!&gt;180, #REF!&gt;200), "Heavy Doemstic User", IF(#REF!&gt;10, "Interntional User", IF(AND(#REF!&lt;180, #REF!&lt;200,#REF!&lt;200), "Light User", "Balanced User")))</f>
        <v>#REF!</v>
      </c>
      <c r="AC3926" t="e">
        <f>IF(#REF! = 0, "No Usage", IF(#REF! &lt;= 20, "Low Usage", IF(#REF! &lt;= 40, "Medium Usgae", "High Usage")))</f>
        <v>#REF!</v>
      </c>
      <c r="AD3926" t="e">
        <f>IF(#REF!&lt;=150,"Low Usage", IF(#REF!&lt;=200,"Medium Usage", IF(#REF!&lt;=250,"High Usage","Very High Usage")))</f>
        <v>#REF!</v>
      </c>
      <c r="AE3926" t="e">
        <f>IF(#REF!&lt;=5,"Low Calls", IF(#REF!&lt;=10, "Medium Calls", "High Calls"))</f>
        <v>#REF!</v>
      </c>
      <c r="AF3926" t="e">
        <f xml:space="preserve">
IF(#REF!&gt;=4,4,0)+
IF(#REF!="yes",3,0)+
IF(#REF!="High Charges",3,0)+
IF(#REF!&gt;250,4,0)+
IF(#REF!="no",1,0)+
IF(#REF!="Heavy Domestic User",2,0)</f>
        <v>#REF!</v>
      </c>
      <c r="AG3926" t="e">
        <f>IF(#REF!&gt;=10,"High Risk", IF(#REF!&gt;=5,"Medium Risk","Low Risk"))</f>
        <v>#REF!</v>
      </c>
      <c r="AH3926" t="e">
        <f>#REF! + #REF! + #REF! + #REF!</f>
        <v>#REF!</v>
      </c>
    </row>
    <row r="3927" spans="1:34" x14ac:dyDescent="0.35">
      <c r="A3927">
        <v>3926</v>
      </c>
      <c r="B3927" t="s">
        <v>38</v>
      </c>
      <c r="C3927">
        <v>86</v>
      </c>
      <c r="D3927" t="s">
        <v>21</v>
      </c>
      <c r="E3927" t="s">
        <v>22</v>
      </c>
      <c r="F3927" t="s">
        <v>22</v>
      </c>
      <c r="G3927">
        <v>0</v>
      </c>
      <c r="H3927">
        <v>231.9</v>
      </c>
      <c r="I3927">
        <v>73</v>
      </c>
      <c r="J3927">
        <v>39.42</v>
      </c>
      <c r="K3927">
        <v>165.9</v>
      </c>
      <c r="L3927">
        <v>123</v>
      </c>
      <c r="M3927">
        <v>14.1</v>
      </c>
      <c r="N3927">
        <v>225.7</v>
      </c>
      <c r="O3927">
        <v>86</v>
      </c>
      <c r="P3927">
        <v>10.16</v>
      </c>
      <c r="Q3927">
        <v>11.5</v>
      </c>
      <c r="R3927">
        <v>3</v>
      </c>
      <c r="S3927">
        <v>3.11</v>
      </c>
      <c r="T3927">
        <v>3</v>
      </c>
      <c r="U3927" t="s">
        <v>22</v>
      </c>
      <c r="V3927" t="e">
        <f>IF(#REF! = "yes", 1, 0)</f>
        <v>#REF!</v>
      </c>
      <c r="W3927" t="e">
        <f>IF(#REF! &lt;= 1, "0-1 Calls", IF(#REF! &lt;= 3, "2-3 Calls", IF(#REF! &lt;=5, "4-5 Calls", "6+ Calls")))</f>
        <v>#REF!</v>
      </c>
      <c r="X3927" t="e">
        <f>IF(#REF! &lt;= 50, "0-50", IF(#REF! &lt;=100, "51-100", IF(#REF! &lt;= 150, "101-150", "151+")))</f>
        <v>#REF!</v>
      </c>
      <c r="Y3927" t="e">
        <f>IF(#REF! &lt;= 3, "Low Charges", "High Charges")</f>
        <v>#REF!</v>
      </c>
      <c r="Z3927" t="e">
        <f>IF(#REF!&lt;=80,"Low Calls",
IF(#REF!&lt;=120,"Medium Calls","High Calls"))</f>
        <v>#REF!</v>
      </c>
      <c r="AA3927" t="e">
        <f>IF(#REF!&lt;=15,"Low Charges",
IF(#REF!&lt;=20,"Medium Charges","High Charges"))</f>
        <v>#REF!</v>
      </c>
      <c r="AB3927" t="e">
        <f>IF(AND(#REF!&gt;180, #REF!&gt;200), "Heavy Doemstic User", IF(#REF!&gt;10, "Interntional User", IF(AND(#REF!&lt;180, #REF!&lt;200,#REF!&lt;200), "Light User", "Balanced User")))</f>
        <v>#REF!</v>
      </c>
      <c r="AC3927" t="e">
        <f>IF(#REF! = 0, "No Usage", IF(#REF! &lt;= 20, "Low Usage", IF(#REF! &lt;= 40, "Medium Usgae", "High Usage")))</f>
        <v>#REF!</v>
      </c>
      <c r="AD3927" t="e">
        <f>IF(#REF!&lt;=150,"Low Usage", IF(#REF!&lt;=200,"Medium Usage", IF(#REF!&lt;=250,"High Usage","Very High Usage")))</f>
        <v>#REF!</v>
      </c>
      <c r="AE3927" t="e">
        <f>IF(#REF!&lt;=5,"Low Calls", IF(#REF!&lt;=10, "Medium Calls", "High Calls"))</f>
        <v>#REF!</v>
      </c>
      <c r="AF3927" t="e">
        <f xml:space="preserve">
IF(#REF!&gt;=4,4,0)+
IF(#REF!="yes",3,0)+
IF(#REF!="High Charges",3,0)+
IF(#REF!&gt;250,4,0)+
IF(#REF!="no",1,0)+
IF(#REF!="Heavy Domestic User",2,0)</f>
        <v>#REF!</v>
      </c>
      <c r="AG3927" t="e">
        <f>IF(#REF!&gt;=10,"High Risk", IF(#REF!&gt;=5,"Medium Risk","Low Risk"))</f>
        <v>#REF!</v>
      </c>
      <c r="AH3927" t="e">
        <f>#REF! + #REF! + #REF! + #REF!</f>
        <v>#REF!</v>
      </c>
    </row>
    <row r="3928" spans="1:34" x14ac:dyDescent="0.35">
      <c r="A3928">
        <v>3927</v>
      </c>
      <c r="B3928" t="s">
        <v>68</v>
      </c>
      <c r="C3928">
        <v>74</v>
      </c>
      <c r="D3928" t="s">
        <v>21</v>
      </c>
      <c r="E3928" t="s">
        <v>22</v>
      </c>
      <c r="F3928" t="s">
        <v>22</v>
      </c>
      <c r="G3928">
        <v>0</v>
      </c>
      <c r="H3928">
        <v>207.1</v>
      </c>
      <c r="I3928">
        <v>79</v>
      </c>
      <c r="J3928">
        <v>35.21</v>
      </c>
      <c r="K3928">
        <v>182</v>
      </c>
      <c r="L3928">
        <v>100</v>
      </c>
      <c r="M3928">
        <v>15.47</v>
      </c>
      <c r="N3928">
        <v>233.7</v>
      </c>
      <c r="O3928">
        <v>73</v>
      </c>
      <c r="P3928">
        <v>10.52</v>
      </c>
      <c r="Q3928">
        <v>7.4</v>
      </c>
      <c r="R3928">
        <v>8</v>
      </c>
      <c r="S3928">
        <v>2</v>
      </c>
      <c r="T3928">
        <v>1</v>
      </c>
      <c r="U3928" t="s">
        <v>22</v>
      </c>
      <c r="V3928" t="e">
        <f>IF(#REF! = "yes", 1, 0)</f>
        <v>#REF!</v>
      </c>
      <c r="W3928" t="e">
        <f>IF(#REF! &lt;= 1, "0-1 Calls", IF(#REF! &lt;= 3, "2-3 Calls", IF(#REF! &lt;=5, "4-5 Calls", "6+ Calls")))</f>
        <v>#REF!</v>
      </c>
      <c r="X3928" t="e">
        <f>IF(#REF! &lt;= 50, "0-50", IF(#REF! &lt;=100, "51-100", IF(#REF! &lt;= 150, "101-150", "151+")))</f>
        <v>#REF!</v>
      </c>
      <c r="Y3928" t="e">
        <f>IF(#REF! &lt;= 3, "Low Charges", "High Charges")</f>
        <v>#REF!</v>
      </c>
      <c r="Z3928" t="e">
        <f>IF(#REF!&lt;=80,"Low Calls",
IF(#REF!&lt;=120,"Medium Calls","High Calls"))</f>
        <v>#REF!</v>
      </c>
      <c r="AA3928" t="e">
        <f>IF(#REF!&lt;=15,"Low Charges",
IF(#REF!&lt;=20,"Medium Charges","High Charges"))</f>
        <v>#REF!</v>
      </c>
      <c r="AB3928" t="e">
        <f>IF(AND(#REF!&gt;180, #REF!&gt;200), "Heavy Doemstic User", IF(#REF!&gt;10, "Interntional User", IF(AND(#REF!&lt;180, #REF!&lt;200,#REF!&lt;200), "Light User", "Balanced User")))</f>
        <v>#REF!</v>
      </c>
      <c r="AC3928" t="e">
        <f>IF(#REF! = 0, "No Usage", IF(#REF! &lt;= 20, "Low Usage", IF(#REF! &lt;= 40, "Medium Usgae", "High Usage")))</f>
        <v>#REF!</v>
      </c>
      <c r="AD3928" t="e">
        <f>IF(#REF!&lt;=150,"Low Usage", IF(#REF!&lt;=200,"Medium Usage", IF(#REF!&lt;=250,"High Usage","Very High Usage")))</f>
        <v>#REF!</v>
      </c>
      <c r="AE3928" t="e">
        <f>IF(#REF!&lt;=5,"Low Calls", IF(#REF!&lt;=10, "Medium Calls", "High Calls"))</f>
        <v>#REF!</v>
      </c>
      <c r="AF3928" t="e">
        <f xml:space="preserve">
IF(#REF!&gt;=4,4,0)+
IF(#REF!="yes",3,0)+
IF(#REF!="High Charges",3,0)+
IF(#REF!&gt;250,4,0)+
IF(#REF!="no",1,0)+
IF(#REF!="Heavy Domestic User",2,0)</f>
        <v>#REF!</v>
      </c>
      <c r="AG3928" t="e">
        <f>IF(#REF!&gt;=10,"High Risk", IF(#REF!&gt;=5,"Medium Risk","Low Risk"))</f>
        <v>#REF!</v>
      </c>
      <c r="AH3928" t="e">
        <f>#REF! + #REF! + #REF! + #REF!</f>
        <v>#REF!</v>
      </c>
    </row>
    <row r="3929" spans="1:34" x14ac:dyDescent="0.35">
      <c r="A3929">
        <v>3928</v>
      </c>
      <c r="B3929" t="s">
        <v>60</v>
      </c>
      <c r="C3929">
        <v>178</v>
      </c>
      <c r="D3929" t="s">
        <v>28</v>
      </c>
      <c r="E3929" t="s">
        <v>22</v>
      </c>
      <c r="F3929" t="s">
        <v>22</v>
      </c>
      <c r="G3929">
        <v>0</v>
      </c>
      <c r="H3929">
        <v>225.4</v>
      </c>
      <c r="I3929">
        <v>104</v>
      </c>
      <c r="J3929">
        <v>38.32</v>
      </c>
      <c r="K3929">
        <v>110.7</v>
      </c>
      <c r="L3929">
        <v>90</v>
      </c>
      <c r="M3929">
        <v>9.41</v>
      </c>
      <c r="N3929">
        <v>134.1</v>
      </c>
      <c r="O3929">
        <v>109</v>
      </c>
      <c r="P3929">
        <v>6.03</v>
      </c>
      <c r="Q3929">
        <v>15.3</v>
      </c>
      <c r="R3929">
        <v>5</v>
      </c>
      <c r="S3929">
        <v>4.13</v>
      </c>
      <c r="T3929">
        <v>2</v>
      </c>
      <c r="U3929" t="s">
        <v>23</v>
      </c>
      <c r="V3929" t="e">
        <f>IF(#REF! = "yes", 1, 0)</f>
        <v>#REF!</v>
      </c>
      <c r="W3929" t="e">
        <f>IF(#REF! &lt;= 1, "0-1 Calls", IF(#REF! &lt;= 3, "2-3 Calls", IF(#REF! &lt;=5, "4-5 Calls", "6+ Calls")))</f>
        <v>#REF!</v>
      </c>
      <c r="X3929" t="e">
        <f>IF(#REF! &lt;= 50, "0-50", IF(#REF! &lt;=100, "51-100", IF(#REF! &lt;= 150, "101-150", "151+")))</f>
        <v>#REF!</v>
      </c>
      <c r="Y3929" t="e">
        <f>IF(#REF! &lt;= 3, "Low Charges", "High Charges")</f>
        <v>#REF!</v>
      </c>
      <c r="Z3929" t="e">
        <f>IF(#REF!&lt;=80,"Low Calls",
IF(#REF!&lt;=120,"Medium Calls","High Calls"))</f>
        <v>#REF!</v>
      </c>
      <c r="AA3929" t="e">
        <f>IF(#REF!&lt;=15,"Low Charges",
IF(#REF!&lt;=20,"Medium Charges","High Charges"))</f>
        <v>#REF!</v>
      </c>
      <c r="AB3929" t="e">
        <f>IF(AND(#REF!&gt;180, #REF!&gt;200), "Heavy Doemstic User", IF(#REF!&gt;10, "Interntional User", IF(AND(#REF!&lt;180, #REF!&lt;200,#REF!&lt;200), "Light User", "Balanced User")))</f>
        <v>#REF!</v>
      </c>
      <c r="AC3929" t="e">
        <f>IF(#REF! = 0, "No Usage", IF(#REF! &lt;= 20, "Low Usage", IF(#REF! &lt;= 40, "Medium Usgae", "High Usage")))</f>
        <v>#REF!</v>
      </c>
      <c r="AD3929" t="e">
        <f>IF(#REF!&lt;=150,"Low Usage", IF(#REF!&lt;=200,"Medium Usage", IF(#REF!&lt;=250,"High Usage","Very High Usage")))</f>
        <v>#REF!</v>
      </c>
      <c r="AE3929" t="e">
        <f>IF(#REF!&lt;=5,"Low Calls", IF(#REF!&lt;=10, "Medium Calls", "High Calls"))</f>
        <v>#REF!</v>
      </c>
      <c r="AF3929" t="e">
        <f xml:space="preserve">
IF(#REF!&gt;=4,4,0)+
IF(#REF!="yes",3,0)+
IF(#REF!="High Charges",3,0)+
IF(#REF!&gt;250,4,0)+
IF(#REF!="no",1,0)+
IF(#REF!="Heavy Domestic User",2,0)</f>
        <v>#REF!</v>
      </c>
      <c r="AG3929" t="e">
        <f>IF(#REF!&gt;=10,"High Risk", IF(#REF!&gt;=5,"Medium Risk","Low Risk"))</f>
        <v>#REF!</v>
      </c>
      <c r="AH3929" t="e">
        <f>#REF! + #REF! + #REF! + #REF!</f>
        <v>#REF!</v>
      </c>
    </row>
    <row r="3930" spans="1:34" x14ac:dyDescent="0.35">
      <c r="A3930">
        <v>3929</v>
      </c>
      <c r="B3930" t="s">
        <v>40</v>
      </c>
      <c r="C3930">
        <v>95</v>
      </c>
      <c r="D3930" t="s">
        <v>25</v>
      </c>
      <c r="E3930" t="s">
        <v>22</v>
      </c>
      <c r="F3930" t="s">
        <v>23</v>
      </c>
      <c r="G3930">
        <v>45</v>
      </c>
      <c r="H3930">
        <v>116.4</v>
      </c>
      <c r="I3930">
        <v>115</v>
      </c>
      <c r="J3930">
        <v>19.79</v>
      </c>
      <c r="K3930">
        <v>283.7</v>
      </c>
      <c r="L3930">
        <v>123</v>
      </c>
      <c r="M3930">
        <v>24.11</v>
      </c>
      <c r="N3930">
        <v>285.2</v>
      </c>
      <c r="O3930">
        <v>103</v>
      </c>
      <c r="P3930">
        <v>12.83</v>
      </c>
      <c r="Q3930">
        <v>12.8</v>
      </c>
      <c r="R3930">
        <v>4</v>
      </c>
      <c r="S3930">
        <v>3.46</v>
      </c>
      <c r="T3930">
        <v>1</v>
      </c>
      <c r="U3930" t="s">
        <v>22</v>
      </c>
      <c r="V3930" t="e">
        <f>IF(#REF! = "yes", 1, 0)</f>
        <v>#REF!</v>
      </c>
      <c r="W3930" t="e">
        <f>IF(#REF! &lt;= 1, "0-1 Calls", IF(#REF! &lt;= 3, "2-3 Calls", IF(#REF! &lt;=5, "4-5 Calls", "6+ Calls")))</f>
        <v>#REF!</v>
      </c>
      <c r="X3930" t="e">
        <f>IF(#REF! &lt;= 50, "0-50", IF(#REF! &lt;=100, "51-100", IF(#REF! &lt;= 150, "101-150", "151+")))</f>
        <v>#REF!</v>
      </c>
      <c r="Y3930" t="e">
        <f>IF(#REF! &lt;= 3, "Low Charges", "High Charges")</f>
        <v>#REF!</v>
      </c>
      <c r="Z3930" t="e">
        <f>IF(#REF!&lt;=80,"Low Calls",
IF(#REF!&lt;=120,"Medium Calls","High Calls"))</f>
        <v>#REF!</v>
      </c>
      <c r="AA3930" t="e">
        <f>IF(#REF!&lt;=15,"Low Charges",
IF(#REF!&lt;=20,"Medium Charges","High Charges"))</f>
        <v>#REF!</v>
      </c>
      <c r="AB3930" t="e">
        <f>IF(AND(#REF!&gt;180, #REF!&gt;200), "Heavy Doemstic User", IF(#REF!&gt;10, "Interntional User", IF(AND(#REF!&lt;180, #REF!&lt;200,#REF!&lt;200), "Light User", "Balanced User")))</f>
        <v>#REF!</v>
      </c>
      <c r="AC3930" t="e">
        <f>IF(#REF! = 0, "No Usage", IF(#REF! &lt;= 20, "Low Usage", IF(#REF! &lt;= 40, "Medium Usgae", "High Usage")))</f>
        <v>#REF!</v>
      </c>
      <c r="AD3930" t="e">
        <f>IF(#REF!&lt;=150,"Low Usage", IF(#REF!&lt;=200,"Medium Usage", IF(#REF!&lt;=250,"High Usage","Very High Usage")))</f>
        <v>#REF!</v>
      </c>
      <c r="AE3930" t="e">
        <f>IF(#REF!&lt;=5,"Low Calls", IF(#REF!&lt;=10, "Medium Calls", "High Calls"))</f>
        <v>#REF!</v>
      </c>
      <c r="AF3930" t="e">
        <f xml:space="preserve">
IF(#REF!&gt;=4,4,0)+
IF(#REF!="yes",3,0)+
IF(#REF!="High Charges",3,0)+
IF(#REF!&gt;250,4,0)+
IF(#REF!="no",1,0)+
IF(#REF!="Heavy Domestic User",2,0)</f>
        <v>#REF!</v>
      </c>
      <c r="AG3930" t="e">
        <f>IF(#REF!&gt;=10,"High Risk", IF(#REF!&gt;=5,"Medium Risk","Low Risk"))</f>
        <v>#REF!</v>
      </c>
      <c r="AH3930" t="e">
        <f>#REF! + #REF! + #REF! + #REF!</f>
        <v>#REF!</v>
      </c>
    </row>
    <row r="3931" spans="1:34" x14ac:dyDescent="0.35">
      <c r="A3931">
        <v>3930</v>
      </c>
      <c r="B3931" t="s">
        <v>56</v>
      </c>
      <c r="C3931">
        <v>85</v>
      </c>
      <c r="D3931" t="s">
        <v>21</v>
      </c>
      <c r="E3931" t="s">
        <v>22</v>
      </c>
      <c r="F3931" t="s">
        <v>22</v>
      </c>
      <c r="G3931">
        <v>0</v>
      </c>
      <c r="H3931">
        <v>195.7</v>
      </c>
      <c r="I3931">
        <v>104</v>
      </c>
      <c r="J3931">
        <v>33.270000000000003</v>
      </c>
      <c r="K3931">
        <v>182.9</v>
      </c>
      <c r="L3931">
        <v>121</v>
      </c>
      <c r="M3931">
        <v>15.55</v>
      </c>
      <c r="N3931">
        <v>324.7</v>
      </c>
      <c r="O3931">
        <v>110</v>
      </c>
      <c r="P3931">
        <v>14.61</v>
      </c>
      <c r="Q3931">
        <v>8.6</v>
      </c>
      <c r="R3931">
        <v>9</v>
      </c>
      <c r="S3931">
        <v>2.3199999999999998</v>
      </c>
      <c r="T3931">
        <v>0</v>
      </c>
      <c r="U3931" t="s">
        <v>22</v>
      </c>
      <c r="V3931" t="e">
        <f>IF(#REF! = "yes", 1, 0)</f>
        <v>#REF!</v>
      </c>
      <c r="W3931" t="e">
        <f>IF(#REF! &lt;= 1, "0-1 Calls", IF(#REF! &lt;= 3, "2-3 Calls", IF(#REF! &lt;=5, "4-5 Calls", "6+ Calls")))</f>
        <v>#REF!</v>
      </c>
      <c r="X3931" t="e">
        <f>IF(#REF! &lt;= 50, "0-50", IF(#REF! &lt;=100, "51-100", IF(#REF! &lt;= 150, "101-150", "151+")))</f>
        <v>#REF!</v>
      </c>
      <c r="Y3931" t="e">
        <f>IF(#REF! &lt;= 3, "Low Charges", "High Charges")</f>
        <v>#REF!</v>
      </c>
      <c r="Z3931" t="e">
        <f>IF(#REF!&lt;=80,"Low Calls",
IF(#REF!&lt;=120,"Medium Calls","High Calls"))</f>
        <v>#REF!</v>
      </c>
      <c r="AA3931" t="e">
        <f>IF(#REF!&lt;=15,"Low Charges",
IF(#REF!&lt;=20,"Medium Charges","High Charges"))</f>
        <v>#REF!</v>
      </c>
      <c r="AB3931" t="e">
        <f>IF(AND(#REF!&gt;180, #REF!&gt;200), "Heavy Doemstic User", IF(#REF!&gt;10, "Interntional User", IF(AND(#REF!&lt;180, #REF!&lt;200,#REF!&lt;200), "Light User", "Balanced User")))</f>
        <v>#REF!</v>
      </c>
      <c r="AC3931" t="e">
        <f>IF(#REF! = 0, "No Usage", IF(#REF! &lt;= 20, "Low Usage", IF(#REF! &lt;= 40, "Medium Usgae", "High Usage")))</f>
        <v>#REF!</v>
      </c>
      <c r="AD3931" t="e">
        <f>IF(#REF!&lt;=150,"Low Usage", IF(#REF!&lt;=200,"Medium Usage", IF(#REF!&lt;=250,"High Usage","Very High Usage")))</f>
        <v>#REF!</v>
      </c>
      <c r="AE3931" t="e">
        <f>IF(#REF!&lt;=5,"Low Calls", IF(#REF!&lt;=10, "Medium Calls", "High Calls"))</f>
        <v>#REF!</v>
      </c>
      <c r="AF3931" t="e">
        <f xml:space="preserve">
IF(#REF!&gt;=4,4,0)+
IF(#REF!="yes",3,0)+
IF(#REF!="High Charges",3,0)+
IF(#REF!&gt;250,4,0)+
IF(#REF!="no",1,0)+
IF(#REF!="Heavy Domestic User",2,0)</f>
        <v>#REF!</v>
      </c>
      <c r="AG3931" t="e">
        <f>IF(#REF!&gt;=10,"High Risk", IF(#REF!&gt;=5,"Medium Risk","Low Risk"))</f>
        <v>#REF!</v>
      </c>
      <c r="AH3931" t="e">
        <f>#REF! + #REF! + #REF! + #REF!</f>
        <v>#REF!</v>
      </c>
    </row>
    <row r="3932" spans="1:34" x14ac:dyDescent="0.35">
      <c r="A3932">
        <v>3931</v>
      </c>
      <c r="B3932" t="s">
        <v>65</v>
      </c>
      <c r="C3932">
        <v>81</v>
      </c>
      <c r="D3932" t="s">
        <v>28</v>
      </c>
      <c r="E3932" t="s">
        <v>22</v>
      </c>
      <c r="F3932" t="s">
        <v>22</v>
      </c>
      <c r="G3932">
        <v>0</v>
      </c>
      <c r="H3932">
        <v>79.400000000000006</v>
      </c>
      <c r="I3932">
        <v>99</v>
      </c>
      <c r="J3932">
        <v>13.5</v>
      </c>
      <c r="K3932">
        <v>144.69999999999999</v>
      </c>
      <c r="L3932">
        <v>90</v>
      </c>
      <c r="M3932">
        <v>12.3</v>
      </c>
      <c r="N3932">
        <v>204.7</v>
      </c>
      <c r="O3932">
        <v>114</v>
      </c>
      <c r="P3932">
        <v>9.2100000000000009</v>
      </c>
      <c r="Q3932">
        <v>9.1</v>
      </c>
      <c r="R3932">
        <v>5</v>
      </c>
      <c r="S3932">
        <v>2.46</v>
      </c>
      <c r="T3932">
        <v>0</v>
      </c>
      <c r="U3932" t="s">
        <v>22</v>
      </c>
      <c r="V3932" t="e">
        <f>IF(#REF! = "yes", 1, 0)</f>
        <v>#REF!</v>
      </c>
      <c r="W3932" t="e">
        <f>IF(#REF! &lt;= 1, "0-1 Calls", IF(#REF! &lt;= 3, "2-3 Calls", IF(#REF! &lt;=5, "4-5 Calls", "6+ Calls")))</f>
        <v>#REF!</v>
      </c>
      <c r="X3932" t="e">
        <f>IF(#REF! &lt;= 50, "0-50", IF(#REF! &lt;=100, "51-100", IF(#REF! &lt;= 150, "101-150", "151+")))</f>
        <v>#REF!</v>
      </c>
      <c r="Y3932" t="e">
        <f>IF(#REF! &lt;= 3, "Low Charges", "High Charges")</f>
        <v>#REF!</v>
      </c>
      <c r="Z3932" t="e">
        <f>IF(#REF!&lt;=80,"Low Calls",
IF(#REF!&lt;=120,"Medium Calls","High Calls"))</f>
        <v>#REF!</v>
      </c>
      <c r="AA3932" t="e">
        <f>IF(#REF!&lt;=15,"Low Charges",
IF(#REF!&lt;=20,"Medium Charges","High Charges"))</f>
        <v>#REF!</v>
      </c>
      <c r="AB3932" t="e">
        <f>IF(AND(#REF!&gt;180, #REF!&gt;200), "Heavy Doemstic User", IF(#REF!&gt;10, "Interntional User", IF(AND(#REF!&lt;180, #REF!&lt;200,#REF!&lt;200), "Light User", "Balanced User")))</f>
        <v>#REF!</v>
      </c>
      <c r="AC3932" t="e">
        <f>IF(#REF! = 0, "No Usage", IF(#REF! &lt;= 20, "Low Usage", IF(#REF! &lt;= 40, "Medium Usgae", "High Usage")))</f>
        <v>#REF!</v>
      </c>
      <c r="AD3932" t="e">
        <f>IF(#REF!&lt;=150,"Low Usage", IF(#REF!&lt;=200,"Medium Usage", IF(#REF!&lt;=250,"High Usage","Very High Usage")))</f>
        <v>#REF!</v>
      </c>
      <c r="AE3932" t="e">
        <f>IF(#REF!&lt;=5,"Low Calls", IF(#REF!&lt;=10, "Medium Calls", "High Calls"))</f>
        <v>#REF!</v>
      </c>
      <c r="AF3932" t="e">
        <f xml:space="preserve">
IF(#REF!&gt;=4,4,0)+
IF(#REF!="yes",3,0)+
IF(#REF!="High Charges",3,0)+
IF(#REF!&gt;250,4,0)+
IF(#REF!="no",1,0)+
IF(#REF!="Heavy Domestic User",2,0)</f>
        <v>#REF!</v>
      </c>
      <c r="AG3932" t="e">
        <f>IF(#REF!&gt;=10,"High Risk", IF(#REF!&gt;=5,"Medium Risk","Low Risk"))</f>
        <v>#REF!</v>
      </c>
      <c r="AH3932" t="e">
        <f>#REF! + #REF! + #REF! + #REF!</f>
        <v>#REF!</v>
      </c>
    </row>
    <row r="3933" spans="1:34" x14ac:dyDescent="0.35">
      <c r="A3933">
        <v>3932</v>
      </c>
      <c r="B3933" t="s">
        <v>50</v>
      </c>
      <c r="C3933">
        <v>41</v>
      </c>
      <c r="D3933" t="s">
        <v>21</v>
      </c>
      <c r="E3933" t="s">
        <v>22</v>
      </c>
      <c r="F3933" t="s">
        <v>22</v>
      </c>
      <c r="G3933">
        <v>0</v>
      </c>
      <c r="H3933">
        <v>102.9</v>
      </c>
      <c r="I3933">
        <v>114</v>
      </c>
      <c r="J3933">
        <v>17.489999999999998</v>
      </c>
      <c r="K3933">
        <v>107.9</v>
      </c>
      <c r="L3933">
        <v>119</v>
      </c>
      <c r="M3933">
        <v>9.17</v>
      </c>
      <c r="N3933">
        <v>277.60000000000002</v>
      </c>
      <c r="O3933">
        <v>99</v>
      </c>
      <c r="P3933">
        <v>12.49</v>
      </c>
      <c r="Q3933">
        <v>11</v>
      </c>
      <c r="R3933">
        <v>4</v>
      </c>
      <c r="S3933">
        <v>2.97</v>
      </c>
      <c r="T3933">
        <v>6</v>
      </c>
      <c r="U3933" t="s">
        <v>23</v>
      </c>
      <c r="V3933" t="e">
        <f>IF(#REF! = "yes", 1, 0)</f>
        <v>#REF!</v>
      </c>
      <c r="W3933" t="e">
        <f>IF(#REF! &lt;= 1, "0-1 Calls", IF(#REF! &lt;= 3, "2-3 Calls", IF(#REF! &lt;=5, "4-5 Calls", "6+ Calls")))</f>
        <v>#REF!</v>
      </c>
      <c r="X3933" t="e">
        <f>IF(#REF! &lt;= 50, "0-50", IF(#REF! &lt;=100, "51-100", IF(#REF! &lt;= 150, "101-150", "151+")))</f>
        <v>#REF!</v>
      </c>
      <c r="Y3933" t="e">
        <f>IF(#REF! &lt;= 3, "Low Charges", "High Charges")</f>
        <v>#REF!</v>
      </c>
      <c r="Z3933" t="e">
        <f>IF(#REF!&lt;=80,"Low Calls",
IF(#REF!&lt;=120,"Medium Calls","High Calls"))</f>
        <v>#REF!</v>
      </c>
      <c r="AA3933" t="e">
        <f>IF(#REF!&lt;=15,"Low Charges",
IF(#REF!&lt;=20,"Medium Charges","High Charges"))</f>
        <v>#REF!</v>
      </c>
      <c r="AB3933" t="e">
        <f>IF(AND(#REF!&gt;180, #REF!&gt;200), "Heavy Doemstic User", IF(#REF!&gt;10, "Interntional User", IF(AND(#REF!&lt;180, #REF!&lt;200,#REF!&lt;200), "Light User", "Balanced User")))</f>
        <v>#REF!</v>
      </c>
      <c r="AC3933" t="e">
        <f>IF(#REF! = 0, "No Usage", IF(#REF! &lt;= 20, "Low Usage", IF(#REF! &lt;= 40, "Medium Usgae", "High Usage")))</f>
        <v>#REF!</v>
      </c>
      <c r="AD3933" t="e">
        <f>IF(#REF!&lt;=150,"Low Usage", IF(#REF!&lt;=200,"Medium Usage", IF(#REF!&lt;=250,"High Usage","Very High Usage")))</f>
        <v>#REF!</v>
      </c>
      <c r="AE3933" t="e">
        <f>IF(#REF!&lt;=5,"Low Calls", IF(#REF!&lt;=10, "Medium Calls", "High Calls"))</f>
        <v>#REF!</v>
      </c>
      <c r="AF3933" t="e">
        <f xml:space="preserve">
IF(#REF!&gt;=4,4,0)+
IF(#REF!="yes",3,0)+
IF(#REF!="High Charges",3,0)+
IF(#REF!&gt;250,4,0)+
IF(#REF!="no",1,0)+
IF(#REF!="Heavy Domestic User",2,0)</f>
        <v>#REF!</v>
      </c>
      <c r="AG3933" t="e">
        <f>IF(#REF!&gt;=10,"High Risk", IF(#REF!&gt;=5,"Medium Risk","Low Risk"))</f>
        <v>#REF!</v>
      </c>
      <c r="AH3933" t="e">
        <f>#REF! + #REF! + #REF! + #REF!</f>
        <v>#REF!</v>
      </c>
    </row>
    <row r="3934" spans="1:34" x14ac:dyDescent="0.35">
      <c r="A3934">
        <v>3933</v>
      </c>
      <c r="B3934" t="s">
        <v>64</v>
      </c>
      <c r="C3934">
        <v>217</v>
      </c>
      <c r="D3934" t="s">
        <v>28</v>
      </c>
      <c r="E3934" t="s">
        <v>22</v>
      </c>
      <c r="F3934" t="s">
        <v>22</v>
      </c>
      <c r="G3934">
        <v>0</v>
      </c>
      <c r="H3934">
        <v>99.7</v>
      </c>
      <c r="I3934">
        <v>74</v>
      </c>
      <c r="J3934">
        <v>16.95</v>
      </c>
      <c r="K3934">
        <v>183.1</v>
      </c>
      <c r="L3934">
        <v>97</v>
      </c>
      <c r="M3934">
        <v>15.56</v>
      </c>
      <c r="N3934">
        <v>220.3</v>
      </c>
      <c r="O3934">
        <v>73</v>
      </c>
      <c r="P3934">
        <v>9.91</v>
      </c>
      <c r="Q3934">
        <v>14.4</v>
      </c>
      <c r="R3934">
        <v>4</v>
      </c>
      <c r="S3934">
        <v>3.89</v>
      </c>
      <c r="T3934">
        <v>0</v>
      </c>
      <c r="U3934" t="s">
        <v>22</v>
      </c>
      <c r="V3934" t="e">
        <f>IF(#REF! = "yes", 1, 0)</f>
        <v>#REF!</v>
      </c>
      <c r="W3934" t="e">
        <f>IF(#REF! &lt;= 1, "0-1 Calls", IF(#REF! &lt;= 3, "2-3 Calls", IF(#REF! &lt;=5, "4-5 Calls", "6+ Calls")))</f>
        <v>#REF!</v>
      </c>
      <c r="X3934" t="e">
        <f>IF(#REF! &lt;= 50, "0-50", IF(#REF! &lt;=100, "51-100", IF(#REF! &lt;= 150, "101-150", "151+")))</f>
        <v>#REF!</v>
      </c>
      <c r="Y3934" t="e">
        <f>IF(#REF! &lt;= 3, "Low Charges", "High Charges")</f>
        <v>#REF!</v>
      </c>
      <c r="Z3934" t="e">
        <f>IF(#REF!&lt;=80,"Low Calls",
IF(#REF!&lt;=120,"Medium Calls","High Calls"))</f>
        <v>#REF!</v>
      </c>
      <c r="AA3934" t="e">
        <f>IF(#REF!&lt;=15,"Low Charges",
IF(#REF!&lt;=20,"Medium Charges","High Charges"))</f>
        <v>#REF!</v>
      </c>
      <c r="AB3934" t="e">
        <f>IF(AND(#REF!&gt;180, #REF!&gt;200), "Heavy Doemstic User", IF(#REF!&gt;10, "Interntional User", IF(AND(#REF!&lt;180, #REF!&lt;200,#REF!&lt;200), "Light User", "Balanced User")))</f>
        <v>#REF!</v>
      </c>
      <c r="AC3934" t="e">
        <f>IF(#REF! = 0, "No Usage", IF(#REF! &lt;= 20, "Low Usage", IF(#REF! &lt;= 40, "Medium Usgae", "High Usage")))</f>
        <v>#REF!</v>
      </c>
      <c r="AD3934" t="e">
        <f>IF(#REF!&lt;=150,"Low Usage", IF(#REF!&lt;=200,"Medium Usage", IF(#REF!&lt;=250,"High Usage","Very High Usage")))</f>
        <v>#REF!</v>
      </c>
      <c r="AE3934" t="e">
        <f>IF(#REF!&lt;=5,"Low Calls", IF(#REF!&lt;=10, "Medium Calls", "High Calls"))</f>
        <v>#REF!</v>
      </c>
      <c r="AF3934" t="e">
        <f xml:space="preserve">
IF(#REF!&gt;=4,4,0)+
IF(#REF!="yes",3,0)+
IF(#REF!="High Charges",3,0)+
IF(#REF!&gt;250,4,0)+
IF(#REF!="no",1,0)+
IF(#REF!="Heavy Domestic User",2,0)</f>
        <v>#REF!</v>
      </c>
      <c r="AG3934" t="e">
        <f>IF(#REF!&gt;=10,"High Risk", IF(#REF!&gt;=5,"Medium Risk","Low Risk"))</f>
        <v>#REF!</v>
      </c>
      <c r="AH3934" t="e">
        <f>#REF! + #REF! + #REF! + #REF!</f>
        <v>#REF!</v>
      </c>
    </row>
    <row r="3935" spans="1:34" x14ac:dyDescent="0.35">
      <c r="A3935">
        <v>3934</v>
      </c>
      <c r="B3935" t="s">
        <v>49</v>
      </c>
      <c r="C3935">
        <v>79</v>
      </c>
      <c r="D3935" t="s">
        <v>21</v>
      </c>
      <c r="E3935" t="s">
        <v>22</v>
      </c>
      <c r="F3935" t="s">
        <v>22</v>
      </c>
      <c r="G3935">
        <v>0</v>
      </c>
      <c r="H3935">
        <v>213.4</v>
      </c>
      <c r="I3935">
        <v>107</v>
      </c>
      <c r="J3935">
        <v>36.28</v>
      </c>
      <c r="K3935">
        <v>176.2</v>
      </c>
      <c r="L3935">
        <v>82</v>
      </c>
      <c r="M3935">
        <v>14.98</v>
      </c>
      <c r="N3935">
        <v>180.1</v>
      </c>
      <c r="O3935">
        <v>125</v>
      </c>
      <c r="P3935">
        <v>8.1</v>
      </c>
      <c r="Q3935">
        <v>7.9</v>
      </c>
      <c r="R3935">
        <v>4</v>
      </c>
      <c r="S3935">
        <v>2.13</v>
      </c>
      <c r="T3935">
        <v>0</v>
      </c>
      <c r="U3935" t="s">
        <v>22</v>
      </c>
      <c r="V3935" t="e">
        <f>IF(#REF! = "yes", 1, 0)</f>
        <v>#REF!</v>
      </c>
      <c r="W3935" t="e">
        <f>IF(#REF! &lt;= 1, "0-1 Calls", IF(#REF! &lt;= 3, "2-3 Calls", IF(#REF! &lt;=5, "4-5 Calls", "6+ Calls")))</f>
        <v>#REF!</v>
      </c>
      <c r="X3935" t="e">
        <f>IF(#REF! &lt;= 50, "0-50", IF(#REF! &lt;=100, "51-100", IF(#REF! &lt;= 150, "101-150", "151+")))</f>
        <v>#REF!</v>
      </c>
      <c r="Y3935" t="e">
        <f>IF(#REF! &lt;= 3, "Low Charges", "High Charges")</f>
        <v>#REF!</v>
      </c>
      <c r="Z3935" t="e">
        <f>IF(#REF!&lt;=80,"Low Calls",
IF(#REF!&lt;=120,"Medium Calls","High Calls"))</f>
        <v>#REF!</v>
      </c>
      <c r="AA3935" t="e">
        <f>IF(#REF!&lt;=15,"Low Charges",
IF(#REF!&lt;=20,"Medium Charges","High Charges"))</f>
        <v>#REF!</v>
      </c>
      <c r="AB3935" t="e">
        <f>IF(AND(#REF!&gt;180, #REF!&gt;200), "Heavy Doemstic User", IF(#REF!&gt;10, "Interntional User", IF(AND(#REF!&lt;180, #REF!&lt;200,#REF!&lt;200), "Light User", "Balanced User")))</f>
        <v>#REF!</v>
      </c>
      <c r="AC3935" t="e">
        <f>IF(#REF! = 0, "No Usage", IF(#REF! &lt;= 20, "Low Usage", IF(#REF! &lt;= 40, "Medium Usgae", "High Usage")))</f>
        <v>#REF!</v>
      </c>
      <c r="AD3935" t="e">
        <f>IF(#REF!&lt;=150,"Low Usage", IF(#REF!&lt;=200,"Medium Usage", IF(#REF!&lt;=250,"High Usage","Very High Usage")))</f>
        <v>#REF!</v>
      </c>
      <c r="AE3935" t="e">
        <f>IF(#REF!&lt;=5,"Low Calls", IF(#REF!&lt;=10, "Medium Calls", "High Calls"))</f>
        <v>#REF!</v>
      </c>
      <c r="AF3935" t="e">
        <f xml:space="preserve">
IF(#REF!&gt;=4,4,0)+
IF(#REF!="yes",3,0)+
IF(#REF!="High Charges",3,0)+
IF(#REF!&gt;250,4,0)+
IF(#REF!="no",1,0)+
IF(#REF!="Heavy Domestic User",2,0)</f>
        <v>#REF!</v>
      </c>
      <c r="AG3935" t="e">
        <f>IF(#REF!&gt;=10,"High Risk", IF(#REF!&gt;=5,"Medium Risk","Low Risk"))</f>
        <v>#REF!</v>
      </c>
      <c r="AH3935" t="e">
        <f>#REF! + #REF! + #REF! + #REF!</f>
        <v>#REF!</v>
      </c>
    </row>
    <row r="3936" spans="1:34" x14ac:dyDescent="0.35">
      <c r="A3936">
        <v>3935</v>
      </c>
      <c r="B3936" t="s">
        <v>74</v>
      </c>
      <c r="C3936">
        <v>15</v>
      </c>
      <c r="D3936" t="s">
        <v>21</v>
      </c>
      <c r="E3936" t="s">
        <v>22</v>
      </c>
      <c r="F3936" t="s">
        <v>22</v>
      </c>
      <c r="G3936">
        <v>0</v>
      </c>
      <c r="H3936">
        <v>185.1</v>
      </c>
      <c r="I3936">
        <v>103</v>
      </c>
      <c r="J3936">
        <v>31.47</v>
      </c>
      <c r="K3936">
        <v>193.8</v>
      </c>
      <c r="L3936">
        <v>148</v>
      </c>
      <c r="M3936">
        <v>16.47</v>
      </c>
      <c r="N3936">
        <v>305.2</v>
      </c>
      <c r="O3936">
        <v>79</v>
      </c>
      <c r="P3936">
        <v>13.73</v>
      </c>
      <c r="Q3936">
        <v>13.2</v>
      </c>
      <c r="R3936">
        <v>6</v>
      </c>
      <c r="S3936">
        <v>3.56</v>
      </c>
      <c r="T3936">
        <v>5</v>
      </c>
      <c r="U3936" t="s">
        <v>22</v>
      </c>
      <c r="V3936" t="e">
        <f>IF(#REF! = "yes", 1, 0)</f>
        <v>#REF!</v>
      </c>
      <c r="W3936" t="e">
        <f>IF(#REF! &lt;= 1, "0-1 Calls", IF(#REF! &lt;= 3, "2-3 Calls", IF(#REF! &lt;=5, "4-5 Calls", "6+ Calls")))</f>
        <v>#REF!</v>
      </c>
      <c r="X3936" t="e">
        <f>IF(#REF! &lt;= 50, "0-50", IF(#REF! &lt;=100, "51-100", IF(#REF! &lt;= 150, "101-150", "151+")))</f>
        <v>#REF!</v>
      </c>
      <c r="Y3936" t="e">
        <f>IF(#REF! &lt;= 3, "Low Charges", "High Charges")</f>
        <v>#REF!</v>
      </c>
      <c r="Z3936" t="e">
        <f>IF(#REF!&lt;=80,"Low Calls",
IF(#REF!&lt;=120,"Medium Calls","High Calls"))</f>
        <v>#REF!</v>
      </c>
      <c r="AA3936" t="e">
        <f>IF(#REF!&lt;=15,"Low Charges",
IF(#REF!&lt;=20,"Medium Charges","High Charges"))</f>
        <v>#REF!</v>
      </c>
      <c r="AB3936" t="e">
        <f>IF(AND(#REF!&gt;180, #REF!&gt;200), "Heavy Doemstic User", IF(#REF!&gt;10, "Interntional User", IF(AND(#REF!&lt;180, #REF!&lt;200,#REF!&lt;200), "Light User", "Balanced User")))</f>
        <v>#REF!</v>
      </c>
      <c r="AC3936" t="e">
        <f>IF(#REF! = 0, "No Usage", IF(#REF! &lt;= 20, "Low Usage", IF(#REF! &lt;= 40, "Medium Usgae", "High Usage")))</f>
        <v>#REF!</v>
      </c>
      <c r="AD3936" t="e">
        <f>IF(#REF!&lt;=150,"Low Usage", IF(#REF!&lt;=200,"Medium Usage", IF(#REF!&lt;=250,"High Usage","Very High Usage")))</f>
        <v>#REF!</v>
      </c>
      <c r="AE3936" t="e">
        <f>IF(#REF!&lt;=5,"Low Calls", IF(#REF!&lt;=10, "Medium Calls", "High Calls"))</f>
        <v>#REF!</v>
      </c>
      <c r="AF3936" t="e">
        <f xml:space="preserve">
IF(#REF!&gt;=4,4,0)+
IF(#REF!="yes",3,0)+
IF(#REF!="High Charges",3,0)+
IF(#REF!&gt;250,4,0)+
IF(#REF!="no",1,0)+
IF(#REF!="Heavy Domestic User",2,0)</f>
        <v>#REF!</v>
      </c>
      <c r="AG3936" t="e">
        <f>IF(#REF!&gt;=10,"High Risk", IF(#REF!&gt;=5,"Medium Risk","Low Risk"))</f>
        <v>#REF!</v>
      </c>
      <c r="AH3936" t="e">
        <f>#REF! + #REF! + #REF! + #REF!</f>
        <v>#REF!</v>
      </c>
    </row>
    <row r="3937" spans="1:34" x14ac:dyDescent="0.35">
      <c r="A3937">
        <v>3936</v>
      </c>
      <c r="B3937" t="s">
        <v>53</v>
      </c>
      <c r="C3937">
        <v>96</v>
      </c>
      <c r="D3937" t="s">
        <v>21</v>
      </c>
      <c r="E3937" t="s">
        <v>22</v>
      </c>
      <c r="F3937" t="s">
        <v>22</v>
      </c>
      <c r="G3937">
        <v>0</v>
      </c>
      <c r="H3937">
        <v>166.5</v>
      </c>
      <c r="I3937">
        <v>101</v>
      </c>
      <c r="J3937">
        <v>28.31</v>
      </c>
      <c r="K3937">
        <v>78.3</v>
      </c>
      <c r="L3937">
        <v>108</v>
      </c>
      <c r="M3937">
        <v>6.66</v>
      </c>
      <c r="N3937">
        <v>221.9</v>
      </c>
      <c r="O3937">
        <v>112</v>
      </c>
      <c r="P3937">
        <v>9.99</v>
      </c>
      <c r="Q3937">
        <v>11.5</v>
      </c>
      <c r="R3937">
        <v>10</v>
      </c>
      <c r="S3937">
        <v>3.11</v>
      </c>
      <c r="T3937">
        <v>3</v>
      </c>
      <c r="U3937" t="s">
        <v>22</v>
      </c>
      <c r="V3937" t="e">
        <f>IF(#REF! = "yes", 1, 0)</f>
        <v>#REF!</v>
      </c>
      <c r="W3937" t="e">
        <f>IF(#REF! &lt;= 1, "0-1 Calls", IF(#REF! &lt;= 3, "2-3 Calls", IF(#REF! &lt;=5, "4-5 Calls", "6+ Calls")))</f>
        <v>#REF!</v>
      </c>
      <c r="X3937" t="e">
        <f>IF(#REF! &lt;= 50, "0-50", IF(#REF! &lt;=100, "51-100", IF(#REF! &lt;= 150, "101-150", "151+")))</f>
        <v>#REF!</v>
      </c>
      <c r="Y3937" t="e">
        <f>IF(#REF! &lt;= 3, "Low Charges", "High Charges")</f>
        <v>#REF!</v>
      </c>
      <c r="Z3937" t="e">
        <f>IF(#REF!&lt;=80,"Low Calls",
IF(#REF!&lt;=120,"Medium Calls","High Calls"))</f>
        <v>#REF!</v>
      </c>
      <c r="AA3937" t="e">
        <f>IF(#REF!&lt;=15,"Low Charges",
IF(#REF!&lt;=20,"Medium Charges","High Charges"))</f>
        <v>#REF!</v>
      </c>
      <c r="AB3937" t="e">
        <f>IF(AND(#REF!&gt;180, #REF!&gt;200), "Heavy Doemstic User", IF(#REF!&gt;10, "Interntional User", IF(AND(#REF!&lt;180, #REF!&lt;200,#REF!&lt;200), "Light User", "Balanced User")))</f>
        <v>#REF!</v>
      </c>
      <c r="AC3937" t="e">
        <f>IF(#REF! = 0, "No Usage", IF(#REF! &lt;= 20, "Low Usage", IF(#REF! &lt;= 40, "Medium Usgae", "High Usage")))</f>
        <v>#REF!</v>
      </c>
      <c r="AD3937" t="e">
        <f>IF(#REF!&lt;=150,"Low Usage", IF(#REF!&lt;=200,"Medium Usage", IF(#REF!&lt;=250,"High Usage","Very High Usage")))</f>
        <v>#REF!</v>
      </c>
      <c r="AE3937" t="e">
        <f>IF(#REF!&lt;=5,"Low Calls", IF(#REF!&lt;=10, "Medium Calls", "High Calls"))</f>
        <v>#REF!</v>
      </c>
      <c r="AF3937" t="e">
        <f xml:space="preserve">
IF(#REF!&gt;=4,4,0)+
IF(#REF!="yes",3,0)+
IF(#REF!="High Charges",3,0)+
IF(#REF!&gt;250,4,0)+
IF(#REF!="no",1,0)+
IF(#REF!="Heavy Domestic User",2,0)</f>
        <v>#REF!</v>
      </c>
      <c r="AG3937" t="e">
        <f>IF(#REF!&gt;=10,"High Risk", IF(#REF!&gt;=5,"Medium Risk","Low Risk"))</f>
        <v>#REF!</v>
      </c>
      <c r="AH3937" t="e">
        <f>#REF! + #REF! + #REF! + #REF!</f>
        <v>#REF!</v>
      </c>
    </row>
    <row r="3938" spans="1:34" x14ac:dyDescent="0.35">
      <c r="A3938">
        <v>3937</v>
      </c>
      <c r="B3938" t="s">
        <v>73</v>
      </c>
      <c r="C3938">
        <v>140</v>
      </c>
      <c r="D3938" t="s">
        <v>21</v>
      </c>
      <c r="E3938" t="s">
        <v>22</v>
      </c>
      <c r="F3938" t="s">
        <v>22</v>
      </c>
      <c r="G3938">
        <v>0</v>
      </c>
      <c r="H3938">
        <v>220.1</v>
      </c>
      <c r="I3938">
        <v>100</v>
      </c>
      <c r="J3938">
        <v>37.42</v>
      </c>
      <c r="K3938">
        <v>182.2</v>
      </c>
      <c r="L3938">
        <v>112</v>
      </c>
      <c r="M3938">
        <v>15.49</v>
      </c>
      <c r="N3938">
        <v>250.3</v>
      </c>
      <c r="O3938">
        <v>98</v>
      </c>
      <c r="P3938">
        <v>11.26</v>
      </c>
      <c r="Q3938">
        <v>11.6</v>
      </c>
      <c r="R3938">
        <v>8</v>
      </c>
      <c r="S3938">
        <v>3.13</v>
      </c>
      <c r="T3938">
        <v>1</v>
      </c>
      <c r="U3938" t="s">
        <v>22</v>
      </c>
      <c r="V3938" t="e">
        <f>IF(#REF! = "yes", 1, 0)</f>
        <v>#REF!</v>
      </c>
      <c r="W3938" t="e">
        <f>IF(#REF! &lt;= 1, "0-1 Calls", IF(#REF! &lt;= 3, "2-3 Calls", IF(#REF! &lt;=5, "4-5 Calls", "6+ Calls")))</f>
        <v>#REF!</v>
      </c>
      <c r="X3938" t="e">
        <f>IF(#REF! &lt;= 50, "0-50", IF(#REF! &lt;=100, "51-100", IF(#REF! &lt;= 150, "101-150", "151+")))</f>
        <v>#REF!</v>
      </c>
      <c r="Y3938" t="e">
        <f>IF(#REF! &lt;= 3, "Low Charges", "High Charges")</f>
        <v>#REF!</v>
      </c>
      <c r="Z3938" t="e">
        <f>IF(#REF!&lt;=80,"Low Calls",
IF(#REF!&lt;=120,"Medium Calls","High Calls"))</f>
        <v>#REF!</v>
      </c>
      <c r="AA3938" t="e">
        <f>IF(#REF!&lt;=15,"Low Charges",
IF(#REF!&lt;=20,"Medium Charges","High Charges"))</f>
        <v>#REF!</v>
      </c>
      <c r="AB3938" t="e">
        <f>IF(AND(#REF!&gt;180, #REF!&gt;200), "Heavy Doemstic User", IF(#REF!&gt;10, "Interntional User", IF(AND(#REF!&lt;180, #REF!&lt;200,#REF!&lt;200), "Light User", "Balanced User")))</f>
        <v>#REF!</v>
      </c>
      <c r="AC3938" t="e">
        <f>IF(#REF! = 0, "No Usage", IF(#REF! &lt;= 20, "Low Usage", IF(#REF! &lt;= 40, "Medium Usgae", "High Usage")))</f>
        <v>#REF!</v>
      </c>
      <c r="AD3938" t="e">
        <f>IF(#REF!&lt;=150,"Low Usage", IF(#REF!&lt;=200,"Medium Usage", IF(#REF!&lt;=250,"High Usage","Very High Usage")))</f>
        <v>#REF!</v>
      </c>
      <c r="AE3938" t="e">
        <f>IF(#REF!&lt;=5,"Low Calls", IF(#REF!&lt;=10, "Medium Calls", "High Calls"))</f>
        <v>#REF!</v>
      </c>
      <c r="AF3938" t="e">
        <f xml:space="preserve">
IF(#REF!&gt;=4,4,0)+
IF(#REF!="yes",3,0)+
IF(#REF!="High Charges",3,0)+
IF(#REF!&gt;250,4,0)+
IF(#REF!="no",1,0)+
IF(#REF!="Heavy Domestic User",2,0)</f>
        <v>#REF!</v>
      </c>
      <c r="AG3938" t="e">
        <f>IF(#REF!&gt;=10,"High Risk", IF(#REF!&gt;=5,"Medium Risk","Low Risk"))</f>
        <v>#REF!</v>
      </c>
      <c r="AH3938" t="e">
        <f>#REF! + #REF! + #REF! + #REF!</f>
        <v>#REF!</v>
      </c>
    </row>
    <row r="3939" spans="1:34" x14ac:dyDescent="0.35">
      <c r="A3939">
        <v>3938</v>
      </c>
      <c r="B3939" t="s">
        <v>56</v>
      </c>
      <c r="C3939">
        <v>67</v>
      </c>
      <c r="D3939" t="s">
        <v>28</v>
      </c>
      <c r="E3939" t="s">
        <v>22</v>
      </c>
      <c r="F3939" t="s">
        <v>22</v>
      </c>
      <c r="G3939">
        <v>0</v>
      </c>
      <c r="H3939">
        <v>102.8</v>
      </c>
      <c r="I3939">
        <v>93</v>
      </c>
      <c r="J3939">
        <v>17.48</v>
      </c>
      <c r="K3939">
        <v>137.80000000000001</v>
      </c>
      <c r="L3939">
        <v>91</v>
      </c>
      <c r="M3939">
        <v>11.71</v>
      </c>
      <c r="N3939">
        <v>158.9</v>
      </c>
      <c r="O3939">
        <v>110</v>
      </c>
      <c r="P3939">
        <v>7.15</v>
      </c>
      <c r="Q3939">
        <v>8.9</v>
      </c>
      <c r="R3939">
        <v>5</v>
      </c>
      <c r="S3939">
        <v>2.4</v>
      </c>
      <c r="T3939">
        <v>1</v>
      </c>
      <c r="U3939" t="s">
        <v>22</v>
      </c>
      <c r="V3939" t="e">
        <f>IF(#REF! = "yes", 1, 0)</f>
        <v>#REF!</v>
      </c>
      <c r="W3939" t="e">
        <f>IF(#REF! &lt;= 1, "0-1 Calls", IF(#REF! &lt;= 3, "2-3 Calls", IF(#REF! &lt;=5, "4-5 Calls", "6+ Calls")))</f>
        <v>#REF!</v>
      </c>
      <c r="X3939" t="e">
        <f>IF(#REF! &lt;= 50, "0-50", IF(#REF! &lt;=100, "51-100", IF(#REF! &lt;= 150, "101-150", "151+")))</f>
        <v>#REF!</v>
      </c>
      <c r="Y3939" t="e">
        <f>IF(#REF! &lt;= 3, "Low Charges", "High Charges")</f>
        <v>#REF!</v>
      </c>
      <c r="Z3939" t="e">
        <f>IF(#REF!&lt;=80,"Low Calls",
IF(#REF!&lt;=120,"Medium Calls","High Calls"))</f>
        <v>#REF!</v>
      </c>
      <c r="AA3939" t="e">
        <f>IF(#REF!&lt;=15,"Low Charges",
IF(#REF!&lt;=20,"Medium Charges","High Charges"))</f>
        <v>#REF!</v>
      </c>
      <c r="AB3939" t="e">
        <f>IF(AND(#REF!&gt;180, #REF!&gt;200), "Heavy Doemstic User", IF(#REF!&gt;10, "Interntional User", IF(AND(#REF!&lt;180, #REF!&lt;200,#REF!&lt;200), "Light User", "Balanced User")))</f>
        <v>#REF!</v>
      </c>
      <c r="AC3939" t="e">
        <f>IF(#REF! = 0, "No Usage", IF(#REF! &lt;= 20, "Low Usage", IF(#REF! &lt;= 40, "Medium Usgae", "High Usage")))</f>
        <v>#REF!</v>
      </c>
      <c r="AD3939" t="e">
        <f>IF(#REF!&lt;=150,"Low Usage", IF(#REF!&lt;=200,"Medium Usage", IF(#REF!&lt;=250,"High Usage","Very High Usage")))</f>
        <v>#REF!</v>
      </c>
      <c r="AE3939" t="e">
        <f>IF(#REF!&lt;=5,"Low Calls", IF(#REF!&lt;=10, "Medium Calls", "High Calls"))</f>
        <v>#REF!</v>
      </c>
      <c r="AF3939" t="e">
        <f xml:space="preserve">
IF(#REF!&gt;=4,4,0)+
IF(#REF!="yes",3,0)+
IF(#REF!="High Charges",3,0)+
IF(#REF!&gt;250,4,0)+
IF(#REF!="no",1,0)+
IF(#REF!="Heavy Domestic User",2,0)</f>
        <v>#REF!</v>
      </c>
      <c r="AG3939" t="e">
        <f>IF(#REF!&gt;=10,"High Risk", IF(#REF!&gt;=5,"Medium Risk","Low Risk"))</f>
        <v>#REF!</v>
      </c>
      <c r="AH3939" t="e">
        <f>#REF! + #REF! + #REF! + #REF!</f>
        <v>#REF!</v>
      </c>
    </row>
    <row r="3940" spans="1:34" x14ac:dyDescent="0.35">
      <c r="A3940">
        <v>3939</v>
      </c>
      <c r="B3940" t="s">
        <v>65</v>
      </c>
      <c r="C3940">
        <v>105</v>
      </c>
      <c r="D3940" t="s">
        <v>21</v>
      </c>
      <c r="E3940" t="s">
        <v>22</v>
      </c>
      <c r="F3940" t="s">
        <v>22</v>
      </c>
      <c r="G3940">
        <v>0</v>
      </c>
      <c r="H3940">
        <v>181.3</v>
      </c>
      <c r="I3940">
        <v>134</v>
      </c>
      <c r="J3940">
        <v>30.82</v>
      </c>
      <c r="K3940">
        <v>136</v>
      </c>
      <c r="L3940">
        <v>84</v>
      </c>
      <c r="M3940">
        <v>11.56</v>
      </c>
      <c r="N3940">
        <v>271.2</v>
      </c>
      <c r="O3940">
        <v>122</v>
      </c>
      <c r="P3940">
        <v>12.2</v>
      </c>
      <c r="Q3940">
        <v>10.3</v>
      </c>
      <c r="R3940">
        <v>3</v>
      </c>
      <c r="S3940">
        <v>2.78</v>
      </c>
      <c r="T3940">
        <v>1</v>
      </c>
      <c r="U3940" t="s">
        <v>22</v>
      </c>
      <c r="V3940" t="e">
        <f>IF(#REF! = "yes", 1, 0)</f>
        <v>#REF!</v>
      </c>
      <c r="W3940" t="e">
        <f>IF(#REF! &lt;= 1, "0-1 Calls", IF(#REF! &lt;= 3, "2-3 Calls", IF(#REF! &lt;=5, "4-5 Calls", "6+ Calls")))</f>
        <v>#REF!</v>
      </c>
      <c r="X3940" t="e">
        <f>IF(#REF! &lt;= 50, "0-50", IF(#REF! &lt;=100, "51-100", IF(#REF! &lt;= 150, "101-150", "151+")))</f>
        <v>#REF!</v>
      </c>
      <c r="Y3940" t="e">
        <f>IF(#REF! &lt;= 3, "Low Charges", "High Charges")</f>
        <v>#REF!</v>
      </c>
      <c r="Z3940" t="e">
        <f>IF(#REF!&lt;=80,"Low Calls",
IF(#REF!&lt;=120,"Medium Calls","High Calls"))</f>
        <v>#REF!</v>
      </c>
      <c r="AA3940" t="e">
        <f>IF(#REF!&lt;=15,"Low Charges",
IF(#REF!&lt;=20,"Medium Charges","High Charges"))</f>
        <v>#REF!</v>
      </c>
      <c r="AB3940" t="e">
        <f>IF(AND(#REF!&gt;180, #REF!&gt;200), "Heavy Doemstic User", IF(#REF!&gt;10, "Interntional User", IF(AND(#REF!&lt;180, #REF!&lt;200,#REF!&lt;200), "Light User", "Balanced User")))</f>
        <v>#REF!</v>
      </c>
      <c r="AC3940" t="e">
        <f>IF(#REF! = 0, "No Usage", IF(#REF! &lt;= 20, "Low Usage", IF(#REF! &lt;= 40, "Medium Usgae", "High Usage")))</f>
        <v>#REF!</v>
      </c>
      <c r="AD3940" t="e">
        <f>IF(#REF!&lt;=150,"Low Usage", IF(#REF!&lt;=200,"Medium Usage", IF(#REF!&lt;=250,"High Usage","Very High Usage")))</f>
        <v>#REF!</v>
      </c>
      <c r="AE3940" t="e">
        <f>IF(#REF!&lt;=5,"Low Calls", IF(#REF!&lt;=10, "Medium Calls", "High Calls"))</f>
        <v>#REF!</v>
      </c>
      <c r="AF3940" t="e">
        <f xml:space="preserve">
IF(#REF!&gt;=4,4,0)+
IF(#REF!="yes",3,0)+
IF(#REF!="High Charges",3,0)+
IF(#REF!&gt;250,4,0)+
IF(#REF!="no",1,0)+
IF(#REF!="Heavy Domestic User",2,0)</f>
        <v>#REF!</v>
      </c>
      <c r="AG3940" t="e">
        <f>IF(#REF!&gt;=10,"High Risk", IF(#REF!&gt;=5,"Medium Risk","Low Risk"))</f>
        <v>#REF!</v>
      </c>
      <c r="AH3940" t="e">
        <f>#REF! + #REF! + #REF! + #REF!</f>
        <v>#REF!</v>
      </c>
    </row>
    <row r="3941" spans="1:34" x14ac:dyDescent="0.35">
      <c r="A3941">
        <v>3940</v>
      </c>
      <c r="B3941" t="s">
        <v>29</v>
      </c>
      <c r="C3941">
        <v>38</v>
      </c>
      <c r="D3941" t="s">
        <v>28</v>
      </c>
      <c r="E3941" t="s">
        <v>22</v>
      </c>
      <c r="F3941" t="s">
        <v>22</v>
      </c>
      <c r="G3941">
        <v>0</v>
      </c>
      <c r="H3941">
        <v>281.10000000000002</v>
      </c>
      <c r="I3941">
        <v>113</v>
      </c>
      <c r="J3941">
        <v>47.79</v>
      </c>
      <c r="K3941">
        <v>236.1</v>
      </c>
      <c r="L3941">
        <v>82</v>
      </c>
      <c r="M3941">
        <v>20.07</v>
      </c>
      <c r="N3941">
        <v>230.1</v>
      </c>
      <c r="O3941">
        <v>60</v>
      </c>
      <c r="P3941">
        <v>10.35</v>
      </c>
      <c r="Q3941">
        <v>10.9</v>
      </c>
      <c r="R3941">
        <v>3</v>
      </c>
      <c r="S3941">
        <v>2.94</v>
      </c>
      <c r="T3941">
        <v>1</v>
      </c>
      <c r="U3941" t="s">
        <v>23</v>
      </c>
      <c r="V3941" t="e">
        <f>IF(#REF! = "yes", 1, 0)</f>
        <v>#REF!</v>
      </c>
      <c r="W3941" t="e">
        <f>IF(#REF! &lt;= 1, "0-1 Calls", IF(#REF! &lt;= 3, "2-3 Calls", IF(#REF! &lt;=5, "4-5 Calls", "6+ Calls")))</f>
        <v>#REF!</v>
      </c>
      <c r="X3941" t="e">
        <f>IF(#REF! &lt;= 50, "0-50", IF(#REF! &lt;=100, "51-100", IF(#REF! &lt;= 150, "101-150", "151+")))</f>
        <v>#REF!</v>
      </c>
      <c r="Y3941" t="e">
        <f>IF(#REF! &lt;= 3, "Low Charges", "High Charges")</f>
        <v>#REF!</v>
      </c>
      <c r="Z3941" t="e">
        <f>IF(#REF!&lt;=80,"Low Calls",
IF(#REF!&lt;=120,"Medium Calls","High Calls"))</f>
        <v>#REF!</v>
      </c>
      <c r="AA3941" t="e">
        <f>IF(#REF!&lt;=15,"Low Charges",
IF(#REF!&lt;=20,"Medium Charges","High Charges"))</f>
        <v>#REF!</v>
      </c>
      <c r="AB3941" t="e">
        <f>IF(AND(#REF!&gt;180, #REF!&gt;200), "Heavy Doemstic User", IF(#REF!&gt;10, "Interntional User", IF(AND(#REF!&lt;180, #REF!&lt;200,#REF!&lt;200), "Light User", "Balanced User")))</f>
        <v>#REF!</v>
      </c>
      <c r="AC3941" t="e">
        <f>IF(#REF! = 0, "No Usage", IF(#REF! &lt;= 20, "Low Usage", IF(#REF! &lt;= 40, "Medium Usgae", "High Usage")))</f>
        <v>#REF!</v>
      </c>
      <c r="AD3941" t="e">
        <f>IF(#REF!&lt;=150,"Low Usage", IF(#REF!&lt;=200,"Medium Usage", IF(#REF!&lt;=250,"High Usage","Very High Usage")))</f>
        <v>#REF!</v>
      </c>
      <c r="AE3941" t="e">
        <f>IF(#REF!&lt;=5,"Low Calls", IF(#REF!&lt;=10, "Medium Calls", "High Calls"))</f>
        <v>#REF!</v>
      </c>
      <c r="AF3941" t="e">
        <f xml:space="preserve">
IF(#REF!&gt;=4,4,0)+
IF(#REF!="yes",3,0)+
IF(#REF!="High Charges",3,0)+
IF(#REF!&gt;250,4,0)+
IF(#REF!="no",1,0)+
IF(#REF!="Heavy Domestic User",2,0)</f>
        <v>#REF!</v>
      </c>
      <c r="AG3941" t="e">
        <f>IF(#REF!&gt;=10,"High Risk", IF(#REF!&gt;=5,"Medium Risk","Low Risk"))</f>
        <v>#REF!</v>
      </c>
      <c r="AH3941" t="e">
        <f>#REF! + #REF! + #REF! + #REF!</f>
        <v>#REF!</v>
      </c>
    </row>
    <row r="3942" spans="1:34" x14ac:dyDescent="0.35">
      <c r="A3942">
        <v>3941</v>
      </c>
      <c r="B3942" t="s">
        <v>74</v>
      </c>
      <c r="C3942">
        <v>110</v>
      </c>
      <c r="D3942" t="s">
        <v>21</v>
      </c>
      <c r="E3942" t="s">
        <v>22</v>
      </c>
      <c r="F3942" t="s">
        <v>22</v>
      </c>
      <c r="G3942">
        <v>0</v>
      </c>
      <c r="H3942">
        <v>251.3</v>
      </c>
      <c r="I3942">
        <v>91</v>
      </c>
      <c r="J3942">
        <v>42.72</v>
      </c>
      <c r="K3942">
        <v>207.2</v>
      </c>
      <c r="L3942">
        <v>95</v>
      </c>
      <c r="M3942">
        <v>17.61</v>
      </c>
      <c r="N3942">
        <v>249</v>
      </c>
      <c r="O3942">
        <v>70</v>
      </c>
      <c r="P3942">
        <v>11.21</v>
      </c>
      <c r="Q3942">
        <v>12.9</v>
      </c>
      <c r="R3942">
        <v>2</v>
      </c>
      <c r="S3942">
        <v>3.48</v>
      </c>
      <c r="T3942">
        <v>1</v>
      </c>
      <c r="U3942" t="s">
        <v>23</v>
      </c>
      <c r="V3942" t="e">
        <f>IF(#REF! = "yes", 1, 0)</f>
        <v>#REF!</v>
      </c>
      <c r="W3942" t="e">
        <f>IF(#REF! &lt;= 1, "0-1 Calls", IF(#REF! &lt;= 3, "2-3 Calls", IF(#REF! &lt;=5, "4-5 Calls", "6+ Calls")))</f>
        <v>#REF!</v>
      </c>
      <c r="X3942" t="e">
        <f>IF(#REF! &lt;= 50, "0-50", IF(#REF! &lt;=100, "51-100", IF(#REF! &lt;= 150, "101-150", "151+")))</f>
        <v>#REF!</v>
      </c>
      <c r="Y3942" t="e">
        <f>IF(#REF! &lt;= 3, "Low Charges", "High Charges")</f>
        <v>#REF!</v>
      </c>
      <c r="Z3942" t="e">
        <f>IF(#REF!&lt;=80,"Low Calls",
IF(#REF!&lt;=120,"Medium Calls","High Calls"))</f>
        <v>#REF!</v>
      </c>
      <c r="AA3942" t="e">
        <f>IF(#REF!&lt;=15,"Low Charges",
IF(#REF!&lt;=20,"Medium Charges","High Charges"))</f>
        <v>#REF!</v>
      </c>
      <c r="AB3942" t="e">
        <f>IF(AND(#REF!&gt;180, #REF!&gt;200), "Heavy Doemstic User", IF(#REF!&gt;10, "Interntional User", IF(AND(#REF!&lt;180, #REF!&lt;200,#REF!&lt;200), "Light User", "Balanced User")))</f>
        <v>#REF!</v>
      </c>
      <c r="AC3942" t="e">
        <f>IF(#REF! = 0, "No Usage", IF(#REF! &lt;= 20, "Low Usage", IF(#REF! &lt;= 40, "Medium Usgae", "High Usage")))</f>
        <v>#REF!</v>
      </c>
      <c r="AD3942" t="e">
        <f>IF(#REF!&lt;=150,"Low Usage", IF(#REF!&lt;=200,"Medium Usage", IF(#REF!&lt;=250,"High Usage","Very High Usage")))</f>
        <v>#REF!</v>
      </c>
      <c r="AE3942" t="e">
        <f>IF(#REF!&lt;=5,"Low Calls", IF(#REF!&lt;=10, "Medium Calls", "High Calls"))</f>
        <v>#REF!</v>
      </c>
      <c r="AF3942" t="e">
        <f xml:space="preserve">
IF(#REF!&gt;=4,4,0)+
IF(#REF!="yes",3,0)+
IF(#REF!="High Charges",3,0)+
IF(#REF!&gt;250,4,0)+
IF(#REF!="no",1,0)+
IF(#REF!="Heavy Domestic User",2,0)</f>
        <v>#REF!</v>
      </c>
      <c r="AG3942" t="e">
        <f>IF(#REF!&gt;=10,"High Risk", IF(#REF!&gt;=5,"Medium Risk","Low Risk"))</f>
        <v>#REF!</v>
      </c>
      <c r="AH3942" t="e">
        <f>#REF! + #REF! + #REF! + #REF!</f>
        <v>#REF!</v>
      </c>
    </row>
    <row r="3943" spans="1:34" x14ac:dyDescent="0.35">
      <c r="A3943">
        <v>3942</v>
      </c>
      <c r="B3943" t="s">
        <v>72</v>
      </c>
      <c r="C3943">
        <v>74</v>
      </c>
      <c r="D3943" t="s">
        <v>25</v>
      </c>
      <c r="E3943" t="s">
        <v>22</v>
      </c>
      <c r="F3943" t="s">
        <v>22</v>
      </c>
      <c r="G3943">
        <v>0</v>
      </c>
      <c r="H3943">
        <v>141.9</v>
      </c>
      <c r="I3943">
        <v>103</v>
      </c>
      <c r="J3943">
        <v>24.12</v>
      </c>
      <c r="K3943">
        <v>201</v>
      </c>
      <c r="L3943">
        <v>110</v>
      </c>
      <c r="M3943">
        <v>17.09</v>
      </c>
      <c r="N3943">
        <v>211.2</v>
      </c>
      <c r="O3943">
        <v>117</v>
      </c>
      <c r="P3943">
        <v>9.5</v>
      </c>
      <c r="Q3943">
        <v>10.9</v>
      </c>
      <c r="R3943">
        <v>11</v>
      </c>
      <c r="S3943">
        <v>2.94</v>
      </c>
      <c r="T3943">
        <v>1</v>
      </c>
      <c r="U3943" t="s">
        <v>22</v>
      </c>
      <c r="V3943" t="e">
        <f>IF(#REF! = "yes", 1, 0)</f>
        <v>#REF!</v>
      </c>
      <c r="W3943" t="e">
        <f>IF(#REF! &lt;= 1, "0-1 Calls", IF(#REF! &lt;= 3, "2-3 Calls", IF(#REF! &lt;=5, "4-5 Calls", "6+ Calls")))</f>
        <v>#REF!</v>
      </c>
      <c r="X3943" t="e">
        <f>IF(#REF! &lt;= 50, "0-50", IF(#REF! &lt;=100, "51-100", IF(#REF! &lt;= 150, "101-150", "151+")))</f>
        <v>#REF!</v>
      </c>
      <c r="Y3943" t="e">
        <f>IF(#REF! &lt;= 3, "Low Charges", "High Charges")</f>
        <v>#REF!</v>
      </c>
      <c r="Z3943" t="e">
        <f>IF(#REF!&lt;=80,"Low Calls",
IF(#REF!&lt;=120,"Medium Calls","High Calls"))</f>
        <v>#REF!</v>
      </c>
      <c r="AA3943" t="e">
        <f>IF(#REF!&lt;=15,"Low Charges",
IF(#REF!&lt;=20,"Medium Charges","High Charges"))</f>
        <v>#REF!</v>
      </c>
      <c r="AB3943" t="e">
        <f>IF(AND(#REF!&gt;180, #REF!&gt;200), "Heavy Doemstic User", IF(#REF!&gt;10, "Interntional User", IF(AND(#REF!&lt;180, #REF!&lt;200,#REF!&lt;200), "Light User", "Balanced User")))</f>
        <v>#REF!</v>
      </c>
      <c r="AC3943" t="e">
        <f>IF(#REF! = 0, "No Usage", IF(#REF! &lt;= 20, "Low Usage", IF(#REF! &lt;= 40, "Medium Usgae", "High Usage")))</f>
        <v>#REF!</v>
      </c>
      <c r="AD3943" t="e">
        <f>IF(#REF!&lt;=150,"Low Usage", IF(#REF!&lt;=200,"Medium Usage", IF(#REF!&lt;=250,"High Usage","Very High Usage")))</f>
        <v>#REF!</v>
      </c>
      <c r="AE3943" t="e">
        <f>IF(#REF!&lt;=5,"Low Calls", IF(#REF!&lt;=10, "Medium Calls", "High Calls"))</f>
        <v>#REF!</v>
      </c>
      <c r="AF3943" t="e">
        <f xml:space="preserve">
IF(#REF!&gt;=4,4,0)+
IF(#REF!="yes",3,0)+
IF(#REF!="High Charges",3,0)+
IF(#REF!&gt;250,4,0)+
IF(#REF!="no",1,0)+
IF(#REF!="Heavy Domestic User",2,0)</f>
        <v>#REF!</v>
      </c>
      <c r="AG3943" t="e">
        <f>IF(#REF!&gt;=10,"High Risk", IF(#REF!&gt;=5,"Medium Risk","Low Risk"))</f>
        <v>#REF!</v>
      </c>
      <c r="AH3943" t="e">
        <f>#REF! + #REF! + #REF! + #REF!</f>
        <v>#REF!</v>
      </c>
    </row>
    <row r="3944" spans="1:34" x14ac:dyDescent="0.35">
      <c r="A3944">
        <v>3943</v>
      </c>
      <c r="B3944" t="s">
        <v>33</v>
      </c>
      <c r="C3944">
        <v>79</v>
      </c>
      <c r="D3944" t="s">
        <v>21</v>
      </c>
      <c r="E3944" t="s">
        <v>22</v>
      </c>
      <c r="F3944" t="s">
        <v>23</v>
      </c>
      <c r="G3944">
        <v>30</v>
      </c>
      <c r="H3944">
        <v>148</v>
      </c>
      <c r="I3944">
        <v>96</v>
      </c>
      <c r="J3944">
        <v>25.16</v>
      </c>
      <c r="K3944">
        <v>149.6</v>
      </c>
      <c r="L3944">
        <v>128</v>
      </c>
      <c r="M3944">
        <v>12.72</v>
      </c>
      <c r="N3944">
        <v>220.3</v>
      </c>
      <c r="O3944">
        <v>99</v>
      </c>
      <c r="P3944">
        <v>9.91</v>
      </c>
      <c r="Q3944">
        <v>9.6999999999999993</v>
      </c>
      <c r="R3944">
        <v>5</v>
      </c>
      <c r="S3944">
        <v>2.62</v>
      </c>
      <c r="T3944">
        <v>3</v>
      </c>
      <c r="U3944" t="s">
        <v>22</v>
      </c>
      <c r="V3944" t="e">
        <f>IF(#REF! = "yes", 1, 0)</f>
        <v>#REF!</v>
      </c>
      <c r="W3944" t="e">
        <f>IF(#REF! &lt;= 1, "0-1 Calls", IF(#REF! &lt;= 3, "2-3 Calls", IF(#REF! &lt;=5, "4-5 Calls", "6+ Calls")))</f>
        <v>#REF!</v>
      </c>
      <c r="X3944" t="e">
        <f>IF(#REF! &lt;= 50, "0-50", IF(#REF! &lt;=100, "51-100", IF(#REF! &lt;= 150, "101-150", "151+")))</f>
        <v>#REF!</v>
      </c>
      <c r="Y3944" t="e">
        <f>IF(#REF! &lt;= 3, "Low Charges", "High Charges")</f>
        <v>#REF!</v>
      </c>
      <c r="Z3944" t="e">
        <f>IF(#REF!&lt;=80,"Low Calls",
IF(#REF!&lt;=120,"Medium Calls","High Calls"))</f>
        <v>#REF!</v>
      </c>
      <c r="AA3944" t="e">
        <f>IF(#REF!&lt;=15,"Low Charges",
IF(#REF!&lt;=20,"Medium Charges","High Charges"))</f>
        <v>#REF!</v>
      </c>
      <c r="AB3944" t="e">
        <f>IF(AND(#REF!&gt;180, #REF!&gt;200), "Heavy Doemstic User", IF(#REF!&gt;10, "Interntional User", IF(AND(#REF!&lt;180, #REF!&lt;200,#REF!&lt;200), "Light User", "Balanced User")))</f>
        <v>#REF!</v>
      </c>
      <c r="AC3944" t="e">
        <f>IF(#REF! = 0, "No Usage", IF(#REF! &lt;= 20, "Low Usage", IF(#REF! &lt;= 40, "Medium Usgae", "High Usage")))</f>
        <v>#REF!</v>
      </c>
      <c r="AD3944" t="e">
        <f>IF(#REF!&lt;=150,"Low Usage", IF(#REF!&lt;=200,"Medium Usage", IF(#REF!&lt;=250,"High Usage","Very High Usage")))</f>
        <v>#REF!</v>
      </c>
      <c r="AE3944" t="e">
        <f>IF(#REF!&lt;=5,"Low Calls", IF(#REF!&lt;=10, "Medium Calls", "High Calls"))</f>
        <v>#REF!</v>
      </c>
      <c r="AF3944" t="e">
        <f xml:space="preserve">
IF(#REF!&gt;=4,4,0)+
IF(#REF!="yes",3,0)+
IF(#REF!="High Charges",3,0)+
IF(#REF!&gt;250,4,0)+
IF(#REF!="no",1,0)+
IF(#REF!="Heavy Domestic User",2,0)</f>
        <v>#REF!</v>
      </c>
      <c r="AG3944" t="e">
        <f>IF(#REF!&gt;=10,"High Risk", IF(#REF!&gt;=5,"Medium Risk","Low Risk"))</f>
        <v>#REF!</v>
      </c>
      <c r="AH3944" t="e">
        <f>#REF! + #REF! + #REF! + #REF!</f>
        <v>#REF!</v>
      </c>
    </row>
    <row r="3945" spans="1:34" x14ac:dyDescent="0.35">
      <c r="A3945">
        <v>3944</v>
      </c>
      <c r="B3945" t="s">
        <v>71</v>
      </c>
      <c r="C3945">
        <v>114</v>
      </c>
      <c r="D3945" t="s">
        <v>21</v>
      </c>
      <c r="E3945" t="s">
        <v>23</v>
      </c>
      <c r="F3945" t="s">
        <v>22</v>
      </c>
      <c r="G3945">
        <v>0</v>
      </c>
      <c r="H3945">
        <v>200.7</v>
      </c>
      <c r="I3945">
        <v>72</v>
      </c>
      <c r="J3945">
        <v>34.119999999999997</v>
      </c>
      <c r="K3945">
        <v>271.2</v>
      </c>
      <c r="L3945">
        <v>79</v>
      </c>
      <c r="M3945">
        <v>23.05</v>
      </c>
      <c r="N3945">
        <v>188.2</v>
      </c>
      <c r="O3945">
        <v>97</v>
      </c>
      <c r="P3945">
        <v>8.4700000000000006</v>
      </c>
      <c r="Q3945">
        <v>13.4</v>
      </c>
      <c r="R3945">
        <v>7</v>
      </c>
      <c r="S3945">
        <v>3.62</v>
      </c>
      <c r="T3945">
        <v>2</v>
      </c>
      <c r="U3945" t="s">
        <v>23</v>
      </c>
      <c r="V3945" t="e">
        <f>IF(#REF! = "yes", 1, 0)</f>
        <v>#REF!</v>
      </c>
      <c r="W3945" t="e">
        <f>IF(#REF! &lt;= 1, "0-1 Calls", IF(#REF! &lt;= 3, "2-3 Calls", IF(#REF! &lt;=5, "4-5 Calls", "6+ Calls")))</f>
        <v>#REF!</v>
      </c>
      <c r="X3945" t="e">
        <f>IF(#REF! &lt;= 50, "0-50", IF(#REF! &lt;=100, "51-100", IF(#REF! &lt;= 150, "101-150", "151+")))</f>
        <v>#REF!</v>
      </c>
      <c r="Y3945" t="e">
        <f>IF(#REF! &lt;= 3, "Low Charges", "High Charges")</f>
        <v>#REF!</v>
      </c>
      <c r="Z3945" t="e">
        <f>IF(#REF!&lt;=80,"Low Calls",
IF(#REF!&lt;=120,"Medium Calls","High Calls"))</f>
        <v>#REF!</v>
      </c>
      <c r="AA3945" t="e">
        <f>IF(#REF!&lt;=15,"Low Charges",
IF(#REF!&lt;=20,"Medium Charges","High Charges"))</f>
        <v>#REF!</v>
      </c>
      <c r="AB3945" t="e">
        <f>IF(AND(#REF!&gt;180, #REF!&gt;200), "Heavy Doemstic User", IF(#REF!&gt;10, "Interntional User", IF(AND(#REF!&lt;180, #REF!&lt;200,#REF!&lt;200), "Light User", "Balanced User")))</f>
        <v>#REF!</v>
      </c>
      <c r="AC3945" t="e">
        <f>IF(#REF! = 0, "No Usage", IF(#REF! &lt;= 20, "Low Usage", IF(#REF! &lt;= 40, "Medium Usgae", "High Usage")))</f>
        <v>#REF!</v>
      </c>
      <c r="AD3945" t="e">
        <f>IF(#REF!&lt;=150,"Low Usage", IF(#REF!&lt;=200,"Medium Usage", IF(#REF!&lt;=250,"High Usage","Very High Usage")))</f>
        <v>#REF!</v>
      </c>
      <c r="AE3945" t="e">
        <f>IF(#REF!&lt;=5,"Low Calls", IF(#REF!&lt;=10, "Medium Calls", "High Calls"))</f>
        <v>#REF!</v>
      </c>
      <c r="AF3945" t="e">
        <f xml:space="preserve">
IF(#REF!&gt;=4,4,0)+
IF(#REF!="yes",3,0)+
IF(#REF!="High Charges",3,0)+
IF(#REF!&gt;250,4,0)+
IF(#REF!="no",1,0)+
IF(#REF!="Heavy Domestic User",2,0)</f>
        <v>#REF!</v>
      </c>
      <c r="AG3945" t="e">
        <f>IF(#REF!&gt;=10,"High Risk", IF(#REF!&gt;=5,"Medium Risk","Low Risk"))</f>
        <v>#REF!</v>
      </c>
      <c r="AH3945" t="e">
        <f>#REF! + #REF! + #REF! + #REF!</f>
        <v>#REF!</v>
      </c>
    </row>
    <row r="3946" spans="1:34" x14ac:dyDescent="0.35">
      <c r="A3946">
        <v>3945</v>
      </c>
      <c r="B3946" t="s">
        <v>31</v>
      </c>
      <c r="C3946">
        <v>44</v>
      </c>
      <c r="D3946" t="s">
        <v>28</v>
      </c>
      <c r="E3946" t="s">
        <v>22</v>
      </c>
      <c r="F3946" t="s">
        <v>22</v>
      </c>
      <c r="G3946">
        <v>0</v>
      </c>
      <c r="H3946">
        <v>238.3</v>
      </c>
      <c r="I3946">
        <v>83</v>
      </c>
      <c r="J3946">
        <v>40.51</v>
      </c>
      <c r="K3946">
        <v>193.7</v>
      </c>
      <c r="L3946">
        <v>112</v>
      </c>
      <c r="M3946">
        <v>16.46</v>
      </c>
      <c r="N3946">
        <v>167.7</v>
      </c>
      <c r="O3946">
        <v>79</v>
      </c>
      <c r="P3946">
        <v>7.55</v>
      </c>
      <c r="Q3946">
        <v>9.4</v>
      </c>
      <c r="R3946">
        <v>6</v>
      </c>
      <c r="S3946">
        <v>2.54</v>
      </c>
      <c r="T3946">
        <v>5</v>
      </c>
      <c r="U3946" t="s">
        <v>22</v>
      </c>
      <c r="V3946" t="e">
        <f>IF(#REF! = "yes", 1, 0)</f>
        <v>#REF!</v>
      </c>
      <c r="W3946" t="e">
        <f>IF(#REF! &lt;= 1, "0-1 Calls", IF(#REF! &lt;= 3, "2-3 Calls", IF(#REF! &lt;=5, "4-5 Calls", "6+ Calls")))</f>
        <v>#REF!</v>
      </c>
      <c r="X3946" t="e">
        <f>IF(#REF! &lt;= 50, "0-50", IF(#REF! &lt;=100, "51-100", IF(#REF! &lt;= 150, "101-150", "151+")))</f>
        <v>#REF!</v>
      </c>
      <c r="Y3946" t="e">
        <f>IF(#REF! &lt;= 3, "Low Charges", "High Charges")</f>
        <v>#REF!</v>
      </c>
      <c r="Z3946" t="e">
        <f>IF(#REF!&lt;=80,"Low Calls",
IF(#REF!&lt;=120,"Medium Calls","High Calls"))</f>
        <v>#REF!</v>
      </c>
      <c r="AA3946" t="e">
        <f>IF(#REF!&lt;=15,"Low Charges",
IF(#REF!&lt;=20,"Medium Charges","High Charges"))</f>
        <v>#REF!</v>
      </c>
      <c r="AB3946" t="e">
        <f>IF(AND(#REF!&gt;180, #REF!&gt;200), "Heavy Doemstic User", IF(#REF!&gt;10, "Interntional User", IF(AND(#REF!&lt;180, #REF!&lt;200,#REF!&lt;200), "Light User", "Balanced User")))</f>
        <v>#REF!</v>
      </c>
      <c r="AC3946" t="e">
        <f>IF(#REF! = 0, "No Usage", IF(#REF! &lt;= 20, "Low Usage", IF(#REF! &lt;= 40, "Medium Usgae", "High Usage")))</f>
        <v>#REF!</v>
      </c>
      <c r="AD3946" t="e">
        <f>IF(#REF!&lt;=150,"Low Usage", IF(#REF!&lt;=200,"Medium Usage", IF(#REF!&lt;=250,"High Usage","Very High Usage")))</f>
        <v>#REF!</v>
      </c>
      <c r="AE3946" t="e">
        <f>IF(#REF!&lt;=5,"Low Calls", IF(#REF!&lt;=10, "Medium Calls", "High Calls"))</f>
        <v>#REF!</v>
      </c>
      <c r="AF3946" t="e">
        <f xml:space="preserve">
IF(#REF!&gt;=4,4,0)+
IF(#REF!="yes",3,0)+
IF(#REF!="High Charges",3,0)+
IF(#REF!&gt;250,4,0)+
IF(#REF!="no",1,0)+
IF(#REF!="Heavy Domestic User",2,0)</f>
        <v>#REF!</v>
      </c>
      <c r="AG3946" t="e">
        <f>IF(#REF!&gt;=10,"High Risk", IF(#REF!&gt;=5,"Medium Risk","Low Risk"))</f>
        <v>#REF!</v>
      </c>
      <c r="AH3946" t="e">
        <f>#REF! + #REF! + #REF! + #REF!</f>
        <v>#REF!</v>
      </c>
    </row>
    <row r="3947" spans="1:34" x14ac:dyDescent="0.35">
      <c r="A3947">
        <v>3946</v>
      </c>
      <c r="B3947" t="s">
        <v>67</v>
      </c>
      <c r="C3947">
        <v>107</v>
      </c>
      <c r="D3947" t="s">
        <v>21</v>
      </c>
      <c r="E3947" t="s">
        <v>22</v>
      </c>
      <c r="F3947" t="s">
        <v>22</v>
      </c>
      <c r="G3947">
        <v>0</v>
      </c>
      <c r="H3947">
        <v>220.1</v>
      </c>
      <c r="I3947">
        <v>103</v>
      </c>
      <c r="J3947">
        <v>37.42</v>
      </c>
      <c r="K3947">
        <v>200.4</v>
      </c>
      <c r="L3947">
        <v>94</v>
      </c>
      <c r="M3947">
        <v>17.03</v>
      </c>
      <c r="N3947">
        <v>272.60000000000002</v>
      </c>
      <c r="O3947">
        <v>147</v>
      </c>
      <c r="P3947">
        <v>12.27</v>
      </c>
      <c r="Q3947">
        <v>7.4</v>
      </c>
      <c r="R3947">
        <v>5</v>
      </c>
      <c r="S3947">
        <v>2</v>
      </c>
      <c r="T3947">
        <v>2</v>
      </c>
      <c r="U3947" t="s">
        <v>22</v>
      </c>
      <c r="V3947" t="e">
        <f>IF(#REF! = "yes", 1, 0)</f>
        <v>#REF!</v>
      </c>
      <c r="W3947" t="e">
        <f>IF(#REF! &lt;= 1, "0-1 Calls", IF(#REF! &lt;= 3, "2-3 Calls", IF(#REF! &lt;=5, "4-5 Calls", "6+ Calls")))</f>
        <v>#REF!</v>
      </c>
      <c r="X3947" t="e">
        <f>IF(#REF! &lt;= 50, "0-50", IF(#REF! &lt;=100, "51-100", IF(#REF! &lt;= 150, "101-150", "151+")))</f>
        <v>#REF!</v>
      </c>
      <c r="Y3947" t="e">
        <f>IF(#REF! &lt;= 3, "Low Charges", "High Charges")</f>
        <v>#REF!</v>
      </c>
      <c r="Z3947" t="e">
        <f>IF(#REF!&lt;=80,"Low Calls",
IF(#REF!&lt;=120,"Medium Calls","High Calls"))</f>
        <v>#REF!</v>
      </c>
      <c r="AA3947" t="e">
        <f>IF(#REF!&lt;=15,"Low Charges",
IF(#REF!&lt;=20,"Medium Charges","High Charges"))</f>
        <v>#REF!</v>
      </c>
      <c r="AB3947" t="e">
        <f>IF(AND(#REF!&gt;180, #REF!&gt;200), "Heavy Doemstic User", IF(#REF!&gt;10, "Interntional User", IF(AND(#REF!&lt;180, #REF!&lt;200,#REF!&lt;200), "Light User", "Balanced User")))</f>
        <v>#REF!</v>
      </c>
      <c r="AC3947" t="e">
        <f>IF(#REF! = 0, "No Usage", IF(#REF! &lt;= 20, "Low Usage", IF(#REF! &lt;= 40, "Medium Usgae", "High Usage")))</f>
        <v>#REF!</v>
      </c>
      <c r="AD3947" t="e">
        <f>IF(#REF!&lt;=150,"Low Usage", IF(#REF!&lt;=200,"Medium Usage", IF(#REF!&lt;=250,"High Usage","Very High Usage")))</f>
        <v>#REF!</v>
      </c>
      <c r="AE3947" t="e">
        <f>IF(#REF!&lt;=5,"Low Calls", IF(#REF!&lt;=10, "Medium Calls", "High Calls"))</f>
        <v>#REF!</v>
      </c>
      <c r="AF3947" t="e">
        <f xml:space="preserve">
IF(#REF!&gt;=4,4,0)+
IF(#REF!="yes",3,0)+
IF(#REF!="High Charges",3,0)+
IF(#REF!&gt;250,4,0)+
IF(#REF!="no",1,0)+
IF(#REF!="Heavy Domestic User",2,0)</f>
        <v>#REF!</v>
      </c>
      <c r="AG3947" t="e">
        <f>IF(#REF!&gt;=10,"High Risk", IF(#REF!&gt;=5,"Medium Risk","Low Risk"))</f>
        <v>#REF!</v>
      </c>
      <c r="AH3947" t="e">
        <f>#REF! + #REF! + #REF! + #REF!</f>
        <v>#REF!</v>
      </c>
    </row>
    <row r="3948" spans="1:34" x14ac:dyDescent="0.35">
      <c r="A3948">
        <v>3947</v>
      </c>
      <c r="B3948" t="s">
        <v>51</v>
      </c>
      <c r="C3948">
        <v>104</v>
      </c>
      <c r="D3948" t="s">
        <v>28</v>
      </c>
      <c r="E3948" t="s">
        <v>22</v>
      </c>
      <c r="F3948" t="s">
        <v>23</v>
      </c>
      <c r="G3948">
        <v>15</v>
      </c>
      <c r="H3948">
        <v>124.7</v>
      </c>
      <c r="I3948">
        <v>99</v>
      </c>
      <c r="J3948">
        <v>21.2</v>
      </c>
      <c r="K3948">
        <v>188.3</v>
      </c>
      <c r="L3948">
        <v>108</v>
      </c>
      <c r="M3948">
        <v>16.010000000000002</v>
      </c>
      <c r="N3948">
        <v>208.6</v>
      </c>
      <c r="O3948">
        <v>95</v>
      </c>
      <c r="P3948">
        <v>9.39</v>
      </c>
      <c r="Q3948">
        <v>8</v>
      </c>
      <c r="R3948">
        <v>3</v>
      </c>
      <c r="S3948">
        <v>2.16</v>
      </c>
      <c r="T3948">
        <v>0</v>
      </c>
      <c r="U3948" t="s">
        <v>22</v>
      </c>
      <c r="V3948" t="e">
        <f>IF(#REF! = "yes", 1, 0)</f>
        <v>#REF!</v>
      </c>
      <c r="W3948" t="e">
        <f>IF(#REF! &lt;= 1, "0-1 Calls", IF(#REF! &lt;= 3, "2-3 Calls", IF(#REF! &lt;=5, "4-5 Calls", "6+ Calls")))</f>
        <v>#REF!</v>
      </c>
      <c r="X3948" t="e">
        <f>IF(#REF! &lt;= 50, "0-50", IF(#REF! &lt;=100, "51-100", IF(#REF! &lt;= 150, "101-150", "151+")))</f>
        <v>#REF!</v>
      </c>
      <c r="Y3948" t="e">
        <f>IF(#REF! &lt;= 3, "Low Charges", "High Charges")</f>
        <v>#REF!</v>
      </c>
      <c r="Z3948" t="e">
        <f>IF(#REF!&lt;=80,"Low Calls",
IF(#REF!&lt;=120,"Medium Calls","High Calls"))</f>
        <v>#REF!</v>
      </c>
      <c r="AA3948" t="e">
        <f>IF(#REF!&lt;=15,"Low Charges",
IF(#REF!&lt;=20,"Medium Charges","High Charges"))</f>
        <v>#REF!</v>
      </c>
      <c r="AB3948" t="e">
        <f>IF(AND(#REF!&gt;180, #REF!&gt;200), "Heavy Doemstic User", IF(#REF!&gt;10, "Interntional User", IF(AND(#REF!&lt;180, #REF!&lt;200,#REF!&lt;200), "Light User", "Balanced User")))</f>
        <v>#REF!</v>
      </c>
      <c r="AC3948" t="e">
        <f>IF(#REF! = 0, "No Usage", IF(#REF! &lt;= 20, "Low Usage", IF(#REF! &lt;= 40, "Medium Usgae", "High Usage")))</f>
        <v>#REF!</v>
      </c>
      <c r="AD3948" t="e">
        <f>IF(#REF!&lt;=150,"Low Usage", IF(#REF!&lt;=200,"Medium Usage", IF(#REF!&lt;=250,"High Usage","Very High Usage")))</f>
        <v>#REF!</v>
      </c>
      <c r="AE3948" t="e">
        <f>IF(#REF!&lt;=5,"Low Calls", IF(#REF!&lt;=10, "Medium Calls", "High Calls"))</f>
        <v>#REF!</v>
      </c>
      <c r="AF3948" t="e">
        <f xml:space="preserve">
IF(#REF!&gt;=4,4,0)+
IF(#REF!="yes",3,0)+
IF(#REF!="High Charges",3,0)+
IF(#REF!&gt;250,4,0)+
IF(#REF!="no",1,0)+
IF(#REF!="Heavy Domestic User",2,0)</f>
        <v>#REF!</v>
      </c>
      <c r="AG3948" t="e">
        <f>IF(#REF!&gt;=10,"High Risk", IF(#REF!&gt;=5,"Medium Risk","Low Risk"))</f>
        <v>#REF!</v>
      </c>
      <c r="AH3948" t="e">
        <f>#REF! + #REF! + #REF! + #REF!</f>
        <v>#REF!</v>
      </c>
    </row>
    <row r="3949" spans="1:34" x14ac:dyDescent="0.35">
      <c r="A3949">
        <v>3948</v>
      </c>
      <c r="B3949" t="s">
        <v>43</v>
      </c>
      <c r="C3949">
        <v>98</v>
      </c>
      <c r="D3949" t="s">
        <v>21</v>
      </c>
      <c r="E3949" t="s">
        <v>22</v>
      </c>
      <c r="F3949" t="s">
        <v>22</v>
      </c>
      <c r="G3949">
        <v>0</v>
      </c>
      <c r="H3949">
        <v>147</v>
      </c>
      <c r="I3949">
        <v>101</v>
      </c>
      <c r="J3949">
        <v>24.99</v>
      </c>
      <c r="K3949">
        <v>202.5</v>
      </c>
      <c r="L3949">
        <v>89</v>
      </c>
      <c r="M3949">
        <v>17.21</v>
      </c>
      <c r="N3949">
        <v>250.8</v>
      </c>
      <c r="O3949">
        <v>97</v>
      </c>
      <c r="P3949">
        <v>11.29</v>
      </c>
      <c r="Q3949">
        <v>9.1999999999999993</v>
      </c>
      <c r="R3949">
        <v>3</v>
      </c>
      <c r="S3949">
        <v>2.48</v>
      </c>
      <c r="T3949">
        <v>1</v>
      </c>
      <c r="U3949" t="s">
        <v>22</v>
      </c>
      <c r="V3949" t="e">
        <f>IF(#REF! = "yes", 1, 0)</f>
        <v>#REF!</v>
      </c>
      <c r="W3949" t="e">
        <f>IF(#REF! &lt;= 1, "0-1 Calls", IF(#REF! &lt;= 3, "2-3 Calls", IF(#REF! &lt;=5, "4-5 Calls", "6+ Calls")))</f>
        <v>#REF!</v>
      </c>
      <c r="X3949" t="e">
        <f>IF(#REF! &lt;= 50, "0-50", IF(#REF! &lt;=100, "51-100", IF(#REF! &lt;= 150, "101-150", "151+")))</f>
        <v>#REF!</v>
      </c>
      <c r="Y3949" t="e">
        <f>IF(#REF! &lt;= 3, "Low Charges", "High Charges")</f>
        <v>#REF!</v>
      </c>
      <c r="Z3949" t="e">
        <f>IF(#REF!&lt;=80,"Low Calls",
IF(#REF!&lt;=120,"Medium Calls","High Calls"))</f>
        <v>#REF!</v>
      </c>
      <c r="AA3949" t="e">
        <f>IF(#REF!&lt;=15,"Low Charges",
IF(#REF!&lt;=20,"Medium Charges","High Charges"))</f>
        <v>#REF!</v>
      </c>
      <c r="AB3949" t="e">
        <f>IF(AND(#REF!&gt;180, #REF!&gt;200), "Heavy Doemstic User", IF(#REF!&gt;10, "Interntional User", IF(AND(#REF!&lt;180, #REF!&lt;200,#REF!&lt;200), "Light User", "Balanced User")))</f>
        <v>#REF!</v>
      </c>
      <c r="AC3949" t="e">
        <f>IF(#REF! = 0, "No Usage", IF(#REF! &lt;= 20, "Low Usage", IF(#REF! &lt;= 40, "Medium Usgae", "High Usage")))</f>
        <v>#REF!</v>
      </c>
      <c r="AD3949" t="e">
        <f>IF(#REF!&lt;=150,"Low Usage", IF(#REF!&lt;=200,"Medium Usage", IF(#REF!&lt;=250,"High Usage","Very High Usage")))</f>
        <v>#REF!</v>
      </c>
      <c r="AE3949" t="e">
        <f>IF(#REF!&lt;=5,"Low Calls", IF(#REF!&lt;=10, "Medium Calls", "High Calls"))</f>
        <v>#REF!</v>
      </c>
      <c r="AF3949" t="e">
        <f xml:space="preserve">
IF(#REF!&gt;=4,4,0)+
IF(#REF!="yes",3,0)+
IF(#REF!="High Charges",3,0)+
IF(#REF!&gt;250,4,0)+
IF(#REF!="no",1,0)+
IF(#REF!="Heavy Domestic User",2,0)</f>
        <v>#REF!</v>
      </c>
      <c r="AG3949" t="e">
        <f>IF(#REF!&gt;=10,"High Risk", IF(#REF!&gt;=5,"Medium Risk","Low Risk"))</f>
        <v>#REF!</v>
      </c>
      <c r="AH3949" t="e">
        <f>#REF! + #REF! + #REF! + #REF!</f>
        <v>#REF!</v>
      </c>
    </row>
    <row r="3950" spans="1:34" x14ac:dyDescent="0.35">
      <c r="A3950">
        <v>3949</v>
      </c>
      <c r="B3950" t="s">
        <v>33</v>
      </c>
      <c r="C3950">
        <v>60</v>
      </c>
      <c r="D3950" t="s">
        <v>25</v>
      </c>
      <c r="E3950" t="s">
        <v>22</v>
      </c>
      <c r="F3950" t="s">
        <v>22</v>
      </c>
      <c r="G3950">
        <v>0</v>
      </c>
      <c r="H3950">
        <v>194.2</v>
      </c>
      <c r="I3950">
        <v>107</v>
      </c>
      <c r="J3950">
        <v>33.01</v>
      </c>
      <c r="K3950">
        <v>174</v>
      </c>
      <c r="L3950">
        <v>107</v>
      </c>
      <c r="M3950">
        <v>14.79</v>
      </c>
      <c r="N3950">
        <v>89.3</v>
      </c>
      <c r="O3950">
        <v>83</v>
      </c>
      <c r="P3950">
        <v>4.0199999999999996</v>
      </c>
      <c r="Q3950">
        <v>11.2</v>
      </c>
      <c r="R3950">
        <v>2</v>
      </c>
      <c r="S3950">
        <v>3.02</v>
      </c>
      <c r="T3950">
        <v>2</v>
      </c>
      <c r="U3950" t="s">
        <v>22</v>
      </c>
      <c r="V3950" t="e">
        <f>IF(#REF! = "yes", 1, 0)</f>
        <v>#REF!</v>
      </c>
      <c r="W3950" t="e">
        <f>IF(#REF! &lt;= 1, "0-1 Calls", IF(#REF! &lt;= 3, "2-3 Calls", IF(#REF! &lt;=5, "4-5 Calls", "6+ Calls")))</f>
        <v>#REF!</v>
      </c>
      <c r="X3950" t="e">
        <f>IF(#REF! &lt;= 50, "0-50", IF(#REF! &lt;=100, "51-100", IF(#REF! &lt;= 150, "101-150", "151+")))</f>
        <v>#REF!</v>
      </c>
      <c r="Y3950" t="e">
        <f>IF(#REF! &lt;= 3, "Low Charges", "High Charges")</f>
        <v>#REF!</v>
      </c>
      <c r="Z3950" t="e">
        <f>IF(#REF!&lt;=80,"Low Calls",
IF(#REF!&lt;=120,"Medium Calls","High Calls"))</f>
        <v>#REF!</v>
      </c>
      <c r="AA3950" t="e">
        <f>IF(#REF!&lt;=15,"Low Charges",
IF(#REF!&lt;=20,"Medium Charges","High Charges"))</f>
        <v>#REF!</v>
      </c>
      <c r="AB3950" t="e">
        <f>IF(AND(#REF!&gt;180, #REF!&gt;200), "Heavy Doemstic User", IF(#REF!&gt;10, "Interntional User", IF(AND(#REF!&lt;180, #REF!&lt;200,#REF!&lt;200), "Light User", "Balanced User")))</f>
        <v>#REF!</v>
      </c>
      <c r="AC3950" t="e">
        <f>IF(#REF! = 0, "No Usage", IF(#REF! &lt;= 20, "Low Usage", IF(#REF! &lt;= 40, "Medium Usgae", "High Usage")))</f>
        <v>#REF!</v>
      </c>
      <c r="AD3950" t="e">
        <f>IF(#REF!&lt;=150,"Low Usage", IF(#REF!&lt;=200,"Medium Usage", IF(#REF!&lt;=250,"High Usage","Very High Usage")))</f>
        <v>#REF!</v>
      </c>
      <c r="AE3950" t="e">
        <f>IF(#REF!&lt;=5,"Low Calls", IF(#REF!&lt;=10, "Medium Calls", "High Calls"))</f>
        <v>#REF!</v>
      </c>
      <c r="AF3950" t="e">
        <f xml:space="preserve">
IF(#REF!&gt;=4,4,0)+
IF(#REF!="yes",3,0)+
IF(#REF!="High Charges",3,0)+
IF(#REF!&gt;250,4,0)+
IF(#REF!="no",1,0)+
IF(#REF!="Heavy Domestic User",2,0)</f>
        <v>#REF!</v>
      </c>
      <c r="AG3950" t="e">
        <f>IF(#REF!&gt;=10,"High Risk", IF(#REF!&gt;=5,"Medium Risk","Low Risk"))</f>
        <v>#REF!</v>
      </c>
      <c r="AH3950" t="e">
        <f>#REF! + #REF! + #REF! + #REF!</f>
        <v>#REF!</v>
      </c>
    </row>
    <row r="3951" spans="1:34" x14ac:dyDescent="0.35">
      <c r="A3951">
        <v>3950</v>
      </c>
      <c r="B3951" t="s">
        <v>50</v>
      </c>
      <c r="C3951">
        <v>138</v>
      </c>
      <c r="D3951" t="s">
        <v>25</v>
      </c>
      <c r="E3951" t="s">
        <v>22</v>
      </c>
      <c r="F3951" t="s">
        <v>23</v>
      </c>
      <c r="G3951">
        <v>33</v>
      </c>
      <c r="H3951">
        <v>214.9</v>
      </c>
      <c r="I3951">
        <v>91</v>
      </c>
      <c r="J3951">
        <v>36.53</v>
      </c>
      <c r="K3951">
        <v>288.7</v>
      </c>
      <c r="L3951">
        <v>97</v>
      </c>
      <c r="M3951">
        <v>24.54</v>
      </c>
      <c r="N3951">
        <v>262.7</v>
      </c>
      <c r="O3951">
        <v>64</v>
      </c>
      <c r="P3951">
        <v>11.82</v>
      </c>
      <c r="Q3951">
        <v>8.1</v>
      </c>
      <c r="R3951">
        <v>2</v>
      </c>
      <c r="S3951">
        <v>2.19</v>
      </c>
      <c r="T3951">
        <v>0</v>
      </c>
      <c r="U3951" t="s">
        <v>22</v>
      </c>
      <c r="V3951" t="e">
        <f>IF(#REF! = "yes", 1, 0)</f>
        <v>#REF!</v>
      </c>
      <c r="W3951" t="e">
        <f>IF(#REF! &lt;= 1, "0-1 Calls", IF(#REF! &lt;= 3, "2-3 Calls", IF(#REF! &lt;=5, "4-5 Calls", "6+ Calls")))</f>
        <v>#REF!</v>
      </c>
      <c r="X3951" t="e">
        <f>IF(#REF! &lt;= 50, "0-50", IF(#REF! &lt;=100, "51-100", IF(#REF! &lt;= 150, "101-150", "151+")))</f>
        <v>#REF!</v>
      </c>
      <c r="Y3951" t="e">
        <f>IF(#REF! &lt;= 3, "Low Charges", "High Charges")</f>
        <v>#REF!</v>
      </c>
      <c r="Z3951" t="e">
        <f>IF(#REF!&lt;=80,"Low Calls",
IF(#REF!&lt;=120,"Medium Calls","High Calls"))</f>
        <v>#REF!</v>
      </c>
      <c r="AA3951" t="e">
        <f>IF(#REF!&lt;=15,"Low Charges",
IF(#REF!&lt;=20,"Medium Charges","High Charges"))</f>
        <v>#REF!</v>
      </c>
      <c r="AB3951" t="e">
        <f>IF(AND(#REF!&gt;180, #REF!&gt;200), "Heavy Doemstic User", IF(#REF!&gt;10, "Interntional User", IF(AND(#REF!&lt;180, #REF!&lt;200,#REF!&lt;200), "Light User", "Balanced User")))</f>
        <v>#REF!</v>
      </c>
      <c r="AC3951" t="e">
        <f>IF(#REF! = 0, "No Usage", IF(#REF! &lt;= 20, "Low Usage", IF(#REF! &lt;= 40, "Medium Usgae", "High Usage")))</f>
        <v>#REF!</v>
      </c>
      <c r="AD3951" t="e">
        <f>IF(#REF!&lt;=150,"Low Usage", IF(#REF!&lt;=200,"Medium Usage", IF(#REF!&lt;=250,"High Usage","Very High Usage")))</f>
        <v>#REF!</v>
      </c>
      <c r="AE3951" t="e">
        <f>IF(#REF!&lt;=5,"Low Calls", IF(#REF!&lt;=10, "Medium Calls", "High Calls"))</f>
        <v>#REF!</v>
      </c>
      <c r="AF3951" t="e">
        <f xml:space="preserve">
IF(#REF!&gt;=4,4,0)+
IF(#REF!="yes",3,0)+
IF(#REF!="High Charges",3,0)+
IF(#REF!&gt;250,4,0)+
IF(#REF!="no",1,0)+
IF(#REF!="Heavy Domestic User",2,0)</f>
        <v>#REF!</v>
      </c>
      <c r="AG3951" t="e">
        <f>IF(#REF!&gt;=10,"High Risk", IF(#REF!&gt;=5,"Medium Risk","Low Risk"))</f>
        <v>#REF!</v>
      </c>
      <c r="AH3951" t="e">
        <f>#REF! + #REF! + #REF! + #REF!</f>
        <v>#REF!</v>
      </c>
    </row>
    <row r="3952" spans="1:34" x14ac:dyDescent="0.35">
      <c r="A3952">
        <v>3951</v>
      </c>
      <c r="B3952" t="s">
        <v>61</v>
      </c>
      <c r="C3952">
        <v>89</v>
      </c>
      <c r="D3952" t="s">
        <v>25</v>
      </c>
      <c r="E3952" t="s">
        <v>22</v>
      </c>
      <c r="F3952" t="s">
        <v>22</v>
      </c>
      <c r="G3952">
        <v>0</v>
      </c>
      <c r="H3952">
        <v>269.8</v>
      </c>
      <c r="I3952">
        <v>94</v>
      </c>
      <c r="J3952">
        <v>45.87</v>
      </c>
      <c r="K3952">
        <v>227</v>
      </c>
      <c r="L3952">
        <v>125</v>
      </c>
      <c r="M3952">
        <v>19.3</v>
      </c>
      <c r="N3952">
        <v>212.2</v>
      </c>
      <c r="O3952">
        <v>135</v>
      </c>
      <c r="P3952">
        <v>9.5500000000000007</v>
      </c>
      <c r="Q3952">
        <v>4.7</v>
      </c>
      <c r="R3952">
        <v>6</v>
      </c>
      <c r="S3952">
        <v>1.27</v>
      </c>
      <c r="T3952">
        <v>1</v>
      </c>
      <c r="U3952" t="s">
        <v>23</v>
      </c>
      <c r="V3952" t="e">
        <f>IF(#REF! = "yes", 1, 0)</f>
        <v>#REF!</v>
      </c>
      <c r="W3952" t="e">
        <f>IF(#REF! &lt;= 1, "0-1 Calls", IF(#REF! &lt;= 3, "2-3 Calls", IF(#REF! &lt;=5, "4-5 Calls", "6+ Calls")))</f>
        <v>#REF!</v>
      </c>
      <c r="X3952" t="e">
        <f>IF(#REF! &lt;= 50, "0-50", IF(#REF! &lt;=100, "51-100", IF(#REF! &lt;= 150, "101-150", "151+")))</f>
        <v>#REF!</v>
      </c>
      <c r="Y3952" t="e">
        <f>IF(#REF! &lt;= 3, "Low Charges", "High Charges")</f>
        <v>#REF!</v>
      </c>
      <c r="Z3952" t="e">
        <f>IF(#REF!&lt;=80,"Low Calls",
IF(#REF!&lt;=120,"Medium Calls","High Calls"))</f>
        <v>#REF!</v>
      </c>
      <c r="AA3952" t="e">
        <f>IF(#REF!&lt;=15,"Low Charges",
IF(#REF!&lt;=20,"Medium Charges","High Charges"))</f>
        <v>#REF!</v>
      </c>
      <c r="AB3952" t="e">
        <f>IF(AND(#REF!&gt;180, #REF!&gt;200), "Heavy Doemstic User", IF(#REF!&gt;10, "Interntional User", IF(AND(#REF!&lt;180, #REF!&lt;200,#REF!&lt;200), "Light User", "Balanced User")))</f>
        <v>#REF!</v>
      </c>
      <c r="AC3952" t="e">
        <f>IF(#REF! = 0, "No Usage", IF(#REF! &lt;= 20, "Low Usage", IF(#REF! &lt;= 40, "Medium Usgae", "High Usage")))</f>
        <v>#REF!</v>
      </c>
      <c r="AD3952" t="e">
        <f>IF(#REF!&lt;=150,"Low Usage", IF(#REF!&lt;=200,"Medium Usage", IF(#REF!&lt;=250,"High Usage","Very High Usage")))</f>
        <v>#REF!</v>
      </c>
      <c r="AE3952" t="e">
        <f>IF(#REF!&lt;=5,"Low Calls", IF(#REF!&lt;=10, "Medium Calls", "High Calls"))</f>
        <v>#REF!</v>
      </c>
      <c r="AF3952" t="e">
        <f xml:space="preserve">
IF(#REF!&gt;=4,4,0)+
IF(#REF!="yes",3,0)+
IF(#REF!="High Charges",3,0)+
IF(#REF!&gt;250,4,0)+
IF(#REF!="no",1,0)+
IF(#REF!="Heavy Domestic User",2,0)</f>
        <v>#REF!</v>
      </c>
      <c r="AG3952" t="e">
        <f>IF(#REF!&gt;=10,"High Risk", IF(#REF!&gt;=5,"Medium Risk","Low Risk"))</f>
        <v>#REF!</v>
      </c>
      <c r="AH3952" t="e">
        <f>#REF! + #REF! + #REF! + #REF!</f>
        <v>#REF!</v>
      </c>
    </row>
    <row r="3953" spans="1:34" x14ac:dyDescent="0.35">
      <c r="A3953">
        <v>3952</v>
      </c>
      <c r="B3953" t="s">
        <v>46</v>
      </c>
      <c r="C3953">
        <v>22</v>
      </c>
      <c r="D3953" t="s">
        <v>25</v>
      </c>
      <c r="E3953" t="s">
        <v>22</v>
      </c>
      <c r="F3953" t="s">
        <v>23</v>
      </c>
      <c r="G3953">
        <v>29</v>
      </c>
      <c r="H3953">
        <v>151.19999999999999</v>
      </c>
      <c r="I3953">
        <v>147</v>
      </c>
      <c r="J3953">
        <v>25.7</v>
      </c>
      <c r="K3953">
        <v>203.2</v>
      </c>
      <c r="L3953">
        <v>135</v>
      </c>
      <c r="M3953">
        <v>17.27</v>
      </c>
      <c r="N3953">
        <v>296.10000000000002</v>
      </c>
      <c r="O3953">
        <v>98</v>
      </c>
      <c r="P3953">
        <v>13.32</v>
      </c>
      <c r="Q3953">
        <v>11.1</v>
      </c>
      <c r="R3953">
        <v>2</v>
      </c>
      <c r="S3953">
        <v>3</v>
      </c>
      <c r="T3953">
        <v>2</v>
      </c>
      <c r="U3953" t="s">
        <v>22</v>
      </c>
      <c r="V3953" t="e">
        <f>IF(#REF! = "yes", 1, 0)</f>
        <v>#REF!</v>
      </c>
      <c r="W3953" t="e">
        <f>IF(#REF! &lt;= 1, "0-1 Calls", IF(#REF! &lt;= 3, "2-3 Calls", IF(#REF! &lt;=5, "4-5 Calls", "6+ Calls")))</f>
        <v>#REF!</v>
      </c>
      <c r="X3953" t="e">
        <f>IF(#REF! &lt;= 50, "0-50", IF(#REF! &lt;=100, "51-100", IF(#REF! &lt;= 150, "101-150", "151+")))</f>
        <v>#REF!</v>
      </c>
      <c r="Y3953" t="e">
        <f>IF(#REF! &lt;= 3, "Low Charges", "High Charges")</f>
        <v>#REF!</v>
      </c>
      <c r="Z3953" t="e">
        <f>IF(#REF!&lt;=80,"Low Calls",
IF(#REF!&lt;=120,"Medium Calls","High Calls"))</f>
        <v>#REF!</v>
      </c>
      <c r="AA3953" t="e">
        <f>IF(#REF!&lt;=15,"Low Charges",
IF(#REF!&lt;=20,"Medium Charges","High Charges"))</f>
        <v>#REF!</v>
      </c>
      <c r="AB3953" t="e">
        <f>IF(AND(#REF!&gt;180, #REF!&gt;200), "Heavy Doemstic User", IF(#REF!&gt;10, "Interntional User", IF(AND(#REF!&lt;180, #REF!&lt;200,#REF!&lt;200), "Light User", "Balanced User")))</f>
        <v>#REF!</v>
      </c>
      <c r="AC3953" t="e">
        <f>IF(#REF! = 0, "No Usage", IF(#REF! &lt;= 20, "Low Usage", IF(#REF! &lt;= 40, "Medium Usgae", "High Usage")))</f>
        <v>#REF!</v>
      </c>
      <c r="AD3953" t="e">
        <f>IF(#REF!&lt;=150,"Low Usage", IF(#REF!&lt;=200,"Medium Usage", IF(#REF!&lt;=250,"High Usage","Very High Usage")))</f>
        <v>#REF!</v>
      </c>
      <c r="AE3953" t="e">
        <f>IF(#REF!&lt;=5,"Low Calls", IF(#REF!&lt;=10, "Medium Calls", "High Calls"))</f>
        <v>#REF!</v>
      </c>
      <c r="AF3953" t="e">
        <f xml:space="preserve">
IF(#REF!&gt;=4,4,0)+
IF(#REF!="yes",3,0)+
IF(#REF!="High Charges",3,0)+
IF(#REF!&gt;250,4,0)+
IF(#REF!="no",1,0)+
IF(#REF!="Heavy Domestic User",2,0)</f>
        <v>#REF!</v>
      </c>
      <c r="AG3953" t="e">
        <f>IF(#REF!&gt;=10,"High Risk", IF(#REF!&gt;=5,"Medium Risk","Low Risk"))</f>
        <v>#REF!</v>
      </c>
      <c r="AH3953" t="e">
        <f>#REF! + #REF! + #REF! + #REF!</f>
        <v>#REF!</v>
      </c>
    </row>
    <row r="3954" spans="1:34" x14ac:dyDescent="0.35">
      <c r="A3954">
        <v>3953</v>
      </c>
      <c r="B3954" t="s">
        <v>61</v>
      </c>
      <c r="C3954">
        <v>69</v>
      </c>
      <c r="D3954" t="s">
        <v>21</v>
      </c>
      <c r="E3954" t="s">
        <v>22</v>
      </c>
      <c r="F3954" t="s">
        <v>22</v>
      </c>
      <c r="G3954">
        <v>0</v>
      </c>
      <c r="H3954">
        <v>111.3</v>
      </c>
      <c r="I3954">
        <v>110</v>
      </c>
      <c r="J3954">
        <v>18.920000000000002</v>
      </c>
      <c r="K3954">
        <v>226.8</v>
      </c>
      <c r="L3954">
        <v>107</v>
      </c>
      <c r="M3954">
        <v>19.28</v>
      </c>
      <c r="N3954">
        <v>187.6</v>
      </c>
      <c r="O3954">
        <v>66</v>
      </c>
      <c r="P3954">
        <v>8.44</v>
      </c>
      <c r="Q3954">
        <v>10.199999999999999</v>
      </c>
      <c r="R3954">
        <v>12</v>
      </c>
      <c r="S3954">
        <v>2.75</v>
      </c>
      <c r="T3954">
        <v>1</v>
      </c>
      <c r="U3954" t="s">
        <v>22</v>
      </c>
      <c r="V3954" t="e">
        <f>IF(#REF! = "yes", 1, 0)</f>
        <v>#REF!</v>
      </c>
      <c r="W3954" t="e">
        <f>IF(#REF! &lt;= 1, "0-1 Calls", IF(#REF! &lt;= 3, "2-3 Calls", IF(#REF! &lt;=5, "4-5 Calls", "6+ Calls")))</f>
        <v>#REF!</v>
      </c>
      <c r="X3954" t="e">
        <f>IF(#REF! &lt;= 50, "0-50", IF(#REF! &lt;=100, "51-100", IF(#REF! &lt;= 150, "101-150", "151+")))</f>
        <v>#REF!</v>
      </c>
      <c r="Y3954" t="e">
        <f>IF(#REF! &lt;= 3, "Low Charges", "High Charges")</f>
        <v>#REF!</v>
      </c>
      <c r="Z3954" t="e">
        <f>IF(#REF!&lt;=80,"Low Calls",
IF(#REF!&lt;=120,"Medium Calls","High Calls"))</f>
        <v>#REF!</v>
      </c>
      <c r="AA3954" t="e">
        <f>IF(#REF!&lt;=15,"Low Charges",
IF(#REF!&lt;=20,"Medium Charges","High Charges"))</f>
        <v>#REF!</v>
      </c>
      <c r="AB3954" t="e">
        <f>IF(AND(#REF!&gt;180, #REF!&gt;200), "Heavy Doemstic User", IF(#REF!&gt;10, "Interntional User", IF(AND(#REF!&lt;180, #REF!&lt;200,#REF!&lt;200), "Light User", "Balanced User")))</f>
        <v>#REF!</v>
      </c>
      <c r="AC3954" t="e">
        <f>IF(#REF! = 0, "No Usage", IF(#REF! &lt;= 20, "Low Usage", IF(#REF! &lt;= 40, "Medium Usgae", "High Usage")))</f>
        <v>#REF!</v>
      </c>
      <c r="AD3954" t="e">
        <f>IF(#REF!&lt;=150,"Low Usage", IF(#REF!&lt;=200,"Medium Usage", IF(#REF!&lt;=250,"High Usage","Very High Usage")))</f>
        <v>#REF!</v>
      </c>
      <c r="AE3954" t="e">
        <f>IF(#REF!&lt;=5,"Low Calls", IF(#REF!&lt;=10, "Medium Calls", "High Calls"))</f>
        <v>#REF!</v>
      </c>
      <c r="AF3954" t="e">
        <f xml:space="preserve">
IF(#REF!&gt;=4,4,0)+
IF(#REF!="yes",3,0)+
IF(#REF!="High Charges",3,0)+
IF(#REF!&gt;250,4,0)+
IF(#REF!="no",1,0)+
IF(#REF!="Heavy Domestic User",2,0)</f>
        <v>#REF!</v>
      </c>
      <c r="AG3954" t="e">
        <f>IF(#REF!&gt;=10,"High Risk", IF(#REF!&gt;=5,"Medium Risk","Low Risk"))</f>
        <v>#REF!</v>
      </c>
      <c r="AH3954" t="e">
        <f>#REF! + #REF! + #REF! + #REF!</f>
        <v>#REF!</v>
      </c>
    </row>
    <row r="3955" spans="1:34" x14ac:dyDescent="0.35">
      <c r="A3955">
        <v>3954</v>
      </c>
      <c r="B3955" t="s">
        <v>42</v>
      </c>
      <c r="C3955">
        <v>106</v>
      </c>
      <c r="D3955" t="s">
        <v>25</v>
      </c>
      <c r="E3955" t="s">
        <v>22</v>
      </c>
      <c r="F3955" t="s">
        <v>22</v>
      </c>
      <c r="G3955">
        <v>0</v>
      </c>
      <c r="H3955">
        <v>273.8</v>
      </c>
      <c r="I3955">
        <v>120</v>
      </c>
      <c r="J3955">
        <v>46.55</v>
      </c>
      <c r="K3955">
        <v>149.30000000000001</v>
      </c>
      <c r="L3955">
        <v>104</v>
      </c>
      <c r="M3955">
        <v>12.69</v>
      </c>
      <c r="N3955">
        <v>193.9</v>
      </c>
      <c r="O3955">
        <v>127</v>
      </c>
      <c r="P3955">
        <v>8.73</v>
      </c>
      <c r="Q3955">
        <v>11.2</v>
      </c>
      <c r="R3955">
        <v>3</v>
      </c>
      <c r="S3955">
        <v>3.02</v>
      </c>
      <c r="T3955">
        <v>0</v>
      </c>
      <c r="U3955" t="s">
        <v>22</v>
      </c>
      <c r="V3955" t="e">
        <f>IF(#REF! = "yes", 1, 0)</f>
        <v>#REF!</v>
      </c>
      <c r="W3955" t="e">
        <f>IF(#REF! &lt;= 1, "0-1 Calls", IF(#REF! &lt;= 3, "2-3 Calls", IF(#REF! &lt;=5, "4-5 Calls", "6+ Calls")))</f>
        <v>#REF!</v>
      </c>
      <c r="X3955" t="e">
        <f>IF(#REF! &lt;= 50, "0-50", IF(#REF! &lt;=100, "51-100", IF(#REF! &lt;= 150, "101-150", "151+")))</f>
        <v>#REF!</v>
      </c>
      <c r="Y3955" t="e">
        <f>IF(#REF! &lt;= 3, "Low Charges", "High Charges")</f>
        <v>#REF!</v>
      </c>
      <c r="Z3955" t="e">
        <f>IF(#REF!&lt;=80,"Low Calls",
IF(#REF!&lt;=120,"Medium Calls","High Calls"))</f>
        <v>#REF!</v>
      </c>
      <c r="AA3955" t="e">
        <f>IF(#REF!&lt;=15,"Low Charges",
IF(#REF!&lt;=20,"Medium Charges","High Charges"))</f>
        <v>#REF!</v>
      </c>
      <c r="AB3955" t="e">
        <f>IF(AND(#REF!&gt;180, #REF!&gt;200), "Heavy Doemstic User", IF(#REF!&gt;10, "Interntional User", IF(AND(#REF!&lt;180, #REF!&lt;200,#REF!&lt;200), "Light User", "Balanced User")))</f>
        <v>#REF!</v>
      </c>
      <c r="AC3955" t="e">
        <f>IF(#REF! = 0, "No Usage", IF(#REF! &lt;= 20, "Low Usage", IF(#REF! &lt;= 40, "Medium Usgae", "High Usage")))</f>
        <v>#REF!</v>
      </c>
      <c r="AD3955" t="e">
        <f>IF(#REF!&lt;=150,"Low Usage", IF(#REF!&lt;=200,"Medium Usage", IF(#REF!&lt;=250,"High Usage","Very High Usage")))</f>
        <v>#REF!</v>
      </c>
      <c r="AE3955" t="e">
        <f>IF(#REF!&lt;=5,"Low Calls", IF(#REF!&lt;=10, "Medium Calls", "High Calls"))</f>
        <v>#REF!</v>
      </c>
      <c r="AF3955" t="e">
        <f xml:space="preserve">
IF(#REF!&gt;=4,4,0)+
IF(#REF!="yes",3,0)+
IF(#REF!="High Charges",3,0)+
IF(#REF!&gt;250,4,0)+
IF(#REF!="no",1,0)+
IF(#REF!="Heavy Domestic User",2,0)</f>
        <v>#REF!</v>
      </c>
      <c r="AG3955" t="e">
        <f>IF(#REF!&gt;=10,"High Risk", IF(#REF!&gt;=5,"Medium Risk","Low Risk"))</f>
        <v>#REF!</v>
      </c>
      <c r="AH3955" t="e">
        <f>#REF! + #REF! + #REF! + #REF!</f>
        <v>#REF!</v>
      </c>
    </row>
    <row r="3956" spans="1:34" x14ac:dyDescent="0.35">
      <c r="A3956">
        <v>3955</v>
      </c>
      <c r="B3956" t="s">
        <v>71</v>
      </c>
      <c r="C3956">
        <v>104</v>
      </c>
      <c r="D3956" t="s">
        <v>28</v>
      </c>
      <c r="E3956" t="s">
        <v>22</v>
      </c>
      <c r="F3956" t="s">
        <v>22</v>
      </c>
      <c r="G3956">
        <v>0</v>
      </c>
      <c r="H3956">
        <v>142.6</v>
      </c>
      <c r="I3956">
        <v>88</v>
      </c>
      <c r="J3956">
        <v>24.24</v>
      </c>
      <c r="K3956">
        <v>85.4</v>
      </c>
      <c r="L3956">
        <v>96</v>
      </c>
      <c r="M3956">
        <v>7.26</v>
      </c>
      <c r="N3956">
        <v>246.4</v>
      </c>
      <c r="O3956">
        <v>80</v>
      </c>
      <c r="P3956">
        <v>11.09</v>
      </c>
      <c r="Q3956">
        <v>14</v>
      </c>
      <c r="R3956">
        <v>4</v>
      </c>
      <c r="S3956">
        <v>3.78</v>
      </c>
      <c r="T3956">
        <v>1</v>
      </c>
      <c r="U3956" t="s">
        <v>22</v>
      </c>
      <c r="V3956" t="e">
        <f>IF(#REF! = "yes", 1, 0)</f>
        <v>#REF!</v>
      </c>
      <c r="W3956" t="e">
        <f>IF(#REF! &lt;= 1, "0-1 Calls", IF(#REF! &lt;= 3, "2-3 Calls", IF(#REF! &lt;=5, "4-5 Calls", "6+ Calls")))</f>
        <v>#REF!</v>
      </c>
      <c r="X3956" t="e">
        <f>IF(#REF! &lt;= 50, "0-50", IF(#REF! &lt;=100, "51-100", IF(#REF! &lt;= 150, "101-150", "151+")))</f>
        <v>#REF!</v>
      </c>
      <c r="Y3956" t="e">
        <f>IF(#REF! &lt;= 3, "Low Charges", "High Charges")</f>
        <v>#REF!</v>
      </c>
      <c r="Z3956" t="e">
        <f>IF(#REF!&lt;=80,"Low Calls",
IF(#REF!&lt;=120,"Medium Calls","High Calls"))</f>
        <v>#REF!</v>
      </c>
      <c r="AA3956" t="e">
        <f>IF(#REF!&lt;=15,"Low Charges",
IF(#REF!&lt;=20,"Medium Charges","High Charges"))</f>
        <v>#REF!</v>
      </c>
      <c r="AB3956" t="e">
        <f>IF(AND(#REF!&gt;180, #REF!&gt;200), "Heavy Doemstic User", IF(#REF!&gt;10, "Interntional User", IF(AND(#REF!&lt;180, #REF!&lt;200,#REF!&lt;200), "Light User", "Balanced User")))</f>
        <v>#REF!</v>
      </c>
      <c r="AC3956" t="e">
        <f>IF(#REF! = 0, "No Usage", IF(#REF! &lt;= 20, "Low Usage", IF(#REF! &lt;= 40, "Medium Usgae", "High Usage")))</f>
        <v>#REF!</v>
      </c>
      <c r="AD3956" t="e">
        <f>IF(#REF!&lt;=150,"Low Usage", IF(#REF!&lt;=200,"Medium Usage", IF(#REF!&lt;=250,"High Usage","Very High Usage")))</f>
        <v>#REF!</v>
      </c>
      <c r="AE3956" t="e">
        <f>IF(#REF!&lt;=5,"Low Calls", IF(#REF!&lt;=10, "Medium Calls", "High Calls"))</f>
        <v>#REF!</v>
      </c>
      <c r="AF3956" t="e">
        <f xml:space="preserve">
IF(#REF!&gt;=4,4,0)+
IF(#REF!="yes",3,0)+
IF(#REF!="High Charges",3,0)+
IF(#REF!&gt;250,4,0)+
IF(#REF!="no",1,0)+
IF(#REF!="Heavy Domestic User",2,0)</f>
        <v>#REF!</v>
      </c>
      <c r="AG3956" t="e">
        <f>IF(#REF!&gt;=10,"High Risk", IF(#REF!&gt;=5,"Medium Risk","Low Risk"))</f>
        <v>#REF!</v>
      </c>
      <c r="AH3956" t="e">
        <f>#REF! + #REF! + #REF! + #REF!</f>
        <v>#REF!</v>
      </c>
    </row>
    <row r="3957" spans="1:34" x14ac:dyDescent="0.35">
      <c r="A3957">
        <v>3956</v>
      </c>
      <c r="B3957" t="s">
        <v>26</v>
      </c>
      <c r="C3957">
        <v>174</v>
      </c>
      <c r="D3957" t="s">
        <v>25</v>
      </c>
      <c r="E3957" t="s">
        <v>22</v>
      </c>
      <c r="F3957" t="s">
        <v>22</v>
      </c>
      <c r="G3957">
        <v>0</v>
      </c>
      <c r="H3957">
        <v>178</v>
      </c>
      <c r="I3957">
        <v>49</v>
      </c>
      <c r="J3957">
        <v>30.26</v>
      </c>
      <c r="K3957">
        <v>141.5</v>
      </c>
      <c r="L3957">
        <v>83</v>
      </c>
      <c r="M3957">
        <v>12.03</v>
      </c>
      <c r="N3957">
        <v>265.10000000000002</v>
      </c>
      <c r="O3957">
        <v>114</v>
      </c>
      <c r="P3957">
        <v>11.93</v>
      </c>
      <c r="Q3957">
        <v>6.2</v>
      </c>
      <c r="R3957">
        <v>5</v>
      </c>
      <c r="S3957">
        <v>1.67</v>
      </c>
      <c r="T3957">
        <v>3</v>
      </c>
      <c r="U3957" t="s">
        <v>22</v>
      </c>
      <c r="V3957" t="e">
        <f>IF(#REF! = "yes", 1, 0)</f>
        <v>#REF!</v>
      </c>
      <c r="W3957" t="e">
        <f>IF(#REF! &lt;= 1, "0-1 Calls", IF(#REF! &lt;= 3, "2-3 Calls", IF(#REF! &lt;=5, "4-5 Calls", "6+ Calls")))</f>
        <v>#REF!</v>
      </c>
      <c r="X3957" t="e">
        <f>IF(#REF! &lt;= 50, "0-50", IF(#REF! &lt;=100, "51-100", IF(#REF! &lt;= 150, "101-150", "151+")))</f>
        <v>#REF!</v>
      </c>
      <c r="Y3957" t="e">
        <f>IF(#REF! &lt;= 3, "Low Charges", "High Charges")</f>
        <v>#REF!</v>
      </c>
      <c r="Z3957" t="e">
        <f>IF(#REF!&lt;=80,"Low Calls",
IF(#REF!&lt;=120,"Medium Calls","High Calls"))</f>
        <v>#REF!</v>
      </c>
      <c r="AA3957" t="e">
        <f>IF(#REF!&lt;=15,"Low Charges",
IF(#REF!&lt;=20,"Medium Charges","High Charges"))</f>
        <v>#REF!</v>
      </c>
      <c r="AB3957" t="e">
        <f>IF(AND(#REF!&gt;180, #REF!&gt;200), "Heavy Doemstic User", IF(#REF!&gt;10, "Interntional User", IF(AND(#REF!&lt;180, #REF!&lt;200,#REF!&lt;200), "Light User", "Balanced User")))</f>
        <v>#REF!</v>
      </c>
      <c r="AC3957" t="e">
        <f>IF(#REF! = 0, "No Usage", IF(#REF! &lt;= 20, "Low Usage", IF(#REF! &lt;= 40, "Medium Usgae", "High Usage")))</f>
        <v>#REF!</v>
      </c>
      <c r="AD3957" t="e">
        <f>IF(#REF!&lt;=150,"Low Usage", IF(#REF!&lt;=200,"Medium Usage", IF(#REF!&lt;=250,"High Usage","Very High Usage")))</f>
        <v>#REF!</v>
      </c>
      <c r="AE3957" t="e">
        <f>IF(#REF!&lt;=5,"Low Calls", IF(#REF!&lt;=10, "Medium Calls", "High Calls"))</f>
        <v>#REF!</v>
      </c>
      <c r="AF3957" t="e">
        <f xml:space="preserve">
IF(#REF!&gt;=4,4,0)+
IF(#REF!="yes",3,0)+
IF(#REF!="High Charges",3,0)+
IF(#REF!&gt;250,4,0)+
IF(#REF!="no",1,0)+
IF(#REF!="Heavy Domestic User",2,0)</f>
        <v>#REF!</v>
      </c>
      <c r="AG3957" t="e">
        <f>IF(#REF!&gt;=10,"High Risk", IF(#REF!&gt;=5,"Medium Risk","Low Risk"))</f>
        <v>#REF!</v>
      </c>
      <c r="AH3957" t="e">
        <f>#REF! + #REF! + #REF! + #REF!</f>
        <v>#REF!</v>
      </c>
    </row>
    <row r="3958" spans="1:34" x14ac:dyDescent="0.35">
      <c r="A3958">
        <v>3957</v>
      </c>
      <c r="B3958" t="s">
        <v>43</v>
      </c>
      <c r="C3958">
        <v>127</v>
      </c>
      <c r="D3958" t="s">
        <v>28</v>
      </c>
      <c r="E3958" t="s">
        <v>22</v>
      </c>
      <c r="F3958" t="s">
        <v>23</v>
      </c>
      <c r="G3958">
        <v>33</v>
      </c>
      <c r="H3958">
        <v>180.5</v>
      </c>
      <c r="I3958">
        <v>94</v>
      </c>
      <c r="J3958">
        <v>30.69</v>
      </c>
      <c r="K3958">
        <v>241.9</v>
      </c>
      <c r="L3958">
        <v>107</v>
      </c>
      <c r="M3958">
        <v>20.56</v>
      </c>
      <c r="N3958">
        <v>225.4</v>
      </c>
      <c r="O3958">
        <v>113</v>
      </c>
      <c r="P3958">
        <v>10.14</v>
      </c>
      <c r="Q3958">
        <v>7.4</v>
      </c>
      <c r="R3958">
        <v>2</v>
      </c>
      <c r="S3958">
        <v>2</v>
      </c>
      <c r="T3958">
        <v>1</v>
      </c>
      <c r="U3958" t="s">
        <v>22</v>
      </c>
      <c r="V3958" t="e">
        <f>IF(#REF! = "yes", 1, 0)</f>
        <v>#REF!</v>
      </c>
      <c r="W3958" t="e">
        <f>IF(#REF! &lt;= 1, "0-1 Calls", IF(#REF! &lt;= 3, "2-3 Calls", IF(#REF! &lt;=5, "4-5 Calls", "6+ Calls")))</f>
        <v>#REF!</v>
      </c>
      <c r="X3958" t="e">
        <f>IF(#REF! &lt;= 50, "0-50", IF(#REF! &lt;=100, "51-100", IF(#REF! &lt;= 150, "101-150", "151+")))</f>
        <v>#REF!</v>
      </c>
      <c r="Y3958" t="e">
        <f>IF(#REF! &lt;= 3, "Low Charges", "High Charges")</f>
        <v>#REF!</v>
      </c>
      <c r="Z3958" t="e">
        <f>IF(#REF!&lt;=80,"Low Calls",
IF(#REF!&lt;=120,"Medium Calls","High Calls"))</f>
        <v>#REF!</v>
      </c>
      <c r="AA3958" t="e">
        <f>IF(#REF!&lt;=15,"Low Charges",
IF(#REF!&lt;=20,"Medium Charges","High Charges"))</f>
        <v>#REF!</v>
      </c>
      <c r="AB3958" t="e">
        <f>IF(AND(#REF!&gt;180, #REF!&gt;200), "Heavy Doemstic User", IF(#REF!&gt;10, "Interntional User", IF(AND(#REF!&lt;180, #REF!&lt;200,#REF!&lt;200), "Light User", "Balanced User")))</f>
        <v>#REF!</v>
      </c>
      <c r="AC3958" t="e">
        <f>IF(#REF! = 0, "No Usage", IF(#REF! &lt;= 20, "Low Usage", IF(#REF! &lt;= 40, "Medium Usgae", "High Usage")))</f>
        <v>#REF!</v>
      </c>
      <c r="AD3958" t="e">
        <f>IF(#REF!&lt;=150,"Low Usage", IF(#REF!&lt;=200,"Medium Usage", IF(#REF!&lt;=250,"High Usage","Very High Usage")))</f>
        <v>#REF!</v>
      </c>
      <c r="AE3958" t="e">
        <f>IF(#REF!&lt;=5,"Low Calls", IF(#REF!&lt;=10, "Medium Calls", "High Calls"))</f>
        <v>#REF!</v>
      </c>
      <c r="AF3958" t="e">
        <f xml:space="preserve">
IF(#REF!&gt;=4,4,0)+
IF(#REF!="yes",3,0)+
IF(#REF!="High Charges",3,0)+
IF(#REF!&gt;250,4,0)+
IF(#REF!="no",1,0)+
IF(#REF!="Heavy Domestic User",2,0)</f>
        <v>#REF!</v>
      </c>
      <c r="AG3958" t="e">
        <f>IF(#REF!&gt;=10,"High Risk", IF(#REF!&gt;=5,"Medium Risk","Low Risk"))</f>
        <v>#REF!</v>
      </c>
      <c r="AH3958" t="e">
        <f>#REF! + #REF! + #REF! + #REF!</f>
        <v>#REF!</v>
      </c>
    </row>
    <row r="3959" spans="1:34" x14ac:dyDescent="0.35">
      <c r="A3959">
        <v>3958</v>
      </c>
      <c r="B3959" t="s">
        <v>44</v>
      </c>
      <c r="C3959">
        <v>2</v>
      </c>
      <c r="D3959" t="s">
        <v>21</v>
      </c>
      <c r="E3959" t="s">
        <v>22</v>
      </c>
      <c r="F3959" t="s">
        <v>23</v>
      </c>
      <c r="G3959">
        <v>27</v>
      </c>
      <c r="H3959">
        <v>141.69999999999999</v>
      </c>
      <c r="I3959">
        <v>125</v>
      </c>
      <c r="J3959">
        <v>24.09</v>
      </c>
      <c r="K3959">
        <v>160.69999999999999</v>
      </c>
      <c r="L3959">
        <v>136</v>
      </c>
      <c r="M3959">
        <v>13.66</v>
      </c>
      <c r="N3959">
        <v>170.3</v>
      </c>
      <c r="O3959">
        <v>81</v>
      </c>
      <c r="P3959">
        <v>7.66</v>
      </c>
      <c r="Q3959">
        <v>9.3000000000000007</v>
      </c>
      <c r="R3959">
        <v>2</v>
      </c>
      <c r="S3959">
        <v>2.5099999999999998</v>
      </c>
      <c r="T3959">
        <v>1</v>
      </c>
      <c r="U3959" t="s">
        <v>22</v>
      </c>
      <c r="V3959" t="e">
        <f>IF(#REF! = "yes", 1, 0)</f>
        <v>#REF!</v>
      </c>
      <c r="W3959" t="e">
        <f>IF(#REF! &lt;= 1, "0-1 Calls", IF(#REF! &lt;= 3, "2-3 Calls", IF(#REF! &lt;=5, "4-5 Calls", "6+ Calls")))</f>
        <v>#REF!</v>
      </c>
      <c r="X3959" t="e">
        <f>IF(#REF! &lt;= 50, "0-50", IF(#REF! &lt;=100, "51-100", IF(#REF! &lt;= 150, "101-150", "151+")))</f>
        <v>#REF!</v>
      </c>
      <c r="Y3959" t="e">
        <f>IF(#REF! &lt;= 3, "Low Charges", "High Charges")</f>
        <v>#REF!</v>
      </c>
      <c r="Z3959" t="e">
        <f>IF(#REF!&lt;=80,"Low Calls",
IF(#REF!&lt;=120,"Medium Calls","High Calls"))</f>
        <v>#REF!</v>
      </c>
      <c r="AA3959" t="e">
        <f>IF(#REF!&lt;=15,"Low Charges",
IF(#REF!&lt;=20,"Medium Charges","High Charges"))</f>
        <v>#REF!</v>
      </c>
      <c r="AB3959" t="e">
        <f>IF(AND(#REF!&gt;180, #REF!&gt;200), "Heavy Doemstic User", IF(#REF!&gt;10, "Interntional User", IF(AND(#REF!&lt;180, #REF!&lt;200,#REF!&lt;200), "Light User", "Balanced User")))</f>
        <v>#REF!</v>
      </c>
      <c r="AC3959" t="e">
        <f>IF(#REF! = 0, "No Usage", IF(#REF! &lt;= 20, "Low Usage", IF(#REF! &lt;= 40, "Medium Usgae", "High Usage")))</f>
        <v>#REF!</v>
      </c>
      <c r="AD3959" t="e">
        <f>IF(#REF!&lt;=150,"Low Usage", IF(#REF!&lt;=200,"Medium Usage", IF(#REF!&lt;=250,"High Usage","Very High Usage")))</f>
        <v>#REF!</v>
      </c>
      <c r="AE3959" t="e">
        <f>IF(#REF!&lt;=5,"Low Calls", IF(#REF!&lt;=10, "Medium Calls", "High Calls"))</f>
        <v>#REF!</v>
      </c>
      <c r="AF3959" t="e">
        <f xml:space="preserve">
IF(#REF!&gt;=4,4,0)+
IF(#REF!="yes",3,0)+
IF(#REF!="High Charges",3,0)+
IF(#REF!&gt;250,4,0)+
IF(#REF!="no",1,0)+
IF(#REF!="Heavy Domestic User",2,0)</f>
        <v>#REF!</v>
      </c>
      <c r="AG3959" t="e">
        <f>IF(#REF!&gt;=10,"High Risk", IF(#REF!&gt;=5,"Medium Risk","Low Risk"))</f>
        <v>#REF!</v>
      </c>
      <c r="AH3959" t="e">
        <f>#REF! + #REF! + #REF! + #REF!</f>
        <v>#REF!</v>
      </c>
    </row>
    <row r="3960" spans="1:34" x14ac:dyDescent="0.35">
      <c r="A3960">
        <v>3959</v>
      </c>
      <c r="B3960" t="s">
        <v>32</v>
      </c>
      <c r="C3960">
        <v>91</v>
      </c>
      <c r="D3960" t="s">
        <v>21</v>
      </c>
      <c r="E3960" t="s">
        <v>22</v>
      </c>
      <c r="F3960" t="s">
        <v>22</v>
      </c>
      <c r="G3960">
        <v>0</v>
      </c>
      <c r="H3960">
        <v>289.3</v>
      </c>
      <c r="I3960">
        <v>73</v>
      </c>
      <c r="J3960">
        <v>49.18</v>
      </c>
      <c r="K3960">
        <v>179.8</v>
      </c>
      <c r="L3960">
        <v>86</v>
      </c>
      <c r="M3960">
        <v>15.28</v>
      </c>
      <c r="N3960">
        <v>186.7</v>
      </c>
      <c r="O3960">
        <v>94</v>
      </c>
      <c r="P3960">
        <v>8.4</v>
      </c>
      <c r="Q3960">
        <v>6.4</v>
      </c>
      <c r="R3960">
        <v>7</v>
      </c>
      <c r="S3960">
        <v>1.73</v>
      </c>
      <c r="T3960">
        <v>1</v>
      </c>
      <c r="U3960" t="s">
        <v>23</v>
      </c>
      <c r="V3960" t="e">
        <f>IF(#REF! = "yes", 1, 0)</f>
        <v>#REF!</v>
      </c>
      <c r="W3960" t="e">
        <f>IF(#REF! &lt;= 1, "0-1 Calls", IF(#REF! &lt;= 3, "2-3 Calls", IF(#REF! &lt;=5, "4-5 Calls", "6+ Calls")))</f>
        <v>#REF!</v>
      </c>
      <c r="X3960" t="e">
        <f>IF(#REF! &lt;= 50, "0-50", IF(#REF! &lt;=100, "51-100", IF(#REF! &lt;= 150, "101-150", "151+")))</f>
        <v>#REF!</v>
      </c>
      <c r="Y3960" t="e">
        <f>IF(#REF! &lt;= 3, "Low Charges", "High Charges")</f>
        <v>#REF!</v>
      </c>
      <c r="Z3960" t="e">
        <f>IF(#REF!&lt;=80,"Low Calls",
IF(#REF!&lt;=120,"Medium Calls","High Calls"))</f>
        <v>#REF!</v>
      </c>
      <c r="AA3960" t="e">
        <f>IF(#REF!&lt;=15,"Low Charges",
IF(#REF!&lt;=20,"Medium Charges","High Charges"))</f>
        <v>#REF!</v>
      </c>
      <c r="AB3960" t="e">
        <f>IF(AND(#REF!&gt;180, #REF!&gt;200), "Heavy Doemstic User", IF(#REF!&gt;10, "Interntional User", IF(AND(#REF!&lt;180, #REF!&lt;200,#REF!&lt;200), "Light User", "Balanced User")))</f>
        <v>#REF!</v>
      </c>
      <c r="AC3960" t="e">
        <f>IF(#REF! = 0, "No Usage", IF(#REF! &lt;= 20, "Low Usage", IF(#REF! &lt;= 40, "Medium Usgae", "High Usage")))</f>
        <v>#REF!</v>
      </c>
      <c r="AD3960" t="e">
        <f>IF(#REF!&lt;=150,"Low Usage", IF(#REF!&lt;=200,"Medium Usage", IF(#REF!&lt;=250,"High Usage","Very High Usage")))</f>
        <v>#REF!</v>
      </c>
      <c r="AE3960" t="e">
        <f>IF(#REF!&lt;=5,"Low Calls", IF(#REF!&lt;=10, "Medium Calls", "High Calls"))</f>
        <v>#REF!</v>
      </c>
      <c r="AF3960" t="e">
        <f xml:space="preserve">
IF(#REF!&gt;=4,4,0)+
IF(#REF!="yes",3,0)+
IF(#REF!="High Charges",3,0)+
IF(#REF!&gt;250,4,0)+
IF(#REF!="no",1,0)+
IF(#REF!="Heavy Domestic User",2,0)</f>
        <v>#REF!</v>
      </c>
      <c r="AG3960" t="e">
        <f>IF(#REF!&gt;=10,"High Risk", IF(#REF!&gt;=5,"Medium Risk","Low Risk"))</f>
        <v>#REF!</v>
      </c>
      <c r="AH3960" t="e">
        <f>#REF! + #REF! + #REF! + #REF!</f>
        <v>#REF!</v>
      </c>
    </row>
    <row r="3961" spans="1:34" x14ac:dyDescent="0.35">
      <c r="A3961">
        <v>3960</v>
      </c>
      <c r="B3961" t="s">
        <v>74</v>
      </c>
      <c r="C3961">
        <v>34</v>
      </c>
      <c r="D3961" t="s">
        <v>28</v>
      </c>
      <c r="E3961" t="s">
        <v>22</v>
      </c>
      <c r="F3961" t="s">
        <v>23</v>
      </c>
      <c r="G3961">
        <v>26</v>
      </c>
      <c r="H3961">
        <v>193.4</v>
      </c>
      <c r="I3961">
        <v>91</v>
      </c>
      <c r="J3961">
        <v>32.880000000000003</v>
      </c>
      <c r="K3961">
        <v>198.3</v>
      </c>
      <c r="L3961">
        <v>94</v>
      </c>
      <c r="M3961">
        <v>16.86</v>
      </c>
      <c r="N3961">
        <v>257.2</v>
      </c>
      <c r="O3961">
        <v>94</v>
      </c>
      <c r="P3961">
        <v>11.57</v>
      </c>
      <c r="Q3961">
        <v>9.5</v>
      </c>
      <c r="R3961">
        <v>5</v>
      </c>
      <c r="S3961">
        <v>2.57</v>
      </c>
      <c r="T3961">
        <v>2</v>
      </c>
      <c r="U3961" t="s">
        <v>22</v>
      </c>
      <c r="V3961" t="e">
        <f>IF(#REF! = "yes", 1, 0)</f>
        <v>#REF!</v>
      </c>
      <c r="W3961" t="e">
        <f>IF(#REF! &lt;= 1, "0-1 Calls", IF(#REF! &lt;= 3, "2-3 Calls", IF(#REF! &lt;=5, "4-5 Calls", "6+ Calls")))</f>
        <v>#REF!</v>
      </c>
      <c r="X3961" t="e">
        <f>IF(#REF! &lt;= 50, "0-50", IF(#REF! &lt;=100, "51-100", IF(#REF! &lt;= 150, "101-150", "151+")))</f>
        <v>#REF!</v>
      </c>
      <c r="Y3961" t="e">
        <f>IF(#REF! &lt;= 3, "Low Charges", "High Charges")</f>
        <v>#REF!</v>
      </c>
      <c r="Z3961" t="e">
        <f>IF(#REF!&lt;=80,"Low Calls",
IF(#REF!&lt;=120,"Medium Calls","High Calls"))</f>
        <v>#REF!</v>
      </c>
      <c r="AA3961" t="e">
        <f>IF(#REF!&lt;=15,"Low Charges",
IF(#REF!&lt;=20,"Medium Charges","High Charges"))</f>
        <v>#REF!</v>
      </c>
      <c r="AB3961" t="e">
        <f>IF(AND(#REF!&gt;180, #REF!&gt;200), "Heavy Doemstic User", IF(#REF!&gt;10, "Interntional User", IF(AND(#REF!&lt;180, #REF!&lt;200,#REF!&lt;200), "Light User", "Balanced User")))</f>
        <v>#REF!</v>
      </c>
      <c r="AC3961" t="e">
        <f>IF(#REF! = 0, "No Usage", IF(#REF! &lt;= 20, "Low Usage", IF(#REF! &lt;= 40, "Medium Usgae", "High Usage")))</f>
        <v>#REF!</v>
      </c>
      <c r="AD3961" t="e">
        <f>IF(#REF!&lt;=150,"Low Usage", IF(#REF!&lt;=200,"Medium Usage", IF(#REF!&lt;=250,"High Usage","Very High Usage")))</f>
        <v>#REF!</v>
      </c>
      <c r="AE3961" t="e">
        <f>IF(#REF!&lt;=5,"Low Calls", IF(#REF!&lt;=10, "Medium Calls", "High Calls"))</f>
        <v>#REF!</v>
      </c>
      <c r="AF3961" t="e">
        <f xml:space="preserve">
IF(#REF!&gt;=4,4,0)+
IF(#REF!="yes",3,0)+
IF(#REF!="High Charges",3,0)+
IF(#REF!&gt;250,4,0)+
IF(#REF!="no",1,0)+
IF(#REF!="Heavy Domestic User",2,0)</f>
        <v>#REF!</v>
      </c>
      <c r="AG3961" t="e">
        <f>IF(#REF!&gt;=10,"High Risk", IF(#REF!&gt;=5,"Medium Risk","Low Risk"))</f>
        <v>#REF!</v>
      </c>
      <c r="AH3961" t="e">
        <f>#REF! + #REF! + #REF! + #REF!</f>
        <v>#REF!</v>
      </c>
    </row>
    <row r="3962" spans="1:34" x14ac:dyDescent="0.35">
      <c r="A3962">
        <v>3961</v>
      </c>
      <c r="B3962" t="s">
        <v>36</v>
      </c>
      <c r="C3962">
        <v>111</v>
      </c>
      <c r="D3962" t="s">
        <v>28</v>
      </c>
      <c r="E3962" t="s">
        <v>22</v>
      </c>
      <c r="F3962" t="s">
        <v>22</v>
      </c>
      <c r="G3962">
        <v>0</v>
      </c>
      <c r="H3962">
        <v>184.2</v>
      </c>
      <c r="I3962">
        <v>92</v>
      </c>
      <c r="J3962">
        <v>31.31</v>
      </c>
      <c r="K3962">
        <v>215</v>
      </c>
      <c r="L3962">
        <v>96</v>
      </c>
      <c r="M3962">
        <v>18.28</v>
      </c>
      <c r="N3962">
        <v>100.1</v>
      </c>
      <c r="O3962">
        <v>64</v>
      </c>
      <c r="P3962">
        <v>4.5</v>
      </c>
      <c r="Q3962">
        <v>11.3</v>
      </c>
      <c r="R3962">
        <v>4</v>
      </c>
      <c r="S3962">
        <v>3.05</v>
      </c>
      <c r="T3962">
        <v>1</v>
      </c>
      <c r="U3962" t="s">
        <v>22</v>
      </c>
      <c r="V3962" t="e">
        <f>IF(#REF! = "yes", 1, 0)</f>
        <v>#REF!</v>
      </c>
      <c r="W3962" t="e">
        <f>IF(#REF! &lt;= 1, "0-1 Calls", IF(#REF! &lt;= 3, "2-3 Calls", IF(#REF! &lt;=5, "4-5 Calls", "6+ Calls")))</f>
        <v>#REF!</v>
      </c>
      <c r="X3962" t="e">
        <f>IF(#REF! &lt;= 50, "0-50", IF(#REF! &lt;=100, "51-100", IF(#REF! &lt;= 150, "101-150", "151+")))</f>
        <v>#REF!</v>
      </c>
      <c r="Y3962" t="e">
        <f>IF(#REF! &lt;= 3, "Low Charges", "High Charges")</f>
        <v>#REF!</v>
      </c>
      <c r="Z3962" t="e">
        <f>IF(#REF!&lt;=80,"Low Calls",
IF(#REF!&lt;=120,"Medium Calls","High Calls"))</f>
        <v>#REF!</v>
      </c>
      <c r="AA3962" t="e">
        <f>IF(#REF!&lt;=15,"Low Charges",
IF(#REF!&lt;=20,"Medium Charges","High Charges"))</f>
        <v>#REF!</v>
      </c>
      <c r="AB3962" t="e">
        <f>IF(AND(#REF!&gt;180, #REF!&gt;200), "Heavy Doemstic User", IF(#REF!&gt;10, "Interntional User", IF(AND(#REF!&lt;180, #REF!&lt;200,#REF!&lt;200), "Light User", "Balanced User")))</f>
        <v>#REF!</v>
      </c>
      <c r="AC3962" t="e">
        <f>IF(#REF! = 0, "No Usage", IF(#REF! &lt;= 20, "Low Usage", IF(#REF! &lt;= 40, "Medium Usgae", "High Usage")))</f>
        <v>#REF!</v>
      </c>
      <c r="AD3962" t="e">
        <f>IF(#REF!&lt;=150,"Low Usage", IF(#REF!&lt;=200,"Medium Usage", IF(#REF!&lt;=250,"High Usage","Very High Usage")))</f>
        <v>#REF!</v>
      </c>
      <c r="AE3962" t="e">
        <f>IF(#REF!&lt;=5,"Low Calls", IF(#REF!&lt;=10, "Medium Calls", "High Calls"))</f>
        <v>#REF!</v>
      </c>
      <c r="AF3962" t="e">
        <f xml:space="preserve">
IF(#REF!&gt;=4,4,0)+
IF(#REF!="yes",3,0)+
IF(#REF!="High Charges",3,0)+
IF(#REF!&gt;250,4,0)+
IF(#REF!="no",1,0)+
IF(#REF!="Heavy Domestic User",2,0)</f>
        <v>#REF!</v>
      </c>
      <c r="AG3962" t="e">
        <f>IF(#REF!&gt;=10,"High Risk", IF(#REF!&gt;=5,"Medium Risk","Low Risk"))</f>
        <v>#REF!</v>
      </c>
      <c r="AH3962" t="e">
        <f>#REF! + #REF! + #REF! + #REF!</f>
        <v>#REF!</v>
      </c>
    </row>
    <row r="3963" spans="1:34" x14ac:dyDescent="0.35">
      <c r="A3963">
        <v>3962</v>
      </c>
      <c r="B3963" t="s">
        <v>39</v>
      </c>
      <c r="C3963">
        <v>110</v>
      </c>
      <c r="D3963" t="s">
        <v>21</v>
      </c>
      <c r="E3963" t="s">
        <v>22</v>
      </c>
      <c r="F3963" t="s">
        <v>23</v>
      </c>
      <c r="G3963">
        <v>30</v>
      </c>
      <c r="H3963">
        <v>144.1</v>
      </c>
      <c r="I3963">
        <v>87</v>
      </c>
      <c r="J3963">
        <v>24.5</v>
      </c>
      <c r="K3963">
        <v>229.8</v>
      </c>
      <c r="L3963">
        <v>88</v>
      </c>
      <c r="M3963">
        <v>19.53</v>
      </c>
      <c r="N3963">
        <v>174.7</v>
      </c>
      <c r="O3963">
        <v>90</v>
      </c>
      <c r="P3963">
        <v>7.86</v>
      </c>
      <c r="Q3963">
        <v>12.4</v>
      </c>
      <c r="R3963">
        <v>4</v>
      </c>
      <c r="S3963">
        <v>3.35</v>
      </c>
      <c r="T3963">
        <v>2</v>
      </c>
      <c r="U3963" t="s">
        <v>22</v>
      </c>
      <c r="V3963" t="e">
        <f>IF(#REF! = "yes", 1, 0)</f>
        <v>#REF!</v>
      </c>
      <c r="W3963" t="e">
        <f>IF(#REF! &lt;= 1, "0-1 Calls", IF(#REF! &lt;= 3, "2-3 Calls", IF(#REF! &lt;=5, "4-5 Calls", "6+ Calls")))</f>
        <v>#REF!</v>
      </c>
      <c r="X3963" t="e">
        <f>IF(#REF! &lt;= 50, "0-50", IF(#REF! &lt;=100, "51-100", IF(#REF! &lt;= 150, "101-150", "151+")))</f>
        <v>#REF!</v>
      </c>
      <c r="Y3963" t="e">
        <f>IF(#REF! &lt;= 3, "Low Charges", "High Charges")</f>
        <v>#REF!</v>
      </c>
      <c r="Z3963" t="e">
        <f>IF(#REF!&lt;=80,"Low Calls",
IF(#REF!&lt;=120,"Medium Calls","High Calls"))</f>
        <v>#REF!</v>
      </c>
      <c r="AA3963" t="e">
        <f>IF(#REF!&lt;=15,"Low Charges",
IF(#REF!&lt;=20,"Medium Charges","High Charges"))</f>
        <v>#REF!</v>
      </c>
      <c r="AB3963" t="e">
        <f>IF(AND(#REF!&gt;180, #REF!&gt;200), "Heavy Doemstic User", IF(#REF!&gt;10, "Interntional User", IF(AND(#REF!&lt;180, #REF!&lt;200,#REF!&lt;200), "Light User", "Balanced User")))</f>
        <v>#REF!</v>
      </c>
      <c r="AC3963" t="e">
        <f>IF(#REF! = 0, "No Usage", IF(#REF! &lt;= 20, "Low Usage", IF(#REF! &lt;= 40, "Medium Usgae", "High Usage")))</f>
        <v>#REF!</v>
      </c>
      <c r="AD3963" t="e">
        <f>IF(#REF!&lt;=150,"Low Usage", IF(#REF!&lt;=200,"Medium Usage", IF(#REF!&lt;=250,"High Usage","Very High Usage")))</f>
        <v>#REF!</v>
      </c>
      <c r="AE3963" t="e">
        <f>IF(#REF!&lt;=5,"Low Calls", IF(#REF!&lt;=10, "Medium Calls", "High Calls"))</f>
        <v>#REF!</v>
      </c>
      <c r="AF3963" t="e">
        <f xml:space="preserve">
IF(#REF!&gt;=4,4,0)+
IF(#REF!="yes",3,0)+
IF(#REF!="High Charges",3,0)+
IF(#REF!&gt;250,4,0)+
IF(#REF!="no",1,0)+
IF(#REF!="Heavy Domestic User",2,0)</f>
        <v>#REF!</v>
      </c>
      <c r="AG3963" t="e">
        <f>IF(#REF!&gt;=10,"High Risk", IF(#REF!&gt;=5,"Medium Risk","Low Risk"))</f>
        <v>#REF!</v>
      </c>
      <c r="AH3963" t="e">
        <f>#REF! + #REF! + #REF! + #REF!</f>
        <v>#REF!</v>
      </c>
    </row>
    <row r="3964" spans="1:34" x14ac:dyDescent="0.35">
      <c r="A3964">
        <v>3963</v>
      </c>
      <c r="B3964" t="s">
        <v>72</v>
      </c>
      <c r="C3964">
        <v>65</v>
      </c>
      <c r="D3964" t="s">
        <v>21</v>
      </c>
      <c r="E3964" t="s">
        <v>22</v>
      </c>
      <c r="F3964" t="s">
        <v>22</v>
      </c>
      <c r="G3964">
        <v>0</v>
      </c>
      <c r="H3964">
        <v>180.3</v>
      </c>
      <c r="I3964">
        <v>84</v>
      </c>
      <c r="J3964">
        <v>30.65</v>
      </c>
      <c r="K3964">
        <v>199.9</v>
      </c>
      <c r="L3964">
        <v>129</v>
      </c>
      <c r="M3964">
        <v>16.989999999999998</v>
      </c>
      <c r="N3964">
        <v>280.10000000000002</v>
      </c>
      <c r="O3964">
        <v>62</v>
      </c>
      <c r="P3964">
        <v>12.6</v>
      </c>
      <c r="Q3964">
        <v>12.1</v>
      </c>
      <c r="R3964">
        <v>1</v>
      </c>
      <c r="S3964">
        <v>3.27</v>
      </c>
      <c r="T3964">
        <v>3</v>
      </c>
      <c r="U3964" t="s">
        <v>22</v>
      </c>
      <c r="V3964" t="e">
        <f>IF(#REF! = "yes", 1, 0)</f>
        <v>#REF!</v>
      </c>
      <c r="W3964" t="e">
        <f>IF(#REF! &lt;= 1, "0-1 Calls", IF(#REF! &lt;= 3, "2-3 Calls", IF(#REF! &lt;=5, "4-5 Calls", "6+ Calls")))</f>
        <v>#REF!</v>
      </c>
      <c r="X3964" t="e">
        <f>IF(#REF! &lt;= 50, "0-50", IF(#REF! &lt;=100, "51-100", IF(#REF! &lt;= 150, "101-150", "151+")))</f>
        <v>#REF!</v>
      </c>
      <c r="Y3964" t="e">
        <f>IF(#REF! &lt;= 3, "Low Charges", "High Charges")</f>
        <v>#REF!</v>
      </c>
      <c r="Z3964" t="e">
        <f>IF(#REF!&lt;=80,"Low Calls",
IF(#REF!&lt;=120,"Medium Calls","High Calls"))</f>
        <v>#REF!</v>
      </c>
      <c r="AA3964" t="e">
        <f>IF(#REF!&lt;=15,"Low Charges",
IF(#REF!&lt;=20,"Medium Charges","High Charges"))</f>
        <v>#REF!</v>
      </c>
      <c r="AB3964" t="e">
        <f>IF(AND(#REF!&gt;180, #REF!&gt;200), "Heavy Doemstic User", IF(#REF!&gt;10, "Interntional User", IF(AND(#REF!&lt;180, #REF!&lt;200,#REF!&lt;200), "Light User", "Balanced User")))</f>
        <v>#REF!</v>
      </c>
      <c r="AC3964" t="e">
        <f>IF(#REF! = 0, "No Usage", IF(#REF! &lt;= 20, "Low Usage", IF(#REF! &lt;= 40, "Medium Usgae", "High Usage")))</f>
        <v>#REF!</v>
      </c>
      <c r="AD3964" t="e">
        <f>IF(#REF!&lt;=150,"Low Usage", IF(#REF!&lt;=200,"Medium Usage", IF(#REF!&lt;=250,"High Usage","Very High Usage")))</f>
        <v>#REF!</v>
      </c>
      <c r="AE3964" t="e">
        <f>IF(#REF!&lt;=5,"Low Calls", IF(#REF!&lt;=10, "Medium Calls", "High Calls"))</f>
        <v>#REF!</v>
      </c>
      <c r="AF3964" t="e">
        <f xml:space="preserve">
IF(#REF!&gt;=4,4,0)+
IF(#REF!="yes",3,0)+
IF(#REF!="High Charges",3,0)+
IF(#REF!&gt;250,4,0)+
IF(#REF!="no",1,0)+
IF(#REF!="Heavy Domestic User",2,0)</f>
        <v>#REF!</v>
      </c>
      <c r="AG3964" t="e">
        <f>IF(#REF!&gt;=10,"High Risk", IF(#REF!&gt;=5,"Medium Risk","Low Risk"))</f>
        <v>#REF!</v>
      </c>
      <c r="AH3964" t="e">
        <f>#REF! + #REF! + #REF! + #REF!</f>
        <v>#REF!</v>
      </c>
    </row>
    <row r="3965" spans="1:34" x14ac:dyDescent="0.35">
      <c r="A3965">
        <v>3964</v>
      </c>
      <c r="B3965" t="s">
        <v>30</v>
      </c>
      <c r="C3965">
        <v>51</v>
      </c>
      <c r="D3965" t="s">
        <v>28</v>
      </c>
      <c r="E3965" t="s">
        <v>22</v>
      </c>
      <c r="F3965" t="s">
        <v>23</v>
      </c>
      <c r="G3965">
        <v>24</v>
      </c>
      <c r="H3965">
        <v>179.2</v>
      </c>
      <c r="I3965">
        <v>76</v>
      </c>
      <c r="J3965">
        <v>30.46</v>
      </c>
      <c r="K3965">
        <v>253.3</v>
      </c>
      <c r="L3965">
        <v>64</v>
      </c>
      <c r="M3965">
        <v>21.53</v>
      </c>
      <c r="N3965">
        <v>196.5</v>
      </c>
      <c r="O3965">
        <v>108</v>
      </c>
      <c r="P3965">
        <v>8.84</v>
      </c>
      <c r="Q3965">
        <v>15.1</v>
      </c>
      <c r="R3965">
        <v>3</v>
      </c>
      <c r="S3965">
        <v>4.08</v>
      </c>
      <c r="T3965">
        <v>1</v>
      </c>
      <c r="U3965" t="s">
        <v>22</v>
      </c>
      <c r="V3965" t="e">
        <f>IF(#REF! = "yes", 1, 0)</f>
        <v>#REF!</v>
      </c>
      <c r="W3965" t="e">
        <f>IF(#REF! &lt;= 1, "0-1 Calls", IF(#REF! &lt;= 3, "2-3 Calls", IF(#REF! &lt;=5, "4-5 Calls", "6+ Calls")))</f>
        <v>#REF!</v>
      </c>
      <c r="X3965" t="e">
        <f>IF(#REF! &lt;= 50, "0-50", IF(#REF! &lt;=100, "51-100", IF(#REF! &lt;= 150, "101-150", "151+")))</f>
        <v>#REF!</v>
      </c>
      <c r="Y3965" t="e">
        <f>IF(#REF! &lt;= 3, "Low Charges", "High Charges")</f>
        <v>#REF!</v>
      </c>
      <c r="Z3965" t="e">
        <f>IF(#REF!&lt;=80,"Low Calls",
IF(#REF!&lt;=120,"Medium Calls","High Calls"))</f>
        <v>#REF!</v>
      </c>
      <c r="AA3965" t="e">
        <f>IF(#REF!&lt;=15,"Low Charges",
IF(#REF!&lt;=20,"Medium Charges","High Charges"))</f>
        <v>#REF!</v>
      </c>
      <c r="AB3965" t="e">
        <f>IF(AND(#REF!&gt;180, #REF!&gt;200), "Heavy Doemstic User", IF(#REF!&gt;10, "Interntional User", IF(AND(#REF!&lt;180, #REF!&lt;200,#REF!&lt;200), "Light User", "Balanced User")))</f>
        <v>#REF!</v>
      </c>
      <c r="AC3965" t="e">
        <f>IF(#REF! = 0, "No Usage", IF(#REF! &lt;= 20, "Low Usage", IF(#REF! &lt;= 40, "Medium Usgae", "High Usage")))</f>
        <v>#REF!</v>
      </c>
      <c r="AD3965" t="e">
        <f>IF(#REF!&lt;=150,"Low Usage", IF(#REF!&lt;=200,"Medium Usage", IF(#REF!&lt;=250,"High Usage","Very High Usage")))</f>
        <v>#REF!</v>
      </c>
      <c r="AE3965" t="e">
        <f>IF(#REF!&lt;=5,"Low Calls", IF(#REF!&lt;=10, "Medium Calls", "High Calls"))</f>
        <v>#REF!</v>
      </c>
      <c r="AF3965" t="e">
        <f xml:space="preserve">
IF(#REF!&gt;=4,4,0)+
IF(#REF!="yes",3,0)+
IF(#REF!="High Charges",3,0)+
IF(#REF!&gt;250,4,0)+
IF(#REF!="no",1,0)+
IF(#REF!="Heavy Domestic User",2,0)</f>
        <v>#REF!</v>
      </c>
      <c r="AG3965" t="e">
        <f>IF(#REF!&gt;=10,"High Risk", IF(#REF!&gt;=5,"Medium Risk","Low Risk"))</f>
        <v>#REF!</v>
      </c>
      <c r="AH3965" t="e">
        <f>#REF! + #REF! + #REF! + #REF!</f>
        <v>#REF!</v>
      </c>
    </row>
    <row r="3966" spans="1:34" x14ac:dyDescent="0.35">
      <c r="A3966">
        <v>3965</v>
      </c>
      <c r="B3966" t="s">
        <v>59</v>
      </c>
      <c r="C3966">
        <v>64</v>
      </c>
      <c r="D3966" t="s">
        <v>28</v>
      </c>
      <c r="E3966" t="s">
        <v>22</v>
      </c>
      <c r="F3966" t="s">
        <v>22</v>
      </c>
      <c r="G3966">
        <v>0</v>
      </c>
      <c r="H3966">
        <v>50.6</v>
      </c>
      <c r="I3966">
        <v>91</v>
      </c>
      <c r="J3966">
        <v>8.6</v>
      </c>
      <c r="K3966">
        <v>308.89999999999998</v>
      </c>
      <c r="L3966">
        <v>78</v>
      </c>
      <c r="M3966">
        <v>26.26</v>
      </c>
      <c r="N3966">
        <v>255.4</v>
      </c>
      <c r="O3966">
        <v>114</v>
      </c>
      <c r="P3966">
        <v>11.49</v>
      </c>
      <c r="Q3966">
        <v>13.7</v>
      </c>
      <c r="R3966">
        <v>5</v>
      </c>
      <c r="S3966">
        <v>3.7</v>
      </c>
      <c r="T3966">
        <v>2</v>
      </c>
      <c r="U3966" t="s">
        <v>22</v>
      </c>
      <c r="V3966" t="e">
        <f>IF(#REF! = "yes", 1, 0)</f>
        <v>#REF!</v>
      </c>
      <c r="W3966" t="e">
        <f>IF(#REF! &lt;= 1, "0-1 Calls", IF(#REF! &lt;= 3, "2-3 Calls", IF(#REF! &lt;=5, "4-5 Calls", "6+ Calls")))</f>
        <v>#REF!</v>
      </c>
      <c r="X3966" t="e">
        <f>IF(#REF! &lt;= 50, "0-50", IF(#REF! &lt;=100, "51-100", IF(#REF! &lt;= 150, "101-150", "151+")))</f>
        <v>#REF!</v>
      </c>
      <c r="Y3966" t="e">
        <f>IF(#REF! &lt;= 3, "Low Charges", "High Charges")</f>
        <v>#REF!</v>
      </c>
      <c r="Z3966" t="e">
        <f>IF(#REF!&lt;=80,"Low Calls",
IF(#REF!&lt;=120,"Medium Calls","High Calls"))</f>
        <v>#REF!</v>
      </c>
      <c r="AA3966" t="e">
        <f>IF(#REF!&lt;=15,"Low Charges",
IF(#REF!&lt;=20,"Medium Charges","High Charges"))</f>
        <v>#REF!</v>
      </c>
      <c r="AB3966" t="e">
        <f>IF(AND(#REF!&gt;180, #REF!&gt;200), "Heavy Doemstic User", IF(#REF!&gt;10, "Interntional User", IF(AND(#REF!&lt;180, #REF!&lt;200,#REF!&lt;200), "Light User", "Balanced User")))</f>
        <v>#REF!</v>
      </c>
      <c r="AC3966" t="e">
        <f>IF(#REF! = 0, "No Usage", IF(#REF! &lt;= 20, "Low Usage", IF(#REF! &lt;= 40, "Medium Usgae", "High Usage")))</f>
        <v>#REF!</v>
      </c>
      <c r="AD3966" t="e">
        <f>IF(#REF!&lt;=150,"Low Usage", IF(#REF!&lt;=200,"Medium Usage", IF(#REF!&lt;=250,"High Usage","Very High Usage")))</f>
        <v>#REF!</v>
      </c>
      <c r="AE3966" t="e">
        <f>IF(#REF!&lt;=5,"Low Calls", IF(#REF!&lt;=10, "Medium Calls", "High Calls"))</f>
        <v>#REF!</v>
      </c>
      <c r="AF3966" t="e">
        <f xml:space="preserve">
IF(#REF!&gt;=4,4,0)+
IF(#REF!="yes",3,0)+
IF(#REF!="High Charges",3,0)+
IF(#REF!&gt;250,4,0)+
IF(#REF!="no",1,0)+
IF(#REF!="Heavy Domestic User",2,0)</f>
        <v>#REF!</v>
      </c>
      <c r="AG3966" t="e">
        <f>IF(#REF!&gt;=10,"High Risk", IF(#REF!&gt;=5,"Medium Risk","Low Risk"))</f>
        <v>#REF!</v>
      </c>
      <c r="AH3966" t="e">
        <f>#REF! + #REF! + #REF! + #REF!</f>
        <v>#REF!</v>
      </c>
    </row>
    <row r="3967" spans="1:34" x14ac:dyDescent="0.35">
      <c r="A3967">
        <v>3966</v>
      </c>
      <c r="B3967" t="s">
        <v>49</v>
      </c>
      <c r="C3967">
        <v>117</v>
      </c>
      <c r="D3967" t="s">
        <v>21</v>
      </c>
      <c r="E3967" t="s">
        <v>22</v>
      </c>
      <c r="F3967" t="s">
        <v>22</v>
      </c>
      <c r="G3967">
        <v>0</v>
      </c>
      <c r="H3967">
        <v>223.7</v>
      </c>
      <c r="I3967">
        <v>73</v>
      </c>
      <c r="J3967">
        <v>38.03</v>
      </c>
      <c r="K3967">
        <v>205.2</v>
      </c>
      <c r="L3967">
        <v>69</v>
      </c>
      <c r="M3967">
        <v>17.440000000000001</v>
      </c>
      <c r="N3967">
        <v>282.89999999999998</v>
      </c>
      <c r="O3967">
        <v>51</v>
      </c>
      <c r="P3967">
        <v>12.73</v>
      </c>
      <c r="Q3967">
        <v>11.1</v>
      </c>
      <c r="R3967">
        <v>1</v>
      </c>
      <c r="S3967">
        <v>3</v>
      </c>
      <c r="T3967">
        <v>2</v>
      </c>
      <c r="U3967" t="s">
        <v>22</v>
      </c>
      <c r="V3967" t="e">
        <f>IF(#REF! = "yes", 1, 0)</f>
        <v>#REF!</v>
      </c>
      <c r="W3967" t="e">
        <f>IF(#REF! &lt;= 1, "0-1 Calls", IF(#REF! &lt;= 3, "2-3 Calls", IF(#REF! &lt;=5, "4-5 Calls", "6+ Calls")))</f>
        <v>#REF!</v>
      </c>
      <c r="X3967" t="e">
        <f>IF(#REF! &lt;= 50, "0-50", IF(#REF! &lt;=100, "51-100", IF(#REF! &lt;= 150, "101-150", "151+")))</f>
        <v>#REF!</v>
      </c>
      <c r="Y3967" t="e">
        <f>IF(#REF! &lt;= 3, "Low Charges", "High Charges")</f>
        <v>#REF!</v>
      </c>
      <c r="Z3967" t="e">
        <f>IF(#REF!&lt;=80,"Low Calls",
IF(#REF!&lt;=120,"Medium Calls","High Calls"))</f>
        <v>#REF!</v>
      </c>
      <c r="AA3967" t="e">
        <f>IF(#REF!&lt;=15,"Low Charges",
IF(#REF!&lt;=20,"Medium Charges","High Charges"))</f>
        <v>#REF!</v>
      </c>
      <c r="AB3967" t="e">
        <f>IF(AND(#REF!&gt;180, #REF!&gt;200), "Heavy Doemstic User", IF(#REF!&gt;10, "Interntional User", IF(AND(#REF!&lt;180, #REF!&lt;200,#REF!&lt;200), "Light User", "Balanced User")))</f>
        <v>#REF!</v>
      </c>
      <c r="AC3967" t="e">
        <f>IF(#REF! = 0, "No Usage", IF(#REF! &lt;= 20, "Low Usage", IF(#REF! &lt;= 40, "Medium Usgae", "High Usage")))</f>
        <v>#REF!</v>
      </c>
      <c r="AD3967" t="e">
        <f>IF(#REF!&lt;=150,"Low Usage", IF(#REF!&lt;=200,"Medium Usage", IF(#REF!&lt;=250,"High Usage","Very High Usage")))</f>
        <v>#REF!</v>
      </c>
      <c r="AE3967" t="e">
        <f>IF(#REF!&lt;=5,"Low Calls", IF(#REF!&lt;=10, "Medium Calls", "High Calls"))</f>
        <v>#REF!</v>
      </c>
      <c r="AF3967" t="e">
        <f xml:space="preserve">
IF(#REF!&gt;=4,4,0)+
IF(#REF!="yes",3,0)+
IF(#REF!="High Charges",3,0)+
IF(#REF!&gt;250,4,0)+
IF(#REF!="no",1,0)+
IF(#REF!="Heavy Domestic User",2,0)</f>
        <v>#REF!</v>
      </c>
      <c r="AG3967" t="e">
        <f>IF(#REF!&gt;=10,"High Risk", IF(#REF!&gt;=5,"Medium Risk","Low Risk"))</f>
        <v>#REF!</v>
      </c>
      <c r="AH3967" t="e">
        <f>#REF! + #REF! + #REF! + #REF!</f>
        <v>#REF!</v>
      </c>
    </row>
    <row r="3968" spans="1:34" x14ac:dyDescent="0.35">
      <c r="A3968">
        <v>3967</v>
      </c>
      <c r="B3968" t="s">
        <v>65</v>
      </c>
      <c r="C3968">
        <v>38</v>
      </c>
      <c r="D3968" t="s">
        <v>21</v>
      </c>
      <c r="E3968" t="s">
        <v>22</v>
      </c>
      <c r="F3968" t="s">
        <v>22</v>
      </c>
      <c r="G3968">
        <v>0</v>
      </c>
      <c r="H3968">
        <v>220.5</v>
      </c>
      <c r="I3968">
        <v>110</v>
      </c>
      <c r="J3968">
        <v>37.49</v>
      </c>
      <c r="K3968">
        <v>180.8</v>
      </c>
      <c r="L3968">
        <v>114</v>
      </c>
      <c r="M3968">
        <v>15.37</v>
      </c>
      <c r="N3968">
        <v>156.5</v>
      </c>
      <c r="O3968">
        <v>102</v>
      </c>
      <c r="P3968">
        <v>7.04</v>
      </c>
      <c r="Q3968">
        <v>5.6</v>
      </c>
      <c r="R3968">
        <v>7</v>
      </c>
      <c r="S3968">
        <v>1.51</v>
      </c>
      <c r="T3968">
        <v>1</v>
      </c>
      <c r="U3968" t="s">
        <v>22</v>
      </c>
      <c r="V3968" t="e">
        <f>IF(#REF! = "yes", 1, 0)</f>
        <v>#REF!</v>
      </c>
      <c r="W3968" t="e">
        <f>IF(#REF! &lt;= 1, "0-1 Calls", IF(#REF! &lt;= 3, "2-3 Calls", IF(#REF! &lt;=5, "4-5 Calls", "6+ Calls")))</f>
        <v>#REF!</v>
      </c>
      <c r="X3968" t="e">
        <f>IF(#REF! &lt;= 50, "0-50", IF(#REF! &lt;=100, "51-100", IF(#REF! &lt;= 150, "101-150", "151+")))</f>
        <v>#REF!</v>
      </c>
      <c r="Y3968" t="e">
        <f>IF(#REF! &lt;= 3, "Low Charges", "High Charges")</f>
        <v>#REF!</v>
      </c>
      <c r="Z3968" t="e">
        <f>IF(#REF!&lt;=80,"Low Calls",
IF(#REF!&lt;=120,"Medium Calls","High Calls"))</f>
        <v>#REF!</v>
      </c>
      <c r="AA3968" t="e">
        <f>IF(#REF!&lt;=15,"Low Charges",
IF(#REF!&lt;=20,"Medium Charges","High Charges"))</f>
        <v>#REF!</v>
      </c>
      <c r="AB3968" t="e">
        <f>IF(AND(#REF!&gt;180, #REF!&gt;200), "Heavy Doemstic User", IF(#REF!&gt;10, "Interntional User", IF(AND(#REF!&lt;180, #REF!&lt;200,#REF!&lt;200), "Light User", "Balanced User")))</f>
        <v>#REF!</v>
      </c>
      <c r="AC3968" t="e">
        <f>IF(#REF! = 0, "No Usage", IF(#REF! &lt;= 20, "Low Usage", IF(#REF! &lt;= 40, "Medium Usgae", "High Usage")))</f>
        <v>#REF!</v>
      </c>
      <c r="AD3968" t="e">
        <f>IF(#REF!&lt;=150,"Low Usage", IF(#REF!&lt;=200,"Medium Usage", IF(#REF!&lt;=250,"High Usage","Very High Usage")))</f>
        <v>#REF!</v>
      </c>
      <c r="AE3968" t="e">
        <f>IF(#REF!&lt;=5,"Low Calls", IF(#REF!&lt;=10, "Medium Calls", "High Calls"))</f>
        <v>#REF!</v>
      </c>
      <c r="AF3968" t="e">
        <f xml:space="preserve">
IF(#REF!&gt;=4,4,0)+
IF(#REF!="yes",3,0)+
IF(#REF!="High Charges",3,0)+
IF(#REF!&gt;250,4,0)+
IF(#REF!="no",1,0)+
IF(#REF!="Heavy Domestic User",2,0)</f>
        <v>#REF!</v>
      </c>
      <c r="AG3968" t="e">
        <f>IF(#REF!&gt;=10,"High Risk", IF(#REF!&gt;=5,"Medium Risk","Low Risk"))</f>
        <v>#REF!</v>
      </c>
      <c r="AH3968" t="e">
        <f>#REF! + #REF! + #REF! + #REF!</f>
        <v>#REF!</v>
      </c>
    </row>
    <row r="3969" spans="1:34" x14ac:dyDescent="0.35">
      <c r="A3969">
        <v>3968</v>
      </c>
      <c r="B3969" t="s">
        <v>63</v>
      </c>
      <c r="C3969">
        <v>112</v>
      </c>
      <c r="D3969" t="s">
        <v>21</v>
      </c>
      <c r="E3969" t="s">
        <v>23</v>
      </c>
      <c r="F3969" t="s">
        <v>22</v>
      </c>
      <c r="G3969">
        <v>0</v>
      </c>
      <c r="H3969">
        <v>217.6</v>
      </c>
      <c r="I3969">
        <v>110</v>
      </c>
      <c r="J3969">
        <v>36.99</v>
      </c>
      <c r="K3969">
        <v>195.7</v>
      </c>
      <c r="L3969">
        <v>105</v>
      </c>
      <c r="M3969">
        <v>16.63</v>
      </c>
      <c r="N3969">
        <v>178.8</v>
      </c>
      <c r="O3969">
        <v>106</v>
      </c>
      <c r="P3969">
        <v>8.0500000000000007</v>
      </c>
      <c r="Q3969">
        <v>10.4</v>
      </c>
      <c r="R3969">
        <v>8</v>
      </c>
      <c r="S3969">
        <v>2.81</v>
      </c>
      <c r="T3969">
        <v>2</v>
      </c>
      <c r="U3969" t="s">
        <v>22</v>
      </c>
      <c r="V3969" t="e">
        <f>IF(#REF! = "yes", 1, 0)</f>
        <v>#REF!</v>
      </c>
      <c r="W3969" t="e">
        <f>IF(#REF! &lt;= 1, "0-1 Calls", IF(#REF! &lt;= 3, "2-3 Calls", IF(#REF! &lt;=5, "4-5 Calls", "6+ Calls")))</f>
        <v>#REF!</v>
      </c>
      <c r="X3969" t="e">
        <f>IF(#REF! &lt;= 50, "0-50", IF(#REF! &lt;=100, "51-100", IF(#REF! &lt;= 150, "101-150", "151+")))</f>
        <v>#REF!</v>
      </c>
      <c r="Y3969" t="e">
        <f>IF(#REF! &lt;= 3, "Low Charges", "High Charges")</f>
        <v>#REF!</v>
      </c>
      <c r="Z3969" t="e">
        <f>IF(#REF!&lt;=80,"Low Calls",
IF(#REF!&lt;=120,"Medium Calls","High Calls"))</f>
        <v>#REF!</v>
      </c>
      <c r="AA3969" t="e">
        <f>IF(#REF!&lt;=15,"Low Charges",
IF(#REF!&lt;=20,"Medium Charges","High Charges"))</f>
        <v>#REF!</v>
      </c>
      <c r="AB3969" t="e">
        <f>IF(AND(#REF!&gt;180, #REF!&gt;200), "Heavy Doemstic User", IF(#REF!&gt;10, "Interntional User", IF(AND(#REF!&lt;180, #REF!&lt;200,#REF!&lt;200), "Light User", "Balanced User")))</f>
        <v>#REF!</v>
      </c>
      <c r="AC3969" t="e">
        <f>IF(#REF! = 0, "No Usage", IF(#REF! &lt;= 20, "Low Usage", IF(#REF! &lt;= 40, "Medium Usgae", "High Usage")))</f>
        <v>#REF!</v>
      </c>
      <c r="AD3969" t="e">
        <f>IF(#REF!&lt;=150,"Low Usage", IF(#REF!&lt;=200,"Medium Usage", IF(#REF!&lt;=250,"High Usage","Very High Usage")))</f>
        <v>#REF!</v>
      </c>
      <c r="AE3969" t="e">
        <f>IF(#REF!&lt;=5,"Low Calls", IF(#REF!&lt;=10, "Medium Calls", "High Calls"))</f>
        <v>#REF!</v>
      </c>
      <c r="AF3969" t="e">
        <f xml:space="preserve">
IF(#REF!&gt;=4,4,0)+
IF(#REF!="yes",3,0)+
IF(#REF!="High Charges",3,0)+
IF(#REF!&gt;250,4,0)+
IF(#REF!="no",1,0)+
IF(#REF!="Heavy Domestic User",2,0)</f>
        <v>#REF!</v>
      </c>
      <c r="AG3969" t="e">
        <f>IF(#REF!&gt;=10,"High Risk", IF(#REF!&gt;=5,"Medium Risk","Low Risk"))</f>
        <v>#REF!</v>
      </c>
      <c r="AH3969" t="e">
        <f>#REF! + #REF! + #REF! + #REF!</f>
        <v>#REF!</v>
      </c>
    </row>
    <row r="3970" spans="1:34" x14ac:dyDescent="0.35">
      <c r="A3970">
        <v>3969</v>
      </c>
      <c r="B3970" t="s">
        <v>72</v>
      </c>
      <c r="C3970">
        <v>48</v>
      </c>
      <c r="D3970" t="s">
        <v>21</v>
      </c>
      <c r="E3970" t="s">
        <v>22</v>
      </c>
      <c r="F3970" t="s">
        <v>23</v>
      </c>
      <c r="G3970">
        <v>37</v>
      </c>
      <c r="H3970">
        <v>138.30000000000001</v>
      </c>
      <c r="I3970">
        <v>81</v>
      </c>
      <c r="J3970">
        <v>23.51</v>
      </c>
      <c r="K3970">
        <v>187.6</v>
      </c>
      <c r="L3970">
        <v>74</v>
      </c>
      <c r="M3970">
        <v>15.95</v>
      </c>
      <c r="N3970">
        <v>158</v>
      </c>
      <c r="O3970">
        <v>113</v>
      </c>
      <c r="P3970">
        <v>7.11</v>
      </c>
      <c r="Q3970">
        <v>11.6</v>
      </c>
      <c r="R3970">
        <v>1</v>
      </c>
      <c r="S3970">
        <v>3.13</v>
      </c>
      <c r="T3970">
        <v>2</v>
      </c>
      <c r="U3970" t="s">
        <v>22</v>
      </c>
      <c r="V3970" t="e">
        <f>IF(#REF! = "yes", 1, 0)</f>
        <v>#REF!</v>
      </c>
      <c r="W3970" t="e">
        <f>IF(#REF! &lt;= 1, "0-1 Calls", IF(#REF! &lt;= 3, "2-3 Calls", IF(#REF! &lt;=5, "4-5 Calls", "6+ Calls")))</f>
        <v>#REF!</v>
      </c>
      <c r="X3970" t="e">
        <f>IF(#REF! &lt;= 50, "0-50", IF(#REF! &lt;=100, "51-100", IF(#REF! &lt;= 150, "101-150", "151+")))</f>
        <v>#REF!</v>
      </c>
      <c r="Y3970" t="e">
        <f>IF(#REF! &lt;= 3, "Low Charges", "High Charges")</f>
        <v>#REF!</v>
      </c>
      <c r="Z3970" t="e">
        <f>IF(#REF!&lt;=80,"Low Calls",
IF(#REF!&lt;=120,"Medium Calls","High Calls"))</f>
        <v>#REF!</v>
      </c>
      <c r="AA3970" t="e">
        <f>IF(#REF!&lt;=15,"Low Charges",
IF(#REF!&lt;=20,"Medium Charges","High Charges"))</f>
        <v>#REF!</v>
      </c>
      <c r="AB3970" t="e">
        <f>IF(AND(#REF!&gt;180, #REF!&gt;200), "Heavy Doemstic User", IF(#REF!&gt;10, "Interntional User", IF(AND(#REF!&lt;180, #REF!&lt;200,#REF!&lt;200), "Light User", "Balanced User")))</f>
        <v>#REF!</v>
      </c>
      <c r="AC3970" t="e">
        <f>IF(#REF! = 0, "No Usage", IF(#REF! &lt;= 20, "Low Usage", IF(#REF! &lt;= 40, "Medium Usgae", "High Usage")))</f>
        <v>#REF!</v>
      </c>
      <c r="AD3970" t="e">
        <f>IF(#REF!&lt;=150,"Low Usage", IF(#REF!&lt;=200,"Medium Usage", IF(#REF!&lt;=250,"High Usage","Very High Usage")))</f>
        <v>#REF!</v>
      </c>
      <c r="AE3970" t="e">
        <f>IF(#REF!&lt;=5,"Low Calls", IF(#REF!&lt;=10, "Medium Calls", "High Calls"))</f>
        <v>#REF!</v>
      </c>
      <c r="AF3970" t="e">
        <f xml:space="preserve">
IF(#REF!&gt;=4,4,0)+
IF(#REF!="yes",3,0)+
IF(#REF!="High Charges",3,0)+
IF(#REF!&gt;250,4,0)+
IF(#REF!="no",1,0)+
IF(#REF!="Heavy Domestic User",2,0)</f>
        <v>#REF!</v>
      </c>
      <c r="AG3970" t="e">
        <f>IF(#REF!&gt;=10,"High Risk", IF(#REF!&gt;=5,"Medium Risk","Low Risk"))</f>
        <v>#REF!</v>
      </c>
      <c r="AH3970" t="e">
        <f>#REF! + #REF! + #REF! + #REF!</f>
        <v>#REF!</v>
      </c>
    </row>
    <row r="3971" spans="1:34" x14ac:dyDescent="0.35">
      <c r="A3971">
        <v>3970</v>
      </c>
      <c r="B3971" t="s">
        <v>44</v>
      </c>
      <c r="C3971">
        <v>105</v>
      </c>
      <c r="D3971" t="s">
        <v>25</v>
      </c>
      <c r="E3971" t="s">
        <v>22</v>
      </c>
      <c r="F3971" t="s">
        <v>22</v>
      </c>
      <c r="G3971">
        <v>0</v>
      </c>
      <c r="H3971">
        <v>160.30000000000001</v>
      </c>
      <c r="I3971">
        <v>86</v>
      </c>
      <c r="J3971">
        <v>27.25</v>
      </c>
      <c r="K3971">
        <v>195.2</v>
      </c>
      <c r="L3971">
        <v>80</v>
      </c>
      <c r="M3971">
        <v>16.59</v>
      </c>
      <c r="N3971">
        <v>163.30000000000001</v>
      </c>
      <c r="O3971">
        <v>109</v>
      </c>
      <c r="P3971">
        <v>7.35</v>
      </c>
      <c r="Q3971">
        <v>12.7</v>
      </c>
      <c r="R3971">
        <v>3</v>
      </c>
      <c r="S3971">
        <v>3.43</v>
      </c>
      <c r="T3971">
        <v>2</v>
      </c>
      <c r="U3971" t="s">
        <v>22</v>
      </c>
      <c r="V3971" t="e">
        <f>IF(#REF! = "yes", 1, 0)</f>
        <v>#REF!</v>
      </c>
      <c r="W3971" t="e">
        <f>IF(#REF! &lt;= 1, "0-1 Calls", IF(#REF! &lt;= 3, "2-3 Calls", IF(#REF! &lt;=5, "4-5 Calls", "6+ Calls")))</f>
        <v>#REF!</v>
      </c>
      <c r="X3971" t="e">
        <f>IF(#REF! &lt;= 50, "0-50", IF(#REF! &lt;=100, "51-100", IF(#REF! &lt;= 150, "101-150", "151+")))</f>
        <v>#REF!</v>
      </c>
      <c r="Y3971" t="e">
        <f>IF(#REF! &lt;= 3, "Low Charges", "High Charges")</f>
        <v>#REF!</v>
      </c>
      <c r="Z3971" t="e">
        <f>IF(#REF!&lt;=80,"Low Calls",
IF(#REF!&lt;=120,"Medium Calls","High Calls"))</f>
        <v>#REF!</v>
      </c>
      <c r="AA3971" t="e">
        <f>IF(#REF!&lt;=15,"Low Charges",
IF(#REF!&lt;=20,"Medium Charges","High Charges"))</f>
        <v>#REF!</v>
      </c>
      <c r="AB3971" t="e">
        <f>IF(AND(#REF!&gt;180, #REF!&gt;200), "Heavy Doemstic User", IF(#REF!&gt;10, "Interntional User", IF(AND(#REF!&lt;180, #REF!&lt;200,#REF!&lt;200), "Light User", "Balanced User")))</f>
        <v>#REF!</v>
      </c>
      <c r="AC3971" t="e">
        <f>IF(#REF! = 0, "No Usage", IF(#REF! &lt;= 20, "Low Usage", IF(#REF! &lt;= 40, "Medium Usgae", "High Usage")))</f>
        <v>#REF!</v>
      </c>
      <c r="AD3971" t="e">
        <f>IF(#REF!&lt;=150,"Low Usage", IF(#REF!&lt;=200,"Medium Usage", IF(#REF!&lt;=250,"High Usage","Very High Usage")))</f>
        <v>#REF!</v>
      </c>
      <c r="AE3971" t="e">
        <f>IF(#REF!&lt;=5,"Low Calls", IF(#REF!&lt;=10, "Medium Calls", "High Calls"))</f>
        <v>#REF!</v>
      </c>
      <c r="AF3971" t="e">
        <f xml:space="preserve">
IF(#REF!&gt;=4,4,0)+
IF(#REF!="yes",3,0)+
IF(#REF!="High Charges",3,0)+
IF(#REF!&gt;250,4,0)+
IF(#REF!="no",1,0)+
IF(#REF!="Heavy Domestic User",2,0)</f>
        <v>#REF!</v>
      </c>
      <c r="AG3971" t="e">
        <f>IF(#REF!&gt;=10,"High Risk", IF(#REF!&gt;=5,"Medium Risk","Low Risk"))</f>
        <v>#REF!</v>
      </c>
      <c r="AH3971" t="e">
        <f>#REF! + #REF! + #REF! + #REF!</f>
        <v>#REF!</v>
      </c>
    </row>
    <row r="3972" spans="1:34" x14ac:dyDescent="0.35">
      <c r="A3972">
        <v>3971</v>
      </c>
      <c r="B3972" t="s">
        <v>57</v>
      </c>
      <c r="C3972">
        <v>140</v>
      </c>
      <c r="D3972" t="s">
        <v>21</v>
      </c>
      <c r="E3972" t="s">
        <v>22</v>
      </c>
      <c r="F3972" t="s">
        <v>22</v>
      </c>
      <c r="G3972">
        <v>0</v>
      </c>
      <c r="H3972">
        <v>191.8</v>
      </c>
      <c r="I3972">
        <v>67</v>
      </c>
      <c r="J3972">
        <v>32.61</v>
      </c>
      <c r="K3972">
        <v>261.10000000000002</v>
      </c>
      <c r="L3972">
        <v>52</v>
      </c>
      <c r="M3972">
        <v>22.19</v>
      </c>
      <c r="N3972">
        <v>252.7</v>
      </c>
      <c r="O3972">
        <v>112</v>
      </c>
      <c r="P3972">
        <v>11.37</v>
      </c>
      <c r="Q3972">
        <v>10.8</v>
      </c>
      <c r="R3972">
        <v>3</v>
      </c>
      <c r="S3972">
        <v>2.92</v>
      </c>
      <c r="T3972">
        <v>6</v>
      </c>
      <c r="U3972" t="s">
        <v>22</v>
      </c>
      <c r="V3972" t="e">
        <f>IF(#REF! = "yes", 1, 0)</f>
        <v>#REF!</v>
      </c>
      <c r="W3972" t="e">
        <f>IF(#REF! &lt;= 1, "0-1 Calls", IF(#REF! &lt;= 3, "2-3 Calls", IF(#REF! &lt;=5, "4-5 Calls", "6+ Calls")))</f>
        <v>#REF!</v>
      </c>
      <c r="X3972" t="e">
        <f>IF(#REF! &lt;= 50, "0-50", IF(#REF! &lt;=100, "51-100", IF(#REF! &lt;= 150, "101-150", "151+")))</f>
        <v>#REF!</v>
      </c>
      <c r="Y3972" t="e">
        <f>IF(#REF! &lt;= 3, "Low Charges", "High Charges")</f>
        <v>#REF!</v>
      </c>
      <c r="Z3972" t="e">
        <f>IF(#REF!&lt;=80,"Low Calls",
IF(#REF!&lt;=120,"Medium Calls","High Calls"))</f>
        <v>#REF!</v>
      </c>
      <c r="AA3972" t="e">
        <f>IF(#REF!&lt;=15,"Low Charges",
IF(#REF!&lt;=20,"Medium Charges","High Charges"))</f>
        <v>#REF!</v>
      </c>
      <c r="AB3972" t="e">
        <f>IF(AND(#REF!&gt;180, #REF!&gt;200), "Heavy Doemstic User", IF(#REF!&gt;10, "Interntional User", IF(AND(#REF!&lt;180, #REF!&lt;200,#REF!&lt;200), "Light User", "Balanced User")))</f>
        <v>#REF!</v>
      </c>
      <c r="AC3972" t="e">
        <f>IF(#REF! = 0, "No Usage", IF(#REF! &lt;= 20, "Low Usage", IF(#REF! &lt;= 40, "Medium Usgae", "High Usage")))</f>
        <v>#REF!</v>
      </c>
      <c r="AD3972" t="e">
        <f>IF(#REF!&lt;=150,"Low Usage", IF(#REF!&lt;=200,"Medium Usage", IF(#REF!&lt;=250,"High Usage","Very High Usage")))</f>
        <v>#REF!</v>
      </c>
      <c r="AE3972" t="e">
        <f>IF(#REF!&lt;=5,"Low Calls", IF(#REF!&lt;=10, "Medium Calls", "High Calls"))</f>
        <v>#REF!</v>
      </c>
      <c r="AF3972" t="e">
        <f xml:space="preserve">
IF(#REF!&gt;=4,4,0)+
IF(#REF!="yes",3,0)+
IF(#REF!="High Charges",3,0)+
IF(#REF!&gt;250,4,0)+
IF(#REF!="no",1,0)+
IF(#REF!="Heavy Domestic User",2,0)</f>
        <v>#REF!</v>
      </c>
      <c r="AG3972" t="e">
        <f>IF(#REF!&gt;=10,"High Risk", IF(#REF!&gt;=5,"Medium Risk","Low Risk"))</f>
        <v>#REF!</v>
      </c>
      <c r="AH3972" t="e">
        <f>#REF! + #REF! + #REF! + #REF!</f>
        <v>#REF!</v>
      </c>
    </row>
    <row r="3973" spans="1:34" x14ac:dyDescent="0.35">
      <c r="A3973">
        <v>3972</v>
      </c>
      <c r="B3973" t="s">
        <v>57</v>
      </c>
      <c r="C3973">
        <v>185</v>
      </c>
      <c r="D3973" t="s">
        <v>25</v>
      </c>
      <c r="E3973" t="s">
        <v>22</v>
      </c>
      <c r="F3973" t="s">
        <v>23</v>
      </c>
      <c r="G3973">
        <v>18</v>
      </c>
      <c r="H3973">
        <v>103.9</v>
      </c>
      <c r="I3973">
        <v>112</v>
      </c>
      <c r="J3973">
        <v>17.66</v>
      </c>
      <c r="K3973">
        <v>230</v>
      </c>
      <c r="L3973">
        <v>111</v>
      </c>
      <c r="M3973">
        <v>19.55</v>
      </c>
      <c r="N3973">
        <v>155.69999999999999</v>
      </c>
      <c r="O3973">
        <v>119</v>
      </c>
      <c r="P3973">
        <v>7.01</v>
      </c>
      <c r="Q3973">
        <v>8.5</v>
      </c>
      <c r="R3973">
        <v>5</v>
      </c>
      <c r="S3973">
        <v>2.2999999999999998</v>
      </c>
      <c r="T3973">
        <v>0</v>
      </c>
      <c r="U3973" t="s">
        <v>22</v>
      </c>
      <c r="V3973" t="e">
        <f>IF(#REF! = "yes", 1, 0)</f>
        <v>#REF!</v>
      </c>
      <c r="W3973" t="e">
        <f>IF(#REF! &lt;= 1, "0-1 Calls", IF(#REF! &lt;= 3, "2-3 Calls", IF(#REF! &lt;=5, "4-5 Calls", "6+ Calls")))</f>
        <v>#REF!</v>
      </c>
      <c r="X3973" t="e">
        <f>IF(#REF! &lt;= 50, "0-50", IF(#REF! &lt;=100, "51-100", IF(#REF! &lt;= 150, "101-150", "151+")))</f>
        <v>#REF!</v>
      </c>
      <c r="Y3973" t="e">
        <f>IF(#REF! &lt;= 3, "Low Charges", "High Charges")</f>
        <v>#REF!</v>
      </c>
      <c r="Z3973" t="e">
        <f>IF(#REF!&lt;=80,"Low Calls",
IF(#REF!&lt;=120,"Medium Calls","High Calls"))</f>
        <v>#REF!</v>
      </c>
      <c r="AA3973" t="e">
        <f>IF(#REF!&lt;=15,"Low Charges",
IF(#REF!&lt;=20,"Medium Charges","High Charges"))</f>
        <v>#REF!</v>
      </c>
      <c r="AB3973" t="e">
        <f>IF(AND(#REF!&gt;180, #REF!&gt;200), "Heavy Doemstic User", IF(#REF!&gt;10, "Interntional User", IF(AND(#REF!&lt;180, #REF!&lt;200,#REF!&lt;200), "Light User", "Balanced User")))</f>
        <v>#REF!</v>
      </c>
      <c r="AC3973" t="e">
        <f>IF(#REF! = 0, "No Usage", IF(#REF! &lt;= 20, "Low Usage", IF(#REF! &lt;= 40, "Medium Usgae", "High Usage")))</f>
        <v>#REF!</v>
      </c>
      <c r="AD3973" t="e">
        <f>IF(#REF!&lt;=150,"Low Usage", IF(#REF!&lt;=200,"Medium Usage", IF(#REF!&lt;=250,"High Usage","Very High Usage")))</f>
        <v>#REF!</v>
      </c>
      <c r="AE3973" t="e">
        <f>IF(#REF!&lt;=5,"Low Calls", IF(#REF!&lt;=10, "Medium Calls", "High Calls"))</f>
        <v>#REF!</v>
      </c>
      <c r="AF3973" t="e">
        <f xml:space="preserve">
IF(#REF!&gt;=4,4,0)+
IF(#REF!="yes",3,0)+
IF(#REF!="High Charges",3,0)+
IF(#REF!&gt;250,4,0)+
IF(#REF!="no",1,0)+
IF(#REF!="Heavy Domestic User",2,0)</f>
        <v>#REF!</v>
      </c>
      <c r="AG3973" t="e">
        <f>IF(#REF!&gt;=10,"High Risk", IF(#REF!&gt;=5,"Medium Risk","Low Risk"))</f>
        <v>#REF!</v>
      </c>
      <c r="AH3973" t="e">
        <f>#REF! + #REF! + #REF! + #REF!</f>
        <v>#REF!</v>
      </c>
    </row>
    <row r="3974" spans="1:34" x14ac:dyDescent="0.35">
      <c r="A3974">
        <v>3973</v>
      </c>
      <c r="B3974" t="s">
        <v>48</v>
      </c>
      <c r="C3974">
        <v>99</v>
      </c>
      <c r="D3974" t="s">
        <v>28</v>
      </c>
      <c r="E3974" t="s">
        <v>22</v>
      </c>
      <c r="F3974" t="s">
        <v>22</v>
      </c>
      <c r="G3974">
        <v>0</v>
      </c>
      <c r="H3974">
        <v>214.9</v>
      </c>
      <c r="I3974">
        <v>103</v>
      </c>
      <c r="J3974">
        <v>36.53</v>
      </c>
      <c r="K3974">
        <v>218.4</v>
      </c>
      <c r="L3974">
        <v>121</v>
      </c>
      <c r="M3974">
        <v>18.559999999999999</v>
      </c>
      <c r="N3974">
        <v>272.60000000000002</v>
      </c>
      <c r="O3974">
        <v>110</v>
      </c>
      <c r="P3974">
        <v>12.27</v>
      </c>
      <c r="Q3974">
        <v>9.6</v>
      </c>
      <c r="R3974">
        <v>3</v>
      </c>
      <c r="S3974">
        <v>2.59</v>
      </c>
      <c r="T3974">
        <v>2</v>
      </c>
      <c r="U3974" t="s">
        <v>22</v>
      </c>
      <c r="V3974" t="e">
        <f>IF(#REF! = "yes", 1, 0)</f>
        <v>#REF!</v>
      </c>
      <c r="W3974" t="e">
        <f>IF(#REF! &lt;= 1, "0-1 Calls", IF(#REF! &lt;= 3, "2-3 Calls", IF(#REF! &lt;=5, "4-5 Calls", "6+ Calls")))</f>
        <v>#REF!</v>
      </c>
      <c r="X3974" t="e">
        <f>IF(#REF! &lt;= 50, "0-50", IF(#REF! &lt;=100, "51-100", IF(#REF! &lt;= 150, "101-150", "151+")))</f>
        <v>#REF!</v>
      </c>
      <c r="Y3974" t="e">
        <f>IF(#REF! &lt;= 3, "Low Charges", "High Charges")</f>
        <v>#REF!</v>
      </c>
      <c r="Z3974" t="e">
        <f>IF(#REF!&lt;=80,"Low Calls",
IF(#REF!&lt;=120,"Medium Calls","High Calls"))</f>
        <v>#REF!</v>
      </c>
      <c r="AA3974" t="e">
        <f>IF(#REF!&lt;=15,"Low Charges",
IF(#REF!&lt;=20,"Medium Charges","High Charges"))</f>
        <v>#REF!</v>
      </c>
      <c r="AB3974" t="e">
        <f>IF(AND(#REF!&gt;180, #REF!&gt;200), "Heavy Doemstic User", IF(#REF!&gt;10, "Interntional User", IF(AND(#REF!&lt;180, #REF!&lt;200,#REF!&lt;200), "Light User", "Balanced User")))</f>
        <v>#REF!</v>
      </c>
      <c r="AC3974" t="e">
        <f>IF(#REF! = 0, "No Usage", IF(#REF! &lt;= 20, "Low Usage", IF(#REF! &lt;= 40, "Medium Usgae", "High Usage")))</f>
        <v>#REF!</v>
      </c>
      <c r="AD3974" t="e">
        <f>IF(#REF!&lt;=150,"Low Usage", IF(#REF!&lt;=200,"Medium Usage", IF(#REF!&lt;=250,"High Usage","Very High Usage")))</f>
        <v>#REF!</v>
      </c>
      <c r="AE3974" t="e">
        <f>IF(#REF!&lt;=5,"Low Calls", IF(#REF!&lt;=10, "Medium Calls", "High Calls"))</f>
        <v>#REF!</v>
      </c>
      <c r="AF3974" t="e">
        <f xml:space="preserve">
IF(#REF!&gt;=4,4,0)+
IF(#REF!="yes",3,0)+
IF(#REF!="High Charges",3,0)+
IF(#REF!&gt;250,4,0)+
IF(#REF!="no",1,0)+
IF(#REF!="Heavy Domestic User",2,0)</f>
        <v>#REF!</v>
      </c>
      <c r="AG3974" t="e">
        <f>IF(#REF!&gt;=10,"High Risk", IF(#REF!&gt;=5,"Medium Risk","Low Risk"))</f>
        <v>#REF!</v>
      </c>
      <c r="AH3974" t="e">
        <f>#REF! + #REF! + #REF! + #REF!</f>
        <v>#REF!</v>
      </c>
    </row>
    <row r="3975" spans="1:34" x14ac:dyDescent="0.35">
      <c r="A3975">
        <v>3974</v>
      </c>
      <c r="B3975" t="s">
        <v>32</v>
      </c>
      <c r="C3975">
        <v>52</v>
      </c>
      <c r="D3975" t="s">
        <v>21</v>
      </c>
      <c r="E3975" t="s">
        <v>22</v>
      </c>
      <c r="F3975" t="s">
        <v>22</v>
      </c>
      <c r="G3975">
        <v>0</v>
      </c>
      <c r="H3975">
        <v>165.9</v>
      </c>
      <c r="I3975">
        <v>122</v>
      </c>
      <c r="J3975">
        <v>28.2</v>
      </c>
      <c r="K3975">
        <v>212.2</v>
      </c>
      <c r="L3975">
        <v>107</v>
      </c>
      <c r="M3975">
        <v>18.04</v>
      </c>
      <c r="N3975">
        <v>202.1</v>
      </c>
      <c r="O3975">
        <v>94</v>
      </c>
      <c r="P3975">
        <v>9.09</v>
      </c>
      <c r="Q3975">
        <v>8.3000000000000007</v>
      </c>
      <c r="R3975">
        <v>3</v>
      </c>
      <c r="S3975">
        <v>2.2400000000000002</v>
      </c>
      <c r="T3975">
        <v>1</v>
      </c>
      <c r="U3975" t="s">
        <v>22</v>
      </c>
      <c r="V3975" t="e">
        <f>IF(#REF! = "yes", 1, 0)</f>
        <v>#REF!</v>
      </c>
      <c r="W3975" t="e">
        <f>IF(#REF! &lt;= 1, "0-1 Calls", IF(#REF! &lt;= 3, "2-3 Calls", IF(#REF! &lt;=5, "4-5 Calls", "6+ Calls")))</f>
        <v>#REF!</v>
      </c>
      <c r="X3975" t="e">
        <f>IF(#REF! &lt;= 50, "0-50", IF(#REF! &lt;=100, "51-100", IF(#REF! &lt;= 150, "101-150", "151+")))</f>
        <v>#REF!</v>
      </c>
      <c r="Y3975" t="e">
        <f>IF(#REF! &lt;= 3, "Low Charges", "High Charges")</f>
        <v>#REF!</v>
      </c>
      <c r="Z3975" t="e">
        <f>IF(#REF!&lt;=80,"Low Calls",
IF(#REF!&lt;=120,"Medium Calls","High Calls"))</f>
        <v>#REF!</v>
      </c>
      <c r="AA3975" t="e">
        <f>IF(#REF!&lt;=15,"Low Charges",
IF(#REF!&lt;=20,"Medium Charges","High Charges"))</f>
        <v>#REF!</v>
      </c>
      <c r="AB3975" t="e">
        <f>IF(AND(#REF!&gt;180, #REF!&gt;200), "Heavy Doemstic User", IF(#REF!&gt;10, "Interntional User", IF(AND(#REF!&lt;180, #REF!&lt;200,#REF!&lt;200), "Light User", "Balanced User")))</f>
        <v>#REF!</v>
      </c>
      <c r="AC3975" t="e">
        <f>IF(#REF! = 0, "No Usage", IF(#REF! &lt;= 20, "Low Usage", IF(#REF! &lt;= 40, "Medium Usgae", "High Usage")))</f>
        <v>#REF!</v>
      </c>
      <c r="AD3975" t="e">
        <f>IF(#REF!&lt;=150,"Low Usage", IF(#REF!&lt;=200,"Medium Usage", IF(#REF!&lt;=250,"High Usage","Very High Usage")))</f>
        <v>#REF!</v>
      </c>
      <c r="AE3975" t="e">
        <f>IF(#REF!&lt;=5,"Low Calls", IF(#REF!&lt;=10, "Medium Calls", "High Calls"))</f>
        <v>#REF!</v>
      </c>
      <c r="AF3975" t="e">
        <f xml:space="preserve">
IF(#REF!&gt;=4,4,0)+
IF(#REF!="yes",3,0)+
IF(#REF!="High Charges",3,0)+
IF(#REF!&gt;250,4,0)+
IF(#REF!="no",1,0)+
IF(#REF!="Heavy Domestic User",2,0)</f>
        <v>#REF!</v>
      </c>
      <c r="AG3975" t="e">
        <f>IF(#REF!&gt;=10,"High Risk", IF(#REF!&gt;=5,"Medium Risk","Low Risk"))</f>
        <v>#REF!</v>
      </c>
      <c r="AH3975" t="e">
        <f>#REF! + #REF! + #REF! + #REF!</f>
        <v>#REF!</v>
      </c>
    </row>
    <row r="3976" spans="1:34" x14ac:dyDescent="0.35">
      <c r="A3976">
        <v>3975</v>
      </c>
      <c r="B3976" t="s">
        <v>34</v>
      </c>
      <c r="C3976">
        <v>200</v>
      </c>
      <c r="D3976" t="s">
        <v>21</v>
      </c>
      <c r="E3976" t="s">
        <v>23</v>
      </c>
      <c r="F3976" t="s">
        <v>23</v>
      </c>
      <c r="G3976">
        <v>29</v>
      </c>
      <c r="H3976">
        <v>92.2</v>
      </c>
      <c r="I3976">
        <v>95</v>
      </c>
      <c r="J3976">
        <v>15.67</v>
      </c>
      <c r="K3976">
        <v>200</v>
      </c>
      <c r="L3976">
        <v>101</v>
      </c>
      <c r="M3976">
        <v>17</v>
      </c>
      <c r="N3976">
        <v>119.1</v>
      </c>
      <c r="O3976">
        <v>99</v>
      </c>
      <c r="P3976">
        <v>5.36</v>
      </c>
      <c r="Q3976">
        <v>5.7</v>
      </c>
      <c r="R3976">
        <v>1</v>
      </c>
      <c r="S3976">
        <v>1.54</v>
      </c>
      <c r="T3976">
        <v>1</v>
      </c>
      <c r="U3976" t="s">
        <v>23</v>
      </c>
      <c r="V3976" t="e">
        <f>IF(#REF! = "yes", 1, 0)</f>
        <v>#REF!</v>
      </c>
      <c r="W3976" t="e">
        <f>IF(#REF! &lt;= 1, "0-1 Calls", IF(#REF! &lt;= 3, "2-3 Calls", IF(#REF! &lt;=5, "4-5 Calls", "6+ Calls")))</f>
        <v>#REF!</v>
      </c>
      <c r="X3976" t="e">
        <f>IF(#REF! &lt;= 50, "0-50", IF(#REF! &lt;=100, "51-100", IF(#REF! &lt;= 150, "101-150", "151+")))</f>
        <v>#REF!</v>
      </c>
      <c r="Y3976" t="e">
        <f>IF(#REF! &lt;= 3, "Low Charges", "High Charges")</f>
        <v>#REF!</v>
      </c>
      <c r="Z3976" t="e">
        <f>IF(#REF!&lt;=80,"Low Calls",
IF(#REF!&lt;=120,"Medium Calls","High Calls"))</f>
        <v>#REF!</v>
      </c>
      <c r="AA3976" t="e">
        <f>IF(#REF!&lt;=15,"Low Charges",
IF(#REF!&lt;=20,"Medium Charges","High Charges"))</f>
        <v>#REF!</v>
      </c>
      <c r="AB3976" t="e">
        <f>IF(AND(#REF!&gt;180, #REF!&gt;200), "Heavy Doemstic User", IF(#REF!&gt;10, "Interntional User", IF(AND(#REF!&lt;180, #REF!&lt;200,#REF!&lt;200), "Light User", "Balanced User")))</f>
        <v>#REF!</v>
      </c>
      <c r="AC3976" t="e">
        <f>IF(#REF! = 0, "No Usage", IF(#REF! &lt;= 20, "Low Usage", IF(#REF! &lt;= 40, "Medium Usgae", "High Usage")))</f>
        <v>#REF!</v>
      </c>
      <c r="AD3976" t="e">
        <f>IF(#REF!&lt;=150,"Low Usage", IF(#REF!&lt;=200,"Medium Usage", IF(#REF!&lt;=250,"High Usage","Very High Usage")))</f>
        <v>#REF!</v>
      </c>
      <c r="AE3976" t="e">
        <f>IF(#REF!&lt;=5,"Low Calls", IF(#REF!&lt;=10, "Medium Calls", "High Calls"))</f>
        <v>#REF!</v>
      </c>
      <c r="AF3976" t="e">
        <f xml:space="preserve">
IF(#REF!&gt;=4,4,0)+
IF(#REF!="yes",3,0)+
IF(#REF!="High Charges",3,0)+
IF(#REF!&gt;250,4,0)+
IF(#REF!="no",1,0)+
IF(#REF!="Heavy Domestic User",2,0)</f>
        <v>#REF!</v>
      </c>
      <c r="AG3976" t="e">
        <f>IF(#REF!&gt;=10,"High Risk", IF(#REF!&gt;=5,"Medium Risk","Low Risk"))</f>
        <v>#REF!</v>
      </c>
      <c r="AH3976" t="e">
        <f>#REF! + #REF! + #REF! + #REF!</f>
        <v>#REF!</v>
      </c>
    </row>
    <row r="3977" spans="1:34" x14ac:dyDescent="0.35">
      <c r="A3977">
        <v>3976</v>
      </c>
      <c r="B3977" t="s">
        <v>26</v>
      </c>
      <c r="C3977">
        <v>82</v>
      </c>
      <c r="D3977" t="s">
        <v>25</v>
      </c>
      <c r="E3977" t="s">
        <v>22</v>
      </c>
      <c r="F3977" t="s">
        <v>22</v>
      </c>
      <c r="G3977">
        <v>0</v>
      </c>
      <c r="H3977">
        <v>182.3</v>
      </c>
      <c r="I3977">
        <v>106</v>
      </c>
      <c r="J3977">
        <v>30.99</v>
      </c>
      <c r="K3977">
        <v>259.89999999999998</v>
      </c>
      <c r="L3977">
        <v>102</v>
      </c>
      <c r="M3977">
        <v>22.09</v>
      </c>
      <c r="N3977">
        <v>150.5</v>
      </c>
      <c r="O3977">
        <v>98</v>
      </c>
      <c r="P3977">
        <v>6.77</v>
      </c>
      <c r="Q3977">
        <v>10.9</v>
      </c>
      <c r="R3977">
        <v>6</v>
      </c>
      <c r="S3977">
        <v>2.94</v>
      </c>
      <c r="T3977">
        <v>1</v>
      </c>
      <c r="U3977" t="s">
        <v>22</v>
      </c>
      <c r="V3977" t="e">
        <f>IF(#REF! = "yes", 1, 0)</f>
        <v>#REF!</v>
      </c>
      <c r="W3977" t="e">
        <f>IF(#REF! &lt;= 1, "0-1 Calls", IF(#REF! &lt;= 3, "2-3 Calls", IF(#REF! &lt;=5, "4-5 Calls", "6+ Calls")))</f>
        <v>#REF!</v>
      </c>
      <c r="X3977" t="e">
        <f>IF(#REF! &lt;= 50, "0-50", IF(#REF! &lt;=100, "51-100", IF(#REF! &lt;= 150, "101-150", "151+")))</f>
        <v>#REF!</v>
      </c>
      <c r="Y3977" t="e">
        <f>IF(#REF! &lt;= 3, "Low Charges", "High Charges")</f>
        <v>#REF!</v>
      </c>
      <c r="Z3977" t="e">
        <f>IF(#REF!&lt;=80,"Low Calls",
IF(#REF!&lt;=120,"Medium Calls","High Calls"))</f>
        <v>#REF!</v>
      </c>
      <c r="AA3977" t="e">
        <f>IF(#REF!&lt;=15,"Low Charges",
IF(#REF!&lt;=20,"Medium Charges","High Charges"))</f>
        <v>#REF!</v>
      </c>
      <c r="AB3977" t="e">
        <f>IF(AND(#REF!&gt;180, #REF!&gt;200), "Heavy Doemstic User", IF(#REF!&gt;10, "Interntional User", IF(AND(#REF!&lt;180, #REF!&lt;200,#REF!&lt;200), "Light User", "Balanced User")))</f>
        <v>#REF!</v>
      </c>
      <c r="AC3977" t="e">
        <f>IF(#REF! = 0, "No Usage", IF(#REF! &lt;= 20, "Low Usage", IF(#REF! &lt;= 40, "Medium Usgae", "High Usage")))</f>
        <v>#REF!</v>
      </c>
      <c r="AD3977" t="e">
        <f>IF(#REF!&lt;=150,"Low Usage", IF(#REF!&lt;=200,"Medium Usage", IF(#REF!&lt;=250,"High Usage","Very High Usage")))</f>
        <v>#REF!</v>
      </c>
      <c r="AE3977" t="e">
        <f>IF(#REF!&lt;=5,"Low Calls", IF(#REF!&lt;=10, "Medium Calls", "High Calls"))</f>
        <v>#REF!</v>
      </c>
      <c r="AF3977" t="e">
        <f xml:space="preserve">
IF(#REF!&gt;=4,4,0)+
IF(#REF!="yes",3,0)+
IF(#REF!="High Charges",3,0)+
IF(#REF!&gt;250,4,0)+
IF(#REF!="no",1,0)+
IF(#REF!="Heavy Domestic User",2,0)</f>
        <v>#REF!</v>
      </c>
      <c r="AG3977" t="e">
        <f>IF(#REF!&gt;=10,"High Risk", IF(#REF!&gt;=5,"Medium Risk","Low Risk"))</f>
        <v>#REF!</v>
      </c>
      <c r="AH3977" t="e">
        <f>#REF! + #REF! + #REF! + #REF!</f>
        <v>#REF!</v>
      </c>
    </row>
    <row r="3978" spans="1:34" x14ac:dyDescent="0.35">
      <c r="A3978">
        <v>3977</v>
      </c>
      <c r="B3978" t="s">
        <v>59</v>
      </c>
      <c r="C3978">
        <v>143</v>
      </c>
      <c r="D3978" t="s">
        <v>21</v>
      </c>
      <c r="E3978" t="s">
        <v>22</v>
      </c>
      <c r="F3978" t="s">
        <v>22</v>
      </c>
      <c r="G3978">
        <v>0</v>
      </c>
      <c r="H3978">
        <v>211.4</v>
      </c>
      <c r="I3978">
        <v>94</v>
      </c>
      <c r="J3978">
        <v>35.94</v>
      </c>
      <c r="K3978">
        <v>184.5</v>
      </c>
      <c r="L3978">
        <v>89</v>
      </c>
      <c r="M3978">
        <v>15.68</v>
      </c>
      <c r="N3978">
        <v>243.2</v>
      </c>
      <c r="O3978">
        <v>108</v>
      </c>
      <c r="P3978">
        <v>10.94</v>
      </c>
      <c r="Q3978">
        <v>5.5</v>
      </c>
      <c r="R3978">
        <v>5</v>
      </c>
      <c r="S3978">
        <v>1.49</v>
      </c>
      <c r="T3978">
        <v>1</v>
      </c>
      <c r="U3978" t="s">
        <v>23</v>
      </c>
      <c r="V3978" t="e">
        <f>IF(#REF! = "yes", 1, 0)</f>
        <v>#REF!</v>
      </c>
      <c r="W3978" t="e">
        <f>IF(#REF! &lt;= 1, "0-1 Calls", IF(#REF! &lt;= 3, "2-3 Calls", IF(#REF! &lt;=5, "4-5 Calls", "6+ Calls")))</f>
        <v>#REF!</v>
      </c>
      <c r="X3978" t="e">
        <f>IF(#REF! &lt;= 50, "0-50", IF(#REF! &lt;=100, "51-100", IF(#REF! &lt;= 150, "101-150", "151+")))</f>
        <v>#REF!</v>
      </c>
      <c r="Y3978" t="e">
        <f>IF(#REF! &lt;= 3, "Low Charges", "High Charges")</f>
        <v>#REF!</v>
      </c>
      <c r="Z3978" t="e">
        <f>IF(#REF!&lt;=80,"Low Calls",
IF(#REF!&lt;=120,"Medium Calls","High Calls"))</f>
        <v>#REF!</v>
      </c>
      <c r="AA3978" t="e">
        <f>IF(#REF!&lt;=15,"Low Charges",
IF(#REF!&lt;=20,"Medium Charges","High Charges"))</f>
        <v>#REF!</v>
      </c>
      <c r="AB3978" t="e">
        <f>IF(AND(#REF!&gt;180, #REF!&gt;200), "Heavy Doemstic User", IF(#REF!&gt;10, "Interntional User", IF(AND(#REF!&lt;180, #REF!&lt;200,#REF!&lt;200), "Light User", "Balanced User")))</f>
        <v>#REF!</v>
      </c>
      <c r="AC3978" t="e">
        <f>IF(#REF! = 0, "No Usage", IF(#REF! &lt;= 20, "Low Usage", IF(#REF! &lt;= 40, "Medium Usgae", "High Usage")))</f>
        <v>#REF!</v>
      </c>
      <c r="AD3978" t="e">
        <f>IF(#REF!&lt;=150,"Low Usage", IF(#REF!&lt;=200,"Medium Usage", IF(#REF!&lt;=250,"High Usage","Very High Usage")))</f>
        <v>#REF!</v>
      </c>
      <c r="AE3978" t="e">
        <f>IF(#REF!&lt;=5,"Low Calls", IF(#REF!&lt;=10, "Medium Calls", "High Calls"))</f>
        <v>#REF!</v>
      </c>
      <c r="AF3978" t="e">
        <f xml:space="preserve">
IF(#REF!&gt;=4,4,0)+
IF(#REF!="yes",3,0)+
IF(#REF!="High Charges",3,0)+
IF(#REF!&gt;250,4,0)+
IF(#REF!="no",1,0)+
IF(#REF!="Heavy Domestic User",2,0)</f>
        <v>#REF!</v>
      </c>
      <c r="AG3978" t="e">
        <f>IF(#REF!&gt;=10,"High Risk", IF(#REF!&gt;=5,"Medium Risk","Low Risk"))</f>
        <v>#REF!</v>
      </c>
      <c r="AH3978" t="e">
        <f>#REF! + #REF! + #REF! + #REF!</f>
        <v>#REF!</v>
      </c>
    </row>
    <row r="3979" spans="1:34" x14ac:dyDescent="0.35">
      <c r="A3979">
        <v>3978</v>
      </c>
      <c r="B3979" t="s">
        <v>46</v>
      </c>
      <c r="C3979">
        <v>97</v>
      </c>
      <c r="D3979" t="s">
        <v>21</v>
      </c>
      <c r="E3979" t="s">
        <v>22</v>
      </c>
      <c r="F3979" t="s">
        <v>22</v>
      </c>
      <c r="G3979">
        <v>0</v>
      </c>
      <c r="H3979">
        <v>87.1</v>
      </c>
      <c r="I3979">
        <v>110</v>
      </c>
      <c r="J3979">
        <v>14.81</v>
      </c>
      <c r="K3979">
        <v>202.1</v>
      </c>
      <c r="L3979">
        <v>110</v>
      </c>
      <c r="M3979">
        <v>17.18</v>
      </c>
      <c r="N3979">
        <v>137.9</v>
      </c>
      <c r="O3979">
        <v>89</v>
      </c>
      <c r="P3979">
        <v>6.21</v>
      </c>
      <c r="Q3979">
        <v>14.4</v>
      </c>
      <c r="R3979">
        <v>4</v>
      </c>
      <c r="S3979">
        <v>3.89</v>
      </c>
      <c r="T3979">
        <v>2</v>
      </c>
      <c r="U3979" t="s">
        <v>22</v>
      </c>
      <c r="V3979" t="e">
        <f>IF(#REF! = "yes", 1, 0)</f>
        <v>#REF!</v>
      </c>
      <c r="W3979" t="e">
        <f>IF(#REF! &lt;= 1, "0-1 Calls", IF(#REF! &lt;= 3, "2-3 Calls", IF(#REF! &lt;=5, "4-5 Calls", "6+ Calls")))</f>
        <v>#REF!</v>
      </c>
      <c r="X3979" t="e">
        <f>IF(#REF! &lt;= 50, "0-50", IF(#REF! &lt;=100, "51-100", IF(#REF! &lt;= 150, "101-150", "151+")))</f>
        <v>#REF!</v>
      </c>
      <c r="Y3979" t="e">
        <f>IF(#REF! &lt;= 3, "Low Charges", "High Charges")</f>
        <v>#REF!</v>
      </c>
      <c r="Z3979" t="e">
        <f>IF(#REF!&lt;=80,"Low Calls",
IF(#REF!&lt;=120,"Medium Calls","High Calls"))</f>
        <v>#REF!</v>
      </c>
      <c r="AA3979" t="e">
        <f>IF(#REF!&lt;=15,"Low Charges",
IF(#REF!&lt;=20,"Medium Charges","High Charges"))</f>
        <v>#REF!</v>
      </c>
      <c r="AB3979" t="e">
        <f>IF(AND(#REF!&gt;180, #REF!&gt;200), "Heavy Doemstic User", IF(#REF!&gt;10, "Interntional User", IF(AND(#REF!&lt;180, #REF!&lt;200,#REF!&lt;200), "Light User", "Balanced User")))</f>
        <v>#REF!</v>
      </c>
      <c r="AC3979" t="e">
        <f>IF(#REF! = 0, "No Usage", IF(#REF! &lt;= 20, "Low Usage", IF(#REF! &lt;= 40, "Medium Usgae", "High Usage")))</f>
        <v>#REF!</v>
      </c>
      <c r="AD3979" t="e">
        <f>IF(#REF!&lt;=150,"Low Usage", IF(#REF!&lt;=200,"Medium Usage", IF(#REF!&lt;=250,"High Usage","Very High Usage")))</f>
        <v>#REF!</v>
      </c>
      <c r="AE3979" t="e">
        <f>IF(#REF!&lt;=5,"Low Calls", IF(#REF!&lt;=10, "Medium Calls", "High Calls"))</f>
        <v>#REF!</v>
      </c>
      <c r="AF3979" t="e">
        <f xml:space="preserve">
IF(#REF!&gt;=4,4,0)+
IF(#REF!="yes",3,0)+
IF(#REF!="High Charges",3,0)+
IF(#REF!&gt;250,4,0)+
IF(#REF!="no",1,0)+
IF(#REF!="Heavy Domestic User",2,0)</f>
        <v>#REF!</v>
      </c>
      <c r="AG3979" t="e">
        <f>IF(#REF!&gt;=10,"High Risk", IF(#REF!&gt;=5,"Medium Risk","Low Risk"))</f>
        <v>#REF!</v>
      </c>
      <c r="AH3979" t="e">
        <f>#REF! + #REF! + #REF! + #REF!</f>
        <v>#REF!</v>
      </c>
    </row>
    <row r="3980" spans="1:34" x14ac:dyDescent="0.35">
      <c r="A3980">
        <v>3979</v>
      </c>
      <c r="B3980" t="s">
        <v>29</v>
      </c>
      <c r="C3980">
        <v>83</v>
      </c>
      <c r="D3980" t="s">
        <v>21</v>
      </c>
      <c r="E3980" t="s">
        <v>22</v>
      </c>
      <c r="F3980" t="s">
        <v>22</v>
      </c>
      <c r="G3980">
        <v>0</v>
      </c>
      <c r="H3980">
        <v>196.7</v>
      </c>
      <c r="I3980">
        <v>117</v>
      </c>
      <c r="J3980">
        <v>33.44</v>
      </c>
      <c r="K3980">
        <v>272</v>
      </c>
      <c r="L3980">
        <v>89</v>
      </c>
      <c r="M3980">
        <v>23.12</v>
      </c>
      <c r="N3980">
        <v>199.9</v>
      </c>
      <c r="O3980">
        <v>62</v>
      </c>
      <c r="P3980">
        <v>9</v>
      </c>
      <c r="Q3980">
        <v>10.1</v>
      </c>
      <c r="R3980">
        <v>11</v>
      </c>
      <c r="S3980">
        <v>2.73</v>
      </c>
      <c r="T3980">
        <v>3</v>
      </c>
      <c r="U3980" t="s">
        <v>22</v>
      </c>
      <c r="V3980" t="e">
        <f>IF(#REF! = "yes", 1, 0)</f>
        <v>#REF!</v>
      </c>
      <c r="W3980" t="e">
        <f>IF(#REF! &lt;= 1, "0-1 Calls", IF(#REF! &lt;= 3, "2-3 Calls", IF(#REF! &lt;=5, "4-5 Calls", "6+ Calls")))</f>
        <v>#REF!</v>
      </c>
      <c r="X3980" t="e">
        <f>IF(#REF! &lt;= 50, "0-50", IF(#REF! &lt;=100, "51-100", IF(#REF! &lt;= 150, "101-150", "151+")))</f>
        <v>#REF!</v>
      </c>
      <c r="Y3980" t="e">
        <f>IF(#REF! &lt;= 3, "Low Charges", "High Charges")</f>
        <v>#REF!</v>
      </c>
      <c r="Z3980" t="e">
        <f>IF(#REF!&lt;=80,"Low Calls",
IF(#REF!&lt;=120,"Medium Calls","High Calls"))</f>
        <v>#REF!</v>
      </c>
      <c r="AA3980" t="e">
        <f>IF(#REF!&lt;=15,"Low Charges",
IF(#REF!&lt;=20,"Medium Charges","High Charges"))</f>
        <v>#REF!</v>
      </c>
      <c r="AB3980" t="e">
        <f>IF(AND(#REF!&gt;180, #REF!&gt;200), "Heavy Doemstic User", IF(#REF!&gt;10, "Interntional User", IF(AND(#REF!&lt;180, #REF!&lt;200,#REF!&lt;200), "Light User", "Balanced User")))</f>
        <v>#REF!</v>
      </c>
      <c r="AC3980" t="e">
        <f>IF(#REF! = 0, "No Usage", IF(#REF! &lt;= 20, "Low Usage", IF(#REF! &lt;= 40, "Medium Usgae", "High Usage")))</f>
        <v>#REF!</v>
      </c>
      <c r="AD3980" t="e">
        <f>IF(#REF!&lt;=150,"Low Usage", IF(#REF!&lt;=200,"Medium Usage", IF(#REF!&lt;=250,"High Usage","Very High Usage")))</f>
        <v>#REF!</v>
      </c>
      <c r="AE3980" t="e">
        <f>IF(#REF!&lt;=5,"Low Calls", IF(#REF!&lt;=10, "Medium Calls", "High Calls"))</f>
        <v>#REF!</v>
      </c>
      <c r="AF3980" t="e">
        <f xml:space="preserve">
IF(#REF!&gt;=4,4,0)+
IF(#REF!="yes",3,0)+
IF(#REF!="High Charges",3,0)+
IF(#REF!&gt;250,4,0)+
IF(#REF!="no",1,0)+
IF(#REF!="Heavy Domestic User",2,0)</f>
        <v>#REF!</v>
      </c>
      <c r="AG3980" t="e">
        <f>IF(#REF!&gt;=10,"High Risk", IF(#REF!&gt;=5,"Medium Risk","Low Risk"))</f>
        <v>#REF!</v>
      </c>
      <c r="AH3980" t="e">
        <f>#REF! + #REF! + #REF! + #REF!</f>
        <v>#REF!</v>
      </c>
    </row>
    <row r="3981" spans="1:34" x14ac:dyDescent="0.35">
      <c r="A3981">
        <v>3980</v>
      </c>
      <c r="B3981" t="s">
        <v>52</v>
      </c>
      <c r="C3981">
        <v>92</v>
      </c>
      <c r="D3981" t="s">
        <v>21</v>
      </c>
      <c r="E3981" t="s">
        <v>22</v>
      </c>
      <c r="F3981" t="s">
        <v>22</v>
      </c>
      <c r="G3981">
        <v>0</v>
      </c>
      <c r="H3981">
        <v>114.6</v>
      </c>
      <c r="I3981">
        <v>94</v>
      </c>
      <c r="J3981">
        <v>19.48</v>
      </c>
      <c r="K3981">
        <v>209</v>
      </c>
      <c r="L3981">
        <v>78</v>
      </c>
      <c r="M3981">
        <v>17.77</v>
      </c>
      <c r="N3981">
        <v>209.7</v>
      </c>
      <c r="O3981">
        <v>97</v>
      </c>
      <c r="P3981">
        <v>9.44</v>
      </c>
      <c r="Q3981">
        <v>8.3000000000000007</v>
      </c>
      <c r="R3981">
        <v>5</v>
      </c>
      <c r="S3981">
        <v>2.2400000000000002</v>
      </c>
      <c r="T3981">
        <v>2</v>
      </c>
      <c r="U3981" t="s">
        <v>22</v>
      </c>
      <c r="V3981" t="e">
        <f>IF(#REF! = "yes", 1, 0)</f>
        <v>#REF!</v>
      </c>
      <c r="W3981" t="e">
        <f>IF(#REF! &lt;= 1, "0-1 Calls", IF(#REF! &lt;= 3, "2-3 Calls", IF(#REF! &lt;=5, "4-5 Calls", "6+ Calls")))</f>
        <v>#REF!</v>
      </c>
      <c r="X3981" t="e">
        <f>IF(#REF! &lt;= 50, "0-50", IF(#REF! &lt;=100, "51-100", IF(#REF! &lt;= 150, "101-150", "151+")))</f>
        <v>#REF!</v>
      </c>
      <c r="Y3981" t="e">
        <f>IF(#REF! &lt;= 3, "Low Charges", "High Charges")</f>
        <v>#REF!</v>
      </c>
      <c r="Z3981" t="e">
        <f>IF(#REF!&lt;=80,"Low Calls",
IF(#REF!&lt;=120,"Medium Calls","High Calls"))</f>
        <v>#REF!</v>
      </c>
      <c r="AA3981" t="e">
        <f>IF(#REF!&lt;=15,"Low Charges",
IF(#REF!&lt;=20,"Medium Charges","High Charges"))</f>
        <v>#REF!</v>
      </c>
      <c r="AB3981" t="e">
        <f>IF(AND(#REF!&gt;180, #REF!&gt;200), "Heavy Doemstic User", IF(#REF!&gt;10, "Interntional User", IF(AND(#REF!&lt;180, #REF!&lt;200,#REF!&lt;200), "Light User", "Balanced User")))</f>
        <v>#REF!</v>
      </c>
      <c r="AC3981" t="e">
        <f>IF(#REF! = 0, "No Usage", IF(#REF! &lt;= 20, "Low Usage", IF(#REF! &lt;= 40, "Medium Usgae", "High Usage")))</f>
        <v>#REF!</v>
      </c>
      <c r="AD3981" t="e">
        <f>IF(#REF!&lt;=150,"Low Usage", IF(#REF!&lt;=200,"Medium Usage", IF(#REF!&lt;=250,"High Usage","Very High Usage")))</f>
        <v>#REF!</v>
      </c>
      <c r="AE3981" t="e">
        <f>IF(#REF!&lt;=5,"Low Calls", IF(#REF!&lt;=10, "Medium Calls", "High Calls"))</f>
        <v>#REF!</v>
      </c>
      <c r="AF3981" t="e">
        <f xml:space="preserve">
IF(#REF!&gt;=4,4,0)+
IF(#REF!="yes",3,0)+
IF(#REF!="High Charges",3,0)+
IF(#REF!&gt;250,4,0)+
IF(#REF!="no",1,0)+
IF(#REF!="Heavy Domestic User",2,0)</f>
        <v>#REF!</v>
      </c>
      <c r="AG3981" t="e">
        <f>IF(#REF!&gt;=10,"High Risk", IF(#REF!&gt;=5,"Medium Risk","Low Risk"))</f>
        <v>#REF!</v>
      </c>
      <c r="AH3981" t="e">
        <f>#REF! + #REF! + #REF! + #REF!</f>
        <v>#REF!</v>
      </c>
    </row>
    <row r="3982" spans="1:34" x14ac:dyDescent="0.35">
      <c r="A3982">
        <v>3981</v>
      </c>
      <c r="B3982" t="s">
        <v>60</v>
      </c>
      <c r="C3982">
        <v>130</v>
      </c>
      <c r="D3982" t="s">
        <v>21</v>
      </c>
      <c r="E3982" t="s">
        <v>22</v>
      </c>
      <c r="F3982" t="s">
        <v>22</v>
      </c>
      <c r="G3982">
        <v>0</v>
      </c>
      <c r="H3982">
        <v>204.5</v>
      </c>
      <c r="I3982">
        <v>88</v>
      </c>
      <c r="J3982">
        <v>34.770000000000003</v>
      </c>
      <c r="K3982">
        <v>178.4</v>
      </c>
      <c r="L3982">
        <v>85</v>
      </c>
      <c r="M3982">
        <v>15.16</v>
      </c>
      <c r="N3982">
        <v>229.6</v>
      </c>
      <c r="O3982">
        <v>78</v>
      </c>
      <c r="P3982">
        <v>10.33</v>
      </c>
      <c r="Q3982">
        <v>12.6</v>
      </c>
      <c r="R3982">
        <v>8</v>
      </c>
      <c r="S3982">
        <v>3.4</v>
      </c>
      <c r="T3982">
        <v>0</v>
      </c>
      <c r="U3982" t="s">
        <v>22</v>
      </c>
      <c r="V3982" t="e">
        <f>IF(#REF! = "yes", 1, 0)</f>
        <v>#REF!</v>
      </c>
      <c r="W3982" t="e">
        <f>IF(#REF! &lt;= 1, "0-1 Calls", IF(#REF! &lt;= 3, "2-3 Calls", IF(#REF! &lt;=5, "4-5 Calls", "6+ Calls")))</f>
        <v>#REF!</v>
      </c>
      <c r="X3982" t="e">
        <f>IF(#REF! &lt;= 50, "0-50", IF(#REF! &lt;=100, "51-100", IF(#REF! &lt;= 150, "101-150", "151+")))</f>
        <v>#REF!</v>
      </c>
      <c r="Y3982" t="e">
        <f>IF(#REF! &lt;= 3, "Low Charges", "High Charges")</f>
        <v>#REF!</v>
      </c>
      <c r="Z3982" t="e">
        <f>IF(#REF!&lt;=80,"Low Calls",
IF(#REF!&lt;=120,"Medium Calls","High Calls"))</f>
        <v>#REF!</v>
      </c>
      <c r="AA3982" t="e">
        <f>IF(#REF!&lt;=15,"Low Charges",
IF(#REF!&lt;=20,"Medium Charges","High Charges"))</f>
        <v>#REF!</v>
      </c>
      <c r="AB3982" t="e">
        <f>IF(AND(#REF!&gt;180, #REF!&gt;200), "Heavy Doemstic User", IF(#REF!&gt;10, "Interntional User", IF(AND(#REF!&lt;180, #REF!&lt;200,#REF!&lt;200), "Light User", "Balanced User")))</f>
        <v>#REF!</v>
      </c>
      <c r="AC3982" t="e">
        <f>IF(#REF! = 0, "No Usage", IF(#REF! &lt;= 20, "Low Usage", IF(#REF! &lt;= 40, "Medium Usgae", "High Usage")))</f>
        <v>#REF!</v>
      </c>
      <c r="AD3982" t="e">
        <f>IF(#REF!&lt;=150,"Low Usage", IF(#REF!&lt;=200,"Medium Usage", IF(#REF!&lt;=250,"High Usage","Very High Usage")))</f>
        <v>#REF!</v>
      </c>
      <c r="AE3982" t="e">
        <f>IF(#REF!&lt;=5,"Low Calls", IF(#REF!&lt;=10, "Medium Calls", "High Calls"))</f>
        <v>#REF!</v>
      </c>
      <c r="AF3982" t="e">
        <f xml:space="preserve">
IF(#REF!&gt;=4,4,0)+
IF(#REF!="yes",3,0)+
IF(#REF!="High Charges",3,0)+
IF(#REF!&gt;250,4,0)+
IF(#REF!="no",1,0)+
IF(#REF!="Heavy Domestic User",2,0)</f>
        <v>#REF!</v>
      </c>
      <c r="AG3982" t="e">
        <f>IF(#REF!&gt;=10,"High Risk", IF(#REF!&gt;=5,"Medium Risk","Low Risk"))</f>
        <v>#REF!</v>
      </c>
      <c r="AH3982" t="e">
        <f>#REF! + #REF! + #REF! + #REF!</f>
        <v>#REF!</v>
      </c>
    </row>
    <row r="3983" spans="1:34" x14ac:dyDescent="0.35">
      <c r="A3983">
        <v>3982</v>
      </c>
      <c r="B3983" t="s">
        <v>27</v>
      </c>
      <c r="C3983">
        <v>97</v>
      </c>
      <c r="D3983" t="s">
        <v>28</v>
      </c>
      <c r="E3983" t="s">
        <v>23</v>
      </c>
      <c r="F3983" t="s">
        <v>22</v>
      </c>
      <c r="G3983">
        <v>0</v>
      </c>
      <c r="H3983">
        <v>272.8</v>
      </c>
      <c r="I3983">
        <v>60</v>
      </c>
      <c r="J3983">
        <v>46.38</v>
      </c>
      <c r="K3983">
        <v>216.5</v>
      </c>
      <c r="L3983">
        <v>113</v>
      </c>
      <c r="M3983">
        <v>18.399999999999999</v>
      </c>
      <c r="N3983">
        <v>245.1</v>
      </c>
      <c r="O3983">
        <v>67</v>
      </c>
      <c r="P3983">
        <v>11.03</v>
      </c>
      <c r="Q3983">
        <v>6.1</v>
      </c>
      <c r="R3983">
        <v>8</v>
      </c>
      <c r="S3983">
        <v>1.65</v>
      </c>
      <c r="T3983">
        <v>5</v>
      </c>
      <c r="U3983" t="s">
        <v>23</v>
      </c>
      <c r="V3983" t="e">
        <f>IF(#REF! = "yes", 1, 0)</f>
        <v>#REF!</v>
      </c>
      <c r="W3983" t="e">
        <f>IF(#REF! &lt;= 1, "0-1 Calls", IF(#REF! &lt;= 3, "2-3 Calls", IF(#REF! &lt;=5, "4-5 Calls", "6+ Calls")))</f>
        <v>#REF!</v>
      </c>
      <c r="X3983" t="e">
        <f>IF(#REF! &lt;= 50, "0-50", IF(#REF! &lt;=100, "51-100", IF(#REF! &lt;= 150, "101-150", "151+")))</f>
        <v>#REF!</v>
      </c>
      <c r="Y3983" t="e">
        <f>IF(#REF! &lt;= 3, "Low Charges", "High Charges")</f>
        <v>#REF!</v>
      </c>
      <c r="Z3983" t="e">
        <f>IF(#REF!&lt;=80,"Low Calls",
IF(#REF!&lt;=120,"Medium Calls","High Calls"))</f>
        <v>#REF!</v>
      </c>
      <c r="AA3983" t="e">
        <f>IF(#REF!&lt;=15,"Low Charges",
IF(#REF!&lt;=20,"Medium Charges","High Charges"))</f>
        <v>#REF!</v>
      </c>
      <c r="AB3983" t="e">
        <f>IF(AND(#REF!&gt;180, #REF!&gt;200), "Heavy Doemstic User", IF(#REF!&gt;10, "Interntional User", IF(AND(#REF!&lt;180, #REF!&lt;200,#REF!&lt;200), "Light User", "Balanced User")))</f>
        <v>#REF!</v>
      </c>
      <c r="AC3983" t="e">
        <f>IF(#REF! = 0, "No Usage", IF(#REF! &lt;= 20, "Low Usage", IF(#REF! &lt;= 40, "Medium Usgae", "High Usage")))</f>
        <v>#REF!</v>
      </c>
      <c r="AD3983" t="e">
        <f>IF(#REF!&lt;=150,"Low Usage", IF(#REF!&lt;=200,"Medium Usage", IF(#REF!&lt;=250,"High Usage","Very High Usage")))</f>
        <v>#REF!</v>
      </c>
      <c r="AE3983" t="e">
        <f>IF(#REF!&lt;=5,"Low Calls", IF(#REF!&lt;=10, "Medium Calls", "High Calls"))</f>
        <v>#REF!</v>
      </c>
      <c r="AF3983" t="e">
        <f xml:space="preserve">
IF(#REF!&gt;=4,4,0)+
IF(#REF!="yes",3,0)+
IF(#REF!="High Charges",3,0)+
IF(#REF!&gt;250,4,0)+
IF(#REF!="no",1,0)+
IF(#REF!="Heavy Domestic User",2,0)</f>
        <v>#REF!</v>
      </c>
      <c r="AG3983" t="e">
        <f>IF(#REF!&gt;=10,"High Risk", IF(#REF!&gt;=5,"Medium Risk","Low Risk"))</f>
        <v>#REF!</v>
      </c>
      <c r="AH3983" t="e">
        <f>#REF! + #REF! + #REF! + #REF!</f>
        <v>#REF!</v>
      </c>
    </row>
    <row r="3984" spans="1:34" x14ac:dyDescent="0.35">
      <c r="A3984">
        <v>3983</v>
      </c>
      <c r="B3984" t="s">
        <v>66</v>
      </c>
      <c r="C3984">
        <v>53</v>
      </c>
      <c r="D3984" t="s">
        <v>28</v>
      </c>
      <c r="E3984" t="s">
        <v>22</v>
      </c>
      <c r="F3984" t="s">
        <v>23</v>
      </c>
      <c r="G3984">
        <v>22</v>
      </c>
      <c r="H3984">
        <v>174.8</v>
      </c>
      <c r="I3984">
        <v>110</v>
      </c>
      <c r="J3984">
        <v>29.72</v>
      </c>
      <c r="K3984">
        <v>191.4</v>
      </c>
      <c r="L3984">
        <v>104</v>
      </c>
      <c r="M3984">
        <v>16.27</v>
      </c>
      <c r="N3984">
        <v>119.5</v>
      </c>
      <c r="O3984">
        <v>103</v>
      </c>
      <c r="P3984">
        <v>5.38</v>
      </c>
      <c r="Q3984">
        <v>12</v>
      </c>
      <c r="R3984">
        <v>2</v>
      </c>
      <c r="S3984">
        <v>3.24</v>
      </c>
      <c r="T3984">
        <v>3</v>
      </c>
      <c r="U3984" t="s">
        <v>22</v>
      </c>
      <c r="V3984" t="e">
        <f>IF(#REF! = "yes", 1, 0)</f>
        <v>#REF!</v>
      </c>
      <c r="W3984" t="e">
        <f>IF(#REF! &lt;= 1, "0-1 Calls", IF(#REF! &lt;= 3, "2-3 Calls", IF(#REF! &lt;=5, "4-5 Calls", "6+ Calls")))</f>
        <v>#REF!</v>
      </c>
      <c r="X3984" t="e">
        <f>IF(#REF! &lt;= 50, "0-50", IF(#REF! &lt;=100, "51-100", IF(#REF! &lt;= 150, "101-150", "151+")))</f>
        <v>#REF!</v>
      </c>
      <c r="Y3984" t="e">
        <f>IF(#REF! &lt;= 3, "Low Charges", "High Charges")</f>
        <v>#REF!</v>
      </c>
      <c r="Z3984" t="e">
        <f>IF(#REF!&lt;=80,"Low Calls",
IF(#REF!&lt;=120,"Medium Calls","High Calls"))</f>
        <v>#REF!</v>
      </c>
      <c r="AA3984" t="e">
        <f>IF(#REF!&lt;=15,"Low Charges",
IF(#REF!&lt;=20,"Medium Charges","High Charges"))</f>
        <v>#REF!</v>
      </c>
      <c r="AB3984" t="e">
        <f>IF(AND(#REF!&gt;180, #REF!&gt;200), "Heavy Doemstic User", IF(#REF!&gt;10, "Interntional User", IF(AND(#REF!&lt;180, #REF!&lt;200,#REF!&lt;200), "Light User", "Balanced User")))</f>
        <v>#REF!</v>
      </c>
      <c r="AC3984" t="e">
        <f>IF(#REF! = 0, "No Usage", IF(#REF! &lt;= 20, "Low Usage", IF(#REF! &lt;= 40, "Medium Usgae", "High Usage")))</f>
        <v>#REF!</v>
      </c>
      <c r="AD3984" t="e">
        <f>IF(#REF!&lt;=150,"Low Usage", IF(#REF!&lt;=200,"Medium Usage", IF(#REF!&lt;=250,"High Usage","Very High Usage")))</f>
        <v>#REF!</v>
      </c>
      <c r="AE3984" t="e">
        <f>IF(#REF!&lt;=5,"Low Calls", IF(#REF!&lt;=10, "Medium Calls", "High Calls"))</f>
        <v>#REF!</v>
      </c>
      <c r="AF3984" t="e">
        <f xml:space="preserve">
IF(#REF!&gt;=4,4,0)+
IF(#REF!="yes",3,0)+
IF(#REF!="High Charges",3,0)+
IF(#REF!&gt;250,4,0)+
IF(#REF!="no",1,0)+
IF(#REF!="Heavy Domestic User",2,0)</f>
        <v>#REF!</v>
      </c>
      <c r="AG3984" t="e">
        <f>IF(#REF!&gt;=10,"High Risk", IF(#REF!&gt;=5,"Medium Risk","Low Risk"))</f>
        <v>#REF!</v>
      </c>
      <c r="AH3984" t="e">
        <f>#REF! + #REF! + #REF! + #REF!</f>
        <v>#REF!</v>
      </c>
    </row>
    <row r="3985" spans="1:34" x14ac:dyDescent="0.35">
      <c r="A3985">
        <v>3984</v>
      </c>
      <c r="B3985" t="s">
        <v>29</v>
      </c>
      <c r="C3985">
        <v>87</v>
      </c>
      <c r="D3985" t="s">
        <v>21</v>
      </c>
      <c r="E3985" t="s">
        <v>23</v>
      </c>
      <c r="F3985" t="s">
        <v>22</v>
      </c>
      <c r="G3985">
        <v>0</v>
      </c>
      <c r="H3985">
        <v>128.9</v>
      </c>
      <c r="I3985">
        <v>71</v>
      </c>
      <c r="J3985">
        <v>21.91</v>
      </c>
      <c r="K3985">
        <v>281.89999999999998</v>
      </c>
      <c r="L3985">
        <v>91</v>
      </c>
      <c r="M3985">
        <v>23.96</v>
      </c>
      <c r="N3985">
        <v>209.1</v>
      </c>
      <c r="O3985">
        <v>100</v>
      </c>
      <c r="P3985">
        <v>9.41</v>
      </c>
      <c r="Q3985">
        <v>9.9</v>
      </c>
      <c r="R3985">
        <v>4</v>
      </c>
      <c r="S3985">
        <v>2.67</v>
      </c>
      <c r="T3985">
        <v>0</v>
      </c>
      <c r="U3985" t="s">
        <v>22</v>
      </c>
      <c r="V3985" t="e">
        <f>IF(#REF! = "yes", 1, 0)</f>
        <v>#REF!</v>
      </c>
      <c r="W3985" t="e">
        <f>IF(#REF! &lt;= 1, "0-1 Calls", IF(#REF! &lt;= 3, "2-3 Calls", IF(#REF! &lt;=5, "4-5 Calls", "6+ Calls")))</f>
        <v>#REF!</v>
      </c>
      <c r="X3985" t="e">
        <f>IF(#REF! &lt;= 50, "0-50", IF(#REF! &lt;=100, "51-100", IF(#REF! &lt;= 150, "101-150", "151+")))</f>
        <v>#REF!</v>
      </c>
      <c r="Y3985" t="e">
        <f>IF(#REF! &lt;= 3, "Low Charges", "High Charges")</f>
        <v>#REF!</v>
      </c>
      <c r="Z3985" t="e">
        <f>IF(#REF!&lt;=80,"Low Calls",
IF(#REF!&lt;=120,"Medium Calls","High Calls"))</f>
        <v>#REF!</v>
      </c>
      <c r="AA3985" t="e">
        <f>IF(#REF!&lt;=15,"Low Charges",
IF(#REF!&lt;=20,"Medium Charges","High Charges"))</f>
        <v>#REF!</v>
      </c>
      <c r="AB3985" t="e">
        <f>IF(AND(#REF!&gt;180, #REF!&gt;200), "Heavy Doemstic User", IF(#REF!&gt;10, "Interntional User", IF(AND(#REF!&lt;180, #REF!&lt;200,#REF!&lt;200), "Light User", "Balanced User")))</f>
        <v>#REF!</v>
      </c>
      <c r="AC3985" t="e">
        <f>IF(#REF! = 0, "No Usage", IF(#REF! &lt;= 20, "Low Usage", IF(#REF! &lt;= 40, "Medium Usgae", "High Usage")))</f>
        <v>#REF!</v>
      </c>
      <c r="AD3985" t="e">
        <f>IF(#REF!&lt;=150,"Low Usage", IF(#REF!&lt;=200,"Medium Usage", IF(#REF!&lt;=250,"High Usage","Very High Usage")))</f>
        <v>#REF!</v>
      </c>
      <c r="AE3985" t="e">
        <f>IF(#REF!&lt;=5,"Low Calls", IF(#REF!&lt;=10, "Medium Calls", "High Calls"))</f>
        <v>#REF!</v>
      </c>
      <c r="AF3985" t="e">
        <f xml:space="preserve">
IF(#REF!&gt;=4,4,0)+
IF(#REF!="yes",3,0)+
IF(#REF!="High Charges",3,0)+
IF(#REF!&gt;250,4,0)+
IF(#REF!="no",1,0)+
IF(#REF!="Heavy Domestic User",2,0)</f>
        <v>#REF!</v>
      </c>
      <c r="AG3985" t="e">
        <f>IF(#REF!&gt;=10,"High Risk", IF(#REF!&gt;=5,"Medium Risk","Low Risk"))</f>
        <v>#REF!</v>
      </c>
      <c r="AH3985" t="e">
        <f>#REF! + #REF! + #REF! + #REF!</f>
        <v>#REF!</v>
      </c>
    </row>
    <row r="3986" spans="1:34" x14ac:dyDescent="0.35">
      <c r="A3986">
        <v>3985</v>
      </c>
      <c r="B3986" t="s">
        <v>60</v>
      </c>
      <c r="C3986">
        <v>138</v>
      </c>
      <c r="D3986" t="s">
        <v>28</v>
      </c>
      <c r="E3986" t="s">
        <v>22</v>
      </c>
      <c r="F3986" t="s">
        <v>22</v>
      </c>
      <c r="G3986">
        <v>0</v>
      </c>
      <c r="H3986">
        <v>54.8</v>
      </c>
      <c r="I3986">
        <v>123</v>
      </c>
      <c r="J3986">
        <v>9.32</v>
      </c>
      <c r="K3986">
        <v>147.5</v>
      </c>
      <c r="L3986">
        <v>76</v>
      </c>
      <c r="M3986">
        <v>12.54</v>
      </c>
      <c r="N3986">
        <v>173.6</v>
      </c>
      <c r="O3986">
        <v>119</v>
      </c>
      <c r="P3986">
        <v>7.81</v>
      </c>
      <c r="Q3986">
        <v>11.5</v>
      </c>
      <c r="R3986">
        <v>1</v>
      </c>
      <c r="S3986">
        <v>3.11</v>
      </c>
      <c r="T3986">
        <v>1</v>
      </c>
      <c r="U3986" t="s">
        <v>22</v>
      </c>
      <c r="V3986" t="e">
        <f>IF(#REF! = "yes", 1, 0)</f>
        <v>#REF!</v>
      </c>
      <c r="W3986" t="e">
        <f>IF(#REF! &lt;= 1, "0-1 Calls", IF(#REF! &lt;= 3, "2-3 Calls", IF(#REF! &lt;=5, "4-5 Calls", "6+ Calls")))</f>
        <v>#REF!</v>
      </c>
      <c r="X3986" t="e">
        <f>IF(#REF! &lt;= 50, "0-50", IF(#REF! &lt;=100, "51-100", IF(#REF! &lt;= 150, "101-150", "151+")))</f>
        <v>#REF!</v>
      </c>
      <c r="Y3986" t="e">
        <f>IF(#REF! &lt;= 3, "Low Charges", "High Charges")</f>
        <v>#REF!</v>
      </c>
      <c r="Z3986" t="e">
        <f>IF(#REF!&lt;=80,"Low Calls",
IF(#REF!&lt;=120,"Medium Calls","High Calls"))</f>
        <v>#REF!</v>
      </c>
      <c r="AA3986" t="e">
        <f>IF(#REF!&lt;=15,"Low Charges",
IF(#REF!&lt;=20,"Medium Charges","High Charges"))</f>
        <v>#REF!</v>
      </c>
      <c r="AB3986" t="e">
        <f>IF(AND(#REF!&gt;180, #REF!&gt;200), "Heavy Doemstic User", IF(#REF!&gt;10, "Interntional User", IF(AND(#REF!&lt;180, #REF!&lt;200,#REF!&lt;200), "Light User", "Balanced User")))</f>
        <v>#REF!</v>
      </c>
      <c r="AC3986" t="e">
        <f>IF(#REF! = 0, "No Usage", IF(#REF! &lt;= 20, "Low Usage", IF(#REF! &lt;= 40, "Medium Usgae", "High Usage")))</f>
        <v>#REF!</v>
      </c>
      <c r="AD3986" t="e">
        <f>IF(#REF!&lt;=150,"Low Usage", IF(#REF!&lt;=200,"Medium Usage", IF(#REF!&lt;=250,"High Usage","Very High Usage")))</f>
        <v>#REF!</v>
      </c>
      <c r="AE3986" t="e">
        <f>IF(#REF!&lt;=5,"Low Calls", IF(#REF!&lt;=10, "Medium Calls", "High Calls"))</f>
        <v>#REF!</v>
      </c>
      <c r="AF3986" t="e">
        <f xml:space="preserve">
IF(#REF!&gt;=4,4,0)+
IF(#REF!="yes",3,0)+
IF(#REF!="High Charges",3,0)+
IF(#REF!&gt;250,4,0)+
IF(#REF!="no",1,0)+
IF(#REF!="Heavy Domestic User",2,0)</f>
        <v>#REF!</v>
      </c>
      <c r="AG3986" t="e">
        <f>IF(#REF!&gt;=10,"High Risk", IF(#REF!&gt;=5,"Medium Risk","Low Risk"))</f>
        <v>#REF!</v>
      </c>
      <c r="AH3986" t="e">
        <f>#REF! + #REF! + #REF! + #REF!</f>
        <v>#REF!</v>
      </c>
    </row>
    <row r="3987" spans="1:34" x14ac:dyDescent="0.35">
      <c r="A3987">
        <v>3986</v>
      </c>
      <c r="B3987" t="s">
        <v>69</v>
      </c>
      <c r="C3987">
        <v>136</v>
      </c>
      <c r="D3987" t="s">
        <v>21</v>
      </c>
      <c r="E3987" t="s">
        <v>22</v>
      </c>
      <c r="F3987" t="s">
        <v>22</v>
      </c>
      <c r="G3987">
        <v>0</v>
      </c>
      <c r="H3987">
        <v>259</v>
      </c>
      <c r="I3987">
        <v>105</v>
      </c>
      <c r="J3987">
        <v>44.03</v>
      </c>
      <c r="K3987">
        <v>166.9</v>
      </c>
      <c r="L3987">
        <v>125</v>
      </c>
      <c r="M3987">
        <v>14.19</v>
      </c>
      <c r="N3987">
        <v>255.1</v>
      </c>
      <c r="O3987">
        <v>107</v>
      </c>
      <c r="P3987">
        <v>11.48</v>
      </c>
      <c r="Q3987">
        <v>11.1</v>
      </c>
      <c r="R3987">
        <v>3</v>
      </c>
      <c r="S3987">
        <v>3</v>
      </c>
      <c r="T3987">
        <v>3</v>
      </c>
      <c r="U3987" t="s">
        <v>22</v>
      </c>
      <c r="V3987" t="e">
        <f>IF(#REF! = "yes", 1, 0)</f>
        <v>#REF!</v>
      </c>
      <c r="W3987" t="e">
        <f>IF(#REF! &lt;= 1, "0-1 Calls", IF(#REF! &lt;= 3, "2-3 Calls", IF(#REF! &lt;=5, "4-5 Calls", "6+ Calls")))</f>
        <v>#REF!</v>
      </c>
      <c r="X3987" t="e">
        <f>IF(#REF! &lt;= 50, "0-50", IF(#REF! &lt;=100, "51-100", IF(#REF! &lt;= 150, "101-150", "151+")))</f>
        <v>#REF!</v>
      </c>
      <c r="Y3987" t="e">
        <f>IF(#REF! &lt;= 3, "Low Charges", "High Charges")</f>
        <v>#REF!</v>
      </c>
      <c r="Z3987" t="e">
        <f>IF(#REF!&lt;=80,"Low Calls",
IF(#REF!&lt;=120,"Medium Calls","High Calls"))</f>
        <v>#REF!</v>
      </c>
      <c r="AA3987" t="e">
        <f>IF(#REF!&lt;=15,"Low Charges",
IF(#REF!&lt;=20,"Medium Charges","High Charges"))</f>
        <v>#REF!</v>
      </c>
      <c r="AB3987" t="e">
        <f>IF(AND(#REF!&gt;180, #REF!&gt;200), "Heavy Doemstic User", IF(#REF!&gt;10, "Interntional User", IF(AND(#REF!&lt;180, #REF!&lt;200,#REF!&lt;200), "Light User", "Balanced User")))</f>
        <v>#REF!</v>
      </c>
      <c r="AC3987" t="e">
        <f>IF(#REF! = 0, "No Usage", IF(#REF! &lt;= 20, "Low Usage", IF(#REF! &lt;= 40, "Medium Usgae", "High Usage")))</f>
        <v>#REF!</v>
      </c>
      <c r="AD3987" t="e">
        <f>IF(#REF!&lt;=150,"Low Usage", IF(#REF!&lt;=200,"Medium Usage", IF(#REF!&lt;=250,"High Usage","Very High Usage")))</f>
        <v>#REF!</v>
      </c>
      <c r="AE3987" t="e">
        <f>IF(#REF!&lt;=5,"Low Calls", IF(#REF!&lt;=10, "Medium Calls", "High Calls"))</f>
        <v>#REF!</v>
      </c>
      <c r="AF3987" t="e">
        <f xml:space="preserve">
IF(#REF!&gt;=4,4,0)+
IF(#REF!="yes",3,0)+
IF(#REF!="High Charges",3,0)+
IF(#REF!&gt;250,4,0)+
IF(#REF!="no",1,0)+
IF(#REF!="Heavy Domestic User",2,0)</f>
        <v>#REF!</v>
      </c>
      <c r="AG3987" t="e">
        <f>IF(#REF!&gt;=10,"High Risk", IF(#REF!&gt;=5,"Medium Risk","Low Risk"))</f>
        <v>#REF!</v>
      </c>
      <c r="AH3987" t="e">
        <f>#REF! + #REF! + #REF! + #REF!</f>
        <v>#REF!</v>
      </c>
    </row>
    <row r="3988" spans="1:34" x14ac:dyDescent="0.35">
      <c r="A3988">
        <v>3987</v>
      </c>
      <c r="B3988" t="s">
        <v>27</v>
      </c>
      <c r="C3988">
        <v>98</v>
      </c>
      <c r="D3988" t="s">
        <v>21</v>
      </c>
      <c r="E3988" t="s">
        <v>22</v>
      </c>
      <c r="F3988" t="s">
        <v>22</v>
      </c>
      <c r="G3988">
        <v>0</v>
      </c>
      <c r="H3988">
        <v>182.6</v>
      </c>
      <c r="I3988">
        <v>76</v>
      </c>
      <c r="J3988">
        <v>31.04</v>
      </c>
      <c r="K3988">
        <v>145.19999999999999</v>
      </c>
      <c r="L3988">
        <v>75</v>
      </c>
      <c r="M3988">
        <v>12.34</v>
      </c>
      <c r="N3988">
        <v>162.6</v>
      </c>
      <c r="O3988">
        <v>127</v>
      </c>
      <c r="P3988">
        <v>7.32</v>
      </c>
      <c r="Q3988">
        <v>12</v>
      </c>
      <c r="R3988">
        <v>1</v>
      </c>
      <c r="S3988">
        <v>3.24</v>
      </c>
      <c r="T3988">
        <v>6</v>
      </c>
      <c r="U3988" t="s">
        <v>23</v>
      </c>
      <c r="V3988" t="e">
        <f>IF(#REF! = "yes", 1, 0)</f>
        <v>#REF!</v>
      </c>
      <c r="W3988" t="e">
        <f>IF(#REF! &lt;= 1, "0-1 Calls", IF(#REF! &lt;= 3, "2-3 Calls", IF(#REF! &lt;=5, "4-5 Calls", "6+ Calls")))</f>
        <v>#REF!</v>
      </c>
      <c r="X3988" t="e">
        <f>IF(#REF! &lt;= 50, "0-50", IF(#REF! &lt;=100, "51-100", IF(#REF! &lt;= 150, "101-150", "151+")))</f>
        <v>#REF!</v>
      </c>
      <c r="Y3988" t="e">
        <f>IF(#REF! &lt;= 3, "Low Charges", "High Charges")</f>
        <v>#REF!</v>
      </c>
      <c r="Z3988" t="e">
        <f>IF(#REF!&lt;=80,"Low Calls",
IF(#REF!&lt;=120,"Medium Calls","High Calls"))</f>
        <v>#REF!</v>
      </c>
      <c r="AA3988" t="e">
        <f>IF(#REF!&lt;=15,"Low Charges",
IF(#REF!&lt;=20,"Medium Charges","High Charges"))</f>
        <v>#REF!</v>
      </c>
      <c r="AB3988" t="e">
        <f>IF(AND(#REF!&gt;180, #REF!&gt;200), "Heavy Doemstic User", IF(#REF!&gt;10, "Interntional User", IF(AND(#REF!&lt;180, #REF!&lt;200,#REF!&lt;200), "Light User", "Balanced User")))</f>
        <v>#REF!</v>
      </c>
      <c r="AC3988" t="e">
        <f>IF(#REF! = 0, "No Usage", IF(#REF! &lt;= 20, "Low Usage", IF(#REF! &lt;= 40, "Medium Usgae", "High Usage")))</f>
        <v>#REF!</v>
      </c>
      <c r="AD3988" t="e">
        <f>IF(#REF!&lt;=150,"Low Usage", IF(#REF!&lt;=200,"Medium Usage", IF(#REF!&lt;=250,"High Usage","Very High Usage")))</f>
        <v>#REF!</v>
      </c>
      <c r="AE3988" t="e">
        <f>IF(#REF!&lt;=5,"Low Calls", IF(#REF!&lt;=10, "Medium Calls", "High Calls"))</f>
        <v>#REF!</v>
      </c>
      <c r="AF3988" t="e">
        <f xml:space="preserve">
IF(#REF!&gt;=4,4,0)+
IF(#REF!="yes",3,0)+
IF(#REF!="High Charges",3,0)+
IF(#REF!&gt;250,4,0)+
IF(#REF!="no",1,0)+
IF(#REF!="Heavy Domestic User",2,0)</f>
        <v>#REF!</v>
      </c>
      <c r="AG3988" t="e">
        <f>IF(#REF!&gt;=10,"High Risk", IF(#REF!&gt;=5,"Medium Risk","Low Risk"))</f>
        <v>#REF!</v>
      </c>
      <c r="AH3988" t="e">
        <f>#REF! + #REF! + #REF! + #REF!</f>
        <v>#REF!</v>
      </c>
    </row>
    <row r="3989" spans="1:34" x14ac:dyDescent="0.35">
      <c r="A3989">
        <v>3988</v>
      </c>
      <c r="B3989" t="s">
        <v>30</v>
      </c>
      <c r="C3989">
        <v>109</v>
      </c>
      <c r="D3989" t="s">
        <v>25</v>
      </c>
      <c r="E3989" t="s">
        <v>22</v>
      </c>
      <c r="F3989" t="s">
        <v>22</v>
      </c>
      <c r="G3989">
        <v>0</v>
      </c>
      <c r="H3989">
        <v>123</v>
      </c>
      <c r="I3989">
        <v>111</v>
      </c>
      <c r="J3989">
        <v>20.91</v>
      </c>
      <c r="K3989">
        <v>237.2</v>
      </c>
      <c r="L3989">
        <v>103</v>
      </c>
      <c r="M3989">
        <v>20.16</v>
      </c>
      <c r="N3989">
        <v>258.8</v>
      </c>
      <c r="O3989">
        <v>91</v>
      </c>
      <c r="P3989">
        <v>11.65</v>
      </c>
      <c r="Q3989">
        <v>9.3000000000000007</v>
      </c>
      <c r="R3989">
        <v>12</v>
      </c>
      <c r="S3989">
        <v>2.5099999999999998</v>
      </c>
      <c r="T3989">
        <v>1</v>
      </c>
      <c r="U3989" t="s">
        <v>22</v>
      </c>
      <c r="V3989" t="e">
        <f>IF(#REF! = "yes", 1, 0)</f>
        <v>#REF!</v>
      </c>
      <c r="W3989" t="e">
        <f>IF(#REF! &lt;= 1, "0-1 Calls", IF(#REF! &lt;= 3, "2-3 Calls", IF(#REF! &lt;=5, "4-5 Calls", "6+ Calls")))</f>
        <v>#REF!</v>
      </c>
      <c r="X3989" t="e">
        <f>IF(#REF! &lt;= 50, "0-50", IF(#REF! &lt;=100, "51-100", IF(#REF! &lt;= 150, "101-150", "151+")))</f>
        <v>#REF!</v>
      </c>
      <c r="Y3989" t="e">
        <f>IF(#REF! &lt;= 3, "Low Charges", "High Charges")</f>
        <v>#REF!</v>
      </c>
      <c r="Z3989" t="e">
        <f>IF(#REF!&lt;=80,"Low Calls",
IF(#REF!&lt;=120,"Medium Calls","High Calls"))</f>
        <v>#REF!</v>
      </c>
      <c r="AA3989" t="e">
        <f>IF(#REF!&lt;=15,"Low Charges",
IF(#REF!&lt;=20,"Medium Charges","High Charges"))</f>
        <v>#REF!</v>
      </c>
      <c r="AB3989" t="e">
        <f>IF(AND(#REF!&gt;180, #REF!&gt;200), "Heavy Doemstic User", IF(#REF!&gt;10, "Interntional User", IF(AND(#REF!&lt;180, #REF!&lt;200,#REF!&lt;200), "Light User", "Balanced User")))</f>
        <v>#REF!</v>
      </c>
      <c r="AC3989" t="e">
        <f>IF(#REF! = 0, "No Usage", IF(#REF! &lt;= 20, "Low Usage", IF(#REF! &lt;= 40, "Medium Usgae", "High Usage")))</f>
        <v>#REF!</v>
      </c>
      <c r="AD3989" t="e">
        <f>IF(#REF!&lt;=150,"Low Usage", IF(#REF!&lt;=200,"Medium Usage", IF(#REF!&lt;=250,"High Usage","Very High Usage")))</f>
        <v>#REF!</v>
      </c>
      <c r="AE3989" t="e">
        <f>IF(#REF!&lt;=5,"Low Calls", IF(#REF!&lt;=10, "Medium Calls", "High Calls"))</f>
        <v>#REF!</v>
      </c>
      <c r="AF3989" t="e">
        <f xml:space="preserve">
IF(#REF!&gt;=4,4,0)+
IF(#REF!="yes",3,0)+
IF(#REF!="High Charges",3,0)+
IF(#REF!&gt;250,4,0)+
IF(#REF!="no",1,0)+
IF(#REF!="Heavy Domestic User",2,0)</f>
        <v>#REF!</v>
      </c>
      <c r="AG3989" t="e">
        <f>IF(#REF!&gt;=10,"High Risk", IF(#REF!&gt;=5,"Medium Risk","Low Risk"))</f>
        <v>#REF!</v>
      </c>
      <c r="AH3989" t="e">
        <f>#REF! + #REF! + #REF! + #REF!</f>
        <v>#REF!</v>
      </c>
    </row>
    <row r="3990" spans="1:34" x14ac:dyDescent="0.35">
      <c r="A3990">
        <v>3989</v>
      </c>
      <c r="B3990" t="s">
        <v>34</v>
      </c>
      <c r="C3990">
        <v>84</v>
      </c>
      <c r="D3990" t="s">
        <v>21</v>
      </c>
      <c r="E3990" t="s">
        <v>22</v>
      </c>
      <c r="F3990" t="s">
        <v>22</v>
      </c>
      <c r="G3990">
        <v>0</v>
      </c>
      <c r="H3990">
        <v>169.9</v>
      </c>
      <c r="I3990">
        <v>96</v>
      </c>
      <c r="J3990">
        <v>28.88</v>
      </c>
      <c r="K3990">
        <v>190.3</v>
      </c>
      <c r="L3990">
        <v>103</v>
      </c>
      <c r="M3990">
        <v>16.18</v>
      </c>
      <c r="N3990">
        <v>188</v>
      </c>
      <c r="O3990">
        <v>82</v>
      </c>
      <c r="P3990">
        <v>8.4600000000000009</v>
      </c>
      <c r="Q3990">
        <v>8.6</v>
      </c>
      <c r="R3990">
        <v>2</v>
      </c>
      <c r="S3990">
        <v>2.3199999999999998</v>
      </c>
      <c r="T3990">
        <v>2</v>
      </c>
      <c r="U3990" t="s">
        <v>22</v>
      </c>
      <c r="V3990" t="e">
        <f>IF(#REF! = "yes", 1, 0)</f>
        <v>#REF!</v>
      </c>
      <c r="W3990" t="e">
        <f>IF(#REF! &lt;= 1, "0-1 Calls", IF(#REF! &lt;= 3, "2-3 Calls", IF(#REF! &lt;=5, "4-5 Calls", "6+ Calls")))</f>
        <v>#REF!</v>
      </c>
      <c r="X3990" t="e">
        <f>IF(#REF! &lt;= 50, "0-50", IF(#REF! &lt;=100, "51-100", IF(#REF! &lt;= 150, "101-150", "151+")))</f>
        <v>#REF!</v>
      </c>
      <c r="Y3990" t="e">
        <f>IF(#REF! &lt;= 3, "Low Charges", "High Charges")</f>
        <v>#REF!</v>
      </c>
      <c r="Z3990" t="e">
        <f>IF(#REF!&lt;=80,"Low Calls",
IF(#REF!&lt;=120,"Medium Calls","High Calls"))</f>
        <v>#REF!</v>
      </c>
      <c r="AA3990" t="e">
        <f>IF(#REF!&lt;=15,"Low Charges",
IF(#REF!&lt;=20,"Medium Charges","High Charges"))</f>
        <v>#REF!</v>
      </c>
      <c r="AB3990" t="e">
        <f>IF(AND(#REF!&gt;180, #REF!&gt;200), "Heavy Doemstic User", IF(#REF!&gt;10, "Interntional User", IF(AND(#REF!&lt;180, #REF!&lt;200,#REF!&lt;200), "Light User", "Balanced User")))</f>
        <v>#REF!</v>
      </c>
      <c r="AC3990" t="e">
        <f>IF(#REF! = 0, "No Usage", IF(#REF! &lt;= 20, "Low Usage", IF(#REF! &lt;= 40, "Medium Usgae", "High Usage")))</f>
        <v>#REF!</v>
      </c>
      <c r="AD3990" t="e">
        <f>IF(#REF!&lt;=150,"Low Usage", IF(#REF!&lt;=200,"Medium Usage", IF(#REF!&lt;=250,"High Usage","Very High Usage")))</f>
        <v>#REF!</v>
      </c>
      <c r="AE3990" t="e">
        <f>IF(#REF!&lt;=5,"Low Calls", IF(#REF!&lt;=10, "Medium Calls", "High Calls"))</f>
        <v>#REF!</v>
      </c>
      <c r="AF3990" t="e">
        <f xml:space="preserve">
IF(#REF!&gt;=4,4,0)+
IF(#REF!="yes",3,0)+
IF(#REF!="High Charges",3,0)+
IF(#REF!&gt;250,4,0)+
IF(#REF!="no",1,0)+
IF(#REF!="Heavy Domestic User",2,0)</f>
        <v>#REF!</v>
      </c>
      <c r="AG3990" t="e">
        <f>IF(#REF!&gt;=10,"High Risk", IF(#REF!&gt;=5,"Medium Risk","Low Risk"))</f>
        <v>#REF!</v>
      </c>
      <c r="AH3990" t="e">
        <f>#REF! + #REF! + #REF! + #REF!</f>
        <v>#REF!</v>
      </c>
    </row>
    <row r="3991" spans="1:34" x14ac:dyDescent="0.35">
      <c r="A3991">
        <v>3990</v>
      </c>
      <c r="B3991" t="s">
        <v>66</v>
      </c>
      <c r="C3991">
        <v>157</v>
      </c>
      <c r="D3991" t="s">
        <v>25</v>
      </c>
      <c r="E3991" t="s">
        <v>22</v>
      </c>
      <c r="F3991" t="s">
        <v>23</v>
      </c>
      <c r="G3991">
        <v>27</v>
      </c>
      <c r="H3991">
        <v>201.4</v>
      </c>
      <c r="I3991">
        <v>85</v>
      </c>
      <c r="J3991">
        <v>34.24</v>
      </c>
      <c r="K3991">
        <v>101.3</v>
      </c>
      <c r="L3991">
        <v>60</v>
      </c>
      <c r="M3991">
        <v>8.61</v>
      </c>
      <c r="N3991">
        <v>258.5</v>
      </c>
      <c r="O3991">
        <v>113</v>
      </c>
      <c r="P3991">
        <v>11.63</v>
      </c>
      <c r="Q3991">
        <v>11.9</v>
      </c>
      <c r="R3991">
        <v>5</v>
      </c>
      <c r="S3991">
        <v>3.21</v>
      </c>
      <c r="T3991">
        <v>2</v>
      </c>
      <c r="U3991" t="s">
        <v>22</v>
      </c>
      <c r="V3991" t="e">
        <f>IF(#REF! = "yes", 1, 0)</f>
        <v>#REF!</v>
      </c>
      <c r="W3991" t="e">
        <f>IF(#REF! &lt;= 1, "0-1 Calls", IF(#REF! &lt;= 3, "2-3 Calls", IF(#REF! &lt;=5, "4-5 Calls", "6+ Calls")))</f>
        <v>#REF!</v>
      </c>
      <c r="X3991" t="e">
        <f>IF(#REF! &lt;= 50, "0-50", IF(#REF! &lt;=100, "51-100", IF(#REF! &lt;= 150, "101-150", "151+")))</f>
        <v>#REF!</v>
      </c>
      <c r="Y3991" t="e">
        <f>IF(#REF! &lt;= 3, "Low Charges", "High Charges")</f>
        <v>#REF!</v>
      </c>
      <c r="Z3991" t="e">
        <f>IF(#REF!&lt;=80,"Low Calls",
IF(#REF!&lt;=120,"Medium Calls","High Calls"))</f>
        <v>#REF!</v>
      </c>
      <c r="AA3991" t="e">
        <f>IF(#REF!&lt;=15,"Low Charges",
IF(#REF!&lt;=20,"Medium Charges","High Charges"))</f>
        <v>#REF!</v>
      </c>
      <c r="AB3991" t="e">
        <f>IF(AND(#REF!&gt;180, #REF!&gt;200), "Heavy Doemstic User", IF(#REF!&gt;10, "Interntional User", IF(AND(#REF!&lt;180, #REF!&lt;200,#REF!&lt;200), "Light User", "Balanced User")))</f>
        <v>#REF!</v>
      </c>
      <c r="AC3991" t="e">
        <f>IF(#REF! = 0, "No Usage", IF(#REF! &lt;= 20, "Low Usage", IF(#REF! &lt;= 40, "Medium Usgae", "High Usage")))</f>
        <v>#REF!</v>
      </c>
      <c r="AD3991" t="e">
        <f>IF(#REF!&lt;=150,"Low Usage", IF(#REF!&lt;=200,"Medium Usage", IF(#REF!&lt;=250,"High Usage","Very High Usage")))</f>
        <v>#REF!</v>
      </c>
      <c r="AE3991" t="e">
        <f>IF(#REF!&lt;=5,"Low Calls", IF(#REF!&lt;=10, "Medium Calls", "High Calls"))</f>
        <v>#REF!</v>
      </c>
      <c r="AF3991" t="e">
        <f xml:space="preserve">
IF(#REF!&gt;=4,4,0)+
IF(#REF!="yes",3,0)+
IF(#REF!="High Charges",3,0)+
IF(#REF!&gt;250,4,0)+
IF(#REF!="no",1,0)+
IF(#REF!="Heavy Domestic User",2,0)</f>
        <v>#REF!</v>
      </c>
      <c r="AG3991" t="e">
        <f>IF(#REF!&gt;=10,"High Risk", IF(#REF!&gt;=5,"Medium Risk","Low Risk"))</f>
        <v>#REF!</v>
      </c>
      <c r="AH3991" t="e">
        <f>#REF! + #REF! + #REF! + #REF!</f>
        <v>#REF!</v>
      </c>
    </row>
    <row r="3992" spans="1:34" x14ac:dyDescent="0.35">
      <c r="A3992">
        <v>3991</v>
      </c>
      <c r="B3992" t="s">
        <v>64</v>
      </c>
      <c r="C3992">
        <v>74</v>
      </c>
      <c r="D3992" t="s">
        <v>21</v>
      </c>
      <c r="E3992" t="s">
        <v>22</v>
      </c>
      <c r="F3992" t="s">
        <v>23</v>
      </c>
      <c r="G3992">
        <v>24</v>
      </c>
      <c r="H3992">
        <v>124.2</v>
      </c>
      <c r="I3992">
        <v>146</v>
      </c>
      <c r="J3992">
        <v>21.11</v>
      </c>
      <c r="K3992">
        <v>266.2</v>
      </c>
      <c r="L3992">
        <v>84</v>
      </c>
      <c r="M3992">
        <v>22.63</v>
      </c>
      <c r="N3992">
        <v>156.69999999999999</v>
      </c>
      <c r="O3992">
        <v>108</v>
      </c>
      <c r="P3992">
        <v>7.05</v>
      </c>
      <c r="Q3992">
        <v>11.5</v>
      </c>
      <c r="R3992">
        <v>6</v>
      </c>
      <c r="S3992">
        <v>3.11</v>
      </c>
      <c r="T3992">
        <v>3</v>
      </c>
      <c r="U3992" t="s">
        <v>22</v>
      </c>
      <c r="V3992" t="e">
        <f>IF(#REF! = "yes", 1, 0)</f>
        <v>#REF!</v>
      </c>
      <c r="W3992" t="e">
        <f>IF(#REF! &lt;= 1, "0-1 Calls", IF(#REF! &lt;= 3, "2-3 Calls", IF(#REF! &lt;=5, "4-5 Calls", "6+ Calls")))</f>
        <v>#REF!</v>
      </c>
      <c r="X3992" t="e">
        <f>IF(#REF! &lt;= 50, "0-50", IF(#REF! &lt;=100, "51-100", IF(#REF! &lt;= 150, "101-150", "151+")))</f>
        <v>#REF!</v>
      </c>
      <c r="Y3992" t="e">
        <f>IF(#REF! &lt;= 3, "Low Charges", "High Charges")</f>
        <v>#REF!</v>
      </c>
      <c r="Z3992" t="e">
        <f>IF(#REF!&lt;=80,"Low Calls",
IF(#REF!&lt;=120,"Medium Calls","High Calls"))</f>
        <v>#REF!</v>
      </c>
      <c r="AA3992" t="e">
        <f>IF(#REF!&lt;=15,"Low Charges",
IF(#REF!&lt;=20,"Medium Charges","High Charges"))</f>
        <v>#REF!</v>
      </c>
      <c r="AB3992" t="e">
        <f>IF(AND(#REF!&gt;180, #REF!&gt;200), "Heavy Doemstic User", IF(#REF!&gt;10, "Interntional User", IF(AND(#REF!&lt;180, #REF!&lt;200,#REF!&lt;200), "Light User", "Balanced User")))</f>
        <v>#REF!</v>
      </c>
      <c r="AC3992" t="e">
        <f>IF(#REF! = 0, "No Usage", IF(#REF! &lt;= 20, "Low Usage", IF(#REF! &lt;= 40, "Medium Usgae", "High Usage")))</f>
        <v>#REF!</v>
      </c>
      <c r="AD3992" t="e">
        <f>IF(#REF!&lt;=150,"Low Usage", IF(#REF!&lt;=200,"Medium Usage", IF(#REF!&lt;=250,"High Usage","Very High Usage")))</f>
        <v>#REF!</v>
      </c>
      <c r="AE3992" t="e">
        <f>IF(#REF!&lt;=5,"Low Calls", IF(#REF!&lt;=10, "Medium Calls", "High Calls"))</f>
        <v>#REF!</v>
      </c>
      <c r="AF3992" t="e">
        <f xml:space="preserve">
IF(#REF!&gt;=4,4,0)+
IF(#REF!="yes",3,0)+
IF(#REF!="High Charges",3,0)+
IF(#REF!&gt;250,4,0)+
IF(#REF!="no",1,0)+
IF(#REF!="Heavy Domestic User",2,0)</f>
        <v>#REF!</v>
      </c>
      <c r="AG3992" t="e">
        <f>IF(#REF!&gt;=10,"High Risk", IF(#REF!&gt;=5,"Medium Risk","Low Risk"))</f>
        <v>#REF!</v>
      </c>
      <c r="AH3992" t="e">
        <f>#REF! + #REF! + #REF! + #REF!</f>
        <v>#REF!</v>
      </c>
    </row>
    <row r="3993" spans="1:34" x14ac:dyDescent="0.35">
      <c r="A3993">
        <v>3992</v>
      </c>
      <c r="B3993" t="s">
        <v>27</v>
      </c>
      <c r="C3993">
        <v>66</v>
      </c>
      <c r="D3993" t="s">
        <v>25</v>
      </c>
      <c r="E3993" t="s">
        <v>22</v>
      </c>
      <c r="F3993" t="s">
        <v>22</v>
      </c>
      <c r="G3993">
        <v>0</v>
      </c>
      <c r="H3993">
        <v>128.19999999999999</v>
      </c>
      <c r="I3993">
        <v>109</v>
      </c>
      <c r="J3993">
        <v>21.79</v>
      </c>
      <c r="K3993">
        <v>274.5</v>
      </c>
      <c r="L3993">
        <v>112</v>
      </c>
      <c r="M3993">
        <v>23.33</v>
      </c>
      <c r="N3993">
        <v>211</v>
      </c>
      <c r="O3993">
        <v>90</v>
      </c>
      <c r="P3993">
        <v>9.49</v>
      </c>
      <c r="Q3993">
        <v>8.1</v>
      </c>
      <c r="R3993">
        <v>4</v>
      </c>
      <c r="S3993">
        <v>2.19</v>
      </c>
      <c r="T3993">
        <v>0</v>
      </c>
      <c r="U3993" t="s">
        <v>22</v>
      </c>
      <c r="V3993" t="e">
        <f>IF(#REF! = "yes", 1, 0)</f>
        <v>#REF!</v>
      </c>
      <c r="W3993" t="e">
        <f>IF(#REF! &lt;= 1, "0-1 Calls", IF(#REF! &lt;= 3, "2-3 Calls", IF(#REF! &lt;=5, "4-5 Calls", "6+ Calls")))</f>
        <v>#REF!</v>
      </c>
      <c r="X3993" t="e">
        <f>IF(#REF! &lt;= 50, "0-50", IF(#REF! &lt;=100, "51-100", IF(#REF! &lt;= 150, "101-150", "151+")))</f>
        <v>#REF!</v>
      </c>
      <c r="Y3993" t="e">
        <f>IF(#REF! &lt;= 3, "Low Charges", "High Charges")</f>
        <v>#REF!</v>
      </c>
      <c r="Z3993" t="e">
        <f>IF(#REF!&lt;=80,"Low Calls",
IF(#REF!&lt;=120,"Medium Calls","High Calls"))</f>
        <v>#REF!</v>
      </c>
      <c r="AA3993" t="e">
        <f>IF(#REF!&lt;=15,"Low Charges",
IF(#REF!&lt;=20,"Medium Charges","High Charges"))</f>
        <v>#REF!</v>
      </c>
      <c r="AB3993" t="e">
        <f>IF(AND(#REF!&gt;180, #REF!&gt;200), "Heavy Doemstic User", IF(#REF!&gt;10, "Interntional User", IF(AND(#REF!&lt;180, #REF!&lt;200,#REF!&lt;200), "Light User", "Balanced User")))</f>
        <v>#REF!</v>
      </c>
      <c r="AC3993" t="e">
        <f>IF(#REF! = 0, "No Usage", IF(#REF! &lt;= 20, "Low Usage", IF(#REF! &lt;= 40, "Medium Usgae", "High Usage")))</f>
        <v>#REF!</v>
      </c>
      <c r="AD3993" t="e">
        <f>IF(#REF!&lt;=150,"Low Usage", IF(#REF!&lt;=200,"Medium Usage", IF(#REF!&lt;=250,"High Usage","Very High Usage")))</f>
        <v>#REF!</v>
      </c>
      <c r="AE3993" t="e">
        <f>IF(#REF!&lt;=5,"Low Calls", IF(#REF!&lt;=10, "Medium Calls", "High Calls"))</f>
        <v>#REF!</v>
      </c>
      <c r="AF3993" t="e">
        <f xml:space="preserve">
IF(#REF!&gt;=4,4,0)+
IF(#REF!="yes",3,0)+
IF(#REF!="High Charges",3,0)+
IF(#REF!&gt;250,4,0)+
IF(#REF!="no",1,0)+
IF(#REF!="Heavy Domestic User",2,0)</f>
        <v>#REF!</v>
      </c>
      <c r="AG3993" t="e">
        <f>IF(#REF!&gt;=10,"High Risk", IF(#REF!&gt;=5,"Medium Risk","Low Risk"))</f>
        <v>#REF!</v>
      </c>
      <c r="AH3993" t="e">
        <f>#REF! + #REF! + #REF! + #REF!</f>
        <v>#REF!</v>
      </c>
    </row>
    <row r="3994" spans="1:34" x14ac:dyDescent="0.35">
      <c r="A3994">
        <v>3993</v>
      </c>
      <c r="B3994" t="s">
        <v>57</v>
      </c>
      <c r="C3994">
        <v>142</v>
      </c>
      <c r="D3994" t="s">
        <v>25</v>
      </c>
      <c r="E3994" t="s">
        <v>22</v>
      </c>
      <c r="F3994" t="s">
        <v>23</v>
      </c>
      <c r="G3994">
        <v>20</v>
      </c>
      <c r="H3994">
        <v>214.3</v>
      </c>
      <c r="I3994">
        <v>126</v>
      </c>
      <c r="J3994">
        <v>36.43</v>
      </c>
      <c r="K3994">
        <v>250.1</v>
      </c>
      <c r="L3994">
        <v>102</v>
      </c>
      <c r="M3994">
        <v>21.26</v>
      </c>
      <c r="N3994">
        <v>189.7</v>
      </c>
      <c r="O3994">
        <v>116</v>
      </c>
      <c r="P3994">
        <v>8.5399999999999991</v>
      </c>
      <c r="Q3994">
        <v>10.6</v>
      </c>
      <c r="R3994">
        <v>4</v>
      </c>
      <c r="S3994">
        <v>2.86</v>
      </c>
      <c r="T3994">
        <v>4</v>
      </c>
      <c r="U3994" t="s">
        <v>22</v>
      </c>
      <c r="V3994" t="e">
        <f>IF(#REF! = "yes", 1, 0)</f>
        <v>#REF!</v>
      </c>
      <c r="W3994" t="e">
        <f>IF(#REF! &lt;= 1, "0-1 Calls", IF(#REF! &lt;= 3, "2-3 Calls", IF(#REF! &lt;=5, "4-5 Calls", "6+ Calls")))</f>
        <v>#REF!</v>
      </c>
      <c r="X3994" t="e">
        <f>IF(#REF! &lt;= 50, "0-50", IF(#REF! &lt;=100, "51-100", IF(#REF! &lt;= 150, "101-150", "151+")))</f>
        <v>#REF!</v>
      </c>
      <c r="Y3994" t="e">
        <f>IF(#REF! &lt;= 3, "Low Charges", "High Charges")</f>
        <v>#REF!</v>
      </c>
      <c r="Z3994" t="e">
        <f>IF(#REF!&lt;=80,"Low Calls",
IF(#REF!&lt;=120,"Medium Calls","High Calls"))</f>
        <v>#REF!</v>
      </c>
      <c r="AA3994" t="e">
        <f>IF(#REF!&lt;=15,"Low Charges",
IF(#REF!&lt;=20,"Medium Charges","High Charges"))</f>
        <v>#REF!</v>
      </c>
      <c r="AB3994" t="e">
        <f>IF(AND(#REF!&gt;180, #REF!&gt;200), "Heavy Doemstic User", IF(#REF!&gt;10, "Interntional User", IF(AND(#REF!&lt;180, #REF!&lt;200,#REF!&lt;200), "Light User", "Balanced User")))</f>
        <v>#REF!</v>
      </c>
      <c r="AC3994" t="e">
        <f>IF(#REF! = 0, "No Usage", IF(#REF! &lt;= 20, "Low Usage", IF(#REF! &lt;= 40, "Medium Usgae", "High Usage")))</f>
        <v>#REF!</v>
      </c>
      <c r="AD3994" t="e">
        <f>IF(#REF!&lt;=150,"Low Usage", IF(#REF!&lt;=200,"Medium Usage", IF(#REF!&lt;=250,"High Usage","Very High Usage")))</f>
        <v>#REF!</v>
      </c>
      <c r="AE3994" t="e">
        <f>IF(#REF!&lt;=5,"Low Calls", IF(#REF!&lt;=10, "Medium Calls", "High Calls"))</f>
        <v>#REF!</v>
      </c>
      <c r="AF3994" t="e">
        <f xml:space="preserve">
IF(#REF!&gt;=4,4,0)+
IF(#REF!="yes",3,0)+
IF(#REF!="High Charges",3,0)+
IF(#REF!&gt;250,4,0)+
IF(#REF!="no",1,0)+
IF(#REF!="Heavy Domestic User",2,0)</f>
        <v>#REF!</v>
      </c>
      <c r="AG3994" t="e">
        <f>IF(#REF!&gt;=10,"High Risk", IF(#REF!&gt;=5,"Medium Risk","Low Risk"))</f>
        <v>#REF!</v>
      </c>
      <c r="AH3994" t="e">
        <f>#REF! + #REF! + #REF! + #REF!</f>
        <v>#REF!</v>
      </c>
    </row>
    <row r="3995" spans="1:34" x14ac:dyDescent="0.35">
      <c r="A3995">
        <v>3994</v>
      </c>
      <c r="B3995" t="s">
        <v>59</v>
      </c>
      <c r="C3995">
        <v>136</v>
      </c>
      <c r="D3995" t="s">
        <v>21</v>
      </c>
      <c r="E3995" t="s">
        <v>22</v>
      </c>
      <c r="F3995" t="s">
        <v>23</v>
      </c>
      <c r="G3995">
        <v>24</v>
      </c>
      <c r="H3995">
        <v>243.3</v>
      </c>
      <c r="I3995">
        <v>107</v>
      </c>
      <c r="J3995">
        <v>41.36</v>
      </c>
      <c r="K3995">
        <v>226.8</v>
      </c>
      <c r="L3995">
        <v>111</v>
      </c>
      <c r="M3995">
        <v>19.28</v>
      </c>
      <c r="N3995">
        <v>138.5</v>
      </c>
      <c r="O3995">
        <v>117</v>
      </c>
      <c r="P3995">
        <v>6.23</v>
      </c>
      <c r="Q3995">
        <v>11</v>
      </c>
      <c r="R3995">
        <v>4</v>
      </c>
      <c r="S3995">
        <v>2.97</v>
      </c>
      <c r="T3995">
        <v>4</v>
      </c>
      <c r="U3995" t="s">
        <v>22</v>
      </c>
      <c r="V3995" t="e">
        <f>IF(#REF! = "yes", 1, 0)</f>
        <v>#REF!</v>
      </c>
      <c r="W3995" t="e">
        <f>IF(#REF! &lt;= 1, "0-1 Calls", IF(#REF! &lt;= 3, "2-3 Calls", IF(#REF! &lt;=5, "4-5 Calls", "6+ Calls")))</f>
        <v>#REF!</v>
      </c>
      <c r="X3995" t="e">
        <f>IF(#REF! &lt;= 50, "0-50", IF(#REF! &lt;=100, "51-100", IF(#REF! &lt;= 150, "101-150", "151+")))</f>
        <v>#REF!</v>
      </c>
      <c r="Y3995" t="e">
        <f>IF(#REF! &lt;= 3, "Low Charges", "High Charges")</f>
        <v>#REF!</v>
      </c>
      <c r="Z3995" t="e">
        <f>IF(#REF!&lt;=80,"Low Calls",
IF(#REF!&lt;=120,"Medium Calls","High Calls"))</f>
        <v>#REF!</v>
      </c>
      <c r="AA3995" t="e">
        <f>IF(#REF!&lt;=15,"Low Charges",
IF(#REF!&lt;=20,"Medium Charges","High Charges"))</f>
        <v>#REF!</v>
      </c>
      <c r="AB3995" t="e">
        <f>IF(AND(#REF!&gt;180, #REF!&gt;200), "Heavy Doemstic User", IF(#REF!&gt;10, "Interntional User", IF(AND(#REF!&lt;180, #REF!&lt;200,#REF!&lt;200), "Light User", "Balanced User")))</f>
        <v>#REF!</v>
      </c>
      <c r="AC3995" t="e">
        <f>IF(#REF! = 0, "No Usage", IF(#REF! &lt;= 20, "Low Usage", IF(#REF! &lt;= 40, "Medium Usgae", "High Usage")))</f>
        <v>#REF!</v>
      </c>
      <c r="AD3995" t="e">
        <f>IF(#REF!&lt;=150,"Low Usage", IF(#REF!&lt;=200,"Medium Usage", IF(#REF!&lt;=250,"High Usage","Very High Usage")))</f>
        <v>#REF!</v>
      </c>
      <c r="AE3995" t="e">
        <f>IF(#REF!&lt;=5,"Low Calls", IF(#REF!&lt;=10, "Medium Calls", "High Calls"))</f>
        <v>#REF!</v>
      </c>
      <c r="AF3995" t="e">
        <f xml:space="preserve">
IF(#REF!&gt;=4,4,0)+
IF(#REF!="yes",3,0)+
IF(#REF!="High Charges",3,0)+
IF(#REF!&gt;250,4,0)+
IF(#REF!="no",1,0)+
IF(#REF!="Heavy Domestic User",2,0)</f>
        <v>#REF!</v>
      </c>
      <c r="AG3995" t="e">
        <f>IF(#REF!&gt;=10,"High Risk", IF(#REF!&gt;=5,"Medium Risk","Low Risk"))</f>
        <v>#REF!</v>
      </c>
      <c r="AH3995" t="e">
        <f>#REF! + #REF! + #REF! + #REF!</f>
        <v>#REF!</v>
      </c>
    </row>
    <row r="3996" spans="1:34" x14ac:dyDescent="0.35">
      <c r="A3996">
        <v>3995</v>
      </c>
      <c r="B3996" t="s">
        <v>32</v>
      </c>
      <c r="C3996">
        <v>75</v>
      </c>
      <c r="D3996" t="s">
        <v>28</v>
      </c>
      <c r="E3996" t="s">
        <v>22</v>
      </c>
      <c r="F3996" t="s">
        <v>23</v>
      </c>
      <c r="G3996">
        <v>17</v>
      </c>
      <c r="H3996">
        <v>200.7</v>
      </c>
      <c r="I3996">
        <v>107</v>
      </c>
      <c r="J3996">
        <v>34.119999999999997</v>
      </c>
      <c r="K3996">
        <v>212.5</v>
      </c>
      <c r="L3996">
        <v>109</v>
      </c>
      <c r="M3996">
        <v>18.059999999999999</v>
      </c>
      <c r="N3996">
        <v>204</v>
      </c>
      <c r="O3996">
        <v>136</v>
      </c>
      <c r="P3996">
        <v>9.18</v>
      </c>
      <c r="Q3996">
        <v>12.9</v>
      </c>
      <c r="R3996">
        <v>3</v>
      </c>
      <c r="S3996">
        <v>3.48</v>
      </c>
      <c r="T3996">
        <v>4</v>
      </c>
      <c r="U3996" t="s">
        <v>22</v>
      </c>
      <c r="V3996" t="e">
        <f>IF(#REF! = "yes", 1, 0)</f>
        <v>#REF!</v>
      </c>
      <c r="W3996" t="e">
        <f>IF(#REF! &lt;= 1, "0-1 Calls", IF(#REF! &lt;= 3, "2-3 Calls", IF(#REF! &lt;=5, "4-5 Calls", "6+ Calls")))</f>
        <v>#REF!</v>
      </c>
      <c r="X3996" t="e">
        <f>IF(#REF! &lt;= 50, "0-50", IF(#REF! &lt;=100, "51-100", IF(#REF! &lt;= 150, "101-150", "151+")))</f>
        <v>#REF!</v>
      </c>
      <c r="Y3996" t="e">
        <f>IF(#REF! &lt;= 3, "Low Charges", "High Charges")</f>
        <v>#REF!</v>
      </c>
      <c r="Z3996" t="e">
        <f>IF(#REF!&lt;=80,"Low Calls",
IF(#REF!&lt;=120,"Medium Calls","High Calls"))</f>
        <v>#REF!</v>
      </c>
      <c r="AA3996" t="e">
        <f>IF(#REF!&lt;=15,"Low Charges",
IF(#REF!&lt;=20,"Medium Charges","High Charges"))</f>
        <v>#REF!</v>
      </c>
      <c r="AB3996" t="e">
        <f>IF(AND(#REF!&gt;180, #REF!&gt;200), "Heavy Doemstic User", IF(#REF!&gt;10, "Interntional User", IF(AND(#REF!&lt;180, #REF!&lt;200,#REF!&lt;200), "Light User", "Balanced User")))</f>
        <v>#REF!</v>
      </c>
      <c r="AC3996" t="e">
        <f>IF(#REF! = 0, "No Usage", IF(#REF! &lt;= 20, "Low Usage", IF(#REF! &lt;= 40, "Medium Usgae", "High Usage")))</f>
        <v>#REF!</v>
      </c>
      <c r="AD3996" t="e">
        <f>IF(#REF!&lt;=150,"Low Usage", IF(#REF!&lt;=200,"Medium Usage", IF(#REF!&lt;=250,"High Usage","Very High Usage")))</f>
        <v>#REF!</v>
      </c>
      <c r="AE3996" t="e">
        <f>IF(#REF!&lt;=5,"Low Calls", IF(#REF!&lt;=10, "Medium Calls", "High Calls"))</f>
        <v>#REF!</v>
      </c>
      <c r="AF3996" t="e">
        <f xml:space="preserve">
IF(#REF!&gt;=4,4,0)+
IF(#REF!="yes",3,0)+
IF(#REF!="High Charges",3,0)+
IF(#REF!&gt;250,4,0)+
IF(#REF!="no",1,0)+
IF(#REF!="Heavy Domestic User",2,0)</f>
        <v>#REF!</v>
      </c>
      <c r="AG3996" t="e">
        <f>IF(#REF!&gt;=10,"High Risk", IF(#REF!&gt;=5,"Medium Risk","Low Risk"))</f>
        <v>#REF!</v>
      </c>
      <c r="AH3996" t="e">
        <f>#REF! + #REF! + #REF! + #REF!</f>
        <v>#REF!</v>
      </c>
    </row>
    <row r="3997" spans="1:34" x14ac:dyDescent="0.35">
      <c r="A3997">
        <v>3996</v>
      </c>
      <c r="B3997" t="s">
        <v>60</v>
      </c>
      <c r="C3997">
        <v>59</v>
      </c>
      <c r="D3997" t="s">
        <v>21</v>
      </c>
      <c r="E3997" t="s">
        <v>22</v>
      </c>
      <c r="F3997" t="s">
        <v>22</v>
      </c>
      <c r="G3997">
        <v>0</v>
      </c>
      <c r="H3997">
        <v>231.4</v>
      </c>
      <c r="I3997">
        <v>93</v>
      </c>
      <c r="J3997">
        <v>39.340000000000003</v>
      </c>
      <c r="K3997">
        <v>168</v>
      </c>
      <c r="L3997">
        <v>92</v>
      </c>
      <c r="M3997">
        <v>14.28</v>
      </c>
      <c r="N3997">
        <v>257.2</v>
      </c>
      <c r="O3997">
        <v>124</v>
      </c>
      <c r="P3997">
        <v>11.57</v>
      </c>
      <c r="Q3997">
        <v>11.4</v>
      </c>
      <c r="R3997">
        <v>5</v>
      </c>
      <c r="S3997">
        <v>3.08</v>
      </c>
      <c r="T3997">
        <v>2</v>
      </c>
      <c r="U3997" t="s">
        <v>22</v>
      </c>
      <c r="V3997" t="e">
        <f>IF(#REF! = "yes", 1, 0)</f>
        <v>#REF!</v>
      </c>
      <c r="W3997" t="e">
        <f>IF(#REF! &lt;= 1, "0-1 Calls", IF(#REF! &lt;= 3, "2-3 Calls", IF(#REF! &lt;=5, "4-5 Calls", "6+ Calls")))</f>
        <v>#REF!</v>
      </c>
      <c r="X3997" t="e">
        <f>IF(#REF! &lt;= 50, "0-50", IF(#REF! &lt;=100, "51-100", IF(#REF! &lt;= 150, "101-150", "151+")))</f>
        <v>#REF!</v>
      </c>
      <c r="Y3997" t="e">
        <f>IF(#REF! &lt;= 3, "Low Charges", "High Charges")</f>
        <v>#REF!</v>
      </c>
      <c r="Z3997" t="e">
        <f>IF(#REF!&lt;=80,"Low Calls",
IF(#REF!&lt;=120,"Medium Calls","High Calls"))</f>
        <v>#REF!</v>
      </c>
      <c r="AA3997" t="e">
        <f>IF(#REF!&lt;=15,"Low Charges",
IF(#REF!&lt;=20,"Medium Charges","High Charges"))</f>
        <v>#REF!</v>
      </c>
      <c r="AB3997" t="e">
        <f>IF(AND(#REF!&gt;180, #REF!&gt;200), "Heavy Doemstic User", IF(#REF!&gt;10, "Interntional User", IF(AND(#REF!&lt;180, #REF!&lt;200,#REF!&lt;200), "Light User", "Balanced User")))</f>
        <v>#REF!</v>
      </c>
      <c r="AC3997" t="e">
        <f>IF(#REF! = 0, "No Usage", IF(#REF! &lt;= 20, "Low Usage", IF(#REF! &lt;= 40, "Medium Usgae", "High Usage")))</f>
        <v>#REF!</v>
      </c>
      <c r="AD3997" t="e">
        <f>IF(#REF!&lt;=150,"Low Usage", IF(#REF!&lt;=200,"Medium Usage", IF(#REF!&lt;=250,"High Usage","Very High Usage")))</f>
        <v>#REF!</v>
      </c>
      <c r="AE3997" t="e">
        <f>IF(#REF!&lt;=5,"Low Calls", IF(#REF!&lt;=10, "Medium Calls", "High Calls"))</f>
        <v>#REF!</v>
      </c>
      <c r="AF3997" t="e">
        <f xml:space="preserve">
IF(#REF!&gt;=4,4,0)+
IF(#REF!="yes",3,0)+
IF(#REF!="High Charges",3,0)+
IF(#REF!&gt;250,4,0)+
IF(#REF!="no",1,0)+
IF(#REF!="Heavy Domestic User",2,0)</f>
        <v>#REF!</v>
      </c>
      <c r="AG3997" t="e">
        <f>IF(#REF!&gt;=10,"High Risk", IF(#REF!&gt;=5,"Medium Risk","Low Risk"))</f>
        <v>#REF!</v>
      </c>
      <c r="AH3997" t="e">
        <f>#REF! + #REF! + #REF! + #REF!</f>
        <v>#REF!</v>
      </c>
    </row>
    <row r="3998" spans="1:34" x14ac:dyDescent="0.35">
      <c r="A3998">
        <v>3997</v>
      </c>
      <c r="B3998" t="s">
        <v>52</v>
      </c>
      <c r="C3998">
        <v>45</v>
      </c>
      <c r="D3998" t="s">
        <v>21</v>
      </c>
      <c r="E3998" t="s">
        <v>22</v>
      </c>
      <c r="F3998" t="s">
        <v>23</v>
      </c>
      <c r="G3998">
        <v>32</v>
      </c>
      <c r="H3998">
        <v>235</v>
      </c>
      <c r="I3998">
        <v>85</v>
      </c>
      <c r="J3998">
        <v>39.950000000000003</v>
      </c>
      <c r="K3998">
        <v>240.5</v>
      </c>
      <c r="L3998">
        <v>101</v>
      </c>
      <c r="M3998">
        <v>20.440000000000001</v>
      </c>
      <c r="N3998">
        <v>147.1</v>
      </c>
      <c r="O3998">
        <v>88</v>
      </c>
      <c r="P3998">
        <v>6.62</v>
      </c>
      <c r="Q3998">
        <v>7.7</v>
      </c>
      <c r="R3998">
        <v>3</v>
      </c>
      <c r="S3998">
        <v>2.08</v>
      </c>
      <c r="T3998">
        <v>2</v>
      </c>
      <c r="U3998" t="s">
        <v>22</v>
      </c>
      <c r="V3998" t="e">
        <f>IF(#REF! = "yes", 1, 0)</f>
        <v>#REF!</v>
      </c>
      <c r="W3998" t="e">
        <f>IF(#REF! &lt;= 1, "0-1 Calls", IF(#REF! &lt;= 3, "2-3 Calls", IF(#REF! &lt;=5, "4-5 Calls", "6+ Calls")))</f>
        <v>#REF!</v>
      </c>
      <c r="X3998" t="e">
        <f>IF(#REF! &lt;= 50, "0-50", IF(#REF! &lt;=100, "51-100", IF(#REF! &lt;= 150, "101-150", "151+")))</f>
        <v>#REF!</v>
      </c>
      <c r="Y3998" t="e">
        <f>IF(#REF! &lt;= 3, "Low Charges", "High Charges")</f>
        <v>#REF!</v>
      </c>
      <c r="Z3998" t="e">
        <f>IF(#REF!&lt;=80,"Low Calls",
IF(#REF!&lt;=120,"Medium Calls","High Calls"))</f>
        <v>#REF!</v>
      </c>
      <c r="AA3998" t="e">
        <f>IF(#REF!&lt;=15,"Low Charges",
IF(#REF!&lt;=20,"Medium Charges","High Charges"))</f>
        <v>#REF!</v>
      </c>
      <c r="AB3998" t="e">
        <f>IF(AND(#REF!&gt;180, #REF!&gt;200), "Heavy Doemstic User", IF(#REF!&gt;10, "Interntional User", IF(AND(#REF!&lt;180, #REF!&lt;200,#REF!&lt;200), "Light User", "Balanced User")))</f>
        <v>#REF!</v>
      </c>
      <c r="AC3998" t="e">
        <f>IF(#REF! = 0, "No Usage", IF(#REF! &lt;= 20, "Low Usage", IF(#REF! &lt;= 40, "Medium Usgae", "High Usage")))</f>
        <v>#REF!</v>
      </c>
      <c r="AD3998" t="e">
        <f>IF(#REF!&lt;=150,"Low Usage", IF(#REF!&lt;=200,"Medium Usage", IF(#REF!&lt;=250,"High Usage","Very High Usage")))</f>
        <v>#REF!</v>
      </c>
      <c r="AE3998" t="e">
        <f>IF(#REF!&lt;=5,"Low Calls", IF(#REF!&lt;=10, "Medium Calls", "High Calls"))</f>
        <v>#REF!</v>
      </c>
      <c r="AF3998" t="e">
        <f xml:space="preserve">
IF(#REF!&gt;=4,4,0)+
IF(#REF!="yes",3,0)+
IF(#REF!="High Charges",3,0)+
IF(#REF!&gt;250,4,0)+
IF(#REF!="no",1,0)+
IF(#REF!="Heavy Domestic User",2,0)</f>
        <v>#REF!</v>
      </c>
      <c r="AG3998" t="e">
        <f>IF(#REF!&gt;=10,"High Risk", IF(#REF!&gt;=5,"Medium Risk","Low Risk"))</f>
        <v>#REF!</v>
      </c>
      <c r="AH3998" t="e">
        <f>#REF! + #REF! + #REF! + #REF!</f>
        <v>#REF!</v>
      </c>
    </row>
    <row r="3999" spans="1:34" x14ac:dyDescent="0.35">
      <c r="A3999">
        <v>3998</v>
      </c>
      <c r="B3999" t="s">
        <v>31</v>
      </c>
      <c r="C3999">
        <v>48</v>
      </c>
      <c r="D3999" t="s">
        <v>25</v>
      </c>
      <c r="E3999" t="s">
        <v>22</v>
      </c>
      <c r="F3999" t="s">
        <v>22</v>
      </c>
      <c r="G3999">
        <v>0</v>
      </c>
      <c r="H3999">
        <v>237.5</v>
      </c>
      <c r="I3999">
        <v>117</v>
      </c>
      <c r="J3999">
        <v>40.380000000000003</v>
      </c>
      <c r="K3999">
        <v>211.1</v>
      </c>
      <c r="L3999">
        <v>114</v>
      </c>
      <c r="M3999">
        <v>17.940000000000001</v>
      </c>
      <c r="N3999">
        <v>163.9</v>
      </c>
      <c r="O3999">
        <v>114</v>
      </c>
      <c r="P3999">
        <v>7.38</v>
      </c>
      <c r="Q3999">
        <v>9.6999999999999993</v>
      </c>
      <c r="R3999">
        <v>3</v>
      </c>
      <c r="S3999">
        <v>2.62</v>
      </c>
      <c r="T3999">
        <v>1</v>
      </c>
      <c r="U3999" t="s">
        <v>22</v>
      </c>
      <c r="V3999" t="e">
        <f>IF(#REF! = "yes", 1, 0)</f>
        <v>#REF!</v>
      </c>
      <c r="W3999" t="e">
        <f>IF(#REF! &lt;= 1, "0-1 Calls", IF(#REF! &lt;= 3, "2-3 Calls", IF(#REF! &lt;=5, "4-5 Calls", "6+ Calls")))</f>
        <v>#REF!</v>
      </c>
      <c r="X3999" t="e">
        <f>IF(#REF! &lt;= 50, "0-50", IF(#REF! &lt;=100, "51-100", IF(#REF! &lt;= 150, "101-150", "151+")))</f>
        <v>#REF!</v>
      </c>
      <c r="Y3999" t="e">
        <f>IF(#REF! &lt;= 3, "Low Charges", "High Charges")</f>
        <v>#REF!</v>
      </c>
      <c r="Z3999" t="e">
        <f>IF(#REF!&lt;=80,"Low Calls",
IF(#REF!&lt;=120,"Medium Calls","High Calls"))</f>
        <v>#REF!</v>
      </c>
      <c r="AA3999" t="e">
        <f>IF(#REF!&lt;=15,"Low Charges",
IF(#REF!&lt;=20,"Medium Charges","High Charges"))</f>
        <v>#REF!</v>
      </c>
      <c r="AB3999" t="e">
        <f>IF(AND(#REF!&gt;180, #REF!&gt;200), "Heavy Doemstic User", IF(#REF!&gt;10, "Interntional User", IF(AND(#REF!&lt;180, #REF!&lt;200,#REF!&lt;200), "Light User", "Balanced User")))</f>
        <v>#REF!</v>
      </c>
      <c r="AC3999" t="e">
        <f>IF(#REF! = 0, "No Usage", IF(#REF! &lt;= 20, "Low Usage", IF(#REF! &lt;= 40, "Medium Usgae", "High Usage")))</f>
        <v>#REF!</v>
      </c>
      <c r="AD3999" t="e">
        <f>IF(#REF!&lt;=150,"Low Usage", IF(#REF!&lt;=200,"Medium Usage", IF(#REF!&lt;=250,"High Usage","Very High Usage")))</f>
        <v>#REF!</v>
      </c>
      <c r="AE3999" t="e">
        <f>IF(#REF!&lt;=5,"Low Calls", IF(#REF!&lt;=10, "Medium Calls", "High Calls"))</f>
        <v>#REF!</v>
      </c>
      <c r="AF3999" t="e">
        <f xml:space="preserve">
IF(#REF!&gt;=4,4,0)+
IF(#REF!="yes",3,0)+
IF(#REF!="High Charges",3,0)+
IF(#REF!&gt;250,4,0)+
IF(#REF!="no",1,0)+
IF(#REF!="Heavy Domestic User",2,0)</f>
        <v>#REF!</v>
      </c>
      <c r="AG3999" t="e">
        <f>IF(#REF!&gt;=10,"High Risk", IF(#REF!&gt;=5,"Medium Risk","Low Risk"))</f>
        <v>#REF!</v>
      </c>
      <c r="AH3999" t="e">
        <f>#REF! + #REF! + #REF! + #REF!</f>
        <v>#REF!</v>
      </c>
    </row>
    <row r="4000" spans="1:34" x14ac:dyDescent="0.35">
      <c r="A4000">
        <v>3999</v>
      </c>
      <c r="B4000" t="s">
        <v>29</v>
      </c>
      <c r="C4000">
        <v>16</v>
      </c>
      <c r="D4000" t="s">
        <v>28</v>
      </c>
      <c r="E4000" t="s">
        <v>22</v>
      </c>
      <c r="F4000" t="s">
        <v>22</v>
      </c>
      <c r="G4000">
        <v>0</v>
      </c>
      <c r="H4000">
        <v>228.3</v>
      </c>
      <c r="I4000">
        <v>80</v>
      </c>
      <c r="J4000">
        <v>38.81</v>
      </c>
      <c r="K4000">
        <v>130.9</v>
      </c>
      <c r="L4000">
        <v>75</v>
      </c>
      <c r="M4000">
        <v>11.13</v>
      </c>
      <c r="N4000">
        <v>156.69999999999999</v>
      </c>
      <c r="O4000">
        <v>98</v>
      </c>
      <c r="P4000">
        <v>7.05</v>
      </c>
      <c r="Q4000">
        <v>8.4</v>
      </c>
      <c r="R4000">
        <v>9</v>
      </c>
      <c r="S4000">
        <v>2.27</v>
      </c>
      <c r="T4000">
        <v>1</v>
      </c>
      <c r="U4000" t="s">
        <v>22</v>
      </c>
      <c r="V4000" t="e">
        <f>IF(#REF! = "yes", 1, 0)</f>
        <v>#REF!</v>
      </c>
      <c r="W4000" t="e">
        <f>IF(#REF! &lt;= 1, "0-1 Calls", IF(#REF! &lt;= 3, "2-3 Calls", IF(#REF! &lt;=5, "4-5 Calls", "6+ Calls")))</f>
        <v>#REF!</v>
      </c>
      <c r="X4000" t="e">
        <f>IF(#REF! &lt;= 50, "0-50", IF(#REF! &lt;=100, "51-100", IF(#REF! &lt;= 150, "101-150", "151+")))</f>
        <v>#REF!</v>
      </c>
      <c r="Y4000" t="e">
        <f>IF(#REF! &lt;= 3, "Low Charges", "High Charges")</f>
        <v>#REF!</v>
      </c>
      <c r="Z4000" t="e">
        <f>IF(#REF!&lt;=80,"Low Calls",
IF(#REF!&lt;=120,"Medium Calls","High Calls"))</f>
        <v>#REF!</v>
      </c>
      <c r="AA4000" t="e">
        <f>IF(#REF!&lt;=15,"Low Charges",
IF(#REF!&lt;=20,"Medium Charges","High Charges"))</f>
        <v>#REF!</v>
      </c>
      <c r="AB4000" t="e">
        <f>IF(AND(#REF!&gt;180, #REF!&gt;200), "Heavy Doemstic User", IF(#REF!&gt;10, "Interntional User", IF(AND(#REF!&lt;180, #REF!&lt;200,#REF!&lt;200), "Light User", "Balanced User")))</f>
        <v>#REF!</v>
      </c>
      <c r="AC4000" t="e">
        <f>IF(#REF! = 0, "No Usage", IF(#REF! &lt;= 20, "Low Usage", IF(#REF! &lt;= 40, "Medium Usgae", "High Usage")))</f>
        <v>#REF!</v>
      </c>
      <c r="AD4000" t="e">
        <f>IF(#REF!&lt;=150,"Low Usage", IF(#REF!&lt;=200,"Medium Usage", IF(#REF!&lt;=250,"High Usage","Very High Usage")))</f>
        <v>#REF!</v>
      </c>
      <c r="AE4000" t="e">
        <f>IF(#REF!&lt;=5,"Low Calls", IF(#REF!&lt;=10, "Medium Calls", "High Calls"))</f>
        <v>#REF!</v>
      </c>
      <c r="AF4000" t="e">
        <f xml:space="preserve">
IF(#REF!&gt;=4,4,0)+
IF(#REF!="yes",3,0)+
IF(#REF!="High Charges",3,0)+
IF(#REF!&gt;250,4,0)+
IF(#REF!="no",1,0)+
IF(#REF!="Heavy Domestic User",2,0)</f>
        <v>#REF!</v>
      </c>
      <c r="AG4000" t="e">
        <f>IF(#REF!&gt;=10,"High Risk", IF(#REF!&gt;=5,"Medium Risk","Low Risk"))</f>
        <v>#REF!</v>
      </c>
      <c r="AH4000" t="e">
        <f>#REF! + #REF! + #REF! + #REF!</f>
        <v>#REF!</v>
      </c>
    </row>
    <row r="4001" spans="1:34" x14ac:dyDescent="0.35">
      <c r="A4001">
        <v>4000</v>
      </c>
      <c r="B4001" t="s">
        <v>55</v>
      </c>
      <c r="C4001">
        <v>140</v>
      </c>
      <c r="D4001" t="s">
        <v>21</v>
      </c>
      <c r="E4001" t="s">
        <v>22</v>
      </c>
      <c r="F4001" t="s">
        <v>22</v>
      </c>
      <c r="G4001">
        <v>0</v>
      </c>
      <c r="H4001">
        <v>160.5</v>
      </c>
      <c r="I4001">
        <v>123</v>
      </c>
      <c r="J4001">
        <v>27.29</v>
      </c>
      <c r="K4001">
        <v>185.9</v>
      </c>
      <c r="L4001">
        <v>110</v>
      </c>
      <c r="M4001">
        <v>15.8</v>
      </c>
      <c r="N4001">
        <v>150.4</v>
      </c>
      <c r="O4001">
        <v>94</v>
      </c>
      <c r="P4001">
        <v>6.77</v>
      </c>
      <c r="Q4001">
        <v>10.7</v>
      </c>
      <c r="R4001">
        <v>5</v>
      </c>
      <c r="S4001">
        <v>2.89</v>
      </c>
      <c r="T4001">
        <v>1</v>
      </c>
      <c r="U4001" t="s">
        <v>22</v>
      </c>
      <c r="V4001" t="e">
        <f>IF(#REF! = "yes", 1, 0)</f>
        <v>#REF!</v>
      </c>
      <c r="W4001" t="e">
        <f>IF(#REF! &lt;= 1, "0-1 Calls", IF(#REF! &lt;= 3, "2-3 Calls", IF(#REF! &lt;=5, "4-5 Calls", "6+ Calls")))</f>
        <v>#REF!</v>
      </c>
      <c r="X4001" t="e">
        <f>IF(#REF! &lt;= 50, "0-50", IF(#REF! &lt;=100, "51-100", IF(#REF! &lt;= 150, "101-150", "151+")))</f>
        <v>#REF!</v>
      </c>
      <c r="Y4001" t="e">
        <f>IF(#REF! &lt;= 3, "Low Charges", "High Charges")</f>
        <v>#REF!</v>
      </c>
      <c r="Z4001" t="e">
        <f>IF(#REF!&lt;=80,"Low Calls",
IF(#REF!&lt;=120,"Medium Calls","High Calls"))</f>
        <v>#REF!</v>
      </c>
      <c r="AA4001" t="e">
        <f>IF(#REF!&lt;=15,"Low Charges",
IF(#REF!&lt;=20,"Medium Charges","High Charges"))</f>
        <v>#REF!</v>
      </c>
      <c r="AB4001" t="e">
        <f>IF(AND(#REF!&gt;180, #REF!&gt;200), "Heavy Doemstic User", IF(#REF!&gt;10, "Interntional User", IF(AND(#REF!&lt;180, #REF!&lt;200,#REF!&lt;200), "Light User", "Balanced User")))</f>
        <v>#REF!</v>
      </c>
      <c r="AC4001" t="e">
        <f>IF(#REF! = 0, "No Usage", IF(#REF! &lt;= 20, "Low Usage", IF(#REF! &lt;= 40, "Medium Usgae", "High Usage")))</f>
        <v>#REF!</v>
      </c>
      <c r="AD4001" t="e">
        <f>IF(#REF!&lt;=150,"Low Usage", IF(#REF!&lt;=200,"Medium Usage", IF(#REF!&lt;=250,"High Usage","Very High Usage")))</f>
        <v>#REF!</v>
      </c>
      <c r="AE4001" t="e">
        <f>IF(#REF!&lt;=5,"Low Calls", IF(#REF!&lt;=10, "Medium Calls", "High Calls"))</f>
        <v>#REF!</v>
      </c>
      <c r="AF4001" t="e">
        <f xml:space="preserve">
IF(#REF!&gt;=4,4,0)+
IF(#REF!="yes",3,0)+
IF(#REF!="High Charges",3,0)+
IF(#REF!&gt;250,4,0)+
IF(#REF!="no",1,0)+
IF(#REF!="Heavy Domestic User",2,0)</f>
        <v>#REF!</v>
      </c>
      <c r="AG4001" t="e">
        <f>IF(#REF!&gt;=10,"High Risk", IF(#REF!&gt;=5,"Medium Risk","Low Risk"))</f>
        <v>#REF!</v>
      </c>
      <c r="AH4001" t="e">
        <f>#REF! + #REF! + #REF! + #REF!</f>
        <v>#REF!</v>
      </c>
    </row>
    <row r="4002" spans="1:34" x14ac:dyDescent="0.35">
      <c r="A4002">
        <v>4001</v>
      </c>
      <c r="B4002" t="s">
        <v>66</v>
      </c>
      <c r="C4002">
        <v>108</v>
      </c>
      <c r="D4002" t="s">
        <v>28</v>
      </c>
      <c r="E4002" t="s">
        <v>22</v>
      </c>
      <c r="F4002" t="s">
        <v>23</v>
      </c>
      <c r="G4002">
        <v>48</v>
      </c>
      <c r="H4002">
        <v>185.6</v>
      </c>
      <c r="I4002">
        <v>125</v>
      </c>
      <c r="J4002">
        <v>31.55</v>
      </c>
      <c r="K4002">
        <v>224.6</v>
      </c>
      <c r="L4002">
        <v>125</v>
      </c>
      <c r="M4002">
        <v>19.09</v>
      </c>
      <c r="N4002">
        <v>284.7</v>
      </c>
      <c r="O4002">
        <v>87</v>
      </c>
      <c r="P4002">
        <v>12.81</v>
      </c>
      <c r="Q4002">
        <v>6.9</v>
      </c>
      <c r="R4002">
        <v>3</v>
      </c>
      <c r="S4002">
        <v>1.86</v>
      </c>
      <c r="T4002">
        <v>1</v>
      </c>
      <c r="U4002" t="s">
        <v>22</v>
      </c>
      <c r="V4002" t="e">
        <f>IF(#REF! = "yes", 1, 0)</f>
        <v>#REF!</v>
      </c>
      <c r="W4002" t="e">
        <f>IF(#REF! &lt;= 1, "0-1 Calls", IF(#REF! &lt;= 3, "2-3 Calls", IF(#REF! &lt;=5, "4-5 Calls", "6+ Calls")))</f>
        <v>#REF!</v>
      </c>
      <c r="X4002" t="e">
        <f>IF(#REF! &lt;= 50, "0-50", IF(#REF! &lt;=100, "51-100", IF(#REF! &lt;= 150, "101-150", "151+")))</f>
        <v>#REF!</v>
      </c>
      <c r="Y4002" t="e">
        <f>IF(#REF! &lt;= 3, "Low Charges", "High Charges")</f>
        <v>#REF!</v>
      </c>
      <c r="Z4002" t="e">
        <f>IF(#REF!&lt;=80,"Low Calls",
IF(#REF!&lt;=120,"Medium Calls","High Calls"))</f>
        <v>#REF!</v>
      </c>
      <c r="AA4002" t="e">
        <f>IF(#REF!&lt;=15,"Low Charges",
IF(#REF!&lt;=20,"Medium Charges","High Charges"))</f>
        <v>#REF!</v>
      </c>
      <c r="AB4002" t="e">
        <f>IF(AND(#REF!&gt;180, #REF!&gt;200), "Heavy Doemstic User", IF(#REF!&gt;10, "Interntional User", IF(AND(#REF!&lt;180, #REF!&lt;200,#REF!&lt;200), "Light User", "Balanced User")))</f>
        <v>#REF!</v>
      </c>
      <c r="AC4002" t="e">
        <f>IF(#REF! = 0, "No Usage", IF(#REF! &lt;= 20, "Low Usage", IF(#REF! &lt;= 40, "Medium Usgae", "High Usage")))</f>
        <v>#REF!</v>
      </c>
      <c r="AD4002" t="e">
        <f>IF(#REF!&lt;=150,"Low Usage", IF(#REF!&lt;=200,"Medium Usage", IF(#REF!&lt;=250,"High Usage","Very High Usage")))</f>
        <v>#REF!</v>
      </c>
      <c r="AE4002" t="e">
        <f>IF(#REF!&lt;=5,"Low Calls", IF(#REF!&lt;=10, "Medium Calls", "High Calls"))</f>
        <v>#REF!</v>
      </c>
      <c r="AF4002" t="e">
        <f xml:space="preserve">
IF(#REF!&gt;=4,4,0)+
IF(#REF!="yes",3,0)+
IF(#REF!="High Charges",3,0)+
IF(#REF!&gt;250,4,0)+
IF(#REF!="no",1,0)+
IF(#REF!="Heavy Domestic User",2,0)</f>
        <v>#REF!</v>
      </c>
      <c r="AG4002" t="e">
        <f>IF(#REF!&gt;=10,"High Risk", IF(#REF!&gt;=5,"Medium Risk","Low Risk"))</f>
        <v>#REF!</v>
      </c>
      <c r="AH4002" t="e">
        <f>#REF! + #REF! + #REF! + #REF!</f>
        <v>#REF!</v>
      </c>
    </row>
    <row r="4003" spans="1:34" x14ac:dyDescent="0.35">
      <c r="A4003">
        <v>4002</v>
      </c>
      <c r="B4003" t="s">
        <v>72</v>
      </c>
      <c r="C4003">
        <v>53</v>
      </c>
      <c r="D4003" t="s">
        <v>21</v>
      </c>
      <c r="E4003" t="s">
        <v>22</v>
      </c>
      <c r="F4003" t="s">
        <v>22</v>
      </c>
      <c r="G4003">
        <v>0</v>
      </c>
      <c r="H4003">
        <v>214.3</v>
      </c>
      <c r="I4003">
        <v>138</v>
      </c>
      <c r="J4003">
        <v>36.43</v>
      </c>
      <c r="K4003">
        <v>232.2</v>
      </c>
      <c r="L4003">
        <v>99</v>
      </c>
      <c r="M4003">
        <v>19.739999999999998</v>
      </c>
      <c r="N4003">
        <v>0</v>
      </c>
      <c r="O4003">
        <v>0</v>
      </c>
      <c r="P4003">
        <v>0</v>
      </c>
      <c r="Q4003">
        <v>8.3000000000000007</v>
      </c>
      <c r="R4003">
        <v>5</v>
      </c>
      <c r="S4003">
        <v>2.2400000000000002</v>
      </c>
      <c r="T4003">
        <v>1</v>
      </c>
      <c r="U4003" t="s">
        <v>22</v>
      </c>
      <c r="V4003" t="e">
        <f>IF(#REF! = "yes", 1, 0)</f>
        <v>#REF!</v>
      </c>
      <c r="W4003" t="e">
        <f>IF(#REF! &lt;= 1, "0-1 Calls", IF(#REF! &lt;= 3, "2-3 Calls", IF(#REF! &lt;=5, "4-5 Calls", "6+ Calls")))</f>
        <v>#REF!</v>
      </c>
      <c r="X4003" t="e">
        <f>IF(#REF! &lt;= 50, "0-50", IF(#REF! &lt;=100, "51-100", IF(#REF! &lt;= 150, "101-150", "151+")))</f>
        <v>#REF!</v>
      </c>
      <c r="Y4003" t="e">
        <f>IF(#REF! &lt;= 3, "Low Charges", "High Charges")</f>
        <v>#REF!</v>
      </c>
      <c r="Z4003" t="e">
        <f>IF(#REF!&lt;=80,"Low Calls",
IF(#REF!&lt;=120,"Medium Calls","High Calls"))</f>
        <v>#REF!</v>
      </c>
      <c r="AA4003" t="e">
        <f>IF(#REF!&lt;=15,"Low Charges",
IF(#REF!&lt;=20,"Medium Charges","High Charges"))</f>
        <v>#REF!</v>
      </c>
      <c r="AB4003" t="e">
        <f>IF(AND(#REF!&gt;180, #REF!&gt;200), "Heavy Doemstic User", IF(#REF!&gt;10, "Interntional User", IF(AND(#REF!&lt;180, #REF!&lt;200,#REF!&lt;200), "Light User", "Balanced User")))</f>
        <v>#REF!</v>
      </c>
      <c r="AC4003" t="e">
        <f>IF(#REF! = 0, "No Usage", IF(#REF! &lt;= 20, "Low Usage", IF(#REF! &lt;= 40, "Medium Usgae", "High Usage")))</f>
        <v>#REF!</v>
      </c>
      <c r="AD4003" t="e">
        <f>IF(#REF!&lt;=150,"Low Usage", IF(#REF!&lt;=200,"Medium Usage", IF(#REF!&lt;=250,"High Usage","Very High Usage")))</f>
        <v>#REF!</v>
      </c>
      <c r="AE4003" t="e">
        <f>IF(#REF!&lt;=5,"Low Calls", IF(#REF!&lt;=10, "Medium Calls", "High Calls"))</f>
        <v>#REF!</v>
      </c>
      <c r="AF4003" t="e">
        <f xml:space="preserve">
IF(#REF!&gt;=4,4,0)+
IF(#REF!="yes",3,0)+
IF(#REF!="High Charges",3,0)+
IF(#REF!&gt;250,4,0)+
IF(#REF!="no",1,0)+
IF(#REF!="Heavy Domestic User",2,0)</f>
        <v>#REF!</v>
      </c>
      <c r="AG4003" t="e">
        <f>IF(#REF!&gt;=10,"High Risk", IF(#REF!&gt;=5,"Medium Risk","Low Risk"))</f>
        <v>#REF!</v>
      </c>
      <c r="AH4003" t="e">
        <f>#REF! + #REF! + #REF! + #REF!</f>
        <v>#REF!</v>
      </c>
    </row>
    <row r="4004" spans="1:34" x14ac:dyDescent="0.35">
      <c r="A4004">
        <v>4003</v>
      </c>
      <c r="B4004" t="s">
        <v>52</v>
      </c>
      <c r="C4004">
        <v>91</v>
      </c>
      <c r="D4004" t="s">
        <v>25</v>
      </c>
      <c r="E4004" t="s">
        <v>22</v>
      </c>
      <c r="F4004" t="s">
        <v>22</v>
      </c>
      <c r="G4004">
        <v>0</v>
      </c>
      <c r="H4004">
        <v>240.8</v>
      </c>
      <c r="I4004">
        <v>105</v>
      </c>
      <c r="J4004">
        <v>40.94</v>
      </c>
      <c r="K4004">
        <v>192.8</v>
      </c>
      <c r="L4004">
        <v>93</v>
      </c>
      <c r="M4004">
        <v>16.39</v>
      </c>
      <c r="N4004">
        <v>253.4</v>
      </c>
      <c r="O4004">
        <v>69</v>
      </c>
      <c r="P4004">
        <v>11.4</v>
      </c>
      <c r="Q4004">
        <v>7.6</v>
      </c>
      <c r="R4004">
        <v>3</v>
      </c>
      <c r="S4004">
        <v>2.0499999999999998</v>
      </c>
      <c r="T4004">
        <v>4</v>
      </c>
      <c r="U4004" t="s">
        <v>22</v>
      </c>
      <c r="V4004" t="e">
        <f>IF(#REF! = "yes", 1, 0)</f>
        <v>#REF!</v>
      </c>
      <c r="W4004" t="e">
        <f>IF(#REF! &lt;= 1, "0-1 Calls", IF(#REF! &lt;= 3, "2-3 Calls", IF(#REF! &lt;=5, "4-5 Calls", "6+ Calls")))</f>
        <v>#REF!</v>
      </c>
      <c r="X4004" t="e">
        <f>IF(#REF! &lt;= 50, "0-50", IF(#REF! &lt;=100, "51-100", IF(#REF! &lt;= 150, "101-150", "151+")))</f>
        <v>#REF!</v>
      </c>
      <c r="Y4004" t="e">
        <f>IF(#REF! &lt;= 3, "Low Charges", "High Charges")</f>
        <v>#REF!</v>
      </c>
      <c r="Z4004" t="e">
        <f>IF(#REF!&lt;=80,"Low Calls",
IF(#REF!&lt;=120,"Medium Calls","High Calls"))</f>
        <v>#REF!</v>
      </c>
      <c r="AA4004" t="e">
        <f>IF(#REF!&lt;=15,"Low Charges",
IF(#REF!&lt;=20,"Medium Charges","High Charges"))</f>
        <v>#REF!</v>
      </c>
      <c r="AB4004" t="e">
        <f>IF(AND(#REF!&gt;180, #REF!&gt;200), "Heavy Doemstic User", IF(#REF!&gt;10, "Interntional User", IF(AND(#REF!&lt;180, #REF!&lt;200,#REF!&lt;200), "Light User", "Balanced User")))</f>
        <v>#REF!</v>
      </c>
      <c r="AC4004" t="e">
        <f>IF(#REF! = 0, "No Usage", IF(#REF! &lt;= 20, "Low Usage", IF(#REF! &lt;= 40, "Medium Usgae", "High Usage")))</f>
        <v>#REF!</v>
      </c>
      <c r="AD4004" t="e">
        <f>IF(#REF!&lt;=150,"Low Usage", IF(#REF!&lt;=200,"Medium Usage", IF(#REF!&lt;=250,"High Usage","Very High Usage")))</f>
        <v>#REF!</v>
      </c>
      <c r="AE4004" t="e">
        <f>IF(#REF!&lt;=5,"Low Calls", IF(#REF!&lt;=10, "Medium Calls", "High Calls"))</f>
        <v>#REF!</v>
      </c>
      <c r="AF4004" t="e">
        <f xml:space="preserve">
IF(#REF!&gt;=4,4,0)+
IF(#REF!="yes",3,0)+
IF(#REF!="High Charges",3,0)+
IF(#REF!&gt;250,4,0)+
IF(#REF!="no",1,0)+
IF(#REF!="Heavy Domestic User",2,0)</f>
        <v>#REF!</v>
      </c>
      <c r="AG4004" t="e">
        <f>IF(#REF!&gt;=10,"High Risk", IF(#REF!&gt;=5,"Medium Risk","Low Risk"))</f>
        <v>#REF!</v>
      </c>
      <c r="AH4004" t="e">
        <f>#REF! + #REF! + #REF! + #REF!</f>
        <v>#REF!</v>
      </c>
    </row>
    <row r="4005" spans="1:34" x14ac:dyDescent="0.35">
      <c r="A4005">
        <v>4004</v>
      </c>
      <c r="B4005" t="s">
        <v>39</v>
      </c>
      <c r="C4005">
        <v>26</v>
      </c>
      <c r="D4005" t="s">
        <v>21</v>
      </c>
      <c r="E4005" t="s">
        <v>23</v>
      </c>
      <c r="F4005" t="s">
        <v>22</v>
      </c>
      <c r="G4005">
        <v>0</v>
      </c>
      <c r="H4005">
        <v>194.4</v>
      </c>
      <c r="I4005">
        <v>105</v>
      </c>
      <c r="J4005">
        <v>33.049999999999997</v>
      </c>
      <c r="K4005">
        <v>238.3</v>
      </c>
      <c r="L4005">
        <v>100</v>
      </c>
      <c r="M4005">
        <v>20.260000000000002</v>
      </c>
      <c r="N4005">
        <v>239.1</v>
      </c>
      <c r="O4005">
        <v>129</v>
      </c>
      <c r="P4005">
        <v>10.76</v>
      </c>
      <c r="Q4005">
        <v>9.6</v>
      </c>
      <c r="R4005">
        <v>5</v>
      </c>
      <c r="S4005">
        <v>2.59</v>
      </c>
      <c r="T4005">
        <v>0</v>
      </c>
      <c r="U4005" t="s">
        <v>22</v>
      </c>
      <c r="V4005" t="e">
        <f>IF(#REF! = "yes", 1, 0)</f>
        <v>#REF!</v>
      </c>
      <c r="W4005" t="e">
        <f>IF(#REF! &lt;= 1, "0-1 Calls", IF(#REF! &lt;= 3, "2-3 Calls", IF(#REF! &lt;=5, "4-5 Calls", "6+ Calls")))</f>
        <v>#REF!</v>
      </c>
      <c r="X4005" t="e">
        <f>IF(#REF! &lt;= 50, "0-50", IF(#REF! &lt;=100, "51-100", IF(#REF! &lt;= 150, "101-150", "151+")))</f>
        <v>#REF!</v>
      </c>
      <c r="Y4005" t="e">
        <f>IF(#REF! &lt;= 3, "Low Charges", "High Charges")</f>
        <v>#REF!</v>
      </c>
      <c r="Z4005" t="e">
        <f>IF(#REF!&lt;=80,"Low Calls",
IF(#REF!&lt;=120,"Medium Calls","High Calls"))</f>
        <v>#REF!</v>
      </c>
      <c r="AA4005" t="e">
        <f>IF(#REF!&lt;=15,"Low Charges",
IF(#REF!&lt;=20,"Medium Charges","High Charges"))</f>
        <v>#REF!</v>
      </c>
      <c r="AB4005" t="e">
        <f>IF(AND(#REF!&gt;180, #REF!&gt;200), "Heavy Doemstic User", IF(#REF!&gt;10, "Interntional User", IF(AND(#REF!&lt;180, #REF!&lt;200,#REF!&lt;200), "Light User", "Balanced User")))</f>
        <v>#REF!</v>
      </c>
      <c r="AC4005" t="e">
        <f>IF(#REF! = 0, "No Usage", IF(#REF! &lt;= 20, "Low Usage", IF(#REF! &lt;= 40, "Medium Usgae", "High Usage")))</f>
        <v>#REF!</v>
      </c>
      <c r="AD4005" t="e">
        <f>IF(#REF!&lt;=150,"Low Usage", IF(#REF!&lt;=200,"Medium Usage", IF(#REF!&lt;=250,"High Usage","Very High Usage")))</f>
        <v>#REF!</v>
      </c>
      <c r="AE4005" t="e">
        <f>IF(#REF!&lt;=5,"Low Calls", IF(#REF!&lt;=10, "Medium Calls", "High Calls"))</f>
        <v>#REF!</v>
      </c>
      <c r="AF4005" t="e">
        <f xml:space="preserve">
IF(#REF!&gt;=4,4,0)+
IF(#REF!="yes",3,0)+
IF(#REF!="High Charges",3,0)+
IF(#REF!&gt;250,4,0)+
IF(#REF!="no",1,0)+
IF(#REF!="Heavy Domestic User",2,0)</f>
        <v>#REF!</v>
      </c>
      <c r="AG4005" t="e">
        <f>IF(#REF!&gt;=10,"High Risk", IF(#REF!&gt;=5,"Medium Risk","Low Risk"))</f>
        <v>#REF!</v>
      </c>
      <c r="AH4005" t="e">
        <f>#REF! + #REF! + #REF! + #REF!</f>
        <v>#REF!</v>
      </c>
    </row>
    <row r="4006" spans="1:34" x14ac:dyDescent="0.35">
      <c r="A4006">
        <v>4005</v>
      </c>
      <c r="B4006" t="s">
        <v>65</v>
      </c>
      <c r="C4006">
        <v>129</v>
      </c>
      <c r="D4006" t="s">
        <v>21</v>
      </c>
      <c r="E4006" t="s">
        <v>22</v>
      </c>
      <c r="F4006" t="s">
        <v>22</v>
      </c>
      <c r="G4006">
        <v>0</v>
      </c>
      <c r="H4006">
        <v>130.19999999999999</v>
      </c>
      <c r="I4006">
        <v>94</v>
      </c>
      <c r="J4006">
        <v>22.13</v>
      </c>
      <c r="K4006">
        <v>195.2</v>
      </c>
      <c r="L4006">
        <v>126</v>
      </c>
      <c r="M4006">
        <v>16.59</v>
      </c>
      <c r="N4006">
        <v>195.5</v>
      </c>
      <c r="O4006">
        <v>68</v>
      </c>
      <c r="P4006">
        <v>8.8000000000000007</v>
      </c>
      <c r="Q4006">
        <v>7.6</v>
      </c>
      <c r="R4006">
        <v>5</v>
      </c>
      <c r="S4006">
        <v>2.0499999999999998</v>
      </c>
      <c r="T4006">
        <v>2</v>
      </c>
      <c r="U4006" t="s">
        <v>22</v>
      </c>
      <c r="V4006" t="e">
        <f>IF(#REF! = "yes", 1, 0)</f>
        <v>#REF!</v>
      </c>
      <c r="W4006" t="e">
        <f>IF(#REF! &lt;= 1, "0-1 Calls", IF(#REF! &lt;= 3, "2-3 Calls", IF(#REF! &lt;=5, "4-5 Calls", "6+ Calls")))</f>
        <v>#REF!</v>
      </c>
      <c r="X4006" t="e">
        <f>IF(#REF! &lt;= 50, "0-50", IF(#REF! &lt;=100, "51-100", IF(#REF! &lt;= 150, "101-150", "151+")))</f>
        <v>#REF!</v>
      </c>
      <c r="Y4006" t="e">
        <f>IF(#REF! &lt;= 3, "Low Charges", "High Charges")</f>
        <v>#REF!</v>
      </c>
      <c r="Z4006" t="e">
        <f>IF(#REF!&lt;=80,"Low Calls",
IF(#REF!&lt;=120,"Medium Calls","High Calls"))</f>
        <v>#REF!</v>
      </c>
      <c r="AA4006" t="e">
        <f>IF(#REF!&lt;=15,"Low Charges",
IF(#REF!&lt;=20,"Medium Charges","High Charges"))</f>
        <v>#REF!</v>
      </c>
      <c r="AB4006" t="e">
        <f>IF(AND(#REF!&gt;180, #REF!&gt;200), "Heavy Doemstic User", IF(#REF!&gt;10, "Interntional User", IF(AND(#REF!&lt;180, #REF!&lt;200,#REF!&lt;200), "Light User", "Balanced User")))</f>
        <v>#REF!</v>
      </c>
      <c r="AC4006" t="e">
        <f>IF(#REF! = 0, "No Usage", IF(#REF! &lt;= 20, "Low Usage", IF(#REF! &lt;= 40, "Medium Usgae", "High Usage")))</f>
        <v>#REF!</v>
      </c>
      <c r="AD4006" t="e">
        <f>IF(#REF!&lt;=150,"Low Usage", IF(#REF!&lt;=200,"Medium Usage", IF(#REF!&lt;=250,"High Usage","Very High Usage")))</f>
        <v>#REF!</v>
      </c>
      <c r="AE4006" t="e">
        <f>IF(#REF!&lt;=5,"Low Calls", IF(#REF!&lt;=10, "Medium Calls", "High Calls"))</f>
        <v>#REF!</v>
      </c>
      <c r="AF4006" t="e">
        <f xml:space="preserve">
IF(#REF!&gt;=4,4,0)+
IF(#REF!="yes",3,0)+
IF(#REF!="High Charges",3,0)+
IF(#REF!&gt;250,4,0)+
IF(#REF!="no",1,0)+
IF(#REF!="Heavy Domestic User",2,0)</f>
        <v>#REF!</v>
      </c>
      <c r="AG4006" t="e">
        <f>IF(#REF!&gt;=10,"High Risk", IF(#REF!&gt;=5,"Medium Risk","Low Risk"))</f>
        <v>#REF!</v>
      </c>
      <c r="AH4006" t="e">
        <f>#REF! + #REF! + #REF! + #REF!</f>
        <v>#REF!</v>
      </c>
    </row>
    <row r="4007" spans="1:34" x14ac:dyDescent="0.35">
      <c r="A4007">
        <v>4006</v>
      </c>
      <c r="B4007" t="s">
        <v>55</v>
      </c>
      <c r="C4007">
        <v>118</v>
      </c>
      <c r="D4007" t="s">
        <v>25</v>
      </c>
      <c r="E4007" t="s">
        <v>23</v>
      </c>
      <c r="F4007" t="s">
        <v>23</v>
      </c>
      <c r="G4007">
        <v>52</v>
      </c>
      <c r="H4007">
        <v>123.7</v>
      </c>
      <c r="I4007">
        <v>114</v>
      </c>
      <c r="J4007">
        <v>21.03</v>
      </c>
      <c r="K4007">
        <v>133.19999999999999</v>
      </c>
      <c r="L4007">
        <v>137</v>
      </c>
      <c r="M4007">
        <v>11.32</v>
      </c>
      <c r="N4007">
        <v>191.8</v>
      </c>
      <c r="O4007">
        <v>102</v>
      </c>
      <c r="P4007">
        <v>8.6300000000000008</v>
      </c>
      <c r="Q4007">
        <v>7.9</v>
      </c>
      <c r="R4007">
        <v>3</v>
      </c>
      <c r="S4007">
        <v>2.13</v>
      </c>
      <c r="T4007">
        <v>0</v>
      </c>
      <c r="U4007" t="s">
        <v>22</v>
      </c>
      <c r="V4007" t="e">
        <f>IF(#REF! = "yes", 1, 0)</f>
        <v>#REF!</v>
      </c>
      <c r="W4007" t="e">
        <f>IF(#REF! &lt;= 1, "0-1 Calls", IF(#REF! &lt;= 3, "2-3 Calls", IF(#REF! &lt;=5, "4-5 Calls", "6+ Calls")))</f>
        <v>#REF!</v>
      </c>
      <c r="X4007" t="e">
        <f>IF(#REF! &lt;= 50, "0-50", IF(#REF! &lt;=100, "51-100", IF(#REF! &lt;= 150, "101-150", "151+")))</f>
        <v>#REF!</v>
      </c>
      <c r="Y4007" t="e">
        <f>IF(#REF! &lt;= 3, "Low Charges", "High Charges")</f>
        <v>#REF!</v>
      </c>
      <c r="Z4007" t="e">
        <f>IF(#REF!&lt;=80,"Low Calls",
IF(#REF!&lt;=120,"Medium Calls","High Calls"))</f>
        <v>#REF!</v>
      </c>
      <c r="AA4007" t="e">
        <f>IF(#REF!&lt;=15,"Low Charges",
IF(#REF!&lt;=20,"Medium Charges","High Charges"))</f>
        <v>#REF!</v>
      </c>
      <c r="AB4007" t="e">
        <f>IF(AND(#REF!&gt;180, #REF!&gt;200), "Heavy Doemstic User", IF(#REF!&gt;10, "Interntional User", IF(AND(#REF!&lt;180, #REF!&lt;200,#REF!&lt;200), "Light User", "Balanced User")))</f>
        <v>#REF!</v>
      </c>
      <c r="AC4007" t="e">
        <f>IF(#REF! = 0, "No Usage", IF(#REF! &lt;= 20, "Low Usage", IF(#REF! &lt;= 40, "Medium Usgae", "High Usage")))</f>
        <v>#REF!</v>
      </c>
      <c r="AD4007" t="e">
        <f>IF(#REF!&lt;=150,"Low Usage", IF(#REF!&lt;=200,"Medium Usage", IF(#REF!&lt;=250,"High Usage","Very High Usage")))</f>
        <v>#REF!</v>
      </c>
      <c r="AE4007" t="e">
        <f>IF(#REF!&lt;=5,"Low Calls", IF(#REF!&lt;=10, "Medium Calls", "High Calls"))</f>
        <v>#REF!</v>
      </c>
      <c r="AF4007" t="e">
        <f xml:space="preserve">
IF(#REF!&gt;=4,4,0)+
IF(#REF!="yes",3,0)+
IF(#REF!="High Charges",3,0)+
IF(#REF!&gt;250,4,0)+
IF(#REF!="no",1,0)+
IF(#REF!="Heavy Domestic User",2,0)</f>
        <v>#REF!</v>
      </c>
      <c r="AG4007" t="e">
        <f>IF(#REF!&gt;=10,"High Risk", IF(#REF!&gt;=5,"Medium Risk","Low Risk"))</f>
        <v>#REF!</v>
      </c>
      <c r="AH4007" t="e">
        <f>#REF! + #REF! + #REF! + #REF!</f>
        <v>#REF!</v>
      </c>
    </row>
    <row r="4008" spans="1:34" x14ac:dyDescent="0.35">
      <c r="A4008">
        <v>4007</v>
      </c>
      <c r="B4008" t="s">
        <v>72</v>
      </c>
      <c r="C4008">
        <v>51</v>
      </c>
      <c r="D4008" t="s">
        <v>28</v>
      </c>
      <c r="E4008" t="s">
        <v>22</v>
      </c>
      <c r="F4008" t="s">
        <v>23</v>
      </c>
      <c r="G4008">
        <v>32</v>
      </c>
      <c r="H4008">
        <v>206.1</v>
      </c>
      <c r="I4008">
        <v>134</v>
      </c>
      <c r="J4008">
        <v>35.04</v>
      </c>
      <c r="K4008">
        <v>179.6</v>
      </c>
      <c r="L4008">
        <v>84</v>
      </c>
      <c r="M4008">
        <v>15.27</v>
      </c>
      <c r="N4008">
        <v>332.2</v>
      </c>
      <c r="O4008">
        <v>90</v>
      </c>
      <c r="P4008">
        <v>14.95</v>
      </c>
      <c r="Q4008">
        <v>10.199999999999999</v>
      </c>
      <c r="R4008">
        <v>2</v>
      </c>
      <c r="S4008">
        <v>2.75</v>
      </c>
      <c r="T4008">
        <v>3</v>
      </c>
      <c r="U4008" t="s">
        <v>22</v>
      </c>
      <c r="V4008" t="e">
        <f>IF(#REF! = "yes", 1, 0)</f>
        <v>#REF!</v>
      </c>
      <c r="W4008" t="e">
        <f>IF(#REF! &lt;= 1, "0-1 Calls", IF(#REF! &lt;= 3, "2-3 Calls", IF(#REF! &lt;=5, "4-5 Calls", "6+ Calls")))</f>
        <v>#REF!</v>
      </c>
      <c r="X4008" t="e">
        <f>IF(#REF! &lt;= 50, "0-50", IF(#REF! &lt;=100, "51-100", IF(#REF! &lt;= 150, "101-150", "151+")))</f>
        <v>#REF!</v>
      </c>
      <c r="Y4008" t="e">
        <f>IF(#REF! &lt;= 3, "Low Charges", "High Charges")</f>
        <v>#REF!</v>
      </c>
      <c r="Z4008" t="e">
        <f>IF(#REF!&lt;=80,"Low Calls",
IF(#REF!&lt;=120,"Medium Calls","High Calls"))</f>
        <v>#REF!</v>
      </c>
      <c r="AA4008" t="e">
        <f>IF(#REF!&lt;=15,"Low Charges",
IF(#REF!&lt;=20,"Medium Charges","High Charges"))</f>
        <v>#REF!</v>
      </c>
      <c r="AB4008" t="e">
        <f>IF(AND(#REF!&gt;180, #REF!&gt;200), "Heavy Doemstic User", IF(#REF!&gt;10, "Interntional User", IF(AND(#REF!&lt;180, #REF!&lt;200,#REF!&lt;200), "Light User", "Balanced User")))</f>
        <v>#REF!</v>
      </c>
      <c r="AC4008" t="e">
        <f>IF(#REF! = 0, "No Usage", IF(#REF! &lt;= 20, "Low Usage", IF(#REF! &lt;= 40, "Medium Usgae", "High Usage")))</f>
        <v>#REF!</v>
      </c>
      <c r="AD4008" t="e">
        <f>IF(#REF!&lt;=150,"Low Usage", IF(#REF!&lt;=200,"Medium Usage", IF(#REF!&lt;=250,"High Usage","Very High Usage")))</f>
        <v>#REF!</v>
      </c>
      <c r="AE4008" t="e">
        <f>IF(#REF!&lt;=5,"Low Calls", IF(#REF!&lt;=10, "Medium Calls", "High Calls"))</f>
        <v>#REF!</v>
      </c>
      <c r="AF4008" t="e">
        <f xml:space="preserve">
IF(#REF!&gt;=4,4,0)+
IF(#REF!="yes",3,0)+
IF(#REF!="High Charges",3,0)+
IF(#REF!&gt;250,4,0)+
IF(#REF!="no",1,0)+
IF(#REF!="Heavy Domestic User",2,0)</f>
        <v>#REF!</v>
      </c>
      <c r="AG4008" t="e">
        <f>IF(#REF!&gt;=10,"High Risk", IF(#REF!&gt;=5,"Medium Risk","Low Risk"))</f>
        <v>#REF!</v>
      </c>
      <c r="AH4008" t="e">
        <f>#REF! + #REF! + #REF! + #REF!</f>
        <v>#REF!</v>
      </c>
    </row>
    <row r="4009" spans="1:34" x14ac:dyDescent="0.35">
      <c r="A4009">
        <v>4008</v>
      </c>
      <c r="B4009" t="s">
        <v>42</v>
      </c>
      <c r="C4009">
        <v>57</v>
      </c>
      <c r="D4009" t="s">
        <v>21</v>
      </c>
      <c r="E4009" t="s">
        <v>22</v>
      </c>
      <c r="F4009" t="s">
        <v>23</v>
      </c>
      <c r="G4009">
        <v>25</v>
      </c>
      <c r="H4009">
        <v>182.4</v>
      </c>
      <c r="I4009">
        <v>92</v>
      </c>
      <c r="J4009">
        <v>31.01</v>
      </c>
      <c r="K4009">
        <v>214.7</v>
      </c>
      <c r="L4009">
        <v>104</v>
      </c>
      <c r="M4009">
        <v>18.25</v>
      </c>
      <c r="N4009">
        <v>174.4</v>
      </c>
      <c r="O4009">
        <v>110</v>
      </c>
      <c r="P4009">
        <v>7.85</v>
      </c>
      <c r="Q4009">
        <v>10.1</v>
      </c>
      <c r="R4009">
        <v>2</v>
      </c>
      <c r="S4009">
        <v>2.73</v>
      </c>
      <c r="T4009">
        <v>1</v>
      </c>
      <c r="U4009" t="s">
        <v>22</v>
      </c>
      <c r="V4009" t="e">
        <f>IF(#REF! = "yes", 1, 0)</f>
        <v>#REF!</v>
      </c>
      <c r="W4009" t="e">
        <f>IF(#REF! &lt;= 1, "0-1 Calls", IF(#REF! &lt;= 3, "2-3 Calls", IF(#REF! &lt;=5, "4-5 Calls", "6+ Calls")))</f>
        <v>#REF!</v>
      </c>
      <c r="X4009" t="e">
        <f>IF(#REF! &lt;= 50, "0-50", IF(#REF! &lt;=100, "51-100", IF(#REF! &lt;= 150, "101-150", "151+")))</f>
        <v>#REF!</v>
      </c>
      <c r="Y4009" t="e">
        <f>IF(#REF! &lt;= 3, "Low Charges", "High Charges")</f>
        <v>#REF!</v>
      </c>
      <c r="Z4009" t="e">
        <f>IF(#REF!&lt;=80,"Low Calls",
IF(#REF!&lt;=120,"Medium Calls","High Calls"))</f>
        <v>#REF!</v>
      </c>
      <c r="AA4009" t="e">
        <f>IF(#REF!&lt;=15,"Low Charges",
IF(#REF!&lt;=20,"Medium Charges","High Charges"))</f>
        <v>#REF!</v>
      </c>
      <c r="AB4009" t="e">
        <f>IF(AND(#REF!&gt;180, #REF!&gt;200), "Heavy Doemstic User", IF(#REF!&gt;10, "Interntional User", IF(AND(#REF!&lt;180, #REF!&lt;200,#REF!&lt;200), "Light User", "Balanced User")))</f>
        <v>#REF!</v>
      </c>
      <c r="AC4009" t="e">
        <f>IF(#REF! = 0, "No Usage", IF(#REF! &lt;= 20, "Low Usage", IF(#REF! &lt;= 40, "Medium Usgae", "High Usage")))</f>
        <v>#REF!</v>
      </c>
      <c r="AD4009" t="e">
        <f>IF(#REF!&lt;=150,"Low Usage", IF(#REF!&lt;=200,"Medium Usage", IF(#REF!&lt;=250,"High Usage","Very High Usage")))</f>
        <v>#REF!</v>
      </c>
      <c r="AE4009" t="e">
        <f>IF(#REF!&lt;=5,"Low Calls", IF(#REF!&lt;=10, "Medium Calls", "High Calls"))</f>
        <v>#REF!</v>
      </c>
      <c r="AF4009" t="e">
        <f xml:space="preserve">
IF(#REF!&gt;=4,4,0)+
IF(#REF!="yes",3,0)+
IF(#REF!="High Charges",3,0)+
IF(#REF!&gt;250,4,0)+
IF(#REF!="no",1,0)+
IF(#REF!="Heavy Domestic User",2,0)</f>
        <v>#REF!</v>
      </c>
      <c r="AG4009" t="e">
        <f>IF(#REF!&gt;=10,"High Risk", IF(#REF!&gt;=5,"Medium Risk","Low Risk"))</f>
        <v>#REF!</v>
      </c>
      <c r="AH4009" t="e">
        <f>#REF! + #REF! + #REF! + #REF!</f>
        <v>#REF!</v>
      </c>
    </row>
    <row r="4010" spans="1:34" x14ac:dyDescent="0.35">
      <c r="A4010">
        <v>4009</v>
      </c>
      <c r="B4010" t="s">
        <v>38</v>
      </c>
      <c r="C4010">
        <v>103</v>
      </c>
      <c r="D4010" t="s">
        <v>21</v>
      </c>
      <c r="E4010" t="s">
        <v>22</v>
      </c>
      <c r="F4010" t="s">
        <v>22</v>
      </c>
      <c r="G4010">
        <v>0</v>
      </c>
      <c r="H4010">
        <v>228.4</v>
      </c>
      <c r="I4010">
        <v>103</v>
      </c>
      <c r="J4010">
        <v>38.83</v>
      </c>
      <c r="K4010">
        <v>97.3</v>
      </c>
      <c r="L4010">
        <v>129</v>
      </c>
      <c r="M4010">
        <v>8.27</v>
      </c>
      <c r="N4010">
        <v>199.9</v>
      </c>
      <c r="O4010">
        <v>67</v>
      </c>
      <c r="P4010">
        <v>9</v>
      </c>
      <c r="Q4010">
        <v>9.4</v>
      </c>
      <c r="R4010">
        <v>7</v>
      </c>
      <c r="S4010">
        <v>2.54</v>
      </c>
      <c r="T4010">
        <v>3</v>
      </c>
      <c r="U4010" t="s">
        <v>22</v>
      </c>
      <c r="V4010" t="e">
        <f>IF(#REF! = "yes", 1, 0)</f>
        <v>#REF!</v>
      </c>
      <c r="W4010" t="e">
        <f>IF(#REF! &lt;= 1, "0-1 Calls", IF(#REF! &lt;= 3, "2-3 Calls", IF(#REF! &lt;=5, "4-5 Calls", "6+ Calls")))</f>
        <v>#REF!</v>
      </c>
      <c r="X4010" t="e">
        <f>IF(#REF! &lt;= 50, "0-50", IF(#REF! &lt;=100, "51-100", IF(#REF! &lt;= 150, "101-150", "151+")))</f>
        <v>#REF!</v>
      </c>
      <c r="Y4010" t="e">
        <f>IF(#REF! &lt;= 3, "Low Charges", "High Charges")</f>
        <v>#REF!</v>
      </c>
      <c r="Z4010" t="e">
        <f>IF(#REF!&lt;=80,"Low Calls",
IF(#REF!&lt;=120,"Medium Calls","High Calls"))</f>
        <v>#REF!</v>
      </c>
      <c r="AA4010" t="e">
        <f>IF(#REF!&lt;=15,"Low Charges",
IF(#REF!&lt;=20,"Medium Charges","High Charges"))</f>
        <v>#REF!</v>
      </c>
      <c r="AB4010" t="e">
        <f>IF(AND(#REF!&gt;180, #REF!&gt;200), "Heavy Doemstic User", IF(#REF!&gt;10, "Interntional User", IF(AND(#REF!&lt;180, #REF!&lt;200,#REF!&lt;200), "Light User", "Balanced User")))</f>
        <v>#REF!</v>
      </c>
      <c r="AC4010" t="e">
        <f>IF(#REF! = 0, "No Usage", IF(#REF! &lt;= 20, "Low Usage", IF(#REF! &lt;= 40, "Medium Usgae", "High Usage")))</f>
        <v>#REF!</v>
      </c>
      <c r="AD4010" t="e">
        <f>IF(#REF!&lt;=150,"Low Usage", IF(#REF!&lt;=200,"Medium Usage", IF(#REF!&lt;=250,"High Usage","Very High Usage")))</f>
        <v>#REF!</v>
      </c>
      <c r="AE4010" t="e">
        <f>IF(#REF!&lt;=5,"Low Calls", IF(#REF!&lt;=10, "Medium Calls", "High Calls"))</f>
        <v>#REF!</v>
      </c>
      <c r="AF4010" t="e">
        <f xml:space="preserve">
IF(#REF!&gt;=4,4,0)+
IF(#REF!="yes",3,0)+
IF(#REF!="High Charges",3,0)+
IF(#REF!&gt;250,4,0)+
IF(#REF!="no",1,0)+
IF(#REF!="Heavy Domestic User",2,0)</f>
        <v>#REF!</v>
      </c>
      <c r="AG4010" t="e">
        <f>IF(#REF!&gt;=10,"High Risk", IF(#REF!&gt;=5,"Medium Risk","Low Risk"))</f>
        <v>#REF!</v>
      </c>
      <c r="AH4010" t="e">
        <f>#REF! + #REF! + #REF! + #REF!</f>
        <v>#REF!</v>
      </c>
    </row>
    <row r="4011" spans="1:34" x14ac:dyDescent="0.35">
      <c r="A4011">
        <v>4010</v>
      </c>
      <c r="B4011" t="s">
        <v>55</v>
      </c>
      <c r="C4011">
        <v>57</v>
      </c>
      <c r="D4011" t="s">
        <v>21</v>
      </c>
      <c r="E4011" t="s">
        <v>22</v>
      </c>
      <c r="F4011" t="s">
        <v>22</v>
      </c>
      <c r="G4011">
        <v>0</v>
      </c>
      <c r="H4011">
        <v>202</v>
      </c>
      <c r="I4011">
        <v>100</v>
      </c>
      <c r="J4011">
        <v>34.340000000000003</v>
      </c>
      <c r="K4011">
        <v>168.9</v>
      </c>
      <c r="L4011">
        <v>90</v>
      </c>
      <c r="M4011">
        <v>14.36</v>
      </c>
      <c r="N4011">
        <v>231.8</v>
      </c>
      <c r="O4011">
        <v>119</v>
      </c>
      <c r="P4011">
        <v>10.43</v>
      </c>
      <c r="Q4011">
        <v>3.4</v>
      </c>
      <c r="R4011">
        <v>4</v>
      </c>
      <c r="S4011">
        <v>0.92</v>
      </c>
      <c r="T4011">
        <v>1</v>
      </c>
      <c r="U4011" t="s">
        <v>22</v>
      </c>
      <c r="V4011" t="e">
        <f>IF(#REF! = "yes", 1, 0)</f>
        <v>#REF!</v>
      </c>
      <c r="W4011" t="e">
        <f>IF(#REF! &lt;= 1, "0-1 Calls", IF(#REF! &lt;= 3, "2-3 Calls", IF(#REF! &lt;=5, "4-5 Calls", "6+ Calls")))</f>
        <v>#REF!</v>
      </c>
      <c r="X4011" t="e">
        <f>IF(#REF! &lt;= 50, "0-50", IF(#REF! &lt;=100, "51-100", IF(#REF! &lt;= 150, "101-150", "151+")))</f>
        <v>#REF!</v>
      </c>
      <c r="Y4011" t="e">
        <f>IF(#REF! &lt;= 3, "Low Charges", "High Charges")</f>
        <v>#REF!</v>
      </c>
      <c r="Z4011" t="e">
        <f>IF(#REF!&lt;=80,"Low Calls",
IF(#REF!&lt;=120,"Medium Calls","High Calls"))</f>
        <v>#REF!</v>
      </c>
      <c r="AA4011" t="e">
        <f>IF(#REF!&lt;=15,"Low Charges",
IF(#REF!&lt;=20,"Medium Charges","High Charges"))</f>
        <v>#REF!</v>
      </c>
      <c r="AB4011" t="e">
        <f>IF(AND(#REF!&gt;180, #REF!&gt;200), "Heavy Doemstic User", IF(#REF!&gt;10, "Interntional User", IF(AND(#REF!&lt;180, #REF!&lt;200,#REF!&lt;200), "Light User", "Balanced User")))</f>
        <v>#REF!</v>
      </c>
      <c r="AC4011" t="e">
        <f>IF(#REF! = 0, "No Usage", IF(#REF! &lt;= 20, "Low Usage", IF(#REF! &lt;= 40, "Medium Usgae", "High Usage")))</f>
        <v>#REF!</v>
      </c>
      <c r="AD4011" t="e">
        <f>IF(#REF!&lt;=150,"Low Usage", IF(#REF!&lt;=200,"Medium Usage", IF(#REF!&lt;=250,"High Usage","Very High Usage")))</f>
        <v>#REF!</v>
      </c>
      <c r="AE4011" t="e">
        <f>IF(#REF!&lt;=5,"Low Calls", IF(#REF!&lt;=10, "Medium Calls", "High Calls"))</f>
        <v>#REF!</v>
      </c>
      <c r="AF4011" t="e">
        <f xml:space="preserve">
IF(#REF!&gt;=4,4,0)+
IF(#REF!="yes",3,0)+
IF(#REF!="High Charges",3,0)+
IF(#REF!&gt;250,4,0)+
IF(#REF!="no",1,0)+
IF(#REF!="Heavy Domestic User",2,0)</f>
        <v>#REF!</v>
      </c>
      <c r="AG4011" t="e">
        <f>IF(#REF!&gt;=10,"High Risk", IF(#REF!&gt;=5,"Medium Risk","Low Risk"))</f>
        <v>#REF!</v>
      </c>
      <c r="AH4011" t="e">
        <f>#REF! + #REF! + #REF! + #REF!</f>
        <v>#REF!</v>
      </c>
    </row>
    <row r="4012" spans="1:34" x14ac:dyDescent="0.35">
      <c r="A4012">
        <v>4011</v>
      </c>
      <c r="B4012" t="s">
        <v>41</v>
      </c>
      <c r="C4012">
        <v>84</v>
      </c>
      <c r="D4012" t="s">
        <v>21</v>
      </c>
      <c r="E4012" t="s">
        <v>22</v>
      </c>
      <c r="F4012" t="s">
        <v>22</v>
      </c>
      <c r="G4012">
        <v>0</v>
      </c>
      <c r="H4012">
        <v>148.80000000000001</v>
      </c>
      <c r="I4012">
        <v>89</v>
      </c>
      <c r="J4012">
        <v>25.3</v>
      </c>
      <c r="K4012">
        <v>189.8</v>
      </c>
      <c r="L4012">
        <v>93</v>
      </c>
      <c r="M4012">
        <v>16.13</v>
      </c>
      <c r="N4012">
        <v>147.6</v>
      </c>
      <c r="O4012">
        <v>73</v>
      </c>
      <c r="P4012">
        <v>6.64</v>
      </c>
      <c r="Q4012">
        <v>6.3</v>
      </c>
      <c r="R4012">
        <v>2</v>
      </c>
      <c r="S4012">
        <v>1.7</v>
      </c>
      <c r="T4012">
        <v>1</v>
      </c>
      <c r="U4012" t="s">
        <v>22</v>
      </c>
      <c r="V4012" t="e">
        <f>IF(#REF! = "yes", 1, 0)</f>
        <v>#REF!</v>
      </c>
      <c r="W4012" t="e">
        <f>IF(#REF! &lt;= 1, "0-1 Calls", IF(#REF! &lt;= 3, "2-3 Calls", IF(#REF! &lt;=5, "4-5 Calls", "6+ Calls")))</f>
        <v>#REF!</v>
      </c>
      <c r="X4012" t="e">
        <f>IF(#REF! &lt;= 50, "0-50", IF(#REF! &lt;=100, "51-100", IF(#REF! &lt;= 150, "101-150", "151+")))</f>
        <v>#REF!</v>
      </c>
      <c r="Y4012" t="e">
        <f>IF(#REF! &lt;= 3, "Low Charges", "High Charges")</f>
        <v>#REF!</v>
      </c>
      <c r="Z4012" t="e">
        <f>IF(#REF!&lt;=80,"Low Calls",
IF(#REF!&lt;=120,"Medium Calls","High Calls"))</f>
        <v>#REF!</v>
      </c>
      <c r="AA4012" t="e">
        <f>IF(#REF!&lt;=15,"Low Charges",
IF(#REF!&lt;=20,"Medium Charges","High Charges"))</f>
        <v>#REF!</v>
      </c>
      <c r="AB4012" t="e">
        <f>IF(AND(#REF!&gt;180, #REF!&gt;200), "Heavy Doemstic User", IF(#REF!&gt;10, "Interntional User", IF(AND(#REF!&lt;180, #REF!&lt;200,#REF!&lt;200), "Light User", "Balanced User")))</f>
        <v>#REF!</v>
      </c>
      <c r="AC4012" t="e">
        <f>IF(#REF! = 0, "No Usage", IF(#REF! &lt;= 20, "Low Usage", IF(#REF! &lt;= 40, "Medium Usgae", "High Usage")))</f>
        <v>#REF!</v>
      </c>
      <c r="AD4012" t="e">
        <f>IF(#REF!&lt;=150,"Low Usage", IF(#REF!&lt;=200,"Medium Usage", IF(#REF!&lt;=250,"High Usage","Very High Usage")))</f>
        <v>#REF!</v>
      </c>
      <c r="AE4012" t="e">
        <f>IF(#REF!&lt;=5,"Low Calls", IF(#REF!&lt;=10, "Medium Calls", "High Calls"))</f>
        <v>#REF!</v>
      </c>
      <c r="AF4012" t="e">
        <f xml:space="preserve">
IF(#REF!&gt;=4,4,0)+
IF(#REF!="yes",3,0)+
IF(#REF!="High Charges",3,0)+
IF(#REF!&gt;250,4,0)+
IF(#REF!="no",1,0)+
IF(#REF!="Heavy Domestic User",2,0)</f>
        <v>#REF!</v>
      </c>
      <c r="AG4012" t="e">
        <f>IF(#REF!&gt;=10,"High Risk", IF(#REF!&gt;=5,"Medium Risk","Low Risk"))</f>
        <v>#REF!</v>
      </c>
      <c r="AH4012" t="e">
        <f>#REF! + #REF! + #REF! + #REF!</f>
        <v>#REF!</v>
      </c>
    </row>
    <row r="4013" spans="1:34" x14ac:dyDescent="0.35">
      <c r="A4013">
        <v>4012</v>
      </c>
      <c r="B4013" t="s">
        <v>68</v>
      </c>
      <c r="C4013">
        <v>166</v>
      </c>
      <c r="D4013" t="s">
        <v>21</v>
      </c>
      <c r="E4013" t="s">
        <v>23</v>
      </c>
      <c r="F4013" t="s">
        <v>22</v>
      </c>
      <c r="G4013">
        <v>0</v>
      </c>
      <c r="H4013">
        <v>191.3</v>
      </c>
      <c r="I4013">
        <v>120</v>
      </c>
      <c r="J4013">
        <v>32.520000000000003</v>
      </c>
      <c r="K4013">
        <v>167.3</v>
      </c>
      <c r="L4013">
        <v>88</v>
      </c>
      <c r="M4013">
        <v>14.22</v>
      </c>
      <c r="N4013">
        <v>162.9</v>
      </c>
      <c r="O4013">
        <v>110</v>
      </c>
      <c r="P4013">
        <v>7.33</v>
      </c>
      <c r="Q4013">
        <v>10.199999999999999</v>
      </c>
      <c r="R4013">
        <v>2</v>
      </c>
      <c r="S4013">
        <v>2.75</v>
      </c>
      <c r="T4013">
        <v>2</v>
      </c>
      <c r="U4013" t="s">
        <v>23</v>
      </c>
      <c r="V4013" t="e">
        <f>IF(#REF! = "yes", 1, 0)</f>
        <v>#REF!</v>
      </c>
      <c r="W4013" t="e">
        <f>IF(#REF! &lt;= 1, "0-1 Calls", IF(#REF! &lt;= 3, "2-3 Calls", IF(#REF! &lt;=5, "4-5 Calls", "6+ Calls")))</f>
        <v>#REF!</v>
      </c>
      <c r="X4013" t="e">
        <f>IF(#REF! &lt;= 50, "0-50", IF(#REF! &lt;=100, "51-100", IF(#REF! &lt;= 150, "101-150", "151+")))</f>
        <v>#REF!</v>
      </c>
      <c r="Y4013" t="e">
        <f>IF(#REF! &lt;= 3, "Low Charges", "High Charges")</f>
        <v>#REF!</v>
      </c>
      <c r="Z4013" t="e">
        <f>IF(#REF!&lt;=80,"Low Calls",
IF(#REF!&lt;=120,"Medium Calls","High Calls"))</f>
        <v>#REF!</v>
      </c>
      <c r="AA4013" t="e">
        <f>IF(#REF!&lt;=15,"Low Charges",
IF(#REF!&lt;=20,"Medium Charges","High Charges"))</f>
        <v>#REF!</v>
      </c>
      <c r="AB4013" t="e">
        <f>IF(AND(#REF!&gt;180, #REF!&gt;200), "Heavy Doemstic User", IF(#REF!&gt;10, "Interntional User", IF(AND(#REF!&lt;180, #REF!&lt;200,#REF!&lt;200), "Light User", "Balanced User")))</f>
        <v>#REF!</v>
      </c>
      <c r="AC4013" t="e">
        <f>IF(#REF! = 0, "No Usage", IF(#REF! &lt;= 20, "Low Usage", IF(#REF! &lt;= 40, "Medium Usgae", "High Usage")))</f>
        <v>#REF!</v>
      </c>
      <c r="AD4013" t="e">
        <f>IF(#REF!&lt;=150,"Low Usage", IF(#REF!&lt;=200,"Medium Usage", IF(#REF!&lt;=250,"High Usage","Very High Usage")))</f>
        <v>#REF!</v>
      </c>
      <c r="AE4013" t="e">
        <f>IF(#REF!&lt;=5,"Low Calls", IF(#REF!&lt;=10, "Medium Calls", "High Calls"))</f>
        <v>#REF!</v>
      </c>
      <c r="AF4013" t="e">
        <f xml:space="preserve">
IF(#REF!&gt;=4,4,0)+
IF(#REF!="yes",3,0)+
IF(#REF!="High Charges",3,0)+
IF(#REF!&gt;250,4,0)+
IF(#REF!="no",1,0)+
IF(#REF!="Heavy Domestic User",2,0)</f>
        <v>#REF!</v>
      </c>
      <c r="AG4013" t="e">
        <f>IF(#REF!&gt;=10,"High Risk", IF(#REF!&gt;=5,"Medium Risk","Low Risk"))</f>
        <v>#REF!</v>
      </c>
      <c r="AH4013" t="e">
        <f>#REF! + #REF! + #REF! + #REF!</f>
        <v>#REF!</v>
      </c>
    </row>
    <row r="4014" spans="1:34" x14ac:dyDescent="0.35">
      <c r="A4014">
        <v>4013</v>
      </c>
      <c r="B4014" t="s">
        <v>39</v>
      </c>
      <c r="C4014">
        <v>130</v>
      </c>
      <c r="D4014" t="s">
        <v>21</v>
      </c>
      <c r="E4014" t="s">
        <v>22</v>
      </c>
      <c r="F4014" t="s">
        <v>22</v>
      </c>
      <c r="G4014">
        <v>0</v>
      </c>
      <c r="H4014">
        <v>159.9</v>
      </c>
      <c r="I4014">
        <v>70</v>
      </c>
      <c r="J4014">
        <v>27.18</v>
      </c>
      <c r="K4014">
        <v>236.8</v>
      </c>
      <c r="L4014">
        <v>127</v>
      </c>
      <c r="M4014">
        <v>20.13</v>
      </c>
      <c r="N4014">
        <v>227.9</v>
      </c>
      <c r="O4014">
        <v>95</v>
      </c>
      <c r="P4014">
        <v>10.26</v>
      </c>
      <c r="Q4014">
        <v>9</v>
      </c>
      <c r="R4014">
        <v>1</v>
      </c>
      <c r="S4014">
        <v>2.4300000000000002</v>
      </c>
      <c r="T4014">
        <v>1</v>
      </c>
      <c r="U4014" t="s">
        <v>22</v>
      </c>
      <c r="V4014" t="e">
        <f>IF(#REF! = "yes", 1, 0)</f>
        <v>#REF!</v>
      </c>
      <c r="W4014" t="e">
        <f>IF(#REF! &lt;= 1, "0-1 Calls", IF(#REF! &lt;= 3, "2-3 Calls", IF(#REF! &lt;=5, "4-5 Calls", "6+ Calls")))</f>
        <v>#REF!</v>
      </c>
      <c r="X4014" t="e">
        <f>IF(#REF! &lt;= 50, "0-50", IF(#REF! &lt;=100, "51-100", IF(#REF! &lt;= 150, "101-150", "151+")))</f>
        <v>#REF!</v>
      </c>
      <c r="Y4014" t="e">
        <f>IF(#REF! &lt;= 3, "Low Charges", "High Charges")</f>
        <v>#REF!</v>
      </c>
      <c r="Z4014" t="e">
        <f>IF(#REF!&lt;=80,"Low Calls",
IF(#REF!&lt;=120,"Medium Calls","High Calls"))</f>
        <v>#REF!</v>
      </c>
      <c r="AA4014" t="e">
        <f>IF(#REF!&lt;=15,"Low Charges",
IF(#REF!&lt;=20,"Medium Charges","High Charges"))</f>
        <v>#REF!</v>
      </c>
      <c r="AB4014" t="e">
        <f>IF(AND(#REF!&gt;180, #REF!&gt;200), "Heavy Doemstic User", IF(#REF!&gt;10, "Interntional User", IF(AND(#REF!&lt;180, #REF!&lt;200,#REF!&lt;200), "Light User", "Balanced User")))</f>
        <v>#REF!</v>
      </c>
      <c r="AC4014" t="e">
        <f>IF(#REF! = 0, "No Usage", IF(#REF! &lt;= 20, "Low Usage", IF(#REF! &lt;= 40, "Medium Usgae", "High Usage")))</f>
        <v>#REF!</v>
      </c>
      <c r="AD4014" t="e">
        <f>IF(#REF!&lt;=150,"Low Usage", IF(#REF!&lt;=200,"Medium Usage", IF(#REF!&lt;=250,"High Usage","Very High Usage")))</f>
        <v>#REF!</v>
      </c>
      <c r="AE4014" t="e">
        <f>IF(#REF!&lt;=5,"Low Calls", IF(#REF!&lt;=10, "Medium Calls", "High Calls"))</f>
        <v>#REF!</v>
      </c>
      <c r="AF4014" t="e">
        <f xml:space="preserve">
IF(#REF!&gt;=4,4,0)+
IF(#REF!="yes",3,0)+
IF(#REF!="High Charges",3,0)+
IF(#REF!&gt;250,4,0)+
IF(#REF!="no",1,0)+
IF(#REF!="Heavy Domestic User",2,0)</f>
        <v>#REF!</v>
      </c>
      <c r="AG4014" t="e">
        <f>IF(#REF!&gt;=10,"High Risk", IF(#REF!&gt;=5,"Medium Risk","Low Risk"))</f>
        <v>#REF!</v>
      </c>
      <c r="AH4014" t="e">
        <f>#REF! + #REF! + #REF! + #REF!</f>
        <v>#REF!</v>
      </c>
    </row>
    <row r="4015" spans="1:34" x14ac:dyDescent="0.35">
      <c r="A4015">
        <v>4014</v>
      </c>
      <c r="B4015" t="s">
        <v>42</v>
      </c>
      <c r="C4015">
        <v>116</v>
      </c>
      <c r="D4015" t="s">
        <v>21</v>
      </c>
      <c r="E4015" t="s">
        <v>23</v>
      </c>
      <c r="F4015" t="s">
        <v>22</v>
      </c>
      <c r="G4015">
        <v>0</v>
      </c>
      <c r="H4015">
        <v>191.7</v>
      </c>
      <c r="I4015">
        <v>97</v>
      </c>
      <c r="J4015">
        <v>32.590000000000003</v>
      </c>
      <c r="K4015">
        <v>176.2</v>
      </c>
      <c r="L4015">
        <v>127</v>
      </c>
      <c r="M4015">
        <v>14.98</v>
      </c>
      <c r="N4015">
        <v>103.9</v>
      </c>
      <c r="O4015">
        <v>96</v>
      </c>
      <c r="P4015">
        <v>4.68</v>
      </c>
      <c r="Q4015">
        <v>4.9000000000000004</v>
      </c>
      <c r="R4015">
        <v>4</v>
      </c>
      <c r="S4015">
        <v>1.32</v>
      </c>
      <c r="T4015">
        <v>2</v>
      </c>
      <c r="U4015" t="s">
        <v>22</v>
      </c>
      <c r="V4015" t="e">
        <f>IF(#REF! = "yes", 1, 0)</f>
        <v>#REF!</v>
      </c>
      <c r="W4015" t="e">
        <f>IF(#REF! &lt;= 1, "0-1 Calls", IF(#REF! &lt;= 3, "2-3 Calls", IF(#REF! &lt;=5, "4-5 Calls", "6+ Calls")))</f>
        <v>#REF!</v>
      </c>
      <c r="X4015" t="e">
        <f>IF(#REF! &lt;= 50, "0-50", IF(#REF! &lt;=100, "51-100", IF(#REF! &lt;= 150, "101-150", "151+")))</f>
        <v>#REF!</v>
      </c>
      <c r="Y4015" t="e">
        <f>IF(#REF! &lt;= 3, "Low Charges", "High Charges")</f>
        <v>#REF!</v>
      </c>
      <c r="Z4015" t="e">
        <f>IF(#REF!&lt;=80,"Low Calls",
IF(#REF!&lt;=120,"Medium Calls","High Calls"))</f>
        <v>#REF!</v>
      </c>
      <c r="AA4015" t="e">
        <f>IF(#REF!&lt;=15,"Low Charges",
IF(#REF!&lt;=20,"Medium Charges","High Charges"))</f>
        <v>#REF!</v>
      </c>
      <c r="AB4015" t="e">
        <f>IF(AND(#REF!&gt;180, #REF!&gt;200), "Heavy Doemstic User", IF(#REF!&gt;10, "Interntional User", IF(AND(#REF!&lt;180, #REF!&lt;200,#REF!&lt;200), "Light User", "Balanced User")))</f>
        <v>#REF!</v>
      </c>
      <c r="AC4015" t="e">
        <f>IF(#REF! = 0, "No Usage", IF(#REF! &lt;= 20, "Low Usage", IF(#REF! &lt;= 40, "Medium Usgae", "High Usage")))</f>
        <v>#REF!</v>
      </c>
      <c r="AD4015" t="e">
        <f>IF(#REF!&lt;=150,"Low Usage", IF(#REF!&lt;=200,"Medium Usage", IF(#REF!&lt;=250,"High Usage","Very High Usage")))</f>
        <v>#REF!</v>
      </c>
      <c r="AE4015" t="e">
        <f>IF(#REF!&lt;=5,"Low Calls", IF(#REF!&lt;=10, "Medium Calls", "High Calls"))</f>
        <v>#REF!</v>
      </c>
      <c r="AF4015" t="e">
        <f xml:space="preserve">
IF(#REF!&gt;=4,4,0)+
IF(#REF!="yes",3,0)+
IF(#REF!="High Charges",3,0)+
IF(#REF!&gt;250,4,0)+
IF(#REF!="no",1,0)+
IF(#REF!="Heavy Domestic User",2,0)</f>
        <v>#REF!</v>
      </c>
      <c r="AG4015" t="e">
        <f>IF(#REF!&gt;=10,"High Risk", IF(#REF!&gt;=5,"Medium Risk","Low Risk"))</f>
        <v>#REF!</v>
      </c>
      <c r="AH4015" t="e">
        <f>#REF! + #REF! + #REF! + #REF!</f>
        <v>#REF!</v>
      </c>
    </row>
    <row r="4016" spans="1:34" x14ac:dyDescent="0.35">
      <c r="A4016">
        <v>4015</v>
      </c>
      <c r="B4016" t="s">
        <v>74</v>
      </c>
      <c r="C4016">
        <v>161</v>
      </c>
      <c r="D4016" t="s">
        <v>28</v>
      </c>
      <c r="E4016" t="s">
        <v>22</v>
      </c>
      <c r="F4016" t="s">
        <v>22</v>
      </c>
      <c r="G4016">
        <v>0</v>
      </c>
      <c r="H4016">
        <v>151.19999999999999</v>
      </c>
      <c r="I4016">
        <v>89</v>
      </c>
      <c r="J4016">
        <v>25.7</v>
      </c>
      <c r="K4016">
        <v>228.4</v>
      </c>
      <c r="L4016">
        <v>117</v>
      </c>
      <c r="M4016">
        <v>19.41</v>
      </c>
      <c r="N4016">
        <v>169.3</v>
      </c>
      <c r="O4016">
        <v>107</v>
      </c>
      <c r="P4016">
        <v>7.62</v>
      </c>
      <c r="Q4016">
        <v>9.3000000000000007</v>
      </c>
      <c r="R4016">
        <v>2</v>
      </c>
      <c r="S4016">
        <v>2.5099999999999998</v>
      </c>
      <c r="T4016">
        <v>2</v>
      </c>
      <c r="U4016" t="s">
        <v>22</v>
      </c>
      <c r="V4016" t="e">
        <f>IF(#REF! = "yes", 1, 0)</f>
        <v>#REF!</v>
      </c>
      <c r="W4016" t="e">
        <f>IF(#REF! &lt;= 1, "0-1 Calls", IF(#REF! &lt;= 3, "2-3 Calls", IF(#REF! &lt;=5, "4-5 Calls", "6+ Calls")))</f>
        <v>#REF!</v>
      </c>
      <c r="X4016" t="e">
        <f>IF(#REF! &lt;= 50, "0-50", IF(#REF! &lt;=100, "51-100", IF(#REF! &lt;= 150, "101-150", "151+")))</f>
        <v>#REF!</v>
      </c>
      <c r="Y4016" t="e">
        <f>IF(#REF! &lt;= 3, "Low Charges", "High Charges")</f>
        <v>#REF!</v>
      </c>
      <c r="Z4016" t="e">
        <f>IF(#REF!&lt;=80,"Low Calls",
IF(#REF!&lt;=120,"Medium Calls","High Calls"))</f>
        <v>#REF!</v>
      </c>
      <c r="AA4016" t="e">
        <f>IF(#REF!&lt;=15,"Low Charges",
IF(#REF!&lt;=20,"Medium Charges","High Charges"))</f>
        <v>#REF!</v>
      </c>
      <c r="AB4016" t="e">
        <f>IF(AND(#REF!&gt;180, #REF!&gt;200), "Heavy Doemstic User", IF(#REF!&gt;10, "Interntional User", IF(AND(#REF!&lt;180, #REF!&lt;200,#REF!&lt;200), "Light User", "Balanced User")))</f>
        <v>#REF!</v>
      </c>
      <c r="AC4016" t="e">
        <f>IF(#REF! = 0, "No Usage", IF(#REF! &lt;= 20, "Low Usage", IF(#REF! &lt;= 40, "Medium Usgae", "High Usage")))</f>
        <v>#REF!</v>
      </c>
      <c r="AD4016" t="e">
        <f>IF(#REF!&lt;=150,"Low Usage", IF(#REF!&lt;=200,"Medium Usage", IF(#REF!&lt;=250,"High Usage","Very High Usage")))</f>
        <v>#REF!</v>
      </c>
      <c r="AE4016" t="e">
        <f>IF(#REF!&lt;=5,"Low Calls", IF(#REF!&lt;=10, "Medium Calls", "High Calls"))</f>
        <v>#REF!</v>
      </c>
      <c r="AF4016" t="e">
        <f xml:space="preserve">
IF(#REF!&gt;=4,4,0)+
IF(#REF!="yes",3,0)+
IF(#REF!="High Charges",3,0)+
IF(#REF!&gt;250,4,0)+
IF(#REF!="no",1,0)+
IF(#REF!="Heavy Domestic User",2,0)</f>
        <v>#REF!</v>
      </c>
      <c r="AG4016" t="e">
        <f>IF(#REF!&gt;=10,"High Risk", IF(#REF!&gt;=5,"Medium Risk","Low Risk"))</f>
        <v>#REF!</v>
      </c>
      <c r="AH4016" t="e">
        <f>#REF! + #REF! + #REF! + #REF!</f>
        <v>#REF!</v>
      </c>
    </row>
    <row r="4017" spans="1:34" x14ac:dyDescent="0.35">
      <c r="A4017">
        <v>4016</v>
      </c>
      <c r="B4017" t="s">
        <v>50</v>
      </c>
      <c r="C4017">
        <v>130</v>
      </c>
      <c r="D4017" t="s">
        <v>21</v>
      </c>
      <c r="E4017" t="s">
        <v>22</v>
      </c>
      <c r="F4017" t="s">
        <v>22</v>
      </c>
      <c r="G4017">
        <v>0</v>
      </c>
      <c r="H4017">
        <v>182.1</v>
      </c>
      <c r="I4017">
        <v>136</v>
      </c>
      <c r="J4017">
        <v>30.96</v>
      </c>
      <c r="K4017">
        <v>204.2</v>
      </c>
      <c r="L4017">
        <v>99</v>
      </c>
      <c r="M4017">
        <v>17.36</v>
      </c>
      <c r="N4017">
        <v>355.1</v>
      </c>
      <c r="O4017">
        <v>135</v>
      </c>
      <c r="P4017">
        <v>15.98</v>
      </c>
      <c r="Q4017">
        <v>12</v>
      </c>
      <c r="R4017">
        <v>7</v>
      </c>
      <c r="S4017">
        <v>3.24</v>
      </c>
      <c r="T4017">
        <v>2</v>
      </c>
      <c r="U4017" t="s">
        <v>22</v>
      </c>
      <c r="V4017" t="e">
        <f>IF(#REF! = "yes", 1, 0)</f>
        <v>#REF!</v>
      </c>
      <c r="W4017" t="e">
        <f>IF(#REF! &lt;= 1, "0-1 Calls", IF(#REF! &lt;= 3, "2-3 Calls", IF(#REF! &lt;=5, "4-5 Calls", "6+ Calls")))</f>
        <v>#REF!</v>
      </c>
      <c r="X4017" t="e">
        <f>IF(#REF! &lt;= 50, "0-50", IF(#REF! &lt;=100, "51-100", IF(#REF! &lt;= 150, "101-150", "151+")))</f>
        <v>#REF!</v>
      </c>
      <c r="Y4017" t="e">
        <f>IF(#REF! &lt;= 3, "Low Charges", "High Charges")</f>
        <v>#REF!</v>
      </c>
      <c r="Z4017" t="e">
        <f>IF(#REF!&lt;=80,"Low Calls",
IF(#REF!&lt;=120,"Medium Calls","High Calls"))</f>
        <v>#REF!</v>
      </c>
      <c r="AA4017" t="e">
        <f>IF(#REF!&lt;=15,"Low Charges",
IF(#REF!&lt;=20,"Medium Charges","High Charges"))</f>
        <v>#REF!</v>
      </c>
      <c r="AB4017" t="e">
        <f>IF(AND(#REF!&gt;180, #REF!&gt;200), "Heavy Doemstic User", IF(#REF!&gt;10, "Interntional User", IF(AND(#REF!&lt;180, #REF!&lt;200,#REF!&lt;200), "Light User", "Balanced User")))</f>
        <v>#REF!</v>
      </c>
      <c r="AC4017" t="e">
        <f>IF(#REF! = 0, "No Usage", IF(#REF! &lt;= 20, "Low Usage", IF(#REF! &lt;= 40, "Medium Usgae", "High Usage")))</f>
        <v>#REF!</v>
      </c>
      <c r="AD4017" t="e">
        <f>IF(#REF!&lt;=150,"Low Usage", IF(#REF!&lt;=200,"Medium Usage", IF(#REF!&lt;=250,"High Usage","Very High Usage")))</f>
        <v>#REF!</v>
      </c>
      <c r="AE4017" t="e">
        <f>IF(#REF!&lt;=5,"Low Calls", IF(#REF!&lt;=10, "Medium Calls", "High Calls"))</f>
        <v>#REF!</v>
      </c>
      <c r="AF4017" t="e">
        <f xml:space="preserve">
IF(#REF!&gt;=4,4,0)+
IF(#REF!="yes",3,0)+
IF(#REF!="High Charges",3,0)+
IF(#REF!&gt;250,4,0)+
IF(#REF!="no",1,0)+
IF(#REF!="Heavy Domestic User",2,0)</f>
        <v>#REF!</v>
      </c>
      <c r="AG4017" t="e">
        <f>IF(#REF!&gt;=10,"High Risk", IF(#REF!&gt;=5,"Medium Risk","Low Risk"))</f>
        <v>#REF!</v>
      </c>
      <c r="AH4017" t="e">
        <f>#REF! + #REF! + #REF! + #REF!</f>
        <v>#REF!</v>
      </c>
    </row>
    <row r="4018" spans="1:34" x14ac:dyDescent="0.35">
      <c r="A4018">
        <v>4017</v>
      </c>
      <c r="B4018" t="s">
        <v>50</v>
      </c>
      <c r="C4018">
        <v>42</v>
      </c>
      <c r="D4018" t="s">
        <v>28</v>
      </c>
      <c r="E4018" t="s">
        <v>22</v>
      </c>
      <c r="F4018" t="s">
        <v>22</v>
      </c>
      <c r="G4018">
        <v>0</v>
      </c>
      <c r="H4018">
        <v>155.1</v>
      </c>
      <c r="I4018">
        <v>110</v>
      </c>
      <c r="J4018">
        <v>26.37</v>
      </c>
      <c r="K4018">
        <v>160.80000000000001</v>
      </c>
      <c r="L4018">
        <v>109</v>
      </c>
      <c r="M4018">
        <v>13.67</v>
      </c>
      <c r="N4018">
        <v>237.4</v>
      </c>
      <c r="O4018">
        <v>115</v>
      </c>
      <c r="P4018">
        <v>10.68</v>
      </c>
      <c r="Q4018">
        <v>11.3</v>
      </c>
      <c r="R4018">
        <v>2</v>
      </c>
      <c r="S4018">
        <v>3.05</v>
      </c>
      <c r="T4018">
        <v>3</v>
      </c>
      <c r="U4018" t="s">
        <v>22</v>
      </c>
      <c r="V4018" t="e">
        <f>IF(#REF! = "yes", 1, 0)</f>
        <v>#REF!</v>
      </c>
      <c r="W4018" t="e">
        <f>IF(#REF! &lt;= 1, "0-1 Calls", IF(#REF! &lt;= 3, "2-3 Calls", IF(#REF! &lt;=5, "4-5 Calls", "6+ Calls")))</f>
        <v>#REF!</v>
      </c>
      <c r="X4018" t="e">
        <f>IF(#REF! &lt;= 50, "0-50", IF(#REF! &lt;=100, "51-100", IF(#REF! &lt;= 150, "101-150", "151+")))</f>
        <v>#REF!</v>
      </c>
      <c r="Y4018" t="e">
        <f>IF(#REF! &lt;= 3, "Low Charges", "High Charges")</f>
        <v>#REF!</v>
      </c>
      <c r="Z4018" t="e">
        <f>IF(#REF!&lt;=80,"Low Calls",
IF(#REF!&lt;=120,"Medium Calls","High Calls"))</f>
        <v>#REF!</v>
      </c>
      <c r="AA4018" t="e">
        <f>IF(#REF!&lt;=15,"Low Charges",
IF(#REF!&lt;=20,"Medium Charges","High Charges"))</f>
        <v>#REF!</v>
      </c>
      <c r="AB4018" t="e">
        <f>IF(AND(#REF!&gt;180, #REF!&gt;200), "Heavy Doemstic User", IF(#REF!&gt;10, "Interntional User", IF(AND(#REF!&lt;180, #REF!&lt;200,#REF!&lt;200), "Light User", "Balanced User")))</f>
        <v>#REF!</v>
      </c>
      <c r="AC4018" t="e">
        <f>IF(#REF! = 0, "No Usage", IF(#REF! &lt;= 20, "Low Usage", IF(#REF! &lt;= 40, "Medium Usgae", "High Usage")))</f>
        <v>#REF!</v>
      </c>
      <c r="AD4018" t="e">
        <f>IF(#REF!&lt;=150,"Low Usage", IF(#REF!&lt;=200,"Medium Usage", IF(#REF!&lt;=250,"High Usage","Very High Usage")))</f>
        <v>#REF!</v>
      </c>
      <c r="AE4018" t="e">
        <f>IF(#REF!&lt;=5,"Low Calls", IF(#REF!&lt;=10, "Medium Calls", "High Calls"))</f>
        <v>#REF!</v>
      </c>
      <c r="AF4018" t="e">
        <f xml:space="preserve">
IF(#REF!&gt;=4,4,0)+
IF(#REF!="yes",3,0)+
IF(#REF!="High Charges",3,0)+
IF(#REF!&gt;250,4,0)+
IF(#REF!="no",1,0)+
IF(#REF!="Heavy Domestic User",2,0)</f>
        <v>#REF!</v>
      </c>
      <c r="AG4018" t="e">
        <f>IF(#REF!&gt;=10,"High Risk", IF(#REF!&gt;=5,"Medium Risk","Low Risk"))</f>
        <v>#REF!</v>
      </c>
      <c r="AH4018" t="e">
        <f>#REF! + #REF! + #REF! + #REF!</f>
        <v>#REF!</v>
      </c>
    </row>
    <row r="4019" spans="1:34" x14ac:dyDescent="0.35">
      <c r="A4019">
        <v>4018</v>
      </c>
      <c r="B4019" t="s">
        <v>41</v>
      </c>
      <c r="C4019">
        <v>97</v>
      </c>
      <c r="D4019" t="s">
        <v>21</v>
      </c>
      <c r="E4019" t="s">
        <v>22</v>
      </c>
      <c r="F4019" t="s">
        <v>23</v>
      </c>
      <c r="G4019">
        <v>27</v>
      </c>
      <c r="H4019">
        <v>125.9</v>
      </c>
      <c r="I4019">
        <v>90</v>
      </c>
      <c r="J4019">
        <v>21.4</v>
      </c>
      <c r="K4019">
        <v>123.4</v>
      </c>
      <c r="L4019">
        <v>91</v>
      </c>
      <c r="M4019">
        <v>10.49</v>
      </c>
      <c r="N4019">
        <v>230</v>
      </c>
      <c r="O4019">
        <v>71</v>
      </c>
      <c r="P4019">
        <v>10.35</v>
      </c>
      <c r="Q4019">
        <v>7.3</v>
      </c>
      <c r="R4019">
        <v>7</v>
      </c>
      <c r="S4019">
        <v>1.97</v>
      </c>
      <c r="T4019">
        <v>0</v>
      </c>
      <c r="U4019" t="s">
        <v>22</v>
      </c>
      <c r="V4019" t="e">
        <f>IF(#REF! = "yes", 1, 0)</f>
        <v>#REF!</v>
      </c>
      <c r="W4019" t="e">
        <f>IF(#REF! &lt;= 1, "0-1 Calls", IF(#REF! &lt;= 3, "2-3 Calls", IF(#REF! &lt;=5, "4-5 Calls", "6+ Calls")))</f>
        <v>#REF!</v>
      </c>
      <c r="X4019" t="e">
        <f>IF(#REF! &lt;= 50, "0-50", IF(#REF! &lt;=100, "51-100", IF(#REF! &lt;= 150, "101-150", "151+")))</f>
        <v>#REF!</v>
      </c>
      <c r="Y4019" t="e">
        <f>IF(#REF! &lt;= 3, "Low Charges", "High Charges")</f>
        <v>#REF!</v>
      </c>
      <c r="Z4019" t="e">
        <f>IF(#REF!&lt;=80,"Low Calls",
IF(#REF!&lt;=120,"Medium Calls","High Calls"))</f>
        <v>#REF!</v>
      </c>
      <c r="AA4019" t="e">
        <f>IF(#REF!&lt;=15,"Low Charges",
IF(#REF!&lt;=20,"Medium Charges","High Charges"))</f>
        <v>#REF!</v>
      </c>
      <c r="AB4019" t="e">
        <f>IF(AND(#REF!&gt;180, #REF!&gt;200), "Heavy Doemstic User", IF(#REF!&gt;10, "Interntional User", IF(AND(#REF!&lt;180, #REF!&lt;200,#REF!&lt;200), "Light User", "Balanced User")))</f>
        <v>#REF!</v>
      </c>
      <c r="AC4019" t="e">
        <f>IF(#REF! = 0, "No Usage", IF(#REF! &lt;= 20, "Low Usage", IF(#REF! &lt;= 40, "Medium Usgae", "High Usage")))</f>
        <v>#REF!</v>
      </c>
      <c r="AD4019" t="e">
        <f>IF(#REF!&lt;=150,"Low Usage", IF(#REF!&lt;=200,"Medium Usage", IF(#REF!&lt;=250,"High Usage","Very High Usage")))</f>
        <v>#REF!</v>
      </c>
      <c r="AE4019" t="e">
        <f>IF(#REF!&lt;=5,"Low Calls", IF(#REF!&lt;=10, "Medium Calls", "High Calls"))</f>
        <v>#REF!</v>
      </c>
      <c r="AF4019" t="e">
        <f xml:space="preserve">
IF(#REF!&gt;=4,4,0)+
IF(#REF!="yes",3,0)+
IF(#REF!="High Charges",3,0)+
IF(#REF!&gt;250,4,0)+
IF(#REF!="no",1,0)+
IF(#REF!="Heavy Domestic User",2,0)</f>
        <v>#REF!</v>
      </c>
      <c r="AG4019" t="e">
        <f>IF(#REF!&gt;=10,"High Risk", IF(#REF!&gt;=5,"Medium Risk","Low Risk"))</f>
        <v>#REF!</v>
      </c>
      <c r="AH4019" t="e">
        <f>#REF! + #REF! + #REF! + #REF!</f>
        <v>#REF!</v>
      </c>
    </row>
    <row r="4020" spans="1:34" x14ac:dyDescent="0.35">
      <c r="A4020">
        <v>4019</v>
      </c>
      <c r="B4020" t="s">
        <v>42</v>
      </c>
      <c r="C4020">
        <v>127</v>
      </c>
      <c r="D4020" t="s">
        <v>21</v>
      </c>
      <c r="E4020" t="s">
        <v>22</v>
      </c>
      <c r="F4020" t="s">
        <v>23</v>
      </c>
      <c r="G4020">
        <v>29</v>
      </c>
      <c r="H4020">
        <v>136.1</v>
      </c>
      <c r="I4020">
        <v>146</v>
      </c>
      <c r="J4020">
        <v>23.14</v>
      </c>
      <c r="K4020">
        <v>302.60000000000002</v>
      </c>
      <c r="L4020">
        <v>105</v>
      </c>
      <c r="M4020">
        <v>25.72</v>
      </c>
      <c r="N4020">
        <v>163.1</v>
      </c>
      <c r="O4020">
        <v>116</v>
      </c>
      <c r="P4020">
        <v>7.34</v>
      </c>
      <c r="Q4020">
        <v>18.5</v>
      </c>
      <c r="R4020">
        <v>2</v>
      </c>
      <c r="S4020">
        <v>5</v>
      </c>
      <c r="T4020">
        <v>2</v>
      </c>
      <c r="U4020" t="s">
        <v>22</v>
      </c>
      <c r="V4020" t="e">
        <f>IF(#REF! = "yes", 1, 0)</f>
        <v>#REF!</v>
      </c>
      <c r="W4020" t="e">
        <f>IF(#REF! &lt;= 1, "0-1 Calls", IF(#REF! &lt;= 3, "2-3 Calls", IF(#REF! &lt;=5, "4-5 Calls", "6+ Calls")))</f>
        <v>#REF!</v>
      </c>
      <c r="X4020" t="e">
        <f>IF(#REF! &lt;= 50, "0-50", IF(#REF! &lt;=100, "51-100", IF(#REF! &lt;= 150, "101-150", "151+")))</f>
        <v>#REF!</v>
      </c>
      <c r="Y4020" t="e">
        <f>IF(#REF! &lt;= 3, "Low Charges", "High Charges")</f>
        <v>#REF!</v>
      </c>
      <c r="Z4020" t="e">
        <f>IF(#REF!&lt;=80,"Low Calls",
IF(#REF!&lt;=120,"Medium Calls","High Calls"))</f>
        <v>#REF!</v>
      </c>
      <c r="AA4020" t="e">
        <f>IF(#REF!&lt;=15,"Low Charges",
IF(#REF!&lt;=20,"Medium Charges","High Charges"))</f>
        <v>#REF!</v>
      </c>
      <c r="AB4020" t="e">
        <f>IF(AND(#REF!&gt;180, #REF!&gt;200), "Heavy Doemstic User", IF(#REF!&gt;10, "Interntional User", IF(AND(#REF!&lt;180, #REF!&lt;200,#REF!&lt;200), "Light User", "Balanced User")))</f>
        <v>#REF!</v>
      </c>
      <c r="AC4020" t="e">
        <f>IF(#REF! = 0, "No Usage", IF(#REF! &lt;= 20, "Low Usage", IF(#REF! &lt;= 40, "Medium Usgae", "High Usage")))</f>
        <v>#REF!</v>
      </c>
      <c r="AD4020" t="e">
        <f>IF(#REF!&lt;=150,"Low Usage", IF(#REF!&lt;=200,"Medium Usage", IF(#REF!&lt;=250,"High Usage","Very High Usage")))</f>
        <v>#REF!</v>
      </c>
      <c r="AE4020" t="e">
        <f>IF(#REF!&lt;=5,"Low Calls", IF(#REF!&lt;=10, "Medium Calls", "High Calls"))</f>
        <v>#REF!</v>
      </c>
      <c r="AF4020" t="e">
        <f xml:space="preserve">
IF(#REF!&gt;=4,4,0)+
IF(#REF!="yes",3,0)+
IF(#REF!="High Charges",3,0)+
IF(#REF!&gt;250,4,0)+
IF(#REF!="no",1,0)+
IF(#REF!="Heavy Domestic User",2,0)</f>
        <v>#REF!</v>
      </c>
      <c r="AG4020" t="e">
        <f>IF(#REF!&gt;=10,"High Risk", IF(#REF!&gt;=5,"Medium Risk","Low Risk"))</f>
        <v>#REF!</v>
      </c>
      <c r="AH4020" t="e">
        <f>#REF! + #REF! + #REF! + #REF!</f>
        <v>#REF!</v>
      </c>
    </row>
    <row r="4021" spans="1:34" x14ac:dyDescent="0.35">
      <c r="A4021">
        <v>4020</v>
      </c>
      <c r="B4021" t="s">
        <v>55</v>
      </c>
      <c r="C4021">
        <v>34</v>
      </c>
      <c r="D4021" t="s">
        <v>21</v>
      </c>
      <c r="E4021" t="s">
        <v>22</v>
      </c>
      <c r="F4021" t="s">
        <v>23</v>
      </c>
      <c r="G4021">
        <v>33</v>
      </c>
      <c r="H4021">
        <v>284.3</v>
      </c>
      <c r="I4021">
        <v>115</v>
      </c>
      <c r="J4021">
        <v>48.33</v>
      </c>
      <c r="K4021">
        <v>204.8</v>
      </c>
      <c r="L4021">
        <v>125</v>
      </c>
      <c r="M4021">
        <v>17.41</v>
      </c>
      <c r="N4021">
        <v>143</v>
      </c>
      <c r="O4021">
        <v>83</v>
      </c>
      <c r="P4021">
        <v>6.44</v>
      </c>
      <c r="Q4021">
        <v>3.5</v>
      </c>
      <c r="R4021">
        <v>4</v>
      </c>
      <c r="S4021">
        <v>0.95</v>
      </c>
      <c r="T4021">
        <v>0</v>
      </c>
      <c r="U4021" t="s">
        <v>22</v>
      </c>
      <c r="V4021" t="e">
        <f>IF(#REF! = "yes", 1, 0)</f>
        <v>#REF!</v>
      </c>
      <c r="W4021" t="e">
        <f>IF(#REF! &lt;= 1, "0-1 Calls", IF(#REF! &lt;= 3, "2-3 Calls", IF(#REF! &lt;=5, "4-5 Calls", "6+ Calls")))</f>
        <v>#REF!</v>
      </c>
      <c r="X4021" t="e">
        <f>IF(#REF! &lt;= 50, "0-50", IF(#REF! &lt;=100, "51-100", IF(#REF! &lt;= 150, "101-150", "151+")))</f>
        <v>#REF!</v>
      </c>
      <c r="Y4021" t="e">
        <f>IF(#REF! &lt;= 3, "Low Charges", "High Charges")</f>
        <v>#REF!</v>
      </c>
      <c r="Z4021" t="e">
        <f>IF(#REF!&lt;=80,"Low Calls",
IF(#REF!&lt;=120,"Medium Calls","High Calls"))</f>
        <v>#REF!</v>
      </c>
      <c r="AA4021" t="e">
        <f>IF(#REF!&lt;=15,"Low Charges",
IF(#REF!&lt;=20,"Medium Charges","High Charges"))</f>
        <v>#REF!</v>
      </c>
      <c r="AB4021" t="e">
        <f>IF(AND(#REF!&gt;180, #REF!&gt;200), "Heavy Doemstic User", IF(#REF!&gt;10, "Interntional User", IF(AND(#REF!&lt;180, #REF!&lt;200,#REF!&lt;200), "Light User", "Balanced User")))</f>
        <v>#REF!</v>
      </c>
      <c r="AC4021" t="e">
        <f>IF(#REF! = 0, "No Usage", IF(#REF! &lt;= 20, "Low Usage", IF(#REF! &lt;= 40, "Medium Usgae", "High Usage")))</f>
        <v>#REF!</v>
      </c>
      <c r="AD4021" t="e">
        <f>IF(#REF!&lt;=150,"Low Usage", IF(#REF!&lt;=200,"Medium Usage", IF(#REF!&lt;=250,"High Usage","Very High Usage")))</f>
        <v>#REF!</v>
      </c>
      <c r="AE4021" t="e">
        <f>IF(#REF!&lt;=5,"Low Calls", IF(#REF!&lt;=10, "Medium Calls", "High Calls"))</f>
        <v>#REF!</v>
      </c>
      <c r="AF4021" t="e">
        <f xml:space="preserve">
IF(#REF!&gt;=4,4,0)+
IF(#REF!="yes",3,0)+
IF(#REF!="High Charges",3,0)+
IF(#REF!&gt;250,4,0)+
IF(#REF!="no",1,0)+
IF(#REF!="Heavy Domestic User",2,0)</f>
        <v>#REF!</v>
      </c>
      <c r="AG4021" t="e">
        <f>IF(#REF!&gt;=10,"High Risk", IF(#REF!&gt;=5,"Medium Risk","Low Risk"))</f>
        <v>#REF!</v>
      </c>
      <c r="AH4021" t="e">
        <f>#REF! + #REF! + #REF! + #REF!</f>
        <v>#REF!</v>
      </c>
    </row>
    <row r="4022" spans="1:34" x14ac:dyDescent="0.35">
      <c r="A4022">
        <v>4021</v>
      </c>
      <c r="B4022" t="s">
        <v>53</v>
      </c>
      <c r="C4022">
        <v>116</v>
      </c>
      <c r="D4022" t="s">
        <v>21</v>
      </c>
      <c r="E4022" t="s">
        <v>22</v>
      </c>
      <c r="F4022" t="s">
        <v>22</v>
      </c>
      <c r="G4022">
        <v>0</v>
      </c>
      <c r="H4022">
        <v>199.7</v>
      </c>
      <c r="I4022">
        <v>76</v>
      </c>
      <c r="J4022">
        <v>33.950000000000003</v>
      </c>
      <c r="K4022">
        <v>98.5</v>
      </c>
      <c r="L4022">
        <v>104</v>
      </c>
      <c r="M4022">
        <v>8.3699999999999992</v>
      </c>
      <c r="N4022">
        <v>220.1</v>
      </c>
      <c r="O4022">
        <v>108</v>
      </c>
      <c r="P4022">
        <v>9.9</v>
      </c>
      <c r="Q4022">
        <v>13.7</v>
      </c>
      <c r="R4022">
        <v>6</v>
      </c>
      <c r="S4022">
        <v>3.7</v>
      </c>
      <c r="T4022">
        <v>1</v>
      </c>
      <c r="U4022" t="s">
        <v>22</v>
      </c>
      <c r="V4022" t="e">
        <f>IF(#REF! = "yes", 1, 0)</f>
        <v>#REF!</v>
      </c>
      <c r="W4022" t="e">
        <f>IF(#REF! &lt;= 1, "0-1 Calls", IF(#REF! &lt;= 3, "2-3 Calls", IF(#REF! &lt;=5, "4-5 Calls", "6+ Calls")))</f>
        <v>#REF!</v>
      </c>
      <c r="X4022" t="e">
        <f>IF(#REF! &lt;= 50, "0-50", IF(#REF! &lt;=100, "51-100", IF(#REF! &lt;= 150, "101-150", "151+")))</f>
        <v>#REF!</v>
      </c>
      <c r="Y4022" t="e">
        <f>IF(#REF! &lt;= 3, "Low Charges", "High Charges")</f>
        <v>#REF!</v>
      </c>
      <c r="Z4022" t="e">
        <f>IF(#REF!&lt;=80,"Low Calls",
IF(#REF!&lt;=120,"Medium Calls","High Calls"))</f>
        <v>#REF!</v>
      </c>
      <c r="AA4022" t="e">
        <f>IF(#REF!&lt;=15,"Low Charges",
IF(#REF!&lt;=20,"Medium Charges","High Charges"))</f>
        <v>#REF!</v>
      </c>
      <c r="AB4022" t="e">
        <f>IF(AND(#REF!&gt;180, #REF!&gt;200), "Heavy Doemstic User", IF(#REF!&gt;10, "Interntional User", IF(AND(#REF!&lt;180, #REF!&lt;200,#REF!&lt;200), "Light User", "Balanced User")))</f>
        <v>#REF!</v>
      </c>
      <c r="AC4022" t="e">
        <f>IF(#REF! = 0, "No Usage", IF(#REF! &lt;= 20, "Low Usage", IF(#REF! &lt;= 40, "Medium Usgae", "High Usage")))</f>
        <v>#REF!</v>
      </c>
      <c r="AD4022" t="e">
        <f>IF(#REF!&lt;=150,"Low Usage", IF(#REF!&lt;=200,"Medium Usage", IF(#REF!&lt;=250,"High Usage","Very High Usage")))</f>
        <v>#REF!</v>
      </c>
      <c r="AE4022" t="e">
        <f>IF(#REF!&lt;=5,"Low Calls", IF(#REF!&lt;=10, "Medium Calls", "High Calls"))</f>
        <v>#REF!</v>
      </c>
      <c r="AF4022" t="e">
        <f xml:space="preserve">
IF(#REF!&gt;=4,4,0)+
IF(#REF!="yes",3,0)+
IF(#REF!="High Charges",3,0)+
IF(#REF!&gt;250,4,0)+
IF(#REF!="no",1,0)+
IF(#REF!="Heavy Domestic User",2,0)</f>
        <v>#REF!</v>
      </c>
      <c r="AG4022" t="e">
        <f>IF(#REF!&gt;=10,"High Risk", IF(#REF!&gt;=5,"Medium Risk","Low Risk"))</f>
        <v>#REF!</v>
      </c>
      <c r="AH4022" t="e">
        <f>#REF! + #REF! + #REF! + #REF!</f>
        <v>#REF!</v>
      </c>
    </row>
    <row r="4023" spans="1:34" x14ac:dyDescent="0.35">
      <c r="A4023">
        <v>4022</v>
      </c>
      <c r="B4023" t="s">
        <v>57</v>
      </c>
      <c r="C4023">
        <v>158</v>
      </c>
      <c r="D4023" t="s">
        <v>21</v>
      </c>
      <c r="E4023" t="s">
        <v>22</v>
      </c>
      <c r="F4023" t="s">
        <v>22</v>
      </c>
      <c r="G4023">
        <v>0</v>
      </c>
      <c r="H4023">
        <v>98.2</v>
      </c>
      <c r="I4023">
        <v>87</v>
      </c>
      <c r="J4023">
        <v>16.690000000000001</v>
      </c>
      <c r="K4023">
        <v>198.3</v>
      </c>
      <c r="L4023">
        <v>71</v>
      </c>
      <c r="M4023">
        <v>16.86</v>
      </c>
      <c r="N4023">
        <v>246</v>
      </c>
      <c r="O4023">
        <v>99</v>
      </c>
      <c r="P4023">
        <v>11.07</v>
      </c>
      <c r="Q4023">
        <v>13</v>
      </c>
      <c r="R4023">
        <v>5</v>
      </c>
      <c r="S4023">
        <v>3.51</v>
      </c>
      <c r="T4023">
        <v>2</v>
      </c>
      <c r="U4023" t="s">
        <v>22</v>
      </c>
      <c r="V4023" t="e">
        <f>IF(#REF! = "yes", 1, 0)</f>
        <v>#REF!</v>
      </c>
      <c r="W4023" t="e">
        <f>IF(#REF! &lt;= 1, "0-1 Calls", IF(#REF! &lt;= 3, "2-3 Calls", IF(#REF! &lt;=5, "4-5 Calls", "6+ Calls")))</f>
        <v>#REF!</v>
      </c>
      <c r="X4023" t="e">
        <f>IF(#REF! &lt;= 50, "0-50", IF(#REF! &lt;=100, "51-100", IF(#REF! &lt;= 150, "101-150", "151+")))</f>
        <v>#REF!</v>
      </c>
      <c r="Y4023" t="e">
        <f>IF(#REF! &lt;= 3, "Low Charges", "High Charges")</f>
        <v>#REF!</v>
      </c>
      <c r="Z4023" t="e">
        <f>IF(#REF!&lt;=80,"Low Calls",
IF(#REF!&lt;=120,"Medium Calls","High Calls"))</f>
        <v>#REF!</v>
      </c>
      <c r="AA4023" t="e">
        <f>IF(#REF!&lt;=15,"Low Charges",
IF(#REF!&lt;=20,"Medium Charges","High Charges"))</f>
        <v>#REF!</v>
      </c>
      <c r="AB4023" t="e">
        <f>IF(AND(#REF!&gt;180, #REF!&gt;200), "Heavy Doemstic User", IF(#REF!&gt;10, "Interntional User", IF(AND(#REF!&lt;180, #REF!&lt;200,#REF!&lt;200), "Light User", "Balanced User")))</f>
        <v>#REF!</v>
      </c>
      <c r="AC4023" t="e">
        <f>IF(#REF! = 0, "No Usage", IF(#REF! &lt;= 20, "Low Usage", IF(#REF! &lt;= 40, "Medium Usgae", "High Usage")))</f>
        <v>#REF!</v>
      </c>
      <c r="AD4023" t="e">
        <f>IF(#REF!&lt;=150,"Low Usage", IF(#REF!&lt;=200,"Medium Usage", IF(#REF!&lt;=250,"High Usage","Very High Usage")))</f>
        <v>#REF!</v>
      </c>
      <c r="AE4023" t="e">
        <f>IF(#REF!&lt;=5,"Low Calls", IF(#REF!&lt;=10, "Medium Calls", "High Calls"))</f>
        <v>#REF!</v>
      </c>
      <c r="AF4023" t="e">
        <f xml:space="preserve">
IF(#REF!&gt;=4,4,0)+
IF(#REF!="yes",3,0)+
IF(#REF!="High Charges",3,0)+
IF(#REF!&gt;250,4,0)+
IF(#REF!="no",1,0)+
IF(#REF!="Heavy Domestic User",2,0)</f>
        <v>#REF!</v>
      </c>
      <c r="AG4023" t="e">
        <f>IF(#REF!&gt;=10,"High Risk", IF(#REF!&gt;=5,"Medium Risk","Low Risk"))</f>
        <v>#REF!</v>
      </c>
      <c r="AH4023" t="e">
        <f>#REF! + #REF! + #REF! + #REF!</f>
        <v>#REF!</v>
      </c>
    </row>
    <row r="4024" spans="1:34" x14ac:dyDescent="0.35">
      <c r="A4024">
        <v>4023</v>
      </c>
      <c r="B4024" t="s">
        <v>73</v>
      </c>
      <c r="C4024">
        <v>86</v>
      </c>
      <c r="D4024" t="s">
        <v>21</v>
      </c>
      <c r="E4024" t="s">
        <v>22</v>
      </c>
      <c r="F4024" t="s">
        <v>23</v>
      </c>
      <c r="G4024">
        <v>23</v>
      </c>
      <c r="H4024">
        <v>247.6</v>
      </c>
      <c r="I4024">
        <v>65</v>
      </c>
      <c r="J4024">
        <v>42.09</v>
      </c>
      <c r="K4024">
        <v>255.7</v>
      </c>
      <c r="L4024">
        <v>104</v>
      </c>
      <c r="M4024">
        <v>21.73</v>
      </c>
      <c r="N4024">
        <v>150</v>
      </c>
      <c r="O4024">
        <v>138</v>
      </c>
      <c r="P4024">
        <v>6.75</v>
      </c>
      <c r="Q4024">
        <v>7.3</v>
      </c>
      <c r="R4024">
        <v>5</v>
      </c>
      <c r="S4024">
        <v>1.97</v>
      </c>
      <c r="T4024">
        <v>3</v>
      </c>
      <c r="U4024" t="s">
        <v>22</v>
      </c>
      <c r="V4024" t="e">
        <f>IF(#REF! = "yes", 1, 0)</f>
        <v>#REF!</v>
      </c>
      <c r="W4024" t="e">
        <f>IF(#REF! &lt;= 1, "0-1 Calls", IF(#REF! &lt;= 3, "2-3 Calls", IF(#REF! &lt;=5, "4-5 Calls", "6+ Calls")))</f>
        <v>#REF!</v>
      </c>
      <c r="X4024" t="e">
        <f>IF(#REF! &lt;= 50, "0-50", IF(#REF! &lt;=100, "51-100", IF(#REF! &lt;= 150, "101-150", "151+")))</f>
        <v>#REF!</v>
      </c>
      <c r="Y4024" t="e">
        <f>IF(#REF! &lt;= 3, "Low Charges", "High Charges")</f>
        <v>#REF!</v>
      </c>
      <c r="Z4024" t="e">
        <f>IF(#REF!&lt;=80,"Low Calls",
IF(#REF!&lt;=120,"Medium Calls","High Calls"))</f>
        <v>#REF!</v>
      </c>
      <c r="AA4024" t="e">
        <f>IF(#REF!&lt;=15,"Low Charges",
IF(#REF!&lt;=20,"Medium Charges","High Charges"))</f>
        <v>#REF!</v>
      </c>
      <c r="AB4024" t="e">
        <f>IF(AND(#REF!&gt;180, #REF!&gt;200), "Heavy Doemstic User", IF(#REF!&gt;10, "Interntional User", IF(AND(#REF!&lt;180, #REF!&lt;200,#REF!&lt;200), "Light User", "Balanced User")))</f>
        <v>#REF!</v>
      </c>
      <c r="AC4024" t="e">
        <f>IF(#REF! = 0, "No Usage", IF(#REF! &lt;= 20, "Low Usage", IF(#REF! &lt;= 40, "Medium Usgae", "High Usage")))</f>
        <v>#REF!</v>
      </c>
      <c r="AD4024" t="e">
        <f>IF(#REF!&lt;=150,"Low Usage", IF(#REF!&lt;=200,"Medium Usage", IF(#REF!&lt;=250,"High Usage","Very High Usage")))</f>
        <v>#REF!</v>
      </c>
      <c r="AE4024" t="e">
        <f>IF(#REF!&lt;=5,"Low Calls", IF(#REF!&lt;=10, "Medium Calls", "High Calls"))</f>
        <v>#REF!</v>
      </c>
      <c r="AF4024" t="e">
        <f xml:space="preserve">
IF(#REF!&gt;=4,4,0)+
IF(#REF!="yes",3,0)+
IF(#REF!="High Charges",3,0)+
IF(#REF!&gt;250,4,0)+
IF(#REF!="no",1,0)+
IF(#REF!="Heavy Domestic User",2,0)</f>
        <v>#REF!</v>
      </c>
      <c r="AG4024" t="e">
        <f>IF(#REF!&gt;=10,"High Risk", IF(#REF!&gt;=5,"Medium Risk","Low Risk"))</f>
        <v>#REF!</v>
      </c>
      <c r="AH4024" t="e">
        <f>#REF! + #REF! + #REF! + #REF!</f>
        <v>#REF!</v>
      </c>
    </row>
    <row r="4025" spans="1:34" x14ac:dyDescent="0.35">
      <c r="A4025">
        <v>4024</v>
      </c>
      <c r="B4025" t="s">
        <v>35</v>
      </c>
      <c r="C4025">
        <v>21</v>
      </c>
      <c r="D4025" t="s">
        <v>21</v>
      </c>
      <c r="E4025" t="s">
        <v>22</v>
      </c>
      <c r="F4025" t="s">
        <v>22</v>
      </c>
      <c r="G4025">
        <v>0</v>
      </c>
      <c r="H4025">
        <v>254.3</v>
      </c>
      <c r="I4025">
        <v>87</v>
      </c>
      <c r="J4025">
        <v>43.23</v>
      </c>
      <c r="K4025">
        <v>215.5</v>
      </c>
      <c r="L4025">
        <v>95</v>
      </c>
      <c r="M4025">
        <v>18.32</v>
      </c>
      <c r="N4025">
        <v>236.3</v>
      </c>
      <c r="O4025">
        <v>98</v>
      </c>
      <c r="P4025">
        <v>10.63</v>
      </c>
      <c r="Q4025">
        <v>11.6</v>
      </c>
      <c r="R4025">
        <v>5</v>
      </c>
      <c r="S4025">
        <v>3.13</v>
      </c>
      <c r="T4025">
        <v>1</v>
      </c>
      <c r="U4025" t="s">
        <v>23</v>
      </c>
      <c r="V4025" t="e">
        <f>IF(#REF! = "yes", 1, 0)</f>
        <v>#REF!</v>
      </c>
      <c r="W4025" t="e">
        <f>IF(#REF! &lt;= 1, "0-1 Calls", IF(#REF! &lt;= 3, "2-3 Calls", IF(#REF! &lt;=5, "4-5 Calls", "6+ Calls")))</f>
        <v>#REF!</v>
      </c>
      <c r="X4025" t="e">
        <f>IF(#REF! &lt;= 50, "0-50", IF(#REF! &lt;=100, "51-100", IF(#REF! &lt;= 150, "101-150", "151+")))</f>
        <v>#REF!</v>
      </c>
      <c r="Y4025" t="e">
        <f>IF(#REF! &lt;= 3, "Low Charges", "High Charges")</f>
        <v>#REF!</v>
      </c>
      <c r="Z4025" t="e">
        <f>IF(#REF!&lt;=80,"Low Calls",
IF(#REF!&lt;=120,"Medium Calls","High Calls"))</f>
        <v>#REF!</v>
      </c>
      <c r="AA4025" t="e">
        <f>IF(#REF!&lt;=15,"Low Charges",
IF(#REF!&lt;=20,"Medium Charges","High Charges"))</f>
        <v>#REF!</v>
      </c>
      <c r="AB4025" t="e">
        <f>IF(AND(#REF!&gt;180, #REF!&gt;200), "Heavy Doemstic User", IF(#REF!&gt;10, "Interntional User", IF(AND(#REF!&lt;180, #REF!&lt;200,#REF!&lt;200), "Light User", "Balanced User")))</f>
        <v>#REF!</v>
      </c>
      <c r="AC4025" t="e">
        <f>IF(#REF! = 0, "No Usage", IF(#REF! &lt;= 20, "Low Usage", IF(#REF! &lt;= 40, "Medium Usgae", "High Usage")))</f>
        <v>#REF!</v>
      </c>
      <c r="AD4025" t="e">
        <f>IF(#REF!&lt;=150,"Low Usage", IF(#REF!&lt;=200,"Medium Usage", IF(#REF!&lt;=250,"High Usage","Very High Usage")))</f>
        <v>#REF!</v>
      </c>
      <c r="AE4025" t="e">
        <f>IF(#REF!&lt;=5,"Low Calls", IF(#REF!&lt;=10, "Medium Calls", "High Calls"))</f>
        <v>#REF!</v>
      </c>
      <c r="AF4025" t="e">
        <f xml:space="preserve">
IF(#REF!&gt;=4,4,0)+
IF(#REF!="yes",3,0)+
IF(#REF!="High Charges",3,0)+
IF(#REF!&gt;250,4,0)+
IF(#REF!="no",1,0)+
IF(#REF!="Heavy Domestic User",2,0)</f>
        <v>#REF!</v>
      </c>
      <c r="AG4025" t="e">
        <f>IF(#REF!&gt;=10,"High Risk", IF(#REF!&gt;=5,"Medium Risk","Low Risk"))</f>
        <v>#REF!</v>
      </c>
      <c r="AH4025" t="e">
        <f>#REF! + #REF! + #REF! + #REF!</f>
        <v>#REF!</v>
      </c>
    </row>
    <row r="4026" spans="1:34" x14ac:dyDescent="0.35">
      <c r="A4026">
        <v>4025</v>
      </c>
      <c r="B4026" t="s">
        <v>60</v>
      </c>
      <c r="C4026">
        <v>78</v>
      </c>
      <c r="D4026" t="s">
        <v>21</v>
      </c>
      <c r="E4026" t="s">
        <v>22</v>
      </c>
      <c r="F4026" t="s">
        <v>22</v>
      </c>
      <c r="G4026">
        <v>0</v>
      </c>
      <c r="H4026">
        <v>241.3</v>
      </c>
      <c r="I4026">
        <v>113</v>
      </c>
      <c r="J4026">
        <v>41.02</v>
      </c>
      <c r="K4026">
        <v>146.6</v>
      </c>
      <c r="L4026">
        <v>97</v>
      </c>
      <c r="M4026">
        <v>12.46</v>
      </c>
      <c r="N4026">
        <v>129</v>
      </c>
      <c r="O4026">
        <v>131</v>
      </c>
      <c r="P4026">
        <v>5.81</v>
      </c>
      <c r="Q4026">
        <v>11.8</v>
      </c>
      <c r="R4026">
        <v>6</v>
      </c>
      <c r="S4026">
        <v>3.19</v>
      </c>
      <c r="T4026">
        <v>3</v>
      </c>
      <c r="U4026" t="s">
        <v>22</v>
      </c>
      <c r="V4026" t="e">
        <f>IF(#REF! = "yes", 1, 0)</f>
        <v>#REF!</v>
      </c>
      <c r="W4026" t="e">
        <f>IF(#REF! &lt;= 1, "0-1 Calls", IF(#REF! &lt;= 3, "2-3 Calls", IF(#REF! &lt;=5, "4-5 Calls", "6+ Calls")))</f>
        <v>#REF!</v>
      </c>
      <c r="X4026" t="e">
        <f>IF(#REF! &lt;= 50, "0-50", IF(#REF! &lt;=100, "51-100", IF(#REF! &lt;= 150, "101-150", "151+")))</f>
        <v>#REF!</v>
      </c>
      <c r="Y4026" t="e">
        <f>IF(#REF! &lt;= 3, "Low Charges", "High Charges")</f>
        <v>#REF!</v>
      </c>
      <c r="Z4026" t="e">
        <f>IF(#REF!&lt;=80,"Low Calls",
IF(#REF!&lt;=120,"Medium Calls","High Calls"))</f>
        <v>#REF!</v>
      </c>
      <c r="AA4026" t="e">
        <f>IF(#REF!&lt;=15,"Low Charges",
IF(#REF!&lt;=20,"Medium Charges","High Charges"))</f>
        <v>#REF!</v>
      </c>
      <c r="AB4026" t="e">
        <f>IF(AND(#REF!&gt;180, #REF!&gt;200), "Heavy Doemstic User", IF(#REF!&gt;10, "Interntional User", IF(AND(#REF!&lt;180, #REF!&lt;200,#REF!&lt;200), "Light User", "Balanced User")))</f>
        <v>#REF!</v>
      </c>
      <c r="AC4026" t="e">
        <f>IF(#REF! = 0, "No Usage", IF(#REF! &lt;= 20, "Low Usage", IF(#REF! &lt;= 40, "Medium Usgae", "High Usage")))</f>
        <v>#REF!</v>
      </c>
      <c r="AD4026" t="e">
        <f>IF(#REF!&lt;=150,"Low Usage", IF(#REF!&lt;=200,"Medium Usage", IF(#REF!&lt;=250,"High Usage","Very High Usage")))</f>
        <v>#REF!</v>
      </c>
      <c r="AE4026" t="e">
        <f>IF(#REF!&lt;=5,"Low Calls", IF(#REF!&lt;=10, "Medium Calls", "High Calls"))</f>
        <v>#REF!</v>
      </c>
      <c r="AF4026" t="e">
        <f xml:space="preserve">
IF(#REF!&gt;=4,4,0)+
IF(#REF!="yes",3,0)+
IF(#REF!="High Charges",3,0)+
IF(#REF!&gt;250,4,0)+
IF(#REF!="no",1,0)+
IF(#REF!="Heavy Domestic User",2,0)</f>
        <v>#REF!</v>
      </c>
      <c r="AG4026" t="e">
        <f>IF(#REF!&gt;=10,"High Risk", IF(#REF!&gt;=5,"Medium Risk","Low Risk"))</f>
        <v>#REF!</v>
      </c>
      <c r="AH4026" t="e">
        <f>#REF! + #REF! + #REF! + #REF!</f>
        <v>#REF!</v>
      </c>
    </row>
    <row r="4027" spans="1:34" x14ac:dyDescent="0.35">
      <c r="A4027">
        <v>4026</v>
      </c>
      <c r="B4027" t="s">
        <v>49</v>
      </c>
      <c r="C4027">
        <v>137</v>
      </c>
      <c r="D4027" t="s">
        <v>28</v>
      </c>
      <c r="E4027" t="s">
        <v>22</v>
      </c>
      <c r="F4027" t="s">
        <v>22</v>
      </c>
      <c r="G4027">
        <v>0</v>
      </c>
      <c r="H4027">
        <v>111.8</v>
      </c>
      <c r="I4027">
        <v>106</v>
      </c>
      <c r="J4027">
        <v>19.010000000000002</v>
      </c>
      <c r="K4027">
        <v>281.89999999999998</v>
      </c>
      <c r="L4027">
        <v>89</v>
      </c>
      <c r="M4027">
        <v>23.96</v>
      </c>
      <c r="N4027">
        <v>233</v>
      </c>
      <c r="O4027">
        <v>93</v>
      </c>
      <c r="P4027">
        <v>10.49</v>
      </c>
      <c r="Q4027">
        <v>11.5</v>
      </c>
      <c r="R4027">
        <v>4</v>
      </c>
      <c r="S4027">
        <v>3.11</v>
      </c>
      <c r="T4027">
        <v>4</v>
      </c>
      <c r="U4027" t="s">
        <v>23</v>
      </c>
      <c r="V4027" t="e">
        <f>IF(#REF! = "yes", 1, 0)</f>
        <v>#REF!</v>
      </c>
      <c r="W4027" t="e">
        <f>IF(#REF! &lt;= 1, "0-1 Calls", IF(#REF! &lt;= 3, "2-3 Calls", IF(#REF! &lt;=5, "4-5 Calls", "6+ Calls")))</f>
        <v>#REF!</v>
      </c>
      <c r="X4027" t="e">
        <f>IF(#REF! &lt;= 50, "0-50", IF(#REF! &lt;=100, "51-100", IF(#REF! &lt;= 150, "101-150", "151+")))</f>
        <v>#REF!</v>
      </c>
      <c r="Y4027" t="e">
        <f>IF(#REF! &lt;= 3, "Low Charges", "High Charges")</f>
        <v>#REF!</v>
      </c>
      <c r="Z4027" t="e">
        <f>IF(#REF!&lt;=80,"Low Calls",
IF(#REF!&lt;=120,"Medium Calls","High Calls"))</f>
        <v>#REF!</v>
      </c>
      <c r="AA4027" t="e">
        <f>IF(#REF!&lt;=15,"Low Charges",
IF(#REF!&lt;=20,"Medium Charges","High Charges"))</f>
        <v>#REF!</v>
      </c>
      <c r="AB4027" t="e">
        <f>IF(AND(#REF!&gt;180, #REF!&gt;200), "Heavy Doemstic User", IF(#REF!&gt;10, "Interntional User", IF(AND(#REF!&lt;180, #REF!&lt;200,#REF!&lt;200), "Light User", "Balanced User")))</f>
        <v>#REF!</v>
      </c>
      <c r="AC4027" t="e">
        <f>IF(#REF! = 0, "No Usage", IF(#REF! &lt;= 20, "Low Usage", IF(#REF! &lt;= 40, "Medium Usgae", "High Usage")))</f>
        <v>#REF!</v>
      </c>
      <c r="AD4027" t="e">
        <f>IF(#REF!&lt;=150,"Low Usage", IF(#REF!&lt;=200,"Medium Usage", IF(#REF!&lt;=250,"High Usage","Very High Usage")))</f>
        <v>#REF!</v>
      </c>
      <c r="AE4027" t="e">
        <f>IF(#REF!&lt;=5,"Low Calls", IF(#REF!&lt;=10, "Medium Calls", "High Calls"))</f>
        <v>#REF!</v>
      </c>
      <c r="AF4027" t="e">
        <f xml:space="preserve">
IF(#REF!&gt;=4,4,0)+
IF(#REF!="yes",3,0)+
IF(#REF!="High Charges",3,0)+
IF(#REF!&gt;250,4,0)+
IF(#REF!="no",1,0)+
IF(#REF!="Heavy Domestic User",2,0)</f>
        <v>#REF!</v>
      </c>
      <c r="AG4027" t="e">
        <f>IF(#REF!&gt;=10,"High Risk", IF(#REF!&gt;=5,"Medium Risk","Low Risk"))</f>
        <v>#REF!</v>
      </c>
      <c r="AH4027" t="e">
        <f>#REF! + #REF! + #REF! + #REF!</f>
        <v>#REF!</v>
      </c>
    </row>
    <row r="4028" spans="1:34" x14ac:dyDescent="0.35">
      <c r="A4028">
        <v>4027</v>
      </c>
      <c r="B4028" t="s">
        <v>32</v>
      </c>
      <c r="C4028">
        <v>84</v>
      </c>
      <c r="D4028" t="s">
        <v>25</v>
      </c>
      <c r="E4028" t="s">
        <v>22</v>
      </c>
      <c r="F4028" t="s">
        <v>22</v>
      </c>
      <c r="G4028">
        <v>0</v>
      </c>
      <c r="H4028">
        <v>163.69999999999999</v>
      </c>
      <c r="I4028">
        <v>123</v>
      </c>
      <c r="J4028">
        <v>27.83</v>
      </c>
      <c r="K4028">
        <v>175</v>
      </c>
      <c r="L4028">
        <v>93</v>
      </c>
      <c r="M4028">
        <v>14.88</v>
      </c>
      <c r="N4028">
        <v>194</v>
      </c>
      <c r="O4028">
        <v>115</v>
      </c>
      <c r="P4028">
        <v>8.73</v>
      </c>
      <c r="Q4028">
        <v>8</v>
      </c>
      <c r="R4028">
        <v>5</v>
      </c>
      <c r="S4028">
        <v>2.16</v>
      </c>
      <c r="T4028">
        <v>1</v>
      </c>
      <c r="U4028" t="s">
        <v>22</v>
      </c>
      <c r="V4028" t="e">
        <f>IF(#REF! = "yes", 1, 0)</f>
        <v>#REF!</v>
      </c>
      <c r="W4028" t="e">
        <f>IF(#REF! &lt;= 1, "0-1 Calls", IF(#REF! &lt;= 3, "2-3 Calls", IF(#REF! &lt;=5, "4-5 Calls", "6+ Calls")))</f>
        <v>#REF!</v>
      </c>
      <c r="X4028" t="e">
        <f>IF(#REF! &lt;= 50, "0-50", IF(#REF! &lt;=100, "51-100", IF(#REF! &lt;= 150, "101-150", "151+")))</f>
        <v>#REF!</v>
      </c>
      <c r="Y4028" t="e">
        <f>IF(#REF! &lt;= 3, "Low Charges", "High Charges")</f>
        <v>#REF!</v>
      </c>
      <c r="Z4028" t="e">
        <f>IF(#REF!&lt;=80,"Low Calls",
IF(#REF!&lt;=120,"Medium Calls","High Calls"))</f>
        <v>#REF!</v>
      </c>
      <c r="AA4028" t="e">
        <f>IF(#REF!&lt;=15,"Low Charges",
IF(#REF!&lt;=20,"Medium Charges","High Charges"))</f>
        <v>#REF!</v>
      </c>
      <c r="AB4028" t="e">
        <f>IF(AND(#REF!&gt;180, #REF!&gt;200), "Heavy Doemstic User", IF(#REF!&gt;10, "Interntional User", IF(AND(#REF!&lt;180, #REF!&lt;200,#REF!&lt;200), "Light User", "Balanced User")))</f>
        <v>#REF!</v>
      </c>
      <c r="AC4028" t="e">
        <f>IF(#REF! = 0, "No Usage", IF(#REF! &lt;= 20, "Low Usage", IF(#REF! &lt;= 40, "Medium Usgae", "High Usage")))</f>
        <v>#REF!</v>
      </c>
      <c r="AD4028" t="e">
        <f>IF(#REF!&lt;=150,"Low Usage", IF(#REF!&lt;=200,"Medium Usage", IF(#REF!&lt;=250,"High Usage","Very High Usage")))</f>
        <v>#REF!</v>
      </c>
      <c r="AE4028" t="e">
        <f>IF(#REF!&lt;=5,"Low Calls", IF(#REF!&lt;=10, "Medium Calls", "High Calls"))</f>
        <v>#REF!</v>
      </c>
      <c r="AF4028" t="e">
        <f xml:space="preserve">
IF(#REF!&gt;=4,4,0)+
IF(#REF!="yes",3,0)+
IF(#REF!="High Charges",3,0)+
IF(#REF!&gt;250,4,0)+
IF(#REF!="no",1,0)+
IF(#REF!="Heavy Domestic User",2,0)</f>
        <v>#REF!</v>
      </c>
      <c r="AG4028" t="e">
        <f>IF(#REF!&gt;=10,"High Risk", IF(#REF!&gt;=5,"Medium Risk","Low Risk"))</f>
        <v>#REF!</v>
      </c>
      <c r="AH4028" t="e">
        <f>#REF! + #REF! + #REF! + #REF!</f>
        <v>#REF!</v>
      </c>
    </row>
    <row r="4029" spans="1:34" x14ac:dyDescent="0.35">
      <c r="A4029">
        <v>4028</v>
      </c>
      <c r="B4029" t="s">
        <v>70</v>
      </c>
      <c r="C4029">
        <v>132</v>
      </c>
      <c r="D4029" t="s">
        <v>21</v>
      </c>
      <c r="E4029" t="s">
        <v>22</v>
      </c>
      <c r="F4029" t="s">
        <v>22</v>
      </c>
      <c r="G4029">
        <v>0</v>
      </c>
      <c r="H4029">
        <v>164</v>
      </c>
      <c r="I4029">
        <v>112</v>
      </c>
      <c r="J4029">
        <v>27.88</v>
      </c>
      <c r="K4029">
        <v>243.6</v>
      </c>
      <c r="L4029">
        <v>80</v>
      </c>
      <c r="M4029">
        <v>20.71</v>
      </c>
      <c r="N4029">
        <v>155.5</v>
      </c>
      <c r="O4029">
        <v>122</v>
      </c>
      <c r="P4029">
        <v>7</v>
      </c>
      <c r="Q4029">
        <v>10.199999999999999</v>
      </c>
      <c r="R4029">
        <v>4</v>
      </c>
      <c r="S4029">
        <v>2.75</v>
      </c>
      <c r="T4029">
        <v>1</v>
      </c>
      <c r="U4029" t="s">
        <v>22</v>
      </c>
      <c r="V4029" t="e">
        <f>IF(#REF! = "yes", 1, 0)</f>
        <v>#REF!</v>
      </c>
      <c r="W4029" t="e">
        <f>IF(#REF! &lt;= 1, "0-1 Calls", IF(#REF! &lt;= 3, "2-3 Calls", IF(#REF! &lt;=5, "4-5 Calls", "6+ Calls")))</f>
        <v>#REF!</v>
      </c>
      <c r="X4029" t="e">
        <f>IF(#REF! &lt;= 50, "0-50", IF(#REF! &lt;=100, "51-100", IF(#REF! &lt;= 150, "101-150", "151+")))</f>
        <v>#REF!</v>
      </c>
      <c r="Y4029" t="e">
        <f>IF(#REF! &lt;= 3, "Low Charges", "High Charges")</f>
        <v>#REF!</v>
      </c>
      <c r="Z4029" t="e">
        <f>IF(#REF!&lt;=80,"Low Calls",
IF(#REF!&lt;=120,"Medium Calls","High Calls"))</f>
        <v>#REF!</v>
      </c>
      <c r="AA4029" t="e">
        <f>IF(#REF!&lt;=15,"Low Charges",
IF(#REF!&lt;=20,"Medium Charges","High Charges"))</f>
        <v>#REF!</v>
      </c>
      <c r="AB4029" t="e">
        <f>IF(AND(#REF!&gt;180, #REF!&gt;200), "Heavy Doemstic User", IF(#REF!&gt;10, "Interntional User", IF(AND(#REF!&lt;180, #REF!&lt;200,#REF!&lt;200), "Light User", "Balanced User")))</f>
        <v>#REF!</v>
      </c>
      <c r="AC4029" t="e">
        <f>IF(#REF! = 0, "No Usage", IF(#REF! &lt;= 20, "Low Usage", IF(#REF! &lt;= 40, "Medium Usgae", "High Usage")))</f>
        <v>#REF!</v>
      </c>
      <c r="AD4029" t="e">
        <f>IF(#REF!&lt;=150,"Low Usage", IF(#REF!&lt;=200,"Medium Usage", IF(#REF!&lt;=250,"High Usage","Very High Usage")))</f>
        <v>#REF!</v>
      </c>
      <c r="AE4029" t="e">
        <f>IF(#REF!&lt;=5,"Low Calls", IF(#REF!&lt;=10, "Medium Calls", "High Calls"))</f>
        <v>#REF!</v>
      </c>
      <c r="AF4029" t="e">
        <f xml:space="preserve">
IF(#REF!&gt;=4,4,0)+
IF(#REF!="yes",3,0)+
IF(#REF!="High Charges",3,0)+
IF(#REF!&gt;250,4,0)+
IF(#REF!="no",1,0)+
IF(#REF!="Heavy Domestic User",2,0)</f>
        <v>#REF!</v>
      </c>
      <c r="AG4029" t="e">
        <f>IF(#REF!&gt;=10,"High Risk", IF(#REF!&gt;=5,"Medium Risk","Low Risk"))</f>
        <v>#REF!</v>
      </c>
      <c r="AH4029" t="e">
        <f>#REF! + #REF! + #REF! + #REF!</f>
        <v>#REF!</v>
      </c>
    </row>
    <row r="4030" spans="1:34" x14ac:dyDescent="0.35">
      <c r="A4030">
        <v>4029</v>
      </c>
      <c r="B4030" t="s">
        <v>45</v>
      </c>
      <c r="C4030">
        <v>83</v>
      </c>
      <c r="D4030" t="s">
        <v>21</v>
      </c>
      <c r="E4030" t="s">
        <v>22</v>
      </c>
      <c r="F4030" t="s">
        <v>22</v>
      </c>
      <c r="G4030">
        <v>0</v>
      </c>
      <c r="H4030">
        <v>195.2</v>
      </c>
      <c r="I4030">
        <v>101</v>
      </c>
      <c r="J4030">
        <v>33.18</v>
      </c>
      <c r="K4030">
        <v>188.7</v>
      </c>
      <c r="L4030">
        <v>38</v>
      </c>
      <c r="M4030">
        <v>16.04</v>
      </c>
      <c r="N4030">
        <v>270</v>
      </c>
      <c r="O4030">
        <v>91</v>
      </c>
      <c r="P4030">
        <v>12.15</v>
      </c>
      <c r="Q4030">
        <v>11.4</v>
      </c>
      <c r="R4030">
        <v>3</v>
      </c>
      <c r="S4030">
        <v>3.08</v>
      </c>
      <c r="T4030">
        <v>0</v>
      </c>
      <c r="U4030" t="s">
        <v>22</v>
      </c>
      <c r="V4030" t="e">
        <f>IF(#REF! = "yes", 1, 0)</f>
        <v>#REF!</v>
      </c>
      <c r="W4030" t="e">
        <f>IF(#REF! &lt;= 1, "0-1 Calls", IF(#REF! &lt;= 3, "2-3 Calls", IF(#REF! &lt;=5, "4-5 Calls", "6+ Calls")))</f>
        <v>#REF!</v>
      </c>
      <c r="X4030" t="e">
        <f>IF(#REF! &lt;= 50, "0-50", IF(#REF! &lt;=100, "51-100", IF(#REF! &lt;= 150, "101-150", "151+")))</f>
        <v>#REF!</v>
      </c>
      <c r="Y4030" t="e">
        <f>IF(#REF! &lt;= 3, "Low Charges", "High Charges")</f>
        <v>#REF!</v>
      </c>
      <c r="Z4030" t="e">
        <f>IF(#REF!&lt;=80,"Low Calls",
IF(#REF!&lt;=120,"Medium Calls","High Calls"))</f>
        <v>#REF!</v>
      </c>
      <c r="AA4030" t="e">
        <f>IF(#REF!&lt;=15,"Low Charges",
IF(#REF!&lt;=20,"Medium Charges","High Charges"))</f>
        <v>#REF!</v>
      </c>
      <c r="AB4030" t="e">
        <f>IF(AND(#REF!&gt;180, #REF!&gt;200), "Heavy Doemstic User", IF(#REF!&gt;10, "Interntional User", IF(AND(#REF!&lt;180, #REF!&lt;200,#REF!&lt;200), "Light User", "Balanced User")))</f>
        <v>#REF!</v>
      </c>
      <c r="AC4030" t="e">
        <f>IF(#REF! = 0, "No Usage", IF(#REF! &lt;= 20, "Low Usage", IF(#REF! &lt;= 40, "Medium Usgae", "High Usage")))</f>
        <v>#REF!</v>
      </c>
      <c r="AD4030" t="e">
        <f>IF(#REF!&lt;=150,"Low Usage", IF(#REF!&lt;=200,"Medium Usage", IF(#REF!&lt;=250,"High Usage","Very High Usage")))</f>
        <v>#REF!</v>
      </c>
      <c r="AE4030" t="e">
        <f>IF(#REF!&lt;=5,"Low Calls", IF(#REF!&lt;=10, "Medium Calls", "High Calls"))</f>
        <v>#REF!</v>
      </c>
      <c r="AF4030" t="e">
        <f xml:space="preserve">
IF(#REF!&gt;=4,4,0)+
IF(#REF!="yes",3,0)+
IF(#REF!="High Charges",3,0)+
IF(#REF!&gt;250,4,0)+
IF(#REF!="no",1,0)+
IF(#REF!="Heavy Domestic User",2,0)</f>
        <v>#REF!</v>
      </c>
      <c r="AG4030" t="e">
        <f>IF(#REF!&gt;=10,"High Risk", IF(#REF!&gt;=5,"Medium Risk","Low Risk"))</f>
        <v>#REF!</v>
      </c>
      <c r="AH4030" t="e">
        <f>#REF! + #REF! + #REF! + #REF!</f>
        <v>#REF!</v>
      </c>
    </row>
    <row r="4031" spans="1:34" x14ac:dyDescent="0.35">
      <c r="A4031">
        <v>4030</v>
      </c>
      <c r="B4031" t="s">
        <v>35</v>
      </c>
      <c r="C4031">
        <v>49</v>
      </c>
      <c r="D4031" t="s">
        <v>21</v>
      </c>
      <c r="E4031" t="s">
        <v>23</v>
      </c>
      <c r="F4031" t="s">
        <v>22</v>
      </c>
      <c r="G4031">
        <v>0</v>
      </c>
      <c r="H4031">
        <v>157.6</v>
      </c>
      <c r="I4031">
        <v>101</v>
      </c>
      <c r="J4031">
        <v>26.79</v>
      </c>
      <c r="K4031">
        <v>256.39999999999998</v>
      </c>
      <c r="L4031">
        <v>69</v>
      </c>
      <c r="M4031">
        <v>21.79</v>
      </c>
      <c r="N4031">
        <v>260.8</v>
      </c>
      <c r="O4031">
        <v>107</v>
      </c>
      <c r="P4031">
        <v>11.74</v>
      </c>
      <c r="Q4031">
        <v>9.8000000000000007</v>
      </c>
      <c r="R4031">
        <v>4</v>
      </c>
      <c r="S4031">
        <v>2.65</v>
      </c>
      <c r="T4031">
        <v>1</v>
      </c>
      <c r="U4031" t="s">
        <v>22</v>
      </c>
      <c r="V4031" t="e">
        <f>IF(#REF! = "yes", 1, 0)</f>
        <v>#REF!</v>
      </c>
      <c r="W4031" t="e">
        <f>IF(#REF! &lt;= 1, "0-1 Calls", IF(#REF! &lt;= 3, "2-3 Calls", IF(#REF! &lt;=5, "4-5 Calls", "6+ Calls")))</f>
        <v>#REF!</v>
      </c>
      <c r="X4031" t="e">
        <f>IF(#REF! &lt;= 50, "0-50", IF(#REF! &lt;=100, "51-100", IF(#REF! &lt;= 150, "101-150", "151+")))</f>
        <v>#REF!</v>
      </c>
      <c r="Y4031" t="e">
        <f>IF(#REF! &lt;= 3, "Low Charges", "High Charges")</f>
        <v>#REF!</v>
      </c>
      <c r="Z4031" t="e">
        <f>IF(#REF!&lt;=80,"Low Calls",
IF(#REF!&lt;=120,"Medium Calls","High Calls"))</f>
        <v>#REF!</v>
      </c>
      <c r="AA4031" t="e">
        <f>IF(#REF!&lt;=15,"Low Charges",
IF(#REF!&lt;=20,"Medium Charges","High Charges"))</f>
        <v>#REF!</v>
      </c>
      <c r="AB4031" t="e">
        <f>IF(AND(#REF!&gt;180, #REF!&gt;200), "Heavy Doemstic User", IF(#REF!&gt;10, "Interntional User", IF(AND(#REF!&lt;180, #REF!&lt;200,#REF!&lt;200), "Light User", "Balanced User")))</f>
        <v>#REF!</v>
      </c>
      <c r="AC4031" t="e">
        <f>IF(#REF! = 0, "No Usage", IF(#REF! &lt;= 20, "Low Usage", IF(#REF! &lt;= 40, "Medium Usgae", "High Usage")))</f>
        <v>#REF!</v>
      </c>
      <c r="AD4031" t="e">
        <f>IF(#REF!&lt;=150,"Low Usage", IF(#REF!&lt;=200,"Medium Usage", IF(#REF!&lt;=250,"High Usage","Very High Usage")))</f>
        <v>#REF!</v>
      </c>
      <c r="AE4031" t="e">
        <f>IF(#REF!&lt;=5,"Low Calls", IF(#REF!&lt;=10, "Medium Calls", "High Calls"))</f>
        <v>#REF!</v>
      </c>
      <c r="AF4031" t="e">
        <f xml:space="preserve">
IF(#REF!&gt;=4,4,0)+
IF(#REF!="yes",3,0)+
IF(#REF!="High Charges",3,0)+
IF(#REF!&gt;250,4,0)+
IF(#REF!="no",1,0)+
IF(#REF!="Heavy Domestic User",2,0)</f>
        <v>#REF!</v>
      </c>
      <c r="AG4031" t="e">
        <f>IF(#REF!&gt;=10,"High Risk", IF(#REF!&gt;=5,"Medium Risk","Low Risk"))</f>
        <v>#REF!</v>
      </c>
      <c r="AH4031" t="e">
        <f>#REF! + #REF! + #REF! + #REF!</f>
        <v>#REF!</v>
      </c>
    </row>
    <row r="4032" spans="1:34" x14ac:dyDescent="0.35">
      <c r="A4032">
        <v>4031</v>
      </c>
      <c r="B4032" t="s">
        <v>37</v>
      </c>
      <c r="C4032">
        <v>43</v>
      </c>
      <c r="D4032" t="s">
        <v>21</v>
      </c>
      <c r="E4032" t="s">
        <v>22</v>
      </c>
      <c r="F4032" t="s">
        <v>22</v>
      </c>
      <c r="G4032">
        <v>0</v>
      </c>
      <c r="H4032">
        <v>253.6</v>
      </c>
      <c r="I4032">
        <v>110</v>
      </c>
      <c r="J4032">
        <v>43.11</v>
      </c>
      <c r="K4032">
        <v>253.3</v>
      </c>
      <c r="L4032">
        <v>92</v>
      </c>
      <c r="M4032">
        <v>21.53</v>
      </c>
      <c r="N4032">
        <v>161.30000000000001</v>
      </c>
      <c r="O4032">
        <v>103</v>
      </c>
      <c r="P4032">
        <v>7.26</v>
      </c>
      <c r="Q4032">
        <v>10.199999999999999</v>
      </c>
      <c r="R4032">
        <v>3</v>
      </c>
      <c r="S4032">
        <v>2.75</v>
      </c>
      <c r="T4032">
        <v>3</v>
      </c>
      <c r="U4032" t="s">
        <v>23</v>
      </c>
      <c r="V4032" t="e">
        <f>IF(#REF! = "yes", 1, 0)</f>
        <v>#REF!</v>
      </c>
      <c r="W4032" t="e">
        <f>IF(#REF! &lt;= 1, "0-1 Calls", IF(#REF! &lt;= 3, "2-3 Calls", IF(#REF! &lt;=5, "4-5 Calls", "6+ Calls")))</f>
        <v>#REF!</v>
      </c>
      <c r="X4032" t="e">
        <f>IF(#REF! &lt;= 50, "0-50", IF(#REF! &lt;=100, "51-100", IF(#REF! &lt;= 150, "101-150", "151+")))</f>
        <v>#REF!</v>
      </c>
      <c r="Y4032" t="e">
        <f>IF(#REF! &lt;= 3, "Low Charges", "High Charges")</f>
        <v>#REF!</v>
      </c>
      <c r="Z4032" t="e">
        <f>IF(#REF!&lt;=80,"Low Calls",
IF(#REF!&lt;=120,"Medium Calls","High Calls"))</f>
        <v>#REF!</v>
      </c>
      <c r="AA4032" t="e">
        <f>IF(#REF!&lt;=15,"Low Charges",
IF(#REF!&lt;=20,"Medium Charges","High Charges"))</f>
        <v>#REF!</v>
      </c>
      <c r="AB4032" t="e">
        <f>IF(AND(#REF!&gt;180, #REF!&gt;200), "Heavy Doemstic User", IF(#REF!&gt;10, "Interntional User", IF(AND(#REF!&lt;180, #REF!&lt;200,#REF!&lt;200), "Light User", "Balanced User")))</f>
        <v>#REF!</v>
      </c>
      <c r="AC4032" t="e">
        <f>IF(#REF! = 0, "No Usage", IF(#REF! &lt;= 20, "Low Usage", IF(#REF! &lt;= 40, "Medium Usgae", "High Usage")))</f>
        <v>#REF!</v>
      </c>
      <c r="AD4032" t="e">
        <f>IF(#REF!&lt;=150,"Low Usage", IF(#REF!&lt;=200,"Medium Usage", IF(#REF!&lt;=250,"High Usage","Very High Usage")))</f>
        <v>#REF!</v>
      </c>
      <c r="AE4032" t="e">
        <f>IF(#REF!&lt;=5,"Low Calls", IF(#REF!&lt;=10, "Medium Calls", "High Calls"))</f>
        <v>#REF!</v>
      </c>
      <c r="AF4032" t="e">
        <f xml:space="preserve">
IF(#REF!&gt;=4,4,0)+
IF(#REF!="yes",3,0)+
IF(#REF!="High Charges",3,0)+
IF(#REF!&gt;250,4,0)+
IF(#REF!="no",1,0)+
IF(#REF!="Heavy Domestic User",2,0)</f>
        <v>#REF!</v>
      </c>
      <c r="AG4032" t="e">
        <f>IF(#REF!&gt;=10,"High Risk", IF(#REF!&gt;=5,"Medium Risk","Low Risk"))</f>
        <v>#REF!</v>
      </c>
      <c r="AH4032" t="e">
        <f>#REF! + #REF! + #REF! + #REF!</f>
        <v>#REF!</v>
      </c>
    </row>
    <row r="4033" spans="1:34" x14ac:dyDescent="0.35">
      <c r="A4033">
        <v>4032</v>
      </c>
      <c r="B4033" t="s">
        <v>64</v>
      </c>
      <c r="C4033">
        <v>78</v>
      </c>
      <c r="D4033" t="s">
        <v>25</v>
      </c>
      <c r="E4033" t="s">
        <v>22</v>
      </c>
      <c r="F4033" t="s">
        <v>23</v>
      </c>
      <c r="G4033">
        <v>38</v>
      </c>
      <c r="H4033">
        <v>199</v>
      </c>
      <c r="I4033">
        <v>96</v>
      </c>
      <c r="J4033">
        <v>33.83</v>
      </c>
      <c r="K4033">
        <v>75.5</v>
      </c>
      <c r="L4033">
        <v>93</v>
      </c>
      <c r="M4033">
        <v>6.42</v>
      </c>
      <c r="N4033">
        <v>180.2</v>
      </c>
      <c r="O4033">
        <v>78</v>
      </c>
      <c r="P4033">
        <v>8.11</v>
      </c>
      <c r="Q4033">
        <v>7.5</v>
      </c>
      <c r="R4033">
        <v>7</v>
      </c>
      <c r="S4033">
        <v>2.0299999999999998</v>
      </c>
      <c r="T4033">
        <v>1</v>
      </c>
      <c r="U4033" t="s">
        <v>22</v>
      </c>
      <c r="V4033" t="e">
        <f>IF(#REF! = "yes", 1, 0)</f>
        <v>#REF!</v>
      </c>
      <c r="W4033" t="e">
        <f>IF(#REF! &lt;= 1, "0-1 Calls", IF(#REF! &lt;= 3, "2-3 Calls", IF(#REF! &lt;=5, "4-5 Calls", "6+ Calls")))</f>
        <v>#REF!</v>
      </c>
      <c r="X4033" t="e">
        <f>IF(#REF! &lt;= 50, "0-50", IF(#REF! &lt;=100, "51-100", IF(#REF! &lt;= 150, "101-150", "151+")))</f>
        <v>#REF!</v>
      </c>
      <c r="Y4033" t="e">
        <f>IF(#REF! &lt;= 3, "Low Charges", "High Charges")</f>
        <v>#REF!</v>
      </c>
      <c r="Z4033" t="e">
        <f>IF(#REF!&lt;=80,"Low Calls",
IF(#REF!&lt;=120,"Medium Calls","High Calls"))</f>
        <v>#REF!</v>
      </c>
      <c r="AA4033" t="e">
        <f>IF(#REF!&lt;=15,"Low Charges",
IF(#REF!&lt;=20,"Medium Charges","High Charges"))</f>
        <v>#REF!</v>
      </c>
      <c r="AB4033" t="e">
        <f>IF(AND(#REF!&gt;180, #REF!&gt;200), "Heavy Doemstic User", IF(#REF!&gt;10, "Interntional User", IF(AND(#REF!&lt;180, #REF!&lt;200,#REF!&lt;200), "Light User", "Balanced User")))</f>
        <v>#REF!</v>
      </c>
      <c r="AC4033" t="e">
        <f>IF(#REF! = 0, "No Usage", IF(#REF! &lt;= 20, "Low Usage", IF(#REF! &lt;= 40, "Medium Usgae", "High Usage")))</f>
        <v>#REF!</v>
      </c>
      <c r="AD4033" t="e">
        <f>IF(#REF!&lt;=150,"Low Usage", IF(#REF!&lt;=200,"Medium Usage", IF(#REF!&lt;=250,"High Usage","Very High Usage")))</f>
        <v>#REF!</v>
      </c>
      <c r="AE4033" t="e">
        <f>IF(#REF!&lt;=5,"Low Calls", IF(#REF!&lt;=10, "Medium Calls", "High Calls"))</f>
        <v>#REF!</v>
      </c>
      <c r="AF4033" t="e">
        <f xml:space="preserve">
IF(#REF!&gt;=4,4,0)+
IF(#REF!="yes",3,0)+
IF(#REF!="High Charges",3,0)+
IF(#REF!&gt;250,4,0)+
IF(#REF!="no",1,0)+
IF(#REF!="Heavy Domestic User",2,0)</f>
        <v>#REF!</v>
      </c>
      <c r="AG4033" t="e">
        <f>IF(#REF!&gt;=10,"High Risk", IF(#REF!&gt;=5,"Medium Risk","Low Risk"))</f>
        <v>#REF!</v>
      </c>
      <c r="AH4033" t="e">
        <f>#REF! + #REF! + #REF! + #REF!</f>
        <v>#REF!</v>
      </c>
    </row>
    <row r="4034" spans="1:34" x14ac:dyDescent="0.35">
      <c r="A4034">
        <v>4033</v>
      </c>
      <c r="B4034" t="s">
        <v>56</v>
      </c>
      <c r="C4034">
        <v>65</v>
      </c>
      <c r="D4034" t="s">
        <v>25</v>
      </c>
      <c r="E4034" t="s">
        <v>22</v>
      </c>
      <c r="F4034" t="s">
        <v>22</v>
      </c>
      <c r="G4034">
        <v>0</v>
      </c>
      <c r="H4034">
        <v>182.5</v>
      </c>
      <c r="I4034">
        <v>58</v>
      </c>
      <c r="J4034">
        <v>31.03</v>
      </c>
      <c r="K4034">
        <v>201.9</v>
      </c>
      <c r="L4034">
        <v>93</v>
      </c>
      <c r="M4034">
        <v>17.16</v>
      </c>
      <c r="N4034">
        <v>189.1</v>
      </c>
      <c r="O4034">
        <v>97</v>
      </c>
      <c r="P4034">
        <v>8.51</v>
      </c>
      <c r="Q4034">
        <v>8.6</v>
      </c>
      <c r="R4034">
        <v>5</v>
      </c>
      <c r="S4034">
        <v>2.3199999999999998</v>
      </c>
      <c r="T4034">
        <v>1</v>
      </c>
      <c r="U4034" t="s">
        <v>22</v>
      </c>
      <c r="V4034" t="e">
        <f>IF(#REF! = "yes", 1, 0)</f>
        <v>#REF!</v>
      </c>
      <c r="W4034" t="e">
        <f>IF(#REF! &lt;= 1, "0-1 Calls", IF(#REF! &lt;= 3, "2-3 Calls", IF(#REF! &lt;=5, "4-5 Calls", "6+ Calls")))</f>
        <v>#REF!</v>
      </c>
      <c r="X4034" t="e">
        <f>IF(#REF! &lt;= 50, "0-50", IF(#REF! &lt;=100, "51-100", IF(#REF! &lt;= 150, "101-150", "151+")))</f>
        <v>#REF!</v>
      </c>
      <c r="Y4034" t="e">
        <f>IF(#REF! &lt;= 3, "Low Charges", "High Charges")</f>
        <v>#REF!</v>
      </c>
      <c r="Z4034" t="e">
        <f>IF(#REF!&lt;=80,"Low Calls",
IF(#REF!&lt;=120,"Medium Calls","High Calls"))</f>
        <v>#REF!</v>
      </c>
      <c r="AA4034" t="e">
        <f>IF(#REF!&lt;=15,"Low Charges",
IF(#REF!&lt;=20,"Medium Charges","High Charges"))</f>
        <v>#REF!</v>
      </c>
      <c r="AB4034" t="e">
        <f>IF(AND(#REF!&gt;180, #REF!&gt;200), "Heavy Doemstic User", IF(#REF!&gt;10, "Interntional User", IF(AND(#REF!&lt;180, #REF!&lt;200,#REF!&lt;200), "Light User", "Balanced User")))</f>
        <v>#REF!</v>
      </c>
      <c r="AC4034" t="e">
        <f>IF(#REF! = 0, "No Usage", IF(#REF! &lt;= 20, "Low Usage", IF(#REF! &lt;= 40, "Medium Usgae", "High Usage")))</f>
        <v>#REF!</v>
      </c>
      <c r="AD4034" t="e">
        <f>IF(#REF!&lt;=150,"Low Usage", IF(#REF!&lt;=200,"Medium Usage", IF(#REF!&lt;=250,"High Usage","Very High Usage")))</f>
        <v>#REF!</v>
      </c>
      <c r="AE4034" t="e">
        <f>IF(#REF!&lt;=5,"Low Calls", IF(#REF!&lt;=10, "Medium Calls", "High Calls"))</f>
        <v>#REF!</v>
      </c>
      <c r="AF4034" t="e">
        <f xml:space="preserve">
IF(#REF!&gt;=4,4,0)+
IF(#REF!="yes",3,0)+
IF(#REF!="High Charges",3,0)+
IF(#REF!&gt;250,4,0)+
IF(#REF!="no",1,0)+
IF(#REF!="Heavy Domestic User",2,0)</f>
        <v>#REF!</v>
      </c>
      <c r="AG4034" t="e">
        <f>IF(#REF!&gt;=10,"High Risk", IF(#REF!&gt;=5,"Medium Risk","Low Risk"))</f>
        <v>#REF!</v>
      </c>
      <c r="AH4034" t="e">
        <f>#REF! + #REF! + #REF! + #REF!</f>
        <v>#REF!</v>
      </c>
    </row>
    <row r="4035" spans="1:34" x14ac:dyDescent="0.35">
      <c r="A4035">
        <v>4034</v>
      </c>
      <c r="B4035" t="s">
        <v>49</v>
      </c>
      <c r="C4035">
        <v>79</v>
      </c>
      <c r="D4035" t="s">
        <v>21</v>
      </c>
      <c r="E4035" t="s">
        <v>22</v>
      </c>
      <c r="F4035" t="s">
        <v>22</v>
      </c>
      <c r="G4035">
        <v>0</v>
      </c>
      <c r="H4035">
        <v>81.2</v>
      </c>
      <c r="I4035">
        <v>91</v>
      </c>
      <c r="J4035">
        <v>13.8</v>
      </c>
      <c r="K4035">
        <v>215.7</v>
      </c>
      <c r="L4035">
        <v>126</v>
      </c>
      <c r="M4035">
        <v>18.329999999999998</v>
      </c>
      <c r="N4035">
        <v>245.9</v>
      </c>
      <c r="O4035">
        <v>85</v>
      </c>
      <c r="P4035">
        <v>11.07</v>
      </c>
      <c r="Q4035">
        <v>10.9</v>
      </c>
      <c r="R4035">
        <v>4</v>
      </c>
      <c r="S4035">
        <v>2.94</v>
      </c>
      <c r="T4035">
        <v>1</v>
      </c>
      <c r="U4035" t="s">
        <v>22</v>
      </c>
      <c r="V4035" t="e">
        <f>IF(#REF! = "yes", 1, 0)</f>
        <v>#REF!</v>
      </c>
      <c r="W4035" t="e">
        <f>IF(#REF! &lt;= 1, "0-1 Calls", IF(#REF! &lt;= 3, "2-3 Calls", IF(#REF! &lt;=5, "4-5 Calls", "6+ Calls")))</f>
        <v>#REF!</v>
      </c>
      <c r="X4035" t="e">
        <f>IF(#REF! &lt;= 50, "0-50", IF(#REF! &lt;=100, "51-100", IF(#REF! &lt;= 150, "101-150", "151+")))</f>
        <v>#REF!</v>
      </c>
      <c r="Y4035" t="e">
        <f>IF(#REF! &lt;= 3, "Low Charges", "High Charges")</f>
        <v>#REF!</v>
      </c>
      <c r="Z4035" t="e">
        <f>IF(#REF!&lt;=80,"Low Calls",
IF(#REF!&lt;=120,"Medium Calls","High Calls"))</f>
        <v>#REF!</v>
      </c>
      <c r="AA4035" t="e">
        <f>IF(#REF!&lt;=15,"Low Charges",
IF(#REF!&lt;=20,"Medium Charges","High Charges"))</f>
        <v>#REF!</v>
      </c>
      <c r="AB4035" t="e">
        <f>IF(AND(#REF!&gt;180, #REF!&gt;200), "Heavy Doemstic User", IF(#REF!&gt;10, "Interntional User", IF(AND(#REF!&lt;180, #REF!&lt;200,#REF!&lt;200), "Light User", "Balanced User")))</f>
        <v>#REF!</v>
      </c>
      <c r="AC4035" t="e">
        <f>IF(#REF! = 0, "No Usage", IF(#REF! &lt;= 20, "Low Usage", IF(#REF! &lt;= 40, "Medium Usgae", "High Usage")))</f>
        <v>#REF!</v>
      </c>
      <c r="AD4035" t="e">
        <f>IF(#REF!&lt;=150,"Low Usage", IF(#REF!&lt;=200,"Medium Usage", IF(#REF!&lt;=250,"High Usage","Very High Usage")))</f>
        <v>#REF!</v>
      </c>
      <c r="AE4035" t="e">
        <f>IF(#REF!&lt;=5,"Low Calls", IF(#REF!&lt;=10, "Medium Calls", "High Calls"))</f>
        <v>#REF!</v>
      </c>
      <c r="AF4035" t="e">
        <f xml:space="preserve">
IF(#REF!&gt;=4,4,0)+
IF(#REF!="yes",3,0)+
IF(#REF!="High Charges",3,0)+
IF(#REF!&gt;250,4,0)+
IF(#REF!="no",1,0)+
IF(#REF!="Heavy Domestic User",2,0)</f>
        <v>#REF!</v>
      </c>
      <c r="AG4035" t="e">
        <f>IF(#REF!&gt;=10,"High Risk", IF(#REF!&gt;=5,"Medium Risk","Low Risk"))</f>
        <v>#REF!</v>
      </c>
      <c r="AH4035" t="e">
        <f>#REF! + #REF! + #REF! + #REF!</f>
        <v>#REF!</v>
      </c>
    </row>
    <row r="4036" spans="1:34" x14ac:dyDescent="0.35">
      <c r="A4036">
        <v>4035</v>
      </c>
      <c r="B4036" t="s">
        <v>49</v>
      </c>
      <c r="C4036">
        <v>76</v>
      </c>
      <c r="D4036" t="s">
        <v>21</v>
      </c>
      <c r="E4036" t="s">
        <v>22</v>
      </c>
      <c r="F4036" t="s">
        <v>22</v>
      </c>
      <c r="G4036">
        <v>0</v>
      </c>
      <c r="H4036">
        <v>179.1</v>
      </c>
      <c r="I4036">
        <v>110</v>
      </c>
      <c r="J4036">
        <v>30.45</v>
      </c>
      <c r="K4036">
        <v>157.19999999999999</v>
      </c>
      <c r="L4036">
        <v>81</v>
      </c>
      <c r="M4036">
        <v>13.36</v>
      </c>
      <c r="N4036">
        <v>240</v>
      </c>
      <c r="O4036">
        <v>109</v>
      </c>
      <c r="P4036">
        <v>10.8</v>
      </c>
      <c r="Q4036">
        <v>6.5</v>
      </c>
      <c r="R4036">
        <v>3</v>
      </c>
      <c r="S4036">
        <v>1.76</v>
      </c>
      <c r="T4036">
        <v>0</v>
      </c>
      <c r="U4036" t="s">
        <v>22</v>
      </c>
      <c r="V4036" t="e">
        <f>IF(#REF! = "yes", 1, 0)</f>
        <v>#REF!</v>
      </c>
      <c r="W4036" t="e">
        <f>IF(#REF! &lt;= 1, "0-1 Calls", IF(#REF! &lt;= 3, "2-3 Calls", IF(#REF! &lt;=5, "4-5 Calls", "6+ Calls")))</f>
        <v>#REF!</v>
      </c>
      <c r="X4036" t="e">
        <f>IF(#REF! &lt;= 50, "0-50", IF(#REF! &lt;=100, "51-100", IF(#REF! &lt;= 150, "101-150", "151+")))</f>
        <v>#REF!</v>
      </c>
      <c r="Y4036" t="e">
        <f>IF(#REF! &lt;= 3, "Low Charges", "High Charges")</f>
        <v>#REF!</v>
      </c>
      <c r="Z4036" t="e">
        <f>IF(#REF!&lt;=80,"Low Calls",
IF(#REF!&lt;=120,"Medium Calls","High Calls"))</f>
        <v>#REF!</v>
      </c>
      <c r="AA4036" t="e">
        <f>IF(#REF!&lt;=15,"Low Charges",
IF(#REF!&lt;=20,"Medium Charges","High Charges"))</f>
        <v>#REF!</v>
      </c>
      <c r="AB4036" t="e">
        <f>IF(AND(#REF!&gt;180, #REF!&gt;200), "Heavy Doemstic User", IF(#REF!&gt;10, "Interntional User", IF(AND(#REF!&lt;180, #REF!&lt;200,#REF!&lt;200), "Light User", "Balanced User")))</f>
        <v>#REF!</v>
      </c>
      <c r="AC4036" t="e">
        <f>IF(#REF! = 0, "No Usage", IF(#REF! &lt;= 20, "Low Usage", IF(#REF! &lt;= 40, "Medium Usgae", "High Usage")))</f>
        <v>#REF!</v>
      </c>
      <c r="AD4036" t="e">
        <f>IF(#REF!&lt;=150,"Low Usage", IF(#REF!&lt;=200,"Medium Usage", IF(#REF!&lt;=250,"High Usage","Very High Usage")))</f>
        <v>#REF!</v>
      </c>
      <c r="AE4036" t="e">
        <f>IF(#REF!&lt;=5,"Low Calls", IF(#REF!&lt;=10, "Medium Calls", "High Calls"))</f>
        <v>#REF!</v>
      </c>
      <c r="AF4036" t="e">
        <f xml:space="preserve">
IF(#REF!&gt;=4,4,0)+
IF(#REF!="yes",3,0)+
IF(#REF!="High Charges",3,0)+
IF(#REF!&gt;250,4,0)+
IF(#REF!="no",1,0)+
IF(#REF!="Heavy Domestic User",2,0)</f>
        <v>#REF!</v>
      </c>
      <c r="AG4036" t="e">
        <f>IF(#REF!&gt;=10,"High Risk", IF(#REF!&gt;=5,"Medium Risk","Low Risk"))</f>
        <v>#REF!</v>
      </c>
      <c r="AH4036" t="e">
        <f>#REF! + #REF! + #REF! + #REF!</f>
        <v>#REF!</v>
      </c>
    </row>
    <row r="4037" spans="1:34" x14ac:dyDescent="0.35">
      <c r="A4037">
        <v>4036</v>
      </c>
      <c r="B4037" t="s">
        <v>69</v>
      </c>
      <c r="C4037">
        <v>124</v>
      </c>
      <c r="D4037" t="s">
        <v>21</v>
      </c>
      <c r="E4037" t="s">
        <v>22</v>
      </c>
      <c r="F4037" t="s">
        <v>22</v>
      </c>
      <c r="G4037">
        <v>0</v>
      </c>
      <c r="H4037">
        <v>182.7</v>
      </c>
      <c r="I4037">
        <v>98</v>
      </c>
      <c r="J4037">
        <v>31.06</v>
      </c>
      <c r="K4037">
        <v>197.2</v>
      </c>
      <c r="L4037">
        <v>93</v>
      </c>
      <c r="M4037">
        <v>16.760000000000002</v>
      </c>
      <c r="N4037">
        <v>220.6</v>
      </c>
      <c r="O4037">
        <v>105</v>
      </c>
      <c r="P4037">
        <v>9.93</v>
      </c>
      <c r="Q4037">
        <v>8.1</v>
      </c>
      <c r="R4037">
        <v>4</v>
      </c>
      <c r="S4037">
        <v>2.19</v>
      </c>
      <c r="T4037">
        <v>1</v>
      </c>
      <c r="U4037" t="s">
        <v>22</v>
      </c>
      <c r="V4037" t="e">
        <f>IF(#REF! = "yes", 1, 0)</f>
        <v>#REF!</v>
      </c>
      <c r="W4037" t="e">
        <f>IF(#REF! &lt;= 1, "0-1 Calls", IF(#REF! &lt;= 3, "2-3 Calls", IF(#REF! &lt;=5, "4-5 Calls", "6+ Calls")))</f>
        <v>#REF!</v>
      </c>
      <c r="X4037" t="e">
        <f>IF(#REF! &lt;= 50, "0-50", IF(#REF! &lt;=100, "51-100", IF(#REF! &lt;= 150, "101-150", "151+")))</f>
        <v>#REF!</v>
      </c>
      <c r="Y4037" t="e">
        <f>IF(#REF! &lt;= 3, "Low Charges", "High Charges")</f>
        <v>#REF!</v>
      </c>
      <c r="Z4037" t="e">
        <f>IF(#REF!&lt;=80,"Low Calls",
IF(#REF!&lt;=120,"Medium Calls","High Calls"))</f>
        <v>#REF!</v>
      </c>
      <c r="AA4037" t="e">
        <f>IF(#REF!&lt;=15,"Low Charges",
IF(#REF!&lt;=20,"Medium Charges","High Charges"))</f>
        <v>#REF!</v>
      </c>
      <c r="AB4037" t="e">
        <f>IF(AND(#REF!&gt;180, #REF!&gt;200), "Heavy Doemstic User", IF(#REF!&gt;10, "Interntional User", IF(AND(#REF!&lt;180, #REF!&lt;200,#REF!&lt;200), "Light User", "Balanced User")))</f>
        <v>#REF!</v>
      </c>
      <c r="AC4037" t="e">
        <f>IF(#REF! = 0, "No Usage", IF(#REF! &lt;= 20, "Low Usage", IF(#REF! &lt;= 40, "Medium Usgae", "High Usage")))</f>
        <v>#REF!</v>
      </c>
      <c r="AD4037" t="e">
        <f>IF(#REF!&lt;=150,"Low Usage", IF(#REF!&lt;=200,"Medium Usage", IF(#REF!&lt;=250,"High Usage","Very High Usage")))</f>
        <v>#REF!</v>
      </c>
      <c r="AE4037" t="e">
        <f>IF(#REF!&lt;=5,"Low Calls", IF(#REF!&lt;=10, "Medium Calls", "High Calls"))</f>
        <v>#REF!</v>
      </c>
      <c r="AF4037" t="e">
        <f xml:space="preserve">
IF(#REF!&gt;=4,4,0)+
IF(#REF!="yes",3,0)+
IF(#REF!="High Charges",3,0)+
IF(#REF!&gt;250,4,0)+
IF(#REF!="no",1,0)+
IF(#REF!="Heavy Domestic User",2,0)</f>
        <v>#REF!</v>
      </c>
      <c r="AG4037" t="e">
        <f>IF(#REF!&gt;=10,"High Risk", IF(#REF!&gt;=5,"Medium Risk","Low Risk"))</f>
        <v>#REF!</v>
      </c>
      <c r="AH4037" t="e">
        <f>#REF! + #REF! + #REF! + #REF!</f>
        <v>#REF!</v>
      </c>
    </row>
    <row r="4038" spans="1:34" x14ac:dyDescent="0.35">
      <c r="A4038">
        <v>4037</v>
      </c>
      <c r="B4038" t="s">
        <v>68</v>
      </c>
      <c r="C4038">
        <v>98</v>
      </c>
      <c r="D4038" t="s">
        <v>25</v>
      </c>
      <c r="E4038" t="s">
        <v>22</v>
      </c>
      <c r="F4038" t="s">
        <v>22</v>
      </c>
      <c r="G4038">
        <v>0</v>
      </c>
      <c r="H4038">
        <v>207</v>
      </c>
      <c r="I4038">
        <v>94</v>
      </c>
      <c r="J4038">
        <v>35.19</v>
      </c>
      <c r="K4038">
        <v>256.3</v>
      </c>
      <c r="L4038">
        <v>64</v>
      </c>
      <c r="M4038">
        <v>21.79</v>
      </c>
      <c r="N4038">
        <v>137.6</v>
      </c>
      <c r="O4038">
        <v>60</v>
      </c>
      <c r="P4038">
        <v>6.19</v>
      </c>
      <c r="Q4038">
        <v>10.4</v>
      </c>
      <c r="R4038">
        <v>4</v>
      </c>
      <c r="S4038">
        <v>2.81</v>
      </c>
      <c r="T4038">
        <v>2</v>
      </c>
      <c r="U4038" t="s">
        <v>22</v>
      </c>
      <c r="V4038" t="e">
        <f>IF(#REF! = "yes", 1, 0)</f>
        <v>#REF!</v>
      </c>
      <c r="W4038" t="e">
        <f>IF(#REF! &lt;= 1, "0-1 Calls", IF(#REF! &lt;= 3, "2-3 Calls", IF(#REF! &lt;=5, "4-5 Calls", "6+ Calls")))</f>
        <v>#REF!</v>
      </c>
      <c r="X4038" t="e">
        <f>IF(#REF! &lt;= 50, "0-50", IF(#REF! &lt;=100, "51-100", IF(#REF! &lt;= 150, "101-150", "151+")))</f>
        <v>#REF!</v>
      </c>
      <c r="Y4038" t="e">
        <f>IF(#REF! &lt;= 3, "Low Charges", "High Charges")</f>
        <v>#REF!</v>
      </c>
      <c r="Z4038" t="e">
        <f>IF(#REF!&lt;=80,"Low Calls",
IF(#REF!&lt;=120,"Medium Calls","High Calls"))</f>
        <v>#REF!</v>
      </c>
      <c r="AA4038" t="e">
        <f>IF(#REF!&lt;=15,"Low Charges",
IF(#REF!&lt;=20,"Medium Charges","High Charges"))</f>
        <v>#REF!</v>
      </c>
      <c r="AB4038" t="e">
        <f>IF(AND(#REF!&gt;180, #REF!&gt;200), "Heavy Doemstic User", IF(#REF!&gt;10, "Interntional User", IF(AND(#REF!&lt;180, #REF!&lt;200,#REF!&lt;200), "Light User", "Balanced User")))</f>
        <v>#REF!</v>
      </c>
      <c r="AC4038" t="e">
        <f>IF(#REF! = 0, "No Usage", IF(#REF! &lt;= 20, "Low Usage", IF(#REF! &lt;= 40, "Medium Usgae", "High Usage")))</f>
        <v>#REF!</v>
      </c>
      <c r="AD4038" t="e">
        <f>IF(#REF!&lt;=150,"Low Usage", IF(#REF!&lt;=200,"Medium Usage", IF(#REF!&lt;=250,"High Usage","Very High Usage")))</f>
        <v>#REF!</v>
      </c>
      <c r="AE4038" t="e">
        <f>IF(#REF!&lt;=5,"Low Calls", IF(#REF!&lt;=10, "Medium Calls", "High Calls"))</f>
        <v>#REF!</v>
      </c>
      <c r="AF4038" t="e">
        <f xml:space="preserve">
IF(#REF!&gt;=4,4,0)+
IF(#REF!="yes",3,0)+
IF(#REF!="High Charges",3,0)+
IF(#REF!&gt;250,4,0)+
IF(#REF!="no",1,0)+
IF(#REF!="Heavy Domestic User",2,0)</f>
        <v>#REF!</v>
      </c>
      <c r="AG4038" t="e">
        <f>IF(#REF!&gt;=10,"High Risk", IF(#REF!&gt;=5,"Medium Risk","Low Risk"))</f>
        <v>#REF!</v>
      </c>
      <c r="AH4038" t="e">
        <f>#REF! + #REF! + #REF! + #REF!</f>
        <v>#REF!</v>
      </c>
    </row>
    <row r="4039" spans="1:34" x14ac:dyDescent="0.35">
      <c r="A4039">
        <v>4038</v>
      </c>
      <c r="B4039" t="s">
        <v>31</v>
      </c>
      <c r="C4039">
        <v>142</v>
      </c>
      <c r="D4039" t="s">
        <v>21</v>
      </c>
      <c r="E4039" t="s">
        <v>22</v>
      </c>
      <c r="F4039" t="s">
        <v>22</v>
      </c>
      <c r="G4039">
        <v>0</v>
      </c>
      <c r="H4039">
        <v>243.4</v>
      </c>
      <c r="I4039">
        <v>76</v>
      </c>
      <c r="J4039">
        <v>41.38</v>
      </c>
      <c r="K4039">
        <v>161.4</v>
      </c>
      <c r="L4039">
        <v>102</v>
      </c>
      <c r="M4039">
        <v>13.72</v>
      </c>
      <c r="N4039">
        <v>120.5</v>
      </c>
      <c r="O4039">
        <v>105</v>
      </c>
      <c r="P4039">
        <v>5.42</v>
      </c>
      <c r="Q4039">
        <v>10</v>
      </c>
      <c r="R4039">
        <v>5</v>
      </c>
      <c r="S4039">
        <v>2.7</v>
      </c>
      <c r="T4039">
        <v>4</v>
      </c>
      <c r="U4039" t="s">
        <v>22</v>
      </c>
      <c r="V4039" t="e">
        <f>IF(#REF! = "yes", 1, 0)</f>
        <v>#REF!</v>
      </c>
      <c r="W4039" t="e">
        <f>IF(#REF! &lt;= 1, "0-1 Calls", IF(#REF! &lt;= 3, "2-3 Calls", IF(#REF! &lt;=5, "4-5 Calls", "6+ Calls")))</f>
        <v>#REF!</v>
      </c>
      <c r="X4039" t="e">
        <f>IF(#REF! &lt;= 50, "0-50", IF(#REF! &lt;=100, "51-100", IF(#REF! &lt;= 150, "101-150", "151+")))</f>
        <v>#REF!</v>
      </c>
      <c r="Y4039" t="e">
        <f>IF(#REF! &lt;= 3, "Low Charges", "High Charges")</f>
        <v>#REF!</v>
      </c>
      <c r="Z4039" t="e">
        <f>IF(#REF!&lt;=80,"Low Calls",
IF(#REF!&lt;=120,"Medium Calls","High Calls"))</f>
        <v>#REF!</v>
      </c>
      <c r="AA4039" t="e">
        <f>IF(#REF!&lt;=15,"Low Charges",
IF(#REF!&lt;=20,"Medium Charges","High Charges"))</f>
        <v>#REF!</v>
      </c>
      <c r="AB4039" t="e">
        <f>IF(AND(#REF!&gt;180, #REF!&gt;200), "Heavy Doemstic User", IF(#REF!&gt;10, "Interntional User", IF(AND(#REF!&lt;180, #REF!&lt;200,#REF!&lt;200), "Light User", "Balanced User")))</f>
        <v>#REF!</v>
      </c>
      <c r="AC4039" t="e">
        <f>IF(#REF! = 0, "No Usage", IF(#REF! &lt;= 20, "Low Usage", IF(#REF! &lt;= 40, "Medium Usgae", "High Usage")))</f>
        <v>#REF!</v>
      </c>
      <c r="AD4039" t="e">
        <f>IF(#REF!&lt;=150,"Low Usage", IF(#REF!&lt;=200,"Medium Usage", IF(#REF!&lt;=250,"High Usage","Very High Usage")))</f>
        <v>#REF!</v>
      </c>
      <c r="AE4039" t="e">
        <f>IF(#REF!&lt;=5,"Low Calls", IF(#REF!&lt;=10, "Medium Calls", "High Calls"))</f>
        <v>#REF!</v>
      </c>
      <c r="AF4039" t="e">
        <f xml:space="preserve">
IF(#REF!&gt;=4,4,0)+
IF(#REF!="yes",3,0)+
IF(#REF!="High Charges",3,0)+
IF(#REF!&gt;250,4,0)+
IF(#REF!="no",1,0)+
IF(#REF!="Heavy Domestic User",2,0)</f>
        <v>#REF!</v>
      </c>
      <c r="AG4039" t="e">
        <f>IF(#REF!&gt;=10,"High Risk", IF(#REF!&gt;=5,"Medium Risk","Low Risk"))</f>
        <v>#REF!</v>
      </c>
      <c r="AH4039" t="e">
        <f>#REF! + #REF! + #REF! + #REF!</f>
        <v>#REF!</v>
      </c>
    </row>
    <row r="4040" spans="1:34" x14ac:dyDescent="0.35">
      <c r="A4040">
        <v>4039</v>
      </c>
      <c r="B4040" t="s">
        <v>61</v>
      </c>
      <c r="C4040">
        <v>146</v>
      </c>
      <c r="D4040" t="s">
        <v>21</v>
      </c>
      <c r="E4040" t="s">
        <v>22</v>
      </c>
      <c r="F4040" t="s">
        <v>22</v>
      </c>
      <c r="G4040">
        <v>0</v>
      </c>
      <c r="H4040">
        <v>157.4</v>
      </c>
      <c r="I4040">
        <v>89</v>
      </c>
      <c r="J4040">
        <v>26.76</v>
      </c>
      <c r="K4040">
        <v>196</v>
      </c>
      <c r="L4040">
        <v>117</v>
      </c>
      <c r="M4040">
        <v>16.66</v>
      </c>
      <c r="N4040">
        <v>147.69999999999999</v>
      </c>
      <c r="O4040">
        <v>150</v>
      </c>
      <c r="P4040">
        <v>6.65</v>
      </c>
      <c r="Q4040">
        <v>10.8</v>
      </c>
      <c r="R4040">
        <v>4</v>
      </c>
      <c r="S4040">
        <v>2.92</v>
      </c>
      <c r="T4040">
        <v>0</v>
      </c>
      <c r="U4040" t="s">
        <v>22</v>
      </c>
      <c r="V4040" t="e">
        <f>IF(#REF! = "yes", 1, 0)</f>
        <v>#REF!</v>
      </c>
      <c r="W4040" t="e">
        <f>IF(#REF! &lt;= 1, "0-1 Calls", IF(#REF! &lt;= 3, "2-3 Calls", IF(#REF! &lt;=5, "4-5 Calls", "6+ Calls")))</f>
        <v>#REF!</v>
      </c>
      <c r="X4040" t="e">
        <f>IF(#REF! &lt;= 50, "0-50", IF(#REF! &lt;=100, "51-100", IF(#REF! &lt;= 150, "101-150", "151+")))</f>
        <v>#REF!</v>
      </c>
      <c r="Y4040" t="e">
        <f>IF(#REF! &lt;= 3, "Low Charges", "High Charges")</f>
        <v>#REF!</v>
      </c>
      <c r="Z4040" t="e">
        <f>IF(#REF!&lt;=80,"Low Calls",
IF(#REF!&lt;=120,"Medium Calls","High Calls"))</f>
        <v>#REF!</v>
      </c>
      <c r="AA4040" t="e">
        <f>IF(#REF!&lt;=15,"Low Charges",
IF(#REF!&lt;=20,"Medium Charges","High Charges"))</f>
        <v>#REF!</v>
      </c>
      <c r="AB4040" t="e">
        <f>IF(AND(#REF!&gt;180, #REF!&gt;200), "Heavy Doemstic User", IF(#REF!&gt;10, "Interntional User", IF(AND(#REF!&lt;180, #REF!&lt;200,#REF!&lt;200), "Light User", "Balanced User")))</f>
        <v>#REF!</v>
      </c>
      <c r="AC4040" t="e">
        <f>IF(#REF! = 0, "No Usage", IF(#REF! &lt;= 20, "Low Usage", IF(#REF! &lt;= 40, "Medium Usgae", "High Usage")))</f>
        <v>#REF!</v>
      </c>
      <c r="AD4040" t="e">
        <f>IF(#REF!&lt;=150,"Low Usage", IF(#REF!&lt;=200,"Medium Usage", IF(#REF!&lt;=250,"High Usage","Very High Usage")))</f>
        <v>#REF!</v>
      </c>
      <c r="AE4040" t="e">
        <f>IF(#REF!&lt;=5,"Low Calls", IF(#REF!&lt;=10, "Medium Calls", "High Calls"))</f>
        <v>#REF!</v>
      </c>
      <c r="AF4040" t="e">
        <f xml:space="preserve">
IF(#REF!&gt;=4,4,0)+
IF(#REF!="yes",3,0)+
IF(#REF!="High Charges",3,0)+
IF(#REF!&gt;250,4,0)+
IF(#REF!="no",1,0)+
IF(#REF!="Heavy Domestic User",2,0)</f>
        <v>#REF!</v>
      </c>
      <c r="AG4040" t="e">
        <f>IF(#REF!&gt;=10,"High Risk", IF(#REF!&gt;=5,"Medium Risk","Low Risk"))</f>
        <v>#REF!</v>
      </c>
      <c r="AH4040" t="e">
        <f>#REF! + #REF! + #REF! + #REF!</f>
        <v>#REF!</v>
      </c>
    </row>
    <row r="4041" spans="1:34" x14ac:dyDescent="0.35">
      <c r="A4041">
        <v>4040</v>
      </c>
      <c r="B4041" t="s">
        <v>32</v>
      </c>
      <c r="C4041">
        <v>84</v>
      </c>
      <c r="D4041" t="s">
        <v>28</v>
      </c>
      <c r="E4041" t="s">
        <v>22</v>
      </c>
      <c r="F4041" t="s">
        <v>22</v>
      </c>
      <c r="G4041">
        <v>0</v>
      </c>
      <c r="H4041">
        <v>233.9</v>
      </c>
      <c r="I4041">
        <v>76</v>
      </c>
      <c r="J4041">
        <v>39.76</v>
      </c>
      <c r="K4041">
        <v>153.19999999999999</v>
      </c>
      <c r="L4041">
        <v>96</v>
      </c>
      <c r="M4041">
        <v>13.02</v>
      </c>
      <c r="N4041">
        <v>228</v>
      </c>
      <c r="O4041">
        <v>82</v>
      </c>
      <c r="P4041">
        <v>10.26</v>
      </c>
      <c r="Q4041">
        <v>12.8</v>
      </c>
      <c r="R4041">
        <v>5</v>
      </c>
      <c r="S4041">
        <v>3.46</v>
      </c>
      <c r="T4041">
        <v>3</v>
      </c>
      <c r="U4041" t="s">
        <v>22</v>
      </c>
      <c r="V4041" t="e">
        <f>IF(#REF! = "yes", 1, 0)</f>
        <v>#REF!</v>
      </c>
      <c r="W4041" t="e">
        <f>IF(#REF! &lt;= 1, "0-1 Calls", IF(#REF! &lt;= 3, "2-3 Calls", IF(#REF! &lt;=5, "4-5 Calls", "6+ Calls")))</f>
        <v>#REF!</v>
      </c>
      <c r="X4041" t="e">
        <f>IF(#REF! &lt;= 50, "0-50", IF(#REF! &lt;=100, "51-100", IF(#REF! &lt;= 150, "101-150", "151+")))</f>
        <v>#REF!</v>
      </c>
      <c r="Y4041" t="e">
        <f>IF(#REF! &lt;= 3, "Low Charges", "High Charges")</f>
        <v>#REF!</v>
      </c>
      <c r="Z4041" t="e">
        <f>IF(#REF!&lt;=80,"Low Calls",
IF(#REF!&lt;=120,"Medium Calls","High Calls"))</f>
        <v>#REF!</v>
      </c>
      <c r="AA4041" t="e">
        <f>IF(#REF!&lt;=15,"Low Charges",
IF(#REF!&lt;=20,"Medium Charges","High Charges"))</f>
        <v>#REF!</v>
      </c>
      <c r="AB4041" t="e">
        <f>IF(AND(#REF!&gt;180, #REF!&gt;200), "Heavy Doemstic User", IF(#REF!&gt;10, "Interntional User", IF(AND(#REF!&lt;180, #REF!&lt;200,#REF!&lt;200), "Light User", "Balanced User")))</f>
        <v>#REF!</v>
      </c>
      <c r="AC4041" t="e">
        <f>IF(#REF! = 0, "No Usage", IF(#REF! &lt;= 20, "Low Usage", IF(#REF! &lt;= 40, "Medium Usgae", "High Usage")))</f>
        <v>#REF!</v>
      </c>
      <c r="AD4041" t="e">
        <f>IF(#REF!&lt;=150,"Low Usage", IF(#REF!&lt;=200,"Medium Usage", IF(#REF!&lt;=250,"High Usage","Very High Usage")))</f>
        <v>#REF!</v>
      </c>
      <c r="AE4041" t="e">
        <f>IF(#REF!&lt;=5,"Low Calls", IF(#REF!&lt;=10, "Medium Calls", "High Calls"))</f>
        <v>#REF!</v>
      </c>
      <c r="AF4041" t="e">
        <f xml:space="preserve">
IF(#REF!&gt;=4,4,0)+
IF(#REF!="yes",3,0)+
IF(#REF!="High Charges",3,0)+
IF(#REF!&gt;250,4,0)+
IF(#REF!="no",1,0)+
IF(#REF!="Heavy Domestic User",2,0)</f>
        <v>#REF!</v>
      </c>
      <c r="AG4041" t="e">
        <f>IF(#REF!&gt;=10,"High Risk", IF(#REF!&gt;=5,"Medium Risk","Low Risk"))</f>
        <v>#REF!</v>
      </c>
      <c r="AH4041" t="e">
        <f>#REF! + #REF! + #REF! + #REF!</f>
        <v>#REF!</v>
      </c>
    </row>
    <row r="4042" spans="1:34" x14ac:dyDescent="0.35">
      <c r="A4042">
        <v>4041</v>
      </c>
      <c r="B4042" t="s">
        <v>69</v>
      </c>
      <c r="C4042">
        <v>200</v>
      </c>
      <c r="D4042" t="s">
        <v>25</v>
      </c>
      <c r="E4042" t="s">
        <v>22</v>
      </c>
      <c r="F4042" t="s">
        <v>22</v>
      </c>
      <c r="G4042">
        <v>0</v>
      </c>
      <c r="H4042">
        <v>195.4</v>
      </c>
      <c r="I4042">
        <v>71</v>
      </c>
      <c r="J4042">
        <v>33.22</v>
      </c>
      <c r="K4042">
        <v>249.4</v>
      </c>
      <c r="L4042">
        <v>96</v>
      </c>
      <c r="M4042">
        <v>21.2</v>
      </c>
      <c r="N4042">
        <v>233.1</v>
      </c>
      <c r="O4042">
        <v>132</v>
      </c>
      <c r="P4042">
        <v>10.49</v>
      </c>
      <c r="Q4042">
        <v>12.9</v>
      </c>
      <c r="R4042">
        <v>2</v>
      </c>
      <c r="S4042">
        <v>3.48</v>
      </c>
      <c r="T4042">
        <v>3</v>
      </c>
      <c r="U4042" t="s">
        <v>22</v>
      </c>
      <c r="V4042" t="e">
        <f>IF(#REF! = "yes", 1, 0)</f>
        <v>#REF!</v>
      </c>
      <c r="W4042" t="e">
        <f>IF(#REF! &lt;= 1, "0-1 Calls", IF(#REF! &lt;= 3, "2-3 Calls", IF(#REF! &lt;=5, "4-5 Calls", "6+ Calls")))</f>
        <v>#REF!</v>
      </c>
      <c r="X4042" t="e">
        <f>IF(#REF! &lt;= 50, "0-50", IF(#REF! &lt;=100, "51-100", IF(#REF! &lt;= 150, "101-150", "151+")))</f>
        <v>#REF!</v>
      </c>
      <c r="Y4042" t="e">
        <f>IF(#REF! &lt;= 3, "Low Charges", "High Charges")</f>
        <v>#REF!</v>
      </c>
      <c r="Z4042" t="e">
        <f>IF(#REF!&lt;=80,"Low Calls",
IF(#REF!&lt;=120,"Medium Calls","High Calls"))</f>
        <v>#REF!</v>
      </c>
      <c r="AA4042" t="e">
        <f>IF(#REF!&lt;=15,"Low Charges",
IF(#REF!&lt;=20,"Medium Charges","High Charges"))</f>
        <v>#REF!</v>
      </c>
      <c r="AB4042" t="e">
        <f>IF(AND(#REF!&gt;180, #REF!&gt;200), "Heavy Doemstic User", IF(#REF!&gt;10, "Interntional User", IF(AND(#REF!&lt;180, #REF!&lt;200,#REF!&lt;200), "Light User", "Balanced User")))</f>
        <v>#REF!</v>
      </c>
      <c r="AC4042" t="e">
        <f>IF(#REF! = 0, "No Usage", IF(#REF! &lt;= 20, "Low Usage", IF(#REF! &lt;= 40, "Medium Usgae", "High Usage")))</f>
        <v>#REF!</v>
      </c>
      <c r="AD4042" t="e">
        <f>IF(#REF!&lt;=150,"Low Usage", IF(#REF!&lt;=200,"Medium Usage", IF(#REF!&lt;=250,"High Usage","Very High Usage")))</f>
        <v>#REF!</v>
      </c>
      <c r="AE4042" t="e">
        <f>IF(#REF!&lt;=5,"Low Calls", IF(#REF!&lt;=10, "Medium Calls", "High Calls"))</f>
        <v>#REF!</v>
      </c>
      <c r="AF4042" t="e">
        <f xml:space="preserve">
IF(#REF!&gt;=4,4,0)+
IF(#REF!="yes",3,0)+
IF(#REF!="High Charges",3,0)+
IF(#REF!&gt;250,4,0)+
IF(#REF!="no",1,0)+
IF(#REF!="Heavy Domestic User",2,0)</f>
        <v>#REF!</v>
      </c>
      <c r="AG4042" t="e">
        <f>IF(#REF!&gt;=10,"High Risk", IF(#REF!&gt;=5,"Medium Risk","Low Risk"))</f>
        <v>#REF!</v>
      </c>
      <c r="AH4042" t="e">
        <f>#REF! + #REF! + #REF! + #REF!</f>
        <v>#REF!</v>
      </c>
    </row>
    <row r="4043" spans="1:34" x14ac:dyDescent="0.35">
      <c r="A4043">
        <v>4042</v>
      </c>
      <c r="B4043" t="s">
        <v>26</v>
      </c>
      <c r="C4043">
        <v>17</v>
      </c>
      <c r="D4043" t="s">
        <v>25</v>
      </c>
      <c r="E4043" t="s">
        <v>22</v>
      </c>
      <c r="F4043" t="s">
        <v>22</v>
      </c>
      <c r="G4043">
        <v>0</v>
      </c>
      <c r="H4043">
        <v>180.4</v>
      </c>
      <c r="I4043">
        <v>121</v>
      </c>
      <c r="J4043">
        <v>30.67</v>
      </c>
      <c r="K4043">
        <v>228.5</v>
      </c>
      <c r="L4043">
        <v>111</v>
      </c>
      <c r="M4043">
        <v>19.420000000000002</v>
      </c>
      <c r="N4043">
        <v>199.5</v>
      </c>
      <c r="O4043">
        <v>99</v>
      </c>
      <c r="P4043">
        <v>8.98</v>
      </c>
      <c r="Q4043">
        <v>14.8</v>
      </c>
      <c r="R4043">
        <v>5</v>
      </c>
      <c r="S4043">
        <v>4</v>
      </c>
      <c r="T4043">
        <v>0</v>
      </c>
      <c r="U4043" t="s">
        <v>22</v>
      </c>
      <c r="V4043" t="e">
        <f>IF(#REF! = "yes", 1, 0)</f>
        <v>#REF!</v>
      </c>
      <c r="W4043" t="e">
        <f>IF(#REF! &lt;= 1, "0-1 Calls", IF(#REF! &lt;= 3, "2-3 Calls", IF(#REF! &lt;=5, "4-5 Calls", "6+ Calls")))</f>
        <v>#REF!</v>
      </c>
      <c r="X4043" t="e">
        <f>IF(#REF! &lt;= 50, "0-50", IF(#REF! &lt;=100, "51-100", IF(#REF! &lt;= 150, "101-150", "151+")))</f>
        <v>#REF!</v>
      </c>
      <c r="Y4043" t="e">
        <f>IF(#REF! &lt;= 3, "Low Charges", "High Charges")</f>
        <v>#REF!</v>
      </c>
      <c r="Z4043" t="e">
        <f>IF(#REF!&lt;=80,"Low Calls",
IF(#REF!&lt;=120,"Medium Calls","High Calls"))</f>
        <v>#REF!</v>
      </c>
      <c r="AA4043" t="e">
        <f>IF(#REF!&lt;=15,"Low Charges",
IF(#REF!&lt;=20,"Medium Charges","High Charges"))</f>
        <v>#REF!</v>
      </c>
      <c r="AB4043" t="e">
        <f>IF(AND(#REF!&gt;180, #REF!&gt;200), "Heavy Doemstic User", IF(#REF!&gt;10, "Interntional User", IF(AND(#REF!&lt;180, #REF!&lt;200,#REF!&lt;200), "Light User", "Balanced User")))</f>
        <v>#REF!</v>
      </c>
      <c r="AC4043" t="e">
        <f>IF(#REF! = 0, "No Usage", IF(#REF! &lt;= 20, "Low Usage", IF(#REF! &lt;= 40, "Medium Usgae", "High Usage")))</f>
        <v>#REF!</v>
      </c>
      <c r="AD4043" t="e">
        <f>IF(#REF!&lt;=150,"Low Usage", IF(#REF!&lt;=200,"Medium Usage", IF(#REF!&lt;=250,"High Usage","Very High Usage")))</f>
        <v>#REF!</v>
      </c>
      <c r="AE4043" t="e">
        <f>IF(#REF!&lt;=5,"Low Calls", IF(#REF!&lt;=10, "Medium Calls", "High Calls"))</f>
        <v>#REF!</v>
      </c>
      <c r="AF4043" t="e">
        <f xml:space="preserve">
IF(#REF!&gt;=4,4,0)+
IF(#REF!="yes",3,0)+
IF(#REF!="High Charges",3,0)+
IF(#REF!&gt;250,4,0)+
IF(#REF!="no",1,0)+
IF(#REF!="Heavy Domestic User",2,0)</f>
        <v>#REF!</v>
      </c>
      <c r="AG4043" t="e">
        <f>IF(#REF!&gt;=10,"High Risk", IF(#REF!&gt;=5,"Medium Risk","Low Risk"))</f>
        <v>#REF!</v>
      </c>
      <c r="AH4043" t="e">
        <f>#REF! + #REF! + #REF! + #REF!</f>
        <v>#REF!</v>
      </c>
    </row>
    <row r="4044" spans="1:34" x14ac:dyDescent="0.35">
      <c r="A4044">
        <v>4043</v>
      </c>
      <c r="B4044" t="s">
        <v>43</v>
      </c>
      <c r="C4044">
        <v>125</v>
      </c>
      <c r="D4044" t="s">
        <v>25</v>
      </c>
      <c r="E4044" t="s">
        <v>22</v>
      </c>
      <c r="F4044" t="s">
        <v>22</v>
      </c>
      <c r="G4044">
        <v>0</v>
      </c>
      <c r="H4044">
        <v>143.6</v>
      </c>
      <c r="I4044">
        <v>119</v>
      </c>
      <c r="J4044">
        <v>24.41</v>
      </c>
      <c r="K4044">
        <v>238.5</v>
      </c>
      <c r="L4044">
        <v>119</v>
      </c>
      <c r="M4044">
        <v>20.27</v>
      </c>
      <c r="N4044">
        <v>173.6</v>
      </c>
      <c r="O4044">
        <v>89</v>
      </c>
      <c r="P4044">
        <v>7.81</v>
      </c>
      <c r="Q4044">
        <v>10.9</v>
      </c>
      <c r="R4044">
        <v>4</v>
      </c>
      <c r="S4044">
        <v>2.94</v>
      </c>
      <c r="T4044">
        <v>2</v>
      </c>
      <c r="U4044" t="s">
        <v>22</v>
      </c>
      <c r="V4044" t="e">
        <f>IF(#REF! = "yes", 1, 0)</f>
        <v>#REF!</v>
      </c>
      <c r="W4044" t="e">
        <f>IF(#REF! &lt;= 1, "0-1 Calls", IF(#REF! &lt;= 3, "2-3 Calls", IF(#REF! &lt;=5, "4-5 Calls", "6+ Calls")))</f>
        <v>#REF!</v>
      </c>
      <c r="X4044" t="e">
        <f>IF(#REF! &lt;= 50, "0-50", IF(#REF! &lt;=100, "51-100", IF(#REF! &lt;= 150, "101-150", "151+")))</f>
        <v>#REF!</v>
      </c>
      <c r="Y4044" t="e">
        <f>IF(#REF! &lt;= 3, "Low Charges", "High Charges")</f>
        <v>#REF!</v>
      </c>
      <c r="Z4044" t="e">
        <f>IF(#REF!&lt;=80,"Low Calls",
IF(#REF!&lt;=120,"Medium Calls","High Calls"))</f>
        <v>#REF!</v>
      </c>
      <c r="AA4044" t="e">
        <f>IF(#REF!&lt;=15,"Low Charges",
IF(#REF!&lt;=20,"Medium Charges","High Charges"))</f>
        <v>#REF!</v>
      </c>
      <c r="AB4044" t="e">
        <f>IF(AND(#REF!&gt;180, #REF!&gt;200), "Heavy Doemstic User", IF(#REF!&gt;10, "Interntional User", IF(AND(#REF!&lt;180, #REF!&lt;200,#REF!&lt;200), "Light User", "Balanced User")))</f>
        <v>#REF!</v>
      </c>
      <c r="AC4044" t="e">
        <f>IF(#REF! = 0, "No Usage", IF(#REF! &lt;= 20, "Low Usage", IF(#REF! &lt;= 40, "Medium Usgae", "High Usage")))</f>
        <v>#REF!</v>
      </c>
      <c r="AD4044" t="e">
        <f>IF(#REF!&lt;=150,"Low Usage", IF(#REF!&lt;=200,"Medium Usage", IF(#REF!&lt;=250,"High Usage","Very High Usage")))</f>
        <v>#REF!</v>
      </c>
      <c r="AE4044" t="e">
        <f>IF(#REF!&lt;=5,"Low Calls", IF(#REF!&lt;=10, "Medium Calls", "High Calls"))</f>
        <v>#REF!</v>
      </c>
      <c r="AF4044" t="e">
        <f xml:space="preserve">
IF(#REF!&gt;=4,4,0)+
IF(#REF!="yes",3,0)+
IF(#REF!="High Charges",3,0)+
IF(#REF!&gt;250,4,0)+
IF(#REF!="no",1,0)+
IF(#REF!="Heavy Domestic User",2,0)</f>
        <v>#REF!</v>
      </c>
      <c r="AG4044" t="e">
        <f>IF(#REF!&gt;=10,"High Risk", IF(#REF!&gt;=5,"Medium Risk","Low Risk"))</f>
        <v>#REF!</v>
      </c>
      <c r="AH4044" t="e">
        <f>#REF! + #REF! + #REF! + #REF!</f>
        <v>#REF!</v>
      </c>
    </row>
    <row r="4045" spans="1:34" x14ac:dyDescent="0.35">
      <c r="A4045">
        <v>4044</v>
      </c>
      <c r="B4045" t="s">
        <v>41</v>
      </c>
      <c r="C4045">
        <v>61</v>
      </c>
      <c r="D4045" t="s">
        <v>28</v>
      </c>
      <c r="E4045" t="s">
        <v>22</v>
      </c>
      <c r="F4045" t="s">
        <v>22</v>
      </c>
      <c r="G4045">
        <v>0</v>
      </c>
      <c r="H4045">
        <v>88.1</v>
      </c>
      <c r="I4045">
        <v>60</v>
      </c>
      <c r="J4045">
        <v>14.98</v>
      </c>
      <c r="K4045">
        <v>129.69999999999999</v>
      </c>
      <c r="L4045">
        <v>108</v>
      </c>
      <c r="M4045">
        <v>11.02</v>
      </c>
      <c r="N4045">
        <v>169</v>
      </c>
      <c r="O4045">
        <v>87</v>
      </c>
      <c r="P4045">
        <v>7.61</v>
      </c>
      <c r="Q4045">
        <v>13.3</v>
      </c>
      <c r="R4045">
        <v>4</v>
      </c>
      <c r="S4045">
        <v>3.59</v>
      </c>
      <c r="T4045">
        <v>2</v>
      </c>
      <c r="U4045" t="s">
        <v>22</v>
      </c>
      <c r="V4045" t="e">
        <f>IF(#REF! = "yes", 1, 0)</f>
        <v>#REF!</v>
      </c>
      <c r="W4045" t="e">
        <f>IF(#REF! &lt;= 1, "0-1 Calls", IF(#REF! &lt;= 3, "2-3 Calls", IF(#REF! &lt;=5, "4-5 Calls", "6+ Calls")))</f>
        <v>#REF!</v>
      </c>
      <c r="X4045" t="e">
        <f>IF(#REF! &lt;= 50, "0-50", IF(#REF! &lt;=100, "51-100", IF(#REF! &lt;= 150, "101-150", "151+")))</f>
        <v>#REF!</v>
      </c>
      <c r="Y4045" t="e">
        <f>IF(#REF! &lt;= 3, "Low Charges", "High Charges")</f>
        <v>#REF!</v>
      </c>
      <c r="Z4045" t="e">
        <f>IF(#REF!&lt;=80,"Low Calls",
IF(#REF!&lt;=120,"Medium Calls","High Calls"))</f>
        <v>#REF!</v>
      </c>
      <c r="AA4045" t="e">
        <f>IF(#REF!&lt;=15,"Low Charges",
IF(#REF!&lt;=20,"Medium Charges","High Charges"))</f>
        <v>#REF!</v>
      </c>
      <c r="AB4045" t="e">
        <f>IF(AND(#REF!&gt;180, #REF!&gt;200), "Heavy Doemstic User", IF(#REF!&gt;10, "Interntional User", IF(AND(#REF!&lt;180, #REF!&lt;200,#REF!&lt;200), "Light User", "Balanced User")))</f>
        <v>#REF!</v>
      </c>
      <c r="AC4045" t="e">
        <f>IF(#REF! = 0, "No Usage", IF(#REF! &lt;= 20, "Low Usage", IF(#REF! &lt;= 40, "Medium Usgae", "High Usage")))</f>
        <v>#REF!</v>
      </c>
      <c r="AD4045" t="e">
        <f>IF(#REF!&lt;=150,"Low Usage", IF(#REF!&lt;=200,"Medium Usage", IF(#REF!&lt;=250,"High Usage","Very High Usage")))</f>
        <v>#REF!</v>
      </c>
      <c r="AE4045" t="e">
        <f>IF(#REF!&lt;=5,"Low Calls", IF(#REF!&lt;=10, "Medium Calls", "High Calls"))</f>
        <v>#REF!</v>
      </c>
      <c r="AF4045" t="e">
        <f xml:space="preserve">
IF(#REF!&gt;=4,4,0)+
IF(#REF!="yes",3,0)+
IF(#REF!="High Charges",3,0)+
IF(#REF!&gt;250,4,0)+
IF(#REF!="no",1,0)+
IF(#REF!="Heavy Domestic User",2,0)</f>
        <v>#REF!</v>
      </c>
      <c r="AG4045" t="e">
        <f>IF(#REF!&gt;=10,"High Risk", IF(#REF!&gt;=5,"Medium Risk","Low Risk"))</f>
        <v>#REF!</v>
      </c>
      <c r="AH4045" t="e">
        <f>#REF! + #REF! + #REF! + #REF!</f>
        <v>#REF!</v>
      </c>
    </row>
    <row r="4046" spans="1:34" x14ac:dyDescent="0.35">
      <c r="A4046">
        <v>4045</v>
      </c>
      <c r="B4046" t="s">
        <v>43</v>
      </c>
      <c r="C4046">
        <v>103</v>
      </c>
      <c r="D4046" t="s">
        <v>21</v>
      </c>
      <c r="E4046" t="s">
        <v>22</v>
      </c>
      <c r="F4046" t="s">
        <v>23</v>
      </c>
      <c r="G4046">
        <v>30</v>
      </c>
      <c r="H4046">
        <v>254.1</v>
      </c>
      <c r="I4046">
        <v>75</v>
      </c>
      <c r="J4046">
        <v>43.2</v>
      </c>
      <c r="K4046">
        <v>200.4</v>
      </c>
      <c r="L4046">
        <v>116</v>
      </c>
      <c r="M4046">
        <v>17.03</v>
      </c>
      <c r="N4046">
        <v>185.9</v>
      </c>
      <c r="O4046">
        <v>109</v>
      </c>
      <c r="P4046">
        <v>8.3699999999999992</v>
      </c>
      <c r="Q4046">
        <v>6.6</v>
      </c>
      <c r="R4046">
        <v>2</v>
      </c>
      <c r="S4046">
        <v>1.78</v>
      </c>
      <c r="T4046">
        <v>2</v>
      </c>
      <c r="U4046" t="s">
        <v>22</v>
      </c>
      <c r="V4046" t="e">
        <f>IF(#REF! = "yes", 1, 0)</f>
        <v>#REF!</v>
      </c>
      <c r="W4046" t="e">
        <f>IF(#REF! &lt;= 1, "0-1 Calls", IF(#REF! &lt;= 3, "2-3 Calls", IF(#REF! &lt;=5, "4-5 Calls", "6+ Calls")))</f>
        <v>#REF!</v>
      </c>
      <c r="X4046" t="e">
        <f>IF(#REF! &lt;= 50, "0-50", IF(#REF! &lt;=100, "51-100", IF(#REF! &lt;= 150, "101-150", "151+")))</f>
        <v>#REF!</v>
      </c>
      <c r="Y4046" t="e">
        <f>IF(#REF! &lt;= 3, "Low Charges", "High Charges")</f>
        <v>#REF!</v>
      </c>
      <c r="Z4046" t="e">
        <f>IF(#REF!&lt;=80,"Low Calls",
IF(#REF!&lt;=120,"Medium Calls","High Calls"))</f>
        <v>#REF!</v>
      </c>
      <c r="AA4046" t="e">
        <f>IF(#REF!&lt;=15,"Low Charges",
IF(#REF!&lt;=20,"Medium Charges","High Charges"))</f>
        <v>#REF!</v>
      </c>
      <c r="AB4046" t="e">
        <f>IF(AND(#REF!&gt;180, #REF!&gt;200), "Heavy Doemstic User", IF(#REF!&gt;10, "Interntional User", IF(AND(#REF!&lt;180, #REF!&lt;200,#REF!&lt;200), "Light User", "Balanced User")))</f>
        <v>#REF!</v>
      </c>
      <c r="AC4046" t="e">
        <f>IF(#REF! = 0, "No Usage", IF(#REF! &lt;= 20, "Low Usage", IF(#REF! &lt;= 40, "Medium Usgae", "High Usage")))</f>
        <v>#REF!</v>
      </c>
      <c r="AD4046" t="e">
        <f>IF(#REF!&lt;=150,"Low Usage", IF(#REF!&lt;=200,"Medium Usage", IF(#REF!&lt;=250,"High Usage","Very High Usage")))</f>
        <v>#REF!</v>
      </c>
      <c r="AE4046" t="e">
        <f>IF(#REF!&lt;=5,"Low Calls", IF(#REF!&lt;=10, "Medium Calls", "High Calls"))</f>
        <v>#REF!</v>
      </c>
      <c r="AF4046" t="e">
        <f xml:space="preserve">
IF(#REF!&gt;=4,4,0)+
IF(#REF!="yes",3,0)+
IF(#REF!="High Charges",3,0)+
IF(#REF!&gt;250,4,0)+
IF(#REF!="no",1,0)+
IF(#REF!="Heavy Domestic User",2,0)</f>
        <v>#REF!</v>
      </c>
      <c r="AG4046" t="e">
        <f>IF(#REF!&gt;=10,"High Risk", IF(#REF!&gt;=5,"Medium Risk","Low Risk"))</f>
        <v>#REF!</v>
      </c>
      <c r="AH4046" t="e">
        <f>#REF! + #REF! + #REF! + #REF!</f>
        <v>#REF!</v>
      </c>
    </row>
    <row r="4047" spans="1:34" x14ac:dyDescent="0.35">
      <c r="A4047">
        <v>4046</v>
      </c>
      <c r="B4047" t="s">
        <v>61</v>
      </c>
      <c r="C4047">
        <v>20</v>
      </c>
      <c r="D4047" t="s">
        <v>25</v>
      </c>
      <c r="E4047" t="s">
        <v>22</v>
      </c>
      <c r="F4047" t="s">
        <v>22</v>
      </c>
      <c r="G4047">
        <v>0</v>
      </c>
      <c r="H4047">
        <v>131.5</v>
      </c>
      <c r="I4047">
        <v>64</v>
      </c>
      <c r="J4047">
        <v>22.36</v>
      </c>
      <c r="K4047">
        <v>161.80000000000001</v>
      </c>
      <c r="L4047">
        <v>124</v>
      </c>
      <c r="M4047">
        <v>13.75</v>
      </c>
      <c r="N4047">
        <v>158.6</v>
      </c>
      <c r="O4047">
        <v>106</v>
      </c>
      <c r="P4047">
        <v>7.14</v>
      </c>
      <c r="Q4047">
        <v>14.8</v>
      </c>
      <c r="R4047">
        <v>5</v>
      </c>
      <c r="S4047">
        <v>4</v>
      </c>
      <c r="T4047">
        <v>0</v>
      </c>
      <c r="U4047" t="s">
        <v>22</v>
      </c>
      <c r="V4047" t="e">
        <f>IF(#REF! = "yes", 1, 0)</f>
        <v>#REF!</v>
      </c>
      <c r="W4047" t="e">
        <f>IF(#REF! &lt;= 1, "0-1 Calls", IF(#REF! &lt;= 3, "2-3 Calls", IF(#REF! &lt;=5, "4-5 Calls", "6+ Calls")))</f>
        <v>#REF!</v>
      </c>
      <c r="X4047" t="e">
        <f>IF(#REF! &lt;= 50, "0-50", IF(#REF! &lt;=100, "51-100", IF(#REF! &lt;= 150, "101-150", "151+")))</f>
        <v>#REF!</v>
      </c>
      <c r="Y4047" t="e">
        <f>IF(#REF! &lt;= 3, "Low Charges", "High Charges")</f>
        <v>#REF!</v>
      </c>
      <c r="Z4047" t="e">
        <f>IF(#REF!&lt;=80,"Low Calls",
IF(#REF!&lt;=120,"Medium Calls","High Calls"))</f>
        <v>#REF!</v>
      </c>
      <c r="AA4047" t="e">
        <f>IF(#REF!&lt;=15,"Low Charges",
IF(#REF!&lt;=20,"Medium Charges","High Charges"))</f>
        <v>#REF!</v>
      </c>
      <c r="AB4047" t="e">
        <f>IF(AND(#REF!&gt;180, #REF!&gt;200), "Heavy Doemstic User", IF(#REF!&gt;10, "Interntional User", IF(AND(#REF!&lt;180, #REF!&lt;200,#REF!&lt;200), "Light User", "Balanced User")))</f>
        <v>#REF!</v>
      </c>
      <c r="AC4047" t="e">
        <f>IF(#REF! = 0, "No Usage", IF(#REF! &lt;= 20, "Low Usage", IF(#REF! &lt;= 40, "Medium Usgae", "High Usage")))</f>
        <v>#REF!</v>
      </c>
      <c r="AD4047" t="e">
        <f>IF(#REF!&lt;=150,"Low Usage", IF(#REF!&lt;=200,"Medium Usage", IF(#REF!&lt;=250,"High Usage","Very High Usage")))</f>
        <v>#REF!</v>
      </c>
      <c r="AE4047" t="e">
        <f>IF(#REF!&lt;=5,"Low Calls", IF(#REF!&lt;=10, "Medium Calls", "High Calls"))</f>
        <v>#REF!</v>
      </c>
      <c r="AF4047" t="e">
        <f xml:space="preserve">
IF(#REF!&gt;=4,4,0)+
IF(#REF!="yes",3,0)+
IF(#REF!="High Charges",3,0)+
IF(#REF!&gt;250,4,0)+
IF(#REF!="no",1,0)+
IF(#REF!="Heavy Domestic User",2,0)</f>
        <v>#REF!</v>
      </c>
      <c r="AG4047" t="e">
        <f>IF(#REF!&gt;=10,"High Risk", IF(#REF!&gt;=5,"Medium Risk","Low Risk"))</f>
        <v>#REF!</v>
      </c>
      <c r="AH4047" t="e">
        <f>#REF! + #REF! + #REF! + #REF!</f>
        <v>#REF!</v>
      </c>
    </row>
    <row r="4048" spans="1:34" x14ac:dyDescent="0.35">
      <c r="A4048">
        <v>4047</v>
      </c>
      <c r="B4048" t="s">
        <v>24</v>
      </c>
      <c r="C4048">
        <v>115</v>
      </c>
      <c r="D4048" t="s">
        <v>28</v>
      </c>
      <c r="E4048" t="s">
        <v>22</v>
      </c>
      <c r="F4048" t="s">
        <v>22</v>
      </c>
      <c r="G4048">
        <v>0</v>
      </c>
      <c r="H4048">
        <v>156.80000000000001</v>
      </c>
      <c r="I4048">
        <v>104</v>
      </c>
      <c r="J4048">
        <v>26.66</v>
      </c>
      <c r="K4048">
        <v>264.7</v>
      </c>
      <c r="L4048">
        <v>84</v>
      </c>
      <c r="M4048">
        <v>22.5</v>
      </c>
      <c r="N4048">
        <v>249</v>
      </c>
      <c r="O4048">
        <v>112</v>
      </c>
      <c r="P4048">
        <v>11.21</v>
      </c>
      <c r="Q4048">
        <v>7.4</v>
      </c>
      <c r="R4048">
        <v>8</v>
      </c>
      <c r="S4048">
        <v>2</v>
      </c>
      <c r="T4048">
        <v>0</v>
      </c>
      <c r="U4048" t="s">
        <v>22</v>
      </c>
      <c r="V4048" t="e">
        <f>IF(#REF! = "yes", 1, 0)</f>
        <v>#REF!</v>
      </c>
      <c r="W4048" t="e">
        <f>IF(#REF! &lt;= 1, "0-1 Calls", IF(#REF! &lt;= 3, "2-3 Calls", IF(#REF! &lt;=5, "4-5 Calls", "6+ Calls")))</f>
        <v>#REF!</v>
      </c>
      <c r="X4048" t="e">
        <f>IF(#REF! &lt;= 50, "0-50", IF(#REF! &lt;=100, "51-100", IF(#REF! &lt;= 150, "101-150", "151+")))</f>
        <v>#REF!</v>
      </c>
      <c r="Y4048" t="e">
        <f>IF(#REF! &lt;= 3, "Low Charges", "High Charges")</f>
        <v>#REF!</v>
      </c>
      <c r="Z4048" t="e">
        <f>IF(#REF!&lt;=80,"Low Calls",
IF(#REF!&lt;=120,"Medium Calls","High Calls"))</f>
        <v>#REF!</v>
      </c>
      <c r="AA4048" t="e">
        <f>IF(#REF!&lt;=15,"Low Charges",
IF(#REF!&lt;=20,"Medium Charges","High Charges"))</f>
        <v>#REF!</v>
      </c>
      <c r="AB4048" t="e">
        <f>IF(AND(#REF!&gt;180, #REF!&gt;200), "Heavy Doemstic User", IF(#REF!&gt;10, "Interntional User", IF(AND(#REF!&lt;180, #REF!&lt;200,#REF!&lt;200), "Light User", "Balanced User")))</f>
        <v>#REF!</v>
      </c>
      <c r="AC4048" t="e">
        <f>IF(#REF! = 0, "No Usage", IF(#REF! &lt;= 20, "Low Usage", IF(#REF! &lt;= 40, "Medium Usgae", "High Usage")))</f>
        <v>#REF!</v>
      </c>
      <c r="AD4048" t="e">
        <f>IF(#REF!&lt;=150,"Low Usage", IF(#REF!&lt;=200,"Medium Usage", IF(#REF!&lt;=250,"High Usage","Very High Usage")))</f>
        <v>#REF!</v>
      </c>
      <c r="AE4048" t="e">
        <f>IF(#REF!&lt;=5,"Low Calls", IF(#REF!&lt;=10, "Medium Calls", "High Calls"))</f>
        <v>#REF!</v>
      </c>
      <c r="AF4048" t="e">
        <f xml:space="preserve">
IF(#REF!&gt;=4,4,0)+
IF(#REF!="yes",3,0)+
IF(#REF!="High Charges",3,0)+
IF(#REF!&gt;250,4,0)+
IF(#REF!="no",1,0)+
IF(#REF!="Heavy Domestic User",2,0)</f>
        <v>#REF!</v>
      </c>
      <c r="AG4048" t="e">
        <f>IF(#REF!&gt;=10,"High Risk", IF(#REF!&gt;=5,"Medium Risk","Low Risk"))</f>
        <v>#REF!</v>
      </c>
      <c r="AH4048" t="e">
        <f>#REF! + #REF! + #REF! + #REF!</f>
        <v>#REF!</v>
      </c>
    </row>
    <row r="4049" spans="1:34" x14ac:dyDescent="0.35">
      <c r="A4049">
        <v>4048</v>
      </c>
      <c r="B4049" t="s">
        <v>71</v>
      </c>
      <c r="C4049">
        <v>139</v>
      </c>
      <c r="D4049" t="s">
        <v>28</v>
      </c>
      <c r="E4049" t="s">
        <v>22</v>
      </c>
      <c r="F4049" t="s">
        <v>22</v>
      </c>
      <c r="G4049">
        <v>0</v>
      </c>
      <c r="H4049">
        <v>196.9</v>
      </c>
      <c r="I4049">
        <v>58</v>
      </c>
      <c r="J4049">
        <v>33.47</v>
      </c>
      <c r="K4049">
        <v>137.1</v>
      </c>
      <c r="L4049">
        <v>91</v>
      </c>
      <c r="M4049">
        <v>11.65</v>
      </c>
      <c r="N4049">
        <v>216.6</v>
      </c>
      <c r="O4049">
        <v>101</v>
      </c>
      <c r="P4049">
        <v>9.75</v>
      </c>
      <c r="Q4049">
        <v>9.8000000000000007</v>
      </c>
      <c r="R4049">
        <v>3</v>
      </c>
      <c r="S4049">
        <v>2.65</v>
      </c>
      <c r="T4049">
        <v>1</v>
      </c>
      <c r="U4049" t="s">
        <v>22</v>
      </c>
      <c r="V4049" t="e">
        <f>IF(#REF! = "yes", 1, 0)</f>
        <v>#REF!</v>
      </c>
      <c r="W4049" t="e">
        <f>IF(#REF! &lt;= 1, "0-1 Calls", IF(#REF! &lt;= 3, "2-3 Calls", IF(#REF! &lt;=5, "4-5 Calls", "6+ Calls")))</f>
        <v>#REF!</v>
      </c>
      <c r="X4049" t="e">
        <f>IF(#REF! &lt;= 50, "0-50", IF(#REF! &lt;=100, "51-100", IF(#REF! &lt;= 150, "101-150", "151+")))</f>
        <v>#REF!</v>
      </c>
      <c r="Y4049" t="e">
        <f>IF(#REF! &lt;= 3, "Low Charges", "High Charges")</f>
        <v>#REF!</v>
      </c>
      <c r="Z4049" t="e">
        <f>IF(#REF!&lt;=80,"Low Calls",
IF(#REF!&lt;=120,"Medium Calls","High Calls"))</f>
        <v>#REF!</v>
      </c>
      <c r="AA4049" t="e">
        <f>IF(#REF!&lt;=15,"Low Charges",
IF(#REF!&lt;=20,"Medium Charges","High Charges"))</f>
        <v>#REF!</v>
      </c>
      <c r="AB4049" t="e">
        <f>IF(AND(#REF!&gt;180, #REF!&gt;200), "Heavy Doemstic User", IF(#REF!&gt;10, "Interntional User", IF(AND(#REF!&lt;180, #REF!&lt;200,#REF!&lt;200), "Light User", "Balanced User")))</f>
        <v>#REF!</v>
      </c>
      <c r="AC4049" t="e">
        <f>IF(#REF! = 0, "No Usage", IF(#REF! &lt;= 20, "Low Usage", IF(#REF! &lt;= 40, "Medium Usgae", "High Usage")))</f>
        <v>#REF!</v>
      </c>
      <c r="AD4049" t="e">
        <f>IF(#REF!&lt;=150,"Low Usage", IF(#REF!&lt;=200,"Medium Usage", IF(#REF!&lt;=250,"High Usage","Very High Usage")))</f>
        <v>#REF!</v>
      </c>
      <c r="AE4049" t="e">
        <f>IF(#REF!&lt;=5,"Low Calls", IF(#REF!&lt;=10, "Medium Calls", "High Calls"))</f>
        <v>#REF!</v>
      </c>
      <c r="AF4049" t="e">
        <f xml:space="preserve">
IF(#REF!&gt;=4,4,0)+
IF(#REF!="yes",3,0)+
IF(#REF!="High Charges",3,0)+
IF(#REF!&gt;250,4,0)+
IF(#REF!="no",1,0)+
IF(#REF!="Heavy Domestic User",2,0)</f>
        <v>#REF!</v>
      </c>
      <c r="AG4049" t="e">
        <f>IF(#REF!&gt;=10,"High Risk", IF(#REF!&gt;=5,"Medium Risk","Low Risk"))</f>
        <v>#REF!</v>
      </c>
      <c r="AH4049" t="e">
        <f>#REF! + #REF! + #REF! + #REF!</f>
        <v>#REF!</v>
      </c>
    </row>
    <row r="4050" spans="1:34" x14ac:dyDescent="0.35">
      <c r="A4050">
        <v>4049</v>
      </c>
      <c r="B4050" t="s">
        <v>37</v>
      </c>
      <c r="C4050">
        <v>96</v>
      </c>
      <c r="D4050" t="s">
        <v>21</v>
      </c>
      <c r="E4050" t="s">
        <v>22</v>
      </c>
      <c r="F4050" t="s">
        <v>22</v>
      </c>
      <c r="G4050">
        <v>0</v>
      </c>
      <c r="H4050">
        <v>178</v>
      </c>
      <c r="I4050">
        <v>140</v>
      </c>
      <c r="J4050">
        <v>30.26</v>
      </c>
      <c r="K4050">
        <v>294.60000000000002</v>
      </c>
      <c r="L4050">
        <v>125</v>
      </c>
      <c r="M4050">
        <v>25.04</v>
      </c>
      <c r="N4050">
        <v>242.2</v>
      </c>
      <c r="O4050">
        <v>91</v>
      </c>
      <c r="P4050">
        <v>10.9</v>
      </c>
      <c r="Q4050">
        <v>12</v>
      </c>
      <c r="R4050">
        <v>6</v>
      </c>
      <c r="S4050">
        <v>3.24</v>
      </c>
      <c r="T4050">
        <v>2</v>
      </c>
      <c r="U4050" t="s">
        <v>22</v>
      </c>
      <c r="V4050" t="e">
        <f>IF(#REF! = "yes", 1, 0)</f>
        <v>#REF!</v>
      </c>
      <c r="W4050" t="e">
        <f>IF(#REF! &lt;= 1, "0-1 Calls", IF(#REF! &lt;= 3, "2-3 Calls", IF(#REF! &lt;=5, "4-5 Calls", "6+ Calls")))</f>
        <v>#REF!</v>
      </c>
      <c r="X4050" t="e">
        <f>IF(#REF! &lt;= 50, "0-50", IF(#REF! &lt;=100, "51-100", IF(#REF! &lt;= 150, "101-150", "151+")))</f>
        <v>#REF!</v>
      </c>
      <c r="Y4050" t="e">
        <f>IF(#REF! &lt;= 3, "Low Charges", "High Charges")</f>
        <v>#REF!</v>
      </c>
      <c r="Z4050" t="e">
        <f>IF(#REF!&lt;=80,"Low Calls",
IF(#REF!&lt;=120,"Medium Calls","High Calls"))</f>
        <v>#REF!</v>
      </c>
      <c r="AA4050" t="e">
        <f>IF(#REF!&lt;=15,"Low Charges",
IF(#REF!&lt;=20,"Medium Charges","High Charges"))</f>
        <v>#REF!</v>
      </c>
      <c r="AB4050" t="e">
        <f>IF(AND(#REF!&gt;180, #REF!&gt;200), "Heavy Doemstic User", IF(#REF!&gt;10, "Interntional User", IF(AND(#REF!&lt;180, #REF!&lt;200,#REF!&lt;200), "Light User", "Balanced User")))</f>
        <v>#REF!</v>
      </c>
      <c r="AC4050" t="e">
        <f>IF(#REF! = 0, "No Usage", IF(#REF! &lt;= 20, "Low Usage", IF(#REF! &lt;= 40, "Medium Usgae", "High Usage")))</f>
        <v>#REF!</v>
      </c>
      <c r="AD4050" t="e">
        <f>IF(#REF!&lt;=150,"Low Usage", IF(#REF!&lt;=200,"Medium Usage", IF(#REF!&lt;=250,"High Usage","Very High Usage")))</f>
        <v>#REF!</v>
      </c>
      <c r="AE4050" t="e">
        <f>IF(#REF!&lt;=5,"Low Calls", IF(#REF!&lt;=10, "Medium Calls", "High Calls"))</f>
        <v>#REF!</v>
      </c>
      <c r="AF4050" t="e">
        <f xml:space="preserve">
IF(#REF!&gt;=4,4,0)+
IF(#REF!="yes",3,0)+
IF(#REF!="High Charges",3,0)+
IF(#REF!&gt;250,4,0)+
IF(#REF!="no",1,0)+
IF(#REF!="Heavy Domestic User",2,0)</f>
        <v>#REF!</v>
      </c>
      <c r="AG4050" t="e">
        <f>IF(#REF!&gt;=10,"High Risk", IF(#REF!&gt;=5,"Medium Risk","Low Risk"))</f>
        <v>#REF!</v>
      </c>
      <c r="AH4050" t="e">
        <f>#REF! + #REF! + #REF! + #REF!</f>
        <v>#REF!</v>
      </c>
    </row>
    <row r="4051" spans="1:34" x14ac:dyDescent="0.35">
      <c r="A4051">
        <v>4050</v>
      </c>
      <c r="B4051" t="s">
        <v>37</v>
      </c>
      <c r="C4051">
        <v>101</v>
      </c>
      <c r="D4051" t="s">
        <v>28</v>
      </c>
      <c r="E4051" t="s">
        <v>22</v>
      </c>
      <c r="F4051" t="s">
        <v>22</v>
      </c>
      <c r="G4051">
        <v>0</v>
      </c>
      <c r="H4051">
        <v>195.8</v>
      </c>
      <c r="I4051">
        <v>105</v>
      </c>
      <c r="J4051">
        <v>33.29</v>
      </c>
      <c r="K4051">
        <v>184.5</v>
      </c>
      <c r="L4051">
        <v>109</v>
      </c>
      <c r="M4051">
        <v>15.68</v>
      </c>
      <c r="N4051">
        <v>172</v>
      </c>
      <c r="O4051">
        <v>128</v>
      </c>
      <c r="P4051">
        <v>7.74</v>
      </c>
      <c r="Q4051">
        <v>11.8</v>
      </c>
      <c r="R4051">
        <v>2</v>
      </c>
      <c r="S4051">
        <v>3.19</v>
      </c>
      <c r="T4051">
        <v>2</v>
      </c>
      <c r="U4051" t="s">
        <v>22</v>
      </c>
      <c r="V4051" t="e">
        <f>IF(#REF! = "yes", 1, 0)</f>
        <v>#REF!</v>
      </c>
      <c r="W4051" t="e">
        <f>IF(#REF! &lt;= 1, "0-1 Calls", IF(#REF! &lt;= 3, "2-3 Calls", IF(#REF! &lt;=5, "4-5 Calls", "6+ Calls")))</f>
        <v>#REF!</v>
      </c>
      <c r="X4051" t="e">
        <f>IF(#REF! &lt;= 50, "0-50", IF(#REF! &lt;=100, "51-100", IF(#REF! &lt;= 150, "101-150", "151+")))</f>
        <v>#REF!</v>
      </c>
      <c r="Y4051" t="e">
        <f>IF(#REF! &lt;= 3, "Low Charges", "High Charges")</f>
        <v>#REF!</v>
      </c>
      <c r="Z4051" t="e">
        <f>IF(#REF!&lt;=80,"Low Calls",
IF(#REF!&lt;=120,"Medium Calls","High Calls"))</f>
        <v>#REF!</v>
      </c>
      <c r="AA4051" t="e">
        <f>IF(#REF!&lt;=15,"Low Charges",
IF(#REF!&lt;=20,"Medium Charges","High Charges"))</f>
        <v>#REF!</v>
      </c>
      <c r="AB4051" t="e">
        <f>IF(AND(#REF!&gt;180, #REF!&gt;200), "Heavy Doemstic User", IF(#REF!&gt;10, "Interntional User", IF(AND(#REF!&lt;180, #REF!&lt;200,#REF!&lt;200), "Light User", "Balanced User")))</f>
        <v>#REF!</v>
      </c>
      <c r="AC4051" t="e">
        <f>IF(#REF! = 0, "No Usage", IF(#REF! &lt;= 20, "Low Usage", IF(#REF! &lt;= 40, "Medium Usgae", "High Usage")))</f>
        <v>#REF!</v>
      </c>
      <c r="AD4051" t="e">
        <f>IF(#REF!&lt;=150,"Low Usage", IF(#REF!&lt;=200,"Medium Usage", IF(#REF!&lt;=250,"High Usage","Very High Usage")))</f>
        <v>#REF!</v>
      </c>
      <c r="AE4051" t="e">
        <f>IF(#REF!&lt;=5,"Low Calls", IF(#REF!&lt;=10, "Medium Calls", "High Calls"))</f>
        <v>#REF!</v>
      </c>
      <c r="AF4051" t="e">
        <f xml:space="preserve">
IF(#REF!&gt;=4,4,0)+
IF(#REF!="yes",3,0)+
IF(#REF!="High Charges",3,0)+
IF(#REF!&gt;250,4,0)+
IF(#REF!="no",1,0)+
IF(#REF!="Heavy Domestic User",2,0)</f>
        <v>#REF!</v>
      </c>
      <c r="AG4051" t="e">
        <f>IF(#REF!&gt;=10,"High Risk", IF(#REF!&gt;=5,"Medium Risk","Low Risk"))</f>
        <v>#REF!</v>
      </c>
      <c r="AH4051" t="e">
        <f>#REF! + #REF! + #REF! + #REF!</f>
        <v>#REF!</v>
      </c>
    </row>
    <row r="4052" spans="1:34" x14ac:dyDescent="0.35">
      <c r="A4052">
        <v>4051</v>
      </c>
      <c r="B4052" t="s">
        <v>20</v>
      </c>
      <c r="C4052">
        <v>86</v>
      </c>
      <c r="D4052" t="s">
        <v>25</v>
      </c>
      <c r="E4052" t="s">
        <v>22</v>
      </c>
      <c r="F4052" t="s">
        <v>23</v>
      </c>
      <c r="G4052">
        <v>26</v>
      </c>
      <c r="H4052">
        <v>141.30000000000001</v>
      </c>
      <c r="I4052">
        <v>120</v>
      </c>
      <c r="J4052">
        <v>24.02</v>
      </c>
      <c r="K4052">
        <v>134.6</v>
      </c>
      <c r="L4052">
        <v>98</v>
      </c>
      <c r="M4052">
        <v>11.44</v>
      </c>
      <c r="N4052">
        <v>195.9</v>
      </c>
      <c r="O4052">
        <v>94</v>
      </c>
      <c r="P4052">
        <v>8.82</v>
      </c>
      <c r="Q4052">
        <v>13.3</v>
      </c>
      <c r="R4052">
        <v>5</v>
      </c>
      <c r="S4052">
        <v>3.59</v>
      </c>
      <c r="T4052">
        <v>1</v>
      </c>
      <c r="U4052" t="s">
        <v>22</v>
      </c>
      <c r="V4052" t="e">
        <f>IF(#REF! = "yes", 1, 0)</f>
        <v>#REF!</v>
      </c>
      <c r="W4052" t="e">
        <f>IF(#REF! &lt;= 1, "0-1 Calls", IF(#REF! &lt;= 3, "2-3 Calls", IF(#REF! &lt;=5, "4-5 Calls", "6+ Calls")))</f>
        <v>#REF!</v>
      </c>
      <c r="X4052" t="e">
        <f>IF(#REF! &lt;= 50, "0-50", IF(#REF! &lt;=100, "51-100", IF(#REF! &lt;= 150, "101-150", "151+")))</f>
        <v>#REF!</v>
      </c>
      <c r="Y4052" t="e">
        <f>IF(#REF! &lt;= 3, "Low Charges", "High Charges")</f>
        <v>#REF!</v>
      </c>
      <c r="Z4052" t="e">
        <f>IF(#REF!&lt;=80,"Low Calls",
IF(#REF!&lt;=120,"Medium Calls","High Calls"))</f>
        <v>#REF!</v>
      </c>
      <c r="AA4052" t="e">
        <f>IF(#REF!&lt;=15,"Low Charges",
IF(#REF!&lt;=20,"Medium Charges","High Charges"))</f>
        <v>#REF!</v>
      </c>
      <c r="AB4052" t="e">
        <f>IF(AND(#REF!&gt;180, #REF!&gt;200), "Heavy Doemstic User", IF(#REF!&gt;10, "Interntional User", IF(AND(#REF!&lt;180, #REF!&lt;200,#REF!&lt;200), "Light User", "Balanced User")))</f>
        <v>#REF!</v>
      </c>
      <c r="AC4052" t="e">
        <f>IF(#REF! = 0, "No Usage", IF(#REF! &lt;= 20, "Low Usage", IF(#REF! &lt;= 40, "Medium Usgae", "High Usage")))</f>
        <v>#REF!</v>
      </c>
      <c r="AD4052" t="e">
        <f>IF(#REF!&lt;=150,"Low Usage", IF(#REF!&lt;=200,"Medium Usage", IF(#REF!&lt;=250,"High Usage","Very High Usage")))</f>
        <v>#REF!</v>
      </c>
      <c r="AE4052" t="e">
        <f>IF(#REF!&lt;=5,"Low Calls", IF(#REF!&lt;=10, "Medium Calls", "High Calls"))</f>
        <v>#REF!</v>
      </c>
      <c r="AF4052" t="e">
        <f xml:space="preserve">
IF(#REF!&gt;=4,4,0)+
IF(#REF!="yes",3,0)+
IF(#REF!="High Charges",3,0)+
IF(#REF!&gt;250,4,0)+
IF(#REF!="no",1,0)+
IF(#REF!="Heavy Domestic User",2,0)</f>
        <v>#REF!</v>
      </c>
      <c r="AG4052" t="e">
        <f>IF(#REF!&gt;=10,"High Risk", IF(#REF!&gt;=5,"Medium Risk","Low Risk"))</f>
        <v>#REF!</v>
      </c>
      <c r="AH4052" t="e">
        <f>#REF! + #REF! + #REF! + #REF!</f>
        <v>#REF!</v>
      </c>
    </row>
    <row r="4053" spans="1:34" x14ac:dyDescent="0.35">
      <c r="A4053">
        <v>4052</v>
      </c>
      <c r="B4053" t="s">
        <v>68</v>
      </c>
      <c r="C4053">
        <v>42</v>
      </c>
      <c r="D4053" t="s">
        <v>21</v>
      </c>
      <c r="E4053" t="s">
        <v>22</v>
      </c>
      <c r="F4053" t="s">
        <v>23</v>
      </c>
      <c r="G4053">
        <v>21</v>
      </c>
      <c r="H4053">
        <v>125.5</v>
      </c>
      <c r="I4053">
        <v>67</v>
      </c>
      <c r="J4053">
        <v>21.34</v>
      </c>
      <c r="K4053">
        <v>166.7</v>
      </c>
      <c r="L4053">
        <v>90</v>
      </c>
      <c r="M4053">
        <v>14.17</v>
      </c>
      <c r="N4053">
        <v>227.1</v>
      </c>
      <c r="O4053">
        <v>97</v>
      </c>
      <c r="P4053">
        <v>10.220000000000001</v>
      </c>
      <c r="Q4053">
        <v>11</v>
      </c>
      <c r="R4053">
        <v>1</v>
      </c>
      <c r="S4053">
        <v>2.97</v>
      </c>
      <c r="T4053">
        <v>2</v>
      </c>
      <c r="U4053" t="s">
        <v>22</v>
      </c>
      <c r="V4053" t="e">
        <f>IF(#REF! = "yes", 1, 0)</f>
        <v>#REF!</v>
      </c>
      <c r="W4053" t="e">
        <f>IF(#REF! &lt;= 1, "0-1 Calls", IF(#REF! &lt;= 3, "2-3 Calls", IF(#REF! &lt;=5, "4-5 Calls", "6+ Calls")))</f>
        <v>#REF!</v>
      </c>
      <c r="X4053" t="e">
        <f>IF(#REF! &lt;= 50, "0-50", IF(#REF! &lt;=100, "51-100", IF(#REF! &lt;= 150, "101-150", "151+")))</f>
        <v>#REF!</v>
      </c>
      <c r="Y4053" t="e">
        <f>IF(#REF! &lt;= 3, "Low Charges", "High Charges")</f>
        <v>#REF!</v>
      </c>
      <c r="Z4053" t="e">
        <f>IF(#REF!&lt;=80,"Low Calls",
IF(#REF!&lt;=120,"Medium Calls","High Calls"))</f>
        <v>#REF!</v>
      </c>
      <c r="AA4053" t="e">
        <f>IF(#REF!&lt;=15,"Low Charges",
IF(#REF!&lt;=20,"Medium Charges","High Charges"))</f>
        <v>#REF!</v>
      </c>
      <c r="AB4053" t="e">
        <f>IF(AND(#REF!&gt;180, #REF!&gt;200), "Heavy Doemstic User", IF(#REF!&gt;10, "Interntional User", IF(AND(#REF!&lt;180, #REF!&lt;200,#REF!&lt;200), "Light User", "Balanced User")))</f>
        <v>#REF!</v>
      </c>
      <c r="AC4053" t="e">
        <f>IF(#REF! = 0, "No Usage", IF(#REF! &lt;= 20, "Low Usage", IF(#REF! &lt;= 40, "Medium Usgae", "High Usage")))</f>
        <v>#REF!</v>
      </c>
      <c r="AD4053" t="e">
        <f>IF(#REF!&lt;=150,"Low Usage", IF(#REF!&lt;=200,"Medium Usage", IF(#REF!&lt;=250,"High Usage","Very High Usage")))</f>
        <v>#REF!</v>
      </c>
      <c r="AE4053" t="e">
        <f>IF(#REF!&lt;=5,"Low Calls", IF(#REF!&lt;=10, "Medium Calls", "High Calls"))</f>
        <v>#REF!</v>
      </c>
      <c r="AF4053" t="e">
        <f xml:space="preserve">
IF(#REF!&gt;=4,4,0)+
IF(#REF!="yes",3,0)+
IF(#REF!="High Charges",3,0)+
IF(#REF!&gt;250,4,0)+
IF(#REF!="no",1,0)+
IF(#REF!="Heavy Domestic User",2,0)</f>
        <v>#REF!</v>
      </c>
      <c r="AG4053" t="e">
        <f>IF(#REF!&gt;=10,"High Risk", IF(#REF!&gt;=5,"Medium Risk","Low Risk"))</f>
        <v>#REF!</v>
      </c>
      <c r="AH4053" t="e">
        <f>#REF! + #REF! + #REF! + #REF!</f>
        <v>#REF!</v>
      </c>
    </row>
    <row r="4054" spans="1:34" x14ac:dyDescent="0.35">
      <c r="A4054">
        <v>4053</v>
      </c>
      <c r="B4054" t="s">
        <v>66</v>
      </c>
      <c r="C4054">
        <v>48</v>
      </c>
      <c r="D4054" t="s">
        <v>28</v>
      </c>
      <c r="E4054" t="s">
        <v>22</v>
      </c>
      <c r="F4054" t="s">
        <v>22</v>
      </c>
      <c r="G4054">
        <v>0</v>
      </c>
      <c r="H4054">
        <v>200.5</v>
      </c>
      <c r="I4054">
        <v>117</v>
      </c>
      <c r="J4054">
        <v>34.090000000000003</v>
      </c>
      <c r="K4054">
        <v>225.3</v>
      </c>
      <c r="L4054">
        <v>123</v>
      </c>
      <c r="M4054">
        <v>19.149999999999999</v>
      </c>
      <c r="N4054">
        <v>134</v>
      </c>
      <c r="O4054">
        <v>89</v>
      </c>
      <c r="P4054">
        <v>6.03</v>
      </c>
      <c r="Q4054">
        <v>6.7</v>
      </c>
      <c r="R4054">
        <v>5</v>
      </c>
      <c r="S4054">
        <v>1.81</v>
      </c>
      <c r="T4054">
        <v>4</v>
      </c>
      <c r="U4054" t="s">
        <v>22</v>
      </c>
      <c r="V4054" t="e">
        <f>IF(#REF! = "yes", 1, 0)</f>
        <v>#REF!</v>
      </c>
      <c r="W4054" t="e">
        <f>IF(#REF! &lt;= 1, "0-1 Calls", IF(#REF! &lt;= 3, "2-3 Calls", IF(#REF! &lt;=5, "4-5 Calls", "6+ Calls")))</f>
        <v>#REF!</v>
      </c>
      <c r="X4054" t="e">
        <f>IF(#REF! &lt;= 50, "0-50", IF(#REF! &lt;=100, "51-100", IF(#REF! &lt;= 150, "101-150", "151+")))</f>
        <v>#REF!</v>
      </c>
      <c r="Y4054" t="e">
        <f>IF(#REF! &lt;= 3, "Low Charges", "High Charges")</f>
        <v>#REF!</v>
      </c>
      <c r="Z4054" t="e">
        <f>IF(#REF!&lt;=80,"Low Calls",
IF(#REF!&lt;=120,"Medium Calls","High Calls"))</f>
        <v>#REF!</v>
      </c>
      <c r="AA4054" t="e">
        <f>IF(#REF!&lt;=15,"Low Charges",
IF(#REF!&lt;=20,"Medium Charges","High Charges"))</f>
        <v>#REF!</v>
      </c>
      <c r="AB4054" t="e">
        <f>IF(AND(#REF!&gt;180, #REF!&gt;200), "Heavy Doemstic User", IF(#REF!&gt;10, "Interntional User", IF(AND(#REF!&lt;180, #REF!&lt;200,#REF!&lt;200), "Light User", "Balanced User")))</f>
        <v>#REF!</v>
      </c>
      <c r="AC4054" t="e">
        <f>IF(#REF! = 0, "No Usage", IF(#REF! &lt;= 20, "Low Usage", IF(#REF! &lt;= 40, "Medium Usgae", "High Usage")))</f>
        <v>#REF!</v>
      </c>
      <c r="AD4054" t="e">
        <f>IF(#REF!&lt;=150,"Low Usage", IF(#REF!&lt;=200,"Medium Usage", IF(#REF!&lt;=250,"High Usage","Very High Usage")))</f>
        <v>#REF!</v>
      </c>
      <c r="AE4054" t="e">
        <f>IF(#REF!&lt;=5,"Low Calls", IF(#REF!&lt;=10, "Medium Calls", "High Calls"))</f>
        <v>#REF!</v>
      </c>
      <c r="AF4054" t="e">
        <f xml:space="preserve">
IF(#REF!&gt;=4,4,0)+
IF(#REF!="yes",3,0)+
IF(#REF!="High Charges",3,0)+
IF(#REF!&gt;250,4,0)+
IF(#REF!="no",1,0)+
IF(#REF!="Heavy Domestic User",2,0)</f>
        <v>#REF!</v>
      </c>
      <c r="AG4054" t="e">
        <f>IF(#REF!&gt;=10,"High Risk", IF(#REF!&gt;=5,"Medium Risk","Low Risk"))</f>
        <v>#REF!</v>
      </c>
      <c r="AH4054" t="e">
        <f>#REF! + #REF! + #REF! + #REF!</f>
        <v>#REF!</v>
      </c>
    </row>
    <row r="4055" spans="1:34" x14ac:dyDescent="0.35">
      <c r="A4055">
        <v>4054</v>
      </c>
      <c r="B4055" t="s">
        <v>72</v>
      </c>
      <c r="C4055">
        <v>134</v>
      </c>
      <c r="D4055" t="s">
        <v>25</v>
      </c>
      <c r="E4055" t="s">
        <v>22</v>
      </c>
      <c r="F4055" t="s">
        <v>22</v>
      </c>
      <c r="G4055">
        <v>0</v>
      </c>
      <c r="H4055">
        <v>205.5</v>
      </c>
      <c r="I4055">
        <v>87</v>
      </c>
      <c r="J4055">
        <v>34.94</v>
      </c>
      <c r="K4055">
        <v>208.9</v>
      </c>
      <c r="L4055">
        <v>67</v>
      </c>
      <c r="M4055">
        <v>17.760000000000002</v>
      </c>
      <c r="N4055">
        <v>182.3</v>
      </c>
      <c r="O4055">
        <v>69</v>
      </c>
      <c r="P4055">
        <v>8.1999999999999993</v>
      </c>
      <c r="Q4055">
        <v>5.2</v>
      </c>
      <c r="R4055">
        <v>3</v>
      </c>
      <c r="S4055">
        <v>1.4</v>
      </c>
      <c r="T4055">
        <v>2</v>
      </c>
      <c r="U4055" t="s">
        <v>22</v>
      </c>
      <c r="V4055" t="e">
        <f>IF(#REF! = "yes", 1, 0)</f>
        <v>#REF!</v>
      </c>
      <c r="W4055" t="e">
        <f>IF(#REF! &lt;= 1, "0-1 Calls", IF(#REF! &lt;= 3, "2-3 Calls", IF(#REF! &lt;=5, "4-5 Calls", "6+ Calls")))</f>
        <v>#REF!</v>
      </c>
      <c r="X4055" t="e">
        <f>IF(#REF! &lt;= 50, "0-50", IF(#REF! &lt;=100, "51-100", IF(#REF! &lt;= 150, "101-150", "151+")))</f>
        <v>#REF!</v>
      </c>
      <c r="Y4055" t="e">
        <f>IF(#REF! &lt;= 3, "Low Charges", "High Charges")</f>
        <v>#REF!</v>
      </c>
      <c r="Z4055" t="e">
        <f>IF(#REF!&lt;=80,"Low Calls",
IF(#REF!&lt;=120,"Medium Calls","High Calls"))</f>
        <v>#REF!</v>
      </c>
      <c r="AA4055" t="e">
        <f>IF(#REF!&lt;=15,"Low Charges",
IF(#REF!&lt;=20,"Medium Charges","High Charges"))</f>
        <v>#REF!</v>
      </c>
      <c r="AB4055" t="e">
        <f>IF(AND(#REF!&gt;180, #REF!&gt;200), "Heavy Doemstic User", IF(#REF!&gt;10, "Interntional User", IF(AND(#REF!&lt;180, #REF!&lt;200,#REF!&lt;200), "Light User", "Balanced User")))</f>
        <v>#REF!</v>
      </c>
      <c r="AC4055" t="e">
        <f>IF(#REF! = 0, "No Usage", IF(#REF! &lt;= 20, "Low Usage", IF(#REF! &lt;= 40, "Medium Usgae", "High Usage")))</f>
        <v>#REF!</v>
      </c>
      <c r="AD4055" t="e">
        <f>IF(#REF!&lt;=150,"Low Usage", IF(#REF!&lt;=200,"Medium Usage", IF(#REF!&lt;=250,"High Usage","Very High Usage")))</f>
        <v>#REF!</v>
      </c>
      <c r="AE4055" t="e">
        <f>IF(#REF!&lt;=5,"Low Calls", IF(#REF!&lt;=10, "Medium Calls", "High Calls"))</f>
        <v>#REF!</v>
      </c>
      <c r="AF4055" t="e">
        <f xml:space="preserve">
IF(#REF!&gt;=4,4,0)+
IF(#REF!="yes",3,0)+
IF(#REF!="High Charges",3,0)+
IF(#REF!&gt;250,4,0)+
IF(#REF!="no",1,0)+
IF(#REF!="Heavy Domestic User",2,0)</f>
        <v>#REF!</v>
      </c>
      <c r="AG4055" t="e">
        <f>IF(#REF!&gt;=10,"High Risk", IF(#REF!&gt;=5,"Medium Risk","Low Risk"))</f>
        <v>#REF!</v>
      </c>
      <c r="AH4055" t="e">
        <f>#REF! + #REF! + #REF! + #REF!</f>
        <v>#REF!</v>
      </c>
    </row>
    <row r="4056" spans="1:34" x14ac:dyDescent="0.35">
      <c r="A4056">
        <v>4055</v>
      </c>
      <c r="B4056" t="s">
        <v>56</v>
      </c>
      <c r="C4056">
        <v>149</v>
      </c>
      <c r="D4056" t="s">
        <v>21</v>
      </c>
      <c r="E4056" t="s">
        <v>22</v>
      </c>
      <c r="F4056" t="s">
        <v>22</v>
      </c>
      <c r="G4056">
        <v>0</v>
      </c>
      <c r="H4056">
        <v>152.1</v>
      </c>
      <c r="I4056">
        <v>116</v>
      </c>
      <c r="J4056">
        <v>25.86</v>
      </c>
      <c r="K4056">
        <v>164.3</v>
      </c>
      <c r="L4056">
        <v>83</v>
      </c>
      <c r="M4056">
        <v>13.97</v>
      </c>
      <c r="N4056">
        <v>142.80000000000001</v>
      </c>
      <c r="O4056">
        <v>98</v>
      </c>
      <c r="P4056">
        <v>6.43</v>
      </c>
      <c r="Q4056">
        <v>7.6</v>
      </c>
      <c r="R4056">
        <v>3</v>
      </c>
      <c r="S4056">
        <v>2.0499999999999998</v>
      </c>
      <c r="T4056">
        <v>0</v>
      </c>
      <c r="U4056" t="s">
        <v>22</v>
      </c>
      <c r="V4056" t="e">
        <f>IF(#REF! = "yes", 1, 0)</f>
        <v>#REF!</v>
      </c>
      <c r="W4056" t="e">
        <f>IF(#REF! &lt;= 1, "0-1 Calls", IF(#REF! &lt;= 3, "2-3 Calls", IF(#REF! &lt;=5, "4-5 Calls", "6+ Calls")))</f>
        <v>#REF!</v>
      </c>
      <c r="X4056" t="e">
        <f>IF(#REF! &lt;= 50, "0-50", IF(#REF! &lt;=100, "51-100", IF(#REF! &lt;= 150, "101-150", "151+")))</f>
        <v>#REF!</v>
      </c>
      <c r="Y4056" t="e">
        <f>IF(#REF! &lt;= 3, "Low Charges", "High Charges")</f>
        <v>#REF!</v>
      </c>
      <c r="Z4056" t="e">
        <f>IF(#REF!&lt;=80,"Low Calls",
IF(#REF!&lt;=120,"Medium Calls","High Calls"))</f>
        <v>#REF!</v>
      </c>
      <c r="AA4056" t="e">
        <f>IF(#REF!&lt;=15,"Low Charges",
IF(#REF!&lt;=20,"Medium Charges","High Charges"))</f>
        <v>#REF!</v>
      </c>
      <c r="AB4056" t="e">
        <f>IF(AND(#REF!&gt;180, #REF!&gt;200), "Heavy Doemstic User", IF(#REF!&gt;10, "Interntional User", IF(AND(#REF!&lt;180, #REF!&lt;200,#REF!&lt;200), "Light User", "Balanced User")))</f>
        <v>#REF!</v>
      </c>
      <c r="AC4056" t="e">
        <f>IF(#REF! = 0, "No Usage", IF(#REF! &lt;= 20, "Low Usage", IF(#REF! &lt;= 40, "Medium Usgae", "High Usage")))</f>
        <v>#REF!</v>
      </c>
      <c r="AD4056" t="e">
        <f>IF(#REF!&lt;=150,"Low Usage", IF(#REF!&lt;=200,"Medium Usage", IF(#REF!&lt;=250,"High Usage","Very High Usage")))</f>
        <v>#REF!</v>
      </c>
      <c r="AE4056" t="e">
        <f>IF(#REF!&lt;=5,"Low Calls", IF(#REF!&lt;=10, "Medium Calls", "High Calls"))</f>
        <v>#REF!</v>
      </c>
      <c r="AF4056" t="e">
        <f xml:space="preserve">
IF(#REF!&gt;=4,4,0)+
IF(#REF!="yes",3,0)+
IF(#REF!="High Charges",3,0)+
IF(#REF!&gt;250,4,0)+
IF(#REF!="no",1,0)+
IF(#REF!="Heavy Domestic User",2,0)</f>
        <v>#REF!</v>
      </c>
      <c r="AG4056" t="e">
        <f>IF(#REF!&gt;=10,"High Risk", IF(#REF!&gt;=5,"Medium Risk","Low Risk"))</f>
        <v>#REF!</v>
      </c>
      <c r="AH4056" t="e">
        <f>#REF! + #REF! + #REF! + #REF!</f>
        <v>#REF!</v>
      </c>
    </row>
    <row r="4057" spans="1:34" x14ac:dyDescent="0.35">
      <c r="A4057">
        <v>4056</v>
      </c>
      <c r="B4057" t="s">
        <v>68</v>
      </c>
      <c r="C4057">
        <v>120</v>
      </c>
      <c r="D4057" t="s">
        <v>21</v>
      </c>
      <c r="E4057" t="s">
        <v>22</v>
      </c>
      <c r="F4057" t="s">
        <v>22</v>
      </c>
      <c r="G4057">
        <v>0</v>
      </c>
      <c r="H4057">
        <v>216.5</v>
      </c>
      <c r="I4057">
        <v>113</v>
      </c>
      <c r="J4057">
        <v>36.81</v>
      </c>
      <c r="K4057">
        <v>251.8</v>
      </c>
      <c r="L4057">
        <v>91</v>
      </c>
      <c r="M4057">
        <v>21.4</v>
      </c>
      <c r="N4057">
        <v>164.5</v>
      </c>
      <c r="O4057">
        <v>125</v>
      </c>
      <c r="P4057">
        <v>7.4</v>
      </c>
      <c r="Q4057">
        <v>7.3</v>
      </c>
      <c r="R4057">
        <v>1</v>
      </c>
      <c r="S4057">
        <v>1.97</v>
      </c>
      <c r="T4057">
        <v>3</v>
      </c>
      <c r="U4057" t="s">
        <v>22</v>
      </c>
      <c r="V4057" t="e">
        <f>IF(#REF! = "yes", 1, 0)</f>
        <v>#REF!</v>
      </c>
      <c r="W4057" t="e">
        <f>IF(#REF! &lt;= 1, "0-1 Calls", IF(#REF! &lt;= 3, "2-3 Calls", IF(#REF! &lt;=5, "4-5 Calls", "6+ Calls")))</f>
        <v>#REF!</v>
      </c>
      <c r="X4057" t="e">
        <f>IF(#REF! &lt;= 50, "0-50", IF(#REF! &lt;=100, "51-100", IF(#REF! &lt;= 150, "101-150", "151+")))</f>
        <v>#REF!</v>
      </c>
      <c r="Y4057" t="e">
        <f>IF(#REF! &lt;= 3, "Low Charges", "High Charges")</f>
        <v>#REF!</v>
      </c>
      <c r="Z4057" t="e">
        <f>IF(#REF!&lt;=80,"Low Calls",
IF(#REF!&lt;=120,"Medium Calls","High Calls"))</f>
        <v>#REF!</v>
      </c>
      <c r="AA4057" t="e">
        <f>IF(#REF!&lt;=15,"Low Charges",
IF(#REF!&lt;=20,"Medium Charges","High Charges"))</f>
        <v>#REF!</v>
      </c>
      <c r="AB4057" t="e">
        <f>IF(AND(#REF!&gt;180, #REF!&gt;200), "Heavy Doemstic User", IF(#REF!&gt;10, "Interntional User", IF(AND(#REF!&lt;180, #REF!&lt;200,#REF!&lt;200), "Light User", "Balanced User")))</f>
        <v>#REF!</v>
      </c>
      <c r="AC4057" t="e">
        <f>IF(#REF! = 0, "No Usage", IF(#REF! &lt;= 20, "Low Usage", IF(#REF! &lt;= 40, "Medium Usgae", "High Usage")))</f>
        <v>#REF!</v>
      </c>
      <c r="AD4057" t="e">
        <f>IF(#REF!&lt;=150,"Low Usage", IF(#REF!&lt;=200,"Medium Usage", IF(#REF!&lt;=250,"High Usage","Very High Usage")))</f>
        <v>#REF!</v>
      </c>
      <c r="AE4057" t="e">
        <f>IF(#REF!&lt;=5,"Low Calls", IF(#REF!&lt;=10, "Medium Calls", "High Calls"))</f>
        <v>#REF!</v>
      </c>
      <c r="AF4057" t="e">
        <f xml:space="preserve">
IF(#REF!&gt;=4,4,0)+
IF(#REF!="yes",3,0)+
IF(#REF!="High Charges",3,0)+
IF(#REF!&gt;250,4,0)+
IF(#REF!="no",1,0)+
IF(#REF!="Heavy Domestic User",2,0)</f>
        <v>#REF!</v>
      </c>
      <c r="AG4057" t="e">
        <f>IF(#REF!&gt;=10,"High Risk", IF(#REF!&gt;=5,"Medium Risk","Low Risk"))</f>
        <v>#REF!</v>
      </c>
      <c r="AH4057" t="e">
        <f>#REF! + #REF! + #REF! + #REF!</f>
        <v>#REF!</v>
      </c>
    </row>
    <row r="4058" spans="1:34" x14ac:dyDescent="0.35">
      <c r="A4058">
        <v>4057</v>
      </c>
      <c r="B4058" t="s">
        <v>53</v>
      </c>
      <c r="C4058">
        <v>62</v>
      </c>
      <c r="D4058" t="s">
        <v>25</v>
      </c>
      <c r="E4058" t="s">
        <v>22</v>
      </c>
      <c r="F4058" t="s">
        <v>22</v>
      </c>
      <c r="G4058">
        <v>0</v>
      </c>
      <c r="H4058">
        <v>119.3</v>
      </c>
      <c r="I4058">
        <v>94</v>
      </c>
      <c r="J4058">
        <v>20.28</v>
      </c>
      <c r="K4058">
        <v>224</v>
      </c>
      <c r="L4058">
        <v>81</v>
      </c>
      <c r="M4058">
        <v>19.04</v>
      </c>
      <c r="N4058">
        <v>156.69999999999999</v>
      </c>
      <c r="O4058">
        <v>78</v>
      </c>
      <c r="P4058">
        <v>7.05</v>
      </c>
      <c r="Q4058">
        <v>12.1</v>
      </c>
      <c r="R4058">
        <v>6</v>
      </c>
      <c r="S4058">
        <v>3.27</v>
      </c>
      <c r="T4058">
        <v>5</v>
      </c>
      <c r="U4058" t="s">
        <v>23</v>
      </c>
      <c r="V4058" t="e">
        <f>IF(#REF! = "yes", 1, 0)</f>
        <v>#REF!</v>
      </c>
      <c r="W4058" t="e">
        <f>IF(#REF! &lt;= 1, "0-1 Calls", IF(#REF! &lt;= 3, "2-3 Calls", IF(#REF! &lt;=5, "4-5 Calls", "6+ Calls")))</f>
        <v>#REF!</v>
      </c>
      <c r="X4058" t="e">
        <f>IF(#REF! &lt;= 50, "0-50", IF(#REF! &lt;=100, "51-100", IF(#REF! &lt;= 150, "101-150", "151+")))</f>
        <v>#REF!</v>
      </c>
      <c r="Y4058" t="e">
        <f>IF(#REF! &lt;= 3, "Low Charges", "High Charges")</f>
        <v>#REF!</v>
      </c>
      <c r="Z4058" t="e">
        <f>IF(#REF!&lt;=80,"Low Calls",
IF(#REF!&lt;=120,"Medium Calls","High Calls"))</f>
        <v>#REF!</v>
      </c>
      <c r="AA4058" t="e">
        <f>IF(#REF!&lt;=15,"Low Charges",
IF(#REF!&lt;=20,"Medium Charges","High Charges"))</f>
        <v>#REF!</v>
      </c>
      <c r="AB4058" t="e">
        <f>IF(AND(#REF!&gt;180, #REF!&gt;200), "Heavy Doemstic User", IF(#REF!&gt;10, "Interntional User", IF(AND(#REF!&lt;180, #REF!&lt;200,#REF!&lt;200), "Light User", "Balanced User")))</f>
        <v>#REF!</v>
      </c>
      <c r="AC4058" t="e">
        <f>IF(#REF! = 0, "No Usage", IF(#REF! &lt;= 20, "Low Usage", IF(#REF! &lt;= 40, "Medium Usgae", "High Usage")))</f>
        <v>#REF!</v>
      </c>
      <c r="AD4058" t="e">
        <f>IF(#REF!&lt;=150,"Low Usage", IF(#REF!&lt;=200,"Medium Usage", IF(#REF!&lt;=250,"High Usage","Very High Usage")))</f>
        <v>#REF!</v>
      </c>
      <c r="AE4058" t="e">
        <f>IF(#REF!&lt;=5,"Low Calls", IF(#REF!&lt;=10, "Medium Calls", "High Calls"))</f>
        <v>#REF!</v>
      </c>
      <c r="AF4058" t="e">
        <f xml:space="preserve">
IF(#REF!&gt;=4,4,0)+
IF(#REF!="yes",3,0)+
IF(#REF!="High Charges",3,0)+
IF(#REF!&gt;250,4,0)+
IF(#REF!="no",1,0)+
IF(#REF!="Heavy Domestic User",2,0)</f>
        <v>#REF!</v>
      </c>
      <c r="AG4058" t="e">
        <f>IF(#REF!&gt;=10,"High Risk", IF(#REF!&gt;=5,"Medium Risk","Low Risk"))</f>
        <v>#REF!</v>
      </c>
      <c r="AH4058" t="e">
        <f>#REF! + #REF! + #REF! + #REF!</f>
        <v>#REF!</v>
      </c>
    </row>
    <row r="4059" spans="1:34" x14ac:dyDescent="0.35">
      <c r="A4059">
        <v>4058</v>
      </c>
      <c r="B4059" t="s">
        <v>35</v>
      </c>
      <c r="C4059">
        <v>84</v>
      </c>
      <c r="D4059" t="s">
        <v>21</v>
      </c>
      <c r="E4059" t="s">
        <v>22</v>
      </c>
      <c r="F4059" t="s">
        <v>23</v>
      </c>
      <c r="G4059">
        <v>25</v>
      </c>
      <c r="H4059">
        <v>113.9</v>
      </c>
      <c r="I4059">
        <v>90</v>
      </c>
      <c r="J4059">
        <v>19.36</v>
      </c>
      <c r="K4059">
        <v>257</v>
      </c>
      <c r="L4059">
        <v>99</v>
      </c>
      <c r="M4059">
        <v>21.85</v>
      </c>
      <c r="N4059">
        <v>214.5</v>
      </c>
      <c r="O4059">
        <v>98</v>
      </c>
      <c r="P4059">
        <v>9.65</v>
      </c>
      <c r="Q4059">
        <v>12.9</v>
      </c>
      <c r="R4059">
        <v>8</v>
      </c>
      <c r="S4059">
        <v>3.48</v>
      </c>
      <c r="T4059">
        <v>4</v>
      </c>
      <c r="U4059" t="s">
        <v>23</v>
      </c>
      <c r="V4059" t="e">
        <f>IF(#REF! = "yes", 1, 0)</f>
        <v>#REF!</v>
      </c>
      <c r="W4059" t="e">
        <f>IF(#REF! &lt;= 1, "0-1 Calls", IF(#REF! &lt;= 3, "2-3 Calls", IF(#REF! &lt;=5, "4-5 Calls", "6+ Calls")))</f>
        <v>#REF!</v>
      </c>
      <c r="X4059" t="e">
        <f>IF(#REF! &lt;= 50, "0-50", IF(#REF! &lt;=100, "51-100", IF(#REF! &lt;= 150, "101-150", "151+")))</f>
        <v>#REF!</v>
      </c>
      <c r="Y4059" t="e">
        <f>IF(#REF! &lt;= 3, "Low Charges", "High Charges")</f>
        <v>#REF!</v>
      </c>
      <c r="Z4059" t="e">
        <f>IF(#REF!&lt;=80,"Low Calls",
IF(#REF!&lt;=120,"Medium Calls","High Calls"))</f>
        <v>#REF!</v>
      </c>
      <c r="AA4059" t="e">
        <f>IF(#REF!&lt;=15,"Low Charges",
IF(#REF!&lt;=20,"Medium Charges","High Charges"))</f>
        <v>#REF!</v>
      </c>
      <c r="AB4059" t="e">
        <f>IF(AND(#REF!&gt;180, #REF!&gt;200), "Heavy Doemstic User", IF(#REF!&gt;10, "Interntional User", IF(AND(#REF!&lt;180, #REF!&lt;200,#REF!&lt;200), "Light User", "Balanced User")))</f>
        <v>#REF!</v>
      </c>
      <c r="AC4059" t="e">
        <f>IF(#REF! = 0, "No Usage", IF(#REF! &lt;= 20, "Low Usage", IF(#REF! &lt;= 40, "Medium Usgae", "High Usage")))</f>
        <v>#REF!</v>
      </c>
      <c r="AD4059" t="e">
        <f>IF(#REF!&lt;=150,"Low Usage", IF(#REF!&lt;=200,"Medium Usage", IF(#REF!&lt;=250,"High Usage","Very High Usage")))</f>
        <v>#REF!</v>
      </c>
      <c r="AE4059" t="e">
        <f>IF(#REF!&lt;=5,"Low Calls", IF(#REF!&lt;=10, "Medium Calls", "High Calls"))</f>
        <v>#REF!</v>
      </c>
      <c r="AF4059" t="e">
        <f xml:space="preserve">
IF(#REF!&gt;=4,4,0)+
IF(#REF!="yes",3,0)+
IF(#REF!="High Charges",3,0)+
IF(#REF!&gt;250,4,0)+
IF(#REF!="no",1,0)+
IF(#REF!="Heavy Domestic User",2,0)</f>
        <v>#REF!</v>
      </c>
      <c r="AG4059" t="e">
        <f>IF(#REF!&gt;=10,"High Risk", IF(#REF!&gt;=5,"Medium Risk","Low Risk"))</f>
        <v>#REF!</v>
      </c>
      <c r="AH4059" t="e">
        <f>#REF! + #REF! + #REF! + #REF!</f>
        <v>#REF!</v>
      </c>
    </row>
    <row r="4060" spans="1:34" x14ac:dyDescent="0.35">
      <c r="A4060">
        <v>4059</v>
      </c>
      <c r="B4060" t="s">
        <v>24</v>
      </c>
      <c r="C4060">
        <v>16</v>
      </c>
      <c r="D4060" t="s">
        <v>28</v>
      </c>
      <c r="E4060" t="s">
        <v>22</v>
      </c>
      <c r="F4060" t="s">
        <v>22</v>
      </c>
      <c r="G4060">
        <v>0</v>
      </c>
      <c r="H4060">
        <v>228.6</v>
      </c>
      <c r="I4060">
        <v>130</v>
      </c>
      <c r="J4060">
        <v>38.86</v>
      </c>
      <c r="K4060">
        <v>208.4</v>
      </c>
      <c r="L4060">
        <v>103</v>
      </c>
      <c r="M4060">
        <v>17.71</v>
      </c>
      <c r="N4060">
        <v>195.3</v>
      </c>
      <c r="O4060">
        <v>118</v>
      </c>
      <c r="P4060">
        <v>8.7899999999999991</v>
      </c>
      <c r="Q4060">
        <v>11.9</v>
      </c>
      <c r="R4060">
        <v>7</v>
      </c>
      <c r="S4060">
        <v>3.21</v>
      </c>
      <c r="T4060">
        <v>0</v>
      </c>
      <c r="U4060" t="s">
        <v>22</v>
      </c>
      <c r="V4060" t="e">
        <f>IF(#REF! = "yes", 1, 0)</f>
        <v>#REF!</v>
      </c>
      <c r="W4060" t="e">
        <f>IF(#REF! &lt;= 1, "0-1 Calls", IF(#REF! &lt;= 3, "2-3 Calls", IF(#REF! &lt;=5, "4-5 Calls", "6+ Calls")))</f>
        <v>#REF!</v>
      </c>
      <c r="X4060" t="e">
        <f>IF(#REF! &lt;= 50, "0-50", IF(#REF! &lt;=100, "51-100", IF(#REF! &lt;= 150, "101-150", "151+")))</f>
        <v>#REF!</v>
      </c>
      <c r="Y4060" t="e">
        <f>IF(#REF! &lt;= 3, "Low Charges", "High Charges")</f>
        <v>#REF!</v>
      </c>
      <c r="Z4060" t="e">
        <f>IF(#REF!&lt;=80,"Low Calls",
IF(#REF!&lt;=120,"Medium Calls","High Calls"))</f>
        <v>#REF!</v>
      </c>
      <c r="AA4060" t="e">
        <f>IF(#REF!&lt;=15,"Low Charges",
IF(#REF!&lt;=20,"Medium Charges","High Charges"))</f>
        <v>#REF!</v>
      </c>
      <c r="AB4060" t="e">
        <f>IF(AND(#REF!&gt;180, #REF!&gt;200), "Heavy Doemstic User", IF(#REF!&gt;10, "Interntional User", IF(AND(#REF!&lt;180, #REF!&lt;200,#REF!&lt;200), "Light User", "Balanced User")))</f>
        <v>#REF!</v>
      </c>
      <c r="AC4060" t="e">
        <f>IF(#REF! = 0, "No Usage", IF(#REF! &lt;= 20, "Low Usage", IF(#REF! &lt;= 40, "Medium Usgae", "High Usage")))</f>
        <v>#REF!</v>
      </c>
      <c r="AD4060" t="e">
        <f>IF(#REF!&lt;=150,"Low Usage", IF(#REF!&lt;=200,"Medium Usage", IF(#REF!&lt;=250,"High Usage","Very High Usage")))</f>
        <v>#REF!</v>
      </c>
      <c r="AE4060" t="e">
        <f>IF(#REF!&lt;=5,"Low Calls", IF(#REF!&lt;=10, "Medium Calls", "High Calls"))</f>
        <v>#REF!</v>
      </c>
      <c r="AF4060" t="e">
        <f xml:space="preserve">
IF(#REF!&gt;=4,4,0)+
IF(#REF!="yes",3,0)+
IF(#REF!="High Charges",3,0)+
IF(#REF!&gt;250,4,0)+
IF(#REF!="no",1,0)+
IF(#REF!="Heavy Domestic User",2,0)</f>
        <v>#REF!</v>
      </c>
      <c r="AG4060" t="e">
        <f>IF(#REF!&gt;=10,"High Risk", IF(#REF!&gt;=5,"Medium Risk","Low Risk"))</f>
        <v>#REF!</v>
      </c>
      <c r="AH4060" t="e">
        <f>#REF! + #REF! + #REF! + #REF!</f>
        <v>#REF!</v>
      </c>
    </row>
    <row r="4061" spans="1:34" x14ac:dyDescent="0.35">
      <c r="A4061">
        <v>4060</v>
      </c>
      <c r="B4061" t="s">
        <v>32</v>
      </c>
      <c r="C4061">
        <v>80</v>
      </c>
      <c r="D4061" t="s">
        <v>21</v>
      </c>
      <c r="E4061" t="s">
        <v>22</v>
      </c>
      <c r="F4061" t="s">
        <v>22</v>
      </c>
      <c r="G4061">
        <v>0</v>
      </c>
      <c r="H4061">
        <v>106.5</v>
      </c>
      <c r="I4061">
        <v>116</v>
      </c>
      <c r="J4061">
        <v>18.11</v>
      </c>
      <c r="K4061">
        <v>104.8</v>
      </c>
      <c r="L4061">
        <v>67</v>
      </c>
      <c r="M4061">
        <v>8.91</v>
      </c>
      <c r="N4061">
        <v>183.2</v>
      </c>
      <c r="O4061">
        <v>124</v>
      </c>
      <c r="P4061">
        <v>8.24</v>
      </c>
      <c r="Q4061">
        <v>8.1999999999999993</v>
      </c>
      <c r="R4061">
        <v>5</v>
      </c>
      <c r="S4061">
        <v>2.21</v>
      </c>
      <c r="T4061">
        <v>1</v>
      </c>
      <c r="U4061" t="s">
        <v>22</v>
      </c>
      <c r="V4061" t="e">
        <f>IF(#REF! = "yes", 1, 0)</f>
        <v>#REF!</v>
      </c>
      <c r="W4061" t="e">
        <f>IF(#REF! &lt;= 1, "0-1 Calls", IF(#REF! &lt;= 3, "2-3 Calls", IF(#REF! &lt;=5, "4-5 Calls", "6+ Calls")))</f>
        <v>#REF!</v>
      </c>
      <c r="X4061" t="e">
        <f>IF(#REF! &lt;= 50, "0-50", IF(#REF! &lt;=100, "51-100", IF(#REF! &lt;= 150, "101-150", "151+")))</f>
        <v>#REF!</v>
      </c>
      <c r="Y4061" t="e">
        <f>IF(#REF! &lt;= 3, "Low Charges", "High Charges")</f>
        <v>#REF!</v>
      </c>
      <c r="Z4061" t="e">
        <f>IF(#REF!&lt;=80,"Low Calls",
IF(#REF!&lt;=120,"Medium Calls","High Calls"))</f>
        <v>#REF!</v>
      </c>
      <c r="AA4061" t="e">
        <f>IF(#REF!&lt;=15,"Low Charges",
IF(#REF!&lt;=20,"Medium Charges","High Charges"))</f>
        <v>#REF!</v>
      </c>
      <c r="AB4061" t="e">
        <f>IF(AND(#REF!&gt;180, #REF!&gt;200), "Heavy Doemstic User", IF(#REF!&gt;10, "Interntional User", IF(AND(#REF!&lt;180, #REF!&lt;200,#REF!&lt;200), "Light User", "Balanced User")))</f>
        <v>#REF!</v>
      </c>
      <c r="AC4061" t="e">
        <f>IF(#REF! = 0, "No Usage", IF(#REF! &lt;= 20, "Low Usage", IF(#REF! &lt;= 40, "Medium Usgae", "High Usage")))</f>
        <v>#REF!</v>
      </c>
      <c r="AD4061" t="e">
        <f>IF(#REF!&lt;=150,"Low Usage", IF(#REF!&lt;=200,"Medium Usage", IF(#REF!&lt;=250,"High Usage","Very High Usage")))</f>
        <v>#REF!</v>
      </c>
      <c r="AE4061" t="e">
        <f>IF(#REF!&lt;=5,"Low Calls", IF(#REF!&lt;=10, "Medium Calls", "High Calls"))</f>
        <v>#REF!</v>
      </c>
      <c r="AF4061" t="e">
        <f xml:space="preserve">
IF(#REF!&gt;=4,4,0)+
IF(#REF!="yes",3,0)+
IF(#REF!="High Charges",3,0)+
IF(#REF!&gt;250,4,0)+
IF(#REF!="no",1,0)+
IF(#REF!="Heavy Domestic User",2,0)</f>
        <v>#REF!</v>
      </c>
      <c r="AG4061" t="e">
        <f>IF(#REF!&gt;=10,"High Risk", IF(#REF!&gt;=5,"Medium Risk","Low Risk"))</f>
        <v>#REF!</v>
      </c>
      <c r="AH4061" t="e">
        <f>#REF! + #REF! + #REF! + #REF!</f>
        <v>#REF!</v>
      </c>
    </row>
    <row r="4062" spans="1:34" x14ac:dyDescent="0.35">
      <c r="A4062">
        <v>4061</v>
      </c>
      <c r="B4062" t="s">
        <v>65</v>
      </c>
      <c r="C4062">
        <v>78</v>
      </c>
      <c r="D4062" t="s">
        <v>21</v>
      </c>
      <c r="E4062" t="s">
        <v>22</v>
      </c>
      <c r="F4062" t="s">
        <v>22</v>
      </c>
      <c r="G4062">
        <v>0</v>
      </c>
      <c r="H4062">
        <v>254.1</v>
      </c>
      <c r="I4062">
        <v>112</v>
      </c>
      <c r="J4062">
        <v>43.2</v>
      </c>
      <c r="K4062">
        <v>215.9</v>
      </c>
      <c r="L4062">
        <v>80</v>
      </c>
      <c r="M4062">
        <v>18.350000000000001</v>
      </c>
      <c r="N4062">
        <v>267.10000000000002</v>
      </c>
      <c r="O4062">
        <v>124</v>
      </c>
      <c r="P4062">
        <v>12.02</v>
      </c>
      <c r="Q4062">
        <v>16.3</v>
      </c>
      <c r="R4062">
        <v>3</v>
      </c>
      <c r="S4062">
        <v>4.4000000000000004</v>
      </c>
      <c r="T4062">
        <v>0</v>
      </c>
      <c r="U4062" t="s">
        <v>23</v>
      </c>
      <c r="V4062" t="e">
        <f>IF(#REF! = "yes", 1, 0)</f>
        <v>#REF!</v>
      </c>
      <c r="W4062" t="e">
        <f>IF(#REF! &lt;= 1, "0-1 Calls", IF(#REF! &lt;= 3, "2-3 Calls", IF(#REF! &lt;=5, "4-5 Calls", "6+ Calls")))</f>
        <v>#REF!</v>
      </c>
      <c r="X4062" t="e">
        <f>IF(#REF! &lt;= 50, "0-50", IF(#REF! &lt;=100, "51-100", IF(#REF! &lt;= 150, "101-150", "151+")))</f>
        <v>#REF!</v>
      </c>
      <c r="Y4062" t="e">
        <f>IF(#REF! &lt;= 3, "Low Charges", "High Charges")</f>
        <v>#REF!</v>
      </c>
      <c r="Z4062" t="e">
        <f>IF(#REF!&lt;=80,"Low Calls",
IF(#REF!&lt;=120,"Medium Calls","High Calls"))</f>
        <v>#REF!</v>
      </c>
      <c r="AA4062" t="e">
        <f>IF(#REF!&lt;=15,"Low Charges",
IF(#REF!&lt;=20,"Medium Charges","High Charges"))</f>
        <v>#REF!</v>
      </c>
      <c r="AB4062" t="e">
        <f>IF(AND(#REF!&gt;180, #REF!&gt;200), "Heavy Doemstic User", IF(#REF!&gt;10, "Interntional User", IF(AND(#REF!&lt;180, #REF!&lt;200,#REF!&lt;200), "Light User", "Balanced User")))</f>
        <v>#REF!</v>
      </c>
      <c r="AC4062" t="e">
        <f>IF(#REF! = 0, "No Usage", IF(#REF! &lt;= 20, "Low Usage", IF(#REF! &lt;= 40, "Medium Usgae", "High Usage")))</f>
        <v>#REF!</v>
      </c>
      <c r="AD4062" t="e">
        <f>IF(#REF!&lt;=150,"Low Usage", IF(#REF!&lt;=200,"Medium Usage", IF(#REF!&lt;=250,"High Usage","Very High Usage")))</f>
        <v>#REF!</v>
      </c>
      <c r="AE4062" t="e">
        <f>IF(#REF!&lt;=5,"Low Calls", IF(#REF!&lt;=10, "Medium Calls", "High Calls"))</f>
        <v>#REF!</v>
      </c>
      <c r="AF4062" t="e">
        <f xml:space="preserve">
IF(#REF!&gt;=4,4,0)+
IF(#REF!="yes",3,0)+
IF(#REF!="High Charges",3,0)+
IF(#REF!&gt;250,4,0)+
IF(#REF!="no",1,0)+
IF(#REF!="Heavy Domestic User",2,0)</f>
        <v>#REF!</v>
      </c>
      <c r="AG4062" t="e">
        <f>IF(#REF!&gt;=10,"High Risk", IF(#REF!&gt;=5,"Medium Risk","Low Risk"))</f>
        <v>#REF!</v>
      </c>
      <c r="AH4062" t="e">
        <f>#REF! + #REF! + #REF! + #REF!</f>
        <v>#REF!</v>
      </c>
    </row>
    <row r="4063" spans="1:34" x14ac:dyDescent="0.35">
      <c r="A4063">
        <v>4062</v>
      </c>
      <c r="B4063" t="s">
        <v>36</v>
      </c>
      <c r="C4063">
        <v>102</v>
      </c>
      <c r="D4063" t="s">
        <v>25</v>
      </c>
      <c r="E4063" t="s">
        <v>22</v>
      </c>
      <c r="F4063" t="s">
        <v>23</v>
      </c>
      <c r="G4063">
        <v>48</v>
      </c>
      <c r="H4063">
        <v>134</v>
      </c>
      <c r="I4063">
        <v>83</v>
      </c>
      <c r="J4063">
        <v>22.78</v>
      </c>
      <c r="K4063">
        <v>234.3</v>
      </c>
      <c r="L4063">
        <v>128</v>
      </c>
      <c r="M4063">
        <v>19.920000000000002</v>
      </c>
      <c r="N4063">
        <v>197.3</v>
      </c>
      <c r="O4063">
        <v>107</v>
      </c>
      <c r="P4063">
        <v>8.8800000000000008</v>
      </c>
      <c r="Q4063">
        <v>7.8</v>
      </c>
      <c r="R4063">
        <v>4</v>
      </c>
      <c r="S4063">
        <v>2.11</v>
      </c>
      <c r="T4063">
        <v>6</v>
      </c>
      <c r="U4063" t="s">
        <v>23</v>
      </c>
      <c r="V4063" t="e">
        <f>IF(#REF! = "yes", 1, 0)</f>
        <v>#REF!</v>
      </c>
      <c r="W4063" t="e">
        <f>IF(#REF! &lt;= 1, "0-1 Calls", IF(#REF! &lt;= 3, "2-3 Calls", IF(#REF! &lt;=5, "4-5 Calls", "6+ Calls")))</f>
        <v>#REF!</v>
      </c>
      <c r="X4063" t="e">
        <f>IF(#REF! &lt;= 50, "0-50", IF(#REF! &lt;=100, "51-100", IF(#REF! &lt;= 150, "101-150", "151+")))</f>
        <v>#REF!</v>
      </c>
      <c r="Y4063" t="e">
        <f>IF(#REF! &lt;= 3, "Low Charges", "High Charges")</f>
        <v>#REF!</v>
      </c>
      <c r="Z4063" t="e">
        <f>IF(#REF!&lt;=80,"Low Calls",
IF(#REF!&lt;=120,"Medium Calls","High Calls"))</f>
        <v>#REF!</v>
      </c>
      <c r="AA4063" t="e">
        <f>IF(#REF!&lt;=15,"Low Charges",
IF(#REF!&lt;=20,"Medium Charges","High Charges"))</f>
        <v>#REF!</v>
      </c>
      <c r="AB4063" t="e">
        <f>IF(AND(#REF!&gt;180, #REF!&gt;200), "Heavy Doemstic User", IF(#REF!&gt;10, "Interntional User", IF(AND(#REF!&lt;180, #REF!&lt;200,#REF!&lt;200), "Light User", "Balanced User")))</f>
        <v>#REF!</v>
      </c>
      <c r="AC4063" t="e">
        <f>IF(#REF! = 0, "No Usage", IF(#REF! &lt;= 20, "Low Usage", IF(#REF! &lt;= 40, "Medium Usgae", "High Usage")))</f>
        <v>#REF!</v>
      </c>
      <c r="AD4063" t="e">
        <f>IF(#REF!&lt;=150,"Low Usage", IF(#REF!&lt;=200,"Medium Usage", IF(#REF!&lt;=250,"High Usage","Very High Usage")))</f>
        <v>#REF!</v>
      </c>
      <c r="AE4063" t="e">
        <f>IF(#REF!&lt;=5,"Low Calls", IF(#REF!&lt;=10, "Medium Calls", "High Calls"))</f>
        <v>#REF!</v>
      </c>
      <c r="AF4063" t="e">
        <f xml:space="preserve">
IF(#REF!&gt;=4,4,0)+
IF(#REF!="yes",3,0)+
IF(#REF!="High Charges",3,0)+
IF(#REF!&gt;250,4,0)+
IF(#REF!="no",1,0)+
IF(#REF!="Heavy Domestic User",2,0)</f>
        <v>#REF!</v>
      </c>
      <c r="AG4063" t="e">
        <f>IF(#REF!&gt;=10,"High Risk", IF(#REF!&gt;=5,"Medium Risk","Low Risk"))</f>
        <v>#REF!</v>
      </c>
      <c r="AH4063" t="e">
        <f>#REF! + #REF! + #REF! + #REF!</f>
        <v>#REF!</v>
      </c>
    </row>
    <row r="4064" spans="1:34" x14ac:dyDescent="0.35">
      <c r="A4064">
        <v>4063</v>
      </c>
      <c r="B4064" t="s">
        <v>54</v>
      </c>
      <c r="C4064">
        <v>74</v>
      </c>
      <c r="D4064" t="s">
        <v>21</v>
      </c>
      <c r="E4064" t="s">
        <v>22</v>
      </c>
      <c r="F4064" t="s">
        <v>23</v>
      </c>
      <c r="G4064">
        <v>38</v>
      </c>
      <c r="H4064">
        <v>176</v>
      </c>
      <c r="I4064">
        <v>84</v>
      </c>
      <c r="J4064">
        <v>29.92</v>
      </c>
      <c r="K4064">
        <v>288.2</v>
      </c>
      <c r="L4064">
        <v>103</v>
      </c>
      <c r="M4064">
        <v>24.5</v>
      </c>
      <c r="N4064">
        <v>178.2</v>
      </c>
      <c r="O4064">
        <v>86</v>
      </c>
      <c r="P4064">
        <v>8.02</v>
      </c>
      <c r="Q4064">
        <v>14.8</v>
      </c>
      <c r="R4064">
        <v>5</v>
      </c>
      <c r="S4064">
        <v>4</v>
      </c>
      <c r="T4064">
        <v>2</v>
      </c>
      <c r="U4064" t="s">
        <v>22</v>
      </c>
      <c r="V4064" t="e">
        <f>IF(#REF! = "yes", 1, 0)</f>
        <v>#REF!</v>
      </c>
      <c r="W4064" t="e">
        <f>IF(#REF! &lt;= 1, "0-1 Calls", IF(#REF! &lt;= 3, "2-3 Calls", IF(#REF! &lt;=5, "4-5 Calls", "6+ Calls")))</f>
        <v>#REF!</v>
      </c>
      <c r="X4064" t="e">
        <f>IF(#REF! &lt;= 50, "0-50", IF(#REF! &lt;=100, "51-100", IF(#REF! &lt;= 150, "101-150", "151+")))</f>
        <v>#REF!</v>
      </c>
      <c r="Y4064" t="e">
        <f>IF(#REF! &lt;= 3, "Low Charges", "High Charges")</f>
        <v>#REF!</v>
      </c>
      <c r="Z4064" t="e">
        <f>IF(#REF!&lt;=80,"Low Calls",
IF(#REF!&lt;=120,"Medium Calls","High Calls"))</f>
        <v>#REF!</v>
      </c>
      <c r="AA4064" t="e">
        <f>IF(#REF!&lt;=15,"Low Charges",
IF(#REF!&lt;=20,"Medium Charges","High Charges"))</f>
        <v>#REF!</v>
      </c>
      <c r="AB4064" t="e">
        <f>IF(AND(#REF!&gt;180, #REF!&gt;200), "Heavy Doemstic User", IF(#REF!&gt;10, "Interntional User", IF(AND(#REF!&lt;180, #REF!&lt;200,#REF!&lt;200), "Light User", "Balanced User")))</f>
        <v>#REF!</v>
      </c>
      <c r="AC4064" t="e">
        <f>IF(#REF! = 0, "No Usage", IF(#REF! &lt;= 20, "Low Usage", IF(#REF! &lt;= 40, "Medium Usgae", "High Usage")))</f>
        <v>#REF!</v>
      </c>
      <c r="AD4064" t="e">
        <f>IF(#REF!&lt;=150,"Low Usage", IF(#REF!&lt;=200,"Medium Usage", IF(#REF!&lt;=250,"High Usage","Very High Usage")))</f>
        <v>#REF!</v>
      </c>
      <c r="AE4064" t="e">
        <f>IF(#REF!&lt;=5,"Low Calls", IF(#REF!&lt;=10, "Medium Calls", "High Calls"))</f>
        <v>#REF!</v>
      </c>
      <c r="AF4064" t="e">
        <f xml:space="preserve">
IF(#REF!&gt;=4,4,0)+
IF(#REF!="yes",3,0)+
IF(#REF!="High Charges",3,0)+
IF(#REF!&gt;250,4,0)+
IF(#REF!="no",1,0)+
IF(#REF!="Heavy Domestic User",2,0)</f>
        <v>#REF!</v>
      </c>
      <c r="AG4064" t="e">
        <f>IF(#REF!&gt;=10,"High Risk", IF(#REF!&gt;=5,"Medium Risk","Low Risk"))</f>
        <v>#REF!</v>
      </c>
      <c r="AH4064" t="e">
        <f>#REF! + #REF! + #REF! + #REF!</f>
        <v>#REF!</v>
      </c>
    </row>
    <row r="4065" spans="1:34" x14ac:dyDescent="0.35">
      <c r="A4065">
        <v>4064</v>
      </c>
      <c r="B4065" t="s">
        <v>24</v>
      </c>
      <c r="C4065">
        <v>135</v>
      </c>
      <c r="D4065" t="s">
        <v>28</v>
      </c>
      <c r="E4065" t="s">
        <v>22</v>
      </c>
      <c r="F4065" t="s">
        <v>22</v>
      </c>
      <c r="G4065">
        <v>0</v>
      </c>
      <c r="H4065">
        <v>180.1</v>
      </c>
      <c r="I4065">
        <v>112</v>
      </c>
      <c r="J4065">
        <v>30.62</v>
      </c>
      <c r="K4065">
        <v>257.2</v>
      </c>
      <c r="L4065">
        <v>89</v>
      </c>
      <c r="M4065">
        <v>21.86</v>
      </c>
      <c r="N4065">
        <v>131.6</v>
      </c>
      <c r="O4065">
        <v>111</v>
      </c>
      <c r="P4065">
        <v>5.92</v>
      </c>
      <c r="Q4065">
        <v>11.4</v>
      </c>
      <c r="R4065">
        <v>7</v>
      </c>
      <c r="S4065">
        <v>3.08</v>
      </c>
      <c r="T4065">
        <v>1</v>
      </c>
      <c r="U4065" t="s">
        <v>22</v>
      </c>
      <c r="V4065" t="e">
        <f>IF(#REF! = "yes", 1, 0)</f>
        <v>#REF!</v>
      </c>
      <c r="W4065" t="e">
        <f>IF(#REF! &lt;= 1, "0-1 Calls", IF(#REF! &lt;= 3, "2-3 Calls", IF(#REF! &lt;=5, "4-5 Calls", "6+ Calls")))</f>
        <v>#REF!</v>
      </c>
      <c r="X4065" t="e">
        <f>IF(#REF! &lt;= 50, "0-50", IF(#REF! &lt;=100, "51-100", IF(#REF! &lt;= 150, "101-150", "151+")))</f>
        <v>#REF!</v>
      </c>
      <c r="Y4065" t="e">
        <f>IF(#REF! &lt;= 3, "Low Charges", "High Charges")</f>
        <v>#REF!</v>
      </c>
      <c r="Z4065" t="e">
        <f>IF(#REF!&lt;=80,"Low Calls",
IF(#REF!&lt;=120,"Medium Calls","High Calls"))</f>
        <v>#REF!</v>
      </c>
      <c r="AA4065" t="e">
        <f>IF(#REF!&lt;=15,"Low Charges",
IF(#REF!&lt;=20,"Medium Charges","High Charges"))</f>
        <v>#REF!</v>
      </c>
      <c r="AB4065" t="e">
        <f>IF(AND(#REF!&gt;180, #REF!&gt;200), "Heavy Doemstic User", IF(#REF!&gt;10, "Interntional User", IF(AND(#REF!&lt;180, #REF!&lt;200,#REF!&lt;200), "Light User", "Balanced User")))</f>
        <v>#REF!</v>
      </c>
      <c r="AC4065" t="e">
        <f>IF(#REF! = 0, "No Usage", IF(#REF! &lt;= 20, "Low Usage", IF(#REF! &lt;= 40, "Medium Usgae", "High Usage")))</f>
        <v>#REF!</v>
      </c>
      <c r="AD4065" t="e">
        <f>IF(#REF!&lt;=150,"Low Usage", IF(#REF!&lt;=200,"Medium Usage", IF(#REF!&lt;=250,"High Usage","Very High Usage")))</f>
        <v>#REF!</v>
      </c>
      <c r="AE4065" t="e">
        <f>IF(#REF!&lt;=5,"Low Calls", IF(#REF!&lt;=10, "Medium Calls", "High Calls"))</f>
        <v>#REF!</v>
      </c>
      <c r="AF4065" t="e">
        <f xml:space="preserve">
IF(#REF!&gt;=4,4,0)+
IF(#REF!="yes",3,0)+
IF(#REF!="High Charges",3,0)+
IF(#REF!&gt;250,4,0)+
IF(#REF!="no",1,0)+
IF(#REF!="Heavy Domestic User",2,0)</f>
        <v>#REF!</v>
      </c>
      <c r="AG4065" t="e">
        <f>IF(#REF!&gt;=10,"High Risk", IF(#REF!&gt;=5,"Medium Risk","Low Risk"))</f>
        <v>#REF!</v>
      </c>
      <c r="AH4065" t="e">
        <f>#REF! + #REF! + #REF! + #REF!</f>
        <v>#REF!</v>
      </c>
    </row>
    <row r="4066" spans="1:34" x14ac:dyDescent="0.35">
      <c r="A4066">
        <v>4065</v>
      </c>
      <c r="B4066" t="s">
        <v>75</v>
      </c>
      <c r="C4066">
        <v>55</v>
      </c>
      <c r="D4066" t="s">
        <v>21</v>
      </c>
      <c r="E4066" t="s">
        <v>22</v>
      </c>
      <c r="F4066" t="s">
        <v>22</v>
      </c>
      <c r="G4066">
        <v>0</v>
      </c>
      <c r="H4066">
        <v>180.1</v>
      </c>
      <c r="I4066">
        <v>77</v>
      </c>
      <c r="J4066">
        <v>30.62</v>
      </c>
      <c r="K4066">
        <v>235.5</v>
      </c>
      <c r="L4066">
        <v>98</v>
      </c>
      <c r="M4066">
        <v>20.02</v>
      </c>
      <c r="N4066">
        <v>169.4</v>
      </c>
      <c r="O4066">
        <v>104</v>
      </c>
      <c r="P4066">
        <v>7.62</v>
      </c>
      <c r="Q4066">
        <v>11.1</v>
      </c>
      <c r="R4066">
        <v>2</v>
      </c>
      <c r="S4066">
        <v>3</v>
      </c>
      <c r="T4066">
        <v>0</v>
      </c>
      <c r="U4066" t="s">
        <v>22</v>
      </c>
      <c r="V4066" t="e">
        <f>IF(#REF! = "yes", 1, 0)</f>
        <v>#REF!</v>
      </c>
      <c r="W4066" t="e">
        <f>IF(#REF! &lt;= 1, "0-1 Calls", IF(#REF! &lt;= 3, "2-3 Calls", IF(#REF! &lt;=5, "4-5 Calls", "6+ Calls")))</f>
        <v>#REF!</v>
      </c>
      <c r="X4066" t="e">
        <f>IF(#REF! &lt;= 50, "0-50", IF(#REF! &lt;=100, "51-100", IF(#REF! &lt;= 150, "101-150", "151+")))</f>
        <v>#REF!</v>
      </c>
      <c r="Y4066" t="e">
        <f>IF(#REF! &lt;= 3, "Low Charges", "High Charges")</f>
        <v>#REF!</v>
      </c>
      <c r="Z4066" t="e">
        <f>IF(#REF!&lt;=80,"Low Calls",
IF(#REF!&lt;=120,"Medium Calls","High Calls"))</f>
        <v>#REF!</v>
      </c>
      <c r="AA4066" t="e">
        <f>IF(#REF!&lt;=15,"Low Charges",
IF(#REF!&lt;=20,"Medium Charges","High Charges"))</f>
        <v>#REF!</v>
      </c>
      <c r="AB4066" t="e">
        <f>IF(AND(#REF!&gt;180, #REF!&gt;200), "Heavy Doemstic User", IF(#REF!&gt;10, "Interntional User", IF(AND(#REF!&lt;180, #REF!&lt;200,#REF!&lt;200), "Light User", "Balanced User")))</f>
        <v>#REF!</v>
      </c>
      <c r="AC4066" t="e">
        <f>IF(#REF! = 0, "No Usage", IF(#REF! &lt;= 20, "Low Usage", IF(#REF! &lt;= 40, "Medium Usgae", "High Usage")))</f>
        <v>#REF!</v>
      </c>
      <c r="AD4066" t="e">
        <f>IF(#REF!&lt;=150,"Low Usage", IF(#REF!&lt;=200,"Medium Usage", IF(#REF!&lt;=250,"High Usage","Very High Usage")))</f>
        <v>#REF!</v>
      </c>
      <c r="AE4066" t="e">
        <f>IF(#REF!&lt;=5,"Low Calls", IF(#REF!&lt;=10, "Medium Calls", "High Calls"))</f>
        <v>#REF!</v>
      </c>
      <c r="AF4066" t="e">
        <f xml:space="preserve">
IF(#REF!&gt;=4,4,0)+
IF(#REF!="yes",3,0)+
IF(#REF!="High Charges",3,0)+
IF(#REF!&gt;250,4,0)+
IF(#REF!="no",1,0)+
IF(#REF!="Heavy Domestic User",2,0)</f>
        <v>#REF!</v>
      </c>
      <c r="AG4066" t="e">
        <f>IF(#REF!&gt;=10,"High Risk", IF(#REF!&gt;=5,"Medium Risk","Low Risk"))</f>
        <v>#REF!</v>
      </c>
      <c r="AH4066" t="e">
        <f>#REF! + #REF! + #REF! + #REF!</f>
        <v>#REF!</v>
      </c>
    </row>
    <row r="4067" spans="1:34" x14ac:dyDescent="0.35">
      <c r="A4067">
        <v>4066</v>
      </c>
      <c r="B4067" t="s">
        <v>57</v>
      </c>
      <c r="C4067">
        <v>106</v>
      </c>
      <c r="D4067" t="s">
        <v>21</v>
      </c>
      <c r="E4067" t="s">
        <v>22</v>
      </c>
      <c r="F4067" t="s">
        <v>22</v>
      </c>
      <c r="G4067">
        <v>0</v>
      </c>
      <c r="H4067">
        <v>94.8</v>
      </c>
      <c r="I4067">
        <v>113</v>
      </c>
      <c r="J4067">
        <v>16.12</v>
      </c>
      <c r="K4067">
        <v>283.2</v>
      </c>
      <c r="L4067">
        <v>95</v>
      </c>
      <c r="M4067">
        <v>24.07</v>
      </c>
      <c r="N4067">
        <v>219.3</v>
      </c>
      <c r="O4067">
        <v>106</v>
      </c>
      <c r="P4067">
        <v>9.8699999999999992</v>
      </c>
      <c r="Q4067">
        <v>6.8</v>
      </c>
      <c r="R4067">
        <v>4</v>
      </c>
      <c r="S4067">
        <v>1.84</v>
      </c>
      <c r="T4067">
        <v>1</v>
      </c>
      <c r="U4067" t="s">
        <v>22</v>
      </c>
      <c r="V4067" t="e">
        <f>IF(#REF! = "yes", 1, 0)</f>
        <v>#REF!</v>
      </c>
      <c r="W4067" t="e">
        <f>IF(#REF! &lt;= 1, "0-1 Calls", IF(#REF! &lt;= 3, "2-3 Calls", IF(#REF! &lt;=5, "4-5 Calls", "6+ Calls")))</f>
        <v>#REF!</v>
      </c>
      <c r="X4067" t="e">
        <f>IF(#REF! &lt;= 50, "0-50", IF(#REF! &lt;=100, "51-100", IF(#REF! &lt;= 150, "101-150", "151+")))</f>
        <v>#REF!</v>
      </c>
      <c r="Y4067" t="e">
        <f>IF(#REF! &lt;= 3, "Low Charges", "High Charges")</f>
        <v>#REF!</v>
      </c>
      <c r="Z4067" t="e">
        <f>IF(#REF!&lt;=80,"Low Calls",
IF(#REF!&lt;=120,"Medium Calls","High Calls"))</f>
        <v>#REF!</v>
      </c>
      <c r="AA4067" t="e">
        <f>IF(#REF!&lt;=15,"Low Charges",
IF(#REF!&lt;=20,"Medium Charges","High Charges"))</f>
        <v>#REF!</v>
      </c>
      <c r="AB4067" t="e">
        <f>IF(AND(#REF!&gt;180, #REF!&gt;200), "Heavy Doemstic User", IF(#REF!&gt;10, "Interntional User", IF(AND(#REF!&lt;180, #REF!&lt;200,#REF!&lt;200), "Light User", "Balanced User")))</f>
        <v>#REF!</v>
      </c>
      <c r="AC4067" t="e">
        <f>IF(#REF! = 0, "No Usage", IF(#REF! &lt;= 20, "Low Usage", IF(#REF! &lt;= 40, "Medium Usgae", "High Usage")))</f>
        <v>#REF!</v>
      </c>
      <c r="AD4067" t="e">
        <f>IF(#REF!&lt;=150,"Low Usage", IF(#REF!&lt;=200,"Medium Usage", IF(#REF!&lt;=250,"High Usage","Very High Usage")))</f>
        <v>#REF!</v>
      </c>
      <c r="AE4067" t="e">
        <f>IF(#REF!&lt;=5,"Low Calls", IF(#REF!&lt;=10, "Medium Calls", "High Calls"))</f>
        <v>#REF!</v>
      </c>
      <c r="AF4067" t="e">
        <f xml:space="preserve">
IF(#REF!&gt;=4,4,0)+
IF(#REF!="yes",3,0)+
IF(#REF!="High Charges",3,0)+
IF(#REF!&gt;250,4,0)+
IF(#REF!="no",1,0)+
IF(#REF!="Heavy Domestic User",2,0)</f>
        <v>#REF!</v>
      </c>
      <c r="AG4067" t="e">
        <f>IF(#REF!&gt;=10,"High Risk", IF(#REF!&gt;=5,"Medium Risk","Low Risk"))</f>
        <v>#REF!</v>
      </c>
      <c r="AH4067" t="e">
        <f>#REF! + #REF! + #REF! + #REF!</f>
        <v>#REF!</v>
      </c>
    </row>
    <row r="4068" spans="1:34" x14ac:dyDescent="0.35">
      <c r="A4068">
        <v>4067</v>
      </c>
      <c r="B4068" t="s">
        <v>38</v>
      </c>
      <c r="C4068">
        <v>34</v>
      </c>
      <c r="D4068" t="s">
        <v>21</v>
      </c>
      <c r="E4068" t="s">
        <v>22</v>
      </c>
      <c r="F4068" t="s">
        <v>22</v>
      </c>
      <c r="G4068">
        <v>0</v>
      </c>
      <c r="H4068">
        <v>210.4</v>
      </c>
      <c r="I4068">
        <v>75</v>
      </c>
      <c r="J4068">
        <v>35.770000000000003</v>
      </c>
      <c r="K4068">
        <v>205.1</v>
      </c>
      <c r="L4068">
        <v>108</v>
      </c>
      <c r="M4068">
        <v>17.43</v>
      </c>
      <c r="N4068">
        <v>230.5</v>
      </c>
      <c r="O4068">
        <v>129</v>
      </c>
      <c r="P4068">
        <v>10.37</v>
      </c>
      <c r="Q4068">
        <v>12.5</v>
      </c>
      <c r="R4068">
        <v>2</v>
      </c>
      <c r="S4068">
        <v>3.38</v>
      </c>
      <c r="T4068">
        <v>1</v>
      </c>
      <c r="U4068" t="s">
        <v>22</v>
      </c>
      <c r="V4068" t="e">
        <f>IF(#REF! = "yes", 1, 0)</f>
        <v>#REF!</v>
      </c>
      <c r="W4068" t="e">
        <f>IF(#REF! &lt;= 1, "0-1 Calls", IF(#REF! &lt;= 3, "2-3 Calls", IF(#REF! &lt;=5, "4-5 Calls", "6+ Calls")))</f>
        <v>#REF!</v>
      </c>
      <c r="X4068" t="e">
        <f>IF(#REF! &lt;= 50, "0-50", IF(#REF! &lt;=100, "51-100", IF(#REF! &lt;= 150, "101-150", "151+")))</f>
        <v>#REF!</v>
      </c>
      <c r="Y4068" t="e">
        <f>IF(#REF! &lt;= 3, "Low Charges", "High Charges")</f>
        <v>#REF!</v>
      </c>
      <c r="Z4068" t="e">
        <f>IF(#REF!&lt;=80,"Low Calls",
IF(#REF!&lt;=120,"Medium Calls","High Calls"))</f>
        <v>#REF!</v>
      </c>
      <c r="AA4068" t="e">
        <f>IF(#REF!&lt;=15,"Low Charges",
IF(#REF!&lt;=20,"Medium Charges","High Charges"))</f>
        <v>#REF!</v>
      </c>
      <c r="AB4068" t="e">
        <f>IF(AND(#REF!&gt;180, #REF!&gt;200), "Heavy Doemstic User", IF(#REF!&gt;10, "Interntional User", IF(AND(#REF!&lt;180, #REF!&lt;200,#REF!&lt;200), "Light User", "Balanced User")))</f>
        <v>#REF!</v>
      </c>
      <c r="AC4068" t="e">
        <f>IF(#REF! = 0, "No Usage", IF(#REF! &lt;= 20, "Low Usage", IF(#REF! &lt;= 40, "Medium Usgae", "High Usage")))</f>
        <v>#REF!</v>
      </c>
      <c r="AD4068" t="e">
        <f>IF(#REF!&lt;=150,"Low Usage", IF(#REF!&lt;=200,"Medium Usage", IF(#REF!&lt;=250,"High Usage","Very High Usage")))</f>
        <v>#REF!</v>
      </c>
      <c r="AE4068" t="e">
        <f>IF(#REF!&lt;=5,"Low Calls", IF(#REF!&lt;=10, "Medium Calls", "High Calls"))</f>
        <v>#REF!</v>
      </c>
      <c r="AF4068" t="e">
        <f xml:space="preserve">
IF(#REF!&gt;=4,4,0)+
IF(#REF!="yes",3,0)+
IF(#REF!="High Charges",3,0)+
IF(#REF!&gt;250,4,0)+
IF(#REF!="no",1,0)+
IF(#REF!="Heavy Domestic User",2,0)</f>
        <v>#REF!</v>
      </c>
      <c r="AG4068" t="e">
        <f>IF(#REF!&gt;=10,"High Risk", IF(#REF!&gt;=5,"Medium Risk","Low Risk"))</f>
        <v>#REF!</v>
      </c>
      <c r="AH4068" t="e">
        <f>#REF! + #REF! + #REF! + #REF!</f>
        <v>#REF!</v>
      </c>
    </row>
    <row r="4069" spans="1:34" x14ac:dyDescent="0.35">
      <c r="A4069">
        <v>4068</v>
      </c>
      <c r="B4069" t="s">
        <v>38</v>
      </c>
      <c r="C4069">
        <v>100</v>
      </c>
      <c r="D4069" t="s">
        <v>21</v>
      </c>
      <c r="E4069" t="s">
        <v>22</v>
      </c>
      <c r="F4069" t="s">
        <v>22</v>
      </c>
      <c r="G4069">
        <v>0</v>
      </c>
      <c r="H4069">
        <v>174.2</v>
      </c>
      <c r="I4069">
        <v>93</v>
      </c>
      <c r="J4069">
        <v>29.61</v>
      </c>
      <c r="K4069">
        <v>235</v>
      </c>
      <c r="L4069">
        <v>101</v>
      </c>
      <c r="M4069">
        <v>19.98</v>
      </c>
      <c r="N4069">
        <v>264.2</v>
      </c>
      <c r="O4069">
        <v>83</v>
      </c>
      <c r="P4069">
        <v>11.89</v>
      </c>
      <c r="Q4069">
        <v>9.9</v>
      </c>
      <c r="R4069">
        <v>7</v>
      </c>
      <c r="S4069">
        <v>2.67</v>
      </c>
      <c r="T4069">
        <v>1</v>
      </c>
      <c r="U4069" t="s">
        <v>22</v>
      </c>
      <c r="V4069" t="e">
        <f>IF(#REF! = "yes", 1, 0)</f>
        <v>#REF!</v>
      </c>
      <c r="W4069" t="e">
        <f>IF(#REF! &lt;= 1, "0-1 Calls", IF(#REF! &lt;= 3, "2-3 Calls", IF(#REF! &lt;=5, "4-5 Calls", "6+ Calls")))</f>
        <v>#REF!</v>
      </c>
      <c r="X4069" t="e">
        <f>IF(#REF! &lt;= 50, "0-50", IF(#REF! &lt;=100, "51-100", IF(#REF! &lt;= 150, "101-150", "151+")))</f>
        <v>#REF!</v>
      </c>
      <c r="Y4069" t="e">
        <f>IF(#REF! &lt;= 3, "Low Charges", "High Charges")</f>
        <v>#REF!</v>
      </c>
      <c r="Z4069" t="e">
        <f>IF(#REF!&lt;=80,"Low Calls",
IF(#REF!&lt;=120,"Medium Calls","High Calls"))</f>
        <v>#REF!</v>
      </c>
      <c r="AA4069" t="e">
        <f>IF(#REF!&lt;=15,"Low Charges",
IF(#REF!&lt;=20,"Medium Charges","High Charges"))</f>
        <v>#REF!</v>
      </c>
      <c r="AB4069" t="e">
        <f>IF(AND(#REF!&gt;180, #REF!&gt;200), "Heavy Doemstic User", IF(#REF!&gt;10, "Interntional User", IF(AND(#REF!&lt;180, #REF!&lt;200,#REF!&lt;200), "Light User", "Balanced User")))</f>
        <v>#REF!</v>
      </c>
      <c r="AC4069" t="e">
        <f>IF(#REF! = 0, "No Usage", IF(#REF! &lt;= 20, "Low Usage", IF(#REF! &lt;= 40, "Medium Usgae", "High Usage")))</f>
        <v>#REF!</v>
      </c>
      <c r="AD4069" t="e">
        <f>IF(#REF!&lt;=150,"Low Usage", IF(#REF!&lt;=200,"Medium Usage", IF(#REF!&lt;=250,"High Usage","Very High Usage")))</f>
        <v>#REF!</v>
      </c>
      <c r="AE4069" t="e">
        <f>IF(#REF!&lt;=5,"Low Calls", IF(#REF!&lt;=10, "Medium Calls", "High Calls"))</f>
        <v>#REF!</v>
      </c>
      <c r="AF4069" t="e">
        <f xml:space="preserve">
IF(#REF!&gt;=4,4,0)+
IF(#REF!="yes",3,0)+
IF(#REF!="High Charges",3,0)+
IF(#REF!&gt;250,4,0)+
IF(#REF!="no",1,0)+
IF(#REF!="Heavy Domestic User",2,0)</f>
        <v>#REF!</v>
      </c>
      <c r="AG4069" t="e">
        <f>IF(#REF!&gt;=10,"High Risk", IF(#REF!&gt;=5,"Medium Risk","Low Risk"))</f>
        <v>#REF!</v>
      </c>
      <c r="AH4069" t="e">
        <f>#REF! + #REF! + #REF! + #REF!</f>
        <v>#REF!</v>
      </c>
    </row>
    <row r="4070" spans="1:34" x14ac:dyDescent="0.35">
      <c r="A4070">
        <v>4069</v>
      </c>
      <c r="B4070" t="s">
        <v>37</v>
      </c>
      <c r="C4070">
        <v>127</v>
      </c>
      <c r="D4070" t="s">
        <v>25</v>
      </c>
      <c r="E4070" t="s">
        <v>22</v>
      </c>
      <c r="F4070" t="s">
        <v>22</v>
      </c>
      <c r="G4070">
        <v>0</v>
      </c>
      <c r="H4070">
        <v>189.7</v>
      </c>
      <c r="I4070">
        <v>110</v>
      </c>
      <c r="J4070">
        <v>32.25</v>
      </c>
      <c r="K4070">
        <v>142.4</v>
      </c>
      <c r="L4070">
        <v>116</v>
      </c>
      <c r="M4070">
        <v>12.1</v>
      </c>
      <c r="N4070">
        <v>175.2</v>
      </c>
      <c r="O4070">
        <v>79</v>
      </c>
      <c r="P4070">
        <v>7.88</v>
      </c>
      <c r="Q4070">
        <v>8.5</v>
      </c>
      <c r="R4070">
        <v>8</v>
      </c>
      <c r="S4070">
        <v>2.2999999999999998</v>
      </c>
      <c r="T4070">
        <v>2</v>
      </c>
      <c r="U4070" t="s">
        <v>22</v>
      </c>
      <c r="V4070" t="e">
        <f>IF(#REF! = "yes", 1, 0)</f>
        <v>#REF!</v>
      </c>
      <c r="W4070" t="e">
        <f>IF(#REF! &lt;= 1, "0-1 Calls", IF(#REF! &lt;= 3, "2-3 Calls", IF(#REF! &lt;=5, "4-5 Calls", "6+ Calls")))</f>
        <v>#REF!</v>
      </c>
      <c r="X4070" t="e">
        <f>IF(#REF! &lt;= 50, "0-50", IF(#REF! &lt;=100, "51-100", IF(#REF! &lt;= 150, "101-150", "151+")))</f>
        <v>#REF!</v>
      </c>
      <c r="Y4070" t="e">
        <f>IF(#REF! &lt;= 3, "Low Charges", "High Charges")</f>
        <v>#REF!</v>
      </c>
      <c r="Z4070" t="e">
        <f>IF(#REF!&lt;=80,"Low Calls",
IF(#REF!&lt;=120,"Medium Calls","High Calls"))</f>
        <v>#REF!</v>
      </c>
      <c r="AA4070" t="e">
        <f>IF(#REF!&lt;=15,"Low Charges",
IF(#REF!&lt;=20,"Medium Charges","High Charges"))</f>
        <v>#REF!</v>
      </c>
      <c r="AB4070" t="e">
        <f>IF(AND(#REF!&gt;180, #REF!&gt;200), "Heavy Doemstic User", IF(#REF!&gt;10, "Interntional User", IF(AND(#REF!&lt;180, #REF!&lt;200,#REF!&lt;200), "Light User", "Balanced User")))</f>
        <v>#REF!</v>
      </c>
      <c r="AC4070" t="e">
        <f>IF(#REF! = 0, "No Usage", IF(#REF! &lt;= 20, "Low Usage", IF(#REF! &lt;= 40, "Medium Usgae", "High Usage")))</f>
        <v>#REF!</v>
      </c>
      <c r="AD4070" t="e">
        <f>IF(#REF!&lt;=150,"Low Usage", IF(#REF!&lt;=200,"Medium Usage", IF(#REF!&lt;=250,"High Usage","Very High Usage")))</f>
        <v>#REF!</v>
      </c>
      <c r="AE4070" t="e">
        <f>IF(#REF!&lt;=5,"Low Calls", IF(#REF!&lt;=10, "Medium Calls", "High Calls"))</f>
        <v>#REF!</v>
      </c>
      <c r="AF4070" t="e">
        <f xml:space="preserve">
IF(#REF!&gt;=4,4,0)+
IF(#REF!="yes",3,0)+
IF(#REF!="High Charges",3,0)+
IF(#REF!&gt;250,4,0)+
IF(#REF!="no",1,0)+
IF(#REF!="Heavy Domestic User",2,0)</f>
        <v>#REF!</v>
      </c>
      <c r="AG4070" t="e">
        <f>IF(#REF!&gt;=10,"High Risk", IF(#REF!&gt;=5,"Medium Risk","Low Risk"))</f>
        <v>#REF!</v>
      </c>
      <c r="AH4070" t="e">
        <f>#REF! + #REF! + #REF! + #REF!</f>
        <v>#REF!</v>
      </c>
    </row>
    <row r="4071" spans="1:34" x14ac:dyDescent="0.35">
      <c r="A4071">
        <v>4070</v>
      </c>
      <c r="B4071" t="s">
        <v>37</v>
      </c>
      <c r="C4071">
        <v>65</v>
      </c>
      <c r="D4071" t="s">
        <v>25</v>
      </c>
      <c r="E4071" t="s">
        <v>22</v>
      </c>
      <c r="F4071" t="s">
        <v>23</v>
      </c>
      <c r="G4071">
        <v>19</v>
      </c>
      <c r="H4071">
        <v>259</v>
      </c>
      <c r="I4071">
        <v>96</v>
      </c>
      <c r="J4071">
        <v>44.03</v>
      </c>
      <c r="K4071">
        <v>332.3</v>
      </c>
      <c r="L4071">
        <v>106</v>
      </c>
      <c r="M4071">
        <v>28.25</v>
      </c>
      <c r="N4071">
        <v>130.1</v>
      </c>
      <c r="O4071">
        <v>95</v>
      </c>
      <c r="P4071">
        <v>5.85</v>
      </c>
      <c r="Q4071">
        <v>7.5</v>
      </c>
      <c r="R4071">
        <v>7</v>
      </c>
      <c r="S4071">
        <v>2.0299999999999998</v>
      </c>
      <c r="T4071">
        <v>1</v>
      </c>
      <c r="U4071" t="s">
        <v>22</v>
      </c>
      <c r="V4071" t="e">
        <f>IF(#REF! = "yes", 1, 0)</f>
        <v>#REF!</v>
      </c>
      <c r="W4071" t="e">
        <f>IF(#REF! &lt;= 1, "0-1 Calls", IF(#REF! &lt;= 3, "2-3 Calls", IF(#REF! &lt;=5, "4-5 Calls", "6+ Calls")))</f>
        <v>#REF!</v>
      </c>
      <c r="X4071" t="e">
        <f>IF(#REF! &lt;= 50, "0-50", IF(#REF! &lt;=100, "51-100", IF(#REF! &lt;= 150, "101-150", "151+")))</f>
        <v>#REF!</v>
      </c>
      <c r="Y4071" t="e">
        <f>IF(#REF! &lt;= 3, "Low Charges", "High Charges")</f>
        <v>#REF!</v>
      </c>
      <c r="Z4071" t="e">
        <f>IF(#REF!&lt;=80,"Low Calls",
IF(#REF!&lt;=120,"Medium Calls","High Calls"))</f>
        <v>#REF!</v>
      </c>
      <c r="AA4071" t="e">
        <f>IF(#REF!&lt;=15,"Low Charges",
IF(#REF!&lt;=20,"Medium Charges","High Charges"))</f>
        <v>#REF!</v>
      </c>
      <c r="AB4071" t="e">
        <f>IF(AND(#REF!&gt;180, #REF!&gt;200), "Heavy Doemstic User", IF(#REF!&gt;10, "Interntional User", IF(AND(#REF!&lt;180, #REF!&lt;200,#REF!&lt;200), "Light User", "Balanced User")))</f>
        <v>#REF!</v>
      </c>
      <c r="AC4071" t="e">
        <f>IF(#REF! = 0, "No Usage", IF(#REF! &lt;= 20, "Low Usage", IF(#REF! &lt;= 40, "Medium Usgae", "High Usage")))</f>
        <v>#REF!</v>
      </c>
      <c r="AD4071" t="e">
        <f>IF(#REF!&lt;=150,"Low Usage", IF(#REF!&lt;=200,"Medium Usage", IF(#REF!&lt;=250,"High Usage","Very High Usage")))</f>
        <v>#REF!</v>
      </c>
      <c r="AE4071" t="e">
        <f>IF(#REF!&lt;=5,"Low Calls", IF(#REF!&lt;=10, "Medium Calls", "High Calls"))</f>
        <v>#REF!</v>
      </c>
      <c r="AF4071" t="e">
        <f xml:space="preserve">
IF(#REF!&gt;=4,4,0)+
IF(#REF!="yes",3,0)+
IF(#REF!="High Charges",3,0)+
IF(#REF!&gt;250,4,0)+
IF(#REF!="no",1,0)+
IF(#REF!="Heavy Domestic User",2,0)</f>
        <v>#REF!</v>
      </c>
      <c r="AG4071" t="e">
        <f>IF(#REF!&gt;=10,"High Risk", IF(#REF!&gt;=5,"Medium Risk","Low Risk"))</f>
        <v>#REF!</v>
      </c>
      <c r="AH4071" t="e">
        <f>#REF! + #REF! + #REF! + #REF!</f>
        <v>#REF!</v>
      </c>
    </row>
    <row r="4072" spans="1:34" x14ac:dyDescent="0.35">
      <c r="A4072">
        <v>4071</v>
      </c>
      <c r="B4072" t="s">
        <v>29</v>
      </c>
      <c r="C4072">
        <v>109</v>
      </c>
      <c r="D4072" t="s">
        <v>21</v>
      </c>
      <c r="E4072" t="s">
        <v>22</v>
      </c>
      <c r="F4072" t="s">
        <v>23</v>
      </c>
      <c r="G4072">
        <v>39</v>
      </c>
      <c r="H4072">
        <v>86.4</v>
      </c>
      <c r="I4072">
        <v>69</v>
      </c>
      <c r="J4072">
        <v>14.69</v>
      </c>
      <c r="K4072">
        <v>189.1</v>
      </c>
      <c r="L4072">
        <v>108</v>
      </c>
      <c r="M4072">
        <v>16.07</v>
      </c>
      <c r="N4072">
        <v>225.4</v>
      </c>
      <c r="O4072">
        <v>119</v>
      </c>
      <c r="P4072">
        <v>10.14</v>
      </c>
      <c r="Q4072">
        <v>4.8</v>
      </c>
      <c r="R4072">
        <v>4</v>
      </c>
      <c r="S4072">
        <v>1.3</v>
      </c>
      <c r="T4072">
        <v>2</v>
      </c>
      <c r="U4072" t="s">
        <v>22</v>
      </c>
      <c r="V4072" t="e">
        <f>IF(#REF! = "yes", 1, 0)</f>
        <v>#REF!</v>
      </c>
      <c r="W4072" t="e">
        <f>IF(#REF! &lt;= 1, "0-1 Calls", IF(#REF! &lt;= 3, "2-3 Calls", IF(#REF! &lt;=5, "4-5 Calls", "6+ Calls")))</f>
        <v>#REF!</v>
      </c>
      <c r="X4072" t="e">
        <f>IF(#REF! &lt;= 50, "0-50", IF(#REF! &lt;=100, "51-100", IF(#REF! &lt;= 150, "101-150", "151+")))</f>
        <v>#REF!</v>
      </c>
      <c r="Y4072" t="e">
        <f>IF(#REF! &lt;= 3, "Low Charges", "High Charges")</f>
        <v>#REF!</v>
      </c>
      <c r="Z4072" t="e">
        <f>IF(#REF!&lt;=80,"Low Calls",
IF(#REF!&lt;=120,"Medium Calls","High Calls"))</f>
        <v>#REF!</v>
      </c>
      <c r="AA4072" t="e">
        <f>IF(#REF!&lt;=15,"Low Charges",
IF(#REF!&lt;=20,"Medium Charges","High Charges"))</f>
        <v>#REF!</v>
      </c>
      <c r="AB4072" t="e">
        <f>IF(AND(#REF!&gt;180, #REF!&gt;200), "Heavy Doemstic User", IF(#REF!&gt;10, "Interntional User", IF(AND(#REF!&lt;180, #REF!&lt;200,#REF!&lt;200), "Light User", "Balanced User")))</f>
        <v>#REF!</v>
      </c>
      <c r="AC4072" t="e">
        <f>IF(#REF! = 0, "No Usage", IF(#REF! &lt;= 20, "Low Usage", IF(#REF! &lt;= 40, "Medium Usgae", "High Usage")))</f>
        <v>#REF!</v>
      </c>
      <c r="AD4072" t="e">
        <f>IF(#REF!&lt;=150,"Low Usage", IF(#REF!&lt;=200,"Medium Usage", IF(#REF!&lt;=250,"High Usage","Very High Usage")))</f>
        <v>#REF!</v>
      </c>
      <c r="AE4072" t="e">
        <f>IF(#REF!&lt;=5,"Low Calls", IF(#REF!&lt;=10, "Medium Calls", "High Calls"))</f>
        <v>#REF!</v>
      </c>
      <c r="AF4072" t="e">
        <f xml:space="preserve">
IF(#REF!&gt;=4,4,0)+
IF(#REF!="yes",3,0)+
IF(#REF!="High Charges",3,0)+
IF(#REF!&gt;250,4,0)+
IF(#REF!="no",1,0)+
IF(#REF!="Heavy Domestic User",2,0)</f>
        <v>#REF!</v>
      </c>
      <c r="AG4072" t="e">
        <f>IF(#REF!&gt;=10,"High Risk", IF(#REF!&gt;=5,"Medium Risk","Low Risk"))</f>
        <v>#REF!</v>
      </c>
      <c r="AH4072" t="e">
        <f>#REF! + #REF! + #REF! + #REF!</f>
        <v>#REF!</v>
      </c>
    </row>
    <row r="4073" spans="1:34" x14ac:dyDescent="0.35">
      <c r="A4073">
        <v>4072</v>
      </c>
      <c r="B4073" t="s">
        <v>36</v>
      </c>
      <c r="C4073">
        <v>98</v>
      </c>
      <c r="D4073" t="s">
        <v>25</v>
      </c>
      <c r="E4073" t="s">
        <v>22</v>
      </c>
      <c r="F4073" t="s">
        <v>22</v>
      </c>
      <c r="G4073">
        <v>0</v>
      </c>
      <c r="H4073">
        <v>136.9</v>
      </c>
      <c r="I4073">
        <v>120</v>
      </c>
      <c r="J4073">
        <v>23.27</v>
      </c>
      <c r="K4073">
        <v>180.6</v>
      </c>
      <c r="L4073">
        <v>84</v>
      </c>
      <c r="M4073">
        <v>15.35</v>
      </c>
      <c r="N4073">
        <v>172.9</v>
      </c>
      <c r="O4073">
        <v>94</v>
      </c>
      <c r="P4073">
        <v>7.78</v>
      </c>
      <c r="Q4073">
        <v>11.9</v>
      </c>
      <c r="R4073">
        <v>4</v>
      </c>
      <c r="S4073">
        <v>3.21</v>
      </c>
      <c r="T4073">
        <v>4</v>
      </c>
      <c r="U4073" t="s">
        <v>23</v>
      </c>
      <c r="V4073" t="e">
        <f>IF(#REF! = "yes", 1, 0)</f>
        <v>#REF!</v>
      </c>
      <c r="W4073" t="e">
        <f>IF(#REF! &lt;= 1, "0-1 Calls", IF(#REF! &lt;= 3, "2-3 Calls", IF(#REF! &lt;=5, "4-5 Calls", "6+ Calls")))</f>
        <v>#REF!</v>
      </c>
      <c r="X4073" t="e">
        <f>IF(#REF! &lt;= 50, "0-50", IF(#REF! &lt;=100, "51-100", IF(#REF! &lt;= 150, "101-150", "151+")))</f>
        <v>#REF!</v>
      </c>
      <c r="Y4073" t="e">
        <f>IF(#REF! &lt;= 3, "Low Charges", "High Charges")</f>
        <v>#REF!</v>
      </c>
      <c r="Z4073" t="e">
        <f>IF(#REF!&lt;=80,"Low Calls",
IF(#REF!&lt;=120,"Medium Calls","High Calls"))</f>
        <v>#REF!</v>
      </c>
      <c r="AA4073" t="e">
        <f>IF(#REF!&lt;=15,"Low Charges",
IF(#REF!&lt;=20,"Medium Charges","High Charges"))</f>
        <v>#REF!</v>
      </c>
      <c r="AB4073" t="e">
        <f>IF(AND(#REF!&gt;180, #REF!&gt;200), "Heavy Doemstic User", IF(#REF!&gt;10, "Interntional User", IF(AND(#REF!&lt;180, #REF!&lt;200,#REF!&lt;200), "Light User", "Balanced User")))</f>
        <v>#REF!</v>
      </c>
      <c r="AC4073" t="e">
        <f>IF(#REF! = 0, "No Usage", IF(#REF! &lt;= 20, "Low Usage", IF(#REF! &lt;= 40, "Medium Usgae", "High Usage")))</f>
        <v>#REF!</v>
      </c>
      <c r="AD4073" t="e">
        <f>IF(#REF!&lt;=150,"Low Usage", IF(#REF!&lt;=200,"Medium Usage", IF(#REF!&lt;=250,"High Usage","Very High Usage")))</f>
        <v>#REF!</v>
      </c>
      <c r="AE4073" t="e">
        <f>IF(#REF!&lt;=5,"Low Calls", IF(#REF!&lt;=10, "Medium Calls", "High Calls"))</f>
        <v>#REF!</v>
      </c>
      <c r="AF4073" t="e">
        <f xml:space="preserve">
IF(#REF!&gt;=4,4,0)+
IF(#REF!="yes",3,0)+
IF(#REF!="High Charges",3,0)+
IF(#REF!&gt;250,4,0)+
IF(#REF!="no",1,0)+
IF(#REF!="Heavy Domestic User",2,0)</f>
        <v>#REF!</v>
      </c>
      <c r="AG4073" t="e">
        <f>IF(#REF!&gt;=10,"High Risk", IF(#REF!&gt;=5,"Medium Risk","Low Risk"))</f>
        <v>#REF!</v>
      </c>
      <c r="AH4073" t="e">
        <f>#REF! + #REF! + #REF! + #REF!</f>
        <v>#REF!</v>
      </c>
    </row>
    <row r="4074" spans="1:34" x14ac:dyDescent="0.35">
      <c r="A4074">
        <v>4073</v>
      </c>
      <c r="B4074" t="s">
        <v>55</v>
      </c>
      <c r="C4074">
        <v>141</v>
      </c>
      <c r="D4074" t="s">
        <v>28</v>
      </c>
      <c r="E4074" t="s">
        <v>22</v>
      </c>
      <c r="F4074" t="s">
        <v>22</v>
      </c>
      <c r="G4074">
        <v>0</v>
      </c>
      <c r="H4074">
        <v>196.5</v>
      </c>
      <c r="I4074">
        <v>104</v>
      </c>
      <c r="J4074">
        <v>33.409999999999997</v>
      </c>
      <c r="K4074">
        <v>175.1</v>
      </c>
      <c r="L4074">
        <v>111</v>
      </c>
      <c r="M4074">
        <v>14.88</v>
      </c>
      <c r="N4074">
        <v>209.6</v>
      </c>
      <c r="O4074">
        <v>110</v>
      </c>
      <c r="P4074">
        <v>9.43</v>
      </c>
      <c r="Q4074">
        <v>14.1</v>
      </c>
      <c r="R4074">
        <v>4</v>
      </c>
      <c r="S4074">
        <v>3.81</v>
      </c>
      <c r="T4074">
        <v>6</v>
      </c>
      <c r="U4074" t="s">
        <v>22</v>
      </c>
      <c r="V4074" t="e">
        <f>IF(#REF! = "yes", 1, 0)</f>
        <v>#REF!</v>
      </c>
      <c r="W4074" t="e">
        <f>IF(#REF! &lt;= 1, "0-1 Calls", IF(#REF! &lt;= 3, "2-3 Calls", IF(#REF! &lt;=5, "4-5 Calls", "6+ Calls")))</f>
        <v>#REF!</v>
      </c>
      <c r="X4074" t="e">
        <f>IF(#REF! &lt;= 50, "0-50", IF(#REF! &lt;=100, "51-100", IF(#REF! &lt;= 150, "101-150", "151+")))</f>
        <v>#REF!</v>
      </c>
      <c r="Y4074" t="e">
        <f>IF(#REF! &lt;= 3, "Low Charges", "High Charges")</f>
        <v>#REF!</v>
      </c>
      <c r="Z4074" t="e">
        <f>IF(#REF!&lt;=80,"Low Calls",
IF(#REF!&lt;=120,"Medium Calls","High Calls"))</f>
        <v>#REF!</v>
      </c>
      <c r="AA4074" t="e">
        <f>IF(#REF!&lt;=15,"Low Charges",
IF(#REF!&lt;=20,"Medium Charges","High Charges"))</f>
        <v>#REF!</v>
      </c>
      <c r="AB4074" t="e">
        <f>IF(AND(#REF!&gt;180, #REF!&gt;200), "Heavy Doemstic User", IF(#REF!&gt;10, "Interntional User", IF(AND(#REF!&lt;180, #REF!&lt;200,#REF!&lt;200), "Light User", "Balanced User")))</f>
        <v>#REF!</v>
      </c>
      <c r="AC4074" t="e">
        <f>IF(#REF! = 0, "No Usage", IF(#REF! &lt;= 20, "Low Usage", IF(#REF! &lt;= 40, "Medium Usgae", "High Usage")))</f>
        <v>#REF!</v>
      </c>
      <c r="AD4074" t="e">
        <f>IF(#REF!&lt;=150,"Low Usage", IF(#REF!&lt;=200,"Medium Usage", IF(#REF!&lt;=250,"High Usage","Very High Usage")))</f>
        <v>#REF!</v>
      </c>
      <c r="AE4074" t="e">
        <f>IF(#REF!&lt;=5,"Low Calls", IF(#REF!&lt;=10, "Medium Calls", "High Calls"))</f>
        <v>#REF!</v>
      </c>
      <c r="AF4074" t="e">
        <f xml:space="preserve">
IF(#REF!&gt;=4,4,0)+
IF(#REF!="yes",3,0)+
IF(#REF!="High Charges",3,0)+
IF(#REF!&gt;250,4,0)+
IF(#REF!="no",1,0)+
IF(#REF!="Heavy Domestic User",2,0)</f>
        <v>#REF!</v>
      </c>
      <c r="AG4074" t="e">
        <f>IF(#REF!&gt;=10,"High Risk", IF(#REF!&gt;=5,"Medium Risk","Low Risk"))</f>
        <v>#REF!</v>
      </c>
      <c r="AH4074" t="e">
        <f>#REF! + #REF! + #REF! + #REF!</f>
        <v>#REF!</v>
      </c>
    </row>
    <row r="4075" spans="1:34" x14ac:dyDescent="0.35">
      <c r="A4075">
        <v>4074</v>
      </c>
      <c r="B4075" t="s">
        <v>60</v>
      </c>
      <c r="C4075">
        <v>136</v>
      </c>
      <c r="D4075" t="s">
        <v>21</v>
      </c>
      <c r="E4075" t="s">
        <v>22</v>
      </c>
      <c r="F4075" t="s">
        <v>22</v>
      </c>
      <c r="G4075">
        <v>0</v>
      </c>
      <c r="H4075">
        <v>221.4</v>
      </c>
      <c r="I4075">
        <v>120</v>
      </c>
      <c r="J4075">
        <v>37.64</v>
      </c>
      <c r="K4075">
        <v>249.5</v>
      </c>
      <c r="L4075">
        <v>78</v>
      </c>
      <c r="M4075">
        <v>21.21</v>
      </c>
      <c r="N4075">
        <v>192</v>
      </c>
      <c r="O4075">
        <v>68</v>
      </c>
      <c r="P4075">
        <v>8.64</v>
      </c>
      <c r="Q4075">
        <v>13.6</v>
      </c>
      <c r="R4075">
        <v>2</v>
      </c>
      <c r="S4075">
        <v>3.67</v>
      </c>
      <c r="T4075">
        <v>0</v>
      </c>
      <c r="U4075" t="s">
        <v>22</v>
      </c>
      <c r="V4075" t="e">
        <f>IF(#REF! = "yes", 1, 0)</f>
        <v>#REF!</v>
      </c>
      <c r="W4075" t="e">
        <f>IF(#REF! &lt;= 1, "0-1 Calls", IF(#REF! &lt;= 3, "2-3 Calls", IF(#REF! &lt;=5, "4-5 Calls", "6+ Calls")))</f>
        <v>#REF!</v>
      </c>
      <c r="X4075" t="e">
        <f>IF(#REF! &lt;= 50, "0-50", IF(#REF! &lt;=100, "51-100", IF(#REF! &lt;= 150, "101-150", "151+")))</f>
        <v>#REF!</v>
      </c>
      <c r="Y4075" t="e">
        <f>IF(#REF! &lt;= 3, "Low Charges", "High Charges")</f>
        <v>#REF!</v>
      </c>
      <c r="Z4075" t="e">
        <f>IF(#REF!&lt;=80,"Low Calls",
IF(#REF!&lt;=120,"Medium Calls","High Calls"))</f>
        <v>#REF!</v>
      </c>
      <c r="AA4075" t="e">
        <f>IF(#REF!&lt;=15,"Low Charges",
IF(#REF!&lt;=20,"Medium Charges","High Charges"))</f>
        <v>#REF!</v>
      </c>
      <c r="AB4075" t="e">
        <f>IF(AND(#REF!&gt;180, #REF!&gt;200), "Heavy Doemstic User", IF(#REF!&gt;10, "Interntional User", IF(AND(#REF!&lt;180, #REF!&lt;200,#REF!&lt;200), "Light User", "Balanced User")))</f>
        <v>#REF!</v>
      </c>
      <c r="AC4075" t="e">
        <f>IF(#REF! = 0, "No Usage", IF(#REF! &lt;= 20, "Low Usage", IF(#REF! &lt;= 40, "Medium Usgae", "High Usage")))</f>
        <v>#REF!</v>
      </c>
      <c r="AD4075" t="e">
        <f>IF(#REF!&lt;=150,"Low Usage", IF(#REF!&lt;=200,"Medium Usage", IF(#REF!&lt;=250,"High Usage","Very High Usage")))</f>
        <v>#REF!</v>
      </c>
      <c r="AE4075" t="e">
        <f>IF(#REF!&lt;=5,"Low Calls", IF(#REF!&lt;=10, "Medium Calls", "High Calls"))</f>
        <v>#REF!</v>
      </c>
      <c r="AF4075" t="e">
        <f xml:space="preserve">
IF(#REF!&gt;=4,4,0)+
IF(#REF!="yes",3,0)+
IF(#REF!="High Charges",3,0)+
IF(#REF!&gt;250,4,0)+
IF(#REF!="no",1,0)+
IF(#REF!="Heavy Domestic User",2,0)</f>
        <v>#REF!</v>
      </c>
      <c r="AG4075" t="e">
        <f>IF(#REF!&gt;=10,"High Risk", IF(#REF!&gt;=5,"Medium Risk","Low Risk"))</f>
        <v>#REF!</v>
      </c>
      <c r="AH4075" t="e">
        <f>#REF! + #REF! + #REF! + #REF!</f>
        <v>#REF!</v>
      </c>
    </row>
    <row r="4076" spans="1:34" x14ac:dyDescent="0.35">
      <c r="A4076">
        <v>4075</v>
      </c>
      <c r="B4076" t="s">
        <v>33</v>
      </c>
      <c r="C4076">
        <v>42</v>
      </c>
      <c r="D4076" t="s">
        <v>25</v>
      </c>
      <c r="E4076" t="s">
        <v>22</v>
      </c>
      <c r="F4076" t="s">
        <v>22</v>
      </c>
      <c r="G4076">
        <v>0</v>
      </c>
      <c r="H4076">
        <v>191.9</v>
      </c>
      <c r="I4076">
        <v>139</v>
      </c>
      <c r="J4076">
        <v>32.619999999999997</v>
      </c>
      <c r="K4076">
        <v>304.2</v>
      </c>
      <c r="L4076">
        <v>91</v>
      </c>
      <c r="M4076">
        <v>25.86</v>
      </c>
      <c r="N4076">
        <v>179.5</v>
      </c>
      <c r="O4076">
        <v>91</v>
      </c>
      <c r="P4076">
        <v>8.08</v>
      </c>
      <c r="Q4076">
        <v>11.7</v>
      </c>
      <c r="R4076">
        <v>4</v>
      </c>
      <c r="S4076">
        <v>3.16</v>
      </c>
      <c r="T4076">
        <v>0</v>
      </c>
      <c r="U4076" t="s">
        <v>22</v>
      </c>
      <c r="V4076" t="e">
        <f>IF(#REF! = "yes", 1, 0)</f>
        <v>#REF!</v>
      </c>
      <c r="W4076" t="e">
        <f>IF(#REF! &lt;= 1, "0-1 Calls", IF(#REF! &lt;= 3, "2-3 Calls", IF(#REF! &lt;=5, "4-5 Calls", "6+ Calls")))</f>
        <v>#REF!</v>
      </c>
      <c r="X4076" t="e">
        <f>IF(#REF! &lt;= 50, "0-50", IF(#REF! &lt;=100, "51-100", IF(#REF! &lt;= 150, "101-150", "151+")))</f>
        <v>#REF!</v>
      </c>
      <c r="Y4076" t="e">
        <f>IF(#REF! &lt;= 3, "Low Charges", "High Charges")</f>
        <v>#REF!</v>
      </c>
      <c r="Z4076" t="e">
        <f>IF(#REF!&lt;=80,"Low Calls",
IF(#REF!&lt;=120,"Medium Calls","High Calls"))</f>
        <v>#REF!</v>
      </c>
      <c r="AA4076" t="e">
        <f>IF(#REF!&lt;=15,"Low Charges",
IF(#REF!&lt;=20,"Medium Charges","High Charges"))</f>
        <v>#REF!</v>
      </c>
      <c r="AB4076" t="e">
        <f>IF(AND(#REF!&gt;180, #REF!&gt;200), "Heavy Doemstic User", IF(#REF!&gt;10, "Interntional User", IF(AND(#REF!&lt;180, #REF!&lt;200,#REF!&lt;200), "Light User", "Balanced User")))</f>
        <v>#REF!</v>
      </c>
      <c r="AC4076" t="e">
        <f>IF(#REF! = 0, "No Usage", IF(#REF! &lt;= 20, "Low Usage", IF(#REF! &lt;= 40, "Medium Usgae", "High Usage")))</f>
        <v>#REF!</v>
      </c>
      <c r="AD4076" t="e">
        <f>IF(#REF!&lt;=150,"Low Usage", IF(#REF!&lt;=200,"Medium Usage", IF(#REF!&lt;=250,"High Usage","Very High Usage")))</f>
        <v>#REF!</v>
      </c>
      <c r="AE4076" t="e">
        <f>IF(#REF!&lt;=5,"Low Calls", IF(#REF!&lt;=10, "Medium Calls", "High Calls"))</f>
        <v>#REF!</v>
      </c>
      <c r="AF4076" t="e">
        <f xml:space="preserve">
IF(#REF!&gt;=4,4,0)+
IF(#REF!="yes",3,0)+
IF(#REF!="High Charges",3,0)+
IF(#REF!&gt;250,4,0)+
IF(#REF!="no",1,0)+
IF(#REF!="Heavy Domestic User",2,0)</f>
        <v>#REF!</v>
      </c>
      <c r="AG4076" t="e">
        <f>IF(#REF!&gt;=10,"High Risk", IF(#REF!&gt;=5,"Medium Risk","Low Risk"))</f>
        <v>#REF!</v>
      </c>
      <c r="AH4076" t="e">
        <f>#REF! + #REF! + #REF! + #REF!</f>
        <v>#REF!</v>
      </c>
    </row>
    <row r="4077" spans="1:34" x14ac:dyDescent="0.35">
      <c r="A4077">
        <v>4076</v>
      </c>
      <c r="B4077" t="s">
        <v>67</v>
      </c>
      <c r="C4077">
        <v>162</v>
      </c>
      <c r="D4077" t="s">
        <v>21</v>
      </c>
      <c r="E4077" t="s">
        <v>23</v>
      </c>
      <c r="F4077" t="s">
        <v>22</v>
      </c>
      <c r="G4077">
        <v>0</v>
      </c>
      <c r="H4077">
        <v>172.1</v>
      </c>
      <c r="I4077">
        <v>138</v>
      </c>
      <c r="J4077">
        <v>29.26</v>
      </c>
      <c r="K4077">
        <v>165.9</v>
      </c>
      <c r="L4077">
        <v>93</v>
      </c>
      <c r="M4077">
        <v>14.1</v>
      </c>
      <c r="N4077">
        <v>279</v>
      </c>
      <c r="O4077">
        <v>81</v>
      </c>
      <c r="P4077">
        <v>12.56</v>
      </c>
      <c r="Q4077">
        <v>9.1999999999999993</v>
      </c>
      <c r="R4077">
        <v>6</v>
      </c>
      <c r="S4077">
        <v>2.48</v>
      </c>
      <c r="T4077">
        <v>2</v>
      </c>
      <c r="U4077" t="s">
        <v>22</v>
      </c>
      <c r="V4077" t="e">
        <f>IF(#REF! = "yes", 1, 0)</f>
        <v>#REF!</v>
      </c>
      <c r="W4077" t="e">
        <f>IF(#REF! &lt;= 1, "0-1 Calls", IF(#REF! &lt;= 3, "2-3 Calls", IF(#REF! &lt;=5, "4-5 Calls", "6+ Calls")))</f>
        <v>#REF!</v>
      </c>
      <c r="X4077" t="e">
        <f>IF(#REF! &lt;= 50, "0-50", IF(#REF! &lt;=100, "51-100", IF(#REF! &lt;= 150, "101-150", "151+")))</f>
        <v>#REF!</v>
      </c>
      <c r="Y4077" t="e">
        <f>IF(#REF! &lt;= 3, "Low Charges", "High Charges")</f>
        <v>#REF!</v>
      </c>
      <c r="Z4077" t="e">
        <f>IF(#REF!&lt;=80,"Low Calls",
IF(#REF!&lt;=120,"Medium Calls","High Calls"))</f>
        <v>#REF!</v>
      </c>
      <c r="AA4077" t="e">
        <f>IF(#REF!&lt;=15,"Low Charges",
IF(#REF!&lt;=20,"Medium Charges","High Charges"))</f>
        <v>#REF!</v>
      </c>
      <c r="AB4077" t="e">
        <f>IF(AND(#REF!&gt;180, #REF!&gt;200), "Heavy Doemstic User", IF(#REF!&gt;10, "Interntional User", IF(AND(#REF!&lt;180, #REF!&lt;200,#REF!&lt;200), "Light User", "Balanced User")))</f>
        <v>#REF!</v>
      </c>
      <c r="AC4077" t="e">
        <f>IF(#REF! = 0, "No Usage", IF(#REF! &lt;= 20, "Low Usage", IF(#REF! &lt;= 40, "Medium Usgae", "High Usage")))</f>
        <v>#REF!</v>
      </c>
      <c r="AD4077" t="e">
        <f>IF(#REF!&lt;=150,"Low Usage", IF(#REF!&lt;=200,"Medium Usage", IF(#REF!&lt;=250,"High Usage","Very High Usage")))</f>
        <v>#REF!</v>
      </c>
      <c r="AE4077" t="e">
        <f>IF(#REF!&lt;=5,"Low Calls", IF(#REF!&lt;=10, "Medium Calls", "High Calls"))</f>
        <v>#REF!</v>
      </c>
      <c r="AF4077" t="e">
        <f xml:space="preserve">
IF(#REF!&gt;=4,4,0)+
IF(#REF!="yes",3,0)+
IF(#REF!="High Charges",3,0)+
IF(#REF!&gt;250,4,0)+
IF(#REF!="no",1,0)+
IF(#REF!="Heavy Domestic User",2,0)</f>
        <v>#REF!</v>
      </c>
      <c r="AG4077" t="e">
        <f>IF(#REF!&gt;=10,"High Risk", IF(#REF!&gt;=5,"Medium Risk","Low Risk"))</f>
        <v>#REF!</v>
      </c>
      <c r="AH4077" t="e">
        <f>#REF! + #REF! + #REF! + #REF!</f>
        <v>#REF!</v>
      </c>
    </row>
    <row r="4078" spans="1:34" x14ac:dyDescent="0.35">
      <c r="A4078">
        <v>4077</v>
      </c>
      <c r="B4078" t="s">
        <v>58</v>
      </c>
      <c r="C4078">
        <v>49</v>
      </c>
      <c r="D4078" t="s">
        <v>21</v>
      </c>
      <c r="E4078" t="s">
        <v>22</v>
      </c>
      <c r="F4078" t="s">
        <v>22</v>
      </c>
      <c r="G4078">
        <v>0</v>
      </c>
      <c r="H4078">
        <v>189.9</v>
      </c>
      <c r="I4078">
        <v>104</v>
      </c>
      <c r="J4078">
        <v>32.28</v>
      </c>
      <c r="K4078">
        <v>247.4</v>
      </c>
      <c r="L4078">
        <v>120</v>
      </c>
      <c r="M4078">
        <v>21.03</v>
      </c>
      <c r="N4078">
        <v>159.80000000000001</v>
      </c>
      <c r="O4078">
        <v>113</v>
      </c>
      <c r="P4078">
        <v>7.19</v>
      </c>
      <c r="Q4078">
        <v>10.1</v>
      </c>
      <c r="R4078">
        <v>6</v>
      </c>
      <c r="S4078">
        <v>2.73</v>
      </c>
      <c r="T4078">
        <v>1</v>
      </c>
      <c r="U4078" t="s">
        <v>22</v>
      </c>
      <c r="V4078" t="e">
        <f>IF(#REF! = "yes", 1, 0)</f>
        <v>#REF!</v>
      </c>
      <c r="W4078" t="e">
        <f>IF(#REF! &lt;= 1, "0-1 Calls", IF(#REF! &lt;= 3, "2-3 Calls", IF(#REF! &lt;=5, "4-5 Calls", "6+ Calls")))</f>
        <v>#REF!</v>
      </c>
      <c r="X4078" t="e">
        <f>IF(#REF! &lt;= 50, "0-50", IF(#REF! &lt;=100, "51-100", IF(#REF! &lt;= 150, "101-150", "151+")))</f>
        <v>#REF!</v>
      </c>
      <c r="Y4078" t="e">
        <f>IF(#REF! &lt;= 3, "Low Charges", "High Charges")</f>
        <v>#REF!</v>
      </c>
      <c r="Z4078" t="e">
        <f>IF(#REF!&lt;=80,"Low Calls",
IF(#REF!&lt;=120,"Medium Calls","High Calls"))</f>
        <v>#REF!</v>
      </c>
      <c r="AA4078" t="e">
        <f>IF(#REF!&lt;=15,"Low Charges",
IF(#REF!&lt;=20,"Medium Charges","High Charges"))</f>
        <v>#REF!</v>
      </c>
      <c r="AB4078" t="e">
        <f>IF(AND(#REF!&gt;180, #REF!&gt;200), "Heavy Doemstic User", IF(#REF!&gt;10, "Interntional User", IF(AND(#REF!&lt;180, #REF!&lt;200,#REF!&lt;200), "Light User", "Balanced User")))</f>
        <v>#REF!</v>
      </c>
      <c r="AC4078" t="e">
        <f>IF(#REF! = 0, "No Usage", IF(#REF! &lt;= 20, "Low Usage", IF(#REF! &lt;= 40, "Medium Usgae", "High Usage")))</f>
        <v>#REF!</v>
      </c>
      <c r="AD4078" t="e">
        <f>IF(#REF!&lt;=150,"Low Usage", IF(#REF!&lt;=200,"Medium Usage", IF(#REF!&lt;=250,"High Usage","Very High Usage")))</f>
        <v>#REF!</v>
      </c>
      <c r="AE4078" t="e">
        <f>IF(#REF!&lt;=5,"Low Calls", IF(#REF!&lt;=10, "Medium Calls", "High Calls"))</f>
        <v>#REF!</v>
      </c>
      <c r="AF4078" t="e">
        <f xml:space="preserve">
IF(#REF!&gt;=4,4,0)+
IF(#REF!="yes",3,0)+
IF(#REF!="High Charges",3,0)+
IF(#REF!&gt;250,4,0)+
IF(#REF!="no",1,0)+
IF(#REF!="Heavy Domestic User",2,0)</f>
        <v>#REF!</v>
      </c>
      <c r="AG4078" t="e">
        <f>IF(#REF!&gt;=10,"High Risk", IF(#REF!&gt;=5,"Medium Risk","Low Risk"))</f>
        <v>#REF!</v>
      </c>
      <c r="AH4078" t="e">
        <f>#REF! + #REF! + #REF! + #REF!</f>
        <v>#REF!</v>
      </c>
    </row>
    <row r="4079" spans="1:34" x14ac:dyDescent="0.35">
      <c r="A4079">
        <v>4078</v>
      </c>
      <c r="B4079" t="s">
        <v>38</v>
      </c>
      <c r="C4079">
        <v>103</v>
      </c>
      <c r="D4079" t="s">
        <v>25</v>
      </c>
      <c r="E4079" t="s">
        <v>22</v>
      </c>
      <c r="F4079" t="s">
        <v>22</v>
      </c>
      <c r="G4079">
        <v>0</v>
      </c>
      <c r="H4079">
        <v>147.80000000000001</v>
      </c>
      <c r="I4079">
        <v>71</v>
      </c>
      <c r="J4079">
        <v>25.13</v>
      </c>
      <c r="K4079">
        <v>182.6</v>
      </c>
      <c r="L4079">
        <v>103</v>
      </c>
      <c r="M4079">
        <v>15.52</v>
      </c>
      <c r="N4079">
        <v>260.8</v>
      </c>
      <c r="O4079">
        <v>95</v>
      </c>
      <c r="P4079">
        <v>11.74</v>
      </c>
      <c r="Q4079">
        <v>6.9</v>
      </c>
      <c r="R4079">
        <v>3</v>
      </c>
      <c r="S4079">
        <v>1.86</v>
      </c>
      <c r="T4079">
        <v>1</v>
      </c>
      <c r="U4079" t="s">
        <v>22</v>
      </c>
      <c r="V4079" t="e">
        <f>IF(#REF! = "yes", 1, 0)</f>
        <v>#REF!</v>
      </c>
      <c r="W4079" t="e">
        <f>IF(#REF! &lt;= 1, "0-1 Calls", IF(#REF! &lt;= 3, "2-3 Calls", IF(#REF! &lt;=5, "4-5 Calls", "6+ Calls")))</f>
        <v>#REF!</v>
      </c>
      <c r="X4079" t="e">
        <f>IF(#REF! &lt;= 50, "0-50", IF(#REF! &lt;=100, "51-100", IF(#REF! &lt;= 150, "101-150", "151+")))</f>
        <v>#REF!</v>
      </c>
      <c r="Y4079" t="e">
        <f>IF(#REF! &lt;= 3, "Low Charges", "High Charges")</f>
        <v>#REF!</v>
      </c>
      <c r="Z4079" t="e">
        <f>IF(#REF!&lt;=80,"Low Calls",
IF(#REF!&lt;=120,"Medium Calls","High Calls"))</f>
        <v>#REF!</v>
      </c>
      <c r="AA4079" t="e">
        <f>IF(#REF!&lt;=15,"Low Charges",
IF(#REF!&lt;=20,"Medium Charges","High Charges"))</f>
        <v>#REF!</v>
      </c>
      <c r="AB4079" t="e">
        <f>IF(AND(#REF!&gt;180, #REF!&gt;200), "Heavy Doemstic User", IF(#REF!&gt;10, "Interntional User", IF(AND(#REF!&lt;180, #REF!&lt;200,#REF!&lt;200), "Light User", "Balanced User")))</f>
        <v>#REF!</v>
      </c>
      <c r="AC4079" t="e">
        <f>IF(#REF! = 0, "No Usage", IF(#REF! &lt;= 20, "Low Usage", IF(#REF! &lt;= 40, "Medium Usgae", "High Usage")))</f>
        <v>#REF!</v>
      </c>
      <c r="AD4079" t="e">
        <f>IF(#REF!&lt;=150,"Low Usage", IF(#REF!&lt;=200,"Medium Usage", IF(#REF!&lt;=250,"High Usage","Very High Usage")))</f>
        <v>#REF!</v>
      </c>
      <c r="AE4079" t="e">
        <f>IF(#REF!&lt;=5,"Low Calls", IF(#REF!&lt;=10, "Medium Calls", "High Calls"))</f>
        <v>#REF!</v>
      </c>
      <c r="AF4079" t="e">
        <f xml:space="preserve">
IF(#REF!&gt;=4,4,0)+
IF(#REF!="yes",3,0)+
IF(#REF!="High Charges",3,0)+
IF(#REF!&gt;250,4,0)+
IF(#REF!="no",1,0)+
IF(#REF!="Heavy Domestic User",2,0)</f>
        <v>#REF!</v>
      </c>
      <c r="AG4079" t="e">
        <f>IF(#REF!&gt;=10,"High Risk", IF(#REF!&gt;=5,"Medium Risk","Low Risk"))</f>
        <v>#REF!</v>
      </c>
      <c r="AH4079" t="e">
        <f>#REF! + #REF! + #REF! + #REF!</f>
        <v>#REF!</v>
      </c>
    </row>
    <row r="4080" spans="1:34" x14ac:dyDescent="0.35">
      <c r="A4080">
        <v>4079</v>
      </c>
      <c r="B4080" t="s">
        <v>38</v>
      </c>
      <c r="C4080">
        <v>102</v>
      </c>
      <c r="D4080" t="s">
        <v>28</v>
      </c>
      <c r="E4080" t="s">
        <v>22</v>
      </c>
      <c r="F4080" t="s">
        <v>22</v>
      </c>
      <c r="G4080">
        <v>0</v>
      </c>
      <c r="H4080">
        <v>62.5</v>
      </c>
      <c r="I4080">
        <v>68</v>
      </c>
      <c r="J4080">
        <v>10.63</v>
      </c>
      <c r="K4080">
        <v>222.2</v>
      </c>
      <c r="L4080">
        <v>114</v>
      </c>
      <c r="M4080">
        <v>18.89</v>
      </c>
      <c r="N4080">
        <v>142.4</v>
      </c>
      <c r="O4080">
        <v>96</v>
      </c>
      <c r="P4080">
        <v>6.41</v>
      </c>
      <c r="Q4080">
        <v>12.5</v>
      </c>
      <c r="R4080">
        <v>5</v>
      </c>
      <c r="S4080">
        <v>3.38</v>
      </c>
      <c r="T4080">
        <v>1</v>
      </c>
      <c r="U4080" t="s">
        <v>22</v>
      </c>
      <c r="V4080" t="e">
        <f>IF(#REF! = "yes", 1, 0)</f>
        <v>#REF!</v>
      </c>
      <c r="W4080" t="e">
        <f>IF(#REF! &lt;= 1, "0-1 Calls", IF(#REF! &lt;= 3, "2-3 Calls", IF(#REF! &lt;=5, "4-5 Calls", "6+ Calls")))</f>
        <v>#REF!</v>
      </c>
      <c r="X4080" t="e">
        <f>IF(#REF! &lt;= 50, "0-50", IF(#REF! &lt;=100, "51-100", IF(#REF! &lt;= 150, "101-150", "151+")))</f>
        <v>#REF!</v>
      </c>
      <c r="Y4080" t="e">
        <f>IF(#REF! &lt;= 3, "Low Charges", "High Charges")</f>
        <v>#REF!</v>
      </c>
      <c r="Z4080" t="e">
        <f>IF(#REF!&lt;=80,"Low Calls",
IF(#REF!&lt;=120,"Medium Calls","High Calls"))</f>
        <v>#REF!</v>
      </c>
      <c r="AA4080" t="e">
        <f>IF(#REF!&lt;=15,"Low Charges",
IF(#REF!&lt;=20,"Medium Charges","High Charges"))</f>
        <v>#REF!</v>
      </c>
      <c r="AB4080" t="e">
        <f>IF(AND(#REF!&gt;180, #REF!&gt;200), "Heavy Doemstic User", IF(#REF!&gt;10, "Interntional User", IF(AND(#REF!&lt;180, #REF!&lt;200,#REF!&lt;200), "Light User", "Balanced User")))</f>
        <v>#REF!</v>
      </c>
      <c r="AC4080" t="e">
        <f>IF(#REF! = 0, "No Usage", IF(#REF! &lt;= 20, "Low Usage", IF(#REF! &lt;= 40, "Medium Usgae", "High Usage")))</f>
        <v>#REF!</v>
      </c>
      <c r="AD4080" t="e">
        <f>IF(#REF!&lt;=150,"Low Usage", IF(#REF!&lt;=200,"Medium Usage", IF(#REF!&lt;=250,"High Usage","Very High Usage")))</f>
        <v>#REF!</v>
      </c>
      <c r="AE4080" t="e">
        <f>IF(#REF!&lt;=5,"Low Calls", IF(#REF!&lt;=10, "Medium Calls", "High Calls"))</f>
        <v>#REF!</v>
      </c>
      <c r="AF4080" t="e">
        <f xml:space="preserve">
IF(#REF!&gt;=4,4,0)+
IF(#REF!="yes",3,0)+
IF(#REF!="High Charges",3,0)+
IF(#REF!&gt;250,4,0)+
IF(#REF!="no",1,0)+
IF(#REF!="Heavy Domestic User",2,0)</f>
        <v>#REF!</v>
      </c>
      <c r="AG4080" t="e">
        <f>IF(#REF!&gt;=10,"High Risk", IF(#REF!&gt;=5,"Medium Risk","Low Risk"))</f>
        <v>#REF!</v>
      </c>
      <c r="AH4080" t="e">
        <f>#REF! + #REF! + #REF! + #REF!</f>
        <v>#REF!</v>
      </c>
    </row>
    <row r="4081" spans="1:34" x14ac:dyDescent="0.35">
      <c r="A4081">
        <v>4080</v>
      </c>
      <c r="B4081" t="s">
        <v>71</v>
      </c>
      <c r="C4081">
        <v>222</v>
      </c>
      <c r="D4081" t="s">
        <v>21</v>
      </c>
      <c r="E4081" t="s">
        <v>22</v>
      </c>
      <c r="F4081" t="s">
        <v>22</v>
      </c>
      <c r="G4081">
        <v>0</v>
      </c>
      <c r="H4081">
        <v>256.60000000000002</v>
      </c>
      <c r="I4081">
        <v>119</v>
      </c>
      <c r="J4081">
        <v>43.62</v>
      </c>
      <c r="K4081">
        <v>230.8</v>
      </c>
      <c r="L4081">
        <v>98</v>
      </c>
      <c r="M4081">
        <v>19.62</v>
      </c>
      <c r="N4081">
        <v>236</v>
      </c>
      <c r="O4081">
        <v>97</v>
      </c>
      <c r="P4081">
        <v>10.62</v>
      </c>
      <c r="Q4081">
        <v>12.2</v>
      </c>
      <c r="R4081">
        <v>5</v>
      </c>
      <c r="S4081">
        <v>3.29</v>
      </c>
      <c r="T4081">
        <v>1</v>
      </c>
      <c r="U4081" t="s">
        <v>23</v>
      </c>
      <c r="V4081" t="e">
        <f>IF(#REF! = "yes", 1, 0)</f>
        <v>#REF!</v>
      </c>
      <c r="W4081" t="e">
        <f>IF(#REF! &lt;= 1, "0-1 Calls", IF(#REF! &lt;= 3, "2-3 Calls", IF(#REF! &lt;=5, "4-5 Calls", "6+ Calls")))</f>
        <v>#REF!</v>
      </c>
      <c r="X4081" t="e">
        <f>IF(#REF! &lt;= 50, "0-50", IF(#REF! &lt;=100, "51-100", IF(#REF! &lt;= 150, "101-150", "151+")))</f>
        <v>#REF!</v>
      </c>
      <c r="Y4081" t="e">
        <f>IF(#REF! &lt;= 3, "Low Charges", "High Charges")</f>
        <v>#REF!</v>
      </c>
      <c r="Z4081" t="e">
        <f>IF(#REF!&lt;=80,"Low Calls",
IF(#REF!&lt;=120,"Medium Calls","High Calls"))</f>
        <v>#REF!</v>
      </c>
      <c r="AA4081" t="e">
        <f>IF(#REF!&lt;=15,"Low Charges",
IF(#REF!&lt;=20,"Medium Charges","High Charges"))</f>
        <v>#REF!</v>
      </c>
      <c r="AB4081" t="e">
        <f>IF(AND(#REF!&gt;180, #REF!&gt;200), "Heavy Doemstic User", IF(#REF!&gt;10, "Interntional User", IF(AND(#REF!&lt;180, #REF!&lt;200,#REF!&lt;200), "Light User", "Balanced User")))</f>
        <v>#REF!</v>
      </c>
      <c r="AC4081" t="e">
        <f>IF(#REF! = 0, "No Usage", IF(#REF! &lt;= 20, "Low Usage", IF(#REF! &lt;= 40, "Medium Usgae", "High Usage")))</f>
        <v>#REF!</v>
      </c>
      <c r="AD4081" t="e">
        <f>IF(#REF!&lt;=150,"Low Usage", IF(#REF!&lt;=200,"Medium Usage", IF(#REF!&lt;=250,"High Usage","Very High Usage")))</f>
        <v>#REF!</v>
      </c>
      <c r="AE4081" t="e">
        <f>IF(#REF!&lt;=5,"Low Calls", IF(#REF!&lt;=10, "Medium Calls", "High Calls"))</f>
        <v>#REF!</v>
      </c>
      <c r="AF4081" t="e">
        <f xml:space="preserve">
IF(#REF!&gt;=4,4,0)+
IF(#REF!="yes",3,0)+
IF(#REF!="High Charges",3,0)+
IF(#REF!&gt;250,4,0)+
IF(#REF!="no",1,0)+
IF(#REF!="Heavy Domestic User",2,0)</f>
        <v>#REF!</v>
      </c>
      <c r="AG4081" t="e">
        <f>IF(#REF!&gt;=10,"High Risk", IF(#REF!&gt;=5,"Medium Risk","Low Risk"))</f>
        <v>#REF!</v>
      </c>
      <c r="AH4081" t="e">
        <f>#REF! + #REF! + #REF! + #REF!</f>
        <v>#REF!</v>
      </c>
    </row>
    <row r="4082" spans="1:34" x14ac:dyDescent="0.35">
      <c r="A4082">
        <v>4081</v>
      </c>
      <c r="B4082" t="s">
        <v>52</v>
      </c>
      <c r="C4082">
        <v>100</v>
      </c>
      <c r="D4082" t="s">
        <v>21</v>
      </c>
      <c r="E4082" t="s">
        <v>22</v>
      </c>
      <c r="F4082" t="s">
        <v>23</v>
      </c>
      <c r="G4082">
        <v>20</v>
      </c>
      <c r="H4082">
        <v>123.7</v>
      </c>
      <c r="I4082">
        <v>98</v>
      </c>
      <c r="J4082">
        <v>21.03</v>
      </c>
      <c r="K4082">
        <v>200.8</v>
      </c>
      <c r="L4082">
        <v>125</v>
      </c>
      <c r="M4082">
        <v>17.07</v>
      </c>
      <c r="N4082">
        <v>181</v>
      </c>
      <c r="O4082">
        <v>118</v>
      </c>
      <c r="P4082">
        <v>8.15</v>
      </c>
      <c r="Q4082">
        <v>9.6</v>
      </c>
      <c r="R4082">
        <v>5</v>
      </c>
      <c r="S4082">
        <v>2.59</v>
      </c>
      <c r="T4082">
        <v>1</v>
      </c>
      <c r="U4082" t="s">
        <v>22</v>
      </c>
      <c r="V4082" t="e">
        <f>IF(#REF! = "yes", 1, 0)</f>
        <v>#REF!</v>
      </c>
      <c r="W4082" t="e">
        <f>IF(#REF! &lt;= 1, "0-1 Calls", IF(#REF! &lt;= 3, "2-3 Calls", IF(#REF! &lt;=5, "4-5 Calls", "6+ Calls")))</f>
        <v>#REF!</v>
      </c>
      <c r="X4082" t="e">
        <f>IF(#REF! &lt;= 50, "0-50", IF(#REF! &lt;=100, "51-100", IF(#REF! &lt;= 150, "101-150", "151+")))</f>
        <v>#REF!</v>
      </c>
      <c r="Y4082" t="e">
        <f>IF(#REF! &lt;= 3, "Low Charges", "High Charges")</f>
        <v>#REF!</v>
      </c>
      <c r="Z4082" t="e">
        <f>IF(#REF!&lt;=80,"Low Calls",
IF(#REF!&lt;=120,"Medium Calls","High Calls"))</f>
        <v>#REF!</v>
      </c>
      <c r="AA4082" t="e">
        <f>IF(#REF!&lt;=15,"Low Charges",
IF(#REF!&lt;=20,"Medium Charges","High Charges"))</f>
        <v>#REF!</v>
      </c>
      <c r="AB4082" t="e">
        <f>IF(AND(#REF!&gt;180, #REF!&gt;200), "Heavy Doemstic User", IF(#REF!&gt;10, "Interntional User", IF(AND(#REF!&lt;180, #REF!&lt;200,#REF!&lt;200), "Light User", "Balanced User")))</f>
        <v>#REF!</v>
      </c>
      <c r="AC4082" t="e">
        <f>IF(#REF! = 0, "No Usage", IF(#REF! &lt;= 20, "Low Usage", IF(#REF! &lt;= 40, "Medium Usgae", "High Usage")))</f>
        <v>#REF!</v>
      </c>
      <c r="AD4082" t="e">
        <f>IF(#REF!&lt;=150,"Low Usage", IF(#REF!&lt;=200,"Medium Usage", IF(#REF!&lt;=250,"High Usage","Very High Usage")))</f>
        <v>#REF!</v>
      </c>
      <c r="AE4082" t="e">
        <f>IF(#REF!&lt;=5,"Low Calls", IF(#REF!&lt;=10, "Medium Calls", "High Calls"))</f>
        <v>#REF!</v>
      </c>
      <c r="AF4082" t="e">
        <f xml:space="preserve">
IF(#REF!&gt;=4,4,0)+
IF(#REF!="yes",3,0)+
IF(#REF!="High Charges",3,0)+
IF(#REF!&gt;250,4,0)+
IF(#REF!="no",1,0)+
IF(#REF!="Heavy Domestic User",2,0)</f>
        <v>#REF!</v>
      </c>
      <c r="AG4082" t="e">
        <f>IF(#REF!&gt;=10,"High Risk", IF(#REF!&gt;=5,"Medium Risk","Low Risk"))</f>
        <v>#REF!</v>
      </c>
      <c r="AH4082" t="e">
        <f>#REF! + #REF! + #REF! + #REF!</f>
        <v>#REF!</v>
      </c>
    </row>
    <row r="4083" spans="1:34" x14ac:dyDescent="0.35">
      <c r="A4083">
        <v>4082</v>
      </c>
      <c r="B4083" t="s">
        <v>69</v>
      </c>
      <c r="C4083">
        <v>86</v>
      </c>
      <c r="D4083" t="s">
        <v>25</v>
      </c>
      <c r="E4083" t="s">
        <v>22</v>
      </c>
      <c r="F4083" t="s">
        <v>22</v>
      </c>
      <c r="G4083">
        <v>0</v>
      </c>
      <c r="H4083">
        <v>113.1</v>
      </c>
      <c r="I4083">
        <v>77</v>
      </c>
      <c r="J4083">
        <v>19.23</v>
      </c>
      <c r="K4083">
        <v>294.39999999999998</v>
      </c>
      <c r="L4083">
        <v>126</v>
      </c>
      <c r="M4083">
        <v>25.02</v>
      </c>
      <c r="N4083">
        <v>101.4</v>
      </c>
      <c r="O4083">
        <v>94</v>
      </c>
      <c r="P4083">
        <v>4.5599999999999996</v>
      </c>
      <c r="Q4083">
        <v>13.4</v>
      </c>
      <c r="R4083">
        <v>3</v>
      </c>
      <c r="S4083">
        <v>3.62</v>
      </c>
      <c r="T4083">
        <v>1</v>
      </c>
      <c r="U4083" t="s">
        <v>22</v>
      </c>
      <c r="V4083" t="e">
        <f>IF(#REF! = "yes", 1, 0)</f>
        <v>#REF!</v>
      </c>
      <c r="W4083" t="e">
        <f>IF(#REF! &lt;= 1, "0-1 Calls", IF(#REF! &lt;= 3, "2-3 Calls", IF(#REF! &lt;=5, "4-5 Calls", "6+ Calls")))</f>
        <v>#REF!</v>
      </c>
      <c r="X4083" t="e">
        <f>IF(#REF! &lt;= 50, "0-50", IF(#REF! &lt;=100, "51-100", IF(#REF! &lt;= 150, "101-150", "151+")))</f>
        <v>#REF!</v>
      </c>
      <c r="Y4083" t="e">
        <f>IF(#REF! &lt;= 3, "Low Charges", "High Charges")</f>
        <v>#REF!</v>
      </c>
      <c r="Z4083" t="e">
        <f>IF(#REF!&lt;=80,"Low Calls",
IF(#REF!&lt;=120,"Medium Calls","High Calls"))</f>
        <v>#REF!</v>
      </c>
      <c r="AA4083" t="e">
        <f>IF(#REF!&lt;=15,"Low Charges",
IF(#REF!&lt;=20,"Medium Charges","High Charges"))</f>
        <v>#REF!</v>
      </c>
      <c r="AB4083" t="e">
        <f>IF(AND(#REF!&gt;180, #REF!&gt;200), "Heavy Doemstic User", IF(#REF!&gt;10, "Interntional User", IF(AND(#REF!&lt;180, #REF!&lt;200,#REF!&lt;200), "Light User", "Balanced User")))</f>
        <v>#REF!</v>
      </c>
      <c r="AC4083" t="e">
        <f>IF(#REF! = 0, "No Usage", IF(#REF! &lt;= 20, "Low Usage", IF(#REF! &lt;= 40, "Medium Usgae", "High Usage")))</f>
        <v>#REF!</v>
      </c>
      <c r="AD4083" t="e">
        <f>IF(#REF!&lt;=150,"Low Usage", IF(#REF!&lt;=200,"Medium Usage", IF(#REF!&lt;=250,"High Usage","Very High Usage")))</f>
        <v>#REF!</v>
      </c>
      <c r="AE4083" t="e">
        <f>IF(#REF!&lt;=5,"Low Calls", IF(#REF!&lt;=10, "Medium Calls", "High Calls"))</f>
        <v>#REF!</v>
      </c>
      <c r="AF4083" t="e">
        <f xml:space="preserve">
IF(#REF!&gt;=4,4,0)+
IF(#REF!="yes",3,0)+
IF(#REF!="High Charges",3,0)+
IF(#REF!&gt;250,4,0)+
IF(#REF!="no",1,0)+
IF(#REF!="Heavy Domestic User",2,0)</f>
        <v>#REF!</v>
      </c>
      <c r="AG4083" t="e">
        <f>IF(#REF!&gt;=10,"High Risk", IF(#REF!&gt;=5,"Medium Risk","Low Risk"))</f>
        <v>#REF!</v>
      </c>
      <c r="AH4083" t="e">
        <f>#REF! + #REF! + #REF! + #REF!</f>
        <v>#REF!</v>
      </c>
    </row>
    <row r="4084" spans="1:34" x14ac:dyDescent="0.35">
      <c r="A4084">
        <v>4083</v>
      </c>
      <c r="B4084" t="s">
        <v>54</v>
      </c>
      <c r="C4084">
        <v>94</v>
      </c>
      <c r="D4084" t="s">
        <v>21</v>
      </c>
      <c r="E4084" t="s">
        <v>22</v>
      </c>
      <c r="F4084" t="s">
        <v>23</v>
      </c>
      <c r="G4084">
        <v>38</v>
      </c>
      <c r="H4084">
        <v>220</v>
      </c>
      <c r="I4084">
        <v>102</v>
      </c>
      <c r="J4084">
        <v>37.4</v>
      </c>
      <c r="K4084">
        <v>180.3</v>
      </c>
      <c r="L4084">
        <v>119</v>
      </c>
      <c r="M4084">
        <v>15.33</v>
      </c>
      <c r="N4084">
        <v>136.19999999999999</v>
      </c>
      <c r="O4084">
        <v>90</v>
      </c>
      <c r="P4084">
        <v>6.13</v>
      </c>
      <c r="Q4084">
        <v>10.3</v>
      </c>
      <c r="R4084">
        <v>2</v>
      </c>
      <c r="S4084">
        <v>2.78</v>
      </c>
      <c r="T4084">
        <v>1</v>
      </c>
      <c r="U4084" t="s">
        <v>22</v>
      </c>
      <c r="V4084" t="e">
        <f>IF(#REF! = "yes", 1, 0)</f>
        <v>#REF!</v>
      </c>
      <c r="W4084" t="e">
        <f>IF(#REF! &lt;= 1, "0-1 Calls", IF(#REF! &lt;= 3, "2-3 Calls", IF(#REF! &lt;=5, "4-5 Calls", "6+ Calls")))</f>
        <v>#REF!</v>
      </c>
      <c r="X4084" t="e">
        <f>IF(#REF! &lt;= 50, "0-50", IF(#REF! &lt;=100, "51-100", IF(#REF! &lt;= 150, "101-150", "151+")))</f>
        <v>#REF!</v>
      </c>
      <c r="Y4084" t="e">
        <f>IF(#REF! &lt;= 3, "Low Charges", "High Charges")</f>
        <v>#REF!</v>
      </c>
      <c r="Z4084" t="e">
        <f>IF(#REF!&lt;=80,"Low Calls",
IF(#REF!&lt;=120,"Medium Calls","High Calls"))</f>
        <v>#REF!</v>
      </c>
      <c r="AA4084" t="e">
        <f>IF(#REF!&lt;=15,"Low Charges",
IF(#REF!&lt;=20,"Medium Charges","High Charges"))</f>
        <v>#REF!</v>
      </c>
      <c r="AB4084" t="e">
        <f>IF(AND(#REF!&gt;180, #REF!&gt;200), "Heavy Doemstic User", IF(#REF!&gt;10, "Interntional User", IF(AND(#REF!&lt;180, #REF!&lt;200,#REF!&lt;200), "Light User", "Balanced User")))</f>
        <v>#REF!</v>
      </c>
      <c r="AC4084" t="e">
        <f>IF(#REF! = 0, "No Usage", IF(#REF! &lt;= 20, "Low Usage", IF(#REF! &lt;= 40, "Medium Usgae", "High Usage")))</f>
        <v>#REF!</v>
      </c>
      <c r="AD4084" t="e">
        <f>IF(#REF!&lt;=150,"Low Usage", IF(#REF!&lt;=200,"Medium Usage", IF(#REF!&lt;=250,"High Usage","Very High Usage")))</f>
        <v>#REF!</v>
      </c>
      <c r="AE4084" t="e">
        <f>IF(#REF!&lt;=5,"Low Calls", IF(#REF!&lt;=10, "Medium Calls", "High Calls"))</f>
        <v>#REF!</v>
      </c>
      <c r="AF4084" t="e">
        <f xml:space="preserve">
IF(#REF!&gt;=4,4,0)+
IF(#REF!="yes",3,0)+
IF(#REF!="High Charges",3,0)+
IF(#REF!&gt;250,4,0)+
IF(#REF!="no",1,0)+
IF(#REF!="Heavy Domestic User",2,0)</f>
        <v>#REF!</v>
      </c>
      <c r="AG4084" t="e">
        <f>IF(#REF!&gt;=10,"High Risk", IF(#REF!&gt;=5,"Medium Risk","Low Risk"))</f>
        <v>#REF!</v>
      </c>
      <c r="AH4084" t="e">
        <f>#REF! + #REF! + #REF! + #REF!</f>
        <v>#REF!</v>
      </c>
    </row>
    <row r="4085" spans="1:34" x14ac:dyDescent="0.35">
      <c r="A4085">
        <v>4084</v>
      </c>
      <c r="B4085" t="s">
        <v>63</v>
      </c>
      <c r="C4085">
        <v>106</v>
      </c>
      <c r="D4085" t="s">
        <v>21</v>
      </c>
      <c r="E4085" t="s">
        <v>22</v>
      </c>
      <c r="F4085" t="s">
        <v>22</v>
      </c>
      <c r="G4085">
        <v>0</v>
      </c>
      <c r="H4085">
        <v>147.69999999999999</v>
      </c>
      <c r="I4085">
        <v>105</v>
      </c>
      <c r="J4085">
        <v>25.11</v>
      </c>
      <c r="K4085">
        <v>215</v>
      </c>
      <c r="L4085">
        <v>129</v>
      </c>
      <c r="M4085">
        <v>18.28</v>
      </c>
      <c r="N4085">
        <v>267.2</v>
      </c>
      <c r="O4085">
        <v>95</v>
      </c>
      <c r="P4085">
        <v>12.02</v>
      </c>
      <c r="Q4085">
        <v>11</v>
      </c>
      <c r="R4085">
        <v>3</v>
      </c>
      <c r="S4085">
        <v>2.97</v>
      </c>
      <c r="T4085">
        <v>1</v>
      </c>
      <c r="U4085" t="s">
        <v>22</v>
      </c>
      <c r="V4085" t="e">
        <f>IF(#REF! = "yes", 1, 0)</f>
        <v>#REF!</v>
      </c>
      <c r="W4085" t="e">
        <f>IF(#REF! &lt;= 1, "0-1 Calls", IF(#REF! &lt;= 3, "2-3 Calls", IF(#REF! &lt;=5, "4-5 Calls", "6+ Calls")))</f>
        <v>#REF!</v>
      </c>
      <c r="X4085" t="e">
        <f>IF(#REF! &lt;= 50, "0-50", IF(#REF! &lt;=100, "51-100", IF(#REF! &lt;= 150, "101-150", "151+")))</f>
        <v>#REF!</v>
      </c>
      <c r="Y4085" t="e">
        <f>IF(#REF! &lt;= 3, "Low Charges", "High Charges")</f>
        <v>#REF!</v>
      </c>
      <c r="Z4085" t="e">
        <f>IF(#REF!&lt;=80,"Low Calls",
IF(#REF!&lt;=120,"Medium Calls","High Calls"))</f>
        <v>#REF!</v>
      </c>
      <c r="AA4085" t="e">
        <f>IF(#REF!&lt;=15,"Low Charges",
IF(#REF!&lt;=20,"Medium Charges","High Charges"))</f>
        <v>#REF!</v>
      </c>
      <c r="AB4085" t="e">
        <f>IF(AND(#REF!&gt;180, #REF!&gt;200), "Heavy Doemstic User", IF(#REF!&gt;10, "Interntional User", IF(AND(#REF!&lt;180, #REF!&lt;200,#REF!&lt;200), "Light User", "Balanced User")))</f>
        <v>#REF!</v>
      </c>
      <c r="AC4085" t="e">
        <f>IF(#REF! = 0, "No Usage", IF(#REF! &lt;= 20, "Low Usage", IF(#REF! &lt;= 40, "Medium Usgae", "High Usage")))</f>
        <v>#REF!</v>
      </c>
      <c r="AD4085" t="e">
        <f>IF(#REF!&lt;=150,"Low Usage", IF(#REF!&lt;=200,"Medium Usage", IF(#REF!&lt;=250,"High Usage","Very High Usage")))</f>
        <v>#REF!</v>
      </c>
      <c r="AE4085" t="e">
        <f>IF(#REF!&lt;=5,"Low Calls", IF(#REF!&lt;=10, "Medium Calls", "High Calls"))</f>
        <v>#REF!</v>
      </c>
      <c r="AF4085" t="e">
        <f xml:space="preserve">
IF(#REF!&gt;=4,4,0)+
IF(#REF!="yes",3,0)+
IF(#REF!="High Charges",3,0)+
IF(#REF!&gt;250,4,0)+
IF(#REF!="no",1,0)+
IF(#REF!="Heavy Domestic User",2,0)</f>
        <v>#REF!</v>
      </c>
      <c r="AG4085" t="e">
        <f>IF(#REF!&gt;=10,"High Risk", IF(#REF!&gt;=5,"Medium Risk","Low Risk"))</f>
        <v>#REF!</v>
      </c>
      <c r="AH4085" t="e">
        <f>#REF! + #REF! + #REF! + #REF!</f>
        <v>#REF!</v>
      </c>
    </row>
    <row r="4086" spans="1:34" x14ac:dyDescent="0.35">
      <c r="A4086">
        <v>4085</v>
      </c>
      <c r="B4086" t="s">
        <v>68</v>
      </c>
      <c r="C4086">
        <v>91</v>
      </c>
      <c r="D4086" t="s">
        <v>21</v>
      </c>
      <c r="E4086" t="s">
        <v>22</v>
      </c>
      <c r="F4086" t="s">
        <v>22</v>
      </c>
      <c r="G4086">
        <v>0</v>
      </c>
      <c r="H4086">
        <v>271.89999999999998</v>
      </c>
      <c r="I4086">
        <v>106</v>
      </c>
      <c r="J4086">
        <v>46.22</v>
      </c>
      <c r="K4086">
        <v>231.9</v>
      </c>
      <c r="L4086">
        <v>116</v>
      </c>
      <c r="M4086">
        <v>19.71</v>
      </c>
      <c r="N4086">
        <v>247</v>
      </c>
      <c r="O4086">
        <v>110</v>
      </c>
      <c r="P4086">
        <v>11.12</v>
      </c>
      <c r="Q4086">
        <v>9.3000000000000007</v>
      </c>
      <c r="R4086">
        <v>3</v>
      </c>
      <c r="S4086">
        <v>2.5099999999999998</v>
      </c>
      <c r="T4086">
        <v>1</v>
      </c>
      <c r="U4086" t="s">
        <v>23</v>
      </c>
      <c r="V4086" t="e">
        <f>IF(#REF! = "yes", 1, 0)</f>
        <v>#REF!</v>
      </c>
      <c r="W4086" t="e">
        <f>IF(#REF! &lt;= 1, "0-1 Calls", IF(#REF! &lt;= 3, "2-3 Calls", IF(#REF! &lt;=5, "4-5 Calls", "6+ Calls")))</f>
        <v>#REF!</v>
      </c>
      <c r="X4086" t="e">
        <f>IF(#REF! &lt;= 50, "0-50", IF(#REF! &lt;=100, "51-100", IF(#REF! &lt;= 150, "101-150", "151+")))</f>
        <v>#REF!</v>
      </c>
      <c r="Y4086" t="e">
        <f>IF(#REF! &lt;= 3, "Low Charges", "High Charges")</f>
        <v>#REF!</v>
      </c>
      <c r="Z4086" t="e">
        <f>IF(#REF!&lt;=80,"Low Calls",
IF(#REF!&lt;=120,"Medium Calls","High Calls"))</f>
        <v>#REF!</v>
      </c>
      <c r="AA4086" t="e">
        <f>IF(#REF!&lt;=15,"Low Charges",
IF(#REF!&lt;=20,"Medium Charges","High Charges"))</f>
        <v>#REF!</v>
      </c>
      <c r="AB4086" t="e">
        <f>IF(AND(#REF!&gt;180, #REF!&gt;200), "Heavy Doemstic User", IF(#REF!&gt;10, "Interntional User", IF(AND(#REF!&lt;180, #REF!&lt;200,#REF!&lt;200), "Light User", "Balanced User")))</f>
        <v>#REF!</v>
      </c>
      <c r="AC4086" t="e">
        <f>IF(#REF! = 0, "No Usage", IF(#REF! &lt;= 20, "Low Usage", IF(#REF! &lt;= 40, "Medium Usgae", "High Usage")))</f>
        <v>#REF!</v>
      </c>
      <c r="AD4086" t="e">
        <f>IF(#REF!&lt;=150,"Low Usage", IF(#REF!&lt;=200,"Medium Usage", IF(#REF!&lt;=250,"High Usage","Very High Usage")))</f>
        <v>#REF!</v>
      </c>
      <c r="AE4086" t="e">
        <f>IF(#REF!&lt;=5,"Low Calls", IF(#REF!&lt;=10, "Medium Calls", "High Calls"))</f>
        <v>#REF!</v>
      </c>
      <c r="AF4086" t="e">
        <f xml:space="preserve">
IF(#REF!&gt;=4,4,0)+
IF(#REF!="yes",3,0)+
IF(#REF!="High Charges",3,0)+
IF(#REF!&gt;250,4,0)+
IF(#REF!="no",1,0)+
IF(#REF!="Heavy Domestic User",2,0)</f>
        <v>#REF!</v>
      </c>
      <c r="AG4086" t="e">
        <f>IF(#REF!&gt;=10,"High Risk", IF(#REF!&gt;=5,"Medium Risk","Low Risk"))</f>
        <v>#REF!</v>
      </c>
      <c r="AH4086" t="e">
        <f>#REF! + #REF! + #REF! + #REF!</f>
        <v>#REF!</v>
      </c>
    </row>
    <row r="4087" spans="1:34" x14ac:dyDescent="0.35">
      <c r="A4087">
        <v>4086</v>
      </c>
      <c r="B4087" t="s">
        <v>75</v>
      </c>
      <c r="C4087">
        <v>62</v>
      </c>
      <c r="D4087" t="s">
        <v>28</v>
      </c>
      <c r="E4087" t="s">
        <v>22</v>
      </c>
      <c r="F4087" t="s">
        <v>22</v>
      </c>
      <c r="G4087">
        <v>0</v>
      </c>
      <c r="H4087">
        <v>196.2</v>
      </c>
      <c r="I4087">
        <v>107</v>
      </c>
      <c r="J4087">
        <v>33.35</v>
      </c>
      <c r="K4087">
        <v>103.9</v>
      </c>
      <c r="L4087">
        <v>104</v>
      </c>
      <c r="M4087">
        <v>8.83</v>
      </c>
      <c r="N4087">
        <v>203.8</v>
      </c>
      <c r="O4087">
        <v>88</v>
      </c>
      <c r="P4087">
        <v>9.17</v>
      </c>
      <c r="Q4087">
        <v>13.2</v>
      </c>
      <c r="R4087">
        <v>4</v>
      </c>
      <c r="S4087">
        <v>3.56</v>
      </c>
      <c r="T4087">
        <v>1</v>
      </c>
      <c r="U4087" t="s">
        <v>22</v>
      </c>
      <c r="V4087" t="e">
        <f>IF(#REF! = "yes", 1, 0)</f>
        <v>#REF!</v>
      </c>
      <c r="W4087" t="e">
        <f>IF(#REF! &lt;= 1, "0-1 Calls", IF(#REF! &lt;= 3, "2-3 Calls", IF(#REF! &lt;=5, "4-5 Calls", "6+ Calls")))</f>
        <v>#REF!</v>
      </c>
      <c r="X4087" t="e">
        <f>IF(#REF! &lt;= 50, "0-50", IF(#REF! &lt;=100, "51-100", IF(#REF! &lt;= 150, "101-150", "151+")))</f>
        <v>#REF!</v>
      </c>
      <c r="Y4087" t="e">
        <f>IF(#REF! &lt;= 3, "Low Charges", "High Charges")</f>
        <v>#REF!</v>
      </c>
      <c r="Z4087" t="e">
        <f>IF(#REF!&lt;=80,"Low Calls",
IF(#REF!&lt;=120,"Medium Calls","High Calls"))</f>
        <v>#REF!</v>
      </c>
      <c r="AA4087" t="e">
        <f>IF(#REF!&lt;=15,"Low Charges",
IF(#REF!&lt;=20,"Medium Charges","High Charges"))</f>
        <v>#REF!</v>
      </c>
      <c r="AB4087" t="e">
        <f>IF(AND(#REF!&gt;180, #REF!&gt;200), "Heavy Doemstic User", IF(#REF!&gt;10, "Interntional User", IF(AND(#REF!&lt;180, #REF!&lt;200,#REF!&lt;200), "Light User", "Balanced User")))</f>
        <v>#REF!</v>
      </c>
      <c r="AC4087" t="e">
        <f>IF(#REF! = 0, "No Usage", IF(#REF! &lt;= 20, "Low Usage", IF(#REF! &lt;= 40, "Medium Usgae", "High Usage")))</f>
        <v>#REF!</v>
      </c>
      <c r="AD4087" t="e">
        <f>IF(#REF!&lt;=150,"Low Usage", IF(#REF!&lt;=200,"Medium Usage", IF(#REF!&lt;=250,"High Usage","Very High Usage")))</f>
        <v>#REF!</v>
      </c>
      <c r="AE4087" t="e">
        <f>IF(#REF!&lt;=5,"Low Calls", IF(#REF!&lt;=10, "Medium Calls", "High Calls"))</f>
        <v>#REF!</v>
      </c>
      <c r="AF4087" t="e">
        <f xml:space="preserve">
IF(#REF!&gt;=4,4,0)+
IF(#REF!="yes",3,0)+
IF(#REF!="High Charges",3,0)+
IF(#REF!&gt;250,4,0)+
IF(#REF!="no",1,0)+
IF(#REF!="Heavy Domestic User",2,0)</f>
        <v>#REF!</v>
      </c>
      <c r="AG4087" t="e">
        <f>IF(#REF!&gt;=10,"High Risk", IF(#REF!&gt;=5,"Medium Risk","Low Risk"))</f>
        <v>#REF!</v>
      </c>
      <c r="AH4087" t="e">
        <f>#REF! + #REF! + #REF! + #REF!</f>
        <v>#REF!</v>
      </c>
    </row>
    <row r="4088" spans="1:34" x14ac:dyDescent="0.35">
      <c r="A4088">
        <v>4087</v>
      </c>
      <c r="B4088" t="s">
        <v>49</v>
      </c>
      <c r="C4088">
        <v>47</v>
      </c>
      <c r="D4088" t="s">
        <v>21</v>
      </c>
      <c r="E4088" t="s">
        <v>22</v>
      </c>
      <c r="F4088" t="s">
        <v>22</v>
      </c>
      <c r="G4088">
        <v>0</v>
      </c>
      <c r="H4088">
        <v>111.3</v>
      </c>
      <c r="I4088">
        <v>92</v>
      </c>
      <c r="J4088">
        <v>18.920000000000002</v>
      </c>
      <c r="K4088">
        <v>109.4</v>
      </c>
      <c r="L4088">
        <v>108</v>
      </c>
      <c r="M4088">
        <v>9.3000000000000007</v>
      </c>
      <c r="N4088">
        <v>116.9</v>
      </c>
      <c r="O4088">
        <v>80</v>
      </c>
      <c r="P4088">
        <v>5.26</v>
      </c>
      <c r="Q4088">
        <v>10.8</v>
      </c>
      <c r="R4088">
        <v>8</v>
      </c>
      <c r="S4088">
        <v>2.92</v>
      </c>
      <c r="T4088">
        <v>1</v>
      </c>
      <c r="U4088" t="s">
        <v>22</v>
      </c>
      <c r="V4088" t="e">
        <f>IF(#REF! = "yes", 1, 0)</f>
        <v>#REF!</v>
      </c>
      <c r="W4088" t="e">
        <f>IF(#REF! &lt;= 1, "0-1 Calls", IF(#REF! &lt;= 3, "2-3 Calls", IF(#REF! &lt;=5, "4-5 Calls", "6+ Calls")))</f>
        <v>#REF!</v>
      </c>
      <c r="X4088" t="e">
        <f>IF(#REF! &lt;= 50, "0-50", IF(#REF! &lt;=100, "51-100", IF(#REF! &lt;= 150, "101-150", "151+")))</f>
        <v>#REF!</v>
      </c>
      <c r="Y4088" t="e">
        <f>IF(#REF! &lt;= 3, "Low Charges", "High Charges")</f>
        <v>#REF!</v>
      </c>
      <c r="Z4088" t="e">
        <f>IF(#REF!&lt;=80,"Low Calls",
IF(#REF!&lt;=120,"Medium Calls","High Calls"))</f>
        <v>#REF!</v>
      </c>
      <c r="AA4088" t="e">
        <f>IF(#REF!&lt;=15,"Low Charges",
IF(#REF!&lt;=20,"Medium Charges","High Charges"))</f>
        <v>#REF!</v>
      </c>
      <c r="AB4088" t="e">
        <f>IF(AND(#REF!&gt;180, #REF!&gt;200), "Heavy Doemstic User", IF(#REF!&gt;10, "Interntional User", IF(AND(#REF!&lt;180, #REF!&lt;200,#REF!&lt;200), "Light User", "Balanced User")))</f>
        <v>#REF!</v>
      </c>
      <c r="AC4088" t="e">
        <f>IF(#REF! = 0, "No Usage", IF(#REF! &lt;= 20, "Low Usage", IF(#REF! &lt;= 40, "Medium Usgae", "High Usage")))</f>
        <v>#REF!</v>
      </c>
      <c r="AD4088" t="e">
        <f>IF(#REF!&lt;=150,"Low Usage", IF(#REF!&lt;=200,"Medium Usage", IF(#REF!&lt;=250,"High Usage","Very High Usage")))</f>
        <v>#REF!</v>
      </c>
      <c r="AE4088" t="e">
        <f>IF(#REF!&lt;=5,"Low Calls", IF(#REF!&lt;=10, "Medium Calls", "High Calls"))</f>
        <v>#REF!</v>
      </c>
      <c r="AF4088" t="e">
        <f xml:space="preserve">
IF(#REF!&gt;=4,4,0)+
IF(#REF!="yes",3,0)+
IF(#REF!="High Charges",3,0)+
IF(#REF!&gt;250,4,0)+
IF(#REF!="no",1,0)+
IF(#REF!="Heavy Domestic User",2,0)</f>
        <v>#REF!</v>
      </c>
      <c r="AG4088" t="e">
        <f>IF(#REF!&gt;=10,"High Risk", IF(#REF!&gt;=5,"Medium Risk","Low Risk"))</f>
        <v>#REF!</v>
      </c>
      <c r="AH4088" t="e">
        <f>#REF! + #REF! + #REF! + #REF!</f>
        <v>#REF!</v>
      </c>
    </row>
    <row r="4089" spans="1:34" x14ac:dyDescent="0.35">
      <c r="A4089">
        <v>4088</v>
      </c>
      <c r="B4089" t="s">
        <v>30</v>
      </c>
      <c r="C4089">
        <v>51</v>
      </c>
      <c r="D4089" t="s">
        <v>21</v>
      </c>
      <c r="E4089" t="s">
        <v>22</v>
      </c>
      <c r="F4089" t="s">
        <v>22</v>
      </c>
      <c r="G4089">
        <v>0</v>
      </c>
      <c r="H4089">
        <v>176.7</v>
      </c>
      <c r="I4089">
        <v>129</v>
      </c>
      <c r="J4089">
        <v>30.04</v>
      </c>
      <c r="K4089">
        <v>218.9</v>
      </c>
      <c r="L4089">
        <v>125</v>
      </c>
      <c r="M4089">
        <v>18.61</v>
      </c>
      <c r="N4089">
        <v>183.9</v>
      </c>
      <c r="O4089">
        <v>51</v>
      </c>
      <c r="P4089">
        <v>8.2799999999999994</v>
      </c>
      <c r="Q4089">
        <v>9.1</v>
      </c>
      <c r="R4089">
        <v>4</v>
      </c>
      <c r="S4089">
        <v>2.46</v>
      </c>
      <c r="T4089">
        <v>0</v>
      </c>
      <c r="U4089" t="s">
        <v>22</v>
      </c>
      <c r="V4089" t="e">
        <f>IF(#REF! = "yes", 1, 0)</f>
        <v>#REF!</v>
      </c>
      <c r="W4089" t="e">
        <f>IF(#REF! &lt;= 1, "0-1 Calls", IF(#REF! &lt;= 3, "2-3 Calls", IF(#REF! &lt;=5, "4-5 Calls", "6+ Calls")))</f>
        <v>#REF!</v>
      </c>
      <c r="X4089" t="e">
        <f>IF(#REF! &lt;= 50, "0-50", IF(#REF! &lt;=100, "51-100", IF(#REF! &lt;= 150, "101-150", "151+")))</f>
        <v>#REF!</v>
      </c>
      <c r="Y4089" t="e">
        <f>IF(#REF! &lt;= 3, "Low Charges", "High Charges")</f>
        <v>#REF!</v>
      </c>
      <c r="Z4089" t="e">
        <f>IF(#REF!&lt;=80,"Low Calls",
IF(#REF!&lt;=120,"Medium Calls","High Calls"))</f>
        <v>#REF!</v>
      </c>
      <c r="AA4089" t="e">
        <f>IF(#REF!&lt;=15,"Low Charges",
IF(#REF!&lt;=20,"Medium Charges","High Charges"))</f>
        <v>#REF!</v>
      </c>
      <c r="AB4089" t="e">
        <f>IF(AND(#REF!&gt;180, #REF!&gt;200), "Heavy Doemstic User", IF(#REF!&gt;10, "Interntional User", IF(AND(#REF!&lt;180, #REF!&lt;200,#REF!&lt;200), "Light User", "Balanced User")))</f>
        <v>#REF!</v>
      </c>
      <c r="AC4089" t="e">
        <f>IF(#REF! = 0, "No Usage", IF(#REF! &lt;= 20, "Low Usage", IF(#REF! &lt;= 40, "Medium Usgae", "High Usage")))</f>
        <v>#REF!</v>
      </c>
      <c r="AD4089" t="e">
        <f>IF(#REF!&lt;=150,"Low Usage", IF(#REF!&lt;=200,"Medium Usage", IF(#REF!&lt;=250,"High Usage","Very High Usage")))</f>
        <v>#REF!</v>
      </c>
      <c r="AE4089" t="e">
        <f>IF(#REF!&lt;=5,"Low Calls", IF(#REF!&lt;=10, "Medium Calls", "High Calls"))</f>
        <v>#REF!</v>
      </c>
      <c r="AF4089" t="e">
        <f xml:space="preserve">
IF(#REF!&gt;=4,4,0)+
IF(#REF!="yes",3,0)+
IF(#REF!="High Charges",3,0)+
IF(#REF!&gt;250,4,0)+
IF(#REF!="no",1,0)+
IF(#REF!="Heavy Domestic User",2,0)</f>
        <v>#REF!</v>
      </c>
      <c r="AG4089" t="e">
        <f>IF(#REF!&gt;=10,"High Risk", IF(#REF!&gt;=5,"Medium Risk","Low Risk"))</f>
        <v>#REF!</v>
      </c>
      <c r="AH4089" t="e">
        <f>#REF! + #REF! + #REF! + #REF!</f>
        <v>#REF!</v>
      </c>
    </row>
    <row r="4090" spans="1:34" x14ac:dyDescent="0.35">
      <c r="A4090">
        <v>4089</v>
      </c>
      <c r="B4090" t="s">
        <v>26</v>
      </c>
      <c r="C4090">
        <v>116</v>
      </c>
      <c r="D4090" t="s">
        <v>25</v>
      </c>
      <c r="E4090" t="s">
        <v>22</v>
      </c>
      <c r="F4090" t="s">
        <v>22</v>
      </c>
      <c r="G4090">
        <v>0</v>
      </c>
      <c r="H4090">
        <v>211.3</v>
      </c>
      <c r="I4090">
        <v>91</v>
      </c>
      <c r="J4090">
        <v>35.92</v>
      </c>
      <c r="K4090">
        <v>190.9</v>
      </c>
      <c r="L4090">
        <v>116</v>
      </c>
      <c r="M4090">
        <v>16.23</v>
      </c>
      <c r="N4090">
        <v>184.1</v>
      </c>
      <c r="O4090">
        <v>134</v>
      </c>
      <c r="P4090">
        <v>8.2799999999999994</v>
      </c>
      <c r="Q4090">
        <v>6.3</v>
      </c>
      <c r="R4090">
        <v>4</v>
      </c>
      <c r="S4090">
        <v>1.7</v>
      </c>
      <c r="T4090">
        <v>2</v>
      </c>
      <c r="U4090" t="s">
        <v>22</v>
      </c>
      <c r="V4090" t="e">
        <f>IF(#REF! = "yes", 1, 0)</f>
        <v>#REF!</v>
      </c>
      <c r="W4090" t="e">
        <f>IF(#REF! &lt;= 1, "0-1 Calls", IF(#REF! &lt;= 3, "2-3 Calls", IF(#REF! &lt;=5, "4-5 Calls", "6+ Calls")))</f>
        <v>#REF!</v>
      </c>
      <c r="X4090" t="e">
        <f>IF(#REF! &lt;= 50, "0-50", IF(#REF! &lt;=100, "51-100", IF(#REF! &lt;= 150, "101-150", "151+")))</f>
        <v>#REF!</v>
      </c>
      <c r="Y4090" t="e">
        <f>IF(#REF! &lt;= 3, "Low Charges", "High Charges")</f>
        <v>#REF!</v>
      </c>
      <c r="Z4090" t="e">
        <f>IF(#REF!&lt;=80,"Low Calls",
IF(#REF!&lt;=120,"Medium Calls","High Calls"))</f>
        <v>#REF!</v>
      </c>
      <c r="AA4090" t="e">
        <f>IF(#REF!&lt;=15,"Low Charges",
IF(#REF!&lt;=20,"Medium Charges","High Charges"))</f>
        <v>#REF!</v>
      </c>
      <c r="AB4090" t="e">
        <f>IF(AND(#REF!&gt;180, #REF!&gt;200), "Heavy Doemstic User", IF(#REF!&gt;10, "Interntional User", IF(AND(#REF!&lt;180, #REF!&lt;200,#REF!&lt;200), "Light User", "Balanced User")))</f>
        <v>#REF!</v>
      </c>
      <c r="AC4090" t="e">
        <f>IF(#REF! = 0, "No Usage", IF(#REF! &lt;= 20, "Low Usage", IF(#REF! &lt;= 40, "Medium Usgae", "High Usage")))</f>
        <v>#REF!</v>
      </c>
      <c r="AD4090" t="e">
        <f>IF(#REF!&lt;=150,"Low Usage", IF(#REF!&lt;=200,"Medium Usage", IF(#REF!&lt;=250,"High Usage","Very High Usage")))</f>
        <v>#REF!</v>
      </c>
      <c r="AE4090" t="e">
        <f>IF(#REF!&lt;=5,"Low Calls", IF(#REF!&lt;=10, "Medium Calls", "High Calls"))</f>
        <v>#REF!</v>
      </c>
      <c r="AF4090" t="e">
        <f xml:space="preserve">
IF(#REF!&gt;=4,4,0)+
IF(#REF!="yes",3,0)+
IF(#REF!="High Charges",3,0)+
IF(#REF!&gt;250,4,0)+
IF(#REF!="no",1,0)+
IF(#REF!="Heavy Domestic User",2,0)</f>
        <v>#REF!</v>
      </c>
      <c r="AG4090" t="e">
        <f>IF(#REF!&gt;=10,"High Risk", IF(#REF!&gt;=5,"Medium Risk","Low Risk"))</f>
        <v>#REF!</v>
      </c>
      <c r="AH4090" t="e">
        <f>#REF! + #REF! + #REF! + #REF!</f>
        <v>#REF!</v>
      </c>
    </row>
    <row r="4091" spans="1:34" x14ac:dyDescent="0.35">
      <c r="A4091">
        <v>4090</v>
      </c>
      <c r="B4091" t="s">
        <v>37</v>
      </c>
      <c r="C4091">
        <v>145</v>
      </c>
      <c r="D4091" t="s">
        <v>21</v>
      </c>
      <c r="E4091" t="s">
        <v>22</v>
      </c>
      <c r="F4091" t="s">
        <v>22</v>
      </c>
      <c r="G4091">
        <v>0</v>
      </c>
      <c r="H4091">
        <v>219</v>
      </c>
      <c r="I4091">
        <v>98</v>
      </c>
      <c r="J4091">
        <v>37.229999999999997</v>
      </c>
      <c r="K4091">
        <v>176.1</v>
      </c>
      <c r="L4091">
        <v>109</v>
      </c>
      <c r="M4091">
        <v>14.97</v>
      </c>
      <c r="N4091">
        <v>166.3</v>
      </c>
      <c r="O4091">
        <v>132</v>
      </c>
      <c r="P4091">
        <v>7.48</v>
      </c>
      <c r="Q4091">
        <v>6.8</v>
      </c>
      <c r="R4091">
        <v>3</v>
      </c>
      <c r="S4091">
        <v>1.84</v>
      </c>
      <c r="T4091">
        <v>2</v>
      </c>
      <c r="U4091" t="s">
        <v>22</v>
      </c>
      <c r="V4091" t="e">
        <f>IF(#REF! = "yes", 1, 0)</f>
        <v>#REF!</v>
      </c>
      <c r="W4091" t="e">
        <f>IF(#REF! &lt;= 1, "0-1 Calls", IF(#REF! &lt;= 3, "2-3 Calls", IF(#REF! &lt;=5, "4-5 Calls", "6+ Calls")))</f>
        <v>#REF!</v>
      </c>
      <c r="X4091" t="e">
        <f>IF(#REF! &lt;= 50, "0-50", IF(#REF! &lt;=100, "51-100", IF(#REF! &lt;= 150, "101-150", "151+")))</f>
        <v>#REF!</v>
      </c>
      <c r="Y4091" t="e">
        <f>IF(#REF! &lt;= 3, "Low Charges", "High Charges")</f>
        <v>#REF!</v>
      </c>
      <c r="Z4091" t="e">
        <f>IF(#REF!&lt;=80,"Low Calls",
IF(#REF!&lt;=120,"Medium Calls","High Calls"))</f>
        <v>#REF!</v>
      </c>
      <c r="AA4091" t="e">
        <f>IF(#REF!&lt;=15,"Low Charges",
IF(#REF!&lt;=20,"Medium Charges","High Charges"))</f>
        <v>#REF!</v>
      </c>
      <c r="AB4091" t="e">
        <f>IF(AND(#REF!&gt;180, #REF!&gt;200), "Heavy Doemstic User", IF(#REF!&gt;10, "Interntional User", IF(AND(#REF!&lt;180, #REF!&lt;200,#REF!&lt;200), "Light User", "Balanced User")))</f>
        <v>#REF!</v>
      </c>
      <c r="AC4091" t="e">
        <f>IF(#REF! = 0, "No Usage", IF(#REF! &lt;= 20, "Low Usage", IF(#REF! &lt;= 40, "Medium Usgae", "High Usage")))</f>
        <v>#REF!</v>
      </c>
      <c r="AD4091" t="e">
        <f>IF(#REF!&lt;=150,"Low Usage", IF(#REF!&lt;=200,"Medium Usage", IF(#REF!&lt;=250,"High Usage","Very High Usage")))</f>
        <v>#REF!</v>
      </c>
      <c r="AE4091" t="e">
        <f>IF(#REF!&lt;=5,"Low Calls", IF(#REF!&lt;=10, "Medium Calls", "High Calls"))</f>
        <v>#REF!</v>
      </c>
      <c r="AF4091" t="e">
        <f xml:space="preserve">
IF(#REF!&gt;=4,4,0)+
IF(#REF!="yes",3,0)+
IF(#REF!="High Charges",3,0)+
IF(#REF!&gt;250,4,0)+
IF(#REF!="no",1,0)+
IF(#REF!="Heavy Domestic User",2,0)</f>
        <v>#REF!</v>
      </c>
      <c r="AG4091" t="e">
        <f>IF(#REF!&gt;=10,"High Risk", IF(#REF!&gt;=5,"Medium Risk","Low Risk"))</f>
        <v>#REF!</v>
      </c>
      <c r="AH4091" t="e">
        <f>#REF! + #REF! + #REF! + #REF!</f>
        <v>#REF!</v>
      </c>
    </row>
    <row r="4092" spans="1:34" x14ac:dyDescent="0.35">
      <c r="A4092">
        <v>4091</v>
      </c>
      <c r="B4092" t="s">
        <v>73</v>
      </c>
      <c r="C4092">
        <v>180</v>
      </c>
      <c r="D4092" t="s">
        <v>21</v>
      </c>
      <c r="E4092" t="s">
        <v>22</v>
      </c>
      <c r="F4092" t="s">
        <v>22</v>
      </c>
      <c r="G4092">
        <v>0</v>
      </c>
      <c r="H4092">
        <v>174.1</v>
      </c>
      <c r="I4092">
        <v>94</v>
      </c>
      <c r="J4092">
        <v>29.6</v>
      </c>
      <c r="K4092">
        <v>147.1</v>
      </c>
      <c r="L4092">
        <v>93</v>
      </c>
      <c r="M4092">
        <v>12.5</v>
      </c>
      <c r="N4092">
        <v>216.9</v>
      </c>
      <c r="O4092">
        <v>108</v>
      </c>
      <c r="P4092">
        <v>9.76</v>
      </c>
      <c r="Q4092">
        <v>16.2</v>
      </c>
      <c r="R4092">
        <v>3</v>
      </c>
      <c r="S4092">
        <v>4.37</v>
      </c>
      <c r="T4092">
        <v>1</v>
      </c>
      <c r="U4092" t="s">
        <v>22</v>
      </c>
      <c r="V4092" t="e">
        <f>IF(#REF! = "yes", 1, 0)</f>
        <v>#REF!</v>
      </c>
      <c r="W4092" t="e">
        <f>IF(#REF! &lt;= 1, "0-1 Calls", IF(#REF! &lt;= 3, "2-3 Calls", IF(#REF! &lt;=5, "4-5 Calls", "6+ Calls")))</f>
        <v>#REF!</v>
      </c>
      <c r="X4092" t="e">
        <f>IF(#REF! &lt;= 50, "0-50", IF(#REF! &lt;=100, "51-100", IF(#REF! &lt;= 150, "101-150", "151+")))</f>
        <v>#REF!</v>
      </c>
      <c r="Y4092" t="e">
        <f>IF(#REF! &lt;= 3, "Low Charges", "High Charges")</f>
        <v>#REF!</v>
      </c>
      <c r="Z4092" t="e">
        <f>IF(#REF!&lt;=80,"Low Calls",
IF(#REF!&lt;=120,"Medium Calls","High Calls"))</f>
        <v>#REF!</v>
      </c>
      <c r="AA4092" t="e">
        <f>IF(#REF!&lt;=15,"Low Charges",
IF(#REF!&lt;=20,"Medium Charges","High Charges"))</f>
        <v>#REF!</v>
      </c>
      <c r="AB4092" t="e">
        <f>IF(AND(#REF!&gt;180, #REF!&gt;200), "Heavy Doemstic User", IF(#REF!&gt;10, "Interntional User", IF(AND(#REF!&lt;180, #REF!&lt;200,#REF!&lt;200), "Light User", "Balanced User")))</f>
        <v>#REF!</v>
      </c>
      <c r="AC4092" t="e">
        <f>IF(#REF! = 0, "No Usage", IF(#REF! &lt;= 20, "Low Usage", IF(#REF! &lt;= 40, "Medium Usgae", "High Usage")))</f>
        <v>#REF!</v>
      </c>
      <c r="AD4092" t="e">
        <f>IF(#REF!&lt;=150,"Low Usage", IF(#REF!&lt;=200,"Medium Usage", IF(#REF!&lt;=250,"High Usage","Very High Usage")))</f>
        <v>#REF!</v>
      </c>
      <c r="AE4092" t="e">
        <f>IF(#REF!&lt;=5,"Low Calls", IF(#REF!&lt;=10, "Medium Calls", "High Calls"))</f>
        <v>#REF!</v>
      </c>
      <c r="AF4092" t="e">
        <f xml:space="preserve">
IF(#REF!&gt;=4,4,0)+
IF(#REF!="yes",3,0)+
IF(#REF!="High Charges",3,0)+
IF(#REF!&gt;250,4,0)+
IF(#REF!="no",1,0)+
IF(#REF!="Heavy Domestic User",2,0)</f>
        <v>#REF!</v>
      </c>
      <c r="AG4092" t="e">
        <f>IF(#REF!&gt;=10,"High Risk", IF(#REF!&gt;=5,"Medium Risk","Low Risk"))</f>
        <v>#REF!</v>
      </c>
      <c r="AH4092" t="e">
        <f>#REF! + #REF! + #REF! + #REF!</f>
        <v>#REF!</v>
      </c>
    </row>
    <row r="4093" spans="1:34" x14ac:dyDescent="0.35">
      <c r="A4093">
        <v>4092</v>
      </c>
      <c r="B4093" t="s">
        <v>69</v>
      </c>
      <c r="C4093">
        <v>67</v>
      </c>
      <c r="D4093" t="s">
        <v>21</v>
      </c>
      <c r="E4093" t="s">
        <v>22</v>
      </c>
      <c r="F4093" t="s">
        <v>22</v>
      </c>
      <c r="G4093">
        <v>0</v>
      </c>
      <c r="H4093">
        <v>124</v>
      </c>
      <c r="I4093">
        <v>77</v>
      </c>
      <c r="J4093">
        <v>21.08</v>
      </c>
      <c r="K4093">
        <v>222.2</v>
      </c>
      <c r="L4093">
        <v>95</v>
      </c>
      <c r="M4093">
        <v>18.89</v>
      </c>
      <c r="N4093">
        <v>151.19999999999999</v>
      </c>
      <c r="O4093">
        <v>111</v>
      </c>
      <c r="P4093">
        <v>6.8</v>
      </c>
      <c r="Q4093">
        <v>13.1</v>
      </c>
      <c r="R4093">
        <v>2</v>
      </c>
      <c r="S4093">
        <v>3.54</v>
      </c>
      <c r="T4093">
        <v>0</v>
      </c>
      <c r="U4093" t="s">
        <v>22</v>
      </c>
      <c r="V4093" t="e">
        <f>IF(#REF! = "yes", 1, 0)</f>
        <v>#REF!</v>
      </c>
      <c r="W4093" t="e">
        <f>IF(#REF! &lt;= 1, "0-1 Calls", IF(#REF! &lt;= 3, "2-3 Calls", IF(#REF! &lt;=5, "4-5 Calls", "6+ Calls")))</f>
        <v>#REF!</v>
      </c>
      <c r="X4093" t="e">
        <f>IF(#REF! &lt;= 50, "0-50", IF(#REF! &lt;=100, "51-100", IF(#REF! &lt;= 150, "101-150", "151+")))</f>
        <v>#REF!</v>
      </c>
      <c r="Y4093" t="e">
        <f>IF(#REF! &lt;= 3, "Low Charges", "High Charges")</f>
        <v>#REF!</v>
      </c>
      <c r="Z4093" t="e">
        <f>IF(#REF!&lt;=80,"Low Calls",
IF(#REF!&lt;=120,"Medium Calls","High Calls"))</f>
        <v>#REF!</v>
      </c>
      <c r="AA4093" t="e">
        <f>IF(#REF!&lt;=15,"Low Charges",
IF(#REF!&lt;=20,"Medium Charges","High Charges"))</f>
        <v>#REF!</v>
      </c>
      <c r="AB4093" t="e">
        <f>IF(AND(#REF!&gt;180, #REF!&gt;200), "Heavy Doemstic User", IF(#REF!&gt;10, "Interntional User", IF(AND(#REF!&lt;180, #REF!&lt;200,#REF!&lt;200), "Light User", "Balanced User")))</f>
        <v>#REF!</v>
      </c>
      <c r="AC4093" t="e">
        <f>IF(#REF! = 0, "No Usage", IF(#REF! &lt;= 20, "Low Usage", IF(#REF! &lt;= 40, "Medium Usgae", "High Usage")))</f>
        <v>#REF!</v>
      </c>
      <c r="AD4093" t="e">
        <f>IF(#REF!&lt;=150,"Low Usage", IF(#REF!&lt;=200,"Medium Usage", IF(#REF!&lt;=250,"High Usage","Very High Usage")))</f>
        <v>#REF!</v>
      </c>
      <c r="AE4093" t="e">
        <f>IF(#REF!&lt;=5,"Low Calls", IF(#REF!&lt;=10, "Medium Calls", "High Calls"))</f>
        <v>#REF!</v>
      </c>
      <c r="AF4093" t="e">
        <f xml:space="preserve">
IF(#REF!&gt;=4,4,0)+
IF(#REF!="yes",3,0)+
IF(#REF!="High Charges",3,0)+
IF(#REF!&gt;250,4,0)+
IF(#REF!="no",1,0)+
IF(#REF!="Heavy Domestic User",2,0)</f>
        <v>#REF!</v>
      </c>
      <c r="AG4093" t="e">
        <f>IF(#REF!&gt;=10,"High Risk", IF(#REF!&gt;=5,"Medium Risk","Low Risk"))</f>
        <v>#REF!</v>
      </c>
      <c r="AH4093" t="e">
        <f>#REF! + #REF! + #REF! + #REF!</f>
        <v>#REF!</v>
      </c>
    </row>
    <row r="4094" spans="1:34" x14ac:dyDescent="0.35">
      <c r="A4094">
        <v>4093</v>
      </c>
      <c r="B4094" t="s">
        <v>39</v>
      </c>
      <c r="C4094">
        <v>38</v>
      </c>
      <c r="D4094" t="s">
        <v>21</v>
      </c>
      <c r="E4094" t="s">
        <v>22</v>
      </c>
      <c r="F4094" t="s">
        <v>23</v>
      </c>
      <c r="G4094">
        <v>38</v>
      </c>
      <c r="H4094">
        <v>175.6</v>
      </c>
      <c r="I4094">
        <v>127</v>
      </c>
      <c r="J4094">
        <v>29.85</v>
      </c>
      <c r="K4094">
        <v>260.5</v>
      </c>
      <c r="L4094">
        <v>118</v>
      </c>
      <c r="M4094">
        <v>22.14</v>
      </c>
      <c r="N4094">
        <v>199.5</v>
      </c>
      <c r="O4094">
        <v>109</v>
      </c>
      <c r="P4094">
        <v>8.98</v>
      </c>
      <c r="Q4094">
        <v>12.3</v>
      </c>
      <c r="R4094">
        <v>2</v>
      </c>
      <c r="S4094">
        <v>3.32</v>
      </c>
      <c r="T4094">
        <v>2</v>
      </c>
      <c r="U4094" t="s">
        <v>22</v>
      </c>
      <c r="V4094" t="e">
        <f>IF(#REF! = "yes", 1, 0)</f>
        <v>#REF!</v>
      </c>
      <c r="W4094" t="e">
        <f>IF(#REF! &lt;= 1, "0-1 Calls", IF(#REF! &lt;= 3, "2-3 Calls", IF(#REF! &lt;=5, "4-5 Calls", "6+ Calls")))</f>
        <v>#REF!</v>
      </c>
      <c r="X4094" t="e">
        <f>IF(#REF! &lt;= 50, "0-50", IF(#REF! &lt;=100, "51-100", IF(#REF! &lt;= 150, "101-150", "151+")))</f>
        <v>#REF!</v>
      </c>
      <c r="Y4094" t="e">
        <f>IF(#REF! &lt;= 3, "Low Charges", "High Charges")</f>
        <v>#REF!</v>
      </c>
      <c r="Z4094" t="e">
        <f>IF(#REF!&lt;=80,"Low Calls",
IF(#REF!&lt;=120,"Medium Calls","High Calls"))</f>
        <v>#REF!</v>
      </c>
      <c r="AA4094" t="e">
        <f>IF(#REF!&lt;=15,"Low Charges",
IF(#REF!&lt;=20,"Medium Charges","High Charges"))</f>
        <v>#REF!</v>
      </c>
      <c r="AB4094" t="e">
        <f>IF(AND(#REF!&gt;180, #REF!&gt;200), "Heavy Doemstic User", IF(#REF!&gt;10, "Interntional User", IF(AND(#REF!&lt;180, #REF!&lt;200,#REF!&lt;200), "Light User", "Balanced User")))</f>
        <v>#REF!</v>
      </c>
      <c r="AC4094" t="e">
        <f>IF(#REF! = 0, "No Usage", IF(#REF! &lt;= 20, "Low Usage", IF(#REF! &lt;= 40, "Medium Usgae", "High Usage")))</f>
        <v>#REF!</v>
      </c>
      <c r="AD4094" t="e">
        <f>IF(#REF!&lt;=150,"Low Usage", IF(#REF!&lt;=200,"Medium Usage", IF(#REF!&lt;=250,"High Usage","Very High Usage")))</f>
        <v>#REF!</v>
      </c>
      <c r="AE4094" t="e">
        <f>IF(#REF!&lt;=5,"Low Calls", IF(#REF!&lt;=10, "Medium Calls", "High Calls"))</f>
        <v>#REF!</v>
      </c>
      <c r="AF4094" t="e">
        <f xml:space="preserve">
IF(#REF!&gt;=4,4,0)+
IF(#REF!="yes",3,0)+
IF(#REF!="High Charges",3,0)+
IF(#REF!&gt;250,4,0)+
IF(#REF!="no",1,0)+
IF(#REF!="Heavy Domestic User",2,0)</f>
        <v>#REF!</v>
      </c>
      <c r="AG4094" t="e">
        <f>IF(#REF!&gt;=10,"High Risk", IF(#REF!&gt;=5,"Medium Risk","Low Risk"))</f>
        <v>#REF!</v>
      </c>
      <c r="AH4094" t="e">
        <f>#REF! + #REF! + #REF! + #REF!</f>
        <v>#REF!</v>
      </c>
    </row>
    <row r="4095" spans="1:34" x14ac:dyDescent="0.35">
      <c r="A4095">
        <v>4094</v>
      </c>
      <c r="B4095" t="s">
        <v>30</v>
      </c>
      <c r="C4095">
        <v>164</v>
      </c>
      <c r="D4095" t="s">
        <v>25</v>
      </c>
      <c r="E4095" t="s">
        <v>22</v>
      </c>
      <c r="F4095" t="s">
        <v>23</v>
      </c>
      <c r="G4095">
        <v>32</v>
      </c>
      <c r="H4095">
        <v>111.7</v>
      </c>
      <c r="I4095">
        <v>116</v>
      </c>
      <c r="J4095">
        <v>18.989999999999998</v>
      </c>
      <c r="K4095">
        <v>133.9</v>
      </c>
      <c r="L4095">
        <v>93</v>
      </c>
      <c r="M4095">
        <v>11.38</v>
      </c>
      <c r="N4095">
        <v>176.5</v>
      </c>
      <c r="O4095">
        <v>76</v>
      </c>
      <c r="P4095">
        <v>7.94</v>
      </c>
      <c r="Q4095">
        <v>8</v>
      </c>
      <c r="R4095">
        <v>5</v>
      </c>
      <c r="S4095">
        <v>2.16</v>
      </c>
      <c r="T4095">
        <v>1</v>
      </c>
      <c r="U4095" t="s">
        <v>22</v>
      </c>
      <c r="V4095" t="e">
        <f>IF(#REF! = "yes", 1, 0)</f>
        <v>#REF!</v>
      </c>
      <c r="W4095" t="e">
        <f>IF(#REF! &lt;= 1, "0-1 Calls", IF(#REF! &lt;= 3, "2-3 Calls", IF(#REF! &lt;=5, "4-5 Calls", "6+ Calls")))</f>
        <v>#REF!</v>
      </c>
      <c r="X4095" t="e">
        <f>IF(#REF! &lt;= 50, "0-50", IF(#REF! &lt;=100, "51-100", IF(#REF! &lt;= 150, "101-150", "151+")))</f>
        <v>#REF!</v>
      </c>
      <c r="Y4095" t="e">
        <f>IF(#REF! &lt;= 3, "Low Charges", "High Charges")</f>
        <v>#REF!</v>
      </c>
      <c r="Z4095" t="e">
        <f>IF(#REF!&lt;=80,"Low Calls",
IF(#REF!&lt;=120,"Medium Calls","High Calls"))</f>
        <v>#REF!</v>
      </c>
      <c r="AA4095" t="e">
        <f>IF(#REF!&lt;=15,"Low Charges",
IF(#REF!&lt;=20,"Medium Charges","High Charges"))</f>
        <v>#REF!</v>
      </c>
      <c r="AB4095" t="e">
        <f>IF(AND(#REF!&gt;180, #REF!&gt;200), "Heavy Doemstic User", IF(#REF!&gt;10, "Interntional User", IF(AND(#REF!&lt;180, #REF!&lt;200,#REF!&lt;200), "Light User", "Balanced User")))</f>
        <v>#REF!</v>
      </c>
      <c r="AC4095" t="e">
        <f>IF(#REF! = 0, "No Usage", IF(#REF! &lt;= 20, "Low Usage", IF(#REF! &lt;= 40, "Medium Usgae", "High Usage")))</f>
        <v>#REF!</v>
      </c>
      <c r="AD4095" t="e">
        <f>IF(#REF!&lt;=150,"Low Usage", IF(#REF!&lt;=200,"Medium Usage", IF(#REF!&lt;=250,"High Usage","Very High Usage")))</f>
        <v>#REF!</v>
      </c>
      <c r="AE4095" t="e">
        <f>IF(#REF!&lt;=5,"Low Calls", IF(#REF!&lt;=10, "Medium Calls", "High Calls"))</f>
        <v>#REF!</v>
      </c>
      <c r="AF4095" t="e">
        <f xml:space="preserve">
IF(#REF!&gt;=4,4,0)+
IF(#REF!="yes",3,0)+
IF(#REF!="High Charges",3,0)+
IF(#REF!&gt;250,4,0)+
IF(#REF!="no",1,0)+
IF(#REF!="Heavy Domestic User",2,0)</f>
        <v>#REF!</v>
      </c>
      <c r="AG4095" t="e">
        <f>IF(#REF!&gt;=10,"High Risk", IF(#REF!&gt;=5,"Medium Risk","Low Risk"))</f>
        <v>#REF!</v>
      </c>
      <c r="AH4095" t="e">
        <f>#REF! + #REF! + #REF! + #REF!</f>
        <v>#REF!</v>
      </c>
    </row>
    <row r="4096" spans="1:34" x14ac:dyDescent="0.35">
      <c r="A4096">
        <v>4095</v>
      </c>
      <c r="B4096" t="s">
        <v>51</v>
      </c>
      <c r="C4096">
        <v>119</v>
      </c>
      <c r="D4096" t="s">
        <v>21</v>
      </c>
      <c r="E4096" t="s">
        <v>22</v>
      </c>
      <c r="F4096" t="s">
        <v>22</v>
      </c>
      <c r="G4096">
        <v>0</v>
      </c>
      <c r="H4096">
        <v>37.4</v>
      </c>
      <c r="I4096">
        <v>102</v>
      </c>
      <c r="J4096">
        <v>6.36</v>
      </c>
      <c r="K4096">
        <v>182.3</v>
      </c>
      <c r="L4096">
        <v>115</v>
      </c>
      <c r="M4096">
        <v>15.5</v>
      </c>
      <c r="N4096">
        <v>191.9</v>
      </c>
      <c r="O4096">
        <v>100</v>
      </c>
      <c r="P4096">
        <v>8.64</v>
      </c>
      <c r="Q4096">
        <v>8.3000000000000007</v>
      </c>
      <c r="R4096">
        <v>5</v>
      </c>
      <c r="S4096">
        <v>2.2400000000000002</v>
      </c>
      <c r="T4096">
        <v>2</v>
      </c>
      <c r="U4096" t="s">
        <v>22</v>
      </c>
      <c r="V4096" t="e">
        <f>IF(#REF! = "yes", 1, 0)</f>
        <v>#REF!</v>
      </c>
      <c r="W4096" t="e">
        <f>IF(#REF! &lt;= 1, "0-1 Calls", IF(#REF! &lt;= 3, "2-3 Calls", IF(#REF! &lt;=5, "4-5 Calls", "6+ Calls")))</f>
        <v>#REF!</v>
      </c>
      <c r="X4096" t="e">
        <f>IF(#REF! &lt;= 50, "0-50", IF(#REF! &lt;=100, "51-100", IF(#REF! &lt;= 150, "101-150", "151+")))</f>
        <v>#REF!</v>
      </c>
      <c r="Y4096" t="e">
        <f>IF(#REF! &lt;= 3, "Low Charges", "High Charges")</f>
        <v>#REF!</v>
      </c>
      <c r="Z4096" t="e">
        <f>IF(#REF!&lt;=80,"Low Calls",
IF(#REF!&lt;=120,"Medium Calls","High Calls"))</f>
        <v>#REF!</v>
      </c>
      <c r="AA4096" t="e">
        <f>IF(#REF!&lt;=15,"Low Charges",
IF(#REF!&lt;=20,"Medium Charges","High Charges"))</f>
        <v>#REF!</v>
      </c>
      <c r="AB4096" t="e">
        <f>IF(AND(#REF!&gt;180, #REF!&gt;200), "Heavy Doemstic User", IF(#REF!&gt;10, "Interntional User", IF(AND(#REF!&lt;180, #REF!&lt;200,#REF!&lt;200), "Light User", "Balanced User")))</f>
        <v>#REF!</v>
      </c>
      <c r="AC4096" t="e">
        <f>IF(#REF! = 0, "No Usage", IF(#REF! &lt;= 20, "Low Usage", IF(#REF! &lt;= 40, "Medium Usgae", "High Usage")))</f>
        <v>#REF!</v>
      </c>
      <c r="AD4096" t="e">
        <f>IF(#REF!&lt;=150,"Low Usage", IF(#REF!&lt;=200,"Medium Usage", IF(#REF!&lt;=250,"High Usage","Very High Usage")))</f>
        <v>#REF!</v>
      </c>
      <c r="AE4096" t="e">
        <f>IF(#REF!&lt;=5,"Low Calls", IF(#REF!&lt;=10, "Medium Calls", "High Calls"))</f>
        <v>#REF!</v>
      </c>
      <c r="AF4096" t="e">
        <f xml:space="preserve">
IF(#REF!&gt;=4,4,0)+
IF(#REF!="yes",3,0)+
IF(#REF!="High Charges",3,0)+
IF(#REF!&gt;250,4,0)+
IF(#REF!="no",1,0)+
IF(#REF!="Heavy Domestic User",2,0)</f>
        <v>#REF!</v>
      </c>
      <c r="AG4096" t="e">
        <f>IF(#REF!&gt;=10,"High Risk", IF(#REF!&gt;=5,"Medium Risk","Low Risk"))</f>
        <v>#REF!</v>
      </c>
      <c r="AH4096" t="e">
        <f>#REF! + #REF! + #REF! + #REF!</f>
        <v>#REF!</v>
      </c>
    </row>
    <row r="4097" spans="1:34" x14ac:dyDescent="0.35">
      <c r="A4097">
        <v>4096</v>
      </c>
      <c r="B4097" t="s">
        <v>50</v>
      </c>
      <c r="C4097">
        <v>74</v>
      </c>
      <c r="D4097" t="s">
        <v>21</v>
      </c>
      <c r="E4097" t="s">
        <v>22</v>
      </c>
      <c r="F4097" t="s">
        <v>22</v>
      </c>
      <c r="G4097">
        <v>0</v>
      </c>
      <c r="H4097">
        <v>201.4</v>
      </c>
      <c r="I4097">
        <v>112</v>
      </c>
      <c r="J4097">
        <v>34.24</v>
      </c>
      <c r="K4097">
        <v>109.6</v>
      </c>
      <c r="L4097">
        <v>71</v>
      </c>
      <c r="M4097">
        <v>9.32</v>
      </c>
      <c r="N4097">
        <v>200.2</v>
      </c>
      <c r="O4097">
        <v>135</v>
      </c>
      <c r="P4097">
        <v>9.01</v>
      </c>
      <c r="Q4097">
        <v>10.7</v>
      </c>
      <c r="R4097">
        <v>2</v>
      </c>
      <c r="S4097">
        <v>2.89</v>
      </c>
      <c r="T4097">
        <v>1</v>
      </c>
      <c r="U4097" t="s">
        <v>22</v>
      </c>
      <c r="V4097" t="e">
        <f>IF(#REF! = "yes", 1, 0)</f>
        <v>#REF!</v>
      </c>
      <c r="W4097" t="e">
        <f>IF(#REF! &lt;= 1, "0-1 Calls", IF(#REF! &lt;= 3, "2-3 Calls", IF(#REF! &lt;=5, "4-5 Calls", "6+ Calls")))</f>
        <v>#REF!</v>
      </c>
      <c r="X4097" t="e">
        <f>IF(#REF! &lt;= 50, "0-50", IF(#REF! &lt;=100, "51-100", IF(#REF! &lt;= 150, "101-150", "151+")))</f>
        <v>#REF!</v>
      </c>
      <c r="Y4097" t="e">
        <f>IF(#REF! &lt;= 3, "Low Charges", "High Charges")</f>
        <v>#REF!</v>
      </c>
      <c r="Z4097" t="e">
        <f>IF(#REF!&lt;=80,"Low Calls",
IF(#REF!&lt;=120,"Medium Calls","High Calls"))</f>
        <v>#REF!</v>
      </c>
      <c r="AA4097" t="e">
        <f>IF(#REF!&lt;=15,"Low Charges",
IF(#REF!&lt;=20,"Medium Charges","High Charges"))</f>
        <v>#REF!</v>
      </c>
      <c r="AB4097" t="e">
        <f>IF(AND(#REF!&gt;180, #REF!&gt;200), "Heavy Doemstic User", IF(#REF!&gt;10, "Interntional User", IF(AND(#REF!&lt;180, #REF!&lt;200,#REF!&lt;200), "Light User", "Balanced User")))</f>
        <v>#REF!</v>
      </c>
      <c r="AC4097" t="e">
        <f>IF(#REF! = 0, "No Usage", IF(#REF! &lt;= 20, "Low Usage", IF(#REF! &lt;= 40, "Medium Usgae", "High Usage")))</f>
        <v>#REF!</v>
      </c>
      <c r="AD4097" t="e">
        <f>IF(#REF!&lt;=150,"Low Usage", IF(#REF!&lt;=200,"Medium Usage", IF(#REF!&lt;=250,"High Usage","Very High Usage")))</f>
        <v>#REF!</v>
      </c>
      <c r="AE4097" t="e">
        <f>IF(#REF!&lt;=5,"Low Calls", IF(#REF!&lt;=10, "Medium Calls", "High Calls"))</f>
        <v>#REF!</v>
      </c>
      <c r="AF4097" t="e">
        <f xml:space="preserve">
IF(#REF!&gt;=4,4,0)+
IF(#REF!="yes",3,0)+
IF(#REF!="High Charges",3,0)+
IF(#REF!&gt;250,4,0)+
IF(#REF!="no",1,0)+
IF(#REF!="Heavy Domestic User",2,0)</f>
        <v>#REF!</v>
      </c>
      <c r="AG4097" t="e">
        <f>IF(#REF!&gt;=10,"High Risk", IF(#REF!&gt;=5,"Medium Risk","Low Risk"))</f>
        <v>#REF!</v>
      </c>
      <c r="AH4097" t="e">
        <f>#REF! + #REF! + #REF! + #REF!</f>
        <v>#REF!</v>
      </c>
    </row>
    <row r="4098" spans="1:34" x14ac:dyDescent="0.35">
      <c r="A4098">
        <v>4097</v>
      </c>
      <c r="B4098" t="s">
        <v>48</v>
      </c>
      <c r="C4098">
        <v>18</v>
      </c>
      <c r="D4098" t="s">
        <v>21</v>
      </c>
      <c r="E4098" t="s">
        <v>22</v>
      </c>
      <c r="F4098" t="s">
        <v>22</v>
      </c>
      <c r="G4098">
        <v>0</v>
      </c>
      <c r="H4098">
        <v>156</v>
      </c>
      <c r="I4098">
        <v>88</v>
      </c>
      <c r="J4098">
        <v>26.52</v>
      </c>
      <c r="K4098">
        <v>213.8</v>
      </c>
      <c r="L4098">
        <v>127</v>
      </c>
      <c r="M4098">
        <v>18.170000000000002</v>
      </c>
      <c r="N4098">
        <v>244.9</v>
      </c>
      <c r="O4098">
        <v>113</v>
      </c>
      <c r="P4098">
        <v>11.02</v>
      </c>
      <c r="Q4098">
        <v>11.4</v>
      </c>
      <c r="R4098">
        <v>9</v>
      </c>
      <c r="S4098">
        <v>3.08</v>
      </c>
      <c r="T4098">
        <v>1</v>
      </c>
      <c r="U4098" t="s">
        <v>22</v>
      </c>
      <c r="V4098" t="e">
        <f>IF(#REF! = "yes", 1, 0)</f>
        <v>#REF!</v>
      </c>
      <c r="W4098" t="e">
        <f>IF(#REF! &lt;= 1, "0-1 Calls", IF(#REF! &lt;= 3, "2-3 Calls", IF(#REF! &lt;=5, "4-5 Calls", "6+ Calls")))</f>
        <v>#REF!</v>
      </c>
      <c r="X4098" t="e">
        <f>IF(#REF! &lt;= 50, "0-50", IF(#REF! &lt;=100, "51-100", IF(#REF! &lt;= 150, "101-150", "151+")))</f>
        <v>#REF!</v>
      </c>
      <c r="Y4098" t="e">
        <f>IF(#REF! &lt;= 3, "Low Charges", "High Charges")</f>
        <v>#REF!</v>
      </c>
      <c r="Z4098" t="e">
        <f>IF(#REF!&lt;=80,"Low Calls",
IF(#REF!&lt;=120,"Medium Calls","High Calls"))</f>
        <v>#REF!</v>
      </c>
      <c r="AA4098" t="e">
        <f>IF(#REF!&lt;=15,"Low Charges",
IF(#REF!&lt;=20,"Medium Charges","High Charges"))</f>
        <v>#REF!</v>
      </c>
      <c r="AB4098" t="e">
        <f>IF(AND(#REF!&gt;180, #REF!&gt;200), "Heavy Doemstic User", IF(#REF!&gt;10, "Interntional User", IF(AND(#REF!&lt;180, #REF!&lt;200,#REF!&lt;200), "Light User", "Balanced User")))</f>
        <v>#REF!</v>
      </c>
      <c r="AC4098" t="e">
        <f>IF(#REF! = 0, "No Usage", IF(#REF! &lt;= 20, "Low Usage", IF(#REF! &lt;= 40, "Medium Usgae", "High Usage")))</f>
        <v>#REF!</v>
      </c>
      <c r="AD4098" t="e">
        <f>IF(#REF!&lt;=150,"Low Usage", IF(#REF!&lt;=200,"Medium Usage", IF(#REF!&lt;=250,"High Usage","Very High Usage")))</f>
        <v>#REF!</v>
      </c>
      <c r="AE4098" t="e">
        <f>IF(#REF!&lt;=5,"Low Calls", IF(#REF!&lt;=10, "Medium Calls", "High Calls"))</f>
        <v>#REF!</v>
      </c>
      <c r="AF4098" t="e">
        <f xml:space="preserve">
IF(#REF!&gt;=4,4,0)+
IF(#REF!="yes",3,0)+
IF(#REF!="High Charges",3,0)+
IF(#REF!&gt;250,4,0)+
IF(#REF!="no",1,0)+
IF(#REF!="Heavy Domestic User",2,0)</f>
        <v>#REF!</v>
      </c>
      <c r="AG4098" t="e">
        <f>IF(#REF!&gt;=10,"High Risk", IF(#REF!&gt;=5,"Medium Risk","Low Risk"))</f>
        <v>#REF!</v>
      </c>
      <c r="AH4098" t="e">
        <f>#REF! + #REF! + #REF! + #REF!</f>
        <v>#REF!</v>
      </c>
    </row>
    <row r="4099" spans="1:34" x14ac:dyDescent="0.35">
      <c r="A4099">
        <v>4098</v>
      </c>
      <c r="B4099" t="s">
        <v>36</v>
      </c>
      <c r="C4099">
        <v>93</v>
      </c>
      <c r="D4099" t="s">
        <v>25</v>
      </c>
      <c r="E4099" t="s">
        <v>22</v>
      </c>
      <c r="F4099" t="s">
        <v>22</v>
      </c>
      <c r="G4099">
        <v>0</v>
      </c>
      <c r="H4099">
        <v>162.9</v>
      </c>
      <c r="I4099">
        <v>103</v>
      </c>
      <c r="J4099">
        <v>27.69</v>
      </c>
      <c r="K4099">
        <v>243.6</v>
      </c>
      <c r="L4099">
        <v>97</v>
      </c>
      <c r="M4099">
        <v>20.71</v>
      </c>
      <c r="N4099">
        <v>172.4</v>
      </c>
      <c r="O4099">
        <v>111</v>
      </c>
      <c r="P4099">
        <v>7.76</v>
      </c>
      <c r="Q4099">
        <v>7</v>
      </c>
      <c r="R4099">
        <v>5</v>
      </c>
      <c r="S4099">
        <v>1.89</v>
      </c>
      <c r="T4099">
        <v>4</v>
      </c>
      <c r="U4099" t="s">
        <v>22</v>
      </c>
      <c r="V4099" t="e">
        <f>IF(#REF! = "yes", 1, 0)</f>
        <v>#REF!</v>
      </c>
      <c r="W4099" t="e">
        <f>IF(#REF! &lt;= 1, "0-1 Calls", IF(#REF! &lt;= 3, "2-3 Calls", IF(#REF! &lt;=5, "4-5 Calls", "6+ Calls")))</f>
        <v>#REF!</v>
      </c>
      <c r="X4099" t="e">
        <f>IF(#REF! &lt;= 50, "0-50", IF(#REF! &lt;=100, "51-100", IF(#REF! &lt;= 150, "101-150", "151+")))</f>
        <v>#REF!</v>
      </c>
      <c r="Y4099" t="e">
        <f>IF(#REF! &lt;= 3, "Low Charges", "High Charges")</f>
        <v>#REF!</v>
      </c>
      <c r="Z4099" t="e">
        <f>IF(#REF!&lt;=80,"Low Calls",
IF(#REF!&lt;=120,"Medium Calls","High Calls"))</f>
        <v>#REF!</v>
      </c>
      <c r="AA4099" t="e">
        <f>IF(#REF!&lt;=15,"Low Charges",
IF(#REF!&lt;=20,"Medium Charges","High Charges"))</f>
        <v>#REF!</v>
      </c>
      <c r="AB4099" t="e">
        <f>IF(AND(#REF!&gt;180, #REF!&gt;200), "Heavy Doemstic User", IF(#REF!&gt;10, "Interntional User", IF(AND(#REF!&lt;180, #REF!&lt;200,#REF!&lt;200), "Light User", "Balanced User")))</f>
        <v>#REF!</v>
      </c>
      <c r="AC4099" t="e">
        <f>IF(#REF! = 0, "No Usage", IF(#REF! &lt;= 20, "Low Usage", IF(#REF! &lt;= 40, "Medium Usgae", "High Usage")))</f>
        <v>#REF!</v>
      </c>
      <c r="AD4099" t="e">
        <f>IF(#REF!&lt;=150,"Low Usage", IF(#REF!&lt;=200,"Medium Usage", IF(#REF!&lt;=250,"High Usage","Very High Usage")))</f>
        <v>#REF!</v>
      </c>
      <c r="AE4099" t="e">
        <f>IF(#REF!&lt;=5,"Low Calls", IF(#REF!&lt;=10, "Medium Calls", "High Calls"))</f>
        <v>#REF!</v>
      </c>
      <c r="AF4099" t="e">
        <f xml:space="preserve">
IF(#REF!&gt;=4,4,0)+
IF(#REF!="yes",3,0)+
IF(#REF!="High Charges",3,0)+
IF(#REF!&gt;250,4,0)+
IF(#REF!="no",1,0)+
IF(#REF!="Heavy Domestic User",2,0)</f>
        <v>#REF!</v>
      </c>
      <c r="AG4099" t="e">
        <f>IF(#REF!&gt;=10,"High Risk", IF(#REF!&gt;=5,"Medium Risk","Low Risk"))</f>
        <v>#REF!</v>
      </c>
      <c r="AH4099" t="e">
        <f>#REF! + #REF! + #REF! + #REF!</f>
        <v>#REF!</v>
      </c>
    </row>
    <row r="4100" spans="1:34" x14ac:dyDescent="0.35">
      <c r="A4100">
        <v>4099</v>
      </c>
      <c r="B4100" t="s">
        <v>35</v>
      </c>
      <c r="C4100">
        <v>64</v>
      </c>
      <c r="D4100" t="s">
        <v>21</v>
      </c>
      <c r="E4100" t="s">
        <v>22</v>
      </c>
      <c r="F4100" t="s">
        <v>23</v>
      </c>
      <c r="G4100">
        <v>18</v>
      </c>
      <c r="H4100">
        <v>211.4</v>
      </c>
      <c r="I4100">
        <v>111</v>
      </c>
      <c r="J4100">
        <v>35.94</v>
      </c>
      <c r="K4100">
        <v>150.80000000000001</v>
      </c>
      <c r="L4100">
        <v>67</v>
      </c>
      <c r="M4100">
        <v>12.82</v>
      </c>
      <c r="N4100">
        <v>216.5</v>
      </c>
      <c r="O4100">
        <v>87</v>
      </c>
      <c r="P4100">
        <v>9.74</v>
      </c>
      <c r="Q4100">
        <v>10.5</v>
      </c>
      <c r="R4100">
        <v>2</v>
      </c>
      <c r="S4100">
        <v>2.84</v>
      </c>
      <c r="T4100">
        <v>2</v>
      </c>
      <c r="U4100" t="s">
        <v>22</v>
      </c>
      <c r="V4100" t="e">
        <f>IF(#REF! = "yes", 1, 0)</f>
        <v>#REF!</v>
      </c>
      <c r="W4100" t="e">
        <f>IF(#REF! &lt;= 1, "0-1 Calls", IF(#REF! &lt;= 3, "2-3 Calls", IF(#REF! &lt;=5, "4-5 Calls", "6+ Calls")))</f>
        <v>#REF!</v>
      </c>
      <c r="X4100" t="e">
        <f>IF(#REF! &lt;= 50, "0-50", IF(#REF! &lt;=100, "51-100", IF(#REF! &lt;= 150, "101-150", "151+")))</f>
        <v>#REF!</v>
      </c>
      <c r="Y4100" t="e">
        <f>IF(#REF! &lt;= 3, "Low Charges", "High Charges")</f>
        <v>#REF!</v>
      </c>
      <c r="Z4100" t="e">
        <f>IF(#REF!&lt;=80,"Low Calls",
IF(#REF!&lt;=120,"Medium Calls","High Calls"))</f>
        <v>#REF!</v>
      </c>
      <c r="AA4100" t="e">
        <f>IF(#REF!&lt;=15,"Low Charges",
IF(#REF!&lt;=20,"Medium Charges","High Charges"))</f>
        <v>#REF!</v>
      </c>
      <c r="AB4100" t="e">
        <f>IF(AND(#REF!&gt;180, #REF!&gt;200), "Heavy Doemstic User", IF(#REF!&gt;10, "Interntional User", IF(AND(#REF!&lt;180, #REF!&lt;200,#REF!&lt;200), "Light User", "Balanced User")))</f>
        <v>#REF!</v>
      </c>
      <c r="AC4100" t="e">
        <f>IF(#REF! = 0, "No Usage", IF(#REF! &lt;= 20, "Low Usage", IF(#REF! &lt;= 40, "Medium Usgae", "High Usage")))</f>
        <v>#REF!</v>
      </c>
      <c r="AD4100" t="e">
        <f>IF(#REF!&lt;=150,"Low Usage", IF(#REF!&lt;=200,"Medium Usage", IF(#REF!&lt;=250,"High Usage","Very High Usage")))</f>
        <v>#REF!</v>
      </c>
      <c r="AE4100" t="e">
        <f>IF(#REF!&lt;=5,"Low Calls", IF(#REF!&lt;=10, "Medium Calls", "High Calls"))</f>
        <v>#REF!</v>
      </c>
      <c r="AF4100" t="e">
        <f xml:space="preserve">
IF(#REF!&gt;=4,4,0)+
IF(#REF!="yes",3,0)+
IF(#REF!="High Charges",3,0)+
IF(#REF!&gt;250,4,0)+
IF(#REF!="no",1,0)+
IF(#REF!="Heavy Domestic User",2,0)</f>
        <v>#REF!</v>
      </c>
      <c r="AG4100" t="e">
        <f>IF(#REF!&gt;=10,"High Risk", IF(#REF!&gt;=5,"Medium Risk","Low Risk"))</f>
        <v>#REF!</v>
      </c>
      <c r="AH4100" t="e">
        <f>#REF! + #REF! + #REF! + #REF!</f>
        <v>#REF!</v>
      </c>
    </row>
    <row r="4101" spans="1:34" x14ac:dyDescent="0.35">
      <c r="A4101">
        <v>4100</v>
      </c>
      <c r="B4101" t="s">
        <v>30</v>
      </c>
      <c r="C4101">
        <v>108</v>
      </c>
      <c r="D4101" t="s">
        <v>21</v>
      </c>
      <c r="E4101" t="s">
        <v>22</v>
      </c>
      <c r="F4101" t="s">
        <v>22</v>
      </c>
      <c r="G4101">
        <v>0</v>
      </c>
      <c r="H4101">
        <v>157.30000000000001</v>
      </c>
      <c r="I4101">
        <v>83</v>
      </c>
      <c r="J4101">
        <v>26.74</v>
      </c>
      <c r="K4101">
        <v>162.80000000000001</v>
      </c>
      <c r="L4101">
        <v>75</v>
      </c>
      <c r="M4101">
        <v>13.84</v>
      </c>
      <c r="N4101">
        <v>112</v>
      </c>
      <c r="O4101">
        <v>101</v>
      </c>
      <c r="P4101">
        <v>5.04</v>
      </c>
      <c r="Q4101">
        <v>9.6999999999999993</v>
      </c>
      <c r="R4101">
        <v>4</v>
      </c>
      <c r="S4101">
        <v>2.62</v>
      </c>
      <c r="T4101">
        <v>1</v>
      </c>
      <c r="U4101" t="s">
        <v>22</v>
      </c>
      <c r="V4101" t="e">
        <f>IF(#REF! = "yes", 1, 0)</f>
        <v>#REF!</v>
      </c>
      <c r="W4101" t="e">
        <f>IF(#REF! &lt;= 1, "0-1 Calls", IF(#REF! &lt;= 3, "2-3 Calls", IF(#REF! &lt;=5, "4-5 Calls", "6+ Calls")))</f>
        <v>#REF!</v>
      </c>
      <c r="X4101" t="e">
        <f>IF(#REF! &lt;= 50, "0-50", IF(#REF! &lt;=100, "51-100", IF(#REF! &lt;= 150, "101-150", "151+")))</f>
        <v>#REF!</v>
      </c>
      <c r="Y4101" t="e">
        <f>IF(#REF! &lt;= 3, "Low Charges", "High Charges")</f>
        <v>#REF!</v>
      </c>
      <c r="Z4101" t="e">
        <f>IF(#REF!&lt;=80,"Low Calls",
IF(#REF!&lt;=120,"Medium Calls","High Calls"))</f>
        <v>#REF!</v>
      </c>
      <c r="AA4101" t="e">
        <f>IF(#REF!&lt;=15,"Low Charges",
IF(#REF!&lt;=20,"Medium Charges","High Charges"))</f>
        <v>#REF!</v>
      </c>
      <c r="AB4101" t="e">
        <f>IF(AND(#REF!&gt;180, #REF!&gt;200), "Heavy Doemstic User", IF(#REF!&gt;10, "Interntional User", IF(AND(#REF!&lt;180, #REF!&lt;200,#REF!&lt;200), "Light User", "Balanced User")))</f>
        <v>#REF!</v>
      </c>
      <c r="AC4101" t="e">
        <f>IF(#REF! = 0, "No Usage", IF(#REF! &lt;= 20, "Low Usage", IF(#REF! &lt;= 40, "Medium Usgae", "High Usage")))</f>
        <v>#REF!</v>
      </c>
      <c r="AD4101" t="e">
        <f>IF(#REF!&lt;=150,"Low Usage", IF(#REF!&lt;=200,"Medium Usage", IF(#REF!&lt;=250,"High Usage","Very High Usage")))</f>
        <v>#REF!</v>
      </c>
      <c r="AE4101" t="e">
        <f>IF(#REF!&lt;=5,"Low Calls", IF(#REF!&lt;=10, "Medium Calls", "High Calls"))</f>
        <v>#REF!</v>
      </c>
      <c r="AF4101" t="e">
        <f xml:space="preserve">
IF(#REF!&gt;=4,4,0)+
IF(#REF!="yes",3,0)+
IF(#REF!="High Charges",3,0)+
IF(#REF!&gt;250,4,0)+
IF(#REF!="no",1,0)+
IF(#REF!="Heavy Domestic User",2,0)</f>
        <v>#REF!</v>
      </c>
      <c r="AG4101" t="e">
        <f>IF(#REF!&gt;=10,"High Risk", IF(#REF!&gt;=5,"Medium Risk","Low Risk"))</f>
        <v>#REF!</v>
      </c>
      <c r="AH4101" t="e">
        <f>#REF! + #REF! + #REF! + #REF!</f>
        <v>#REF!</v>
      </c>
    </row>
    <row r="4102" spans="1:34" x14ac:dyDescent="0.35">
      <c r="A4102">
        <v>4101</v>
      </c>
      <c r="B4102" t="s">
        <v>47</v>
      </c>
      <c r="C4102">
        <v>112</v>
      </c>
      <c r="D4102" t="s">
        <v>28</v>
      </c>
      <c r="E4102" t="s">
        <v>22</v>
      </c>
      <c r="F4102" t="s">
        <v>22</v>
      </c>
      <c r="G4102">
        <v>0</v>
      </c>
      <c r="H4102">
        <v>172.7</v>
      </c>
      <c r="I4102">
        <v>112</v>
      </c>
      <c r="J4102">
        <v>29.36</v>
      </c>
      <c r="K4102">
        <v>244.5</v>
      </c>
      <c r="L4102">
        <v>83</v>
      </c>
      <c r="M4102">
        <v>20.78</v>
      </c>
      <c r="N4102">
        <v>242.3</v>
      </c>
      <c r="O4102">
        <v>68</v>
      </c>
      <c r="P4102">
        <v>10.9</v>
      </c>
      <c r="Q4102">
        <v>4.0999999999999996</v>
      </c>
      <c r="R4102">
        <v>1</v>
      </c>
      <c r="S4102">
        <v>1.1100000000000001</v>
      </c>
      <c r="T4102">
        <v>0</v>
      </c>
      <c r="U4102" t="s">
        <v>22</v>
      </c>
      <c r="V4102" t="e">
        <f>IF(#REF! = "yes", 1, 0)</f>
        <v>#REF!</v>
      </c>
      <c r="W4102" t="e">
        <f>IF(#REF! &lt;= 1, "0-1 Calls", IF(#REF! &lt;= 3, "2-3 Calls", IF(#REF! &lt;=5, "4-5 Calls", "6+ Calls")))</f>
        <v>#REF!</v>
      </c>
      <c r="X4102" t="e">
        <f>IF(#REF! &lt;= 50, "0-50", IF(#REF! &lt;=100, "51-100", IF(#REF! &lt;= 150, "101-150", "151+")))</f>
        <v>#REF!</v>
      </c>
      <c r="Y4102" t="e">
        <f>IF(#REF! &lt;= 3, "Low Charges", "High Charges")</f>
        <v>#REF!</v>
      </c>
      <c r="Z4102" t="e">
        <f>IF(#REF!&lt;=80,"Low Calls",
IF(#REF!&lt;=120,"Medium Calls","High Calls"))</f>
        <v>#REF!</v>
      </c>
      <c r="AA4102" t="e">
        <f>IF(#REF!&lt;=15,"Low Charges",
IF(#REF!&lt;=20,"Medium Charges","High Charges"))</f>
        <v>#REF!</v>
      </c>
      <c r="AB4102" t="e">
        <f>IF(AND(#REF!&gt;180, #REF!&gt;200), "Heavy Doemstic User", IF(#REF!&gt;10, "Interntional User", IF(AND(#REF!&lt;180, #REF!&lt;200,#REF!&lt;200), "Light User", "Balanced User")))</f>
        <v>#REF!</v>
      </c>
      <c r="AC4102" t="e">
        <f>IF(#REF! = 0, "No Usage", IF(#REF! &lt;= 20, "Low Usage", IF(#REF! &lt;= 40, "Medium Usgae", "High Usage")))</f>
        <v>#REF!</v>
      </c>
      <c r="AD4102" t="e">
        <f>IF(#REF!&lt;=150,"Low Usage", IF(#REF!&lt;=200,"Medium Usage", IF(#REF!&lt;=250,"High Usage","Very High Usage")))</f>
        <v>#REF!</v>
      </c>
      <c r="AE4102" t="e">
        <f>IF(#REF!&lt;=5,"Low Calls", IF(#REF!&lt;=10, "Medium Calls", "High Calls"))</f>
        <v>#REF!</v>
      </c>
      <c r="AF4102" t="e">
        <f xml:space="preserve">
IF(#REF!&gt;=4,4,0)+
IF(#REF!="yes",3,0)+
IF(#REF!="High Charges",3,0)+
IF(#REF!&gt;250,4,0)+
IF(#REF!="no",1,0)+
IF(#REF!="Heavy Domestic User",2,0)</f>
        <v>#REF!</v>
      </c>
      <c r="AG4102" t="e">
        <f>IF(#REF!&gt;=10,"High Risk", IF(#REF!&gt;=5,"Medium Risk","Low Risk"))</f>
        <v>#REF!</v>
      </c>
      <c r="AH4102" t="e">
        <f>#REF! + #REF! + #REF! + #REF!</f>
        <v>#REF!</v>
      </c>
    </row>
    <row r="4103" spans="1:34" x14ac:dyDescent="0.35">
      <c r="A4103">
        <v>4102</v>
      </c>
      <c r="B4103" t="s">
        <v>33</v>
      </c>
      <c r="C4103">
        <v>77</v>
      </c>
      <c r="D4103" t="s">
        <v>25</v>
      </c>
      <c r="E4103" t="s">
        <v>22</v>
      </c>
      <c r="F4103" t="s">
        <v>22</v>
      </c>
      <c r="G4103">
        <v>0</v>
      </c>
      <c r="H4103">
        <v>196.6</v>
      </c>
      <c r="I4103">
        <v>87</v>
      </c>
      <c r="J4103">
        <v>33.42</v>
      </c>
      <c r="K4103">
        <v>117.7</v>
      </c>
      <c r="L4103">
        <v>103</v>
      </c>
      <c r="M4103">
        <v>10</v>
      </c>
      <c r="N4103">
        <v>124.9</v>
      </c>
      <c r="O4103">
        <v>100</v>
      </c>
      <c r="P4103">
        <v>5.62</v>
      </c>
      <c r="Q4103">
        <v>11.4</v>
      </c>
      <c r="R4103">
        <v>3</v>
      </c>
      <c r="S4103">
        <v>3.08</v>
      </c>
      <c r="T4103">
        <v>2</v>
      </c>
      <c r="U4103" t="s">
        <v>22</v>
      </c>
      <c r="V4103" t="e">
        <f>IF(#REF! = "yes", 1, 0)</f>
        <v>#REF!</v>
      </c>
      <c r="W4103" t="e">
        <f>IF(#REF! &lt;= 1, "0-1 Calls", IF(#REF! &lt;= 3, "2-3 Calls", IF(#REF! &lt;=5, "4-5 Calls", "6+ Calls")))</f>
        <v>#REF!</v>
      </c>
      <c r="X4103" t="e">
        <f>IF(#REF! &lt;= 50, "0-50", IF(#REF! &lt;=100, "51-100", IF(#REF! &lt;= 150, "101-150", "151+")))</f>
        <v>#REF!</v>
      </c>
      <c r="Y4103" t="e">
        <f>IF(#REF! &lt;= 3, "Low Charges", "High Charges")</f>
        <v>#REF!</v>
      </c>
      <c r="Z4103" t="e">
        <f>IF(#REF!&lt;=80,"Low Calls",
IF(#REF!&lt;=120,"Medium Calls","High Calls"))</f>
        <v>#REF!</v>
      </c>
      <c r="AA4103" t="e">
        <f>IF(#REF!&lt;=15,"Low Charges",
IF(#REF!&lt;=20,"Medium Charges","High Charges"))</f>
        <v>#REF!</v>
      </c>
      <c r="AB4103" t="e">
        <f>IF(AND(#REF!&gt;180, #REF!&gt;200), "Heavy Doemstic User", IF(#REF!&gt;10, "Interntional User", IF(AND(#REF!&lt;180, #REF!&lt;200,#REF!&lt;200), "Light User", "Balanced User")))</f>
        <v>#REF!</v>
      </c>
      <c r="AC4103" t="e">
        <f>IF(#REF! = 0, "No Usage", IF(#REF! &lt;= 20, "Low Usage", IF(#REF! &lt;= 40, "Medium Usgae", "High Usage")))</f>
        <v>#REF!</v>
      </c>
      <c r="AD4103" t="e">
        <f>IF(#REF!&lt;=150,"Low Usage", IF(#REF!&lt;=200,"Medium Usage", IF(#REF!&lt;=250,"High Usage","Very High Usage")))</f>
        <v>#REF!</v>
      </c>
      <c r="AE4103" t="e">
        <f>IF(#REF!&lt;=5,"Low Calls", IF(#REF!&lt;=10, "Medium Calls", "High Calls"))</f>
        <v>#REF!</v>
      </c>
      <c r="AF4103" t="e">
        <f xml:space="preserve">
IF(#REF!&gt;=4,4,0)+
IF(#REF!="yes",3,0)+
IF(#REF!="High Charges",3,0)+
IF(#REF!&gt;250,4,0)+
IF(#REF!="no",1,0)+
IF(#REF!="Heavy Domestic User",2,0)</f>
        <v>#REF!</v>
      </c>
      <c r="AG4103" t="e">
        <f>IF(#REF!&gt;=10,"High Risk", IF(#REF!&gt;=5,"Medium Risk","Low Risk"))</f>
        <v>#REF!</v>
      </c>
      <c r="AH4103" t="e">
        <f>#REF! + #REF! + #REF! + #REF!</f>
        <v>#REF!</v>
      </c>
    </row>
    <row r="4104" spans="1:34" x14ac:dyDescent="0.35">
      <c r="A4104">
        <v>4103</v>
      </c>
      <c r="B4104" t="s">
        <v>50</v>
      </c>
      <c r="C4104">
        <v>68</v>
      </c>
      <c r="D4104" t="s">
        <v>25</v>
      </c>
      <c r="E4104" t="s">
        <v>22</v>
      </c>
      <c r="F4104" t="s">
        <v>23</v>
      </c>
      <c r="G4104">
        <v>43</v>
      </c>
      <c r="H4104">
        <v>147.69999999999999</v>
      </c>
      <c r="I4104">
        <v>95</v>
      </c>
      <c r="J4104">
        <v>25.11</v>
      </c>
      <c r="K4104">
        <v>259.3</v>
      </c>
      <c r="L4104">
        <v>108</v>
      </c>
      <c r="M4104">
        <v>22.04</v>
      </c>
      <c r="N4104">
        <v>237.1</v>
      </c>
      <c r="O4104">
        <v>106</v>
      </c>
      <c r="P4104">
        <v>10.67</v>
      </c>
      <c r="Q4104">
        <v>8.9</v>
      </c>
      <c r="R4104">
        <v>8</v>
      </c>
      <c r="S4104">
        <v>2.4</v>
      </c>
      <c r="T4104">
        <v>3</v>
      </c>
      <c r="U4104" t="s">
        <v>22</v>
      </c>
      <c r="V4104" t="e">
        <f>IF(#REF! = "yes", 1, 0)</f>
        <v>#REF!</v>
      </c>
      <c r="W4104" t="e">
        <f>IF(#REF! &lt;= 1, "0-1 Calls", IF(#REF! &lt;= 3, "2-3 Calls", IF(#REF! &lt;=5, "4-5 Calls", "6+ Calls")))</f>
        <v>#REF!</v>
      </c>
      <c r="X4104" t="e">
        <f>IF(#REF! &lt;= 50, "0-50", IF(#REF! &lt;=100, "51-100", IF(#REF! &lt;= 150, "101-150", "151+")))</f>
        <v>#REF!</v>
      </c>
      <c r="Y4104" t="e">
        <f>IF(#REF! &lt;= 3, "Low Charges", "High Charges")</f>
        <v>#REF!</v>
      </c>
      <c r="Z4104" t="e">
        <f>IF(#REF!&lt;=80,"Low Calls",
IF(#REF!&lt;=120,"Medium Calls","High Calls"))</f>
        <v>#REF!</v>
      </c>
      <c r="AA4104" t="e">
        <f>IF(#REF!&lt;=15,"Low Charges",
IF(#REF!&lt;=20,"Medium Charges","High Charges"))</f>
        <v>#REF!</v>
      </c>
      <c r="AB4104" t="e">
        <f>IF(AND(#REF!&gt;180, #REF!&gt;200), "Heavy Doemstic User", IF(#REF!&gt;10, "Interntional User", IF(AND(#REF!&lt;180, #REF!&lt;200,#REF!&lt;200), "Light User", "Balanced User")))</f>
        <v>#REF!</v>
      </c>
      <c r="AC4104" t="e">
        <f>IF(#REF! = 0, "No Usage", IF(#REF! &lt;= 20, "Low Usage", IF(#REF! &lt;= 40, "Medium Usgae", "High Usage")))</f>
        <v>#REF!</v>
      </c>
      <c r="AD4104" t="e">
        <f>IF(#REF!&lt;=150,"Low Usage", IF(#REF!&lt;=200,"Medium Usage", IF(#REF!&lt;=250,"High Usage","Very High Usage")))</f>
        <v>#REF!</v>
      </c>
      <c r="AE4104" t="e">
        <f>IF(#REF!&lt;=5,"Low Calls", IF(#REF!&lt;=10, "Medium Calls", "High Calls"))</f>
        <v>#REF!</v>
      </c>
      <c r="AF4104" t="e">
        <f xml:space="preserve">
IF(#REF!&gt;=4,4,0)+
IF(#REF!="yes",3,0)+
IF(#REF!="High Charges",3,0)+
IF(#REF!&gt;250,4,0)+
IF(#REF!="no",1,0)+
IF(#REF!="Heavy Domestic User",2,0)</f>
        <v>#REF!</v>
      </c>
      <c r="AG4104" t="e">
        <f>IF(#REF!&gt;=10,"High Risk", IF(#REF!&gt;=5,"Medium Risk","Low Risk"))</f>
        <v>#REF!</v>
      </c>
      <c r="AH4104" t="e">
        <f>#REF! + #REF! + #REF! + #REF!</f>
        <v>#REF!</v>
      </c>
    </row>
    <row r="4105" spans="1:34" x14ac:dyDescent="0.35">
      <c r="A4105">
        <v>4104</v>
      </c>
      <c r="B4105" t="s">
        <v>34</v>
      </c>
      <c r="C4105">
        <v>83</v>
      </c>
      <c r="D4105" t="s">
        <v>25</v>
      </c>
      <c r="E4105" t="s">
        <v>23</v>
      </c>
      <c r="F4105" t="s">
        <v>22</v>
      </c>
      <c r="G4105">
        <v>0</v>
      </c>
      <c r="H4105">
        <v>197.6</v>
      </c>
      <c r="I4105">
        <v>105</v>
      </c>
      <c r="J4105">
        <v>33.590000000000003</v>
      </c>
      <c r="K4105">
        <v>177.5</v>
      </c>
      <c r="L4105">
        <v>96</v>
      </c>
      <c r="M4105">
        <v>15.09</v>
      </c>
      <c r="N4105">
        <v>126.8</v>
      </c>
      <c r="O4105">
        <v>100</v>
      </c>
      <c r="P4105">
        <v>5.71</v>
      </c>
      <c r="Q4105">
        <v>9.1999999999999993</v>
      </c>
      <c r="R4105">
        <v>1</v>
      </c>
      <c r="S4105">
        <v>2.48</v>
      </c>
      <c r="T4105">
        <v>3</v>
      </c>
      <c r="U4105" t="s">
        <v>23</v>
      </c>
      <c r="V4105" t="e">
        <f>IF(#REF! = "yes", 1, 0)</f>
        <v>#REF!</v>
      </c>
      <c r="W4105" t="e">
        <f>IF(#REF! &lt;= 1, "0-1 Calls", IF(#REF! &lt;= 3, "2-3 Calls", IF(#REF! &lt;=5, "4-5 Calls", "6+ Calls")))</f>
        <v>#REF!</v>
      </c>
      <c r="X4105" t="e">
        <f>IF(#REF! &lt;= 50, "0-50", IF(#REF! &lt;=100, "51-100", IF(#REF! &lt;= 150, "101-150", "151+")))</f>
        <v>#REF!</v>
      </c>
      <c r="Y4105" t="e">
        <f>IF(#REF! &lt;= 3, "Low Charges", "High Charges")</f>
        <v>#REF!</v>
      </c>
      <c r="Z4105" t="e">
        <f>IF(#REF!&lt;=80,"Low Calls",
IF(#REF!&lt;=120,"Medium Calls","High Calls"))</f>
        <v>#REF!</v>
      </c>
      <c r="AA4105" t="e">
        <f>IF(#REF!&lt;=15,"Low Charges",
IF(#REF!&lt;=20,"Medium Charges","High Charges"))</f>
        <v>#REF!</v>
      </c>
      <c r="AB4105" t="e">
        <f>IF(AND(#REF!&gt;180, #REF!&gt;200), "Heavy Doemstic User", IF(#REF!&gt;10, "Interntional User", IF(AND(#REF!&lt;180, #REF!&lt;200,#REF!&lt;200), "Light User", "Balanced User")))</f>
        <v>#REF!</v>
      </c>
      <c r="AC4105" t="e">
        <f>IF(#REF! = 0, "No Usage", IF(#REF! &lt;= 20, "Low Usage", IF(#REF! &lt;= 40, "Medium Usgae", "High Usage")))</f>
        <v>#REF!</v>
      </c>
      <c r="AD4105" t="e">
        <f>IF(#REF!&lt;=150,"Low Usage", IF(#REF!&lt;=200,"Medium Usage", IF(#REF!&lt;=250,"High Usage","Very High Usage")))</f>
        <v>#REF!</v>
      </c>
      <c r="AE4105" t="e">
        <f>IF(#REF!&lt;=5,"Low Calls", IF(#REF!&lt;=10, "Medium Calls", "High Calls"))</f>
        <v>#REF!</v>
      </c>
      <c r="AF4105" t="e">
        <f xml:space="preserve">
IF(#REF!&gt;=4,4,0)+
IF(#REF!="yes",3,0)+
IF(#REF!="High Charges",3,0)+
IF(#REF!&gt;250,4,0)+
IF(#REF!="no",1,0)+
IF(#REF!="Heavy Domestic User",2,0)</f>
        <v>#REF!</v>
      </c>
      <c r="AG4105" t="e">
        <f>IF(#REF!&gt;=10,"High Risk", IF(#REF!&gt;=5,"Medium Risk","Low Risk"))</f>
        <v>#REF!</v>
      </c>
      <c r="AH4105" t="e">
        <f>#REF! + #REF! + #REF! + #REF!</f>
        <v>#REF!</v>
      </c>
    </row>
    <row r="4106" spans="1:34" x14ac:dyDescent="0.35">
      <c r="A4106">
        <v>4105</v>
      </c>
      <c r="B4106" t="s">
        <v>74</v>
      </c>
      <c r="C4106">
        <v>87</v>
      </c>
      <c r="D4106" t="s">
        <v>28</v>
      </c>
      <c r="E4106" t="s">
        <v>22</v>
      </c>
      <c r="F4106" t="s">
        <v>23</v>
      </c>
      <c r="G4106">
        <v>18</v>
      </c>
      <c r="H4106">
        <v>186.7</v>
      </c>
      <c r="I4106">
        <v>74</v>
      </c>
      <c r="J4106">
        <v>31.74</v>
      </c>
      <c r="K4106">
        <v>220</v>
      </c>
      <c r="L4106">
        <v>77</v>
      </c>
      <c r="M4106">
        <v>18.7</v>
      </c>
      <c r="N4106">
        <v>224.6</v>
      </c>
      <c r="O4106">
        <v>137</v>
      </c>
      <c r="P4106">
        <v>10.11</v>
      </c>
      <c r="Q4106">
        <v>12</v>
      </c>
      <c r="R4106">
        <v>4</v>
      </c>
      <c r="S4106">
        <v>3.24</v>
      </c>
      <c r="T4106">
        <v>1</v>
      </c>
      <c r="U4106" t="s">
        <v>22</v>
      </c>
      <c r="V4106" t="e">
        <f>IF(#REF! = "yes", 1, 0)</f>
        <v>#REF!</v>
      </c>
      <c r="W4106" t="e">
        <f>IF(#REF! &lt;= 1, "0-1 Calls", IF(#REF! &lt;= 3, "2-3 Calls", IF(#REF! &lt;=5, "4-5 Calls", "6+ Calls")))</f>
        <v>#REF!</v>
      </c>
      <c r="X4106" t="e">
        <f>IF(#REF! &lt;= 50, "0-50", IF(#REF! &lt;=100, "51-100", IF(#REF! &lt;= 150, "101-150", "151+")))</f>
        <v>#REF!</v>
      </c>
      <c r="Y4106" t="e">
        <f>IF(#REF! &lt;= 3, "Low Charges", "High Charges")</f>
        <v>#REF!</v>
      </c>
      <c r="Z4106" t="e">
        <f>IF(#REF!&lt;=80,"Low Calls",
IF(#REF!&lt;=120,"Medium Calls","High Calls"))</f>
        <v>#REF!</v>
      </c>
      <c r="AA4106" t="e">
        <f>IF(#REF!&lt;=15,"Low Charges",
IF(#REF!&lt;=20,"Medium Charges","High Charges"))</f>
        <v>#REF!</v>
      </c>
      <c r="AB4106" t="e">
        <f>IF(AND(#REF!&gt;180, #REF!&gt;200), "Heavy Doemstic User", IF(#REF!&gt;10, "Interntional User", IF(AND(#REF!&lt;180, #REF!&lt;200,#REF!&lt;200), "Light User", "Balanced User")))</f>
        <v>#REF!</v>
      </c>
      <c r="AC4106" t="e">
        <f>IF(#REF! = 0, "No Usage", IF(#REF! &lt;= 20, "Low Usage", IF(#REF! &lt;= 40, "Medium Usgae", "High Usage")))</f>
        <v>#REF!</v>
      </c>
      <c r="AD4106" t="e">
        <f>IF(#REF!&lt;=150,"Low Usage", IF(#REF!&lt;=200,"Medium Usage", IF(#REF!&lt;=250,"High Usage","Very High Usage")))</f>
        <v>#REF!</v>
      </c>
      <c r="AE4106" t="e">
        <f>IF(#REF!&lt;=5,"Low Calls", IF(#REF!&lt;=10, "Medium Calls", "High Calls"))</f>
        <v>#REF!</v>
      </c>
      <c r="AF4106" t="e">
        <f xml:space="preserve">
IF(#REF!&gt;=4,4,0)+
IF(#REF!="yes",3,0)+
IF(#REF!="High Charges",3,0)+
IF(#REF!&gt;250,4,0)+
IF(#REF!="no",1,0)+
IF(#REF!="Heavy Domestic User",2,0)</f>
        <v>#REF!</v>
      </c>
      <c r="AG4106" t="e">
        <f>IF(#REF!&gt;=10,"High Risk", IF(#REF!&gt;=5,"Medium Risk","Low Risk"))</f>
        <v>#REF!</v>
      </c>
      <c r="AH4106" t="e">
        <f>#REF! + #REF! + #REF! + #REF!</f>
        <v>#REF!</v>
      </c>
    </row>
    <row r="4107" spans="1:34" x14ac:dyDescent="0.35">
      <c r="A4107">
        <v>4106</v>
      </c>
      <c r="B4107" t="s">
        <v>43</v>
      </c>
      <c r="C4107">
        <v>43</v>
      </c>
      <c r="D4107" t="s">
        <v>25</v>
      </c>
      <c r="E4107" t="s">
        <v>22</v>
      </c>
      <c r="F4107" t="s">
        <v>23</v>
      </c>
      <c r="G4107">
        <v>39</v>
      </c>
      <c r="H4107">
        <v>198.5</v>
      </c>
      <c r="I4107">
        <v>104</v>
      </c>
      <c r="J4107">
        <v>33.75</v>
      </c>
      <c r="K4107">
        <v>163.1</v>
      </c>
      <c r="L4107">
        <v>107</v>
      </c>
      <c r="M4107">
        <v>13.86</v>
      </c>
      <c r="N4107">
        <v>212.2</v>
      </c>
      <c r="O4107">
        <v>125</v>
      </c>
      <c r="P4107">
        <v>9.5500000000000007</v>
      </c>
      <c r="Q4107">
        <v>10.8</v>
      </c>
      <c r="R4107">
        <v>2</v>
      </c>
      <c r="S4107">
        <v>2.92</v>
      </c>
      <c r="T4107">
        <v>1</v>
      </c>
      <c r="U4107" t="s">
        <v>22</v>
      </c>
      <c r="V4107" t="e">
        <f>IF(#REF! = "yes", 1, 0)</f>
        <v>#REF!</v>
      </c>
      <c r="W4107" t="e">
        <f>IF(#REF! &lt;= 1, "0-1 Calls", IF(#REF! &lt;= 3, "2-3 Calls", IF(#REF! &lt;=5, "4-5 Calls", "6+ Calls")))</f>
        <v>#REF!</v>
      </c>
      <c r="X4107" t="e">
        <f>IF(#REF! &lt;= 50, "0-50", IF(#REF! &lt;=100, "51-100", IF(#REF! &lt;= 150, "101-150", "151+")))</f>
        <v>#REF!</v>
      </c>
      <c r="Y4107" t="e">
        <f>IF(#REF! &lt;= 3, "Low Charges", "High Charges")</f>
        <v>#REF!</v>
      </c>
      <c r="Z4107" t="e">
        <f>IF(#REF!&lt;=80,"Low Calls",
IF(#REF!&lt;=120,"Medium Calls","High Calls"))</f>
        <v>#REF!</v>
      </c>
      <c r="AA4107" t="e">
        <f>IF(#REF!&lt;=15,"Low Charges",
IF(#REF!&lt;=20,"Medium Charges","High Charges"))</f>
        <v>#REF!</v>
      </c>
      <c r="AB4107" t="e">
        <f>IF(AND(#REF!&gt;180, #REF!&gt;200), "Heavy Doemstic User", IF(#REF!&gt;10, "Interntional User", IF(AND(#REF!&lt;180, #REF!&lt;200,#REF!&lt;200), "Light User", "Balanced User")))</f>
        <v>#REF!</v>
      </c>
      <c r="AC4107" t="e">
        <f>IF(#REF! = 0, "No Usage", IF(#REF! &lt;= 20, "Low Usage", IF(#REF! &lt;= 40, "Medium Usgae", "High Usage")))</f>
        <v>#REF!</v>
      </c>
      <c r="AD4107" t="e">
        <f>IF(#REF!&lt;=150,"Low Usage", IF(#REF!&lt;=200,"Medium Usage", IF(#REF!&lt;=250,"High Usage","Very High Usage")))</f>
        <v>#REF!</v>
      </c>
      <c r="AE4107" t="e">
        <f>IF(#REF!&lt;=5,"Low Calls", IF(#REF!&lt;=10, "Medium Calls", "High Calls"))</f>
        <v>#REF!</v>
      </c>
      <c r="AF4107" t="e">
        <f xml:space="preserve">
IF(#REF!&gt;=4,4,0)+
IF(#REF!="yes",3,0)+
IF(#REF!="High Charges",3,0)+
IF(#REF!&gt;250,4,0)+
IF(#REF!="no",1,0)+
IF(#REF!="Heavy Domestic User",2,0)</f>
        <v>#REF!</v>
      </c>
      <c r="AG4107" t="e">
        <f>IF(#REF!&gt;=10,"High Risk", IF(#REF!&gt;=5,"Medium Risk","Low Risk"))</f>
        <v>#REF!</v>
      </c>
      <c r="AH4107" t="e">
        <f>#REF! + #REF! + #REF! + #REF!</f>
        <v>#REF!</v>
      </c>
    </row>
    <row r="4108" spans="1:34" x14ac:dyDescent="0.35">
      <c r="A4108">
        <v>4107</v>
      </c>
      <c r="B4108" t="s">
        <v>59</v>
      </c>
      <c r="C4108">
        <v>113</v>
      </c>
      <c r="D4108" t="s">
        <v>25</v>
      </c>
      <c r="E4108" t="s">
        <v>22</v>
      </c>
      <c r="F4108" t="s">
        <v>22</v>
      </c>
      <c r="G4108">
        <v>0</v>
      </c>
      <c r="H4108">
        <v>161.1</v>
      </c>
      <c r="I4108">
        <v>133</v>
      </c>
      <c r="J4108">
        <v>27.39</v>
      </c>
      <c r="K4108">
        <v>205.3</v>
      </c>
      <c r="L4108">
        <v>95</v>
      </c>
      <c r="M4108">
        <v>17.45</v>
      </c>
      <c r="N4108">
        <v>60.3</v>
      </c>
      <c r="O4108">
        <v>93</v>
      </c>
      <c r="P4108">
        <v>2.71</v>
      </c>
      <c r="Q4108">
        <v>12.2</v>
      </c>
      <c r="R4108">
        <v>2</v>
      </c>
      <c r="S4108">
        <v>3.29</v>
      </c>
      <c r="T4108">
        <v>2</v>
      </c>
      <c r="U4108" t="s">
        <v>22</v>
      </c>
      <c r="V4108" t="e">
        <f>IF(#REF! = "yes", 1, 0)</f>
        <v>#REF!</v>
      </c>
      <c r="W4108" t="e">
        <f>IF(#REF! &lt;= 1, "0-1 Calls", IF(#REF! &lt;= 3, "2-3 Calls", IF(#REF! &lt;=5, "4-5 Calls", "6+ Calls")))</f>
        <v>#REF!</v>
      </c>
      <c r="X4108" t="e">
        <f>IF(#REF! &lt;= 50, "0-50", IF(#REF! &lt;=100, "51-100", IF(#REF! &lt;= 150, "101-150", "151+")))</f>
        <v>#REF!</v>
      </c>
      <c r="Y4108" t="e">
        <f>IF(#REF! &lt;= 3, "Low Charges", "High Charges")</f>
        <v>#REF!</v>
      </c>
      <c r="Z4108" t="e">
        <f>IF(#REF!&lt;=80,"Low Calls",
IF(#REF!&lt;=120,"Medium Calls","High Calls"))</f>
        <v>#REF!</v>
      </c>
      <c r="AA4108" t="e">
        <f>IF(#REF!&lt;=15,"Low Charges",
IF(#REF!&lt;=20,"Medium Charges","High Charges"))</f>
        <v>#REF!</v>
      </c>
      <c r="AB4108" t="e">
        <f>IF(AND(#REF!&gt;180, #REF!&gt;200), "Heavy Doemstic User", IF(#REF!&gt;10, "Interntional User", IF(AND(#REF!&lt;180, #REF!&lt;200,#REF!&lt;200), "Light User", "Balanced User")))</f>
        <v>#REF!</v>
      </c>
      <c r="AC4108" t="e">
        <f>IF(#REF! = 0, "No Usage", IF(#REF! &lt;= 20, "Low Usage", IF(#REF! &lt;= 40, "Medium Usgae", "High Usage")))</f>
        <v>#REF!</v>
      </c>
      <c r="AD4108" t="e">
        <f>IF(#REF!&lt;=150,"Low Usage", IF(#REF!&lt;=200,"Medium Usage", IF(#REF!&lt;=250,"High Usage","Very High Usage")))</f>
        <v>#REF!</v>
      </c>
      <c r="AE4108" t="e">
        <f>IF(#REF!&lt;=5,"Low Calls", IF(#REF!&lt;=10, "Medium Calls", "High Calls"))</f>
        <v>#REF!</v>
      </c>
      <c r="AF4108" t="e">
        <f xml:space="preserve">
IF(#REF!&gt;=4,4,0)+
IF(#REF!="yes",3,0)+
IF(#REF!="High Charges",3,0)+
IF(#REF!&gt;250,4,0)+
IF(#REF!="no",1,0)+
IF(#REF!="Heavy Domestic User",2,0)</f>
        <v>#REF!</v>
      </c>
      <c r="AG4108" t="e">
        <f>IF(#REF!&gt;=10,"High Risk", IF(#REF!&gt;=5,"Medium Risk","Low Risk"))</f>
        <v>#REF!</v>
      </c>
      <c r="AH4108" t="e">
        <f>#REF! + #REF! + #REF! + #REF!</f>
        <v>#REF!</v>
      </c>
    </row>
    <row r="4109" spans="1:34" x14ac:dyDescent="0.35">
      <c r="A4109">
        <v>4108</v>
      </c>
      <c r="B4109" t="s">
        <v>50</v>
      </c>
      <c r="C4109">
        <v>95</v>
      </c>
      <c r="D4109" t="s">
        <v>21</v>
      </c>
      <c r="E4109" t="s">
        <v>22</v>
      </c>
      <c r="F4109" t="s">
        <v>23</v>
      </c>
      <c r="G4109">
        <v>27</v>
      </c>
      <c r="H4109">
        <v>190.8</v>
      </c>
      <c r="I4109">
        <v>76</v>
      </c>
      <c r="J4109">
        <v>32.44</v>
      </c>
      <c r="K4109">
        <v>177.5</v>
      </c>
      <c r="L4109">
        <v>104</v>
      </c>
      <c r="M4109">
        <v>15.09</v>
      </c>
      <c r="N4109">
        <v>227.3</v>
      </c>
      <c r="O4109">
        <v>95</v>
      </c>
      <c r="P4109">
        <v>10.23</v>
      </c>
      <c r="Q4109">
        <v>5.9</v>
      </c>
      <c r="R4109">
        <v>1</v>
      </c>
      <c r="S4109">
        <v>1.59</v>
      </c>
      <c r="T4109">
        <v>2</v>
      </c>
      <c r="U4109" t="s">
        <v>22</v>
      </c>
      <c r="V4109" t="e">
        <f>IF(#REF! = "yes", 1, 0)</f>
        <v>#REF!</v>
      </c>
      <c r="W4109" t="e">
        <f>IF(#REF! &lt;= 1, "0-1 Calls", IF(#REF! &lt;= 3, "2-3 Calls", IF(#REF! &lt;=5, "4-5 Calls", "6+ Calls")))</f>
        <v>#REF!</v>
      </c>
      <c r="X4109" t="e">
        <f>IF(#REF! &lt;= 50, "0-50", IF(#REF! &lt;=100, "51-100", IF(#REF! &lt;= 150, "101-150", "151+")))</f>
        <v>#REF!</v>
      </c>
      <c r="Y4109" t="e">
        <f>IF(#REF! &lt;= 3, "Low Charges", "High Charges")</f>
        <v>#REF!</v>
      </c>
      <c r="Z4109" t="e">
        <f>IF(#REF!&lt;=80,"Low Calls",
IF(#REF!&lt;=120,"Medium Calls","High Calls"))</f>
        <v>#REF!</v>
      </c>
      <c r="AA4109" t="e">
        <f>IF(#REF!&lt;=15,"Low Charges",
IF(#REF!&lt;=20,"Medium Charges","High Charges"))</f>
        <v>#REF!</v>
      </c>
      <c r="AB4109" t="e">
        <f>IF(AND(#REF!&gt;180, #REF!&gt;200), "Heavy Doemstic User", IF(#REF!&gt;10, "Interntional User", IF(AND(#REF!&lt;180, #REF!&lt;200,#REF!&lt;200), "Light User", "Balanced User")))</f>
        <v>#REF!</v>
      </c>
      <c r="AC4109" t="e">
        <f>IF(#REF! = 0, "No Usage", IF(#REF! &lt;= 20, "Low Usage", IF(#REF! &lt;= 40, "Medium Usgae", "High Usage")))</f>
        <v>#REF!</v>
      </c>
      <c r="AD4109" t="e">
        <f>IF(#REF!&lt;=150,"Low Usage", IF(#REF!&lt;=200,"Medium Usage", IF(#REF!&lt;=250,"High Usage","Very High Usage")))</f>
        <v>#REF!</v>
      </c>
      <c r="AE4109" t="e">
        <f>IF(#REF!&lt;=5,"Low Calls", IF(#REF!&lt;=10, "Medium Calls", "High Calls"))</f>
        <v>#REF!</v>
      </c>
      <c r="AF4109" t="e">
        <f xml:space="preserve">
IF(#REF!&gt;=4,4,0)+
IF(#REF!="yes",3,0)+
IF(#REF!="High Charges",3,0)+
IF(#REF!&gt;250,4,0)+
IF(#REF!="no",1,0)+
IF(#REF!="Heavy Domestic User",2,0)</f>
        <v>#REF!</v>
      </c>
      <c r="AG4109" t="e">
        <f>IF(#REF!&gt;=10,"High Risk", IF(#REF!&gt;=5,"Medium Risk","Low Risk"))</f>
        <v>#REF!</v>
      </c>
      <c r="AH4109" t="e">
        <f>#REF! + #REF! + #REF! + #REF!</f>
        <v>#REF!</v>
      </c>
    </row>
    <row r="4110" spans="1:34" x14ac:dyDescent="0.35">
      <c r="A4110">
        <v>4109</v>
      </c>
      <c r="B4110" t="s">
        <v>39</v>
      </c>
      <c r="C4110">
        <v>30</v>
      </c>
      <c r="D4110" t="s">
        <v>21</v>
      </c>
      <c r="E4110" t="s">
        <v>22</v>
      </c>
      <c r="F4110" t="s">
        <v>22</v>
      </c>
      <c r="G4110">
        <v>0</v>
      </c>
      <c r="H4110">
        <v>195.2</v>
      </c>
      <c r="I4110">
        <v>100</v>
      </c>
      <c r="J4110">
        <v>33.18</v>
      </c>
      <c r="K4110">
        <v>179.8</v>
      </c>
      <c r="L4110">
        <v>95</v>
      </c>
      <c r="M4110">
        <v>15.28</v>
      </c>
      <c r="N4110">
        <v>298.3</v>
      </c>
      <c r="O4110">
        <v>115</v>
      </c>
      <c r="P4110">
        <v>13.42</v>
      </c>
      <c r="Q4110">
        <v>11.5</v>
      </c>
      <c r="R4110">
        <v>4</v>
      </c>
      <c r="S4110">
        <v>3.11</v>
      </c>
      <c r="T4110">
        <v>1</v>
      </c>
      <c r="U4110" t="s">
        <v>22</v>
      </c>
      <c r="V4110" t="e">
        <f>IF(#REF! = "yes", 1, 0)</f>
        <v>#REF!</v>
      </c>
      <c r="W4110" t="e">
        <f>IF(#REF! &lt;= 1, "0-1 Calls", IF(#REF! &lt;= 3, "2-3 Calls", IF(#REF! &lt;=5, "4-5 Calls", "6+ Calls")))</f>
        <v>#REF!</v>
      </c>
      <c r="X4110" t="e">
        <f>IF(#REF! &lt;= 50, "0-50", IF(#REF! &lt;=100, "51-100", IF(#REF! &lt;= 150, "101-150", "151+")))</f>
        <v>#REF!</v>
      </c>
      <c r="Y4110" t="e">
        <f>IF(#REF! &lt;= 3, "Low Charges", "High Charges")</f>
        <v>#REF!</v>
      </c>
      <c r="Z4110" t="e">
        <f>IF(#REF!&lt;=80,"Low Calls",
IF(#REF!&lt;=120,"Medium Calls","High Calls"))</f>
        <v>#REF!</v>
      </c>
      <c r="AA4110" t="e">
        <f>IF(#REF!&lt;=15,"Low Charges",
IF(#REF!&lt;=20,"Medium Charges","High Charges"))</f>
        <v>#REF!</v>
      </c>
      <c r="AB4110" t="e">
        <f>IF(AND(#REF!&gt;180, #REF!&gt;200), "Heavy Doemstic User", IF(#REF!&gt;10, "Interntional User", IF(AND(#REF!&lt;180, #REF!&lt;200,#REF!&lt;200), "Light User", "Balanced User")))</f>
        <v>#REF!</v>
      </c>
      <c r="AC4110" t="e">
        <f>IF(#REF! = 0, "No Usage", IF(#REF! &lt;= 20, "Low Usage", IF(#REF! &lt;= 40, "Medium Usgae", "High Usage")))</f>
        <v>#REF!</v>
      </c>
      <c r="AD4110" t="e">
        <f>IF(#REF!&lt;=150,"Low Usage", IF(#REF!&lt;=200,"Medium Usage", IF(#REF!&lt;=250,"High Usage","Very High Usage")))</f>
        <v>#REF!</v>
      </c>
      <c r="AE4110" t="e">
        <f>IF(#REF!&lt;=5,"Low Calls", IF(#REF!&lt;=10, "Medium Calls", "High Calls"))</f>
        <v>#REF!</v>
      </c>
      <c r="AF4110" t="e">
        <f xml:space="preserve">
IF(#REF!&gt;=4,4,0)+
IF(#REF!="yes",3,0)+
IF(#REF!="High Charges",3,0)+
IF(#REF!&gt;250,4,0)+
IF(#REF!="no",1,0)+
IF(#REF!="Heavy Domestic User",2,0)</f>
        <v>#REF!</v>
      </c>
      <c r="AG4110" t="e">
        <f>IF(#REF!&gt;=10,"High Risk", IF(#REF!&gt;=5,"Medium Risk","Low Risk"))</f>
        <v>#REF!</v>
      </c>
      <c r="AH4110" t="e">
        <f>#REF! + #REF! + #REF! + #REF!</f>
        <v>#REF!</v>
      </c>
    </row>
    <row r="4111" spans="1:34" x14ac:dyDescent="0.35">
      <c r="A4111">
        <v>4110</v>
      </c>
      <c r="B4111" t="s">
        <v>24</v>
      </c>
      <c r="C4111">
        <v>172</v>
      </c>
      <c r="D4111" t="s">
        <v>28</v>
      </c>
      <c r="E4111" t="s">
        <v>22</v>
      </c>
      <c r="F4111" t="s">
        <v>22</v>
      </c>
      <c r="G4111">
        <v>0</v>
      </c>
      <c r="H4111">
        <v>290.5</v>
      </c>
      <c r="I4111">
        <v>123</v>
      </c>
      <c r="J4111">
        <v>49.39</v>
      </c>
      <c r="K4111">
        <v>253</v>
      </c>
      <c r="L4111">
        <v>77</v>
      </c>
      <c r="M4111">
        <v>21.51</v>
      </c>
      <c r="N4111">
        <v>159.30000000000001</v>
      </c>
      <c r="O4111">
        <v>96</v>
      </c>
      <c r="P4111">
        <v>7.17</v>
      </c>
      <c r="Q4111">
        <v>11.3</v>
      </c>
      <c r="R4111">
        <v>5</v>
      </c>
      <c r="S4111">
        <v>3.05</v>
      </c>
      <c r="T4111">
        <v>2</v>
      </c>
      <c r="U4111" t="s">
        <v>23</v>
      </c>
      <c r="V4111" t="e">
        <f>IF(#REF! = "yes", 1, 0)</f>
        <v>#REF!</v>
      </c>
      <c r="W4111" t="e">
        <f>IF(#REF! &lt;= 1, "0-1 Calls", IF(#REF! &lt;= 3, "2-3 Calls", IF(#REF! &lt;=5, "4-5 Calls", "6+ Calls")))</f>
        <v>#REF!</v>
      </c>
      <c r="X4111" t="e">
        <f>IF(#REF! &lt;= 50, "0-50", IF(#REF! &lt;=100, "51-100", IF(#REF! &lt;= 150, "101-150", "151+")))</f>
        <v>#REF!</v>
      </c>
      <c r="Y4111" t="e">
        <f>IF(#REF! &lt;= 3, "Low Charges", "High Charges")</f>
        <v>#REF!</v>
      </c>
      <c r="Z4111" t="e">
        <f>IF(#REF!&lt;=80,"Low Calls",
IF(#REF!&lt;=120,"Medium Calls","High Calls"))</f>
        <v>#REF!</v>
      </c>
      <c r="AA4111" t="e">
        <f>IF(#REF!&lt;=15,"Low Charges",
IF(#REF!&lt;=20,"Medium Charges","High Charges"))</f>
        <v>#REF!</v>
      </c>
      <c r="AB4111" t="e">
        <f>IF(AND(#REF!&gt;180, #REF!&gt;200), "Heavy Doemstic User", IF(#REF!&gt;10, "Interntional User", IF(AND(#REF!&lt;180, #REF!&lt;200,#REF!&lt;200), "Light User", "Balanced User")))</f>
        <v>#REF!</v>
      </c>
      <c r="AC4111" t="e">
        <f>IF(#REF! = 0, "No Usage", IF(#REF! &lt;= 20, "Low Usage", IF(#REF! &lt;= 40, "Medium Usgae", "High Usage")))</f>
        <v>#REF!</v>
      </c>
      <c r="AD4111" t="e">
        <f>IF(#REF!&lt;=150,"Low Usage", IF(#REF!&lt;=200,"Medium Usage", IF(#REF!&lt;=250,"High Usage","Very High Usage")))</f>
        <v>#REF!</v>
      </c>
      <c r="AE4111" t="e">
        <f>IF(#REF!&lt;=5,"Low Calls", IF(#REF!&lt;=10, "Medium Calls", "High Calls"))</f>
        <v>#REF!</v>
      </c>
      <c r="AF4111" t="e">
        <f xml:space="preserve">
IF(#REF!&gt;=4,4,0)+
IF(#REF!="yes",3,0)+
IF(#REF!="High Charges",3,0)+
IF(#REF!&gt;250,4,0)+
IF(#REF!="no",1,0)+
IF(#REF!="Heavy Domestic User",2,0)</f>
        <v>#REF!</v>
      </c>
      <c r="AG4111" t="e">
        <f>IF(#REF!&gt;=10,"High Risk", IF(#REF!&gt;=5,"Medium Risk","Low Risk"))</f>
        <v>#REF!</v>
      </c>
      <c r="AH4111" t="e">
        <f>#REF! + #REF! + #REF! + #REF!</f>
        <v>#REF!</v>
      </c>
    </row>
    <row r="4112" spans="1:34" x14ac:dyDescent="0.35">
      <c r="A4112">
        <v>4111</v>
      </c>
      <c r="B4112" t="s">
        <v>66</v>
      </c>
      <c r="C4112">
        <v>82</v>
      </c>
      <c r="D4112" t="s">
        <v>21</v>
      </c>
      <c r="E4112" t="s">
        <v>22</v>
      </c>
      <c r="F4112" t="s">
        <v>23</v>
      </c>
      <c r="G4112">
        <v>23</v>
      </c>
      <c r="H4112">
        <v>165.2</v>
      </c>
      <c r="I4112">
        <v>103</v>
      </c>
      <c r="J4112">
        <v>28.08</v>
      </c>
      <c r="K4112">
        <v>193.9</v>
      </c>
      <c r="L4112">
        <v>78</v>
      </c>
      <c r="M4112">
        <v>16.48</v>
      </c>
      <c r="N4112">
        <v>170.9</v>
      </c>
      <c r="O4112">
        <v>90</v>
      </c>
      <c r="P4112">
        <v>7.69</v>
      </c>
      <c r="Q4112">
        <v>11.8</v>
      </c>
      <c r="R4112">
        <v>2</v>
      </c>
      <c r="S4112">
        <v>3.19</v>
      </c>
      <c r="T4112">
        <v>1</v>
      </c>
      <c r="U4112" t="s">
        <v>22</v>
      </c>
      <c r="V4112" t="e">
        <f>IF(#REF! = "yes", 1, 0)</f>
        <v>#REF!</v>
      </c>
      <c r="W4112" t="e">
        <f>IF(#REF! &lt;= 1, "0-1 Calls", IF(#REF! &lt;= 3, "2-3 Calls", IF(#REF! &lt;=5, "4-5 Calls", "6+ Calls")))</f>
        <v>#REF!</v>
      </c>
      <c r="X4112" t="e">
        <f>IF(#REF! &lt;= 50, "0-50", IF(#REF! &lt;=100, "51-100", IF(#REF! &lt;= 150, "101-150", "151+")))</f>
        <v>#REF!</v>
      </c>
      <c r="Y4112" t="e">
        <f>IF(#REF! &lt;= 3, "Low Charges", "High Charges")</f>
        <v>#REF!</v>
      </c>
      <c r="Z4112" t="e">
        <f>IF(#REF!&lt;=80,"Low Calls",
IF(#REF!&lt;=120,"Medium Calls","High Calls"))</f>
        <v>#REF!</v>
      </c>
      <c r="AA4112" t="e">
        <f>IF(#REF!&lt;=15,"Low Charges",
IF(#REF!&lt;=20,"Medium Charges","High Charges"))</f>
        <v>#REF!</v>
      </c>
      <c r="AB4112" t="e">
        <f>IF(AND(#REF!&gt;180, #REF!&gt;200), "Heavy Doemstic User", IF(#REF!&gt;10, "Interntional User", IF(AND(#REF!&lt;180, #REF!&lt;200,#REF!&lt;200), "Light User", "Balanced User")))</f>
        <v>#REF!</v>
      </c>
      <c r="AC4112" t="e">
        <f>IF(#REF! = 0, "No Usage", IF(#REF! &lt;= 20, "Low Usage", IF(#REF! &lt;= 40, "Medium Usgae", "High Usage")))</f>
        <v>#REF!</v>
      </c>
      <c r="AD4112" t="e">
        <f>IF(#REF!&lt;=150,"Low Usage", IF(#REF!&lt;=200,"Medium Usage", IF(#REF!&lt;=250,"High Usage","Very High Usage")))</f>
        <v>#REF!</v>
      </c>
      <c r="AE4112" t="e">
        <f>IF(#REF!&lt;=5,"Low Calls", IF(#REF!&lt;=10, "Medium Calls", "High Calls"))</f>
        <v>#REF!</v>
      </c>
      <c r="AF4112" t="e">
        <f xml:space="preserve">
IF(#REF!&gt;=4,4,0)+
IF(#REF!="yes",3,0)+
IF(#REF!="High Charges",3,0)+
IF(#REF!&gt;250,4,0)+
IF(#REF!="no",1,0)+
IF(#REF!="Heavy Domestic User",2,0)</f>
        <v>#REF!</v>
      </c>
      <c r="AG4112" t="e">
        <f>IF(#REF!&gt;=10,"High Risk", IF(#REF!&gt;=5,"Medium Risk","Low Risk"))</f>
        <v>#REF!</v>
      </c>
      <c r="AH4112" t="e">
        <f>#REF! + #REF! + #REF! + #REF!</f>
        <v>#REF!</v>
      </c>
    </row>
    <row r="4113" spans="1:34" x14ac:dyDescent="0.35">
      <c r="A4113">
        <v>4112</v>
      </c>
      <c r="B4113" t="s">
        <v>51</v>
      </c>
      <c r="C4113">
        <v>95</v>
      </c>
      <c r="D4113" t="s">
        <v>21</v>
      </c>
      <c r="E4113" t="s">
        <v>22</v>
      </c>
      <c r="F4113" t="s">
        <v>22</v>
      </c>
      <c r="G4113">
        <v>0</v>
      </c>
      <c r="H4113">
        <v>198.9</v>
      </c>
      <c r="I4113">
        <v>101</v>
      </c>
      <c r="J4113">
        <v>33.81</v>
      </c>
      <c r="K4113">
        <v>209.7</v>
      </c>
      <c r="L4113">
        <v>91</v>
      </c>
      <c r="M4113">
        <v>17.82</v>
      </c>
      <c r="N4113">
        <v>145.30000000000001</v>
      </c>
      <c r="O4113">
        <v>55</v>
      </c>
      <c r="P4113">
        <v>6.54</v>
      </c>
      <c r="Q4113">
        <v>11.4</v>
      </c>
      <c r="R4113">
        <v>4</v>
      </c>
      <c r="S4113">
        <v>3.08</v>
      </c>
      <c r="T4113">
        <v>1</v>
      </c>
      <c r="U4113" t="s">
        <v>22</v>
      </c>
      <c r="V4113" t="e">
        <f>IF(#REF! = "yes", 1, 0)</f>
        <v>#REF!</v>
      </c>
      <c r="W4113" t="e">
        <f>IF(#REF! &lt;= 1, "0-1 Calls", IF(#REF! &lt;= 3, "2-3 Calls", IF(#REF! &lt;=5, "4-5 Calls", "6+ Calls")))</f>
        <v>#REF!</v>
      </c>
      <c r="X4113" t="e">
        <f>IF(#REF! &lt;= 50, "0-50", IF(#REF! &lt;=100, "51-100", IF(#REF! &lt;= 150, "101-150", "151+")))</f>
        <v>#REF!</v>
      </c>
      <c r="Y4113" t="e">
        <f>IF(#REF! &lt;= 3, "Low Charges", "High Charges")</f>
        <v>#REF!</v>
      </c>
      <c r="Z4113" t="e">
        <f>IF(#REF!&lt;=80,"Low Calls",
IF(#REF!&lt;=120,"Medium Calls","High Calls"))</f>
        <v>#REF!</v>
      </c>
      <c r="AA4113" t="e">
        <f>IF(#REF!&lt;=15,"Low Charges",
IF(#REF!&lt;=20,"Medium Charges","High Charges"))</f>
        <v>#REF!</v>
      </c>
      <c r="AB4113" t="e">
        <f>IF(AND(#REF!&gt;180, #REF!&gt;200), "Heavy Doemstic User", IF(#REF!&gt;10, "Interntional User", IF(AND(#REF!&lt;180, #REF!&lt;200,#REF!&lt;200), "Light User", "Balanced User")))</f>
        <v>#REF!</v>
      </c>
      <c r="AC4113" t="e">
        <f>IF(#REF! = 0, "No Usage", IF(#REF! &lt;= 20, "Low Usage", IF(#REF! &lt;= 40, "Medium Usgae", "High Usage")))</f>
        <v>#REF!</v>
      </c>
      <c r="AD4113" t="e">
        <f>IF(#REF!&lt;=150,"Low Usage", IF(#REF!&lt;=200,"Medium Usage", IF(#REF!&lt;=250,"High Usage","Very High Usage")))</f>
        <v>#REF!</v>
      </c>
      <c r="AE4113" t="e">
        <f>IF(#REF!&lt;=5,"Low Calls", IF(#REF!&lt;=10, "Medium Calls", "High Calls"))</f>
        <v>#REF!</v>
      </c>
      <c r="AF4113" t="e">
        <f xml:space="preserve">
IF(#REF!&gt;=4,4,0)+
IF(#REF!="yes",3,0)+
IF(#REF!="High Charges",3,0)+
IF(#REF!&gt;250,4,0)+
IF(#REF!="no",1,0)+
IF(#REF!="Heavy Domestic User",2,0)</f>
        <v>#REF!</v>
      </c>
      <c r="AG4113" t="e">
        <f>IF(#REF!&gt;=10,"High Risk", IF(#REF!&gt;=5,"Medium Risk","Low Risk"))</f>
        <v>#REF!</v>
      </c>
      <c r="AH4113" t="e">
        <f>#REF! + #REF! + #REF! + #REF!</f>
        <v>#REF!</v>
      </c>
    </row>
    <row r="4114" spans="1:34" x14ac:dyDescent="0.35">
      <c r="A4114">
        <v>4113</v>
      </c>
      <c r="B4114" t="s">
        <v>54</v>
      </c>
      <c r="C4114">
        <v>97</v>
      </c>
      <c r="D4114" t="s">
        <v>25</v>
      </c>
      <c r="E4114" t="s">
        <v>22</v>
      </c>
      <c r="F4114" t="s">
        <v>22</v>
      </c>
      <c r="G4114">
        <v>0</v>
      </c>
      <c r="H4114">
        <v>169.2</v>
      </c>
      <c r="I4114">
        <v>91</v>
      </c>
      <c r="J4114">
        <v>28.76</v>
      </c>
      <c r="K4114">
        <v>224.6</v>
      </c>
      <c r="L4114">
        <v>122</v>
      </c>
      <c r="M4114">
        <v>19.09</v>
      </c>
      <c r="N4114">
        <v>108</v>
      </c>
      <c r="O4114">
        <v>115</v>
      </c>
      <c r="P4114">
        <v>4.8600000000000003</v>
      </c>
      <c r="Q4114">
        <v>13</v>
      </c>
      <c r="R4114">
        <v>5</v>
      </c>
      <c r="S4114">
        <v>3.51</v>
      </c>
      <c r="T4114">
        <v>1</v>
      </c>
      <c r="U4114" t="s">
        <v>22</v>
      </c>
      <c r="V4114" t="e">
        <f>IF(#REF! = "yes", 1, 0)</f>
        <v>#REF!</v>
      </c>
      <c r="W4114" t="e">
        <f>IF(#REF! &lt;= 1, "0-1 Calls", IF(#REF! &lt;= 3, "2-3 Calls", IF(#REF! &lt;=5, "4-5 Calls", "6+ Calls")))</f>
        <v>#REF!</v>
      </c>
      <c r="X4114" t="e">
        <f>IF(#REF! &lt;= 50, "0-50", IF(#REF! &lt;=100, "51-100", IF(#REF! &lt;= 150, "101-150", "151+")))</f>
        <v>#REF!</v>
      </c>
      <c r="Y4114" t="e">
        <f>IF(#REF! &lt;= 3, "Low Charges", "High Charges")</f>
        <v>#REF!</v>
      </c>
      <c r="Z4114" t="e">
        <f>IF(#REF!&lt;=80,"Low Calls",
IF(#REF!&lt;=120,"Medium Calls","High Calls"))</f>
        <v>#REF!</v>
      </c>
      <c r="AA4114" t="e">
        <f>IF(#REF!&lt;=15,"Low Charges",
IF(#REF!&lt;=20,"Medium Charges","High Charges"))</f>
        <v>#REF!</v>
      </c>
      <c r="AB4114" t="e">
        <f>IF(AND(#REF!&gt;180, #REF!&gt;200), "Heavy Doemstic User", IF(#REF!&gt;10, "Interntional User", IF(AND(#REF!&lt;180, #REF!&lt;200,#REF!&lt;200), "Light User", "Balanced User")))</f>
        <v>#REF!</v>
      </c>
      <c r="AC4114" t="e">
        <f>IF(#REF! = 0, "No Usage", IF(#REF! &lt;= 20, "Low Usage", IF(#REF! &lt;= 40, "Medium Usgae", "High Usage")))</f>
        <v>#REF!</v>
      </c>
      <c r="AD4114" t="e">
        <f>IF(#REF!&lt;=150,"Low Usage", IF(#REF!&lt;=200,"Medium Usage", IF(#REF!&lt;=250,"High Usage","Very High Usage")))</f>
        <v>#REF!</v>
      </c>
      <c r="AE4114" t="e">
        <f>IF(#REF!&lt;=5,"Low Calls", IF(#REF!&lt;=10, "Medium Calls", "High Calls"))</f>
        <v>#REF!</v>
      </c>
      <c r="AF4114" t="e">
        <f xml:space="preserve">
IF(#REF!&gt;=4,4,0)+
IF(#REF!="yes",3,0)+
IF(#REF!="High Charges",3,0)+
IF(#REF!&gt;250,4,0)+
IF(#REF!="no",1,0)+
IF(#REF!="Heavy Domestic User",2,0)</f>
        <v>#REF!</v>
      </c>
      <c r="AG4114" t="e">
        <f>IF(#REF!&gt;=10,"High Risk", IF(#REF!&gt;=5,"Medium Risk","Low Risk"))</f>
        <v>#REF!</v>
      </c>
      <c r="AH4114" t="e">
        <f>#REF! + #REF! + #REF! + #REF!</f>
        <v>#REF!</v>
      </c>
    </row>
    <row r="4115" spans="1:34" x14ac:dyDescent="0.35">
      <c r="A4115">
        <v>4114</v>
      </c>
      <c r="B4115" t="s">
        <v>54</v>
      </c>
      <c r="C4115">
        <v>115</v>
      </c>
      <c r="D4115" t="s">
        <v>21</v>
      </c>
      <c r="E4115" t="s">
        <v>22</v>
      </c>
      <c r="F4115" t="s">
        <v>22</v>
      </c>
      <c r="G4115">
        <v>0</v>
      </c>
      <c r="H4115">
        <v>275.5</v>
      </c>
      <c r="I4115">
        <v>76</v>
      </c>
      <c r="J4115">
        <v>46.84</v>
      </c>
      <c r="K4115">
        <v>225.8</v>
      </c>
      <c r="L4115">
        <v>82</v>
      </c>
      <c r="M4115">
        <v>19.190000000000001</v>
      </c>
      <c r="N4115">
        <v>327.3</v>
      </c>
      <c r="O4115">
        <v>87</v>
      </c>
      <c r="P4115">
        <v>14.73</v>
      </c>
      <c r="Q4115">
        <v>4.8</v>
      </c>
      <c r="R4115">
        <v>2</v>
      </c>
      <c r="S4115">
        <v>1.3</v>
      </c>
      <c r="T4115">
        <v>3</v>
      </c>
      <c r="U4115" t="s">
        <v>23</v>
      </c>
      <c r="V4115" t="e">
        <f>IF(#REF! = "yes", 1, 0)</f>
        <v>#REF!</v>
      </c>
      <c r="W4115" t="e">
        <f>IF(#REF! &lt;= 1, "0-1 Calls", IF(#REF! &lt;= 3, "2-3 Calls", IF(#REF! &lt;=5, "4-5 Calls", "6+ Calls")))</f>
        <v>#REF!</v>
      </c>
      <c r="X4115" t="e">
        <f>IF(#REF! &lt;= 50, "0-50", IF(#REF! &lt;=100, "51-100", IF(#REF! &lt;= 150, "101-150", "151+")))</f>
        <v>#REF!</v>
      </c>
      <c r="Y4115" t="e">
        <f>IF(#REF! &lt;= 3, "Low Charges", "High Charges")</f>
        <v>#REF!</v>
      </c>
      <c r="Z4115" t="e">
        <f>IF(#REF!&lt;=80,"Low Calls",
IF(#REF!&lt;=120,"Medium Calls","High Calls"))</f>
        <v>#REF!</v>
      </c>
      <c r="AA4115" t="e">
        <f>IF(#REF!&lt;=15,"Low Charges",
IF(#REF!&lt;=20,"Medium Charges","High Charges"))</f>
        <v>#REF!</v>
      </c>
      <c r="AB4115" t="e">
        <f>IF(AND(#REF!&gt;180, #REF!&gt;200), "Heavy Doemstic User", IF(#REF!&gt;10, "Interntional User", IF(AND(#REF!&lt;180, #REF!&lt;200,#REF!&lt;200), "Light User", "Balanced User")))</f>
        <v>#REF!</v>
      </c>
      <c r="AC4115" t="e">
        <f>IF(#REF! = 0, "No Usage", IF(#REF! &lt;= 20, "Low Usage", IF(#REF! &lt;= 40, "Medium Usgae", "High Usage")))</f>
        <v>#REF!</v>
      </c>
      <c r="AD4115" t="e">
        <f>IF(#REF!&lt;=150,"Low Usage", IF(#REF!&lt;=200,"Medium Usage", IF(#REF!&lt;=250,"High Usage","Very High Usage")))</f>
        <v>#REF!</v>
      </c>
      <c r="AE4115" t="e">
        <f>IF(#REF!&lt;=5,"Low Calls", IF(#REF!&lt;=10, "Medium Calls", "High Calls"))</f>
        <v>#REF!</v>
      </c>
      <c r="AF4115" t="e">
        <f xml:space="preserve">
IF(#REF!&gt;=4,4,0)+
IF(#REF!="yes",3,0)+
IF(#REF!="High Charges",3,0)+
IF(#REF!&gt;250,4,0)+
IF(#REF!="no",1,0)+
IF(#REF!="Heavy Domestic User",2,0)</f>
        <v>#REF!</v>
      </c>
      <c r="AG4115" t="e">
        <f>IF(#REF!&gt;=10,"High Risk", IF(#REF!&gt;=5,"Medium Risk","Low Risk"))</f>
        <v>#REF!</v>
      </c>
      <c r="AH4115" t="e">
        <f>#REF! + #REF! + #REF! + #REF!</f>
        <v>#REF!</v>
      </c>
    </row>
    <row r="4116" spans="1:34" x14ac:dyDescent="0.35">
      <c r="A4116">
        <v>4115</v>
      </c>
      <c r="B4116" t="s">
        <v>45</v>
      </c>
      <c r="C4116">
        <v>94</v>
      </c>
      <c r="D4116" t="s">
        <v>25</v>
      </c>
      <c r="E4116" t="s">
        <v>22</v>
      </c>
      <c r="F4116" t="s">
        <v>22</v>
      </c>
      <c r="G4116">
        <v>0</v>
      </c>
      <c r="H4116">
        <v>226.6</v>
      </c>
      <c r="I4116">
        <v>119</v>
      </c>
      <c r="J4116">
        <v>38.520000000000003</v>
      </c>
      <c r="K4116">
        <v>199.8</v>
      </c>
      <c r="L4116">
        <v>111</v>
      </c>
      <c r="M4116">
        <v>16.98</v>
      </c>
      <c r="N4116">
        <v>219.4</v>
      </c>
      <c r="O4116">
        <v>141</v>
      </c>
      <c r="P4116">
        <v>9.8699999999999992</v>
      </c>
      <c r="Q4116">
        <v>11.7</v>
      </c>
      <c r="R4116">
        <v>2</v>
      </c>
      <c r="S4116">
        <v>3.16</v>
      </c>
      <c r="T4116">
        <v>3</v>
      </c>
      <c r="U4116" t="s">
        <v>22</v>
      </c>
      <c r="V4116" t="e">
        <f>IF(#REF! = "yes", 1, 0)</f>
        <v>#REF!</v>
      </c>
      <c r="W4116" t="e">
        <f>IF(#REF! &lt;= 1, "0-1 Calls", IF(#REF! &lt;= 3, "2-3 Calls", IF(#REF! &lt;=5, "4-5 Calls", "6+ Calls")))</f>
        <v>#REF!</v>
      </c>
      <c r="X4116" t="e">
        <f>IF(#REF! &lt;= 50, "0-50", IF(#REF! &lt;=100, "51-100", IF(#REF! &lt;= 150, "101-150", "151+")))</f>
        <v>#REF!</v>
      </c>
      <c r="Y4116" t="e">
        <f>IF(#REF! &lt;= 3, "Low Charges", "High Charges")</f>
        <v>#REF!</v>
      </c>
      <c r="Z4116" t="e">
        <f>IF(#REF!&lt;=80,"Low Calls",
IF(#REF!&lt;=120,"Medium Calls","High Calls"))</f>
        <v>#REF!</v>
      </c>
      <c r="AA4116" t="e">
        <f>IF(#REF!&lt;=15,"Low Charges",
IF(#REF!&lt;=20,"Medium Charges","High Charges"))</f>
        <v>#REF!</v>
      </c>
      <c r="AB4116" t="e">
        <f>IF(AND(#REF!&gt;180, #REF!&gt;200), "Heavy Doemstic User", IF(#REF!&gt;10, "Interntional User", IF(AND(#REF!&lt;180, #REF!&lt;200,#REF!&lt;200), "Light User", "Balanced User")))</f>
        <v>#REF!</v>
      </c>
      <c r="AC4116" t="e">
        <f>IF(#REF! = 0, "No Usage", IF(#REF! &lt;= 20, "Low Usage", IF(#REF! &lt;= 40, "Medium Usgae", "High Usage")))</f>
        <v>#REF!</v>
      </c>
      <c r="AD4116" t="e">
        <f>IF(#REF!&lt;=150,"Low Usage", IF(#REF!&lt;=200,"Medium Usage", IF(#REF!&lt;=250,"High Usage","Very High Usage")))</f>
        <v>#REF!</v>
      </c>
      <c r="AE4116" t="e">
        <f>IF(#REF!&lt;=5,"Low Calls", IF(#REF!&lt;=10, "Medium Calls", "High Calls"))</f>
        <v>#REF!</v>
      </c>
      <c r="AF4116" t="e">
        <f xml:space="preserve">
IF(#REF!&gt;=4,4,0)+
IF(#REF!="yes",3,0)+
IF(#REF!="High Charges",3,0)+
IF(#REF!&gt;250,4,0)+
IF(#REF!="no",1,0)+
IF(#REF!="Heavy Domestic User",2,0)</f>
        <v>#REF!</v>
      </c>
      <c r="AG4116" t="e">
        <f>IF(#REF!&gt;=10,"High Risk", IF(#REF!&gt;=5,"Medium Risk","Low Risk"))</f>
        <v>#REF!</v>
      </c>
      <c r="AH4116" t="e">
        <f>#REF! + #REF! + #REF! + #REF!</f>
        <v>#REF!</v>
      </c>
    </row>
    <row r="4117" spans="1:34" x14ac:dyDescent="0.35">
      <c r="A4117">
        <v>4116</v>
      </c>
      <c r="B4117" t="s">
        <v>73</v>
      </c>
      <c r="C4117">
        <v>88</v>
      </c>
      <c r="D4117" t="s">
        <v>21</v>
      </c>
      <c r="E4117" t="s">
        <v>22</v>
      </c>
      <c r="F4117" t="s">
        <v>22</v>
      </c>
      <c r="G4117">
        <v>0</v>
      </c>
      <c r="H4117">
        <v>158.19999999999999</v>
      </c>
      <c r="I4117">
        <v>130</v>
      </c>
      <c r="J4117">
        <v>26.89</v>
      </c>
      <c r="K4117">
        <v>234.6</v>
      </c>
      <c r="L4117">
        <v>91</v>
      </c>
      <c r="M4117">
        <v>19.940000000000001</v>
      </c>
      <c r="N4117">
        <v>291</v>
      </c>
      <c r="O4117">
        <v>117</v>
      </c>
      <c r="P4117">
        <v>13.1</v>
      </c>
      <c r="Q4117">
        <v>12.9</v>
      </c>
      <c r="R4117">
        <v>3</v>
      </c>
      <c r="S4117">
        <v>3.48</v>
      </c>
      <c r="T4117">
        <v>2</v>
      </c>
      <c r="U4117" t="s">
        <v>22</v>
      </c>
      <c r="V4117" t="e">
        <f>IF(#REF! = "yes", 1, 0)</f>
        <v>#REF!</v>
      </c>
      <c r="W4117" t="e">
        <f>IF(#REF! &lt;= 1, "0-1 Calls", IF(#REF! &lt;= 3, "2-3 Calls", IF(#REF! &lt;=5, "4-5 Calls", "6+ Calls")))</f>
        <v>#REF!</v>
      </c>
      <c r="X4117" t="e">
        <f>IF(#REF! &lt;= 50, "0-50", IF(#REF! &lt;=100, "51-100", IF(#REF! &lt;= 150, "101-150", "151+")))</f>
        <v>#REF!</v>
      </c>
      <c r="Y4117" t="e">
        <f>IF(#REF! &lt;= 3, "Low Charges", "High Charges")</f>
        <v>#REF!</v>
      </c>
      <c r="Z4117" t="e">
        <f>IF(#REF!&lt;=80,"Low Calls",
IF(#REF!&lt;=120,"Medium Calls","High Calls"))</f>
        <v>#REF!</v>
      </c>
      <c r="AA4117" t="e">
        <f>IF(#REF!&lt;=15,"Low Charges",
IF(#REF!&lt;=20,"Medium Charges","High Charges"))</f>
        <v>#REF!</v>
      </c>
      <c r="AB4117" t="e">
        <f>IF(AND(#REF!&gt;180, #REF!&gt;200), "Heavy Doemstic User", IF(#REF!&gt;10, "Interntional User", IF(AND(#REF!&lt;180, #REF!&lt;200,#REF!&lt;200), "Light User", "Balanced User")))</f>
        <v>#REF!</v>
      </c>
      <c r="AC4117" t="e">
        <f>IF(#REF! = 0, "No Usage", IF(#REF! &lt;= 20, "Low Usage", IF(#REF! &lt;= 40, "Medium Usgae", "High Usage")))</f>
        <v>#REF!</v>
      </c>
      <c r="AD4117" t="e">
        <f>IF(#REF!&lt;=150,"Low Usage", IF(#REF!&lt;=200,"Medium Usage", IF(#REF!&lt;=250,"High Usage","Very High Usage")))</f>
        <v>#REF!</v>
      </c>
      <c r="AE4117" t="e">
        <f>IF(#REF!&lt;=5,"Low Calls", IF(#REF!&lt;=10, "Medium Calls", "High Calls"))</f>
        <v>#REF!</v>
      </c>
      <c r="AF4117" t="e">
        <f xml:space="preserve">
IF(#REF!&gt;=4,4,0)+
IF(#REF!="yes",3,0)+
IF(#REF!="High Charges",3,0)+
IF(#REF!&gt;250,4,0)+
IF(#REF!="no",1,0)+
IF(#REF!="Heavy Domestic User",2,0)</f>
        <v>#REF!</v>
      </c>
      <c r="AG4117" t="e">
        <f>IF(#REF!&gt;=10,"High Risk", IF(#REF!&gt;=5,"Medium Risk","Low Risk"))</f>
        <v>#REF!</v>
      </c>
      <c r="AH4117" t="e">
        <f>#REF! + #REF! + #REF! + #REF!</f>
        <v>#REF!</v>
      </c>
    </row>
    <row r="4118" spans="1:34" x14ac:dyDescent="0.35">
      <c r="A4118">
        <v>4117</v>
      </c>
      <c r="B4118" t="s">
        <v>27</v>
      </c>
      <c r="C4118">
        <v>95</v>
      </c>
      <c r="D4118" t="s">
        <v>21</v>
      </c>
      <c r="E4118" t="s">
        <v>22</v>
      </c>
      <c r="F4118" t="s">
        <v>22</v>
      </c>
      <c r="G4118">
        <v>0</v>
      </c>
      <c r="H4118">
        <v>186.4</v>
      </c>
      <c r="I4118">
        <v>85</v>
      </c>
      <c r="J4118">
        <v>31.69</v>
      </c>
      <c r="K4118">
        <v>173.4</v>
      </c>
      <c r="L4118">
        <v>100</v>
      </c>
      <c r="M4118">
        <v>14.74</v>
      </c>
      <c r="N4118">
        <v>294.7</v>
      </c>
      <c r="O4118">
        <v>73</v>
      </c>
      <c r="P4118">
        <v>13.26</v>
      </c>
      <c r="Q4118">
        <v>9.1</v>
      </c>
      <c r="R4118">
        <v>5</v>
      </c>
      <c r="S4118">
        <v>2.46</v>
      </c>
      <c r="T4118">
        <v>1</v>
      </c>
      <c r="U4118" t="s">
        <v>22</v>
      </c>
      <c r="V4118" t="e">
        <f>IF(#REF! = "yes", 1, 0)</f>
        <v>#REF!</v>
      </c>
      <c r="W4118" t="e">
        <f>IF(#REF! &lt;= 1, "0-1 Calls", IF(#REF! &lt;= 3, "2-3 Calls", IF(#REF! &lt;=5, "4-5 Calls", "6+ Calls")))</f>
        <v>#REF!</v>
      </c>
      <c r="X4118" t="e">
        <f>IF(#REF! &lt;= 50, "0-50", IF(#REF! &lt;=100, "51-100", IF(#REF! &lt;= 150, "101-150", "151+")))</f>
        <v>#REF!</v>
      </c>
      <c r="Y4118" t="e">
        <f>IF(#REF! &lt;= 3, "Low Charges", "High Charges")</f>
        <v>#REF!</v>
      </c>
      <c r="Z4118" t="e">
        <f>IF(#REF!&lt;=80,"Low Calls",
IF(#REF!&lt;=120,"Medium Calls","High Calls"))</f>
        <v>#REF!</v>
      </c>
      <c r="AA4118" t="e">
        <f>IF(#REF!&lt;=15,"Low Charges",
IF(#REF!&lt;=20,"Medium Charges","High Charges"))</f>
        <v>#REF!</v>
      </c>
      <c r="AB4118" t="e">
        <f>IF(AND(#REF!&gt;180, #REF!&gt;200), "Heavy Doemstic User", IF(#REF!&gt;10, "Interntional User", IF(AND(#REF!&lt;180, #REF!&lt;200,#REF!&lt;200), "Light User", "Balanced User")))</f>
        <v>#REF!</v>
      </c>
      <c r="AC4118" t="e">
        <f>IF(#REF! = 0, "No Usage", IF(#REF! &lt;= 20, "Low Usage", IF(#REF! &lt;= 40, "Medium Usgae", "High Usage")))</f>
        <v>#REF!</v>
      </c>
      <c r="AD4118" t="e">
        <f>IF(#REF!&lt;=150,"Low Usage", IF(#REF!&lt;=200,"Medium Usage", IF(#REF!&lt;=250,"High Usage","Very High Usage")))</f>
        <v>#REF!</v>
      </c>
      <c r="AE4118" t="e">
        <f>IF(#REF!&lt;=5,"Low Calls", IF(#REF!&lt;=10, "Medium Calls", "High Calls"))</f>
        <v>#REF!</v>
      </c>
      <c r="AF4118" t="e">
        <f xml:space="preserve">
IF(#REF!&gt;=4,4,0)+
IF(#REF!="yes",3,0)+
IF(#REF!="High Charges",3,0)+
IF(#REF!&gt;250,4,0)+
IF(#REF!="no",1,0)+
IF(#REF!="Heavy Domestic User",2,0)</f>
        <v>#REF!</v>
      </c>
      <c r="AG4118" t="e">
        <f>IF(#REF!&gt;=10,"High Risk", IF(#REF!&gt;=5,"Medium Risk","Low Risk"))</f>
        <v>#REF!</v>
      </c>
      <c r="AH4118" t="e">
        <f>#REF! + #REF! + #REF! + #REF!</f>
        <v>#REF!</v>
      </c>
    </row>
    <row r="4119" spans="1:34" x14ac:dyDescent="0.35">
      <c r="A4119">
        <v>4118</v>
      </c>
      <c r="B4119" t="s">
        <v>57</v>
      </c>
      <c r="C4119">
        <v>52</v>
      </c>
      <c r="D4119" t="s">
        <v>25</v>
      </c>
      <c r="E4119" t="s">
        <v>22</v>
      </c>
      <c r="F4119" t="s">
        <v>22</v>
      </c>
      <c r="G4119">
        <v>0</v>
      </c>
      <c r="H4119">
        <v>165.8</v>
      </c>
      <c r="I4119">
        <v>94</v>
      </c>
      <c r="J4119">
        <v>28.19</v>
      </c>
      <c r="K4119">
        <v>192.8</v>
      </c>
      <c r="L4119">
        <v>135</v>
      </c>
      <c r="M4119">
        <v>16.39</v>
      </c>
      <c r="N4119">
        <v>247.8</v>
      </c>
      <c r="O4119">
        <v>64</v>
      </c>
      <c r="P4119">
        <v>11.15</v>
      </c>
      <c r="Q4119">
        <v>12.4</v>
      </c>
      <c r="R4119">
        <v>7</v>
      </c>
      <c r="S4119">
        <v>3.35</v>
      </c>
      <c r="T4119">
        <v>3</v>
      </c>
      <c r="U4119" t="s">
        <v>22</v>
      </c>
      <c r="V4119" t="e">
        <f>IF(#REF! = "yes", 1, 0)</f>
        <v>#REF!</v>
      </c>
      <c r="W4119" t="e">
        <f>IF(#REF! &lt;= 1, "0-1 Calls", IF(#REF! &lt;= 3, "2-3 Calls", IF(#REF! &lt;=5, "4-5 Calls", "6+ Calls")))</f>
        <v>#REF!</v>
      </c>
      <c r="X4119" t="e">
        <f>IF(#REF! &lt;= 50, "0-50", IF(#REF! &lt;=100, "51-100", IF(#REF! &lt;= 150, "101-150", "151+")))</f>
        <v>#REF!</v>
      </c>
      <c r="Y4119" t="e">
        <f>IF(#REF! &lt;= 3, "Low Charges", "High Charges")</f>
        <v>#REF!</v>
      </c>
      <c r="Z4119" t="e">
        <f>IF(#REF!&lt;=80,"Low Calls",
IF(#REF!&lt;=120,"Medium Calls","High Calls"))</f>
        <v>#REF!</v>
      </c>
      <c r="AA4119" t="e">
        <f>IF(#REF!&lt;=15,"Low Charges",
IF(#REF!&lt;=20,"Medium Charges","High Charges"))</f>
        <v>#REF!</v>
      </c>
      <c r="AB4119" t="e">
        <f>IF(AND(#REF!&gt;180, #REF!&gt;200), "Heavy Doemstic User", IF(#REF!&gt;10, "Interntional User", IF(AND(#REF!&lt;180, #REF!&lt;200,#REF!&lt;200), "Light User", "Balanced User")))</f>
        <v>#REF!</v>
      </c>
      <c r="AC4119" t="e">
        <f>IF(#REF! = 0, "No Usage", IF(#REF! &lt;= 20, "Low Usage", IF(#REF! &lt;= 40, "Medium Usgae", "High Usage")))</f>
        <v>#REF!</v>
      </c>
      <c r="AD4119" t="e">
        <f>IF(#REF!&lt;=150,"Low Usage", IF(#REF!&lt;=200,"Medium Usage", IF(#REF!&lt;=250,"High Usage","Very High Usage")))</f>
        <v>#REF!</v>
      </c>
      <c r="AE4119" t="e">
        <f>IF(#REF!&lt;=5,"Low Calls", IF(#REF!&lt;=10, "Medium Calls", "High Calls"))</f>
        <v>#REF!</v>
      </c>
      <c r="AF4119" t="e">
        <f xml:space="preserve">
IF(#REF!&gt;=4,4,0)+
IF(#REF!="yes",3,0)+
IF(#REF!="High Charges",3,0)+
IF(#REF!&gt;250,4,0)+
IF(#REF!="no",1,0)+
IF(#REF!="Heavy Domestic User",2,0)</f>
        <v>#REF!</v>
      </c>
      <c r="AG4119" t="e">
        <f>IF(#REF!&gt;=10,"High Risk", IF(#REF!&gt;=5,"Medium Risk","Low Risk"))</f>
        <v>#REF!</v>
      </c>
      <c r="AH4119" t="e">
        <f>#REF! + #REF! + #REF! + #REF!</f>
        <v>#REF!</v>
      </c>
    </row>
    <row r="4120" spans="1:34" x14ac:dyDescent="0.35">
      <c r="A4120">
        <v>4119</v>
      </c>
      <c r="B4120" t="s">
        <v>73</v>
      </c>
      <c r="C4120">
        <v>91</v>
      </c>
      <c r="D4120" t="s">
        <v>28</v>
      </c>
      <c r="E4120" t="s">
        <v>22</v>
      </c>
      <c r="F4120" t="s">
        <v>22</v>
      </c>
      <c r="G4120">
        <v>0</v>
      </c>
      <c r="H4120">
        <v>143.19999999999999</v>
      </c>
      <c r="I4120">
        <v>127</v>
      </c>
      <c r="J4120">
        <v>24.34</v>
      </c>
      <c r="K4120">
        <v>103</v>
      </c>
      <c r="L4120">
        <v>89</v>
      </c>
      <c r="M4120">
        <v>8.76</v>
      </c>
      <c r="N4120">
        <v>233.5</v>
      </c>
      <c r="O4120">
        <v>94</v>
      </c>
      <c r="P4120">
        <v>10.51</v>
      </c>
      <c r="Q4120">
        <v>12.7</v>
      </c>
      <c r="R4120">
        <v>3</v>
      </c>
      <c r="S4120">
        <v>3.43</v>
      </c>
      <c r="T4120">
        <v>2</v>
      </c>
      <c r="U4120" t="s">
        <v>22</v>
      </c>
      <c r="V4120" t="e">
        <f>IF(#REF! = "yes", 1, 0)</f>
        <v>#REF!</v>
      </c>
      <c r="W4120" t="e">
        <f>IF(#REF! &lt;= 1, "0-1 Calls", IF(#REF! &lt;= 3, "2-3 Calls", IF(#REF! &lt;=5, "4-5 Calls", "6+ Calls")))</f>
        <v>#REF!</v>
      </c>
      <c r="X4120" t="e">
        <f>IF(#REF! &lt;= 50, "0-50", IF(#REF! &lt;=100, "51-100", IF(#REF! &lt;= 150, "101-150", "151+")))</f>
        <v>#REF!</v>
      </c>
      <c r="Y4120" t="e">
        <f>IF(#REF! &lt;= 3, "Low Charges", "High Charges")</f>
        <v>#REF!</v>
      </c>
      <c r="Z4120" t="e">
        <f>IF(#REF!&lt;=80,"Low Calls",
IF(#REF!&lt;=120,"Medium Calls","High Calls"))</f>
        <v>#REF!</v>
      </c>
      <c r="AA4120" t="e">
        <f>IF(#REF!&lt;=15,"Low Charges",
IF(#REF!&lt;=20,"Medium Charges","High Charges"))</f>
        <v>#REF!</v>
      </c>
      <c r="AB4120" t="e">
        <f>IF(AND(#REF!&gt;180, #REF!&gt;200), "Heavy Doemstic User", IF(#REF!&gt;10, "Interntional User", IF(AND(#REF!&lt;180, #REF!&lt;200,#REF!&lt;200), "Light User", "Balanced User")))</f>
        <v>#REF!</v>
      </c>
      <c r="AC4120" t="e">
        <f>IF(#REF! = 0, "No Usage", IF(#REF! &lt;= 20, "Low Usage", IF(#REF! &lt;= 40, "Medium Usgae", "High Usage")))</f>
        <v>#REF!</v>
      </c>
      <c r="AD4120" t="e">
        <f>IF(#REF!&lt;=150,"Low Usage", IF(#REF!&lt;=200,"Medium Usage", IF(#REF!&lt;=250,"High Usage","Very High Usage")))</f>
        <v>#REF!</v>
      </c>
      <c r="AE4120" t="e">
        <f>IF(#REF!&lt;=5,"Low Calls", IF(#REF!&lt;=10, "Medium Calls", "High Calls"))</f>
        <v>#REF!</v>
      </c>
      <c r="AF4120" t="e">
        <f xml:space="preserve">
IF(#REF!&gt;=4,4,0)+
IF(#REF!="yes",3,0)+
IF(#REF!="High Charges",3,0)+
IF(#REF!&gt;250,4,0)+
IF(#REF!="no",1,0)+
IF(#REF!="Heavy Domestic User",2,0)</f>
        <v>#REF!</v>
      </c>
      <c r="AG4120" t="e">
        <f>IF(#REF!&gt;=10,"High Risk", IF(#REF!&gt;=5,"Medium Risk","Low Risk"))</f>
        <v>#REF!</v>
      </c>
      <c r="AH4120" t="e">
        <f>#REF! + #REF! + #REF! + #REF!</f>
        <v>#REF!</v>
      </c>
    </row>
    <row r="4121" spans="1:34" x14ac:dyDescent="0.35">
      <c r="A4121">
        <v>4120</v>
      </c>
      <c r="B4121" t="s">
        <v>49</v>
      </c>
      <c r="C4121">
        <v>163</v>
      </c>
      <c r="D4121" t="s">
        <v>28</v>
      </c>
      <c r="E4121" t="s">
        <v>22</v>
      </c>
      <c r="F4121" t="s">
        <v>22</v>
      </c>
      <c r="G4121">
        <v>0</v>
      </c>
      <c r="H4121">
        <v>238.6</v>
      </c>
      <c r="I4121">
        <v>107</v>
      </c>
      <c r="J4121">
        <v>40.56</v>
      </c>
      <c r="K4121">
        <v>178</v>
      </c>
      <c r="L4121">
        <v>85</v>
      </c>
      <c r="M4121">
        <v>15.13</v>
      </c>
      <c r="N4121">
        <v>196</v>
      </c>
      <c r="O4121">
        <v>124</v>
      </c>
      <c r="P4121">
        <v>8.82</v>
      </c>
      <c r="Q4121">
        <v>6.2</v>
      </c>
      <c r="R4121">
        <v>4</v>
      </c>
      <c r="S4121">
        <v>1.67</v>
      </c>
      <c r="T4121">
        <v>1</v>
      </c>
      <c r="U4121" t="s">
        <v>22</v>
      </c>
      <c r="V4121" t="e">
        <f>IF(#REF! = "yes", 1, 0)</f>
        <v>#REF!</v>
      </c>
      <c r="W4121" t="e">
        <f>IF(#REF! &lt;= 1, "0-1 Calls", IF(#REF! &lt;= 3, "2-3 Calls", IF(#REF! &lt;=5, "4-5 Calls", "6+ Calls")))</f>
        <v>#REF!</v>
      </c>
      <c r="X4121" t="e">
        <f>IF(#REF! &lt;= 50, "0-50", IF(#REF! &lt;=100, "51-100", IF(#REF! &lt;= 150, "101-150", "151+")))</f>
        <v>#REF!</v>
      </c>
      <c r="Y4121" t="e">
        <f>IF(#REF! &lt;= 3, "Low Charges", "High Charges")</f>
        <v>#REF!</v>
      </c>
      <c r="Z4121" t="e">
        <f>IF(#REF!&lt;=80,"Low Calls",
IF(#REF!&lt;=120,"Medium Calls","High Calls"))</f>
        <v>#REF!</v>
      </c>
      <c r="AA4121" t="e">
        <f>IF(#REF!&lt;=15,"Low Charges",
IF(#REF!&lt;=20,"Medium Charges","High Charges"))</f>
        <v>#REF!</v>
      </c>
      <c r="AB4121" t="e">
        <f>IF(AND(#REF!&gt;180, #REF!&gt;200), "Heavy Doemstic User", IF(#REF!&gt;10, "Interntional User", IF(AND(#REF!&lt;180, #REF!&lt;200,#REF!&lt;200), "Light User", "Balanced User")))</f>
        <v>#REF!</v>
      </c>
      <c r="AC4121" t="e">
        <f>IF(#REF! = 0, "No Usage", IF(#REF! &lt;= 20, "Low Usage", IF(#REF! &lt;= 40, "Medium Usgae", "High Usage")))</f>
        <v>#REF!</v>
      </c>
      <c r="AD4121" t="e">
        <f>IF(#REF!&lt;=150,"Low Usage", IF(#REF!&lt;=200,"Medium Usage", IF(#REF!&lt;=250,"High Usage","Very High Usage")))</f>
        <v>#REF!</v>
      </c>
      <c r="AE4121" t="e">
        <f>IF(#REF!&lt;=5,"Low Calls", IF(#REF!&lt;=10, "Medium Calls", "High Calls"))</f>
        <v>#REF!</v>
      </c>
      <c r="AF4121" t="e">
        <f xml:space="preserve">
IF(#REF!&gt;=4,4,0)+
IF(#REF!="yes",3,0)+
IF(#REF!="High Charges",3,0)+
IF(#REF!&gt;250,4,0)+
IF(#REF!="no",1,0)+
IF(#REF!="Heavy Domestic User",2,0)</f>
        <v>#REF!</v>
      </c>
      <c r="AG4121" t="e">
        <f>IF(#REF!&gt;=10,"High Risk", IF(#REF!&gt;=5,"Medium Risk","Low Risk"))</f>
        <v>#REF!</v>
      </c>
      <c r="AH4121" t="e">
        <f>#REF! + #REF! + #REF! + #REF!</f>
        <v>#REF!</v>
      </c>
    </row>
    <row r="4122" spans="1:34" x14ac:dyDescent="0.35">
      <c r="A4122">
        <v>4121</v>
      </c>
      <c r="B4122" t="s">
        <v>67</v>
      </c>
      <c r="C4122">
        <v>145</v>
      </c>
      <c r="D4122" t="s">
        <v>25</v>
      </c>
      <c r="E4122" t="s">
        <v>23</v>
      </c>
      <c r="F4122" t="s">
        <v>22</v>
      </c>
      <c r="G4122">
        <v>0</v>
      </c>
      <c r="H4122">
        <v>113</v>
      </c>
      <c r="I4122">
        <v>63</v>
      </c>
      <c r="J4122">
        <v>19.21</v>
      </c>
      <c r="K4122">
        <v>187</v>
      </c>
      <c r="L4122">
        <v>131</v>
      </c>
      <c r="M4122">
        <v>15.9</v>
      </c>
      <c r="N4122">
        <v>146.80000000000001</v>
      </c>
      <c r="O4122">
        <v>61</v>
      </c>
      <c r="P4122">
        <v>6.61</v>
      </c>
      <c r="Q4122">
        <v>10.9</v>
      </c>
      <c r="R4122">
        <v>7</v>
      </c>
      <c r="S4122">
        <v>2.94</v>
      </c>
      <c r="T4122">
        <v>1</v>
      </c>
      <c r="U4122" t="s">
        <v>22</v>
      </c>
      <c r="V4122" t="e">
        <f>IF(#REF! = "yes", 1, 0)</f>
        <v>#REF!</v>
      </c>
      <c r="W4122" t="e">
        <f>IF(#REF! &lt;= 1, "0-1 Calls", IF(#REF! &lt;= 3, "2-3 Calls", IF(#REF! &lt;=5, "4-5 Calls", "6+ Calls")))</f>
        <v>#REF!</v>
      </c>
      <c r="X4122" t="e">
        <f>IF(#REF! &lt;= 50, "0-50", IF(#REF! &lt;=100, "51-100", IF(#REF! &lt;= 150, "101-150", "151+")))</f>
        <v>#REF!</v>
      </c>
      <c r="Y4122" t="e">
        <f>IF(#REF! &lt;= 3, "Low Charges", "High Charges")</f>
        <v>#REF!</v>
      </c>
      <c r="Z4122" t="e">
        <f>IF(#REF!&lt;=80,"Low Calls",
IF(#REF!&lt;=120,"Medium Calls","High Calls"))</f>
        <v>#REF!</v>
      </c>
      <c r="AA4122" t="e">
        <f>IF(#REF!&lt;=15,"Low Charges",
IF(#REF!&lt;=20,"Medium Charges","High Charges"))</f>
        <v>#REF!</v>
      </c>
      <c r="AB4122" t="e">
        <f>IF(AND(#REF!&gt;180, #REF!&gt;200), "Heavy Doemstic User", IF(#REF!&gt;10, "Interntional User", IF(AND(#REF!&lt;180, #REF!&lt;200,#REF!&lt;200), "Light User", "Balanced User")))</f>
        <v>#REF!</v>
      </c>
      <c r="AC4122" t="e">
        <f>IF(#REF! = 0, "No Usage", IF(#REF! &lt;= 20, "Low Usage", IF(#REF! &lt;= 40, "Medium Usgae", "High Usage")))</f>
        <v>#REF!</v>
      </c>
      <c r="AD4122" t="e">
        <f>IF(#REF!&lt;=150,"Low Usage", IF(#REF!&lt;=200,"Medium Usage", IF(#REF!&lt;=250,"High Usage","Very High Usage")))</f>
        <v>#REF!</v>
      </c>
      <c r="AE4122" t="e">
        <f>IF(#REF!&lt;=5,"Low Calls", IF(#REF!&lt;=10, "Medium Calls", "High Calls"))</f>
        <v>#REF!</v>
      </c>
      <c r="AF4122" t="e">
        <f xml:space="preserve">
IF(#REF!&gt;=4,4,0)+
IF(#REF!="yes",3,0)+
IF(#REF!="High Charges",3,0)+
IF(#REF!&gt;250,4,0)+
IF(#REF!="no",1,0)+
IF(#REF!="Heavy Domestic User",2,0)</f>
        <v>#REF!</v>
      </c>
      <c r="AG4122" t="e">
        <f>IF(#REF!&gt;=10,"High Risk", IF(#REF!&gt;=5,"Medium Risk","Low Risk"))</f>
        <v>#REF!</v>
      </c>
      <c r="AH4122" t="e">
        <f>#REF! + #REF! + #REF! + #REF!</f>
        <v>#REF!</v>
      </c>
    </row>
    <row r="4123" spans="1:34" x14ac:dyDescent="0.35">
      <c r="A4123">
        <v>4122</v>
      </c>
      <c r="B4123" t="s">
        <v>53</v>
      </c>
      <c r="C4123">
        <v>116</v>
      </c>
      <c r="D4123" t="s">
        <v>25</v>
      </c>
      <c r="E4123" t="s">
        <v>22</v>
      </c>
      <c r="F4123" t="s">
        <v>22</v>
      </c>
      <c r="G4123">
        <v>0</v>
      </c>
      <c r="H4123">
        <v>149.6</v>
      </c>
      <c r="I4123">
        <v>74</v>
      </c>
      <c r="J4123">
        <v>25.43</v>
      </c>
      <c r="K4123">
        <v>167.9</v>
      </c>
      <c r="L4123">
        <v>92</v>
      </c>
      <c r="M4123">
        <v>14.27</v>
      </c>
      <c r="N4123">
        <v>174.1</v>
      </c>
      <c r="O4123">
        <v>100</v>
      </c>
      <c r="P4123">
        <v>7.83</v>
      </c>
      <c r="Q4123">
        <v>16.399999999999999</v>
      </c>
      <c r="R4123">
        <v>7</v>
      </c>
      <c r="S4123">
        <v>4.43</v>
      </c>
      <c r="T4123">
        <v>0</v>
      </c>
      <c r="U4123" t="s">
        <v>22</v>
      </c>
      <c r="V4123" t="e">
        <f>IF(#REF! = "yes", 1, 0)</f>
        <v>#REF!</v>
      </c>
      <c r="W4123" t="e">
        <f>IF(#REF! &lt;= 1, "0-1 Calls", IF(#REF! &lt;= 3, "2-3 Calls", IF(#REF! &lt;=5, "4-5 Calls", "6+ Calls")))</f>
        <v>#REF!</v>
      </c>
      <c r="X4123" t="e">
        <f>IF(#REF! &lt;= 50, "0-50", IF(#REF! &lt;=100, "51-100", IF(#REF! &lt;= 150, "101-150", "151+")))</f>
        <v>#REF!</v>
      </c>
      <c r="Y4123" t="e">
        <f>IF(#REF! &lt;= 3, "Low Charges", "High Charges")</f>
        <v>#REF!</v>
      </c>
      <c r="Z4123" t="e">
        <f>IF(#REF!&lt;=80,"Low Calls",
IF(#REF!&lt;=120,"Medium Calls","High Calls"))</f>
        <v>#REF!</v>
      </c>
      <c r="AA4123" t="e">
        <f>IF(#REF!&lt;=15,"Low Charges",
IF(#REF!&lt;=20,"Medium Charges","High Charges"))</f>
        <v>#REF!</v>
      </c>
      <c r="AB4123" t="e">
        <f>IF(AND(#REF!&gt;180, #REF!&gt;200), "Heavy Doemstic User", IF(#REF!&gt;10, "Interntional User", IF(AND(#REF!&lt;180, #REF!&lt;200,#REF!&lt;200), "Light User", "Balanced User")))</f>
        <v>#REF!</v>
      </c>
      <c r="AC4123" t="e">
        <f>IF(#REF! = 0, "No Usage", IF(#REF! &lt;= 20, "Low Usage", IF(#REF! &lt;= 40, "Medium Usgae", "High Usage")))</f>
        <v>#REF!</v>
      </c>
      <c r="AD4123" t="e">
        <f>IF(#REF!&lt;=150,"Low Usage", IF(#REF!&lt;=200,"Medium Usage", IF(#REF!&lt;=250,"High Usage","Very High Usage")))</f>
        <v>#REF!</v>
      </c>
      <c r="AE4123" t="e">
        <f>IF(#REF!&lt;=5,"Low Calls", IF(#REF!&lt;=10, "Medium Calls", "High Calls"))</f>
        <v>#REF!</v>
      </c>
      <c r="AF4123" t="e">
        <f xml:space="preserve">
IF(#REF!&gt;=4,4,0)+
IF(#REF!="yes",3,0)+
IF(#REF!="High Charges",3,0)+
IF(#REF!&gt;250,4,0)+
IF(#REF!="no",1,0)+
IF(#REF!="Heavy Domestic User",2,0)</f>
        <v>#REF!</v>
      </c>
      <c r="AG4123" t="e">
        <f>IF(#REF!&gt;=10,"High Risk", IF(#REF!&gt;=5,"Medium Risk","Low Risk"))</f>
        <v>#REF!</v>
      </c>
      <c r="AH4123" t="e">
        <f>#REF! + #REF! + #REF! + #REF!</f>
        <v>#REF!</v>
      </c>
    </row>
    <row r="4124" spans="1:34" x14ac:dyDescent="0.35">
      <c r="A4124">
        <v>4123</v>
      </c>
      <c r="B4124" t="s">
        <v>37</v>
      </c>
      <c r="C4124">
        <v>95</v>
      </c>
      <c r="D4124" t="s">
        <v>21</v>
      </c>
      <c r="E4124" t="s">
        <v>22</v>
      </c>
      <c r="F4124" t="s">
        <v>22</v>
      </c>
      <c r="G4124">
        <v>0</v>
      </c>
      <c r="H4124">
        <v>232</v>
      </c>
      <c r="I4124">
        <v>80</v>
      </c>
      <c r="J4124">
        <v>39.44</v>
      </c>
      <c r="K4124">
        <v>126.1</v>
      </c>
      <c r="L4124">
        <v>94</v>
      </c>
      <c r="M4124">
        <v>10.72</v>
      </c>
      <c r="N4124">
        <v>109.6</v>
      </c>
      <c r="O4124">
        <v>117</v>
      </c>
      <c r="P4124">
        <v>4.93</v>
      </c>
      <c r="Q4124">
        <v>12</v>
      </c>
      <c r="R4124">
        <v>6</v>
      </c>
      <c r="S4124">
        <v>3.24</v>
      </c>
      <c r="T4124">
        <v>1</v>
      </c>
      <c r="U4124" t="s">
        <v>22</v>
      </c>
      <c r="V4124" t="e">
        <f>IF(#REF! = "yes", 1, 0)</f>
        <v>#REF!</v>
      </c>
      <c r="W4124" t="e">
        <f>IF(#REF! &lt;= 1, "0-1 Calls", IF(#REF! &lt;= 3, "2-3 Calls", IF(#REF! &lt;=5, "4-5 Calls", "6+ Calls")))</f>
        <v>#REF!</v>
      </c>
      <c r="X4124" t="e">
        <f>IF(#REF! &lt;= 50, "0-50", IF(#REF! &lt;=100, "51-100", IF(#REF! &lt;= 150, "101-150", "151+")))</f>
        <v>#REF!</v>
      </c>
      <c r="Y4124" t="e">
        <f>IF(#REF! &lt;= 3, "Low Charges", "High Charges")</f>
        <v>#REF!</v>
      </c>
      <c r="Z4124" t="e">
        <f>IF(#REF!&lt;=80,"Low Calls",
IF(#REF!&lt;=120,"Medium Calls","High Calls"))</f>
        <v>#REF!</v>
      </c>
      <c r="AA4124" t="e">
        <f>IF(#REF!&lt;=15,"Low Charges",
IF(#REF!&lt;=20,"Medium Charges","High Charges"))</f>
        <v>#REF!</v>
      </c>
      <c r="AB4124" t="e">
        <f>IF(AND(#REF!&gt;180, #REF!&gt;200), "Heavy Doemstic User", IF(#REF!&gt;10, "Interntional User", IF(AND(#REF!&lt;180, #REF!&lt;200,#REF!&lt;200), "Light User", "Balanced User")))</f>
        <v>#REF!</v>
      </c>
      <c r="AC4124" t="e">
        <f>IF(#REF! = 0, "No Usage", IF(#REF! &lt;= 20, "Low Usage", IF(#REF! &lt;= 40, "Medium Usgae", "High Usage")))</f>
        <v>#REF!</v>
      </c>
      <c r="AD4124" t="e">
        <f>IF(#REF!&lt;=150,"Low Usage", IF(#REF!&lt;=200,"Medium Usage", IF(#REF!&lt;=250,"High Usage","Very High Usage")))</f>
        <v>#REF!</v>
      </c>
      <c r="AE4124" t="e">
        <f>IF(#REF!&lt;=5,"Low Calls", IF(#REF!&lt;=10, "Medium Calls", "High Calls"))</f>
        <v>#REF!</v>
      </c>
      <c r="AF4124" t="e">
        <f xml:space="preserve">
IF(#REF!&gt;=4,4,0)+
IF(#REF!="yes",3,0)+
IF(#REF!="High Charges",3,0)+
IF(#REF!&gt;250,4,0)+
IF(#REF!="no",1,0)+
IF(#REF!="Heavy Domestic User",2,0)</f>
        <v>#REF!</v>
      </c>
      <c r="AG4124" t="e">
        <f>IF(#REF!&gt;=10,"High Risk", IF(#REF!&gt;=5,"Medium Risk","Low Risk"))</f>
        <v>#REF!</v>
      </c>
      <c r="AH4124" t="e">
        <f>#REF! + #REF! + #REF! + #REF!</f>
        <v>#REF!</v>
      </c>
    </row>
    <row r="4125" spans="1:34" x14ac:dyDescent="0.35">
      <c r="A4125">
        <v>4124</v>
      </c>
      <c r="B4125" t="s">
        <v>36</v>
      </c>
      <c r="C4125">
        <v>49</v>
      </c>
      <c r="D4125" t="s">
        <v>21</v>
      </c>
      <c r="E4125" t="s">
        <v>22</v>
      </c>
      <c r="F4125" t="s">
        <v>22</v>
      </c>
      <c r="G4125">
        <v>0</v>
      </c>
      <c r="H4125">
        <v>167.2</v>
      </c>
      <c r="I4125">
        <v>94</v>
      </c>
      <c r="J4125">
        <v>28.42</v>
      </c>
      <c r="K4125">
        <v>218.1</v>
      </c>
      <c r="L4125">
        <v>121</v>
      </c>
      <c r="M4125">
        <v>18.54</v>
      </c>
      <c r="N4125">
        <v>313.10000000000002</v>
      </c>
      <c r="O4125">
        <v>109</v>
      </c>
      <c r="P4125">
        <v>14.09</v>
      </c>
      <c r="Q4125">
        <v>7.8</v>
      </c>
      <c r="R4125">
        <v>5</v>
      </c>
      <c r="S4125">
        <v>2.11</v>
      </c>
      <c r="T4125">
        <v>3</v>
      </c>
      <c r="U4125" t="s">
        <v>22</v>
      </c>
      <c r="V4125" t="e">
        <f>IF(#REF! = "yes", 1, 0)</f>
        <v>#REF!</v>
      </c>
      <c r="W4125" t="e">
        <f>IF(#REF! &lt;= 1, "0-1 Calls", IF(#REF! &lt;= 3, "2-3 Calls", IF(#REF! &lt;=5, "4-5 Calls", "6+ Calls")))</f>
        <v>#REF!</v>
      </c>
      <c r="X4125" t="e">
        <f>IF(#REF! &lt;= 50, "0-50", IF(#REF! &lt;=100, "51-100", IF(#REF! &lt;= 150, "101-150", "151+")))</f>
        <v>#REF!</v>
      </c>
      <c r="Y4125" t="e">
        <f>IF(#REF! &lt;= 3, "Low Charges", "High Charges")</f>
        <v>#REF!</v>
      </c>
      <c r="Z4125" t="e">
        <f>IF(#REF!&lt;=80,"Low Calls",
IF(#REF!&lt;=120,"Medium Calls","High Calls"))</f>
        <v>#REF!</v>
      </c>
      <c r="AA4125" t="e">
        <f>IF(#REF!&lt;=15,"Low Charges",
IF(#REF!&lt;=20,"Medium Charges","High Charges"))</f>
        <v>#REF!</v>
      </c>
      <c r="AB4125" t="e">
        <f>IF(AND(#REF!&gt;180, #REF!&gt;200), "Heavy Doemstic User", IF(#REF!&gt;10, "Interntional User", IF(AND(#REF!&lt;180, #REF!&lt;200,#REF!&lt;200), "Light User", "Balanced User")))</f>
        <v>#REF!</v>
      </c>
      <c r="AC4125" t="e">
        <f>IF(#REF! = 0, "No Usage", IF(#REF! &lt;= 20, "Low Usage", IF(#REF! &lt;= 40, "Medium Usgae", "High Usage")))</f>
        <v>#REF!</v>
      </c>
      <c r="AD4125" t="e">
        <f>IF(#REF!&lt;=150,"Low Usage", IF(#REF!&lt;=200,"Medium Usage", IF(#REF!&lt;=250,"High Usage","Very High Usage")))</f>
        <v>#REF!</v>
      </c>
      <c r="AE4125" t="e">
        <f>IF(#REF!&lt;=5,"Low Calls", IF(#REF!&lt;=10, "Medium Calls", "High Calls"))</f>
        <v>#REF!</v>
      </c>
      <c r="AF4125" t="e">
        <f xml:space="preserve">
IF(#REF!&gt;=4,4,0)+
IF(#REF!="yes",3,0)+
IF(#REF!="High Charges",3,0)+
IF(#REF!&gt;250,4,0)+
IF(#REF!="no",1,0)+
IF(#REF!="Heavy Domestic User",2,0)</f>
        <v>#REF!</v>
      </c>
      <c r="AG4125" t="e">
        <f>IF(#REF!&gt;=10,"High Risk", IF(#REF!&gt;=5,"Medium Risk","Low Risk"))</f>
        <v>#REF!</v>
      </c>
      <c r="AH4125" t="e">
        <f>#REF! + #REF! + #REF! + #REF!</f>
        <v>#REF!</v>
      </c>
    </row>
    <row r="4126" spans="1:34" x14ac:dyDescent="0.35">
      <c r="A4126">
        <v>4125</v>
      </c>
      <c r="B4126" t="s">
        <v>47</v>
      </c>
      <c r="C4126">
        <v>121</v>
      </c>
      <c r="D4126" t="s">
        <v>21</v>
      </c>
      <c r="E4126" t="s">
        <v>22</v>
      </c>
      <c r="F4126" t="s">
        <v>22</v>
      </c>
      <c r="G4126">
        <v>0</v>
      </c>
      <c r="H4126">
        <v>162.4</v>
      </c>
      <c r="I4126">
        <v>87</v>
      </c>
      <c r="J4126">
        <v>27.61</v>
      </c>
      <c r="K4126">
        <v>285.2</v>
      </c>
      <c r="L4126">
        <v>104</v>
      </c>
      <c r="M4126">
        <v>24.24</v>
      </c>
      <c r="N4126">
        <v>117.4</v>
      </c>
      <c r="O4126">
        <v>125</v>
      </c>
      <c r="P4126">
        <v>5.28</v>
      </c>
      <c r="Q4126">
        <v>5.8</v>
      </c>
      <c r="R4126">
        <v>5</v>
      </c>
      <c r="S4126">
        <v>1.57</v>
      </c>
      <c r="T4126">
        <v>2</v>
      </c>
      <c r="U4126" t="s">
        <v>22</v>
      </c>
      <c r="V4126" t="e">
        <f>IF(#REF! = "yes", 1, 0)</f>
        <v>#REF!</v>
      </c>
      <c r="W4126" t="e">
        <f>IF(#REF! &lt;= 1, "0-1 Calls", IF(#REF! &lt;= 3, "2-3 Calls", IF(#REF! &lt;=5, "4-5 Calls", "6+ Calls")))</f>
        <v>#REF!</v>
      </c>
      <c r="X4126" t="e">
        <f>IF(#REF! &lt;= 50, "0-50", IF(#REF! &lt;=100, "51-100", IF(#REF! &lt;= 150, "101-150", "151+")))</f>
        <v>#REF!</v>
      </c>
      <c r="Y4126" t="e">
        <f>IF(#REF! &lt;= 3, "Low Charges", "High Charges")</f>
        <v>#REF!</v>
      </c>
      <c r="Z4126" t="e">
        <f>IF(#REF!&lt;=80,"Low Calls",
IF(#REF!&lt;=120,"Medium Calls","High Calls"))</f>
        <v>#REF!</v>
      </c>
      <c r="AA4126" t="e">
        <f>IF(#REF!&lt;=15,"Low Charges",
IF(#REF!&lt;=20,"Medium Charges","High Charges"))</f>
        <v>#REF!</v>
      </c>
      <c r="AB4126" t="e">
        <f>IF(AND(#REF!&gt;180, #REF!&gt;200), "Heavy Doemstic User", IF(#REF!&gt;10, "Interntional User", IF(AND(#REF!&lt;180, #REF!&lt;200,#REF!&lt;200), "Light User", "Balanced User")))</f>
        <v>#REF!</v>
      </c>
      <c r="AC4126" t="e">
        <f>IF(#REF! = 0, "No Usage", IF(#REF! &lt;= 20, "Low Usage", IF(#REF! &lt;= 40, "Medium Usgae", "High Usage")))</f>
        <v>#REF!</v>
      </c>
      <c r="AD4126" t="e">
        <f>IF(#REF!&lt;=150,"Low Usage", IF(#REF!&lt;=200,"Medium Usage", IF(#REF!&lt;=250,"High Usage","Very High Usage")))</f>
        <v>#REF!</v>
      </c>
      <c r="AE4126" t="e">
        <f>IF(#REF!&lt;=5,"Low Calls", IF(#REF!&lt;=10, "Medium Calls", "High Calls"))</f>
        <v>#REF!</v>
      </c>
      <c r="AF4126" t="e">
        <f xml:space="preserve">
IF(#REF!&gt;=4,4,0)+
IF(#REF!="yes",3,0)+
IF(#REF!="High Charges",3,0)+
IF(#REF!&gt;250,4,0)+
IF(#REF!="no",1,0)+
IF(#REF!="Heavy Domestic User",2,0)</f>
        <v>#REF!</v>
      </c>
      <c r="AG4126" t="e">
        <f>IF(#REF!&gt;=10,"High Risk", IF(#REF!&gt;=5,"Medium Risk","Low Risk"))</f>
        <v>#REF!</v>
      </c>
      <c r="AH4126" t="e">
        <f>#REF! + #REF! + #REF! + #REF!</f>
        <v>#REF!</v>
      </c>
    </row>
    <row r="4127" spans="1:34" x14ac:dyDescent="0.35">
      <c r="A4127">
        <v>4126</v>
      </c>
      <c r="B4127" t="s">
        <v>71</v>
      </c>
      <c r="C4127">
        <v>39</v>
      </c>
      <c r="D4127" t="s">
        <v>28</v>
      </c>
      <c r="E4127" t="s">
        <v>22</v>
      </c>
      <c r="F4127" t="s">
        <v>22</v>
      </c>
      <c r="G4127">
        <v>0</v>
      </c>
      <c r="H4127">
        <v>189.6</v>
      </c>
      <c r="I4127">
        <v>89</v>
      </c>
      <c r="J4127">
        <v>32.229999999999997</v>
      </c>
      <c r="K4127">
        <v>251.6</v>
      </c>
      <c r="L4127">
        <v>116</v>
      </c>
      <c r="M4127">
        <v>21.39</v>
      </c>
      <c r="N4127">
        <v>230.9</v>
      </c>
      <c r="O4127">
        <v>105</v>
      </c>
      <c r="P4127">
        <v>10.39</v>
      </c>
      <c r="Q4127">
        <v>5.4</v>
      </c>
      <c r="R4127">
        <v>8</v>
      </c>
      <c r="S4127">
        <v>1.46</v>
      </c>
      <c r="T4127">
        <v>3</v>
      </c>
      <c r="U4127" t="s">
        <v>22</v>
      </c>
      <c r="V4127" t="e">
        <f>IF(#REF! = "yes", 1, 0)</f>
        <v>#REF!</v>
      </c>
      <c r="W4127" t="e">
        <f>IF(#REF! &lt;= 1, "0-1 Calls", IF(#REF! &lt;= 3, "2-3 Calls", IF(#REF! &lt;=5, "4-5 Calls", "6+ Calls")))</f>
        <v>#REF!</v>
      </c>
      <c r="X4127" t="e">
        <f>IF(#REF! &lt;= 50, "0-50", IF(#REF! &lt;=100, "51-100", IF(#REF! &lt;= 150, "101-150", "151+")))</f>
        <v>#REF!</v>
      </c>
      <c r="Y4127" t="e">
        <f>IF(#REF! &lt;= 3, "Low Charges", "High Charges")</f>
        <v>#REF!</v>
      </c>
      <c r="Z4127" t="e">
        <f>IF(#REF!&lt;=80,"Low Calls",
IF(#REF!&lt;=120,"Medium Calls","High Calls"))</f>
        <v>#REF!</v>
      </c>
      <c r="AA4127" t="e">
        <f>IF(#REF!&lt;=15,"Low Charges",
IF(#REF!&lt;=20,"Medium Charges","High Charges"))</f>
        <v>#REF!</v>
      </c>
      <c r="AB4127" t="e">
        <f>IF(AND(#REF!&gt;180, #REF!&gt;200), "Heavy Doemstic User", IF(#REF!&gt;10, "Interntional User", IF(AND(#REF!&lt;180, #REF!&lt;200,#REF!&lt;200), "Light User", "Balanced User")))</f>
        <v>#REF!</v>
      </c>
      <c r="AC4127" t="e">
        <f>IF(#REF! = 0, "No Usage", IF(#REF! &lt;= 20, "Low Usage", IF(#REF! &lt;= 40, "Medium Usgae", "High Usage")))</f>
        <v>#REF!</v>
      </c>
      <c r="AD4127" t="e">
        <f>IF(#REF!&lt;=150,"Low Usage", IF(#REF!&lt;=200,"Medium Usage", IF(#REF!&lt;=250,"High Usage","Very High Usage")))</f>
        <v>#REF!</v>
      </c>
      <c r="AE4127" t="e">
        <f>IF(#REF!&lt;=5,"Low Calls", IF(#REF!&lt;=10, "Medium Calls", "High Calls"))</f>
        <v>#REF!</v>
      </c>
      <c r="AF4127" t="e">
        <f xml:space="preserve">
IF(#REF!&gt;=4,4,0)+
IF(#REF!="yes",3,0)+
IF(#REF!="High Charges",3,0)+
IF(#REF!&gt;250,4,0)+
IF(#REF!="no",1,0)+
IF(#REF!="Heavy Domestic User",2,0)</f>
        <v>#REF!</v>
      </c>
      <c r="AG4127" t="e">
        <f>IF(#REF!&gt;=10,"High Risk", IF(#REF!&gt;=5,"Medium Risk","Low Risk"))</f>
        <v>#REF!</v>
      </c>
      <c r="AH4127" t="e">
        <f>#REF! + #REF! + #REF! + #REF!</f>
        <v>#REF!</v>
      </c>
    </row>
    <row r="4128" spans="1:34" x14ac:dyDescent="0.35">
      <c r="A4128">
        <v>4127</v>
      </c>
      <c r="B4128" t="s">
        <v>74</v>
      </c>
      <c r="C4128">
        <v>41</v>
      </c>
      <c r="D4128" t="s">
        <v>21</v>
      </c>
      <c r="E4128" t="s">
        <v>22</v>
      </c>
      <c r="F4128" t="s">
        <v>23</v>
      </c>
      <c r="G4128">
        <v>24</v>
      </c>
      <c r="H4128">
        <v>247.6</v>
      </c>
      <c r="I4128">
        <v>97</v>
      </c>
      <c r="J4128">
        <v>42.09</v>
      </c>
      <c r="K4128">
        <v>199.7</v>
      </c>
      <c r="L4128">
        <v>106</v>
      </c>
      <c r="M4128">
        <v>16.97</v>
      </c>
      <c r="N4128">
        <v>217.7</v>
      </c>
      <c r="O4128">
        <v>91</v>
      </c>
      <c r="P4128">
        <v>9.8000000000000007</v>
      </c>
      <c r="Q4128">
        <v>12.1</v>
      </c>
      <c r="R4128">
        <v>6</v>
      </c>
      <c r="S4128">
        <v>3.27</v>
      </c>
      <c r="T4128">
        <v>1</v>
      </c>
      <c r="U4128" t="s">
        <v>22</v>
      </c>
      <c r="V4128" t="e">
        <f>IF(#REF! = "yes", 1, 0)</f>
        <v>#REF!</v>
      </c>
      <c r="W4128" t="e">
        <f>IF(#REF! &lt;= 1, "0-1 Calls", IF(#REF! &lt;= 3, "2-3 Calls", IF(#REF! &lt;=5, "4-5 Calls", "6+ Calls")))</f>
        <v>#REF!</v>
      </c>
      <c r="X4128" t="e">
        <f>IF(#REF! &lt;= 50, "0-50", IF(#REF! &lt;=100, "51-100", IF(#REF! &lt;= 150, "101-150", "151+")))</f>
        <v>#REF!</v>
      </c>
      <c r="Y4128" t="e">
        <f>IF(#REF! &lt;= 3, "Low Charges", "High Charges")</f>
        <v>#REF!</v>
      </c>
      <c r="Z4128" t="e">
        <f>IF(#REF!&lt;=80,"Low Calls",
IF(#REF!&lt;=120,"Medium Calls","High Calls"))</f>
        <v>#REF!</v>
      </c>
      <c r="AA4128" t="e">
        <f>IF(#REF!&lt;=15,"Low Charges",
IF(#REF!&lt;=20,"Medium Charges","High Charges"))</f>
        <v>#REF!</v>
      </c>
      <c r="AB4128" t="e">
        <f>IF(AND(#REF!&gt;180, #REF!&gt;200), "Heavy Doemstic User", IF(#REF!&gt;10, "Interntional User", IF(AND(#REF!&lt;180, #REF!&lt;200,#REF!&lt;200), "Light User", "Balanced User")))</f>
        <v>#REF!</v>
      </c>
      <c r="AC4128" t="e">
        <f>IF(#REF! = 0, "No Usage", IF(#REF! &lt;= 20, "Low Usage", IF(#REF! &lt;= 40, "Medium Usgae", "High Usage")))</f>
        <v>#REF!</v>
      </c>
      <c r="AD4128" t="e">
        <f>IF(#REF!&lt;=150,"Low Usage", IF(#REF!&lt;=200,"Medium Usage", IF(#REF!&lt;=250,"High Usage","Very High Usage")))</f>
        <v>#REF!</v>
      </c>
      <c r="AE4128" t="e">
        <f>IF(#REF!&lt;=5,"Low Calls", IF(#REF!&lt;=10, "Medium Calls", "High Calls"))</f>
        <v>#REF!</v>
      </c>
      <c r="AF4128" t="e">
        <f xml:space="preserve">
IF(#REF!&gt;=4,4,0)+
IF(#REF!="yes",3,0)+
IF(#REF!="High Charges",3,0)+
IF(#REF!&gt;250,4,0)+
IF(#REF!="no",1,0)+
IF(#REF!="Heavy Domestic User",2,0)</f>
        <v>#REF!</v>
      </c>
      <c r="AG4128" t="e">
        <f>IF(#REF!&gt;=10,"High Risk", IF(#REF!&gt;=5,"Medium Risk","Low Risk"))</f>
        <v>#REF!</v>
      </c>
      <c r="AH4128" t="e">
        <f>#REF! + #REF! + #REF! + #REF!</f>
        <v>#REF!</v>
      </c>
    </row>
    <row r="4129" spans="1:34" x14ac:dyDescent="0.35">
      <c r="A4129">
        <v>4128</v>
      </c>
      <c r="B4129" t="s">
        <v>45</v>
      </c>
      <c r="C4129">
        <v>60</v>
      </c>
      <c r="D4129" t="s">
        <v>28</v>
      </c>
      <c r="E4129" t="s">
        <v>22</v>
      </c>
      <c r="F4129" t="s">
        <v>22</v>
      </c>
      <c r="G4129">
        <v>0</v>
      </c>
      <c r="H4129">
        <v>179.4</v>
      </c>
      <c r="I4129">
        <v>108</v>
      </c>
      <c r="J4129">
        <v>30.5</v>
      </c>
      <c r="K4129">
        <v>263.2</v>
      </c>
      <c r="L4129">
        <v>74</v>
      </c>
      <c r="M4129">
        <v>22.37</v>
      </c>
      <c r="N4129">
        <v>133.30000000000001</v>
      </c>
      <c r="O4129">
        <v>78</v>
      </c>
      <c r="P4129">
        <v>6</v>
      </c>
      <c r="Q4129">
        <v>13.4</v>
      </c>
      <c r="R4129">
        <v>7</v>
      </c>
      <c r="S4129">
        <v>3.62</v>
      </c>
      <c r="T4129">
        <v>2</v>
      </c>
      <c r="U4129" t="s">
        <v>22</v>
      </c>
      <c r="V4129" t="e">
        <f>IF(#REF! = "yes", 1, 0)</f>
        <v>#REF!</v>
      </c>
      <c r="W4129" t="e">
        <f>IF(#REF! &lt;= 1, "0-1 Calls", IF(#REF! &lt;= 3, "2-3 Calls", IF(#REF! &lt;=5, "4-5 Calls", "6+ Calls")))</f>
        <v>#REF!</v>
      </c>
      <c r="X4129" t="e">
        <f>IF(#REF! &lt;= 50, "0-50", IF(#REF! &lt;=100, "51-100", IF(#REF! &lt;= 150, "101-150", "151+")))</f>
        <v>#REF!</v>
      </c>
      <c r="Y4129" t="e">
        <f>IF(#REF! &lt;= 3, "Low Charges", "High Charges")</f>
        <v>#REF!</v>
      </c>
      <c r="Z4129" t="e">
        <f>IF(#REF!&lt;=80,"Low Calls",
IF(#REF!&lt;=120,"Medium Calls","High Calls"))</f>
        <v>#REF!</v>
      </c>
      <c r="AA4129" t="e">
        <f>IF(#REF!&lt;=15,"Low Charges",
IF(#REF!&lt;=20,"Medium Charges","High Charges"))</f>
        <v>#REF!</v>
      </c>
      <c r="AB4129" t="e">
        <f>IF(AND(#REF!&gt;180, #REF!&gt;200), "Heavy Doemstic User", IF(#REF!&gt;10, "Interntional User", IF(AND(#REF!&lt;180, #REF!&lt;200,#REF!&lt;200), "Light User", "Balanced User")))</f>
        <v>#REF!</v>
      </c>
      <c r="AC4129" t="e">
        <f>IF(#REF! = 0, "No Usage", IF(#REF! &lt;= 20, "Low Usage", IF(#REF! &lt;= 40, "Medium Usgae", "High Usage")))</f>
        <v>#REF!</v>
      </c>
      <c r="AD4129" t="e">
        <f>IF(#REF!&lt;=150,"Low Usage", IF(#REF!&lt;=200,"Medium Usage", IF(#REF!&lt;=250,"High Usage","Very High Usage")))</f>
        <v>#REF!</v>
      </c>
      <c r="AE4129" t="e">
        <f>IF(#REF!&lt;=5,"Low Calls", IF(#REF!&lt;=10, "Medium Calls", "High Calls"))</f>
        <v>#REF!</v>
      </c>
      <c r="AF4129" t="e">
        <f xml:space="preserve">
IF(#REF!&gt;=4,4,0)+
IF(#REF!="yes",3,0)+
IF(#REF!="High Charges",3,0)+
IF(#REF!&gt;250,4,0)+
IF(#REF!="no",1,0)+
IF(#REF!="Heavy Domestic User",2,0)</f>
        <v>#REF!</v>
      </c>
      <c r="AG4129" t="e">
        <f>IF(#REF!&gt;=10,"High Risk", IF(#REF!&gt;=5,"Medium Risk","Low Risk"))</f>
        <v>#REF!</v>
      </c>
      <c r="AH4129" t="e">
        <f>#REF! + #REF! + #REF! + #REF!</f>
        <v>#REF!</v>
      </c>
    </row>
    <row r="4130" spans="1:34" x14ac:dyDescent="0.35">
      <c r="A4130">
        <v>4129</v>
      </c>
      <c r="B4130" t="s">
        <v>33</v>
      </c>
      <c r="C4130">
        <v>158</v>
      </c>
      <c r="D4130" t="s">
        <v>28</v>
      </c>
      <c r="E4130" t="s">
        <v>22</v>
      </c>
      <c r="F4130" t="s">
        <v>22</v>
      </c>
      <c r="G4130">
        <v>0</v>
      </c>
      <c r="H4130">
        <v>245.1</v>
      </c>
      <c r="I4130">
        <v>68</v>
      </c>
      <c r="J4130">
        <v>41.67</v>
      </c>
      <c r="K4130">
        <v>195.8</v>
      </c>
      <c r="L4130">
        <v>100</v>
      </c>
      <c r="M4130">
        <v>16.64</v>
      </c>
      <c r="N4130">
        <v>244.2</v>
      </c>
      <c r="O4130">
        <v>80</v>
      </c>
      <c r="P4130">
        <v>10.99</v>
      </c>
      <c r="Q4130">
        <v>11.5</v>
      </c>
      <c r="R4130">
        <v>4</v>
      </c>
      <c r="S4130">
        <v>3.11</v>
      </c>
      <c r="T4130">
        <v>2</v>
      </c>
      <c r="U4130" t="s">
        <v>22</v>
      </c>
      <c r="V4130" t="e">
        <f>IF(#REF! = "yes", 1, 0)</f>
        <v>#REF!</v>
      </c>
      <c r="W4130" t="e">
        <f>IF(#REF! &lt;= 1, "0-1 Calls", IF(#REF! &lt;= 3, "2-3 Calls", IF(#REF! &lt;=5, "4-5 Calls", "6+ Calls")))</f>
        <v>#REF!</v>
      </c>
      <c r="X4130" t="e">
        <f>IF(#REF! &lt;= 50, "0-50", IF(#REF! &lt;=100, "51-100", IF(#REF! &lt;= 150, "101-150", "151+")))</f>
        <v>#REF!</v>
      </c>
      <c r="Y4130" t="e">
        <f>IF(#REF! &lt;= 3, "Low Charges", "High Charges")</f>
        <v>#REF!</v>
      </c>
      <c r="Z4130" t="e">
        <f>IF(#REF!&lt;=80,"Low Calls",
IF(#REF!&lt;=120,"Medium Calls","High Calls"))</f>
        <v>#REF!</v>
      </c>
      <c r="AA4130" t="e">
        <f>IF(#REF!&lt;=15,"Low Charges",
IF(#REF!&lt;=20,"Medium Charges","High Charges"))</f>
        <v>#REF!</v>
      </c>
      <c r="AB4130" t="e">
        <f>IF(AND(#REF!&gt;180, #REF!&gt;200), "Heavy Doemstic User", IF(#REF!&gt;10, "Interntional User", IF(AND(#REF!&lt;180, #REF!&lt;200,#REF!&lt;200), "Light User", "Balanced User")))</f>
        <v>#REF!</v>
      </c>
      <c r="AC4130" t="e">
        <f>IF(#REF! = 0, "No Usage", IF(#REF! &lt;= 20, "Low Usage", IF(#REF! &lt;= 40, "Medium Usgae", "High Usage")))</f>
        <v>#REF!</v>
      </c>
      <c r="AD4130" t="e">
        <f>IF(#REF!&lt;=150,"Low Usage", IF(#REF!&lt;=200,"Medium Usage", IF(#REF!&lt;=250,"High Usage","Very High Usage")))</f>
        <v>#REF!</v>
      </c>
      <c r="AE4130" t="e">
        <f>IF(#REF!&lt;=5,"Low Calls", IF(#REF!&lt;=10, "Medium Calls", "High Calls"))</f>
        <v>#REF!</v>
      </c>
      <c r="AF4130" t="e">
        <f xml:space="preserve">
IF(#REF!&gt;=4,4,0)+
IF(#REF!="yes",3,0)+
IF(#REF!="High Charges",3,0)+
IF(#REF!&gt;250,4,0)+
IF(#REF!="no",1,0)+
IF(#REF!="Heavy Domestic User",2,0)</f>
        <v>#REF!</v>
      </c>
      <c r="AG4130" t="e">
        <f>IF(#REF!&gt;=10,"High Risk", IF(#REF!&gt;=5,"Medium Risk","Low Risk"))</f>
        <v>#REF!</v>
      </c>
      <c r="AH4130" t="e">
        <f>#REF! + #REF! + #REF! + #REF!</f>
        <v>#REF!</v>
      </c>
    </row>
    <row r="4131" spans="1:34" x14ac:dyDescent="0.35">
      <c r="A4131">
        <v>4130</v>
      </c>
      <c r="B4131" t="s">
        <v>67</v>
      </c>
      <c r="C4131">
        <v>121</v>
      </c>
      <c r="D4131" t="s">
        <v>25</v>
      </c>
      <c r="E4131" t="s">
        <v>22</v>
      </c>
      <c r="F4131" t="s">
        <v>23</v>
      </c>
      <c r="G4131">
        <v>12</v>
      </c>
      <c r="H4131">
        <v>127.2</v>
      </c>
      <c r="I4131">
        <v>56</v>
      </c>
      <c r="J4131">
        <v>21.62</v>
      </c>
      <c r="K4131">
        <v>241.6</v>
      </c>
      <c r="L4131">
        <v>114</v>
      </c>
      <c r="M4131">
        <v>20.54</v>
      </c>
      <c r="N4131">
        <v>176.6</v>
      </c>
      <c r="O4131">
        <v>84</v>
      </c>
      <c r="P4131">
        <v>7.95</v>
      </c>
      <c r="Q4131">
        <v>13.2</v>
      </c>
      <c r="R4131">
        <v>3</v>
      </c>
      <c r="S4131">
        <v>3.56</v>
      </c>
      <c r="T4131">
        <v>3</v>
      </c>
      <c r="U4131" t="s">
        <v>22</v>
      </c>
      <c r="V4131" t="e">
        <f>IF(#REF! = "yes", 1, 0)</f>
        <v>#REF!</v>
      </c>
      <c r="W4131" t="e">
        <f>IF(#REF! &lt;= 1, "0-1 Calls", IF(#REF! &lt;= 3, "2-3 Calls", IF(#REF! &lt;=5, "4-5 Calls", "6+ Calls")))</f>
        <v>#REF!</v>
      </c>
      <c r="X4131" t="e">
        <f>IF(#REF! &lt;= 50, "0-50", IF(#REF! &lt;=100, "51-100", IF(#REF! &lt;= 150, "101-150", "151+")))</f>
        <v>#REF!</v>
      </c>
      <c r="Y4131" t="e">
        <f>IF(#REF! &lt;= 3, "Low Charges", "High Charges")</f>
        <v>#REF!</v>
      </c>
      <c r="Z4131" t="e">
        <f>IF(#REF!&lt;=80,"Low Calls",
IF(#REF!&lt;=120,"Medium Calls","High Calls"))</f>
        <v>#REF!</v>
      </c>
      <c r="AA4131" t="e">
        <f>IF(#REF!&lt;=15,"Low Charges",
IF(#REF!&lt;=20,"Medium Charges","High Charges"))</f>
        <v>#REF!</v>
      </c>
      <c r="AB4131" t="e">
        <f>IF(AND(#REF!&gt;180, #REF!&gt;200), "Heavy Doemstic User", IF(#REF!&gt;10, "Interntional User", IF(AND(#REF!&lt;180, #REF!&lt;200,#REF!&lt;200), "Light User", "Balanced User")))</f>
        <v>#REF!</v>
      </c>
      <c r="AC4131" t="e">
        <f>IF(#REF! = 0, "No Usage", IF(#REF! &lt;= 20, "Low Usage", IF(#REF! &lt;= 40, "Medium Usgae", "High Usage")))</f>
        <v>#REF!</v>
      </c>
      <c r="AD4131" t="e">
        <f>IF(#REF!&lt;=150,"Low Usage", IF(#REF!&lt;=200,"Medium Usage", IF(#REF!&lt;=250,"High Usage","Very High Usage")))</f>
        <v>#REF!</v>
      </c>
      <c r="AE4131" t="e">
        <f>IF(#REF!&lt;=5,"Low Calls", IF(#REF!&lt;=10, "Medium Calls", "High Calls"))</f>
        <v>#REF!</v>
      </c>
      <c r="AF4131" t="e">
        <f xml:space="preserve">
IF(#REF!&gt;=4,4,0)+
IF(#REF!="yes",3,0)+
IF(#REF!="High Charges",3,0)+
IF(#REF!&gt;250,4,0)+
IF(#REF!="no",1,0)+
IF(#REF!="Heavy Domestic User",2,0)</f>
        <v>#REF!</v>
      </c>
      <c r="AG4131" t="e">
        <f>IF(#REF!&gt;=10,"High Risk", IF(#REF!&gt;=5,"Medium Risk","Low Risk"))</f>
        <v>#REF!</v>
      </c>
      <c r="AH4131" t="e">
        <f>#REF! + #REF! + #REF! + #REF!</f>
        <v>#REF!</v>
      </c>
    </row>
    <row r="4132" spans="1:34" x14ac:dyDescent="0.35">
      <c r="A4132">
        <v>4131</v>
      </c>
      <c r="B4132" t="s">
        <v>67</v>
      </c>
      <c r="C4132">
        <v>45</v>
      </c>
      <c r="D4132" t="s">
        <v>21</v>
      </c>
      <c r="E4132" t="s">
        <v>22</v>
      </c>
      <c r="F4132" t="s">
        <v>22</v>
      </c>
      <c r="G4132">
        <v>0</v>
      </c>
      <c r="H4132">
        <v>142.69999999999999</v>
      </c>
      <c r="I4132">
        <v>80</v>
      </c>
      <c r="J4132">
        <v>24.26</v>
      </c>
      <c r="K4132">
        <v>205.4</v>
      </c>
      <c r="L4132">
        <v>135</v>
      </c>
      <c r="M4132">
        <v>17.46</v>
      </c>
      <c r="N4132">
        <v>228.1</v>
      </c>
      <c r="O4132">
        <v>87</v>
      </c>
      <c r="P4132">
        <v>10.26</v>
      </c>
      <c r="Q4132">
        <v>12</v>
      </c>
      <c r="R4132">
        <v>11</v>
      </c>
      <c r="S4132">
        <v>3.24</v>
      </c>
      <c r="T4132">
        <v>2</v>
      </c>
      <c r="U4132" t="s">
        <v>22</v>
      </c>
      <c r="V4132" t="e">
        <f>IF(#REF! = "yes", 1, 0)</f>
        <v>#REF!</v>
      </c>
      <c r="W4132" t="e">
        <f>IF(#REF! &lt;= 1, "0-1 Calls", IF(#REF! &lt;= 3, "2-3 Calls", IF(#REF! &lt;=5, "4-5 Calls", "6+ Calls")))</f>
        <v>#REF!</v>
      </c>
      <c r="X4132" t="e">
        <f>IF(#REF! &lt;= 50, "0-50", IF(#REF! &lt;=100, "51-100", IF(#REF! &lt;= 150, "101-150", "151+")))</f>
        <v>#REF!</v>
      </c>
      <c r="Y4132" t="e">
        <f>IF(#REF! &lt;= 3, "Low Charges", "High Charges")</f>
        <v>#REF!</v>
      </c>
      <c r="Z4132" t="e">
        <f>IF(#REF!&lt;=80,"Low Calls",
IF(#REF!&lt;=120,"Medium Calls","High Calls"))</f>
        <v>#REF!</v>
      </c>
      <c r="AA4132" t="e">
        <f>IF(#REF!&lt;=15,"Low Charges",
IF(#REF!&lt;=20,"Medium Charges","High Charges"))</f>
        <v>#REF!</v>
      </c>
      <c r="AB4132" t="e">
        <f>IF(AND(#REF!&gt;180, #REF!&gt;200), "Heavy Doemstic User", IF(#REF!&gt;10, "Interntional User", IF(AND(#REF!&lt;180, #REF!&lt;200,#REF!&lt;200), "Light User", "Balanced User")))</f>
        <v>#REF!</v>
      </c>
      <c r="AC4132" t="e">
        <f>IF(#REF! = 0, "No Usage", IF(#REF! &lt;= 20, "Low Usage", IF(#REF! &lt;= 40, "Medium Usgae", "High Usage")))</f>
        <v>#REF!</v>
      </c>
      <c r="AD4132" t="e">
        <f>IF(#REF!&lt;=150,"Low Usage", IF(#REF!&lt;=200,"Medium Usage", IF(#REF!&lt;=250,"High Usage","Very High Usage")))</f>
        <v>#REF!</v>
      </c>
      <c r="AE4132" t="e">
        <f>IF(#REF!&lt;=5,"Low Calls", IF(#REF!&lt;=10, "Medium Calls", "High Calls"))</f>
        <v>#REF!</v>
      </c>
      <c r="AF4132" t="e">
        <f xml:space="preserve">
IF(#REF!&gt;=4,4,0)+
IF(#REF!="yes",3,0)+
IF(#REF!="High Charges",3,0)+
IF(#REF!&gt;250,4,0)+
IF(#REF!="no",1,0)+
IF(#REF!="Heavy Domestic User",2,0)</f>
        <v>#REF!</v>
      </c>
      <c r="AG4132" t="e">
        <f>IF(#REF!&gt;=10,"High Risk", IF(#REF!&gt;=5,"Medium Risk","Low Risk"))</f>
        <v>#REF!</v>
      </c>
      <c r="AH4132" t="e">
        <f>#REF! + #REF! + #REF! + #REF!</f>
        <v>#REF!</v>
      </c>
    </row>
    <row r="4133" spans="1:34" x14ac:dyDescent="0.35">
      <c r="A4133">
        <v>4132</v>
      </c>
      <c r="B4133" t="s">
        <v>51</v>
      </c>
      <c r="C4133">
        <v>154</v>
      </c>
      <c r="D4133" t="s">
        <v>28</v>
      </c>
      <c r="E4133" t="s">
        <v>22</v>
      </c>
      <c r="F4133" t="s">
        <v>22</v>
      </c>
      <c r="G4133">
        <v>0</v>
      </c>
      <c r="H4133">
        <v>94.5</v>
      </c>
      <c r="I4133">
        <v>97</v>
      </c>
      <c r="J4133">
        <v>16.07</v>
      </c>
      <c r="K4133">
        <v>178.2</v>
      </c>
      <c r="L4133">
        <v>127</v>
      </c>
      <c r="M4133">
        <v>15.15</v>
      </c>
      <c r="N4133">
        <v>230.2</v>
      </c>
      <c r="O4133">
        <v>99</v>
      </c>
      <c r="P4133">
        <v>10.36</v>
      </c>
      <c r="Q4133">
        <v>9.1999999999999993</v>
      </c>
      <c r="R4133">
        <v>3</v>
      </c>
      <c r="S4133">
        <v>2.48</v>
      </c>
      <c r="T4133">
        <v>2</v>
      </c>
      <c r="U4133" t="s">
        <v>22</v>
      </c>
      <c r="V4133" t="e">
        <f>IF(#REF! = "yes", 1, 0)</f>
        <v>#REF!</v>
      </c>
      <c r="W4133" t="e">
        <f>IF(#REF! &lt;= 1, "0-1 Calls", IF(#REF! &lt;= 3, "2-3 Calls", IF(#REF! &lt;=5, "4-5 Calls", "6+ Calls")))</f>
        <v>#REF!</v>
      </c>
      <c r="X4133" t="e">
        <f>IF(#REF! &lt;= 50, "0-50", IF(#REF! &lt;=100, "51-100", IF(#REF! &lt;= 150, "101-150", "151+")))</f>
        <v>#REF!</v>
      </c>
      <c r="Y4133" t="e">
        <f>IF(#REF! &lt;= 3, "Low Charges", "High Charges")</f>
        <v>#REF!</v>
      </c>
      <c r="Z4133" t="e">
        <f>IF(#REF!&lt;=80,"Low Calls",
IF(#REF!&lt;=120,"Medium Calls","High Calls"))</f>
        <v>#REF!</v>
      </c>
      <c r="AA4133" t="e">
        <f>IF(#REF!&lt;=15,"Low Charges",
IF(#REF!&lt;=20,"Medium Charges","High Charges"))</f>
        <v>#REF!</v>
      </c>
      <c r="AB4133" t="e">
        <f>IF(AND(#REF!&gt;180, #REF!&gt;200), "Heavy Doemstic User", IF(#REF!&gt;10, "Interntional User", IF(AND(#REF!&lt;180, #REF!&lt;200,#REF!&lt;200), "Light User", "Balanced User")))</f>
        <v>#REF!</v>
      </c>
      <c r="AC4133" t="e">
        <f>IF(#REF! = 0, "No Usage", IF(#REF! &lt;= 20, "Low Usage", IF(#REF! &lt;= 40, "Medium Usgae", "High Usage")))</f>
        <v>#REF!</v>
      </c>
      <c r="AD4133" t="e">
        <f>IF(#REF!&lt;=150,"Low Usage", IF(#REF!&lt;=200,"Medium Usage", IF(#REF!&lt;=250,"High Usage","Very High Usage")))</f>
        <v>#REF!</v>
      </c>
      <c r="AE4133" t="e">
        <f>IF(#REF!&lt;=5,"Low Calls", IF(#REF!&lt;=10, "Medium Calls", "High Calls"))</f>
        <v>#REF!</v>
      </c>
      <c r="AF4133" t="e">
        <f xml:space="preserve">
IF(#REF!&gt;=4,4,0)+
IF(#REF!="yes",3,0)+
IF(#REF!="High Charges",3,0)+
IF(#REF!&gt;250,4,0)+
IF(#REF!="no",1,0)+
IF(#REF!="Heavy Domestic User",2,0)</f>
        <v>#REF!</v>
      </c>
      <c r="AG4133" t="e">
        <f>IF(#REF!&gt;=10,"High Risk", IF(#REF!&gt;=5,"Medium Risk","Low Risk"))</f>
        <v>#REF!</v>
      </c>
      <c r="AH4133" t="e">
        <f>#REF! + #REF! + #REF! + #REF!</f>
        <v>#REF!</v>
      </c>
    </row>
    <row r="4134" spans="1:34" x14ac:dyDescent="0.35">
      <c r="A4134">
        <v>4133</v>
      </c>
      <c r="B4134" t="s">
        <v>54</v>
      </c>
      <c r="C4134">
        <v>127</v>
      </c>
      <c r="D4134" t="s">
        <v>28</v>
      </c>
      <c r="E4134" t="s">
        <v>22</v>
      </c>
      <c r="F4134" t="s">
        <v>22</v>
      </c>
      <c r="G4134">
        <v>0</v>
      </c>
      <c r="H4134">
        <v>241.7</v>
      </c>
      <c r="I4134">
        <v>115</v>
      </c>
      <c r="J4134">
        <v>41.09</v>
      </c>
      <c r="K4134">
        <v>141.5</v>
      </c>
      <c r="L4134">
        <v>96</v>
      </c>
      <c r="M4134">
        <v>12.03</v>
      </c>
      <c r="N4134">
        <v>170.7</v>
      </c>
      <c r="O4134">
        <v>94</v>
      </c>
      <c r="P4134">
        <v>7.68</v>
      </c>
      <c r="Q4134">
        <v>4.5</v>
      </c>
      <c r="R4134">
        <v>5</v>
      </c>
      <c r="S4134">
        <v>1.22</v>
      </c>
      <c r="T4134">
        <v>2</v>
      </c>
      <c r="U4134" t="s">
        <v>22</v>
      </c>
      <c r="V4134" t="e">
        <f>IF(#REF! = "yes", 1, 0)</f>
        <v>#REF!</v>
      </c>
      <c r="W4134" t="e">
        <f>IF(#REF! &lt;= 1, "0-1 Calls", IF(#REF! &lt;= 3, "2-3 Calls", IF(#REF! &lt;=5, "4-5 Calls", "6+ Calls")))</f>
        <v>#REF!</v>
      </c>
      <c r="X4134" t="e">
        <f>IF(#REF! &lt;= 50, "0-50", IF(#REF! &lt;=100, "51-100", IF(#REF! &lt;= 150, "101-150", "151+")))</f>
        <v>#REF!</v>
      </c>
      <c r="Y4134" t="e">
        <f>IF(#REF! &lt;= 3, "Low Charges", "High Charges")</f>
        <v>#REF!</v>
      </c>
      <c r="Z4134" t="e">
        <f>IF(#REF!&lt;=80,"Low Calls",
IF(#REF!&lt;=120,"Medium Calls","High Calls"))</f>
        <v>#REF!</v>
      </c>
      <c r="AA4134" t="e">
        <f>IF(#REF!&lt;=15,"Low Charges",
IF(#REF!&lt;=20,"Medium Charges","High Charges"))</f>
        <v>#REF!</v>
      </c>
      <c r="AB4134" t="e">
        <f>IF(AND(#REF!&gt;180, #REF!&gt;200), "Heavy Doemstic User", IF(#REF!&gt;10, "Interntional User", IF(AND(#REF!&lt;180, #REF!&lt;200,#REF!&lt;200), "Light User", "Balanced User")))</f>
        <v>#REF!</v>
      </c>
      <c r="AC4134" t="e">
        <f>IF(#REF! = 0, "No Usage", IF(#REF! &lt;= 20, "Low Usage", IF(#REF! &lt;= 40, "Medium Usgae", "High Usage")))</f>
        <v>#REF!</v>
      </c>
      <c r="AD4134" t="e">
        <f>IF(#REF!&lt;=150,"Low Usage", IF(#REF!&lt;=200,"Medium Usage", IF(#REF!&lt;=250,"High Usage","Very High Usage")))</f>
        <v>#REF!</v>
      </c>
      <c r="AE4134" t="e">
        <f>IF(#REF!&lt;=5,"Low Calls", IF(#REF!&lt;=10, "Medium Calls", "High Calls"))</f>
        <v>#REF!</v>
      </c>
      <c r="AF4134" t="e">
        <f xml:space="preserve">
IF(#REF!&gt;=4,4,0)+
IF(#REF!="yes",3,0)+
IF(#REF!="High Charges",3,0)+
IF(#REF!&gt;250,4,0)+
IF(#REF!="no",1,0)+
IF(#REF!="Heavy Domestic User",2,0)</f>
        <v>#REF!</v>
      </c>
      <c r="AG4134" t="e">
        <f>IF(#REF!&gt;=10,"High Risk", IF(#REF!&gt;=5,"Medium Risk","Low Risk"))</f>
        <v>#REF!</v>
      </c>
      <c r="AH4134" t="e">
        <f>#REF! + #REF! + #REF! + #REF!</f>
        <v>#REF!</v>
      </c>
    </row>
    <row r="4135" spans="1:34" x14ac:dyDescent="0.35">
      <c r="A4135">
        <v>4134</v>
      </c>
      <c r="B4135" t="s">
        <v>41</v>
      </c>
      <c r="C4135">
        <v>74</v>
      </c>
      <c r="D4135" t="s">
        <v>21</v>
      </c>
      <c r="E4135" t="s">
        <v>23</v>
      </c>
      <c r="F4135" t="s">
        <v>22</v>
      </c>
      <c r="G4135">
        <v>0</v>
      </c>
      <c r="H4135">
        <v>267.5</v>
      </c>
      <c r="I4135">
        <v>134</v>
      </c>
      <c r="J4135">
        <v>45.48</v>
      </c>
      <c r="K4135">
        <v>242.5</v>
      </c>
      <c r="L4135">
        <v>110</v>
      </c>
      <c r="M4135">
        <v>20.61</v>
      </c>
      <c r="N4135">
        <v>223</v>
      </c>
      <c r="O4135">
        <v>108</v>
      </c>
      <c r="P4135">
        <v>10.039999999999999</v>
      </c>
      <c r="Q4135">
        <v>8.3000000000000007</v>
      </c>
      <c r="R4135">
        <v>4</v>
      </c>
      <c r="S4135">
        <v>2.2400000000000002</v>
      </c>
      <c r="T4135">
        <v>3</v>
      </c>
      <c r="U4135" t="s">
        <v>23</v>
      </c>
      <c r="V4135" t="e">
        <f>IF(#REF! = "yes", 1, 0)</f>
        <v>#REF!</v>
      </c>
      <c r="W4135" t="e">
        <f>IF(#REF! &lt;= 1, "0-1 Calls", IF(#REF! &lt;= 3, "2-3 Calls", IF(#REF! &lt;=5, "4-5 Calls", "6+ Calls")))</f>
        <v>#REF!</v>
      </c>
      <c r="X4135" t="e">
        <f>IF(#REF! &lt;= 50, "0-50", IF(#REF! &lt;=100, "51-100", IF(#REF! &lt;= 150, "101-150", "151+")))</f>
        <v>#REF!</v>
      </c>
      <c r="Y4135" t="e">
        <f>IF(#REF! &lt;= 3, "Low Charges", "High Charges")</f>
        <v>#REF!</v>
      </c>
      <c r="Z4135" t="e">
        <f>IF(#REF!&lt;=80,"Low Calls",
IF(#REF!&lt;=120,"Medium Calls","High Calls"))</f>
        <v>#REF!</v>
      </c>
      <c r="AA4135" t="e">
        <f>IF(#REF!&lt;=15,"Low Charges",
IF(#REF!&lt;=20,"Medium Charges","High Charges"))</f>
        <v>#REF!</v>
      </c>
      <c r="AB4135" t="e">
        <f>IF(AND(#REF!&gt;180, #REF!&gt;200), "Heavy Doemstic User", IF(#REF!&gt;10, "Interntional User", IF(AND(#REF!&lt;180, #REF!&lt;200,#REF!&lt;200), "Light User", "Balanced User")))</f>
        <v>#REF!</v>
      </c>
      <c r="AC4135" t="e">
        <f>IF(#REF! = 0, "No Usage", IF(#REF! &lt;= 20, "Low Usage", IF(#REF! &lt;= 40, "Medium Usgae", "High Usage")))</f>
        <v>#REF!</v>
      </c>
      <c r="AD4135" t="e">
        <f>IF(#REF!&lt;=150,"Low Usage", IF(#REF!&lt;=200,"Medium Usage", IF(#REF!&lt;=250,"High Usage","Very High Usage")))</f>
        <v>#REF!</v>
      </c>
      <c r="AE4135" t="e">
        <f>IF(#REF!&lt;=5,"Low Calls", IF(#REF!&lt;=10, "Medium Calls", "High Calls"))</f>
        <v>#REF!</v>
      </c>
      <c r="AF4135" t="e">
        <f xml:space="preserve">
IF(#REF!&gt;=4,4,0)+
IF(#REF!="yes",3,0)+
IF(#REF!="High Charges",3,0)+
IF(#REF!&gt;250,4,0)+
IF(#REF!="no",1,0)+
IF(#REF!="Heavy Domestic User",2,0)</f>
        <v>#REF!</v>
      </c>
      <c r="AG4135" t="e">
        <f>IF(#REF!&gt;=10,"High Risk", IF(#REF!&gt;=5,"Medium Risk","Low Risk"))</f>
        <v>#REF!</v>
      </c>
      <c r="AH4135" t="e">
        <f>#REF! + #REF! + #REF! + #REF!</f>
        <v>#REF!</v>
      </c>
    </row>
    <row r="4136" spans="1:34" x14ac:dyDescent="0.35">
      <c r="A4136">
        <v>4135</v>
      </c>
      <c r="B4136" t="s">
        <v>68</v>
      </c>
      <c r="C4136">
        <v>26</v>
      </c>
      <c r="D4136" t="s">
        <v>25</v>
      </c>
      <c r="E4136" t="s">
        <v>22</v>
      </c>
      <c r="F4136" t="s">
        <v>22</v>
      </c>
      <c r="G4136">
        <v>0</v>
      </c>
      <c r="H4136">
        <v>290.10000000000002</v>
      </c>
      <c r="I4136">
        <v>143</v>
      </c>
      <c r="J4136">
        <v>49.32</v>
      </c>
      <c r="K4136">
        <v>245.7</v>
      </c>
      <c r="L4136">
        <v>97</v>
      </c>
      <c r="M4136">
        <v>20.88</v>
      </c>
      <c r="N4136">
        <v>147</v>
      </c>
      <c r="O4136">
        <v>80</v>
      </c>
      <c r="P4136">
        <v>6.61</v>
      </c>
      <c r="Q4136">
        <v>7.4</v>
      </c>
      <c r="R4136">
        <v>4</v>
      </c>
      <c r="S4136">
        <v>2</v>
      </c>
      <c r="T4136">
        <v>2</v>
      </c>
      <c r="U4136" t="s">
        <v>23</v>
      </c>
      <c r="V4136" t="e">
        <f>IF(#REF! = "yes", 1, 0)</f>
        <v>#REF!</v>
      </c>
      <c r="W4136" t="e">
        <f>IF(#REF! &lt;= 1, "0-1 Calls", IF(#REF! &lt;= 3, "2-3 Calls", IF(#REF! &lt;=5, "4-5 Calls", "6+ Calls")))</f>
        <v>#REF!</v>
      </c>
      <c r="X4136" t="e">
        <f>IF(#REF! &lt;= 50, "0-50", IF(#REF! &lt;=100, "51-100", IF(#REF! &lt;= 150, "101-150", "151+")))</f>
        <v>#REF!</v>
      </c>
      <c r="Y4136" t="e">
        <f>IF(#REF! &lt;= 3, "Low Charges", "High Charges")</f>
        <v>#REF!</v>
      </c>
      <c r="Z4136" t="e">
        <f>IF(#REF!&lt;=80,"Low Calls",
IF(#REF!&lt;=120,"Medium Calls","High Calls"))</f>
        <v>#REF!</v>
      </c>
      <c r="AA4136" t="e">
        <f>IF(#REF!&lt;=15,"Low Charges",
IF(#REF!&lt;=20,"Medium Charges","High Charges"))</f>
        <v>#REF!</v>
      </c>
      <c r="AB4136" t="e">
        <f>IF(AND(#REF!&gt;180, #REF!&gt;200), "Heavy Doemstic User", IF(#REF!&gt;10, "Interntional User", IF(AND(#REF!&lt;180, #REF!&lt;200,#REF!&lt;200), "Light User", "Balanced User")))</f>
        <v>#REF!</v>
      </c>
      <c r="AC4136" t="e">
        <f>IF(#REF! = 0, "No Usage", IF(#REF! &lt;= 20, "Low Usage", IF(#REF! &lt;= 40, "Medium Usgae", "High Usage")))</f>
        <v>#REF!</v>
      </c>
      <c r="AD4136" t="e">
        <f>IF(#REF!&lt;=150,"Low Usage", IF(#REF!&lt;=200,"Medium Usage", IF(#REF!&lt;=250,"High Usage","Very High Usage")))</f>
        <v>#REF!</v>
      </c>
      <c r="AE4136" t="e">
        <f>IF(#REF!&lt;=5,"Low Calls", IF(#REF!&lt;=10, "Medium Calls", "High Calls"))</f>
        <v>#REF!</v>
      </c>
      <c r="AF4136" t="e">
        <f xml:space="preserve">
IF(#REF!&gt;=4,4,0)+
IF(#REF!="yes",3,0)+
IF(#REF!="High Charges",3,0)+
IF(#REF!&gt;250,4,0)+
IF(#REF!="no",1,0)+
IF(#REF!="Heavy Domestic User",2,0)</f>
        <v>#REF!</v>
      </c>
      <c r="AG4136" t="e">
        <f>IF(#REF!&gt;=10,"High Risk", IF(#REF!&gt;=5,"Medium Risk","Low Risk"))</f>
        <v>#REF!</v>
      </c>
      <c r="AH4136" t="e">
        <f>#REF! + #REF! + #REF! + #REF!</f>
        <v>#REF!</v>
      </c>
    </row>
    <row r="4137" spans="1:34" x14ac:dyDescent="0.35">
      <c r="A4137">
        <v>4136</v>
      </c>
      <c r="B4137" t="s">
        <v>44</v>
      </c>
      <c r="C4137">
        <v>101</v>
      </c>
      <c r="D4137" t="s">
        <v>21</v>
      </c>
      <c r="E4137" t="s">
        <v>22</v>
      </c>
      <c r="F4137" t="s">
        <v>23</v>
      </c>
      <c r="G4137">
        <v>24</v>
      </c>
      <c r="H4137">
        <v>240.5</v>
      </c>
      <c r="I4137">
        <v>103</v>
      </c>
      <c r="J4137">
        <v>40.89</v>
      </c>
      <c r="K4137">
        <v>280.5</v>
      </c>
      <c r="L4137">
        <v>78</v>
      </c>
      <c r="M4137">
        <v>23.84</v>
      </c>
      <c r="N4137">
        <v>212.8</v>
      </c>
      <c r="O4137">
        <v>69</v>
      </c>
      <c r="P4137">
        <v>9.58</v>
      </c>
      <c r="Q4137">
        <v>10.4</v>
      </c>
      <c r="R4137">
        <v>5</v>
      </c>
      <c r="S4137">
        <v>2.81</v>
      </c>
      <c r="T4137">
        <v>2</v>
      </c>
      <c r="U4137" t="s">
        <v>22</v>
      </c>
      <c r="V4137" t="e">
        <f>IF(#REF! = "yes", 1, 0)</f>
        <v>#REF!</v>
      </c>
      <c r="W4137" t="e">
        <f>IF(#REF! &lt;= 1, "0-1 Calls", IF(#REF! &lt;= 3, "2-3 Calls", IF(#REF! &lt;=5, "4-5 Calls", "6+ Calls")))</f>
        <v>#REF!</v>
      </c>
      <c r="X4137" t="e">
        <f>IF(#REF! &lt;= 50, "0-50", IF(#REF! &lt;=100, "51-100", IF(#REF! &lt;= 150, "101-150", "151+")))</f>
        <v>#REF!</v>
      </c>
      <c r="Y4137" t="e">
        <f>IF(#REF! &lt;= 3, "Low Charges", "High Charges")</f>
        <v>#REF!</v>
      </c>
      <c r="Z4137" t="e">
        <f>IF(#REF!&lt;=80,"Low Calls",
IF(#REF!&lt;=120,"Medium Calls","High Calls"))</f>
        <v>#REF!</v>
      </c>
      <c r="AA4137" t="e">
        <f>IF(#REF!&lt;=15,"Low Charges",
IF(#REF!&lt;=20,"Medium Charges","High Charges"))</f>
        <v>#REF!</v>
      </c>
      <c r="AB4137" t="e">
        <f>IF(AND(#REF!&gt;180, #REF!&gt;200), "Heavy Doemstic User", IF(#REF!&gt;10, "Interntional User", IF(AND(#REF!&lt;180, #REF!&lt;200,#REF!&lt;200), "Light User", "Balanced User")))</f>
        <v>#REF!</v>
      </c>
      <c r="AC4137" t="e">
        <f>IF(#REF! = 0, "No Usage", IF(#REF! &lt;= 20, "Low Usage", IF(#REF! &lt;= 40, "Medium Usgae", "High Usage")))</f>
        <v>#REF!</v>
      </c>
      <c r="AD4137" t="e">
        <f>IF(#REF!&lt;=150,"Low Usage", IF(#REF!&lt;=200,"Medium Usage", IF(#REF!&lt;=250,"High Usage","Very High Usage")))</f>
        <v>#REF!</v>
      </c>
      <c r="AE4137" t="e">
        <f>IF(#REF!&lt;=5,"Low Calls", IF(#REF!&lt;=10, "Medium Calls", "High Calls"))</f>
        <v>#REF!</v>
      </c>
      <c r="AF4137" t="e">
        <f xml:space="preserve">
IF(#REF!&gt;=4,4,0)+
IF(#REF!="yes",3,0)+
IF(#REF!="High Charges",3,0)+
IF(#REF!&gt;250,4,0)+
IF(#REF!="no",1,0)+
IF(#REF!="Heavy Domestic User",2,0)</f>
        <v>#REF!</v>
      </c>
      <c r="AG4137" t="e">
        <f>IF(#REF!&gt;=10,"High Risk", IF(#REF!&gt;=5,"Medium Risk","Low Risk"))</f>
        <v>#REF!</v>
      </c>
      <c r="AH4137" t="e">
        <f>#REF! + #REF! + #REF! + #REF!</f>
        <v>#REF!</v>
      </c>
    </row>
    <row r="4138" spans="1:34" x14ac:dyDescent="0.35">
      <c r="A4138">
        <v>4137</v>
      </c>
      <c r="B4138" t="s">
        <v>57</v>
      </c>
      <c r="C4138">
        <v>67</v>
      </c>
      <c r="D4138" t="s">
        <v>21</v>
      </c>
      <c r="E4138" t="s">
        <v>22</v>
      </c>
      <c r="F4138" t="s">
        <v>22</v>
      </c>
      <c r="G4138">
        <v>0</v>
      </c>
      <c r="H4138">
        <v>284.5</v>
      </c>
      <c r="I4138">
        <v>104</v>
      </c>
      <c r="J4138">
        <v>48.37</v>
      </c>
      <c r="K4138">
        <v>88.6</v>
      </c>
      <c r="L4138">
        <v>71</v>
      </c>
      <c r="M4138">
        <v>7.53</v>
      </c>
      <c r="N4138">
        <v>171.4</v>
      </c>
      <c r="O4138">
        <v>93</v>
      </c>
      <c r="P4138">
        <v>7.71</v>
      </c>
      <c r="Q4138">
        <v>12.5</v>
      </c>
      <c r="R4138">
        <v>4</v>
      </c>
      <c r="S4138">
        <v>3.38</v>
      </c>
      <c r="T4138">
        <v>1</v>
      </c>
      <c r="U4138" t="s">
        <v>22</v>
      </c>
      <c r="V4138" t="e">
        <f>IF(#REF! = "yes", 1, 0)</f>
        <v>#REF!</v>
      </c>
      <c r="W4138" t="e">
        <f>IF(#REF! &lt;= 1, "0-1 Calls", IF(#REF! &lt;= 3, "2-3 Calls", IF(#REF! &lt;=5, "4-5 Calls", "6+ Calls")))</f>
        <v>#REF!</v>
      </c>
      <c r="X4138" t="e">
        <f>IF(#REF! &lt;= 50, "0-50", IF(#REF! &lt;=100, "51-100", IF(#REF! &lt;= 150, "101-150", "151+")))</f>
        <v>#REF!</v>
      </c>
      <c r="Y4138" t="e">
        <f>IF(#REF! &lt;= 3, "Low Charges", "High Charges")</f>
        <v>#REF!</v>
      </c>
      <c r="Z4138" t="e">
        <f>IF(#REF!&lt;=80,"Low Calls",
IF(#REF!&lt;=120,"Medium Calls","High Calls"))</f>
        <v>#REF!</v>
      </c>
      <c r="AA4138" t="e">
        <f>IF(#REF!&lt;=15,"Low Charges",
IF(#REF!&lt;=20,"Medium Charges","High Charges"))</f>
        <v>#REF!</v>
      </c>
      <c r="AB4138" t="e">
        <f>IF(AND(#REF!&gt;180, #REF!&gt;200), "Heavy Doemstic User", IF(#REF!&gt;10, "Interntional User", IF(AND(#REF!&lt;180, #REF!&lt;200,#REF!&lt;200), "Light User", "Balanced User")))</f>
        <v>#REF!</v>
      </c>
      <c r="AC4138" t="e">
        <f>IF(#REF! = 0, "No Usage", IF(#REF! &lt;= 20, "Low Usage", IF(#REF! &lt;= 40, "Medium Usgae", "High Usage")))</f>
        <v>#REF!</v>
      </c>
      <c r="AD4138" t="e">
        <f>IF(#REF!&lt;=150,"Low Usage", IF(#REF!&lt;=200,"Medium Usage", IF(#REF!&lt;=250,"High Usage","Very High Usage")))</f>
        <v>#REF!</v>
      </c>
      <c r="AE4138" t="e">
        <f>IF(#REF!&lt;=5,"Low Calls", IF(#REF!&lt;=10, "Medium Calls", "High Calls"))</f>
        <v>#REF!</v>
      </c>
      <c r="AF4138" t="e">
        <f xml:space="preserve">
IF(#REF!&gt;=4,4,0)+
IF(#REF!="yes",3,0)+
IF(#REF!="High Charges",3,0)+
IF(#REF!&gt;250,4,0)+
IF(#REF!="no",1,0)+
IF(#REF!="Heavy Domestic User",2,0)</f>
        <v>#REF!</v>
      </c>
      <c r="AG4138" t="e">
        <f>IF(#REF!&gt;=10,"High Risk", IF(#REF!&gt;=5,"Medium Risk","Low Risk"))</f>
        <v>#REF!</v>
      </c>
      <c r="AH4138" t="e">
        <f>#REF! + #REF! + #REF! + #REF!</f>
        <v>#REF!</v>
      </c>
    </row>
    <row r="4139" spans="1:34" x14ac:dyDescent="0.35">
      <c r="A4139">
        <v>4138</v>
      </c>
      <c r="B4139" t="s">
        <v>44</v>
      </c>
      <c r="C4139">
        <v>142</v>
      </c>
      <c r="D4139" t="s">
        <v>21</v>
      </c>
      <c r="E4139" t="s">
        <v>22</v>
      </c>
      <c r="F4139" t="s">
        <v>22</v>
      </c>
      <c r="G4139">
        <v>0</v>
      </c>
      <c r="H4139">
        <v>131.69999999999999</v>
      </c>
      <c r="I4139">
        <v>85</v>
      </c>
      <c r="J4139">
        <v>22.39</v>
      </c>
      <c r="K4139">
        <v>239.6</v>
      </c>
      <c r="L4139">
        <v>118</v>
      </c>
      <c r="M4139">
        <v>20.37</v>
      </c>
      <c r="N4139">
        <v>235.1</v>
      </c>
      <c r="O4139">
        <v>77</v>
      </c>
      <c r="P4139">
        <v>10.58</v>
      </c>
      <c r="Q4139">
        <v>8.9</v>
      </c>
      <c r="R4139">
        <v>3</v>
      </c>
      <c r="S4139">
        <v>2.4</v>
      </c>
      <c r="T4139">
        <v>1</v>
      </c>
      <c r="U4139" t="s">
        <v>22</v>
      </c>
      <c r="V4139" t="e">
        <f>IF(#REF! = "yes", 1, 0)</f>
        <v>#REF!</v>
      </c>
      <c r="W4139" t="e">
        <f>IF(#REF! &lt;= 1, "0-1 Calls", IF(#REF! &lt;= 3, "2-3 Calls", IF(#REF! &lt;=5, "4-5 Calls", "6+ Calls")))</f>
        <v>#REF!</v>
      </c>
      <c r="X4139" t="e">
        <f>IF(#REF! &lt;= 50, "0-50", IF(#REF! &lt;=100, "51-100", IF(#REF! &lt;= 150, "101-150", "151+")))</f>
        <v>#REF!</v>
      </c>
      <c r="Y4139" t="e">
        <f>IF(#REF! &lt;= 3, "Low Charges", "High Charges")</f>
        <v>#REF!</v>
      </c>
      <c r="Z4139" t="e">
        <f>IF(#REF!&lt;=80,"Low Calls",
IF(#REF!&lt;=120,"Medium Calls","High Calls"))</f>
        <v>#REF!</v>
      </c>
      <c r="AA4139" t="e">
        <f>IF(#REF!&lt;=15,"Low Charges",
IF(#REF!&lt;=20,"Medium Charges","High Charges"))</f>
        <v>#REF!</v>
      </c>
      <c r="AB4139" t="e">
        <f>IF(AND(#REF!&gt;180, #REF!&gt;200), "Heavy Doemstic User", IF(#REF!&gt;10, "Interntional User", IF(AND(#REF!&lt;180, #REF!&lt;200,#REF!&lt;200), "Light User", "Balanced User")))</f>
        <v>#REF!</v>
      </c>
      <c r="AC4139" t="e">
        <f>IF(#REF! = 0, "No Usage", IF(#REF! &lt;= 20, "Low Usage", IF(#REF! &lt;= 40, "Medium Usgae", "High Usage")))</f>
        <v>#REF!</v>
      </c>
      <c r="AD4139" t="e">
        <f>IF(#REF!&lt;=150,"Low Usage", IF(#REF!&lt;=200,"Medium Usage", IF(#REF!&lt;=250,"High Usage","Very High Usage")))</f>
        <v>#REF!</v>
      </c>
      <c r="AE4139" t="e">
        <f>IF(#REF!&lt;=5,"Low Calls", IF(#REF!&lt;=10, "Medium Calls", "High Calls"))</f>
        <v>#REF!</v>
      </c>
      <c r="AF4139" t="e">
        <f xml:space="preserve">
IF(#REF!&gt;=4,4,0)+
IF(#REF!="yes",3,0)+
IF(#REF!="High Charges",3,0)+
IF(#REF!&gt;250,4,0)+
IF(#REF!="no",1,0)+
IF(#REF!="Heavy Domestic User",2,0)</f>
        <v>#REF!</v>
      </c>
      <c r="AG4139" t="e">
        <f>IF(#REF!&gt;=10,"High Risk", IF(#REF!&gt;=5,"Medium Risk","Low Risk"))</f>
        <v>#REF!</v>
      </c>
      <c r="AH4139" t="e">
        <f>#REF! + #REF! + #REF! + #REF!</f>
        <v>#REF!</v>
      </c>
    </row>
    <row r="4140" spans="1:34" x14ac:dyDescent="0.35">
      <c r="A4140">
        <v>4139</v>
      </c>
      <c r="B4140" t="s">
        <v>43</v>
      </c>
      <c r="C4140">
        <v>183</v>
      </c>
      <c r="D4140" t="s">
        <v>21</v>
      </c>
      <c r="E4140" t="s">
        <v>22</v>
      </c>
      <c r="F4140" t="s">
        <v>23</v>
      </c>
      <c r="G4140">
        <v>31</v>
      </c>
      <c r="H4140">
        <v>211.9</v>
      </c>
      <c r="I4140">
        <v>126</v>
      </c>
      <c r="J4140">
        <v>36.020000000000003</v>
      </c>
      <c r="K4140">
        <v>224.3</v>
      </c>
      <c r="L4140">
        <v>125</v>
      </c>
      <c r="M4140">
        <v>19.07</v>
      </c>
      <c r="N4140">
        <v>226.2</v>
      </c>
      <c r="O4140">
        <v>125</v>
      </c>
      <c r="P4140">
        <v>10.18</v>
      </c>
      <c r="Q4140">
        <v>13.8</v>
      </c>
      <c r="R4140">
        <v>2</v>
      </c>
      <c r="S4140">
        <v>3.73</v>
      </c>
      <c r="T4140">
        <v>1</v>
      </c>
      <c r="U4140" t="s">
        <v>22</v>
      </c>
      <c r="V4140" t="e">
        <f>IF(#REF! = "yes", 1, 0)</f>
        <v>#REF!</v>
      </c>
      <c r="W4140" t="e">
        <f>IF(#REF! &lt;= 1, "0-1 Calls", IF(#REF! &lt;= 3, "2-3 Calls", IF(#REF! &lt;=5, "4-5 Calls", "6+ Calls")))</f>
        <v>#REF!</v>
      </c>
      <c r="X4140" t="e">
        <f>IF(#REF! &lt;= 50, "0-50", IF(#REF! &lt;=100, "51-100", IF(#REF! &lt;= 150, "101-150", "151+")))</f>
        <v>#REF!</v>
      </c>
      <c r="Y4140" t="e">
        <f>IF(#REF! &lt;= 3, "Low Charges", "High Charges")</f>
        <v>#REF!</v>
      </c>
      <c r="Z4140" t="e">
        <f>IF(#REF!&lt;=80,"Low Calls",
IF(#REF!&lt;=120,"Medium Calls","High Calls"))</f>
        <v>#REF!</v>
      </c>
      <c r="AA4140" t="e">
        <f>IF(#REF!&lt;=15,"Low Charges",
IF(#REF!&lt;=20,"Medium Charges","High Charges"))</f>
        <v>#REF!</v>
      </c>
      <c r="AB4140" t="e">
        <f>IF(AND(#REF!&gt;180, #REF!&gt;200), "Heavy Doemstic User", IF(#REF!&gt;10, "Interntional User", IF(AND(#REF!&lt;180, #REF!&lt;200,#REF!&lt;200), "Light User", "Balanced User")))</f>
        <v>#REF!</v>
      </c>
      <c r="AC4140" t="e">
        <f>IF(#REF! = 0, "No Usage", IF(#REF! &lt;= 20, "Low Usage", IF(#REF! &lt;= 40, "Medium Usgae", "High Usage")))</f>
        <v>#REF!</v>
      </c>
      <c r="AD4140" t="e">
        <f>IF(#REF!&lt;=150,"Low Usage", IF(#REF!&lt;=200,"Medium Usage", IF(#REF!&lt;=250,"High Usage","Very High Usage")))</f>
        <v>#REF!</v>
      </c>
      <c r="AE4140" t="e">
        <f>IF(#REF!&lt;=5,"Low Calls", IF(#REF!&lt;=10, "Medium Calls", "High Calls"))</f>
        <v>#REF!</v>
      </c>
      <c r="AF4140" t="e">
        <f xml:space="preserve">
IF(#REF!&gt;=4,4,0)+
IF(#REF!="yes",3,0)+
IF(#REF!="High Charges",3,0)+
IF(#REF!&gt;250,4,0)+
IF(#REF!="no",1,0)+
IF(#REF!="Heavy Domestic User",2,0)</f>
        <v>#REF!</v>
      </c>
      <c r="AG4140" t="e">
        <f>IF(#REF!&gt;=10,"High Risk", IF(#REF!&gt;=5,"Medium Risk","Low Risk"))</f>
        <v>#REF!</v>
      </c>
      <c r="AH4140" t="e">
        <f>#REF! + #REF! + #REF! + #REF!</f>
        <v>#REF!</v>
      </c>
    </row>
    <row r="4141" spans="1:34" x14ac:dyDescent="0.35">
      <c r="A4141">
        <v>4140</v>
      </c>
      <c r="B4141" t="s">
        <v>40</v>
      </c>
      <c r="C4141">
        <v>202</v>
      </c>
      <c r="D4141" t="s">
        <v>21</v>
      </c>
      <c r="E4141" t="s">
        <v>22</v>
      </c>
      <c r="F4141" t="s">
        <v>22</v>
      </c>
      <c r="G4141">
        <v>0</v>
      </c>
      <c r="H4141">
        <v>168.9</v>
      </c>
      <c r="I4141">
        <v>88</v>
      </c>
      <c r="J4141">
        <v>28.71</v>
      </c>
      <c r="K4141">
        <v>235.8</v>
      </c>
      <c r="L4141">
        <v>98</v>
      </c>
      <c r="M4141">
        <v>20.04</v>
      </c>
      <c r="N4141">
        <v>273.2</v>
      </c>
      <c r="O4141">
        <v>108</v>
      </c>
      <c r="P4141">
        <v>12.29</v>
      </c>
      <c r="Q4141">
        <v>14.6</v>
      </c>
      <c r="R4141">
        <v>3</v>
      </c>
      <c r="S4141">
        <v>3.94</v>
      </c>
      <c r="T4141">
        <v>3</v>
      </c>
      <c r="U4141" t="s">
        <v>22</v>
      </c>
      <c r="V4141" t="e">
        <f>IF(#REF! = "yes", 1, 0)</f>
        <v>#REF!</v>
      </c>
      <c r="W4141" t="e">
        <f>IF(#REF! &lt;= 1, "0-1 Calls", IF(#REF! &lt;= 3, "2-3 Calls", IF(#REF! &lt;=5, "4-5 Calls", "6+ Calls")))</f>
        <v>#REF!</v>
      </c>
      <c r="X4141" t="e">
        <f>IF(#REF! &lt;= 50, "0-50", IF(#REF! &lt;=100, "51-100", IF(#REF! &lt;= 150, "101-150", "151+")))</f>
        <v>#REF!</v>
      </c>
      <c r="Y4141" t="e">
        <f>IF(#REF! &lt;= 3, "Low Charges", "High Charges")</f>
        <v>#REF!</v>
      </c>
      <c r="Z4141" t="e">
        <f>IF(#REF!&lt;=80,"Low Calls",
IF(#REF!&lt;=120,"Medium Calls","High Calls"))</f>
        <v>#REF!</v>
      </c>
      <c r="AA4141" t="e">
        <f>IF(#REF!&lt;=15,"Low Charges",
IF(#REF!&lt;=20,"Medium Charges","High Charges"))</f>
        <v>#REF!</v>
      </c>
      <c r="AB4141" t="e">
        <f>IF(AND(#REF!&gt;180, #REF!&gt;200), "Heavy Doemstic User", IF(#REF!&gt;10, "Interntional User", IF(AND(#REF!&lt;180, #REF!&lt;200,#REF!&lt;200), "Light User", "Balanced User")))</f>
        <v>#REF!</v>
      </c>
      <c r="AC4141" t="e">
        <f>IF(#REF! = 0, "No Usage", IF(#REF! &lt;= 20, "Low Usage", IF(#REF! &lt;= 40, "Medium Usgae", "High Usage")))</f>
        <v>#REF!</v>
      </c>
      <c r="AD4141" t="e">
        <f>IF(#REF!&lt;=150,"Low Usage", IF(#REF!&lt;=200,"Medium Usage", IF(#REF!&lt;=250,"High Usage","Very High Usage")))</f>
        <v>#REF!</v>
      </c>
      <c r="AE4141" t="e">
        <f>IF(#REF!&lt;=5,"Low Calls", IF(#REF!&lt;=10, "Medium Calls", "High Calls"))</f>
        <v>#REF!</v>
      </c>
      <c r="AF4141" t="e">
        <f xml:space="preserve">
IF(#REF!&gt;=4,4,0)+
IF(#REF!="yes",3,0)+
IF(#REF!="High Charges",3,0)+
IF(#REF!&gt;250,4,0)+
IF(#REF!="no",1,0)+
IF(#REF!="Heavy Domestic User",2,0)</f>
        <v>#REF!</v>
      </c>
      <c r="AG4141" t="e">
        <f>IF(#REF!&gt;=10,"High Risk", IF(#REF!&gt;=5,"Medium Risk","Low Risk"))</f>
        <v>#REF!</v>
      </c>
      <c r="AH4141" t="e">
        <f>#REF! + #REF! + #REF! + #REF!</f>
        <v>#REF!</v>
      </c>
    </row>
    <row r="4142" spans="1:34" x14ac:dyDescent="0.35">
      <c r="A4142">
        <v>4141</v>
      </c>
      <c r="B4142" t="s">
        <v>30</v>
      </c>
      <c r="C4142">
        <v>24</v>
      </c>
      <c r="D4142" t="s">
        <v>21</v>
      </c>
      <c r="E4142" t="s">
        <v>23</v>
      </c>
      <c r="F4142" t="s">
        <v>22</v>
      </c>
      <c r="G4142">
        <v>0</v>
      </c>
      <c r="H4142">
        <v>230.5</v>
      </c>
      <c r="I4142">
        <v>126</v>
      </c>
      <c r="J4142">
        <v>39.19</v>
      </c>
      <c r="K4142">
        <v>184.7</v>
      </c>
      <c r="L4142">
        <v>128</v>
      </c>
      <c r="M4142">
        <v>15.7</v>
      </c>
      <c r="N4142">
        <v>159.1</v>
      </c>
      <c r="O4142">
        <v>152</v>
      </c>
      <c r="P4142">
        <v>7.16</v>
      </c>
      <c r="Q4142">
        <v>10.6</v>
      </c>
      <c r="R4142">
        <v>3</v>
      </c>
      <c r="S4142">
        <v>2.86</v>
      </c>
      <c r="T4142">
        <v>1</v>
      </c>
      <c r="U4142" t="s">
        <v>22</v>
      </c>
      <c r="V4142" t="e">
        <f>IF(#REF! = "yes", 1, 0)</f>
        <v>#REF!</v>
      </c>
      <c r="W4142" t="e">
        <f>IF(#REF! &lt;= 1, "0-1 Calls", IF(#REF! &lt;= 3, "2-3 Calls", IF(#REF! &lt;=5, "4-5 Calls", "6+ Calls")))</f>
        <v>#REF!</v>
      </c>
      <c r="X4142" t="e">
        <f>IF(#REF! &lt;= 50, "0-50", IF(#REF! &lt;=100, "51-100", IF(#REF! &lt;= 150, "101-150", "151+")))</f>
        <v>#REF!</v>
      </c>
      <c r="Y4142" t="e">
        <f>IF(#REF! &lt;= 3, "Low Charges", "High Charges")</f>
        <v>#REF!</v>
      </c>
      <c r="Z4142" t="e">
        <f>IF(#REF!&lt;=80,"Low Calls",
IF(#REF!&lt;=120,"Medium Calls","High Calls"))</f>
        <v>#REF!</v>
      </c>
      <c r="AA4142" t="e">
        <f>IF(#REF!&lt;=15,"Low Charges",
IF(#REF!&lt;=20,"Medium Charges","High Charges"))</f>
        <v>#REF!</v>
      </c>
      <c r="AB4142" t="e">
        <f>IF(AND(#REF!&gt;180, #REF!&gt;200), "Heavy Doemstic User", IF(#REF!&gt;10, "Interntional User", IF(AND(#REF!&lt;180, #REF!&lt;200,#REF!&lt;200), "Light User", "Balanced User")))</f>
        <v>#REF!</v>
      </c>
      <c r="AC4142" t="e">
        <f>IF(#REF! = 0, "No Usage", IF(#REF! &lt;= 20, "Low Usage", IF(#REF! &lt;= 40, "Medium Usgae", "High Usage")))</f>
        <v>#REF!</v>
      </c>
      <c r="AD4142" t="e">
        <f>IF(#REF!&lt;=150,"Low Usage", IF(#REF!&lt;=200,"Medium Usage", IF(#REF!&lt;=250,"High Usage","Very High Usage")))</f>
        <v>#REF!</v>
      </c>
      <c r="AE4142" t="e">
        <f>IF(#REF!&lt;=5,"Low Calls", IF(#REF!&lt;=10, "Medium Calls", "High Calls"))</f>
        <v>#REF!</v>
      </c>
      <c r="AF4142" t="e">
        <f xml:space="preserve">
IF(#REF!&gt;=4,4,0)+
IF(#REF!="yes",3,0)+
IF(#REF!="High Charges",3,0)+
IF(#REF!&gt;250,4,0)+
IF(#REF!="no",1,0)+
IF(#REF!="Heavy Domestic User",2,0)</f>
        <v>#REF!</v>
      </c>
      <c r="AG4142" t="e">
        <f>IF(#REF!&gt;=10,"High Risk", IF(#REF!&gt;=5,"Medium Risk","Low Risk"))</f>
        <v>#REF!</v>
      </c>
      <c r="AH4142" t="e">
        <f>#REF! + #REF! + #REF! + #REF!</f>
        <v>#REF!</v>
      </c>
    </row>
    <row r="4143" spans="1:34" x14ac:dyDescent="0.35">
      <c r="A4143">
        <v>4142</v>
      </c>
      <c r="B4143" t="s">
        <v>40</v>
      </c>
      <c r="C4143">
        <v>36</v>
      </c>
      <c r="D4143" t="s">
        <v>28</v>
      </c>
      <c r="E4143" t="s">
        <v>22</v>
      </c>
      <c r="F4143" t="s">
        <v>22</v>
      </c>
      <c r="G4143">
        <v>0</v>
      </c>
      <c r="H4143">
        <v>195.5</v>
      </c>
      <c r="I4143">
        <v>77</v>
      </c>
      <c r="J4143">
        <v>33.24</v>
      </c>
      <c r="K4143">
        <v>156.30000000000001</v>
      </c>
      <c r="L4143">
        <v>108</v>
      </c>
      <c r="M4143">
        <v>13.29</v>
      </c>
      <c r="N4143">
        <v>217.8</v>
      </c>
      <c r="O4143">
        <v>133</v>
      </c>
      <c r="P4143">
        <v>9.8000000000000007</v>
      </c>
      <c r="Q4143">
        <v>7.3</v>
      </c>
      <c r="R4143">
        <v>2</v>
      </c>
      <c r="S4143">
        <v>1.97</v>
      </c>
      <c r="T4143">
        <v>1</v>
      </c>
      <c r="U4143" t="s">
        <v>22</v>
      </c>
      <c r="V4143" t="e">
        <f>IF(#REF! = "yes", 1, 0)</f>
        <v>#REF!</v>
      </c>
      <c r="W4143" t="e">
        <f>IF(#REF! &lt;= 1, "0-1 Calls", IF(#REF! &lt;= 3, "2-3 Calls", IF(#REF! &lt;=5, "4-5 Calls", "6+ Calls")))</f>
        <v>#REF!</v>
      </c>
      <c r="X4143" t="e">
        <f>IF(#REF! &lt;= 50, "0-50", IF(#REF! &lt;=100, "51-100", IF(#REF! &lt;= 150, "101-150", "151+")))</f>
        <v>#REF!</v>
      </c>
      <c r="Y4143" t="e">
        <f>IF(#REF! &lt;= 3, "Low Charges", "High Charges")</f>
        <v>#REF!</v>
      </c>
      <c r="Z4143" t="e">
        <f>IF(#REF!&lt;=80,"Low Calls",
IF(#REF!&lt;=120,"Medium Calls","High Calls"))</f>
        <v>#REF!</v>
      </c>
      <c r="AA4143" t="e">
        <f>IF(#REF!&lt;=15,"Low Charges",
IF(#REF!&lt;=20,"Medium Charges","High Charges"))</f>
        <v>#REF!</v>
      </c>
      <c r="AB4143" t="e">
        <f>IF(AND(#REF!&gt;180, #REF!&gt;200), "Heavy Doemstic User", IF(#REF!&gt;10, "Interntional User", IF(AND(#REF!&lt;180, #REF!&lt;200,#REF!&lt;200), "Light User", "Balanced User")))</f>
        <v>#REF!</v>
      </c>
      <c r="AC4143" t="e">
        <f>IF(#REF! = 0, "No Usage", IF(#REF! &lt;= 20, "Low Usage", IF(#REF! &lt;= 40, "Medium Usgae", "High Usage")))</f>
        <v>#REF!</v>
      </c>
      <c r="AD4143" t="e">
        <f>IF(#REF!&lt;=150,"Low Usage", IF(#REF!&lt;=200,"Medium Usage", IF(#REF!&lt;=250,"High Usage","Very High Usage")))</f>
        <v>#REF!</v>
      </c>
      <c r="AE4143" t="e">
        <f>IF(#REF!&lt;=5,"Low Calls", IF(#REF!&lt;=10, "Medium Calls", "High Calls"))</f>
        <v>#REF!</v>
      </c>
      <c r="AF4143" t="e">
        <f xml:space="preserve">
IF(#REF!&gt;=4,4,0)+
IF(#REF!="yes",3,0)+
IF(#REF!="High Charges",3,0)+
IF(#REF!&gt;250,4,0)+
IF(#REF!="no",1,0)+
IF(#REF!="Heavy Domestic User",2,0)</f>
        <v>#REF!</v>
      </c>
      <c r="AG4143" t="e">
        <f>IF(#REF!&gt;=10,"High Risk", IF(#REF!&gt;=5,"Medium Risk","Low Risk"))</f>
        <v>#REF!</v>
      </c>
      <c r="AH4143" t="e">
        <f>#REF! + #REF! + #REF! + #REF!</f>
        <v>#REF!</v>
      </c>
    </row>
    <row r="4144" spans="1:34" x14ac:dyDescent="0.35">
      <c r="A4144">
        <v>4143</v>
      </c>
      <c r="B4144" t="s">
        <v>51</v>
      </c>
      <c r="C4144">
        <v>167</v>
      </c>
      <c r="D4144" t="s">
        <v>21</v>
      </c>
      <c r="E4144" t="s">
        <v>22</v>
      </c>
      <c r="F4144" t="s">
        <v>22</v>
      </c>
      <c r="G4144">
        <v>0</v>
      </c>
      <c r="H4144">
        <v>112.3</v>
      </c>
      <c r="I4144">
        <v>101</v>
      </c>
      <c r="J4144">
        <v>19.09</v>
      </c>
      <c r="K4144">
        <v>204.8</v>
      </c>
      <c r="L4144">
        <v>140</v>
      </c>
      <c r="M4144">
        <v>17.41</v>
      </c>
      <c r="N4144">
        <v>141.19999999999999</v>
      </c>
      <c r="O4144">
        <v>118</v>
      </c>
      <c r="P4144">
        <v>6.35</v>
      </c>
      <c r="Q4144">
        <v>13.3</v>
      </c>
      <c r="R4144">
        <v>2</v>
      </c>
      <c r="S4144">
        <v>3.59</v>
      </c>
      <c r="T4144">
        <v>1</v>
      </c>
      <c r="U4144" t="s">
        <v>22</v>
      </c>
      <c r="V4144" t="e">
        <f>IF(#REF! = "yes", 1, 0)</f>
        <v>#REF!</v>
      </c>
      <c r="W4144" t="e">
        <f>IF(#REF! &lt;= 1, "0-1 Calls", IF(#REF! &lt;= 3, "2-3 Calls", IF(#REF! &lt;=5, "4-5 Calls", "6+ Calls")))</f>
        <v>#REF!</v>
      </c>
      <c r="X4144" t="e">
        <f>IF(#REF! &lt;= 50, "0-50", IF(#REF! &lt;=100, "51-100", IF(#REF! &lt;= 150, "101-150", "151+")))</f>
        <v>#REF!</v>
      </c>
      <c r="Y4144" t="e">
        <f>IF(#REF! &lt;= 3, "Low Charges", "High Charges")</f>
        <v>#REF!</v>
      </c>
      <c r="Z4144" t="e">
        <f>IF(#REF!&lt;=80,"Low Calls",
IF(#REF!&lt;=120,"Medium Calls","High Calls"))</f>
        <v>#REF!</v>
      </c>
      <c r="AA4144" t="e">
        <f>IF(#REF!&lt;=15,"Low Charges",
IF(#REF!&lt;=20,"Medium Charges","High Charges"))</f>
        <v>#REF!</v>
      </c>
      <c r="AB4144" t="e">
        <f>IF(AND(#REF!&gt;180, #REF!&gt;200), "Heavy Doemstic User", IF(#REF!&gt;10, "Interntional User", IF(AND(#REF!&lt;180, #REF!&lt;200,#REF!&lt;200), "Light User", "Balanced User")))</f>
        <v>#REF!</v>
      </c>
      <c r="AC4144" t="e">
        <f>IF(#REF! = 0, "No Usage", IF(#REF! &lt;= 20, "Low Usage", IF(#REF! &lt;= 40, "Medium Usgae", "High Usage")))</f>
        <v>#REF!</v>
      </c>
      <c r="AD4144" t="e">
        <f>IF(#REF!&lt;=150,"Low Usage", IF(#REF!&lt;=200,"Medium Usage", IF(#REF!&lt;=250,"High Usage","Very High Usage")))</f>
        <v>#REF!</v>
      </c>
      <c r="AE4144" t="e">
        <f>IF(#REF!&lt;=5,"Low Calls", IF(#REF!&lt;=10, "Medium Calls", "High Calls"))</f>
        <v>#REF!</v>
      </c>
      <c r="AF4144" t="e">
        <f xml:space="preserve">
IF(#REF!&gt;=4,4,0)+
IF(#REF!="yes",3,0)+
IF(#REF!="High Charges",3,0)+
IF(#REF!&gt;250,4,0)+
IF(#REF!="no",1,0)+
IF(#REF!="Heavy Domestic User",2,0)</f>
        <v>#REF!</v>
      </c>
      <c r="AG4144" t="e">
        <f>IF(#REF!&gt;=10,"High Risk", IF(#REF!&gt;=5,"Medium Risk","Low Risk"))</f>
        <v>#REF!</v>
      </c>
      <c r="AH4144" t="e">
        <f>#REF! + #REF! + #REF! + #REF!</f>
        <v>#REF!</v>
      </c>
    </row>
    <row r="4145" spans="1:34" x14ac:dyDescent="0.35">
      <c r="A4145">
        <v>4144</v>
      </c>
      <c r="B4145" t="s">
        <v>72</v>
      </c>
      <c r="C4145">
        <v>118</v>
      </c>
      <c r="D4145" t="s">
        <v>21</v>
      </c>
      <c r="E4145" t="s">
        <v>22</v>
      </c>
      <c r="F4145" t="s">
        <v>22</v>
      </c>
      <c r="G4145">
        <v>0</v>
      </c>
      <c r="H4145">
        <v>103.6</v>
      </c>
      <c r="I4145">
        <v>107</v>
      </c>
      <c r="J4145">
        <v>17.61</v>
      </c>
      <c r="K4145">
        <v>82</v>
      </c>
      <c r="L4145">
        <v>149</v>
      </c>
      <c r="M4145">
        <v>6.97</v>
      </c>
      <c r="N4145">
        <v>169.5</v>
      </c>
      <c r="O4145">
        <v>103</v>
      </c>
      <c r="P4145">
        <v>7.63</v>
      </c>
      <c r="Q4145">
        <v>6.6</v>
      </c>
      <c r="R4145">
        <v>6</v>
      </c>
      <c r="S4145">
        <v>1.78</v>
      </c>
      <c r="T4145">
        <v>0</v>
      </c>
      <c r="U4145" t="s">
        <v>22</v>
      </c>
      <c r="V4145" t="e">
        <f>IF(#REF! = "yes", 1, 0)</f>
        <v>#REF!</v>
      </c>
      <c r="W4145" t="e">
        <f>IF(#REF! &lt;= 1, "0-1 Calls", IF(#REF! &lt;= 3, "2-3 Calls", IF(#REF! &lt;=5, "4-5 Calls", "6+ Calls")))</f>
        <v>#REF!</v>
      </c>
      <c r="X4145" t="e">
        <f>IF(#REF! &lt;= 50, "0-50", IF(#REF! &lt;=100, "51-100", IF(#REF! &lt;= 150, "101-150", "151+")))</f>
        <v>#REF!</v>
      </c>
      <c r="Y4145" t="e">
        <f>IF(#REF! &lt;= 3, "Low Charges", "High Charges")</f>
        <v>#REF!</v>
      </c>
      <c r="Z4145" t="e">
        <f>IF(#REF!&lt;=80,"Low Calls",
IF(#REF!&lt;=120,"Medium Calls","High Calls"))</f>
        <v>#REF!</v>
      </c>
      <c r="AA4145" t="e">
        <f>IF(#REF!&lt;=15,"Low Charges",
IF(#REF!&lt;=20,"Medium Charges","High Charges"))</f>
        <v>#REF!</v>
      </c>
      <c r="AB4145" t="e">
        <f>IF(AND(#REF!&gt;180, #REF!&gt;200), "Heavy Doemstic User", IF(#REF!&gt;10, "Interntional User", IF(AND(#REF!&lt;180, #REF!&lt;200,#REF!&lt;200), "Light User", "Balanced User")))</f>
        <v>#REF!</v>
      </c>
      <c r="AC4145" t="e">
        <f>IF(#REF! = 0, "No Usage", IF(#REF! &lt;= 20, "Low Usage", IF(#REF! &lt;= 40, "Medium Usgae", "High Usage")))</f>
        <v>#REF!</v>
      </c>
      <c r="AD4145" t="e">
        <f>IF(#REF!&lt;=150,"Low Usage", IF(#REF!&lt;=200,"Medium Usage", IF(#REF!&lt;=250,"High Usage","Very High Usage")))</f>
        <v>#REF!</v>
      </c>
      <c r="AE4145" t="e">
        <f>IF(#REF!&lt;=5,"Low Calls", IF(#REF!&lt;=10, "Medium Calls", "High Calls"))</f>
        <v>#REF!</v>
      </c>
      <c r="AF4145" t="e">
        <f xml:space="preserve">
IF(#REF!&gt;=4,4,0)+
IF(#REF!="yes",3,0)+
IF(#REF!="High Charges",3,0)+
IF(#REF!&gt;250,4,0)+
IF(#REF!="no",1,0)+
IF(#REF!="Heavy Domestic User",2,0)</f>
        <v>#REF!</v>
      </c>
      <c r="AG4145" t="e">
        <f>IF(#REF!&gt;=10,"High Risk", IF(#REF!&gt;=5,"Medium Risk","Low Risk"))</f>
        <v>#REF!</v>
      </c>
      <c r="AH4145" t="e">
        <f>#REF! + #REF! + #REF! + #REF!</f>
        <v>#REF!</v>
      </c>
    </row>
    <row r="4146" spans="1:34" x14ac:dyDescent="0.35">
      <c r="A4146">
        <v>4145</v>
      </c>
      <c r="B4146" t="s">
        <v>69</v>
      </c>
      <c r="C4146">
        <v>136</v>
      </c>
      <c r="D4146" t="s">
        <v>21</v>
      </c>
      <c r="E4146" t="s">
        <v>22</v>
      </c>
      <c r="F4146" t="s">
        <v>22</v>
      </c>
      <c r="G4146">
        <v>0</v>
      </c>
      <c r="H4146">
        <v>121.5</v>
      </c>
      <c r="I4146">
        <v>80</v>
      </c>
      <c r="J4146">
        <v>20.66</v>
      </c>
      <c r="K4146">
        <v>220.1</v>
      </c>
      <c r="L4146">
        <v>97</v>
      </c>
      <c r="M4146">
        <v>18.71</v>
      </c>
      <c r="N4146">
        <v>179.5</v>
      </c>
      <c r="O4146">
        <v>94</v>
      </c>
      <c r="P4146">
        <v>8.08</v>
      </c>
      <c r="Q4146">
        <v>10.4</v>
      </c>
      <c r="R4146">
        <v>5</v>
      </c>
      <c r="S4146">
        <v>2.81</v>
      </c>
      <c r="T4146">
        <v>1</v>
      </c>
      <c r="U4146" t="s">
        <v>22</v>
      </c>
      <c r="V4146" t="e">
        <f>IF(#REF! = "yes", 1, 0)</f>
        <v>#REF!</v>
      </c>
      <c r="W4146" t="e">
        <f>IF(#REF! &lt;= 1, "0-1 Calls", IF(#REF! &lt;= 3, "2-3 Calls", IF(#REF! &lt;=5, "4-5 Calls", "6+ Calls")))</f>
        <v>#REF!</v>
      </c>
      <c r="X4146" t="e">
        <f>IF(#REF! &lt;= 50, "0-50", IF(#REF! &lt;=100, "51-100", IF(#REF! &lt;= 150, "101-150", "151+")))</f>
        <v>#REF!</v>
      </c>
      <c r="Y4146" t="e">
        <f>IF(#REF! &lt;= 3, "Low Charges", "High Charges")</f>
        <v>#REF!</v>
      </c>
      <c r="Z4146" t="e">
        <f>IF(#REF!&lt;=80,"Low Calls",
IF(#REF!&lt;=120,"Medium Calls","High Calls"))</f>
        <v>#REF!</v>
      </c>
      <c r="AA4146" t="e">
        <f>IF(#REF!&lt;=15,"Low Charges",
IF(#REF!&lt;=20,"Medium Charges","High Charges"))</f>
        <v>#REF!</v>
      </c>
      <c r="AB4146" t="e">
        <f>IF(AND(#REF!&gt;180, #REF!&gt;200), "Heavy Doemstic User", IF(#REF!&gt;10, "Interntional User", IF(AND(#REF!&lt;180, #REF!&lt;200,#REF!&lt;200), "Light User", "Balanced User")))</f>
        <v>#REF!</v>
      </c>
      <c r="AC4146" t="e">
        <f>IF(#REF! = 0, "No Usage", IF(#REF! &lt;= 20, "Low Usage", IF(#REF! &lt;= 40, "Medium Usgae", "High Usage")))</f>
        <v>#REF!</v>
      </c>
      <c r="AD4146" t="e">
        <f>IF(#REF!&lt;=150,"Low Usage", IF(#REF!&lt;=200,"Medium Usage", IF(#REF!&lt;=250,"High Usage","Very High Usage")))</f>
        <v>#REF!</v>
      </c>
      <c r="AE4146" t="e">
        <f>IF(#REF!&lt;=5,"Low Calls", IF(#REF!&lt;=10, "Medium Calls", "High Calls"))</f>
        <v>#REF!</v>
      </c>
      <c r="AF4146" t="e">
        <f xml:space="preserve">
IF(#REF!&gt;=4,4,0)+
IF(#REF!="yes",3,0)+
IF(#REF!="High Charges",3,0)+
IF(#REF!&gt;250,4,0)+
IF(#REF!="no",1,0)+
IF(#REF!="Heavy Domestic User",2,0)</f>
        <v>#REF!</v>
      </c>
      <c r="AG4146" t="e">
        <f>IF(#REF!&gt;=10,"High Risk", IF(#REF!&gt;=5,"Medium Risk","Low Risk"))</f>
        <v>#REF!</v>
      </c>
      <c r="AH4146" t="e">
        <f>#REF! + #REF! + #REF! + #REF!</f>
        <v>#REF!</v>
      </c>
    </row>
    <row r="4147" spans="1:34" x14ac:dyDescent="0.35">
      <c r="A4147">
        <v>4146</v>
      </c>
      <c r="B4147" t="s">
        <v>43</v>
      </c>
      <c r="C4147">
        <v>77</v>
      </c>
      <c r="D4147" t="s">
        <v>21</v>
      </c>
      <c r="E4147" t="s">
        <v>22</v>
      </c>
      <c r="F4147" t="s">
        <v>22</v>
      </c>
      <c r="G4147">
        <v>0</v>
      </c>
      <c r="H4147">
        <v>175.8</v>
      </c>
      <c r="I4147">
        <v>116</v>
      </c>
      <c r="J4147">
        <v>29.89</v>
      </c>
      <c r="K4147">
        <v>156.19999999999999</v>
      </c>
      <c r="L4147">
        <v>125</v>
      </c>
      <c r="M4147">
        <v>13.28</v>
      </c>
      <c r="N4147">
        <v>237.4</v>
      </c>
      <c r="O4147">
        <v>106</v>
      </c>
      <c r="P4147">
        <v>10.68</v>
      </c>
      <c r="Q4147">
        <v>5</v>
      </c>
      <c r="R4147">
        <v>4</v>
      </c>
      <c r="S4147">
        <v>1.35</v>
      </c>
      <c r="T4147">
        <v>0</v>
      </c>
      <c r="U4147" t="s">
        <v>22</v>
      </c>
      <c r="V4147" t="e">
        <f>IF(#REF! = "yes", 1, 0)</f>
        <v>#REF!</v>
      </c>
      <c r="W4147" t="e">
        <f>IF(#REF! &lt;= 1, "0-1 Calls", IF(#REF! &lt;= 3, "2-3 Calls", IF(#REF! &lt;=5, "4-5 Calls", "6+ Calls")))</f>
        <v>#REF!</v>
      </c>
      <c r="X4147" t="e">
        <f>IF(#REF! &lt;= 50, "0-50", IF(#REF! &lt;=100, "51-100", IF(#REF! &lt;= 150, "101-150", "151+")))</f>
        <v>#REF!</v>
      </c>
      <c r="Y4147" t="e">
        <f>IF(#REF! &lt;= 3, "Low Charges", "High Charges")</f>
        <v>#REF!</v>
      </c>
      <c r="Z4147" t="e">
        <f>IF(#REF!&lt;=80,"Low Calls",
IF(#REF!&lt;=120,"Medium Calls","High Calls"))</f>
        <v>#REF!</v>
      </c>
      <c r="AA4147" t="e">
        <f>IF(#REF!&lt;=15,"Low Charges",
IF(#REF!&lt;=20,"Medium Charges","High Charges"))</f>
        <v>#REF!</v>
      </c>
      <c r="AB4147" t="e">
        <f>IF(AND(#REF!&gt;180, #REF!&gt;200), "Heavy Doemstic User", IF(#REF!&gt;10, "Interntional User", IF(AND(#REF!&lt;180, #REF!&lt;200,#REF!&lt;200), "Light User", "Balanced User")))</f>
        <v>#REF!</v>
      </c>
      <c r="AC4147" t="e">
        <f>IF(#REF! = 0, "No Usage", IF(#REF! &lt;= 20, "Low Usage", IF(#REF! &lt;= 40, "Medium Usgae", "High Usage")))</f>
        <v>#REF!</v>
      </c>
      <c r="AD4147" t="e">
        <f>IF(#REF!&lt;=150,"Low Usage", IF(#REF!&lt;=200,"Medium Usage", IF(#REF!&lt;=250,"High Usage","Very High Usage")))</f>
        <v>#REF!</v>
      </c>
      <c r="AE4147" t="e">
        <f>IF(#REF!&lt;=5,"Low Calls", IF(#REF!&lt;=10, "Medium Calls", "High Calls"))</f>
        <v>#REF!</v>
      </c>
      <c r="AF4147" t="e">
        <f xml:space="preserve">
IF(#REF!&gt;=4,4,0)+
IF(#REF!="yes",3,0)+
IF(#REF!="High Charges",3,0)+
IF(#REF!&gt;250,4,0)+
IF(#REF!="no",1,0)+
IF(#REF!="Heavy Domestic User",2,0)</f>
        <v>#REF!</v>
      </c>
      <c r="AG4147" t="e">
        <f>IF(#REF!&gt;=10,"High Risk", IF(#REF!&gt;=5,"Medium Risk","Low Risk"))</f>
        <v>#REF!</v>
      </c>
      <c r="AH4147" t="e">
        <f>#REF! + #REF! + #REF! + #REF!</f>
        <v>#REF!</v>
      </c>
    </row>
    <row r="4148" spans="1:34" x14ac:dyDescent="0.35">
      <c r="A4148">
        <v>4147</v>
      </c>
      <c r="B4148" t="s">
        <v>53</v>
      </c>
      <c r="C4148">
        <v>133</v>
      </c>
      <c r="D4148" t="s">
        <v>21</v>
      </c>
      <c r="E4148" t="s">
        <v>22</v>
      </c>
      <c r="F4148" t="s">
        <v>22</v>
      </c>
      <c r="G4148">
        <v>0</v>
      </c>
      <c r="H4148">
        <v>165.9</v>
      </c>
      <c r="I4148">
        <v>98</v>
      </c>
      <c r="J4148">
        <v>28.2</v>
      </c>
      <c r="K4148">
        <v>161.9</v>
      </c>
      <c r="L4148">
        <v>110</v>
      </c>
      <c r="M4148">
        <v>13.76</v>
      </c>
      <c r="N4148">
        <v>208.9</v>
      </c>
      <c r="O4148">
        <v>120</v>
      </c>
      <c r="P4148">
        <v>9.4</v>
      </c>
      <c r="Q4148">
        <v>11.2</v>
      </c>
      <c r="R4148">
        <v>11</v>
      </c>
      <c r="S4148">
        <v>3.02</v>
      </c>
      <c r="T4148">
        <v>2</v>
      </c>
      <c r="U4148" t="s">
        <v>22</v>
      </c>
      <c r="V4148" t="e">
        <f>IF(#REF! = "yes", 1, 0)</f>
        <v>#REF!</v>
      </c>
      <c r="W4148" t="e">
        <f>IF(#REF! &lt;= 1, "0-1 Calls", IF(#REF! &lt;= 3, "2-3 Calls", IF(#REF! &lt;=5, "4-5 Calls", "6+ Calls")))</f>
        <v>#REF!</v>
      </c>
      <c r="X4148" t="e">
        <f>IF(#REF! &lt;= 50, "0-50", IF(#REF! &lt;=100, "51-100", IF(#REF! &lt;= 150, "101-150", "151+")))</f>
        <v>#REF!</v>
      </c>
      <c r="Y4148" t="e">
        <f>IF(#REF! &lt;= 3, "Low Charges", "High Charges")</f>
        <v>#REF!</v>
      </c>
      <c r="Z4148" t="e">
        <f>IF(#REF!&lt;=80,"Low Calls",
IF(#REF!&lt;=120,"Medium Calls","High Calls"))</f>
        <v>#REF!</v>
      </c>
      <c r="AA4148" t="e">
        <f>IF(#REF!&lt;=15,"Low Charges",
IF(#REF!&lt;=20,"Medium Charges","High Charges"))</f>
        <v>#REF!</v>
      </c>
      <c r="AB4148" t="e">
        <f>IF(AND(#REF!&gt;180, #REF!&gt;200), "Heavy Doemstic User", IF(#REF!&gt;10, "Interntional User", IF(AND(#REF!&lt;180, #REF!&lt;200,#REF!&lt;200), "Light User", "Balanced User")))</f>
        <v>#REF!</v>
      </c>
      <c r="AC4148" t="e">
        <f>IF(#REF! = 0, "No Usage", IF(#REF! &lt;= 20, "Low Usage", IF(#REF! &lt;= 40, "Medium Usgae", "High Usage")))</f>
        <v>#REF!</v>
      </c>
      <c r="AD4148" t="e">
        <f>IF(#REF!&lt;=150,"Low Usage", IF(#REF!&lt;=200,"Medium Usage", IF(#REF!&lt;=250,"High Usage","Very High Usage")))</f>
        <v>#REF!</v>
      </c>
      <c r="AE4148" t="e">
        <f>IF(#REF!&lt;=5,"Low Calls", IF(#REF!&lt;=10, "Medium Calls", "High Calls"))</f>
        <v>#REF!</v>
      </c>
      <c r="AF4148" t="e">
        <f xml:space="preserve">
IF(#REF!&gt;=4,4,0)+
IF(#REF!="yes",3,0)+
IF(#REF!="High Charges",3,0)+
IF(#REF!&gt;250,4,0)+
IF(#REF!="no",1,0)+
IF(#REF!="Heavy Domestic User",2,0)</f>
        <v>#REF!</v>
      </c>
      <c r="AG4148" t="e">
        <f>IF(#REF!&gt;=10,"High Risk", IF(#REF!&gt;=5,"Medium Risk","Low Risk"))</f>
        <v>#REF!</v>
      </c>
      <c r="AH4148" t="e">
        <f>#REF! + #REF! + #REF! + #REF!</f>
        <v>#REF!</v>
      </c>
    </row>
    <row r="4149" spans="1:34" x14ac:dyDescent="0.35">
      <c r="A4149">
        <v>4148</v>
      </c>
      <c r="B4149" t="s">
        <v>52</v>
      </c>
      <c r="C4149">
        <v>122</v>
      </c>
      <c r="D4149" t="s">
        <v>25</v>
      </c>
      <c r="E4149" t="s">
        <v>22</v>
      </c>
      <c r="F4149" t="s">
        <v>22</v>
      </c>
      <c r="G4149">
        <v>0</v>
      </c>
      <c r="H4149">
        <v>152</v>
      </c>
      <c r="I4149">
        <v>86</v>
      </c>
      <c r="J4149">
        <v>25.84</v>
      </c>
      <c r="K4149">
        <v>162.80000000000001</v>
      </c>
      <c r="L4149">
        <v>61</v>
      </c>
      <c r="M4149">
        <v>13.84</v>
      </c>
      <c r="N4149">
        <v>161.9</v>
      </c>
      <c r="O4149">
        <v>98</v>
      </c>
      <c r="P4149">
        <v>7.29</v>
      </c>
      <c r="Q4149">
        <v>9.3000000000000007</v>
      </c>
      <c r="R4149">
        <v>3</v>
      </c>
      <c r="S4149">
        <v>2.5099999999999998</v>
      </c>
      <c r="T4149">
        <v>1</v>
      </c>
      <c r="U4149" t="s">
        <v>22</v>
      </c>
      <c r="V4149" t="e">
        <f>IF(#REF! = "yes", 1, 0)</f>
        <v>#REF!</v>
      </c>
      <c r="W4149" t="e">
        <f>IF(#REF! &lt;= 1, "0-1 Calls", IF(#REF! &lt;= 3, "2-3 Calls", IF(#REF! &lt;=5, "4-5 Calls", "6+ Calls")))</f>
        <v>#REF!</v>
      </c>
      <c r="X4149" t="e">
        <f>IF(#REF! &lt;= 50, "0-50", IF(#REF! &lt;=100, "51-100", IF(#REF! &lt;= 150, "101-150", "151+")))</f>
        <v>#REF!</v>
      </c>
      <c r="Y4149" t="e">
        <f>IF(#REF! &lt;= 3, "Low Charges", "High Charges")</f>
        <v>#REF!</v>
      </c>
      <c r="Z4149" t="e">
        <f>IF(#REF!&lt;=80,"Low Calls",
IF(#REF!&lt;=120,"Medium Calls","High Calls"))</f>
        <v>#REF!</v>
      </c>
      <c r="AA4149" t="e">
        <f>IF(#REF!&lt;=15,"Low Charges",
IF(#REF!&lt;=20,"Medium Charges","High Charges"))</f>
        <v>#REF!</v>
      </c>
      <c r="AB4149" t="e">
        <f>IF(AND(#REF!&gt;180, #REF!&gt;200), "Heavy Doemstic User", IF(#REF!&gt;10, "Interntional User", IF(AND(#REF!&lt;180, #REF!&lt;200,#REF!&lt;200), "Light User", "Balanced User")))</f>
        <v>#REF!</v>
      </c>
      <c r="AC4149" t="e">
        <f>IF(#REF! = 0, "No Usage", IF(#REF! &lt;= 20, "Low Usage", IF(#REF! &lt;= 40, "Medium Usgae", "High Usage")))</f>
        <v>#REF!</v>
      </c>
      <c r="AD4149" t="e">
        <f>IF(#REF!&lt;=150,"Low Usage", IF(#REF!&lt;=200,"Medium Usage", IF(#REF!&lt;=250,"High Usage","Very High Usage")))</f>
        <v>#REF!</v>
      </c>
      <c r="AE4149" t="e">
        <f>IF(#REF!&lt;=5,"Low Calls", IF(#REF!&lt;=10, "Medium Calls", "High Calls"))</f>
        <v>#REF!</v>
      </c>
      <c r="AF4149" t="e">
        <f xml:space="preserve">
IF(#REF!&gt;=4,4,0)+
IF(#REF!="yes",3,0)+
IF(#REF!="High Charges",3,0)+
IF(#REF!&gt;250,4,0)+
IF(#REF!="no",1,0)+
IF(#REF!="Heavy Domestic User",2,0)</f>
        <v>#REF!</v>
      </c>
      <c r="AG4149" t="e">
        <f>IF(#REF!&gt;=10,"High Risk", IF(#REF!&gt;=5,"Medium Risk","Low Risk"))</f>
        <v>#REF!</v>
      </c>
      <c r="AH4149" t="e">
        <f>#REF! + #REF! + #REF! + #REF!</f>
        <v>#REF!</v>
      </c>
    </row>
    <row r="4150" spans="1:34" x14ac:dyDescent="0.35">
      <c r="A4150">
        <v>4149</v>
      </c>
      <c r="B4150" t="s">
        <v>56</v>
      </c>
      <c r="C4150">
        <v>19</v>
      </c>
      <c r="D4150" t="s">
        <v>25</v>
      </c>
      <c r="E4150" t="s">
        <v>22</v>
      </c>
      <c r="F4150" t="s">
        <v>22</v>
      </c>
      <c r="G4150">
        <v>0</v>
      </c>
      <c r="H4150">
        <v>146.80000000000001</v>
      </c>
      <c r="I4150">
        <v>99</v>
      </c>
      <c r="J4150">
        <v>24.96</v>
      </c>
      <c r="K4150">
        <v>190.5</v>
      </c>
      <c r="L4150">
        <v>101</v>
      </c>
      <c r="M4150">
        <v>16.190000000000001</v>
      </c>
      <c r="N4150">
        <v>146.1</v>
      </c>
      <c r="O4150">
        <v>68</v>
      </c>
      <c r="P4150">
        <v>6.57</v>
      </c>
      <c r="Q4150">
        <v>9.3000000000000007</v>
      </c>
      <c r="R4150">
        <v>2</v>
      </c>
      <c r="S4150">
        <v>2.5099999999999998</v>
      </c>
      <c r="T4150">
        <v>0</v>
      </c>
      <c r="U4150" t="s">
        <v>22</v>
      </c>
      <c r="V4150" t="e">
        <f>IF(#REF! = "yes", 1, 0)</f>
        <v>#REF!</v>
      </c>
      <c r="W4150" t="e">
        <f>IF(#REF! &lt;= 1, "0-1 Calls", IF(#REF! &lt;= 3, "2-3 Calls", IF(#REF! &lt;=5, "4-5 Calls", "6+ Calls")))</f>
        <v>#REF!</v>
      </c>
      <c r="X4150" t="e">
        <f>IF(#REF! &lt;= 50, "0-50", IF(#REF! &lt;=100, "51-100", IF(#REF! &lt;= 150, "101-150", "151+")))</f>
        <v>#REF!</v>
      </c>
      <c r="Y4150" t="e">
        <f>IF(#REF! &lt;= 3, "Low Charges", "High Charges")</f>
        <v>#REF!</v>
      </c>
      <c r="Z4150" t="e">
        <f>IF(#REF!&lt;=80,"Low Calls",
IF(#REF!&lt;=120,"Medium Calls","High Calls"))</f>
        <v>#REF!</v>
      </c>
      <c r="AA4150" t="e">
        <f>IF(#REF!&lt;=15,"Low Charges",
IF(#REF!&lt;=20,"Medium Charges","High Charges"))</f>
        <v>#REF!</v>
      </c>
      <c r="AB4150" t="e">
        <f>IF(AND(#REF!&gt;180, #REF!&gt;200), "Heavy Doemstic User", IF(#REF!&gt;10, "Interntional User", IF(AND(#REF!&lt;180, #REF!&lt;200,#REF!&lt;200), "Light User", "Balanced User")))</f>
        <v>#REF!</v>
      </c>
      <c r="AC4150" t="e">
        <f>IF(#REF! = 0, "No Usage", IF(#REF! &lt;= 20, "Low Usage", IF(#REF! &lt;= 40, "Medium Usgae", "High Usage")))</f>
        <v>#REF!</v>
      </c>
      <c r="AD4150" t="e">
        <f>IF(#REF!&lt;=150,"Low Usage", IF(#REF!&lt;=200,"Medium Usage", IF(#REF!&lt;=250,"High Usage","Very High Usage")))</f>
        <v>#REF!</v>
      </c>
      <c r="AE4150" t="e">
        <f>IF(#REF!&lt;=5,"Low Calls", IF(#REF!&lt;=10, "Medium Calls", "High Calls"))</f>
        <v>#REF!</v>
      </c>
      <c r="AF4150" t="e">
        <f xml:space="preserve">
IF(#REF!&gt;=4,4,0)+
IF(#REF!="yes",3,0)+
IF(#REF!="High Charges",3,0)+
IF(#REF!&gt;250,4,0)+
IF(#REF!="no",1,0)+
IF(#REF!="Heavy Domestic User",2,0)</f>
        <v>#REF!</v>
      </c>
      <c r="AG4150" t="e">
        <f>IF(#REF!&gt;=10,"High Risk", IF(#REF!&gt;=5,"Medium Risk","Low Risk"))</f>
        <v>#REF!</v>
      </c>
      <c r="AH4150" t="e">
        <f>#REF! + #REF! + #REF! + #REF!</f>
        <v>#REF!</v>
      </c>
    </row>
    <row r="4151" spans="1:34" x14ac:dyDescent="0.35">
      <c r="A4151">
        <v>4150</v>
      </c>
      <c r="B4151" t="s">
        <v>29</v>
      </c>
      <c r="C4151">
        <v>140</v>
      </c>
      <c r="D4151" t="s">
        <v>28</v>
      </c>
      <c r="E4151" t="s">
        <v>22</v>
      </c>
      <c r="F4151" t="s">
        <v>22</v>
      </c>
      <c r="G4151">
        <v>0</v>
      </c>
      <c r="H4151">
        <v>201.9</v>
      </c>
      <c r="I4151">
        <v>114</v>
      </c>
      <c r="J4151">
        <v>34.32</v>
      </c>
      <c r="K4151">
        <v>181.7</v>
      </c>
      <c r="L4151">
        <v>97</v>
      </c>
      <c r="M4151">
        <v>15.44</v>
      </c>
      <c r="N4151">
        <v>184.5</v>
      </c>
      <c r="O4151">
        <v>122</v>
      </c>
      <c r="P4151">
        <v>8.3000000000000007</v>
      </c>
      <c r="Q4151">
        <v>12.1</v>
      </c>
      <c r="R4151">
        <v>10</v>
      </c>
      <c r="S4151">
        <v>3.27</v>
      </c>
      <c r="T4151">
        <v>0</v>
      </c>
      <c r="U4151" t="s">
        <v>22</v>
      </c>
      <c r="V4151" t="e">
        <f>IF(#REF! = "yes", 1, 0)</f>
        <v>#REF!</v>
      </c>
      <c r="W4151" t="e">
        <f>IF(#REF! &lt;= 1, "0-1 Calls", IF(#REF! &lt;= 3, "2-3 Calls", IF(#REF! &lt;=5, "4-5 Calls", "6+ Calls")))</f>
        <v>#REF!</v>
      </c>
      <c r="X4151" t="e">
        <f>IF(#REF! &lt;= 50, "0-50", IF(#REF! &lt;=100, "51-100", IF(#REF! &lt;= 150, "101-150", "151+")))</f>
        <v>#REF!</v>
      </c>
      <c r="Y4151" t="e">
        <f>IF(#REF! &lt;= 3, "Low Charges", "High Charges")</f>
        <v>#REF!</v>
      </c>
      <c r="Z4151" t="e">
        <f>IF(#REF!&lt;=80,"Low Calls",
IF(#REF!&lt;=120,"Medium Calls","High Calls"))</f>
        <v>#REF!</v>
      </c>
      <c r="AA4151" t="e">
        <f>IF(#REF!&lt;=15,"Low Charges",
IF(#REF!&lt;=20,"Medium Charges","High Charges"))</f>
        <v>#REF!</v>
      </c>
      <c r="AB4151" t="e">
        <f>IF(AND(#REF!&gt;180, #REF!&gt;200), "Heavy Doemstic User", IF(#REF!&gt;10, "Interntional User", IF(AND(#REF!&lt;180, #REF!&lt;200,#REF!&lt;200), "Light User", "Balanced User")))</f>
        <v>#REF!</v>
      </c>
      <c r="AC4151" t="e">
        <f>IF(#REF! = 0, "No Usage", IF(#REF! &lt;= 20, "Low Usage", IF(#REF! &lt;= 40, "Medium Usgae", "High Usage")))</f>
        <v>#REF!</v>
      </c>
      <c r="AD4151" t="e">
        <f>IF(#REF!&lt;=150,"Low Usage", IF(#REF!&lt;=200,"Medium Usage", IF(#REF!&lt;=250,"High Usage","Very High Usage")))</f>
        <v>#REF!</v>
      </c>
      <c r="AE4151" t="e">
        <f>IF(#REF!&lt;=5,"Low Calls", IF(#REF!&lt;=10, "Medium Calls", "High Calls"))</f>
        <v>#REF!</v>
      </c>
      <c r="AF4151" t="e">
        <f xml:space="preserve">
IF(#REF!&gt;=4,4,0)+
IF(#REF!="yes",3,0)+
IF(#REF!="High Charges",3,0)+
IF(#REF!&gt;250,4,0)+
IF(#REF!="no",1,0)+
IF(#REF!="Heavy Domestic User",2,0)</f>
        <v>#REF!</v>
      </c>
      <c r="AG4151" t="e">
        <f>IF(#REF!&gt;=10,"High Risk", IF(#REF!&gt;=5,"Medium Risk","Low Risk"))</f>
        <v>#REF!</v>
      </c>
      <c r="AH4151" t="e">
        <f>#REF! + #REF! + #REF! + #REF!</f>
        <v>#REF!</v>
      </c>
    </row>
    <row r="4152" spans="1:34" x14ac:dyDescent="0.35">
      <c r="A4152">
        <v>4151</v>
      </c>
      <c r="B4152" t="s">
        <v>44</v>
      </c>
      <c r="C4152">
        <v>119</v>
      </c>
      <c r="D4152" t="s">
        <v>25</v>
      </c>
      <c r="E4152" t="s">
        <v>22</v>
      </c>
      <c r="F4152" t="s">
        <v>22</v>
      </c>
      <c r="G4152">
        <v>0</v>
      </c>
      <c r="H4152">
        <v>121.4</v>
      </c>
      <c r="I4152">
        <v>95</v>
      </c>
      <c r="J4152">
        <v>20.64</v>
      </c>
      <c r="K4152">
        <v>230.9</v>
      </c>
      <c r="L4152">
        <v>81</v>
      </c>
      <c r="M4152">
        <v>19.63</v>
      </c>
      <c r="N4152">
        <v>163.6</v>
      </c>
      <c r="O4152">
        <v>103</v>
      </c>
      <c r="P4152">
        <v>7.36</v>
      </c>
      <c r="Q4152">
        <v>13.8</v>
      </c>
      <c r="R4152">
        <v>4</v>
      </c>
      <c r="S4152">
        <v>3.73</v>
      </c>
      <c r="T4152">
        <v>2</v>
      </c>
      <c r="U4152" t="s">
        <v>22</v>
      </c>
      <c r="V4152" t="e">
        <f>IF(#REF! = "yes", 1, 0)</f>
        <v>#REF!</v>
      </c>
      <c r="W4152" t="e">
        <f>IF(#REF! &lt;= 1, "0-1 Calls", IF(#REF! &lt;= 3, "2-3 Calls", IF(#REF! &lt;=5, "4-5 Calls", "6+ Calls")))</f>
        <v>#REF!</v>
      </c>
      <c r="X4152" t="e">
        <f>IF(#REF! &lt;= 50, "0-50", IF(#REF! &lt;=100, "51-100", IF(#REF! &lt;= 150, "101-150", "151+")))</f>
        <v>#REF!</v>
      </c>
      <c r="Y4152" t="e">
        <f>IF(#REF! &lt;= 3, "Low Charges", "High Charges")</f>
        <v>#REF!</v>
      </c>
      <c r="Z4152" t="e">
        <f>IF(#REF!&lt;=80,"Low Calls",
IF(#REF!&lt;=120,"Medium Calls","High Calls"))</f>
        <v>#REF!</v>
      </c>
      <c r="AA4152" t="e">
        <f>IF(#REF!&lt;=15,"Low Charges",
IF(#REF!&lt;=20,"Medium Charges","High Charges"))</f>
        <v>#REF!</v>
      </c>
      <c r="AB4152" t="e">
        <f>IF(AND(#REF!&gt;180, #REF!&gt;200), "Heavy Doemstic User", IF(#REF!&gt;10, "Interntional User", IF(AND(#REF!&lt;180, #REF!&lt;200,#REF!&lt;200), "Light User", "Balanced User")))</f>
        <v>#REF!</v>
      </c>
      <c r="AC4152" t="e">
        <f>IF(#REF! = 0, "No Usage", IF(#REF! &lt;= 20, "Low Usage", IF(#REF! &lt;= 40, "Medium Usgae", "High Usage")))</f>
        <v>#REF!</v>
      </c>
      <c r="AD4152" t="e">
        <f>IF(#REF!&lt;=150,"Low Usage", IF(#REF!&lt;=200,"Medium Usage", IF(#REF!&lt;=250,"High Usage","Very High Usage")))</f>
        <v>#REF!</v>
      </c>
      <c r="AE4152" t="e">
        <f>IF(#REF!&lt;=5,"Low Calls", IF(#REF!&lt;=10, "Medium Calls", "High Calls"))</f>
        <v>#REF!</v>
      </c>
      <c r="AF4152" t="e">
        <f xml:space="preserve">
IF(#REF!&gt;=4,4,0)+
IF(#REF!="yes",3,0)+
IF(#REF!="High Charges",3,0)+
IF(#REF!&gt;250,4,0)+
IF(#REF!="no",1,0)+
IF(#REF!="Heavy Domestic User",2,0)</f>
        <v>#REF!</v>
      </c>
      <c r="AG4152" t="e">
        <f>IF(#REF!&gt;=10,"High Risk", IF(#REF!&gt;=5,"Medium Risk","Low Risk"))</f>
        <v>#REF!</v>
      </c>
      <c r="AH4152" t="e">
        <f>#REF! + #REF! + #REF! + #REF!</f>
        <v>#REF!</v>
      </c>
    </row>
    <row r="4153" spans="1:34" x14ac:dyDescent="0.35">
      <c r="A4153">
        <v>4152</v>
      </c>
      <c r="B4153" t="s">
        <v>50</v>
      </c>
      <c r="C4153">
        <v>80</v>
      </c>
      <c r="D4153" t="s">
        <v>21</v>
      </c>
      <c r="E4153" t="s">
        <v>22</v>
      </c>
      <c r="F4153" t="s">
        <v>23</v>
      </c>
      <c r="G4153">
        <v>34</v>
      </c>
      <c r="H4153">
        <v>243.4</v>
      </c>
      <c r="I4153">
        <v>96</v>
      </c>
      <c r="J4153">
        <v>41.38</v>
      </c>
      <c r="K4153">
        <v>102.3</v>
      </c>
      <c r="L4153">
        <v>115</v>
      </c>
      <c r="M4153">
        <v>8.6999999999999993</v>
      </c>
      <c r="N4153">
        <v>217.8</v>
      </c>
      <c r="O4153">
        <v>95</v>
      </c>
      <c r="P4153">
        <v>9.8000000000000007</v>
      </c>
      <c r="Q4153">
        <v>12.2</v>
      </c>
      <c r="R4153">
        <v>3</v>
      </c>
      <c r="S4153">
        <v>3.29</v>
      </c>
      <c r="T4153">
        <v>1</v>
      </c>
      <c r="U4153" t="s">
        <v>22</v>
      </c>
      <c r="V4153" t="e">
        <f>IF(#REF! = "yes", 1, 0)</f>
        <v>#REF!</v>
      </c>
      <c r="W4153" t="e">
        <f>IF(#REF! &lt;= 1, "0-1 Calls", IF(#REF! &lt;= 3, "2-3 Calls", IF(#REF! &lt;=5, "4-5 Calls", "6+ Calls")))</f>
        <v>#REF!</v>
      </c>
      <c r="X4153" t="e">
        <f>IF(#REF! &lt;= 50, "0-50", IF(#REF! &lt;=100, "51-100", IF(#REF! &lt;= 150, "101-150", "151+")))</f>
        <v>#REF!</v>
      </c>
      <c r="Y4153" t="e">
        <f>IF(#REF! &lt;= 3, "Low Charges", "High Charges")</f>
        <v>#REF!</v>
      </c>
      <c r="Z4153" t="e">
        <f>IF(#REF!&lt;=80,"Low Calls",
IF(#REF!&lt;=120,"Medium Calls","High Calls"))</f>
        <v>#REF!</v>
      </c>
      <c r="AA4153" t="e">
        <f>IF(#REF!&lt;=15,"Low Charges",
IF(#REF!&lt;=20,"Medium Charges","High Charges"))</f>
        <v>#REF!</v>
      </c>
      <c r="AB4153" t="e">
        <f>IF(AND(#REF!&gt;180, #REF!&gt;200), "Heavy Doemstic User", IF(#REF!&gt;10, "Interntional User", IF(AND(#REF!&lt;180, #REF!&lt;200,#REF!&lt;200), "Light User", "Balanced User")))</f>
        <v>#REF!</v>
      </c>
      <c r="AC4153" t="e">
        <f>IF(#REF! = 0, "No Usage", IF(#REF! &lt;= 20, "Low Usage", IF(#REF! &lt;= 40, "Medium Usgae", "High Usage")))</f>
        <v>#REF!</v>
      </c>
      <c r="AD4153" t="e">
        <f>IF(#REF!&lt;=150,"Low Usage", IF(#REF!&lt;=200,"Medium Usage", IF(#REF!&lt;=250,"High Usage","Very High Usage")))</f>
        <v>#REF!</v>
      </c>
      <c r="AE4153" t="e">
        <f>IF(#REF!&lt;=5,"Low Calls", IF(#REF!&lt;=10, "Medium Calls", "High Calls"))</f>
        <v>#REF!</v>
      </c>
      <c r="AF4153" t="e">
        <f xml:space="preserve">
IF(#REF!&gt;=4,4,0)+
IF(#REF!="yes",3,0)+
IF(#REF!="High Charges",3,0)+
IF(#REF!&gt;250,4,0)+
IF(#REF!="no",1,0)+
IF(#REF!="Heavy Domestic User",2,0)</f>
        <v>#REF!</v>
      </c>
      <c r="AG4153" t="e">
        <f>IF(#REF!&gt;=10,"High Risk", IF(#REF!&gt;=5,"Medium Risk","Low Risk"))</f>
        <v>#REF!</v>
      </c>
      <c r="AH4153" t="e">
        <f>#REF! + #REF! + #REF! + #REF!</f>
        <v>#REF!</v>
      </c>
    </row>
    <row r="4154" spans="1:34" x14ac:dyDescent="0.35">
      <c r="A4154">
        <v>4153</v>
      </c>
      <c r="B4154" t="s">
        <v>51</v>
      </c>
      <c r="C4154">
        <v>116</v>
      </c>
      <c r="D4154" t="s">
        <v>25</v>
      </c>
      <c r="E4154" t="s">
        <v>22</v>
      </c>
      <c r="F4154" t="s">
        <v>22</v>
      </c>
      <c r="G4154">
        <v>0</v>
      </c>
      <c r="H4154">
        <v>152.4</v>
      </c>
      <c r="I4154">
        <v>101</v>
      </c>
      <c r="J4154">
        <v>25.91</v>
      </c>
      <c r="K4154">
        <v>191</v>
      </c>
      <c r="L4154">
        <v>90</v>
      </c>
      <c r="M4154">
        <v>16.239999999999998</v>
      </c>
      <c r="N4154">
        <v>143</v>
      </c>
      <c r="O4154">
        <v>96</v>
      </c>
      <c r="P4154">
        <v>6.44</v>
      </c>
      <c r="Q4154">
        <v>11.1</v>
      </c>
      <c r="R4154">
        <v>9</v>
      </c>
      <c r="S4154">
        <v>3</v>
      </c>
      <c r="T4154">
        <v>0</v>
      </c>
      <c r="U4154" t="s">
        <v>22</v>
      </c>
      <c r="V4154" t="e">
        <f>IF(#REF! = "yes", 1, 0)</f>
        <v>#REF!</v>
      </c>
      <c r="W4154" t="e">
        <f>IF(#REF! &lt;= 1, "0-1 Calls", IF(#REF! &lt;= 3, "2-3 Calls", IF(#REF! &lt;=5, "4-5 Calls", "6+ Calls")))</f>
        <v>#REF!</v>
      </c>
      <c r="X4154" t="e">
        <f>IF(#REF! &lt;= 50, "0-50", IF(#REF! &lt;=100, "51-100", IF(#REF! &lt;= 150, "101-150", "151+")))</f>
        <v>#REF!</v>
      </c>
      <c r="Y4154" t="e">
        <f>IF(#REF! &lt;= 3, "Low Charges", "High Charges")</f>
        <v>#REF!</v>
      </c>
      <c r="Z4154" t="e">
        <f>IF(#REF!&lt;=80,"Low Calls",
IF(#REF!&lt;=120,"Medium Calls","High Calls"))</f>
        <v>#REF!</v>
      </c>
      <c r="AA4154" t="e">
        <f>IF(#REF!&lt;=15,"Low Charges",
IF(#REF!&lt;=20,"Medium Charges","High Charges"))</f>
        <v>#REF!</v>
      </c>
      <c r="AB4154" t="e">
        <f>IF(AND(#REF!&gt;180, #REF!&gt;200), "Heavy Doemstic User", IF(#REF!&gt;10, "Interntional User", IF(AND(#REF!&lt;180, #REF!&lt;200,#REF!&lt;200), "Light User", "Balanced User")))</f>
        <v>#REF!</v>
      </c>
      <c r="AC4154" t="e">
        <f>IF(#REF! = 0, "No Usage", IF(#REF! &lt;= 20, "Low Usage", IF(#REF! &lt;= 40, "Medium Usgae", "High Usage")))</f>
        <v>#REF!</v>
      </c>
      <c r="AD4154" t="e">
        <f>IF(#REF!&lt;=150,"Low Usage", IF(#REF!&lt;=200,"Medium Usage", IF(#REF!&lt;=250,"High Usage","Very High Usage")))</f>
        <v>#REF!</v>
      </c>
      <c r="AE4154" t="e">
        <f>IF(#REF!&lt;=5,"Low Calls", IF(#REF!&lt;=10, "Medium Calls", "High Calls"))</f>
        <v>#REF!</v>
      </c>
      <c r="AF4154" t="e">
        <f xml:space="preserve">
IF(#REF!&gt;=4,4,0)+
IF(#REF!="yes",3,0)+
IF(#REF!="High Charges",3,0)+
IF(#REF!&gt;250,4,0)+
IF(#REF!="no",1,0)+
IF(#REF!="Heavy Domestic User",2,0)</f>
        <v>#REF!</v>
      </c>
      <c r="AG4154" t="e">
        <f>IF(#REF!&gt;=10,"High Risk", IF(#REF!&gt;=5,"Medium Risk","Low Risk"))</f>
        <v>#REF!</v>
      </c>
      <c r="AH4154" t="e">
        <f>#REF! + #REF! + #REF! + #REF!</f>
        <v>#REF!</v>
      </c>
    </row>
    <row r="4155" spans="1:34" x14ac:dyDescent="0.35">
      <c r="A4155">
        <v>4154</v>
      </c>
      <c r="B4155" t="s">
        <v>33</v>
      </c>
      <c r="C4155">
        <v>87</v>
      </c>
      <c r="D4155" t="s">
        <v>21</v>
      </c>
      <c r="E4155" t="s">
        <v>22</v>
      </c>
      <c r="F4155" t="s">
        <v>22</v>
      </c>
      <c r="G4155">
        <v>0</v>
      </c>
      <c r="H4155">
        <v>139.69999999999999</v>
      </c>
      <c r="I4155">
        <v>112</v>
      </c>
      <c r="J4155">
        <v>23.75</v>
      </c>
      <c r="K4155">
        <v>226.8</v>
      </c>
      <c r="L4155">
        <v>62</v>
      </c>
      <c r="M4155">
        <v>19.28</v>
      </c>
      <c r="N4155">
        <v>168.5</v>
      </c>
      <c r="O4155">
        <v>65</v>
      </c>
      <c r="P4155">
        <v>7.58</v>
      </c>
      <c r="Q4155">
        <v>15.1</v>
      </c>
      <c r="R4155">
        <v>7</v>
      </c>
      <c r="S4155">
        <v>4.08</v>
      </c>
      <c r="T4155">
        <v>1</v>
      </c>
      <c r="U4155" t="s">
        <v>22</v>
      </c>
      <c r="V4155" t="e">
        <f>IF(#REF! = "yes", 1, 0)</f>
        <v>#REF!</v>
      </c>
      <c r="W4155" t="e">
        <f>IF(#REF! &lt;= 1, "0-1 Calls", IF(#REF! &lt;= 3, "2-3 Calls", IF(#REF! &lt;=5, "4-5 Calls", "6+ Calls")))</f>
        <v>#REF!</v>
      </c>
      <c r="X4155" t="e">
        <f>IF(#REF! &lt;= 50, "0-50", IF(#REF! &lt;=100, "51-100", IF(#REF! &lt;= 150, "101-150", "151+")))</f>
        <v>#REF!</v>
      </c>
      <c r="Y4155" t="e">
        <f>IF(#REF! &lt;= 3, "Low Charges", "High Charges")</f>
        <v>#REF!</v>
      </c>
      <c r="Z4155" t="e">
        <f>IF(#REF!&lt;=80,"Low Calls",
IF(#REF!&lt;=120,"Medium Calls","High Calls"))</f>
        <v>#REF!</v>
      </c>
      <c r="AA4155" t="e">
        <f>IF(#REF!&lt;=15,"Low Charges",
IF(#REF!&lt;=20,"Medium Charges","High Charges"))</f>
        <v>#REF!</v>
      </c>
      <c r="AB4155" t="e">
        <f>IF(AND(#REF!&gt;180, #REF!&gt;200), "Heavy Doemstic User", IF(#REF!&gt;10, "Interntional User", IF(AND(#REF!&lt;180, #REF!&lt;200,#REF!&lt;200), "Light User", "Balanced User")))</f>
        <v>#REF!</v>
      </c>
      <c r="AC4155" t="e">
        <f>IF(#REF! = 0, "No Usage", IF(#REF! &lt;= 20, "Low Usage", IF(#REF! &lt;= 40, "Medium Usgae", "High Usage")))</f>
        <v>#REF!</v>
      </c>
      <c r="AD4155" t="e">
        <f>IF(#REF!&lt;=150,"Low Usage", IF(#REF!&lt;=200,"Medium Usage", IF(#REF!&lt;=250,"High Usage","Very High Usage")))</f>
        <v>#REF!</v>
      </c>
      <c r="AE4155" t="e">
        <f>IF(#REF!&lt;=5,"Low Calls", IF(#REF!&lt;=10, "Medium Calls", "High Calls"))</f>
        <v>#REF!</v>
      </c>
      <c r="AF4155" t="e">
        <f xml:space="preserve">
IF(#REF!&gt;=4,4,0)+
IF(#REF!="yes",3,0)+
IF(#REF!="High Charges",3,0)+
IF(#REF!&gt;250,4,0)+
IF(#REF!="no",1,0)+
IF(#REF!="Heavy Domestic User",2,0)</f>
        <v>#REF!</v>
      </c>
      <c r="AG4155" t="e">
        <f>IF(#REF!&gt;=10,"High Risk", IF(#REF!&gt;=5,"Medium Risk","Low Risk"))</f>
        <v>#REF!</v>
      </c>
      <c r="AH4155" t="e">
        <f>#REF! + #REF! + #REF! + #REF!</f>
        <v>#REF!</v>
      </c>
    </row>
    <row r="4156" spans="1:34" x14ac:dyDescent="0.35">
      <c r="A4156">
        <v>4155</v>
      </c>
      <c r="B4156" t="s">
        <v>31</v>
      </c>
      <c r="C4156">
        <v>7</v>
      </c>
      <c r="D4156" t="s">
        <v>28</v>
      </c>
      <c r="E4156" t="s">
        <v>22</v>
      </c>
      <c r="F4156" t="s">
        <v>22</v>
      </c>
      <c r="G4156">
        <v>0</v>
      </c>
      <c r="H4156">
        <v>170.2</v>
      </c>
      <c r="I4156">
        <v>83</v>
      </c>
      <c r="J4156">
        <v>28.93</v>
      </c>
      <c r="K4156">
        <v>137.19999999999999</v>
      </c>
      <c r="L4156">
        <v>123</v>
      </c>
      <c r="M4156">
        <v>11.66</v>
      </c>
      <c r="N4156">
        <v>188</v>
      </c>
      <c r="O4156">
        <v>67</v>
      </c>
      <c r="P4156">
        <v>8.4600000000000009</v>
      </c>
      <c r="Q4156">
        <v>11.1</v>
      </c>
      <c r="R4156">
        <v>7</v>
      </c>
      <c r="S4156">
        <v>3</v>
      </c>
      <c r="T4156">
        <v>2</v>
      </c>
      <c r="U4156" t="s">
        <v>22</v>
      </c>
      <c r="V4156" t="e">
        <f>IF(#REF! = "yes", 1, 0)</f>
        <v>#REF!</v>
      </c>
      <c r="W4156" t="e">
        <f>IF(#REF! &lt;= 1, "0-1 Calls", IF(#REF! &lt;= 3, "2-3 Calls", IF(#REF! &lt;=5, "4-5 Calls", "6+ Calls")))</f>
        <v>#REF!</v>
      </c>
      <c r="X4156" t="e">
        <f>IF(#REF! &lt;= 50, "0-50", IF(#REF! &lt;=100, "51-100", IF(#REF! &lt;= 150, "101-150", "151+")))</f>
        <v>#REF!</v>
      </c>
      <c r="Y4156" t="e">
        <f>IF(#REF! &lt;= 3, "Low Charges", "High Charges")</f>
        <v>#REF!</v>
      </c>
      <c r="Z4156" t="e">
        <f>IF(#REF!&lt;=80,"Low Calls",
IF(#REF!&lt;=120,"Medium Calls","High Calls"))</f>
        <v>#REF!</v>
      </c>
      <c r="AA4156" t="e">
        <f>IF(#REF!&lt;=15,"Low Charges",
IF(#REF!&lt;=20,"Medium Charges","High Charges"))</f>
        <v>#REF!</v>
      </c>
      <c r="AB4156" t="e">
        <f>IF(AND(#REF!&gt;180, #REF!&gt;200), "Heavy Doemstic User", IF(#REF!&gt;10, "Interntional User", IF(AND(#REF!&lt;180, #REF!&lt;200,#REF!&lt;200), "Light User", "Balanced User")))</f>
        <v>#REF!</v>
      </c>
      <c r="AC4156" t="e">
        <f>IF(#REF! = 0, "No Usage", IF(#REF! &lt;= 20, "Low Usage", IF(#REF! &lt;= 40, "Medium Usgae", "High Usage")))</f>
        <v>#REF!</v>
      </c>
      <c r="AD4156" t="e">
        <f>IF(#REF!&lt;=150,"Low Usage", IF(#REF!&lt;=200,"Medium Usage", IF(#REF!&lt;=250,"High Usage","Very High Usage")))</f>
        <v>#REF!</v>
      </c>
      <c r="AE4156" t="e">
        <f>IF(#REF!&lt;=5,"Low Calls", IF(#REF!&lt;=10, "Medium Calls", "High Calls"))</f>
        <v>#REF!</v>
      </c>
      <c r="AF4156" t="e">
        <f xml:space="preserve">
IF(#REF!&gt;=4,4,0)+
IF(#REF!="yes",3,0)+
IF(#REF!="High Charges",3,0)+
IF(#REF!&gt;250,4,0)+
IF(#REF!="no",1,0)+
IF(#REF!="Heavy Domestic User",2,0)</f>
        <v>#REF!</v>
      </c>
      <c r="AG4156" t="e">
        <f>IF(#REF!&gt;=10,"High Risk", IF(#REF!&gt;=5,"Medium Risk","Low Risk"))</f>
        <v>#REF!</v>
      </c>
      <c r="AH4156" t="e">
        <f>#REF! + #REF! + #REF! + #REF!</f>
        <v>#REF!</v>
      </c>
    </row>
    <row r="4157" spans="1:34" x14ac:dyDescent="0.35">
      <c r="A4157">
        <v>4156</v>
      </c>
      <c r="B4157" t="s">
        <v>74</v>
      </c>
      <c r="C4157">
        <v>25</v>
      </c>
      <c r="D4157" t="s">
        <v>28</v>
      </c>
      <c r="E4157" t="s">
        <v>22</v>
      </c>
      <c r="F4157" t="s">
        <v>22</v>
      </c>
      <c r="G4157">
        <v>0</v>
      </c>
      <c r="H4157">
        <v>144.1</v>
      </c>
      <c r="I4157">
        <v>111</v>
      </c>
      <c r="J4157">
        <v>24.5</v>
      </c>
      <c r="K4157">
        <v>224.8</v>
      </c>
      <c r="L4157">
        <v>89</v>
      </c>
      <c r="M4157">
        <v>19.11</v>
      </c>
      <c r="N4157">
        <v>132.9</v>
      </c>
      <c r="O4157">
        <v>110</v>
      </c>
      <c r="P4157">
        <v>5.98</v>
      </c>
      <c r="Q4157">
        <v>13.6</v>
      </c>
      <c r="R4157">
        <v>3</v>
      </c>
      <c r="S4157">
        <v>3.67</v>
      </c>
      <c r="T4157">
        <v>4</v>
      </c>
      <c r="U4157" t="s">
        <v>23</v>
      </c>
      <c r="V4157" t="e">
        <f>IF(#REF! = "yes", 1, 0)</f>
        <v>#REF!</v>
      </c>
      <c r="W4157" t="e">
        <f>IF(#REF! &lt;= 1, "0-1 Calls", IF(#REF! &lt;= 3, "2-3 Calls", IF(#REF! &lt;=5, "4-5 Calls", "6+ Calls")))</f>
        <v>#REF!</v>
      </c>
      <c r="X4157" t="e">
        <f>IF(#REF! &lt;= 50, "0-50", IF(#REF! &lt;=100, "51-100", IF(#REF! &lt;= 150, "101-150", "151+")))</f>
        <v>#REF!</v>
      </c>
      <c r="Y4157" t="e">
        <f>IF(#REF! &lt;= 3, "Low Charges", "High Charges")</f>
        <v>#REF!</v>
      </c>
      <c r="Z4157" t="e">
        <f>IF(#REF!&lt;=80,"Low Calls",
IF(#REF!&lt;=120,"Medium Calls","High Calls"))</f>
        <v>#REF!</v>
      </c>
      <c r="AA4157" t="e">
        <f>IF(#REF!&lt;=15,"Low Charges",
IF(#REF!&lt;=20,"Medium Charges","High Charges"))</f>
        <v>#REF!</v>
      </c>
      <c r="AB4157" t="e">
        <f>IF(AND(#REF!&gt;180, #REF!&gt;200), "Heavy Doemstic User", IF(#REF!&gt;10, "Interntional User", IF(AND(#REF!&lt;180, #REF!&lt;200,#REF!&lt;200), "Light User", "Balanced User")))</f>
        <v>#REF!</v>
      </c>
      <c r="AC4157" t="e">
        <f>IF(#REF! = 0, "No Usage", IF(#REF! &lt;= 20, "Low Usage", IF(#REF! &lt;= 40, "Medium Usgae", "High Usage")))</f>
        <v>#REF!</v>
      </c>
      <c r="AD4157" t="e">
        <f>IF(#REF!&lt;=150,"Low Usage", IF(#REF!&lt;=200,"Medium Usage", IF(#REF!&lt;=250,"High Usage","Very High Usage")))</f>
        <v>#REF!</v>
      </c>
      <c r="AE4157" t="e">
        <f>IF(#REF!&lt;=5,"Low Calls", IF(#REF!&lt;=10, "Medium Calls", "High Calls"))</f>
        <v>#REF!</v>
      </c>
      <c r="AF4157" t="e">
        <f xml:space="preserve">
IF(#REF!&gt;=4,4,0)+
IF(#REF!="yes",3,0)+
IF(#REF!="High Charges",3,0)+
IF(#REF!&gt;250,4,0)+
IF(#REF!="no",1,0)+
IF(#REF!="Heavy Domestic User",2,0)</f>
        <v>#REF!</v>
      </c>
      <c r="AG4157" t="e">
        <f>IF(#REF!&gt;=10,"High Risk", IF(#REF!&gt;=5,"Medium Risk","Low Risk"))</f>
        <v>#REF!</v>
      </c>
      <c r="AH4157" t="e">
        <f>#REF! + #REF! + #REF! + #REF!</f>
        <v>#REF!</v>
      </c>
    </row>
    <row r="4158" spans="1:34" x14ac:dyDescent="0.35">
      <c r="A4158">
        <v>4157</v>
      </c>
      <c r="B4158" t="s">
        <v>60</v>
      </c>
      <c r="C4158">
        <v>133</v>
      </c>
      <c r="D4158" t="s">
        <v>21</v>
      </c>
      <c r="E4158" t="s">
        <v>22</v>
      </c>
      <c r="F4158" t="s">
        <v>22</v>
      </c>
      <c r="G4158">
        <v>0</v>
      </c>
      <c r="H4158">
        <v>128.9</v>
      </c>
      <c r="I4158">
        <v>85</v>
      </c>
      <c r="J4158">
        <v>21.91</v>
      </c>
      <c r="K4158">
        <v>201.4</v>
      </c>
      <c r="L4158">
        <v>93</v>
      </c>
      <c r="M4158">
        <v>17.12</v>
      </c>
      <c r="N4158">
        <v>275.3</v>
      </c>
      <c r="O4158">
        <v>103</v>
      </c>
      <c r="P4158">
        <v>12.39</v>
      </c>
      <c r="Q4158">
        <v>11.1</v>
      </c>
      <c r="R4158">
        <v>3</v>
      </c>
      <c r="S4158">
        <v>3</v>
      </c>
      <c r="T4158">
        <v>1</v>
      </c>
      <c r="U4158" t="s">
        <v>22</v>
      </c>
      <c r="V4158" t="e">
        <f>IF(#REF! = "yes", 1, 0)</f>
        <v>#REF!</v>
      </c>
      <c r="W4158" t="e">
        <f>IF(#REF! &lt;= 1, "0-1 Calls", IF(#REF! &lt;= 3, "2-3 Calls", IF(#REF! &lt;=5, "4-5 Calls", "6+ Calls")))</f>
        <v>#REF!</v>
      </c>
      <c r="X4158" t="e">
        <f>IF(#REF! &lt;= 50, "0-50", IF(#REF! &lt;=100, "51-100", IF(#REF! &lt;= 150, "101-150", "151+")))</f>
        <v>#REF!</v>
      </c>
      <c r="Y4158" t="e">
        <f>IF(#REF! &lt;= 3, "Low Charges", "High Charges")</f>
        <v>#REF!</v>
      </c>
      <c r="Z4158" t="e">
        <f>IF(#REF!&lt;=80,"Low Calls",
IF(#REF!&lt;=120,"Medium Calls","High Calls"))</f>
        <v>#REF!</v>
      </c>
      <c r="AA4158" t="e">
        <f>IF(#REF!&lt;=15,"Low Charges",
IF(#REF!&lt;=20,"Medium Charges","High Charges"))</f>
        <v>#REF!</v>
      </c>
      <c r="AB4158" t="e">
        <f>IF(AND(#REF!&gt;180, #REF!&gt;200), "Heavy Doemstic User", IF(#REF!&gt;10, "Interntional User", IF(AND(#REF!&lt;180, #REF!&lt;200,#REF!&lt;200), "Light User", "Balanced User")))</f>
        <v>#REF!</v>
      </c>
      <c r="AC4158" t="e">
        <f>IF(#REF! = 0, "No Usage", IF(#REF! &lt;= 20, "Low Usage", IF(#REF! &lt;= 40, "Medium Usgae", "High Usage")))</f>
        <v>#REF!</v>
      </c>
      <c r="AD4158" t="e">
        <f>IF(#REF!&lt;=150,"Low Usage", IF(#REF!&lt;=200,"Medium Usage", IF(#REF!&lt;=250,"High Usage","Very High Usage")))</f>
        <v>#REF!</v>
      </c>
      <c r="AE4158" t="e">
        <f>IF(#REF!&lt;=5,"Low Calls", IF(#REF!&lt;=10, "Medium Calls", "High Calls"))</f>
        <v>#REF!</v>
      </c>
      <c r="AF4158" t="e">
        <f xml:space="preserve">
IF(#REF!&gt;=4,4,0)+
IF(#REF!="yes",3,0)+
IF(#REF!="High Charges",3,0)+
IF(#REF!&gt;250,4,0)+
IF(#REF!="no",1,0)+
IF(#REF!="Heavy Domestic User",2,0)</f>
        <v>#REF!</v>
      </c>
      <c r="AG4158" t="e">
        <f>IF(#REF!&gt;=10,"High Risk", IF(#REF!&gt;=5,"Medium Risk","Low Risk"))</f>
        <v>#REF!</v>
      </c>
      <c r="AH4158" t="e">
        <f>#REF! + #REF! + #REF! + #REF!</f>
        <v>#REF!</v>
      </c>
    </row>
    <row r="4159" spans="1:34" x14ac:dyDescent="0.35">
      <c r="A4159">
        <v>4158</v>
      </c>
      <c r="B4159" t="s">
        <v>32</v>
      </c>
      <c r="C4159">
        <v>63</v>
      </c>
      <c r="D4159" t="s">
        <v>28</v>
      </c>
      <c r="E4159" t="s">
        <v>22</v>
      </c>
      <c r="F4159" t="s">
        <v>22</v>
      </c>
      <c r="G4159">
        <v>0</v>
      </c>
      <c r="H4159">
        <v>6.6</v>
      </c>
      <c r="I4159">
        <v>107</v>
      </c>
      <c r="J4159">
        <v>1.1200000000000001</v>
      </c>
      <c r="K4159">
        <v>359.3</v>
      </c>
      <c r="L4159">
        <v>142</v>
      </c>
      <c r="M4159">
        <v>30.54</v>
      </c>
      <c r="N4159">
        <v>252.5</v>
      </c>
      <c r="O4159">
        <v>131</v>
      </c>
      <c r="P4159">
        <v>11.36</v>
      </c>
      <c r="Q4159">
        <v>5.6</v>
      </c>
      <c r="R4159">
        <v>3</v>
      </c>
      <c r="S4159">
        <v>1.51</v>
      </c>
      <c r="T4159">
        <v>0</v>
      </c>
      <c r="U4159" t="s">
        <v>22</v>
      </c>
      <c r="V4159" t="e">
        <f>IF(#REF! = "yes", 1, 0)</f>
        <v>#REF!</v>
      </c>
      <c r="W4159" t="e">
        <f>IF(#REF! &lt;= 1, "0-1 Calls", IF(#REF! &lt;= 3, "2-3 Calls", IF(#REF! &lt;=5, "4-5 Calls", "6+ Calls")))</f>
        <v>#REF!</v>
      </c>
      <c r="X4159" t="e">
        <f>IF(#REF! &lt;= 50, "0-50", IF(#REF! &lt;=100, "51-100", IF(#REF! &lt;= 150, "101-150", "151+")))</f>
        <v>#REF!</v>
      </c>
      <c r="Y4159" t="e">
        <f>IF(#REF! &lt;= 3, "Low Charges", "High Charges")</f>
        <v>#REF!</v>
      </c>
      <c r="Z4159" t="e">
        <f>IF(#REF!&lt;=80,"Low Calls",
IF(#REF!&lt;=120,"Medium Calls","High Calls"))</f>
        <v>#REF!</v>
      </c>
      <c r="AA4159" t="e">
        <f>IF(#REF!&lt;=15,"Low Charges",
IF(#REF!&lt;=20,"Medium Charges","High Charges"))</f>
        <v>#REF!</v>
      </c>
      <c r="AB4159" t="e">
        <f>IF(AND(#REF!&gt;180, #REF!&gt;200), "Heavy Doemstic User", IF(#REF!&gt;10, "Interntional User", IF(AND(#REF!&lt;180, #REF!&lt;200,#REF!&lt;200), "Light User", "Balanced User")))</f>
        <v>#REF!</v>
      </c>
      <c r="AC4159" t="e">
        <f>IF(#REF! = 0, "No Usage", IF(#REF! &lt;= 20, "Low Usage", IF(#REF! &lt;= 40, "Medium Usgae", "High Usage")))</f>
        <v>#REF!</v>
      </c>
      <c r="AD4159" t="e">
        <f>IF(#REF!&lt;=150,"Low Usage", IF(#REF!&lt;=200,"Medium Usage", IF(#REF!&lt;=250,"High Usage","Very High Usage")))</f>
        <v>#REF!</v>
      </c>
      <c r="AE4159" t="e">
        <f>IF(#REF!&lt;=5,"Low Calls", IF(#REF!&lt;=10, "Medium Calls", "High Calls"))</f>
        <v>#REF!</v>
      </c>
      <c r="AF4159" t="e">
        <f xml:space="preserve">
IF(#REF!&gt;=4,4,0)+
IF(#REF!="yes",3,0)+
IF(#REF!="High Charges",3,0)+
IF(#REF!&gt;250,4,0)+
IF(#REF!="no",1,0)+
IF(#REF!="Heavy Domestic User",2,0)</f>
        <v>#REF!</v>
      </c>
      <c r="AG4159" t="e">
        <f>IF(#REF!&gt;=10,"High Risk", IF(#REF!&gt;=5,"Medium Risk","Low Risk"))</f>
        <v>#REF!</v>
      </c>
      <c r="AH4159" t="e">
        <f>#REF! + #REF! + #REF! + #REF!</f>
        <v>#REF!</v>
      </c>
    </row>
    <row r="4160" spans="1:34" x14ac:dyDescent="0.35">
      <c r="A4160">
        <v>4159</v>
      </c>
      <c r="B4160" t="s">
        <v>49</v>
      </c>
      <c r="C4160">
        <v>120</v>
      </c>
      <c r="D4160" t="s">
        <v>21</v>
      </c>
      <c r="E4160" t="s">
        <v>22</v>
      </c>
      <c r="F4160" t="s">
        <v>22</v>
      </c>
      <c r="G4160">
        <v>0</v>
      </c>
      <c r="H4160">
        <v>94.3</v>
      </c>
      <c r="I4160">
        <v>97</v>
      </c>
      <c r="J4160">
        <v>16.03</v>
      </c>
      <c r="K4160">
        <v>181.5</v>
      </c>
      <c r="L4160">
        <v>91</v>
      </c>
      <c r="M4160">
        <v>15.43</v>
      </c>
      <c r="N4160">
        <v>176.5</v>
      </c>
      <c r="O4160">
        <v>149</v>
      </c>
      <c r="P4160">
        <v>7.94</v>
      </c>
      <c r="Q4160">
        <v>9.6</v>
      </c>
      <c r="R4160">
        <v>4</v>
      </c>
      <c r="S4160">
        <v>2.59</v>
      </c>
      <c r="T4160">
        <v>1</v>
      </c>
      <c r="U4160" t="s">
        <v>22</v>
      </c>
      <c r="V4160" t="e">
        <f>IF(#REF! = "yes", 1, 0)</f>
        <v>#REF!</v>
      </c>
      <c r="W4160" t="e">
        <f>IF(#REF! &lt;= 1, "0-1 Calls", IF(#REF! &lt;= 3, "2-3 Calls", IF(#REF! &lt;=5, "4-5 Calls", "6+ Calls")))</f>
        <v>#REF!</v>
      </c>
      <c r="X4160" t="e">
        <f>IF(#REF! &lt;= 50, "0-50", IF(#REF! &lt;=100, "51-100", IF(#REF! &lt;= 150, "101-150", "151+")))</f>
        <v>#REF!</v>
      </c>
      <c r="Y4160" t="e">
        <f>IF(#REF! &lt;= 3, "Low Charges", "High Charges")</f>
        <v>#REF!</v>
      </c>
      <c r="Z4160" t="e">
        <f>IF(#REF!&lt;=80,"Low Calls",
IF(#REF!&lt;=120,"Medium Calls","High Calls"))</f>
        <v>#REF!</v>
      </c>
      <c r="AA4160" t="e">
        <f>IF(#REF!&lt;=15,"Low Charges",
IF(#REF!&lt;=20,"Medium Charges","High Charges"))</f>
        <v>#REF!</v>
      </c>
      <c r="AB4160" t="e">
        <f>IF(AND(#REF!&gt;180, #REF!&gt;200), "Heavy Doemstic User", IF(#REF!&gt;10, "Interntional User", IF(AND(#REF!&lt;180, #REF!&lt;200,#REF!&lt;200), "Light User", "Balanced User")))</f>
        <v>#REF!</v>
      </c>
      <c r="AC4160" t="e">
        <f>IF(#REF! = 0, "No Usage", IF(#REF! &lt;= 20, "Low Usage", IF(#REF! &lt;= 40, "Medium Usgae", "High Usage")))</f>
        <v>#REF!</v>
      </c>
      <c r="AD4160" t="e">
        <f>IF(#REF!&lt;=150,"Low Usage", IF(#REF!&lt;=200,"Medium Usage", IF(#REF!&lt;=250,"High Usage","Very High Usage")))</f>
        <v>#REF!</v>
      </c>
      <c r="AE4160" t="e">
        <f>IF(#REF!&lt;=5,"Low Calls", IF(#REF!&lt;=10, "Medium Calls", "High Calls"))</f>
        <v>#REF!</v>
      </c>
      <c r="AF4160" t="e">
        <f xml:space="preserve">
IF(#REF!&gt;=4,4,0)+
IF(#REF!="yes",3,0)+
IF(#REF!="High Charges",3,0)+
IF(#REF!&gt;250,4,0)+
IF(#REF!="no",1,0)+
IF(#REF!="Heavy Domestic User",2,0)</f>
        <v>#REF!</v>
      </c>
      <c r="AG4160" t="e">
        <f>IF(#REF!&gt;=10,"High Risk", IF(#REF!&gt;=5,"Medium Risk","Low Risk"))</f>
        <v>#REF!</v>
      </c>
      <c r="AH4160" t="e">
        <f>#REF! + #REF! + #REF! + #REF!</f>
        <v>#REF!</v>
      </c>
    </row>
    <row r="4161" spans="1:34" x14ac:dyDescent="0.35">
      <c r="A4161">
        <v>4160</v>
      </c>
      <c r="B4161" t="s">
        <v>55</v>
      </c>
      <c r="C4161">
        <v>39</v>
      </c>
      <c r="D4161" t="s">
        <v>21</v>
      </c>
      <c r="E4161" t="s">
        <v>22</v>
      </c>
      <c r="F4161" t="s">
        <v>23</v>
      </c>
      <c r="G4161">
        <v>17</v>
      </c>
      <c r="H4161">
        <v>230.7</v>
      </c>
      <c r="I4161">
        <v>122</v>
      </c>
      <c r="J4161">
        <v>39.22</v>
      </c>
      <c r="K4161">
        <v>207.1</v>
      </c>
      <c r="L4161">
        <v>85</v>
      </c>
      <c r="M4161">
        <v>17.600000000000001</v>
      </c>
      <c r="N4161">
        <v>208.9</v>
      </c>
      <c r="O4161">
        <v>73</v>
      </c>
      <c r="P4161">
        <v>9.4</v>
      </c>
      <c r="Q4161">
        <v>9.1999999999999993</v>
      </c>
      <c r="R4161">
        <v>1</v>
      </c>
      <c r="S4161">
        <v>2.48</v>
      </c>
      <c r="T4161">
        <v>3</v>
      </c>
      <c r="U4161" t="s">
        <v>22</v>
      </c>
      <c r="V4161" t="e">
        <f>IF(#REF! = "yes", 1, 0)</f>
        <v>#REF!</v>
      </c>
      <c r="W4161" t="e">
        <f>IF(#REF! &lt;= 1, "0-1 Calls", IF(#REF! &lt;= 3, "2-3 Calls", IF(#REF! &lt;=5, "4-5 Calls", "6+ Calls")))</f>
        <v>#REF!</v>
      </c>
      <c r="X4161" t="e">
        <f>IF(#REF! &lt;= 50, "0-50", IF(#REF! &lt;=100, "51-100", IF(#REF! &lt;= 150, "101-150", "151+")))</f>
        <v>#REF!</v>
      </c>
      <c r="Y4161" t="e">
        <f>IF(#REF! &lt;= 3, "Low Charges", "High Charges")</f>
        <v>#REF!</v>
      </c>
      <c r="Z4161" t="e">
        <f>IF(#REF!&lt;=80,"Low Calls",
IF(#REF!&lt;=120,"Medium Calls","High Calls"))</f>
        <v>#REF!</v>
      </c>
      <c r="AA4161" t="e">
        <f>IF(#REF!&lt;=15,"Low Charges",
IF(#REF!&lt;=20,"Medium Charges","High Charges"))</f>
        <v>#REF!</v>
      </c>
      <c r="AB4161" t="e">
        <f>IF(AND(#REF!&gt;180, #REF!&gt;200), "Heavy Doemstic User", IF(#REF!&gt;10, "Interntional User", IF(AND(#REF!&lt;180, #REF!&lt;200,#REF!&lt;200), "Light User", "Balanced User")))</f>
        <v>#REF!</v>
      </c>
      <c r="AC4161" t="e">
        <f>IF(#REF! = 0, "No Usage", IF(#REF! &lt;= 20, "Low Usage", IF(#REF! &lt;= 40, "Medium Usgae", "High Usage")))</f>
        <v>#REF!</v>
      </c>
      <c r="AD4161" t="e">
        <f>IF(#REF!&lt;=150,"Low Usage", IF(#REF!&lt;=200,"Medium Usage", IF(#REF!&lt;=250,"High Usage","Very High Usage")))</f>
        <v>#REF!</v>
      </c>
      <c r="AE4161" t="e">
        <f>IF(#REF!&lt;=5,"Low Calls", IF(#REF!&lt;=10, "Medium Calls", "High Calls"))</f>
        <v>#REF!</v>
      </c>
      <c r="AF4161" t="e">
        <f xml:space="preserve">
IF(#REF!&gt;=4,4,0)+
IF(#REF!="yes",3,0)+
IF(#REF!="High Charges",3,0)+
IF(#REF!&gt;250,4,0)+
IF(#REF!="no",1,0)+
IF(#REF!="Heavy Domestic User",2,0)</f>
        <v>#REF!</v>
      </c>
      <c r="AG4161" t="e">
        <f>IF(#REF!&gt;=10,"High Risk", IF(#REF!&gt;=5,"Medium Risk","Low Risk"))</f>
        <v>#REF!</v>
      </c>
      <c r="AH4161" t="e">
        <f>#REF! + #REF! + #REF! + #REF!</f>
        <v>#REF!</v>
      </c>
    </row>
    <row r="4162" spans="1:34" x14ac:dyDescent="0.35">
      <c r="A4162">
        <v>4161</v>
      </c>
      <c r="B4162" t="s">
        <v>67</v>
      </c>
      <c r="C4162">
        <v>132</v>
      </c>
      <c r="D4162" t="s">
        <v>21</v>
      </c>
      <c r="E4162" t="s">
        <v>23</v>
      </c>
      <c r="F4162" t="s">
        <v>22</v>
      </c>
      <c r="G4162">
        <v>0</v>
      </c>
      <c r="H4162">
        <v>144.30000000000001</v>
      </c>
      <c r="I4162">
        <v>70</v>
      </c>
      <c r="J4162">
        <v>24.53</v>
      </c>
      <c r="K4162">
        <v>231.5</v>
      </c>
      <c r="L4162">
        <v>125</v>
      </c>
      <c r="M4162">
        <v>19.68</v>
      </c>
      <c r="N4162">
        <v>304.3</v>
      </c>
      <c r="O4162">
        <v>137</v>
      </c>
      <c r="P4162">
        <v>13.69</v>
      </c>
      <c r="Q4162">
        <v>7</v>
      </c>
      <c r="R4162">
        <v>2</v>
      </c>
      <c r="S4162">
        <v>1.89</v>
      </c>
      <c r="T4162">
        <v>1</v>
      </c>
      <c r="U4162" t="s">
        <v>23</v>
      </c>
      <c r="V4162" t="e">
        <f>IF(#REF! = "yes", 1, 0)</f>
        <v>#REF!</v>
      </c>
      <c r="W4162" t="e">
        <f>IF(#REF! &lt;= 1, "0-1 Calls", IF(#REF! &lt;= 3, "2-3 Calls", IF(#REF! &lt;=5, "4-5 Calls", "6+ Calls")))</f>
        <v>#REF!</v>
      </c>
      <c r="X4162" t="e">
        <f>IF(#REF! &lt;= 50, "0-50", IF(#REF! &lt;=100, "51-100", IF(#REF! &lt;= 150, "101-150", "151+")))</f>
        <v>#REF!</v>
      </c>
      <c r="Y4162" t="e">
        <f>IF(#REF! &lt;= 3, "Low Charges", "High Charges")</f>
        <v>#REF!</v>
      </c>
      <c r="Z4162" t="e">
        <f>IF(#REF!&lt;=80,"Low Calls",
IF(#REF!&lt;=120,"Medium Calls","High Calls"))</f>
        <v>#REF!</v>
      </c>
      <c r="AA4162" t="e">
        <f>IF(#REF!&lt;=15,"Low Charges",
IF(#REF!&lt;=20,"Medium Charges","High Charges"))</f>
        <v>#REF!</v>
      </c>
      <c r="AB4162" t="e">
        <f>IF(AND(#REF!&gt;180, #REF!&gt;200), "Heavy Doemstic User", IF(#REF!&gt;10, "Interntional User", IF(AND(#REF!&lt;180, #REF!&lt;200,#REF!&lt;200), "Light User", "Balanced User")))</f>
        <v>#REF!</v>
      </c>
      <c r="AC4162" t="e">
        <f>IF(#REF! = 0, "No Usage", IF(#REF! &lt;= 20, "Low Usage", IF(#REF! &lt;= 40, "Medium Usgae", "High Usage")))</f>
        <v>#REF!</v>
      </c>
      <c r="AD4162" t="e">
        <f>IF(#REF!&lt;=150,"Low Usage", IF(#REF!&lt;=200,"Medium Usage", IF(#REF!&lt;=250,"High Usage","Very High Usage")))</f>
        <v>#REF!</v>
      </c>
      <c r="AE4162" t="e">
        <f>IF(#REF!&lt;=5,"Low Calls", IF(#REF!&lt;=10, "Medium Calls", "High Calls"))</f>
        <v>#REF!</v>
      </c>
      <c r="AF4162" t="e">
        <f xml:space="preserve">
IF(#REF!&gt;=4,4,0)+
IF(#REF!="yes",3,0)+
IF(#REF!="High Charges",3,0)+
IF(#REF!&gt;250,4,0)+
IF(#REF!="no",1,0)+
IF(#REF!="Heavy Domestic User",2,0)</f>
        <v>#REF!</v>
      </c>
      <c r="AG4162" t="e">
        <f>IF(#REF!&gt;=10,"High Risk", IF(#REF!&gt;=5,"Medium Risk","Low Risk"))</f>
        <v>#REF!</v>
      </c>
      <c r="AH4162" t="e">
        <f>#REF! + #REF! + #REF! + #REF!</f>
        <v>#REF!</v>
      </c>
    </row>
    <row r="4163" spans="1:34" x14ac:dyDescent="0.35">
      <c r="A4163">
        <v>4162</v>
      </c>
      <c r="B4163" t="s">
        <v>20</v>
      </c>
      <c r="C4163">
        <v>108</v>
      </c>
      <c r="D4163" t="s">
        <v>21</v>
      </c>
      <c r="E4163" t="s">
        <v>22</v>
      </c>
      <c r="F4163" t="s">
        <v>23</v>
      </c>
      <c r="G4163">
        <v>30</v>
      </c>
      <c r="H4163">
        <v>126</v>
      </c>
      <c r="I4163">
        <v>124</v>
      </c>
      <c r="J4163">
        <v>21.42</v>
      </c>
      <c r="K4163">
        <v>202.4</v>
      </c>
      <c r="L4163">
        <v>84</v>
      </c>
      <c r="M4163">
        <v>17.2</v>
      </c>
      <c r="N4163">
        <v>186.4</v>
      </c>
      <c r="O4163">
        <v>99</v>
      </c>
      <c r="P4163">
        <v>8.39</v>
      </c>
      <c r="Q4163">
        <v>8.6</v>
      </c>
      <c r="R4163">
        <v>1</v>
      </c>
      <c r="S4163">
        <v>2.3199999999999998</v>
      </c>
      <c r="T4163">
        <v>1</v>
      </c>
      <c r="U4163" t="s">
        <v>22</v>
      </c>
      <c r="V4163" t="e">
        <f>IF(#REF! = "yes", 1, 0)</f>
        <v>#REF!</v>
      </c>
      <c r="W4163" t="e">
        <f>IF(#REF! &lt;= 1, "0-1 Calls", IF(#REF! &lt;= 3, "2-3 Calls", IF(#REF! &lt;=5, "4-5 Calls", "6+ Calls")))</f>
        <v>#REF!</v>
      </c>
      <c r="X4163" t="e">
        <f>IF(#REF! &lt;= 50, "0-50", IF(#REF! &lt;=100, "51-100", IF(#REF! &lt;= 150, "101-150", "151+")))</f>
        <v>#REF!</v>
      </c>
      <c r="Y4163" t="e">
        <f>IF(#REF! &lt;= 3, "Low Charges", "High Charges")</f>
        <v>#REF!</v>
      </c>
      <c r="Z4163" t="e">
        <f>IF(#REF!&lt;=80,"Low Calls",
IF(#REF!&lt;=120,"Medium Calls","High Calls"))</f>
        <v>#REF!</v>
      </c>
      <c r="AA4163" t="e">
        <f>IF(#REF!&lt;=15,"Low Charges",
IF(#REF!&lt;=20,"Medium Charges","High Charges"))</f>
        <v>#REF!</v>
      </c>
      <c r="AB4163" t="e">
        <f>IF(AND(#REF!&gt;180, #REF!&gt;200), "Heavy Doemstic User", IF(#REF!&gt;10, "Interntional User", IF(AND(#REF!&lt;180, #REF!&lt;200,#REF!&lt;200), "Light User", "Balanced User")))</f>
        <v>#REF!</v>
      </c>
      <c r="AC4163" t="e">
        <f>IF(#REF! = 0, "No Usage", IF(#REF! &lt;= 20, "Low Usage", IF(#REF! &lt;= 40, "Medium Usgae", "High Usage")))</f>
        <v>#REF!</v>
      </c>
      <c r="AD4163" t="e">
        <f>IF(#REF!&lt;=150,"Low Usage", IF(#REF!&lt;=200,"Medium Usage", IF(#REF!&lt;=250,"High Usage","Very High Usage")))</f>
        <v>#REF!</v>
      </c>
      <c r="AE4163" t="e">
        <f>IF(#REF!&lt;=5,"Low Calls", IF(#REF!&lt;=10, "Medium Calls", "High Calls"))</f>
        <v>#REF!</v>
      </c>
      <c r="AF4163" t="e">
        <f xml:space="preserve">
IF(#REF!&gt;=4,4,0)+
IF(#REF!="yes",3,0)+
IF(#REF!="High Charges",3,0)+
IF(#REF!&gt;250,4,0)+
IF(#REF!="no",1,0)+
IF(#REF!="Heavy Domestic User",2,0)</f>
        <v>#REF!</v>
      </c>
      <c r="AG4163" t="e">
        <f>IF(#REF!&gt;=10,"High Risk", IF(#REF!&gt;=5,"Medium Risk","Low Risk"))</f>
        <v>#REF!</v>
      </c>
      <c r="AH4163" t="e">
        <f>#REF! + #REF! + #REF! + #REF!</f>
        <v>#REF!</v>
      </c>
    </row>
    <row r="4164" spans="1:34" x14ac:dyDescent="0.35">
      <c r="A4164">
        <v>4163</v>
      </c>
      <c r="B4164" t="s">
        <v>69</v>
      </c>
      <c r="C4164">
        <v>76</v>
      </c>
      <c r="D4164" t="s">
        <v>28</v>
      </c>
      <c r="E4164" t="s">
        <v>22</v>
      </c>
      <c r="F4164" t="s">
        <v>22</v>
      </c>
      <c r="G4164">
        <v>0</v>
      </c>
      <c r="H4164">
        <v>143.30000000000001</v>
      </c>
      <c r="I4164">
        <v>98</v>
      </c>
      <c r="J4164">
        <v>24.36</v>
      </c>
      <c r="K4164">
        <v>309.10000000000002</v>
      </c>
      <c r="L4164">
        <v>101</v>
      </c>
      <c r="M4164">
        <v>26.27</v>
      </c>
      <c r="N4164">
        <v>207.3</v>
      </c>
      <c r="O4164">
        <v>122</v>
      </c>
      <c r="P4164">
        <v>9.33</v>
      </c>
      <c r="Q4164">
        <v>11.4</v>
      </c>
      <c r="R4164">
        <v>3</v>
      </c>
      <c r="S4164">
        <v>3.08</v>
      </c>
      <c r="T4164">
        <v>2</v>
      </c>
      <c r="U4164" t="s">
        <v>22</v>
      </c>
      <c r="V4164" t="e">
        <f>IF(#REF! = "yes", 1, 0)</f>
        <v>#REF!</v>
      </c>
      <c r="W4164" t="e">
        <f>IF(#REF! &lt;= 1, "0-1 Calls", IF(#REF! &lt;= 3, "2-3 Calls", IF(#REF! &lt;=5, "4-5 Calls", "6+ Calls")))</f>
        <v>#REF!</v>
      </c>
      <c r="X4164" t="e">
        <f>IF(#REF! &lt;= 50, "0-50", IF(#REF! &lt;=100, "51-100", IF(#REF! &lt;= 150, "101-150", "151+")))</f>
        <v>#REF!</v>
      </c>
      <c r="Y4164" t="e">
        <f>IF(#REF! &lt;= 3, "Low Charges", "High Charges")</f>
        <v>#REF!</v>
      </c>
      <c r="Z4164" t="e">
        <f>IF(#REF!&lt;=80,"Low Calls",
IF(#REF!&lt;=120,"Medium Calls","High Calls"))</f>
        <v>#REF!</v>
      </c>
      <c r="AA4164" t="e">
        <f>IF(#REF!&lt;=15,"Low Charges",
IF(#REF!&lt;=20,"Medium Charges","High Charges"))</f>
        <v>#REF!</v>
      </c>
      <c r="AB4164" t="e">
        <f>IF(AND(#REF!&gt;180, #REF!&gt;200), "Heavy Doemstic User", IF(#REF!&gt;10, "Interntional User", IF(AND(#REF!&lt;180, #REF!&lt;200,#REF!&lt;200), "Light User", "Balanced User")))</f>
        <v>#REF!</v>
      </c>
      <c r="AC4164" t="e">
        <f>IF(#REF! = 0, "No Usage", IF(#REF! &lt;= 20, "Low Usage", IF(#REF! &lt;= 40, "Medium Usgae", "High Usage")))</f>
        <v>#REF!</v>
      </c>
      <c r="AD4164" t="e">
        <f>IF(#REF!&lt;=150,"Low Usage", IF(#REF!&lt;=200,"Medium Usage", IF(#REF!&lt;=250,"High Usage","Very High Usage")))</f>
        <v>#REF!</v>
      </c>
      <c r="AE4164" t="e">
        <f>IF(#REF!&lt;=5,"Low Calls", IF(#REF!&lt;=10, "Medium Calls", "High Calls"))</f>
        <v>#REF!</v>
      </c>
      <c r="AF4164" t="e">
        <f xml:space="preserve">
IF(#REF!&gt;=4,4,0)+
IF(#REF!="yes",3,0)+
IF(#REF!="High Charges",3,0)+
IF(#REF!&gt;250,4,0)+
IF(#REF!="no",1,0)+
IF(#REF!="Heavy Domestic User",2,0)</f>
        <v>#REF!</v>
      </c>
      <c r="AG4164" t="e">
        <f>IF(#REF!&gt;=10,"High Risk", IF(#REF!&gt;=5,"Medium Risk","Low Risk"))</f>
        <v>#REF!</v>
      </c>
      <c r="AH4164" t="e">
        <f>#REF! + #REF! + #REF! + #REF!</f>
        <v>#REF!</v>
      </c>
    </row>
    <row r="4165" spans="1:34" x14ac:dyDescent="0.35">
      <c r="A4165">
        <v>4164</v>
      </c>
      <c r="B4165" t="s">
        <v>69</v>
      </c>
      <c r="C4165">
        <v>95</v>
      </c>
      <c r="D4165" t="s">
        <v>28</v>
      </c>
      <c r="E4165" t="s">
        <v>22</v>
      </c>
      <c r="F4165" t="s">
        <v>22</v>
      </c>
      <c r="G4165">
        <v>0</v>
      </c>
      <c r="H4165">
        <v>88</v>
      </c>
      <c r="I4165">
        <v>81</v>
      </c>
      <c r="J4165">
        <v>14.96</v>
      </c>
      <c r="K4165">
        <v>145.9</v>
      </c>
      <c r="L4165">
        <v>109</v>
      </c>
      <c r="M4165">
        <v>12.4</v>
      </c>
      <c r="N4165">
        <v>237.7</v>
      </c>
      <c r="O4165">
        <v>90</v>
      </c>
      <c r="P4165">
        <v>10.7</v>
      </c>
      <c r="Q4165">
        <v>9.8000000000000007</v>
      </c>
      <c r="R4165">
        <v>2</v>
      </c>
      <c r="S4165">
        <v>2.65</v>
      </c>
      <c r="T4165">
        <v>2</v>
      </c>
      <c r="U4165" t="s">
        <v>22</v>
      </c>
      <c r="V4165" t="e">
        <f>IF(#REF! = "yes", 1, 0)</f>
        <v>#REF!</v>
      </c>
      <c r="W4165" t="e">
        <f>IF(#REF! &lt;= 1, "0-1 Calls", IF(#REF! &lt;= 3, "2-3 Calls", IF(#REF! &lt;=5, "4-5 Calls", "6+ Calls")))</f>
        <v>#REF!</v>
      </c>
      <c r="X4165" t="e">
        <f>IF(#REF! &lt;= 50, "0-50", IF(#REF! &lt;=100, "51-100", IF(#REF! &lt;= 150, "101-150", "151+")))</f>
        <v>#REF!</v>
      </c>
      <c r="Y4165" t="e">
        <f>IF(#REF! &lt;= 3, "Low Charges", "High Charges")</f>
        <v>#REF!</v>
      </c>
      <c r="Z4165" t="e">
        <f>IF(#REF!&lt;=80,"Low Calls",
IF(#REF!&lt;=120,"Medium Calls","High Calls"))</f>
        <v>#REF!</v>
      </c>
      <c r="AA4165" t="e">
        <f>IF(#REF!&lt;=15,"Low Charges",
IF(#REF!&lt;=20,"Medium Charges","High Charges"))</f>
        <v>#REF!</v>
      </c>
      <c r="AB4165" t="e">
        <f>IF(AND(#REF!&gt;180, #REF!&gt;200), "Heavy Doemstic User", IF(#REF!&gt;10, "Interntional User", IF(AND(#REF!&lt;180, #REF!&lt;200,#REF!&lt;200), "Light User", "Balanced User")))</f>
        <v>#REF!</v>
      </c>
      <c r="AC4165" t="e">
        <f>IF(#REF! = 0, "No Usage", IF(#REF! &lt;= 20, "Low Usage", IF(#REF! &lt;= 40, "Medium Usgae", "High Usage")))</f>
        <v>#REF!</v>
      </c>
      <c r="AD4165" t="e">
        <f>IF(#REF!&lt;=150,"Low Usage", IF(#REF!&lt;=200,"Medium Usage", IF(#REF!&lt;=250,"High Usage","Very High Usage")))</f>
        <v>#REF!</v>
      </c>
      <c r="AE4165" t="e">
        <f>IF(#REF!&lt;=5,"Low Calls", IF(#REF!&lt;=10, "Medium Calls", "High Calls"))</f>
        <v>#REF!</v>
      </c>
      <c r="AF4165" t="e">
        <f xml:space="preserve">
IF(#REF!&gt;=4,4,0)+
IF(#REF!="yes",3,0)+
IF(#REF!="High Charges",3,0)+
IF(#REF!&gt;250,4,0)+
IF(#REF!="no",1,0)+
IF(#REF!="Heavy Domestic User",2,0)</f>
        <v>#REF!</v>
      </c>
      <c r="AG4165" t="e">
        <f>IF(#REF!&gt;=10,"High Risk", IF(#REF!&gt;=5,"Medium Risk","Low Risk"))</f>
        <v>#REF!</v>
      </c>
      <c r="AH4165" t="e">
        <f>#REF! + #REF! + #REF! + #REF!</f>
        <v>#REF!</v>
      </c>
    </row>
    <row r="4166" spans="1:34" x14ac:dyDescent="0.35">
      <c r="A4166">
        <v>4165</v>
      </c>
      <c r="B4166" t="s">
        <v>29</v>
      </c>
      <c r="C4166">
        <v>120</v>
      </c>
      <c r="D4166" t="s">
        <v>25</v>
      </c>
      <c r="E4166" t="s">
        <v>22</v>
      </c>
      <c r="F4166" t="s">
        <v>22</v>
      </c>
      <c r="G4166">
        <v>0</v>
      </c>
      <c r="H4166">
        <v>121</v>
      </c>
      <c r="I4166">
        <v>139</v>
      </c>
      <c r="J4166">
        <v>20.57</v>
      </c>
      <c r="K4166">
        <v>270.39999999999998</v>
      </c>
      <c r="L4166">
        <v>121</v>
      </c>
      <c r="M4166">
        <v>22.98</v>
      </c>
      <c r="N4166">
        <v>141</v>
      </c>
      <c r="O4166">
        <v>90</v>
      </c>
      <c r="P4166">
        <v>6.35</v>
      </c>
      <c r="Q4166">
        <v>5.3</v>
      </c>
      <c r="R4166">
        <v>8</v>
      </c>
      <c r="S4166">
        <v>1.43</v>
      </c>
      <c r="T4166">
        <v>1</v>
      </c>
      <c r="U4166" t="s">
        <v>22</v>
      </c>
      <c r="V4166" t="e">
        <f>IF(#REF! = "yes", 1, 0)</f>
        <v>#REF!</v>
      </c>
      <c r="W4166" t="e">
        <f>IF(#REF! &lt;= 1, "0-1 Calls", IF(#REF! &lt;= 3, "2-3 Calls", IF(#REF! &lt;=5, "4-5 Calls", "6+ Calls")))</f>
        <v>#REF!</v>
      </c>
      <c r="X4166" t="e">
        <f>IF(#REF! &lt;= 50, "0-50", IF(#REF! &lt;=100, "51-100", IF(#REF! &lt;= 150, "101-150", "151+")))</f>
        <v>#REF!</v>
      </c>
      <c r="Y4166" t="e">
        <f>IF(#REF! &lt;= 3, "Low Charges", "High Charges")</f>
        <v>#REF!</v>
      </c>
      <c r="Z4166" t="e">
        <f>IF(#REF!&lt;=80,"Low Calls",
IF(#REF!&lt;=120,"Medium Calls","High Calls"))</f>
        <v>#REF!</v>
      </c>
      <c r="AA4166" t="e">
        <f>IF(#REF!&lt;=15,"Low Charges",
IF(#REF!&lt;=20,"Medium Charges","High Charges"))</f>
        <v>#REF!</v>
      </c>
      <c r="AB4166" t="e">
        <f>IF(AND(#REF!&gt;180, #REF!&gt;200), "Heavy Doemstic User", IF(#REF!&gt;10, "Interntional User", IF(AND(#REF!&lt;180, #REF!&lt;200,#REF!&lt;200), "Light User", "Balanced User")))</f>
        <v>#REF!</v>
      </c>
      <c r="AC4166" t="e">
        <f>IF(#REF! = 0, "No Usage", IF(#REF! &lt;= 20, "Low Usage", IF(#REF! &lt;= 40, "Medium Usgae", "High Usage")))</f>
        <v>#REF!</v>
      </c>
      <c r="AD4166" t="e">
        <f>IF(#REF!&lt;=150,"Low Usage", IF(#REF!&lt;=200,"Medium Usage", IF(#REF!&lt;=250,"High Usage","Very High Usage")))</f>
        <v>#REF!</v>
      </c>
      <c r="AE4166" t="e">
        <f>IF(#REF!&lt;=5,"Low Calls", IF(#REF!&lt;=10, "Medium Calls", "High Calls"))</f>
        <v>#REF!</v>
      </c>
      <c r="AF4166" t="e">
        <f xml:space="preserve">
IF(#REF!&gt;=4,4,0)+
IF(#REF!="yes",3,0)+
IF(#REF!="High Charges",3,0)+
IF(#REF!&gt;250,4,0)+
IF(#REF!="no",1,0)+
IF(#REF!="Heavy Domestic User",2,0)</f>
        <v>#REF!</v>
      </c>
      <c r="AG4166" t="e">
        <f>IF(#REF!&gt;=10,"High Risk", IF(#REF!&gt;=5,"Medium Risk","Low Risk"))</f>
        <v>#REF!</v>
      </c>
      <c r="AH4166" t="e">
        <f>#REF! + #REF! + #REF! + #REF!</f>
        <v>#REF!</v>
      </c>
    </row>
    <row r="4167" spans="1:34" x14ac:dyDescent="0.35">
      <c r="A4167">
        <v>4166</v>
      </c>
      <c r="B4167" t="s">
        <v>55</v>
      </c>
      <c r="C4167">
        <v>51</v>
      </c>
      <c r="D4167" t="s">
        <v>25</v>
      </c>
      <c r="E4167" t="s">
        <v>22</v>
      </c>
      <c r="F4167" t="s">
        <v>23</v>
      </c>
      <c r="G4167">
        <v>0</v>
      </c>
      <c r="H4167">
        <v>212.9</v>
      </c>
      <c r="I4167">
        <v>80</v>
      </c>
      <c r="J4167">
        <v>36.19</v>
      </c>
      <c r="K4167">
        <v>236.1</v>
      </c>
      <c r="L4167">
        <v>57</v>
      </c>
      <c r="M4167">
        <v>20.07</v>
      </c>
      <c r="N4167">
        <v>187.6</v>
      </c>
      <c r="O4167">
        <v>99</v>
      </c>
      <c r="P4167">
        <v>8.44</v>
      </c>
      <c r="Q4167">
        <v>8.8000000000000007</v>
      </c>
      <c r="R4167">
        <v>4</v>
      </c>
      <c r="S4167">
        <v>2.38</v>
      </c>
      <c r="T4167">
        <v>2</v>
      </c>
      <c r="U4167" t="s">
        <v>22</v>
      </c>
      <c r="V4167" t="e">
        <f>IF(#REF! = "yes", 1, 0)</f>
        <v>#REF!</v>
      </c>
      <c r="W4167" t="e">
        <f>IF(#REF! &lt;= 1, "0-1 Calls", IF(#REF! &lt;= 3, "2-3 Calls", IF(#REF! &lt;=5, "4-5 Calls", "6+ Calls")))</f>
        <v>#REF!</v>
      </c>
      <c r="X4167" t="e">
        <f>IF(#REF! &lt;= 50, "0-50", IF(#REF! &lt;=100, "51-100", IF(#REF! &lt;= 150, "101-150", "151+")))</f>
        <v>#REF!</v>
      </c>
      <c r="Y4167" t="e">
        <f>IF(#REF! &lt;= 3, "Low Charges", "High Charges")</f>
        <v>#REF!</v>
      </c>
      <c r="Z4167" t="e">
        <f>IF(#REF!&lt;=80,"Low Calls",
IF(#REF!&lt;=120,"Medium Calls","High Calls"))</f>
        <v>#REF!</v>
      </c>
      <c r="AA4167" t="e">
        <f>IF(#REF!&lt;=15,"Low Charges",
IF(#REF!&lt;=20,"Medium Charges","High Charges"))</f>
        <v>#REF!</v>
      </c>
      <c r="AB4167" t="e">
        <f>IF(AND(#REF!&gt;180, #REF!&gt;200), "Heavy Doemstic User", IF(#REF!&gt;10, "Interntional User", IF(AND(#REF!&lt;180, #REF!&lt;200,#REF!&lt;200), "Light User", "Balanced User")))</f>
        <v>#REF!</v>
      </c>
      <c r="AC4167" t="e">
        <f>IF(#REF! = 0, "No Usage", IF(#REF! &lt;= 20, "Low Usage", IF(#REF! &lt;= 40, "Medium Usgae", "High Usage")))</f>
        <v>#REF!</v>
      </c>
      <c r="AD4167" t="e">
        <f>IF(#REF!&lt;=150,"Low Usage", IF(#REF!&lt;=200,"Medium Usage", IF(#REF!&lt;=250,"High Usage","Very High Usage")))</f>
        <v>#REF!</v>
      </c>
      <c r="AE4167" t="e">
        <f>IF(#REF!&lt;=5,"Low Calls", IF(#REF!&lt;=10, "Medium Calls", "High Calls"))</f>
        <v>#REF!</v>
      </c>
      <c r="AF4167" t="e">
        <f xml:space="preserve">
IF(#REF!&gt;=4,4,0)+
IF(#REF!="yes",3,0)+
IF(#REF!="High Charges",3,0)+
IF(#REF!&gt;250,4,0)+
IF(#REF!="no",1,0)+
IF(#REF!="Heavy Domestic User",2,0)</f>
        <v>#REF!</v>
      </c>
      <c r="AG4167" t="e">
        <f>IF(#REF!&gt;=10,"High Risk", IF(#REF!&gt;=5,"Medium Risk","Low Risk"))</f>
        <v>#REF!</v>
      </c>
      <c r="AH4167" t="e">
        <f>#REF! + #REF! + #REF! + #REF!</f>
        <v>#REF!</v>
      </c>
    </row>
    <row r="4168" spans="1:34" x14ac:dyDescent="0.35">
      <c r="A4168">
        <v>4167</v>
      </c>
      <c r="B4168" t="s">
        <v>64</v>
      </c>
      <c r="C4168">
        <v>61</v>
      </c>
      <c r="D4168" t="s">
        <v>21</v>
      </c>
      <c r="E4168" t="s">
        <v>22</v>
      </c>
      <c r="F4168" t="s">
        <v>22</v>
      </c>
      <c r="G4168">
        <v>0</v>
      </c>
      <c r="H4168">
        <v>217.5</v>
      </c>
      <c r="I4168">
        <v>116</v>
      </c>
      <c r="J4168">
        <v>36.979999999999997</v>
      </c>
      <c r="K4168">
        <v>258.5</v>
      </c>
      <c r="L4168">
        <v>108</v>
      </c>
      <c r="M4168">
        <v>21.97</v>
      </c>
      <c r="N4168">
        <v>210.4</v>
      </c>
      <c r="O4168">
        <v>99</v>
      </c>
      <c r="P4168">
        <v>9.4700000000000006</v>
      </c>
      <c r="Q4168">
        <v>8.6999999999999993</v>
      </c>
      <c r="R4168">
        <v>3</v>
      </c>
      <c r="S4168">
        <v>2.35</v>
      </c>
      <c r="T4168">
        <v>1</v>
      </c>
      <c r="U4168" t="s">
        <v>22</v>
      </c>
      <c r="V4168" t="e">
        <f>IF(#REF! = "yes", 1, 0)</f>
        <v>#REF!</v>
      </c>
      <c r="W4168" t="e">
        <f>IF(#REF! &lt;= 1, "0-1 Calls", IF(#REF! &lt;= 3, "2-3 Calls", IF(#REF! &lt;=5, "4-5 Calls", "6+ Calls")))</f>
        <v>#REF!</v>
      </c>
      <c r="X4168" t="e">
        <f>IF(#REF! &lt;= 50, "0-50", IF(#REF! &lt;=100, "51-100", IF(#REF! &lt;= 150, "101-150", "151+")))</f>
        <v>#REF!</v>
      </c>
      <c r="Y4168" t="e">
        <f>IF(#REF! &lt;= 3, "Low Charges", "High Charges")</f>
        <v>#REF!</v>
      </c>
      <c r="Z4168" t="e">
        <f>IF(#REF!&lt;=80,"Low Calls",
IF(#REF!&lt;=120,"Medium Calls","High Calls"))</f>
        <v>#REF!</v>
      </c>
      <c r="AA4168" t="e">
        <f>IF(#REF!&lt;=15,"Low Charges",
IF(#REF!&lt;=20,"Medium Charges","High Charges"))</f>
        <v>#REF!</v>
      </c>
      <c r="AB4168" t="e">
        <f>IF(AND(#REF!&gt;180, #REF!&gt;200), "Heavy Doemstic User", IF(#REF!&gt;10, "Interntional User", IF(AND(#REF!&lt;180, #REF!&lt;200,#REF!&lt;200), "Light User", "Balanced User")))</f>
        <v>#REF!</v>
      </c>
      <c r="AC4168" t="e">
        <f>IF(#REF! = 0, "No Usage", IF(#REF! &lt;= 20, "Low Usage", IF(#REF! &lt;= 40, "Medium Usgae", "High Usage")))</f>
        <v>#REF!</v>
      </c>
      <c r="AD4168" t="e">
        <f>IF(#REF!&lt;=150,"Low Usage", IF(#REF!&lt;=200,"Medium Usage", IF(#REF!&lt;=250,"High Usage","Very High Usage")))</f>
        <v>#REF!</v>
      </c>
      <c r="AE4168" t="e">
        <f>IF(#REF!&lt;=5,"Low Calls", IF(#REF!&lt;=10, "Medium Calls", "High Calls"))</f>
        <v>#REF!</v>
      </c>
      <c r="AF4168" t="e">
        <f xml:space="preserve">
IF(#REF!&gt;=4,4,0)+
IF(#REF!="yes",3,0)+
IF(#REF!="High Charges",3,0)+
IF(#REF!&gt;250,4,0)+
IF(#REF!="no",1,0)+
IF(#REF!="Heavy Domestic User",2,0)</f>
        <v>#REF!</v>
      </c>
      <c r="AG4168" t="e">
        <f>IF(#REF!&gt;=10,"High Risk", IF(#REF!&gt;=5,"Medium Risk","Low Risk"))</f>
        <v>#REF!</v>
      </c>
      <c r="AH4168" t="e">
        <f>#REF! + #REF! + #REF! + #REF!</f>
        <v>#REF!</v>
      </c>
    </row>
    <row r="4169" spans="1:34" x14ac:dyDescent="0.35">
      <c r="A4169">
        <v>4168</v>
      </c>
      <c r="B4169" t="s">
        <v>60</v>
      </c>
      <c r="C4169">
        <v>17</v>
      </c>
      <c r="D4169" t="s">
        <v>21</v>
      </c>
      <c r="E4169" t="s">
        <v>22</v>
      </c>
      <c r="F4169" t="s">
        <v>22</v>
      </c>
      <c r="G4169">
        <v>0</v>
      </c>
      <c r="H4169">
        <v>138.1</v>
      </c>
      <c r="I4169">
        <v>115</v>
      </c>
      <c r="J4169">
        <v>23.48</v>
      </c>
      <c r="K4169">
        <v>196.5</v>
      </c>
      <c r="L4169">
        <v>55</v>
      </c>
      <c r="M4169">
        <v>16.7</v>
      </c>
      <c r="N4169">
        <v>213.9</v>
      </c>
      <c r="O4169">
        <v>100</v>
      </c>
      <c r="P4169">
        <v>9.6300000000000008</v>
      </c>
      <c r="Q4169">
        <v>11.7</v>
      </c>
      <c r="R4169">
        <v>4</v>
      </c>
      <c r="S4169">
        <v>3.16</v>
      </c>
      <c r="T4169">
        <v>1</v>
      </c>
      <c r="U4169" t="s">
        <v>22</v>
      </c>
      <c r="V4169" t="e">
        <f>IF(#REF! = "yes", 1, 0)</f>
        <v>#REF!</v>
      </c>
      <c r="W4169" t="e">
        <f>IF(#REF! &lt;= 1, "0-1 Calls", IF(#REF! &lt;= 3, "2-3 Calls", IF(#REF! &lt;=5, "4-5 Calls", "6+ Calls")))</f>
        <v>#REF!</v>
      </c>
      <c r="X4169" t="e">
        <f>IF(#REF! &lt;= 50, "0-50", IF(#REF! &lt;=100, "51-100", IF(#REF! &lt;= 150, "101-150", "151+")))</f>
        <v>#REF!</v>
      </c>
      <c r="Y4169" t="e">
        <f>IF(#REF! &lt;= 3, "Low Charges", "High Charges")</f>
        <v>#REF!</v>
      </c>
      <c r="Z4169" t="e">
        <f>IF(#REF!&lt;=80,"Low Calls",
IF(#REF!&lt;=120,"Medium Calls","High Calls"))</f>
        <v>#REF!</v>
      </c>
      <c r="AA4169" t="e">
        <f>IF(#REF!&lt;=15,"Low Charges",
IF(#REF!&lt;=20,"Medium Charges","High Charges"))</f>
        <v>#REF!</v>
      </c>
      <c r="AB4169" t="e">
        <f>IF(AND(#REF!&gt;180, #REF!&gt;200), "Heavy Doemstic User", IF(#REF!&gt;10, "Interntional User", IF(AND(#REF!&lt;180, #REF!&lt;200,#REF!&lt;200), "Light User", "Balanced User")))</f>
        <v>#REF!</v>
      </c>
      <c r="AC4169" t="e">
        <f>IF(#REF! = 0, "No Usage", IF(#REF! &lt;= 20, "Low Usage", IF(#REF! &lt;= 40, "Medium Usgae", "High Usage")))</f>
        <v>#REF!</v>
      </c>
      <c r="AD4169" t="e">
        <f>IF(#REF!&lt;=150,"Low Usage", IF(#REF!&lt;=200,"Medium Usage", IF(#REF!&lt;=250,"High Usage","Very High Usage")))</f>
        <v>#REF!</v>
      </c>
      <c r="AE4169" t="e">
        <f>IF(#REF!&lt;=5,"Low Calls", IF(#REF!&lt;=10, "Medium Calls", "High Calls"))</f>
        <v>#REF!</v>
      </c>
      <c r="AF4169" t="e">
        <f xml:space="preserve">
IF(#REF!&gt;=4,4,0)+
IF(#REF!="yes",3,0)+
IF(#REF!="High Charges",3,0)+
IF(#REF!&gt;250,4,0)+
IF(#REF!="no",1,0)+
IF(#REF!="Heavy Domestic User",2,0)</f>
        <v>#REF!</v>
      </c>
      <c r="AG4169" t="e">
        <f>IF(#REF!&gt;=10,"High Risk", IF(#REF!&gt;=5,"Medium Risk","Low Risk"))</f>
        <v>#REF!</v>
      </c>
      <c r="AH4169" t="e">
        <f>#REF! + #REF! + #REF! + #REF!</f>
        <v>#REF!</v>
      </c>
    </row>
    <row r="4170" spans="1:34" x14ac:dyDescent="0.35">
      <c r="A4170">
        <v>4169</v>
      </c>
      <c r="B4170" t="s">
        <v>42</v>
      </c>
      <c r="C4170">
        <v>98</v>
      </c>
      <c r="D4170" t="s">
        <v>25</v>
      </c>
      <c r="E4170" t="s">
        <v>22</v>
      </c>
      <c r="F4170" t="s">
        <v>23</v>
      </c>
      <c r="G4170">
        <v>40</v>
      </c>
      <c r="H4170">
        <v>212.1</v>
      </c>
      <c r="I4170">
        <v>90</v>
      </c>
      <c r="J4170">
        <v>36.06</v>
      </c>
      <c r="K4170">
        <v>233.9</v>
      </c>
      <c r="L4170">
        <v>110</v>
      </c>
      <c r="M4170">
        <v>19.88</v>
      </c>
      <c r="N4170">
        <v>234</v>
      </c>
      <c r="O4170">
        <v>84</v>
      </c>
      <c r="P4170">
        <v>10.53</v>
      </c>
      <c r="Q4170">
        <v>7.1</v>
      </c>
      <c r="R4170">
        <v>4</v>
      </c>
      <c r="S4170">
        <v>1.92</v>
      </c>
      <c r="T4170">
        <v>0</v>
      </c>
      <c r="U4170" t="s">
        <v>22</v>
      </c>
      <c r="V4170" t="e">
        <f>IF(#REF! = "yes", 1, 0)</f>
        <v>#REF!</v>
      </c>
      <c r="W4170" t="e">
        <f>IF(#REF! &lt;= 1, "0-1 Calls", IF(#REF! &lt;= 3, "2-3 Calls", IF(#REF! &lt;=5, "4-5 Calls", "6+ Calls")))</f>
        <v>#REF!</v>
      </c>
      <c r="X4170" t="e">
        <f>IF(#REF! &lt;= 50, "0-50", IF(#REF! &lt;=100, "51-100", IF(#REF! &lt;= 150, "101-150", "151+")))</f>
        <v>#REF!</v>
      </c>
      <c r="Y4170" t="e">
        <f>IF(#REF! &lt;= 3, "Low Charges", "High Charges")</f>
        <v>#REF!</v>
      </c>
      <c r="Z4170" t="e">
        <f>IF(#REF!&lt;=80,"Low Calls",
IF(#REF!&lt;=120,"Medium Calls","High Calls"))</f>
        <v>#REF!</v>
      </c>
      <c r="AA4170" t="e">
        <f>IF(#REF!&lt;=15,"Low Charges",
IF(#REF!&lt;=20,"Medium Charges","High Charges"))</f>
        <v>#REF!</v>
      </c>
      <c r="AB4170" t="e">
        <f>IF(AND(#REF!&gt;180, #REF!&gt;200), "Heavy Doemstic User", IF(#REF!&gt;10, "Interntional User", IF(AND(#REF!&lt;180, #REF!&lt;200,#REF!&lt;200), "Light User", "Balanced User")))</f>
        <v>#REF!</v>
      </c>
      <c r="AC4170" t="e">
        <f>IF(#REF! = 0, "No Usage", IF(#REF! &lt;= 20, "Low Usage", IF(#REF! &lt;= 40, "Medium Usgae", "High Usage")))</f>
        <v>#REF!</v>
      </c>
      <c r="AD4170" t="e">
        <f>IF(#REF!&lt;=150,"Low Usage", IF(#REF!&lt;=200,"Medium Usage", IF(#REF!&lt;=250,"High Usage","Very High Usage")))</f>
        <v>#REF!</v>
      </c>
      <c r="AE4170" t="e">
        <f>IF(#REF!&lt;=5,"Low Calls", IF(#REF!&lt;=10, "Medium Calls", "High Calls"))</f>
        <v>#REF!</v>
      </c>
      <c r="AF4170" t="e">
        <f xml:space="preserve">
IF(#REF!&gt;=4,4,0)+
IF(#REF!="yes",3,0)+
IF(#REF!="High Charges",3,0)+
IF(#REF!&gt;250,4,0)+
IF(#REF!="no",1,0)+
IF(#REF!="Heavy Domestic User",2,0)</f>
        <v>#REF!</v>
      </c>
      <c r="AG4170" t="e">
        <f>IF(#REF!&gt;=10,"High Risk", IF(#REF!&gt;=5,"Medium Risk","Low Risk"))</f>
        <v>#REF!</v>
      </c>
      <c r="AH4170" t="e">
        <f>#REF! + #REF! + #REF! + #REF!</f>
        <v>#REF!</v>
      </c>
    </row>
    <row r="4171" spans="1:34" x14ac:dyDescent="0.35">
      <c r="A4171">
        <v>4170</v>
      </c>
      <c r="B4171" t="s">
        <v>75</v>
      </c>
      <c r="C4171">
        <v>181</v>
      </c>
      <c r="D4171" t="s">
        <v>28</v>
      </c>
      <c r="E4171" t="s">
        <v>22</v>
      </c>
      <c r="F4171" t="s">
        <v>23</v>
      </c>
      <c r="G4171">
        <v>16</v>
      </c>
      <c r="H4171">
        <v>196</v>
      </c>
      <c r="I4171">
        <v>85</v>
      </c>
      <c r="J4171">
        <v>33.32</v>
      </c>
      <c r="K4171">
        <v>107.1</v>
      </c>
      <c r="L4171">
        <v>119</v>
      </c>
      <c r="M4171">
        <v>9.1</v>
      </c>
      <c r="N4171">
        <v>205.9</v>
      </c>
      <c r="O4171">
        <v>110</v>
      </c>
      <c r="P4171">
        <v>9.27</v>
      </c>
      <c r="Q4171">
        <v>9.6999999999999993</v>
      </c>
      <c r="R4171">
        <v>1</v>
      </c>
      <c r="S4171">
        <v>2.62</v>
      </c>
      <c r="T4171">
        <v>1</v>
      </c>
      <c r="U4171" t="s">
        <v>22</v>
      </c>
      <c r="V4171" t="e">
        <f>IF(#REF! = "yes", 1, 0)</f>
        <v>#REF!</v>
      </c>
      <c r="W4171" t="e">
        <f>IF(#REF! &lt;= 1, "0-1 Calls", IF(#REF! &lt;= 3, "2-3 Calls", IF(#REF! &lt;=5, "4-5 Calls", "6+ Calls")))</f>
        <v>#REF!</v>
      </c>
      <c r="X4171" t="e">
        <f>IF(#REF! &lt;= 50, "0-50", IF(#REF! &lt;=100, "51-100", IF(#REF! &lt;= 150, "101-150", "151+")))</f>
        <v>#REF!</v>
      </c>
      <c r="Y4171" t="e">
        <f>IF(#REF! &lt;= 3, "Low Charges", "High Charges")</f>
        <v>#REF!</v>
      </c>
      <c r="Z4171" t="e">
        <f>IF(#REF!&lt;=80,"Low Calls",
IF(#REF!&lt;=120,"Medium Calls","High Calls"))</f>
        <v>#REF!</v>
      </c>
      <c r="AA4171" t="e">
        <f>IF(#REF!&lt;=15,"Low Charges",
IF(#REF!&lt;=20,"Medium Charges","High Charges"))</f>
        <v>#REF!</v>
      </c>
      <c r="AB4171" t="e">
        <f>IF(AND(#REF!&gt;180, #REF!&gt;200), "Heavy Doemstic User", IF(#REF!&gt;10, "Interntional User", IF(AND(#REF!&lt;180, #REF!&lt;200,#REF!&lt;200), "Light User", "Balanced User")))</f>
        <v>#REF!</v>
      </c>
      <c r="AC4171" t="e">
        <f>IF(#REF! = 0, "No Usage", IF(#REF! &lt;= 20, "Low Usage", IF(#REF! &lt;= 40, "Medium Usgae", "High Usage")))</f>
        <v>#REF!</v>
      </c>
      <c r="AD4171" t="e">
        <f>IF(#REF!&lt;=150,"Low Usage", IF(#REF!&lt;=200,"Medium Usage", IF(#REF!&lt;=250,"High Usage","Very High Usage")))</f>
        <v>#REF!</v>
      </c>
      <c r="AE4171" t="e">
        <f>IF(#REF!&lt;=5,"Low Calls", IF(#REF!&lt;=10, "Medium Calls", "High Calls"))</f>
        <v>#REF!</v>
      </c>
      <c r="AF4171" t="e">
        <f xml:space="preserve">
IF(#REF!&gt;=4,4,0)+
IF(#REF!="yes",3,0)+
IF(#REF!="High Charges",3,0)+
IF(#REF!&gt;250,4,0)+
IF(#REF!="no",1,0)+
IF(#REF!="Heavy Domestic User",2,0)</f>
        <v>#REF!</v>
      </c>
      <c r="AG4171" t="e">
        <f>IF(#REF!&gt;=10,"High Risk", IF(#REF!&gt;=5,"Medium Risk","Low Risk"))</f>
        <v>#REF!</v>
      </c>
      <c r="AH4171" t="e">
        <f>#REF! + #REF! + #REF! + #REF!</f>
        <v>#REF!</v>
      </c>
    </row>
    <row r="4172" spans="1:34" x14ac:dyDescent="0.35">
      <c r="A4172">
        <v>4171</v>
      </c>
      <c r="B4172" t="s">
        <v>33</v>
      </c>
      <c r="C4172">
        <v>114</v>
      </c>
      <c r="D4172" t="s">
        <v>21</v>
      </c>
      <c r="E4172" t="s">
        <v>22</v>
      </c>
      <c r="F4172" t="s">
        <v>23</v>
      </c>
      <c r="G4172">
        <v>23</v>
      </c>
      <c r="H4172">
        <v>186.2</v>
      </c>
      <c r="I4172">
        <v>95</v>
      </c>
      <c r="J4172">
        <v>31.65</v>
      </c>
      <c r="K4172">
        <v>258.3</v>
      </c>
      <c r="L4172">
        <v>129</v>
      </c>
      <c r="M4172">
        <v>21.96</v>
      </c>
      <c r="N4172">
        <v>183.9</v>
      </c>
      <c r="O4172">
        <v>93</v>
      </c>
      <c r="P4172">
        <v>8.2799999999999994</v>
      </c>
      <c r="Q4172">
        <v>7.8</v>
      </c>
      <c r="R4172">
        <v>6</v>
      </c>
      <c r="S4172">
        <v>2.11</v>
      </c>
      <c r="T4172">
        <v>0</v>
      </c>
      <c r="U4172" t="s">
        <v>22</v>
      </c>
      <c r="V4172" t="e">
        <f>IF(#REF! = "yes", 1, 0)</f>
        <v>#REF!</v>
      </c>
      <c r="W4172" t="e">
        <f>IF(#REF! &lt;= 1, "0-1 Calls", IF(#REF! &lt;= 3, "2-3 Calls", IF(#REF! &lt;=5, "4-5 Calls", "6+ Calls")))</f>
        <v>#REF!</v>
      </c>
      <c r="X4172" t="e">
        <f>IF(#REF! &lt;= 50, "0-50", IF(#REF! &lt;=100, "51-100", IF(#REF! &lt;= 150, "101-150", "151+")))</f>
        <v>#REF!</v>
      </c>
      <c r="Y4172" t="e">
        <f>IF(#REF! &lt;= 3, "Low Charges", "High Charges")</f>
        <v>#REF!</v>
      </c>
      <c r="Z4172" t="e">
        <f>IF(#REF!&lt;=80,"Low Calls",
IF(#REF!&lt;=120,"Medium Calls","High Calls"))</f>
        <v>#REF!</v>
      </c>
      <c r="AA4172" t="e">
        <f>IF(#REF!&lt;=15,"Low Charges",
IF(#REF!&lt;=20,"Medium Charges","High Charges"))</f>
        <v>#REF!</v>
      </c>
      <c r="AB4172" t="e">
        <f>IF(AND(#REF!&gt;180, #REF!&gt;200), "Heavy Doemstic User", IF(#REF!&gt;10, "Interntional User", IF(AND(#REF!&lt;180, #REF!&lt;200,#REF!&lt;200), "Light User", "Balanced User")))</f>
        <v>#REF!</v>
      </c>
      <c r="AC4172" t="e">
        <f>IF(#REF! = 0, "No Usage", IF(#REF! &lt;= 20, "Low Usage", IF(#REF! &lt;= 40, "Medium Usgae", "High Usage")))</f>
        <v>#REF!</v>
      </c>
      <c r="AD4172" t="e">
        <f>IF(#REF!&lt;=150,"Low Usage", IF(#REF!&lt;=200,"Medium Usage", IF(#REF!&lt;=250,"High Usage","Very High Usage")))</f>
        <v>#REF!</v>
      </c>
      <c r="AE4172" t="e">
        <f>IF(#REF!&lt;=5,"Low Calls", IF(#REF!&lt;=10, "Medium Calls", "High Calls"))</f>
        <v>#REF!</v>
      </c>
      <c r="AF4172" t="e">
        <f xml:space="preserve">
IF(#REF!&gt;=4,4,0)+
IF(#REF!="yes",3,0)+
IF(#REF!="High Charges",3,0)+
IF(#REF!&gt;250,4,0)+
IF(#REF!="no",1,0)+
IF(#REF!="Heavy Domestic User",2,0)</f>
        <v>#REF!</v>
      </c>
      <c r="AG4172" t="e">
        <f>IF(#REF!&gt;=10,"High Risk", IF(#REF!&gt;=5,"Medium Risk","Low Risk"))</f>
        <v>#REF!</v>
      </c>
      <c r="AH4172" t="e">
        <f>#REF! + #REF! + #REF! + #REF!</f>
        <v>#REF!</v>
      </c>
    </row>
    <row r="4173" spans="1:34" x14ac:dyDescent="0.35">
      <c r="A4173">
        <v>4172</v>
      </c>
      <c r="B4173" t="s">
        <v>20</v>
      </c>
      <c r="C4173">
        <v>111</v>
      </c>
      <c r="D4173" t="s">
        <v>25</v>
      </c>
      <c r="E4173" t="s">
        <v>23</v>
      </c>
      <c r="F4173" t="s">
        <v>22</v>
      </c>
      <c r="G4173">
        <v>0</v>
      </c>
      <c r="H4173">
        <v>145.80000000000001</v>
      </c>
      <c r="I4173">
        <v>106</v>
      </c>
      <c r="J4173">
        <v>24.79</v>
      </c>
      <c r="K4173">
        <v>172.5</v>
      </c>
      <c r="L4173">
        <v>143</v>
      </c>
      <c r="M4173">
        <v>14.66</v>
      </c>
      <c r="N4173">
        <v>143.9</v>
      </c>
      <c r="O4173">
        <v>123</v>
      </c>
      <c r="P4173">
        <v>6.48</v>
      </c>
      <c r="Q4173">
        <v>11.9</v>
      </c>
      <c r="R4173">
        <v>4</v>
      </c>
      <c r="S4173">
        <v>3.21</v>
      </c>
      <c r="T4173">
        <v>1</v>
      </c>
      <c r="U4173" t="s">
        <v>22</v>
      </c>
      <c r="V4173" t="e">
        <f>IF(#REF! = "yes", 1, 0)</f>
        <v>#REF!</v>
      </c>
      <c r="W4173" t="e">
        <f>IF(#REF! &lt;= 1, "0-1 Calls", IF(#REF! &lt;= 3, "2-3 Calls", IF(#REF! &lt;=5, "4-5 Calls", "6+ Calls")))</f>
        <v>#REF!</v>
      </c>
      <c r="X4173" t="e">
        <f>IF(#REF! &lt;= 50, "0-50", IF(#REF! &lt;=100, "51-100", IF(#REF! &lt;= 150, "101-150", "151+")))</f>
        <v>#REF!</v>
      </c>
      <c r="Y4173" t="e">
        <f>IF(#REF! &lt;= 3, "Low Charges", "High Charges")</f>
        <v>#REF!</v>
      </c>
      <c r="Z4173" t="e">
        <f>IF(#REF!&lt;=80,"Low Calls",
IF(#REF!&lt;=120,"Medium Calls","High Calls"))</f>
        <v>#REF!</v>
      </c>
      <c r="AA4173" t="e">
        <f>IF(#REF!&lt;=15,"Low Charges",
IF(#REF!&lt;=20,"Medium Charges","High Charges"))</f>
        <v>#REF!</v>
      </c>
      <c r="AB4173" t="e">
        <f>IF(AND(#REF!&gt;180, #REF!&gt;200), "Heavy Doemstic User", IF(#REF!&gt;10, "Interntional User", IF(AND(#REF!&lt;180, #REF!&lt;200,#REF!&lt;200), "Light User", "Balanced User")))</f>
        <v>#REF!</v>
      </c>
      <c r="AC4173" t="e">
        <f>IF(#REF! = 0, "No Usage", IF(#REF! &lt;= 20, "Low Usage", IF(#REF! &lt;= 40, "Medium Usgae", "High Usage")))</f>
        <v>#REF!</v>
      </c>
      <c r="AD4173" t="e">
        <f>IF(#REF!&lt;=150,"Low Usage", IF(#REF!&lt;=200,"Medium Usage", IF(#REF!&lt;=250,"High Usage","Very High Usage")))</f>
        <v>#REF!</v>
      </c>
      <c r="AE4173" t="e">
        <f>IF(#REF!&lt;=5,"Low Calls", IF(#REF!&lt;=10, "Medium Calls", "High Calls"))</f>
        <v>#REF!</v>
      </c>
      <c r="AF4173" t="e">
        <f xml:space="preserve">
IF(#REF!&gt;=4,4,0)+
IF(#REF!="yes",3,0)+
IF(#REF!="High Charges",3,0)+
IF(#REF!&gt;250,4,0)+
IF(#REF!="no",1,0)+
IF(#REF!="Heavy Domestic User",2,0)</f>
        <v>#REF!</v>
      </c>
      <c r="AG4173" t="e">
        <f>IF(#REF!&gt;=10,"High Risk", IF(#REF!&gt;=5,"Medium Risk","Low Risk"))</f>
        <v>#REF!</v>
      </c>
      <c r="AH4173" t="e">
        <f>#REF! + #REF! + #REF! + #REF!</f>
        <v>#REF!</v>
      </c>
    </row>
    <row r="4174" spans="1:34" x14ac:dyDescent="0.35">
      <c r="A4174">
        <v>4173</v>
      </c>
      <c r="B4174" t="s">
        <v>32</v>
      </c>
      <c r="C4174">
        <v>160</v>
      </c>
      <c r="D4174" t="s">
        <v>28</v>
      </c>
      <c r="E4174" t="s">
        <v>22</v>
      </c>
      <c r="F4174" t="s">
        <v>23</v>
      </c>
      <c r="G4174">
        <v>33</v>
      </c>
      <c r="H4174">
        <v>137</v>
      </c>
      <c r="I4174">
        <v>100</v>
      </c>
      <c r="J4174">
        <v>23.29</v>
      </c>
      <c r="K4174">
        <v>203.5</v>
      </c>
      <c r="L4174">
        <v>82</v>
      </c>
      <c r="M4174">
        <v>17.3</v>
      </c>
      <c r="N4174">
        <v>218.7</v>
      </c>
      <c r="O4174">
        <v>64</v>
      </c>
      <c r="P4174">
        <v>9.84</v>
      </c>
      <c r="Q4174">
        <v>5.8</v>
      </c>
      <c r="R4174">
        <v>4</v>
      </c>
      <c r="S4174">
        <v>1.57</v>
      </c>
      <c r="T4174">
        <v>2</v>
      </c>
      <c r="U4174" t="s">
        <v>22</v>
      </c>
      <c r="V4174" t="e">
        <f>IF(#REF! = "yes", 1, 0)</f>
        <v>#REF!</v>
      </c>
      <c r="W4174" t="e">
        <f>IF(#REF! &lt;= 1, "0-1 Calls", IF(#REF! &lt;= 3, "2-3 Calls", IF(#REF! &lt;=5, "4-5 Calls", "6+ Calls")))</f>
        <v>#REF!</v>
      </c>
      <c r="X4174" t="e">
        <f>IF(#REF! &lt;= 50, "0-50", IF(#REF! &lt;=100, "51-100", IF(#REF! &lt;= 150, "101-150", "151+")))</f>
        <v>#REF!</v>
      </c>
      <c r="Y4174" t="e">
        <f>IF(#REF! &lt;= 3, "Low Charges", "High Charges")</f>
        <v>#REF!</v>
      </c>
      <c r="Z4174" t="e">
        <f>IF(#REF!&lt;=80,"Low Calls",
IF(#REF!&lt;=120,"Medium Calls","High Calls"))</f>
        <v>#REF!</v>
      </c>
      <c r="AA4174" t="e">
        <f>IF(#REF!&lt;=15,"Low Charges",
IF(#REF!&lt;=20,"Medium Charges","High Charges"))</f>
        <v>#REF!</v>
      </c>
      <c r="AB4174" t="e">
        <f>IF(AND(#REF!&gt;180, #REF!&gt;200), "Heavy Doemstic User", IF(#REF!&gt;10, "Interntional User", IF(AND(#REF!&lt;180, #REF!&lt;200,#REF!&lt;200), "Light User", "Balanced User")))</f>
        <v>#REF!</v>
      </c>
      <c r="AC4174" t="e">
        <f>IF(#REF! = 0, "No Usage", IF(#REF! &lt;= 20, "Low Usage", IF(#REF! &lt;= 40, "Medium Usgae", "High Usage")))</f>
        <v>#REF!</v>
      </c>
      <c r="AD4174" t="e">
        <f>IF(#REF!&lt;=150,"Low Usage", IF(#REF!&lt;=200,"Medium Usage", IF(#REF!&lt;=250,"High Usage","Very High Usage")))</f>
        <v>#REF!</v>
      </c>
      <c r="AE4174" t="e">
        <f>IF(#REF!&lt;=5,"Low Calls", IF(#REF!&lt;=10, "Medium Calls", "High Calls"))</f>
        <v>#REF!</v>
      </c>
      <c r="AF4174" t="e">
        <f xml:space="preserve">
IF(#REF!&gt;=4,4,0)+
IF(#REF!="yes",3,0)+
IF(#REF!="High Charges",3,0)+
IF(#REF!&gt;250,4,0)+
IF(#REF!="no",1,0)+
IF(#REF!="Heavy Domestic User",2,0)</f>
        <v>#REF!</v>
      </c>
      <c r="AG4174" t="e">
        <f>IF(#REF!&gt;=10,"High Risk", IF(#REF!&gt;=5,"Medium Risk","Low Risk"))</f>
        <v>#REF!</v>
      </c>
      <c r="AH4174" t="e">
        <f>#REF! + #REF! + #REF! + #REF!</f>
        <v>#REF!</v>
      </c>
    </row>
    <row r="4175" spans="1:34" x14ac:dyDescent="0.35">
      <c r="A4175">
        <v>4174</v>
      </c>
      <c r="B4175" t="s">
        <v>62</v>
      </c>
      <c r="C4175">
        <v>58</v>
      </c>
      <c r="D4175" t="s">
        <v>25</v>
      </c>
      <c r="E4175" t="s">
        <v>22</v>
      </c>
      <c r="F4175" t="s">
        <v>22</v>
      </c>
      <c r="G4175">
        <v>0</v>
      </c>
      <c r="H4175">
        <v>191.3</v>
      </c>
      <c r="I4175">
        <v>120</v>
      </c>
      <c r="J4175">
        <v>32.520000000000003</v>
      </c>
      <c r="K4175">
        <v>216.4</v>
      </c>
      <c r="L4175">
        <v>124</v>
      </c>
      <c r="M4175">
        <v>18.39</v>
      </c>
      <c r="N4175">
        <v>100.3</v>
      </c>
      <c r="O4175">
        <v>132</v>
      </c>
      <c r="P4175">
        <v>4.51</v>
      </c>
      <c r="Q4175">
        <v>8.6</v>
      </c>
      <c r="R4175">
        <v>9</v>
      </c>
      <c r="S4175">
        <v>2.3199999999999998</v>
      </c>
      <c r="T4175">
        <v>3</v>
      </c>
      <c r="U4175" t="s">
        <v>22</v>
      </c>
      <c r="V4175" t="e">
        <f>IF(#REF! = "yes", 1, 0)</f>
        <v>#REF!</v>
      </c>
      <c r="W4175" t="e">
        <f>IF(#REF! &lt;= 1, "0-1 Calls", IF(#REF! &lt;= 3, "2-3 Calls", IF(#REF! &lt;=5, "4-5 Calls", "6+ Calls")))</f>
        <v>#REF!</v>
      </c>
      <c r="X4175" t="e">
        <f>IF(#REF! &lt;= 50, "0-50", IF(#REF! &lt;=100, "51-100", IF(#REF! &lt;= 150, "101-150", "151+")))</f>
        <v>#REF!</v>
      </c>
      <c r="Y4175" t="e">
        <f>IF(#REF! &lt;= 3, "Low Charges", "High Charges")</f>
        <v>#REF!</v>
      </c>
      <c r="Z4175" t="e">
        <f>IF(#REF!&lt;=80,"Low Calls",
IF(#REF!&lt;=120,"Medium Calls","High Calls"))</f>
        <v>#REF!</v>
      </c>
      <c r="AA4175" t="e">
        <f>IF(#REF!&lt;=15,"Low Charges",
IF(#REF!&lt;=20,"Medium Charges","High Charges"))</f>
        <v>#REF!</v>
      </c>
      <c r="AB4175" t="e">
        <f>IF(AND(#REF!&gt;180, #REF!&gt;200), "Heavy Doemstic User", IF(#REF!&gt;10, "Interntional User", IF(AND(#REF!&lt;180, #REF!&lt;200,#REF!&lt;200), "Light User", "Balanced User")))</f>
        <v>#REF!</v>
      </c>
      <c r="AC4175" t="e">
        <f>IF(#REF! = 0, "No Usage", IF(#REF! &lt;= 20, "Low Usage", IF(#REF! &lt;= 40, "Medium Usgae", "High Usage")))</f>
        <v>#REF!</v>
      </c>
      <c r="AD4175" t="e">
        <f>IF(#REF!&lt;=150,"Low Usage", IF(#REF!&lt;=200,"Medium Usage", IF(#REF!&lt;=250,"High Usage","Very High Usage")))</f>
        <v>#REF!</v>
      </c>
      <c r="AE4175" t="e">
        <f>IF(#REF!&lt;=5,"Low Calls", IF(#REF!&lt;=10, "Medium Calls", "High Calls"))</f>
        <v>#REF!</v>
      </c>
      <c r="AF4175" t="e">
        <f xml:space="preserve">
IF(#REF!&gt;=4,4,0)+
IF(#REF!="yes",3,0)+
IF(#REF!="High Charges",3,0)+
IF(#REF!&gt;250,4,0)+
IF(#REF!="no",1,0)+
IF(#REF!="Heavy Domestic User",2,0)</f>
        <v>#REF!</v>
      </c>
      <c r="AG4175" t="e">
        <f>IF(#REF!&gt;=10,"High Risk", IF(#REF!&gt;=5,"Medium Risk","Low Risk"))</f>
        <v>#REF!</v>
      </c>
      <c r="AH4175" t="e">
        <f>#REF! + #REF! + #REF! + #REF!</f>
        <v>#REF!</v>
      </c>
    </row>
    <row r="4176" spans="1:34" x14ac:dyDescent="0.35">
      <c r="A4176">
        <v>4175</v>
      </c>
      <c r="B4176" t="s">
        <v>60</v>
      </c>
      <c r="C4176">
        <v>89</v>
      </c>
      <c r="D4176" t="s">
        <v>28</v>
      </c>
      <c r="E4176" t="s">
        <v>22</v>
      </c>
      <c r="F4176" t="s">
        <v>22</v>
      </c>
      <c r="G4176">
        <v>0</v>
      </c>
      <c r="H4176">
        <v>86</v>
      </c>
      <c r="I4176">
        <v>105</v>
      </c>
      <c r="J4176">
        <v>14.62</v>
      </c>
      <c r="K4176">
        <v>215.5</v>
      </c>
      <c r="L4176">
        <v>102</v>
      </c>
      <c r="M4176">
        <v>18.32</v>
      </c>
      <c r="N4176">
        <v>185.7</v>
      </c>
      <c r="O4176">
        <v>83</v>
      </c>
      <c r="P4176">
        <v>8.36</v>
      </c>
      <c r="Q4176">
        <v>8.1999999999999993</v>
      </c>
      <c r="R4176">
        <v>3</v>
      </c>
      <c r="S4176">
        <v>2.21</v>
      </c>
      <c r="T4176">
        <v>3</v>
      </c>
      <c r="U4176" t="s">
        <v>22</v>
      </c>
      <c r="V4176" t="e">
        <f>IF(#REF! = "yes", 1, 0)</f>
        <v>#REF!</v>
      </c>
      <c r="W4176" t="e">
        <f>IF(#REF! &lt;= 1, "0-1 Calls", IF(#REF! &lt;= 3, "2-3 Calls", IF(#REF! &lt;=5, "4-5 Calls", "6+ Calls")))</f>
        <v>#REF!</v>
      </c>
      <c r="X4176" t="e">
        <f>IF(#REF! &lt;= 50, "0-50", IF(#REF! &lt;=100, "51-100", IF(#REF! &lt;= 150, "101-150", "151+")))</f>
        <v>#REF!</v>
      </c>
      <c r="Y4176" t="e">
        <f>IF(#REF! &lt;= 3, "Low Charges", "High Charges")</f>
        <v>#REF!</v>
      </c>
      <c r="Z4176" t="e">
        <f>IF(#REF!&lt;=80,"Low Calls",
IF(#REF!&lt;=120,"Medium Calls","High Calls"))</f>
        <v>#REF!</v>
      </c>
      <c r="AA4176" t="e">
        <f>IF(#REF!&lt;=15,"Low Charges",
IF(#REF!&lt;=20,"Medium Charges","High Charges"))</f>
        <v>#REF!</v>
      </c>
      <c r="AB4176" t="e">
        <f>IF(AND(#REF!&gt;180, #REF!&gt;200), "Heavy Doemstic User", IF(#REF!&gt;10, "Interntional User", IF(AND(#REF!&lt;180, #REF!&lt;200,#REF!&lt;200), "Light User", "Balanced User")))</f>
        <v>#REF!</v>
      </c>
      <c r="AC4176" t="e">
        <f>IF(#REF! = 0, "No Usage", IF(#REF! &lt;= 20, "Low Usage", IF(#REF! &lt;= 40, "Medium Usgae", "High Usage")))</f>
        <v>#REF!</v>
      </c>
      <c r="AD4176" t="e">
        <f>IF(#REF!&lt;=150,"Low Usage", IF(#REF!&lt;=200,"Medium Usage", IF(#REF!&lt;=250,"High Usage","Very High Usage")))</f>
        <v>#REF!</v>
      </c>
      <c r="AE4176" t="e">
        <f>IF(#REF!&lt;=5,"Low Calls", IF(#REF!&lt;=10, "Medium Calls", "High Calls"))</f>
        <v>#REF!</v>
      </c>
      <c r="AF4176" t="e">
        <f xml:space="preserve">
IF(#REF!&gt;=4,4,0)+
IF(#REF!="yes",3,0)+
IF(#REF!="High Charges",3,0)+
IF(#REF!&gt;250,4,0)+
IF(#REF!="no",1,0)+
IF(#REF!="Heavy Domestic User",2,0)</f>
        <v>#REF!</v>
      </c>
      <c r="AG4176" t="e">
        <f>IF(#REF!&gt;=10,"High Risk", IF(#REF!&gt;=5,"Medium Risk","Low Risk"))</f>
        <v>#REF!</v>
      </c>
      <c r="AH4176" t="e">
        <f>#REF! + #REF! + #REF! + #REF!</f>
        <v>#REF!</v>
      </c>
    </row>
    <row r="4177" spans="1:34" x14ac:dyDescent="0.35">
      <c r="A4177">
        <v>4176</v>
      </c>
      <c r="B4177" t="s">
        <v>50</v>
      </c>
      <c r="C4177">
        <v>71</v>
      </c>
      <c r="D4177" t="s">
        <v>25</v>
      </c>
      <c r="E4177" t="s">
        <v>22</v>
      </c>
      <c r="F4177" t="s">
        <v>23</v>
      </c>
      <c r="G4177">
        <v>24</v>
      </c>
      <c r="H4177">
        <v>139.80000000000001</v>
      </c>
      <c r="I4177">
        <v>58</v>
      </c>
      <c r="J4177">
        <v>23.77</v>
      </c>
      <c r="K4177">
        <v>253.8</v>
      </c>
      <c r="L4177">
        <v>110</v>
      </c>
      <c r="M4177">
        <v>21.57</v>
      </c>
      <c r="N4177">
        <v>252.8</v>
      </c>
      <c r="O4177">
        <v>113</v>
      </c>
      <c r="P4177">
        <v>11.38</v>
      </c>
      <c r="Q4177">
        <v>11.1</v>
      </c>
      <c r="R4177">
        <v>6</v>
      </c>
      <c r="S4177">
        <v>3</v>
      </c>
      <c r="T4177">
        <v>1</v>
      </c>
      <c r="U4177" t="s">
        <v>22</v>
      </c>
      <c r="V4177" t="e">
        <f>IF(#REF! = "yes", 1, 0)</f>
        <v>#REF!</v>
      </c>
      <c r="W4177" t="e">
        <f>IF(#REF! &lt;= 1, "0-1 Calls", IF(#REF! &lt;= 3, "2-3 Calls", IF(#REF! &lt;=5, "4-5 Calls", "6+ Calls")))</f>
        <v>#REF!</v>
      </c>
      <c r="X4177" t="e">
        <f>IF(#REF! &lt;= 50, "0-50", IF(#REF! &lt;=100, "51-100", IF(#REF! &lt;= 150, "101-150", "151+")))</f>
        <v>#REF!</v>
      </c>
      <c r="Y4177" t="e">
        <f>IF(#REF! &lt;= 3, "Low Charges", "High Charges")</f>
        <v>#REF!</v>
      </c>
      <c r="Z4177" t="e">
        <f>IF(#REF!&lt;=80,"Low Calls",
IF(#REF!&lt;=120,"Medium Calls","High Calls"))</f>
        <v>#REF!</v>
      </c>
      <c r="AA4177" t="e">
        <f>IF(#REF!&lt;=15,"Low Charges",
IF(#REF!&lt;=20,"Medium Charges","High Charges"))</f>
        <v>#REF!</v>
      </c>
      <c r="AB4177" t="e">
        <f>IF(AND(#REF!&gt;180, #REF!&gt;200), "Heavy Doemstic User", IF(#REF!&gt;10, "Interntional User", IF(AND(#REF!&lt;180, #REF!&lt;200,#REF!&lt;200), "Light User", "Balanced User")))</f>
        <v>#REF!</v>
      </c>
      <c r="AC4177" t="e">
        <f>IF(#REF! = 0, "No Usage", IF(#REF! &lt;= 20, "Low Usage", IF(#REF! &lt;= 40, "Medium Usgae", "High Usage")))</f>
        <v>#REF!</v>
      </c>
      <c r="AD4177" t="e">
        <f>IF(#REF!&lt;=150,"Low Usage", IF(#REF!&lt;=200,"Medium Usage", IF(#REF!&lt;=250,"High Usage","Very High Usage")))</f>
        <v>#REF!</v>
      </c>
      <c r="AE4177" t="e">
        <f>IF(#REF!&lt;=5,"Low Calls", IF(#REF!&lt;=10, "Medium Calls", "High Calls"))</f>
        <v>#REF!</v>
      </c>
      <c r="AF4177" t="e">
        <f xml:space="preserve">
IF(#REF!&gt;=4,4,0)+
IF(#REF!="yes",3,0)+
IF(#REF!="High Charges",3,0)+
IF(#REF!&gt;250,4,0)+
IF(#REF!="no",1,0)+
IF(#REF!="Heavy Domestic User",2,0)</f>
        <v>#REF!</v>
      </c>
      <c r="AG4177" t="e">
        <f>IF(#REF!&gt;=10,"High Risk", IF(#REF!&gt;=5,"Medium Risk","Low Risk"))</f>
        <v>#REF!</v>
      </c>
      <c r="AH4177" t="e">
        <f>#REF! + #REF! + #REF! + #REF!</f>
        <v>#REF!</v>
      </c>
    </row>
    <row r="4178" spans="1:34" x14ac:dyDescent="0.35">
      <c r="A4178">
        <v>4177</v>
      </c>
      <c r="B4178" t="s">
        <v>44</v>
      </c>
      <c r="C4178">
        <v>141</v>
      </c>
      <c r="D4178" t="s">
        <v>25</v>
      </c>
      <c r="E4178" t="s">
        <v>22</v>
      </c>
      <c r="F4178" t="s">
        <v>22</v>
      </c>
      <c r="G4178">
        <v>0</v>
      </c>
      <c r="H4178">
        <v>301.39999999999998</v>
      </c>
      <c r="I4178">
        <v>87</v>
      </c>
      <c r="J4178">
        <v>51.24</v>
      </c>
      <c r="K4178">
        <v>269.2</v>
      </c>
      <c r="L4178">
        <v>111</v>
      </c>
      <c r="M4178">
        <v>22.88</v>
      </c>
      <c r="N4178">
        <v>148.6</v>
      </c>
      <c r="O4178">
        <v>95</v>
      </c>
      <c r="P4178">
        <v>6.69</v>
      </c>
      <c r="Q4178">
        <v>14.4</v>
      </c>
      <c r="R4178">
        <v>5</v>
      </c>
      <c r="S4178">
        <v>3.89</v>
      </c>
      <c r="T4178">
        <v>0</v>
      </c>
      <c r="U4178" t="s">
        <v>23</v>
      </c>
      <c r="V4178" t="e">
        <f>IF(#REF! = "yes", 1, 0)</f>
        <v>#REF!</v>
      </c>
      <c r="W4178" t="e">
        <f>IF(#REF! &lt;= 1, "0-1 Calls", IF(#REF! &lt;= 3, "2-3 Calls", IF(#REF! &lt;=5, "4-5 Calls", "6+ Calls")))</f>
        <v>#REF!</v>
      </c>
      <c r="X4178" t="e">
        <f>IF(#REF! &lt;= 50, "0-50", IF(#REF! &lt;=100, "51-100", IF(#REF! &lt;= 150, "101-150", "151+")))</f>
        <v>#REF!</v>
      </c>
      <c r="Y4178" t="e">
        <f>IF(#REF! &lt;= 3, "Low Charges", "High Charges")</f>
        <v>#REF!</v>
      </c>
      <c r="Z4178" t="e">
        <f>IF(#REF!&lt;=80,"Low Calls",
IF(#REF!&lt;=120,"Medium Calls","High Calls"))</f>
        <v>#REF!</v>
      </c>
      <c r="AA4178" t="e">
        <f>IF(#REF!&lt;=15,"Low Charges",
IF(#REF!&lt;=20,"Medium Charges","High Charges"))</f>
        <v>#REF!</v>
      </c>
      <c r="AB4178" t="e">
        <f>IF(AND(#REF!&gt;180, #REF!&gt;200), "Heavy Doemstic User", IF(#REF!&gt;10, "Interntional User", IF(AND(#REF!&lt;180, #REF!&lt;200,#REF!&lt;200), "Light User", "Balanced User")))</f>
        <v>#REF!</v>
      </c>
      <c r="AC4178" t="e">
        <f>IF(#REF! = 0, "No Usage", IF(#REF! &lt;= 20, "Low Usage", IF(#REF! &lt;= 40, "Medium Usgae", "High Usage")))</f>
        <v>#REF!</v>
      </c>
      <c r="AD4178" t="e">
        <f>IF(#REF!&lt;=150,"Low Usage", IF(#REF!&lt;=200,"Medium Usage", IF(#REF!&lt;=250,"High Usage","Very High Usage")))</f>
        <v>#REF!</v>
      </c>
      <c r="AE4178" t="e">
        <f>IF(#REF!&lt;=5,"Low Calls", IF(#REF!&lt;=10, "Medium Calls", "High Calls"))</f>
        <v>#REF!</v>
      </c>
      <c r="AF4178" t="e">
        <f xml:space="preserve">
IF(#REF!&gt;=4,4,0)+
IF(#REF!="yes",3,0)+
IF(#REF!="High Charges",3,0)+
IF(#REF!&gt;250,4,0)+
IF(#REF!="no",1,0)+
IF(#REF!="Heavy Domestic User",2,0)</f>
        <v>#REF!</v>
      </c>
      <c r="AG4178" t="e">
        <f>IF(#REF!&gt;=10,"High Risk", IF(#REF!&gt;=5,"Medium Risk","Low Risk"))</f>
        <v>#REF!</v>
      </c>
      <c r="AH4178" t="e">
        <f>#REF! + #REF! + #REF! + #REF!</f>
        <v>#REF!</v>
      </c>
    </row>
    <row r="4179" spans="1:34" x14ac:dyDescent="0.35">
      <c r="A4179">
        <v>4178</v>
      </c>
      <c r="B4179" t="s">
        <v>52</v>
      </c>
      <c r="C4179">
        <v>1</v>
      </c>
      <c r="D4179" t="s">
        <v>21</v>
      </c>
      <c r="E4179" t="s">
        <v>22</v>
      </c>
      <c r="F4179" t="s">
        <v>22</v>
      </c>
      <c r="G4179">
        <v>0</v>
      </c>
      <c r="H4179">
        <v>195</v>
      </c>
      <c r="I4179">
        <v>81</v>
      </c>
      <c r="J4179">
        <v>33.15</v>
      </c>
      <c r="K4179">
        <v>266.2</v>
      </c>
      <c r="L4179">
        <v>123</v>
      </c>
      <c r="M4179">
        <v>22.63</v>
      </c>
      <c r="N4179">
        <v>213.9</v>
      </c>
      <c r="O4179">
        <v>132</v>
      </c>
      <c r="P4179">
        <v>9.6300000000000008</v>
      </c>
      <c r="Q4179">
        <v>11.1</v>
      </c>
      <c r="R4179">
        <v>6</v>
      </c>
      <c r="S4179">
        <v>3</v>
      </c>
      <c r="T4179">
        <v>0</v>
      </c>
      <c r="U4179" t="s">
        <v>22</v>
      </c>
      <c r="V4179" t="e">
        <f>IF(#REF! = "yes", 1, 0)</f>
        <v>#REF!</v>
      </c>
      <c r="W4179" t="e">
        <f>IF(#REF! &lt;= 1, "0-1 Calls", IF(#REF! &lt;= 3, "2-3 Calls", IF(#REF! &lt;=5, "4-5 Calls", "6+ Calls")))</f>
        <v>#REF!</v>
      </c>
      <c r="X4179" t="e">
        <f>IF(#REF! &lt;= 50, "0-50", IF(#REF! &lt;=100, "51-100", IF(#REF! &lt;= 150, "101-150", "151+")))</f>
        <v>#REF!</v>
      </c>
      <c r="Y4179" t="e">
        <f>IF(#REF! &lt;= 3, "Low Charges", "High Charges")</f>
        <v>#REF!</v>
      </c>
      <c r="Z4179" t="e">
        <f>IF(#REF!&lt;=80,"Low Calls",
IF(#REF!&lt;=120,"Medium Calls","High Calls"))</f>
        <v>#REF!</v>
      </c>
      <c r="AA4179" t="e">
        <f>IF(#REF!&lt;=15,"Low Charges",
IF(#REF!&lt;=20,"Medium Charges","High Charges"))</f>
        <v>#REF!</v>
      </c>
      <c r="AB4179" t="e">
        <f>IF(AND(#REF!&gt;180, #REF!&gt;200), "Heavy Doemstic User", IF(#REF!&gt;10, "Interntional User", IF(AND(#REF!&lt;180, #REF!&lt;200,#REF!&lt;200), "Light User", "Balanced User")))</f>
        <v>#REF!</v>
      </c>
      <c r="AC4179" t="e">
        <f>IF(#REF! = 0, "No Usage", IF(#REF! &lt;= 20, "Low Usage", IF(#REF! &lt;= 40, "Medium Usgae", "High Usage")))</f>
        <v>#REF!</v>
      </c>
      <c r="AD4179" t="e">
        <f>IF(#REF!&lt;=150,"Low Usage", IF(#REF!&lt;=200,"Medium Usage", IF(#REF!&lt;=250,"High Usage","Very High Usage")))</f>
        <v>#REF!</v>
      </c>
      <c r="AE4179" t="e">
        <f>IF(#REF!&lt;=5,"Low Calls", IF(#REF!&lt;=10, "Medium Calls", "High Calls"))</f>
        <v>#REF!</v>
      </c>
      <c r="AF4179" t="e">
        <f xml:space="preserve">
IF(#REF!&gt;=4,4,0)+
IF(#REF!="yes",3,0)+
IF(#REF!="High Charges",3,0)+
IF(#REF!&gt;250,4,0)+
IF(#REF!="no",1,0)+
IF(#REF!="Heavy Domestic User",2,0)</f>
        <v>#REF!</v>
      </c>
      <c r="AG4179" t="e">
        <f>IF(#REF!&gt;=10,"High Risk", IF(#REF!&gt;=5,"Medium Risk","Low Risk"))</f>
        <v>#REF!</v>
      </c>
      <c r="AH4179" t="e">
        <f>#REF! + #REF! + #REF! + #REF!</f>
        <v>#REF!</v>
      </c>
    </row>
    <row r="4180" spans="1:34" x14ac:dyDescent="0.35">
      <c r="A4180">
        <v>4179</v>
      </c>
      <c r="B4180" t="s">
        <v>34</v>
      </c>
      <c r="C4180">
        <v>50</v>
      </c>
      <c r="D4180" t="s">
        <v>28</v>
      </c>
      <c r="E4180" t="s">
        <v>22</v>
      </c>
      <c r="F4180" t="s">
        <v>22</v>
      </c>
      <c r="G4180">
        <v>0</v>
      </c>
      <c r="H4180">
        <v>202</v>
      </c>
      <c r="I4180">
        <v>106</v>
      </c>
      <c r="J4180">
        <v>34.340000000000003</v>
      </c>
      <c r="K4180">
        <v>174.7</v>
      </c>
      <c r="L4180">
        <v>70</v>
      </c>
      <c r="M4180">
        <v>14.85</v>
      </c>
      <c r="N4180">
        <v>152.9</v>
      </c>
      <c r="O4180">
        <v>92</v>
      </c>
      <c r="P4180">
        <v>6.88</v>
      </c>
      <c r="Q4180">
        <v>6</v>
      </c>
      <c r="R4180">
        <v>6</v>
      </c>
      <c r="S4180">
        <v>1.62</v>
      </c>
      <c r="T4180">
        <v>4</v>
      </c>
      <c r="U4180" t="s">
        <v>22</v>
      </c>
      <c r="V4180" t="e">
        <f>IF(#REF! = "yes", 1, 0)</f>
        <v>#REF!</v>
      </c>
      <c r="W4180" t="e">
        <f>IF(#REF! &lt;= 1, "0-1 Calls", IF(#REF! &lt;= 3, "2-3 Calls", IF(#REF! &lt;=5, "4-5 Calls", "6+ Calls")))</f>
        <v>#REF!</v>
      </c>
      <c r="X4180" t="e">
        <f>IF(#REF! &lt;= 50, "0-50", IF(#REF! &lt;=100, "51-100", IF(#REF! &lt;= 150, "101-150", "151+")))</f>
        <v>#REF!</v>
      </c>
      <c r="Y4180" t="e">
        <f>IF(#REF! &lt;= 3, "Low Charges", "High Charges")</f>
        <v>#REF!</v>
      </c>
      <c r="Z4180" t="e">
        <f>IF(#REF!&lt;=80,"Low Calls",
IF(#REF!&lt;=120,"Medium Calls","High Calls"))</f>
        <v>#REF!</v>
      </c>
      <c r="AA4180" t="e">
        <f>IF(#REF!&lt;=15,"Low Charges",
IF(#REF!&lt;=20,"Medium Charges","High Charges"))</f>
        <v>#REF!</v>
      </c>
      <c r="AB4180" t="e">
        <f>IF(AND(#REF!&gt;180, #REF!&gt;200), "Heavy Doemstic User", IF(#REF!&gt;10, "Interntional User", IF(AND(#REF!&lt;180, #REF!&lt;200,#REF!&lt;200), "Light User", "Balanced User")))</f>
        <v>#REF!</v>
      </c>
      <c r="AC4180" t="e">
        <f>IF(#REF! = 0, "No Usage", IF(#REF! &lt;= 20, "Low Usage", IF(#REF! &lt;= 40, "Medium Usgae", "High Usage")))</f>
        <v>#REF!</v>
      </c>
      <c r="AD4180" t="e">
        <f>IF(#REF!&lt;=150,"Low Usage", IF(#REF!&lt;=200,"Medium Usage", IF(#REF!&lt;=250,"High Usage","Very High Usage")))</f>
        <v>#REF!</v>
      </c>
      <c r="AE4180" t="e">
        <f>IF(#REF!&lt;=5,"Low Calls", IF(#REF!&lt;=10, "Medium Calls", "High Calls"))</f>
        <v>#REF!</v>
      </c>
      <c r="AF4180" t="e">
        <f xml:space="preserve">
IF(#REF!&gt;=4,4,0)+
IF(#REF!="yes",3,0)+
IF(#REF!="High Charges",3,0)+
IF(#REF!&gt;250,4,0)+
IF(#REF!="no",1,0)+
IF(#REF!="Heavy Domestic User",2,0)</f>
        <v>#REF!</v>
      </c>
      <c r="AG4180" t="e">
        <f>IF(#REF!&gt;=10,"High Risk", IF(#REF!&gt;=5,"Medium Risk","Low Risk"))</f>
        <v>#REF!</v>
      </c>
      <c r="AH4180" t="e">
        <f>#REF! + #REF! + #REF! + #REF!</f>
        <v>#REF!</v>
      </c>
    </row>
    <row r="4181" spans="1:34" x14ac:dyDescent="0.35">
      <c r="A4181">
        <v>4180</v>
      </c>
      <c r="B4181" t="s">
        <v>75</v>
      </c>
      <c r="C4181">
        <v>38</v>
      </c>
      <c r="D4181" t="s">
        <v>21</v>
      </c>
      <c r="E4181" t="s">
        <v>23</v>
      </c>
      <c r="F4181" t="s">
        <v>22</v>
      </c>
      <c r="G4181">
        <v>0</v>
      </c>
      <c r="H4181">
        <v>211.6</v>
      </c>
      <c r="I4181">
        <v>87</v>
      </c>
      <c r="J4181">
        <v>35.97</v>
      </c>
      <c r="K4181">
        <v>106.9</v>
      </c>
      <c r="L4181">
        <v>68</v>
      </c>
      <c r="M4181">
        <v>9.09</v>
      </c>
      <c r="N4181">
        <v>239.2</v>
      </c>
      <c r="O4181">
        <v>99</v>
      </c>
      <c r="P4181">
        <v>10.76</v>
      </c>
      <c r="Q4181">
        <v>14.1</v>
      </c>
      <c r="R4181">
        <v>11</v>
      </c>
      <c r="S4181">
        <v>3.81</v>
      </c>
      <c r="T4181">
        <v>0</v>
      </c>
      <c r="U4181" t="s">
        <v>23</v>
      </c>
      <c r="V4181" t="e">
        <f>IF(#REF! = "yes", 1, 0)</f>
        <v>#REF!</v>
      </c>
      <c r="W4181" t="e">
        <f>IF(#REF! &lt;= 1, "0-1 Calls", IF(#REF! &lt;= 3, "2-3 Calls", IF(#REF! &lt;=5, "4-5 Calls", "6+ Calls")))</f>
        <v>#REF!</v>
      </c>
      <c r="X4181" t="e">
        <f>IF(#REF! &lt;= 50, "0-50", IF(#REF! &lt;=100, "51-100", IF(#REF! &lt;= 150, "101-150", "151+")))</f>
        <v>#REF!</v>
      </c>
      <c r="Y4181" t="e">
        <f>IF(#REF! &lt;= 3, "Low Charges", "High Charges")</f>
        <v>#REF!</v>
      </c>
      <c r="Z4181" t="e">
        <f>IF(#REF!&lt;=80,"Low Calls",
IF(#REF!&lt;=120,"Medium Calls","High Calls"))</f>
        <v>#REF!</v>
      </c>
      <c r="AA4181" t="e">
        <f>IF(#REF!&lt;=15,"Low Charges",
IF(#REF!&lt;=20,"Medium Charges","High Charges"))</f>
        <v>#REF!</v>
      </c>
      <c r="AB4181" t="e">
        <f>IF(AND(#REF!&gt;180, #REF!&gt;200), "Heavy Doemstic User", IF(#REF!&gt;10, "Interntional User", IF(AND(#REF!&lt;180, #REF!&lt;200,#REF!&lt;200), "Light User", "Balanced User")))</f>
        <v>#REF!</v>
      </c>
      <c r="AC4181" t="e">
        <f>IF(#REF! = 0, "No Usage", IF(#REF! &lt;= 20, "Low Usage", IF(#REF! &lt;= 40, "Medium Usgae", "High Usage")))</f>
        <v>#REF!</v>
      </c>
      <c r="AD4181" t="e">
        <f>IF(#REF!&lt;=150,"Low Usage", IF(#REF!&lt;=200,"Medium Usage", IF(#REF!&lt;=250,"High Usage","Very High Usage")))</f>
        <v>#REF!</v>
      </c>
      <c r="AE4181" t="e">
        <f>IF(#REF!&lt;=5,"Low Calls", IF(#REF!&lt;=10, "Medium Calls", "High Calls"))</f>
        <v>#REF!</v>
      </c>
      <c r="AF4181" t="e">
        <f xml:space="preserve">
IF(#REF!&gt;=4,4,0)+
IF(#REF!="yes",3,0)+
IF(#REF!="High Charges",3,0)+
IF(#REF!&gt;250,4,0)+
IF(#REF!="no",1,0)+
IF(#REF!="Heavy Domestic User",2,0)</f>
        <v>#REF!</v>
      </c>
      <c r="AG4181" t="e">
        <f>IF(#REF!&gt;=10,"High Risk", IF(#REF!&gt;=5,"Medium Risk","Low Risk"))</f>
        <v>#REF!</v>
      </c>
      <c r="AH4181" t="e">
        <f>#REF! + #REF! + #REF! + #REF!</f>
        <v>#REF!</v>
      </c>
    </row>
    <row r="4182" spans="1:34" x14ac:dyDescent="0.35">
      <c r="A4182">
        <v>4181</v>
      </c>
      <c r="B4182" t="s">
        <v>24</v>
      </c>
      <c r="C4182">
        <v>77</v>
      </c>
      <c r="D4182" t="s">
        <v>21</v>
      </c>
      <c r="E4182" t="s">
        <v>23</v>
      </c>
      <c r="F4182" t="s">
        <v>22</v>
      </c>
      <c r="G4182">
        <v>0</v>
      </c>
      <c r="H4182">
        <v>323.7</v>
      </c>
      <c r="I4182">
        <v>106</v>
      </c>
      <c r="J4182">
        <v>55.03</v>
      </c>
      <c r="K4182">
        <v>139.19999999999999</v>
      </c>
      <c r="L4182">
        <v>99</v>
      </c>
      <c r="M4182">
        <v>11.83</v>
      </c>
      <c r="N4182">
        <v>204.4</v>
      </c>
      <c r="O4182">
        <v>89</v>
      </c>
      <c r="P4182">
        <v>9.1999999999999993</v>
      </c>
      <c r="Q4182">
        <v>8.5</v>
      </c>
      <c r="R4182">
        <v>3</v>
      </c>
      <c r="S4182">
        <v>2.2999999999999998</v>
      </c>
      <c r="T4182">
        <v>6</v>
      </c>
      <c r="U4182" t="s">
        <v>23</v>
      </c>
      <c r="V4182" t="e">
        <f>IF(#REF! = "yes", 1, 0)</f>
        <v>#REF!</v>
      </c>
      <c r="W4182" t="e">
        <f>IF(#REF! &lt;= 1, "0-1 Calls", IF(#REF! &lt;= 3, "2-3 Calls", IF(#REF! &lt;=5, "4-5 Calls", "6+ Calls")))</f>
        <v>#REF!</v>
      </c>
      <c r="X4182" t="e">
        <f>IF(#REF! &lt;= 50, "0-50", IF(#REF! &lt;=100, "51-100", IF(#REF! &lt;= 150, "101-150", "151+")))</f>
        <v>#REF!</v>
      </c>
      <c r="Y4182" t="e">
        <f>IF(#REF! &lt;= 3, "Low Charges", "High Charges")</f>
        <v>#REF!</v>
      </c>
      <c r="Z4182" t="e">
        <f>IF(#REF!&lt;=80,"Low Calls",
IF(#REF!&lt;=120,"Medium Calls","High Calls"))</f>
        <v>#REF!</v>
      </c>
      <c r="AA4182" t="e">
        <f>IF(#REF!&lt;=15,"Low Charges",
IF(#REF!&lt;=20,"Medium Charges","High Charges"))</f>
        <v>#REF!</v>
      </c>
      <c r="AB4182" t="e">
        <f>IF(AND(#REF!&gt;180, #REF!&gt;200), "Heavy Doemstic User", IF(#REF!&gt;10, "Interntional User", IF(AND(#REF!&lt;180, #REF!&lt;200,#REF!&lt;200), "Light User", "Balanced User")))</f>
        <v>#REF!</v>
      </c>
      <c r="AC4182" t="e">
        <f>IF(#REF! = 0, "No Usage", IF(#REF! &lt;= 20, "Low Usage", IF(#REF! &lt;= 40, "Medium Usgae", "High Usage")))</f>
        <v>#REF!</v>
      </c>
      <c r="AD4182" t="e">
        <f>IF(#REF!&lt;=150,"Low Usage", IF(#REF!&lt;=200,"Medium Usage", IF(#REF!&lt;=250,"High Usage","Very High Usage")))</f>
        <v>#REF!</v>
      </c>
      <c r="AE4182" t="e">
        <f>IF(#REF!&lt;=5,"Low Calls", IF(#REF!&lt;=10, "Medium Calls", "High Calls"))</f>
        <v>#REF!</v>
      </c>
      <c r="AF4182" t="e">
        <f xml:space="preserve">
IF(#REF!&gt;=4,4,0)+
IF(#REF!="yes",3,0)+
IF(#REF!="High Charges",3,0)+
IF(#REF!&gt;250,4,0)+
IF(#REF!="no",1,0)+
IF(#REF!="Heavy Domestic User",2,0)</f>
        <v>#REF!</v>
      </c>
      <c r="AG4182" t="e">
        <f>IF(#REF!&gt;=10,"High Risk", IF(#REF!&gt;=5,"Medium Risk","Low Risk"))</f>
        <v>#REF!</v>
      </c>
      <c r="AH4182" t="e">
        <f>#REF! + #REF! + #REF! + #REF!</f>
        <v>#REF!</v>
      </c>
    </row>
    <row r="4183" spans="1:34" x14ac:dyDescent="0.35">
      <c r="A4183">
        <v>4182</v>
      </c>
      <c r="B4183" t="s">
        <v>45</v>
      </c>
      <c r="C4183">
        <v>155</v>
      </c>
      <c r="D4183" t="s">
        <v>25</v>
      </c>
      <c r="E4183" t="s">
        <v>22</v>
      </c>
      <c r="F4183" t="s">
        <v>22</v>
      </c>
      <c r="G4183">
        <v>0</v>
      </c>
      <c r="H4183">
        <v>214.2</v>
      </c>
      <c r="I4183">
        <v>121</v>
      </c>
      <c r="J4183">
        <v>36.409999999999997</v>
      </c>
      <c r="K4183">
        <v>199.5</v>
      </c>
      <c r="L4183">
        <v>68</v>
      </c>
      <c r="M4183">
        <v>16.96</v>
      </c>
      <c r="N4183">
        <v>216.8</v>
      </c>
      <c r="O4183">
        <v>132</v>
      </c>
      <c r="P4183">
        <v>9.76</v>
      </c>
      <c r="Q4183">
        <v>11.7</v>
      </c>
      <c r="R4183">
        <v>10</v>
      </c>
      <c r="S4183">
        <v>3.16</v>
      </c>
      <c r="T4183">
        <v>3</v>
      </c>
      <c r="U4183" t="s">
        <v>22</v>
      </c>
      <c r="V4183" t="e">
        <f>IF(#REF! = "yes", 1, 0)</f>
        <v>#REF!</v>
      </c>
      <c r="W4183" t="e">
        <f>IF(#REF! &lt;= 1, "0-1 Calls", IF(#REF! &lt;= 3, "2-3 Calls", IF(#REF! &lt;=5, "4-5 Calls", "6+ Calls")))</f>
        <v>#REF!</v>
      </c>
      <c r="X4183" t="e">
        <f>IF(#REF! &lt;= 50, "0-50", IF(#REF! &lt;=100, "51-100", IF(#REF! &lt;= 150, "101-150", "151+")))</f>
        <v>#REF!</v>
      </c>
      <c r="Y4183" t="e">
        <f>IF(#REF! &lt;= 3, "Low Charges", "High Charges")</f>
        <v>#REF!</v>
      </c>
      <c r="Z4183" t="e">
        <f>IF(#REF!&lt;=80,"Low Calls",
IF(#REF!&lt;=120,"Medium Calls","High Calls"))</f>
        <v>#REF!</v>
      </c>
      <c r="AA4183" t="e">
        <f>IF(#REF!&lt;=15,"Low Charges",
IF(#REF!&lt;=20,"Medium Charges","High Charges"))</f>
        <v>#REF!</v>
      </c>
      <c r="AB4183" t="e">
        <f>IF(AND(#REF!&gt;180, #REF!&gt;200), "Heavy Doemstic User", IF(#REF!&gt;10, "Interntional User", IF(AND(#REF!&lt;180, #REF!&lt;200,#REF!&lt;200), "Light User", "Balanced User")))</f>
        <v>#REF!</v>
      </c>
      <c r="AC4183" t="e">
        <f>IF(#REF! = 0, "No Usage", IF(#REF! &lt;= 20, "Low Usage", IF(#REF! &lt;= 40, "Medium Usgae", "High Usage")))</f>
        <v>#REF!</v>
      </c>
      <c r="AD4183" t="e">
        <f>IF(#REF!&lt;=150,"Low Usage", IF(#REF!&lt;=200,"Medium Usage", IF(#REF!&lt;=250,"High Usage","Very High Usage")))</f>
        <v>#REF!</v>
      </c>
      <c r="AE4183" t="e">
        <f>IF(#REF!&lt;=5,"Low Calls", IF(#REF!&lt;=10, "Medium Calls", "High Calls"))</f>
        <v>#REF!</v>
      </c>
      <c r="AF4183" t="e">
        <f xml:space="preserve">
IF(#REF!&gt;=4,4,0)+
IF(#REF!="yes",3,0)+
IF(#REF!="High Charges",3,0)+
IF(#REF!&gt;250,4,0)+
IF(#REF!="no",1,0)+
IF(#REF!="Heavy Domestic User",2,0)</f>
        <v>#REF!</v>
      </c>
      <c r="AG4183" t="e">
        <f>IF(#REF!&gt;=10,"High Risk", IF(#REF!&gt;=5,"Medium Risk","Low Risk"))</f>
        <v>#REF!</v>
      </c>
      <c r="AH4183" t="e">
        <f>#REF! + #REF! + #REF! + #REF!</f>
        <v>#REF!</v>
      </c>
    </row>
    <row r="4184" spans="1:34" x14ac:dyDescent="0.35">
      <c r="A4184">
        <v>4183</v>
      </c>
      <c r="B4184" t="s">
        <v>39</v>
      </c>
      <c r="C4184">
        <v>65</v>
      </c>
      <c r="D4184" t="s">
        <v>21</v>
      </c>
      <c r="E4184" t="s">
        <v>22</v>
      </c>
      <c r="F4184" t="s">
        <v>22</v>
      </c>
      <c r="G4184">
        <v>0</v>
      </c>
      <c r="H4184">
        <v>143.6</v>
      </c>
      <c r="I4184">
        <v>98</v>
      </c>
      <c r="J4184">
        <v>24.41</v>
      </c>
      <c r="K4184">
        <v>187.7</v>
      </c>
      <c r="L4184">
        <v>96</v>
      </c>
      <c r="M4184">
        <v>15.95</v>
      </c>
      <c r="N4184">
        <v>200.2</v>
      </c>
      <c r="O4184">
        <v>104</v>
      </c>
      <c r="P4184">
        <v>9.01</v>
      </c>
      <c r="Q4184">
        <v>9.3000000000000007</v>
      </c>
      <c r="R4184">
        <v>2</v>
      </c>
      <c r="S4184">
        <v>2.5099999999999998</v>
      </c>
      <c r="T4184">
        <v>3</v>
      </c>
      <c r="U4184" t="s">
        <v>23</v>
      </c>
      <c r="V4184" t="e">
        <f>IF(#REF! = "yes", 1, 0)</f>
        <v>#REF!</v>
      </c>
      <c r="W4184" t="e">
        <f>IF(#REF! &lt;= 1, "0-1 Calls", IF(#REF! &lt;= 3, "2-3 Calls", IF(#REF! &lt;=5, "4-5 Calls", "6+ Calls")))</f>
        <v>#REF!</v>
      </c>
      <c r="X4184" t="e">
        <f>IF(#REF! &lt;= 50, "0-50", IF(#REF! &lt;=100, "51-100", IF(#REF! &lt;= 150, "101-150", "151+")))</f>
        <v>#REF!</v>
      </c>
      <c r="Y4184" t="e">
        <f>IF(#REF! &lt;= 3, "Low Charges", "High Charges")</f>
        <v>#REF!</v>
      </c>
      <c r="Z4184" t="e">
        <f>IF(#REF!&lt;=80,"Low Calls",
IF(#REF!&lt;=120,"Medium Calls","High Calls"))</f>
        <v>#REF!</v>
      </c>
      <c r="AA4184" t="e">
        <f>IF(#REF!&lt;=15,"Low Charges",
IF(#REF!&lt;=20,"Medium Charges","High Charges"))</f>
        <v>#REF!</v>
      </c>
      <c r="AB4184" t="e">
        <f>IF(AND(#REF!&gt;180, #REF!&gt;200), "Heavy Doemstic User", IF(#REF!&gt;10, "Interntional User", IF(AND(#REF!&lt;180, #REF!&lt;200,#REF!&lt;200), "Light User", "Balanced User")))</f>
        <v>#REF!</v>
      </c>
      <c r="AC4184" t="e">
        <f>IF(#REF! = 0, "No Usage", IF(#REF! &lt;= 20, "Low Usage", IF(#REF! &lt;= 40, "Medium Usgae", "High Usage")))</f>
        <v>#REF!</v>
      </c>
      <c r="AD4184" t="e">
        <f>IF(#REF!&lt;=150,"Low Usage", IF(#REF!&lt;=200,"Medium Usage", IF(#REF!&lt;=250,"High Usage","Very High Usage")))</f>
        <v>#REF!</v>
      </c>
      <c r="AE4184" t="e">
        <f>IF(#REF!&lt;=5,"Low Calls", IF(#REF!&lt;=10, "Medium Calls", "High Calls"))</f>
        <v>#REF!</v>
      </c>
      <c r="AF4184" t="e">
        <f xml:space="preserve">
IF(#REF!&gt;=4,4,0)+
IF(#REF!="yes",3,0)+
IF(#REF!="High Charges",3,0)+
IF(#REF!&gt;250,4,0)+
IF(#REF!="no",1,0)+
IF(#REF!="Heavy Domestic User",2,0)</f>
        <v>#REF!</v>
      </c>
      <c r="AG4184" t="e">
        <f>IF(#REF!&gt;=10,"High Risk", IF(#REF!&gt;=5,"Medium Risk","Low Risk"))</f>
        <v>#REF!</v>
      </c>
      <c r="AH4184" t="e">
        <f>#REF! + #REF! + #REF! + #REF!</f>
        <v>#REF!</v>
      </c>
    </row>
    <row r="4185" spans="1:34" x14ac:dyDescent="0.35">
      <c r="A4185">
        <v>4184</v>
      </c>
      <c r="B4185" t="s">
        <v>60</v>
      </c>
      <c r="C4185">
        <v>102</v>
      </c>
      <c r="D4185" t="s">
        <v>21</v>
      </c>
      <c r="E4185" t="s">
        <v>22</v>
      </c>
      <c r="F4185" t="s">
        <v>23</v>
      </c>
      <c r="G4185">
        <v>32</v>
      </c>
      <c r="H4185">
        <v>135.69999999999999</v>
      </c>
      <c r="I4185">
        <v>108</v>
      </c>
      <c r="J4185">
        <v>23.07</v>
      </c>
      <c r="K4185">
        <v>216.5</v>
      </c>
      <c r="L4185">
        <v>134</v>
      </c>
      <c r="M4185">
        <v>18.399999999999999</v>
      </c>
      <c r="N4185">
        <v>160.5</v>
      </c>
      <c r="O4185">
        <v>125</v>
      </c>
      <c r="P4185">
        <v>7.22</v>
      </c>
      <c r="Q4185">
        <v>13</v>
      </c>
      <c r="R4185">
        <v>7</v>
      </c>
      <c r="S4185">
        <v>3.51</v>
      </c>
      <c r="T4185">
        <v>1</v>
      </c>
      <c r="U4185" t="s">
        <v>22</v>
      </c>
      <c r="V4185" t="e">
        <f>IF(#REF! = "yes", 1, 0)</f>
        <v>#REF!</v>
      </c>
      <c r="W4185" t="e">
        <f>IF(#REF! &lt;= 1, "0-1 Calls", IF(#REF! &lt;= 3, "2-3 Calls", IF(#REF! &lt;=5, "4-5 Calls", "6+ Calls")))</f>
        <v>#REF!</v>
      </c>
      <c r="X4185" t="e">
        <f>IF(#REF! &lt;= 50, "0-50", IF(#REF! &lt;=100, "51-100", IF(#REF! &lt;= 150, "101-150", "151+")))</f>
        <v>#REF!</v>
      </c>
      <c r="Y4185" t="e">
        <f>IF(#REF! &lt;= 3, "Low Charges", "High Charges")</f>
        <v>#REF!</v>
      </c>
      <c r="Z4185" t="e">
        <f>IF(#REF!&lt;=80,"Low Calls",
IF(#REF!&lt;=120,"Medium Calls","High Calls"))</f>
        <v>#REF!</v>
      </c>
      <c r="AA4185" t="e">
        <f>IF(#REF!&lt;=15,"Low Charges",
IF(#REF!&lt;=20,"Medium Charges","High Charges"))</f>
        <v>#REF!</v>
      </c>
      <c r="AB4185" t="e">
        <f>IF(AND(#REF!&gt;180, #REF!&gt;200), "Heavy Doemstic User", IF(#REF!&gt;10, "Interntional User", IF(AND(#REF!&lt;180, #REF!&lt;200,#REF!&lt;200), "Light User", "Balanced User")))</f>
        <v>#REF!</v>
      </c>
      <c r="AC4185" t="e">
        <f>IF(#REF! = 0, "No Usage", IF(#REF! &lt;= 20, "Low Usage", IF(#REF! &lt;= 40, "Medium Usgae", "High Usage")))</f>
        <v>#REF!</v>
      </c>
      <c r="AD4185" t="e">
        <f>IF(#REF!&lt;=150,"Low Usage", IF(#REF!&lt;=200,"Medium Usage", IF(#REF!&lt;=250,"High Usage","Very High Usage")))</f>
        <v>#REF!</v>
      </c>
      <c r="AE4185" t="e">
        <f>IF(#REF!&lt;=5,"Low Calls", IF(#REF!&lt;=10, "Medium Calls", "High Calls"))</f>
        <v>#REF!</v>
      </c>
      <c r="AF4185" t="e">
        <f xml:space="preserve">
IF(#REF!&gt;=4,4,0)+
IF(#REF!="yes",3,0)+
IF(#REF!="High Charges",3,0)+
IF(#REF!&gt;250,4,0)+
IF(#REF!="no",1,0)+
IF(#REF!="Heavy Domestic User",2,0)</f>
        <v>#REF!</v>
      </c>
      <c r="AG4185" t="e">
        <f>IF(#REF!&gt;=10,"High Risk", IF(#REF!&gt;=5,"Medium Risk","Low Risk"))</f>
        <v>#REF!</v>
      </c>
      <c r="AH4185" t="e">
        <f>#REF! + #REF! + #REF! + #REF!</f>
        <v>#REF!</v>
      </c>
    </row>
    <row r="4186" spans="1:34" x14ac:dyDescent="0.35">
      <c r="A4186">
        <v>4185</v>
      </c>
      <c r="B4186" t="s">
        <v>50</v>
      </c>
      <c r="C4186">
        <v>97</v>
      </c>
      <c r="D4186" t="s">
        <v>21</v>
      </c>
      <c r="E4186" t="s">
        <v>22</v>
      </c>
      <c r="F4186" t="s">
        <v>23</v>
      </c>
      <c r="G4186">
        <v>35</v>
      </c>
      <c r="H4186">
        <v>203.1</v>
      </c>
      <c r="I4186">
        <v>104</v>
      </c>
      <c r="J4186">
        <v>34.53</v>
      </c>
      <c r="K4186">
        <v>211.8</v>
      </c>
      <c r="L4186">
        <v>91</v>
      </c>
      <c r="M4186">
        <v>18</v>
      </c>
      <c r="N4186">
        <v>246.1</v>
      </c>
      <c r="O4186">
        <v>105</v>
      </c>
      <c r="P4186">
        <v>11.07</v>
      </c>
      <c r="Q4186">
        <v>9.6999999999999993</v>
      </c>
      <c r="R4186">
        <v>6</v>
      </c>
      <c r="S4186">
        <v>2.62</v>
      </c>
      <c r="T4186">
        <v>0</v>
      </c>
      <c r="U4186" t="s">
        <v>22</v>
      </c>
      <c r="V4186" t="e">
        <f>IF(#REF! = "yes", 1, 0)</f>
        <v>#REF!</v>
      </c>
      <c r="W4186" t="e">
        <f>IF(#REF! &lt;= 1, "0-1 Calls", IF(#REF! &lt;= 3, "2-3 Calls", IF(#REF! &lt;=5, "4-5 Calls", "6+ Calls")))</f>
        <v>#REF!</v>
      </c>
      <c r="X4186" t="e">
        <f>IF(#REF! &lt;= 50, "0-50", IF(#REF! &lt;=100, "51-100", IF(#REF! &lt;= 150, "101-150", "151+")))</f>
        <v>#REF!</v>
      </c>
      <c r="Y4186" t="e">
        <f>IF(#REF! &lt;= 3, "Low Charges", "High Charges")</f>
        <v>#REF!</v>
      </c>
      <c r="Z4186" t="e">
        <f>IF(#REF!&lt;=80,"Low Calls",
IF(#REF!&lt;=120,"Medium Calls","High Calls"))</f>
        <v>#REF!</v>
      </c>
      <c r="AA4186" t="e">
        <f>IF(#REF!&lt;=15,"Low Charges",
IF(#REF!&lt;=20,"Medium Charges","High Charges"))</f>
        <v>#REF!</v>
      </c>
      <c r="AB4186" t="e">
        <f>IF(AND(#REF!&gt;180, #REF!&gt;200), "Heavy Doemstic User", IF(#REF!&gt;10, "Interntional User", IF(AND(#REF!&lt;180, #REF!&lt;200,#REF!&lt;200), "Light User", "Balanced User")))</f>
        <v>#REF!</v>
      </c>
      <c r="AC4186" t="e">
        <f>IF(#REF! = 0, "No Usage", IF(#REF! &lt;= 20, "Low Usage", IF(#REF! &lt;= 40, "Medium Usgae", "High Usage")))</f>
        <v>#REF!</v>
      </c>
      <c r="AD4186" t="e">
        <f>IF(#REF!&lt;=150,"Low Usage", IF(#REF!&lt;=200,"Medium Usage", IF(#REF!&lt;=250,"High Usage","Very High Usage")))</f>
        <v>#REF!</v>
      </c>
      <c r="AE4186" t="e">
        <f>IF(#REF!&lt;=5,"Low Calls", IF(#REF!&lt;=10, "Medium Calls", "High Calls"))</f>
        <v>#REF!</v>
      </c>
      <c r="AF4186" t="e">
        <f xml:space="preserve">
IF(#REF!&gt;=4,4,0)+
IF(#REF!="yes",3,0)+
IF(#REF!="High Charges",3,0)+
IF(#REF!&gt;250,4,0)+
IF(#REF!="no",1,0)+
IF(#REF!="Heavy Domestic User",2,0)</f>
        <v>#REF!</v>
      </c>
      <c r="AG4186" t="e">
        <f>IF(#REF!&gt;=10,"High Risk", IF(#REF!&gt;=5,"Medium Risk","Low Risk"))</f>
        <v>#REF!</v>
      </c>
      <c r="AH4186" t="e">
        <f>#REF! + #REF! + #REF! + #REF!</f>
        <v>#REF!</v>
      </c>
    </row>
    <row r="4187" spans="1:34" x14ac:dyDescent="0.35">
      <c r="A4187">
        <v>4186</v>
      </c>
      <c r="B4187" t="s">
        <v>26</v>
      </c>
      <c r="C4187">
        <v>110</v>
      </c>
      <c r="D4187" t="s">
        <v>28</v>
      </c>
      <c r="E4187" t="s">
        <v>22</v>
      </c>
      <c r="F4187" t="s">
        <v>22</v>
      </c>
      <c r="G4187">
        <v>0</v>
      </c>
      <c r="H4187">
        <v>281.2</v>
      </c>
      <c r="I4187">
        <v>78</v>
      </c>
      <c r="J4187">
        <v>47.8</v>
      </c>
      <c r="K4187">
        <v>302.3</v>
      </c>
      <c r="L4187">
        <v>89</v>
      </c>
      <c r="M4187">
        <v>25.7</v>
      </c>
      <c r="N4187">
        <v>188.4</v>
      </c>
      <c r="O4187">
        <v>92</v>
      </c>
      <c r="P4187">
        <v>8.48</v>
      </c>
      <c r="Q4187">
        <v>8.5</v>
      </c>
      <c r="R4187">
        <v>4</v>
      </c>
      <c r="S4187">
        <v>2.2999999999999998</v>
      </c>
      <c r="T4187">
        <v>0</v>
      </c>
      <c r="U4187" t="s">
        <v>23</v>
      </c>
      <c r="V4187" t="e">
        <f>IF(#REF! = "yes", 1, 0)</f>
        <v>#REF!</v>
      </c>
      <c r="W4187" t="e">
        <f>IF(#REF! &lt;= 1, "0-1 Calls", IF(#REF! &lt;= 3, "2-3 Calls", IF(#REF! &lt;=5, "4-5 Calls", "6+ Calls")))</f>
        <v>#REF!</v>
      </c>
      <c r="X4187" t="e">
        <f>IF(#REF! &lt;= 50, "0-50", IF(#REF! &lt;=100, "51-100", IF(#REF! &lt;= 150, "101-150", "151+")))</f>
        <v>#REF!</v>
      </c>
      <c r="Y4187" t="e">
        <f>IF(#REF! &lt;= 3, "Low Charges", "High Charges")</f>
        <v>#REF!</v>
      </c>
      <c r="Z4187" t="e">
        <f>IF(#REF!&lt;=80,"Low Calls",
IF(#REF!&lt;=120,"Medium Calls","High Calls"))</f>
        <v>#REF!</v>
      </c>
      <c r="AA4187" t="e">
        <f>IF(#REF!&lt;=15,"Low Charges",
IF(#REF!&lt;=20,"Medium Charges","High Charges"))</f>
        <v>#REF!</v>
      </c>
      <c r="AB4187" t="e">
        <f>IF(AND(#REF!&gt;180, #REF!&gt;200), "Heavy Doemstic User", IF(#REF!&gt;10, "Interntional User", IF(AND(#REF!&lt;180, #REF!&lt;200,#REF!&lt;200), "Light User", "Balanced User")))</f>
        <v>#REF!</v>
      </c>
      <c r="AC4187" t="e">
        <f>IF(#REF! = 0, "No Usage", IF(#REF! &lt;= 20, "Low Usage", IF(#REF! &lt;= 40, "Medium Usgae", "High Usage")))</f>
        <v>#REF!</v>
      </c>
      <c r="AD4187" t="e">
        <f>IF(#REF!&lt;=150,"Low Usage", IF(#REF!&lt;=200,"Medium Usage", IF(#REF!&lt;=250,"High Usage","Very High Usage")))</f>
        <v>#REF!</v>
      </c>
      <c r="AE4187" t="e">
        <f>IF(#REF!&lt;=5,"Low Calls", IF(#REF!&lt;=10, "Medium Calls", "High Calls"))</f>
        <v>#REF!</v>
      </c>
      <c r="AF4187" t="e">
        <f xml:space="preserve">
IF(#REF!&gt;=4,4,0)+
IF(#REF!="yes",3,0)+
IF(#REF!="High Charges",3,0)+
IF(#REF!&gt;250,4,0)+
IF(#REF!="no",1,0)+
IF(#REF!="Heavy Domestic User",2,0)</f>
        <v>#REF!</v>
      </c>
      <c r="AG4187" t="e">
        <f>IF(#REF!&gt;=10,"High Risk", IF(#REF!&gt;=5,"Medium Risk","Low Risk"))</f>
        <v>#REF!</v>
      </c>
      <c r="AH4187" t="e">
        <f>#REF! + #REF! + #REF! + #REF!</f>
        <v>#REF!</v>
      </c>
    </row>
    <row r="4188" spans="1:34" x14ac:dyDescent="0.35">
      <c r="A4188">
        <v>4187</v>
      </c>
      <c r="B4188" t="s">
        <v>72</v>
      </c>
      <c r="C4188">
        <v>52</v>
      </c>
      <c r="D4188" t="s">
        <v>28</v>
      </c>
      <c r="E4188" t="s">
        <v>22</v>
      </c>
      <c r="F4188" t="s">
        <v>22</v>
      </c>
      <c r="G4188">
        <v>0</v>
      </c>
      <c r="H4188">
        <v>207.1</v>
      </c>
      <c r="I4188">
        <v>86</v>
      </c>
      <c r="J4188">
        <v>35.21</v>
      </c>
      <c r="K4188">
        <v>162</v>
      </c>
      <c r="L4188">
        <v>98</v>
      </c>
      <c r="M4188">
        <v>13.77</v>
      </c>
      <c r="N4188">
        <v>243</v>
      </c>
      <c r="O4188">
        <v>102</v>
      </c>
      <c r="P4188">
        <v>10.93</v>
      </c>
      <c r="Q4188">
        <v>6</v>
      </c>
      <c r="R4188">
        <v>1</v>
      </c>
      <c r="S4188">
        <v>1.62</v>
      </c>
      <c r="T4188">
        <v>1</v>
      </c>
      <c r="U4188" t="s">
        <v>22</v>
      </c>
      <c r="V4188" t="e">
        <f>IF(#REF! = "yes", 1, 0)</f>
        <v>#REF!</v>
      </c>
      <c r="W4188" t="e">
        <f>IF(#REF! &lt;= 1, "0-1 Calls", IF(#REF! &lt;= 3, "2-3 Calls", IF(#REF! &lt;=5, "4-5 Calls", "6+ Calls")))</f>
        <v>#REF!</v>
      </c>
      <c r="X4188" t="e">
        <f>IF(#REF! &lt;= 50, "0-50", IF(#REF! &lt;=100, "51-100", IF(#REF! &lt;= 150, "101-150", "151+")))</f>
        <v>#REF!</v>
      </c>
      <c r="Y4188" t="e">
        <f>IF(#REF! &lt;= 3, "Low Charges", "High Charges")</f>
        <v>#REF!</v>
      </c>
      <c r="Z4188" t="e">
        <f>IF(#REF!&lt;=80,"Low Calls",
IF(#REF!&lt;=120,"Medium Calls","High Calls"))</f>
        <v>#REF!</v>
      </c>
      <c r="AA4188" t="e">
        <f>IF(#REF!&lt;=15,"Low Charges",
IF(#REF!&lt;=20,"Medium Charges","High Charges"))</f>
        <v>#REF!</v>
      </c>
      <c r="AB4188" t="e">
        <f>IF(AND(#REF!&gt;180, #REF!&gt;200), "Heavy Doemstic User", IF(#REF!&gt;10, "Interntional User", IF(AND(#REF!&lt;180, #REF!&lt;200,#REF!&lt;200), "Light User", "Balanced User")))</f>
        <v>#REF!</v>
      </c>
      <c r="AC4188" t="e">
        <f>IF(#REF! = 0, "No Usage", IF(#REF! &lt;= 20, "Low Usage", IF(#REF! &lt;= 40, "Medium Usgae", "High Usage")))</f>
        <v>#REF!</v>
      </c>
      <c r="AD4188" t="e">
        <f>IF(#REF!&lt;=150,"Low Usage", IF(#REF!&lt;=200,"Medium Usage", IF(#REF!&lt;=250,"High Usage","Very High Usage")))</f>
        <v>#REF!</v>
      </c>
      <c r="AE4188" t="e">
        <f>IF(#REF!&lt;=5,"Low Calls", IF(#REF!&lt;=10, "Medium Calls", "High Calls"))</f>
        <v>#REF!</v>
      </c>
      <c r="AF4188" t="e">
        <f xml:space="preserve">
IF(#REF!&gt;=4,4,0)+
IF(#REF!="yes",3,0)+
IF(#REF!="High Charges",3,0)+
IF(#REF!&gt;250,4,0)+
IF(#REF!="no",1,0)+
IF(#REF!="Heavy Domestic User",2,0)</f>
        <v>#REF!</v>
      </c>
      <c r="AG4188" t="e">
        <f>IF(#REF!&gt;=10,"High Risk", IF(#REF!&gt;=5,"Medium Risk","Low Risk"))</f>
        <v>#REF!</v>
      </c>
      <c r="AH4188" t="e">
        <f>#REF! + #REF! + #REF! + #REF!</f>
        <v>#REF!</v>
      </c>
    </row>
    <row r="4189" spans="1:34" x14ac:dyDescent="0.35">
      <c r="A4189">
        <v>4188</v>
      </c>
      <c r="B4189" t="s">
        <v>38</v>
      </c>
      <c r="C4189">
        <v>66</v>
      </c>
      <c r="D4189" t="s">
        <v>21</v>
      </c>
      <c r="E4189" t="s">
        <v>22</v>
      </c>
      <c r="F4189" t="s">
        <v>22</v>
      </c>
      <c r="G4189">
        <v>0</v>
      </c>
      <c r="H4189">
        <v>145.6</v>
      </c>
      <c r="I4189">
        <v>105</v>
      </c>
      <c r="J4189">
        <v>24.75</v>
      </c>
      <c r="K4189">
        <v>250.9</v>
      </c>
      <c r="L4189">
        <v>82</v>
      </c>
      <c r="M4189">
        <v>21.33</v>
      </c>
      <c r="N4189">
        <v>156.6</v>
      </c>
      <c r="O4189">
        <v>102</v>
      </c>
      <c r="P4189">
        <v>7.05</v>
      </c>
      <c r="Q4189">
        <v>12.2</v>
      </c>
      <c r="R4189">
        <v>7</v>
      </c>
      <c r="S4189">
        <v>3.29</v>
      </c>
      <c r="T4189">
        <v>1</v>
      </c>
      <c r="U4189" t="s">
        <v>22</v>
      </c>
      <c r="V4189" t="e">
        <f>IF(#REF! = "yes", 1, 0)</f>
        <v>#REF!</v>
      </c>
      <c r="W4189" t="e">
        <f>IF(#REF! &lt;= 1, "0-1 Calls", IF(#REF! &lt;= 3, "2-3 Calls", IF(#REF! &lt;=5, "4-5 Calls", "6+ Calls")))</f>
        <v>#REF!</v>
      </c>
      <c r="X4189" t="e">
        <f>IF(#REF! &lt;= 50, "0-50", IF(#REF! &lt;=100, "51-100", IF(#REF! &lt;= 150, "101-150", "151+")))</f>
        <v>#REF!</v>
      </c>
      <c r="Y4189" t="e">
        <f>IF(#REF! &lt;= 3, "Low Charges", "High Charges")</f>
        <v>#REF!</v>
      </c>
      <c r="Z4189" t="e">
        <f>IF(#REF!&lt;=80,"Low Calls",
IF(#REF!&lt;=120,"Medium Calls","High Calls"))</f>
        <v>#REF!</v>
      </c>
      <c r="AA4189" t="e">
        <f>IF(#REF!&lt;=15,"Low Charges",
IF(#REF!&lt;=20,"Medium Charges","High Charges"))</f>
        <v>#REF!</v>
      </c>
      <c r="AB4189" t="e">
        <f>IF(AND(#REF!&gt;180, #REF!&gt;200), "Heavy Doemstic User", IF(#REF!&gt;10, "Interntional User", IF(AND(#REF!&lt;180, #REF!&lt;200,#REF!&lt;200), "Light User", "Balanced User")))</f>
        <v>#REF!</v>
      </c>
      <c r="AC4189" t="e">
        <f>IF(#REF! = 0, "No Usage", IF(#REF! &lt;= 20, "Low Usage", IF(#REF! &lt;= 40, "Medium Usgae", "High Usage")))</f>
        <v>#REF!</v>
      </c>
      <c r="AD4189" t="e">
        <f>IF(#REF!&lt;=150,"Low Usage", IF(#REF!&lt;=200,"Medium Usage", IF(#REF!&lt;=250,"High Usage","Very High Usage")))</f>
        <v>#REF!</v>
      </c>
      <c r="AE4189" t="e">
        <f>IF(#REF!&lt;=5,"Low Calls", IF(#REF!&lt;=10, "Medium Calls", "High Calls"))</f>
        <v>#REF!</v>
      </c>
      <c r="AF4189" t="e">
        <f xml:space="preserve">
IF(#REF!&gt;=4,4,0)+
IF(#REF!="yes",3,0)+
IF(#REF!="High Charges",3,0)+
IF(#REF!&gt;250,4,0)+
IF(#REF!="no",1,0)+
IF(#REF!="Heavy Domestic User",2,0)</f>
        <v>#REF!</v>
      </c>
      <c r="AG4189" t="e">
        <f>IF(#REF!&gt;=10,"High Risk", IF(#REF!&gt;=5,"Medium Risk","Low Risk"))</f>
        <v>#REF!</v>
      </c>
      <c r="AH4189" t="e">
        <f>#REF! + #REF! + #REF! + #REF!</f>
        <v>#REF!</v>
      </c>
    </row>
    <row r="4190" spans="1:34" x14ac:dyDescent="0.35">
      <c r="A4190">
        <v>4189</v>
      </c>
      <c r="B4190" t="s">
        <v>31</v>
      </c>
      <c r="C4190">
        <v>82</v>
      </c>
      <c r="D4190" t="s">
        <v>28</v>
      </c>
      <c r="E4190" t="s">
        <v>22</v>
      </c>
      <c r="F4190" t="s">
        <v>22</v>
      </c>
      <c r="G4190">
        <v>0</v>
      </c>
      <c r="H4190">
        <v>202.9</v>
      </c>
      <c r="I4190">
        <v>96</v>
      </c>
      <c r="J4190">
        <v>34.49</v>
      </c>
      <c r="K4190">
        <v>234.2</v>
      </c>
      <c r="L4190">
        <v>105</v>
      </c>
      <c r="M4190">
        <v>19.91</v>
      </c>
      <c r="N4190">
        <v>217.4</v>
      </c>
      <c r="O4190">
        <v>123</v>
      </c>
      <c r="P4190">
        <v>9.7799999999999994</v>
      </c>
      <c r="Q4190">
        <v>10.1</v>
      </c>
      <c r="R4190">
        <v>3</v>
      </c>
      <c r="S4190">
        <v>2.73</v>
      </c>
      <c r="T4190">
        <v>4</v>
      </c>
      <c r="U4190" t="s">
        <v>22</v>
      </c>
      <c r="V4190" t="e">
        <f>IF(#REF! = "yes", 1, 0)</f>
        <v>#REF!</v>
      </c>
      <c r="W4190" t="e">
        <f>IF(#REF! &lt;= 1, "0-1 Calls", IF(#REF! &lt;= 3, "2-3 Calls", IF(#REF! &lt;=5, "4-5 Calls", "6+ Calls")))</f>
        <v>#REF!</v>
      </c>
      <c r="X4190" t="e">
        <f>IF(#REF! &lt;= 50, "0-50", IF(#REF! &lt;=100, "51-100", IF(#REF! &lt;= 150, "101-150", "151+")))</f>
        <v>#REF!</v>
      </c>
      <c r="Y4190" t="e">
        <f>IF(#REF! &lt;= 3, "Low Charges", "High Charges")</f>
        <v>#REF!</v>
      </c>
      <c r="Z4190" t="e">
        <f>IF(#REF!&lt;=80,"Low Calls",
IF(#REF!&lt;=120,"Medium Calls","High Calls"))</f>
        <v>#REF!</v>
      </c>
      <c r="AA4190" t="e">
        <f>IF(#REF!&lt;=15,"Low Charges",
IF(#REF!&lt;=20,"Medium Charges","High Charges"))</f>
        <v>#REF!</v>
      </c>
      <c r="AB4190" t="e">
        <f>IF(AND(#REF!&gt;180, #REF!&gt;200), "Heavy Doemstic User", IF(#REF!&gt;10, "Interntional User", IF(AND(#REF!&lt;180, #REF!&lt;200,#REF!&lt;200), "Light User", "Balanced User")))</f>
        <v>#REF!</v>
      </c>
      <c r="AC4190" t="e">
        <f>IF(#REF! = 0, "No Usage", IF(#REF! &lt;= 20, "Low Usage", IF(#REF! &lt;= 40, "Medium Usgae", "High Usage")))</f>
        <v>#REF!</v>
      </c>
      <c r="AD4190" t="e">
        <f>IF(#REF!&lt;=150,"Low Usage", IF(#REF!&lt;=200,"Medium Usage", IF(#REF!&lt;=250,"High Usage","Very High Usage")))</f>
        <v>#REF!</v>
      </c>
      <c r="AE4190" t="e">
        <f>IF(#REF!&lt;=5,"Low Calls", IF(#REF!&lt;=10, "Medium Calls", "High Calls"))</f>
        <v>#REF!</v>
      </c>
      <c r="AF4190" t="e">
        <f xml:space="preserve">
IF(#REF!&gt;=4,4,0)+
IF(#REF!="yes",3,0)+
IF(#REF!="High Charges",3,0)+
IF(#REF!&gt;250,4,0)+
IF(#REF!="no",1,0)+
IF(#REF!="Heavy Domestic User",2,0)</f>
        <v>#REF!</v>
      </c>
      <c r="AG4190" t="e">
        <f>IF(#REF!&gt;=10,"High Risk", IF(#REF!&gt;=5,"Medium Risk","Low Risk"))</f>
        <v>#REF!</v>
      </c>
      <c r="AH4190" t="e">
        <f>#REF! + #REF! + #REF! + #REF!</f>
        <v>#REF!</v>
      </c>
    </row>
    <row r="4191" spans="1:34" x14ac:dyDescent="0.35">
      <c r="A4191">
        <v>4190</v>
      </c>
      <c r="B4191" t="s">
        <v>39</v>
      </c>
      <c r="C4191">
        <v>129</v>
      </c>
      <c r="D4191" t="s">
        <v>21</v>
      </c>
      <c r="E4191" t="s">
        <v>22</v>
      </c>
      <c r="F4191" t="s">
        <v>23</v>
      </c>
      <c r="G4191">
        <v>23</v>
      </c>
      <c r="H4191">
        <v>210.7</v>
      </c>
      <c r="I4191">
        <v>119</v>
      </c>
      <c r="J4191">
        <v>35.82</v>
      </c>
      <c r="K4191">
        <v>137.4</v>
      </c>
      <c r="L4191">
        <v>51</v>
      </c>
      <c r="M4191">
        <v>11.68</v>
      </c>
      <c r="N4191">
        <v>248.2</v>
      </c>
      <c r="O4191">
        <v>92</v>
      </c>
      <c r="P4191">
        <v>11.17</v>
      </c>
      <c r="Q4191">
        <v>7.9</v>
      </c>
      <c r="R4191">
        <v>6</v>
      </c>
      <c r="S4191">
        <v>2.13</v>
      </c>
      <c r="T4191">
        <v>2</v>
      </c>
      <c r="U4191" t="s">
        <v>22</v>
      </c>
      <c r="V4191" t="e">
        <f>IF(#REF! = "yes", 1, 0)</f>
        <v>#REF!</v>
      </c>
      <c r="W4191" t="e">
        <f>IF(#REF! &lt;= 1, "0-1 Calls", IF(#REF! &lt;= 3, "2-3 Calls", IF(#REF! &lt;=5, "4-5 Calls", "6+ Calls")))</f>
        <v>#REF!</v>
      </c>
      <c r="X4191" t="e">
        <f>IF(#REF! &lt;= 50, "0-50", IF(#REF! &lt;=100, "51-100", IF(#REF! &lt;= 150, "101-150", "151+")))</f>
        <v>#REF!</v>
      </c>
      <c r="Y4191" t="e">
        <f>IF(#REF! &lt;= 3, "Low Charges", "High Charges")</f>
        <v>#REF!</v>
      </c>
      <c r="Z4191" t="e">
        <f>IF(#REF!&lt;=80,"Low Calls",
IF(#REF!&lt;=120,"Medium Calls","High Calls"))</f>
        <v>#REF!</v>
      </c>
      <c r="AA4191" t="e">
        <f>IF(#REF!&lt;=15,"Low Charges",
IF(#REF!&lt;=20,"Medium Charges","High Charges"))</f>
        <v>#REF!</v>
      </c>
      <c r="AB4191" t="e">
        <f>IF(AND(#REF!&gt;180, #REF!&gt;200), "Heavy Doemstic User", IF(#REF!&gt;10, "Interntional User", IF(AND(#REF!&lt;180, #REF!&lt;200,#REF!&lt;200), "Light User", "Balanced User")))</f>
        <v>#REF!</v>
      </c>
      <c r="AC4191" t="e">
        <f>IF(#REF! = 0, "No Usage", IF(#REF! &lt;= 20, "Low Usage", IF(#REF! &lt;= 40, "Medium Usgae", "High Usage")))</f>
        <v>#REF!</v>
      </c>
      <c r="AD4191" t="e">
        <f>IF(#REF!&lt;=150,"Low Usage", IF(#REF!&lt;=200,"Medium Usage", IF(#REF!&lt;=250,"High Usage","Very High Usage")))</f>
        <v>#REF!</v>
      </c>
      <c r="AE4191" t="e">
        <f>IF(#REF!&lt;=5,"Low Calls", IF(#REF!&lt;=10, "Medium Calls", "High Calls"))</f>
        <v>#REF!</v>
      </c>
      <c r="AF4191" t="e">
        <f xml:space="preserve">
IF(#REF!&gt;=4,4,0)+
IF(#REF!="yes",3,0)+
IF(#REF!="High Charges",3,0)+
IF(#REF!&gt;250,4,0)+
IF(#REF!="no",1,0)+
IF(#REF!="Heavy Domestic User",2,0)</f>
        <v>#REF!</v>
      </c>
      <c r="AG4191" t="e">
        <f>IF(#REF!&gt;=10,"High Risk", IF(#REF!&gt;=5,"Medium Risk","Low Risk"))</f>
        <v>#REF!</v>
      </c>
      <c r="AH4191" t="e">
        <f>#REF! + #REF! + #REF! + #REF!</f>
        <v>#REF!</v>
      </c>
    </row>
    <row r="4192" spans="1:34" x14ac:dyDescent="0.35">
      <c r="A4192">
        <v>4191</v>
      </c>
      <c r="B4192" t="s">
        <v>58</v>
      </c>
      <c r="C4192">
        <v>93</v>
      </c>
      <c r="D4192" t="s">
        <v>28</v>
      </c>
      <c r="E4192" t="s">
        <v>22</v>
      </c>
      <c r="F4192" t="s">
        <v>22</v>
      </c>
      <c r="G4192">
        <v>0</v>
      </c>
      <c r="H4192">
        <v>217.2</v>
      </c>
      <c r="I4192">
        <v>92</v>
      </c>
      <c r="J4192">
        <v>36.92</v>
      </c>
      <c r="K4192">
        <v>204.5</v>
      </c>
      <c r="L4192">
        <v>83</v>
      </c>
      <c r="M4192">
        <v>17.38</v>
      </c>
      <c r="N4192">
        <v>157.9</v>
      </c>
      <c r="O4192">
        <v>101</v>
      </c>
      <c r="P4192">
        <v>7.11</v>
      </c>
      <c r="Q4192">
        <v>11.4</v>
      </c>
      <c r="R4192">
        <v>10</v>
      </c>
      <c r="S4192">
        <v>3.08</v>
      </c>
      <c r="T4192">
        <v>1</v>
      </c>
      <c r="U4192" t="s">
        <v>22</v>
      </c>
      <c r="V4192" t="e">
        <f>IF(#REF! = "yes", 1, 0)</f>
        <v>#REF!</v>
      </c>
      <c r="W4192" t="e">
        <f>IF(#REF! &lt;= 1, "0-1 Calls", IF(#REF! &lt;= 3, "2-3 Calls", IF(#REF! &lt;=5, "4-5 Calls", "6+ Calls")))</f>
        <v>#REF!</v>
      </c>
      <c r="X4192" t="e">
        <f>IF(#REF! &lt;= 50, "0-50", IF(#REF! &lt;=100, "51-100", IF(#REF! &lt;= 150, "101-150", "151+")))</f>
        <v>#REF!</v>
      </c>
      <c r="Y4192" t="e">
        <f>IF(#REF! &lt;= 3, "Low Charges", "High Charges")</f>
        <v>#REF!</v>
      </c>
      <c r="Z4192" t="e">
        <f>IF(#REF!&lt;=80,"Low Calls",
IF(#REF!&lt;=120,"Medium Calls","High Calls"))</f>
        <v>#REF!</v>
      </c>
      <c r="AA4192" t="e">
        <f>IF(#REF!&lt;=15,"Low Charges",
IF(#REF!&lt;=20,"Medium Charges","High Charges"))</f>
        <v>#REF!</v>
      </c>
      <c r="AB4192" t="e">
        <f>IF(AND(#REF!&gt;180, #REF!&gt;200), "Heavy Doemstic User", IF(#REF!&gt;10, "Interntional User", IF(AND(#REF!&lt;180, #REF!&lt;200,#REF!&lt;200), "Light User", "Balanced User")))</f>
        <v>#REF!</v>
      </c>
      <c r="AC4192" t="e">
        <f>IF(#REF! = 0, "No Usage", IF(#REF! &lt;= 20, "Low Usage", IF(#REF! &lt;= 40, "Medium Usgae", "High Usage")))</f>
        <v>#REF!</v>
      </c>
      <c r="AD4192" t="e">
        <f>IF(#REF!&lt;=150,"Low Usage", IF(#REF!&lt;=200,"Medium Usage", IF(#REF!&lt;=250,"High Usage","Very High Usage")))</f>
        <v>#REF!</v>
      </c>
      <c r="AE4192" t="e">
        <f>IF(#REF!&lt;=5,"Low Calls", IF(#REF!&lt;=10, "Medium Calls", "High Calls"))</f>
        <v>#REF!</v>
      </c>
      <c r="AF4192" t="e">
        <f xml:space="preserve">
IF(#REF!&gt;=4,4,0)+
IF(#REF!="yes",3,0)+
IF(#REF!="High Charges",3,0)+
IF(#REF!&gt;250,4,0)+
IF(#REF!="no",1,0)+
IF(#REF!="Heavy Domestic User",2,0)</f>
        <v>#REF!</v>
      </c>
      <c r="AG4192" t="e">
        <f>IF(#REF!&gt;=10,"High Risk", IF(#REF!&gt;=5,"Medium Risk","Low Risk"))</f>
        <v>#REF!</v>
      </c>
      <c r="AH4192" t="e">
        <f>#REF! + #REF! + #REF! + #REF!</f>
        <v>#REF!</v>
      </c>
    </row>
    <row r="4193" spans="1:34" x14ac:dyDescent="0.35">
      <c r="A4193">
        <v>4192</v>
      </c>
      <c r="B4193" t="s">
        <v>60</v>
      </c>
      <c r="C4193">
        <v>120</v>
      </c>
      <c r="D4193" t="s">
        <v>21</v>
      </c>
      <c r="E4193" t="s">
        <v>22</v>
      </c>
      <c r="F4193" t="s">
        <v>22</v>
      </c>
      <c r="G4193">
        <v>0</v>
      </c>
      <c r="H4193">
        <v>198</v>
      </c>
      <c r="I4193">
        <v>101</v>
      </c>
      <c r="J4193">
        <v>33.659999999999997</v>
      </c>
      <c r="K4193">
        <v>190.2</v>
      </c>
      <c r="L4193">
        <v>74</v>
      </c>
      <c r="M4193">
        <v>16.170000000000002</v>
      </c>
      <c r="N4193">
        <v>241.2</v>
      </c>
      <c r="O4193">
        <v>105</v>
      </c>
      <c r="P4193">
        <v>10.85</v>
      </c>
      <c r="Q4193">
        <v>8.3000000000000007</v>
      </c>
      <c r="R4193">
        <v>10</v>
      </c>
      <c r="S4193">
        <v>2.2400000000000002</v>
      </c>
      <c r="T4193">
        <v>4</v>
      </c>
      <c r="U4193" t="s">
        <v>22</v>
      </c>
      <c r="V4193" t="e">
        <f>IF(#REF! = "yes", 1, 0)</f>
        <v>#REF!</v>
      </c>
      <c r="W4193" t="e">
        <f>IF(#REF! &lt;= 1, "0-1 Calls", IF(#REF! &lt;= 3, "2-3 Calls", IF(#REF! &lt;=5, "4-5 Calls", "6+ Calls")))</f>
        <v>#REF!</v>
      </c>
      <c r="X4193" t="e">
        <f>IF(#REF! &lt;= 50, "0-50", IF(#REF! &lt;=100, "51-100", IF(#REF! &lt;= 150, "101-150", "151+")))</f>
        <v>#REF!</v>
      </c>
      <c r="Y4193" t="e">
        <f>IF(#REF! &lt;= 3, "Low Charges", "High Charges")</f>
        <v>#REF!</v>
      </c>
      <c r="Z4193" t="e">
        <f>IF(#REF!&lt;=80,"Low Calls",
IF(#REF!&lt;=120,"Medium Calls","High Calls"))</f>
        <v>#REF!</v>
      </c>
      <c r="AA4193" t="e">
        <f>IF(#REF!&lt;=15,"Low Charges",
IF(#REF!&lt;=20,"Medium Charges","High Charges"))</f>
        <v>#REF!</v>
      </c>
      <c r="AB4193" t="e">
        <f>IF(AND(#REF!&gt;180, #REF!&gt;200), "Heavy Doemstic User", IF(#REF!&gt;10, "Interntional User", IF(AND(#REF!&lt;180, #REF!&lt;200,#REF!&lt;200), "Light User", "Balanced User")))</f>
        <v>#REF!</v>
      </c>
      <c r="AC4193" t="e">
        <f>IF(#REF! = 0, "No Usage", IF(#REF! &lt;= 20, "Low Usage", IF(#REF! &lt;= 40, "Medium Usgae", "High Usage")))</f>
        <v>#REF!</v>
      </c>
      <c r="AD4193" t="e">
        <f>IF(#REF!&lt;=150,"Low Usage", IF(#REF!&lt;=200,"Medium Usage", IF(#REF!&lt;=250,"High Usage","Very High Usage")))</f>
        <v>#REF!</v>
      </c>
      <c r="AE4193" t="e">
        <f>IF(#REF!&lt;=5,"Low Calls", IF(#REF!&lt;=10, "Medium Calls", "High Calls"))</f>
        <v>#REF!</v>
      </c>
      <c r="AF4193" t="e">
        <f xml:space="preserve">
IF(#REF!&gt;=4,4,0)+
IF(#REF!="yes",3,0)+
IF(#REF!="High Charges",3,0)+
IF(#REF!&gt;250,4,0)+
IF(#REF!="no",1,0)+
IF(#REF!="Heavy Domestic User",2,0)</f>
        <v>#REF!</v>
      </c>
      <c r="AG4193" t="e">
        <f>IF(#REF!&gt;=10,"High Risk", IF(#REF!&gt;=5,"Medium Risk","Low Risk"))</f>
        <v>#REF!</v>
      </c>
      <c r="AH4193" t="e">
        <f>#REF! + #REF! + #REF! + #REF!</f>
        <v>#REF!</v>
      </c>
    </row>
    <row r="4194" spans="1:34" x14ac:dyDescent="0.35">
      <c r="A4194">
        <v>4193</v>
      </c>
      <c r="B4194" t="s">
        <v>38</v>
      </c>
      <c r="C4194">
        <v>149</v>
      </c>
      <c r="D4194" t="s">
        <v>25</v>
      </c>
      <c r="E4194" t="s">
        <v>22</v>
      </c>
      <c r="F4194" t="s">
        <v>23</v>
      </c>
      <c r="G4194">
        <v>28</v>
      </c>
      <c r="H4194">
        <v>212.8</v>
      </c>
      <c r="I4194">
        <v>117</v>
      </c>
      <c r="J4194">
        <v>36.18</v>
      </c>
      <c r="K4194">
        <v>159.9</v>
      </c>
      <c r="L4194">
        <v>86</v>
      </c>
      <c r="M4194">
        <v>13.59</v>
      </c>
      <c r="N4194">
        <v>222.7</v>
      </c>
      <c r="O4194">
        <v>88</v>
      </c>
      <c r="P4194">
        <v>10.02</v>
      </c>
      <c r="Q4194">
        <v>0</v>
      </c>
      <c r="R4194">
        <v>0</v>
      </c>
      <c r="S4194">
        <v>0</v>
      </c>
      <c r="T4194">
        <v>1</v>
      </c>
      <c r="U4194" t="s">
        <v>22</v>
      </c>
      <c r="V4194" t="e">
        <f>IF(#REF! = "yes", 1, 0)</f>
        <v>#REF!</v>
      </c>
      <c r="W4194" t="e">
        <f>IF(#REF! &lt;= 1, "0-1 Calls", IF(#REF! &lt;= 3, "2-3 Calls", IF(#REF! &lt;=5, "4-5 Calls", "6+ Calls")))</f>
        <v>#REF!</v>
      </c>
      <c r="X4194" t="e">
        <f>IF(#REF! &lt;= 50, "0-50", IF(#REF! &lt;=100, "51-100", IF(#REF! &lt;= 150, "101-150", "151+")))</f>
        <v>#REF!</v>
      </c>
      <c r="Y4194" t="e">
        <f>IF(#REF! &lt;= 3, "Low Charges", "High Charges")</f>
        <v>#REF!</v>
      </c>
      <c r="Z4194" t="e">
        <f>IF(#REF!&lt;=80,"Low Calls",
IF(#REF!&lt;=120,"Medium Calls","High Calls"))</f>
        <v>#REF!</v>
      </c>
      <c r="AA4194" t="e">
        <f>IF(#REF!&lt;=15,"Low Charges",
IF(#REF!&lt;=20,"Medium Charges","High Charges"))</f>
        <v>#REF!</v>
      </c>
      <c r="AB4194" t="e">
        <f>IF(AND(#REF!&gt;180, #REF!&gt;200), "Heavy Doemstic User", IF(#REF!&gt;10, "Interntional User", IF(AND(#REF!&lt;180, #REF!&lt;200,#REF!&lt;200), "Light User", "Balanced User")))</f>
        <v>#REF!</v>
      </c>
      <c r="AC4194" t="e">
        <f>IF(#REF! = 0, "No Usage", IF(#REF! &lt;= 20, "Low Usage", IF(#REF! &lt;= 40, "Medium Usgae", "High Usage")))</f>
        <v>#REF!</v>
      </c>
      <c r="AD4194" t="e">
        <f>IF(#REF!&lt;=150,"Low Usage", IF(#REF!&lt;=200,"Medium Usage", IF(#REF!&lt;=250,"High Usage","Very High Usage")))</f>
        <v>#REF!</v>
      </c>
      <c r="AE4194" t="e">
        <f>IF(#REF!&lt;=5,"Low Calls", IF(#REF!&lt;=10, "Medium Calls", "High Calls"))</f>
        <v>#REF!</v>
      </c>
      <c r="AF4194" t="e">
        <f xml:space="preserve">
IF(#REF!&gt;=4,4,0)+
IF(#REF!="yes",3,0)+
IF(#REF!="High Charges",3,0)+
IF(#REF!&gt;250,4,0)+
IF(#REF!="no",1,0)+
IF(#REF!="Heavy Domestic User",2,0)</f>
        <v>#REF!</v>
      </c>
      <c r="AG4194" t="e">
        <f>IF(#REF!&gt;=10,"High Risk", IF(#REF!&gt;=5,"Medium Risk","Low Risk"))</f>
        <v>#REF!</v>
      </c>
      <c r="AH4194" t="e">
        <f>#REF! + #REF! + #REF! + #REF!</f>
        <v>#REF!</v>
      </c>
    </row>
    <row r="4195" spans="1:34" x14ac:dyDescent="0.35">
      <c r="A4195">
        <v>4194</v>
      </c>
      <c r="B4195" t="s">
        <v>59</v>
      </c>
      <c r="C4195">
        <v>62</v>
      </c>
      <c r="D4195" t="s">
        <v>21</v>
      </c>
      <c r="E4195" t="s">
        <v>23</v>
      </c>
      <c r="F4195" t="s">
        <v>22</v>
      </c>
      <c r="G4195">
        <v>0</v>
      </c>
      <c r="H4195">
        <v>180.9</v>
      </c>
      <c r="I4195">
        <v>121</v>
      </c>
      <c r="J4195">
        <v>30.75</v>
      </c>
      <c r="K4195">
        <v>134.30000000000001</v>
      </c>
      <c r="L4195">
        <v>107</v>
      </c>
      <c r="M4195">
        <v>11.42</v>
      </c>
      <c r="N4195">
        <v>179.3</v>
      </c>
      <c r="O4195">
        <v>74</v>
      </c>
      <c r="P4195">
        <v>8.07</v>
      </c>
      <c r="Q4195">
        <v>8.6</v>
      </c>
      <c r="R4195">
        <v>2</v>
      </c>
      <c r="S4195">
        <v>2.3199999999999998</v>
      </c>
      <c r="T4195">
        <v>2</v>
      </c>
      <c r="U4195" t="s">
        <v>23</v>
      </c>
      <c r="V4195" t="e">
        <f>IF(#REF! = "yes", 1, 0)</f>
        <v>#REF!</v>
      </c>
      <c r="W4195" t="e">
        <f>IF(#REF! &lt;= 1, "0-1 Calls", IF(#REF! &lt;= 3, "2-3 Calls", IF(#REF! &lt;=5, "4-5 Calls", "6+ Calls")))</f>
        <v>#REF!</v>
      </c>
      <c r="X4195" t="e">
        <f>IF(#REF! &lt;= 50, "0-50", IF(#REF! &lt;=100, "51-100", IF(#REF! &lt;= 150, "101-150", "151+")))</f>
        <v>#REF!</v>
      </c>
      <c r="Y4195" t="e">
        <f>IF(#REF! &lt;= 3, "Low Charges", "High Charges")</f>
        <v>#REF!</v>
      </c>
      <c r="Z4195" t="e">
        <f>IF(#REF!&lt;=80,"Low Calls",
IF(#REF!&lt;=120,"Medium Calls","High Calls"))</f>
        <v>#REF!</v>
      </c>
      <c r="AA4195" t="e">
        <f>IF(#REF!&lt;=15,"Low Charges",
IF(#REF!&lt;=20,"Medium Charges","High Charges"))</f>
        <v>#REF!</v>
      </c>
      <c r="AB4195" t="e">
        <f>IF(AND(#REF!&gt;180, #REF!&gt;200), "Heavy Doemstic User", IF(#REF!&gt;10, "Interntional User", IF(AND(#REF!&lt;180, #REF!&lt;200,#REF!&lt;200), "Light User", "Balanced User")))</f>
        <v>#REF!</v>
      </c>
      <c r="AC4195" t="e">
        <f>IF(#REF! = 0, "No Usage", IF(#REF! &lt;= 20, "Low Usage", IF(#REF! &lt;= 40, "Medium Usgae", "High Usage")))</f>
        <v>#REF!</v>
      </c>
      <c r="AD4195" t="e">
        <f>IF(#REF!&lt;=150,"Low Usage", IF(#REF!&lt;=200,"Medium Usage", IF(#REF!&lt;=250,"High Usage","Very High Usage")))</f>
        <v>#REF!</v>
      </c>
      <c r="AE4195" t="e">
        <f>IF(#REF!&lt;=5,"Low Calls", IF(#REF!&lt;=10, "Medium Calls", "High Calls"))</f>
        <v>#REF!</v>
      </c>
      <c r="AF4195" t="e">
        <f xml:space="preserve">
IF(#REF!&gt;=4,4,0)+
IF(#REF!="yes",3,0)+
IF(#REF!="High Charges",3,0)+
IF(#REF!&gt;250,4,0)+
IF(#REF!="no",1,0)+
IF(#REF!="Heavy Domestic User",2,0)</f>
        <v>#REF!</v>
      </c>
      <c r="AG4195" t="e">
        <f>IF(#REF!&gt;=10,"High Risk", IF(#REF!&gt;=5,"Medium Risk","Low Risk"))</f>
        <v>#REF!</v>
      </c>
      <c r="AH4195" t="e">
        <f>#REF! + #REF! + #REF! + #REF!</f>
        <v>#REF!</v>
      </c>
    </row>
    <row r="4196" spans="1:34" x14ac:dyDescent="0.35">
      <c r="A4196">
        <v>4195</v>
      </c>
      <c r="B4196" t="s">
        <v>68</v>
      </c>
      <c r="C4196">
        <v>80</v>
      </c>
      <c r="D4196" t="s">
        <v>21</v>
      </c>
      <c r="E4196" t="s">
        <v>22</v>
      </c>
      <c r="F4196" t="s">
        <v>22</v>
      </c>
      <c r="G4196">
        <v>0</v>
      </c>
      <c r="H4196">
        <v>209.9</v>
      </c>
      <c r="I4196">
        <v>109</v>
      </c>
      <c r="J4196">
        <v>35.68</v>
      </c>
      <c r="K4196">
        <v>226.1</v>
      </c>
      <c r="L4196">
        <v>56</v>
      </c>
      <c r="M4196">
        <v>19.22</v>
      </c>
      <c r="N4196">
        <v>154.19999999999999</v>
      </c>
      <c r="O4196">
        <v>121</v>
      </c>
      <c r="P4196">
        <v>6.94</v>
      </c>
      <c r="Q4196">
        <v>9</v>
      </c>
      <c r="R4196">
        <v>5</v>
      </c>
      <c r="S4196">
        <v>2.4300000000000002</v>
      </c>
      <c r="T4196">
        <v>1</v>
      </c>
      <c r="U4196" t="s">
        <v>22</v>
      </c>
      <c r="V4196" t="e">
        <f>IF(#REF! = "yes", 1, 0)</f>
        <v>#REF!</v>
      </c>
      <c r="W4196" t="e">
        <f>IF(#REF! &lt;= 1, "0-1 Calls", IF(#REF! &lt;= 3, "2-3 Calls", IF(#REF! &lt;=5, "4-5 Calls", "6+ Calls")))</f>
        <v>#REF!</v>
      </c>
      <c r="X4196" t="e">
        <f>IF(#REF! &lt;= 50, "0-50", IF(#REF! &lt;=100, "51-100", IF(#REF! &lt;= 150, "101-150", "151+")))</f>
        <v>#REF!</v>
      </c>
      <c r="Y4196" t="e">
        <f>IF(#REF! &lt;= 3, "Low Charges", "High Charges")</f>
        <v>#REF!</v>
      </c>
      <c r="Z4196" t="e">
        <f>IF(#REF!&lt;=80,"Low Calls",
IF(#REF!&lt;=120,"Medium Calls","High Calls"))</f>
        <v>#REF!</v>
      </c>
      <c r="AA4196" t="e">
        <f>IF(#REF!&lt;=15,"Low Charges",
IF(#REF!&lt;=20,"Medium Charges","High Charges"))</f>
        <v>#REF!</v>
      </c>
      <c r="AB4196" t="e">
        <f>IF(AND(#REF!&gt;180, #REF!&gt;200), "Heavy Doemstic User", IF(#REF!&gt;10, "Interntional User", IF(AND(#REF!&lt;180, #REF!&lt;200,#REF!&lt;200), "Light User", "Balanced User")))</f>
        <v>#REF!</v>
      </c>
      <c r="AC4196" t="e">
        <f>IF(#REF! = 0, "No Usage", IF(#REF! &lt;= 20, "Low Usage", IF(#REF! &lt;= 40, "Medium Usgae", "High Usage")))</f>
        <v>#REF!</v>
      </c>
      <c r="AD4196" t="e">
        <f>IF(#REF!&lt;=150,"Low Usage", IF(#REF!&lt;=200,"Medium Usage", IF(#REF!&lt;=250,"High Usage","Very High Usage")))</f>
        <v>#REF!</v>
      </c>
      <c r="AE4196" t="e">
        <f>IF(#REF!&lt;=5,"Low Calls", IF(#REF!&lt;=10, "Medium Calls", "High Calls"))</f>
        <v>#REF!</v>
      </c>
      <c r="AF4196" t="e">
        <f xml:space="preserve">
IF(#REF!&gt;=4,4,0)+
IF(#REF!="yes",3,0)+
IF(#REF!="High Charges",3,0)+
IF(#REF!&gt;250,4,0)+
IF(#REF!="no",1,0)+
IF(#REF!="Heavy Domestic User",2,0)</f>
        <v>#REF!</v>
      </c>
      <c r="AG4196" t="e">
        <f>IF(#REF!&gt;=10,"High Risk", IF(#REF!&gt;=5,"Medium Risk","Low Risk"))</f>
        <v>#REF!</v>
      </c>
      <c r="AH4196" t="e">
        <f>#REF! + #REF! + #REF! + #REF!</f>
        <v>#REF!</v>
      </c>
    </row>
    <row r="4197" spans="1:34" x14ac:dyDescent="0.35">
      <c r="A4197">
        <v>4196</v>
      </c>
      <c r="B4197" t="s">
        <v>60</v>
      </c>
      <c r="C4197">
        <v>30</v>
      </c>
      <c r="D4197" t="s">
        <v>25</v>
      </c>
      <c r="E4197" t="s">
        <v>22</v>
      </c>
      <c r="F4197" t="s">
        <v>22</v>
      </c>
      <c r="G4197">
        <v>0</v>
      </c>
      <c r="H4197">
        <v>112.9</v>
      </c>
      <c r="I4197">
        <v>81</v>
      </c>
      <c r="J4197">
        <v>19.190000000000001</v>
      </c>
      <c r="K4197">
        <v>224.8</v>
      </c>
      <c r="L4197">
        <v>68</v>
      </c>
      <c r="M4197">
        <v>19.11</v>
      </c>
      <c r="N4197">
        <v>188.4</v>
      </c>
      <c r="O4197">
        <v>122</v>
      </c>
      <c r="P4197">
        <v>8.48</v>
      </c>
      <c r="Q4197">
        <v>11.3</v>
      </c>
      <c r="R4197">
        <v>7</v>
      </c>
      <c r="S4197">
        <v>3.05</v>
      </c>
      <c r="T4197">
        <v>4</v>
      </c>
      <c r="U4197" t="s">
        <v>23</v>
      </c>
      <c r="V4197" t="e">
        <f>IF(#REF! = "yes", 1, 0)</f>
        <v>#REF!</v>
      </c>
      <c r="W4197" t="e">
        <f>IF(#REF! &lt;= 1, "0-1 Calls", IF(#REF! &lt;= 3, "2-3 Calls", IF(#REF! &lt;=5, "4-5 Calls", "6+ Calls")))</f>
        <v>#REF!</v>
      </c>
      <c r="X4197" t="e">
        <f>IF(#REF! &lt;= 50, "0-50", IF(#REF! &lt;=100, "51-100", IF(#REF! &lt;= 150, "101-150", "151+")))</f>
        <v>#REF!</v>
      </c>
      <c r="Y4197" t="e">
        <f>IF(#REF! &lt;= 3, "Low Charges", "High Charges")</f>
        <v>#REF!</v>
      </c>
      <c r="Z4197" t="e">
        <f>IF(#REF!&lt;=80,"Low Calls",
IF(#REF!&lt;=120,"Medium Calls","High Calls"))</f>
        <v>#REF!</v>
      </c>
      <c r="AA4197" t="e">
        <f>IF(#REF!&lt;=15,"Low Charges",
IF(#REF!&lt;=20,"Medium Charges","High Charges"))</f>
        <v>#REF!</v>
      </c>
      <c r="AB4197" t="e">
        <f>IF(AND(#REF!&gt;180, #REF!&gt;200), "Heavy Doemstic User", IF(#REF!&gt;10, "Interntional User", IF(AND(#REF!&lt;180, #REF!&lt;200,#REF!&lt;200), "Light User", "Balanced User")))</f>
        <v>#REF!</v>
      </c>
      <c r="AC4197" t="e">
        <f>IF(#REF! = 0, "No Usage", IF(#REF! &lt;= 20, "Low Usage", IF(#REF! &lt;= 40, "Medium Usgae", "High Usage")))</f>
        <v>#REF!</v>
      </c>
      <c r="AD4197" t="e">
        <f>IF(#REF!&lt;=150,"Low Usage", IF(#REF!&lt;=200,"Medium Usage", IF(#REF!&lt;=250,"High Usage","Very High Usage")))</f>
        <v>#REF!</v>
      </c>
      <c r="AE4197" t="e">
        <f>IF(#REF!&lt;=5,"Low Calls", IF(#REF!&lt;=10, "Medium Calls", "High Calls"))</f>
        <v>#REF!</v>
      </c>
      <c r="AF4197" t="e">
        <f xml:space="preserve">
IF(#REF!&gt;=4,4,0)+
IF(#REF!="yes",3,0)+
IF(#REF!="High Charges",3,0)+
IF(#REF!&gt;250,4,0)+
IF(#REF!="no",1,0)+
IF(#REF!="Heavy Domestic User",2,0)</f>
        <v>#REF!</v>
      </c>
      <c r="AG4197" t="e">
        <f>IF(#REF!&gt;=10,"High Risk", IF(#REF!&gt;=5,"Medium Risk","Low Risk"))</f>
        <v>#REF!</v>
      </c>
      <c r="AH4197" t="e">
        <f>#REF! + #REF! + #REF! + #REF!</f>
        <v>#REF!</v>
      </c>
    </row>
    <row r="4198" spans="1:34" x14ac:dyDescent="0.35">
      <c r="A4198">
        <v>4197</v>
      </c>
      <c r="B4198" t="s">
        <v>66</v>
      </c>
      <c r="C4198">
        <v>89</v>
      </c>
      <c r="D4198" t="s">
        <v>21</v>
      </c>
      <c r="E4198" t="s">
        <v>22</v>
      </c>
      <c r="F4198" t="s">
        <v>22</v>
      </c>
      <c r="G4198">
        <v>0</v>
      </c>
      <c r="H4198">
        <v>242.5</v>
      </c>
      <c r="I4198">
        <v>71</v>
      </c>
      <c r="J4198">
        <v>41.23</v>
      </c>
      <c r="K4198">
        <v>213.3</v>
      </c>
      <c r="L4198">
        <v>109</v>
      </c>
      <c r="M4198">
        <v>18.13</v>
      </c>
      <c r="N4198">
        <v>231</v>
      </c>
      <c r="O4198">
        <v>84</v>
      </c>
      <c r="P4198">
        <v>10.4</v>
      </c>
      <c r="Q4198">
        <v>6.3</v>
      </c>
      <c r="R4198">
        <v>3</v>
      </c>
      <c r="S4198">
        <v>1.7</v>
      </c>
      <c r="T4198">
        <v>3</v>
      </c>
      <c r="U4198" t="s">
        <v>22</v>
      </c>
      <c r="V4198" t="e">
        <f>IF(#REF! = "yes", 1, 0)</f>
        <v>#REF!</v>
      </c>
      <c r="W4198" t="e">
        <f>IF(#REF! &lt;= 1, "0-1 Calls", IF(#REF! &lt;= 3, "2-3 Calls", IF(#REF! &lt;=5, "4-5 Calls", "6+ Calls")))</f>
        <v>#REF!</v>
      </c>
      <c r="X4198" t="e">
        <f>IF(#REF! &lt;= 50, "0-50", IF(#REF! &lt;=100, "51-100", IF(#REF! &lt;= 150, "101-150", "151+")))</f>
        <v>#REF!</v>
      </c>
      <c r="Y4198" t="e">
        <f>IF(#REF! &lt;= 3, "Low Charges", "High Charges")</f>
        <v>#REF!</v>
      </c>
      <c r="Z4198" t="e">
        <f>IF(#REF!&lt;=80,"Low Calls",
IF(#REF!&lt;=120,"Medium Calls","High Calls"))</f>
        <v>#REF!</v>
      </c>
      <c r="AA4198" t="e">
        <f>IF(#REF!&lt;=15,"Low Charges",
IF(#REF!&lt;=20,"Medium Charges","High Charges"))</f>
        <v>#REF!</v>
      </c>
      <c r="AB4198" t="e">
        <f>IF(AND(#REF!&gt;180, #REF!&gt;200), "Heavy Doemstic User", IF(#REF!&gt;10, "Interntional User", IF(AND(#REF!&lt;180, #REF!&lt;200,#REF!&lt;200), "Light User", "Balanced User")))</f>
        <v>#REF!</v>
      </c>
      <c r="AC4198" t="e">
        <f>IF(#REF! = 0, "No Usage", IF(#REF! &lt;= 20, "Low Usage", IF(#REF! &lt;= 40, "Medium Usgae", "High Usage")))</f>
        <v>#REF!</v>
      </c>
      <c r="AD4198" t="e">
        <f>IF(#REF!&lt;=150,"Low Usage", IF(#REF!&lt;=200,"Medium Usage", IF(#REF!&lt;=250,"High Usage","Very High Usage")))</f>
        <v>#REF!</v>
      </c>
      <c r="AE4198" t="e">
        <f>IF(#REF!&lt;=5,"Low Calls", IF(#REF!&lt;=10, "Medium Calls", "High Calls"))</f>
        <v>#REF!</v>
      </c>
      <c r="AF4198" t="e">
        <f xml:space="preserve">
IF(#REF!&gt;=4,4,0)+
IF(#REF!="yes",3,0)+
IF(#REF!="High Charges",3,0)+
IF(#REF!&gt;250,4,0)+
IF(#REF!="no",1,0)+
IF(#REF!="Heavy Domestic User",2,0)</f>
        <v>#REF!</v>
      </c>
      <c r="AG4198" t="e">
        <f>IF(#REF!&gt;=10,"High Risk", IF(#REF!&gt;=5,"Medium Risk","Low Risk"))</f>
        <v>#REF!</v>
      </c>
      <c r="AH4198" t="e">
        <f>#REF! + #REF! + #REF! + #REF!</f>
        <v>#REF!</v>
      </c>
    </row>
    <row r="4199" spans="1:34" x14ac:dyDescent="0.35">
      <c r="A4199">
        <v>4198</v>
      </c>
      <c r="B4199" t="s">
        <v>68</v>
      </c>
      <c r="C4199">
        <v>57</v>
      </c>
      <c r="D4199" t="s">
        <v>21</v>
      </c>
      <c r="E4199" t="s">
        <v>22</v>
      </c>
      <c r="F4199" t="s">
        <v>22</v>
      </c>
      <c r="G4199">
        <v>0</v>
      </c>
      <c r="H4199">
        <v>190.1</v>
      </c>
      <c r="I4199">
        <v>114</v>
      </c>
      <c r="J4199">
        <v>32.32</v>
      </c>
      <c r="K4199">
        <v>274.5</v>
      </c>
      <c r="L4199">
        <v>96</v>
      </c>
      <c r="M4199">
        <v>23.33</v>
      </c>
      <c r="N4199">
        <v>132.5</v>
      </c>
      <c r="O4199">
        <v>122</v>
      </c>
      <c r="P4199">
        <v>5.96</v>
      </c>
      <c r="Q4199">
        <v>9.1999999999999993</v>
      </c>
      <c r="R4199">
        <v>5</v>
      </c>
      <c r="S4199">
        <v>2.48</v>
      </c>
      <c r="T4199">
        <v>3</v>
      </c>
      <c r="U4199" t="s">
        <v>22</v>
      </c>
      <c r="V4199" t="e">
        <f>IF(#REF! = "yes", 1, 0)</f>
        <v>#REF!</v>
      </c>
      <c r="W4199" t="e">
        <f>IF(#REF! &lt;= 1, "0-1 Calls", IF(#REF! &lt;= 3, "2-3 Calls", IF(#REF! &lt;=5, "4-5 Calls", "6+ Calls")))</f>
        <v>#REF!</v>
      </c>
      <c r="X4199" t="e">
        <f>IF(#REF! &lt;= 50, "0-50", IF(#REF! &lt;=100, "51-100", IF(#REF! &lt;= 150, "101-150", "151+")))</f>
        <v>#REF!</v>
      </c>
      <c r="Y4199" t="e">
        <f>IF(#REF! &lt;= 3, "Low Charges", "High Charges")</f>
        <v>#REF!</v>
      </c>
      <c r="Z4199" t="e">
        <f>IF(#REF!&lt;=80,"Low Calls",
IF(#REF!&lt;=120,"Medium Calls","High Calls"))</f>
        <v>#REF!</v>
      </c>
      <c r="AA4199" t="e">
        <f>IF(#REF!&lt;=15,"Low Charges",
IF(#REF!&lt;=20,"Medium Charges","High Charges"))</f>
        <v>#REF!</v>
      </c>
      <c r="AB4199" t="e">
        <f>IF(AND(#REF!&gt;180, #REF!&gt;200), "Heavy Doemstic User", IF(#REF!&gt;10, "Interntional User", IF(AND(#REF!&lt;180, #REF!&lt;200,#REF!&lt;200), "Light User", "Balanced User")))</f>
        <v>#REF!</v>
      </c>
      <c r="AC4199" t="e">
        <f>IF(#REF! = 0, "No Usage", IF(#REF! &lt;= 20, "Low Usage", IF(#REF! &lt;= 40, "Medium Usgae", "High Usage")))</f>
        <v>#REF!</v>
      </c>
      <c r="AD4199" t="e">
        <f>IF(#REF!&lt;=150,"Low Usage", IF(#REF!&lt;=200,"Medium Usage", IF(#REF!&lt;=250,"High Usage","Very High Usage")))</f>
        <v>#REF!</v>
      </c>
      <c r="AE4199" t="e">
        <f>IF(#REF!&lt;=5,"Low Calls", IF(#REF!&lt;=10, "Medium Calls", "High Calls"))</f>
        <v>#REF!</v>
      </c>
      <c r="AF4199" t="e">
        <f xml:space="preserve">
IF(#REF!&gt;=4,4,0)+
IF(#REF!="yes",3,0)+
IF(#REF!="High Charges",3,0)+
IF(#REF!&gt;250,4,0)+
IF(#REF!="no",1,0)+
IF(#REF!="Heavy Domestic User",2,0)</f>
        <v>#REF!</v>
      </c>
      <c r="AG4199" t="e">
        <f>IF(#REF!&gt;=10,"High Risk", IF(#REF!&gt;=5,"Medium Risk","Low Risk"))</f>
        <v>#REF!</v>
      </c>
      <c r="AH4199" t="e">
        <f>#REF! + #REF! + #REF! + #REF!</f>
        <v>#REF!</v>
      </c>
    </row>
    <row r="4200" spans="1:34" x14ac:dyDescent="0.35">
      <c r="A4200">
        <v>4199</v>
      </c>
      <c r="B4200" t="s">
        <v>20</v>
      </c>
      <c r="C4200">
        <v>145</v>
      </c>
      <c r="D4200" t="s">
        <v>25</v>
      </c>
      <c r="E4200" t="s">
        <v>22</v>
      </c>
      <c r="F4200" t="s">
        <v>22</v>
      </c>
      <c r="G4200">
        <v>0</v>
      </c>
      <c r="H4200">
        <v>185.9</v>
      </c>
      <c r="I4200">
        <v>106</v>
      </c>
      <c r="J4200">
        <v>31.6</v>
      </c>
      <c r="K4200">
        <v>209.7</v>
      </c>
      <c r="L4200">
        <v>112</v>
      </c>
      <c r="M4200">
        <v>17.82</v>
      </c>
      <c r="N4200">
        <v>224.7</v>
      </c>
      <c r="O4200">
        <v>87</v>
      </c>
      <c r="P4200">
        <v>10.11</v>
      </c>
      <c r="Q4200">
        <v>9.3000000000000007</v>
      </c>
      <c r="R4200">
        <v>4</v>
      </c>
      <c r="S4200">
        <v>2.5099999999999998</v>
      </c>
      <c r="T4200">
        <v>2</v>
      </c>
      <c r="U4200" t="s">
        <v>22</v>
      </c>
      <c r="V4200" t="e">
        <f>IF(#REF! = "yes", 1, 0)</f>
        <v>#REF!</v>
      </c>
      <c r="W4200" t="e">
        <f>IF(#REF! &lt;= 1, "0-1 Calls", IF(#REF! &lt;= 3, "2-3 Calls", IF(#REF! &lt;=5, "4-5 Calls", "6+ Calls")))</f>
        <v>#REF!</v>
      </c>
      <c r="X4200" t="e">
        <f>IF(#REF! &lt;= 50, "0-50", IF(#REF! &lt;=100, "51-100", IF(#REF! &lt;= 150, "101-150", "151+")))</f>
        <v>#REF!</v>
      </c>
      <c r="Y4200" t="e">
        <f>IF(#REF! &lt;= 3, "Low Charges", "High Charges")</f>
        <v>#REF!</v>
      </c>
      <c r="Z4200" t="e">
        <f>IF(#REF!&lt;=80,"Low Calls",
IF(#REF!&lt;=120,"Medium Calls","High Calls"))</f>
        <v>#REF!</v>
      </c>
      <c r="AA4200" t="e">
        <f>IF(#REF!&lt;=15,"Low Charges",
IF(#REF!&lt;=20,"Medium Charges","High Charges"))</f>
        <v>#REF!</v>
      </c>
      <c r="AB4200" t="e">
        <f>IF(AND(#REF!&gt;180, #REF!&gt;200), "Heavy Doemstic User", IF(#REF!&gt;10, "Interntional User", IF(AND(#REF!&lt;180, #REF!&lt;200,#REF!&lt;200), "Light User", "Balanced User")))</f>
        <v>#REF!</v>
      </c>
      <c r="AC4200" t="e">
        <f>IF(#REF! = 0, "No Usage", IF(#REF! &lt;= 20, "Low Usage", IF(#REF! &lt;= 40, "Medium Usgae", "High Usage")))</f>
        <v>#REF!</v>
      </c>
      <c r="AD4200" t="e">
        <f>IF(#REF!&lt;=150,"Low Usage", IF(#REF!&lt;=200,"Medium Usage", IF(#REF!&lt;=250,"High Usage","Very High Usage")))</f>
        <v>#REF!</v>
      </c>
      <c r="AE4200" t="e">
        <f>IF(#REF!&lt;=5,"Low Calls", IF(#REF!&lt;=10, "Medium Calls", "High Calls"))</f>
        <v>#REF!</v>
      </c>
      <c r="AF4200" t="e">
        <f xml:space="preserve">
IF(#REF!&gt;=4,4,0)+
IF(#REF!="yes",3,0)+
IF(#REF!="High Charges",3,0)+
IF(#REF!&gt;250,4,0)+
IF(#REF!="no",1,0)+
IF(#REF!="Heavy Domestic User",2,0)</f>
        <v>#REF!</v>
      </c>
      <c r="AG4200" t="e">
        <f>IF(#REF!&gt;=10,"High Risk", IF(#REF!&gt;=5,"Medium Risk","Low Risk"))</f>
        <v>#REF!</v>
      </c>
      <c r="AH4200" t="e">
        <f>#REF! + #REF! + #REF! + #REF!</f>
        <v>#REF!</v>
      </c>
    </row>
    <row r="4201" spans="1:34" x14ac:dyDescent="0.35">
      <c r="A4201">
        <v>4200</v>
      </c>
      <c r="B4201" t="s">
        <v>52</v>
      </c>
      <c r="C4201">
        <v>132</v>
      </c>
      <c r="D4201" t="s">
        <v>28</v>
      </c>
      <c r="E4201" t="s">
        <v>22</v>
      </c>
      <c r="F4201" t="s">
        <v>22</v>
      </c>
      <c r="G4201">
        <v>0</v>
      </c>
      <c r="H4201">
        <v>265.8</v>
      </c>
      <c r="I4201">
        <v>122</v>
      </c>
      <c r="J4201">
        <v>45.19</v>
      </c>
      <c r="K4201">
        <v>285.10000000000002</v>
      </c>
      <c r="L4201">
        <v>90</v>
      </c>
      <c r="M4201">
        <v>24.23</v>
      </c>
      <c r="N4201">
        <v>183.6</v>
      </c>
      <c r="O4201">
        <v>124</v>
      </c>
      <c r="P4201">
        <v>8.26</v>
      </c>
      <c r="Q4201">
        <v>13.6</v>
      </c>
      <c r="R4201">
        <v>9</v>
      </c>
      <c r="S4201">
        <v>3.67</v>
      </c>
      <c r="T4201">
        <v>2</v>
      </c>
      <c r="U4201" t="s">
        <v>23</v>
      </c>
      <c r="V4201" t="e">
        <f>IF(#REF! = "yes", 1, 0)</f>
        <v>#REF!</v>
      </c>
      <c r="W4201" t="e">
        <f>IF(#REF! &lt;= 1, "0-1 Calls", IF(#REF! &lt;= 3, "2-3 Calls", IF(#REF! &lt;=5, "4-5 Calls", "6+ Calls")))</f>
        <v>#REF!</v>
      </c>
      <c r="X4201" t="e">
        <f>IF(#REF! &lt;= 50, "0-50", IF(#REF! &lt;=100, "51-100", IF(#REF! &lt;= 150, "101-150", "151+")))</f>
        <v>#REF!</v>
      </c>
      <c r="Y4201" t="e">
        <f>IF(#REF! &lt;= 3, "Low Charges", "High Charges")</f>
        <v>#REF!</v>
      </c>
      <c r="Z4201" t="e">
        <f>IF(#REF!&lt;=80,"Low Calls",
IF(#REF!&lt;=120,"Medium Calls","High Calls"))</f>
        <v>#REF!</v>
      </c>
      <c r="AA4201" t="e">
        <f>IF(#REF!&lt;=15,"Low Charges",
IF(#REF!&lt;=20,"Medium Charges","High Charges"))</f>
        <v>#REF!</v>
      </c>
      <c r="AB4201" t="e">
        <f>IF(AND(#REF!&gt;180, #REF!&gt;200), "Heavy Doemstic User", IF(#REF!&gt;10, "Interntional User", IF(AND(#REF!&lt;180, #REF!&lt;200,#REF!&lt;200), "Light User", "Balanced User")))</f>
        <v>#REF!</v>
      </c>
      <c r="AC4201" t="e">
        <f>IF(#REF! = 0, "No Usage", IF(#REF! &lt;= 20, "Low Usage", IF(#REF! &lt;= 40, "Medium Usgae", "High Usage")))</f>
        <v>#REF!</v>
      </c>
      <c r="AD4201" t="e">
        <f>IF(#REF!&lt;=150,"Low Usage", IF(#REF!&lt;=200,"Medium Usage", IF(#REF!&lt;=250,"High Usage","Very High Usage")))</f>
        <v>#REF!</v>
      </c>
      <c r="AE4201" t="e">
        <f>IF(#REF!&lt;=5,"Low Calls", IF(#REF!&lt;=10, "Medium Calls", "High Calls"))</f>
        <v>#REF!</v>
      </c>
      <c r="AF4201" t="e">
        <f xml:space="preserve">
IF(#REF!&gt;=4,4,0)+
IF(#REF!="yes",3,0)+
IF(#REF!="High Charges",3,0)+
IF(#REF!&gt;250,4,0)+
IF(#REF!="no",1,0)+
IF(#REF!="Heavy Domestic User",2,0)</f>
        <v>#REF!</v>
      </c>
      <c r="AG4201" t="e">
        <f>IF(#REF!&gt;=10,"High Risk", IF(#REF!&gt;=5,"Medium Risk","Low Risk"))</f>
        <v>#REF!</v>
      </c>
      <c r="AH4201" t="e">
        <f>#REF! + #REF! + #REF! + #REF!</f>
        <v>#REF!</v>
      </c>
    </row>
    <row r="4202" spans="1:34" x14ac:dyDescent="0.35">
      <c r="A4202">
        <v>4201</v>
      </c>
      <c r="B4202" t="s">
        <v>37</v>
      </c>
      <c r="C4202">
        <v>57</v>
      </c>
      <c r="D4202" t="s">
        <v>21</v>
      </c>
      <c r="E4202" t="s">
        <v>22</v>
      </c>
      <c r="F4202" t="s">
        <v>22</v>
      </c>
      <c r="G4202">
        <v>0</v>
      </c>
      <c r="H4202">
        <v>217.1</v>
      </c>
      <c r="I4202">
        <v>115</v>
      </c>
      <c r="J4202">
        <v>36.909999999999997</v>
      </c>
      <c r="K4202">
        <v>258.60000000000002</v>
      </c>
      <c r="L4202">
        <v>92</v>
      </c>
      <c r="M4202">
        <v>21.98</v>
      </c>
      <c r="N4202">
        <v>173.7</v>
      </c>
      <c r="O4202">
        <v>117</v>
      </c>
      <c r="P4202">
        <v>7.82</v>
      </c>
      <c r="Q4202">
        <v>12.6</v>
      </c>
      <c r="R4202">
        <v>6</v>
      </c>
      <c r="S4202">
        <v>3.4</v>
      </c>
      <c r="T4202">
        <v>2</v>
      </c>
      <c r="U4202" t="s">
        <v>22</v>
      </c>
      <c r="V4202" t="e">
        <f>IF(#REF! = "yes", 1, 0)</f>
        <v>#REF!</v>
      </c>
      <c r="W4202" t="e">
        <f>IF(#REF! &lt;= 1, "0-1 Calls", IF(#REF! &lt;= 3, "2-3 Calls", IF(#REF! &lt;=5, "4-5 Calls", "6+ Calls")))</f>
        <v>#REF!</v>
      </c>
      <c r="X4202" t="e">
        <f>IF(#REF! &lt;= 50, "0-50", IF(#REF! &lt;=100, "51-100", IF(#REF! &lt;= 150, "101-150", "151+")))</f>
        <v>#REF!</v>
      </c>
      <c r="Y4202" t="e">
        <f>IF(#REF! &lt;= 3, "Low Charges", "High Charges")</f>
        <v>#REF!</v>
      </c>
      <c r="Z4202" t="e">
        <f>IF(#REF!&lt;=80,"Low Calls",
IF(#REF!&lt;=120,"Medium Calls","High Calls"))</f>
        <v>#REF!</v>
      </c>
      <c r="AA4202" t="e">
        <f>IF(#REF!&lt;=15,"Low Charges",
IF(#REF!&lt;=20,"Medium Charges","High Charges"))</f>
        <v>#REF!</v>
      </c>
      <c r="AB4202" t="e">
        <f>IF(AND(#REF!&gt;180, #REF!&gt;200), "Heavy Doemstic User", IF(#REF!&gt;10, "Interntional User", IF(AND(#REF!&lt;180, #REF!&lt;200,#REF!&lt;200), "Light User", "Balanced User")))</f>
        <v>#REF!</v>
      </c>
      <c r="AC4202" t="e">
        <f>IF(#REF! = 0, "No Usage", IF(#REF! &lt;= 20, "Low Usage", IF(#REF! &lt;= 40, "Medium Usgae", "High Usage")))</f>
        <v>#REF!</v>
      </c>
      <c r="AD4202" t="e">
        <f>IF(#REF!&lt;=150,"Low Usage", IF(#REF!&lt;=200,"Medium Usage", IF(#REF!&lt;=250,"High Usage","Very High Usage")))</f>
        <v>#REF!</v>
      </c>
      <c r="AE4202" t="e">
        <f>IF(#REF!&lt;=5,"Low Calls", IF(#REF!&lt;=10, "Medium Calls", "High Calls"))</f>
        <v>#REF!</v>
      </c>
      <c r="AF4202" t="e">
        <f xml:space="preserve">
IF(#REF!&gt;=4,4,0)+
IF(#REF!="yes",3,0)+
IF(#REF!="High Charges",3,0)+
IF(#REF!&gt;250,4,0)+
IF(#REF!="no",1,0)+
IF(#REF!="Heavy Domestic User",2,0)</f>
        <v>#REF!</v>
      </c>
      <c r="AG4202" t="e">
        <f>IF(#REF!&gt;=10,"High Risk", IF(#REF!&gt;=5,"Medium Risk","Low Risk"))</f>
        <v>#REF!</v>
      </c>
      <c r="AH4202" t="e">
        <f>#REF! + #REF! + #REF! + #REF!</f>
        <v>#REF!</v>
      </c>
    </row>
    <row r="4203" spans="1:34" x14ac:dyDescent="0.35">
      <c r="A4203">
        <v>4202</v>
      </c>
      <c r="B4203" t="s">
        <v>56</v>
      </c>
      <c r="C4203">
        <v>175</v>
      </c>
      <c r="D4203" t="s">
        <v>28</v>
      </c>
      <c r="E4203" t="s">
        <v>22</v>
      </c>
      <c r="F4203" t="s">
        <v>22</v>
      </c>
      <c r="G4203">
        <v>0</v>
      </c>
      <c r="H4203">
        <v>161.19999999999999</v>
      </c>
      <c r="I4203">
        <v>121</v>
      </c>
      <c r="J4203">
        <v>27.4</v>
      </c>
      <c r="K4203">
        <v>136.69999999999999</v>
      </c>
      <c r="L4203">
        <v>109</v>
      </c>
      <c r="M4203">
        <v>11.62</v>
      </c>
      <c r="N4203">
        <v>103.3</v>
      </c>
      <c r="O4203">
        <v>63</v>
      </c>
      <c r="P4203">
        <v>4.6500000000000004</v>
      </c>
      <c r="Q4203">
        <v>9.6</v>
      </c>
      <c r="R4203">
        <v>9</v>
      </c>
      <c r="S4203">
        <v>2.59</v>
      </c>
      <c r="T4203">
        <v>1</v>
      </c>
      <c r="U4203" t="s">
        <v>22</v>
      </c>
      <c r="V4203" t="e">
        <f>IF(#REF! = "yes", 1, 0)</f>
        <v>#REF!</v>
      </c>
      <c r="W4203" t="e">
        <f>IF(#REF! &lt;= 1, "0-1 Calls", IF(#REF! &lt;= 3, "2-3 Calls", IF(#REF! &lt;=5, "4-5 Calls", "6+ Calls")))</f>
        <v>#REF!</v>
      </c>
      <c r="X4203" t="e">
        <f>IF(#REF! &lt;= 50, "0-50", IF(#REF! &lt;=100, "51-100", IF(#REF! &lt;= 150, "101-150", "151+")))</f>
        <v>#REF!</v>
      </c>
      <c r="Y4203" t="e">
        <f>IF(#REF! &lt;= 3, "Low Charges", "High Charges")</f>
        <v>#REF!</v>
      </c>
      <c r="Z4203" t="e">
        <f>IF(#REF!&lt;=80,"Low Calls",
IF(#REF!&lt;=120,"Medium Calls","High Calls"))</f>
        <v>#REF!</v>
      </c>
      <c r="AA4203" t="e">
        <f>IF(#REF!&lt;=15,"Low Charges",
IF(#REF!&lt;=20,"Medium Charges","High Charges"))</f>
        <v>#REF!</v>
      </c>
      <c r="AB4203" t="e">
        <f>IF(AND(#REF!&gt;180, #REF!&gt;200), "Heavy Doemstic User", IF(#REF!&gt;10, "Interntional User", IF(AND(#REF!&lt;180, #REF!&lt;200,#REF!&lt;200), "Light User", "Balanced User")))</f>
        <v>#REF!</v>
      </c>
      <c r="AC4203" t="e">
        <f>IF(#REF! = 0, "No Usage", IF(#REF! &lt;= 20, "Low Usage", IF(#REF! &lt;= 40, "Medium Usgae", "High Usage")))</f>
        <v>#REF!</v>
      </c>
      <c r="AD4203" t="e">
        <f>IF(#REF!&lt;=150,"Low Usage", IF(#REF!&lt;=200,"Medium Usage", IF(#REF!&lt;=250,"High Usage","Very High Usage")))</f>
        <v>#REF!</v>
      </c>
      <c r="AE4203" t="e">
        <f>IF(#REF!&lt;=5,"Low Calls", IF(#REF!&lt;=10, "Medium Calls", "High Calls"))</f>
        <v>#REF!</v>
      </c>
      <c r="AF4203" t="e">
        <f xml:space="preserve">
IF(#REF!&gt;=4,4,0)+
IF(#REF!="yes",3,0)+
IF(#REF!="High Charges",3,0)+
IF(#REF!&gt;250,4,0)+
IF(#REF!="no",1,0)+
IF(#REF!="Heavy Domestic User",2,0)</f>
        <v>#REF!</v>
      </c>
      <c r="AG4203" t="e">
        <f>IF(#REF!&gt;=10,"High Risk", IF(#REF!&gt;=5,"Medium Risk","Low Risk"))</f>
        <v>#REF!</v>
      </c>
      <c r="AH4203" t="e">
        <f>#REF! + #REF! + #REF! + #REF!</f>
        <v>#REF!</v>
      </c>
    </row>
    <row r="4204" spans="1:34" x14ac:dyDescent="0.35">
      <c r="A4204">
        <v>4203</v>
      </c>
      <c r="B4204" t="s">
        <v>26</v>
      </c>
      <c r="C4204">
        <v>50</v>
      </c>
      <c r="D4204" t="s">
        <v>25</v>
      </c>
      <c r="E4204" t="s">
        <v>22</v>
      </c>
      <c r="F4204" t="s">
        <v>22</v>
      </c>
      <c r="G4204">
        <v>0</v>
      </c>
      <c r="H4204">
        <v>198.7</v>
      </c>
      <c r="I4204">
        <v>114</v>
      </c>
      <c r="J4204">
        <v>33.78</v>
      </c>
      <c r="K4204">
        <v>141.5</v>
      </c>
      <c r="L4204">
        <v>90</v>
      </c>
      <c r="M4204">
        <v>12.03</v>
      </c>
      <c r="N4204">
        <v>293</v>
      </c>
      <c r="O4204">
        <v>79</v>
      </c>
      <c r="P4204">
        <v>13.18</v>
      </c>
      <c r="Q4204">
        <v>10.5</v>
      </c>
      <c r="R4204">
        <v>5</v>
      </c>
      <c r="S4204">
        <v>2.84</v>
      </c>
      <c r="T4204">
        <v>4</v>
      </c>
      <c r="U4204" t="s">
        <v>22</v>
      </c>
      <c r="V4204" t="e">
        <f>IF(#REF! = "yes", 1, 0)</f>
        <v>#REF!</v>
      </c>
      <c r="W4204" t="e">
        <f>IF(#REF! &lt;= 1, "0-1 Calls", IF(#REF! &lt;= 3, "2-3 Calls", IF(#REF! &lt;=5, "4-5 Calls", "6+ Calls")))</f>
        <v>#REF!</v>
      </c>
      <c r="X4204" t="e">
        <f>IF(#REF! &lt;= 50, "0-50", IF(#REF! &lt;=100, "51-100", IF(#REF! &lt;= 150, "101-150", "151+")))</f>
        <v>#REF!</v>
      </c>
      <c r="Y4204" t="e">
        <f>IF(#REF! &lt;= 3, "Low Charges", "High Charges")</f>
        <v>#REF!</v>
      </c>
      <c r="Z4204" t="e">
        <f>IF(#REF!&lt;=80,"Low Calls",
IF(#REF!&lt;=120,"Medium Calls","High Calls"))</f>
        <v>#REF!</v>
      </c>
      <c r="AA4204" t="e">
        <f>IF(#REF!&lt;=15,"Low Charges",
IF(#REF!&lt;=20,"Medium Charges","High Charges"))</f>
        <v>#REF!</v>
      </c>
      <c r="AB4204" t="e">
        <f>IF(AND(#REF!&gt;180, #REF!&gt;200), "Heavy Doemstic User", IF(#REF!&gt;10, "Interntional User", IF(AND(#REF!&lt;180, #REF!&lt;200,#REF!&lt;200), "Light User", "Balanced User")))</f>
        <v>#REF!</v>
      </c>
      <c r="AC4204" t="e">
        <f>IF(#REF! = 0, "No Usage", IF(#REF! &lt;= 20, "Low Usage", IF(#REF! &lt;= 40, "Medium Usgae", "High Usage")))</f>
        <v>#REF!</v>
      </c>
      <c r="AD4204" t="e">
        <f>IF(#REF!&lt;=150,"Low Usage", IF(#REF!&lt;=200,"Medium Usage", IF(#REF!&lt;=250,"High Usage","Very High Usage")))</f>
        <v>#REF!</v>
      </c>
      <c r="AE4204" t="e">
        <f>IF(#REF!&lt;=5,"Low Calls", IF(#REF!&lt;=10, "Medium Calls", "High Calls"))</f>
        <v>#REF!</v>
      </c>
      <c r="AF4204" t="e">
        <f xml:space="preserve">
IF(#REF!&gt;=4,4,0)+
IF(#REF!="yes",3,0)+
IF(#REF!="High Charges",3,0)+
IF(#REF!&gt;250,4,0)+
IF(#REF!="no",1,0)+
IF(#REF!="Heavy Domestic User",2,0)</f>
        <v>#REF!</v>
      </c>
      <c r="AG4204" t="e">
        <f>IF(#REF!&gt;=10,"High Risk", IF(#REF!&gt;=5,"Medium Risk","Low Risk"))</f>
        <v>#REF!</v>
      </c>
      <c r="AH4204" t="e">
        <f>#REF! + #REF! + #REF! + #REF!</f>
        <v>#REF!</v>
      </c>
    </row>
    <row r="4205" spans="1:34" x14ac:dyDescent="0.35">
      <c r="A4205">
        <v>4204</v>
      </c>
      <c r="B4205" t="s">
        <v>46</v>
      </c>
      <c r="C4205">
        <v>114</v>
      </c>
      <c r="D4205" t="s">
        <v>28</v>
      </c>
      <c r="E4205" t="s">
        <v>23</v>
      </c>
      <c r="F4205" t="s">
        <v>23</v>
      </c>
      <c r="G4205">
        <v>28</v>
      </c>
      <c r="H4205">
        <v>136.4</v>
      </c>
      <c r="I4205">
        <v>93</v>
      </c>
      <c r="J4205">
        <v>23.19</v>
      </c>
      <c r="K4205">
        <v>170</v>
      </c>
      <c r="L4205">
        <v>90</v>
      </c>
      <c r="M4205">
        <v>14.45</v>
      </c>
      <c r="N4205">
        <v>191.5</v>
      </c>
      <c r="O4205">
        <v>73</v>
      </c>
      <c r="P4205">
        <v>8.6199999999999992</v>
      </c>
      <c r="Q4205">
        <v>14.6</v>
      </c>
      <c r="R4205">
        <v>4</v>
      </c>
      <c r="S4205">
        <v>3.94</v>
      </c>
      <c r="T4205">
        <v>2</v>
      </c>
      <c r="U4205" t="s">
        <v>23</v>
      </c>
      <c r="V4205" t="e">
        <f>IF(#REF! = "yes", 1, 0)</f>
        <v>#REF!</v>
      </c>
      <c r="W4205" t="e">
        <f>IF(#REF! &lt;= 1, "0-1 Calls", IF(#REF! &lt;= 3, "2-3 Calls", IF(#REF! &lt;=5, "4-5 Calls", "6+ Calls")))</f>
        <v>#REF!</v>
      </c>
      <c r="X4205" t="e">
        <f>IF(#REF! &lt;= 50, "0-50", IF(#REF! &lt;=100, "51-100", IF(#REF! &lt;= 150, "101-150", "151+")))</f>
        <v>#REF!</v>
      </c>
      <c r="Y4205" t="e">
        <f>IF(#REF! &lt;= 3, "Low Charges", "High Charges")</f>
        <v>#REF!</v>
      </c>
      <c r="Z4205" t="e">
        <f>IF(#REF!&lt;=80,"Low Calls",
IF(#REF!&lt;=120,"Medium Calls","High Calls"))</f>
        <v>#REF!</v>
      </c>
      <c r="AA4205" t="e">
        <f>IF(#REF!&lt;=15,"Low Charges",
IF(#REF!&lt;=20,"Medium Charges","High Charges"))</f>
        <v>#REF!</v>
      </c>
      <c r="AB4205" t="e">
        <f>IF(AND(#REF!&gt;180, #REF!&gt;200), "Heavy Doemstic User", IF(#REF!&gt;10, "Interntional User", IF(AND(#REF!&lt;180, #REF!&lt;200,#REF!&lt;200), "Light User", "Balanced User")))</f>
        <v>#REF!</v>
      </c>
      <c r="AC4205" t="e">
        <f>IF(#REF! = 0, "No Usage", IF(#REF! &lt;= 20, "Low Usage", IF(#REF! &lt;= 40, "Medium Usgae", "High Usage")))</f>
        <v>#REF!</v>
      </c>
      <c r="AD4205" t="e">
        <f>IF(#REF!&lt;=150,"Low Usage", IF(#REF!&lt;=200,"Medium Usage", IF(#REF!&lt;=250,"High Usage","Very High Usage")))</f>
        <v>#REF!</v>
      </c>
      <c r="AE4205" t="e">
        <f>IF(#REF!&lt;=5,"Low Calls", IF(#REF!&lt;=10, "Medium Calls", "High Calls"))</f>
        <v>#REF!</v>
      </c>
      <c r="AF4205" t="e">
        <f xml:space="preserve">
IF(#REF!&gt;=4,4,0)+
IF(#REF!="yes",3,0)+
IF(#REF!="High Charges",3,0)+
IF(#REF!&gt;250,4,0)+
IF(#REF!="no",1,0)+
IF(#REF!="Heavy Domestic User",2,0)</f>
        <v>#REF!</v>
      </c>
      <c r="AG4205" t="e">
        <f>IF(#REF!&gt;=10,"High Risk", IF(#REF!&gt;=5,"Medium Risk","Low Risk"))</f>
        <v>#REF!</v>
      </c>
      <c r="AH4205" t="e">
        <f>#REF! + #REF! + #REF! + #REF!</f>
        <v>#REF!</v>
      </c>
    </row>
    <row r="4206" spans="1:34" x14ac:dyDescent="0.35">
      <c r="A4206">
        <v>4205</v>
      </c>
      <c r="B4206" t="s">
        <v>29</v>
      </c>
      <c r="C4206">
        <v>154</v>
      </c>
      <c r="D4206" t="s">
        <v>21</v>
      </c>
      <c r="E4206" t="s">
        <v>22</v>
      </c>
      <c r="F4206" t="s">
        <v>22</v>
      </c>
      <c r="G4206">
        <v>0</v>
      </c>
      <c r="H4206">
        <v>162</v>
      </c>
      <c r="I4206">
        <v>87</v>
      </c>
      <c r="J4206">
        <v>27.54</v>
      </c>
      <c r="K4206">
        <v>199.5</v>
      </c>
      <c r="L4206">
        <v>147</v>
      </c>
      <c r="M4206">
        <v>16.96</v>
      </c>
      <c r="N4206">
        <v>243</v>
      </c>
      <c r="O4206">
        <v>66</v>
      </c>
      <c r="P4206">
        <v>10.93</v>
      </c>
      <c r="Q4206">
        <v>1.1000000000000001</v>
      </c>
      <c r="R4206">
        <v>5</v>
      </c>
      <c r="S4206">
        <v>0.3</v>
      </c>
      <c r="T4206">
        <v>1</v>
      </c>
      <c r="U4206" t="s">
        <v>22</v>
      </c>
      <c r="V4206" t="e">
        <f>IF(#REF! = "yes", 1, 0)</f>
        <v>#REF!</v>
      </c>
      <c r="W4206" t="e">
        <f>IF(#REF! &lt;= 1, "0-1 Calls", IF(#REF! &lt;= 3, "2-3 Calls", IF(#REF! &lt;=5, "4-5 Calls", "6+ Calls")))</f>
        <v>#REF!</v>
      </c>
      <c r="X4206" t="e">
        <f>IF(#REF! &lt;= 50, "0-50", IF(#REF! &lt;=100, "51-100", IF(#REF! &lt;= 150, "101-150", "151+")))</f>
        <v>#REF!</v>
      </c>
      <c r="Y4206" t="e">
        <f>IF(#REF! &lt;= 3, "Low Charges", "High Charges")</f>
        <v>#REF!</v>
      </c>
      <c r="Z4206" t="e">
        <f>IF(#REF!&lt;=80,"Low Calls",
IF(#REF!&lt;=120,"Medium Calls","High Calls"))</f>
        <v>#REF!</v>
      </c>
      <c r="AA4206" t="e">
        <f>IF(#REF!&lt;=15,"Low Charges",
IF(#REF!&lt;=20,"Medium Charges","High Charges"))</f>
        <v>#REF!</v>
      </c>
      <c r="AB4206" t="e">
        <f>IF(AND(#REF!&gt;180, #REF!&gt;200), "Heavy Doemstic User", IF(#REF!&gt;10, "Interntional User", IF(AND(#REF!&lt;180, #REF!&lt;200,#REF!&lt;200), "Light User", "Balanced User")))</f>
        <v>#REF!</v>
      </c>
      <c r="AC4206" t="e">
        <f>IF(#REF! = 0, "No Usage", IF(#REF! &lt;= 20, "Low Usage", IF(#REF! &lt;= 40, "Medium Usgae", "High Usage")))</f>
        <v>#REF!</v>
      </c>
      <c r="AD4206" t="e">
        <f>IF(#REF!&lt;=150,"Low Usage", IF(#REF!&lt;=200,"Medium Usage", IF(#REF!&lt;=250,"High Usage","Very High Usage")))</f>
        <v>#REF!</v>
      </c>
      <c r="AE4206" t="e">
        <f>IF(#REF!&lt;=5,"Low Calls", IF(#REF!&lt;=10, "Medium Calls", "High Calls"))</f>
        <v>#REF!</v>
      </c>
      <c r="AF4206" t="e">
        <f xml:space="preserve">
IF(#REF!&gt;=4,4,0)+
IF(#REF!="yes",3,0)+
IF(#REF!="High Charges",3,0)+
IF(#REF!&gt;250,4,0)+
IF(#REF!="no",1,0)+
IF(#REF!="Heavy Domestic User",2,0)</f>
        <v>#REF!</v>
      </c>
      <c r="AG4206" t="e">
        <f>IF(#REF!&gt;=10,"High Risk", IF(#REF!&gt;=5,"Medium Risk","Low Risk"))</f>
        <v>#REF!</v>
      </c>
      <c r="AH4206" t="e">
        <f>#REF! + #REF! + #REF! + #REF!</f>
        <v>#REF!</v>
      </c>
    </row>
    <row r="4207" spans="1:34" x14ac:dyDescent="0.35">
      <c r="A4207">
        <v>4206</v>
      </c>
      <c r="B4207" t="s">
        <v>33</v>
      </c>
      <c r="C4207">
        <v>152</v>
      </c>
      <c r="D4207" t="s">
        <v>21</v>
      </c>
      <c r="E4207" t="s">
        <v>22</v>
      </c>
      <c r="F4207" t="s">
        <v>22</v>
      </c>
      <c r="G4207">
        <v>0</v>
      </c>
      <c r="H4207">
        <v>189.5</v>
      </c>
      <c r="I4207">
        <v>108</v>
      </c>
      <c r="J4207">
        <v>32.22</v>
      </c>
      <c r="K4207">
        <v>218.4</v>
      </c>
      <c r="L4207">
        <v>69</v>
      </c>
      <c r="M4207">
        <v>18.559999999999999</v>
      </c>
      <c r="N4207">
        <v>291.10000000000002</v>
      </c>
      <c r="O4207">
        <v>81</v>
      </c>
      <c r="P4207">
        <v>13.1</v>
      </c>
      <c r="Q4207">
        <v>11</v>
      </c>
      <c r="R4207">
        <v>2</v>
      </c>
      <c r="S4207">
        <v>2.97</v>
      </c>
      <c r="T4207">
        <v>3</v>
      </c>
      <c r="U4207" t="s">
        <v>22</v>
      </c>
      <c r="V4207" t="e">
        <f>IF(#REF! = "yes", 1, 0)</f>
        <v>#REF!</v>
      </c>
      <c r="W4207" t="e">
        <f>IF(#REF! &lt;= 1, "0-1 Calls", IF(#REF! &lt;= 3, "2-3 Calls", IF(#REF! &lt;=5, "4-5 Calls", "6+ Calls")))</f>
        <v>#REF!</v>
      </c>
      <c r="X4207" t="e">
        <f>IF(#REF! &lt;= 50, "0-50", IF(#REF! &lt;=100, "51-100", IF(#REF! &lt;= 150, "101-150", "151+")))</f>
        <v>#REF!</v>
      </c>
      <c r="Y4207" t="e">
        <f>IF(#REF! &lt;= 3, "Low Charges", "High Charges")</f>
        <v>#REF!</v>
      </c>
      <c r="Z4207" t="e">
        <f>IF(#REF!&lt;=80,"Low Calls",
IF(#REF!&lt;=120,"Medium Calls","High Calls"))</f>
        <v>#REF!</v>
      </c>
      <c r="AA4207" t="e">
        <f>IF(#REF!&lt;=15,"Low Charges",
IF(#REF!&lt;=20,"Medium Charges","High Charges"))</f>
        <v>#REF!</v>
      </c>
      <c r="AB4207" t="e">
        <f>IF(AND(#REF!&gt;180, #REF!&gt;200), "Heavy Doemstic User", IF(#REF!&gt;10, "Interntional User", IF(AND(#REF!&lt;180, #REF!&lt;200,#REF!&lt;200), "Light User", "Balanced User")))</f>
        <v>#REF!</v>
      </c>
      <c r="AC4207" t="e">
        <f>IF(#REF! = 0, "No Usage", IF(#REF! &lt;= 20, "Low Usage", IF(#REF! &lt;= 40, "Medium Usgae", "High Usage")))</f>
        <v>#REF!</v>
      </c>
      <c r="AD4207" t="e">
        <f>IF(#REF!&lt;=150,"Low Usage", IF(#REF!&lt;=200,"Medium Usage", IF(#REF!&lt;=250,"High Usage","Very High Usage")))</f>
        <v>#REF!</v>
      </c>
      <c r="AE4207" t="e">
        <f>IF(#REF!&lt;=5,"Low Calls", IF(#REF!&lt;=10, "Medium Calls", "High Calls"))</f>
        <v>#REF!</v>
      </c>
      <c r="AF4207" t="e">
        <f xml:space="preserve">
IF(#REF!&gt;=4,4,0)+
IF(#REF!="yes",3,0)+
IF(#REF!="High Charges",3,0)+
IF(#REF!&gt;250,4,0)+
IF(#REF!="no",1,0)+
IF(#REF!="Heavy Domestic User",2,0)</f>
        <v>#REF!</v>
      </c>
      <c r="AG4207" t="e">
        <f>IF(#REF!&gt;=10,"High Risk", IF(#REF!&gt;=5,"Medium Risk","Low Risk"))</f>
        <v>#REF!</v>
      </c>
      <c r="AH4207" t="e">
        <f>#REF! + #REF! + #REF! + #REF!</f>
        <v>#REF!</v>
      </c>
    </row>
    <row r="4208" spans="1:34" x14ac:dyDescent="0.35">
      <c r="A4208">
        <v>4207</v>
      </c>
      <c r="B4208" t="s">
        <v>61</v>
      </c>
      <c r="C4208">
        <v>102</v>
      </c>
      <c r="D4208" t="s">
        <v>28</v>
      </c>
      <c r="E4208" t="s">
        <v>22</v>
      </c>
      <c r="F4208" t="s">
        <v>23</v>
      </c>
      <c r="G4208">
        <v>18</v>
      </c>
      <c r="H4208">
        <v>144.4</v>
      </c>
      <c r="I4208">
        <v>76</v>
      </c>
      <c r="J4208">
        <v>24.55</v>
      </c>
      <c r="K4208">
        <v>160.69999999999999</v>
      </c>
      <c r="L4208">
        <v>97</v>
      </c>
      <c r="M4208">
        <v>13.66</v>
      </c>
      <c r="N4208">
        <v>200.8</v>
      </c>
      <c r="O4208">
        <v>101</v>
      </c>
      <c r="P4208">
        <v>9.0399999999999991</v>
      </c>
      <c r="Q4208">
        <v>9.3000000000000007</v>
      </c>
      <c r="R4208">
        <v>4</v>
      </c>
      <c r="S4208">
        <v>2.5099999999999998</v>
      </c>
      <c r="T4208">
        <v>0</v>
      </c>
      <c r="U4208" t="s">
        <v>22</v>
      </c>
      <c r="V4208" t="e">
        <f>IF(#REF! = "yes", 1, 0)</f>
        <v>#REF!</v>
      </c>
      <c r="W4208" t="e">
        <f>IF(#REF! &lt;= 1, "0-1 Calls", IF(#REF! &lt;= 3, "2-3 Calls", IF(#REF! &lt;=5, "4-5 Calls", "6+ Calls")))</f>
        <v>#REF!</v>
      </c>
      <c r="X4208" t="e">
        <f>IF(#REF! &lt;= 50, "0-50", IF(#REF! &lt;=100, "51-100", IF(#REF! &lt;= 150, "101-150", "151+")))</f>
        <v>#REF!</v>
      </c>
      <c r="Y4208" t="e">
        <f>IF(#REF! &lt;= 3, "Low Charges", "High Charges")</f>
        <v>#REF!</v>
      </c>
      <c r="Z4208" t="e">
        <f>IF(#REF!&lt;=80,"Low Calls",
IF(#REF!&lt;=120,"Medium Calls","High Calls"))</f>
        <v>#REF!</v>
      </c>
      <c r="AA4208" t="e">
        <f>IF(#REF!&lt;=15,"Low Charges",
IF(#REF!&lt;=20,"Medium Charges","High Charges"))</f>
        <v>#REF!</v>
      </c>
      <c r="AB4208" t="e">
        <f>IF(AND(#REF!&gt;180, #REF!&gt;200), "Heavy Doemstic User", IF(#REF!&gt;10, "Interntional User", IF(AND(#REF!&lt;180, #REF!&lt;200,#REF!&lt;200), "Light User", "Balanced User")))</f>
        <v>#REF!</v>
      </c>
      <c r="AC4208" t="e">
        <f>IF(#REF! = 0, "No Usage", IF(#REF! &lt;= 20, "Low Usage", IF(#REF! &lt;= 40, "Medium Usgae", "High Usage")))</f>
        <v>#REF!</v>
      </c>
      <c r="AD4208" t="e">
        <f>IF(#REF!&lt;=150,"Low Usage", IF(#REF!&lt;=200,"Medium Usage", IF(#REF!&lt;=250,"High Usage","Very High Usage")))</f>
        <v>#REF!</v>
      </c>
      <c r="AE4208" t="e">
        <f>IF(#REF!&lt;=5,"Low Calls", IF(#REF!&lt;=10, "Medium Calls", "High Calls"))</f>
        <v>#REF!</v>
      </c>
      <c r="AF4208" t="e">
        <f xml:space="preserve">
IF(#REF!&gt;=4,4,0)+
IF(#REF!="yes",3,0)+
IF(#REF!="High Charges",3,0)+
IF(#REF!&gt;250,4,0)+
IF(#REF!="no",1,0)+
IF(#REF!="Heavy Domestic User",2,0)</f>
        <v>#REF!</v>
      </c>
      <c r="AG4208" t="e">
        <f>IF(#REF!&gt;=10,"High Risk", IF(#REF!&gt;=5,"Medium Risk","Low Risk"))</f>
        <v>#REF!</v>
      </c>
      <c r="AH4208" t="e">
        <f>#REF! + #REF! + #REF! + #REF!</f>
        <v>#REF!</v>
      </c>
    </row>
    <row r="4209" spans="1:34" x14ac:dyDescent="0.35">
      <c r="A4209">
        <v>4208</v>
      </c>
      <c r="B4209" t="s">
        <v>37</v>
      </c>
      <c r="C4209">
        <v>110</v>
      </c>
      <c r="D4209" t="s">
        <v>21</v>
      </c>
      <c r="E4209" t="s">
        <v>22</v>
      </c>
      <c r="F4209" t="s">
        <v>22</v>
      </c>
      <c r="G4209">
        <v>0</v>
      </c>
      <c r="H4209">
        <v>170.1</v>
      </c>
      <c r="I4209">
        <v>87</v>
      </c>
      <c r="J4209">
        <v>28.92</v>
      </c>
      <c r="K4209">
        <v>216.6</v>
      </c>
      <c r="L4209">
        <v>98</v>
      </c>
      <c r="M4209">
        <v>18.41</v>
      </c>
      <c r="N4209">
        <v>225</v>
      </c>
      <c r="O4209">
        <v>88</v>
      </c>
      <c r="P4209">
        <v>10.130000000000001</v>
      </c>
      <c r="Q4209">
        <v>10.8</v>
      </c>
      <c r="R4209">
        <v>3</v>
      </c>
      <c r="S4209">
        <v>2.92</v>
      </c>
      <c r="T4209">
        <v>2</v>
      </c>
      <c r="U4209" t="s">
        <v>22</v>
      </c>
      <c r="V4209" t="e">
        <f>IF(#REF! = "yes", 1, 0)</f>
        <v>#REF!</v>
      </c>
      <c r="W4209" t="e">
        <f>IF(#REF! &lt;= 1, "0-1 Calls", IF(#REF! &lt;= 3, "2-3 Calls", IF(#REF! &lt;=5, "4-5 Calls", "6+ Calls")))</f>
        <v>#REF!</v>
      </c>
      <c r="X4209" t="e">
        <f>IF(#REF! &lt;= 50, "0-50", IF(#REF! &lt;=100, "51-100", IF(#REF! &lt;= 150, "101-150", "151+")))</f>
        <v>#REF!</v>
      </c>
      <c r="Y4209" t="e">
        <f>IF(#REF! &lt;= 3, "Low Charges", "High Charges")</f>
        <v>#REF!</v>
      </c>
      <c r="Z4209" t="e">
        <f>IF(#REF!&lt;=80,"Low Calls",
IF(#REF!&lt;=120,"Medium Calls","High Calls"))</f>
        <v>#REF!</v>
      </c>
      <c r="AA4209" t="e">
        <f>IF(#REF!&lt;=15,"Low Charges",
IF(#REF!&lt;=20,"Medium Charges","High Charges"))</f>
        <v>#REF!</v>
      </c>
      <c r="AB4209" t="e">
        <f>IF(AND(#REF!&gt;180, #REF!&gt;200), "Heavy Doemstic User", IF(#REF!&gt;10, "Interntional User", IF(AND(#REF!&lt;180, #REF!&lt;200,#REF!&lt;200), "Light User", "Balanced User")))</f>
        <v>#REF!</v>
      </c>
      <c r="AC4209" t="e">
        <f>IF(#REF! = 0, "No Usage", IF(#REF! &lt;= 20, "Low Usage", IF(#REF! &lt;= 40, "Medium Usgae", "High Usage")))</f>
        <v>#REF!</v>
      </c>
      <c r="AD4209" t="e">
        <f>IF(#REF!&lt;=150,"Low Usage", IF(#REF!&lt;=200,"Medium Usage", IF(#REF!&lt;=250,"High Usage","Very High Usage")))</f>
        <v>#REF!</v>
      </c>
      <c r="AE4209" t="e">
        <f>IF(#REF!&lt;=5,"Low Calls", IF(#REF!&lt;=10, "Medium Calls", "High Calls"))</f>
        <v>#REF!</v>
      </c>
      <c r="AF4209" t="e">
        <f xml:space="preserve">
IF(#REF!&gt;=4,4,0)+
IF(#REF!="yes",3,0)+
IF(#REF!="High Charges",3,0)+
IF(#REF!&gt;250,4,0)+
IF(#REF!="no",1,0)+
IF(#REF!="Heavy Domestic User",2,0)</f>
        <v>#REF!</v>
      </c>
      <c r="AG4209" t="e">
        <f>IF(#REF!&gt;=10,"High Risk", IF(#REF!&gt;=5,"Medium Risk","Low Risk"))</f>
        <v>#REF!</v>
      </c>
      <c r="AH4209" t="e">
        <f>#REF! + #REF! + #REF! + #REF!</f>
        <v>#REF!</v>
      </c>
    </row>
    <row r="4210" spans="1:34" x14ac:dyDescent="0.35">
      <c r="A4210">
        <v>4209</v>
      </c>
      <c r="B4210" t="s">
        <v>66</v>
      </c>
      <c r="C4210">
        <v>90</v>
      </c>
      <c r="D4210" t="s">
        <v>21</v>
      </c>
      <c r="E4210" t="s">
        <v>22</v>
      </c>
      <c r="F4210" t="s">
        <v>22</v>
      </c>
      <c r="G4210">
        <v>0</v>
      </c>
      <c r="H4210">
        <v>104</v>
      </c>
      <c r="I4210">
        <v>104</v>
      </c>
      <c r="J4210">
        <v>17.68</v>
      </c>
      <c r="K4210">
        <v>170.9</v>
      </c>
      <c r="L4210">
        <v>106</v>
      </c>
      <c r="M4210">
        <v>14.53</v>
      </c>
      <c r="N4210">
        <v>158.80000000000001</v>
      </c>
      <c r="O4210">
        <v>99</v>
      </c>
      <c r="P4210">
        <v>7.15</v>
      </c>
      <c r="Q4210">
        <v>8.6999999999999993</v>
      </c>
      <c r="R4210">
        <v>5</v>
      </c>
      <c r="S4210">
        <v>2.35</v>
      </c>
      <c r="T4210">
        <v>4</v>
      </c>
      <c r="U4210" t="s">
        <v>23</v>
      </c>
      <c r="V4210" t="e">
        <f>IF(#REF! = "yes", 1, 0)</f>
        <v>#REF!</v>
      </c>
      <c r="W4210" t="e">
        <f>IF(#REF! &lt;= 1, "0-1 Calls", IF(#REF! &lt;= 3, "2-3 Calls", IF(#REF! &lt;=5, "4-5 Calls", "6+ Calls")))</f>
        <v>#REF!</v>
      </c>
      <c r="X4210" t="e">
        <f>IF(#REF! &lt;= 50, "0-50", IF(#REF! &lt;=100, "51-100", IF(#REF! &lt;= 150, "101-150", "151+")))</f>
        <v>#REF!</v>
      </c>
      <c r="Y4210" t="e">
        <f>IF(#REF! &lt;= 3, "Low Charges", "High Charges")</f>
        <v>#REF!</v>
      </c>
      <c r="Z4210" t="e">
        <f>IF(#REF!&lt;=80,"Low Calls",
IF(#REF!&lt;=120,"Medium Calls","High Calls"))</f>
        <v>#REF!</v>
      </c>
      <c r="AA4210" t="e">
        <f>IF(#REF!&lt;=15,"Low Charges",
IF(#REF!&lt;=20,"Medium Charges","High Charges"))</f>
        <v>#REF!</v>
      </c>
      <c r="AB4210" t="e">
        <f>IF(AND(#REF!&gt;180, #REF!&gt;200), "Heavy Doemstic User", IF(#REF!&gt;10, "Interntional User", IF(AND(#REF!&lt;180, #REF!&lt;200,#REF!&lt;200), "Light User", "Balanced User")))</f>
        <v>#REF!</v>
      </c>
      <c r="AC4210" t="e">
        <f>IF(#REF! = 0, "No Usage", IF(#REF! &lt;= 20, "Low Usage", IF(#REF! &lt;= 40, "Medium Usgae", "High Usage")))</f>
        <v>#REF!</v>
      </c>
      <c r="AD4210" t="e">
        <f>IF(#REF!&lt;=150,"Low Usage", IF(#REF!&lt;=200,"Medium Usage", IF(#REF!&lt;=250,"High Usage","Very High Usage")))</f>
        <v>#REF!</v>
      </c>
      <c r="AE4210" t="e">
        <f>IF(#REF!&lt;=5,"Low Calls", IF(#REF!&lt;=10, "Medium Calls", "High Calls"))</f>
        <v>#REF!</v>
      </c>
      <c r="AF4210" t="e">
        <f xml:space="preserve">
IF(#REF!&gt;=4,4,0)+
IF(#REF!="yes",3,0)+
IF(#REF!="High Charges",3,0)+
IF(#REF!&gt;250,4,0)+
IF(#REF!="no",1,0)+
IF(#REF!="Heavy Domestic User",2,0)</f>
        <v>#REF!</v>
      </c>
      <c r="AG4210" t="e">
        <f>IF(#REF!&gt;=10,"High Risk", IF(#REF!&gt;=5,"Medium Risk","Low Risk"))</f>
        <v>#REF!</v>
      </c>
      <c r="AH4210" t="e">
        <f>#REF! + #REF! + #REF! + #REF!</f>
        <v>#REF!</v>
      </c>
    </row>
    <row r="4211" spans="1:34" x14ac:dyDescent="0.35">
      <c r="A4211">
        <v>4210</v>
      </c>
      <c r="B4211" t="s">
        <v>63</v>
      </c>
      <c r="C4211">
        <v>88</v>
      </c>
      <c r="D4211" t="s">
        <v>25</v>
      </c>
      <c r="E4211" t="s">
        <v>22</v>
      </c>
      <c r="F4211" t="s">
        <v>22</v>
      </c>
      <c r="G4211">
        <v>0</v>
      </c>
      <c r="H4211">
        <v>204.8</v>
      </c>
      <c r="I4211">
        <v>100</v>
      </c>
      <c r="J4211">
        <v>34.82</v>
      </c>
      <c r="K4211">
        <v>193.9</v>
      </c>
      <c r="L4211">
        <v>98</v>
      </c>
      <c r="M4211">
        <v>16.48</v>
      </c>
      <c r="N4211">
        <v>190.9</v>
      </c>
      <c r="O4211">
        <v>62</v>
      </c>
      <c r="P4211">
        <v>8.59</v>
      </c>
      <c r="Q4211">
        <v>2</v>
      </c>
      <c r="R4211">
        <v>11</v>
      </c>
      <c r="S4211">
        <v>0.54</v>
      </c>
      <c r="T4211">
        <v>1</v>
      </c>
      <c r="U4211" t="s">
        <v>22</v>
      </c>
      <c r="V4211" t="e">
        <f>IF(#REF! = "yes", 1, 0)</f>
        <v>#REF!</v>
      </c>
      <c r="W4211" t="e">
        <f>IF(#REF! &lt;= 1, "0-1 Calls", IF(#REF! &lt;= 3, "2-3 Calls", IF(#REF! &lt;=5, "4-5 Calls", "6+ Calls")))</f>
        <v>#REF!</v>
      </c>
      <c r="X4211" t="e">
        <f>IF(#REF! &lt;= 50, "0-50", IF(#REF! &lt;=100, "51-100", IF(#REF! &lt;= 150, "101-150", "151+")))</f>
        <v>#REF!</v>
      </c>
      <c r="Y4211" t="e">
        <f>IF(#REF! &lt;= 3, "Low Charges", "High Charges")</f>
        <v>#REF!</v>
      </c>
      <c r="Z4211" t="e">
        <f>IF(#REF!&lt;=80,"Low Calls",
IF(#REF!&lt;=120,"Medium Calls","High Calls"))</f>
        <v>#REF!</v>
      </c>
      <c r="AA4211" t="e">
        <f>IF(#REF!&lt;=15,"Low Charges",
IF(#REF!&lt;=20,"Medium Charges","High Charges"))</f>
        <v>#REF!</v>
      </c>
      <c r="AB4211" t="e">
        <f>IF(AND(#REF!&gt;180, #REF!&gt;200), "Heavy Doemstic User", IF(#REF!&gt;10, "Interntional User", IF(AND(#REF!&lt;180, #REF!&lt;200,#REF!&lt;200), "Light User", "Balanced User")))</f>
        <v>#REF!</v>
      </c>
      <c r="AC4211" t="e">
        <f>IF(#REF! = 0, "No Usage", IF(#REF! &lt;= 20, "Low Usage", IF(#REF! &lt;= 40, "Medium Usgae", "High Usage")))</f>
        <v>#REF!</v>
      </c>
      <c r="AD4211" t="e">
        <f>IF(#REF!&lt;=150,"Low Usage", IF(#REF!&lt;=200,"Medium Usage", IF(#REF!&lt;=250,"High Usage","Very High Usage")))</f>
        <v>#REF!</v>
      </c>
      <c r="AE4211" t="e">
        <f>IF(#REF!&lt;=5,"Low Calls", IF(#REF!&lt;=10, "Medium Calls", "High Calls"))</f>
        <v>#REF!</v>
      </c>
      <c r="AF4211" t="e">
        <f xml:space="preserve">
IF(#REF!&gt;=4,4,0)+
IF(#REF!="yes",3,0)+
IF(#REF!="High Charges",3,0)+
IF(#REF!&gt;250,4,0)+
IF(#REF!="no",1,0)+
IF(#REF!="Heavy Domestic User",2,0)</f>
        <v>#REF!</v>
      </c>
      <c r="AG4211" t="e">
        <f>IF(#REF!&gt;=10,"High Risk", IF(#REF!&gt;=5,"Medium Risk","Low Risk"))</f>
        <v>#REF!</v>
      </c>
      <c r="AH4211" t="e">
        <f>#REF! + #REF! + #REF! + #REF!</f>
        <v>#REF!</v>
      </c>
    </row>
    <row r="4212" spans="1:34" x14ac:dyDescent="0.35">
      <c r="A4212">
        <v>4211</v>
      </c>
      <c r="B4212" t="s">
        <v>75</v>
      </c>
      <c r="C4212">
        <v>97</v>
      </c>
      <c r="D4212" t="s">
        <v>21</v>
      </c>
      <c r="E4212" t="s">
        <v>22</v>
      </c>
      <c r="F4212" t="s">
        <v>22</v>
      </c>
      <c r="G4212">
        <v>0</v>
      </c>
      <c r="H4212">
        <v>197.8</v>
      </c>
      <c r="I4212">
        <v>122</v>
      </c>
      <c r="J4212">
        <v>33.630000000000003</v>
      </c>
      <c r="K4212">
        <v>208.2</v>
      </c>
      <c r="L4212">
        <v>147</v>
      </c>
      <c r="M4212">
        <v>17.7</v>
      </c>
      <c r="N4212">
        <v>106.3</v>
      </c>
      <c r="O4212">
        <v>115</v>
      </c>
      <c r="P4212">
        <v>4.78</v>
      </c>
      <c r="Q4212">
        <v>15.1</v>
      </c>
      <c r="R4212">
        <v>4</v>
      </c>
      <c r="S4212">
        <v>4.08</v>
      </c>
      <c r="T4212">
        <v>1</v>
      </c>
      <c r="U4212" t="s">
        <v>22</v>
      </c>
      <c r="V4212" t="e">
        <f>IF(#REF! = "yes", 1, 0)</f>
        <v>#REF!</v>
      </c>
      <c r="W4212" t="e">
        <f>IF(#REF! &lt;= 1, "0-1 Calls", IF(#REF! &lt;= 3, "2-3 Calls", IF(#REF! &lt;=5, "4-5 Calls", "6+ Calls")))</f>
        <v>#REF!</v>
      </c>
      <c r="X4212" t="e">
        <f>IF(#REF! &lt;= 50, "0-50", IF(#REF! &lt;=100, "51-100", IF(#REF! &lt;= 150, "101-150", "151+")))</f>
        <v>#REF!</v>
      </c>
      <c r="Y4212" t="e">
        <f>IF(#REF! &lt;= 3, "Low Charges", "High Charges")</f>
        <v>#REF!</v>
      </c>
      <c r="Z4212" t="e">
        <f>IF(#REF!&lt;=80,"Low Calls",
IF(#REF!&lt;=120,"Medium Calls","High Calls"))</f>
        <v>#REF!</v>
      </c>
      <c r="AA4212" t="e">
        <f>IF(#REF!&lt;=15,"Low Charges",
IF(#REF!&lt;=20,"Medium Charges","High Charges"))</f>
        <v>#REF!</v>
      </c>
      <c r="AB4212" t="e">
        <f>IF(AND(#REF!&gt;180, #REF!&gt;200), "Heavy Doemstic User", IF(#REF!&gt;10, "Interntional User", IF(AND(#REF!&lt;180, #REF!&lt;200,#REF!&lt;200), "Light User", "Balanced User")))</f>
        <v>#REF!</v>
      </c>
      <c r="AC4212" t="e">
        <f>IF(#REF! = 0, "No Usage", IF(#REF! &lt;= 20, "Low Usage", IF(#REF! &lt;= 40, "Medium Usgae", "High Usage")))</f>
        <v>#REF!</v>
      </c>
      <c r="AD4212" t="e">
        <f>IF(#REF!&lt;=150,"Low Usage", IF(#REF!&lt;=200,"Medium Usage", IF(#REF!&lt;=250,"High Usage","Very High Usage")))</f>
        <v>#REF!</v>
      </c>
      <c r="AE4212" t="e">
        <f>IF(#REF!&lt;=5,"Low Calls", IF(#REF!&lt;=10, "Medium Calls", "High Calls"))</f>
        <v>#REF!</v>
      </c>
      <c r="AF4212" t="e">
        <f xml:space="preserve">
IF(#REF!&gt;=4,4,0)+
IF(#REF!="yes",3,0)+
IF(#REF!="High Charges",3,0)+
IF(#REF!&gt;250,4,0)+
IF(#REF!="no",1,0)+
IF(#REF!="Heavy Domestic User",2,0)</f>
        <v>#REF!</v>
      </c>
      <c r="AG4212" t="e">
        <f>IF(#REF!&gt;=10,"High Risk", IF(#REF!&gt;=5,"Medium Risk","Low Risk"))</f>
        <v>#REF!</v>
      </c>
      <c r="AH4212" t="e">
        <f>#REF! + #REF! + #REF! + #REF!</f>
        <v>#REF!</v>
      </c>
    </row>
    <row r="4213" spans="1:34" x14ac:dyDescent="0.35">
      <c r="A4213">
        <v>4212</v>
      </c>
      <c r="B4213" t="s">
        <v>39</v>
      </c>
      <c r="C4213">
        <v>115</v>
      </c>
      <c r="D4213" t="s">
        <v>21</v>
      </c>
      <c r="E4213" t="s">
        <v>22</v>
      </c>
      <c r="F4213" t="s">
        <v>22</v>
      </c>
      <c r="G4213">
        <v>0</v>
      </c>
      <c r="H4213">
        <v>211.1</v>
      </c>
      <c r="I4213">
        <v>112</v>
      </c>
      <c r="J4213">
        <v>35.89</v>
      </c>
      <c r="K4213">
        <v>227.8</v>
      </c>
      <c r="L4213">
        <v>113</v>
      </c>
      <c r="M4213">
        <v>19.36</v>
      </c>
      <c r="N4213">
        <v>179.6</v>
      </c>
      <c r="O4213">
        <v>110</v>
      </c>
      <c r="P4213">
        <v>8.08</v>
      </c>
      <c r="Q4213">
        <v>7.2</v>
      </c>
      <c r="R4213">
        <v>2</v>
      </c>
      <c r="S4213">
        <v>1.94</v>
      </c>
      <c r="T4213">
        <v>0</v>
      </c>
      <c r="U4213" t="s">
        <v>22</v>
      </c>
      <c r="V4213" t="e">
        <f>IF(#REF! = "yes", 1, 0)</f>
        <v>#REF!</v>
      </c>
      <c r="W4213" t="e">
        <f>IF(#REF! &lt;= 1, "0-1 Calls", IF(#REF! &lt;= 3, "2-3 Calls", IF(#REF! &lt;=5, "4-5 Calls", "6+ Calls")))</f>
        <v>#REF!</v>
      </c>
      <c r="X4213" t="e">
        <f>IF(#REF! &lt;= 50, "0-50", IF(#REF! &lt;=100, "51-100", IF(#REF! &lt;= 150, "101-150", "151+")))</f>
        <v>#REF!</v>
      </c>
      <c r="Y4213" t="e">
        <f>IF(#REF! &lt;= 3, "Low Charges", "High Charges")</f>
        <v>#REF!</v>
      </c>
      <c r="Z4213" t="e">
        <f>IF(#REF!&lt;=80,"Low Calls",
IF(#REF!&lt;=120,"Medium Calls","High Calls"))</f>
        <v>#REF!</v>
      </c>
      <c r="AA4213" t="e">
        <f>IF(#REF!&lt;=15,"Low Charges",
IF(#REF!&lt;=20,"Medium Charges","High Charges"))</f>
        <v>#REF!</v>
      </c>
      <c r="AB4213" t="e">
        <f>IF(AND(#REF!&gt;180, #REF!&gt;200), "Heavy Doemstic User", IF(#REF!&gt;10, "Interntional User", IF(AND(#REF!&lt;180, #REF!&lt;200,#REF!&lt;200), "Light User", "Balanced User")))</f>
        <v>#REF!</v>
      </c>
      <c r="AC4213" t="e">
        <f>IF(#REF! = 0, "No Usage", IF(#REF! &lt;= 20, "Low Usage", IF(#REF! &lt;= 40, "Medium Usgae", "High Usage")))</f>
        <v>#REF!</v>
      </c>
      <c r="AD4213" t="e">
        <f>IF(#REF!&lt;=150,"Low Usage", IF(#REF!&lt;=200,"Medium Usage", IF(#REF!&lt;=250,"High Usage","Very High Usage")))</f>
        <v>#REF!</v>
      </c>
      <c r="AE4213" t="e">
        <f>IF(#REF!&lt;=5,"Low Calls", IF(#REF!&lt;=10, "Medium Calls", "High Calls"))</f>
        <v>#REF!</v>
      </c>
      <c r="AF4213" t="e">
        <f xml:space="preserve">
IF(#REF!&gt;=4,4,0)+
IF(#REF!="yes",3,0)+
IF(#REF!="High Charges",3,0)+
IF(#REF!&gt;250,4,0)+
IF(#REF!="no",1,0)+
IF(#REF!="Heavy Domestic User",2,0)</f>
        <v>#REF!</v>
      </c>
      <c r="AG4213" t="e">
        <f>IF(#REF!&gt;=10,"High Risk", IF(#REF!&gt;=5,"Medium Risk","Low Risk"))</f>
        <v>#REF!</v>
      </c>
      <c r="AH4213" t="e">
        <f>#REF! + #REF! + #REF! + #REF!</f>
        <v>#REF!</v>
      </c>
    </row>
    <row r="4214" spans="1:34" x14ac:dyDescent="0.35">
      <c r="A4214">
        <v>4213</v>
      </c>
      <c r="B4214" t="s">
        <v>59</v>
      </c>
      <c r="C4214">
        <v>88</v>
      </c>
      <c r="D4214" t="s">
        <v>28</v>
      </c>
      <c r="E4214" t="s">
        <v>22</v>
      </c>
      <c r="F4214" t="s">
        <v>22</v>
      </c>
      <c r="G4214">
        <v>0</v>
      </c>
      <c r="H4214">
        <v>202.6</v>
      </c>
      <c r="I4214">
        <v>139</v>
      </c>
      <c r="J4214">
        <v>34.44</v>
      </c>
      <c r="K4214">
        <v>210.7</v>
      </c>
      <c r="L4214">
        <v>123</v>
      </c>
      <c r="M4214">
        <v>17.91</v>
      </c>
      <c r="N4214">
        <v>81.099999999999994</v>
      </c>
      <c r="O4214">
        <v>86</v>
      </c>
      <c r="P4214">
        <v>3.65</v>
      </c>
      <c r="Q4214">
        <v>9.8000000000000007</v>
      </c>
      <c r="R4214">
        <v>8</v>
      </c>
      <c r="S4214">
        <v>2.65</v>
      </c>
      <c r="T4214">
        <v>1</v>
      </c>
      <c r="U4214" t="s">
        <v>22</v>
      </c>
      <c r="V4214" t="e">
        <f>IF(#REF! = "yes", 1, 0)</f>
        <v>#REF!</v>
      </c>
      <c r="W4214" t="e">
        <f>IF(#REF! &lt;= 1, "0-1 Calls", IF(#REF! &lt;= 3, "2-3 Calls", IF(#REF! &lt;=5, "4-5 Calls", "6+ Calls")))</f>
        <v>#REF!</v>
      </c>
      <c r="X4214" t="e">
        <f>IF(#REF! &lt;= 50, "0-50", IF(#REF! &lt;=100, "51-100", IF(#REF! &lt;= 150, "101-150", "151+")))</f>
        <v>#REF!</v>
      </c>
      <c r="Y4214" t="e">
        <f>IF(#REF! &lt;= 3, "Low Charges", "High Charges")</f>
        <v>#REF!</v>
      </c>
      <c r="Z4214" t="e">
        <f>IF(#REF!&lt;=80,"Low Calls",
IF(#REF!&lt;=120,"Medium Calls","High Calls"))</f>
        <v>#REF!</v>
      </c>
      <c r="AA4214" t="e">
        <f>IF(#REF!&lt;=15,"Low Charges",
IF(#REF!&lt;=20,"Medium Charges","High Charges"))</f>
        <v>#REF!</v>
      </c>
      <c r="AB4214" t="e">
        <f>IF(AND(#REF!&gt;180, #REF!&gt;200), "Heavy Doemstic User", IF(#REF!&gt;10, "Interntional User", IF(AND(#REF!&lt;180, #REF!&lt;200,#REF!&lt;200), "Light User", "Balanced User")))</f>
        <v>#REF!</v>
      </c>
      <c r="AC4214" t="e">
        <f>IF(#REF! = 0, "No Usage", IF(#REF! &lt;= 20, "Low Usage", IF(#REF! &lt;= 40, "Medium Usgae", "High Usage")))</f>
        <v>#REF!</v>
      </c>
      <c r="AD4214" t="e">
        <f>IF(#REF!&lt;=150,"Low Usage", IF(#REF!&lt;=200,"Medium Usage", IF(#REF!&lt;=250,"High Usage","Very High Usage")))</f>
        <v>#REF!</v>
      </c>
      <c r="AE4214" t="e">
        <f>IF(#REF!&lt;=5,"Low Calls", IF(#REF!&lt;=10, "Medium Calls", "High Calls"))</f>
        <v>#REF!</v>
      </c>
      <c r="AF4214" t="e">
        <f xml:space="preserve">
IF(#REF!&gt;=4,4,0)+
IF(#REF!="yes",3,0)+
IF(#REF!="High Charges",3,0)+
IF(#REF!&gt;250,4,0)+
IF(#REF!="no",1,0)+
IF(#REF!="Heavy Domestic User",2,0)</f>
        <v>#REF!</v>
      </c>
      <c r="AG4214" t="e">
        <f>IF(#REF!&gt;=10,"High Risk", IF(#REF!&gt;=5,"Medium Risk","Low Risk"))</f>
        <v>#REF!</v>
      </c>
      <c r="AH4214" t="e">
        <f>#REF! + #REF! + #REF! + #REF!</f>
        <v>#REF!</v>
      </c>
    </row>
    <row r="4215" spans="1:34" x14ac:dyDescent="0.35">
      <c r="A4215">
        <v>4214</v>
      </c>
      <c r="B4215" t="s">
        <v>61</v>
      </c>
      <c r="C4215">
        <v>137</v>
      </c>
      <c r="D4215" t="s">
        <v>25</v>
      </c>
      <c r="E4215" t="s">
        <v>23</v>
      </c>
      <c r="F4215" t="s">
        <v>22</v>
      </c>
      <c r="G4215">
        <v>0</v>
      </c>
      <c r="H4215">
        <v>312.39999999999998</v>
      </c>
      <c r="I4215">
        <v>110</v>
      </c>
      <c r="J4215">
        <v>53.11</v>
      </c>
      <c r="K4215">
        <v>231.1</v>
      </c>
      <c r="L4215">
        <v>73</v>
      </c>
      <c r="M4215">
        <v>19.64</v>
      </c>
      <c r="N4215">
        <v>120.1</v>
      </c>
      <c r="O4215">
        <v>78</v>
      </c>
      <c r="P4215">
        <v>5.4</v>
      </c>
      <c r="Q4215">
        <v>10.6</v>
      </c>
      <c r="R4215">
        <v>2</v>
      </c>
      <c r="S4215">
        <v>2.86</v>
      </c>
      <c r="T4215">
        <v>1</v>
      </c>
      <c r="U4215" t="s">
        <v>23</v>
      </c>
      <c r="V4215" t="e">
        <f>IF(#REF! = "yes", 1, 0)</f>
        <v>#REF!</v>
      </c>
      <c r="W4215" t="e">
        <f>IF(#REF! &lt;= 1, "0-1 Calls", IF(#REF! &lt;= 3, "2-3 Calls", IF(#REF! &lt;=5, "4-5 Calls", "6+ Calls")))</f>
        <v>#REF!</v>
      </c>
      <c r="X4215" t="e">
        <f>IF(#REF! &lt;= 50, "0-50", IF(#REF! &lt;=100, "51-100", IF(#REF! &lt;= 150, "101-150", "151+")))</f>
        <v>#REF!</v>
      </c>
      <c r="Y4215" t="e">
        <f>IF(#REF! &lt;= 3, "Low Charges", "High Charges")</f>
        <v>#REF!</v>
      </c>
      <c r="Z4215" t="e">
        <f>IF(#REF!&lt;=80,"Low Calls",
IF(#REF!&lt;=120,"Medium Calls","High Calls"))</f>
        <v>#REF!</v>
      </c>
      <c r="AA4215" t="e">
        <f>IF(#REF!&lt;=15,"Low Charges",
IF(#REF!&lt;=20,"Medium Charges","High Charges"))</f>
        <v>#REF!</v>
      </c>
      <c r="AB4215" t="e">
        <f>IF(AND(#REF!&gt;180, #REF!&gt;200), "Heavy Doemstic User", IF(#REF!&gt;10, "Interntional User", IF(AND(#REF!&lt;180, #REF!&lt;200,#REF!&lt;200), "Light User", "Balanced User")))</f>
        <v>#REF!</v>
      </c>
      <c r="AC4215" t="e">
        <f>IF(#REF! = 0, "No Usage", IF(#REF! &lt;= 20, "Low Usage", IF(#REF! &lt;= 40, "Medium Usgae", "High Usage")))</f>
        <v>#REF!</v>
      </c>
      <c r="AD4215" t="e">
        <f>IF(#REF!&lt;=150,"Low Usage", IF(#REF!&lt;=200,"Medium Usage", IF(#REF!&lt;=250,"High Usage","Very High Usage")))</f>
        <v>#REF!</v>
      </c>
      <c r="AE4215" t="e">
        <f>IF(#REF!&lt;=5,"Low Calls", IF(#REF!&lt;=10, "Medium Calls", "High Calls"))</f>
        <v>#REF!</v>
      </c>
      <c r="AF4215" t="e">
        <f xml:space="preserve">
IF(#REF!&gt;=4,4,0)+
IF(#REF!="yes",3,0)+
IF(#REF!="High Charges",3,0)+
IF(#REF!&gt;250,4,0)+
IF(#REF!="no",1,0)+
IF(#REF!="Heavy Domestic User",2,0)</f>
        <v>#REF!</v>
      </c>
      <c r="AG4215" t="e">
        <f>IF(#REF!&gt;=10,"High Risk", IF(#REF!&gt;=5,"Medium Risk","Low Risk"))</f>
        <v>#REF!</v>
      </c>
      <c r="AH4215" t="e">
        <f>#REF! + #REF! + #REF! + #REF!</f>
        <v>#REF!</v>
      </c>
    </row>
    <row r="4216" spans="1:34" x14ac:dyDescent="0.35">
      <c r="A4216">
        <v>4215</v>
      </c>
      <c r="B4216" t="s">
        <v>63</v>
      </c>
      <c r="C4216">
        <v>128</v>
      </c>
      <c r="D4216" t="s">
        <v>28</v>
      </c>
      <c r="E4216" t="s">
        <v>22</v>
      </c>
      <c r="F4216" t="s">
        <v>23</v>
      </c>
      <c r="G4216">
        <v>41</v>
      </c>
      <c r="H4216">
        <v>184.8</v>
      </c>
      <c r="I4216">
        <v>76</v>
      </c>
      <c r="J4216">
        <v>31.42</v>
      </c>
      <c r="K4216">
        <v>160.6</v>
      </c>
      <c r="L4216">
        <v>86</v>
      </c>
      <c r="M4216">
        <v>13.65</v>
      </c>
      <c r="N4216">
        <v>162</v>
      </c>
      <c r="O4216">
        <v>131</v>
      </c>
      <c r="P4216">
        <v>7.29</v>
      </c>
      <c r="Q4216">
        <v>9.8000000000000007</v>
      </c>
      <c r="R4216">
        <v>6</v>
      </c>
      <c r="S4216">
        <v>2.65</v>
      </c>
      <c r="T4216">
        <v>2</v>
      </c>
      <c r="U4216" t="s">
        <v>22</v>
      </c>
      <c r="V4216" t="e">
        <f>IF(#REF! = "yes", 1, 0)</f>
        <v>#REF!</v>
      </c>
      <c r="W4216" t="e">
        <f>IF(#REF! &lt;= 1, "0-1 Calls", IF(#REF! &lt;= 3, "2-3 Calls", IF(#REF! &lt;=5, "4-5 Calls", "6+ Calls")))</f>
        <v>#REF!</v>
      </c>
      <c r="X4216" t="e">
        <f>IF(#REF! &lt;= 50, "0-50", IF(#REF! &lt;=100, "51-100", IF(#REF! &lt;= 150, "101-150", "151+")))</f>
        <v>#REF!</v>
      </c>
      <c r="Y4216" t="e">
        <f>IF(#REF! &lt;= 3, "Low Charges", "High Charges")</f>
        <v>#REF!</v>
      </c>
      <c r="Z4216" t="e">
        <f>IF(#REF!&lt;=80,"Low Calls",
IF(#REF!&lt;=120,"Medium Calls","High Calls"))</f>
        <v>#REF!</v>
      </c>
      <c r="AA4216" t="e">
        <f>IF(#REF!&lt;=15,"Low Charges",
IF(#REF!&lt;=20,"Medium Charges","High Charges"))</f>
        <v>#REF!</v>
      </c>
      <c r="AB4216" t="e">
        <f>IF(AND(#REF!&gt;180, #REF!&gt;200), "Heavy Doemstic User", IF(#REF!&gt;10, "Interntional User", IF(AND(#REF!&lt;180, #REF!&lt;200,#REF!&lt;200), "Light User", "Balanced User")))</f>
        <v>#REF!</v>
      </c>
      <c r="AC4216" t="e">
        <f>IF(#REF! = 0, "No Usage", IF(#REF! &lt;= 20, "Low Usage", IF(#REF! &lt;= 40, "Medium Usgae", "High Usage")))</f>
        <v>#REF!</v>
      </c>
      <c r="AD4216" t="e">
        <f>IF(#REF!&lt;=150,"Low Usage", IF(#REF!&lt;=200,"Medium Usage", IF(#REF!&lt;=250,"High Usage","Very High Usage")))</f>
        <v>#REF!</v>
      </c>
      <c r="AE4216" t="e">
        <f>IF(#REF!&lt;=5,"Low Calls", IF(#REF!&lt;=10, "Medium Calls", "High Calls"))</f>
        <v>#REF!</v>
      </c>
      <c r="AF4216" t="e">
        <f xml:space="preserve">
IF(#REF!&gt;=4,4,0)+
IF(#REF!="yes",3,0)+
IF(#REF!="High Charges",3,0)+
IF(#REF!&gt;250,4,0)+
IF(#REF!="no",1,0)+
IF(#REF!="Heavy Domestic User",2,0)</f>
        <v>#REF!</v>
      </c>
      <c r="AG4216" t="e">
        <f>IF(#REF!&gt;=10,"High Risk", IF(#REF!&gt;=5,"Medium Risk","Low Risk"))</f>
        <v>#REF!</v>
      </c>
      <c r="AH4216" t="e">
        <f>#REF! + #REF! + #REF! + #REF!</f>
        <v>#REF!</v>
      </c>
    </row>
    <row r="4217" spans="1:34" x14ac:dyDescent="0.35">
      <c r="A4217">
        <v>4216</v>
      </c>
      <c r="B4217" t="s">
        <v>26</v>
      </c>
      <c r="C4217">
        <v>71</v>
      </c>
      <c r="D4217" t="s">
        <v>21</v>
      </c>
      <c r="E4217" t="s">
        <v>22</v>
      </c>
      <c r="F4217" t="s">
        <v>22</v>
      </c>
      <c r="G4217">
        <v>0</v>
      </c>
      <c r="H4217">
        <v>123.8</v>
      </c>
      <c r="I4217">
        <v>130</v>
      </c>
      <c r="J4217">
        <v>21.05</v>
      </c>
      <c r="K4217">
        <v>226.5</v>
      </c>
      <c r="L4217">
        <v>91</v>
      </c>
      <c r="M4217">
        <v>19.25</v>
      </c>
      <c r="N4217">
        <v>213.9</v>
      </c>
      <c r="O4217">
        <v>96</v>
      </c>
      <c r="P4217">
        <v>9.6300000000000008</v>
      </c>
      <c r="Q4217">
        <v>8.8000000000000007</v>
      </c>
      <c r="R4217">
        <v>7</v>
      </c>
      <c r="S4217">
        <v>2.38</v>
      </c>
      <c r="T4217">
        <v>2</v>
      </c>
      <c r="U4217" t="s">
        <v>22</v>
      </c>
      <c r="V4217" t="e">
        <f>IF(#REF! = "yes", 1, 0)</f>
        <v>#REF!</v>
      </c>
      <c r="W4217" t="e">
        <f>IF(#REF! &lt;= 1, "0-1 Calls", IF(#REF! &lt;= 3, "2-3 Calls", IF(#REF! &lt;=5, "4-5 Calls", "6+ Calls")))</f>
        <v>#REF!</v>
      </c>
      <c r="X4217" t="e">
        <f>IF(#REF! &lt;= 50, "0-50", IF(#REF! &lt;=100, "51-100", IF(#REF! &lt;= 150, "101-150", "151+")))</f>
        <v>#REF!</v>
      </c>
      <c r="Y4217" t="e">
        <f>IF(#REF! &lt;= 3, "Low Charges", "High Charges")</f>
        <v>#REF!</v>
      </c>
      <c r="Z4217" t="e">
        <f>IF(#REF!&lt;=80,"Low Calls",
IF(#REF!&lt;=120,"Medium Calls","High Calls"))</f>
        <v>#REF!</v>
      </c>
      <c r="AA4217" t="e">
        <f>IF(#REF!&lt;=15,"Low Charges",
IF(#REF!&lt;=20,"Medium Charges","High Charges"))</f>
        <v>#REF!</v>
      </c>
      <c r="AB4217" t="e">
        <f>IF(AND(#REF!&gt;180, #REF!&gt;200), "Heavy Doemstic User", IF(#REF!&gt;10, "Interntional User", IF(AND(#REF!&lt;180, #REF!&lt;200,#REF!&lt;200), "Light User", "Balanced User")))</f>
        <v>#REF!</v>
      </c>
      <c r="AC4217" t="e">
        <f>IF(#REF! = 0, "No Usage", IF(#REF! &lt;= 20, "Low Usage", IF(#REF! &lt;= 40, "Medium Usgae", "High Usage")))</f>
        <v>#REF!</v>
      </c>
      <c r="AD4217" t="e">
        <f>IF(#REF!&lt;=150,"Low Usage", IF(#REF!&lt;=200,"Medium Usage", IF(#REF!&lt;=250,"High Usage","Very High Usage")))</f>
        <v>#REF!</v>
      </c>
      <c r="AE4217" t="e">
        <f>IF(#REF!&lt;=5,"Low Calls", IF(#REF!&lt;=10, "Medium Calls", "High Calls"))</f>
        <v>#REF!</v>
      </c>
      <c r="AF4217" t="e">
        <f xml:space="preserve">
IF(#REF!&gt;=4,4,0)+
IF(#REF!="yes",3,0)+
IF(#REF!="High Charges",3,0)+
IF(#REF!&gt;250,4,0)+
IF(#REF!="no",1,0)+
IF(#REF!="Heavy Domestic User",2,0)</f>
        <v>#REF!</v>
      </c>
      <c r="AG4217" t="e">
        <f>IF(#REF!&gt;=10,"High Risk", IF(#REF!&gt;=5,"Medium Risk","Low Risk"))</f>
        <v>#REF!</v>
      </c>
      <c r="AH4217" t="e">
        <f>#REF! + #REF! + #REF! + #REF!</f>
        <v>#REF!</v>
      </c>
    </row>
    <row r="4218" spans="1:34" x14ac:dyDescent="0.35">
      <c r="A4218">
        <v>4217</v>
      </c>
      <c r="B4218" t="s">
        <v>44</v>
      </c>
      <c r="C4218">
        <v>91</v>
      </c>
      <c r="D4218" t="s">
        <v>21</v>
      </c>
      <c r="E4218" t="s">
        <v>22</v>
      </c>
      <c r="F4218" t="s">
        <v>22</v>
      </c>
      <c r="G4218">
        <v>0</v>
      </c>
      <c r="H4218">
        <v>34.5</v>
      </c>
      <c r="I4218">
        <v>85</v>
      </c>
      <c r="J4218">
        <v>5.87</v>
      </c>
      <c r="K4218">
        <v>192.3</v>
      </c>
      <c r="L4218">
        <v>80</v>
      </c>
      <c r="M4218">
        <v>16.350000000000001</v>
      </c>
      <c r="N4218">
        <v>256.3</v>
      </c>
      <c r="O4218">
        <v>71</v>
      </c>
      <c r="P4218">
        <v>11.53</v>
      </c>
      <c r="Q4218">
        <v>7.9</v>
      </c>
      <c r="R4218">
        <v>7</v>
      </c>
      <c r="S4218">
        <v>2.13</v>
      </c>
      <c r="T4218">
        <v>0</v>
      </c>
      <c r="U4218" t="s">
        <v>22</v>
      </c>
      <c r="V4218" t="e">
        <f>IF(#REF! = "yes", 1, 0)</f>
        <v>#REF!</v>
      </c>
      <c r="W4218" t="e">
        <f>IF(#REF! &lt;= 1, "0-1 Calls", IF(#REF! &lt;= 3, "2-3 Calls", IF(#REF! &lt;=5, "4-5 Calls", "6+ Calls")))</f>
        <v>#REF!</v>
      </c>
      <c r="X4218" t="e">
        <f>IF(#REF! &lt;= 50, "0-50", IF(#REF! &lt;=100, "51-100", IF(#REF! &lt;= 150, "101-150", "151+")))</f>
        <v>#REF!</v>
      </c>
      <c r="Y4218" t="e">
        <f>IF(#REF! &lt;= 3, "Low Charges", "High Charges")</f>
        <v>#REF!</v>
      </c>
      <c r="Z4218" t="e">
        <f>IF(#REF!&lt;=80,"Low Calls",
IF(#REF!&lt;=120,"Medium Calls","High Calls"))</f>
        <v>#REF!</v>
      </c>
      <c r="AA4218" t="e">
        <f>IF(#REF!&lt;=15,"Low Charges",
IF(#REF!&lt;=20,"Medium Charges","High Charges"))</f>
        <v>#REF!</v>
      </c>
      <c r="AB4218" t="e">
        <f>IF(AND(#REF!&gt;180, #REF!&gt;200), "Heavy Doemstic User", IF(#REF!&gt;10, "Interntional User", IF(AND(#REF!&lt;180, #REF!&lt;200,#REF!&lt;200), "Light User", "Balanced User")))</f>
        <v>#REF!</v>
      </c>
      <c r="AC4218" t="e">
        <f>IF(#REF! = 0, "No Usage", IF(#REF! &lt;= 20, "Low Usage", IF(#REF! &lt;= 40, "Medium Usgae", "High Usage")))</f>
        <v>#REF!</v>
      </c>
      <c r="AD4218" t="e">
        <f>IF(#REF!&lt;=150,"Low Usage", IF(#REF!&lt;=200,"Medium Usage", IF(#REF!&lt;=250,"High Usage","Very High Usage")))</f>
        <v>#REF!</v>
      </c>
      <c r="AE4218" t="e">
        <f>IF(#REF!&lt;=5,"Low Calls", IF(#REF!&lt;=10, "Medium Calls", "High Calls"))</f>
        <v>#REF!</v>
      </c>
      <c r="AF4218" t="e">
        <f xml:space="preserve">
IF(#REF!&gt;=4,4,0)+
IF(#REF!="yes",3,0)+
IF(#REF!="High Charges",3,0)+
IF(#REF!&gt;250,4,0)+
IF(#REF!="no",1,0)+
IF(#REF!="Heavy Domestic User",2,0)</f>
        <v>#REF!</v>
      </c>
      <c r="AG4218" t="e">
        <f>IF(#REF!&gt;=10,"High Risk", IF(#REF!&gt;=5,"Medium Risk","Low Risk"))</f>
        <v>#REF!</v>
      </c>
      <c r="AH4218" t="e">
        <f>#REF! + #REF! + #REF! + #REF!</f>
        <v>#REF!</v>
      </c>
    </row>
    <row r="4219" spans="1:34" x14ac:dyDescent="0.35">
      <c r="A4219">
        <v>4218</v>
      </c>
      <c r="B4219" t="s">
        <v>49</v>
      </c>
      <c r="C4219">
        <v>47</v>
      </c>
      <c r="D4219" t="s">
        <v>21</v>
      </c>
      <c r="E4219" t="s">
        <v>23</v>
      </c>
      <c r="F4219" t="s">
        <v>23</v>
      </c>
      <c r="G4219">
        <v>31</v>
      </c>
      <c r="H4219">
        <v>140.6</v>
      </c>
      <c r="I4219">
        <v>114</v>
      </c>
      <c r="J4219">
        <v>23.9</v>
      </c>
      <c r="K4219">
        <v>264.60000000000002</v>
      </c>
      <c r="L4219">
        <v>44</v>
      </c>
      <c r="M4219">
        <v>22.49</v>
      </c>
      <c r="N4219">
        <v>238.7</v>
      </c>
      <c r="O4219">
        <v>121</v>
      </c>
      <c r="P4219">
        <v>10.74</v>
      </c>
      <c r="Q4219">
        <v>9.6999999999999993</v>
      </c>
      <c r="R4219">
        <v>4</v>
      </c>
      <c r="S4219">
        <v>2.62</v>
      </c>
      <c r="T4219">
        <v>2</v>
      </c>
      <c r="U4219" t="s">
        <v>22</v>
      </c>
      <c r="V4219" t="e">
        <f>IF(#REF! = "yes", 1, 0)</f>
        <v>#REF!</v>
      </c>
      <c r="W4219" t="e">
        <f>IF(#REF! &lt;= 1, "0-1 Calls", IF(#REF! &lt;= 3, "2-3 Calls", IF(#REF! &lt;=5, "4-5 Calls", "6+ Calls")))</f>
        <v>#REF!</v>
      </c>
      <c r="X4219" t="e">
        <f>IF(#REF! &lt;= 50, "0-50", IF(#REF! &lt;=100, "51-100", IF(#REF! &lt;= 150, "101-150", "151+")))</f>
        <v>#REF!</v>
      </c>
      <c r="Y4219" t="e">
        <f>IF(#REF! &lt;= 3, "Low Charges", "High Charges")</f>
        <v>#REF!</v>
      </c>
      <c r="Z4219" t="e">
        <f>IF(#REF!&lt;=80,"Low Calls",
IF(#REF!&lt;=120,"Medium Calls","High Calls"))</f>
        <v>#REF!</v>
      </c>
      <c r="AA4219" t="e">
        <f>IF(#REF!&lt;=15,"Low Charges",
IF(#REF!&lt;=20,"Medium Charges","High Charges"))</f>
        <v>#REF!</v>
      </c>
      <c r="AB4219" t="e">
        <f>IF(AND(#REF!&gt;180, #REF!&gt;200), "Heavy Doemstic User", IF(#REF!&gt;10, "Interntional User", IF(AND(#REF!&lt;180, #REF!&lt;200,#REF!&lt;200), "Light User", "Balanced User")))</f>
        <v>#REF!</v>
      </c>
      <c r="AC4219" t="e">
        <f>IF(#REF! = 0, "No Usage", IF(#REF! &lt;= 20, "Low Usage", IF(#REF! &lt;= 40, "Medium Usgae", "High Usage")))</f>
        <v>#REF!</v>
      </c>
      <c r="AD4219" t="e">
        <f>IF(#REF!&lt;=150,"Low Usage", IF(#REF!&lt;=200,"Medium Usage", IF(#REF!&lt;=250,"High Usage","Very High Usage")))</f>
        <v>#REF!</v>
      </c>
      <c r="AE4219" t="e">
        <f>IF(#REF!&lt;=5,"Low Calls", IF(#REF!&lt;=10, "Medium Calls", "High Calls"))</f>
        <v>#REF!</v>
      </c>
      <c r="AF4219" t="e">
        <f xml:space="preserve">
IF(#REF!&gt;=4,4,0)+
IF(#REF!="yes",3,0)+
IF(#REF!="High Charges",3,0)+
IF(#REF!&gt;250,4,0)+
IF(#REF!="no",1,0)+
IF(#REF!="Heavy Domestic User",2,0)</f>
        <v>#REF!</v>
      </c>
      <c r="AG4219" t="e">
        <f>IF(#REF!&gt;=10,"High Risk", IF(#REF!&gt;=5,"Medium Risk","Low Risk"))</f>
        <v>#REF!</v>
      </c>
      <c r="AH4219" t="e">
        <f>#REF! + #REF! + #REF! + #REF!</f>
        <v>#REF!</v>
      </c>
    </row>
    <row r="4220" spans="1:34" x14ac:dyDescent="0.35">
      <c r="A4220">
        <v>4219</v>
      </c>
      <c r="B4220" t="s">
        <v>29</v>
      </c>
      <c r="C4220">
        <v>126</v>
      </c>
      <c r="D4220" t="s">
        <v>28</v>
      </c>
      <c r="E4220" t="s">
        <v>22</v>
      </c>
      <c r="F4220" t="s">
        <v>22</v>
      </c>
      <c r="G4220">
        <v>0</v>
      </c>
      <c r="H4220">
        <v>150.80000000000001</v>
      </c>
      <c r="I4220">
        <v>105</v>
      </c>
      <c r="J4220">
        <v>25.64</v>
      </c>
      <c r="K4220">
        <v>157.1</v>
      </c>
      <c r="L4220">
        <v>85</v>
      </c>
      <c r="M4220">
        <v>13.35</v>
      </c>
      <c r="N4220">
        <v>210</v>
      </c>
      <c r="O4220">
        <v>102</v>
      </c>
      <c r="P4220">
        <v>9.4499999999999993</v>
      </c>
      <c r="Q4220">
        <v>10.7</v>
      </c>
      <c r="R4220">
        <v>3</v>
      </c>
      <c r="S4220">
        <v>2.89</v>
      </c>
      <c r="T4220">
        <v>0</v>
      </c>
      <c r="U4220" t="s">
        <v>22</v>
      </c>
      <c r="V4220" t="e">
        <f>IF(#REF! = "yes", 1, 0)</f>
        <v>#REF!</v>
      </c>
      <c r="W4220" t="e">
        <f>IF(#REF! &lt;= 1, "0-1 Calls", IF(#REF! &lt;= 3, "2-3 Calls", IF(#REF! &lt;=5, "4-5 Calls", "6+ Calls")))</f>
        <v>#REF!</v>
      </c>
      <c r="X4220" t="e">
        <f>IF(#REF! &lt;= 50, "0-50", IF(#REF! &lt;=100, "51-100", IF(#REF! &lt;= 150, "101-150", "151+")))</f>
        <v>#REF!</v>
      </c>
      <c r="Y4220" t="e">
        <f>IF(#REF! &lt;= 3, "Low Charges", "High Charges")</f>
        <v>#REF!</v>
      </c>
      <c r="Z4220" t="e">
        <f>IF(#REF!&lt;=80,"Low Calls",
IF(#REF!&lt;=120,"Medium Calls","High Calls"))</f>
        <v>#REF!</v>
      </c>
      <c r="AA4220" t="e">
        <f>IF(#REF!&lt;=15,"Low Charges",
IF(#REF!&lt;=20,"Medium Charges","High Charges"))</f>
        <v>#REF!</v>
      </c>
      <c r="AB4220" t="e">
        <f>IF(AND(#REF!&gt;180, #REF!&gt;200), "Heavy Doemstic User", IF(#REF!&gt;10, "Interntional User", IF(AND(#REF!&lt;180, #REF!&lt;200,#REF!&lt;200), "Light User", "Balanced User")))</f>
        <v>#REF!</v>
      </c>
      <c r="AC4220" t="e">
        <f>IF(#REF! = 0, "No Usage", IF(#REF! &lt;= 20, "Low Usage", IF(#REF! &lt;= 40, "Medium Usgae", "High Usage")))</f>
        <v>#REF!</v>
      </c>
      <c r="AD4220" t="e">
        <f>IF(#REF!&lt;=150,"Low Usage", IF(#REF!&lt;=200,"Medium Usage", IF(#REF!&lt;=250,"High Usage","Very High Usage")))</f>
        <v>#REF!</v>
      </c>
      <c r="AE4220" t="e">
        <f>IF(#REF!&lt;=5,"Low Calls", IF(#REF!&lt;=10, "Medium Calls", "High Calls"))</f>
        <v>#REF!</v>
      </c>
      <c r="AF4220" t="e">
        <f xml:space="preserve">
IF(#REF!&gt;=4,4,0)+
IF(#REF!="yes",3,0)+
IF(#REF!="High Charges",3,0)+
IF(#REF!&gt;250,4,0)+
IF(#REF!="no",1,0)+
IF(#REF!="Heavy Domestic User",2,0)</f>
        <v>#REF!</v>
      </c>
      <c r="AG4220" t="e">
        <f>IF(#REF!&gt;=10,"High Risk", IF(#REF!&gt;=5,"Medium Risk","Low Risk"))</f>
        <v>#REF!</v>
      </c>
      <c r="AH4220" t="e">
        <f>#REF! + #REF! + #REF! + #REF!</f>
        <v>#REF!</v>
      </c>
    </row>
    <row r="4221" spans="1:34" x14ac:dyDescent="0.35">
      <c r="A4221">
        <v>4220</v>
      </c>
      <c r="B4221" t="s">
        <v>58</v>
      </c>
      <c r="C4221">
        <v>92</v>
      </c>
      <c r="D4221" t="s">
        <v>25</v>
      </c>
      <c r="E4221" t="s">
        <v>22</v>
      </c>
      <c r="F4221" t="s">
        <v>22</v>
      </c>
      <c r="G4221">
        <v>0</v>
      </c>
      <c r="H4221">
        <v>192.1</v>
      </c>
      <c r="I4221">
        <v>87</v>
      </c>
      <c r="J4221">
        <v>32.659999999999997</v>
      </c>
      <c r="K4221">
        <v>193</v>
      </c>
      <c r="L4221">
        <v>122</v>
      </c>
      <c r="M4221">
        <v>16.41</v>
      </c>
      <c r="N4221">
        <v>133.4</v>
      </c>
      <c r="O4221">
        <v>79</v>
      </c>
      <c r="P4221">
        <v>6</v>
      </c>
      <c r="Q4221">
        <v>10.7</v>
      </c>
      <c r="R4221">
        <v>2</v>
      </c>
      <c r="S4221">
        <v>2.89</v>
      </c>
      <c r="T4221">
        <v>1</v>
      </c>
      <c r="U4221" t="s">
        <v>22</v>
      </c>
      <c r="V4221" t="e">
        <f>IF(#REF! = "yes", 1, 0)</f>
        <v>#REF!</v>
      </c>
      <c r="W4221" t="e">
        <f>IF(#REF! &lt;= 1, "0-1 Calls", IF(#REF! &lt;= 3, "2-3 Calls", IF(#REF! &lt;=5, "4-5 Calls", "6+ Calls")))</f>
        <v>#REF!</v>
      </c>
      <c r="X4221" t="e">
        <f>IF(#REF! &lt;= 50, "0-50", IF(#REF! &lt;=100, "51-100", IF(#REF! &lt;= 150, "101-150", "151+")))</f>
        <v>#REF!</v>
      </c>
      <c r="Y4221" t="e">
        <f>IF(#REF! &lt;= 3, "Low Charges", "High Charges")</f>
        <v>#REF!</v>
      </c>
      <c r="Z4221" t="e">
        <f>IF(#REF!&lt;=80,"Low Calls",
IF(#REF!&lt;=120,"Medium Calls","High Calls"))</f>
        <v>#REF!</v>
      </c>
      <c r="AA4221" t="e">
        <f>IF(#REF!&lt;=15,"Low Charges",
IF(#REF!&lt;=20,"Medium Charges","High Charges"))</f>
        <v>#REF!</v>
      </c>
      <c r="AB4221" t="e">
        <f>IF(AND(#REF!&gt;180, #REF!&gt;200), "Heavy Doemstic User", IF(#REF!&gt;10, "Interntional User", IF(AND(#REF!&lt;180, #REF!&lt;200,#REF!&lt;200), "Light User", "Balanced User")))</f>
        <v>#REF!</v>
      </c>
      <c r="AC4221" t="e">
        <f>IF(#REF! = 0, "No Usage", IF(#REF! &lt;= 20, "Low Usage", IF(#REF! &lt;= 40, "Medium Usgae", "High Usage")))</f>
        <v>#REF!</v>
      </c>
      <c r="AD4221" t="e">
        <f>IF(#REF!&lt;=150,"Low Usage", IF(#REF!&lt;=200,"Medium Usage", IF(#REF!&lt;=250,"High Usage","Very High Usage")))</f>
        <v>#REF!</v>
      </c>
      <c r="AE4221" t="e">
        <f>IF(#REF!&lt;=5,"Low Calls", IF(#REF!&lt;=10, "Medium Calls", "High Calls"))</f>
        <v>#REF!</v>
      </c>
      <c r="AF4221" t="e">
        <f xml:space="preserve">
IF(#REF!&gt;=4,4,0)+
IF(#REF!="yes",3,0)+
IF(#REF!="High Charges",3,0)+
IF(#REF!&gt;250,4,0)+
IF(#REF!="no",1,0)+
IF(#REF!="Heavy Domestic User",2,0)</f>
        <v>#REF!</v>
      </c>
      <c r="AG4221" t="e">
        <f>IF(#REF!&gt;=10,"High Risk", IF(#REF!&gt;=5,"Medium Risk","Low Risk"))</f>
        <v>#REF!</v>
      </c>
      <c r="AH4221" t="e">
        <f>#REF! + #REF! + #REF! + #REF!</f>
        <v>#REF!</v>
      </c>
    </row>
    <row r="4222" spans="1:34" x14ac:dyDescent="0.35">
      <c r="A4222">
        <v>4221</v>
      </c>
      <c r="B4222" t="s">
        <v>31</v>
      </c>
      <c r="C4222">
        <v>36</v>
      </c>
      <c r="D4222" t="s">
        <v>28</v>
      </c>
      <c r="E4222" t="s">
        <v>22</v>
      </c>
      <c r="F4222" t="s">
        <v>22</v>
      </c>
      <c r="G4222">
        <v>0</v>
      </c>
      <c r="H4222">
        <v>175.7</v>
      </c>
      <c r="I4222">
        <v>69</v>
      </c>
      <c r="J4222">
        <v>29.87</v>
      </c>
      <c r="K4222">
        <v>154.80000000000001</v>
      </c>
      <c r="L4222">
        <v>98</v>
      </c>
      <c r="M4222">
        <v>13.16</v>
      </c>
      <c r="N4222">
        <v>208.2</v>
      </c>
      <c r="O4222">
        <v>68</v>
      </c>
      <c r="P4222">
        <v>9.3699999999999992</v>
      </c>
      <c r="Q4222">
        <v>9.5</v>
      </c>
      <c r="R4222">
        <v>2</v>
      </c>
      <c r="S4222">
        <v>2.57</v>
      </c>
      <c r="T4222">
        <v>0</v>
      </c>
      <c r="U4222" t="s">
        <v>22</v>
      </c>
      <c r="V4222" t="e">
        <f>IF(#REF! = "yes", 1, 0)</f>
        <v>#REF!</v>
      </c>
      <c r="W4222" t="e">
        <f>IF(#REF! &lt;= 1, "0-1 Calls", IF(#REF! &lt;= 3, "2-3 Calls", IF(#REF! &lt;=5, "4-5 Calls", "6+ Calls")))</f>
        <v>#REF!</v>
      </c>
      <c r="X4222" t="e">
        <f>IF(#REF! &lt;= 50, "0-50", IF(#REF! &lt;=100, "51-100", IF(#REF! &lt;= 150, "101-150", "151+")))</f>
        <v>#REF!</v>
      </c>
      <c r="Y4222" t="e">
        <f>IF(#REF! &lt;= 3, "Low Charges", "High Charges")</f>
        <v>#REF!</v>
      </c>
      <c r="Z4222" t="e">
        <f>IF(#REF!&lt;=80,"Low Calls",
IF(#REF!&lt;=120,"Medium Calls","High Calls"))</f>
        <v>#REF!</v>
      </c>
      <c r="AA4222" t="e">
        <f>IF(#REF!&lt;=15,"Low Charges",
IF(#REF!&lt;=20,"Medium Charges","High Charges"))</f>
        <v>#REF!</v>
      </c>
      <c r="AB4222" t="e">
        <f>IF(AND(#REF!&gt;180, #REF!&gt;200), "Heavy Doemstic User", IF(#REF!&gt;10, "Interntional User", IF(AND(#REF!&lt;180, #REF!&lt;200,#REF!&lt;200), "Light User", "Balanced User")))</f>
        <v>#REF!</v>
      </c>
      <c r="AC4222" t="e">
        <f>IF(#REF! = 0, "No Usage", IF(#REF! &lt;= 20, "Low Usage", IF(#REF! &lt;= 40, "Medium Usgae", "High Usage")))</f>
        <v>#REF!</v>
      </c>
      <c r="AD4222" t="e">
        <f>IF(#REF!&lt;=150,"Low Usage", IF(#REF!&lt;=200,"Medium Usage", IF(#REF!&lt;=250,"High Usage","Very High Usage")))</f>
        <v>#REF!</v>
      </c>
      <c r="AE4222" t="e">
        <f>IF(#REF!&lt;=5,"Low Calls", IF(#REF!&lt;=10, "Medium Calls", "High Calls"))</f>
        <v>#REF!</v>
      </c>
      <c r="AF4222" t="e">
        <f xml:space="preserve">
IF(#REF!&gt;=4,4,0)+
IF(#REF!="yes",3,0)+
IF(#REF!="High Charges",3,0)+
IF(#REF!&gt;250,4,0)+
IF(#REF!="no",1,0)+
IF(#REF!="Heavy Domestic User",2,0)</f>
        <v>#REF!</v>
      </c>
      <c r="AG4222" t="e">
        <f>IF(#REF!&gt;=10,"High Risk", IF(#REF!&gt;=5,"Medium Risk","Low Risk"))</f>
        <v>#REF!</v>
      </c>
      <c r="AH4222" t="e">
        <f>#REF! + #REF! + #REF! + #REF!</f>
        <v>#REF!</v>
      </c>
    </row>
    <row r="4223" spans="1:34" x14ac:dyDescent="0.35">
      <c r="A4223">
        <v>4222</v>
      </c>
      <c r="B4223" t="s">
        <v>48</v>
      </c>
      <c r="C4223">
        <v>122</v>
      </c>
      <c r="D4223" t="s">
        <v>25</v>
      </c>
      <c r="E4223" t="s">
        <v>22</v>
      </c>
      <c r="F4223" t="s">
        <v>22</v>
      </c>
      <c r="G4223">
        <v>0</v>
      </c>
      <c r="H4223">
        <v>93.3</v>
      </c>
      <c r="I4223">
        <v>109</v>
      </c>
      <c r="J4223">
        <v>15.86</v>
      </c>
      <c r="K4223">
        <v>214.4</v>
      </c>
      <c r="L4223">
        <v>104</v>
      </c>
      <c r="M4223">
        <v>18.22</v>
      </c>
      <c r="N4223">
        <v>176.7</v>
      </c>
      <c r="O4223">
        <v>104</v>
      </c>
      <c r="P4223">
        <v>7.95</v>
      </c>
      <c r="Q4223">
        <v>12.1</v>
      </c>
      <c r="R4223">
        <v>2</v>
      </c>
      <c r="S4223">
        <v>3.27</v>
      </c>
      <c r="T4223">
        <v>0</v>
      </c>
      <c r="U4223" t="s">
        <v>22</v>
      </c>
      <c r="V4223" t="e">
        <f>IF(#REF! = "yes", 1, 0)</f>
        <v>#REF!</v>
      </c>
      <c r="W4223" t="e">
        <f>IF(#REF! &lt;= 1, "0-1 Calls", IF(#REF! &lt;= 3, "2-3 Calls", IF(#REF! &lt;=5, "4-5 Calls", "6+ Calls")))</f>
        <v>#REF!</v>
      </c>
      <c r="X4223" t="e">
        <f>IF(#REF! &lt;= 50, "0-50", IF(#REF! &lt;=100, "51-100", IF(#REF! &lt;= 150, "101-150", "151+")))</f>
        <v>#REF!</v>
      </c>
      <c r="Y4223" t="e">
        <f>IF(#REF! &lt;= 3, "Low Charges", "High Charges")</f>
        <v>#REF!</v>
      </c>
      <c r="Z4223" t="e">
        <f>IF(#REF!&lt;=80,"Low Calls",
IF(#REF!&lt;=120,"Medium Calls","High Calls"))</f>
        <v>#REF!</v>
      </c>
      <c r="AA4223" t="e">
        <f>IF(#REF!&lt;=15,"Low Charges",
IF(#REF!&lt;=20,"Medium Charges","High Charges"))</f>
        <v>#REF!</v>
      </c>
      <c r="AB4223" t="e">
        <f>IF(AND(#REF!&gt;180, #REF!&gt;200), "Heavy Doemstic User", IF(#REF!&gt;10, "Interntional User", IF(AND(#REF!&lt;180, #REF!&lt;200,#REF!&lt;200), "Light User", "Balanced User")))</f>
        <v>#REF!</v>
      </c>
      <c r="AC4223" t="e">
        <f>IF(#REF! = 0, "No Usage", IF(#REF! &lt;= 20, "Low Usage", IF(#REF! &lt;= 40, "Medium Usgae", "High Usage")))</f>
        <v>#REF!</v>
      </c>
      <c r="AD4223" t="e">
        <f>IF(#REF!&lt;=150,"Low Usage", IF(#REF!&lt;=200,"Medium Usage", IF(#REF!&lt;=250,"High Usage","Very High Usage")))</f>
        <v>#REF!</v>
      </c>
      <c r="AE4223" t="e">
        <f>IF(#REF!&lt;=5,"Low Calls", IF(#REF!&lt;=10, "Medium Calls", "High Calls"))</f>
        <v>#REF!</v>
      </c>
      <c r="AF4223" t="e">
        <f xml:space="preserve">
IF(#REF!&gt;=4,4,0)+
IF(#REF!="yes",3,0)+
IF(#REF!="High Charges",3,0)+
IF(#REF!&gt;250,4,0)+
IF(#REF!="no",1,0)+
IF(#REF!="Heavy Domestic User",2,0)</f>
        <v>#REF!</v>
      </c>
      <c r="AG4223" t="e">
        <f>IF(#REF!&gt;=10,"High Risk", IF(#REF!&gt;=5,"Medium Risk","Low Risk"))</f>
        <v>#REF!</v>
      </c>
      <c r="AH4223" t="e">
        <f>#REF! + #REF! + #REF! + #REF!</f>
        <v>#REF!</v>
      </c>
    </row>
    <row r="4224" spans="1:34" x14ac:dyDescent="0.35">
      <c r="A4224">
        <v>4223</v>
      </c>
      <c r="B4224" t="s">
        <v>26</v>
      </c>
      <c r="C4224">
        <v>117</v>
      </c>
      <c r="D4224" t="s">
        <v>21</v>
      </c>
      <c r="E4224" t="s">
        <v>22</v>
      </c>
      <c r="F4224" t="s">
        <v>22</v>
      </c>
      <c r="G4224">
        <v>0</v>
      </c>
      <c r="H4224">
        <v>212.1</v>
      </c>
      <c r="I4224">
        <v>133</v>
      </c>
      <c r="J4224">
        <v>36.06</v>
      </c>
      <c r="K4224">
        <v>276.60000000000002</v>
      </c>
      <c r="L4224">
        <v>94</v>
      </c>
      <c r="M4224">
        <v>23.51</v>
      </c>
      <c r="N4224">
        <v>195.5</v>
      </c>
      <c r="O4224">
        <v>124</v>
      </c>
      <c r="P4224">
        <v>8.8000000000000007</v>
      </c>
      <c r="Q4224">
        <v>9.5</v>
      </c>
      <c r="R4224">
        <v>3</v>
      </c>
      <c r="S4224">
        <v>2.57</v>
      </c>
      <c r="T4224">
        <v>2</v>
      </c>
      <c r="U4224" t="s">
        <v>22</v>
      </c>
      <c r="V4224" t="e">
        <f>IF(#REF! = "yes", 1, 0)</f>
        <v>#REF!</v>
      </c>
      <c r="W4224" t="e">
        <f>IF(#REF! &lt;= 1, "0-1 Calls", IF(#REF! &lt;= 3, "2-3 Calls", IF(#REF! &lt;=5, "4-5 Calls", "6+ Calls")))</f>
        <v>#REF!</v>
      </c>
      <c r="X4224" t="e">
        <f>IF(#REF! &lt;= 50, "0-50", IF(#REF! &lt;=100, "51-100", IF(#REF! &lt;= 150, "101-150", "151+")))</f>
        <v>#REF!</v>
      </c>
      <c r="Y4224" t="e">
        <f>IF(#REF! &lt;= 3, "Low Charges", "High Charges")</f>
        <v>#REF!</v>
      </c>
      <c r="Z4224" t="e">
        <f>IF(#REF!&lt;=80,"Low Calls",
IF(#REF!&lt;=120,"Medium Calls","High Calls"))</f>
        <v>#REF!</v>
      </c>
      <c r="AA4224" t="e">
        <f>IF(#REF!&lt;=15,"Low Charges",
IF(#REF!&lt;=20,"Medium Charges","High Charges"))</f>
        <v>#REF!</v>
      </c>
      <c r="AB4224" t="e">
        <f>IF(AND(#REF!&gt;180, #REF!&gt;200), "Heavy Doemstic User", IF(#REF!&gt;10, "Interntional User", IF(AND(#REF!&lt;180, #REF!&lt;200,#REF!&lt;200), "Light User", "Balanced User")))</f>
        <v>#REF!</v>
      </c>
      <c r="AC4224" t="e">
        <f>IF(#REF! = 0, "No Usage", IF(#REF! &lt;= 20, "Low Usage", IF(#REF! &lt;= 40, "Medium Usgae", "High Usage")))</f>
        <v>#REF!</v>
      </c>
      <c r="AD4224" t="e">
        <f>IF(#REF!&lt;=150,"Low Usage", IF(#REF!&lt;=200,"Medium Usage", IF(#REF!&lt;=250,"High Usage","Very High Usage")))</f>
        <v>#REF!</v>
      </c>
      <c r="AE4224" t="e">
        <f>IF(#REF!&lt;=5,"Low Calls", IF(#REF!&lt;=10, "Medium Calls", "High Calls"))</f>
        <v>#REF!</v>
      </c>
      <c r="AF4224" t="e">
        <f xml:space="preserve">
IF(#REF!&gt;=4,4,0)+
IF(#REF!="yes",3,0)+
IF(#REF!="High Charges",3,0)+
IF(#REF!&gt;250,4,0)+
IF(#REF!="no",1,0)+
IF(#REF!="Heavy Domestic User",2,0)</f>
        <v>#REF!</v>
      </c>
      <c r="AG4224" t="e">
        <f>IF(#REF!&gt;=10,"High Risk", IF(#REF!&gt;=5,"Medium Risk","Low Risk"))</f>
        <v>#REF!</v>
      </c>
      <c r="AH4224" t="e">
        <f>#REF! + #REF! + #REF! + #REF!</f>
        <v>#REF!</v>
      </c>
    </row>
    <row r="4225" spans="1:34" x14ac:dyDescent="0.35">
      <c r="A4225">
        <v>4224</v>
      </c>
      <c r="B4225" t="s">
        <v>40</v>
      </c>
      <c r="C4225">
        <v>131</v>
      </c>
      <c r="D4225" t="s">
        <v>25</v>
      </c>
      <c r="E4225" t="s">
        <v>22</v>
      </c>
      <c r="F4225" t="s">
        <v>22</v>
      </c>
      <c r="G4225">
        <v>0</v>
      </c>
      <c r="H4225">
        <v>43.3</v>
      </c>
      <c r="I4225">
        <v>118</v>
      </c>
      <c r="J4225">
        <v>7.36</v>
      </c>
      <c r="K4225">
        <v>178.5</v>
      </c>
      <c r="L4225">
        <v>113</v>
      </c>
      <c r="M4225">
        <v>15.17</v>
      </c>
      <c r="N4225">
        <v>185.9</v>
      </c>
      <c r="O4225">
        <v>120</v>
      </c>
      <c r="P4225">
        <v>8.3699999999999992</v>
      </c>
      <c r="Q4225">
        <v>10.6</v>
      </c>
      <c r="R4225">
        <v>4</v>
      </c>
      <c r="S4225">
        <v>2.86</v>
      </c>
      <c r="T4225">
        <v>0</v>
      </c>
      <c r="U4225" t="s">
        <v>22</v>
      </c>
      <c r="V4225" t="e">
        <f>IF(#REF! = "yes", 1, 0)</f>
        <v>#REF!</v>
      </c>
      <c r="W4225" t="e">
        <f>IF(#REF! &lt;= 1, "0-1 Calls", IF(#REF! &lt;= 3, "2-3 Calls", IF(#REF! &lt;=5, "4-5 Calls", "6+ Calls")))</f>
        <v>#REF!</v>
      </c>
      <c r="X4225" t="e">
        <f>IF(#REF! &lt;= 50, "0-50", IF(#REF! &lt;=100, "51-100", IF(#REF! &lt;= 150, "101-150", "151+")))</f>
        <v>#REF!</v>
      </c>
      <c r="Y4225" t="e">
        <f>IF(#REF! &lt;= 3, "Low Charges", "High Charges")</f>
        <v>#REF!</v>
      </c>
      <c r="Z4225" t="e">
        <f>IF(#REF!&lt;=80,"Low Calls",
IF(#REF!&lt;=120,"Medium Calls","High Calls"))</f>
        <v>#REF!</v>
      </c>
      <c r="AA4225" t="e">
        <f>IF(#REF!&lt;=15,"Low Charges",
IF(#REF!&lt;=20,"Medium Charges","High Charges"))</f>
        <v>#REF!</v>
      </c>
      <c r="AB4225" t="e">
        <f>IF(AND(#REF!&gt;180, #REF!&gt;200), "Heavy Doemstic User", IF(#REF!&gt;10, "Interntional User", IF(AND(#REF!&lt;180, #REF!&lt;200,#REF!&lt;200), "Light User", "Balanced User")))</f>
        <v>#REF!</v>
      </c>
      <c r="AC4225" t="e">
        <f>IF(#REF! = 0, "No Usage", IF(#REF! &lt;= 20, "Low Usage", IF(#REF! &lt;= 40, "Medium Usgae", "High Usage")))</f>
        <v>#REF!</v>
      </c>
      <c r="AD4225" t="e">
        <f>IF(#REF!&lt;=150,"Low Usage", IF(#REF!&lt;=200,"Medium Usage", IF(#REF!&lt;=250,"High Usage","Very High Usage")))</f>
        <v>#REF!</v>
      </c>
      <c r="AE4225" t="e">
        <f>IF(#REF!&lt;=5,"Low Calls", IF(#REF!&lt;=10, "Medium Calls", "High Calls"))</f>
        <v>#REF!</v>
      </c>
      <c r="AF4225" t="e">
        <f xml:space="preserve">
IF(#REF!&gt;=4,4,0)+
IF(#REF!="yes",3,0)+
IF(#REF!="High Charges",3,0)+
IF(#REF!&gt;250,4,0)+
IF(#REF!="no",1,0)+
IF(#REF!="Heavy Domestic User",2,0)</f>
        <v>#REF!</v>
      </c>
      <c r="AG4225" t="e">
        <f>IF(#REF!&gt;=10,"High Risk", IF(#REF!&gt;=5,"Medium Risk","Low Risk"))</f>
        <v>#REF!</v>
      </c>
      <c r="AH4225" t="e">
        <f>#REF! + #REF! + #REF! + #REF!</f>
        <v>#REF!</v>
      </c>
    </row>
    <row r="4226" spans="1:34" x14ac:dyDescent="0.35">
      <c r="A4226">
        <v>4225</v>
      </c>
      <c r="B4226" t="s">
        <v>49</v>
      </c>
      <c r="C4226">
        <v>133</v>
      </c>
      <c r="D4226" t="s">
        <v>21</v>
      </c>
      <c r="E4226" t="s">
        <v>22</v>
      </c>
      <c r="F4226" t="s">
        <v>22</v>
      </c>
      <c r="G4226">
        <v>0</v>
      </c>
      <c r="H4226">
        <v>173.1</v>
      </c>
      <c r="I4226">
        <v>126</v>
      </c>
      <c r="J4226">
        <v>29.43</v>
      </c>
      <c r="K4226">
        <v>200</v>
      </c>
      <c r="L4226">
        <v>98</v>
      </c>
      <c r="M4226">
        <v>17</v>
      </c>
      <c r="N4226">
        <v>231</v>
      </c>
      <c r="O4226">
        <v>103</v>
      </c>
      <c r="P4226">
        <v>10.4</v>
      </c>
      <c r="Q4226">
        <v>10.8</v>
      </c>
      <c r="R4226">
        <v>1</v>
      </c>
      <c r="S4226">
        <v>2.92</v>
      </c>
      <c r="T4226">
        <v>1</v>
      </c>
      <c r="U4226" t="s">
        <v>22</v>
      </c>
      <c r="V4226" t="e">
        <f>IF(#REF! = "yes", 1, 0)</f>
        <v>#REF!</v>
      </c>
      <c r="W4226" t="e">
        <f>IF(#REF! &lt;= 1, "0-1 Calls", IF(#REF! &lt;= 3, "2-3 Calls", IF(#REF! &lt;=5, "4-5 Calls", "6+ Calls")))</f>
        <v>#REF!</v>
      </c>
      <c r="X4226" t="e">
        <f>IF(#REF! &lt;= 50, "0-50", IF(#REF! &lt;=100, "51-100", IF(#REF! &lt;= 150, "101-150", "151+")))</f>
        <v>#REF!</v>
      </c>
      <c r="Y4226" t="e">
        <f>IF(#REF! &lt;= 3, "Low Charges", "High Charges")</f>
        <v>#REF!</v>
      </c>
      <c r="Z4226" t="e">
        <f>IF(#REF!&lt;=80,"Low Calls",
IF(#REF!&lt;=120,"Medium Calls","High Calls"))</f>
        <v>#REF!</v>
      </c>
      <c r="AA4226" t="e">
        <f>IF(#REF!&lt;=15,"Low Charges",
IF(#REF!&lt;=20,"Medium Charges","High Charges"))</f>
        <v>#REF!</v>
      </c>
      <c r="AB4226" t="e">
        <f>IF(AND(#REF!&gt;180, #REF!&gt;200), "Heavy Doemstic User", IF(#REF!&gt;10, "Interntional User", IF(AND(#REF!&lt;180, #REF!&lt;200,#REF!&lt;200), "Light User", "Balanced User")))</f>
        <v>#REF!</v>
      </c>
      <c r="AC4226" t="e">
        <f>IF(#REF! = 0, "No Usage", IF(#REF! &lt;= 20, "Low Usage", IF(#REF! &lt;= 40, "Medium Usgae", "High Usage")))</f>
        <v>#REF!</v>
      </c>
      <c r="AD4226" t="e">
        <f>IF(#REF!&lt;=150,"Low Usage", IF(#REF!&lt;=200,"Medium Usage", IF(#REF!&lt;=250,"High Usage","Very High Usage")))</f>
        <v>#REF!</v>
      </c>
      <c r="AE4226" t="e">
        <f>IF(#REF!&lt;=5,"Low Calls", IF(#REF!&lt;=10, "Medium Calls", "High Calls"))</f>
        <v>#REF!</v>
      </c>
      <c r="AF4226" t="e">
        <f xml:space="preserve">
IF(#REF!&gt;=4,4,0)+
IF(#REF!="yes",3,0)+
IF(#REF!="High Charges",3,0)+
IF(#REF!&gt;250,4,0)+
IF(#REF!="no",1,0)+
IF(#REF!="Heavy Domestic User",2,0)</f>
        <v>#REF!</v>
      </c>
      <c r="AG4226" t="e">
        <f>IF(#REF!&gt;=10,"High Risk", IF(#REF!&gt;=5,"Medium Risk","Low Risk"))</f>
        <v>#REF!</v>
      </c>
      <c r="AH4226" t="e">
        <f>#REF! + #REF! + #REF! + #REF!</f>
        <v>#REF!</v>
      </c>
    </row>
    <row r="4227" spans="1:34" x14ac:dyDescent="0.35">
      <c r="A4227">
        <v>4226</v>
      </c>
      <c r="B4227" t="s">
        <v>45</v>
      </c>
      <c r="C4227">
        <v>128</v>
      </c>
      <c r="D4227" t="s">
        <v>28</v>
      </c>
      <c r="E4227" t="s">
        <v>22</v>
      </c>
      <c r="F4227" t="s">
        <v>23</v>
      </c>
      <c r="G4227">
        <v>28</v>
      </c>
      <c r="H4227">
        <v>115.4</v>
      </c>
      <c r="I4227">
        <v>96</v>
      </c>
      <c r="J4227">
        <v>19.62</v>
      </c>
      <c r="K4227">
        <v>185.4</v>
      </c>
      <c r="L4227">
        <v>94</v>
      </c>
      <c r="M4227">
        <v>15.76</v>
      </c>
      <c r="N4227">
        <v>209.3</v>
      </c>
      <c r="O4227">
        <v>69</v>
      </c>
      <c r="P4227">
        <v>9.42</v>
      </c>
      <c r="Q4227">
        <v>17.7</v>
      </c>
      <c r="R4227">
        <v>4</v>
      </c>
      <c r="S4227">
        <v>4.78</v>
      </c>
      <c r="T4227">
        <v>0</v>
      </c>
      <c r="U4227" t="s">
        <v>22</v>
      </c>
      <c r="V4227" t="e">
        <f>IF(#REF! = "yes", 1, 0)</f>
        <v>#REF!</v>
      </c>
      <c r="W4227" t="e">
        <f>IF(#REF! &lt;= 1, "0-1 Calls", IF(#REF! &lt;= 3, "2-3 Calls", IF(#REF! &lt;=5, "4-5 Calls", "6+ Calls")))</f>
        <v>#REF!</v>
      </c>
      <c r="X4227" t="e">
        <f>IF(#REF! &lt;= 50, "0-50", IF(#REF! &lt;=100, "51-100", IF(#REF! &lt;= 150, "101-150", "151+")))</f>
        <v>#REF!</v>
      </c>
      <c r="Y4227" t="e">
        <f>IF(#REF! &lt;= 3, "Low Charges", "High Charges")</f>
        <v>#REF!</v>
      </c>
      <c r="Z4227" t="e">
        <f>IF(#REF!&lt;=80,"Low Calls",
IF(#REF!&lt;=120,"Medium Calls","High Calls"))</f>
        <v>#REF!</v>
      </c>
      <c r="AA4227" t="e">
        <f>IF(#REF!&lt;=15,"Low Charges",
IF(#REF!&lt;=20,"Medium Charges","High Charges"))</f>
        <v>#REF!</v>
      </c>
      <c r="AB4227" t="e">
        <f>IF(AND(#REF!&gt;180, #REF!&gt;200), "Heavy Doemstic User", IF(#REF!&gt;10, "Interntional User", IF(AND(#REF!&lt;180, #REF!&lt;200,#REF!&lt;200), "Light User", "Balanced User")))</f>
        <v>#REF!</v>
      </c>
      <c r="AC4227" t="e">
        <f>IF(#REF! = 0, "No Usage", IF(#REF! &lt;= 20, "Low Usage", IF(#REF! &lt;= 40, "Medium Usgae", "High Usage")))</f>
        <v>#REF!</v>
      </c>
      <c r="AD4227" t="e">
        <f>IF(#REF!&lt;=150,"Low Usage", IF(#REF!&lt;=200,"Medium Usage", IF(#REF!&lt;=250,"High Usage","Very High Usage")))</f>
        <v>#REF!</v>
      </c>
      <c r="AE4227" t="e">
        <f>IF(#REF!&lt;=5,"Low Calls", IF(#REF!&lt;=10, "Medium Calls", "High Calls"))</f>
        <v>#REF!</v>
      </c>
      <c r="AF4227" t="e">
        <f xml:space="preserve">
IF(#REF!&gt;=4,4,0)+
IF(#REF!="yes",3,0)+
IF(#REF!="High Charges",3,0)+
IF(#REF!&gt;250,4,0)+
IF(#REF!="no",1,0)+
IF(#REF!="Heavy Domestic User",2,0)</f>
        <v>#REF!</v>
      </c>
      <c r="AG4227" t="e">
        <f>IF(#REF!&gt;=10,"High Risk", IF(#REF!&gt;=5,"Medium Risk","Low Risk"))</f>
        <v>#REF!</v>
      </c>
      <c r="AH4227" t="e">
        <f>#REF! + #REF! + #REF! + #REF!</f>
        <v>#REF!</v>
      </c>
    </row>
    <row r="4228" spans="1:34" x14ac:dyDescent="0.35">
      <c r="A4228">
        <v>4227</v>
      </c>
      <c r="B4228" t="s">
        <v>40</v>
      </c>
      <c r="C4228">
        <v>81</v>
      </c>
      <c r="D4228" t="s">
        <v>25</v>
      </c>
      <c r="E4228" t="s">
        <v>22</v>
      </c>
      <c r="F4228" t="s">
        <v>22</v>
      </c>
      <c r="G4228">
        <v>0</v>
      </c>
      <c r="H4228">
        <v>190.9</v>
      </c>
      <c r="I4228">
        <v>92</v>
      </c>
      <c r="J4228">
        <v>32.450000000000003</v>
      </c>
      <c r="K4228">
        <v>208.7</v>
      </c>
      <c r="L4228">
        <v>132</v>
      </c>
      <c r="M4228">
        <v>17.739999999999998</v>
      </c>
      <c r="N4228">
        <v>120.8</v>
      </c>
      <c r="O4228">
        <v>98</v>
      </c>
      <c r="P4228">
        <v>5.44</v>
      </c>
      <c r="Q4228">
        <v>11.4</v>
      </c>
      <c r="R4228">
        <v>6</v>
      </c>
      <c r="S4228">
        <v>3.08</v>
      </c>
      <c r="T4228">
        <v>1</v>
      </c>
      <c r="U4228" t="s">
        <v>22</v>
      </c>
      <c r="V4228" t="e">
        <f>IF(#REF! = "yes", 1, 0)</f>
        <v>#REF!</v>
      </c>
      <c r="W4228" t="e">
        <f>IF(#REF! &lt;= 1, "0-1 Calls", IF(#REF! &lt;= 3, "2-3 Calls", IF(#REF! &lt;=5, "4-5 Calls", "6+ Calls")))</f>
        <v>#REF!</v>
      </c>
      <c r="X4228" t="e">
        <f>IF(#REF! &lt;= 50, "0-50", IF(#REF! &lt;=100, "51-100", IF(#REF! &lt;= 150, "101-150", "151+")))</f>
        <v>#REF!</v>
      </c>
      <c r="Y4228" t="e">
        <f>IF(#REF! &lt;= 3, "Low Charges", "High Charges")</f>
        <v>#REF!</v>
      </c>
      <c r="Z4228" t="e">
        <f>IF(#REF!&lt;=80,"Low Calls",
IF(#REF!&lt;=120,"Medium Calls","High Calls"))</f>
        <v>#REF!</v>
      </c>
      <c r="AA4228" t="e">
        <f>IF(#REF!&lt;=15,"Low Charges",
IF(#REF!&lt;=20,"Medium Charges","High Charges"))</f>
        <v>#REF!</v>
      </c>
      <c r="AB4228" t="e">
        <f>IF(AND(#REF!&gt;180, #REF!&gt;200), "Heavy Doemstic User", IF(#REF!&gt;10, "Interntional User", IF(AND(#REF!&lt;180, #REF!&lt;200,#REF!&lt;200), "Light User", "Balanced User")))</f>
        <v>#REF!</v>
      </c>
      <c r="AC4228" t="e">
        <f>IF(#REF! = 0, "No Usage", IF(#REF! &lt;= 20, "Low Usage", IF(#REF! &lt;= 40, "Medium Usgae", "High Usage")))</f>
        <v>#REF!</v>
      </c>
      <c r="AD4228" t="e">
        <f>IF(#REF!&lt;=150,"Low Usage", IF(#REF!&lt;=200,"Medium Usage", IF(#REF!&lt;=250,"High Usage","Very High Usage")))</f>
        <v>#REF!</v>
      </c>
      <c r="AE4228" t="e">
        <f>IF(#REF!&lt;=5,"Low Calls", IF(#REF!&lt;=10, "Medium Calls", "High Calls"))</f>
        <v>#REF!</v>
      </c>
      <c r="AF4228" t="e">
        <f xml:space="preserve">
IF(#REF!&gt;=4,4,0)+
IF(#REF!="yes",3,0)+
IF(#REF!="High Charges",3,0)+
IF(#REF!&gt;250,4,0)+
IF(#REF!="no",1,0)+
IF(#REF!="Heavy Domestic User",2,0)</f>
        <v>#REF!</v>
      </c>
      <c r="AG4228" t="e">
        <f>IF(#REF!&gt;=10,"High Risk", IF(#REF!&gt;=5,"Medium Risk","Low Risk"))</f>
        <v>#REF!</v>
      </c>
      <c r="AH4228" t="e">
        <f>#REF! + #REF! + #REF! + #REF!</f>
        <v>#REF!</v>
      </c>
    </row>
    <row r="4229" spans="1:34" x14ac:dyDescent="0.35">
      <c r="A4229">
        <v>4228</v>
      </c>
      <c r="B4229" t="s">
        <v>75</v>
      </c>
      <c r="C4229">
        <v>81</v>
      </c>
      <c r="D4229" t="s">
        <v>21</v>
      </c>
      <c r="E4229" t="s">
        <v>22</v>
      </c>
      <c r="F4229" t="s">
        <v>22</v>
      </c>
      <c r="G4229">
        <v>0</v>
      </c>
      <c r="H4229">
        <v>234.1</v>
      </c>
      <c r="I4229">
        <v>105</v>
      </c>
      <c r="J4229">
        <v>39.799999999999997</v>
      </c>
      <c r="K4229">
        <v>237.4</v>
      </c>
      <c r="L4229">
        <v>88</v>
      </c>
      <c r="M4229">
        <v>20.18</v>
      </c>
      <c r="N4229">
        <v>240.6</v>
      </c>
      <c r="O4229">
        <v>85</v>
      </c>
      <c r="P4229">
        <v>10.83</v>
      </c>
      <c r="Q4229">
        <v>11.4</v>
      </c>
      <c r="R4229">
        <v>4</v>
      </c>
      <c r="S4229">
        <v>3.08</v>
      </c>
      <c r="T4229">
        <v>1</v>
      </c>
      <c r="U4229" t="s">
        <v>22</v>
      </c>
      <c r="V4229" t="e">
        <f>IF(#REF! = "yes", 1, 0)</f>
        <v>#REF!</v>
      </c>
      <c r="W4229" t="e">
        <f>IF(#REF! &lt;= 1, "0-1 Calls", IF(#REF! &lt;= 3, "2-3 Calls", IF(#REF! &lt;=5, "4-5 Calls", "6+ Calls")))</f>
        <v>#REF!</v>
      </c>
      <c r="X4229" t="e">
        <f>IF(#REF! &lt;= 50, "0-50", IF(#REF! &lt;=100, "51-100", IF(#REF! &lt;= 150, "101-150", "151+")))</f>
        <v>#REF!</v>
      </c>
      <c r="Y4229" t="e">
        <f>IF(#REF! &lt;= 3, "Low Charges", "High Charges")</f>
        <v>#REF!</v>
      </c>
      <c r="Z4229" t="e">
        <f>IF(#REF!&lt;=80,"Low Calls",
IF(#REF!&lt;=120,"Medium Calls","High Calls"))</f>
        <v>#REF!</v>
      </c>
      <c r="AA4229" t="e">
        <f>IF(#REF!&lt;=15,"Low Charges",
IF(#REF!&lt;=20,"Medium Charges","High Charges"))</f>
        <v>#REF!</v>
      </c>
      <c r="AB4229" t="e">
        <f>IF(AND(#REF!&gt;180, #REF!&gt;200), "Heavy Doemstic User", IF(#REF!&gt;10, "Interntional User", IF(AND(#REF!&lt;180, #REF!&lt;200,#REF!&lt;200), "Light User", "Balanced User")))</f>
        <v>#REF!</v>
      </c>
      <c r="AC4229" t="e">
        <f>IF(#REF! = 0, "No Usage", IF(#REF! &lt;= 20, "Low Usage", IF(#REF! &lt;= 40, "Medium Usgae", "High Usage")))</f>
        <v>#REF!</v>
      </c>
      <c r="AD4229" t="e">
        <f>IF(#REF!&lt;=150,"Low Usage", IF(#REF!&lt;=200,"Medium Usage", IF(#REF!&lt;=250,"High Usage","Very High Usage")))</f>
        <v>#REF!</v>
      </c>
      <c r="AE4229" t="e">
        <f>IF(#REF!&lt;=5,"Low Calls", IF(#REF!&lt;=10, "Medium Calls", "High Calls"))</f>
        <v>#REF!</v>
      </c>
      <c r="AF4229" t="e">
        <f xml:space="preserve">
IF(#REF!&gt;=4,4,0)+
IF(#REF!="yes",3,0)+
IF(#REF!="High Charges",3,0)+
IF(#REF!&gt;250,4,0)+
IF(#REF!="no",1,0)+
IF(#REF!="Heavy Domestic User",2,0)</f>
        <v>#REF!</v>
      </c>
      <c r="AG4229" t="e">
        <f>IF(#REF!&gt;=10,"High Risk", IF(#REF!&gt;=5,"Medium Risk","Low Risk"))</f>
        <v>#REF!</v>
      </c>
      <c r="AH4229" t="e">
        <f>#REF! + #REF! + #REF! + #REF!</f>
        <v>#REF!</v>
      </c>
    </row>
    <row r="4230" spans="1:34" x14ac:dyDescent="0.35">
      <c r="A4230">
        <v>4229</v>
      </c>
      <c r="B4230" t="s">
        <v>30</v>
      </c>
      <c r="C4230">
        <v>96</v>
      </c>
      <c r="D4230" t="s">
        <v>25</v>
      </c>
      <c r="E4230" t="s">
        <v>22</v>
      </c>
      <c r="F4230" t="s">
        <v>22</v>
      </c>
      <c r="G4230">
        <v>0</v>
      </c>
      <c r="H4230">
        <v>102.1</v>
      </c>
      <c r="I4230">
        <v>74</v>
      </c>
      <c r="J4230">
        <v>17.36</v>
      </c>
      <c r="K4230">
        <v>93.7</v>
      </c>
      <c r="L4230">
        <v>88</v>
      </c>
      <c r="M4230">
        <v>7.96</v>
      </c>
      <c r="N4230">
        <v>236.2</v>
      </c>
      <c r="O4230">
        <v>125</v>
      </c>
      <c r="P4230">
        <v>10.63</v>
      </c>
      <c r="Q4230">
        <v>14</v>
      </c>
      <c r="R4230">
        <v>2</v>
      </c>
      <c r="S4230">
        <v>3.78</v>
      </c>
      <c r="T4230">
        <v>1</v>
      </c>
      <c r="U4230" t="s">
        <v>22</v>
      </c>
      <c r="V4230" t="e">
        <f>IF(#REF! = "yes", 1, 0)</f>
        <v>#REF!</v>
      </c>
      <c r="W4230" t="e">
        <f>IF(#REF! &lt;= 1, "0-1 Calls", IF(#REF! &lt;= 3, "2-3 Calls", IF(#REF! &lt;=5, "4-5 Calls", "6+ Calls")))</f>
        <v>#REF!</v>
      </c>
      <c r="X4230" t="e">
        <f>IF(#REF! &lt;= 50, "0-50", IF(#REF! &lt;=100, "51-100", IF(#REF! &lt;= 150, "101-150", "151+")))</f>
        <v>#REF!</v>
      </c>
      <c r="Y4230" t="e">
        <f>IF(#REF! &lt;= 3, "Low Charges", "High Charges")</f>
        <v>#REF!</v>
      </c>
      <c r="Z4230" t="e">
        <f>IF(#REF!&lt;=80,"Low Calls",
IF(#REF!&lt;=120,"Medium Calls","High Calls"))</f>
        <v>#REF!</v>
      </c>
      <c r="AA4230" t="e">
        <f>IF(#REF!&lt;=15,"Low Charges",
IF(#REF!&lt;=20,"Medium Charges","High Charges"))</f>
        <v>#REF!</v>
      </c>
      <c r="AB4230" t="e">
        <f>IF(AND(#REF!&gt;180, #REF!&gt;200), "Heavy Doemstic User", IF(#REF!&gt;10, "Interntional User", IF(AND(#REF!&lt;180, #REF!&lt;200,#REF!&lt;200), "Light User", "Balanced User")))</f>
        <v>#REF!</v>
      </c>
      <c r="AC4230" t="e">
        <f>IF(#REF! = 0, "No Usage", IF(#REF! &lt;= 20, "Low Usage", IF(#REF! &lt;= 40, "Medium Usgae", "High Usage")))</f>
        <v>#REF!</v>
      </c>
      <c r="AD4230" t="e">
        <f>IF(#REF!&lt;=150,"Low Usage", IF(#REF!&lt;=200,"Medium Usage", IF(#REF!&lt;=250,"High Usage","Very High Usage")))</f>
        <v>#REF!</v>
      </c>
      <c r="AE4230" t="e">
        <f>IF(#REF!&lt;=5,"Low Calls", IF(#REF!&lt;=10, "Medium Calls", "High Calls"))</f>
        <v>#REF!</v>
      </c>
      <c r="AF4230" t="e">
        <f xml:space="preserve">
IF(#REF!&gt;=4,4,0)+
IF(#REF!="yes",3,0)+
IF(#REF!="High Charges",3,0)+
IF(#REF!&gt;250,4,0)+
IF(#REF!="no",1,0)+
IF(#REF!="Heavy Domestic User",2,0)</f>
        <v>#REF!</v>
      </c>
      <c r="AG4230" t="e">
        <f>IF(#REF!&gt;=10,"High Risk", IF(#REF!&gt;=5,"Medium Risk","Low Risk"))</f>
        <v>#REF!</v>
      </c>
      <c r="AH4230" t="e">
        <f>#REF! + #REF! + #REF! + #REF!</f>
        <v>#REF!</v>
      </c>
    </row>
    <row r="4231" spans="1:34" x14ac:dyDescent="0.35">
      <c r="A4231">
        <v>4230</v>
      </c>
      <c r="B4231" t="s">
        <v>50</v>
      </c>
      <c r="C4231">
        <v>93</v>
      </c>
      <c r="D4231" t="s">
        <v>21</v>
      </c>
      <c r="E4231" t="s">
        <v>22</v>
      </c>
      <c r="F4231" t="s">
        <v>22</v>
      </c>
      <c r="G4231">
        <v>0</v>
      </c>
      <c r="H4231">
        <v>131.9</v>
      </c>
      <c r="I4231">
        <v>91</v>
      </c>
      <c r="J4231">
        <v>22.42</v>
      </c>
      <c r="K4231">
        <v>203.8</v>
      </c>
      <c r="L4231">
        <v>92</v>
      </c>
      <c r="M4231">
        <v>17.32</v>
      </c>
      <c r="N4231">
        <v>205.6</v>
      </c>
      <c r="O4231">
        <v>121</v>
      </c>
      <c r="P4231">
        <v>9.25</v>
      </c>
      <c r="Q4231">
        <v>6.8</v>
      </c>
      <c r="R4231">
        <v>3</v>
      </c>
      <c r="S4231">
        <v>1.84</v>
      </c>
      <c r="T4231">
        <v>1</v>
      </c>
      <c r="U4231" t="s">
        <v>22</v>
      </c>
      <c r="V4231" t="e">
        <f>IF(#REF! = "yes", 1, 0)</f>
        <v>#REF!</v>
      </c>
      <c r="W4231" t="e">
        <f>IF(#REF! &lt;= 1, "0-1 Calls", IF(#REF! &lt;= 3, "2-3 Calls", IF(#REF! &lt;=5, "4-5 Calls", "6+ Calls")))</f>
        <v>#REF!</v>
      </c>
      <c r="X4231" t="e">
        <f>IF(#REF! &lt;= 50, "0-50", IF(#REF! &lt;=100, "51-100", IF(#REF! &lt;= 150, "101-150", "151+")))</f>
        <v>#REF!</v>
      </c>
      <c r="Y4231" t="e">
        <f>IF(#REF! &lt;= 3, "Low Charges", "High Charges")</f>
        <v>#REF!</v>
      </c>
      <c r="Z4231" t="e">
        <f>IF(#REF!&lt;=80,"Low Calls",
IF(#REF!&lt;=120,"Medium Calls","High Calls"))</f>
        <v>#REF!</v>
      </c>
      <c r="AA4231" t="e">
        <f>IF(#REF!&lt;=15,"Low Charges",
IF(#REF!&lt;=20,"Medium Charges","High Charges"))</f>
        <v>#REF!</v>
      </c>
      <c r="AB4231" t="e">
        <f>IF(AND(#REF!&gt;180, #REF!&gt;200), "Heavy Doemstic User", IF(#REF!&gt;10, "Interntional User", IF(AND(#REF!&lt;180, #REF!&lt;200,#REF!&lt;200), "Light User", "Balanced User")))</f>
        <v>#REF!</v>
      </c>
      <c r="AC4231" t="e">
        <f>IF(#REF! = 0, "No Usage", IF(#REF! &lt;= 20, "Low Usage", IF(#REF! &lt;= 40, "Medium Usgae", "High Usage")))</f>
        <v>#REF!</v>
      </c>
      <c r="AD4231" t="e">
        <f>IF(#REF!&lt;=150,"Low Usage", IF(#REF!&lt;=200,"Medium Usage", IF(#REF!&lt;=250,"High Usage","Very High Usage")))</f>
        <v>#REF!</v>
      </c>
      <c r="AE4231" t="e">
        <f>IF(#REF!&lt;=5,"Low Calls", IF(#REF!&lt;=10, "Medium Calls", "High Calls"))</f>
        <v>#REF!</v>
      </c>
      <c r="AF4231" t="e">
        <f xml:space="preserve">
IF(#REF!&gt;=4,4,0)+
IF(#REF!="yes",3,0)+
IF(#REF!="High Charges",3,0)+
IF(#REF!&gt;250,4,0)+
IF(#REF!="no",1,0)+
IF(#REF!="Heavy Domestic User",2,0)</f>
        <v>#REF!</v>
      </c>
      <c r="AG4231" t="e">
        <f>IF(#REF!&gt;=10,"High Risk", IF(#REF!&gt;=5,"Medium Risk","Low Risk"))</f>
        <v>#REF!</v>
      </c>
      <c r="AH4231" t="e">
        <f>#REF! + #REF! + #REF! + #REF!</f>
        <v>#REF!</v>
      </c>
    </row>
    <row r="4232" spans="1:34" x14ac:dyDescent="0.35">
      <c r="A4232">
        <v>4231</v>
      </c>
      <c r="B4232" t="s">
        <v>65</v>
      </c>
      <c r="C4232">
        <v>145</v>
      </c>
      <c r="D4232" t="s">
        <v>25</v>
      </c>
      <c r="E4232" t="s">
        <v>22</v>
      </c>
      <c r="F4232" t="s">
        <v>22</v>
      </c>
      <c r="G4232">
        <v>0</v>
      </c>
      <c r="H4232">
        <v>135</v>
      </c>
      <c r="I4232">
        <v>122</v>
      </c>
      <c r="J4232">
        <v>22.95</v>
      </c>
      <c r="K4232">
        <v>206.3</v>
      </c>
      <c r="L4232">
        <v>88</v>
      </c>
      <c r="M4232">
        <v>17.54</v>
      </c>
      <c r="N4232">
        <v>210.4</v>
      </c>
      <c r="O4232">
        <v>90</v>
      </c>
      <c r="P4232">
        <v>9.4700000000000006</v>
      </c>
      <c r="Q4232">
        <v>19.7</v>
      </c>
      <c r="R4232">
        <v>4</v>
      </c>
      <c r="S4232">
        <v>5.32</v>
      </c>
      <c r="T4232">
        <v>0</v>
      </c>
      <c r="U4232" t="s">
        <v>22</v>
      </c>
      <c r="V4232" t="e">
        <f>IF(#REF! = "yes", 1, 0)</f>
        <v>#REF!</v>
      </c>
      <c r="W4232" t="e">
        <f>IF(#REF! &lt;= 1, "0-1 Calls", IF(#REF! &lt;= 3, "2-3 Calls", IF(#REF! &lt;=5, "4-5 Calls", "6+ Calls")))</f>
        <v>#REF!</v>
      </c>
      <c r="X4232" t="e">
        <f>IF(#REF! &lt;= 50, "0-50", IF(#REF! &lt;=100, "51-100", IF(#REF! &lt;= 150, "101-150", "151+")))</f>
        <v>#REF!</v>
      </c>
      <c r="Y4232" t="e">
        <f>IF(#REF! &lt;= 3, "Low Charges", "High Charges")</f>
        <v>#REF!</v>
      </c>
      <c r="Z4232" t="e">
        <f>IF(#REF!&lt;=80,"Low Calls",
IF(#REF!&lt;=120,"Medium Calls","High Calls"))</f>
        <v>#REF!</v>
      </c>
      <c r="AA4232" t="e">
        <f>IF(#REF!&lt;=15,"Low Charges",
IF(#REF!&lt;=20,"Medium Charges","High Charges"))</f>
        <v>#REF!</v>
      </c>
      <c r="AB4232" t="e">
        <f>IF(AND(#REF!&gt;180, #REF!&gt;200), "Heavy Doemstic User", IF(#REF!&gt;10, "Interntional User", IF(AND(#REF!&lt;180, #REF!&lt;200,#REF!&lt;200), "Light User", "Balanced User")))</f>
        <v>#REF!</v>
      </c>
      <c r="AC4232" t="e">
        <f>IF(#REF! = 0, "No Usage", IF(#REF! &lt;= 20, "Low Usage", IF(#REF! &lt;= 40, "Medium Usgae", "High Usage")))</f>
        <v>#REF!</v>
      </c>
      <c r="AD4232" t="e">
        <f>IF(#REF!&lt;=150,"Low Usage", IF(#REF!&lt;=200,"Medium Usage", IF(#REF!&lt;=250,"High Usage","Very High Usage")))</f>
        <v>#REF!</v>
      </c>
      <c r="AE4232" t="e">
        <f>IF(#REF!&lt;=5,"Low Calls", IF(#REF!&lt;=10, "Medium Calls", "High Calls"))</f>
        <v>#REF!</v>
      </c>
      <c r="AF4232" t="e">
        <f xml:space="preserve">
IF(#REF!&gt;=4,4,0)+
IF(#REF!="yes",3,0)+
IF(#REF!="High Charges",3,0)+
IF(#REF!&gt;250,4,0)+
IF(#REF!="no",1,0)+
IF(#REF!="Heavy Domestic User",2,0)</f>
        <v>#REF!</v>
      </c>
      <c r="AG4232" t="e">
        <f>IF(#REF!&gt;=10,"High Risk", IF(#REF!&gt;=5,"Medium Risk","Low Risk"))</f>
        <v>#REF!</v>
      </c>
      <c r="AH4232" t="e">
        <f>#REF! + #REF! + #REF! + #REF!</f>
        <v>#REF!</v>
      </c>
    </row>
    <row r="4233" spans="1:34" x14ac:dyDescent="0.35">
      <c r="A4233">
        <v>4232</v>
      </c>
      <c r="B4233" t="s">
        <v>45</v>
      </c>
      <c r="C4233">
        <v>53</v>
      </c>
      <c r="D4233" t="s">
        <v>28</v>
      </c>
      <c r="E4233" t="s">
        <v>23</v>
      </c>
      <c r="F4233" t="s">
        <v>22</v>
      </c>
      <c r="G4233">
        <v>0</v>
      </c>
      <c r="H4233">
        <v>145</v>
      </c>
      <c r="I4233">
        <v>80</v>
      </c>
      <c r="J4233">
        <v>24.65</v>
      </c>
      <c r="K4233">
        <v>228.4</v>
      </c>
      <c r="L4233">
        <v>82</v>
      </c>
      <c r="M4233">
        <v>19.41</v>
      </c>
      <c r="N4233">
        <v>169.4</v>
      </c>
      <c r="O4233">
        <v>109</v>
      </c>
      <c r="P4233">
        <v>7.62</v>
      </c>
      <c r="Q4233">
        <v>8.9</v>
      </c>
      <c r="R4233">
        <v>5</v>
      </c>
      <c r="S4233">
        <v>2.4</v>
      </c>
      <c r="T4233">
        <v>0</v>
      </c>
      <c r="U4233" t="s">
        <v>22</v>
      </c>
      <c r="V4233" t="e">
        <f>IF(#REF! = "yes", 1, 0)</f>
        <v>#REF!</v>
      </c>
      <c r="W4233" t="e">
        <f>IF(#REF! &lt;= 1, "0-1 Calls", IF(#REF! &lt;= 3, "2-3 Calls", IF(#REF! &lt;=5, "4-5 Calls", "6+ Calls")))</f>
        <v>#REF!</v>
      </c>
      <c r="X4233" t="e">
        <f>IF(#REF! &lt;= 50, "0-50", IF(#REF! &lt;=100, "51-100", IF(#REF! &lt;= 150, "101-150", "151+")))</f>
        <v>#REF!</v>
      </c>
      <c r="Y4233" t="e">
        <f>IF(#REF! &lt;= 3, "Low Charges", "High Charges")</f>
        <v>#REF!</v>
      </c>
      <c r="Z4233" t="e">
        <f>IF(#REF!&lt;=80,"Low Calls",
IF(#REF!&lt;=120,"Medium Calls","High Calls"))</f>
        <v>#REF!</v>
      </c>
      <c r="AA4233" t="e">
        <f>IF(#REF!&lt;=15,"Low Charges",
IF(#REF!&lt;=20,"Medium Charges","High Charges"))</f>
        <v>#REF!</v>
      </c>
      <c r="AB4233" t="e">
        <f>IF(AND(#REF!&gt;180, #REF!&gt;200), "Heavy Doemstic User", IF(#REF!&gt;10, "Interntional User", IF(AND(#REF!&lt;180, #REF!&lt;200,#REF!&lt;200), "Light User", "Balanced User")))</f>
        <v>#REF!</v>
      </c>
      <c r="AC4233" t="e">
        <f>IF(#REF! = 0, "No Usage", IF(#REF! &lt;= 20, "Low Usage", IF(#REF! &lt;= 40, "Medium Usgae", "High Usage")))</f>
        <v>#REF!</v>
      </c>
      <c r="AD4233" t="e">
        <f>IF(#REF!&lt;=150,"Low Usage", IF(#REF!&lt;=200,"Medium Usage", IF(#REF!&lt;=250,"High Usage","Very High Usage")))</f>
        <v>#REF!</v>
      </c>
      <c r="AE4233" t="e">
        <f>IF(#REF!&lt;=5,"Low Calls", IF(#REF!&lt;=10, "Medium Calls", "High Calls"))</f>
        <v>#REF!</v>
      </c>
      <c r="AF4233" t="e">
        <f xml:space="preserve">
IF(#REF!&gt;=4,4,0)+
IF(#REF!="yes",3,0)+
IF(#REF!="High Charges",3,0)+
IF(#REF!&gt;250,4,0)+
IF(#REF!="no",1,0)+
IF(#REF!="Heavy Domestic User",2,0)</f>
        <v>#REF!</v>
      </c>
      <c r="AG4233" t="e">
        <f>IF(#REF!&gt;=10,"High Risk", IF(#REF!&gt;=5,"Medium Risk","Low Risk"))</f>
        <v>#REF!</v>
      </c>
      <c r="AH4233" t="e">
        <f>#REF! + #REF! + #REF! + #REF!</f>
        <v>#REF!</v>
      </c>
    </row>
    <row r="4234" spans="1:34" x14ac:dyDescent="0.35">
      <c r="A4234">
        <v>4233</v>
      </c>
      <c r="B4234" t="s">
        <v>70</v>
      </c>
      <c r="C4234">
        <v>108</v>
      </c>
      <c r="D4234" t="s">
        <v>25</v>
      </c>
      <c r="E4234" t="s">
        <v>22</v>
      </c>
      <c r="F4234" t="s">
        <v>22</v>
      </c>
      <c r="G4234">
        <v>0</v>
      </c>
      <c r="H4234">
        <v>170.3</v>
      </c>
      <c r="I4234">
        <v>48</v>
      </c>
      <c r="J4234">
        <v>28.95</v>
      </c>
      <c r="K4234">
        <v>187.7</v>
      </c>
      <c r="L4234">
        <v>146</v>
      </c>
      <c r="M4234">
        <v>15.95</v>
      </c>
      <c r="N4234">
        <v>204</v>
      </c>
      <c r="O4234">
        <v>84</v>
      </c>
      <c r="P4234">
        <v>9.18</v>
      </c>
      <c r="Q4234">
        <v>16.100000000000001</v>
      </c>
      <c r="R4234">
        <v>4</v>
      </c>
      <c r="S4234">
        <v>4.3499999999999996</v>
      </c>
      <c r="T4234">
        <v>3</v>
      </c>
      <c r="U4234" t="s">
        <v>22</v>
      </c>
      <c r="V4234" t="e">
        <f>IF(#REF! = "yes", 1, 0)</f>
        <v>#REF!</v>
      </c>
      <c r="W4234" t="e">
        <f>IF(#REF! &lt;= 1, "0-1 Calls", IF(#REF! &lt;= 3, "2-3 Calls", IF(#REF! &lt;=5, "4-5 Calls", "6+ Calls")))</f>
        <v>#REF!</v>
      </c>
      <c r="X4234" t="e">
        <f>IF(#REF! &lt;= 50, "0-50", IF(#REF! &lt;=100, "51-100", IF(#REF! &lt;= 150, "101-150", "151+")))</f>
        <v>#REF!</v>
      </c>
      <c r="Y4234" t="e">
        <f>IF(#REF! &lt;= 3, "Low Charges", "High Charges")</f>
        <v>#REF!</v>
      </c>
      <c r="Z4234" t="e">
        <f>IF(#REF!&lt;=80,"Low Calls",
IF(#REF!&lt;=120,"Medium Calls","High Calls"))</f>
        <v>#REF!</v>
      </c>
      <c r="AA4234" t="e">
        <f>IF(#REF!&lt;=15,"Low Charges",
IF(#REF!&lt;=20,"Medium Charges","High Charges"))</f>
        <v>#REF!</v>
      </c>
      <c r="AB4234" t="e">
        <f>IF(AND(#REF!&gt;180, #REF!&gt;200), "Heavy Doemstic User", IF(#REF!&gt;10, "Interntional User", IF(AND(#REF!&lt;180, #REF!&lt;200,#REF!&lt;200), "Light User", "Balanced User")))</f>
        <v>#REF!</v>
      </c>
      <c r="AC4234" t="e">
        <f>IF(#REF! = 0, "No Usage", IF(#REF! &lt;= 20, "Low Usage", IF(#REF! &lt;= 40, "Medium Usgae", "High Usage")))</f>
        <v>#REF!</v>
      </c>
      <c r="AD4234" t="e">
        <f>IF(#REF!&lt;=150,"Low Usage", IF(#REF!&lt;=200,"Medium Usage", IF(#REF!&lt;=250,"High Usage","Very High Usage")))</f>
        <v>#REF!</v>
      </c>
      <c r="AE4234" t="e">
        <f>IF(#REF!&lt;=5,"Low Calls", IF(#REF!&lt;=10, "Medium Calls", "High Calls"))</f>
        <v>#REF!</v>
      </c>
      <c r="AF4234" t="e">
        <f xml:space="preserve">
IF(#REF!&gt;=4,4,0)+
IF(#REF!="yes",3,0)+
IF(#REF!="High Charges",3,0)+
IF(#REF!&gt;250,4,0)+
IF(#REF!="no",1,0)+
IF(#REF!="Heavy Domestic User",2,0)</f>
        <v>#REF!</v>
      </c>
      <c r="AG4234" t="e">
        <f>IF(#REF!&gt;=10,"High Risk", IF(#REF!&gt;=5,"Medium Risk","Low Risk"))</f>
        <v>#REF!</v>
      </c>
      <c r="AH4234" t="e">
        <f>#REF! + #REF! + #REF! + #REF!</f>
        <v>#REF!</v>
      </c>
    </row>
    <row r="4235" spans="1:34" x14ac:dyDescent="0.35">
      <c r="A4235">
        <v>4234</v>
      </c>
      <c r="B4235" t="s">
        <v>39</v>
      </c>
      <c r="C4235">
        <v>52</v>
      </c>
      <c r="D4235" t="s">
        <v>21</v>
      </c>
      <c r="E4235" t="s">
        <v>22</v>
      </c>
      <c r="F4235" t="s">
        <v>22</v>
      </c>
      <c r="G4235">
        <v>0</v>
      </c>
      <c r="H4235">
        <v>188.7</v>
      </c>
      <c r="I4235">
        <v>99</v>
      </c>
      <c r="J4235">
        <v>32.08</v>
      </c>
      <c r="K4235">
        <v>210.4</v>
      </c>
      <c r="L4235">
        <v>89</v>
      </c>
      <c r="M4235">
        <v>17.88</v>
      </c>
      <c r="N4235">
        <v>191.4</v>
      </c>
      <c r="O4235">
        <v>103</v>
      </c>
      <c r="P4235">
        <v>8.61</v>
      </c>
      <c r="Q4235">
        <v>10.8</v>
      </c>
      <c r="R4235">
        <v>2</v>
      </c>
      <c r="S4235">
        <v>2.92</v>
      </c>
      <c r="T4235">
        <v>1</v>
      </c>
      <c r="U4235" t="s">
        <v>22</v>
      </c>
      <c r="V4235" t="e">
        <f>IF(#REF! = "yes", 1, 0)</f>
        <v>#REF!</v>
      </c>
      <c r="W4235" t="e">
        <f>IF(#REF! &lt;= 1, "0-1 Calls", IF(#REF! &lt;= 3, "2-3 Calls", IF(#REF! &lt;=5, "4-5 Calls", "6+ Calls")))</f>
        <v>#REF!</v>
      </c>
      <c r="X4235" t="e">
        <f>IF(#REF! &lt;= 50, "0-50", IF(#REF! &lt;=100, "51-100", IF(#REF! &lt;= 150, "101-150", "151+")))</f>
        <v>#REF!</v>
      </c>
      <c r="Y4235" t="e">
        <f>IF(#REF! &lt;= 3, "Low Charges", "High Charges")</f>
        <v>#REF!</v>
      </c>
      <c r="Z4235" t="e">
        <f>IF(#REF!&lt;=80,"Low Calls",
IF(#REF!&lt;=120,"Medium Calls","High Calls"))</f>
        <v>#REF!</v>
      </c>
      <c r="AA4235" t="e">
        <f>IF(#REF!&lt;=15,"Low Charges",
IF(#REF!&lt;=20,"Medium Charges","High Charges"))</f>
        <v>#REF!</v>
      </c>
      <c r="AB4235" t="e">
        <f>IF(AND(#REF!&gt;180, #REF!&gt;200), "Heavy Doemstic User", IF(#REF!&gt;10, "Interntional User", IF(AND(#REF!&lt;180, #REF!&lt;200,#REF!&lt;200), "Light User", "Balanced User")))</f>
        <v>#REF!</v>
      </c>
      <c r="AC4235" t="e">
        <f>IF(#REF! = 0, "No Usage", IF(#REF! &lt;= 20, "Low Usage", IF(#REF! &lt;= 40, "Medium Usgae", "High Usage")))</f>
        <v>#REF!</v>
      </c>
      <c r="AD4235" t="e">
        <f>IF(#REF!&lt;=150,"Low Usage", IF(#REF!&lt;=200,"Medium Usage", IF(#REF!&lt;=250,"High Usage","Very High Usage")))</f>
        <v>#REF!</v>
      </c>
      <c r="AE4235" t="e">
        <f>IF(#REF!&lt;=5,"Low Calls", IF(#REF!&lt;=10, "Medium Calls", "High Calls"))</f>
        <v>#REF!</v>
      </c>
      <c r="AF4235" t="e">
        <f xml:space="preserve">
IF(#REF!&gt;=4,4,0)+
IF(#REF!="yes",3,0)+
IF(#REF!="High Charges",3,0)+
IF(#REF!&gt;250,4,0)+
IF(#REF!="no",1,0)+
IF(#REF!="Heavy Domestic User",2,0)</f>
        <v>#REF!</v>
      </c>
      <c r="AG4235" t="e">
        <f>IF(#REF!&gt;=10,"High Risk", IF(#REF!&gt;=5,"Medium Risk","Low Risk"))</f>
        <v>#REF!</v>
      </c>
      <c r="AH4235" t="e">
        <f>#REF! + #REF! + #REF! + #REF!</f>
        <v>#REF!</v>
      </c>
    </row>
    <row r="4236" spans="1:34" x14ac:dyDescent="0.35">
      <c r="A4236">
        <v>4235</v>
      </c>
      <c r="B4236" t="s">
        <v>58</v>
      </c>
      <c r="C4236">
        <v>61</v>
      </c>
      <c r="D4236" t="s">
        <v>28</v>
      </c>
      <c r="E4236" t="s">
        <v>22</v>
      </c>
      <c r="F4236" t="s">
        <v>22</v>
      </c>
      <c r="G4236">
        <v>0</v>
      </c>
      <c r="H4236">
        <v>7.2</v>
      </c>
      <c r="I4236">
        <v>97</v>
      </c>
      <c r="J4236">
        <v>1.22</v>
      </c>
      <c r="K4236">
        <v>221.8</v>
      </c>
      <c r="L4236">
        <v>78</v>
      </c>
      <c r="M4236">
        <v>18.850000000000001</v>
      </c>
      <c r="N4236">
        <v>174.5</v>
      </c>
      <c r="O4236">
        <v>94</v>
      </c>
      <c r="P4236">
        <v>7.85</v>
      </c>
      <c r="Q4236">
        <v>12</v>
      </c>
      <c r="R4236">
        <v>4</v>
      </c>
      <c r="S4236">
        <v>3.24</v>
      </c>
      <c r="T4236">
        <v>1</v>
      </c>
      <c r="U4236" t="s">
        <v>22</v>
      </c>
      <c r="V4236" t="e">
        <f>IF(#REF! = "yes", 1, 0)</f>
        <v>#REF!</v>
      </c>
      <c r="W4236" t="e">
        <f>IF(#REF! &lt;= 1, "0-1 Calls", IF(#REF! &lt;= 3, "2-3 Calls", IF(#REF! &lt;=5, "4-5 Calls", "6+ Calls")))</f>
        <v>#REF!</v>
      </c>
      <c r="X4236" t="e">
        <f>IF(#REF! &lt;= 50, "0-50", IF(#REF! &lt;=100, "51-100", IF(#REF! &lt;= 150, "101-150", "151+")))</f>
        <v>#REF!</v>
      </c>
      <c r="Y4236" t="e">
        <f>IF(#REF! &lt;= 3, "Low Charges", "High Charges")</f>
        <v>#REF!</v>
      </c>
      <c r="Z4236" t="e">
        <f>IF(#REF!&lt;=80,"Low Calls",
IF(#REF!&lt;=120,"Medium Calls","High Calls"))</f>
        <v>#REF!</v>
      </c>
      <c r="AA4236" t="e">
        <f>IF(#REF!&lt;=15,"Low Charges",
IF(#REF!&lt;=20,"Medium Charges","High Charges"))</f>
        <v>#REF!</v>
      </c>
      <c r="AB4236" t="e">
        <f>IF(AND(#REF!&gt;180, #REF!&gt;200), "Heavy Doemstic User", IF(#REF!&gt;10, "Interntional User", IF(AND(#REF!&lt;180, #REF!&lt;200,#REF!&lt;200), "Light User", "Balanced User")))</f>
        <v>#REF!</v>
      </c>
      <c r="AC4236" t="e">
        <f>IF(#REF! = 0, "No Usage", IF(#REF! &lt;= 20, "Low Usage", IF(#REF! &lt;= 40, "Medium Usgae", "High Usage")))</f>
        <v>#REF!</v>
      </c>
      <c r="AD4236" t="e">
        <f>IF(#REF!&lt;=150,"Low Usage", IF(#REF!&lt;=200,"Medium Usage", IF(#REF!&lt;=250,"High Usage","Very High Usage")))</f>
        <v>#REF!</v>
      </c>
      <c r="AE4236" t="e">
        <f>IF(#REF!&lt;=5,"Low Calls", IF(#REF!&lt;=10, "Medium Calls", "High Calls"))</f>
        <v>#REF!</v>
      </c>
      <c r="AF4236" t="e">
        <f xml:space="preserve">
IF(#REF!&gt;=4,4,0)+
IF(#REF!="yes",3,0)+
IF(#REF!="High Charges",3,0)+
IF(#REF!&gt;250,4,0)+
IF(#REF!="no",1,0)+
IF(#REF!="Heavy Domestic User",2,0)</f>
        <v>#REF!</v>
      </c>
      <c r="AG4236" t="e">
        <f>IF(#REF!&gt;=10,"High Risk", IF(#REF!&gt;=5,"Medium Risk","Low Risk"))</f>
        <v>#REF!</v>
      </c>
      <c r="AH4236" t="e">
        <f>#REF! + #REF! + #REF! + #REF!</f>
        <v>#REF!</v>
      </c>
    </row>
    <row r="4237" spans="1:34" x14ac:dyDescent="0.35">
      <c r="A4237">
        <v>4236</v>
      </c>
      <c r="B4237" t="s">
        <v>39</v>
      </c>
      <c r="C4237">
        <v>86</v>
      </c>
      <c r="D4237" t="s">
        <v>25</v>
      </c>
      <c r="E4237" t="s">
        <v>22</v>
      </c>
      <c r="F4237" t="s">
        <v>22</v>
      </c>
      <c r="G4237">
        <v>0</v>
      </c>
      <c r="H4237">
        <v>181.1</v>
      </c>
      <c r="I4237">
        <v>124</v>
      </c>
      <c r="J4237">
        <v>30.79</v>
      </c>
      <c r="K4237">
        <v>229.5</v>
      </c>
      <c r="L4237">
        <v>105</v>
      </c>
      <c r="M4237">
        <v>19.510000000000002</v>
      </c>
      <c r="N4237">
        <v>122.2</v>
      </c>
      <c r="O4237">
        <v>91</v>
      </c>
      <c r="P4237">
        <v>5.5</v>
      </c>
      <c r="Q4237">
        <v>5.6</v>
      </c>
      <c r="R4237">
        <v>6</v>
      </c>
      <c r="S4237">
        <v>1.51</v>
      </c>
      <c r="T4237">
        <v>5</v>
      </c>
      <c r="U4237" t="s">
        <v>22</v>
      </c>
      <c r="V4237" t="e">
        <f>IF(#REF! = "yes", 1, 0)</f>
        <v>#REF!</v>
      </c>
      <c r="W4237" t="e">
        <f>IF(#REF! &lt;= 1, "0-1 Calls", IF(#REF! &lt;= 3, "2-3 Calls", IF(#REF! &lt;=5, "4-5 Calls", "6+ Calls")))</f>
        <v>#REF!</v>
      </c>
      <c r="X4237" t="e">
        <f>IF(#REF! &lt;= 50, "0-50", IF(#REF! &lt;=100, "51-100", IF(#REF! &lt;= 150, "101-150", "151+")))</f>
        <v>#REF!</v>
      </c>
      <c r="Y4237" t="e">
        <f>IF(#REF! &lt;= 3, "Low Charges", "High Charges")</f>
        <v>#REF!</v>
      </c>
      <c r="Z4237" t="e">
        <f>IF(#REF!&lt;=80,"Low Calls",
IF(#REF!&lt;=120,"Medium Calls","High Calls"))</f>
        <v>#REF!</v>
      </c>
      <c r="AA4237" t="e">
        <f>IF(#REF!&lt;=15,"Low Charges",
IF(#REF!&lt;=20,"Medium Charges","High Charges"))</f>
        <v>#REF!</v>
      </c>
      <c r="AB4237" t="e">
        <f>IF(AND(#REF!&gt;180, #REF!&gt;200), "Heavy Doemstic User", IF(#REF!&gt;10, "Interntional User", IF(AND(#REF!&lt;180, #REF!&lt;200,#REF!&lt;200), "Light User", "Balanced User")))</f>
        <v>#REF!</v>
      </c>
      <c r="AC4237" t="e">
        <f>IF(#REF! = 0, "No Usage", IF(#REF! &lt;= 20, "Low Usage", IF(#REF! &lt;= 40, "Medium Usgae", "High Usage")))</f>
        <v>#REF!</v>
      </c>
      <c r="AD4237" t="e">
        <f>IF(#REF!&lt;=150,"Low Usage", IF(#REF!&lt;=200,"Medium Usage", IF(#REF!&lt;=250,"High Usage","Very High Usage")))</f>
        <v>#REF!</v>
      </c>
      <c r="AE4237" t="e">
        <f>IF(#REF!&lt;=5,"Low Calls", IF(#REF!&lt;=10, "Medium Calls", "High Calls"))</f>
        <v>#REF!</v>
      </c>
      <c r="AF4237" t="e">
        <f xml:space="preserve">
IF(#REF!&gt;=4,4,0)+
IF(#REF!="yes",3,0)+
IF(#REF!="High Charges",3,0)+
IF(#REF!&gt;250,4,0)+
IF(#REF!="no",1,0)+
IF(#REF!="Heavy Domestic User",2,0)</f>
        <v>#REF!</v>
      </c>
      <c r="AG4237" t="e">
        <f>IF(#REF!&gt;=10,"High Risk", IF(#REF!&gt;=5,"Medium Risk","Low Risk"))</f>
        <v>#REF!</v>
      </c>
      <c r="AH4237" t="e">
        <f>#REF! + #REF! + #REF! + #REF!</f>
        <v>#REF!</v>
      </c>
    </row>
    <row r="4238" spans="1:34" x14ac:dyDescent="0.35">
      <c r="A4238">
        <v>4237</v>
      </c>
      <c r="B4238" t="s">
        <v>30</v>
      </c>
      <c r="C4238">
        <v>137</v>
      </c>
      <c r="D4238" t="s">
        <v>25</v>
      </c>
      <c r="E4238" t="s">
        <v>22</v>
      </c>
      <c r="F4238" t="s">
        <v>22</v>
      </c>
      <c r="G4238">
        <v>0</v>
      </c>
      <c r="H4238">
        <v>151.80000000000001</v>
      </c>
      <c r="I4238">
        <v>90</v>
      </c>
      <c r="J4238">
        <v>25.81</v>
      </c>
      <c r="K4238">
        <v>229.6</v>
      </c>
      <c r="L4238">
        <v>68</v>
      </c>
      <c r="M4238">
        <v>19.52</v>
      </c>
      <c r="N4238">
        <v>171.8</v>
      </c>
      <c r="O4238">
        <v>122</v>
      </c>
      <c r="P4238">
        <v>7.73</v>
      </c>
      <c r="Q4238">
        <v>10.8</v>
      </c>
      <c r="R4238">
        <v>5</v>
      </c>
      <c r="S4238">
        <v>2.92</v>
      </c>
      <c r="T4238">
        <v>2</v>
      </c>
      <c r="U4238" t="s">
        <v>22</v>
      </c>
      <c r="V4238" t="e">
        <f>IF(#REF! = "yes", 1, 0)</f>
        <v>#REF!</v>
      </c>
      <c r="W4238" t="e">
        <f>IF(#REF! &lt;= 1, "0-1 Calls", IF(#REF! &lt;= 3, "2-3 Calls", IF(#REF! &lt;=5, "4-5 Calls", "6+ Calls")))</f>
        <v>#REF!</v>
      </c>
      <c r="X4238" t="e">
        <f>IF(#REF! &lt;= 50, "0-50", IF(#REF! &lt;=100, "51-100", IF(#REF! &lt;= 150, "101-150", "151+")))</f>
        <v>#REF!</v>
      </c>
      <c r="Y4238" t="e">
        <f>IF(#REF! &lt;= 3, "Low Charges", "High Charges")</f>
        <v>#REF!</v>
      </c>
      <c r="Z4238" t="e">
        <f>IF(#REF!&lt;=80,"Low Calls",
IF(#REF!&lt;=120,"Medium Calls","High Calls"))</f>
        <v>#REF!</v>
      </c>
      <c r="AA4238" t="e">
        <f>IF(#REF!&lt;=15,"Low Charges",
IF(#REF!&lt;=20,"Medium Charges","High Charges"))</f>
        <v>#REF!</v>
      </c>
      <c r="AB4238" t="e">
        <f>IF(AND(#REF!&gt;180, #REF!&gt;200), "Heavy Doemstic User", IF(#REF!&gt;10, "Interntional User", IF(AND(#REF!&lt;180, #REF!&lt;200,#REF!&lt;200), "Light User", "Balanced User")))</f>
        <v>#REF!</v>
      </c>
      <c r="AC4238" t="e">
        <f>IF(#REF! = 0, "No Usage", IF(#REF! &lt;= 20, "Low Usage", IF(#REF! &lt;= 40, "Medium Usgae", "High Usage")))</f>
        <v>#REF!</v>
      </c>
      <c r="AD4238" t="e">
        <f>IF(#REF!&lt;=150,"Low Usage", IF(#REF!&lt;=200,"Medium Usage", IF(#REF!&lt;=250,"High Usage","Very High Usage")))</f>
        <v>#REF!</v>
      </c>
      <c r="AE4238" t="e">
        <f>IF(#REF!&lt;=5,"Low Calls", IF(#REF!&lt;=10, "Medium Calls", "High Calls"))</f>
        <v>#REF!</v>
      </c>
      <c r="AF4238" t="e">
        <f xml:space="preserve">
IF(#REF!&gt;=4,4,0)+
IF(#REF!="yes",3,0)+
IF(#REF!="High Charges",3,0)+
IF(#REF!&gt;250,4,0)+
IF(#REF!="no",1,0)+
IF(#REF!="Heavy Domestic User",2,0)</f>
        <v>#REF!</v>
      </c>
      <c r="AG4238" t="e">
        <f>IF(#REF!&gt;=10,"High Risk", IF(#REF!&gt;=5,"Medium Risk","Low Risk"))</f>
        <v>#REF!</v>
      </c>
      <c r="AH4238" t="e">
        <f>#REF! + #REF! + #REF! + #REF!</f>
        <v>#REF!</v>
      </c>
    </row>
    <row r="4239" spans="1:34" x14ac:dyDescent="0.35">
      <c r="A4239">
        <v>4238</v>
      </c>
      <c r="B4239" t="s">
        <v>71</v>
      </c>
      <c r="C4239">
        <v>74</v>
      </c>
      <c r="D4239" t="s">
        <v>28</v>
      </c>
      <c r="E4239" t="s">
        <v>22</v>
      </c>
      <c r="F4239" t="s">
        <v>22</v>
      </c>
      <c r="G4239">
        <v>0</v>
      </c>
      <c r="H4239">
        <v>159.4</v>
      </c>
      <c r="I4239">
        <v>86</v>
      </c>
      <c r="J4239">
        <v>27.1</v>
      </c>
      <c r="K4239">
        <v>210</v>
      </c>
      <c r="L4239">
        <v>122</v>
      </c>
      <c r="M4239">
        <v>17.850000000000001</v>
      </c>
      <c r="N4239">
        <v>172.4</v>
      </c>
      <c r="O4239">
        <v>99</v>
      </c>
      <c r="P4239">
        <v>7.76</v>
      </c>
      <c r="Q4239">
        <v>8.5</v>
      </c>
      <c r="R4239">
        <v>2</v>
      </c>
      <c r="S4239">
        <v>2.2999999999999998</v>
      </c>
      <c r="T4239">
        <v>1</v>
      </c>
      <c r="U4239" t="s">
        <v>22</v>
      </c>
      <c r="V4239" t="e">
        <f>IF(#REF! = "yes", 1, 0)</f>
        <v>#REF!</v>
      </c>
      <c r="W4239" t="e">
        <f>IF(#REF! &lt;= 1, "0-1 Calls", IF(#REF! &lt;= 3, "2-3 Calls", IF(#REF! &lt;=5, "4-5 Calls", "6+ Calls")))</f>
        <v>#REF!</v>
      </c>
      <c r="X4239" t="e">
        <f>IF(#REF! &lt;= 50, "0-50", IF(#REF! &lt;=100, "51-100", IF(#REF! &lt;= 150, "101-150", "151+")))</f>
        <v>#REF!</v>
      </c>
      <c r="Y4239" t="e">
        <f>IF(#REF! &lt;= 3, "Low Charges", "High Charges")</f>
        <v>#REF!</v>
      </c>
      <c r="Z4239" t="e">
        <f>IF(#REF!&lt;=80,"Low Calls",
IF(#REF!&lt;=120,"Medium Calls","High Calls"))</f>
        <v>#REF!</v>
      </c>
      <c r="AA4239" t="e">
        <f>IF(#REF!&lt;=15,"Low Charges",
IF(#REF!&lt;=20,"Medium Charges","High Charges"))</f>
        <v>#REF!</v>
      </c>
      <c r="AB4239" t="e">
        <f>IF(AND(#REF!&gt;180, #REF!&gt;200), "Heavy Doemstic User", IF(#REF!&gt;10, "Interntional User", IF(AND(#REF!&lt;180, #REF!&lt;200,#REF!&lt;200), "Light User", "Balanced User")))</f>
        <v>#REF!</v>
      </c>
      <c r="AC4239" t="e">
        <f>IF(#REF! = 0, "No Usage", IF(#REF! &lt;= 20, "Low Usage", IF(#REF! &lt;= 40, "Medium Usgae", "High Usage")))</f>
        <v>#REF!</v>
      </c>
      <c r="AD4239" t="e">
        <f>IF(#REF!&lt;=150,"Low Usage", IF(#REF!&lt;=200,"Medium Usage", IF(#REF!&lt;=250,"High Usage","Very High Usage")))</f>
        <v>#REF!</v>
      </c>
      <c r="AE4239" t="e">
        <f>IF(#REF!&lt;=5,"Low Calls", IF(#REF!&lt;=10, "Medium Calls", "High Calls"))</f>
        <v>#REF!</v>
      </c>
      <c r="AF4239" t="e">
        <f xml:space="preserve">
IF(#REF!&gt;=4,4,0)+
IF(#REF!="yes",3,0)+
IF(#REF!="High Charges",3,0)+
IF(#REF!&gt;250,4,0)+
IF(#REF!="no",1,0)+
IF(#REF!="Heavy Domestic User",2,0)</f>
        <v>#REF!</v>
      </c>
      <c r="AG4239" t="e">
        <f>IF(#REF!&gt;=10,"High Risk", IF(#REF!&gt;=5,"Medium Risk","Low Risk"))</f>
        <v>#REF!</v>
      </c>
      <c r="AH4239" t="e">
        <f>#REF! + #REF! + #REF! + #REF!</f>
        <v>#REF!</v>
      </c>
    </row>
    <row r="4240" spans="1:34" x14ac:dyDescent="0.35">
      <c r="A4240">
        <v>4239</v>
      </c>
      <c r="B4240" t="s">
        <v>58</v>
      </c>
      <c r="C4240">
        <v>118</v>
      </c>
      <c r="D4240" t="s">
        <v>28</v>
      </c>
      <c r="E4240" t="s">
        <v>22</v>
      </c>
      <c r="F4240" t="s">
        <v>23</v>
      </c>
      <c r="G4240">
        <v>31</v>
      </c>
      <c r="H4240">
        <v>226.6</v>
      </c>
      <c r="I4240">
        <v>99</v>
      </c>
      <c r="J4240">
        <v>38.520000000000003</v>
      </c>
      <c r="K4240">
        <v>164.9</v>
      </c>
      <c r="L4240">
        <v>136</v>
      </c>
      <c r="M4240">
        <v>14.02</v>
      </c>
      <c r="N4240">
        <v>189.3</v>
      </c>
      <c r="O4240">
        <v>120</v>
      </c>
      <c r="P4240">
        <v>8.52</v>
      </c>
      <c r="Q4240">
        <v>10.199999999999999</v>
      </c>
      <c r="R4240">
        <v>5</v>
      </c>
      <c r="S4240">
        <v>2.75</v>
      </c>
      <c r="T4240">
        <v>3</v>
      </c>
      <c r="U4240" t="s">
        <v>22</v>
      </c>
      <c r="V4240" t="e">
        <f>IF(#REF! = "yes", 1, 0)</f>
        <v>#REF!</v>
      </c>
      <c r="W4240" t="e">
        <f>IF(#REF! &lt;= 1, "0-1 Calls", IF(#REF! &lt;= 3, "2-3 Calls", IF(#REF! &lt;=5, "4-5 Calls", "6+ Calls")))</f>
        <v>#REF!</v>
      </c>
      <c r="X4240" t="e">
        <f>IF(#REF! &lt;= 50, "0-50", IF(#REF! &lt;=100, "51-100", IF(#REF! &lt;= 150, "101-150", "151+")))</f>
        <v>#REF!</v>
      </c>
      <c r="Y4240" t="e">
        <f>IF(#REF! &lt;= 3, "Low Charges", "High Charges")</f>
        <v>#REF!</v>
      </c>
      <c r="Z4240" t="e">
        <f>IF(#REF!&lt;=80,"Low Calls",
IF(#REF!&lt;=120,"Medium Calls","High Calls"))</f>
        <v>#REF!</v>
      </c>
      <c r="AA4240" t="e">
        <f>IF(#REF!&lt;=15,"Low Charges",
IF(#REF!&lt;=20,"Medium Charges","High Charges"))</f>
        <v>#REF!</v>
      </c>
      <c r="AB4240" t="e">
        <f>IF(AND(#REF!&gt;180, #REF!&gt;200), "Heavy Doemstic User", IF(#REF!&gt;10, "Interntional User", IF(AND(#REF!&lt;180, #REF!&lt;200,#REF!&lt;200), "Light User", "Balanced User")))</f>
        <v>#REF!</v>
      </c>
      <c r="AC4240" t="e">
        <f>IF(#REF! = 0, "No Usage", IF(#REF! &lt;= 20, "Low Usage", IF(#REF! &lt;= 40, "Medium Usgae", "High Usage")))</f>
        <v>#REF!</v>
      </c>
      <c r="AD4240" t="e">
        <f>IF(#REF!&lt;=150,"Low Usage", IF(#REF!&lt;=200,"Medium Usage", IF(#REF!&lt;=250,"High Usage","Very High Usage")))</f>
        <v>#REF!</v>
      </c>
      <c r="AE4240" t="e">
        <f>IF(#REF!&lt;=5,"Low Calls", IF(#REF!&lt;=10, "Medium Calls", "High Calls"))</f>
        <v>#REF!</v>
      </c>
      <c r="AF4240" t="e">
        <f xml:space="preserve">
IF(#REF!&gt;=4,4,0)+
IF(#REF!="yes",3,0)+
IF(#REF!="High Charges",3,0)+
IF(#REF!&gt;250,4,0)+
IF(#REF!="no",1,0)+
IF(#REF!="Heavy Domestic User",2,0)</f>
        <v>#REF!</v>
      </c>
      <c r="AG4240" t="e">
        <f>IF(#REF!&gt;=10,"High Risk", IF(#REF!&gt;=5,"Medium Risk","Low Risk"))</f>
        <v>#REF!</v>
      </c>
      <c r="AH4240" t="e">
        <f>#REF! + #REF! + #REF! + #REF!</f>
        <v>#REF!</v>
      </c>
    </row>
    <row r="4241" spans="1:34" x14ac:dyDescent="0.35">
      <c r="A4241">
        <v>4240</v>
      </c>
      <c r="B4241" t="s">
        <v>20</v>
      </c>
      <c r="C4241">
        <v>125</v>
      </c>
      <c r="D4241" t="s">
        <v>21</v>
      </c>
      <c r="E4241" t="s">
        <v>22</v>
      </c>
      <c r="F4241" t="s">
        <v>22</v>
      </c>
      <c r="G4241">
        <v>0</v>
      </c>
      <c r="H4241">
        <v>214.7</v>
      </c>
      <c r="I4241">
        <v>115</v>
      </c>
      <c r="J4241">
        <v>36.5</v>
      </c>
      <c r="K4241">
        <v>260.60000000000002</v>
      </c>
      <c r="L4241">
        <v>94</v>
      </c>
      <c r="M4241">
        <v>22.15</v>
      </c>
      <c r="N4241">
        <v>266.3</v>
      </c>
      <c r="O4241">
        <v>123</v>
      </c>
      <c r="P4241">
        <v>11.98</v>
      </c>
      <c r="Q4241">
        <v>7.4</v>
      </c>
      <c r="R4241">
        <v>6</v>
      </c>
      <c r="S4241">
        <v>2</v>
      </c>
      <c r="T4241">
        <v>3</v>
      </c>
      <c r="U4241" t="s">
        <v>22</v>
      </c>
      <c r="V4241" t="e">
        <f>IF(#REF! = "yes", 1, 0)</f>
        <v>#REF!</v>
      </c>
      <c r="W4241" t="e">
        <f>IF(#REF! &lt;= 1, "0-1 Calls", IF(#REF! &lt;= 3, "2-3 Calls", IF(#REF! &lt;=5, "4-5 Calls", "6+ Calls")))</f>
        <v>#REF!</v>
      </c>
      <c r="X4241" t="e">
        <f>IF(#REF! &lt;= 50, "0-50", IF(#REF! &lt;=100, "51-100", IF(#REF! &lt;= 150, "101-150", "151+")))</f>
        <v>#REF!</v>
      </c>
      <c r="Y4241" t="e">
        <f>IF(#REF! &lt;= 3, "Low Charges", "High Charges")</f>
        <v>#REF!</v>
      </c>
      <c r="Z4241" t="e">
        <f>IF(#REF!&lt;=80,"Low Calls",
IF(#REF!&lt;=120,"Medium Calls","High Calls"))</f>
        <v>#REF!</v>
      </c>
      <c r="AA4241" t="e">
        <f>IF(#REF!&lt;=15,"Low Charges",
IF(#REF!&lt;=20,"Medium Charges","High Charges"))</f>
        <v>#REF!</v>
      </c>
      <c r="AB4241" t="e">
        <f>IF(AND(#REF!&gt;180, #REF!&gt;200), "Heavy Doemstic User", IF(#REF!&gt;10, "Interntional User", IF(AND(#REF!&lt;180, #REF!&lt;200,#REF!&lt;200), "Light User", "Balanced User")))</f>
        <v>#REF!</v>
      </c>
      <c r="AC4241" t="e">
        <f>IF(#REF! = 0, "No Usage", IF(#REF! &lt;= 20, "Low Usage", IF(#REF! &lt;= 40, "Medium Usgae", "High Usage")))</f>
        <v>#REF!</v>
      </c>
      <c r="AD4241" t="e">
        <f>IF(#REF!&lt;=150,"Low Usage", IF(#REF!&lt;=200,"Medium Usage", IF(#REF!&lt;=250,"High Usage","Very High Usage")))</f>
        <v>#REF!</v>
      </c>
      <c r="AE4241" t="e">
        <f>IF(#REF!&lt;=5,"Low Calls", IF(#REF!&lt;=10, "Medium Calls", "High Calls"))</f>
        <v>#REF!</v>
      </c>
      <c r="AF4241" t="e">
        <f xml:space="preserve">
IF(#REF!&gt;=4,4,0)+
IF(#REF!="yes",3,0)+
IF(#REF!="High Charges",3,0)+
IF(#REF!&gt;250,4,0)+
IF(#REF!="no",1,0)+
IF(#REF!="Heavy Domestic User",2,0)</f>
        <v>#REF!</v>
      </c>
      <c r="AG4241" t="e">
        <f>IF(#REF!&gt;=10,"High Risk", IF(#REF!&gt;=5,"Medium Risk","Low Risk"))</f>
        <v>#REF!</v>
      </c>
      <c r="AH4241" t="e">
        <f>#REF! + #REF! + #REF! + #REF!</f>
        <v>#REF!</v>
      </c>
    </row>
    <row r="4242" spans="1:34" x14ac:dyDescent="0.35">
      <c r="A4242">
        <v>4241</v>
      </c>
      <c r="B4242" t="s">
        <v>50</v>
      </c>
      <c r="C4242">
        <v>127</v>
      </c>
      <c r="D4242" t="s">
        <v>21</v>
      </c>
      <c r="E4242" t="s">
        <v>22</v>
      </c>
      <c r="F4242" t="s">
        <v>23</v>
      </c>
      <c r="G4242">
        <v>27</v>
      </c>
      <c r="H4242">
        <v>157.6</v>
      </c>
      <c r="I4242">
        <v>107</v>
      </c>
      <c r="J4242">
        <v>26.79</v>
      </c>
      <c r="K4242">
        <v>280.60000000000002</v>
      </c>
      <c r="L4242">
        <v>49</v>
      </c>
      <c r="M4242">
        <v>23.85</v>
      </c>
      <c r="N4242">
        <v>75.099999999999994</v>
      </c>
      <c r="O4242">
        <v>77</v>
      </c>
      <c r="P4242">
        <v>3.38</v>
      </c>
      <c r="Q4242">
        <v>8</v>
      </c>
      <c r="R4242">
        <v>4</v>
      </c>
      <c r="S4242">
        <v>2.16</v>
      </c>
      <c r="T4242">
        <v>1</v>
      </c>
      <c r="U4242" t="s">
        <v>22</v>
      </c>
      <c r="V4242" t="e">
        <f>IF(#REF! = "yes", 1, 0)</f>
        <v>#REF!</v>
      </c>
      <c r="W4242" t="e">
        <f>IF(#REF! &lt;= 1, "0-1 Calls", IF(#REF! &lt;= 3, "2-3 Calls", IF(#REF! &lt;=5, "4-5 Calls", "6+ Calls")))</f>
        <v>#REF!</v>
      </c>
      <c r="X4242" t="e">
        <f>IF(#REF! &lt;= 50, "0-50", IF(#REF! &lt;=100, "51-100", IF(#REF! &lt;= 150, "101-150", "151+")))</f>
        <v>#REF!</v>
      </c>
      <c r="Y4242" t="e">
        <f>IF(#REF! &lt;= 3, "Low Charges", "High Charges")</f>
        <v>#REF!</v>
      </c>
      <c r="Z4242" t="e">
        <f>IF(#REF!&lt;=80,"Low Calls",
IF(#REF!&lt;=120,"Medium Calls","High Calls"))</f>
        <v>#REF!</v>
      </c>
      <c r="AA4242" t="e">
        <f>IF(#REF!&lt;=15,"Low Charges",
IF(#REF!&lt;=20,"Medium Charges","High Charges"))</f>
        <v>#REF!</v>
      </c>
      <c r="AB4242" t="e">
        <f>IF(AND(#REF!&gt;180, #REF!&gt;200), "Heavy Doemstic User", IF(#REF!&gt;10, "Interntional User", IF(AND(#REF!&lt;180, #REF!&lt;200,#REF!&lt;200), "Light User", "Balanced User")))</f>
        <v>#REF!</v>
      </c>
      <c r="AC4242" t="e">
        <f>IF(#REF! = 0, "No Usage", IF(#REF! &lt;= 20, "Low Usage", IF(#REF! &lt;= 40, "Medium Usgae", "High Usage")))</f>
        <v>#REF!</v>
      </c>
      <c r="AD4242" t="e">
        <f>IF(#REF!&lt;=150,"Low Usage", IF(#REF!&lt;=200,"Medium Usage", IF(#REF!&lt;=250,"High Usage","Very High Usage")))</f>
        <v>#REF!</v>
      </c>
      <c r="AE4242" t="e">
        <f>IF(#REF!&lt;=5,"Low Calls", IF(#REF!&lt;=10, "Medium Calls", "High Calls"))</f>
        <v>#REF!</v>
      </c>
      <c r="AF4242" t="e">
        <f xml:space="preserve">
IF(#REF!&gt;=4,4,0)+
IF(#REF!="yes",3,0)+
IF(#REF!="High Charges",3,0)+
IF(#REF!&gt;250,4,0)+
IF(#REF!="no",1,0)+
IF(#REF!="Heavy Domestic User",2,0)</f>
        <v>#REF!</v>
      </c>
      <c r="AG4242" t="e">
        <f>IF(#REF!&gt;=10,"High Risk", IF(#REF!&gt;=5,"Medium Risk","Low Risk"))</f>
        <v>#REF!</v>
      </c>
      <c r="AH4242" t="e">
        <f>#REF! + #REF! + #REF! + #REF!</f>
        <v>#REF!</v>
      </c>
    </row>
    <row r="4243" spans="1:34" x14ac:dyDescent="0.35">
      <c r="A4243">
        <v>4242</v>
      </c>
      <c r="B4243" t="s">
        <v>59</v>
      </c>
      <c r="C4243">
        <v>80</v>
      </c>
      <c r="D4243" t="s">
        <v>28</v>
      </c>
      <c r="E4243" t="s">
        <v>22</v>
      </c>
      <c r="F4243" t="s">
        <v>22</v>
      </c>
      <c r="G4243">
        <v>0</v>
      </c>
      <c r="H4243">
        <v>157</v>
      </c>
      <c r="I4243">
        <v>101</v>
      </c>
      <c r="J4243">
        <v>26.69</v>
      </c>
      <c r="K4243">
        <v>208.8</v>
      </c>
      <c r="L4243">
        <v>127</v>
      </c>
      <c r="M4243">
        <v>17.75</v>
      </c>
      <c r="N4243">
        <v>113.3</v>
      </c>
      <c r="O4243">
        <v>109</v>
      </c>
      <c r="P4243">
        <v>5.0999999999999996</v>
      </c>
      <c r="Q4243">
        <v>16.2</v>
      </c>
      <c r="R4243">
        <v>2</v>
      </c>
      <c r="S4243">
        <v>4.37</v>
      </c>
      <c r="T4243">
        <v>2</v>
      </c>
      <c r="U4243" t="s">
        <v>22</v>
      </c>
      <c r="V4243" t="e">
        <f>IF(#REF! = "yes", 1, 0)</f>
        <v>#REF!</v>
      </c>
      <c r="W4243" t="e">
        <f>IF(#REF! &lt;= 1, "0-1 Calls", IF(#REF! &lt;= 3, "2-3 Calls", IF(#REF! &lt;=5, "4-5 Calls", "6+ Calls")))</f>
        <v>#REF!</v>
      </c>
      <c r="X4243" t="e">
        <f>IF(#REF! &lt;= 50, "0-50", IF(#REF! &lt;=100, "51-100", IF(#REF! &lt;= 150, "101-150", "151+")))</f>
        <v>#REF!</v>
      </c>
      <c r="Y4243" t="e">
        <f>IF(#REF! &lt;= 3, "Low Charges", "High Charges")</f>
        <v>#REF!</v>
      </c>
      <c r="Z4243" t="e">
        <f>IF(#REF!&lt;=80,"Low Calls",
IF(#REF!&lt;=120,"Medium Calls","High Calls"))</f>
        <v>#REF!</v>
      </c>
      <c r="AA4243" t="e">
        <f>IF(#REF!&lt;=15,"Low Charges",
IF(#REF!&lt;=20,"Medium Charges","High Charges"))</f>
        <v>#REF!</v>
      </c>
      <c r="AB4243" t="e">
        <f>IF(AND(#REF!&gt;180, #REF!&gt;200), "Heavy Doemstic User", IF(#REF!&gt;10, "Interntional User", IF(AND(#REF!&lt;180, #REF!&lt;200,#REF!&lt;200), "Light User", "Balanced User")))</f>
        <v>#REF!</v>
      </c>
      <c r="AC4243" t="e">
        <f>IF(#REF! = 0, "No Usage", IF(#REF! &lt;= 20, "Low Usage", IF(#REF! &lt;= 40, "Medium Usgae", "High Usage")))</f>
        <v>#REF!</v>
      </c>
      <c r="AD4243" t="e">
        <f>IF(#REF!&lt;=150,"Low Usage", IF(#REF!&lt;=200,"Medium Usage", IF(#REF!&lt;=250,"High Usage","Very High Usage")))</f>
        <v>#REF!</v>
      </c>
      <c r="AE4243" t="e">
        <f>IF(#REF!&lt;=5,"Low Calls", IF(#REF!&lt;=10, "Medium Calls", "High Calls"))</f>
        <v>#REF!</v>
      </c>
      <c r="AF4243" t="e">
        <f xml:space="preserve">
IF(#REF!&gt;=4,4,0)+
IF(#REF!="yes",3,0)+
IF(#REF!="High Charges",3,0)+
IF(#REF!&gt;250,4,0)+
IF(#REF!="no",1,0)+
IF(#REF!="Heavy Domestic User",2,0)</f>
        <v>#REF!</v>
      </c>
      <c r="AG4243" t="e">
        <f>IF(#REF!&gt;=10,"High Risk", IF(#REF!&gt;=5,"Medium Risk","Low Risk"))</f>
        <v>#REF!</v>
      </c>
      <c r="AH4243" t="e">
        <f>#REF! + #REF! + #REF! + #REF!</f>
        <v>#REF!</v>
      </c>
    </row>
    <row r="4244" spans="1:34" x14ac:dyDescent="0.35">
      <c r="A4244">
        <v>4243</v>
      </c>
      <c r="B4244" t="s">
        <v>60</v>
      </c>
      <c r="C4244">
        <v>150</v>
      </c>
      <c r="D4244" t="s">
        <v>25</v>
      </c>
      <c r="E4244" t="s">
        <v>22</v>
      </c>
      <c r="F4244" t="s">
        <v>22</v>
      </c>
      <c r="G4244">
        <v>0</v>
      </c>
      <c r="H4244">
        <v>170</v>
      </c>
      <c r="I4244">
        <v>115</v>
      </c>
      <c r="J4244">
        <v>28.9</v>
      </c>
      <c r="K4244">
        <v>162.69999999999999</v>
      </c>
      <c r="L4244">
        <v>138</v>
      </c>
      <c r="M4244">
        <v>13.83</v>
      </c>
      <c r="N4244">
        <v>267.2</v>
      </c>
      <c r="O4244">
        <v>77</v>
      </c>
      <c r="P4244">
        <v>12.02</v>
      </c>
      <c r="Q4244">
        <v>8.3000000000000007</v>
      </c>
      <c r="R4244">
        <v>2</v>
      </c>
      <c r="S4244">
        <v>2.2400000000000002</v>
      </c>
      <c r="T4244">
        <v>0</v>
      </c>
      <c r="U4244" t="s">
        <v>22</v>
      </c>
      <c r="V4244" t="e">
        <f>IF(#REF! = "yes", 1, 0)</f>
        <v>#REF!</v>
      </c>
      <c r="W4244" t="e">
        <f>IF(#REF! &lt;= 1, "0-1 Calls", IF(#REF! &lt;= 3, "2-3 Calls", IF(#REF! &lt;=5, "4-5 Calls", "6+ Calls")))</f>
        <v>#REF!</v>
      </c>
      <c r="X4244" t="e">
        <f>IF(#REF! &lt;= 50, "0-50", IF(#REF! &lt;=100, "51-100", IF(#REF! &lt;= 150, "101-150", "151+")))</f>
        <v>#REF!</v>
      </c>
      <c r="Y4244" t="e">
        <f>IF(#REF! &lt;= 3, "Low Charges", "High Charges")</f>
        <v>#REF!</v>
      </c>
      <c r="Z4244" t="e">
        <f>IF(#REF!&lt;=80,"Low Calls",
IF(#REF!&lt;=120,"Medium Calls","High Calls"))</f>
        <v>#REF!</v>
      </c>
      <c r="AA4244" t="e">
        <f>IF(#REF!&lt;=15,"Low Charges",
IF(#REF!&lt;=20,"Medium Charges","High Charges"))</f>
        <v>#REF!</v>
      </c>
      <c r="AB4244" t="e">
        <f>IF(AND(#REF!&gt;180, #REF!&gt;200), "Heavy Doemstic User", IF(#REF!&gt;10, "Interntional User", IF(AND(#REF!&lt;180, #REF!&lt;200,#REF!&lt;200), "Light User", "Balanced User")))</f>
        <v>#REF!</v>
      </c>
      <c r="AC4244" t="e">
        <f>IF(#REF! = 0, "No Usage", IF(#REF! &lt;= 20, "Low Usage", IF(#REF! &lt;= 40, "Medium Usgae", "High Usage")))</f>
        <v>#REF!</v>
      </c>
      <c r="AD4244" t="e">
        <f>IF(#REF!&lt;=150,"Low Usage", IF(#REF!&lt;=200,"Medium Usage", IF(#REF!&lt;=250,"High Usage","Very High Usage")))</f>
        <v>#REF!</v>
      </c>
      <c r="AE4244" t="e">
        <f>IF(#REF!&lt;=5,"Low Calls", IF(#REF!&lt;=10, "Medium Calls", "High Calls"))</f>
        <v>#REF!</v>
      </c>
      <c r="AF4244" t="e">
        <f xml:space="preserve">
IF(#REF!&gt;=4,4,0)+
IF(#REF!="yes",3,0)+
IF(#REF!="High Charges",3,0)+
IF(#REF!&gt;250,4,0)+
IF(#REF!="no",1,0)+
IF(#REF!="Heavy Domestic User",2,0)</f>
        <v>#REF!</v>
      </c>
      <c r="AG4244" t="e">
        <f>IF(#REF!&gt;=10,"High Risk", IF(#REF!&gt;=5,"Medium Risk","Low Risk"))</f>
        <v>#REF!</v>
      </c>
      <c r="AH4244" t="e">
        <f>#REF! + #REF! + #REF! + #REF!</f>
        <v>#REF!</v>
      </c>
    </row>
    <row r="4245" spans="1:34" x14ac:dyDescent="0.35">
      <c r="A4245">
        <v>4244</v>
      </c>
      <c r="B4245" t="s">
        <v>75</v>
      </c>
      <c r="C4245">
        <v>140</v>
      </c>
      <c r="D4245" t="s">
        <v>28</v>
      </c>
      <c r="E4245" t="s">
        <v>22</v>
      </c>
      <c r="F4245" t="s">
        <v>22</v>
      </c>
      <c r="G4245">
        <v>0</v>
      </c>
      <c r="H4245">
        <v>244.7</v>
      </c>
      <c r="I4245">
        <v>115</v>
      </c>
      <c r="J4245">
        <v>41.6</v>
      </c>
      <c r="K4245">
        <v>258.60000000000002</v>
      </c>
      <c r="L4245">
        <v>101</v>
      </c>
      <c r="M4245">
        <v>21.98</v>
      </c>
      <c r="N4245">
        <v>231.3</v>
      </c>
      <c r="O4245">
        <v>112</v>
      </c>
      <c r="P4245">
        <v>10.41</v>
      </c>
      <c r="Q4245">
        <v>7.5</v>
      </c>
      <c r="R4245">
        <v>6</v>
      </c>
      <c r="S4245">
        <v>2.0299999999999998</v>
      </c>
      <c r="T4245">
        <v>1</v>
      </c>
      <c r="U4245" t="s">
        <v>23</v>
      </c>
      <c r="V4245" t="e">
        <f>IF(#REF! = "yes", 1, 0)</f>
        <v>#REF!</v>
      </c>
      <c r="W4245" t="e">
        <f>IF(#REF! &lt;= 1, "0-1 Calls", IF(#REF! &lt;= 3, "2-3 Calls", IF(#REF! &lt;=5, "4-5 Calls", "6+ Calls")))</f>
        <v>#REF!</v>
      </c>
      <c r="X4245" t="e">
        <f>IF(#REF! &lt;= 50, "0-50", IF(#REF! &lt;=100, "51-100", IF(#REF! &lt;= 150, "101-150", "151+")))</f>
        <v>#REF!</v>
      </c>
      <c r="Y4245" t="e">
        <f>IF(#REF! &lt;= 3, "Low Charges", "High Charges")</f>
        <v>#REF!</v>
      </c>
      <c r="Z4245" t="e">
        <f>IF(#REF!&lt;=80,"Low Calls",
IF(#REF!&lt;=120,"Medium Calls","High Calls"))</f>
        <v>#REF!</v>
      </c>
      <c r="AA4245" t="e">
        <f>IF(#REF!&lt;=15,"Low Charges",
IF(#REF!&lt;=20,"Medium Charges","High Charges"))</f>
        <v>#REF!</v>
      </c>
      <c r="AB4245" t="e">
        <f>IF(AND(#REF!&gt;180, #REF!&gt;200), "Heavy Doemstic User", IF(#REF!&gt;10, "Interntional User", IF(AND(#REF!&lt;180, #REF!&lt;200,#REF!&lt;200), "Light User", "Balanced User")))</f>
        <v>#REF!</v>
      </c>
      <c r="AC4245" t="e">
        <f>IF(#REF! = 0, "No Usage", IF(#REF! &lt;= 20, "Low Usage", IF(#REF! &lt;= 40, "Medium Usgae", "High Usage")))</f>
        <v>#REF!</v>
      </c>
      <c r="AD4245" t="e">
        <f>IF(#REF!&lt;=150,"Low Usage", IF(#REF!&lt;=200,"Medium Usage", IF(#REF!&lt;=250,"High Usage","Very High Usage")))</f>
        <v>#REF!</v>
      </c>
      <c r="AE4245" t="e">
        <f>IF(#REF!&lt;=5,"Low Calls", IF(#REF!&lt;=10, "Medium Calls", "High Calls"))</f>
        <v>#REF!</v>
      </c>
      <c r="AF4245" t="e">
        <f xml:space="preserve">
IF(#REF!&gt;=4,4,0)+
IF(#REF!="yes",3,0)+
IF(#REF!="High Charges",3,0)+
IF(#REF!&gt;250,4,0)+
IF(#REF!="no",1,0)+
IF(#REF!="Heavy Domestic User",2,0)</f>
        <v>#REF!</v>
      </c>
      <c r="AG4245" t="e">
        <f>IF(#REF!&gt;=10,"High Risk", IF(#REF!&gt;=5,"Medium Risk","Low Risk"))</f>
        <v>#REF!</v>
      </c>
      <c r="AH4245" t="e">
        <f>#REF! + #REF! + #REF! + #REF!</f>
        <v>#REF!</v>
      </c>
    </row>
    <row r="4246" spans="1:34" x14ac:dyDescent="0.35">
      <c r="A4246">
        <v>4245</v>
      </c>
      <c r="B4246" t="s">
        <v>42</v>
      </c>
      <c r="C4246">
        <v>97</v>
      </c>
      <c r="D4246" t="s">
        <v>28</v>
      </c>
      <c r="E4246" t="s">
        <v>22</v>
      </c>
      <c r="F4246" t="s">
        <v>22</v>
      </c>
      <c r="G4246">
        <v>0</v>
      </c>
      <c r="H4246">
        <v>252.6</v>
      </c>
      <c r="I4246">
        <v>89</v>
      </c>
      <c r="J4246">
        <v>42.94</v>
      </c>
      <c r="K4246">
        <v>340.3</v>
      </c>
      <c r="L4246">
        <v>91</v>
      </c>
      <c r="M4246">
        <v>28.93</v>
      </c>
      <c r="N4246">
        <v>256.5</v>
      </c>
      <c r="O4246">
        <v>67</v>
      </c>
      <c r="P4246">
        <v>11.54</v>
      </c>
      <c r="Q4246">
        <v>8.8000000000000007</v>
      </c>
      <c r="R4246">
        <v>5</v>
      </c>
      <c r="S4246">
        <v>2.38</v>
      </c>
      <c r="T4246">
        <v>1</v>
      </c>
      <c r="U4246" t="s">
        <v>23</v>
      </c>
      <c r="V4246" t="e">
        <f>IF(#REF! = "yes", 1, 0)</f>
        <v>#REF!</v>
      </c>
      <c r="W4246" t="e">
        <f>IF(#REF! &lt;= 1, "0-1 Calls", IF(#REF! &lt;= 3, "2-3 Calls", IF(#REF! &lt;=5, "4-5 Calls", "6+ Calls")))</f>
        <v>#REF!</v>
      </c>
      <c r="X4246" t="e">
        <f>IF(#REF! &lt;= 50, "0-50", IF(#REF! &lt;=100, "51-100", IF(#REF! &lt;= 150, "101-150", "151+")))</f>
        <v>#REF!</v>
      </c>
      <c r="Y4246" t="e">
        <f>IF(#REF! &lt;= 3, "Low Charges", "High Charges")</f>
        <v>#REF!</v>
      </c>
      <c r="Z4246" t="e">
        <f>IF(#REF!&lt;=80,"Low Calls",
IF(#REF!&lt;=120,"Medium Calls","High Calls"))</f>
        <v>#REF!</v>
      </c>
      <c r="AA4246" t="e">
        <f>IF(#REF!&lt;=15,"Low Charges",
IF(#REF!&lt;=20,"Medium Charges","High Charges"))</f>
        <v>#REF!</v>
      </c>
      <c r="AB4246" t="e">
        <f>IF(AND(#REF!&gt;180, #REF!&gt;200), "Heavy Doemstic User", IF(#REF!&gt;10, "Interntional User", IF(AND(#REF!&lt;180, #REF!&lt;200,#REF!&lt;200), "Light User", "Balanced User")))</f>
        <v>#REF!</v>
      </c>
      <c r="AC4246" t="e">
        <f>IF(#REF! = 0, "No Usage", IF(#REF! &lt;= 20, "Low Usage", IF(#REF! &lt;= 40, "Medium Usgae", "High Usage")))</f>
        <v>#REF!</v>
      </c>
      <c r="AD4246" t="e">
        <f>IF(#REF!&lt;=150,"Low Usage", IF(#REF!&lt;=200,"Medium Usage", IF(#REF!&lt;=250,"High Usage","Very High Usage")))</f>
        <v>#REF!</v>
      </c>
      <c r="AE4246" t="e">
        <f>IF(#REF!&lt;=5,"Low Calls", IF(#REF!&lt;=10, "Medium Calls", "High Calls"))</f>
        <v>#REF!</v>
      </c>
      <c r="AF4246" t="e">
        <f xml:space="preserve">
IF(#REF!&gt;=4,4,0)+
IF(#REF!="yes",3,0)+
IF(#REF!="High Charges",3,0)+
IF(#REF!&gt;250,4,0)+
IF(#REF!="no",1,0)+
IF(#REF!="Heavy Domestic User",2,0)</f>
        <v>#REF!</v>
      </c>
      <c r="AG4246" t="e">
        <f>IF(#REF!&gt;=10,"High Risk", IF(#REF!&gt;=5,"Medium Risk","Low Risk"))</f>
        <v>#REF!</v>
      </c>
      <c r="AH4246" t="e">
        <f>#REF! + #REF! + #REF! + #REF!</f>
        <v>#REF!</v>
      </c>
    </row>
    <row r="4247" spans="1:34" x14ac:dyDescent="0.35">
      <c r="A4247">
        <v>4246</v>
      </c>
      <c r="B4247" t="s">
        <v>35</v>
      </c>
      <c r="C4247">
        <v>83</v>
      </c>
      <c r="D4247" t="s">
        <v>21</v>
      </c>
      <c r="E4247" t="s">
        <v>22</v>
      </c>
      <c r="F4247" t="s">
        <v>22</v>
      </c>
      <c r="G4247">
        <v>0</v>
      </c>
      <c r="H4247">
        <v>188.3</v>
      </c>
      <c r="I4247">
        <v>70</v>
      </c>
      <c r="J4247">
        <v>32.01</v>
      </c>
      <c r="K4247">
        <v>243.8</v>
      </c>
      <c r="L4247">
        <v>88</v>
      </c>
      <c r="M4247">
        <v>20.72</v>
      </c>
      <c r="N4247">
        <v>213.7</v>
      </c>
      <c r="O4247">
        <v>79</v>
      </c>
      <c r="P4247">
        <v>9.6199999999999992</v>
      </c>
      <c r="Q4247">
        <v>10.3</v>
      </c>
      <c r="R4247">
        <v>6</v>
      </c>
      <c r="S4247">
        <v>2.78</v>
      </c>
      <c r="T4247">
        <v>0</v>
      </c>
      <c r="U4247" t="s">
        <v>22</v>
      </c>
      <c r="V4247" t="e">
        <f>IF(#REF! = "yes", 1, 0)</f>
        <v>#REF!</v>
      </c>
      <c r="W4247" t="e">
        <f>IF(#REF! &lt;= 1, "0-1 Calls", IF(#REF! &lt;= 3, "2-3 Calls", IF(#REF! &lt;=5, "4-5 Calls", "6+ Calls")))</f>
        <v>#REF!</v>
      </c>
      <c r="X4247" t="e">
        <f>IF(#REF! &lt;= 50, "0-50", IF(#REF! &lt;=100, "51-100", IF(#REF! &lt;= 150, "101-150", "151+")))</f>
        <v>#REF!</v>
      </c>
      <c r="Y4247" t="e">
        <f>IF(#REF! &lt;= 3, "Low Charges", "High Charges")</f>
        <v>#REF!</v>
      </c>
      <c r="Z4247" t="e">
        <f>IF(#REF!&lt;=80,"Low Calls",
IF(#REF!&lt;=120,"Medium Calls","High Calls"))</f>
        <v>#REF!</v>
      </c>
      <c r="AA4247" t="e">
        <f>IF(#REF!&lt;=15,"Low Charges",
IF(#REF!&lt;=20,"Medium Charges","High Charges"))</f>
        <v>#REF!</v>
      </c>
      <c r="AB4247" t="e">
        <f>IF(AND(#REF!&gt;180, #REF!&gt;200), "Heavy Doemstic User", IF(#REF!&gt;10, "Interntional User", IF(AND(#REF!&lt;180, #REF!&lt;200,#REF!&lt;200), "Light User", "Balanced User")))</f>
        <v>#REF!</v>
      </c>
      <c r="AC4247" t="e">
        <f>IF(#REF! = 0, "No Usage", IF(#REF! &lt;= 20, "Low Usage", IF(#REF! &lt;= 40, "Medium Usgae", "High Usage")))</f>
        <v>#REF!</v>
      </c>
      <c r="AD4247" t="e">
        <f>IF(#REF!&lt;=150,"Low Usage", IF(#REF!&lt;=200,"Medium Usage", IF(#REF!&lt;=250,"High Usage","Very High Usage")))</f>
        <v>#REF!</v>
      </c>
      <c r="AE4247" t="e">
        <f>IF(#REF!&lt;=5,"Low Calls", IF(#REF!&lt;=10, "Medium Calls", "High Calls"))</f>
        <v>#REF!</v>
      </c>
      <c r="AF4247" t="e">
        <f xml:space="preserve">
IF(#REF!&gt;=4,4,0)+
IF(#REF!="yes",3,0)+
IF(#REF!="High Charges",3,0)+
IF(#REF!&gt;250,4,0)+
IF(#REF!="no",1,0)+
IF(#REF!="Heavy Domestic User",2,0)</f>
        <v>#REF!</v>
      </c>
      <c r="AG4247" t="e">
        <f>IF(#REF!&gt;=10,"High Risk", IF(#REF!&gt;=5,"Medium Risk","Low Risk"))</f>
        <v>#REF!</v>
      </c>
      <c r="AH4247" t="e">
        <f>#REF! + #REF! + #REF! + #REF!</f>
        <v>#REF!</v>
      </c>
    </row>
    <row r="4248" spans="1:34" x14ac:dyDescent="0.35">
      <c r="A4248">
        <v>4247</v>
      </c>
      <c r="B4248" t="s">
        <v>31</v>
      </c>
      <c r="C4248">
        <v>73</v>
      </c>
      <c r="D4248" t="s">
        <v>25</v>
      </c>
      <c r="E4248" t="s">
        <v>22</v>
      </c>
      <c r="F4248" t="s">
        <v>22</v>
      </c>
      <c r="G4248">
        <v>0</v>
      </c>
      <c r="H4248">
        <v>177.9</v>
      </c>
      <c r="I4248">
        <v>89</v>
      </c>
      <c r="J4248">
        <v>30.24</v>
      </c>
      <c r="K4248">
        <v>131.19999999999999</v>
      </c>
      <c r="L4248">
        <v>82</v>
      </c>
      <c r="M4248">
        <v>11.15</v>
      </c>
      <c r="N4248">
        <v>186.2</v>
      </c>
      <c r="O4248">
        <v>89</v>
      </c>
      <c r="P4248">
        <v>8.3800000000000008</v>
      </c>
      <c r="Q4248">
        <v>11.5</v>
      </c>
      <c r="R4248">
        <v>6</v>
      </c>
      <c r="S4248">
        <v>3.11</v>
      </c>
      <c r="T4248">
        <v>3</v>
      </c>
      <c r="U4248" t="s">
        <v>22</v>
      </c>
      <c r="V4248" t="e">
        <f>IF(#REF! = "yes", 1, 0)</f>
        <v>#REF!</v>
      </c>
      <c r="W4248" t="e">
        <f>IF(#REF! &lt;= 1, "0-1 Calls", IF(#REF! &lt;= 3, "2-3 Calls", IF(#REF! &lt;=5, "4-5 Calls", "6+ Calls")))</f>
        <v>#REF!</v>
      </c>
      <c r="X4248" t="e">
        <f>IF(#REF! &lt;= 50, "0-50", IF(#REF! &lt;=100, "51-100", IF(#REF! &lt;= 150, "101-150", "151+")))</f>
        <v>#REF!</v>
      </c>
      <c r="Y4248" t="e">
        <f>IF(#REF! &lt;= 3, "Low Charges", "High Charges")</f>
        <v>#REF!</v>
      </c>
      <c r="Z4248" t="e">
        <f>IF(#REF!&lt;=80,"Low Calls",
IF(#REF!&lt;=120,"Medium Calls","High Calls"))</f>
        <v>#REF!</v>
      </c>
      <c r="AA4248" t="e">
        <f>IF(#REF!&lt;=15,"Low Charges",
IF(#REF!&lt;=20,"Medium Charges","High Charges"))</f>
        <v>#REF!</v>
      </c>
      <c r="AB4248" t="e">
        <f>IF(AND(#REF!&gt;180, #REF!&gt;200), "Heavy Doemstic User", IF(#REF!&gt;10, "Interntional User", IF(AND(#REF!&lt;180, #REF!&lt;200,#REF!&lt;200), "Light User", "Balanced User")))</f>
        <v>#REF!</v>
      </c>
      <c r="AC4248" t="e">
        <f>IF(#REF! = 0, "No Usage", IF(#REF! &lt;= 20, "Low Usage", IF(#REF! &lt;= 40, "Medium Usgae", "High Usage")))</f>
        <v>#REF!</v>
      </c>
      <c r="AD4248" t="e">
        <f>IF(#REF!&lt;=150,"Low Usage", IF(#REF!&lt;=200,"Medium Usage", IF(#REF!&lt;=250,"High Usage","Very High Usage")))</f>
        <v>#REF!</v>
      </c>
      <c r="AE4248" t="e">
        <f>IF(#REF!&lt;=5,"Low Calls", IF(#REF!&lt;=10, "Medium Calls", "High Calls"))</f>
        <v>#REF!</v>
      </c>
      <c r="AF4248" t="e">
        <f xml:space="preserve">
IF(#REF!&gt;=4,4,0)+
IF(#REF!="yes",3,0)+
IF(#REF!="High Charges",3,0)+
IF(#REF!&gt;250,4,0)+
IF(#REF!="no",1,0)+
IF(#REF!="Heavy Domestic User",2,0)</f>
        <v>#REF!</v>
      </c>
      <c r="AG4248" t="e">
        <f>IF(#REF!&gt;=10,"High Risk", IF(#REF!&gt;=5,"Medium Risk","Low Risk"))</f>
        <v>#REF!</v>
      </c>
      <c r="AH4248" t="e">
        <f>#REF! + #REF! + #REF! + #REF!</f>
        <v>#REF!</v>
      </c>
    </row>
    <row r="4249" spans="1:34" x14ac:dyDescent="0.35">
      <c r="A4249">
        <v>4248</v>
      </c>
      <c r="B4249" t="s">
        <v>58</v>
      </c>
      <c r="C4249">
        <v>75</v>
      </c>
      <c r="D4249" t="s">
        <v>25</v>
      </c>
      <c r="E4249" t="s">
        <v>22</v>
      </c>
      <c r="F4249" t="s">
        <v>22</v>
      </c>
      <c r="G4249">
        <v>0</v>
      </c>
      <c r="H4249">
        <v>170.7</v>
      </c>
      <c r="I4249">
        <v>101</v>
      </c>
      <c r="J4249">
        <v>29.02</v>
      </c>
      <c r="K4249">
        <v>193.1</v>
      </c>
      <c r="L4249">
        <v>126</v>
      </c>
      <c r="M4249">
        <v>16.41</v>
      </c>
      <c r="N4249">
        <v>129.1</v>
      </c>
      <c r="O4249">
        <v>104</v>
      </c>
      <c r="P4249">
        <v>5.81</v>
      </c>
      <c r="Q4249">
        <v>6.9</v>
      </c>
      <c r="R4249">
        <v>7</v>
      </c>
      <c r="S4249">
        <v>1.86</v>
      </c>
      <c r="T4249">
        <v>1</v>
      </c>
      <c r="U4249" t="s">
        <v>22</v>
      </c>
      <c r="V4249" t="e">
        <f>IF(#REF! = "yes", 1, 0)</f>
        <v>#REF!</v>
      </c>
      <c r="W4249" t="e">
        <f>IF(#REF! &lt;= 1, "0-1 Calls", IF(#REF! &lt;= 3, "2-3 Calls", IF(#REF! &lt;=5, "4-5 Calls", "6+ Calls")))</f>
        <v>#REF!</v>
      </c>
      <c r="X4249" t="e">
        <f>IF(#REF! &lt;= 50, "0-50", IF(#REF! &lt;=100, "51-100", IF(#REF! &lt;= 150, "101-150", "151+")))</f>
        <v>#REF!</v>
      </c>
      <c r="Y4249" t="e">
        <f>IF(#REF! &lt;= 3, "Low Charges", "High Charges")</f>
        <v>#REF!</v>
      </c>
      <c r="Z4249" t="e">
        <f>IF(#REF!&lt;=80,"Low Calls",
IF(#REF!&lt;=120,"Medium Calls","High Calls"))</f>
        <v>#REF!</v>
      </c>
      <c r="AA4249" t="e">
        <f>IF(#REF!&lt;=15,"Low Charges",
IF(#REF!&lt;=20,"Medium Charges","High Charges"))</f>
        <v>#REF!</v>
      </c>
      <c r="AB4249" t="e">
        <f>IF(AND(#REF!&gt;180, #REF!&gt;200), "Heavy Doemstic User", IF(#REF!&gt;10, "Interntional User", IF(AND(#REF!&lt;180, #REF!&lt;200,#REF!&lt;200), "Light User", "Balanced User")))</f>
        <v>#REF!</v>
      </c>
      <c r="AC4249" t="e">
        <f>IF(#REF! = 0, "No Usage", IF(#REF! &lt;= 20, "Low Usage", IF(#REF! &lt;= 40, "Medium Usgae", "High Usage")))</f>
        <v>#REF!</v>
      </c>
      <c r="AD4249" t="e">
        <f>IF(#REF!&lt;=150,"Low Usage", IF(#REF!&lt;=200,"Medium Usage", IF(#REF!&lt;=250,"High Usage","Very High Usage")))</f>
        <v>#REF!</v>
      </c>
      <c r="AE4249" t="e">
        <f>IF(#REF!&lt;=5,"Low Calls", IF(#REF!&lt;=10, "Medium Calls", "High Calls"))</f>
        <v>#REF!</v>
      </c>
      <c r="AF4249" t="e">
        <f xml:space="preserve">
IF(#REF!&gt;=4,4,0)+
IF(#REF!="yes",3,0)+
IF(#REF!="High Charges",3,0)+
IF(#REF!&gt;250,4,0)+
IF(#REF!="no",1,0)+
IF(#REF!="Heavy Domestic User",2,0)</f>
        <v>#REF!</v>
      </c>
      <c r="AG4249" t="e">
        <f>IF(#REF!&gt;=10,"High Risk", IF(#REF!&gt;=5,"Medium Risk","Low Risk"))</f>
        <v>#REF!</v>
      </c>
      <c r="AH4249" t="e">
        <f>#REF! + #REF! + #REF! + #REF!</f>
        <v>#REF!</v>
      </c>
    </row>
    <row r="4250" spans="1:34" x14ac:dyDescent="0.35">
      <c r="A4250">
        <v>4249</v>
      </c>
      <c r="B4250" t="s">
        <v>45</v>
      </c>
      <c r="C4250">
        <v>50</v>
      </c>
      <c r="D4250" t="s">
        <v>25</v>
      </c>
      <c r="E4250" t="s">
        <v>22</v>
      </c>
      <c r="F4250" t="s">
        <v>23</v>
      </c>
      <c r="G4250">
        <v>40</v>
      </c>
      <c r="H4250">
        <v>235.7</v>
      </c>
      <c r="I4250">
        <v>127</v>
      </c>
      <c r="J4250">
        <v>40.07</v>
      </c>
      <c r="K4250">
        <v>223</v>
      </c>
      <c r="L4250">
        <v>126</v>
      </c>
      <c r="M4250">
        <v>18.96</v>
      </c>
      <c r="N4250">
        <v>297.5</v>
      </c>
      <c r="O4250">
        <v>116</v>
      </c>
      <c r="P4250">
        <v>13.39</v>
      </c>
      <c r="Q4250">
        <v>9.9</v>
      </c>
      <c r="R4250">
        <v>5</v>
      </c>
      <c r="S4250">
        <v>2.67</v>
      </c>
      <c r="T4250">
        <v>2</v>
      </c>
      <c r="U4250" t="s">
        <v>22</v>
      </c>
      <c r="V4250" t="e">
        <f>IF(#REF! = "yes", 1, 0)</f>
        <v>#REF!</v>
      </c>
      <c r="W4250" t="e">
        <f>IF(#REF! &lt;= 1, "0-1 Calls", IF(#REF! &lt;= 3, "2-3 Calls", IF(#REF! &lt;=5, "4-5 Calls", "6+ Calls")))</f>
        <v>#REF!</v>
      </c>
      <c r="X4250" t="e">
        <f>IF(#REF! &lt;= 50, "0-50", IF(#REF! &lt;=100, "51-100", IF(#REF! &lt;= 150, "101-150", "151+")))</f>
        <v>#REF!</v>
      </c>
      <c r="Y4250" t="e">
        <f>IF(#REF! &lt;= 3, "Low Charges", "High Charges")</f>
        <v>#REF!</v>
      </c>
      <c r="Z4250" t="e">
        <f>IF(#REF!&lt;=80,"Low Calls",
IF(#REF!&lt;=120,"Medium Calls","High Calls"))</f>
        <v>#REF!</v>
      </c>
      <c r="AA4250" t="e">
        <f>IF(#REF!&lt;=15,"Low Charges",
IF(#REF!&lt;=20,"Medium Charges","High Charges"))</f>
        <v>#REF!</v>
      </c>
      <c r="AB4250" t="e">
        <f>IF(AND(#REF!&gt;180, #REF!&gt;200), "Heavy Doemstic User", IF(#REF!&gt;10, "Interntional User", IF(AND(#REF!&lt;180, #REF!&lt;200,#REF!&lt;200), "Light User", "Balanced User")))</f>
        <v>#REF!</v>
      </c>
      <c r="AC4250" t="e">
        <f>IF(#REF! = 0, "No Usage", IF(#REF! &lt;= 20, "Low Usage", IF(#REF! &lt;= 40, "Medium Usgae", "High Usage")))</f>
        <v>#REF!</v>
      </c>
      <c r="AD4250" t="e">
        <f>IF(#REF!&lt;=150,"Low Usage", IF(#REF!&lt;=200,"Medium Usage", IF(#REF!&lt;=250,"High Usage","Very High Usage")))</f>
        <v>#REF!</v>
      </c>
      <c r="AE4250" t="e">
        <f>IF(#REF!&lt;=5,"Low Calls", IF(#REF!&lt;=10, "Medium Calls", "High Calls"))</f>
        <v>#REF!</v>
      </c>
      <c r="AF4250" t="e">
        <f xml:space="preserve">
IF(#REF!&gt;=4,4,0)+
IF(#REF!="yes",3,0)+
IF(#REF!="High Charges",3,0)+
IF(#REF!&gt;250,4,0)+
IF(#REF!="no",1,0)+
IF(#REF!="Heavy Domestic User",2,0)</f>
        <v>#REF!</v>
      </c>
      <c r="AG4250" t="e">
        <f>IF(#REF!&gt;=10,"High Risk", IF(#REF!&gt;=5,"Medium Risk","Low Risk"))</f>
        <v>#REF!</v>
      </c>
      <c r="AH4250" t="e">
        <f>#REF! + #REF! + #REF! + #REF!</f>
        <v>#REF!</v>
      </c>
    </row>
    <row r="4251" spans="1:34" x14ac:dyDescent="0.35">
      <c r="A4251">
        <v>4250</v>
      </c>
      <c r="B4251" t="s">
        <v>64</v>
      </c>
      <c r="C4251">
        <v>86</v>
      </c>
      <c r="D4251" t="s">
        <v>21</v>
      </c>
      <c r="E4251" t="s">
        <v>22</v>
      </c>
      <c r="F4251" t="s">
        <v>23</v>
      </c>
      <c r="G4251">
        <v>34</v>
      </c>
      <c r="H4251">
        <v>129.4</v>
      </c>
      <c r="I4251">
        <v>102</v>
      </c>
      <c r="J4251">
        <v>22</v>
      </c>
      <c r="K4251">
        <v>267.10000000000002</v>
      </c>
      <c r="L4251">
        <v>104</v>
      </c>
      <c r="M4251">
        <v>22.7</v>
      </c>
      <c r="N4251">
        <v>154.80000000000001</v>
      </c>
      <c r="O4251">
        <v>100</v>
      </c>
      <c r="P4251">
        <v>6.97</v>
      </c>
      <c r="Q4251">
        <v>9.3000000000000007</v>
      </c>
      <c r="R4251">
        <v>16</v>
      </c>
      <c r="S4251">
        <v>2.5099999999999998</v>
      </c>
      <c r="T4251">
        <v>0</v>
      </c>
      <c r="U4251" t="s">
        <v>22</v>
      </c>
      <c r="V4251" t="e">
        <f>IF(#REF! = "yes", 1, 0)</f>
        <v>#REF!</v>
      </c>
      <c r="W4251" t="e">
        <f>IF(#REF! &lt;= 1, "0-1 Calls", IF(#REF! &lt;= 3, "2-3 Calls", IF(#REF! &lt;=5, "4-5 Calls", "6+ Calls")))</f>
        <v>#REF!</v>
      </c>
      <c r="X4251" t="e">
        <f>IF(#REF! &lt;= 50, "0-50", IF(#REF! &lt;=100, "51-100", IF(#REF! &lt;= 150, "101-150", "151+")))</f>
        <v>#REF!</v>
      </c>
      <c r="Y4251" t="e">
        <f>IF(#REF! &lt;= 3, "Low Charges", "High Charges")</f>
        <v>#REF!</v>
      </c>
      <c r="Z4251" t="e">
        <f>IF(#REF!&lt;=80,"Low Calls",
IF(#REF!&lt;=120,"Medium Calls","High Calls"))</f>
        <v>#REF!</v>
      </c>
      <c r="AA4251" t="e">
        <f>IF(#REF!&lt;=15,"Low Charges",
IF(#REF!&lt;=20,"Medium Charges","High Charges"))</f>
        <v>#REF!</v>
      </c>
      <c r="AB4251" t="e">
        <f>IF(AND(#REF!&gt;180, #REF!&gt;200), "Heavy Doemstic User", IF(#REF!&gt;10, "Interntional User", IF(AND(#REF!&lt;180, #REF!&lt;200,#REF!&lt;200), "Light User", "Balanced User")))</f>
        <v>#REF!</v>
      </c>
      <c r="AC4251" t="e">
        <f>IF(#REF! = 0, "No Usage", IF(#REF! &lt;= 20, "Low Usage", IF(#REF! &lt;= 40, "Medium Usgae", "High Usage")))</f>
        <v>#REF!</v>
      </c>
      <c r="AD4251" t="e">
        <f>IF(#REF!&lt;=150,"Low Usage", IF(#REF!&lt;=200,"Medium Usage", IF(#REF!&lt;=250,"High Usage","Very High Usage")))</f>
        <v>#REF!</v>
      </c>
      <c r="AE4251" t="e">
        <f>IF(#REF!&lt;=5,"Low Calls", IF(#REF!&lt;=10, "Medium Calls", "High Calls"))</f>
        <v>#REF!</v>
      </c>
      <c r="AF4251" t="e">
        <f xml:space="preserve">
IF(#REF!&gt;=4,4,0)+
IF(#REF!="yes",3,0)+
IF(#REF!="High Charges",3,0)+
IF(#REF!&gt;250,4,0)+
IF(#REF!="no",1,0)+
IF(#REF!="Heavy Domestic User",2,0)</f>
        <v>#REF!</v>
      </c>
      <c r="AG4251" t="e">
        <f>IF(#REF!&gt;=10,"High Risk", IF(#REF!&gt;=5,"Medium Risk","Low Risk"))</f>
        <v>#REF!</v>
      </c>
      <c r="AH4251" t="e">
        <f>#REF! + #REF! + #REF! + 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62"/>
  <sheetViews>
    <sheetView workbookViewId="0"/>
  </sheetViews>
  <sheetFormatPr defaultRowHeight="14.5" x14ac:dyDescent="0.35"/>
  <sheetData>
    <row r="1" spans="1:11" ht="29" x14ac:dyDescent="0.35">
      <c r="A1" s="11" t="s">
        <v>76</v>
      </c>
      <c r="B1" s="11" t="s">
        <v>77</v>
      </c>
      <c r="E1" s="8" t="s">
        <v>78</v>
      </c>
      <c r="F1" s="8" t="s">
        <v>79</v>
      </c>
      <c r="H1" s="8" t="s">
        <v>82</v>
      </c>
      <c r="I1" s="8" t="s">
        <v>83</v>
      </c>
      <c r="J1" s="8" t="s">
        <v>84</v>
      </c>
      <c r="K1" s="8" t="s">
        <v>85</v>
      </c>
    </row>
    <row r="2" spans="1:11" ht="29" x14ac:dyDescent="0.35">
      <c r="A2" s="12" t="str">
        <f t="array" ref="A2:A21">TRANSPOSE(A462:T462)</f>
        <v>state</v>
      </c>
      <c r="B2" s="12" t="e">
        <f>COUNTBLANK(#REF!)</f>
        <v>#REF!</v>
      </c>
      <c r="E2" s="9" t="s">
        <v>77</v>
      </c>
      <c r="F2" s="13" t="s">
        <v>80</v>
      </c>
      <c r="H2" s="9" t="s">
        <v>0</v>
      </c>
      <c r="I2" s="9" t="s">
        <v>86</v>
      </c>
      <c r="J2" s="9" t="s">
        <v>87</v>
      </c>
      <c r="K2" s="9" t="s">
        <v>88</v>
      </c>
    </row>
    <row r="3" spans="1:11" ht="43.5" x14ac:dyDescent="0.35">
      <c r="A3" s="12" t="str">
        <v>account_length</v>
      </c>
      <c r="B3" s="12" t="e">
        <f>COUNTBLANK(#REF!)</f>
        <v>#REF!</v>
      </c>
      <c r="E3" s="9" t="s">
        <v>81</v>
      </c>
      <c r="F3" s="13" t="s">
        <v>80</v>
      </c>
      <c r="H3" s="9" t="s">
        <v>1</v>
      </c>
      <c r="I3" s="9" t="s">
        <v>89</v>
      </c>
      <c r="J3" s="9" t="s">
        <v>90</v>
      </c>
      <c r="K3" s="9" t="s">
        <v>91</v>
      </c>
    </row>
    <row r="4" spans="1:11" ht="29" x14ac:dyDescent="0.35">
      <c r="A4" s="12" t="str">
        <v>area_code</v>
      </c>
      <c r="B4" s="12" t="e">
        <f>COUNTBLANK(#REF!)</f>
        <v>#REF!</v>
      </c>
      <c r="H4" s="9" t="s">
        <v>2</v>
      </c>
      <c r="I4" s="9" t="s">
        <v>86</v>
      </c>
      <c r="J4" s="9" t="s">
        <v>87</v>
      </c>
      <c r="K4" s="9" t="s">
        <v>92</v>
      </c>
    </row>
    <row r="5" spans="1:11" ht="43.5" x14ac:dyDescent="0.35">
      <c r="A5" s="12" t="str">
        <v>international_plan</v>
      </c>
      <c r="B5" s="12" t="e">
        <f>COUNTBLANK(#REF!)</f>
        <v>#REF!</v>
      </c>
      <c r="H5" s="9" t="s">
        <v>3</v>
      </c>
      <c r="I5" s="9" t="s">
        <v>86</v>
      </c>
      <c r="J5" s="9" t="s">
        <v>93</v>
      </c>
      <c r="K5" s="9" t="s">
        <v>94</v>
      </c>
    </row>
    <row r="6" spans="1:11" ht="29" x14ac:dyDescent="0.35">
      <c r="A6" s="12" t="str">
        <v>voice_mail_plan</v>
      </c>
      <c r="B6" s="12" t="e">
        <f>COUNTBLANK(#REF!)</f>
        <v>#REF!</v>
      </c>
      <c r="H6" s="9" t="s">
        <v>4</v>
      </c>
      <c r="I6" s="9" t="s">
        <v>86</v>
      </c>
      <c r="J6" s="9" t="s">
        <v>93</v>
      </c>
      <c r="K6" s="9" t="s">
        <v>94</v>
      </c>
    </row>
    <row r="7" spans="1:11" ht="58" x14ac:dyDescent="0.35">
      <c r="A7" s="12" t="str">
        <v>number_vmail_messages</v>
      </c>
      <c r="B7" s="12" t="e">
        <f>COUNTBLANK(#REF!)</f>
        <v>#REF!</v>
      </c>
      <c r="H7" s="9" t="s">
        <v>5</v>
      </c>
      <c r="I7" s="9" t="s">
        <v>89</v>
      </c>
      <c r="J7" s="9" t="s">
        <v>90</v>
      </c>
      <c r="K7" s="9" t="s">
        <v>95</v>
      </c>
    </row>
    <row r="8" spans="1:11" ht="58" x14ac:dyDescent="0.35">
      <c r="A8" s="12" t="str">
        <v>total_day_minutes</v>
      </c>
      <c r="B8" s="12" t="e">
        <f>COUNTBLANK(#REF!)</f>
        <v>#REF!</v>
      </c>
      <c r="H8" s="9" t="s">
        <v>6</v>
      </c>
      <c r="I8" s="9" t="s">
        <v>89</v>
      </c>
      <c r="J8" s="9" t="s">
        <v>90</v>
      </c>
      <c r="K8" s="9" t="s">
        <v>96</v>
      </c>
    </row>
    <row r="9" spans="1:11" ht="29" x14ac:dyDescent="0.35">
      <c r="A9" s="12" t="str">
        <v>total_day_calls</v>
      </c>
      <c r="B9" s="12" t="e">
        <f>COUNTBLANK(#REF!)</f>
        <v>#REF!</v>
      </c>
      <c r="H9" s="9" t="s">
        <v>7</v>
      </c>
      <c r="I9" s="9" t="s">
        <v>89</v>
      </c>
      <c r="J9" s="9" t="s">
        <v>90</v>
      </c>
      <c r="K9" s="9" t="s">
        <v>97</v>
      </c>
    </row>
    <row r="10" spans="1:11" ht="29" x14ac:dyDescent="0.35">
      <c r="A10" s="12" t="str">
        <v>total_day_charge</v>
      </c>
      <c r="B10" s="12" t="e">
        <f>COUNTBLANK(#REF!)</f>
        <v>#REF!</v>
      </c>
      <c r="H10" s="9" t="s">
        <v>8</v>
      </c>
      <c r="I10" s="9" t="s">
        <v>89</v>
      </c>
      <c r="J10" s="9" t="s">
        <v>90</v>
      </c>
      <c r="K10" s="9" t="s">
        <v>98</v>
      </c>
    </row>
    <row r="11" spans="1:11" ht="29" x14ac:dyDescent="0.35">
      <c r="A11" s="12" t="str">
        <v>total_eve_minutes</v>
      </c>
      <c r="B11" s="12" t="e">
        <f>COUNTBLANK(#REF!)</f>
        <v>#REF!</v>
      </c>
      <c r="H11" s="9" t="s">
        <v>9</v>
      </c>
      <c r="I11" s="9" t="s">
        <v>89</v>
      </c>
      <c r="J11" s="9" t="s">
        <v>90</v>
      </c>
      <c r="K11" s="9" t="s">
        <v>99</v>
      </c>
    </row>
    <row r="12" spans="1:11" ht="29" x14ac:dyDescent="0.35">
      <c r="A12" s="12" t="str">
        <v>total_eve_calls</v>
      </c>
      <c r="B12" s="12" t="e">
        <f>COUNTBLANK(#REF!)</f>
        <v>#REF!</v>
      </c>
      <c r="H12" s="9" t="s">
        <v>10</v>
      </c>
      <c r="I12" s="9" t="s">
        <v>89</v>
      </c>
      <c r="J12" s="9" t="s">
        <v>90</v>
      </c>
      <c r="K12" s="9" t="s">
        <v>100</v>
      </c>
    </row>
    <row r="13" spans="1:11" ht="29" x14ac:dyDescent="0.35">
      <c r="A13" s="12" t="str">
        <v>total_eve_charge</v>
      </c>
      <c r="B13" s="12" t="e">
        <f>COUNTBLANK(#REF!)</f>
        <v>#REF!</v>
      </c>
      <c r="H13" s="9" t="s">
        <v>11</v>
      </c>
      <c r="I13" s="9" t="s">
        <v>89</v>
      </c>
      <c r="J13" s="9" t="s">
        <v>90</v>
      </c>
      <c r="K13" s="9" t="s">
        <v>101</v>
      </c>
    </row>
    <row r="14" spans="1:11" ht="43.5" x14ac:dyDescent="0.35">
      <c r="A14" s="12" t="str">
        <v>total_night_minutes</v>
      </c>
      <c r="B14" s="12" t="e">
        <f>COUNTBLANK(#REF!)</f>
        <v>#REF!</v>
      </c>
      <c r="H14" s="9" t="s">
        <v>12</v>
      </c>
      <c r="I14" s="9" t="s">
        <v>89</v>
      </c>
      <c r="J14" s="9" t="s">
        <v>90</v>
      </c>
      <c r="K14" s="9" t="s">
        <v>102</v>
      </c>
    </row>
    <row r="15" spans="1:11" ht="29" x14ac:dyDescent="0.35">
      <c r="A15" s="12" t="str">
        <v>total_night_calls</v>
      </c>
      <c r="B15" s="12" t="e">
        <f>COUNTBLANK(#REF!)</f>
        <v>#REF!</v>
      </c>
      <c r="H15" s="9" t="s">
        <v>13</v>
      </c>
      <c r="I15" s="9" t="s">
        <v>89</v>
      </c>
      <c r="J15" s="9" t="s">
        <v>90</v>
      </c>
      <c r="K15" s="9" t="s">
        <v>103</v>
      </c>
    </row>
    <row r="16" spans="1:11" ht="43.5" x14ac:dyDescent="0.35">
      <c r="A16" s="12" t="str">
        <v>total_night_charge</v>
      </c>
      <c r="B16" s="12" t="e">
        <f>COUNTBLANK(#REF!)</f>
        <v>#REF!</v>
      </c>
      <c r="H16" s="9" t="s">
        <v>14</v>
      </c>
      <c r="I16" s="9" t="s">
        <v>89</v>
      </c>
      <c r="J16" s="9" t="s">
        <v>90</v>
      </c>
      <c r="K16" s="9" t="s">
        <v>104</v>
      </c>
    </row>
    <row r="17" spans="1:11" ht="43.5" x14ac:dyDescent="0.35">
      <c r="A17" s="12" t="str">
        <v>total_intl_minutes</v>
      </c>
      <c r="B17" s="12" t="e">
        <f>COUNTBLANK(#REF!)</f>
        <v>#REF!</v>
      </c>
      <c r="H17" s="9" t="s">
        <v>15</v>
      </c>
      <c r="I17" s="9" t="s">
        <v>89</v>
      </c>
      <c r="J17" s="9" t="s">
        <v>90</v>
      </c>
      <c r="K17" s="9" t="s">
        <v>105</v>
      </c>
    </row>
    <row r="18" spans="1:11" ht="29" x14ac:dyDescent="0.35">
      <c r="A18" s="12" t="str">
        <v>total_intl_calls</v>
      </c>
      <c r="B18" s="12" t="e">
        <f>COUNTBLANK(#REF!)</f>
        <v>#REF!</v>
      </c>
      <c r="H18" s="9" t="s">
        <v>16</v>
      </c>
      <c r="I18" s="9" t="s">
        <v>89</v>
      </c>
      <c r="J18" s="9" t="s">
        <v>90</v>
      </c>
      <c r="K18" s="9" t="s">
        <v>106</v>
      </c>
    </row>
    <row r="19" spans="1:11" ht="43.5" x14ac:dyDescent="0.35">
      <c r="A19" s="12" t="str">
        <v>total_intl_charge</v>
      </c>
      <c r="B19" s="12" t="e">
        <f>COUNTBLANK(#REF!)</f>
        <v>#REF!</v>
      </c>
      <c r="H19" s="9" t="s">
        <v>17</v>
      </c>
      <c r="I19" s="9" t="s">
        <v>89</v>
      </c>
      <c r="J19" s="9" t="s">
        <v>90</v>
      </c>
      <c r="K19" s="9" t="s">
        <v>107</v>
      </c>
    </row>
    <row r="20" spans="1:11" ht="58" x14ac:dyDescent="0.35">
      <c r="A20" s="12" t="str">
        <v>number_customer_service_calls</v>
      </c>
      <c r="B20" s="12" t="e">
        <f>COUNTBLANK(#REF!)</f>
        <v>#REF!</v>
      </c>
      <c r="H20" s="9" t="s">
        <v>18</v>
      </c>
      <c r="I20" s="9" t="s">
        <v>89</v>
      </c>
      <c r="J20" s="9" t="s">
        <v>90</v>
      </c>
      <c r="K20" s="9" t="s">
        <v>108</v>
      </c>
    </row>
    <row r="21" spans="1:11" ht="43.5" x14ac:dyDescent="0.35">
      <c r="A21" s="12" t="str">
        <v>churn</v>
      </c>
      <c r="B21" s="12" t="e">
        <f>COUNTBLANK(#REF!)</f>
        <v>#REF!</v>
      </c>
      <c r="H21" s="9" t="s">
        <v>19</v>
      </c>
      <c r="I21" s="9" t="s">
        <v>86</v>
      </c>
      <c r="J21" s="10" t="s">
        <v>109</v>
      </c>
      <c r="K21" s="9" t="s">
        <v>110</v>
      </c>
    </row>
    <row r="462" spans="1:20" x14ac:dyDescent="0.35">
      <c r="A462" s="4" t="s">
        <v>0</v>
      </c>
      <c r="B462" s="2" t="s">
        <v>1</v>
      </c>
      <c r="C462" s="2" t="s">
        <v>2</v>
      </c>
      <c r="D462" s="2" t="s">
        <v>3</v>
      </c>
      <c r="E462" s="2" t="s">
        <v>4</v>
      </c>
      <c r="F462" s="2" t="s">
        <v>5</v>
      </c>
      <c r="G462" s="2" t="s">
        <v>6</v>
      </c>
      <c r="H462" s="2" t="s">
        <v>7</v>
      </c>
      <c r="I462" s="2" t="s">
        <v>8</v>
      </c>
      <c r="J462" s="2" t="s">
        <v>9</v>
      </c>
      <c r="K462" s="2" t="s">
        <v>10</v>
      </c>
      <c r="L462" s="2" t="s">
        <v>11</v>
      </c>
      <c r="M462" s="2" t="s">
        <v>12</v>
      </c>
      <c r="N462" s="2" t="s">
        <v>13</v>
      </c>
      <c r="O462" s="2" t="s">
        <v>14</v>
      </c>
      <c r="P462" s="2" t="s">
        <v>15</v>
      </c>
      <c r="Q462" s="2" t="s">
        <v>16</v>
      </c>
      <c r="R462" s="2" t="s">
        <v>17</v>
      </c>
      <c r="S462" s="2" t="s">
        <v>18</v>
      </c>
      <c r="T46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7"/>
  <sheetViews>
    <sheetView workbookViewId="0"/>
  </sheetViews>
  <sheetFormatPr defaultRowHeight="14.5" x14ac:dyDescent="0.35"/>
  <sheetData>
    <row r="1" spans="1:23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23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23" ht="15.5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T3" s="42" t="s">
        <v>222</v>
      </c>
      <c r="U3" s="42"/>
    </row>
    <row r="4" spans="1:23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23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T5" s="36" t="s">
        <v>223</v>
      </c>
      <c r="U5" s="36"/>
      <c r="V5" s="36"/>
      <c r="W5" s="36"/>
    </row>
    <row r="6" spans="1:23" ht="29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T6" s="8" t="s">
        <v>212</v>
      </c>
      <c r="U6" s="8" t="s">
        <v>213</v>
      </c>
      <c r="V6" s="19" t="s">
        <v>116</v>
      </c>
      <c r="W6" s="12"/>
    </row>
    <row r="7" spans="1:23" ht="58" x14ac:dyDescent="0.35">
      <c r="A7" s="22"/>
      <c r="B7" s="22"/>
      <c r="C7" s="22"/>
      <c r="D7" s="22"/>
      <c r="E7" s="22"/>
      <c r="F7" s="22"/>
      <c r="G7" s="22"/>
      <c r="H7" s="22"/>
      <c r="I7" s="22"/>
      <c r="J7" s="22"/>
      <c r="T7" s="9" t="s">
        <v>214</v>
      </c>
      <c r="U7" s="9" t="s">
        <v>215</v>
      </c>
      <c r="V7" s="35">
        <v>8.8999999999999996E-2</v>
      </c>
      <c r="W7" s="12"/>
    </row>
    <row r="8" spans="1:23" ht="72.5" x14ac:dyDescent="0.35">
      <c r="A8" s="22"/>
      <c r="B8" s="22"/>
      <c r="C8" s="22"/>
      <c r="D8" s="22"/>
      <c r="E8" s="22"/>
      <c r="F8" s="22"/>
      <c r="G8" s="22"/>
      <c r="H8" s="22"/>
      <c r="I8" s="22"/>
      <c r="J8" s="22"/>
      <c r="T8" s="9" t="s">
        <v>216</v>
      </c>
      <c r="U8" s="9" t="s">
        <v>217</v>
      </c>
      <c r="V8" s="35">
        <v>0.1181</v>
      </c>
      <c r="W8" s="12"/>
    </row>
    <row r="9" spans="1:23" ht="58" x14ac:dyDescent="0.35">
      <c r="A9" s="22"/>
      <c r="B9" s="22"/>
      <c r="C9" s="22"/>
      <c r="D9" s="22"/>
      <c r="E9" s="22"/>
      <c r="F9" s="22"/>
      <c r="G9" s="22"/>
      <c r="H9" s="22"/>
      <c r="I9" s="22"/>
      <c r="J9" s="22"/>
      <c r="T9" s="9" t="s">
        <v>218</v>
      </c>
      <c r="U9" s="9" t="s">
        <v>219</v>
      </c>
      <c r="V9" s="35">
        <v>0.14530000000000001</v>
      </c>
      <c r="W9" s="12"/>
    </row>
    <row r="10" spans="1:23" ht="58" x14ac:dyDescent="0.35">
      <c r="T10" s="9" t="s">
        <v>220</v>
      </c>
      <c r="U10" s="9" t="s">
        <v>221</v>
      </c>
      <c r="V10" s="35">
        <v>0.2361</v>
      </c>
      <c r="W10" s="12"/>
    </row>
    <row r="28" spans="20:22" ht="15.5" x14ac:dyDescent="0.35">
      <c r="T28" s="43" t="s">
        <v>229</v>
      </c>
      <c r="U28" s="43"/>
      <c r="V28" s="12"/>
    </row>
    <row r="29" spans="20:22" x14ac:dyDescent="0.35">
      <c r="T29" s="12" t="s">
        <v>230</v>
      </c>
      <c r="U29" s="12"/>
      <c r="V29" s="12"/>
    </row>
    <row r="30" spans="20:22" x14ac:dyDescent="0.35">
      <c r="T30" s="8" t="s">
        <v>212</v>
      </c>
      <c r="U30" s="8" t="s">
        <v>224</v>
      </c>
      <c r="V30" s="12"/>
    </row>
    <row r="31" spans="20:22" ht="58" x14ac:dyDescent="0.35">
      <c r="T31" s="9" t="s">
        <v>220</v>
      </c>
      <c r="U31" s="9" t="s">
        <v>225</v>
      </c>
      <c r="V31" s="12"/>
    </row>
    <row r="32" spans="20:22" ht="58" x14ac:dyDescent="0.35">
      <c r="T32" s="9" t="s">
        <v>216</v>
      </c>
      <c r="U32" s="9" t="s">
        <v>226</v>
      </c>
      <c r="V32" s="12"/>
    </row>
    <row r="33" spans="20:22" ht="58" x14ac:dyDescent="0.35">
      <c r="T33" s="9" t="s">
        <v>218</v>
      </c>
      <c r="U33" s="9" t="s">
        <v>227</v>
      </c>
      <c r="V33" s="12"/>
    </row>
    <row r="34" spans="20:22" ht="43.5" x14ac:dyDescent="0.35">
      <c r="T34" s="9" t="s">
        <v>214</v>
      </c>
      <c r="U34" s="9" t="s">
        <v>228</v>
      </c>
      <c r="V34" s="12"/>
    </row>
    <row r="42" spans="20:22" x14ac:dyDescent="0.35">
      <c r="T42" s="8" t="s">
        <v>190</v>
      </c>
      <c r="U42" s="8" t="s">
        <v>191</v>
      </c>
    </row>
    <row r="43" spans="20:22" ht="43.5" x14ac:dyDescent="0.35">
      <c r="T43" s="9" t="s">
        <v>192</v>
      </c>
      <c r="U43" s="9" t="s">
        <v>193</v>
      </c>
    </row>
    <row r="44" spans="20:22" ht="43.5" x14ac:dyDescent="0.35">
      <c r="T44" s="9" t="s">
        <v>194</v>
      </c>
      <c r="U44" s="9" t="s">
        <v>193</v>
      </c>
    </row>
    <row r="45" spans="20:22" ht="58" x14ac:dyDescent="0.35">
      <c r="T45" s="9" t="s">
        <v>195</v>
      </c>
      <c r="U45" s="9" t="s">
        <v>193</v>
      </c>
    </row>
    <row r="46" spans="20:22" ht="43.5" x14ac:dyDescent="0.35">
      <c r="T46" s="9" t="s">
        <v>196</v>
      </c>
      <c r="U46" s="9" t="s">
        <v>193</v>
      </c>
    </row>
    <row r="47" spans="20:22" ht="43.5" x14ac:dyDescent="0.35">
      <c r="T47" s="9" t="s">
        <v>197</v>
      </c>
      <c r="U47" s="9" t="s">
        <v>198</v>
      </c>
    </row>
    <row r="48" spans="20:22" ht="43.5" x14ac:dyDescent="0.35">
      <c r="T48" s="9" t="s">
        <v>199</v>
      </c>
      <c r="U48" s="9" t="s">
        <v>198</v>
      </c>
    </row>
    <row r="50" spans="20:21" ht="43.5" x14ac:dyDescent="0.35">
      <c r="T50" s="7" t="s">
        <v>204</v>
      </c>
    </row>
    <row r="51" spans="20:21" ht="29" x14ac:dyDescent="0.35">
      <c r="T51" s="8" t="s">
        <v>200</v>
      </c>
      <c r="U51" s="8" t="s">
        <v>201</v>
      </c>
    </row>
    <row r="52" spans="20:21" ht="43.5" x14ac:dyDescent="0.35">
      <c r="T52" s="9" t="s">
        <v>202</v>
      </c>
      <c r="U52" s="9">
        <v>4</v>
      </c>
    </row>
    <row r="53" spans="20:21" ht="43.5" x14ac:dyDescent="0.35">
      <c r="T53" s="9" t="s">
        <v>194</v>
      </c>
      <c r="U53" s="9">
        <v>3</v>
      </c>
    </row>
    <row r="54" spans="20:21" ht="58" x14ac:dyDescent="0.35">
      <c r="T54" s="9" t="s">
        <v>203</v>
      </c>
      <c r="U54" s="9">
        <v>3</v>
      </c>
    </row>
    <row r="55" spans="20:21" ht="43.5" x14ac:dyDescent="0.35">
      <c r="T55" s="9" t="s">
        <v>196</v>
      </c>
      <c r="U55" s="9">
        <v>4</v>
      </c>
    </row>
    <row r="56" spans="20:21" ht="43.5" x14ac:dyDescent="0.35">
      <c r="T56" s="9" t="s">
        <v>197</v>
      </c>
      <c r="U56" s="9">
        <v>1</v>
      </c>
    </row>
    <row r="57" spans="20:21" ht="43.5" x14ac:dyDescent="0.35">
      <c r="T57" s="9" t="s">
        <v>199</v>
      </c>
      <c r="U57" s="9">
        <v>2</v>
      </c>
    </row>
    <row r="63" spans="20:21" ht="29" x14ac:dyDescent="0.35">
      <c r="T63" s="5" t="s">
        <v>233</v>
      </c>
      <c r="U63" s="5" t="s">
        <v>79</v>
      </c>
    </row>
    <row r="64" spans="20:21" ht="87" x14ac:dyDescent="0.35">
      <c r="T64" s="6" t="s">
        <v>234</v>
      </c>
      <c r="U64" s="6" t="s">
        <v>235</v>
      </c>
    </row>
    <row r="65" spans="20:21" ht="72.5" x14ac:dyDescent="0.35">
      <c r="T65" s="6" t="s">
        <v>236</v>
      </c>
      <c r="U65" s="6" t="s">
        <v>198</v>
      </c>
    </row>
    <row r="66" spans="20:21" ht="43.5" x14ac:dyDescent="0.35">
      <c r="T66" s="6" t="s">
        <v>237</v>
      </c>
      <c r="U66" s="6" t="s">
        <v>235</v>
      </c>
    </row>
    <row r="67" spans="20:21" ht="72.5" x14ac:dyDescent="0.35">
      <c r="T67" s="6" t="s">
        <v>238</v>
      </c>
      <c r="U67" s="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73"/>
  <sheetViews>
    <sheetView workbookViewId="0"/>
  </sheetViews>
  <sheetFormatPr defaultRowHeight="14.5" x14ac:dyDescent="0.35"/>
  <sheetData>
    <row r="2" spans="1:7" x14ac:dyDescent="0.35">
      <c r="A2" s="14" t="s">
        <v>114</v>
      </c>
      <c r="B2" t="s">
        <v>113</v>
      </c>
      <c r="C2" s="16" t="s">
        <v>115</v>
      </c>
      <c r="D2" s="16" t="s">
        <v>116</v>
      </c>
      <c r="F2" s="8" t="s">
        <v>119</v>
      </c>
      <c r="G2" s="19" t="s">
        <v>120</v>
      </c>
    </row>
    <row r="3" spans="1:7" ht="43.5" x14ac:dyDescent="0.35">
      <c r="A3" s="15" t="s">
        <v>22</v>
      </c>
      <c r="B3">
        <v>3652</v>
      </c>
      <c r="C3" s="17" t="e">
        <f>GETPIVOTDATA("[Measures].[Count of ID]",$A$2,"[tbl_Customers].[churn]","[tbl_Customers].[churn].&amp;[no]")/GETPIVOTDATA("[Measures].[Count of ID]",$A$2)</f>
        <v>#REF!</v>
      </c>
      <c r="D3" s="17" t="e">
        <f>GETPIVOTDATA("[Measures].[Count of ID]",$A$2,"[tbl_Customers].[churn]","[tbl_Customers].[churn].&amp;[yes]")/GETPIVOTDATA("[Measures].[Count of ID]",$A$2)</f>
        <v>#REF!</v>
      </c>
      <c r="F3" s="9" t="s">
        <v>113</v>
      </c>
      <c r="G3" s="20" t="e">
        <f>GETPIVOTDATA("[Measures].[Count of ID]",$A$2)</f>
        <v>#REF!</v>
      </c>
    </row>
    <row r="4" spans="1:7" ht="43.5" x14ac:dyDescent="0.35">
      <c r="A4" s="15" t="s">
        <v>23</v>
      </c>
      <c r="B4">
        <v>598</v>
      </c>
      <c r="F4" s="9" t="s">
        <v>117</v>
      </c>
      <c r="G4" s="20" t="e">
        <f>GETPIVOTDATA("[Measures].[Count of ID]",$A$2,"[tbl_Customers].[churn]","[tbl_Customers].[churn].&amp;[yes]")</f>
        <v>#REF!</v>
      </c>
    </row>
    <row r="5" spans="1:7" ht="43.5" x14ac:dyDescent="0.35">
      <c r="A5" s="15" t="s">
        <v>111</v>
      </c>
      <c r="B5">
        <v>4250</v>
      </c>
      <c r="F5" s="9" t="s">
        <v>118</v>
      </c>
      <c r="G5" s="20" t="e">
        <f>GETPIVOTDATA("[Measures].[Count of ID]",$A$2,"[tbl_Customers].[churn]","[tbl_Customers].[churn].&amp;[no]")</f>
        <v>#REF!</v>
      </c>
    </row>
    <row r="6" spans="1:7" ht="29" x14ac:dyDescent="0.35">
      <c r="F6" s="9" t="s">
        <v>116</v>
      </c>
      <c r="G6" s="21" t="e">
        <f>D3</f>
        <v>#REF!</v>
      </c>
    </row>
    <row r="7" spans="1:7" ht="29" x14ac:dyDescent="0.35">
      <c r="F7" s="9" t="s">
        <v>115</v>
      </c>
      <c r="G7" s="21" t="e">
        <f>C3</f>
        <v>#REF!</v>
      </c>
    </row>
    <row r="9" spans="1:7" x14ac:dyDescent="0.35">
      <c r="A9" s="15"/>
    </row>
    <row r="12" spans="1:7" x14ac:dyDescent="0.35">
      <c r="A12" s="14" t="s">
        <v>116</v>
      </c>
      <c r="B12" s="14" t="s">
        <v>121</v>
      </c>
      <c r="E12" s="5" t="s">
        <v>123</v>
      </c>
      <c r="F12" s="5" t="s">
        <v>79</v>
      </c>
    </row>
    <row r="13" spans="1:7" ht="43.5" x14ac:dyDescent="0.35">
      <c r="A13" s="14" t="s">
        <v>122</v>
      </c>
      <c r="B13" t="s">
        <v>23</v>
      </c>
      <c r="C13" t="s">
        <v>22</v>
      </c>
      <c r="E13" s="6" t="s">
        <v>124</v>
      </c>
      <c r="F13" s="5" t="s">
        <v>24</v>
      </c>
    </row>
    <row r="14" spans="1:7" ht="43.5" x14ac:dyDescent="0.35">
      <c r="A14" s="15" t="s">
        <v>68</v>
      </c>
      <c r="B14" s="23">
        <v>0.12871287128712872</v>
      </c>
      <c r="C14" s="23">
        <v>0.87128712871287128</v>
      </c>
      <c r="E14" s="6" t="s">
        <v>125</v>
      </c>
      <c r="F14" s="24">
        <v>0.27079999999999999</v>
      </c>
    </row>
    <row r="15" spans="1:7" ht="43.5" x14ac:dyDescent="0.35">
      <c r="A15" s="15" t="s">
        <v>37</v>
      </c>
      <c r="B15" s="23">
        <v>0.11320754716981132</v>
      </c>
      <c r="C15" s="23">
        <v>0.8867924528301887</v>
      </c>
      <c r="E15" s="6" t="s">
        <v>126</v>
      </c>
      <c r="F15" s="5" t="s">
        <v>38</v>
      </c>
    </row>
    <row r="16" spans="1:7" ht="43.5" x14ac:dyDescent="0.35">
      <c r="A16" s="15" t="s">
        <v>60</v>
      </c>
      <c r="B16" s="23">
        <v>0.17592592592592593</v>
      </c>
      <c r="C16" s="23">
        <v>0.82407407407407407</v>
      </c>
      <c r="E16" s="6" t="s">
        <v>127</v>
      </c>
      <c r="F16" s="24">
        <v>0.05</v>
      </c>
    </row>
    <row r="17" spans="1:6" x14ac:dyDescent="0.35">
      <c r="A17" s="15" t="s">
        <v>52</v>
      </c>
      <c r="B17" s="23">
        <v>0.15151515151515152</v>
      </c>
      <c r="C17" s="23">
        <v>0.84848484848484851</v>
      </c>
    </row>
    <row r="18" spans="1:6" x14ac:dyDescent="0.35">
      <c r="A18" s="15" t="s">
        <v>55</v>
      </c>
      <c r="B18" s="23">
        <v>0.12371134020618557</v>
      </c>
      <c r="C18" s="23">
        <v>0.87628865979381443</v>
      </c>
    </row>
    <row r="19" spans="1:6" x14ac:dyDescent="0.35">
      <c r="A19" s="15" t="s">
        <v>38</v>
      </c>
      <c r="B19" s="23">
        <v>0.05</v>
      </c>
      <c r="C19" s="23">
        <v>0.95</v>
      </c>
      <c r="E19" s="14" t="s">
        <v>131</v>
      </c>
      <c r="F19" t="s">
        <v>132</v>
      </c>
    </row>
    <row r="20" spans="1:6" x14ac:dyDescent="0.35">
      <c r="A20" s="15" t="s">
        <v>31</v>
      </c>
      <c r="B20" s="23">
        <v>0.1366906474820144</v>
      </c>
      <c r="C20" s="23">
        <v>0.86330935251798557</v>
      </c>
      <c r="E20" s="15" t="s">
        <v>22</v>
      </c>
      <c r="F20" s="26">
        <v>99.924972617743705</v>
      </c>
    </row>
    <row r="21" spans="1:6" x14ac:dyDescent="0.35">
      <c r="A21" s="15" t="s">
        <v>24</v>
      </c>
      <c r="B21" s="23">
        <v>0.27083333333333331</v>
      </c>
      <c r="C21" s="23">
        <v>0.72916666666666663</v>
      </c>
      <c r="E21" s="15" t="s">
        <v>23</v>
      </c>
      <c r="F21" s="26">
        <v>102.13712374581939</v>
      </c>
    </row>
    <row r="22" spans="1:6" x14ac:dyDescent="0.35">
      <c r="A22" s="15" t="s">
        <v>36</v>
      </c>
      <c r="B22" s="23">
        <v>0.16666666666666666</v>
      </c>
      <c r="C22" s="23">
        <v>0.83333333333333337</v>
      </c>
      <c r="E22" s="15" t="s">
        <v>111</v>
      </c>
      <c r="F22" s="26">
        <v>100.23623529411765</v>
      </c>
    </row>
    <row r="23" spans="1:6" x14ac:dyDescent="0.35">
      <c r="A23" s="15" t="s">
        <v>39</v>
      </c>
      <c r="B23" s="23">
        <v>0.19387755102040816</v>
      </c>
      <c r="C23" s="23">
        <v>0.80612244897959184</v>
      </c>
    </row>
    <row r="24" spans="1:6" x14ac:dyDescent="0.35">
      <c r="A24" s="15" t="s">
        <v>47</v>
      </c>
      <c r="B24" s="23">
        <v>6.5573770491803282E-2</v>
      </c>
      <c r="C24" s="23">
        <v>0.93442622950819676</v>
      </c>
    </row>
    <row r="25" spans="1:6" x14ac:dyDescent="0.35">
      <c r="A25" s="15" t="s">
        <v>50</v>
      </c>
      <c r="B25" s="23">
        <v>0.15492957746478872</v>
      </c>
      <c r="C25" s="23">
        <v>0.84507042253521125</v>
      </c>
    </row>
    <row r="26" spans="1:6" x14ac:dyDescent="0.35">
      <c r="A26" s="15" t="s">
        <v>42</v>
      </c>
      <c r="B26" s="23">
        <v>9.0909090909090912E-2</v>
      </c>
      <c r="C26" s="23">
        <v>0.90909090909090906</v>
      </c>
    </row>
    <row r="27" spans="1:6" x14ac:dyDescent="0.35">
      <c r="A27" s="15" t="s">
        <v>56</v>
      </c>
      <c r="B27" s="23">
        <v>0.25641025641025639</v>
      </c>
      <c r="C27" s="23">
        <v>0.74358974358974361</v>
      </c>
    </row>
    <row r="28" spans="1:6" x14ac:dyDescent="0.35">
      <c r="A28" s="15" t="s">
        <v>41</v>
      </c>
      <c r="B28" s="23">
        <v>0.1125</v>
      </c>
      <c r="C28" s="23">
        <v>0.88749999999999996</v>
      </c>
    </row>
    <row r="29" spans="1:6" x14ac:dyDescent="0.35">
      <c r="A29" s="15" t="s">
        <v>74</v>
      </c>
      <c r="B29" s="23">
        <v>0.17045454545454544</v>
      </c>
      <c r="C29" s="23">
        <v>0.82954545454545459</v>
      </c>
    </row>
    <row r="30" spans="1:6" x14ac:dyDescent="0.35">
      <c r="A30" s="15" t="s">
        <v>63</v>
      </c>
      <c r="B30" s="23">
        <v>0.1111111111111111</v>
      </c>
      <c r="C30" s="23">
        <v>0.88888888888888884</v>
      </c>
    </row>
    <row r="31" spans="1:6" x14ac:dyDescent="0.35">
      <c r="A31" s="15" t="s">
        <v>54</v>
      </c>
      <c r="B31" s="23">
        <v>0.16250000000000001</v>
      </c>
      <c r="C31" s="23">
        <v>0.83750000000000002</v>
      </c>
    </row>
    <row r="32" spans="1:6" x14ac:dyDescent="0.35">
      <c r="A32" s="15" t="s">
        <v>40</v>
      </c>
      <c r="B32" s="23">
        <v>0.11842105263157894</v>
      </c>
      <c r="C32" s="23">
        <v>0.88157894736842102</v>
      </c>
    </row>
    <row r="33" spans="1:3" x14ac:dyDescent="0.35">
      <c r="A33" s="15" t="s">
        <v>48</v>
      </c>
      <c r="B33" s="23">
        <v>0.109375</v>
      </c>
      <c r="C33" s="23">
        <v>0.890625</v>
      </c>
    </row>
    <row r="34" spans="1:3" x14ac:dyDescent="0.35">
      <c r="A34" s="15" t="s">
        <v>45</v>
      </c>
      <c r="B34" s="23">
        <v>5.1948051948051951E-2</v>
      </c>
      <c r="C34" s="23">
        <v>0.94805194805194803</v>
      </c>
    </row>
    <row r="35" spans="1:3" x14ac:dyDescent="0.35">
      <c r="A35" s="15" t="s">
        <v>34</v>
      </c>
      <c r="B35" s="23">
        <v>0.11290322580645161</v>
      </c>
      <c r="C35" s="23">
        <v>0.88709677419354838</v>
      </c>
    </row>
    <row r="36" spans="1:3" x14ac:dyDescent="0.35">
      <c r="A36" s="15" t="s">
        <v>72</v>
      </c>
      <c r="B36" s="23">
        <v>7.5949367088607597E-2</v>
      </c>
      <c r="C36" s="23">
        <v>0.92405063291139244</v>
      </c>
    </row>
    <row r="37" spans="1:3" x14ac:dyDescent="0.35">
      <c r="A37" s="15" t="s">
        <v>32</v>
      </c>
      <c r="B37" s="23">
        <v>0.15662650602409639</v>
      </c>
      <c r="C37" s="23">
        <v>0.84337349397590367</v>
      </c>
    </row>
    <row r="38" spans="1:3" x14ac:dyDescent="0.35">
      <c r="A38" s="15" t="s">
        <v>70</v>
      </c>
      <c r="B38" s="23">
        <v>0.17241379310344829</v>
      </c>
      <c r="C38" s="23">
        <v>0.82758620689655171</v>
      </c>
    </row>
    <row r="39" spans="1:3" x14ac:dyDescent="0.35">
      <c r="A39" s="15" t="s">
        <v>65</v>
      </c>
      <c r="B39" s="23">
        <v>0.14117647058823529</v>
      </c>
      <c r="C39" s="23">
        <v>0.85882352941176465</v>
      </c>
    </row>
    <row r="40" spans="1:3" x14ac:dyDescent="0.35">
      <c r="A40" s="15" t="s">
        <v>30</v>
      </c>
      <c r="B40" s="23">
        <v>0.10144927536231885</v>
      </c>
      <c r="C40" s="23">
        <v>0.89855072463768115</v>
      </c>
    </row>
    <row r="41" spans="1:3" x14ac:dyDescent="0.35">
      <c r="A41" s="15" t="s">
        <v>27</v>
      </c>
      <c r="B41" s="23">
        <v>0.15730337078651685</v>
      </c>
      <c r="C41" s="23">
        <v>0.84269662921348309</v>
      </c>
    </row>
    <row r="42" spans="1:3" x14ac:dyDescent="0.35">
      <c r="A42" s="15" t="s">
        <v>49</v>
      </c>
      <c r="B42" s="23">
        <v>0.22093023255813954</v>
      </c>
      <c r="C42" s="23">
        <v>0.77906976744186052</v>
      </c>
    </row>
    <row r="43" spans="1:3" x14ac:dyDescent="0.35">
      <c r="A43" s="15" t="s">
        <v>66</v>
      </c>
      <c r="B43" s="23">
        <v>0.1797752808988764</v>
      </c>
      <c r="C43" s="23">
        <v>0.8202247191011236</v>
      </c>
    </row>
    <row r="44" spans="1:3" x14ac:dyDescent="0.35">
      <c r="A44" s="15" t="s">
        <v>53</v>
      </c>
      <c r="B44" s="23">
        <v>0.17241379310344829</v>
      </c>
      <c r="C44" s="23">
        <v>0.82758620689655171</v>
      </c>
    </row>
    <row r="45" spans="1:3" x14ac:dyDescent="0.35">
      <c r="A45" s="15" t="s">
        <v>29</v>
      </c>
      <c r="B45" s="23">
        <v>0.125</v>
      </c>
      <c r="C45" s="23">
        <v>0.875</v>
      </c>
    </row>
    <row r="46" spans="1:3" x14ac:dyDescent="0.35">
      <c r="A46" s="15" t="s">
        <v>67</v>
      </c>
      <c r="B46" s="23">
        <v>0.18292682926829268</v>
      </c>
      <c r="C46" s="23">
        <v>0.81707317073170727</v>
      </c>
    </row>
    <row r="47" spans="1:3" x14ac:dyDescent="0.35">
      <c r="A47" s="15" t="s">
        <v>35</v>
      </c>
      <c r="B47" s="23">
        <v>0.21249999999999999</v>
      </c>
      <c r="C47" s="23">
        <v>0.78749999999999998</v>
      </c>
    </row>
    <row r="48" spans="1:3" x14ac:dyDescent="0.35">
      <c r="A48" s="15" t="s">
        <v>58</v>
      </c>
      <c r="B48" s="23">
        <v>8.7499999999999994E-2</v>
      </c>
      <c r="C48" s="23">
        <v>0.91249999999999998</v>
      </c>
    </row>
    <row r="49" spans="1:3" x14ac:dyDescent="0.35">
      <c r="A49" s="15" t="s">
        <v>75</v>
      </c>
      <c r="B49" s="23">
        <v>8.9552238805970144E-2</v>
      </c>
      <c r="C49" s="23">
        <v>0.91044776119402981</v>
      </c>
    </row>
    <row r="50" spans="1:3" x14ac:dyDescent="0.35">
      <c r="A50" s="15" t="s">
        <v>69</v>
      </c>
      <c r="B50" s="23">
        <v>6.8493150684931503E-2</v>
      </c>
      <c r="C50" s="23">
        <v>0.93150684931506844</v>
      </c>
    </row>
    <row r="51" spans="1:3" x14ac:dyDescent="0.35">
      <c r="A51" s="15" t="s">
        <v>46</v>
      </c>
      <c r="B51" s="23">
        <v>0.12820512820512819</v>
      </c>
      <c r="C51" s="23">
        <v>0.87179487179487181</v>
      </c>
    </row>
    <row r="52" spans="1:3" x14ac:dyDescent="0.35">
      <c r="A52" s="15" t="s">
        <v>61</v>
      </c>
      <c r="B52" s="23">
        <v>0.12820512820512819</v>
      </c>
      <c r="C52" s="23">
        <v>0.87179487179487181</v>
      </c>
    </row>
    <row r="53" spans="1:3" x14ac:dyDescent="0.35">
      <c r="A53" s="15" t="s">
        <v>62</v>
      </c>
      <c r="B53" s="23">
        <v>0.20481927710843373</v>
      </c>
      <c r="C53" s="23">
        <v>0.79518072289156627</v>
      </c>
    </row>
    <row r="54" spans="1:3" x14ac:dyDescent="0.35">
      <c r="A54" s="15" t="s">
        <v>20</v>
      </c>
      <c r="B54" s="23">
        <v>0.12631578947368421</v>
      </c>
      <c r="C54" s="23">
        <v>0.87368421052631584</v>
      </c>
    </row>
    <row r="55" spans="1:3" x14ac:dyDescent="0.35">
      <c r="A55" s="15" t="s">
        <v>26</v>
      </c>
      <c r="B55" s="23">
        <v>0.20512820512820512</v>
      </c>
      <c r="C55" s="23">
        <v>0.79487179487179482</v>
      </c>
    </row>
    <row r="56" spans="1:3" x14ac:dyDescent="0.35">
      <c r="A56" s="15" t="s">
        <v>73</v>
      </c>
      <c r="B56" s="23">
        <v>0.11940298507462686</v>
      </c>
      <c r="C56" s="23">
        <v>0.88059701492537312</v>
      </c>
    </row>
    <row r="57" spans="1:3" x14ac:dyDescent="0.35">
      <c r="A57" s="15" t="s">
        <v>33</v>
      </c>
      <c r="B57" s="23">
        <v>6.8965517241379309E-2</v>
      </c>
      <c r="C57" s="23">
        <v>0.93103448275862066</v>
      </c>
    </row>
    <row r="58" spans="1:3" x14ac:dyDescent="0.35">
      <c r="A58" s="15" t="s">
        <v>43</v>
      </c>
      <c r="B58" s="23">
        <v>0.19444444444444445</v>
      </c>
      <c r="C58" s="23">
        <v>0.80555555555555558</v>
      </c>
    </row>
    <row r="59" spans="1:3" x14ac:dyDescent="0.35">
      <c r="A59" s="15" t="s">
        <v>57</v>
      </c>
      <c r="B59" s="23">
        <v>0.14666666666666667</v>
      </c>
      <c r="C59" s="23">
        <v>0.85333333333333339</v>
      </c>
    </row>
    <row r="60" spans="1:3" x14ac:dyDescent="0.35">
      <c r="A60" s="15" t="s">
        <v>71</v>
      </c>
      <c r="B60" s="23">
        <v>0.15189873417721519</v>
      </c>
      <c r="C60" s="23">
        <v>0.84810126582278478</v>
      </c>
    </row>
    <row r="61" spans="1:3" x14ac:dyDescent="0.35">
      <c r="A61" s="15" t="s">
        <v>64</v>
      </c>
      <c r="B61" s="23">
        <v>0.11627906976744186</v>
      </c>
      <c r="C61" s="23">
        <v>0.88372093023255816</v>
      </c>
    </row>
    <row r="62" spans="1:3" x14ac:dyDescent="0.35">
      <c r="A62" s="15" t="s">
        <v>59</v>
      </c>
      <c r="B62" s="23">
        <v>0.22500000000000001</v>
      </c>
      <c r="C62" s="23">
        <v>0.77500000000000002</v>
      </c>
    </row>
    <row r="63" spans="1:3" x14ac:dyDescent="0.35">
      <c r="A63" s="15" t="s">
        <v>51</v>
      </c>
      <c r="B63" s="23">
        <v>7.4468085106382975E-2</v>
      </c>
      <c r="C63" s="23">
        <v>0.92553191489361697</v>
      </c>
    </row>
    <row r="64" spans="1:3" x14ac:dyDescent="0.35">
      <c r="A64" s="15" t="s">
        <v>44</v>
      </c>
      <c r="B64" s="23">
        <v>0.10526315789473684</v>
      </c>
      <c r="C64" s="23">
        <v>0.89473684210526316</v>
      </c>
    </row>
    <row r="67" spans="1:7" ht="29" x14ac:dyDescent="0.35">
      <c r="B67" s="14" t="s">
        <v>19</v>
      </c>
      <c r="C67" s="14" t="s">
        <v>120</v>
      </c>
      <c r="F67" s="8" t="s">
        <v>255</v>
      </c>
      <c r="G67" s="19" t="s">
        <v>116</v>
      </c>
    </row>
    <row r="68" spans="1:7" x14ac:dyDescent="0.35">
      <c r="B68" t="s">
        <v>22</v>
      </c>
      <c r="C68" t="s">
        <v>22</v>
      </c>
      <c r="D68" t="s">
        <v>23</v>
      </c>
      <c r="E68" t="s">
        <v>23</v>
      </c>
      <c r="F68" s="9" t="s">
        <v>129</v>
      </c>
      <c r="G68" s="25" t="e">
        <f>GETPIVOTDATA("[__Xl2].[Measures].[Count of churn]",$A$67,"[tbl_Customers].[international_plan]","[tbl_Customers].[international_plan].&amp;[yes]","[tbl_Customers].[churn]","[tbl_Customers].[churn].&amp;[yes]")</f>
        <v>#REF!</v>
      </c>
    </row>
    <row r="69" spans="1:7" x14ac:dyDescent="0.35">
      <c r="A69" s="14" t="s">
        <v>3</v>
      </c>
      <c r="B69" t="s">
        <v>112</v>
      </c>
      <c r="C69" t="s">
        <v>128</v>
      </c>
      <c r="D69" t="s">
        <v>112</v>
      </c>
      <c r="E69" t="s">
        <v>128</v>
      </c>
      <c r="F69" s="9" t="s">
        <v>256</v>
      </c>
      <c r="G69" s="25" t="e">
        <f>GETPIVOTDATA("[__Xl2].[Measures].[Count of churn]",$A$67,"[tbl_Customers].[international_plan]","[tbl_Customers].[international_plan].&amp;[no]","[tbl_Customers].[churn]","[tbl_Customers].[churn].&amp;[yes]")</f>
        <v>#REF!</v>
      </c>
    </row>
    <row r="70" spans="1:7" x14ac:dyDescent="0.35">
      <c r="A70" t="s">
        <v>22</v>
      </c>
      <c r="B70">
        <v>3423</v>
      </c>
      <c r="C70" s="23">
        <v>0.88816813700051889</v>
      </c>
      <c r="D70">
        <v>431</v>
      </c>
      <c r="E70" s="23">
        <v>0.11183186299948106</v>
      </c>
    </row>
    <row r="71" spans="1:7" x14ac:dyDescent="0.35">
      <c r="A71" t="s">
        <v>23</v>
      </c>
      <c r="B71">
        <v>229</v>
      </c>
      <c r="C71" s="23">
        <v>0.57828282828282829</v>
      </c>
      <c r="D71">
        <v>167</v>
      </c>
      <c r="E71" s="23">
        <v>0.42171717171717171</v>
      </c>
    </row>
    <row r="74" spans="1:7" x14ac:dyDescent="0.35">
      <c r="A74" s="14" t="s">
        <v>114</v>
      </c>
      <c r="B74" t="s">
        <v>130</v>
      </c>
      <c r="D74" s="5"/>
      <c r="E74" s="18"/>
    </row>
    <row r="75" spans="1:7" x14ac:dyDescent="0.35">
      <c r="A75" s="15" t="s">
        <v>22</v>
      </c>
      <c r="B75" s="26">
        <v>1.4416757940854326</v>
      </c>
      <c r="D75" s="7"/>
      <c r="E75" s="27"/>
    </row>
    <row r="76" spans="1:7" x14ac:dyDescent="0.35">
      <c r="A76" s="15" t="s">
        <v>23</v>
      </c>
      <c r="B76" s="26">
        <v>2.2759197324414715</v>
      </c>
      <c r="D76" s="7"/>
      <c r="E76" s="27"/>
    </row>
    <row r="77" spans="1:7" x14ac:dyDescent="0.35">
      <c r="A77" s="15" t="s">
        <v>111</v>
      </c>
      <c r="B77" s="26">
        <v>1.5590588235294118</v>
      </c>
    </row>
    <row r="81" spans="1:7" x14ac:dyDescent="0.35">
      <c r="A81" s="14" t="s">
        <v>114</v>
      </c>
      <c r="B81" t="s">
        <v>135</v>
      </c>
      <c r="C81" t="s">
        <v>134</v>
      </c>
      <c r="D81" t="s">
        <v>136</v>
      </c>
    </row>
    <row r="82" spans="1:7" x14ac:dyDescent="0.35">
      <c r="A82" s="15" t="s">
        <v>22</v>
      </c>
      <c r="B82" s="26">
        <v>29.844947973713033</v>
      </c>
      <c r="C82" s="26">
        <v>16.878743154435924</v>
      </c>
      <c r="D82" s="26">
        <v>8.9811308871851026</v>
      </c>
    </row>
    <row r="83" spans="1:7" x14ac:dyDescent="0.35">
      <c r="A83" s="15" t="s">
        <v>23</v>
      </c>
      <c r="B83" s="26">
        <v>35.528678929765888</v>
      </c>
      <c r="C83" s="26">
        <v>17.847207357859531</v>
      </c>
      <c r="D83" s="26">
        <v>9.2850334448160528</v>
      </c>
    </row>
    <row r="84" spans="1:7" x14ac:dyDescent="0.35">
      <c r="A84" s="15" t="s">
        <v>111</v>
      </c>
      <c r="B84" s="26">
        <v>30.644682352941174</v>
      </c>
      <c r="C84" s="26">
        <v>17.015011764705882</v>
      </c>
      <c r="D84" s="26">
        <v>9.0238917647058834</v>
      </c>
    </row>
    <row r="88" spans="1:7" x14ac:dyDescent="0.35">
      <c r="A88" s="14" t="s">
        <v>114</v>
      </c>
      <c r="B88" t="s">
        <v>137</v>
      </c>
    </row>
    <row r="89" spans="1:7" x14ac:dyDescent="0.35">
      <c r="A89" s="15" t="s">
        <v>22</v>
      </c>
      <c r="B89" s="26">
        <v>175.55509309967141</v>
      </c>
    </row>
    <row r="90" spans="1:7" x14ac:dyDescent="0.35">
      <c r="A90" s="15" t="s">
        <v>23</v>
      </c>
      <c r="B90" s="26">
        <v>208.99013377926423</v>
      </c>
    </row>
    <row r="91" spans="1:7" x14ac:dyDescent="0.35">
      <c r="A91" s="15" t="s">
        <v>111</v>
      </c>
      <c r="B91" s="26">
        <v>180.25960000000001</v>
      </c>
    </row>
    <row r="95" spans="1:7" x14ac:dyDescent="0.35">
      <c r="A95" s="14" t="s">
        <v>112</v>
      </c>
      <c r="B95" s="14" t="s">
        <v>121</v>
      </c>
      <c r="F95" s="46" t="s">
        <v>138</v>
      </c>
      <c r="G95" s="46" t="s">
        <v>139</v>
      </c>
    </row>
    <row r="96" spans="1:7" x14ac:dyDescent="0.35">
      <c r="A96" s="14" t="s">
        <v>138</v>
      </c>
      <c r="B96" t="s">
        <v>22</v>
      </c>
      <c r="C96" t="s">
        <v>23</v>
      </c>
      <c r="D96" t="s">
        <v>111</v>
      </c>
      <c r="E96" s="16" t="s">
        <v>139</v>
      </c>
      <c r="F96" s="36" t="s">
        <v>22</v>
      </c>
      <c r="G96" s="48" t="e">
        <f>GETPIVOTDATA("[Measures].[Count of churn]",$A$95,"[tbl_Customers].[voice_mail_plan]","[tbl_Customers].[voice_mail_plan].&amp;[no]","[tbl_Customers].[churn]","[tbl_Customers].[churn].&amp;[yes]")/GETPIVOTDATA("[Measures].[Count of churn]",$A$95,"[tbl_Customers].[voice_mail_plan]","[tbl_Customers].[voice_mail_plan].&amp;[no]")</f>
        <v>#REF!</v>
      </c>
    </row>
    <row r="97" spans="1:7" x14ac:dyDescent="0.35">
      <c r="A97" s="15" t="s">
        <v>22</v>
      </c>
      <c r="B97" s="26">
        <v>2622</v>
      </c>
      <c r="C97" s="26">
        <v>516</v>
      </c>
      <c r="D97" s="26">
        <v>3138</v>
      </c>
      <c r="E97" s="28" t="e">
        <f>GETPIVOTDATA("[Measures].[Count of churn]",$A$95,"[tbl_Customers].[voice_mail_plan]","[tbl_Customers].[voice_mail_plan].&amp;[no]","[tbl_Customers].[churn]","[tbl_Customers].[churn].&amp;[yes]")/GETPIVOTDATA("[Measures].[Count of churn]",$A$95,"[tbl_Customers].[voice_mail_plan]","[tbl_Customers].[voice_mail_plan].&amp;[no]")</f>
        <v>#REF!</v>
      </c>
      <c r="F97" s="36" t="s">
        <v>23</v>
      </c>
      <c r="G97" s="48" t="e">
        <f>GETPIVOTDATA("[Measures].[Count of churn]",$A$95,"[tbl_Customers].[voice_mail_plan]","[tbl_Customers].[voice_mail_plan].&amp;[yes]","[tbl_Customers].[churn]","[tbl_Customers].[churn].&amp;[yes]")/GETPIVOTDATA("[Measures].[Count of churn]",$A$95,"[tbl_Customers].[voice_mail_plan]","[tbl_Customers].[voice_mail_plan].&amp;[yes]")</f>
        <v>#REF!</v>
      </c>
    </row>
    <row r="98" spans="1:7" x14ac:dyDescent="0.35">
      <c r="A98" s="15" t="s">
        <v>23</v>
      </c>
      <c r="B98" s="26">
        <v>1030</v>
      </c>
      <c r="C98" s="26">
        <v>82</v>
      </c>
      <c r="D98" s="26">
        <v>1112</v>
      </c>
      <c r="E98" s="28" t="e">
        <f>GETPIVOTDATA("[Measures].[Count of churn]",$A$95,"[tbl_Customers].[voice_mail_plan]","[tbl_Customers].[voice_mail_plan].&amp;[yes]","[tbl_Customers].[churn]","[tbl_Customers].[churn].&amp;[yes]")/GETPIVOTDATA("[Measures].[Count of churn]",$A$95,"[tbl_Customers].[voice_mail_plan]","[tbl_Customers].[voice_mail_plan].&amp;[yes]")</f>
        <v>#REF!</v>
      </c>
    </row>
    <row r="99" spans="1:7" x14ac:dyDescent="0.35">
      <c r="A99" s="15" t="s">
        <v>111</v>
      </c>
      <c r="B99" s="26">
        <v>3652</v>
      </c>
      <c r="C99" s="26">
        <v>598</v>
      </c>
      <c r="D99" s="26">
        <v>4250</v>
      </c>
    </row>
    <row r="102" spans="1:7" x14ac:dyDescent="0.35">
      <c r="A102" s="14" t="s">
        <v>114</v>
      </c>
      <c r="B102" t="s">
        <v>140</v>
      </c>
      <c r="C102" t="s">
        <v>141</v>
      </c>
    </row>
    <row r="103" spans="1:7" x14ac:dyDescent="0.35">
      <c r="A103" s="15" t="s">
        <v>22</v>
      </c>
      <c r="B103" s="26">
        <v>2.7530175246440205</v>
      </c>
      <c r="C103" s="26">
        <v>10.194441401971536</v>
      </c>
    </row>
    <row r="104" spans="1:7" x14ac:dyDescent="0.35">
      <c r="A104" s="15" t="s">
        <v>23</v>
      </c>
      <c r="B104" s="26">
        <v>2.8712541806020084</v>
      </c>
      <c r="C104" s="26">
        <v>10.632441471571916</v>
      </c>
    </row>
    <row r="105" spans="1:7" x14ac:dyDescent="0.35">
      <c r="A105" s="15" t="s">
        <v>111</v>
      </c>
      <c r="B105" s="26">
        <v>2.7696541176470455</v>
      </c>
      <c r="C105" s="26">
        <v>10.256070588235291</v>
      </c>
    </row>
    <row r="109" spans="1:7" x14ac:dyDescent="0.35">
      <c r="A109" s="29" t="s">
        <v>143</v>
      </c>
      <c r="B109" s="29"/>
      <c r="C109" s="29"/>
    </row>
    <row r="110" spans="1:7" x14ac:dyDescent="0.35">
      <c r="B110" s="1" t="e">
        <f>CORREL(#REF!,#REF!)</f>
        <v>#REF!</v>
      </c>
    </row>
    <row r="114" spans="1:5" x14ac:dyDescent="0.35">
      <c r="A114" s="14" t="s">
        <v>114</v>
      </c>
      <c r="B114" t="s">
        <v>133</v>
      </c>
    </row>
    <row r="115" spans="1:5" x14ac:dyDescent="0.35">
      <c r="A115" s="15" t="s">
        <v>22</v>
      </c>
      <c r="B115" s="26">
        <v>16.878743154435924</v>
      </c>
    </row>
    <row r="116" spans="1:5" x14ac:dyDescent="0.35">
      <c r="A116" s="15" t="s">
        <v>23</v>
      </c>
      <c r="B116" s="26">
        <v>17.847207357859531</v>
      </c>
    </row>
    <row r="117" spans="1:5" x14ac:dyDescent="0.35">
      <c r="A117" s="15" t="s">
        <v>111</v>
      </c>
      <c r="B117" s="26">
        <v>17.015011764705882</v>
      </c>
    </row>
    <row r="121" spans="1:5" x14ac:dyDescent="0.35">
      <c r="B121" s="14" t="s">
        <v>121</v>
      </c>
    </row>
    <row r="122" spans="1:5" x14ac:dyDescent="0.35">
      <c r="B122" t="s">
        <v>22</v>
      </c>
      <c r="D122" t="s">
        <v>23</v>
      </c>
    </row>
    <row r="123" spans="1:5" x14ac:dyDescent="0.35">
      <c r="A123" s="14" t="s">
        <v>144</v>
      </c>
      <c r="B123" t="s">
        <v>112</v>
      </c>
      <c r="C123" t="s">
        <v>116</v>
      </c>
      <c r="D123" t="s">
        <v>112</v>
      </c>
      <c r="E123" t="s">
        <v>116</v>
      </c>
    </row>
    <row r="124" spans="1:5" x14ac:dyDescent="0.35">
      <c r="A124" s="15" t="s">
        <v>21</v>
      </c>
      <c r="B124" s="26">
        <v>1821</v>
      </c>
      <c r="C124" s="23">
        <v>0.86385199240986721</v>
      </c>
      <c r="D124" s="26">
        <v>287</v>
      </c>
      <c r="E124" s="23">
        <v>0.13614800759013282</v>
      </c>
    </row>
    <row r="125" spans="1:5" x14ac:dyDescent="0.35">
      <c r="A125" s="15" t="s">
        <v>28</v>
      </c>
      <c r="B125" s="26">
        <v>897</v>
      </c>
      <c r="C125" s="23">
        <v>0.84943181818181823</v>
      </c>
      <c r="D125" s="26">
        <v>159</v>
      </c>
      <c r="E125" s="23">
        <v>0.15056818181818182</v>
      </c>
    </row>
    <row r="126" spans="1:5" x14ac:dyDescent="0.35">
      <c r="A126" s="15" t="s">
        <v>25</v>
      </c>
      <c r="B126" s="26">
        <v>934</v>
      </c>
      <c r="C126" s="23">
        <v>0.86003683241252304</v>
      </c>
      <c r="D126" s="26">
        <v>152</v>
      </c>
      <c r="E126" s="23">
        <v>0.13996316758747698</v>
      </c>
    </row>
    <row r="129" spans="1:9" x14ac:dyDescent="0.35">
      <c r="B129" s="14" t="s">
        <v>121</v>
      </c>
    </row>
    <row r="130" spans="1:9" ht="43.5" x14ac:dyDescent="0.35">
      <c r="B130" t="s">
        <v>22</v>
      </c>
      <c r="D130" t="s">
        <v>23</v>
      </c>
      <c r="G130" s="8" t="s">
        <v>150</v>
      </c>
      <c r="H130" s="19" t="s">
        <v>116</v>
      </c>
    </row>
    <row r="131" spans="1:9" x14ac:dyDescent="0.35">
      <c r="A131" s="14" t="s">
        <v>150</v>
      </c>
      <c r="B131" t="s">
        <v>112</v>
      </c>
      <c r="C131" t="s">
        <v>116</v>
      </c>
      <c r="D131" t="s">
        <v>112</v>
      </c>
      <c r="E131" t="s">
        <v>116</v>
      </c>
      <c r="G131" s="9" t="s">
        <v>146</v>
      </c>
      <c r="H131" s="32">
        <v>0.1091</v>
      </c>
    </row>
    <row r="132" spans="1:9" x14ac:dyDescent="0.35">
      <c r="A132" s="15" t="s">
        <v>146</v>
      </c>
      <c r="B132" s="26">
        <v>2147</v>
      </c>
      <c r="C132" s="23">
        <v>0.89087136929460586</v>
      </c>
      <c r="D132" s="26">
        <v>263</v>
      </c>
      <c r="E132" s="23">
        <v>0.10912863070539419</v>
      </c>
      <c r="G132" s="9" t="s">
        <v>147</v>
      </c>
      <c r="H132" s="32">
        <v>0.1096</v>
      </c>
    </row>
    <row r="133" spans="1:9" x14ac:dyDescent="0.35">
      <c r="A133" s="15" t="s">
        <v>147</v>
      </c>
      <c r="B133" s="26">
        <v>1340</v>
      </c>
      <c r="C133" s="23">
        <v>0.89036544850498334</v>
      </c>
      <c r="D133" s="26">
        <v>165</v>
      </c>
      <c r="E133" s="23">
        <v>0.10963455149501661</v>
      </c>
      <c r="G133" s="9" t="s">
        <v>148</v>
      </c>
      <c r="H133" s="32">
        <v>0.48620000000000002</v>
      </c>
    </row>
    <row r="134" spans="1:9" x14ac:dyDescent="0.35">
      <c r="A134" s="15" t="s">
        <v>148</v>
      </c>
      <c r="B134" s="26">
        <v>149</v>
      </c>
      <c r="C134" s="23">
        <v>0.51379310344827589</v>
      </c>
      <c r="D134" s="26">
        <v>141</v>
      </c>
      <c r="E134" s="23">
        <v>0.48620689655172411</v>
      </c>
      <c r="G134" s="9" t="s">
        <v>149</v>
      </c>
      <c r="H134" s="32">
        <v>0.64439999999999997</v>
      </c>
    </row>
    <row r="135" spans="1:9" x14ac:dyDescent="0.35">
      <c r="A135" s="15" t="s">
        <v>149</v>
      </c>
      <c r="B135" s="26">
        <v>16</v>
      </c>
      <c r="C135" s="23">
        <v>0.35555555555555557</v>
      </c>
      <c r="D135" s="26">
        <v>29</v>
      </c>
      <c r="E135" s="23">
        <v>0.64444444444444449</v>
      </c>
    </row>
    <row r="138" spans="1:9" x14ac:dyDescent="0.35">
      <c r="H138" s="33" t="s">
        <v>152</v>
      </c>
      <c r="I138" s="33"/>
    </row>
    <row r="139" spans="1:9" x14ac:dyDescent="0.35">
      <c r="B139" s="14" t="s">
        <v>121</v>
      </c>
      <c r="H139" s="1" t="e">
        <f>CORREL(#REF!,#REF!)</f>
        <v>#REF!</v>
      </c>
    </row>
    <row r="140" spans="1:9" x14ac:dyDescent="0.35">
      <c r="B140" t="s">
        <v>22</v>
      </c>
      <c r="D140" t="s">
        <v>23</v>
      </c>
    </row>
    <row r="141" spans="1:9" x14ac:dyDescent="0.35">
      <c r="A141" s="14" t="s">
        <v>157</v>
      </c>
      <c r="B141" t="s">
        <v>112</v>
      </c>
      <c r="C141" t="s">
        <v>116</v>
      </c>
      <c r="D141" t="s">
        <v>112</v>
      </c>
      <c r="E141" t="s">
        <v>116</v>
      </c>
    </row>
    <row r="142" spans="1:9" x14ac:dyDescent="0.35">
      <c r="A142" s="15" t="s">
        <v>153</v>
      </c>
      <c r="B142" s="26">
        <v>391</v>
      </c>
      <c r="C142" s="23">
        <v>0.87472035794183445</v>
      </c>
      <c r="D142" s="26">
        <v>56</v>
      </c>
      <c r="E142" s="23">
        <v>0.12527964205816555</v>
      </c>
    </row>
    <row r="143" spans="1:9" x14ac:dyDescent="0.35">
      <c r="A143" s="15" t="s">
        <v>154</v>
      </c>
      <c r="B143" s="26">
        <v>1402</v>
      </c>
      <c r="C143" s="23">
        <v>0.8553996339231239</v>
      </c>
      <c r="D143" s="26">
        <v>237</v>
      </c>
      <c r="E143" s="23">
        <v>0.14460036607687615</v>
      </c>
    </row>
    <row r="144" spans="1:9" x14ac:dyDescent="0.35">
      <c r="A144" s="15" t="s">
        <v>155</v>
      </c>
      <c r="B144" s="26">
        <v>375</v>
      </c>
      <c r="C144" s="23">
        <v>0.84841628959276016</v>
      </c>
      <c r="D144" s="26">
        <v>67</v>
      </c>
      <c r="E144" s="23">
        <v>0.15158371040723981</v>
      </c>
    </row>
    <row r="145" spans="1:8" x14ac:dyDescent="0.35">
      <c r="A145" s="15" t="s">
        <v>156</v>
      </c>
      <c r="B145" s="26">
        <v>1484</v>
      </c>
      <c r="C145" s="23">
        <v>0.86178861788617889</v>
      </c>
      <c r="D145" s="26">
        <v>238</v>
      </c>
      <c r="E145" s="23">
        <v>0.13821138211382114</v>
      </c>
    </row>
    <row r="146" spans="1:8" ht="29" x14ac:dyDescent="0.35">
      <c r="A146" s="14" t="s">
        <v>3</v>
      </c>
      <c r="B146" t="s">
        <v>23</v>
      </c>
      <c r="G146" s="5" t="s">
        <v>162</v>
      </c>
      <c r="H146" s="18" t="s">
        <v>116</v>
      </c>
    </row>
    <row r="147" spans="1:8" ht="29" x14ac:dyDescent="0.35">
      <c r="G147" s="7" t="s">
        <v>160</v>
      </c>
      <c r="H147" s="31">
        <v>0.33610000000000001</v>
      </c>
    </row>
    <row r="148" spans="1:8" ht="29" x14ac:dyDescent="0.35">
      <c r="B148" s="14" t="s">
        <v>121</v>
      </c>
      <c r="G148" s="7" t="s">
        <v>159</v>
      </c>
      <c r="H148" s="31">
        <v>0.55920000000000003</v>
      </c>
    </row>
    <row r="149" spans="1:8" x14ac:dyDescent="0.35">
      <c r="B149" t="s">
        <v>22</v>
      </c>
      <c r="D149" t="s">
        <v>23</v>
      </c>
    </row>
    <row r="150" spans="1:8" x14ac:dyDescent="0.35">
      <c r="A150" s="14" t="s">
        <v>161</v>
      </c>
      <c r="B150" t="s">
        <v>112</v>
      </c>
      <c r="C150" t="s">
        <v>139</v>
      </c>
      <c r="D150" t="s">
        <v>112</v>
      </c>
      <c r="E150" t="s">
        <v>139</v>
      </c>
    </row>
    <row r="151" spans="1:8" x14ac:dyDescent="0.35">
      <c r="A151" s="15" t="s">
        <v>159</v>
      </c>
      <c r="B151" s="26">
        <v>67</v>
      </c>
      <c r="C151" s="23">
        <v>0.44078947368421051</v>
      </c>
      <c r="D151" s="26">
        <v>85</v>
      </c>
      <c r="E151" s="23">
        <v>0.55921052631578949</v>
      </c>
    </row>
    <row r="152" spans="1:8" x14ac:dyDescent="0.35">
      <c r="A152" s="15" t="s">
        <v>160</v>
      </c>
      <c r="B152" s="26">
        <v>162</v>
      </c>
      <c r="C152" s="23">
        <v>0.66393442622950816</v>
      </c>
      <c r="D152" s="26">
        <v>82</v>
      </c>
      <c r="E152" s="23">
        <v>0.33606557377049179</v>
      </c>
    </row>
    <row r="158" spans="1:8" x14ac:dyDescent="0.35">
      <c r="B158" s="14" t="s">
        <v>121</v>
      </c>
    </row>
    <row r="159" spans="1:8" x14ac:dyDescent="0.35">
      <c r="B159" t="s">
        <v>22</v>
      </c>
      <c r="D159" t="s">
        <v>23</v>
      </c>
    </row>
    <row r="160" spans="1:8" x14ac:dyDescent="0.35">
      <c r="A160" s="14" t="s">
        <v>168</v>
      </c>
      <c r="B160" t="s">
        <v>112</v>
      </c>
      <c r="C160" t="s">
        <v>116</v>
      </c>
      <c r="D160" t="s">
        <v>112</v>
      </c>
      <c r="E160" t="s">
        <v>116</v>
      </c>
    </row>
    <row r="161" spans="1:7" x14ac:dyDescent="0.35">
      <c r="A161" s="15" t="s">
        <v>165</v>
      </c>
      <c r="B161" s="26">
        <v>563</v>
      </c>
      <c r="C161" s="23">
        <v>0.85303030303030303</v>
      </c>
      <c r="D161" s="26">
        <v>97</v>
      </c>
      <c r="E161" s="23">
        <v>0.14696969696969697</v>
      </c>
    </row>
    <row r="162" spans="1:7" x14ac:dyDescent="0.35">
      <c r="A162" s="15" t="s">
        <v>166</v>
      </c>
      <c r="B162" s="26">
        <v>578</v>
      </c>
      <c r="C162" s="23">
        <v>0.84502923976608191</v>
      </c>
      <c r="D162" s="26">
        <v>106</v>
      </c>
      <c r="E162" s="23">
        <v>0.15497076023391812</v>
      </c>
    </row>
    <row r="163" spans="1:7" x14ac:dyDescent="0.35">
      <c r="A163" s="15" t="s">
        <v>167</v>
      </c>
      <c r="B163" s="26">
        <v>2511</v>
      </c>
      <c r="C163" s="23">
        <v>0.8640743289745354</v>
      </c>
      <c r="D163" s="26">
        <v>395</v>
      </c>
      <c r="E163" s="23">
        <v>0.13592567102546455</v>
      </c>
    </row>
    <row r="166" spans="1:7" x14ac:dyDescent="0.35">
      <c r="B166" s="14" t="s">
        <v>121</v>
      </c>
    </row>
    <row r="167" spans="1:7" x14ac:dyDescent="0.35">
      <c r="B167" t="s">
        <v>22</v>
      </c>
      <c r="D167" t="s">
        <v>23</v>
      </c>
    </row>
    <row r="168" spans="1:7" x14ac:dyDescent="0.35">
      <c r="A168" s="14" t="s">
        <v>170</v>
      </c>
      <c r="B168" t="s">
        <v>112</v>
      </c>
      <c r="C168" t="s">
        <v>116</v>
      </c>
      <c r="D168" t="s">
        <v>112</v>
      </c>
      <c r="E168" t="s">
        <v>116</v>
      </c>
    </row>
    <row r="169" spans="1:7" x14ac:dyDescent="0.35">
      <c r="A169" s="15" t="s">
        <v>159</v>
      </c>
      <c r="B169" s="26">
        <v>836</v>
      </c>
      <c r="C169" s="23">
        <v>0.81800391389432481</v>
      </c>
      <c r="D169" s="26">
        <v>186</v>
      </c>
      <c r="E169" s="23">
        <v>0.18199608610567514</v>
      </c>
    </row>
    <row r="170" spans="1:7" x14ac:dyDescent="0.35">
      <c r="A170" s="15" t="s">
        <v>160</v>
      </c>
      <c r="B170" s="26">
        <v>1213</v>
      </c>
      <c r="C170" s="23">
        <v>0.88411078717201164</v>
      </c>
      <c r="D170" s="26">
        <v>159</v>
      </c>
      <c r="E170" s="23">
        <v>0.11588921282798834</v>
      </c>
    </row>
    <row r="171" spans="1:7" x14ac:dyDescent="0.35">
      <c r="A171" s="15" t="s">
        <v>169</v>
      </c>
      <c r="B171" s="26">
        <v>1603</v>
      </c>
      <c r="C171" s="23">
        <v>0.86368534482758619</v>
      </c>
      <c r="D171" s="26">
        <v>253</v>
      </c>
      <c r="E171" s="23">
        <v>0.13631465517241378</v>
      </c>
    </row>
    <row r="174" spans="1:7" x14ac:dyDescent="0.35">
      <c r="B174" s="14" t="s">
        <v>121</v>
      </c>
    </row>
    <row r="175" spans="1:7" x14ac:dyDescent="0.35">
      <c r="B175" t="s">
        <v>22</v>
      </c>
      <c r="D175" t="s">
        <v>23</v>
      </c>
      <c r="F175" s="46" t="s">
        <v>176</v>
      </c>
      <c r="G175" s="46" t="s">
        <v>116</v>
      </c>
    </row>
    <row r="176" spans="1:7" x14ac:dyDescent="0.35">
      <c r="A176" s="14" t="s">
        <v>176</v>
      </c>
      <c r="B176" t="s">
        <v>112</v>
      </c>
      <c r="C176" t="s">
        <v>116</v>
      </c>
      <c r="D176" t="s">
        <v>112</v>
      </c>
      <c r="E176" t="s">
        <v>116</v>
      </c>
      <c r="F176" s="36" t="s">
        <v>172</v>
      </c>
      <c r="G176" s="47">
        <v>8.9035449299258038E-2</v>
      </c>
    </row>
    <row r="177" spans="1:7" x14ac:dyDescent="0.35">
      <c r="A177" s="15" t="s">
        <v>172</v>
      </c>
      <c r="B177" s="26">
        <v>1105</v>
      </c>
      <c r="C177" s="23">
        <v>0.910964550700742</v>
      </c>
      <c r="D177" s="26">
        <v>108</v>
      </c>
      <c r="E177" s="23">
        <v>8.9035449299258038E-2</v>
      </c>
      <c r="F177" s="36" t="s">
        <v>173</v>
      </c>
      <c r="G177" s="47">
        <v>0.2360717658168083</v>
      </c>
    </row>
    <row r="178" spans="1:7" x14ac:dyDescent="0.35">
      <c r="A178" s="15" t="s">
        <v>173</v>
      </c>
      <c r="B178" s="26">
        <v>809</v>
      </c>
      <c r="C178" s="23">
        <v>0.76392823418319167</v>
      </c>
      <c r="D178" s="26">
        <v>250</v>
      </c>
      <c r="E178" s="23">
        <v>0.2360717658168083</v>
      </c>
      <c r="F178" s="36" t="s">
        <v>174</v>
      </c>
      <c r="G178" s="47">
        <v>0.11811926605504587</v>
      </c>
    </row>
    <row r="179" spans="1:7" x14ac:dyDescent="0.35">
      <c r="A179" s="15" t="s">
        <v>174</v>
      </c>
      <c r="B179" s="26">
        <v>1538</v>
      </c>
      <c r="C179" s="23">
        <v>0.88188073394495414</v>
      </c>
      <c r="D179" s="26">
        <v>206</v>
      </c>
      <c r="E179" s="23">
        <v>0.11811926605504587</v>
      </c>
      <c r="F179" s="36" t="s">
        <v>175</v>
      </c>
      <c r="G179" s="47">
        <v>0.14529914529914531</v>
      </c>
    </row>
    <row r="180" spans="1:7" x14ac:dyDescent="0.35">
      <c r="A180" s="15" t="s">
        <v>175</v>
      </c>
      <c r="B180" s="26">
        <v>200</v>
      </c>
      <c r="C180" s="23">
        <v>0.85470085470085466</v>
      </c>
      <c r="D180" s="26">
        <v>34</v>
      </c>
      <c r="E180" s="23">
        <v>0.14529914529914531</v>
      </c>
    </row>
    <row r="182" spans="1:7" x14ac:dyDescent="0.35">
      <c r="A182" s="14" t="s">
        <v>4</v>
      </c>
      <c r="B182" t="s">
        <v>23</v>
      </c>
    </row>
    <row r="184" spans="1:7" x14ac:dyDescent="0.35">
      <c r="B184" s="14" t="s">
        <v>121</v>
      </c>
    </row>
    <row r="185" spans="1:7" x14ac:dyDescent="0.35">
      <c r="B185" t="s">
        <v>22</v>
      </c>
      <c r="D185" t="s">
        <v>23</v>
      </c>
    </row>
    <row r="186" spans="1:7" x14ac:dyDescent="0.35">
      <c r="A186" s="14" t="s">
        <v>177</v>
      </c>
      <c r="B186" t="s">
        <v>112</v>
      </c>
      <c r="C186" t="s">
        <v>116</v>
      </c>
      <c r="D186" t="s">
        <v>112</v>
      </c>
      <c r="E186" t="s">
        <v>116</v>
      </c>
    </row>
    <row r="187" spans="1:7" x14ac:dyDescent="0.35">
      <c r="A187" s="15" t="s">
        <v>178</v>
      </c>
      <c r="B187" s="26">
        <v>74</v>
      </c>
      <c r="C187" s="23">
        <v>0.86046511627906974</v>
      </c>
      <c r="D187" s="26">
        <v>12</v>
      </c>
      <c r="E187" s="23">
        <v>0.13953488372093023</v>
      </c>
    </row>
    <row r="188" spans="1:7" x14ac:dyDescent="0.35">
      <c r="A188" s="15" t="s">
        <v>179</v>
      </c>
      <c r="B188" s="26">
        <v>137</v>
      </c>
      <c r="C188" s="23">
        <v>0.95138888888888884</v>
      </c>
      <c r="D188" s="26">
        <v>7</v>
      </c>
      <c r="E188" s="23">
        <v>4.8611111111111112E-2</v>
      </c>
    </row>
    <row r="189" spans="1:7" x14ac:dyDescent="0.35">
      <c r="A189" s="15" t="s">
        <v>180</v>
      </c>
      <c r="B189" s="26">
        <v>818</v>
      </c>
      <c r="C189" s="23">
        <v>0.92849035187287177</v>
      </c>
      <c r="D189" s="26">
        <v>63</v>
      </c>
      <c r="E189" s="23">
        <v>7.1509648127128261E-2</v>
      </c>
    </row>
    <row r="190" spans="1:7" x14ac:dyDescent="0.35">
      <c r="A190" s="15" t="s">
        <v>181</v>
      </c>
      <c r="B190" s="26">
        <v>1</v>
      </c>
      <c r="C190" s="23">
        <v>1</v>
      </c>
      <c r="D190" s="26"/>
      <c r="E190" s="23">
        <v>0</v>
      </c>
    </row>
    <row r="194" spans="1:7" x14ac:dyDescent="0.35">
      <c r="B194" s="14" t="s">
        <v>121</v>
      </c>
      <c r="F194" s="46" t="s">
        <v>185</v>
      </c>
      <c r="G194" s="46" t="s">
        <v>116</v>
      </c>
    </row>
    <row r="195" spans="1:7" x14ac:dyDescent="0.35">
      <c r="B195" t="s">
        <v>22</v>
      </c>
      <c r="D195" t="s">
        <v>23</v>
      </c>
      <c r="F195" s="36" t="s">
        <v>178</v>
      </c>
      <c r="G195" s="47">
        <v>0.11274060494958753</v>
      </c>
    </row>
    <row r="196" spans="1:7" x14ac:dyDescent="0.35">
      <c r="A196" s="14" t="s">
        <v>185</v>
      </c>
      <c r="B196" t="s">
        <v>112</v>
      </c>
      <c r="C196" t="s">
        <v>116</v>
      </c>
      <c r="D196" t="s">
        <v>112</v>
      </c>
      <c r="E196" t="s">
        <v>116</v>
      </c>
      <c r="F196" s="36" t="s">
        <v>179</v>
      </c>
      <c r="G196" s="47">
        <v>0.11906677393403058</v>
      </c>
    </row>
    <row r="197" spans="1:7" x14ac:dyDescent="0.35">
      <c r="A197" s="15" t="s">
        <v>178</v>
      </c>
      <c r="B197" s="26">
        <v>968</v>
      </c>
      <c r="C197" s="23">
        <v>0.88725939505041251</v>
      </c>
      <c r="D197" s="26">
        <v>123</v>
      </c>
      <c r="E197" s="23">
        <v>0.11274060494958753</v>
      </c>
      <c r="F197" s="36" t="s">
        <v>183</v>
      </c>
      <c r="G197" s="47">
        <v>8.0375083724045546E-2</v>
      </c>
    </row>
    <row r="198" spans="1:7" x14ac:dyDescent="0.35">
      <c r="A198" s="15" t="s">
        <v>179</v>
      </c>
      <c r="B198" s="26">
        <v>1095</v>
      </c>
      <c r="C198" s="23">
        <v>0.88093322606596947</v>
      </c>
      <c r="D198" s="26">
        <v>148</v>
      </c>
      <c r="E198" s="23">
        <v>0.11906677393403058</v>
      </c>
      <c r="F198" s="36" t="s">
        <v>184</v>
      </c>
      <c r="G198" s="47">
        <v>0.48936170212765956</v>
      </c>
    </row>
    <row r="199" spans="1:7" x14ac:dyDescent="0.35">
      <c r="A199" s="15" t="s">
        <v>183</v>
      </c>
      <c r="B199" s="26">
        <v>1373</v>
      </c>
      <c r="C199" s="23">
        <v>0.91962491627595444</v>
      </c>
      <c r="D199" s="26">
        <v>120</v>
      </c>
      <c r="E199" s="23">
        <v>8.0375083724045546E-2</v>
      </c>
    </row>
    <row r="200" spans="1:7" x14ac:dyDescent="0.35">
      <c r="A200" s="15" t="s">
        <v>184</v>
      </c>
      <c r="B200" s="26">
        <v>216</v>
      </c>
      <c r="C200" s="23">
        <v>0.51063829787234039</v>
      </c>
      <c r="D200" s="26">
        <v>207</v>
      </c>
      <c r="E200" s="23">
        <v>0.48936170212765956</v>
      </c>
    </row>
    <row r="203" spans="1:7" ht="29" x14ac:dyDescent="0.35">
      <c r="A203" s="5" t="s">
        <v>186</v>
      </c>
      <c r="B203" s="18" t="s">
        <v>116</v>
      </c>
    </row>
    <row r="204" spans="1:7" x14ac:dyDescent="0.35">
      <c r="A204" s="6">
        <v>125</v>
      </c>
      <c r="B204" s="30">
        <v>0.1191</v>
      </c>
    </row>
    <row r="205" spans="1:7" x14ac:dyDescent="0.35">
      <c r="A205" s="6">
        <v>175</v>
      </c>
      <c r="B205" s="30">
        <v>8.0399999999999999E-2</v>
      </c>
    </row>
    <row r="206" spans="1:7" x14ac:dyDescent="0.35">
      <c r="A206" s="6">
        <v>225</v>
      </c>
      <c r="B206" s="30">
        <v>0.11269999999999999</v>
      </c>
    </row>
    <row r="207" spans="1:7" x14ac:dyDescent="0.35">
      <c r="A207" s="6">
        <v>275</v>
      </c>
      <c r="B207" s="30">
        <v>0.4894</v>
      </c>
    </row>
    <row r="216" spans="1:4" x14ac:dyDescent="0.35">
      <c r="A216" s="14" t="s">
        <v>3</v>
      </c>
      <c r="B216" t="s">
        <v>22</v>
      </c>
    </row>
    <row r="218" spans="1:4" x14ac:dyDescent="0.35">
      <c r="A218" s="14" t="s">
        <v>112</v>
      </c>
      <c r="B218" s="14" t="s">
        <v>188</v>
      </c>
    </row>
    <row r="219" spans="1:4" x14ac:dyDescent="0.35">
      <c r="A219" s="14" t="s">
        <v>114</v>
      </c>
      <c r="B219" t="s">
        <v>165</v>
      </c>
      <c r="C219" t="s">
        <v>166</v>
      </c>
      <c r="D219" t="s">
        <v>167</v>
      </c>
    </row>
    <row r="220" spans="1:4" x14ac:dyDescent="0.35">
      <c r="A220" s="15" t="s">
        <v>22</v>
      </c>
      <c r="B220" s="23">
        <v>0.8651685393258427</v>
      </c>
      <c r="C220" s="23">
        <v>0.886307638155579</v>
      </c>
      <c r="D220" s="23">
        <v>0.89610389610389607</v>
      </c>
    </row>
    <row r="221" spans="1:4" x14ac:dyDescent="0.35">
      <c r="A221" s="15" t="s">
        <v>23</v>
      </c>
      <c r="B221" s="23">
        <v>0.1348314606741573</v>
      </c>
      <c r="C221" s="23">
        <v>0.11369236184442098</v>
      </c>
      <c r="D221" s="23">
        <v>0.1038961038961039</v>
      </c>
    </row>
    <row r="225" spans="1:10" ht="18.5" x14ac:dyDescent="0.45">
      <c r="A225" s="34" t="s">
        <v>189</v>
      </c>
      <c r="B225" s="34"/>
      <c r="C225" s="34"/>
      <c r="D225" s="34"/>
      <c r="E225" s="34"/>
      <c r="F225" s="34"/>
      <c r="G225" s="34"/>
      <c r="H225" s="34"/>
      <c r="I225" s="34"/>
    </row>
    <row r="229" spans="1:10" x14ac:dyDescent="0.35">
      <c r="B229" s="14" t="s">
        <v>121</v>
      </c>
    </row>
    <row r="230" spans="1:10" x14ac:dyDescent="0.35">
      <c r="B230" t="s">
        <v>22</v>
      </c>
      <c r="D230" t="s">
        <v>23</v>
      </c>
      <c r="F230" s="46" t="s">
        <v>210</v>
      </c>
      <c r="G230" s="46" t="s">
        <v>116</v>
      </c>
    </row>
    <row r="231" spans="1:10" x14ac:dyDescent="0.35">
      <c r="A231" s="14" t="s">
        <v>210</v>
      </c>
      <c r="B231" t="s">
        <v>112</v>
      </c>
      <c r="C231" t="s">
        <v>116</v>
      </c>
      <c r="D231" t="s">
        <v>112</v>
      </c>
      <c r="E231" t="s">
        <v>116</v>
      </c>
      <c r="F231" s="36" t="s">
        <v>207</v>
      </c>
      <c r="G231" s="47">
        <v>0.58139534883720934</v>
      </c>
    </row>
    <row r="232" spans="1:10" x14ac:dyDescent="0.35">
      <c r="A232" s="15" t="s">
        <v>207</v>
      </c>
      <c r="B232" s="26">
        <v>18</v>
      </c>
      <c r="C232" s="23">
        <v>0.41860465116279072</v>
      </c>
      <c r="D232" s="26">
        <v>25</v>
      </c>
      <c r="E232" s="23">
        <v>0.58139534883720934</v>
      </c>
      <c r="F232" s="36" t="s">
        <v>208</v>
      </c>
      <c r="G232" s="47">
        <v>5.3658536585365853E-2</v>
      </c>
    </row>
    <row r="233" spans="1:10" x14ac:dyDescent="0.35">
      <c r="A233" s="15" t="s">
        <v>208</v>
      </c>
      <c r="B233" s="26">
        <v>3298</v>
      </c>
      <c r="C233" s="23">
        <v>0.9463414634146341</v>
      </c>
      <c r="D233" s="26">
        <v>187</v>
      </c>
      <c r="E233" s="23">
        <v>5.3658536585365853E-2</v>
      </c>
      <c r="F233" s="36" t="s">
        <v>209</v>
      </c>
      <c r="G233" s="47">
        <v>0.53462603878116344</v>
      </c>
    </row>
    <row r="234" spans="1:10" x14ac:dyDescent="0.35">
      <c r="A234" s="15" t="s">
        <v>209</v>
      </c>
      <c r="B234" s="26">
        <v>336</v>
      </c>
      <c r="C234" s="23">
        <v>0.46537396121883656</v>
      </c>
      <c r="D234" s="26">
        <v>386</v>
      </c>
      <c r="E234" s="23">
        <v>0.53462603878116344</v>
      </c>
    </row>
    <row r="237" spans="1:10" ht="18.5" x14ac:dyDescent="0.45">
      <c r="A237" s="34" t="s">
        <v>211</v>
      </c>
      <c r="B237" s="34"/>
      <c r="C237" s="34"/>
      <c r="D237" s="34"/>
      <c r="E237" s="34"/>
      <c r="F237" s="34"/>
      <c r="G237" s="34"/>
      <c r="H237" s="34"/>
      <c r="I237" s="34"/>
      <c r="J237" s="34"/>
    </row>
    <row r="241" spans="1:3" x14ac:dyDescent="0.35">
      <c r="A241" s="14" t="s">
        <v>3</v>
      </c>
      <c r="B241" t="s">
        <v>231</v>
      </c>
    </row>
    <row r="243" spans="1:3" x14ac:dyDescent="0.35">
      <c r="A243" s="14" t="s">
        <v>116</v>
      </c>
      <c r="B243" s="14" t="s">
        <v>121</v>
      </c>
    </row>
    <row r="244" spans="1:3" x14ac:dyDescent="0.35">
      <c r="A244" s="14" t="s">
        <v>150</v>
      </c>
      <c r="B244" t="s">
        <v>22</v>
      </c>
      <c r="C244" t="s">
        <v>23</v>
      </c>
    </row>
    <row r="245" spans="1:3" x14ac:dyDescent="0.35">
      <c r="A245" s="15" t="s">
        <v>146</v>
      </c>
      <c r="B245" s="23">
        <v>0.89087136929460586</v>
      </c>
      <c r="C245" s="23">
        <v>0.10912863070539419</v>
      </c>
    </row>
    <row r="246" spans="1:3" x14ac:dyDescent="0.35">
      <c r="A246" s="15" t="s">
        <v>147</v>
      </c>
      <c r="B246" s="23">
        <v>0.89036544850498334</v>
      </c>
      <c r="C246" s="23">
        <v>0.10963455149501661</v>
      </c>
    </row>
    <row r="247" spans="1:3" x14ac:dyDescent="0.35">
      <c r="A247" s="15" t="s">
        <v>148</v>
      </c>
      <c r="B247" s="23">
        <v>0.51379310344827589</v>
      </c>
      <c r="C247" s="23">
        <v>0.48620689655172411</v>
      </c>
    </row>
    <row r="248" spans="1:3" x14ac:dyDescent="0.35">
      <c r="A248" s="15" t="s">
        <v>149</v>
      </c>
      <c r="B248" s="23">
        <v>0.35555555555555557</v>
      </c>
      <c r="C248" s="23">
        <v>0.64444444444444449</v>
      </c>
    </row>
    <row r="251" spans="1:3" x14ac:dyDescent="0.35">
      <c r="A251" s="14" t="s">
        <v>4</v>
      </c>
      <c r="B251" t="s">
        <v>231</v>
      </c>
    </row>
    <row r="253" spans="1:3" x14ac:dyDescent="0.35">
      <c r="A253" s="14" t="s">
        <v>112</v>
      </c>
      <c r="B253" s="14" t="s">
        <v>121</v>
      </c>
    </row>
    <row r="254" spans="1:3" x14ac:dyDescent="0.35">
      <c r="A254" s="14" t="s">
        <v>232</v>
      </c>
      <c r="B254" t="s">
        <v>22</v>
      </c>
      <c r="C254" t="s">
        <v>23</v>
      </c>
    </row>
    <row r="255" spans="1:3" x14ac:dyDescent="0.35">
      <c r="A255" s="15" t="s">
        <v>178</v>
      </c>
      <c r="B255" s="23">
        <v>0.88725939505041251</v>
      </c>
      <c r="C255" s="23">
        <v>0.11274060494958753</v>
      </c>
    </row>
    <row r="256" spans="1:3" x14ac:dyDescent="0.35">
      <c r="A256" s="15" t="s">
        <v>179</v>
      </c>
      <c r="B256" s="23">
        <v>0.88093322606596947</v>
      </c>
      <c r="C256" s="23">
        <v>0.11906677393403058</v>
      </c>
    </row>
    <row r="257" spans="1:6" x14ac:dyDescent="0.35">
      <c r="A257" s="15" t="s">
        <v>183</v>
      </c>
      <c r="B257" s="23">
        <v>0.91962491627595444</v>
      </c>
      <c r="C257" s="23">
        <v>8.0375083724045546E-2</v>
      </c>
    </row>
    <row r="258" spans="1:6" x14ac:dyDescent="0.35">
      <c r="A258" s="15" t="s">
        <v>184</v>
      </c>
      <c r="B258" s="23">
        <v>0.51063829787234039</v>
      </c>
      <c r="C258" s="23">
        <v>0.48936170212765956</v>
      </c>
    </row>
    <row r="263" spans="1:6" x14ac:dyDescent="0.35">
      <c r="A263" s="33" t="s">
        <v>241</v>
      </c>
      <c r="B263" s="33" t="s">
        <v>114</v>
      </c>
      <c r="C263" s="33" t="s">
        <v>244</v>
      </c>
      <c r="D263" s="38" t="s">
        <v>242</v>
      </c>
      <c r="E263" s="38" t="s">
        <v>243</v>
      </c>
      <c r="F263" s="38" t="s">
        <v>245</v>
      </c>
    </row>
    <row r="264" spans="1:6" x14ac:dyDescent="0.35">
      <c r="A264" s="37">
        <v>59.453239999999973</v>
      </c>
      <c r="B264" s="37">
        <v>598</v>
      </c>
      <c r="C264" s="37">
        <v>100.23623529411765</v>
      </c>
      <c r="D264" s="39" t="e">
        <f>GETPIVOTDATA("[Measures].[Sum of Churn_Flag]",$A$263) * GETPIVOTDATA("[Measures].[Average of Estimated_Monthly_Revenue]",$A$263)</f>
        <v>#REF!</v>
      </c>
      <c r="E264" s="39" t="e">
        <f>GETPIVOTDATA("[Measures].[Average of Estimated_Monthly_Revenue]",$A$263) * GETPIVOTDATA("[Measures].[Average of account_length]",$A$263)</f>
        <v>#REF!</v>
      </c>
      <c r="F264" s="40" t="e">
        <f>GETPIVOTDATA("[Measures].[Sum of Churn_Flag]",$A$263)*E264</f>
        <v>#REF!</v>
      </c>
    </row>
    <row r="267" spans="1:6" x14ac:dyDescent="0.35">
      <c r="A267" s="5" t="s">
        <v>123</v>
      </c>
      <c r="B267" s="18" t="s">
        <v>246</v>
      </c>
    </row>
    <row r="268" spans="1:6" ht="58" x14ac:dyDescent="0.35">
      <c r="A268" s="6" t="s">
        <v>247</v>
      </c>
      <c r="B268" s="18" t="s">
        <v>248</v>
      </c>
    </row>
    <row r="269" spans="1:6" ht="43.5" x14ac:dyDescent="0.35">
      <c r="A269" s="6" t="s">
        <v>117</v>
      </c>
      <c r="B269" s="18">
        <v>598</v>
      </c>
    </row>
    <row r="270" spans="1:6" ht="43.5" x14ac:dyDescent="0.35">
      <c r="A270" s="6" t="s">
        <v>249</v>
      </c>
      <c r="B270" s="18" t="s">
        <v>250</v>
      </c>
    </row>
    <row r="271" spans="1:6" ht="43.5" x14ac:dyDescent="0.35">
      <c r="A271" s="6" t="s">
        <v>251</v>
      </c>
      <c r="B271" s="41">
        <v>35553.040000000001</v>
      </c>
    </row>
    <row r="272" spans="1:6" ht="58" x14ac:dyDescent="0.35">
      <c r="A272" s="6" t="s">
        <v>252</v>
      </c>
      <c r="B272" s="18" t="s">
        <v>253</v>
      </c>
    </row>
    <row r="273" spans="1:2" ht="58" x14ac:dyDescent="0.35">
      <c r="A273" s="6" t="s">
        <v>254</v>
      </c>
      <c r="B273" s="41">
        <v>3563702.63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workbookViewId="0"/>
  </sheetViews>
  <sheetFormatPr defaultRowHeight="14.5" x14ac:dyDescent="0.35"/>
  <sheetData>
    <row r="1" spans="1:26" x14ac:dyDescent="0.35">
      <c r="A1" s="44"/>
      <c r="B1" s="44"/>
      <c r="C1" s="44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x14ac:dyDescent="0.35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26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26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26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26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26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1:26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26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26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26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26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1:26" x14ac:dyDescent="0.3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1:26" x14ac:dyDescent="0.3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26" x14ac:dyDescent="0.3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x14ac:dyDescent="0.3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1:14" x14ac:dyDescent="0.3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4" x14ac:dyDescent="0.3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x14ac:dyDescent="0.3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 x14ac:dyDescent="0.3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x14ac:dyDescent="0.3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4" x14ac:dyDescent="0.3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 x14ac:dyDescent="0.3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1:14" x14ac:dyDescent="0.3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F73AE7-4913-4AB5-BAE1-F5730D3AD3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Data_Audit</vt:lpstr>
      <vt:lpstr>Analysis</vt:lpstr>
      <vt:lpstr>Pivot_Table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Dhangar</dc:creator>
  <cp:lastModifiedBy>Utkarsh Dhangar</cp:lastModifiedBy>
  <dcterms:created xsi:type="dcterms:W3CDTF">2026-07-06T11:22:51Z</dcterms:created>
  <dcterms:modified xsi:type="dcterms:W3CDTF">2026-07-11T11:08:21Z</dcterms:modified>
</cp:coreProperties>
</file>